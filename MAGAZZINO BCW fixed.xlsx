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40960" windowHeight="15560" tabRatio="600" firstSheet="2" activeTab="2" autoFilterDateGrouping="1"/>
  </bookViews>
  <sheets>
    <sheet xmlns:r="http://schemas.openxmlformats.org/officeDocument/2006/relationships" name="ISTRUZIONI" sheetId="1" state="visible" r:id="rId1"/>
    <sheet xmlns:r="http://schemas.openxmlformats.org/officeDocument/2006/relationships" name="INVENTARIO" sheetId="2" state="visible" r:id="rId2"/>
    <sheet xmlns:r="http://schemas.openxmlformats.org/officeDocument/2006/relationships" name="MAGAZZINO" sheetId="3" state="visible" r:id="rId3"/>
    <sheet xmlns:r="http://schemas.openxmlformats.org/officeDocument/2006/relationships" name="REGISTRO" sheetId="4" state="visible" r:id="rId4"/>
    <sheet xmlns:r="http://schemas.openxmlformats.org/officeDocument/2006/relationships" name="BASE" sheetId="5" state="visible" r:id="rId5"/>
    <sheet xmlns:r="http://schemas.openxmlformats.org/officeDocument/2006/relationships" name="PRINT" sheetId="6" state="visible" r:id="rId6"/>
  </sheets>
  <definedNames>
    <definedName name="_xlnm._FilterDatabase" localSheetId="2" hidden="1">'MAGAZZINO'!$T$1:$T$4874</definedName>
    <definedName name="_xlnm.Print_Titles" localSheetId="3">'REGISTRO'!$1:$3</definedName>
    <definedName name="_xlnm.Print_Titles" localSheetId="4">'BASE'!$1:$3</definedName>
    <definedName name="_xlnm.Print_Titles" localSheetId="5">'PRINT'!$1:$3</definedName>
  </definedNames>
  <calcPr calcId="191029" fullCalcOnLoad="1" iterateDelta="0.0001"/>
</workbook>
</file>

<file path=xl/styles.xml><?xml version="1.0" encoding="utf-8"?>
<styleSheet xmlns="http://schemas.openxmlformats.org/spreadsheetml/2006/main">
  <numFmts count="4">
    <numFmt numFmtId="164" formatCode="dd/mm/yy;@"/>
    <numFmt numFmtId="165" formatCode="[$-809]dd\ mmmm\ yyyy;@"/>
    <numFmt numFmtId="166" formatCode="[$-1010000]d/m/yyyy;@"/>
    <numFmt numFmtId="167" formatCode="yyyy\-mm\-dd\ h:mm:ss"/>
  </numFmts>
  <fonts count="17">
    <font>
      <name val="Calibri"/>
      <family val="2"/>
      <color theme="1"/>
      <sz val="11"/>
      <scheme val="minor"/>
    </font>
    <font>
      <name val="Calibri"/>
      <family val="2"/>
      <b val="1"/>
      <color theme="1"/>
      <sz val="9"/>
      <scheme val="minor"/>
    </font>
    <font>
      <name val="Calibri"/>
      <family val="2"/>
      <color theme="1"/>
      <sz val="9"/>
      <scheme val="minor"/>
    </font>
    <font>
      <name val="Calibri"/>
      <family val="2"/>
      <color rgb="FFFF0000"/>
      <sz val="9"/>
      <scheme val="minor"/>
    </font>
    <font>
      <name val="Calibri"/>
      <family val="2"/>
      <sz val="9"/>
      <scheme val="minor"/>
    </font>
    <font>
      <name val="Calibri"/>
      <family val="2"/>
      <color rgb="FF00B050"/>
      <sz val="9"/>
      <scheme val="minor"/>
    </font>
    <font>
      <name val="Calibri"/>
      <family val="2"/>
      <i val="1"/>
      <color theme="1"/>
      <sz val="9"/>
      <scheme val="minor"/>
    </font>
    <font>
      <name val="Calibri"/>
      <family val="2"/>
      <color rgb="FF92D050"/>
      <sz val="9"/>
      <scheme val="minor"/>
    </font>
    <font>
      <name val="Calibri"/>
      <family val="2"/>
      <b val="1"/>
      <sz val="9"/>
      <scheme val="minor"/>
    </font>
    <font>
      <name val="Calibri"/>
      <family val="2"/>
      <color theme="1"/>
      <sz val="6"/>
      <scheme val="minor"/>
    </font>
    <font>
      <name val="Calibri"/>
      <family val="2"/>
      <color theme="1"/>
      <sz val="8"/>
      <scheme val="minor"/>
    </font>
    <font>
      <name val="Calibri"/>
      <family val="2"/>
      <color theme="1"/>
      <sz val="4.6"/>
      <scheme val="minor"/>
    </font>
    <font>
      <name val="Calibri"/>
      <family val="2"/>
      <color theme="1"/>
      <sz val="7"/>
      <scheme val="minor"/>
    </font>
    <font>
      <name val="Calibri"/>
      <family val="2"/>
      <sz val="5"/>
      <scheme val="minor"/>
    </font>
    <font>
      <name val="Calibri"/>
      <family val="2"/>
      <b val="1"/>
      <color rgb="FFFF0000"/>
      <sz val="6"/>
      <scheme val="minor"/>
    </font>
    <font>
      <name val="Calibri"/>
      <family val="2"/>
      <color rgb="FFFF0000"/>
      <sz val="6"/>
      <scheme val="minor"/>
    </font>
    <font>
      <name val="Arial"/>
      <family val="2"/>
      <color indexed="8"/>
      <sz val="10"/>
    </font>
  </fonts>
  <fills count="7">
    <fill>
      <patternFill/>
    </fill>
    <fill>
      <patternFill patternType="gray125"/>
    </fill>
    <fill>
      <patternFill patternType="solid">
        <fgColor theme="9" tint="0.799981688894314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theme="0"/>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diagonal/>
    </border>
    <border>
      <left style="thin">
        <color indexed="64"/>
      </left>
      <right style="medium">
        <color indexed="64"/>
      </right>
      <top/>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0" fontId="16" fillId="0" borderId="0"/>
  </cellStyleXfs>
  <cellXfs count="193">
    <xf numFmtId="0" fontId="0" fillId="0" borderId="0" pivotButton="0" quotePrefix="0" xfId="0"/>
    <xf numFmtId="0" fontId="2" fillId="0" borderId="0" pivotButton="0" quotePrefix="0" xfId="0"/>
    <xf numFmtId="1" fontId="2" fillId="0" borderId="1" applyAlignment="1" pivotButton="0" quotePrefix="0" xfId="0">
      <alignment wrapText="1"/>
    </xf>
    <xf numFmtId="49" fontId="2" fillId="0" borderId="1" applyAlignment="1" pivotButton="0" quotePrefix="0" xfId="0">
      <alignment wrapText="1"/>
    </xf>
    <xf numFmtId="164" fontId="2" fillId="0" borderId="1" applyAlignment="1" pivotButton="0" quotePrefix="0" xfId="0">
      <alignment wrapText="1"/>
    </xf>
    <xf numFmtId="4" fontId="2" fillId="0" borderId="1" applyAlignment="1" pivotButton="0" quotePrefix="0" xfId="0">
      <alignment wrapText="1"/>
    </xf>
    <xf numFmtId="1" fontId="2" fillId="0" borderId="0" pivotButton="0" quotePrefix="0" xfId="0"/>
    <xf numFmtId="49" fontId="2" fillId="0" borderId="0" pivotButton="0" quotePrefix="0" xfId="0"/>
    <xf numFmtId="164" fontId="2" fillId="0" borderId="0" pivotButton="0" quotePrefix="0" xfId="0"/>
    <xf numFmtId="4" fontId="2" fillId="0" borderId="0" pivotButton="0" quotePrefix="0" xfId="0"/>
    <xf numFmtId="1" fontId="1" fillId="0" borderId="0" pivotButton="0" quotePrefix="0" xfId="0"/>
    <xf numFmtId="49" fontId="1" fillId="0" borderId="0" pivotButton="0" quotePrefix="0" xfId="0"/>
    <xf numFmtId="164" fontId="1" fillId="0" borderId="0" pivotButton="0" quotePrefix="0" xfId="0"/>
    <xf numFmtId="0" fontId="1" fillId="0" borderId="0" pivotButton="0" quotePrefix="0" xfId="0"/>
    <xf numFmtId="4" fontId="1" fillId="0" borderId="0" pivotButton="0" quotePrefix="0" xfId="0"/>
    <xf numFmtId="0" fontId="2" fillId="0" borderId="1" pivotButton="0" quotePrefix="0" xfId="0"/>
    <xf numFmtId="49" fontId="1" fillId="0" borderId="0" applyAlignment="1" pivotButton="0" quotePrefix="0" xfId="0">
      <alignment wrapText="1"/>
    </xf>
    <xf numFmtId="49" fontId="2" fillId="0" borderId="0" applyAlignment="1" pivotButton="0" quotePrefix="0" xfId="0">
      <alignment wrapText="1"/>
    </xf>
    <xf numFmtId="164" fontId="1" fillId="0" borderId="1" applyAlignment="1" pivotButton="0" quotePrefix="0" xfId="0">
      <alignment horizontal="left" vertical="center" wrapText="1"/>
    </xf>
    <xf numFmtId="4" fontId="1" fillId="0" borderId="1" applyAlignment="1" pivotButton="0" quotePrefix="0" xfId="0">
      <alignment horizontal="left" vertical="center" wrapText="1"/>
    </xf>
    <xf numFmtId="4" fontId="1" fillId="2" borderId="1" applyAlignment="1" pivotButton="0" quotePrefix="0" xfId="0">
      <alignment horizontal="left" vertical="center" wrapText="1"/>
    </xf>
    <xf numFmtId="1" fontId="1" fillId="2" borderId="1" applyAlignment="1" pivotButton="0" quotePrefix="0" xfId="0">
      <alignment horizontal="left" wrapText="1"/>
    </xf>
    <xf numFmtId="49" fontId="1" fillId="2" borderId="1" applyAlignment="1" pivotButton="0" quotePrefix="0" xfId="0">
      <alignment horizontal="left" vertical="center" wrapText="1"/>
    </xf>
    <xf numFmtId="164" fontId="1" fillId="2" borderId="1" applyAlignment="1" pivotButton="0" quotePrefix="0" xfId="0">
      <alignment horizontal="left" vertical="center" wrapText="1"/>
    </xf>
    <xf numFmtId="0" fontId="2" fillId="0" borderId="0" applyAlignment="1" pivotButton="0" quotePrefix="0" xfId="0">
      <alignment horizontal="left"/>
    </xf>
    <xf numFmtId="0" fontId="1" fillId="0" borderId="0" applyAlignment="1" pivotButton="0" quotePrefix="0" xfId="0">
      <alignment wrapText="1"/>
    </xf>
    <xf numFmtId="4" fontId="1" fillId="0" borderId="1" applyAlignment="1" pivotButton="0" quotePrefix="0" xfId="0">
      <alignment wrapText="1"/>
    </xf>
    <xf numFmtId="2" fontId="1" fillId="0" borderId="1" applyAlignment="1" pivotButton="0" quotePrefix="0" xfId="0">
      <alignment wrapText="1"/>
    </xf>
    <xf numFmtId="4" fontId="2" fillId="0" borderId="1" pivotButton="0" quotePrefix="0" xfId="0"/>
    <xf numFmtId="3" fontId="2" fillId="0" borderId="1" applyAlignment="1" pivotButton="0" quotePrefix="0" xfId="0">
      <alignment wrapText="1"/>
    </xf>
    <xf numFmtId="1" fontId="2" fillId="0" borderId="0" applyAlignment="1" pivotButton="0" quotePrefix="0" xfId="0">
      <alignment wrapText="1"/>
    </xf>
    <xf numFmtId="164" fontId="2" fillId="0" borderId="0" applyAlignment="1" pivotButton="0" quotePrefix="0" xfId="0">
      <alignment wrapText="1"/>
    </xf>
    <xf numFmtId="3" fontId="2" fillId="0" borderId="0" applyAlignment="1" pivotButton="0" quotePrefix="0" xfId="0">
      <alignment wrapText="1"/>
    </xf>
    <xf numFmtId="0" fontId="2" fillId="0" borderId="0" applyAlignment="1" pivotButton="0" quotePrefix="0" xfId="0">
      <alignment wrapText="1"/>
    </xf>
    <xf numFmtId="1" fontId="1" fillId="0" borderId="0" applyAlignment="1" pivotButton="0" quotePrefix="0" xfId="0">
      <alignment wrapText="1"/>
    </xf>
    <xf numFmtId="164" fontId="1" fillId="0" borderId="0" applyAlignment="1" pivotButton="0" quotePrefix="0" xfId="0">
      <alignment wrapText="1"/>
    </xf>
    <xf numFmtId="3" fontId="1" fillId="0" borderId="0" applyAlignment="1" pivotButton="0" quotePrefix="0" xfId="0">
      <alignment wrapText="1"/>
    </xf>
    <xf numFmtId="1" fontId="1" fillId="0" borderId="1" applyAlignment="1" pivotButton="0" quotePrefix="0" xfId="0">
      <alignment horizontal="left" textRotation="90" wrapText="1"/>
    </xf>
    <xf numFmtId="1" fontId="1" fillId="3" borderId="1" applyAlignment="1" pivotButton="0" quotePrefix="0" xfId="0">
      <alignment horizontal="left" textRotation="90" wrapText="1"/>
    </xf>
    <xf numFmtId="49" fontId="1" fillId="3" borderId="1" applyAlignment="1" pivotButton="0" quotePrefix="0" xfId="0">
      <alignment horizontal="left" vertical="center" wrapText="1"/>
    </xf>
    <xf numFmtId="4" fontId="1" fillId="3" borderId="1" applyAlignment="1" pivotButton="0" quotePrefix="0" xfId="0">
      <alignment horizontal="left" vertical="center" wrapText="1"/>
    </xf>
    <xf numFmtId="49" fontId="1" fillId="0" borderId="9" applyAlignment="1" pivotButton="0" quotePrefix="0" xfId="0">
      <alignment horizontal="center" vertical="center" wrapText="1"/>
    </xf>
    <xf numFmtId="4" fontId="1" fillId="0" borderId="1" applyAlignment="1" pivotButton="0" quotePrefix="0" xfId="0">
      <alignment horizontal="center" vertical="center" wrapText="1"/>
    </xf>
    <xf numFmtId="4" fontId="1" fillId="0" borderId="9" applyAlignment="1" pivotButton="0" quotePrefix="0" xfId="0">
      <alignment horizontal="center" vertical="center" wrapText="1"/>
    </xf>
    <xf numFmtId="4" fontId="2" fillId="0" borderId="0" applyAlignment="1" pivotButton="0" quotePrefix="0" xfId="0">
      <alignment wrapText="1"/>
    </xf>
    <xf numFmtId="0" fontId="2" fillId="0" borderId="13" applyAlignment="1" pivotButton="0" quotePrefix="0" xfId="0">
      <alignment wrapText="1"/>
    </xf>
    <xf numFmtId="1" fontId="2" fillId="0" borderId="14" applyAlignment="1" pivotButton="0" quotePrefix="0" xfId="0">
      <alignment wrapText="1"/>
    </xf>
    <xf numFmtId="0" fontId="2" fillId="0" borderId="11" applyAlignment="1" pivotButton="0" quotePrefix="0" xfId="0">
      <alignment wrapText="1"/>
    </xf>
    <xf numFmtId="1" fontId="2" fillId="0" borderId="15" applyAlignment="1" pivotButton="0" quotePrefix="0" xfId="0">
      <alignment wrapText="1"/>
    </xf>
    <xf numFmtId="164" fontId="2" fillId="0" borderId="9" applyAlignment="1" pivotButton="0" quotePrefix="0" xfId="0">
      <alignment wrapText="1"/>
    </xf>
    <xf numFmtId="3" fontId="2" fillId="0" borderId="9" applyAlignment="1" pivotButton="0" quotePrefix="0" xfId="0">
      <alignment wrapText="1"/>
    </xf>
    <xf numFmtId="49" fontId="2" fillId="0" borderId="9" applyAlignment="1" pivotButton="0" quotePrefix="0" xfId="0">
      <alignment wrapText="1"/>
    </xf>
    <xf numFmtId="4" fontId="2" fillId="0" borderId="9" applyAlignment="1" pivotButton="0" quotePrefix="0" xfId="0">
      <alignment wrapText="1"/>
    </xf>
    <xf numFmtId="0" fontId="2" fillId="0" borderId="12" applyAlignment="1" pivotButton="0" quotePrefix="0" xfId="0">
      <alignment wrapText="1"/>
    </xf>
    <xf numFmtId="164" fontId="2" fillId="0" borderId="14" applyAlignment="1" pivotButton="0" quotePrefix="0" xfId="0">
      <alignment wrapText="1"/>
    </xf>
    <xf numFmtId="164" fontId="2" fillId="0" borderId="15" applyAlignment="1" pivotButton="0" quotePrefix="0" xfId="0">
      <alignment wrapText="1"/>
    </xf>
    <xf numFmtId="4" fontId="3" fillId="0" borderId="1" applyAlignment="1" pivotButton="0" quotePrefix="0" xfId="0">
      <alignment wrapText="1"/>
    </xf>
    <xf numFmtId="4" fontId="5" fillId="0" borderId="1" applyAlignment="1" pivotButton="0" quotePrefix="0" xfId="0">
      <alignment wrapText="1"/>
    </xf>
    <xf numFmtId="1" fontId="2" fillId="0" borderId="0" applyAlignment="1" pivotButton="0" quotePrefix="0" xfId="0">
      <alignment horizontal="right"/>
    </xf>
    <xf numFmtId="4" fontId="6" fillId="0" borderId="0" pivotButton="0" quotePrefix="0" xfId="0"/>
    <xf numFmtId="0" fontId="2" fillId="4" borderId="1" pivotButton="0" quotePrefix="0" xfId="0"/>
    <xf numFmtId="0" fontId="2" fillId="0" borderId="2" applyAlignment="1" pivotButton="0" quotePrefix="0" xfId="0">
      <alignment vertical="top" wrapText="1"/>
    </xf>
    <xf numFmtId="0" fontId="2" fillId="0" borderId="16" applyAlignment="1" pivotButton="0" quotePrefix="0" xfId="0">
      <alignment vertical="top" wrapText="1"/>
    </xf>
    <xf numFmtId="0" fontId="2" fillId="0" borderId="2" applyAlignment="1" pivotButton="0" quotePrefix="0" xfId="0">
      <alignment wrapText="1"/>
    </xf>
    <xf numFmtId="0" fontId="2" fillId="0" borderId="16" applyAlignment="1" pivotButton="0" quotePrefix="0" xfId="0">
      <alignment wrapText="1"/>
    </xf>
    <xf numFmtId="49" fontId="2" fillId="0" borderId="1" applyAlignment="1" pivotButton="0" quotePrefix="0" xfId="0">
      <alignment horizontal="center" wrapText="1"/>
    </xf>
    <xf numFmtId="165" fontId="2" fillId="0" borderId="1" applyAlignment="1" pivotButton="0" quotePrefix="0" xfId="0">
      <alignment wrapText="1"/>
    </xf>
    <xf numFmtId="165" fontId="1" fillId="3" borderId="1" applyAlignment="1" pivotButton="0" quotePrefix="0" xfId="0">
      <alignment horizontal="left" vertical="center" wrapText="1"/>
    </xf>
    <xf numFmtId="165" fontId="1" fillId="0" borderId="0" pivotButton="0" quotePrefix="0" xfId="0"/>
    <xf numFmtId="165" fontId="2" fillId="0" borderId="0" pivotButton="0" quotePrefix="0" xfId="0"/>
    <xf numFmtId="165" fontId="2" fillId="0" borderId="1" applyAlignment="1" pivotButton="0" quotePrefix="0" xfId="0">
      <alignment horizontal="center" wrapText="1"/>
    </xf>
    <xf numFmtId="49" fontId="2" fillId="5" borderId="1" applyAlignment="1" pivotButton="0" quotePrefix="0" xfId="0">
      <alignment wrapText="1"/>
    </xf>
    <xf numFmtId="49" fontId="2" fillId="5" borderId="1" applyAlignment="1" pivotButton="0" quotePrefix="0" xfId="0">
      <alignment horizontal="center" wrapText="1"/>
    </xf>
    <xf numFmtId="165" fontId="2" fillId="5" borderId="1" applyAlignment="1" pivotButton="0" quotePrefix="0" xfId="0">
      <alignment horizontal="center" wrapText="1"/>
    </xf>
    <xf numFmtId="1" fontId="2" fillId="5" borderId="1" applyAlignment="1" pivotButton="0" quotePrefix="0" xfId="0">
      <alignment wrapText="1"/>
    </xf>
    <xf numFmtId="4" fontId="2" fillId="5" borderId="1" applyAlignment="1" pivotButton="0" quotePrefix="0" xfId="0">
      <alignment wrapText="1"/>
    </xf>
    <xf numFmtId="4" fontId="7" fillId="0" borderId="1" applyAlignment="1" pivotButton="0" quotePrefix="0" xfId="0">
      <alignment wrapText="1"/>
    </xf>
    <xf numFmtId="49" fontId="1" fillId="0" borderId="0" applyAlignment="1" pivotButton="0" quotePrefix="0" xfId="0">
      <alignment horizontal="center" vertical="center" wrapText="1"/>
    </xf>
    <xf numFmtId="4" fontId="1" fillId="0" borderId="0" applyAlignment="1" pivotButton="0" quotePrefix="0" xfId="0">
      <alignment horizontal="center" vertical="center" wrapText="1"/>
    </xf>
    <xf numFmtId="1" fontId="8" fillId="3" borderId="1" applyAlignment="1" pivotButton="0" quotePrefix="0" xfId="0">
      <alignment horizontal="left" textRotation="90" wrapText="1"/>
    </xf>
    <xf numFmtId="1" fontId="4" fillId="0" borderId="1" applyAlignment="1" pivotButton="0" quotePrefix="0" xfId="0">
      <alignment wrapText="1"/>
    </xf>
    <xf numFmtId="1" fontId="4" fillId="0" borderId="0" pivotButton="0" quotePrefix="0" xfId="0"/>
    <xf numFmtId="164" fontId="2" fillId="0" borderId="0" applyAlignment="1" pivotButton="0" quotePrefix="0" xfId="0">
      <alignment horizontal="right" wrapText="1"/>
    </xf>
    <xf numFmtId="4" fontId="2" fillId="5" borderId="1" applyAlignment="1" pivotButton="0" quotePrefix="0" xfId="0">
      <alignment horizontal="right" wrapText="1"/>
    </xf>
    <xf numFmtId="49" fontId="2" fillId="0" borderId="1" pivotButton="0" quotePrefix="0" xfId="0"/>
    <xf numFmtId="166" fontId="2" fillId="0" borderId="1" applyAlignment="1" pivotButton="0" quotePrefix="0" xfId="0">
      <alignment wrapText="1"/>
    </xf>
    <xf numFmtId="14" fontId="2" fillId="0" borderId="1" applyAlignment="1" pivotButton="0" quotePrefix="0" xfId="0">
      <alignment horizontal="left" wrapText="1"/>
    </xf>
    <xf numFmtId="164" fontId="2" fillId="0" borderId="1" applyAlignment="1" pivotButton="0" quotePrefix="0" xfId="0">
      <alignment horizontal="left" wrapText="1"/>
    </xf>
    <xf numFmtId="164" fontId="2" fillId="0" borderId="14" applyAlignment="1" pivotButton="0" quotePrefix="0" xfId="0">
      <alignment horizontal="left" vertical="center" wrapText="1"/>
    </xf>
    <xf numFmtId="164" fontId="10" fillId="0" borderId="14" applyAlignment="1" pivotButton="0" quotePrefix="0" xfId="0">
      <alignment horizontal="left" vertical="center" wrapText="1"/>
    </xf>
    <xf numFmtId="164" fontId="2" fillId="0" borderId="14" applyAlignment="1" pivotButton="0" quotePrefix="0" xfId="0">
      <alignment horizontal="center" vertical="center" wrapText="1"/>
    </xf>
    <xf numFmtId="49" fontId="2" fillId="0" borderId="1" applyAlignment="1" pivotButton="0" quotePrefix="0" xfId="0">
      <alignment horizontal="center" vertical="center" wrapText="1"/>
    </xf>
    <xf numFmtId="49" fontId="13" fillId="0" borderId="1" applyAlignment="1" pivotButton="0" quotePrefix="0" xfId="0">
      <alignment horizontal="center" vertical="center" wrapText="1"/>
    </xf>
    <xf numFmtId="164" fontId="4" fillId="0" borderId="1" applyAlignment="1" pivotButton="0" quotePrefix="0" xfId="0">
      <alignment horizontal="left" wrapText="1"/>
    </xf>
    <xf numFmtId="164" fontId="1" fillId="0" borderId="0" applyAlignment="1" pivotButton="0" quotePrefix="0" xfId="0">
      <alignment horizontal="left"/>
    </xf>
    <xf numFmtId="164" fontId="2" fillId="0" borderId="0" applyAlignment="1" pivotButton="0" quotePrefix="0" xfId="0">
      <alignment horizontal="left"/>
    </xf>
    <xf numFmtId="49" fontId="2" fillId="0" borderId="1" applyAlignment="1" pivotButton="0" quotePrefix="0" xfId="0">
      <alignment horizontal="left" wrapText="1"/>
    </xf>
    <xf numFmtId="49" fontId="12" fillId="0" borderId="1" applyAlignment="1" pivotButton="0" quotePrefix="0" xfId="0">
      <alignment horizontal="center" vertical="center" wrapText="1"/>
    </xf>
    <xf numFmtId="49" fontId="4" fillId="0" borderId="1" applyAlignment="1" pivotButton="0" quotePrefix="0" xfId="0">
      <alignment wrapText="1"/>
    </xf>
    <xf numFmtId="49" fontId="2" fillId="0" borderId="20" applyAlignment="1" pivotButton="0" quotePrefix="0" xfId="0">
      <alignment horizontal="center" wrapText="1"/>
    </xf>
    <xf numFmtId="49" fontId="2" fillId="0" borderId="21" applyAlignment="1" pivotButton="0" quotePrefix="0" xfId="0">
      <alignment horizontal="center" wrapText="1"/>
    </xf>
    <xf numFmtId="49" fontId="2" fillId="0" borderId="22" applyAlignment="1" pivotButton="0" quotePrefix="0" xfId="0">
      <alignment horizontal="center" wrapText="1"/>
    </xf>
    <xf numFmtId="4" fontId="4" fillId="0" borderId="1" applyAlignment="1" pivotButton="0" quotePrefix="0" xfId="0">
      <alignment wrapText="1"/>
    </xf>
    <xf numFmtId="49" fontId="2" fillId="0" borderId="0" applyAlignment="1" pivotButton="0" quotePrefix="0" xfId="0">
      <alignment horizontal="center"/>
    </xf>
    <xf numFmtId="0" fontId="2" fillId="0" borderId="17" applyAlignment="1" pivotButton="0" quotePrefix="0" xfId="0">
      <alignment horizontal="left" vertical="center"/>
    </xf>
    <xf numFmtId="4" fontId="2" fillId="0" borderId="17" applyAlignment="1" pivotButton="0" quotePrefix="0" xfId="0">
      <alignment horizontal="right" vertical="center"/>
    </xf>
    <xf numFmtId="1" fontId="2" fillId="0" borderId="1" pivotButton="0" quotePrefix="0" xfId="0"/>
    <xf numFmtId="49" fontId="2" fillId="0" borderId="1" applyAlignment="1" pivotButton="0" quotePrefix="0" xfId="0">
      <alignment horizontal="center"/>
    </xf>
    <xf numFmtId="164" fontId="2" fillId="0" borderId="1" applyAlignment="1" pivotButton="0" quotePrefix="0" xfId="0">
      <alignment horizontal="right" wrapText="1"/>
    </xf>
    <xf numFmtId="165" fontId="2" fillId="0" borderId="1" pivotButton="0" quotePrefix="0" xfId="0"/>
    <xf numFmtId="164" fontId="1" fillId="2" borderId="1" applyAlignment="1" pivotButton="0" quotePrefix="0" xfId="0">
      <alignment horizontal="right" vertical="center" wrapText="1"/>
    </xf>
    <xf numFmtId="14" fontId="2" fillId="0" borderId="1" applyAlignment="1" pivotButton="0" quotePrefix="0" xfId="0">
      <alignment horizontal="right" wrapText="1"/>
    </xf>
    <xf numFmtId="164" fontId="1" fillId="0" borderId="0" applyAlignment="1" pivotButton="0" quotePrefix="0" xfId="0">
      <alignment horizontal="right"/>
    </xf>
    <xf numFmtId="164" fontId="2" fillId="0" borderId="0" applyAlignment="1" pivotButton="0" quotePrefix="0" xfId="0">
      <alignment horizontal="right"/>
    </xf>
    <xf numFmtId="4" fontId="3" fillId="6" borderId="1" applyAlignment="1" pivotButton="0" quotePrefix="0" xfId="0">
      <alignment wrapText="1"/>
    </xf>
    <xf numFmtId="4" fontId="2" fillId="6" borderId="1" applyAlignment="1" pivotButton="0" quotePrefix="0" xfId="0">
      <alignment wrapText="1"/>
    </xf>
    <xf numFmtId="1" fontId="2" fillId="6" borderId="1" applyAlignment="1" pivotButton="0" quotePrefix="0" xfId="0">
      <alignment wrapText="1"/>
    </xf>
    <xf numFmtId="49" fontId="2" fillId="6" borderId="1" applyAlignment="1" pivotButton="0" quotePrefix="0" xfId="0">
      <alignment wrapText="1"/>
    </xf>
    <xf numFmtId="164" fontId="2" fillId="5" borderId="1" applyAlignment="1" pivotButton="0" quotePrefix="0" xfId="0">
      <alignment wrapText="1"/>
    </xf>
    <xf numFmtId="164" fontId="2" fillId="5" borderId="1" applyAlignment="1" pivotButton="0" quotePrefix="0" xfId="0">
      <alignment horizontal="left" wrapText="1"/>
    </xf>
    <xf numFmtId="165" fontId="3" fillId="0" borderId="1" applyAlignment="1" pivotButton="0" quotePrefix="0" xfId="0">
      <alignment horizontal="center" wrapText="1"/>
    </xf>
    <xf numFmtId="49" fontId="3" fillId="0" borderId="1" applyAlignment="1" pivotButton="0" quotePrefix="0" xfId="0">
      <alignment horizontal="center" wrapText="1"/>
    </xf>
    <xf numFmtId="165" fontId="3" fillId="0" borderId="1" applyAlignment="1" pivotButton="0" quotePrefix="0" xfId="0">
      <alignment wrapText="1"/>
    </xf>
    <xf numFmtId="165" fontId="2" fillId="0" borderId="28" applyAlignment="1" pivotButton="0" quotePrefix="0" xfId="0">
      <alignment wrapText="1"/>
    </xf>
    <xf numFmtId="49" fontId="2" fillId="0" borderId="1" applyAlignment="1" pivotButton="0" quotePrefix="0" xfId="0">
      <alignment horizontal="left"/>
    </xf>
    <xf numFmtId="49" fontId="2" fillId="0" borderId="0" applyAlignment="1" pivotButton="0" quotePrefix="0" xfId="0">
      <alignment horizontal="center" wrapText="1"/>
    </xf>
    <xf numFmtId="1" fontId="4" fillId="0" borderId="1" pivotButton="0" quotePrefix="0" xfId="0"/>
    <xf numFmtId="49" fontId="2" fillId="0" borderId="1" applyAlignment="1" pivotButton="0" quotePrefix="0" xfId="0">
      <alignment vertical="top" wrapText="1"/>
    </xf>
    <xf numFmtId="49" fontId="2" fillId="5" borderId="1" applyAlignment="1" pivotButton="0" quotePrefix="0" xfId="0">
      <alignment vertical="top" wrapText="1"/>
    </xf>
    <xf numFmtId="49" fontId="2" fillId="0" borderId="0" applyAlignment="1" pivotButton="0" quotePrefix="0" xfId="0">
      <alignment vertical="top" wrapText="1"/>
    </xf>
    <xf numFmtId="49" fontId="2" fillId="0" borderId="0" applyAlignment="1" pivotButton="0" quotePrefix="0" xfId="0">
      <alignment vertical="top"/>
    </xf>
    <xf numFmtId="0" fontId="2" fillId="0" borderId="1" applyAlignment="1" pivotButton="0" quotePrefix="0" xfId="0">
      <alignment horizontal="center"/>
    </xf>
    <xf numFmtId="0" fontId="2" fillId="0" borderId="0" applyAlignment="1" pivotButton="0" quotePrefix="0" xfId="0">
      <alignment horizontal="center"/>
    </xf>
    <xf numFmtId="0" fontId="1" fillId="0" borderId="0" applyAlignment="1" pivotButton="0" quotePrefix="0" xfId="0">
      <alignment horizontal="center"/>
    </xf>
    <xf numFmtId="164" fontId="10" fillId="0" borderId="1" applyAlignment="1" pivotButton="0" quotePrefix="0" xfId="0">
      <alignment wrapText="1"/>
    </xf>
    <xf numFmtId="49" fontId="1" fillId="3" borderId="1" applyAlignment="1" pivotButton="0" quotePrefix="0" xfId="0">
      <alignment horizontal="center" vertical="center" wrapText="1"/>
    </xf>
    <xf numFmtId="49" fontId="2" fillId="0" borderId="16" pivotButton="0" quotePrefix="0" xfId="0"/>
    <xf numFmtId="167" fontId="0" fillId="0" borderId="0" pivotButton="0" quotePrefix="0" xfId="0"/>
    <xf numFmtId="0" fontId="2" fillId="0" borderId="1" applyAlignment="1" pivotButton="0" quotePrefix="0" xfId="0">
      <alignment wrapText="1"/>
    </xf>
    <xf numFmtId="167" fontId="2" fillId="0" borderId="1" applyAlignment="1" pivotButton="0" quotePrefix="0" xfId="0">
      <alignment wrapText="1"/>
    </xf>
    <xf numFmtId="167" fontId="2" fillId="0" borderId="1" applyAlignment="1" pivotButton="0" quotePrefix="0" xfId="0">
      <alignment horizontal="left" wrapText="1"/>
    </xf>
    <xf numFmtId="0" fontId="2" fillId="0" borderId="1" applyAlignment="1" pivotButton="0" quotePrefix="0" xfId="0">
      <alignment horizontal="left" wrapText="1"/>
    </xf>
    <xf numFmtId="0" fontId="2" fillId="0" borderId="1" applyAlignment="1" pivotButton="0" quotePrefix="0" xfId="0">
      <alignment horizontal="right" wrapText="1"/>
    </xf>
    <xf numFmtId="0" fontId="2" fillId="0" borderId="1" applyAlignment="1" pivotButton="0" quotePrefix="0" xfId="0">
      <alignment horizontal="center" wrapText="1"/>
    </xf>
    <xf numFmtId="4" fontId="2" fillId="0" borderId="1" applyAlignment="1" pivotButton="0" quotePrefix="0" xfId="0">
      <alignment horizontal="right" vertical="center"/>
    </xf>
    <xf numFmtId="0" fontId="0" fillId="0" borderId="17" pivotButton="0" quotePrefix="0" xfId="0"/>
    <xf numFmtId="0" fontId="0" fillId="0" borderId="16" pivotButton="0" quotePrefix="0" xfId="0"/>
    <xf numFmtId="0" fontId="2" fillId="0" borderId="1" applyAlignment="1" pivotButton="0" quotePrefix="0" xfId="0">
      <alignment horizontal="left" vertical="center"/>
    </xf>
    <xf numFmtId="4" fontId="2" fillId="0" borderId="1" applyAlignment="1" pivotButton="0" quotePrefix="0" xfId="0">
      <alignment horizontal="right" vertical="center" wrapText="1"/>
    </xf>
    <xf numFmtId="49" fontId="2" fillId="0" borderId="11" applyAlignment="1" pivotButton="0" quotePrefix="0" xfId="0">
      <alignment horizontal="center" wrapText="1"/>
    </xf>
    <xf numFmtId="0" fontId="0" fillId="0" borderId="21" pivotButton="0" quotePrefix="0" xfId="0"/>
    <xf numFmtId="0" fontId="0" fillId="0" borderId="22" pivotButton="0" quotePrefix="0" xfId="0"/>
    <xf numFmtId="49" fontId="14" fillId="0" borderId="1" applyAlignment="1" pivotButton="0" quotePrefix="0" xfId="0">
      <alignment horizontal="center" vertical="center" wrapText="1"/>
    </xf>
    <xf numFmtId="0" fontId="0" fillId="0" borderId="28" pivotButton="0" quotePrefix="0" xfId="0"/>
    <xf numFmtId="49" fontId="9" fillId="0" borderId="1" applyAlignment="1" pivotButton="0" quotePrefix="0" xfId="0">
      <alignment horizontal="center" vertical="center" wrapText="1"/>
    </xf>
    <xf numFmtId="49" fontId="15" fillId="0" borderId="1" applyAlignment="1" pivotButton="0" quotePrefix="0" xfId="0">
      <alignment horizontal="center" vertical="center" wrapText="1"/>
    </xf>
    <xf numFmtId="49" fontId="12" fillId="0" borderId="1" applyAlignment="1" pivotButton="0" quotePrefix="0" xfId="0">
      <alignment horizontal="center" vertical="center" wrapText="1"/>
    </xf>
    <xf numFmtId="0" fontId="1" fillId="2" borderId="29" applyAlignment="1" pivotButton="0" quotePrefix="0" xfId="0">
      <alignment horizontal="center" vertical="center" wrapText="1"/>
    </xf>
    <xf numFmtId="0" fontId="0" fillId="0" borderId="3" pivotButton="0" quotePrefix="0" xfId="0"/>
    <xf numFmtId="0" fontId="0" fillId="0" borderId="4" pivotButton="0" quotePrefix="0" xfId="0"/>
    <xf numFmtId="1" fontId="1" fillId="0" borderId="15" applyAlignment="1" pivotButton="0" quotePrefix="0" xfId="0">
      <alignment horizontal="center" vertical="center" textRotation="90" wrapText="1"/>
    </xf>
    <xf numFmtId="0" fontId="0" fillId="0" borderId="7" pivotButton="0" quotePrefix="0" xfId="0"/>
    <xf numFmtId="49" fontId="11" fillId="0" borderId="1" applyAlignment="1" pivotButton="0" quotePrefix="0" xfId="0">
      <alignment horizontal="center" vertical="center" wrapText="1"/>
    </xf>
    <xf numFmtId="49" fontId="9" fillId="0" borderId="11" applyAlignment="1" pivotButton="0" quotePrefix="0" xfId="0">
      <alignment horizontal="center" vertical="center" wrapText="1"/>
    </xf>
    <xf numFmtId="49" fontId="1" fillId="0" borderId="1" applyAlignment="1" pivotButton="0" quotePrefix="0" xfId="0">
      <alignment horizontal="center" vertical="center" wrapText="1"/>
    </xf>
    <xf numFmtId="164" fontId="1" fillId="0" borderId="9" applyAlignment="1" pivotButton="0" quotePrefix="0" xfId="0">
      <alignment horizontal="center" vertical="center" wrapText="1"/>
    </xf>
    <xf numFmtId="0" fontId="0" fillId="0" borderId="8" pivotButton="0" quotePrefix="0" xfId="0"/>
    <xf numFmtId="3" fontId="1" fillId="0" borderId="9" applyAlignment="1" pivotButton="0" quotePrefix="0" xfId="0">
      <alignment horizontal="center" vertical="center" textRotation="90" wrapText="1"/>
    </xf>
    <xf numFmtId="0" fontId="1" fillId="3" borderId="29" applyAlignment="1" pivotButton="0" quotePrefix="0" xfId="0">
      <alignment horizontal="center" vertical="center" wrapText="1"/>
    </xf>
    <xf numFmtId="49" fontId="1" fillId="0" borderId="9" applyAlignment="1" pivotButton="0" quotePrefix="0" xfId="0">
      <alignment horizontal="center" vertical="center" wrapText="1"/>
    </xf>
    <xf numFmtId="0" fontId="1" fillId="0" borderId="6"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6" pivotButton="0" quotePrefix="0" xfId="0"/>
    <xf numFmtId="0" fontId="1" fillId="0" borderId="0" pivotButton="0" quotePrefix="0" xfId="0"/>
    <xf numFmtId="0" fontId="0" fillId="0" borderId="27" pivotButton="0" quotePrefix="0" xfId="0"/>
    <xf numFmtId="49" fontId="1" fillId="0" borderId="2" applyAlignment="1" pivotButton="0" quotePrefix="0" xfId="0">
      <alignment horizontal="center" vertical="center" wrapText="1"/>
    </xf>
    <xf numFmtId="164" fontId="1" fillId="0" borderId="5" applyAlignment="1" pivotButton="0" quotePrefix="0" xfId="0">
      <alignment horizontal="center" vertical="center" wrapText="1"/>
    </xf>
    <xf numFmtId="0" fontId="0" fillId="0" borderId="25" pivotButton="0" quotePrefix="0" xfId="0"/>
    <xf numFmtId="49" fontId="11" fillId="0" borderId="11" applyAlignment="1" pivotButton="0" quotePrefix="0" xfId="0">
      <alignment horizontal="center" vertical="center" wrapText="1"/>
    </xf>
    <xf numFmtId="1" fontId="1" fillId="0" borderId="12" applyAlignment="1" pivotButton="0" quotePrefix="0" xfId="0">
      <alignment horizontal="center" vertical="center" wrapText="1"/>
    </xf>
    <xf numFmtId="0" fontId="0" fillId="0" borderId="10" pivotButton="0" quotePrefix="0" xfId="0"/>
    <xf numFmtId="49" fontId="2" fillId="0" borderId="12" applyAlignment="1" pivotButton="0" quotePrefix="0" xfId="0">
      <alignment horizontal="center" wrapText="1"/>
    </xf>
    <xf numFmtId="0" fontId="0" fillId="0" borderId="23" pivotButton="0" quotePrefix="0" xfId="0"/>
    <xf numFmtId="0" fontId="0" fillId="0" borderId="24" pivotButton="0" quotePrefix="0" xfId="0"/>
    <xf numFmtId="0" fontId="1" fillId="0" borderId="0" applyAlignment="1" pivotButton="0" quotePrefix="0" xfId="0">
      <alignment horizontal="center" vertical="center" wrapText="1"/>
    </xf>
    <xf numFmtId="164" fontId="1" fillId="0" borderId="0" applyAlignment="1" pivotButton="0" quotePrefix="0" xfId="0">
      <alignment horizontal="center" vertical="center" wrapText="1"/>
    </xf>
    <xf numFmtId="1" fontId="1" fillId="0" borderId="0" applyAlignment="1" pivotButton="0" quotePrefix="0" xfId="0">
      <alignment horizontal="center" vertical="center" wrapText="1"/>
    </xf>
    <xf numFmtId="1" fontId="1" fillId="0" borderId="0" applyAlignment="1" pivotButton="0" quotePrefix="0" xfId="0">
      <alignment horizontal="center" vertical="center" textRotation="90" wrapText="1"/>
    </xf>
    <xf numFmtId="0" fontId="1" fillId="0" borderId="0" applyAlignment="1" pivotButton="0" quotePrefix="0" xfId="0">
      <alignment horizontal="center" wrapText="1"/>
    </xf>
    <xf numFmtId="3" fontId="1" fillId="0" borderId="0" applyAlignment="1" pivotButton="0" quotePrefix="0" xfId="0">
      <alignment horizontal="center" vertical="center" textRotation="90" wrapText="1"/>
    </xf>
    <xf numFmtId="49" fontId="1" fillId="0" borderId="0" applyAlignment="1" pivotButton="0" quotePrefix="0" xfId="0">
      <alignment horizontal="center" vertical="center" wrapText="1"/>
    </xf>
    <xf numFmtId="0" fontId="8" fillId="0" borderId="0" applyAlignment="1" pivotButton="0" quotePrefix="0" xfId="0">
      <alignment horizontal="center" vertical="center" wrapText="1"/>
    </xf>
  </cellXfs>
  <cellStyles count="2">
    <cellStyle name="Normal" xfId="0" builtinId="0"/>
    <cellStyle name="Normale_324399" xfId="1"/>
  </cellStyles>
  <dxfs count="7">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acer1</author>
  </authors>
  <commentList>
    <comment ref="M5" authorId="0" shapeId="0">
      <text>
        <t xml:space="preserve">acer1: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34"/>
  <sheetViews>
    <sheetView view="pageLayout" topLeftCell="A16" zoomScaleNormal="100" workbookViewId="0">
      <selection activeCell="A29" sqref="A29"/>
    </sheetView>
  </sheetViews>
  <sheetFormatPr baseColWidth="10" defaultColWidth="9.1640625" defaultRowHeight="12"/>
  <cols>
    <col width="81" customWidth="1" style="1" min="1" max="1"/>
    <col width="9.1640625" customWidth="1" style="1" min="2" max="2"/>
    <col width="9.1640625" customWidth="1" style="1" min="3" max="16384"/>
  </cols>
  <sheetData>
    <row r="1" ht="39" customHeight="1">
      <c r="A1" s="63" t="inlineStr">
        <is>
          <t>IL FILE "MAGAZZINO BCW" DEVE SEMPRE ESSERE UTILIZZATO OFFLINE TRAMITE MICROSOFT EXCEL PER POI ESSERE RICARICATO ONLINE AGGIORNATO AL TERMINE DELL'AGGIORNAMENTO. MODIFICHE ONLINE CAUSEREBBERO ERRORI DI FORMATTAZIONE CHE COMPROMETTONO L'UTILIZZO DEI FOGLI.</t>
        </is>
      </c>
    </row>
    <row r="2" ht="39" customHeight="1">
      <c r="A2" s="64" t="inlineStr">
        <is>
          <t>THE ‘BCW WAREHOUSE’ FILE MUST ALWAYS BE USED OFFLINE VIA MICROSOFT EXCEL AND THEN RELOADED ONLINE AFTER THE UPDATE IS COMPLETE. ONLINE CHANGES WOULD CAUSE FORMATTING ERRORS THAT WOULD COMPROMISE THE USE OF SHEETS.</t>
        </is>
      </c>
    </row>
    <row r="4">
      <c r="A4" s="174" t="inlineStr">
        <is>
          <t>FOGLIO INVENTARIO - INVENTORY SHEET</t>
        </is>
      </c>
    </row>
    <row r="5" ht="39" customHeight="1">
      <c r="A5" s="63" t="inlineStr">
        <is>
          <t>IL FOGLIO "INVENTARIO" SERVE PER INSERIRE LE CATEGORIE DI PRODOTTI ASCRIVIBILI AL MAGAZZINO. QUANDO SI INERISCE UNA NUOVA CATEGORIA BISOGNA TRASCINARE ANCHE LE RELATIVE FORMULE (COLONNE "COSTO - COSTO IMBALLO - COSTO COMPLESSIVO") PER IL CALCOLO DEI TOTALI DEI BENI PRESENTI IN MAGAZZINO CHE FANNO CAPO A TALE CATEGORIA.</t>
        </is>
      </c>
    </row>
    <row r="6" ht="39" customHeight="1">
      <c r="A6" s="64" t="inlineStr">
        <is>
          <t>THE ‘INVENTORY’ SHEET IS USED TO ENTER THE CATEGORIES OF PRODUCTS IN THE WAREHOUSE. WHEN YOU ENTER A NEW CATEGORY, YOU MUST ALSO DRAG AND DROP THE RELEVANT FORMULAS (COLUMNS ‘COST - PACKAGING COST - TOTAL COST’) TO CALCULATE THE TOTALS OF THE GOODS IN THE WAREHOUSE THAT BELONG TO THAT CATEGORY.</t>
        </is>
      </c>
    </row>
    <row r="8">
      <c r="A8" s="174" t="inlineStr">
        <is>
          <t>FOGLIO MAGAZZINO - WAREHOUSE SHEET</t>
        </is>
      </c>
    </row>
    <row r="9" ht="117" customHeight="1">
      <c r="A9" s="63" t="inlineStr">
        <is>
          <t>IL FOGLIO "MAGAZZINO" SERVE PER L'INSERIMENTO DEI SINGOLI BENI ACQUISTATO, I QUALI VANNO INSERITI SCEGLIENDO SEMPRE TRA LE TIPOLOGIE PROPOSTE CON MENU A TENDINA. L'INSERIMENTO DI UN ARMA CON NUMERO DI MATRICOLA, LA QUALE DEVE TRANSITARE DAL REGISTRO DI CARICO-SCARICO, DEVE AVVENIRE INDICANDO UN NUMERO OPERAZIONE PROGRESSIVO E IN ORDINE PER DATA DI CARICO. LA DATA DI CARICO E' LA DATA IN CUI EFFETTIVAMENTE UN ARMA ARRIVA PRESSO IL MAGAZZINO DI GARDONE VAL TROMPIA, E QUESTA DATA PUO' DIFFERIRE DALLA DATA DEL DDT E DALLA DATA DELLA FATTURA. LA DATA DI CARICO DEVE QUINDI ESSERE COMUNICATA DA CHI STA A GARDONE VAL TROMPIA A CHI INSERISCE I DATI. LA REGOLA PIU' IMPORTANTE E' QUELLA DI SEGUIRE UN NUMERO PROGRESSIVO (N. OPERAZIONE)CHE RISPETTI CRONOLOGICAMENTE LE DATE DI CARICO POICHE' IN QUESTO MODO IL REGISTRO DI CARICO SI COMPILERA' AUTOMATICAMENTE SENZA ERRORI E SENZA NECESSITA' DI MODIFICARE A MANO ALCUNA CELLA.</t>
        </is>
      </c>
    </row>
    <row r="10" ht="117" customHeight="1">
      <c r="A10" s="64" t="inlineStr">
        <is>
          <t>THE ‘’WAREHOUSE‘’ SHEET IS USED FOR THE ENTRY OF INDIVIDUAL PURCHASED GOODS, WHICH MUST ALWAYS BE ENTERED BY CHOOSING FROM THE TYPES PROPOSED IN THE DROP-DOWN MENU. THE ENTRY OF A FIREARM WITH A SERIAL NUMBER, WHICH MUST PASS THROUGH THE LOADING-UNLOADING REGISTER, MUST BE MADE BY INDICATING A PROGRESSIVE OPERATION NUMBER AND IN ORDER BY LOADING DATE. THE LOADING DATE IS THE DATE ON WHICH A FIREARM ACTUALLY ARRIVES AT THE GARDONE VAL TROMPIA WAREHOUSE, AND THIS DATE MAY DIFFER FROM THE DATE OF THE DDT AND THE DATE OF THE INVOICE. THE LOADING DATE MUST THEREFORE BE COMMUNICATED BY THE PERSON IN GARDONE VAL TROMPIA TO THE PERSON ENTERING THE DATA. THE MOST IMPORTANT RULE IS TO FOLLOW A PROGRESSIVE NUMBER (OPERATION NO.) THAT CHRONOLOGICALLY RESPECTS THE LOADING DATES BECAUSE IN THIS WAY THE LOADING REGISTER WILL BE AUTOMATICALLY FILLED IN WITHOUT ERRORS AND WITHOUT THE NEED TO MODIFY ANY CELL BY HAND.</t>
        </is>
      </c>
    </row>
    <row r="11" ht="78" customHeight="1">
      <c r="A11" s="63" t="inlineStr">
        <is>
          <t xml:space="preserve">NON E' UN PROBLEMA PRECARICARE A MAGAZZINO DEI BENI ACQUISTATI E NON ANCORA RICEVUTI: INFATTI E' POSSIBILE INSERIRE A MAGAZZINO QUESTI BENI E ANDARE A REGISTRARE IL "N. OPERAZIONE" E LA DATA DI CARICO SOLO IL GIORNO DI EFFETTIVA CONSEGNA; IN QUESTO MODO IL REGISTRO DI CARICO SI COMPILERA' AUTOMATICAMENTE SOLO AL MOMENTO DELL'INDICAZIONE DEL N. OPERAZIONE E DELLA DATA DI EFFETTIVO INGRESSO DEI BENI. PER MANTENERE POI UN ORDINE CRONOLOGICO ANCHE NEL FOGLIO "MAGAZZINO" SARA' POI POSSIBILE TAGLIARE LE RIGHE COSE' AGGIORNATE E INSERIRLE CONSECUTIVAMENTE NEL RISPETTO DELLA CRONOLOGIA DELLE DATE DI CARICO. </t>
        </is>
      </c>
    </row>
    <row r="12" ht="78" customHeight="1">
      <c r="A12" s="64" t="inlineStr">
        <is>
          <t xml:space="preserve">IT IS NOT A PROBLEM TO PRE-LOAD IN THE WAREHOUSE GOODS PURCHASED AND NOT YET RECEIVED: IN FACT, IT IS POSSIBLE TO ENTER THESE GOODS IN THE WAREHOUSE AND GO TO RECORD THE ‘OPERATION NO.’ AND THE LOADING DATE ONLY ON THE DAY OF ACTUAL DELIVERY; IN THIS WAY, THE LOADING REGISTER WILL BE AUTOMATICALLY FILLED IN ONLY WHEN THE OPERATION NO. AND THE DATE OF ACTUAL ENTRY OF THE GOODS ARE ENTERED. IN ORDER TO MAINTAIN A CHRONOLOGICAL ORDER EVEN IN THE ‘WAREHOUSE’ SHEET, IT WILL THEN BE POSSIBLE TO CUT THE UPDATED ROWS AND ENTER THEM CONSECUTIVELY IN ACCORDANCE WITH THE CHRONOLOGY OF THE LOADING DATES. </t>
        </is>
      </c>
    </row>
    <row r="13" ht="65" customHeight="1">
      <c r="A13" s="63" t="inlineStr">
        <is>
          <t>I BENI ACQUISTATI NON DOTATI DI MATRICOLA E NON CONSIDERATI COME "ARMI" (RICAMBI, ACCESSORI, ECC.) DEVONO ESSERE INSERITI CON LE STESSE REGOLE SOPRA DESCRITTE PER LE ARMI, AD ECCEZIONE PER L'INDICAZIONE DEL "N. OPERAZIONE", CAMPO CHE DEVE ESSERE LASCIATO VUOTO. IN QUESTO MODO QUESTI BENI NON TRANSITERANNO DAL FOGLIO DI CARICO E SCARICO. SI CONSIGLIA COMUNQUE DI INSERIRE LA DATA DI CARICO EFFETTIVA E DI RISPETTARE L'ORDINE CRONOLOGICO DI QUESTE, TAGLIANDO E INSERENDO LE RIGHE AL PUNTO CORRETTO.</t>
        </is>
      </c>
    </row>
    <row r="14" ht="65" customHeight="1">
      <c r="A14" s="64" t="inlineStr">
        <is>
          <t>PURCHASED GOODS THAT DO NOT HAVE A SERIAL NUMBER AND ARE NOT CONSIDERED AS ‘ARMS’ (SPARE PARTS, ACCESSORIES, ETC.) MUST BE ENTERED ACCORDING TO THE SAME RULES DESCRIBED ABOVE FOR ARMS, EXCEPT FOR THE INDICATION OF THE ‘TRANSACTION NO.’, A FIELD WHICH MUST BE LEFT BLANK. IN THIS WAY THESE GOODS WILL NOT PASS THROUGH THE LOADING AND UNLOADING SHEET. HOWEVER, IT IS ADVISABLE TO ENTER THE ACTUAL LOADING DATE AND TO RESPECT THE CHRONOLOGICAL ORDER OF THESE BY CUTTING AND INSERTING THE LINES IN THE CORRECT PLACE.</t>
        </is>
      </c>
    </row>
    <row r="15" ht="39" customHeight="1">
      <c r="A15" s="63" t="inlineStr">
        <is>
          <t>L'INSERIMENTO DEI DATI DEVE SEMPRE ESSERE FATTO MANTENENDO LA FORMATTAZIONE PREIMPOSTATA DELLE CELLE. SE SI INDERISCONO I DATI TRAMITE COPIA-INCOLLA BISOGNA SEMPRE SELEZIONARE L'OPZIONE "INCOLLA SOLO VALORI" O COMUNQUE DI MANTENIMENTO DELLA FORMATTAZIONE DI DESTINAZIONE DELLA CELLA.</t>
        </is>
      </c>
    </row>
    <row r="16" ht="26" customHeight="1">
      <c r="A16" s="64" t="inlineStr">
        <is>
          <t>DATA ENTRY MUST ALWAYS BE DONE WHILE RETAINING THE PRESET CELL FORMATTING. IF YOU INSERT DATA BY COPY-PASTE, YOU MUST ALWAYS SELECT THE OPTION ‘PASTE VALUES ONLY’ OR OTHERWISE RETAIN THE CELL'S TARGET FORMATTING.</t>
        </is>
      </c>
    </row>
    <row r="17" ht="52" customHeight="1">
      <c r="A17" s="63" t="inlineStr">
        <is>
          <t>QUANDO UN BENE VIENE VENDUTO VANNO COMPILATI I DATI RICHIESTE NELLE COLONNE CON I TITOLI IN VERDE RELATIVE AGLI STREMI DELLA VENDITA. QUANDO UN BENE VIENE VENDUTO E' INDISPENSABILE INDICARE IL VALORE "1" NELLA COLONNA "V" (VENDITA) IN MODO DA AZZERARE LA COLONNA "G" (GIACENZA) E IN MODO DA RIMUOVERE IL RELATIVO VALORE DAL MAGAZZINO.</t>
        </is>
      </c>
    </row>
    <row r="18" ht="39" customHeight="1">
      <c r="A18" s="64" t="inlineStr">
        <is>
          <t>WHEN AN ASSET IS SOLD, THE DATA REQUIRED IN THE COLUMNS WITH THE TITLES IN GREEN RELATING TO THE SALE'S END MUST BE FILLED IN. WHEN AN ASSET IS SOLD, IT IS ESSENTIAL TO ENTER THE VALUE ‘1’ IN COLUMN ‘V’ (SALE) IN ORDER TO SET COLUMN ‘G’ (STOCK) TO ZERO AND TO REMOVE THE ASSOCIATED VALUE FROM THE STOCK.</t>
        </is>
      </c>
    </row>
    <row r="19" ht="26" customHeight="1">
      <c r="A19" s="63" t="inlineStr">
        <is>
          <t>LE INFORMAZIONI RELATIVE ALLA VENDITA NON SI TRASFERISCONO AL REGISTRO DI CARICO E SCARICO CHE ANDRA' COMPILATO A MANO SULLA COPIA CARTACEA PER QUANTO ATTIENE ALLO SCARICO.</t>
        </is>
      </c>
    </row>
    <row r="20" ht="26" customHeight="1">
      <c r="A20" s="64" t="inlineStr">
        <is>
          <t>THE INFORMATION ON THE SALE DOES NOT TRANSFER TO THE LOADING AND UNLOADING REGISTER, WHICH IS TO BE FILLED IN BY HAND ON THE HARD COPY AS FAR AS THE UNLOADING IS CONCERNED.</t>
        </is>
      </c>
    </row>
    <row r="21" ht="39" customHeight="1">
      <c r="A21" s="63" t="inlineStr">
        <is>
          <t>HO CREATO CIRCA MILLE RIGHE DISPONIBILI NASCOSTE A GRUPPI DI 100 DA SCOPRIRE MAN MANO CHE SERVONO. PRIMA DI TERMINARE LE RIGHE A DISPOSIZIONE SARA' NECESSARIO AGGIUNGERE DELLE RIGHE INSERENDOLE SEMPRE PRIMA DELL'ULTIMA RIGA, TRASCINDANDO LE RIGHE GIA' PREDISPOSTE PER LA COPIA DELLE FORMULE.</t>
        </is>
      </c>
    </row>
    <row r="22" ht="39" customHeight="1">
      <c r="A22" s="64" t="inlineStr">
        <is>
          <t>I HAVE CREATED ABOUT A THOUSAND AVAILABLE ROWS HIDDEN IN GROUPS OF 100 TO BE DISCOVERED AS THEY ARE NEEDED. BEFORE RUNNING OUT OF AVAILABLE ROWS, IT WILL BE NECESSARY TO ADD ROWS BY ALWAYS INSERTING THEM BEFORE THE LAST ROW, DRAGGING THE ROWS ALREADY PREPARED FOR COPYING FORMULAS.</t>
        </is>
      </c>
    </row>
    <row r="24">
      <c r="A24" s="174" t="inlineStr">
        <is>
          <t>FOGLIO REGISTRO CARICO-SCARICO - LOADING AND UNLOADING REGISTER SHEET</t>
        </is>
      </c>
    </row>
    <row r="25" ht="52" customHeight="1">
      <c r="A25" s="63" t="inlineStr">
        <is>
          <t>IL FOGLIO "REGISTRO" NON DEVE ESSERE MODIFICATO IN QUANTO SI COMPILA AUTOMATICAMENTE PER QUANTO RIGUARDA IL "CARICO". PERIODICAMENTE SARA' NECESSARIO AGGIUNGERE DELLE RIGHE INSERENDOLE SEMPRE PRIMA DELL'ULTIMA RIGA, TRASCINDANDO LE RIGHE GIA' PREDISPOSTE PER LA COPIA DELLE FORMULE E PER LA CONTINUAZIONE DEI PROGRESSIVI "N. OPERAZIONE"</t>
        </is>
      </c>
    </row>
    <row r="26" ht="39" customHeight="1">
      <c r="A26" s="64" t="inlineStr">
        <is>
          <t>THE ‘REGISTER’ SHEET DOES NOT NEED TO BE MODIFIED AS IT FILLS IN AUTOMATICALLY. PERIODICALLY, IT WILL BE NECESSARY TO ADD ROWS, ALWAYS INSERTING THEM BEFORE THE LAST ROW, DRAGGING THE ROWS ALREADY PREPARED FOR COPYING THE FORMULAS AND FOR COUNTING THE PROGRESSIONS ‘NO. OPERATION’.</t>
        </is>
      </c>
    </row>
    <row r="27" ht="52" customHeight="1">
      <c r="A27" s="63" t="inlineStr">
        <is>
          <t>UNA VOLTA SPAMPATE SUI FOGLI VIDIMATI LE PAGINE CONTENENTI INFORMAZIONI INERENTI LE ARMI "CARICATE" A MAGAZZINO LE "NOTE" (SOLITAMENTE CONCERNENTI LA CATEGORIA/CLASSIFICAZIONE DELL'ARMA) E LO SCARICO DEI BENI A SEGUITO DI VENDITA SARANNO INSERITE A MANO SUL REGISTRO CARTACEO. NON DEVE ESSERE FATTA LA TRASCRIZIONE IN EXCEL NEL FOGLIO "REGISTRO" DI QUANTO SCRITTO A MANO SUCCESSIVAMENTE ALLA STAMPA.</t>
        </is>
      </c>
    </row>
    <row r="28" ht="52" customHeight="1">
      <c r="A28" s="64" t="inlineStr">
        <is>
          <t>ONCE THE PAGES CONTAINING INFORMATION ABOUT THE WEAPONS ‘LOADED’ IN THE WAREHOUSE HAVE BEEN PRINTED ON THE STAMPED SHEETS, THE ‘NOTES’ (USUALLY CONCERNING THE CATEGORY/CLASSIFICATION OF THE WEAPON) AND THE UNLOADING OF THE GOODS FOLLOWING SALE WILL BE ENTERED BY HAND IN THE PAPER REGISTER. THERE MUST BE NO TRANSCRIPTION IN EXCEL ON THE ‘REGISTER’ SHEET OF WHAT IS HANDWRITTEN AFTER PRINTING.</t>
        </is>
      </c>
    </row>
    <row r="29" ht="52" customHeight="1">
      <c r="A29" s="63" t="inlineStr">
        <is>
          <t>QUALORA SUCCESSIVAMENTE ALLA STAMPA CI SI ACCORGA DI ERRORI NELL'INSERIMENTO DEI DATI (AD ESEMPIO N. MATRICOLA DI UN ARMA O QUALSIASI ALTRA INFORMAZIONE MODIFICATA NEL FOGLIO "MAGAZZINO" CHE HA CONSEGUENZE SUI DATI COLLEGATI NEL FOGLIO "REGISTRO") DEVE ESSERE COMUNICATA AL MAGAZZINO DI GARDONE VAL TROMPIA PER LA CORREZIONE A MANO SUL REGISTRO CARTACEO.</t>
        </is>
      </c>
    </row>
    <row r="30" ht="52" customHeight="1">
      <c r="A30" s="64" t="inlineStr">
        <is>
          <t>IF, AFTER PRINTING, ERRORS ARE DISCOVERED IN THE DATA ENTRY (E.G. SERIAL NUMBER OF A WEAPON OR ANY OTHER INFORMATION CHANGED ON THE ‘WAREHOUSE’ SHEET THAT HAS CONSEQUENCES ON THE DATA LINKED ON THE ‘REGISTER’ SHEET), THIS MUST BE COMMUNICATED TO THE GARDONE VAL TROMPIA WAREHOUSE FOR CORRECTION BY HAND IN THE PAPER REGISTER.</t>
        </is>
      </c>
    </row>
    <row r="32">
      <c r="A32" s="174" t="inlineStr">
        <is>
          <t>CELLE DI CONTROLLO - CONTROL CELLS</t>
        </is>
      </c>
    </row>
    <row r="33" ht="26" customHeight="1">
      <c r="A33" s="63" t="inlineStr">
        <is>
          <t>SI CONSIGLIA DI VERIFICARE PERIODICAMENTE CHE LE CELLE DI CONTROLLO ERRORI NON RESTITUISCANO DEGLI AVVISI DI ERRORE</t>
        </is>
      </c>
    </row>
    <row r="34" ht="13" customHeight="1">
      <c r="A34" s="64" t="inlineStr">
        <is>
          <t>IT IS ADVISABLE TO PERIODICALLY CHECK THAT THE ERROR CONTROL CELLS DO NOT RETURN ERROR WARNINGS</t>
        </is>
      </c>
    </row>
  </sheetData>
  <pageMargins left="0.7" right="0.7" top="0.75" bottom="0.75" header="0.3" footer="0.3"/>
  <pageSetup orientation="portrait" paperSize="9"/>
  <headerFooter>
    <oddHeader>&amp;C&amp;"-,Grassetto"ISTRUZONI</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L50"/>
  <sheetViews>
    <sheetView view="pageLayout" zoomScaleNormal="100" workbookViewId="0">
      <selection activeCell="H12" sqref="H12:H18"/>
    </sheetView>
  </sheetViews>
  <sheetFormatPr baseColWidth="10" defaultColWidth="9.1640625" defaultRowHeight="12"/>
  <cols>
    <col width="2.5" customWidth="1" style="1" min="1" max="1"/>
    <col width="46.6640625" customWidth="1" style="1" min="2" max="2"/>
    <col width="2.5" customWidth="1" style="1" min="3" max="3"/>
    <col width="10" bestFit="1" customWidth="1" style="9" min="4" max="4"/>
    <col width="7.5" bestFit="1" customWidth="1" style="1" min="5" max="5"/>
    <col width="10" bestFit="1" customWidth="1" style="1" min="6" max="6"/>
    <col width="9.1640625" customWidth="1" style="1" min="7" max="7"/>
    <col width="11.5" bestFit="1" customWidth="1" style="1" min="8" max="8"/>
    <col width="2.5" customWidth="1" style="1" min="9" max="9"/>
    <col width="10" bestFit="1" customWidth="1" style="1" min="10" max="10"/>
    <col width="9.1640625" customWidth="1" style="1" min="11" max="11"/>
    <col width="10" bestFit="1" customWidth="1" style="1" min="12" max="12"/>
    <col width="9.1640625" customWidth="1" style="1" min="13" max="13"/>
    <col width="9.1640625" customWidth="1" style="1" min="14" max="16384"/>
  </cols>
  <sheetData>
    <row r="1" ht="26" customFormat="1" customHeight="1" s="25">
      <c r="B1" s="27">
        <f>+MAGAZZINO!E1</f>
        <v/>
      </c>
      <c r="D1" s="26">
        <f>+MAGAZZINO!M1</f>
        <v/>
      </c>
      <c r="E1" s="26">
        <f>+MAGAZZINO!N1</f>
        <v/>
      </c>
      <c r="F1" s="26">
        <f>+MAGAZZINO!O1</f>
        <v/>
      </c>
      <c r="H1" s="27" t="inlineStr">
        <is>
          <t>MACROCLASSE</t>
        </is>
      </c>
      <c r="J1" s="26">
        <f>+D1</f>
        <v/>
      </c>
      <c r="K1" s="26">
        <f>+E1</f>
        <v/>
      </c>
      <c r="L1" s="26">
        <f>+F1</f>
        <v/>
      </c>
    </row>
    <row r="2">
      <c r="B2" s="60" t="n"/>
      <c r="D2" s="28">
        <f>+SUMIFS(MAGAZZINO!M$2:M$100000,MAGAZZINO!$A$2:$A$100000,"&gt;0",MAGAZZINO!$E$2:$E$100000,INVENTARIO!$B2)</f>
        <v/>
      </c>
      <c r="E2" s="28">
        <f>+SUMIFS(MAGAZZINO!N$2:N$100000,MAGAZZINO!$A$2:$A$100000,"&gt;0",MAGAZZINO!$E$2:$E$100000,INVENTARIO!$B2)</f>
        <v/>
      </c>
      <c r="F2" s="28">
        <f>+SUMIFS(MAGAZZINO!O$2:O$100000,MAGAZZINO!$A$2:$A$100000,"&gt;0",MAGAZZINO!$E$2:$E$100000,INVENTARIO!$B2)</f>
        <v/>
      </c>
    </row>
    <row r="3">
      <c r="B3" s="15" t="inlineStr">
        <is>
          <t>ACCESSORI</t>
        </is>
      </c>
      <c r="D3" s="28">
        <f>+SUMIFS(MAGAZZINO!M$2:M$100000,MAGAZZINO!$A$2:$A$100000,"&gt;0",MAGAZZINO!$E$2:$E$100000,INVENTARIO!$B3)</f>
        <v/>
      </c>
      <c r="E3" s="28">
        <f>+SUMIFS(MAGAZZINO!N$2:N$100000,MAGAZZINO!$A$2:$A$100000,"&gt;0",MAGAZZINO!$E$2:$E$100000,INVENTARIO!$B3)</f>
        <v/>
      </c>
      <c r="F3" s="28">
        <f>+SUMIFS(MAGAZZINO!O$2:O$100000,MAGAZZINO!$A$2:$A$100000,"&gt;0",MAGAZZINO!$E$2:$E$100000,INVENTARIO!$B3)</f>
        <v/>
      </c>
      <c r="H3" s="15" t="inlineStr">
        <is>
          <t>ACCESSORI</t>
        </is>
      </c>
      <c r="J3" s="28">
        <f>+D3</f>
        <v/>
      </c>
      <c r="K3" s="28">
        <f>+E3</f>
        <v/>
      </c>
      <c r="L3" s="28">
        <f>+F3</f>
        <v/>
      </c>
    </row>
    <row r="4">
      <c r="B4" s="15" t="inlineStr">
        <is>
          <t>CANNA PER CARABINA</t>
        </is>
      </c>
      <c r="D4" s="28">
        <f>+SUMIFS(MAGAZZINO!M$2:M$100000,MAGAZZINO!$A$2:$A$100000,"&gt;0",MAGAZZINO!$E$2:$E$100000,INVENTARIO!$B4)</f>
        <v/>
      </c>
      <c r="E4" s="28">
        <f>+SUMIFS(MAGAZZINO!N$2:N$100000,MAGAZZINO!$A$2:$A$100000,"&gt;0",MAGAZZINO!$E$2:$E$100000,INVENTARIO!$B4)</f>
        <v/>
      </c>
      <c r="F4" s="28">
        <f>+SUMIFS(MAGAZZINO!O$2:O$100000,MAGAZZINO!$A$2:$A$100000,"&gt;0",MAGAZZINO!$E$2:$E$100000,INVENTARIO!$B4)</f>
        <v/>
      </c>
      <c r="H4" s="147" t="inlineStr">
        <is>
          <t>CANNE</t>
        </is>
      </c>
      <c r="J4" s="144">
        <f>+SUM(D4:D11)</f>
        <v/>
      </c>
      <c r="K4" s="144">
        <f>+SUM(E4:E11)</f>
        <v/>
      </c>
      <c r="L4" s="144">
        <f>+SUM(F4:F11)</f>
        <v/>
      </c>
    </row>
    <row r="5">
      <c r="B5" s="15" t="inlineStr">
        <is>
          <t>CANNA PER CARABINA AD ARIA COMPRESSA</t>
        </is>
      </c>
      <c r="D5" s="28">
        <f>+SUMIFS(MAGAZZINO!M$2:M$100000,MAGAZZINO!$A$2:$A$100000,"&gt;0",MAGAZZINO!$E$2:$E$100000,INVENTARIO!$B5)</f>
        <v/>
      </c>
      <c r="E5" s="28">
        <f>+SUMIFS(MAGAZZINO!N$2:N$100000,MAGAZZINO!$A$2:$A$100000,"&gt;0",MAGAZZINO!$E$2:$E$100000,INVENTARIO!$B5)</f>
        <v/>
      </c>
      <c r="F5" s="28">
        <f>+SUMIFS(MAGAZZINO!O$2:O$100000,MAGAZZINO!$A$2:$A$100000,"&gt;0",MAGAZZINO!$E$2:$E$100000,INVENTARIO!$B5)</f>
        <v/>
      </c>
      <c r="H5" s="145" t="n"/>
      <c r="J5" s="145" t="n"/>
      <c r="K5" s="145" t="n"/>
      <c r="L5" s="145" t="n"/>
    </row>
    <row r="6">
      <c r="B6" s="15" t="inlineStr">
        <is>
          <t>CANNA PER FUCILE DOPPIETTA</t>
        </is>
      </c>
      <c r="D6" s="28">
        <f>+SUMIFS(MAGAZZINO!M$2:M$100000,MAGAZZINO!$A$2:$A$100000,"&gt;0",MAGAZZINO!$E$2:$E$100000,INVENTARIO!$B6)</f>
        <v/>
      </c>
      <c r="E6" s="28">
        <f>+SUMIFS(MAGAZZINO!N$2:N$100000,MAGAZZINO!$A$2:$A$100000,"&gt;0",MAGAZZINO!$E$2:$E$100000,INVENTARIO!$B6)</f>
        <v/>
      </c>
      <c r="F6" s="28">
        <f>+SUMIFS(MAGAZZINO!O$2:O$100000,MAGAZZINO!$A$2:$A$100000,"&gt;0",MAGAZZINO!$E$2:$E$100000,INVENTARIO!$B6)</f>
        <v/>
      </c>
      <c r="H6" s="145" t="n"/>
      <c r="J6" s="145" t="n"/>
      <c r="K6" s="145" t="n"/>
      <c r="L6" s="145" t="n"/>
    </row>
    <row r="7">
      <c r="B7" s="15" t="inlineStr">
        <is>
          <t>CANNA PER FUCILE MONOCANNA</t>
        </is>
      </c>
      <c r="D7" s="28">
        <f>+SUMIFS(MAGAZZINO!M$2:M$100000,MAGAZZINO!$A$2:$A$100000,"&gt;0",MAGAZZINO!$E$2:$E$100000,INVENTARIO!$B7)</f>
        <v/>
      </c>
      <c r="E7" s="28">
        <f>+SUMIFS(MAGAZZINO!N$2:N$100000,MAGAZZINO!$A$2:$A$100000,"&gt;0",MAGAZZINO!$E$2:$E$100000,INVENTARIO!$B7)</f>
        <v/>
      </c>
      <c r="F7" s="28">
        <f>+SUMIFS(MAGAZZINO!O$2:O$100000,MAGAZZINO!$A$2:$A$100000,"&gt;0",MAGAZZINO!$E$2:$E$100000,INVENTARIO!$B7)</f>
        <v/>
      </c>
      <c r="H7" s="145" t="n"/>
      <c r="J7" s="145" t="n"/>
      <c r="K7" s="145" t="n"/>
      <c r="L7" s="145" t="n"/>
    </row>
    <row r="8">
      <c r="B8" s="15" t="inlineStr">
        <is>
          <t>CANNA PER FUCILE SEMIAUTOMATICO</t>
        </is>
      </c>
      <c r="D8" s="28">
        <f>+SUMIFS(MAGAZZINO!M$2:M$100000,MAGAZZINO!$A$2:$A$100000,"&gt;0",MAGAZZINO!$E$2:$E$100000,INVENTARIO!$B8)</f>
        <v/>
      </c>
      <c r="E8" s="28">
        <f>+SUMIFS(MAGAZZINO!N$2:N$100000,MAGAZZINO!$A$2:$A$100000,"&gt;0",MAGAZZINO!$E$2:$E$100000,INVENTARIO!$B8)</f>
        <v/>
      </c>
      <c r="F8" s="28">
        <f>+SUMIFS(MAGAZZINO!O$2:O$100000,MAGAZZINO!$A$2:$A$100000,"&gt;0",MAGAZZINO!$E$2:$E$100000,INVENTARIO!$B8)</f>
        <v/>
      </c>
      <c r="H8" s="145" t="n"/>
      <c r="J8" s="145" t="n"/>
      <c r="K8" s="145" t="n"/>
      <c r="L8" s="145" t="n"/>
    </row>
    <row r="9">
      <c r="B9" s="15" t="inlineStr">
        <is>
          <t>CANNA PER FUCILE SOVRAPPOSTO</t>
        </is>
      </c>
      <c r="D9" s="28">
        <f>+SUMIFS(MAGAZZINO!M$2:M$100000,MAGAZZINO!$A$2:$A$100000,"&gt;0",MAGAZZINO!$E$2:$E$100000,INVENTARIO!$B9)</f>
        <v/>
      </c>
      <c r="E9" s="28">
        <f>+SUMIFS(MAGAZZINO!N$2:N$100000,MAGAZZINO!$A$2:$A$100000,"&gt;0",MAGAZZINO!$E$2:$E$100000,INVENTARIO!$B9)</f>
        <v/>
      </c>
      <c r="F9" s="28">
        <f>+SUMIFS(MAGAZZINO!O$2:O$100000,MAGAZZINO!$A$2:$A$100000,"&gt;0",MAGAZZINO!$E$2:$E$100000,INVENTARIO!$B9)</f>
        <v/>
      </c>
      <c r="H9" s="145" t="n"/>
      <c r="J9" s="145" t="n"/>
      <c r="K9" s="145" t="n"/>
      <c r="L9" s="145" t="n"/>
    </row>
    <row r="10">
      <c r="B10" s="15" t="inlineStr">
        <is>
          <t>CANNA PER PISTOLA</t>
        </is>
      </c>
      <c r="D10" s="28">
        <f>+SUMIFS(MAGAZZINO!M$2:M$100000,MAGAZZINO!$A$2:$A$100000,"&gt;0",MAGAZZINO!$E$2:$E$100000,INVENTARIO!$B10)</f>
        <v/>
      </c>
      <c r="E10" s="28">
        <f>+SUMIFS(MAGAZZINO!N$2:N$100000,MAGAZZINO!$A$2:$A$100000,"&gt;0",MAGAZZINO!$E$2:$E$100000,INVENTARIO!$B10)</f>
        <v/>
      </c>
      <c r="F10" s="28">
        <f>+SUMIFS(MAGAZZINO!O$2:O$100000,MAGAZZINO!$A$2:$A$100000,"&gt;0",MAGAZZINO!$E$2:$E$100000,INVENTARIO!$B10)</f>
        <v/>
      </c>
      <c r="H10" s="145" t="n"/>
      <c r="J10" s="145" t="n"/>
      <c r="K10" s="145" t="n"/>
      <c r="L10" s="145" t="n"/>
    </row>
    <row r="11">
      <c r="B11" s="15" t="inlineStr">
        <is>
          <t>CANNA RIGATA</t>
        </is>
      </c>
      <c r="D11" s="28">
        <f>+SUMIFS(MAGAZZINO!M$2:M$100000,MAGAZZINO!$A$2:$A$100000,"&gt;0",MAGAZZINO!$E$2:$E$100000,INVENTARIO!$B11)</f>
        <v/>
      </c>
      <c r="E11" s="28">
        <f>+SUMIFS(MAGAZZINO!N$2:N$100000,MAGAZZINO!$A$2:$A$100000,"&gt;0",MAGAZZINO!$E$2:$E$100000,INVENTARIO!$B11)</f>
        <v/>
      </c>
      <c r="F11" s="28">
        <f>+SUMIFS(MAGAZZINO!O$2:O$100000,MAGAZZINO!$A$2:$A$100000,"&gt;0",MAGAZZINO!$E$2:$E$100000,INVENTARIO!$B11)</f>
        <v/>
      </c>
      <c r="H11" s="146" t="n"/>
      <c r="J11" s="146" t="n"/>
      <c r="K11" s="146" t="n"/>
      <c r="L11" s="146" t="n"/>
    </row>
    <row r="12">
      <c r="B12" s="15" t="inlineStr">
        <is>
          <t>CARABINA</t>
        </is>
      </c>
      <c r="D12" s="28">
        <f>+SUMIFS(MAGAZZINO!M$2:M$100000,MAGAZZINO!$A$2:$A$100000,"&gt;0",MAGAZZINO!$E$2:$E$100000,INVENTARIO!$B12)</f>
        <v/>
      </c>
      <c r="E12" s="28">
        <f>+SUMIFS(MAGAZZINO!N$2:N$100000,MAGAZZINO!$A$2:$A$100000,"&gt;0",MAGAZZINO!$E$2:$E$100000,INVENTARIO!$B12)</f>
        <v/>
      </c>
      <c r="F12" s="28">
        <f>+SUMIFS(MAGAZZINO!O$2:O$100000,MAGAZZINO!$A$2:$A$100000,"&gt;0",MAGAZZINO!$E$2:$E$100000,INVENTARIO!$B12)</f>
        <v/>
      </c>
      <c r="H12" s="147" t="inlineStr">
        <is>
          <t>CARABINE</t>
        </is>
      </c>
      <c r="J12" s="148">
        <f>+SUM(D12:D18)</f>
        <v/>
      </c>
      <c r="K12" s="148">
        <f>+SUM(E12:E18)</f>
        <v/>
      </c>
      <c r="L12" s="148">
        <f>+SUM(F12:F18)</f>
        <v/>
      </c>
    </row>
    <row r="13">
      <c r="B13" s="15" t="inlineStr">
        <is>
          <t>CARABINA A LEVA</t>
        </is>
      </c>
      <c r="D13" s="28">
        <f>+SUMIFS(MAGAZZINO!M$2:M$100000,MAGAZZINO!$A$2:$A$100000,"&gt;0",MAGAZZINO!$E$2:$E$100000,INVENTARIO!$B13)</f>
        <v/>
      </c>
      <c r="E13" s="28">
        <f>+SUMIFS(MAGAZZINO!N$2:N$100000,MAGAZZINO!$A$2:$A$100000,"&gt;0",MAGAZZINO!$E$2:$E$100000,INVENTARIO!$B13)</f>
        <v/>
      </c>
      <c r="F13" s="28">
        <f>+SUMIFS(MAGAZZINO!O$2:O$100000,MAGAZZINO!$A$2:$A$100000,"&gt;0",MAGAZZINO!$E$2:$E$100000,INVENTARIO!$B13)</f>
        <v/>
      </c>
      <c r="H13" s="145" t="n"/>
      <c r="J13" s="145" t="n"/>
      <c r="K13" s="145" t="n"/>
      <c r="L13" s="145" t="n"/>
    </row>
    <row r="14">
      <c r="B14" s="15" t="inlineStr">
        <is>
          <t>CARABINA SEMIAUTOMATICA</t>
        </is>
      </c>
      <c r="D14" s="28">
        <f>+SUMIFS(MAGAZZINO!M$2:M$100000,MAGAZZINO!$A$2:$A$100000,"&gt;0",MAGAZZINO!$E$2:$E$100000,INVENTARIO!$B14)</f>
        <v/>
      </c>
      <c r="E14" s="28">
        <f>+SUMIFS(MAGAZZINO!N$2:N$100000,MAGAZZINO!$A$2:$A$100000,"&gt;0",MAGAZZINO!$E$2:$E$100000,INVENTARIO!$B14)</f>
        <v/>
      </c>
      <c r="F14" s="28">
        <f>+SUMIFS(MAGAZZINO!O$2:O$100000,MAGAZZINO!$A$2:$A$100000,"&gt;0",MAGAZZINO!$E$2:$E$100000,INVENTARIO!$B14)</f>
        <v/>
      </c>
      <c r="H14" s="145" t="n"/>
      <c r="J14" s="145" t="n"/>
      <c r="K14" s="145" t="n"/>
      <c r="L14" s="145" t="n"/>
    </row>
    <row r="15">
      <c r="B15" s="15" t="inlineStr">
        <is>
          <t>CARABINA AD ARIA COMPRESSA</t>
        </is>
      </c>
      <c r="D15" s="28">
        <f>+SUMIFS(MAGAZZINO!M$2:M$100000,MAGAZZINO!$A$2:$A$100000,"&gt;0",MAGAZZINO!$E$2:$E$100000,INVENTARIO!$B15)</f>
        <v/>
      </c>
      <c r="E15" s="28">
        <f>+SUMIFS(MAGAZZINO!N$2:N$100000,MAGAZZINO!$A$2:$A$100000,"&gt;0",MAGAZZINO!$E$2:$E$100000,INVENTARIO!$B15)</f>
        <v/>
      </c>
      <c r="F15" s="28">
        <f>+SUMIFS(MAGAZZINO!O$2:O$100000,MAGAZZINO!$A$2:$A$100000,"&gt;0",MAGAZZINO!$E$2:$E$100000,INVENTARIO!$B15)</f>
        <v/>
      </c>
      <c r="H15" s="145" t="n"/>
      <c r="J15" s="145" t="n"/>
      <c r="K15" s="145" t="n"/>
      <c r="L15" s="145" t="n"/>
    </row>
    <row r="16">
      <c r="B16" s="15" t="inlineStr">
        <is>
          <t>CARABINA AD ARIA COMPRESSA PCP</t>
        </is>
      </c>
      <c r="D16" s="28">
        <f>+SUMIFS(MAGAZZINO!M$2:M$100000,MAGAZZINO!$A$2:$A$100000,"&gt;0",MAGAZZINO!$E$2:$E$100000,INVENTARIO!$B16)</f>
        <v/>
      </c>
      <c r="E16" s="28">
        <f>+SUMIFS(MAGAZZINO!N$2:N$100000,MAGAZZINO!$A$2:$A$100000,"&gt;0",MAGAZZINO!$E$2:$E$100000,INVENTARIO!$B16)</f>
        <v/>
      </c>
      <c r="F16" s="28">
        <f>+SUMIFS(MAGAZZINO!O$2:O$100000,MAGAZZINO!$A$2:$A$100000,"&gt;0",MAGAZZINO!$E$2:$E$100000,INVENTARIO!$B16)</f>
        <v/>
      </c>
      <c r="H16" s="145" t="n"/>
      <c r="J16" s="145" t="n"/>
      <c r="K16" s="145" t="n"/>
      <c r="L16" s="145" t="n"/>
    </row>
    <row r="17">
      <c r="B17" s="15" t="inlineStr">
        <is>
          <t>CARABINA MONOCOLPO</t>
        </is>
      </c>
      <c r="D17" s="28">
        <f>+SUMIFS(MAGAZZINO!M$2:M$100000,MAGAZZINO!$A$2:$A$100000,"&gt;0",MAGAZZINO!$E$2:$E$100000,INVENTARIO!$B17)</f>
        <v/>
      </c>
      <c r="E17" s="28">
        <f>+SUMIFS(MAGAZZINO!N$2:N$100000,MAGAZZINO!$A$2:$A$100000,"&gt;0",MAGAZZINO!$E$2:$E$100000,INVENTARIO!$B17)</f>
        <v/>
      </c>
      <c r="F17" s="28">
        <f>+SUMIFS(MAGAZZINO!O$2:O$100000,MAGAZZINO!$A$2:$A$100000,"&gt;0",MAGAZZINO!$E$2:$E$100000,INVENTARIO!$B17)</f>
        <v/>
      </c>
      <c r="H17" s="145" t="n"/>
      <c r="J17" s="145" t="n"/>
      <c r="K17" s="145" t="n"/>
      <c r="L17" s="145" t="n"/>
    </row>
    <row r="18">
      <c r="B18" s="15" t="inlineStr">
        <is>
          <t>CARABINA AD OTTURATORE</t>
        </is>
      </c>
      <c r="D18" s="28">
        <f>+SUMIFS(MAGAZZINO!M$2:M$100000,MAGAZZINO!$A$2:$A$100000,"&gt;0",MAGAZZINO!$E$2:$E$100000,INVENTARIO!$B18)</f>
        <v/>
      </c>
      <c r="E18" s="28">
        <f>+SUMIFS(MAGAZZINO!N$2:N$100000,MAGAZZINO!$A$2:$A$100000,"&gt;0",MAGAZZINO!$E$2:$E$100000,INVENTARIO!$B18)</f>
        <v/>
      </c>
      <c r="F18" s="28">
        <f>+SUMIFS(MAGAZZINO!O$2:O$100000,MAGAZZINO!$A$2:$A$100000,"&gt;0",MAGAZZINO!$E$2:$E$100000,INVENTARIO!$B18)</f>
        <v/>
      </c>
      <c r="H18" s="146" t="n"/>
      <c r="J18" s="146" t="n"/>
      <c r="K18" s="146" t="n"/>
      <c r="L18" s="146" t="n"/>
    </row>
    <row r="19">
      <c r="B19" s="15" t="inlineStr">
        <is>
          <t>DOPPIETTA A CANNE RIGATE</t>
        </is>
      </c>
      <c r="D19" s="28">
        <f>+SUMIFS(MAGAZZINO!M$2:M$100000,MAGAZZINO!$A$2:$A$100000,"&gt;0",MAGAZZINO!$E$2:$E$100000,INVENTARIO!$B19)</f>
        <v/>
      </c>
      <c r="E19" s="28">
        <f>+SUMIFS(MAGAZZINO!N$2:N$100000,MAGAZZINO!$A$2:$A$100000,"&gt;0",MAGAZZINO!$E$2:$E$100000,INVENTARIO!$B19)</f>
        <v/>
      </c>
      <c r="F19" s="28">
        <f>+SUMIFS(MAGAZZINO!O$2:O$100000,MAGAZZINO!$A$2:$A$100000,"&gt;0",MAGAZZINO!$E$2:$E$100000,INVENTARIO!$B19)</f>
        <v/>
      </c>
      <c r="H19" s="104" t="inlineStr">
        <is>
          <t>DOPPIETTA</t>
        </is>
      </c>
      <c r="J19" s="105">
        <f>D19</f>
        <v/>
      </c>
      <c r="K19" s="105">
        <f>E19</f>
        <v/>
      </c>
      <c r="L19" s="105">
        <f>F19</f>
        <v/>
      </c>
    </row>
    <row r="20">
      <c r="B20" s="15" t="inlineStr">
        <is>
          <t>FUCILE A POMPA</t>
        </is>
      </c>
      <c r="D20" s="28">
        <f>+SUMIFS(MAGAZZINO!M$2:M$100000,MAGAZZINO!$A$2:$A$100000,"&gt;0",MAGAZZINO!$E$2:$E$100000,INVENTARIO!$B20)</f>
        <v/>
      </c>
      <c r="E20" s="28">
        <f>+SUMIFS(MAGAZZINO!N$2:N$100000,MAGAZZINO!$A$2:$A$100000,"&gt;0",MAGAZZINO!$E$2:$E$100000,INVENTARIO!$B20)</f>
        <v/>
      </c>
      <c r="F20" s="28">
        <f>+SUMIFS(MAGAZZINO!O$2:O$100000,MAGAZZINO!$A$2:$A$100000,"&gt;0",MAGAZZINO!$E$2:$E$100000,INVENTARIO!$B20)</f>
        <v/>
      </c>
      <c r="H20" s="147" t="inlineStr">
        <is>
          <t>FUCILI</t>
        </is>
      </c>
      <c r="J20" s="144">
        <f>+SUM(D20:D29)</f>
        <v/>
      </c>
      <c r="K20" s="144">
        <f>+SUM(E20:E29)</f>
        <v/>
      </c>
      <c r="L20" s="144">
        <f>+SUM(F20:F29)</f>
        <v/>
      </c>
    </row>
    <row r="21">
      <c r="B21" s="15" t="inlineStr">
        <is>
          <t>FUCILE AVANCARICA</t>
        </is>
      </c>
      <c r="D21" s="28">
        <f>+SUMIFS(MAGAZZINO!M$2:M$100000,MAGAZZINO!$A$2:$A$100000,"&gt;0",MAGAZZINO!$E$2:$E$100000,INVENTARIO!$B21)</f>
        <v/>
      </c>
      <c r="E21" s="28">
        <f>+SUMIFS(MAGAZZINO!N$2:N$100000,MAGAZZINO!$A$2:$A$100000,"&gt;0",MAGAZZINO!$E$2:$E$100000,INVENTARIO!$B21)</f>
        <v/>
      </c>
      <c r="F21" s="28">
        <f>+SUMIFS(MAGAZZINO!O$2:O$100000,MAGAZZINO!$A$2:$A$100000,"&gt;0",MAGAZZINO!$E$2:$E$100000,INVENTARIO!$B21)</f>
        <v/>
      </c>
      <c r="H21" s="145" t="n"/>
      <c r="J21" s="145" t="n"/>
      <c r="K21" s="145" t="n"/>
      <c r="L21" s="145" t="n"/>
    </row>
    <row r="22">
      <c r="B22" s="15" t="inlineStr">
        <is>
          <t>FUCILE DOPPIETTA</t>
        </is>
      </c>
      <c r="D22" s="28">
        <f>+SUMIFS(MAGAZZINO!M$2:M$100000,MAGAZZINO!$A$2:$A$100000,"&gt;0",MAGAZZINO!$E$2:$E$100000,INVENTARIO!$B22)</f>
        <v/>
      </c>
      <c r="E22" s="28">
        <f>+SUMIFS(MAGAZZINO!N$2:N$100000,MAGAZZINO!$A$2:$A$100000,"&gt;0",MAGAZZINO!$E$2:$E$100000,INVENTARIO!$B22)</f>
        <v/>
      </c>
      <c r="F22" s="28">
        <f>+SUMIFS(MAGAZZINO!O$2:O$100000,MAGAZZINO!$A$2:$A$100000,"&gt;0",MAGAZZINO!$E$2:$E$100000,INVENTARIO!$B22)</f>
        <v/>
      </c>
      <c r="H22" s="145" t="n"/>
      <c r="J22" s="145" t="n"/>
      <c r="K22" s="145" t="n"/>
      <c r="L22" s="145" t="n"/>
    </row>
    <row r="23">
      <c r="B23" s="15" t="inlineStr">
        <is>
          <t>FUCILE DOPPIETTA CANI ESTERNI</t>
        </is>
      </c>
      <c r="D23" s="28">
        <f>+SUMIFS(MAGAZZINO!M$2:M$100000,MAGAZZINO!$A$2:$A$100000,"&gt;0",MAGAZZINO!$E$2:$E$100000,INVENTARIO!$B23)</f>
        <v/>
      </c>
      <c r="E23" s="28">
        <f>+SUMIFS(MAGAZZINO!N$2:N$100000,MAGAZZINO!$A$2:$A$100000,"&gt;0",MAGAZZINO!$E$2:$E$100000,INVENTARIO!$B23)</f>
        <v/>
      </c>
      <c r="F23" s="28">
        <f>+SUMIFS(MAGAZZINO!O$2:O$100000,MAGAZZINO!$A$2:$A$100000,"&gt;0",MAGAZZINO!$E$2:$E$100000,INVENTARIO!$B23)</f>
        <v/>
      </c>
      <c r="H23" s="145" t="n"/>
      <c r="J23" s="145" t="n"/>
      <c r="K23" s="145" t="n"/>
      <c r="L23" s="145" t="n"/>
    </row>
    <row r="24">
      <c r="B24" s="15" t="inlineStr">
        <is>
          <t>FUCILE DOPPIETTA CANI INTERNI</t>
        </is>
      </c>
      <c r="D24" s="28">
        <f>+SUMIFS(MAGAZZINO!M$2:M$100000,MAGAZZINO!$A$2:$A$100000,"&gt;0",MAGAZZINO!$E$2:$E$100000,INVENTARIO!$B24)</f>
        <v/>
      </c>
      <c r="E24" s="28">
        <f>+SUMIFS(MAGAZZINO!N$2:N$100000,MAGAZZINO!$A$2:$A$100000,"&gt;0",MAGAZZINO!$E$2:$E$100000,INVENTARIO!$B24)</f>
        <v/>
      </c>
      <c r="F24" s="28">
        <f>+SUMIFS(MAGAZZINO!O$2:O$100000,MAGAZZINO!$A$2:$A$100000,"&gt;0",MAGAZZINO!$E$2:$E$100000,INVENTARIO!$B24)</f>
        <v/>
      </c>
      <c r="H24" s="145" t="n"/>
      <c r="J24" s="145" t="n"/>
      <c r="K24" s="145" t="n"/>
      <c r="L24" s="145" t="n"/>
    </row>
    <row r="25">
      <c r="B25" s="15" t="inlineStr">
        <is>
          <t>FUCILE DOPPIETTA AVANCARICA</t>
        </is>
      </c>
      <c r="D25" s="28">
        <f>+SUMIFS(MAGAZZINO!M$2:M$100000,MAGAZZINO!$A$2:$A$100000,"&gt;0",MAGAZZINO!$E$2:$E$100000,INVENTARIO!$B25)</f>
        <v/>
      </c>
      <c r="E25" s="28">
        <f>+SUMIFS(MAGAZZINO!N$2:N$100000,MAGAZZINO!$A$2:$A$100000,"&gt;0",MAGAZZINO!$E$2:$E$100000,INVENTARIO!$B25)</f>
        <v/>
      </c>
      <c r="F25" s="28">
        <f>+SUMIFS(MAGAZZINO!O$2:O$100000,MAGAZZINO!$A$2:$A$100000,"&gt;0",MAGAZZINO!$E$2:$E$100000,INVENTARIO!$B25)</f>
        <v/>
      </c>
      <c r="H25" s="145" t="n"/>
      <c r="J25" s="145" t="n"/>
      <c r="K25" s="145" t="n"/>
      <c r="L25" s="145" t="n"/>
    </row>
    <row r="26">
      <c r="B26" s="15" t="inlineStr">
        <is>
          <t>FUCILE MONOCANNA</t>
        </is>
      </c>
      <c r="D26" s="28">
        <f>+SUMIFS(MAGAZZINO!M$2:M$100000,MAGAZZINO!$A$2:$A$100000,"&gt;0",MAGAZZINO!$E$2:$E$100000,INVENTARIO!$B26)</f>
        <v/>
      </c>
      <c r="E26" s="28">
        <f>+SUMIFS(MAGAZZINO!N$2:N$100000,MAGAZZINO!$A$2:$A$100000,"&gt;0",MAGAZZINO!$E$2:$E$100000,INVENTARIO!$B26)</f>
        <v/>
      </c>
      <c r="F26" s="28">
        <f>+SUMIFS(MAGAZZINO!O$2:O$100000,MAGAZZINO!$A$2:$A$100000,"&gt;0",MAGAZZINO!$E$2:$E$100000,INVENTARIO!$B26)</f>
        <v/>
      </c>
      <c r="H26" s="145" t="n"/>
      <c r="J26" s="145" t="n"/>
      <c r="K26" s="145" t="n"/>
      <c r="L26" s="145" t="n"/>
    </row>
    <row r="27">
      <c r="B27" s="15" t="inlineStr">
        <is>
          <t>FUCILE SEMIAUTOMATICO</t>
        </is>
      </c>
      <c r="D27" s="28">
        <f>+SUMIFS(MAGAZZINO!M$2:M$100000,MAGAZZINO!$A$2:$A$100000,"&gt;0",MAGAZZINO!$E$2:$E$100000,INVENTARIO!$B27)</f>
        <v/>
      </c>
      <c r="E27" s="28">
        <f>+SUMIFS(MAGAZZINO!N$2:N$100000,MAGAZZINO!$A$2:$A$100000,"&gt;0",MAGAZZINO!$E$2:$E$100000,INVENTARIO!$B27)</f>
        <v/>
      </c>
      <c r="F27" s="28">
        <f>+SUMIFS(MAGAZZINO!O$2:O$100000,MAGAZZINO!$A$2:$A$100000,"&gt;0",MAGAZZINO!$E$2:$E$100000,INVENTARIO!$B27)</f>
        <v/>
      </c>
      <c r="H27" s="145" t="n"/>
      <c r="J27" s="145" t="n"/>
      <c r="K27" s="145" t="n"/>
      <c r="L27" s="145" t="n"/>
    </row>
    <row r="28">
      <c r="B28" s="15" t="inlineStr">
        <is>
          <t>FUCILE AD OTTURATORE</t>
        </is>
      </c>
      <c r="D28" s="28">
        <f>+SUMIFS(MAGAZZINO!M$2:M$100000,MAGAZZINO!$A$2:$A$100000,"&gt;0",MAGAZZINO!$E$2:$E$100000,INVENTARIO!$B28)</f>
        <v/>
      </c>
      <c r="E28" s="28">
        <f>+SUMIFS(MAGAZZINO!N$2:N$100000,MAGAZZINO!$A$2:$A$100000,"&gt;0",MAGAZZINO!$E$2:$E$100000,INVENTARIO!$B28)</f>
        <v/>
      </c>
      <c r="F28" s="28">
        <f>+SUMIFS(MAGAZZINO!O$2:O$100000,MAGAZZINO!$A$2:$A$100000,"&gt;0",MAGAZZINO!$E$2:$E$100000,INVENTARIO!$B28)</f>
        <v/>
      </c>
      <c r="H28" s="145" t="n"/>
      <c r="J28" s="145" t="n"/>
      <c r="K28" s="145" t="n"/>
      <c r="L28" s="145" t="n"/>
    </row>
    <row r="29">
      <c r="B29" s="15" t="inlineStr">
        <is>
          <t>FUCILE SOVRAPPOSTO</t>
        </is>
      </c>
      <c r="D29" s="28">
        <f>+SUMIFS(MAGAZZINO!M$2:M$100000,MAGAZZINO!$A$2:$A$100000,"&gt;0",MAGAZZINO!$E$2:$E$100000,INVENTARIO!$B29)</f>
        <v/>
      </c>
      <c r="E29" s="28">
        <f>+SUMIFS(MAGAZZINO!N$2:N$100000,MAGAZZINO!$A$2:$A$100000,"&gt;0",MAGAZZINO!$E$2:$E$100000,INVENTARIO!$B29)</f>
        <v/>
      </c>
      <c r="F29" s="28">
        <f>+SUMIFS(MAGAZZINO!O$2:O$100000,MAGAZZINO!$A$2:$A$100000,"&gt;0",MAGAZZINO!$E$2:$E$100000,INVENTARIO!$B29)</f>
        <v/>
      </c>
      <c r="H29" s="146" t="n"/>
      <c r="J29" s="146" t="n"/>
      <c r="K29" s="146" t="n"/>
      <c r="L29" s="146" t="n"/>
    </row>
    <row r="30">
      <c r="B30" s="15" t="inlineStr">
        <is>
          <t>PISTOLA AVANCARICA</t>
        </is>
      </c>
      <c r="D30" s="28">
        <f>+SUMIFS(MAGAZZINO!M$2:M$100000,MAGAZZINO!$A$2:$A$100000,"&gt;0",MAGAZZINO!$E$2:$E$100000,INVENTARIO!$B30)</f>
        <v/>
      </c>
      <c r="E30" s="28">
        <f>+SUMIFS(MAGAZZINO!N$2:N$100000,MAGAZZINO!$A$2:$A$100000,"&gt;0",MAGAZZINO!$E$2:$E$100000,INVENTARIO!$B30)</f>
        <v/>
      </c>
      <c r="F30" s="28">
        <f>+SUMIFS(MAGAZZINO!O$2:O$100000,MAGAZZINO!$A$2:$A$100000,"&gt;0",MAGAZZINO!$E$2:$E$100000,INVENTARIO!$B30)</f>
        <v/>
      </c>
      <c r="H30" s="147" t="inlineStr">
        <is>
          <t>PISTOLE</t>
        </is>
      </c>
      <c r="J30" s="144">
        <f>+SUM(D30:D32)</f>
        <v/>
      </c>
      <c r="K30" s="144">
        <f>+SUM(E30:E32)</f>
        <v/>
      </c>
      <c r="L30" s="144">
        <f>+SUM(F30:F32)</f>
        <v/>
      </c>
    </row>
    <row r="31">
      <c r="B31" s="15" t="inlineStr">
        <is>
          <t>PISTOLA SEMIAUTOMATICA</t>
        </is>
      </c>
      <c r="D31" s="28">
        <f>+SUMIFS(MAGAZZINO!M$2:M$100000,MAGAZZINO!$A$2:$A$100000,"&gt;0",MAGAZZINO!$E$2:$E$100000,INVENTARIO!$B31)</f>
        <v/>
      </c>
      <c r="E31" s="28">
        <f>+SUMIFS(MAGAZZINO!N$2:N$100000,MAGAZZINO!$A$2:$A$100000,"&gt;0",MAGAZZINO!$E$2:$E$100000,INVENTARIO!$B31)</f>
        <v/>
      </c>
      <c r="F31" s="28">
        <f>+SUMIFS(MAGAZZINO!O$2:O$100000,MAGAZZINO!$A$2:$A$100000,"&gt;0",MAGAZZINO!$E$2:$E$100000,INVENTARIO!$B31)</f>
        <v/>
      </c>
      <c r="H31" s="145" t="n"/>
      <c r="J31" s="145" t="n"/>
      <c r="K31" s="145" t="n"/>
      <c r="L31" s="145" t="n"/>
    </row>
    <row r="32">
      <c r="B32" s="15" t="inlineStr">
        <is>
          <t>PISTOLA POMPA</t>
        </is>
      </c>
      <c r="D32" s="28">
        <f>+SUMIFS(MAGAZZINO!M$2:M$100000,MAGAZZINO!$A$2:$A$100000,"&gt;0",MAGAZZINO!$E$2:$E$100000,INVENTARIO!$B32)</f>
        <v/>
      </c>
      <c r="E32" s="28">
        <f>+SUMIFS(MAGAZZINO!N$2:N$100000,MAGAZZINO!$A$2:$A$100000,"&gt;0",MAGAZZINO!$E$2:$E$100000,INVENTARIO!$B32)</f>
        <v/>
      </c>
      <c r="F32" s="28">
        <f>+SUMIFS(MAGAZZINO!O$2:O$100000,MAGAZZINO!$A$2:$A$100000,"&gt;0",MAGAZZINO!$E$2:$E$100000,INVENTARIO!$B32)</f>
        <v/>
      </c>
      <c r="H32" s="146" t="n"/>
      <c r="J32" s="146" t="n"/>
      <c r="K32" s="146" t="n"/>
      <c r="L32" s="146" t="n"/>
    </row>
    <row r="33">
      <c r="B33" s="15" t="inlineStr">
        <is>
          <t>REVOLVER</t>
        </is>
      </c>
      <c r="D33" s="28">
        <f>+SUMIFS(MAGAZZINO!M$2:M$100000,MAGAZZINO!$A$2:$A$100000,"&gt;0",MAGAZZINO!$E$2:$E$100000,INVENTARIO!$B33)</f>
        <v/>
      </c>
      <c r="E33" s="28">
        <f>+SUMIFS(MAGAZZINO!N$2:N$100000,MAGAZZINO!$A$2:$A$100000,"&gt;0",MAGAZZINO!$E$2:$E$100000,INVENTARIO!$B33)</f>
        <v/>
      </c>
      <c r="F33" s="28">
        <f>+SUMIFS(MAGAZZINO!O$2:O$100000,MAGAZZINO!$A$2:$A$100000,"&gt;0",MAGAZZINO!$E$2:$E$100000,INVENTARIO!$B33)</f>
        <v/>
      </c>
      <c r="H33" s="15" t="inlineStr">
        <is>
          <t>REVOLVER</t>
        </is>
      </c>
      <c r="J33" s="28">
        <f>+D33</f>
        <v/>
      </c>
      <c r="K33" s="28">
        <f>+E33</f>
        <v/>
      </c>
      <c r="L33" s="28">
        <f>+F33</f>
        <v/>
      </c>
    </row>
    <row r="34">
      <c r="B34" s="15" t="inlineStr">
        <is>
          <t>CARCASSA</t>
        </is>
      </c>
      <c r="D34" s="28">
        <f>+SUMIFS(MAGAZZINO!M$2:M$100000,MAGAZZINO!$A$2:$A$100000,"&gt;0",MAGAZZINO!$E$2:$E$100000,INVENTARIO!$B34)</f>
        <v/>
      </c>
      <c r="E34" s="28">
        <f>+SUMIFS(MAGAZZINO!N$2:N$100000,MAGAZZINO!$A$2:$A$100000,"&gt;0",MAGAZZINO!$E$2:$E$100000,INVENTARIO!$B35)</f>
        <v/>
      </c>
      <c r="F34" s="28">
        <f>+SUMIFS(MAGAZZINO!O$2:O$100000,MAGAZZINO!$A$2:$A$100000,"&gt;0",MAGAZZINO!$E$2:$E$100000,INVENTARIO!$B34)</f>
        <v/>
      </c>
      <c r="H34" s="15" t="inlineStr">
        <is>
          <t>CARCASSA</t>
        </is>
      </c>
      <c r="J34" s="28">
        <f>+D34</f>
        <v/>
      </c>
      <c r="K34" s="28">
        <f>+E34</f>
        <v/>
      </c>
      <c r="L34" s="28">
        <f>+F34</f>
        <v/>
      </c>
    </row>
    <row r="35">
      <c r="B35" s="60" t="n"/>
      <c r="J35" s="9" t="n"/>
    </row>
    <row r="36" customFormat="1" s="174">
      <c r="D36" s="14">
        <f>SUM(D2:D35)</f>
        <v/>
      </c>
      <c r="E36" s="14">
        <f>SUM(E2:E35)</f>
        <v/>
      </c>
      <c r="F36" s="14">
        <f>SUM(F2:F35)</f>
        <v/>
      </c>
      <c r="J36" s="14">
        <f>SUM(J2:J35)</f>
        <v/>
      </c>
      <c r="K36" s="14">
        <f>SUM(K2:K35)</f>
        <v/>
      </c>
      <c r="L36" s="14">
        <f>SUM(L2:L35)</f>
        <v/>
      </c>
    </row>
    <row r="37">
      <c r="J37" s="58">
        <f>+IF(D36=J36,"OK","ERRORE")</f>
        <v/>
      </c>
      <c r="K37" s="58">
        <f>+IF(E36=K36,"OK","ERRORE")</f>
        <v/>
      </c>
      <c r="L37" s="58">
        <f>+IF(F36=L36,"OK","ERRORE")</f>
        <v/>
      </c>
    </row>
    <row r="38"/>
    <row r="39"/>
    <row r="40"/>
    <row r="41"/>
    <row r="42"/>
    <row r="43"/>
    <row r="44"/>
    <row r="45" ht="39" customHeight="1">
      <c r="B45" s="61" t="inlineStr">
        <is>
          <t>ATTENZIONE: QUANDO SI INSERISCE UNA NUOVA TIPOLOGIA FARLO SEMPRE TRA LA PRIMA E L'ULTIMA RIGA APPOSITAMENTE COLORATE IN GIALLO</t>
        </is>
      </c>
    </row>
    <row r="46" ht="26" customHeight="1">
      <c r="B46" s="62" t="inlineStr">
        <is>
          <t>ATTENTION: WHEN ENTERING A NEW TYPE, ALWAYS DO SO BETWEEN THE FIRST AND LAST LINES SPECIALLY COLOURED IN YELLOW</t>
        </is>
      </c>
    </row>
    <row r="47" ht="52" customHeight="1">
      <c r="B47" s="61" t="inlineStr">
        <is>
          <t>ATTENZIONE: QUANDO SI INSERISCE UNA NUOVA TIPOLOGIA FARLO SEMPRE RISPETTANDO L'ORDINE ALFABETICO, IN MODO CHE IL MENU A TENDINA NEL FOGLIO "MAGAZZINO" RESTITUISCA LE PROPOSTE IN ORDINE</t>
        </is>
      </c>
    </row>
    <row r="48" ht="39" customHeight="1">
      <c r="B48" s="62" t="inlineStr">
        <is>
          <t>ATTENTION: WHEN ENTERING A NEW TYPE, ALWAYS DO SO IN ALPHABETICAL ORDER, SO THAT THE DROP-DOWN MENU IN THE ‘WAREHOUSE’ SHEET RETURNS THE PROPOSALS IN ORDER</t>
        </is>
      </c>
    </row>
    <row r="49" ht="52" customHeight="1">
      <c r="B49" s="61" t="inlineStr">
        <is>
          <t>ATTENZIONE: SE SI MODIFICA UNA DESCRIZIONE GIA ESISTENTE NON SI MODIFICANO IN AUTOMATICO LE DESCRIZIONI NEL FOGLIO MAGAZZINO, BISOGNERA' PERTANTO PROCEDERE CON IL CAMBIO NEL FOGLIO MAGAZZINO TRAMITE I FILTRI</t>
        </is>
      </c>
    </row>
    <row r="50" ht="52" customHeight="1">
      <c r="B50" s="62" t="inlineStr">
        <is>
          <t>ATTENTION: IF YOU CHANGE AN EXISTING DESCRIPTION, THE DESCRIPTIONS IN THE STOCK SHEET WILL NOT CHANGE AUTOMATICALLY, SO YOU WILL HAVE TO PROCEED WITH THE CHANGE IN THE STOCK SHEET VIA THE FILTERS</t>
        </is>
      </c>
    </row>
  </sheetData>
  <mergeCells count="16">
    <mergeCell ref="J4:J11"/>
    <mergeCell ref="H4:H11"/>
    <mergeCell ref="K4:K11"/>
    <mergeCell ref="L4:L11"/>
    <mergeCell ref="J20:J29"/>
    <mergeCell ref="J30:J32"/>
    <mergeCell ref="H30:H32"/>
    <mergeCell ref="H20:H29"/>
    <mergeCell ref="L30:L32"/>
    <mergeCell ref="H12:H18"/>
    <mergeCell ref="K30:K32"/>
    <mergeCell ref="L12:L18"/>
    <mergeCell ref="J12:J18"/>
    <mergeCell ref="K12:K18"/>
    <mergeCell ref="L20:L29"/>
    <mergeCell ref="K20:K29"/>
  </mergeCells>
  <conditionalFormatting sqref="J37:L37">
    <cfRule type="cellIs" priority="1" operator="equal" dxfId="0">
      <formula>"ERRORE"</formula>
    </cfRule>
    <cfRule type="cellIs" priority="2" operator="equal" dxfId="1">
      <formula>"OK"</formula>
    </cfRule>
  </conditionalFormatting>
  <pageMargins left="0.7" right="0.7" top="0.75" bottom="0.75" header="0.3" footer="0.3"/>
  <pageSetup orientation="landscape" paperSize="9"/>
  <headerFooter>
    <oddHeader>&amp;L&amp;"-,Grassetto"INVENTARIO&amp;R&amp;"-,Grassetto"BCW - BRESCIA CUSTOM WORKS SRL</oddHeader>
    <oddFooter/>
    <evenHeader/>
    <evenFooter/>
    <firstHeader/>
    <firstFooter/>
  </headerFooter>
  <rowBreaks count="1" manualBreakCount="1">
    <brk id="39" min="0" max="16383" man="1"/>
  </rowBreaks>
</worksheet>
</file>

<file path=xl/worksheets/sheet3.xml><?xml version="1.0" encoding="utf-8"?>
<worksheet xmlns="http://schemas.openxmlformats.org/spreadsheetml/2006/main">
  <sheetPr>
    <outlinePr summaryBelow="1" summaryRight="1"/>
    <pageSetUpPr fitToPage="1"/>
  </sheetPr>
  <dimension ref="A1:X4874"/>
  <sheetViews>
    <sheetView tabSelected="1" view="pageBreakPreview" zoomScale="140" zoomScaleNormal="140" zoomScaleSheetLayoutView="140" workbookViewId="0">
      <pane ySplit="1" topLeftCell="A4621" activePane="bottomLeft" state="frozen"/>
      <selection pane="bottomLeft" activeCell="K4602" sqref="K4602"/>
    </sheetView>
  </sheetViews>
  <sheetFormatPr baseColWidth="10" defaultColWidth="8.6640625" defaultRowHeight="12"/>
  <cols>
    <col width="5.5" bestFit="1" customWidth="1" style="6" min="1" max="1"/>
    <col width="6.6640625" customWidth="1" style="81" min="2" max="2"/>
    <col width="15.5" bestFit="1" customWidth="1" style="69" min="3" max="3"/>
    <col width="5.5" bestFit="1" customWidth="1" style="6" min="4" max="4"/>
    <col width="21.5" customWidth="1" style="17" min="5" max="5"/>
    <col width="8.6640625" customWidth="1" style="7" min="6" max="6"/>
    <col width="14.6640625" bestFit="1" customWidth="1" style="7" min="7" max="7"/>
    <col width="32.5" bestFit="1" customWidth="1" style="103" min="8" max="8"/>
    <col width="17.5" customWidth="1" style="103" min="9" max="9"/>
    <col width="11.5" customWidth="1" style="103" min="10" max="10"/>
    <col width="12.1640625" bestFit="1" customWidth="1" style="103" min="11" max="11"/>
    <col width="13.6640625" customWidth="1" style="130" min="12" max="12"/>
    <col width="10.5" bestFit="1" customWidth="1" style="9" min="13" max="13"/>
    <col width="9.6640625" bestFit="1" customWidth="1" style="9" min="14" max="14"/>
    <col width="10.5" bestFit="1" customWidth="1" style="9" min="15" max="15"/>
    <col width="14" bestFit="1" customWidth="1" style="8" min="16" max="16"/>
    <col width="14" bestFit="1" customWidth="1" style="95" min="17" max="17"/>
    <col width="10.6640625" bestFit="1" customWidth="1" style="9" min="18" max="18"/>
    <col width="4.5" bestFit="1" customWidth="1" style="6" min="19" max="19"/>
    <col width="9.5" customWidth="1" style="7" min="20" max="20"/>
    <col width="9.6640625" customWidth="1" style="95" min="21" max="21"/>
    <col width="8.6640625" customWidth="1" style="7" min="22" max="22"/>
    <col width="9.5" customWidth="1" style="113" min="23" max="23"/>
    <col width="14" customWidth="1" style="1" min="24" max="24"/>
    <col width="8.6640625" customWidth="1" style="1" min="25" max="25"/>
    <col width="8.6640625" customWidth="1" style="1" min="26" max="16384"/>
  </cols>
  <sheetData>
    <row r="1" ht="57.75" customFormat="1" customHeight="1" s="24">
      <c r="A1" s="37" t="inlineStr">
        <is>
          <t>GIACENZA</t>
        </is>
      </c>
      <c r="B1" s="79" t="inlineStr">
        <is>
          <t>NUMERO OPERAZIONE</t>
        </is>
      </c>
      <c r="C1" s="67" t="inlineStr">
        <is>
          <t>DATA DI CARICO</t>
        </is>
      </c>
      <c r="D1" s="38" t="inlineStr">
        <is>
          <t>QUANTITA'</t>
        </is>
      </c>
      <c r="E1" s="39" t="inlineStr">
        <is>
          <t>TIPOLOGIA</t>
        </is>
      </c>
      <c r="F1" s="39" t="inlineStr">
        <is>
          <t>CALIBRO</t>
        </is>
      </c>
      <c r="G1" s="39" t="inlineStr">
        <is>
          <t>MARCA ARMA</t>
        </is>
      </c>
      <c r="H1" s="135" t="inlineStr">
        <is>
          <t>MODELLO</t>
        </is>
      </c>
      <c r="I1" s="39" t="inlineStr">
        <is>
          <t>MATR. ARMA</t>
        </is>
      </c>
      <c r="J1" s="39" t="inlineStr">
        <is>
          <t>MATR. CANNA</t>
        </is>
      </c>
      <c r="K1" s="39" t="inlineStr">
        <is>
          <t>MATR. AGG.</t>
        </is>
      </c>
      <c r="L1" s="39" t="inlineStr">
        <is>
          <t>FORNITORE</t>
        </is>
      </c>
      <c r="M1" s="40" t="inlineStr">
        <is>
          <t>COSTO</t>
        </is>
      </c>
      <c r="N1" s="19" t="inlineStr">
        <is>
          <t>COSTO IMBALLO</t>
        </is>
      </c>
      <c r="O1" s="19" t="inlineStr">
        <is>
          <t>COSTO COMPL.</t>
        </is>
      </c>
      <c r="P1" s="18" t="inlineStr">
        <is>
          <t>DATA DDT</t>
        </is>
      </c>
      <c r="Q1" s="18" t="inlineStr">
        <is>
          <t>DATA FATTURA</t>
        </is>
      </c>
      <c r="R1" s="20" t="inlineStr">
        <is>
          <t>PREZZO DI VENDITA</t>
        </is>
      </c>
      <c r="S1" s="21" t="inlineStr">
        <is>
          <t>V</t>
        </is>
      </c>
      <c r="T1" s="22" t="inlineStr">
        <is>
          <t>N. ATA</t>
        </is>
      </c>
      <c r="U1" s="23" t="inlineStr">
        <is>
          <t>DATA DI SCARICO</t>
        </is>
      </c>
      <c r="V1" s="22" t="inlineStr">
        <is>
          <t>N. FATTURA</t>
        </is>
      </c>
      <c r="W1" s="110" t="inlineStr">
        <is>
          <t>DATA FATTURA</t>
        </is>
      </c>
      <c r="X1" s="23" t="inlineStr">
        <is>
          <t>CLIENTE</t>
        </is>
      </c>
    </row>
    <row r="2">
      <c r="A2" s="2">
        <f>+D2-S2</f>
        <v/>
      </c>
      <c r="B2" s="80" t="n"/>
      <c r="C2" s="66" t="n"/>
      <c r="D2" s="2" t="n"/>
      <c r="E2" s="3" t="n"/>
      <c r="F2" s="3" t="n"/>
      <c r="G2" s="3" t="n"/>
      <c r="H2" s="65" t="n"/>
      <c r="I2" s="65" t="n"/>
      <c r="J2" s="65" t="n"/>
      <c r="K2" s="65" t="n"/>
      <c r="L2" s="127" t="n"/>
      <c r="M2" s="5" t="n"/>
      <c r="N2" s="5" t="n"/>
      <c r="O2" s="5">
        <f>+M2+N2</f>
        <v/>
      </c>
      <c r="P2" s="4" t="n"/>
      <c r="Q2" s="87" t="n"/>
      <c r="R2" s="5" t="n"/>
      <c r="S2" s="2" t="n"/>
      <c r="T2" s="3" t="n"/>
      <c r="U2" s="87" t="n"/>
      <c r="V2" s="3" t="n"/>
      <c r="W2" s="108" t="n"/>
      <c r="X2" s="4" t="n"/>
    </row>
    <row r="3" ht="24" customHeight="1">
      <c r="A3" s="2">
        <f>+D3-S3</f>
        <v/>
      </c>
      <c r="B3" s="80" t="n"/>
      <c r="C3" s="70" t="n">
        <v>45350</v>
      </c>
      <c r="D3" s="2" t="n">
        <v>1</v>
      </c>
      <c r="E3" s="3" t="inlineStr">
        <is>
          <t>FUCILE A POMPA</t>
        </is>
      </c>
      <c r="F3" s="3" t="inlineStr">
        <is>
          <t>12</t>
        </is>
      </c>
      <c r="G3" s="3" t="inlineStr">
        <is>
          <t>WINCHESTER</t>
        </is>
      </c>
      <c r="H3" s="65" t="inlineStr">
        <is>
          <t>SXP DEFENDER</t>
        </is>
      </c>
      <c r="I3" s="65" t="inlineStr">
        <is>
          <t>12AZR13526</t>
        </is>
      </c>
      <c r="J3" s="65" t="inlineStr">
        <is>
          <t>N/D</t>
        </is>
      </c>
      <c r="K3" s="65" t="inlineStr">
        <is>
          <t>N/D</t>
        </is>
      </c>
      <c r="L3" s="127" t="inlineStr">
        <is>
          <t>MANTOVARMI SNC DI BERGHAMASCHI FABIO &amp; C</t>
        </is>
      </c>
      <c r="M3" s="5" t="n">
        <v>280</v>
      </c>
      <c r="N3" s="5" t="n"/>
      <c r="O3" s="5">
        <f>+M3+N3</f>
        <v/>
      </c>
      <c r="P3" s="4" t="n"/>
      <c r="Q3" s="93" t="n"/>
      <c r="R3" s="102" t="n">
        <v>299</v>
      </c>
      <c r="S3" s="80" t="n">
        <v>1</v>
      </c>
      <c r="T3" s="3" t="inlineStr">
        <is>
          <t>CA42796IR</t>
        </is>
      </c>
      <c r="U3" s="87" t="n">
        <v>45821</v>
      </c>
      <c r="V3" s="3" t="inlineStr">
        <is>
          <t>11</t>
        </is>
      </c>
      <c r="W3" s="108" t="n">
        <v>45821</v>
      </c>
      <c r="X3" s="4" t="inlineStr">
        <is>
          <t>PHILIPPOS COSTANTINIDES TRADING CO. LTD</t>
        </is>
      </c>
    </row>
    <row r="4" ht="24" customHeight="1">
      <c r="A4" s="2">
        <f>+D4-S4</f>
        <v/>
      </c>
      <c r="B4" s="80" t="n"/>
      <c r="C4" s="70" t="n">
        <v>45350</v>
      </c>
      <c r="D4" s="2" t="n">
        <v>1</v>
      </c>
      <c r="E4" s="3" t="inlineStr">
        <is>
          <t>FUCILE MONOCANNA</t>
        </is>
      </c>
      <c r="F4" s="3" t="n">
        <v>16</v>
      </c>
      <c r="G4" s="3" t="inlineStr">
        <is>
          <t>BERETTA</t>
        </is>
      </c>
      <c r="H4" s="65" t="inlineStr">
        <is>
          <t>N/D</t>
        </is>
      </c>
      <c r="I4" s="65" t="n">
        <v>90947</v>
      </c>
      <c r="J4" s="65" t="inlineStr">
        <is>
          <t>N/D</t>
        </is>
      </c>
      <c r="K4" s="65" t="inlineStr">
        <is>
          <t>N/D</t>
        </is>
      </c>
      <c r="L4" s="127" t="inlineStr">
        <is>
          <t>ARMERIA LENZERINI SAS</t>
        </is>
      </c>
      <c r="M4" s="5" t="n">
        <v>20</v>
      </c>
      <c r="N4" s="5" t="n"/>
      <c r="O4" s="5">
        <f>+M4+N4</f>
        <v/>
      </c>
      <c r="P4" s="4" t="n"/>
      <c r="Q4" s="93" t="n"/>
      <c r="R4" s="5" t="n">
        <v>30</v>
      </c>
      <c r="S4" s="2" t="n">
        <v>1</v>
      </c>
      <c r="T4" s="3" t="inlineStr">
        <is>
          <t>CA42796IR</t>
        </is>
      </c>
      <c r="U4" s="87" t="n">
        <v>45821</v>
      </c>
      <c r="V4" s="3" t="inlineStr">
        <is>
          <t>8</t>
        </is>
      </c>
      <c r="W4" s="108" t="n">
        <v>45821</v>
      </c>
      <c r="X4" s="4" t="inlineStr">
        <is>
          <t>PHILIPPOS COSTANTINIDES TRADING CO. LTD</t>
        </is>
      </c>
    </row>
    <row r="5" ht="24" customHeight="1">
      <c r="A5" s="2">
        <f>+D5-S5</f>
        <v/>
      </c>
      <c r="B5" s="80" t="n"/>
      <c r="C5" s="70" t="n">
        <v>45350</v>
      </c>
      <c r="D5" s="2" t="n">
        <v>1</v>
      </c>
      <c r="E5" s="3" t="inlineStr">
        <is>
          <t>CARABINA AD ARIA COMPRESSA</t>
        </is>
      </c>
      <c r="F5" s="3" t="inlineStr">
        <is>
          <t>4,5</t>
        </is>
      </c>
      <c r="G5" s="3" t="inlineStr">
        <is>
          <t>DIANA</t>
        </is>
      </c>
      <c r="H5" s="65" t="inlineStr">
        <is>
          <t>N/D</t>
        </is>
      </c>
      <c r="I5" s="65" t="n">
        <v>311396</v>
      </c>
      <c r="J5" s="65" t="inlineStr">
        <is>
          <t>N/D</t>
        </is>
      </c>
      <c r="K5" s="65" t="inlineStr">
        <is>
          <t>N/D</t>
        </is>
      </c>
      <c r="L5" s="127" t="inlineStr">
        <is>
          <t>ARMERIA LENZERINI SAS</t>
        </is>
      </c>
      <c r="M5" s="5" t="n">
        <v>15</v>
      </c>
      <c r="N5" s="5" t="n"/>
      <c r="O5" s="5">
        <f>+M5+N5</f>
        <v/>
      </c>
      <c r="P5" s="4" t="n"/>
      <c r="Q5" s="93" t="n"/>
      <c r="R5" s="5" t="n">
        <v>25</v>
      </c>
      <c r="S5" s="2" t="n">
        <v>1</v>
      </c>
      <c r="T5" s="3" t="inlineStr">
        <is>
          <t>CA42796IR</t>
        </is>
      </c>
      <c r="U5" s="87" t="n">
        <v>45821</v>
      </c>
      <c r="V5" s="3" t="inlineStr">
        <is>
          <t>16</t>
        </is>
      </c>
      <c r="W5" s="108" t="n">
        <v>45821</v>
      </c>
      <c r="X5" s="4" t="inlineStr">
        <is>
          <t>PHILIPPOS COSTANTINIDES TRADING CO. LTD</t>
        </is>
      </c>
    </row>
    <row r="6" ht="24" customHeight="1">
      <c r="A6" s="2">
        <f>+D6-S6</f>
        <v/>
      </c>
      <c r="B6" s="80" t="n"/>
      <c r="C6" s="70" t="n">
        <v>45350</v>
      </c>
      <c r="D6" s="2" t="n">
        <v>1</v>
      </c>
      <c r="E6" s="3" t="inlineStr">
        <is>
          <t>CARABINA AD ARIA COMPRESSA</t>
        </is>
      </c>
      <c r="F6" s="3" t="inlineStr">
        <is>
          <t>4,5</t>
        </is>
      </c>
      <c r="G6" s="3" t="inlineStr">
        <is>
          <t>DIANA</t>
        </is>
      </c>
      <c r="H6" s="65" t="inlineStr">
        <is>
          <t>N/D</t>
        </is>
      </c>
      <c r="I6" s="65" t="n">
        <v>11755</v>
      </c>
      <c r="J6" s="65" t="inlineStr">
        <is>
          <t>N/D</t>
        </is>
      </c>
      <c r="K6" s="65" t="inlineStr">
        <is>
          <t>N/D</t>
        </is>
      </c>
      <c r="L6" s="127" t="inlineStr">
        <is>
          <t>ARMERIA LENZERINI SAS</t>
        </is>
      </c>
      <c r="M6" s="5" t="n">
        <v>15</v>
      </c>
      <c r="N6" s="5" t="n"/>
      <c r="O6" s="5">
        <f>+M6+N6</f>
        <v/>
      </c>
      <c r="P6" s="4" t="n"/>
      <c r="Q6" s="93" t="n"/>
      <c r="R6" s="5" t="n">
        <v>25</v>
      </c>
      <c r="S6" s="2" t="n">
        <v>1</v>
      </c>
      <c r="T6" s="3" t="inlineStr">
        <is>
          <t>CA42796IR</t>
        </is>
      </c>
      <c r="U6" s="87" t="n">
        <v>45821</v>
      </c>
      <c r="V6" s="3" t="inlineStr">
        <is>
          <t>16</t>
        </is>
      </c>
      <c r="W6" s="108" t="n">
        <v>45821</v>
      </c>
      <c r="X6" s="4" t="inlineStr">
        <is>
          <t>PHILIPPOS COSTANTINIDES TRADING CO. LTD</t>
        </is>
      </c>
    </row>
    <row r="7" ht="24" customHeight="1">
      <c r="A7" s="2">
        <f>+D7-S7</f>
        <v/>
      </c>
      <c r="B7" s="80" t="n"/>
      <c r="C7" s="70" t="n">
        <v>45350</v>
      </c>
      <c r="D7" s="2" t="n">
        <v>1</v>
      </c>
      <c r="E7" s="3" t="inlineStr">
        <is>
          <t>CARABINA AD ARIA COMPRESSA</t>
        </is>
      </c>
      <c r="F7" s="3" t="inlineStr">
        <is>
          <t>4,5</t>
        </is>
      </c>
      <c r="G7" s="3" t="inlineStr">
        <is>
          <t>DIANA</t>
        </is>
      </c>
      <c r="H7" s="65" t="inlineStr">
        <is>
          <t>N/D</t>
        </is>
      </c>
      <c r="I7" s="65" t="n">
        <v>70149373</v>
      </c>
      <c r="J7" s="65" t="inlineStr">
        <is>
          <t>N/D</t>
        </is>
      </c>
      <c r="K7" s="65" t="inlineStr">
        <is>
          <t>N/D</t>
        </is>
      </c>
      <c r="L7" s="127" t="inlineStr">
        <is>
          <t>ARMERIA LENZERINI SAS</t>
        </is>
      </c>
      <c r="M7" s="5" t="n">
        <v>15</v>
      </c>
      <c r="N7" s="5" t="n"/>
      <c r="O7" s="5">
        <f>+M7+N7</f>
        <v/>
      </c>
      <c r="P7" s="4" t="n"/>
      <c r="Q7" s="93" t="n"/>
      <c r="R7" s="5" t="n">
        <v>25</v>
      </c>
      <c r="S7" s="2" t="n">
        <v>1</v>
      </c>
      <c r="T7" s="3" t="inlineStr">
        <is>
          <t>CA42796IR</t>
        </is>
      </c>
      <c r="U7" s="87" t="n">
        <v>45821</v>
      </c>
      <c r="V7" s="3" t="inlineStr">
        <is>
          <t>16</t>
        </is>
      </c>
      <c r="W7" s="108" t="n">
        <v>45821</v>
      </c>
      <c r="X7" s="4" t="inlineStr">
        <is>
          <t>PHILIPPOS COSTANTINIDES TRADING CO. LTD</t>
        </is>
      </c>
    </row>
    <row r="8" ht="24" customHeight="1">
      <c r="A8" s="2">
        <f>+D8-S8</f>
        <v/>
      </c>
      <c r="B8" s="80" t="n"/>
      <c r="C8" s="70" t="n">
        <v>45350</v>
      </c>
      <c r="D8" s="2" t="n">
        <v>1</v>
      </c>
      <c r="E8" s="3" t="inlineStr">
        <is>
          <t>CARABINA AD ARIA COMPRESSA</t>
        </is>
      </c>
      <c r="F8" s="3" t="inlineStr">
        <is>
          <t>4,5</t>
        </is>
      </c>
      <c r="G8" s="3" t="inlineStr">
        <is>
          <t>SHANGAI</t>
        </is>
      </c>
      <c r="H8" s="65" t="inlineStr">
        <is>
          <t>N/D</t>
        </is>
      </c>
      <c r="I8" s="65" t="n">
        <v>1038</v>
      </c>
      <c r="J8" s="65" t="inlineStr">
        <is>
          <t>N/D</t>
        </is>
      </c>
      <c r="K8" s="65" t="inlineStr">
        <is>
          <t>N/D</t>
        </is>
      </c>
      <c r="L8" s="127" t="inlineStr">
        <is>
          <t>ARMERIA LENZERINI SAS</t>
        </is>
      </c>
      <c r="M8" s="5" t="n">
        <v>15</v>
      </c>
      <c r="N8" s="5" t="n"/>
      <c r="O8" s="5">
        <f>+M8+N8</f>
        <v/>
      </c>
      <c r="P8" s="4" t="n"/>
      <c r="Q8" s="93" t="n"/>
      <c r="R8" s="5" t="n">
        <v>25</v>
      </c>
      <c r="S8" s="2" t="n">
        <v>1</v>
      </c>
      <c r="T8" s="3" t="inlineStr">
        <is>
          <t>CA42796IR</t>
        </is>
      </c>
      <c r="U8" s="87" t="n">
        <v>45821</v>
      </c>
      <c r="V8" s="3" t="inlineStr">
        <is>
          <t>16</t>
        </is>
      </c>
      <c r="W8" s="108" t="n">
        <v>45821</v>
      </c>
      <c r="X8" s="4" t="inlineStr">
        <is>
          <t>PHILIPPOS COSTANTINIDES TRADING CO. LTD</t>
        </is>
      </c>
    </row>
    <row r="9" ht="24" customHeight="1">
      <c r="A9" s="2">
        <f>+D9-S9</f>
        <v/>
      </c>
      <c r="B9" s="80" t="n"/>
      <c r="C9" s="70" t="n">
        <v>45350</v>
      </c>
      <c r="D9" s="2" t="n">
        <v>1</v>
      </c>
      <c r="E9" s="3" t="inlineStr">
        <is>
          <t>CARABINA AD ARIA COMPRESSA</t>
        </is>
      </c>
      <c r="F9" s="3" t="inlineStr">
        <is>
          <t>4,5</t>
        </is>
      </c>
      <c r="G9" s="3" t="inlineStr">
        <is>
          <t>WALTHER</t>
        </is>
      </c>
      <c r="H9" s="65" t="inlineStr">
        <is>
          <t>N/D</t>
        </is>
      </c>
      <c r="I9" s="65" t="n">
        <v>81024</v>
      </c>
      <c r="J9" s="65" t="inlineStr">
        <is>
          <t>N/D</t>
        </is>
      </c>
      <c r="K9" s="65" t="inlineStr">
        <is>
          <t>N/D</t>
        </is>
      </c>
      <c r="L9" s="127" t="inlineStr">
        <is>
          <t>ARMERIA LENZERINI SAS</t>
        </is>
      </c>
      <c r="M9" s="5" t="n">
        <v>15</v>
      </c>
      <c r="N9" s="5" t="n"/>
      <c r="O9" s="5">
        <f>+M9+N9</f>
        <v/>
      </c>
      <c r="P9" s="4" t="n"/>
      <c r="Q9" s="93" t="n"/>
      <c r="R9" s="5" t="n">
        <v>25</v>
      </c>
      <c r="S9" s="2" t="n">
        <v>1</v>
      </c>
      <c r="T9" s="3" t="inlineStr">
        <is>
          <t>CA42796IR</t>
        </is>
      </c>
      <c r="U9" s="87" t="n">
        <v>45821</v>
      </c>
      <c r="V9" s="3" t="inlineStr">
        <is>
          <t>16</t>
        </is>
      </c>
      <c r="W9" s="108" t="n">
        <v>45821</v>
      </c>
      <c r="X9" s="4" t="inlineStr">
        <is>
          <t>PHILIPPOS COSTANTINIDES TRADING CO. LTD</t>
        </is>
      </c>
    </row>
    <row r="10" ht="24" customHeight="1">
      <c r="A10" s="2">
        <f>+D10-S10</f>
        <v/>
      </c>
      <c r="B10" s="80" t="n"/>
      <c r="C10" s="70" t="n">
        <v>45350</v>
      </c>
      <c r="D10" s="2" t="n">
        <v>1</v>
      </c>
      <c r="E10" s="3" t="inlineStr">
        <is>
          <t>CARABINA AD ARIA COMPRESSA</t>
        </is>
      </c>
      <c r="F10" s="3" t="inlineStr">
        <is>
          <t>4,5</t>
        </is>
      </c>
      <c r="G10" s="3" t="inlineStr">
        <is>
          <t>DIANA</t>
        </is>
      </c>
      <c r="H10" s="65" t="inlineStr">
        <is>
          <t>N/D</t>
        </is>
      </c>
      <c r="I10" s="65" t="n">
        <v>97435</v>
      </c>
      <c r="J10" s="65" t="inlineStr">
        <is>
          <t>N/D</t>
        </is>
      </c>
      <c r="K10" s="65" t="inlineStr">
        <is>
          <t>N/D</t>
        </is>
      </c>
      <c r="L10" s="127" t="inlineStr">
        <is>
          <t>ARMERIA LENZERINI SAS</t>
        </is>
      </c>
      <c r="M10" s="5" t="n">
        <v>15</v>
      </c>
      <c r="N10" s="5" t="n"/>
      <c r="O10" s="5">
        <f>+M10+N10</f>
        <v/>
      </c>
      <c r="P10" s="4" t="n"/>
      <c r="Q10" s="93" t="n"/>
      <c r="R10" s="5" t="n">
        <v>25</v>
      </c>
      <c r="S10" s="2" t="n">
        <v>1</v>
      </c>
      <c r="T10" s="3" t="inlineStr">
        <is>
          <t>CA42796IR</t>
        </is>
      </c>
      <c r="U10" s="87" t="n">
        <v>45821</v>
      </c>
      <c r="V10" s="3" t="inlineStr">
        <is>
          <t>16</t>
        </is>
      </c>
      <c r="W10" s="108" t="n">
        <v>45821</v>
      </c>
      <c r="X10" s="4" t="inlineStr">
        <is>
          <t>PHILIPPOS COSTANTINIDES TRADING CO. LTD</t>
        </is>
      </c>
    </row>
    <row r="11" ht="24" customHeight="1">
      <c r="A11" s="2">
        <f>+D11-S11</f>
        <v/>
      </c>
      <c r="B11" s="80" t="n"/>
      <c r="C11" s="70" t="n">
        <v>45350</v>
      </c>
      <c r="D11" s="2" t="n">
        <v>1</v>
      </c>
      <c r="E11" s="3" t="inlineStr">
        <is>
          <t>CARABINA AD ARIA COMPRESSA</t>
        </is>
      </c>
      <c r="F11" s="3" t="inlineStr">
        <is>
          <t>4,5</t>
        </is>
      </c>
      <c r="G11" s="3" t="inlineStr">
        <is>
          <t>BSA</t>
        </is>
      </c>
      <c r="H11" s="65" t="inlineStr">
        <is>
          <t>N/D</t>
        </is>
      </c>
      <c r="I11" s="65" t="inlineStr">
        <is>
          <t>GM04111</t>
        </is>
      </c>
      <c r="J11" s="65" t="inlineStr">
        <is>
          <t>N/D</t>
        </is>
      </c>
      <c r="K11" s="65" t="inlineStr">
        <is>
          <t>N/D</t>
        </is>
      </c>
      <c r="L11" s="127" t="inlineStr">
        <is>
          <t>ARMERIA LENZERINI SAS</t>
        </is>
      </c>
      <c r="M11" s="5" t="n">
        <v>15</v>
      </c>
      <c r="N11" s="5" t="n"/>
      <c r="O11" s="5">
        <f>+M11+N11</f>
        <v/>
      </c>
      <c r="P11" s="4" t="n"/>
      <c r="Q11" s="93" t="n"/>
      <c r="R11" s="5" t="n">
        <v>25</v>
      </c>
      <c r="S11" s="2" t="n">
        <v>1</v>
      </c>
      <c r="T11" s="3" t="inlineStr">
        <is>
          <t>CA42796IR</t>
        </is>
      </c>
      <c r="U11" s="87" t="n">
        <v>45821</v>
      </c>
      <c r="V11" s="3" t="inlineStr">
        <is>
          <t>16</t>
        </is>
      </c>
      <c r="W11" s="108" t="n">
        <v>45821</v>
      </c>
      <c r="X11" s="4" t="inlineStr">
        <is>
          <t>PHILIPPOS COSTANTINIDES TRADING CO. LTD</t>
        </is>
      </c>
    </row>
    <row r="12" ht="24" customHeight="1">
      <c r="A12" s="2">
        <f>+D12-S12</f>
        <v/>
      </c>
      <c r="B12" s="80" t="n"/>
      <c r="C12" s="70" t="n">
        <v>45350</v>
      </c>
      <c r="D12" s="2" t="n">
        <v>1</v>
      </c>
      <c r="E12" s="3" t="inlineStr">
        <is>
          <t>CARABINA AD ARIA COMPRESSA</t>
        </is>
      </c>
      <c r="F12" s="3" t="inlineStr">
        <is>
          <t>4,5</t>
        </is>
      </c>
      <c r="G12" s="3" t="inlineStr">
        <is>
          <t>GAMO</t>
        </is>
      </c>
      <c r="H12" s="65" t="inlineStr">
        <is>
          <t>N/D</t>
        </is>
      </c>
      <c r="I12" s="65" t="n">
        <v>487078</v>
      </c>
      <c r="J12" s="65" t="inlineStr">
        <is>
          <t>N/D</t>
        </is>
      </c>
      <c r="K12" s="65" t="inlineStr">
        <is>
          <t>N/D</t>
        </is>
      </c>
      <c r="L12" s="127" t="inlineStr">
        <is>
          <t>ARMERIA LENZERINI SAS</t>
        </is>
      </c>
      <c r="M12" s="5" t="n">
        <v>15</v>
      </c>
      <c r="N12" s="5" t="n"/>
      <c r="O12" s="5">
        <f>+M12+N12</f>
        <v/>
      </c>
      <c r="P12" s="4" t="n"/>
      <c r="Q12" s="93" t="n"/>
      <c r="R12" s="5" t="n">
        <v>25</v>
      </c>
      <c r="S12" s="2" t="n">
        <v>1</v>
      </c>
      <c r="T12" s="3" t="inlineStr">
        <is>
          <t>CA42796IR</t>
        </is>
      </c>
      <c r="U12" s="87" t="n">
        <v>45821</v>
      </c>
      <c r="V12" s="3" t="inlineStr">
        <is>
          <t>16</t>
        </is>
      </c>
      <c r="W12" s="108" t="n">
        <v>45821</v>
      </c>
      <c r="X12" s="4" t="inlineStr">
        <is>
          <t>PHILIPPOS COSTANTINIDES TRADING CO. LTD</t>
        </is>
      </c>
    </row>
    <row r="13" ht="24" customHeight="1">
      <c r="A13" s="2">
        <f>+D13-S13</f>
        <v/>
      </c>
      <c r="B13" s="80" t="n"/>
      <c r="C13" s="70" t="n">
        <v>45350</v>
      </c>
      <c r="D13" s="2" t="n">
        <v>1</v>
      </c>
      <c r="E13" s="3" t="inlineStr">
        <is>
          <t>CARABINA AD ARIA COMPRESSA</t>
        </is>
      </c>
      <c r="F13" s="3" t="inlineStr">
        <is>
          <t>4,5</t>
        </is>
      </c>
      <c r="G13" s="3" t="inlineStr">
        <is>
          <t>WEIHRAUCH</t>
        </is>
      </c>
      <c r="H13" s="65" t="inlineStr">
        <is>
          <t>HW77</t>
        </is>
      </c>
      <c r="I13" s="65" t="n">
        <v>1486895</v>
      </c>
      <c r="J13" s="65" t="inlineStr">
        <is>
          <t>N/D</t>
        </is>
      </c>
      <c r="K13" s="65" t="inlineStr">
        <is>
          <t>N/D</t>
        </is>
      </c>
      <c r="L13" s="127" t="inlineStr">
        <is>
          <t>ARMERIA LENZERINI SAS</t>
        </is>
      </c>
      <c r="M13" s="5" t="n">
        <v>50</v>
      </c>
      <c r="N13" s="5" t="n"/>
      <c r="O13" s="5">
        <f>+M13+N13</f>
        <v/>
      </c>
      <c r="P13" s="4" t="n"/>
      <c r="Q13" s="93" t="n"/>
      <c r="R13" s="5" t="n">
        <v>60</v>
      </c>
      <c r="S13" s="2" t="n">
        <v>1</v>
      </c>
      <c r="T13" s="3" t="inlineStr">
        <is>
          <t>CA42796IR</t>
        </is>
      </c>
      <c r="U13" s="87" t="n">
        <v>45821</v>
      </c>
      <c r="V13" s="3" t="inlineStr">
        <is>
          <t>16</t>
        </is>
      </c>
      <c r="W13" s="108" t="n">
        <v>45821</v>
      </c>
      <c r="X13" s="4" t="inlineStr">
        <is>
          <t>PHILIPPOS COSTANTINIDES TRADING CO. LTD</t>
        </is>
      </c>
    </row>
    <row r="14" ht="24" customHeight="1">
      <c r="A14" s="2">
        <f>+D14-S14</f>
        <v/>
      </c>
      <c r="B14" s="80" t="n"/>
      <c r="C14" s="70" t="n">
        <v>45350</v>
      </c>
      <c r="D14" s="2" t="n">
        <v>1</v>
      </c>
      <c r="E14" s="3" t="inlineStr">
        <is>
          <t>CARABINA AD ARIA COMPRESSA</t>
        </is>
      </c>
      <c r="F14" s="3" t="inlineStr">
        <is>
          <t>4,5</t>
        </is>
      </c>
      <c r="G14" s="3" t="inlineStr">
        <is>
          <t>WEIHRAUCH</t>
        </is>
      </c>
      <c r="H14" s="65" t="inlineStr">
        <is>
          <t>N/D</t>
        </is>
      </c>
      <c r="I14" s="65" t="n">
        <v>225729</v>
      </c>
      <c r="J14" s="65" t="inlineStr">
        <is>
          <t>N/D</t>
        </is>
      </c>
      <c r="K14" s="65" t="inlineStr">
        <is>
          <t>N/D</t>
        </is>
      </c>
      <c r="L14" s="127" t="inlineStr">
        <is>
          <t>ARMERIA LENZERINI SAS</t>
        </is>
      </c>
      <c r="M14" s="5" t="n">
        <v>15</v>
      </c>
      <c r="N14" s="5" t="n"/>
      <c r="O14" s="5">
        <f>+M14+N14</f>
        <v/>
      </c>
      <c r="P14" s="4" t="n"/>
      <c r="Q14" s="93" t="n"/>
      <c r="R14" s="5" t="n">
        <v>25</v>
      </c>
      <c r="S14" s="2" t="n">
        <v>1</v>
      </c>
      <c r="T14" s="3" t="inlineStr">
        <is>
          <t>CA42796IR</t>
        </is>
      </c>
      <c r="U14" s="87" t="n">
        <v>45821</v>
      </c>
      <c r="V14" s="3" t="inlineStr">
        <is>
          <t>16</t>
        </is>
      </c>
      <c r="W14" s="108" t="n">
        <v>45821</v>
      </c>
      <c r="X14" s="4" t="inlineStr">
        <is>
          <t>PHILIPPOS COSTANTINIDES TRADING CO. LTD</t>
        </is>
      </c>
    </row>
    <row r="15" ht="24" customHeight="1">
      <c r="A15" s="2">
        <f>+D15-S15</f>
        <v/>
      </c>
      <c r="B15" s="80" t="n"/>
      <c r="C15" s="70" t="n">
        <v>45350</v>
      </c>
      <c r="D15" s="2" t="n">
        <v>1</v>
      </c>
      <c r="E15" s="3" t="inlineStr">
        <is>
          <t>CARABINA AD ARIA COMPRESSA</t>
        </is>
      </c>
      <c r="F15" s="3" t="inlineStr">
        <is>
          <t>4,5</t>
        </is>
      </c>
      <c r="G15" s="3" t="inlineStr">
        <is>
          <t>WEIHRAUCH</t>
        </is>
      </c>
      <c r="H15" s="65" t="inlineStr">
        <is>
          <t>N/D</t>
        </is>
      </c>
      <c r="I15" s="65" t="n">
        <v>2203552</v>
      </c>
      <c r="J15" s="65" t="inlineStr">
        <is>
          <t>N/D</t>
        </is>
      </c>
      <c r="K15" s="65" t="inlineStr">
        <is>
          <t>N/D</t>
        </is>
      </c>
      <c r="L15" s="127" t="inlineStr">
        <is>
          <t>ARMERIA LENZERINI SAS</t>
        </is>
      </c>
      <c r="M15" s="5" t="n">
        <v>15</v>
      </c>
      <c r="N15" s="5" t="n"/>
      <c r="O15" s="5">
        <f>+M15+N15</f>
        <v/>
      </c>
      <c r="P15" s="4" t="n"/>
      <c r="Q15" s="93" t="n"/>
      <c r="R15" s="5" t="n">
        <v>25</v>
      </c>
      <c r="S15" s="2" t="n">
        <v>1</v>
      </c>
      <c r="T15" s="3" t="inlineStr">
        <is>
          <t>CA42796IR</t>
        </is>
      </c>
      <c r="U15" s="87" t="n">
        <v>45821</v>
      </c>
      <c r="V15" s="3" t="inlineStr">
        <is>
          <t>16</t>
        </is>
      </c>
      <c r="W15" s="108" t="n">
        <v>45821</v>
      </c>
      <c r="X15" s="4" t="inlineStr">
        <is>
          <t>PHILIPPOS COSTANTINIDES TRADING CO. LTD</t>
        </is>
      </c>
    </row>
    <row r="16" ht="24" customHeight="1">
      <c r="A16" s="2">
        <f>+D16-S16</f>
        <v/>
      </c>
      <c r="B16" s="80" t="n"/>
      <c r="C16" s="70" t="n">
        <v>45350</v>
      </c>
      <c r="D16" s="2" t="n">
        <v>1</v>
      </c>
      <c r="E16" s="3" t="inlineStr">
        <is>
          <t>FUCILE SOVRAPPOSTO</t>
        </is>
      </c>
      <c r="F16" s="3" t="n">
        <v>16</v>
      </c>
      <c r="G16" s="3" t="inlineStr">
        <is>
          <t>PASTER</t>
        </is>
      </c>
      <c r="H16" s="65" t="inlineStr">
        <is>
          <t>N/D</t>
        </is>
      </c>
      <c r="I16" s="65" t="n">
        <v>51</v>
      </c>
      <c r="J16" s="65" t="inlineStr">
        <is>
          <t>N/D</t>
        </is>
      </c>
      <c r="K16" s="65" t="inlineStr">
        <is>
          <t>N/D</t>
        </is>
      </c>
      <c r="L16" s="127" t="inlineStr">
        <is>
          <t>ARMERIA LENZERINI SAS</t>
        </is>
      </c>
      <c r="M16" s="5" t="n">
        <v>100</v>
      </c>
      <c r="N16" s="5" t="n"/>
      <c r="O16" s="5">
        <f>+M16+N16</f>
        <v/>
      </c>
      <c r="P16" s="4" t="n"/>
      <c r="Q16" s="93" t="n"/>
      <c r="R16" s="5" t="n">
        <v>115</v>
      </c>
      <c r="S16" s="2" t="n">
        <v>1</v>
      </c>
      <c r="T16" s="3" t="inlineStr">
        <is>
          <t>CA42796IR</t>
        </is>
      </c>
      <c r="U16" s="87" t="n">
        <v>45821</v>
      </c>
      <c r="V16" s="3" t="inlineStr">
        <is>
          <t>10</t>
        </is>
      </c>
      <c r="W16" s="108" t="n">
        <v>45821</v>
      </c>
      <c r="X16" s="4" t="inlineStr">
        <is>
          <t>PHILIPPOS COSTANTINIDES TRADING CO. LTD</t>
        </is>
      </c>
    </row>
    <row r="17" ht="24" customHeight="1">
      <c r="A17" s="2">
        <f>+D17-S17</f>
        <v/>
      </c>
      <c r="B17" s="80" t="n"/>
      <c r="C17" s="70" t="n">
        <v>45379</v>
      </c>
      <c r="D17" s="2" t="n">
        <v>1</v>
      </c>
      <c r="E17" s="3" t="inlineStr">
        <is>
          <t>PISTOLA SEMIAUTOMATICA</t>
        </is>
      </c>
      <c r="F17" s="3" t="inlineStr">
        <is>
          <t>9X19</t>
        </is>
      </c>
      <c r="G17" s="3" t="inlineStr">
        <is>
          <t>H&amp;K</t>
        </is>
      </c>
      <c r="H17" s="65" t="inlineStr">
        <is>
          <t>SFP9-SF</t>
        </is>
      </c>
      <c r="I17" s="65" t="inlineStr">
        <is>
          <t>218-040943</t>
        </is>
      </c>
      <c r="J17" s="65" t="inlineStr">
        <is>
          <t>N/D</t>
        </is>
      </c>
      <c r="K17" s="65" t="inlineStr">
        <is>
          <t>N/D</t>
        </is>
      </c>
      <c r="L17" s="127" t="inlineStr">
        <is>
          <t>TFC SRL</t>
        </is>
      </c>
      <c r="M17" s="5" t="n">
        <v>589</v>
      </c>
      <c r="N17" s="5" t="n"/>
      <c r="O17" s="5">
        <f>+M17+N17</f>
        <v/>
      </c>
      <c r="P17" s="4" t="n"/>
      <c r="Q17" s="93" t="n"/>
      <c r="R17" s="5" t="n">
        <v>665.5</v>
      </c>
      <c r="S17" s="2" t="n">
        <v>1</v>
      </c>
      <c r="T17" s="3" t="inlineStr">
        <is>
          <t>6B/2025/5S</t>
        </is>
      </c>
      <c r="U17" s="87" t="n">
        <v>45963</v>
      </c>
      <c r="V17" s="3" t="inlineStr">
        <is>
          <t>32</t>
        </is>
      </c>
      <c r="W17" s="108" t="n">
        <v>45963</v>
      </c>
      <c r="X17" s="4" t="inlineStr">
        <is>
          <t>BIN HUMAID NATIONAL TRADING CO</t>
        </is>
      </c>
    </row>
    <row r="18" ht="24" customHeight="1">
      <c r="A18" s="2">
        <f>+D18-S18</f>
        <v/>
      </c>
      <c r="B18" s="80" t="n"/>
      <c r="C18" s="70" t="n">
        <v>45379</v>
      </c>
      <c r="D18" s="2" t="n">
        <v>1</v>
      </c>
      <c r="E18" s="3" t="inlineStr">
        <is>
          <t>PISTOLA SEMIAUTOMATICA</t>
        </is>
      </c>
      <c r="F18" s="3" t="inlineStr">
        <is>
          <t>9X19</t>
        </is>
      </c>
      <c r="G18" s="3" t="inlineStr">
        <is>
          <t>H&amp;K</t>
        </is>
      </c>
      <c r="H18" s="65" t="inlineStr">
        <is>
          <t>SFP9-SF</t>
        </is>
      </c>
      <c r="I18" s="65" t="inlineStr">
        <is>
          <t>218-040941</t>
        </is>
      </c>
      <c r="J18" s="65" t="inlineStr">
        <is>
          <t>N/D</t>
        </is>
      </c>
      <c r="K18" s="65" t="inlineStr">
        <is>
          <t>N/D</t>
        </is>
      </c>
      <c r="L18" s="127" t="inlineStr">
        <is>
          <t>TFC SRL</t>
        </is>
      </c>
      <c r="M18" s="5" t="n">
        <v>589</v>
      </c>
      <c r="N18" s="5" t="n"/>
      <c r="O18" s="5">
        <f>+M18+N18</f>
        <v/>
      </c>
      <c r="P18" s="4" t="n"/>
      <c r="Q18" s="93" t="n"/>
      <c r="R18" s="5" t="n">
        <v>665.5</v>
      </c>
      <c r="S18" s="2" t="n">
        <v>1</v>
      </c>
      <c r="T18" s="3" t="inlineStr">
        <is>
          <t>6B/2025/5S</t>
        </is>
      </c>
      <c r="U18" s="87" t="n">
        <v>45963</v>
      </c>
      <c r="V18" s="3" t="inlineStr">
        <is>
          <t>32</t>
        </is>
      </c>
      <c r="W18" s="108" t="n">
        <v>45963</v>
      </c>
      <c r="X18" s="4" t="inlineStr">
        <is>
          <t>BIN HUMAID NATIONAL TRADING CO</t>
        </is>
      </c>
    </row>
    <row r="19" ht="24" customHeight="1">
      <c r="A19" s="2">
        <f>+D19-S19</f>
        <v/>
      </c>
      <c r="B19" s="80" t="n"/>
      <c r="C19" s="70" t="n">
        <v>45379</v>
      </c>
      <c r="D19" s="2" t="n">
        <v>1</v>
      </c>
      <c r="E19" s="3" t="inlineStr">
        <is>
          <t>PISTOLA SEMIAUTOMATICA</t>
        </is>
      </c>
      <c r="F19" s="3" t="inlineStr">
        <is>
          <t>9X19</t>
        </is>
      </c>
      <c r="G19" s="3" t="inlineStr">
        <is>
          <t>H&amp;K</t>
        </is>
      </c>
      <c r="H19" s="65" t="inlineStr">
        <is>
          <t>SFP9-SF</t>
        </is>
      </c>
      <c r="I19" s="65" t="inlineStr">
        <is>
          <t>218-040929</t>
        </is>
      </c>
      <c r="J19" s="65" t="inlineStr">
        <is>
          <t>N/D</t>
        </is>
      </c>
      <c r="K19" s="65" t="inlineStr">
        <is>
          <t>N/D</t>
        </is>
      </c>
      <c r="L19" s="127" t="inlineStr">
        <is>
          <t>TFC SRL</t>
        </is>
      </c>
      <c r="M19" s="5" t="n">
        <v>589</v>
      </c>
      <c r="N19" s="5" t="n"/>
      <c r="O19" s="5">
        <f>+M19+N19</f>
        <v/>
      </c>
      <c r="P19" s="4" t="n"/>
      <c r="Q19" s="93" t="n"/>
      <c r="R19" s="5" t="n">
        <v>665.5</v>
      </c>
      <c r="S19" s="2" t="n">
        <v>1</v>
      </c>
      <c r="T19" s="3" t="inlineStr">
        <is>
          <t>6B/2025/5S</t>
        </is>
      </c>
      <c r="U19" s="87" t="n">
        <v>45963</v>
      </c>
      <c r="V19" s="3" t="inlineStr">
        <is>
          <t>32</t>
        </is>
      </c>
      <c r="W19" s="108" t="n">
        <v>45963</v>
      </c>
      <c r="X19" s="4" t="inlineStr">
        <is>
          <t>BIN HUMAID NATIONAL TRADING CO</t>
        </is>
      </c>
    </row>
    <row r="20" ht="24" customHeight="1">
      <c r="A20" s="2">
        <f>+D20-S20</f>
        <v/>
      </c>
      <c r="B20" s="80" t="n"/>
      <c r="C20" s="70" t="n">
        <v>45379</v>
      </c>
      <c r="D20" s="2" t="n">
        <v>1</v>
      </c>
      <c r="E20" s="3" t="inlineStr">
        <is>
          <t>PISTOLA SEMIAUTOMATICA</t>
        </is>
      </c>
      <c r="F20" s="3" t="inlineStr">
        <is>
          <t>9X19</t>
        </is>
      </c>
      <c r="G20" s="3" t="inlineStr">
        <is>
          <t>H&amp;K</t>
        </is>
      </c>
      <c r="H20" s="65" t="inlineStr">
        <is>
          <t>SFP9-SF</t>
        </is>
      </c>
      <c r="I20" s="65" t="inlineStr">
        <is>
          <t>218-040939</t>
        </is>
      </c>
      <c r="J20" s="65" t="inlineStr">
        <is>
          <t>N/D</t>
        </is>
      </c>
      <c r="K20" s="65" t="inlineStr">
        <is>
          <t>N/D</t>
        </is>
      </c>
      <c r="L20" s="127" t="inlineStr">
        <is>
          <t>TFC SRL</t>
        </is>
      </c>
      <c r="M20" s="5" t="n">
        <v>589</v>
      </c>
      <c r="N20" s="5" t="n"/>
      <c r="O20" s="5">
        <f>+M20+N20</f>
        <v/>
      </c>
      <c r="P20" s="4" t="n"/>
      <c r="Q20" s="93" t="n"/>
      <c r="R20" s="5" t="n">
        <v>665.5</v>
      </c>
      <c r="S20" s="2" t="n">
        <v>1</v>
      </c>
      <c r="T20" s="3" t="inlineStr">
        <is>
          <t>6B/2025/5S</t>
        </is>
      </c>
      <c r="U20" s="87" t="n">
        <v>45963</v>
      </c>
      <c r="V20" s="3" t="inlineStr">
        <is>
          <t>32</t>
        </is>
      </c>
      <c r="W20" s="108" t="n">
        <v>45963</v>
      </c>
      <c r="X20" s="4" t="inlineStr">
        <is>
          <t>BIN HUMAID NATIONAL TRADING CO</t>
        </is>
      </c>
    </row>
    <row r="21" ht="24" customHeight="1">
      <c r="A21" s="2">
        <f>+D21-S21</f>
        <v/>
      </c>
      <c r="B21" s="80" t="n"/>
      <c r="C21" s="70" t="n">
        <v>45379</v>
      </c>
      <c r="D21" s="2" t="n">
        <v>1</v>
      </c>
      <c r="E21" s="3" t="inlineStr">
        <is>
          <t>PISTOLA SEMIAUTOMATICA</t>
        </is>
      </c>
      <c r="F21" s="3" t="inlineStr">
        <is>
          <t>9X19</t>
        </is>
      </c>
      <c r="G21" s="3" t="inlineStr">
        <is>
          <t>H&amp;K</t>
        </is>
      </c>
      <c r="H21" s="65" t="inlineStr">
        <is>
          <t>SFP9-SF</t>
        </is>
      </c>
      <c r="I21" s="65" t="inlineStr">
        <is>
          <t>218-040926</t>
        </is>
      </c>
      <c r="J21" s="65" t="inlineStr">
        <is>
          <t>N/D</t>
        </is>
      </c>
      <c r="K21" s="65" t="inlineStr">
        <is>
          <t>N/D</t>
        </is>
      </c>
      <c r="L21" s="127" t="inlineStr">
        <is>
          <t>TFC SRL</t>
        </is>
      </c>
      <c r="M21" s="5" t="n">
        <v>589</v>
      </c>
      <c r="N21" s="5" t="n"/>
      <c r="O21" s="5">
        <f>+M21+N21</f>
        <v/>
      </c>
      <c r="P21" s="4" t="n"/>
      <c r="Q21" s="93" t="n"/>
      <c r="R21" s="5" t="n">
        <v>665.5</v>
      </c>
      <c r="S21" s="2" t="n">
        <v>1</v>
      </c>
      <c r="T21" s="3" t="inlineStr">
        <is>
          <t>6B/2025/5S</t>
        </is>
      </c>
      <c r="U21" s="87" t="n">
        <v>45963</v>
      </c>
      <c r="V21" s="3" t="inlineStr">
        <is>
          <t>32</t>
        </is>
      </c>
      <c r="W21" s="108" t="n">
        <v>45963</v>
      </c>
      <c r="X21" s="4" t="inlineStr">
        <is>
          <t>BIN HUMAID NATIONAL TRADING CO</t>
        </is>
      </c>
    </row>
    <row r="22" ht="24" customHeight="1">
      <c r="A22" s="2">
        <f>+D22-S22</f>
        <v/>
      </c>
      <c r="B22" s="80" t="n"/>
      <c r="C22" s="70" t="n">
        <v>45379</v>
      </c>
      <c r="D22" s="2" t="n">
        <v>1</v>
      </c>
      <c r="E22" s="3" t="inlineStr">
        <is>
          <t>PISTOLA SEMIAUTOMATICA</t>
        </is>
      </c>
      <c r="F22" s="3" t="inlineStr">
        <is>
          <t>9X19</t>
        </is>
      </c>
      <c r="G22" s="3" t="inlineStr">
        <is>
          <t>H&amp;K</t>
        </is>
      </c>
      <c r="H22" s="65" t="inlineStr">
        <is>
          <t>SFP9-SF</t>
        </is>
      </c>
      <c r="I22" s="65" t="inlineStr">
        <is>
          <t>218-040932</t>
        </is>
      </c>
      <c r="J22" s="65" t="inlineStr">
        <is>
          <t>N/D</t>
        </is>
      </c>
      <c r="K22" s="65" t="inlineStr">
        <is>
          <t>N/D</t>
        </is>
      </c>
      <c r="L22" s="127" t="inlineStr">
        <is>
          <t>TFC SRL</t>
        </is>
      </c>
      <c r="M22" s="5" t="n">
        <v>589</v>
      </c>
      <c r="N22" s="5" t="n"/>
      <c r="O22" s="5">
        <f>+M22+N22</f>
        <v/>
      </c>
      <c r="P22" s="4" t="n"/>
      <c r="Q22" s="93" t="n"/>
      <c r="R22" s="5" t="n">
        <v>665.5</v>
      </c>
      <c r="S22" s="2" t="n">
        <v>1</v>
      </c>
      <c r="T22" s="3" t="inlineStr">
        <is>
          <t>6B/2025/5S</t>
        </is>
      </c>
      <c r="U22" s="87" t="n">
        <v>45963</v>
      </c>
      <c r="V22" s="3" t="inlineStr">
        <is>
          <t>32</t>
        </is>
      </c>
      <c r="W22" s="108" t="n">
        <v>45963</v>
      </c>
      <c r="X22" s="4" t="inlineStr">
        <is>
          <t>BIN HUMAID NATIONAL TRADING CO</t>
        </is>
      </c>
    </row>
    <row r="23" ht="24" customHeight="1">
      <c r="A23" s="2">
        <f>+D23-S23</f>
        <v/>
      </c>
      <c r="B23" s="80" t="n"/>
      <c r="C23" s="70" t="n">
        <v>45379</v>
      </c>
      <c r="D23" s="2" t="n">
        <v>1</v>
      </c>
      <c r="E23" s="3" t="inlineStr">
        <is>
          <t>PISTOLA SEMIAUTOMATICA</t>
        </is>
      </c>
      <c r="F23" s="3" t="inlineStr">
        <is>
          <t>9X19</t>
        </is>
      </c>
      <c r="G23" s="3" t="inlineStr">
        <is>
          <t>H&amp;K</t>
        </is>
      </c>
      <c r="H23" s="65" t="inlineStr">
        <is>
          <t>SFP9-SF</t>
        </is>
      </c>
      <c r="I23" s="65" t="inlineStr">
        <is>
          <t>218-040927</t>
        </is>
      </c>
      <c r="J23" s="65" t="inlineStr">
        <is>
          <t>N/D</t>
        </is>
      </c>
      <c r="K23" s="65" t="inlineStr">
        <is>
          <t>N/D</t>
        </is>
      </c>
      <c r="L23" s="127" t="inlineStr">
        <is>
          <t>TFC SRL</t>
        </is>
      </c>
      <c r="M23" s="5" t="n">
        <v>589</v>
      </c>
      <c r="N23" s="5" t="n"/>
      <c r="O23" s="5">
        <f>+M23+N23</f>
        <v/>
      </c>
      <c r="P23" s="4" t="n"/>
      <c r="Q23" s="93" t="n"/>
      <c r="R23" s="5" t="n">
        <v>665.5</v>
      </c>
      <c r="S23" s="2" t="n">
        <v>1</v>
      </c>
      <c r="T23" s="3" t="inlineStr">
        <is>
          <t>6B/2025/5S</t>
        </is>
      </c>
      <c r="U23" s="87" t="n">
        <v>45963</v>
      </c>
      <c r="V23" s="3" t="inlineStr">
        <is>
          <t>32</t>
        </is>
      </c>
      <c r="W23" s="108" t="n">
        <v>45963</v>
      </c>
      <c r="X23" s="4" t="inlineStr">
        <is>
          <t>BIN HUMAID NATIONAL TRADING CO</t>
        </is>
      </c>
    </row>
    <row r="24" ht="24" customHeight="1">
      <c r="A24" s="2">
        <f>+D24-S24</f>
        <v/>
      </c>
      <c r="B24" s="80" t="n"/>
      <c r="C24" s="120" t="n">
        <v>45390</v>
      </c>
      <c r="D24" s="2" t="n">
        <v>1</v>
      </c>
      <c r="E24" s="3" t="inlineStr">
        <is>
          <t>PISTOLA SEMIAUTOMATICA</t>
        </is>
      </c>
      <c r="F24" s="3" t="inlineStr">
        <is>
          <t>9X21</t>
        </is>
      </c>
      <c r="G24" s="3" t="inlineStr">
        <is>
          <t>BERETTA</t>
        </is>
      </c>
      <c r="H24" s="65" t="inlineStr">
        <is>
          <t>PX4 DELUXE</t>
        </is>
      </c>
      <c r="I24" s="65" t="inlineStr">
        <is>
          <t>PJ00151</t>
        </is>
      </c>
      <c r="J24" s="65" t="inlineStr">
        <is>
          <t>N/D</t>
        </is>
      </c>
      <c r="K24" s="65" t="inlineStr">
        <is>
          <t>N/D</t>
        </is>
      </c>
      <c r="L24" s="127" t="inlineStr">
        <is>
          <t>DALBALCON SRL</t>
        </is>
      </c>
      <c r="M24" s="5" t="n">
        <v>950</v>
      </c>
      <c r="N24" s="5" t="n"/>
      <c r="O24" s="5">
        <f>+M24+N24</f>
        <v/>
      </c>
      <c r="P24" s="4" t="n"/>
      <c r="Q24" s="93" t="n"/>
      <c r="R24" s="5" t="n">
        <v>998</v>
      </c>
      <c r="S24" s="2" t="n">
        <v>1</v>
      </c>
      <c r="T24" s="3" t="inlineStr">
        <is>
          <t>CA04954OS</t>
        </is>
      </c>
      <c r="U24" s="87" t="n">
        <v>45874</v>
      </c>
      <c r="V24" s="3" t="inlineStr">
        <is>
          <t>25</t>
        </is>
      </c>
      <c r="W24" s="4" t="n">
        <v>45874</v>
      </c>
      <c r="X24" s="4" t="inlineStr">
        <is>
          <t>PHILIPPOS COSTANTINIDES TRADING CO. LTD</t>
        </is>
      </c>
    </row>
    <row r="25" ht="24" customHeight="1">
      <c r="A25" s="2">
        <f>+D25-S25</f>
        <v/>
      </c>
      <c r="B25" s="80" t="n"/>
      <c r="C25" s="120" t="n">
        <v>45390</v>
      </c>
      <c r="D25" s="2" t="n">
        <v>1</v>
      </c>
      <c r="E25" s="3" t="inlineStr">
        <is>
          <t>PISTOLA SEMIAUTOMATICA</t>
        </is>
      </c>
      <c r="F25" s="3" t="inlineStr">
        <is>
          <t>9X21</t>
        </is>
      </c>
      <c r="G25" s="3" t="inlineStr">
        <is>
          <t>BERETTA</t>
        </is>
      </c>
      <c r="H25" s="65" t="inlineStr">
        <is>
          <t>PX4 DELUXE</t>
        </is>
      </c>
      <c r="I25" s="65" t="inlineStr">
        <is>
          <t>PJ00121</t>
        </is>
      </c>
      <c r="J25" s="65" t="inlineStr">
        <is>
          <t>N/D</t>
        </is>
      </c>
      <c r="K25" s="65" t="inlineStr">
        <is>
          <t>N/D</t>
        </is>
      </c>
      <c r="L25" s="127" t="inlineStr">
        <is>
          <t>DALBALCON SRL</t>
        </is>
      </c>
      <c r="M25" s="5" t="n">
        <v>950</v>
      </c>
      <c r="N25" s="5" t="n"/>
      <c r="O25" s="5">
        <f>+M25+N25</f>
        <v/>
      </c>
      <c r="P25" s="4" t="n"/>
      <c r="Q25" s="93" t="n"/>
      <c r="R25" s="5" t="n">
        <v>998</v>
      </c>
      <c r="S25" s="2" t="n">
        <v>1</v>
      </c>
      <c r="T25" s="3" t="inlineStr">
        <is>
          <t>CA04954OS</t>
        </is>
      </c>
      <c r="U25" s="87" t="n">
        <v>45874</v>
      </c>
      <c r="V25" s="3" t="inlineStr">
        <is>
          <t>25</t>
        </is>
      </c>
      <c r="W25" s="4" t="n">
        <v>45874</v>
      </c>
      <c r="X25" s="4" t="inlineStr">
        <is>
          <t>PHILIPPOS COSTANTINIDES TRADING CO. LTD</t>
        </is>
      </c>
    </row>
    <row r="26" ht="24" customHeight="1">
      <c r="A26" s="2">
        <f>+D26-S26</f>
        <v/>
      </c>
      <c r="B26" s="80" t="n"/>
      <c r="C26" s="70" t="n">
        <v>45390</v>
      </c>
      <c r="D26" s="2" t="n">
        <v>1</v>
      </c>
      <c r="E26" s="3" t="inlineStr">
        <is>
          <t>FUCILE SOVRAPPOSTO</t>
        </is>
      </c>
      <c r="F26" s="3" t="n">
        <v>12</v>
      </c>
      <c r="G26" s="3" t="inlineStr">
        <is>
          <t>POLI</t>
        </is>
      </c>
      <c r="H26" s="65" t="inlineStr">
        <is>
          <t>N/D</t>
        </is>
      </c>
      <c r="I26" s="65" t="n">
        <v>1014</v>
      </c>
      <c r="J26" s="65" t="inlineStr">
        <is>
          <t>N/D</t>
        </is>
      </c>
      <c r="K26" s="65" t="inlineStr">
        <is>
          <t>N/D</t>
        </is>
      </c>
      <c r="L26" s="127" t="inlineStr">
        <is>
          <t>MANTOVARMI SNC DI BERGHAMASCHI FABIO &amp; C</t>
        </is>
      </c>
      <c r="M26" s="5" t="n">
        <v>112</v>
      </c>
      <c r="N26" s="5" t="n"/>
      <c r="O26" s="5">
        <f>+M26+N26</f>
        <v/>
      </c>
      <c r="P26" s="4" t="n"/>
      <c r="Q26" s="93" t="n"/>
      <c r="R26" s="5" t="n">
        <v>120</v>
      </c>
      <c r="S26" s="2" t="n">
        <v>1</v>
      </c>
      <c r="T26" s="3" t="inlineStr">
        <is>
          <t>CA42796IR</t>
        </is>
      </c>
      <c r="U26" s="87" t="n">
        <v>45821</v>
      </c>
      <c r="V26" s="3" t="inlineStr">
        <is>
          <t>9</t>
        </is>
      </c>
      <c r="W26" s="108" t="n">
        <v>45821</v>
      </c>
      <c r="X26" s="4" t="inlineStr">
        <is>
          <t>PHILIPPOS COSTANTINIDES TRADING CO. LTD</t>
        </is>
      </c>
    </row>
    <row r="27" ht="24" customHeight="1">
      <c r="A27" s="2">
        <f>+D27-S27</f>
        <v/>
      </c>
      <c r="B27" s="80" t="n"/>
      <c r="C27" s="70" t="n">
        <v>45390</v>
      </c>
      <c r="D27" s="2" t="n">
        <v>1</v>
      </c>
      <c r="E27" s="3" t="inlineStr">
        <is>
          <t>FUCILE DOPPIETTA</t>
        </is>
      </c>
      <c r="F27" s="3" t="n">
        <v>12</v>
      </c>
      <c r="G27" s="3" t="inlineStr">
        <is>
          <t>LIEGE</t>
        </is>
      </c>
      <c r="H27" s="65" t="inlineStr">
        <is>
          <t>N/D</t>
        </is>
      </c>
      <c r="I27" s="65" t="n">
        <v>139227</v>
      </c>
      <c r="J27" s="65" t="inlineStr">
        <is>
          <t>N/D</t>
        </is>
      </c>
      <c r="K27" s="65" t="inlineStr">
        <is>
          <t>N/D</t>
        </is>
      </c>
      <c r="L27" s="127" t="inlineStr">
        <is>
          <t>MANTOVARMI SNC DI BERGHAMASCHI FABIO &amp; C</t>
        </is>
      </c>
      <c r="M27" s="5" t="n">
        <v>162</v>
      </c>
      <c r="N27" s="5" t="n"/>
      <c r="O27" s="5">
        <f>+M27+N27</f>
        <v/>
      </c>
      <c r="P27" s="4" t="n"/>
      <c r="Q27" s="93" t="n"/>
      <c r="R27" s="5" t="n">
        <v>100</v>
      </c>
      <c r="S27" s="2" t="n">
        <v>1</v>
      </c>
      <c r="T27" s="3" t="inlineStr">
        <is>
          <t>CA42796IR</t>
        </is>
      </c>
      <c r="U27" s="87" t="n">
        <v>45821</v>
      </c>
      <c r="V27" s="3" t="inlineStr">
        <is>
          <t>14</t>
        </is>
      </c>
      <c r="W27" s="108" t="n">
        <v>45821</v>
      </c>
      <c r="X27" s="4" t="inlineStr">
        <is>
          <t>PHILIPPOS COSTANTINIDES TRADING CO. LTD</t>
        </is>
      </c>
    </row>
    <row r="28" ht="24" customHeight="1">
      <c r="A28" s="2">
        <f>+D28-S28</f>
        <v/>
      </c>
      <c r="B28" s="80" t="n"/>
      <c r="C28" s="70" t="n">
        <v>45390</v>
      </c>
      <c r="D28" s="2" t="n">
        <v>1</v>
      </c>
      <c r="E28" s="3" t="inlineStr">
        <is>
          <t>FUCILE DOPPIETTA</t>
        </is>
      </c>
      <c r="F28" s="3" t="n">
        <v>12</v>
      </c>
      <c r="G28" s="3" t="inlineStr">
        <is>
          <t>ARTIGIANALE</t>
        </is>
      </c>
      <c r="H28" s="65" t="inlineStr">
        <is>
          <t>N/D</t>
        </is>
      </c>
      <c r="I28" s="65" t="n">
        <v>3898</v>
      </c>
      <c r="J28" s="65" t="inlineStr">
        <is>
          <t>N/D</t>
        </is>
      </c>
      <c r="K28" s="65" t="inlineStr">
        <is>
          <t>N/D</t>
        </is>
      </c>
      <c r="L28" s="127" t="inlineStr">
        <is>
          <t>MANTOVARMI SNC DI BERGHAMASCHI FABIO &amp; C</t>
        </is>
      </c>
      <c r="M28" s="5" t="n">
        <v>162</v>
      </c>
      <c r="N28" s="5" t="n"/>
      <c r="O28" s="5">
        <f>+M28+N28</f>
        <v/>
      </c>
      <c r="P28" s="4" t="n"/>
      <c r="Q28" s="93" t="n"/>
      <c r="R28" s="5" t="n">
        <v>120</v>
      </c>
      <c r="S28" s="2" t="n">
        <v>1</v>
      </c>
      <c r="T28" s="3" t="inlineStr">
        <is>
          <t>CA42796IR</t>
        </is>
      </c>
      <c r="U28" s="87" t="n">
        <v>45821</v>
      </c>
      <c r="V28" s="3" t="inlineStr">
        <is>
          <t>12</t>
        </is>
      </c>
      <c r="W28" s="108" t="n">
        <v>45821</v>
      </c>
      <c r="X28" s="4" t="inlineStr">
        <is>
          <t>PHILIPPOS COSTANTINIDES TRADING CO. LTD</t>
        </is>
      </c>
    </row>
    <row r="29" ht="24" customHeight="1">
      <c r="A29" s="2">
        <f>+D29-S29</f>
        <v/>
      </c>
      <c r="B29" s="80" t="n"/>
      <c r="C29" s="70" t="n">
        <v>45390</v>
      </c>
      <c r="D29" s="2" t="n">
        <v>1</v>
      </c>
      <c r="E29" s="3" t="inlineStr">
        <is>
          <t>FUCILE DOPPIETTA</t>
        </is>
      </c>
      <c r="F29" s="3" t="n">
        <v>12</v>
      </c>
      <c r="G29" s="3" t="inlineStr">
        <is>
          <t>CASTELLANI</t>
        </is>
      </c>
      <c r="H29" s="65" t="inlineStr">
        <is>
          <t>N/D</t>
        </is>
      </c>
      <c r="I29" s="65" t="n">
        <v>8479</v>
      </c>
      <c r="J29" s="65" t="inlineStr">
        <is>
          <t>N/D</t>
        </is>
      </c>
      <c r="K29" s="65" t="inlineStr">
        <is>
          <t>N/D</t>
        </is>
      </c>
      <c r="L29" s="127" t="inlineStr">
        <is>
          <t>MANTOVARMI SNC DI BERGHAMASCHI FABIO &amp; C</t>
        </is>
      </c>
      <c r="M29" s="5" t="n">
        <v>162</v>
      </c>
      <c r="N29" s="5" t="n"/>
      <c r="O29" s="5">
        <f>+M29+N29</f>
        <v/>
      </c>
      <c r="P29" s="4" t="n"/>
      <c r="Q29" s="93" t="n"/>
      <c r="R29" s="5" t="n">
        <v>120</v>
      </c>
      <c r="S29" s="2" t="n">
        <v>1</v>
      </c>
      <c r="T29" s="3" t="inlineStr">
        <is>
          <t>CA42796IR</t>
        </is>
      </c>
      <c r="U29" s="87" t="n">
        <v>45821</v>
      </c>
      <c r="V29" s="3" t="inlineStr">
        <is>
          <t>14</t>
        </is>
      </c>
      <c r="W29" s="108" t="n">
        <v>45821</v>
      </c>
      <c r="X29" s="4" t="inlineStr">
        <is>
          <t>PHILIPPOS COSTANTINIDES TRADING CO. LTD</t>
        </is>
      </c>
    </row>
    <row r="30" ht="24" customHeight="1">
      <c r="A30" s="2">
        <f>+D30-S30</f>
        <v/>
      </c>
      <c r="B30" s="80" t="n"/>
      <c r="C30" s="70" t="n">
        <v>45390</v>
      </c>
      <c r="D30" s="2" t="n">
        <v>1</v>
      </c>
      <c r="E30" s="3" t="inlineStr">
        <is>
          <t>FUCILE DOPPIETTA</t>
        </is>
      </c>
      <c r="F30" s="3" t="n">
        <v>12</v>
      </c>
      <c r="G30" s="3" t="inlineStr">
        <is>
          <t>FONTANESI</t>
        </is>
      </c>
      <c r="H30" s="65" t="inlineStr">
        <is>
          <t>N/D</t>
        </is>
      </c>
      <c r="I30" s="65" t="n">
        <v>6820</v>
      </c>
      <c r="J30" s="65" t="inlineStr">
        <is>
          <t>N/D</t>
        </is>
      </c>
      <c r="K30" s="65" t="inlineStr">
        <is>
          <t>N/D</t>
        </is>
      </c>
      <c r="L30" s="127" t="inlineStr">
        <is>
          <t>MANTOVARMI SNC DI BERGHAMASCHI FABIO &amp; C</t>
        </is>
      </c>
      <c r="M30" s="5" t="n">
        <v>112</v>
      </c>
      <c r="N30" s="5" t="n"/>
      <c r="O30" s="5">
        <f>+M30+N30</f>
        <v/>
      </c>
      <c r="P30" s="4" t="n"/>
      <c r="Q30" s="93" t="n"/>
      <c r="R30" s="5" t="n">
        <v>92</v>
      </c>
      <c r="S30" s="2" t="n">
        <v>1</v>
      </c>
      <c r="T30" s="3" t="inlineStr">
        <is>
          <t>CA42796IR</t>
        </is>
      </c>
      <c r="U30" s="87" t="n">
        <v>45821</v>
      </c>
      <c r="V30" s="3" t="inlineStr">
        <is>
          <t>13</t>
        </is>
      </c>
      <c r="W30" s="108" t="n">
        <v>45821</v>
      </c>
      <c r="X30" s="4" t="inlineStr">
        <is>
          <t>PHILIPPOS COSTANTINIDES TRADING CO. LTD</t>
        </is>
      </c>
    </row>
    <row r="31" ht="24" customHeight="1">
      <c r="A31" s="2">
        <f>+D31-S31</f>
        <v/>
      </c>
      <c r="B31" s="80" t="n"/>
      <c r="C31" s="70" t="n">
        <v>45390</v>
      </c>
      <c r="D31" s="2" t="n">
        <v>1</v>
      </c>
      <c r="E31" s="3" t="inlineStr">
        <is>
          <t>FUCILE DOPPIETTA</t>
        </is>
      </c>
      <c r="F31" s="3" t="n">
        <v>12</v>
      </c>
      <c r="G31" s="3" t="inlineStr">
        <is>
          <t>GUERINI</t>
        </is>
      </c>
      <c r="H31" s="65" t="inlineStr">
        <is>
          <t>N/D</t>
        </is>
      </c>
      <c r="I31" s="65" t="n">
        <v>926</v>
      </c>
      <c r="J31" s="65" t="inlineStr">
        <is>
          <t>N/D</t>
        </is>
      </c>
      <c r="K31" s="65" t="inlineStr">
        <is>
          <t>N/D</t>
        </is>
      </c>
      <c r="L31" s="127" t="inlineStr">
        <is>
          <t>MANTOVARMI SNC DI BERGHAMASCHI FABIO &amp; C</t>
        </is>
      </c>
      <c r="M31" s="5" t="n">
        <v>162</v>
      </c>
      <c r="N31" s="5" t="n"/>
      <c r="O31" s="5">
        <f>+M31+N31</f>
        <v/>
      </c>
      <c r="P31" s="4" t="n"/>
      <c r="Q31" s="93" t="n"/>
      <c r="R31" s="5" t="n">
        <v>100</v>
      </c>
      <c r="S31" s="2" t="n">
        <v>1</v>
      </c>
      <c r="T31" s="3" t="inlineStr">
        <is>
          <t>CA42796IR</t>
        </is>
      </c>
      <c r="U31" s="87" t="n">
        <v>45821</v>
      </c>
      <c r="V31" s="3" t="inlineStr">
        <is>
          <t>14</t>
        </is>
      </c>
      <c r="W31" s="108" t="n">
        <v>45821</v>
      </c>
      <c r="X31" s="4" t="inlineStr">
        <is>
          <t>PHILIPPOS COSTANTINIDES TRADING CO. LTD</t>
        </is>
      </c>
    </row>
    <row r="32" ht="24" customHeight="1">
      <c r="A32" s="2">
        <f>+D32-S32</f>
        <v/>
      </c>
      <c r="B32" s="80" t="n"/>
      <c r="C32" s="70" t="n">
        <v>45390</v>
      </c>
      <c r="D32" s="2" t="n">
        <v>1</v>
      </c>
      <c r="E32" s="3" t="inlineStr">
        <is>
          <t>FUCILE DOPPIETTA</t>
        </is>
      </c>
      <c r="F32" s="3" t="n">
        <v>20</v>
      </c>
      <c r="G32" s="3" t="inlineStr">
        <is>
          <t>FERUNION</t>
        </is>
      </c>
      <c r="H32" s="65" t="inlineStr">
        <is>
          <t>N/D</t>
        </is>
      </c>
      <c r="I32" s="65" t="inlineStr">
        <is>
          <t>G2122</t>
        </is>
      </c>
      <c r="J32" s="65" t="inlineStr">
        <is>
          <t>N/D</t>
        </is>
      </c>
      <c r="K32" s="65" t="inlineStr">
        <is>
          <t>N/D</t>
        </is>
      </c>
      <c r="L32" s="127" t="inlineStr">
        <is>
          <t>MANTOVARMI SNC DI BERGHAMASCHI FABIO &amp; C</t>
        </is>
      </c>
      <c r="M32" s="5" t="n">
        <v>112</v>
      </c>
      <c r="N32" s="5" t="n"/>
      <c r="O32" s="5">
        <f>+M32+N32</f>
        <v/>
      </c>
      <c r="P32" s="4" t="n"/>
      <c r="Q32" s="93" t="n"/>
      <c r="R32" s="5" t="n">
        <v>100</v>
      </c>
      <c r="S32" s="2" t="n">
        <v>1</v>
      </c>
      <c r="T32" s="3" t="inlineStr">
        <is>
          <t>CA42796IR</t>
        </is>
      </c>
      <c r="U32" s="87" t="n">
        <v>45821</v>
      </c>
      <c r="V32" s="3" t="inlineStr">
        <is>
          <t>14</t>
        </is>
      </c>
      <c r="W32" s="108" t="n">
        <v>45821</v>
      </c>
      <c r="X32" s="4" t="inlineStr">
        <is>
          <t>PHILIPPOS COSTANTINIDES TRADING CO. LTD</t>
        </is>
      </c>
    </row>
    <row r="33" ht="24" customHeight="1">
      <c r="A33" s="2">
        <f>+D33-S33</f>
        <v/>
      </c>
      <c r="B33" s="80" t="n"/>
      <c r="C33" s="70" t="n">
        <v>45390</v>
      </c>
      <c r="D33" s="2" t="n">
        <v>1</v>
      </c>
      <c r="E33" s="3" t="inlineStr">
        <is>
          <t>FUCILE DOPPIETTA</t>
        </is>
      </c>
      <c r="F33" s="3" t="n">
        <v>12</v>
      </c>
      <c r="G33" s="3" t="inlineStr">
        <is>
          <t>FANTINELLI</t>
        </is>
      </c>
      <c r="H33" s="65" t="inlineStr">
        <is>
          <t>N/D</t>
        </is>
      </c>
      <c r="I33" s="65" t="inlineStr">
        <is>
          <t>10078F-7117</t>
        </is>
      </c>
      <c r="J33" s="65" t="inlineStr">
        <is>
          <t>N/D</t>
        </is>
      </c>
      <c r="K33" s="65" t="inlineStr">
        <is>
          <t>N/D</t>
        </is>
      </c>
      <c r="L33" s="127" t="inlineStr">
        <is>
          <t>MANTOVARMI SNC DI BERGHAMASCHI FABIO &amp; C</t>
        </is>
      </c>
      <c r="M33" s="5" t="n">
        <v>162</v>
      </c>
      <c r="N33" s="5" t="n"/>
      <c r="O33" s="5">
        <f>+M33+N33</f>
        <v/>
      </c>
      <c r="P33" s="4" t="n"/>
      <c r="Q33" s="93" t="n"/>
      <c r="R33" s="5" t="n">
        <v>120</v>
      </c>
      <c r="S33" s="2" t="n">
        <v>1</v>
      </c>
      <c r="T33" s="3" t="inlineStr">
        <is>
          <t>CA42796IR</t>
        </is>
      </c>
      <c r="U33" s="87" t="n">
        <v>45821</v>
      </c>
      <c r="V33" s="3" t="inlineStr">
        <is>
          <t>15</t>
        </is>
      </c>
      <c r="W33" s="108" t="n">
        <v>45821</v>
      </c>
      <c r="X33" s="4" t="inlineStr">
        <is>
          <t>PHILIPPOS COSTANTINIDES TRADING CO. LTD</t>
        </is>
      </c>
    </row>
    <row r="34" ht="24" customHeight="1">
      <c r="A34" s="2">
        <f>+D34-S34</f>
        <v/>
      </c>
      <c r="B34" s="80" t="n"/>
      <c r="C34" s="70" t="n">
        <v>45390</v>
      </c>
      <c r="D34" s="2" t="n">
        <v>1</v>
      </c>
      <c r="E34" s="3" t="inlineStr">
        <is>
          <t>FUCILE DOPPIETTA</t>
        </is>
      </c>
      <c r="F34" s="3" t="n">
        <v>12</v>
      </c>
      <c r="G34" s="3" t="inlineStr">
        <is>
          <t>BRUNELLI</t>
        </is>
      </c>
      <c r="H34" s="65" t="inlineStr">
        <is>
          <t>N/D</t>
        </is>
      </c>
      <c r="I34" s="65" t="n">
        <v>520</v>
      </c>
      <c r="J34" s="65" t="inlineStr">
        <is>
          <t>N/D</t>
        </is>
      </c>
      <c r="K34" s="65" t="inlineStr">
        <is>
          <t>N/D</t>
        </is>
      </c>
      <c r="L34" s="127" t="inlineStr">
        <is>
          <t>MANTOVARMI SNC DI BERGHAMASCHI FABIO &amp; C</t>
        </is>
      </c>
      <c r="M34" s="5" t="n">
        <v>112</v>
      </c>
      <c r="N34" s="5" t="n"/>
      <c r="O34" s="5">
        <f>+M34+N34</f>
        <v/>
      </c>
      <c r="P34" s="4" t="n"/>
      <c r="Q34" s="93" t="n"/>
      <c r="R34" s="5" t="n">
        <v>100</v>
      </c>
      <c r="S34" s="2" t="n">
        <v>1</v>
      </c>
      <c r="T34" s="3" t="inlineStr">
        <is>
          <t>CA42796IR</t>
        </is>
      </c>
      <c r="U34" s="87" t="n">
        <v>45821</v>
      </c>
      <c r="V34" s="3" t="inlineStr">
        <is>
          <t>12</t>
        </is>
      </c>
      <c r="W34" s="108" t="n">
        <v>45821</v>
      </c>
      <c r="X34" s="4" t="inlineStr">
        <is>
          <t>PHILIPPOS COSTANTINIDES TRADING CO. LTD</t>
        </is>
      </c>
    </row>
    <row r="35" ht="24" customHeight="1">
      <c r="A35" s="2">
        <f>+D35-S35</f>
        <v/>
      </c>
      <c r="B35" s="80" t="n"/>
      <c r="C35" s="70" t="n">
        <v>45390</v>
      </c>
      <c r="D35" s="2" t="n">
        <v>1</v>
      </c>
      <c r="E35" s="3" t="inlineStr">
        <is>
          <t>FUCILE DOPPIETTA</t>
        </is>
      </c>
      <c r="F35" s="3" t="n">
        <v>16</v>
      </c>
      <c r="G35" s="3" t="inlineStr">
        <is>
          <t>MAROCCHI</t>
        </is>
      </c>
      <c r="H35" s="65" t="inlineStr">
        <is>
          <t>N/D</t>
        </is>
      </c>
      <c r="I35" s="65" t="n">
        <v>143427</v>
      </c>
      <c r="J35" s="65" t="inlineStr">
        <is>
          <t>N/D</t>
        </is>
      </c>
      <c r="K35" s="65" t="inlineStr">
        <is>
          <t>N/D</t>
        </is>
      </c>
      <c r="L35" s="127" t="inlineStr">
        <is>
          <t>MANTOVARMI SNC DI BERGHAMASCHI FABIO &amp; C</t>
        </is>
      </c>
      <c r="M35" s="5" t="n">
        <v>112</v>
      </c>
      <c r="N35" s="5" t="n"/>
      <c r="O35" s="5">
        <f>+M35+N35</f>
        <v/>
      </c>
      <c r="P35" s="4" t="n"/>
      <c r="Q35" s="93" t="n"/>
      <c r="R35" s="5" t="n">
        <v>100</v>
      </c>
      <c r="S35" s="2" t="n">
        <v>1</v>
      </c>
      <c r="T35" s="3" t="inlineStr">
        <is>
          <t>CA42796IR</t>
        </is>
      </c>
      <c r="U35" s="87" t="n">
        <v>45821</v>
      </c>
      <c r="V35" s="3" t="inlineStr">
        <is>
          <t>14</t>
        </is>
      </c>
      <c r="W35" s="108" t="n">
        <v>45821</v>
      </c>
      <c r="X35" s="4" t="inlineStr">
        <is>
          <t>PHILIPPOS COSTANTINIDES TRADING CO. LTD</t>
        </is>
      </c>
    </row>
    <row r="36" ht="24" customHeight="1">
      <c r="A36" s="2">
        <f>+D36-S36</f>
        <v/>
      </c>
      <c r="B36" s="80" t="n"/>
      <c r="C36" s="70" t="n">
        <v>45390</v>
      </c>
      <c r="D36" s="2" t="n">
        <v>1</v>
      </c>
      <c r="E36" s="3" t="inlineStr">
        <is>
          <t>FUCILE DOPPIETTA</t>
        </is>
      </c>
      <c r="F36" s="3" t="n">
        <v>12</v>
      </c>
      <c r="G36" s="3" t="inlineStr">
        <is>
          <t>LANCELLOTTI</t>
        </is>
      </c>
      <c r="H36" s="65" t="inlineStr">
        <is>
          <t>N/D</t>
        </is>
      </c>
      <c r="I36" s="65" t="n">
        <v>5808</v>
      </c>
      <c r="J36" s="65" t="inlineStr">
        <is>
          <t>N/D</t>
        </is>
      </c>
      <c r="K36" s="65" t="inlineStr">
        <is>
          <t>N/D</t>
        </is>
      </c>
      <c r="L36" s="127" t="inlineStr">
        <is>
          <t>MANTOVARMI SNC DI BERGHAMASCHI FABIO &amp; C</t>
        </is>
      </c>
      <c r="M36" s="5" t="n">
        <v>162</v>
      </c>
      <c r="N36" s="5" t="n"/>
      <c r="O36" s="5">
        <f>+M36+N36</f>
        <v/>
      </c>
      <c r="P36" s="4" t="n"/>
      <c r="Q36" s="93" t="n"/>
      <c r="R36" s="5" t="n">
        <v>92</v>
      </c>
      <c r="S36" s="2" t="n">
        <v>1</v>
      </c>
      <c r="T36" s="3" t="inlineStr">
        <is>
          <t>CA42796IR</t>
        </is>
      </c>
      <c r="U36" s="87" t="n">
        <v>45821</v>
      </c>
      <c r="V36" s="3" t="inlineStr">
        <is>
          <t>14</t>
        </is>
      </c>
      <c r="W36" s="108" t="n">
        <v>45821</v>
      </c>
      <c r="X36" s="4" t="inlineStr">
        <is>
          <t>PHILIPPOS COSTANTINIDES TRADING CO. LTD</t>
        </is>
      </c>
    </row>
    <row r="37" ht="24" customHeight="1">
      <c r="A37" s="2">
        <f>+D37-S37</f>
        <v/>
      </c>
      <c r="B37" s="80" t="n"/>
      <c r="C37" s="70" t="n">
        <v>45390</v>
      </c>
      <c r="D37" s="2" t="n">
        <v>1</v>
      </c>
      <c r="E37" s="3" t="inlineStr">
        <is>
          <t>FUCILE DOPPIETTA</t>
        </is>
      </c>
      <c r="F37" s="3" t="n">
        <v>12</v>
      </c>
      <c r="G37" s="3" t="inlineStr">
        <is>
          <t>ARTIGIANALE</t>
        </is>
      </c>
      <c r="H37" s="65" t="inlineStr">
        <is>
          <t>N/D</t>
        </is>
      </c>
      <c r="I37" s="65" t="n">
        <v>530</v>
      </c>
      <c r="J37" s="65" t="inlineStr">
        <is>
          <t>N/D</t>
        </is>
      </c>
      <c r="K37" s="65" t="inlineStr">
        <is>
          <t>N/D</t>
        </is>
      </c>
      <c r="L37" s="127" t="inlineStr">
        <is>
          <t>MANTOVARMI SNC DI BERGHAMASCHI FABIO &amp; C</t>
        </is>
      </c>
      <c r="M37" s="5" t="n">
        <v>112</v>
      </c>
      <c r="N37" s="5" t="n"/>
      <c r="O37" s="5">
        <f>+M37+N37</f>
        <v/>
      </c>
      <c r="P37" s="4" t="n"/>
      <c r="Q37" s="93" t="n"/>
      <c r="R37" s="5" t="n">
        <v>100</v>
      </c>
      <c r="S37" s="2" t="n">
        <v>1</v>
      </c>
      <c r="T37" s="3" t="inlineStr">
        <is>
          <t>CA42796IR</t>
        </is>
      </c>
      <c r="U37" s="87" t="n">
        <v>45821</v>
      </c>
      <c r="V37" s="3" t="inlineStr">
        <is>
          <t>12</t>
        </is>
      </c>
      <c r="W37" s="108" t="n">
        <v>45821</v>
      </c>
      <c r="X37" s="4" t="inlineStr">
        <is>
          <t>PHILIPPOS COSTANTINIDES TRADING CO. LTD</t>
        </is>
      </c>
    </row>
    <row r="38" ht="24" customHeight="1">
      <c r="A38" s="2">
        <f>+D38-S38</f>
        <v/>
      </c>
      <c r="B38" s="80" t="n"/>
      <c r="C38" s="70" t="n">
        <v>45390</v>
      </c>
      <c r="D38" s="2" t="n">
        <v>1</v>
      </c>
      <c r="E38" s="3" t="inlineStr">
        <is>
          <t>FUCILE DOPPIETTA</t>
        </is>
      </c>
      <c r="F38" s="3" t="n">
        <v>12</v>
      </c>
      <c r="G38" s="3" t="inlineStr">
        <is>
          <t>BERNARDELLI</t>
        </is>
      </c>
      <c r="H38" s="65" t="inlineStr">
        <is>
          <t>N/D</t>
        </is>
      </c>
      <c r="I38" s="65" t="n">
        <v>734</v>
      </c>
      <c r="J38" s="65" t="inlineStr">
        <is>
          <t>N/D</t>
        </is>
      </c>
      <c r="K38" s="65" t="inlineStr">
        <is>
          <t>N/D</t>
        </is>
      </c>
      <c r="L38" s="127" t="inlineStr">
        <is>
          <t>MANTOVARMI SNC DI BERGHAMASCHI FABIO &amp; C</t>
        </is>
      </c>
      <c r="M38" s="5" t="n">
        <v>112</v>
      </c>
      <c r="N38" s="5" t="n"/>
      <c r="O38" s="5">
        <f>+M38+N38</f>
        <v/>
      </c>
      <c r="P38" s="4" t="n"/>
      <c r="Q38" s="93" t="n"/>
      <c r="R38" s="5" t="n">
        <v>67</v>
      </c>
      <c r="S38" s="2" t="n">
        <v>1</v>
      </c>
      <c r="T38" s="3" t="inlineStr">
        <is>
          <t>CA42796IR</t>
        </is>
      </c>
      <c r="U38" s="87" t="n">
        <v>45821</v>
      </c>
      <c r="V38" s="3" t="inlineStr">
        <is>
          <t>13</t>
        </is>
      </c>
      <c r="W38" s="108" t="n">
        <v>45821</v>
      </c>
      <c r="X38" s="4" t="inlineStr">
        <is>
          <t>PHILIPPOS COSTANTINIDES TRADING CO. LTD</t>
        </is>
      </c>
    </row>
    <row r="39" ht="24" customHeight="1">
      <c r="A39" s="2">
        <f>+D39-S39</f>
        <v/>
      </c>
      <c r="B39" s="80" t="n"/>
      <c r="C39" s="70" t="n">
        <v>45390</v>
      </c>
      <c r="D39" s="2" t="n">
        <v>1</v>
      </c>
      <c r="E39" s="3" t="inlineStr">
        <is>
          <t>FUCILE DOPPIETTA</t>
        </is>
      </c>
      <c r="F39" s="3" t="n">
        <v>12</v>
      </c>
      <c r="G39" s="3" t="inlineStr">
        <is>
          <t>SENZAMARCA</t>
        </is>
      </c>
      <c r="H39" s="65" t="inlineStr">
        <is>
          <t>N/D</t>
        </is>
      </c>
      <c r="I39" s="65" t="inlineStr">
        <is>
          <t>34D</t>
        </is>
      </c>
      <c r="J39" s="65" t="inlineStr">
        <is>
          <t>N/D</t>
        </is>
      </c>
      <c r="K39" s="65" t="inlineStr">
        <is>
          <t>N/D</t>
        </is>
      </c>
      <c r="L39" s="127" t="inlineStr">
        <is>
          <t>MANTOVARMI SNC DI BERGHAMASCHI FABIO &amp; C</t>
        </is>
      </c>
      <c r="M39" s="5" t="n">
        <v>112</v>
      </c>
      <c r="N39" s="5" t="n"/>
      <c r="O39" s="5">
        <f>+M39+N39</f>
        <v/>
      </c>
      <c r="P39" s="4" t="n"/>
      <c r="Q39" s="93" t="n"/>
      <c r="R39" s="5" t="n">
        <v>67</v>
      </c>
      <c r="S39" s="2" t="n">
        <v>1</v>
      </c>
      <c r="T39" s="3" t="inlineStr">
        <is>
          <t>CA42796IR</t>
        </is>
      </c>
      <c r="U39" s="87" t="n">
        <v>45821</v>
      </c>
      <c r="V39" s="3" t="inlineStr">
        <is>
          <t>12</t>
        </is>
      </c>
      <c r="W39" s="108" t="n">
        <v>45821</v>
      </c>
      <c r="X39" s="4" t="inlineStr">
        <is>
          <t>PHILIPPOS COSTANTINIDES TRADING CO. LTD</t>
        </is>
      </c>
    </row>
    <row r="40" ht="24" customHeight="1">
      <c r="A40" s="2">
        <f>+D40-S40</f>
        <v/>
      </c>
      <c r="B40" s="80" t="n"/>
      <c r="C40" s="70" t="n">
        <v>45390</v>
      </c>
      <c r="D40" s="2" t="n">
        <v>1</v>
      </c>
      <c r="E40" s="3" t="inlineStr">
        <is>
          <t>FUCILE DOPPIETTA</t>
        </is>
      </c>
      <c r="F40" s="3" t="n">
        <v>16</v>
      </c>
      <c r="G40" s="3" t="inlineStr">
        <is>
          <t>DAMAS</t>
        </is>
      </c>
      <c r="H40" s="65" t="inlineStr">
        <is>
          <t>N/D</t>
        </is>
      </c>
      <c r="I40" s="65" t="n">
        <v>307470</v>
      </c>
      <c r="J40" s="65" t="inlineStr">
        <is>
          <t>N/D</t>
        </is>
      </c>
      <c r="K40" s="65" t="inlineStr">
        <is>
          <t>N/D</t>
        </is>
      </c>
      <c r="L40" s="127" t="inlineStr">
        <is>
          <t>MANTOVARMI SNC DI BERGHAMASCHI FABIO &amp; C</t>
        </is>
      </c>
      <c r="M40" s="5" t="n">
        <v>112</v>
      </c>
      <c r="N40" s="5" t="n"/>
      <c r="O40" s="5">
        <f>+M40+N40</f>
        <v/>
      </c>
      <c r="P40" s="4" t="n"/>
      <c r="Q40" s="93" t="n"/>
      <c r="R40" s="5" t="n">
        <v>67</v>
      </c>
      <c r="S40" s="2" t="n">
        <v>1</v>
      </c>
      <c r="T40" s="3" t="inlineStr">
        <is>
          <t>CA42796IR</t>
        </is>
      </c>
      <c r="U40" s="87" t="n">
        <v>45821</v>
      </c>
      <c r="V40" s="3" t="inlineStr">
        <is>
          <t>14</t>
        </is>
      </c>
      <c r="W40" s="108" t="n">
        <v>45821</v>
      </c>
      <c r="X40" s="4" t="inlineStr">
        <is>
          <t>PHILIPPOS COSTANTINIDES TRADING CO. LTD</t>
        </is>
      </c>
    </row>
    <row r="41" ht="24" customHeight="1">
      <c r="A41" s="2">
        <f>+D41-S41</f>
        <v/>
      </c>
      <c r="B41" s="80" t="n"/>
      <c r="C41" s="70" t="n">
        <v>45390</v>
      </c>
      <c r="D41" s="2" t="n">
        <v>1</v>
      </c>
      <c r="E41" s="3" t="inlineStr">
        <is>
          <t>FUCILE DOPPIETTA</t>
        </is>
      </c>
      <c r="F41" s="3" t="n">
        <v>12</v>
      </c>
      <c r="G41" s="3" t="inlineStr">
        <is>
          <t>DUMOULIN</t>
        </is>
      </c>
      <c r="H41" s="65" t="inlineStr">
        <is>
          <t>N/D</t>
        </is>
      </c>
      <c r="I41" s="65" t="n">
        <v>83275</v>
      </c>
      <c r="J41" s="65" t="inlineStr">
        <is>
          <t>N/D</t>
        </is>
      </c>
      <c r="K41" s="65" t="inlineStr">
        <is>
          <t>N/D</t>
        </is>
      </c>
      <c r="L41" s="127" t="inlineStr">
        <is>
          <t>MANTOVARMI SNC DI BERGHAMASCHI FABIO &amp; C</t>
        </is>
      </c>
      <c r="M41" s="5" t="n">
        <v>112</v>
      </c>
      <c r="N41" s="5" t="n"/>
      <c r="O41" s="5">
        <f>+M41+N41</f>
        <v/>
      </c>
      <c r="P41" s="4" t="n"/>
      <c r="Q41" s="93" t="n"/>
      <c r="R41" s="5" t="n">
        <v>67</v>
      </c>
      <c r="S41" s="2" t="n">
        <v>1</v>
      </c>
      <c r="T41" s="3" t="inlineStr">
        <is>
          <t>CA42796IR</t>
        </is>
      </c>
      <c r="U41" s="87" t="n">
        <v>45821</v>
      </c>
      <c r="V41" s="3" t="inlineStr">
        <is>
          <t>14</t>
        </is>
      </c>
      <c r="W41" s="108" t="n">
        <v>45821</v>
      </c>
      <c r="X41" s="4" t="inlineStr">
        <is>
          <t>PHILIPPOS COSTANTINIDES TRADING CO. LTD</t>
        </is>
      </c>
    </row>
    <row r="42" ht="24" customHeight="1">
      <c r="A42" s="2">
        <f>+D42-S42</f>
        <v/>
      </c>
      <c r="B42" s="80" t="n"/>
      <c r="C42" s="70" t="n">
        <v>45390</v>
      </c>
      <c r="D42" s="2" t="n">
        <v>1</v>
      </c>
      <c r="E42" s="3" t="inlineStr">
        <is>
          <t>FUCILE DOPPIETTA</t>
        </is>
      </c>
      <c r="F42" s="3" t="n">
        <v>12</v>
      </c>
      <c r="G42" s="3" t="inlineStr">
        <is>
          <t>KRUPP</t>
        </is>
      </c>
      <c r="H42" s="65" t="inlineStr">
        <is>
          <t>N/D</t>
        </is>
      </c>
      <c r="I42" s="65" t="n">
        <v>77</v>
      </c>
      <c r="J42" s="65" t="inlineStr">
        <is>
          <t>N/D</t>
        </is>
      </c>
      <c r="K42" s="65" t="inlineStr">
        <is>
          <t>N/D</t>
        </is>
      </c>
      <c r="L42" s="127" t="inlineStr">
        <is>
          <t>MANTOVARMI SNC DI BERGHAMASCHI FABIO &amp; C</t>
        </is>
      </c>
      <c r="M42" s="5" t="n">
        <v>112</v>
      </c>
      <c r="N42" s="5" t="n"/>
      <c r="O42" s="5">
        <f>+M42+N42</f>
        <v/>
      </c>
      <c r="P42" s="4" t="n"/>
      <c r="Q42" s="93" t="n"/>
      <c r="R42" s="5" t="n">
        <v>120</v>
      </c>
      <c r="S42" s="2" t="n">
        <v>1</v>
      </c>
      <c r="T42" s="3" t="inlineStr">
        <is>
          <t>CA42796IR</t>
        </is>
      </c>
      <c r="U42" s="87" t="n">
        <v>45821</v>
      </c>
      <c r="V42" s="3" t="inlineStr">
        <is>
          <t>14</t>
        </is>
      </c>
      <c r="W42" s="108" t="n">
        <v>45821</v>
      </c>
      <c r="X42" s="4" t="inlineStr">
        <is>
          <t>PHILIPPOS COSTANTINIDES TRADING CO. LTD</t>
        </is>
      </c>
    </row>
    <row r="43" ht="24" customHeight="1">
      <c r="A43" s="2">
        <f>+D43-S43</f>
        <v/>
      </c>
      <c r="B43" s="80" t="n"/>
      <c r="C43" s="70" t="n">
        <v>45390</v>
      </c>
      <c r="D43" s="2" t="n">
        <v>1</v>
      </c>
      <c r="E43" s="3" t="inlineStr">
        <is>
          <t>FUCILE DOPPIETTA</t>
        </is>
      </c>
      <c r="F43" s="3" t="n">
        <v>12</v>
      </c>
      <c r="G43" s="3" t="inlineStr">
        <is>
          <t>BERETTA</t>
        </is>
      </c>
      <c r="H43" s="65" t="inlineStr">
        <is>
          <t>N/D</t>
        </is>
      </c>
      <c r="I43" s="65" t="inlineStr">
        <is>
          <t>112433</t>
        </is>
      </c>
      <c r="J43" s="65" t="inlineStr">
        <is>
          <t>N/D</t>
        </is>
      </c>
      <c r="K43" s="65" t="inlineStr">
        <is>
          <t>N/D</t>
        </is>
      </c>
      <c r="L43" s="127" t="inlineStr">
        <is>
          <t>MANTOVARMI SNC DI BERGHAMASCHI FABIO &amp; C</t>
        </is>
      </c>
      <c r="M43" s="5" t="n">
        <v>162</v>
      </c>
      <c r="N43" s="5" t="n"/>
      <c r="O43" s="5">
        <f>+M43+N43</f>
        <v/>
      </c>
      <c r="P43" s="4" t="n"/>
      <c r="Q43" s="93" t="n"/>
      <c r="R43" s="5" t="n">
        <v>78</v>
      </c>
      <c r="S43" s="2" t="n">
        <v>1</v>
      </c>
      <c r="T43" s="3" t="inlineStr">
        <is>
          <t>CA42796IR</t>
        </is>
      </c>
      <c r="U43" s="87" t="n">
        <v>45821</v>
      </c>
      <c r="V43" s="3" t="inlineStr">
        <is>
          <t>12</t>
        </is>
      </c>
      <c r="W43" s="108" t="n">
        <v>45821</v>
      </c>
      <c r="X43" s="4" t="inlineStr">
        <is>
          <t>PHILIPPOS COSTANTINIDES TRADING CO. LTD</t>
        </is>
      </c>
    </row>
    <row r="44" ht="24" customHeight="1">
      <c r="A44" s="2">
        <f>+D44-S44</f>
        <v/>
      </c>
      <c r="B44" s="80" t="n"/>
      <c r="C44" s="70" t="n">
        <v>45390</v>
      </c>
      <c r="D44" s="2" t="n">
        <v>1</v>
      </c>
      <c r="E44" s="3" t="inlineStr">
        <is>
          <t>FUCILE DOPPIETTA</t>
        </is>
      </c>
      <c r="F44" s="3" t="n">
        <v>12</v>
      </c>
      <c r="G44" s="3" t="inlineStr">
        <is>
          <t>KRUPP</t>
        </is>
      </c>
      <c r="H44" s="65" t="inlineStr">
        <is>
          <t>N/D</t>
        </is>
      </c>
      <c r="I44" s="65" t="n">
        <v>757</v>
      </c>
      <c r="J44" s="65" t="inlineStr">
        <is>
          <t>N/D</t>
        </is>
      </c>
      <c r="K44" s="65" t="inlineStr">
        <is>
          <t>N/D</t>
        </is>
      </c>
      <c r="L44" s="127" t="inlineStr">
        <is>
          <t>MANTOVARMI SNC DI BERGHAMASCHI FABIO &amp; C</t>
        </is>
      </c>
      <c r="M44" s="5" t="n">
        <v>112</v>
      </c>
      <c r="N44" s="5" t="n"/>
      <c r="O44" s="5">
        <f>+M44+N44</f>
        <v/>
      </c>
      <c r="P44" s="4" t="n"/>
      <c r="Q44" s="93" t="n"/>
      <c r="R44" s="5" t="n">
        <v>67</v>
      </c>
      <c r="S44" s="2" t="n">
        <v>1</v>
      </c>
      <c r="T44" s="3" t="inlineStr">
        <is>
          <t>CA42796IR</t>
        </is>
      </c>
      <c r="U44" s="87" t="n">
        <v>45821</v>
      </c>
      <c r="V44" s="3" t="inlineStr">
        <is>
          <t>14</t>
        </is>
      </c>
      <c r="W44" s="108" t="n">
        <v>45821</v>
      </c>
      <c r="X44" s="4" t="inlineStr">
        <is>
          <t>PHILIPPOS COSTANTINIDES TRADING CO. LTD</t>
        </is>
      </c>
    </row>
    <row r="45" ht="24" customHeight="1">
      <c r="A45" s="2">
        <f>+D45-S45</f>
        <v/>
      </c>
      <c r="B45" s="80" t="n"/>
      <c r="C45" s="70" t="n">
        <v>45390</v>
      </c>
      <c r="D45" s="2" t="n">
        <v>1</v>
      </c>
      <c r="E45" s="3" t="inlineStr">
        <is>
          <t>FUCILE DOPPIETTA</t>
        </is>
      </c>
      <c r="F45" s="3" t="n">
        <v>12</v>
      </c>
      <c r="G45" s="3" t="inlineStr">
        <is>
          <t>ARTIGIANALE</t>
        </is>
      </c>
      <c r="H45" s="65" t="inlineStr">
        <is>
          <t>N/D</t>
        </is>
      </c>
      <c r="I45" s="65" t="n">
        <v>2728</v>
      </c>
      <c r="J45" s="65" t="inlineStr">
        <is>
          <t>N/D</t>
        </is>
      </c>
      <c r="K45" s="65" t="inlineStr">
        <is>
          <t>N/D</t>
        </is>
      </c>
      <c r="L45" s="127" t="inlineStr">
        <is>
          <t>MANTOVARMI SNC DI BERGHAMASCHI FABIO &amp; C</t>
        </is>
      </c>
      <c r="M45" s="5" t="n">
        <v>112</v>
      </c>
      <c r="N45" s="5" t="n"/>
      <c r="O45" s="5">
        <f>+M45+N45</f>
        <v/>
      </c>
      <c r="P45" s="4" t="n"/>
      <c r="Q45" s="93" t="n"/>
      <c r="R45" s="5" t="n">
        <v>78</v>
      </c>
      <c r="S45" s="2" t="n">
        <v>1</v>
      </c>
      <c r="T45" s="3" t="inlineStr">
        <is>
          <t>CA42796IR</t>
        </is>
      </c>
      <c r="U45" s="87" t="n">
        <v>45821</v>
      </c>
      <c r="V45" s="3" t="inlineStr">
        <is>
          <t>12</t>
        </is>
      </c>
      <c r="W45" s="108" t="n">
        <v>45821</v>
      </c>
      <c r="X45" s="4" t="inlineStr">
        <is>
          <t>PHILIPPOS COSTANTINIDES TRADING CO. LTD</t>
        </is>
      </c>
    </row>
    <row r="46" ht="24" customHeight="1">
      <c r="A46" s="2">
        <f>+D46-S46</f>
        <v/>
      </c>
      <c r="B46" s="80" t="n"/>
      <c r="C46" s="70" t="n">
        <v>45392</v>
      </c>
      <c r="D46" s="2" t="n">
        <v>1</v>
      </c>
      <c r="E46" s="3" t="inlineStr">
        <is>
          <t>FUCILE SEMIAUTOMATICO</t>
        </is>
      </c>
      <c r="F46" s="3" t="n">
        <v>12</v>
      </c>
      <c r="G46" s="3" t="inlineStr">
        <is>
          <t>BENELLI</t>
        </is>
      </c>
      <c r="H46" s="65" t="inlineStr">
        <is>
          <t>50 anniversary</t>
        </is>
      </c>
      <c r="I46" s="65" t="inlineStr">
        <is>
          <t>F364901T17</t>
        </is>
      </c>
      <c r="J46" s="65" t="inlineStr">
        <is>
          <t>C1326339S15</t>
        </is>
      </c>
      <c r="K46" s="65" t="inlineStr">
        <is>
          <t>N/D</t>
        </is>
      </c>
      <c r="L46" s="127" t="inlineStr">
        <is>
          <t>ARMERIA MATTEONI GINO JACOBO SRLS</t>
        </is>
      </c>
      <c r="M46" s="5" t="n">
        <v>2000</v>
      </c>
      <c r="N46" s="5" t="n"/>
      <c r="O46" s="5">
        <f>+M46+N46</f>
        <v/>
      </c>
      <c r="P46" s="4" t="n"/>
      <c r="Q46" s="93" t="n"/>
      <c r="R46" s="5" t="n"/>
      <c r="S46" s="2" t="n"/>
      <c r="T46" s="3" t="n"/>
      <c r="U46" s="87" t="n"/>
      <c r="V46" s="3" t="n"/>
      <c r="W46" s="108" t="n"/>
      <c r="X46" s="4" t="n"/>
    </row>
    <row r="47" ht="24" customHeight="1">
      <c r="A47" s="2">
        <f>+D47-S47</f>
        <v/>
      </c>
      <c r="B47" s="80" t="n"/>
      <c r="C47" s="70" t="n">
        <v>45393</v>
      </c>
      <c r="D47" s="2" t="n">
        <v>1</v>
      </c>
      <c r="E47" s="3" t="inlineStr">
        <is>
          <t>PISTOLA SEMIAUTOMATICA</t>
        </is>
      </c>
      <c r="F47" s="3" t="n">
        <v>7.65</v>
      </c>
      <c r="G47" s="3" t="inlineStr">
        <is>
          <t>BERETTA</t>
        </is>
      </c>
      <c r="H47" s="65" t="n">
        <v>81</v>
      </c>
      <c r="I47" s="65" t="inlineStr">
        <is>
          <t>D38182W</t>
        </is>
      </c>
      <c r="J47" s="65" t="inlineStr">
        <is>
          <t>N/D</t>
        </is>
      </c>
      <c r="K47" s="65" t="inlineStr">
        <is>
          <t>N/D</t>
        </is>
      </c>
      <c r="L47" s="127" t="inlineStr">
        <is>
          <t>ARMERIA BRIGNOLI SILVIO &amp; C SNC</t>
        </is>
      </c>
      <c r="M47" s="5" t="n">
        <v>100</v>
      </c>
      <c r="N47" s="5" t="n"/>
      <c r="O47" s="5">
        <f>+M47+N47</f>
        <v/>
      </c>
      <c r="P47" s="4" t="n"/>
      <c r="Q47" s="93" t="n"/>
      <c r="R47" s="5" t="n"/>
      <c r="S47" s="2" t="n"/>
      <c r="T47" s="3" t="n"/>
      <c r="U47" s="87" t="n"/>
      <c r="V47" s="3" t="n"/>
      <c r="W47" s="108" t="n"/>
      <c r="X47" s="4" t="n"/>
    </row>
    <row r="48" ht="24" customHeight="1">
      <c r="A48" s="2">
        <f>+D48-S48</f>
        <v/>
      </c>
      <c r="B48" s="80" t="n"/>
      <c r="C48" s="70" t="n">
        <v>45393</v>
      </c>
      <c r="D48" s="2" t="n">
        <v>1</v>
      </c>
      <c r="E48" s="3" t="inlineStr">
        <is>
          <t>PISTOLA SEMIAUTOMATICA</t>
        </is>
      </c>
      <c r="F48" s="3" t="n">
        <v>7.65</v>
      </c>
      <c r="G48" s="3" t="inlineStr">
        <is>
          <t>BERETTA</t>
        </is>
      </c>
      <c r="H48" s="65" t="n">
        <v>81</v>
      </c>
      <c r="I48" s="65" t="inlineStr">
        <is>
          <t>D38164W</t>
        </is>
      </c>
      <c r="J48" s="65" t="inlineStr">
        <is>
          <t>N/D</t>
        </is>
      </c>
      <c r="K48" s="65" t="inlineStr">
        <is>
          <t>N/D</t>
        </is>
      </c>
      <c r="L48" s="127" t="inlineStr">
        <is>
          <t>ARMERIA BRIGNOLI SILVIO &amp; C SNC</t>
        </is>
      </c>
      <c r="M48" s="5" t="n">
        <v>100</v>
      </c>
      <c r="N48" s="5" t="n"/>
      <c r="O48" s="5">
        <f>+M48+N48</f>
        <v/>
      </c>
      <c r="P48" s="4" t="n"/>
      <c r="Q48" s="93" t="n"/>
      <c r="R48" s="5" t="n"/>
      <c r="S48" s="2" t="n"/>
      <c r="T48" s="3" t="n"/>
      <c r="U48" s="87" t="n"/>
      <c r="V48" s="3" t="n"/>
      <c r="W48" s="108" t="n"/>
      <c r="X48" s="4" t="n"/>
    </row>
    <row r="49" ht="24" customHeight="1">
      <c r="A49" s="2">
        <f>+D49-S49</f>
        <v/>
      </c>
      <c r="B49" s="80" t="n"/>
      <c r="C49" s="70" t="n">
        <v>45393</v>
      </c>
      <c r="D49" s="2" t="n">
        <v>1</v>
      </c>
      <c r="E49" s="3" t="inlineStr">
        <is>
          <t>PISTOLA SEMIAUTOMATICA</t>
        </is>
      </c>
      <c r="F49" s="3" t="n">
        <v>7.65</v>
      </c>
      <c r="G49" s="3" t="inlineStr">
        <is>
          <t>BERETTA</t>
        </is>
      </c>
      <c r="H49" s="65" t="n">
        <v>81</v>
      </c>
      <c r="I49" s="65" t="inlineStr">
        <is>
          <t>D39635W</t>
        </is>
      </c>
      <c r="J49" s="65" t="inlineStr">
        <is>
          <t>N/D</t>
        </is>
      </c>
      <c r="K49" s="65" t="inlineStr">
        <is>
          <t>N/D</t>
        </is>
      </c>
      <c r="L49" s="127" t="inlineStr">
        <is>
          <t>ARMERIA BRIGNOLI SILVIO &amp; C SNC</t>
        </is>
      </c>
      <c r="M49" s="5" t="n">
        <v>100</v>
      </c>
      <c r="N49" s="5" t="n"/>
      <c r="O49" s="5">
        <f>+M49+N49</f>
        <v/>
      </c>
      <c r="P49" s="4" t="n"/>
      <c r="Q49" s="93" t="n"/>
      <c r="R49" s="5" t="n"/>
      <c r="S49" s="2" t="n"/>
      <c r="T49" s="3" t="n"/>
      <c r="U49" s="87" t="n"/>
      <c r="V49" s="3" t="n"/>
      <c r="W49" s="108" t="n"/>
      <c r="X49" s="4" t="n"/>
    </row>
    <row r="50" ht="24" customHeight="1">
      <c r="A50" s="2">
        <f>+D50-S50</f>
        <v/>
      </c>
      <c r="B50" s="80" t="n"/>
      <c r="C50" s="70" t="n">
        <v>45393</v>
      </c>
      <c r="D50" s="2" t="n">
        <v>1</v>
      </c>
      <c r="E50" s="3" t="inlineStr">
        <is>
          <t>PISTOLA SEMIAUTOMATICA</t>
        </is>
      </c>
      <c r="F50" s="3" t="n">
        <v>7.65</v>
      </c>
      <c r="G50" s="3" t="inlineStr">
        <is>
          <t>BERETTA</t>
        </is>
      </c>
      <c r="H50" s="65" t="n">
        <v>81</v>
      </c>
      <c r="I50" s="65" t="inlineStr">
        <is>
          <t>D39770W</t>
        </is>
      </c>
      <c r="J50" s="65" t="inlineStr">
        <is>
          <t>N/D</t>
        </is>
      </c>
      <c r="K50" s="65" t="inlineStr">
        <is>
          <t>N/D</t>
        </is>
      </c>
      <c r="L50" s="127" t="inlineStr">
        <is>
          <t>ARMERIA BRIGNOLI SILVIO &amp; C SNC</t>
        </is>
      </c>
      <c r="M50" s="5" t="n">
        <v>100</v>
      </c>
      <c r="N50" s="5" t="n"/>
      <c r="O50" s="5">
        <f>+M50+N50</f>
        <v/>
      </c>
      <c r="P50" s="4" t="n"/>
      <c r="Q50" s="93" t="n"/>
      <c r="R50" s="5" t="n"/>
      <c r="S50" s="2" t="n"/>
      <c r="T50" s="3" t="n"/>
      <c r="U50" s="87" t="n"/>
      <c r="V50" s="3" t="n"/>
      <c r="W50" s="108" t="n"/>
      <c r="X50" s="4" t="n"/>
    </row>
    <row r="51" ht="24" customHeight="1">
      <c r="A51" s="2">
        <f>+D51-S51</f>
        <v/>
      </c>
      <c r="B51" s="80" t="n"/>
      <c r="C51" s="70" t="n">
        <v>45393</v>
      </c>
      <c r="D51" s="2" t="n">
        <v>1</v>
      </c>
      <c r="E51" s="3" t="inlineStr">
        <is>
          <t>PISTOLA SEMIAUTOMATICA</t>
        </is>
      </c>
      <c r="F51" s="3" t="n">
        <v>7.65</v>
      </c>
      <c r="G51" s="3" t="inlineStr">
        <is>
          <t>BERETTA</t>
        </is>
      </c>
      <c r="H51" s="65" t="n">
        <v>81</v>
      </c>
      <c r="I51" s="65" t="inlineStr">
        <is>
          <t>D37899W</t>
        </is>
      </c>
      <c r="J51" s="65" t="inlineStr">
        <is>
          <t>N/D</t>
        </is>
      </c>
      <c r="K51" s="65" t="inlineStr">
        <is>
          <t>N/D</t>
        </is>
      </c>
      <c r="L51" s="127" t="inlineStr">
        <is>
          <t>ARMERIA BRIGNOLI SILVIO &amp; C SNC</t>
        </is>
      </c>
      <c r="M51" s="5" t="n">
        <v>100</v>
      </c>
      <c r="N51" s="5" t="n"/>
      <c r="O51" s="5">
        <f>+M51+N51</f>
        <v/>
      </c>
      <c r="P51" s="4" t="n"/>
      <c r="Q51" s="93" t="n"/>
      <c r="R51" s="5" t="n"/>
      <c r="S51" s="2" t="n"/>
      <c r="T51" s="3" t="n"/>
      <c r="U51" s="87" t="n"/>
      <c r="V51" s="3" t="n"/>
      <c r="W51" s="108" t="n"/>
      <c r="X51" s="4" t="n"/>
    </row>
    <row r="52" ht="24" customHeight="1">
      <c r="A52" s="2">
        <f>+D52-S52</f>
        <v/>
      </c>
      <c r="B52" s="80" t="n"/>
      <c r="C52" s="70" t="n">
        <v>45393</v>
      </c>
      <c r="D52" s="2" t="n">
        <v>1</v>
      </c>
      <c r="E52" s="3" t="inlineStr">
        <is>
          <t>PISTOLA SEMIAUTOMATICA</t>
        </is>
      </c>
      <c r="F52" s="3" t="n">
        <v>7.65</v>
      </c>
      <c r="G52" s="3" t="inlineStr">
        <is>
          <t>BERETTA</t>
        </is>
      </c>
      <c r="H52" s="65" t="n">
        <v>81</v>
      </c>
      <c r="I52" s="65" t="inlineStr">
        <is>
          <t>D40521W</t>
        </is>
      </c>
      <c r="J52" s="65" t="inlineStr">
        <is>
          <t>N/D</t>
        </is>
      </c>
      <c r="K52" s="65" t="inlineStr">
        <is>
          <t>N/D</t>
        </is>
      </c>
      <c r="L52" s="127" t="inlineStr">
        <is>
          <t>ARMERIA BRIGNOLI SILVIO &amp; C SNC</t>
        </is>
      </c>
      <c r="M52" s="5" t="n">
        <v>100</v>
      </c>
      <c r="N52" s="5" t="n"/>
      <c r="O52" s="5">
        <f>+M52+N52</f>
        <v/>
      </c>
      <c r="P52" s="4" t="n"/>
      <c r="Q52" s="93" t="n"/>
      <c r="R52" s="5" t="n"/>
      <c r="S52" s="2" t="n"/>
      <c r="T52" s="3" t="n"/>
      <c r="U52" s="87" t="n"/>
      <c r="V52" s="3" t="n"/>
      <c r="W52" s="108" t="n"/>
      <c r="X52" s="4" t="n"/>
    </row>
    <row r="53" ht="24" customHeight="1">
      <c r="A53" s="2">
        <f>+D53-S53</f>
        <v/>
      </c>
      <c r="B53" s="80" t="n"/>
      <c r="C53" s="70" t="n">
        <v>45393</v>
      </c>
      <c r="D53" s="2" t="n">
        <v>1</v>
      </c>
      <c r="E53" s="3" t="inlineStr">
        <is>
          <t>PISTOLA SEMIAUTOMATICA</t>
        </is>
      </c>
      <c r="F53" s="3" t="n">
        <v>7.65</v>
      </c>
      <c r="G53" s="3" t="inlineStr">
        <is>
          <t>BERETTA</t>
        </is>
      </c>
      <c r="H53" s="65" t="n">
        <v>81</v>
      </c>
      <c r="I53" s="65" t="inlineStr">
        <is>
          <t>D39622W</t>
        </is>
      </c>
      <c r="J53" s="65" t="inlineStr">
        <is>
          <t>N/D</t>
        </is>
      </c>
      <c r="K53" s="65" t="inlineStr">
        <is>
          <t>N/D</t>
        </is>
      </c>
      <c r="L53" s="127" t="inlineStr">
        <is>
          <t>ARMERIA BRIGNOLI SILVIO &amp; C SNC</t>
        </is>
      </c>
      <c r="M53" s="5" t="n">
        <v>100</v>
      </c>
      <c r="N53" s="5" t="n"/>
      <c r="O53" s="5">
        <f>+M53+N53</f>
        <v/>
      </c>
      <c r="P53" s="4" t="n"/>
      <c r="Q53" s="93" t="n"/>
      <c r="R53" s="5" t="n"/>
      <c r="S53" s="2" t="n"/>
      <c r="T53" s="3" t="n"/>
      <c r="U53" s="87" t="n"/>
      <c r="V53" s="3" t="n"/>
      <c r="W53" s="108" t="n"/>
      <c r="X53" s="4" t="n"/>
    </row>
    <row r="54" ht="24" customHeight="1">
      <c r="A54" s="2">
        <f>+D54-S54</f>
        <v/>
      </c>
      <c r="B54" s="80" t="n"/>
      <c r="C54" s="70" t="n">
        <v>45393</v>
      </c>
      <c r="D54" s="2" t="n">
        <v>1</v>
      </c>
      <c r="E54" s="3" t="inlineStr">
        <is>
          <t>PISTOLA SEMIAUTOMATICA</t>
        </is>
      </c>
      <c r="F54" s="3" t="n">
        <v>7.65</v>
      </c>
      <c r="G54" s="3" t="inlineStr">
        <is>
          <t>BERETTA</t>
        </is>
      </c>
      <c r="H54" s="65" t="n">
        <v>81</v>
      </c>
      <c r="I54" s="65" t="inlineStr">
        <is>
          <t>D39979W</t>
        </is>
      </c>
      <c r="J54" s="65" t="inlineStr">
        <is>
          <t>N/D</t>
        </is>
      </c>
      <c r="K54" s="65" t="inlineStr">
        <is>
          <t>N/D</t>
        </is>
      </c>
      <c r="L54" s="127" t="inlineStr">
        <is>
          <t>ARMERIA BRIGNOLI SILVIO &amp; C SNC</t>
        </is>
      </c>
      <c r="M54" s="5" t="n">
        <v>100</v>
      </c>
      <c r="N54" s="5" t="n"/>
      <c r="O54" s="5">
        <f>+M54+N54</f>
        <v/>
      </c>
      <c r="P54" s="4" t="n"/>
      <c r="Q54" s="93" t="n"/>
      <c r="R54" s="5" t="n"/>
      <c r="S54" s="2" t="n"/>
      <c r="T54" s="3" t="n"/>
      <c r="U54" s="87" t="n"/>
      <c r="V54" s="3" t="n"/>
      <c r="W54" s="108" t="n"/>
      <c r="X54" s="4" t="n"/>
    </row>
    <row r="55" ht="24" customHeight="1">
      <c r="A55" s="2">
        <f>+D55-S55</f>
        <v/>
      </c>
      <c r="B55" s="80" t="n"/>
      <c r="C55" s="70" t="n">
        <v>45393</v>
      </c>
      <c r="D55" s="2" t="n">
        <v>1</v>
      </c>
      <c r="E55" s="3" t="inlineStr">
        <is>
          <t>PISTOLA SEMIAUTOMATICA</t>
        </is>
      </c>
      <c r="F55" s="3" t="n">
        <v>7.65</v>
      </c>
      <c r="G55" s="3" t="inlineStr">
        <is>
          <t>BERETTA</t>
        </is>
      </c>
      <c r="H55" s="65" t="n">
        <v>81</v>
      </c>
      <c r="I55" s="65" t="inlineStr">
        <is>
          <t>D40491W</t>
        </is>
      </c>
      <c r="J55" s="65" t="inlineStr">
        <is>
          <t>N/D</t>
        </is>
      </c>
      <c r="K55" s="65" t="inlineStr">
        <is>
          <t>N/D</t>
        </is>
      </c>
      <c r="L55" s="127" t="inlineStr">
        <is>
          <t>ARMERIA BRIGNOLI SILVIO &amp; C SNC</t>
        </is>
      </c>
      <c r="M55" s="5" t="n">
        <v>100</v>
      </c>
      <c r="N55" s="5" t="n"/>
      <c r="O55" s="5">
        <f>+M55+N55</f>
        <v/>
      </c>
      <c r="P55" s="4" t="n"/>
      <c r="Q55" s="93" t="n"/>
      <c r="R55" s="5" t="n"/>
      <c r="S55" s="2" t="n"/>
      <c r="T55" s="3" t="n"/>
      <c r="U55" s="87" t="n"/>
      <c r="V55" s="3" t="n"/>
      <c r="W55" s="108" t="n"/>
      <c r="X55" s="4" t="n"/>
    </row>
    <row r="56" ht="24" customHeight="1">
      <c r="A56" s="2">
        <f>+D56-S56</f>
        <v/>
      </c>
      <c r="B56" s="80" t="n"/>
      <c r="C56" s="70" t="n">
        <v>45393</v>
      </c>
      <c r="D56" s="2" t="n">
        <v>1</v>
      </c>
      <c r="E56" s="3" t="inlineStr">
        <is>
          <t>PISTOLA SEMIAUTOMATICA</t>
        </is>
      </c>
      <c r="F56" s="3" t="n">
        <v>7.65</v>
      </c>
      <c r="G56" s="3" t="inlineStr">
        <is>
          <t>BERETTA</t>
        </is>
      </c>
      <c r="H56" s="65" t="n">
        <v>81</v>
      </c>
      <c r="I56" s="65" t="inlineStr">
        <is>
          <t>D39080W</t>
        </is>
      </c>
      <c r="J56" s="65" t="inlineStr">
        <is>
          <t>N/D</t>
        </is>
      </c>
      <c r="K56" s="65" t="inlineStr">
        <is>
          <t>N/D</t>
        </is>
      </c>
      <c r="L56" s="127" t="inlineStr">
        <is>
          <t>ARMERIA BRIGNOLI SILVIO &amp; C SNC</t>
        </is>
      </c>
      <c r="M56" s="5" t="n">
        <v>100</v>
      </c>
      <c r="N56" s="5" t="n"/>
      <c r="O56" s="5">
        <f>+M56+N56</f>
        <v/>
      </c>
      <c r="P56" s="4" t="n"/>
      <c r="Q56" s="93" t="n"/>
      <c r="R56" s="5" t="n"/>
      <c r="S56" s="2" t="n"/>
      <c r="T56" s="3" t="n"/>
      <c r="U56" s="87" t="n"/>
      <c r="V56" s="3" t="n"/>
      <c r="W56" s="108" t="n"/>
      <c r="X56" s="4" t="n"/>
    </row>
    <row r="57" ht="24" customHeight="1">
      <c r="A57" s="2">
        <f>+D57-S57</f>
        <v/>
      </c>
      <c r="B57" s="80" t="n"/>
      <c r="C57" s="70" t="n">
        <v>45393</v>
      </c>
      <c r="D57" s="2" t="n">
        <v>1</v>
      </c>
      <c r="E57" s="3" t="inlineStr">
        <is>
          <t>PISTOLA SEMIAUTOMATICA</t>
        </is>
      </c>
      <c r="F57" s="3" t="n">
        <v>7.65</v>
      </c>
      <c r="G57" s="3" t="inlineStr">
        <is>
          <t>BERETTA</t>
        </is>
      </c>
      <c r="H57" s="65" t="n">
        <v>81</v>
      </c>
      <c r="I57" s="65" t="inlineStr">
        <is>
          <t>D39973W</t>
        </is>
      </c>
      <c r="J57" s="65" t="inlineStr">
        <is>
          <t>N/D</t>
        </is>
      </c>
      <c r="K57" s="65" t="inlineStr">
        <is>
          <t>N/D</t>
        </is>
      </c>
      <c r="L57" s="127" t="inlineStr">
        <is>
          <t>ARMERIA BRIGNOLI SILVIO &amp; C SNC</t>
        </is>
      </c>
      <c r="M57" s="5" t="n">
        <v>100</v>
      </c>
      <c r="N57" s="5" t="n"/>
      <c r="O57" s="5">
        <f>+M57+N57</f>
        <v/>
      </c>
      <c r="P57" s="4" t="n"/>
      <c r="Q57" s="93" t="n"/>
      <c r="R57" s="5" t="n"/>
      <c r="S57" s="2" t="n"/>
      <c r="T57" s="3" t="n"/>
      <c r="U57" s="87" t="n"/>
      <c r="V57" s="3" t="n"/>
      <c r="W57" s="108" t="n"/>
      <c r="X57" s="4" t="n"/>
    </row>
    <row r="58" ht="24" customHeight="1">
      <c r="A58" s="2">
        <f>+D58-S58</f>
        <v/>
      </c>
      <c r="B58" s="80" t="n"/>
      <c r="C58" s="70" t="n">
        <v>45393</v>
      </c>
      <c r="D58" s="2" t="n">
        <v>1</v>
      </c>
      <c r="E58" s="3" t="inlineStr">
        <is>
          <t>PISTOLA SEMIAUTOMATICA</t>
        </is>
      </c>
      <c r="F58" s="3" t="n">
        <v>7.65</v>
      </c>
      <c r="G58" s="3" t="inlineStr">
        <is>
          <t>BERETTA</t>
        </is>
      </c>
      <c r="H58" s="65" t="n">
        <v>81</v>
      </c>
      <c r="I58" s="65" t="inlineStr">
        <is>
          <t>D39110W</t>
        </is>
      </c>
      <c r="J58" s="65" t="inlineStr">
        <is>
          <t>N/D</t>
        </is>
      </c>
      <c r="K58" s="65" t="inlineStr">
        <is>
          <t>N/D</t>
        </is>
      </c>
      <c r="L58" s="127" t="inlineStr">
        <is>
          <t>ARMERIA BRIGNOLI SILVIO &amp; C SNC</t>
        </is>
      </c>
      <c r="M58" s="5" t="n">
        <v>100</v>
      </c>
      <c r="N58" s="5" t="n"/>
      <c r="O58" s="5">
        <f>+M58+N58</f>
        <v/>
      </c>
      <c r="P58" s="4" t="n"/>
      <c r="Q58" s="93" t="n"/>
      <c r="R58" s="5" t="n"/>
      <c r="S58" s="2" t="n"/>
      <c r="T58" s="3" t="n"/>
      <c r="U58" s="87" t="n"/>
      <c r="V58" s="3" t="n"/>
      <c r="W58" s="108" t="n"/>
      <c r="X58" s="4" t="n"/>
    </row>
    <row r="59" ht="24" customHeight="1">
      <c r="A59" s="2">
        <f>+D59-S59</f>
        <v/>
      </c>
      <c r="B59" s="80" t="n"/>
      <c r="C59" s="70" t="n">
        <v>45393</v>
      </c>
      <c r="D59" s="2" t="n">
        <v>1</v>
      </c>
      <c r="E59" s="3" t="inlineStr">
        <is>
          <t>PISTOLA SEMIAUTOMATICA</t>
        </is>
      </c>
      <c r="F59" s="3" t="n">
        <v>7.65</v>
      </c>
      <c r="G59" s="3" t="inlineStr">
        <is>
          <t>BERETTA</t>
        </is>
      </c>
      <c r="H59" s="65" t="n">
        <v>81</v>
      </c>
      <c r="I59" s="65" t="inlineStr">
        <is>
          <t>D39876W</t>
        </is>
      </c>
      <c r="J59" s="65" t="inlineStr">
        <is>
          <t>N/D</t>
        </is>
      </c>
      <c r="K59" s="65" t="inlineStr">
        <is>
          <t>N/D</t>
        </is>
      </c>
      <c r="L59" s="127" t="inlineStr">
        <is>
          <t>ARMERIA BRIGNOLI SILVIO &amp; C SNC</t>
        </is>
      </c>
      <c r="M59" s="5" t="n">
        <v>100</v>
      </c>
      <c r="N59" s="5" t="n"/>
      <c r="O59" s="5">
        <f>+M59+N59</f>
        <v/>
      </c>
      <c r="P59" s="4" t="n"/>
      <c r="Q59" s="93" t="n"/>
      <c r="R59" s="5" t="n"/>
      <c r="S59" s="2" t="n"/>
      <c r="T59" s="3" t="n"/>
      <c r="U59" s="87" t="n"/>
      <c r="V59" s="3" t="n"/>
      <c r="W59" s="108" t="n"/>
      <c r="X59" s="4" t="n"/>
    </row>
    <row r="60" ht="24" customHeight="1">
      <c r="A60" s="2">
        <f>+D60-S60</f>
        <v/>
      </c>
      <c r="B60" s="80" t="n"/>
      <c r="C60" s="70" t="n">
        <v>45393</v>
      </c>
      <c r="D60" s="2" t="n">
        <v>1</v>
      </c>
      <c r="E60" s="3" t="inlineStr">
        <is>
          <t>PISTOLA SEMIAUTOMATICA</t>
        </is>
      </c>
      <c r="F60" s="3" t="n">
        <v>7.65</v>
      </c>
      <c r="G60" s="3" t="inlineStr">
        <is>
          <t>BERETTA</t>
        </is>
      </c>
      <c r="H60" s="65" t="n">
        <v>81</v>
      </c>
      <c r="I60" s="65" t="inlineStr">
        <is>
          <t>D37920W</t>
        </is>
      </c>
      <c r="J60" s="65" t="inlineStr">
        <is>
          <t>N/D</t>
        </is>
      </c>
      <c r="K60" s="65" t="inlineStr">
        <is>
          <t>N/D</t>
        </is>
      </c>
      <c r="L60" s="127" t="inlineStr">
        <is>
          <t>ARMERIA BRIGNOLI SILVIO &amp; C SNC</t>
        </is>
      </c>
      <c r="M60" s="5" t="n">
        <v>100</v>
      </c>
      <c r="N60" s="5" t="n"/>
      <c r="O60" s="5">
        <f>+M60+N60</f>
        <v/>
      </c>
      <c r="P60" s="4" t="n"/>
      <c r="Q60" s="93" t="n"/>
      <c r="R60" s="5" t="n"/>
      <c r="S60" s="2" t="n"/>
      <c r="T60" s="3" t="n"/>
      <c r="U60" s="87" t="n"/>
      <c r="V60" s="3" t="n"/>
      <c r="W60" s="108" t="n"/>
      <c r="X60" s="4" t="n"/>
    </row>
    <row r="61" ht="24" customHeight="1">
      <c r="A61" s="2">
        <f>+D61-S61</f>
        <v/>
      </c>
      <c r="B61" s="80" t="n"/>
      <c r="C61" s="70" t="n">
        <v>45393</v>
      </c>
      <c r="D61" s="2" t="n">
        <v>1</v>
      </c>
      <c r="E61" s="3" t="inlineStr">
        <is>
          <t>PISTOLA SEMIAUTOMATICA</t>
        </is>
      </c>
      <c r="F61" s="3" t="n">
        <v>7.65</v>
      </c>
      <c r="G61" s="3" t="inlineStr">
        <is>
          <t>BERETTA</t>
        </is>
      </c>
      <c r="H61" s="65" t="n">
        <v>81</v>
      </c>
      <c r="I61" s="65" t="inlineStr">
        <is>
          <t>D38161W</t>
        </is>
      </c>
      <c r="J61" s="65" t="inlineStr">
        <is>
          <t>N/D</t>
        </is>
      </c>
      <c r="K61" s="65" t="inlineStr">
        <is>
          <t>N/D</t>
        </is>
      </c>
      <c r="L61" s="127" t="inlineStr">
        <is>
          <t>ARMERIA BRIGNOLI SILVIO &amp; C SNC</t>
        </is>
      </c>
      <c r="M61" s="5" t="n">
        <v>100</v>
      </c>
      <c r="N61" s="5" t="n"/>
      <c r="O61" s="5">
        <f>+M61+N61</f>
        <v/>
      </c>
      <c r="P61" s="4" t="n"/>
      <c r="Q61" s="93" t="n"/>
      <c r="R61" s="5" t="n"/>
      <c r="S61" s="2" t="n"/>
      <c r="T61" s="3" t="n"/>
      <c r="U61" s="87" t="n"/>
      <c r="V61" s="3" t="n"/>
      <c r="W61" s="108" t="n"/>
      <c r="X61" s="4" t="n"/>
    </row>
    <row r="62" ht="24" customHeight="1">
      <c r="A62" s="2">
        <f>+D62-S62</f>
        <v/>
      </c>
      <c r="B62" s="80" t="n"/>
      <c r="C62" s="70" t="n">
        <v>45393</v>
      </c>
      <c r="D62" s="2" t="n">
        <v>1</v>
      </c>
      <c r="E62" s="3" t="inlineStr">
        <is>
          <t>PISTOLA SEMIAUTOMATICA</t>
        </is>
      </c>
      <c r="F62" s="3" t="n">
        <v>7.65</v>
      </c>
      <c r="G62" s="3" t="inlineStr">
        <is>
          <t>BERETTA</t>
        </is>
      </c>
      <c r="H62" s="65" t="n">
        <v>81</v>
      </c>
      <c r="I62" s="65" t="inlineStr">
        <is>
          <t>D39100W</t>
        </is>
      </c>
      <c r="J62" s="65" t="inlineStr">
        <is>
          <t>N/D</t>
        </is>
      </c>
      <c r="K62" s="65" t="inlineStr">
        <is>
          <t>N/D</t>
        </is>
      </c>
      <c r="L62" s="127" t="inlineStr">
        <is>
          <t>ARMERIA BRIGNOLI SILVIO &amp; C SNC</t>
        </is>
      </c>
      <c r="M62" s="5" t="n">
        <v>100</v>
      </c>
      <c r="N62" s="5" t="n"/>
      <c r="O62" s="5">
        <f>+M62+N62</f>
        <v/>
      </c>
      <c r="P62" s="4" t="n"/>
      <c r="Q62" s="93" t="n"/>
      <c r="R62" s="5" t="n"/>
      <c r="S62" s="2" t="n"/>
      <c r="T62" s="3" t="n"/>
      <c r="U62" s="87" t="n"/>
      <c r="V62" s="3" t="n"/>
      <c r="W62" s="108" t="n"/>
      <c r="X62" s="4" t="n"/>
    </row>
    <row r="63" ht="24" customHeight="1">
      <c r="A63" s="2">
        <f>+D63-S63</f>
        <v/>
      </c>
      <c r="B63" s="80" t="n"/>
      <c r="C63" s="70" t="n">
        <v>45393</v>
      </c>
      <c r="D63" s="2" t="n">
        <v>1</v>
      </c>
      <c r="E63" s="3" t="inlineStr">
        <is>
          <t>PISTOLA SEMIAUTOMATICA</t>
        </is>
      </c>
      <c r="F63" s="3" t="n">
        <v>7.65</v>
      </c>
      <c r="G63" s="3" t="inlineStr">
        <is>
          <t>BERETTA</t>
        </is>
      </c>
      <c r="H63" s="65" t="n">
        <v>82</v>
      </c>
      <c r="I63" s="65" t="inlineStr">
        <is>
          <t>E44944W</t>
        </is>
      </c>
      <c r="J63" s="65" t="inlineStr">
        <is>
          <t>N/D</t>
        </is>
      </c>
      <c r="K63" s="65" t="inlineStr">
        <is>
          <t>N/D</t>
        </is>
      </c>
      <c r="L63" s="127" t="inlineStr">
        <is>
          <t>ARMERIA BRIGNOLI SILVIO &amp; C SNC</t>
        </is>
      </c>
      <c r="M63" s="5" t="n">
        <v>100</v>
      </c>
      <c r="N63" s="5" t="n"/>
      <c r="O63" s="5">
        <f>+M63+N63</f>
        <v/>
      </c>
      <c r="P63" s="4" t="n"/>
      <c r="Q63" s="93" t="n"/>
      <c r="R63" s="5" t="n"/>
      <c r="S63" s="2" t="n"/>
      <c r="T63" s="3" t="n"/>
      <c r="U63" s="87" t="n"/>
      <c r="V63" s="3" t="n"/>
      <c r="W63" s="108" t="n"/>
      <c r="X63" s="4" t="n"/>
    </row>
    <row r="64" ht="24" customHeight="1">
      <c r="A64" s="2">
        <f>+D64-S64</f>
        <v/>
      </c>
      <c r="B64" s="80" t="n"/>
      <c r="C64" s="70" t="n">
        <v>45393</v>
      </c>
      <c r="D64" s="2" t="n">
        <v>1</v>
      </c>
      <c r="E64" s="3" t="inlineStr">
        <is>
          <t>PISTOLA SEMIAUTOMATICA</t>
        </is>
      </c>
      <c r="F64" s="3" t="n">
        <v>7.65</v>
      </c>
      <c r="G64" s="3" t="inlineStr">
        <is>
          <t>BERETTA</t>
        </is>
      </c>
      <c r="H64" s="65" t="n">
        <v>82</v>
      </c>
      <c r="I64" s="65" t="inlineStr">
        <is>
          <t>E93198W</t>
        </is>
      </c>
      <c r="J64" s="65" t="inlineStr">
        <is>
          <t>N/D</t>
        </is>
      </c>
      <c r="K64" s="65" t="inlineStr">
        <is>
          <t>N/D</t>
        </is>
      </c>
      <c r="L64" s="127" t="inlineStr">
        <is>
          <t>ARMERIA BRIGNOLI SILVIO &amp; C SNC</t>
        </is>
      </c>
      <c r="M64" s="5" t="n">
        <v>100</v>
      </c>
      <c r="N64" s="5" t="n"/>
      <c r="O64" s="5">
        <f>+M64+N64</f>
        <v/>
      </c>
      <c r="P64" s="4" t="n"/>
      <c r="Q64" s="93" t="n"/>
      <c r="R64" s="5" t="n"/>
      <c r="S64" s="2" t="n"/>
      <c r="T64" s="3" t="n"/>
      <c r="U64" s="87" t="n"/>
      <c r="V64" s="3" t="n"/>
      <c r="W64" s="108" t="n"/>
      <c r="X64" s="4" t="n"/>
    </row>
    <row r="65" ht="24" customHeight="1">
      <c r="A65" s="2">
        <f>+D65-S65</f>
        <v/>
      </c>
      <c r="B65" s="80" t="n"/>
      <c r="C65" s="70" t="n">
        <v>45393</v>
      </c>
      <c r="D65" s="2" t="n">
        <v>1</v>
      </c>
      <c r="E65" s="3" t="inlineStr">
        <is>
          <t>PISTOLA SEMIAUTOMATICA</t>
        </is>
      </c>
      <c r="F65" s="3" t="n">
        <v>7.65</v>
      </c>
      <c r="G65" s="3" t="inlineStr">
        <is>
          <t>BERETTA</t>
        </is>
      </c>
      <c r="H65" s="65" t="n">
        <v>82</v>
      </c>
      <c r="I65" s="65" t="inlineStr">
        <is>
          <t>E44698W</t>
        </is>
      </c>
      <c r="J65" s="65" t="inlineStr">
        <is>
          <t>N/D</t>
        </is>
      </c>
      <c r="K65" s="65" t="inlineStr">
        <is>
          <t>N/D</t>
        </is>
      </c>
      <c r="L65" s="127" t="inlineStr">
        <is>
          <t>ARMERIA BRIGNOLI SILVIO &amp; C SNC</t>
        </is>
      </c>
      <c r="M65" s="5" t="n">
        <v>100</v>
      </c>
      <c r="N65" s="5" t="n"/>
      <c r="O65" s="5">
        <f>+M65+N65</f>
        <v/>
      </c>
      <c r="P65" s="4" t="n"/>
      <c r="Q65" s="93" t="n"/>
      <c r="R65" s="5" t="n"/>
      <c r="S65" s="2" t="n"/>
      <c r="T65" s="3" t="n"/>
      <c r="U65" s="87" t="n"/>
      <c r="V65" s="3" t="n"/>
      <c r="W65" s="108" t="n"/>
      <c r="X65" s="4" t="n"/>
    </row>
    <row r="66" ht="24" customHeight="1">
      <c r="A66" s="2">
        <f>+D66-S66</f>
        <v/>
      </c>
      <c r="B66" s="80" t="n"/>
      <c r="C66" s="70" t="n">
        <v>45393</v>
      </c>
      <c r="D66" s="2" t="n">
        <v>1</v>
      </c>
      <c r="E66" s="3" t="inlineStr">
        <is>
          <t>PISTOLA SEMIAUTOMATICA</t>
        </is>
      </c>
      <c r="F66" s="3" t="n">
        <v>7.65</v>
      </c>
      <c r="G66" s="3" t="inlineStr">
        <is>
          <t>BERETTA</t>
        </is>
      </c>
      <c r="H66" s="65" t="n">
        <v>82</v>
      </c>
      <c r="I66" s="65" t="inlineStr">
        <is>
          <t>E45051W</t>
        </is>
      </c>
      <c r="J66" s="65" t="inlineStr">
        <is>
          <t>N/D</t>
        </is>
      </c>
      <c r="K66" s="65" t="inlineStr">
        <is>
          <t>N/D</t>
        </is>
      </c>
      <c r="L66" s="127" t="inlineStr">
        <is>
          <t>ARMERIA BRIGNOLI SILVIO &amp; C SNC</t>
        </is>
      </c>
      <c r="M66" s="5" t="n">
        <v>100</v>
      </c>
      <c r="N66" s="5" t="n"/>
      <c r="O66" s="5">
        <f>+M66+N66</f>
        <v/>
      </c>
      <c r="P66" s="4" t="n"/>
      <c r="Q66" s="93" t="n"/>
      <c r="R66" s="5" t="n"/>
      <c r="S66" s="2" t="n"/>
      <c r="T66" s="3" t="n"/>
      <c r="U66" s="87" t="n"/>
      <c r="V66" s="3" t="n"/>
      <c r="W66" s="108" t="n"/>
      <c r="X66" s="4" t="n"/>
    </row>
    <row r="67" ht="24" customHeight="1">
      <c r="A67" s="2">
        <f>+D67-S67</f>
        <v/>
      </c>
      <c r="B67" s="80" t="n"/>
      <c r="C67" s="70" t="n">
        <v>45393</v>
      </c>
      <c r="D67" s="2" t="n">
        <v>1</v>
      </c>
      <c r="E67" s="3" t="inlineStr">
        <is>
          <t>PISTOLA SEMIAUTOMATICA</t>
        </is>
      </c>
      <c r="F67" s="3" t="n">
        <v>7.65</v>
      </c>
      <c r="G67" s="3" t="inlineStr">
        <is>
          <t>BERETTA</t>
        </is>
      </c>
      <c r="H67" s="65" t="n">
        <v>82</v>
      </c>
      <c r="I67" s="65" t="inlineStr">
        <is>
          <t>E93257W</t>
        </is>
      </c>
      <c r="J67" s="65" t="inlineStr">
        <is>
          <t>N/D</t>
        </is>
      </c>
      <c r="K67" s="65" t="inlineStr">
        <is>
          <t>N/D</t>
        </is>
      </c>
      <c r="L67" s="127" t="inlineStr">
        <is>
          <t>ARMERIA BRIGNOLI SILVIO &amp; C SNC</t>
        </is>
      </c>
      <c r="M67" s="5" t="n">
        <v>100</v>
      </c>
      <c r="N67" s="5" t="n"/>
      <c r="O67" s="5">
        <f>+M67+N67</f>
        <v/>
      </c>
      <c r="P67" s="4" t="n"/>
      <c r="Q67" s="93" t="n"/>
      <c r="R67" s="5" t="n"/>
      <c r="S67" s="2" t="n"/>
      <c r="T67" s="3" t="n"/>
      <c r="U67" s="87" t="n"/>
      <c r="V67" s="3" t="n"/>
      <c r="W67" s="108" t="n"/>
      <c r="X67" s="4" t="n"/>
    </row>
    <row r="68" ht="24" customHeight="1">
      <c r="A68" s="2">
        <f>+D68-S68</f>
        <v/>
      </c>
      <c r="B68" s="80" t="n"/>
      <c r="C68" s="70" t="n">
        <v>45393</v>
      </c>
      <c r="D68" s="2" t="n">
        <v>1</v>
      </c>
      <c r="E68" s="3" t="inlineStr">
        <is>
          <t>PISTOLA SEMIAUTOMATICA</t>
        </is>
      </c>
      <c r="F68" s="3" t="inlineStr">
        <is>
          <t>22LR</t>
        </is>
      </c>
      <c r="G68" s="3" t="inlineStr">
        <is>
          <t>BERETTA</t>
        </is>
      </c>
      <c r="H68" s="65" t="n">
        <v>76</v>
      </c>
      <c r="I68" s="65" t="inlineStr">
        <is>
          <t>M11761</t>
        </is>
      </c>
      <c r="J68" s="65" t="inlineStr">
        <is>
          <t>N/D</t>
        </is>
      </c>
      <c r="K68" s="65" t="inlineStr">
        <is>
          <t>N/D</t>
        </is>
      </c>
      <c r="L68" s="127" t="inlineStr">
        <is>
          <t>ARMERIA BRIGNOLI SILVIO &amp; C SNC</t>
        </is>
      </c>
      <c r="M68" s="5" t="n">
        <v>100</v>
      </c>
      <c r="N68" s="5" t="n"/>
      <c r="O68" s="5">
        <f>+M68+N68</f>
        <v/>
      </c>
      <c r="P68" s="4" t="n"/>
      <c r="Q68" s="93" t="n"/>
      <c r="R68" s="5" t="n"/>
      <c r="S68" s="2" t="n"/>
      <c r="T68" s="3" t="n"/>
      <c r="U68" s="87" t="n"/>
      <c r="V68" s="3" t="n"/>
      <c r="W68" s="108" t="n"/>
      <c r="X68" s="4" t="n"/>
    </row>
    <row r="69" ht="24" customHeight="1">
      <c r="A69" s="2">
        <f>+D69-S69</f>
        <v/>
      </c>
      <c r="B69" s="80" t="n"/>
      <c r="C69" s="70" t="n">
        <v>45393</v>
      </c>
      <c r="D69" s="2" t="n">
        <v>1</v>
      </c>
      <c r="E69" s="3" t="inlineStr">
        <is>
          <t>PISTOLA SEMIAUTOMATICA</t>
        </is>
      </c>
      <c r="F69" s="3" t="n">
        <v>7.65</v>
      </c>
      <c r="G69" s="3" t="inlineStr">
        <is>
          <t>BERETTA</t>
        </is>
      </c>
      <c r="H69" s="65" t="n">
        <v>90</v>
      </c>
      <c r="I69" s="65" t="n">
        <v>15339</v>
      </c>
      <c r="J69" s="65" t="inlineStr">
        <is>
          <t>N/D</t>
        </is>
      </c>
      <c r="K69" s="65" t="inlineStr">
        <is>
          <t>N/D</t>
        </is>
      </c>
      <c r="L69" s="127" t="inlineStr">
        <is>
          <t>ARMERIA BRIGNOLI SILVIO &amp; C SNC</t>
        </is>
      </c>
      <c r="M69" s="5" t="n">
        <v>100</v>
      </c>
      <c r="N69" s="5" t="n"/>
      <c r="O69" s="5">
        <f>+M69+N69</f>
        <v/>
      </c>
      <c r="P69" s="4" t="n"/>
      <c r="Q69" s="93" t="n"/>
      <c r="R69" s="5" t="n"/>
      <c r="S69" s="2" t="n"/>
      <c r="T69" s="3" t="n"/>
      <c r="U69" s="87" t="n"/>
      <c r="V69" s="3" t="n"/>
      <c r="W69" s="108" t="n"/>
      <c r="X69" s="4" t="n"/>
    </row>
    <row r="70" ht="24" customHeight="1">
      <c r="A70" s="2">
        <f>+D70-S70</f>
        <v/>
      </c>
      <c r="B70" s="80" t="n"/>
      <c r="C70" s="70" t="n">
        <v>45393</v>
      </c>
      <c r="D70" s="2" t="n">
        <v>1</v>
      </c>
      <c r="E70" s="3" t="inlineStr">
        <is>
          <t>PISTOLA SEMIAUTOMATICA</t>
        </is>
      </c>
      <c r="F70" s="3" t="inlineStr">
        <is>
          <t>22LR</t>
        </is>
      </c>
      <c r="G70" s="3" t="inlineStr">
        <is>
          <t>WALTHER</t>
        </is>
      </c>
      <c r="H70" s="65" t="inlineStr">
        <is>
          <t>PPQ</t>
        </is>
      </c>
      <c r="I70" s="65" t="inlineStr">
        <is>
          <t>PP062837</t>
        </is>
      </c>
      <c r="J70" s="65" t="inlineStr">
        <is>
          <t>N/D</t>
        </is>
      </c>
      <c r="K70" s="65" t="inlineStr">
        <is>
          <t>N/D</t>
        </is>
      </c>
      <c r="L70" s="127" t="inlineStr">
        <is>
          <t>ARMERIA BRIGNOLI SILVIO &amp; C SNC</t>
        </is>
      </c>
      <c r="M70" s="5" t="n">
        <v>391</v>
      </c>
      <c r="N70" s="5" t="n"/>
      <c r="O70" s="5">
        <f>+M70+N70</f>
        <v/>
      </c>
      <c r="P70" s="4" t="n"/>
      <c r="Q70" s="93" t="n"/>
      <c r="R70" s="5" t="n">
        <v>410</v>
      </c>
      <c r="S70" s="2" t="n">
        <v>1</v>
      </c>
      <c r="T70" s="3" t="inlineStr">
        <is>
          <t>CA04954OS</t>
        </is>
      </c>
      <c r="U70" s="87" t="n">
        <v>45874</v>
      </c>
      <c r="V70" s="3" t="inlineStr">
        <is>
          <t>25</t>
        </is>
      </c>
      <c r="W70" s="4" t="n">
        <v>45874</v>
      </c>
      <c r="X70" s="4" t="inlineStr">
        <is>
          <t>PHILIPPOS COSTANTINIDES TRADING CO. LTD</t>
        </is>
      </c>
    </row>
    <row r="71" ht="24" customHeight="1">
      <c r="A71" s="2">
        <f>+D71-S71</f>
        <v/>
      </c>
      <c r="B71" s="80" t="n"/>
      <c r="C71" s="70" t="n">
        <v>45393</v>
      </c>
      <c r="D71" s="2" t="n">
        <v>1</v>
      </c>
      <c r="E71" s="3" t="inlineStr">
        <is>
          <t>PISTOLA SEMIAUTOMATICA</t>
        </is>
      </c>
      <c r="F71" s="3" t="inlineStr">
        <is>
          <t>22LR</t>
        </is>
      </c>
      <c r="G71" s="3" t="inlineStr">
        <is>
          <t>WALTHER</t>
        </is>
      </c>
      <c r="H71" s="65" t="inlineStr">
        <is>
          <t>PPQ</t>
        </is>
      </c>
      <c r="I71" s="65" t="inlineStr">
        <is>
          <t>PP062849</t>
        </is>
      </c>
      <c r="J71" s="65" t="inlineStr">
        <is>
          <t>N/D</t>
        </is>
      </c>
      <c r="K71" s="65" t="inlineStr">
        <is>
          <t>N/D</t>
        </is>
      </c>
      <c r="L71" s="127" t="inlineStr">
        <is>
          <t>ARMERIA BRIGNOLI SILVIO &amp; C SNC</t>
        </is>
      </c>
      <c r="M71" s="5" t="n">
        <v>391</v>
      </c>
      <c r="N71" s="5" t="n"/>
      <c r="O71" s="5">
        <f>+M71+N71</f>
        <v/>
      </c>
      <c r="P71" s="4" t="n"/>
      <c r="Q71" s="93" t="n"/>
      <c r="R71" s="5" t="n">
        <v>410</v>
      </c>
      <c r="S71" s="2" t="n">
        <v>1</v>
      </c>
      <c r="T71" s="3" t="inlineStr">
        <is>
          <t>CA04954OS</t>
        </is>
      </c>
      <c r="U71" s="87" t="n">
        <v>45874</v>
      </c>
      <c r="V71" s="3" t="inlineStr">
        <is>
          <t>25</t>
        </is>
      </c>
      <c r="W71" s="4" t="n">
        <v>45874</v>
      </c>
      <c r="X71" s="4" t="inlineStr">
        <is>
          <t>PHILIPPOS COSTANTINIDES TRADING CO. LTD</t>
        </is>
      </c>
    </row>
    <row r="72" ht="24" customHeight="1">
      <c r="A72" s="2">
        <f>+D72-S72</f>
        <v/>
      </c>
      <c r="B72" s="80" t="n"/>
      <c r="C72" s="70" t="n">
        <v>45393</v>
      </c>
      <c r="D72" s="2" t="n">
        <v>1</v>
      </c>
      <c r="E72" s="3" t="inlineStr">
        <is>
          <t>PISTOLA SEMIAUTOMATICA</t>
        </is>
      </c>
      <c r="F72" s="3" t="inlineStr">
        <is>
          <t>9X19</t>
        </is>
      </c>
      <c r="G72" s="3" t="inlineStr">
        <is>
          <t>H&amp;K</t>
        </is>
      </c>
      <c r="H72" s="65" t="inlineStr">
        <is>
          <t>USP ELITE</t>
        </is>
      </c>
      <c r="I72" s="65" t="inlineStr">
        <is>
          <t>24-189412</t>
        </is>
      </c>
      <c r="J72" s="65" t="inlineStr">
        <is>
          <t>N/D</t>
        </is>
      </c>
      <c r="K72" s="65" t="inlineStr">
        <is>
          <t>N/D</t>
        </is>
      </c>
      <c r="L72" s="127" t="inlineStr">
        <is>
          <t>ARMERIA BRIGNOLI SILVIO &amp; C SNC</t>
        </is>
      </c>
      <c r="M72" s="5" t="n">
        <v>1104</v>
      </c>
      <c r="N72" s="5" t="n"/>
      <c r="O72" s="5">
        <f>+M72+N72</f>
        <v/>
      </c>
      <c r="P72" s="4" t="n"/>
      <c r="Q72" s="87" t="n"/>
      <c r="R72" s="5" t="n">
        <v>1226.5</v>
      </c>
      <c r="S72" s="2" t="n">
        <v>1</v>
      </c>
      <c r="T72" s="3" t="inlineStr">
        <is>
          <t>6B/2025/5S</t>
        </is>
      </c>
      <c r="U72" s="87" t="n">
        <v>45963</v>
      </c>
      <c r="V72" s="3" t="inlineStr">
        <is>
          <t>32</t>
        </is>
      </c>
      <c r="W72" s="108" t="n">
        <v>45963</v>
      </c>
      <c r="X72" s="4" t="inlineStr">
        <is>
          <t>BIN HUMAID NATIONAL TRADING CO</t>
        </is>
      </c>
    </row>
    <row r="73" ht="24" customHeight="1">
      <c r="A73" s="2">
        <f>+D73-S73</f>
        <v/>
      </c>
      <c r="B73" s="80" t="n"/>
      <c r="C73" s="70" t="n">
        <v>45394</v>
      </c>
      <c r="D73" s="2" t="n">
        <v>1</v>
      </c>
      <c r="E73" s="3" t="inlineStr">
        <is>
          <t>PISTOLA SEMIAUTOMATICA</t>
        </is>
      </c>
      <c r="F73" s="3" t="inlineStr">
        <is>
          <t>9X19</t>
        </is>
      </c>
      <c r="G73" s="3" t="inlineStr">
        <is>
          <t>BERETTA</t>
        </is>
      </c>
      <c r="H73" s="65" t="inlineStr">
        <is>
          <t>92 FUSION</t>
        </is>
      </c>
      <c r="I73" s="65" t="inlineStr">
        <is>
          <t>FUSC040N</t>
        </is>
      </c>
      <c r="J73" s="65" t="inlineStr">
        <is>
          <t>N/D</t>
        </is>
      </c>
      <c r="K73" s="65" t="inlineStr">
        <is>
          <t>N/D</t>
        </is>
      </c>
      <c r="L73" s="127" t="inlineStr">
        <is>
          <t>ARMERIA BRIGNOLI SILVIO &amp; C SNC</t>
        </is>
      </c>
      <c r="M73" s="5" t="n">
        <v>7500</v>
      </c>
      <c r="N73" s="5" t="n"/>
      <c r="O73" s="5">
        <f>+M73+N73</f>
        <v/>
      </c>
      <c r="P73" s="4" t="n"/>
      <c r="Q73" s="87" t="n"/>
      <c r="R73" s="5" t="n">
        <v>7875</v>
      </c>
      <c r="S73" s="2" t="n">
        <v>1</v>
      </c>
      <c r="T73" s="3" t="inlineStr">
        <is>
          <t>CA04954OS</t>
        </is>
      </c>
      <c r="U73" s="87" t="n">
        <v>45874</v>
      </c>
      <c r="V73" s="3" t="inlineStr">
        <is>
          <t>25</t>
        </is>
      </c>
      <c r="W73" s="4" t="n">
        <v>45874</v>
      </c>
      <c r="X73" s="4" t="inlineStr">
        <is>
          <t>PHILIPPOS COSTANTINIDES TRADING CO. LTD</t>
        </is>
      </c>
    </row>
    <row r="74" ht="24" customHeight="1">
      <c r="A74" s="2">
        <f>+D74-S74</f>
        <v/>
      </c>
      <c r="B74" s="80" t="n"/>
      <c r="C74" s="70" t="n">
        <v>45414</v>
      </c>
      <c r="D74" s="2" t="n">
        <v>1</v>
      </c>
      <c r="E74" s="3" t="inlineStr">
        <is>
          <t>CARABINA SEMIAUTOMATICA</t>
        </is>
      </c>
      <c r="F74" s="3" t="inlineStr">
        <is>
          <t>22 LR</t>
        </is>
      </c>
      <c r="G74" s="3" t="inlineStr">
        <is>
          <t>WINCHESTER</t>
        </is>
      </c>
      <c r="H74" s="65" t="inlineStr">
        <is>
          <t>WILDCAT STARTA SA THR 16 5</t>
        </is>
      </c>
      <c r="I74" s="65" t="inlineStr">
        <is>
          <t>TF614-22Y00250</t>
        </is>
      </c>
      <c r="J74" s="65" t="inlineStr">
        <is>
          <t>N/D</t>
        </is>
      </c>
      <c r="K74" s="65" t="inlineStr">
        <is>
          <t>N/D</t>
        </is>
      </c>
      <c r="L74" s="127" t="inlineStr">
        <is>
          <t>B.W.M.I. SRL</t>
        </is>
      </c>
      <c r="M74" s="5" t="n">
        <v>265.5</v>
      </c>
      <c r="N74" s="5" t="n"/>
      <c r="O74" s="5">
        <f>+M74+N74</f>
        <v/>
      </c>
      <c r="P74" s="4" t="n"/>
      <c r="Q74" s="87" t="n"/>
      <c r="R74" s="5" t="n"/>
      <c r="S74" s="2" t="n"/>
      <c r="T74" s="3" t="n"/>
      <c r="U74" s="87" t="n"/>
      <c r="V74" s="3" t="n"/>
      <c r="W74" s="108" t="n"/>
      <c r="X74" s="4" t="n"/>
    </row>
    <row r="75" ht="24" customHeight="1">
      <c r="A75" s="2">
        <f>+D75-S75</f>
        <v/>
      </c>
      <c r="B75" s="80" t="n"/>
      <c r="C75" s="70" t="n">
        <v>45414</v>
      </c>
      <c r="D75" s="2" t="n">
        <v>1</v>
      </c>
      <c r="E75" s="3" t="inlineStr">
        <is>
          <t>CARABINA</t>
        </is>
      </c>
      <c r="F75" s="3" t="inlineStr">
        <is>
          <t>22 LR</t>
        </is>
      </c>
      <c r="G75" s="3" t="inlineStr">
        <is>
          <t>WINCHESTER</t>
        </is>
      </c>
      <c r="H75" s="65" t="inlineStr">
        <is>
          <t>XPERT COMPO THR 16.5</t>
        </is>
      </c>
      <c r="I75" s="65" t="inlineStr">
        <is>
          <t>TF614-23AA01541</t>
        </is>
      </c>
      <c r="J75" s="65" t="inlineStr">
        <is>
          <t>N/D</t>
        </is>
      </c>
      <c r="K75" s="65" t="inlineStr">
        <is>
          <t>N/D</t>
        </is>
      </c>
      <c r="L75" s="127" t="inlineStr">
        <is>
          <t>B.W.M.I. SRL</t>
        </is>
      </c>
      <c r="M75" s="56" t="n">
        <v>0</v>
      </c>
      <c r="N75" s="5" t="n"/>
      <c r="O75" s="5">
        <f>+M75+N75</f>
        <v/>
      </c>
      <c r="P75" s="4" t="n"/>
      <c r="Q75" s="87" t="n"/>
      <c r="R75" s="5" t="n"/>
      <c r="S75" s="2" t="n"/>
      <c r="T75" s="3" t="n"/>
      <c r="U75" s="87" t="n"/>
      <c r="V75" s="3" t="n"/>
      <c r="W75" s="108" t="n"/>
      <c r="X75" s="4" t="n"/>
    </row>
    <row r="76" ht="24" customHeight="1">
      <c r="A76" s="2">
        <f>+D76-S76</f>
        <v/>
      </c>
      <c r="B76" s="80" t="n"/>
      <c r="C76" s="70" t="n">
        <v>45414</v>
      </c>
      <c r="D76" s="2" t="n">
        <v>1</v>
      </c>
      <c r="E76" s="3" t="inlineStr">
        <is>
          <t>CARABINA</t>
        </is>
      </c>
      <c r="F76" s="3" t="inlineStr">
        <is>
          <t>22 LR</t>
        </is>
      </c>
      <c r="G76" s="3" t="inlineStr">
        <is>
          <t>WINCHESTER</t>
        </is>
      </c>
      <c r="H76" s="65" t="inlineStr">
        <is>
          <t>XPERT STEALTH THR 16.5</t>
        </is>
      </c>
      <c r="I76" s="65" t="inlineStr">
        <is>
          <t>TF614-24AA00102</t>
        </is>
      </c>
      <c r="J76" s="65" t="inlineStr">
        <is>
          <t>N/D</t>
        </is>
      </c>
      <c r="K76" s="65" t="inlineStr">
        <is>
          <t>N/D</t>
        </is>
      </c>
      <c r="L76" s="127" t="inlineStr">
        <is>
          <t>B.W.M.I. SRL</t>
        </is>
      </c>
      <c r="M76" s="56" t="n">
        <v>0</v>
      </c>
      <c r="N76" s="5" t="n"/>
      <c r="O76" s="5">
        <f>+M76+N76</f>
        <v/>
      </c>
      <c r="P76" s="4" t="n"/>
      <c r="Q76" s="87" t="n"/>
      <c r="R76" s="5" t="n">
        <v>327</v>
      </c>
      <c r="S76" s="2" t="n">
        <v>1</v>
      </c>
      <c r="T76" s="3" t="inlineStr">
        <is>
          <t>CA04954OS</t>
        </is>
      </c>
      <c r="U76" s="87" t="n">
        <v>45874</v>
      </c>
      <c r="V76" s="3" t="inlineStr">
        <is>
          <t>26</t>
        </is>
      </c>
      <c r="W76" s="4" t="n">
        <v>45874</v>
      </c>
      <c r="X76" s="4" t="inlineStr">
        <is>
          <t>PHILIPPOS COSTANTINIDES TRADING CO. LTD</t>
        </is>
      </c>
    </row>
    <row r="77" ht="24" customHeight="1">
      <c r="A77" s="2" t="n">
        <v>0</v>
      </c>
      <c r="B77" s="80" t="n"/>
      <c r="C77" s="70" t="n">
        <v>45415</v>
      </c>
      <c r="D77" s="2" t="n">
        <v>1</v>
      </c>
      <c r="E77" s="3" t="inlineStr">
        <is>
          <t>CARABINA</t>
        </is>
      </c>
      <c r="F77" s="3" t="inlineStr">
        <is>
          <t>223REM</t>
        </is>
      </c>
      <c r="G77" s="3" t="inlineStr">
        <is>
          <t>SMITH&amp;WESSON</t>
        </is>
      </c>
      <c r="H77" s="65" t="inlineStr">
        <is>
          <t>M&amp;P15 SPORT II</t>
        </is>
      </c>
      <c r="I77" s="65" t="inlineStr">
        <is>
          <t>TW42913</t>
        </is>
      </c>
      <c r="J77" s="65" t="inlineStr">
        <is>
          <t>N/D</t>
        </is>
      </c>
      <c r="K77" s="65" t="inlineStr">
        <is>
          <t>N/D</t>
        </is>
      </c>
      <c r="L77" s="127" t="inlineStr">
        <is>
          <t>PRIMA ARMI SRL</t>
        </is>
      </c>
      <c r="M77" s="114" t="n"/>
      <c r="N77" s="75" t="n"/>
      <c r="O77" s="115" t="n"/>
      <c r="P77" s="118" t="n"/>
      <c r="Q77" s="119" t="n"/>
      <c r="R77" s="115" t="n"/>
      <c r="S77" s="116" t="n">
        <v>1</v>
      </c>
      <c r="T77" s="117" t="n"/>
      <c r="U77" s="119" t="n">
        <v>45874</v>
      </c>
      <c r="V77" s="117" t="n"/>
      <c r="W77" s="118" t="n">
        <v>45874</v>
      </c>
      <c r="X77" s="118" t="inlineStr">
        <is>
          <t>PHILIPPOS  CONSTANTINIDES
TRADING CO.LTD</t>
        </is>
      </c>
    </row>
    <row r="78" ht="24" customHeight="1">
      <c r="A78" s="2">
        <f>+D78-S78</f>
        <v/>
      </c>
      <c r="B78" s="80" t="n"/>
      <c r="C78" s="70" t="n">
        <v>45408</v>
      </c>
      <c r="D78" s="2" t="n">
        <v>1</v>
      </c>
      <c r="E78" s="3" t="inlineStr">
        <is>
          <t>FUCILE MONOCANNA</t>
        </is>
      </c>
      <c r="F78" s="3" t="n">
        <v>16</v>
      </c>
      <c r="G78" s="3" t="inlineStr">
        <is>
          <t>ZANOLETTI</t>
        </is>
      </c>
      <c r="H78" s="65" t="inlineStr">
        <is>
          <t>N/D</t>
        </is>
      </c>
      <c r="I78" s="65" t="n">
        <v>15014</v>
      </c>
      <c r="J78" s="65" t="inlineStr">
        <is>
          <t>N/D</t>
        </is>
      </c>
      <c r="K78" s="65" t="inlineStr">
        <is>
          <t>N/D</t>
        </is>
      </c>
      <c r="L78" s="127" t="inlineStr">
        <is>
          <t>ARMERIA LA STORICA DI PANCINI MORENO SRL</t>
        </is>
      </c>
      <c r="M78" s="5" t="n">
        <v>25.72375</v>
      </c>
      <c r="N78" s="5" t="n"/>
      <c r="O78" s="5">
        <f>+M78+N78</f>
        <v/>
      </c>
      <c r="P78" s="4" t="n"/>
      <c r="Q78" s="87" t="n"/>
      <c r="R78" s="5" t="n">
        <v>29</v>
      </c>
      <c r="S78" s="2" t="n">
        <v>1</v>
      </c>
      <c r="T78" s="3" t="inlineStr">
        <is>
          <t>CA42796IR</t>
        </is>
      </c>
      <c r="U78" s="87" t="n">
        <v>45821</v>
      </c>
      <c r="V78" s="3" t="inlineStr">
        <is>
          <t>9</t>
        </is>
      </c>
      <c r="W78" s="108" t="n">
        <v>45821</v>
      </c>
      <c r="X78" s="4" t="inlineStr">
        <is>
          <t>PHILIPPOS COSTANTINIDES TRADING CO. LTD</t>
        </is>
      </c>
    </row>
    <row r="79" ht="24" customHeight="1">
      <c r="A79" s="2">
        <f>+D79-S79</f>
        <v/>
      </c>
      <c r="B79" s="80" t="n"/>
      <c r="C79" s="70" t="n">
        <v>45408</v>
      </c>
      <c r="D79" s="2" t="n">
        <v>1</v>
      </c>
      <c r="E79" s="3" t="inlineStr">
        <is>
          <t>FUCILE SOVRAPPOSTO</t>
        </is>
      </c>
      <c r="F79" s="3" t="inlineStr">
        <is>
          <t>20/410</t>
        </is>
      </c>
      <c r="G79" s="3" t="inlineStr">
        <is>
          <t>INVESTARM</t>
        </is>
      </c>
      <c r="H79" s="65" t="inlineStr">
        <is>
          <t>N/D</t>
        </is>
      </c>
      <c r="I79" s="65" t="n">
        <v>567396</v>
      </c>
      <c r="J79" s="65" t="inlineStr">
        <is>
          <t>N/D</t>
        </is>
      </c>
      <c r="K79" s="65" t="inlineStr">
        <is>
          <t>N/D</t>
        </is>
      </c>
      <c r="L79" s="127" t="inlineStr">
        <is>
          <t>ARMERIA LA STORICA DI PANCINI MORENO SRL</t>
        </is>
      </c>
      <c r="M79" s="5" t="n">
        <v>82.316</v>
      </c>
      <c r="N79" s="5" t="n"/>
      <c r="O79" s="5">
        <f>+M79+N79</f>
        <v/>
      </c>
      <c r="P79" s="4" t="n"/>
      <c r="Q79" s="87" t="n"/>
      <c r="R79" s="5" t="n">
        <v>91</v>
      </c>
      <c r="S79" s="2" t="n">
        <v>1</v>
      </c>
      <c r="T79" s="3" t="inlineStr">
        <is>
          <t>CA42796IR</t>
        </is>
      </c>
      <c r="U79" s="87" t="n">
        <v>45821</v>
      </c>
      <c r="V79" s="3" t="inlineStr">
        <is>
          <t>9</t>
        </is>
      </c>
      <c r="W79" s="108" t="n">
        <v>45821</v>
      </c>
      <c r="X79" s="4" t="inlineStr">
        <is>
          <t>PHILIPPOS COSTANTINIDES TRADING CO. LTD</t>
        </is>
      </c>
    </row>
    <row r="80" ht="24" customHeight="1">
      <c r="A80" s="2">
        <f>+D80-S80</f>
        <v/>
      </c>
      <c r="B80" s="80" t="n"/>
      <c r="C80" s="70" t="n">
        <v>45418</v>
      </c>
      <c r="D80" s="2" t="n">
        <v>1</v>
      </c>
      <c r="E80" s="3" t="inlineStr">
        <is>
          <t>FUCILE MONOCANNA</t>
        </is>
      </c>
      <c r="F80" s="3" t="n">
        <v>24</v>
      </c>
      <c r="G80" s="3" t="inlineStr">
        <is>
          <t>BERETTA</t>
        </is>
      </c>
      <c r="H80" s="65" t="inlineStr">
        <is>
          <t>N/D</t>
        </is>
      </c>
      <c r="I80" s="65" t="inlineStr">
        <is>
          <t>C147001</t>
        </is>
      </c>
      <c r="J80" s="65" t="inlineStr">
        <is>
          <t>N/D</t>
        </is>
      </c>
      <c r="K80" s="65" t="inlineStr">
        <is>
          <t>N/D</t>
        </is>
      </c>
      <c r="L80" s="127" t="inlineStr">
        <is>
          <t>G.U.N. SNC DI SACCHI G &amp; C.</t>
        </is>
      </c>
      <c r="M80" s="5" t="n">
        <v>30</v>
      </c>
      <c r="N80" s="5" t="n"/>
      <c r="O80" s="5">
        <f>+M80+N80</f>
        <v/>
      </c>
      <c r="P80" s="4" t="n"/>
      <c r="Q80" s="87" t="n"/>
      <c r="R80" s="5" t="n">
        <v>38</v>
      </c>
      <c r="S80" s="2" t="n">
        <v>1</v>
      </c>
      <c r="T80" s="3" t="inlineStr">
        <is>
          <t>CA42796IR</t>
        </is>
      </c>
      <c r="U80" s="87" t="n">
        <v>45821</v>
      </c>
      <c r="V80" s="3" t="inlineStr">
        <is>
          <t>8</t>
        </is>
      </c>
      <c r="W80" s="108" t="n">
        <v>45821</v>
      </c>
      <c r="X80" s="4" t="inlineStr">
        <is>
          <t>PHILIPPOS COSTANTINIDES TRADING CO. LTD</t>
        </is>
      </c>
    </row>
    <row r="81" ht="24" customHeight="1">
      <c r="A81" s="2">
        <f>+D81-S81</f>
        <v/>
      </c>
      <c r="B81" s="80" t="n"/>
      <c r="C81" s="70" t="n">
        <v>45418</v>
      </c>
      <c r="D81" s="2" t="n">
        <v>1</v>
      </c>
      <c r="E81" s="3" t="inlineStr">
        <is>
          <t>FUCILE MONOCANNA</t>
        </is>
      </c>
      <c r="F81" s="3" t="n">
        <v>24</v>
      </c>
      <c r="G81" s="3" t="inlineStr">
        <is>
          <t>BERETTA</t>
        </is>
      </c>
      <c r="H81" s="65" t="inlineStr">
        <is>
          <t>N/D</t>
        </is>
      </c>
      <c r="I81" s="65" t="inlineStr">
        <is>
          <t>D010608</t>
        </is>
      </c>
      <c r="J81" s="65" t="inlineStr">
        <is>
          <t>N/D</t>
        </is>
      </c>
      <c r="K81" s="65" t="inlineStr">
        <is>
          <t>N/D</t>
        </is>
      </c>
      <c r="L81" s="127" t="inlineStr">
        <is>
          <t>G.U.N. SNC DI SACCHI G &amp; C.</t>
        </is>
      </c>
      <c r="M81" s="5" t="n">
        <v>30</v>
      </c>
      <c r="N81" s="5" t="n"/>
      <c r="O81" s="5">
        <f>+M81+N81</f>
        <v/>
      </c>
      <c r="P81" s="4" t="n"/>
      <c r="Q81" s="87" t="n"/>
      <c r="R81" s="5" t="n">
        <v>38</v>
      </c>
      <c r="S81" s="2" t="n">
        <v>1</v>
      </c>
      <c r="T81" s="3" t="inlineStr">
        <is>
          <t>CA42796IR</t>
        </is>
      </c>
      <c r="U81" s="87" t="n">
        <v>45821</v>
      </c>
      <c r="V81" s="3" t="inlineStr">
        <is>
          <t>8</t>
        </is>
      </c>
      <c r="W81" s="108" t="n">
        <v>45821</v>
      </c>
      <c r="X81" s="4" t="inlineStr">
        <is>
          <t>PHILIPPOS COSTANTINIDES TRADING CO. LTD</t>
        </is>
      </c>
    </row>
    <row r="82" ht="24" customHeight="1">
      <c r="A82" s="2">
        <f>+D82-S82</f>
        <v/>
      </c>
      <c r="B82" s="80" t="n"/>
      <c r="C82" s="70" t="n">
        <v>45418</v>
      </c>
      <c r="D82" s="2" t="n">
        <v>1</v>
      </c>
      <c r="E82" s="3" t="inlineStr">
        <is>
          <t>FUCILE MONOCANNA</t>
        </is>
      </c>
      <c r="F82" s="3" t="n">
        <v>24</v>
      </c>
      <c r="G82" s="3" t="inlineStr">
        <is>
          <t>INVESTARM</t>
        </is>
      </c>
      <c r="H82" s="65" t="inlineStr">
        <is>
          <t>N/D</t>
        </is>
      </c>
      <c r="I82" s="65" t="n">
        <v>471296</v>
      </c>
      <c r="J82" s="65" t="inlineStr">
        <is>
          <t>N/D</t>
        </is>
      </c>
      <c r="K82" s="65" t="inlineStr">
        <is>
          <t>N/D</t>
        </is>
      </c>
      <c r="L82" s="127" t="inlineStr">
        <is>
          <t>G.U.N. SNC DI SACCHI G &amp; C.</t>
        </is>
      </c>
      <c r="M82" s="5" t="n">
        <v>30</v>
      </c>
      <c r="N82" s="5" t="n"/>
      <c r="O82" s="5">
        <f>+M82+N82</f>
        <v/>
      </c>
      <c r="P82" s="4" t="n"/>
      <c r="Q82" s="87" t="n"/>
      <c r="R82" s="5" t="n">
        <v>38</v>
      </c>
      <c r="S82" s="2" t="n">
        <v>1</v>
      </c>
      <c r="T82" s="3" t="inlineStr">
        <is>
          <t>CA42796IR</t>
        </is>
      </c>
      <c r="U82" s="87" t="n">
        <v>45821</v>
      </c>
      <c r="V82" s="3" t="inlineStr">
        <is>
          <t>8</t>
        </is>
      </c>
      <c r="W82" s="108" t="n">
        <v>45821</v>
      </c>
      <c r="X82" s="4" t="inlineStr">
        <is>
          <t>PHILIPPOS COSTANTINIDES TRADING CO. LTD</t>
        </is>
      </c>
    </row>
    <row r="83" ht="24" customHeight="1">
      <c r="A83" s="2">
        <f>+D83-S83</f>
        <v/>
      </c>
      <c r="B83" s="80" t="n"/>
      <c r="C83" s="70" t="n">
        <v>45418</v>
      </c>
      <c r="D83" s="2" t="n">
        <v>1</v>
      </c>
      <c r="E83" s="3" t="inlineStr">
        <is>
          <t>FUCILE DOPPIETTA</t>
        </is>
      </c>
      <c r="F83" s="3" t="n">
        <v>12</v>
      </c>
      <c r="G83" s="3" t="inlineStr">
        <is>
          <t>BERNARDELLI</t>
        </is>
      </c>
      <c r="H83" s="65" t="inlineStr">
        <is>
          <t>N/D</t>
        </is>
      </c>
      <c r="I83" s="65" t="n">
        <v>9816</v>
      </c>
      <c r="J83" s="65" t="inlineStr">
        <is>
          <t>N/D</t>
        </is>
      </c>
      <c r="K83" s="65" t="inlineStr">
        <is>
          <t>N/D</t>
        </is>
      </c>
      <c r="L83" s="127" t="inlineStr">
        <is>
          <t>G.U.N. SNC DI SACCHI G &amp; C.</t>
        </is>
      </c>
      <c r="M83" s="5" t="n">
        <v>200</v>
      </c>
      <c r="N83" s="5" t="n"/>
      <c r="O83" s="5">
        <f>+M83+N83</f>
        <v/>
      </c>
      <c r="P83" s="4" t="n"/>
      <c r="Q83" s="87" t="n"/>
      <c r="R83" s="5" t="n">
        <v>225</v>
      </c>
      <c r="S83" s="2" t="n">
        <v>1</v>
      </c>
      <c r="T83" s="3" t="inlineStr">
        <is>
          <t>CA42796IR</t>
        </is>
      </c>
      <c r="U83" s="87" t="n">
        <v>45821</v>
      </c>
      <c r="V83" s="3" t="inlineStr">
        <is>
          <t>13</t>
        </is>
      </c>
      <c r="W83" s="108" t="n">
        <v>45821</v>
      </c>
      <c r="X83" s="4" t="inlineStr">
        <is>
          <t>PHILIPPOS COSTANTINIDES TRADING CO. LTD</t>
        </is>
      </c>
    </row>
    <row r="84" ht="24" customHeight="1">
      <c r="A84" s="2">
        <f>+D84-S84</f>
        <v/>
      </c>
      <c r="B84" s="80" t="n"/>
      <c r="C84" s="70" t="n">
        <v>45418</v>
      </c>
      <c r="D84" s="2" t="n">
        <v>1</v>
      </c>
      <c r="E84" s="3" t="inlineStr">
        <is>
          <t>FUCILE DOPPIETTA</t>
        </is>
      </c>
      <c r="F84" s="3" t="n">
        <v>12</v>
      </c>
      <c r="G84" s="3" t="inlineStr">
        <is>
          <t>BERNARDELLI</t>
        </is>
      </c>
      <c r="H84" s="65" t="inlineStr">
        <is>
          <t>N/D</t>
        </is>
      </c>
      <c r="I84" s="65" t="n">
        <v>51830</v>
      </c>
      <c r="J84" s="65" t="inlineStr">
        <is>
          <t>N/D</t>
        </is>
      </c>
      <c r="K84" s="65" t="inlineStr">
        <is>
          <t>N/D</t>
        </is>
      </c>
      <c r="L84" s="127" t="inlineStr">
        <is>
          <t>G.U.N. SNC DI SACCHI G &amp; C.</t>
        </is>
      </c>
      <c r="M84" s="5" t="n">
        <v>200</v>
      </c>
      <c r="N84" s="5" t="n"/>
      <c r="O84" s="5">
        <f>+M84+N84</f>
        <v/>
      </c>
      <c r="P84" s="4" t="n"/>
      <c r="Q84" s="87" t="n"/>
      <c r="R84" s="5" t="n">
        <v>225</v>
      </c>
      <c r="S84" s="2" t="n">
        <v>1</v>
      </c>
      <c r="T84" s="3" t="inlineStr">
        <is>
          <t>CA42796IR</t>
        </is>
      </c>
      <c r="U84" s="87" t="n">
        <v>45821</v>
      </c>
      <c r="V84" s="3" t="inlineStr">
        <is>
          <t>13</t>
        </is>
      </c>
      <c r="W84" s="108" t="n">
        <v>45821</v>
      </c>
      <c r="X84" s="4" t="inlineStr">
        <is>
          <t>PHILIPPOS COSTANTINIDES TRADING CO. LTD</t>
        </is>
      </c>
    </row>
    <row r="85" ht="24" customHeight="1">
      <c r="A85" s="2">
        <f>+D85-S85</f>
        <v/>
      </c>
      <c r="B85" s="80" t="n"/>
      <c r="C85" s="70" t="n">
        <v>45418</v>
      </c>
      <c r="D85" s="2" t="n">
        <v>1</v>
      </c>
      <c r="E85" s="3" t="inlineStr">
        <is>
          <t>FUCILE DOPPIETTA</t>
        </is>
      </c>
      <c r="F85" s="3" t="n">
        <v>12</v>
      </c>
      <c r="G85" s="3" t="inlineStr">
        <is>
          <t>ZOLI</t>
        </is>
      </c>
      <c r="H85" s="65" t="inlineStr">
        <is>
          <t>N/D</t>
        </is>
      </c>
      <c r="I85" s="65" t="n">
        <v>4478</v>
      </c>
      <c r="J85" s="65" t="inlineStr">
        <is>
          <t>N/D</t>
        </is>
      </c>
      <c r="K85" s="65" t="inlineStr">
        <is>
          <t>N/D</t>
        </is>
      </c>
      <c r="L85" s="127" t="inlineStr">
        <is>
          <t>G.U.N. SNC DI SACCHI G &amp; C.</t>
        </is>
      </c>
      <c r="M85" s="5" t="n">
        <v>200</v>
      </c>
      <c r="N85" s="5" t="n"/>
      <c r="O85" s="5">
        <f>+M85+N85</f>
        <v/>
      </c>
      <c r="P85" s="4" t="n"/>
      <c r="Q85" s="87" t="n"/>
      <c r="R85" s="5" t="n">
        <v>225</v>
      </c>
      <c r="S85" s="2" t="n">
        <v>1</v>
      </c>
      <c r="T85" s="3" t="inlineStr">
        <is>
          <t>CA42796IR</t>
        </is>
      </c>
      <c r="U85" s="87" t="n">
        <v>45821</v>
      </c>
      <c r="V85" s="3" t="inlineStr">
        <is>
          <t>15</t>
        </is>
      </c>
      <c r="W85" s="108" t="n">
        <v>45821</v>
      </c>
      <c r="X85" s="4" t="inlineStr">
        <is>
          <t>PHILIPPOS COSTANTINIDES TRADING CO. LTD</t>
        </is>
      </c>
    </row>
    <row r="86" ht="24" customHeight="1">
      <c r="A86" s="2">
        <f>+D86-S86</f>
        <v/>
      </c>
      <c r="B86" s="80" t="n"/>
      <c r="C86" s="70" t="n">
        <v>45418</v>
      </c>
      <c r="D86" s="2" t="n">
        <v>1</v>
      </c>
      <c r="E86" s="3" t="inlineStr">
        <is>
          <t>FUCILE DOPPIETTA</t>
        </is>
      </c>
      <c r="F86" s="3" t="n">
        <v>12</v>
      </c>
      <c r="G86" s="3" t="inlineStr">
        <is>
          <t>ZOLI</t>
        </is>
      </c>
      <c r="H86" s="65" t="inlineStr">
        <is>
          <t>N/D</t>
        </is>
      </c>
      <c r="I86" s="65" t="n">
        <v>29134</v>
      </c>
      <c r="J86" s="65" t="inlineStr">
        <is>
          <t>N/D</t>
        </is>
      </c>
      <c r="K86" s="65" t="inlineStr">
        <is>
          <t>N/D</t>
        </is>
      </c>
      <c r="L86" s="127" t="inlineStr">
        <is>
          <t>G.U.N. SNC DI SACCHI G &amp; C.</t>
        </is>
      </c>
      <c r="M86" s="5" t="n">
        <v>10</v>
      </c>
      <c r="N86" s="5" t="n"/>
      <c r="O86" s="5">
        <f>+M86+N86</f>
        <v/>
      </c>
      <c r="P86" s="4" t="n"/>
      <c r="Q86" s="87" t="n"/>
      <c r="R86" s="5" t="n">
        <v>16</v>
      </c>
      <c r="S86" s="2" t="n">
        <v>1</v>
      </c>
      <c r="T86" s="3" t="inlineStr">
        <is>
          <t>CA42796IR</t>
        </is>
      </c>
      <c r="U86" s="87" t="n">
        <v>45821</v>
      </c>
      <c r="V86" s="3" t="inlineStr">
        <is>
          <t>15</t>
        </is>
      </c>
      <c r="W86" s="108" t="n">
        <v>45821</v>
      </c>
      <c r="X86" s="4" t="inlineStr">
        <is>
          <t>PHILIPPOS COSTANTINIDES TRADING CO. LTD</t>
        </is>
      </c>
    </row>
    <row r="87" ht="24" customHeight="1">
      <c r="A87" s="2">
        <f>+D87-S87</f>
        <v/>
      </c>
      <c r="B87" s="80" t="n"/>
      <c r="C87" s="70" t="n">
        <v>45418</v>
      </c>
      <c r="D87" s="2" t="n">
        <v>1</v>
      </c>
      <c r="E87" s="3" t="inlineStr">
        <is>
          <t>FUCILE DOPPIETTA</t>
        </is>
      </c>
      <c r="F87" s="3" t="n">
        <v>12</v>
      </c>
      <c r="G87" s="3" t="inlineStr">
        <is>
          <t>BERETTA</t>
        </is>
      </c>
      <c r="H87" s="65" t="inlineStr">
        <is>
          <t>N/D</t>
        </is>
      </c>
      <c r="I87" s="65" t="n">
        <v>80653</v>
      </c>
      <c r="J87" s="65" t="inlineStr">
        <is>
          <t>N/D</t>
        </is>
      </c>
      <c r="K87" s="65" t="inlineStr">
        <is>
          <t>N/D</t>
        </is>
      </c>
      <c r="L87" s="127" t="inlineStr">
        <is>
          <t>G.U.N. SNC DI SACCHI G &amp; C.</t>
        </is>
      </c>
      <c r="M87" s="5" t="n">
        <v>10</v>
      </c>
      <c r="N87" s="5" t="n"/>
      <c r="O87" s="5">
        <f>+M87+N87</f>
        <v/>
      </c>
      <c r="P87" s="4" t="n"/>
      <c r="Q87" s="87" t="n"/>
      <c r="R87" s="5" t="n">
        <v>16</v>
      </c>
      <c r="S87" s="2" t="n">
        <v>1</v>
      </c>
      <c r="T87" s="3" t="inlineStr">
        <is>
          <t>CA42796IR</t>
        </is>
      </c>
      <c r="U87" s="87" t="n">
        <v>45821</v>
      </c>
      <c r="V87" s="3" t="inlineStr">
        <is>
          <t>12</t>
        </is>
      </c>
      <c r="W87" s="108" t="n">
        <v>45821</v>
      </c>
      <c r="X87" s="4" t="inlineStr">
        <is>
          <t>PHILIPPOS COSTANTINIDES TRADING CO. LTD</t>
        </is>
      </c>
    </row>
    <row r="88" ht="24" customHeight="1">
      <c r="A88" s="2">
        <f>+D88-S88</f>
        <v/>
      </c>
      <c r="B88" s="80" t="n"/>
      <c r="C88" s="70" t="n">
        <v>45418</v>
      </c>
      <c r="D88" s="2" t="n">
        <v>1</v>
      </c>
      <c r="E88" s="3" t="inlineStr">
        <is>
          <t>FUCILE DOPPIETTA</t>
        </is>
      </c>
      <c r="F88" s="3" t="n">
        <v>12</v>
      </c>
      <c r="G88" s="3" t="inlineStr">
        <is>
          <t>ARTIGIANALE</t>
        </is>
      </c>
      <c r="H88" s="65" t="inlineStr">
        <is>
          <t>N/D</t>
        </is>
      </c>
      <c r="I88" s="65" t="n">
        <v>25204</v>
      </c>
      <c r="J88" s="65" t="inlineStr">
        <is>
          <t>N/D</t>
        </is>
      </c>
      <c r="K88" s="65" t="inlineStr">
        <is>
          <t>N/D</t>
        </is>
      </c>
      <c r="L88" s="127" t="inlineStr">
        <is>
          <t>G.U.N. SNC DI SACCHI G &amp; C.</t>
        </is>
      </c>
      <c r="M88" s="5" t="n">
        <v>10</v>
      </c>
      <c r="N88" s="5" t="n"/>
      <c r="O88" s="5">
        <f>+M88+N88</f>
        <v/>
      </c>
      <c r="P88" s="4" t="n"/>
      <c r="Q88" s="87" t="n"/>
      <c r="R88" s="5" t="n">
        <v>16</v>
      </c>
      <c r="S88" s="2" t="n">
        <v>1</v>
      </c>
      <c r="T88" s="3" t="inlineStr">
        <is>
          <t>CA42796IR</t>
        </is>
      </c>
      <c r="U88" s="87" t="n">
        <v>45821</v>
      </c>
      <c r="V88" s="3" t="inlineStr">
        <is>
          <t>12</t>
        </is>
      </c>
      <c r="W88" s="108" t="n">
        <v>45821</v>
      </c>
      <c r="X88" s="4" t="inlineStr">
        <is>
          <t>PHILIPPOS COSTANTINIDES TRADING CO. LTD</t>
        </is>
      </c>
    </row>
    <row r="89" ht="24" customHeight="1">
      <c r="A89" s="2">
        <f>+D89-S89</f>
        <v/>
      </c>
      <c r="B89" s="80" t="n"/>
      <c r="C89" s="70" t="n">
        <v>45418</v>
      </c>
      <c r="D89" s="2" t="n">
        <v>1</v>
      </c>
      <c r="E89" s="3" t="inlineStr">
        <is>
          <t>FUCILE DOPPIETTA</t>
        </is>
      </c>
      <c r="F89" s="3" t="n">
        <v>16</v>
      </c>
      <c r="G89" s="3" t="inlineStr">
        <is>
          <t>CERRAI PICCINALI</t>
        </is>
      </c>
      <c r="H89" s="65" t="inlineStr">
        <is>
          <t>N/D</t>
        </is>
      </c>
      <c r="I89" s="65" t="n">
        <v>1728</v>
      </c>
      <c r="J89" s="65" t="inlineStr">
        <is>
          <t>N/D</t>
        </is>
      </c>
      <c r="K89" s="65" t="inlineStr">
        <is>
          <t>N/D</t>
        </is>
      </c>
      <c r="L89" s="127" t="inlineStr">
        <is>
          <t>G.U.N. SNC DI SACCHI G &amp; C.</t>
        </is>
      </c>
      <c r="M89" s="5" t="n">
        <v>10</v>
      </c>
      <c r="N89" s="5" t="n"/>
      <c r="O89" s="5">
        <f>+M89+N89</f>
        <v/>
      </c>
      <c r="P89" s="4" t="n"/>
      <c r="Q89" s="87" t="n"/>
      <c r="R89" s="5" t="n">
        <v>16</v>
      </c>
      <c r="S89" s="2" t="n">
        <v>1</v>
      </c>
      <c r="T89" s="3" t="inlineStr">
        <is>
          <t>CA42796IR</t>
        </is>
      </c>
      <c r="U89" s="87" t="n">
        <v>45821</v>
      </c>
      <c r="V89" s="3" t="inlineStr">
        <is>
          <t>15</t>
        </is>
      </c>
      <c r="W89" s="108" t="n">
        <v>45821</v>
      </c>
      <c r="X89" s="4" t="inlineStr">
        <is>
          <t>PHILIPPOS COSTANTINIDES TRADING CO. LTD</t>
        </is>
      </c>
    </row>
    <row r="90" ht="24" customHeight="1">
      <c r="A90" s="2">
        <f>+D90-S90</f>
        <v/>
      </c>
      <c r="B90" s="80" t="n"/>
      <c r="C90" s="70" t="n">
        <v>45418</v>
      </c>
      <c r="D90" s="2" t="n">
        <v>1</v>
      </c>
      <c r="E90" s="3" t="inlineStr">
        <is>
          <t>FUCILE DOPPIETTA</t>
        </is>
      </c>
      <c r="F90" s="3" t="n">
        <v>12</v>
      </c>
      <c r="G90" s="3" t="inlineStr">
        <is>
          <t>BERETTA</t>
        </is>
      </c>
      <c r="H90" s="65" t="inlineStr">
        <is>
          <t>N/D</t>
        </is>
      </c>
      <c r="I90" s="65" t="n">
        <v>566</v>
      </c>
      <c r="J90" s="65" t="inlineStr">
        <is>
          <t>N/D</t>
        </is>
      </c>
      <c r="K90" s="65" t="inlineStr">
        <is>
          <t>N/D</t>
        </is>
      </c>
      <c r="L90" s="127" t="inlineStr">
        <is>
          <t>G.U.N. SNC DI SACCHI G &amp; C.</t>
        </is>
      </c>
      <c r="M90" s="5" t="n">
        <v>10</v>
      </c>
      <c r="N90" s="5" t="n"/>
      <c r="O90" s="5">
        <f>+M90+N90</f>
        <v/>
      </c>
      <c r="P90" s="4" t="n"/>
      <c r="Q90" s="87" t="n"/>
      <c r="R90" s="5" t="n">
        <v>16</v>
      </c>
      <c r="S90" s="2" t="n">
        <v>1</v>
      </c>
      <c r="T90" s="3" t="inlineStr">
        <is>
          <t>CA42796IR</t>
        </is>
      </c>
      <c r="U90" s="87" t="n">
        <v>45821</v>
      </c>
      <c r="V90" s="3" t="inlineStr">
        <is>
          <t>12</t>
        </is>
      </c>
      <c r="W90" s="108" t="n">
        <v>45821</v>
      </c>
      <c r="X90" s="4" t="inlineStr">
        <is>
          <t>PHILIPPOS COSTANTINIDES TRADING CO. LTD</t>
        </is>
      </c>
    </row>
    <row r="91" ht="24" customHeight="1">
      <c r="A91" s="2">
        <f>+D91-S91</f>
        <v/>
      </c>
      <c r="B91" s="80" t="n"/>
      <c r="C91" s="70" t="n">
        <v>45418</v>
      </c>
      <c r="D91" s="2" t="n">
        <v>1</v>
      </c>
      <c r="E91" s="3" t="inlineStr">
        <is>
          <t>FUCILE DOPPIETTA</t>
        </is>
      </c>
      <c r="F91" s="3" t="n">
        <v>12</v>
      </c>
      <c r="G91" s="3" t="inlineStr">
        <is>
          <t>ARTIGIANALE</t>
        </is>
      </c>
      <c r="H91" s="65" t="inlineStr">
        <is>
          <t>N/D</t>
        </is>
      </c>
      <c r="I91" s="65" t="n">
        <v>1348</v>
      </c>
      <c r="J91" s="65" t="inlineStr">
        <is>
          <t>N/D</t>
        </is>
      </c>
      <c r="K91" s="65" t="inlineStr">
        <is>
          <t>N/D</t>
        </is>
      </c>
      <c r="L91" s="127" t="inlineStr">
        <is>
          <t>G.U.N. SNC DI SACCHI G &amp; C.</t>
        </is>
      </c>
      <c r="M91" s="5" t="n">
        <v>10</v>
      </c>
      <c r="N91" s="5" t="n"/>
      <c r="O91" s="5">
        <f>+M91+N91</f>
        <v/>
      </c>
      <c r="P91" s="4" t="n"/>
      <c r="Q91" s="87" t="n"/>
      <c r="R91" s="5" t="n">
        <v>16</v>
      </c>
      <c r="S91" s="2" t="n">
        <v>1</v>
      </c>
      <c r="T91" s="3" t="inlineStr">
        <is>
          <t>CA42796IR</t>
        </is>
      </c>
      <c r="U91" s="87" t="n">
        <v>45821</v>
      </c>
      <c r="V91" s="3" t="inlineStr">
        <is>
          <t>12</t>
        </is>
      </c>
      <c r="W91" s="108" t="n">
        <v>45821</v>
      </c>
      <c r="X91" s="4" t="inlineStr">
        <is>
          <t>PHILIPPOS COSTANTINIDES TRADING CO. LTD</t>
        </is>
      </c>
    </row>
    <row r="92" ht="24" customHeight="1">
      <c r="A92" s="2">
        <f>+D92-S92</f>
        <v/>
      </c>
      <c r="B92" s="80" t="n"/>
      <c r="C92" s="70" t="n">
        <v>45418</v>
      </c>
      <c r="D92" s="2" t="n">
        <v>1</v>
      </c>
      <c r="E92" s="3" t="inlineStr">
        <is>
          <t>FUCILE SOVRAPPOSTO</t>
        </is>
      </c>
      <c r="F92" s="3" t="n">
        <v>12</v>
      </c>
      <c r="G92" s="3" t="inlineStr">
        <is>
          <t>BERETTA</t>
        </is>
      </c>
      <c r="H92" s="65" t="inlineStr">
        <is>
          <t>N/D</t>
        </is>
      </c>
      <c r="I92" s="65" t="n">
        <v>51168</v>
      </c>
      <c r="J92" s="65" t="inlineStr">
        <is>
          <t>N/D</t>
        </is>
      </c>
      <c r="K92" s="65" t="inlineStr">
        <is>
          <t>N/D</t>
        </is>
      </c>
      <c r="L92" s="127" t="inlineStr">
        <is>
          <t>G.U.N. SNC DI SACCHI G &amp; C.</t>
        </is>
      </c>
      <c r="M92" s="5" t="n">
        <v>100</v>
      </c>
      <c r="N92" s="5" t="n"/>
      <c r="O92" s="5">
        <f>+M92+N92</f>
        <v/>
      </c>
      <c r="P92" s="4" t="n"/>
      <c r="Q92" s="87" t="n"/>
      <c r="R92" s="5" t="n">
        <v>115</v>
      </c>
      <c r="S92" s="2" t="n">
        <v>1</v>
      </c>
      <c r="T92" s="3" t="inlineStr">
        <is>
          <t>CA42796IR</t>
        </is>
      </c>
      <c r="U92" s="87" t="n">
        <v>45821</v>
      </c>
      <c r="V92" s="3" t="inlineStr">
        <is>
          <t>9</t>
        </is>
      </c>
      <c r="W92" s="108" t="n">
        <v>45821</v>
      </c>
      <c r="X92" s="4" t="inlineStr">
        <is>
          <t>PHILIPPOS COSTANTINIDES TRADING CO. LTD</t>
        </is>
      </c>
    </row>
    <row r="93" ht="24" customHeight="1">
      <c r="A93" s="2">
        <f>+D93-S93</f>
        <v/>
      </c>
      <c r="B93" s="80" t="n"/>
      <c r="C93" s="70" t="n">
        <v>45418</v>
      </c>
      <c r="D93" s="2" t="n">
        <v>1</v>
      </c>
      <c r="E93" s="3" t="inlineStr">
        <is>
          <t>FUCILE SOVRAPPOSTO</t>
        </is>
      </c>
      <c r="F93" s="3" t="n">
        <v>12</v>
      </c>
      <c r="G93" s="3" t="inlineStr">
        <is>
          <t>BERETTA</t>
        </is>
      </c>
      <c r="H93" s="65" t="inlineStr">
        <is>
          <t>N/D</t>
        </is>
      </c>
      <c r="I93" s="65" t="n">
        <v>1607</v>
      </c>
      <c r="J93" s="65" t="inlineStr">
        <is>
          <t>N/D</t>
        </is>
      </c>
      <c r="K93" s="65" t="inlineStr">
        <is>
          <t>N/D</t>
        </is>
      </c>
      <c r="L93" s="127" t="inlineStr">
        <is>
          <t>G.U.N. SNC DI SACCHI G &amp; C.</t>
        </is>
      </c>
      <c r="M93" s="5" t="n">
        <v>140</v>
      </c>
      <c r="N93" s="5" t="n"/>
      <c r="O93" s="5">
        <f>+M93+N93</f>
        <v/>
      </c>
      <c r="P93" s="4" t="n"/>
      <c r="Q93" s="87" t="n"/>
      <c r="R93" s="5" t="n">
        <v>159</v>
      </c>
      <c r="S93" s="2" t="n">
        <v>1</v>
      </c>
      <c r="T93" s="3" t="inlineStr">
        <is>
          <t>CA42796IR</t>
        </is>
      </c>
      <c r="U93" s="87" t="n">
        <v>45821</v>
      </c>
      <c r="V93" s="3" t="inlineStr">
        <is>
          <t>9</t>
        </is>
      </c>
      <c r="W93" s="108" t="n">
        <v>45821</v>
      </c>
      <c r="X93" s="4" t="inlineStr">
        <is>
          <t>PHILIPPOS COSTANTINIDES TRADING CO. LTD</t>
        </is>
      </c>
    </row>
    <row r="94" ht="24" customHeight="1">
      <c r="A94" s="2">
        <f>+D94-S94</f>
        <v/>
      </c>
      <c r="B94" s="80" t="n"/>
      <c r="C94" s="70" t="n">
        <v>45418</v>
      </c>
      <c r="D94" s="2" t="n">
        <v>1</v>
      </c>
      <c r="E94" s="3" t="inlineStr">
        <is>
          <t>FUCILE SOVRAPPOSTO</t>
        </is>
      </c>
      <c r="F94" s="3" t="n">
        <v>12</v>
      </c>
      <c r="G94" s="3" t="inlineStr">
        <is>
          <t>FRANCHI</t>
        </is>
      </c>
      <c r="H94" s="65" t="inlineStr">
        <is>
          <t>N/D</t>
        </is>
      </c>
      <c r="I94" s="65" t="n">
        <v>5154481</v>
      </c>
      <c r="J94" s="65" t="inlineStr">
        <is>
          <t>N/D</t>
        </is>
      </c>
      <c r="K94" s="65" t="inlineStr">
        <is>
          <t>N/D</t>
        </is>
      </c>
      <c r="L94" s="127" t="inlineStr">
        <is>
          <t>G.U.N. SNC DI SACCHI G &amp; C.</t>
        </is>
      </c>
      <c r="M94" s="5" t="n">
        <v>150</v>
      </c>
      <c r="N94" s="5" t="n"/>
      <c r="O94" s="5">
        <f>+M94+N94</f>
        <v/>
      </c>
      <c r="P94" s="4" t="n"/>
      <c r="Q94" s="87" t="n"/>
      <c r="R94" s="5" t="n">
        <v>170</v>
      </c>
      <c r="S94" s="2" t="n">
        <v>1</v>
      </c>
      <c r="T94" s="3" t="inlineStr">
        <is>
          <t>CA42796IR</t>
        </is>
      </c>
      <c r="U94" s="87" t="n">
        <v>45821</v>
      </c>
      <c r="V94" s="3" t="inlineStr">
        <is>
          <t>9</t>
        </is>
      </c>
      <c r="W94" s="108" t="n">
        <v>45821</v>
      </c>
      <c r="X94" s="4" t="inlineStr">
        <is>
          <t>PHILIPPOS COSTANTINIDES TRADING CO. LTD</t>
        </is>
      </c>
    </row>
    <row r="95" ht="24" customHeight="1">
      <c r="A95" s="2">
        <f>+D95-S95</f>
        <v/>
      </c>
      <c r="B95" s="80" t="n"/>
      <c r="C95" s="70" t="n">
        <v>45418</v>
      </c>
      <c r="D95" s="2" t="n">
        <v>1</v>
      </c>
      <c r="E95" s="3" t="inlineStr">
        <is>
          <t>FUCILE SOVRAPPOSTO</t>
        </is>
      </c>
      <c r="F95" s="3" t="n">
        <v>12</v>
      </c>
      <c r="G95" s="3" t="inlineStr">
        <is>
          <t>WINCHESTER</t>
        </is>
      </c>
      <c r="H95" s="65" t="inlineStr">
        <is>
          <t>N/D</t>
        </is>
      </c>
      <c r="I95" s="65" t="inlineStr">
        <is>
          <t>K379455</t>
        </is>
      </c>
      <c r="J95" s="65" t="inlineStr">
        <is>
          <t>N/D</t>
        </is>
      </c>
      <c r="K95" s="65" t="inlineStr">
        <is>
          <t>N/D</t>
        </is>
      </c>
      <c r="L95" s="127" t="inlineStr">
        <is>
          <t>G.U.N. SNC DI SACCHI G &amp; C.</t>
        </is>
      </c>
      <c r="M95" s="5" t="n">
        <v>150</v>
      </c>
      <c r="N95" s="5" t="n"/>
      <c r="O95" s="5">
        <f>+M95+N95</f>
        <v/>
      </c>
      <c r="P95" s="4" t="n"/>
      <c r="Q95" s="87" t="n"/>
      <c r="R95" s="5" t="n">
        <v>170</v>
      </c>
      <c r="S95" s="2" t="n">
        <v>1</v>
      </c>
      <c r="T95" s="3" t="inlineStr">
        <is>
          <t>CA42796IR</t>
        </is>
      </c>
      <c r="U95" s="87" t="n">
        <v>45821</v>
      </c>
      <c r="V95" s="3" t="inlineStr">
        <is>
          <t>9</t>
        </is>
      </c>
      <c r="W95" s="108" t="n">
        <v>45821</v>
      </c>
      <c r="X95" s="4" t="inlineStr">
        <is>
          <t>PHILIPPOS COSTANTINIDES TRADING CO. LTD</t>
        </is>
      </c>
    </row>
    <row r="96" ht="24" customHeight="1">
      <c r="A96" s="2">
        <f>+D96-S96</f>
        <v/>
      </c>
      <c r="B96" s="80" t="n"/>
      <c r="C96" s="70" t="n">
        <v>45418</v>
      </c>
      <c r="D96" s="2" t="n">
        <v>1</v>
      </c>
      <c r="E96" s="3" t="inlineStr">
        <is>
          <t>FUCILE SEMIAUTOMATICO</t>
        </is>
      </c>
      <c r="F96" s="3" t="n">
        <v>12</v>
      </c>
      <c r="G96" s="3" t="inlineStr">
        <is>
          <t>BERETTA</t>
        </is>
      </c>
      <c r="H96" s="65" t="inlineStr">
        <is>
          <t>N/D</t>
        </is>
      </c>
      <c r="I96" s="65" t="inlineStr">
        <is>
          <t>B9438</t>
        </is>
      </c>
      <c r="J96" s="65" t="inlineStr">
        <is>
          <t>C162273</t>
        </is>
      </c>
      <c r="K96" s="65" t="inlineStr">
        <is>
          <t>N/D</t>
        </is>
      </c>
      <c r="L96" s="127" t="inlineStr">
        <is>
          <t>G.U.N. SNC DI SACCHI G &amp; C.</t>
        </is>
      </c>
      <c r="M96" s="5" t="n">
        <v>150</v>
      </c>
      <c r="N96" s="5" t="n"/>
      <c r="O96" s="5">
        <f>+M96+N96</f>
        <v/>
      </c>
      <c r="P96" s="4" t="n"/>
      <c r="Q96" s="87" t="n"/>
      <c r="R96" s="5" t="n">
        <v>172</v>
      </c>
      <c r="S96" s="2" t="n">
        <v>1</v>
      </c>
      <c r="T96" s="3" t="n"/>
      <c r="U96" s="87" t="n">
        <v>45481</v>
      </c>
      <c r="V96" s="3" t="inlineStr">
        <is>
          <t>12</t>
        </is>
      </c>
      <c r="W96" s="108" t="n">
        <v>45481</v>
      </c>
      <c r="X96" s="4" t="inlineStr">
        <is>
          <t>BRESCIA MIDDLE EAST SAL</t>
        </is>
      </c>
    </row>
    <row r="97" ht="24" customHeight="1">
      <c r="A97" s="2">
        <f>+D97-S97</f>
        <v/>
      </c>
      <c r="B97" s="80" t="n"/>
      <c r="C97" s="70" t="n">
        <v>45427</v>
      </c>
      <c r="D97" s="2" t="n">
        <v>1</v>
      </c>
      <c r="E97" s="3" t="inlineStr">
        <is>
          <t>FUCILE SOVRAPPOSTO</t>
        </is>
      </c>
      <c r="F97" s="3" t="n">
        <v>20</v>
      </c>
      <c r="G97" s="3" t="inlineStr">
        <is>
          <t>BERETTA</t>
        </is>
      </c>
      <c r="H97" s="65" t="n">
        <v>686</v>
      </c>
      <c r="I97" s="65" t="inlineStr">
        <is>
          <t>X15013</t>
        </is>
      </c>
      <c r="J97" s="65" t="inlineStr">
        <is>
          <t>N/D</t>
        </is>
      </c>
      <c r="K97" s="65" t="inlineStr">
        <is>
          <t>N/D</t>
        </is>
      </c>
      <c r="L97" s="127" t="inlineStr">
        <is>
          <t>ARMERIA PARINI SRL</t>
        </is>
      </c>
      <c r="M97" s="5" t="n">
        <v>390</v>
      </c>
      <c r="N97" s="5" t="n"/>
      <c r="O97" s="5">
        <f>+M97+N97</f>
        <v/>
      </c>
      <c r="P97" s="4" t="n"/>
      <c r="Q97" s="87" t="n"/>
      <c r="R97" s="5" t="n">
        <v>431</v>
      </c>
      <c r="S97" s="2" t="n">
        <v>1</v>
      </c>
      <c r="T97" s="3" t="inlineStr">
        <is>
          <t>CA42796IR</t>
        </is>
      </c>
      <c r="U97" s="87" t="n">
        <v>45821</v>
      </c>
      <c r="V97" s="3" t="inlineStr">
        <is>
          <t>9</t>
        </is>
      </c>
      <c r="W97" s="108" t="n">
        <v>45821</v>
      </c>
      <c r="X97" s="4" t="inlineStr">
        <is>
          <t>PHILIPPOS COSTANTINIDES TRADING CO. LTD</t>
        </is>
      </c>
    </row>
    <row r="98" ht="24" customHeight="1">
      <c r="A98" s="2">
        <f>+D98-S98</f>
        <v/>
      </c>
      <c r="B98" s="80" t="n"/>
      <c r="C98" s="70" t="n">
        <v>45427</v>
      </c>
      <c r="D98" s="2" t="n">
        <v>1</v>
      </c>
      <c r="E98" s="3" t="inlineStr">
        <is>
          <t>FUCILE SOVRAPPOSTO</t>
        </is>
      </c>
      <c r="F98" s="3" t="n">
        <v>12</v>
      </c>
      <c r="G98" s="3" t="inlineStr">
        <is>
          <t>BERETTA</t>
        </is>
      </c>
      <c r="H98" s="65" t="n">
        <v>686</v>
      </c>
      <c r="I98" s="65" t="inlineStr">
        <is>
          <t>C97578B</t>
        </is>
      </c>
      <c r="J98" s="65" t="inlineStr">
        <is>
          <t>N/D</t>
        </is>
      </c>
      <c r="K98" s="65" t="inlineStr">
        <is>
          <t>N/D</t>
        </is>
      </c>
      <c r="L98" s="127" t="inlineStr">
        <is>
          <t>ARMERIA PARINI SRL</t>
        </is>
      </c>
      <c r="M98" s="5" t="n">
        <v>400</v>
      </c>
      <c r="N98" s="5" t="n"/>
      <c r="O98" s="5">
        <f>+M98+N98</f>
        <v/>
      </c>
      <c r="P98" s="4" t="n"/>
      <c r="Q98" s="87" t="n"/>
      <c r="R98" s="5" t="n">
        <v>442</v>
      </c>
      <c r="S98" s="2" t="n">
        <v>1</v>
      </c>
      <c r="T98" s="3" t="inlineStr">
        <is>
          <t>CA42796IR</t>
        </is>
      </c>
      <c r="U98" s="87" t="n">
        <v>45821</v>
      </c>
      <c r="V98" s="3" t="inlineStr">
        <is>
          <t>9</t>
        </is>
      </c>
      <c r="W98" s="108" t="n">
        <v>45821</v>
      </c>
      <c r="X98" s="4" t="inlineStr">
        <is>
          <t>PHILIPPOS COSTANTINIDES TRADING CO. LTD</t>
        </is>
      </c>
    </row>
    <row r="99" ht="24" customHeight="1">
      <c r="A99" s="2">
        <f>+D99-S99</f>
        <v/>
      </c>
      <c r="B99" s="80" t="n"/>
      <c r="C99" s="70" t="n">
        <v>45427</v>
      </c>
      <c r="D99" s="2" t="n">
        <v>1</v>
      </c>
      <c r="E99" s="3" t="inlineStr">
        <is>
          <t>FUCILE SOVRAPPOSTO</t>
        </is>
      </c>
      <c r="F99" s="3" t="n">
        <v>12</v>
      </c>
      <c r="G99" s="3" t="inlineStr">
        <is>
          <t>BERETTA</t>
        </is>
      </c>
      <c r="H99" s="65" t="inlineStr">
        <is>
          <t>S 56</t>
        </is>
      </c>
      <c r="I99" s="65" t="n">
        <v>41954</v>
      </c>
      <c r="J99" s="65" t="inlineStr">
        <is>
          <t>N/D</t>
        </is>
      </c>
      <c r="K99" s="65" t="inlineStr">
        <is>
          <t>N/D</t>
        </is>
      </c>
      <c r="L99" s="127" t="inlineStr">
        <is>
          <t>ARMERIA PARINI SRL</t>
        </is>
      </c>
      <c r="M99" s="5" t="n">
        <v>240</v>
      </c>
      <c r="N99" s="5" t="n"/>
      <c r="O99" s="5">
        <f>+M99+N99</f>
        <v/>
      </c>
      <c r="P99" s="4" t="n"/>
      <c r="Q99" s="87" t="n"/>
      <c r="R99" s="5" t="n">
        <v>266</v>
      </c>
      <c r="S99" s="2" t="n">
        <v>1</v>
      </c>
      <c r="T99" s="3" t="inlineStr">
        <is>
          <t>CA42796IR</t>
        </is>
      </c>
      <c r="U99" s="87" t="n">
        <v>45821</v>
      </c>
      <c r="V99" s="3" t="inlineStr">
        <is>
          <t>9</t>
        </is>
      </c>
      <c r="W99" s="108" t="n">
        <v>45821</v>
      </c>
      <c r="X99" s="4" t="inlineStr">
        <is>
          <t>PHILIPPOS COSTANTINIDES TRADING CO. LTD</t>
        </is>
      </c>
    </row>
    <row r="100" ht="24" customHeight="1">
      <c r="A100" s="2">
        <f>+D100-S100</f>
        <v/>
      </c>
      <c r="B100" s="80" t="n"/>
      <c r="C100" s="70" t="n">
        <v>45427</v>
      </c>
      <c r="D100" s="2" t="n">
        <v>1</v>
      </c>
      <c r="E100" s="3" t="inlineStr">
        <is>
          <t>FUCILE SOVRAPPOSTO</t>
        </is>
      </c>
      <c r="F100" s="3" t="n">
        <v>12</v>
      </c>
      <c r="G100" s="3" t="inlineStr">
        <is>
          <t>BERETTA</t>
        </is>
      </c>
      <c r="H100" s="65" t="inlineStr">
        <is>
          <t>S 55</t>
        </is>
      </c>
      <c r="I100" s="65" t="n">
        <v>69982</v>
      </c>
      <c r="J100" s="65" t="inlineStr">
        <is>
          <t>N/D</t>
        </is>
      </c>
      <c r="K100" s="65" t="inlineStr">
        <is>
          <t>N/D</t>
        </is>
      </c>
      <c r="L100" s="127" t="inlineStr">
        <is>
          <t>ARMERIA PARINI SRL</t>
        </is>
      </c>
      <c r="M100" s="5" t="n">
        <v>230</v>
      </c>
      <c r="N100" s="5" t="n"/>
      <c r="O100" s="5">
        <f>+M100+N100</f>
        <v/>
      </c>
      <c r="P100" s="4" t="n"/>
      <c r="Q100" s="87" t="n"/>
      <c r="R100" s="5" t="n">
        <v>255</v>
      </c>
      <c r="S100" s="2" t="n">
        <v>1</v>
      </c>
      <c r="T100" s="3" t="inlineStr">
        <is>
          <t>CA42796IR</t>
        </is>
      </c>
      <c r="U100" s="87" t="n">
        <v>45821</v>
      </c>
      <c r="V100" s="3" t="inlineStr">
        <is>
          <t>9</t>
        </is>
      </c>
      <c r="W100" s="108" t="n">
        <v>45821</v>
      </c>
      <c r="X100" s="4" t="inlineStr">
        <is>
          <t>PHILIPPOS COSTANTINIDES TRADING CO. LTD</t>
        </is>
      </c>
    </row>
    <row r="101" ht="24" customHeight="1">
      <c r="A101" s="2">
        <f>+D101-S101</f>
        <v/>
      </c>
      <c r="B101" s="80" t="n"/>
      <c r="C101" s="70" t="n">
        <v>45427</v>
      </c>
      <c r="D101" s="2" t="n">
        <v>1</v>
      </c>
      <c r="E101" s="3" t="inlineStr">
        <is>
          <t>FUCILE SOVRAPPOSTO</t>
        </is>
      </c>
      <c r="F101" s="3" t="n">
        <v>12</v>
      </c>
      <c r="G101" s="3" t="inlineStr">
        <is>
          <t>BERETTA</t>
        </is>
      </c>
      <c r="H101" s="65" t="inlineStr">
        <is>
          <t>S 56</t>
        </is>
      </c>
      <c r="I101" s="65" t="n">
        <v>55207</v>
      </c>
      <c r="J101" s="65" t="inlineStr">
        <is>
          <t>N/D</t>
        </is>
      </c>
      <c r="K101" s="65" t="inlineStr">
        <is>
          <t>N/D</t>
        </is>
      </c>
      <c r="L101" s="127" t="inlineStr">
        <is>
          <t>ARMERIA PARINI SRL</t>
        </is>
      </c>
      <c r="M101" s="5" t="n">
        <v>240</v>
      </c>
      <c r="N101" s="5" t="n"/>
      <c r="O101" s="5">
        <f>+M101+N101</f>
        <v/>
      </c>
      <c r="P101" s="4" t="n"/>
      <c r="Q101" s="87" t="n"/>
      <c r="R101" s="5" t="n">
        <v>266</v>
      </c>
      <c r="S101" s="2" t="n">
        <v>1</v>
      </c>
      <c r="T101" s="3" t="inlineStr">
        <is>
          <t>CA42796IR</t>
        </is>
      </c>
      <c r="U101" s="87" t="n">
        <v>45821</v>
      </c>
      <c r="V101" s="3" t="inlineStr">
        <is>
          <t>9</t>
        </is>
      </c>
      <c r="W101" s="108" t="n">
        <v>45821</v>
      </c>
      <c r="X101" s="4" t="inlineStr">
        <is>
          <t>PHILIPPOS COSTANTINIDES TRADING CO. LTD</t>
        </is>
      </c>
    </row>
    <row r="102" ht="24" customHeight="1">
      <c r="A102" s="2">
        <f>+D102-S102</f>
        <v/>
      </c>
      <c r="B102" s="80" t="n"/>
      <c r="C102" s="70" t="n">
        <v>45427</v>
      </c>
      <c r="D102" s="2" t="n">
        <v>1</v>
      </c>
      <c r="E102" s="3" t="inlineStr">
        <is>
          <t>FUCILE SOVRAPPOSTO</t>
        </is>
      </c>
      <c r="F102" s="3" t="n">
        <v>12</v>
      </c>
      <c r="G102" s="3" t="inlineStr">
        <is>
          <t>BERETTA</t>
        </is>
      </c>
      <c r="H102" s="65" t="inlineStr">
        <is>
          <t>S 55</t>
        </is>
      </c>
      <c r="I102" s="65" t="inlineStr">
        <is>
          <t>B57572B</t>
        </is>
      </c>
      <c r="J102" s="65" t="inlineStr">
        <is>
          <t>N/D</t>
        </is>
      </c>
      <c r="K102" s="65" t="inlineStr">
        <is>
          <t>N/D</t>
        </is>
      </c>
      <c r="L102" s="127" t="inlineStr">
        <is>
          <t>ARMERIA PARINI SRL</t>
        </is>
      </c>
      <c r="M102" s="5" t="n">
        <v>260</v>
      </c>
      <c r="N102" s="5" t="n"/>
      <c r="O102" s="5">
        <f>+M102+N102</f>
        <v/>
      </c>
      <c r="P102" s="4" t="n"/>
      <c r="Q102" s="87" t="n"/>
      <c r="R102" s="5" t="n">
        <v>288</v>
      </c>
      <c r="S102" s="2" t="n">
        <v>1</v>
      </c>
      <c r="T102" s="3" t="inlineStr">
        <is>
          <t>CA42796IR</t>
        </is>
      </c>
      <c r="U102" s="87" t="n">
        <v>45821</v>
      </c>
      <c r="V102" s="3" t="inlineStr">
        <is>
          <t>9</t>
        </is>
      </c>
      <c r="W102" s="108" t="n">
        <v>45821</v>
      </c>
      <c r="X102" s="4" t="inlineStr">
        <is>
          <t>PHILIPPOS COSTANTINIDES TRADING CO. LTD</t>
        </is>
      </c>
    </row>
    <row r="103" ht="24" customHeight="1">
      <c r="A103" s="2">
        <f>+D103-S103</f>
        <v/>
      </c>
      <c r="B103" s="80" t="n"/>
      <c r="C103" s="70" t="n">
        <v>45427</v>
      </c>
      <c r="D103" s="2" t="n">
        <v>1</v>
      </c>
      <c r="E103" s="3" t="inlineStr">
        <is>
          <t>FUCILE SOVRAPPOSTO</t>
        </is>
      </c>
      <c r="F103" s="3" t="n">
        <v>12</v>
      </c>
      <c r="G103" s="3" t="inlineStr">
        <is>
          <t>BERETTA</t>
        </is>
      </c>
      <c r="H103" s="65" t="inlineStr">
        <is>
          <t>S 55</t>
        </is>
      </c>
      <c r="I103" s="65" t="n">
        <v>76538</v>
      </c>
      <c r="J103" s="65" t="inlineStr">
        <is>
          <t>N/D</t>
        </is>
      </c>
      <c r="K103" s="65" t="inlineStr">
        <is>
          <t>N/D</t>
        </is>
      </c>
      <c r="L103" s="127" t="inlineStr">
        <is>
          <t>ARMERIA PARINI SRL</t>
        </is>
      </c>
      <c r="M103" s="5" t="n">
        <v>210</v>
      </c>
      <c r="N103" s="5" t="n"/>
      <c r="O103" s="5">
        <f>+M103+N103</f>
        <v/>
      </c>
      <c r="P103" s="4" t="n"/>
      <c r="Q103" s="87" t="n"/>
      <c r="R103" s="5" t="n">
        <v>233</v>
      </c>
      <c r="S103" s="2" t="n">
        <v>1</v>
      </c>
      <c r="T103" s="3" t="inlineStr">
        <is>
          <t>CA42796IR</t>
        </is>
      </c>
      <c r="U103" s="87" t="n">
        <v>45821</v>
      </c>
      <c r="V103" s="3" t="inlineStr">
        <is>
          <t>9</t>
        </is>
      </c>
      <c r="W103" s="108" t="n">
        <v>45821</v>
      </c>
      <c r="X103" s="4" t="inlineStr">
        <is>
          <t>PHILIPPOS COSTANTINIDES TRADING CO. LTD</t>
        </is>
      </c>
    </row>
    <row r="104" ht="24" customHeight="1">
      <c r="A104" s="2">
        <f>+D104-S104</f>
        <v/>
      </c>
      <c r="B104" s="80" t="n"/>
      <c r="C104" s="70" t="n">
        <v>45421</v>
      </c>
      <c r="D104" s="2" t="n">
        <v>1</v>
      </c>
      <c r="E104" s="3" t="inlineStr">
        <is>
          <t>PISTOLA SEMIAUTOMATICA</t>
        </is>
      </c>
      <c r="F104" s="3" t="n">
        <v>7.65</v>
      </c>
      <c r="G104" s="3" t="inlineStr">
        <is>
          <t>BERETTA</t>
        </is>
      </c>
      <c r="H104" s="65" t="n">
        <v>81</v>
      </c>
      <c r="I104" s="65" t="inlineStr">
        <is>
          <t>D67007W</t>
        </is>
      </c>
      <c r="J104" s="65" t="inlineStr">
        <is>
          <t>N/D</t>
        </is>
      </c>
      <c r="K104" s="65" t="inlineStr">
        <is>
          <t>N/D</t>
        </is>
      </c>
      <c r="L104" s="127" t="inlineStr">
        <is>
          <t>ARMERIA BRIGNOLI SILVIO &amp; C SNC</t>
        </is>
      </c>
      <c r="M104" s="5" t="n">
        <v>100</v>
      </c>
      <c r="N104" s="5" t="n"/>
      <c r="O104" s="5">
        <f>+M104+N104</f>
        <v/>
      </c>
      <c r="P104" s="4" t="n"/>
      <c r="Q104" s="87" t="n"/>
      <c r="R104" s="5" t="n"/>
      <c r="S104" s="2" t="n"/>
      <c r="T104" s="3" t="n"/>
      <c r="U104" s="87" t="n"/>
      <c r="V104" s="3" t="n"/>
      <c r="W104" s="108" t="n"/>
      <c r="X104" s="4" t="n"/>
    </row>
    <row r="105" ht="24" customHeight="1">
      <c r="A105" s="2">
        <f>+D105-S105</f>
        <v/>
      </c>
      <c r="B105" s="80" t="n"/>
      <c r="C105" s="70" t="n">
        <v>45421</v>
      </c>
      <c r="D105" s="2" t="n">
        <v>1</v>
      </c>
      <c r="E105" s="3" t="inlineStr">
        <is>
          <t>CANNA PER PISTOLA</t>
        </is>
      </c>
      <c r="F105" s="3" t="inlineStr">
        <is>
          <t>9X19</t>
        </is>
      </c>
      <c r="G105" s="3" t="inlineStr">
        <is>
          <t>BERETTA</t>
        </is>
      </c>
      <c r="H105" s="65" t="inlineStr">
        <is>
          <t>SEMIAUTOMATICA PISTOL 92</t>
        </is>
      </c>
      <c r="I105" s="65" t="inlineStr">
        <is>
          <t>R48748Z</t>
        </is>
      </c>
      <c r="J105" s="65" t="inlineStr">
        <is>
          <t>N/D</t>
        </is>
      </c>
      <c r="K105" s="65" t="inlineStr">
        <is>
          <t>N/D</t>
        </is>
      </c>
      <c r="L105" s="127" t="inlineStr">
        <is>
          <t>ARMERIA BRIGNOLI SILVIO &amp; C SNC</t>
        </is>
      </c>
      <c r="M105" s="5" t="n">
        <v>190</v>
      </c>
      <c r="N105" s="5" t="n"/>
      <c r="O105" s="5">
        <f>+M105+N105</f>
        <v/>
      </c>
      <c r="P105" s="4" t="n"/>
      <c r="Q105" s="87" t="n"/>
      <c r="R105" s="5" t="n"/>
      <c r="S105" s="2" t="n"/>
      <c r="T105" s="3" t="n"/>
      <c r="U105" s="87" t="n"/>
      <c r="V105" s="3" t="n"/>
      <c r="W105" s="108" t="n"/>
      <c r="X105" s="4" t="n"/>
    </row>
    <row r="106" ht="24" customHeight="1">
      <c r="A106" s="2">
        <f>+D106-S106</f>
        <v/>
      </c>
      <c r="B106" s="80" t="n"/>
      <c r="C106" s="70" t="n">
        <v>45421</v>
      </c>
      <c r="D106" s="2" t="n">
        <v>1</v>
      </c>
      <c r="E106" s="3" t="inlineStr">
        <is>
          <t>CANNA PER PISTOLA</t>
        </is>
      </c>
      <c r="F106" s="3" t="inlineStr">
        <is>
          <t>9X19</t>
        </is>
      </c>
      <c r="G106" s="3" t="inlineStr">
        <is>
          <t>BERETTA</t>
        </is>
      </c>
      <c r="H106" s="65" t="inlineStr">
        <is>
          <t>SEMIAUTOMATICA PISTOL 92</t>
        </is>
      </c>
      <c r="I106" s="65" t="inlineStr">
        <is>
          <t>R48746Z</t>
        </is>
      </c>
      <c r="J106" s="65" t="inlineStr">
        <is>
          <t>N/D</t>
        </is>
      </c>
      <c r="K106" s="65" t="inlineStr">
        <is>
          <t>N/D</t>
        </is>
      </c>
      <c r="L106" s="127" t="inlineStr">
        <is>
          <t>ARMERIA BRIGNOLI SILVIO &amp; C SNC</t>
        </is>
      </c>
      <c r="M106" s="5" t="n">
        <v>190</v>
      </c>
      <c r="N106" s="5" t="n"/>
      <c r="O106" s="5">
        <f>+M106+N106</f>
        <v/>
      </c>
      <c r="P106" s="4" t="n"/>
      <c r="Q106" s="87" t="n"/>
      <c r="R106" s="5" t="n"/>
      <c r="S106" s="2" t="n"/>
      <c r="T106" s="3" t="n"/>
      <c r="U106" s="87" t="n"/>
      <c r="V106" s="3" t="n"/>
      <c r="W106" s="108" t="n"/>
      <c r="X106" s="4" t="n"/>
    </row>
    <row r="107" ht="24" customHeight="1">
      <c r="A107" s="2">
        <f>+D107-S107</f>
        <v/>
      </c>
      <c r="B107" s="80" t="n"/>
      <c r="C107" s="70" t="n">
        <v>45421</v>
      </c>
      <c r="D107" s="2" t="n">
        <v>1</v>
      </c>
      <c r="E107" s="3" t="inlineStr">
        <is>
          <t>CANNA PER PISTOLA</t>
        </is>
      </c>
      <c r="F107" s="3" t="inlineStr">
        <is>
          <t>9X19</t>
        </is>
      </c>
      <c r="G107" s="3" t="inlineStr">
        <is>
          <t>BERETTA</t>
        </is>
      </c>
      <c r="H107" s="65" t="inlineStr">
        <is>
          <t>SEMIAUTOMATICA PISTOL 92</t>
        </is>
      </c>
      <c r="I107" s="65" t="inlineStr">
        <is>
          <t>R48759Z</t>
        </is>
      </c>
      <c r="J107" s="65" t="inlineStr">
        <is>
          <t>N/D</t>
        </is>
      </c>
      <c r="K107" s="65" t="inlineStr">
        <is>
          <t>N/D</t>
        </is>
      </c>
      <c r="L107" s="127" t="inlineStr">
        <is>
          <t>ARMERIA BRIGNOLI SILVIO &amp; C SNC</t>
        </is>
      </c>
      <c r="M107" s="5" t="n">
        <v>190</v>
      </c>
      <c r="N107" s="5" t="n"/>
      <c r="O107" s="5">
        <f>+M107+N107</f>
        <v/>
      </c>
      <c r="P107" s="4" t="n"/>
      <c r="Q107" s="87" t="n"/>
      <c r="R107" s="5" t="n"/>
      <c r="S107" s="2" t="n"/>
      <c r="T107" s="3" t="n"/>
      <c r="U107" s="87" t="n"/>
      <c r="V107" s="3" t="n"/>
      <c r="W107" s="108" t="n"/>
      <c r="X107" s="4" t="n"/>
    </row>
    <row r="108" ht="24" customHeight="1">
      <c r="A108" s="2">
        <f>+D108-S108</f>
        <v/>
      </c>
      <c r="B108" s="80" t="n"/>
      <c r="C108" s="70" t="n">
        <v>45421</v>
      </c>
      <c r="D108" s="2" t="n">
        <v>1</v>
      </c>
      <c r="E108" s="3" t="inlineStr">
        <is>
          <t>PISTOLA SEMIAUTOMATICA</t>
        </is>
      </c>
      <c r="F108" s="3" t="inlineStr">
        <is>
          <t>9X19</t>
        </is>
      </c>
      <c r="G108" s="3" t="inlineStr">
        <is>
          <t>BERETTA</t>
        </is>
      </c>
      <c r="H108" s="65" t="n">
        <v>92</v>
      </c>
      <c r="I108" s="65" t="inlineStr">
        <is>
          <t>A332520Z</t>
        </is>
      </c>
      <c r="J108" s="65" t="inlineStr">
        <is>
          <t>N/D</t>
        </is>
      </c>
      <c r="K108" s="65" t="inlineStr">
        <is>
          <t>N/D</t>
        </is>
      </c>
      <c r="L108" s="127" t="inlineStr">
        <is>
          <t>ARMERIA BRIGNOLI SILVIO &amp; C SNC</t>
        </is>
      </c>
      <c r="M108" s="5" t="n">
        <v>580</v>
      </c>
      <c r="N108" s="5" t="n"/>
      <c r="O108" s="5">
        <f>+M108+N108</f>
        <v/>
      </c>
      <c r="P108" s="4" t="n"/>
      <c r="Q108" s="87" t="n"/>
      <c r="R108" s="5" t="n">
        <v>609</v>
      </c>
      <c r="S108" s="2" t="n">
        <v>1</v>
      </c>
      <c r="T108" s="3" t="inlineStr">
        <is>
          <t>CA04954OS</t>
        </is>
      </c>
      <c r="U108" s="87" t="n">
        <v>45874</v>
      </c>
      <c r="V108" s="3" t="inlineStr">
        <is>
          <t>25</t>
        </is>
      </c>
      <c r="W108" s="4" t="n">
        <v>45874</v>
      </c>
      <c r="X108" s="4" t="inlineStr">
        <is>
          <t>PHILIPPOS COSTANTINIDES TRADING CO. LTD</t>
        </is>
      </c>
    </row>
    <row r="109" ht="24" customHeight="1">
      <c r="A109" s="2">
        <f>+D109-S109</f>
        <v/>
      </c>
      <c r="B109" s="80" t="n"/>
      <c r="C109" s="70" t="n">
        <v>45421</v>
      </c>
      <c r="D109" s="2" t="n">
        <v>1</v>
      </c>
      <c r="E109" s="3" t="inlineStr">
        <is>
          <t>PISTOLA SEMIAUTOMATICA</t>
        </is>
      </c>
      <c r="F109" s="3" t="inlineStr">
        <is>
          <t>9X19</t>
        </is>
      </c>
      <c r="G109" s="3" t="inlineStr">
        <is>
          <t>BERETTA</t>
        </is>
      </c>
      <c r="H109" s="65" t="n">
        <v>92</v>
      </c>
      <c r="I109" s="65" t="inlineStr">
        <is>
          <t>A332521Z</t>
        </is>
      </c>
      <c r="J109" s="65" t="inlineStr">
        <is>
          <t>N/D</t>
        </is>
      </c>
      <c r="K109" s="65" t="inlineStr">
        <is>
          <t>N/D</t>
        </is>
      </c>
      <c r="L109" s="127" t="inlineStr">
        <is>
          <t>ARMERIA BRIGNOLI SILVIO &amp; C SNC</t>
        </is>
      </c>
      <c r="M109" s="5" t="n">
        <v>580</v>
      </c>
      <c r="N109" s="5" t="n"/>
      <c r="O109" s="5">
        <f>+M109+N109</f>
        <v/>
      </c>
      <c r="P109" s="4" t="n"/>
      <c r="Q109" s="87" t="n"/>
      <c r="R109" s="5" t="n"/>
      <c r="S109" s="2" t="n"/>
      <c r="T109" s="3" t="n"/>
      <c r="U109" s="87" t="n"/>
      <c r="V109" s="3" t="n"/>
      <c r="W109" s="108" t="n"/>
      <c r="X109" s="4" t="n"/>
    </row>
    <row r="110" ht="24" customHeight="1">
      <c r="A110" s="2">
        <f>+D110-S110</f>
        <v/>
      </c>
      <c r="B110" s="80" t="n"/>
      <c r="C110" s="70" t="n">
        <v>45421</v>
      </c>
      <c r="D110" s="2" t="n">
        <v>1</v>
      </c>
      <c r="E110" s="3" t="inlineStr">
        <is>
          <t>PISTOLA SEMIAUTOMATICA</t>
        </is>
      </c>
      <c r="F110" s="3" t="inlineStr">
        <is>
          <t>9X19</t>
        </is>
      </c>
      <c r="G110" s="3" t="inlineStr">
        <is>
          <t>BERETTA</t>
        </is>
      </c>
      <c r="H110" s="65" t="n">
        <v>92</v>
      </c>
      <c r="I110" s="65" t="inlineStr">
        <is>
          <t>A332523Z</t>
        </is>
      </c>
      <c r="J110" s="65" t="inlineStr">
        <is>
          <t>N/D</t>
        </is>
      </c>
      <c r="K110" s="65" t="inlineStr">
        <is>
          <t>N/D</t>
        </is>
      </c>
      <c r="L110" s="127" t="inlineStr">
        <is>
          <t>ARMERIA BRIGNOLI SILVIO &amp; C SNC</t>
        </is>
      </c>
      <c r="M110" s="5" t="n">
        <v>580</v>
      </c>
      <c r="N110" s="5" t="n"/>
      <c r="O110" s="5">
        <f>+M110+N110</f>
        <v/>
      </c>
      <c r="P110" s="4" t="n"/>
      <c r="Q110" s="87" t="n"/>
      <c r="R110" s="5" t="n">
        <v>730</v>
      </c>
      <c r="S110" s="2" t="n">
        <v>1</v>
      </c>
      <c r="T110" s="3" t="inlineStr">
        <is>
          <t>6B/2024/1S</t>
        </is>
      </c>
      <c r="U110" s="87" t="inlineStr">
        <is>
          <t>13/11/2024</t>
        </is>
      </c>
      <c r="V110" s="3" t="inlineStr">
        <is>
          <t>25</t>
        </is>
      </c>
      <c r="W110" s="108" t="inlineStr">
        <is>
          <t>13/11/2024</t>
        </is>
      </c>
      <c r="X110" s="4" t="inlineStr">
        <is>
          <t>HS &amp; S LLC</t>
        </is>
      </c>
    </row>
    <row r="111" ht="24" customHeight="1">
      <c r="A111" s="2">
        <f>+D111-S111</f>
        <v/>
      </c>
      <c r="B111" s="80" t="n"/>
      <c r="C111" s="70" t="n">
        <v>45421</v>
      </c>
      <c r="D111" s="2" t="n">
        <v>1</v>
      </c>
      <c r="E111" s="3" t="inlineStr">
        <is>
          <t>PISTOLA SEMIAUTOMATICA</t>
        </is>
      </c>
      <c r="F111" s="3" t="inlineStr">
        <is>
          <t>9X19</t>
        </is>
      </c>
      <c r="G111" s="3" t="inlineStr">
        <is>
          <t>BERETTA</t>
        </is>
      </c>
      <c r="H111" s="65" t="n">
        <v>92</v>
      </c>
      <c r="I111" s="65" t="inlineStr">
        <is>
          <t>A332528Z</t>
        </is>
      </c>
      <c r="J111" s="65" t="inlineStr">
        <is>
          <t>N/D</t>
        </is>
      </c>
      <c r="K111" s="65" t="inlineStr">
        <is>
          <t>N/D</t>
        </is>
      </c>
      <c r="L111" s="127" t="inlineStr">
        <is>
          <t>ARMERIA BRIGNOLI SILVIO &amp; C SNC</t>
        </is>
      </c>
      <c r="M111" s="5" t="n">
        <v>580</v>
      </c>
      <c r="N111" s="5" t="n"/>
      <c r="O111" s="5">
        <f>+M111+N111</f>
        <v/>
      </c>
      <c r="P111" s="4" t="n"/>
      <c r="Q111" s="87" t="n"/>
      <c r="R111" s="5" t="n">
        <v>609</v>
      </c>
      <c r="S111" s="2" t="n">
        <v>1</v>
      </c>
      <c r="T111" s="3" t="inlineStr">
        <is>
          <t>CA04954OS</t>
        </is>
      </c>
      <c r="U111" s="87" t="n">
        <v>45874</v>
      </c>
      <c r="V111" s="3" t="inlineStr">
        <is>
          <t>25</t>
        </is>
      </c>
      <c r="W111" s="4" t="n">
        <v>45874</v>
      </c>
      <c r="X111" s="4" t="inlineStr">
        <is>
          <t>PHILIPPOS COSTANTINIDES TRADING CO. LTD</t>
        </is>
      </c>
    </row>
    <row r="112" ht="24" customHeight="1">
      <c r="A112" s="2">
        <f>+D112-S112</f>
        <v/>
      </c>
      <c r="B112" s="80" t="n"/>
      <c r="C112" s="70" t="n">
        <v>45421</v>
      </c>
      <c r="D112" s="2" t="n">
        <v>1</v>
      </c>
      <c r="E112" s="3" t="inlineStr">
        <is>
          <t>PISTOLA SEMIAUTOMATICA</t>
        </is>
      </c>
      <c r="F112" s="3" t="inlineStr">
        <is>
          <t>9X19</t>
        </is>
      </c>
      <c r="G112" s="3" t="inlineStr">
        <is>
          <t>BERETTA</t>
        </is>
      </c>
      <c r="H112" s="65" t="n">
        <v>92</v>
      </c>
      <c r="I112" s="65" t="inlineStr">
        <is>
          <t>A332529Z</t>
        </is>
      </c>
      <c r="J112" s="65" t="inlineStr">
        <is>
          <t>N/D</t>
        </is>
      </c>
      <c r="K112" s="65" t="inlineStr">
        <is>
          <t>N/D</t>
        </is>
      </c>
      <c r="L112" s="127" t="inlineStr">
        <is>
          <t>ARMERIA BRIGNOLI SILVIO &amp; C SNC</t>
        </is>
      </c>
      <c r="M112" s="5" t="n">
        <v>580</v>
      </c>
      <c r="N112" s="5" t="n"/>
      <c r="O112" s="5">
        <f>+M112+N112</f>
        <v/>
      </c>
      <c r="P112" s="4" t="n"/>
      <c r="Q112" s="87" t="n"/>
      <c r="R112" s="5" t="n">
        <v>730</v>
      </c>
      <c r="S112" s="2" t="n">
        <v>1</v>
      </c>
      <c r="T112" s="3" t="inlineStr">
        <is>
          <t>6B/2024/1S</t>
        </is>
      </c>
      <c r="U112" s="87" t="inlineStr">
        <is>
          <t>13/11/2024</t>
        </is>
      </c>
      <c r="V112" s="3" t="inlineStr">
        <is>
          <t>25</t>
        </is>
      </c>
      <c r="W112" s="108" t="inlineStr">
        <is>
          <t>13/11/2024</t>
        </is>
      </c>
      <c r="X112" s="4" t="inlineStr">
        <is>
          <t>HS &amp; S LLC</t>
        </is>
      </c>
    </row>
    <row r="113" ht="24" customHeight="1">
      <c r="A113" s="2">
        <f>+D113-S113</f>
        <v/>
      </c>
      <c r="B113" s="80" t="n"/>
      <c r="C113" s="70" t="n">
        <v>45421</v>
      </c>
      <c r="D113" s="2" t="n">
        <v>1</v>
      </c>
      <c r="E113" s="3" t="inlineStr">
        <is>
          <t>PISTOLA SEMIAUTOMATICA</t>
        </is>
      </c>
      <c r="F113" s="3" t="inlineStr">
        <is>
          <t>9X19</t>
        </is>
      </c>
      <c r="G113" s="3" t="inlineStr">
        <is>
          <t>BERETTA</t>
        </is>
      </c>
      <c r="H113" s="65" t="n">
        <v>92</v>
      </c>
      <c r="I113" s="65" t="inlineStr">
        <is>
          <t>A332531Z</t>
        </is>
      </c>
      <c r="J113" s="65" t="inlineStr">
        <is>
          <t>N/D</t>
        </is>
      </c>
      <c r="K113" s="65" t="inlineStr">
        <is>
          <t>N/D</t>
        </is>
      </c>
      <c r="L113" s="127" t="inlineStr">
        <is>
          <t>ARMERIA BRIGNOLI SILVIO &amp; C SNC</t>
        </is>
      </c>
      <c r="M113" s="5" t="n">
        <v>580</v>
      </c>
      <c r="N113" s="5" t="n"/>
      <c r="O113" s="5">
        <f>+M113+N113</f>
        <v/>
      </c>
      <c r="P113" s="4" t="n"/>
      <c r="Q113" s="87" t="n"/>
      <c r="R113" s="5" t="n">
        <v>730</v>
      </c>
      <c r="S113" s="2" t="n">
        <v>1</v>
      </c>
      <c r="T113" s="3" t="inlineStr">
        <is>
          <t>6B/2024/1S</t>
        </is>
      </c>
      <c r="U113" s="87" t="inlineStr">
        <is>
          <t>13/11/2024</t>
        </is>
      </c>
      <c r="V113" s="3" t="inlineStr">
        <is>
          <t>25</t>
        </is>
      </c>
      <c r="W113" s="108" t="inlineStr">
        <is>
          <t>13/11/2024</t>
        </is>
      </c>
      <c r="X113" s="4" t="inlineStr">
        <is>
          <t>HS &amp; S LLC</t>
        </is>
      </c>
    </row>
    <row r="114" ht="24" customHeight="1">
      <c r="A114" s="2">
        <f>+D114-S114</f>
        <v/>
      </c>
      <c r="B114" s="80" t="n"/>
      <c r="C114" s="70" t="n">
        <v>45421</v>
      </c>
      <c r="D114" s="2" t="n">
        <v>1</v>
      </c>
      <c r="E114" s="3" t="inlineStr">
        <is>
          <t>PISTOLA SEMIAUTOMATICA</t>
        </is>
      </c>
      <c r="F114" s="3" t="inlineStr">
        <is>
          <t>9X19</t>
        </is>
      </c>
      <c r="G114" s="3" t="inlineStr">
        <is>
          <t>BERETTA</t>
        </is>
      </c>
      <c r="H114" s="65" t="n">
        <v>92</v>
      </c>
      <c r="I114" s="65" t="inlineStr">
        <is>
          <t>A332633Z</t>
        </is>
      </c>
      <c r="J114" s="65" t="inlineStr">
        <is>
          <t>N/D</t>
        </is>
      </c>
      <c r="K114" s="65" t="inlineStr">
        <is>
          <t>N/D</t>
        </is>
      </c>
      <c r="L114" s="127" t="inlineStr">
        <is>
          <t>ARMERIA BRIGNOLI SILVIO &amp; C SNC</t>
        </is>
      </c>
      <c r="M114" s="5" t="n">
        <v>580</v>
      </c>
      <c r="N114" s="5" t="n"/>
      <c r="O114" s="5">
        <f>+M114+N114</f>
        <v/>
      </c>
      <c r="P114" s="4" t="n"/>
      <c r="Q114" s="87" t="n"/>
      <c r="R114" s="5" t="n">
        <v>730</v>
      </c>
      <c r="S114" s="2" t="n">
        <v>1</v>
      </c>
      <c r="T114" s="3" t="inlineStr">
        <is>
          <t>6B/2024/1S</t>
        </is>
      </c>
      <c r="U114" s="87" t="inlineStr">
        <is>
          <t>13/11/2024</t>
        </is>
      </c>
      <c r="V114" s="3" t="inlineStr">
        <is>
          <t>25</t>
        </is>
      </c>
      <c r="W114" s="108" t="inlineStr">
        <is>
          <t>13/11/2024</t>
        </is>
      </c>
      <c r="X114" s="4" t="inlineStr">
        <is>
          <t>HS &amp; S LLC</t>
        </is>
      </c>
    </row>
    <row r="115" ht="24" customHeight="1">
      <c r="A115" s="2">
        <f>+D115-S115</f>
        <v/>
      </c>
      <c r="B115" s="80" t="n"/>
      <c r="C115" s="70" t="n">
        <v>45421</v>
      </c>
      <c r="D115" s="2" t="n">
        <v>1</v>
      </c>
      <c r="E115" s="3" t="inlineStr">
        <is>
          <t>PISTOLA SEMIAUTOMATICA</t>
        </is>
      </c>
      <c r="F115" s="3" t="inlineStr">
        <is>
          <t>9X19</t>
        </is>
      </c>
      <c r="G115" s="3" t="inlineStr">
        <is>
          <t>BERETTA</t>
        </is>
      </c>
      <c r="H115" s="65" t="n">
        <v>92</v>
      </c>
      <c r="I115" s="65" t="inlineStr">
        <is>
          <t>A332634Z</t>
        </is>
      </c>
      <c r="J115" s="65" t="inlineStr">
        <is>
          <t>N/D</t>
        </is>
      </c>
      <c r="K115" s="65" t="inlineStr">
        <is>
          <t>N/D</t>
        </is>
      </c>
      <c r="L115" s="127" t="inlineStr">
        <is>
          <t>ARMERIA BRIGNOLI SILVIO &amp; C SNC</t>
        </is>
      </c>
      <c r="M115" s="5" t="n">
        <v>580</v>
      </c>
      <c r="N115" s="5" t="n"/>
      <c r="O115" s="5">
        <f>+M115+N115</f>
        <v/>
      </c>
      <c r="P115" s="4" t="n"/>
      <c r="Q115" s="87" t="n"/>
      <c r="R115" s="5" t="n">
        <v>609</v>
      </c>
      <c r="S115" s="2" t="n">
        <v>1</v>
      </c>
      <c r="T115" s="3" t="inlineStr">
        <is>
          <t>CA04954OS</t>
        </is>
      </c>
      <c r="U115" s="87" t="n">
        <v>45874</v>
      </c>
      <c r="V115" s="3" t="inlineStr">
        <is>
          <t>25</t>
        </is>
      </c>
      <c r="W115" s="4" t="n">
        <v>45874</v>
      </c>
      <c r="X115" s="4" t="inlineStr">
        <is>
          <t>PHILIPPOS COSTANTINIDES TRADING CO. LTD</t>
        </is>
      </c>
    </row>
    <row r="116" ht="24" customHeight="1">
      <c r="A116" s="2">
        <f>+D116-S116</f>
        <v/>
      </c>
      <c r="B116" s="80" t="n"/>
      <c r="C116" s="70" t="n">
        <v>45421</v>
      </c>
      <c r="D116" s="2" t="n">
        <v>1</v>
      </c>
      <c r="E116" s="3" t="inlineStr">
        <is>
          <t>PISTOLA SEMIAUTOMATICA</t>
        </is>
      </c>
      <c r="F116" s="3" t="inlineStr">
        <is>
          <t>9X19</t>
        </is>
      </c>
      <c r="G116" s="3" t="inlineStr">
        <is>
          <t>BERETTA</t>
        </is>
      </c>
      <c r="H116" s="65" t="n">
        <v>92</v>
      </c>
      <c r="I116" s="65" t="inlineStr">
        <is>
          <t>A332635Z</t>
        </is>
      </c>
      <c r="J116" s="65" t="inlineStr">
        <is>
          <t>N/D</t>
        </is>
      </c>
      <c r="K116" s="65" t="inlineStr">
        <is>
          <t>N/D</t>
        </is>
      </c>
      <c r="L116" s="127" t="inlineStr">
        <is>
          <t>ARMERIA BRIGNOLI SILVIO &amp; C SNC</t>
        </is>
      </c>
      <c r="M116" s="5" t="n">
        <v>580</v>
      </c>
      <c r="N116" s="5" t="n"/>
      <c r="O116" s="5">
        <f>+M116+N116</f>
        <v/>
      </c>
      <c r="P116" s="4" t="n"/>
      <c r="Q116" s="87" t="n"/>
      <c r="R116" s="5" t="n">
        <v>609</v>
      </c>
      <c r="S116" s="2" t="n">
        <v>1</v>
      </c>
      <c r="T116" s="3" t="inlineStr">
        <is>
          <t>CA04954OS</t>
        </is>
      </c>
      <c r="U116" s="87" t="n">
        <v>45874</v>
      </c>
      <c r="V116" s="3" t="inlineStr">
        <is>
          <t>25</t>
        </is>
      </c>
      <c r="W116" s="4" t="n">
        <v>45874</v>
      </c>
      <c r="X116" s="4" t="inlineStr">
        <is>
          <t>PHILIPPOS COSTANTINIDES TRADING CO. LTD</t>
        </is>
      </c>
    </row>
    <row r="117" ht="24" customHeight="1">
      <c r="A117" s="2">
        <f>+D117-S117</f>
        <v/>
      </c>
      <c r="B117" s="80" t="n"/>
      <c r="C117" s="70" t="n">
        <v>45421</v>
      </c>
      <c r="D117" s="2" t="n">
        <v>1</v>
      </c>
      <c r="E117" s="3" t="inlineStr">
        <is>
          <t>PISTOLA SEMIAUTOMATICA</t>
        </is>
      </c>
      <c r="F117" s="3" t="inlineStr">
        <is>
          <t>9X19</t>
        </is>
      </c>
      <c r="G117" s="3" t="inlineStr">
        <is>
          <t>BERETTA</t>
        </is>
      </c>
      <c r="H117" s="65" t="inlineStr">
        <is>
          <t>92X</t>
        </is>
      </c>
      <c r="I117" s="65" t="inlineStr">
        <is>
          <t>BST51173</t>
        </is>
      </c>
      <c r="J117" s="65" t="inlineStr">
        <is>
          <t>N/D</t>
        </is>
      </c>
      <c r="K117" s="65" t="inlineStr">
        <is>
          <t>N/D</t>
        </is>
      </c>
      <c r="L117" s="127" t="inlineStr">
        <is>
          <t>ARMERIA BRIGNOLI SILVIO &amp; C SNC</t>
        </is>
      </c>
      <c r="M117" s="5" t="n">
        <v>950</v>
      </c>
      <c r="N117" s="5" t="n"/>
      <c r="O117" s="5">
        <f>+M117+N117</f>
        <v/>
      </c>
      <c r="P117" s="4" t="n"/>
      <c r="Q117" s="87" t="n"/>
      <c r="R117" s="5" t="n">
        <v>1000</v>
      </c>
      <c r="S117" s="2" t="n">
        <v>1</v>
      </c>
      <c r="T117" s="3" t="inlineStr">
        <is>
          <t>CA04954OS</t>
        </is>
      </c>
      <c r="U117" s="87" t="n">
        <v>45874</v>
      </c>
      <c r="V117" s="3" t="inlineStr">
        <is>
          <t>25</t>
        </is>
      </c>
      <c r="W117" s="4" t="n">
        <v>45874</v>
      </c>
      <c r="X117" s="4" t="inlineStr">
        <is>
          <t>PHILIPPOS COSTANTINIDES TRADING CO. LTD</t>
        </is>
      </c>
    </row>
    <row r="118" ht="24" customHeight="1">
      <c r="A118" s="2">
        <f>+D118-S118</f>
        <v/>
      </c>
      <c r="B118" s="80" t="n"/>
      <c r="C118" s="70" t="n">
        <v>45421</v>
      </c>
      <c r="D118" s="2" t="n">
        <v>1</v>
      </c>
      <c r="E118" s="3" t="inlineStr">
        <is>
          <t>PISTOLA SEMIAUTOMATICA</t>
        </is>
      </c>
      <c r="F118" s="3" t="inlineStr">
        <is>
          <t>9X19</t>
        </is>
      </c>
      <c r="G118" s="3" t="inlineStr">
        <is>
          <t>BERETTA</t>
        </is>
      </c>
      <c r="H118" s="65" t="inlineStr">
        <is>
          <t>92X</t>
        </is>
      </c>
      <c r="I118" s="65" t="inlineStr">
        <is>
          <t>BST51174</t>
        </is>
      </c>
      <c r="J118" s="65" t="inlineStr">
        <is>
          <t>N/D</t>
        </is>
      </c>
      <c r="K118" s="65" t="inlineStr">
        <is>
          <t>N/D</t>
        </is>
      </c>
      <c r="L118" s="127" t="inlineStr">
        <is>
          <t>ARMERIA BRIGNOLI SILVIO &amp; C SNC</t>
        </is>
      </c>
      <c r="M118" s="5" t="n">
        <v>950</v>
      </c>
      <c r="N118" s="5" t="n"/>
      <c r="O118" s="5">
        <f>+M118+N118</f>
        <v/>
      </c>
      <c r="P118" s="4" t="n"/>
      <c r="Q118" s="87" t="n"/>
      <c r="R118" s="5" t="n">
        <v>1095</v>
      </c>
      <c r="S118" s="2" t="n">
        <v>1</v>
      </c>
      <c r="T118" s="3" t="inlineStr">
        <is>
          <t>6B/2024/1S</t>
        </is>
      </c>
      <c r="U118" s="87" t="inlineStr">
        <is>
          <t>13/11/2024</t>
        </is>
      </c>
      <c r="V118" s="3" t="inlineStr">
        <is>
          <t>25</t>
        </is>
      </c>
      <c r="W118" s="108" t="inlineStr">
        <is>
          <t>13/11/2024</t>
        </is>
      </c>
      <c r="X118" s="4" t="inlineStr">
        <is>
          <t>HS &amp; S LLC</t>
        </is>
      </c>
    </row>
    <row r="119" ht="24" customHeight="1">
      <c r="A119" s="2">
        <f>+D119-S119</f>
        <v/>
      </c>
      <c r="B119" s="80" t="n"/>
      <c r="C119" s="70" t="n">
        <v>45421</v>
      </c>
      <c r="D119" s="2" t="n">
        <v>1</v>
      </c>
      <c r="E119" s="3" t="inlineStr">
        <is>
          <t>PISTOLA SEMIAUTOMATICA</t>
        </is>
      </c>
      <c r="F119" s="3" t="inlineStr">
        <is>
          <t>9X19</t>
        </is>
      </c>
      <c r="G119" s="3" t="inlineStr">
        <is>
          <t>BERETTA</t>
        </is>
      </c>
      <c r="H119" s="65" t="inlineStr">
        <is>
          <t>92X</t>
        </is>
      </c>
      <c r="I119" s="65" t="inlineStr">
        <is>
          <t>BST51180</t>
        </is>
      </c>
      <c r="J119" s="65" t="inlineStr">
        <is>
          <t>N/D</t>
        </is>
      </c>
      <c r="K119" s="65" t="inlineStr">
        <is>
          <t>N/D</t>
        </is>
      </c>
      <c r="L119" s="127" t="inlineStr">
        <is>
          <t>ARMERIA BRIGNOLI SILVIO &amp; C SNC</t>
        </is>
      </c>
      <c r="M119" s="5" t="n">
        <v>950</v>
      </c>
      <c r="N119" s="5" t="n"/>
      <c r="O119" s="5">
        <f>+M119+N119</f>
        <v/>
      </c>
      <c r="P119" s="4" t="n"/>
      <c r="Q119" s="87" t="n"/>
      <c r="R119" s="5" t="n">
        <v>1095</v>
      </c>
      <c r="S119" s="2" t="n">
        <v>1</v>
      </c>
      <c r="T119" s="3" t="inlineStr">
        <is>
          <t>6B/2024/1S</t>
        </is>
      </c>
      <c r="U119" s="87" t="inlineStr">
        <is>
          <t>13/11/2024</t>
        </is>
      </c>
      <c r="V119" s="3" t="inlineStr">
        <is>
          <t>25</t>
        </is>
      </c>
      <c r="W119" s="108" t="inlineStr">
        <is>
          <t>13/11/2024</t>
        </is>
      </c>
      <c r="X119" s="4" t="inlineStr">
        <is>
          <t>HS &amp; S LLC</t>
        </is>
      </c>
    </row>
    <row r="120" ht="24" customHeight="1">
      <c r="A120" s="2">
        <f>+D120-S120</f>
        <v/>
      </c>
      <c r="B120" s="80" t="n"/>
      <c r="C120" s="70" t="n">
        <v>45421</v>
      </c>
      <c r="D120" s="2" t="n">
        <v>1</v>
      </c>
      <c r="E120" s="3" t="inlineStr">
        <is>
          <t>PISTOLA SEMIAUTOMATICA</t>
        </is>
      </c>
      <c r="F120" s="3" t="inlineStr">
        <is>
          <t>9X19</t>
        </is>
      </c>
      <c r="G120" s="3" t="inlineStr">
        <is>
          <t>BERETTA</t>
        </is>
      </c>
      <c r="H120" s="65" t="inlineStr">
        <is>
          <t>92X</t>
        </is>
      </c>
      <c r="I120" s="65" t="inlineStr">
        <is>
          <t>BST51955</t>
        </is>
      </c>
      <c r="J120" s="65" t="inlineStr">
        <is>
          <t>N/D</t>
        </is>
      </c>
      <c r="K120" s="65" t="inlineStr">
        <is>
          <t>N/D</t>
        </is>
      </c>
      <c r="L120" s="127" t="inlineStr">
        <is>
          <t>ARMERIA BRIGNOLI SILVIO &amp; C SNC</t>
        </is>
      </c>
      <c r="M120" s="5" t="n">
        <v>950</v>
      </c>
      <c r="N120" s="5" t="n"/>
      <c r="O120" s="5">
        <f>+M120+N120</f>
        <v/>
      </c>
      <c r="P120" s="4" t="n"/>
      <c r="Q120" s="87" t="n"/>
      <c r="R120" s="5" t="n">
        <v>1000</v>
      </c>
      <c r="S120" s="2" t="n">
        <v>1</v>
      </c>
      <c r="T120" s="3" t="inlineStr">
        <is>
          <t>CA04954OS</t>
        </is>
      </c>
      <c r="U120" s="87" t="n">
        <v>45874</v>
      </c>
      <c r="V120" s="3" t="inlineStr">
        <is>
          <t>25</t>
        </is>
      </c>
      <c r="W120" s="4" t="n">
        <v>45874</v>
      </c>
      <c r="X120" s="4" t="inlineStr">
        <is>
          <t>PHILIPPOS COSTANTINIDES TRADING CO. LTD</t>
        </is>
      </c>
    </row>
    <row r="121" ht="24" customHeight="1">
      <c r="A121" s="2">
        <f>+D121-S121</f>
        <v/>
      </c>
      <c r="B121" s="80" t="n"/>
      <c r="C121" s="70" t="n">
        <v>45421</v>
      </c>
      <c r="D121" s="2" t="n">
        <v>1</v>
      </c>
      <c r="E121" s="3" t="inlineStr">
        <is>
          <t>PISTOLA SEMIAUTOMATICA</t>
        </is>
      </c>
      <c r="F121" s="3" t="inlineStr">
        <is>
          <t>9X19</t>
        </is>
      </c>
      <c r="G121" s="3" t="inlineStr">
        <is>
          <t>BERETTA</t>
        </is>
      </c>
      <c r="H121" s="65" t="inlineStr">
        <is>
          <t>92X</t>
        </is>
      </c>
      <c r="I121" s="65" t="inlineStr">
        <is>
          <t>BST51962</t>
        </is>
      </c>
      <c r="J121" s="65" t="inlineStr">
        <is>
          <t>N/D</t>
        </is>
      </c>
      <c r="K121" s="65" t="inlineStr">
        <is>
          <t>N/D</t>
        </is>
      </c>
      <c r="L121" s="127" t="inlineStr">
        <is>
          <t>ARMERIA BRIGNOLI SILVIO &amp; C SNC</t>
        </is>
      </c>
      <c r="M121" s="5" t="n">
        <v>950</v>
      </c>
      <c r="N121" s="5" t="n"/>
      <c r="O121" s="5">
        <f>+M121+N121</f>
        <v/>
      </c>
      <c r="P121" s="4" t="n"/>
      <c r="Q121" s="87" t="n"/>
      <c r="R121" s="5" t="n">
        <v>1095</v>
      </c>
      <c r="S121" s="2" t="n">
        <v>1</v>
      </c>
      <c r="T121" s="3" t="inlineStr">
        <is>
          <t>6B/2024/1S</t>
        </is>
      </c>
      <c r="U121" s="87" t="inlineStr">
        <is>
          <t>13/11/2024</t>
        </is>
      </c>
      <c r="V121" s="3" t="inlineStr">
        <is>
          <t>25</t>
        </is>
      </c>
      <c r="W121" s="108" t="inlineStr">
        <is>
          <t>13/11/2024</t>
        </is>
      </c>
      <c r="X121" s="4" t="inlineStr">
        <is>
          <t>HS &amp; S LLC</t>
        </is>
      </c>
    </row>
    <row r="122" ht="24" customHeight="1">
      <c r="A122" s="2">
        <f>+D122-S122</f>
        <v/>
      </c>
      <c r="B122" s="80" t="n"/>
      <c r="C122" s="70" t="n">
        <v>45421</v>
      </c>
      <c r="D122" s="2" t="n">
        <v>1</v>
      </c>
      <c r="E122" s="3" t="inlineStr">
        <is>
          <t>PISTOLA SEMIAUTOMATICA</t>
        </is>
      </c>
      <c r="F122" s="3" t="inlineStr">
        <is>
          <t>9X19</t>
        </is>
      </c>
      <c r="G122" s="3" t="inlineStr">
        <is>
          <t>BERETTA</t>
        </is>
      </c>
      <c r="H122" s="65" t="inlineStr">
        <is>
          <t>92X</t>
        </is>
      </c>
      <c r="I122" s="65" t="inlineStr">
        <is>
          <t>BST52069</t>
        </is>
      </c>
      <c r="J122" s="65" t="inlineStr">
        <is>
          <t>N/D</t>
        </is>
      </c>
      <c r="K122" s="65" t="inlineStr">
        <is>
          <t>N/D</t>
        </is>
      </c>
      <c r="L122" s="127" t="inlineStr">
        <is>
          <t>ARMERIA BRIGNOLI SILVIO &amp; C SNC</t>
        </is>
      </c>
      <c r="M122" s="5" t="n">
        <v>950</v>
      </c>
      <c r="N122" s="5" t="n"/>
      <c r="O122" s="5">
        <f>+M122+N122</f>
        <v/>
      </c>
      <c r="P122" s="4" t="n"/>
      <c r="Q122" s="87" t="n"/>
      <c r="R122" s="5" t="n">
        <v>1095</v>
      </c>
      <c r="S122" s="2" t="n">
        <v>1</v>
      </c>
      <c r="T122" s="3" t="inlineStr">
        <is>
          <t>6B/2024/1S</t>
        </is>
      </c>
      <c r="U122" s="87" t="inlineStr">
        <is>
          <t>13/11/2024</t>
        </is>
      </c>
      <c r="V122" s="3" t="inlineStr">
        <is>
          <t>25</t>
        </is>
      </c>
      <c r="W122" s="108" t="inlineStr">
        <is>
          <t>13/11/2024</t>
        </is>
      </c>
      <c r="X122" s="4" t="inlineStr">
        <is>
          <t>HS &amp; S LLC</t>
        </is>
      </c>
    </row>
    <row r="123" ht="24" customHeight="1">
      <c r="A123" s="2">
        <f>+D123-S123</f>
        <v/>
      </c>
      <c r="B123" s="80" t="n"/>
      <c r="C123" s="70" t="n">
        <v>45421</v>
      </c>
      <c r="D123" s="2" t="n">
        <v>1</v>
      </c>
      <c r="E123" s="3" t="inlineStr">
        <is>
          <t>PISTOLA SEMIAUTOMATICA</t>
        </is>
      </c>
      <c r="F123" s="3" t="inlineStr">
        <is>
          <t>9X19</t>
        </is>
      </c>
      <c r="G123" s="3" t="inlineStr">
        <is>
          <t>BERETTA</t>
        </is>
      </c>
      <c r="H123" s="65" t="inlineStr">
        <is>
          <t>92X</t>
        </is>
      </c>
      <c r="I123" s="65" t="inlineStr">
        <is>
          <t>BST52135</t>
        </is>
      </c>
      <c r="J123" s="65" t="inlineStr">
        <is>
          <t>N/D</t>
        </is>
      </c>
      <c r="K123" s="65" t="inlineStr">
        <is>
          <t>N/D</t>
        </is>
      </c>
      <c r="L123" s="127" t="inlineStr">
        <is>
          <t>ARMERIA BRIGNOLI SILVIO &amp; C SNC</t>
        </is>
      </c>
      <c r="M123" s="5" t="n">
        <v>950</v>
      </c>
      <c r="N123" s="5" t="n"/>
      <c r="O123" s="5">
        <f>+M123+N123</f>
        <v/>
      </c>
      <c r="P123" s="4" t="n"/>
      <c r="Q123" s="87" t="n"/>
      <c r="R123" s="5" t="n">
        <v>1000</v>
      </c>
      <c r="S123" s="2" t="n">
        <v>1</v>
      </c>
      <c r="T123" s="3" t="inlineStr">
        <is>
          <t>CA04954OS</t>
        </is>
      </c>
      <c r="U123" s="87" t="n">
        <v>45874</v>
      </c>
      <c r="V123" s="3" t="inlineStr">
        <is>
          <t>25</t>
        </is>
      </c>
      <c r="W123" s="4" t="n">
        <v>45874</v>
      </c>
      <c r="X123" s="4" t="inlineStr">
        <is>
          <t>PHILIPPOS COSTANTINIDES TRADING CO. LTD</t>
        </is>
      </c>
    </row>
    <row r="124" ht="24" customHeight="1">
      <c r="A124" s="2">
        <f>+D124-S124</f>
        <v/>
      </c>
      <c r="B124" s="80" t="n"/>
      <c r="C124" s="70" t="n">
        <v>45421</v>
      </c>
      <c r="D124" s="2" t="n">
        <v>1</v>
      </c>
      <c r="E124" s="3" t="inlineStr">
        <is>
          <t>PISTOLA SEMIAUTOMATICA</t>
        </is>
      </c>
      <c r="F124" s="3" t="inlineStr">
        <is>
          <t>9X19</t>
        </is>
      </c>
      <c r="G124" s="3" t="inlineStr">
        <is>
          <t>BERETTA</t>
        </is>
      </c>
      <c r="H124" s="65" t="inlineStr">
        <is>
          <t>92X</t>
        </is>
      </c>
      <c r="I124" s="65" t="inlineStr">
        <is>
          <t>BST52257</t>
        </is>
      </c>
      <c r="J124" s="65" t="inlineStr">
        <is>
          <t>N/D</t>
        </is>
      </c>
      <c r="K124" s="65" t="inlineStr">
        <is>
          <t>N/D</t>
        </is>
      </c>
      <c r="L124" s="127" t="inlineStr">
        <is>
          <t>ARMERIA BRIGNOLI SILVIO &amp; C SNC</t>
        </is>
      </c>
      <c r="M124" s="5" t="n">
        <v>950</v>
      </c>
      <c r="N124" s="5" t="n"/>
      <c r="O124" s="5">
        <f>+M124+N124</f>
        <v/>
      </c>
      <c r="P124" s="4" t="n"/>
      <c r="Q124" s="87" t="n"/>
      <c r="R124" s="5" t="n">
        <v>1000</v>
      </c>
      <c r="S124" s="2" t="n">
        <v>1</v>
      </c>
      <c r="T124" s="3" t="inlineStr">
        <is>
          <t>CA04954OS</t>
        </is>
      </c>
      <c r="U124" s="87" t="n">
        <v>45874</v>
      </c>
      <c r="V124" s="3" t="inlineStr">
        <is>
          <t>25</t>
        </is>
      </c>
      <c r="W124" s="4" t="n">
        <v>45874</v>
      </c>
      <c r="X124" s="4" t="inlineStr">
        <is>
          <t>PHILIPPOS COSTANTINIDES TRADING CO. LTD</t>
        </is>
      </c>
    </row>
    <row r="125" ht="24" customHeight="1">
      <c r="A125" s="2">
        <f>+D125-S125</f>
        <v/>
      </c>
      <c r="B125" s="80" t="n"/>
      <c r="C125" s="70" t="n">
        <v>45421</v>
      </c>
      <c r="D125" s="2" t="n">
        <v>1</v>
      </c>
      <c r="E125" s="3" t="inlineStr">
        <is>
          <t>PISTOLA SEMIAUTOMATICA</t>
        </is>
      </c>
      <c r="F125" s="3" t="inlineStr">
        <is>
          <t>9X19</t>
        </is>
      </c>
      <c r="G125" s="3" t="inlineStr">
        <is>
          <t>BERETTA</t>
        </is>
      </c>
      <c r="H125" s="65" t="inlineStr">
        <is>
          <t>APX A1</t>
        </is>
      </c>
      <c r="I125" s="65" t="inlineStr">
        <is>
          <t>A210679X</t>
        </is>
      </c>
      <c r="J125" s="65" t="inlineStr">
        <is>
          <t>N/D</t>
        </is>
      </c>
      <c r="K125" s="65" t="inlineStr">
        <is>
          <t>N/D</t>
        </is>
      </c>
      <c r="L125" s="127" t="inlineStr">
        <is>
          <t>ARMERIA BRIGNOLI SILVIO &amp; C SNC</t>
        </is>
      </c>
      <c r="M125" s="5" t="n">
        <v>390</v>
      </c>
      <c r="N125" s="5" t="n"/>
      <c r="O125" s="5">
        <f>+M125+N125</f>
        <v/>
      </c>
      <c r="P125" s="4" t="n"/>
      <c r="Q125" s="87" t="n"/>
      <c r="R125" s="5" t="n">
        <v>566</v>
      </c>
      <c r="S125" s="2" t="n">
        <v>1</v>
      </c>
      <c r="T125" s="3" t="inlineStr">
        <is>
          <t>6B/2024/1S</t>
        </is>
      </c>
      <c r="U125" s="87" t="inlineStr">
        <is>
          <t>13/11/2024</t>
        </is>
      </c>
      <c r="V125" s="3" t="inlineStr">
        <is>
          <t>25</t>
        </is>
      </c>
      <c r="W125" s="108" t="inlineStr">
        <is>
          <t>13/11/2024</t>
        </is>
      </c>
      <c r="X125" s="4" t="inlineStr">
        <is>
          <t>HS &amp; S LLC</t>
        </is>
      </c>
    </row>
    <row r="126" ht="24" customHeight="1">
      <c r="A126" s="2">
        <f>+D126-S126</f>
        <v/>
      </c>
      <c r="B126" s="80" t="n"/>
      <c r="C126" s="70" t="n">
        <v>45421</v>
      </c>
      <c r="D126" s="2" t="n">
        <v>1</v>
      </c>
      <c r="E126" s="3" t="inlineStr">
        <is>
          <t>PISTOLA SEMIAUTOMATICA</t>
        </is>
      </c>
      <c r="F126" s="3" t="inlineStr">
        <is>
          <t>9X19</t>
        </is>
      </c>
      <c r="G126" s="3" t="inlineStr">
        <is>
          <t>BERETTA</t>
        </is>
      </c>
      <c r="H126" s="65" t="inlineStr">
        <is>
          <t>APX A1</t>
        </is>
      </c>
      <c r="I126" s="65" t="inlineStr">
        <is>
          <t>A210680X</t>
        </is>
      </c>
      <c r="J126" s="65" t="inlineStr">
        <is>
          <t>N/D</t>
        </is>
      </c>
      <c r="K126" s="65" t="inlineStr">
        <is>
          <t>N/D</t>
        </is>
      </c>
      <c r="L126" s="127" t="inlineStr">
        <is>
          <t>ARMERIA BRIGNOLI SILVIO &amp; C SNC</t>
        </is>
      </c>
      <c r="M126" s="5" t="n">
        <v>390</v>
      </c>
      <c r="N126" s="5" t="n"/>
      <c r="O126" s="5">
        <f>+M126+N126</f>
        <v/>
      </c>
      <c r="P126" s="4" t="n"/>
      <c r="Q126" s="87" t="n"/>
      <c r="R126" s="5" t="n">
        <v>566</v>
      </c>
      <c r="S126" s="2" t="n">
        <v>1</v>
      </c>
      <c r="T126" s="3" t="inlineStr">
        <is>
          <t>6B/2024/1S</t>
        </is>
      </c>
      <c r="U126" s="87" t="inlineStr">
        <is>
          <t>13/11/2024</t>
        </is>
      </c>
      <c r="V126" s="3" t="inlineStr">
        <is>
          <t>25</t>
        </is>
      </c>
      <c r="W126" s="108" t="inlineStr">
        <is>
          <t>13/11/2024</t>
        </is>
      </c>
      <c r="X126" s="4" t="inlineStr">
        <is>
          <t>HS &amp; S LLC</t>
        </is>
      </c>
    </row>
    <row r="127" ht="24" customHeight="1">
      <c r="A127" s="2">
        <f>+D127-S127</f>
        <v/>
      </c>
      <c r="B127" s="80" t="n"/>
      <c r="C127" s="70" t="n">
        <v>45421</v>
      </c>
      <c r="D127" s="2" t="n">
        <v>1</v>
      </c>
      <c r="E127" s="3" t="inlineStr">
        <is>
          <t>PISTOLA SEMIAUTOMATICA</t>
        </is>
      </c>
      <c r="F127" s="3" t="inlineStr">
        <is>
          <t>9X19</t>
        </is>
      </c>
      <c r="G127" s="3" t="inlineStr">
        <is>
          <t>BERETTA</t>
        </is>
      </c>
      <c r="H127" s="65" t="inlineStr">
        <is>
          <t>APX A1</t>
        </is>
      </c>
      <c r="I127" s="65" t="inlineStr">
        <is>
          <t>A210934X</t>
        </is>
      </c>
      <c r="J127" s="65" t="inlineStr">
        <is>
          <t>N/D</t>
        </is>
      </c>
      <c r="K127" s="65" t="inlineStr">
        <is>
          <t>N/D</t>
        </is>
      </c>
      <c r="L127" s="127" t="inlineStr">
        <is>
          <t>ARMERIA BRIGNOLI SILVIO &amp; C SNC</t>
        </is>
      </c>
      <c r="M127" s="5" t="n">
        <v>390</v>
      </c>
      <c r="N127" s="5" t="n"/>
      <c r="O127" s="5">
        <f>+M127+N127</f>
        <v/>
      </c>
      <c r="P127" s="4" t="n"/>
      <c r="Q127" s="87" t="n"/>
      <c r="R127" s="5" t="n">
        <v>566</v>
      </c>
      <c r="S127" s="2" t="n">
        <v>1</v>
      </c>
      <c r="T127" s="3" t="inlineStr">
        <is>
          <t>6B/2024/1S</t>
        </is>
      </c>
      <c r="U127" s="87" t="inlineStr">
        <is>
          <t>13/11/2024</t>
        </is>
      </c>
      <c r="V127" s="3" t="inlineStr">
        <is>
          <t>25</t>
        </is>
      </c>
      <c r="W127" s="108" t="inlineStr">
        <is>
          <t>13/11/2024</t>
        </is>
      </c>
      <c r="X127" s="4" t="inlineStr">
        <is>
          <t>HS &amp; S LLC</t>
        </is>
      </c>
    </row>
    <row r="128" ht="24" customHeight="1">
      <c r="A128" s="2">
        <f>+D128-S128</f>
        <v/>
      </c>
      <c r="B128" s="80" t="n"/>
      <c r="C128" s="70" t="n">
        <v>45421</v>
      </c>
      <c r="D128" s="2" t="n">
        <v>1</v>
      </c>
      <c r="E128" s="3" t="inlineStr">
        <is>
          <t>PISTOLA SEMIAUTOMATICA</t>
        </is>
      </c>
      <c r="F128" s="3" t="inlineStr">
        <is>
          <t>9X19</t>
        </is>
      </c>
      <c r="G128" s="3" t="inlineStr">
        <is>
          <t>BERETTA</t>
        </is>
      </c>
      <c r="H128" s="65" t="inlineStr">
        <is>
          <t>APX A1</t>
        </is>
      </c>
      <c r="I128" s="65" t="inlineStr">
        <is>
          <t>A212217X</t>
        </is>
      </c>
      <c r="J128" s="65" t="inlineStr">
        <is>
          <t>N/D</t>
        </is>
      </c>
      <c r="K128" s="65" t="inlineStr">
        <is>
          <t>N/D</t>
        </is>
      </c>
      <c r="L128" s="127" t="inlineStr">
        <is>
          <t>ARMERIA BRIGNOLI SILVIO &amp; C SNC</t>
        </is>
      </c>
      <c r="M128" s="5" t="n">
        <v>390</v>
      </c>
      <c r="N128" s="5" t="n"/>
      <c r="O128" s="5">
        <f>+M128+N128</f>
        <v/>
      </c>
      <c r="P128" s="4" t="n"/>
      <c r="Q128" s="87" t="n"/>
      <c r="R128" s="5" t="n">
        <v>566</v>
      </c>
      <c r="S128" s="2" t="n">
        <v>1</v>
      </c>
      <c r="T128" s="3" t="inlineStr">
        <is>
          <t>6B/2024/1S</t>
        </is>
      </c>
      <c r="U128" s="87" t="inlineStr">
        <is>
          <t>13/11/2024</t>
        </is>
      </c>
      <c r="V128" s="3" t="inlineStr">
        <is>
          <t>25</t>
        </is>
      </c>
      <c r="W128" s="108" t="inlineStr">
        <is>
          <t>13/11/2024</t>
        </is>
      </c>
      <c r="X128" s="4" t="inlineStr">
        <is>
          <t>HS &amp; S LLC</t>
        </is>
      </c>
    </row>
    <row r="129" ht="24" customHeight="1">
      <c r="A129" s="2">
        <f>+D129-S129</f>
        <v/>
      </c>
      <c r="B129" s="80" t="n"/>
      <c r="C129" s="70" t="n">
        <v>45421</v>
      </c>
      <c r="D129" s="2" t="n">
        <v>1</v>
      </c>
      <c r="E129" s="3" t="inlineStr">
        <is>
          <t>PISTOLA SEMIAUTOMATICA</t>
        </is>
      </c>
      <c r="F129" s="3" t="inlineStr">
        <is>
          <t>9X19</t>
        </is>
      </c>
      <c r="G129" s="3" t="inlineStr">
        <is>
          <t>BERETTA</t>
        </is>
      </c>
      <c r="H129" s="65" t="inlineStr">
        <is>
          <t>PX4 STORM</t>
        </is>
      </c>
      <c r="I129" s="65" t="inlineStr">
        <is>
          <t>PX432699</t>
        </is>
      </c>
      <c r="J129" s="65" t="inlineStr">
        <is>
          <t>N/D</t>
        </is>
      </c>
      <c r="K129" s="65" t="inlineStr">
        <is>
          <t>N/D</t>
        </is>
      </c>
      <c r="L129" s="127" t="inlineStr">
        <is>
          <t>ARMERIA BRIGNOLI SILVIO &amp; C SNC</t>
        </is>
      </c>
      <c r="M129" s="5" t="n">
        <v>515</v>
      </c>
      <c r="N129" s="5" t="n"/>
      <c r="O129" s="5">
        <f>+M129+N129</f>
        <v/>
      </c>
      <c r="P129" s="4" t="n"/>
      <c r="Q129" s="87" t="n"/>
      <c r="R129" s="5" t="n">
        <v>695</v>
      </c>
      <c r="S129" s="2" t="n">
        <v>1</v>
      </c>
      <c r="T129" s="3" t="inlineStr">
        <is>
          <t>6B/2024/1S</t>
        </is>
      </c>
      <c r="U129" s="87" t="inlineStr">
        <is>
          <t>13/11/2024</t>
        </is>
      </c>
      <c r="V129" s="3" t="inlineStr">
        <is>
          <t>25</t>
        </is>
      </c>
      <c r="W129" s="108" t="inlineStr">
        <is>
          <t>13/11/2024</t>
        </is>
      </c>
      <c r="X129" s="4" t="inlineStr">
        <is>
          <t>HS &amp; S LLC</t>
        </is>
      </c>
    </row>
    <row r="130" ht="24" customHeight="1">
      <c r="A130" s="2">
        <f>+D130-S130</f>
        <v/>
      </c>
      <c r="B130" s="80" t="n"/>
      <c r="C130" s="70" t="n">
        <v>45421</v>
      </c>
      <c r="D130" s="2" t="n">
        <v>1</v>
      </c>
      <c r="E130" s="3" t="inlineStr">
        <is>
          <t>PISTOLA SEMIAUTOMATICA</t>
        </is>
      </c>
      <c r="F130" s="3" t="inlineStr">
        <is>
          <t>9X19</t>
        </is>
      </c>
      <c r="G130" s="3" t="inlineStr">
        <is>
          <t>BERETTA</t>
        </is>
      </c>
      <c r="H130" s="65" t="inlineStr">
        <is>
          <t>PX4 STORM</t>
        </is>
      </c>
      <c r="I130" s="65" t="inlineStr">
        <is>
          <t>PX432716</t>
        </is>
      </c>
      <c r="J130" s="65" t="inlineStr">
        <is>
          <t>N/D</t>
        </is>
      </c>
      <c r="K130" s="65" t="inlineStr">
        <is>
          <t>N/D</t>
        </is>
      </c>
      <c r="L130" s="127" t="inlineStr">
        <is>
          <t>ARMERIA BRIGNOLI SILVIO &amp; C SNC</t>
        </is>
      </c>
      <c r="M130" s="5" t="n">
        <v>515</v>
      </c>
      <c r="N130" s="5" t="n"/>
      <c r="O130" s="5">
        <f>+M130+N130</f>
        <v/>
      </c>
      <c r="P130" s="4" t="n"/>
      <c r="Q130" s="87" t="n"/>
      <c r="R130" s="5" t="n">
        <v>695</v>
      </c>
      <c r="S130" s="2" t="n">
        <v>1</v>
      </c>
      <c r="T130" s="3" t="inlineStr">
        <is>
          <t>6B/2024/1S</t>
        </is>
      </c>
      <c r="U130" s="87" t="inlineStr">
        <is>
          <t>13/11/2024</t>
        </is>
      </c>
      <c r="V130" s="3" t="inlineStr">
        <is>
          <t>25</t>
        </is>
      </c>
      <c r="W130" s="108" t="inlineStr">
        <is>
          <t>13/11/2024</t>
        </is>
      </c>
      <c r="X130" s="4" t="inlineStr">
        <is>
          <t>HS &amp; S LLC</t>
        </is>
      </c>
    </row>
    <row r="131" ht="24" customHeight="1">
      <c r="A131" s="2">
        <f>+D131-S131</f>
        <v/>
      </c>
      <c r="B131" s="80" t="n"/>
      <c r="C131" s="70" t="n">
        <v>45421</v>
      </c>
      <c r="D131" s="2" t="n">
        <v>1</v>
      </c>
      <c r="E131" s="3" t="inlineStr">
        <is>
          <t>PISTOLA SEMIAUTOMATICA</t>
        </is>
      </c>
      <c r="F131" s="3" t="inlineStr">
        <is>
          <t>9X19</t>
        </is>
      </c>
      <c r="G131" s="3" t="inlineStr">
        <is>
          <t>BERETTA</t>
        </is>
      </c>
      <c r="H131" s="65" t="inlineStr">
        <is>
          <t>PX4 STORM</t>
        </is>
      </c>
      <c r="I131" s="65" t="inlineStr">
        <is>
          <t>PX432720</t>
        </is>
      </c>
      <c r="J131" s="65" t="inlineStr">
        <is>
          <t>N/D</t>
        </is>
      </c>
      <c r="K131" s="65" t="inlineStr">
        <is>
          <t>N/D</t>
        </is>
      </c>
      <c r="L131" s="127" t="inlineStr">
        <is>
          <t>ARMERIA BRIGNOLI SILVIO &amp; C SNC</t>
        </is>
      </c>
      <c r="M131" s="5" t="n">
        <v>515</v>
      </c>
      <c r="N131" s="5" t="n"/>
      <c r="O131" s="5">
        <f>+M131+N131</f>
        <v/>
      </c>
      <c r="P131" s="4" t="n"/>
      <c r="Q131" s="87" t="n"/>
      <c r="R131" s="5" t="n">
        <v>695</v>
      </c>
      <c r="S131" s="2" t="n">
        <v>1</v>
      </c>
      <c r="T131" s="3" t="inlineStr">
        <is>
          <t>6B/2024/1S</t>
        </is>
      </c>
      <c r="U131" s="87" t="inlineStr">
        <is>
          <t>13/11/2024</t>
        </is>
      </c>
      <c r="V131" s="3" t="inlineStr">
        <is>
          <t>25</t>
        </is>
      </c>
      <c r="W131" s="108" t="inlineStr">
        <is>
          <t>13/11/2024</t>
        </is>
      </c>
      <c r="X131" s="4" t="inlineStr">
        <is>
          <t>HS &amp; S LLC</t>
        </is>
      </c>
    </row>
    <row r="132" ht="24" customHeight="1">
      <c r="A132" s="2">
        <f>+D132-S132</f>
        <v/>
      </c>
      <c r="B132" s="80" t="n"/>
      <c r="C132" s="70" t="n">
        <v>45421</v>
      </c>
      <c r="D132" s="2" t="n">
        <v>1</v>
      </c>
      <c r="E132" s="3" t="inlineStr">
        <is>
          <t>PISTOLA SEMIAUTOMATICA</t>
        </is>
      </c>
      <c r="F132" s="3" t="inlineStr">
        <is>
          <t>9X19</t>
        </is>
      </c>
      <c r="G132" s="3" t="inlineStr">
        <is>
          <t>BERETTA</t>
        </is>
      </c>
      <c r="H132" s="65" t="inlineStr">
        <is>
          <t>PX4 STORM</t>
        </is>
      </c>
      <c r="I132" s="65" t="inlineStr">
        <is>
          <t>PX432738</t>
        </is>
      </c>
      <c r="J132" s="65" t="inlineStr">
        <is>
          <t>N/D</t>
        </is>
      </c>
      <c r="K132" s="65" t="inlineStr">
        <is>
          <t>N/D</t>
        </is>
      </c>
      <c r="L132" s="127" t="inlineStr">
        <is>
          <t>ARMERIA BRIGNOLI SILVIO &amp; C SNC</t>
        </is>
      </c>
      <c r="M132" s="5" t="n">
        <v>515</v>
      </c>
      <c r="N132" s="5" t="n"/>
      <c r="O132" s="5">
        <f>+M132+N132</f>
        <v/>
      </c>
      <c r="P132" s="4" t="n"/>
      <c r="Q132" s="87" t="n"/>
      <c r="R132" s="5" t="n">
        <v>695</v>
      </c>
      <c r="S132" s="2" t="n">
        <v>1</v>
      </c>
      <c r="T132" s="3" t="inlineStr">
        <is>
          <t>6B/2024/1S</t>
        </is>
      </c>
      <c r="U132" s="87" t="inlineStr">
        <is>
          <t>13/11/2024</t>
        </is>
      </c>
      <c r="V132" s="3" t="inlineStr">
        <is>
          <t>25</t>
        </is>
      </c>
      <c r="W132" s="108" t="inlineStr">
        <is>
          <t>13/11/2024</t>
        </is>
      </c>
      <c r="X132" s="4" t="inlineStr">
        <is>
          <t>HS &amp; S LLC</t>
        </is>
      </c>
    </row>
    <row r="133" ht="24" customHeight="1">
      <c r="A133" s="2">
        <f>+D133-S133</f>
        <v/>
      </c>
      <c r="B133" s="80" t="n"/>
      <c r="C133" s="70" t="n">
        <v>45486</v>
      </c>
      <c r="D133" s="2" t="n">
        <v>1</v>
      </c>
      <c r="E133" s="3" t="inlineStr">
        <is>
          <t>PISTOLA SEMIAUTOMATICA</t>
        </is>
      </c>
      <c r="F133" s="3" t="inlineStr">
        <is>
          <t>9X19</t>
        </is>
      </c>
      <c r="G133" s="3" t="inlineStr">
        <is>
          <t>BERETTA</t>
        </is>
      </c>
      <c r="H133" s="65" t="inlineStr">
        <is>
          <t>92X</t>
        </is>
      </c>
      <c r="I133" s="65" t="inlineStr">
        <is>
          <t>BST47561</t>
        </is>
      </c>
      <c r="J133" s="65" t="inlineStr">
        <is>
          <t>N/D</t>
        </is>
      </c>
      <c r="K133" s="65" t="inlineStr">
        <is>
          <t>N/D</t>
        </is>
      </c>
      <c r="L133" s="127" t="inlineStr">
        <is>
          <t>REDOLFI F.LLI SRL</t>
        </is>
      </c>
      <c r="M133" s="5" t="n">
        <v>970</v>
      </c>
      <c r="N133" s="5" t="n"/>
      <c r="O133" s="5">
        <f>+M133+N133</f>
        <v/>
      </c>
      <c r="P133" s="4" t="n"/>
      <c r="Q133" s="87" t="n"/>
      <c r="R133" s="5" t="n">
        <v>1000</v>
      </c>
      <c r="S133" s="2" t="n">
        <v>1</v>
      </c>
      <c r="T133" s="3" t="inlineStr">
        <is>
          <t>CA04954OS</t>
        </is>
      </c>
      <c r="U133" s="87" t="n">
        <v>45874</v>
      </c>
      <c r="V133" s="3" t="inlineStr">
        <is>
          <t>25</t>
        </is>
      </c>
      <c r="W133" s="4" t="n">
        <v>45874</v>
      </c>
      <c r="X133" s="4" t="inlineStr">
        <is>
          <t>PHILIPPOS COSTANTINIDES TRADING CO. LTD</t>
        </is>
      </c>
    </row>
    <row r="134" ht="24" customHeight="1">
      <c r="A134" s="2">
        <f>+D134-S134</f>
        <v/>
      </c>
      <c r="B134" s="80" t="n"/>
      <c r="C134" s="70" t="n">
        <v>45486</v>
      </c>
      <c r="D134" s="2" t="n">
        <v>1</v>
      </c>
      <c r="E134" s="3" t="inlineStr">
        <is>
          <t>PISTOLA SEMIAUTOMATICA</t>
        </is>
      </c>
      <c r="F134" s="3" t="inlineStr">
        <is>
          <t>9X19</t>
        </is>
      </c>
      <c r="G134" s="3" t="inlineStr">
        <is>
          <t>BERETTA</t>
        </is>
      </c>
      <c r="H134" s="65" t="inlineStr">
        <is>
          <t>92X</t>
        </is>
      </c>
      <c r="I134" s="65" t="inlineStr">
        <is>
          <t>BST45501</t>
        </is>
      </c>
      <c r="J134" s="65" t="inlineStr">
        <is>
          <t>N/D</t>
        </is>
      </c>
      <c r="K134" s="65" t="inlineStr">
        <is>
          <t>N/D</t>
        </is>
      </c>
      <c r="L134" s="127" t="inlineStr">
        <is>
          <t>REDOLFI F.LLI SRL</t>
        </is>
      </c>
      <c r="M134" s="5" t="n">
        <v>970</v>
      </c>
      <c r="N134" s="5" t="n"/>
      <c r="O134" s="5">
        <f>+M134+N134</f>
        <v/>
      </c>
      <c r="P134" s="4" t="n"/>
      <c r="Q134" s="87" t="n"/>
      <c r="R134" s="5" t="n">
        <v>1000</v>
      </c>
      <c r="S134" s="2" t="n">
        <v>1</v>
      </c>
      <c r="T134" s="3" t="inlineStr">
        <is>
          <t>CA04954OS</t>
        </is>
      </c>
      <c r="U134" s="87" t="n">
        <v>45874</v>
      </c>
      <c r="V134" s="3" t="inlineStr">
        <is>
          <t>25</t>
        </is>
      </c>
      <c r="W134" s="4" t="n">
        <v>45874</v>
      </c>
      <c r="X134" s="4" t="inlineStr">
        <is>
          <t>PHILIPPOS COSTANTINIDES TRADING CO. LTD</t>
        </is>
      </c>
    </row>
    <row r="135" ht="24" customHeight="1">
      <c r="A135" s="2">
        <f>+D135-S135</f>
        <v/>
      </c>
      <c r="B135" s="80" t="n"/>
      <c r="C135" s="70" t="n">
        <v>45486</v>
      </c>
      <c r="D135" s="2" t="n">
        <v>1</v>
      </c>
      <c r="E135" s="3" t="inlineStr">
        <is>
          <t>PISTOLA SEMIAUTOMATICA</t>
        </is>
      </c>
      <c r="F135" s="3" t="inlineStr">
        <is>
          <t>9X19</t>
        </is>
      </c>
      <c r="G135" s="3" t="inlineStr">
        <is>
          <t>BERETTA</t>
        </is>
      </c>
      <c r="H135" s="65" t="inlineStr">
        <is>
          <t>92X</t>
        </is>
      </c>
      <c r="I135" s="65" t="inlineStr">
        <is>
          <t>BST47603</t>
        </is>
      </c>
      <c r="J135" s="65" t="inlineStr">
        <is>
          <t>N/D</t>
        </is>
      </c>
      <c r="K135" s="65" t="inlineStr">
        <is>
          <t>N/D</t>
        </is>
      </c>
      <c r="L135" s="127" t="inlineStr">
        <is>
          <t>REDOLFI F.LLI SRL</t>
        </is>
      </c>
      <c r="M135" s="5" t="n">
        <v>970</v>
      </c>
      <c r="N135" s="5" t="n"/>
      <c r="O135" s="5">
        <f>+M135+N135</f>
        <v/>
      </c>
      <c r="P135" s="4" t="n"/>
      <c r="Q135" s="87" t="n"/>
      <c r="R135" s="5" t="n"/>
      <c r="S135" s="2" t="n"/>
      <c r="T135" s="3" t="n"/>
      <c r="U135" s="87" t="n"/>
      <c r="V135" s="3" t="n"/>
      <c r="W135" s="108" t="n"/>
      <c r="X135" s="4" t="n"/>
    </row>
    <row r="136" ht="24" customHeight="1">
      <c r="A136" s="2">
        <f>+D136-S136</f>
        <v/>
      </c>
      <c r="B136" s="80" t="n"/>
      <c r="C136" s="70" t="n">
        <v>45486</v>
      </c>
      <c r="D136" s="2" t="n">
        <v>1</v>
      </c>
      <c r="E136" s="3" t="inlineStr">
        <is>
          <t>PISTOLA SEMIAUTOMATICA</t>
        </is>
      </c>
      <c r="F136" s="3" t="inlineStr">
        <is>
          <t>9X19</t>
        </is>
      </c>
      <c r="G136" s="3" t="inlineStr">
        <is>
          <t>BERETTA</t>
        </is>
      </c>
      <c r="H136" s="65" t="inlineStr">
        <is>
          <t>92X</t>
        </is>
      </c>
      <c r="I136" s="65" t="inlineStr">
        <is>
          <t>BST45521</t>
        </is>
      </c>
      <c r="J136" s="65" t="inlineStr">
        <is>
          <t>N/D</t>
        </is>
      </c>
      <c r="K136" s="65" t="inlineStr">
        <is>
          <t>N/D</t>
        </is>
      </c>
      <c r="L136" s="127" t="inlineStr">
        <is>
          <t>REDOLFI F.LLI SRL</t>
        </is>
      </c>
      <c r="M136" s="5" t="n">
        <v>970</v>
      </c>
      <c r="N136" s="5" t="n"/>
      <c r="O136" s="5">
        <f>+M136+N136</f>
        <v/>
      </c>
      <c r="P136" s="4" t="n"/>
      <c r="Q136" s="87" t="n"/>
      <c r="R136" s="5" t="n">
        <v>1000</v>
      </c>
      <c r="S136" s="2" t="n">
        <v>1</v>
      </c>
      <c r="T136" s="3" t="inlineStr">
        <is>
          <t>CA04954OS</t>
        </is>
      </c>
      <c r="U136" s="87" t="n">
        <v>45874</v>
      </c>
      <c r="V136" s="3" t="inlineStr">
        <is>
          <t>25</t>
        </is>
      </c>
      <c r="W136" s="4" t="n">
        <v>45874</v>
      </c>
      <c r="X136" s="4" t="inlineStr">
        <is>
          <t>PHILIPPOS COSTANTINIDES TRADING CO. LTD</t>
        </is>
      </c>
    </row>
    <row r="137" ht="24" customHeight="1">
      <c r="A137" s="2">
        <f>+D137-S137</f>
        <v/>
      </c>
      <c r="B137" s="80" t="n"/>
      <c r="C137" s="70" t="n">
        <v>45435</v>
      </c>
      <c r="D137" s="2" t="n">
        <v>1</v>
      </c>
      <c r="E137" s="3" t="inlineStr">
        <is>
          <t>FUCILE A POMPA</t>
        </is>
      </c>
      <c r="F137" s="3" t="n">
        <v>12</v>
      </c>
      <c r="G137" s="3" t="inlineStr">
        <is>
          <t>WINCHESTER</t>
        </is>
      </c>
      <c r="H137" s="65" t="inlineStr">
        <is>
          <t>SXP DARK EARTH DEFENDER</t>
        </is>
      </c>
      <c r="I137" s="65" t="inlineStr">
        <is>
          <t>TR6023-066999SP</t>
        </is>
      </c>
      <c r="J137" s="65" t="inlineStr">
        <is>
          <t>N/D</t>
        </is>
      </c>
      <c r="K137" s="65" t="inlineStr">
        <is>
          <t>N/D</t>
        </is>
      </c>
      <c r="L137" s="127" t="inlineStr">
        <is>
          <t>BROWNING INTERNATIONAL SA</t>
        </is>
      </c>
      <c r="M137" s="5" t="n">
        <v>282.6</v>
      </c>
      <c r="N137" s="5" t="n"/>
      <c r="O137" s="5">
        <f>+M137+N137</f>
        <v/>
      </c>
      <c r="P137" s="4" t="n"/>
      <c r="Q137" s="87" t="n"/>
      <c r="R137" s="5" t="n">
        <v>299</v>
      </c>
      <c r="S137" s="2" t="n">
        <v>1</v>
      </c>
      <c r="T137" s="3" t="inlineStr">
        <is>
          <t>CA42796IR</t>
        </is>
      </c>
      <c r="U137" s="87" t="n">
        <v>45821</v>
      </c>
      <c r="V137" s="3" t="inlineStr">
        <is>
          <t>11</t>
        </is>
      </c>
      <c r="W137" s="108" t="n">
        <v>45821</v>
      </c>
      <c r="X137" s="4" t="inlineStr">
        <is>
          <t>PHILIPPOS COSTANTINIDES TRADING CO. LTD</t>
        </is>
      </c>
    </row>
    <row r="138" ht="24" customHeight="1">
      <c r="A138" s="2">
        <f>+D138-S138</f>
        <v/>
      </c>
      <c r="B138" s="80" t="n"/>
      <c r="C138" s="70" t="n">
        <v>45435</v>
      </c>
      <c r="D138" s="2" t="n">
        <v>1</v>
      </c>
      <c r="E138" s="3" t="inlineStr">
        <is>
          <t>FUCILE A POMPA</t>
        </is>
      </c>
      <c r="F138" s="3" t="n">
        <v>12</v>
      </c>
      <c r="G138" s="3" t="inlineStr">
        <is>
          <t>WINCHESTER</t>
        </is>
      </c>
      <c r="H138" s="65" t="inlineStr">
        <is>
          <t>SXP DARK EARTH DEFENDER</t>
        </is>
      </c>
      <c r="I138" s="65" t="inlineStr">
        <is>
          <t>TR6023-067010SP</t>
        </is>
      </c>
      <c r="J138" s="65" t="inlineStr">
        <is>
          <t>N/D</t>
        </is>
      </c>
      <c r="K138" s="65" t="inlineStr">
        <is>
          <t>N/D</t>
        </is>
      </c>
      <c r="L138" s="127" t="inlineStr">
        <is>
          <t>BROWNING INTERNATIONAL SA</t>
        </is>
      </c>
      <c r="M138" s="5" t="n">
        <v>282.6</v>
      </c>
      <c r="N138" s="5" t="n"/>
      <c r="O138" s="5">
        <f>+M138+N138</f>
        <v/>
      </c>
      <c r="P138" s="4" t="n"/>
      <c r="Q138" s="87" t="n"/>
      <c r="R138" s="5" t="n">
        <v>299</v>
      </c>
      <c r="S138" s="2" t="n">
        <v>1</v>
      </c>
      <c r="T138" s="3" t="inlineStr">
        <is>
          <t>CA42796IR</t>
        </is>
      </c>
      <c r="U138" s="87" t="n">
        <v>45821</v>
      </c>
      <c r="V138" s="3" t="inlineStr">
        <is>
          <t>11</t>
        </is>
      </c>
      <c r="W138" s="108" t="n">
        <v>45821</v>
      </c>
      <c r="X138" s="4" t="inlineStr">
        <is>
          <t>PHILIPPOS COSTANTINIDES TRADING CO. LTD</t>
        </is>
      </c>
    </row>
    <row r="139" ht="24" customHeight="1">
      <c r="A139" s="2">
        <f>+D139-S139</f>
        <v/>
      </c>
      <c r="B139" s="80" t="n"/>
      <c r="C139" s="70" t="n">
        <v>45435</v>
      </c>
      <c r="D139" s="2" t="n">
        <v>1</v>
      </c>
      <c r="E139" s="3" t="inlineStr">
        <is>
          <t>FUCILE A POMPA</t>
        </is>
      </c>
      <c r="F139" s="3" t="n">
        <v>12</v>
      </c>
      <c r="G139" s="3" t="inlineStr">
        <is>
          <t>WINCHESTER</t>
        </is>
      </c>
      <c r="H139" s="65" t="inlineStr">
        <is>
          <t>SXP DARK EARTH DEFENDER</t>
        </is>
      </c>
      <c r="I139" s="65" t="inlineStr">
        <is>
          <t>TR6023-067026SP</t>
        </is>
      </c>
      <c r="J139" s="65" t="inlineStr">
        <is>
          <t>N/D</t>
        </is>
      </c>
      <c r="K139" s="65" t="inlineStr">
        <is>
          <t>N/D</t>
        </is>
      </c>
      <c r="L139" s="127" t="inlineStr">
        <is>
          <t>BROWNING INTERNATIONAL SA</t>
        </is>
      </c>
      <c r="M139" s="5" t="n">
        <v>282.6</v>
      </c>
      <c r="N139" s="5" t="n"/>
      <c r="O139" s="5">
        <f>+M139+N139</f>
        <v/>
      </c>
      <c r="P139" s="4" t="n"/>
      <c r="Q139" s="87" t="n"/>
      <c r="R139" s="5" t="n">
        <v>299</v>
      </c>
      <c r="S139" s="2" t="n">
        <v>1</v>
      </c>
      <c r="T139" s="3" t="inlineStr">
        <is>
          <t>CA42796IR</t>
        </is>
      </c>
      <c r="U139" s="87" t="n">
        <v>45821</v>
      </c>
      <c r="V139" s="3" t="inlineStr">
        <is>
          <t>11</t>
        </is>
      </c>
      <c r="W139" s="108" t="n">
        <v>45821</v>
      </c>
      <c r="X139" s="4" t="inlineStr">
        <is>
          <t>PHILIPPOS COSTANTINIDES TRADING CO. LTD</t>
        </is>
      </c>
    </row>
    <row r="140" ht="24" customHeight="1">
      <c r="A140" s="2">
        <f>+D140-S140</f>
        <v/>
      </c>
      <c r="B140" s="80" t="n"/>
      <c r="C140" s="70" t="n">
        <v>45435</v>
      </c>
      <c r="D140" s="2" t="n">
        <v>1</v>
      </c>
      <c r="E140" s="3" t="inlineStr">
        <is>
          <t>FUCILE A POMPA</t>
        </is>
      </c>
      <c r="F140" s="3" t="n">
        <v>12</v>
      </c>
      <c r="G140" s="3" t="inlineStr">
        <is>
          <t>WINCHESTER</t>
        </is>
      </c>
      <c r="H140" s="65" t="inlineStr">
        <is>
          <t>SXP DARK EARTH DEFENDER</t>
        </is>
      </c>
      <c r="I140" s="65" t="inlineStr">
        <is>
          <t>TR6023-067035SP</t>
        </is>
      </c>
      <c r="J140" s="65" t="inlineStr">
        <is>
          <t>N/D</t>
        </is>
      </c>
      <c r="K140" s="65" t="inlineStr">
        <is>
          <t>N/D</t>
        </is>
      </c>
      <c r="L140" s="127" t="inlineStr">
        <is>
          <t>BROWNING INTERNATIONAL SA</t>
        </is>
      </c>
      <c r="M140" s="5" t="n">
        <v>282.6</v>
      </c>
      <c r="N140" s="5" t="n"/>
      <c r="O140" s="5">
        <f>+M140+N140</f>
        <v/>
      </c>
      <c r="P140" s="4" t="n"/>
      <c r="Q140" s="87" t="n"/>
      <c r="R140" s="5" t="n">
        <v>299</v>
      </c>
      <c r="S140" s="2" t="n">
        <v>1</v>
      </c>
      <c r="T140" s="3" t="inlineStr">
        <is>
          <t>CA42796IR</t>
        </is>
      </c>
      <c r="U140" s="87" t="n">
        <v>45821</v>
      </c>
      <c r="V140" s="3" t="inlineStr">
        <is>
          <t>11</t>
        </is>
      </c>
      <c r="W140" s="108" t="n">
        <v>45821</v>
      </c>
      <c r="X140" s="4" t="inlineStr">
        <is>
          <t>PHILIPPOS COSTANTINIDES TRADING CO. LTD</t>
        </is>
      </c>
    </row>
    <row r="141" ht="24" customHeight="1">
      <c r="A141" s="2">
        <f>+D141-S141</f>
        <v/>
      </c>
      <c r="B141" s="80" t="n"/>
      <c r="C141" s="70" t="n">
        <v>45435</v>
      </c>
      <c r="D141" s="2" t="n">
        <v>1</v>
      </c>
      <c r="E141" s="3" t="inlineStr">
        <is>
          <t>FUCILE A POMPA</t>
        </is>
      </c>
      <c r="F141" s="3" t="n">
        <v>12</v>
      </c>
      <c r="G141" s="3" t="inlineStr">
        <is>
          <t>WINCHESTER</t>
        </is>
      </c>
      <c r="H141" s="65" t="inlineStr">
        <is>
          <t>SXP DARK EARTH DEFENDER</t>
        </is>
      </c>
      <c r="I141" s="65" t="inlineStr">
        <is>
          <t>TR6023-067046SP</t>
        </is>
      </c>
      <c r="J141" s="65" t="inlineStr">
        <is>
          <t>N/D</t>
        </is>
      </c>
      <c r="K141" s="65" t="inlineStr">
        <is>
          <t>N/D</t>
        </is>
      </c>
      <c r="L141" s="127" t="inlineStr">
        <is>
          <t>BROWNING INTERNATIONAL SA</t>
        </is>
      </c>
      <c r="M141" s="5" t="n">
        <v>282.6</v>
      </c>
      <c r="N141" s="5" t="n"/>
      <c r="O141" s="5">
        <f>+M141+N141</f>
        <v/>
      </c>
      <c r="P141" s="4" t="n"/>
      <c r="Q141" s="87" t="n"/>
      <c r="R141" s="5" t="n">
        <v>299</v>
      </c>
      <c r="S141" s="2" t="n">
        <v>1</v>
      </c>
      <c r="T141" s="3" t="inlineStr">
        <is>
          <t>CA42796IR</t>
        </is>
      </c>
      <c r="U141" s="87" t="n">
        <v>45821</v>
      </c>
      <c r="V141" s="3" t="inlineStr">
        <is>
          <t>11</t>
        </is>
      </c>
      <c r="W141" s="108" t="n">
        <v>45821</v>
      </c>
      <c r="X141" s="4" t="inlineStr">
        <is>
          <t>PHILIPPOS COSTANTINIDES TRADING CO. LTD</t>
        </is>
      </c>
    </row>
    <row r="142" ht="24" customHeight="1">
      <c r="A142" s="2">
        <f>+D142-S142</f>
        <v/>
      </c>
      <c r="B142" s="80" t="n"/>
      <c r="C142" s="70" t="n">
        <v>45435</v>
      </c>
      <c r="D142" s="2" t="n">
        <v>1</v>
      </c>
      <c r="E142" s="3" t="inlineStr">
        <is>
          <t>FUCILE A POMPA</t>
        </is>
      </c>
      <c r="F142" s="3" t="n">
        <v>12</v>
      </c>
      <c r="G142" s="3" t="inlineStr">
        <is>
          <t>WINCHESTER</t>
        </is>
      </c>
      <c r="H142" s="65" t="inlineStr">
        <is>
          <t>SXP DARK EARTH DEFENDER</t>
        </is>
      </c>
      <c r="I142" s="65" t="inlineStr">
        <is>
          <t>TR6023-067033SP</t>
        </is>
      </c>
      <c r="J142" s="65" t="inlineStr">
        <is>
          <t>N/D</t>
        </is>
      </c>
      <c r="K142" s="65" t="inlineStr">
        <is>
          <t>N/D</t>
        </is>
      </c>
      <c r="L142" s="127" t="inlineStr">
        <is>
          <t>BROWNING INTERNATIONAL SA</t>
        </is>
      </c>
      <c r="M142" s="5" t="n">
        <v>282.6</v>
      </c>
      <c r="N142" s="5" t="n"/>
      <c r="O142" s="5">
        <f>+M142+N142</f>
        <v/>
      </c>
      <c r="P142" s="4" t="n"/>
      <c r="Q142" s="87" t="n"/>
      <c r="R142" s="5" t="n">
        <v>299</v>
      </c>
      <c r="S142" s="2" t="n">
        <v>1</v>
      </c>
      <c r="T142" s="3" t="inlineStr">
        <is>
          <t>CA42796IR</t>
        </is>
      </c>
      <c r="U142" s="87" t="n">
        <v>45821</v>
      </c>
      <c r="V142" s="3" t="inlineStr">
        <is>
          <t>11</t>
        </is>
      </c>
      <c r="W142" s="108" t="n">
        <v>45821</v>
      </c>
      <c r="X142" s="4" t="inlineStr">
        <is>
          <t>PHILIPPOS COSTANTINIDES TRADING CO. LTD</t>
        </is>
      </c>
    </row>
    <row r="143" ht="24" customHeight="1">
      <c r="A143" s="2">
        <f>+D143-S143</f>
        <v/>
      </c>
      <c r="B143" s="80" t="n"/>
      <c r="C143" s="70" t="n">
        <v>45435</v>
      </c>
      <c r="D143" s="2" t="n">
        <v>1</v>
      </c>
      <c r="E143" s="3" t="inlineStr">
        <is>
          <t>FUCILE A POMPA</t>
        </is>
      </c>
      <c r="F143" s="3" t="n">
        <v>12</v>
      </c>
      <c r="G143" s="3" t="inlineStr">
        <is>
          <t>WINCHESTER</t>
        </is>
      </c>
      <c r="H143" s="65" t="inlineStr">
        <is>
          <t>SXP DARK EARTH DEFENDER</t>
        </is>
      </c>
      <c r="I143" s="65" t="inlineStr">
        <is>
          <t>TR6023-067031SP</t>
        </is>
      </c>
      <c r="J143" s="65" t="inlineStr">
        <is>
          <t>N/D</t>
        </is>
      </c>
      <c r="K143" s="65" t="inlineStr">
        <is>
          <t>N/D</t>
        </is>
      </c>
      <c r="L143" s="127" t="inlineStr">
        <is>
          <t>BROWNING INTERNATIONAL SA</t>
        </is>
      </c>
      <c r="M143" s="5" t="n">
        <v>282.6</v>
      </c>
      <c r="N143" s="5" t="n"/>
      <c r="O143" s="5">
        <f>+M143+N143</f>
        <v/>
      </c>
      <c r="P143" s="4" t="n"/>
      <c r="Q143" s="87" t="n"/>
      <c r="R143" s="5" t="n">
        <v>299</v>
      </c>
      <c r="S143" s="2" t="n">
        <v>1</v>
      </c>
      <c r="T143" s="3" t="inlineStr">
        <is>
          <t>CA42796IR</t>
        </is>
      </c>
      <c r="U143" s="87" t="n">
        <v>45821</v>
      </c>
      <c r="V143" s="3" t="inlineStr">
        <is>
          <t>11</t>
        </is>
      </c>
      <c r="W143" s="108" t="n">
        <v>45821</v>
      </c>
      <c r="X143" s="4" t="inlineStr">
        <is>
          <t>PHILIPPOS COSTANTINIDES TRADING CO. LTD</t>
        </is>
      </c>
    </row>
    <row r="144" ht="24" customHeight="1">
      <c r="A144" s="2">
        <f>+D144-S144</f>
        <v/>
      </c>
      <c r="B144" s="80" t="n"/>
      <c r="C144" s="70" t="n">
        <v>45435</v>
      </c>
      <c r="D144" s="2" t="n">
        <v>1</v>
      </c>
      <c r="E144" s="3" t="inlineStr">
        <is>
          <t>FUCILE A POMPA</t>
        </is>
      </c>
      <c r="F144" s="3" t="n">
        <v>12</v>
      </c>
      <c r="G144" s="3" t="inlineStr">
        <is>
          <t>WINCHESTER</t>
        </is>
      </c>
      <c r="H144" s="65" t="inlineStr">
        <is>
          <t>SXP DARK EARTH DEFENDER</t>
        </is>
      </c>
      <c r="I144" s="65" t="inlineStr">
        <is>
          <t>TR6023-067023SP</t>
        </is>
      </c>
      <c r="J144" s="65" t="inlineStr">
        <is>
          <t>N/D</t>
        </is>
      </c>
      <c r="K144" s="65" t="inlineStr">
        <is>
          <t>N/D</t>
        </is>
      </c>
      <c r="L144" s="127" t="inlineStr">
        <is>
          <t>BROWNING INTERNATIONAL SA</t>
        </is>
      </c>
      <c r="M144" s="5" t="n">
        <v>282.6</v>
      </c>
      <c r="N144" s="5" t="n"/>
      <c r="O144" s="5">
        <f>+M144+N144</f>
        <v/>
      </c>
      <c r="P144" s="4" t="n"/>
      <c r="Q144" s="87" t="n"/>
      <c r="R144" s="5" t="n">
        <v>299</v>
      </c>
      <c r="S144" s="2" t="n">
        <v>1</v>
      </c>
      <c r="T144" s="3" t="inlineStr">
        <is>
          <t>CA42796IR</t>
        </is>
      </c>
      <c r="U144" s="87" t="n">
        <v>45821</v>
      </c>
      <c r="V144" s="3" t="inlineStr">
        <is>
          <t>11</t>
        </is>
      </c>
      <c r="W144" s="108" t="n">
        <v>45821</v>
      </c>
      <c r="X144" s="4" t="inlineStr">
        <is>
          <t>PHILIPPOS COSTANTINIDES TRADING CO. LTD</t>
        </is>
      </c>
    </row>
    <row r="145" ht="24" customHeight="1">
      <c r="A145" s="2">
        <f>+D145-S145</f>
        <v/>
      </c>
      <c r="B145" s="80" t="n"/>
      <c r="C145" s="70" t="n">
        <v>45435</v>
      </c>
      <c r="D145" s="2" t="n">
        <v>1</v>
      </c>
      <c r="E145" s="3" t="inlineStr">
        <is>
          <t>FUCILE A POMPA</t>
        </is>
      </c>
      <c r="F145" s="3" t="n">
        <v>12</v>
      </c>
      <c r="G145" s="3" t="inlineStr">
        <is>
          <t>WINCHESTER</t>
        </is>
      </c>
      <c r="H145" s="65" t="inlineStr">
        <is>
          <t>SXP DARK EARTH DEFENDER</t>
        </is>
      </c>
      <c r="I145" s="65" t="inlineStr">
        <is>
          <t>TR6023-067027SP</t>
        </is>
      </c>
      <c r="J145" s="65" t="inlineStr">
        <is>
          <t>N/D</t>
        </is>
      </c>
      <c r="K145" s="65" t="inlineStr">
        <is>
          <t>N/D</t>
        </is>
      </c>
      <c r="L145" s="127" t="inlineStr">
        <is>
          <t>BROWNING INTERNATIONAL SA</t>
        </is>
      </c>
      <c r="M145" s="5" t="n">
        <v>282.6</v>
      </c>
      <c r="N145" s="5" t="n"/>
      <c r="O145" s="5">
        <f>+M145+N145</f>
        <v/>
      </c>
      <c r="P145" s="4" t="n"/>
      <c r="Q145" s="87" t="n"/>
      <c r="R145" s="5" t="n">
        <v>299</v>
      </c>
      <c r="S145" s="2" t="n">
        <v>1</v>
      </c>
      <c r="T145" s="3" t="inlineStr">
        <is>
          <t>CA42796IR</t>
        </is>
      </c>
      <c r="U145" s="87" t="n">
        <v>45821</v>
      </c>
      <c r="V145" s="3" t="inlineStr">
        <is>
          <t>11</t>
        </is>
      </c>
      <c r="W145" s="108" t="n">
        <v>45821</v>
      </c>
      <c r="X145" s="4" t="inlineStr">
        <is>
          <t>PHILIPPOS COSTANTINIDES TRADING CO. LTD</t>
        </is>
      </c>
    </row>
    <row r="146" ht="24" customHeight="1">
      <c r="A146" s="2">
        <f>+D146-S146</f>
        <v/>
      </c>
      <c r="B146" s="80" t="n"/>
      <c r="C146" s="70" t="n">
        <v>45435</v>
      </c>
      <c r="D146" s="2" t="n">
        <v>1</v>
      </c>
      <c r="E146" s="3" t="inlineStr">
        <is>
          <t>FUCILE A POMPA</t>
        </is>
      </c>
      <c r="F146" s="3" t="n">
        <v>12</v>
      </c>
      <c r="G146" s="3" t="inlineStr">
        <is>
          <t>WINCHESTER</t>
        </is>
      </c>
      <c r="H146" s="65" t="inlineStr">
        <is>
          <t>SXP DARK EARTH DEFENDER</t>
        </is>
      </c>
      <c r="I146" s="65" t="inlineStr">
        <is>
          <t>TR6023-067020SP</t>
        </is>
      </c>
      <c r="J146" s="65" t="inlineStr">
        <is>
          <t>N/D</t>
        </is>
      </c>
      <c r="K146" s="65" t="inlineStr">
        <is>
          <t>N/D</t>
        </is>
      </c>
      <c r="L146" s="127" t="inlineStr">
        <is>
          <t>BROWNING INTERNATIONAL SA</t>
        </is>
      </c>
      <c r="M146" s="5" t="n">
        <v>282.6</v>
      </c>
      <c r="N146" s="5" t="n"/>
      <c r="O146" s="5">
        <f>+M146+N146</f>
        <v/>
      </c>
      <c r="P146" s="4" t="n"/>
      <c r="Q146" s="87" t="n"/>
      <c r="R146" s="5" t="n">
        <v>299</v>
      </c>
      <c r="S146" s="2" t="n">
        <v>1</v>
      </c>
      <c r="T146" s="3" t="inlineStr">
        <is>
          <t>CA42796IR</t>
        </is>
      </c>
      <c r="U146" s="87" t="n">
        <v>45821</v>
      </c>
      <c r="V146" s="3" t="inlineStr">
        <is>
          <t>11</t>
        </is>
      </c>
      <c r="W146" s="108" t="n">
        <v>45821</v>
      </c>
      <c r="X146" s="4" t="inlineStr">
        <is>
          <t>PHILIPPOS COSTANTINIDES TRADING CO. LTD</t>
        </is>
      </c>
    </row>
    <row r="147" ht="24" customHeight="1">
      <c r="A147" s="2">
        <f>+D147-S147</f>
        <v/>
      </c>
      <c r="B147" s="80" t="n"/>
      <c r="C147" s="70" t="n">
        <v>45435</v>
      </c>
      <c r="D147" s="2" t="n">
        <v>1</v>
      </c>
      <c r="E147" s="3" t="inlineStr">
        <is>
          <t>FUCILE A POMPA</t>
        </is>
      </c>
      <c r="F147" s="3" t="n">
        <v>12</v>
      </c>
      <c r="G147" s="3" t="inlineStr">
        <is>
          <t>WINCHESTER</t>
        </is>
      </c>
      <c r="H147" s="65" t="inlineStr">
        <is>
          <t>SXP DARK EARTH DEFENDER</t>
        </is>
      </c>
      <c r="I147" s="65" t="inlineStr">
        <is>
          <t>TR6023-067029SP</t>
        </is>
      </c>
      <c r="J147" s="65" t="inlineStr">
        <is>
          <t>N/D</t>
        </is>
      </c>
      <c r="K147" s="65" t="inlineStr">
        <is>
          <t>N/D</t>
        </is>
      </c>
      <c r="L147" s="127" t="inlineStr">
        <is>
          <t>BROWNING INTERNATIONAL SA</t>
        </is>
      </c>
      <c r="M147" s="5" t="n">
        <v>282.6</v>
      </c>
      <c r="N147" s="5" t="n"/>
      <c r="O147" s="5">
        <f>+M147+N147</f>
        <v/>
      </c>
      <c r="P147" s="4" t="n"/>
      <c r="Q147" s="87" t="n"/>
      <c r="R147" s="5" t="n">
        <v>299</v>
      </c>
      <c r="S147" s="2" t="n">
        <v>1</v>
      </c>
      <c r="T147" s="3" t="inlineStr">
        <is>
          <t>CA42796IR</t>
        </is>
      </c>
      <c r="U147" s="87" t="n">
        <v>45821</v>
      </c>
      <c r="V147" s="3" t="inlineStr">
        <is>
          <t>11</t>
        </is>
      </c>
      <c r="W147" s="108" t="n">
        <v>45821</v>
      </c>
      <c r="X147" s="4" t="inlineStr">
        <is>
          <t>PHILIPPOS COSTANTINIDES TRADING CO. LTD</t>
        </is>
      </c>
    </row>
    <row r="148" ht="24" customHeight="1">
      <c r="A148" s="2">
        <f>+D148-S148</f>
        <v/>
      </c>
      <c r="B148" s="80" t="n"/>
      <c r="C148" s="70" t="n">
        <v>45435</v>
      </c>
      <c r="D148" s="2" t="n">
        <v>1</v>
      </c>
      <c r="E148" s="3" t="inlineStr">
        <is>
          <t>FUCILE A POMPA</t>
        </is>
      </c>
      <c r="F148" s="3" t="n">
        <v>12</v>
      </c>
      <c r="G148" s="3" t="inlineStr">
        <is>
          <t>WINCHESTER</t>
        </is>
      </c>
      <c r="H148" s="65" t="inlineStr">
        <is>
          <t>SXP DARK EARTH DEFENDER</t>
        </is>
      </c>
      <c r="I148" s="65" t="inlineStr">
        <is>
          <t>TR6023-067032SP</t>
        </is>
      </c>
      <c r="J148" s="65" t="inlineStr">
        <is>
          <t>N/D</t>
        </is>
      </c>
      <c r="K148" s="65" t="inlineStr">
        <is>
          <t>N/D</t>
        </is>
      </c>
      <c r="L148" s="127" t="inlineStr">
        <is>
          <t>BROWNING INTERNATIONAL SA</t>
        </is>
      </c>
      <c r="M148" s="5" t="n">
        <v>282.6</v>
      </c>
      <c r="N148" s="5" t="n"/>
      <c r="O148" s="5">
        <f>+M148+N148</f>
        <v/>
      </c>
      <c r="P148" s="4" t="n"/>
      <c r="Q148" s="87" t="n"/>
      <c r="R148" s="5" t="n">
        <v>299</v>
      </c>
      <c r="S148" s="2" t="n">
        <v>1</v>
      </c>
      <c r="T148" s="3" t="inlineStr">
        <is>
          <t>CA42796IR</t>
        </is>
      </c>
      <c r="U148" s="87" t="n">
        <v>45821</v>
      </c>
      <c r="V148" s="3" t="inlineStr">
        <is>
          <t>11</t>
        </is>
      </c>
      <c r="W148" s="108" t="n">
        <v>45821</v>
      </c>
      <c r="X148" s="4" t="inlineStr">
        <is>
          <t>PHILIPPOS COSTANTINIDES TRADING CO. LTD</t>
        </is>
      </c>
    </row>
    <row r="149" ht="24" customHeight="1">
      <c r="A149" s="2">
        <f>+D149-S149</f>
        <v/>
      </c>
      <c r="B149" s="80" t="n"/>
      <c r="C149" s="70" t="n">
        <v>45435</v>
      </c>
      <c r="D149" s="2" t="n">
        <v>1</v>
      </c>
      <c r="E149" s="3" t="inlineStr">
        <is>
          <t>FUCILE A POMPA</t>
        </is>
      </c>
      <c r="F149" s="3" t="n">
        <v>12</v>
      </c>
      <c r="G149" s="3" t="inlineStr">
        <is>
          <t>WINCHESTER</t>
        </is>
      </c>
      <c r="H149" s="65" t="inlineStr">
        <is>
          <t>SXP DARK EARTH DEFENDER</t>
        </is>
      </c>
      <c r="I149" s="65" t="inlineStr">
        <is>
          <t>TR6023-067038SP</t>
        </is>
      </c>
      <c r="J149" s="65" t="inlineStr">
        <is>
          <t>N/D</t>
        </is>
      </c>
      <c r="K149" s="65" t="inlineStr">
        <is>
          <t>N/D</t>
        </is>
      </c>
      <c r="L149" s="127" t="inlineStr">
        <is>
          <t>BROWNING INTERNATIONAL SA</t>
        </is>
      </c>
      <c r="M149" s="5" t="n">
        <v>282.6</v>
      </c>
      <c r="N149" s="5" t="n"/>
      <c r="O149" s="5">
        <f>+M149+N149</f>
        <v/>
      </c>
      <c r="P149" s="4" t="n"/>
      <c r="Q149" s="87" t="n"/>
      <c r="R149" s="5" t="n">
        <v>299</v>
      </c>
      <c r="S149" s="2" t="n">
        <v>1</v>
      </c>
      <c r="T149" s="3" t="inlineStr">
        <is>
          <t>CA42796IR</t>
        </is>
      </c>
      <c r="U149" s="87" t="n">
        <v>45821</v>
      </c>
      <c r="V149" s="3" t="inlineStr">
        <is>
          <t>11</t>
        </is>
      </c>
      <c r="W149" s="108" t="n">
        <v>45821</v>
      </c>
      <c r="X149" s="4" t="inlineStr">
        <is>
          <t>PHILIPPOS COSTANTINIDES TRADING CO. LTD</t>
        </is>
      </c>
    </row>
    <row r="150" ht="24" customHeight="1">
      <c r="A150" s="2">
        <f>+D150-S150</f>
        <v/>
      </c>
      <c r="B150" s="80" t="n"/>
      <c r="C150" s="70" t="n">
        <v>45435</v>
      </c>
      <c r="D150" s="2" t="n">
        <v>1</v>
      </c>
      <c r="E150" s="3" t="inlineStr">
        <is>
          <t>FUCILE A POMPA</t>
        </is>
      </c>
      <c r="F150" s="3" t="n">
        <v>12</v>
      </c>
      <c r="G150" s="3" t="inlineStr">
        <is>
          <t>WINCHESTER</t>
        </is>
      </c>
      <c r="H150" s="65" t="inlineStr">
        <is>
          <t>SXP DARK EARTH DEFENDER</t>
        </is>
      </c>
      <c r="I150" s="65" t="inlineStr">
        <is>
          <t>TR6023-067018SP</t>
        </is>
      </c>
      <c r="J150" s="65" t="inlineStr">
        <is>
          <t>N/D</t>
        </is>
      </c>
      <c r="K150" s="65" t="inlineStr">
        <is>
          <t>N/D</t>
        </is>
      </c>
      <c r="L150" s="127" t="inlineStr">
        <is>
          <t>BROWNING INTERNATIONAL SA</t>
        </is>
      </c>
      <c r="M150" s="5" t="n">
        <v>282.6</v>
      </c>
      <c r="N150" s="5" t="n"/>
      <c r="O150" s="5">
        <f>+M150+N150</f>
        <v/>
      </c>
      <c r="P150" s="4" t="n"/>
      <c r="Q150" s="87" t="n"/>
      <c r="R150" s="5" t="n">
        <v>299</v>
      </c>
      <c r="S150" s="2" t="n">
        <v>1</v>
      </c>
      <c r="T150" s="3" t="inlineStr">
        <is>
          <t>CA42796IR</t>
        </is>
      </c>
      <c r="U150" s="87" t="n">
        <v>45821</v>
      </c>
      <c r="V150" s="3" t="inlineStr">
        <is>
          <t>11</t>
        </is>
      </c>
      <c r="W150" s="108" t="n">
        <v>45821</v>
      </c>
      <c r="X150" s="4" t="inlineStr">
        <is>
          <t>PHILIPPOS COSTANTINIDES TRADING CO. LTD</t>
        </is>
      </c>
    </row>
    <row r="151" ht="24" customHeight="1">
      <c r="A151" s="2">
        <f>+D151-S151</f>
        <v/>
      </c>
      <c r="B151" s="80" t="n"/>
      <c r="C151" s="70" t="n">
        <v>45435</v>
      </c>
      <c r="D151" s="2" t="n">
        <v>1</v>
      </c>
      <c r="E151" s="3" t="inlineStr">
        <is>
          <t>FUCILE A POMPA</t>
        </is>
      </c>
      <c r="F151" s="3" t="n">
        <v>12</v>
      </c>
      <c r="G151" s="3" t="inlineStr">
        <is>
          <t>WINCHESTER</t>
        </is>
      </c>
      <c r="H151" s="65" t="inlineStr">
        <is>
          <t>SXP DARK EARTH DEFENDER</t>
        </is>
      </c>
      <c r="I151" s="65" t="inlineStr">
        <is>
          <t>TR6023-067028SP</t>
        </is>
      </c>
      <c r="J151" s="65" t="inlineStr">
        <is>
          <t>N/D</t>
        </is>
      </c>
      <c r="K151" s="65" t="inlineStr">
        <is>
          <t>N/D</t>
        </is>
      </c>
      <c r="L151" s="127" t="inlineStr">
        <is>
          <t>BROWNING INTERNATIONAL SA</t>
        </is>
      </c>
      <c r="M151" s="5" t="n">
        <v>282.6</v>
      </c>
      <c r="N151" s="5" t="n"/>
      <c r="O151" s="5">
        <f>+M151+N151</f>
        <v/>
      </c>
      <c r="P151" s="4" t="n"/>
      <c r="Q151" s="87" t="n"/>
      <c r="R151" s="5" t="n">
        <v>299</v>
      </c>
      <c r="S151" s="2" t="n">
        <v>1</v>
      </c>
      <c r="T151" s="3" t="inlineStr">
        <is>
          <t>CA42796IR</t>
        </is>
      </c>
      <c r="U151" s="87" t="n">
        <v>45821</v>
      </c>
      <c r="V151" s="3" t="inlineStr">
        <is>
          <t>11</t>
        </is>
      </c>
      <c r="W151" s="108" t="n">
        <v>45821</v>
      </c>
      <c r="X151" s="4" t="inlineStr">
        <is>
          <t>PHILIPPOS COSTANTINIDES TRADING CO. LTD</t>
        </is>
      </c>
    </row>
    <row r="152" ht="24" customHeight="1">
      <c r="A152" s="2">
        <f>+D152-S152</f>
        <v/>
      </c>
      <c r="B152" s="80" t="n"/>
      <c r="C152" s="70" t="n">
        <v>45435</v>
      </c>
      <c r="D152" s="2" t="n">
        <v>1</v>
      </c>
      <c r="E152" s="3" t="inlineStr">
        <is>
          <t>FUCILE A POMPA</t>
        </is>
      </c>
      <c r="F152" s="3" t="n">
        <v>12</v>
      </c>
      <c r="G152" s="3" t="inlineStr">
        <is>
          <t>WINCHESTER</t>
        </is>
      </c>
      <c r="H152" s="65" t="inlineStr">
        <is>
          <t>SXP DEFENDER TACTICAL</t>
        </is>
      </c>
      <c r="I152" s="65" t="inlineStr">
        <is>
          <t>TR6023-011057SP</t>
        </is>
      </c>
      <c r="J152" s="65" t="inlineStr">
        <is>
          <t>N/D</t>
        </is>
      </c>
      <c r="K152" s="65" t="inlineStr">
        <is>
          <t>N/D</t>
        </is>
      </c>
      <c r="L152" s="127" t="inlineStr">
        <is>
          <t>BROWNING INTERNATIONAL SA</t>
        </is>
      </c>
      <c r="M152" s="5" t="n">
        <v>342.9</v>
      </c>
      <c r="N152" s="5" t="n"/>
      <c r="O152" s="5">
        <f>+M152+N152</f>
        <v/>
      </c>
      <c r="P152" s="4" t="n"/>
      <c r="Q152" s="87" t="n"/>
      <c r="R152" s="5" t="n">
        <v>362</v>
      </c>
      <c r="S152" s="2" t="n">
        <v>1</v>
      </c>
      <c r="T152" s="3" t="inlineStr">
        <is>
          <t>CA42796IR</t>
        </is>
      </c>
      <c r="U152" s="87" t="n">
        <v>45821</v>
      </c>
      <c r="V152" s="3" t="inlineStr">
        <is>
          <t>11</t>
        </is>
      </c>
      <c r="W152" s="108" t="n">
        <v>45821</v>
      </c>
      <c r="X152" s="4" t="inlineStr">
        <is>
          <t>PHILIPPOS COSTANTINIDES TRADING CO. LTD</t>
        </is>
      </c>
    </row>
    <row r="153" ht="24" customHeight="1">
      <c r="A153" s="2">
        <f>+D153-S153</f>
        <v/>
      </c>
      <c r="B153" s="80" t="n"/>
      <c r="C153" s="70" t="n">
        <v>45435</v>
      </c>
      <c r="D153" s="2" t="n">
        <v>1</v>
      </c>
      <c r="E153" s="3" t="inlineStr">
        <is>
          <t>FUCILE A POMPA</t>
        </is>
      </c>
      <c r="F153" s="3" t="n">
        <v>12</v>
      </c>
      <c r="G153" s="3" t="inlineStr">
        <is>
          <t>WINCHESTER</t>
        </is>
      </c>
      <c r="H153" s="65" t="inlineStr">
        <is>
          <t>SXP DEFENDER TACTICAL</t>
        </is>
      </c>
      <c r="I153" s="65" t="inlineStr">
        <is>
          <t>TR6023-011054SP</t>
        </is>
      </c>
      <c r="J153" s="65" t="inlineStr">
        <is>
          <t>N/D</t>
        </is>
      </c>
      <c r="K153" s="65" t="inlineStr">
        <is>
          <t>N/D</t>
        </is>
      </c>
      <c r="L153" s="127" t="inlineStr">
        <is>
          <t>BROWNING INTERNATIONAL SA</t>
        </is>
      </c>
      <c r="M153" s="5" t="n">
        <v>342.9</v>
      </c>
      <c r="N153" s="5" t="n"/>
      <c r="O153" s="5">
        <f>+M153+N153</f>
        <v/>
      </c>
      <c r="P153" s="4" t="n"/>
      <c r="Q153" s="87" t="n"/>
      <c r="R153" s="5" t="n">
        <v>362</v>
      </c>
      <c r="S153" s="2" t="n">
        <v>1</v>
      </c>
      <c r="T153" s="3" t="inlineStr">
        <is>
          <t>CA42796IR</t>
        </is>
      </c>
      <c r="U153" s="87" t="n">
        <v>45821</v>
      </c>
      <c r="V153" s="3" t="inlineStr">
        <is>
          <t>11</t>
        </is>
      </c>
      <c r="W153" s="108" t="n">
        <v>45821</v>
      </c>
      <c r="X153" s="4" t="inlineStr">
        <is>
          <t>PHILIPPOS COSTANTINIDES TRADING CO. LTD</t>
        </is>
      </c>
    </row>
    <row r="154" ht="24" customHeight="1">
      <c r="A154" s="2">
        <f>+D154-S154</f>
        <v/>
      </c>
      <c r="B154" s="80" t="n"/>
      <c r="C154" s="70" t="n">
        <v>45435</v>
      </c>
      <c r="D154" s="2" t="n">
        <v>1</v>
      </c>
      <c r="E154" s="3" t="inlineStr">
        <is>
          <t>FUCILE A POMPA</t>
        </is>
      </c>
      <c r="F154" s="3" t="n">
        <v>12</v>
      </c>
      <c r="G154" s="3" t="inlineStr">
        <is>
          <t>WINCHESTER</t>
        </is>
      </c>
      <c r="H154" s="65" t="inlineStr">
        <is>
          <t>SXP DEFENDER TACTICAL</t>
        </is>
      </c>
      <c r="I154" s="65" t="inlineStr">
        <is>
          <t>TR6023-011058SP</t>
        </is>
      </c>
      <c r="J154" s="65" t="inlineStr">
        <is>
          <t>N/D</t>
        </is>
      </c>
      <c r="K154" s="65" t="inlineStr">
        <is>
          <t>N/D</t>
        </is>
      </c>
      <c r="L154" s="127" t="inlineStr">
        <is>
          <t>BROWNING INTERNATIONAL SA</t>
        </is>
      </c>
      <c r="M154" s="5" t="n">
        <v>342.9</v>
      </c>
      <c r="N154" s="5" t="n"/>
      <c r="O154" s="5">
        <f>+M154+N154</f>
        <v/>
      </c>
      <c r="P154" s="4" t="n"/>
      <c r="Q154" s="87" t="n"/>
      <c r="R154" s="5" t="n">
        <v>362</v>
      </c>
      <c r="S154" s="2" t="n">
        <v>1</v>
      </c>
      <c r="T154" s="3" t="inlineStr">
        <is>
          <t>CA42796IR</t>
        </is>
      </c>
      <c r="U154" s="87" t="n">
        <v>45821</v>
      </c>
      <c r="V154" s="3" t="inlineStr">
        <is>
          <t>11</t>
        </is>
      </c>
      <c r="W154" s="108" t="n">
        <v>45821</v>
      </c>
      <c r="X154" s="4" t="inlineStr">
        <is>
          <t>PHILIPPOS COSTANTINIDES TRADING CO. LTD</t>
        </is>
      </c>
    </row>
    <row r="155" ht="24" customHeight="1">
      <c r="A155" s="2">
        <f>+D155-S155</f>
        <v/>
      </c>
      <c r="B155" s="80" t="n"/>
      <c r="C155" s="70" t="n">
        <v>45435</v>
      </c>
      <c r="D155" s="2" t="n">
        <v>1</v>
      </c>
      <c r="E155" s="3" t="inlineStr">
        <is>
          <t>FUCILE A POMPA</t>
        </is>
      </c>
      <c r="F155" s="3" t="n">
        <v>12</v>
      </c>
      <c r="G155" s="3" t="inlineStr">
        <is>
          <t>WINCHESTER</t>
        </is>
      </c>
      <c r="H155" s="65" t="inlineStr">
        <is>
          <t>SXP DEFENDER TACTICAL</t>
        </is>
      </c>
      <c r="I155" s="65" t="inlineStr">
        <is>
          <t>TR6023-011044SP</t>
        </is>
      </c>
      <c r="J155" s="65" t="inlineStr">
        <is>
          <t>N/D</t>
        </is>
      </c>
      <c r="K155" s="65" t="inlineStr">
        <is>
          <t>N/D</t>
        </is>
      </c>
      <c r="L155" s="127" t="inlineStr">
        <is>
          <t>BROWNING INTERNATIONAL SA</t>
        </is>
      </c>
      <c r="M155" s="5" t="n">
        <v>342.9</v>
      </c>
      <c r="N155" s="5" t="n"/>
      <c r="O155" s="5">
        <f>+M155+N155</f>
        <v/>
      </c>
      <c r="P155" s="4" t="n"/>
      <c r="Q155" s="87" t="n"/>
      <c r="R155" s="5" t="n">
        <v>362</v>
      </c>
      <c r="S155" s="2" t="n">
        <v>1</v>
      </c>
      <c r="T155" s="3" t="inlineStr">
        <is>
          <t>CA42796IR</t>
        </is>
      </c>
      <c r="U155" s="87" t="n">
        <v>45821</v>
      </c>
      <c r="V155" s="3" t="inlineStr">
        <is>
          <t>11</t>
        </is>
      </c>
      <c r="W155" s="108" t="n">
        <v>45821</v>
      </c>
      <c r="X155" s="4" t="inlineStr">
        <is>
          <t>PHILIPPOS COSTANTINIDES TRADING CO. LTD</t>
        </is>
      </c>
    </row>
    <row r="156" ht="24" customHeight="1">
      <c r="A156" s="2">
        <f>+D156-S156</f>
        <v/>
      </c>
      <c r="B156" s="80" t="n"/>
      <c r="C156" s="70" t="n">
        <v>45435</v>
      </c>
      <c r="D156" s="2" t="n">
        <v>1</v>
      </c>
      <c r="E156" s="3" t="inlineStr">
        <is>
          <t>FUCILE A POMPA</t>
        </is>
      </c>
      <c r="F156" s="3" t="n">
        <v>12</v>
      </c>
      <c r="G156" s="3" t="inlineStr">
        <is>
          <t>WINCHESTER</t>
        </is>
      </c>
      <c r="H156" s="65" t="inlineStr">
        <is>
          <t>SXP DEFENDER TACTICAL</t>
        </is>
      </c>
      <c r="I156" s="65" t="inlineStr">
        <is>
          <t>TR6023-011045SP</t>
        </is>
      </c>
      <c r="J156" s="65" t="inlineStr">
        <is>
          <t>N/D</t>
        </is>
      </c>
      <c r="K156" s="65" t="inlineStr">
        <is>
          <t>N/D</t>
        </is>
      </c>
      <c r="L156" s="127" t="inlineStr">
        <is>
          <t>BROWNING INTERNATIONAL SA</t>
        </is>
      </c>
      <c r="M156" s="5" t="n">
        <v>342.9</v>
      </c>
      <c r="N156" s="5" t="n"/>
      <c r="O156" s="5">
        <f>+M156+N156</f>
        <v/>
      </c>
      <c r="P156" s="4" t="n"/>
      <c r="Q156" s="87" t="n"/>
      <c r="R156" s="5" t="n">
        <v>362</v>
      </c>
      <c r="S156" s="2" t="n">
        <v>1</v>
      </c>
      <c r="T156" s="3" t="inlineStr">
        <is>
          <t>CA42796IR</t>
        </is>
      </c>
      <c r="U156" s="87" t="n">
        <v>45821</v>
      </c>
      <c r="V156" s="3" t="inlineStr">
        <is>
          <t>11</t>
        </is>
      </c>
      <c r="W156" s="108" t="n">
        <v>45821</v>
      </c>
      <c r="X156" s="4" t="inlineStr">
        <is>
          <t>PHILIPPOS COSTANTINIDES TRADING CO. LTD</t>
        </is>
      </c>
    </row>
    <row r="157" ht="24" customHeight="1">
      <c r="A157" s="2">
        <f>+D157-S157</f>
        <v/>
      </c>
      <c r="B157" s="80" t="n"/>
      <c r="C157" s="70" t="n">
        <v>45435</v>
      </c>
      <c r="D157" s="2" t="n">
        <v>1</v>
      </c>
      <c r="E157" s="3" t="inlineStr">
        <is>
          <t>FUCILE A POMPA</t>
        </is>
      </c>
      <c r="F157" s="3" t="n">
        <v>12</v>
      </c>
      <c r="G157" s="3" t="inlineStr">
        <is>
          <t>WINCHESTER</t>
        </is>
      </c>
      <c r="H157" s="65" t="inlineStr">
        <is>
          <t>SXP DEFENDER TACTICAL</t>
        </is>
      </c>
      <c r="I157" s="65" t="inlineStr">
        <is>
          <t>TR6023-011047SP</t>
        </is>
      </c>
      <c r="J157" s="65" t="inlineStr">
        <is>
          <t>N/D</t>
        </is>
      </c>
      <c r="K157" s="65" t="inlineStr">
        <is>
          <t>N/D</t>
        </is>
      </c>
      <c r="L157" s="127" t="inlineStr">
        <is>
          <t>BROWNING INTERNATIONAL SA</t>
        </is>
      </c>
      <c r="M157" s="5" t="n">
        <v>342.9</v>
      </c>
      <c r="N157" s="5" t="n"/>
      <c r="O157" s="5">
        <f>+M157+N157</f>
        <v/>
      </c>
      <c r="P157" s="4" t="n"/>
      <c r="Q157" s="87" t="n"/>
      <c r="R157" s="5" t="n">
        <v>362</v>
      </c>
      <c r="S157" s="2" t="n">
        <v>1</v>
      </c>
      <c r="T157" s="3" t="inlineStr">
        <is>
          <t>CA42796IR</t>
        </is>
      </c>
      <c r="U157" s="87" t="n">
        <v>45821</v>
      </c>
      <c r="V157" s="3" t="inlineStr">
        <is>
          <t>11</t>
        </is>
      </c>
      <c r="W157" s="108" t="n">
        <v>45821</v>
      </c>
      <c r="X157" s="4" t="inlineStr">
        <is>
          <t>PHILIPPOS COSTANTINIDES TRADING CO. LTD</t>
        </is>
      </c>
    </row>
    <row r="158" ht="24" customHeight="1">
      <c r="A158" s="2">
        <f>+D158-S158</f>
        <v/>
      </c>
      <c r="B158" s="80" t="n"/>
      <c r="C158" s="70" t="n">
        <v>45435</v>
      </c>
      <c r="D158" s="2" t="n">
        <v>1</v>
      </c>
      <c r="E158" s="3" t="inlineStr">
        <is>
          <t>FUCILE A POMPA</t>
        </is>
      </c>
      <c r="F158" s="3" t="n">
        <v>12</v>
      </c>
      <c r="G158" s="3" t="inlineStr">
        <is>
          <t>WINCHESTER</t>
        </is>
      </c>
      <c r="H158" s="65" t="inlineStr">
        <is>
          <t>SXP DEFENDER TACTICAL</t>
        </is>
      </c>
      <c r="I158" s="65" t="inlineStr">
        <is>
          <t>TR6023-011056SP</t>
        </is>
      </c>
      <c r="J158" s="65" t="inlineStr">
        <is>
          <t>N/D</t>
        </is>
      </c>
      <c r="K158" s="65" t="inlineStr">
        <is>
          <t>N/D</t>
        </is>
      </c>
      <c r="L158" s="127" t="inlineStr">
        <is>
          <t>BROWNING INTERNATIONAL SA</t>
        </is>
      </c>
      <c r="M158" s="5" t="n">
        <v>342.9</v>
      </c>
      <c r="N158" s="5" t="n"/>
      <c r="O158" s="5">
        <f>+M158+N158</f>
        <v/>
      </c>
      <c r="P158" s="4" t="n"/>
      <c r="Q158" s="87" t="n"/>
      <c r="R158" s="5" t="n">
        <v>362</v>
      </c>
      <c r="S158" s="2" t="n">
        <v>1</v>
      </c>
      <c r="T158" s="3" t="inlineStr">
        <is>
          <t>CA42796IR</t>
        </is>
      </c>
      <c r="U158" s="87" t="n">
        <v>45821</v>
      </c>
      <c r="V158" s="3" t="inlineStr">
        <is>
          <t>11</t>
        </is>
      </c>
      <c r="W158" s="108" t="n">
        <v>45821</v>
      </c>
      <c r="X158" s="4" t="inlineStr">
        <is>
          <t>PHILIPPOS COSTANTINIDES TRADING CO. LTD</t>
        </is>
      </c>
    </row>
    <row r="159" ht="24" customHeight="1">
      <c r="A159" s="2">
        <f>+D159-S159</f>
        <v/>
      </c>
      <c r="B159" s="80" t="n"/>
      <c r="C159" s="70" t="n">
        <v>45435</v>
      </c>
      <c r="D159" s="2" t="n">
        <v>1</v>
      </c>
      <c r="E159" s="3" t="inlineStr">
        <is>
          <t>FUCILE A POMPA</t>
        </is>
      </c>
      <c r="F159" s="3" t="n">
        <v>12</v>
      </c>
      <c r="G159" s="3" t="inlineStr">
        <is>
          <t>WINCHESTER</t>
        </is>
      </c>
      <c r="H159" s="65" t="inlineStr">
        <is>
          <t>SXP DEFENDER TACTICAL</t>
        </is>
      </c>
      <c r="I159" s="65" t="inlineStr">
        <is>
          <t>TR6023-011055SP</t>
        </is>
      </c>
      <c r="J159" s="65" t="inlineStr">
        <is>
          <t>N/D</t>
        </is>
      </c>
      <c r="K159" s="65" t="inlineStr">
        <is>
          <t>N/D</t>
        </is>
      </c>
      <c r="L159" s="127" t="inlineStr">
        <is>
          <t>BROWNING INTERNATIONAL SA</t>
        </is>
      </c>
      <c r="M159" s="5" t="n">
        <v>342.9</v>
      </c>
      <c r="N159" s="5" t="n"/>
      <c r="O159" s="5">
        <f>+M159+N159</f>
        <v/>
      </c>
      <c r="P159" s="4" t="n"/>
      <c r="Q159" s="87" t="n"/>
      <c r="R159" s="5" t="n">
        <v>362</v>
      </c>
      <c r="S159" s="2" t="n">
        <v>1</v>
      </c>
      <c r="T159" s="3" t="inlineStr">
        <is>
          <t>CA42796IR</t>
        </is>
      </c>
      <c r="U159" s="87" t="n">
        <v>45821</v>
      </c>
      <c r="V159" s="3" t="inlineStr">
        <is>
          <t>11</t>
        </is>
      </c>
      <c r="W159" s="108" t="n">
        <v>45821</v>
      </c>
      <c r="X159" s="4" t="inlineStr">
        <is>
          <t>PHILIPPOS COSTANTINIDES TRADING CO. LTD</t>
        </is>
      </c>
    </row>
    <row r="160" ht="24" customHeight="1">
      <c r="A160" s="2">
        <f>+D160-S160</f>
        <v/>
      </c>
      <c r="B160" s="80" t="n"/>
      <c r="C160" s="70" t="n">
        <v>45436</v>
      </c>
      <c r="D160" s="2" t="n">
        <v>1</v>
      </c>
      <c r="E160" s="3" t="inlineStr">
        <is>
          <t>FUCILE DOPPIETTA</t>
        </is>
      </c>
      <c r="F160" s="3" t="n">
        <v>12</v>
      </c>
      <c r="G160" s="3" t="inlineStr">
        <is>
          <t>DUMOLIN</t>
        </is>
      </c>
      <c r="H160" s="65" t="inlineStr">
        <is>
          <t>ANSON</t>
        </is>
      </c>
      <c r="I160" s="65" t="inlineStr">
        <is>
          <t>6565</t>
        </is>
      </c>
      <c r="J160" s="65" t="inlineStr">
        <is>
          <t>1273</t>
        </is>
      </c>
      <c r="K160" s="65" t="inlineStr">
        <is>
          <t>N/D</t>
        </is>
      </c>
      <c r="L160" s="127" t="inlineStr">
        <is>
          <t>EREDI SAFARI SPORT - SEVERI GINO DI ARMILLI MARIA TERESA</t>
        </is>
      </c>
      <c r="M160" s="5" t="n">
        <v>12.3</v>
      </c>
      <c r="N160" s="5" t="n"/>
      <c r="O160" s="5">
        <f>+M160+N160</f>
        <v/>
      </c>
      <c r="P160" s="4" t="n"/>
      <c r="Q160" s="87" t="n"/>
      <c r="R160" s="5" t="n">
        <v>19</v>
      </c>
      <c r="S160" s="2" t="n">
        <v>1</v>
      </c>
      <c r="T160" s="3" t="inlineStr">
        <is>
          <t>CA42796IR</t>
        </is>
      </c>
      <c r="U160" s="87" t="n">
        <v>45821</v>
      </c>
      <c r="V160" s="3" t="inlineStr">
        <is>
          <t>14</t>
        </is>
      </c>
      <c r="W160" s="108" t="n">
        <v>45821</v>
      </c>
      <c r="X160" s="4" t="inlineStr">
        <is>
          <t>PHILIPPOS COSTANTINIDES TRADING CO. LTD</t>
        </is>
      </c>
    </row>
    <row r="161" ht="24" customHeight="1">
      <c r="A161" s="2">
        <f>+D161-S161</f>
        <v/>
      </c>
      <c r="B161" s="80" t="n"/>
      <c r="C161" s="70" t="n">
        <v>45436</v>
      </c>
      <c r="D161" s="2" t="n">
        <v>1</v>
      </c>
      <c r="E161" s="3" t="inlineStr">
        <is>
          <t>FUCILE DOPPIETTA</t>
        </is>
      </c>
      <c r="F161" s="3" t="n">
        <v>12</v>
      </c>
      <c r="G161" s="3" t="inlineStr">
        <is>
          <t>BOSTON</t>
        </is>
      </c>
      <c r="H161" s="65" t="inlineStr">
        <is>
          <t>DAMASCATA</t>
        </is>
      </c>
      <c r="I161" s="65" t="inlineStr">
        <is>
          <t>D331</t>
        </is>
      </c>
      <c r="J161" s="65" t="inlineStr">
        <is>
          <t>D331</t>
        </is>
      </c>
      <c r="K161" s="65" t="inlineStr">
        <is>
          <t>N/D</t>
        </is>
      </c>
      <c r="L161" s="127" t="inlineStr">
        <is>
          <t>EREDI SAFARI SPORT - SEVERI GINO DI ARMILLI MARIA TERESA</t>
        </is>
      </c>
      <c r="M161" s="5" t="n">
        <v>12.3</v>
      </c>
      <c r="N161" s="5" t="n"/>
      <c r="O161" s="5">
        <f>+M161+N161</f>
        <v/>
      </c>
      <c r="P161" s="4" t="n"/>
      <c r="Q161" s="87" t="n"/>
      <c r="R161" s="5" t="n">
        <v>19</v>
      </c>
      <c r="S161" s="2" t="n">
        <v>1</v>
      </c>
      <c r="T161" s="3" t="inlineStr">
        <is>
          <t>CA42796IR</t>
        </is>
      </c>
      <c r="U161" s="87" t="n">
        <v>45821</v>
      </c>
      <c r="V161" s="3" t="inlineStr">
        <is>
          <t>15</t>
        </is>
      </c>
      <c r="W161" s="108" t="n">
        <v>45821</v>
      </c>
      <c r="X161" s="4" t="inlineStr">
        <is>
          <t>PHILIPPOS COSTANTINIDES TRADING CO. LTD</t>
        </is>
      </c>
    </row>
    <row r="162" ht="24" customHeight="1">
      <c r="A162" s="2">
        <f>+D162-S162</f>
        <v/>
      </c>
      <c r="B162" s="80" t="n"/>
      <c r="C162" s="70" t="n">
        <v>45436</v>
      </c>
      <c r="D162" s="2" t="n">
        <v>1</v>
      </c>
      <c r="E162" s="3" t="inlineStr">
        <is>
          <t>CARABINA AD ARIA COMPRESSA</t>
        </is>
      </c>
      <c r="F162" s="3" t="n">
        <v>4.5</v>
      </c>
      <c r="G162" s="3" t="inlineStr">
        <is>
          <t>DIANA</t>
        </is>
      </c>
      <c r="H162" s="65" t="n">
        <v>38</v>
      </c>
      <c r="I162" s="65" t="inlineStr">
        <is>
          <t>030637</t>
        </is>
      </c>
      <c r="J162" s="65" t="inlineStr">
        <is>
          <t>N/D</t>
        </is>
      </c>
      <c r="K162" s="65" t="inlineStr">
        <is>
          <t>N/D</t>
        </is>
      </c>
      <c r="L162" s="127" t="inlineStr">
        <is>
          <t>EREDI SAFARI SPORT - SEVERI GINO DI ARMILLI MARIA TERESA</t>
        </is>
      </c>
      <c r="M162" s="5" t="n">
        <v>12.3</v>
      </c>
      <c r="N162" s="5" t="n"/>
      <c r="O162" s="5">
        <f>+M162+N162</f>
        <v/>
      </c>
      <c r="P162" s="4" t="n"/>
      <c r="Q162" s="87" t="n"/>
      <c r="R162" s="5" t="n">
        <v>19</v>
      </c>
      <c r="S162" s="2" t="n">
        <v>1</v>
      </c>
      <c r="T162" s="3" t="inlineStr">
        <is>
          <t>CA42796IR</t>
        </is>
      </c>
      <c r="U162" s="87" t="n">
        <v>45821</v>
      </c>
      <c r="V162" s="3" t="inlineStr">
        <is>
          <t>16</t>
        </is>
      </c>
      <c r="W162" s="108" t="n">
        <v>45821</v>
      </c>
      <c r="X162" s="4" t="inlineStr">
        <is>
          <t>PHILIPPOS COSTANTINIDES TRADING CO. LTD</t>
        </is>
      </c>
    </row>
    <row r="163" ht="24" customHeight="1">
      <c r="A163" s="2">
        <f>+D163-S163</f>
        <v/>
      </c>
      <c r="B163" s="80" t="n"/>
      <c r="C163" s="70" t="n">
        <v>45436</v>
      </c>
      <c r="D163" s="2" t="n">
        <v>1</v>
      </c>
      <c r="E163" s="3" t="inlineStr">
        <is>
          <t>CARABINA AD ARIA COMPRESSA</t>
        </is>
      </c>
      <c r="F163" s="3" t="n">
        <v>4.5</v>
      </c>
      <c r="G163" s="3" t="inlineStr">
        <is>
          <t>BSF</t>
        </is>
      </c>
      <c r="H163" s="65" t="n">
        <v>274</v>
      </c>
      <c r="I163" s="65" t="inlineStr">
        <is>
          <t>A2406</t>
        </is>
      </c>
      <c r="J163" s="65" t="inlineStr">
        <is>
          <t>N/D</t>
        </is>
      </c>
      <c r="K163" s="65" t="inlineStr">
        <is>
          <t>N/D</t>
        </is>
      </c>
      <c r="L163" s="127" t="inlineStr">
        <is>
          <t>EREDI SAFARI SPORT - SEVERI GINO DI ARMILLI MARIA TERESA</t>
        </is>
      </c>
      <c r="M163" s="5" t="n">
        <v>12.3</v>
      </c>
      <c r="N163" s="5" t="n"/>
      <c r="O163" s="5">
        <f>+M163+N163</f>
        <v/>
      </c>
      <c r="P163" s="4" t="n"/>
      <c r="Q163" s="87" t="n"/>
      <c r="R163" s="5" t="n">
        <v>19</v>
      </c>
      <c r="S163" s="2" t="n">
        <v>1</v>
      </c>
      <c r="T163" s="3" t="inlineStr">
        <is>
          <t>CA42796IR</t>
        </is>
      </c>
      <c r="U163" s="87" t="n">
        <v>45821</v>
      </c>
      <c r="V163" s="3" t="inlineStr">
        <is>
          <t>16</t>
        </is>
      </c>
      <c r="W163" s="108" t="n">
        <v>45821</v>
      </c>
      <c r="X163" s="4" t="inlineStr">
        <is>
          <t>PHILIPPOS COSTANTINIDES TRADING CO. LTD</t>
        </is>
      </c>
    </row>
    <row r="164" ht="24" customHeight="1">
      <c r="A164" s="2">
        <f>+D164-S164</f>
        <v/>
      </c>
      <c r="B164" s="80" t="n"/>
      <c r="C164" s="70" t="n">
        <v>45436</v>
      </c>
      <c r="D164" s="2" t="n">
        <v>1</v>
      </c>
      <c r="E164" s="3" t="inlineStr">
        <is>
          <t>CARABINA AD ARIA COMPRESSA</t>
        </is>
      </c>
      <c r="F164" s="3" t="n">
        <v>4.5</v>
      </c>
      <c r="G164" s="3" t="inlineStr">
        <is>
          <t>DIANA</t>
        </is>
      </c>
      <c r="H164" s="65" t="n">
        <v>25</v>
      </c>
      <c r="I164" s="65" t="inlineStr">
        <is>
          <t>110029</t>
        </is>
      </c>
      <c r="J164" s="65" t="inlineStr">
        <is>
          <t>N/D</t>
        </is>
      </c>
      <c r="K164" s="65" t="inlineStr">
        <is>
          <t>N/D</t>
        </is>
      </c>
      <c r="L164" s="127" t="inlineStr">
        <is>
          <t>EREDI SAFARI SPORT - SEVERI GINO DI ARMILLI MARIA TERESA</t>
        </is>
      </c>
      <c r="M164" s="5" t="n">
        <v>12.3</v>
      </c>
      <c r="N164" s="5" t="n"/>
      <c r="O164" s="5">
        <f>+M164+N164</f>
        <v/>
      </c>
      <c r="P164" s="4" t="n"/>
      <c r="Q164" s="87" t="n"/>
      <c r="R164" s="5" t="n">
        <v>19</v>
      </c>
      <c r="S164" s="2" t="n">
        <v>1</v>
      </c>
      <c r="T164" s="3" t="inlineStr">
        <is>
          <t>CA42796IR</t>
        </is>
      </c>
      <c r="U164" s="87" t="n">
        <v>45821</v>
      </c>
      <c r="V164" s="3" t="inlineStr">
        <is>
          <t>16</t>
        </is>
      </c>
      <c r="W164" s="108" t="n">
        <v>45821</v>
      </c>
      <c r="X164" s="4" t="inlineStr">
        <is>
          <t>PHILIPPOS COSTANTINIDES TRADING CO. LTD</t>
        </is>
      </c>
    </row>
    <row r="165" ht="24" customHeight="1">
      <c r="A165" s="2">
        <f>+D165-S165</f>
        <v/>
      </c>
      <c r="B165" s="80" t="n"/>
      <c r="C165" s="70" t="n">
        <v>45436</v>
      </c>
      <c r="D165" s="2" t="n">
        <v>1</v>
      </c>
      <c r="E165" s="3" t="inlineStr">
        <is>
          <t>CARABINA AD ARIA COMPRESSA</t>
        </is>
      </c>
      <c r="F165" s="3" t="n">
        <v>4.5</v>
      </c>
      <c r="G165" s="3" t="inlineStr">
        <is>
          <t>SLAVIA</t>
        </is>
      </c>
      <c r="H165" s="65" t="inlineStr">
        <is>
          <t>N/D</t>
        </is>
      </c>
      <c r="I165" s="65" t="n">
        <v>154155</v>
      </c>
      <c r="J165" s="65" t="inlineStr">
        <is>
          <t>N/D</t>
        </is>
      </c>
      <c r="K165" s="65" t="inlineStr">
        <is>
          <t>N/D</t>
        </is>
      </c>
      <c r="L165" s="127" t="inlineStr">
        <is>
          <t>EREDI SAFARI SPORT - SEVERI GINO DI ARMILLI MARIA TERESA</t>
        </is>
      </c>
      <c r="M165" s="5" t="n">
        <v>12.3</v>
      </c>
      <c r="N165" s="5" t="n"/>
      <c r="O165" s="5">
        <f>+M165+N165</f>
        <v/>
      </c>
      <c r="P165" s="4" t="n"/>
      <c r="Q165" s="87" t="n"/>
      <c r="R165" s="5" t="n">
        <v>19</v>
      </c>
      <c r="S165" s="2" t="n">
        <v>1</v>
      </c>
      <c r="T165" s="3" t="inlineStr">
        <is>
          <t>CA42796IR</t>
        </is>
      </c>
      <c r="U165" s="87" t="n">
        <v>45821</v>
      </c>
      <c r="V165" s="3" t="inlineStr">
        <is>
          <t>16</t>
        </is>
      </c>
      <c r="W165" s="108" t="n">
        <v>45821</v>
      </c>
      <c r="X165" s="4" t="inlineStr">
        <is>
          <t>PHILIPPOS COSTANTINIDES TRADING CO. LTD</t>
        </is>
      </c>
    </row>
    <row r="166" ht="24" customHeight="1">
      <c r="A166" s="2">
        <f>+D166-S166</f>
        <v/>
      </c>
      <c r="B166" s="80" t="n"/>
      <c r="C166" s="70" t="n">
        <v>45436</v>
      </c>
      <c r="D166" s="2" t="n">
        <v>1</v>
      </c>
      <c r="E166" s="3" t="inlineStr">
        <is>
          <t>CARABINA AD ARIA COMPRESSA</t>
        </is>
      </c>
      <c r="F166" s="3" t="n">
        <v>4.5</v>
      </c>
      <c r="G166" s="3" t="inlineStr">
        <is>
          <t>DIANA</t>
        </is>
      </c>
      <c r="H166" s="65" t="n">
        <v>27</v>
      </c>
      <c r="I166" s="65" t="inlineStr">
        <is>
          <t>038323</t>
        </is>
      </c>
      <c r="J166" s="65" t="inlineStr">
        <is>
          <t>N/D</t>
        </is>
      </c>
      <c r="K166" s="65" t="inlineStr">
        <is>
          <t>N/D</t>
        </is>
      </c>
      <c r="L166" s="127" t="inlineStr">
        <is>
          <t>EREDI SAFARI SPORT - SEVERI GINO DI ARMILLI MARIA TERESA</t>
        </is>
      </c>
      <c r="M166" s="5" t="n">
        <v>12.3</v>
      </c>
      <c r="N166" s="5" t="n"/>
      <c r="O166" s="5">
        <f>+M166+N166</f>
        <v/>
      </c>
      <c r="P166" s="4" t="n"/>
      <c r="Q166" s="87" t="n"/>
      <c r="R166" s="5" t="n">
        <v>19</v>
      </c>
      <c r="S166" s="2" t="n">
        <v>1</v>
      </c>
      <c r="T166" s="3" t="inlineStr">
        <is>
          <t>CA42796IR</t>
        </is>
      </c>
      <c r="U166" s="87" t="n">
        <v>45821</v>
      </c>
      <c r="V166" s="3" t="inlineStr">
        <is>
          <t>16</t>
        </is>
      </c>
      <c r="W166" s="108" t="n">
        <v>45821</v>
      </c>
      <c r="X166" s="4" t="inlineStr">
        <is>
          <t>PHILIPPOS COSTANTINIDES TRADING CO. LTD</t>
        </is>
      </c>
    </row>
    <row r="167" ht="24" customHeight="1">
      <c r="A167" s="2">
        <f>+D167-S167</f>
        <v/>
      </c>
      <c r="B167" s="80" t="n"/>
      <c r="C167" s="70" t="n">
        <v>45436</v>
      </c>
      <c r="D167" s="2" t="n">
        <v>1</v>
      </c>
      <c r="E167" s="3" t="inlineStr">
        <is>
          <t>CARABINA AD ARIA COMPRESSA</t>
        </is>
      </c>
      <c r="F167" s="3" t="n">
        <v>4.5</v>
      </c>
      <c r="G167" s="3" t="inlineStr">
        <is>
          <t>DIANA</t>
        </is>
      </c>
      <c r="H167" s="65" t="n">
        <v>27</v>
      </c>
      <c r="I167" s="65" t="n">
        <v>100470</v>
      </c>
      <c r="J167" s="65" t="inlineStr">
        <is>
          <t>N/D</t>
        </is>
      </c>
      <c r="K167" s="65" t="inlineStr">
        <is>
          <t>N/D</t>
        </is>
      </c>
      <c r="L167" s="127" t="inlineStr">
        <is>
          <t>EREDI SAFARI SPORT - SEVERI GINO DI ARMILLI MARIA TERESA</t>
        </is>
      </c>
      <c r="M167" s="5" t="n">
        <v>12.3</v>
      </c>
      <c r="N167" s="5" t="n"/>
      <c r="O167" s="5">
        <f>+M167+N167</f>
        <v/>
      </c>
      <c r="P167" s="4" t="n"/>
      <c r="Q167" s="87" t="n"/>
      <c r="R167" s="5" t="n">
        <v>19</v>
      </c>
      <c r="S167" s="2" t="n">
        <v>1</v>
      </c>
      <c r="T167" s="3" t="inlineStr">
        <is>
          <t>CA42796IR</t>
        </is>
      </c>
      <c r="U167" s="87" t="n">
        <v>45821</v>
      </c>
      <c r="V167" s="3" t="inlineStr">
        <is>
          <t>16</t>
        </is>
      </c>
      <c r="W167" s="108" t="n">
        <v>45821</v>
      </c>
      <c r="X167" s="4" t="inlineStr">
        <is>
          <t>PHILIPPOS COSTANTINIDES TRADING CO. LTD</t>
        </is>
      </c>
    </row>
    <row r="168" ht="24" customHeight="1">
      <c r="A168" s="2">
        <f>+D168-S168</f>
        <v/>
      </c>
      <c r="B168" s="80" t="n"/>
      <c r="C168" s="70" t="n">
        <v>45436</v>
      </c>
      <c r="D168" s="2" t="n">
        <v>1</v>
      </c>
      <c r="E168" s="3" t="inlineStr">
        <is>
          <t>CARABINA AD ARIA COMPRESSA</t>
        </is>
      </c>
      <c r="F168" s="3" t="n">
        <v>4.5</v>
      </c>
      <c r="G168" s="3" t="inlineStr">
        <is>
          <t>DIANA</t>
        </is>
      </c>
      <c r="H168" s="65" t="n">
        <v>27</v>
      </c>
      <c r="I168" s="65" t="n">
        <v>2957</v>
      </c>
      <c r="J168" s="65" t="inlineStr">
        <is>
          <t>N/D</t>
        </is>
      </c>
      <c r="K168" s="65" t="inlineStr">
        <is>
          <t>N/D</t>
        </is>
      </c>
      <c r="L168" s="127" t="inlineStr">
        <is>
          <t>EREDI SAFARI SPORT - SEVERI GINO DI ARMILLI MARIA TERESA</t>
        </is>
      </c>
      <c r="M168" s="5" t="n">
        <v>12.3</v>
      </c>
      <c r="N168" s="5" t="n"/>
      <c r="O168" s="5">
        <f>+M168+N168</f>
        <v/>
      </c>
      <c r="P168" s="4" t="n"/>
      <c r="Q168" s="87" t="n"/>
      <c r="R168" s="5" t="n">
        <v>19</v>
      </c>
      <c r="S168" s="2" t="n">
        <v>1</v>
      </c>
      <c r="T168" s="3" t="inlineStr">
        <is>
          <t>CA42796IR</t>
        </is>
      </c>
      <c r="U168" s="87" t="n">
        <v>45821</v>
      </c>
      <c r="V168" s="3" t="inlineStr">
        <is>
          <t>16</t>
        </is>
      </c>
      <c r="W168" s="108" t="n">
        <v>45821</v>
      </c>
      <c r="X168" s="4" t="inlineStr">
        <is>
          <t>PHILIPPOS COSTANTINIDES TRADING CO. LTD</t>
        </is>
      </c>
    </row>
    <row r="169" ht="24" customHeight="1">
      <c r="A169" s="2">
        <f>+D169-S169</f>
        <v/>
      </c>
      <c r="B169" s="80" t="n"/>
      <c r="C169" s="70" t="n">
        <v>45436</v>
      </c>
      <c r="D169" s="2" t="n">
        <v>1</v>
      </c>
      <c r="E169" s="3" t="inlineStr">
        <is>
          <t>CARABINA AD ARIA COMPRESSA</t>
        </is>
      </c>
      <c r="F169" s="3" t="n">
        <v>4.5</v>
      </c>
      <c r="G169" s="3" t="inlineStr">
        <is>
          <t>DIANA</t>
        </is>
      </c>
      <c r="H169" s="65" t="n">
        <v>35</v>
      </c>
      <c r="I169" s="65" t="n">
        <v>113220</v>
      </c>
      <c r="J169" s="65" t="inlineStr">
        <is>
          <t>N/D</t>
        </is>
      </c>
      <c r="K169" s="65" t="inlineStr">
        <is>
          <t>N/D</t>
        </is>
      </c>
      <c r="L169" s="127" t="inlineStr">
        <is>
          <t>EREDI SAFARI SPORT - SEVERI GINO DI ARMILLI MARIA TERESA</t>
        </is>
      </c>
      <c r="M169" s="5" t="n">
        <v>12.3</v>
      </c>
      <c r="N169" s="5" t="n"/>
      <c r="O169" s="5">
        <f>+M169+N169</f>
        <v/>
      </c>
      <c r="P169" s="4" t="n"/>
      <c r="Q169" s="87" t="n"/>
      <c r="R169" s="5" t="n">
        <v>19</v>
      </c>
      <c r="S169" s="2" t="n">
        <v>1</v>
      </c>
      <c r="T169" s="3" t="inlineStr">
        <is>
          <t>CA42796IR</t>
        </is>
      </c>
      <c r="U169" s="87" t="n">
        <v>45821</v>
      </c>
      <c r="V169" s="3" t="inlineStr">
        <is>
          <t>16</t>
        </is>
      </c>
      <c r="W169" s="108" t="n">
        <v>45821</v>
      </c>
      <c r="X169" s="4" t="inlineStr">
        <is>
          <t>PHILIPPOS COSTANTINIDES TRADING CO. LTD</t>
        </is>
      </c>
    </row>
    <row r="170" ht="24" customHeight="1">
      <c r="A170" s="2">
        <f>+D170-S170</f>
        <v/>
      </c>
      <c r="B170" s="80" t="n"/>
      <c r="C170" s="70" t="n">
        <v>45436</v>
      </c>
      <c r="D170" s="2" t="n">
        <v>1</v>
      </c>
      <c r="E170" s="3" t="inlineStr">
        <is>
          <t>CARABINA AD ARIA COMPRESSA</t>
        </is>
      </c>
      <c r="F170" s="3" t="n">
        <v>4.5</v>
      </c>
      <c r="G170" s="3" t="inlineStr">
        <is>
          <t>DIANA</t>
        </is>
      </c>
      <c r="H170" s="65" t="n">
        <v>500</v>
      </c>
      <c r="I170" s="65" t="n">
        <v>306151</v>
      </c>
      <c r="J170" s="65" t="inlineStr">
        <is>
          <t>N/D</t>
        </is>
      </c>
      <c r="K170" s="65" t="inlineStr">
        <is>
          <t>N/D</t>
        </is>
      </c>
      <c r="L170" s="127" t="inlineStr">
        <is>
          <t>EREDI SAFARI SPORT - SEVERI GINO DI ARMILLI MARIA TERESA</t>
        </is>
      </c>
      <c r="M170" s="5" t="n">
        <v>12.3</v>
      </c>
      <c r="N170" s="5" t="n"/>
      <c r="O170" s="5">
        <f>+M170+N170</f>
        <v/>
      </c>
      <c r="P170" s="4" t="n"/>
      <c r="Q170" s="87" t="n"/>
      <c r="R170" s="5" t="n">
        <v>19</v>
      </c>
      <c r="S170" s="2" t="n">
        <v>1</v>
      </c>
      <c r="T170" s="3" t="inlineStr">
        <is>
          <t>CA42796IR</t>
        </is>
      </c>
      <c r="U170" s="87" t="n">
        <v>45821</v>
      </c>
      <c r="V170" s="3" t="inlineStr">
        <is>
          <t>16</t>
        </is>
      </c>
      <c r="W170" s="108" t="n">
        <v>45821</v>
      </c>
      <c r="X170" s="4" t="inlineStr">
        <is>
          <t>PHILIPPOS COSTANTINIDES TRADING CO. LTD</t>
        </is>
      </c>
    </row>
    <row r="171" ht="24" customHeight="1">
      <c r="A171" s="2">
        <f>+D171-S171</f>
        <v/>
      </c>
      <c r="B171" s="80" t="n"/>
      <c r="C171" s="70" t="n">
        <v>45436</v>
      </c>
      <c r="D171" s="2" t="n">
        <v>1</v>
      </c>
      <c r="E171" s="3" t="inlineStr">
        <is>
          <t>CARABINA AD ARIA COMPRESSA</t>
        </is>
      </c>
      <c r="F171" s="3" t="n">
        <v>4.5</v>
      </c>
      <c r="G171" s="3" t="inlineStr">
        <is>
          <t>MAUSER</t>
        </is>
      </c>
      <c r="H171" s="65" t="inlineStr">
        <is>
          <t>300 SL</t>
        </is>
      </c>
      <c r="I171" s="65" t="n">
        <v>36562</v>
      </c>
      <c r="J171" s="65" t="inlineStr">
        <is>
          <t>N/D</t>
        </is>
      </c>
      <c r="K171" s="65" t="inlineStr">
        <is>
          <t>N/D</t>
        </is>
      </c>
      <c r="L171" s="127" t="inlineStr">
        <is>
          <t>EREDI SAFARI SPORT - SEVERI GINO DI ARMILLI MARIA TERESA</t>
        </is>
      </c>
      <c r="M171" s="5" t="n">
        <v>12.3</v>
      </c>
      <c r="N171" s="5" t="n"/>
      <c r="O171" s="5">
        <f>+M171+N171</f>
        <v/>
      </c>
      <c r="P171" s="4" t="n"/>
      <c r="Q171" s="87" t="n"/>
      <c r="R171" s="5" t="n">
        <v>19</v>
      </c>
      <c r="S171" s="2" t="n">
        <v>1</v>
      </c>
      <c r="T171" s="3" t="inlineStr">
        <is>
          <t>CA42796IR</t>
        </is>
      </c>
      <c r="U171" s="87" t="n">
        <v>45821</v>
      </c>
      <c r="V171" s="3" t="inlineStr">
        <is>
          <t>16</t>
        </is>
      </c>
      <c r="W171" s="108" t="n">
        <v>45821</v>
      </c>
      <c r="X171" s="4" t="inlineStr">
        <is>
          <t>PHILIPPOS COSTANTINIDES TRADING CO. LTD</t>
        </is>
      </c>
    </row>
    <row r="172" ht="24" customHeight="1">
      <c r="A172" s="2">
        <f>+D172-S172</f>
        <v/>
      </c>
      <c r="B172" s="80" t="n"/>
      <c r="C172" s="70" t="n">
        <v>45436</v>
      </c>
      <c r="D172" s="2" t="n">
        <v>1</v>
      </c>
      <c r="E172" s="3" t="inlineStr">
        <is>
          <t>CARABINA AD ARIA COMPRESSA</t>
        </is>
      </c>
      <c r="F172" s="3" t="n">
        <v>4.5</v>
      </c>
      <c r="G172" s="3" t="inlineStr">
        <is>
          <t>BREMA</t>
        </is>
      </c>
      <c r="H172" s="65" t="n">
        <v>35</v>
      </c>
      <c r="I172" s="65" t="n">
        <v>98</v>
      </c>
      <c r="J172" s="65" t="inlineStr">
        <is>
          <t>N/D</t>
        </is>
      </c>
      <c r="K172" s="65" t="inlineStr">
        <is>
          <t>N/D</t>
        </is>
      </c>
      <c r="L172" s="127" t="inlineStr">
        <is>
          <t>EREDI SAFARI SPORT - SEVERI GINO DI ARMILLI MARIA TERESA</t>
        </is>
      </c>
      <c r="M172" s="5" t="n">
        <v>12.3</v>
      </c>
      <c r="N172" s="5" t="n"/>
      <c r="O172" s="5">
        <f>+M172+N172</f>
        <v/>
      </c>
      <c r="P172" s="4" t="n"/>
      <c r="Q172" s="87" t="n"/>
      <c r="R172" s="5" t="n">
        <v>19</v>
      </c>
      <c r="S172" s="2" t="n">
        <v>1</v>
      </c>
      <c r="T172" s="3" t="inlineStr">
        <is>
          <t>CA42796IR</t>
        </is>
      </c>
      <c r="U172" s="87" t="n">
        <v>45821</v>
      </c>
      <c r="V172" s="3" t="inlineStr">
        <is>
          <t>16</t>
        </is>
      </c>
      <c r="W172" s="108" t="n">
        <v>45821</v>
      </c>
      <c r="X172" s="4" t="inlineStr">
        <is>
          <t>PHILIPPOS COSTANTINIDES TRADING CO. LTD</t>
        </is>
      </c>
    </row>
    <row r="173" ht="24" customHeight="1">
      <c r="A173" s="2">
        <f>+D173-S173</f>
        <v/>
      </c>
      <c r="B173" s="80" t="n"/>
      <c r="C173" s="70" t="n">
        <v>45436</v>
      </c>
      <c r="D173" s="2" t="n">
        <v>1</v>
      </c>
      <c r="E173" s="3" t="inlineStr">
        <is>
          <t>CARABINA</t>
        </is>
      </c>
      <c r="F173" s="3" t="inlineStr">
        <is>
          <t>22 LR</t>
        </is>
      </c>
      <c r="G173" s="3" t="inlineStr">
        <is>
          <t>BAYARD</t>
        </is>
      </c>
      <c r="H173" s="65" t="inlineStr">
        <is>
          <t>N/D</t>
        </is>
      </c>
      <c r="I173" s="65" t="inlineStr">
        <is>
          <t>106143</t>
        </is>
      </c>
      <c r="J173" s="65" t="inlineStr">
        <is>
          <t>N/D</t>
        </is>
      </c>
      <c r="K173" s="65" t="inlineStr">
        <is>
          <t>N/D</t>
        </is>
      </c>
      <c r="L173" s="127" t="inlineStr">
        <is>
          <t>EREDI SAFARI SPORT - SEVERI GINO DI ARMILLI MARIA TERESA</t>
        </is>
      </c>
      <c r="M173" s="5" t="n">
        <v>12.3</v>
      </c>
      <c r="N173" s="5" t="n"/>
      <c r="O173" s="5">
        <f>+M173+N173</f>
        <v/>
      </c>
      <c r="P173" s="4" t="n"/>
      <c r="Q173" s="87" t="n"/>
      <c r="R173" s="5" t="n"/>
      <c r="S173" s="2" t="n"/>
      <c r="T173" s="3" t="n"/>
      <c r="U173" s="87" t="n"/>
      <c r="V173" s="3" t="n"/>
      <c r="W173" s="108" t="n"/>
      <c r="X173" s="4" t="n"/>
    </row>
    <row r="174" ht="24" customHeight="1">
      <c r="A174" s="2">
        <f>+D174-S174</f>
        <v/>
      </c>
      <c r="B174" s="80" t="n"/>
      <c r="C174" s="70" t="n">
        <v>45436</v>
      </c>
      <c r="D174" s="2" t="n">
        <v>1</v>
      </c>
      <c r="E174" s="3" t="inlineStr">
        <is>
          <t>CARABINA AD ARIA COMPRESSA</t>
        </is>
      </c>
      <c r="F174" s="3" t="n">
        <v>4.5</v>
      </c>
      <c r="G174" s="3" t="inlineStr">
        <is>
          <t>DIANA</t>
        </is>
      </c>
      <c r="H174" s="65" t="n">
        <v>35</v>
      </c>
      <c r="I174" s="65" t="inlineStr">
        <is>
          <t>067610</t>
        </is>
      </c>
      <c r="J174" s="65" t="inlineStr">
        <is>
          <t>N/D</t>
        </is>
      </c>
      <c r="K174" s="65" t="inlineStr">
        <is>
          <t>N/D</t>
        </is>
      </c>
      <c r="L174" s="127" t="inlineStr">
        <is>
          <t>EREDI SAFARI SPORT - SEVERI GINO DI ARMILLI MARIA TERESA</t>
        </is>
      </c>
      <c r="M174" s="5" t="n">
        <v>12.3</v>
      </c>
      <c r="N174" s="5" t="n"/>
      <c r="O174" s="5">
        <f>+M174+N174</f>
        <v/>
      </c>
      <c r="P174" s="4" t="n"/>
      <c r="Q174" s="87" t="n"/>
      <c r="R174" s="5" t="n">
        <v>19</v>
      </c>
      <c r="S174" s="2" t="n">
        <v>1</v>
      </c>
      <c r="T174" s="3" t="inlineStr">
        <is>
          <t>CA42796IR</t>
        </is>
      </c>
      <c r="U174" s="87" t="n">
        <v>45821</v>
      </c>
      <c r="V174" s="3" t="inlineStr">
        <is>
          <t>16</t>
        </is>
      </c>
      <c r="W174" s="108" t="n">
        <v>45821</v>
      </c>
      <c r="X174" s="4" t="inlineStr">
        <is>
          <t>PHILIPPOS COSTANTINIDES TRADING CO. LTD</t>
        </is>
      </c>
    </row>
    <row r="175" ht="24" customHeight="1">
      <c r="A175" s="2">
        <f>+D175-S175</f>
        <v/>
      </c>
      <c r="B175" s="80" t="n"/>
      <c r="C175" s="70" t="n">
        <v>45436</v>
      </c>
      <c r="D175" s="2" t="n">
        <v>1</v>
      </c>
      <c r="E175" s="3" t="inlineStr">
        <is>
          <t>CARABINA AD ARIA COMPRESSA</t>
        </is>
      </c>
      <c r="F175" s="3" t="n">
        <v>4.5</v>
      </c>
      <c r="G175" s="3" t="inlineStr">
        <is>
          <t>FRANCHI</t>
        </is>
      </c>
      <c r="H175" s="65" t="inlineStr">
        <is>
          <t>SUPER CENTER</t>
        </is>
      </c>
      <c r="I175" s="65" t="inlineStr">
        <is>
          <t>CC17492</t>
        </is>
      </c>
      <c r="J175" s="65" t="inlineStr">
        <is>
          <t>N/D</t>
        </is>
      </c>
      <c r="K175" s="65" t="inlineStr">
        <is>
          <t>N/D</t>
        </is>
      </c>
      <c r="L175" s="127" t="inlineStr">
        <is>
          <t>EREDI SAFARI SPORT - SEVERI GINO DI ARMILLI MARIA TERESA</t>
        </is>
      </c>
      <c r="M175" s="5" t="n">
        <v>12.3</v>
      </c>
      <c r="N175" s="5" t="n"/>
      <c r="O175" s="5">
        <f>+M175+N175</f>
        <v/>
      </c>
      <c r="P175" s="4" t="n"/>
      <c r="Q175" s="87" t="n"/>
      <c r="R175" s="5" t="n">
        <v>19</v>
      </c>
      <c r="S175" s="2" t="n">
        <v>1</v>
      </c>
      <c r="T175" s="3" t="inlineStr">
        <is>
          <t>CA42796IR</t>
        </is>
      </c>
      <c r="U175" s="87" t="n">
        <v>45821</v>
      </c>
      <c r="V175" s="3" t="inlineStr">
        <is>
          <t>16</t>
        </is>
      </c>
      <c r="W175" s="108" t="n">
        <v>45821</v>
      </c>
      <c r="X175" s="4" t="inlineStr">
        <is>
          <t>PHILIPPOS COSTANTINIDES TRADING CO. LTD</t>
        </is>
      </c>
    </row>
    <row r="176" ht="24" customHeight="1">
      <c r="A176" s="2">
        <f>+D176-S176</f>
        <v/>
      </c>
      <c r="B176" s="80" t="n"/>
      <c r="C176" s="70" t="n">
        <v>45436</v>
      </c>
      <c r="D176" s="2" t="n">
        <v>1</v>
      </c>
      <c r="E176" s="3" t="inlineStr">
        <is>
          <t>CARABINA AD ARIA COMPRESSA</t>
        </is>
      </c>
      <c r="F176" s="3" t="inlineStr">
        <is>
          <t>5</t>
        </is>
      </c>
      <c r="G176" s="3" t="inlineStr">
        <is>
          <t>SHERIDAN</t>
        </is>
      </c>
      <c r="H176" s="65" t="inlineStr">
        <is>
          <t>CARABINA</t>
        </is>
      </c>
      <c r="I176" s="65" t="n">
        <v>396708905</v>
      </c>
      <c r="J176" s="65" t="inlineStr">
        <is>
          <t>N/D</t>
        </is>
      </c>
      <c r="K176" s="65" t="inlineStr">
        <is>
          <t>N/D</t>
        </is>
      </c>
      <c r="L176" s="127" t="inlineStr">
        <is>
          <t>EREDI SAFARI SPORT - SEVERI GINO DI ARMILLI MARIA TERESA</t>
        </is>
      </c>
      <c r="M176" s="5" t="n">
        <v>12.3</v>
      </c>
      <c r="N176" s="5" t="n"/>
      <c r="O176" s="5">
        <f>+M176+N176</f>
        <v/>
      </c>
      <c r="P176" s="4" t="n"/>
      <c r="Q176" s="87" t="n"/>
      <c r="R176" s="5" t="n">
        <v>19</v>
      </c>
      <c r="S176" s="2" t="n">
        <v>1</v>
      </c>
      <c r="T176" s="3" t="inlineStr">
        <is>
          <t>CA42796IR</t>
        </is>
      </c>
      <c r="U176" s="87" t="n">
        <v>45821</v>
      </c>
      <c r="V176" s="3" t="inlineStr">
        <is>
          <t>16</t>
        </is>
      </c>
      <c r="W176" s="108" t="n">
        <v>45821</v>
      </c>
      <c r="X176" s="4" t="inlineStr">
        <is>
          <t>PHILIPPOS COSTANTINIDES TRADING CO. LTD</t>
        </is>
      </c>
    </row>
    <row r="177" ht="24" customHeight="1">
      <c r="A177" s="2">
        <f>+D177-S177</f>
        <v/>
      </c>
      <c r="B177" s="80" t="n"/>
      <c r="C177" s="70" t="n">
        <v>45436</v>
      </c>
      <c r="D177" s="2" t="n">
        <v>1</v>
      </c>
      <c r="E177" s="3" t="inlineStr">
        <is>
          <t>CARABINA AD ARIA COMPRESSA</t>
        </is>
      </c>
      <c r="F177" s="3" t="n">
        <v>4.5</v>
      </c>
      <c r="G177" s="3" t="inlineStr">
        <is>
          <t>MAROCCHI</t>
        </is>
      </c>
      <c r="H177" s="65" t="inlineStr">
        <is>
          <t>COMPETITION</t>
        </is>
      </c>
      <c r="I177" s="65" t="n">
        <v>8407</v>
      </c>
      <c r="J177" s="65" t="inlineStr">
        <is>
          <t>N/D</t>
        </is>
      </c>
      <c r="K177" s="65" t="inlineStr">
        <is>
          <t>N/D</t>
        </is>
      </c>
      <c r="L177" s="127" t="inlineStr">
        <is>
          <t>EREDI SAFARI SPORT - SEVERI GINO DI ARMILLI MARIA TERESA</t>
        </is>
      </c>
      <c r="M177" s="5" t="n">
        <v>12.3</v>
      </c>
      <c r="N177" s="5" t="n"/>
      <c r="O177" s="5">
        <f>+M177+N177</f>
        <v/>
      </c>
      <c r="P177" s="4" t="n"/>
      <c r="Q177" s="87" t="n"/>
      <c r="R177" s="5" t="n">
        <v>19</v>
      </c>
      <c r="S177" s="2" t="n">
        <v>1</v>
      </c>
      <c r="T177" s="3" t="inlineStr">
        <is>
          <t>CA42796IR</t>
        </is>
      </c>
      <c r="U177" s="87" t="n">
        <v>45821</v>
      </c>
      <c r="V177" s="3" t="inlineStr">
        <is>
          <t>16</t>
        </is>
      </c>
      <c r="W177" s="108" t="n">
        <v>45821</v>
      </c>
      <c r="X177" s="4" t="inlineStr">
        <is>
          <t>PHILIPPOS COSTANTINIDES TRADING CO. LTD</t>
        </is>
      </c>
    </row>
    <row r="178" ht="24" customHeight="1">
      <c r="A178" s="2">
        <f>+D178-S178</f>
        <v/>
      </c>
      <c r="B178" s="80" t="n"/>
      <c r="C178" s="70" t="n">
        <v>45436</v>
      </c>
      <c r="D178" s="2" t="n">
        <v>1</v>
      </c>
      <c r="E178" s="3" t="inlineStr">
        <is>
          <t>CARABINA AD ARIA COMPRESSA</t>
        </is>
      </c>
      <c r="F178" s="3" t="n">
        <v>4.5</v>
      </c>
      <c r="G178" s="3" t="inlineStr">
        <is>
          <t>DIANA</t>
        </is>
      </c>
      <c r="H178" s="65" t="n">
        <v>500</v>
      </c>
      <c r="I178" s="65" t="n">
        <v>20527</v>
      </c>
      <c r="J178" s="65" t="inlineStr">
        <is>
          <t>N/D</t>
        </is>
      </c>
      <c r="K178" s="65" t="inlineStr">
        <is>
          <t>N/D</t>
        </is>
      </c>
      <c r="L178" s="127" t="inlineStr">
        <is>
          <t>EREDI SAFARI SPORT - SEVERI GINO DI ARMILLI MARIA TERESA</t>
        </is>
      </c>
      <c r="M178" s="5" t="n">
        <v>12.3</v>
      </c>
      <c r="N178" s="5" t="n"/>
      <c r="O178" s="5">
        <f>+M178+N178</f>
        <v/>
      </c>
      <c r="P178" s="4" t="n"/>
      <c r="Q178" s="87" t="n"/>
      <c r="R178" s="5" t="n">
        <v>19</v>
      </c>
      <c r="S178" s="2" t="n">
        <v>1</v>
      </c>
      <c r="T178" s="3" t="inlineStr">
        <is>
          <t>CA42796IR</t>
        </is>
      </c>
      <c r="U178" s="87" t="n">
        <v>45821</v>
      </c>
      <c r="V178" s="3" t="inlineStr">
        <is>
          <t>16</t>
        </is>
      </c>
      <c r="W178" s="108" t="n">
        <v>45821</v>
      </c>
      <c r="X178" s="4" t="inlineStr">
        <is>
          <t>PHILIPPOS COSTANTINIDES TRADING CO. LTD</t>
        </is>
      </c>
    </row>
    <row r="179" ht="24" customHeight="1">
      <c r="A179" s="2">
        <f>+D179-S179</f>
        <v/>
      </c>
      <c r="B179" s="80" t="n"/>
      <c r="C179" s="70" t="n">
        <v>45436</v>
      </c>
      <c r="D179" s="2" t="n">
        <v>1</v>
      </c>
      <c r="E179" s="3" t="inlineStr">
        <is>
          <t>CARABINA AD ARIA COMPRESSA</t>
        </is>
      </c>
      <c r="F179" s="3" t="n">
        <v>4.5</v>
      </c>
      <c r="G179" s="3" t="inlineStr">
        <is>
          <t>DIANA</t>
        </is>
      </c>
      <c r="H179" s="65" t="n">
        <v>35</v>
      </c>
      <c r="I179" s="65" t="n">
        <v>72317750</v>
      </c>
      <c r="J179" s="65" t="inlineStr">
        <is>
          <t>N/D</t>
        </is>
      </c>
      <c r="K179" s="65" t="inlineStr">
        <is>
          <t>N/D</t>
        </is>
      </c>
      <c r="L179" s="127" t="inlineStr">
        <is>
          <t>EREDI SAFARI SPORT - SEVERI GINO DI ARMILLI MARIA TERESA</t>
        </is>
      </c>
      <c r="M179" s="5" t="n">
        <v>12.3</v>
      </c>
      <c r="N179" s="5" t="n"/>
      <c r="O179" s="5">
        <f>+M179+N179</f>
        <v/>
      </c>
      <c r="P179" s="4" t="n"/>
      <c r="Q179" s="87" t="n"/>
      <c r="R179" s="5" t="n">
        <v>19</v>
      </c>
      <c r="S179" s="2" t="n">
        <v>1</v>
      </c>
      <c r="T179" s="3" t="inlineStr">
        <is>
          <t>CA42796IR</t>
        </is>
      </c>
      <c r="U179" s="87" t="n">
        <v>45821</v>
      </c>
      <c r="V179" s="3" t="inlineStr">
        <is>
          <t>16</t>
        </is>
      </c>
      <c r="W179" s="108" t="n">
        <v>45821</v>
      </c>
      <c r="X179" s="4" t="inlineStr">
        <is>
          <t>PHILIPPOS COSTANTINIDES TRADING CO. LTD</t>
        </is>
      </c>
    </row>
    <row r="180" ht="24" customHeight="1">
      <c r="A180" s="2">
        <f>+D180-S180</f>
        <v/>
      </c>
      <c r="B180" s="80" t="n"/>
      <c r="C180" s="70" t="n">
        <v>45436</v>
      </c>
      <c r="D180" s="2" t="n">
        <v>1</v>
      </c>
      <c r="E180" s="3" t="inlineStr">
        <is>
          <t>CARABINA AD ARIA COMPRESSA</t>
        </is>
      </c>
      <c r="F180" s="3" t="n">
        <v>4.5</v>
      </c>
      <c r="G180" s="3" t="inlineStr">
        <is>
          <t>BREMA</t>
        </is>
      </c>
      <c r="H180" s="65" t="n">
        <v>35</v>
      </c>
      <c r="I180" s="65" t="inlineStr">
        <is>
          <t>21X</t>
        </is>
      </c>
      <c r="J180" s="65" t="inlineStr">
        <is>
          <t>N/D</t>
        </is>
      </c>
      <c r="K180" s="65" t="inlineStr">
        <is>
          <t>N/D</t>
        </is>
      </c>
      <c r="L180" s="127" t="inlineStr">
        <is>
          <t>EREDI SAFARI SPORT - SEVERI GINO DI ARMILLI MARIA TERESA</t>
        </is>
      </c>
      <c r="M180" s="5" t="n">
        <v>12.3</v>
      </c>
      <c r="N180" s="5" t="n"/>
      <c r="O180" s="5">
        <f>+M180+N180</f>
        <v/>
      </c>
      <c r="P180" s="4" t="n"/>
      <c r="Q180" s="87" t="n"/>
      <c r="R180" s="5" t="n">
        <v>19</v>
      </c>
      <c r="S180" s="2" t="n">
        <v>1</v>
      </c>
      <c r="T180" s="3" t="inlineStr">
        <is>
          <t>CA42796IR</t>
        </is>
      </c>
      <c r="U180" s="87" t="n">
        <v>45821</v>
      </c>
      <c r="V180" s="3" t="inlineStr">
        <is>
          <t>16</t>
        </is>
      </c>
      <c r="W180" s="108" t="n">
        <v>45821</v>
      </c>
      <c r="X180" s="4" t="inlineStr">
        <is>
          <t>PHILIPPOS COSTANTINIDES TRADING CO. LTD</t>
        </is>
      </c>
    </row>
    <row r="181" ht="24" customHeight="1">
      <c r="A181" s="2">
        <f>+D181-S181</f>
        <v/>
      </c>
      <c r="B181" s="80" t="n"/>
      <c r="C181" s="70" t="n">
        <v>45436</v>
      </c>
      <c r="D181" s="2" t="n">
        <v>1</v>
      </c>
      <c r="E181" s="3" t="inlineStr">
        <is>
          <t>CARABINA AD ARIA COMPRESSA</t>
        </is>
      </c>
      <c r="F181" s="3" t="n">
        <v>4.5</v>
      </c>
      <c r="G181" s="3" t="inlineStr">
        <is>
          <t>SLAVIA</t>
        </is>
      </c>
      <c r="H181" s="65" t="n">
        <v>620</v>
      </c>
      <c r="I181" s="65" t="n">
        <v>427909</v>
      </c>
      <c r="J181" s="65" t="inlineStr">
        <is>
          <t>N/D</t>
        </is>
      </c>
      <c r="K181" s="65" t="inlineStr">
        <is>
          <t>N/D</t>
        </is>
      </c>
      <c r="L181" s="127" t="inlineStr">
        <is>
          <t>EREDI SAFARI SPORT - SEVERI GINO DI ARMILLI MARIA TERESA</t>
        </is>
      </c>
      <c r="M181" s="5" t="n">
        <v>12.3</v>
      </c>
      <c r="N181" s="5" t="n"/>
      <c r="O181" s="5">
        <f>+M181+N181</f>
        <v/>
      </c>
      <c r="P181" s="4" t="n"/>
      <c r="Q181" s="87" t="n"/>
      <c r="R181" s="5" t="n">
        <v>19</v>
      </c>
      <c r="S181" s="2" t="n">
        <v>1</v>
      </c>
      <c r="T181" s="3" t="inlineStr">
        <is>
          <t>CA42796IR</t>
        </is>
      </c>
      <c r="U181" s="87" t="n">
        <v>45821</v>
      </c>
      <c r="V181" s="3" t="inlineStr">
        <is>
          <t>16</t>
        </is>
      </c>
      <c r="W181" s="108" t="n">
        <v>45821</v>
      </c>
      <c r="X181" s="4" t="inlineStr">
        <is>
          <t>PHILIPPOS COSTANTINIDES TRADING CO. LTD</t>
        </is>
      </c>
    </row>
    <row r="182" ht="24" customHeight="1">
      <c r="A182" s="2">
        <f>+D182-S182</f>
        <v/>
      </c>
      <c r="B182" s="80" t="n"/>
      <c r="C182" s="70" t="n">
        <v>45436</v>
      </c>
      <c r="D182" s="2" t="n">
        <v>1</v>
      </c>
      <c r="E182" s="3" t="inlineStr">
        <is>
          <t>CARABINA AD ARIA COMPRESSA</t>
        </is>
      </c>
      <c r="F182" s="3" t="n">
        <v>4.5</v>
      </c>
      <c r="G182" s="3" t="inlineStr">
        <is>
          <t>DIANA</t>
        </is>
      </c>
      <c r="H182" s="65" t="n">
        <v>27</v>
      </c>
      <c r="I182" s="65" t="n">
        <v>71310263</v>
      </c>
      <c r="J182" s="65" t="inlineStr">
        <is>
          <t>N/D</t>
        </is>
      </c>
      <c r="K182" s="65" t="inlineStr">
        <is>
          <t>N/D</t>
        </is>
      </c>
      <c r="L182" s="127" t="inlineStr">
        <is>
          <t>EREDI SAFARI SPORT - SEVERI GINO DI ARMILLI MARIA TERESA</t>
        </is>
      </c>
      <c r="M182" s="5" t="n">
        <v>12.3</v>
      </c>
      <c r="N182" s="5" t="n"/>
      <c r="O182" s="5">
        <f>+M182+N182</f>
        <v/>
      </c>
      <c r="P182" s="4" t="n"/>
      <c r="Q182" s="87" t="n"/>
      <c r="R182" s="5" t="n">
        <v>19</v>
      </c>
      <c r="S182" s="2" t="n">
        <v>1</v>
      </c>
      <c r="T182" s="3" t="inlineStr">
        <is>
          <t>CA42796IR</t>
        </is>
      </c>
      <c r="U182" s="87" t="n">
        <v>45821</v>
      </c>
      <c r="V182" s="3" t="inlineStr">
        <is>
          <t>16</t>
        </is>
      </c>
      <c r="W182" s="108" t="n">
        <v>45821</v>
      </c>
      <c r="X182" s="4" t="inlineStr">
        <is>
          <t>PHILIPPOS COSTANTINIDES TRADING CO. LTD</t>
        </is>
      </c>
    </row>
    <row r="183" ht="24" customHeight="1">
      <c r="A183" s="2">
        <f>+D183-S183</f>
        <v/>
      </c>
      <c r="B183" s="80" t="n"/>
      <c r="C183" s="70" t="n">
        <v>45436</v>
      </c>
      <c r="D183" s="2" t="n">
        <v>1</v>
      </c>
      <c r="E183" s="3" t="inlineStr">
        <is>
          <t>CARABINA AD ARIA COMPRESSA</t>
        </is>
      </c>
      <c r="F183" s="3" t="n">
        <v>4.5</v>
      </c>
      <c r="G183" s="3" t="inlineStr">
        <is>
          <t>WEIHRAUCH</t>
        </is>
      </c>
      <c r="H183" s="65" t="inlineStr">
        <is>
          <t>HW35</t>
        </is>
      </c>
      <c r="I183" s="65" t="n">
        <v>255250</v>
      </c>
      <c r="J183" s="65" t="inlineStr">
        <is>
          <t>N/D</t>
        </is>
      </c>
      <c r="K183" s="65" t="inlineStr">
        <is>
          <t>N/D</t>
        </is>
      </c>
      <c r="L183" s="127" t="inlineStr">
        <is>
          <t>EREDI SAFARI SPORT - SEVERI GINO DI ARMILLI MARIA TERESA</t>
        </is>
      </c>
      <c r="M183" s="5" t="n">
        <v>12.3</v>
      </c>
      <c r="N183" s="5" t="n"/>
      <c r="O183" s="5">
        <f>+M183+N183</f>
        <v/>
      </c>
      <c r="P183" s="4" t="n"/>
      <c r="Q183" s="87" t="n"/>
      <c r="R183" s="5" t="n">
        <v>19</v>
      </c>
      <c r="S183" s="2" t="n">
        <v>1</v>
      </c>
      <c r="T183" s="3" t="inlineStr">
        <is>
          <t>CA42796IR</t>
        </is>
      </c>
      <c r="U183" s="87" t="n">
        <v>45821</v>
      </c>
      <c r="V183" s="3" t="inlineStr">
        <is>
          <t>16</t>
        </is>
      </c>
      <c r="W183" s="108" t="n">
        <v>45821</v>
      </c>
      <c r="X183" s="4" t="inlineStr">
        <is>
          <t>PHILIPPOS COSTANTINIDES TRADING CO. LTD</t>
        </is>
      </c>
    </row>
    <row r="184" ht="24" customHeight="1">
      <c r="A184" s="2">
        <f>+D184-S184</f>
        <v/>
      </c>
      <c r="B184" s="80" t="n"/>
      <c r="C184" s="70" t="n">
        <v>45436</v>
      </c>
      <c r="D184" s="2" t="n">
        <v>1</v>
      </c>
      <c r="E184" s="3" t="inlineStr">
        <is>
          <t>CARABINA AD ARIA COMPRESSA</t>
        </is>
      </c>
      <c r="F184" s="3" t="n">
        <v>4.5</v>
      </c>
      <c r="G184" s="3" t="inlineStr">
        <is>
          <t>BSA</t>
        </is>
      </c>
      <c r="H184" s="65" t="n"/>
      <c r="I184" s="65" t="inlineStr">
        <is>
          <t>GD33203</t>
        </is>
      </c>
      <c r="J184" s="65" t="inlineStr">
        <is>
          <t>N/D</t>
        </is>
      </c>
      <c r="K184" s="65" t="inlineStr">
        <is>
          <t>N/D</t>
        </is>
      </c>
      <c r="L184" s="127" t="inlineStr">
        <is>
          <t>EREDI SAFARI SPORT - SEVERI GINO DI ARMILLI MARIA TERESA</t>
        </is>
      </c>
      <c r="M184" s="5" t="n">
        <v>12.3</v>
      </c>
      <c r="N184" s="5" t="n"/>
      <c r="O184" s="5">
        <f>+M184+N184</f>
        <v/>
      </c>
      <c r="P184" s="4" t="n"/>
      <c r="Q184" s="87" t="n"/>
      <c r="R184" s="5" t="n">
        <v>19</v>
      </c>
      <c r="S184" s="2" t="n">
        <v>1</v>
      </c>
      <c r="T184" s="3" t="inlineStr">
        <is>
          <t>CA42796IR</t>
        </is>
      </c>
      <c r="U184" s="87" t="n">
        <v>45821</v>
      </c>
      <c r="V184" s="3" t="inlineStr">
        <is>
          <t>16</t>
        </is>
      </c>
      <c r="W184" s="108" t="n">
        <v>45821</v>
      </c>
      <c r="X184" s="4" t="inlineStr">
        <is>
          <t>PHILIPPOS COSTANTINIDES TRADING CO. LTD</t>
        </is>
      </c>
    </row>
    <row r="185" ht="24" customHeight="1">
      <c r="A185" s="2">
        <f>+D185-S185</f>
        <v/>
      </c>
      <c r="B185" s="80" t="n"/>
      <c r="C185" s="70" t="n">
        <v>45436</v>
      </c>
      <c r="D185" s="2" t="n">
        <v>1</v>
      </c>
      <c r="E185" s="3" t="inlineStr">
        <is>
          <t>CARABINA AD ARIA COMPRESSA</t>
        </is>
      </c>
      <c r="F185" s="3" t="n">
        <v>4.5</v>
      </c>
      <c r="G185" s="3" t="inlineStr">
        <is>
          <t>WEIHRAUCH</t>
        </is>
      </c>
      <c r="H185" s="65" t="inlineStr">
        <is>
          <t>HW30</t>
        </is>
      </c>
      <c r="I185" s="65" t="n">
        <v>50865</v>
      </c>
      <c r="J185" s="65" t="inlineStr">
        <is>
          <t>N/D</t>
        </is>
      </c>
      <c r="K185" s="65" t="inlineStr">
        <is>
          <t>N/D</t>
        </is>
      </c>
      <c r="L185" s="127" t="inlineStr">
        <is>
          <t>EREDI SAFARI SPORT - SEVERI GINO DI ARMILLI MARIA TERESA</t>
        </is>
      </c>
      <c r="M185" s="5" t="n">
        <v>12.3</v>
      </c>
      <c r="N185" s="5" t="n"/>
      <c r="O185" s="5">
        <f>+M185+N185</f>
        <v/>
      </c>
      <c r="P185" s="4" t="n"/>
      <c r="Q185" s="87" t="n"/>
      <c r="R185" s="5" t="n">
        <v>19</v>
      </c>
      <c r="S185" s="2" t="n">
        <v>1</v>
      </c>
      <c r="T185" s="3" t="inlineStr">
        <is>
          <t>CA42796IR</t>
        </is>
      </c>
      <c r="U185" s="87" t="n">
        <v>45821</v>
      </c>
      <c r="V185" s="3" t="inlineStr">
        <is>
          <t>16</t>
        </is>
      </c>
      <c r="W185" s="108" t="n">
        <v>45821</v>
      </c>
      <c r="X185" s="4" t="inlineStr">
        <is>
          <t>PHILIPPOS COSTANTINIDES TRADING CO. LTD</t>
        </is>
      </c>
    </row>
    <row r="186" ht="24" customHeight="1">
      <c r="A186" s="2">
        <f>+D186-S186</f>
        <v/>
      </c>
      <c r="B186" s="80" t="n"/>
      <c r="C186" s="70" t="n">
        <v>45436</v>
      </c>
      <c r="D186" s="2" t="n">
        <v>1</v>
      </c>
      <c r="E186" s="3" t="inlineStr">
        <is>
          <t>CARABINA</t>
        </is>
      </c>
      <c r="F186" s="3" t="inlineStr">
        <is>
          <t>22 LR</t>
        </is>
      </c>
      <c r="G186" s="3" t="inlineStr">
        <is>
          <t>MOSSBERG</t>
        </is>
      </c>
      <c r="H186" s="65" t="n"/>
      <c r="I186" s="65" t="n">
        <v>11171</v>
      </c>
      <c r="J186" s="65" t="inlineStr">
        <is>
          <t>N/D</t>
        </is>
      </c>
      <c r="K186" s="65" t="inlineStr">
        <is>
          <t>N/D</t>
        </is>
      </c>
      <c r="L186" s="127" t="inlineStr">
        <is>
          <t>EREDI SAFARI SPORT - SEVERI GINO DI ARMILLI MARIA TERESA</t>
        </is>
      </c>
      <c r="M186" s="5" t="n">
        <v>12.3</v>
      </c>
      <c r="N186" s="5" t="n"/>
      <c r="O186" s="5">
        <f>+M186+N186</f>
        <v/>
      </c>
      <c r="P186" s="4" t="n"/>
      <c r="Q186" s="87" t="n"/>
      <c r="R186" s="5" t="n"/>
      <c r="S186" s="2" t="n"/>
      <c r="T186" s="3" t="n"/>
      <c r="U186" s="87" t="n"/>
      <c r="V186" s="3" t="n"/>
      <c r="W186" s="108" t="n"/>
      <c r="X186" s="4" t="n"/>
    </row>
    <row r="187" ht="24" customHeight="1">
      <c r="A187" s="2">
        <f>+D187-S187</f>
        <v/>
      </c>
      <c r="B187" s="80" t="n"/>
      <c r="C187" s="70" t="n">
        <v>45436</v>
      </c>
      <c r="D187" s="2" t="n">
        <v>1</v>
      </c>
      <c r="E187" s="3" t="inlineStr">
        <is>
          <t>FUCILE SEMIAUTOMATICO</t>
        </is>
      </c>
      <c r="F187" s="3" t="n">
        <v>12</v>
      </c>
      <c r="G187" s="3" t="inlineStr">
        <is>
          <t>BROWNING</t>
        </is>
      </c>
      <c r="H187" s="65" t="inlineStr">
        <is>
          <t>AUTO 5</t>
        </is>
      </c>
      <c r="I187" s="65" t="inlineStr">
        <is>
          <t>6628330</t>
        </is>
      </c>
      <c r="J187" s="65" t="inlineStr">
        <is>
          <t>L90599</t>
        </is>
      </c>
      <c r="K187" s="65" t="inlineStr">
        <is>
          <t>N/D</t>
        </is>
      </c>
      <c r="L187" s="127" t="inlineStr">
        <is>
          <t>EREDI SAFARI SPORT - SEVERI GINO DI ARMILLI MARIA TERESA</t>
        </is>
      </c>
      <c r="M187" s="5" t="n">
        <v>12.3</v>
      </c>
      <c r="N187" s="5" t="n"/>
      <c r="O187" s="5">
        <f>+M187+N187</f>
        <v/>
      </c>
      <c r="P187" s="4" t="n"/>
      <c r="Q187" s="87" t="n"/>
      <c r="R187" s="5" t="n"/>
      <c r="S187" s="2" t="n"/>
      <c r="T187" s="3" t="n"/>
      <c r="U187" s="87" t="n"/>
      <c r="V187" s="3" t="n"/>
      <c r="W187" s="108" t="n"/>
      <c r="X187" s="4" t="n"/>
    </row>
    <row r="188" ht="24" customHeight="1">
      <c r="A188" s="2">
        <f>+D188-S188</f>
        <v/>
      </c>
      <c r="B188" s="80" t="n"/>
      <c r="C188" s="70" t="n">
        <v>45436</v>
      </c>
      <c r="D188" s="2" t="n">
        <v>1</v>
      </c>
      <c r="E188" s="3" t="inlineStr">
        <is>
          <t>FUCILE MONOCANNA</t>
        </is>
      </c>
      <c r="F188" s="3" t="n">
        <v>16</v>
      </c>
      <c r="G188" s="3" t="inlineStr">
        <is>
          <t>H&amp;R</t>
        </is>
      </c>
      <c r="H188" s="65" t="n"/>
      <c r="I188" s="65" t="n">
        <v>57769</v>
      </c>
      <c r="J188" s="65" t="inlineStr">
        <is>
          <t>N/D</t>
        </is>
      </c>
      <c r="K188" s="65" t="inlineStr">
        <is>
          <t>N/D</t>
        </is>
      </c>
      <c r="L188" s="127" t="inlineStr">
        <is>
          <t>EREDI SAFARI SPORT - SEVERI GINO DI ARMILLI MARIA TERESA</t>
        </is>
      </c>
      <c r="M188" s="5" t="n">
        <v>12.3</v>
      </c>
      <c r="N188" s="5" t="n"/>
      <c r="O188" s="5">
        <f>+M188+N188</f>
        <v/>
      </c>
      <c r="P188" s="4" t="n"/>
      <c r="Q188" s="87" t="n"/>
      <c r="R188" s="5" t="n">
        <v>19</v>
      </c>
      <c r="S188" s="2" t="n">
        <v>1</v>
      </c>
      <c r="T188" s="3" t="inlineStr">
        <is>
          <t>CA42796IR</t>
        </is>
      </c>
      <c r="U188" s="87" t="n">
        <v>45821</v>
      </c>
      <c r="V188" s="3" t="inlineStr">
        <is>
          <t>8</t>
        </is>
      </c>
      <c r="W188" s="108" t="n">
        <v>45821</v>
      </c>
      <c r="X188" s="4" t="inlineStr">
        <is>
          <t>PHILIPPOS COSTANTINIDES TRADING CO. LTD</t>
        </is>
      </c>
    </row>
    <row r="189" ht="24" customHeight="1">
      <c r="A189" s="2">
        <f>+D189-S189</f>
        <v/>
      </c>
      <c r="B189" s="80" t="n"/>
      <c r="C189" s="70" t="n">
        <v>45436</v>
      </c>
      <c r="D189" s="2" t="n">
        <v>1</v>
      </c>
      <c r="E189" s="3" t="inlineStr">
        <is>
          <t>FUCILE DOPPIETTA</t>
        </is>
      </c>
      <c r="F189" s="3" t="n">
        <v>12</v>
      </c>
      <c r="G189" s="3" t="inlineStr">
        <is>
          <t>GITTI</t>
        </is>
      </c>
      <c r="H189" s="65" t="inlineStr">
        <is>
          <t>BI GRILLO</t>
        </is>
      </c>
      <c r="I189" s="65" t="n">
        <v>387</v>
      </c>
      <c r="J189" s="65" t="inlineStr">
        <is>
          <t>N/D</t>
        </is>
      </c>
      <c r="K189" s="65" t="inlineStr">
        <is>
          <t>N/D</t>
        </is>
      </c>
      <c r="L189" s="127" t="inlineStr">
        <is>
          <t>EREDI SAFARI SPORT - SEVERI GINO DI ARMILLI MARIA TERESA</t>
        </is>
      </c>
      <c r="M189" s="5" t="n">
        <v>12.3</v>
      </c>
      <c r="N189" s="5" t="n"/>
      <c r="O189" s="5">
        <f>+M189+N189</f>
        <v/>
      </c>
      <c r="P189" s="4" t="n"/>
      <c r="Q189" s="87" t="n"/>
      <c r="R189" s="5" t="n">
        <v>19</v>
      </c>
      <c r="S189" s="2" t="n">
        <v>1</v>
      </c>
      <c r="T189" s="3" t="inlineStr">
        <is>
          <t>CA42796IR</t>
        </is>
      </c>
      <c r="U189" s="87" t="n">
        <v>45821</v>
      </c>
      <c r="V189" s="3" t="inlineStr">
        <is>
          <t>16</t>
        </is>
      </c>
      <c r="W189" s="108" t="n">
        <v>45821</v>
      </c>
      <c r="X189" s="4" t="inlineStr">
        <is>
          <t>PHILIPPOS COSTANTINIDES TRADING CO. LTD</t>
        </is>
      </c>
    </row>
    <row r="190" ht="24" customHeight="1">
      <c r="A190" s="2">
        <f>+D190-S190</f>
        <v/>
      </c>
      <c r="B190" s="80" t="n"/>
      <c r="C190" s="70" t="n">
        <v>45436</v>
      </c>
      <c r="D190" s="2" t="n">
        <v>1</v>
      </c>
      <c r="E190" s="3" t="inlineStr">
        <is>
          <t>FUCILE MONOCANNA</t>
        </is>
      </c>
      <c r="F190" s="3" t="n">
        <v>8</v>
      </c>
      <c r="G190" s="3" t="inlineStr">
        <is>
          <t>KOLIBRI</t>
        </is>
      </c>
      <c r="H190" s="65" t="inlineStr">
        <is>
          <t>FLOBERT COL</t>
        </is>
      </c>
      <c r="I190" s="65" t="inlineStr">
        <is>
          <t>01636</t>
        </is>
      </c>
      <c r="J190" s="65" t="inlineStr">
        <is>
          <t>N/D</t>
        </is>
      </c>
      <c r="K190" s="65" t="inlineStr">
        <is>
          <t>N/D</t>
        </is>
      </c>
      <c r="L190" s="127" t="inlineStr">
        <is>
          <t>EREDI SAFARI SPORT - SEVERI GINO DI ARMILLI MARIA TERESA</t>
        </is>
      </c>
      <c r="M190" s="5" t="n">
        <v>12.3</v>
      </c>
      <c r="N190" s="5" t="n"/>
      <c r="O190" s="5">
        <f>+M190+N190</f>
        <v/>
      </c>
      <c r="P190" s="4" t="n"/>
      <c r="Q190" s="87" t="n"/>
      <c r="R190" s="5" t="n">
        <v>19</v>
      </c>
      <c r="S190" s="2" t="n">
        <v>1</v>
      </c>
      <c r="T190" s="3" t="inlineStr">
        <is>
          <t>CA42796IR</t>
        </is>
      </c>
      <c r="U190" s="87" t="n">
        <v>45821</v>
      </c>
      <c r="V190" s="3" t="inlineStr">
        <is>
          <t>9</t>
        </is>
      </c>
      <c r="W190" s="108" t="n">
        <v>45821</v>
      </c>
      <c r="X190" s="4" t="inlineStr">
        <is>
          <t>PHILIPPOS COSTANTINIDES TRADING CO. LTD</t>
        </is>
      </c>
    </row>
    <row r="191" ht="24" customHeight="1">
      <c r="A191" s="2">
        <f>+D191-S191</f>
        <v/>
      </c>
      <c r="B191" s="80" t="n"/>
      <c r="C191" s="70" t="n">
        <v>45436</v>
      </c>
      <c r="D191" s="2" t="n">
        <v>1</v>
      </c>
      <c r="E191" s="3" t="inlineStr">
        <is>
          <t>CARABINA AD ARIA COMPRESSA</t>
        </is>
      </c>
      <c r="F191" s="3" t="n">
        <v>4.5</v>
      </c>
      <c r="G191" s="3" t="inlineStr">
        <is>
          <t>DIANA</t>
        </is>
      </c>
      <c r="H191" s="65" t="n">
        <v>35</v>
      </c>
      <c r="I191" s="65" t="n">
        <v>112165</v>
      </c>
      <c r="J191" s="65" t="inlineStr">
        <is>
          <t>N/D</t>
        </is>
      </c>
      <c r="K191" s="65" t="inlineStr">
        <is>
          <t>N/D</t>
        </is>
      </c>
      <c r="L191" s="127" t="inlineStr">
        <is>
          <t>EREDI SAFARI SPORT - SEVERI GINO DI ARMILLI MARIA TERESA</t>
        </is>
      </c>
      <c r="M191" s="5" t="n">
        <v>12.3</v>
      </c>
      <c r="N191" s="5" t="n"/>
      <c r="O191" s="5">
        <f>+M191+N191</f>
        <v/>
      </c>
      <c r="P191" s="4" t="n"/>
      <c r="Q191" s="87" t="n"/>
      <c r="R191" s="5" t="n">
        <v>19</v>
      </c>
      <c r="S191" s="2" t="n">
        <v>1</v>
      </c>
      <c r="T191" s="3" t="inlineStr">
        <is>
          <t>CA42796IR</t>
        </is>
      </c>
      <c r="U191" s="87" t="n">
        <v>45821</v>
      </c>
      <c r="V191" s="3" t="inlineStr">
        <is>
          <t>16</t>
        </is>
      </c>
      <c r="W191" s="108" t="n">
        <v>45821</v>
      </c>
      <c r="X191" s="4" t="inlineStr">
        <is>
          <t>PHILIPPOS COSTANTINIDES TRADING CO. LTD</t>
        </is>
      </c>
    </row>
    <row r="192" ht="24" customHeight="1">
      <c r="A192" s="2">
        <f>+D192-S192</f>
        <v/>
      </c>
      <c r="B192" s="80" t="n"/>
      <c r="C192" s="70" t="n">
        <v>45436</v>
      </c>
      <c r="D192" s="2" t="n">
        <v>1</v>
      </c>
      <c r="E192" s="3" t="inlineStr">
        <is>
          <t>FUCILE MONOCANNA</t>
        </is>
      </c>
      <c r="F192" s="3" t="n">
        <v>32</v>
      </c>
      <c r="G192" s="3" t="inlineStr">
        <is>
          <t>MAUSER</t>
        </is>
      </c>
      <c r="H192" s="65" t="n"/>
      <c r="I192" s="65" t="inlineStr">
        <is>
          <t>57756F</t>
        </is>
      </c>
      <c r="J192" s="65" t="inlineStr">
        <is>
          <t>N/D</t>
        </is>
      </c>
      <c r="K192" s="65" t="inlineStr">
        <is>
          <t>N/D</t>
        </is>
      </c>
      <c r="L192" s="127" t="inlineStr">
        <is>
          <t>EREDI SAFARI SPORT - SEVERI GINO DI ARMILLI MARIA TERESA</t>
        </is>
      </c>
      <c r="M192" s="5" t="n">
        <v>12.3</v>
      </c>
      <c r="N192" s="5" t="n"/>
      <c r="O192" s="5">
        <f>+M192+N192</f>
        <v/>
      </c>
      <c r="P192" s="4" t="n"/>
      <c r="Q192" s="87" t="n"/>
      <c r="R192" s="5" t="n">
        <v>19</v>
      </c>
      <c r="S192" s="2" t="n">
        <v>1</v>
      </c>
      <c r="T192" s="3" t="inlineStr">
        <is>
          <t>CA42796IR</t>
        </is>
      </c>
      <c r="U192" s="87" t="n">
        <v>45821</v>
      </c>
      <c r="V192" s="3" t="inlineStr">
        <is>
          <t>9</t>
        </is>
      </c>
      <c r="W192" s="108" t="n">
        <v>45821</v>
      </c>
      <c r="X192" s="4" t="inlineStr">
        <is>
          <t>PHILIPPOS COSTANTINIDES TRADING CO. LTD</t>
        </is>
      </c>
    </row>
    <row r="193" ht="24" customHeight="1">
      <c r="A193" s="2">
        <f>+D193-S193</f>
        <v/>
      </c>
      <c r="B193" s="80" t="n"/>
      <c r="C193" s="70" t="n">
        <v>45436</v>
      </c>
      <c r="D193" s="2" t="n">
        <v>1</v>
      </c>
      <c r="E193" s="3" t="inlineStr">
        <is>
          <t>CARABINA AD ARIA COMPRESSA</t>
        </is>
      </c>
      <c r="F193" s="3" t="n">
        <v>4.5</v>
      </c>
      <c r="G193" s="3" t="inlineStr">
        <is>
          <t>WEIHRAUCH</t>
        </is>
      </c>
      <c r="H193" s="65" t="n">
        <v>45</v>
      </c>
      <c r="I193" s="65" t="n">
        <v>372515</v>
      </c>
      <c r="J193" s="65" t="inlineStr">
        <is>
          <t>N/D</t>
        </is>
      </c>
      <c r="K193" s="65" t="inlineStr">
        <is>
          <t>N/D</t>
        </is>
      </c>
      <c r="L193" s="127" t="inlineStr">
        <is>
          <t>EREDI SAFARI SPORT - SEVERI GINO DI ARMILLI MARIA TERESA</t>
        </is>
      </c>
      <c r="M193" s="5" t="n">
        <v>12.3</v>
      </c>
      <c r="N193" s="5" t="n"/>
      <c r="O193" s="5">
        <f>+M193+N193</f>
        <v/>
      </c>
      <c r="P193" s="4" t="n"/>
      <c r="Q193" s="87" t="n"/>
      <c r="R193" s="5" t="n">
        <v>19</v>
      </c>
      <c r="S193" s="2" t="n">
        <v>1</v>
      </c>
      <c r="T193" s="3" t="inlineStr">
        <is>
          <t>CA42796IR</t>
        </is>
      </c>
      <c r="U193" s="87" t="n">
        <v>45821</v>
      </c>
      <c r="V193" s="3" t="inlineStr">
        <is>
          <t>16</t>
        </is>
      </c>
      <c r="W193" s="108" t="n">
        <v>45821</v>
      </c>
      <c r="X193" s="4" t="inlineStr">
        <is>
          <t>PHILIPPOS COSTANTINIDES TRADING CO. LTD</t>
        </is>
      </c>
    </row>
    <row r="194" ht="24" customHeight="1">
      <c r="A194" s="2">
        <f>+D194-S194</f>
        <v/>
      </c>
      <c r="B194" s="80" t="n"/>
      <c r="C194" s="70" t="n">
        <v>45436</v>
      </c>
      <c r="D194" s="2" t="n">
        <v>1</v>
      </c>
      <c r="E194" s="3" t="inlineStr">
        <is>
          <t>FUCILE DOPPIETTA</t>
        </is>
      </c>
      <c r="F194" s="3" t="n">
        <v>12</v>
      </c>
      <c r="G194" s="3" t="inlineStr">
        <is>
          <t>KRUPP</t>
        </is>
      </c>
      <c r="H194" s="65" t="inlineStr">
        <is>
          <t>CAN EST BI GRILLO</t>
        </is>
      </c>
      <c r="I194" s="65" t="n">
        <v>225517</v>
      </c>
      <c r="J194" s="65" t="inlineStr">
        <is>
          <t>N/D</t>
        </is>
      </c>
      <c r="K194" s="65" t="inlineStr">
        <is>
          <t>N/D</t>
        </is>
      </c>
      <c r="L194" s="127" t="inlineStr">
        <is>
          <t>EREDI SAFARI SPORT - SEVERI GINO DI ARMILLI MARIA TERESA</t>
        </is>
      </c>
      <c r="M194" s="5" t="n">
        <v>12.3</v>
      </c>
      <c r="N194" s="5" t="n"/>
      <c r="O194" s="5">
        <f>+M194+N194</f>
        <v/>
      </c>
      <c r="P194" s="4" t="n"/>
      <c r="Q194" s="87" t="n"/>
      <c r="R194" s="5" t="n">
        <v>19</v>
      </c>
      <c r="S194" s="2" t="n">
        <v>1</v>
      </c>
      <c r="T194" s="3" t="inlineStr">
        <is>
          <t>CA42796IR</t>
        </is>
      </c>
      <c r="U194" s="87" t="n">
        <v>45821</v>
      </c>
      <c r="V194" s="3" t="inlineStr">
        <is>
          <t>14</t>
        </is>
      </c>
      <c r="W194" s="108" t="n">
        <v>45821</v>
      </c>
      <c r="X194" s="4" t="inlineStr">
        <is>
          <t>PHILIPPOS COSTANTINIDES TRADING CO. LTD</t>
        </is>
      </c>
    </row>
    <row r="195" ht="24" customHeight="1">
      <c r="A195" s="2">
        <f>+D195-S195</f>
        <v/>
      </c>
      <c r="B195" s="80" t="n"/>
      <c r="C195" s="70" t="n">
        <v>45436</v>
      </c>
      <c r="D195" s="2" t="n">
        <v>1</v>
      </c>
      <c r="E195" s="3" t="inlineStr">
        <is>
          <t>FUCILE DOPPIETTA</t>
        </is>
      </c>
      <c r="F195" s="3" t="n">
        <v>12</v>
      </c>
      <c r="G195" s="3" t="inlineStr">
        <is>
          <t>SAN GIORGIO</t>
        </is>
      </c>
      <c r="H195" s="65" t="inlineStr">
        <is>
          <t>ANS BI GRILLO</t>
        </is>
      </c>
      <c r="I195" s="65" t="inlineStr">
        <is>
          <t>0207</t>
        </is>
      </c>
      <c r="J195" s="65" t="inlineStr">
        <is>
          <t>N/D</t>
        </is>
      </c>
      <c r="K195" s="65" t="inlineStr">
        <is>
          <t>N/D</t>
        </is>
      </c>
      <c r="L195" s="127" t="inlineStr">
        <is>
          <t>EREDI SAFARI SPORT - SEVERI GINO DI ARMILLI MARIA TERESA</t>
        </is>
      </c>
      <c r="M195" s="5" t="n">
        <v>12.3</v>
      </c>
      <c r="N195" s="5" t="n"/>
      <c r="O195" s="5">
        <f>+M195+N195</f>
        <v/>
      </c>
      <c r="P195" s="4" t="n"/>
      <c r="Q195" s="87" t="n"/>
      <c r="R195" s="5" t="n">
        <v>19</v>
      </c>
      <c r="S195" s="2" t="n">
        <v>1</v>
      </c>
      <c r="T195" s="3" t="inlineStr">
        <is>
          <t>CA42796IR</t>
        </is>
      </c>
      <c r="U195" s="87" t="n">
        <v>45821</v>
      </c>
      <c r="V195" s="3" t="inlineStr">
        <is>
          <t>15</t>
        </is>
      </c>
      <c r="W195" s="108" t="n">
        <v>45821</v>
      </c>
      <c r="X195" s="4" t="inlineStr">
        <is>
          <t>PHILIPPOS COSTANTINIDES TRADING CO. LTD</t>
        </is>
      </c>
    </row>
    <row r="196" ht="24" customHeight="1">
      <c r="A196" s="2">
        <f>+D196-S196</f>
        <v/>
      </c>
      <c r="B196" s="80" t="n"/>
      <c r="C196" s="70" t="n">
        <v>45436</v>
      </c>
      <c r="D196" s="2" t="n">
        <v>1</v>
      </c>
      <c r="E196" s="3" t="inlineStr">
        <is>
          <t>CARABINA AD ARIA COMPRESSA</t>
        </is>
      </c>
      <c r="F196" s="3" t="n">
        <v>4.5</v>
      </c>
      <c r="G196" s="3" t="inlineStr">
        <is>
          <t>DIANA</t>
        </is>
      </c>
      <c r="H196" s="65" t="n">
        <v>52</v>
      </c>
      <c r="I196" s="65" t="n">
        <v>928344</v>
      </c>
      <c r="J196" s="65" t="inlineStr">
        <is>
          <t>N/D</t>
        </is>
      </c>
      <c r="K196" s="65" t="inlineStr">
        <is>
          <t>N/D</t>
        </is>
      </c>
      <c r="L196" s="127" t="inlineStr">
        <is>
          <t>EREDI SAFARI SPORT - SEVERI GINO DI ARMILLI MARIA TERESA</t>
        </is>
      </c>
      <c r="M196" s="5" t="n">
        <v>12.3</v>
      </c>
      <c r="N196" s="5" t="n"/>
      <c r="O196" s="5">
        <f>+M196+N196</f>
        <v/>
      </c>
      <c r="P196" s="4" t="n"/>
      <c r="Q196" s="87" t="n"/>
      <c r="R196" s="5" t="n">
        <v>19</v>
      </c>
      <c r="S196" s="2" t="n">
        <v>1</v>
      </c>
      <c r="T196" s="3" t="inlineStr">
        <is>
          <t>CA42796IR</t>
        </is>
      </c>
      <c r="U196" s="87" t="n">
        <v>45821</v>
      </c>
      <c r="V196" s="3" t="inlineStr">
        <is>
          <t>16</t>
        </is>
      </c>
      <c r="W196" s="108" t="n">
        <v>45821</v>
      </c>
      <c r="X196" s="4" t="inlineStr">
        <is>
          <t>PHILIPPOS COSTANTINIDES TRADING CO. LTD</t>
        </is>
      </c>
    </row>
    <row r="197" ht="24" customHeight="1">
      <c r="A197" s="2">
        <f>+D197-S197</f>
        <v/>
      </c>
      <c r="B197" s="80" t="n"/>
      <c r="C197" s="70" t="n">
        <v>45436</v>
      </c>
      <c r="D197" s="2" t="n">
        <v>1</v>
      </c>
      <c r="E197" s="3" t="inlineStr">
        <is>
          <t>CARABINA AD ARIA COMPRESSA</t>
        </is>
      </c>
      <c r="F197" s="3" t="n">
        <v>4.5</v>
      </c>
      <c r="G197" s="3" t="inlineStr">
        <is>
          <t>WEIHRAUCH</t>
        </is>
      </c>
      <c r="H197" s="65" t="inlineStr">
        <is>
          <t>HW30</t>
        </is>
      </c>
      <c r="I197" s="65" t="n">
        <v>236654</v>
      </c>
      <c r="J197" s="65" t="inlineStr">
        <is>
          <t>N/D</t>
        </is>
      </c>
      <c r="K197" s="65" t="inlineStr">
        <is>
          <t>N/D</t>
        </is>
      </c>
      <c r="L197" s="127" t="inlineStr">
        <is>
          <t>EREDI SAFARI SPORT - SEVERI GINO DI ARMILLI MARIA TERESA</t>
        </is>
      </c>
      <c r="M197" s="5" t="n">
        <v>12.3</v>
      </c>
      <c r="N197" s="5" t="n"/>
      <c r="O197" s="5">
        <f>+M197+N197</f>
        <v/>
      </c>
      <c r="P197" s="4" t="n"/>
      <c r="Q197" s="87" t="n"/>
      <c r="R197" s="5" t="n">
        <v>19</v>
      </c>
      <c r="S197" s="2" t="n">
        <v>1</v>
      </c>
      <c r="T197" s="3" t="inlineStr">
        <is>
          <t>CA42796IR</t>
        </is>
      </c>
      <c r="U197" s="87" t="n">
        <v>45821</v>
      </c>
      <c r="V197" s="3" t="inlineStr">
        <is>
          <t>16</t>
        </is>
      </c>
      <c r="W197" s="108" t="n">
        <v>45821</v>
      </c>
      <c r="X197" s="4" t="inlineStr">
        <is>
          <t>PHILIPPOS COSTANTINIDES TRADING CO. LTD</t>
        </is>
      </c>
    </row>
    <row r="198" ht="24" customHeight="1">
      <c r="A198" s="2">
        <f>+D198-S198</f>
        <v/>
      </c>
      <c r="B198" s="80" t="n"/>
      <c r="C198" s="70" t="n">
        <v>45436</v>
      </c>
      <c r="D198" s="2" t="n">
        <v>1</v>
      </c>
      <c r="E198" s="3" t="inlineStr">
        <is>
          <t>FUCILE DOPPIETTA</t>
        </is>
      </c>
      <c r="F198" s="3" t="n">
        <v>12</v>
      </c>
      <c r="G198" s="3" t="inlineStr">
        <is>
          <t>BELGA</t>
        </is>
      </c>
      <c r="H198" s="65" t="n"/>
      <c r="I198" s="65" t="inlineStr">
        <is>
          <t>00028</t>
        </is>
      </c>
      <c r="J198" s="65" t="inlineStr">
        <is>
          <t>N/D</t>
        </is>
      </c>
      <c r="K198" s="65" t="inlineStr">
        <is>
          <t>N/D</t>
        </is>
      </c>
      <c r="L198" s="127" t="inlineStr">
        <is>
          <t>EREDI SAFARI SPORT - SEVERI GINO DI ARMILLI MARIA TERESA</t>
        </is>
      </c>
      <c r="M198" s="5" t="n">
        <v>12.3</v>
      </c>
      <c r="N198" s="5" t="n"/>
      <c r="O198" s="5">
        <f>+M198+N198</f>
        <v/>
      </c>
      <c r="P198" s="4" t="n"/>
      <c r="Q198" s="87" t="n"/>
      <c r="R198" s="5" t="n">
        <v>19</v>
      </c>
      <c r="S198" s="2" t="n">
        <v>1</v>
      </c>
      <c r="T198" s="3" t="inlineStr">
        <is>
          <t>CA42796IR</t>
        </is>
      </c>
      <c r="U198" s="87" t="n">
        <v>45821</v>
      </c>
      <c r="V198" s="3" t="inlineStr">
        <is>
          <t>14</t>
        </is>
      </c>
      <c r="W198" s="108" t="n">
        <v>45821</v>
      </c>
      <c r="X198" s="4" t="inlineStr">
        <is>
          <t>PHILIPPOS COSTANTINIDES TRADING CO. LTD</t>
        </is>
      </c>
    </row>
    <row r="199" ht="24" customHeight="1">
      <c r="A199" s="2">
        <f>+D199-S199</f>
        <v/>
      </c>
      <c r="B199" s="80" t="n"/>
      <c r="C199" s="70" t="n">
        <v>45436</v>
      </c>
      <c r="D199" s="2" t="n">
        <v>1</v>
      </c>
      <c r="E199" s="3" t="inlineStr">
        <is>
          <t>CARABINA AD ARIA COMPRESSA</t>
        </is>
      </c>
      <c r="F199" s="3" t="n">
        <v>4.5</v>
      </c>
      <c r="G199" s="3" t="inlineStr">
        <is>
          <t>DIANA</t>
        </is>
      </c>
      <c r="H199" s="65" t="n">
        <v>27</v>
      </c>
      <c r="I199" s="65" t="n">
        <v>611971</v>
      </c>
      <c r="J199" s="65" t="inlineStr">
        <is>
          <t>N/D</t>
        </is>
      </c>
      <c r="K199" s="65" t="inlineStr">
        <is>
          <t>N/D</t>
        </is>
      </c>
      <c r="L199" s="127" t="inlineStr">
        <is>
          <t>EREDI SAFARI SPORT - SEVERI GINO DI ARMILLI MARIA TERESA</t>
        </is>
      </c>
      <c r="M199" s="5" t="n">
        <v>12.3</v>
      </c>
      <c r="N199" s="5" t="n"/>
      <c r="O199" s="5">
        <f>+M199+N199</f>
        <v/>
      </c>
      <c r="P199" s="4" t="n"/>
      <c r="Q199" s="87" t="n"/>
      <c r="R199" s="5" t="n">
        <v>19</v>
      </c>
      <c r="S199" s="2" t="n">
        <v>1</v>
      </c>
      <c r="T199" s="3" t="inlineStr">
        <is>
          <t>CA42796IR</t>
        </is>
      </c>
      <c r="U199" s="87" t="n">
        <v>45821</v>
      </c>
      <c r="V199" s="3" t="inlineStr">
        <is>
          <t>16</t>
        </is>
      </c>
      <c r="W199" s="108" t="n">
        <v>45821</v>
      </c>
      <c r="X199" s="4" t="inlineStr">
        <is>
          <t>PHILIPPOS COSTANTINIDES TRADING CO. LTD</t>
        </is>
      </c>
    </row>
    <row r="200" ht="24" customHeight="1">
      <c r="A200" s="2">
        <f>+D200-S200</f>
        <v/>
      </c>
      <c r="B200" s="80" t="n"/>
      <c r="C200" s="70" t="n">
        <v>45436</v>
      </c>
      <c r="D200" s="2" t="n">
        <v>1</v>
      </c>
      <c r="E200" s="3" t="inlineStr">
        <is>
          <t>FUCILE DOPPIETTA</t>
        </is>
      </c>
      <c r="F200" s="3" t="n">
        <v>12</v>
      </c>
      <c r="G200" s="3" t="inlineStr">
        <is>
          <t>MAF</t>
        </is>
      </c>
      <c r="H200" s="65" t="n"/>
      <c r="I200" s="65" t="n">
        <v>3805</v>
      </c>
      <c r="J200" s="65" t="inlineStr">
        <is>
          <t>N/D</t>
        </is>
      </c>
      <c r="K200" s="65" t="inlineStr">
        <is>
          <t>N/D</t>
        </is>
      </c>
      <c r="L200" s="127" t="inlineStr">
        <is>
          <t>EREDI SAFARI SPORT - SEVERI GINO DI ARMILLI MARIA TERESA</t>
        </is>
      </c>
      <c r="M200" s="5" t="n">
        <v>12.3</v>
      </c>
      <c r="N200" s="5" t="n"/>
      <c r="O200" s="5">
        <f>+M200+N200</f>
        <v/>
      </c>
      <c r="P200" s="4" t="n"/>
      <c r="Q200" s="87" t="n"/>
      <c r="R200" s="5" t="n">
        <v>19</v>
      </c>
      <c r="S200" s="2" t="n">
        <v>1</v>
      </c>
      <c r="T200" s="3" t="inlineStr">
        <is>
          <t>CA42796IR</t>
        </is>
      </c>
      <c r="U200" s="87" t="n">
        <v>45821</v>
      </c>
      <c r="V200" s="3" t="inlineStr">
        <is>
          <t>16</t>
        </is>
      </c>
      <c r="W200" s="108" t="n">
        <v>45821</v>
      </c>
      <c r="X200" s="4" t="inlineStr">
        <is>
          <t>PHILIPPOS COSTANTINIDES TRADING CO. LTD</t>
        </is>
      </c>
    </row>
    <row r="201" ht="24" customHeight="1">
      <c r="A201" s="2">
        <f>+D201-S201</f>
        <v/>
      </c>
      <c r="B201" s="80" t="n"/>
      <c r="C201" s="70" t="n">
        <v>45436</v>
      </c>
      <c r="D201" s="2" t="n">
        <v>1</v>
      </c>
      <c r="E201" s="3" t="inlineStr">
        <is>
          <t>FUCILE DOPPIETTA</t>
        </is>
      </c>
      <c r="F201" s="3" t="n">
        <v>12</v>
      </c>
      <c r="G201" s="3" t="inlineStr">
        <is>
          <t>ARTIGIANALE</t>
        </is>
      </c>
      <c r="H201" s="65" t="inlineStr">
        <is>
          <t>CAN EST</t>
        </is>
      </c>
      <c r="I201" s="65" t="inlineStr">
        <is>
          <t>1.104</t>
        </is>
      </c>
      <c r="J201" s="65" t="inlineStr">
        <is>
          <t>N/D</t>
        </is>
      </c>
      <c r="K201" s="65" t="inlineStr">
        <is>
          <t>N/D</t>
        </is>
      </c>
      <c r="L201" s="127" t="inlineStr">
        <is>
          <t>EREDI SAFARI SPORT - SEVERI GINO DI ARMILLI MARIA TERESA</t>
        </is>
      </c>
      <c r="M201" s="5" t="n">
        <v>12.3</v>
      </c>
      <c r="N201" s="5" t="n"/>
      <c r="O201" s="5">
        <f>+M201+N201</f>
        <v/>
      </c>
      <c r="P201" s="4" t="n"/>
      <c r="Q201" s="87" t="n"/>
      <c r="R201" s="5" t="n">
        <v>19</v>
      </c>
      <c r="S201" s="2" t="n">
        <v>1</v>
      </c>
      <c r="T201" s="3" t="inlineStr">
        <is>
          <t>CA42796IR</t>
        </is>
      </c>
      <c r="U201" s="87" t="n">
        <v>45821</v>
      </c>
      <c r="V201" s="3" t="inlineStr">
        <is>
          <t>12</t>
        </is>
      </c>
      <c r="W201" s="108" t="n">
        <v>45821</v>
      </c>
      <c r="X201" s="4" t="inlineStr">
        <is>
          <t>PHILIPPOS COSTANTINIDES TRADING CO. LTD</t>
        </is>
      </c>
    </row>
    <row r="202" ht="24" customHeight="1">
      <c r="A202" s="2">
        <f>+D202-S202</f>
        <v/>
      </c>
      <c r="B202" s="80" t="n"/>
      <c r="C202" s="70" t="n">
        <v>45436</v>
      </c>
      <c r="D202" s="2" t="n">
        <v>1</v>
      </c>
      <c r="E202" s="3" t="inlineStr">
        <is>
          <t>FUCILE MONOCANNA</t>
        </is>
      </c>
      <c r="F202" s="3" t="n">
        <v>32</v>
      </c>
      <c r="G202" s="3" t="inlineStr">
        <is>
          <t>STEYR</t>
        </is>
      </c>
      <c r="H202" s="65" t="n"/>
      <c r="I202" s="65" t="n">
        <v>6100</v>
      </c>
      <c r="J202" s="65" t="inlineStr">
        <is>
          <t>N/D</t>
        </is>
      </c>
      <c r="K202" s="65" t="inlineStr">
        <is>
          <t>N/D</t>
        </is>
      </c>
      <c r="L202" s="127" t="inlineStr">
        <is>
          <t>EREDI SAFARI SPORT - SEVERI GINO DI ARMILLI MARIA TERESA</t>
        </is>
      </c>
      <c r="M202" s="5" t="n">
        <v>12.3</v>
      </c>
      <c r="N202" s="5" t="n"/>
      <c r="O202" s="5">
        <f>+M202+N202</f>
        <v/>
      </c>
      <c r="P202" s="4" t="n"/>
      <c r="Q202" s="87" t="n"/>
      <c r="R202" s="5" t="n">
        <v>19</v>
      </c>
      <c r="S202" s="2" t="n">
        <v>1</v>
      </c>
      <c r="T202" s="3" t="inlineStr">
        <is>
          <t>CA42796IR</t>
        </is>
      </c>
      <c r="U202" s="87" t="n">
        <v>45821</v>
      </c>
      <c r="V202" s="3" t="inlineStr">
        <is>
          <t>9</t>
        </is>
      </c>
      <c r="W202" s="108" t="n">
        <v>45821</v>
      </c>
      <c r="X202" s="4" t="inlineStr">
        <is>
          <t>PHILIPPOS COSTANTINIDES TRADING CO. LTD</t>
        </is>
      </c>
    </row>
    <row r="203" ht="24" customHeight="1">
      <c r="A203" s="2">
        <f>+D203-S203</f>
        <v/>
      </c>
      <c r="B203" s="80" t="n"/>
      <c r="C203" s="70" t="n">
        <v>45436</v>
      </c>
      <c r="D203" s="2" t="n">
        <v>1</v>
      </c>
      <c r="E203" s="3" t="inlineStr">
        <is>
          <t>FUCILE DOPPIETTA</t>
        </is>
      </c>
      <c r="F203" s="3" t="n">
        <v>16</v>
      </c>
      <c r="G203" s="3" t="inlineStr">
        <is>
          <t>BELGA</t>
        </is>
      </c>
      <c r="H203" s="65" t="inlineStr">
        <is>
          <t>CAN EST</t>
        </is>
      </c>
      <c r="I203" s="65" t="n">
        <v>20728</v>
      </c>
      <c r="J203" s="65" t="n">
        <v>20728</v>
      </c>
      <c r="K203" s="65" t="inlineStr">
        <is>
          <t>N/D</t>
        </is>
      </c>
      <c r="L203" s="127" t="inlineStr">
        <is>
          <t>EREDI SAFARI SPORT - SEVERI GINO DI ARMILLI MARIA TERESA</t>
        </is>
      </c>
      <c r="M203" s="5" t="n">
        <v>12.3</v>
      </c>
      <c r="N203" s="5" t="n"/>
      <c r="O203" s="5">
        <f>+M203+N203</f>
        <v/>
      </c>
      <c r="P203" s="4" t="n"/>
      <c r="Q203" s="87" t="n"/>
      <c r="R203" s="5" t="n">
        <v>19</v>
      </c>
      <c r="S203" s="2" t="n">
        <v>1</v>
      </c>
      <c r="T203" s="3" t="inlineStr">
        <is>
          <t>CA42796IR</t>
        </is>
      </c>
      <c r="U203" s="87" t="n">
        <v>45821</v>
      </c>
      <c r="V203" s="3" t="inlineStr">
        <is>
          <t>14</t>
        </is>
      </c>
      <c r="W203" s="108" t="n">
        <v>45821</v>
      </c>
      <c r="X203" s="4" t="inlineStr">
        <is>
          <t>PHILIPPOS COSTANTINIDES TRADING CO. LTD</t>
        </is>
      </c>
    </row>
    <row r="204" ht="24" customHeight="1">
      <c r="A204" s="2">
        <f>+D204-S204</f>
        <v/>
      </c>
      <c r="B204" s="80" t="n"/>
      <c r="C204" s="70" t="n">
        <v>45436</v>
      </c>
      <c r="D204" s="2" t="n">
        <v>1</v>
      </c>
      <c r="E204" s="3" t="inlineStr">
        <is>
          <t>FUCILE DOPPIETTA</t>
        </is>
      </c>
      <c r="F204" s="3" t="n">
        <v>16</v>
      </c>
      <c r="G204" s="3" t="n"/>
      <c r="H204" s="65" t="inlineStr">
        <is>
          <t>CAN EST</t>
        </is>
      </c>
      <c r="I204" s="65" t="inlineStr">
        <is>
          <t>5383</t>
        </is>
      </c>
      <c r="J204" s="65" t="inlineStr">
        <is>
          <t>N/D</t>
        </is>
      </c>
      <c r="K204" s="65" t="inlineStr">
        <is>
          <t>N/D</t>
        </is>
      </c>
      <c r="L204" s="127" t="inlineStr">
        <is>
          <t>EREDI SAFARI SPORT - SEVERI GINO DI ARMILLI MARIA TERESA</t>
        </is>
      </c>
      <c r="M204" s="5" t="n">
        <v>12.3</v>
      </c>
      <c r="N204" s="5" t="n"/>
      <c r="O204" s="5">
        <f>+M204+N204</f>
        <v/>
      </c>
      <c r="P204" s="4" t="n"/>
      <c r="Q204" s="87" t="n"/>
      <c r="R204" s="5" t="n">
        <v>19</v>
      </c>
      <c r="S204" s="2" t="n">
        <v>1</v>
      </c>
      <c r="T204" s="3" t="inlineStr">
        <is>
          <t>CA42796IR</t>
        </is>
      </c>
      <c r="U204" s="87" t="n">
        <v>45821</v>
      </c>
      <c r="V204" s="3" t="inlineStr">
        <is>
          <t>14</t>
        </is>
      </c>
      <c r="W204" s="108" t="n">
        <v>45821</v>
      </c>
      <c r="X204" s="4" t="inlineStr">
        <is>
          <t>PHILIPPOS COSTANTINIDES TRADING CO. LTD</t>
        </is>
      </c>
    </row>
    <row r="205" ht="24" customHeight="1">
      <c r="A205" s="2">
        <f>+D205-S205</f>
        <v/>
      </c>
      <c r="B205" s="80" t="n"/>
      <c r="C205" s="70" t="n">
        <v>45436</v>
      </c>
      <c r="D205" s="2" t="n">
        <v>1</v>
      </c>
      <c r="E205" s="3" t="inlineStr">
        <is>
          <t>FUCILE MONOCANNA</t>
        </is>
      </c>
      <c r="F205" s="3" t="n">
        <v>12</v>
      </c>
      <c r="G205" s="3" t="inlineStr">
        <is>
          <t>BERETTA</t>
        </is>
      </c>
      <c r="H205" s="65" t="n"/>
      <c r="I205" s="65" t="inlineStr">
        <is>
          <t>C126995</t>
        </is>
      </c>
      <c r="J205" s="65" t="inlineStr">
        <is>
          <t>C12695</t>
        </is>
      </c>
      <c r="K205" s="65" t="inlineStr">
        <is>
          <t>N/D</t>
        </is>
      </c>
      <c r="L205" s="127" t="inlineStr">
        <is>
          <t>EREDI SAFARI SPORT - SEVERI GINO DI ARMILLI MARIA TERESA</t>
        </is>
      </c>
      <c r="M205" s="5" t="n">
        <v>12.3</v>
      </c>
      <c r="N205" s="5" t="n"/>
      <c r="O205" s="5">
        <f>+M205+N205</f>
        <v/>
      </c>
      <c r="P205" s="4" t="n"/>
      <c r="Q205" s="87" t="n"/>
      <c r="R205" s="5" t="n">
        <v>19</v>
      </c>
      <c r="S205" s="2" t="n">
        <v>1</v>
      </c>
      <c r="T205" s="3" t="inlineStr">
        <is>
          <t>CA42796IR</t>
        </is>
      </c>
      <c r="U205" s="87" t="n">
        <v>45821</v>
      </c>
      <c r="V205" s="3" t="inlineStr">
        <is>
          <t>11</t>
        </is>
      </c>
      <c r="W205" s="108" t="n">
        <v>45821</v>
      </c>
      <c r="X205" s="4" t="inlineStr">
        <is>
          <t>PHILIPPOS COSTANTINIDES TRADING CO. LTD</t>
        </is>
      </c>
    </row>
    <row r="206" ht="24" customHeight="1">
      <c r="A206" s="2">
        <f>+D206-S206</f>
        <v/>
      </c>
      <c r="B206" s="80" t="n"/>
      <c r="C206" s="70" t="n">
        <v>45436</v>
      </c>
      <c r="D206" s="2" t="n">
        <v>1</v>
      </c>
      <c r="E206" s="3" t="inlineStr">
        <is>
          <t>CARABINA</t>
        </is>
      </c>
      <c r="F206" s="3" t="inlineStr">
        <is>
          <t>308 WIN</t>
        </is>
      </c>
      <c r="G206" s="3" t="inlineStr">
        <is>
          <t>SPRINGFIELD</t>
        </is>
      </c>
      <c r="H206" s="65" t="inlineStr">
        <is>
          <t>M1A</t>
        </is>
      </c>
      <c r="I206" s="65" t="n">
        <v>172930</v>
      </c>
      <c r="J206" s="65" t="inlineStr">
        <is>
          <t>N/D</t>
        </is>
      </c>
      <c r="K206" s="65" t="inlineStr">
        <is>
          <t>N/D</t>
        </is>
      </c>
      <c r="L206" s="127" t="inlineStr">
        <is>
          <t>EREDI SAFARI SPORT - SEVERI GINO DI ARMILLI MARIA TERESA</t>
        </is>
      </c>
      <c r="M206" s="5" t="n">
        <v>40.98</v>
      </c>
      <c r="N206" s="5" t="n"/>
      <c r="O206" s="5">
        <f>+M206+N206</f>
        <v/>
      </c>
      <c r="P206" s="4" t="n"/>
      <c r="Q206" s="87" t="n"/>
      <c r="R206" s="5" t="n">
        <v>358</v>
      </c>
      <c r="S206" s="2" t="n">
        <v>1</v>
      </c>
      <c r="T206" s="3" t="inlineStr">
        <is>
          <t>CA04954OS</t>
        </is>
      </c>
      <c r="U206" s="87" t="n">
        <v>45874</v>
      </c>
      <c r="V206" s="3" t="inlineStr">
        <is>
          <t>26</t>
        </is>
      </c>
      <c r="W206" s="4" t="n">
        <v>45874</v>
      </c>
      <c r="X206" s="4" t="inlineStr">
        <is>
          <t>PHILIPPOS  CONSTANTINIDES
TRADING CO.LTD</t>
        </is>
      </c>
    </row>
    <row r="207" ht="24" customHeight="1">
      <c r="A207" s="2">
        <f>+D207-S207</f>
        <v/>
      </c>
      <c r="B207" s="80" t="n"/>
      <c r="C207" s="70" t="n">
        <v>45436</v>
      </c>
      <c r="D207" s="2" t="n">
        <v>1</v>
      </c>
      <c r="E207" s="3" t="inlineStr">
        <is>
          <t>CARABINA AD ARIA COMPRESSA</t>
        </is>
      </c>
      <c r="F207" s="3" t="n">
        <v>4.5</v>
      </c>
      <c r="G207" s="3" t="inlineStr">
        <is>
          <t>DIANA</t>
        </is>
      </c>
      <c r="H207" s="65" t="n">
        <v>35</v>
      </c>
      <c r="I207" s="65" t="n">
        <v>110051</v>
      </c>
      <c r="J207" s="65" t="inlineStr">
        <is>
          <t>N/D</t>
        </is>
      </c>
      <c r="K207" s="65" t="inlineStr">
        <is>
          <t>N/D</t>
        </is>
      </c>
      <c r="L207" s="127" t="inlineStr">
        <is>
          <t>EREDI SAFARI SPORT - SEVERI GINO DI ARMILLI MARIA TERESA</t>
        </is>
      </c>
      <c r="M207" s="5" t="n">
        <v>12.3</v>
      </c>
      <c r="N207" s="5" t="n"/>
      <c r="O207" s="5">
        <f>+M207+N207</f>
        <v/>
      </c>
      <c r="P207" s="4" t="n"/>
      <c r="Q207" s="87" t="n"/>
      <c r="R207" s="5" t="n">
        <v>19</v>
      </c>
      <c r="S207" s="2" t="n">
        <v>1</v>
      </c>
      <c r="T207" s="3" t="inlineStr">
        <is>
          <t>CA42796IR</t>
        </is>
      </c>
      <c r="U207" s="87" t="n">
        <v>45821</v>
      </c>
      <c r="V207" s="3" t="inlineStr">
        <is>
          <t>16</t>
        </is>
      </c>
      <c r="W207" s="108" t="n">
        <v>45821</v>
      </c>
      <c r="X207" s="4" t="inlineStr">
        <is>
          <t>PHILIPPOS COSTANTINIDES TRADING CO. LTD</t>
        </is>
      </c>
    </row>
    <row r="208" ht="24" customHeight="1">
      <c r="A208" s="2">
        <f>+D208-S208</f>
        <v/>
      </c>
      <c r="B208" s="80" t="n"/>
      <c r="C208" s="70" t="n">
        <v>45436</v>
      </c>
      <c r="D208" s="2" t="n">
        <v>1</v>
      </c>
      <c r="E208" s="3" t="inlineStr">
        <is>
          <t>FUCILE MONOCANNA</t>
        </is>
      </c>
      <c r="F208" s="3" t="n">
        <v>12</v>
      </c>
      <c r="G208" s="3" t="inlineStr">
        <is>
          <t>N/D</t>
        </is>
      </c>
      <c r="H208" s="65" t="n"/>
      <c r="I208" s="65" t="n">
        <v>831044</v>
      </c>
      <c r="J208" s="65" t="inlineStr">
        <is>
          <t>N/D</t>
        </is>
      </c>
      <c r="K208" s="65" t="inlineStr">
        <is>
          <t>N/D</t>
        </is>
      </c>
      <c r="L208" s="127" t="inlineStr">
        <is>
          <t>EREDI SAFARI SPORT - SEVERI GINO DI ARMILLI MARIA TERESA</t>
        </is>
      </c>
      <c r="M208" s="5" t="n">
        <v>12.3</v>
      </c>
      <c r="N208" s="5" t="n"/>
      <c r="O208" s="5">
        <f>+M208+N208</f>
        <v/>
      </c>
      <c r="P208" s="4" t="n"/>
      <c r="Q208" s="87" t="n"/>
      <c r="R208" s="5" t="n">
        <v>19</v>
      </c>
      <c r="S208" s="2" t="n">
        <v>1</v>
      </c>
      <c r="T208" s="3" t="inlineStr">
        <is>
          <t>CA42796IR</t>
        </is>
      </c>
      <c r="U208" s="87" t="n">
        <v>45821</v>
      </c>
      <c r="V208" s="3" t="inlineStr">
        <is>
          <t>8</t>
        </is>
      </c>
      <c r="W208" s="108" t="n">
        <v>45821</v>
      </c>
      <c r="X208" s="4" t="inlineStr">
        <is>
          <t>PHILIPPOS COSTANTINIDES TRADING CO. LTD</t>
        </is>
      </c>
    </row>
    <row r="209" ht="24" customHeight="1">
      <c r="A209" s="2">
        <f>+D209-S209</f>
        <v/>
      </c>
      <c r="B209" s="80" t="n"/>
      <c r="C209" s="70" t="n">
        <v>45436</v>
      </c>
      <c r="D209" s="2" t="n">
        <v>1</v>
      </c>
      <c r="E209" s="3" t="inlineStr">
        <is>
          <t>CARABINA</t>
        </is>
      </c>
      <c r="F209" s="3" t="n">
        <v>22</v>
      </c>
      <c r="G209" s="3" t="inlineStr">
        <is>
          <t>BELGA</t>
        </is>
      </c>
      <c r="H209" s="65" t="n"/>
      <c r="I209" s="65" t="inlineStr">
        <is>
          <t>3518</t>
        </is>
      </c>
      <c r="J209" s="65" t="inlineStr">
        <is>
          <t>N/D</t>
        </is>
      </c>
      <c r="K209" s="65" t="inlineStr">
        <is>
          <t>N/D</t>
        </is>
      </c>
      <c r="L209" s="127" t="inlineStr">
        <is>
          <t>EREDI SAFARI SPORT - SEVERI GINO DI ARMILLI MARIA TERESA</t>
        </is>
      </c>
      <c r="M209" s="5" t="n">
        <v>12.3</v>
      </c>
      <c r="N209" s="5" t="n"/>
      <c r="O209" s="5">
        <f>+M209+N209</f>
        <v/>
      </c>
      <c r="P209" s="4" t="n"/>
      <c r="Q209" s="87" t="n"/>
      <c r="R209" s="5" t="n"/>
      <c r="S209" s="2" t="n"/>
      <c r="T209" s="3" t="n"/>
      <c r="U209" s="87" t="n"/>
      <c r="V209" s="3" t="n"/>
      <c r="W209" s="108" t="n"/>
      <c r="X209" s="4" t="n"/>
    </row>
    <row r="210" ht="24" customHeight="1">
      <c r="A210" s="2">
        <f>+D210-S210</f>
        <v/>
      </c>
      <c r="B210" s="80" t="n"/>
      <c r="C210" s="70" t="n">
        <v>45436</v>
      </c>
      <c r="D210" s="2" t="n">
        <v>1</v>
      </c>
      <c r="E210" s="3" t="inlineStr">
        <is>
          <t>CARABINA AD ARIA COMPRESSA</t>
        </is>
      </c>
      <c r="F210" s="3" t="n">
        <v>4.5</v>
      </c>
      <c r="G210" s="3" t="inlineStr">
        <is>
          <t>ARTIGIANALE</t>
        </is>
      </c>
      <c r="H210" s="65" t="n"/>
      <c r="I210" s="65" t="n">
        <v>52</v>
      </c>
      <c r="J210" s="65" t="inlineStr">
        <is>
          <t>N/D</t>
        </is>
      </c>
      <c r="K210" s="65" t="inlineStr">
        <is>
          <t>N/D</t>
        </is>
      </c>
      <c r="L210" s="127" t="inlineStr">
        <is>
          <t>EREDI SAFARI SPORT - SEVERI GINO DI ARMILLI MARIA TERESA</t>
        </is>
      </c>
      <c r="M210" s="5" t="n">
        <v>12.3</v>
      </c>
      <c r="N210" s="5" t="n"/>
      <c r="O210" s="5">
        <f>+M210+N210</f>
        <v/>
      </c>
      <c r="P210" s="4" t="n"/>
      <c r="Q210" s="87" t="n"/>
      <c r="R210" s="5" t="n">
        <v>19</v>
      </c>
      <c r="S210" s="2" t="n">
        <v>1</v>
      </c>
      <c r="T210" s="3" t="inlineStr">
        <is>
          <t>CA42796IR</t>
        </is>
      </c>
      <c r="U210" s="87" t="n">
        <v>45821</v>
      </c>
      <c r="V210" s="3" t="inlineStr">
        <is>
          <t>16</t>
        </is>
      </c>
      <c r="W210" s="108" t="n">
        <v>45821</v>
      </c>
      <c r="X210" s="4" t="inlineStr">
        <is>
          <t>PHILIPPOS COSTANTINIDES TRADING CO. LTD</t>
        </is>
      </c>
    </row>
    <row r="211" ht="24" customHeight="1">
      <c r="A211" s="2">
        <f>+D211-S211</f>
        <v/>
      </c>
      <c r="B211" s="80" t="n"/>
      <c r="C211" s="70" t="n">
        <v>45436</v>
      </c>
      <c r="D211" s="2" t="n">
        <v>1</v>
      </c>
      <c r="E211" s="3" t="inlineStr">
        <is>
          <t>CARABINA AD ARIA COMPRESSA</t>
        </is>
      </c>
      <c r="F211" s="3" t="n">
        <v>4.5</v>
      </c>
      <c r="G211" s="3" t="inlineStr">
        <is>
          <t>DIANA</t>
        </is>
      </c>
      <c r="H211" s="65" t="n"/>
      <c r="I211" s="65" t="inlineStr">
        <is>
          <t>DA81303</t>
        </is>
      </c>
      <c r="J211" s="65" t="inlineStr">
        <is>
          <t>N/D</t>
        </is>
      </c>
      <c r="K211" s="65" t="inlineStr">
        <is>
          <t>N/D</t>
        </is>
      </c>
      <c r="L211" s="127" t="inlineStr">
        <is>
          <t>EREDI SAFARI SPORT - SEVERI GINO DI ARMILLI MARIA TERESA</t>
        </is>
      </c>
      <c r="M211" s="5" t="n">
        <v>12.3</v>
      </c>
      <c r="N211" s="5" t="n"/>
      <c r="O211" s="5">
        <f>+M211+N211</f>
        <v/>
      </c>
      <c r="P211" s="4" t="n"/>
      <c r="Q211" s="87" t="n"/>
      <c r="R211" s="5" t="n">
        <v>19</v>
      </c>
      <c r="S211" s="2" t="n">
        <v>1</v>
      </c>
      <c r="T211" s="3" t="inlineStr">
        <is>
          <t>CA42796IR</t>
        </is>
      </c>
      <c r="U211" s="87" t="n">
        <v>45821</v>
      </c>
      <c r="V211" s="3" t="inlineStr">
        <is>
          <t>16</t>
        </is>
      </c>
      <c r="W211" s="108" t="n">
        <v>45821</v>
      </c>
      <c r="X211" s="4" t="inlineStr">
        <is>
          <t>PHILIPPOS COSTANTINIDES TRADING CO. LTD</t>
        </is>
      </c>
    </row>
    <row r="212" ht="24" customHeight="1">
      <c r="A212" s="2">
        <f>+D212-S212</f>
        <v/>
      </c>
      <c r="B212" s="80" t="n"/>
      <c r="C212" s="73" t="n">
        <v>45436</v>
      </c>
      <c r="D212" s="74" t="n">
        <v>1</v>
      </c>
      <c r="E212" s="71" t="inlineStr">
        <is>
          <t>FUCILE AVANCARICA</t>
        </is>
      </c>
      <c r="F212" s="71" t="inlineStr">
        <is>
          <t>N/D</t>
        </is>
      </c>
      <c r="G212" s="71" t="inlineStr">
        <is>
          <t>ARTIGIANALE</t>
        </is>
      </c>
      <c r="H212" s="72" t="n"/>
      <c r="I212" s="72" t="inlineStr">
        <is>
          <t>248</t>
        </is>
      </c>
      <c r="J212" s="72" t="inlineStr">
        <is>
          <t>N/D</t>
        </is>
      </c>
      <c r="K212" s="72" t="inlineStr">
        <is>
          <t>N/D</t>
        </is>
      </c>
      <c r="L212" s="128" t="inlineStr">
        <is>
          <t>EREDI SAFARI SPORT - SEVERI GINO DI ARMILLI MARIA TERESA</t>
        </is>
      </c>
      <c r="M212" s="75" t="n">
        <v>12.3</v>
      </c>
      <c r="N212" s="75" t="n"/>
      <c r="O212" s="5">
        <f>+M212+N212</f>
        <v/>
      </c>
      <c r="P212" s="4" t="n"/>
      <c r="Q212" s="87" t="n"/>
      <c r="R212" s="5" t="n"/>
      <c r="S212" s="2" t="n"/>
      <c r="T212" s="3" t="n"/>
      <c r="U212" s="87" t="n"/>
      <c r="V212" s="3" t="n"/>
      <c r="W212" s="108" t="n"/>
      <c r="X212" s="4" t="n"/>
    </row>
    <row r="213" ht="24" customHeight="1">
      <c r="A213" s="2">
        <f>+D213-S213</f>
        <v/>
      </c>
      <c r="B213" s="80" t="n"/>
      <c r="C213" s="73" t="n">
        <v>45436</v>
      </c>
      <c r="D213" s="74" t="n">
        <v>1</v>
      </c>
      <c r="E213" s="71" t="inlineStr">
        <is>
          <t>FUCILE AVANCARICA</t>
        </is>
      </c>
      <c r="F213" s="71" t="inlineStr">
        <is>
          <t>N/D</t>
        </is>
      </c>
      <c r="G213" s="71" t="inlineStr">
        <is>
          <t>ARTIGIANALE</t>
        </is>
      </c>
      <c r="H213" s="72" t="n"/>
      <c r="I213" s="72" t="inlineStr">
        <is>
          <t>PD185</t>
        </is>
      </c>
      <c r="J213" s="72" t="inlineStr">
        <is>
          <t>N/D</t>
        </is>
      </c>
      <c r="K213" s="72" t="inlineStr">
        <is>
          <t>N/D</t>
        </is>
      </c>
      <c r="L213" s="128" t="inlineStr">
        <is>
          <t>EREDI SAFARI SPORT - SEVERI GINO DI ARMILLI MARIA TERESA</t>
        </is>
      </c>
      <c r="M213" s="75" t="n">
        <v>12.3</v>
      </c>
      <c r="N213" s="75" t="n"/>
      <c r="O213" s="5">
        <f>+M213+N213</f>
        <v/>
      </c>
      <c r="P213" s="4" t="n"/>
      <c r="Q213" s="87" t="n"/>
      <c r="R213" s="5" t="n"/>
      <c r="S213" s="2" t="n"/>
      <c r="T213" s="3" t="n"/>
      <c r="U213" s="87" t="n"/>
      <c r="V213" s="3" t="n"/>
      <c r="W213" s="108" t="n"/>
      <c r="X213" s="4" t="n"/>
    </row>
    <row r="214" ht="24" customHeight="1">
      <c r="A214" s="2">
        <f>+D214-S214</f>
        <v/>
      </c>
      <c r="B214" s="80" t="n"/>
      <c r="C214" s="73" t="n">
        <v>45436</v>
      </c>
      <c r="D214" s="74" t="n">
        <v>1</v>
      </c>
      <c r="E214" s="71" t="inlineStr">
        <is>
          <t>CARABINA AD ARIA COMPRESSA</t>
        </is>
      </c>
      <c r="F214" s="71" t="n">
        <v>4.5</v>
      </c>
      <c r="G214" s="71" t="inlineStr">
        <is>
          <t>WEIHRAUCH</t>
        </is>
      </c>
      <c r="H214" s="72" t="n">
        <v>35</v>
      </c>
      <c r="I214" s="72" t="n">
        <v>775466</v>
      </c>
      <c r="J214" s="72" t="inlineStr">
        <is>
          <t>N/D</t>
        </is>
      </c>
      <c r="K214" s="72" t="inlineStr">
        <is>
          <t>N/D</t>
        </is>
      </c>
      <c r="L214" s="128" t="inlineStr">
        <is>
          <t>EREDI SAFARI SPORT - SEVERI GINO DI ARMILLI MARIA TERESA</t>
        </is>
      </c>
      <c r="M214" s="75" t="n">
        <v>12.3</v>
      </c>
      <c r="N214" s="75" t="n"/>
      <c r="O214" s="5">
        <f>+M214+N214</f>
        <v/>
      </c>
      <c r="P214" s="4" t="n"/>
      <c r="Q214" s="87" t="n"/>
      <c r="R214" s="5" t="n">
        <v>19</v>
      </c>
      <c r="S214" s="2" t="n">
        <v>1</v>
      </c>
      <c r="T214" s="3" t="inlineStr">
        <is>
          <t>CA42796IR</t>
        </is>
      </c>
      <c r="U214" s="87" t="n">
        <v>45821</v>
      </c>
      <c r="V214" s="3" t="inlineStr">
        <is>
          <t>16</t>
        </is>
      </c>
      <c r="W214" s="108" t="n">
        <v>45821</v>
      </c>
      <c r="X214" s="4" t="inlineStr">
        <is>
          <t>PHILIPPOS COSTANTINIDES TRADING CO. LTD</t>
        </is>
      </c>
    </row>
    <row r="215" ht="24" customHeight="1">
      <c r="A215" s="2">
        <f>+D215-S215</f>
        <v/>
      </c>
      <c r="B215" s="80" t="n"/>
      <c r="C215" s="70" t="n">
        <v>45436</v>
      </c>
      <c r="D215" s="2" t="n">
        <v>1</v>
      </c>
      <c r="E215" s="3" t="inlineStr">
        <is>
          <t>FUCILE DOPPIETTA</t>
        </is>
      </c>
      <c r="F215" s="3" t="n">
        <v>12</v>
      </c>
      <c r="G215" s="3" t="inlineStr">
        <is>
          <t>ARTIGIANALE</t>
        </is>
      </c>
      <c r="H215" s="65" t="n"/>
      <c r="I215" s="65" t="n">
        <v>969</v>
      </c>
      <c r="J215" s="65" t="inlineStr">
        <is>
          <t>N/D</t>
        </is>
      </c>
      <c r="K215" s="65" t="inlineStr">
        <is>
          <t>N/D</t>
        </is>
      </c>
      <c r="L215" s="127" t="inlineStr">
        <is>
          <t>EREDI SAFARI SPORT - SEVERI GINO DI ARMILLI MARIA TERESA</t>
        </is>
      </c>
      <c r="M215" s="5" t="n">
        <v>20.49</v>
      </c>
      <c r="N215" s="5" t="n"/>
      <c r="O215" s="5">
        <f>+M215+N215</f>
        <v/>
      </c>
      <c r="P215" s="4" t="n"/>
      <c r="Q215" s="87" t="n"/>
      <c r="R215" s="5" t="n">
        <v>29</v>
      </c>
      <c r="S215" s="2" t="n">
        <v>1</v>
      </c>
      <c r="T215" s="3" t="inlineStr">
        <is>
          <t>CA42796IR</t>
        </is>
      </c>
      <c r="U215" s="87" t="n">
        <v>45821</v>
      </c>
      <c r="V215" s="3" t="inlineStr">
        <is>
          <t>12</t>
        </is>
      </c>
      <c r="W215" s="108" t="n">
        <v>45821</v>
      </c>
      <c r="X215" s="4" t="inlineStr">
        <is>
          <t>PHILIPPOS COSTANTINIDES TRADING CO. LTD</t>
        </is>
      </c>
    </row>
    <row r="216" ht="24" customHeight="1">
      <c r="A216" s="2">
        <f>+D216-S216</f>
        <v/>
      </c>
      <c r="B216" s="80" t="n"/>
      <c r="C216" s="70" t="n">
        <v>45436</v>
      </c>
      <c r="D216" s="2" t="n">
        <v>1</v>
      </c>
      <c r="E216" s="3" t="inlineStr">
        <is>
          <t>FUCILE DOPPIETTA</t>
        </is>
      </c>
      <c r="F216" s="3" t="n">
        <v>12</v>
      </c>
      <c r="G216" s="3" t="inlineStr">
        <is>
          <t>BERNARDELLI</t>
        </is>
      </c>
      <c r="H216" s="65" t="n"/>
      <c r="I216" s="65" t="n">
        <v>12292</v>
      </c>
      <c r="J216" s="65" t="inlineStr">
        <is>
          <t>N/D</t>
        </is>
      </c>
      <c r="K216" s="65" t="inlineStr">
        <is>
          <t>N/D</t>
        </is>
      </c>
      <c r="L216" s="127" t="inlineStr">
        <is>
          <t>EREDI SAFARI SPORT - SEVERI GINO DI ARMILLI MARIA TERESA</t>
        </is>
      </c>
      <c r="M216" s="5" t="n">
        <v>40.98</v>
      </c>
      <c r="N216" s="5" t="n"/>
      <c r="O216" s="5">
        <f>+M216+N216</f>
        <v/>
      </c>
      <c r="P216" s="4" t="n"/>
      <c r="Q216" s="87" t="n"/>
      <c r="R216" s="5" t="n">
        <v>52</v>
      </c>
      <c r="S216" s="2" t="n">
        <v>1</v>
      </c>
      <c r="T216" s="3" t="inlineStr">
        <is>
          <t>CA42796IR</t>
        </is>
      </c>
      <c r="U216" s="87" t="n">
        <v>45821</v>
      </c>
      <c r="V216" s="3" t="inlineStr">
        <is>
          <t>13</t>
        </is>
      </c>
      <c r="W216" s="108" t="n">
        <v>45821</v>
      </c>
      <c r="X216" s="4" t="inlineStr">
        <is>
          <t>PHILIPPOS COSTANTINIDES TRADING CO. LTD</t>
        </is>
      </c>
    </row>
    <row r="217" ht="24" customHeight="1">
      <c r="A217" s="2">
        <f>+D217-S217</f>
        <v/>
      </c>
      <c r="B217" s="80" t="n"/>
      <c r="C217" s="70" t="n">
        <v>45436</v>
      </c>
      <c r="D217" s="2" t="n">
        <v>1</v>
      </c>
      <c r="E217" s="3" t="inlineStr">
        <is>
          <t>FUCILE SEMIAUTOMATICO</t>
        </is>
      </c>
      <c r="F217" s="3" t="inlineStr">
        <is>
          <t>9 FLOBERT</t>
        </is>
      </c>
      <c r="G217" s="3" t="inlineStr">
        <is>
          <t>BERNARDELLI</t>
        </is>
      </c>
      <c r="H217" s="65" t="n"/>
      <c r="I217" s="65" t="inlineStr">
        <is>
          <t>F00183</t>
        </is>
      </c>
      <c r="J217" s="65" t="inlineStr">
        <is>
          <t>N/D</t>
        </is>
      </c>
      <c r="K217" s="65" t="inlineStr">
        <is>
          <t>N/D</t>
        </is>
      </c>
      <c r="L217" s="127" t="inlineStr">
        <is>
          <t>EREDI SAFARI SPORT - SEVERI GINO DI ARMILLI MARIA TERESA</t>
        </is>
      </c>
      <c r="M217" s="5" t="n">
        <v>20.49</v>
      </c>
      <c r="N217" s="5" t="n"/>
      <c r="O217" s="5">
        <f>+M217+N217</f>
        <v/>
      </c>
      <c r="P217" s="4" t="n"/>
      <c r="Q217" s="87" t="n"/>
      <c r="R217" s="5" t="n">
        <v>29</v>
      </c>
      <c r="S217" s="2" t="n">
        <v>1</v>
      </c>
      <c r="T217" s="3" t="inlineStr">
        <is>
          <t>CA42796IR</t>
        </is>
      </c>
      <c r="U217" s="87" t="n">
        <v>45821</v>
      </c>
      <c r="V217" s="3" t="inlineStr">
        <is>
          <t>12</t>
        </is>
      </c>
      <c r="W217" s="108" t="n">
        <v>45821</v>
      </c>
      <c r="X217" s="4" t="inlineStr">
        <is>
          <t>PHILIPPOS COSTANTINIDES TRADING CO. LTD</t>
        </is>
      </c>
    </row>
    <row r="218" ht="24" customHeight="1">
      <c r="A218" s="2">
        <f>+D218-S218</f>
        <v/>
      </c>
      <c r="B218" s="80" t="n"/>
      <c r="C218" s="70" t="n">
        <v>45436</v>
      </c>
      <c r="D218" s="2" t="n">
        <v>1</v>
      </c>
      <c r="E218" s="3" t="inlineStr">
        <is>
          <t>FUCILE AVANCARICA</t>
        </is>
      </c>
      <c r="F218" s="3" t="n">
        <v>58</v>
      </c>
      <c r="G218" s="3" t="inlineStr">
        <is>
          <t>ZOLI</t>
        </is>
      </c>
      <c r="H218" s="65" t="n"/>
      <c r="I218" s="65" t="inlineStr">
        <is>
          <t>10289</t>
        </is>
      </c>
      <c r="J218" s="65" t="inlineStr">
        <is>
          <t>N/D</t>
        </is>
      </c>
      <c r="K218" s="65" t="inlineStr">
        <is>
          <t>N/D</t>
        </is>
      </c>
      <c r="L218" s="127" t="inlineStr">
        <is>
          <t>EREDI SAFARI SPORT - SEVERI GINO DI ARMILLI MARIA TERESA</t>
        </is>
      </c>
      <c r="M218" s="5" t="n">
        <v>40.98</v>
      </c>
      <c r="N218" s="5" t="n"/>
      <c r="O218" s="5">
        <f>+M218+N218</f>
        <v/>
      </c>
      <c r="P218" s="4" t="n"/>
      <c r="Q218" s="87" t="n"/>
      <c r="R218" s="5" t="n"/>
      <c r="S218" s="2" t="n"/>
      <c r="T218" s="3" t="n"/>
      <c r="U218" s="87" t="n"/>
      <c r="V218" s="3" t="n"/>
      <c r="W218" s="108" t="n"/>
      <c r="X218" s="4" t="n"/>
    </row>
    <row r="219" ht="24" customHeight="1">
      <c r="A219" s="2">
        <f>+D219-S219</f>
        <v/>
      </c>
      <c r="B219" s="80" t="n"/>
      <c r="C219" s="70" t="n">
        <v>45436</v>
      </c>
      <c r="D219" s="2" t="n">
        <v>1</v>
      </c>
      <c r="E219" s="3" t="inlineStr">
        <is>
          <t>CARABINA</t>
        </is>
      </c>
      <c r="F219" s="3" t="inlineStr">
        <is>
          <t>44 MAG</t>
        </is>
      </c>
      <c r="G219" s="3" t="inlineStr">
        <is>
          <t>RUGER</t>
        </is>
      </c>
      <c r="H219" s="65" t="n">
        <v>100</v>
      </c>
      <c r="I219" s="65" t="inlineStr">
        <is>
          <t>102-82254</t>
        </is>
      </c>
      <c r="J219" s="65" t="inlineStr">
        <is>
          <t>N/D</t>
        </is>
      </c>
      <c r="K219" s="65" t="inlineStr">
        <is>
          <t>N/D</t>
        </is>
      </c>
      <c r="L219" s="127" t="inlineStr">
        <is>
          <t>EREDI SAFARI SPORT - SEVERI GINO DI ARMILLI MARIA TERESA</t>
        </is>
      </c>
      <c r="M219" s="5" t="n">
        <v>12.3</v>
      </c>
      <c r="N219" s="5" t="n"/>
      <c r="O219" s="5">
        <f>+M219+N219</f>
        <v/>
      </c>
      <c r="P219" s="4" t="n"/>
      <c r="Q219" s="87" t="n"/>
      <c r="R219" s="5" t="n">
        <v>276</v>
      </c>
      <c r="S219" s="2" t="n">
        <v>1</v>
      </c>
      <c r="T219" s="3" t="inlineStr">
        <is>
          <t>CA04954OS</t>
        </is>
      </c>
      <c r="U219" s="87" t="n">
        <v>45874</v>
      </c>
      <c r="V219" s="3" t="inlineStr">
        <is>
          <t>26</t>
        </is>
      </c>
      <c r="W219" s="4" t="n">
        <v>45874</v>
      </c>
      <c r="X219" s="4" t="inlineStr">
        <is>
          <t>PHILIPPOS COSTANTINIDES TRADING CO. LTD</t>
        </is>
      </c>
    </row>
    <row r="220" ht="24" customHeight="1">
      <c r="A220" s="2">
        <f>+D220-S220</f>
        <v/>
      </c>
      <c r="B220" s="80" t="n"/>
      <c r="C220" s="70" t="n">
        <v>45436</v>
      </c>
      <c r="D220" s="2" t="n">
        <v>1</v>
      </c>
      <c r="E220" s="3" t="inlineStr">
        <is>
          <t>FUCILE DOPPIETTA</t>
        </is>
      </c>
      <c r="F220" s="3" t="n">
        <v>12</v>
      </c>
      <c r="G220" s="3" t="inlineStr">
        <is>
          <t>GITTI</t>
        </is>
      </c>
      <c r="H220" s="65" t="inlineStr">
        <is>
          <t>H&amp;H</t>
        </is>
      </c>
      <c r="I220" s="65" t="n">
        <v>12807</v>
      </c>
      <c r="J220" s="65" t="inlineStr">
        <is>
          <t>N/D</t>
        </is>
      </c>
      <c r="K220" s="65" t="inlineStr">
        <is>
          <t>N/D</t>
        </is>
      </c>
      <c r="L220" s="127" t="inlineStr">
        <is>
          <t>EREDI SAFARI SPORT - SEVERI GINO DI ARMILLI MARIA TERESA</t>
        </is>
      </c>
      <c r="M220" s="5" t="n">
        <v>122.95</v>
      </c>
      <c r="N220" s="5" t="n"/>
      <c r="O220" s="5">
        <f>+M220+N220</f>
        <v/>
      </c>
      <c r="P220" s="4" t="n"/>
      <c r="Q220" s="87" t="n"/>
      <c r="R220" s="5" t="n">
        <v>147</v>
      </c>
      <c r="S220" s="2" t="n">
        <v>1</v>
      </c>
      <c r="T220" s="3" t="inlineStr">
        <is>
          <t>CA42796IR</t>
        </is>
      </c>
      <c r="U220" s="87" t="n">
        <v>45821</v>
      </c>
      <c r="V220" s="3" t="inlineStr">
        <is>
          <t>16</t>
        </is>
      </c>
      <c r="W220" s="108" t="n">
        <v>45821</v>
      </c>
      <c r="X220" s="4" t="inlineStr">
        <is>
          <t>PHILIPPOS COSTANTINIDES TRADING CO. LTD</t>
        </is>
      </c>
    </row>
    <row r="221" ht="24" customHeight="1">
      <c r="A221" s="2">
        <f>+D221-S221</f>
        <v/>
      </c>
      <c r="B221" s="80" t="n"/>
      <c r="C221" s="70" t="n">
        <v>45436</v>
      </c>
      <c r="D221" s="2" t="n">
        <v>1</v>
      </c>
      <c r="E221" s="3" t="inlineStr">
        <is>
          <t>FUCILE SEMIAUTOMATICO</t>
        </is>
      </c>
      <c r="F221" s="3" t="n">
        <v>12</v>
      </c>
      <c r="G221" s="3" t="inlineStr">
        <is>
          <t>BERETTA</t>
        </is>
      </c>
      <c r="H221" s="65" t="n">
        <v>300</v>
      </c>
      <c r="I221" s="65" t="inlineStr">
        <is>
          <t>D37498</t>
        </is>
      </c>
      <c r="J221" s="65" t="inlineStr">
        <is>
          <t>C41792</t>
        </is>
      </c>
      <c r="K221" s="65" t="inlineStr">
        <is>
          <t>N/D</t>
        </is>
      </c>
      <c r="L221" s="127" t="inlineStr">
        <is>
          <t>EREDI SAFARI SPORT - SEVERI GINO DI ARMILLI MARIA TERESA</t>
        </is>
      </c>
      <c r="M221" s="5" t="n">
        <v>20.49</v>
      </c>
      <c r="N221" s="5" t="n"/>
      <c r="O221" s="5">
        <f>+M221+N221</f>
        <v/>
      </c>
      <c r="P221" s="4" t="n"/>
      <c r="Q221" s="87" t="n"/>
      <c r="R221" s="5" t="n">
        <v>41</v>
      </c>
      <c r="S221" s="2" t="n">
        <v>1</v>
      </c>
      <c r="T221" s="3" t="n"/>
      <c r="U221" s="87" t="n">
        <v>45481</v>
      </c>
      <c r="V221" s="3" t="inlineStr">
        <is>
          <t>12</t>
        </is>
      </c>
      <c r="W221" s="108" t="n">
        <v>45481</v>
      </c>
      <c r="X221" s="4" t="inlineStr">
        <is>
          <t>BRESCIA MIDDLE EAST SAL</t>
        </is>
      </c>
    </row>
    <row r="222" ht="24" customHeight="1">
      <c r="A222" s="2">
        <f>+D222-S222</f>
        <v/>
      </c>
      <c r="B222" s="80" t="n"/>
      <c r="C222" s="70" t="n">
        <v>45436</v>
      </c>
      <c r="D222" s="2" t="n">
        <v>1</v>
      </c>
      <c r="E222" s="3" t="inlineStr">
        <is>
          <t>CARABINA AD ARIA COMPRESSA</t>
        </is>
      </c>
      <c r="F222" s="3" t="n">
        <v>4.5</v>
      </c>
      <c r="G222" s="3" t="inlineStr">
        <is>
          <t>DIANA</t>
        </is>
      </c>
      <c r="H222" s="65" t="n">
        <v>34</v>
      </c>
      <c r="I222" s="65" t="inlineStr">
        <is>
          <t>01124521</t>
        </is>
      </c>
      <c r="J222" s="65" t="inlineStr">
        <is>
          <t>N/D</t>
        </is>
      </c>
      <c r="K222" s="65" t="inlineStr">
        <is>
          <t>N/D</t>
        </is>
      </c>
      <c r="L222" s="127" t="inlineStr">
        <is>
          <t>EREDI SAFARI SPORT - SEVERI GINO DI ARMILLI MARIA TERESA</t>
        </is>
      </c>
      <c r="M222" s="5" t="n">
        <v>12.3</v>
      </c>
      <c r="N222" s="5" t="n"/>
      <c r="O222" s="5">
        <f>+M222+N222</f>
        <v/>
      </c>
      <c r="P222" s="4" t="n"/>
      <c r="Q222" s="87" t="n"/>
      <c r="R222" s="5" t="n">
        <v>19</v>
      </c>
      <c r="S222" s="2" t="n">
        <v>1</v>
      </c>
      <c r="T222" s="3" t="inlineStr">
        <is>
          <t>CA42796IR</t>
        </is>
      </c>
      <c r="U222" s="87" t="n">
        <v>45821</v>
      </c>
      <c r="V222" s="3" t="inlineStr">
        <is>
          <t>16</t>
        </is>
      </c>
      <c r="W222" s="108" t="n">
        <v>45821</v>
      </c>
      <c r="X222" s="4" t="inlineStr">
        <is>
          <t>PHILIPPOS COSTANTINIDES TRADING CO. LTD</t>
        </is>
      </c>
    </row>
    <row r="223" ht="24" customHeight="1">
      <c r="A223" s="2">
        <f>+D223-S223</f>
        <v/>
      </c>
      <c r="B223" s="80" t="n"/>
      <c r="C223" s="70" t="n">
        <v>45436</v>
      </c>
      <c r="D223" s="2" t="n">
        <v>1</v>
      </c>
      <c r="E223" s="3" t="inlineStr">
        <is>
          <t>FUCILE SOVRAPPOSTO</t>
        </is>
      </c>
      <c r="F223" s="3" t="n">
        <v>12</v>
      </c>
      <c r="G223" s="3" t="inlineStr">
        <is>
          <t>FRANCHI</t>
        </is>
      </c>
      <c r="H223" s="65" t="inlineStr">
        <is>
          <t>FALCONET</t>
        </is>
      </c>
      <c r="I223" s="65" t="n">
        <v>2007218</v>
      </c>
      <c r="J223" s="65" t="inlineStr">
        <is>
          <t>N/D</t>
        </is>
      </c>
      <c r="K223" s="65" t="inlineStr">
        <is>
          <t>N/D</t>
        </is>
      </c>
      <c r="L223" s="127" t="inlineStr">
        <is>
          <t>EREDI SAFARI SPORT - SEVERI GINO DI ARMILLI MARIA TERESA</t>
        </is>
      </c>
      <c r="M223" s="5" t="n">
        <v>20.49</v>
      </c>
      <c r="N223" s="5" t="n"/>
      <c r="O223" s="5">
        <f>+M223+N223</f>
        <v/>
      </c>
      <c r="P223" s="4" t="n"/>
      <c r="Q223" s="87" t="n"/>
      <c r="R223" s="5" t="n">
        <v>29</v>
      </c>
      <c r="S223" s="2" t="n">
        <v>1</v>
      </c>
      <c r="T223" s="3" t="inlineStr">
        <is>
          <t>CA42796IR</t>
        </is>
      </c>
      <c r="U223" s="87" t="n">
        <v>45821</v>
      </c>
      <c r="V223" s="3" t="inlineStr">
        <is>
          <t>9</t>
        </is>
      </c>
      <c r="W223" s="108" t="n">
        <v>45821</v>
      </c>
      <c r="X223" s="4" t="inlineStr">
        <is>
          <t>PHILIPPOS COSTANTINIDES TRADING CO. LTD</t>
        </is>
      </c>
    </row>
    <row r="224" ht="24" customHeight="1">
      <c r="A224" s="2">
        <f>+D224-S224</f>
        <v/>
      </c>
      <c r="B224" s="80" t="n"/>
      <c r="C224" s="70" t="n">
        <v>45436</v>
      </c>
      <c r="D224" s="2" t="n">
        <v>1</v>
      </c>
      <c r="E224" s="3" t="inlineStr">
        <is>
          <t>FUCILE SOVRAPPOSTO</t>
        </is>
      </c>
      <c r="F224" s="3" t="n">
        <v>12</v>
      </c>
      <c r="G224" s="3" t="inlineStr">
        <is>
          <t>FRANCHI</t>
        </is>
      </c>
      <c r="H224" s="65" t="n"/>
      <c r="I224" s="65" t="n">
        <v>10977</v>
      </c>
      <c r="J224" s="65" t="inlineStr">
        <is>
          <t>N/D</t>
        </is>
      </c>
      <c r="K224" s="65" t="inlineStr">
        <is>
          <t>N/D</t>
        </is>
      </c>
      <c r="L224" s="127" t="inlineStr">
        <is>
          <t>EREDI SAFARI SPORT - SEVERI GINO DI ARMILLI MARIA TERESA</t>
        </is>
      </c>
      <c r="M224" s="5" t="n">
        <v>40.98</v>
      </c>
      <c r="N224" s="5" t="n"/>
      <c r="O224" s="5">
        <f>+M224+N224</f>
        <v/>
      </c>
      <c r="P224" s="4" t="n"/>
      <c r="Q224" s="87" t="n"/>
      <c r="R224" s="5" t="n">
        <v>52</v>
      </c>
      <c r="S224" s="2" t="n">
        <v>1</v>
      </c>
      <c r="T224" s="3" t="inlineStr">
        <is>
          <t>CA42796IR</t>
        </is>
      </c>
      <c r="U224" s="87" t="n">
        <v>45821</v>
      </c>
      <c r="V224" s="3" t="inlineStr">
        <is>
          <t>9</t>
        </is>
      </c>
      <c r="W224" s="108" t="n">
        <v>45821</v>
      </c>
      <c r="X224" s="4" t="inlineStr">
        <is>
          <t>PHILIPPOS COSTANTINIDES TRADING CO. LTD</t>
        </is>
      </c>
    </row>
    <row r="225" ht="24" customHeight="1">
      <c r="A225" s="2">
        <f>+D225-S225</f>
        <v/>
      </c>
      <c r="B225" s="80" t="n"/>
      <c r="C225" s="70" t="n">
        <v>45436</v>
      </c>
      <c r="D225" s="2" t="n">
        <v>1</v>
      </c>
      <c r="E225" s="3" t="inlineStr">
        <is>
          <t>FUCILE SOVRAPPOSTO</t>
        </is>
      </c>
      <c r="F225" s="3" t="n">
        <v>12</v>
      </c>
      <c r="G225" s="3" t="inlineStr">
        <is>
          <t>FABARM</t>
        </is>
      </c>
      <c r="H225" s="65" t="inlineStr">
        <is>
          <t>GAMMA</t>
        </is>
      </c>
      <c r="I225" s="65" t="n">
        <v>95151</v>
      </c>
      <c r="J225" s="65" t="inlineStr">
        <is>
          <t>N/D</t>
        </is>
      </c>
      <c r="K225" s="65" t="inlineStr">
        <is>
          <t>N/D</t>
        </is>
      </c>
      <c r="L225" s="127" t="inlineStr">
        <is>
          <t>EREDI SAFARI SPORT - SEVERI GINO DI ARMILLI MARIA TERESA</t>
        </is>
      </c>
      <c r="M225" s="5" t="n">
        <v>40.98</v>
      </c>
      <c r="N225" s="5" t="n"/>
      <c r="O225" s="5">
        <f>+M225+N225</f>
        <v/>
      </c>
      <c r="P225" s="4" t="n"/>
      <c r="Q225" s="87" t="n"/>
      <c r="R225" s="5" t="n">
        <v>52</v>
      </c>
      <c r="S225" s="2" t="n">
        <v>1</v>
      </c>
      <c r="T225" s="3" t="inlineStr">
        <is>
          <t>CA42796IR</t>
        </is>
      </c>
      <c r="U225" s="87" t="n">
        <v>45821</v>
      </c>
      <c r="V225" s="3" t="inlineStr">
        <is>
          <t>10</t>
        </is>
      </c>
      <c r="W225" s="108" t="n">
        <v>45821</v>
      </c>
      <c r="X225" s="4" t="inlineStr">
        <is>
          <t>PHILIPPOS COSTANTINIDES TRADING CO. LTD</t>
        </is>
      </c>
    </row>
    <row r="226" ht="24" customHeight="1">
      <c r="A226" s="2">
        <f>+D226-S226</f>
        <v/>
      </c>
      <c r="B226" s="80" t="n"/>
      <c r="C226" s="70" t="n">
        <v>45436</v>
      </c>
      <c r="D226" s="2" t="n">
        <v>1</v>
      </c>
      <c r="E226" s="3" t="inlineStr">
        <is>
          <t>FUCILE DOPPIETTA</t>
        </is>
      </c>
      <c r="F226" s="3" t="n">
        <v>12</v>
      </c>
      <c r="G226" s="3" t="inlineStr">
        <is>
          <t>DALE</t>
        </is>
      </c>
      <c r="H226" s="65" t="n"/>
      <c r="I226" s="65" t="n">
        <v>3704</v>
      </c>
      <c r="J226" s="65" t="inlineStr">
        <is>
          <t>N/D</t>
        </is>
      </c>
      <c r="K226" s="65" t="inlineStr">
        <is>
          <t>N/D</t>
        </is>
      </c>
      <c r="L226" s="127" t="inlineStr">
        <is>
          <t>EREDI SAFARI SPORT - SEVERI GINO DI ARMILLI MARIA TERESA</t>
        </is>
      </c>
      <c r="M226" s="5" t="n">
        <v>20.49</v>
      </c>
      <c r="N226" s="5" t="n"/>
      <c r="O226" s="5">
        <f>+M226+N226</f>
        <v/>
      </c>
      <c r="P226" s="4" t="n"/>
      <c r="Q226" s="87" t="n"/>
      <c r="R226" s="5" t="n">
        <v>29</v>
      </c>
      <c r="S226" s="2" t="n">
        <v>1</v>
      </c>
      <c r="T226" s="3" t="inlineStr">
        <is>
          <t>CA42796IR</t>
        </is>
      </c>
      <c r="U226" s="87" t="n">
        <v>45821</v>
      </c>
      <c r="V226" s="3" t="inlineStr">
        <is>
          <t>16</t>
        </is>
      </c>
      <c r="W226" s="108" t="n">
        <v>45821</v>
      </c>
      <c r="X226" s="4" t="inlineStr">
        <is>
          <t>PHILIPPOS COSTANTINIDES TRADING CO. LTD</t>
        </is>
      </c>
    </row>
    <row r="227" ht="24" customHeight="1">
      <c r="A227" s="2">
        <f>+D227-S227</f>
        <v/>
      </c>
      <c r="B227" s="80" t="n"/>
      <c r="C227" s="70" t="n">
        <v>45436</v>
      </c>
      <c r="D227" s="2" t="n">
        <v>1</v>
      </c>
      <c r="E227" s="3" t="inlineStr">
        <is>
          <t>FUCILE SOVRAPPOSTO</t>
        </is>
      </c>
      <c r="F227" s="3" t="n">
        <v>12</v>
      </c>
      <c r="G227" s="3" t="inlineStr">
        <is>
          <t>FRANCHI</t>
        </is>
      </c>
      <c r="H227" s="65" t="inlineStr">
        <is>
          <t>FALCONET</t>
        </is>
      </c>
      <c r="I227" s="65" t="n">
        <v>4000663</v>
      </c>
      <c r="J227" s="65" t="inlineStr">
        <is>
          <t>N/D</t>
        </is>
      </c>
      <c r="K227" s="65" t="inlineStr">
        <is>
          <t>N/D</t>
        </is>
      </c>
      <c r="L227" s="127" t="inlineStr">
        <is>
          <t>EREDI SAFARI SPORT - SEVERI GINO DI ARMILLI MARIA TERESA</t>
        </is>
      </c>
      <c r="M227" s="5" t="n">
        <v>20.49</v>
      </c>
      <c r="N227" s="5" t="n"/>
      <c r="O227" s="5">
        <f>+M227+N227</f>
        <v/>
      </c>
      <c r="P227" s="4" t="n"/>
      <c r="Q227" s="87" t="n"/>
      <c r="R227" s="5" t="n">
        <v>29</v>
      </c>
      <c r="S227" s="2" t="n">
        <v>1</v>
      </c>
      <c r="T227" s="3" t="inlineStr">
        <is>
          <t>CA42796IR</t>
        </is>
      </c>
      <c r="U227" s="87" t="n">
        <v>45821</v>
      </c>
      <c r="V227" s="3" t="inlineStr">
        <is>
          <t>9</t>
        </is>
      </c>
      <c r="W227" s="108" t="n">
        <v>45821</v>
      </c>
      <c r="X227" s="4" t="inlineStr">
        <is>
          <t>PHILIPPOS COSTANTINIDES TRADING CO. LTD</t>
        </is>
      </c>
    </row>
    <row r="228" ht="24" customHeight="1">
      <c r="A228" s="2">
        <f>+D228-S228</f>
        <v/>
      </c>
      <c r="B228" s="80" t="n"/>
      <c r="C228" s="70" t="n">
        <v>45436</v>
      </c>
      <c r="D228" s="2" t="n">
        <v>1</v>
      </c>
      <c r="E228" s="3" t="inlineStr">
        <is>
          <t>FUCILE DOPPIETTA</t>
        </is>
      </c>
      <c r="F228" s="3" t="n">
        <v>12</v>
      </c>
      <c r="G228" s="3" t="inlineStr">
        <is>
          <t>LIBERO DAFFINI</t>
        </is>
      </c>
      <c r="H228" s="65" t="n"/>
      <c r="I228" s="65" t="n">
        <v>13318</v>
      </c>
      <c r="J228" s="65" t="inlineStr">
        <is>
          <t>N/D</t>
        </is>
      </c>
      <c r="K228" s="65" t="inlineStr">
        <is>
          <t>N/D</t>
        </is>
      </c>
      <c r="L228" s="127" t="inlineStr">
        <is>
          <t>EREDI SAFARI SPORT - SEVERI GINO DI ARMILLI MARIA TERESA</t>
        </is>
      </c>
      <c r="M228" s="5" t="n">
        <v>40.98</v>
      </c>
      <c r="N228" s="5" t="n"/>
      <c r="O228" s="5">
        <f>+M228+N228</f>
        <v/>
      </c>
      <c r="P228" s="4" t="n"/>
      <c r="Q228" s="87" t="n"/>
      <c r="R228" s="5" t="n">
        <v>52</v>
      </c>
      <c r="S228" s="2" t="n">
        <v>1</v>
      </c>
      <c r="T228" s="3" t="inlineStr">
        <is>
          <t>CA42796IR</t>
        </is>
      </c>
      <c r="U228" s="87" t="n">
        <v>45821</v>
      </c>
      <c r="V228" s="3" t="inlineStr">
        <is>
          <t>13</t>
        </is>
      </c>
      <c r="W228" s="108" t="n">
        <v>45821</v>
      </c>
      <c r="X228" s="4" t="inlineStr">
        <is>
          <t>PHILIPPOS COSTANTINIDES TRADING CO. LTD</t>
        </is>
      </c>
    </row>
    <row r="229" ht="24" customHeight="1">
      <c r="A229" s="2">
        <f>+D229-S229</f>
        <v/>
      </c>
      <c r="B229" s="80" t="n"/>
      <c r="C229" s="70" t="n">
        <v>45436</v>
      </c>
      <c r="D229" s="2" t="n">
        <v>1</v>
      </c>
      <c r="E229" s="3" t="inlineStr">
        <is>
          <t>FUCILE DOPPIETTA</t>
        </is>
      </c>
      <c r="F229" s="3" t="n">
        <v>12</v>
      </c>
      <c r="G229" s="3" t="inlineStr">
        <is>
          <t>KRUPP</t>
        </is>
      </c>
      <c r="H229" s="65" t="n"/>
      <c r="I229" s="65" t="n">
        <v>20</v>
      </c>
      <c r="J229" s="65" t="inlineStr">
        <is>
          <t>N/D</t>
        </is>
      </c>
      <c r="K229" s="65" t="inlineStr">
        <is>
          <t>N/D</t>
        </is>
      </c>
      <c r="L229" s="127" t="inlineStr">
        <is>
          <t>EREDI SAFARI SPORT - SEVERI GINO DI ARMILLI MARIA TERESA</t>
        </is>
      </c>
      <c r="M229" s="5" t="n">
        <v>40.98</v>
      </c>
      <c r="N229" s="5" t="n"/>
      <c r="O229" s="5">
        <f>+M229+N229</f>
        <v/>
      </c>
      <c r="P229" s="4" t="n"/>
      <c r="Q229" s="87" t="n"/>
      <c r="R229" s="5" t="n">
        <v>52</v>
      </c>
      <c r="S229" s="2" t="n">
        <v>1</v>
      </c>
      <c r="T229" s="3" t="inlineStr">
        <is>
          <t>CA42796IR</t>
        </is>
      </c>
      <c r="U229" s="87" t="n">
        <v>45821</v>
      </c>
      <c r="V229" s="3" t="inlineStr">
        <is>
          <t>14</t>
        </is>
      </c>
      <c r="W229" s="108" t="n">
        <v>45821</v>
      </c>
      <c r="X229" s="4" t="inlineStr">
        <is>
          <t>PHILIPPOS COSTANTINIDES TRADING CO. LTD</t>
        </is>
      </c>
    </row>
    <row r="230" ht="24" customHeight="1">
      <c r="A230" s="2">
        <f>+D230-S230</f>
        <v/>
      </c>
      <c r="B230" s="80" t="n"/>
      <c r="C230" s="70" t="n">
        <v>45436</v>
      </c>
      <c r="D230" s="2" t="n">
        <v>1</v>
      </c>
      <c r="E230" s="3" t="inlineStr">
        <is>
          <t>FUCILE DOPPIETTA</t>
        </is>
      </c>
      <c r="F230" s="3" t="n">
        <v>12</v>
      </c>
      <c r="G230" s="3" t="inlineStr">
        <is>
          <t>BAIKAL</t>
        </is>
      </c>
      <c r="H230" s="65" t="n"/>
      <c r="I230" s="65" t="inlineStr">
        <is>
          <t>H18043</t>
        </is>
      </c>
      <c r="J230" s="65" t="inlineStr">
        <is>
          <t>N/D</t>
        </is>
      </c>
      <c r="K230" s="65" t="inlineStr">
        <is>
          <t>N/D</t>
        </is>
      </c>
      <c r="L230" s="127" t="inlineStr">
        <is>
          <t>EREDI SAFARI SPORT - SEVERI GINO DI ARMILLI MARIA TERESA</t>
        </is>
      </c>
      <c r="M230" s="5" t="n">
        <v>40.98</v>
      </c>
      <c r="N230" s="5" t="n"/>
      <c r="O230" s="5">
        <f>+M230+N230</f>
        <v/>
      </c>
      <c r="P230" s="4" t="n"/>
      <c r="Q230" s="87" t="n"/>
      <c r="R230" s="5" t="n">
        <v>52</v>
      </c>
      <c r="S230" s="2" t="n">
        <v>1</v>
      </c>
      <c r="T230" s="3" t="inlineStr">
        <is>
          <t>CA42796IR</t>
        </is>
      </c>
      <c r="U230" s="87" t="n">
        <v>45821</v>
      </c>
      <c r="V230" s="3" t="inlineStr">
        <is>
          <t>16</t>
        </is>
      </c>
      <c r="W230" s="108" t="n">
        <v>45821</v>
      </c>
      <c r="X230" s="4" t="inlineStr">
        <is>
          <t>PHILIPPOS COSTANTINIDES TRADING CO. LTD</t>
        </is>
      </c>
    </row>
    <row r="231" ht="24" customHeight="1">
      <c r="A231" s="2">
        <f>+D231-S231</f>
        <v/>
      </c>
      <c r="B231" s="80" t="n"/>
      <c r="C231" s="70" t="n">
        <v>45436</v>
      </c>
      <c r="D231" s="2" t="n">
        <v>1</v>
      </c>
      <c r="E231" s="3" t="inlineStr">
        <is>
          <t>FUCILE DOPPIETTA</t>
        </is>
      </c>
      <c r="F231" s="3" t="n">
        <v>12</v>
      </c>
      <c r="G231" s="3" t="inlineStr">
        <is>
          <t>KRUPP</t>
        </is>
      </c>
      <c r="H231" s="65" t="n"/>
      <c r="I231" s="65" t="n">
        <v>19515</v>
      </c>
      <c r="J231" s="65" t="inlineStr">
        <is>
          <t>N/D</t>
        </is>
      </c>
      <c r="K231" s="65" t="inlineStr">
        <is>
          <t>N/D</t>
        </is>
      </c>
      <c r="L231" s="127" t="inlineStr">
        <is>
          <t>EREDI SAFARI SPORT - SEVERI GINO DI ARMILLI MARIA TERESA</t>
        </is>
      </c>
      <c r="M231" s="5" t="n">
        <v>40.98</v>
      </c>
      <c r="N231" s="5" t="n"/>
      <c r="O231" s="5">
        <f>+M231+N231</f>
        <v/>
      </c>
      <c r="P231" s="4" t="n"/>
      <c r="Q231" s="87" t="n"/>
      <c r="R231" s="5" t="n">
        <v>52</v>
      </c>
      <c r="S231" s="2" t="n">
        <v>1</v>
      </c>
      <c r="T231" s="3" t="inlineStr">
        <is>
          <t>CA42796IR</t>
        </is>
      </c>
      <c r="U231" s="87" t="n">
        <v>45821</v>
      </c>
      <c r="V231" s="3" t="inlineStr">
        <is>
          <t>14</t>
        </is>
      </c>
      <c r="W231" s="108" t="n">
        <v>45821</v>
      </c>
      <c r="X231" s="4" t="inlineStr">
        <is>
          <t>PHILIPPOS COSTANTINIDES TRADING CO. LTD</t>
        </is>
      </c>
    </row>
    <row r="232" ht="24" customHeight="1">
      <c r="A232" s="2">
        <f>+D232-S232</f>
        <v/>
      </c>
      <c r="B232" s="80" t="n"/>
      <c r="C232" s="70" t="n">
        <v>45436</v>
      </c>
      <c r="D232" s="2" t="n">
        <v>1</v>
      </c>
      <c r="E232" s="3" t="inlineStr">
        <is>
          <t>FUCILE DOPPIETTA</t>
        </is>
      </c>
      <c r="F232" s="3" t="n">
        <v>12</v>
      </c>
      <c r="G232" s="3" t="inlineStr">
        <is>
          <t>BERETTA</t>
        </is>
      </c>
      <c r="H232" s="65" t="inlineStr">
        <is>
          <t>MONOBLOC</t>
        </is>
      </c>
      <c r="I232" s="65" t="inlineStr">
        <is>
          <t>A16678</t>
        </is>
      </c>
      <c r="J232" s="65" t="inlineStr">
        <is>
          <t>N/D</t>
        </is>
      </c>
      <c r="K232" s="65" t="inlineStr">
        <is>
          <t>N/D</t>
        </is>
      </c>
      <c r="L232" s="127" t="inlineStr">
        <is>
          <t>EREDI SAFARI SPORT - SEVERI GINO DI ARMILLI MARIA TERESA</t>
        </is>
      </c>
      <c r="M232" s="5" t="n">
        <v>40.98</v>
      </c>
      <c r="N232" s="5" t="n"/>
      <c r="O232" s="5">
        <f>+M232+N232</f>
        <v/>
      </c>
      <c r="P232" s="4" t="n"/>
      <c r="Q232" s="87" t="n"/>
      <c r="R232" s="5" t="n">
        <v>52</v>
      </c>
      <c r="S232" s="2" t="n">
        <v>1</v>
      </c>
      <c r="T232" s="3" t="inlineStr">
        <is>
          <t>CA42796IR</t>
        </is>
      </c>
      <c r="U232" s="87" t="n">
        <v>45821</v>
      </c>
      <c r="V232" s="3" t="inlineStr">
        <is>
          <t>12</t>
        </is>
      </c>
      <c r="W232" s="108" t="n">
        <v>45821</v>
      </c>
      <c r="X232" s="4" t="inlineStr">
        <is>
          <t>PHILIPPOS COSTANTINIDES TRADING CO. LTD</t>
        </is>
      </c>
    </row>
    <row r="233" ht="24" customHeight="1">
      <c r="A233" s="2">
        <f>+D233-S233</f>
        <v/>
      </c>
      <c r="B233" s="80" t="n"/>
      <c r="C233" s="70" t="n">
        <v>45436</v>
      </c>
      <c r="D233" s="2" t="n">
        <v>1</v>
      </c>
      <c r="E233" s="3" t="inlineStr">
        <is>
          <t>FUCILE DOPPIETTA</t>
        </is>
      </c>
      <c r="F233" s="3" t="n">
        <v>12</v>
      </c>
      <c r="G233" s="3" t="inlineStr">
        <is>
          <t>ZOLI</t>
        </is>
      </c>
      <c r="H233" s="65" t="n"/>
      <c r="I233" s="65" t="n">
        <v>249489</v>
      </c>
      <c r="J233" s="65" t="inlineStr">
        <is>
          <t>N/D</t>
        </is>
      </c>
      <c r="K233" s="65" t="inlineStr">
        <is>
          <t>N/D</t>
        </is>
      </c>
      <c r="L233" s="127" t="inlineStr">
        <is>
          <t>EREDI SAFARI SPORT - SEVERI GINO DI ARMILLI MARIA TERESA</t>
        </is>
      </c>
      <c r="M233" s="5" t="n">
        <v>81.97</v>
      </c>
      <c r="N233" s="5" t="n"/>
      <c r="O233" s="5">
        <f>+M233+N233</f>
        <v/>
      </c>
      <c r="P233" s="4" t="n"/>
      <c r="Q233" s="87" t="n"/>
      <c r="R233" s="5" t="n">
        <v>99</v>
      </c>
      <c r="S233" s="2" t="n">
        <v>1</v>
      </c>
      <c r="T233" s="3" t="inlineStr">
        <is>
          <t>CA42796IR</t>
        </is>
      </c>
      <c r="U233" s="87" t="n">
        <v>45821</v>
      </c>
      <c r="V233" s="3" t="inlineStr">
        <is>
          <t>15</t>
        </is>
      </c>
      <c r="W233" s="108" t="n">
        <v>45821</v>
      </c>
      <c r="X233" s="4" t="inlineStr">
        <is>
          <t>PHILIPPOS COSTANTINIDES TRADING CO. LTD</t>
        </is>
      </c>
    </row>
    <row r="234" ht="24" customHeight="1">
      <c r="A234" s="2">
        <f>+D234-S234</f>
        <v/>
      </c>
      <c r="B234" s="80" t="n"/>
      <c r="C234" s="70" t="n">
        <v>45436</v>
      </c>
      <c r="D234" s="2" t="n">
        <v>1</v>
      </c>
      <c r="E234" s="3" t="inlineStr">
        <is>
          <t>FUCILE DOPPIETTA</t>
        </is>
      </c>
      <c r="F234" s="3" t="n">
        <v>12</v>
      </c>
      <c r="G234" s="3" t="inlineStr">
        <is>
          <t>FRANCHI</t>
        </is>
      </c>
      <c r="H234" s="65" t="n">
        <v>300</v>
      </c>
      <c r="I234" s="65" t="inlineStr">
        <is>
          <t>30075-E</t>
        </is>
      </c>
      <c r="J234" s="65" t="inlineStr">
        <is>
          <t>N/D</t>
        </is>
      </c>
      <c r="K234" s="65" t="inlineStr">
        <is>
          <t>N/D</t>
        </is>
      </c>
      <c r="L234" s="127" t="inlineStr">
        <is>
          <t>EREDI SAFARI SPORT - SEVERI GINO DI ARMILLI MARIA TERESA</t>
        </is>
      </c>
      <c r="M234" s="5" t="n">
        <v>40.98</v>
      </c>
      <c r="N234" s="5" t="n"/>
      <c r="O234" s="5">
        <f>+M234+N234</f>
        <v/>
      </c>
      <c r="P234" s="4" t="n"/>
      <c r="Q234" s="87" t="n"/>
      <c r="R234" s="5" t="n">
        <v>52</v>
      </c>
      <c r="S234" s="2" t="n">
        <v>1</v>
      </c>
      <c r="T234" s="3" t="inlineStr">
        <is>
          <t>CA42796IR</t>
        </is>
      </c>
      <c r="U234" s="87" t="n">
        <v>45821</v>
      </c>
      <c r="V234" s="3" t="inlineStr">
        <is>
          <t>16</t>
        </is>
      </c>
      <c r="W234" s="108" t="n">
        <v>45821</v>
      </c>
      <c r="X234" s="4" t="inlineStr">
        <is>
          <t>PHILIPPOS COSTANTINIDES TRADING CO. LTD</t>
        </is>
      </c>
    </row>
    <row r="235" ht="24" customHeight="1">
      <c r="A235" s="2">
        <f>+D235-S235</f>
        <v/>
      </c>
      <c r="B235" s="80" t="n"/>
      <c r="C235" s="70" t="n">
        <v>45436</v>
      </c>
      <c r="D235" s="2" t="n">
        <v>1</v>
      </c>
      <c r="E235" s="3" t="inlineStr">
        <is>
          <t>FUCILE DOPPIETTA</t>
        </is>
      </c>
      <c r="F235" s="3" t="n">
        <v>12</v>
      </c>
      <c r="G235" s="3" t="inlineStr">
        <is>
          <t>LEBEAU CORALLY</t>
        </is>
      </c>
      <c r="H235" s="65" t="n"/>
      <c r="I235" s="65" t="n">
        <v>36319</v>
      </c>
      <c r="J235" s="65" t="inlineStr">
        <is>
          <t>N/D</t>
        </is>
      </c>
      <c r="K235" s="65" t="inlineStr">
        <is>
          <t>N/D</t>
        </is>
      </c>
      <c r="L235" s="127" t="inlineStr">
        <is>
          <t>EREDI SAFARI SPORT - SEVERI GINO DI ARMILLI MARIA TERESA</t>
        </is>
      </c>
      <c r="M235" s="5" t="n">
        <v>81.97</v>
      </c>
      <c r="N235" s="5" t="n"/>
      <c r="O235" s="5">
        <f>+M235+N235</f>
        <v/>
      </c>
      <c r="P235" s="4" t="n"/>
      <c r="Q235" s="87" t="n"/>
      <c r="R235" s="5" t="n">
        <v>99</v>
      </c>
      <c r="S235" s="2" t="n">
        <v>1</v>
      </c>
      <c r="T235" s="3" t="inlineStr">
        <is>
          <t>CA42796IR</t>
        </is>
      </c>
      <c r="U235" s="87" t="n">
        <v>45821</v>
      </c>
      <c r="V235" s="3" t="inlineStr">
        <is>
          <t>16</t>
        </is>
      </c>
      <c r="W235" s="108" t="n">
        <v>45821</v>
      </c>
      <c r="X235" s="4" t="inlineStr">
        <is>
          <t>PHILIPPOS COSTANTINIDES TRADING CO. LTD</t>
        </is>
      </c>
    </row>
    <row r="236" ht="24" customHeight="1">
      <c r="A236" s="2">
        <f>+D236-S236</f>
        <v/>
      </c>
      <c r="B236" s="80" t="n"/>
      <c r="C236" s="70" t="n">
        <v>45436</v>
      </c>
      <c r="D236" s="2" t="n">
        <v>1</v>
      </c>
      <c r="E236" s="3" t="inlineStr">
        <is>
          <t>FUCILE DOPPIETTA</t>
        </is>
      </c>
      <c r="F236" s="3" t="n">
        <v>12</v>
      </c>
      <c r="G236" s="3" t="inlineStr">
        <is>
          <t>ARTIGIANALE</t>
        </is>
      </c>
      <c r="H236" s="65" t="n"/>
      <c r="I236" s="65" t="n">
        <v>6282</v>
      </c>
      <c r="J236" s="65" t="inlineStr">
        <is>
          <t>N/D</t>
        </is>
      </c>
      <c r="K236" s="65" t="inlineStr">
        <is>
          <t>N/D</t>
        </is>
      </c>
      <c r="L236" s="127" t="inlineStr">
        <is>
          <t>EREDI SAFARI SPORT - SEVERI GINO DI ARMILLI MARIA TERESA</t>
        </is>
      </c>
      <c r="M236" s="5" t="n">
        <v>12.3</v>
      </c>
      <c r="N236" s="5" t="n"/>
      <c r="O236" s="5">
        <f>+M236+N236</f>
        <v/>
      </c>
      <c r="P236" s="4" t="n"/>
      <c r="Q236" s="87" t="n"/>
      <c r="R236" s="5" t="n">
        <v>19</v>
      </c>
      <c r="S236" s="2" t="n">
        <v>1</v>
      </c>
      <c r="T236" s="3" t="inlineStr">
        <is>
          <t>CA42796IR</t>
        </is>
      </c>
      <c r="U236" s="87" t="n">
        <v>45821</v>
      </c>
      <c r="V236" s="3" t="inlineStr">
        <is>
          <t>12</t>
        </is>
      </c>
      <c r="W236" s="108" t="n">
        <v>45821</v>
      </c>
      <c r="X236" s="4" t="inlineStr">
        <is>
          <t>PHILIPPOS COSTANTINIDES TRADING CO. LTD</t>
        </is>
      </c>
    </row>
    <row r="237" ht="24" customHeight="1">
      <c r="A237" s="2">
        <f>+D237-S237</f>
        <v/>
      </c>
      <c r="B237" s="80" t="n"/>
      <c r="C237" s="70" t="n">
        <v>45436</v>
      </c>
      <c r="D237" s="2" t="n">
        <v>1</v>
      </c>
      <c r="E237" s="3" t="inlineStr">
        <is>
          <t>FUCILE SOVRAPPOSTO</t>
        </is>
      </c>
      <c r="F237" s="3" t="n">
        <v>12</v>
      </c>
      <c r="G237" s="3" t="inlineStr">
        <is>
          <t>BERETTA</t>
        </is>
      </c>
      <c r="H237" s="65" t="inlineStr">
        <is>
          <t>S56E</t>
        </is>
      </c>
      <c r="I237" s="65" t="inlineStr">
        <is>
          <t>08106</t>
        </is>
      </c>
      <c r="J237" s="65" t="inlineStr">
        <is>
          <t>N/D</t>
        </is>
      </c>
      <c r="K237" s="65" t="inlineStr">
        <is>
          <t>N/D</t>
        </is>
      </c>
      <c r="L237" s="127" t="inlineStr">
        <is>
          <t>EREDI SAFARI SPORT - SEVERI GINO DI ARMILLI MARIA TERESA</t>
        </is>
      </c>
      <c r="M237" s="5" t="n">
        <v>40.98</v>
      </c>
      <c r="N237" s="5" t="n"/>
      <c r="O237" s="5">
        <f>+M237+N237</f>
        <v/>
      </c>
      <c r="P237" s="4" t="n"/>
      <c r="Q237" s="87" t="n"/>
      <c r="R237" s="5" t="n">
        <v>52</v>
      </c>
      <c r="S237" s="2" t="n">
        <v>1</v>
      </c>
      <c r="T237" s="3" t="inlineStr">
        <is>
          <t>CA42796IR</t>
        </is>
      </c>
      <c r="U237" s="87" t="n">
        <v>45821</v>
      </c>
      <c r="V237" s="3" t="inlineStr">
        <is>
          <t>9</t>
        </is>
      </c>
      <c r="W237" s="108" t="n">
        <v>45821</v>
      </c>
      <c r="X237" s="4" t="inlineStr">
        <is>
          <t>PHILIPPOS COSTANTINIDES TRADING CO. LTD</t>
        </is>
      </c>
    </row>
    <row r="238" ht="24" customHeight="1">
      <c r="A238" s="2">
        <f>+D238-S238</f>
        <v/>
      </c>
      <c r="B238" s="80" t="n"/>
      <c r="C238" s="70" t="n">
        <v>45436</v>
      </c>
      <c r="D238" s="2" t="n">
        <v>1</v>
      </c>
      <c r="E238" s="3" t="inlineStr">
        <is>
          <t>FUCILE DOPPIETTA</t>
        </is>
      </c>
      <c r="F238" s="3" t="n">
        <v>16</v>
      </c>
      <c r="G238" s="3" t="inlineStr">
        <is>
          <t>ARTIGIANALE</t>
        </is>
      </c>
      <c r="H238" s="65" t="n"/>
      <c r="I238" s="65" t="n">
        <v>24780</v>
      </c>
      <c r="J238" s="65" t="inlineStr">
        <is>
          <t>N/D</t>
        </is>
      </c>
      <c r="K238" s="65" t="inlineStr">
        <is>
          <t>N/D</t>
        </is>
      </c>
      <c r="L238" s="127" t="inlineStr">
        <is>
          <t>EREDI SAFARI SPORT - SEVERI GINO DI ARMILLI MARIA TERESA</t>
        </is>
      </c>
      <c r="M238" s="5" t="n">
        <v>20.49</v>
      </c>
      <c r="N238" s="5" t="n"/>
      <c r="O238" s="5">
        <f>+M238+N238</f>
        <v/>
      </c>
      <c r="P238" s="4" t="n"/>
      <c r="Q238" s="87" t="n"/>
      <c r="R238" s="5" t="n">
        <v>29</v>
      </c>
      <c r="S238" s="2" t="n">
        <v>1</v>
      </c>
      <c r="T238" s="3" t="inlineStr">
        <is>
          <t>CA42796IR</t>
        </is>
      </c>
      <c r="U238" s="87" t="n">
        <v>45821</v>
      </c>
      <c r="V238" s="3" t="inlineStr">
        <is>
          <t>12</t>
        </is>
      </c>
      <c r="W238" s="108" t="n">
        <v>45821</v>
      </c>
      <c r="X238" s="4" t="inlineStr">
        <is>
          <t>PHILIPPOS COSTANTINIDES TRADING CO. LTD</t>
        </is>
      </c>
    </row>
    <row r="239" ht="24" customHeight="1">
      <c r="A239" s="2">
        <f>+D239-S239</f>
        <v/>
      </c>
      <c r="B239" s="80" t="n"/>
      <c r="C239" s="70" t="n">
        <v>45436</v>
      </c>
      <c r="D239" s="2" t="n">
        <v>1</v>
      </c>
      <c r="E239" s="3" t="inlineStr">
        <is>
          <t>FUCILE DOPPIETTA</t>
        </is>
      </c>
      <c r="F239" s="3" t="n">
        <v>12</v>
      </c>
      <c r="G239" s="3" t="inlineStr">
        <is>
          <t>ALCEDO</t>
        </is>
      </c>
      <c r="H239" s="65" t="n"/>
      <c r="I239" s="65" t="n">
        <v>3366</v>
      </c>
      <c r="J239" s="65" t="inlineStr">
        <is>
          <t>N/D</t>
        </is>
      </c>
      <c r="K239" s="65" t="inlineStr">
        <is>
          <t>N/D</t>
        </is>
      </c>
      <c r="L239" s="127" t="inlineStr">
        <is>
          <t>EREDI SAFARI SPORT - SEVERI GINO DI ARMILLI MARIA TERESA</t>
        </is>
      </c>
      <c r="M239" s="5" t="n">
        <v>32.79</v>
      </c>
      <c r="N239" s="5" t="n"/>
      <c r="O239" s="5">
        <f>+M239+N239</f>
        <v/>
      </c>
      <c r="P239" s="4" t="n"/>
      <c r="Q239" s="87" t="n"/>
      <c r="R239" s="5" t="n">
        <v>43</v>
      </c>
      <c r="S239" s="2" t="n">
        <v>1</v>
      </c>
      <c r="T239" s="3" t="inlineStr">
        <is>
          <t>CA42796IR</t>
        </is>
      </c>
      <c r="U239" s="87" t="n">
        <v>45821</v>
      </c>
      <c r="V239" s="3" t="inlineStr">
        <is>
          <t>15</t>
        </is>
      </c>
      <c r="W239" s="108" t="n">
        <v>45821</v>
      </c>
      <c r="X239" s="4" t="inlineStr">
        <is>
          <t>PHILIPPOS COSTANTINIDES TRADING CO. LTD</t>
        </is>
      </c>
    </row>
    <row r="240" ht="24" customHeight="1">
      <c r="A240" s="2">
        <f>+D240-S240</f>
        <v/>
      </c>
      <c r="B240" s="80" t="n"/>
      <c r="C240" s="70" t="n">
        <v>45436</v>
      </c>
      <c r="D240" s="2" t="n">
        <v>1</v>
      </c>
      <c r="E240" s="3" t="inlineStr">
        <is>
          <t>FUCILE DOPPIETTA</t>
        </is>
      </c>
      <c r="F240" s="3" t="n">
        <v>12</v>
      </c>
      <c r="G240" s="3" t="inlineStr">
        <is>
          <t>BERETTA</t>
        </is>
      </c>
      <c r="H240" s="65" t="n">
        <v>409</v>
      </c>
      <c r="I240" s="65" t="n">
        <v>66487</v>
      </c>
      <c r="J240" s="65" t="inlineStr">
        <is>
          <t>N/D</t>
        </is>
      </c>
      <c r="K240" s="65" t="inlineStr">
        <is>
          <t>N/D</t>
        </is>
      </c>
      <c r="L240" s="127" t="inlineStr">
        <is>
          <t>EREDI SAFARI SPORT - SEVERI GINO DI ARMILLI MARIA TERESA</t>
        </is>
      </c>
      <c r="M240" s="5" t="n">
        <v>20.49</v>
      </c>
      <c r="N240" s="5" t="n"/>
      <c r="O240" s="5">
        <f>+M240+N240</f>
        <v/>
      </c>
      <c r="P240" s="4" t="n"/>
      <c r="Q240" s="87" t="n"/>
      <c r="R240" s="5" t="n">
        <v>29</v>
      </c>
      <c r="S240" s="2" t="n">
        <v>1</v>
      </c>
      <c r="T240" s="3" t="inlineStr">
        <is>
          <t>CA42796IR</t>
        </is>
      </c>
      <c r="U240" s="87" t="n">
        <v>45821</v>
      </c>
      <c r="V240" s="3" t="inlineStr">
        <is>
          <t>12</t>
        </is>
      </c>
      <c r="W240" s="108" t="n">
        <v>45821</v>
      </c>
      <c r="X240" s="4" t="inlineStr">
        <is>
          <t>PHILIPPOS COSTANTINIDES TRADING CO. LTD</t>
        </is>
      </c>
    </row>
    <row r="241" ht="24" customHeight="1">
      <c r="A241" s="2">
        <f>+D241-S241</f>
        <v/>
      </c>
      <c r="B241" s="80" t="n"/>
      <c r="C241" s="70" t="n">
        <v>45436</v>
      </c>
      <c r="D241" s="2" t="n">
        <v>1</v>
      </c>
      <c r="E241" s="3" t="inlineStr">
        <is>
          <t>FUCILE DOPPIETTA</t>
        </is>
      </c>
      <c r="F241" s="3" t="n">
        <v>12</v>
      </c>
      <c r="G241" s="3" t="inlineStr">
        <is>
          <t>BERETTA</t>
        </is>
      </c>
      <c r="H241" s="65" t="n">
        <v>409</v>
      </c>
      <c r="I241" s="65" t="n">
        <v>78908</v>
      </c>
      <c r="J241" s="65" t="inlineStr">
        <is>
          <t>N/D</t>
        </is>
      </c>
      <c r="K241" s="65" t="inlineStr">
        <is>
          <t>N/D</t>
        </is>
      </c>
      <c r="L241" s="127" t="inlineStr">
        <is>
          <t>EREDI SAFARI SPORT - SEVERI GINO DI ARMILLI MARIA TERESA</t>
        </is>
      </c>
      <c r="M241" s="5" t="n">
        <v>20.49</v>
      </c>
      <c r="N241" s="5" t="n"/>
      <c r="O241" s="5">
        <f>+M241+N241</f>
        <v/>
      </c>
      <c r="P241" s="4" t="n"/>
      <c r="Q241" s="87" t="n"/>
      <c r="R241" s="5" t="n">
        <v>29</v>
      </c>
      <c r="S241" s="2" t="n">
        <v>1</v>
      </c>
      <c r="T241" s="3" t="inlineStr">
        <is>
          <t>CA42796IR</t>
        </is>
      </c>
      <c r="U241" s="87" t="n">
        <v>45821</v>
      </c>
      <c r="V241" s="3" t="inlineStr">
        <is>
          <t>12</t>
        </is>
      </c>
      <c r="W241" s="108" t="n">
        <v>45821</v>
      </c>
      <c r="X241" s="4" t="inlineStr">
        <is>
          <t>PHILIPPOS COSTANTINIDES TRADING CO. LTD</t>
        </is>
      </c>
    </row>
    <row r="242" ht="24" customHeight="1">
      <c r="A242" s="2">
        <f>+D242-S242</f>
        <v/>
      </c>
      <c r="B242" s="80" t="n"/>
      <c r="C242" s="70" t="n">
        <v>45436</v>
      </c>
      <c r="D242" s="2" t="n">
        <v>1</v>
      </c>
      <c r="E242" s="3" t="inlineStr">
        <is>
          <t>FUCILE DOPPIETTA</t>
        </is>
      </c>
      <c r="F242" s="3" t="n">
        <v>12</v>
      </c>
      <c r="G242" s="3" t="inlineStr">
        <is>
          <t>SAN GIORGIO</t>
        </is>
      </c>
      <c r="H242" s="65" t="n"/>
      <c r="I242" s="65" t="inlineStr">
        <is>
          <t>0896</t>
        </is>
      </c>
      <c r="J242" s="65" t="inlineStr">
        <is>
          <t>N/D</t>
        </is>
      </c>
      <c r="K242" s="65" t="inlineStr">
        <is>
          <t>N/D</t>
        </is>
      </c>
      <c r="L242" s="127" t="inlineStr">
        <is>
          <t>EREDI SAFARI SPORT - SEVERI GINO DI ARMILLI MARIA TERESA</t>
        </is>
      </c>
      <c r="M242" s="5" t="n">
        <v>20.49</v>
      </c>
      <c r="N242" s="5" t="n"/>
      <c r="O242" s="5">
        <f>+M242+N242</f>
        <v/>
      </c>
      <c r="P242" s="4" t="n"/>
      <c r="Q242" s="87" t="n"/>
      <c r="R242" s="5" t="n">
        <v>29</v>
      </c>
      <c r="S242" s="2" t="n">
        <v>1</v>
      </c>
      <c r="T242" s="3" t="inlineStr">
        <is>
          <t>CA42796IR</t>
        </is>
      </c>
      <c r="U242" s="87" t="n">
        <v>45821</v>
      </c>
      <c r="V242" s="3" t="inlineStr">
        <is>
          <t>15</t>
        </is>
      </c>
      <c r="W242" s="108" t="n">
        <v>45821</v>
      </c>
      <c r="X242" s="4" t="inlineStr">
        <is>
          <t>PHILIPPOS COSTANTINIDES TRADING CO. LTD</t>
        </is>
      </c>
    </row>
    <row r="243" ht="24" customHeight="1">
      <c r="A243" s="2">
        <f>+D243-S243</f>
        <v/>
      </c>
      <c r="B243" s="80" t="n"/>
      <c r="C243" s="70" t="n">
        <v>45436</v>
      </c>
      <c r="D243" s="2" t="n">
        <v>1</v>
      </c>
      <c r="E243" s="3" t="inlineStr">
        <is>
          <t>FUCILE DOPPIETTA</t>
        </is>
      </c>
      <c r="F243" s="3" t="n">
        <v>12</v>
      </c>
      <c r="G243" s="3" t="inlineStr">
        <is>
          <t>RECORD</t>
        </is>
      </c>
      <c r="H243" s="65" t="n"/>
      <c r="I243" s="65" t="n">
        <v>12762</v>
      </c>
      <c r="J243" s="65" t="inlineStr">
        <is>
          <t>N/D</t>
        </is>
      </c>
      <c r="K243" s="65" t="inlineStr">
        <is>
          <t>N/D</t>
        </is>
      </c>
      <c r="L243" s="127" t="inlineStr">
        <is>
          <t>EREDI SAFARI SPORT - SEVERI GINO DI ARMILLI MARIA TERESA</t>
        </is>
      </c>
      <c r="M243" s="5" t="n">
        <v>0</v>
      </c>
      <c r="N243" s="5" t="n"/>
      <c r="O243" s="5">
        <f>+M243+N243</f>
        <v/>
      </c>
      <c r="P243" s="4" t="n"/>
      <c r="Q243" s="87" t="n"/>
      <c r="R243" s="5" t="n">
        <v>15</v>
      </c>
      <c r="S243" s="2" t="n">
        <v>1</v>
      </c>
      <c r="T243" s="3" t="inlineStr">
        <is>
          <t>CA42796IR</t>
        </is>
      </c>
      <c r="U243" s="87" t="n">
        <v>45821</v>
      </c>
      <c r="V243" s="3" t="inlineStr">
        <is>
          <t>15</t>
        </is>
      </c>
      <c r="W243" s="108" t="n">
        <v>45821</v>
      </c>
      <c r="X243" s="4" t="inlineStr">
        <is>
          <t>PHILIPPOS COSTANTINIDES TRADING CO. LTD</t>
        </is>
      </c>
    </row>
    <row r="244" ht="24" customHeight="1">
      <c r="A244" s="2">
        <f>+D244-S244</f>
        <v/>
      </c>
      <c r="B244" s="80" t="n"/>
      <c r="C244" s="70" t="n">
        <v>45436</v>
      </c>
      <c r="D244" s="2" t="n">
        <v>1</v>
      </c>
      <c r="E244" s="3" t="inlineStr">
        <is>
          <t>FUCILE DOPPIETTA</t>
        </is>
      </c>
      <c r="F244" s="3" t="n">
        <v>12</v>
      </c>
      <c r="G244" s="3" t="inlineStr">
        <is>
          <t>SIREARMS</t>
        </is>
      </c>
      <c r="H244" s="65" t="n"/>
      <c r="I244" s="65" t="n">
        <v>19968</v>
      </c>
      <c r="J244" s="65" t="inlineStr">
        <is>
          <t>N/D</t>
        </is>
      </c>
      <c r="K244" s="65" t="inlineStr">
        <is>
          <t>N/D</t>
        </is>
      </c>
      <c r="L244" s="127" t="inlineStr">
        <is>
          <t>EREDI SAFARI SPORT - SEVERI GINO DI ARMILLI MARIA TERESA</t>
        </is>
      </c>
      <c r="M244" s="5" t="n">
        <v>20.49</v>
      </c>
      <c r="N244" s="5" t="n"/>
      <c r="O244" s="5">
        <f>+M244+N244</f>
        <v/>
      </c>
      <c r="P244" s="4" t="n"/>
      <c r="Q244" s="87" t="n"/>
      <c r="R244" s="5" t="n">
        <v>29</v>
      </c>
      <c r="S244" s="2" t="n">
        <v>1</v>
      </c>
      <c r="T244" s="3" t="inlineStr">
        <is>
          <t>CA42796IR</t>
        </is>
      </c>
      <c r="U244" s="87" t="n">
        <v>45821</v>
      </c>
      <c r="V244" s="3" t="inlineStr">
        <is>
          <t>15</t>
        </is>
      </c>
      <c r="W244" s="108" t="n">
        <v>45821</v>
      </c>
      <c r="X244" s="4" t="inlineStr">
        <is>
          <t>PHILIPPOS COSTANTINIDES TRADING CO. LTD</t>
        </is>
      </c>
    </row>
    <row r="245" ht="24" customHeight="1">
      <c r="A245" s="2">
        <f>+D245-S245</f>
        <v/>
      </c>
      <c r="B245" s="80" t="n"/>
      <c r="C245" s="70" t="n">
        <v>45436</v>
      </c>
      <c r="D245" s="2" t="n">
        <v>1</v>
      </c>
      <c r="E245" s="3" t="inlineStr">
        <is>
          <t>FUCILE DOPPIETTA</t>
        </is>
      </c>
      <c r="F245" s="3" t="n">
        <v>12</v>
      </c>
      <c r="G245" s="3" t="inlineStr">
        <is>
          <t>F.LLI BAZZANA</t>
        </is>
      </c>
      <c r="H245" s="65" t="n"/>
      <c r="I245" s="65" t="n">
        <v>787</v>
      </c>
      <c r="J245" s="65" t="inlineStr">
        <is>
          <t>N/D</t>
        </is>
      </c>
      <c r="K245" s="65" t="inlineStr">
        <is>
          <t>N/D</t>
        </is>
      </c>
      <c r="L245" s="127" t="inlineStr">
        <is>
          <t>EREDI SAFARI SPORT - SEVERI GINO DI ARMILLI MARIA TERESA</t>
        </is>
      </c>
      <c r="M245" s="5" t="n">
        <v>40.98</v>
      </c>
      <c r="N245" s="5" t="n"/>
      <c r="O245" s="5">
        <f>+M245+N245</f>
        <v/>
      </c>
      <c r="P245" s="4" t="n"/>
      <c r="Q245" s="87" t="n"/>
      <c r="R245" s="5" t="n">
        <v>52</v>
      </c>
      <c r="S245" s="2" t="n">
        <v>1</v>
      </c>
      <c r="T245" s="3" t="inlineStr">
        <is>
          <t>CA42796IR</t>
        </is>
      </c>
      <c r="U245" s="87" t="n">
        <v>45821</v>
      </c>
      <c r="V245" s="3" t="inlineStr">
        <is>
          <t>16</t>
        </is>
      </c>
      <c r="W245" s="108" t="n">
        <v>45821</v>
      </c>
      <c r="X245" s="4" t="inlineStr">
        <is>
          <t>PHILIPPOS COSTANTINIDES TRADING CO. LTD</t>
        </is>
      </c>
    </row>
    <row r="246" ht="24" customHeight="1">
      <c r="A246" s="2">
        <f>+D246-S246</f>
        <v/>
      </c>
      <c r="B246" s="80" t="n"/>
      <c r="C246" s="70" t="n">
        <v>45436</v>
      </c>
      <c r="D246" s="2" t="n">
        <v>1</v>
      </c>
      <c r="E246" s="3" t="inlineStr">
        <is>
          <t>CARABINA AD ARIA COMPRESSA</t>
        </is>
      </c>
      <c r="F246" s="3" t="n">
        <v>4.5</v>
      </c>
      <c r="G246" s="3" t="inlineStr">
        <is>
          <t>DIANA</t>
        </is>
      </c>
      <c r="H246" s="65" t="n">
        <v>50</v>
      </c>
      <c r="I246" s="65" t="n">
        <v>172832</v>
      </c>
      <c r="J246" s="65" t="inlineStr">
        <is>
          <t>N/D</t>
        </is>
      </c>
      <c r="K246" s="65" t="inlineStr">
        <is>
          <t>N/D</t>
        </is>
      </c>
      <c r="L246" s="127" t="inlineStr">
        <is>
          <t>EREDI SAFARI SPORT - SEVERI GINO DI ARMILLI MARIA TERESA</t>
        </is>
      </c>
      <c r="M246" s="5" t="n">
        <v>12.3</v>
      </c>
      <c r="N246" s="5" t="n"/>
      <c r="O246" s="5">
        <f>+M246+N246</f>
        <v/>
      </c>
      <c r="P246" s="4" t="n"/>
      <c r="Q246" s="87" t="n"/>
      <c r="R246" s="5" t="n">
        <v>19</v>
      </c>
      <c r="S246" s="2" t="n">
        <v>1</v>
      </c>
      <c r="T246" s="3" t="inlineStr">
        <is>
          <t>CA42796IR</t>
        </is>
      </c>
      <c r="U246" s="87" t="n">
        <v>45821</v>
      </c>
      <c r="V246" s="3" t="inlineStr">
        <is>
          <t>16</t>
        </is>
      </c>
      <c r="W246" s="108" t="n">
        <v>45821</v>
      </c>
      <c r="X246" s="4" t="inlineStr">
        <is>
          <t>PHILIPPOS COSTANTINIDES TRADING CO. LTD</t>
        </is>
      </c>
    </row>
    <row r="247" ht="24" customHeight="1">
      <c r="A247" s="2">
        <f>+D247-S247</f>
        <v/>
      </c>
      <c r="B247" s="80" t="n"/>
      <c r="C247" s="70" t="n">
        <v>45436</v>
      </c>
      <c r="D247" s="2" t="n">
        <v>1</v>
      </c>
      <c r="E247" s="3" t="inlineStr">
        <is>
          <t>FUCILE DOPPIETTA</t>
        </is>
      </c>
      <c r="F247" s="3" t="n">
        <v>12</v>
      </c>
      <c r="G247" s="3" t="inlineStr">
        <is>
          <t>SPADA DAFF</t>
        </is>
      </c>
      <c r="H247" s="65" t="n"/>
      <c r="I247" s="65" t="n">
        <v>4757</v>
      </c>
      <c r="J247" s="65" t="inlineStr">
        <is>
          <t>N/D</t>
        </is>
      </c>
      <c r="K247" s="65" t="inlineStr">
        <is>
          <t>N/D</t>
        </is>
      </c>
      <c r="L247" s="127" t="inlineStr">
        <is>
          <t>EREDI SAFARI SPORT - SEVERI GINO DI ARMILLI MARIA TERESA</t>
        </is>
      </c>
      <c r="M247" s="5" t="n">
        <v>40.98</v>
      </c>
      <c r="N247" s="5" t="n"/>
      <c r="O247" s="5">
        <f>+M247+N247</f>
        <v/>
      </c>
      <c r="P247" s="4" t="n"/>
      <c r="Q247" s="87" t="n"/>
      <c r="R247" s="5" t="n">
        <v>52</v>
      </c>
      <c r="S247" s="2" t="n">
        <v>1</v>
      </c>
      <c r="T247" s="3" t="inlineStr">
        <is>
          <t>CA42796IR</t>
        </is>
      </c>
      <c r="U247" s="87" t="n">
        <v>45821</v>
      </c>
      <c r="V247" s="3" t="inlineStr">
        <is>
          <t>14</t>
        </is>
      </c>
      <c r="W247" s="108" t="n">
        <v>45821</v>
      </c>
      <c r="X247" s="4" t="inlineStr">
        <is>
          <t>PHILIPPOS COSTANTINIDES TRADING CO. LTD</t>
        </is>
      </c>
    </row>
    <row r="248" ht="24" customHeight="1">
      <c r="A248" s="2">
        <f>+D248-S248</f>
        <v/>
      </c>
      <c r="B248" s="80" t="n"/>
      <c r="C248" s="70" t="n">
        <v>45436</v>
      </c>
      <c r="D248" s="2" t="n">
        <v>1</v>
      </c>
      <c r="E248" s="3" t="inlineStr">
        <is>
          <t>FUCILE DOPPIETTA</t>
        </is>
      </c>
      <c r="F248" s="3" t="n">
        <v>12</v>
      </c>
      <c r="G248" s="3" t="inlineStr">
        <is>
          <t>ACIER ANGLAIS</t>
        </is>
      </c>
      <c r="H248" s="65" t="n"/>
      <c r="I248" s="65" t="n">
        <v>33480</v>
      </c>
      <c r="J248" s="65" t="inlineStr">
        <is>
          <t>129</t>
        </is>
      </c>
      <c r="K248" s="65" t="inlineStr">
        <is>
          <t>N/D</t>
        </is>
      </c>
      <c r="L248" s="127" t="inlineStr">
        <is>
          <t>EREDI SAFARI SPORT - SEVERI GINO DI ARMILLI MARIA TERESA</t>
        </is>
      </c>
      <c r="M248" s="5" t="n">
        <v>20.49</v>
      </c>
      <c r="N248" s="5" t="n"/>
      <c r="O248" s="5">
        <f>+M248+N248</f>
        <v/>
      </c>
      <c r="P248" s="4" t="n"/>
      <c r="Q248" s="87" t="n"/>
      <c r="R248" s="5" t="n">
        <v>29</v>
      </c>
      <c r="S248" s="2" t="n">
        <v>1</v>
      </c>
      <c r="T248" s="3" t="inlineStr">
        <is>
          <t>CA42796IR</t>
        </is>
      </c>
      <c r="U248" s="87" t="n">
        <v>45821</v>
      </c>
      <c r="V248" s="3" t="inlineStr">
        <is>
          <t>16</t>
        </is>
      </c>
      <c r="W248" s="108" t="n">
        <v>45821</v>
      </c>
      <c r="X248" s="4" t="inlineStr">
        <is>
          <t>PHILIPPOS COSTANTINIDES TRADING CO. LTD</t>
        </is>
      </c>
    </row>
    <row r="249" ht="24" customHeight="1">
      <c r="A249" s="2">
        <f>+D249-S249</f>
        <v/>
      </c>
      <c r="B249" s="80" t="n"/>
      <c r="C249" s="70" t="n">
        <v>45436</v>
      </c>
      <c r="D249" s="2" t="n">
        <v>1</v>
      </c>
      <c r="E249" s="3" t="inlineStr">
        <is>
          <t>FUCILE DOPPIETTA</t>
        </is>
      </c>
      <c r="F249" s="3" t="n">
        <v>12</v>
      </c>
      <c r="G249" s="3" t="inlineStr">
        <is>
          <t>FRANZ SODIA</t>
        </is>
      </c>
      <c r="H249" s="65" t="n"/>
      <c r="I249" s="65" t="n">
        <v>1406</v>
      </c>
      <c r="J249" s="65" t="inlineStr">
        <is>
          <t>N/D</t>
        </is>
      </c>
      <c r="K249" s="65" t="inlineStr">
        <is>
          <t>N/D</t>
        </is>
      </c>
      <c r="L249" s="127" t="inlineStr">
        <is>
          <t>EREDI SAFARI SPORT - SEVERI GINO DI ARMILLI MARIA TERESA</t>
        </is>
      </c>
      <c r="M249" s="5" t="n">
        <v>20.49</v>
      </c>
      <c r="N249" s="5" t="n"/>
      <c r="O249" s="5">
        <f>+M249+N249</f>
        <v/>
      </c>
      <c r="P249" s="4" t="n"/>
      <c r="Q249" s="87" t="n"/>
      <c r="R249" s="5" t="n">
        <v>29</v>
      </c>
      <c r="S249" s="2" t="n">
        <v>1</v>
      </c>
      <c r="T249" s="3" t="inlineStr">
        <is>
          <t>CA42796IR</t>
        </is>
      </c>
      <c r="U249" s="87" t="n">
        <v>45821</v>
      </c>
      <c r="V249" s="3" t="inlineStr">
        <is>
          <t>16</t>
        </is>
      </c>
      <c r="W249" s="108" t="n">
        <v>45821</v>
      </c>
      <c r="X249" s="4" t="inlineStr">
        <is>
          <t>PHILIPPOS COSTANTINIDES TRADING CO. LTD</t>
        </is>
      </c>
    </row>
    <row r="250" ht="24" customHeight="1">
      <c r="A250" s="2">
        <f>+D250-S250</f>
        <v/>
      </c>
      <c r="B250" s="80" t="n"/>
      <c r="C250" s="70" t="n">
        <v>45436</v>
      </c>
      <c r="D250" s="2" t="n">
        <v>1</v>
      </c>
      <c r="E250" s="3" t="inlineStr">
        <is>
          <t>FUCILE DOPPIETTA</t>
        </is>
      </c>
      <c r="F250" s="3" t="n">
        <v>12</v>
      </c>
      <c r="G250" s="3" t="inlineStr">
        <is>
          <t>BERNARDELLI</t>
        </is>
      </c>
      <c r="H250" s="65" t="n"/>
      <c r="I250" s="65" t="n">
        <v>35625</v>
      </c>
      <c r="J250" s="65" t="inlineStr">
        <is>
          <t>N/D</t>
        </is>
      </c>
      <c r="K250" s="65" t="inlineStr">
        <is>
          <t>N/D</t>
        </is>
      </c>
      <c r="L250" s="127" t="inlineStr">
        <is>
          <t>EREDI SAFARI SPORT - SEVERI GINO DI ARMILLI MARIA TERESA</t>
        </is>
      </c>
      <c r="M250" s="5" t="n">
        <v>20.49</v>
      </c>
      <c r="N250" s="5" t="n"/>
      <c r="O250" s="5">
        <f>+M250+N250</f>
        <v/>
      </c>
      <c r="P250" s="4" t="n"/>
      <c r="Q250" s="87" t="n"/>
      <c r="R250" s="5" t="n">
        <v>29</v>
      </c>
      <c r="S250" s="2" t="n">
        <v>1</v>
      </c>
      <c r="T250" s="3" t="inlineStr">
        <is>
          <t>CA42796IR</t>
        </is>
      </c>
      <c r="U250" s="87" t="n">
        <v>45821</v>
      </c>
      <c r="V250" s="3" t="inlineStr">
        <is>
          <t>13</t>
        </is>
      </c>
      <c r="W250" s="108" t="n">
        <v>45821</v>
      </c>
      <c r="X250" s="4" t="inlineStr">
        <is>
          <t>PHILIPPOS COSTANTINIDES TRADING CO. LTD</t>
        </is>
      </c>
    </row>
    <row r="251" ht="24" customHeight="1">
      <c r="A251" s="2">
        <f>+D251-S251</f>
        <v/>
      </c>
      <c r="B251" s="80" t="n"/>
      <c r="C251" s="70" t="n">
        <v>45436</v>
      </c>
      <c r="D251" s="2" t="n">
        <v>1</v>
      </c>
      <c r="E251" s="3" t="inlineStr">
        <is>
          <t>FUCILE DOPPIETTA</t>
        </is>
      </c>
      <c r="F251" s="3" t="n">
        <v>12</v>
      </c>
      <c r="G251" s="3" t="inlineStr">
        <is>
          <t>BERETTA</t>
        </is>
      </c>
      <c r="H251" s="65" t="n"/>
      <c r="I251" s="65" t="inlineStr">
        <is>
          <t>C30027</t>
        </is>
      </c>
      <c r="J251" s="65" t="inlineStr">
        <is>
          <t>N/D</t>
        </is>
      </c>
      <c r="K251" s="65" t="inlineStr">
        <is>
          <t>N/D</t>
        </is>
      </c>
      <c r="L251" s="127" t="inlineStr">
        <is>
          <t>EREDI SAFARI SPORT - SEVERI GINO DI ARMILLI MARIA TERESA</t>
        </is>
      </c>
      <c r="M251" s="5" t="n">
        <v>20.49</v>
      </c>
      <c r="N251" s="5" t="n"/>
      <c r="O251" s="5">
        <f>+M251+N251</f>
        <v/>
      </c>
      <c r="P251" s="4" t="n"/>
      <c r="Q251" s="87" t="n"/>
      <c r="R251" s="5" t="n">
        <v>29</v>
      </c>
      <c r="S251" s="2" t="n">
        <v>1</v>
      </c>
      <c r="T251" s="3" t="inlineStr">
        <is>
          <t>CA42796IR</t>
        </is>
      </c>
      <c r="U251" s="87" t="n">
        <v>45821</v>
      </c>
      <c r="V251" s="3" t="inlineStr">
        <is>
          <t>12</t>
        </is>
      </c>
      <c r="W251" s="108" t="n">
        <v>45821</v>
      </c>
      <c r="X251" s="4" t="inlineStr">
        <is>
          <t>PHILIPPOS COSTANTINIDES TRADING CO. LTD</t>
        </is>
      </c>
    </row>
    <row r="252" ht="24" customHeight="1">
      <c r="A252" s="2">
        <f>+D252-S252</f>
        <v/>
      </c>
      <c r="B252" s="80" t="n"/>
      <c r="C252" s="70" t="n">
        <v>45436</v>
      </c>
      <c r="D252" s="2" t="n">
        <v>1</v>
      </c>
      <c r="E252" s="3" t="inlineStr">
        <is>
          <t>FUCILE DOPPIETTA</t>
        </is>
      </c>
      <c r="F252" s="3" t="n">
        <v>12</v>
      </c>
      <c r="G252" s="3" t="inlineStr">
        <is>
          <t>BERETTA</t>
        </is>
      </c>
      <c r="H252" s="65" t="n"/>
      <c r="I252" s="65" t="n">
        <v>79136</v>
      </c>
      <c r="J252" s="65" t="inlineStr">
        <is>
          <t>N/D</t>
        </is>
      </c>
      <c r="K252" s="65" t="inlineStr">
        <is>
          <t>N/D</t>
        </is>
      </c>
      <c r="L252" s="127" t="inlineStr">
        <is>
          <t>EREDI SAFARI SPORT - SEVERI GINO DI ARMILLI MARIA TERESA</t>
        </is>
      </c>
      <c r="M252" s="5" t="n">
        <v>20.49</v>
      </c>
      <c r="N252" s="5" t="n"/>
      <c r="O252" s="5">
        <f>+M252+N252</f>
        <v/>
      </c>
      <c r="P252" s="4" t="n"/>
      <c r="Q252" s="87" t="n"/>
      <c r="R252" s="5" t="n">
        <v>29</v>
      </c>
      <c r="S252" s="2" t="n">
        <v>1</v>
      </c>
      <c r="T252" s="3" t="inlineStr">
        <is>
          <t>CA42796IR</t>
        </is>
      </c>
      <c r="U252" s="87" t="n">
        <v>45821</v>
      </c>
      <c r="V252" s="3" t="inlineStr">
        <is>
          <t>12</t>
        </is>
      </c>
      <c r="W252" s="108" t="n">
        <v>45821</v>
      </c>
      <c r="X252" s="4" t="inlineStr">
        <is>
          <t>PHILIPPOS COSTANTINIDES TRADING CO. LTD</t>
        </is>
      </c>
    </row>
    <row r="253" ht="24" customHeight="1">
      <c r="A253" s="2">
        <f>+D253-S253</f>
        <v/>
      </c>
      <c r="B253" s="80" t="n"/>
      <c r="C253" s="70" t="n">
        <v>45436</v>
      </c>
      <c r="D253" s="2" t="n">
        <v>1</v>
      </c>
      <c r="E253" s="3" t="inlineStr">
        <is>
          <t>FUCILE SOVRAPPOSTO</t>
        </is>
      </c>
      <c r="F253" s="3" t="n">
        <v>12</v>
      </c>
      <c r="G253" s="3" t="inlineStr">
        <is>
          <t>BERETTA</t>
        </is>
      </c>
      <c r="H253" s="65" t="inlineStr">
        <is>
          <t>S55</t>
        </is>
      </c>
      <c r="I253" s="65" t="inlineStr">
        <is>
          <t>A83663B</t>
        </is>
      </c>
      <c r="J253" s="65" t="inlineStr">
        <is>
          <t>N/D</t>
        </is>
      </c>
      <c r="K253" s="65" t="inlineStr">
        <is>
          <t>N/D</t>
        </is>
      </c>
      <c r="L253" s="127" t="inlineStr">
        <is>
          <t>EREDI SAFARI SPORT - SEVERI GINO DI ARMILLI MARIA TERESA</t>
        </is>
      </c>
      <c r="M253" s="5" t="n">
        <v>40.98</v>
      </c>
      <c r="N253" s="5" t="n"/>
      <c r="O253" s="5">
        <f>+M253+N253</f>
        <v/>
      </c>
      <c r="P253" s="4" t="n"/>
      <c r="Q253" s="87" t="n"/>
      <c r="R253" s="5" t="n">
        <v>52</v>
      </c>
      <c r="S253" s="2" t="n">
        <v>1</v>
      </c>
      <c r="T253" s="3" t="inlineStr">
        <is>
          <t>CA42796IR</t>
        </is>
      </c>
      <c r="U253" s="87" t="n">
        <v>45821</v>
      </c>
      <c r="V253" s="3" t="inlineStr">
        <is>
          <t>9</t>
        </is>
      </c>
      <c r="W253" s="108" t="n">
        <v>45821</v>
      </c>
      <c r="X253" s="4" t="inlineStr">
        <is>
          <t>PHILIPPOS COSTANTINIDES TRADING CO. LTD</t>
        </is>
      </c>
    </row>
    <row r="254" ht="24" customHeight="1">
      <c r="A254" s="2">
        <f>+D254-S254</f>
        <v/>
      </c>
      <c r="B254" s="80" t="n"/>
      <c r="C254" s="70" t="n">
        <v>45436</v>
      </c>
      <c r="D254" s="2" t="n">
        <v>1</v>
      </c>
      <c r="E254" s="3" t="inlineStr">
        <is>
          <t>FUCILE SOVRAPPOSTO</t>
        </is>
      </c>
      <c r="F254" s="3" t="n">
        <v>12</v>
      </c>
      <c r="G254" s="3" t="inlineStr">
        <is>
          <t>BERETTA</t>
        </is>
      </c>
      <c r="H254" s="65" t="n"/>
      <c r="I254" s="65" t="inlineStr">
        <is>
          <t>B34534B</t>
        </is>
      </c>
      <c r="J254" s="65" t="inlineStr">
        <is>
          <t>N/D</t>
        </is>
      </c>
      <c r="K254" s="65" t="inlineStr">
        <is>
          <t>N/D</t>
        </is>
      </c>
      <c r="L254" s="127" t="inlineStr">
        <is>
          <t>EREDI SAFARI SPORT - SEVERI GINO DI ARMILLI MARIA TERESA</t>
        </is>
      </c>
      <c r="M254" s="5" t="n">
        <v>20.49</v>
      </c>
      <c r="N254" s="5" t="n"/>
      <c r="O254" s="5">
        <f>+M254+N254</f>
        <v/>
      </c>
      <c r="P254" s="4" t="n"/>
      <c r="Q254" s="87" t="n"/>
      <c r="R254" s="5" t="n">
        <v>29</v>
      </c>
      <c r="S254" s="2" t="n">
        <v>1</v>
      </c>
      <c r="T254" s="3" t="inlineStr">
        <is>
          <t>CA42796IR</t>
        </is>
      </c>
      <c r="U254" s="87" t="n">
        <v>45821</v>
      </c>
      <c r="V254" s="3" t="inlineStr">
        <is>
          <t>9</t>
        </is>
      </c>
      <c r="W254" s="108" t="n">
        <v>45821</v>
      </c>
      <c r="X254" s="4" t="inlineStr">
        <is>
          <t>PHILIPPOS COSTANTINIDES TRADING CO. LTD</t>
        </is>
      </c>
    </row>
    <row r="255" ht="24" customHeight="1">
      <c r="A255" s="2">
        <f>+D255-S255</f>
        <v/>
      </c>
      <c r="B255" s="80" t="n"/>
      <c r="C255" s="70" t="n">
        <v>45436</v>
      </c>
      <c r="D255" s="2" t="n">
        <v>1</v>
      </c>
      <c r="E255" s="3" t="inlineStr">
        <is>
          <t>FUCILE SOVRAPPOSTO</t>
        </is>
      </c>
      <c r="F255" s="3" t="n">
        <v>12</v>
      </c>
      <c r="G255" s="3" t="inlineStr">
        <is>
          <t>BERETTA</t>
        </is>
      </c>
      <c r="H255" s="65" t="inlineStr">
        <is>
          <t>S57 EL</t>
        </is>
      </c>
      <c r="I255" s="65" t="n">
        <v>23347</v>
      </c>
      <c r="J255" s="65" t="inlineStr">
        <is>
          <t>N/D</t>
        </is>
      </c>
      <c r="K255" s="65" t="inlineStr">
        <is>
          <t>N/D</t>
        </is>
      </c>
      <c r="L255" s="127" t="inlineStr">
        <is>
          <t>EREDI SAFARI SPORT - SEVERI GINO DI ARMILLI MARIA TERESA</t>
        </is>
      </c>
      <c r="M255" s="5" t="n">
        <v>81.97</v>
      </c>
      <c r="N255" s="5" t="n"/>
      <c r="O255" s="5">
        <f>+M255+N255</f>
        <v/>
      </c>
      <c r="P255" s="4" t="n"/>
      <c r="Q255" s="87" t="n"/>
      <c r="R255" s="5" t="n">
        <v>99</v>
      </c>
      <c r="S255" s="2" t="n">
        <v>1</v>
      </c>
      <c r="T255" s="3" t="inlineStr">
        <is>
          <t>CA42796IR</t>
        </is>
      </c>
      <c r="U255" s="87" t="n">
        <v>45821</v>
      </c>
      <c r="V255" s="3" t="inlineStr">
        <is>
          <t>9</t>
        </is>
      </c>
      <c r="W255" s="108" t="n">
        <v>45821</v>
      </c>
      <c r="X255" s="4" t="inlineStr">
        <is>
          <t>PHILIPPOS COSTANTINIDES TRADING CO. LTD</t>
        </is>
      </c>
    </row>
    <row r="256" ht="24" customHeight="1">
      <c r="A256" s="2">
        <f>+D256-S256</f>
        <v/>
      </c>
      <c r="B256" s="80" t="n"/>
      <c r="C256" s="70" t="n">
        <v>45436</v>
      </c>
      <c r="D256" s="2" t="n">
        <v>1</v>
      </c>
      <c r="E256" s="3" t="inlineStr">
        <is>
          <t>FUCILE SOVRAPPOSTO</t>
        </is>
      </c>
      <c r="F256" s="3" t="n">
        <v>12</v>
      </c>
      <c r="G256" s="3" t="inlineStr">
        <is>
          <t>BERETTA</t>
        </is>
      </c>
      <c r="H256" s="65" t="inlineStr">
        <is>
          <t>S57 EL</t>
        </is>
      </c>
      <c r="I256" s="65" t="n">
        <v>36515</v>
      </c>
      <c r="J256" s="65" t="inlineStr">
        <is>
          <t>N/D</t>
        </is>
      </c>
      <c r="K256" s="65" t="inlineStr">
        <is>
          <t>N/D</t>
        </is>
      </c>
      <c r="L256" s="127" t="inlineStr">
        <is>
          <t>EREDI SAFARI SPORT - SEVERI GINO DI ARMILLI MARIA TERESA</t>
        </is>
      </c>
      <c r="M256" s="5" t="n">
        <v>81.97</v>
      </c>
      <c r="N256" s="5" t="n"/>
      <c r="O256" s="5">
        <f>+M256+N256</f>
        <v/>
      </c>
      <c r="P256" s="4" t="n"/>
      <c r="Q256" s="87" t="n"/>
      <c r="R256" s="5" t="n">
        <v>99</v>
      </c>
      <c r="S256" s="2" t="n">
        <v>1</v>
      </c>
      <c r="T256" s="3" t="inlineStr">
        <is>
          <t>CA42796IR</t>
        </is>
      </c>
      <c r="U256" s="87" t="n">
        <v>45821</v>
      </c>
      <c r="V256" s="3" t="inlineStr">
        <is>
          <t>9</t>
        </is>
      </c>
      <c r="W256" s="108" t="n">
        <v>45821</v>
      </c>
      <c r="X256" s="4" t="inlineStr">
        <is>
          <t>PHILIPPOS COSTANTINIDES TRADING CO. LTD</t>
        </is>
      </c>
    </row>
    <row r="257" ht="24" customHeight="1">
      <c r="A257" s="2">
        <f>+D257-S257</f>
        <v/>
      </c>
      <c r="B257" s="80" t="n"/>
      <c r="C257" s="70" t="n">
        <v>45436</v>
      </c>
      <c r="D257" s="2" t="n">
        <v>1</v>
      </c>
      <c r="E257" s="3" t="inlineStr">
        <is>
          <t>FUCILE SOVRAPPOSTO</t>
        </is>
      </c>
      <c r="F257" s="3" t="n">
        <v>12</v>
      </c>
      <c r="G257" s="3" t="inlineStr">
        <is>
          <t>BERETTA</t>
        </is>
      </c>
      <c r="H257" s="65" t="inlineStr">
        <is>
          <t>S 56 E</t>
        </is>
      </c>
      <c r="I257" s="65" t="n">
        <v>28058</v>
      </c>
      <c r="J257" s="65" t="inlineStr">
        <is>
          <t>N/D</t>
        </is>
      </c>
      <c r="K257" s="65" t="inlineStr">
        <is>
          <t>N/D</t>
        </is>
      </c>
      <c r="L257" s="127" t="inlineStr">
        <is>
          <t>EREDI SAFARI SPORT - SEVERI GINO DI ARMILLI MARIA TERESA</t>
        </is>
      </c>
      <c r="M257" s="5" t="n">
        <v>20.49</v>
      </c>
      <c r="N257" s="5" t="n"/>
      <c r="O257" s="5">
        <f>+M257+N257</f>
        <v/>
      </c>
      <c r="P257" s="4" t="n"/>
      <c r="Q257" s="87" t="n"/>
      <c r="R257" s="5" t="n">
        <v>29</v>
      </c>
      <c r="S257" s="2" t="n">
        <v>1</v>
      </c>
      <c r="T257" s="3" t="inlineStr">
        <is>
          <t>CA42796IR</t>
        </is>
      </c>
      <c r="U257" s="87" t="n">
        <v>45821</v>
      </c>
      <c r="V257" s="3" t="inlineStr">
        <is>
          <t>9</t>
        </is>
      </c>
      <c r="W257" s="108" t="n">
        <v>45821</v>
      </c>
      <c r="X257" s="4" t="inlineStr">
        <is>
          <t>PHILIPPOS COSTANTINIDES TRADING CO. LTD</t>
        </is>
      </c>
    </row>
    <row r="258" ht="24" customHeight="1">
      <c r="A258" s="2">
        <f>+D258-S258</f>
        <v/>
      </c>
      <c r="B258" s="80" t="n"/>
      <c r="C258" s="70" t="n">
        <v>45436</v>
      </c>
      <c r="D258" s="2" t="n">
        <v>1</v>
      </c>
      <c r="E258" s="3" t="inlineStr">
        <is>
          <t>FUCILE DOPPIETTA</t>
        </is>
      </c>
      <c r="F258" s="3" t="n">
        <v>12</v>
      </c>
      <c r="G258" s="3" t="inlineStr">
        <is>
          <t>SPORTING GUN</t>
        </is>
      </c>
      <c r="H258" s="65" t="inlineStr">
        <is>
          <t>ANSON</t>
        </is>
      </c>
      <c r="I258" s="65" t="n">
        <v>2183</v>
      </c>
      <c r="J258" s="65" t="inlineStr">
        <is>
          <t>N/D</t>
        </is>
      </c>
      <c r="K258" s="65" t="inlineStr">
        <is>
          <t>N/D</t>
        </is>
      </c>
      <c r="L258" s="127" t="inlineStr">
        <is>
          <t>EREDI SAFARI SPORT - SEVERI GINO DI ARMILLI MARIA TERESA</t>
        </is>
      </c>
      <c r="M258" s="5" t="n">
        <v>12.3</v>
      </c>
      <c r="N258" s="5" t="n"/>
      <c r="O258" s="5">
        <f>+M258+N258</f>
        <v/>
      </c>
      <c r="P258" s="4" t="n"/>
      <c r="Q258" s="87" t="n"/>
      <c r="R258" s="5" t="n">
        <v>19</v>
      </c>
      <c r="S258" s="2" t="n">
        <v>1</v>
      </c>
      <c r="T258" s="3" t="inlineStr">
        <is>
          <t>CA42796IR</t>
        </is>
      </c>
      <c r="U258" s="87" t="n">
        <v>45821</v>
      </c>
      <c r="V258" s="3" t="inlineStr">
        <is>
          <t>16</t>
        </is>
      </c>
      <c r="W258" s="108" t="n">
        <v>45821</v>
      </c>
      <c r="X258" s="4" t="inlineStr">
        <is>
          <t>PHILIPPOS COSTANTINIDES TRADING CO. LTD</t>
        </is>
      </c>
    </row>
    <row r="259" ht="24" customHeight="1">
      <c r="A259" s="2">
        <f>+D259-S259</f>
        <v/>
      </c>
      <c r="B259" s="80" t="n"/>
      <c r="C259" s="70" t="n">
        <v>45436</v>
      </c>
      <c r="D259" s="2" t="n">
        <v>1</v>
      </c>
      <c r="E259" s="3" t="inlineStr">
        <is>
          <t>FUCILE SOVRAPPOSTO</t>
        </is>
      </c>
      <c r="F259" s="3" t="n">
        <v>12</v>
      </c>
      <c r="G259" s="3" t="inlineStr">
        <is>
          <t>ZANOLETTI</t>
        </is>
      </c>
      <c r="H259" s="65" t="n"/>
      <c r="I259" s="65" t="n">
        <v>24713</v>
      </c>
      <c r="J259" s="65" t="inlineStr">
        <is>
          <t>N/D</t>
        </is>
      </c>
      <c r="K259" s="65" t="inlineStr">
        <is>
          <t>N/D</t>
        </is>
      </c>
      <c r="L259" s="127" t="inlineStr">
        <is>
          <t>EREDI SAFARI SPORT - SEVERI GINO DI ARMILLI MARIA TERESA</t>
        </is>
      </c>
      <c r="M259" s="5" t="n">
        <v>20.49</v>
      </c>
      <c r="N259" s="5" t="n"/>
      <c r="O259" s="5">
        <f>+M259+N259</f>
        <v/>
      </c>
      <c r="P259" s="4" t="n"/>
      <c r="Q259" s="87" t="n"/>
      <c r="R259" s="5" t="n">
        <v>29</v>
      </c>
      <c r="S259" s="2" t="n">
        <v>1</v>
      </c>
      <c r="T259" s="3" t="inlineStr">
        <is>
          <t>CA42796IR</t>
        </is>
      </c>
      <c r="U259" s="87" t="n">
        <v>45821</v>
      </c>
      <c r="V259" s="3" t="inlineStr">
        <is>
          <t>9</t>
        </is>
      </c>
      <c r="W259" s="108" t="n">
        <v>45821</v>
      </c>
      <c r="X259" s="4" t="inlineStr">
        <is>
          <t>PHILIPPOS COSTANTINIDES TRADING CO. LTD</t>
        </is>
      </c>
    </row>
    <row r="260" ht="24" customHeight="1">
      <c r="A260" s="2">
        <f>+D260-S260</f>
        <v/>
      </c>
      <c r="B260" s="80" t="n"/>
      <c r="C260" s="70" t="n">
        <v>45436</v>
      </c>
      <c r="D260" s="2" t="n">
        <v>1</v>
      </c>
      <c r="E260" s="3" t="inlineStr">
        <is>
          <t>CARABINA</t>
        </is>
      </c>
      <c r="F260" s="3" t="inlineStr">
        <is>
          <t>308 WIN</t>
        </is>
      </c>
      <c r="G260" s="3" t="inlineStr">
        <is>
          <t>C.O.M.</t>
        </is>
      </c>
      <c r="H260" s="65" t="inlineStr">
        <is>
          <t>WESTARM</t>
        </is>
      </c>
      <c r="I260" s="65" t="n">
        <v>38</v>
      </c>
      <c r="J260" s="65" t="inlineStr">
        <is>
          <t>N/D</t>
        </is>
      </c>
      <c r="K260" s="65" t="inlineStr">
        <is>
          <t>N/D</t>
        </is>
      </c>
      <c r="L260" s="127" t="inlineStr">
        <is>
          <t>EREDI SAFARI SPORT - SEVERI GINO DI ARMILLI MARIA TERESA</t>
        </is>
      </c>
      <c r="M260" s="5" t="n">
        <v>20.49</v>
      </c>
      <c r="N260" s="5" t="n"/>
      <c r="O260" s="5">
        <f>+M260+N260</f>
        <v/>
      </c>
      <c r="P260" s="4" t="n"/>
      <c r="Q260" s="87" t="n"/>
      <c r="R260" s="5" t="n">
        <v>337</v>
      </c>
      <c r="S260" s="2" t="n">
        <v>1</v>
      </c>
      <c r="T260" s="3" t="inlineStr">
        <is>
          <t>CA04954OS</t>
        </is>
      </c>
      <c r="U260" s="87" t="n">
        <v>45874</v>
      </c>
      <c r="V260" s="3" t="inlineStr">
        <is>
          <t>26</t>
        </is>
      </c>
      <c r="W260" s="4" t="n">
        <v>45874</v>
      </c>
      <c r="X260" s="4" t="inlineStr">
        <is>
          <t>PHILIPPOS  CONSTANTINIDES
TRADING CO.LTD</t>
        </is>
      </c>
    </row>
    <row r="261" ht="24" customHeight="1">
      <c r="A261" s="2">
        <f>+D261-S261</f>
        <v/>
      </c>
      <c r="B261" s="80" t="n"/>
      <c r="C261" s="70" t="n">
        <v>45436</v>
      </c>
      <c r="D261" s="2" t="n">
        <v>1</v>
      </c>
      <c r="E261" s="3" t="inlineStr">
        <is>
          <t>FUCILE SOVRAPPOSTO</t>
        </is>
      </c>
      <c r="F261" s="3" t="n">
        <v>12</v>
      </c>
      <c r="G261" s="3" t="inlineStr">
        <is>
          <t>RENATO GAMBA</t>
        </is>
      </c>
      <c r="H261" s="65" t="inlineStr">
        <is>
          <t>DIAMOND</t>
        </is>
      </c>
      <c r="I261" s="65" t="inlineStr">
        <is>
          <t>075847</t>
        </is>
      </c>
      <c r="J261" s="65" t="inlineStr">
        <is>
          <t>N/D</t>
        </is>
      </c>
      <c r="K261" s="65" t="inlineStr">
        <is>
          <t>N/D</t>
        </is>
      </c>
      <c r="L261" s="127" t="inlineStr">
        <is>
          <t>EREDI SAFARI SPORT - SEVERI GINO DI ARMILLI MARIA TERESA</t>
        </is>
      </c>
      <c r="M261" s="5" t="n">
        <v>81.97</v>
      </c>
      <c r="N261" s="5" t="n"/>
      <c r="O261" s="5">
        <f>+M261+N261</f>
        <v/>
      </c>
      <c r="P261" s="4" t="n"/>
      <c r="Q261" s="87" t="n"/>
      <c r="R261" s="5" t="n">
        <v>29</v>
      </c>
      <c r="S261" s="2" t="n">
        <v>1</v>
      </c>
      <c r="T261" s="3" t="inlineStr">
        <is>
          <t>CA42796IR</t>
        </is>
      </c>
      <c r="U261" s="87" t="n">
        <v>45821</v>
      </c>
      <c r="V261" s="3" t="inlineStr">
        <is>
          <t>10</t>
        </is>
      </c>
      <c r="W261" s="108" t="n">
        <v>45821</v>
      </c>
      <c r="X261" s="4" t="inlineStr">
        <is>
          <t>PHILIPPOS COSTANTINIDES TRADING CO. LTD</t>
        </is>
      </c>
    </row>
    <row r="262" ht="24" customHeight="1">
      <c r="A262" s="2">
        <f>+D262-S262</f>
        <v/>
      </c>
      <c r="B262" s="80" t="n"/>
      <c r="C262" s="70" t="n">
        <v>45436</v>
      </c>
      <c r="D262" s="2" t="n">
        <v>1</v>
      </c>
      <c r="E262" s="3" t="inlineStr">
        <is>
          <t>FUCILE A POMPA</t>
        </is>
      </c>
      <c r="F262" s="3" t="n">
        <v>12</v>
      </c>
      <c r="G262" s="3" t="inlineStr">
        <is>
          <t>STOEGER</t>
        </is>
      </c>
      <c r="H262" s="65" t="inlineStr">
        <is>
          <t>POMPA P350</t>
        </is>
      </c>
      <c r="I262" s="65" t="n">
        <v>614984</v>
      </c>
      <c r="J262" s="65" t="n">
        <v>614984</v>
      </c>
      <c r="K262" s="65" t="inlineStr">
        <is>
          <t>N/D</t>
        </is>
      </c>
      <c r="L262" s="127" t="inlineStr">
        <is>
          <t>EREDI SAFARI SPORT - SEVERI GINO DI ARMILLI MARIA TERESA</t>
        </is>
      </c>
      <c r="M262" s="5" t="n">
        <v>40.98</v>
      </c>
      <c r="N262" s="5" t="n"/>
      <c r="O262" s="5">
        <f>+M262+N262</f>
        <v/>
      </c>
      <c r="P262" s="4" t="n"/>
      <c r="Q262" s="87" t="n"/>
      <c r="R262" s="5" t="n">
        <v>52</v>
      </c>
      <c r="S262" s="2" t="n">
        <v>1</v>
      </c>
      <c r="T262" s="3" t="inlineStr">
        <is>
          <t>CA42796IR</t>
        </is>
      </c>
      <c r="U262" s="87" t="n">
        <v>45821</v>
      </c>
      <c r="V262" s="3" t="inlineStr">
        <is>
          <t>11</t>
        </is>
      </c>
      <c r="W262" s="108" t="n">
        <v>45821</v>
      </c>
      <c r="X262" s="4" t="inlineStr">
        <is>
          <t>PHILIPPOS COSTANTINIDES TRADING CO. LTD</t>
        </is>
      </c>
    </row>
    <row r="263" ht="24" customHeight="1">
      <c r="A263" s="2">
        <f>+D263-S263</f>
        <v/>
      </c>
      <c r="B263" s="80" t="n"/>
      <c r="C263" s="70" t="n">
        <v>45436</v>
      </c>
      <c r="D263" s="2" t="n">
        <v>1</v>
      </c>
      <c r="E263" s="3" t="inlineStr">
        <is>
          <t>FUCILE SOVRAPPOSTO</t>
        </is>
      </c>
      <c r="F263" s="3" t="n">
        <v>12</v>
      </c>
      <c r="G263" s="3" t="inlineStr">
        <is>
          <t>RENATO GAMBA</t>
        </is>
      </c>
      <c r="H263" s="65" t="n"/>
      <c r="I263" s="65" t="n">
        <v>5726</v>
      </c>
      <c r="J263" s="65" t="inlineStr">
        <is>
          <t>N/D</t>
        </is>
      </c>
      <c r="K263" s="65" t="inlineStr">
        <is>
          <t>N/D</t>
        </is>
      </c>
      <c r="L263" s="127" t="inlineStr">
        <is>
          <t>EREDI SAFARI SPORT - SEVERI GINO DI ARMILLI MARIA TERESA</t>
        </is>
      </c>
      <c r="M263" s="5" t="n">
        <v>81.97</v>
      </c>
      <c r="N263" s="5" t="n"/>
      <c r="O263" s="5">
        <f>+M263+N263</f>
        <v/>
      </c>
      <c r="P263" s="4" t="n"/>
      <c r="Q263" s="87" t="n"/>
      <c r="R263" s="5" t="n">
        <v>29</v>
      </c>
      <c r="S263" s="2" t="n">
        <v>1</v>
      </c>
      <c r="T263" s="3" t="inlineStr">
        <is>
          <t>CA42796IR</t>
        </is>
      </c>
      <c r="U263" s="87" t="n">
        <v>45821</v>
      </c>
      <c r="V263" s="3" t="inlineStr">
        <is>
          <t>10</t>
        </is>
      </c>
      <c r="W263" s="108" t="n">
        <v>45821</v>
      </c>
      <c r="X263" s="4" t="inlineStr">
        <is>
          <t>PHILIPPOS COSTANTINIDES TRADING CO. LTD</t>
        </is>
      </c>
    </row>
    <row r="264" ht="24" customHeight="1">
      <c r="A264" s="2">
        <f>+D264-S264</f>
        <v/>
      </c>
      <c r="B264" s="80" t="n"/>
      <c r="C264" s="70" t="n">
        <v>45436</v>
      </c>
      <c r="D264" s="2" t="n">
        <v>1</v>
      </c>
      <c r="E264" s="3" t="inlineStr">
        <is>
          <t>FUCILE MONOCANNA</t>
        </is>
      </c>
      <c r="F264" s="3" t="inlineStr">
        <is>
          <t>9 FLOBERT</t>
        </is>
      </c>
      <c r="G264" s="3" t="inlineStr">
        <is>
          <t>BERNARDELLI</t>
        </is>
      </c>
      <c r="H264" s="65" t="n"/>
      <c r="I264" s="65" t="inlineStr">
        <is>
          <t>032463</t>
        </is>
      </c>
      <c r="J264" s="65" t="inlineStr">
        <is>
          <t>N/D</t>
        </is>
      </c>
      <c r="K264" s="65" t="inlineStr">
        <is>
          <t>N/D</t>
        </is>
      </c>
      <c r="L264" s="127" t="inlineStr">
        <is>
          <t>EREDI SAFARI SPORT - SEVERI GINO DI ARMILLI MARIA TERESA</t>
        </is>
      </c>
      <c r="M264" s="5" t="n">
        <v>20.49</v>
      </c>
      <c r="N264" s="5" t="n"/>
      <c r="O264" s="5">
        <f>+M264+N264</f>
        <v/>
      </c>
      <c r="P264" s="4" t="n"/>
      <c r="Q264" s="87" t="n"/>
      <c r="R264" s="5" t="n">
        <v>29</v>
      </c>
      <c r="S264" s="2" t="n">
        <v>1</v>
      </c>
      <c r="T264" s="3" t="inlineStr">
        <is>
          <t>CA42796IR</t>
        </is>
      </c>
      <c r="U264" s="87" t="n">
        <v>45821</v>
      </c>
      <c r="V264" s="3" t="inlineStr">
        <is>
          <t>12</t>
        </is>
      </c>
      <c r="W264" s="108" t="n">
        <v>45821</v>
      </c>
      <c r="X264" s="4" t="inlineStr">
        <is>
          <t>PHILIPPOS COSTANTINIDES TRADING CO. LTD</t>
        </is>
      </c>
    </row>
    <row r="265" ht="24" customHeight="1">
      <c r="A265" s="2">
        <f>+D265-S265</f>
        <v/>
      </c>
      <c r="B265" s="80" t="n"/>
      <c r="C265" s="70" t="n">
        <v>45436</v>
      </c>
      <c r="D265" s="2" t="n">
        <v>1</v>
      </c>
      <c r="E265" s="3" t="inlineStr">
        <is>
          <t>FUCILE DOPPIETTA</t>
        </is>
      </c>
      <c r="F265" s="3" t="n">
        <v>12</v>
      </c>
      <c r="G265" s="3" t="inlineStr">
        <is>
          <t>FALC</t>
        </is>
      </c>
      <c r="H265" s="65" t="n"/>
      <c r="I265" s="65" t="n">
        <v>19090</v>
      </c>
      <c r="J265" s="65" t="inlineStr">
        <is>
          <t>N/D</t>
        </is>
      </c>
      <c r="K265" s="65" t="inlineStr">
        <is>
          <t>N/D</t>
        </is>
      </c>
      <c r="L265" s="127" t="inlineStr">
        <is>
          <t>EREDI SAFARI SPORT - SEVERI GINO DI ARMILLI MARIA TERESA</t>
        </is>
      </c>
      <c r="M265" s="5" t="n">
        <v>40.98</v>
      </c>
      <c r="N265" s="5" t="n"/>
      <c r="O265" s="5">
        <f>+M265+N265</f>
        <v/>
      </c>
      <c r="P265" s="4" t="n"/>
      <c r="Q265" s="87" t="n"/>
      <c r="R265" s="5" t="n">
        <v>52</v>
      </c>
      <c r="S265" s="2" t="n">
        <v>1</v>
      </c>
      <c r="T265" s="3" t="inlineStr">
        <is>
          <t>CA42796IR</t>
        </is>
      </c>
      <c r="U265" s="87" t="n">
        <v>45821</v>
      </c>
      <c r="V265" s="3" t="inlineStr">
        <is>
          <t>12</t>
        </is>
      </c>
      <c r="W265" s="108" t="n">
        <v>45821</v>
      </c>
      <c r="X265" s="4" t="inlineStr">
        <is>
          <t>PHILIPPOS COSTANTINIDES TRADING CO. LTD</t>
        </is>
      </c>
    </row>
    <row r="266" ht="24" customHeight="1">
      <c r="A266" s="2">
        <f>+D266-S266</f>
        <v/>
      </c>
      <c r="B266" s="80" t="n"/>
      <c r="C266" s="70" t="n">
        <v>45436</v>
      </c>
      <c r="D266" s="2" t="n">
        <v>1</v>
      </c>
      <c r="E266" s="3" t="inlineStr">
        <is>
          <t>FUCILE MONOCANNA</t>
        </is>
      </c>
      <c r="F266" s="3" t="inlineStr">
        <is>
          <t>9 FLOBERT</t>
        </is>
      </c>
      <c r="G266" s="3" t="inlineStr">
        <is>
          <t>BERNARDELLI</t>
        </is>
      </c>
      <c r="H266" s="65" t="n"/>
      <c r="I266" s="65" t="inlineStr">
        <is>
          <t>F00182</t>
        </is>
      </c>
      <c r="J266" s="65" t="inlineStr">
        <is>
          <t>N/D</t>
        </is>
      </c>
      <c r="K266" s="65" t="inlineStr">
        <is>
          <t>N/D</t>
        </is>
      </c>
      <c r="L266" s="127" t="inlineStr">
        <is>
          <t>EREDI SAFARI SPORT - SEVERI GINO DI ARMILLI MARIA TERESA</t>
        </is>
      </c>
      <c r="M266" s="5" t="n">
        <v>20.49</v>
      </c>
      <c r="N266" s="5" t="n"/>
      <c r="O266" s="5">
        <f>+M266+N266</f>
        <v/>
      </c>
      <c r="P266" s="4" t="n"/>
      <c r="Q266" s="87" t="n"/>
      <c r="R266" s="5" t="n">
        <v>29</v>
      </c>
      <c r="S266" s="2" t="n">
        <v>1</v>
      </c>
      <c r="T266" s="3" t="inlineStr">
        <is>
          <t>CA42796IR</t>
        </is>
      </c>
      <c r="U266" s="87" t="n">
        <v>45821</v>
      </c>
      <c r="V266" s="3" t="inlineStr">
        <is>
          <t>12</t>
        </is>
      </c>
      <c r="W266" s="108" t="n">
        <v>45821</v>
      </c>
      <c r="X266" s="4" t="inlineStr">
        <is>
          <t>PHILIPPOS COSTANTINIDES TRADING CO. LTD</t>
        </is>
      </c>
    </row>
    <row r="267" ht="24" customHeight="1">
      <c r="A267" s="2">
        <f>+D267-S267</f>
        <v/>
      </c>
      <c r="B267" s="80" t="n"/>
      <c r="C267" s="70" t="n">
        <v>45436</v>
      </c>
      <c r="D267" s="2" t="n">
        <v>1</v>
      </c>
      <c r="E267" s="3" t="inlineStr">
        <is>
          <t>CARABINA</t>
        </is>
      </c>
      <c r="F267" s="3" t="inlineStr">
        <is>
          <t>38 SPECIAL</t>
        </is>
      </c>
      <c r="G267" s="3" t="inlineStr">
        <is>
          <t>UBERTI</t>
        </is>
      </c>
      <c r="H267" s="65" t="n">
        <v>94</v>
      </c>
      <c r="I267" s="65" t="n">
        <v>637</v>
      </c>
      <c r="J267" s="65" t="inlineStr">
        <is>
          <t>N/D</t>
        </is>
      </c>
      <c r="K267" s="65" t="inlineStr">
        <is>
          <t>N/D</t>
        </is>
      </c>
      <c r="L267" s="127" t="inlineStr">
        <is>
          <t>EREDI SAFARI SPORT - SEVERI GINO DI ARMILLI MARIA TERESA</t>
        </is>
      </c>
      <c r="M267" s="5" t="n">
        <v>12.3</v>
      </c>
      <c r="N267" s="5" t="n"/>
      <c r="O267" s="5">
        <f>+M267+N267</f>
        <v/>
      </c>
      <c r="P267" s="4" t="n"/>
      <c r="Q267" s="87" t="n"/>
      <c r="R267" s="5" t="n"/>
      <c r="S267" s="2" t="n"/>
      <c r="T267" s="3" t="n"/>
      <c r="U267" s="87" t="n"/>
      <c r="V267" s="3" t="n"/>
      <c r="W267" s="108" t="n"/>
      <c r="X267" s="4" t="n"/>
    </row>
    <row r="268" ht="24" customHeight="1">
      <c r="A268" s="2">
        <f>+D268-S268</f>
        <v/>
      </c>
      <c r="B268" s="80" t="n"/>
      <c r="C268" s="70" t="n">
        <v>45436</v>
      </c>
      <c r="D268" s="2" t="n">
        <v>1</v>
      </c>
      <c r="E268" s="3" t="inlineStr">
        <is>
          <t>FUCILE SOVRAPPOSTO</t>
        </is>
      </c>
      <c r="F268" s="3" t="inlineStr">
        <is>
          <t>9 FLOBERT</t>
        </is>
      </c>
      <c r="G268" s="3" t="inlineStr">
        <is>
          <t>FALCO</t>
        </is>
      </c>
      <c r="H268" s="65" t="n"/>
      <c r="I268" s="65" t="inlineStr">
        <is>
          <t>A78109</t>
        </is>
      </c>
      <c r="J268" s="65" t="inlineStr">
        <is>
          <t>N/D</t>
        </is>
      </c>
      <c r="K268" s="65" t="inlineStr">
        <is>
          <t>N/D</t>
        </is>
      </c>
      <c r="L268" s="127" t="inlineStr">
        <is>
          <t>EREDI SAFARI SPORT - SEVERI GINO DI ARMILLI MARIA TERESA</t>
        </is>
      </c>
      <c r="M268" s="5" t="n">
        <v>20.49</v>
      </c>
      <c r="N268" s="5" t="n"/>
      <c r="O268" s="5">
        <f>+M268+N268</f>
        <v/>
      </c>
      <c r="P268" s="4" t="n"/>
      <c r="Q268" s="87" t="n"/>
      <c r="R268" s="5" t="n">
        <v>29</v>
      </c>
      <c r="S268" s="2" t="n">
        <v>1</v>
      </c>
      <c r="T268" s="3" t="inlineStr">
        <is>
          <t>CA42796IR</t>
        </is>
      </c>
      <c r="U268" s="87" t="n">
        <v>45821</v>
      </c>
      <c r="V268" s="3" t="inlineStr">
        <is>
          <t>10</t>
        </is>
      </c>
      <c r="W268" s="108" t="n">
        <v>45821</v>
      </c>
      <c r="X268" s="4" t="inlineStr">
        <is>
          <t>PHILIPPOS COSTANTINIDES TRADING CO. LTD</t>
        </is>
      </c>
    </row>
    <row r="269" ht="24" customHeight="1">
      <c r="A269" s="2">
        <f>+D269-S269</f>
        <v/>
      </c>
      <c r="B269" s="80" t="n"/>
      <c r="C269" s="70" t="n">
        <v>45436</v>
      </c>
      <c r="D269" s="2" t="n">
        <v>1</v>
      </c>
      <c r="E269" s="3" t="inlineStr">
        <is>
          <t>FUCILE MONOCANNA</t>
        </is>
      </c>
      <c r="F269" s="3" t="inlineStr">
        <is>
          <t>9 FLOBERT</t>
        </is>
      </c>
      <c r="G269" s="3" t="inlineStr">
        <is>
          <t>FALCO</t>
        </is>
      </c>
      <c r="H269" s="65" t="n"/>
      <c r="I269" s="65" t="n">
        <v>27741</v>
      </c>
      <c r="J269" s="65" t="inlineStr">
        <is>
          <t>N/D</t>
        </is>
      </c>
      <c r="K269" s="65" t="inlineStr">
        <is>
          <t>N/D</t>
        </is>
      </c>
      <c r="L269" s="127" t="inlineStr">
        <is>
          <t>EREDI SAFARI SPORT - SEVERI GINO DI ARMILLI MARIA TERESA</t>
        </is>
      </c>
      <c r="M269" s="5" t="n">
        <v>20.49</v>
      </c>
      <c r="N269" s="5" t="n"/>
      <c r="O269" s="5">
        <f>+M269+N269</f>
        <v/>
      </c>
      <c r="P269" s="4" t="n"/>
      <c r="Q269" s="87" t="n"/>
      <c r="R269" s="5" t="n">
        <v>29</v>
      </c>
      <c r="S269" s="2" t="n">
        <v>1</v>
      </c>
      <c r="T269" s="3" t="inlineStr">
        <is>
          <t>CA42796IR</t>
        </is>
      </c>
      <c r="U269" s="87" t="n">
        <v>45821</v>
      </c>
      <c r="V269" s="3" t="inlineStr">
        <is>
          <t>9</t>
        </is>
      </c>
      <c r="W269" s="108" t="n">
        <v>45821</v>
      </c>
      <c r="X269" s="4" t="inlineStr">
        <is>
          <t>PHILIPPOS COSTANTINIDES TRADING CO. LTD</t>
        </is>
      </c>
    </row>
    <row r="270" ht="24" customHeight="1">
      <c r="A270" s="2">
        <f>+D270-S270</f>
        <v/>
      </c>
      <c r="B270" s="80" t="n"/>
      <c r="C270" s="70" t="n">
        <v>45436</v>
      </c>
      <c r="D270" s="2" t="n">
        <v>1</v>
      </c>
      <c r="E270" s="3" t="inlineStr">
        <is>
          <t>FUCILE MONOCANNA</t>
        </is>
      </c>
      <c r="F270" s="3" t="n">
        <v>410</v>
      </c>
      <c r="G270" s="3" t="inlineStr">
        <is>
          <t>INVESTARM</t>
        </is>
      </c>
      <c r="H270" s="65" t="n"/>
      <c r="I270" s="65" t="n">
        <v>513776</v>
      </c>
      <c r="J270" s="65" t="inlineStr">
        <is>
          <t>N/D</t>
        </is>
      </c>
      <c r="K270" s="65" t="inlineStr">
        <is>
          <t>N/D</t>
        </is>
      </c>
      <c r="L270" s="127" t="inlineStr">
        <is>
          <t>EREDI SAFARI SPORT - SEVERI GINO DI ARMILLI MARIA TERESA</t>
        </is>
      </c>
      <c r="M270" s="5" t="n">
        <v>20.49</v>
      </c>
      <c r="N270" s="5" t="n"/>
      <c r="O270" s="5">
        <f>+M270+N270</f>
        <v/>
      </c>
      <c r="P270" s="4" t="n"/>
      <c r="Q270" s="87" t="n"/>
      <c r="R270" s="5" t="n">
        <v>29</v>
      </c>
      <c r="S270" s="2" t="n">
        <v>1</v>
      </c>
      <c r="T270" s="3" t="inlineStr">
        <is>
          <t>CA42796IR</t>
        </is>
      </c>
      <c r="U270" s="87" t="n">
        <v>45821</v>
      </c>
      <c r="V270" s="3" t="inlineStr">
        <is>
          <t>8</t>
        </is>
      </c>
      <c r="W270" s="108" t="n">
        <v>45821</v>
      </c>
      <c r="X270" s="4" t="inlineStr">
        <is>
          <t>PHILIPPOS COSTANTINIDES TRADING CO. LTD</t>
        </is>
      </c>
    </row>
    <row r="271" ht="24" customHeight="1">
      <c r="A271" s="2">
        <f>+D271-S271</f>
        <v/>
      </c>
      <c r="B271" s="80" t="n"/>
      <c r="C271" s="70" t="n">
        <v>45436</v>
      </c>
      <c r="D271" s="2" t="n">
        <v>1</v>
      </c>
      <c r="E271" s="3" t="inlineStr">
        <is>
          <t>FUCILE SEMIAUTOMATICO</t>
        </is>
      </c>
      <c r="F271" s="3" t="inlineStr">
        <is>
          <t>9 FLOBERT</t>
        </is>
      </c>
      <c r="G271" s="3" t="inlineStr">
        <is>
          <t>BERNARDELLI</t>
        </is>
      </c>
      <c r="H271" s="65" t="inlineStr">
        <is>
          <t>CF9</t>
        </is>
      </c>
      <c r="I271" s="65" t="n">
        <v>10118</v>
      </c>
      <c r="J271" s="65" t="inlineStr">
        <is>
          <t>N/D</t>
        </is>
      </c>
      <c r="K271" s="65" t="inlineStr">
        <is>
          <t>N/D</t>
        </is>
      </c>
      <c r="L271" s="127" t="inlineStr">
        <is>
          <t>EREDI SAFARI SPORT - SEVERI GINO DI ARMILLI MARIA TERESA</t>
        </is>
      </c>
      <c r="M271" s="5" t="n">
        <v>20.49</v>
      </c>
      <c r="N271" s="5" t="n"/>
      <c r="O271" s="5">
        <f>+M271+N271</f>
        <v/>
      </c>
      <c r="P271" s="4" t="n"/>
      <c r="Q271" s="87" t="n"/>
      <c r="R271" s="5" t="n">
        <v>29</v>
      </c>
      <c r="S271" s="2" t="n">
        <v>1</v>
      </c>
      <c r="T271" s="3" t="inlineStr">
        <is>
          <t>CA42796IR</t>
        </is>
      </c>
      <c r="U271" s="87" t="n">
        <v>45821</v>
      </c>
      <c r="V271" s="3" t="inlineStr">
        <is>
          <t>12</t>
        </is>
      </c>
      <c r="W271" s="108" t="n">
        <v>45821</v>
      </c>
      <c r="X271" s="4" t="inlineStr">
        <is>
          <t>PHILIPPOS COSTANTINIDES TRADING CO. LTD</t>
        </is>
      </c>
    </row>
    <row r="272" ht="24" customHeight="1">
      <c r="A272" s="2">
        <f>+D272-S272</f>
        <v/>
      </c>
      <c r="B272" s="80" t="n"/>
      <c r="C272" s="70" t="n">
        <v>45436</v>
      </c>
      <c r="D272" s="2" t="n">
        <v>1</v>
      </c>
      <c r="E272" s="3" t="inlineStr">
        <is>
          <t>FUCILE MONOCANNA</t>
        </is>
      </c>
      <c r="F272" s="3" t="inlineStr">
        <is>
          <t>9 FLOBERT</t>
        </is>
      </c>
      <c r="G272" s="3" t="inlineStr">
        <is>
          <t>MANUFRANCE</t>
        </is>
      </c>
      <c r="H272" s="65" t="n"/>
      <c r="I272" s="65" t="inlineStr">
        <is>
          <t>07297</t>
        </is>
      </c>
      <c r="J272" s="65" t="inlineStr">
        <is>
          <t>N/D</t>
        </is>
      </c>
      <c r="K272" s="65" t="inlineStr">
        <is>
          <t>N/D</t>
        </is>
      </c>
      <c r="L272" s="127" t="inlineStr">
        <is>
          <t>EREDI SAFARI SPORT - SEVERI GINO DI ARMILLI MARIA TERESA</t>
        </is>
      </c>
      <c r="M272" s="5" t="n">
        <v>20.49</v>
      </c>
      <c r="N272" s="5" t="n"/>
      <c r="O272" s="5">
        <f>+M272+N272</f>
        <v/>
      </c>
      <c r="P272" s="4" t="n"/>
      <c r="Q272" s="87" t="n"/>
      <c r="R272" s="5" t="n">
        <v>29</v>
      </c>
      <c r="S272" s="2" t="n">
        <v>1</v>
      </c>
      <c r="T272" s="3" t="inlineStr">
        <is>
          <t>CA42796IR</t>
        </is>
      </c>
      <c r="U272" s="87" t="n">
        <v>45821</v>
      </c>
      <c r="V272" s="3" t="inlineStr">
        <is>
          <t>9</t>
        </is>
      </c>
      <c r="W272" s="108" t="n">
        <v>45821</v>
      </c>
      <c r="X272" s="4" t="inlineStr">
        <is>
          <t>PHILIPPOS COSTANTINIDES TRADING CO. LTD</t>
        </is>
      </c>
    </row>
    <row r="273" ht="24" customHeight="1">
      <c r="A273" s="2">
        <f>+D273-S273</f>
        <v/>
      </c>
      <c r="B273" s="80" t="n"/>
      <c r="C273" s="70" t="n">
        <v>45436</v>
      </c>
      <c r="D273" s="2" t="n">
        <v>1</v>
      </c>
      <c r="E273" s="3" t="inlineStr">
        <is>
          <t>CARABINA AD ARIA COMPRESSA</t>
        </is>
      </c>
      <c r="F273" s="3" t="n">
        <v>4.5</v>
      </c>
      <c r="G273" s="3" t="inlineStr">
        <is>
          <t>BAVARIA</t>
        </is>
      </c>
      <c r="H273" s="65" t="inlineStr">
        <is>
          <t>55 BAYER</t>
        </is>
      </c>
      <c r="I273" s="65" t="n">
        <v>6034</v>
      </c>
      <c r="J273" s="65" t="inlineStr">
        <is>
          <t>N/D</t>
        </is>
      </c>
      <c r="K273" s="65" t="inlineStr">
        <is>
          <t>N/D</t>
        </is>
      </c>
      <c r="L273" s="127" t="inlineStr">
        <is>
          <t>EREDI SAFARI SPORT - SEVERI GINO DI ARMILLI MARIA TERESA</t>
        </is>
      </c>
      <c r="M273" s="5" t="n">
        <v>12.3</v>
      </c>
      <c r="N273" s="5" t="n"/>
      <c r="O273" s="5">
        <f>+M273+N273</f>
        <v/>
      </c>
      <c r="P273" s="4" t="n"/>
      <c r="Q273" s="87" t="n"/>
      <c r="R273" s="5" t="n">
        <v>19</v>
      </c>
      <c r="S273" s="2" t="n">
        <v>1</v>
      </c>
      <c r="T273" s="3" t="inlineStr">
        <is>
          <t>CA42796IR</t>
        </is>
      </c>
      <c r="U273" s="87" t="n">
        <v>45821</v>
      </c>
      <c r="V273" s="3" t="inlineStr">
        <is>
          <t>16</t>
        </is>
      </c>
      <c r="W273" s="108" t="n">
        <v>45821</v>
      </c>
      <c r="X273" s="4" t="inlineStr">
        <is>
          <t>PHILIPPOS COSTANTINIDES TRADING CO. LTD</t>
        </is>
      </c>
    </row>
    <row r="274" ht="24" customHeight="1">
      <c r="A274" s="2">
        <f>+D274-S274</f>
        <v/>
      </c>
      <c r="B274" s="80" t="n"/>
      <c r="C274" s="70" t="n">
        <v>45436</v>
      </c>
      <c r="D274" s="2" t="n">
        <v>1</v>
      </c>
      <c r="E274" s="3" t="inlineStr">
        <is>
          <t>CARABINA AD ARIA COMPRESSA</t>
        </is>
      </c>
      <c r="F274" s="3" t="n">
        <v>4.5</v>
      </c>
      <c r="G274" s="3" t="inlineStr">
        <is>
          <t>DIANA</t>
        </is>
      </c>
      <c r="H274" s="65" t="n">
        <v>52</v>
      </c>
      <c r="I274" s="65" t="inlineStr">
        <is>
          <t>02067924</t>
        </is>
      </c>
      <c r="J274" s="65" t="inlineStr">
        <is>
          <t>N/D</t>
        </is>
      </c>
      <c r="K274" s="65" t="inlineStr">
        <is>
          <t>N/D</t>
        </is>
      </c>
      <c r="L274" s="127" t="inlineStr">
        <is>
          <t>EREDI SAFARI SPORT - SEVERI GINO DI ARMILLI MARIA TERESA</t>
        </is>
      </c>
      <c r="M274" s="5" t="n">
        <v>12.3</v>
      </c>
      <c r="N274" s="5" t="n"/>
      <c r="O274" s="5">
        <f>+M274+N274</f>
        <v/>
      </c>
      <c r="P274" s="4" t="n"/>
      <c r="Q274" s="87" t="n"/>
      <c r="R274" s="5" t="n">
        <v>19</v>
      </c>
      <c r="S274" s="2" t="n">
        <v>1</v>
      </c>
      <c r="T274" s="3" t="inlineStr">
        <is>
          <t>CA42796IR</t>
        </is>
      </c>
      <c r="U274" s="87" t="n">
        <v>45821</v>
      </c>
      <c r="V274" s="3" t="inlineStr">
        <is>
          <t>16</t>
        </is>
      </c>
      <c r="W274" s="108" t="n">
        <v>45821</v>
      </c>
      <c r="X274" s="4" t="inlineStr">
        <is>
          <t>PHILIPPOS COSTANTINIDES TRADING CO. LTD</t>
        </is>
      </c>
    </row>
    <row r="275" ht="24" customHeight="1">
      <c r="A275" s="2">
        <f>+D275-S275</f>
        <v/>
      </c>
      <c r="B275" s="80" t="n"/>
      <c r="C275" s="70" t="n">
        <v>45436</v>
      </c>
      <c r="D275" s="2" t="n">
        <v>1</v>
      </c>
      <c r="E275" s="3" t="inlineStr">
        <is>
          <t>FUCILE DOPPIETTA</t>
        </is>
      </c>
      <c r="F275" s="3" t="n">
        <v>12</v>
      </c>
      <c r="G275" s="3" t="inlineStr">
        <is>
          <t>BERETTA</t>
        </is>
      </c>
      <c r="H275" s="65" t="inlineStr">
        <is>
          <t>471 EL</t>
        </is>
      </c>
      <c r="I275" s="65" t="inlineStr">
        <is>
          <t>S06187A</t>
        </is>
      </c>
      <c r="J275" s="65" t="inlineStr">
        <is>
          <t>N/D</t>
        </is>
      </c>
      <c r="K275" s="65" t="inlineStr">
        <is>
          <t>N/D</t>
        </is>
      </c>
      <c r="L275" s="127" t="inlineStr">
        <is>
          <t>EREDI SAFARI SPORT - SEVERI GINO DI ARMILLI MARIA TERESA</t>
        </is>
      </c>
      <c r="M275" s="5" t="n">
        <v>491.8</v>
      </c>
      <c r="N275" s="5" t="n"/>
      <c r="O275" s="5">
        <f>+M275+N275</f>
        <v/>
      </c>
      <c r="P275" s="4" t="n"/>
      <c r="Q275" s="87" t="n"/>
      <c r="R275" s="5" t="n">
        <v>571</v>
      </c>
      <c r="S275" s="2" t="n">
        <v>1</v>
      </c>
      <c r="T275" s="3" t="inlineStr">
        <is>
          <t>CA42796IR</t>
        </is>
      </c>
      <c r="U275" s="87" t="n">
        <v>45821</v>
      </c>
      <c r="V275" s="3" t="inlineStr">
        <is>
          <t>12</t>
        </is>
      </c>
      <c r="W275" s="108" t="n">
        <v>45821</v>
      </c>
      <c r="X275" s="4" t="inlineStr">
        <is>
          <t>PHILIPPOS COSTANTINIDES TRADING CO. LTD</t>
        </is>
      </c>
    </row>
    <row r="276" ht="24" customHeight="1">
      <c r="A276" s="2">
        <f>+D276-S276</f>
        <v/>
      </c>
      <c r="B276" s="80" t="n"/>
      <c r="C276" s="70" t="n">
        <v>45436</v>
      </c>
      <c r="D276" s="2" t="n">
        <v>1</v>
      </c>
      <c r="E276" s="3" t="inlineStr">
        <is>
          <t>FUCILE DOPPIETTA</t>
        </is>
      </c>
      <c r="F276" s="3" t="n">
        <v>12</v>
      </c>
      <c r="G276" s="3" t="inlineStr">
        <is>
          <t>FABARM</t>
        </is>
      </c>
      <c r="H276" s="65" t="inlineStr">
        <is>
          <t>BETA PARADOX</t>
        </is>
      </c>
      <c r="I276" s="65" t="n">
        <v>810276</v>
      </c>
      <c r="J276" s="65" t="inlineStr">
        <is>
          <t>N/D</t>
        </is>
      </c>
      <c r="K276" s="65" t="inlineStr">
        <is>
          <t>N/D</t>
        </is>
      </c>
      <c r="L276" s="127" t="inlineStr">
        <is>
          <t>EREDI SAFARI SPORT - SEVERI GINO DI ARMILLI MARIA TERESA</t>
        </is>
      </c>
      <c r="M276" s="5" t="n">
        <v>204.92</v>
      </c>
      <c r="N276" s="5" t="n"/>
      <c r="O276" s="5">
        <f>+M276+N276</f>
        <v/>
      </c>
      <c r="P276" s="4" t="n"/>
      <c r="Q276" s="87" t="n"/>
      <c r="R276" s="5" t="n">
        <v>241</v>
      </c>
      <c r="S276" s="2" t="n">
        <v>1</v>
      </c>
      <c r="T276" s="3" t="inlineStr">
        <is>
          <t>CA42796IR</t>
        </is>
      </c>
      <c r="U276" s="87" t="n">
        <v>45821</v>
      </c>
      <c r="V276" s="3" t="inlineStr">
        <is>
          <t>13</t>
        </is>
      </c>
      <c r="W276" s="108" t="n">
        <v>45821</v>
      </c>
      <c r="X276" s="4" t="inlineStr">
        <is>
          <t>PHILIPPOS COSTANTINIDES TRADING CO. LTD</t>
        </is>
      </c>
    </row>
    <row r="277" ht="24" customHeight="1">
      <c r="A277" s="2">
        <f>+D277-S277</f>
        <v/>
      </c>
      <c r="B277" s="80" t="n"/>
      <c r="C277" s="70" t="n">
        <v>45436</v>
      </c>
      <c r="D277" s="2" t="n">
        <v>1</v>
      </c>
      <c r="E277" s="3" t="inlineStr">
        <is>
          <t>FUCILE DOPPIETTA</t>
        </is>
      </c>
      <c r="F277" s="3" t="n">
        <v>16</v>
      </c>
      <c r="G277" s="3" t="inlineStr">
        <is>
          <t>DARNE</t>
        </is>
      </c>
      <c r="H277" s="65" t="n"/>
      <c r="I277" s="65" t="inlineStr">
        <is>
          <t>M576</t>
        </is>
      </c>
      <c r="J277" s="65" t="inlineStr">
        <is>
          <t>N/D</t>
        </is>
      </c>
      <c r="K277" s="65" t="inlineStr">
        <is>
          <t>N/D</t>
        </is>
      </c>
      <c r="L277" s="127" t="inlineStr">
        <is>
          <t>EREDI SAFARI SPORT - SEVERI GINO DI ARMILLI MARIA TERESA</t>
        </is>
      </c>
      <c r="M277" s="5" t="n">
        <v>245.9</v>
      </c>
      <c r="N277" s="5" t="n"/>
      <c r="O277" s="5">
        <f>+M277+N277</f>
        <v/>
      </c>
      <c r="P277" s="4" t="n"/>
      <c r="Q277" s="87" t="n"/>
      <c r="R277" s="5" t="n">
        <v>288</v>
      </c>
      <c r="S277" s="2" t="n">
        <v>1</v>
      </c>
      <c r="T277" s="3" t="inlineStr">
        <is>
          <t>CA42796IR</t>
        </is>
      </c>
      <c r="U277" s="87" t="n">
        <v>45821</v>
      </c>
      <c r="V277" s="3" t="inlineStr">
        <is>
          <t>15</t>
        </is>
      </c>
      <c r="W277" s="108" t="n">
        <v>45821</v>
      </c>
      <c r="X277" s="4" t="inlineStr">
        <is>
          <t>PHILIPPOS COSTANTINIDES TRADING CO. LTD</t>
        </is>
      </c>
    </row>
    <row r="278" ht="24" customHeight="1">
      <c r="A278" s="2">
        <f>+D278-S278</f>
        <v/>
      </c>
      <c r="B278" s="80" t="n"/>
      <c r="C278" s="70" t="n">
        <v>45436</v>
      </c>
      <c r="D278" s="2" t="n">
        <v>1</v>
      </c>
      <c r="E278" s="3" t="inlineStr">
        <is>
          <t>FUCILE DOPPIETTA</t>
        </is>
      </c>
      <c r="F278" s="3" t="n">
        <v>12</v>
      </c>
      <c r="G278" s="3" t="inlineStr">
        <is>
          <t>BERETTA</t>
        </is>
      </c>
      <c r="H278" s="65" t="n">
        <v>409</v>
      </c>
      <c r="I278" s="65" t="inlineStr">
        <is>
          <t>C42764</t>
        </is>
      </c>
      <c r="J278" s="65" t="inlineStr">
        <is>
          <t>N/D</t>
        </is>
      </c>
      <c r="K278" s="65" t="inlineStr">
        <is>
          <t>N/D</t>
        </is>
      </c>
      <c r="L278" s="127" t="inlineStr">
        <is>
          <t>EREDI SAFARI SPORT - SEVERI GINO DI ARMILLI MARIA TERESA</t>
        </is>
      </c>
      <c r="M278" s="5" t="n">
        <v>81.97</v>
      </c>
      <c r="N278" s="5" t="n"/>
      <c r="O278" s="5">
        <f>+M278+N278</f>
        <v/>
      </c>
      <c r="P278" s="4" t="n"/>
      <c r="Q278" s="87" t="n"/>
      <c r="R278" s="5" t="n">
        <v>99</v>
      </c>
      <c r="S278" s="2" t="n">
        <v>1</v>
      </c>
      <c r="T278" s="3" t="inlineStr">
        <is>
          <t>CA42796IR</t>
        </is>
      </c>
      <c r="U278" s="87" t="n">
        <v>45821</v>
      </c>
      <c r="V278" s="3" t="inlineStr">
        <is>
          <t>12</t>
        </is>
      </c>
      <c r="W278" s="108" t="n">
        <v>45821</v>
      </c>
      <c r="X278" s="4" t="inlineStr">
        <is>
          <t>PHILIPPOS COSTANTINIDES TRADING CO. LTD</t>
        </is>
      </c>
    </row>
    <row r="279" ht="24" customHeight="1">
      <c r="A279" s="2">
        <f>+D279-S279</f>
        <v/>
      </c>
      <c r="B279" s="80" t="n"/>
      <c r="C279" s="70" t="n">
        <v>45436</v>
      </c>
      <c r="D279" s="2" t="n">
        <v>1</v>
      </c>
      <c r="E279" s="3" t="inlineStr">
        <is>
          <t>FUCILE DOPPIETTA</t>
        </is>
      </c>
      <c r="F279" s="3" t="n">
        <v>12</v>
      </c>
      <c r="G279" s="3" t="inlineStr">
        <is>
          <t>BERETTA</t>
        </is>
      </c>
      <c r="H279" s="65" t="n">
        <v>410</v>
      </c>
      <c r="I279" s="65" t="inlineStr">
        <is>
          <t>C37074</t>
        </is>
      </c>
      <c r="J279" s="65" t="inlineStr">
        <is>
          <t>N/D</t>
        </is>
      </c>
      <c r="K279" s="65" t="inlineStr">
        <is>
          <t>N/D</t>
        </is>
      </c>
      <c r="L279" s="127" t="inlineStr">
        <is>
          <t>EREDI SAFARI SPORT - SEVERI GINO DI ARMILLI MARIA TERESA</t>
        </is>
      </c>
      <c r="M279" s="5" t="n">
        <v>81.97</v>
      </c>
      <c r="N279" s="5" t="n"/>
      <c r="O279" s="5">
        <f>+M279+N279</f>
        <v/>
      </c>
      <c r="P279" s="4" t="n"/>
      <c r="Q279" s="87" t="n"/>
      <c r="R279" s="5" t="n">
        <v>99</v>
      </c>
      <c r="S279" s="2" t="n">
        <v>1</v>
      </c>
      <c r="T279" s="3" t="inlineStr">
        <is>
          <t>CA42796IR</t>
        </is>
      </c>
      <c r="U279" s="87" t="n">
        <v>45821</v>
      </c>
      <c r="V279" s="3" t="inlineStr">
        <is>
          <t>12</t>
        </is>
      </c>
      <c r="W279" s="108" t="n">
        <v>45821</v>
      </c>
      <c r="X279" s="4" t="inlineStr">
        <is>
          <t>PHILIPPOS COSTANTINIDES TRADING CO. LTD</t>
        </is>
      </c>
    </row>
    <row r="280" ht="24" customHeight="1">
      <c r="A280" s="2">
        <f>+D280-S280</f>
        <v/>
      </c>
      <c r="B280" s="80" t="n"/>
      <c r="C280" s="70" t="n">
        <v>45436</v>
      </c>
      <c r="D280" s="2" t="n">
        <v>1</v>
      </c>
      <c r="E280" s="3" t="inlineStr">
        <is>
          <t>FUCILE DOPPIETTA</t>
        </is>
      </c>
      <c r="F280" s="3" t="n">
        <v>12</v>
      </c>
      <c r="G280" s="3" t="inlineStr">
        <is>
          <t>FRANCHI</t>
        </is>
      </c>
      <c r="H280" s="65" t="n"/>
      <c r="I280" s="65" t="n">
        <v>24030</v>
      </c>
      <c r="J280" s="65" t="inlineStr">
        <is>
          <t>N/D</t>
        </is>
      </c>
      <c r="K280" s="65" t="inlineStr">
        <is>
          <t>N/D</t>
        </is>
      </c>
      <c r="L280" s="127" t="inlineStr">
        <is>
          <t>EREDI SAFARI SPORT - SEVERI GINO DI ARMILLI MARIA TERESA</t>
        </is>
      </c>
      <c r="M280" s="5" t="n">
        <v>81.97</v>
      </c>
      <c r="N280" s="5" t="n"/>
      <c r="O280" s="5">
        <f>+M280+N280</f>
        <v/>
      </c>
      <c r="P280" s="4" t="n"/>
      <c r="Q280" s="87" t="n"/>
      <c r="R280" s="5" t="n">
        <v>99</v>
      </c>
      <c r="S280" s="2" t="n">
        <v>1</v>
      </c>
      <c r="T280" s="3" t="inlineStr">
        <is>
          <t>CA42796IR</t>
        </is>
      </c>
      <c r="U280" s="87" t="n">
        <v>45821</v>
      </c>
      <c r="V280" s="3" t="inlineStr">
        <is>
          <t>14</t>
        </is>
      </c>
      <c r="W280" s="108" t="n">
        <v>45821</v>
      </c>
      <c r="X280" s="4" t="inlineStr">
        <is>
          <t>PHILIPPOS COSTANTINIDES TRADING CO. LTD</t>
        </is>
      </c>
    </row>
    <row r="281" ht="24" customHeight="1">
      <c r="A281" s="2">
        <f>+D281-S281</f>
        <v/>
      </c>
      <c r="B281" s="80" t="n"/>
      <c r="C281" s="70" t="n">
        <v>45436</v>
      </c>
      <c r="D281" s="2" t="n">
        <v>1</v>
      </c>
      <c r="E281" s="3" t="inlineStr">
        <is>
          <t>FUCILE DOPPIETTA</t>
        </is>
      </c>
      <c r="F281" s="3" t="n">
        <v>12</v>
      </c>
      <c r="G281" s="3" t="inlineStr">
        <is>
          <t>FRANCHI</t>
        </is>
      </c>
      <c r="H281" s="65" t="n"/>
      <c r="I281" s="65" t="inlineStr">
        <is>
          <t>27457-E</t>
        </is>
      </c>
      <c r="J281" s="65" t="inlineStr">
        <is>
          <t>N/D</t>
        </is>
      </c>
      <c r="K281" s="65" t="inlineStr">
        <is>
          <t>N/D</t>
        </is>
      </c>
      <c r="L281" s="127" t="inlineStr">
        <is>
          <t>EREDI SAFARI SPORT - SEVERI GINO DI ARMILLI MARIA TERESA</t>
        </is>
      </c>
      <c r="M281" s="5" t="n">
        <v>81.97</v>
      </c>
      <c r="N281" s="5" t="n"/>
      <c r="O281" s="5">
        <f>+M281+N281</f>
        <v/>
      </c>
      <c r="P281" s="4" t="n"/>
      <c r="Q281" s="87" t="n"/>
      <c r="R281" s="5" t="n">
        <v>99</v>
      </c>
      <c r="S281" s="2" t="n">
        <v>1</v>
      </c>
      <c r="T281" s="3" t="inlineStr">
        <is>
          <t>CA42796IR</t>
        </is>
      </c>
      <c r="U281" s="87" t="n">
        <v>45821</v>
      </c>
      <c r="V281" s="3" t="inlineStr">
        <is>
          <t>14</t>
        </is>
      </c>
      <c r="W281" s="108" t="n">
        <v>45821</v>
      </c>
      <c r="X281" s="4" t="inlineStr">
        <is>
          <t>PHILIPPOS COSTANTINIDES TRADING CO. LTD</t>
        </is>
      </c>
    </row>
    <row r="282" ht="24" customHeight="1">
      <c r="A282" s="2">
        <f>+D282-S282</f>
        <v/>
      </c>
      <c r="B282" s="80" t="n"/>
      <c r="C282" s="70" t="n">
        <v>45436</v>
      </c>
      <c r="D282" s="2" t="n">
        <v>1</v>
      </c>
      <c r="E282" s="3" t="inlineStr">
        <is>
          <t>FUCILE DOPPIETTA</t>
        </is>
      </c>
      <c r="F282" s="3" t="inlineStr">
        <is>
          <t>10</t>
        </is>
      </c>
      <c r="G282" s="3" t="inlineStr">
        <is>
          <t>BERETTA</t>
        </is>
      </c>
      <c r="H282" s="65" t="n"/>
      <c r="I282" s="65" t="n">
        <v>72067</v>
      </c>
      <c r="J282" s="65" t="inlineStr">
        <is>
          <t>N/D</t>
        </is>
      </c>
      <c r="K282" s="65" t="inlineStr">
        <is>
          <t>N/D</t>
        </is>
      </c>
      <c r="L282" s="127" t="inlineStr">
        <is>
          <t>EREDI SAFARI SPORT - SEVERI GINO DI ARMILLI MARIA TERESA</t>
        </is>
      </c>
      <c r="M282" s="5" t="n">
        <v>81.97</v>
      </c>
      <c r="N282" s="5" t="n"/>
      <c r="O282" s="5">
        <f>+M282+N282</f>
        <v/>
      </c>
      <c r="P282" s="4" t="n"/>
      <c r="Q282" s="87" t="n"/>
      <c r="R282" s="5" t="n">
        <v>99</v>
      </c>
      <c r="S282" s="2" t="n">
        <v>1</v>
      </c>
      <c r="T282" s="3" t="inlineStr">
        <is>
          <t>CA42796IR</t>
        </is>
      </c>
      <c r="U282" s="87" t="n">
        <v>45821</v>
      </c>
      <c r="V282" s="3" t="inlineStr">
        <is>
          <t>12</t>
        </is>
      </c>
      <c r="W282" s="108" t="n">
        <v>45821</v>
      </c>
      <c r="X282" s="4" t="inlineStr">
        <is>
          <t>PHILIPPOS COSTANTINIDES TRADING CO. LTD</t>
        </is>
      </c>
    </row>
    <row r="283" ht="24" customHeight="1">
      <c r="A283" s="2">
        <f>+D283-S283</f>
        <v/>
      </c>
      <c r="B283" s="80" t="n"/>
      <c r="C283" s="70" t="n">
        <v>45436</v>
      </c>
      <c r="D283" s="2" t="n">
        <v>1</v>
      </c>
      <c r="E283" s="3" t="inlineStr">
        <is>
          <t>FUCILE SEMIAUTOMATICO</t>
        </is>
      </c>
      <c r="F283" s="3" t="n">
        <v>12</v>
      </c>
      <c r="G283" s="3" t="inlineStr">
        <is>
          <t>BERNARDELLI</t>
        </is>
      </c>
      <c r="H283" s="65" t="n"/>
      <c r="I283" s="65" t="n">
        <v>867</v>
      </c>
      <c r="J283" s="65" t="inlineStr">
        <is>
          <t>N/D</t>
        </is>
      </c>
      <c r="K283" s="65" t="inlineStr">
        <is>
          <t>N/D</t>
        </is>
      </c>
      <c r="L283" s="127" t="inlineStr">
        <is>
          <t>EREDI SAFARI SPORT - SEVERI GINO DI ARMILLI MARIA TERESA</t>
        </is>
      </c>
      <c r="M283" s="5" t="n">
        <v>163.93</v>
      </c>
      <c r="N283" s="5" t="n"/>
      <c r="O283" s="5">
        <f>+M283+N283</f>
        <v/>
      </c>
      <c r="P283" s="4" t="n"/>
      <c r="Q283" s="87" t="n"/>
      <c r="R283" s="5" t="n">
        <v>194</v>
      </c>
      <c r="S283" s="2" t="n">
        <v>1</v>
      </c>
      <c r="T283" s="3" t="inlineStr">
        <is>
          <t>CA42796IR</t>
        </is>
      </c>
      <c r="U283" s="87" t="n">
        <v>45821</v>
      </c>
      <c r="V283" s="3" t="inlineStr">
        <is>
          <t>12</t>
        </is>
      </c>
      <c r="W283" s="108" t="n">
        <v>45821</v>
      </c>
      <c r="X283" s="4" t="inlineStr">
        <is>
          <t>PHILIPPOS COSTANTINIDES TRADING CO. LTD</t>
        </is>
      </c>
    </row>
    <row r="284" ht="24" customHeight="1">
      <c r="A284" s="2">
        <f>+D284-S284</f>
        <v/>
      </c>
      <c r="B284" s="80" t="n"/>
      <c r="C284" s="70" t="n">
        <v>45436</v>
      </c>
      <c r="D284" s="2" t="n">
        <v>1</v>
      </c>
      <c r="E284" s="3" t="inlineStr">
        <is>
          <t>FUCILE SOVRAPPOSTO</t>
        </is>
      </c>
      <c r="F284" s="3" t="n">
        <v>20</v>
      </c>
      <c r="G284" s="3" t="inlineStr">
        <is>
          <t>BERETTA</t>
        </is>
      </c>
      <c r="H284" s="65" t="inlineStr">
        <is>
          <t>SILVER PIGEON II</t>
        </is>
      </c>
      <c r="I284" s="65" t="inlineStr">
        <is>
          <t>N19799B</t>
        </is>
      </c>
      <c r="J284" s="65" t="inlineStr">
        <is>
          <t>N/D</t>
        </is>
      </c>
      <c r="K284" s="65" t="inlineStr">
        <is>
          <t>N/D</t>
        </is>
      </c>
      <c r="L284" s="127" t="inlineStr">
        <is>
          <t>EREDI SAFARI SPORT - SEVERI GINO DI ARMILLI MARIA TERESA</t>
        </is>
      </c>
      <c r="M284" s="5" t="n">
        <v>573.77</v>
      </c>
      <c r="N284" s="5" t="n"/>
      <c r="O284" s="5">
        <f>+M284+N284</f>
        <v/>
      </c>
      <c r="P284" s="4" t="n"/>
      <c r="Q284" s="87" t="n"/>
      <c r="R284" s="5" t="n">
        <v>665</v>
      </c>
      <c r="S284" s="2" t="n">
        <v>1</v>
      </c>
      <c r="T284" s="3" t="inlineStr">
        <is>
          <t>CA42796IR</t>
        </is>
      </c>
      <c r="U284" s="87" t="n">
        <v>45821</v>
      </c>
      <c r="V284" s="3" t="inlineStr">
        <is>
          <t>9</t>
        </is>
      </c>
      <c r="W284" s="108" t="n">
        <v>45821</v>
      </c>
      <c r="X284" s="4" t="inlineStr">
        <is>
          <t>PHILIPPOS COSTANTINIDES TRADING CO. LTD</t>
        </is>
      </c>
    </row>
    <row r="285" ht="24" customHeight="1">
      <c r="A285" s="2">
        <f>+D285-S285</f>
        <v/>
      </c>
      <c r="B285" s="80" t="n"/>
      <c r="C285" s="70" t="n">
        <v>45436</v>
      </c>
      <c r="D285" s="2" t="n">
        <v>1</v>
      </c>
      <c r="E285" s="3" t="inlineStr">
        <is>
          <t>FUCILE SOVRAPPOSTO</t>
        </is>
      </c>
      <c r="F285" s="3" t="n">
        <v>28</v>
      </c>
      <c r="G285" s="3" t="inlineStr">
        <is>
          <t>RIZZINI</t>
        </is>
      </c>
      <c r="H285" s="65" t="inlineStr">
        <is>
          <t>ARTEMIS</t>
        </is>
      </c>
      <c r="I285" s="65" t="n">
        <v>79032</v>
      </c>
      <c r="J285" s="65" t="inlineStr">
        <is>
          <t>N/D</t>
        </is>
      </c>
      <c r="K285" s="65" t="inlineStr">
        <is>
          <t>N/D</t>
        </is>
      </c>
      <c r="L285" s="127" t="inlineStr">
        <is>
          <t>EREDI SAFARI SPORT - SEVERI GINO DI ARMILLI MARIA TERESA</t>
        </is>
      </c>
      <c r="M285" s="5" t="n">
        <v>655.74</v>
      </c>
      <c r="N285" s="5" t="n"/>
      <c r="O285" s="5">
        <f>+M285+N285</f>
        <v/>
      </c>
      <c r="P285" s="4" t="n"/>
      <c r="Q285" s="87" t="n"/>
      <c r="R285" s="5" t="n">
        <v>759</v>
      </c>
      <c r="S285" s="2" t="n">
        <v>1</v>
      </c>
      <c r="T285" s="3" t="inlineStr">
        <is>
          <t>CA42796IR</t>
        </is>
      </c>
      <c r="U285" s="87" t="n">
        <v>45821</v>
      </c>
      <c r="V285" s="3" t="inlineStr">
        <is>
          <t>11</t>
        </is>
      </c>
      <c r="W285" s="108" t="n">
        <v>45821</v>
      </c>
      <c r="X285" s="4" t="inlineStr">
        <is>
          <t>PHILIPPOS COSTANTINIDES TRADING CO. LTD</t>
        </is>
      </c>
    </row>
    <row r="286" ht="24" customHeight="1">
      <c r="A286" s="2">
        <f>+D286-S286</f>
        <v/>
      </c>
      <c r="B286" s="80" t="n"/>
      <c r="C286" s="70" t="n">
        <v>45436</v>
      </c>
      <c r="D286" s="2" t="n">
        <v>1</v>
      </c>
      <c r="E286" s="3" t="inlineStr">
        <is>
          <t>FUCILE SOVRAPPOSTO</t>
        </is>
      </c>
      <c r="F286" s="3" t="n">
        <v>28</v>
      </c>
      <c r="G286" s="3" t="inlineStr">
        <is>
          <t>RIZZINI</t>
        </is>
      </c>
      <c r="H286" s="65" t="inlineStr">
        <is>
          <t>ARTEMIS</t>
        </is>
      </c>
      <c r="I286" s="65" t="n">
        <v>79884</v>
      </c>
      <c r="J286" s="65" t="inlineStr">
        <is>
          <t>N/D</t>
        </is>
      </c>
      <c r="K286" s="65" t="inlineStr">
        <is>
          <t>N/D</t>
        </is>
      </c>
      <c r="L286" s="127" t="inlineStr">
        <is>
          <t>EREDI SAFARI SPORT - SEVERI GINO DI ARMILLI MARIA TERESA</t>
        </is>
      </c>
      <c r="M286" s="5" t="n">
        <v>655.74</v>
      </c>
      <c r="N286" s="5" t="n"/>
      <c r="O286" s="5">
        <f>+M286+N286</f>
        <v/>
      </c>
      <c r="P286" s="4" t="n"/>
      <c r="Q286" s="87" t="n"/>
      <c r="R286" s="5" t="n">
        <v>759</v>
      </c>
      <c r="S286" s="2" t="n">
        <v>1</v>
      </c>
      <c r="T286" s="3" t="inlineStr">
        <is>
          <t>CA42796IR</t>
        </is>
      </c>
      <c r="U286" s="87" t="n">
        <v>45821</v>
      </c>
      <c r="V286" s="3" t="inlineStr">
        <is>
          <t>11</t>
        </is>
      </c>
      <c r="W286" s="108" t="n">
        <v>45821</v>
      </c>
      <c r="X286" s="4" t="inlineStr">
        <is>
          <t>PHILIPPOS COSTANTINIDES TRADING CO. LTD</t>
        </is>
      </c>
    </row>
    <row r="287" ht="24" customHeight="1">
      <c r="A287" s="2">
        <f>+D287-S287</f>
        <v/>
      </c>
      <c r="B287" s="80" t="n"/>
      <c r="C287" s="70" t="n">
        <v>45436</v>
      </c>
      <c r="D287" s="2" t="n">
        <v>1</v>
      </c>
      <c r="E287" s="3" t="inlineStr">
        <is>
          <t>FUCILE SOVRAPPOSTO</t>
        </is>
      </c>
      <c r="F287" s="3" t="n">
        <v>36</v>
      </c>
      <c r="G287" s="3" t="inlineStr">
        <is>
          <t>RIZZINI</t>
        </is>
      </c>
      <c r="H287" s="65" t="inlineStr">
        <is>
          <t>ARTEMIS</t>
        </is>
      </c>
      <c r="I287" s="65" t="n">
        <v>80475</v>
      </c>
      <c r="J287" s="65" t="inlineStr">
        <is>
          <t>N/D</t>
        </is>
      </c>
      <c r="K287" s="65" t="inlineStr">
        <is>
          <t>N/D</t>
        </is>
      </c>
      <c r="L287" s="127" t="inlineStr">
        <is>
          <t>EREDI SAFARI SPORT - SEVERI GINO DI ARMILLI MARIA TERESA</t>
        </is>
      </c>
      <c r="M287" s="5" t="n">
        <v>737.7</v>
      </c>
      <c r="N287" s="5" t="n"/>
      <c r="O287" s="5">
        <f>+M287+N287</f>
        <v/>
      </c>
      <c r="P287" s="4" t="n"/>
      <c r="Q287" s="87" t="n"/>
      <c r="R287" s="5" t="n">
        <v>854</v>
      </c>
      <c r="S287" s="2" t="n">
        <v>1</v>
      </c>
      <c r="T287" s="3" t="inlineStr">
        <is>
          <t>CA42796IR</t>
        </is>
      </c>
      <c r="U287" s="87" t="n">
        <v>45821</v>
      </c>
      <c r="V287" s="3" t="inlineStr">
        <is>
          <t>11</t>
        </is>
      </c>
      <c r="W287" s="108" t="n">
        <v>45821</v>
      </c>
      <c r="X287" s="4" t="inlineStr">
        <is>
          <t>PHILIPPOS COSTANTINIDES TRADING CO. LTD</t>
        </is>
      </c>
    </row>
    <row r="288" ht="24" customHeight="1">
      <c r="A288" s="2">
        <f>+D288-S288</f>
        <v/>
      </c>
      <c r="B288" s="80" t="n"/>
      <c r="C288" s="70" t="n">
        <v>45436</v>
      </c>
      <c r="D288" s="2" t="n">
        <v>1</v>
      </c>
      <c r="E288" s="3" t="inlineStr">
        <is>
          <t>FUCILE SOVRAPPOSTO</t>
        </is>
      </c>
      <c r="F288" s="3" t="n">
        <v>20</v>
      </c>
      <c r="G288" s="3" t="inlineStr">
        <is>
          <t>RIZZINI</t>
        </is>
      </c>
      <c r="H288" s="65" t="inlineStr">
        <is>
          <t>ARTEMIS</t>
        </is>
      </c>
      <c r="I288" s="65" t="n">
        <v>79883</v>
      </c>
      <c r="J288" s="65" t="inlineStr">
        <is>
          <t>N/D</t>
        </is>
      </c>
      <c r="K288" s="65" t="inlineStr">
        <is>
          <t>N/D</t>
        </is>
      </c>
      <c r="L288" s="127" t="inlineStr">
        <is>
          <t>EREDI SAFARI SPORT - SEVERI GINO DI ARMILLI MARIA TERESA</t>
        </is>
      </c>
      <c r="M288" s="5" t="n">
        <v>682.79</v>
      </c>
      <c r="N288" s="5" t="n"/>
      <c r="O288" s="5">
        <f>+M288+N288</f>
        <v/>
      </c>
      <c r="P288" s="4" t="n"/>
      <c r="Q288" s="87" t="n"/>
      <c r="R288" s="5" t="n">
        <v>790</v>
      </c>
      <c r="S288" s="2" t="n">
        <v>1</v>
      </c>
      <c r="T288" s="3" t="inlineStr">
        <is>
          <t>CA42796IR</t>
        </is>
      </c>
      <c r="U288" s="87" t="n">
        <v>45821</v>
      </c>
      <c r="V288" s="3" t="inlineStr">
        <is>
          <t>11</t>
        </is>
      </c>
      <c r="W288" s="108" t="n">
        <v>45821</v>
      </c>
      <c r="X288" s="4" t="inlineStr">
        <is>
          <t>PHILIPPOS COSTANTINIDES TRADING CO. LTD</t>
        </is>
      </c>
    </row>
    <row r="289" ht="24" customHeight="1">
      <c r="A289" s="2">
        <f>+D289-S289</f>
        <v/>
      </c>
      <c r="B289" s="80" t="n"/>
      <c r="C289" s="70" t="n">
        <v>45436</v>
      </c>
      <c r="D289" s="2" t="n">
        <v>1</v>
      </c>
      <c r="E289" s="3" t="inlineStr">
        <is>
          <t>FUCILE SOVRAPPOSTO</t>
        </is>
      </c>
      <c r="F289" s="3" t="n">
        <v>20</v>
      </c>
      <c r="G289" s="3" t="inlineStr">
        <is>
          <t>FRANCHI</t>
        </is>
      </c>
      <c r="H289" s="65" t="inlineStr">
        <is>
          <t>FALCONET</t>
        </is>
      </c>
      <c r="I289" s="65" t="inlineStr">
        <is>
          <t>4016792</t>
        </is>
      </c>
      <c r="J289" s="65" t="inlineStr">
        <is>
          <t>N/D</t>
        </is>
      </c>
      <c r="K289" s="65" t="inlineStr">
        <is>
          <t>N/D</t>
        </is>
      </c>
      <c r="L289" s="127" t="inlineStr">
        <is>
          <t>EREDI SAFARI SPORT - SEVERI GINO DI ARMILLI MARIA TERESA</t>
        </is>
      </c>
      <c r="M289" s="5" t="n">
        <v>81.97</v>
      </c>
      <c r="N289" s="5" t="n"/>
      <c r="O289" s="5">
        <f>+M289+N289</f>
        <v/>
      </c>
      <c r="P289" s="4" t="n"/>
      <c r="Q289" s="87" t="n"/>
      <c r="R289" s="5" t="n">
        <v>99</v>
      </c>
      <c r="S289" s="2" t="n">
        <v>1</v>
      </c>
      <c r="T289" s="3" t="inlineStr">
        <is>
          <t>CA42796IR</t>
        </is>
      </c>
      <c r="U289" s="87" t="n">
        <v>45821</v>
      </c>
      <c r="V289" s="3" t="inlineStr">
        <is>
          <t>9</t>
        </is>
      </c>
      <c r="W289" s="108" t="n">
        <v>45821</v>
      </c>
      <c r="X289" s="4" t="inlineStr">
        <is>
          <t>PHILIPPOS COSTANTINIDES TRADING CO. LTD</t>
        </is>
      </c>
    </row>
    <row r="290" ht="24" customHeight="1">
      <c r="A290" s="2">
        <f>+D290-S290</f>
        <v/>
      </c>
      <c r="B290" s="80" t="n"/>
      <c r="C290" s="70" t="n">
        <v>45436</v>
      </c>
      <c r="D290" s="2" t="n">
        <v>1</v>
      </c>
      <c r="E290" s="3" t="inlineStr">
        <is>
          <t>FUCILE SOVRAPPOSTO</t>
        </is>
      </c>
      <c r="F290" s="3" t="n">
        <v>20</v>
      </c>
      <c r="G290" s="3" t="inlineStr">
        <is>
          <t>FABARM</t>
        </is>
      </c>
      <c r="H290" s="65" t="inlineStr">
        <is>
          <t>EURO ALFA</t>
        </is>
      </c>
      <c r="I290" s="65" t="n">
        <v>607954</v>
      </c>
      <c r="J290" s="65" t="inlineStr">
        <is>
          <t>N/D</t>
        </is>
      </c>
      <c r="K290" s="65" t="inlineStr">
        <is>
          <t>N/D</t>
        </is>
      </c>
      <c r="L290" s="127" t="inlineStr">
        <is>
          <t>EREDI SAFARI SPORT - SEVERI GINO DI ARMILLI MARIA TERESA</t>
        </is>
      </c>
      <c r="M290" s="5" t="n">
        <v>163.93</v>
      </c>
      <c r="N290" s="5" t="n"/>
      <c r="O290" s="5">
        <f>+M290+N290</f>
        <v/>
      </c>
      <c r="P290" s="4" t="n"/>
      <c r="Q290" s="87" t="n"/>
      <c r="R290" s="5" t="n">
        <v>194</v>
      </c>
      <c r="S290" s="2" t="n">
        <v>1</v>
      </c>
      <c r="T290" s="3" t="inlineStr">
        <is>
          <t>CA42796IR</t>
        </is>
      </c>
      <c r="U290" s="87" t="n">
        <v>45821</v>
      </c>
      <c r="V290" s="3" t="inlineStr">
        <is>
          <t>10</t>
        </is>
      </c>
      <c r="W290" s="108" t="n">
        <v>45821</v>
      </c>
      <c r="X290" s="4" t="inlineStr">
        <is>
          <t>PHILIPPOS COSTANTINIDES TRADING CO. LTD</t>
        </is>
      </c>
    </row>
    <row r="291" ht="24" customHeight="1">
      <c r="A291" s="2">
        <f>+D291-S291</f>
        <v/>
      </c>
      <c r="B291" s="80" t="n"/>
      <c r="C291" s="70" t="n">
        <v>45436</v>
      </c>
      <c r="D291" s="2" t="n">
        <v>1</v>
      </c>
      <c r="E291" s="3" t="inlineStr">
        <is>
          <t>FUCILE SOVRAPPOSTO</t>
        </is>
      </c>
      <c r="F291" s="3" t="n">
        <v>12</v>
      </c>
      <c r="G291" s="3" t="inlineStr">
        <is>
          <t>FABARM</t>
        </is>
      </c>
      <c r="H291" s="65" t="inlineStr">
        <is>
          <t>GAMMA AL LUX</t>
        </is>
      </c>
      <c r="I291" s="65" t="n">
        <v>2029337</v>
      </c>
      <c r="J291" s="65" t="inlineStr">
        <is>
          <t>N/D</t>
        </is>
      </c>
      <c r="K291" s="65" t="inlineStr">
        <is>
          <t>N/D</t>
        </is>
      </c>
      <c r="L291" s="127" t="inlineStr">
        <is>
          <t>EREDI SAFARI SPORT - SEVERI GINO DI ARMILLI MARIA TERESA</t>
        </is>
      </c>
      <c r="M291" s="5" t="n">
        <v>163.93</v>
      </c>
      <c r="N291" s="5" t="n"/>
      <c r="O291" s="5">
        <f>+M291+N291</f>
        <v/>
      </c>
      <c r="P291" s="4" t="n"/>
      <c r="Q291" s="87" t="n"/>
      <c r="R291" s="5" t="n">
        <v>194</v>
      </c>
      <c r="S291" s="2" t="n">
        <v>1</v>
      </c>
      <c r="T291" s="3" t="inlineStr">
        <is>
          <t>CA42796IR</t>
        </is>
      </c>
      <c r="U291" s="87" t="n">
        <v>45821</v>
      </c>
      <c r="V291" s="3" t="inlineStr">
        <is>
          <t>10</t>
        </is>
      </c>
      <c r="W291" s="108" t="n">
        <v>45821</v>
      </c>
      <c r="X291" s="4" t="inlineStr">
        <is>
          <t>PHILIPPOS COSTANTINIDES TRADING CO. LTD</t>
        </is>
      </c>
    </row>
    <row r="292" ht="24" customHeight="1">
      <c r="A292" s="2">
        <f>+D292-S292</f>
        <v/>
      </c>
      <c r="B292" s="80" t="n"/>
      <c r="C292" s="70" t="n">
        <v>45436</v>
      </c>
      <c r="D292" s="2" t="n">
        <v>1</v>
      </c>
      <c r="E292" s="3" t="inlineStr">
        <is>
          <t>FUCILE SOVRAPPOSTO</t>
        </is>
      </c>
      <c r="F292" s="3" t="n">
        <v>20</v>
      </c>
      <c r="G292" s="3" t="inlineStr">
        <is>
          <t>FABARM</t>
        </is>
      </c>
      <c r="H292" s="65" t="inlineStr">
        <is>
          <t>AXIS</t>
        </is>
      </c>
      <c r="I292" s="65" t="inlineStr">
        <is>
          <t>S45635</t>
        </is>
      </c>
      <c r="J292" s="65" t="inlineStr">
        <is>
          <t>N/D</t>
        </is>
      </c>
      <c r="K292" s="65" t="inlineStr">
        <is>
          <t>N/D</t>
        </is>
      </c>
      <c r="L292" s="127" t="inlineStr">
        <is>
          <t>EREDI SAFARI SPORT - SEVERI GINO DI ARMILLI MARIA TERESA</t>
        </is>
      </c>
      <c r="M292" s="5" t="n">
        <v>163.93</v>
      </c>
      <c r="N292" s="5" t="n"/>
      <c r="O292" s="5">
        <f>+M292+N292</f>
        <v/>
      </c>
      <c r="P292" s="4" t="n"/>
      <c r="Q292" s="87" t="n"/>
      <c r="R292" s="5" t="n">
        <v>194</v>
      </c>
      <c r="S292" s="2" t="n">
        <v>1</v>
      </c>
      <c r="T292" s="3" t="inlineStr">
        <is>
          <t>CA42796IR</t>
        </is>
      </c>
      <c r="U292" s="87" t="n">
        <v>45821</v>
      </c>
      <c r="V292" s="3" t="inlineStr">
        <is>
          <t>10</t>
        </is>
      </c>
      <c r="W292" s="108" t="n">
        <v>45821</v>
      </c>
      <c r="X292" s="4" t="inlineStr">
        <is>
          <t>PHILIPPOS COSTANTINIDES TRADING CO. LTD</t>
        </is>
      </c>
    </row>
    <row r="293" ht="24" customHeight="1">
      <c r="A293" s="2">
        <f>+D293-S293</f>
        <v/>
      </c>
      <c r="B293" s="80" t="n"/>
      <c r="C293" s="70" t="n">
        <v>45436</v>
      </c>
      <c r="D293" s="2" t="n">
        <v>1</v>
      </c>
      <c r="E293" s="3" t="inlineStr">
        <is>
          <t>FUCILE SOVRAPPOSTO</t>
        </is>
      </c>
      <c r="F293" s="3" t="n">
        <v>12</v>
      </c>
      <c r="G293" s="3" t="inlineStr">
        <is>
          <t>FRANCHI</t>
        </is>
      </c>
      <c r="H293" s="65" t="inlineStr">
        <is>
          <t>ALCIONE</t>
        </is>
      </c>
      <c r="I293" s="65" t="n">
        <v>6003288</v>
      </c>
      <c r="J293" s="65" t="inlineStr">
        <is>
          <t>FH26277</t>
        </is>
      </c>
      <c r="K293" s="65" t="inlineStr">
        <is>
          <t>N/D</t>
        </is>
      </c>
      <c r="L293" s="127" t="inlineStr">
        <is>
          <t>EREDI SAFARI SPORT - SEVERI GINO DI ARMILLI MARIA TERESA</t>
        </is>
      </c>
      <c r="M293" s="5" t="n">
        <v>163.93</v>
      </c>
      <c r="N293" s="5" t="n"/>
      <c r="O293" s="5">
        <f>+M293+N293</f>
        <v/>
      </c>
      <c r="P293" s="4" t="n"/>
      <c r="Q293" s="87" t="n"/>
      <c r="R293" s="5" t="n">
        <v>194</v>
      </c>
      <c r="S293" s="2" t="n">
        <v>1</v>
      </c>
      <c r="T293" s="3" t="inlineStr">
        <is>
          <t>CA42796IR</t>
        </is>
      </c>
      <c r="U293" s="87" t="n">
        <v>45821</v>
      </c>
      <c r="V293" s="3" t="inlineStr">
        <is>
          <t>9</t>
        </is>
      </c>
      <c r="W293" s="108" t="n">
        <v>45821</v>
      </c>
      <c r="X293" s="4" t="inlineStr">
        <is>
          <t>PHILIPPOS COSTANTINIDES TRADING CO. LTD</t>
        </is>
      </c>
    </row>
    <row r="294" ht="24" customHeight="1">
      <c r="A294" s="2">
        <f>+D294-S294</f>
        <v/>
      </c>
      <c r="B294" s="80" t="n"/>
      <c r="C294" s="70" t="n">
        <v>45436</v>
      </c>
      <c r="D294" s="2" t="n">
        <v>1</v>
      </c>
      <c r="E294" s="3" t="inlineStr">
        <is>
          <t>FUCILE SOVRAPPOSTO</t>
        </is>
      </c>
      <c r="F294" s="3" t="n">
        <v>12</v>
      </c>
      <c r="G294" s="3" t="inlineStr">
        <is>
          <t>FRANCHI</t>
        </is>
      </c>
      <c r="H294" s="65" t="inlineStr">
        <is>
          <t>ALCIONE</t>
        </is>
      </c>
      <c r="I294" s="65" t="n">
        <v>14319</v>
      </c>
      <c r="J294" s="65" t="inlineStr">
        <is>
          <t>N/D</t>
        </is>
      </c>
      <c r="K294" s="65" t="inlineStr">
        <is>
          <t>N/D</t>
        </is>
      </c>
      <c r="L294" s="127" t="inlineStr">
        <is>
          <t>EREDI SAFARI SPORT - SEVERI GINO DI ARMILLI MARIA TERESA</t>
        </is>
      </c>
      <c r="M294" s="5" t="n">
        <v>81.97</v>
      </c>
      <c r="N294" s="5" t="n"/>
      <c r="O294" s="5">
        <f>+M294+N294</f>
        <v/>
      </c>
      <c r="P294" s="4" t="n"/>
      <c r="Q294" s="87" t="n"/>
      <c r="R294" s="5" t="n">
        <v>99</v>
      </c>
      <c r="S294" s="2" t="n">
        <v>1</v>
      </c>
      <c r="T294" s="3" t="inlineStr">
        <is>
          <t>CA42796IR</t>
        </is>
      </c>
      <c r="U294" s="87" t="n">
        <v>45821</v>
      </c>
      <c r="V294" s="3" t="inlineStr">
        <is>
          <t>9</t>
        </is>
      </c>
      <c r="W294" s="108" t="n">
        <v>45821</v>
      </c>
      <c r="X294" s="4" t="inlineStr">
        <is>
          <t>PHILIPPOS COSTANTINIDES TRADING CO. LTD</t>
        </is>
      </c>
    </row>
    <row r="295" ht="24" customHeight="1">
      <c r="A295" s="2">
        <f>+D295-S295</f>
        <v/>
      </c>
      <c r="B295" s="80" t="n"/>
      <c r="C295" s="70" t="n">
        <v>45436</v>
      </c>
      <c r="D295" s="2" t="n">
        <v>1</v>
      </c>
      <c r="E295" s="3" t="inlineStr">
        <is>
          <t>FUCILE SOVRAPPOSTO</t>
        </is>
      </c>
      <c r="F295" s="3" t="n">
        <v>12</v>
      </c>
      <c r="G295" s="3" t="inlineStr">
        <is>
          <t>BERETTA</t>
        </is>
      </c>
      <c r="H295" s="65" t="n"/>
      <c r="I295" s="65" t="inlineStr">
        <is>
          <t>E32791B</t>
        </is>
      </c>
      <c r="J295" s="65" t="inlineStr">
        <is>
          <t>N/D</t>
        </is>
      </c>
      <c r="K295" s="65" t="inlineStr">
        <is>
          <t>N/D</t>
        </is>
      </c>
      <c r="L295" s="127" t="inlineStr">
        <is>
          <t>EREDI SAFARI SPORT - SEVERI GINO DI ARMILLI MARIA TERESA</t>
        </is>
      </c>
      <c r="M295" s="5" t="n">
        <v>491.8</v>
      </c>
      <c r="N295" s="5" t="n"/>
      <c r="O295" s="5">
        <f>+M295+N295</f>
        <v/>
      </c>
      <c r="P295" s="4" t="n"/>
      <c r="Q295" s="87" t="n"/>
      <c r="R295" s="5" t="n">
        <v>571</v>
      </c>
      <c r="S295" s="2" t="n">
        <v>1</v>
      </c>
      <c r="T295" s="3" t="inlineStr">
        <is>
          <t>CA42796IR</t>
        </is>
      </c>
      <c r="U295" s="87" t="n">
        <v>45821</v>
      </c>
      <c r="V295" s="3" t="inlineStr">
        <is>
          <t>9</t>
        </is>
      </c>
      <c r="W295" s="108" t="n">
        <v>45821</v>
      </c>
      <c r="X295" s="4" t="inlineStr">
        <is>
          <t>PHILIPPOS COSTANTINIDES TRADING CO. LTD</t>
        </is>
      </c>
    </row>
    <row r="296" ht="24" customHeight="1">
      <c r="A296" s="2">
        <f>+D296-S296</f>
        <v/>
      </c>
      <c r="B296" s="80" t="n"/>
      <c r="C296" s="70" t="n">
        <v>45436</v>
      </c>
      <c r="D296" s="2" t="n">
        <v>1</v>
      </c>
      <c r="E296" s="3" t="inlineStr">
        <is>
          <t>FUCILE SOVRAPPOSTO</t>
        </is>
      </c>
      <c r="F296" s="3" t="n">
        <v>12</v>
      </c>
      <c r="G296" s="3" t="inlineStr">
        <is>
          <t>BERETTA</t>
        </is>
      </c>
      <c r="H296" s="65" t="n">
        <v>686</v>
      </c>
      <c r="I296" s="65" t="inlineStr">
        <is>
          <t>F35762B</t>
        </is>
      </c>
      <c r="J296" s="65" t="inlineStr">
        <is>
          <t>N/D</t>
        </is>
      </c>
      <c r="K296" s="65" t="inlineStr">
        <is>
          <t>N/D</t>
        </is>
      </c>
      <c r="L296" s="127" t="inlineStr">
        <is>
          <t>EREDI SAFARI SPORT - SEVERI GINO DI ARMILLI MARIA TERESA</t>
        </is>
      </c>
      <c r="M296" s="5" t="n">
        <v>491.8</v>
      </c>
      <c r="N296" s="5" t="n"/>
      <c r="O296" s="5">
        <f>+M296+N296</f>
        <v/>
      </c>
      <c r="P296" s="4" t="n"/>
      <c r="Q296" s="87" t="n"/>
      <c r="R296" s="5" t="n">
        <v>571</v>
      </c>
      <c r="S296" s="2" t="n">
        <v>1</v>
      </c>
      <c r="T296" s="3" t="inlineStr">
        <is>
          <t>CA42796IR</t>
        </is>
      </c>
      <c r="U296" s="87" t="n">
        <v>45821</v>
      </c>
      <c r="V296" s="3" t="inlineStr">
        <is>
          <t>9</t>
        </is>
      </c>
      <c r="W296" s="108" t="n">
        <v>45821</v>
      </c>
      <c r="X296" s="4" t="inlineStr">
        <is>
          <t>PHILIPPOS COSTANTINIDES TRADING CO. LTD</t>
        </is>
      </c>
    </row>
    <row r="297" ht="24" customHeight="1">
      <c r="A297" s="2">
        <f>+D297-S297</f>
        <v/>
      </c>
      <c r="B297" s="80" t="n"/>
      <c r="C297" s="70" t="n">
        <v>45436</v>
      </c>
      <c r="D297" s="2" t="n">
        <v>1</v>
      </c>
      <c r="E297" s="3" t="inlineStr">
        <is>
          <t>FUCILE SOVRAPPOSTO</t>
        </is>
      </c>
      <c r="F297" s="3" t="n">
        <v>12</v>
      </c>
      <c r="G297" s="3" t="inlineStr">
        <is>
          <t>MERKEL</t>
        </is>
      </c>
      <c r="H297" s="65" t="n"/>
      <c r="I297" s="65" t="n">
        <v>65338</v>
      </c>
      <c r="J297" s="65" t="inlineStr">
        <is>
          <t>N/D</t>
        </is>
      </c>
      <c r="K297" s="65" t="inlineStr">
        <is>
          <t>N/D</t>
        </is>
      </c>
      <c r="L297" s="127" t="inlineStr">
        <is>
          <t>EREDI SAFARI SPORT - SEVERI GINO DI ARMILLI MARIA TERESA</t>
        </is>
      </c>
      <c r="M297" s="5" t="n">
        <v>163.93</v>
      </c>
      <c r="N297" s="5" t="n"/>
      <c r="O297" s="5">
        <f>+M297+N297</f>
        <v/>
      </c>
      <c r="P297" s="4" t="n"/>
      <c r="Q297" s="87" t="n"/>
      <c r="R297" s="5" t="n">
        <v>194</v>
      </c>
      <c r="S297" s="2" t="n">
        <v>1</v>
      </c>
      <c r="T297" s="3" t="inlineStr">
        <is>
          <t>CA42796IR</t>
        </is>
      </c>
      <c r="U297" s="87" t="n">
        <v>45821</v>
      </c>
      <c r="V297" s="3" t="inlineStr">
        <is>
          <t>11</t>
        </is>
      </c>
      <c r="W297" s="108" t="n">
        <v>45821</v>
      </c>
      <c r="X297" s="4" t="inlineStr">
        <is>
          <t>PHILIPPOS COSTANTINIDES TRADING CO. LTD</t>
        </is>
      </c>
    </row>
    <row r="298" ht="24" customHeight="1">
      <c r="A298" s="2">
        <f>+D298-S298</f>
        <v/>
      </c>
      <c r="B298" s="80" t="n"/>
      <c r="C298" s="70" t="n">
        <v>45436</v>
      </c>
      <c r="D298" s="2" t="n">
        <v>1</v>
      </c>
      <c r="E298" s="3" t="inlineStr">
        <is>
          <t>FUCILE SOVRAPPOSTO</t>
        </is>
      </c>
      <c r="F298" s="3" t="n">
        <v>12</v>
      </c>
      <c r="G298" s="3" t="inlineStr">
        <is>
          <t>BROWNING</t>
        </is>
      </c>
      <c r="H298" s="65" t="inlineStr">
        <is>
          <t>B25 GAME</t>
        </is>
      </c>
      <c r="I298" s="65" t="inlineStr">
        <is>
          <t>74525S7</t>
        </is>
      </c>
      <c r="J298" s="65" t="inlineStr">
        <is>
          <t>N/D</t>
        </is>
      </c>
      <c r="K298" s="65" t="inlineStr">
        <is>
          <t>N/D</t>
        </is>
      </c>
      <c r="L298" s="127" t="inlineStr">
        <is>
          <t>EREDI SAFARI SPORT - SEVERI GINO DI ARMILLI MARIA TERESA</t>
        </is>
      </c>
      <c r="M298" s="5" t="n">
        <v>262.3</v>
      </c>
      <c r="N298" s="5" t="n"/>
      <c r="O298" s="5">
        <f>+M298+N298</f>
        <v/>
      </c>
      <c r="P298" s="4" t="n"/>
      <c r="Q298" s="87" t="n"/>
      <c r="R298" s="5" t="n"/>
      <c r="S298" s="2" t="n"/>
      <c r="T298" s="3" t="n"/>
      <c r="U298" s="87" t="n"/>
      <c r="V298" s="3" t="n"/>
      <c r="W298" s="108" t="n"/>
      <c r="X298" s="4" t="n"/>
    </row>
    <row r="299" ht="24" customHeight="1">
      <c r="A299" s="2">
        <f>+D299-S299</f>
        <v/>
      </c>
      <c r="B299" s="80" t="n"/>
      <c r="C299" s="70" t="n">
        <v>45436</v>
      </c>
      <c r="D299" s="2" t="n">
        <v>1</v>
      </c>
      <c r="E299" s="3" t="inlineStr">
        <is>
          <t>FUCILE DOPPIETTA</t>
        </is>
      </c>
      <c r="F299" s="3" t="n">
        <v>12</v>
      </c>
      <c r="G299" s="3" t="inlineStr">
        <is>
          <t>BERNARDELLI</t>
        </is>
      </c>
      <c r="H299" s="65" t="inlineStr">
        <is>
          <t>S.UBERTO</t>
        </is>
      </c>
      <c r="I299" s="65" t="n">
        <v>97315</v>
      </c>
      <c r="J299" s="65" t="inlineStr">
        <is>
          <t>N/D</t>
        </is>
      </c>
      <c r="K299" s="65" t="inlineStr">
        <is>
          <t>N/D</t>
        </is>
      </c>
      <c r="L299" s="127" t="inlineStr">
        <is>
          <t>EREDI SAFARI SPORT - SEVERI GINO DI ARMILLI MARIA TERESA</t>
        </is>
      </c>
      <c r="M299" s="5" t="n">
        <v>81.97</v>
      </c>
      <c r="N299" s="5" t="n"/>
      <c r="O299" s="5">
        <f>+M299+N299</f>
        <v/>
      </c>
      <c r="P299" s="4" t="n"/>
      <c r="Q299" s="87" t="n"/>
      <c r="R299" s="5" t="n">
        <v>99</v>
      </c>
      <c r="S299" s="2" t="n">
        <v>1</v>
      </c>
      <c r="T299" s="3" t="inlineStr">
        <is>
          <t>CA42796IR</t>
        </is>
      </c>
      <c r="U299" s="87" t="n">
        <v>45821</v>
      </c>
      <c r="V299" s="3" t="inlineStr">
        <is>
          <t>13</t>
        </is>
      </c>
      <c r="W299" s="108" t="n">
        <v>45821</v>
      </c>
      <c r="X299" s="4" t="inlineStr">
        <is>
          <t>PHILIPPOS COSTANTINIDES TRADING CO. LTD</t>
        </is>
      </c>
    </row>
    <row r="300" ht="24" customHeight="1">
      <c r="A300" s="2">
        <f>+D300-S300</f>
        <v/>
      </c>
      <c r="B300" s="80" t="n"/>
      <c r="C300" s="70" t="n">
        <v>45436</v>
      </c>
      <c r="D300" s="2" t="n">
        <v>1</v>
      </c>
      <c r="E300" s="3" t="inlineStr">
        <is>
          <t>FUCILE SOVRAPPOSTO</t>
        </is>
      </c>
      <c r="F300" s="3" t="n">
        <v>12</v>
      </c>
      <c r="G300" s="3" t="inlineStr">
        <is>
          <t>FABARM</t>
        </is>
      </c>
      <c r="H300" s="65" t="inlineStr">
        <is>
          <t>GAMMA</t>
        </is>
      </c>
      <c r="I300" s="65" t="n">
        <v>94518</v>
      </c>
      <c r="J300" s="65" t="inlineStr">
        <is>
          <t>N/D</t>
        </is>
      </c>
      <c r="K300" s="65" t="inlineStr">
        <is>
          <t>N/D</t>
        </is>
      </c>
      <c r="L300" s="127" t="inlineStr">
        <is>
          <t>EREDI SAFARI SPORT - SEVERI GINO DI ARMILLI MARIA TERESA</t>
        </is>
      </c>
      <c r="M300" s="5" t="n">
        <v>81.97</v>
      </c>
      <c r="N300" s="5" t="n"/>
      <c r="O300" s="5">
        <f>+M300+N300</f>
        <v/>
      </c>
      <c r="P300" s="4" t="n"/>
      <c r="Q300" s="87" t="n"/>
      <c r="R300" s="5" t="n">
        <v>99</v>
      </c>
      <c r="S300" s="2" t="n">
        <v>1</v>
      </c>
      <c r="T300" s="3" t="inlineStr">
        <is>
          <t>CA42796IR</t>
        </is>
      </c>
      <c r="U300" s="87" t="n">
        <v>45821</v>
      </c>
      <c r="V300" s="3" t="inlineStr">
        <is>
          <t>10</t>
        </is>
      </c>
      <c r="W300" s="108" t="n">
        <v>45821</v>
      </c>
      <c r="X300" s="4" t="inlineStr">
        <is>
          <t>PHILIPPOS COSTANTINIDES TRADING CO. LTD</t>
        </is>
      </c>
    </row>
    <row r="301" ht="24" customHeight="1">
      <c r="A301" s="2">
        <f>+D301-S301</f>
        <v/>
      </c>
      <c r="B301" s="80" t="n"/>
      <c r="C301" s="70" t="n">
        <v>45436</v>
      </c>
      <c r="D301" s="2" t="n">
        <v>1</v>
      </c>
      <c r="E301" s="3" t="inlineStr">
        <is>
          <t>FUCILE DOPPIETTA</t>
        </is>
      </c>
      <c r="F301" s="3" t="n">
        <v>12</v>
      </c>
      <c r="G301" s="3" t="inlineStr">
        <is>
          <t>BERNARDELLI</t>
        </is>
      </c>
      <c r="H301" s="65" t="inlineStr">
        <is>
          <t>ROMA 6</t>
        </is>
      </c>
      <c r="I301" s="65" t="n">
        <v>11887</v>
      </c>
      <c r="J301" s="65" t="inlineStr">
        <is>
          <t>N/D</t>
        </is>
      </c>
      <c r="K301" s="65" t="inlineStr">
        <is>
          <t>N/D</t>
        </is>
      </c>
      <c r="L301" s="127" t="inlineStr">
        <is>
          <t>EREDI SAFARI SPORT - SEVERI GINO DI ARMILLI MARIA TERESA</t>
        </is>
      </c>
      <c r="M301" s="5" t="n">
        <v>163.93</v>
      </c>
      <c r="N301" s="5" t="n"/>
      <c r="O301" s="5">
        <f>+M301+N301</f>
        <v/>
      </c>
      <c r="P301" s="4" t="n"/>
      <c r="Q301" s="87" t="n"/>
      <c r="R301" s="5" t="n">
        <v>194</v>
      </c>
      <c r="S301" s="2" t="n">
        <v>1</v>
      </c>
      <c r="T301" s="3" t="inlineStr">
        <is>
          <t>CA42796IR</t>
        </is>
      </c>
      <c r="U301" s="87" t="n">
        <v>45821</v>
      </c>
      <c r="V301" s="3" t="inlineStr">
        <is>
          <t>13</t>
        </is>
      </c>
      <c r="W301" s="108" t="n">
        <v>45821</v>
      </c>
      <c r="X301" s="4" t="inlineStr">
        <is>
          <t>PHILIPPOS COSTANTINIDES TRADING CO. LTD</t>
        </is>
      </c>
    </row>
    <row r="302" ht="24" customHeight="1">
      <c r="A302" s="2">
        <f>+D302-S302</f>
        <v/>
      </c>
      <c r="B302" s="80" t="n"/>
      <c r="C302" s="70" t="n">
        <v>45436</v>
      </c>
      <c r="D302" s="2" t="n">
        <v>1</v>
      </c>
      <c r="E302" s="3" t="inlineStr">
        <is>
          <t>FUCILE A POMPA</t>
        </is>
      </c>
      <c r="F302" s="3" t="n">
        <v>12</v>
      </c>
      <c r="G302" s="3" t="inlineStr">
        <is>
          <t>BENELLI</t>
        </is>
      </c>
      <c r="H302" s="65" t="inlineStr">
        <is>
          <t>NOVA PUMP</t>
        </is>
      </c>
      <c r="I302" s="65" t="inlineStr">
        <is>
          <t>Z379791</t>
        </is>
      </c>
      <c r="J302" s="65" t="inlineStr">
        <is>
          <t>V414938</t>
        </is>
      </c>
      <c r="K302" s="65" t="inlineStr">
        <is>
          <t>N/D</t>
        </is>
      </c>
      <c r="L302" s="127" t="inlineStr">
        <is>
          <t>EREDI SAFARI SPORT - SEVERI GINO DI ARMILLI MARIA TERESA</t>
        </is>
      </c>
      <c r="M302" s="5" t="n">
        <v>163.93</v>
      </c>
      <c r="N302" s="5" t="n"/>
      <c r="O302" s="5">
        <f>+M302+N302</f>
        <v/>
      </c>
      <c r="P302" s="4" t="n"/>
      <c r="Q302" s="87" t="n"/>
      <c r="R302" s="5" t="n">
        <v>194</v>
      </c>
      <c r="S302" s="2" t="n">
        <v>1</v>
      </c>
      <c r="T302" s="3" t="inlineStr">
        <is>
          <t>CA42796IR</t>
        </is>
      </c>
      <c r="U302" s="87" t="n">
        <v>45821</v>
      </c>
      <c r="V302" s="3" t="inlineStr">
        <is>
          <t>11</t>
        </is>
      </c>
      <c r="W302" s="108" t="n">
        <v>45821</v>
      </c>
      <c r="X302" s="4" t="inlineStr">
        <is>
          <t>PHILIPPOS COSTANTINIDES TRADING CO. LTD</t>
        </is>
      </c>
    </row>
    <row r="303" ht="24" customHeight="1">
      <c r="A303" s="2">
        <f>+D303-S303</f>
        <v/>
      </c>
      <c r="B303" s="80" t="n"/>
      <c r="C303" s="70" t="n">
        <v>45436</v>
      </c>
      <c r="D303" s="2" t="n">
        <v>1</v>
      </c>
      <c r="E303" s="3" t="inlineStr">
        <is>
          <t>FUCILE SEMIAUTOMATICO</t>
        </is>
      </c>
      <c r="F303" s="3" t="n">
        <v>12</v>
      </c>
      <c r="G303" s="3" t="inlineStr">
        <is>
          <t>BENELLI</t>
        </is>
      </c>
      <c r="H303" s="65" t="inlineStr">
        <is>
          <t>M3 SUPER 90</t>
        </is>
      </c>
      <c r="I303" s="65" t="inlineStr">
        <is>
          <t>M617413</t>
        </is>
      </c>
      <c r="J303" s="65" t="inlineStr">
        <is>
          <t>C889428</t>
        </is>
      </c>
      <c r="K303" s="65" t="inlineStr">
        <is>
          <t>N/D</t>
        </is>
      </c>
      <c r="L303" s="127" t="inlineStr">
        <is>
          <t>EREDI SAFARI SPORT - SEVERI GINO DI ARMILLI MARIA TERESA</t>
        </is>
      </c>
      <c r="M303" s="5" t="n">
        <v>245.9</v>
      </c>
      <c r="N303" s="5" t="n"/>
      <c r="O303" s="5">
        <f>+M303+N303</f>
        <v/>
      </c>
      <c r="P303" s="4" t="n"/>
      <c r="Q303" s="87" t="n"/>
      <c r="R303" s="5" t="n">
        <v>194</v>
      </c>
      <c r="S303" s="2" t="n">
        <v>1</v>
      </c>
      <c r="T303" s="3" t="inlineStr">
        <is>
          <t>CA42796IR</t>
        </is>
      </c>
      <c r="U303" s="87" t="n">
        <v>45821</v>
      </c>
      <c r="V303" s="3" t="inlineStr">
        <is>
          <t>11</t>
        </is>
      </c>
      <c r="W303" s="108" t="n">
        <v>45821</v>
      </c>
      <c r="X303" s="4" t="inlineStr">
        <is>
          <t>PHILIPPOS COSTANTINIDES TRADING CO. LTD</t>
        </is>
      </c>
    </row>
    <row r="304" ht="24" customHeight="1">
      <c r="A304" s="2">
        <f>+D304-S304</f>
        <v/>
      </c>
      <c r="B304" s="80" t="n"/>
      <c r="C304" s="70" t="n">
        <v>45436</v>
      </c>
      <c r="D304" s="2" t="n">
        <v>1</v>
      </c>
      <c r="E304" s="3" t="inlineStr">
        <is>
          <t>FUCILE SOVRAPPOSTO</t>
        </is>
      </c>
      <c r="F304" s="3" t="n">
        <v>12</v>
      </c>
      <c r="G304" s="3" t="inlineStr">
        <is>
          <t>BERETTA</t>
        </is>
      </c>
      <c r="H304" s="65" t="inlineStr">
        <is>
          <t>687</t>
        </is>
      </c>
      <c r="I304" s="65" t="inlineStr">
        <is>
          <t>C94976B</t>
        </is>
      </c>
      <c r="J304" s="65" t="inlineStr">
        <is>
          <t>N/D</t>
        </is>
      </c>
      <c r="K304" s="65" t="inlineStr">
        <is>
          <t>N/D</t>
        </is>
      </c>
      <c r="L304" s="127" t="inlineStr">
        <is>
          <t>EREDI SAFARI SPORT - SEVERI GINO DI ARMILLI MARIA TERESA</t>
        </is>
      </c>
      <c r="M304" s="5" t="n">
        <v>163.93</v>
      </c>
      <c r="N304" s="5" t="n"/>
      <c r="O304" s="5">
        <f>+M304+N304</f>
        <v/>
      </c>
      <c r="P304" s="4" t="n"/>
      <c r="Q304" s="87" t="n"/>
      <c r="R304" s="5" t="n">
        <v>194</v>
      </c>
      <c r="S304" s="2" t="n">
        <v>1</v>
      </c>
      <c r="T304" s="3" t="inlineStr">
        <is>
          <t>CA42796IR</t>
        </is>
      </c>
      <c r="U304" s="87" t="n">
        <v>45821</v>
      </c>
      <c r="V304" s="3" t="inlineStr">
        <is>
          <t>9</t>
        </is>
      </c>
      <c r="W304" s="108" t="n">
        <v>45821</v>
      </c>
      <c r="X304" s="4" t="inlineStr">
        <is>
          <t>PHILIPPOS COSTANTINIDES TRADING CO. LTD</t>
        </is>
      </c>
    </row>
    <row r="305" ht="24" customHeight="1">
      <c r="A305" s="2">
        <f>+D305-S305</f>
        <v/>
      </c>
      <c r="B305" s="80" t="n"/>
      <c r="C305" s="70" t="n">
        <v>45436</v>
      </c>
      <c r="D305" s="2" t="n">
        <v>1</v>
      </c>
      <c r="E305" s="3" t="inlineStr">
        <is>
          <t>FUCILE SOVRAPPOSTO</t>
        </is>
      </c>
      <c r="F305" s="3" t="n">
        <v>12</v>
      </c>
      <c r="G305" s="3" t="inlineStr">
        <is>
          <t>BERETTA</t>
        </is>
      </c>
      <c r="H305" s="65" t="inlineStr">
        <is>
          <t>S56 EL</t>
        </is>
      </c>
      <c r="I305" s="65" t="n">
        <v>40028</v>
      </c>
      <c r="J305" s="65" t="inlineStr">
        <is>
          <t>N/D</t>
        </is>
      </c>
      <c r="K305" s="65" t="inlineStr">
        <is>
          <t>N/D</t>
        </is>
      </c>
      <c r="L305" s="127" t="inlineStr">
        <is>
          <t>EREDI SAFARI SPORT - SEVERI GINO DI ARMILLI MARIA TERESA</t>
        </is>
      </c>
      <c r="M305" s="5" t="n">
        <v>163.93</v>
      </c>
      <c r="N305" s="5" t="n"/>
      <c r="O305" s="5">
        <f>+M305+N305</f>
        <v/>
      </c>
      <c r="P305" s="4" t="n"/>
      <c r="Q305" s="87" t="n"/>
      <c r="R305" s="5" t="n">
        <v>194</v>
      </c>
      <c r="S305" s="2" t="n">
        <v>1</v>
      </c>
      <c r="T305" s="3" t="inlineStr">
        <is>
          <t>CA42796IR</t>
        </is>
      </c>
      <c r="U305" s="87" t="n">
        <v>45821</v>
      </c>
      <c r="V305" s="3" t="inlineStr">
        <is>
          <t>9</t>
        </is>
      </c>
      <c r="W305" s="108" t="n">
        <v>45821</v>
      </c>
      <c r="X305" s="4" t="inlineStr">
        <is>
          <t>PHILIPPOS COSTANTINIDES TRADING CO. LTD</t>
        </is>
      </c>
    </row>
    <row r="306" ht="24" customHeight="1">
      <c r="A306" s="2">
        <f>+D306-S306</f>
        <v/>
      </c>
      <c r="B306" s="80" t="n"/>
      <c r="C306" s="70" t="n">
        <v>45436</v>
      </c>
      <c r="D306" s="2" t="n">
        <v>1</v>
      </c>
      <c r="E306" s="3" t="inlineStr">
        <is>
          <t>FUCILE SOVRAPPOSTO</t>
        </is>
      </c>
      <c r="F306" s="3" t="n">
        <v>12</v>
      </c>
      <c r="G306" s="3" t="inlineStr">
        <is>
          <t>BERETTA</t>
        </is>
      </c>
      <c r="H306" s="65" t="inlineStr">
        <is>
          <t>S56</t>
        </is>
      </c>
      <c r="I306" s="65" t="inlineStr">
        <is>
          <t>A18772B</t>
        </is>
      </c>
      <c r="J306" s="65" t="inlineStr">
        <is>
          <t>N/D</t>
        </is>
      </c>
      <c r="K306" s="65" t="inlineStr">
        <is>
          <t>N/D</t>
        </is>
      </c>
      <c r="L306" s="127" t="inlineStr">
        <is>
          <t>EREDI SAFARI SPORT - SEVERI GINO DI ARMILLI MARIA TERESA</t>
        </is>
      </c>
      <c r="M306" s="5" t="n">
        <v>163.93</v>
      </c>
      <c r="N306" s="5" t="n"/>
      <c r="O306" s="5">
        <f>+M306+N306</f>
        <v/>
      </c>
      <c r="P306" s="4" t="n"/>
      <c r="Q306" s="87" t="n"/>
      <c r="R306" s="5" t="n">
        <v>194</v>
      </c>
      <c r="S306" s="2" t="n">
        <v>1</v>
      </c>
      <c r="T306" s="3" t="inlineStr">
        <is>
          <t>CA42796IR</t>
        </is>
      </c>
      <c r="U306" s="87" t="n">
        <v>45821</v>
      </c>
      <c r="V306" s="3" t="inlineStr">
        <is>
          <t>9</t>
        </is>
      </c>
      <c r="W306" s="108" t="n">
        <v>45821</v>
      </c>
      <c r="X306" s="4" t="inlineStr">
        <is>
          <t>PHILIPPOS COSTANTINIDES TRADING CO. LTD</t>
        </is>
      </c>
    </row>
    <row r="307" ht="24" customHeight="1">
      <c r="A307" s="2">
        <f>+D307-S307</f>
        <v/>
      </c>
      <c r="B307" s="80" t="n"/>
      <c r="C307" s="70" t="n">
        <v>45436</v>
      </c>
      <c r="D307" s="2" t="n">
        <v>1</v>
      </c>
      <c r="E307" s="3" t="inlineStr">
        <is>
          <t>FUCILE DOPPIETTA</t>
        </is>
      </c>
      <c r="F307" s="3" t="n">
        <v>12</v>
      </c>
      <c r="G307" s="3" t="inlineStr">
        <is>
          <t>ARTIGIANALE</t>
        </is>
      </c>
      <c r="H307" s="65" t="inlineStr">
        <is>
          <t>CAN EST</t>
        </is>
      </c>
      <c r="I307" s="65" t="n">
        <v>348</v>
      </c>
      <c r="J307" s="65" t="inlineStr">
        <is>
          <t>N/D</t>
        </is>
      </c>
      <c r="K307" s="65" t="inlineStr">
        <is>
          <t>N/D</t>
        </is>
      </c>
      <c r="L307" s="127" t="inlineStr">
        <is>
          <t>EREDI SAFARI SPORT - SEVERI GINO DI ARMILLI MARIA TERESA</t>
        </is>
      </c>
      <c r="M307" s="5" t="n">
        <v>40.98</v>
      </c>
      <c r="N307" s="5" t="n"/>
      <c r="O307" s="5">
        <f>+M307+N307</f>
        <v/>
      </c>
      <c r="P307" s="4" t="n"/>
      <c r="Q307" s="87" t="n"/>
      <c r="R307" s="5" t="n">
        <v>52</v>
      </c>
      <c r="S307" s="2" t="n">
        <v>1</v>
      </c>
      <c r="T307" s="3" t="inlineStr">
        <is>
          <t>CA42796IR</t>
        </is>
      </c>
      <c r="U307" s="87" t="n">
        <v>45821</v>
      </c>
      <c r="V307" s="3" t="inlineStr">
        <is>
          <t>12</t>
        </is>
      </c>
      <c r="W307" s="108" t="n">
        <v>45821</v>
      </c>
      <c r="X307" s="4" t="inlineStr">
        <is>
          <t>PHILIPPOS COSTANTINIDES TRADING CO. LTD</t>
        </is>
      </c>
    </row>
    <row r="308" ht="24" customHeight="1">
      <c r="A308" s="2">
        <f>+D308-S308</f>
        <v/>
      </c>
      <c r="B308" s="80" t="n"/>
      <c r="C308" s="70" t="n">
        <v>45436</v>
      </c>
      <c r="D308" s="2" t="n">
        <v>1</v>
      </c>
      <c r="E308" s="3" t="inlineStr">
        <is>
          <t>FUCILE A POMPA</t>
        </is>
      </c>
      <c r="F308" s="3" t="n">
        <v>12</v>
      </c>
      <c r="G308" s="3" t="inlineStr">
        <is>
          <t>WINCHESTER</t>
        </is>
      </c>
      <c r="H308" s="65" t="n"/>
      <c r="I308" s="65" t="inlineStr">
        <is>
          <t>L76459219808</t>
        </is>
      </c>
      <c r="J308" s="65" t="inlineStr">
        <is>
          <t>N/D</t>
        </is>
      </c>
      <c r="K308" s="65" t="inlineStr">
        <is>
          <t>N/D</t>
        </is>
      </c>
      <c r="L308" s="127" t="inlineStr">
        <is>
          <t>EREDI SAFARI SPORT - SEVERI GINO DI ARMILLI MARIA TERESA</t>
        </is>
      </c>
      <c r="M308" s="5" t="n">
        <v>81.97</v>
      </c>
      <c r="N308" s="5" t="n"/>
      <c r="O308" s="5">
        <f>+M308+N308</f>
        <v/>
      </c>
      <c r="P308" s="4" t="n"/>
      <c r="Q308" s="87" t="n"/>
      <c r="R308" s="5" t="n">
        <v>99</v>
      </c>
      <c r="S308" s="2" t="n">
        <v>1</v>
      </c>
      <c r="T308" s="3" t="inlineStr">
        <is>
          <t>CA42796IR</t>
        </is>
      </c>
      <c r="U308" s="87" t="n">
        <v>45821</v>
      </c>
      <c r="V308" s="3" t="inlineStr">
        <is>
          <t>11</t>
        </is>
      </c>
      <c r="W308" s="108" t="n">
        <v>45821</v>
      </c>
      <c r="X308" s="4" t="inlineStr">
        <is>
          <t>PHILIPPOS COSTANTINIDES TRADING CO. LTD</t>
        </is>
      </c>
    </row>
    <row r="309" ht="24" customHeight="1">
      <c r="A309" s="2">
        <f>+D309-S309</f>
        <v/>
      </c>
      <c r="B309" s="80" t="n"/>
      <c r="C309" s="70" t="n">
        <v>45436</v>
      </c>
      <c r="D309" s="2" t="n">
        <v>1</v>
      </c>
      <c r="E309" s="3" t="inlineStr">
        <is>
          <t>CARABINA AD ARIA COMPRESSA</t>
        </is>
      </c>
      <c r="F309" s="3" t="n">
        <v>4.5</v>
      </c>
      <c r="G309" s="3" t="inlineStr">
        <is>
          <t>DIANA</t>
        </is>
      </c>
      <c r="H309" s="65" t="n">
        <v>52</v>
      </c>
      <c r="I309" s="65" t="inlineStr">
        <is>
          <t>02067857</t>
        </is>
      </c>
      <c r="J309" s="65" t="inlineStr">
        <is>
          <t>N/D</t>
        </is>
      </c>
      <c r="K309" s="65" t="inlineStr">
        <is>
          <t>N/D</t>
        </is>
      </c>
      <c r="L309" s="127" t="inlineStr">
        <is>
          <t>EREDI SAFARI SPORT - SEVERI GINO DI ARMILLI MARIA TERESA</t>
        </is>
      </c>
      <c r="M309" s="5" t="n">
        <v>122.95</v>
      </c>
      <c r="N309" s="5" t="n"/>
      <c r="O309" s="5">
        <f>+M309+N309</f>
        <v/>
      </c>
      <c r="P309" s="4" t="n"/>
      <c r="Q309" s="87" t="n"/>
      <c r="R309" s="5" t="n">
        <v>147</v>
      </c>
      <c r="S309" s="2" t="n">
        <v>1</v>
      </c>
      <c r="T309" s="3" t="inlineStr">
        <is>
          <t>CA42796IR</t>
        </is>
      </c>
      <c r="U309" s="87" t="n">
        <v>45821</v>
      </c>
      <c r="V309" s="3" t="inlineStr">
        <is>
          <t>16</t>
        </is>
      </c>
      <c r="W309" s="108" t="n">
        <v>45821</v>
      </c>
      <c r="X309" s="4" t="inlineStr">
        <is>
          <t>PHILIPPOS COSTANTINIDES TRADING CO. LTD</t>
        </is>
      </c>
    </row>
    <row r="310" ht="24" customHeight="1">
      <c r="A310" s="2">
        <f>+D310-S310</f>
        <v/>
      </c>
      <c r="B310" s="80" t="n"/>
      <c r="C310" s="70" t="n">
        <v>45436</v>
      </c>
      <c r="D310" s="2" t="n">
        <v>1</v>
      </c>
      <c r="E310" s="3" t="inlineStr">
        <is>
          <t>CARABINA AD ARIA COMPRESSA</t>
        </is>
      </c>
      <c r="F310" s="3" t="n">
        <v>4.5</v>
      </c>
      <c r="G310" s="3" t="inlineStr">
        <is>
          <t>HERMANN WEIHR</t>
        </is>
      </c>
      <c r="H310" s="65" t="inlineStr">
        <is>
          <t>HW977</t>
        </is>
      </c>
      <c r="I310" s="65" t="n">
        <v>1507941</v>
      </c>
      <c r="J310" s="65" t="inlineStr">
        <is>
          <t>N/D</t>
        </is>
      </c>
      <c r="K310" s="65" t="inlineStr">
        <is>
          <t>N/D</t>
        </is>
      </c>
      <c r="L310" s="127" t="inlineStr">
        <is>
          <t>EREDI SAFARI SPORT - SEVERI GINO DI ARMILLI MARIA TERESA</t>
        </is>
      </c>
      <c r="M310" s="5" t="n">
        <v>122.95</v>
      </c>
      <c r="N310" s="5" t="n"/>
      <c r="O310" s="5">
        <f>+M310+N310</f>
        <v/>
      </c>
      <c r="P310" s="4" t="n"/>
      <c r="Q310" s="87" t="n"/>
      <c r="R310" s="5" t="n">
        <v>147</v>
      </c>
      <c r="S310" s="2" t="n">
        <v>1</v>
      </c>
      <c r="T310" s="3" t="inlineStr">
        <is>
          <t>CA42796IR</t>
        </is>
      </c>
      <c r="U310" s="87" t="n">
        <v>45821</v>
      </c>
      <c r="V310" s="3" t="inlineStr">
        <is>
          <t>16</t>
        </is>
      </c>
      <c r="W310" s="108" t="n">
        <v>45821</v>
      </c>
      <c r="X310" s="4" t="inlineStr">
        <is>
          <t>PHILIPPOS COSTANTINIDES TRADING CO. LTD</t>
        </is>
      </c>
    </row>
    <row r="311" ht="24" customHeight="1">
      <c r="A311" s="2">
        <f>+D311-S311</f>
        <v/>
      </c>
      <c r="B311" s="80" t="n"/>
      <c r="C311" s="70" t="n">
        <v>45436</v>
      </c>
      <c r="D311" s="2" t="n">
        <v>1</v>
      </c>
      <c r="E311" s="3" t="inlineStr">
        <is>
          <t>CARABINA AD ARIA COMPRESSA</t>
        </is>
      </c>
      <c r="F311" s="3" t="n">
        <v>4.5</v>
      </c>
      <c r="G311" s="3" t="inlineStr">
        <is>
          <t>DIANA</t>
        </is>
      </c>
      <c r="H311" s="65" t="inlineStr">
        <is>
          <t>46 STUTZEN</t>
        </is>
      </c>
      <c r="I311" s="65" t="inlineStr">
        <is>
          <t>01244465</t>
        </is>
      </c>
      <c r="J311" s="65" t="inlineStr">
        <is>
          <t>N/D</t>
        </is>
      </c>
      <c r="K311" s="65" t="inlineStr">
        <is>
          <t>N/D</t>
        </is>
      </c>
      <c r="L311" s="127" t="inlineStr">
        <is>
          <t>EREDI SAFARI SPORT - SEVERI GINO DI ARMILLI MARIA TERESA</t>
        </is>
      </c>
      <c r="M311" s="5" t="n">
        <v>122.95</v>
      </c>
      <c r="N311" s="5" t="n"/>
      <c r="O311" s="5">
        <f>+M311+N311</f>
        <v/>
      </c>
      <c r="P311" s="4" t="n"/>
      <c r="Q311" s="87" t="n"/>
      <c r="R311" s="5" t="n">
        <v>147</v>
      </c>
      <c r="S311" s="2" t="n">
        <v>1</v>
      </c>
      <c r="T311" s="3" t="inlineStr">
        <is>
          <t>CA42796IR</t>
        </is>
      </c>
      <c r="U311" s="87" t="n">
        <v>45821</v>
      </c>
      <c r="V311" s="3" t="inlineStr">
        <is>
          <t>16</t>
        </is>
      </c>
      <c r="W311" s="108" t="n">
        <v>45821</v>
      </c>
      <c r="X311" s="4" t="inlineStr">
        <is>
          <t>PHILIPPOS COSTANTINIDES TRADING CO. LTD</t>
        </is>
      </c>
    </row>
    <row r="312" ht="24" customHeight="1">
      <c r="A312" s="2">
        <f>+D312-S312</f>
        <v/>
      </c>
      <c r="B312" s="80" t="n"/>
      <c r="C312" s="70" t="n">
        <v>45436</v>
      </c>
      <c r="D312" s="2" t="n">
        <v>1</v>
      </c>
      <c r="E312" s="3" t="inlineStr">
        <is>
          <t>CARABINA AD ARIA COMPRESSA</t>
        </is>
      </c>
      <c r="F312" s="3" t="n">
        <v>4.5</v>
      </c>
      <c r="G312" s="3" t="inlineStr">
        <is>
          <t>WEIHRAUCH</t>
        </is>
      </c>
      <c r="H312" s="65" t="inlineStr">
        <is>
          <t>HW77</t>
        </is>
      </c>
      <c r="I312" s="65" t="n">
        <v>2000047</v>
      </c>
      <c r="J312" s="65" t="inlineStr">
        <is>
          <t>N/D</t>
        </is>
      </c>
      <c r="K312" s="65" t="inlineStr">
        <is>
          <t>N/D</t>
        </is>
      </c>
      <c r="L312" s="127" t="inlineStr">
        <is>
          <t>EREDI SAFARI SPORT - SEVERI GINO DI ARMILLI MARIA TERESA</t>
        </is>
      </c>
      <c r="M312" s="5" t="n">
        <v>122.95</v>
      </c>
      <c r="N312" s="5" t="n"/>
      <c r="O312" s="5">
        <f>+M312+N312</f>
        <v/>
      </c>
      <c r="P312" s="4" t="n"/>
      <c r="Q312" s="87" t="n"/>
      <c r="R312" s="5" t="n">
        <v>147</v>
      </c>
      <c r="S312" s="2" t="n">
        <v>1</v>
      </c>
      <c r="T312" s="3" t="inlineStr">
        <is>
          <t>CA42796IR</t>
        </is>
      </c>
      <c r="U312" s="87" t="n">
        <v>45821</v>
      </c>
      <c r="V312" s="3" t="inlineStr">
        <is>
          <t>16</t>
        </is>
      </c>
      <c r="W312" s="108" t="n">
        <v>45821</v>
      </c>
      <c r="X312" s="4" t="inlineStr">
        <is>
          <t>PHILIPPOS COSTANTINIDES TRADING CO. LTD</t>
        </is>
      </c>
    </row>
    <row r="313" ht="24" customHeight="1">
      <c r="A313" s="2">
        <f>+D313-S313</f>
        <v/>
      </c>
      <c r="B313" s="80" t="n"/>
      <c r="C313" s="70" t="n">
        <v>45436</v>
      </c>
      <c r="D313" s="2" t="n">
        <v>1</v>
      </c>
      <c r="E313" s="3" t="inlineStr">
        <is>
          <t>CARABINA AD ARIA COMPRESSA</t>
        </is>
      </c>
      <c r="F313" s="3" t="n">
        <v>4.5</v>
      </c>
      <c r="G313" s="3" t="inlineStr">
        <is>
          <t>DIANA</t>
        </is>
      </c>
      <c r="H313" s="65" t="n">
        <v>46</v>
      </c>
      <c r="I313" s="65" t="inlineStr">
        <is>
          <t>01274370</t>
        </is>
      </c>
      <c r="J313" s="65" t="inlineStr">
        <is>
          <t>N/D</t>
        </is>
      </c>
      <c r="K313" s="65" t="inlineStr">
        <is>
          <t>N/D</t>
        </is>
      </c>
      <c r="L313" s="127" t="inlineStr">
        <is>
          <t>EREDI SAFARI SPORT - SEVERI GINO DI ARMILLI MARIA TERESA</t>
        </is>
      </c>
      <c r="M313" s="5" t="n">
        <v>122.95</v>
      </c>
      <c r="N313" s="5" t="n"/>
      <c r="O313" s="5">
        <f>+M313+N313</f>
        <v/>
      </c>
      <c r="P313" s="4" t="n"/>
      <c r="Q313" s="87" t="n"/>
      <c r="R313" s="5" t="n">
        <v>147</v>
      </c>
      <c r="S313" s="2" t="n">
        <v>1</v>
      </c>
      <c r="T313" s="3" t="inlineStr">
        <is>
          <t>CA42796IR</t>
        </is>
      </c>
      <c r="U313" s="87" t="n">
        <v>45821</v>
      </c>
      <c r="V313" s="3" t="inlineStr">
        <is>
          <t>16</t>
        </is>
      </c>
      <c r="W313" s="108" t="n">
        <v>45821</v>
      </c>
      <c r="X313" s="4" t="inlineStr">
        <is>
          <t>PHILIPPOS COSTANTINIDES TRADING CO. LTD</t>
        </is>
      </c>
    </row>
    <row r="314" ht="24" customHeight="1">
      <c r="A314" s="2">
        <f>+D314-S314</f>
        <v/>
      </c>
      <c r="B314" s="80" t="n"/>
      <c r="C314" s="70" t="n">
        <v>45436</v>
      </c>
      <c r="D314" s="2" t="n">
        <v>1</v>
      </c>
      <c r="E314" s="3" t="inlineStr">
        <is>
          <t>CARABINA AD ARIA COMPRESSA</t>
        </is>
      </c>
      <c r="F314" s="3" t="n">
        <v>4.5</v>
      </c>
      <c r="G314" s="3" t="inlineStr">
        <is>
          <t>DIANA</t>
        </is>
      </c>
      <c r="H314" s="65" t="inlineStr">
        <is>
          <t>HW77</t>
        </is>
      </c>
      <c r="I314" s="65" t="n">
        <v>1540292</v>
      </c>
      <c r="J314" s="65" t="inlineStr">
        <is>
          <t>N/D</t>
        </is>
      </c>
      <c r="K314" s="65" t="inlineStr">
        <is>
          <t>N/D</t>
        </is>
      </c>
      <c r="L314" s="127" t="inlineStr">
        <is>
          <t>EREDI SAFARI SPORT - SEVERI GINO DI ARMILLI MARIA TERESA</t>
        </is>
      </c>
      <c r="M314" s="5" t="n">
        <v>122.95</v>
      </c>
      <c r="N314" s="5" t="n"/>
      <c r="O314" s="5">
        <f>+M314+N314</f>
        <v/>
      </c>
      <c r="P314" s="4" t="n"/>
      <c r="Q314" s="87" t="n"/>
      <c r="R314" s="5" t="n">
        <v>147</v>
      </c>
      <c r="S314" s="2" t="n">
        <v>1</v>
      </c>
      <c r="T314" s="3" t="inlineStr">
        <is>
          <t>CA42796IR</t>
        </is>
      </c>
      <c r="U314" s="87" t="n">
        <v>45821</v>
      </c>
      <c r="V314" s="3" t="inlineStr">
        <is>
          <t>16</t>
        </is>
      </c>
      <c r="W314" s="108" t="n">
        <v>45821</v>
      </c>
      <c r="X314" s="4" t="inlineStr">
        <is>
          <t>PHILIPPOS COSTANTINIDES TRADING CO. LTD</t>
        </is>
      </c>
    </row>
    <row r="315" ht="24" customHeight="1">
      <c r="A315" s="2">
        <f>+D315-S315</f>
        <v/>
      </c>
      <c r="B315" s="80" t="n"/>
      <c r="C315" s="70" t="n">
        <v>45436</v>
      </c>
      <c r="D315" s="2" t="n">
        <v>1</v>
      </c>
      <c r="E315" s="3" t="inlineStr">
        <is>
          <t>FUCILE SEMIAUTOMATICO</t>
        </is>
      </c>
      <c r="F315" s="3" t="n">
        <v>12</v>
      </c>
      <c r="G315" s="3" t="inlineStr">
        <is>
          <t>BENELLI</t>
        </is>
      </c>
      <c r="H315" s="65" t="n">
        <v>121</v>
      </c>
      <c r="I315" s="65" t="inlineStr">
        <is>
          <t>F143012</t>
        </is>
      </c>
      <c r="J315" s="65" t="inlineStr">
        <is>
          <t>C059205</t>
        </is>
      </c>
      <c r="K315" s="65" t="inlineStr">
        <is>
          <t>N/D</t>
        </is>
      </c>
      <c r="L315" s="127" t="inlineStr">
        <is>
          <t>EREDI SAFARI SPORT - SEVERI GINO DI ARMILLI MARIA TERESA</t>
        </is>
      </c>
      <c r="M315" s="5" t="n">
        <v>163.93</v>
      </c>
      <c r="N315" s="5" t="n"/>
      <c r="O315" s="5">
        <f>+M315+N315</f>
        <v/>
      </c>
      <c r="P315" s="4" t="n"/>
      <c r="Q315" s="87" t="n"/>
      <c r="R315" s="5" t="n">
        <v>187</v>
      </c>
      <c r="S315" s="2" t="n">
        <v>1</v>
      </c>
      <c r="T315" s="3" t="n"/>
      <c r="U315" s="87" t="n">
        <v>45481</v>
      </c>
      <c r="V315" s="3" t="inlineStr">
        <is>
          <t>12</t>
        </is>
      </c>
      <c r="W315" s="108" t="n">
        <v>45481</v>
      </c>
      <c r="X315" s="4" t="inlineStr">
        <is>
          <t>BRESCIA MIDDLE EAST SAL</t>
        </is>
      </c>
    </row>
    <row r="316" ht="24" customHeight="1">
      <c r="A316" s="2">
        <f>+D316-S316</f>
        <v/>
      </c>
      <c r="B316" s="80" t="n"/>
      <c r="C316" s="70" t="n">
        <v>45436</v>
      </c>
      <c r="D316" s="2" t="n">
        <v>1</v>
      </c>
      <c r="E316" s="3" t="inlineStr">
        <is>
          <t>FUCILE SOVRAPPOSTO</t>
        </is>
      </c>
      <c r="F316" s="3" t="n">
        <v>12</v>
      </c>
      <c r="G316" s="3" t="inlineStr">
        <is>
          <t>BROWNING</t>
        </is>
      </c>
      <c r="H316" s="65" t="inlineStr">
        <is>
          <t>B25 GAME</t>
        </is>
      </c>
      <c r="I316" s="65" t="inlineStr">
        <is>
          <t>9057S3</t>
        </is>
      </c>
      <c r="J316" s="65" t="inlineStr">
        <is>
          <t>N/D</t>
        </is>
      </c>
      <c r="K316" s="65" t="inlineStr">
        <is>
          <t>N/D</t>
        </is>
      </c>
      <c r="L316" s="127" t="inlineStr">
        <is>
          <t>EREDI SAFARI SPORT - SEVERI GINO DI ARMILLI MARIA TERESA</t>
        </is>
      </c>
      <c r="M316" s="5" t="n">
        <v>245.9</v>
      </c>
      <c r="N316" s="5" t="n"/>
      <c r="O316" s="5">
        <f>+M316+N316</f>
        <v/>
      </c>
      <c r="P316" s="4" t="n"/>
      <c r="Q316" s="87" t="n"/>
      <c r="R316" s="5" t="n"/>
      <c r="S316" s="2" t="n"/>
      <c r="T316" s="3" t="n"/>
      <c r="U316" s="87" t="n"/>
      <c r="V316" s="3" t="n"/>
      <c r="W316" s="108" t="n"/>
      <c r="X316" s="4" t="n"/>
    </row>
    <row r="317" ht="24" customHeight="1">
      <c r="A317" s="2">
        <f>+D317-S317</f>
        <v/>
      </c>
      <c r="B317" s="80" t="n"/>
      <c r="C317" s="70" t="n">
        <v>45436</v>
      </c>
      <c r="D317" s="2" t="n">
        <v>1</v>
      </c>
      <c r="E317" s="3" t="inlineStr">
        <is>
          <t>FUCILE SOVRAPPOSTO</t>
        </is>
      </c>
      <c r="F317" s="3" t="n">
        <v>12</v>
      </c>
      <c r="G317" s="3" t="inlineStr">
        <is>
          <t>FRANCHI</t>
        </is>
      </c>
      <c r="H317" s="65" t="inlineStr">
        <is>
          <t>ALCIONE</t>
        </is>
      </c>
      <c r="I317" s="65" t="n">
        <v>5153887</v>
      </c>
      <c r="J317" s="65" t="inlineStr">
        <is>
          <t>N/D</t>
        </is>
      </c>
      <c r="K317" s="65" t="inlineStr">
        <is>
          <t>N/D</t>
        </is>
      </c>
      <c r="L317" s="127" t="inlineStr">
        <is>
          <t>EREDI SAFARI SPORT - SEVERI GINO DI ARMILLI MARIA TERESA</t>
        </is>
      </c>
      <c r="M317" s="5" t="n">
        <v>122.95</v>
      </c>
      <c r="N317" s="5" t="n"/>
      <c r="O317" s="5">
        <f>+M317+N317</f>
        <v/>
      </c>
      <c r="P317" s="4" t="n"/>
      <c r="Q317" s="87" t="n"/>
      <c r="R317" s="5" t="n">
        <v>146</v>
      </c>
      <c r="S317" s="2" t="n">
        <v>1</v>
      </c>
      <c r="T317" s="3" t="inlineStr">
        <is>
          <t>CA42796IR</t>
        </is>
      </c>
      <c r="U317" s="87" t="n">
        <v>45821</v>
      </c>
      <c r="V317" s="3" t="inlineStr">
        <is>
          <t>9</t>
        </is>
      </c>
      <c r="W317" s="108" t="n">
        <v>45821</v>
      </c>
      <c r="X317" s="4" t="inlineStr">
        <is>
          <t>PHILIPPOS COSTANTINIDES TRADING CO. LTD</t>
        </is>
      </c>
    </row>
    <row r="318" ht="24" customHeight="1">
      <c r="A318" s="2">
        <f>+D318-S318</f>
        <v/>
      </c>
      <c r="B318" s="80" t="n"/>
      <c r="C318" s="70" t="n">
        <v>45436</v>
      </c>
      <c r="D318" s="2" t="n">
        <v>1</v>
      </c>
      <c r="E318" s="3" t="inlineStr">
        <is>
          <t>FUCILE DOPPIETTA</t>
        </is>
      </c>
      <c r="F318" s="3" t="n">
        <v>12</v>
      </c>
      <c r="G318" s="3" t="inlineStr">
        <is>
          <t>GITTI</t>
        </is>
      </c>
      <c r="H318" s="65" t="inlineStr">
        <is>
          <t>CANI ESTERNI</t>
        </is>
      </c>
      <c r="I318" s="65" t="n">
        <v>6814</v>
      </c>
      <c r="J318" s="65" t="inlineStr">
        <is>
          <t>N/D</t>
        </is>
      </c>
      <c r="K318" s="65" t="inlineStr">
        <is>
          <t>N/D</t>
        </is>
      </c>
      <c r="L318" s="127" t="inlineStr">
        <is>
          <t>EREDI SAFARI SPORT - SEVERI GINO DI ARMILLI MARIA TERESA</t>
        </is>
      </c>
      <c r="M318" s="5" t="n">
        <v>81.97</v>
      </c>
      <c r="N318" s="5" t="n"/>
      <c r="O318" s="5">
        <f>+M318+N318</f>
        <v/>
      </c>
      <c r="P318" s="4" t="n"/>
      <c r="Q318" s="87" t="n"/>
      <c r="R318" s="5" t="n">
        <v>99</v>
      </c>
      <c r="S318" s="2" t="n">
        <v>1</v>
      </c>
      <c r="T318" s="3" t="inlineStr">
        <is>
          <t>CA42796IR</t>
        </is>
      </c>
      <c r="U318" s="87" t="n">
        <v>45821</v>
      </c>
      <c r="V318" s="3" t="inlineStr">
        <is>
          <t>16</t>
        </is>
      </c>
      <c r="W318" s="108" t="n">
        <v>45821</v>
      </c>
      <c r="X318" s="4" t="inlineStr">
        <is>
          <t>PHILIPPOS COSTANTINIDES TRADING CO. LTD</t>
        </is>
      </c>
    </row>
    <row r="319" ht="24" customHeight="1">
      <c r="A319" s="2">
        <f>+D319-S319</f>
        <v/>
      </c>
      <c r="B319" s="80" t="n"/>
      <c r="C319" s="70" t="n">
        <v>45436</v>
      </c>
      <c r="D319" s="2" t="n">
        <v>1</v>
      </c>
      <c r="E319" s="3" t="inlineStr">
        <is>
          <t>FUCILE DOPPIETTA</t>
        </is>
      </c>
      <c r="F319" s="3" t="n">
        <v>12</v>
      </c>
      <c r="G319" s="3" t="inlineStr">
        <is>
          <t>BERNARDELLI</t>
        </is>
      </c>
      <c r="H319" s="65" t="n"/>
      <c r="I319" s="65" t="n">
        <v>12245</v>
      </c>
      <c r="J319" s="65" t="inlineStr">
        <is>
          <t>N/D</t>
        </is>
      </c>
      <c r="K319" s="65" t="inlineStr">
        <is>
          <t>N/D</t>
        </is>
      </c>
      <c r="L319" s="127" t="inlineStr">
        <is>
          <t>EREDI SAFARI SPORT - SEVERI GINO DI ARMILLI MARIA TERESA</t>
        </is>
      </c>
      <c r="M319" s="5" t="n">
        <v>40.98</v>
      </c>
      <c r="N319" s="5" t="n"/>
      <c r="O319" s="5">
        <f>+M319+N319</f>
        <v/>
      </c>
      <c r="P319" s="4" t="n"/>
      <c r="Q319" s="87" t="n"/>
      <c r="R319" s="5" t="n">
        <v>52</v>
      </c>
      <c r="S319" s="2" t="n">
        <v>1</v>
      </c>
      <c r="T319" s="3" t="inlineStr">
        <is>
          <t>CA42796IR</t>
        </is>
      </c>
      <c r="U319" s="87" t="n">
        <v>45821</v>
      </c>
      <c r="V319" s="3" t="inlineStr">
        <is>
          <t>13</t>
        </is>
      </c>
      <c r="W319" s="108" t="n">
        <v>45821</v>
      </c>
      <c r="X319" s="4" t="inlineStr">
        <is>
          <t>PHILIPPOS COSTANTINIDES TRADING CO. LTD</t>
        </is>
      </c>
    </row>
    <row r="320" ht="24" customHeight="1">
      <c r="A320" s="2">
        <f>+D320-S320</f>
        <v/>
      </c>
      <c r="B320" s="80" t="n"/>
      <c r="C320" s="70" t="n">
        <v>45436</v>
      </c>
      <c r="D320" s="2" t="n">
        <v>1</v>
      </c>
      <c r="E320" s="3" t="inlineStr">
        <is>
          <t>FUCILE DOPPIETTA</t>
        </is>
      </c>
      <c r="F320" s="3" t="n">
        <v>12</v>
      </c>
      <c r="G320" s="3" t="inlineStr">
        <is>
          <t>BERNARDELLI</t>
        </is>
      </c>
      <c r="H320" s="65" t="inlineStr">
        <is>
          <t>S.UBERTO 2</t>
        </is>
      </c>
      <c r="I320" s="65" t="n">
        <v>109445</v>
      </c>
      <c r="J320" s="65" t="inlineStr">
        <is>
          <t>N/D</t>
        </is>
      </c>
      <c r="K320" s="65" t="inlineStr">
        <is>
          <t>N/D</t>
        </is>
      </c>
      <c r="L320" s="127" t="inlineStr">
        <is>
          <t>EREDI SAFARI SPORT - SEVERI GINO DI ARMILLI MARIA TERESA</t>
        </is>
      </c>
      <c r="M320" s="5" t="n">
        <v>163.93</v>
      </c>
      <c r="N320" s="5" t="n"/>
      <c r="O320" s="5">
        <f>+M320+N320</f>
        <v/>
      </c>
      <c r="P320" s="4" t="n"/>
      <c r="Q320" s="87" t="n"/>
      <c r="R320" s="5" t="n">
        <v>194</v>
      </c>
      <c r="S320" s="2" t="n">
        <v>1</v>
      </c>
      <c r="T320" s="3" t="inlineStr">
        <is>
          <t>CA42796IR</t>
        </is>
      </c>
      <c r="U320" s="87" t="n">
        <v>45821</v>
      </c>
      <c r="V320" s="3" t="inlineStr">
        <is>
          <t>13</t>
        </is>
      </c>
      <c r="W320" s="108" t="n">
        <v>45821</v>
      </c>
      <c r="X320" s="4" t="inlineStr">
        <is>
          <t>PHILIPPOS COSTANTINIDES TRADING CO. LTD</t>
        </is>
      </c>
    </row>
    <row r="321" ht="24" customHeight="1">
      <c r="A321" s="2">
        <f>+D321-S321</f>
        <v/>
      </c>
      <c r="B321" s="80" t="n"/>
      <c r="C321" s="70" t="n">
        <v>45436</v>
      </c>
      <c r="D321" s="2" t="n">
        <v>1</v>
      </c>
      <c r="E321" s="3" t="inlineStr">
        <is>
          <t>CARABINA</t>
        </is>
      </c>
      <c r="F321" s="3" t="inlineStr">
        <is>
          <t>30-06</t>
        </is>
      </c>
      <c r="G321" s="3" t="inlineStr">
        <is>
          <t>BENELLI</t>
        </is>
      </c>
      <c r="H321" s="65" t="inlineStr">
        <is>
          <t>ARGO E-EL</t>
        </is>
      </c>
      <c r="I321" s="65" t="inlineStr">
        <is>
          <t>BB113053T</t>
        </is>
      </c>
      <c r="J321" s="65" t="inlineStr">
        <is>
          <t>CB113053T</t>
        </is>
      </c>
      <c r="K321" s="65" t="inlineStr">
        <is>
          <t>N/D</t>
        </is>
      </c>
      <c r="L321" s="127" t="inlineStr">
        <is>
          <t>EREDI SAFARI SPORT - SEVERI GINO DI ARMILLI MARIA TERESA</t>
        </is>
      </c>
      <c r="M321" s="5" t="n">
        <v>491.8</v>
      </c>
      <c r="N321" s="5" t="n"/>
      <c r="O321" s="5">
        <f>+M321+N321</f>
        <v/>
      </c>
      <c r="P321" s="4" t="n"/>
      <c r="Q321" s="87" t="n"/>
      <c r="R321" s="5" t="n">
        <v>515</v>
      </c>
      <c r="S321" s="2" t="n">
        <v>1</v>
      </c>
      <c r="T321" s="3" t="inlineStr">
        <is>
          <t>CA04954OS</t>
        </is>
      </c>
      <c r="U321" s="87" t="n">
        <v>45874</v>
      </c>
      <c r="V321" s="3" t="inlineStr">
        <is>
          <t>26</t>
        </is>
      </c>
      <c r="W321" s="4" t="n">
        <v>45874</v>
      </c>
      <c r="X321" s="4" t="inlineStr">
        <is>
          <t>PHILIPPOS  CONSTANTINIDES
TRADING CO.LTD</t>
        </is>
      </c>
    </row>
    <row r="322" ht="24" customHeight="1">
      <c r="A322" s="2">
        <f>+D322-S322</f>
        <v/>
      </c>
      <c r="B322" s="80" t="n"/>
      <c r="C322" s="70" t="n">
        <v>45436</v>
      </c>
      <c r="D322" s="2" t="n">
        <v>1</v>
      </c>
      <c r="E322" s="3" t="inlineStr">
        <is>
          <t>FUCILE SEMIAUTOMATICO</t>
        </is>
      </c>
      <c r="F322" s="3" t="n">
        <v>12</v>
      </c>
      <c r="G322" s="3" t="inlineStr">
        <is>
          <t>FRANCHI</t>
        </is>
      </c>
      <c r="H322" s="65" t="inlineStr">
        <is>
          <t>FAST ONE</t>
        </is>
      </c>
      <c r="I322" s="65" t="inlineStr">
        <is>
          <t>05-03-E02527-10</t>
        </is>
      </c>
      <c r="J322" s="65" t="inlineStr">
        <is>
          <t>05-03-C02537-10</t>
        </is>
      </c>
      <c r="K322" s="65" t="inlineStr">
        <is>
          <t>N/D</t>
        </is>
      </c>
      <c r="L322" s="127" t="inlineStr">
        <is>
          <t>EREDI SAFARI SPORT - SEVERI GINO DI ARMILLI MARIA TERESA</t>
        </is>
      </c>
      <c r="M322" s="5" t="n">
        <v>122.95</v>
      </c>
      <c r="N322" s="5" t="n"/>
      <c r="O322" s="5">
        <f>+M322+N322</f>
        <v/>
      </c>
      <c r="P322" s="4" t="n"/>
      <c r="Q322" s="87" t="n"/>
      <c r="R322" s="5" t="n">
        <v>187</v>
      </c>
      <c r="S322" s="2" t="n">
        <v>1</v>
      </c>
      <c r="T322" s="3" t="n"/>
      <c r="U322" s="87" t="n">
        <v>45481</v>
      </c>
      <c r="V322" s="3" t="inlineStr">
        <is>
          <t>12</t>
        </is>
      </c>
      <c r="W322" s="108" t="n">
        <v>45481</v>
      </c>
      <c r="X322" s="4" t="inlineStr">
        <is>
          <t>BRESCIA MIDDLE EAST SAL</t>
        </is>
      </c>
    </row>
    <row r="323" ht="24" customHeight="1">
      <c r="A323" s="2">
        <f>+D323-S323</f>
        <v/>
      </c>
      <c r="B323" s="80" t="n"/>
      <c r="C323" s="70" t="n">
        <v>45436</v>
      </c>
      <c r="D323" s="2" t="n">
        <v>1</v>
      </c>
      <c r="E323" s="3" t="inlineStr">
        <is>
          <t>FUCILE SEMIAUTOMATICO</t>
        </is>
      </c>
      <c r="F323" s="3" t="n">
        <v>36</v>
      </c>
      <c r="G323" s="3" t="inlineStr">
        <is>
          <t>ARMSAN</t>
        </is>
      </c>
      <c r="H323" s="65" t="inlineStr">
        <is>
          <t>A636 BRONZE</t>
        </is>
      </c>
      <c r="I323" s="65" t="inlineStr">
        <is>
          <t>20V03549</t>
        </is>
      </c>
      <c r="J323" s="65" t="inlineStr">
        <is>
          <t>N/D</t>
        </is>
      </c>
      <c r="K323" s="65" t="inlineStr">
        <is>
          <t>N/D</t>
        </is>
      </c>
      <c r="L323" s="127" t="inlineStr">
        <is>
          <t>EREDI SAFARI SPORT - SEVERI GINO DI ARMILLI MARIA TERESA</t>
        </is>
      </c>
      <c r="M323" s="5" t="n">
        <v>122.95</v>
      </c>
      <c r="N323" s="5" t="n"/>
      <c r="O323" s="5">
        <f>+M323+N323</f>
        <v/>
      </c>
      <c r="P323" s="4" t="n"/>
      <c r="Q323" s="87" t="n"/>
      <c r="R323" s="5" t="n">
        <v>147</v>
      </c>
      <c r="S323" s="2" t="n">
        <v>1</v>
      </c>
      <c r="T323" s="3" t="inlineStr">
        <is>
          <t>CA42796IR</t>
        </is>
      </c>
      <c r="U323" s="87" t="n">
        <v>45821</v>
      </c>
      <c r="V323" s="3" t="inlineStr">
        <is>
          <t>12</t>
        </is>
      </c>
      <c r="W323" s="108" t="n">
        <v>45821</v>
      </c>
      <c r="X323" s="4" t="inlineStr">
        <is>
          <t>PHILIPPOS COSTANTINIDES TRADING CO. LTD</t>
        </is>
      </c>
    </row>
    <row r="324" ht="24" customHeight="1">
      <c r="A324" s="2">
        <f>+D324-S324</f>
        <v/>
      </c>
      <c r="B324" s="80" t="n"/>
      <c r="C324" s="70" t="n">
        <v>45436</v>
      </c>
      <c r="D324" s="2" t="n">
        <v>1</v>
      </c>
      <c r="E324" s="3" t="inlineStr">
        <is>
          <t>CARABINA A LEVA</t>
        </is>
      </c>
      <c r="F324" s="3" t="inlineStr">
        <is>
          <t>30-30 WIN</t>
        </is>
      </c>
      <c r="G324" s="3" t="inlineStr">
        <is>
          <t>WINCHESTER</t>
        </is>
      </c>
      <c r="H324" s="65" t="inlineStr">
        <is>
          <t>RANGER</t>
        </is>
      </c>
      <c r="I324" s="65" t="n">
        <v>5377354</v>
      </c>
      <c r="J324" s="65" t="inlineStr">
        <is>
          <t>N/D</t>
        </is>
      </c>
      <c r="K324" s="65" t="inlineStr">
        <is>
          <t>N/D</t>
        </is>
      </c>
      <c r="L324" s="127" t="inlineStr">
        <is>
          <t>EREDI SAFARI SPORT - SEVERI GINO DI ARMILLI MARIA TERESA</t>
        </is>
      </c>
      <c r="M324" s="5" t="n">
        <v>245.9</v>
      </c>
      <c r="N324" s="5" t="n"/>
      <c r="O324" s="5">
        <f>+M324+N324</f>
        <v/>
      </c>
      <c r="P324" s="4" t="n"/>
      <c r="Q324" s="87" t="n"/>
      <c r="R324" s="5" t="n">
        <v>320</v>
      </c>
      <c r="S324" s="2" t="n">
        <v>1</v>
      </c>
      <c r="T324" s="3" t="inlineStr">
        <is>
          <t>CA04954OS</t>
        </is>
      </c>
      <c r="U324" s="87" t="n">
        <v>45874</v>
      </c>
      <c r="V324" s="3" t="inlineStr">
        <is>
          <t>26</t>
        </is>
      </c>
      <c r="W324" s="4" t="n">
        <v>45874</v>
      </c>
      <c r="X324" s="4" t="inlineStr">
        <is>
          <t>PHILIPPOS  CONSTANTINIDES
TRADING CO.LTD</t>
        </is>
      </c>
    </row>
    <row r="325" ht="24" customHeight="1">
      <c r="A325" s="2">
        <f>+D325-S325</f>
        <v/>
      </c>
      <c r="B325" s="80" t="n"/>
      <c r="C325" s="70" t="n">
        <v>45436</v>
      </c>
      <c r="D325" s="2" t="n">
        <v>1</v>
      </c>
      <c r="E325" s="3" t="inlineStr">
        <is>
          <t>FUCILE SOVRAPPOSTO</t>
        </is>
      </c>
      <c r="F325" s="3" t="inlineStr">
        <is>
          <t>308 WIN/12</t>
        </is>
      </c>
      <c r="G325" s="3" t="inlineStr">
        <is>
          <t>VALMET</t>
        </is>
      </c>
      <c r="H325" s="65" t="inlineStr">
        <is>
          <t>COMBINATO</t>
        </is>
      </c>
      <c r="I325" s="65" t="n">
        <v>79457</v>
      </c>
      <c r="J325" s="65" t="inlineStr">
        <is>
          <t>N/D</t>
        </is>
      </c>
      <c r="K325" s="65" t="inlineStr">
        <is>
          <t>N/D</t>
        </is>
      </c>
      <c r="L325" s="127" t="inlineStr">
        <is>
          <t>EREDI SAFARI SPORT - SEVERI GINO DI ARMILLI MARIA TERESA</t>
        </is>
      </c>
      <c r="M325" s="5" t="n">
        <v>163.93</v>
      </c>
      <c r="N325" s="5" t="n"/>
      <c r="O325" s="5">
        <f>+M325+N325</f>
        <v/>
      </c>
      <c r="P325" s="4" t="n"/>
      <c r="Q325" s="87" t="n"/>
      <c r="R325" s="5" t="n"/>
      <c r="S325" s="2" t="n"/>
      <c r="T325" s="3" t="n"/>
      <c r="U325" s="87" t="n"/>
      <c r="V325" s="3" t="n"/>
      <c r="W325" s="108" t="n"/>
      <c r="X325" s="4" t="n"/>
    </row>
    <row r="326" ht="24" customHeight="1">
      <c r="A326" s="2">
        <f>+D326-S326</f>
        <v/>
      </c>
      <c r="B326" s="80" t="n"/>
      <c r="C326" s="70" t="n">
        <v>45436</v>
      </c>
      <c r="D326" s="2" t="n">
        <v>1</v>
      </c>
      <c r="E326" s="3" t="inlineStr">
        <is>
          <t>CARABINA AD ARIA COMPRESSA</t>
        </is>
      </c>
      <c r="F326" s="3" t="n">
        <v>5.5</v>
      </c>
      <c r="G326" s="3" t="inlineStr">
        <is>
          <t>AIR ARMS</t>
        </is>
      </c>
      <c r="H326" s="65" t="inlineStr">
        <is>
          <t>S510</t>
        </is>
      </c>
      <c r="I326" s="65" t="inlineStr">
        <is>
          <t>063659</t>
        </is>
      </c>
      <c r="J326" s="65" t="inlineStr">
        <is>
          <t>N/D</t>
        </is>
      </c>
      <c r="K326" s="65" t="inlineStr">
        <is>
          <t>N/D</t>
        </is>
      </c>
      <c r="L326" s="127" t="inlineStr">
        <is>
          <t>EREDI SAFARI SPORT - SEVERI GINO DI ARMILLI MARIA TERESA</t>
        </is>
      </c>
      <c r="M326" s="5" t="n">
        <v>122.95</v>
      </c>
      <c r="N326" s="5" t="n"/>
      <c r="O326" s="5">
        <f>+M326+N326</f>
        <v/>
      </c>
      <c r="P326" s="4" t="n"/>
      <c r="Q326" s="87" t="n"/>
      <c r="R326" s="5" t="n">
        <v>147</v>
      </c>
      <c r="S326" s="2" t="n">
        <v>1</v>
      </c>
      <c r="T326" s="3" t="inlineStr">
        <is>
          <t>CA42796IR</t>
        </is>
      </c>
      <c r="U326" s="87" t="n">
        <v>45821</v>
      </c>
      <c r="V326" s="3" t="inlineStr">
        <is>
          <t>16</t>
        </is>
      </c>
      <c r="W326" s="108" t="n">
        <v>45821</v>
      </c>
      <c r="X326" s="4" t="inlineStr">
        <is>
          <t>PHILIPPOS COSTANTINIDES TRADING CO. LTD</t>
        </is>
      </c>
    </row>
    <row r="327" ht="24" customHeight="1">
      <c r="A327" s="2">
        <f>+D327-S327</f>
        <v/>
      </c>
      <c r="B327" s="80" t="n"/>
      <c r="C327" s="70" t="n">
        <v>45436</v>
      </c>
      <c r="D327" s="2" t="n">
        <v>1</v>
      </c>
      <c r="E327" s="3" t="inlineStr">
        <is>
          <t>CARABINA</t>
        </is>
      </c>
      <c r="F327" s="3" t="inlineStr">
        <is>
          <t>7 MM REM</t>
        </is>
      </c>
      <c r="G327" s="3" t="inlineStr">
        <is>
          <t>SAKO</t>
        </is>
      </c>
      <c r="H327" s="65" t="n">
        <v>75</v>
      </c>
      <c r="I327" s="65" t="n">
        <v>950697</v>
      </c>
      <c r="J327" s="65" t="inlineStr">
        <is>
          <t>N/D</t>
        </is>
      </c>
      <c r="K327" s="65" t="inlineStr">
        <is>
          <t>N/D</t>
        </is>
      </c>
      <c r="L327" s="127" t="inlineStr">
        <is>
          <t>EREDI SAFARI SPORT - SEVERI GINO DI ARMILLI MARIA TERESA</t>
        </is>
      </c>
      <c r="M327" s="5" t="n">
        <v>819.67</v>
      </c>
      <c r="N327" s="5" t="n"/>
      <c r="O327" s="5">
        <f>+M327+N327</f>
        <v/>
      </c>
      <c r="P327" s="4" t="n"/>
      <c r="Q327" s="87" t="n"/>
      <c r="R327" s="5" t="n">
        <v>861</v>
      </c>
      <c r="S327" s="2" t="n">
        <v>1</v>
      </c>
      <c r="T327" s="3" t="inlineStr">
        <is>
          <t>CA04954OS</t>
        </is>
      </c>
      <c r="U327" s="87" t="n">
        <v>45874</v>
      </c>
      <c r="V327" s="3" t="inlineStr">
        <is>
          <t>26</t>
        </is>
      </c>
      <c r="W327" s="4" t="n">
        <v>45874</v>
      </c>
      <c r="X327" s="4" t="inlineStr">
        <is>
          <t>PHILIPPOS  CONSTANTINIDES
TRADING CO.LTD</t>
        </is>
      </c>
    </row>
    <row r="328" ht="24" customHeight="1">
      <c r="A328" s="2">
        <f>+D328-S328</f>
        <v/>
      </c>
      <c r="B328" s="80" t="n"/>
      <c r="C328" s="70" t="n">
        <v>45436</v>
      </c>
      <c r="D328" s="2" t="n">
        <v>1</v>
      </c>
      <c r="E328" s="3" t="inlineStr">
        <is>
          <t>CARABINA</t>
        </is>
      </c>
      <c r="F328" s="3" t="inlineStr">
        <is>
          <t>338 WIN</t>
        </is>
      </c>
      <c r="G328" s="3" t="inlineStr">
        <is>
          <t>BROWNING</t>
        </is>
      </c>
      <c r="H328" s="65" t="inlineStr">
        <is>
          <t>BOL</t>
        </is>
      </c>
      <c r="I328" s="65" t="inlineStr">
        <is>
          <t>B6021</t>
        </is>
      </c>
      <c r="J328" s="65" t="inlineStr">
        <is>
          <t>N/D</t>
        </is>
      </c>
      <c r="K328" s="65" t="inlineStr">
        <is>
          <t>N/D</t>
        </is>
      </c>
      <c r="L328" s="127" t="inlineStr">
        <is>
          <t>EREDI SAFARI SPORT - SEVERI GINO DI ARMILLI MARIA TERESA</t>
        </is>
      </c>
      <c r="M328" s="5" t="n">
        <v>655.74</v>
      </c>
      <c r="N328" s="5" t="n"/>
      <c r="O328" s="5">
        <f>+M328+N328</f>
        <v/>
      </c>
      <c r="P328" s="4" t="n"/>
      <c r="Q328" s="87" t="n"/>
      <c r="R328" s="5" t="n">
        <v>815</v>
      </c>
      <c r="S328" s="2" t="n">
        <v>1</v>
      </c>
      <c r="T328" s="3" t="inlineStr">
        <is>
          <t>CA04954OS</t>
        </is>
      </c>
      <c r="U328" s="87" t="n">
        <v>45874</v>
      </c>
      <c r="V328" s="3" t="inlineStr">
        <is>
          <t>26</t>
        </is>
      </c>
      <c r="W328" s="4" t="n">
        <v>45874</v>
      </c>
      <c r="X328" s="4" t="inlineStr">
        <is>
          <t>PHILIPPOS  CONSTANTINIDES
TRADING CO.LTD</t>
        </is>
      </c>
    </row>
    <row r="329" ht="24" customHeight="1">
      <c r="A329" s="2">
        <f>+D329-S329</f>
        <v/>
      </c>
      <c r="B329" s="80" t="n"/>
      <c r="C329" s="70" t="n">
        <v>45436</v>
      </c>
      <c r="D329" s="2" t="n">
        <v>1</v>
      </c>
      <c r="E329" s="3" t="inlineStr">
        <is>
          <t>CARABINA</t>
        </is>
      </c>
      <c r="F329" s="3" t="inlineStr">
        <is>
          <t>22LR</t>
        </is>
      </c>
      <c r="G329" s="3" t="inlineStr">
        <is>
          <t>BRNO</t>
        </is>
      </c>
      <c r="H329" s="65" t="n">
        <v>581</v>
      </c>
      <c r="I329" s="65" t="n">
        <v>46711</v>
      </c>
      <c r="J329" s="65" t="inlineStr">
        <is>
          <t>N/D</t>
        </is>
      </c>
      <c r="K329" s="65" t="inlineStr">
        <is>
          <t>N/D</t>
        </is>
      </c>
      <c r="L329" s="127" t="inlineStr">
        <is>
          <t>EREDI SAFARI SPORT - SEVERI GINO DI ARMILLI MARIA TERESA</t>
        </is>
      </c>
      <c r="M329" s="5" t="n">
        <v>122.95</v>
      </c>
      <c r="N329" s="5" t="n"/>
      <c r="O329" s="5">
        <f>+M329+N329</f>
        <v/>
      </c>
      <c r="P329" s="4" t="n"/>
      <c r="Q329" s="87" t="n"/>
      <c r="R329" s="5" t="n"/>
      <c r="S329" s="2" t="n"/>
      <c r="T329" s="3" t="n"/>
      <c r="U329" s="87" t="n"/>
      <c r="V329" s="3" t="n"/>
      <c r="W329" s="108" t="n"/>
      <c r="X329" s="4" t="n"/>
    </row>
    <row r="330" ht="24" customHeight="1">
      <c r="A330" s="2">
        <f>+D330-S330</f>
        <v/>
      </c>
      <c r="B330" s="80" t="n"/>
      <c r="C330" s="70" t="n">
        <v>45436</v>
      </c>
      <c r="D330" s="2" t="n">
        <v>1</v>
      </c>
      <c r="E330" s="3" t="inlineStr">
        <is>
          <t>CARABINA</t>
        </is>
      </c>
      <c r="F330" s="3" t="inlineStr">
        <is>
          <t>30-06</t>
        </is>
      </c>
      <c r="G330" s="3" t="inlineStr">
        <is>
          <t>BENELLI</t>
        </is>
      </c>
      <c r="H330" s="65" t="inlineStr">
        <is>
          <t>ARGO</t>
        </is>
      </c>
      <c r="I330" s="65" t="inlineStr">
        <is>
          <t>BB013705</t>
        </is>
      </c>
      <c r="J330" s="65" t="inlineStr">
        <is>
          <t>CB013705</t>
        </is>
      </c>
      <c r="K330" s="65" t="inlineStr">
        <is>
          <t>N/D</t>
        </is>
      </c>
      <c r="L330" s="127" t="inlineStr">
        <is>
          <t>EREDI SAFARI SPORT - SEVERI GINO DI ARMILLI MARIA TERESA</t>
        </is>
      </c>
      <c r="M330" s="5" t="n">
        <v>327.87</v>
      </c>
      <c r="N330" s="5" t="n"/>
      <c r="O330" s="5">
        <f>+M330+N330</f>
        <v/>
      </c>
      <c r="P330" s="4" t="n"/>
      <c r="Q330" s="87" t="n"/>
      <c r="R330" s="5" t="n"/>
      <c r="S330" s="2" t="n"/>
      <c r="T330" s="3" t="n"/>
      <c r="U330" s="87" t="n"/>
      <c r="V330" s="3" t="n"/>
      <c r="W330" s="108" t="n"/>
      <c r="X330" s="4" t="n"/>
    </row>
    <row r="331" ht="24" customHeight="1">
      <c r="A331" s="2">
        <f>+D331-S331</f>
        <v/>
      </c>
      <c r="B331" s="80" t="n"/>
      <c r="C331" s="70" t="n">
        <v>45436</v>
      </c>
      <c r="D331" s="2" t="n">
        <v>1</v>
      </c>
      <c r="E331" s="3" t="inlineStr">
        <is>
          <t>CARABINA</t>
        </is>
      </c>
      <c r="F331" s="3" t="inlineStr">
        <is>
          <t>300 WEATH MAG</t>
        </is>
      </c>
      <c r="G331" s="3" t="inlineStr">
        <is>
          <t>BLASER</t>
        </is>
      </c>
      <c r="H331" s="65" t="inlineStr">
        <is>
          <t>R93</t>
        </is>
      </c>
      <c r="I331" s="65" t="inlineStr">
        <is>
          <t>9/59784</t>
        </is>
      </c>
      <c r="J331" s="65" t="inlineStr">
        <is>
          <t>N/D</t>
        </is>
      </c>
      <c r="K331" s="65" t="inlineStr">
        <is>
          <t>N/D</t>
        </is>
      </c>
      <c r="L331" s="127" t="inlineStr">
        <is>
          <t>EREDI SAFARI SPORT - SEVERI GINO DI ARMILLI MARIA TERESA</t>
        </is>
      </c>
      <c r="M331" s="5" t="n">
        <v>1229.51</v>
      </c>
      <c r="N331" s="5" t="n"/>
      <c r="O331" s="5">
        <f>+M331+N331</f>
        <v/>
      </c>
      <c r="P331" s="4" t="n"/>
      <c r="Q331" s="87" t="n"/>
      <c r="R331" s="5" t="n"/>
      <c r="S331" s="2" t="n"/>
      <c r="T331" s="3" t="n"/>
      <c r="U331" s="87" t="n"/>
      <c r="V331" s="3" t="n"/>
      <c r="W331" s="108" t="n"/>
      <c r="X331" s="4" t="n"/>
    </row>
    <row r="332" ht="24" customHeight="1">
      <c r="A332" s="2">
        <f>+D332-S332</f>
        <v/>
      </c>
      <c r="B332" s="80" t="n"/>
      <c r="C332" s="70" t="n">
        <v>45436</v>
      </c>
      <c r="D332" s="2" t="n">
        <v>1</v>
      </c>
      <c r="E332" s="3" t="inlineStr">
        <is>
          <t>FUCILE DOPPIETTA</t>
        </is>
      </c>
      <c r="F332" s="3" t="inlineStr">
        <is>
          <t>9.3X74R</t>
        </is>
      </c>
      <c r="G332" s="3" t="inlineStr">
        <is>
          <t>BERNARDELLI</t>
        </is>
      </c>
      <c r="H332" s="65" t="n"/>
      <c r="I332" s="65" t="n">
        <v>70197</v>
      </c>
      <c r="J332" s="65" t="inlineStr">
        <is>
          <t>N/D</t>
        </is>
      </c>
      <c r="K332" s="65" t="inlineStr">
        <is>
          <t>N/D</t>
        </is>
      </c>
      <c r="L332" s="127" t="inlineStr">
        <is>
          <t>EREDI SAFARI SPORT - SEVERI GINO DI ARMILLI MARIA TERESA</t>
        </is>
      </c>
      <c r="M332" s="5" t="n">
        <v>573.77</v>
      </c>
      <c r="N332" s="5" t="n"/>
      <c r="O332" s="5">
        <f>+M332+N332</f>
        <v/>
      </c>
      <c r="P332" s="4" t="n"/>
      <c r="Q332" s="87" t="n"/>
      <c r="R332" s="5" t="n"/>
      <c r="S332" s="2" t="n"/>
      <c r="T332" s="3" t="n"/>
      <c r="U332" s="87" t="n"/>
      <c r="V332" s="3" t="n"/>
      <c r="W332" s="108" t="n"/>
      <c r="X332" s="4" t="n"/>
    </row>
    <row r="333" ht="24" customHeight="1">
      <c r="A333" s="2">
        <f>+D333-S333</f>
        <v/>
      </c>
      <c r="B333" s="80" t="n"/>
      <c r="C333" s="70" t="n">
        <v>45436</v>
      </c>
      <c r="D333" s="2" t="n">
        <v>1</v>
      </c>
      <c r="E333" s="3" t="inlineStr">
        <is>
          <t>CARABINA</t>
        </is>
      </c>
      <c r="F333" s="3" t="inlineStr">
        <is>
          <t>22 LR</t>
        </is>
      </c>
      <c r="G333" s="3" t="inlineStr">
        <is>
          <t>BERETTA</t>
        </is>
      </c>
      <c r="H333" s="65" t="inlineStr">
        <is>
          <t>SUPER SPORT</t>
        </is>
      </c>
      <c r="I333" s="65" t="inlineStr">
        <is>
          <t>D6347</t>
        </is>
      </c>
      <c r="J333" s="65" t="inlineStr">
        <is>
          <t>N/D</t>
        </is>
      </c>
      <c r="K333" s="65" t="inlineStr">
        <is>
          <t>N/D</t>
        </is>
      </c>
      <c r="L333" s="127" t="inlineStr">
        <is>
          <t>EREDI SAFARI SPORT - SEVERI GINO DI ARMILLI MARIA TERESA</t>
        </is>
      </c>
      <c r="M333" s="5" t="n">
        <v>81.97</v>
      </c>
      <c r="N333" s="5" t="n"/>
      <c r="O333" s="5">
        <f>+M333+N333</f>
        <v/>
      </c>
      <c r="P333" s="4" t="n"/>
      <c r="Q333" s="87" t="n"/>
      <c r="R333" s="5" t="n">
        <v>86</v>
      </c>
      <c r="S333" s="2" t="n">
        <v>1</v>
      </c>
      <c r="T333" s="3" t="inlineStr">
        <is>
          <t>CA04954OS</t>
        </is>
      </c>
      <c r="U333" s="87" t="n">
        <v>45874</v>
      </c>
      <c r="V333" s="3" t="inlineStr">
        <is>
          <t>26</t>
        </is>
      </c>
      <c r="W333" s="4" t="n">
        <v>45874</v>
      </c>
      <c r="X333" s="4" t="inlineStr">
        <is>
          <t>PHILIPPOS  CONSTANTINIDES
TRADING CO.LTD</t>
        </is>
      </c>
    </row>
    <row r="334" ht="24" customHeight="1">
      <c r="A334" s="2">
        <f>+D334-S334</f>
        <v/>
      </c>
      <c r="B334" s="80" t="n"/>
      <c r="C334" s="70" t="n">
        <v>45436</v>
      </c>
      <c r="D334" s="2" t="n">
        <v>1</v>
      </c>
      <c r="E334" s="3" t="inlineStr">
        <is>
          <t>CARABINA</t>
        </is>
      </c>
      <c r="F334" s="3" t="inlineStr">
        <is>
          <t>22 LR</t>
        </is>
      </c>
      <c r="G334" s="3" t="inlineStr">
        <is>
          <t>ANSCHUTZ</t>
        </is>
      </c>
      <c r="H334" s="65" t="inlineStr">
        <is>
          <t>1451R.SPORTER</t>
        </is>
      </c>
      <c r="I334" s="65" t="n">
        <v>3036881</v>
      </c>
      <c r="J334" s="65" t="inlineStr">
        <is>
          <t>N/D</t>
        </is>
      </c>
      <c r="K334" s="65" t="inlineStr">
        <is>
          <t>N/D</t>
        </is>
      </c>
      <c r="L334" s="127" t="inlineStr">
        <is>
          <t>EREDI SAFARI SPORT - SEVERI GINO DI ARMILLI MARIA TERESA</t>
        </is>
      </c>
      <c r="M334" s="5" t="n">
        <v>163.93</v>
      </c>
      <c r="N334" s="5" t="n"/>
      <c r="O334" s="5">
        <f>+M334+N334</f>
        <v/>
      </c>
      <c r="P334" s="4" t="n"/>
      <c r="Q334" s="87" t="n"/>
      <c r="R334" s="5" t="n">
        <v>330</v>
      </c>
      <c r="S334" s="2" t="n">
        <v>1</v>
      </c>
      <c r="T334" s="3" t="inlineStr">
        <is>
          <t>CA04954OS</t>
        </is>
      </c>
      <c r="U334" s="87" t="n">
        <v>45874</v>
      </c>
      <c r="V334" s="3" t="inlineStr">
        <is>
          <t>26</t>
        </is>
      </c>
      <c r="W334" s="4" t="n">
        <v>45874</v>
      </c>
      <c r="X334" s="4" t="inlineStr">
        <is>
          <t>PHILIPPOS  CONSTANTINIDES
TRADING CO.LTD</t>
        </is>
      </c>
    </row>
    <row r="335" ht="24" customHeight="1">
      <c r="A335" s="2">
        <f>+D335-S335</f>
        <v/>
      </c>
      <c r="B335" s="80" t="n"/>
      <c r="C335" s="70" t="n">
        <v>45436</v>
      </c>
      <c r="D335" s="2" t="n">
        <v>1</v>
      </c>
      <c r="E335" s="3" t="inlineStr">
        <is>
          <t>CARABINA</t>
        </is>
      </c>
      <c r="F335" s="3" t="inlineStr">
        <is>
          <t>7 MM REM</t>
        </is>
      </c>
      <c r="G335" s="3" t="inlineStr">
        <is>
          <t>CZ</t>
        </is>
      </c>
      <c r="H335" s="65" t="inlineStr">
        <is>
          <t>550 MEDIUM STANDARD</t>
        </is>
      </c>
      <c r="I335" s="65" t="inlineStr">
        <is>
          <t>F6719</t>
        </is>
      </c>
      <c r="J335" s="65" t="inlineStr">
        <is>
          <t>N/D</t>
        </is>
      </c>
      <c r="K335" s="65" t="inlineStr">
        <is>
          <t>N/D</t>
        </is>
      </c>
      <c r="L335" s="127" t="inlineStr">
        <is>
          <t>EREDI SAFARI SPORT - SEVERI GINO DI ARMILLI MARIA TERESA</t>
        </is>
      </c>
      <c r="M335" s="5" t="n">
        <v>286.89</v>
      </c>
      <c r="N335" s="5" t="n"/>
      <c r="O335" s="5">
        <f>+M335+N335</f>
        <v/>
      </c>
      <c r="P335" s="4" t="n"/>
      <c r="Q335" s="87" t="n"/>
      <c r="R335" s="5" t="n"/>
      <c r="S335" s="2" t="n"/>
      <c r="T335" s="3" t="n"/>
      <c r="U335" s="87" t="n"/>
      <c r="V335" s="3" t="n"/>
      <c r="W335" s="108" t="n"/>
      <c r="X335" s="4" t="n"/>
    </row>
    <row r="336" ht="24" customHeight="1">
      <c r="A336" s="2">
        <f>+D336-S336</f>
        <v/>
      </c>
      <c r="B336" s="80" t="n"/>
      <c r="C336" s="70" t="n">
        <v>45436</v>
      </c>
      <c r="D336" s="2" t="n">
        <v>1</v>
      </c>
      <c r="E336" s="3" t="inlineStr">
        <is>
          <t>CARABINA</t>
        </is>
      </c>
      <c r="F336" s="3" t="inlineStr">
        <is>
          <t>308 WIN</t>
        </is>
      </c>
      <c r="G336" s="3" t="inlineStr">
        <is>
          <t>CZ</t>
        </is>
      </c>
      <c r="H336" s="65" t="inlineStr">
        <is>
          <t>550 SCANDADINAVIA</t>
        </is>
      </c>
      <c r="I336" s="65" t="inlineStr">
        <is>
          <t>B7619</t>
        </is>
      </c>
      <c r="J336" s="65" t="inlineStr">
        <is>
          <t>N/D</t>
        </is>
      </c>
      <c r="K336" s="65" t="inlineStr">
        <is>
          <t>N/D</t>
        </is>
      </c>
      <c r="L336" s="127" t="inlineStr">
        <is>
          <t>EREDI SAFARI SPORT - SEVERI GINO DI ARMILLI MARIA TERESA</t>
        </is>
      </c>
      <c r="M336" s="5" t="n">
        <v>286.89</v>
      </c>
      <c r="N336" s="5" t="n"/>
      <c r="O336" s="5">
        <f>+M336+N336</f>
        <v/>
      </c>
      <c r="P336" s="4" t="n"/>
      <c r="Q336" s="87" t="n"/>
      <c r="R336" s="5" t="n"/>
      <c r="S336" s="2" t="n"/>
      <c r="T336" s="3" t="n"/>
      <c r="U336" s="87" t="n"/>
      <c r="V336" s="3" t="n"/>
      <c r="W336" s="108" t="n"/>
      <c r="X336" s="4" t="n"/>
    </row>
    <row r="337" ht="24" customHeight="1">
      <c r="A337" s="2">
        <f>+D337-S337</f>
        <v/>
      </c>
      <c r="B337" s="80" t="n"/>
      <c r="C337" s="70" t="n">
        <v>45436</v>
      </c>
      <c r="D337" s="2" t="n">
        <v>1</v>
      </c>
      <c r="E337" s="3" t="inlineStr">
        <is>
          <t>CARABINA</t>
        </is>
      </c>
      <c r="F337" s="3" t="inlineStr">
        <is>
          <t>22 LR</t>
        </is>
      </c>
      <c r="G337" s="3" t="inlineStr">
        <is>
          <t>ANSCHUTZ</t>
        </is>
      </c>
      <c r="H337" s="65" t="inlineStr">
        <is>
          <t>1416 ST</t>
        </is>
      </c>
      <c r="I337" s="65" t="n">
        <v>1247521</v>
      </c>
      <c r="J337" s="65" t="inlineStr">
        <is>
          <t>N/D</t>
        </is>
      </c>
      <c r="K337" s="65" t="inlineStr">
        <is>
          <t>N/D</t>
        </is>
      </c>
      <c r="L337" s="127" t="inlineStr">
        <is>
          <t>EREDI SAFARI SPORT - SEVERI GINO DI ARMILLI MARIA TERESA</t>
        </is>
      </c>
      <c r="M337" s="5" t="n">
        <v>163.93</v>
      </c>
      <c r="N337" s="5" t="n"/>
      <c r="O337" s="5">
        <f>+M337+N337</f>
        <v/>
      </c>
      <c r="P337" s="4" t="n"/>
      <c r="Q337" s="87" t="n"/>
      <c r="R337" s="5" t="n">
        <v>330</v>
      </c>
      <c r="S337" s="2" t="n">
        <v>1</v>
      </c>
      <c r="T337" s="3" t="inlineStr">
        <is>
          <t>CA04954OS</t>
        </is>
      </c>
      <c r="U337" s="87" t="n">
        <v>45874</v>
      </c>
      <c r="V337" s="3" t="inlineStr">
        <is>
          <t>26</t>
        </is>
      </c>
      <c r="W337" s="4" t="n">
        <v>45874</v>
      </c>
      <c r="X337" s="4" t="inlineStr">
        <is>
          <t>PHILIPPOS  CONSTANTINIDES
TRADING CO.LTD</t>
        </is>
      </c>
    </row>
    <row r="338" ht="24" customHeight="1">
      <c r="A338" s="2">
        <f>+D338-S338</f>
        <v/>
      </c>
      <c r="B338" s="80" t="n"/>
      <c r="C338" s="70" t="n">
        <v>45436</v>
      </c>
      <c r="D338" s="2" t="n">
        <v>1</v>
      </c>
      <c r="E338" s="3" t="inlineStr">
        <is>
          <t>CARABINA</t>
        </is>
      </c>
      <c r="F338" s="3" t="inlineStr">
        <is>
          <t>30-06</t>
        </is>
      </c>
      <c r="G338" s="3" t="inlineStr">
        <is>
          <t>REMINGTON</t>
        </is>
      </c>
      <c r="H338" s="65" t="inlineStr">
        <is>
          <t>700 BDL</t>
        </is>
      </c>
      <c r="I338" s="65" t="inlineStr">
        <is>
          <t>E6453166</t>
        </is>
      </c>
      <c r="J338" s="65" t="inlineStr">
        <is>
          <t>N/D</t>
        </is>
      </c>
      <c r="K338" s="65" t="inlineStr">
        <is>
          <t>N/D</t>
        </is>
      </c>
      <c r="L338" s="127" t="inlineStr">
        <is>
          <t>EREDI SAFARI SPORT - SEVERI GINO DI ARMILLI MARIA TERESA</t>
        </is>
      </c>
      <c r="M338" s="5" t="n">
        <v>327.87</v>
      </c>
      <c r="N338" s="5" t="n"/>
      <c r="O338" s="5">
        <f>+M338+N338</f>
        <v/>
      </c>
      <c r="P338" s="4" t="n"/>
      <c r="Q338" s="87" t="n"/>
      <c r="R338" s="5" t="n">
        <v>345</v>
      </c>
      <c r="S338" s="2" t="n">
        <v>1</v>
      </c>
      <c r="T338" s="3" t="inlineStr">
        <is>
          <t>CA04954OS</t>
        </is>
      </c>
      <c r="U338" s="87" t="n">
        <v>45874</v>
      </c>
      <c r="V338" s="3" t="inlineStr">
        <is>
          <t>26</t>
        </is>
      </c>
      <c r="W338" s="4" t="n">
        <v>45874</v>
      </c>
      <c r="X338" s="4" t="inlineStr">
        <is>
          <t>PHILIPPOS  CONSTANTINIDES
TRADING CO.LTD</t>
        </is>
      </c>
    </row>
    <row r="339" ht="24" customHeight="1">
      <c r="A339" s="2">
        <f>+D339-S339</f>
        <v/>
      </c>
      <c r="B339" s="80" t="n"/>
      <c r="C339" s="70" t="n">
        <v>45436</v>
      </c>
      <c r="D339" s="2" t="n">
        <v>1</v>
      </c>
      <c r="E339" s="3" t="inlineStr">
        <is>
          <t>CARABINA</t>
        </is>
      </c>
      <c r="F339" s="3" t="inlineStr">
        <is>
          <t>308 WIN</t>
        </is>
      </c>
      <c r="G339" s="3" t="inlineStr">
        <is>
          <t>CZ</t>
        </is>
      </c>
      <c r="H339" s="65" t="inlineStr">
        <is>
          <t>550 SCANDADINAVIA</t>
        </is>
      </c>
      <c r="I339" s="65" t="inlineStr">
        <is>
          <t>C3856</t>
        </is>
      </c>
      <c r="J339" s="65" t="inlineStr">
        <is>
          <t>N/D</t>
        </is>
      </c>
      <c r="K339" s="65" t="inlineStr">
        <is>
          <t>N/D</t>
        </is>
      </c>
      <c r="L339" s="127" t="inlineStr">
        <is>
          <t>EREDI SAFARI SPORT - SEVERI GINO DI ARMILLI MARIA TERESA</t>
        </is>
      </c>
      <c r="M339" s="5" t="n">
        <v>327.87</v>
      </c>
      <c r="N339" s="5" t="n"/>
      <c r="O339" s="5">
        <f>+M339+N339</f>
        <v/>
      </c>
      <c r="P339" s="4" t="n"/>
      <c r="Q339" s="87" t="n"/>
      <c r="R339" s="5" t="n"/>
      <c r="S339" s="2" t="n"/>
      <c r="T339" s="3" t="n"/>
      <c r="U339" s="87" t="n"/>
      <c r="V339" s="3" t="n"/>
      <c r="W339" s="108" t="n"/>
      <c r="X339" s="4" t="n"/>
    </row>
    <row r="340" ht="24" customHeight="1">
      <c r="A340" s="2">
        <f>+D340-S340</f>
        <v/>
      </c>
      <c r="B340" s="80" t="n"/>
      <c r="C340" s="70" t="n">
        <v>45436</v>
      </c>
      <c r="D340" s="2" t="n">
        <v>1</v>
      </c>
      <c r="E340" s="3" t="inlineStr">
        <is>
          <t>CARABINA</t>
        </is>
      </c>
      <c r="F340" s="3" t="inlineStr">
        <is>
          <t>223 WSSM</t>
        </is>
      </c>
      <c r="G340" s="3" t="inlineStr">
        <is>
          <t>BROWNING</t>
        </is>
      </c>
      <c r="H340" s="65" t="inlineStr">
        <is>
          <t>A BOLT</t>
        </is>
      </c>
      <c r="I340" s="65" t="inlineStr">
        <is>
          <t>61808MX351</t>
        </is>
      </c>
      <c r="J340" s="65" t="inlineStr">
        <is>
          <t>N/D</t>
        </is>
      </c>
      <c r="K340" s="65" t="inlineStr">
        <is>
          <t>N/D</t>
        </is>
      </c>
      <c r="L340" s="127" t="inlineStr">
        <is>
          <t>EREDI SAFARI SPORT - SEVERI GINO DI ARMILLI MARIA TERESA</t>
        </is>
      </c>
      <c r="M340" s="5" t="n">
        <v>327.87</v>
      </c>
      <c r="N340" s="5" t="n"/>
      <c r="O340" s="5">
        <f>+M340+N340</f>
        <v/>
      </c>
      <c r="P340" s="4" t="n"/>
      <c r="Q340" s="87" t="n"/>
      <c r="R340" s="5" t="n">
        <v>343</v>
      </c>
      <c r="S340" s="2" t="n">
        <v>1</v>
      </c>
      <c r="T340" s="3" t="inlineStr">
        <is>
          <t>CA04954OS</t>
        </is>
      </c>
      <c r="U340" s="87" t="n">
        <v>45874</v>
      </c>
      <c r="V340" s="3" t="inlineStr">
        <is>
          <t>26</t>
        </is>
      </c>
      <c r="W340" s="4" t="n">
        <v>45874</v>
      </c>
      <c r="X340" s="4" t="inlineStr">
        <is>
          <t>PHILIPPOS  CONSTANTINIDES
TRADING CO.LTD</t>
        </is>
      </c>
    </row>
    <row r="341" ht="24" customHeight="1">
      <c r="A341" s="2">
        <f>+D341-S341</f>
        <v/>
      </c>
      <c r="B341" s="80" t="n"/>
      <c r="C341" s="70" t="n">
        <v>45436</v>
      </c>
      <c r="D341" s="2" t="n">
        <v>1</v>
      </c>
      <c r="E341" s="3" t="inlineStr">
        <is>
          <t>CARABINA</t>
        </is>
      </c>
      <c r="F341" s="3" t="inlineStr">
        <is>
          <t>308 WIN</t>
        </is>
      </c>
      <c r="G341" s="3" t="inlineStr">
        <is>
          <t>BENELLI</t>
        </is>
      </c>
      <c r="H341" s="65" t="inlineStr">
        <is>
          <t>ARGO</t>
        </is>
      </c>
      <c r="I341" s="65" t="inlineStr">
        <is>
          <t>BB102854K</t>
        </is>
      </c>
      <c r="J341" s="65" t="inlineStr">
        <is>
          <t>N/D</t>
        </is>
      </c>
      <c r="K341" s="65" t="inlineStr">
        <is>
          <t>N/D</t>
        </is>
      </c>
      <c r="L341" s="127" t="inlineStr">
        <is>
          <t>EREDI SAFARI SPORT - SEVERI GINO DI ARMILLI MARIA TERESA</t>
        </is>
      </c>
      <c r="M341" s="5" t="n">
        <v>532.79</v>
      </c>
      <c r="N341" s="5" t="n"/>
      <c r="O341" s="5">
        <f>+M341+N341</f>
        <v/>
      </c>
      <c r="P341" s="4" t="n"/>
      <c r="Q341" s="87" t="n"/>
      <c r="R341" s="5" t="n">
        <v>612</v>
      </c>
      <c r="S341" s="2" t="n">
        <v>1</v>
      </c>
      <c r="T341" s="3" t="inlineStr">
        <is>
          <t>CA04954OS</t>
        </is>
      </c>
      <c r="U341" s="87" t="n">
        <v>45874</v>
      </c>
      <c r="V341" s="3" t="inlineStr">
        <is>
          <t>26</t>
        </is>
      </c>
      <c r="W341" s="4" t="n">
        <v>45874</v>
      </c>
      <c r="X341" s="4" t="inlineStr">
        <is>
          <t>PHILIPPOS  CONSTANTINIDES
TRADING CO.LTD</t>
        </is>
      </c>
    </row>
    <row r="342" ht="24" customHeight="1">
      <c r="A342" s="2">
        <f>+D342-S342</f>
        <v/>
      </c>
      <c r="B342" s="80" t="n"/>
      <c r="C342" s="70" t="n">
        <v>45436</v>
      </c>
      <c r="D342" s="2" t="n">
        <v>1</v>
      </c>
      <c r="E342" s="3" t="inlineStr">
        <is>
          <t>CARABINA</t>
        </is>
      </c>
      <c r="F342" s="3" t="inlineStr">
        <is>
          <t>30-06</t>
        </is>
      </c>
      <c r="G342" s="3" t="inlineStr">
        <is>
          <t>BROWNING</t>
        </is>
      </c>
      <c r="H342" s="65" t="inlineStr">
        <is>
          <t>BAR</t>
        </is>
      </c>
      <c r="I342" s="65" t="inlineStr">
        <is>
          <t>311ZV03775</t>
        </is>
      </c>
      <c r="J342" s="65" t="inlineStr">
        <is>
          <t>N/D</t>
        </is>
      </c>
      <c r="K342" s="65" t="inlineStr">
        <is>
          <t>N/D</t>
        </is>
      </c>
      <c r="L342" s="127" t="inlineStr">
        <is>
          <t>EREDI SAFARI SPORT - SEVERI GINO DI ARMILLI MARIA TERESA</t>
        </is>
      </c>
      <c r="M342" s="5" t="n">
        <v>409.84</v>
      </c>
      <c r="N342" s="5" t="n"/>
      <c r="O342" s="5">
        <f>+M342+N342</f>
        <v/>
      </c>
      <c r="P342" s="4" t="n"/>
      <c r="Q342" s="87" t="n"/>
      <c r="R342" s="5" t="n">
        <v>430</v>
      </c>
      <c r="S342" s="2" t="n">
        <v>1</v>
      </c>
      <c r="T342" s="3" t="inlineStr">
        <is>
          <t>CA04954OS</t>
        </is>
      </c>
      <c r="U342" s="87" t="n">
        <v>45874</v>
      </c>
      <c r="V342" s="3" t="inlineStr">
        <is>
          <t>26</t>
        </is>
      </c>
      <c r="W342" s="4" t="n">
        <v>45874</v>
      </c>
      <c r="X342" s="4" t="inlineStr">
        <is>
          <t>PHILIPPOS  CONSTANTINIDES
TRADING CO.LTD</t>
        </is>
      </c>
    </row>
    <row r="343" ht="24" customHeight="1">
      <c r="A343" s="2">
        <f>+D343-S343</f>
        <v/>
      </c>
      <c r="B343" s="80" t="n"/>
      <c r="C343" s="70" t="n">
        <v>45436</v>
      </c>
      <c r="D343" s="2" t="n">
        <v>1</v>
      </c>
      <c r="E343" s="3" t="inlineStr">
        <is>
          <t>FUCILE A POMPA</t>
        </is>
      </c>
      <c r="F343" s="3" t="n">
        <v>12</v>
      </c>
      <c r="G343" s="3" t="inlineStr">
        <is>
          <t>REMINGTON</t>
        </is>
      </c>
      <c r="H343" s="65" t="n"/>
      <c r="I343" s="65" t="inlineStr">
        <is>
          <t>V549430V</t>
        </is>
      </c>
      <c r="J343" s="65" t="inlineStr">
        <is>
          <t>11065</t>
        </is>
      </c>
      <c r="K343" s="65" t="inlineStr">
        <is>
          <t>N/D</t>
        </is>
      </c>
      <c r="L343" s="127" t="inlineStr">
        <is>
          <t>EREDI SAFARI SPORT - SEVERI GINO DI ARMILLI MARIA TERESA</t>
        </is>
      </c>
      <c r="M343" s="5" t="n">
        <v>81.97</v>
      </c>
      <c r="N343" s="5" t="n"/>
      <c r="O343" s="5">
        <f>+M343+N343</f>
        <v/>
      </c>
      <c r="P343" s="4" t="n"/>
      <c r="Q343" s="87" t="n"/>
      <c r="R343" s="5" t="n">
        <v>95</v>
      </c>
      <c r="S343" s="2" t="n">
        <v>1</v>
      </c>
      <c r="T343" s="3" t="inlineStr">
        <is>
          <t>CA42796IR</t>
        </is>
      </c>
      <c r="U343" s="87" t="n">
        <v>45821</v>
      </c>
      <c r="V343" s="3" t="inlineStr">
        <is>
          <t>11</t>
        </is>
      </c>
      <c r="W343" s="108" t="n">
        <v>45821</v>
      </c>
      <c r="X343" s="4" t="inlineStr">
        <is>
          <t>PHILIPPOS COSTANTINIDES TRADING CO. LTD</t>
        </is>
      </c>
    </row>
    <row r="344" ht="24" customHeight="1">
      <c r="A344" s="2">
        <f>+D344-S344</f>
        <v/>
      </c>
      <c r="B344" s="80" t="n"/>
      <c r="C344" s="70" t="n">
        <v>45436</v>
      </c>
      <c r="D344" s="2" t="n">
        <v>1</v>
      </c>
      <c r="E344" s="3" t="inlineStr">
        <is>
          <t>PISTOLA SEMIAUTOMATICA</t>
        </is>
      </c>
      <c r="F344" s="3" t="n">
        <v>7.65</v>
      </c>
      <c r="G344" s="3" t="inlineStr">
        <is>
          <t>BERETTA</t>
        </is>
      </c>
      <c r="H344" s="65" t="n"/>
      <c r="I344" s="65" t="n">
        <v>623934</v>
      </c>
      <c r="J344" s="65" t="inlineStr">
        <is>
          <t>N/D</t>
        </is>
      </c>
      <c r="K344" s="65" t="inlineStr">
        <is>
          <t>N/D</t>
        </is>
      </c>
      <c r="L344" s="127" t="inlineStr">
        <is>
          <t>EREDI SAFARI SPORT - SEVERI GINO DI ARMILLI MARIA TERESA</t>
        </is>
      </c>
      <c r="M344" s="5" t="n">
        <v>16.39</v>
      </c>
      <c r="N344" s="5" t="n"/>
      <c r="O344" s="5">
        <f>+M344+N344</f>
        <v/>
      </c>
      <c r="P344" s="4" t="n"/>
      <c r="Q344" s="87" t="n"/>
      <c r="R344" s="5" t="n"/>
      <c r="S344" s="2" t="n"/>
      <c r="T344" s="3" t="n"/>
      <c r="U344" s="87" t="n"/>
      <c r="V344" s="3" t="n"/>
      <c r="W344" s="108" t="n"/>
      <c r="X344" s="4" t="n"/>
    </row>
    <row r="345" ht="24" customHeight="1">
      <c r="A345" s="2">
        <f>+D345-S345</f>
        <v/>
      </c>
      <c r="B345" s="80" t="n"/>
      <c r="C345" s="70" t="n">
        <v>45436</v>
      </c>
      <c r="D345" s="2" t="n">
        <v>1</v>
      </c>
      <c r="E345" s="3" t="inlineStr">
        <is>
          <t>PISTOLA SEMIAUTOMATICA</t>
        </is>
      </c>
      <c r="F345" s="3" t="n">
        <v>7.65</v>
      </c>
      <c r="G345" s="3" t="inlineStr">
        <is>
          <t>BROWNING</t>
        </is>
      </c>
      <c r="H345" s="65" t="n"/>
      <c r="I345" s="65" t="n">
        <v>51655</v>
      </c>
      <c r="J345" s="65" t="inlineStr">
        <is>
          <t>N/D</t>
        </is>
      </c>
      <c r="K345" s="65" t="inlineStr">
        <is>
          <t>N/D</t>
        </is>
      </c>
      <c r="L345" s="127" t="inlineStr">
        <is>
          <t>EREDI SAFARI SPORT - SEVERI GINO DI ARMILLI MARIA TERESA</t>
        </is>
      </c>
      <c r="M345" s="5" t="n">
        <v>16.39</v>
      </c>
      <c r="N345" s="5" t="n"/>
      <c r="O345" s="5">
        <f>+M345+N345</f>
        <v/>
      </c>
      <c r="P345" s="4" t="n"/>
      <c r="Q345" s="87" t="n"/>
      <c r="R345" s="5" t="n"/>
      <c r="S345" s="2" t="n"/>
      <c r="T345" s="3" t="n"/>
      <c r="U345" s="87" t="n"/>
      <c r="V345" s="3" t="n"/>
      <c r="W345" s="108" t="n"/>
      <c r="X345" s="4" t="n"/>
    </row>
    <row r="346" ht="24" customHeight="1">
      <c r="A346" s="2">
        <f>+D346-S346</f>
        <v/>
      </c>
      <c r="B346" s="80" t="n"/>
      <c r="C346" s="70" t="n">
        <v>45436</v>
      </c>
      <c r="D346" s="2" t="n">
        <v>1</v>
      </c>
      <c r="E346" s="3" t="inlineStr">
        <is>
          <t>PISTOLA SEMIAUTOMATICA</t>
        </is>
      </c>
      <c r="F346" s="3" t="n">
        <v>7.65</v>
      </c>
      <c r="G346" s="3" t="inlineStr">
        <is>
          <t>BERETTA</t>
        </is>
      </c>
      <c r="H346" s="65" t="n">
        <v>34</v>
      </c>
      <c r="I346" s="65" t="n">
        <v>779718</v>
      </c>
      <c r="J346" s="65" t="inlineStr">
        <is>
          <t>N/D</t>
        </is>
      </c>
      <c r="K346" s="65" t="inlineStr">
        <is>
          <t>N/D</t>
        </is>
      </c>
      <c r="L346" s="127" t="inlineStr">
        <is>
          <t>EREDI SAFARI SPORT - SEVERI GINO DI ARMILLI MARIA TERESA</t>
        </is>
      </c>
      <c r="M346" s="5" t="n">
        <v>16.39</v>
      </c>
      <c r="N346" s="5" t="n"/>
      <c r="O346" s="5">
        <f>+M346+N346</f>
        <v/>
      </c>
      <c r="P346" s="4" t="n"/>
      <c r="Q346" s="87" t="n"/>
      <c r="R346" s="5" t="n"/>
      <c r="S346" s="2" t="n"/>
      <c r="T346" s="3" t="n"/>
      <c r="U346" s="87" t="n"/>
      <c r="V346" s="3" t="n"/>
      <c r="W346" s="108" t="n"/>
      <c r="X346" s="4" t="n"/>
    </row>
    <row r="347" ht="24" customHeight="1">
      <c r="A347" s="2">
        <f>+D347-S347</f>
        <v/>
      </c>
      <c r="B347" s="80" t="n"/>
      <c r="C347" s="70" t="n">
        <v>45436</v>
      </c>
      <c r="D347" s="2" t="n">
        <v>1</v>
      </c>
      <c r="E347" s="3" t="inlineStr">
        <is>
          <t>PISTOLA SEMIAUTOMATICA</t>
        </is>
      </c>
      <c r="F347" s="3" t="n">
        <v>7.65</v>
      </c>
      <c r="G347" s="3" t="inlineStr">
        <is>
          <t>BERETTA</t>
        </is>
      </c>
      <c r="H347" s="65" t="n"/>
      <c r="I347" s="65" t="n">
        <v>208767</v>
      </c>
      <c r="J347" s="65" t="inlineStr">
        <is>
          <t>N/D</t>
        </is>
      </c>
      <c r="K347" s="65" t="inlineStr">
        <is>
          <t>N/D</t>
        </is>
      </c>
      <c r="L347" s="127" t="inlineStr">
        <is>
          <t>EREDI SAFARI SPORT - SEVERI GINO DI ARMILLI MARIA TERESA</t>
        </is>
      </c>
      <c r="M347" s="5" t="n">
        <v>16.39</v>
      </c>
      <c r="N347" s="5" t="n"/>
      <c r="O347" s="5">
        <f>+M347+N347</f>
        <v/>
      </c>
      <c r="P347" s="4" t="n"/>
      <c r="Q347" s="87" t="n"/>
      <c r="R347" s="5" t="n"/>
      <c r="S347" s="2" t="n"/>
      <c r="T347" s="3" t="n"/>
      <c r="U347" s="87" t="n"/>
      <c r="V347" s="3" t="n"/>
      <c r="W347" s="108" t="n"/>
      <c r="X347" s="4" t="n"/>
    </row>
    <row r="348" ht="24" customHeight="1">
      <c r="A348" s="2">
        <f>+D348-S348</f>
        <v/>
      </c>
      <c r="B348" s="80" t="n"/>
      <c r="C348" s="70" t="n">
        <v>45436</v>
      </c>
      <c r="D348" s="2" t="n">
        <v>1</v>
      </c>
      <c r="E348" s="3" t="inlineStr">
        <is>
          <t>PISTOLA SEMIAUTOMATICA</t>
        </is>
      </c>
      <c r="F348" s="3" t="n">
        <v>7.65</v>
      </c>
      <c r="G348" s="3" t="inlineStr">
        <is>
          <t>ALKARTAS</t>
        </is>
      </c>
      <c r="H348" s="65" t="n"/>
      <c r="I348" s="65" t="n">
        <v>26797</v>
      </c>
      <c r="J348" s="65" t="inlineStr">
        <is>
          <t>N/D</t>
        </is>
      </c>
      <c r="K348" s="65" t="inlineStr">
        <is>
          <t>N/D</t>
        </is>
      </c>
      <c r="L348" s="127" t="inlineStr">
        <is>
          <t>EREDI SAFARI SPORT - SEVERI GINO DI ARMILLI MARIA TERESA</t>
        </is>
      </c>
      <c r="M348" s="5" t="n">
        <v>16.39</v>
      </c>
      <c r="N348" s="5" t="n"/>
      <c r="O348" s="5">
        <f>+M348+N348</f>
        <v/>
      </c>
      <c r="P348" s="4" t="n"/>
      <c r="Q348" s="87" t="n"/>
      <c r="R348" s="5" t="n"/>
      <c r="S348" s="2" t="n"/>
      <c r="T348" s="3" t="n"/>
      <c r="U348" s="87" t="n"/>
      <c r="V348" s="3" t="n"/>
      <c r="W348" s="108" t="n"/>
      <c r="X348" s="4" t="n"/>
    </row>
    <row r="349" ht="24" customHeight="1">
      <c r="A349" s="2">
        <f>+D349-S349</f>
        <v/>
      </c>
      <c r="B349" s="80" t="n"/>
      <c r="C349" s="70" t="n">
        <v>45436</v>
      </c>
      <c r="D349" s="2" t="n">
        <v>1</v>
      </c>
      <c r="E349" s="3" t="inlineStr">
        <is>
          <t>PISTOLA SEMIAUTOMATICA</t>
        </is>
      </c>
      <c r="F349" s="3" t="n">
        <v>7.65</v>
      </c>
      <c r="G349" s="3" t="inlineStr">
        <is>
          <t>BERETTA</t>
        </is>
      </c>
      <c r="H349" s="65" t="n">
        <v>35</v>
      </c>
      <c r="I349" s="65" t="inlineStr">
        <is>
          <t>D18559</t>
        </is>
      </c>
      <c r="J349" s="65" t="inlineStr">
        <is>
          <t>N/D</t>
        </is>
      </c>
      <c r="K349" s="65" t="inlineStr">
        <is>
          <t>N/D</t>
        </is>
      </c>
      <c r="L349" s="127" t="inlineStr">
        <is>
          <t>EREDI SAFARI SPORT - SEVERI GINO DI ARMILLI MARIA TERESA</t>
        </is>
      </c>
      <c r="M349" s="5" t="n">
        <v>16.39</v>
      </c>
      <c r="N349" s="5" t="n"/>
      <c r="O349" s="5">
        <f>+M349+N349</f>
        <v/>
      </c>
      <c r="P349" s="4" t="n"/>
      <c r="Q349" s="87" t="n"/>
      <c r="R349" s="5" t="n"/>
      <c r="S349" s="2" t="n"/>
      <c r="T349" s="3" t="n"/>
      <c r="U349" s="87" t="n"/>
      <c r="V349" s="3" t="n"/>
      <c r="W349" s="108" t="n"/>
      <c r="X349" s="4" t="n"/>
    </row>
    <row r="350" ht="24" customHeight="1">
      <c r="A350" s="2">
        <f>+D350-S350</f>
        <v/>
      </c>
      <c r="B350" s="80" t="n"/>
      <c r="C350" s="70" t="n">
        <v>45436</v>
      </c>
      <c r="D350" s="2" t="n">
        <v>1</v>
      </c>
      <c r="E350" s="3" t="inlineStr">
        <is>
          <t>PISTOLA SEMIAUTOMATICA</t>
        </is>
      </c>
      <c r="F350" s="3" t="n">
        <v>7.65</v>
      </c>
      <c r="G350" s="3" t="inlineStr">
        <is>
          <t>ASTRA</t>
        </is>
      </c>
      <c r="H350" s="65" t="n">
        <v>3000</v>
      </c>
      <c r="I350" s="65" t="n">
        <v>664890</v>
      </c>
      <c r="J350" s="65" t="inlineStr">
        <is>
          <t>N/D</t>
        </is>
      </c>
      <c r="K350" s="65" t="inlineStr">
        <is>
          <t>N/D</t>
        </is>
      </c>
      <c r="L350" s="127" t="inlineStr">
        <is>
          <t>EREDI SAFARI SPORT - SEVERI GINO DI ARMILLI MARIA TERESA</t>
        </is>
      </c>
      <c r="M350" s="5" t="n">
        <v>16.39</v>
      </c>
      <c r="N350" s="5" t="n"/>
      <c r="O350" s="5">
        <f>+M350+N350</f>
        <v/>
      </c>
      <c r="P350" s="4" t="n"/>
      <c r="Q350" s="87" t="n"/>
      <c r="R350" s="5" t="n"/>
      <c r="S350" s="2" t="n"/>
      <c r="T350" s="3" t="n"/>
      <c r="U350" s="87" t="n"/>
      <c r="V350" s="3" t="n"/>
      <c r="W350" s="108" t="n"/>
      <c r="X350" s="4" t="n"/>
    </row>
    <row r="351" ht="24" customHeight="1">
      <c r="A351" s="2">
        <f>+D351-S351</f>
        <v/>
      </c>
      <c r="B351" s="80" t="n"/>
      <c r="C351" s="70" t="n">
        <v>45436</v>
      </c>
      <c r="D351" s="2" t="n">
        <v>1</v>
      </c>
      <c r="E351" s="3" t="inlineStr">
        <is>
          <t>REVOLVER</t>
        </is>
      </c>
      <c r="F351" s="3" t="inlineStr">
        <is>
          <t>22 LR</t>
        </is>
      </c>
      <c r="G351" s="3" t="inlineStr">
        <is>
          <t>BERETTA</t>
        </is>
      </c>
      <c r="H351" s="65" t="n"/>
      <c r="I351" s="65" t="n">
        <v>62997</v>
      </c>
      <c r="J351" s="65" t="inlineStr">
        <is>
          <t>N/D</t>
        </is>
      </c>
      <c r="K351" s="65" t="inlineStr">
        <is>
          <t>N/D</t>
        </is>
      </c>
      <c r="L351" s="127" t="inlineStr">
        <is>
          <t>EREDI SAFARI SPORT - SEVERI GINO DI ARMILLI MARIA TERESA</t>
        </is>
      </c>
      <c r="M351" s="5" t="n">
        <v>16.39</v>
      </c>
      <c r="N351" s="5" t="n"/>
      <c r="O351" s="5">
        <f>+M351+N351</f>
        <v/>
      </c>
      <c r="P351" s="4" t="n"/>
      <c r="Q351" s="87" t="n"/>
      <c r="R351" s="5" t="n">
        <v>280</v>
      </c>
      <c r="S351" s="2" t="n">
        <v>1</v>
      </c>
      <c r="T351" s="3" t="inlineStr">
        <is>
          <t>CA04954OS</t>
        </is>
      </c>
      <c r="U351" s="87" t="n">
        <v>45874</v>
      </c>
      <c r="V351" s="3" t="inlineStr">
        <is>
          <t>25</t>
        </is>
      </c>
      <c r="W351" s="4" t="n">
        <v>45874</v>
      </c>
      <c r="X351" s="4" t="inlineStr">
        <is>
          <t>PHILIPPOS  CONSTANTINIDES
TRADING CO.LTD</t>
        </is>
      </c>
    </row>
    <row r="352" ht="24" customHeight="1">
      <c r="A352" s="2">
        <f>+D352-S352</f>
        <v/>
      </c>
      <c r="B352" s="80" t="n"/>
      <c r="C352" s="70" t="n">
        <v>45436</v>
      </c>
      <c r="D352" s="2" t="n">
        <v>1</v>
      </c>
      <c r="E352" s="3" t="inlineStr">
        <is>
          <t>PISTOLA SEMIAUTOMATICA</t>
        </is>
      </c>
      <c r="F352" s="3" t="n">
        <v>7.65</v>
      </c>
      <c r="G352" s="3" t="inlineStr">
        <is>
          <t>BROWNING</t>
        </is>
      </c>
      <c r="H352" s="65" t="n"/>
      <c r="I352" s="65" t="inlineStr">
        <is>
          <t>90844</t>
        </is>
      </c>
      <c r="J352" s="65" t="inlineStr">
        <is>
          <t>N/D</t>
        </is>
      </c>
      <c r="K352" s="65" t="inlineStr">
        <is>
          <t>N/D</t>
        </is>
      </c>
      <c r="L352" s="127" t="inlineStr">
        <is>
          <t>EREDI SAFARI SPORT - SEVERI GINO DI ARMILLI MARIA TERESA</t>
        </is>
      </c>
      <c r="M352" s="5" t="n">
        <v>16.39</v>
      </c>
      <c r="N352" s="5" t="n"/>
      <c r="O352" s="5">
        <f>+M352+N352</f>
        <v/>
      </c>
      <c r="P352" s="4" t="n"/>
      <c r="Q352" s="87" t="n"/>
      <c r="R352" s="5" t="n"/>
      <c r="S352" s="2" t="n"/>
      <c r="T352" s="3" t="n"/>
      <c r="U352" s="87" t="n"/>
      <c r="V352" s="3" t="n"/>
      <c r="W352" s="108" t="n"/>
      <c r="X352" s="4" t="n"/>
    </row>
    <row r="353" ht="24" customHeight="1">
      <c r="A353" s="2">
        <f>+D353-S353</f>
        <v/>
      </c>
      <c r="B353" s="80" t="n"/>
      <c r="C353" s="70" t="n">
        <v>45436</v>
      </c>
      <c r="D353" s="2" t="n">
        <v>1</v>
      </c>
      <c r="E353" s="3" t="inlineStr">
        <is>
          <t>PISTOLA SEMIAUTOMATICA</t>
        </is>
      </c>
      <c r="F353" s="3" t="inlineStr">
        <is>
          <t>380 ACP</t>
        </is>
      </c>
      <c r="G353" s="3" t="inlineStr">
        <is>
          <t>CZ</t>
        </is>
      </c>
      <c r="H353" s="65" t="inlineStr">
        <is>
          <t>38 II</t>
        </is>
      </c>
      <c r="I353" s="65" t="n">
        <v>284049</v>
      </c>
      <c r="J353" s="65" t="inlineStr">
        <is>
          <t>N/D</t>
        </is>
      </c>
      <c r="K353" s="65" t="inlineStr">
        <is>
          <t>N/D</t>
        </is>
      </c>
      <c r="L353" s="127" t="inlineStr">
        <is>
          <t>EREDI SAFARI SPORT - SEVERI GINO DI ARMILLI MARIA TERESA</t>
        </is>
      </c>
      <c r="M353" s="5" t="n">
        <v>16.39</v>
      </c>
      <c r="N353" s="5" t="n"/>
      <c r="O353" s="5">
        <f>+M353+N353</f>
        <v/>
      </c>
      <c r="P353" s="4" t="n"/>
      <c r="Q353" s="87" t="n"/>
      <c r="R353" s="5" t="n"/>
      <c r="S353" s="2" t="n"/>
      <c r="T353" s="3" t="n"/>
      <c r="U353" s="87" t="n"/>
      <c r="V353" s="3" t="n"/>
      <c r="W353" s="108" t="n"/>
      <c r="X353" s="4" t="n"/>
    </row>
    <row r="354" ht="24" customHeight="1">
      <c r="A354" s="2">
        <f>+D354-S354</f>
        <v/>
      </c>
      <c r="B354" s="80" t="n"/>
      <c r="C354" s="70" t="n">
        <v>45436</v>
      </c>
      <c r="D354" s="2" t="n">
        <v>1</v>
      </c>
      <c r="E354" s="3" t="inlineStr">
        <is>
          <t>PISTOLA SEMIAUTOMATICA</t>
        </is>
      </c>
      <c r="F354" s="3" t="n">
        <v>7.65</v>
      </c>
      <c r="G354" s="3" t="inlineStr">
        <is>
          <t>BROWNING</t>
        </is>
      </c>
      <c r="H354" s="65" t="inlineStr">
        <is>
          <t>MK I</t>
        </is>
      </c>
      <c r="I354" s="65" t="inlineStr">
        <is>
          <t>3T3220</t>
        </is>
      </c>
      <c r="J354" s="65" t="inlineStr">
        <is>
          <t>N/D</t>
        </is>
      </c>
      <c r="K354" s="65" t="inlineStr">
        <is>
          <t>N/D</t>
        </is>
      </c>
      <c r="L354" s="127" t="inlineStr">
        <is>
          <t>EREDI SAFARI SPORT - SEVERI GINO DI ARMILLI MARIA TERESA</t>
        </is>
      </c>
      <c r="M354" s="5" t="n">
        <v>16.39</v>
      </c>
      <c r="N354" s="5" t="n"/>
      <c r="O354" s="5">
        <f>+M354+N354</f>
        <v/>
      </c>
      <c r="P354" s="4" t="n"/>
      <c r="Q354" s="87" t="n"/>
      <c r="R354" s="5" t="n"/>
      <c r="S354" s="2" t="n"/>
      <c r="T354" s="3" t="n"/>
      <c r="U354" s="87" t="n"/>
      <c r="V354" s="3" t="n"/>
      <c r="W354" s="108" t="n"/>
      <c r="X354" s="4" t="n"/>
    </row>
    <row r="355" ht="24" customHeight="1">
      <c r="A355" s="2">
        <f>+D355-S355</f>
        <v/>
      </c>
      <c r="B355" s="80" t="n"/>
      <c r="C355" s="70" t="n">
        <v>45436</v>
      </c>
      <c r="D355" s="2" t="n">
        <v>1</v>
      </c>
      <c r="E355" s="3" t="inlineStr">
        <is>
          <t>PISTOLA SEMIAUTOMATICA</t>
        </is>
      </c>
      <c r="F355" s="3" t="inlineStr">
        <is>
          <t>9 BROW LONG</t>
        </is>
      </c>
      <c r="G355" s="3" t="inlineStr">
        <is>
          <t>HSUQVARNA</t>
        </is>
      </c>
      <c r="H355" s="65" t="n">
        <v>1907</v>
      </c>
      <c r="I355" s="65" t="n">
        <v>40472</v>
      </c>
      <c r="J355" s="65" t="inlineStr">
        <is>
          <t>N/D</t>
        </is>
      </c>
      <c r="K355" s="65" t="inlineStr">
        <is>
          <t>N/D</t>
        </is>
      </c>
      <c r="L355" s="127" t="inlineStr">
        <is>
          <t>EREDI SAFARI SPORT - SEVERI GINO DI ARMILLI MARIA TERESA</t>
        </is>
      </c>
      <c r="M355" s="5" t="n">
        <v>16.39</v>
      </c>
      <c r="N355" s="5" t="n"/>
      <c r="O355" s="5">
        <f>+M355+N355</f>
        <v/>
      </c>
      <c r="P355" s="4" t="n"/>
      <c r="Q355" s="87" t="n"/>
      <c r="R355" s="5" t="n"/>
      <c r="S355" s="2" t="n"/>
      <c r="T355" s="3" t="n"/>
      <c r="U355" s="87" t="n"/>
      <c r="V355" s="3" t="n"/>
      <c r="W355" s="108" t="n"/>
      <c r="X355" s="4" t="n"/>
    </row>
    <row r="356" ht="24" customHeight="1">
      <c r="A356" s="2">
        <f>+D356-S356</f>
        <v/>
      </c>
      <c r="B356" s="80" t="n"/>
      <c r="C356" s="70" t="n">
        <v>45436</v>
      </c>
      <c r="D356" s="2" t="n">
        <v>1</v>
      </c>
      <c r="E356" s="3" t="inlineStr">
        <is>
          <t>PISTOLA SEMIAUTOMATICA</t>
        </is>
      </c>
      <c r="F356" s="3" t="n">
        <v>7.65</v>
      </c>
      <c r="G356" s="3" t="inlineStr">
        <is>
          <t>BERETTA</t>
        </is>
      </c>
      <c r="H356" s="65" t="n">
        <v>90</v>
      </c>
      <c r="I356" s="65" t="n">
        <v>25958</v>
      </c>
      <c r="J356" s="65" t="inlineStr">
        <is>
          <t>N/D</t>
        </is>
      </c>
      <c r="K356" s="65" t="inlineStr">
        <is>
          <t>N/D</t>
        </is>
      </c>
      <c r="L356" s="127" t="inlineStr">
        <is>
          <t>EREDI SAFARI SPORT - SEVERI GINO DI ARMILLI MARIA TERESA</t>
        </is>
      </c>
      <c r="M356" s="5" t="n">
        <v>16.39</v>
      </c>
      <c r="N356" s="5" t="n"/>
      <c r="O356" s="5">
        <f>+M356+N356</f>
        <v/>
      </c>
      <c r="P356" s="4" t="n"/>
      <c r="Q356" s="87" t="n"/>
      <c r="R356" s="5" t="n"/>
      <c r="S356" s="2" t="n"/>
      <c r="T356" s="3" t="n"/>
      <c r="U356" s="87" t="n"/>
      <c r="V356" s="3" t="n"/>
      <c r="W356" s="108" t="n"/>
      <c r="X356" s="4" t="n"/>
    </row>
    <row r="357" ht="24" customHeight="1">
      <c r="A357" s="2">
        <f>+D357-S357</f>
        <v/>
      </c>
      <c r="B357" s="80" t="n"/>
      <c r="C357" s="70" t="n">
        <v>45436</v>
      </c>
      <c r="D357" s="2" t="n">
        <v>1</v>
      </c>
      <c r="E357" s="3" t="inlineStr">
        <is>
          <t>PISTOLA SEMIAUTOMATICA</t>
        </is>
      </c>
      <c r="F357" s="3" t="n">
        <v>7.65</v>
      </c>
      <c r="G357" s="3" t="inlineStr">
        <is>
          <t>BERETTA</t>
        </is>
      </c>
      <c r="H357" s="65" t="inlineStr">
        <is>
          <t>90 ROMA</t>
        </is>
      </c>
      <c r="I357" s="65" t="n">
        <v>16134</v>
      </c>
      <c r="J357" s="65" t="inlineStr">
        <is>
          <t>N/D</t>
        </is>
      </c>
      <c r="K357" s="65" t="inlineStr">
        <is>
          <t>N/D</t>
        </is>
      </c>
      <c r="L357" s="127" t="inlineStr">
        <is>
          <t>EREDI SAFARI SPORT - SEVERI GINO DI ARMILLI MARIA TERESA</t>
        </is>
      </c>
      <c r="M357" s="5" t="n">
        <v>16.39</v>
      </c>
      <c r="N357" s="5" t="n"/>
      <c r="O357" s="5">
        <f>+M357+N357</f>
        <v/>
      </c>
      <c r="P357" s="4" t="n"/>
      <c r="Q357" s="87" t="n"/>
      <c r="R357" s="5" t="n"/>
      <c r="S357" s="2" t="n"/>
      <c r="T357" s="3" t="n"/>
      <c r="U357" s="87" t="n"/>
      <c r="V357" s="3" t="n"/>
      <c r="W357" s="108" t="n"/>
      <c r="X357" s="4" t="n"/>
    </row>
    <row r="358" ht="24" customHeight="1">
      <c r="A358" s="2">
        <f>+D358-S358</f>
        <v/>
      </c>
      <c r="B358" s="80" t="n"/>
      <c r="C358" s="70" t="n">
        <v>45436</v>
      </c>
      <c r="D358" s="2" t="n">
        <v>1</v>
      </c>
      <c r="E358" s="3" t="inlineStr">
        <is>
          <t>PISTOLA SEMIAUTOMATICA</t>
        </is>
      </c>
      <c r="F358" s="3" t="n">
        <v>7.65</v>
      </c>
      <c r="G358" s="3" t="inlineStr">
        <is>
          <t>BROWNING</t>
        </is>
      </c>
      <c r="H358" s="65" t="n"/>
      <c r="I358" s="65" t="n">
        <v>131597</v>
      </c>
      <c r="J358" s="65" t="inlineStr">
        <is>
          <t>N/D</t>
        </is>
      </c>
      <c r="K358" s="65" t="inlineStr">
        <is>
          <t>N/D</t>
        </is>
      </c>
      <c r="L358" s="127" t="inlineStr">
        <is>
          <t>EREDI SAFARI SPORT - SEVERI GINO DI ARMILLI MARIA TERESA</t>
        </is>
      </c>
      <c r="M358" s="5" t="n">
        <v>16.39</v>
      </c>
      <c r="N358" s="5" t="n"/>
      <c r="O358" s="5">
        <f>+M358+N358</f>
        <v/>
      </c>
      <c r="P358" s="4" t="n"/>
      <c r="Q358" s="87" t="n"/>
      <c r="R358" s="5" t="n"/>
      <c r="S358" s="2" t="n"/>
      <c r="T358" s="3" t="n"/>
      <c r="U358" s="87" t="n"/>
      <c r="V358" s="3" t="n"/>
      <c r="W358" s="108" t="n"/>
      <c r="X358" s="4" t="n"/>
    </row>
    <row r="359" ht="24" customHeight="1">
      <c r="A359" s="2">
        <f>+D359-S359</f>
        <v/>
      </c>
      <c r="B359" s="80" t="n"/>
      <c r="C359" s="70" t="n">
        <v>45436</v>
      </c>
      <c r="D359" s="2" t="n">
        <v>1</v>
      </c>
      <c r="E359" s="3" t="inlineStr">
        <is>
          <t>PISTOLA SEMIAUTOMATICA</t>
        </is>
      </c>
      <c r="F359" s="3" t="n">
        <v>7.65</v>
      </c>
      <c r="G359" s="3" t="inlineStr">
        <is>
          <t>MAUSER</t>
        </is>
      </c>
      <c r="H359" s="65" t="n"/>
      <c r="I359" s="65" t="n">
        <v>518185</v>
      </c>
      <c r="J359" s="65" t="inlineStr">
        <is>
          <t>N/D</t>
        </is>
      </c>
      <c r="K359" s="65" t="inlineStr">
        <is>
          <t>N/D</t>
        </is>
      </c>
      <c r="L359" s="127" t="inlineStr">
        <is>
          <t>EREDI SAFARI SPORT - SEVERI GINO DI ARMILLI MARIA TERESA</t>
        </is>
      </c>
      <c r="M359" s="5" t="n">
        <v>16.39</v>
      </c>
      <c r="N359" s="5" t="n"/>
      <c r="O359" s="5">
        <f>+M359+N359</f>
        <v/>
      </c>
      <c r="P359" s="4" t="n"/>
      <c r="Q359" s="87" t="n"/>
      <c r="R359" s="5" t="n"/>
      <c r="S359" s="2" t="n"/>
      <c r="T359" s="3" t="n"/>
      <c r="U359" s="87" t="n"/>
      <c r="V359" s="3" t="n"/>
      <c r="W359" s="108" t="n"/>
      <c r="X359" s="4" t="n"/>
    </row>
    <row r="360" ht="24" customHeight="1">
      <c r="A360" s="2">
        <f>+D360-S360</f>
        <v/>
      </c>
      <c r="B360" s="80" t="n"/>
      <c r="C360" s="70" t="n">
        <v>45436</v>
      </c>
      <c r="D360" s="2" t="n">
        <v>1</v>
      </c>
      <c r="E360" s="3" t="inlineStr">
        <is>
          <t>PISTOLA SEMIAUTOMATICA</t>
        </is>
      </c>
      <c r="F360" s="3" t="n">
        <v>7.65</v>
      </c>
      <c r="G360" s="3" t="inlineStr">
        <is>
          <t>BERETTA</t>
        </is>
      </c>
      <c r="H360" s="65" t="n"/>
      <c r="I360" s="65" t="n">
        <v>621245</v>
      </c>
      <c r="J360" s="65" t="inlineStr">
        <is>
          <t>N/D</t>
        </is>
      </c>
      <c r="K360" s="65" t="inlineStr">
        <is>
          <t>N/D</t>
        </is>
      </c>
      <c r="L360" s="127" t="inlineStr">
        <is>
          <t>EREDI SAFARI SPORT - SEVERI GINO DI ARMILLI MARIA TERESA</t>
        </is>
      </c>
      <c r="M360" s="5" t="n">
        <v>16.39</v>
      </c>
      <c r="N360" s="5" t="n"/>
      <c r="O360" s="5">
        <f>+M360+N360</f>
        <v/>
      </c>
      <c r="P360" s="4" t="n"/>
      <c r="Q360" s="87" t="n"/>
      <c r="R360" s="5" t="n"/>
      <c r="S360" s="2" t="n"/>
      <c r="T360" s="3" t="n"/>
      <c r="U360" s="87" t="n"/>
      <c r="V360" s="3" t="n"/>
      <c r="W360" s="108" t="n"/>
      <c r="X360" s="4" t="n"/>
    </row>
    <row r="361" ht="24" customHeight="1">
      <c r="A361" s="2">
        <f>+D361-S361</f>
        <v/>
      </c>
      <c r="B361" s="80" t="n"/>
      <c r="C361" s="70" t="n">
        <v>45436</v>
      </c>
      <c r="D361" s="2" t="n">
        <v>1</v>
      </c>
      <c r="E361" s="3" t="inlineStr">
        <is>
          <t>PISTOLA SEMIAUTOMATICA</t>
        </is>
      </c>
      <c r="F361" s="3" t="inlineStr">
        <is>
          <t>32 COLT</t>
        </is>
      </c>
      <c r="G361" s="3" t="inlineStr">
        <is>
          <t>COLT</t>
        </is>
      </c>
      <c r="H361" s="65" t="inlineStr">
        <is>
          <t>1902 MILITARY</t>
        </is>
      </c>
      <c r="I361" s="65" t="n">
        <v>519237</v>
      </c>
      <c r="J361" s="65" t="inlineStr">
        <is>
          <t>N/D</t>
        </is>
      </c>
      <c r="K361" s="65" t="inlineStr">
        <is>
          <t>N/D</t>
        </is>
      </c>
      <c r="L361" s="127" t="inlineStr">
        <is>
          <t>EREDI SAFARI SPORT - SEVERI GINO DI ARMILLI MARIA TERESA</t>
        </is>
      </c>
      <c r="M361" s="5" t="n">
        <v>16.39</v>
      </c>
      <c r="N361" s="5" t="n"/>
      <c r="O361" s="5">
        <f>+M361+N361</f>
        <v/>
      </c>
      <c r="P361" s="4" t="n"/>
      <c r="Q361" s="87" t="n"/>
      <c r="R361" s="5" t="n"/>
      <c r="S361" s="2" t="n"/>
      <c r="T361" s="3" t="n"/>
      <c r="U361" s="87" t="n"/>
      <c r="V361" s="3" t="n"/>
      <c r="W361" s="108" t="n"/>
      <c r="X361" s="4" t="n"/>
    </row>
    <row r="362" ht="24" customHeight="1">
      <c r="A362" s="2">
        <f>+D362-S362</f>
        <v/>
      </c>
      <c r="B362" s="80" t="n"/>
      <c r="C362" s="70" t="n">
        <v>45436</v>
      </c>
      <c r="D362" s="2" t="n">
        <v>1</v>
      </c>
      <c r="E362" s="3" t="inlineStr">
        <is>
          <t>PISTOLA SEMIAUTOMATICA</t>
        </is>
      </c>
      <c r="F362" s="3" t="n">
        <v>7.65</v>
      </c>
      <c r="G362" s="3" t="inlineStr">
        <is>
          <t>SAUER &amp; SOHN</t>
        </is>
      </c>
      <c r="H362" s="65" t="n"/>
      <c r="I362" s="65" t="n">
        <v>144391</v>
      </c>
      <c r="J362" s="65" t="inlineStr">
        <is>
          <t>N/D</t>
        </is>
      </c>
      <c r="K362" s="65" t="inlineStr">
        <is>
          <t>N/D</t>
        </is>
      </c>
      <c r="L362" s="127" t="inlineStr">
        <is>
          <t>EREDI SAFARI SPORT - SEVERI GINO DI ARMILLI MARIA TERESA</t>
        </is>
      </c>
      <c r="M362" s="5" t="n">
        <v>16.39</v>
      </c>
      <c r="N362" s="5" t="n"/>
      <c r="O362" s="5">
        <f>+M362+N362</f>
        <v/>
      </c>
      <c r="P362" s="4" t="n"/>
      <c r="Q362" s="87" t="n"/>
      <c r="R362" s="5" t="n"/>
      <c r="S362" s="2" t="n"/>
      <c r="T362" s="3" t="n"/>
      <c r="U362" s="87" t="n"/>
      <c r="V362" s="3" t="n"/>
      <c r="W362" s="108" t="n"/>
      <c r="X362" s="4" t="n"/>
    </row>
    <row r="363" ht="24" customHeight="1">
      <c r="A363" s="2">
        <f>+D363-S363</f>
        <v/>
      </c>
      <c r="B363" s="80" t="n"/>
      <c r="C363" s="70" t="n">
        <v>45436</v>
      </c>
      <c r="D363" s="2" t="n">
        <v>1</v>
      </c>
      <c r="E363" s="3" t="inlineStr">
        <is>
          <t>PISTOLA SEMIAUTOMATICA</t>
        </is>
      </c>
      <c r="F363" s="3" t="n">
        <v>7.65</v>
      </c>
      <c r="G363" s="3" t="inlineStr">
        <is>
          <t>BERETTA</t>
        </is>
      </c>
      <c r="H363" s="65" t="n">
        <v>1915</v>
      </c>
      <c r="I363" s="65" t="n">
        <v>63451</v>
      </c>
      <c r="J363" s="65" t="inlineStr">
        <is>
          <t>N/D</t>
        </is>
      </c>
      <c r="K363" s="65" t="inlineStr">
        <is>
          <t>N/D</t>
        </is>
      </c>
      <c r="L363" s="127" t="inlineStr">
        <is>
          <t>EREDI SAFARI SPORT - SEVERI GINO DI ARMILLI MARIA TERESA</t>
        </is>
      </c>
      <c r="M363" s="5" t="n">
        <v>16.39</v>
      </c>
      <c r="N363" s="5" t="n"/>
      <c r="O363" s="5">
        <f>+M363+N363</f>
        <v/>
      </c>
      <c r="P363" s="4" t="n"/>
      <c r="Q363" s="87" t="n"/>
      <c r="R363" s="5" t="n"/>
      <c r="S363" s="2" t="n"/>
      <c r="T363" s="3" t="n"/>
      <c r="U363" s="87" t="n"/>
      <c r="V363" s="3" t="n"/>
      <c r="W363" s="108" t="n"/>
      <c r="X363" s="4" t="n"/>
    </row>
    <row r="364" ht="24" customHeight="1">
      <c r="A364" s="2">
        <f>+D364-S364</f>
        <v/>
      </c>
      <c r="B364" s="80" t="n"/>
      <c r="C364" s="70" t="n">
        <v>45436</v>
      </c>
      <c r="D364" s="2" t="n">
        <v>1</v>
      </c>
      <c r="E364" s="3" t="inlineStr">
        <is>
          <t>PISTOLA SEMIAUTOMATICA</t>
        </is>
      </c>
      <c r="F364" s="3" t="n">
        <v>7.65</v>
      </c>
      <c r="G364" s="3" t="inlineStr">
        <is>
          <t>BERSA</t>
        </is>
      </c>
      <c r="H364" s="65" t="inlineStr">
        <is>
          <t>COMPACT</t>
        </is>
      </c>
      <c r="I364" s="65" t="n">
        <v>14064</v>
      </c>
      <c r="J364" s="65" t="inlineStr">
        <is>
          <t>N/D</t>
        </is>
      </c>
      <c r="K364" s="65" t="inlineStr">
        <is>
          <t>N/D</t>
        </is>
      </c>
      <c r="L364" s="127" t="inlineStr">
        <is>
          <t>EREDI SAFARI SPORT - SEVERI GINO DI ARMILLI MARIA TERESA</t>
        </is>
      </c>
      <c r="M364" s="5" t="n">
        <v>16.39</v>
      </c>
      <c r="N364" s="5" t="n"/>
      <c r="O364" s="5">
        <f>+M364+N364</f>
        <v/>
      </c>
      <c r="P364" s="4" t="n"/>
      <c r="Q364" s="87" t="n"/>
      <c r="R364" s="5" t="n"/>
      <c r="S364" s="2" t="n"/>
      <c r="T364" s="3" t="n"/>
      <c r="U364" s="87" t="n"/>
      <c r="V364" s="3" t="n"/>
      <c r="W364" s="108" t="n"/>
      <c r="X364" s="4" t="n"/>
    </row>
    <row r="365" ht="24" customHeight="1">
      <c r="A365" s="2">
        <f>+D365-S365</f>
        <v/>
      </c>
      <c r="B365" s="80" t="n"/>
      <c r="C365" s="70" t="n">
        <v>45436</v>
      </c>
      <c r="D365" s="2" t="n">
        <v>1</v>
      </c>
      <c r="E365" s="3" t="inlineStr">
        <is>
          <t>PISTOLA SEMIAUTOMATICA</t>
        </is>
      </c>
      <c r="F365" s="3" t="n">
        <v>7.65</v>
      </c>
      <c r="G365" s="3" t="inlineStr">
        <is>
          <t>BERETTA</t>
        </is>
      </c>
      <c r="H365" s="65" t="n"/>
      <c r="I365" s="65" t="n">
        <v>22851</v>
      </c>
      <c r="J365" s="65" t="inlineStr">
        <is>
          <t>N/D</t>
        </is>
      </c>
      <c r="K365" s="65" t="inlineStr">
        <is>
          <t>N/D</t>
        </is>
      </c>
      <c r="L365" s="127" t="inlineStr">
        <is>
          <t>EREDI SAFARI SPORT - SEVERI GINO DI ARMILLI MARIA TERESA</t>
        </is>
      </c>
      <c r="M365" s="5" t="n">
        <v>16.39</v>
      </c>
      <c r="N365" s="5" t="n"/>
      <c r="O365" s="5">
        <f>+M365+N365</f>
        <v/>
      </c>
      <c r="P365" s="4" t="n"/>
      <c r="Q365" s="87" t="n"/>
      <c r="R365" s="5" t="n"/>
      <c r="S365" s="2" t="n"/>
      <c r="T365" s="3" t="n"/>
      <c r="U365" s="87" t="n"/>
      <c r="V365" s="3" t="n"/>
      <c r="W365" s="108" t="n"/>
      <c r="X365" s="4" t="n"/>
    </row>
    <row r="366" ht="24" customHeight="1">
      <c r="A366" s="2">
        <f>+D366-S366</f>
        <v/>
      </c>
      <c r="B366" s="80" t="n"/>
      <c r="C366" s="70" t="n">
        <v>45436</v>
      </c>
      <c r="D366" s="2" t="n">
        <v>1</v>
      </c>
      <c r="E366" s="3" t="inlineStr">
        <is>
          <t>PISTOLA SEMIAUTOMATICA</t>
        </is>
      </c>
      <c r="F366" s="3" t="n">
        <v>7.65</v>
      </c>
      <c r="G366" s="3" t="inlineStr">
        <is>
          <t>BERETTA</t>
        </is>
      </c>
      <c r="H366" s="65" t="n">
        <v>35</v>
      </c>
      <c r="I366" s="65" t="n">
        <v>793797</v>
      </c>
      <c r="J366" s="65" t="inlineStr">
        <is>
          <t>N/D</t>
        </is>
      </c>
      <c r="K366" s="65" t="inlineStr">
        <is>
          <t>N/D</t>
        </is>
      </c>
      <c r="L366" s="127" t="inlineStr">
        <is>
          <t>EREDI SAFARI SPORT - SEVERI GINO DI ARMILLI MARIA TERESA</t>
        </is>
      </c>
      <c r="M366" s="5" t="n">
        <v>16.39</v>
      </c>
      <c r="N366" s="5" t="n"/>
      <c r="O366" s="5">
        <f>+M366+N366</f>
        <v/>
      </c>
      <c r="P366" s="4" t="n"/>
      <c r="Q366" s="87" t="n"/>
      <c r="R366" s="5" t="n"/>
      <c r="S366" s="2" t="n"/>
      <c r="T366" s="3" t="n"/>
      <c r="U366" s="87" t="n"/>
      <c r="V366" s="3" t="n"/>
      <c r="W366" s="108" t="n"/>
      <c r="X366" s="4" t="n"/>
    </row>
    <row r="367" ht="24" customHeight="1">
      <c r="A367" s="2">
        <f>+D367-S367</f>
        <v/>
      </c>
      <c r="B367" s="80" t="n"/>
      <c r="C367" s="70" t="n">
        <v>45436</v>
      </c>
      <c r="D367" s="2" t="n">
        <v>1</v>
      </c>
      <c r="E367" s="3" t="inlineStr">
        <is>
          <t>PISTOLA SEMIAUTOMATICA</t>
        </is>
      </c>
      <c r="F367" s="3" t="inlineStr">
        <is>
          <t>7.65 BROW</t>
        </is>
      </c>
      <c r="G367" s="3" t="inlineStr">
        <is>
          <t>WALTHER</t>
        </is>
      </c>
      <c r="H367" s="65" t="n"/>
      <c r="I367" s="65" t="inlineStr">
        <is>
          <t>297812P  301848P</t>
        </is>
      </c>
      <c r="J367" s="65" t="inlineStr">
        <is>
          <t>N/D</t>
        </is>
      </c>
      <c r="K367" s="65" t="inlineStr">
        <is>
          <t>N/D</t>
        </is>
      </c>
      <c r="L367" s="127" t="inlineStr">
        <is>
          <t>EREDI SAFARI SPORT - SEVERI GINO DI ARMILLI MARIA TERESA</t>
        </is>
      </c>
      <c r="M367" s="5" t="n">
        <v>16.39</v>
      </c>
      <c r="N367" s="5" t="n"/>
      <c r="O367" s="5">
        <f>+M367+N367</f>
        <v/>
      </c>
      <c r="P367" s="4" t="n"/>
      <c r="Q367" s="87" t="n"/>
      <c r="R367" s="5" t="n"/>
      <c r="S367" s="2" t="n"/>
      <c r="T367" s="3" t="n"/>
      <c r="U367" s="87" t="n"/>
      <c r="V367" s="3" t="n"/>
      <c r="W367" s="108" t="n"/>
      <c r="X367" s="4" t="n"/>
    </row>
    <row r="368" ht="24" customHeight="1">
      <c r="A368" s="2">
        <f>+D368-S368</f>
        <v/>
      </c>
      <c r="B368" s="80" t="n"/>
      <c r="C368" s="70" t="n">
        <v>45436</v>
      </c>
      <c r="D368" s="2" t="n">
        <v>1</v>
      </c>
      <c r="E368" s="3" t="inlineStr">
        <is>
          <t>PISTOLA SEMIAUTOMATICA</t>
        </is>
      </c>
      <c r="F368" s="3" t="n">
        <v>7.65</v>
      </c>
      <c r="G368" s="3" t="inlineStr">
        <is>
          <t>BERETTA</t>
        </is>
      </c>
      <c r="H368" s="65" t="n">
        <v>34</v>
      </c>
      <c r="I368" s="65" t="inlineStr">
        <is>
          <t>064530</t>
        </is>
      </c>
      <c r="J368" s="65" t="inlineStr">
        <is>
          <t>N/D</t>
        </is>
      </c>
      <c r="K368" s="65" t="inlineStr">
        <is>
          <t>N/D</t>
        </is>
      </c>
      <c r="L368" s="127" t="inlineStr">
        <is>
          <t>EREDI SAFARI SPORT - SEVERI GINO DI ARMILLI MARIA TERESA</t>
        </is>
      </c>
      <c r="M368" s="5" t="n">
        <v>16.39</v>
      </c>
      <c r="N368" s="5" t="n"/>
      <c r="O368" s="5">
        <f>+M368+N368</f>
        <v/>
      </c>
      <c r="P368" s="4" t="n"/>
      <c r="Q368" s="87" t="n"/>
      <c r="R368" s="5" t="n"/>
      <c r="S368" s="2" t="n"/>
      <c r="T368" s="3" t="n"/>
      <c r="U368" s="87" t="n"/>
      <c r="V368" s="3" t="n"/>
      <c r="W368" s="108" t="n"/>
      <c r="X368" s="4" t="n"/>
    </row>
    <row r="369" ht="24" customHeight="1">
      <c r="A369" s="2">
        <f>+D369-S369</f>
        <v/>
      </c>
      <c r="B369" s="80" t="n"/>
      <c r="C369" s="70" t="n">
        <v>45436</v>
      </c>
      <c r="D369" s="2" t="n">
        <v>1</v>
      </c>
      <c r="E369" s="3" t="inlineStr">
        <is>
          <t>PISTOLA SEMIAUTOMATICA</t>
        </is>
      </c>
      <c r="F369" s="3" t="inlineStr">
        <is>
          <t>45 ACP</t>
        </is>
      </c>
      <c r="G369" s="3" t="inlineStr">
        <is>
          <t>PETER STAHL</t>
        </is>
      </c>
      <c r="H369" s="65" t="inlineStr">
        <is>
          <t>PSP 2000</t>
        </is>
      </c>
      <c r="I369" s="65" t="inlineStr">
        <is>
          <t>91.0109</t>
        </is>
      </c>
      <c r="J369" s="65" t="inlineStr">
        <is>
          <t>N/D</t>
        </is>
      </c>
      <c r="K369" s="65" t="inlineStr">
        <is>
          <t>N/D</t>
        </is>
      </c>
      <c r="L369" s="127" t="inlineStr">
        <is>
          <t>EREDI SAFARI SPORT - SEVERI GINO DI ARMILLI MARIA TERESA</t>
        </is>
      </c>
      <c r="M369" s="5" t="n">
        <v>16.39</v>
      </c>
      <c r="N369" s="5" t="n"/>
      <c r="O369" s="5">
        <f>+M369+N369</f>
        <v/>
      </c>
      <c r="P369" s="4" t="n"/>
      <c r="Q369" s="87" t="n"/>
      <c r="R369" s="5" t="n"/>
      <c r="S369" s="2" t="n"/>
      <c r="T369" s="3" t="n"/>
      <c r="U369" s="87" t="n"/>
      <c r="V369" s="3" t="n"/>
      <c r="W369" s="108" t="n"/>
      <c r="X369" s="4" t="n"/>
    </row>
    <row r="370" ht="24" customHeight="1">
      <c r="A370" s="2">
        <f>+D370-S370</f>
        <v/>
      </c>
      <c r="B370" s="80" t="n"/>
      <c r="C370" s="70" t="n">
        <v>45436</v>
      </c>
      <c r="D370" s="2" t="n">
        <v>1</v>
      </c>
      <c r="E370" s="3" t="inlineStr">
        <is>
          <t>PISTOLA SEMIAUTOMATICA</t>
        </is>
      </c>
      <c r="F370" s="3" t="inlineStr">
        <is>
          <t>9 CORTO</t>
        </is>
      </c>
      <c r="G370" s="3" t="inlineStr">
        <is>
          <t>SIG SAUER</t>
        </is>
      </c>
      <c r="H370" s="65" t="inlineStr">
        <is>
          <t>P 232</t>
        </is>
      </c>
      <c r="I370" s="65" t="inlineStr">
        <is>
          <t>S273266</t>
        </is>
      </c>
      <c r="J370" s="65" t="inlineStr">
        <is>
          <t>N/D</t>
        </is>
      </c>
      <c r="K370" s="65" t="inlineStr">
        <is>
          <t>N/D</t>
        </is>
      </c>
      <c r="L370" s="127" t="inlineStr">
        <is>
          <t>EREDI SAFARI SPORT - SEVERI GINO DI ARMILLI MARIA TERESA</t>
        </is>
      </c>
      <c r="M370" s="5" t="n">
        <v>81.97</v>
      </c>
      <c r="N370" s="5" t="n"/>
      <c r="O370" s="5">
        <f>+M370+N370</f>
        <v/>
      </c>
      <c r="P370" s="4" t="n"/>
      <c r="Q370" s="87" t="n"/>
      <c r="R370" s="5" t="n"/>
      <c r="S370" s="2" t="n"/>
      <c r="T370" s="3" t="n"/>
      <c r="U370" s="87" t="n"/>
      <c r="V370" s="3" t="n"/>
      <c r="W370" s="108" t="n"/>
      <c r="X370" s="4" t="n"/>
    </row>
    <row r="371" ht="24" customHeight="1">
      <c r="A371" s="2">
        <f>+D371-S371</f>
        <v/>
      </c>
      <c r="B371" s="80" t="n"/>
      <c r="C371" s="70" t="n">
        <v>45436</v>
      </c>
      <c r="D371" s="2" t="n">
        <v>1</v>
      </c>
      <c r="E371" s="3" t="inlineStr">
        <is>
          <t>PISTOLA SEMIAUTOMATICA</t>
        </is>
      </c>
      <c r="F371" s="3" t="inlineStr">
        <is>
          <t>7.65 PARA</t>
        </is>
      </c>
      <c r="G371" s="3" t="inlineStr">
        <is>
          <t>STAR</t>
        </is>
      </c>
      <c r="H371" s="65" t="n"/>
      <c r="I371" s="65" t="n">
        <v>1231151</v>
      </c>
      <c r="J371" s="65" t="inlineStr">
        <is>
          <t>N/D</t>
        </is>
      </c>
      <c r="K371" s="65" t="inlineStr">
        <is>
          <t>N/D</t>
        </is>
      </c>
      <c r="L371" s="127" t="inlineStr">
        <is>
          <t>EREDI SAFARI SPORT - SEVERI GINO DI ARMILLI MARIA TERESA</t>
        </is>
      </c>
      <c r="M371" s="5" t="n">
        <v>16.39</v>
      </c>
      <c r="N371" s="5" t="n"/>
      <c r="O371" s="5">
        <f>+M371+N371</f>
        <v/>
      </c>
      <c r="P371" s="4" t="n"/>
      <c r="Q371" s="87" t="n"/>
      <c r="R371" s="5" t="n"/>
      <c r="S371" s="2" t="n"/>
      <c r="T371" s="3" t="n"/>
      <c r="U371" s="87" t="n"/>
      <c r="V371" s="3" t="n"/>
      <c r="W371" s="108" t="n"/>
      <c r="X371" s="4" t="n"/>
    </row>
    <row r="372" ht="24" customHeight="1">
      <c r="A372" s="2">
        <f>+D372-S372</f>
        <v/>
      </c>
      <c r="B372" s="80" t="n"/>
      <c r="C372" s="70" t="n">
        <v>45436</v>
      </c>
      <c r="D372" s="2" t="n">
        <v>1</v>
      </c>
      <c r="E372" s="3" t="inlineStr">
        <is>
          <t>PISTOLA SEMIAUTOMATICA</t>
        </is>
      </c>
      <c r="F372" s="3" t="inlineStr">
        <is>
          <t>9 CORTO</t>
        </is>
      </c>
      <c r="G372" s="3" t="inlineStr">
        <is>
          <t>WALTHER</t>
        </is>
      </c>
      <c r="H372" s="65" t="inlineStr">
        <is>
          <t>PPK INOX</t>
        </is>
      </c>
      <c r="I372" s="65" t="inlineStr">
        <is>
          <t>5427BAD</t>
        </is>
      </c>
      <c r="J372" s="65" t="inlineStr">
        <is>
          <t>N/D</t>
        </is>
      </c>
      <c r="K372" s="65" t="inlineStr">
        <is>
          <t>N/D</t>
        </is>
      </c>
      <c r="L372" s="127" t="inlineStr">
        <is>
          <t>EREDI SAFARI SPORT - SEVERI GINO DI ARMILLI MARIA TERESA</t>
        </is>
      </c>
      <c r="M372" s="5" t="n">
        <v>81.97</v>
      </c>
      <c r="N372" s="5" t="n"/>
      <c r="O372" s="5">
        <f>+M372+N372</f>
        <v/>
      </c>
      <c r="P372" s="4" t="n"/>
      <c r="Q372" s="87" t="n"/>
      <c r="R372" s="5" t="n"/>
      <c r="S372" s="2" t="n"/>
      <c r="T372" s="3" t="n"/>
      <c r="U372" s="87" t="n"/>
      <c r="V372" s="3" t="n"/>
      <c r="W372" s="108" t="n"/>
      <c r="X372" s="4" t="n"/>
    </row>
    <row r="373" ht="24" customHeight="1">
      <c r="A373" s="2">
        <f>+D373-S373</f>
        <v/>
      </c>
      <c r="B373" s="80" t="n"/>
      <c r="C373" s="70" t="n">
        <v>45436</v>
      </c>
      <c r="D373" s="2" t="n">
        <v>1</v>
      </c>
      <c r="E373" s="3" t="inlineStr">
        <is>
          <t>PISTOLA SEMIAUTOMATICA</t>
        </is>
      </c>
      <c r="F373" s="3" t="inlineStr">
        <is>
          <t>9 CORTO</t>
        </is>
      </c>
      <c r="G373" s="3" t="inlineStr">
        <is>
          <t>COLT</t>
        </is>
      </c>
      <c r="H373" s="65" t="inlineStr">
        <is>
          <t>380 MUSTANG INOX</t>
        </is>
      </c>
      <c r="I373" s="65" t="inlineStr">
        <is>
          <t>MU69557</t>
        </is>
      </c>
      <c r="J373" s="65" t="inlineStr">
        <is>
          <t>N/D</t>
        </is>
      </c>
      <c r="K373" s="65" t="inlineStr">
        <is>
          <t>N/D</t>
        </is>
      </c>
      <c r="L373" s="127" t="inlineStr">
        <is>
          <t>EREDI SAFARI SPORT - SEVERI GINO DI ARMILLI MARIA TERESA</t>
        </is>
      </c>
      <c r="M373" s="5" t="n">
        <v>40.98</v>
      </c>
      <c r="N373" s="5" t="n"/>
      <c r="O373" s="5">
        <f>+M373+N373</f>
        <v/>
      </c>
      <c r="P373" s="4" t="n"/>
      <c r="Q373" s="87" t="n"/>
      <c r="R373" s="5" t="n"/>
      <c r="S373" s="2" t="n"/>
      <c r="T373" s="3" t="n"/>
      <c r="U373" s="87" t="n"/>
      <c r="V373" s="3" t="n"/>
      <c r="W373" s="108" t="n"/>
      <c r="X373" s="4" t="n"/>
    </row>
    <row r="374" ht="24" customHeight="1">
      <c r="A374" s="2">
        <f>+D374-S374</f>
        <v/>
      </c>
      <c r="B374" s="80" t="n"/>
      <c r="C374" s="70" t="n">
        <v>45436</v>
      </c>
      <c r="D374" s="2" t="n">
        <v>1</v>
      </c>
      <c r="E374" s="3" t="inlineStr">
        <is>
          <t>PISTOLA SEMIAUTOMATICA</t>
        </is>
      </c>
      <c r="F374" s="3" t="inlineStr">
        <is>
          <t>22 LR</t>
        </is>
      </c>
      <c r="G374" s="3" t="inlineStr">
        <is>
          <t>BERETTA</t>
        </is>
      </c>
      <c r="H374" s="65" t="n">
        <v>70</v>
      </c>
      <c r="I374" s="65" t="inlineStr">
        <is>
          <t>F16327</t>
        </is>
      </c>
      <c r="J374" s="65" t="inlineStr">
        <is>
          <t>N/D</t>
        </is>
      </c>
      <c r="K374" s="65" t="inlineStr">
        <is>
          <t>N/D</t>
        </is>
      </c>
      <c r="L374" s="127" t="inlineStr">
        <is>
          <t>EREDI SAFARI SPORT - SEVERI GINO DI ARMILLI MARIA TERESA</t>
        </is>
      </c>
      <c r="M374" s="5" t="n">
        <v>16.39</v>
      </c>
      <c r="N374" s="5" t="n"/>
      <c r="O374" s="5">
        <f>+M374+N374</f>
        <v/>
      </c>
      <c r="P374" s="4" t="n"/>
      <c r="Q374" s="87" t="n"/>
      <c r="R374" s="5" t="n">
        <v>228</v>
      </c>
      <c r="S374" s="2" t="n">
        <v>1</v>
      </c>
      <c r="T374" s="3" t="inlineStr">
        <is>
          <t>CA04954OS</t>
        </is>
      </c>
      <c r="U374" s="87" t="n">
        <v>45874</v>
      </c>
      <c r="V374" s="3" t="inlineStr">
        <is>
          <t>25</t>
        </is>
      </c>
      <c r="W374" s="4" t="n">
        <v>45874</v>
      </c>
      <c r="X374" s="4" t="inlineStr">
        <is>
          <t>PHILIPPOS  CONSTANTINIDES
TRADING CO.LTD</t>
        </is>
      </c>
    </row>
    <row r="375" ht="24" customHeight="1">
      <c r="A375" s="2">
        <f>+D375-S375</f>
        <v/>
      </c>
      <c r="B375" s="80" t="n"/>
      <c r="C375" s="70" t="n">
        <v>45436</v>
      </c>
      <c r="D375" s="2" t="n">
        <v>1</v>
      </c>
      <c r="E375" s="3" t="inlineStr">
        <is>
          <t>PISTOLA SEMIAUTOMATICA</t>
        </is>
      </c>
      <c r="F375" s="3" t="inlineStr">
        <is>
          <t>22 CORTO</t>
        </is>
      </c>
      <c r="G375" s="3" t="inlineStr">
        <is>
          <t>BERETTA</t>
        </is>
      </c>
      <c r="H375" s="65" t="n">
        <v>20</v>
      </c>
      <c r="I375" s="65" t="inlineStr">
        <is>
          <t>D22534</t>
        </is>
      </c>
      <c r="J375" s="65" t="inlineStr">
        <is>
          <t>N/D</t>
        </is>
      </c>
      <c r="K375" s="65" t="inlineStr">
        <is>
          <t>N/D</t>
        </is>
      </c>
      <c r="L375" s="127" t="inlineStr">
        <is>
          <t>EREDI SAFARI SPORT - SEVERI GINO DI ARMILLI MARIA TERESA</t>
        </is>
      </c>
      <c r="M375" s="5" t="n">
        <v>16.39</v>
      </c>
      <c r="N375" s="5" t="n"/>
      <c r="O375" s="5">
        <f>+M375+N375</f>
        <v/>
      </c>
      <c r="P375" s="4" t="n"/>
      <c r="Q375" s="87" t="n"/>
      <c r="R375" s="5" t="n"/>
      <c r="S375" s="2" t="n"/>
      <c r="T375" s="3" t="n"/>
      <c r="U375" s="87" t="n"/>
      <c r="V375" s="3" t="n"/>
      <c r="W375" s="108" t="n"/>
      <c r="X375" s="4" t="n"/>
    </row>
    <row r="376" ht="24" customHeight="1">
      <c r="A376" s="2">
        <f>+D376-S376</f>
        <v/>
      </c>
      <c r="B376" s="80" t="n"/>
      <c r="C376" s="70" t="n">
        <v>45436</v>
      </c>
      <c r="D376" s="2" t="n">
        <v>1</v>
      </c>
      <c r="E376" s="3" t="inlineStr">
        <is>
          <t>PISTOLA SEMIAUTOMATICA</t>
        </is>
      </c>
      <c r="F376" s="3" t="n">
        <v>7.65</v>
      </c>
      <c r="G376" s="3" t="inlineStr">
        <is>
          <t>BERETTA</t>
        </is>
      </c>
      <c r="H376" s="65" t="n"/>
      <c r="I376" s="65" t="n">
        <v>892705</v>
      </c>
      <c r="J376" s="65" t="inlineStr">
        <is>
          <t>N/D</t>
        </is>
      </c>
      <c r="K376" s="65" t="inlineStr">
        <is>
          <t>N/D</t>
        </is>
      </c>
      <c r="L376" s="127" t="inlineStr">
        <is>
          <t>EREDI SAFARI SPORT - SEVERI GINO DI ARMILLI MARIA TERESA</t>
        </is>
      </c>
      <c r="M376" s="5" t="n">
        <v>16.39</v>
      </c>
      <c r="N376" s="5" t="n"/>
      <c r="O376" s="5">
        <f>+M376+N376</f>
        <v/>
      </c>
      <c r="P376" s="4" t="n"/>
      <c r="Q376" s="87" t="n"/>
      <c r="R376" s="5" t="n"/>
      <c r="S376" s="2" t="n"/>
      <c r="T376" s="3" t="n"/>
      <c r="U376" s="87" t="n"/>
      <c r="V376" s="3" t="n"/>
      <c r="W376" s="108" t="n"/>
      <c r="X376" s="4" t="n"/>
    </row>
    <row r="377" ht="24" customHeight="1">
      <c r="A377" s="2">
        <f>+D377-S377</f>
        <v/>
      </c>
      <c r="B377" s="80" t="n"/>
      <c r="C377" s="70" t="n">
        <v>45436</v>
      </c>
      <c r="D377" s="2" t="n">
        <v>1</v>
      </c>
      <c r="E377" s="3" t="inlineStr">
        <is>
          <t>PISTOLA SEMIAUTOMATICA</t>
        </is>
      </c>
      <c r="F377" s="3" t="n">
        <v>7.65</v>
      </c>
      <c r="G377" s="3" t="inlineStr">
        <is>
          <t>BERETTA</t>
        </is>
      </c>
      <c r="H377" s="65" t="n"/>
      <c r="I377" s="65" t="inlineStr">
        <is>
          <t>B75708W</t>
        </is>
      </c>
      <c r="J377" s="65" t="inlineStr">
        <is>
          <t>N/D</t>
        </is>
      </c>
      <c r="K377" s="65" t="inlineStr">
        <is>
          <t>N/D</t>
        </is>
      </c>
      <c r="L377" s="127" t="inlineStr">
        <is>
          <t>EREDI SAFARI SPORT - SEVERI GINO DI ARMILLI MARIA TERESA</t>
        </is>
      </c>
      <c r="M377" s="5" t="n">
        <v>16.39</v>
      </c>
      <c r="N377" s="5" t="n"/>
      <c r="O377" s="5">
        <f>+M377+N377</f>
        <v/>
      </c>
      <c r="P377" s="4" t="n"/>
      <c r="Q377" s="87" t="n"/>
      <c r="R377" s="5" t="n"/>
      <c r="S377" s="2" t="n"/>
      <c r="T377" s="3" t="n"/>
      <c r="U377" s="87" t="n"/>
      <c r="V377" s="3" t="n"/>
      <c r="W377" s="108" t="n"/>
      <c r="X377" s="4" t="n"/>
    </row>
    <row r="378" ht="24" customHeight="1">
      <c r="A378" s="2">
        <f>+D378-S378</f>
        <v/>
      </c>
      <c r="B378" s="80" t="n"/>
      <c r="C378" s="70" t="n">
        <v>45436</v>
      </c>
      <c r="D378" s="2" t="n">
        <v>1</v>
      </c>
      <c r="E378" s="3" t="inlineStr">
        <is>
          <t>PISTOLA SEMIAUTOMATICA</t>
        </is>
      </c>
      <c r="F378" s="3" t="inlineStr">
        <is>
          <t>22 LR</t>
        </is>
      </c>
      <c r="G378" s="3" t="inlineStr">
        <is>
          <t>BERETTA</t>
        </is>
      </c>
      <c r="H378" s="65" t="n">
        <v>70</v>
      </c>
      <c r="I378" s="65" t="inlineStr">
        <is>
          <t>05630</t>
        </is>
      </c>
      <c r="J378" s="65" t="inlineStr">
        <is>
          <t>N/D</t>
        </is>
      </c>
      <c r="K378" s="65" t="inlineStr">
        <is>
          <t>N/D</t>
        </is>
      </c>
      <c r="L378" s="127" t="inlineStr">
        <is>
          <t>EREDI SAFARI SPORT - SEVERI GINO DI ARMILLI MARIA TERESA</t>
        </is>
      </c>
      <c r="M378" s="5" t="n">
        <v>16.39</v>
      </c>
      <c r="N378" s="5" t="n"/>
      <c r="O378" s="5">
        <f>+M378+N378</f>
        <v/>
      </c>
      <c r="P378" s="4" t="n"/>
      <c r="Q378" s="87" t="n"/>
      <c r="R378" s="5" t="n"/>
      <c r="S378" s="2" t="n"/>
      <c r="T378" s="3" t="n"/>
      <c r="U378" s="87" t="n"/>
      <c r="V378" s="3" t="n"/>
      <c r="W378" s="108" t="n"/>
      <c r="X378" s="4" t="n"/>
    </row>
    <row r="379" ht="24" customHeight="1">
      <c r="A379" s="2">
        <f>+D379-S379</f>
        <v/>
      </c>
      <c r="B379" s="80" t="n"/>
      <c r="C379" s="70" t="n">
        <v>45436</v>
      </c>
      <c r="D379" s="2" t="n">
        <v>1</v>
      </c>
      <c r="E379" s="3" t="inlineStr">
        <is>
          <t>PISTOLA SEMIAUTOMATICA</t>
        </is>
      </c>
      <c r="F379" s="3" t="n">
        <v>7.65</v>
      </c>
      <c r="G379" s="3" t="inlineStr">
        <is>
          <t>BERETTA</t>
        </is>
      </c>
      <c r="H379" s="65" t="n">
        <v>70</v>
      </c>
      <c r="I379" s="65" t="inlineStr">
        <is>
          <t>L95361</t>
        </is>
      </c>
      <c r="J379" s="65" t="inlineStr">
        <is>
          <t>N/D</t>
        </is>
      </c>
      <c r="K379" s="65" t="inlineStr">
        <is>
          <t>N/D</t>
        </is>
      </c>
      <c r="L379" s="127" t="inlineStr">
        <is>
          <t>EREDI SAFARI SPORT - SEVERI GINO DI ARMILLI MARIA TERESA</t>
        </is>
      </c>
      <c r="M379" s="5" t="n">
        <v>16.39</v>
      </c>
      <c r="N379" s="5" t="n"/>
      <c r="O379" s="5">
        <f>+M379+N379</f>
        <v/>
      </c>
      <c r="P379" s="4" t="n"/>
      <c r="Q379" s="87" t="n"/>
      <c r="R379" s="5" t="n"/>
      <c r="S379" s="2" t="n"/>
      <c r="T379" s="3" t="n"/>
      <c r="U379" s="87" t="n"/>
      <c r="V379" s="3" t="n"/>
      <c r="W379" s="108" t="n"/>
      <c r="X379" s="4" t="n"/>
    </row>
    <row r="380" ht="24" customHeight="1">
      <c r="A380" s="2">
        <f>+D380-S380</f>
        <v/>
      </c>
      <c r="B380" s="80" t="n"/>
      <c r="C380" s="70" t="n">
        <v>45436</v>
      </c>
      <c r="D380" s="2" t="n">
        <v>1</v>
      </c>
      <c r="E380" s="3" t="inlineStr">
        <is>
          <t>PISTOLA SEMIAUTOMATICA</t>
        </is>
      </c>
      <c r="F380" s="3" t="n">
        <v>7.65</v>
      </c>
      <c r="G380" s="3" t="inlineStr">
        <is>
          <t>GALESI</t>
        </is>
      </c>
      <c r="H380" s="65" t="n"/>
      <c r="I380" s="65" t="n">
        <v>155087</v>
      </c>
      <c r="J380" s="65" t="inlineStr">
        <is>
          <t>N/D</t>
        </is>
      </c>
      <c r="K380" s="65" t="inlineStr">
        <is>
          <t>N/D</t>
        </is>
      </c>
      <c r="L380" s="127" t="inlineStr">
        <is>
          <t>EREDI SAFARI SPORT - SEVERI GINO DI ARMILLI MARIA TERESA</t>
        </is>
      </c>
      <c r="M380" s="5" t="n">
        <v>16.39</v>
      </c>
      <c r="N380" s="5" t="n"/>
      <c r="O380" s="5">
        <f>+M380+N380</f>
        <v/>
      </c>
      <c r="P380" s="4" t="n"/>
      <c r="Q380" s="87" t="n"/>
      <c r="R380" s="5" t="n"/>
      <c r="S380" s="2" t="n"/>
      <c r="T380" s="3" t="n"/>
      <c r="U380" s="87" t="n"/>
      <c r="V380" s="3" t="n"/>
      <c r="W380" s="108" t="n"/>
      <c r="X380" s="4" t="n"/>
    </row>
    <row r="381" ht="24" customHeight="1">
      <c r="A381" s="2">
        <f>+D381-S381</f>
        <v/>
      </c>
      <c r="B381" s="80" t="n"/>
      <c r="C381" s="70" t="n">
        <v>45436</v>
      </c>
      <c r="D381" s="2" t="n">
        <v>1</v>
      </c>
      <c r="E381" s="3" t="inlineStr">
        <is>
          <t>PISTOLA SEMIAUTOMATICA</t>
        </is>
      </c>
      <c r="F381" s="3" t="n">
        <v>7.65</v>
      </c>
      <c r="G381" s="3" t="n">
        <v>70</v>
      </c>
      <c r="H381" s="65" t="n"/>
      <c r="I381" s="65" t="n">
        <v>80775</v>
      </c>
      <c r="J381" s="65" t="inlineStr">
        <is>
          <t>N/D</t>
        </is>
      </c>
      <c r="K381" s="65" t="inlineStr">
        <is>
          <t>N/D</t>
        </is>
      </c>
      <c r="L381" s="127" t="inlineStr">
        <is>
          <t>EREDI SAFARI SPORT - SEVERI GINO DI ARMILLI MARIA TERESA</t>
        </is>
      </c>
      <c r="M381" s="5" t="n">
        <v>16.39</v>
      </c>
      <c r="N381" s="5" t="n"/>
      <c r="O381" s="5">
        <f>+M381+N381</f>
        <v/>
      </c>
      <c r="P381" s="4" t="n"/>
      <c r="Q381" s="87" t="n"/>
      <c r="R381" s="5" t="n"/>
      <c r="S381" s="2" t="n"/>
      <c r="T381" s="3" t="n"/>
      <c r="U381" s="87" t="n"/>
      <c r="V381" s="3" t="n"/>
      <c r="W381" s="108" t="n"/>
      <c r="X381" s="4" t="n"/>
    </row>
    <row r="382" ht="24" customHeight="1">
      <c r="A382" s="2">
        <f>+D382-S382</f>
        <v/>
      </c>
      <c r="B382" s="80" t="n"/>
      <c r="C382" s="70" t="n">
        <v>45436</v>
      </c>
      <c r="D382" s="2" t="n">
        <v>1</v>
      </c>
      <c r="E382" s="3" t="inlineStr">
        <is>
          <t>PISTOLA SEMIAUTOMATICA</t>
        </is>
      </c>
      <c r="F382" s="3" t="n">
        <v>7.65</v>
      </c>
      <c r="G382" s="3" t="inlineStr">
        <is>
          <t>ASTRA</t>
        </is>
      </c>
      <c r="H382" s="65" t="inlineStr">
        <is>
          <t>CONSTABLE</t>
        </is>
      </c>
      <c r="I382" s="65" t="n">
        <v>1193396</v>
      </c>
      <c r="J382" s="65" t="inlineStr">
        <is>
          <t>N/D</t>
        </is>
      </c>
      <c r="K382" s="65" t="inlineStr">
        <is>
          <t>N/D</t>
        </is>
      </c>
      <c r="L382" s="127" t="inlineStr">
        <is>
          <t>EREDI SAFARI SPORT - SEVERI GINO DI ARMILLI MARIA TERESA</t>
        </is>
      </c>
      <c r="M382" s="5" t="n">
        <v>16.39</v>
      </c>
      <c r="N382" s="5" t="n"/>
      <c r="O382" s="5">
        <f>+M382+N382</f>
        <v/>
      </c>
      <c r="P382" s="4" t="n"/>
      <c r="Q382" s="87" t="n"/>
      <c r="R382" s="5" t="n"/>
      <c r="S382" s="2" t="n"/>
      <c r="T382" s="3" t="n"/>
      <c r="U382" s="87" t="n"/>
      <c r="V382" s="3" t="n"/>
      <c r="W382" s="108" t="n"/>
      <c r="X382" s="4" t="n"/>
    </row>
    <row r="383" ht="24" customHeight="1">
      <c r="A383" s="2">
        <f>+D383-S383</f>
        <v/>
      </c>
      <c r="B383" s="80" t="n"/>
      <c r="C383" s="70" t="n">
        <v>45436</v>
      </c>
      <c r="D383" s="2" t="n">
        <v>1</v>
      </c>
      <c r="E383" s="3" t="inlineStr">
        <is>
          <t>PISTOLA SEMIAUTOMATICA</t>
        </is>
      </c>
      <c r="F383" s="3" t="inlineStr">
        <is>
          <t>22 LR</t>
        </is>
      </c>
      <c r="G383" s="3" t="inlineStr">
        <is>
          <t>BERETTA</t>
        </is>
      </c>
      <c r="H383" s="65" t="n">
        <v>71</v>
      </c>
      <c r="I383" s="65" t="n">
        <v>41235</v>
      </c>
      <c r="J383" s="65" t="inlineStr">
        <is>
          <t>N/D</t>
        </is>
      </c>
      <c r="K383" s="65" t="inlineStr">
        <is>
          <t>N/D</t>
        </is>
      </c>
      <c r="L383" s="127" t="inlineStr">
        <is>
          <t>EREDI SAFARI SPORT - SEVERI GINO DI ARMILLI MARIA TERESA</t>
        </is>
      </c>
      <c r="M383" s="5" t="n">
        <v>16.39</v>
      </c>
      <c r="N383" s="5" t="n"/>
      <c r="O383" s="5">
        <f>+M383+N383</f>
        <v/>
      </c>
      <c r="P383" s="4" t="n"/>
      <c r="Q383" s="87" t="n"/>
      <c r="R383" s="5" t="n">
        <v>228</v>
      </c>
      <c r="S383" s="2" t="n">
        <v>1</v>
      </c>
      <c r="T383" s="3" t="inlineStr">
        <is>
          <t>CA04954OS</t>
        </is>
      </c>
      <c r="U383" s="87" t="n">
        <v>45874</v>
      </c>
      <c r="V383" s="3" t="inlineStr">
        <is>
          <t>25</t>
        </is>
      </c>
      <c r="W383" s="4" t="n">
        <v>45874</v>
      </c>
      <c r="X383" s="4" t="inlineStr">
        <is>
          <t>PHILIPPOS  CONSTANTINIDES
TRADING CO.LTD</t>
        </is>
      </c>
    </row>
    <row r="384" ht="24" customHeight="1">
      <c r="A384" s="2">
        <f>+D384-S384</f>
        <v/>
      </c>
      <c r="B384" s="80" t="n"/>
      <c r="C384" s="70" t="n">
        <v>45436</v>
      </c>
      <c r="D384" s="2" t="n">
        <v>1</v>
      </c>
      <c r="E384" s="3" t="inlineStr">
        <is>
          <t>PISTOLA SEMIAUTOMATICA</t>
        </is>
      </c>
      <c r="F384" s="3" t="inlineStr">
        <is>
          <t>7.65 BROW</t>
        </is>
      </c>
      <c r="G384" s="3" t="inlineStr">
        <is>
          <t>BERETTA</t>
        </is>
      </c>
      <c r="H384" s="65" t="n"/>
      <c r="I384" s="65" t="inlineStr">
        <is>
          <t>A53054W</t>
        </is>
      </c>
      <c r="J384" s="65" t="inlineStr">
        <is>
          <t>N/D</t>
        </is>
      </c>
      <c r="K384" s="65" t="inlineStr">
        <is>
          <t>N/D</t>
        </is>
      </c>
      <c r="L384" s="127" t="inlineStr">
        <is>
          <t>EREDI SAFARI SPORT - SEVERI GINO DI ARMILLI MARIA TERESA</t>
        </is>
      </c>
      <c r="M384" s="5" t="n">
        <v>16.39</v>
      </c>
      <c r="N384" s="5" t="n"/>
      <c r="O384" s="5">
        <f>+M384+N384</f>
        <v/>
      </c>
      <c r="P384" s="4" t="n"/>
      <c r="Q384" s="87" t="n"/>
      <c r="R384" s="5" t="n"/>
      <c r="S384" s="2" t="n"/>
      <c r="T384" s="3" t="n"/>
      <c r="U384" s="87" t="n"/>
      <c r="V384" s="3" t="n"/>
      <c r="W384" s="108" t="n"/>
      <c r="X384" s="4" t="n"/>
    </row>
    <row r="385" ht="24" customHeight="1">
      <c r="A385" s="2">
        <f>+D385-S385</f>
        <v/>
      </c>
      <c r="B385" s="80" t="n"/>
      <c r="C385" s="70" t="n">
        <v>45436</v>
      </c>
      <c r="D385" s="2" t="n">
        <v>1</v>
      </c>
      <c r="E385" s="3" t="inlineStr">
        <is>
          <t>PISTOLA SEMIAUTOMATICA</t>
        </is>
      </c>
      <c r="F385" s="3" t="inlineStr">
        <is>
          <t>9 CORTO</t>
        </is>
      </c>
      <c r="G385" s="3" t="inlineStr">
        <is>
          <t>WALTHER</t>
        </is>
      </c>
      <c r="H385" s="65" t="inlineStr">
        <is>
          <t>PPK/S INOX</t>
        </is>
      </c>
      <c r="I385" s="65" t="inlineStr">
        <is>
          <t>S157344</t>
        </is>
      </c>
      <c r="J385" s="65" t="inlineStr">
        <is>
          <t>N/D</t>
        </is>
      </c>
      <c r="K385" s="65" t="inlineStr">
        <is>
          <t>N/D</t>
        </is>
      </c>
      <c r="L385" s="127" t="inlineStr">
        <is>
          <t>EREDI SAFARI SPORT - SEVERI GINO DI ARMILLI MARIA TERESA</t>
        </is>
      </c>
      <c r="M385" s="5" t="n">
        <v>57.38</v>
      </c>
      <c r="N385" s="5" t="n"/>
      <c r="O385" s="5">
        <f>+M385+N385</f>
        <v/>
      </c>
      <c r="P385" s="4" t="n"/>
      <c r="Q385" s="87" t="n"/>
      <c r="R385" s="5" t="n"/>
      <c r="S385" s="2" t="n"/>
      <c r="T385" s="3" t="n"/>
      <c r="U385" s="87" t="n"/>
      <c r="V385" s="3" t="n"/>
      <c r="W385" s="108" t="n"/>
      <c r="X385" s="4" t="n"/>
    </row>
    <row r="386" ht="24" customHeight="1">
      <c r="A386" s="2">
        <f>+D386-S386</f>
        <v/>
      </c>
      <c r="B386" s="80" t="n"/>
      <c r="C386" s="70" t="n">
        <v>45436</v>
      </c>
      <c r="D386" s="2" t="n">
        <v>1</v>
      </c>
      <c r="E386" s="3" t="inlineStr">
        <is>
          <t>REVOLVER</t>
        </is>
      </c>
      <c r="F386" s="3" t="inlineStr">
        <is>
          <t>38 SPECIAL</t>
        </is>
      </c>
      <c r="G386" s="3" t="inlineStr">
        <is>
          <t>SAUER &amp; SOHN</t>
        </is>
      </c>
      <c r="H386" s="65" t="n"/>
      <c r="I386" s="65" t="n">
        <v>2360</v>
      </c>
      <c r="J386" s="65" t="inlineStr">
        <is>
          <t>N/D</t>
        </is>
      </c>
      <c r="K386" s="65" t="inlineStr">
        <is>
          <t>N/D</t>
        </is>
      </c>
      <c r="L386" s="127" t="inlineStr">
        <is>
          <t>EREDI SAFARI SPORT - SEVERI GINO DI ARMILLI MARIA TERESA</t>
        </is>
      </c>
      <c r="M386" s="5" t="n">
        <v>81.97</v>
      </c>
      <c r="N386" s="5" t="n"/>
      <c r="O386" s="5">
        <f>+M386+N386</f>
        <v/>
      </c>
      <c r="P386" s="4" t="n"/>
      <c r="Q386" s="87" t="n"/>
      <c r="R386" s="5" t="n"/>
      <c r="S386" s="2" t="n"/>
      <c r="T386" s="3" t="n"/>
      <c r="U386" s="87" t="n"/>
      <c r="V386" s="3" t="n"/>
      <c r="W386" s="108" t="n"/>
      <c r="X386" s="4" t="n"/>
    </row>
    <row r="387" ht="24" customHeight="1">
      <c r="A387" s="2">
        <f>+D387-S387</f>
        <v/>
      </c>
      <c r="B387" s="80" t="n"/>
      <c r="C387" s="70" t="n">
        <v>45436</v>
      </c>
      <c r="D387" s="2" t="n">
        <v>1</v>
      </c>
      <c r="E387" s="3" t="inlineStr">
        <is>
          <t>PISTOLA SEMIAUTOMATICA</t>
        </is>
      </c>
      <c r="F387" s="3" t="inlineStr">
        <is>
          <t>9 CORTO</t>
        </is>
      </c>
      <c r="G387" s="3" t="inlineStr">
        <is>
          <t>WALTHER</t>
        </is>
      </c>
      <c r="H387" s="65" t="inlineStr">
        <is>
          <t>PP</t>
        </is>
      </c>
      <c r="I387" s="65" t="inlineStr">
        <is>
          <t>54092A   54092</t>
        </is>
      </c>
      <c r="J387" s="65" t="inlineStr">
        <is>
          <t>N/D</t>
        </is>
      </c>
      <c r="K387" s="65" t="inlineStr">
        <is>
          <t>N/D</t>
        </is>
      </c>
      <c r="L387" s="127" t="inlineStr">
        <is>
          <t>EREDI SAFARI SPORT - SEVERI GINO DI ARMILLI MARIA TERESA</t>
        </is>
      </c>
      <c r="M387" s="5" t="n">
        <v>40.98</v>
      </c>
      <c r="N387" s="5" t="n"/>
      <c r="O387" s="5">
        <f>+M387+N387</f>
        <v/>
      </c>
      <c r="P387" s="4" t="n"/>
      <c r="Q387" s="87" t="n"/>
      <c r="R387" s="5" t="n"/>
      <c r="S387" s="2" t="n"/>
      <c r="T387" s="3" t="n"/>
      <c r="U387" s="87" t="n"/>
      <c r="V387" s="3" t="n"/>
      <c r="W387" s="108" t="n"/>
      <c r="X387" s="4" t="n"/>
    </row>
    <row r="388" ht="24" customHeight="1">
      <c r="A388" s="2">
        <f>+D388-S388</f>
        <v/>
      </c>
      <c r="B388" s="80" t="n"/>
      <c r="C388" s="70" t="n">
        <v>45436</v>
      </c>
      <c r="D388" s="2" t="n">
        <v>1</v>
      </c>
      <c r="E388" s="3" t="inlineStr">
        <is>
          <t>FUCILE A POMPA</t>
        </is>
      </c>
      <c r="F388" s="3" t="n">
        <v>12</v>
      </c>
      <c r="G388" s="3" t="inlineStr">
        <is>
          <t>FABARM</t>
        </is>
      </c>
      <c r="H388" s="65" t="inlineStr">
        <is>
          <t>MARTIAL ULTRASHORT</t>
        </is>
      </c>
      <c r="I388" s="65" t="n">
        <v>6028637</v>
      </c>
      <c r="J388" s="65" t="n">
        <v>3032097</v>
      </c>
      <c r="K388" s="65" t="inlineStr">
        <is>
          <t>N/D</t>
        </is>
      </c>
      <c r="L388" s="127" t="inlineStr">
        <is>
          <t>EREDI SAFARI SPORT - SEVERI GINO DI ARMILLI MARIA TERESA</t>
        </is>
      </c>
      <c r="M388" s="5" t="n">
        <v>163.93</v>
      </c>
      <c r="N388" s="5" t="n"/>
      <c r="O388" s="5">
        <f>+M388+N388</f>
        <v/>
      </c>
      <c r="P388" s="4" t="n"/>
      <c r="Q388" s="87" t="n"/>
      <c r="R388" s="5" t="n">
        <v>194</v>
      </c>
      <c r="S388" s="2" t="n">
        <v>1</v>
      </c>
      <c r="T388" s="3" t="inlineStr">
        <is>
          <t>CA42796IR</t>
        </is>
      </c>
      <c r="U388" s="87" t="n">
        <v>45821</v>
      </c>
      <c r="V388" s="3" t="inlineStr">
        <is>
          <t>11</t>
        </is>
      </c>
      <c r="W388" s="108" t="n">
        <v>45821</v>
      </c>
      <c r="X388" s="4" t="inlineStr">
        <is>
          <t>PHILIPPOS COSTANTINIDES TRADING CO. LTD</t>
        </is>
      </c>
    </row>
    <row r="389" ht="24" customHeight="1">
      <c r="A389" s="2">
        <f>+D389-S389</f>
        <v/>
      </c>
      <c r="B389" s="80" t="n"/>
      <c r="C389" s="70" t="n">
        <v>45436</v>
      </c>
      <c r="D389" s="2" t="n">
        <v>1</v>
      </c>
      <c r="E389" s="3" t="inlineStr">
        <is>
          <t>PISTOLA SEMIAUTOMATICA</t>
        </is>
      </c>
      <c r="F389" s="3" t="inlineStr">
        <is>
          <t>22 LR</t>
        </is>
      </c>
      <c r="G389" s="3" t="inlineStr">
        <is>
          <t>TOZZ</t>
        </is>
      </c>
      <c r="H389" s="65" t="n"/>
      <c r="I389" s="65" t="inlineStr">
        <is>
          <t>B2286A</t>
        </is>
      </c>
      <c r="J389" s="65" t="inlineStr">
        <is>
          <t>N/D</t>
        </is>
      </c>
      <c r="K389" s="65" t="inlineStr">
        <is>
          <t>N/D</t>
        </is>
      </c>
      <c r="L389" s="127" t="inlineStr">
        <is>
          <t>EREDI SAFARI SPORT - SEVERI GINO DI ARMILLI MARIA TERESA</t>
        </is>
      </c>
      <c r="M389" s="5" t="n">
        <v>122.95</v>
      </c>
      <c r="N389" s="5" t="n"/>
      <c r="O389" s="5">
        <f>+M389+N389</f>
        <v/>
      </c>
      <c r="P389" s="4" t="n"/>
      <c r="Q389" s="87" t="n"/>
      <c r="R389" s="5" t="n"/>
      <c r="S389" s="2" t="n"/>
      <c r="T389" s="3" t="n"/>
      <c r="U389" s="87" t="n"/>
      <c r="V389" s="3" t="n"/>
      <c r="W389" s="108" t="n"/>
      <c r="X389" s="4" t="n"/>
    </row>
    <row r="390" ht="24" customHeight="1">
      <c r="A390" s="2">
        <f>+D390-S390</f>
        <v/>
      </c>
      <c r="B390" s="80" t="n"/>
      <c r="C390" s="70" t="n">
        <v>45436</v>
      </c>
      <c r="D390" s="2" t="n">
        <v>1</v>
      </c>
      <c r="E390" s="3" t="inlineStr">
        <is>
          <t>REVOLVER</t>
        </is>
      </c>
      <c r="F390" s="3" t="inlineStr">
        <is>
          <t>22 LR</t>
        </is>
      </c>
      <c r="G390" s="3" t="inlineStr">
        <is>
          <t>FREEDOM ARMS</t>
        </is>
      </c>
      <c r="H390" s="65" t="n"/>
      <c r="I390" s="65" t="inlineStr">
        <is>
          <t>A06093</t>
        </is>
      </c>
      <c r="J390" s="65" t="inlineStr">
        <is>
          <t>N/D</t>
        </is>
      </c>
      <c r="K390" s="65" t="inlineStr">
        <is>
          <t>N/D</t>
        </is>
      </c>
      <c r="L390" s="127" t="inlineStr">
        <is>
          <t>EREDI SAFARI SPORT - SEVERI GINO DI ARMILLI MARIA TERESA</t>
        </is>
      </c>
      <c r="M390" s="5" t="n">
        <v>40.98</v>
      </c>
      <c r="N390" s="5" t="n"/>
      <c r="O390" s="5">
        <f>+M390+N390</f>
        <v/>
      </c>
      <c r="P390" s="4" t="n"/>
      <c r="Q390" s="87" t="n"/>
      <c r="R390" s="5" t="n">
        <v>43</v>
      </c>
      <c r="S390" s="2" t="n">
        <v>1</v>
      </c>
      <c r="T390" s="3" t="inlineStr">
        <is>
          <t>CA04954OS</t>
        </is>
      </c>
      <c r="U390" s="87" t="n">
        <v>45874</v>
      </c>
      <c r="V390" s="3" t="inlineStr">
        <is>
          <t>25</t>
        </is>
      </c>
      <c r="W390" s="4" t="n">
        <v>45874</v>
      </c>
      <c r="X390" s="4" t="inlineStr">
        <is>
          <t>PHILIPPOS  CONSTANTINIDES
TRADING CO.LTD</t>
        </is>
      </c>
    </row>
    <row r="391" ht="24" customHeight="1">
      <c r="A391" s="2">
        <f>+D391-S391</f>
        <v/>
      </c>
      <c r="B391" s="80" t="n"/>
      <c r="C391" s="70" t="n">
        <v>45436</v>
      </c>
      <c r="D391" s="2" t="n">
        <v>1</v>
      </c>
      <c r="E391" s="3" t="inlineStr">
        <is>
          <t>PISTOLA SEMIAUTOMATICA</t>
        </is>
      </c>
      <c r="F391" s="3" t="inlineStr">
        <is>
          <t>9 LUGER</t>
        </is>
      </c>
      <c r="G391" s="3" t="inlineStr">
        <is>
          <t>SIG SAUER</t>
        </is>
      </c>
      <c r="H391" s="65" t="inlineStr">
        <is>
          <t>P210</t>
        </is>
      </c>
      <c r="I391" s="65" t="inlineStr">
        <is>
          <t>P83479</t>
        </is>
      </c>
      <c r="J391" s="65" t="inlineStr">
        <is>
          <t>N/D</t>
        </is>
      </c>
      <c r="K391" s="65" t="inlineStr">
        <is>
          <t>N/D</t>
        </is>
      </c>
      <c r="L391" s="127" t="inlineStr">
        <is>
          <t>EREDI SAFARI SPORT - SEVERI GINO DI ARMILLI MARIA TERESA</t>
        </is>
      </c>
      <c r="M391" s="5" t="n">
        <v>655.74</v>
      </c>
      <c r="N391" s="5" t="n"/>
      <c r="O391" s="5">
        <f>+M391+N391</f>
        <v/>
      </c>
      <c r="P391" s="4" t="n"/>
      <c r="Q391" s="87" t="n"/>
      <c r="R391" s="5" t="n">
        <v>950</v>
      </c>
      <c r="S391" s="2" t="n">
        <v>1</v>
      </c>
      <c r="T391" s="3" t="inlineStr">
        <is>
          <t>CA04954OS</t>
        </is>
      </c>
      <c r="U391" s="87" t="n">
        <v>45874</v>
      </c>
      <c r="V391" s="3" t="inlineStr">
        <is>
          <t>25</t>
        </is>
      </c>
      <c r="W391" s="4" t="n">
        <v>45874</v>
      </c>
      <c r="X391" s="4" t="inlineStr">
        <is>
          <t>PHILIPPOS  CONSTANTINIDES
TRADING CO.LTD</t>
        </is>
      </c>
    </row>
    <row r="392" ht="24" customHeight="1">
      <c r="A392" s="2">
        <f>+D392-S392</f>
        <v/>
      </c>
      <c r="B392" s="80" t="n"/>
      <c r="C392" s="70" t="n">
        <v>45436</v>
      </c>
      <c r="D392" s="2" t="n">
        <v>1</v>
      </c>
      <c r="E392" s="3" t="inlineStr">
        <is>
          <t>PISTOLA SEMIAUTOMATICA</t>
        </is>
      </c>
      <c r="F392" s="3" t="inlineStr">
        <is>
          <t>22 LR</t>
        </is>
      </c>
      <c r="G392" s="3" t="inlineStr">
        <is>
          <t>SMITH &amp; WESSON</t>
        </is>
      </c>
      <c r="H392" s="65" t="n"/>
      <c r="I392" s="65" t="inlineStr">
        <is>
          <t>UBJ1165</t>
        </is>
      </c>
      <c r="J392" s="65" t="inlineStr">
        <is>
          <t>N/D</t>
        </is>
      </c>
      <c r="K392" s="65" t="inlineStr">
        <is>
          <t>N/D</t>
        </is>
      </c>
      <c r="L392" s="127" t="inlineStr">
        <is>
          <t>EREDI SAFARI SPORT - SEVERI GINO DI ARMILLI MARIA TERESA</t>
        </is>
      </c>
      <c r="M392" s="5" t="n">
        <v>163.93</v>
      </c>
      <c r="N392" s="5" t="n"/>
      <c r="O392" s="5">
        <f>+M392+N392</f>
        <v/>
      </c>
      <c r="P392" s="4" t="n"/>
      <c r="Q392" s="87" t="n"/>
      <c r="R392" s="5" t="n">
        <v>172</v>
      </c>
      <c r="S392" s="2" t="n">
        <v>1</v>
      </c>
      <c r="T392" s="3" t="inlineStr">
        <is>
          <t>CA04954OS</t>
        </is>
      </c>
      <c r="U392" s="87" t="n">
        <v>45874</v>
      </c>
      <c r="V392" s="3" t="inlineStr">
        <is>
          <t>25</t>
        </is>
      </c>
      <c r="W392" s="4" t="n">
        <v>45874</v>
      </c>
      <c r="X392" s="4" t="inlineStr">
        <is>
          <t>PHILIPPOS  CONSTANTINIDES
TRADING CO.LTD</t>
        </is>
      </c>
    </row>
    <row r="393" ht="24" customHeight="1">
      <c r="A393" s="2">
        <f>+D393-S393</f>
        <v/>
      </c>
      <c r="B393" s="80" t="n"/>
      <c r="C393" s="70" t="n">
        <v>45436</v>
      </c>
      <c r="D393" s="2" t="n">
        <v>1</v>
      </c>
      <c r="E393" s="3" t="inlineStr">
        <is>
          <t>PISTOLA SEMIAUTOMATICA</t>
        </is>
      </c>
      <c r="F393" s="3" t="inlineStr">
        <is>
          <t>22 LR</t>
        </is>
      </c>
      <c r="G393" s="3" t="inlineStr">
        <is>
          <t>BERETTA</t>
        </is>
      </c>
      <c r="H393" s="65" t="n">
        <v>89</v>
      </c>
      <c r="I393" s="65" t="inlineStr">
        <is>
          <t>C15749U</t>
        </is>
      </c>
      <c r="J393" s="65" t="inlineStr">
        <is>
          <t>N/D</t>
        </is>
      </c>
      <c r="K393" s="65" t="inlineStr">
        <is>
          <t>N/D</t>
        </is>
      </c>
      <c r="L393" s="127" t="inlineStr">
        <is>
          <t>EREDI SAFARI SPORT - SEVERI GINO DI ARMILLI MARIA TERESA</t>
        </is>
      </c>
      <c r="M393" s="5" t="n">
        <v>163.93</v>
      </c>
      <c r="N393" s="5" t="n"/>
      <c r="O393" s="5">
        <f>+M393+N393</f>
        <v/>
      </c>
      <c r="P393" s="4" t="n"/>
      <c r="Q393" s="87" t="n"/>
      <c r="R393" s="5" t="n">
        <v>304</v>
      </c>
      <c r="S393" s="2" t="n">
        <v>1</v>
      </c>
      <c r="T393" s="3" t="inlineStr">
        <is>
          <t>CA04954OS</t>
        </is>
      </c>
      <c r="U393" s="87" t="n">
        <v>45874</v>
      </c>
      <c r="V393" s="3" t="inlineStr">
        <is>
          <t>25</t>
        </is>
      </c>
      <c r="W393" s="4" t="n">
        <v>45874</v>
      </c>
      <c r="X393" s="4" t="inlineStr">
        <is>
          <t>PHILIPPOS  CONSTANTINIDES
TRADING CO.LTD</t>
        </is>
      </c>
    </row>
    <row r="394" ht="24" customHeight="1">
      <c r="A394" s="2">
        <f>+D394-S394</f>
        <v/>
      </c>
      <c r="B394" s="80" t="n"/>
      <c r="C394" s="70" t="n">
        <v>45436</v>
      </c>
      <c r="D394" s="2" t="n">
        <v>1</v>
      </c>
      <c r="E394" s="3" t="inlineStr">
        <is>
          <t>PISTOLA SEMIAUTOMATICA</t>
        </is>
      </c>
      <c r="F394" s="3" t="inlineStr">
        <is>
          <t>22 LR</t>
        </is>
      </c>
      <c r="G394" s="3" t="inlineStr">
        <is>
          <t>BERETTA</t>
        </is>
      </c>
      <c r="H394" s="65" t="n">
        <v>76</v>
      </c>
      <c r="I394" s="65" t="inlineStr">
        <is>
          <t>A04060U</t>
        </is>
      </c>
      <c r="J394" s="65" t="inlineStr">
        <is>
          <t>N/D</t>
        </is>
      </c>
      <c r="K394" s="65" t="inlineStr">
        <is>
          <t>N/D</t>
        </is>
      </c>
      <c r="L394" s="127" t="inlineStr">
        <is>
          <t>EREDI SAFARI SPORT - SEVERI GINO DI ARMILLI MARIA TERESA</t>
        </is>
      </c>
      <c r="M394" s="5" t="n">
        <v>163.93</v>
      </c>
      <c r="N394" s="5" t="n"/>
      <c r="O394" s="5">
        <f>+M394+N394</f>
        <v/>
      </c>
      <c r="P394" s="4" t="n"/>
      <c r="Q394" s="87" t="n"/>
      <c r="R394" s="5" t="n">
        <v>304</v>
      </c>
      <c r="S394" s="2" t="n">
        <v>1</v>
      </c>
      <c r="T394" s="3" t="inlineStr">
        <is>
          <t>CA04954OS</t>
        </is>
      </c>
      <c r="U394" s="87" t="n">
        <v>45874</v>
      </c>
      <c r="V394" s="3" t="inlineStr">
        <is>
          <t>25</t>
        </is>
      </c>
      <c r="W394" s="4" t="n">
        <v>45874</v>
      </c>
      <c r="X394" s="4" t="inlineStr">
        <is>
          <t>PHILIPPOS  CONSTANTINIDES
TRADING CO.LTD</t>
        </is>
      </c>
    </row>
    <row r="395" ht="24" customHeight="1">
      <c r="A395" s="2">
        <f>+D395-S395</f>
        <v/>
      </c>
      <c r="B395" s="80" t="n"/>
      <c r="C395" s="70" t="n">
        <v>45436</v>
      </c>
      <c r="D395" s="2" t="n">
        <v>1</v>
      </c>
      <c r="E395" s="3" t="inlineStr">
        <is>
          <t>CARABINA AD ARIA COMPRESSA</t>
        </is>
      </c>
      <c r="F395" s="3" t="n">
        <v>4.5</v>
      </c>
      <c r="G395" s="3" t="inlineStr">
        <is>
          <t>DIANA</t>
        </is>
      </c>
      <c r="H395" s="65" t="n">
        <v>50</v>
      </c>
      <c r="I395" s="65" t="n">
        <v>71378240</v>
      </c>
      <c r="J395" s="65" t="inlineStr">
        <is>
          <t>N/D</t>
        </is>
      </c>
      <c r="K395" s="65" t="inlineStr">
        <is>
          <t>N/D</t>
        </is>
      </c>
      <c r="L395" s="127" t="inlineStr">
        <is>
          <t>EREDI SAFARI SPORT - SEVERI GINO DI ARMILLI MARIA TERESA</t>
        </is>
      </c>
      <c r="M395" s="5" t="n">
        <v>12.3</v>
      </c>
      <c r="N395" s="5" t="n"/>
      <c r="O395" s="5">
        <f>+M395+N395</f>
        <v/>
      </c>
      <c r="P395" s="4" t="n"/>
      <c r="Q395" s="87" t="n"/>
      <c r="R395" s="5" t="n">
        <v>15</v>
      </c>
      <c r="S395" s="2" t="n">
        <v>1</v>
      </c>
      <c r="T395" s="3" t="inlineStr">
        <is>
          <t>CA42796IR</t>
        </is>
      </c>
      <c r="U395" s="87" t="n">
        <v>45821</v>
      </c>
      <c r="V395" s="3" t="inlineStr">
        <is>
          <t>11</t>
        </is>
      </c>
      <c r="W395" s="108" t="n">
        <v>45821</v>
      </c>
      <c r="X395" s="4" t="inlineStr">
        <is>
          <t>PHILIPPOS COSTANTINIDES TRADING CO. LTD</t>
        </is>
      </c>
    </row>
    <row r="396" ht="24" customHeight="1">
      <c r="A396" s="2">
        <f>+D396-S396</f>
        <v/>
      </c>
      <c r="B396" s="80" t="n"/>
      <c r="C396" s="70" t="n">
        <v>45436</v>
      </c>
      <c r="D396" s="2" t="n">
        <v>1</v>
      </c>
      <c r="E396" s="3" t="inlineStr">
        <is>
          <t>FUCILE SEMIAUTOMATICO</t>
        </is>
      </c>
      <c r="F396" s="3" t="inlineStr">
        <is>
          <t>9 FLOBERT</t>
        </is>
      </c>
      <c r="G396" s="3" t="inlineStr">
        <is>
          <t>BERNARDELLI</t>
        </is>
      </c>
      <c r="H396" s="65" t="inlineStr">
        <is>
          <t>GIARDINO</t>
        </is>
      </c>
      <c r="I396" s="65" t="n">
        <v>12829</v>
      </c>
      <c r="J396" s="65" t="inlineStr">
        <is>
          <t>N/D</t>
        </is>
      </c>
      <c r="K396" s="65" t="inlineStr">
        <is>
          <t>N/D</t>
        </is>
      </c>
      <c r="L396" s="127" t="inlineStr">
        <is>
          <t>EREDI SAFARI SPORT - SEVERI GINO DI ARMILLI MARIA TERESA</t>
        </is>
      </c>
      <c r="M396" s="5" t="n">
        <v>20.49</v>
      </c>
      <c r="N396" s="5" t="n"/>
      <c r="O396" s="5">
        <f>+M396+N396</f>
        <v/>
      </c>
      <c r="P396" s="4" t="n"/>
      <c r="Q396" s="87" t="n"/>
      <c r="R396" s="5" t="n">
        <v>25</v>
      </c>
      <c r="S396" s="2" t="n">
        <v>1</v>
      </c>
      <c r="T396" s="3" t="inlineStr">
        <is>
          <t>CA42796IR</t>
        </is>
      </c>
      <c r="U396" s="87" t="n">
        <v>45821</v>
      </c>
      <c r="V396" s="3" t="inlineStr">
        <is>
          <t>12</t>
        </is>
      </c>
      <c r="W396" s="108" t="n">
        <v>45821</v>
      </c>
      <c r="X396" s="4" t="inlineStr">
        <is>
          <t>PHILIPPOS COSTANTINIDES TRADING CO. LTD</t>
        </is>
      </c>
    </row>
    <row r="397" ht="24" customHeight="1">
      <c r="A397" s="2">
        <f>+D397-S397</f>
        <v/>
      </c>
      <c r="B397" s="80" t="n"/>
      <c r="C397" s="70" t="n">
        <v>45436</v>
      </c>
      <c r="D397" s="2" t="n">
        <v>1</v>
      </c>
      <c r="E397" s="3" t="inlineStr">
        <is>
          <t>CARABINA AD ARIA COMPRESSA</t>
        </is>
      </c>
      <c r="F397" s="3" t="n">
        <v>5.5</v>
      </c>
      <c r="G397" s="3" t="inlineStr">
        <is>
          <t>DAYSY-HEDON</t>
        </is>
      </c>
      <c r="H397" s="65" t="n"/>
      <c r="I397" s="65" t="inlineStr">
        <is>
          <t>A035172</t>
        </is>
      </c>
      <c r="J397" s="65" t="inlineStr">
        <is>
          <t>N/D</t>
        </is>
      </c>
      <c r="K397" s="65" t="inlineStr">
        <is>
          <t>N/D</t>
        </is>
      </c>
      <c r="L397" s="127" t="inlineStr">
        <is>
          <t>EREDI SAFARI SPORT - SEVERI GINO DI ARMILLI MARIA TERESA</t>
        </is>
      </c>
      <c r="M397" s="5" t="n">
        <v>20.49</v>
      </c>
      <c r="N397" s="5" t="n"/>
      <c r="O397" s="5">
        <f>+M397+N397</f>
        <v/>
      </c>
      <c r="P397" s="4" t="n"/>
      <c r="Q397" s="87" t="n"/>
      <c r="R397" s="5" t="n">
        <v>25</v>
      </c>
      <c r="S397" s="2" t="n">
        <v>1</v>
      </c>
      <c r="T397" s="3" t="inlineStr">
        <is>
          <t>CA42796IR</t>
        </is>
      </c>
      <c r="U397" s="87" t="n">
        <v>45821</v>
      </c>
      <c r="V397" s="3" t="inlineStr">
        <is>
          <t>16</t>
        </is>
      </c>
      <c r="W397" s="108" t="n">
        <v>45821</v>
      </c>
      <c r="X397" s="4" t="inlineStr">
        <is>
          <t>PHILIPPOS COSTANTINIDES TRADING CO. LTD</t>
        </is>
      </c>
    </row>
    <row r="398" ht="24" customHeight="1">
      <c r="A398" s="2">
        <f>+D398-S398</f>
        <v/>
      </c>
      <c r="B398" s="80" t="n"/>
      <c r="C398" s="70" t="n">
        <v>45436</v>
      </c>
      <c r="D398" s="2" t="n">
        <v>1</v>
      </c>
      <c r="E398" s="3" t="inlineStr">
        <is>
          <t>CARABINA</t>
        </is>
      </c>
      <c r="F398" s="3" t="inlineStr">
        <is>
          <t>22 LR</t>
        </is>
      </c>
      <c r="G398" s="3" t="inlineStr">
        <is>
          <t>Winchester</t>
        </is>
      </c>
      <c r="H398" s="65" t="n"/>
      <c r="I398" s="65" t="inlineStr">
        <is>
          <t>26261B1530512</t>
        </is>
      </c>
      <c r="J398" s="65" t="inlineStr">
        <is>
          <t>N/D</t>
        </is>
      </c>
      <c r="K398" s="65" t="inlineStr">
        <is>
          <t>N/D</t>
        </is>
      </c>
      <c r="L398" s="127" t="inlineStr">
        <is>
          <t>EREDI SAFARI SPORT - SEVERI GINO DI ARMILLI MARIA TERESA</t>
        </is>
      </c>
      <c r="M398" s="5" t="n">
        <v>61.48</v>
      </c>
      <c r="N398" s="5" t="n"/>
      <c r="O398" s="5">
        <f>+M398+N398</f>
        <v/>
      </c>
      <c r="P398" s="4" t="n"/>
      <c r="Q398" s="87" t="n"/>
      <c r="R398" s="5" t="n">
        <v>26</v>
      </c>
      <c r="S398" s="2" t="n"/>
      <c r="T398" s="3" t="n"/>
      <c r="U398" s="87" t="n"/>
      <c r="V398" s="3" t="n"/>
      <c r="W398" s="108" t="n"/>
      <c r="X398" s="4" t="n"/>
    </row>
    <row r="399" ht="24" customHeight="1">
      <c r="A399" s="2">
        <f>+D399-S399</f>
        <v/>
      </c>
      <c r="B399" s="80" t="n"/>
      <c r="C399" s="70" t="n">
        <v>45436</v>
      </c>
      <c r="D399" s="2" t="n">
        <v>1</v>
      </c>
      <c r="E399" s="3" t="inlineStr">
        <is>
          <t>CARABINA</t>
        </is>
      </c>
      <c r="F399" s="3" t="inlineStr">
        <is>
          <t>22 LR</t>
        </is>
      </c>
      <c r="G399" s="3" t="inlineStr">
        <is>
          <t>BERETTA</t>
        </is>
      </c>
      <c r="H399" s="65" t="n"/>
      <c r="I399" s="65" t="n">
        <v>781</v>
      </c>
      <c r="J399" s="65" t="inlineStr">
        <is>
          <t>N/D</t>
        </is>
      </c>
      <c r="K399" s="65" t="inlineStr">
        <is>
          <t>N/D</t>
        </is>
      </c>
      <c r="L399" s="127" t="inlineStr">
        <is>
          <t>EREDI SAFARI SPORT - SEVERI GINO DI ARMILLI MARIA TERESA</t>
        </is>
      </c>
      <c r="M399" s="5" t="n">
        <v>61.48</v>
      </c>
      <c r="N399" s="5" t="n"/>
      <c r="O399" s="5">
        <f>+M399+N399</f>
        <v/>
      </c>
      <c r="P399" s="4" t="n"/>
      <c r="Q399" s="87" t="n"/>
      <c r="R399" s="5" t="n"/>
      <c r="S399" s="2" t="n"/>
      <c r="T399" s="3" t="n"/>
      <c r="U399" s="87" t="n"/>
      <c r="V399" s="3" t="n"/>
      <c r="W399" s="108" t="n"/>
      <c r="X399" s="4" t="n"/>
    </row>
    <row r="400" ht="24" customHeight="1">
      <c r="A400" s="2">
        <f>+D400-S400</f>
        <v/>
      </c>
      <c r="B400" s="80" t="n"/>
      <c r="C400" s="70" t="n">
        <v>45436</v>
      </c>
      <c r="D400" s="2" t="n">
        <v>1</v>
      </c>
      <c r="E400" s="3" t="inlineStr">
        <is>
          <t>FUCILE MONOCANNA</t>
        </is>
      </c>
      <c r="F400" s="3" t="inlineStr">
        <is>
          <t>9 FLOBERT</t>
        </is>
      </c>
      <c r="G400" s="3" t="inlineStr">
        <is>
          <t>BERNARDELLI</t>
        </is>
      </c>
      <c r="H400" s="65" t="n"/>
      <c r="I400" s="65" t="n">
        <v>18717</v>
      </c>
      <c r="J400" s="65" t="inlineStr">
        <is>
          <t>N/D</t>
        </is>
      </c>
      <c r="K400" s="65" t="inlineStr">
        <is>
          <t>N/D</t>
        </is>
      </c>
      <c r="L400" s="127" t="inlineStr">
        <is>
          <t>EREDI SAFARI SPORT - SEVERI GINO DI ARMILLI MARIA TERESA</t>
        </is>
      </c>
      <c r="M400" s="5" t="n">
        <v>0</v>
      </c>
      <c r="N400" s="5" t="n"/>
      <c r="O400" s="5">
        <f>+M400+N400</f>
        <v/>
      </c>
      <c r="P400" s="4" t="n"/>
      <c r="Q400" s="87" t="n"/>
      <c r="R400" s="5" t="n">
        <v>15</v>
      </c>
      <c r="S400" s="2" t="n">
        <v>1</v>
      </c>
      <c r="T400" s="3" t="inlineStr">
        <is>
          <t>CA42796IR</t>
        </is>
      </c>
      <c r="U400" s="87" t="n">
        <v>45821</v>
      </c>
      <c r="V400" s="3" t="inlineStr">
        <is>
          <t>12</t>
        </is>
      </c>
      <c r="W400" s="108" t="n">
        <v>45821</v>
      </c>
      <c r="X400" s="4" t="inlineStr">
        <is>
          <t>PHILIPPOS COSTANTINIDES TRADING CO. LTD</t>
        </is>
      </c>
    </row>
    <row r="401" ht="24" customHeight="1">
      <c r="A401" s="2">
        <f>+D401-S401</f>
        <v/>
      </c>
      <c r="B401" s="80" t="n"/>
      <c r="C401" s="70" t="n">
        <v>45436</v>
      </c>
      <c r="D401" s="2" t="n">
        <v>1</v>
      </c>
      <c r="E401" s="3" t="inlineStr">
        <is>
          <t>CARABINA</t>
        </is>
      </c>
      <c r="F401" s="3" t="inlineStr">
        <is>
          <t>22 LR</t>
        </is>
      </c>
      <c r="G401" s="3" t="inlineStr">
        <is>
          <t>REMINGTON</t>
        </is>
      </c>
      <c r="H401" s="65" t="inlineStr">
        <is>
          <t>VIPER</t>
        </is>
      </c>
      <c r="I401" s="65" t="n">
        <v>3154707</v>
      </c>
      <c r="J401" s="65" t="inlineStr">
        <is>
          <t>N/D</t>
        </is>
      </c>
      <c r="K401" s="65" t="inlineStr">
        <is>
          <t>N/D</t>
        </is>
      </c>
      <c r="L401" s="127" t="inlineStr">
        <is>
          <t>EREDI SAFARI SPORT - SEVERI GINO DI ARMILLI MARIA TERESA</t>
        </is>
      </c>
      <c r="M401" s="5" t="n">
        <v>40.98</v>
      </c>
      <c r="N401" s="5" t="n"/>
      <c r="O401" s="5">
        <f>+M401+N401</f>
        <v/>
      </c>
      <c r="P401" s="4" t="n"/>
      <c r="Q401" s="87" t="n"/>
      <c r="R401" s="5" t="n">
        <v>410</v>
      </c>
      <c r="S401" s="2" t="n">
        <v>1</v>
      </c>
      <c r="T401" s="3" t="inlineStr">
        <is>
          <t>CA04954OS</t>
        </is>
      </c>
      <c r="U401" s="87" t="n">
        <v>45874</v>
      </c>
      <c r="V401" s="3" t="inlineStr">
        <is>
          <t>26</t>
        </is>
      </c>
      <c r="W401" s="4" t="n">
        <v>45874</v>
      </c>
      <c r="X401" s="4" t="inlineStr">
        <is>
          <t>PHILIPPOS  CONSTANTINIDES
TRADING CO.LTD</t>
        </is>
      </c>
    </row>
    <row r="402" ht="24" customHeight="1">
      <c r="A402" s="2">
        <f>+D402-S402</f>
        <v/>
      </c>
      <c r="B402" s="80" t="n"/>
      <c r="C402" s="70" t="n">
        <v>45436</v>
      </c>
      <c r="D402" s="2" t="n">
        <v>1</v>
      </c>
      <c r="E402" s="3" t="inlineStr">
        <is>
          <t>FUCILE MONOCANNA</t>
        </is>
      </c>
      <c r="F402" s="3" t="n">
        <v>20</v>
      </c>
      <c r="G402" s="3" t="inlineStr">
        <is>
          <t>MAVI</t>
        </is>
      </c>
      <c r="H402" s="65" t="n">
        <v>70</v>
      </c>
      <c r="I402" s="65" t="n">
        <v>34544</v>
      </c>
      <c r="J402" s="65" t="inlineStr">
        <is>
          <t>N/D</t>
        </is>
      </c>
      <c r="K402" s="65" t="inlineStr">
        <is>
          <t>N/D</t>
        </is>
      </c>
      <c r="L402" s="127" t="inlineStr">
        <is>
          <t>EREDI SAFARI SPORT - SEVERI GINO DI ARMILLI MARIA TERESA</t>
        </is>
      </c>
      <c r="M402" s="5" t="n">
        <v>16.39</v>
      </c>
      <c r="N402" s="5" t="n"/>
      <c r="O402" s="5">
        <f>+M402+N402</f>
        <v/>
      </c>
      <c r="P402" s="4" t="n"/>
      <c r="Q402" s="87" t="n"/>
      <c r="R402" s="5" t="n">
        <v>24</v>
      </c>
      <c r="S402" s="2" t="n">
        <v>1</v>
      </c>
      <c r="T402" s="3" t="inlineStr">
        <is>
          <t>CA42796IR</t>
        </is>
      </c>
      <c r="U402" s="87" t="n">
        <v>45821</v>
      </c>
      <c r="V402" s="3" t="inlineStr">
        <is>
          <t>8</t>
        </is>
      </c>
      <c r="W402" s="108" t="n">
        <v>45821</v>
      </c>
      <c r="X402" s="4" t="inlineStr">
        <is>
          <t>PHILIPPOS COSTANTINIDES TRADING CO. LTD</t>
        </is>
      </c>
    </row>
    <row r="403" ht="24" customHeight="1">
      <c r="A403" s="2">
        <f>+D403-S403</f>
        <v/>
      </c>
      <c r="B403" s="80" t="n"/>
      <c r="C403" s="70" t="n">
        <v>45436</v>
      </c>
      <c r="D403" s="2" t="n">
        <v>1</v>
      </c>
      <c r="E403" s="3" t="inlineStr">
        <is>
          <t>CARABINA AD ARIA COMPRESSA</t>
        </is>
      </c>
      <c r="F403" s="3" t="n">
        <v>4.5</v>
      </c>
      <c r="G403" s="3" t="inlineStr">
        <is>
          <t>DIANA</t>
        </is>
      </c>
      <c r="H403" s="65" t="n">
        <v>50</v>
      </c>
      <c r="I403" s="65" t="n">
        <v>108103</v>
      </c>
      <c r="J403" s="65" t="inlineStr">
        <is>
          <t>N/D</t>
        </is>
      </c>
      <c r="K403" s="65" t="inlineStr">
        <is>
          <t>N/D</t>
        </is>
      </c>
      <c r="L403" s="127" t="inlineStr">
        <is>
          <t>EREDI SAFARI SPORT - SEVERI GINO DI ARMILLI MARIA TERESA</t>
        </is>
      </c>
      <c r="M403" s="5" t="n">
        <v>12.3</v>
      </c>
      <c r="N403" s="5" t="n"/>
      <c r="O403" s="5">
        <f>+M403+N403</f>
        <v/>
      </c>
      <c r="P403" s="4" t="n"/>
      <c r="Q403" s="87" t="n"/>
      <c r="R403" s="5" t="n">
        <v>15</v>
      </c>
      <c r="S403" s="2" t="n">
        <v>1</v>
      </c>
      <c r="T403" s="3" t="inlineStr">
        <is>
          <t>CA42796IR</t>
        </is>
      </c>
      <c r="U403" s="87" t="n">
        <v>45821</v>
      </c>
      <c r="V403" s="3" t="inlineStr">
        <is>
          <t>16</t>
        </is>
      </c>
      <c r="W403" s="108" t="n">
        <v>45821</v>
      </c>
      <c r="X403" s="4" t="inlineStr">
        <is>
          <t>PHILIPPOS COSTANTINIDES TRADING CO. LTD</t>
        </is>
      </c>
    </row>
    <row r="404" ht="24" customHeight="1">
      <c r="A404" s="2">
        <f>+D404-S404</f>
        <v/>
      </c>
      <c r="B404" s="80" t="n"/>
      <c r="C404" s="70" t="n">
        <v>45436</v>
      </c>
      <c r="D404" s="2" t="n">
        <v>1</v>
      </c>
      <c r="E404" s="3" t="inlineStr">
        <is>
          <t>CARABINA AD ARIA COMPRESSA</t>
        </is>
      </c>
      <c r="F404" s="3" t="n">
        <v>4.5</v>
      </c>
      <c r="G404" s="3" t="inlineStr">
        <is>
          <t>NORICA</t>
        </is>
      </c>
      <c r="H404" s="65" t="n">
        <v>73</v>
      </c>
      <c r="I404" s="65" t="inlineStr">
        <is>
          <t>44-1C-14983-97</t>
        </is>
      </c>
      <c r="J404" s="65" t="inlineStr">
        <is>
          <t>N/D</t>
        </is>
      </c>
      <c r="K404" s="65" t="inlineStr">
        <is>
          <t>N/D</t>
        </is>
      </c>
      <c r="L404" s="127" t="inlineStr">
        <is>
          <t>EREDI SAFARI SPORT - SEVERI GINO DI ARMILLI MARIA TERESA</t>
        </is>
      </c>
      <c r="M404" s="5" t="n">
        <v>12.3</v>
      </c>
      <c r="N404" s="5" t="n"/>
      <c r="O404" s="5">
        <f>+M404+N404</f>
        <v/>
      </c>
      <c r="P404" s="4" t="n"/>
      <c r="Q404" s="87" t="n"/>
      <c r="R404" s="5" t="n">
        <v>15</v>
      </c>
      <c r="S404" s="2" t="n">
        <v>1</v>
      </c>
      <c r="T404" s="3" t="inlineStr">
        <is>
          <t>CA42796IR</t>
        </is>
      </c>
      <c r="U404" s="87" t="n">
        <v>45821</v>
      </c>
      <c r="V404" s="3" t="inlineStr">
        <is>
          <t>16</t>
        </is>
      </c>
      <c r="W404" s="108" t="n">
        <v>45821</v>
      </c>
      <c r="X404" s="4" t="inlineStr">
        <is>
          <t>PHILIPPOS COSTANTINIDES TRADING CO. LTD</t>
        </is>
      </c>
    </row>
    <row r="405" ht="24" customHeight="1">
      <c r="A405" s="2">
        <f>+D405-S405</f>
        <v/>
      </c>
      <c r="B405" s="80" t="n"/>
      <c r="C405" s="70" t="n">
        <v>45436</v>
      </c>
      <c r="D405" s="2" t="n">
        <v>1</v>
      </c>
      <c r="E405" s="3" t="inlineStr">
        <is>
          <t>FUCILE SOVRAPPOSTO</t>
        </is>
      </c>
      <c r="F405" s="3" t="n">
        <v>28</v>
      </c>
      <c r="G405" s="3" t="inlineStr">
        <is>
          <t>RIZZINI</t>
        </is>
      </c>
      <c r="H405" s="65" t="inlineStr">
        <is>
          <t>OMNIUM</t>
        </is>
      </c>
      <c r="I405" s="65" t="n">
        <v>72870</v>
      </c>
      <c r="J405" s="65" t="inlineStr">
        <is>
          <t>N/D</t>
        </is>
      </c>
      <c r="K405" s="65" t="inlineStr">
        <is>
          <t>N/D</t>
        </is>
      </c>
      <c r="L405" s="127" t="inlineStr">
        <is>
          <t>EREDI SAFARI SPORT - SEVERI GINO DI ARMILLI MARIA TERESA</t>
        </is>
      </c>
      <c r="M405" s="5" t="n">
        <v>81.97</v>
      </c>
      <c r="N405" s="5" t="n"/>
      <c r="O405" s="5">
        <f>+M405+N405</f>
        <v/>
      </c>
      <c r="P405" s="4" t="n"/>
      <c r="Q405" s="87" t="n"/>
      <c r="R405" s="5" t="n">
        <v>99</v>
      </c>
      <c r="S405" s="2" t="n">
        <v>1</v>
      </c>
      <c r="T405" s="3" t="inlineStr">
        <is>
          <t>CA42796IR</t>
        </is>
      </c>
      <c r="U405" s="87" t="n">
        <v>45821</v>
      </c>
      <c r="V405" s="3" t="inlineStr">
        <is>
          <t>11</t>
        </is>
      </c>
      <c r="W405" s="108" t="n">
        <v>45821</v>
      </c>
      <c r="X405" s="4" t="inlineStr">
        <is>
          <t>PHILIPPOS COSTANTINIDES TRADING CO. LTD</t>
        </is>
      </c>
    </row>
    <row r="406" ht="24" customHeight="1">
      <c r="A406" s="2">
        <f>+D406-S406</f>
        <v/>
      </c>
      <c r="B406" s="80" t="n"/>
      <c r="C406" s="70" t="n">
        <v>45436</v>
      </c>
      <c r="D406" s="2" t="n">
        <v>1</v>
      </c>
      <c r="E406" s="3" t="inlineStr">
        <is>
          <t>CARABINA AD ARIA COMPRESSA</t>
        </is>
      </c>
      <c r="F406" s="3" t="n">
        <v>4.5</v>
      </c>
      <c r="G406" s="3" t="inlineStr">
        <is>
          <t>DIANA</t>
        </is>
      </c>
      <c r="H406" s="65" t="n">
        <v>35</v>
      </c>
      <c r="I406" s="65" t="n">
        <v>77132</v>
      </c>
      <c r="J406" s="65" t="inlineStr">
        <is>
          <t>N/D</t>
        </is>
      </c>
      <c r="K406" s="65" t="inlineStr">
        <is>
          <t>N/D</t>
        </is>
      </c>
      <c r="L406" s="127" t="inlineStr">
        <is>
          <t>EREDI SAFARI SPORT - SEVERI GINO DI ARMILLI MARIA TERESA</t>
        </is>
      </c>
      <c r="M406" s="5" t="n">
        <v>12.3</v>
      </c>
      <c r="N406" s="5" t="n"/>
      <c r="O406" s="5">
        <f>+M406+N406</f>
        <v/>
      </c>
      <c r="P406" s="4" t="n"/>
      <c r="Q406" s="87" t="n"/>
      <c r="R406" s="5" t="n">
        <v>19</v>
      </c>
      <c r="S406" s="2" t="n">
        <v>1</v>
      </c>
      <c r="T406" s="3" t="inlineStr">
        <is>
          <t>CA42796IR</t>
        </is>
      </c>
      <c r="U406" s="87" t="n">
        <v>45821</v>
      </c>
      <c r="V406" s="3" t="inlineStr">
        <is>
          <t>16</t>
        </is>
      </c>
      <c r="W406" s="108" t="n">
        <v>45821</v>
      </c>
      <c r="X406" s="4" t="inlineStr">
        <is>
          <t>PHILIPPOS COSTANTINIDES TRADING CO. LTD</t>
        </is>
      </c>
    </row>
    <row r="407" ht="24" customHeight="1">
      <c r="A407" s="2">
        <f>+D407-S407</f>
        <v/>
      </c>
      <c r="B407" s="80" t="n"/>
      <c r="C407" s="70" t="n">
        <v>45436</v>
      </c>
      <c r="D407" s="2" t="n">
        <v>1</v>
      </c>
      <c r="E407" s="3" t="inlineStr">
        <is>
          <t>CARABINA AD ARIA COMPRESSA</t>
        </is>
      </c>
      <c r="F407" s="3" t="n">
        <v>4.5</v>
      </c>
      <c r="G407" s="3" t="inlineStr">
        <is>
          <t>DIANA</t>
        </is>
      </c>
      <c r="H407" s="65" t="n">
        <v>50</v>
      </c>
      <c r="I407" s="65" t="n">
        <v>166544</v>
      </c>
      <c r="J407" s="65" t="inlineStr">
        <is>
          <t>N/D</t>
        </is>
      </c>
      <c r="K407" s="65" t="inlineStr">
        <is>
          <t>N/D</t>
        </is>
      </c>
      <c r="L407" s="127" t="inlineStr">
        <is>
          <t>EREDI SAFARI SPORT - SEVERI GINO DI ARMILLI MARIA TERESA</t>
        </is>
      </c>
      <c r="M407" s="5" t="n">
        <v>12.3</v>
      </c>
      <c r="N407" s="5" t="n"/>
      <c r="O407" s="5">
        <f>+M407+N407</f>
        <v/>
      </c>
      <c r="P407" s="4" t="n"/>
      <c r="Q407" s="87" t="n"/>
      <c r="R407" s="5" t="n">
        <v>19</v>
      </c>
      <c r="S407" s="2" t="n">
        <v>1</v>
      </c>
      <c r="T407" s="3" t="inlineStr">
        <is>
          <t>CA42796IR</t>
        </is>
      </c>
      <c r="U407" s="87" t="n">
        <v>45821</v>
      </c>
      <c r="V407" s="3" t="inlineStr">
        <is>
          <t>16</t>
        </is>
      </c>
      <c r="W407" s="108" t="n">
        <v>45821</v>
      </c>
      <c r="X407" s="4" t="inlineStr">
        <is>
          <t>PHILIPPOS COSTANTINIDES TRADING CO. LTD</t>
        </is>
      </c>
    </row>
    <row r="408" ht="24" customHeight="1">
      <c r="A408" s="2">
        <f>+D408-S408</f>
        <v/>
      </c>
      <c r="B408" s="80" t="n"/>
      <c r="C408" s="70" t="n">
        <v>45436</v>
      </c>
      <c r="D408" s="2" t="n">
        <v>1</v>
      </c>
      <c r="E408" s="3" t="inlineStr">
        <is>
          <t>CARABINA AD ARIA COMPRESSA</t>
        </is>
      </c>
      <c r="F408" s="3" t="n">
        <v>4.5</v>
      </c>
      <c r="G408" s="3" t="inlineStr">
        <is>
          <t>DIANA</t>
        </is>
      </c>
      <c r="H408" s="65" t="n">
        <v>35</v>
      </c>
      <c r="I408" s="65" t="n">
        <v>113044</v>
      </c>
      <c r="J408" s="65" t="inlineStr">
        <is>
          <t>N/D</t>
        </is>
      </c>
      <c r="K408" s="65" t="inlineStr">
        <is>
          <t>N/D</t>
        </is>
      </c>
      <c r="L408" s="127" t="inlineStr">
        <is>
          <t>EREDI SAFARI SPORT - SEVERI GINO DI ARMILLI MARIA TERESA</t>
        </is>
      </c>
      <c r="M408" s="5" t="n">
        <v>12.3</v>
      </c>
      <c r="N408" s="5" t="n"/>
      <c r="O408" s="5">
        <f>+M408+N408</f>
        <v/>
      </c>
      <c r="P408" s="4" t="n"/>
      <c r="Q408" s="87" t="n"/>
      <c r="R408" s="5" t="n">
        <v>19</v>
      </c>
      <c r="S408" s="2" t="n">
        <v>1</v>
      </c>
      <c r="T408" s="3" t="inlineStr">
        <is>
          <t>CA42796IR</t>
        </is>
      </c>
      <c r="U408" s="87" t="n">
        <v>45821</v>
      </c>
      <c r="V408" s="3" t="inlineStr">
        <is>
          <t>16</t>
        </is>
      </c>
      <c r="W408" s="108" t="n">
        <v>45821</v>
      </c>
      <c r="X408" s="4" t="inlineStr">
        <is>
          <t>PHILIPPOS COSTANTINIDES TRADING CO. LTD</t>
        </is>
      </c>
    </row>
    <row r="409" ht="24" customHeight="1">
      <c r="A409" s="2">
        <f>+D409-S409</f>
        <v/>
      </c>
      <c r="B409" s="80" t="n"/>
      <c r="C409" s="70" t="n">
        <v>45436</v>
      </c>
      <c r="D409" s="2" t="n">
        <v>1</v>
      </c>
      <c r="E409" s="3" t="inlineStr">
        <is>
          <t>FUCILE DOPPIETTA</t>
        </is>
      </c>
      <c r="F409" s="3" t="n">
        <v>20</v>
      </c>
      <c r="G409" s="3" t="inlineStr">
        <is>
          <t>CORTESI</t>
        </is>
      </c>
      <c r="H409" s="65" t="n"/>
      <c r="I409" s="65" t="n">
        <v>1407</v>
      </c>
      <c r="J409" s="65" t="inlineStr">
        <is>
          <t>N/D</t>
        </is>
      </c>
      <c r="K409" s="65" t="inlineStr">
        <is>
          <t>N/D</t>
        </is>
      </c>
      <c r="L409" s="127" t="inlineStr">
        <is>
          <t>EREDI SAFARI SPORT - SEVERI GINO DI ARMILLI MARIA TERESA</t>
        </is>
      </c>
      <c r="M409" s="5" t="n">
        <v>40.98</v>
      </c>
      <c r="N409" s="5" t="n"/>
      <c r="O409" s="5">
        <f>+M409+N409</f>
        <v/>
      </c>
      <c r="P409" s="4" t="n"/>
      <c r="Q409" s="87" t="n"/>
      <c r="R409" s="5" t="n">
        <v>19</v>
      </c>
      <c r="S409" s="2" t="n">
        <v>1</v>
      </c>
      <c r="T409" s="3" t="inlineStr">
        <is>
          <t>CA42796IR</t>
        </is>
      </c>
      <c r="U409" s="87" t="n">
        <v>45821</v>
      </c>
      <c r="V409" s="3" t="inlineStr">
        <is>
          <t>16</t>
        </is>
      </c>
      <c r="W409" s="108" t="n">
        <v>45821</v>
      </c>
      <c r="X409" s="4" t="inlineStr">
        <is>
          <t>PHILIPPOS COSTANTINIDES TRADING CO. LTD</t>
        </is>
      </c>
    </row>
    <row r="410" ht="24" customHeight="1">
      <c r="A410" s="2">
        <f>+D410-S410</f>
        <v/>
      </c>
      <c r="B410" s="80" t="n"/>
      <c r="C410" s="70" t="n">
        <v>45436</v>
      </c>
      <c r="D410" s="2" t="n">
        <v>1</v>
      </c>
      <c r="E410" s="3" t="inlineStr">
        <is>
          <t>FUCILE DOPPIETTA</t>
        </is>
      </c>
      <c r="F410" s="3" t="n">
        <v>12</v>
      </c>
      <c r="G410" s="3" t="inlineStr">
        <is>
          <t>SARASQUETA</t>
        </is>
      </c>
      <c r="H410" s="65" t="n"/>
      <c r="I410" s="65" t="n">
        <v>200678</v>
      </c>
      <c r="J410" s="65" t="inlineStr">
        <is>
          <t>N/D</t>
        </is>
      </c>
      <c r="K410" s="65" t="inlineStr">
        <is>
          <t>N/D</t>
        </is>
      </c>
      <c r="L410" s="127" t="inlineStr">
        <is>
          <t>EREDI SAFARI SPORT - SEVERI GINO DI ARMILLI MARIA TERESA</t>
        </is>
      </c>
      <c r="M410" s="5" t="n">
        <v>40.98</v>
      </c>
      <c r="N410" s="5" t="n"/>
      <c r="O410" s="5">
        <f>+M410+N410</f>
        <v/>
      </c>
      <c r="P410" s="4" t="n"/>
      <c r="Q410" s="87" t="n"/>
      <c r="R410" s="5" t="n">
        <v>19</v>
      </c>
      <c r="S410" s="2" t="n">
        <v>1</v>
      </c>
      <c r="T410" s="3" t="inlineStr">
        <is>
          <t>CA42796IR</t>
        </is>
      </c>
      <c r="U410" s="87" t="n">
        <v>45821</v>
      </c>
      <c r="V410" s="3" t="inlineStr">
        <is>
          <t>15</t>
        </is>
      </c>
      <c r="W410" s="108" t="n">
        <v>45821</v>
      </c>
      <c r="X410" s="4" t="inlineStr">
        <is>
          <t>PHILIPPOS COSTANTINIDES TRADING CO. LTD</t>
        </is>
      </c>
    </row>
    <row r="411" ht="24" customHeight="1">
      <c r="A411" s="2">
        <f>+D411-S411</f>
        <v/>
      </c>
      <c r="B411" s="80" t="n"/>
      <c r="C411" s="70" t="n">
        <v>45436</v>
      </c>
      <c r="D411" s="2" t="n">
        <v>1</v>
      </c>
      <c r="E411" s="3" t="inlineStr">
        <is>
          <t>FUCILE MONOCANNA</t>
        </is>
      </c>
      <c r="F411" s="3" t="n">
        <v>32</v>
      </c>
      <c r="G411" s="3" t="inlineStr">
        <is>
          <t>BERETTA</t>
        </is>
      </c>
      <c r="H411" s="65" t="n"/>
      <c r="I411" s="65" t="inlineStr">
        <is>
          <t>D055397</t>
        </is>
      </c>
      <c r="J411" s="65" t="inlineStr">
        <is>
          <t>N/D</t>
        </is>
      </c>
      <c r="K411" s="65" t="inlineStr">
        <is>
          <t>N/D</t>
        </is>
      </c>
      <c r="L411" s="127" t="inlineStr">
        <is>
          <t>EREDI SAFARI SPORT - SEVERI GINO DI ARMILLI MARIA TERESA</t>
        </is>
      </c>
      <c r="M411" s="5" t="n">
        <v>12.3</v>
      </c>
      <c r="N411" s="5" t="n"/>
      <c r="O411" s="5">
        <f>+M411+N411</f>
        <v/>
      </c>
      <c r="P411" s="4" t="n"/>
      <c r="Q411" s="87" t="n"/>
      <c r="R411" s="5" t="n">
        <v>19</v>
      </c>
      <c r="S411" s="2" t="n">
        <v>1</v>
      </c>
      <c r="T411" s="3" t="inlineStr">
        <is>
          <t>CA42796IR</t>
        </is>
      </c>
      <c r="U411" s="87" t="n">
        <v>45821</v>
      </c>
      <c r="V411" s="3" t="inlineStr">
        <is>
          <t>8</t>
        </is>
      </c>
      <c r="W411" s="108" t="n">
        <v>45821</v>
      </c>
      <c r="X411" s="4" t="inlineStr">
        <is>
          <t>PHILIPPOS COSTANTINIDES TRADING CO. LTD</t>
        </is>
      </c>
    </row>
    <row r="412" ht="24" customHeight="1">
      <c r="A412" s="2">
        <f>+D412-S412</f>
        <v/>
      </c>
      <c r="B412" s="80" t="n"/>
      <c r="C412" s="70" t="n">
        <v>45436</v>
      </c>
      <c r="D412" s="2" t="n">
        <v>1</v>
      </c>
      <c r="E412" s="3" t="inlineStr">
        <is>
          <t>CARABINA</t>
        </is>
      </c>
      <c r="F412" s="3" t="inlineStr">
        <is>
          <t>22 LR</t>
        </is>
      </c>
      <c r="G412" s="3" t="inlineStr">
        <is>
          <t>REMINGTON</t>
        </is>
      </c>
      <c r="H412" s="65" t="n">
        <v>597</v>
      </c>
      <c r="I412" s="65" t="n">
        <v>2696668</v>
      </c>
      <c r="J412" s="65" t="inlineStr">
        <is>
          <t>N/D</t>
        </is>
      </c>
      <c r="K412" s="65" t="inlineStr">
        <is>
          <t>N/D</t>
        </is>
      </c>
      <c r="L412" s="127" t="inlineStr">
        <is>
          <t>EREDI SAFARI SPORT - SEVERI GINO DI ARMILLI MARIA TERESA</t>
        </is>
      </c>
      <c r="M412" s="5" t="n">
        <v>20.49</v>
      </c>
      <c r="N412" s="5" t="n"/>
      <c r="O412" s="5">
        <f>+M412+N412</f>
        <v/>
      </c>
      <c r="P412" s="4" t="n"/>
      <c r="Q412" s="87" t="n"/>
      <c r="R412" s="5" t="n">
        <v>148</v>
      </c>
      <c r="S412" s="2" t="n">
        <v>1</v>
      </c>
      <c r="T412" s="3" t="inlineStr">
        <is>
          <t>CA04954OS</t>
        </is>
      </c>
      <c r="U412" s="87" t="n">
        <v>45874</v>
      </c>
      <c r="V412" s="3" t="inlineStr">
        <is>
          <t>26</t>
        </is>
      </c>
      <c r="W412" s="4" t="n">
        <v>45874</v>
      </c>
      <c r="X412" s="4" t="inlineStr">
        <is>
          <t>PHILIPPOS  CONSTANTINIDES
TRADING CO.LTD</t>
        </is>
      </c>
    </row>
    <row r="413" ht="24" customHeight="1">
      <c r="A413" s="2">
        <f>+D413-S413</f>
        <v/>
      </c>
      <c r="B413" s="80" t="n"/>
      <c r="C413" s="70" t="n">
        <v>45436</v>
      </c>
      <c r="D413" s="2" t="n">
        <v>1</v>
      </c>
      <c r="E413" s="3" t="inlineStr">
        <is>
          <t>CARABINA AD ARIA COMPRESSA</t>
        </is>
      </c>
      <c r="F413" s="3" t="n">
        <v>4.5</v>
      </c>
      <c r="G413" s="3" t="inlineStr">
        <is>
          <t>DIANA</t>
        </is>
      </c>
      <c r="H413" s="65" t="n">
        <v>35</v>
      </c>
      <c r="I413" s="65" t="n">
        <v>3785</v>
      </c>
      <c r="J413" s="65" t="inlineStr">
        <is>
          <t>N/D</t>
        </is>
      </c>
      <c r="K413" s="65" t="inlineStr">
        <is>
          <t>N/D</t>
        </is>
      </c>
      <c r="L413" s="127" t="inlineStr">
        <is>
          <t>EREDI SAFARI SPORT - SEVERI GINO DI ARMILLI MARIA TERESA</t>
        </is>
      </c>
      <c r="M413" s="5" t="n">
        <v>12.3</v>
      </c>
      <c r="N413" s="5" t="n"/>
      <c r="O413" s="5">
        <f>+M413+N413</f>
        <v/>
      </c>
      <c r="P413" s="4" t="n"/>
      <c r="Q413" s="87" t="n"/>
      <c r="R413" s="5" t="n">
        <v>19</v>
      </c>
      <c r="S413" s="2" t="n">
        <v>1</v>
      </c>
      <c r="T413" s="3" t="inlineStr">
        <is>
          <t>CA42796IR</t>
        </is>
      </c>
      <c r="U413" s="87" t="n">
        <v>45821</v>
      </c>
      <c r="V413" s="3" t="inlineStr">
        <is>
          <t>16</t>
        </is>
      </c>
      <c r="W413" s="108" t="n">
        <v>45821</v>
      </c>
      <c r="X413" s="4" t="inlineStr">
        <is>
          <t>PHILIPPOS COSTANTINIDES TRADING CO. LTD</t>
        </is>
      </c>
    </row>
    <row r="414" ht="24" customHeight="1">
      <c r="A414" s="2">
        <f>+D414-S414</f>
        <v/>
      </c>
      <c r="B414" s="80" t="n"/>
      <c r="C414" s="70" t="n">
        <v>45436</v>
      </c>
      <c r="D414" s="2" t="n">
        <v>1</v>
      </c>
      <c r="E414" s="3" t="inlineStr">
        <is>
          <t>CARABINA AD ARIA COMPRESSA</t>
        </is>
      </c>
      <c r="F414" s="3" t="n">
        <v>4.5</v>
      </c>
      <c r="G414" s="3" t="inlineStr">
        <is>
          <t>DIANA</t>
        </is>
      </c>
      <c r="H414" s="65" t="n"/>
      <c r="I414" s="65" t="n">
        <v>172868</v>
      </c>
      <c r="J414" s="65" t="inlineStr">
        <is>
          <t>N/D</t>
        </is>
      </c>
      <c r="K414" s="65" t="inlineStr">
        <is>
          <t>N/D</t>
        </is>
      </c>
      <c r="L414" s="127" t="inlineStr">
        <is>
          <t>EREDI SAFARI SPORT - SEVERI GINO DI ARMILLI MARIA TERESA</t>
        </is>
      </c>
      <c r="M414" s="5" t="n">
        <v>12.3</v>
      </c>
      <c r="N414" s="5" t="n"/>
      <c r="O414" s="5">
        <f>+M414+N414</f>
        <v/>
      </c>
      <c r="P414" s="4" t="n"/>
      <c r="Q414" s="87" t="n"/>
      <c r="R414" s="5" t="n">
        <v>19</v>
      </c>
      <c r="S414" s="2" t="n">
        <v>1</v>
      </c>
      <c r="T414" s="3" t="inlineStr">
        <is>
          <t>CA42796IR</t>
        </is>
      </c>
      <c r="U414" s="87" t="n">
        <v>45821</v>
      </c>
      <c r="V414" s="3" t="inlineStr">
        <is>
          <t>16</t>
        </is>
      </c>
      <c r="W414" s="108" t="n">
        <v>45821</v>
      </c>
      <c r="X414" s="4" t="inlineStr">
        <is>
          <t>PHILIPPOS COSTANTINIDES TRADING CO. LTD</t>
        </is>
      </c>
    </row>
    <row r="415" ht="24" customHeight="1">
      <c r="A415" s="2">
        <f>+D415-S415</f>
        <v/>
      </c>
      <c r="B415" s="80" t="n"/>
      <c r="C415" s="70" t="n">
        <v>45436</v>
      </c>
      <c r="D415" s="2" t="n">
        <v>1</v>
      </c>
      <c r="E415" s="3" t="inlineStr">
        <is>
          <t>CARABINA AD ARIA COMPRESSA</t>
        </is>
      </c>
      <c r="F415" s="3" t="n">
        <v>4.5</v>
      </c>
      <c r="G415" s="3" t="inlineStr">
        <is>
          <t>DIANA</t>
        </is>
      </c>
      <c r="H415" s="65" t="n">
        <v>35</v>
      </c>
      <c r="I415" s="65" t="n">
        <v>70119913</v>
      </c>
      <c r="J415" s="65" t="inlineStr">
        <is>
          <t>N/D</t>
        </is>
      </c>
      <c r="K415" s="65" t="inlineStr">
        <is>
          <t>N/D</t>
        </is>
      </c>
      <c r="L415" s="127" t="inlineStr">
        <is>
          <t>EREDI SAFARI SPORT - SEVERI GINO DI ARMILLI MARIA TERESA</t>
        </is>
      </c>
      <c r="M415" s="5" t="n">
        <v>12.3</v>
      </c>
      <c r="N415" s="5" t="n"/>
      <c r="O415" s="5">
        <f>+M415+N415</f>
        <v/>
      </c>
      <c r="P415" s="4" t="n"/>
      <c r="Q415" s="87" t="n"/>
      <c r="R415" s="5" t="n">
        <v>19</v>
      </c>
      <c r="S415" s="2" t="n">
        <v>1</v>
      </c>
      <c r="T415" s="3" t="inlineStr">
        <is>
          <t>CA42796IR</t>
        </is>
      </c>
      <c r="U415" s="87" t="n">
        <v>45821</v>
      </c>
      <c r="V415" s="3" t="inlineStr">
        <is>
          <t>16</t>
        </is>
      </c>
      <c r="W415" s="108" t="n">
        <v>45821</v>
      </c>
      <c r="X415" s="4" t="inlineStr">
        <is>
          <t>PHILIPPOS COSTANTINIDES TRADING CO. LTD</t>
        </is>
      </c>
    </row>
    <row r="416" ht="24" customHeight="1">
      <c r="A416" s="2">
        <f>+D416-S416</f>
        <v/>
      </c>
      <c r="B416" s="80" t="n"/>
      <c r="C416" s="70" t="n">
        <v>45436</v>
      </c>
      <c r="D416" s="2" t="n">
        <v>1</v>
      </c>
      <c r="E416" s="3" t="inlineStr">
        <is>
          <t>CARABINA AD ARIA COMPRESSA</t>
        </is>
      </c>
      <c r="F416" s="3" t="n">
        <v>4.5</v>
      </c>
      <c r="G416" s="3" t="inlineStr">
        <is>
          <t>DIANA</t>
        </is>
      </c>
      <c r="H416" s="65" t="n">
        <v>50</v>
      </c>
      <c r="I416" s="65" t="n">
        <v>115874</v>
      </c>
      <c r="J416" s="65" t="inlineStr">
        <is>
          <t>N/D</t>
        </is>
      </c>
      <c r="K416" s="65" t="inlineStr">
        <is>
          <t>N/D</t>
        </is>
      </c>
      <c r="L416" s="127" t="inlineStr">
        <is>
          <t>EREDI SAFARI SPORT - SEVERI GINO DI ARMILLI MARIA TERESA</t>
        </is>
      </c>
      <c r="M416" s="5" t="n">
        <v>12.3</v>
      </c>
      <c r="N416" s="5" t="n"/>
      <c r="O416" s="5">
        <f>+M416+N416</f>
        <v/>
      </c>
      <c r="P416" s="4" t="n"/>
      <c r="Q416" s="87" t="n"/>
      <c r="R416" s="5" t="n">
        <v>19</v>
      </c>
      <c r="S416" s="2" t="n">
        <v>1</v>
      </c>
      <c r="T416" s="3" t="inlineStr">
        <is>
          <t>CA42796IR</t>
        </is>
      </c>
      <c r="U416" s="87" t="n">
        <v>45821</v>
      </c>
      <c r="V416" s="3" t="inlineStr">
        <is>
          <t>16</t>
        </is>
      </c>
      <c r="W416" s="108" t="n">
        <v>45821</v>
      </c>
      <c r="X416" s="4" t="inlineStr">
        <is>
          <t>PHILIPPOS COSTANTINIDES TRADING CO. LTD</t>
        </is>
      </c>
    </row>
    <row r="417" ht="24" customHeight="1">
      <c r="A417" s="2">
        <f>+D417-S417</f>
        <v/>
      </c>
      <c r="B417" s="80" t="n"/>
      <c r="C417" s="70" t="n">
        <v>45436</v>
      </c>
      <c r="D417" s="2" t="n">
        <v>1</v>
      </c>
      <c r="E417" s="3" t="inlineStr">
        <is>
          <t>CARABINA AD ARIA COMPRESSA</t>
        </is>
      </c>
      <c r="F417" s="3" t="n">
        <v>4.5</v>
      </c>
      <c r="G417" s="3" t="inlineStr">
        <is>
          <t>WEIHRAUCH</t>
        </is>
      </c>
      <c r="H417" s="65" t="n">
        <v>35</v>
      </c>
      <c r="I417" s="65" t="n">
        <v>487853</v>
      </c>
      <c r="J417" s="65" t="inlineStr">
        <is>
          <t>N/D</t>
        </is>
      </c>
      <c r="K417" s="65" t="inlineStr">
        <is>
          <t>N/D</t>
        </is>
      </c>
      <c r="L417" s="127" t="inlineStr">
        <is>
          <t>EREDI SAFARI SPORT - SEVERI GINO DI ARMILLI MARIA TERESA</t>
        </is>
      </c>
      <c r="M417" s="5" t="n">
        <v>12.3</v>
      </c>
      <c r="N417" s="5" t="n"/>
      <c r="O417" s="5">
        <f>+M417+N417</f>
        <v/>
      </c>
      <c r="P417" s="4" t="n"/>
      <c r="Q417" s="87" t="n"/>
      <c r="R417" s="5" t="n">
        <v>19</v>
      </c>
      <c r="S417" s="2" t="n">
        <v>1</v>
      </c>
      <c r="T417" s="3" t="inlineStr">
        <is>
          <t>CA42796IR</t>
        </is>
      </c>
      <c r="U417" s="87" t="n">
        <v>45821</v>
      </c>
      <c r="V417" s="3" t="inlineStr">
        <is>
          <t>16</t>
        </is>
      </c>
      <c r="W417" s="108" t="n">
        <v>45821</v>
      </c>
      <c r="X417" s="4" t="inlineStr">
        <is>
          <t>PHILIPPOS COSTANTINIDES TRADING CO. LTD</t>
        </is>
      </c>
    </row>
    <row r="418" ht="24" customHeight="1">
      <c r="A418" s="2">
        <f>+D418-S418</f>
        <v/>
      </c>
      <c r="B418" s="80" t="n"/>
      <c r="C418" s="70" t="n">
        <v>45436</v>
      </c>
      <c r="D418" s="2" t="n">
        <v>1</v>
      </c>
      <c r="E418" s="3" t="inlineStr">
        <is>
          <t>FUCILE SEMIAUTOMATICO</t>
        </is>
      </c>
      <c r="F418" s="3" t="inlineStr">
        <is>
          <t>9 FLOBERT</t>
        </is>
      </c>
      <c r="G418" s="3" t="inlineStr">
        <is>
          <t>BERNARDELLI</t>
        </is>
      </c>
      <c r="H418" s="65" t="inlineStr">
        <is>
          <t>GIARDINO</t>
        </is>
      </c>
      <c r="I418" s="65" t="n">
        <v>20143</v>
      </c>
      <c r="J418" s="65" t="inlineStr">
        <is>
          <t>N/D</t>
        </is>
      </c>
      <c r="K418" s="65" t="inlineStr">
        <is>
          <t>N/D</t>
        </is>
      </c>
      <c r="L418" s="127" t="inlineStr">
        <is>
          <t>EREDI SAFARI SPORT - SEVERI GINO DI ARMILLI MARIA TERESA</t>
        </is>
      </c>
      <c r="M418" s="5" t="n">
        <v>12.3</v>
      </c>
      <c r="N418" s="5" t="n"/>
      <c r="O418" s="5">
        <f>+M418+N418</f>
        <v/>
      </c>
      <c r="P418" s="4" t="n"/>
      <c r="Q418" s="87" t="n"/>
      <c r="R418" s="5" t="n">
        <v>19</v>
      </c>
      <c r="S418" s="2" t="n">
        <v>1</v>
      </c>
      <c r="T418" s="3" t="inlineStr">
        <is>
          <t>CA42796IR</t>
        </is>
      </c>
      <c r="U418" s="87" t="n">
        <v>45821</v>
      </c>
      <c r="V418" s="3" t="inlineStr">
        <is>
          <t>12</t>
        </is>
      </c>
      <c r="W418" s="108" t="n">
        <v>45821</v>
      </c>
      <c r="X418" s="4" t="inlineStr">
        <is>
          <t>PHILIPPOS COSTANTINIDES TRADING CO. LTD</t>
        </is>
      </c>
    </row>
    <row r="419" ht="24" customHeight="1">
      <c r="A419" s="2">
        <f>+D419-S419</f>
        <v/>
      </c>
      <c r="B419" s="80" t="n"/>
      <c r="C419" s="70" t="n">
        <v>45436</v>
      </c>
      <c r="D419" s="2" t="n">
        <v>1</v>
      </c>
      <c r="E419" s="3" t="inlineStr">
        <is>
          <t>CARABINA</t>
        </is>
      </c>
      <c r="F419" s="3" t="inlineStr">
        <is>
          <t>22 LR</t>
        </is>
      </c>
      <c r="G419" s="3" t="inlineStr">
        <is>
          <t>HENRY</t>
        </is>
      </c>
      <c r="H419" s="65" t="inlineStr">
        <is>
          <t>US SURVIVAL</t>
        </is>
      </c>
      <c r="I419" s="65" t="inlineStr">
        <is>
          <t>US39080</t>
        </is>
      </c>
      <c r="J419" s="65" t="inlineStr">
        <is>
          <t>N/D</t>
        </is>
      </c>
      <c r="K419" s="65" t="inlineStr">
        <is>
          <t>N/D</t>
        </is>
      </c>
      <c r="L419" s="127" t="inlineStr">
        <is>
          <t>EREDI SAFARI SPORT - SEVERI GINO DI ARMILLI MARIA TERESA</t>
        </is>
      </c>
      <c r="M419" s="5" t="n">
        <v>81.97</v>
      </c>
      <c r="N419" s="5" t="n"/>
      <c r="O419" s="5">
        <f>+M419+N419</f>
        <v/>
      </c>
      <c r="P419" s="4" t="n"/>
      <c r="Q419" s="87" t="n"/>
      <c r="R419" s="5" t="n">
        <v>86</v>
      </c>
      <c r="S419" s="2" t="n">
        <v>1</v>
      </c>
      <c r="T419" s="3" t="inlineStr">
        <is>
          <t>CA04954OS</t>
        </is>
      </c>
      <c r="U419" s="87" t="n">
        <v>45874</v>
      </c>
      <c r="V419" s="3" t="inlineStr">
        <is>
          <t>26</t>
        </is>
      </c>
      <c r="W419" s="4" t="n">
        <v>45874</v>
      </c>
      <c r="X419" s="4" t="inlineStr">
        <is>
          <t>PHILIPPOS  CONSTANTINIDES
TRADING CO.LTD</t>
        </is>
      </c>
    </row>
    <row r="420" ht="24" customHeight="1">
      <c r="A420" s="2">
        <f>+D420-S420</f>
        <v/>
      </c>
      <c r="B420" s="80" t="n"/>
      <c r="C420" s="70" t="n">
        <v>45436</v>
      </c>
      <c r="D420" s="2" t="n">
        <v>1</v>
      </c>
      <c r="E420" s="3" t="inlineStr">
        <is>
          <t>CARABINA AD ARIA COMPRESSA</t>
        </is>
      </c>
      <c r="F420" s="3" t="n">
        <v>4.5</v>
      </c>
      <c r="G420" s="3" t="inlineStr">
        <is>
          <t>DIANA</t>
        </is>
      </c>
      <c r="H420" s="65" t="n">
        <v>50</v>
      </c>
      <c r="I420" s="65" t="n">
        <v>71289497</v>
      </c>
      <c r="J420" s="65" t="inlineStr">
        <is>
          <t>N/D</t>
        </is>
      </c>
      <c r="K420" s="65" t="inlineStr">
        <is>
          <t>N/D</t>
        </is>
      </c>
      <c r="L420" s="127" t="inlineStr">
        <is>
          <t>EREDI SAFARI SPORT - SEVERI GINO DI ARMILLI MARIA TERESA</t>
        </is>
      </c>
      <c r="M420" s="5" t="n">
        <v>12.3</v>
      </c>
      <c r="N420" s="5" t="n"/>
      <c r="O420" s="5">
        <f>+M420+N420</f>
        <v/>
      </c>
      <c r="P420" s="4" t="n"/>
      <c r="Q420" s="87" t="n"/>
      <c r="R420" s="5" t="n">
        <v>19</v>
      </c>
      <c r="S420" s="2" t="n">
        <v>1</v>
      </c>
      <c r="T420" s="3" t="inlineStr">
        <is>
          <t>CA42796IR</t>
        </is>
      </c>
      <c r="U420" s="87" t="n">
        <v>45821</v>
      </c>
      <c r="V420" s="3" t="inlineStr">
        <is>
          <t>16</t>
        </is>
      </c>
      <c r="W420" s="108" t="n">
        <v>45821</v>
      </c>
      <c r="X420" s="4" t="inlineStr">
        <is>
          <t>PHILIPPOS COSTANTINIDES TRADING CO. LTD</t>
        </is>
      </c>
    </row>
    <row r="421" ht="24" customHeight="1">
      <c r="A421" s="2">
        <f>+D421-S421</f>
        <v/>
      </c>
      <c r="B421" s="80" t="n"/>
      <c r="C421" s="70" t="n">
        <v>45436</v>
      </c>
      <c r="D421" s="2" t="n">
        <v>1</v>
      </c>
      <c r="E421" s="3" t="inlineStr">
        <is>
          <t>CARABINA AD ARIA COMPRESSA</t>
        </is>
      </c>
      <c r="F421" s="3" t="n">
        <v>4.5</v>
      </c>
      <c r="G421" s="3" t="inlineStr">
        <is>
          <t>DIANA</t>
        </is>
      </c>
      <c r="H421" s="65" t="n">
        <v>60</v>
      </c>
      <c r="I421" s="65" t="n">
        <v>645416</v>
      </c>
      <c r="J421" s="65" t="inlineStr">
        <is>
          <t>N/D</t>
        </is>
      </c>
      <c r="K421" s="65" t="inlineStr">
        <is>
          <t>N/D</t>
        </is>
      </c>
      <c r="L421" s="127" t="inlineStr">
        <is>
          <t>EREDI SAFARI SPORT - SEVERI GINO DI ARMILLI MARIA TERESA</t>
        </is>
      </c>
      <c r="M421" s="5" t="n">
        <v>12.3</v>
      </c>
      <c r="N421" s="5" t="n"/>
      <c r="O421" s="5">
        <f>+M421+N421</f>
        <v/>
      </c>
      <c r="P421" s="4" t="n"/>
      <c r="Q421" s="87" t="n"/>
      <c r="R421" s="5" t="n">
        <v>19</v>
      </c>
      <c r="S421" s="2" t="n">
        <v>1</v>
      </c>
      <c r="T421" s="3" t="inlineStr">
        <is>
          <t>CA42796IR</t>
        </is>
      </c>
      <c r="U421" s="87" t="n">
        <v>45821</v>
      </c>
      <c r="V421" s="3" t="inlineStr">
        <is>
          <t>16</t>
        </is>
      </c>
      <c r="W421" s="108" t="n">
        <v>45821</v>
      </c>
      <c r="X421" s="4" t="inlineStr">
        <is>
          <t>PHILIPPOS COSTANTINIDES TRADING CO. LTD</t>
        </is>
      </c>
    </row>
    <row r="422" ht="24" customHeight="1">
      <c r="A422" s="2">
        <f>+D422-S422</f>
        <v/>
      </c>
      <c r="B422" s="80" t="n"/>
      <c r="C422" s="70" t="n">
        <v>45436</v>
      </c>
      <c r="D422" s="2" t="n">
        <v>1</v>
      </c>
      <c r="E422" s="3" t="inlineStr">
        <is>
          <t>CARABINA AD ARIA COMPRESSA</t>
        </is>
      </c>
      <c r="F422" s="3" t="n">
        <v>4.5</v>
      </c>
      <c r="G422" s="3" t="inlineStr">
        <is>
          <t>DIANA</t>
        </is>
      </c>
      <c r="H422" s="65" t="n">
        <v>50</v>
      </c>
      <c r="I422" s="65" t="n">
        <v>71258905</v>
      </c>
      <c r="J422" s="65" t="inlineStr">
        <is>
          <t>N/D</t>
        </is>
      </c>
      <c r="K422" s="65" t="inlineStr">
        <is>
          <t>N/D</t>
        </is>
      </c>
      <c r="L422" s="127" t="inlineStr">
        <is>
          <t>EREDI SAFARI SPORT - SEVERI GINO DI ARMILLI MARIA TERESA</t>
        </is>
      </c>
      <c r="M422" s="5" t="n">
        <v>12.3</v>
      </c>
      <c r="N422" s="5" t="n"/>
      <c r="O422" s="5">
        <f>+M422+N422</f>
        <v/>
      </c>
      <c r="P422" s="4" t="n"/>
      <c r="Q422" s="87" t="n"/>
      <c r="R422" s="5" t="n">
        <v>19</v>
      </c>
      <c r="S422" s="2" t="n">
        <v>1</v>
      </c>
      <c r="T422" s="3" t="inlineStr">
        <is>
          <t>CA42796IR</t>
        </is>
      </c>
      <c r="U422" s="87" t="n">
        <v>45821</v>
      </c>
      <c r="V422" s="3" t="inlineStr">
        <is>
          <t>16</t>
        </is>
      </c>
      <c r="W422" s="108" t="n">
        <v>45821</v>
      </c>
      <c r="X422" s="4" t="inlineStr">
        <is>
          <t>PHILIPPOS COSTANTINIDES TRADING CO. LTD</t>
        </is>
      </c>
    </row>
    <row r="423" ht="24" customHeight="1">
      <c r="A423" s="2">
        <f>+D423-S423</f>
        <v/>
      </c>
      <c r="B423" s="80" t="n"/>
      <c r="C423" s="70" t="n">
        <v>45436</v>
      </c>
      <c r="D423" s="2" t="n">
        <v>1</v>
      </c>
      <c r="E423" s="3" t="inlineStr">
        <is>
          <t>CARABINA AD ARIA COMPRESSA</t>
        </is>
      </c>
      <c r="F423" s="3" t="n">
        <v>4.5</v>
      </c>
      <c r="G423" s="3" t="inlineStr">
        <is>
          <t>DIANA</t>
        </is>
      </c>
      <c r="H423" s="65" t="n">
        <v>52</v>
      </c>
      <c r="I423" s="65" t="n">
        <v>900843</v>
      </c>
      <c r="J423" s="65" t="inlineStr">
        <is>
          <t>N/D</t>
        </is>
      </c>
      <c r="K423" s="65" t="inlineStr">
        <is>
          <t>N/D</t>
        </is>
      </c>
      <c r="L423" s="127" t="inlineStr">
        <is>
          <t>EREDI SAFARI SPORT - SEVERI GINO DI ARMILLI MARIA TERESA</t>
        </is>
      </c>
      <c r="M423" s="5" t="n">
        <v>12.3</v>
      </c>
      <c r="N423" s="5" t="n"/>
      <c r="O423" s="5">
        <f>+M423+N423</f>
        <v/>
      </c>
      <c r="P423" s="4" t="n"/>
      <c r="Q423" s="87" t="n"/>
      <c r="R423" s="5" t="n">
        <v>19</v>
      </c>
      <c r="S423" s="2" t="n">
        <v>1</v>
      </c>
      <c r="T423" s="3" t="inlineStr">
        <is>
          <t>CA42796IR</t>
        </is>
      </c>
      <c r="U423" s="87" t="n">
        <v>45821</v>
      </c>
      <c r="V423" s="3" t="inlineStr">
        <is>
          <t>16</t>
        </is>
      </c>
      <c r="W423" s="108" t="n">
        <v>45821</v>
      </c>
      <c r="X423" s="4" t="inlineStr">
        <is>
          <t>PHILIPPOS COSTANTINIDES TRADING CO. LTD</t>
        </is>
      </c>
    </row>
    <row r="424" ht="24" customHeight="1">
      <c r="A424" s="2">
        <f>+D424-S424</f>
        <v/>
      </c>
      <c r="B424" s="80" t="n"/>
      <c r="C424" s="70" t="n">
        <v>45434</v>
      </c>
      <c r="D424" s="2" t="n">
        <v>1</v>
      </c>
      <c r="E424" s="3" t="inlineStr">
        <is>
          <t>CANNA PER FUCILE SEMIAUTOMATICO</t>
        </is>
      </c>
      <c r="F424" s="3" t="n">
        <v>12</v>
      </c>
      <c r="G424" s="3" t="inlineStr">
        <is>
          <t>FRANCHI</t>
        </is>
      </c>
      <c r="H424" s="65" t="inlineStr">
        <is>
          <t>PRESTIGE</t>
        </is>
      </c>
      <c r="I424" s="65" t="inlineStr">
        <is>
          <t>N/D</t>
        </is>
      </c>
      <c r="J424" s="65" t="inlineStr">
        <is>
          <t>PKL0030</t>
        </is>
      </c>
      <c r="K424" s="65" t="inlineStr">
        <is>
          <t>N/D</t>
        </is>
      </c>
      <c r="L424" s="127" t="inlineStr">
        <is>
          <t>F.LLI MANCINI VITANTONIO E ANGELO SNC</t>
        </is>
      </c>
      <c r="M424" s="5" t="n">
        <v>25</v>
      </c>
      <c r="N424" s="5" t="n"/>
      <c r="O424" s="5">
        <f>+M424+N424</f>
        <v/>
      </c>
      <c r="P424" s="4" t="n"/>
      <c r="Q424" s="87" t="n"/>
      <c r="R424" s="5" t="n">
        <v>28</v>
      </c>
      <c r="S424" s="2" t="n">
        <v>1</v>
      </c>
      <c r="T424" s="3" t="inlineStr">
        <is>
          <t>CA42796IR</t>
        </is>
      </c>
      <c r="U424" s="87" t="n">
        <v>45821</v>
      </c>
      <c r="V424" s="3" t="inlineStr">
        <is>
          <t>12</t>
        </is>
      </c>
      <c r="W424" s="108" t="n">
        <v>45821</v>
      </c>
      <c r="X424" s="4" t="inlineStr">
        <is>
          <t>PHILIPPOS COSTANTINIDES TRADING CO. LTD</t>
        </is>
      </c>
    </row>
    <row r="425" ht="24" customHeight="1">
      <c r="A425" s="2">
        <f>+D425-S425</f>
        <v/>
      </c>
      <c r="B425" s="80" t="n"/>
      <c r="C425" s="70" t="n">
        <v>45434</v>
      </c>
      <c r="D425" s="2" t="n">
        <v>1</v>
      </c>
      <c r="E425" s="3" t="inlineStr">
        <is>
          <t>CANNA PER FUCILE SEMIAUTOMATICO</t>
        </is>
      </c>
      <c r="F425" s="3" t="n">
        <v>12</v>
      </c>
      <c r="G425" s="3" t="inlineStr">
        <is>
          <t>FRANCHI</t>
        </is>
      </c>
      <c r="H425" s="65" t="inlineStr">
        <is>
          <t>48 AL</t>
        </is>
      </c>
      <c r="I425" s="65" t="inlineStr">
        <is>
          <t>N/D</t>
        </is>
      </c>
      <c r="J425" s="65" t="inlineStr">
        <is>
          <t>DEA0653</t>
        </is>
      </c>
      <c r="K425" s="65" t="inlineStr">
        <is>
          <t>N/D</t>
        </is>
      </c>
      <c r="L425" s="127" t="inlineStr">
        <is>
          <t>F.LLI MANCINI VITANTONIO E ANGELO SNC</t>
        </is>
      </c>
      <c r="M425" s="5" t="n">
        <v>25</v>
      </c>
      <c r="N425" s="5" t="n"/>
      <c r="O425" s="5">
        <f>+M425+N425</f>
        <v/>
      </c>
      <c r="P425" s="4" t="n"/>
      <c r="Q425" s="87" t="n"/>
      <c r="R425" s="5" t="n">
        <v>28</v>
      </c>
      <c r="S425" s="2" t="n">
        <v>1</v>
      </c>
      <c r="T425" s="3" t="inlineStr">
        <is>
          <t>CA42796IR</t>
        </is>
      </c>
      <c r="U425" s="87" t="n">
        <v>45821</v>
      </c>
      <c r="V425" s="3" t="inlineStr">
        <is>
          <t>12</t>
        </is>
      </c>
      <c r="W425" s="108" t="n">
        <v>45821</v>
      </c>
      <c r="X425" s="4" t="inlineStr">
        <is>
          <t>PHILIPPOS COSTANTINIDES TRADING CO. LTD</t>
        </is>
      </c>
    </row>
    <row r="426" ht="24" customHeight="1">
      <c r="A426" s="2">
        <f>+D426-S426</f>
        <v/>
      </c>
      <c r="B426" s="80" t="n"/>
      <c r="C426" s="70" t="n">
        <v>45434</v>
      </c>
      <c r="D426" s="2" t="n">
        <v>1</v>
      </c>
      <c r="E426" s="3" t="inlineStr">
        <is>
          <t>FUCILE SOVRAPPOSTO</t>
        </is>
      </c>
      <c r="F426" s="3" t="n">
        <v>20</v>
      </c>
      <c r="G426" s="3" t="inlineStr">
        <is>
          <t>BERETTA</t>
        </is>
      </c>
      <c r="H426" s="65" t="n">
        <v>56</v>
      </c>
      <c r="I426" s="65" t="inlineStr">
        <is>
          <t>X06736</t>
        </is>
      </c>
      <c r="J426" s="65" t="inlineStr">
        <is>
          <t>N/D</t>
        </is>
      </c>
      <c r="K426" s="65" t="inlineStr">
        <is>
          <t>N/D</t>
        </is>
      </c>
      <c r="L426" s="127" t="inlineStr">
        <is>
          <t>F.LLI MANCINI VITANTONIO E ANGELO SNC</t>
        </is>
      </c>
      <c r="M426" s="5" t="n">
        <v>350</v>
      </c>
      <c r="N426" s="5" t="n"/>
      <c r="O426" s="5">
        <f>+M426+N426</f>
        <v/>
      </c>
      <c r="P426" s="4" t="n"/>
      <c r="Q426" s="87" t="n"/>
      <c r="R426" s="5" t="n">
        <v>385</v>
      </c>
      <c r="S426" s="2" t="n">
        <v>1</v>
      </c>
      <c r="T426" s="3" t="inlineStr">
        <is>
          <t>CA42796IR</t>
        </is>
      </c>
      <c r="U426" s="87" t="n">
        <v>45821</v>
      </c>
      <c r="V426" s="3" t="inlineStr">
        <is>
          <t>9</t>
        </is>
      </c>
      <c r="W426" s="108" t="n">
        <v>45821</v>
      </c>
      <c r="X426" s="4" t="inlineStr">
        <is>
          <t>PHILIPPOS COSTANTINIDES TRADING CO. LTD</t>
        </is>
      </c>
    </row>
    <row r="427" ht="24" customHeight="1">
      <c r="A427" s="2">
        <f>+D427-S427</f>
        <v/>
      </c>
      <c r="B427" s="80" t="n"/>
      <c r="C427" s="70" t="n">
        <v>45434</v>
      </c>
      <c r="D427" s="2" t="n">
        <v>1</v>
      </c>
      <c r="E427" s="3" t="inlineStr">
        <is>
          <t>FUCILE SOVRAPPOSTO</t>
        </is>
      </c>
      <c r="F427" s="3" t="n">
        <v>12</v>
      </c>
      <c r="G427" s="3" t="inlineStr">
        <is>
          <t>FRANCHI</t>
        </is>
      </c>
      <c r="H427" s="65" t="inlineStr">
        <is>
          <t>FALCONET</t>
        </is>
      </c>
      <c r="I427" s="65" t="n">
        <v>2001753</v>
      </c>
      <c r="J427" s="65" t="inlineStr">
        <is>
          <t>N/D</t>
        </is>
      </c>
      <c r="K427" s="65" t="inlineStr">
        <is>
          <t>N/D</t>
        </is>
      </c>
      <c r="L427" s="127" t="inlineStr">
        <is>
          <t>F.LLI MANCINI VITANTONIO E ANGELO SNC</t>
        </is>
      </c>
      <c r="M427" s="5" t="n">
        <v>125</v>
      </c>
      <c r="N427" s="5" t="n"/>
      <c r="O427" s="5">
        <f>+M427+N427</f>
        <v/>
      </c>
      <c r="P427" s="4" t="n"/>
      <c r="Q427" s="87" t="n"/>
      <c r="R427" s="5" t="n">
        <v>138</v>
      </c>
      <c r="S427" s="2" t="n">
        <v>1</v>
      </c>
      <c r="T427" s="3" t="inlineStr">
        <is>
          <t>CA42796IR</t>
        </is>
      </c>
      <c r="U427" s="87" t="n">
        <v>45821</v>
      </c>
      <c r="V427" s="3" t="inlineStr">
        <is>
          <t>16</t>
        </is>
      </c>
      <c r="W427" s="108" t="n">
        <v>45821</v>
      </c>
      <c r="X427" s="4" t="inlineStr">
        <is>
          <t>PHILIPPOS COSTANTINIDES TRADING CO. LTD</t>
        </is>
      </c>
    </row>
    <row r="428" ht="24" customHeight="1">
      <c r="A428" s="2">
        <f>+D428-S428</f>
        <v/>
      </c>
      <c r="B428" s="80" t="n"/>
      <c r="C428" s="70" t="n">
        <v>45434</v>
      </c>
      <c r="D428" s="2" t="n">
        <v>1</v>
      </c>
      <c r="E428" s="3" t="inlineStr">
        <is>
          <t>FUCILE SOVRAPPOSTO</t>
        </is>
      </c>
      <c r="F428" s="3" t="n">
        <v>12</v>
      </c>
      <c r="G428" s="3" t="inlineStr">
        <is>
          <t>BERETTA</t>
        </is>
      </c>
      <c r="H428" s="65" t="n">
        <v>55</v>
      </c>
      <c r="I428" s="65" t="n">
        <v>109678</v>
      </c>
      <c r="J428" s="65" t="inlineStr">
        <is>
          <t>N/D</t>
        </is>
      </c>
      <c r="K428" s="65" t="inlineStr">
        <is>
          <t>N/D</t>
        </is>
      </c>
      <c r="L428" s="127" t="inlineStr">
        <is>
          <t>F.LLI MANCINI VITANTONIO E ANGELO SNC</t>
        </is>
      </c>
      <c r="M428" s="5" t="n">
        <v>125</v>
      </c>
      <c r="N428" s="5" t="n"/>
      <c r="O428" s="5">
        <f>+M428+N428</f>
        <v/>
      </c>
      <c r="P428" s="4" t="n"/>
      <c r="Q428" s="87" t="n"/>
      <c r="R428" s="5" t="n">
        <v>138</v>
      </c>
      <c r="S428" s="2" t="n">
        <v>1</v>
      </c>
      <c r="T428" s="3" t="inlineStr">
        <is>
          <t>CA42796IR</t>
        </is>
      </c>
      <c r="U428" s="87" t="n">
        <v>45821</v>
      </c>
      <c r="V428" s="3" t="inlineStr">
        <is>
          <t>9</t>
        </is>
      </c>
      <c r="W428" s="108" t="n">
        <v>45821</v>
      </c>
      <c r="X428" s="4" t="inlineStr">
        <is>
          <t>PHILIPPOS COSTANTINIDES TRADING CO. LTD</t>
        </is>
      </c>
    </row>
    <row r="429" ht="24" customHeight="1">
      <c r="A429" s="2">
        <f>+D429-S429</f>
        <v/>
      </c>
      <c r="B429" s="80" t="n"/>
      <c r="C429" s="70" t="n">
        <v>45434</v>
      </c>
      <c r="D429" s="2" t="n">
        <v>1</v>
      </c>
      <c r="E429" s="3" t="inlineStr">
        <is>
          <t>FUCILE SOVRAPPOSTO</t>
        </is>
      </c>
      <c r="F429" s="3" t="n">
        <v>12</v>
      </c>
      <c r="G429" s="3" t="inlineStr">
        <is>
          <t>BERETTA</t>
        </is>
      </c>
      <c r="H429" s="65" t="n">
        <v>55</v>
      </c>
      <c r="I429" s="65" t="n">
        <v>87957</v>
      </c>
      <c r="J429" s="65" t="inlineStr">
        <is>
          <t>N/D</t>
        </is>
      </c>
      <c r="K429" s="65" t="inlineStr">
        <is>
          <t>N/D</t>
        </is>
      </c>
      <c r="L429" s="127" t="inlineStr">
        <is>
          <t>F.LLI MANCINI VITANTONIO E ANGELO SNC</t>
        </is>
      </c>
      <c r="M429" s="5" t="n">
        <v>125</v>
      </c>
      <c r="N429" s="5" t="n"/>
      <c r="O429" s="5">
        <f>+M429+N429</f>
        <v/>
      </c>
      <c r="P429" s="4" t="n"/>
      <c r="Q429" s="87" t="n"/>
      <c r="R429" s="5" t="n">
        <v>138</v>
      </c>
      <c r="S429" s="2" t="n">
        <v>1</v>
      </c>
      <c r="T429" s="3" t="inlineStr">
        <is>
          <t>CA42796IR</t>
        </is>
      </c>
      <c r="U429" s="87" t="n">
        <v>45821</v>
      </c>
      <c r="V429" s="3" t="inlineStr">
        <is>
          <t>9</t>
        </is>
      </c>
      <c r="W429" s="108" t="n">
        <v>45821</v>
      </c>
      <c r="X429" s="4" t="inlineStr">
        <is>
          <t>PHILIPPOS COSTANTINIDES TRADING CO. LTD</t>
        </is>
      </c>
    </row>
    <row r="430" ht="24" customHeight="1">
      <c r="A430" s="2">
        <f>+D430-S430</f>
        <v/>
      </c>
      <c r="B430" s="80" t="n"/>
      <c r="C430" s="70" t="n">
        <v>45434</v>
      </c>
      <c r="D430" s="2" t="n">
        <v>1</v>
      </c>
      <c r="E430" s="3" t="inlineStr">
        <is>
          <t>FUCILE SOVRAPPOSTO</t>
        </is>
      </c>
      <c r="F430" s="3" t="n">
        <v>12</v>
      </c>
      <c r="G430" s="3" t="inlineStr">
        <is>
          <t>FRANCHI</t>
        </is>
      </c>
      <c r="H430" s="65" t="inlineStr">
        <is>
          <t>ALCIONE</t>
        </is>
      </c>
      <c r="I430" s="65" t="n">
        <v>4033267</v>
      </c>
      <c r="J430" s="65" t="inlineStr">
        <is>
          <t>N/D</t>
        </is>
      </c>
      <c r="K430" s="65" t="inlineStr">
        <is>
          <t>N/D</t>
        </is>
      </c>
      <c r="L430" s="127" t="inlineStr">
        <is>
          <t>F.LLI MANCINI VITANTONIO E ANGELO SNC</t>
        </is>
      </c>
      <c r="M430" s="5" t="n">
        <v>125</v>
      </c>
      <c r="N430" s="5" t="n"/>
      <c r="O430" s="5">
        <f>+M430+N430</f>
        <v/>
      </c>
      <c r="P430" s="4" t="n"/>
      <c r="Q430" s="87" t="n"/>
      <c r="R430" s="5" t="n">
        <v>138</v>
      </c>
      <c r="S430" s="2" t="n">
        <v>1</v>
      </c>
      <c r="T430" s="3" t="inlineStr">
        <is>
          <t>CA42796IR</t>
        </is>
      </c>
      <c r="U430" s="87" t="n">
        <v>45821</v>
      </c>
      <c r="V430" s="3" t="inlineStr">
        <is>
          <t>9</t>
        </is>
      </c>
      <c r="W430" s="108" t="n">
        <v>45821</v>
      </c>
      <c r="X430" s="4" t="inlineStr">
        <is>
          <t>PHILIPPOS COSTANTINIDES TRADING CO. LTD</t>
        </is>
      </c>
    </row>
    <row r="431" ht="24" customHeight="1">
      <c r="A431" s="2">
        <f>+D431-S431</f>
        <v/>
      </c>
      <c r="B431" s="80" t="n"/>
      <c r="C431" s="70" t="n">
        <v>45434</v>
      </c>
      <c r="D431" s="2" t="n">
        <v>1</v>
      </c>
      <c r="E431" s="3" t="inlineStr">
        <is>
          <t>FUCILE SOVRAPPOSTO</t>
        </is>
      </c>
      <c r="F431" s="3" t="n">
        <v>12</v>
      </c>
      <c r="G431" s="3" t="inlineStr">
        <is>
          <t>FRANCHI</t>
        </is>
      </c>
      <c r="H431" s="65" t="n">
        <v>201</v>
      </c>
      <c r="I431" s="65" t="n">
        <v>4131571</v>
      </c>
      <c r="J431" s="65" t="inlineStr">
        <is>
          <t>N/D</t>
        </is>
      </c>
      <c r="K431" s="65" t="inlineStr">
        <is>
          <t>N/D</t>
        </is>
      </c>
      <c r="L431" s="127" t="inlineStr">
        <is>
          <t>F.LLI MANCINI VITANTONIO E ANGELO SNC</t>
        </is>
      </c>
      <c r="M431" s="5" t="n">
        <v>125</v>
      </c>
      <c r="N431" s="5" t="n"/>
      <c r="O431" s="5">
        <f>+M431+N431</f>
        <v/>
      </c>
      <c r="P431" s="4" t="n"/>
      <c r="Q431" s="87" t="n"/>
      <c r="R431" s="5" t="n">
        <v>138</v>
      </c>
      <c r="S431" s="2" t="n">
        <v>1</v>
      </c>
      <c r="T431" s="3" t="inlineStr">
        <is>
          <t>CA42796IR</t>
        </is>
      </c>
      <c r="U431" s="87" t="n">
        <v>45821</v>
      </c>
      <c r="V431" s="3" t="inlineStr">
        <is>
          <t>9</t>
        </is>
      </c>
      <c r="W431" s="108" t="n">
        <v>45821</v>
      </c>
      <c r="X431" s="4" t="inlineStr">
        <is>
          <t>PHILIPPOS COSTANTINIDES TRADING CO. LTD</t>
        </is>
      </c>
    </row>
    <row r="432" ht="24" customHeight="1">
      <c r="A432" s="2">
        <f>+D432-S432</f>
        <v/>
      </c>
      <c r="B432" s="80" t="n"/>
      <c r="C432" s="70" t="n">
        <v>45434</v>
      </c>
      <c r="D432" s="2" t="n">
        <v>1</v>
      </c>
      <c r="E432" s="3" t="inlineStr">
        <is>
          <t>FUCILE DOPPIETTA</t>
        </is>
      </c>
      <c r="F432" s="3" t="n">
        <v>12</v>
      </c>
      <c r="G432" s="3" t="inlineStr">
        <is>
          <t>BIGNOTTI</t>
        </is>
      </c>
      <c r="H432" s="65" t="n"/>
      <c r="I432" s="65" t="inlineStr">
        <is>
          <t>C27288</t>
        </is>
      </c>
      <c r="J432" s="65" t="inlineStr">
        <is>
          <t>N/D</t>
        </is>
      </c>
      <c r="K432" s="65" t="inlineStr">
        <is>
          <t>N/D</t>
        </is>
      </c>
      <c r="L432" s="127" t="inlineStr">
        <is>
          <t>F.LLI MANCINI VITANTONIO E ANGELO SNC</t>
        </is>
      </c>
      <c r="M432" s="5" t="n">
        <v>150</v>
      </c>
      <c r="N432" s="5" t="n"/>
      <c r="O432" s="5">
        <f>+M432+N432</f>
        <v/>
      </c>
      <c r="P432" s="4" t="n"/>
      <c r="Q432" s="87" t="n"/>
      <c r="R432" s="5" t="n">
        <v>165</v>
      </c>
      <c r="S432" s="2" t="n">
        <v>1</v>
      </c>
      <c r="T432" s="3" t="inlineStr">
        <is>
          <t>CA42796IR</t>
        </is>
      </c>
      <c r="U432" s="87" t="n">
        <v>45821</v>
      </c>
      <c r="V432" s="3" t="inlineStr">
        <is>
          <t>15</t>
        </is>
      </c>
      <c r="W432" s="108" t="n">
        <v>45821</v>
      </c>
      <c r="X432" s="4" t="inlineStr">
        <is>
          <t>PHILIPPOS COSTANTINIDES TRADING CO. LTD</t>
        </is>
      </c>
    </row>
    <row r="433" ht="24" customHeight="1">
      <c r="A433" s="2">
        <f>+D433-S433</f>
        <v/>
      </c>
      <c r="B433" s="80" t="n"/>
      <c r="C433" s="70" t="n">
        <v>45434</v>
      </c>
      <c r="D433" s="2" t="n">
        <v>1</v>
      </c>
      <c r="E433" s="3" t="inlineStr">
        <is>
          <t>FUCILE DOPPIETTA</t>
        </is>
      </c>
      <c r="F433" s="3" t="n">
        <v>12</v>
      </c>
      <c r="G433" s="3" t="inlineStr">
        <is>
          <t>ROTA</t>
        </is>
      </c>
      <c r="H433" s="65" t="n"/>
      <c r="I433" s="65" t="n">
        <v>15869</v>
      </c>
      <c r="J433" s="65" t="inlineStr">
        <is>
          <t>N/D</t>
        </is>
      </c>
      <c r="K433" s="65" t="inlineStr">
        <is>
          <t>N/D</t>
        </is>
      </c>
      <c r="L433" s="127" t="inlineStr">
        <is>
          <t>F.LLI MANCINI VITANTONIO E ANGELO SNC</t>
        </is>
      </c>
      <c r="M433" s="5" t="n">
        <v>150</v>
      </c>
      <c r="N433" s="5" t="n"/>
      <c r="O433" s="5">
        <f>+M433+N433</f>
        <v/>
      </c>
      <c r="P433" s="4" t="n"/>
      <c r="Q433" s="87" t="n"/>
      <c r="R433" s="5" t="n">
        <v>165</v>
      </c>
      <c r="S433" s="2" t="n">
        <v>1</v>
      </c>
      <c r="T433" s="3" t="inlineStr">
        <is>
          <t>CA42796IR</t>
        </is>
      </c>
      <c r="U433" s="87" t="n">
        <v>45821</v>
      </c>
      <c r="V433" s="3" t="inlineStr">
        <is>
          <t>15</t>
        </is>
      </c>
      <c r="W433" s="108" t="n">
        <v>45821</v>
      </c>
      <c r="X433" s="4" t="inlineStr">
        <is>
          <t>PHILIPPOS COSTANTINIDES TRADING CO. LTD</t>
        </is>
      </c>
    </row>
    <row r="434" ht="24" customHeight="1">
      <c r="A434" s="2">
        <f>+D434-S434</f>
        <v/>
      </c>
      <c r="B434" s="80" t="n"/>
      <c r="C434" s="70" t="n">
        <v>45434</v>
      </c>
      <c r="D434" s="2" t="n">
        <v>1</v>
      </c>
      <c r="E434" s="3" t="inlineStr">
        <is>
          <t>FUCILE SOVRAPPOSTO</t>
        </is>
      </c>
      <c r="F434" s="3" t="n">
        <v>12</v>
      </c>
      <c r="G434" s="3" t="inlineStr">
        <is>
          <t>WINCHESTER</t>
        </is>
      </c>
      <c r="H434" s="65" t="n">
        <v>400</v>
      </c>
      <c r="I434" s="65" t="inlineStr">
        <is>
          <t>K379235</t>
        </is>
      </c>
      <c r="J434" s="65" t="n">
        <v>48505</v>
      </c>
      <c r="K434" s="65" t="inlineStr">
        <is>
          <t>N/D</t>
        </is>
      </c>
      <c r="L434" s="127" t="inlineStr">
        <is>
          <t>F.LLI MANCINI VITANTONIO E ANGELO SNC</t>
        </is>
      </c>
      <c r="M434" s="5" t="n">
        <v>150</v>
      </c>
      <c r="N434" s="5" t="n"/>
      <c r="O434" s="5">
        <f>+M434+N434</f>
        <v/>
      </c>
      <c r="P434" s="4" t="n"/>
      <c r="Q434" s="87" t="n"/>
      <c r="R434" s="5" t="n">
        <v>165</v>
      </c>
      <c r="S434" s="2" t="n">
        <v>1</v>
      </c>
      <c r="T434" s="3" t="inlineStr">
        <is>
          <t>CA42796IR</t>
        </is>
      </c>
      <c r="U434" s="87" t="n">
        <v>45821</v>
      </c>
      <c r="V434" s="3" t="inlineStr">
        <is>
          <t>9</t>
        </is>
      </c>
      <c r="W434" s="108" t="n">
        <v>45821</v>
      </c>
      <c r="X434" s="4" t="inlineStr">
        <is>
          <t>PHILIPPOS COSTANTINIDES TRADING CO. LTD</t>
        </is>
      </c>
    </row>
    <row r="435" ht="24" customHeight="1">
      <c r="A435" s="2">
        <f>+D435-S435</f>
        <v/>
      </c>
      <c r="B435" s="80" t="n"/>
      <c r="C435" s="70" t="n">
        <v>45434</v>
      </c>
      <c r="D435" s="2" t="n">
        <v>1</v>
      </c>
      <c r="E435" s="3" t="inlineStr">
        <is>
          <t>FUCILE SOVRAPPOSTO</t>
        </is>
      </c>
      <c r="F435" s="3" t="n">
        <v>12</v>
      </c>
      <c r="G435" s="3" t="inlineStr">
        <is>
          <t>BROWNING</t>
        </is>
      </c>
      <c r="H435" s="65" t="inlineStr">
        <is>
          <t>B2</t>
        </is>
      </c>
      <c r="I435" s="65" t="n">
        <v>55397</v>
      </c>
      <c r="J435" s="65" t="inlineStr">
        <is>
          <t>N/D</t>
        </is>
      </c>
      <c r="K435" s="65" t="inlineStr">
        <is>
          <t>N/D</t>
        </is>
      </c>
      <c r="L435" s="127" t="inlineStr">
        <is>
          <t>F.LLI MANCINI VITANTONIO E ANGELO SNC</t>
        </is>
      </c>
      <c r="M435" s="5" t="n">
        <v>150</v>
      </c>
      <c r="N435" s="5" t="n"/>
      <c r="O435" s="5">
        <f>+M435+N435</f>
        <v/>
      </c>
      <c r="P435" s="4" t="n"/>
      <c r="Q435" s="87" t="n"/>
      <c r="R435" s="5" t="n">
        <v>165</v>
      </c>
      <c r="S435" s="2" t="n">
        <v>1</v>
      </c>
      <c r="T435" s="3" t="inlineStr">
        <is>
          <t>CA42796IR</t>
        </is>
      </c>
      <c r="U435" s="87" t="n">
        <v>45821</v>
      </c>
      <c r="V435" s="3" t="inlineStr">
        <is>
          <t>10</t>
        </is>
      </c>
      <c r="W435" s="108" t="n">
        <v>45821</v>
      </c>
      <c r="X435" s="4" t="inlineStr">
        <is>
          <t>PHILIPPOS COSTANTINIDES TRADING CO. LTD</t>
        </is>
      </c>
    </row>
    <row r="436" ht="24" customHeight="1">
      <c r="A436" s="2">
        <f>+D436-S436</f>
        <v/>
      </c>
      <c r="B436" s="80" t="n"/>
      <c r="C436" s="70" t="n">
        <v>45434</v>
      </c>
      <c r="D436" s="2" t="n">
        <v>1</v>
      </c>
      <c r="E436" s="3" t="inlineStr">
        <is>
          <t>FUCILE DOPPIETTA</t>
        </is>
      </c>
      <c r="F436" s="3" t="n">
        <v>12</v>
      </c>
      <c r="G436" s="3" t="inlineStr">
        <is>
          <t>FALCO</t>
        </is>
      </c>
      <c r="H436" s="65" t="n"/>
      <c r="I436" s="65" t="n">
        <v>4446</v>
      </c>
      <c r="J436" s="65" t="inlineStr">
        <is>
          <t>N/D</t>
        </is>
      </c>
      <c r="K436" s="65" t="inlineStr">
        <is>
          <t>N/D</t>
        </is>
      </c>
      <c r="L436" s="127" t="inlineStr">
        <is>
          <t>F.LLI MANCINI VITANTONIO E ANGELO SNC</t>
        </is>
      </c>
      <c r="M436" s="5" t="n">
        <v>150</v>
      </c>
      <c r="N436" s="5" t="n"/>
      <c r="O436" s="5">
        <f>+M436+N436</f>
        <v/>
      </c>
      <c r="P436" s="4" t="n"/>
      <c r="Q436" s="87" t="n"/>
      <c r="R436" s="5" t="n">
        <v>165</v>
      </c>
      <c r="S436" s="2" t="n">
        <v>1</v>
      </c>
      <c r="T436" s="3" t="inlineStr">
        <is>
          <t>CA42796IR</t>
        </is>
      </c>
      <c r="U436" s="87" t="n">
        <v>45821</v>
      </c>
      <c r="V436" s="3" t="inlineStr">
        <is>
          <t>15</t>
        </is>
      </c>
      <c r="W436" s="108" t="n">
        <v>45821</v>
      </c>
      <c r="X436" s="4" t="inlineStr">
        <is>
          <t>PHILIPPOS COSTANTINIDES TRADING CO. LTD</t>
        </is>
      </c>
    </row>
    <row r="437" ht="24" customHeight="1">
      <c r="A437" s="2">
        <f>+D437-S437</f>
        <v/>
      </c>
      <c r="B437" s="80" t="n"/>
      <c r="C437" s="70" t="n">
        <v>45434</v>
      </c>
      <c r="D437" s="2" t="n">
        <v>1</v>
      </c>
      <c r="E437" s="3" t="inlineStr">
        <is>
          <t>PISTOLA SEMIAUTOMATICA</t>
        </is>
      </c>
      <c r="F437" s="3" t="inlineStr">
        <is>
          <t>22 LR</t>
        </is>
      </c>
      <c r="G437" s="3" t="inlineStr">
        <is>
          <t>BROWNING</t>
        </is>
      </c>
      <c r="H437" s="65" t="inlineStr">
        <is>
          <t>HERSTAL</t>
        </is>
      </c>
      <c r="I437" s="65" t="inlineStr">
        <is>
          <t>69469U7</t>
        </is>
      </c>
      <c r="J437" s="65" t="inlineStr">
        <is>
          <t>N/D</t>
        </is>
      </c>
      <c r="K437" s="65" t="inlineStr">
        <is>
          <t>N/D</t>
        </is>
      </c>
      <c r="L437" s="127" t="inlineStr">
        <is>
          <t>F.LLI MANCINI VITANTONIO E ANGELO SNC</t>
        </is>
      </c>
      <c r="M437" s="5" t="n">
        <v>150</v>
      </c>
      <c r="N437" s="5" t="n"/>
      <c r="O437" s="5">
        <f>+M437+N437</f>
        <v/>
      </c>
      <c r="P437" s="4" t="n"/>
      <c r="Q437" s="87" t="n"/>
      <c r="R437" s="5" t="n">
        <v>158</v>
      </c>
      <c r="S437" s="2" t="n">
        <v>1</v>
      </c>
      <c r="T437" s="3" t="inlineStr">
        <is>
          <t>CA04954OS</t>
        </is>
      </c>
      <c r="U437" s="87" t="n">
        <v>45874</v>
      </c>
      <c r="V437" s="3" t="inlineStr">
        <is>
          <t>25</t>
        </is>
      </c>
      <c r="W437" s="4" t="n">
        <v>45874</v>
      </c>
      <c r="X437" s="4" t="inlineStr">
        <is>
          <t>PHILIPPOS  CONSTANTINIDES
TRADING CO.LTD</t>
        </is>
      </c>
    </row>
    <row r="438" ht="24" customHeight="1">
      <c r="A438" s="2">
        <f>+D438-S438</f>
        <v/>
      </c>
      <c r="B438" s="80" t="n"/>
      <c r="C438" s="70" t="n">
        <v>45434</v>
      </c>
      <c r="D438" s="2" t="n">
        <v>1</v>
      </c>
      <c r="E438" s="3" t="inlineStr">
        <is>
          <t>PISTOLA SEMIAUTOMATICA</t>
        </is>
      </c>
      <c r="F438" s="3" t="inlineStr">
        <is>
          <t>45 ACP</t>
        </is>
      </c>
      <c r="G438" s="3" t="inlineStr">
        <is>
          <t>SPRINGFIELD ARMORY</t>
        </is>
      </c>
      <c r="H438" s="65" t="inlineStr">
        <is>
          <t>1911-A1</t>
        </is>
      </c>
      <c r="I438" s="65" t="inlineStr">
        <is>
          <t>NM205194</t>
        </is>
      </c>
      <c r="J438" s="65" t="inlineStr">
        <is>
          <t>N/D</t>
        </is>
      </c>
      <c r="K438" s="65" t="inlineStr">
        <is>
          <t>N/D</t>
        </is>
      </c>
      <c r="L438" s="127" t="inlineStr">
        <is>
          <t>F.LLI MANCINI VITANTONIO E ANGELO SNC</t>
        </is>
      </c>
      <c r="M438" s="5" t="n">
        <v>250</v>
      </c>
      <c r="N438" s="5" t="n"/>
      <c r="O438" s="5">
        <f>+M438+N438</f>
        <v/>
      </c>
      <c r="P438" s="4" t="n"/>
      <c r="Q438" s="87" t="n"/>
      <c r="R438" s="5" t="n">
        <v>528</v>
      </c>
      <c r="S438" s="2" t="n">
        <v>1</v>
      </c>
      <c r="T438" s="3" t="inlineStr">
        <is>
          <t>CA04954OS</t>
        </is>
      </c>
      <c r="U438" s="87" t="n">
        <v>45874</v>
      </c>
      <c r="V438" s="3" t="inlineStr">
        <is>
          <t>25</t>
        </is>
      </c>
      <c r="W438" s="4" t="n">
        <v>45874</v>
      </c>
      <c r="X438" s="4" t="inlineStr">
        <is>
          <t>PHILIPPOS  CONSTANTINIDES
TRADING CO.LTD</t>
        </is>
      </c>
    </row>
    <row r="439" ht="24" customHeight="1">
      <c r="A439" s="2">
        <f>+D439-S439</f>
        <v/>
      </c>
      <c r="B439" s="80" t="n"/>
      <c r="C439" s="70" t="n">
        <v>45483</v>
      </c>
      <c r="D439" s="2" t="n">
        <v>1</v>
      </c>
      <c r="E439" s="3" t="inlineStr">
        <is>
          <t>FUCILE SEMIAUTOMATICO</t>
        </is>
      </c>
      <c r="F439" s="3" t="n">
        <v>12</v>
      </c>
      <c r="G439" s="3" t="inlineStr">
        <is>
          <t>BERETTA</t>
        </is>
      </c>
      <c r="H439" s="65" t="inlineStr">
        <is>
          <t>A300</t>
        </is>
      </c>
      <c r="I439" s="65" t="inlineStr">
        <is>
          <t>A09240</t>
        </is>
      </c>
      <c r="J439" s="65" t="inlineStr">
        <is>
          <t>A22894F</t>
        </is>
      </c>
      <c r="K439" s="65" t="inlineStr">
        <is>
          <t>N/D</t>
        </is>
      </c>
      <c r="L439" s="127" t="inlineStr">
        <is>
          <t>ANTONIONI SPORT CACCIA E PESCA SRLS</t>
        </is>
      </c>
      <c r="M439" s="5" t="n">
        <v>25</v>
      </c>
      <c r="N439" s="5" t="n"/>
      <c r="O439" s="5">
        <f>+M439+N439</f>
        <v/>
      </c>
      <c r="P439" s="4" t="n"/>
      <c r="Q439" s="87" t="n"/>
      <c r="R439" s="5" t="n">
        <v>28</v>
      </c>
      <c r="S439" s="2" t="n">
        <v>1</v>
      </c>
      <c r="T439" s="3" t="n"/>
      <c r="U439" s="87" t="n">
        <v>45499</v>
      </c>
      <c r="V439" s="3" t="inlineStr">
        <is>
          <t>15</t>
        </is>
      </c>
      <c r="W439" s="108" t="n">
        <v>45499</v>
      </c>
      <c r="X439" s="4" t="inlineStr">
        <is>
          <t>BRESCIA MIDDLE EAST SAL</t>
        </is>
      </c>
    </row>
    <row r="440" ht="24" customHeight="1">
      <c r="A440" s="2">
        <f>+D440-S440</f>
        <v/>
      </c>
      <c r="B440" s="80" t="n"/>
      <c r="C440" s="70" t="n">
        <v>45483</v>
      </c>
      <c r="D440" s="2" t="n">
        <v>1</v>
      </c>
      <c r="E440" s="3" t="inlineStr">
        <is>
          <t>FUCILE SEMIAUTOMATICO</t>
        </is>
      </c>
      <c r="F440" s="3" t="n">
        <v>12</v>
      </c>
      <c r="G440" s="3" t="inlineStr">
        <is>
          <t>BERETTA</t>
        </is>
      </c>
      <c r="H440" s="65" t="inlineStr">
        <is>
          <t>A301</t>
        </is>
      </c>
      <c r="I440" s="65" t="inlineStr">
        <is>
          <t>C49064E</t>
        </is>
      </c>
      <c r="J440" s="65" t="inlineStr">
        <is>
          <t>D32113F</t>
        </is>
      </c>
      <c r="K440" s="65" t="inlineStr">
        <is>
          <t>N/D</t>
        </is>
      </c>
      <c r="L440" s="127" t="inlineStr">
        <is>
          <t>ANTONIONI SPORT CACCIA E PESCA SRLS</t>
        </is>
      </c>
      <c r="M440" s="5" t="n">
        <v>25</v>
      </c>
      <c r="N440" s="5" t="n"/>
      <c r="O440" s="5">
        <f>+M440+N440</f>
        <v/>
      </c>
      <c r="P440" s="4" t="n"/>
      <c r="Q440" s="87" t="n"/>
      <c r="R440" s="5" t="n">
        <v>28</v>
      </c>
      <c r="S440" s="2" t="n">
        <v>1</v>
      </c>
      <c r="T440" s="3" t="n"/>
      <c r="U440" s="87" t="n">
        <v>45499</v>
      </c>
      <c r="V440" s="3" t="inlineStr">
        <is>
          <t>15</t>
        </is>
      </c>
      <c r="W440" s="108" t="n">
        <v>45499</v>
      </c>
      <c r="X440" s="4" t="inlineStr">
        <is>
          <t>BRESCIA MIDDLE EAST SAL</t>
        </is>
      </c>
    </row>
    <row r="441" ht="24" customHeight="1">
      <c r="A441" s="2">
        <f>+D441-S441</f>
        <v/>
      </c>
      <c r="B441" s="80" t="n"/>
      <c r="C441" s="70" t="n">
        <v>45483</v>
      </c>
      <c r="D441" s="2" t="n">
        <v>1</v>
      </c>
      <c r="E441" s="3" t="inlineStr">
        <is>
          <t>FUCILE SEMIAUTOMATICO</t>
        </is>
      </c>
      <c r="F441" s="3" t="n">
        <v>12</v>
      </c>
      <c r="G441" s="3" t="inlineStr">
        <is>
          <t>BREDA</t>
        </is>
      </c>
      <c r="H441" s="65" t="inlineStr">
        <is>
          <t>ASTRO</t>
        </is>
      </c>
      <c r="I441" s="65" t="inlineStr">
        <is>
          <t>P02217</t>
        </is>
      </c>
      <c r="J441" s="65" t="inlineStr">
        <is>
          <t>L001734</t>
        </is>
      </c>
      <c r="K441" s="65" t="inlineStr">
        <is>
          <t>N/D</t>
        </is>
      </c>
      <c r="L441" s="127" t="inlineStr">
        <is>
          <t>ANTONIONI SPORT CACCIA E PESCA SRLS</t>
        </is>
      </c>
      <c r="M441" s="5" t="n">
        <v>25</v>
      </c>
      <c r="N441" s="5" t="n"/>
      <c r="O441" s="5">
        <f>+M441+N441</f>
        <v/>
      </c>
      <c r="P441" s="4" t="n"/>
      <c r="Q441" s="87" t="n"/>
      <c r="R441" s="5" t="n">
        <v>28</v>
      </c>
      <c r="S441" s="2" t="n">
        <v>1</v>
      </c>
      <c r="T441" s="3" t="n"/>
      <c r="U441" s="87" t="n">
        <v>45499</v>
      </c>
      <c r="V441" s="3" t="inlineStr">
        <is>
          <t>15</t>
        </is>
      </c>
      <c r="W441" s="108" t="n">
        <v>45499</v>
      </c>
      <c r="X441" s="4" t="inlineStr">
        <is>
          <t>BRESCIA MIDDLE EAST SAL</t>
        </is>
      </c>
    </row>
    <row r="442" ht="24" customHeight="1">
      <c r="A442" s="2">
        <f>+D442-S442</f>
        <v/>
      </c>
      <c r="B442" s="80" t="n"/>
      <c r="C442" s="70" t="n">
        <v>45483</v>
      </c>
      <c r="D442" s="2" t="n">
        <v>1</v>
      </c>
      <c r="E442" s="3" t="inlineStr">
        <is>
          <t>FUCILE DOPPIETTA</t>
        </is>
      </c>
      <c r="F442" s="3" t="n">
        <v>16</v>
      </c>
      <c r="G442" s="3" t="inlineStr">
        <is>
          <t>BERETTA</t>
        </is>
      </c>
      <c r="H442" s="65" t="inlineStr">
        <is>
          <t>CANI ESTERNI</t>
        </is>
      </c>
      <c r="I442" s="65" t="n">
        <v>29768</v>
      </c>
      <c r="J442" s="65" t="inlineStr">
        <is>
          <t>N/D</t>
        </is>
      </c>
      <c r="K442" s="65" t="inlineStr">
        <is>
          <t>N/D</t>
        </is>
      </c>
      <c r="L442" s="127" t="inlineStr">
        <is>
          <t>ANTONIONI SPORT CACCIA E PESCA SRLS</t>
        </is>
      </c>
      <c r="M442" s="5" t="n">
        <v>25</v>
      </c>
      <c r="N442" s="5" t="n"/>
      <c r="O442" s="5">
        <f>+M442+N442</f>
        <v/>
      </c>
      <c r="P442" s="4" t="n"/>
      <c r="Q442" s="87" t="n"/>
      <c r="R442" s="5" t="n">
        <v>29</v>
      </c>
      <c r="S442" s="2" t="n">
        <v>1</v>
      </c>
      <c r="T442" s="3" t="inlineStr">
        <is>
          <t>CA42796IR</t>
        </is>
      </c>
      <c r="U442" s="87" t="n">
        <v>45821</v>
      </c>
      <c r="V442" s="3" t="inlineStr">
        <is>
          <t>13</t>
        </is>
      </c>
      <c r="W442" s="108" t="n">
        <v>45821</v>
      </c>
      <c r="X442" s="4" t="inlineStr">
        <is>
          <t>PHILIPPOS COSTANTINIDES TRADING CO. LTD</t>
        </is>
      </c>
    </row>
    <row r="443" ht="24" customHeight="1">
      <c r="A443" s="2">
        <f>+D443-S443</f>
        <v/>
      </c>
      <c r="B443" s="80" t="n"/>
      <c r="C443" s="70" t="n">
        <v>45483</v>
      </c>
      <c r="D443" s="2" t="n">
        <v>1</v>
      </c>
      <c r="E443" s="3" t="inlineStr">
        <is>
          <t>FUCILE DOPPIETTA</t>
        </is>
      </c>
      <c r="F443" s="3" t="n">
        <v>12</v>
      </c>
      <c r="G443" s="3" t="inlineStr">
        <is>
          <t>BELLERI</t>
        </is>
      </c>
      <c r="H443" s="65" t="inlineStr">
        <is>
          <t>CANI ESTERNI</t>
        </is>
      </c>
      <c r="I443" s="65" t="n">
        <v>4276</v>
      </c>
      <c r="J443" s="65" t="inlineStr">
        <is>
          <t>N/D</t>
        </is>
      </c>
      <c r="K443" s="65" t="inlineStr">
        <is>
          <t>N/D</t>
        </is>
      </c>
      <c r="L443" s="127" t="inlineStr">
        <is>
          <t>ANTONIONI SPORT CACCIA E PESCA SRLS</t>
        </is>
      </c>
      <c r="M443" s="5" t="n">
        <v>25</v>
      </c>
      <c r="N443" s="5" t="n"/>
      <c r="O443" s="5">
        <f>+M443+N443</f>
        <v/>
      </c>
      <c r="P443" s="4" t="n"/>
      <c r="Q443" s="87" t="n"/>
      <c r="R443" s="5" t="n">
        <v>29</v>
      </c>
      <c r="S443" s="2" t="n">
        <v>1</v>
      </c>
      <c r="T443" s="3" t="inlineStr">
        <is>
          <t>CA42796IR</t>
        </is>
      </c>
      <c r="U443" s="87" t="n">
        <v>45821</v>
      </c>
      <c r="V443" s="3" t="inlineStr">
        <is>
          <t>13</t>
        </is>
      </c>
      <c r="W443" s="108" t="n">
        <v>45821</v>
      </c>
      <c r="X443" s="4" t="inlineStr">
        <is>
          <t>PHILIPPOS COSTANTINIDES TRADING CO. LTD</t>
        </is>
      </c>
    </row>
    <row r="444" ht="24" customHeight="1">
      <c r="A444" s="2">
        <f>+D444-S444</f>
        <v/>
      </c>
      <c r="B444" s="80" t="n"/>
      <c r="C444" s="70" t="n">
        <v>45483</v>
      </c>
      <c r="D444" s="2" t="n">
        <v>1</v>
      </c>
      <c r="E444" s="3" t="inlineStr">
        <is>
          <t>FUCILE DOPPIETTA</t>
        </is>
      </c>
      <c r="F444" s="3" t="n">
        <v>16</v>
      </c>
      <c r="G444" s="3" t="inlineStr">
        <is>
          <t>ARTIGIANA</t>
        </is>
      </c>
      <c r="H444" s="65" t="inlineStr">
        <is>
          <t>CANI ESTERNI</t>
        </is>
      </c>
      <c r="I444" s="65" t="n">
        <v>8608</v>
      </c>
      <c r="J444" s="65" t="inlineStr">
        <is>
          <t>N/D</t>
        </is>
      </c>
      <c r="K444" s="65" t="inlineStr">
        <is>
          <t>N/D</t>
        </is>
      </c>
      <c r="L444" s="127" t="inlineStr">
        <is>
          <t>ANTONIONI SPORT CACCIA E PESCA SRLS</t>
        </is>
      </c>
      <c r="M444" s="5" t="n">
        <v>25</v>
      </c>
      <c r="N444" s="5" t="n"/>
      <c r="O444" s="5">
        <f>+M444+N444</f>
        <v/>
      </c>
      <c r="P444" s="4" t="n"/>
      <c r="Q444" s="87" t="n"/>
      <c r="R444" s="5" t="n">
        <v>29</v>
      </c>
      <c r="S444" s="2" t="n">
        <v>1</v>
      </c>
      <c r="T444" s="3" t="inlineStr">
        <is>
          <t>CA42796IR</t>
        </is>
      </c>
      <c r="U444" s="87" t="n">
        <v>45821</v>
      </c>
      <c r="V444" s="3" t="inlineStr">
        <is>
          <t>12</t>
        </is>
      </c>
      <c r="W444" s="108" t="n">
        <v>45821</v>
      </c>
      <c r="X444" s="4" t="inlineStr">
        <is>
          <t>PHILIPPOS COSTANTINIDES TRADING CO. LTD</t>
        </is>
      </c>
    </row>
    <row r="445" ht="24" customHeight="1">
      <c r="A445" s="2">
        <f>+D445-S445</f>
        <v/>
      </c>
      <c r="B445" s="80" t="n"/>
      <c r="C445" s="70" t="n">
        <v>45483</v>
      </c>
      <c r="D445" s="2" t="n">
        <v>1</v>
      </c>
      <c r="E445" s="3" t="inlineStr">
        <is>
          <t>FUCILE DOPPIETTA</t>
        </is>
      </c>
      <c r="F445" s="3" t="n">
        <v>12</v>
      </c>
      <c r="G445" s="3" t="inlineStr">
        <is>
          <t>LARIO</t>
        </is>
      </c>
      <c r="H445" s="65" t="inlineStr">
        <is>
          <t>CANI ESTERNI</t>
        </is>
      </c>
      <c r="I445" s="65" t="n">
        <v>31487</v>
      </c>
      <c r="J445" s="65" t="inlineStr">
        <is>
          <t>N/D</t>
        </is>
      </c>
      <c r="K445" s="65" t="inlineStr">
        <is>
          <t>N/D</t>
        </is>
      </c>
      <c r="L445" s="127" t="inlineStr">
        <is>
          <t>ANTONIONI SPORT CACCIA E PESCA SRLS</t>
        </is>
      </c>
      <c r="M445" s="5" t="n">
        <v>25</v>
      </c>
      <c r="N445" s="5" t="n"/>
      <c r="O445" s="5">
        <f>+M445+N445</f>
        <v/>
      </c>
      <c r="P445" s="4" t="n"/>
      <c r="Q445" s="87" t="n"/>
      <c r="R445" s="5" t="n">
        <v>29</v>
      </c>
      <c r="S445" s="2" t="n">
        <v>1</v>
      </c>
      <c r="T445" s="3" t="inlineStr">
        <is>
          <t>CA42796IR</t>
        </is>
      </c>
      <c r="U445" s="87" t="n">
        <v>45821</v>
      </c>
      <c r="V445" s="3" t="inlineStr">
        <is>
          <t>13</t>
        </is>
      </c>
      <c r="W445" s="108" t="n">
        <v>45821</v>
      </c>
      <c r="X445" s="4" t="inlineStr">
        <is>
          <t>PHILIPPOS COSTANTINIDES TRADING CO. LTD</t>
        </is>
      </c>
    </row>
    <row r="446" ht="24" customHeight="1">
      <c r="A446" s="2">
        <f>+D446-S446</f>
        <v/>
      </c>
      <c r="B446" s="80" t="n"/>
      <c r="C446" s="70" t="n">
        <v>45483</v>
      </c>
      <c r="D446" s="2" t="n">
        <v>1</v>
      </c>
      <c r="E446" s="3" t="inlineStr">
        <is>
          <t>FUCILE DOPPIETTA</t>
        </is>
      </c>
      <c r="F446" s="3" t="n">
        <v>20</v>
      </c>
      <c r="G446" s="3" t="inlineStr">
        <is>
          <t>G.BONSI</t>
        </is>
      </c>
      <c r="H446" s="65" t="inlineStr">
        <is>
          <t>CANI ESTERNI</t>
        </is>
      </c>
      <c r="I446" s="65" t="n">
        <v>6647</v>
      </c>
      <c r="J446" s="65" t="inlineStr">
        <is>
          <t>N/D</t>
        </is>
      </c>
      <c r="K446" s="65" t="inlineStr">
        <is>
          <t>N/D</t>
        </is>
      </c>
      <c r="L446" s="127" t="inlineStr">
        <is>
          <t>ANTONIONI SPORT CACCIA E PESCA SRLS</t>
        </is>
      </c>
      <c r="M446" s="5" t="n">
        <v>25</v>
      </c>
      <c r="N446" s="5" t="n"/>
      <c r="O446" s="5">
        <f>+M446+N446</f>
        <v/>
      </c>
      <c r="P446" s="4" t="n"/>
      <c r="Q446" s="87" t="n"/>
      <c r="R446" s="5" t="n">
        <v>29</v>
      </c>
      <c r="S446" s="2" t="n">
        <v>1</v>
      </c>
      <c r="T446" s="3" t="inlineStr">
        <is>
          <t>CA42796IR</t>
        </is>
      </c>
      <c r="U446" s="87" t="n">
        <v>45821</v>
      </c>
      <c r="V446" s="3" t="inlineStr">
        <is>
          <t>13</t>
        </is>
      </c>
      <c r="W446" s="108" t="n">
        <v>45821</v>
      </c>
      <c r="X446" s="4" t="inlineStr">
        <is>
          <t>PHILIPPOS COSTANTINIDES TRADING CO. LTD</t>
        </is>
      </c>
    </row>
    <row r="447" ht="24" customHeight="1">
      <c r="A447" s="2">
        <f>+D447-S447</f>
        <v/>
      </c>
      <c r="B447" s="80" t="n"/>
      <c r="C447" s="70" t="n">
        <v>45483</v>
      </c>
      <c r="D447" s="2" t="n">
        <v>1</v>
      </c>
      <c r="E447" s="3" t="inlineStr">
        <is>
          <t>FUCILE DOPPIETTA</t>
        </is>
      </c>
      <c r="F447" s="3" t="n">
        <v>12</v>
      </c>
      <c r="G447" s="3" t="inlineStr">
        <is>
          <t>ARTIGIANA</t>
        </is>
      </c>
      <c r="H447" s="65" t="inlineStr">
        <is>
          <t>CANI ESTERNI</t>
        </is>
      </c>
      <c r="I447" s="65" t="n">
        <v>5183</v>
      </c>
      <c r="J447" s="65" t="inlineStr">
        <is>
          <t>N/D</t>
        </is>
      </c>
      <c r="K447" s="65" t="inlineStr">
        <is>
          <t>N/D</t>
        </is>
      </c>
      <c r="L447" s="127" t="inlineStr">
        <is>
          <t>ANTONIONI SPORT CACCIA E PESCA SRLS</t>
        </is>
      </c>
      <c r="M447" s="5" t="n">
        <v>25</v>
      </c>
      <c r="N447" s="5" t="n"/>
      <c r="O447" s="5">
        <f>+M447+N447</f>
        <v/>
      </c>
      <c r="P447" s="4" t="n"/>
      <c r="Q447" s="87" t="n"/>
      <c r="R447" s="5" t="n">
        <v>29</v>
      </c>
      <c r="S447" s="2" t="n">
        <v>1</v>
      </c>
      <c r="T447" s="3" t="inlineStr">
        <is>
          <t>CA42796IR</t>
        </is>
      </c>
      <c r="U447" s="87" t="n">
        <v>45821</v>
      </c>
      <c r="V447" s="3" t="inlineStr">
        <is>
          <t>12</t>
        </is>
      </c>
      <c r="W447" s="108" t="n">
        <v>45821</v>
      </c>
      <c r="X447" s="4" t="inlineStr">
        <is>
          <t>PHILIPPOS COSTANTINIDES TRADING CO. LTD</t>
        </is>
      </c>
    </row>
    <row r="448" ht="24" customHeight="1">
      <c r="A448" s="2">
        <f>+D448-S448</f>
        <v/>
      </c>
      <c r="B448" s="80" t="n"/>
      <c r="C448" s="70" t="n">
        <v>45483</v>
      </c>
      <c r="D448" s="2" t="n">
        <v>1</v>
      </c>
      <c r="E448" s="3" t="inlineStr">
        <is>
          <t>FUCILE DOPPIETTA</t>
        </is>
      </c>
      <c r="F448" s="3" t="n">
        <v>12</v>
      </c>
      <c r="G448" s="3" t="inlineStr">
        <is>
          <t>LIEGI</t>
        </is>
      </c>
      <c r="H448" s="65" t="inlineStr">
        <is>
          <t>CANI ESTERNI</t>
        </is>
      </c>
      <c r="I448" s="65" t="n">
        <v>166</v>
      </c>
      <c r="J448" s="65" t="inlineStr">
        <is>
          <t>N/D</t>
        </is>
      </c>
      <c r="K448" s="65" t="inlineStr">
        <is>
          <t>N/D</t>
        </is>
      </c>
      <c r="L448" s="127" t="inlineStr">
        <is>
          <t>ANTONIONI SPORT CACCIA E PESCA SRLS</t>
        </is>
      </c>
      <c r="M448" s="5" t="n">
        <v>25</v>
      </c>
      <c r="N448" s="5" t="n"/>
      <c r="O448" s="5">
        <f>+M448+N448</f>
        <v/>
      </c>
      <c r="P448" s="4" t="n"/>
      <c r="Q448" s="87" t="n"/>
      <c r="R448" s="5" t="n">
        <v>29</v>
      </c>
      <c r="S448" s="2" t="n">
        <v>1</v>
      </c>
      <c r="T448" s="3" t="inlineStr">
        <is>
          <t>CA42796IR</t>
        </is>
      </c>
      <c r="U448" s="87" t="n">
        <v>45821</v>
      </c>
      <c r="V448" s="3" t="inlineStr">
        <is>
          <t>14</t>
        </is>
      </c>
      <c r="W448" s="108" t="n">
        <v>45821</v>
      </c>
      <c r="X448" s="4" t="inlineStr">
        <is>
          <t>PHILIPPOS COSTANTINIDES TRADING CO. LTD</t>
        </is>
      </c>
    </row>
    <row r="449" ht="24" customHeight="1">
      <c r="A449" s="2">
        <f>+D449-S449</f>
        <v/>
      </c>
      <c r="B449" s="80" t="n"/>
      <c r="C449" s="70" t="n">
        <v>45483</v>
      </c>
      <c r="D449" s="2" t="n">
        <v>1</v>
      </c>
      <c r="E449" s="3" t="inlineStr">
        <is>
          <t>FUCILE DOPPIETTA</t>
        </is>
      </c>
      <c r="F449" s="3" t="n">
        <v>16</v>
      </c>
      <c r="G449" s="3" t="inlineStr">
        <is>
          <t>BERNARD</t>
        </is>
      </c>
      <c r="H449" s="65" t="inlineStr">
        <is>
          <t>CANI ESTERNI</t>
        </is>
      </c>
      <c r="I449" s="65" t="n">
        <v>6820</v>
      </c>
      <c r="J449" s="65" t="inlineStr">
        <is>
          <t>N/D</t>
        </is>
      </c>
      <c r="K449" s="65" t="inlineStr">
        <is>
          <t>N/D</t>
        </is>
      </c>
      <c r="L449" s="127" t="inlineStr">
        <is>
          <t>ANTONIONI SPORT CACCIA E PESCA SRLS</t>
        </is>
      </c>
      <c r="M449" s="5" t="n">
        <v>25</v>
      </c>
      <c r="N449" s="5" t="n"/>
      <c r="O449" s="5">
        <f>+M449+N449</f>
        <v/>
      </c>
      <c r="P449" s="4" t="n"/>
      <c r="Q449" s="87" t="n"/>
      <c r="R449" s="5" t="n">
        <v>92</v>
      </c>
      <c r="S449" s="2" t="n">
        <v>1</v>
      </c>
      <c r="T449" s="3" t="inlineStr">
        <is>
          <t>CA42796IR</t>
        </is>
      </c>
      <c r="U449" s="87" t="n">
        <v>45821</v>
      </c>
      <c r="V449" s="3" t="inlineStr">
        <is>
          <t>12</t>
        </is>
      </c>
      <c r="W449" s="108" t="n">
        <v>45821</v>
      </c>
      <c r="X449" s="4" t="inlineStr">
        <is>
          <t>PHILIPPOS COSTANTINIDES TRADING CO. LTD</t>
        </is>
      </c>
    </row>
    <row r="450" ht="24" customHeight="1">
      <c r="A450" s="2">
        <f>+D450-S450</f>
        <v/>
      </c>
      <c r="B450" s="80" t="n"/>
      <c r="C450" s="70" t="n">
        <v>45483</v>
      </c>
      <c r="D450" s="2" t="n">
        <v>1</v>
      </c>
      <c r="E450" s="3" t="inlineStr">
        <is>
          <t>FUCILE DOPPIETTA</t>
        </is>
      </c>
      <c r="F450" s="3" t="n">
        <v>12</v>
      </c>
      <c r="G450" s="3" t="inlineStr">
        <is>
          <t>SAN MARCO</t>
        </is>
      </c>
      <c r="H450" s="65" t="inlineStr">
        <is>
          <t>CANI ESTERNI</t>
        </is>
      </c>
      <c r="I450" s="65" t="n">
        <v>9432</v>
      </c>
      <c r="J450" s="65" t="inlineStr">
        <is>
          <t>N/D</t>
        </is>
      </c>
      <c r="K450" s="65" t="inlineStr">
        <is>
          <t>N/D</t>
        </is>
      </c>
      <c r="L450" s="127" t="inlineStr">
        <is>
          <t>ANTONIONI SPORT CACCIA E PESCA SRLS</t>
        </is>
      </c>
      <c r="M450" s="5" t="n">
        <v>25</v>
      </c>
      <c r="N450" s="5" t="n"/>
      <c r="O450" s="5">
        <f>+M450+N450</f>
        <v/>
      </c>
      <c r="P450" s="4" t="n"/>
      <c r="Q450" s="87" t="n"/>
      <c r="R450" s="5" t="n">
        <v>29</v>
      </c>
      <c r="S450" s="2" t="n">
        <v>1</v>
      </c>
      <c r="T450" s="3" t="inlineStr">
        <is>
          <t>CA42796IR</t>
        </is>
      </c>
      <c r="U450" s="87" t="n">
        <v>45821</v>
      </c>
      <c r="V450" s="3" t="inlineStr">
        <is>
          <t>14</t>
        </is>
      </c>
      <c r="W450" s="108" t="n">
        <v>45821</v>
      </c>
      <c r="X450" s="4" t="inlineStr">
        <is>
          <t>PHILIPPOS COSTANTINIDES TRADING CO. LTD</t>
        </is>
      </c>
    </row>
    <row r="451" ht="24" customHeight="1">
      <c r="A451" s="2">
        <f>+D451-S451</f>
        <v/>
      </c>
      <c r="B451" s="80" t="n"/>
      <c r="C451" s="70" t="n">
        <v>45483</v>
      </c>
      <c r="D451" s="2" t="n">
        <v>1</v>
      </c>
      <c r="E451" s="3" t="inlineStr">
        <is>
          <t>FUCILE DOPPIETTA</t>
        </is>
      </c>
      <c r="F451" s="3" t="n">
        <v>12</v>
      </c>
      <c r="G451" s="3" t="inlineStr">
        <is>
          <t>ARTIGIANA</t>
        </is>
      </c>
      <c r="H451" s="65" t="inlineStr">
        <is>
          <t>CANI ESTERNI</t>
        </is>
      </c>
      <c r="I451" s="65" t="n">
        <v>2079</v>
      </c>
      <c r="J451" s="65" t="inlineStr">
        <is>
          <t>N/D</t>
        </is>
      </c>
      <c r="K451" s="65" t="inlineStr">
        <is>
          <t>N/D</t>
        </is>
      </c>
      <c r="L451" s="127" t="inlineStr">
        <is>
          <t>ANTONIONI SPORT CACCIA E PESCA SRLS</t>
        </is>
      </c>
      <c r="M451" s="5" t="n">
        <v>25</v>
      </c>
      <c r="N451" s="5" t="n"/>
      <c r="O451" s="5">
        <f>+M451+N451</f>
        <v/>
      </c>
      <c r="P451" s="4" t="n"/>
      <c r="Q451" s="87" t="n"/>
      <c r="R451" s="5" t="n">
        <v>29</v>
      </c>
      <c r="S451" s="2" t="n">
        <v>1</v>
      </c>
      <c r="T451" s="3" t="inlineStr">
        <is>
          <t>CA42796IR</t>
        </is>
      </c>
      <c r="U451" s="87" t="n">
        <v>45821</v>
      </c>
      <c r="V451" s="3" t="inlineStr">
        <is>
          <t>12</t>
        </is>
      </c>
      <c r="W451" s="108" t="n">
        <v>45821</v>
      </c>
      <c r="X451" s="4" t="inlineStr">
        <is>
          <t>PHILIPPOS COSTANTINIDES TRADING CO. LTD</t>
        </is>
      </c>
    </row>
    <row r="452" ht="24" customHeight="1">
      <c r="A452" s="2">
        <f>+D452-S452</f>
        <v/>
      </c>
      <c r="B452" s="80" t="n"/>
      <c r="C452" s="70" t="n">
        <v>45483</v>
      </c>
      <c r="D452" s="2" t="n">
        <v>1</v>
      </c>
      <c r="E452" s="3" t="inlineStr">
        <is>
          <t>FUCILE DOPPIETTA</t>
        </is>
      </c>
      <c r="F452" s="3" t="n">
        <v>16</v>
      </c>
      <c r="G452" s="3" t="inlineStr">
        <is>
          <t>LIEGI</t>
        </is>
      </c>
      <c r="H452" s="65" t="inlineStr">
        <is>
          <t>CANI ESTERNI</t>
        </is>
      </c>
      <c r="I452" s="65" t="n">
        <v>14738</v>
      </c>
      <c r="J452" s="65" t="inlineStr">
        <is>
          <t>N/D</t>
        </is>
      </c>
      <c r="K452" s="65" t="inlineStr">
        <is>
          <t>N/D</t>
        </is>
      </c>
      <c r="L452" s="127" t="inlineStr">
        <is>
          <t>ANTONIONI SPORT CACCIA E PESCA SRLS</t>
        </is>
      </c>
      <c r="M452" s="5" t="n">
        <v>25</v>
      </c>
      <c r="N452" s="5" t="n"/>
      <c r="O452" s="5">
        <f>+M452+N452</f>
        <v/>
      </c>
      <c r="P452" s="4" t="n"/>
      <c r="Q452" s="87" t="n"/>
      <c r="R452" s="5" t="n">
        <v>29</v>
      </c>
      <c r="S452" s="2" t="n">
        <v>1</v>
      </c>
      <c r="T452" s="3" t="inlineStr">
        <is>
          <t>CA42796IR</t>
        </is>
      </c>
      <c r="U452" s="87" t="n">
        <v>45821</v>
      </c>
      <c r="V452" s="3" t="inlineStr">
        <is>
          <t>14</t>
        </is>
      </c>
      <c r="W452" s="108" t="n">
        <v>45821</v>
      </c>
      <c r="X452" s="4" t="inlineStr">
        <is>
          <t>PHILIPPOS COSTANTINIDES TRADING CO. LTD</t>
        </is>
      </c>
    </row>
    <row r="453" ht="24" customHeight="1">
      <c r="A453" s="2">
        <f>+D453-S453</f>
        <v/>
      </c>
      <c r="B453" s="80" t="n"/>
      <c r="C453" s="70" t="n">
        <v>45483</v>
      </c>
      <c r="D453" s="2" t="n">
        <v>1</v>
      </c>
      <c r="E453" s="3" t="inlineStr">
        <is>
          <t>FUCILE DOPPIETTA</t>
        </is>
      </c>
      <c r="F453" s="3" t="n">
        <v>12</v>
      </c>
      <c r="G453" s="3" t="inlineStr">
        <is>
          <t>E.VARISCHI</t>
        </is>
      </c>
      <c r="H453" s="65" t="inlineStr">
        <is>
          <t>CANI ESTERNI</t>
        </is>
      </c>
      <c r="I453" s="65" t="n">
        <v>6573</v>
      </c>
      <c r="J453" s="65" t="inlineStr">
        <is>
          <t>N/D</t>
        </is>
      </c>
      <c r="K453" s="65" t="inlineStr">
        <is>
          <t>N/D</t>
        </is>
      </c>
      <c r="L453" s="127" t="inlineStr">
        <is>
          <t>ANTONIONI SPORT CACCIA E PESCA SRLS</t>
        </is>
      </c>
      <c r="M453" s="5" t="n">
        <v>25</v>
      </c>
      <c r="N453" s="5" t="n"/>
      <c r="O453" s="5">
        <f>+M453+N453</f>
        <v/>
      </c>
      <c r="P453" s="4" t="n"/>
      <c r="Q453" s="87" t="n"/>
      <c r="R453" s="5" t="n">
        <v>29</v>
      </c>
      <c r="S453" s="2" t="n">
        <v>1</v>
      </c>
      <c r="T453" s="3" t="inlineStr">
        <is>
          <t>CA42796IR</t>
        </is>
      </c>
      <c r="U453" s="87" t="n">
        <v>45821</v>
      </c>
      <c r="V453" s="3" t="inlineStr">
        <is>
          <t>15</t>
        </is>
      </c>
      <c r="W453" s="108" t="n">
        <v>45821</v>
      </c>
      <c r="X453" s="4" t="inlineStr">
        <is>
          <t>PHILIPPOS COSTANTINIDES TRADING CO. LTD</t>
        </is>
      </c>
    </row>
    <row r="454" ht="24" customHeight="1">
      <c r="A454" s="2">
        <f>+D454-S454</f>
        <v/>
      </c>
      <c r="B454" s="80" t="n"/>
      <c r="C454" s="70" t="n">
        <v>45483</v>
      </c>
      <c r="D454" s="2" t="n">
        <v>1</v>
      </c>
      <c r="E454" s="3" t="inlineStr">
        <is>
          <t>FUCILE DOPPIETTA</t>
        </is>
      </c>
      <c r="F454" s="3" t="n">
        <v>12</v>
      </c>
      <c r="G454" s="3" t="inlineStr">
        <is>
          <t xml:space="preserve">GITTI </t>
        </is>
      </c>
      <c r="H454" s="65" t="inlineStr">
        <is>
          <t>CANI ESTERNI</t>
        </is>
      </c>
      <c r="I454" s="65" t="n">
        <v>20706</v>
      </c>
      <c r="J454" s="65" t="inlineStr">
        <is>
          <t>N/D</t>
        </is>
      </c>
      <c r="K454" s="65" t="inlineStr">
        <is>
          <t>N/D</t>
        </is>
      </c>
      <c r="L454" s="127" t="inlineStr">
        <is>
          <t>ANTONIONI SPORT CACCIA E PESCA SRLS</t>
        </is>
      </c>
      <c r="M454" s="5" t="n">
        <v>25</v>
      </c>
      <c r="N454" s="5" t="n"/>
      <c r="O454" s="5">
        <f>+M454+N454</f>
        <v/>
      </c>
      <c r="P454" s="4" t="n"/>
      <c r="Q454" s="87" t="n"/>
      <c r="R454" s="5" t="n">
        <v>29</v>
      </c>
      <c r="S454" s="2" t="n">
        <v>1</v>
      </c>
      <c r="T454" s="3" t="inlineStr">
        <is>
          <t>CA42796IR</t>
        </is>
      </c>
      <c r="U454" s="87" t="n">
        <v>45821</v>
      </c>
      <c r="V454" s="3" t="inlineStr">
        <is>
          <t>16</t>
        </is>
      </c>
      <c r="W454" s="108" t="n">
        <v>45821</v>
      </c>
      <c r="X454" s="4" t="inlineStr">
        <is>
          <t>PHILIPPOS COSTANTINIDES TRADING CO. LTD</t>
        </is>
      </c>
    </row>
    <row r="455" ht="24" customHeight="1">
      <c r="A455" s="2">
        <f>+D455-S455</f>
        <v/>
      </c>
      <c r="B455" s="80" t="n"/>
      <c r="C455" s="70" t="n">
        <v>45483</v>
      </c>
      <c r="D455" s="2" t="n">
        <v>1</v>
      </c>
      <c r="E455" s="3" t="inlineStr">
        <is>
          <t>FUCILE DOPPIETTA</t>
        </is>
      </c>
      <c r="F455" s="3" t="n">
        <v>16</v>
      </c>
      <c r="G455" s="3" t="inlineStr">
        <is>
          <t>ARTIGIANA</t>
        </is>
      </c>
      <c r="H455" s="65" t="inlineStr">
        <is>
          <t>CANI ESTERNI</t>
        </is>
      </c>
      <c r="I455" s="65" t="n">
        <v>114160</v>
      </c>
      <c r="J455" s="65" t="inlineStr">
        <is>
          <t>N/D</t>
        </is>
      </c>
      <c r="K455" s="65" t="inlineStr">
        <is>
          <t>N/D</t>
        </is>
      </c>
      <c r="L455" s="127" t="inlineStr">
        <is>
          <t>ANTONIONI SPORT CACCIA E PESCA SRLS</t>
        </is>
      </c>
      <c r="M455" s="5" t="n">
        <v>25</v>
      </c>
      <c r="N455" s="5" t="n"/>
      <c r="O455" s="5">
        <f>+M455+N455</f>
        <v/>
      </c>
      <c r="P455" s="4" t="n"/>
      <c r="Q455" s="87" t="n"/>
      <c r="R455" s="5" t="n">
        <v>29</v>
      </c>
      <c r="S455" s="2" t="n">
        <v>1</v>
      </c>
      <c r="T455" s="3" t="inlineStr">
        <is>
          <t>CA42796IR</t>
        </is>
      </c>
      <c r="U455" s="87" t="n">
        <v>45821</v>
      </c>
      <c r="V455" s="3" t="inlineStr">
        <is>
          <t>12</t>
        </is>
      </c>
      <c r="W455" s="108" t="n">
        <v>45821</v>
      </c>
      <c r="X455" s="4" t="inlineStr">
        <is>
          <t>PHILIPPOS COSTANTINIDES TRADING CO. LTD</t>
        </is>
      </c>
    </row>
    <row r="456" ht="24" customHeight="1">
      <c r="A456" s="2">
        <f>+D456-S456</f>
        <v/>
      </c>
      <c r="B456" s="80" t="n"/>
      <c r="C456" s="70" t="n">
        <v>45483</v>
      </c>
      <c r="D456" s="2" t="n">
        <v>1</v>
      </c>
      <c r="E456" s="3" t="inlineStr">
        <is>
          <t>FUCILE DOPPIETTA</t>
        </is>
      </c>
      <c r="F456" s="3" t="n">
        <v>12</v>
      </c>
      <c r="G456" s="3" t="inlineStr">
        <is>
          <t>BORGHESI</t>
        </is>
      </c>
      <c r="H456" s="65" t="inlineStr">
        <is>
          <t>CANI ESTERNI</t>
        </is>
      </c>
      <c r="I456" s="65" t="n">
        <v>6885</v>
      </c>
      <c r="J456" s="65" t="inlineStr">
        <is>
          <t>N/D</t>
        </is>
      </c>
      <c r="K456" s="65" t="inlineStr">
        <is>
          <t>N/D</t>
        </is>
      </c>
      <c r="L456" s="127" t="inlineStr">
        <is>
          <t>ANTONIONI SPORT CACCIA E PESCA SRLS</t>
        </is>
      </c>
      <c r="M456" s="5" t="n">
        <v>25</v>
      </c>
      <c r="N456" s="5" t="n"/>
      <c r="O456" s="5">
        <f>+M456+N456</f>
        <v/>
      </c>
      <c r="P456" s="4" t="n"/>
      <c r="Q456" s="87" t="n"/>
      <c r="R456" s="5" t="n">
        <v>29</v>
      </c>
      <c r="S456" s="2" t="n">
        <v>1</v>
      </c>
      <c r="T456" s="3" t="inlineStr">
        <is>
          <t>CA42796IR</t>
        </is>
      </c>
      <c r="U456" s="87" t="n">
        <v>45821</v>
      </c>
      <c r="V456" s="3" t="inlineStr">
        <is>
          <t>15</t>
        </is>
      </c>
      <c r="W456" s="108" t="n">
        <v>45821</v>
      </c>
      <c r="X456" s="4" t="inlineStr">
        <is>
          <t>PHILIPPOS COSTANTINIDES TRADING CO. LTD</t>
        </is>
      </c>
    </row>
    <row r="457" ht="24" customHeight="1">
      <c r="A457" s="2">
        <f>+D457-S457</f>
        <v/>
      </c>
      <c r="B457" s="80" t="n"/>
      <c r="C457" s="70" t="n">
        <v>45483</v>
      </c>
      <c r="D457" s="2" t="n">
        <v>1</v>
      </c>
      <c r="E457" s="3" t="inlineStr">
        <is>
          <t>FUCILE DOPPIETTA</t>
        </is>
      </c>
      <c r="F457" s="3" t="n">
        <v>45646</v>
      </c>
      <c r="G457" s="3" t="inlineStr">
        <is>
          <t>ARTIGIANA</t>
        </is>
      </c>
      <c r="H457" s="65" t="inlineStr">
        <is>
          <t>CANI ESTERNI</t>
        </is>
      </c>
      <c r="I457" s="65" t="inlineStr">
        <is>
          <t>F179</t>
        </is>
      </c>
      <c r="J457" s="65" t="inlineStr">
        <is>
          <t>N/D</t>
        </is>
      </c>
      <c r="K457" s="65" t="inlineStr">
        <is>
          <t>N/D</t>
        </is>
      </c>
      <c r="L457" s="127" t="inlineStr">
        <is>
          <t>ANTONIONI SPORT CACCIA E PESCA SRLS</t>
        </is>
      </c>
      <c r="M457" s="5" t="n">
        <v>25</v>
      </c>
      <c r="N457" s="5" t="n"/>
      <c r="O457" s="5">
        <f>+M457+N457</f>
        <v/>
      </c>
      <c r="P457" s="4" t="n"/>
      <c r="Q457" s="87" t="n"/>
      <c r="R457" s="5" t="n">
        <v>29</v>
      </c>
      <c r="S457" s="2" t="n">
        <v>1</v>
      </c>
      <c r="T457" s="3" t="inlineStr">
        <is>
          <t>CA42796IR</t>
        </is>
      </c>
      <c r="U457" s="87" t="n">
        <v>45821</v>
      </c>
      <c r="V457" s="3" t="inlineStr">
        <is>
          <t>13</t>
        </is>
      </c>
      <c r="W457" s="108" t="n">
        <v>45821</v>
      </c>
      <c r="X457" s="4" t="inlineStr">
        <is>
          <t>PHILIPPOS COSTANTINIDES TRADING CO. LTD</t>
        </is>
      </c>
    </row>
    <row r="458" ht="24" customHeight="1">
      <c r="A458" s="2">
        <f>+D458-S458</f>
        <v/>
      </c>
      <c r="B458" s="80" t="n"/>
      <c r="C458" s="70" t="n">
        <v>45483</v>
      </c>
      <c r="D458" s="2" t="n">
        <v>1</v>
      </c>
      <c r="E458" s="3" t="inlineStr">
        <is>
          <t>FUCILE DOPPIETTA</t>
        </is>
      </c>
      <c r="F458" s="3" t="n">
        <v>16</v>
      </c>
      <c r="G458" s="3" t="inlineStr">
        <is>
          <t>COCKERILL</t>
        </is>
      </c>
      <c r="H458" s="65" t="inlineStr">
        <is>
          <t>CANI ESTERNI</t>
        </is>
      </c>
      <c r="I458" s="65" t="n">
        <v>31259</v>
      </c>
      <c r="J458" s="65" t="inlineStr">
        <is>
          <t>N/D</t>
        </is>
      </c>
      <c r="K458" s="65" t="inlineStr">
        <is>
          <t>N/D</t>
        </is>
      </c>
      <c r="L458" s="127" t="inlineStr">
        <is>
          <t>ANTONIONI SPORT CACCIA E PESCA SRLS</t>
        </is>
      </c>
      <c r="M458" s="5" t="n">
        <v>25</v>
      </c>
      <c r="N458" s="5" t="n"/>
      <c r="O458" s="5">
        <f>+M458+N458</f>
        <v/>
      </c>
      <c r="P458" s="4" t="n"/>
      <c r="Q458" s="87" t="n"/>
      <c r="R458" s="5" t="n">
        <v>29</v>
      </c>
      <c r="S458" s="2" t="n">
        <v>1</v>
      </c>
      <c r="T458" s="3" t="inlineStr">
        <is>
          <t>CA42796IR</t>
        </is>
      </c>
      <c r="U458" s="87" t="n">
        <v>45821</v>
      </c>
      <c r="V458" s="3" t="inlineStr">
        <is>
          <t>12</t>
        </is>
      </c>
      <c r="W458" s="108" t="n">
        <v>45821</v>
      </c>
      <c r="X458" s="4" t="inlineStr">
        <is>
          <t>PHILIPPOS COSTANTINIDES TRADING CO. LTD</t>
        </is>
      </c>
    </row>
    <row r="459" ht="24" customHeight="1">
      <c r="A459" s="2">
        <f>+D459-S459</f>
        <v/>
      </c>
      <c r="B459" s="80" t="n"/>
      <c r="C459" s="70" t="n">
        <v>45483</v>
      </c>
      <c r="D459" s="2" t="n">
        <v>1</v>
      </c>
      <c r="E459" s="3" t="inlineStr">
        <is>
          <t>FUCILE DOPPIETTA</t>
        </is>
      </c>
      <c r="F459" s="3" t="n">
        <v>12</v>
      </c>
      <c r="G459" s="3" t="inlineStr">
        <is>
          <t>ARTIGIANA</t>
        </is>
      </c>
      <c r="H459" s="65" t="inlineStr">
        <is>
          <t>CANI ESTERNI</t>
        </is>
      </c>
      <c r="I459" s="65" t="n">
        <v>1383</v>
      </c>
      <c r="J459" s="65" t="inlineStr">
        <is>
          <t>N/D</t>
        </is>
      </c>
      <c r="K459" s="65" t="inlineStr">
        <is>
          <t>N/D</t>
        </is>
      </c>
      <c r="L459" s="127" t="inlineStr">
        <is>
          <t>ANTONIONI SPORT CACCIA E PESCA SRLS</t>
        </is>
      </c>
      <c r="M459" s="5" t="n">
        <v>25</v>
      </c>
      <c r="N459" s="5" t="n"/>
      <c r="O459" s="5">
        <f>+M459+N459</f>
        <v/>
      </c>
      <c r="P459" s="4" t="n"/>
      <c r="Q459" s="87" t="n"/>
      <c r="R459" s="5" t="n">
        <v>29</v>
      </c>
      <c r="S459" s="2" t="n">
        <v>1</v>
      </c>
      <c r="T459" s="3" t="inlineStr">
        <is>
          <t>CA42796IR</t>
        </is>
      </c>
      <c r="U459" s="87" t="n">
        <v>45821</v>
      </c>
      <c r="V459" s="3" t="inlineStr">
        <is>
          <t>12</t>
        </is>
      </c>
      <c r="W459" s="108" t="n">
        <v>45821</v>
      </c>
      <c r="X459" s="4" t="inlineStr">
        <is>
          <t>PHILIPPOS COSTANTINIDES TRADING CO. LTD</t>
        </is>
      </c>
    </row>
    <row r="460" ht="24" customHeight="1">
      <c r="A460" s="2">
        <f>+D460-S460</f>
        <v/>
      </c>
      <c r="B460" s="80" t="n"/>
      <c r="C460" s="70" t="n">
        <v>45483</v>
      </c>
      <c r="D460" s="2" t="n">
        <v>1</v>
      </c>
      <c r="E460" s="3" t="inlineStr">
        <is>
          <t>FUCILE DOPPIETTA</t>
        </is>
      </c>
      <c r="F460" s="3" t="n">
        <v>12</v>
      </c>
      <c r="G460" s="3" t="inlineStr">
        <is>
          <t>PINTO</t>
        </is>
      </c>
      <c r="H460" s="65" t="inlineStr">
        <is>
          <t>CANI ESTERNI</t>
        </is>
      </c>
      <c r="I460" s="65" t="n">
        <v>25533</v>
      </c>
      <c r="J460" s="65" t="inlineStr">
        <is>
          <t>N/D</t>
        </is>
      </c>
      <c r="K460" s="65" t="inlineStr">
        <is>
          <t>N/D</t>
        </is>
      </c>
      <c r="L460" s="127" t="inlineStr">
        <is>
          <t>ANTONIONI SPORT CACCIA E PESCA SRLS</t>
        </is>
      </c>
      <c r="M460" s="5" t="n">
        <v>25</v>
      </c>
      <c r="N460" s="5" t="n"/>
      <c r="O460" s="5">
        <f>+M460+N460</f>
        <v/>
      </c>
      <c r="P460" s="4" t="n"/>
      <c r="Q460" s="87" t="n"/>
      <c r="R460" s="5" t="n">
        <v>29</v>
      </c>
      <c r="S460" s="2" t="n">
        <v>1</v>
      </c>
      <c r="T460" s="3" t="inlineStr">
        <is>
          <t>CA42796IR</t>
        </is>
      </c>
      <c r="U460" s="87" t="n">
        <v>45821</v>
      </c>
      <c r="V460" s="3" t="inlineStr">
        <is>
          <t>14</t>
        </is>
      </c>
      <c r="W460" s="108" t="n">
        <v>45821</v>
      </c>
      <c r="X460" s="4" t="inlineStr">
        <is>
          <t>PHILIPPOS COSTANTINIDES TRADING CO. LTD</t>
        </is>
      </c>
    </row>
    <row r="461" ht="24" customHeight="1">
      <c r="A461" s="2">
        <f>+D461-S461</f>
        <v/>
      </c>
      <c r="B461" s="80" t="n"/>
      <c r="C461" s="70" t="n">
        <v>45483</v>
      </c>
      <c r="D461" s="2" t="n">
        <v>1</v>
      </c>
      <c r="E461" s="3" t="inlineStr">
        <is>
          <t>FUCILE DOPPIETTA</t>
        </is>
      </c>
      <c r="F461" s="3" t="n">
        <v>12</v>
      </c>
      <c r="G461" s="3" t="inlineStr">
        <is>
          <t>ARTIGIANA</t>
        </is>
      </c>
      <c r="H461" s="65" t="inlineStr">
        <is>
          <t>CANI ESTERNI</t>
        </is>
      </c>
      <c r="I461" s="65" t="inlineStr">
        <is>
          <t>0980</t>
        </is>
      </c>
      <c r="J461" s="65" t="inlineStr">
        <is>
          <t>N/D</t>
        </is>
      </c>
      <c r="K461" s="65" t="inlineStr">
        <is>
          <t>N/D</t>
        </is>
      </c>
      <c r="L461" s="127" t="inlineStr">
        <is>
          <t>ANTONIONI SPORT CACCIA E PESCA SRLS</t>
        </is>
      </c>
      <c r="M461" s="5" t="n">
        <v>25</v>
      </c>
      <c r="N461" s="5" t="n"/>
      <c r="O461" s="5">
        <f>+M461+N461</f>
        <v/>
      </c>
      <c r="P461" s="4" t="n"/>
      <c r="Q461" s="87" t="n"/>
      <c r="R461" s="5" t="n">
        <v>29</v>
      </c>
      <c r="S461" s="2" t="n">
        <v>1</v>
      </c>
      <c r="T461" s="3" t="inlineStr">
        <is>
          <t>CA42796IR</t>
        </is>
      </c>
      <c r="U461" s="87" t="n">
        <v>45821</v>
      </c>
      <c r="V461" s="3" t="inlineStr">
        <is>
          <t>12</t>
        </is>
      </c>
      <c r="W461" s="108" t="n">
        <v>45821</v>
      </c>
      <c r="X461" s="4" t="inlineStr">
        <is>
          <t>PHILIPPOS COSTANTINIDES TRADING CO. LTD</t>
        </is>
      </c>
    </row>
    <row r="462" ht="24" customHeight="1">
      <c r="A462" s="2">
        <f>+D462-S462</f>
        <v/>
      </c>
      <c r="B462" s="80" t="n"/>
      <c r="C462" s="70" t="n">
        <v>45483</v>
      </c>
      <c r="D462" s="2" t="n">
        <v>1</v>
      </c>
      <c r="E462" s="3" t="inlineStr">
        <is>
          <t>FUCILE DOPPIETTA</t>
        </is>
      </c>
      <c r="F462" s="3" t="n">
        <v>12</v>
      </c>
      <c r="G462" s="3" t="inlineStr">
        <is>
          <t>BERETTA</t>
        </is>
      </c>
      <c r="H462" s="65" t="inlineStr">
        <is>
          <t>CANI ESTERNI</t>
        </is>
      </c>
      <c r="I462" s="65" t="n">
        <v>123985</v>
      </c>
      <c r="J462" s="65" t="inlineStr">
        <is>
          <t>N/D</t>
        </is>
      </c>
      <c r="K462" s="65" t="inlineStr">
        <is>
          <t>N/D</t>
        </is>
      </c>
      <c r="L462" s="127" t="inlineStr">
        <is>
          <t>ANTONIONI SPORT CACCIA E PESCA SRLS</t>
        </is>
      </c>
      <c r="M462" s="5" t="n">
        <v>25</v>
      </c>
      <c r="N462" s="5" t="n"/>
      <c r="O462" s="5">
        <f>+M462+N462</f>
        <v/>
      </c>
      <c r="P462" s="4" t="n"/>
      <c r="Q462" s="87" t="n"/>
      <c r="R462" s="5" t="n">
        <v>29</v>
      </c>
      <c r="S462" s="2" t="n">
        <v>1</v>
      </c>
      <c r="T462" s="3" t="inlineStr">
        <is>
          <t>CA42796IR</t>
        </is>
      </c>
      <c r="U462" s="87" t="n">
        <v>45821</v>
      </c>
      <c r="V462" s="3" t="inlineStr">
        <is>
          <t>10</t>
        </is>
      </c>
      <c r="W462" s="108" t="n">
        <v>45821</v>
      </c>
      <c r="X462" s="4" t="inlineStr">
        <is>
          <t>PHILIPPOS COSTANTINIDES TRADING CO. LTD</t>
        </is>
      </c>
    </row>
    <row r="463" ht="24" customHeight="1">
      <c r="A463" s="2">
        <f>+D463-S463</f>
        <v/>
      </c>
      <c r="B463" s="80" t="n"/>
      <c r="C463" s="70" t="n">
        <v>45483</v>
      </c>
      <c r="D463" s="2" t="n">
        <v>1</v>
      </c>
      <c r="E463" s="3" t="inlineStr">
        <is>
          <t>FUCILE DOPPIETTA</t>
        </is>
      </c>
      <c r="F463" s="3" t="n">
        <v>16</v>
      </c>
      <c r="G463" s="3" t="inlineStr">
        <is>
          <t>FALC</t>
        </is>
      </c>
      <c r="H463" s="65" t="inlineStr">
        <is>
          <t>CANI ESTERNI</t>
        </is>
      </c>
      <c r="I463" s="65" t="n">
        <v>13386</v>
      </c>
      <c r="J463" s="65" t="inlineStr">
        <is>
          <t>N/D</t>
        </is>
      </c>
      <c r="K463" s="65" t="inlineStr">
        <is>
          <t>N/D</t>
        </is>
      </c>
      <c r="L463" s="127" t="inlineStr">
        <is>
          <t>ANTONIONI SPORT CACCIA E PESCA SRLS</t>
        </is>
      </c>
      <c r="M463" s="5" t="n">
        <v>25</v>
      </c>
      <c r="N463" s="5" t="n"/>
      <c r="O463" s="5">
        <f>+M463+N463</f>
        <v/>
      </c>
      <c r="P463" s="4" t="n"/>
      <c r="Q463" s="87" t="n"/>
      <c r="R463" s="5" t="n">
        <v>29</v>
      </c>
      <c r="S463" s="2" t="n">
        <v>1</v>
      </c>
      <c r="T463" s="3" t="inlineStr">
        <is>
          <t>CA42796IR</t>
        </is>
      </c>
      <c r="U463" s="87" t="n">
        <v>45821</v>
      </c>
      <c r="V463" s="3" t="inlineStr">
        <is>
          <t>12</t>
        </is>
      </c>
      <c r="W463" s="108" t="n">
        <v>45821</v>
      </c>
      <c r="X463" s="4" t="inlineStr">
        <is>
          <t>PHILIPPOS COSTANTINIDES TRADING CO. LTD</t>
        </is>
      </c>
    </row>
    <row r="464" ht="24" customHeight="1">
      <c r="A464" s="2">
        <f>+D464-S464</f>
        <v/>
      </c>
      <c r="B464" s="80" t="n"/>
      <c r="C464" s="70" t="n">
        <v>45483</v>
      </c>
      <c r="D464" s="2" t="n">
        <v>1</v>
      </c>
      <c r="E464" s="3" t="inlineStr">
        <is>
          <t>FUCILE DOPPIETTA</t>
        </is>
      </c>
      <c r="F464" s="3" t="n">
        <v>12</v>
      </c>
      <c r="G464" s="3" t="inlineStr">
        <is>
          <t>ARTIGIANA</t>
        </is>
      </c>
      <c r="H464" s="65" t="inlineStr">
        <is>
          <t>CANI ESTERNI</t>
        </is>
      </c>
      <c r="I464" s="65" t="n">
        <v>109996</v>
      </c>
      <c r="J464" s="65" t="inlineStr">
        <is>
          <t>N/D</t>
        </is>
      </c>
      <c r="K464" s="65" t="inlineStr">
        <is>
          <t>N/D</t>
        </is>
      </c>
      <c r="L464" s="127" t="inlineStr">
        <is>
          <t>ANTONIONI SPORT CACCIA E PESCA SRLS</t>
        </is>
      </c>
      <c r="M464" s="5" t="n">
        <v>25</v>
      </c>
      <c r="N464" s="5" t="n"/>
      <c r="O464" s="5">
        <f>+M464+N464</f>
        <v/>
      </c>
      <c r="P464" s="4" t="n"/>
      <c r="Q464" s="87" t="n"/>
      <c r="R464" s="5" t="n">
        <v>29</v>
      </c>
      <c r="S464" s="2" t="n">
        <v>1</v>
      </c>
      <c r="T464" s="3" t="inlineStr">
        <is>
          <t>CA42796IR</t>
        </is>
      </c>
      <c r="U464" s="87" t="n">
        <v>45821</v>
      </c>
      <c r="V464" s="3" t="inlineStr">
        <is>
          <t>12</t>
        </is>
      </c>
      <c r="W464" s="108" t="n">
        <v>45821</v>
      </c>
      <c r="X464" s="4" t="inlineStr">
        <is>
          <t>PHILIPPOS COSTANTINIDES TRADING CO. LTD</t>
        </is>
      </c>
    </row>
    <row r="465" ht="24" customHeight="1">
      <c r="A465" s="2">
        <f>+D465-S465</f>
        <v/>
      </c>
      <c r="B465" s="80" t="n"/>
      <c r="C465" s="70" t="n">
        <v>45483</v>
      </c>
      <c r="D465" s="2" t="n">
        <v>1</v>
      </c>
      <c r="E465" s="3" t="inlineStr">
        <is>
          <t>FUCILE DOPPIETTA</t>
        </is>
      </c>
      <c r="F465" s="3" t="n">
        <v>16</v>
      </c>
      <c r="G465" s="3" t="inlineStr">
        <is>
          <t>ARTIGIANA</t>
        </is>
      </c>
      <c r="H465" s="65" t="inlineStr">
        <is>
          <t>CANI ESTERNI</t>
        </is>
      </c>
      <c r="I465" s="65" t="n">
        <v>155831</v>
      </c>
      <c r="J465" s="65" t="inlineStr">
        <is>
          <t>N/D</t>
        </is>
      </c>
      <c r="K465" s="65" t="inlineStr">
        <is>
          <t>N/D</t>
        </is>
      </c>
      <c r="L465" s="127" t="inlineStr">
        <is>
          <t>ANTONIONI SPORT CACCIA E PESCA SRLS</t>
        </is>
      </c>
      <c r="M465" s="5" t="n">
        <v>25</v>
      </c>
      <c r="N465" s="5" t="n"/>
      <c r="O465" s="5">
        <f>+M465+N465</f>
        <v/>
      </c>
      <c r="P465" s="4" t="n"/>
      <c r="Q465" s="87" t="n"/>
      <c r="R465" s="5" t="n">
        <v>29</v>
      </c>
      <c r="S465" s="2" t="n">
        <v>1</v>
      </c>
      <c r="T465" s="3" t="inlineStr">
        <is>
          <t>CA42796IR</t>
        </is>
      </c>
      <c r="U465" s="87" t="n">
        <v>45821</v>
      </c>
      <c r="V465" s="3" t="inlineStr">
        <is>
          <t>12</t>
        </is>
      </c>
      <c r="W465" s="108" t="n">
        <v>45821</v>
      </c>
      <c r="X465" s="4" t="inlineStr">
        <is>
          <t>PHILIPPOS COSTANTINIDES TRADING CO. LTD</t>
        </is>
      </c>
    </row>
    <row r="466" ht="24" customHeight="1">
      <c r="A466" s="2">
        <f>+D466-S466</f>
        <v/>
      </c>
      <c r="B466" s="80" t="n"/>
      <c r="C466" s="70" t="n">
        <v>45483</v>
      </c>
      <c r="D466" s="2" t="n">
        <v>1</v>
      </c>
      <c r="E466" s="3" t="inlineStr">
        <is>
          <t>FUCILE DOPPIETTA</t>
        </is>
      </c>
      <c r="F466" s="3" t="n">
        <v>12</v>
      </c>
      <c r="G466" s="3" t="inlineStr">
        <is>
          <t>ARTIGIANA</t>
        </is>
      </c>
      <c r="H466" s="65" t="inlineStr">
        <is>
          <t>CANI ESTERNI</t>
        </is>
      </c>
      <c r="I466" s="65" t="n">
        <v>5264</v>
      </c>
      <c r="J466" s="65" t="inlineStr">
        <is>
          <t>N/D</t>
        </is>
      </c>
      <c r="K466" s="65" t="inlineStr">
        <is>
          <t>N/D</t>
        </is>
      </c>
      <c r="L466" s="127" t="inlineStr">
        <is>
          <t>ANTONIONI SPORT CACCIA E PESCA SRLS</t>
        </is>
      </c>
      <c r="M466" s="5" t="n">
        <v>25</v>
      </c>
      <c r="N466" s="5" t="n"/>
      <c r="O466" s="5">
        <f>+M466+N466</f>
        <v/>
      </c>
      <c r="P466" s="4" t="n"/>
      <c r="Q466" s="87" t="n"/>
      <c r="R466" s="5" t="n">
        <v>29</v>
      </c>
      <c r="S466" s="2" t="n">
        <v>1</v>
      </c>
      <c r="T466" s="3" t="inlineStr">
        <is>
          <t>CA42796IR</t>
        </is>
      </c>
      <c r="U466" s="87" t="n">
        <v>45821</v>
      </c>
      <c r="V466" s="3" t="inlineStr">
        <is>
          <t>12</t>
        </is>
      </c>
      <c r="W466" s="108" t="n">
        <v>45821</v>
      </c>
      <c r="X466" s="4" t="inlineStr">
        <is>
          <t>PHILIPPOS COSTANTINIDES TRADING CO. LTD</t>
        </is>
      </c>
    </row>
    <row r="467" ht="24" customHeight="1">
      <c r="A467" s="2">
        <f>+D467-S467</f>
        <v/>
      </c>
      <c r="B467" s="80" t="n"/>
      <c r="C467" s="70" t="n">
        <v>45483</v>
      </c>
      <c r="D467" s="2" t="n">
        <v>1</v>
      </c>
      <c r="E467" s="3" t="inlineStr">
        <is>
          <t>FUCILE DOPPIETTA</t>
        </is>
      </c>
      <c r="F467" s="3" t="n">
        <v>16</v>
      </c>
      <c r="G467" s="3" t="inlineStr">
        <is>
          <t>ARTIGIANA</t>
        </is>
      </c>
      <c r="H467" s="65" t="inlineStr">
        <is>
          <t>CANI ESTERNI</t>
        </is>
      </c>
      <c r="I467" s="65" t="n">
        <v>3099</v>
      </c>
      <c r="J467" s="65" t="inlineStr">
        <is>
          <t>N/D</t>
        </is>
      </c>
      <c r="K467" s="65" t="inlineStr">
        <is>
          <t>N/D</t>
        </is>
      </c>
      <c r="L467" s="127" t="inlineStr">
        <is>
          <t>ANTONIONI SPORT CACCIA E PESCA SRLS</t>
        </is>
      </c>
      <c r="M467" s="5" t="n">
        <v>25</v>
      </c>
      <c r="N467" s="5" t="n"/>
      <c r="O467" s="5">
        <f>+M467+N467</f>
        <v/>
      </c>
      <c r="P467" s="4" t="n"/>
      <c r="Q467" s="87" t="n"/>
      <c r="R467" s="5" t="n">
        <v>29</v>
      </c>
      <c r="S467" s="2" t="n">
        <v>1</v>
      </c>
      <c r="T467" s="3" t="inlineStr">
        <is>
          <t>CA42796IR</t>
        </is>
      </c>
      <c r="U467" s="87" t="n">
        <v>45821</v>
      </c>
      <c r="V467" s="3" t="inlineStr">
        <is>
          <t>12</t>
        </is>
      </c>
      <c r="W467" s="108" t="n">
        <v>45821</v>
      </c>
      <c r="X467" s="4" t="inlineStr">
        <is>
          <t>PHILIPPOS COSTANTINIDES TRADING CO. LTD</t>
        </is>
      </c>
    </row>
    <row r="468" ht="24" customHeight="1">
      <c r="A468" s="2">
        <f>+D468-S468</f>
        <v/>
      </c>
      <c r="B468" s="80" t="n"/>
      <c r="C468" s="70" t="n">
        <v>45483</v>
      </c>
      <c r="D468" s="2" t="n">
        <v>1</v>
      </c>
      <c r="E468" s="3" t="inlineStr">
        <is>
          <t>FUCILE DOPPIETTA</t>
        </is>
      </c>
      <c r="F468" s="3" t="n">
        <v>12</v>
      </c>
      <c r="G468" s="3" t="inlineStr">
        <is>
          <t>MORETTI</t>
        </is>
      </c>
      <c r="H468" s="65" t="inlineStr">
        <is>
          <t>CANI ESTERNI</t>
        </is>
      </c>
      <c r="I468" s="65" t="n">
        <v>1058</v>
      </c>
      <c r="J468" s="65" t="inlineStr">
        <is>
          <t>N/D</t>
        </is>
      </c>
      <c r="K468" s="65" t="inlineStr">
        <is>
          <t>N/D</t>
        </is>
      </c>
      <c r="L468" s="127" t="inlineStr">
        <is>
          <t>ANTONIONI SPORT CACCIA E PESCA SRLS</t>
        </is>
      </c>
      <c r="M468" s="5" t="n">
        <v>25</v>
      </c>
      <c r="N468" s="5" t="n"/>
      <c r="O468" s="5">
        <f>+M468+N468</f>
        <v/>
      </c>
      <c r="P468" s="4" t="n"/>
      <c r="Q468" s="87" t="n"/>
      <c r="R468" s="5" t="n">
        <v>29</v>
      </c>
      <c r="S468" s="2" t="n">
        <v>1</v>
      </c>
      <c r="T468" s="3" t="inlineStr">
        <is>
          <t>CA42796IR</t>
        </is>
      </c>
      <c r="U468" s="87" t="n">
        <v>45821</v>
      </c>
      <c r="V468" s="3" t="inlineStr">
        <is>
          <t>15</t>
        </is>
      </c>
      <c r="W468" s="108" t="n">
        <v>45821</v>
      </c>
      <c r="X468" s="4" t="inlineStr">
        <is>
          <t>PHILIPPOS COSTANTINIDES TRADING CO. LTD</t>
        </is>
      </c>
    </row>
    <row r="469" ht="24" customHeight="1">
      <c r="A469" s="2">
        <f>+D469-S469</f>
        <v/>
      </c>
      <c r="B469" s="80" t="n"/>
      <c r="C469" s="70" t="n">
        <v>45483</v>
      </c>
      <c r="D469" s="2" t="n">
        <v>1</v>
      </c>
      <c r="E469" s="3" t="inlineStr">
        <is>
          <t>FUCILE DOPPIETTA</t>
        </is>
      </c>
      <c r="F469" s="3" t="n">
        <v>12</v>
      </c>
      <c r="G469" s="3" t="inlineStr">
        <is>
          <t>ARTIGIANA</t>
        </is>
      </c>
      <c r="H469" s="65" t="inlineStr">
        <is>
          <t>CANI ESTERNI</t>
        </is>
      </c>
      <c r="I469" s="65" t="n">
        <v>7191</v>
      </c>
      <c r="J469" s="65" t="inlineStr">
        <is>
          <t>N/D</t>
        </is>
      </c>
      <c r="K469" s="65" t="inlineStr">
        <is>
          <t>N/D</t>
        </is>
      </c>
      <c r="L469" s="127" t="inlineStr">
        <is>
          <t>ANTONIONI SPORT CACCIA E PESCA SRLS</t>
        </is>
      </c>
      <c r="M469" s="5" t="n">
        <v>25</v>
      </c>
      <c r="N469" s="5" t="n"/>
      <c r="O469" s="5">
        <f>+M469+N469</f>
        <v/>
      </c>
      <c r="P469" s="4" t="n"/>
      <c r="Q469" s="87" t="n"/>
      <c r="R469" s="5" t="n">
        <v>29</v>
      </c>
      <c r="S469" s="2" t="n">
        <v>1</v>
      </c>
      <c r="T469" s="3" t="inlineStr">
        <is>
          <t>CA42796IR</t>
        </is>
      </c>
      <c r="U469" s="87" t="n">
        <v>45821</v>
      </c>
      <c r="V469" s="3" t="inlineStr">
        <is>
          <t>12</t>
        </is>
      </c>
      <c r="W469" s="108" t="n">
        <v>45821</v>
      </c>
      <c r="X469" s="4" t="inlineStr">
        <is>
          <t>PHILIPPOS COSTANTINIDES TRADING CO. LTD</t>
        </is>
      </c>
    </row>
    <row r="470" ht="24" customHeight="1">
      <c r="A470" s="2">
        <f>+D470-S470</f>
        <v/>
      </c>
      <c r="B470" s="80" t="n"/>
      <c r="C470" s="70" t="n">
        <v>45483</v>
      </c>
      <c r="D470" s="2" t="n">
        <v>1</v>
      </c>
      <c r="E470" s="3" t="inlineStr">
        <is>
          <t>FUCILE DOPPIETTA</t>
        </is>
      </c>
      <c r="F470" s="3" t="n">
        <v>12</v>
      </c>
      <c r="G470" s="3" t="inlineStr">
        <is>
          <t>ARTIGIANA</t>
        </is>
      </c>
      <c r="H470" s="65" t="inlineStr">
        <is>
          <t>CANI ESTERNI</t>
        </is>
      </c>
      <c r="I470" s="65" t="n">
        <v>3614</v>
      </c>
      <c r="J470" s="65" t="inlineStr">
        <is>
          <t>N/D</t>
        </is>
      </c>
      <c r="K470" s="65" t="inlineStr">
        <is>
          <t>N/D</t>
        </is>
      </c>
      <c r="L470" s="127" t="inlineStr">
        <is>
          <t>ANTONIONI SPORT CACCIA E PESCA SRLS</t>
        </is>
      </c>
      <c r="M470" s="5" t="n">
        <v>25</v>
      </c>
      <c r="N470" s="5" t="n"/>
      <c r="O470" s="5">
        <f>+M470+N470</f>
        <v/>
      </c>
      <c r="P470" s="4" t="n"/>
      <c r="Q470" s="87" t="n"/>
      <c r="R470" s="5" t="n">
        <v>29</v>
      </c>
      <c r="S470" s="2" t="n">
        <v>1</v>
      </c>
      <c r="T470" s="3" t="inlineStr">
        <is>
          <t>CA42796IR</t>
        </is>
      </c>
      <c r="U470" s="87" t="n">
        <v>45821</v>
      </c>
      <c r="V470" s="3" t="inlineStr">
        <is>
          <t>12</t>
        </is>
      </c>
      <c r="W470" s="108" t="n">
        <v>45821</v>
      </c>
      <c r="X470" s="4" t="inlineStr">
        <is>
          <t>PHILIPPOS COSTANTINIDES TRADING CO. LTD</t>
        </is>
      </c>
    </row>
    <row r="471" ht="24" customHeight="1">
      <c r="A471" s="2">
        <f>+D471-S471</f>
        <v/>
      </c>
      <c r="B471" s="80" t="n"/>
      <c r="C471" s="70" t="n">
        <v>45483</v>
      </c>
      <c r="D471" s="2" t="n">
        <v>1</v>
      </c>
      <c r="E471" s="3" t="inlineStr">
        <is>
          <t>FUCILE DOPPIETTA</t>
        </is>
      </c>
      <c r="F471" s="3" t="n">
        <v>12</v>
      </c>
      <c r="G471" s="3" t="inlineStr">
        <is>
          <t>LARIO</t>
        </is>
      </c>
      <c r="H471" s="65" t="inlineStr">
        <is>
          <t>CANI ESTERNI</t>
        </is>
      </c>
      <c r="I471" s="65" t="n">
        <v>25952</v>
      </c>
      <c r="J471" s="65" t="inlineStr">
        <is>
          <t>N/D</t>
        </is>
      </c>
      <c r="K471" s="65" t="inlineStr">
        <is>
          <t>N/D</t>
        </is>
      </c>
      <c r="L471" s="127" t="inlineStr">
        <is>
          <t>ANTONIONI SPORT CACCIA E PESCA SRLS</t>
        </is>
      </c>
      <c r="M471" s="5" t="n">
        <v>25</v>
      </c>
      <c r="N471" s="5" t="n"/>
      <c r="O471" s="5">
        <f>+M471+N471</f>
        <v/>
      </c>
      <c r="P471" s="4" t="n"/>
      <c r="Q471" s="87" t="n"/>
      <c r="R471" s="5" t="n">
        <v>29</v>
      </c>
      <c r="S471" s="2" t="n">
        <v>1</v>
      </c>
      <c r="T471" s="3" t="inlineStr">
        <is>
          <t>CA42796IR</t>
        </is>
      </c>
      <c r="U471" s="87" t="n">
        <v>45821</v>
      </c>
      <c r="V471" s="3" t="inlineStr">
        <is>
          <t>13</t>
        </is>
      </c>
      <c r="W471" s="108" t="n">
        <v>45821</v>
      </c>
      <c r="X471" s="4" t="inlineStr">
        <is>
          <t>PHILIPPOS COSTANTINIDES TRADING CO. LTD</t>
        </is>
      </c>
    </row>
    <row r="472" ht="24" customHeight="1">
      <c r="A472" s="2">
        <f>+D472-S472</f>
        <v/>
      </c>
      <c r="B472" s="80" t="n"/>
      <c r="C472" s="70" t="n">
        <v>45483</v>
      </c>
      <c r="D472" s="2" t="n">
        <v>1</v>
      </c>
      <c r="E472" s="3" t="inlineStr">
        <is>
          <t>FUCILE DOPPIETTA</t>
        </is>
      </c>
      <c r="F472" s="3" t="n">
        <v>12</v>
      </c>
      <c r="G472" s="3" t="inlineStr">
        <is>
          <t>ARTIGIANA</t>
        </is>
      </c>
      <c r="H472" s="65" t="inlineStr">
        <is>
          <t>CANI ESTERNI</t>
        </is>
      </c>
      <c r="I472" s="65" t="n">
        <v>10574</v>
      </c>
      <c r="J472" s="65" t="inlineStr">
        <is>
          <t>N/D</t>
        </is>
      </c>
      <c r="K472" s="65" t="inlineStr">
        <is>
          <t>N/D</t>
        </is>
      </c>
      <c r="L472" s="127" t="inlineStr">
        <is>
          <t>ANTONIONI SPORT CACCIA E PESCA SRLS</t>
        </is>
      </c>
      <c r="M472" s="5" t="n">
        <v>25</v>
      </c>
      <c r="N472" s="5" t="n"/>
      <c r="O472" s="5">
        <f>+M472+N472</f>
        <v/>
      </c>
      <c r="P472" s="4" t="n"/>
      <c r="Q472" s="87" t="n"/>
      <c r="R472" s="5" t="n">
        <v>29</v>
      </c>
      <c r="S472" s="2" t="n">
        <v>1</v>
      </c>
      <c r="T472" s="3" t="inlineStr">
        <is>
          <t>CA42796IR</t>
        </is>
      </c>
      <c r="U472" s="87" t="n">
        <v>45821</v>
      </c>
      <c r="V472" s="3" t="inlineStr">
        <is>
          <t>12</t>
        </is>
      </c>
      <c r="W472" s="108" t="n">
        <v>45821</v>
      </c>
      <c r="X472" s="4" t="inlineStr">
        <is>
          <t>PHILIPPOS COSTANTINIDES TRADING CO. LTD</t>
        </is>
      </c>
    </row>
    <row r="473" ht="24" customHeight="1">
      <c r="A473" s="2">
        <f>+D473-S473</f>
        <v/>
      </c>
      <c r="B473" s="80" t="n"/>
      <c r="C473" s="70" t="n">
        <v>45483</v>
      </c>
      <c r="D473" s="2" t="n">
        <v>1</v>
      </c>
      <c r="E473" s="3" t="inlineStr">
        <is>
          <t>FUCILE DOPPIETTA</t>
        </is>
      </c>
      <c r="F473" s="3" t="n">
        <v>12</v>
      </c>
      <c r="G473" s="3" t="inlineStr">
        <is>
          <t xml:space="preserve">GITTI </t>
        </is>
      </c>
      <c r="H473" s="65" t="inlineStr">
        <is>
          <t>CANI ESTERNI</t>
        </is>
      </c>
      <c r="I473" s="65" t="n">
        <v>20533</v>
      </c>
      <c r="J473" s="65" t="inlineStr">
        <is>
          <t>N/D</t>
        </is>
      </c>
      <c r="K473" s="65" t="inlineStr">
        <is>
          <t>N/D</t>
        </is>
      </c>
      <c r="L473" s="127" t="inlineStr">
        <is>
          <t>ANTONIONI SPORT CACCIA E PESCA SRLS</t>
        </is>
      </c>
      <c r="M473" s="5" t="n">
        <v>25</v>
      </c>
      <c r="N473" s="5" t="n"/>
      <c r="O473" s="5">
        <f>+M473+N473</f>
        <v/>
      </c>
      <c r="P473" s="4" t="n"/>
      <c r="Q473" s="87" t="n"/>
      <c r="R473" s="5" t="n">
        <v>29</v>
      </c>
      <c r="S473" s="2" t="n">
        <v>1</v>
      </c>
      <c r="T473" s="3" t="inlineStr">
        <is>
          <t>CA42796IR</t>
        </is>
      </c>
      <c r="U473" s="87" t="n">
        <v>45821</v>
      </c>
      <c r="V473" s="3" t="inlineStr">
        <is>
          <t>16</t>
        </is>
      </c>
      <c r="W473" s="108" t="n">
        <v>45821</v>
      </c>
      <c r="X473" s="4" t="inlineStr">
        <is>
          <t>PHILIPPOS COSTANTINIDES TRADING CO. LTD</t>
        </is>
      </c>
    </row>
    <row r="474" ht="24" customHeight="1">
      <c r="A474" s="2">
        <f>+D474-S474</f>
        <v/>
      </c>
      <c r="B474" s="80" t="n"/>
      <c r="C474" s="70" t="n">
        <v>45483</v>
      </c>
      <c r="D474" s="2" t="n">
        <v>1</v>
      </c>
      <c r="E474" s="3" t="inlineStr">
        <is>
          <t>FUCILE DOPPIETTA</t>
        </is>
      </c>
      <c r="F474" s="3" t="n">
        <v>12</v>
      </c>
      <c r="G474" s="3" t="inlineStr">
        <is>
          <t>ARTIGIANA</t>
        </is>
      </c>
      <c r="H474" s="65" t="inlineStr">
        <is>
          <t>CANI ESTERNI</t>
        </is>
      </c>
      <c r="I474" s="65" t="inlineStr">
        <is>
          <t>04087</t>
        </is>
      </c>
      <c r="J474" s="65" t="inlineStr">
        <is>
          <t>N/D</t>
        </is>
      </c>
      <c r="K474" s="65" t="inlineStr">
        <is>
          <t>N/D</t>
        </is>
      </c>
      <c r="L474" s="127" t="inlineStr">
        <is>
          <t>ANTONIONI SPORT CACCIA E PESCA SRLS</t>
        </is>
      </c>
      <c r="M474" s="5" t="n">
        <v>25</v>
      </c>
      <c r="N474" s="5" t="n"/>
      <c r="O474" s="5">
        <f>+M474+N474</f>
        <v/>
      </c>
      <c r="P474" s="4" t="n"/>
      <c r="Q474" s="87" t="n"/>
      <c r="R474" s="5" t="n">
        <v>29</v>
      </c>
      <c r="S474" s="2" t="n">
        <v>1</v>
      </c>
      <c r="T474" s="3" t="inlineStr">
        <is>
          <t>CA42796IR</t>
        </is>
      </c>
      <c r="U474" s="87" t="n">
        <v>45821</v>
      </c>
      <c r="V474" s="3" t="inlineStr">
        <is>
          <t>12</t>
        </is>
      </c>
      <c r="W474" s="108" t="n">
        <v>45821</v>
      </c>
      <c r="X474" s="4" t="inlineStr">
        <is>
          <t>PHILIPPOS COSTANTINIDES TRADING CO. LTD</t>
        </is>
      </c>
    </row>
    <row r="475" ht="24" customHeight="1">
      <c r="A475" s="2">
        <f>+D475-S475</f>
        <v/>
      </c>
      <c r="B475" s="80" t="n"/>
      <c r="C475" s="70" t="n">
        <v>45483</v>
      </c>
      <c r="D475" s="2" t="n">
        <v>1</v>
      </c>
      <c r="E475" s="3" t="inlineStr">
        <is>
          <t>FUCILE DOPPIETTA</t>
        </is>
      </c>
      <c r="F475" s="3" t="n">
        <v>12</v>
      </c>
      <c r="G475" s="3" t="inlineStr">
        <is>
          <t>ARTIGIANA</t>
        </is>
      </c>
      <c r="H475" s="65" t="inlineStr">
        <is>
          <t>CANI ESTERNI</t>
        </is>
      </c>
      <c r="I475" s="65" t="n">
        <v>151194</v>
      </c>
      <c r="J475" s="65" t="inlineStr">
        <is>
          <t>N/D</t>
        </is>
      </c>
      <c r="K475" s="65" t="inlineStr">
        <is>
          <t>N/D</t>
        </is>
      </c>
      <c r="L475" s="127" t="inlineStr">
        <is>
          <t>ANTONIONI SPORT CACCIA E PESCA SRLS</t>
        </is>
      </c>
      <c r="M475" s="5" t="n">
        <v>25</v>
      </c>
      <c r="N475" s="5" t="n"/>
      <c r="O475" s="5">
        <f>+M475+N475</f>
        <v/>
      </c>
      <c r="P475" s="4" t="n"/>
      <c r="Q475" s="87" t="n"/>
      <c r="R475" s="5" t="n">
        <v>29</v>
      </c>
      <c r="S475" s="2" t="n">
        <v>1</v>
      </c>
      <c r="T475" s="3" t="inlineStr">
        <is>
          <t>CA42796IR</t>
        </is>
      </c>
      <c r="U475" s="87" t="n">
        <v>45821</v>
      </c>
      <c r="V475" s="3" t="inlineStr">
        <is>
          <t>12</t>
        </is>
      </c>
      <c r="W475" s="108" t="n">
        <v>45821</v>
      </c>
      <c r="X475" s="4" t="inlineStr">
        <is>
          <t>PHILIPPOS COSTANTINIDES TRADING CO. LTD</t>
        </is>
      </c>
    </row>
    <row r="476" ht="24" customHeight="1">
      <c r="A476" s="2">
        <f>+D476-S476</f>
        <v/>
      </c>
      <c r="B476" s="80" t="n"/>
      <c r="C476" s="70" t="n">
        <v>45483</v>
      </c>
      <c r="D476" s="2" t="n">
        <v>1</v>
      </c>
      <c r="E476" s="3" t="inlineStr">
        <is>
          <t>FUCILE DOPPIETTA</t>
        </is>
      </c>
      <c r="F476" s="3" t="n">
        <v>12</v>
      </c>
      <c r="G476" s="3" t="inlineStr">
        <is>
          <t>ARTIGIANA</t>
        </is>
      </c>
      <c r="H476" s="65" t="inlineStr">
        <is>
          <t>CANI ESTERNI</t>
        </is>
      </c>
      <c r="I476" s="65" t="inlineStr">
        <is>
          <t>P4200</t>
        </is>
      </c>
      <c r="J476" s="65" t="inlineStr">
        <is>
          <t>N/D</t>
        </is>
      </c>
      <c r="K476" s="65" t="inlineStr">
        <is>
          <t>N/D</t>
        </is>
      </c>
      <c r="L476" s="127" t="inlineStr">
        <is>
          <t>ANTONIONI SPORT CACCIA E PESCA SRLS</t>
        </is>
      </c>
      <c r="M476" s="5" t="n">
        <v>25</v>
      </c>
      <c r="N476" s="5" t="n"/>
      <c r="O476" s="5">
        <f>+M476+N476</f>
        <v/>
      </c>
      <c r="P476" s="4" t="n"/>
      <c r="Q476" s="87" t="n"/>
      <c r="R476" s="5" t="n">
        <v>29</v>
      </c>
      <c r="S476" s="2" t="n">
        <v>1</v>
      </c>
      <c r="T476" s="3" t="inlineStr">
        <is>
          <t>CA42796IR</t>
        </is>
      </c>
      <c r="U476" s="87" t="n">
        <v>45821</v>
      </c>
      <c r="V476" s="3" t="inlineStr">
        <is>
          <t>12</t>
        </is>
      </c>
      <c r="W476" s="108" t="n">
        <v>45821</v>
      </c>
      <c r="X476" s="4" t="inlineStr">
        <is>
          <t>PHILIPPOS COSTANTINIDES TRADING CO. LTD</t>
        </is>
      </c>
    </row>
    <row r="477" ht="24" customHeight="1">
      <c r="A477" s="2">
        <f>+D477-S477</f>
        <v/>
      </c>
      <c r="B477" s="80" t="n"/>
      <c r="C477" s="70" t="n">
        <v>45483</v>
      </c>
      <c r="D477" s="2" t="n">
        <v>1</v>
      </c>
      <c r="E477" s="3" t="inlineStr">
        <is>
          <t>FUCILE DOPPIETTA</t>
        </is>
      </c>
      <c r="F477" s="3" t="n">
        <v>12</v>
      </c>
      <c r="G477" s="3" t="inlineStr">
        <is>
          <t>ARTIGIANA</t>
        </is>
      </c>
      <c r="H477" s="65" t="inlineStr">
        <is>
          <t>CANI ESTERNI</t>
        </is>
      </c>
      <c r="I477" s="65" t="n">
        <v>14860</v>
      </c>
      <c r="J477" s="65" t="inlineStr">
        <is>
          <t>N/D</t>
        </is>
      </c>
      <c r="K477" s="65" t="inlineStr">
        <is>
          <t>N/D</t>
        </is>
      </c>
      <c r="L477" s="127" t="inlineStr">
        <is>
          <t>ANTONIONI SPORT CACCIA E PESCA SRLS</t>
        </is>
      </c>
      <c r="M477" s="5" t="n">
        <v>25</v>
      </c>
      <c r="N477" s="5" t="n"/>
      <c r="O477" s="5">
        <f>+M477+N477</f>
        <v/>
      </c>
      <c r="P477" s="4" t="n"/>
      <c r="Q477" s="87" t="n"/>
      <c r="R477" s="5" t="n">
        <v>29</v>
      </c>
      <c r="S477" s="2" t="n">
        <v>1</v>
      </c>
      <c r="T477" s="3" t="inlineStr">
        <is>
          <t>CA42796IR</t>
        </is>
      </c>
      <c r="U477" s="87" t="n">
        <v>45821</v>
      </c>
      <c r="V477" s="3" t="inlineStr">
        <is>
          <t>12</t>
        </is>
      </c>
      <c r="W477" s="108" t="n">
        <v>45821</v>
      </c>
      <c r="X477" s="4" t="inlineStr">
        <is>
          <t>PHILIPPOS COSTANTINIDES TRADING CO. LTD</t>
        </is>
      </c>
    </row>
    <row r="478" ht="24" customHeight="1">
      <c r="A478" s="2">
        <f>+D478-S478</f>
        <v/>
      </c>
      <c r="B478" s="80" t="n"/>
      <c r="C478" s="70" t="n">
        <v>45483</v>
      </c>
      <c r="D478" s="2" t="n">
        <v>1</v>
      </c>
      <c r="E478" s="3" t="inlineStr">
        <is>
          <t>FUCILE DOPPIETTA</t>
        </is>
      </c>
      <c r="F478" s="3" t="n">
        <v>20</v>
      </c>
      <c r="G478" s="3" t="inlineStr">
        <is>
          <t>ARTIGIANA</t>
        </is>
      </c>
      <c r="H478" s="65" t="inlineStr">
        <is>
          <t>CANI ESTERNI</t>
        </is>
      </c>
      <c r="I478" s="65" t="n">
        <v>6519</v>
      </c>
      <c r="J478" s="65" t="inlineStr">
        <is>
          <t>N/D</t>
        </is>
      </c>
      <c r="K478" s="65" t="inlineStr">
        <is>
          <t>N/D</t>
        </is>
      </c>
      <c r="L478" s="127" t="inlineStr">
        <is>
          <t>ANTONIONI SPORT CACCIA E PESCA SRLS</t>
        </is>
      </c>
      <c r="M478" s="5" t="n">
        <v>25</v>
      </c>
      <c r="N478" s="5" t="n"/>
      <c r="O478" s="5">
        <f>+M478+N478</f>
        <v/>
      </c>
      <c r="P478" s="4" t="n"/>
      <c r="Q478" s="87" t="n"/>
      <c r="R478" s="5" t="n">
        <v>29</v>
      </c>
      <c r="S478" s="2" t="n">
        <v>1</v>
      </c>
      <c r="T478" s="3" t="inlineStr">
        <is>
          <t>CA42796IR</t>
        </is>
      </c>
      <c r="U478" s="87" t="n">
        <v>45821</v>
      </c>
      <c r="V478" s="3" t="inlineStr">
        <is>
          <t>13</t>
        </is>
      </c>
      <c r="W478" s="108" t="n">
        <v>45821</v>
      </c>
      <c r="X478" s="4" t="inlineStr">
        <is>
          <t>PHILIPPOS COSTANTINIDES TRADING CO. LTD</t>
        </is>
      </c>
    </row>
    <row r="479" ht="24" customHeight="1">
      <c r="A479" s="2">
        <f>+D479-S479</f>
        <v/>
      </c>
      <c r="B479" s="80" t="n"/>
      <c r="C479" s="70" t="n">
        <v>45483</v>
      </c>
      <c r="D479" s="2" t="n">
        <v>1</v>
      </c>
      <c r="E479" s="3" t="inlineStr">
        <is>
          <t>FUCILE DOPPIETTA</t>
        </is>
      </c>
      <c r="F479" s="3" t="n">
        <v>16</v>
      </c>
      <c r="G479" s="3" t="inlineStr">
        <is>
          <t>ARTIGIANA</t>
        </is>
      </c>
      <c r="H479" s="65" t="inlineStr">
        <is>
          <t>AVANCARICA</t>
        </is>
      </c>
      <c r="I479" s="65" t="n">
        <v>241</v>
      </c>
      <c r="J479" s="65" t="inlineStr">
        <is>
          <t>N/D</t>
        </is>
      </c>
      <c r="K479" s="65" t="inlineStr">
        <is>
          <t>N/D</t>
        </is>
      </c>
      <c r="L479" s="127" t="inlineStr">
        <is>
          <t>ANTONIONI SPORT CACCIA E PESCA SRLS</t>
        </is>
      </c>
      <c r="M479" s="5" t="n">
        <v>25</v>
      </c>
      <c r="N479" s="5" t="n"/>
      <c r="O479" s="5">
        <f>+M479+N479</f>
        <v/>
      </c>
      <c r="P479" s="4" t="n"/>
      <c r="Q479" s="87" t="n"/>
      <c r="R479" s="5" t="n">
        <v>29</v>
      </c>
      <c r="S479" s="2" t="n">
        <v>1</v>
      </c>
      <c r="T479" s="3" t="inlineStr">
        <is>
          <t>CA42796IR</t>
        </is>
      </c>
      <c r="U479" s="87" t="n">
        <v>45821</v>
      </c>
      <c r="V479" s="3" t="inlineStr">
        <is>
          <t>12</t>
        </is>
      </c>
      <c r="W479" s="108" t="n">
        <v>45821</v>
      </c>
      <c r="X479" s="4" t="inlineStr">
        <is>
          <t>PHILIPPOS COSTANTINIDES TRADING CO. LTD</t>
        </is>
      </c>
    </row>
    <row r="480" ht="24" customHeight="1">
      <c r="A480" s="2">
        <f>+D480-S480</f>
        <v/>
      </c>
      <c r="B480" s="80" t="n"/>
      <c r="C480" s="70" t="n">
        <v>45483</v>
      </c>
      <c r="D480" s="2" t="n">
        <v>1</v>
      </c>
      <c r="E480" s="3" t="inlineStr">
        <is>
          <t>FUCILE DOPPIETTA</t>
        </is>
      </c>
      <c r="F480" s="3" t="n">
        <v>12</v>
      </c>
      <c r="G480" s="3" t="inlineStr">
        <is>
          <t>ARTIGIANA</t>
        </is>
      </c>
      <c r="H480" s="65" t="inlineStr">
        <is>
          <t>CACCIA</t>
        </is>
      </c>
      <c r="I480" s="65" t="n">
        <v>2350</v>
      </c>
      <c r="J480" s="65" t="inlineStr">
        <is>
          <t>N/D</t>
        </is>
      </c>
      <c r="K480" s="65" t="inlineStr">
        <is>
          <t>N/D</t>
        </is>
      </c>
      <c r="L480" s="127" t="inlineStr">
        <is>
          <t>ANTONIONI SPORT CACCIA E PESCA SRLS</t>
        </is>
      </c>
      <c r="M480" s="5" t="n">
        <v>25</v>
      </c>
      <c r="N480" s="5" t="n"/>
      <c r="O480" s="5">
        <f>+M480+N480</f>
        <v/>
      </c>
      <c r="P480" s="4" t="n"/>
      <c r="Q480" s="87" t="n"/>
      <c r="R480" s="5" t="n">
        <v>29</v>
      </c>
      <c r="S480" s="2" t="n">
        <v>1</v>
      </c>
      <c r="T480" s="3" t="inlineStr">
        <is>
          <t>CA42796IR</t>
        </is>
      </c>
      <c r="U480" s="87" t="n">
        <v>45821</v>
      </c>
      <c r="V480" s="3" t="inlineStr">
        <is>
          <t>12</t>
        </is>
      </c>
      <c r="W480" s="108" t="n">
        <v>45821</v>
      </c>
      <c r="X480" s="4" t="inlineStr">
        <is>
          <t>PHILIPPOS COSTANTINIDES TRADING CO. LTD</t>
        </is>
      </c>
    </row>
    <row r="481" ht="24" customHeight="1">
      <c r="A481" s="2">
        <f>+D481-S481</f>
        <v/>
      </c>
      <c r="B481" s="80" t="n"/>
      <c r="C481" s="70" t="n">
        <v>45483</v>
      </c>
      <c r="D481" s="2" t="n">
        <v>1</v>
      </c>
      <c r="E481" s="3" t="inlineStr">
        <is>
          <t>FUCILE DOPPIETTA</t>
        </is>
      </c>
      <c r="F481" s="3" t="n">
        <v>12</v>
      </c>
      <c r="G481" s="3" t="inlineStr">
        <is>
          <t>ARTIGIANA</t>
        </is>
      </c>
      <c r="H481" s="65" t="inlineStr">
        <is>
          <t>CACCIA</t>
        </is>
      </c>
      <c r="I481" s="65" t="n">
        <v>42362</v>
      </c>
      <c r="J481" s="65" t="inlineStr">
        <is>
          <t>N/D</t>
        </is>
      </c>
      <c r="K481" s="65" t="inlineStr">
        <is>
          <t>N/D</t>
        </is>
      </c>
      <c r="L481" s="127" t="inlineStr">
        <is>
          <t>ANTONIONI SPORT CACCIA E PESCA SRLS</t>
        </is>
      </c>
      <c r="M481" s="5" t="n">
        <v>25</v>
      </c>
      <c r="N481" s="5" t="n"/>
      <c r="O481" s="5">
        <f>+M481+N481</f>
        <v/>
      </c>
      <c r="P481" s="4" t="n"/>
      <c r="Q481" s="87" t="n"/>
      <c r="R481" s="5" t="n">
        <v>29</v>
      </c>
      <c r="S481" s="2" t="n">
        <v>1</v>
      </c>
      <c r="T481" s="3" t="inlineStr">
        <is>
          <t>CA42796IR</t>
        </is>
      </c>
      <c r="U481" s="87" t="n">
        <v>45821</v>
      </c>
      <c r="V481" s="3" t="inlineStr">
        <is>
          <t>12</t>
        </is>
      </c>
      <c r="W481" s="108" t="n">
        <v>45821</v>
      </c>
      <c r="X481" s="4" t="inlineStr">
        <is>
          <t>PHILIPPOS COSTANTINIDES TRADING CO. LTD</t>
        </is>
      </c>
    </row>
    <row r="482" ht="24" customHeight="1">
      <c r="A482" s="2">
        <f>+D482-S482</f>
        <v/>
      </c>
      <c r="B482" s="80" t="n"/>
      <c r="C482" s="70" t="n">
        <v>45483</v>
      </c>
      <c r="D482" s="2" t="n">
        <v>1</v>
      </c>
      <c r="E482" s="3" t="inlineStr">
        <is>
          <t>FUCILE DOPPIETTA</t>
        </is>
      </c>
      <c r="F482" s="3" t="n">
        <v>410</v>
      </c>
      <c r="G482" s="3" t="inlineStr">
        <is>
          <t>POLI NICOLETTA</t>
        </is>
      </c>
      <c r="H482" s="65" t="inlineStr">
        <is>
          <t>CACCIA</t>
        </is>
      </c>
      <c r="I482" s="65" t="inlineStr">
        <is>
          <t>B08912</t>
        </is>
      </c>
      <c r="J482" s="65" t="inlineStr">
        <is>
          <t>N/D</t>
        </is>
      </c>
      <c r="K482" s="65" t="inlineStr">
        <is>
          <t>N/D</t>
        </is>
      </c>
      <c r="L482" s="127" t="inlineStr">
        <is>
          <t>ANTONIONI SPORT CACCIA E PESCA SRLS</t>
        </is>
      </c>
      <c r="M482" s="5" t="n">
        <v>25</v>
      </c>
      <c r="N482" s="5" t="n"/>
      <c r="O482" s="5">
        <f>+M482+N482</f>
        <v/>
      </c>
      <c r="P482" s="4" t="n"/>
      <c r="Q482" s="87" t="n"/>
      <c r="R482" s="5" t="n">
        <v>29</v>
      </c>
      <c r="S482" s="2" t="n">
        <v>1</v>
      </c>
      <c r="T482" s="3" t="inlineStr">
        <is>
          <t>CA42796IR</t>
        </is>
      </c>
      <c r="U482" s="87" t="n">
        <v>45821</v>
      </c>
      <c r="V482" s="3" t="inlineStr">
        <is>
          <t>13</t>
        </is>
      </c>
      <c r="W482" s="108" t="n">
        <v>45821</v>
      </c>
      <c r="X482" s="4" t="inlineStr">
        <is>
          <t>PHILIPPOS COSTANTINIDES TRADING CO. LTD</t>
        </is>
      </c>
    </row>
    <row r="483" ht="24" customHeight="1">
      <c r="A483" s="2">
        <f>+D483-S483</f>
        <v/>
      </c>
      <c r="B483" s="80" t="n"/>
      <c r="C483" s="70" t="n">
        <v>45483</v>
      </c>
      <c r="D483" s="2" t="n">
        <v>1</v>
      </c>
      <c r="E483" s="3" t="inlineStr">
        <is>
          <t>FUCILE MONOCANNA</t>
        </is>
      </c>
      <c r="F483" s="3" t="n">
        <v>16</v>
      </c>
      <c r="G483" s="3" t="inlineStr">
        <is>
          <t>BERETTA</t>
        </is>
      </c>
      <c r="H483" s="65" t="inlineStr">
        <is>
          <t>CACCIA</t>
        </is>
      </c>
      <c r="I483" s="65" t="inlineStr">
        <is>
          <t>B68000</t>
        </is>
      </c>
      <c r="J483" s="65" t="inlineStr">
        <is>
          <t>N/D</t>
        </is>
      </c>
      <c r="K483" s="65" t="inlineStr">
        <is>
          <t>N/D</t>
        </is>
      </c>
      <c r="L483" s="127" t="inlineStr">
        <is>
          <t>ANTONIONI SPORT CACCIA E PESCA SRLS</t>
        </is>
      </c>
      <c r="M483" s="5" t="n">
        <v>25</v>
      </c>
      <c r="N483" s="5" t="n"/>
      <c r="O483" s="5">
        <f>+M483+N483</f>
        <v/>
      </c>
      <c r="P483" s="4" t="n"/>
      <c r="Q483" s="87" t="n"/>
      <c r="R483" s="5" t="n">
        <v>29</v>
      </c>
      <c r="S483" s="2" t="n">
        <v>1</v>
      </c>
      <c r="T483" s="3" t="inlineStr">
        <is>
          <t>CA42796IR</t>
        </is>
      </c>
      <c r="U483" s="87" t="n">
        <v>45821</v>
      </c>
      <c r="V483" s="3" t="inlineStr">
        <is>
          <t>8</t>
        </is>
      </c>
      <c r="W483" s="108" t="n">
        <v>45821</v>
      </c>
      <c r="X483" s="4" t="inlineStr">
        <is>
          <t>PHILIPPOS COSTANTINIDES TRADING CO. LTD</t>
        </is>
      </c>
    </row>
    <row r="484" ht="24" customHeight="1">
      <c r="A484" s="2">
        <f>+D484-S484</f>
        <v/>
      </c>
      <c r="B484" s="80" t="n"/>
      <c r="C484" s="70" t="n">
        <v>45483</v>
      </c>
      <c r="D484" s="2" t="n">
        <v>1</v>
      </c>
      <c r="E484" s="3" t="inlineStr">
        <is>
          <t>FUCILE MONOCANNA</t>
        </is>
      </c>
      <c r="F484" s="3" t="n">
        <v>16</v>
      </c>
      <c r="G484" s="3" t="inlineStr">
        <is>
          <t>BERETTA</t>
        </is>
      </c>
      <c r="H484" s="65" t="inlineStr">
        <is>
          <t>CACCIA</t>
        </is>
      </c>
      <c r="I484" s="65" t="n">
        <v>84766</v>
      </c>
      <c r="J484" s="65" t="inlineStr">
        <is>
          <t>N/D</t>
        </is>
      </c>
      <c r="K484" s="65" t="inlineStr">
        <is>
          <t>N/D</t>
        </is>
      </c>
      <c r="L484" s="127" t="inlineStr">
        <is>
          <t>ANTONIONI SPORT CACCIA E PESCA SRLS</t>
        </is>
      </c>
      <c r="M484" s="5" t="n">
        <v>25</v>
      </c>
      <c r="N484" s="5" t="n"/>
      <c r="O484" s="5">
        <f>+M484+N484</f>
        <v/>
      </c>
      <c r="P484" s="4" t="n"/>
      <c r="Q484" s="87" t="n"/>
      <c r="R484" s="5" t="n">
        <v>29</v>
      </c>
      <c r="S484" s="2" t="n">
        <v>1</v>
      </c>
      <c r="T484" s="3" t="inlineStr">
        <is>
          <t>CA42796IR</t>
        </is>
      </c>
      <c r="U484" s="87" t="n">
        <v>45821</v>
      </c>
      <c r="V484" s="3" t="inlineStr">
        <is>
          <t>8</t>
        </is>
      </c>
      <c r="W484" s="108" t="n">
        <v>45821</v>
      </c>
      <c r="X484" s="4" t="inlineStr">
        <is>
          <t>PHILIPPOS COSTANTINIDES TRADING CO. LTD</t>
        </is>
      </c>
    </row>
    <row r="485" ht="24" customHeight="1">
      <c r="A485" s="2">
        <f>+D485-S485</f>
        <v/>
      </c>
      <c r="B485" s="80" t="n"/>
      <c r="C485" s="70" t="n">
        <v>45483</v>
      </c>
      <c r="D485" s="2" t="n">
        <v>1</v>
      </c>
      <c r="E485" s="3" t="inlineStr">
        <is>
          <t>FUCILE MONOCANNA</t>
        </is>
      </c>
      <c r="F485" s="3" t="n">
        <v>16</v>
      </c>
      <c r="G485" s="3" t="inlineStr">
        <is>
          <t>BERETTA</t>
        </is>
      </c>
      <c r="H485" s="65" t="inlineStr">
        <is>
          <t>CACCIA</t>
        </is>
      </c>
      <c r="I485" s="65" t="n">
        <v>89978</v>
      </c>
      <c r="J485" s="65" t="inlineStr">
        <is>
          <t>N/D</t>
        </is>
      </c>
      <c r="K485" s="65" t="inlineStr">
        <is>
          <t>N/D</t>
        </is>
      </c>
      <c r="L485" s="127" t="inlineStr">
        <is>
          <t>ANTONIONI SPORT CACCIA E PESCA SRLS</t>
        </is>
      </c>
      <c r="M485" s="5" t="n">
        <v>25</v>
      </c>
      <c r="N485" s="5" t="n"/>
      <c r="O485" s="5">
        <f>+M485+N485</f>
        <v/>
      </c>
      <c r="P485" s="4" t="n"/>
      <c r="Q485" s="87" t="n"/>
      <c r="R485" s="5" t="n">
        <v>29</v>
      </c>
      <c r="S485" s="2" t="n">
        <v>1</v>
      </c>
      <c r="T485" s="3" t="inlineStr">
        <is>
          <t>CA42796IR</t>
        </is>
      </c>
      <c r="U485" s="87" t="n">
        <v>45821</v>
      </c>
      <c r="V485" s="3" t="inlineStr">
        <is>
          <t>8</t>
        </is>
      </c>
      <c r="W485" s="108" t="n">
        <v>45821</v>
      </c>
      <c r="X485" s="4" t="inlineStr">
        <is>
          <t>PHILIPPOS COSTANTINIDES TRADING CO. LTD</t>
        </is>
      </c>
    </row>
    <row r="486" ht="24" customHeight="1">
      <c r="A486" s="2">
        <f>+D486-S486</f>
        <v/>
      </c>
      <c r="B486" s="80" t="n"/>
      <c r="C486" s="70" t="n">
        <v>45483</v>
      </c>
      <c r="D486" s="2" t="n">
        <v>1</v>
      </c>
      <c r="E486" s="3" t="inlineStr">
        <is>
          <t>FUCILE MONOCANNA</t>
        </is>
      </c>
      <c r="F486" s="3" t="n">
        <v>16</v>
      </c>
      <c r="G486" s="3" t="inlineStr">
        <is>
          <t>BERETTA</t>
        </is>
      </c>
      <c r="H486" s="65" t="inlineStr">
        <is>
          <t>CACCIA</t>
        </is>
      </c>
      <c r="I486" s="65" t="n">
        <v>95710</v>
      </c>
      <c r="J486" s="65" t="inlineStr">
        <is>
          <t>N/D</t>
        </is>
      </c>
      <c r="K486" s="65" t="inlineStr">
        <is>
          <t>N/D</t>
        </is>
      </c>
      <c r="L486" s="127" t="inlineStr">
        <is>
          <t>ANTONIONI SPORT CACCIA E PESCA SRLS</t>
        </is>
      </c>
      <c r="M486" s="5" t="n">
        <v>25</v>
      </c>
      <c r="N486" s="5" t="n"/>
      <c r="O486" s="5">
        <f>+M486+N486</f>
        <v/>
      </c>
      <c r="P486" s="4" t="n"/>
      <c r="Q486" s="87" t="n"/>
      <c r="R486" s="5" t="n">
        <v>29</v>
      </c>
      <c r="S486" s="2" t="n">
        <v>1</v>
      </c>
      <c r="T486" s="3" t="inlineStr">
        <is>
          <t>CA42796IR</t>
        </is>
      </c>
      <c r="U486" s="87" t="n">
        <v>45821</v>
      </c>
      <c r="V486" s="3" t="inlineStr">
        <is>
          <t>8</t>
        </is>
      </c>
      <c r="W486" s="108" t="n">
        <v>45821</v>
      </c>
      <c r="X486" s="4" t="inlineStr">
        <is>
          <t>PHILIPPOS COSTANTINIDES TRADING CO. LTD</t>
        </is>
      </c>
    </row>
    <row r="487" ht="24" customHeight="1">
      <c r="A487" s="2">
        <f>+D487-S487</f>
        <v/>
      </c>
      <c r="B487" s="80" t="n"/>
      <c r="C487" s="70" t="n">
        <v>45483</v>
      </c>
      <c r="D487" s="2" t="n">
        <v>1</v>
      </c>
      <c r="E487" s="3" t="inlineStr">
        <is>
          <t>FUCILE MONOCANNA</t>
        </is>
      </c>
      <c r="F487" s="3" t="n">
        <v>16</v>
      </c>
      <c r="G487" s="3" t="inlineStr">
        <is>
          <t>BERETTA</t>
        </is>
      </c>
      <c r="H487" s="65" t="inlineStr">
        <is>
          <t>CACCIA</t>
        </is>
      </c>
      <c r="I487" s="65" t="inlineStr">
        <is>
          <t>B4010</t>
        </is>
      </c>
      <c r="J487" s="65" t="inlineStr">
        <is>
          <t>N/D</t>
        </is>
      </c>
      <c r="K487" s="65" t="inlineStr">
        <is>
          <t>N/D</t>
        </is>
      </c>
      <c r="L487" s="127" t="inlineStr">
        <is>
          <t>ANTONIONI SPORT CACCIA E PESCA SRLS</t>
        </is>
      </c>
      <c r="M487" s="5" t="n">
        <v>25</v>
      </c>
      <c r="N487" s="5" t="n"/>
      <c r="O487" s="5">
        <f>+M487+N487</f>
        <v/>
      </c>
      <c r="P487" s="4" t="n"/>
      <c r="Q487" s="87" t="n"/>
      <c r="R487" s="5" t="n">
        <v>29</v>
      </c>
      <c r="S487" s="2" t="n">
        <v>1</v>
      </c>
      <c r="T487" s="3" t="inlineStr">
        <is>
          <t>CA42796IR</t>
        </is>
      </c>
      <c r="U487" s="87" t="n">
        <v>45821</v>
      </c>
      <c r="V487" s="3" t="inlineStr">
        <is>
          <t>8</t>
        </is>
      </c>
      <c r="W487" s="108" t="n">
        <v>45821</v>
      </c>
      <c r="X487" s="4" t="inlineStr">
        <is>
          <t>PHILIPPOS COSTANTINIDES TRADING CO. LTD</t>
        </is>
      </c>
    </row>
    <row r="488" ht="24" customHeight="1">
      <c r="A488" s="2">
        <f>+D488-S488</f>
        <v/>
      </c>
      <c r="B488" s="80" t="n"/>
      <c r="C488" s="70" t="n">
        <v>45483</v>
      </c>
      <c r="D488" s="2" t="n">
        <v>1</v>
      </c>
      <c r="E488" s="3" t="inlineStr">
        <is>
          <t>FUCILE MONOCANNA</t>
        </is>
      </c>
      <c r="F488" s="3" t="n">
        <v>16</v>
      </c>
      <c r="G488" s="3" t="inlineStr">
        <is>
          <t>BERETTA</t>
        </is>
      </c>
      <c r="H488" s="65" t="inlineStr">
        <is>
          <t>CACCIA</t>
        </is>
      </c>
      <c r="I488" s="65" t="inlineStr">
        <is>
          <t>B50466</t>
        </is>
      </c>
      <c r="J488" s="65" t="inlineStr">
        <is>
          <t>N/D</t>
        </is>
      </c>
      <c r="K488" s="65" t="inlineStr">
        <is>
          <t>N/D</t>
        </is>
      </c>
      <c r="L488" s="127" t="inlineStr">
        <is>
          <t>ANTONIONI SPORT CACCIA E PESCA SRLS</t>
        </is>
      </c>
      <c r="M488" s="5" t="n">
        <v>25</v>
      </c>
      <c r="N488" s="5" t="n"/>
      <c r="O488" s="5">
        <f>+M488+N488</f>
        <v/>
      </c>
      <c r="P488" s="4" t="n"/>
      <c r="Q488" s="87" t="n"/>
      <c r="R488" s="5" t="n">
        <v>29</v>
      </c>
      <c r="S488" s="2" t="n">
        <v>1</v>
      </c>
      <c r="T488" s="3" t="inlineStr">
        <is>
          <t>CA42796IR</t>
        </is>
      </c>
      <c r="U488" s="87" t="n">
        <v>45821</v>
      </c>
      <c r="V488" s="3" t="inlineStr">
        <is>
          <t>8</t>
        </is>
      </c>
      <c r="W488" s="108" t="n">
        <v>45821</v>
      </c>
      <c r="X488" s="4" t="inlineStr">
        <is>
          <t>PHILIPPOS COSTANTINIDES TRADING CO. LTD</t>
        </is>
      </c>
    </row>
    <row r="489" ht="24" customHeight="1">
      <c r="A489" s="2">
        <f>+D489-S489</f>
        <v/>
      </c>
      <c r="B489" s="80" t="n"/>
      <c r="C489" s="70" t="n">
        <v>45483</v>
      </c>
      <c r="D489" s="2" t="n">
        <v>1</v>
      </c>
      <c r="E489" s="3" t="inlineStr">
        <is>
          <t>FUCILE MONOCANNA</t>
        </is>
      </c>
      <c r="F489" s="3" t="n">
        <v>16</v>
      </c>
      <c r="G489" s="3" t="inlineStr">
        <is>
          <t>BERETTA</t>
        </is>
      </c>
      <c r="H489" s="65" t="inlineStr">
        <is>
          <t>CACCIA</t>
        </is>
      </c>
      <c r="I489" s="65" t="n">
        <v>66886</v>
      </c>
      <c r="J489" s="65" t="inlineStr">
        <is>
          <t>N/D</t>
        </is>
      </c>
      <c r="K489" s="65" t="inlineStr">
        <is>
          <t>N/D</t>
        </is>
      </c>
      <c r="L489" s="127" t="inlineStr">
        <is>
          <t>ANTONIONI SPORT CACCIA E PESCA SRLS</t>
        </is>
      </c>
      <c r="M489" s="5" t="n">
        <v>25</v>
      </c>
      <c r="N489" s="5" t="n"/>
      <c r="O489" s="5">
        <f>+M489+N489</f>
        <v/>
      </c>
      <c r="P489" s="4" t="n"/>
      <c r="Q489" s="87" t="n"/>
      <c r="R489" s="5" t="n">
        <v>29</v>
      </c>
      <c r="S489" s="2" t="n">
        <v>1</v>
      </c>
      <c r="T489" s="3" t="inlineStr">
        <is>
          <t>CA42796IR</t>
        </is>
      </c>
      <c r="U489" s="87" t="n">
        <v>45821</v>
      </c>
      <c r="V489" s="3" t="inlineStr">
        <is>
          <t>8</t>
        </is>
      </c>
      <c r="W489" s="108" t="n">
        <v>45821</v>
      </c>
      <c r="X489" s="4" t="inlineStr">
        <is>
          <t>PHILIPPOS COSTANTINIDES TRADING CO. LTD</t>
        </is>
      </c>
    </row>
    <row r="490" ht="24" customHeight="1">
      <c r="A490" s="2">
        <f>+D490-S490</f>
        <v/>
      </c>
      <c r="B490" s="80" t="n"/>
      <c r="C490" s="70" t="n">
        <v>45483</v>
      </c>
      <c r="D490" s="2" t="n">
        <v>1</v>
      </c>
      <c r="E490" s="3" t="inlineStr">
        <is>
          <t>FUCILE MONOCANNA</t>
        </is>
      </c>
      <c r="F490" s="3" t="n">
        <v>16</v>
      </c>
      <c r="G490" s="3" t="inlineStr">
        <is>
          <t>BERETTA</t>
        </is>
      </c>
      <c r="H490" s="65" t="inlineStr">
        <is>
          <t>CACCIA</t>
        </is>
      </c>
      <c r="I490" s="65" t="inlineStr">
        <is>
          <t>B91302</t>
        </is>
      </c>
      <c r="J490" s="65" t="inlineStr">
        <is>
          <t>N/D</t>
        </is>
      </c>
      <c r="K490" s="65" t="inlineStr">
        <is>
          <t>N/D</t>
        </is>
      </c>
      <c r="L490" s="127" t="inlineStr">
        <is>
          <t>ANTONIONI SPORT CACCIA E PESCA SRLS</t>
        </is>
      </c>
      <c r="M490" s="5" t="n">
        <v>25</v>
      </c>
      <c r="N490" s="5" t="n"/>
      <c r="O490" s="5">
        <f>+M490+N490</f>
        <v/>
      </c>
      <c r="P490" s="4" t="n"/>
      <c r="Q490" s="87" t="n"/>
      <c r="R490" s="5" t="n">
        <v>29</v>
      </c>
      <c r="S490" s="2" t="n">
        <v>1</v>
      </c>
      <c r="T490" s="3" t="inlineStr">
        <is>
          <t>CA42796IR</t>
        </is>
      </c>
      <c r="U490" s="87" t="n">
        <v>45821</v>
      </c>
      <c r="V490" s="3" t="inlineStr">
        <is>
          <t>8</t>
        </is>
      </c>
      <c r="W490" s="108" t="n">
        <v>45821</v>
      </c>
      <c r="X490" s="4" t="inlineStr">
        <is>
          <t>PHILIPPOS COSTANTINIDES TRADING CO. LTD</t>
        </is>
      </c>
    </row>
    <row r="491" ht="24" customHeight="1">
      <c r="A491" s="2">
        <f>+D491-S491</f>
        <v/>
      </c>
      <c r="B491" s="80" t="n"/>
      <c r="C491" s="70" t="n">
        <v>45483</v>
      </c>
      <c r="D491" s="2" t="n">
        <v>1</v>
      </c>
      <c r="E491" s="3" t="inlineStr">
        <is>
          <t>FUCILE MONOCANNA</t>
        </is>
      </c>
      <c r="F491" s="3" t="n">
        <v>12</v>
      </c>
      <c r="G491" s="3" t="inlineStr">
        <is>
          <t>MAVI</t>
        </is>
      </c>
      <c r="H491" s="65" t="inlineStr">
        <is>
          <t>CACCIA</t>
        </is>
      </c>
      <c r="I491" s="65" t="n">
        <v>94590</v>
      </c>
      <c r="J491" s="65" t="inlineStr">
        <is>
          <t>N/D</t>
        </is>
      </c>
      <c r="K491" s="65" t="inlineStr">
        <is>
          <t>N/D</t>
        </is>
      </c>
      <c r="L491" s="127" t="inlineStr">
        <is>
          <t>ANTONIONI SPORT CACCIA E PESCA SRLS</t>
        </is>
      </c>
      <c r="M491" s="5" t="n">
        <v>25</v>
      </c>
      <c r="N491" s="5" t="n"/>
      <c r="O491" s="5">
        <f>+M491+N491</f>
        <v/>
      </c>
      <c r="P491" s="4" t="n"/>
      <c r="Q491" s="87" t="n"/>
      <c r="R491" s="5" t="n">
        <v>29</v>
      </c>
      <c r="S491" s="2" t="n">
        <v>1</v>
      </c>
      <c r="T491" s="3" t="inlineStr">
        <is>
          <t>CA42796IR</t>
        </is>
      </c>
      <c r="U491" s="87" t="n">
        <v>45821</v>
      </c>
      <c r="V491" s="3" t="inlineStr">
        <is>
          <t>8</t>
        </is>
      </c>
      <c r="W491" s="108" t="n">
        <v>45821</v>
      </c>
      <c r="X491" s="4" t="inlineStr">
        <is>
          <t>PHILIPPOS COSTANTINIDES TRADING CO. LTD</t>
        </is>
      </c>
    </row>
    <row r="492" ht="24" customHeight="1">
      <c r="A492" s="2">
        <f>+D492-S492</f>
        <v/>
      </c>
      <c r="B492" s="80" t="n"/>
      <c r="C492" s="70" t="n">
        <v>45483</v>
      </c>
      <c r="D492" s="2" t="n">
        <v>1</v>
      </c>
      <c r="E492" s="3" t="inlineStr">
        <is>
          <t>FUCILE MONOCANNA</t>
        </is>
      </c>
      <c r="F492" s="3" t="n">
        <v>8</v>
      </c>
      <c r="G492" s="3" t="inlineStr">
        <is>
          <t>MAVI</t>
        </is>
      </c>
      <c r="H492" s="65" t="inlineStr">
        <is>
          <t>CACCIA</t>
        </is>
      </c>
      <c r="I492" s="65" t="n">
        <v>69285</v>
      </c>
      <c r="J492" s="65" t="inlineStr">
        <is>
          <t>N/D</t>
        </is>
      </c>
      <c r="K492" s="65" t="inlineStr">
        <is>
          <t>N/D</t>
        </is>
      </c>
      <c r="L492" s="127" t="inlineStr">
        <is>
          <t>ANTONIONI SPORT CACCIA E PESCA SRLS</t>
        </is>
      </c>
      <c r="M492" s="5" t="n">
        <v>25</v>
      </c>
      <c r="N492" s="5" t="n"/>
      <c r="O492" s="5">
        <f>+M492+N492</f>
        <v/>
      </c>
      <c r="P492" s="4" t="n"/>
      <c r="Q492" s="87" t="n"/>
      <c r="R492" s="5" t="n">
        <v>29</v>
      </c>
      <c r="S492" s="2" t="n">
        <v>1</v>
      </c>
      <c r="T492" s="3" t="inlineStr">
        <is>
          <t>CA42796IR</t>
        </is>
      </c>
      <c r="U492" s="87" t="n">
        <v>45821</v>
      </c>
      <c r="V492" s="3" t="inlineStr">
        <is>
          <t>8</t>
        </is>
      </c>
      <c r="W492" s="108" t="n">
        <v>45821</v>
      </c>
      <c r="X492" s="4" t="inlineStr">
        <is>
          <t>PHILIPPOS COSTANTINIDES TRADING CO. LTD</t>
        </is>
      </c>
    </row>
    <row r="493" ht="24" customHeight="1">
      <c r="A493" s="2">
        <f>+D493-S493</f>
        <v/>
      </c>
      <c r="B493" s="80" t="n"/>
      <c r="C493" s="70" t="n">
        <v>45483</v>
      </c>
      <c r="D493" s="2" t="n">
        <v>1</v>
      </c>
      <c r="E493" s="3" t="inlineStr">
        <is>
          <t>FUCILE MONOCANNA</t>
        </is>
      </c>
      <c r="F493" s="3" t="n">
        <v>32</v>
      </c>
      <c r="G493" s="3" t="inlineStr">
        <is>
          <t>MAVI</t>
        </is>
      </c>
      <c r="H493" s="65" t="inlineStr">
        <is>
          <t>CACCIA</t>
        </is>
      </c>
      <c r="I493" s="65" t="n">
        <v>111245</v>
      </c>
      <c r="J493" s="65" t="inlineStr">
        <is>
          <t>N/D</t>
        </is>
      </c>
      <c r="K493" s="65" t="inlineStr">
        <is>
          <t>N/D</t>
        </is>
      </c>
      <c r="L493" s="127" t="inlineStr">
        <is>
          <t>ANTONIONI SPORT CACCIA E PESCA SRLS</t>
        </is>
      </c>
      <c r="M493" s="5" t="n">
        <v>25</v>
      </c>
      <c r="N493" s="5" t="n"/>
      <c r="O493" s="5">
        <f>+M493+N493</f>
        <v/>
      </c>
      <c r="P493" s="4" t="n"/>
      <c r="Q493" s="87" t="n"/>
      <c r="R493" s="5" t="n">
        <v>29</v>
      </c>
      <c r="S493" s="2" t="n">
        <v>1</v>
      </c>
      <c r="T493" s="3" t="inlineStr">
        <is>
          <t>CA42796IR</t>
        </is>
      </c>
      <c r="U493" s="87" t="n">
        <v>45821</v>
      </c>
      <c r="V493" s="3" t="inlineStr">
        <is>
          <t>8</t>
        </is>
      </c>
      <c r="W493" s="108" t="n">
        <v>45821</v>
      </c>
      <c r="X493" s="4" t="inlineStr">
        <is>
          <t>PHILIPPOS COSTANTINIDES TRADING CO. LTD</t>
        </is>
      </c>
    </row>
    <row r="494" ht="24" customHeight="1">
      <c r="A494" s="2">
        <f>+D494-S494</f>
        <v/>
      </c>
      <c r="B494" s="80" t="n"/>
      <c r="C494" s="70" t="n">
        <v>45483</v>
      </c>
      <c r="D494" s="2" t="n">
        <v>1</v>
      </c>
      <c r="E494" s="3" t="inlineStr">
        <is>
          <t>FUCILE MONOCANNA</t>
        </is>
      </c>
      <c r="F494" s="3" t="n">
        <v>28</v>
      </c>
      <c r="G494" s="3" t="inlineStr">
        <is>
          <t>MAVI</t>
        </is>
      </c>
      <c r="H494" s="65" t="inlineStr">
        <is>
          <t>CACCIA</t>
        </is>
      </c>
      <c r="I494" s="65" t="n">
        <v>40355</v>
      </c>
      <c r="J494" s="65" t="inlineStr">
        <is>
          <t>N/D</t>
        </is>
      </c>
      <c r="K494" s="65" t="inlineStr">
        <is>
          <t>N/D</t>
        </is>
      </c>
      <c r="L494" s="127" t="inlineStr">
        <is>
          <t>ANTONIONI SPORT CACCIA E PESCA SRLS</t>
        </is>
      </c>
      <c r="M494" s="5" t="n">
        <v>25</v>
      </c>
      <c r="N494" s="5" t="n"/>
      <c r="O494" s="5">
        <f>+M494+N494</f>
        <v/>
      </c>
      <c r="P494" s="4" t="n"/>
      <c r="Q494" s="87" t="n"/>
      <c r="R494" s="5" t="n">
        <v>29</v>
      </c>
      <c r="S494" s="2" t="n">
        <v>1</v>
      </c>
      <c r="T494" s="3" t="inlineStr">
        <is>
          <t>CA42796IR</t>
        </is>
      </c>
      <c r="U494" s="87" t="n">
        <v>45821</v>
      </c>
      <c r="V494" s="3" t="inlineStr">
        <is>
          <t>8</t>
        </is>
      </c>
      <c r="W494" s="108" t="n">
        <v>45821</v>
      </c>
      <c r="X494" s="4" t="inlineStr">
        <is>
          <t>PHILIPPOS COSTANTINIDES TRADING CO. LTD</t>
        </is>
      </c>
    </row>
    <row r="495" ht="24" customHeight="1">
      <c r="A495" s="2">
        <f>+D495-S495</f>
        <v/>
      </c>
      <c r="B495" s="80" t="n"/>
      <c r="C495" s="70" t="n">
        <v>45483</v>
      </c>
      <c r="D495" s="2" t="n">
        <v>1</v>
      </c>
      <c r="E495" s="3" t="inlineStr">
        <is>
          <t>FUCILE MONOCANNA</t>
        </is>
      </c>
      <c r="F495" s="3" t="n">
        <v>28</v>
      </c>
      <c r="G495" s="3" t="inlineStr">
        <is>
          <t>INVESTARM</t>
        </is>
      </c>
      <c r="H495" s="65" t="inlineStr">
        <is>
          <t>CACCIA</t>
        </is>
      </c>
      <c r="I495" s="65" t="n">
        <v>74124</v>
      </c>
      <c r="J495" s="65" t="inlineStr">
        <is>
          <t>N/D</t>
        </is>
      </c>
      <c r="K495" s="65" t="inlineStr">
        <is>
          <t>N/D</t>
        </is>
      </c>
      <c r="L495" s="127" t="inlineStr">
        <is>
          <t>ANTONIONI SPORT CACCIA E PESCA SRLS</t>
        </is>
      </c>
      <c r="M495" s="5" t="n">
        <v>25</v>
      </c>
      <c r="N495" s="5" t="n"/>
      <c r="O495" s="5">
        <f>+M495+N495</f>
        <v/>
      </c>
      <c r="P495" s="4" t="n"/>
      <c r="Q495" s="87" t="n"/>
      <c r="R495" s="5" t="n">
        <v>29</v>
      </c>
      <c r="S495" s="2" t="n">
        <v>1</v>
      </c>
      <c r="T495" s="3" t="inlineStr">
        <is>
          <t>CA42796IR</t>
        </is>
      </c>
      <c r="U495" s="87" t="n">
        <v>45821</v>
      </c>
      <c r="V495" s="3" t="inlineStr">
        <is>
          <t>9</t>
        </is>
      </c>
      <c r="W495" s="108" t="n">
        <v>45821</v>
      </c>
      <c r="X495" s="4" t="inlineStr">
        <is>
          <t>PHILIPPOS COSTANTINIDES TRADING CO. LTD</t>
        </is>
      </c>
    </row>
    <row r="496" ht="24" customHeight="1">
      <c r="A496" s="2">
        <f>+D496-S496</f>
        <v/>
      </c>
      <c r="B496" s="80" t="n"/>
      <c r="C496" s="70" t="n">
        <v>45483</v>
      </c>
      <c r="D496" s="2" t="n">
        <v>1</v>
      </c>
      <c r="E496" s="3" t="inlineStr">
        <is>
          <t>FUCILE MONOCANNA</t>
        </is>
      </c>
      <c r="F496" s="3" t="n">
        <v>28</v>
      </c>
      <c r="G496" s="3" t="inlineStr">
        <is>
          <t>MAVI</t>
        </is>
      </c>
      <c r="H496" s="65" t="inlineStr">
        <is>
          <t>CACCIA</t>
        </is>
      </c>
      <c r="I496" s="65" t="n">
        <v>56613</v>
      </c>
      <c r="J496" s="65" t="inlineStr">
        <is>
          <t>N/D</t>
        </is>
      </c>
      <c r="K496" s="65" t="inlineStr">
        <is>
          <t>N/D</t>
        </is>
      </c>
      <c r="L496" s="127" t="inlineStr">
        <is>
          <t>ANTONIONI SPORT CACCIA E PESCA SRLS</t>
        </is>
      </c>
      <c r="M496" s="5" t="n">
        <v>25</v>
      </c>
      <c r="N496" s="5" t="n"/>
      <c r="O496" s="5">
        <f>+M496+N496</f>
        <v/>
      </c>
      <c r="P496" s="4" t="n"/>
      <c r="Q496" s="87" t="n"/>
      <c r="R496" s="5" t="n">
        <v>29</v>
      </c>
      <c r="S496" s="2" t="n">
        <v>1</v>
      </c>
      <c r="T496" s="3" t="inlineStr">
        <is>
          <t>CA42796IR</t>
        </is>
      </c>
      <c r="U496" s="87" t="n">
        <v>45821</v>
      </c>
      <c r="V496" s="3" t="inlineStr">
        <is>
          <t>8</t>
        </is>
      </c>
      <c r="W496" s="108" t="n">
        <v>45821</v>
      </c>
      <c r="X496" s="4" t="inlineStr">
        <is>
          <t>PHILIPPOS COSTANTINIDES TRADING CO. LTD</t>
        </is>
      </c>
    </row>
    <row r="497" ht="24" customHeight="1">
      <c r="A497" s="2">
        <f>+D497-S497</f>
        <v/>
      </c>
      <c r="B497" s="80" t="n"/>
      <c r="C497" s="70" t="n">
        <v>45483</v>
      </c>
      <c r="D497" s="2" t="n">
        <v>1</v>
      </c>
      <c r="E497" s="3" t="inlineStr">
        <is>
          <t>FUCILE MONOCANNA</t>
        </is>
      </c>
      <c r="F497" s="3" t="n">
        <v>28</v>
      </c>
      <c r="G497" s="3" t="inlineStr">
        <is>
          <t>MAVI</t>
        </is>
      </c>
      <c r="H497" s="65" t="inlineStr">
        <is>
          <t>CACCIA</t>
        </is>
      </c>
      <c r="I497" s="65" t="n">
        <v>28996</v>
      </c>
      <c r="J497" s="65" t="inlineStr">
        <is>
          <t>N/D</t>
        </is>
      </c>
      <c r="K497" s="65" t="inlineStr">
        <is>
          <t>N/D</t>
        </is>
      </c>
      <c r="L497" s="127" t="inlineStr">
        <is>
          <t>ANTONIONI SPORT CACCIA E PESCA SRLS</t>
        </is>
      </c>
      <c r="M497" s="5" t="n">
        <v>25</v>
      </c>
      <c r="N497" s="5" t="n"/>
      <c r="O497" s="5">
        <f>+M497+N497</f>
        <v/>
      </c>
      <c r="P497" s="4" t="n"/>
      <c r="Q497" s="87" t="n"/>
      <c r="R497" s="5" t="n">
        <v>29</v>
      </c>
      <c r="S497" s="2" t="n">
        <v>1</v>
      </c>
      <c r="T497" s="3" t="inlineStr">
        <is>
          <t>CA42796IR</t>
        </is>
      </c>
      <c r="U497" s="87" t="n">
        <v>45821</v>
      </c>
      <c r="V497" s="3" t="inlineStr">
        <is>
          <t>8</t>
        </is>
      </c>
      <c r="W497" s="108" t="n">
        <v>45821</v>
      </c>
      <c r="X497" s="4" t="inlineStr">
        <is>
          <t>PHILIPPOS COSTANTINIDES TRADING CO. LTD</t>
        </is>
      </c>
    </row>
    <row r="498" ht="24" customHeight="1">
      <c r="A498" s="2">
        <f>+D498-S498</f>
        <v/>
      </c>
      <c r="B498" s="80" t="n"/>
      <c r="C498" s="70" t="n">
        <v>45483</v>
      </c>
      <c r="D498" s="2" t="n">
        <v>1</v>
      </c>
      <c r="E498" s="3" t="inlineStr">
        <is>
          <t>FUCILE MONOCANNA</t>
        </is>
      </c>
      <c r="F498" s="3" t="n">
        <v>28</v>
      </c>
      <c r="G498" s="3" t="inlineStr">
        <is>
          <t>MAVI</t>
        </is>
      </c>
      <c r="H498" s="65" t="inlineStr">
        <is>
          <t>CACCIA</t>
        </is>
      </c>
      <c r="I498" s="65" t="n">
        <v>79492</v>
      </c>
      <c r="J498" s="65" t="inlineStr">
        <is>
          <t>N/D</t>
        </is>
      </c>
      <c r="K498" s="65" t="inlineStr">
        <is>
          <t>N/D</t>
        </is>
      </c>
      <c r="L498" s="127" t="inlineStr">
        <is>
          <t>ANTONIONI SPORT CACCIA E PESCA SRLS</t>
        </is>
      </c>
      <c r="M498" s="5" t="n">
        <v>25</v>
      </c>
      <c r="N498" s="5" t="n"/>
      <c r="O498" s="5">
        <f>+M498+N498</f>
        <v/>
      </c>
      <c r="P498" s="4" t="n"/>
      <c r="Q498" s="87" t="n"/>
      <c r="R498" s="5" t="n">
        <v>29</v>
      </c>
      <c r="S498" s="2" t="n">
        <v>1</v>
      </c>
      <c r="T498" s="3" t="inlineStr">
        <is>
          <t>CA42796IR</t>
        </is>
      </c>
      <c r="U498" s="87" t="n">
        <v>45821</v>
      </c>
      <c r="V498" s="3" t="inlineStr">
        <is>
          <t>8</t>
        </is>
      </c>
      <c r="W498" s="108" t="n">
        <v>45821</v>
      </c>
      <c r="X498" s="4" t="inlineStr">
        <is>
          <t>PHILIPPOS COSTANTINIDES TRADING CO. LTD</t>
        </is>
      </c>
    </row>
    <row r="499" ht="24" customHeight="1">
      <c r="A499" s="2">
        <f>+D499-S499</f>
        <v/>
      </c>
      <c r="B499" s="80" t="n"/>
      <c r="C499" s="70" t="n">
        <v>45483</v>
      </c>
      <c r="D499" s="2" t="n">
        <v>1</v>
      </c>
      <c r="E499" s="3" t="inlineStr">
        <is>
          <t>FUCILE MONOCANNA</t>
        </is>
      </c>
      <c r="F499" s="3" t="n">
        <v>28</v>
      </c>
      <c r="G499" s="3" t="inlineStr">
        <is>
          <t>MAVI</t>
        </is>
      </c>
      <c r="H499" s="65" t="inlineStr">
        <is>
          <t>CACCIA</t>
        </is>
      </c>
      <c r="I499" s="65" t="n">
        <v>128744</v>
      </c>
      <c r="J499" s="65" t="inlineStr">
        <is>
          <t>N/D</t>
        </is>
      </c>
      <c r="K499" s="65" t="inlineStr">
        <is>
          <t>N/D</t>
        </is>
      </c>
      <c r="L499" s="127" t="inlineStr">
        <is>
          <t>ANTONIONI SPORT CACCIA E PESCA SRLS</t>
        </is>
      </c>
      <c r="M499" s="5" t="n">
        <v>25</v>
      </c>
      <c r="N499" s="5" t="n"/>
      <c r="O499" s="5">
        <f>+M499+N499</f>
        <v/>
      </c>
      <c r="P499" s="4" t="n"/>
      <c r="Q499" s="87" t="n"/>
      <c r="R499" s="5" t="n">
        <v>29</v>
      </c>
      <c r="S499" s="2" t="n">
        <v>1</v>
      </c>
      <c r="T499" s="3" t="inlineStr">
        <is>
          <t>CA42796IR</t>
        </is>
      </c>
      <c r="U499" s="87" t="n">
        <v>45821</v>
      </c>
      <c r="V499" s="3" t="inlineStr">
        <is>
          <t>8</t>
        </is>
      </c>
      <c r="W499" s="108" t="n">
        <v>45821</v>
      </c>
      <c r="X499" s="4" t="inlineStr">
        <is>
          <t>PHILIPPOS COSTANTINIDES TRADING CO. LTD</t>
        </is>
      </c>
    </row>
    <row r="500" ht="24" customHeight="1">
      <c r="A500" s="2">
        <f>+D500-S500</f>
        <v/>
      </c>
      <c r="B500" s="80" t="n"/>
      <c r="C500" s="70" t="n">
        <v>45483</v>
      </c>
      <c r="D500" s="2" t="n">
        <v>1</v>
      </c>
      <c r="E500" s="3" t="inlineStr">
        <is>
          <t>FUCILE MONOCANNA</t>
        </is>
      </c>
      <c r="F500" s="3" t="n">
        <v>20</v>
      </c>
      <c r="G500" s="3" t="inlineStr">
        <is>
          <t>PEDRETTI</t>
        </is>
      </c>
      <c r="H500" s="65" t="inlineStr">
        <is>
          <t>CACCIA</t>
        </is>
      </c>
      <c r="I500" s="65" t="n">
        <v>8758</v>
      </c>
      <c r="J500" s="65" t="inlineStr">
        <is>
          <t>N/D</t>
        </is>
      </c>
      <c r="K500" s="65" t="inlineStr">
        <is>
          <t>N/D</t>
        </is>
      </c>
      <c r="L500" s="127" t="inlineStr">
        <is>
          <t>ANTONIONI SPORT CACCIA E PESCA SRLS</t>
        </is>
      </c>
      <c r="M500" s="5" t="n">
        <v>25</v>
      </c>
      <c r="N500" s="5" t="n"/>
      <c r="O500" s="5">
        <f>+M500+N500</f>
        <v/>
      </c>
      <c r="P500" s="4" t="n"/>
      <c r="Q500" s="87" t="n"/>
      <c r="R500" s="5" t="n">
        <v>29</v>
      </c>
      <c r="S500" s="2" t="n">
        <v>1</v>
      </c>
      <c r="T500" s="3" t="inlineStr">
        <is>
          <t>CA42796IR</t>
        </is>
      </c>
      <c r="U500" s="87" t="n">
        <v>45821</v>
      </c>
      <c r="V500" s="3" t="inlineStr">
        <is>
          <t>8</t>
        </is>
      </c>
      <c r="W500" s="108" t="n">
        <v>45821</v>
      </c>
      <c r="X500" s="4" t="inlineStr">
        <is>
          <t>PHILIPPOS COSTANTINIDES TRADING CO. LTD</t>
        </is>
      </c>
    </row>
    <row r="501" ht="24" customHeight="1">
      <c r="A501" s="2">
        <f>+D501-S501</f>
        <v/>
      </c>
      <c r="B501" s="80" t="n"/>
      <c r="C501" s="70" t="n">
        <v>45483</v>
      </c>
      <c r="D501" s="2" t="n">
        <v>1</v>
      </c>
      <c r="E501" s="3" t="inlineStr">
        <is>
          <t>FUCILE MONOCANNA</t>
        </is>
      </c>
      <c r="F501" s="3" t="n">
        <v>24</v>
      </c>
      <c r="G501" s="3" t="inlineStr">
        <is>
          <t>PEDRETTI</t>
        </is>
      </c>
      <c r="H501" s="65" t="inlineStr">
        <is>
          <t>CACCIA</t>
        </is>
      </c>
      <c r="I501" s="65" t="inlineStr">
        <is>
          <t>0160452</t>
        </is>
      </c>
      <c r="J501" s="65" t="inlineStr">
        <is>
          <t>N/D</t>
        </is>
      </c>
      <c r="K501" s="65" t="inlineStr">
        <is>
          <t>N/D</t>
        </is>
      </c>
      <c r="L501" s="127" t="inlineStr">
        <is>
          <t>ANTONIONI SPORT CACCIA E PESCA SRLS</t>
        </is>
      </c>
      <c r="M501" s="5" t="n">
        <v>25</v>
      </c>
      <c r="N501" s="5" t="n"/>
      <c r="O501" s="5">
        <f>+M501+N501</f>
        <v/>
      </c>
      <c r="P501" s="4" t="n"/>
      <c r="Q501" s="87" t="n"/>
      <c r="R501" s="5" t="n">
        <v>29</v>
      </c>
      <c r="S501" s="2" t="n">
        <v>1</v>
      </c>
      <c r="T501" s="3" t="inlineStr">
        <is>
          <t>CA42796IR</t>
        </is>
      </c>
      <c r="U501" s="87" t="n">
        <v>45821</v>
      </c>
      <c r="V501" s="3" t="inlineStr">
        <is>
          <t>8</t>
        </is>
      </c>
      <c r="W501" s="108" t="n">
        <v>45821</v>
      </c>
      <c r="X501" s="4" t="inlineStr">
        <is>
          <t>PHILIPPOS COSTANTINIDES TRADING CO. LTD</t>
        </is>
      </c>
    </row>
    <row r="502" ht="24" customHeight="1">
      <c r="A502" s="2">
        <f>+D502-S502</f>
        <v/>
      </c>
      <c r="B502" s="80" t="n"/>
      <c r="C502" s="70" t="n">
        <v>45483</v>
      </c>
      <c r="D502" s="2" t="n">
        <v>1</v>
      </c>
      <c r="E502" s="3" t="inlineStr">
        <is>
          <t>FUCILE MONOCANNA</t>
        </is>
      </c>
      <c r="F502" s="3" t="n">
        <v>9</v>
      </c>
      <c r="G502" s="3" t="inlineStr">
        <is>
          <t>PEDRETTI</t>
        </is>
      </c>
      <c r="H502" s="65" t="inlineStr">
        <is>
          <t>CACCIA</t>
        </is>
      </c>
      <c r="I502" s="65" t="inlineStr">
        <is>
          <t>0197880</t>
        </is>
      </c>
      <c r="J502" s="65" t="inlineStr">
        <is>
          <t>N/D</t>
        </is>
      </c>
      <c r="K502" s="65" t="inlineStr">
        <is>
          <t>N/D</t>
        </is>
      </c>
      <c r="L502" s="127" t="inlineStr">
        <is>
          <t>ANTONIONI SPORT CACCIA E PESCA SRLS</t>
        </is>
      </c>
      <c r="M502" s="5" t="n">
        <v>25</v>
      </c>
      <c r="N502" s="5" t="n"/>
      <c r="O502" s="5">
        <f>+M502+N502</f>
        <v/>
      </c>
      <c r="P502" s="4" t="n"/>
      <c r="Q502" s="87" t="n"/>
      <c r="R502" s="5" t="n">
        <v>29</v>
      </c>
      <c r="S502" s="2" t="n">
        <v>1</v>
      </c>
      <c r="T502" s="3" t="inlineStr">
        <is>
          <t>CA42796IR</t>
        </is>
      </c>
      <c r="U502" s="87" t="n">
        <v>45821</v>
      </c>
      <c r="V502" s="3" t="inlineStr">
        <is>
          <t>8</t>
        </is>
      </c>
      <c r="W502" s="108" t="n">
        <v>45821</v>
      </c>
      <c r="X502" s="4" t="inlineStr">
        <is>
          <t>PHILIPPOS COSTANTINIDES TRADING CO. LTD</t>
        </is>
      </c>
    </row>
    <row r="503" ht="24" customHeight="1">
      <c r="A503" s="2">
        <f>+D503-S503</f>
        <v/>
      </c>
      <c r="B503" s="80" t="n"/>
      <c r="C503" s="70" t="n">
        <v>45483</v>
      </c>
      <c r="D503" s="2" t="n">
        <v>1</v>
      </c>
      <c r="E503" s="3" t="inlineStr">
        <is>
          <t>FUCILE MONOCANNA</t>
        </is>
      </c>
      <c r="F503" s="3" t="n">
        <v>8</v>
      </c>
      <c r="G503" s="3" t="inlineStr">
        <is>
          <t>PEDRETTI</t>
        </is>
      </c>
      <c r="H503" s="65" t="inlineStr">
        <is>
          <t>FLOBERT</t>
        </is>
      </c>
      <c r="I503" s="65" t="n">
        <v>11723</v>
      </c>
      <c r="J503" s="65" t="inlineStr">
        <is>
          <t>N/D</t>
        </is>
      </c>
      <c r="K503" s="65" t="inlineStr">
        <is>
          <t>N/D</t>
        </is>
      </c>
      <c r="L503" s="127" t="inlineStr">
        <is>
          <t>ANTONIONI SPORT CACCIA E PESCA SRLS</t>
        </is>
      </c>
      <c r="M503" s="5" t="n">
        <v>25</v>
      </c>
      <c r="N503" s="5" t="n"/>
      <c r="O503" s="5">
        <f>+M503+N503</f>
        <v/>
      </c>
      <c r="P503" s="4" t="n"/>
      <c r="Q503" s="87" t="n"/>
      <c r="R503" s="5" t="n">
        <v>29</v>
      </c>
      <c r="S503" s="2" t="n">
        <v>1</v>
      </c>
      <c r="T503" s="3" t="inlineStr">
        <is>
          <t>CA42796IR</t>
        </is>
      </c>
      <c r="U503" s="87" t="n">
        <v>45821</v>
      </c>
      <c r="V503" s="3" t="inlineStr">
        <is>
          <t>8</t>
        </is>
      </c>
      <c r="W503" s="108" t="n">
        <v>45821</v>
      </c>
      <c r="X503" s="4" t="inlineStr">
        <is>
          <t>PHILIPPOS COSTANTINIDES TRADING CO. LTD</t>
        </is>
      </c>
    </row>
    <row r="504" ht="24" customHeight="1">
      <c r="A504" s="2">
        <f>+D504-S504</f>
        <v/>
      </c>
      <c r="B504" s="80" t="n"/>
      <c r="C504" s="70" t="n">
        <v>45483</v>
      </c>
      <c r="D504" s="2" t="n">
        <v>1</v>
      </c>
      <c r="E504" s="3" t="inlineStr">
        <is>
          <t>FUCILE MONOCANNA</t>
        </is>
      </c>
      <c r="F504" s="3" t="n">
        <v>28</v>
      </c>
      <c r="G504" s="3" t="inlineStr">
        <is>
          <t>PEDRETTI</t>
        </is>
      </c>
      <c r="H504" s="65" t="inlineStr">
        <is>
          <t>INCISO</t>
        </is>
      </c>
      <c r="I504" s="65" t="n">
        <v>42973</v>
      </c>
      <c r="J504" s="65" t="inlineStr">
        <is>
          <t>N/D</t>
        </is>
      </c>
      <c r="K504" s="65" t="inlineStr">
        <is>
          <t>N/D</t>
        </is>
      </c>
      <c r="L504" s="127" t="inlineStr">
        <is>
          <t>ANTONIONI SPORT CACCIA E PESCA SRLS</t>
        </is>
      </c>
      <c r="M504" s="5" t="n">
        <v>25</v>
      </c>
      <c r="N504" s="5" t="n"/>
      <c r="O504" s="5">
        <f>+M504+N504</f>
        <v/>
      </c>
      <c r="P504" s="4" t="n"/>
      <c r="Q504" s="87" t="n"/>
      <c r="R504" s="5" t="n">
        <v>29</v>
      </c>
      <c r="S504" s="2" t="n">
        <v>1</v>
      </c>
      <c r="T504" s="3" t="inlineStr">
        <is>
          <t>CA42796IR</t>
        </is>
      </c>
      <c r="U504" s="87" t="n">
        <v>45821</v>
      </c>
      <c r="V504" s="3" t="inlineStr">
        <is>
          <t>8</t>
        </is>
      </c>
      <c r="W504" s="108" t="n">
        <v>45821</v>
      </c>
      <c r="X504" s="4" t="inlineStr">
        <is>
          <t>PHILIPPOS COSTANTINIDES TRADING CO. LTD</t>
        </is>
      </c>
    </row>
    <row r="505" ht="24" customHeight="1">
      <c r="A505" s="2">
        <f>+D505-S505</f>
        <v/>
      </c>
      <c r="B505" s="80" t="n"/>
      <c r="C505" s="70" t="n">
        <v>45483</v>
      </c>
      <c r="D505" s="2" t="n">
        <v>1</v>
      </c>
      <c r="E505" s="3" t="inlineStr">
        <is>
          <t>FUCILE MONOCANNA</t>
        </is>
      </c>
      <c r="F505" s="3" t="n">
        <v>28</v>
      </c>
      <c r="G505" s="3" t="inlineStr">
        <is>
          <t>INVESTARM</t>
        </is>
      </c>
      <c r="H505" s="65" t="inlineStr">
        <is>
          <t>CACCIA</t>
        </is>
      </c>
      <c r="I505" s="65" t="n">
        <v>261025</v>
      </c>
      <c r="J505" s="65" t="inlineStr">
        <is>
          <t>N/D</t>
        </is>
      </c>
      <c r="K505" s="65" t="inlineStr">
        <is>
          <t>N/D</t>
        </is>
      </c>
      <c r="L505" s="127" t="inlineStr">
        <is>
          <t>ANTONIONI SPORT CACCIA E PESCA SRLS</t>
        </is>
      </c>
      <c r="M505" s="5" t="n">
        <v>25</v>
      </c>
      <c r="N505" s="5" t="n"/>
      <c r="O505" s="5">
        <f>+M505+N505</f>
        <v/>
      </c>
      <c r="P505" s="4" t="n"/>
      <c r="Q505" s="87" t="n"/>
      <c r="R505" s="5" t="n">
        <v>29</v>
      </c>
      <c r="S505" s="2" t="n">
        <v>1</v>
      </c>
      <c r="T505" s="3" t="inlineStr">
        <is>
          <t>CA42796IR</t>
        </is>
      </c>
      <c r="U505" s="87" t="n">
        <v>45821</v>
      </c>
      <c r="V505" s="3" t="inlineStr">
        <is>
          <t>9</t>
        </is>
      </c>
      <c r="W505" s="108" t="n">
        <v>45821</v>
      </c>
      <c r="X505" s="4" t="inlineStr">
        <is>
          <t>PHILIPPOS COSTANTINIDES TRADING CO. LTD</t>
        </is>
      </c>
    </row>
    <row r="506" ht="24" customHeight="1">
      <c r="A506" s="2">
        <f>+D506-S506</f>
        <v/>
      </c>
      <c r="B506" s="80" t="n"/>
      <c r="C506" s="70" t="n">
        <v>45483</v>
      </c>
      <c r="D506" s="2" t="n">
        <v>1</v>
      </c>
      <c r="E506" s="3" t="inlineStr">
        <is>
          <t>FUCILE MONOCANNA</t>
        </is>
      </c>
      <c r="F506" s="3" t="n">
        <v>20</v>
      </c>
      <c r="G506" s="3" t="inlineStr">
        <is>
          <t>INVESTARM</t>
        </is>
      </c>
      <c r="H506" s="65" t="inlineStr">
        <is>
          <t>CACCIA</t>
        </is>
      </c>
      <c r="I506" s="65" t="n">
        <v>257872</v>
      </c>
      <c r="J506" s="65" t="inlineStr">
        <is>
          <t>N/D</t>
        </is>
      </c>
      <c r="K506" s="65" t="inlineStr">
        <is>
          <t>N/D</t>
        </is>
      </c>
      <c r="L506" s="127" t="inlineStr">
        <is>
          <t>ANTONIONI SPORT CACCIA E PESCA SRLS</t>
        </is>
      </c>
      <c r="M506" s="5" t="n">
        <v>25</v>
      </c>
      <c r="N506" s="5" t="n"/>
      <c r="O506" s="5">
        <f>+M506+N506</f>
        <v/>
      </c>
      <c r="P506" s="4" t="n"/>
      <c r="Q506" s="87" t="n"/>
      <c r="R506" s="5" t="n">
        <v>29</v>
      </c>
      <c r="S506" s="2" t="n">
        <v>1</v>
      </c>
      <c r="T506" s="3" t="inlineStr">
        <is>
          <t>CA42796IR</t>
        </is>
      </c>
      <c r="U506" s="87" t="n">
        <v>45821</v>
      </c>
      <c r="V506" s="3" t="inlineStr">
        <is>
          <t>8</t>
        </is>
      </c>
      <c r="W506" s="108" t="n">
        <v>45821</v>
      </c>
      <c r="X506" s="4" t="inlineStr">
        <is>
          <t>PHILIPPOS COSTANTINIDES TRADING CO. LTD</t>
        </is>
      </c>
    </row>
    <row r="507" ht="24" customHeight="1">
      <c r="A507" s="2">
        <f>+D507-S507</f>
        <v/>
      </c>
      <c r="B507" s="80" t="n"/>
      <c r="C507" s="70" t="n">
        <v>45483</v>
      </c>
      <c r="D507" s="2" t="n">
        <v>1</v>
      </c>
      <c r="E507" s="3" t="inlineStr">
        <is>
          <t>FUCILE MONOCANNA</t>
        </is>
      </c>
      <c r="F507" s="3" t="n">
        <v>9</v>
      </c>
      <c r="G507" s="3" t="inlineStr">
        <is>
          <t>INVESTARM</t>
        </is>
      </c>
      <c r="H507" s="65" t="inlineStr">
        <is>
          <t>CACCIA</t>
        </is>
      </c>
      <c r="I507" s="65" t="n">
        <v>70063</v>
      </c>
      <c r="J507" s="65" t="inlineStr">
        <is>
          <t>N/D</t>
        </is>
      </c>
      <c r="K507" s="65" t="inlineStr">
        <is>
          <t>N/D</t>
        </is>
      </c>
      <c r="L507" s="127" t="inlineStr">
        <is>
          <t>ANTONIONI SPORT CACCIA E PESCA SRLS</t>
        </is>
      </c>
      <c r="M507" s="5" t="n">
        <v>25</v>
      </c>
      <c r="N507" s="5" t="n"/>
      <c r="O507" s="5">
        <f>+M507+N507</f>
        <v/>
      </c>
      <c r="P507" s="4" t="n"/>
      <c r="Q507" s="87" t="n"/>
      <c r="R507" s="5" t="n">
        <v>29</v>
      </c>
      <c r="S507" s="2" t="n">
        <v>1</v>
      </c>
      <c r="T507" s="3" t="inlineStr">
        <is>
          <t>CA42796IR</t>
        </is>
      </c>
      <c r="U507" s="87" t="n">
        <v>45821</v>
      </c>
      <c r="V507" s="3" t="inlineStr">
        <is>
          <t>8</t>
        </is>
      </c>
      <c r="W507" s="108" t="n">
        <v>45821</v>
      </c>
      <c r="X507" s="4" t="inlineStr">
        <is>
          <t>PHILIPPOS COSTANTINIDES TRADING CO. LTD</t>
        </is>
      </c>
    </row>
    <row r="508" ht="24" customHeight="1">
      <c r="A508" s="2">
        <f>+D508-S508</f>
        <v/>
      </c>
      <c r="B508" s="80" t="n"/>
      <c r="C508" s="70" t="n">
        <v>45483</v>
      </c>
      <c r="D508" s="2" t="n">
        <v>1</v>
      </c>
      <c r="E508" s="3" t="inlineStr">
        <is>
          <t>FUCILE MONOCANNA</t>
        </is>
      </c>
      <c r="F508" s="3" t="n">
        <v>8</v>
      </c>
      <c r="G508" s="3" t="inlineStr">
        <is>
          <t>INVESTARM</t>
        </is>
      </c>
      <c r="H508" s="65" t="inlineStr">
        <is>
          <t>CACCIA</t>
        </is>
      </c>
      <c r="I508" s="65" t="n">
        <v>373763</v>
      </c>
      <c r="J508" s="65" t="inlineStr">
        <is>
          <t>N/D</t>
        </is>
      </c>
      <c r="K508" s="65" t="inlineStr">
        <is>
          <t>N/D</t>
        </is>
      </c>
      <c r="L508" s="127" t="inlineStr">
        <is>
          <t>ANTONIONI SPORT CACCIA E PESCA SRLS</t>
        </is>
      </c>
      <c r="M508" s="5" t="n">
        <v>25</v>
      </c>
      <c r="N508" s="5" t="n"/>
      <c r="O508" s="5">
        <f>+M508+N508</f>
        <v/>
      </c>
      <c r="P508" s="4" t="n"/>
      <c r="Q508" s="87" t="n"/>
      <c r="R508" s="5" t="n">
        <v>29</v>
      </c>
      <c r="S508" s="2" t="n">
        <v>1</v>
      </c>
      <c r="T508" s="3" t="inlineStr">
        <is>
          <t>CA42796IR</t>
        </is>
      </c>
      <c r="U508" s="87" t="n">
        <v>45821</v>
      </c>
      <c r="V508" s="3" t="inlineStr">
        <is>
          <t>8</t>
        </is>
      </c>
      <c r="W508" s="108" t="n">
        <v>45821</v>
      </c>
      <c r="X508" s="4" t="inlineStr">
        <is>
          <t>PHILIPPOS COSTANTINIDES TRADING CO. LTD</t>
        </is>
      </c>
    </row>
    <row r="509" ht="24" customHeight="1">
      <c r="A509" s="2">
        <f>+D509-S509</f>
        <v/>
      </c>
      <c r="B509" s="80" t="n"/>
      <c r="C509" s="70" t="n">
        <v>45483</v>
      </c>
      <c r="D509" s="2" t="n">
        <v>1</v>
      </c>
      <c r="E509" s="3" t="inlineStr">
        <is>
          <t>FUCILE MONOCANNA</t>
        </is>
      </c>
      <c r="F509" s="3" t="n">
        <v>20</v>
      </c>
      <c r="G509" s="3" t="inlineStr">
        <is>
          <t>INVESTARM</t>
        </is>
      </c>
      <c r="H509" s="65" t="n">
        <v>100</v>
      </c>
      <c r="I509" s="65" t="n">
        <v>55732</v>
      </c>
      <c r="J509" s="65" t="inlineStr">
        <is>
          <t>N/D</t>
        </is>
      </c>
      <c r="K509" s="65" t="inlineStr">
        <is>
          <t>N/D</t>
        </is>
      </c>
      <c r="L509" s="127" t="inlineStr">
        <is>
          <t>ANTONIONI SPORT CACCIA E PESCA SRLS</t>
        </is>
      </c>
      <c r="M509" s="5" t="n">
        <v>25</v>
      </c>
      <c r="N509" s="5" t="n"/>
      <c r="O509" s="5">
        <f>+M509+N509</f>
        <v/>
      </c>
      <c r="P509" s="4" t="n"/>
      <c r="Q509" s="87" t="n"/>
      <c r="R509" s="5" t="n">
        <v>29</v>
      </c>
      <c r="S509" s="2" t="n">
        <v>1</v>
      </c>
      <c r="T509" s="3" t="inlineStr">
        <is>
          <t>CA42796IR</t>
        </is>
      </c>
      <c r="U509" s="87" t="n">
        <v>45821</v>
      </c>
      <c r="V509" s="3" t="inlineStr">
        <is>
          <t>8</t>
        </is>
      </c>
      <c r="W509" s="108" t="n">
        <v>45821</v>
      </c>
      <c r="X509" s="4" t="inlineStr">
        <is>
          <t>PHILIPPOS COSTANTINIDES TRADING CO. LTD</t>
        </is>
      </c>
    </row>
    <row r="510" ht="24" customHeight="1">
      <c r="A510" s="2">
        <f>+D510-S510</f>
        <v/>
      </c>
      <c r="B510" s="80" t="n"/>
      <c r="C510" s="70" t="n">
        <v>45483</v>
      </c>
      <c r="D510" s="2" t="n">
        <v>1</v>
      </c>
      <c r="E510" s="3" t="inlineStr">
        <is>
          <t>FUCILE MONOCANNA</t>
        </is>
      </c>
      <c r="F510" s="3" t="n">
        <v>32</v>
      </c>
      <c r="G510" s="3" t="inlineStr">
        <is>
          <t>INVESTARM</t>
        </is>
      </c>
      <c r="H510" s="65" t="n">
        <v>100</v>
      </c>
      <c r="I510" s="65" t="inlineStr">
        <is>
          <t>143302</t>
        </is>
      </c>
      <c r="J510" s="65" t="inlineStr">
        <is>
          <t>N/D</t>
        </is>
      </c>
      <c r="K510" s="65" t="inlineStr">
        <is>
          <t>N/D</t>
        </is>
      </c>
      <c r="L510" s="127" t="inlineStr">
        <is>
          <t>ANTONIONI SPORT CACCIA E PESCA SRLS</t>
        </is>
      </c>
      <c r="M510" s="5" t="n">
        <v>25</v>
      </c>
      <c r="N510" s="5" t="n"/>
      <c r="O510" s="5">
        <f>+M510+N510</f>
        <v/>
      </c>
      <c r="P510" s="4" t="n"/>
      <c r="Q510" s="87" t="n"/>
      <c r="R510" s="5" t="n">
        <v>29</v>
      </c>
      <c r="S510" s="2" t="n">
        <v>1</v>
      </c>
      <c r="T510" s="3" t="inlineStr">
        <is>
          <t>CA42796IR</t>
        </is>
      </c>
      <c r="U510" s="87" t="n">
        <v>45821</v>
      </c>
      <c r="V510" s="3" t="inlineStr">
        <is>
          <t>8</t>
        </is>
      </c>
      <c r="W510" s="108" t="n">
        <v>45821</v>
      </c>
      <c r="X510" s="4" t="inlineStr">
        <is>
          <t>PHILIPPOS COSTANTINIDES TRADING CO. LTD</t>
        </is>
      </c>
    </row>
    <row r="511" ht="24" customHeight="1">
      <c r="A511" s="2">
        <f>+D511-S511</f>
        <v/>
      </c>
      <c r="B511" s="80" t="n"/>
      <c r="C511" s="70" t="n">
        <v>45483</v>
      </c>
      <c r="D511" s="2" t="n">
        <v>1</v>
      </c>
      <c r="E511" s="3" t="inlineStr">
        <is>
          <t>FUCILE MONOCANNA</t>
        </is>
      </c>
      <c r="F511" s="3" t="n">
        <v>8</v>
      </c>
      <c r="G511" s="3" t="inlineStr">
        <is>
          <t>INVESTARM</t>
        </is>
      </c>
      <c r="H511" s="65" t="inlineStr">
        <is>
          <t>FLOBERT</t>
        </is>
      </c>
      <c r="I511" s="65" t="n">
        <v>548657</v>
      </c>
      <c r="J511" s="65" t="inlineStr">
        <is>
          <t>N/D</t>
        </is>
      </c>
      <c r="K511" s="65" t="inlineStr">
        <is>
          <t>N/D</t>
        </is>
      </c>
      <c r="L511" s="127" t="inlineStr">
        <is>
          <t>ANTONIONI SPORT CACCIA E PESCA SRLS</t>
        </is>
      </c>
      <c r="M511" s="5" t="n">
        <v>25</v>
      </c>
      <c r="N511" s="5" t="n"/>
      <c r="O511" s="5">
        <f>+M511+N511</f>
        <v/>
      </c>
      <c r="P511" s="4" t="n"/>
      <c r="Q511" s="87" t="n"/>
      <c r="R511" s="5" t="n">
        <v>29</v>
      </c>
      <c r="S511" s="2" t="n">
        <v>1</v>
      </c>
      <c r="T511" s="3" t="inlineStr">
        <is>
          <t>CA42796IR</t>
        </is>
      </c>
      <c r="U511" s="87" t="n">
        <v>45821</v>
      </c>
      <c r="V511" s="3" t="inlineStr">
        <is>
          <t>8</t>
        </is>
      </c>
      <c r="W511" s="108" t="n">
        <v>45821</v>
      </c>
      <c r="X511" s="4" t="inlineStr">
        <is>
          <t>PHILIPPOS COSTANTINIDES TRADING CO. LTD</t>
        </is>
      </c>
    </row>
    <row r="512" ht="24" customHeight="1">
      <c r="A512" s="2">
        <f>+D512-S512</f>
        <v/>
      </c>
      <c r="B512" s="80" t="n"/>
      <c r="C512" s="70" t="n">
        <v>45483</v>
      </c>
      <c r="D512" s="2" t="n">
        <v>1</v>
      </c>
      <c r="E512" s="3" t="inlineStr">
        <is>
          <t>FUCILE MONOCANNA</t>
        </is>
      </c>
      <c r="F512" s="3" t="n">
        <v>28</v>
      </c>
      <c r="G512" s="3" t="inlineStr">
        <is>
          <t>GAMBA</t>
        </is>
      </c>
      <c r="H512" s="65" t="inlineStr">
        <is>
          <t>CACCIA</t>
        </is>
      </c>
      <c r="I512" s="65" t="n">
        <v>49155</v>
      </c>
      <c r="J512" s="65" t="inlineStr">
        <is>
          <t>N/D</t>
        </is>
      </c>
      <c r="K512" s="65" t="inlineStr">
        <is>
          <t>N/D</t>
        </is>
      </c>
      <c r="L512" s="127" t="inlineStr">
        <is>
          <t>ANTONIONI SPORT CACCIA E PESCA SRLS</t>
        </is>
      </c>
      <c r="M512" s="5" t="n">
        <v>25</v>
      </c>
      <c r="N512" s="5" t="n"/>
      <c r="O512" s="5">
        <f>+M512+N512</f>
        <v/>
      </c>
      <c r="P512" s="4" t="n"/>
      <c r="Q512" s="87" t="n"/>
      <c r="R512" s="5" t="n">
        <v>29</v>
      </c>
      <c r="S512" s="2" t="n">
        <v>1</v>
      </c>
      <c r="T512" s="3" t="inlineStr">
        <is>
          <t>CA42796IR</t>
        </is>
      </c>
      <c r="U512" s="87" t="n">
        <v>45821</v>
      </c>
      <c r="V512" s="3" t="inlineStr">
        <is>
          <t>9</t>
        </is>
      </c>
      <c r="W512" s="108" t="n">
        <v>45821</v>
      </c>
      <c r="X512" s="4" t="inlineStr">
        <is>
          <t>PHILIPPOS COSTANTINIDES TRADING CO. LTD</t>
        </is>
      </c>
    </row>
    <row r="513" ht="24" customHeight="1">
      <c r="A513" s="2">
        <f>+D513-S513</f>
        <v/>
      </c>
      <c r="B513" s="80" t="n"/>
      <c r="C513" s="70" t="n">
        <v>45483</v>
      </c>
      <c r="D513" s="2" t="n">
        <v>1</v>
      </c>
      <c r="E513" s="3" t="inlineStr">
        <is>
          <t>FUCILE MONOCANNA</t>
        </is>
      </c>
      <c r="F513" s="3" t="n">
        <v>28</v>
      </c>
      <c r="G513" s="3" t="inlineStr">
        <is>
          <t>GAMBA</t>
        </is>
      </c>
      <c r="H513" s="65" t="inlineStr">
        <is>
          <t>CACCIA</t>
        </is>
      </c>
      <c r="I513" s="65" t="n">
        <v>37810</v>
      </c>
      <c r="J513" s="65" t="inlineStr">
        <is>
          <t>N/D</t>
        </is>
      </c>
      <c r="K513" s="65" t="inlineStr">
        <is>
          <t>N/D</t>
        </is>
      </c>
      <c r="L513" s="127" t="inlineStr">
        <is>
          <t>ANTONIONI SPORT CACCIA E PESCA SRLS</t>
        </is>
      </c>
      <c r="M513" s="5" t="n">
        <v>25</v>
      </c>
      <c r="N513" s="5" t="n"/>
      <c r="O513" s="5">
        <f>+M513+N513</f>
        <v/>
      </c>
      <c r="P513" s="4" t="n"/>
      <c r="Q513" s="87" t="n"/>
      <c r="R513" s="5" t="n">
        <v>29</v>
      </c>
      <c r="S513" s="2" t="n">
        <v>1</v>
      </c>
      <c r="T513" s="3" t="inlineStr">
        <is>
          <t>CA42796IR</t>
        </is>
      </c>
      <c r="U513" s="87" t="n">
        <v>45821</v>
      </c>
      <c r="V513" s="3" t="inlineStr">
        <is>
          <t>9</t>
        </is>
      </c>
      <c r="W513" s="108" t="n">
        <v>45821</v>
      </c>
      <c r="X513" s="4" t="inlineStr">
        <is>
          <t>PHILIPPOS COSTANTINIDES TRADING CO. LTD</t>
        </is>
      </c>
    </row>
    <row r="514" ht="24" customHeight="1">
      <c r="A514" s="2">
        <f>+D514-S514</f>
        <v/>
      </c>
      <c r="B514" s="80" t="n"/>
      <c r="C514" s="70" t="n">
        <v>45483</v>
      </c>
      <c r="D514" s="2" t="n">
        <v>1</v>
      </c>
      <c r="E514" s="3" t="inlineStr">
        <is>
          <t>FUCILE MONOCANNA</t>
        </is>
      </c>
      <c r="F514" s="3" t="n">
        <v>20</v>
      </c>
      <c r="G514" s="3" t="inlineStr">
        <is>
          <t>GAMBA</t>
        </is>
      </c>
      <c r="H514" s="65" t="inlineStr">
        <is>
          <t>CACCIA</t>
        </is>
      </c>
      <c r="I514" s="65" t="n">
        <v>44215</v>
      </c>
      <c r="J514" s="65" t="inlineStr">
        <is>
          <t>N/D</t>
        </is>
      </c>
      <c r="K514" s="65" t="inlineStr">
        <is>
          <t>N/D</t>
        </is>
      </c>
      <c r="L514" s="127" t="inlineStr">
        <is>
          <t>ANTONIONI SPORT CACCIA E PESCA SRLS</t>
        </is>
      </c>
      <c r="M514" s="5" t="n">
        <v>25</v>
      </c>
      <c r="N514" s="5" t="n"/>
      <c r="O514" s="5">
        <f>+M514+N514</f>
        <v/>
      </c>
      <c r="P514" s="4" t="n"/>
      <c r="Q514" s="87" t="n"/>
      <c r="R514" s="5" t="n">
        <v>29</v>
      </c>
      <c r="S514" s="2" t="n">
        <v>1</v>
      </c>
      <c r="T514" s="3" t="inlineStr">
        <is>
          <t>CA42796IR</t>
        </is>
      </c>
      <c r="U514" s="87" t="n">
        <v>45821</v>
      </c>
      <c r="V514" s="3" t="inlineStr">
        <is>
          <t>9</t>
        </is>
      </c>
      <c r="W514" s="108" t="n">
        <v>45821</v>
      </c>
      <c r="X514" s="4" t="inlineStr">
        <is>
          <t>PHILIPPOS COSTANTINIDES TRADING CO. LTD</t>
        </is>
      </c>
    </row>
    <row r="515" ht="24" customHeight="1">
      <c r="A515" s="2">
        <f>+D515-S515</f>
        <v/>
      </c>
      <c r="B515" s="80" t="n"/>
      <c r="C515" s="70" t="n">
        <v>45483</v>
      </c>
      <c r="D515" s="2" t="n">
        <v>1</v>
      </c>
      <c r="E515" s="3" t="inlineStr">
        <is>
          <t>FUCILE DOPPIETTA</t>
        </is>
      </c>
      <c r="F515" s="3" t="n">
        <v>12</v>
      </c>
      <c r="G515" s="3" t="inlineStr">
        <is>
          <t>COCKERILL</t>
        </is>
      </c>
      <c r="H515" s="65" t="inlineStr">
        <is>
          <t>ARTIGIANA</t>
        </is>
      </c>
      <c r="I515" s="65" t="n">
        <v>33857</v>
      </c>
      <c r="J515" s="65" t="inlineStr">
        <is>
          <t>N/D</t>
        </is>
      </c>
      <c r="K515" s="65" t="inlineStr">
        <is>
          <t>N/D</t>
        </is>
      </c>
      <c r="L515" s="127" t="inlineStr">
        <is>
          <t>ANTONIONI SPORT CACCIA E PESCA SRLS</t>
        </is>
      </c>
      <c r="M515" s="5" t="n">
        <v>25</v>
      </c>
      <c r="N515" s="5" t="n"/>
      <c r="O515" s="5">
        <f>+M515+N515</f>
        <v/>
      </c>
      <c r="P515" s="4" t="n"/>
      <c r="Q515" s="87" t="n"/>
      <c r="R515" s="5" t="n">
        <v>29</v>
      </c>
      <c r="S515" s="2" t="n">
        <v>1</v>
      </c>
      <c r="T515" s="3" t="inlineStr">
        <is>
          <t>CA42796IR</t>
        </is>
      </c>
      <c r="U515" s="87" t="n">
        <v>45821</v>
      </c>
      <c r="V515" s="3" t="inlineStr">
        <is>
          <t>12</t>
        </is>
      </c>
      <c r="W515" s="108" t="n">
        <v>45821</v>
      </c>
      <c r="X515" s="4" t="inlineStr">
        <is>
          <t>PHILIPPOS COSTANTINIDES TRADING CO. LTD</t>
        </is>
      </c>
    </row>
    <row r="516" ht="24" customHeight="1">
      <c r="A516" s="2">
        <f>+D516-S516</f>
        <v/>
      </c>
      <c r="B516" s="80" t="n"/>
      <c r="C516" s="70" t="n">
        <v>45483</v>
      </c>
      <c r="D516" s="2" t="n">
        <v>1</v>
      </c>
      <c r="E516" s="3" t="inlineStr">
        <is>
          <t>FUCILE DOPPIETTA</t>
        </is>
      </c>
      <c r="F516" s="3" t="n">
        <v>16</v>
      </c>
      <c r="G516" s="3" t="inlineStr">
        <is>
          <t>LIEGI</t>
        </is>
      </c>
      <c r="H516" s="65" t="inlineStr">
        <is>
          <t>CACCIA</t>
        </is>
      </c>
      <c r="I516" s="65" t="n">
        <v>2158</v>
      </c>
      <c r="J516" s="65" t="inlineStr">
        <is>
          <t>N/D</t>
        </is>
      </c>
      <c r="K516" s="65" t="inlineStr">
        <is>
          <t>N/D</t>
        </is>
      </c>
      <c r="L516" s="127" t="inlineStr">
        <is>
          <t>ANTONIONI SPORT CACCIA E PESCA SRLS</t>
        </is>
      </c>
      <c r="M516" s="5" t="n">
        <v>25</v>
      </c>
      <c r="N516" s="5" t="n"/>
      <c r="O516" s="5">
        <f>+M516+N516</f>
        <v/>
      </c>
      <c r="P516" s="4" t="n"/>
      <c r="Q516" s="87" t="n"/>
      <c r="R516" s="5" t="n">
        <v>29</v>
      </c>
      <c r="S516" s="2" t="n">
        <v>1</v>
      </c>
      <c r="T516" s="3" t="inlineStr">
        <is>
          <t>CA42796IR</t>
        </is>
      </c>
      <c r="U516" s="87" t="n">
        <v>45821</v>
      </c>
      <c r="V516" s="3" t="inlineStr">
        <is>
          <t>15</t>
        </is>
      </c>
      <c r="W516" s="108" t="n">
        <v>45821</v>
      </c>
      <c r="X516" s="4" t="inlineStr">
        <is>
          <t>PHILIPPOS COSTANTINIDES TRADING CO. LTD</t>
        </is>
      </c>
    </row>
    <row r="517" ht="24" customHeight="1">
      <c r="A517" s="2">
        <f>+D517-S517</f>
        <v/>
      </c>
      <c r="B517" s="80" t="n"/>
      <c r="C517" s="70" t="n">
        <v>45483</v>
      </c>
      <c r="D517" s="2" t="n">
        <v>1</v>
      </c>
      <c r="E517" s="3" t="inlineStr">
        <is>
          <t>FUCILE DOPPIETTA</t>
        </is>
      </c>
      <c r="F517" s="3" t="n">
        <v>12</v>
      </c>
      <c r="G517" s="3" t="inlineStr">
        <is>
          <t>BASSOTTI</t>
        </is>
      </c>
      <c r="H517" s="65" t="inlineStr">
        <is>
          <t>CACCIA</t>
        </is>
      </c>
      <c r="I517" s="65" t="n">
        <v>114</v>
      </c>
      <c r="J517" s="65" t="inlineStr">
        <is>
          <t>N/D</t>
        </is>
      </c>
      <c r="K517" s="65" t="inlineStr">
        <is>
          <t>N/D</t>
        </is>
      </c>
      <c r="L517" s="127" t="inlineStr">
        <is>
          <t>ANTONIONI SPORT CACCIA E PESCA SRLS</t>
        </is>
      </c>
      <c r="M517" s="5" t="n">
        <v>25</v>
      </c>
      <c r="N517" s="5" t="n"/>
      <c r="O517" s="5">
        <f>+M517+N517</f>
        <v/>
      </c>
      <c r="P517" s="4" t="n"/>
      <c r="Q517" s="87" t="n"/>
      <c r="R517" s="5" t="n">
        <v>29</v>
      </c>
      <c r="S517" s="2" t="n">
        <v>1</v>
      </c>
      <c r="T517" s="3" t="inlineStr">
        <is>
          <t>CA42796IR</t>
        </is>
      </c>
      <c r="U517" s="87" t="n">
        <v>45821</v>
      </c>
      <c r="V517" s="3" t="inlineStr">
        <is>
          <t>13</t>
        </is>
      </c>
      <c r="W517" s="108" t="n">
        <v>45821</v>
      </c>
      <c r="X517" s="4" t="inlineStr">
        <is>
          <t>PHILIPPOS COSTANTINIDES TRADING CO. LTD</t>
        </is>
      </c>
    </row>
    <row r="518" ht="24" customHeight="1">
      <c r="A518" s="2">
        <f>+D518-S518</f>
        <v/>
      </c>
      <c r="B518" s="80" t="n"/>
      <c r="C518" s="70" t="n">
        <v>45483</v>
      </c>
      <c r="D518" s="2" t="n">
        <v>1</v>
      </c>
      <c r="E518" s="3" t="inlineStr">
        <is>
          <t>FUCILE DOPPIETTA</t>
        </is>
      </c>
      <c r="F518" s="3" t="n">
        <v>16</v>
      </c>
      <c r="G518" s="3" t="inlineStr">
        <is>
          <t>ARTIGIANO</t>
        </is>
      </c>
      <c r="H518" s="65" t="inlineStr">
        <is>
          <t>CACCIA</t>
        </is>
      </c>
      <c r="I518" s="65" t="n">
        <v>623</v>
      </c>
      <c r="J518" s="65" t="inlineStr">
        <is>
          <t>N/D</t>
        </is>
      </c>
      <c r="K518" s="65" t="inlineStr">
        <is>
          <t>N/D</t>
        </is>
      </c>
      <c r="L518" s="127" t="inlineStr">
        <is>
          <t>ANTONIONI SPORT CACCIA E PESCA SRLS</t>
        </is>
      </c>
      <c r="M518" s="5" t="n">
        <v>25</v>
      </c>
      <c r="N518" s="5" t="n"/>
      <c r="O518" s="5">
        <f>+M518+N518</f>
        <v/>
      </c>
      <c r="P518" s="4" t="n"/>
      <c r="Q518" s="87" t="n"/>
      <c r="R518" s="5" t="n">
        <v>29</v>
      </c>
      <c r="S518" s="2" t="n">
        <v>1</v>
      </c>
      <c r="T518" s="3" t="inlineStr">
        <is>
          <t>CA42796IR</t>
        </is>
      </c>
      <c r="U518" s="87" t="n">
        <v>45821</v>
      </c>
      <c r="V518" s="3" t="inlineStr">
        <is>
          <t>12</t>
        </is>
      </c>
      <c r="W518" s="108" t="n">
        <v>45821</v>
      </c>
      <c r="X518" s="4" t="inlineStr">
        <is>
          <t>PHILIPPOS COSTANTINIDES TRADING CO. LTD</t>
        </is>
      </c>
    </row>
    <row r="519" ht="24" customHeight="1">
      <c r="A519" s="2">
        <f>+D519-S519</f>
        <v/>
      </c>
      <c r="B519" s="80" t="n"/>
      <c r="C519" s="70" t="n">
        <v>45483</v>
      </c>
      <c r="D519" s="2" t="n">
        <v>1</v>
      </c>
      <c r="E519" s="3" t="inlineStr">
        <is>
          <t>FUCILE DOPPIETTA</t>
        </is>
      </c>
      <c r="F519" s="3" t="n">
        <v>12</v>
      </c>
      <c r="G519" s="3" t="inlineStr">
        <is>
          <t>LIEGI</t>
        </is>
      </c>
      <c r="H519" s="65" t="inlineStr">
        <is>
          <t>CACCIA</t>
        </is>
      </c>
      <c r="I519" s="65" t="n">
        <v>3553</v>
      </c>
      <c r="J519" s="65" t="inlineStr">
        <is>
          <t>N/D</t>
        </is>
      </c>
      <c r="K519" s="65" t="inlineStr">
        <is>
          <t>N/D</t>
        </is>
      </c>
      <c r="L519" s="127" t="inlineStr">
        <is>
          <t>ANTONIONI SPORT CACCIA E PESCA SRLS</t>
        </is>
      </c>
      <c r="M519" s="5" t="n">
        <v>25</v>
      </c>
      <c r="N519" s="5" t="n"/>
      <c r="O519" s="5">
        <f>+M519+N519</f>
        <v/>
      </c>
      <c r="P519" s="4" t="n"/>
      <c r="Q519" s="87" t="n"/>
      <c r="R519" s="5" t="n">
        <v>57</v>
      </c>
      <c r="S519" s="2" t="n">
        <v>1</v>
      </c>
      <c r="T519" s="3" t="inlineStr">
        <is>
          <t>CA42796IR</t>
        </is>
      </c>
      <c r="U519" s="87" t="n">
        <v>45821</v>
      </c>
      <c r="V519" s="3" t="inlineStr">
        <is>
          <t>14</t>
        </is>
      </c>
      <c r="W519" s="108" t="n">
        <v>45821</v>
      </c>
      <c r="X519" s="4" t="inlineStr">
        <is>
          <t>PHILIPPOS COSTANTINIDES TRADING CO. LTD</t>
        </is>
      </c>
    </row>
    <row r="520" ht="24" customHeight="1">
      <c r="A520" s="2">
        <f>+D520-S520</f>
        <v/>
      </c>
      <c r="B520" s="80" t="n"/>
      <c r="C520" s="70" t="n">
        <v>45483</v>
      </c>
      <c r="D520" s="2" t="n">
        <v>1</v>
      </c>
      <c r="E520" s="3" t="inlineStr">
        <is>
          <t>FUCILE DOPPIETTA</t>
        </is>
      </c>
      <c r="F520" s="3" t="n">
        <v>12</v>
      </c>
      <c r="G520" s="3" t="inlineStr">
        <is>
          <t>BERNARDELLI</t>
        </is>
      </c>
      <c r="H520" s="65" t="inlineStr">
        <is>
          <t>CACCIA</t>
        </is>
      </c>
      <c r="I520" s="65" t="n">
        <v>13073</v>
      </c>
      <c r="J520" s="65" t="inlineStr">
        <is>
          <t>N/D</t>
        </is>
      </c>
      <c r="K520" s="65" t="inlineStr">
        <is>
          <t>N/D</t>
        </is>
      </c>
      <c r="L520" s="127" t="inlineStr">
        <is>
          <t>ANTONIONI SPORT CACCIA E PESCA SRLS</t>
        </is>
      </c>
      <c r="M520" s="5" t="n">
        <v>25</v>
      </c>
      <c r="N520" s="5" t="n"/>
      <c r="O520" s="5">
        <f>+M520+N520</f>
        <v/>
      </c>
      <c r="P520" s="4" t="n"/>
      <c r="Q520" s="87" t="n"/>
      <c r="R520" s="5" t="n">
        <v>29</v>
      </c>
      <c r="S520" s="2" t="n">
        <v>1</v>
      </c>
      <c r="T520" s="3" t="inlineStr">
        <is>
          <t>CA42796IR</t>
        </is>
      </c>
      <c r="U520" s="87" t="n">
        <v>45821</v>
      </c>
      <c r="V520" s="3" t="inlineStr">
        <is>
          <t>13</t>
        </is>
      </c>
      <c r="W520" s="108" t="n">
        <v>45821</v>
      </c>
      <c r="X520" s="4" t="inlineStr">
        <is>
          <t>PHILIPPOS COSTANTINIDES TRADING CO. LTD</t>
        </is>
      </c>
    </row>
    <row r="521" ht="24" customHeight="1">
      <c r="A521" s="2">
        <f>+D521-S521</f>
        <v/>
      </c>
      <c r="B521" s="80" t="n"/>
      <c r="C521" s="70" t="n">
        <v>45483</v>
      </c>
      <c r="D521" s="2" t="n">
        <v>1</v>
      </c>
      <c r="E521" s="3" t="inlineStr">
        <is>
          <t>FUCILE DOPPIETTA</t>
        </is>
      </c>
      <c r="F521" s="3" t="n">
        <v>12</v>
      </c>
      <c r="G521" s="3" t="inlineStr">
        <is>
          <t>LIEGI</t>
        </is>
      </c>
      <c r="H521" s="65" t="inlineStr">
        <is>
          <t>CACCIA</t>
        </is>
      </c>
      <c r="I521" s="65" t="n">
        <v>4330</v>
      </c>
      <c r="J521" s="65" t="inlineStr">
        <is>
          <t>N/D</t>
        </is>
      </c>
      <c r="K521" s="65" t="inlineStr">
        <is>
          <t>N/D</t>
        </is>
      </c>
      <c r="L521" s="127" t="inlineStr">
        <is>
          <t>ANTONIONI SPORT CACCIA E PESCA SRLS</t>
        </is>
      </c>
      <c r="M521" s="5" t="n">
        <v>25</v>
      </c>
      <c r="N521" s="5" t="n"/>
      <c r="O521" s="5">
        <f>+M521+N521</f>
        <v/>
      </c>
      <c r="P521" s="4" t="n"/>
      <c r="Q521" s="87" t="n"/>
      <c r="R521" s="5" t="n">
        <v>29</v>
      </c>
      <c r="S521" s="2" t="n">
        <v>1</v>
      </c>
      <c r="T521" s="3" t="inlineStr">
        <is>
          <t>CA42796IR</t>
        </is>
      </c>
      <c r="U521" s="87" t="n">
        <v>45821</v>
      </c>
      <c r="V521" s="3" t="inlineStr">
        <is>
          <t>14</t>
        </is>
      </c>
      <c r="W521" s="108" t="n">
        <v>45821</v>
      </c>
      <c r="X521" s="4" t="inlineStr">
        <is>
          <t>PHILIPPOS COSTANTINIDES TRADING CO. LTD</t>
        </is>
      </c>
    </row>
    <row r="522" ht="24" customHeight="1">
      <c r="A522" s="2">
        <f>+D522-S522</f>
        <v/>
      </c>
      <c r="B522" s="80" t="n"/>
      <c r="C522" s="70" t="n">
        <v>45483</v>
      </c>
      <c r="D522" s="2" t="n">
        <v>1</v>
      </c>
      <c r="E522" s="3" t="inlineStr">
        <is>
          <t>FUCILE DOPPIETTA</t>
        </is>
      </c>
      <c r="F522" s="3" t="n">
        <v>12</v>
      </c>
      <c r="G522" s="3" t="inlineStr">
        <is>
          <t>BASSOTTI</t>
        </is>
      </c>
      <c r="H522" s="65" t="inlineStr">
        <is>
          <t>CACCIA</t>
        </is>
      </c>
      <c r="I522" s="65" t="n">
        <v>897</v>
      </c>
      <c r="J522" s="65" t="inlineStr">
        <is>
          <t>N/D</t>
        </is>
      </c>
      <c r="K522" s="65" t="inlineStr">
        <is>
          <t>N/D</t>
        </is>
      </c>
      <c r="L522" s="127" t="inlineStr">
        <is>
          <t>ANTONIONI SPORT CACCIA E PESCA SRLS</t>
        </is>
      </c>
      <c r="M522" s="5" t="n">
        <v>25</v>
      </c>
      <c r="N522" s="5" t="n"/>
      <c r="O522" s="5">
        <f>+M522+N522</f>
        <v/>
      </c>
      <c r="P522" s="4" t="n"/>
      <c r="Q522" s="87" t="n"/>
      <c r="R522" s="5" t="n">
        <v>29</v>
      </c>
      <c r="S522" s="2" t="n">
        <v>1</v>
      </c>
      <c r="T522" s="3" t="inlineStr">
        <is>
          <t>CA42796IR</t>
        </is>
      </c>
      <c r="U522" s="87" t="n">
        <v>45821</v>
      </c>
      <c r="V522" s="3" t="inlineStr">
        <is>
          <t>13</t>
        </is>
      </c>
      <c r="W522" s="108" t="n">
        <v>45821</v>
      </c>
      <c r="X522" s="4" t="inlineStr">
        <is>
          <t>PHILIPPOS COSTANTINIDES TRADING CO. LTD</t>
        </is>
      </c>
    </row>
    <row r="523" ht="24" customHeight="1">
      <c r="A523" s="2">
        <f>+D523-S523</f>
        <v/>
      </c>
      <c r="B523" s="80" t="n"/>
      <c r="C523" s="70" t="n">
        <v>45483</v>
      </c>
      <c r="D523" s="2" t="n">
        <v>1</v>
      </c>
      <c r="E523" s="3" t="inlineStr">
        <is>
          <t>FUCILE DOPPIETTA</t>
        </is>
      </c>
      <c r="F523" s="3" t="n">
        <v>12</v>
      </c>
      <c r="G523" s="3" t="inlineStr">
        <is>
          <t>VARISCHI</t>
        </is>
      </c>
      <c r="H523" s="65" t="inlineStr">
        <is>
          <t>CACCIA</t>
        </is>
      </c>
      <c r="I523" s="65" t="n">
        <v>7480</v>
      </c>
      <c r="J523" s="65" t="inlineStr">
        <is>
          <t>N/D</t>
        </is>
      </c>
      <c r="K523" s="65" t="inlineStr">
        <is>
          <t>N/D</t>
        </is>
      </c>
      <c r="L523" s="127" t="inlineStr">
        <is>
          <t>ANTONIONI SPORT CACCIA E PESCA SRLS</t>
        </is>
      </c>
      <c r="M523" s="5" t="n">
        <v>25</v>
      </c>
      <c r="N523" s="5" t="n"/>
      <c r="O523" s="5">
        <f>+M523+N523</f>
        <v/>
      </c>
      <c r="P523" s="4" t="n"/>
      <c r="Q523" s="87" t="n"/>
      <c r="R523" s="5" t="n">
        <v>29</v>
      </c>
      <c r="S523" s="2" t="n">
        <v>1</v>
      </c>
      <c r="T523" s="3" t="inlineStr">
        <is>
          <t>CA42796IR</t>
        </is>
      </c>
      <c r="U523" s="87" t="n">
        <v>45821</v>
      </c>
      <c r="V523" s="3" t="inlineStr">
        <is>
          <t>15</t>
        </is>
      </c>
      <c r="W523" s="108" t="n">
        <v>45821</v>
      </c>
      <c r="X523" s="4" t="inlineStr">
        <is>
          <t>PHILIPPOS COSTANTINIDES TRADING CO. LTD</t>
        </is>
      </c>
    </row>
    <row r="524" ht="24" customHeight="1">
      <c r="A524" s="2">
        <f>+D524-S524</f>
        <v/>
      </c>
      <c r="B524" s="80" t="n"/>
      <c r="C524" s="70" t="n">
        <v>45483</v>
      </c>
      <c r="D524" s="2" t="n">
        <v>1</v>
      </c>
      <c r="E524" s="3" t="inlineStr">
        <is>
          <t>FUCILE DOPPIETTA</t>
        </is>
      </c>
      <c r="F524" s="3" t="n">
        <v>12</v>
      </c>
      <c r="G524" s="3" t="inlineStr">
        <is>
          <t>ARTIGIANA</t>
        </is>
      </c>
      <c r="H524" s="65" t="inlineStr">
        <is>
          <t>CACCIA</t>
        </is>
      </c>
      <c r="I524" s="65" t="n">
        <v>36311</v>
      </c>
      <c r="J524" s="65" t="inlineStr">
        <is>
          <t>N/D</t>
        </is>
      </c>
      <c r="K524" s="65" t="inlineStr">
        <is>
          <t>N/D</t>
        </is>
      </c>
      <c r="L524" s="127" t="inlineStr">
        <is>
          <t>ANTONIONI SPORT CACCIA E PESCA SRLS</t>
        </is>
      </c>
      <c r="M524" s="5" t="n">
        <v>25</v>
      </c>
      <c r="N524" s="5" t="n"/>
      <c r="O524" s="5">
        <f>+M524+N524</f>
        <v/>
      </c>
      <c r="P524" s="4" t="n"/>
      <c r="Q524" s="87" t="n"/>
      <c r="R524" s="5" t="n">
        <v>29</v>
      </c>
      <c r="S524" s="2" t="n">
        <v>1</v>
      </c>
      <c r="T524" s="3" t="inlineStr">
        <is>
          <t>CA42796IR</t>
        </is>
      </c>
      <c r="U524" s="87" t="n">
        <v>45821</v>
      </c>
      <c r="V524" s="3" t="inlineStr">
        <is>
          <t>12</t>
        </is>
      </c>
      <c r="W524" s="108" t="n">
        <v>45821</v>
      </c>
      <c r="X524" s="4" t="inlineStr">
        <is>
          <t>PHILIPPOS COSTANTINIDES TRADING CO. LTD</t>
        </is>
      </c>
    </row>
    <row r="525" ht="24" customHeight="1">
      <c r="A525" s="2">
        <f>+D525-S525</f>
        <v/>
      </c>
      <c r="B525" s="80" t="n"/>
      <c r="C525" s="70" t="n">
        <v>45483</v>
      </c>
      <c r="D525" s="2" t="n">
        <v>1</v>
      </c>
      <c r="E525" s="3" t="inlineStr">
        <is>
          <t>FUCILE DOPPIETTA</t>
        </is>
      </c>
      <c r="F525" s="3" t="n">
        <v>12</v>
      </c>
      <c r="G525" s="3" t="inlineStr">
        <is>
          <t xml:space="preserve">GNALI </t>
        </is>
      </c>
      <c r="H525" s="65" t="inlineStr">
        <is>
          <t>CACCIA</t>
        </is>
      </c>
      <c r="I525" s="65" t="n">
        <v>4480</v>
      </c>
      <c r="J525" s="65" t="inlineStr">
        <is>
          <t>N/D</t>
        </is>
      </c>
      <c r="K525" s="65" t="inlineStr">
        <is>
          <t>N/D</t>
        </is>
      </c>
      <c r="L525" s="127" t="inlineStr">
        <is>
          <t>ANTONIONI SPORT CACCIA E PESCA SRLS</t>
        </is>
      </c>
      <c r="M525" s="5" t="n">
        <v>25</v>
      </c>
      <c r="N525" s="5" t="n"/>
      <c r="O525" s="5">
        <f>+M525+N525</f>
        <v/>
      </c>
      <c r="P525" s="4" t="n"/>
      <c r="Q525" s="87" t="n"/>
      <c r="R525" s="5" t="n">
        <v>29</v>
      </c>
      <c r="S525" s="2" t="n">
        <v>1</v>
      </c>
      <c r="T525" s="3" t="inlineStr">
        <is>
          <t>CA42796IR</t>
        </is>
      </c>
      <c r="U525" s="87" t="n">
        <v>45821</v>
      </c>
      <c r="V525" s="3" t="inlineStr">
        <is>
          <t>13</t>
        </is>
      </c>
      <c r="W525" s="108" t="n">
        <v>45821</v>
      </c>
      <c r="X525" s="4" t="inlineStr">
        <is>
          <t>PHILIPPOS COSTANTINIDES TRADING CO. LTD</t>
        </is>
      </c>
    </row>
    <row r="526" ht="24" customHeight="1">
      <c r="A526" s="2">
        <f>+D526-S526</f>
        <v/>
      </c>
      <c r="B526" s="80" t="n"/>
      <c r="C526" s="70" t="n">
        <v>45483</v>
      </c>
      <c r="D526" s="2" t="n">
        <v>1</v>
      </c>
      <c r="E526" s="3" t="inlineStr">
        <is>
          <t>FUCILE DOPPIETTA</t>
        </is>
      </c>
      <c r="F526" s="3" t="n">
        <v>12</v>
      </c>
      <c r="G526" s="3" t="inlineStr">
        <is>
          <t>BERNARDELLI</t>
        </is>
      </c>
      <c r="H526" s="65" t="inlineStr">
        <is>
          <t>CACCIA</t>
        </is>
      </c>
      <c r="I526" s="65" t="inlineStr">
        <is>
          <t>587/20069</t>
        </is>
      </c>
      <c r="J526" s="65" t="inlineStr">
        <is>
          <t>N/D</t>
        </is>
      </c>
      <c r="K526" s="65" t="inlineStr">
        <is>
          <t>N/D</t>
        </is>
      </c>
      <c r="L526" s="127" t="inlineStr">
        <is>
          <t>ANTONIONI SPORT CACCIA E PESCA SRLS</t>
        </is>
      </c>
      <c r="M526" s="5" t="n">
        <v>25</v>
      </c>
      <c r="N526" s="5" t="n"/>
      <c r="O526" s="5">
        <f>+M526+N526</f>
        <v/>
      </c>
      <c r="P526" s="4" t="n"/>
      <c r="Q526" s="87" t="n"/>
      <c r="R526" s="5" t="n">
        <v>29</v>
      </c>
      <c r="S526" s="2" t="n">
        <v>1</v>
      </c>
      <c r="T526" s="3" t="inlineStr">
        <is>
          <t>CA42796IR</t>
        </is>
      </c>
      <c r="U526" s="87" t="n">
        <v>45821</v>
      </c>
      <c r="V526" s="3" t="inlineStr">
        <is>
          <t>13</t>
        </is>
      </c>
      <c r="W526" s="108" t="n">
        <v>45821</v>
      </c>
      <c r="X526" s="4" t="inlineStr">
        <is>
          <t>PHILIPPOS COSTANTINIDES TRADING CO. LTD</t>
        </is>
      </c>
    </row>
    <row r="527" ht="24" customHeight="1">
      <c r="A527" s="2">
        <f>+D527-S527</f>
        <v/>
      </c>
      <c r="B527" s="80" t="n"/>
      <c r="C527" s="70" t="n">
        <v>45483</v>
      </c>
      <c r="D527" s="2" t="n">
        <v>1</v>
      </c>
      <c r="E527" s="3" t="inlineStr">
        <is>
          <t>FUCILE DOPPIETTA</t>
        </is>
      </c>
      <c r="F527" s="3" t="n">
        <v>12</v>
      </c>
      <c r="G527" s="3" t="inlineStr">
        <is>
          <t>LIEGI</t>
        </is>
      </c>
      <c r="H527" s="65" t="inlineStr">
        <is>
          <t>CACCIA</t>
        </is>
      </c>
      <c r="I527" s="65" t="inlineStr">
        <is>
          <t>1270/250</t>
        </is>
      </c>
      <c r="J527" s="65" t="inlineStr">
        <is>
          <t>N/D</t>
        </is>
      </c>
      <c r="K527" s="65" t="inlineStr">
        <is>
          <t>N/D</t>
        </is>
      </c>
      <c r="L527" s="127" t="inlineStr">
        <is>
          <t>ANTONIONI SPORT CACCIA E PESCA SRLS</t>
        </is>
      </c>
      <c r="M527" s="5" t="n">
        <v>25</v>
      </c>
      <c r="N527" s="5" t="n"/>
      <c r="O527" s="5">
        <f>+M527+N527</f>
        <v/>
      </c>
      <c r="P527" s="4" t="n"/>
      <c r="Q527" s="87" t="n"/>
      <c r="R527" s="5" t="n">
        <v>29</v>
      </c>
      <c r="S527" s="2" t="n">
        <v>1</v>
      </c>
      <c r="T527" s="3" t="inlineStr">
        <is>
          <t>CA42796IR</t>
        </is>
      </c>
      <c r="U527" s="87" t="n">
        <v>45821</v>
      </c>
      <c r="V527" s="3" t="inlineStr">
        <is>
          <t>15</t>
        </is>
      </c>
      <c r="W527" s="108" t="n">
        <v>45821</v>
      </c>
      <c r="X527" s="4" t="inlineStr">
        <is>
          <t>PHILIPPOS COSTANTINIDES TRADING CO. LTD</t>
        </is>
      </c>
    </row>
    <row r="528" ht="24" customHeight="1">
      <c r="A528" s="2">
        <f>+D528-S528</f>
        <v/>
      </c>
      <c r="B528" s="80" t="n"/>
      <c r="C528" s="70" t="n">
        <v>45483</v>
      </c>
      <c r="D528" s="2" t="n">
        <v>1</v>
      </c>
      <c r="E528" s="3" t="inlineStr">
        <is>
          <t>FUCILE DOPPIETTA</t>
        </is>
      </c>
      <c r="F528" s="3" t="n">
        <v>12</v>
      </c>
      <c r="G528" s="3" t="inlineStr">
        <is>
          <t>BASSOTTI</t>
        </is>
      </c>
      <c r="H528" s="65" t="inlineStr">
        <is>
          <t>CACCIA</t>
        </is>
      </c>
      <c r="I528" s="65" t="n">
        <v>11275</v>
      </c>
      <c r="J528" s="65" t="inlineStr">
        <is>
          <t>N/D</t>
        </is>
      </c>
      <c r="K528" s="65" t="inlineStr">
        <is>
          <t>N/D</t>
        </is>
      </c>
      <c r="L528" s="127" t="inlineStr">
        <is>
          <t>ANTONIONI SPORT CACCIA E PESCA SRLS</t>
        </is>
      </c>
      <c r="M528" s="5" t="n">
        <v>25</v>
      </c>
      <c r="N528" s="5" t="n"/>
      <c r="O528" s="5">
        <f>+M528+N528</f>
        <v/>
      </c>
      <c r="P528" s="4" t="n"/>
      <c r="Q528" s="87" t="n"/>
      <c r="R528" s="5" t="n">
        <v>29</v>
      </c>
      <c r="S528" s="2" t="n">
        <v>1</v>
      </c>
      <c r="T528" s="3" t="inlineStr">
        <is>
          <t>CA42796IR</t>
        </is>
      </c>
      <c r="U528" s="87" t="n">
        <v>45821</v>
      </c>
      <c r="V528" s="3" t="inlineStr">
        <is>
          <t>13</t>
        </is>
      </c>
      <c r="W528" s="108" t="n">
        <v>45821</v>
      </c>
      <c r="X528" s="4" t="inlineStr">
        <is>
          <t>PHILIPPOS COSTANTINIDES TRADING CO. LTD</t>
        </is>
      </c>
    </row>
    <row r="529" ht="24" customHeight="1">
      <c r="A529" s="2">
        <f>+D529-S529</f>
        <v/>
      </c>
      <c r="B529" s="80" t="n"/>
      <c r="C529" s="70" t="n">
        <v>45483</v>
      </c>
      <c r="D529" s="2" t="n">
        <v>1</v>
      </c>
      <c r="E529" s="3" t="inlineStr">
        <is>
          <t>FUCILE DOPPIETTA</t>
        </is>
      </c>
      <c r="F529" s="3" t="n">
        <v>12</v>
      </c>
      <c r="G529" s="3" t="inlineStr">
        <is>
          <t>ARTIGIANA</t>
        </is>
      </c>
      <c r="H529" s="65" t="inlineStr">
        <is>
          <t>CACCIA</t>
        </is>
      </c>
      <c r="I529" s="65" t="n">
        <v>8181</v>
      </c>
      <c r="J529" s="65" t="inlineStr">
        <is>
          <t>N/D</t>
        </is>
      </c>
      <c r="K529" s="65" t="inlineStr">
        <is>
          <t>N/D</t>
        </is>
      </c>
      <c r="L529" s="127" t="inlineStr">
        <is>
          <t>ANTONIONI SPORT CACCIA E PESCA SRLS</t>
        </is>
      </c>
      <c r="M529" s="5" t="n">
        <v>25</v>
      </c>
      <c r="N529" s="5" t="n"/>
      <c r="O529" s="5">
        <f>+M529+N529</f>
        <v/>
      </c>
      <c r="P529" s="4" t="n"/>
      <c r="Q529" s="87" t="n"/>
      <c r="R529" s="5" t="n">
        <v>29</v>
      </c>
      <c r="S529" s="2" t="n">
        <v>1</v>
      </c>
      <c r="T529" s="3" t="inlineStr">
        <is>
          <t>CA42796IR</t>
        </is>
      </c>
      <c r="U529" s="87" t="n">
        <v>45821</v>
      </c>
      <c r="V529" s="3" t="inlineStr">
        <is>
          <t>12</t>
        </is>
      </c>
      <c r="W529" s="108" t="n">
        <v>45821</v>
      </c>
      <c r="X529" s="4" t="inlineStr">
        <is>
          <t>PHILIPPOS COSTANTINIDES TRADING CO. LTD</t>
        </is>
      </c>
    </row>
    <row r="530" ht="24" customHeight="1">
      <c r="A530" s="2">
        <f>+D530-S530</f>
        <v/>
      </c>
      <c r="B530" s="80" t="n"/>
      <c r="C530" s="70" t="n">
        <v>45483</v>
      </c>
      <c r="D530" s="2" t="n">
        <v>1</v>
      </c>
      <c r="E530" s="3" t="inlineStr">
        <is>
          <t>FUCILE DOPPIETTA</t>
        </is>
      </c>
      <c r="F530" s="3" t="n">
        <v>12</v>
      </c>
      <c r="G530" s="3" t="inlineStr">
        <is>
          <t>ARTIGIANA</t>
        </is>
      </c>
      <c r="H530" s="65" t="inlineStr">
        <is>
          <t>CACCIA</t>
        </is>
      </c>
      <c r="I530" s="65" t="n">
        <v>10532</v>
      </c>
      <c r="J530" s="65" t="inlineStr">
        <is>
          <t>N/D</t>
        </is>
      </c>
      <c r="K530" s="65" t="inlineStr">
        <is>
          <t>N/D</t>
        </is>
      </c>
      <c r="L530" s="127" t="inlineStr">
        <is>
          <t>ANTONIONI SPORT CACCIA E PESCA SRLS</t>
        </is>
      </c>
      <c r="M530" s="5" t="n">
        <v>25</v>
      </c>
      <c r="N530" s="5" t="n"/>
      <c r="O530" s="5">
        <f>+M530+N530</f>
        <v/>
      </c>
      <c r="P530" s="4" t="n"/>
      <c r="Q530" s="87" t="n"/>
      <c r="R530" s="5" t="n">
        <v>29</v>
      </c>
      <c r="S530" s="2" t="n">
        <v>1</v>
      </c>
      <c r="T530" s="3" t="inlineStr">
        <is>
          <t>CA42796IR</t>
        </is>
      </c>
      <c r="U530" s="87" t="n">
        <v>45821</v>
      </c>
      <c r="V530" s="3" t="inlineStr">
        <is>
          <t>12</t>
        </is>
      </c>
      <c r="W530" s="108" t="n">
        <v>45821</v>
      </c>
      <c r="X530" s="4" t="inlineStr">
        <is>
          <t>PHILIPPOS COSTANTINIDES TRADING CO. LTD</t>
        </is>
      </c>
    </row>
    <row r="531" ht="24" customHeight="1">
      <c r="A531" s="2">
        <f>+D531-S531</f>
        <v/>
      </c>
      <c r="B531" s="80" t="n"/>
      <c r="C531" s="70" t="n">
        <v>45483</v>
      </c>
      <c r="D531" s="2" t="n">
        <v>1</v>
      </c>
      <c r="E531" s="3" t="inlineStr">
        <is>
          <t>FUCILE DOPPIETTA</t>
        </is>
      </c>
      <c r="F531" s="3" t="n">
        <v>12</v>
      </c>
      <c r="G531" s="3" t="inlineStr">
        <is>
          <t>ARTIGIANA</t>
        </is>
      </c>
      <c r="H531" s="65" t="inlineStr">
        <is>
          <t>CACCIA</t>
        </is>
      </c>
      <c r="I531" s="65" t="n">
        <v>5692</v>
      </c>
      <c r="J531" s="65" t="inlineStr">
        <is>
          <t>N/D</t>
        </is>
      </c>
      <c r="K531" s="65" t="inlineStr">
        <is>
          <t>N/D</t>
        </is>
      </c>
      <c r="L531" s="127" t="inlineStr">
        <is>
          <t>ANTONIONI SPORT CACCIA E PESCA SRLS</t>
        </is>
      </c>
      <c r="M531" s="5" t="n">
        <v>25</v>
      </c>
      <c r="N531" s="5" t="n"/>
      <c r="O531" s="5">
        <f>+M531+N531</f>
        <v/>
      </c>
      <c r="P531" s="4" t="n"/>
      <c r="Q531" s="87" t="n"/>
      <c r="R531" s="5" t="n">
        <v>29</v>
      </c>
      <c r="S531" s="2" t="n">
        <v>1</v>
      </c>
      <c r="T531" s="3" t="inlineStr">
        <is>
          <t>CA42796IR</t>
        </is>
      </c>
      <c r="U531" s="87" t="n">
        <v>45821</v>
      </c>
      <c r="V531" s="3" t="inlineStr">
        <is>
          <t>12</t>
        </is>
      </c>
      <c r="W531" s="108" t="n">
        <v>45821</v>
      </c>
      <c r="X531" s="4" t="inlineStr">
        <is>
          <t>PHILIPPOS COSTANTINIDES TRADING CO. LTD</t>
        </is>
      </c>
    </row>
    <row r="532" ht="24" customHeight="1">
      <c r="A532" s="2">
        <f>+D532-S532</f>
        <v/>
      </c>
      <c r="B532" s="80" t="n"/>
      <c r="C532" s="70" t="n">
        <v>45483</v>
      </c>
      <c r="D532" s="2" t="n">
        <v>1</v>
      </c>
      <c r="E532" s="3" t="inlineStr">
        <is>
          <t>FUCILE DOPPIETTA</t>
        </is>
      </c>
      <c r="F532" s="3" t="n">
        <v>12</v>
      </c>
      <c r="G532" s="3" t="inlineStr">
        <is>
          <t xml:space="preserve">GITTI </t>
        </is>
      </c>
      <c r="H532" s="65" t="inlineStr">
        <is>
          <t>CACCIA</t>
        </is>
      </c>
      <c r="I532" s="65" t="n">
        <v>20392</v>
      </c>
      <c r="J532" s="65" t="inlineStr">
        <is>
          <t>N/D</t>
        </is>
      </c>
      <c r="K532" s="65" t="inlineStr">
        <is>
          <t>N/D</t>
        </is>
      </c>
      <c r="L532" s="127" t="inlineStr">
        <is>
          <t>ANTONIONI SPORT CACCIA E PESCA SRLS</t>
        </is>
      </c>
      <c r="M532" s="5" t="n">
        <v>25</v>
      </c>
      <c r="N532" s="5" t="n"/>
      <c r="O532" s="5">
        <f>+M532+N532</f>
        <v/>
      </c>
      <c r="P532" s="4" t="n"/>
      <c r="Q532" s="87" t="n"/>
      <c r="R532" s="5" t="n">
        <v>29</v>
      </c>
      <c r="S532" s="2" t="n">
        <v>1</v>
      </c>
      <c r="T532" s="3" t="inlineStr">
        <is>
          <t>CA42796IR</t>
        </is>
      </c>
      <c r="U532" s="87" t="n">
        <v>45821</v>
      </c>
      <c r="V532" s="3" t="inlineStr">
        <is>
          <t>16</t>
        </is>
      </c>
      <c r="W532" s="108" t="n">
        <v>45821</v>
      </c>
      <c r="X532" s="4" t="inlineStr">
        <is>
          <t>PHILIPPOS COSTANTINIDES TRADING CO. LTD</t>
        </is>
      </c>
    </row>
    <row r="533" ht="24" customHeight="1">
      <c r="A533" s="2">
        <f>+D533-S533</f>
        <v/>
      </c>
      <c r="B533" s="80" t="n"/>
      <c r="C533" s="70" t="n">
        <v>45483</v>
      </c>
      <c r="D533" s="2" t="n">
        <v>1</v>
      </c>
      <c r="E533" s="3" t="inlineStr">
        <is>
          <t>FUCILE DOPPIETTA</t>
        </is>
      </c>
      <c r="F533" s="3" t="n">
        <v>12</v>
      </c>
      <c r="G533" s="3" t="inlineStr">
        <is>
          <t>BERETTA</t>
        </is>
      </c>
      <c r="H533" s="65" t="inlineStr">
        <is>
          <t>CACCIA</t>
        </is>
      </c>
      <c r="I533" s="65" t="n">
        <v>91999</v>
      </c>
      <c r="J533" s="65" t="inlineStr">
        <is>
          <t>N/D</t>
        </is>
      </c>
      <c r="K533" s="65" t="inlineStr">
        <is>
          <t>N/D</t>
        </is>
      </c>
      <c r="L533" s="127" t="inlineStr">
        <is>
          <t>ANTONIONI SPORT CACCIA E PESCA SRLS</t>
        </is>
      </c>
      <c r="M533" s="5" t="n">
        <v>25</v>
      </c>
      <c r="N533" s="5" t="n"/>
      <c r="O533" s="5">
        <f>+M533+N533</f>
        <v/>
      </c>
      <c r="P533" s="4" t="n"/>
      <c r="Q533" s="87" t="n"/>
      <c r="R533" s="5" t="n">
        <v>29</v>
      </c>
      <c r="S533" s="2" t="n">
        <v>1</v>
      </c>
      <c r="T533" s="3" t="inlineStr">
        <is>
          <t>CA42796IR</t>
        </is>
      </c>
      <c r="U533" s="87" t="n">
        <v>45821</v>
      </c>
      <c r="V533" s="3" t="inlineStr">
        <is>
          <t>12</t>
        </is>
      </c>
      <c r="W533" s="108" t="n">
        <v>45821</v>
      </c>
      <c r="X533" s="4" t="inlineStr">
        <is>
          <t>PHILIPPOS COSTANTINIDES TRADING CO. LTD</t>
        </is>
      </c>
    </row>
    <row r="534" ht="24" customHeight="1">
      <c r="A534" s="2">
        <f>+D534-S534</f>
        <v/>
      </c>
      <c r="B534" s="80" t="n"/>
      <c r="C534" s="70" t="n">
        <v>45483</v>
      </c>
      <c r="D534" s="2" t="n">
        <v>1</v>
      </c>
      <c r="E534" s="3" t="inlineStr">
        <is>
          <t>FUCILE DOPPIETTA</t>
        </is>
      </c>
      <c r="F534" s="3" t="n">
        <v>12</v>
      </c>
      <c r="G534" s="3" t="inlineStr">
        <is>
          <t>BERETTA</t>
        </is>
      </c>
      <c r="H534" s="65" t="inlineStr">
        <is>
          <t>CACCIA</t>
        </is>
      </c>
      <c r="I534" s="65" t="n">
        <v>628</v>
      </c>
      <c r="J534" s="65" t="inlineStr">
        <is>
          <t>N/D</t>
        </is>
      </c>
      <c r="K534" s="65" t="inlineStr">
        <is>
          <t>N/D</t>
        </is>
      </c>
      <c r="L534" s="127" t="inlineStr">
        <is>
          <t>ANTONIONI SPORT CACCIA E PESCA SRLS</t>
        </is>
      </c>
      <c r="M534" s="5" t="n">
        <v>25</v>
      </c>
      <c r="N534" s="5" t="n"/>
      <c r="O534" s="5">
        <f>+M534+N534</f>
        <v/>
      </c>
      <c r="P534" s="4" t="n"/>
      <c r="Q534" s="87" t="n"/>
      <c r="R534" s="5" t="n">
        <v>29</v>
      </c>
      <c r="S534" s="2" t="n">
        <v>1</v>
      </c>
      <c r="T534" s="3" t="inlineStr">
        <is>
          <t>CA42796IR</t>
        </is>
      </c>
      <c r="U534" s="87" t="n">
        <v>45821</v>
      </c>
      <c r="V534" s="3" t="inlineStr">
        <is>
          <t>12</t>
        </is>
      </c>
      <c r="W534" s="108" t="n">
        <v>45821</v>
      </c>
      <c r="X534" s="4" t="inlineStr">
        <is>
          <t>PHILIPPOS COSTANTINIDES TRADING CO. LTD</t>
        </is>
      </c>
    </row>
    <row r="535" ht="24" customHeight="1">
      <c r="A535" s="2">
        <f>+D535-S535</f>
        <v/>
      </c>
      <c r="B535" s="80" t="n"/>
      <c r="C535" s="70" t="n">
        <v>45483</v>
      </c>
      <c r="D535" s="2" t="n">
        <v>1</v>
      </c>
      <c r="E535" s="3" t="inlineStr">
        <is>
          <t>FUCILE DOPPIETTA</t>
        </is>
      </c>
      <c r="F535" s="3" t="n">
        <v>16</v>
      </c>
      <c r="G535" s="3" t="inlineStr">
        <is>
          <t>ARTIGIANA</t>
        </is>
      </c>
      <c r="H535" s="65" t="inlineStr">
        <is>
          <t>CACCIA</t>
        </is>
      </c>
      <c r="I535" s="65" t="n">
        <v>89</v>
      </c>
      <c r="J535" s="65" t="inlineStr">
        <is>
          <t>N/D</t>
        </is>
      </c>
      <c r="K535" s="65" t="inlineStr">
        <is>
          <t>N/D</t>
        </is>
      </c>
      <c r="L535" s="127" t="inlineStr">
        <is>
          <t>ANTONIONI SPORT CACCIA E PESCA SRLS</t>
        </is>
      </c>
      <c r="M535" s="5" t="n">
        <v>25</v>
      </c>
      <c r="N535" s="5" t="n"/>
      <c r="O535" s="5">
        <f>+M535+N535</f>
        <v/>
      </c>
      <c r="P535" s="4" t="n"/>
      <c r="Q535" s="87" t="n"/>
      <c r="R535" s="5" t="n">
        <v>29</v>
      </c>
      <c r="S535" s="2" t="n">
        <v>1</v>
      </c>
      <c r="T535" s="3" t="inlineStr">
        <is>
          <t>CA42796IR</t>
        </is>
      </c>
      <c r="U535" s="87" t="n">
        <v>45821</v>
      </c>
      <c r="V535" s="3" t="inlineStr">
        <is>
          <t>12</t>
        </is>
      </c>
      <c r="W535" s="108" t="n">
        <v>45821</v>
      </c>
      <c r="X535" s="4" t="inlineStr">
        <is>
          <t>PHILIPPOS COSTANTINIDES TRADING CO. LTD</t>
        </is>
      </c>
    </row>
    <row r="536" ht="24" customHeight="1">
      <c r="A536" s="2">
        <f>+D536-S536</f>
        <v/>
      </c>
      <c r="B536" s="80" t="n"/>
      <c r="C536" s="70" t="n">
        <v>45483</v>
      </c>
      <c r="D536" s="2" t="n">
        <v>1</v>
      </c>
      <c r="E536" s="3" t="inlineStr">
        <is>
          <t>FUCILE DOPPIETTA</t>
        </is>
      </c>
      <c r="F536" s="3" t="n">
        <v>12</v>
      </c>
      <c r="G536" s="3" t="inlineStr">
        <is>
          <t>ARTIGIANA</t>
        </is>
      </c>
      <c r="H536" s="65" t="inlineStr">
        <is>
          <t>CACCIA</t>
        </is>
      </c>
      <c r="I536" s="65" t="n">
        <v>4011</v>
      </c>
      <c r="J536" s="65" t="inlineStr">
        <is>
          <t>N/D</t>
        </is>
      </c>
      <c r="K536" s="65" t="inlineStr">
        <is>
          <t>N/D</t>
        </is>
      </c>
      <c r="L536" s="127" t="inlineStr">
        <is>
          <t>ANTONIONI SPORT CACCIA E PESCA SRLS</t>
        </is>
      </c>
      <c r="M536" s="5" t="n">
        <v>25</v>
      </c>
      <c r="N536" s="5" t="n"/>
      <c r="O536" s="5">
        <f>+M536+N536</f>
        <v/>
      </c>
      <c r="P536" s="4" t="n"/>
      <c r="Q536" s="87" t="n"/>
      <c r="R536" s="5" t="n">
        <v>29</v>
      </c>
      <c r="S536" s="2" t="n">
        <v>1</v>
      </c>
      <c r="T536" s="3" t="inlineStr">
        <is>
          <t>CA42796IR</t>
        </is>
      </c>
      <c r="U536" s="87" t="n">
        <v>45821</v>
      </c>
      <c r="V536" s="3" t="inlineStr">
        <is>
          <t>12</t>
        </is>
      </c>
      <c r="W536" s="108" t="n">
        <v>45821</v>
      </c>
      <c r="X536" s="4" t="inlineStr">
        <is>
          <t>PHILIPPOS COSTANTINIDES TRADING CO. LTD</t>
        </is>
      </c>
    </row>
    <row r="537" ht="24" customHeight="1">
      <c r="A537" s="2">
        <f>+D537-S537</f>
        <v/>
      </c>
      <c r="B537" s="80" t="n"/>
      <c r="C537" s="70" t="n">
        <v>45483</v>
      </c>
      <c r="D537" s="2" t="n">
        <v>1</v>
      </c>
      <c r="E537" s="3" t="inlineStr">
        <is>
          <t>FUCILE DOPPIETTA</t>
        </is>
      </c>
      <c r="F537" s="3" t="n">
        <v>12</v>
      </c>
      <c r="G537" s="3" t="inlineStr">
        <is>
          <t>BERNARDELLI</t>
        </is>
      </c>
      <c r="H537" s="65" t="inlineStr">
        <is>
          <t>CACCIA</t>
        </is>
      </c>
      <c r="I537" s="65" t="n">
        <v>11365</v>
      </c>
      <c r="J537" s="65" t="inlineStr">
        <is>
          <t>N/D</t>
        </is>
      </c>
      <c r="K537" s="65" t="inlineStr">
        <is>
          <t>N/D</t>
        </is>
      </c>
      <c r="L537" s="127" t="inlineStr">
        <is>
          <t>ANTONIONI SPORT CACCIA E PESCA SRLS</t>
        </is>
      </c>
      <c r="M537" s="5" t="n">
        <v>25</v>
      </c>
      <c r="N537" s="5" t="n"/>
      <c r="O537" s="5">
        <f>+M537+N537</f>
        <v/>
      </c>
      <c r="P537" s="4" t="n"/>
      <c r="Q537" s="87" t="n"/>
      <c r="R537" s="5" t="n">
        <v>29</v>
      </c>
      <c r="S537" s="2" t="n">
        <v>1</v>
      </c>
      <c r="T537" s="3" t="inlineStr">
        <is>
          <t>CA42796IR</t>
        </is>
      </c>
      <c r="U537" s="87" t="n">
        <v>45821</v>
      </c>
      <c r="V537" s="3" t="inlineStr">
        <is>
          <t>13</t>
        </is>
      </c>
      <c r="W537" s="108" t="n">
        <v>45821</v>
      </c>
      <c r="X537" s="4" t="inlineStr">
        <is>
          <t>PHILIPPOS COSTANTINIDES TRADING CO. LTD</t>
        </is>
      </c>
    </row>
    <row r="538" ht="24" customHeight="1">
      <c r="A538" s="2">
        <f>+D538-S538</f>
        <v/>
      </c>
      <c r="B538" s="80" t="n"/>
      <c r="C538" s="70" t="n">
        <v>45483</v>
      </c>
      <c r="D538" s="2" t="n">
        <v>1</v>
      </c>
      <c r="E538" s="3" t="inlineStr">
        <is>
          <t>FUCILE DOPPIETTA</t>
        </is>
      </c>
      <c r="F538" s="3" t="n">
        <v>12</v>
      </c>
      <c r="G538" s="3" t="inlineStr">
        <is>
          <t>ARTIGIANA</t>
        </is>
      </c>
      <c r="H538" s="65" t="inlineStr">
        <is>
          <t>CACCIA</t>
        </is>
      </c>
      <c r="I538" s="65" t="n">
        <v>10456</v>
      </c>
      <c r="J538" s="65" t="inlineStr">
        <is>
          <t>N/D</t>
        </is>
      </c>
      <c r="K538" s="65" t="inlineStr">
        <is>
          <t>N/D</t>
        </is>
      </c>
      <c r="L538" s="127" t="inlineStr">
        <is>
          <t>ANTONIONI SPORT CACCIA E PESCA SRLS</t>
        </is>
      </c>
      <c r="M538" s="5" t="n">
        <v>25</v>
      </c>
      <c r="N538" s="5" t="n"/>
      <c r="O538" s="5">
        <f>+M538+N538</f>
        <v/>
      </c>
      <c r="P538" s="4" t="n"/>
      <c r="Q538" s="87" t="n"/>
      <c r="R538" s="5" t="n">
        <v>29</v>
      </c>
      <c r="S538" s="2" t="n">
        <v>1</v>
      </c>
      <c r="T538" s="3" t="inlineStr">
        <is>
          <t>CA42796IR</t>
        </is>
      </c>
      <c r="U538" s="87" t="n">
        <v>45821</v>
      </c>
      <c r="V538" s="3" t="inlineStr">
        <is>
          <t>12</t>
        </is>
      </c>
      <c r="W538" s="108" t="n">
        <v>45821</v>
      </c>
      <c r="X538" s="4" t="inlineStr">
        <is>
          <t>PHILIPPOS COSTANTINIDES TRADING CO. LTD</t>
        </is>
      </c>
    </row>
    <row r="539" ht="24" customHeight="1">
      <c r="A539" s="2">
        <f>+D539-S539</f>
        <v/>
      </c>
      <c r="B539" s="80" t="n"/>
      <c r="C539" s="70" t="n">
        <v>45483</v>
      </c>
      <c r="D539" s="2" t="n">
        <v>1</v>
      </c>
      <c r="E539" s="3" t="inlineStr">
        <is>
          <t>FUCILE DOPPIETTA</t>
        </is>
      </c>
      <c r="F539" s="3" t="n">
        <v>16</v>
      </c>
      <c r="G539" s="3" t="inlineStr">
        <is>
          <t>ARTIGIANA</t>
        </is>
      </c>
      <c r="H539" s="65" t="inlineStr">
        <is>
          <t>CACCIA</t>
        </is>
      </c>
      <c r="I539" s="65" t="n">
        <v>10752</v>
      </c>
      <c r="J539" s="65" t="inlineStr">
        <is>
          <t>N/D</t>
        </is>
      </c>
      <c r="K539" s="65" t="inlineStr">
        <is>
          <t>N/D</t>
        </is>
      </c>
      <c r="L539" s="127" t="inlineStr">
        <is>
          <t>ANTONIONI SPORT CACCIA E PESCA SRLS</t>
        </is>
      </c>
      <c r="M539" s="5" t="n">
        <v>25</v>
      </c>
      <c r="N539" s="5" t="n"/>
      <c r="O539" s="5">
        <f>+M539+N539</f>
        <v/>
      </c>
      <c r="P539" s="4" t="n"/>
      <c r="Q539" s="87" t="n"/>
      <c r="R539" s="5" t="n">
        <v>29</v>
      </c>
      <c r="S539" s="2" t="n">
        <v>1</v>
      </c>
      <c r="T539" s="3" t="inlineStr">
        <is>
          <t>CA42796IR</t>
        </is>
      </c>
      <c r="U539" s="87" t="n">
        <v>45821</v>
      </c>
      <c r="V539" s="3" t="inlineStr">
        <is>
          <t>12</t>
        </is>
      </c>
      <c r="W539" s="108" t="n">
        <v>45821</v>
      </c>
      <c r="X539" s="4" t="inlineStr">
        <is>
          <t>PHILIPPOS COSTANTINIDES TRADING CO. LTD</t>
        </is>
      </c>
    </row>
    <row r="540" ht="24" customHeight="1">
      <c r="A540" s="2">
        <f>+D540-S540</f>
        <v/>
      </c>
      <c r="B540" s="80" t="n"/>
      <c r="C540" s="70" t="n">
        <v>45483</v>
      </c>
      <c r="D540" s="2" t="n">
        <v>1</v>
      </c>
      <c r="E540" s="3" t="inlineStr">
        <is>
          <t>FUCILE DOPPIETTA</t>
        </is>
      </c>
      <c r="F540" s="3" t="n">
        <v>12</v>
      </c>
      <c r="G540" s="3" t="inlineStr">
        <is>
          <t>MAFFI</t>
        </is>
      </c>
      <c r="H540" s="65" t="inlineStr">
        <is>
          <t>CACCIA</t>
        </is>
      </c>
      <c r="I540" s="65" t="n">
        <v>1094</v>
      </c>
      <c r="J540" s="65" t="inlineStr">
        <is>
          <t>N/D</t>
        </is>
      </c>
      <c r="K540" s="65" t="inlineStr">
        <is>
          <t>N/D</t>
        </is>
      </c>
      <c r="L540" s="127" t="inlineStr">
        <is>
          <t>ANTONIONI SPORT CACCIA E PESCA SRLS</t>
        </is>
      </c>
      <c r="M540" s="5" t="n">
        <v>25</v>
      </c>
      <c r="N540" s="5" t="n"/>
      <c r="O540" s="5">
        <f>+M540+N540</f>
        <v/>
      </c>
      <c r="P540" s="4" t="n"/>
      <c r="Q540" s="87" t="n"/>
      <c r="R540" s="5" t="n">
        <v>29</v>
      </c>
      <c r="S540" s="2" t="n">
        <v>1</v>
      </c>
      <c r="T540" s="3" t="inlineStr">
        <is>
          <t>CA42796IR</t>
        </is>
      </c>
      <c r="U540" s="87" t="n">
        <v>45821</v>
      </c>
      <c r="V540" s="3" t="inlineStr">
        <is>
          <t>15</t>
        </is>
      </c>
      <c r="W540" s="108" t="n">
        <v>45821</v>
      </c>
      <c r="X540" s="4" t="inlineStr">
        <is>
          <t>PHILIPPOS COSTANTINIDES TRADING CO. LTD</t>
        </is>
      </c>
    </row>
    <row r="541" ht="24" customHeight="1">
      <c r="A541" s="2">
        <f>+D541-S541</f>
        <v/>
      </c>
      <c r="B541" s="80" t="n"/>
      <c r="C541" s="70" t="n">
        <v>45483</v>
      </c>
      <c r="D541" s="2" t="n">
        <v>1</v>
      </c>
      <c r="E541" s="3" t="inlineStr">
        <is>
          <t>FUCILE DOPPIETTA</t>
        </is>
      </c>
      <c r="F541" s="3" t="n">
        <v>12</v>
      </c>
      <c r="G541" s="3" t="inlineStr">
        <is>
          <t>ARTIGIANA</t>
        </is>
      </c>
      <c r="H541" s="65" t="inlineStr">
        <is>
          <t>CACCIA</t>
        </is>
      </c>
      <c r="I541" s="65" t="n">
        <v>22632</v>
      </c>
      <c r="J541" s="65" t="inlineStr">
        <is>
          <t>N/D</t>
        </is>
      </c>
      <c r="K541" s="65" t="inlineStr">
        <is>
          <t>N/D</t>
        </is>
      </c>
      <c r="L541" s="127" t="inlineStr">
        <is>
          <t>ANTONIONI SPORT CACCIA E PESCA SRLS</t>
        </is>
      </c>
      <c r="M541" s="5" t="n">
        <v>25</v>
      </c>
      <c r="N541" s="5" t="n"/>
      <c r="O541" s="5">
        <f>+M541+N541</f>
        <v/>
      </c>
      <c r="P541" s="4" t="n"/>
      <c r="Q541" s="87" t="n"/>
      <c r="R541" s="5" t="n">
        <v>29</v>
      </c>
      <c r="S541" s="2" t="n">
        <v>1</v>
      </c>
      <c r="T541" s="3" t="inlineStr">
        <is>
          <t>CA42796IR</t>
        </is>
      </c>
      <c r="U541" s="87" t="n">
        <v>45821</v>
      </c>
      <c r="V541" s="3" t="inlineStr">
        <is>
          <t>12</t>
        </is>
      </c>
      <c r="W541" s="108" t="n">
        <v>45821</v>
      </c>
      <c r="X541" s="4" t="inlineStr">
        <is>
          <t>PHILIPPOS COSTANTINIDES TRADING CO. LTD</t>
        </is>
      </c>
    </row>
    <row r="542" ht="24" customHeight="1">
      <c r="A542" s="2">
        <f>+D542-S542</f>
        <v/>
      </c>
      <c r="B542" s="80" t="n"/>
      <c r="C542" s="70" t="n">
        <v>45483</v>
      </c>
      <c r="D542" s="2" t="n">
        <v>1</v>
      </c>
      <c r="E542" s="3" t="inlineStr">
        <is>
          <t>FUCILE DOPPIETTA</t>
        </is>
      </c>
      <c r="F542" s="3" t="n">
        <v>16</v>
      </c>
      <c r="G542" s="3" t="inlineStr">
        <is>
          <t>COCKERILL</t>
        </is>
      </c>
      <c r="H542" s="65" t="inlineStr">
        <is>
          <t>CACCIA</t>
        </is>
      </c>
      <c r="I542" s="65" t="n">
        <v>562</v>
      </c>
      <c r="J542" s="65" t="inlineStr">
        <is>
          <t>N/D</t>
        </is>
      </c>
      <c r="K542" s="65" t="inlineStr">
        <is>
          <t>N/D</t>
        </is>
      </c>
      <c r="L542" s="127" t="inlineStr">
        <is>
          <t>ANTONIONI SPORT CACCIA E PESCA SRLS</t>
        </is>
      </c>
      <c r="M542" s="5" t="n">
        <v>25</v>
      </c>
      <c r="N542" s="5" t="n"/>
      <c r="O542" s="5">
        <f>+M542+N542</f>
        <v/>
      </c>
      <c r="P542" s="4" t="n"/>
      <c r="Q542" s="87" t="n"/>
      <c r="R542" s="5" t="n">
        <v>29</v>
      </c>
      <c r="S542" s="2" t="n">
        <v>1</v>
      </c>
      <c r="T542" s="3" t="inlineStr">
        <is>
          <t>CA42796IR</t>
        </is>
      </c>
      <c r="U542" s="87" t="n">
        <v>45821</v>
      </c>
      <c r="V542" s="3" t="inlineStr">
        <is>
          <t>9</t>
        </is>
      </c>
      <c r="W542" s="108" t="n">
        <v>45821</v>
      </c>
      <c r="X542" s="4" t="inlineStr">
        <is>
          <t>PHILIPPOS COSTANTINIDES TRADING CO. LTD</t>
        </is>
      </c>
    </row>
    <row r="543" ht="24" customHeight="1">
      <c r="A543" s="2">
        <f>+D543-S543</f>
        <v/>
      </c>
      <c r="B543" s="80" t="n"/>
      <c r="C543" s="70" t="n">
        <v>45483</v>
      </c>
      <c r="D543" s="2" t="n">
        <v>1</v>
      </c>
      <c r="E543" s="3" t="inlineStr">
        <is>
          <t>FUCILE SOVRAPPOSTO</t>
        </is>
      </c>
      <c r="F543" s="3" t="n">
        <v>12</v>
      </c>
      <c r="G543" s="3" t="inlineStr">
        <is>
          <t>FRANCHI</t>
        </is>
      </c>
      <c r="H543" s="65" t="inlineStr">
        <is>
          <t>ALCIONE</t>
        </is>
      </c>
      <c r="I543" s="65" t="n">
        <v>78668</v>
      </c>
      <c r="J543" s="65" t="inlineStr">
        <is>
          <t>N/D</t>
        </is>
      </c>
      <c r="K543" s="65" t="inlineStr">
        <is>
          <t>N/D</t>
        </is>
      </c>
      <c r="L543" s="127" t="inlineStr">
        <is>
          <t>ANTONIONI SPORT CACCIA E PESCA SRLS</t>
        </is>
      </c>
      <c r="M543" s="5" t="n">
        <v>25</v>
      </c>
      <c r="N543" s="5" t="n"/>
      <c r="O543" s="5">
        <f>+M543+N543</f>
        <v/>
      </c>
      <c r="P543" s="4" t="n"/>
      <c r="Q543" s="87" t="n"/>
      <c r="R543" s="5" t="n">
        <v>29</v>
      </c>
      <c r="S543" s="2" t="n">
        <v>1</v>
      </c>
      <c r="T543" s="3" t="inlineStr">
        <is>
          <t>CA42796IR</t>
        </is>
      </c>
      <c r="U543" s="87" t="n">
        <v>45821</v>
      </c>
      <c r="V543" s="3" t="inlineStr">
        <is>
          <t>9</t>
        </is>
      </c>
      <c r="W543" s="108" t="n">
        <v>45821</v>
      </c>
      <c r="X543" s="4" t="inlineStr">
        <is>
          <t>PHILIPPOS COSTANTINIDES TRADING CO. LTD</t>
        </is>
      </c>
    </row>
    <row r="544" ht="24" customHeight="1">
      <c r="A544" s="2">
        <f>+D544-S544</f>
        <v/>
      </c>
      <c r="B544" s="80" t="n"/>
      <c r="C544" s="70" t="n">
        <v>45483</v>
      </c>
      <c r="D544" s="2" t="n">
        <v>1</v>
      </c>
      <c r="E544" s="3" t="inlineStr">
        <is>
          <t>FUCILE SOVRAPPOSTO</t>
        </is>
      </c>
      <c r="F544" s="3" t="n">
        <v>12</v>
      </c>
      <c r="G544" s="3" t="inlineStr">
        <is>
          <t>BERETTA</t>
        </is>
      </c>
      <c r="H544" s="65" t="inlineStr">
        <is>
          <t>S55</t>
        </is>
      </c>
      <c r="I544" s="65" t="n">
        <v>105917</v>
      </c>
      <c r="J544" s="65" t="inlineStr">
        <is>
          <t>N/D</t>
        </is>
      </c>
      <c r="K544" s="65" t="inlineStr">
        <is>
          <t>N/D</t>
        </is>
      </c>
      <c r="L544" s="127" t="inlineStr">
        <is>
          <t>ANTONIONI SPORT CACCIA E PESCA SRLS</t>
        </is>
      </c>
      <c r="M544" s="5" t="n">
        <v>25</v>
      </c>
      <c r="N544" s="5" t="n"/>
      <c r="O544" s="5">
        <f>+M544+N544</f>
        <v/>
      </c>
      <c r="P544" s="4" t="n"/>
      <c r="Q544" s="87" t="n"/>
      <c r="R544" s="5" t="n">
        <v>29</v>
      </c>
      <c r="S544" s="2" t="n">
        <v>1</v>
      </c>
      <c r="T544" s="3" t="inlineStr">
        <is>
          <t>CA42796IR</t>
        </is>
      </c>
      <c r="U544" s="87" t="n">
        <v>45821</v>
      </c>
      <c r="V544" s="3" t="inlineStr">
        <is>
          <t>9</t>
        </is>
      </c>
      <c r="W544" s="108" t="n">
        <v>45821</v>
      </c>
      <c r="X544" s="4" t="inlineStr">
        <is>
          <t>PHILIPPOS COSTANTINIDES TRADING CO. LTD</t>
        </is>
      </c>
    </row>
    <row r="545" ht="24" customHeight="1">
      <c r="A545" s="2">
        <f>+D545-S545</f>
        <v/>
      </c>
      <c r="B545" s="80" t="n"/>
      <c r="C545" s="70" t="n">
        <v>45483</v>
      </c>
      <c r="D545" s="2" t="n">
        <v>1</v>
      </c>
      <c r="E545" s="3" t="inlineStr">
        <is>
          <t>FUCILE SOVRAPPOSTO</t>
        </is>
      </c>
      <c r="F545" s="3" t="n">
        <v>12</v>
      </c>
      <c r="G545" s="3" t="inlineStr">
        <is>
          <t>BERETTA</t>
        </is>
      </c>
      <c r="H545" s="65" t="inlineStr">
        <is>
          <t>S55</t>
        </is>
      </c>
      <c r="I545" s="65" t="n">
        <v>93132</v>
      </c>
      <c r="J545" s="65" t="inlineStr">
        <is>
          <t>N/D</t>
        </is>
      </c>
      <c r="K545" s="65" t="inlineStr">
        <is>
          <t>N/D</t>
        </is>
      </c>
      <c r="L545" s="127" t="inlineStr">
        <is>
          <t>ANTONIONI SPORT CACCIA E PESCA SRLS</t>
        </is>
      </c>
      <c r="M545" s="5" t="n">
        <v>25</v>
      </c>
      <c r="N545" s="5" t="n"/>
      <c r="O545" s="5">
        <f>+M545+N545</f>
        <v/>
      </c>
      <c r="P545" s="4" t="n"/>
      <c r="Q545" s="87" t="n"/>
      <c r="R545" s="5" t="n">
        <v>29</v>
      </c>
      <c r="S545" s="2" t="n">
        <v>1</v>
      </c>
      <c r="T545" s="3" t="inlineStr">
        <is>
          <t>CA42796IR</t>
        </is>
      </c>
      <c r="U545" s="87" t="n">
        <v>45821</v>
      </c>
      <c r="V545" s="3" t="inlineStr">
        <is>
          <t>9</t>
        </is>
      </c>
      <c r="W545" s="108" t="n">
        <v>45821</v>
      </c>
      <c r="X545" s="4" t="inlineStr">
        <is>
          <t>PHILIPPOS COSTANTINIDES TRADING CO. LTD</t>
        </is>
      </c>
    </row>
    <row r="546" ht="24" customHeight="1">
      <c r="A546" s="2">
        <f>+D546-S546</f>
        <v/>
      </c>
      <c r="B546" s="80" t="n"/>
      <c r="C546" s="70" t="n">
        <v>45483</v>
      </c>
      <c r="D546" s="2" t="n">
        <v>1</v>
      </c>
      <c r="E546" s="3" t="inlineStr">
        <is>
          <t>FUCILE SOVRAPPOSTO</t>
        </is>
      </c>
      <c r="F546" s="3" t="n">
        <v>12</v>
      </c>
      <c r="G546" s="3" t="inlineStr">
        <is>
          <t>BASSOTTI</t>
        </is>
      </c>
      <c r="H546" s="65" t="inlineStr">
        <is>
          <t>CACCIA</t>
        </is>
      </c>
      <c r="I546" s="65" t="n">
        <v>1155</v>
      </c>
      <c r="J546" s="65" t="inlineStr">
        <is>
          <t>N/D</t>
        </is>
      </c>
      <c r="K546" s="65" t="inlineStr">
        <is>
          <t>N/D</t>
        </is>
      </c>
      <c r="L546" s="127" t="inlineStr">
        <is>
          <t>ANTONIONI SPORT CACCIA E PESCA SRLS</t>
        </is>
      </c>
      <c r="M546" s="5" t="n">
        <v>25</v>
      </c>
      <c r="N546" s="5" t="n"/>
      <c r="O546" s="5">
        <f>+M546+N546</f>
        <v/>
      </c>
      <c r="P546" s="4" t="n"/>
      <c r="Q546" s="87" t="n"/>
      <c r="R546" s="5" t="n">
        <v>29</v>
      </c>
      <c r="S546" s="2" t="n">
        <v>1</v>
      </c>
      <c r="T546" s="3" t="inlineStr">
        <is>
          <t>CA42796IR</t>
        </is>
      </c>
      <c r="U546" s="87" t="n">
        <v>45821</v>
      </c>
      <c r="V546" s="3" t="inlineStr">
        <is>
          <t>10</t>
        </is>
      </c>
      <c r="W546" s="108" t="n">
        <v>45821</v>
      </c>
      <c r="X546" s="4" t="inlineStr">
        <is>
          <t>PHILIPPOS COSTANTINIDES TRADING CO. LTD</t>
        </is>
      </c>
    </row>
    <row r="547" ht="24" customHeight="1">
      <c r="A547" s="2">
        <f>+D547-S547</f>
        <v/>
      </c>
      <c r="B547" s="80" t="n"/>
      <c r="C547" s="70" t="n">
        <v>45483</v>
      </c>
      <c r="D547" s="2" t="n">
        <v>1</v>
      </c>
      <c r="E547" s="3" t="inlineStr">
        <is>
          <t>FUCILE SOVRAPPOSTO</t>
        </is>
      </c>
      <c r="F547" s="3" t="n">
        <v>12</v>
      </c>
      <c r="G547" s="3" t="inlineStr">
        <is>
          <t>LUCCHINI</t>
        </is>
      </c>
      <c r="H547" s="65" t="inlineStr">
        <is>
          <t>CACCIA</t>
        </is>
      </c>
      <c r="I547" s="65" t="n">
        <v>16040</v>
      </c>
      <c r="J547" s="65" t="inlineStr">
        <is>
          <t>N/D</t>
        </is>
      </c>
      <c r="K547" s="65" t="inlineStr">
        <is>
          <t>N/D</t>
        </is>
      </c>
      <c r="L547" s="127" t="inlineStr">
        <is>
          <t>ANTONIONI SPORT CACCIA E PESCA SRLS</t>
        </is>
      </c>
      <c r="M547" s="5" t="n">
        <v>25</v>
      </c>
      <c r="N547" s="5" t="n"/>
      <c r="O547" s="5">
        <f>+M547+N547</f>
        <v/>
      </c>
      <c r="P547" s="4" t="n"/>
      <c r="Q547" s="87" t="n"/>
      <c r="R547" s="5" t="n">
        <v>29</v>
      </c>
      <c r="S547" s="2" t="n">
        <v>1</v>
      </c>
      <c r="T547" s="3" t="inlineStr">
        <is>
          <t>CA42796IR</t>
        </is>
      </c>
      <c r="U547" s="87" t="n">
        <v>45821</v>
      </c>
      <c r="V547" s="3" t="inlineStr">
        <is>
          <t>10</t>
        </is>
      </c>
      <c r="W547" s="108" t="n">
        <v>45821</v>
      </c>
      <c r="X547" s="4" t="inlineStr">
        <is>
          <t>PHILIPPOS COSTANTINIDES TRADING CO. LTD</t>
        </is>
      </c>
    </row>
    <row r="548" ht="24" customHeight="1">
      <c r="A548" s="2">
        <f>+D548-S548</f>
        <v/>
      </c>
      <c r="B548" s="80" t="n"/>
      <c r="C548" s="70" t="n">
        <v>45483</v>
      </c>
      <c r="D548" s="2" t="n">
        <v>1</v>
      </c>
      <c r="E548" s="3" t="inlineStr">
        <is>
          <t>FUCILE SOVRAPPOSTO</t>
        </is>
      </c>
      <c r="F548" s="3" t="n">
        <v>12</v>
      </c>
      <c r="G548" s="3" t="inlineStr">
        <is>
          <t>ARTIGIANA</t>
        </is>
      </c>
      <c r="H548" s="65" t="inlineStr">
        <is>
          <t>CACCIA</t>
        </is>
      </c>
      <c r="I548" s="65" t="n">
        <v>2091</v>
      </c>
      <c r="J548" s="65" t="inlineStr">
        <is>
          <t>N/D</t>
        </is>
      </c>
      <c r="K548" s="65" t="inlineStr">
        <is>
          <t>N/D</t>
        </is>
      </c>
      <c r="L548" s="127" t="inlineStr">
        <is>
          <t>ANTONIONI SPORT CACCIA E PESCA SRLS</t>
        </is>
      </c>
      <c r="M548" s="5" t="n">
        <v>25</v>
      </c>
      <c r="N548" s="5" t="n"/>
      <c r="O548" s="5">
        <f>+M548+N548</f>
        <v/>
      </c>
      <c r="P548" s="4" t="n"/>
      <c r="Q548" s="87" t="n"/>
      <c r="R548" s="5" t="n">
        <v>29</v>
      </c>
      <c r="S548" s="2" t="n">
        <v>1</v>
      </c>
      <c r="T548" s="3" t="inlineStr">
        <is>
          <t>CA42796IR</t>
        </is>
      </c>
      <c r="U548" s="87" t="n">
        <v>45821</v>
      </c>
      <c r="V548" s="3" t="inlineStr">
        <is>
          <t>10</t>
        </is>
      </c>
      <c r="W548" s="108" t="n">
        <v>45821</v>
      </c>
      <c r="X548" s="4" t="inlineStr">
        <is>
          <t>PHILIPPOS COSTANTINIDES TRADING CO. LTD</t>
        </is>
      </c>
    </row>
    <row r="549" ht="24" customHeight="1">
      <c r="A549" s="2">
        <f>+D549-S549</f>
        <v/>
      </c>
      <c r="B549" s="80" t="n"/>
      <c r="C549" s="70" t="n">
        <v>45483</v>
      </c>
      <c r="D549" s="2" t="n">
        <v>1</v>
      </c>
      <c r="E549" s="3" t="inlineStr">
        <is>
          <t>FUCILE SOVRAPPOSTO</t>
        </is>
      </c>
      <c r="F549" s="3" t="n">
        <v>12</v>
      </c>
      <c r="G549" s="3" t="inlineStr">
        <is>
          <t>ARTIGIANA</t>
        </is>
      </c>
      <c r="H549" s="65" t="inlineStr">
        <is>
          <t>CACCIA</t>
        </is>
      </c>
      <c r="I549" s="65" t="n">
        <v>4036</v>
      </c>
      <c r="J549" s="65" t="inlineStr">
        <is>
          <t>N/D</t>
        </is>
      </c>
      <c r="K549" s="65" t="inlineStr">
        <is>
          <t>N/D</t>
        </is>
      </c>
      <c r="L549" s="127" t="inlineStr">
        <is>
          <t>ANTONIONI SPORT CACCIA E PESCA SRLS</t>
        </is>
      </c>
      <c r="M549" s="5" t="n">
        <v>25</v>
      </c>
      <c r="N549" s="5" t="n"/>
      <c r="O549" s="5">
        <f>+M549+N549</f>
        <v/>
      </c>
      <c r="P549" s="4" t="n"/>
      <c r="Q549" s="87" t="n"/>
      <c r="R549" s="5" t="n">
        <v>29</v>
      </c>
      <c r="S549" s="2" t="n">
        <v>1</v>
      </c>
      <c r="T549" s="3" t="inlineStr">
        <is>
          <t>CA42796IR</t>
        </is>
      </c>
      <c r="U549" s="87" t="n">
        <v>45821</v>
      </c>
      <c r="V549" s="3" t="inlineStr">
        <is>
          <t>10</t>
        </is>
      </c>
      <c r="W549" s="108" t="n">
        <v>45821</v>
      </c>
      <c r="X549" s="4" t="inlineStr">
        <is>
          <t>PHILIPPOS COSTANTINIDES TRADING CO. LTD</t>
        </is>
      </c>
    </row>
    <row r="550" ht="24" customHeight="1">
      <c r="A550" s="2">
        <f>+D550-S550</f>
        <v/>
      </c>
      <c r="B550" s="80" t="n"/>
      <c r="C550" s="70" t="n">
        <v>45483</v>
      </c>
      <c r="D550" s="2" t="n">
        <v>1</v>
      </c>
      <c r="E550" s="3" t="inlineStr">
        <is>
          <t>FUCILE SOVRAPPOSTO</t>
        </is>
      </c>
      <c r="F550" s="3" t="n">
        <v>12</v>
      </c>
      <c r="G550" s="3" t="inlineStr">
        <is>
          <t>BASSOTTI</t>
        </is>
      </c>
      <c r="H550" s="65" t="inlineStr">
        <is>
          <t>TRAP</t>
        </is>
      </c>
      <c r="I550" s="65" t="n">
        <v>724</v>
      </c>
      <c r="J550" s="65" t="inlineStr">
        <is>
          <t>N/D</t>
        </is>
      </c>
      <c r="K550" s="65" t="inlineStr">
        <is>
          <t>N/D</t>
        </is>
      </c>
      <c r="L550" s="127" t="inlineStr">
        <is>
          <t>ANTONIONI SPORT CACCIA E PESCA SRLS</t>
        </is>
      </c>
      <c r="M550" s="5" t="n">
        <v>25</v>
      </c>
      <c r="N550" s="5" t="n"/>
      <c r="O550" s="5">
        <f>+M550+N550</f>
        <v/>
      </c>
      <c r="P550" s="4" t="n"/>
      <c r="Q550" s="87" t="n"/>
      <c r="R550" s="5" t="n">
        <v>29</v>
      </c>
      <c r="S550" s="2" t="n">
        <v>1</v>
      </c>
      <c r="T550" s="3" t="inlineStr">
        <is>
          <t>CA42796IR</t>
        </is>
      </c>
      <c r="U550" s="87" t="n">
        <v>45821</v>
      </c>
      <c r="V550" s="3" t="inlineStr">
        <is>
          <t>10</t>
        </is>
      </c>
      <c r="W550" s="108" t="n">
        <v>45821</v>
      </c>
      <c r="X550" s="4" t="inlineStr">
        <is>
          <t>PHILIPPOS COSTANTINIDES TRADING CO. LTD</t>
        </is>
      </c>
    </row>
    <row r="551" ht="24" customHeight="1">
      <c r="A551" s="2">
        <f>+D551-S551</f>
        <v/>
      </c>
      <c r="B551" s="80" t="n"/>
      <c r="C551" s="70" t="n">
        <v>45483</v>
      </c>
      <c r="D551" s="2" t="n">
        <v>1</v>
      </c>
      <c r="E551" s="3" t="inlineStr">
        <is>
          <t>FUCILE SOVRAPPOSTO</t>
        </is>
      </c>
      <c r="F551" s="3" t="n">
        <v>12</v>
      </c>
      <c r="G551" s="3" t="inlineStr">
        <is>
          <t>FRANCHI</t>
        </is>
      </c>
      <c r="H551" s="65" t="inlineStr">
        <is>
          <t>ALCIONE</t>
        </is>
      </c>
      <c r="I551" s="65" t="n">
        <v>18527</v>
      </c>
      <c r="J551" s="65" t="inlineStr">
        <is>
          <t>N/D</t>
        </is>
      </c>
      <c r="K551" s="65" t="inlineStr">
        <is>
          <t>N/D</t>
        </is>
      </c>
      <c r="L551" s="127" t="inlineStr">
        <is>
          <t>ANTONIONI SPORT CACCIA E PESCA SRLS</t>
        </is>
      </c>
      <c r="M551" s="5" t="n">
        <v>25</v>
      </c>
      <c r="N551" s="5" t="n"/>
      <c r="O551" s="5">
        <f>+M551+N551</f>
        <v/>
      </c>
      <c r="P551" s="4" t="n"/>
      <c r="Q551" s="87" t="n"/>
      <c r="R551" s="5" t="n">
        <v>29</v>
      </c>
      <c r="S551" s="2" t="n">
        <v>1</v>
      </c>
      <c r="T551" s="3" t="inlineStr">
        <is>
          <t>CA42796IR</t>
        </is>
      </c>
      <c r="U551" s="87" t="n">
        <v>45821</v>
      </c>
      <c r="V551" s="3" t="inlineStr">
        <is>
          <t>9</t>
        </is>
      </c>
      <c r="W551" s="108" t="n">
        <v>45821</v>
      </c>
      <c r="X551" s="4" t="inlineStr">
        <is>
          <t>PHILIPPOS COSTANTINIDES TRADING CO. LTD</t>
        </is>
      </c>
    </row>
    <row r="552" ht="24" customHeight="1">
      <c r="A552" s="2">
        <f>+D552-S552</f>
        <v/>
      </c>
      <c r="B552" s="80" t="n"/>
      <c r="C552" s="70" t="n">
        <v>45483</v>
      </c>
      <c r="D552" s="2" t="n">
        <v>1</v>
      </c>
      <c r="E552" s="3" t="inlineStr">
        <is>
          <t>FUCILE SOVRAPPOSTO</t>
        </is>
      </c>
      <c r="F552" s="3" t="n">
        <v>12</v>
      </c>
      <c r="G552" s="3" t="inlineStr">
        <is>
          <t>BASSOTTI</t>
        </is>
      </c>
      <c r="H552" s="65" t="inlineStr">
        <is>
          <t>CACCIA</t>
        </is>
      </c>
      <c r="I552" s="65" t="n">
        <v>11448</v>
      </c>
      <c r="J552" s="65" t="inlineStr">
        <is>
          <t>N/D</t>
        </is>
      </c>
      <c r="K552" s="65" t="inlineStr">
        <is>
          <t>N/D</t>
        </is>
      </c>
      <c r="L552" s="127" t="inlineStr">
        <is>
          <t>ANTONIONI SPORT CACCIA E PESCA SRLS</t>
        </is>
      </c>
      <c r="M552" s="5" t="n">
        <v>25</v>
      </c>
      <c r="N552" s="5" t="n"/>
      <c r="O552" s="5">
        <f>+M552+N552</f>
        <v/>
      </c>
      <c r="P552" s="4" t="n"/>
      <c r="Q552" s="87" t="n"/>
      <c r="R552" s="5" t="n">
        <v>29</v>
      </c>
      <c r="S552" s="2" t="n">
        <v>1</v>
      </c>
      <c r="T552" s="3" t="inlineStr">
        <is>
          <t>CA42796IR</t>
        </is>
      </c>
      <c r="U552" s="87" t="n">
        <v>45821</v>
      </c>
      <c r="V552" s="3" t="inlineStr">
        <is>
          <t>10</t>
        </is>
      </c>
      <c r="W552" s="108" t="n">
        <v>45821</v>
      </c>
      <c r="X552" s="4" t="inlineStr">
        <is>
          <t>PHILIPPOS COSTANTINIDES TRADING CO. LTD</t>
        </is>
      </c>
    </row>
    <row r="553" ht="24" customHeight="1">
      <c r="A553" s="2">
        <f>+D553-S553</f>
        <v/>
      </c>
      <c r="B553" s="80" t="n"/>
      <c r="C553" s="70" t="n">
        <v>45483</v>
      </c>
      <c r="D553" s="2" t="n">
        <v>1</v>
      </c>
      <c r="E553" s="3" t="inlineStr">
        <is>
          <t>FUCILE SOVRAPPOSTO</t>
        </is>
      </c>
      <c r="F553" s="3" t="n">
        <v>12</v>
      </c>
      <c r="G553" s="3" t="inlineStr">
        <is>
          <t>BERETTA</t>
        </is>
      </c>
      <c r="H553" s="65" t="inlineStr">
        <is>
          <t>S55</t>
        </is>
      </c>
      <c r="I553" s="65" t="n">
        <v>52785</v>
      </c>
      <c r="J553" s="65" t="inlineStr">
        <is>
          <t>N/D</t>
        </is>
      </c>
      <c r="K553" s="65" t="inlineStr">
        <is>
          <t>N/D</t>
        </is>
      </c>
      <c r="L553" s="127" t="inlineStr">
        <is>
          <t>ANTONIONI SPORT CACCIA E PESCA SRLS</t>
        </is>
      </c>
      <c r="M553" s="5" t="n">
        <v>25</v>
      </c>
      <c r="N553" s="5" t="n"/>
      <c r="O553" s="5">
        <f>+M553+N553</f>
        <v/>
      </c>
      <c r="P553" s="4" t="n"/>
      <c r="Q553" s="87" t="n"/>
      <c r="R553" s="5" t="n">
        <v>29</v>
      </c>
      <c r="S553" s="2" t="n">
        <v>1</v>
      </c>
      <c r="T553" s="3" t="inlineStr">
        <is>
          <t>CA42796IR</t>
        </is>
      </c>
      <c r="U553" s="87" t="n">
        <v>45821</v>
      </c>
      <c r="V553" s="3" t="inlineStr">
        <is>
          <t>9</t>
        </is>
      </c>
      <c r="W553" s="108" t="n">
        <v>45821</v>
      </c>
      <c r="X553" s="4" t="inlineStr">
        <is>
          <t>PHILIPPOS COSTANTINIDES TRADING CO. LTD</t>
        </is>
      </c>
    </row>
    <row r="554" ht="24" customHeight="1">
      <c r="A554" s="2">
        <f>+D554-S554</f>
        <v/>
      </c>
      <c r="B554" s="80" t="n"/>
      <c r="C554" s="70" t="n">
        <v>45483</v>
      </c>
      <c r="D554" s="2" t="n">
        <v>1</v>
      </c>
      <c r="E554" s="3" t="inlineStr">
        <is>
          <t>FUCILE SOVRAPPOSTO</t>
        </is>
      </c>
      <c r="F554" s="3" t="n">
        <v>12</v>
      </c>
      <c r="G554" s="3" t="inlineStr">
        <is>
          <t>BERETTA</t>
        </is>
      </c>
      <c r="H554" s="65" t="inlineStr">
        <is>
          <t>S56E</t>
        </is>
      </c>
      <c r="I554" s="65" t="inlineStr">
        <is>
          <t>01854</t>
        </is>
      </c>
      <c r="J554" s="65" t="inlineStr">
        <is>
          <t>N/D</t>
        </is>
      </c>
      <c r="K554" s="65" t="inlineStr">
        <is>
          <t>N/D</t>
        </is>
      </c>
      <c r="L554" s="127" t="inlineStr">
        <is>
          <t>ANTONIONI SPORT CACCIA E PESCA SRLS</t>
        </is>
      </c>
      <c r="M554" s="5" t="n">
        <v>25</v>
      </c>
      <c r="N554" s="5" t="n"/>
      <c r="O554" s="5">
        <f>+M554+N554</f>
        <v/>
      </c>
      <c r="P554" s="4" t="n"/>
      <c r="Q554" s="87" t="n"/>
      <c r="R554" s="5" t="n">
        <v>29</v>
      </c>
      <c r="S554" s="2" t="n">
        <v>1</v>
      </c>
      <c r="T554" s="3" t="inlineStr">
        <is>
          <t>CA42796IR</t>
        </is>
      </c>
      <c r="U554" s="87" t="n">
        <v>45821</v>
      </c>
      <c r="V554" s="3" t="inlineStr">
        <is>
          <t>9</t>
        </is>
      </c>
      <c r="W554" s="108" t="n">
        <v>45821</v>
      </c>
      <c r="X554" s="4" t="inlineStr">
        <is>
          <t>PHILIPPOS COSTANTINIDES TRADING CO. LTD</t>
        </is>
      </c>
    </row>
    <row r="555" ht="24" customHeight="1">
      <c r="A555" s="2">
        <f>+D555-S555</f>
        <v/>
      </c>
      <c r="B555" s="80" t="n"/>
      <c r="C555" s="70" t="n">
        <v>45483</v>
      </c>
      <c r="D555" s="2" t="n">
        <v>1</v>
      </c>
      <c r="E555" s="3" t="inlineStr">
        <is>
          <t>FUCILE SOVRAPPOSTO</t>
        </is>
      </c>
      <c r="F555" s="3" t="n">
        <v>12</v>
      </c>
      <c r="G555" s="3" t="inlineStr">
        <is>
          <t>ARTIGIANA</t>
        </is>
      </c>
      <c r="H555" s="65" t="inlineStr">
        <is>
          <t>CACCIA</t>
        </is>
      </c>
      <c r="I555" s="65" t="n">
        <v>95124</v>
      </c>
      <c r="J555" s="65" t="inlineStr">
        <is>
          <t>N/D</t>
        </is>
      </c>
      <c r="K555" s="65" t="inlineStr">
        <is>
          <t>N/D</t>
        </is>
      </c>
      <c r="L555" s="127" t="inlineStr">
        <is>
          <t>ANTONIONI SPORT CACCIA E PESCA SRLS</t>
        </is>
      </c>
      <c r="M555" s="5" t="n">
        <v>25</v>
      </c>
      <c r="N555" s="5" t="n"/>
      <c r="O555" s="5">
        <f>+M555+N555</f>
        <v/>
      </c>
      <c r="P555" s="4" t="n"/>
      <c r="Q555" s="87" t="n"/>
      <c r="R555" s="5" t="n">
        <v>29</v>
      </c>
      <c r="S555" s="2" t="n">
        <v>1</v>
      </c>
      <c r="T555" s="3" t="inlineStr">
        <is>
          <t>CA42796IR</t>
        </is>
      </c>
      <c r="U555" s="87" t="n">
        <v>45821</v>
      </c>
      <c r="V555" s="3" t="inlineStr">
        <is>
          <t>10</t>
        </is>
      </c>
      <c r="W555" s="108" t="n">
        <v>45821</v>
      </c>
      <c r="X555" s="4" t="inlineStr">
        <is>
          <t>PHILIPPOS COSTANTINIDES TRADING CO. LTD</t>
        </is>
      </c>
    </row>
    <row r="556" ht="24" customHeight="1">
      <c r="A556" s="2">
        <f>+D556-S556</f>
        <v/>
      </c>
      <c r="B556" s="80" t="n"/>
      <c r="C556" s="70" t="n">
        <v>45483</v>
      </c>
      <c r="D556" s="2" t="n">
        <v>1</v>
      </c>
      <c r="E556" s="3" t="inlineStr">
        <is>
          <t>FUCILE SOVRAPPOSTO</t>
        </is>
      </c>
      <c r="F556" s="3" t="n">
        <v>12</v>
      </c>
      <c r="G556" s="3" t="inlineStr">
        <is>
          <t>FABARM</t>
        </is>
      </c>
      <c r="H556" s="65" t="inlineStr">
        <is>
          <t>CACCIA</t>
        </is>
      </c>
      <c r="I556" s="65" t="n">
        <v>19264</v>
      </c>
      <c r="J556" s="65" t="inlineStr">
        <is>
          <t>N/D</t>
        </is>
      </c>
      <c r="K556" s="65" t="inlineStr">
        <is>
          <t>N/D</t>
        </is>
      </c>
      <c r="L556" s="127" t="inlineStr">
        <is>
          <t>ANTONIONI SPORT CACCIA E PESCA SRLS</t>
        </is>
      </c>
      <c r="M556" s="5" t="n">
        <v>25</v>
      </c>
      <c r="N556" s="5" t="n"/>
      <c r="O556" s="5">
        <f>+M556+N556</f>
        <v/>
      </c>
      <c r="P556" s="4" t="n"/>
      <c r="Q556" s="87" t="n"/>
      <c r="R556" s="5" t="n">
        <v>29</v>
      </c>
      <c r="S556" s="2" t="n">
        <v>1</v>
      </c>
      <c r="T556" s="3" t="inlineStr">
        <is>
          <t>CA42796IR</t>
        </is>
      </c>
      <c r="U556" s="87" t="n">
        <v>45821</v>
      </c>
      <c r="V556" s="3" t="inlineStr">
        <is>
          <t>10</t>
        </is>
      </c>
      <c r="W556" s="108" t="n">
        <v>45821</v>
      </c>
      <c r="X556" s="4" t="inlineStr">
        <is>
          <t>PHILIPPOS COSTANTINIDES TRADING CO. LTD</t>
        </is>
      </c>
    </row>
    <row r="557" ht="24" customHeight="1">
      <c r="A557" s="2">
        <f>+D557-S557</f>
        <v/>
      </c>
      <c r="B557" s="80" t="n"/>
      <c r="C557" s="70" t="n">
        <v>45483</v>
      </c>
      <c r="D557" s="2" t="n">
        <v>1</v>
      </c>
      <c r="E557" s="3" t="inlineStr">
        <is>
          <t>CARABINA</t>
        </is>
      </c>
      <c r="F557" s="3" t="inlineStr">
        <is>
          <t>22LR</t>
        </is>
      </c>
      <c r="G557" s="3" t="inlineStr">
        <is>
          <t>WINCHESTER</t>
        </is>
      </c>
      <c r="H557" s="65" t="n">
        <v>490</v>
      </c>
      <c r="I557" s="65" t="inlineStr">
        <is>
          <t>J057536</t>
        </is>
      </c>
      <c r="J557" s="65" t="inlineStr">
        <is>
          <t>N/D</t>
        </is>
      </c>
      <c r="K557" s="65" t="inlineStr">
        <is>
          <t>N/D</t>
        </is>
      </c>
      <c r="L557" s="127" t="inlineStr">
        <is>
          <t>ANTONIONI SPORT CACCIA E PESCA SRLS</t>
        </is>
      </c>
      <c r="M557" s="5" t="n">
        <v>25</v>
      </c>
      <c r="N557" s="5" t="n"/>
      <c r="O557" s="5">
        <f>+M557+N557</f>
        <v/>
      </c>
      <c r="P557" s="4" t="n"/>
      <c r="Q557" s="87" t="n"/>
      <c r="R557" s="5" t="n"/>
      <c r="S557" s="2" t="n"/>
      <c r="T557" s="3" t="n"/>
      <c r="U557" s="87" t="n"/>
      <c r="V557" s="3" t="n"/>
      <c r="W557" s="108" t="n"/>
      <c r="X557" s="4" t="n"/>
    </row>
    <row r="558" ht="24" customHeight="1">
      <c r="A558" s="2">
        <f>+D558-S558</f>
        <v/>
      </c>
      <c r="B558" s="80" t="n"/>
      <c r="C558" s="70" t="n">
        <v>45476</v>
      </c>
      <c r="D558" s="2" t="n">
        <v>1</v>
      </c>
      <c r="E558" s="3" t="inlineStr">
        <is>
          <t>FUCILE SEMIAUTOMATICO</t>
        </is>
      </c>
      <c r="F558" s="3" t="n">
        <v>12</v>
      </c>
      <c r="G558" s="3" t="inlineStr">
        <is>
          <t>BENELLI</t>
        </is>
      </c>
      <c r="H558" s="65" t="inlineStr">
        <is>
          <t>121 SL80</t>
        </is>
      </c>
      <c r="I558" s="65" t="n">
        <v>150558</v>
      </c>
      <c r="J558" s="65" t="n">
        <v>162895</v>
      </c>
      <c r="K558" s="65" t="inlineStr">
        <is>
          <t>N/D</t>
        </is>
      </c>
      <c r="L558" s="127" t="inlineStr">
        <is>
          <t>SCARPELLINI SRL</t>
        </is>
      </c>
      <c r="M558" s="5" t="n">
        <v>150</v>
      </c>
      <c r="N558" s="5" t="n"/>
      <c r="O558" s="5">
        <f>+M558+N558</f>
        <v/>
      </c>
      <c r="P558" s="4" t="n"/>
      <c r="Q558" s="87" t="n"/>
      <c r="R558" s="5" t="n">
        <v>165</v>
      </c>
      <c r="S558" s="2" t="n">
        <v>1</v>
      </c>
      <c r="T558" s="3" t="n"/>
      <c r="U558" s="87" t="n">
        <v>45499</v>
      </c>
      <c r="V558" s="3" t="inlineStr">
        <is>
          <t>15</t>
        </is>
      </c>
      <c r="W558" s="108" t="n">
        <v>45499</v>
      </c>
      <c r="X558" s="4" t="inlineStr">
        <is>
          <t>BRESCIA MIDDLE EAST SAL</t>
        </is>
      </c>
    </row>
    <row r="559" ht="24" customHeight="1">
      <c r="A559" s="2">
        <f>+D559-S559</f>
        <v/>
      </c>
      <c r="B559" s="80" t="n"/>
      <c r="C559" s="70" t="n">
        <v>45476</v>
      </c>
      <c r="D559" s="2" t="n">
        <v>1</v>
      </c>
      <c r="E559" s="3" t="inlineStr">
        <is>
          <t>FUCILE SOVRAPPOSTO</t>
        </is>
      </c>
      <c r="F559" s="3" t="n">
        <v>12</v>
      </c>
      <c r="G559" s="3" t="inlineStr">
        <is>
          <t>BERETTA</t>
        </is>
      </c>
      <c r="H559" s="65" t="inlineStr">
        <is>
          <t>S55</t>
        </is>
      </c>
      <c r="I559" s="65" t="n">
        <v>130935</v>
      </c>
      <c r="J559" s="65" t="inlineStr">
        <is>
          <t>N/D</t>
        </is>
      </c>
      <c r="K559" s="65" t="inlineStr">
        <is>
          <t>N/D</t>
        </is>
      </c>
      <c r="L559" s="127" t="inlineStr">
        <is>
          <t>SCARPELLINI SRL</t>
        </is>
      </c>
      <c r="M559" s="5" t="n">
        <v>100</v>
      </c>
      <c r="N559" s="5" t="n"/>
      <c r="O559" s="5">
        <f>+M559+N559</f>
        <v/>
      </c>
      <c r="P559" s="4" t="n"/>
      <c r="Q559" s="87" t="n"/>
      <c r="R559" s="5" t="n">
        <v>115</v>
      </c>
      <c r="S559" s="2" t="n">
        <v>1</v>
      </c>
      <c r="T559" s="3" t="inlineStr">
        <is>
          <t>CA42796IR</t>
        </is>
      </c>
      <c r="U559" s="87" t="n">
        <v>45821</v>
      </c>
      <c r="V559" s="3" t="inlineStr">
        <is>
          <t>9</t>
        </is>
      </c>
      <c r="W559" s="108" t="n">
        <v>45821</v>
      </c>
      <c r="X559" s="4" t="inlineStr">
        <is>
          <t>PHILIPPOS COSTANTINIDES TRADING CO. LTD</t>
        </is>
      </c>
    </row>
    <row r="560" ht="24" customHeight="1">
      <c r="A560" s="2">
        <f>+D560-S560</f>
        <v/>
      </c>
      <c r="B560" s="80" t="n"/>
      <c r="C560" s="70" t="n">
        <v>45476</v>
      </c>
      <c r="D560" s="2" t="n">
        <v>1</v>
      </c>
      <c r="E560" s="3" t="inlineStr">
        <is>
          <t>FUCILE SOVRAPPOSTO</t>
        </is>
      </c>
      <c r="F560" s="3" t="n">
        <v>12</v>
      </c>
      <c r="G560" s="3" t="inlineStr">
        <is>
          <t>BERETTA</t>
        </is>
      </c>
      <c r="H560" s="65" t="inlineStr">
        <is>
          <t>S56E</t>
        </is>
      </c>
      <c r="I560" s="65" t="n">
        <v>44890</v>
      </c>
      <c r="J560" s="65" t="inlineStr">
        <is>
          <t>N/D</t>
        </is>
      </c>
      <c r="K560" s="65" t="inlineStr">
        <is>
          <t>N/D</t>
        </is>
      </c>
      <c r="L560" s="127" t="inlineStr">
        <is>
          <t>SCARPELLINI SRL</t>
        </is>
      </c>
      <c r="M560" s="5" t="n">
        <v>100</v>
      </c>
      <c r="N560" s="5" t="n"/>
      <c r="O560" s="5">
        <f>+M560+N560</f>
        <v/>
      </c>
      <c r="P560" s="4" t="n"/>
      <c r="Q560" s="87" t="n"/>
      <c r="R560" s="5" t="n">
        <v>115</v>
      </c>
      <c r="S560" s="2" t="n">
        <v>1</v>
      </c>
      <c r="T560" s="3" t="inlineStr">
        <is>
          <t>CA42796IR</t>
        </is>
      </c>
      <c r="U560" s="87" t="n">
        <v>45821</v>
      </c>
      <c r="V560" s="3" t="inlineStr">
        <is>
          <t>9</t>
        </is>
      </c>
      <c r="W560" s="108" t="n">
        <v>45821</v>
      </c>
      <c r="X560" s="4" t="inlineStr">
        <is>
          <t>PHILIPPOS COSTANTINIDES TRADING CO. LTD</t>
        </is>
      </c>
    </row>
    <row r="561" ht="24" customHeight="1">
      <c r="A561" s="2">
        <f>+D561-S561</f>
        <v/>
      </c>
      <c r="B561" s="80" t="n"/>
      <c r="C561" s="70" t="n">
        <v>45481</v>
      </c>
      <c r="D561" s="2" t="n">
        <v>1</v>
      </c>
      <c r="E561" s="3" t="inlineStr">
        <is>
          <t>FUCILE A POMPA</t>
        </is>
      </c>
      <c r="F561" s="3" t="n">
        <v>12</v>
      </c>
      <c r="G561" s="3" t="inlineStr">
        <is>
          <t>WINCHESTER</t>
        </is>
      </c>
      <c r="H561" s="65" t="inlineStr">
        <is>
          <t>SXP DEFENDER TACTICAL ADJ CYL</t>
        </is>
      </c>
      <c r="I561" s="65" t="inlineStr">
        <is>
          <t>TR6023-011008SP</t>
        </is>
      </c>
      <c r="J561" s="65" t="inlineStr">
        <is>
          <t>N/D</t>
        </is>
      </c>
      <c r="K561" s="65" t="inlineStr">
        <is>
          <t>N/D</t>
        </is>
      </c>
      <c r="L561" s="127" t="inlineStr">
        <is>
          <t>B.W.M.I. SRL</t>
        </is>
      </c>
      <c r="M561" s="5" t="n">
        <v>342.9</v>
      </c>
      <c r="N561" s="5" t="n"/>
      <c r="O561" s="5">
        <f>+M561+N561</f>
        <v/>
      </c>
      <c r="P561" s="4" t="n"/>
      <c r="Q561" s="87" t="n"/>
      <c r="R561" s="5" t="n">
        <v>362</v>
      </c>
      <c r="S561" s="2" t="n">
        <v>1</v>
      </c>
      <c r="T561" s="3" t="inlineStr">
        <is>
          <t>CA42796IR</t>
        </is>
      </c>
      <c r="U561" s="87" t="n">
        <v>45821</v>
      </c>
      <c r="V561" s="3" t="inlineStr">
        <is>
          <t>11</t>
        </is>
      </c>
      <c r="W561" s="108" t="n">
        <v>45821</v>
      </c>
      <c r="X561" s="4" t="inlineStr">
        <is>
          <t>PHILIPPOS COSTANTINIDES TRADING CO. LTD</t>
        </is>
      </c>
    </row>
    <row r="562" ht="24" customHeight="1">
      <c r="A562" s="2">
        <f>+D562-S562</f>
        <v/>
      </c>
      <c r="B562" s="80" t="n"/>
      <c r="C562" s="70" t="n">
        <v>45481</v>
      </c>
      <c r="D562" s="2" t="n">
        <v>1</v>
      </c>
      <c r="E562" s="3" t="inlineStr">
        <is>
          <t>FUCILE A POMPA</t>
        </is>
      </c>
      <c r="F562" s="3" t="n">
        <v>12</v>
      </c>
      <c r="G562" s="3" t="inlineStr">
        <is>
          <t>WINCHESTER</t>
        </is>
      </c>
      <c r="H562" s="65" t="inlineStr">
        <is>
          <t>SXP DEFENDER TACTICAL ADJ CYL</t>
        </is>
      </c>
      <c r="I562" s="65" t="inlineStr">
        <is>
          <t>TR6023-011040SP</t>
        </is>
      </c>
      <c r="J562" s="65" t="inlineStr">
        <is>
          <t>N/D</t>
        </is>
      </c>
      <c r="K562" s="65" t="inlineStr">
        <is>
          <t>N/D</t>
        </is>
      </c>
      <c r="L562" s="127" t="inlineStr">
        <is>
          <t>B.W.M.I. SRL</t>
        </is>
      </c>
      <c r="M562" s="5" t="n">
        <v>342.9</v>
      </c>
      <c r="N562" s="5" t="n"/>
      <c r="O562" s="5">
        <f>+M562+N562</f>
        <v/>
      </c>
      <c r="P562" s="4" t="n"/>
      <c r="Q562" s="87" t="n"/>
      <c r="R562" s="5" t="n">
        <v>362</v>
      </c>
      <c r="S562" s="2" t="n">
        <v>1</v>
      </c>
      <c r="T562" s="3" t="inlineStr">
        <is>
          <t>CA42796IR</t>
        </is>
      </c>
      <c r="U562" s="87" t="n">
        <v>45821</v>
      </c>
      <c r="V562" s="3" t="inlineStr">
        <is>
          <t>11</t>
        </is>
      </c>
      <c r="W562" s="108" t="n">
        <v>45821</v>
      </c>
      <c r="X562" s="4" t="inlineStr">
        <is>
          <t>PHILIPPOS COSTANTINIDES TRADING CO. LTD</t>
        </is>
      </c>
    </row>
    <row r="563" ht="24" customHeight="1">
      <c r="A563" s="2">
        <f>+D563-S563</f>
        <v/>
      </c>
      <c r="B563" s="80" t="n"/>
      <c r="C563" s="70" t="n">
        <v>45454</v>
      </c>
      <c r="D563" s="2" t="n">
        <v>1</v>
      </c>
      <c r="E563" s="3" t="inlineStr">
        <is>
          <t>CARABINA</t>
        </is>
      </c>
      <c r="F563" s="3" t="inlineStr">
        <is>
          <t>22 LR</t>
        </is>
      </c>
      <c r="G563" s="3" t="inlineStr">
        <is>
          <t>VOERE</t>
        </is>
      </c>
      <c r="H563" s="65" t="n"/>
      <c r="I563" s="65" t="n">
        <v>357842</v>
      </c>
      <c r="J563" s="65" t="inlineStr">
        <is>
          <t>0Q0460</t>
        </is>
      </c>
      <c r="K563" s="65" t="inlineStr">
        <is>
          <t>N/D</t>
        </is>
      </c>
      <c r="L563" s="127" t="inlineStr">
        <is>
          <t>ORIGIN STB SRL</t>
        </is>
      </c>
      <c r="M563" s="5" t="n">
        <v>427.77</v>
      </c>
      <c r="N563" s="5" t="n"/>
      <c r="O563" s="5">
        <f>+M563+N563</f>
        <v/>
      </c>
      <c r="P563" s="4" t="n"/>
      <c r="Q563" s="87" t="n"/>
      <c r="R563" s="5" t="n">
        <v>409</v>
      </c>
      <c r="S563" s="2" t="n">
        <v>1</v>
      </c>
      <c r="T563" s="3" t="inlineStr">
        <is>
          <t>CA04954OS</t>
        </is>
      </c>
      <c r="U563" s="87" t="n">
        <v>45874</v>
      </c>
      <c r="V563" s="3" t="inlineStr">
        <is>
          <t>26</t>
        </is>
      </c>
      <c r="W563" s="4" t="n">
        <v>45874</v>
      </c>
      <c r="X563" s="4" t="inlineStr">
        <is>
          <t>PHILIPPOS  CONSTANTINIDES
TRADING CO.LTD</t>
        </is>
      </c>
    </row>
    <row r="564" ht="24" customHeight="1">
      <c r="A564" s="2">
        <f>+D564-S564</f>
        <v/>
      </c>
      <c r="B564" s="80" t="n"/>
      <c r="C564" s="70" t="n">
        <v>45462</v>
      </c>
      <c r="D564" s="2" t="n">
        <v>1</v>
      </c>
      <c r="E564" s="3" t="inlineStr">
        <is>
          <t>PISTOLA SEMIAUTOMATICA</t>
        </is>
      </c>
      <c r="F564" s="3" t="n">
        <v>7.65</v>
      </c>
      <c r="G564" s="3" t="inlineStr">
        <is>
          <t>BERETTA</t>
        </is>
      </c>
      <c r="H564" s="65" t="inlineStr">
        <is>
          <t>MOD 81BB</t>
        </is>
      </c>
      <c r="I564" s="65" t="inlineStr">
        <is>
          <t>E82419W</t>
        </is>
      </c>
      <c r="J564" s="65" t="inlineStr">
        <is>
          <t>N/D</t>
        </is>
      </c>
      <c r="K564" s="65" t="inlineStr">
        <is>
          <t>N/D</t>
        </is>
      </c>
      <c r="L564" s="127" t="inlineStr">
        <is>
          <t xml:space="preserve">ARMERIA PARINI SRL </t>
        </is>
      </c>
      <c r="M564" s="5" t="n">
        <v>81.97</v>
      </c>
      <c r="N564" s="5" t="n"/>
      <c r="O564" s="5">
        <f>+M564+N564</f>
        <v/>
      </c>
      <c r="P564" s="4" t="n"/>
      <c r="Q564" s="87" t="n"/>
      <c r="R564" s="5" t="n"/>
      <c r="S564" s="2" t="n"/>
      <c r="T564" s="3" t="n"/>
      <c r="U564" s="87" t="n"/>
      <c r="V564" s="3" t="n"/>
      <c r="W564" s="108" t="n"/>
      <c r="X564" s="4" t="n"/>
    </row>
    <row r="565" ht="24" customHeight="1">
      <c r="A565" s="2">
        <f>+D565-S565</f>
        <v/>
      </c>
      <c r="B565" s="80" t="n"/>
      <c r="C565" s="70" t="n">
        <v>45462</v>
      </c>
      <c r="D565" s="2" t="n">
        <v>1</v>
      </c>
      <c r="E565" s="3" t="inlineStr">
        <is>
          <t>PISTOLA SEMIAUTOMATICA</t>
        </is>
      </c>
      <c r="F565" s="3" t="n">
        <v>7.65</v>
      </c>
      <c r="G565" s="3" t="inlineStr">
        <is>
          <t>BERETTA</t>
        </is>
      </c>
      <c r="H565" s="65" t="inlineStr">
        <is>
          <t>MOD 81BB</t>
        </is>
      </c>
      <c r="I565" s="65" t="inlineStr">
        <is>
          <t>E82413W</t>
        </is>
      </c>
      <c r="J565" s="65" t="inlineStr">
        <is>
          <t>N/D</t>
        </is>
      </c>
      <c r="K565" s="65" t="inlineStr">
        <is>
          <t>N/D</t>
        </is>
      </c>
      <c r="L565" s="127" t="inlineStr">
        <is>
          <t xml:space="preserve">ARMERIA PARINI SRL </t>
        </is>
      </c>
      <c r="M565" s="5" t="n">
        <v>81.97</v>
      </c>
      <c r="N565" s="5" t="n"/>
      <c r="O565" s="5">
        <f>+M565+N565</f>
        <v/>
      </c>
      <c r="P565" s="4" t="n"/>
      <c r="Q565" s="87" t="n"/>
      <c r="R565" s="5" t="n"/>
      <c r="S565" s="2" t="n"/>
      <c r="T565" s="3" t="n"/>
      <c r="U565" s="87" t="n"/>
      <c r="V565" s="3" t="n"/>
      <c r="W565" s="108" t="n"/>
      <c r="X565" s="4" t="n"/>
    </row>
    <row r="566" ht="24" customHeight="1">
      <c r="A566" s="2">
        <f>+D566-S566</f>
        <v/>
      </c>
      <c r="B566" s="80" t="n"/>
      <c r="C566" s="70" t="n">
        <v>45462</v>
      </c>
      <c r="D566" s="2" t="n">
        <v>1</v>
      </c>
      <c r="E566" s="3" t="inlineStr">
        <is>
          <t>PISTOLA SEMIAUTOMATICA</t>
        </is>
      </c>
      <c r="F566" s="3" t="n">
        <v>7.65</v>
      </c>
      <c r="G566" s="3" t="inlineStr">
        <is>
          <t>BERETTA</t>
        </is>
      </c>
      <c r="H566" s="65" t="inlineStr">
        <is>
          <t>MOD 81BB</t>
        </is>
      </c>
      <c r="I566" s="65" t="inlineStr">
        <is>
          <t>E00315W</t>
        </is>
      </c>
      <c r="J566" s="65" t="inlineStr">
        <is>
          <t>N/D</t>
        </is>
      </c>
      <c r="K566" s="65" t="inlineStr">
        <is>
          <t>N/D</t>
        </is>
      </c>
      <c r="L566" s="127" t="inlineStr">
        <is>
          <t xml:space="preserve">ARMERIA PARINI SRL </t>
        </is>
      </c>
      <c r="M566" s="5" t="n">
        <v>81.97</v>
      </c>
      <c r="N566" s="5" t="n"/>
      <c r="O566" s="5">
        <f>+M566+N566</f>
        <v/>
      </c>
      <c r="P566" s="4" t="n"/>
      <c r="Q566" s="87" t="n"/>
      <c r="R566" s="5" t="n"/>
      <c r="S566" s="2" t="n"/>
      <c r="T566" s="3" t="n"/>
      <c r="U566" s="87" t="n"/>
      <c r="V566" s="3" t="n"/>
      <c r="W566" s="108" t="n"/>
      <c r="X566" s="4" t="n"/>
    </row>
    <row r="567" ht="24" customHeight="1">
      <c r="A567" s="2">
        <f>+D567-S567</f>
        <v/>
      </c>
      <c r="B567" s="80" t="n"/>
      <c r="C567" s="70" t="n">
        <v>45462</v>
      </c>
      <c r="D567" s="2" t="n">
        <v>1</v>
      </c>
      <c r="E567" s="3" t="inlineStr">
        <is>
          <t>PISTOLA SEMIAUTOMATICA</t>
        </is>
      </c>
      <c r="F567" s="3" t="n">
        <v>7.65</v>
      </c>
      <c r="G567" s="3" t="inlineStr">
        <is>
          <t>BERETTA</t>
        </is>
      </c>
      <c r="H567" s="65" t="inlineStr">
        <is>
          <t>MOD 81BB</t>
        </is>
      </c>
      <c r="I567" s="65" t="inlineStr">
        <is>
          <t>E01302W</t>
        </is>
      </c>
      <c r="J567" s="65" t="inlineStr">
        <is>
          <t>N/D</t>
        </is>
      </c>
      <c r="K567" s="65" t="inlineStr">
        <is>
          <t>N/D</t>
        </is>
      </c>
      <c r="L567" s="127" t="inlineStr">
        <is>
          <t xml:space="preserve">ARMERIA PARINI SRL </t>
        </is>
      </c>
      <c r="M567" s="5" t="n">
        <v>81.97</v>
      </c>
      <c r="N567" s="5" t="n"/>
      <c r="O567" s="5">
        <f>+M567+N567</f>
        <v/>
      </c>
      <c r="P567" s="4" t="n"/>
      <c r="Q567" s="87" t="n"/>
      <c r="R567" s="5" t="n"/>
      <c r="S567" s="2" t="n"/>
      <c r="T567" s="3" t="n"/>
      <c r="U567" s="87" t="n"/>
      <c r="V567" s="3" t="n"/>
      <c r="W567" s="108" t="n"/>
      <c r="X567" s="4" t="n"/>
    </row>
    <row r="568" ht="24" customHeight="1">
      <c r="A568" s="2">
        <f>+D568-S568</f>
        <v/>
      </c>
      <c r="B568" s="80" t="n"/>
      <c r="C568" s="70" t="n">
        <v>45462</v>
      </c>
      <c r="D568" s="2" t="n">
        <v>1</v>
      </c>
      <c r="E568" s="3" t="inlineStr">
        <is>
          <t>PISTOLA SEMIAUTOMATICA</t>
        </is>
      </c>
      <c r="F568" s="3" t="n">
        <v>7.65</v>
      </c>
      <c r="G568" s="3" t="inlineStr">
        <is>
          <t>BERETTA</t>
        </is>
      </c>
      <c r="H568" s="65" t="inlineStr">
        <is>
          <t>MOD 81BB</t>
        </is>
      </c>
      <c r="I568" s="65" t="inlineStr">
        <is>
          <t>E00317W</t>
        </is>
      </c>
      <c r="J568" s="65" t="inlineStr">
        <is>
          <t>N/D</t>
        </is>
      </c>
      <c r="K568" s="65" t="inlineStr">
        <is>
          <t>N/D</t>
        </is>
      </c>
      <c r="L568" s="127" t="inlineStr">
        <is>
          <t xml:space="preserve">ARMERIA PARINI SRL </t>
        </is>
      </c>
      <c r="M568" s="5" t="n">
        <v>81.97</v>
      </c>
      <c r="N568" s="5" t="n"/>
      <c r="O568" s="5">
        <f>+M568+N568</f>
        <v/>
      </c>
      <c r="P568" s="4" t="n"/>
      <c r="Q568" s="87" t="n"/>
      <c r="R568" s="5" t="n"/>
      <c r="S568" s="2" t="n"/>
      <c r="T568" s="3" t="n"/>
      <c r="U568" s="87" t="n"/>
      <c r="V568" s="3" t="n"/>
      <c r="W568" s="108" t="n"/>
      <c r="X568" s="4" t="n"/>
    </row>
    <row r="569" ht="24" customHeight="1">
      <c r="A569" s="2">
        <f>+D569-S569</f>
        <v/>
      </c>
      <c r="B569" s="80" t="n"/>
      <c r="C569" s="70" t="n">
        <v>45462</v>
      </c>
      <c r="D569" s="2" t="n">
        <v>1</v>
      </c>
      <c r="E569" s="3" t="inlineStr">
        <is>
          <t>PISTOLA SEMIAUTOMATICA</t>
        </is>
      </c>
      <c r="F569" s="3" t="n">
        <v>7.65</v>
      </c>
      <c r="G569" s="3" t="inlineStr">
        <is>
          <t>BERETTA</t>
        </is>
      </c>
      <c r="H569" s="65" t="inlineStr">
        <is>
          <t>MOD 81BB</t>
        </is>
      </c>
      <c r="I569" s="65" t="inlineStr">
        <is>
          <t>E01209W</t>
        </is>
      </c>
      <c r="J569" s="65" t="inlineStr">
        <is>
          <t>N/D</t>
        </is>
      </c>
      <c r="K569" s="65" t="inlineStr">
        <is>
          <t>N/D</t>
        </is>
      </c>
      <c r="L569" s="127" t="inlineStr">
        <is>
          <t xml:space="preserve">ARMERIA PARINI SRL </t>
        </is>
      </c>
      <c r="M569" s="5" t="n">
        <v>81.97</v>
      </c>
      <c r="N569" s="5" t="n"/>
      <c r="O569" s="5">
        <f>+M569+N569</f>
        <v/>
      </c>
      <c r="P569" s="4" t="n"/>
      <c r="Q569" s="87" t="n"/>
      <c r="R569" s="5" t="n"/>
      <c r="S569" s="2" t="n"/>
      <c r="T569" s="3" t="n"/>
      <c r="U569" s="87" t="n"/>
      <c r="V569" s="3" t="n"/>
      <c r="W569" s="108" t="n"/>
      <c r="X569" s="4" t="n"/>
    </row>
    <row r="570" ht="24" customHeight="1">
      <c r="A570" s="2">
        <f>+D570-S570</f>
        <v/>
      </c>
      <c r="B570" s="80" t="n"/>
      <c r="C570" s="70" t="n">
        <v>45462</v>
      </c>
      <c r="D570" s="2" t="n">
        <v>1</v>
      </c>
      <c r="E570" s="3" t="inlineStr">
        <is>
          <t>PISTOLA SEMIAUTOMATICA</t>
        </is>
      </c>
      <c r="F570" s="3" t="n">
        <v>7.65</v>
      </c>
      <c r="G570" s="3" t="inlineStr">
        <is>
          <t>BERETTA</t>
        </is>
      </c>
      <c r="H570" s="65" t="inlineStr">
        <is>
          <t>MOD 81BB</t>
        </is>
      </c>
      <c r="I570" s="65" t="inlineStr">
        <is>
          <t>E00271W</t>
        </is>
      </c>
      <c r="J570" s="65" t="inlineStr">
        <is>
          <t>N/D</t>
        </is>
      </c>
      <c r="K570" s="65" t="inlineStr">
        <is>
          <t>N/D</t>
        </is>
      </c>
      <c r="L570" s="127" t="inlineStr">
        <is>
          <t xml:space="preserve">ARMERIA PARINI SRL </t>
        </is>
      </c>
      <c r="M570" s="5" t="n">
        <v>81.97</v>
      </c>
      <c r="N570" s="5" t="n"/>
      <c r="O570" s="5">
        <f>+M570+N570</f>
        <v/>
      </c>
      <c r="P570" s="4" t="n"/>
      <c r="Q570" s="87" t="n"/>
      <c r="R570" s="5" t="n"/>
      <c r="S570" s="2" t="n"/>
      <c r="T570" s="3" t="n"/>
      <c r="U570" s="87" t="n"/>
      <c r="V570" s="3" t="n"/>
      <c r="W570" s="108" t="n"/>
      <c r="X570" s="4" t="n"/>
    </row>
    <row r="571" ht="24" customHeight="1">
      <c r="A571" s="2">
        <f>+D571-S571</f>
        <v/>
      </c>
      <c r="B571" s="80" t="n"/>
      <c r="C571" s="70" t="n">
        <v>45462</v>
      </c>
      <c r="D571" s="2" t="n">
        <v>1</v>
      </c>
      <c r="E571" s="3" t="inlineStr">
        <is>
          <t>PISTOLA SEMIAUTOMATICA</t>
        </is>
      </c>
      <c r="F571" s="3" t="n">
        <v>7.65</v>
      </c>
      <c r="G571" s="3" t="inlineStr">
        <is>
          <t>BERETTA</t>
        </is>
      </c>
      <c r="H571" s="65" t="inlineStr">
        <is>
          <t>MOD 90</t>
        </is>
      </c>
      <c r="I571" s="65" t="n">
        <v>22715</v>
      </c>
      <c r="J571" s="65" t="inlineStr">
        <is>
          <t>N/D</t>
        </is>
      </c>
      <c r="K571" s="65" t="inlineStr">
        <is>
          <t>N/D</t>
        </is>
      </c>
      <c r="L571" s="127" t="inlineStr">
        <is>
          <t xml:space="preserve">ARMERIA PARINI SRL </t>
        </is>
      </c>
      <c r="M571" s="5" t="n">
        <v>81.97</v>
      </c>
      <c r="N571" s="5" t="n"/>
      <c r="O571" s="5">
        <f>+M571+N571</f>
        <v/>
      </c>
      <c r="P571" s="4" t="n"/>
      <c r="Q571" s="87" t="n"/>
      <c r="R571" s="5" t="n"/>
      <c r="S571" s="2" t="n"/>
      <c r="T571" s="3" t="n"/>
      <c r="U571" s="87" t="n"/>
      <c r="V571" s="3" t="n"/>
      <c r="W571" s="108" t="n"/>
      <c r="X571" s="4" t="n"/>
    </row>
    <row r="572" ht="24" customHeight="1">
      <c r="A572" s="2">
        <f>+D572-S572</f>
        <v/>
      </c>
      <c r="B572" s="80" t="n"/>
      <c r="C572" s="70" t="n">
        <v>45462</v>
      </c>
      <c r="D572" s="2" t="n">
        <v>1</v>
      </c>
      <c r="E572" s="3" t="inlineStr">
        <is>
          <t>PISTOLA SEMIAUTOMATICA</t>
        </is>
      </c>
      <c r="F572" s="3" t="n">
        <v>7.65</v>
      </c>
      <c r="G572" s="3" t="inlineStr">
        <is>
          <t>BERETTA</t>
        </is>
      </c>
      <c r="H572" s="65" t="inlineStr">
        <is>
          <t>MOD 90</t>
        </is>
      </c>
      <c r="I572" s="65" t="inlineStr">
        <is>
          <t>05227</t>
        </is>
      </c>
      <c r="J572" s="65" t="inlineStr">
        <is>
          <t>N/D</t>
        </is>
      </c>
      <c r="K572" s="65" t="inlineStr">
        <is>
          <t>N/D</t>
        </is>
      </c>
      <c r="L572" s="127" t="inlineStr">
        <is>
          <t xml:space="preserve">ARMERIA PARINI SRL </t>
        </is>
      </c>
      <c r="M572" s="5" t="n">
        <v>81.97</v>
      </c>
      <c r="N572" s="5" t="n"/>
      <c r="O572" s="5">
        <f>+M572+N572</f>
        <v/>
      </c>
      <c r="P572" s="4" t="n"/>
      <c r="Q572" s="87" t="n"/>
      <c r="R572" s="5" t="n"/>
      <c r="S572" s="2" t="n"/>
      <c r="T572" s="3" t="n"/>
      <c r="U572" s="87" t="n"/>
      <c r="V572" s="3" t="n"/>
      <c r="W572" s="108" t="n"/>
      <c r="X572" s="4" t="n"/>
    </row>
    <row r="573" ht="24" customHeight="1">
      <c r="A573" s="2">
        <f>+D573-S573</f>
        <v/>
      </c>
      <c r="B573" s="80" t="n"/>
      <c r="C573" s="70" t="n">
        <v>45470</v>
      </c>
      <c r="D573" s="2" t="n">
        <v>1</v>
      </c>
      <c r="E573" s="3" t="inlineStr">
        <is>
          <t>PISTOLA SEMIAUTOMATICA</t>
        </is>
      </c>
      <c r="F573" s="3" t="inlineStr">
        <is>
          <t>9x21</t>
        </is>
      </c>
      <c r="G573" s="3" t="inlineStr">
        <is>
          <t>SIG SAUER</t>
        </is>
      </c>
      <c r="H573" s="65" t="inlineStr">
        <is>
          <t>P226-X 5" ALL ROUND</t>
        </is>
      </c>
      <c r="I573" s="65" t="inlineStr">
        <is>
          <t>71-226-026127</t>
        </is>
      </c>
      <c r="J573" s="65" t="inlineStr">
        <is>
          <t>N/D</t>
        </is>
      </c>
      <c r="K573" s="65" t="inlineStr">
        <is>
          <t>N/D</t>
        </is>
      </c>
      <c r="L573" s="127" t="inlineStr">
        <is>
          <t>BIGNAMI SPA</t>
        </is>
      </c>
      <c r="M573" s="5" t="n">
        <v>1739</v>
      </c>
      <c r="N573" s="5" t="n"/>
      <c r="O573" s="5">
        <f>+M573+N573</f>
        <v/>
      </c>
      <c r="P573" s="4" t="n"/>
      <c r="Q573" s="87" t="n"/>
      <c r="R573" s="5" t="n"/>
      <c r="S573" s="2" t="n"/>
      <c r="T573" s="3" t="n"/>
      <c r="U573" s="87" t="n"/>
      <c r="V573" s="3" t="n"/>
      <c r="W573" s="108" t="n"/>
      <c r="X573" s="4" t="n"/>
    </row>
    <row r="574" ht="24" customHeight="1">
      <c r="A574" s="2">
        <f>+D574-S574</f>
        <v/>
      </c>
      <c r="B574" s="80" t="n"/>
      <c r="C574" s="70" t="n">
        <v>45470</v>
      </c>
      <c r="D574" s="2" t="n">
        <v>1</v>
      </c>
      <c r="E574" s="3" t="inlineStr">
        <is>
          <t>CANNA PER PISTOLA</t>
        </is>
      </c>
      <c r="F574" s="3" t="inlineStr">
        <is>
          <t>9x19</t>
        </is>
      </c>
      <c r="G574" s="3" t="inlineStr">
        <is>
          <t>SIG SAUER</t>
        </is>
      </c>
      <c r="H574" s="65" t="inlineStr">
        <is>
          <t>CANNA 9x19</t>
        </is>
      </c>
      <c r="I574" s="65" t="inlineStr">
        <is>
          <t>T2341</t>
        </is>
      </c>
      <c r="J574" s="65" t="inlineStr">
        <is>
          <t>N/D</t>
        </is>
      </c>
      <c r="K574" s="65" t="inlineStr">
        <is>
          <t>N/D</t>
        </is>
      </c>
      <c r="L574" s="127" t="inlineStr">
        <is>
          <t>BIGNAMI SPA</t>
        </is>
      </c>
      <c r="M574" s="57" t="n">
        <v>0</v>
      </c>
      <c r="N574" s="5" t="n"/>
      <c r="O574" s="5">
        <f>+M574+N574</f>
        <v/>
      </c>
      <c r="P574" s="4" t="n"/>
      <c r="Q574" s="87" t="n"/>
      <c r="R574" s="5" t="n"/>
      <c r="S574" s="2" t="n"/>
      <c r="T574" s="3" t="n"/>
      <c r="U574" s="87" t="n"/>
      <c r="V574" s="3" t="n"/>
      <c r="W574" s="108" t="n"/>
      <c r="X574" s="4" t="n"/>
    </row>
    <row r="575" ht="24" customHeight="1">
      <c r="A575" s="2">
        <f>+D575-S575</f>
        <v/>
      </c>
      <c r="B575" s="80" t="n"/>
      <c r="C575" s="70" t="n">
        <v>45470</v>
      </c>
      <c r="D575" s="2" t="n">
        <v>1</v>
      </c>
      <c r="E575" s="3" t="inlineStr">
        <is>
          <t>PISTOLA SEMIAUTOMATICA</t>
        </is>
      </c>
      <c r="F575" s="3" t="inlineStr">
        <is>
          <t>9x21</t>
        </is>
      </c>
      <c r="G575" s="3" t="inlineStr">
        <is>
          <t>SIG SAUER</t>
        </is>
      </c>
      <c r="H575" s="65" t="inlineStr">
        <is>
          <t>P226-X 5" TG</t>
        </is>
      </c>
      <c r="I575" s="65" t="inlineStr">
        <is>
          <t>US101639</t>
        </is>
      </c>
      <c r="J575" s="65" t="inlineStr">
        <is>
          <t>N/D</t>
        </is>
      </c>
      <c r="K575" s="65" t="inlineStr">
        <is>
          <t>N/D</t>
        </is>
      </c>
      <c r="L575" s="127" t="inlineStr">
        <is>
          <t>BIGNAMI SPA</t>
        </is>
      </c>
      <c r="M575" s="5" t="n">
        <v>1560</v>
      </c>
      <c r="N575" s="5" t="n"/>
      <c r="O575" s="5">
        <f>+M575+N575</f>
        <v/>
      </c>
      <c r="P575" s="4" t="n"/>
      <c r="Q575" s="87" t="n"/>
      <c r="R575" s="5" t="n"/>
      <c r="S575" s="2" t="n"/>
      <c r="T575" s="3" t="n"/>
      <c r="U575" s="87" t="n"/>
      <c r="V575" s="3" t="n"/>
      <c r="W575" s="108" t="n"/>
      <c r="X575" s="4" t="n"/>
    </row>
    <row r="576" ht="24" customHeight="1">
      <c r="A576" s="2">
        <f>+D576-S576</f>
        <v/>
      </c>
      <c r="B576" s="80" t="n"/>
      <c r="C576" s="70" t="n">
        <v>45470</v>
      </c>
      <c r="D576" s="2" t="n">
        <v>1</v>
      </c>
      <c r="E576" s="3" t="inlineStr">
        <is>
          <t>CANNA PER PISTOLA</t>
        </is>
      </c>
      <c r="F576" s="3" t="inlineStr">
        <is>
          <t>9x19</t>
        </is>
      </c>
      <c r="G576" s="3" t="inlineStr">
        <is>
          <t>SIG SAUER</t>
        </is>
      </c>
      <c r="H576" s="65" t="inlineStr">
        <is>
          <t>CANNA 9x19</t>
        </is>
      </c>
      <c r="I576" s="65" t="inlineStr">
        <is>
          <t>T2340</t>
        </is>
      </c>
      <c r="J576" s="65" t="inlineStr">
        <is>
          <t>N/D</t>
        </is>
      </c>
      <c r="K576" s="65" t="inlineStr">
        <is>
          <t>N/D</t>
        </is>
      </c>
      <c r="L576" s="127" t="inlineStr">
        <is>
          <t>BIGNAMI SPA</t>
        </is>
      </c>
      <c r="M576" s="57" t="n">
        <v>0</v>
      </c>
      <c r="N576" s="5" t="n"/>
      <c r="O576" s="5">
        <f>+M576+N576</f>
        <v/>
      </c>
      <c r="P576" s="4" t="n"/>
      <c r="Q576" s="87" t="n"/>
      <c r="R576" s="5" t="n"/>
      <c r="S576" s="2" t="n"/>
      <c r="T576" s="3" t="n"/>
      <c r="U576" s="87" t="n"/>
      <c r="V576" s="3" t="n"/>
      <c r="W576" s="108" t="n"/>
      <c r="X576" s="4" t="n"/>
    </row>
    <row r="577" ht="24" customHeight="1">
      <c r="A577" s="2">
        <f>+D577-S577</f>
        <v/>
      </c>
      <c r="B577" s="80" t="n"/>
      <c r="C577" s="70" t="n">
        <v>45490</v>
      </c>
      <c r="D577" s="2" t="n">
        <v>1</v>
      </c>
      <c r="E577" s="3" t="inlineStr">
        <is>
          <t>FUCILE DOPPIETTA</t>
        </is>
      </c>
      <c r="F577" s="3" t="n">
        <v>12</v>
      </c>
      <c r="G577" s="3" t="inlineStr">
        <is>
          <t>FRANCHI</t>
        </is>
      </c>
      <c r="H577" s="65" t="n"/>
      <c r="I577" s="65" t="n">
        <v>14625</v>
      </c>
      <c r="J577" s="65" t="inlineStr">
        <is>
          <t>N/D</t>
        </is>
      </c>
      <c r="K577" s="65" t="inlineStr">
        <is>
          <t>N/D</t>
        </is>
      </c>
      <c r="L577" s="127" t="inlineStr">
        <is>
          <t>C.D. EUROPE SRL</t>
        </is>
      </c>
      <c r="M577" s="5" t="n">
        <v>2500</v>
      </c>
      <c r="N577" s="5" t="n"/>
      <c r="O577" s="5">
        <f>+M577+N577</f>
        <v/>
      </c>
      <c r="P577" s="4" t="n"/>
      <c r="Q577" s="87" t="n"/>
      <c r="R577" s="5" t="n"/>
      <c r="S577" s="2" t="n"/>
      <c r="T577" s="3" t="n"/>
      <c r="U577" s="87" t="n"/>
      <c r="V577" s="3" t="n"/>
      <c r="W577" s="108" t="n"/>
      <c r="X577" s="4" t="n"/>
    </row>
    <row r="578" ht="24" customHeight="1">
      <c r="A578" s="2">
        <f>+D578-S578</f>
        <v/>
      </c>
      <c r="B578" s="80" t="n"/>
      <c r="C578" s="70" t="n">
        <v>45490</v>
      </c>
      <c r="D578" s="2" t="n">
        <v>1</v>
      </c>
      <c r="E578" s="3" t="inlineStr">
        <is>
          <t>FUCILE DOPPIETTA</t>
        </is>
      </c>
      <c r="F578" s="3" t="n">
        <v>12</v>
      </c>
      <c r="G578" s="3" t="inlineStr">
        <is>
          <t>FRANCHI</t>
        </is>
      </c>
      <c r="H578" s="65" t="n"/>
      <c r="I578" s="65" t="n">
        <v>14626</v>
      </c>
      <c r="J578" s="65" t="inlineStr">
        <is>
          <t>N/D</t>
        </is>
      </c>
      <c r="K578" s="65" t="inlineStr">
        <is>
          <t>N/D</t>
        </is>
      </c>
      <c r="L578" s="127" t="inlineStr">
        <is>
          <t>C.D. EUROPE SRL</t>
        </is>
      </c>
      <c r="M578" s="5" t="n">
        <v>2500</v>
      </c>
      <c r="N578" s="5" t="n"/>
      <c r="O578" s="5">
        <f>+M578+N578</f>
        <v/>
      </c>
      <c r="P578" s="4" t="n"/>
      <c r="Q578" s="87" t="n"/>
      <c r="R578" s="5" t="n"/>
      <c r="S578" s="2" t="n"/>
      <c r="T578" s="3" t="n"/>
      <c r="U578" s="87" t="n"/>
      <c r="V578" s="3" t="n"/>
      <c r="W578" s="108" t="n"/>
      <c r="X578" s="4" t="n"/>
    </row>
    <row r="579" ht="24" customHeight="1">
      <c r="A579" s="2">
        <f>+D579-S579</f>
        <v/>
      </c>
      <c r="B579" s="80" t="n"/>
      <c r="C579" s="70" t="n">
        <v>45569</v>
      </c>
      <c r="D579" s="2" t="n">
        <v>1</v>
      </c>
      <c r="E579" s="3" t="inlineStr">
        <is>
          <t>PISTOLA SEMIAUTOMATICA</t>
        </is>
      </c>
      <c r="F579" s="3" t="n">
        <v>9</v>
      </c>
      <c r="G579" s="3" t="inlineStr">
        <is>
          <t>SMITH &amp; WESSON</t>
        </is>
      </c>
      <c r="H579" s="65" t="inlineStr">
        <is>
          <t>CSX 3.1</t>
        </is>
      </c>
      <c r="I579" s="65" t="inlineStr">
        <is>
          <t>SEA4568</t>
        </is>
      </c>
      <c r="J579" s="65" t="inlineStr">
        <is>
          <t>N/D</t>
        </is>
      </c>
      <c r="K579" s="65" t="inlineStr">
        <is>
          <t>N/D</t>
        </is>
      </c>
      <c r="L579" s="127" t="inlineStr">
        <is>
          <t>PRIMA ARMI SRL</t>
        </is>
      </c>
      <c r="M579" s="5" t="n">
        <v>608.7</v>
      </c>
      <c r="N579" s="5" t="n"/>
      <c r="O579" s="5">
        <f>+M579+N579</f>
        <v/>
      </c>
      <c r="P579" s="4" t="n"/>
      <c r="Q579" s="87" t="n"/>
      <c r="R579" s="5" t="n">
        <v>790</v>
      </c>
      <c r="S579" s="2" t="n">
        <v>1</v>
      </c>
      <c r="T579" s="3" t="inlineStr">
        <is>
          <t>6B/2024/1S</t>
        </is>
      </c>
      <c r="U579" s="87" t="inlineStr">
        <is>
          <t>13/11/2024</t>
        </is>
      </c>
      <c r="V579" s="3" t="inlineStr">
        <is>
          <t>25</t>
        </is>
      </c>
      <c r="W579" s="108" t="inlineStr">
        <is>
          <t>13/11/2024</t>
        </is>
      </c>
      <c r="X579" s="4" t="inlineStr">
        <is>
          <t>HS &amp; S LLC</t>
        </is>
      </c>
    </row>
    <row r="580" ht="24" customHeight="1">
      <c r="A580" s="2">
        <f>+D580-S580</f>
        <v/>
      </c>
      <c r="B580" s="80" t="n"/>
      <c r="C580" s="70" t="n">
        <v>45569</v>
      </c>
      <c r="D580" s="2" t="n">
        <v>1</v>
      </c>
      <c r="E580" s="3" t="inlineStr">
        <is>
          <t>PISTOLA SEMIAUTOMATICA</t>
        </is>
      </c>
      <c r="F580" s="3" t="n">
        <v>9</v>
      </c>
      <c r="G580" s="3" t="inlineStr">
        <is>
          <t>SMITH &amp; WESSON</t>
        </is>
      </c>
      <c r="H580" s="65" t="inlineStr">
        <is>
          <t>CSX 3.1</t>
        </is>
      </c>
      <c r="I580" s="65" t="inlineStr">
        <is>
          <t>SEA9199</t>
        </is>
      </c>
      <c r="J580" s="65" t="inlineStr">
        <is>
          <t>N/D</t>
        </is>
      </c>
      <c r="K580" s="65" t="inlineStr">
        <is>
          <t>N/D</t>
        </is>
      </c>
      <c r="L580" s="127" t="inlineStr">
        <is>
          <t>PRIMA ARMI SRL</t>
        </is>
      </c>
      <c r="M580" s="5" t="n">
        <v>608.7</v>
      </c>
      <c r="N580" s="5" t="n"/>
      <c r="O580" s="5">
        <f>+M580+N580</f>
        <v/>
      </c>
      <c r="P580" s="4" t="n"/>
      <c r="Q580" s="87" t="n"/>
      <c r="R580" s="5" t="n">
        <v>790</v>
      </c>
      <c r="S580" s="2" t="n">
        <v>1</v>
      </c>
      <c r="T580" s="3" t="inlineStr">
        <is>
          <t>6B/2024/1S</t>
        </is>
      </c>
      <c r="U580" s="87" t="inlineStr">
        <is>
          <t>13/11/2024</t>
        </is>
      </c>
      <c r="V580" s="3" t="inlineStr">
        <is>
          <t>25</t>
        </is>
      </c>
      <c r="W580" s="108" t="inlineStr">
        <is>
          <t>13/11/2024</t>
        </is>
      </c>
      <c r="X580" s="4" t="inlineStr">
        <is>
          <t>HS &amp; S LLC</t>
        </is>
      </c>
    </row>
    <row r="581" ht="24" customHeight="1">
      <c r="A581" s="2">
        <f>+D581-S581</f>
        <v/>
      </c>
      <c r="B581" s="80" t="n"/>
      <c r="C581" s="70" t="n">
        <v>45569</v>
      </c>
      <c r="D581" s="2" t="n">
        <v>1</v>
      </c>
      <c r="E581" s="3" t="inlineStr">
        <is>
          <t>PISTOLA SEMIAUTOMATICA</t>
        </is>
      </c>
      <c r="F581" s="3" t="n">
        <v>9</v>
      </c>
      <c r="G581" s="3" t="inlineStr">
        <is>
          <t>SMITH &amp; WESSON</t>
        </is>
      </c>
      <c r="H581" s="65" t="inlineStr">
        <is>
          <t>CSX 3.1</t>
        </is>
      </c>
      <c r="I581" s="65" t="inlineStr">
        <is>
          <t>SEA9539</t>
        </is>
      </c>
      <c r="J581" s="65" t="inlineStr">
        <is>
          <t>N/D</t>
        </is>
      </c>
      <c r="K581" s="65" t="inlineStr">
        <is>
          <t>N/D</t>
        </is>
      </c>
      <c r="L581" s="127" t="inlineStr">
        <is>
          <t>PRIMA ARMI SRL</t>
        </is>
      </c>
      <c r="M581" s="5" t="n">
        <v>608.7</v>
      </c>
      <c r="N581" s="5" t="n"/>
      <c r="O581" s="5">
        <f>+M581+N581</f>
        <v/>
      </c>
      <c r="P581" s="4" t="n"/>
      <c r="Q581" s="87" t="n"/>
      <c r="R581" s="5" t="n">
        <v>790</v>
      </c>
      <c r="S581" s="2" t="n">
        <v>1</v>
      </c>
      <c r="T581" s="3" t="inlineStr">
        <is>
          <t>6B/2024/1S</t>
        </is>
      </c>
      <c r="U581" s="87" t="inlineStr">
        <is>
          <t>13/11/2024</t>
        </is>
      </c>
      <c r="V581" s="3" t="inlineStr">
        <is>
          <t>25</t>
        </is>
      </c>
      <c r="W581" s="108" t="inlineStr">
        <is>
          <t>13/11/2024</t>
        </is>
      </c>
      <c r="X581" s="4" t="inlineStr">
        <is>
          <t>HS &amp; S LLC</t>
        </is>
      </c>
    </row>
    <row r="582" ht="24" customHeight="1">
      <c r="A582" s="2">
        <f>+D582-S582</f>
        <v/>
      </c>
      <c r="B582" s="80" t="n"/>
      <c r="C582" s="70" t="n">
        <v>45569</v>
      </c>
      <c r="D582" s="2" t="n">
        <v>1</v>
      </c>
      <c r="E582" s="3" t="inlineStr">
        <is>
          <t>PISTOLA SEMIAUTOMATICA</t>
        </is>
      </c>
      <c r="F582" s="3" t="n">
        <v>9</v>
      </c>
      <c r="G582" s="3" t="inlineStr">
        <is>
          <t>SMITH &amp; WESSON</t>
        </is>
      </c>
      <c r="H582" s="65" t="inlineStr">
        <is>
          <t>CSX 3.1</t>
        </is>
      </c>
      <c r="I582" s="65" t="inlineStr">
        <is>
          <t>SEA9574</t>
        </is>
      </c>
      <c r="J582" s="65" t="inlineStr">
        <is>
          <t>N/D</t>
        </is>
      </c>
      <c r="K582" s="65" t="inlineStr">
        <is>
          <t>N/D</t>
        </is>
      </c>
      <c r="L582" s="127" t="inlineStr">
        <is>
          <t>PRIMA ARMI SRL</t>
        </is>
      </c>
      <c r="M582" s="5" t="n">
        <v>608.7</v>
      </c>
      <c r="N582" s="5" t="n"/>
      <c r="O582" s="5">
        <f>+M582+N582</f>
        <v/>
      </c>
      <c r="P582" s="4" t="n"/>
      <c r="Q582" s="87" t="n"/>
      <c r="R582" s="5" t="n">
        <v>790</v>
      </c>
      <c r="S582" s="2" t="n">
        <v>1</v>
      </c>
      <c r="T582" s="3" t="inlineStr">
        <is>
          <t>6B/2024/1S</t>
        </is>
      </c>
      <c r="U582" s="87" t="inlineStr">
        <is>
          <t>13/11/2024</t>
        </is>
      </c>
      <c r="V582" s="3" t="inlineStr">
        <is>
          <t>25</t>
        </is>
      </c>
      <c r="W582" s="108" t="inlineStr">
        <is>
          <t>13/11/2024</t>
        </is>
      </c>
      <c r="X582" s="4" t="inlineStr">
        <is>
          <t>HS &amp; S LLC</t>
        </is>
      </c>
    </row>
    <row r="583" ht="24" customHeight="1">
      <c r="A583" s="2">
        <f>+D583-S583</f>
        <v/>
      </c>
      <c r="B583" s="80" t="n"/>
      <c r="C583" s="70" t="n">
        <v>45569</v>
      </c>
      <c r="D583" s="2" t="n">
        <v>1</v>
      </c>
      <c r="E583" s="3" t="inlineStr">
        <is>
          <t>PISTOLA SEMIAUTOMATICA</t>
        </is>
      </c>
      <c r="F583" s="3" t="inlineStr">
        <is>
          <t>.22 LR</t>
        </is>
      </c>
      <c r="G583" s="3" t="inlineStr">
        <is>
          <t>SMITH &amp; WESSON</t>
        </is>
      </c>
      <c r="H583" s="65" t="inlineStr">
        <is>
          <t>M&amp;P22 COMPACT 3.6</t>
        </is>
      </c>
      <c r="I583" s="65" t="inlineStr">
        <is>
          <t>HJV1994</t>
        </is>
      </c>
      <c r="J583" s="65" t="inlineStr">
        <is>
          <t>N/D</t>
        </is>
      </c>
      <c r="K583" s="65" t="inlineStr">
        <is>
          <t>N/D</t>
        </is>
      </c>
      <c r="L583" s="127" t="inlineStr">
        <is>
          <t>PRIMA ARMI SRL</t>
        </is>
      </c>
      <c r="M583" s="5" t="n">
        <v>416.22</v>
      </c>
      <c r="N583" s="5" t="n"/>
      <c r="O583" s="5">
        <f>+M583+N583</f>
        <v/>
      </c>
      <c r="P583" s="4" t="n"/>
      <c r="Q583" s="87" t="n"/>
      <c r="R583" s="5" t="n">
        <v>690</v>
      </c>
      <c r="S583" s="2" t="n">
        <v>1</v>
      </c>
      <c r="T583" s="3" t="inlineStr">
        <is>
          <t>6B/2024/1S</t>
        </is>
      </c>
      <c r="U583" s="87" t="inlineStr">
        <is>
          <t>13/11/2024</t>
        </is>
      </c>
      <c r="V583" s="3" t="inlineStr">
        <is>
          <t>25</t>
        </is>
      </c>
      <c r="W583" s="108" t="inlineStr">
        <is>
          <t>13/11/2024</t>
        </is>
      </c>
      <c r="X583" s="4" t="inlineStr">
        <is>
          <t>HS &amp; S LLC</t>
        </is>
      </c>
    </row>
    <row r="584" ht="24" customHeight="1">
      <c r="A584" s="2">
        <f>+D584-S584</f>
        <v/>
      </c>
      <c r="B584" s="80" t="n"/>
      <c r="C584" s="70" t="n">
        <v>45569</v>
      </c>
      <c r="D584" s="2" t="n">
        <v>1</v>
      </c>
      <c r="E584" s="3" t="inlineStr">
        <is>
          <t>PISTOLA SEMIAUTOMATICA</t>
        </is>
      </c>
      <c r="F584" s="3" t="inlineStr">
        <is>
          <t>.22 LR</t>
        </is>
      </c>
      <c r="G584" s="3" t="inlineStr">
        <is>
          <t>SMITH &amp; WESSON</t>
        </is>
      </c>
      <c r="H584" s="65" t="inlineStr">
        <is>
          <t>M&amp;P22 COMPACT 3.6</t>
        </is>
      </c>
      <c r="I584" s="65" t="inlineStr">
        <is>
          <t>HJV2009</t>
        </is>
      </c>
      <c r="J584" s="65" t="inlineStr">
        <is>
          <t>N/D</t>
        </is>
      </c>
      <c r="K584" s="65" t="inlineStr">
        <is>
          <t>N/D</t>
        </is>
      </c>
      <c r="L584" s="127" t="inlineStr">
        <is>
          <t>PRIMA ARMI SRL</t>
        </is>
      </c>
      <c r="M584" s="5" t="n">
        <v>416.22</v>
      </c>
      <c r="N584" s="5" t="n"/>
      <c r="O584" s="5">
        <f>+M584+N584</f>
        <v/>
      </c>
      <c r="P584" s="4" t="n"/>
      <c r="Q584" s="87" t="n"/>
      <c r="R584" s="5" t="n">
        <v>690</v>
      </c>
      <c r="S584" s="2" t="n">
        <v>1</v>
      </c>
      <c r="T584" s="3" t="inlineStr">
        <is>
          <t>6B/2024/1S</t>
        </is>
      </c>
      <c r="U584" s="87" t="inlineStr">
        <is>
          <t>13/11/2024</t>
        </is>
      </c>
      <c r="V584" s="3" t="inlineStr">
        <is>
          <t>25</t>
        </is>
      </c>
      <c r="W584" s="108" t="inlineStr">
        <is>
          <t>13/11/2024</t>
        </is>
      </c>
      <c r="X584" s="4" t="inlineStr">
        <is>
          <t>HS &amp; S LLC</t>
        </is>
      </c>
    </row>
    <row r="585" ht="24" customHeight="1">
      <c r="A585" s="2">
        <f>+D585-S585</f>
        <v/>
      </c>
      <c r="B585" s="80" t="n"/>
      <c r="C585" s="70" t="n">
        <v>45569</v>
      </c>
      <c r="D585" s="2" t="n">
        <v>1</v>
      </c>
      <c r="E585" s="3" t="inlineStr">
        <is>
          <t>PISTOLA SEMIAUTOMATICA</t>
        </is>
      </c>
      <c r="F585" s="3" t="inlineStr">
        <is>
          <t>.22 LR</t>
        </is>
      </c>
      <c r="G585" s="3" t="inlineStr">
        <is>
          <t>SMITH &amp; WESSON</t>
        </is>
      </c>
      <c r="H585" s="65" t="inlineStr">
        <is>
          <t>M&amp;P22 COMPACT 3.6</t>
        </is>
      </c>
      <c r="I585" s="65" t="inlineStr">
        <is>
          <t>HJV1990</t>
        </is>
      </c>
      <c r="J585" s="65" t="inlineStr">
        <is>
          <t>N/D</t>
        </is>
      </c>
      <c r="K585" s="65" t="inlineStr">
        <is>
          <t>N/D</t>
        </is>
      </c>
      <c r="L585" s="127" t="inlineStr">
        <is>
          <t>PRIMA ARMI SRL</t>
        </is>
      </c>
      <c r="M585" s="5" t="n">
        <v>416.22</v>
      </c>
      <c r="N585" s="5" t="n"/>
      <c r="O585" s="5">
        <f>+M585+N585</f>
        <v/>
      </c>
      <c r="P585" s="4" t="n"/>
      <c r="Q585" s="87" t="n"/>
      <c r="R585" s="5" t="n">
        <v>690</v>
      </c>
      <c r="S585" s="2" t="n">
        <v>1</v>
      </c>
      <c r="T585" s="3" t="inlineStr">
        <is>
          <t>6B/2024/1S</t>
        </is>
      </c>
      <c r="U585" s="87" t="inlineStr">
        <is>
          <t>13/11/2024</t>
        </is>
      </c>
      <c r="V585" s="3" t="inlineStr">
        <is>
          <t>25</t>
        </is>
      </c>
      <c r="W585" s="108" t="inlineStr">
        <is>
          <t>13/11/2024</t>
        </is>
      </c>
      <c r="X585" s="4" t="inlineStr">
        <is>
          <t>HS &amp; S LLC</t>
        </is>
      </c>
    </row>
    <row r="586" ht="24" customHeight="1">
      <c r="A586" s="2">
        <f>+D586-S586</f>
        <v/>
      </c>
      <c r="B586" s="80" t="n"/>
      <c r="C586" s="70" t="n">
        <v>45569</v>
      </c>
      <c r="D586" s="2" t="n">
        <v>1</v>
      </c>
      <c r="E586" s="3" t="inlineStr">
        <is>
          <t>PISTOLA SEMIAUTOMATICA</t>
        </is>
      </c>
      <c r="F586" s="3" t="n">
        <v>9</v>
      </c>
      <c r="G586" s="3" t="inlineStr">
        <is>
          <t>SMITH &amp; WESSON</t>
        </is>
      </c>
      <c r="H586" s="65" t="inlineStr">
        <is>
          <t>M&amp;P9 SHIELD M2 3.1</t>
        </is>
      </c>
      <c r="I586" s="65" t="inlineStr">
        <is>
          <t>JRS6968</t>
        </is>
      </c>
      <c r="J586" s="65" t="inlineStr">
        <is>
          <t>N/D</t>
        </is>
      </c>
      <c r="K586" s="65" t="inlineStr">
        <is>
          <t>N/D</t>
        </is>
      </c>
      <c r="L586" s="127" t="inlineStr">
        <is>
          <t>PRIMA ARMI SRL</t>
        </is>
      </c>
      <c r="M586" s="5" t="n">
        <v>508.26</v>
      </c>
      <c r="N586" s="5" t="n"/>
      <c r="O586" s="5">
        <f>+M586+N586</f>
        <v/>
      </c>
      <c r="P586" s="4" t="n"/>
      <c r="Q586" s="87" t="n"/>
      <c r="R586" s="5" t="n">
        <v>679</v>
      </c>
      <c r="S586" s="2" t="n">
        <v>1</v>
      </c>
      <c r="T586" s="3" t="inlineStr">
        <is>
          <t>6B/2024/1S</t>
        </is>
      </c>
      <c r="U586" s="87" t="inlineStr">
        <is>
          <t>13/11/2024</t>
        </is>
      </c>
      <c r="V586" s="3" t="inlineStr">
        <is>
          <t>25</t>
        </is>
      </c>
      <c r="W586" s="108" t="inlineStr">
        <is>
          <t>13/11/2024</t>
        </is>
      </c>
      <c r="X586" s="4" t="inlineStr">
        <is>
          <t>HS &amp; S LLC</t>
        </is>
      </c>
    </row>
    <row r="587" ht="24" customHeight="1">
      <c r="A587" s="2">
        <f>+D587-S587</f>
        <v/>
      </c>
      <c r="B587" s="80" t="n"/>
      <c r="C587" s="70" t="n">
        <v>45569</v>
      </c>
      <c r="D587" s="2" t="n">
        <v>1</v>
      </c>
      <c r="E587" s="3" t="inlineStr">
        <is>
          <t>PISTOLA SEMIAUTOMATICA</t>
        </is>
      </c>
      <c r="F587" s="3" t="n">
        <v>9</v>
      </c>
      <c r="G587" s="3" t="inlineStr">
        <is>
          <t>SMITH &amp; WESSON</t>
        </is>
      </c>
      <c r="H587" s="65" t="inlineStr">
        <is>
          <t>M&amp;P9 SHIELD M2 3.1</t>
        </is>
      </c>
      <c r="I587" s="65" t="inlineStr">
        <is>
          <t>JRS6972</t>
        </is>
      </c>
      <c r="J587" s="65" t="inlineStr">
        <is>
          <t>N/D</t>
        </is>
      </c>
      <c r="K587" s="65" t="inlineStr">
        <is>
          <t>N/D</t>
        </is>
      </c>
      <c r="L587" s="127" t="inlineStr">
        <is>
          <t>PRIMA ARMI SRL</t>
        </is>
      </c>
      <c r="M587" s="5" t="n">
        <v>508.26</v>
      </c>
      <c r="N587" s="5" t="n"/>
      <c r="O587" s="5">
        <f>+M587+N587</f>
        <v/>
      </c>
      <c r="P587" s="4" t="n"/>
      <c r="Q587" s="87" t="n"/>
      <c r="R587" s="5" t="n">
        <v>679</v>
      </c>
      <c r="S587" s="2" t="n">
        <v>1</v>
      </c>
      <c r="T587" s="3" t="inlineStr">
        <is>
          <t>6B/2024/1S</t>
        </is>
      </c>
      <c r="U587" s="87" t="inlineStr">
        <is>
          <t>13/11/2024</t>
        </is>
      </c>
      <c r="V587" s="3" t="inlineStr">
        <is>
          <t>25</t>
        </is>
      </c>
      <c r="W587" s="108" t="inlineStr">
        <is>
          <t>13/11/2024</t>
        </is>
      </c>
      <c r="X587" s="4" t="inlineStr">
        <is>
          <t>HS &amp; S LLC</t>
        </is>
      </c>
    </row>
    <row r="588" ht="24" customHeight="1">
      <c r="A588" s="2">
        <f>+D588-S588</f>
        <v/>
      </c>
      <c r="B588" s="80" t="n"/>
      <c r="C588" s="70" t="n">
        <v>45569</v>
      </c>
      <c r="D588" s="2" t="n">
        <v>1</v>
      </c>
      <c r="E588" s="3" t="inlineStr">
        <is>
          <t>PISTOLA SEMIAUTOMATICA</t>
        </is>
      </c>
      <c r="F588" s="3" t="n">
        <v>9</v>
      </c>
      <c r="G588" s="3" t="inlineStr">
        <is>
          <t>SMITH &amp; WESSON</t>
        </is>
      </c>
      <c r="H588" s="65" t="inlineStr">
        <is>
          <t>M&amp;P9 SHIELD M2 3.1</t>
        </is>
      </c>
      <c r="I588" s="65" t="inlineStr">
        <is>
          <t>JRS7000</t>
        </is>
      </c>
      <c r="J588" s="65" t="inlineStr">
        <is>
          <t>N/D</t>
        </is>
      </c>
      <c r="K588" s="65" t="inlineStr">
        <is>
          <t>N/D</t>
        </is>
      </c>
      <c r="L588" s="127" t="inlineStr">
        <is>
          <t>PRIMA ARMI SRL</t>
        </is>
      </c>
      <c r="M588" s="5" t="n">
        <v>508.26</v>
      </c>
      <c r="N588" s="5" t="n"/>
      <c r="O588" s="5">
        <f>+M588+N588</f>
        <v/>
      </c>
      <c r="P588" s="4" t="n"/>
      <c r="Q588" s="87" t="n"/>
      <c r="R588" s="5" t="n">
        <v>679</v>
      </c>
      <c r="S588" s="2" t="n">
        <v>1</v>
      </c>
      <c r="T588" s="3" t="inlineStr">
        <is>
          <t>6B/2024/1S</t>
        </is>
      </c>
      <c r="U588" s="87" t="inlineStr">
        <is>
          <t>13/11/2024</t>
        </is>
      </c>
      <c r="V588" s="3" t="inlineStr">
        <is>
          <t>25</t>
        </is>
      </c>
      <c r="W588" s="108" t="inlineStr">
        <is>
          <t>13/11/2024</t>
        </is>
      </c>
      <c r="X588" s="4" t="inlineStr">
        <is>
          <t>HS &amp; S LLC</t>
        </is>
      </c>
    </row>
    <row r="589" ht="24" customHeight="1">
      <c r="A589" s="2">
        <f>+D589-S589</f>
        <v/>
      </c>
      <c r="B589" s="80" t="n"/>
      <c r="C589" s="70" t="n">
        <v>45569</v>
      </c>
      <c r="D589" s="2" t="n">
        <v>1</v>
      </c>
      <c r="E589" s="3" t="inlineStr">
        <is>
          <t>CARABINA</t>
        </is>
      </c>
      <c r="F589" s="3" t="inlineStr">
        <is>
          <t>.22 LR</t>
        </is>
      </c>
      <c r="G589" s="3" t="inlineStr">
        <is>
          <t>SMITH &amp; WESSON</t>
        </is>
      </c>
      <c r="H589" s="65" t="inlineStr">
        <is>
          <t>M&amp;P15-22 SPORT MOE SL 16.5</t>
        </is>
      </c>
      <c r="I589" s="65" t="inlineStr">
        <is>
          <t>LBL2778</t>
        </is>
      </c>
      <c r="J589" s="65" t="inlineStr">
        <is>
          <t>N/D</t>
        </is>
      </c>
      <c r="K589" s="65" t="inlineStr">
        <is>
          <t>N/D</t>
        </is>
      </c>
      <c r="L589" s="127" t="inlineStr">
        <is>
          <t>PRIMA ARMI SRL</t>
        </is>
      </c>
      <c r="M589" s="5" t="n">
        <v>559.9</v>
      </c>
      <c r="N589" s="5" t="n"/>
      <c r="O589" s="5">
        <f>+M589+N589</f>
        <v/>
      </c>
      <c r="P589" s="4" t="n"/>
      <c r="Q589" s="87" t="n"/>
      <c r="R589" s="5" t="n">
        <v>808</v>
      </c>
      <c r="S589" s="2" t="n">
        <v>1</v>
      </c>
      <c r="T589" s="3" t="inlineStr">
        <is>
          <t>6B/2024/1S</t>
        </is>
      </c>
      <c r="U589" s="87" t="inlineStr">
        <is>
          <t>13/11/2024</t>
        </is>
      </c>
      <c r="V589" s="3" t="inlineStr">
        <is>
          <t>25</t>
        </is>
      </c>
      <c r="W589" s="108" t="inlineStr">
        <is>
          <t>13/11/2024</t>
        </is>
      </c>
      <c r="X589" s="4" t="inlineStr">
        <is>
          <t>HS &amp; S LLC</t>
        </is>
      </c>
    </row>
    <row r="590" ht="24" customHeight="1">
      <c r="A590" s="2">
        <f>+D590-S590</f>
        <v/>
      </c>
      <c r="B590" s="80" t="n"/>
      <c r="C590" s="70" t="n">
        <v>45569</v>
      </c>
      <c r="D590" s="2" t="n">
        <v>1</v>
      </c>
      <c r="E590" s="3" t="inlineStr">
        <is>
          <t>CARABINA</t>
        </is>
      </c>
      <c r="F590" s="3" t="inlineStr">
        <is>
          <t>.22 LR</t>
        </is>
      </c>
      <c r="G590" s="3" t="inlineStr">
        <is>
          <t>SMITH &amp; WESSON</t>
        </is>
      </c>
      <c r="H590" s="65" t="inlineStr">
        <is>
          <t>M&amp;P15-22 SPORT MOE SL 16.5</t>
        </is>
      </c>
      <c r="I590" s="65" t="inlineStr">
        <is>
          <t>LBJ8515</t>
        </is>
      </c>
      <c r="J590" s="65" t="inlineStr">
        <is>
          <t>N/D</t>
        </is>
      </c>
      <c r="K590" s="65" t="inlineStr">
        <is>
          <t>N/D</t>
        </is>
      </c>
      <c r="L590" s="127" t="inlineStr">
        <is>
          <t>PRIMA ARMI SRL</t>
        </is>
      </c>
      <c r="M590" s="5" t="n">
        <v>559.9</v>
      </c>
      <c r="N590" s="5" t="n"/>
      <c r="O590" s="5">
        <f>+M590+N590</f>
        <v/>
      </c>
      <c r="P590" s="4" t="n"/>
      <c r="Q590" s="87" t="n"/>
      <c r="R590" s="5" t="n">
        <v>808</v>
      </c>
      <c r="S590" s="2" t="n">
        <v>1</v>
      </c>
      <c r="T590" s="3" t="inlineStr">
        <is>
          <t>6B/2024/1S</t>
        </is>
      </c>
      <c r="U590" s="87" t="inlineStr">
        <is>
          <t>13/11/2024</t>
        </is>
      </c>
      <c r="V590" s="3" t="inlineStr">
        <is>
          <t>25</t>
        </is>
      </c>
      <c r="W590" s="108" t="inlineStr">
        <is>
          <t>13/11/2024</t>
        </is>
      </c>
      <c r="X590" s="4" t="inlineStr">
        <is>
          <t>HS &amp; S LLC</t>
        </is>
      </c>
    </row>
    <row r="591" ht="24" customHeight="1">
      <c r="A591" s="2">
        <f>+D591-S591</f>
        <v/>
      </c>
      <c r="B591" s="80" t="n"/>
      <c r="C591" s="70" t="n">
        <v>45569</v>
      </c>
      <c r="D591" s="2" t="n">
        <v>1</v>
      </c>
      <c r="E591" s="3" t="inlineStr">
        <is>
          <t>CARABINA</t>
        </is>
      </c>
      <c r="F591" s="3" t="inlineStr">
        <is>
          <t>.22 LR</t>
        </is>
      </c>
      <c r="G591" s="3" t="inlineStr">
        <is>
          <t>SMITH &amp; WESSON</t>
        </is>
      </c>
      <c r="H591" s="65" t="inlineStr">
        <is>
          <t>M&amp;P15-22 SPORT MOE SL 16.5</t>
        </is>
      </c>
      <c r="I591" s="65" t="inlineStr">
        <is>
          <t>LBJ9495</t>
        </is>
      </c>
      <c r="J591" s="65" t="inlineStr">
        <is>
          <t>N/D</t>
        </is>
      </c>
      <c r="K591" s="65" t="inlineStr">
        <is>
          <t>N/D</t>
        </is>
      </c>
      <c r="L591" s="127" t="inlineStr">
        <is>
          <t>PRIMA ARMI SRL</t>
        </is>
      </c>
      <c r="M591" s="5" t="n">
        <v>559.9</v>
      </c>
      <c r="N591" s="5" t="n"/>
      <c r="O591" s="5">
        <f>+M591+N591</f>
        <v/>
      </c>
      <c r="P591" s="4" t="n"/>
      <c r="Q591" s="87" t="n"/>
      <c r="R591" s="5" t="n">
        <v>808</v>
      </c>
      <c r="S591" s="2" t="n">
        <v>1</v>
      </c>
      <c r="T591" s="3" t="inlineStr">
        <is>
          <t>6B/2024/1S</t>
        </is>
      </c>
      <c r="U591" s="87" t="inlineStr">
        <is>
          <t>13/11/2024</t>
        </is>
      </c>
      <c r="V591" s="3" t="inlineStr">
        <is>
          <t>25</t>
        </is>
      </c>
      <c r="W591" s="108" t="inlineStr">
        <is>
          <t>13/11/2024</t>
        </is>
      </c>
      <c r="X591" s="4" t="inlineStr">
        <is>
          <t>HS &amp; S LLC</t>
        </is>
      </c>
    </row>
    <row r="592" ht="24" customHeight="1">
      <c r="A592" s="2">
        <f>+D592-S592</f>
        <v/>
      </c>
      <c r="B592" s="80" t="n"/>
      <c r="C592" s="70" t="n">
        <v>45569</v>
      </c>
      <c r="D592" s="2" t="n">
        <v>1</v>
      </c>
      <c r="E592" s="3" t="inlineStr">
        <is>
          <t>REVOLVER</t>
        </is>
      </c>
      <c r="F592" s="3" t="inlineStr">
        <is>
          <t>.357</t>
        </is>
      </c>
      <c r="G592" s="3" t="inlineStr">
        <is>
          <t>SMITH &amp; WESSON</t>
        </is>
      </c>
      <c r="H592" s="65" t="inlineStr">
        <is>
          <t>PRO SERIES MOD 640</t>
        </is>
      </c>
      <c r="I592" s="65" t="inlineStr">
        <is>
          <t>DNJ1722</t>
        </is>
      </c>
      <c r="J592" s="65" t="inlineStr">
        <is>
          <t>N/D</t>
        </is>
      </c>
      <c r="K592" s="65" t="inlineStr">
        <is>
          <t>N/D</t>
        </is>
      </c>
      <c r="L592" s="127" t="inlineStr">
        <is>
          <t>PRIMA ARMI SRL</t>
        </is>
      </c>
      <c r="M592" s="5" t="n">
        <v>987.58</v>
      </c>
      <c r="N592" s="5" t="n"/>
      <c r="O592" s="5">
        <f>+M592+N592</f>
        <v/>
      </c>
      <c r="P592" s="4" t="n"/>
      <c r="Q592" s="87" t="n"/>
      <c r="R592" s="5" t="n">
        <v>1220</v>
      </c>
      <c r="S592" s="2" t="n">
        <v>1</v>
      </c>
      <c r="T592" s="3" t="inlineStr">
        <is>
          <t>6B/2024/1S</t>
        </is>
      </c>
      <c r="U592" s="87" t="inlineStr">
        <is>
          <t>13/11/2024</t>
        </is>
      </c>
      <c r="V592" s="3" t="inlineStr">
        <is>
          <t>25</t>
        </is>
      </c>
      <c r="W592" s="108" t="inlineStr">
        <is>
          <t>13/11/2024</t>
        </is>
      </c>
      <c r="X592" s="4" t="inlineStr">
        <is>
          <t>HS &amp; S LLC</t>
        </is>
      </c>
    </row>
    <row r="593" ht="24" customHeight="1">
      <c r="A593" s="2">
        <f>+D593-S593</f>
        <v/>
      </c>
      <c r="B593" s="80" t="n"/>
      <c r="C593" s="70" t="n">
        <v>45569</v>
      </c>
      <c r="D593" s="2" t="n">
        <v>1</v>
      </c>
      <c r="E593" s="3" t="inlineStr">
        <is>
          <t>REVOLVER</t>
        </is>
      </c>
      <c r="F593" s="3" t="inlineStr">
        <is>
          <t>.357</t>
        </is>
      </c>
      <c r="G593" s="3" t="inlineStr">
        <is>
          <t>SMITH &amp; WESSON</t>
        </is>
      </c>
      <c r="H593" s="65" t="inlineStr">
        <is>
          <t>PRO SERIES MOD 640</t>
        </is>
      </c>
      <c r="I593" s="65" t="inlineStr">
        <is>
          <t>DNK8473</t>
        </is>
      </c>
      <c r="J593" s="65" t="inlineStr">
        <is>
          <t>N/D</t>
        </is>
      </c>
      <c r="K593" s="65" t="inlineStr">
        <is>
          <t>N/D</t>
        </is>
      </c>
      <c r="L593" s="127" t="inlineStr">
        <is>
          <t>PRIMA ARMI SRL</t>
        </is>
      </c>
      <c r="M593" s="5" t="n">
        <v>987.58</v>
      </c>
      <c r="N593" s="5" t="n"/>
      <c r="O593" s="5">
        <f>+M593+N593</f>
        <v/>
      </c>
      <c r="P593" s="4" t="n"/>
      <c r="Q593" s="87" t="n"/>
      <c r="R593" s="5" t="n">
        <v>1220</v>
      </c>
      <c r="S593" s="2" t="n">
        <v>1</v>
      </c>
      <c r="T593" s="3" t="inlineStr">
        <is>
          <t>6B/2024/1S</t>
        </is>
      </c>
      <c r="U593" s="87" t="inlineStr">
        <is>
          <t>13/11/2024</t>
        </is>
      </c>
      <c r="V593" s="3" t="inlineStr">
        <is>
          <t>25</t>
        </is>
      </c>
      <c r="W593" s="108" t="inlineStr">
        <is>
          <t>13/11/2024</t>
        </is>
      </c>
      <c r="X593" s="4" t="inlineStr">
        <is>
          <t>HS &amp; S LLC</t>
        </is>
      </c>
    </row>
    <row r="594" ht="24" customHeight="1">
      <c r="A594" s="2">
        <f>+D594-S594</f>
        <v/>
      </c>
      <c r="B594" s="80" t="n"/>
      <c r="C594" s="70" t="n">
        <v>45569</v>
      </c>
      <c r="D594" s="2" t="n">
        <v>1</v>
      </c>
      <c r="E594" s="3" t="inlineStr">
        <is>
          <t>REVOLVER</t>
        </is>
      </c>
      <c r="F594" s="3" t="inlineStr">
        <is>
          <t>.357</t>
        </is>
      </c>
      <c r="G594" s="3" t="inlineStr">
        <is>
          <t>SMITH &amp; WESSON</t>
        </is>
      </c>
      <c r="H594" s="65" t="inlineStr">
        <is>
          <t>PRO SERIES MOD 640</t>
        </is>
      </c>
      <c r="I594" s="65" t="inlineStr">
        <is>
          <t>DNL3709</t>
        </is>
      </c>
      <c r="J594" s="65" t="inlineStr">
        <is>
          <t>N/D</t>
        </is>
      </c>
      <c r="K594" s="65" t="inlineStr">
        <is>
          <t>N/D</t>
        </is>
      </c>
      <c r="L594" s="127" t="inlineStr">
        <is>
          <t>PRIMA ARMI SRL</t>
        </is>
      </c>
      <c r="M594" s="5" t="n">
        <v>987.58</v>
      </c>
      <c r="N594" s="5" t="n"/>
      <c r="O594" s="5">
        <f>+M594+N594</f>
        <v/>
      </c>
      <c r="P594" s="4" t="n"/>
      <c r="Q594" s="87" t="n"/>
      <c r="R594" s="5" t="n">
        <v>1220</v>
      </c>
      <c r="S594" s="2" t="n">
        <v>1</v>
      </c>
      <c r="T594" s="3" t="inlineStr">
        <is>
          <t>6B/2024/1S</t>
        </is>
      </c>
      <c r="U594" s="87" t="inlineStr">
        <is>
          <t>13/11/2024</t>
        </is>
      </c>
      <c r="V594" s="3" t="inlineStr">
        <is>
          <t>25</t>
        </is>
      </c>
      <c r="W594" s="108" t="inlineStr">
        <is>
          <t>13/11/2024</t>
        </is>
      </c>
      <c r="X594" s="4" t="inlineStr">
        <is>
          <t>HS &amp; S LLC</t>
        </is>
      </c>
    </row>
    <row r="595" ht="24" customHeight="1">
      <c r="A595" s="2">
        <f>+D595-S595</f>
        <v/>
      </c>
      <c r="B595" s="80" t="n">
        <v>2334</v>
      </c>
      <c r="C595" s="66" t="n">
        <v>45593</v>
      </c>
      <c r="D595" s="2" t="n">
        <v>1</v>
      </c>
      <c r="E595" s="3" t="inlineStr">
        <is>
          <t>PISTOLA SEMIAUTOMATICA</t>
        </is>
      </c>
      <c r="F595" s="3" t="inlineStr">
        <is>
          <t>.357</t>
        </is>
      </c>
      <c r="G595" s="71" t="inlineStr">
        <is>
          <t>GLOCK</t>
        </is>
      </c>
      <c r="H595" s="65" t="inlineStr">
        <is>
          <t>31 GEN 4</t>
        </is>
      </c>
      <c r="I595" s="65" t="inlineStr">
        <is>
          <t>BYDP989</t>
        </is>
      </c>
      <c r="J595" s="65" t="inlineStr">
        <is>
          <t>N/D</t>
        </is>
      </c>
      <c r="K595" s="65" t="inlineStr">
        <is>
          <t>N/D</t>
        </is>
      </c>
      <c r="L595" s="127" t="inlineStr">
        <is>
          <t>BIGNAMI SPA</t>
        </is>
      </c>
      <c r="M595" s="5" t="n">
        <v>406.1811</v>
      </c>
      <c r="N595" s="5" t="n"/>
      <c r="O595" s="5">
        <f>+M595+N595</f>
        <v/>
      </c>
      <c r="P595" s="4" t="n"/>
      <c r="Q595" s="87" t="n"/>
      <c r="R595" s="5" t="n">
        <v>501</v>
      </c>
      <c r="S595" s="2" t="n">
        <v>1</v>
      </c>
      <c r="T595" s="3" t="inlineStr">
        <is>
          <t>6B/2024/1S</t>
        </is>
      </c>
      <c r="U595" s="87" t="inlineStr">
        <is>
          <t>13/11/2024</t>
        </is>
      </c>
      <c r="V595" s="3" t="inlineStr">
        <is>
          <t>25</t>
        </is>
      </c>
      <c r="W595" s="108" t="inlineStr">
        <is>
          <t>13/11/2024</t>
        </is>
      </c>
      <c r="X595" s="4" t="inlineStr">
        <is>
          <t>HS &amp; S LLC</t>
        </is>
      </c>
    </row>
    <row r="596" ht="24" customHeight="1">
      <c r="A596" s="2">
        <f>+D596-S596</f>
        <v/>
      </c>
      <c r="B596" s="80" t="n">
        <v>2335</v>
      </c>
      <c r="C596" s="66" t="n">
        <v>45593</v>
      </c>
      <c r="D596" s="2" t="n">
        <v>1</v>
      </c>
      <c r="E596" s="3" t="inlineStr">
        <is>
          <t>PISTOLA SEMIAUTOMATICA</t>
        </is>
      </c>
      <c r="F596" s="3" t="inlineStr">
        <is>
          <t>.357</t>
        </is>
      </c>
      <c r="G596" s="71" t="inlineStr">
        <is>
          <t>GLOCK</t>
        </is>
      </c>
      <c r="H596" s="65" t="inlineStr">
        <is>
          <t>31 GEN 4</t>
        </is>
      </c>
      <c r="I596" s="65" t="inlineStr">
        <is>
          <t>BYDP988</t>
        </is>
      </c>
      <c r="J596" s="65" t="inlineStr">
        <is>
          <t>N/D</t>
        </is>
      </c>
      <c r="K596" s="65" t="inlineStr">
        <is>
          <t>N/D</t>
        </is>
      </c>
      <c r="L596" s="127" t="inlineStr">
        <is>
          <t>BIGNAMI SPA</t>
        </is>
      </c>
      <c r="M596" s="5" t="n">
        <v>406.1811</v>
      </c>
      <c r="N596" s="5" t="n"/>
      <c r="O596" s="5">
        <f>+M596+N596</f>
        <v/>
      </c>
      <c r="P596" s="4" t="n"/>
      <c r="Q596" s="87" t="n"/>
      <c r="R596" s="5" t="n">
        <v>501</v>
      </c>
      <c r="S596" s="2" t="n">
        <v>1</v>
      </c>
      <c r="T596" s="3" t="inlineStr">
        <is>
          <t>6B/2024/1S</t>
        </is>
      </c>
      <c r="U596" s="87" t="inlineStr">
        <is>
          <t>13/11/2024</t>
        </is>
      </c>
      <c r="V596" s="3" t="inlineStr">
        <is>
          <t>25</t>
        </is>
      </c>
      <c r="W596" s="108" t="inlineStr">
        <is>
          <t>13/11/2024</t>
        </is>
      </c>
      <c r="X596" s="4" t="inlineStr">
        <is>
          <t>HS &amp; S LLC</t>
        </is>
      </c>
    </row>
    <row r="597" ht="24" customHeight="1">
      <c r="A597" s="2">
        <f>+D597-S597</f>
        <v/>
      </c>
      <c r="B597" s="80" t="n">
        <v>2336</v>
      </c>
      <c r="C597" s="66" t="n">
        <v>45593</v>
      </c>
      <c r="D597" s="2" t="n">
        <v>1</v>
      </c>
      <c r="E597" s="3" t="inlineStr">
        <is>
          <t>PISTOLA SEMIAUTOMATICA</t>
        </is>
      </c>
      <c r="F597" s="3" t="inlineStr">
        <is>
          <t>.357</t>
        </is>
      </c>
      <c r="G597" s="71" t="inlineStr">
        <is>
          <t>RUGER</t>
        </is>
      </c>
      <c r="H597" s="65" t="inlineStr">
        <is>
          <t>LCR-X</t>
        </is>
      </c>
      <c r="I597" s="65" t="inlineStr">
        <is>
          <t>1540-57366</t>
        </is>
      </c>
      <c r="J597" s="65" t="inlineStr">
        <is>
          <t>N/D</t>
        </is>
      </c>
      <c r="K597" s="65" t="inlineStr">
        <is>
          <t>N/D</t>
        </is>
      </c>
      <c r="L597" s="127" t="inlineStr">
        <is>
          <t>BIGNAMI SPA</t>
        </is>
      </c>
      <c r="M597" s="5" t="n">
        <v>654.4422</v>
      </c>
      <c r="N597" s="5" t="n"/>
      <c r="O597" s="5">
        <f>+M597+N597</f>
        <v/>
      </c>
      <c r="P597" s="4" t="n"/>
      <c r="Q597" s="87" t="n"/>
      <c r="R597" s="5" t="n">
        <v>720</v>
      </c>
      <c r="S597" s="2" t="n">
        <v>1</v>
      </c>
      <c r="T597" s="3" t="inlineStr">
        <is>
          <t>6B/2024/1S</t>
        </is>
      </c>
      <c r="U597" s="87" t="inlineStr">
        <is>
          <t>13/11/2024</t>
        </is>
      </c>
      <c r="V597" s="3" t="inlineStr">
        <is>
          <t>25</t>
        </is>
      </c>
      <c r="W597" s="108" t="inlineStr">
        <is>
          <t>13/11/2024</t>
        </is>
      </c>
      <c r="X597" s="4" t="inlineStr">
        <is>
          <t>HS &amp; S LLC</t>
        </is>
      </c>
    </row>
    <row r="598" ht="24" customHeight="1">
      <c r="A598" s="2">
        <f>+D598-S598</f>
        <v/>
      </c>
      <c r="B598" s="80" t="n">
        <v>2337</v>
      </c>
      <c r="C598" s="66" t="n">
        <v>45593</v>
      </c>
      <c r="D598" s="2" t="n">
        <v>1</v>
      </c>
      <c r="E598" s="3" t="inlineStr">
        <is>
          <t>PISTOLA SEMIAUTOMATICA</t>
        </is>
      </c>
      <c r="F598" s="3" t="inlineStr">
        <is>
          <t>9X19</t>
        </is>
      </c>
      <c r="G598" s="71" t="inlineStr">
        <is>
          <t>GLOCK</t>
        </is>
      </c>
      <c r="H598" s="65" t="inlineStr">
        <is>
          <t xml:space="preserve"> 17 GEN5 LUGER</t>
        </is>
      </c>
      <c r="I598" s="65" t="inlineStr">
        <is>
          <t>CDFX502</t>
        </is>
      </c>
      <c r="J598" s="65" t="inlineStr">
        <is>
          <t>N/D</t>
        </is>
      </c>
      <c r="K598" s="65" t="inlineStr">
        <is>
          <t>N/D</t>
        </is>
      </c>
      <c r="L598" s="127" t="inlineStr">
        <is>
          <t>BIGNAMI SPA</t>
        </is>
      </c>
      <c r="M598" s="5" t="n">
        <v>447.295</v>
      </c>
      <c r="N598" s="5" t="n"/>
      <c r="O598" s="5">
        <f>+M598+N598</f>
        <v/>
      </c>
      <c r="P598" s="4" t="n"/>
      <c r="Q598" s="87" t="n"/>
      <c r="R598" s="5" t="n">
        <v>500</v>
      </c>
      <c r="S598" s="2" t="n">
        <v>1</v>
      </c>
      <c r="T598" s="3" t="inlineStr">
        <is>
          <t>6B/2024/1S</t>
        </is>
      </c>
      <c r="U598" s="87" t="inlineStr">
        <is>
          <t>13/11/2024</t>
        </is>
      </c>
      <c r="V598" s="3" t="inlineStr">
        <is>
          <t>25</t>
        </is>
      </c>
      <c r="W598" s="108" t="inlineStr">
        <is>
          <t>13/11/2024</t>
        </is>
      </c>
      <c r="X598" s="4" t="inlineStr">
        <is>
          <t>HS &amp; S LLC</t>
        </is>
      </c>
    </row>
    <row r="599" ht="24" customHeight="1">
      <c r="A599" s="2">
        <f>+D599-S599</f>
        <v/>
      </c>
      <c r="B599" s="80" t="n">
        <v>2338</v>
      </c>
      <c r="C599" s="66" t="n">
        <v>45593</v>
      </c>
      <c r="D599" s="2" t="n">
        <v>1</v>
      </c>
      <c r="E599" s="3" t="inlineStr">
        <is>
          <t>PISTOLA SEMIAUTOMATICA</t>
        </is>
      </c>
      <c r="F599" s="3" t="inlineStr">
        <is>
          <t>9X19</t>
        </is>
      </c>
      <c r="G599" s="71" t="inlineStr">
        <is>
          <t>GLOCK</t>
        </is>
      </c>
      <c r="H599" s="65" t="inlineStr">
        <is>
          <t xml:space="preserve"> 17 GEN5 LUGER</t>
        </is>
      </c>
      <c r="I599" s="65" t="inlineStr">
        <is>
          <t>CDFX504</t>
        </is>
      </c>
      <c r="J599" s="65" t="inlineStr">
        <is>
          <t>N/D</t>
        </is>
      </c>
      <c r="K599" s="65" t="inlineStr">
        <is>
          <t>N/D</t>
        </is>
      </c>
      <c r="L599" s="127" t="inlineStr">
        <is>
          <t>BIGNAMI SPA</t>
        </is>
      </c>
      <c r="M599" s="5" t="n">
        <v>447.295</v>
      </c>
      <c r="N599" s="5" t="n"/>
      <c r="O599" s="5">
        <f>+M599+N599</f>
        <v/>
      </c>
      <c r="P599" s="4" t="n"/>
      <c r="Q599" s="87" t="n"/>
      <c r="R599" s="5" t="n">
        <v>500</v>
      </c>
      <c r="S599" s="2" t="n">
        <v>1</v>
      </c>
      <c r="T599" s="3" t="inlineStr">
        <is>
          <t>6B/2024/1S</t>
        </is>
      </c>
      <c r="U599" s="87" t="inlineStr">
        <is>
          <t>13/11/2024</t>
        </is>
      </c>
      <c r="V599" s="3" t="inlineStr">
        <is>
          <t>25</t>
        </is>
      </c>
      <c r="W599" s="108" t="inlineStr">
        <is>
          <t>13/11/2024</t>
        </is>
      </c>
      <c r="X599" s="4" t="inlineStr">
        <is>
          <t>HS &amp; S LLC</t>
        </is>
      </c>
    </row>
    <row r="600" ht="24" customHeight="1">
      <c r="A600" s="2">
        <f>+D600-S600</f>
        <v/>
      </c>
      <c r="B600" s="80" t="n">
        <v>2339</v>
      </c>
      <c r="C600" s="66" t="n">
        <v>45593</v>
      </c>
      <c r="D600" s="2" t="n">
        <v>1</v>
      </c>
      <c r="E600" s="3" t="inlineStr">
        <is>
          <t>PISTOLA SEMIAUTOMATICA</t>
        </is>
      </c>
      <c r="F600" s="3" t="inlineStr">
        <is>
          <t>9X19</t>
        </is>
      </c>
      <c r="G600" s="71" t="inlineStr">
        <is>
          <t>GLOCK</t>
        </is>
      </c>
      <c r="H600" s="65" t="inlineStr">
        <is>
          <t xml:space="preserve"> 17 GEN5 LUGER</t>
        </is>
      </c>
      <c r="I600" s="65" t="inlineStr">
        <is>
          <t>CDFX506</t>
        </is>
      </c>
      <c r="J600" s="65" t="inlineStr">
        <is>
          <t>N/D</t>
        </is>
      </c>
      <c r="K600" s="65" t="inlineStr">
        <is>
          <t>N/D</t>
        </is>
      </c>
      <c r="L600" s="127" t="inlineStr">
        <is>
          <t>BIGNAMI SPA</t>
        </is>
      </c>
      <c r="M600" s="5" t="n">
        <v>447.295</v>
      </c>
      <c r="N600" s="5" t="n"/>
      <c r="O600" s="5">
        <f>+M600+N600</f>
        <v/>
      </c>
      <c r="P600" s="4" t="n"/>
      <c r="Q600" s="87" t="n"/>
      <c r="R600" s="5" t="n">
        <v>500</v>
      </c>
      <c r="S600" s="2" t="n">
        <v>1</v>
      </c>
      <c r="T600" s="3" t="inlineStr">
        <is>
          <t>6B/2024/1S</t>
        </is>
      </c>
      <c r="U600" s="87" t="inlineStr">
        <is>
          <t>13/11/2024</t>
        </is>
      </c>
      <c r="V600" s="3" t="inlineStr">
        <is>
          <t>25</t>
        </is>
      </c>
      <c r="W600" s="108" t="inlineStr">
        <is>
          <t>13/11/2024</t>
        </is>
      </c>
      <c r="X600" s="4" t="inlineStr">
        <is>
          <t>HS &amp; S LLC</t>
        </is>
      </c>
    </row>
    <row r="601" ht="24" customHeight="1">
      <c r="A601" s="2">
        <f>+D601-S601</f>
        <v/>
      </c>
      <c r="B601" s="80" t="n">
        <v>2340</v>
      </c>
      <c r="C601" s="66" t="n">
        <v>45593</v>
      </c>
      <c r="D601" s="2" t="n">
        <v>1</v>
      </c>
      <c r="E601" s="3" t="inlineStr">
        <is>
          <t>PISTOLA SEMIAUTOMATICA</t>
        </is>
      </c>
      <c r="F601" s="3" t="inlineStr">
        <is>
          <t>9X19</t>
        </is>
      </c>
      <c r="G601" s="71" t="inlineStr">
        <is>
          <t>GLOCK</t>
        </is>
      </c>
      <c r="H601" s="65" t="inlineStr">
        <is>
          <t xml:space="preserve"> 17 GEN5 LUGER</t>
        </is>
      </c>
      <c r="I601" s="65" t="inlineStr">
        <is>
          <t>CDFX507</t>
        </is>
      </c>
      <c r="J601" s="65" t="inlineStr">
        <is>
          <t>N/D</t>
        </is>
      </c>
      <c r="K601" s="65" t="inlineStr">
        <is>
          <t>N/D</t>
        </is>
      </c>
      <c r="L601" s="127" t="inlineStr">
        <is>
          <t>BIGNAMI SPA</t>
        </is>
      </c>
      <c r="M601" s="5" t="n">
        <v>447.295</v>
      </c>
      <c r="N601" s="5" t="n"/>
      <c r="O601" s="5">
        <f>+M601+N601</f>
        <v/>
      </c>
      <c r="P601" s="4" t="n"/>
      <c r="Q601" s="87" t="n"/>
      <c r="R601" s="5" t="n">
        <v>500</v>
      </c>
      <c r="S601" s="2" t="n">
        <v>1</v>
      </c>
      <c r="T601" s="3" t="inlineStr">
        <is>
          <t>6B/2024/1S</t>
        </is>
      </c>
      <c r="U601" s="87" t="inlineStr">
        <is>
          <t>13/11/2024</t>
        </is>
      </c>
      <c r="V601" s="3" t="inlineStr">
        <is>
          <t>25</t>
        </is>
      </c>
      <c r="W601" s="108" t="inlineStr">
        <is>
          <t>13/11/2024</t>
        </is>
      </c>
      <c r="X601" s="4" t="inlineStr">
        <is>
          <t>HS &amp; S LLC</t>
        </is>
      </c>
    </row>
    <row r="602" ht="24" customHeight="1">
      <c r="A602" s="2">
        <f>+D602-S602</f>
        <v/>
      </c>
      <c r="B602" s="80" t="n">
        <v>2341</v>
      </c>
      <c r="C602" s="66" t="n">
        <v>45593</v>
      </c>
      <c r="D602" s="2" t="n">
        <v>1</v>
      </c>
      <c r="E602" s="3" t="inlineStr">
        <is>
          <t>PISTOLA SEMIAUTOMATICA</t>
        </is>
      </c>
      <c r="F602" s="3" t="inlineStr">
        <is>
          <t>9X19</t>
        </is>
      </c>
      <c r="G602" s="71" t="inlineStr">
        <is>
          <t>GLOCK</t>
        </is>
      </c>
      <c r="H602" s="65" t="inlineStr">
        <is>
          <t xml:space="preserve"> 17 GEN5 LUGER</t>
        </is>
      </c>
      <c r="I602" s="65" t="inlineStr">
        <is>
          <t>CDFX536</t>
        </is>
      </c>
      <c r="J602" s="65" t="inlineStr">
        <is>
          <t>N/D</t>
        </is>
      </c>
      <c r="K602" s="65" t="inlineStr">
        <is>
          <t>N/D</t>
        </is>
      </c>
      <c r="L602" s="127" t="inlineStr">
        <is>
          <t>BIGNAMI SPA</t>
        </is>
      </c>
      <c r="M602" s="5" t="n">
        <v>447.295</v>
      </c>
      <c r="N602" s="5" t="n"/>
      <c r="O602" s="5">
        <f>+M602+N602</f>
        <v/>
      </c>
      <c r="P602" s="4" t="n"/>
      <c r="Q602" s="87" t="n"/>
      <c r="R602" s="5" t="n">
        <v>500</v>
      </c>
      <c r="S602" s="2" t="n">
        <v>1</v>
      </c>
      <c r="T602" s="3" t="inlineStr">
        <is>
          <t>6B/2024/1S</t>
        </is>
      </c>
      <c r="U602" s="87" t="inlineStr">
        <is>
          <t>13/11/2024</t>
        </is>
      </c>
      <c r="V602" s="3" t="inlineStr">
        <is>
          <t>25</t>
        </is>
      </c>
      <c r="W602" s="108" t="inlineStr">
        <is>
          <t>13/11/2024</t>
        </is>
      </c>
      <c r="X602" s="4" t="inlineStr">
        <is>
          <t>HS &amp; S LLC</t>
        </is>
      </c>
    </row>
    <row r="603" ht="24" customHeight="1">
      <c r="A603" s="2">
        <f>+D603-S603</f>
        <v/>
      </c>
      <c r="B603" s="80" t="n">
        <v>2342</v>
      </c>
      <c r="C603" s="66" t="n">
        <v>45593</v>
      </c>
      <c r="D603" s="2" t="n">
        <v>1</v>
      </c>
      <c r="E603" s="3" t="inlineStr">
        <is>
          <t>PISTOLA SEMIAUTOMATICA</t>
        </is>
      </c>
      <c r="F603" s="3" t="inlineStr">
        <is>
          <t>9X19</t>
        </is>
      </c>
      <c r="G603" s="71" t="inlineStr">
        <is>
          <t>GLOCK</t>
        </is>
      </c>
      <c r="H603" s="65" t="inlineStr">
        <is>
          <t xml:space="preserve"> 17 GEN5 LUGER</t>
        </is>
      </c>
      <c r="I603" s="65" t="inlineStr">
        <is>
          <t>CDFX531</t>
        </is>
      </c>
      <c r="J603" s="65" t="inlineStr">
        <is>
          <t>N/D</t>
        </is>
      </c>
      <c r="K603" s="65" t="inlineStr">
        <is>
          <t>N/D</t>
        </is>
      </c>
      <c r="L603" s="127" t="inlineStr">
        <is>
          <t>BIGNAMI SPA</t>
        </is>
      </c>
      <c r="M603" s="5" t="n">
        <v>447.295</v>
      </c>
      <c r="N603" s="5" t="n"/>
      <c r="O603" s="5">
        <f>+M603+N603</f>
        <v/>
      </c>
      <c r="P603" s="4" t="n"/>
      <c r="Q603" s="87" t="n"/>
      <c r="R603" s="5" t="n">
        <v>500</v>
      </c>
      <c r="S603" s="2" t="n">
        <v>1</v>
      </c>
      <c r="T603" s="3" t="inlineStr">
        <is>
          <t>6B/2024/1S</t>
        </is>
      </c>
      <c r="U603" s="87" t="inlineStr">
        <is>
          <t>13/11/2024</t>
        </is>
      </c>
      <c r="V603" s="3" t="inlineStr">
        <is>
          <t>25</t>
        </is>
      </c>
      <c r="W603" s="108" t="inlineStr">
        <is>
          <t>13/11/2024</t>
        </is>
      </c>
      <c r="X603" s="4" t="inlineStr">
        <is>
          <t>HS &amp; S LLC</t>
        </is>
      </c>
    </row>
    <row r="604" ht="24" customHeight="1">
      <c r="A604" s="2">
        <f>+D604-S604</f>
        <v/>
      </c>
      <c r="B604" s="80" t="n">
        <v>2343</v>
      </c>
      <c r="C604" s="66" t="n">
        <v>45593</v>
      </c>
      <c r="D604" s="2" t="n">
        <v>1</v>
      </c>
      <c r="E604" s="3" t="inlineStr">
        <is>
          <t>PISTOLA SEMIAUTOMATICA</t>
        </is>
      </c>
      <c r="F604" s="3" t="inlineStr">
        <is>
          <t>9X19</t>
        </is>
      </c>
      <c r="G604" s="71" t="inlineStr">
        <is>
          <t>GLOCK</t>
        </is>
      </c>
      <c r="H604" s="65" t="inlineStr">
        <is>
          <t xml:space="preserve"> 17 GEN5 LUGER</t>
        </is>
      </c>
      <c r="I604" s="65" t="inlineStr">
        <is>
          <t>CDFX534</t>
        </is>
      </c>
      <c r="J604" s="65" t="inlineStr">
        <is>
          <t>N/D</t>
        </is>
      </c>
      <c r="K604" s="65" t="inlineStr">
        <is>
          <t>N/D</t>
        </is>
      </c>
      <c r="L604" s="127" t="inlineStr">
        <is>
          <t>BIGNAMI SPA</t>
        </is>
      </c>
      <c r="M604" s="5" t="n">
        <v>447.295</v>
      </c>
      <c r="N604" s="5" t="n"/>
      <c r="O604" s="5">
        <f>+M604+N604</f>
        <v/>
      </c>
      <c r="P604" s="4" t="n"/>
      <c r="Q604" s="87" t="n"/>
      <c r="R604" s="5" t="n">
        <v>500</v>
      </c>
      <c r="S604" s="2" t="n">
        <v>1</v>
      </c>
      <c r="T604" s="3" t="inlineStr">
        <is>
          <t>6B/2024/1S</t>
        </is>
      </c>
      <c r="U604" s="87" t="inlineStr">
        <is>
          <t>13/11/2024</t>
        </is>
      </c>
      <c r="V604" s="3" t="inlineStr">
        <is>
          <t>25</t>
        </is>
      </c>
      <c r="W604" s="108" t="inlineStr">
        <is>
          <t>13/11/2024</t>
        </is>
      </c>
      <c r="X604" s="4" t="inlineStr">
        <is>
          <t>HS &amp; S LLC</t>
        </is>
      </c>
    </row>
    <row r="605" ht="24" customHeight="1">
      <c r="A605" s="2">
        <f>+D605-S605</f>
        <v/>
      </c>
      <c r="B605" s="80" t="n">
        <v>2344</v>
      </c>
      <c r="C605" s="66" t="n">
        <v>45593</v>
      </c>
      <c r="D605" s="2" t="n">
        <v>1</v>
      </c>
      <c r="E605" s="3" t="inlineStr">
        <is>
          <t>PISTOLA SEMIAUTOMATICA</t>
        </is>
      </c>
      <c r="F605" s="3" t="inlineStr">
        <is>
          <t>9X19</t>
        </is>
      </c>
      <c r="G605" s="71" t="inlineStr">
        <is>
          <t>GLOCK</t>
        </is>
      </c>
      <c r="H605" s="65" t="inlineStr">
        <is>
          <t xml:space="preserve"> 17 GEN5 LUGER</t>
        </is>
      </c>
      <c r="I605" s="65" t="inlineStr">
        <is>
          <t>CDFX535</t>
        </is>
      </c>
      <c r="J605" s="65" t="inlineStr">
        <is>
          <t>N/D</t>
        </is>
      </c>
      <c r="K605" s="65" t="inlineStr">
        <is>
          <t>N/D</t>
        </is>
      </c>
      <c r="L605" s="127" t="inlineStr">
        <is>
          <t>BIGNAMI SPA</t>
        </is>
      </c>
      <c r="M605" s="5" t="n">
        <v>447.295</v>
      </c>
      <c r="N605" s="5" t="n"/>
      <c r="O605" s="5">
        <f>+M605+N605</f>
        <v/>
      </c>
      <c r="P605" s="4" t="n"/>
      <c r="Q605" s="87" t="n"/>
      <c r="R605" s="5" t="n">
        <v>500</v>
      </c>
      <c r="S605" s="2" t="n">
        <v>1</v>
      </c>
      <c r="T605" s="3" t="inlineStr">
        <is>
          <t>6B/2024/1S</t>
        </is>
      </c>
      <c r="U605" s="87" t="inlineStr">
        <is>
          <t>13/11/2024</t>
        </is>
      </c>
      <c r="V605" s="3" t="inlineStr">
        <is>
          <t>25</t>
        </is>
      </c>
      <c r="W605" s="108" t="inlineStr">
        <is>
          <t>13/11/2024</t>
        </is>
      </c>
      <c r="X605" s="4" t="inlineStr">
        <is>
          <t>HS &amp; S LLC</t>
        </is>
      </c>
    </row>
    <row r="606" ht="24" customHeight="1">
      <c r="A606" s="2">
        <f>+D606-S606</f>
        <v/>
      </c>
      <c r="B606" s="80" t="n">
        <v>2345</v>
      </c>
      <c r="C606" s="66" t="n">
        <v>45593</v>
      </c>
      <c r="D606" s="2" t="n">
        <v>1</v>
      </c>
      <c r="E606" s="3" t="inlineStr">
        <is>
          <t>PISTOLA SEMIAUTOMATICA</t>
        </is>
      </c>
      <c r="F606" s="3" t="inlineStr">
        <is>
          <t>9X19</t>
        </is>
      </c>
      <c r="G606" s="71" t="inlineStr">
        <is>
          <t>GLOCK</t>
        </is>
      </c>
      <c r="H606" s="65" t="inlineStr">
        <is>
          <t xml:space="preserve"> 17 GEN5 LUGER</t>
        </is>
      </c>
      <c r="I606" s="65" t="inlineStr">
        <is>
          <t>CDFX532</t>
        </is>
      </c>
      <c r="J606" s="65" t="inlineStr">
        <is>
          <t>N/D</t>
        </is>
      </c>
      <c r="K606" s="65" t="inlineStr">
        <is>
          <t>N/D</t>
        </is>
      </c>
      <c r="L606" s="127" t="inlineStr">
        <is>
          <t>BIGNAMI SPA</t>
        </is>
      </c>
      <c r="M606" s="5" t="n">
        <v>447.295</v>
      </c>
      <c r="N606" s="5" t="n"/>
      <c r="O606" s="5">
        <f>+M606+N606</f>
        <v/>
      </c>
      <c r="P606" s="4" t="n"/>
      <c r="Q606" s="87" t="n"/>
      <c r="R606" s="5" t="n">
        <v>500</v>
      </c>
      <c r="S606" s="2" t="n">
        <v>1</v>
      </c>
      <c r="T606" s="3" t="inlineStr">
        <is>
          <t>6B/2024/1S</t>
        </is>
      </c>
      <c r="U606" s="87" t="inlineStr">
        <is>
          <t>13/11/2024</t>
        </is>
      </c>
      <c r="V606" s="3" t="inlineStr">
        <is>
          <t>25</t>
        </is>
      </c>
      <c r="W606" s="108" t="inlineStr">
        <is>
          <t>13/11/2024</t>
        </is>
      </c>
      <c r="X606" s="4" t="inlineStr">
        <is>
          <t>HS &amp; S LLC</t>
        </is>
      </c>
    </row>
    <row r="607" ht="24" customHeight="1">
      <c r="A607" s="2">
        <f>+D607-S607</f>
        <v/>
      </c>
      <c r="B607" s="80" t="n">
        <v>2346</v>
      </c>
      <c r="C607" s="66" t="n">
        <v>45593</v>
      </c>
      <c r="D607" s="2" t="n">
        <v>1</v>
      </c>
      <c r="E607" s="3" t="inlineStr">
        <is>
          <t>PISTOLA SEMIAUTOMATICA</t>
        </is>
      </c>
      <c r="F607" s="3" t="inlineStr">
        <is>
          <t>9X19</t>
        </is>
      </c>
      <c r="G607" s="71" t="inlineStr">
        <is>
          <t>GLOCK</t>
        </is>
      </c>
      <c r="H607" s="65" t="inlineStr">
        <is>
          <t xml:space="preserve"> 17 GEN5 LUGER</t>
        </is>
      </c>
      <c r="I607" s="65" t="inlineStr">
        <is>
          <t>CDFX533</t>
        </is>
      </c>
      <c r="J607" s="65" t="inlineStr">
        <is>
          <t>N/D</t>
        </is>
      </c>
      <c r="K607" s="65" t="inlineStr">
        <is>
          <t>N/D</t>
        </is>
      </c>
      <c r="L607" s="127" t="inlineStr">
        <is>
          <t>BIGNAMI SPA</t>
        </is>
      </c>
      <c r="M607" s="5" t="n">
        <v>447.295</v>
      </c>
      <c r="N607" s="5" t="n"/>
      <c r="O607" s="5">
        <f>+M607+N607</f>
        <v/>
      </c>
      <c r="P607" s="4" t="n"/>
      <c r="Q607" s="87" t="n"/>
      <c r="R607" s="5" t="n">
        <v>500</v>
      </c>
      <c r="S607" s="2" t="n">
        <v>1</v>
      </c>
      <c r="T607" s="3" t="inlineStr">
        <is>
          <t>6B/2024/1S</t>
        </is>
      </c>
      <c r="U607" s="87" t="inlineStr">
        <is>
          <t>13/11/2024</t>
        </is>
      </c>
      <c r="V607" s="3" t="inlineStr">
        <is>
          <t>25</t>
        </is>
      </c>
      <c r="W607" s="108" t="inlineStr">
        <is>
          <t>13/11/2024</t>
        </is>
      </c>
      <c r="X607" s="4" t="inlineStr">
        <is>
          <t>HS &amp; S LLC</t>
        </is>
      </c>
    </row>
    <row r="608" ht="24" customHeight="1">
      <c r="A608" s="2">
        <f>+D608-S608</f>
        <v/>
      </c>
      <c r="B608" s="80" t="n">
        <v>2347</v>
      </c>
      <c r="C608" s="66" t="n">
        <v>45593</v>
      </c>
      <c r="D608" s="2" t="n">
        <v>1</v>
      </c>
      <c r="E608" s="3" t="inlineStr">
        <is>
          <t>PISTOLA SEMIAUTOMATICA</t>
        </is>
      </c>
      <c r="F608" s="3" t="inlineStr">
        <is>
          <t>9X19</t>
        </is>
      </c>
      <c r="G608" s="71" t="inlineStr">
        <is>
          <t>GLOCK</t>
        </is>
      </c>
      <c r="H608" s="65" t="inlineStr">
        <is>
          <t xml:space="preserve"> 17 GEN5 LUGER</t>
        </is>
      </c>
      <c r="I608" s="65" t="inlineStr">
        <is>
          <t>CDBW640</t>
        </is>
      </c>
      <c r="J608" s="65" t="inlineStr">
        <is>
          <t>N/D</t>
        </is>
      </c>
      <c r="K608" s="65" t="inlineStr">
        <is>
          <t>N/D</t>
        </is>
      </c>
      <c r="L608" s="127" t="inlineStr">
        <is>
          <t>BIGNAMI SPA</t>
        </is>
      </c>
      <c r="M608" s="5" t="n">
        <v>517.77</v>
      </c>
      <c r="N608" s="5" t="n"/>
      <c r="O608" s="5">
        <f>+M608+N608</f>
        <v/>
      </c>
      <c r="P608" s="4" t="n"/>
      <c r="Q608" s="87" t="n"/>
      <c r="R608" s="5" t="n">
        <v>620</v>
      </c>
      <c r="S608" s="2" t="n">
        <v>1</v>
      </c>
      <c r="T608" s="3" t="inlineStr">
        <is>
          <t>6B/2024/1S</t>
        </is>
      </c>
      <c r="U608" s="87" t="inlineStr">
        <is>
          <t>13/11/2024</t>
        </is>
      </c>
      <c r="V608" s="3" t="inlineStr">
        <is>
          <t>25</t>
        </is>
      </c>
      <c r="W608" s="108" t="inlineStr">
        <is>
          <t>13/11/2024</t>
        </is>
      </c>
      <c r="X608" s="4" t="inlineStr">
        <is>
          <t>HS &amp; S LLC</t>
        </is>
      </c>
    </row>
    <row r="609" ht="24" customHeight="1">
      <c r="A609" s="2">
        <f>+D609-S609</f>
        <v/>
      </c>
      <c r="B609" s="80" t="n">
        <v>2348</v>
      </c>
      <c r="C609" s="66" t="n">
        <v>45593</v>
      </c>
      <c r="D609" s="2" t="n">
        <v>1</v>
      </c>
      <c r="E609" s="3" t="inlineStr">
        <is>
          <t>PISTOLA SEMIAUTOMATICA</t>
        </is>
      </c>
      <c r="F609" s="3" t="inlineStr">
        <is>
          <t>9X19</t>
        </is>
      </c>
      <c r="G609" s="71" t="inlineStr">
        <is>
          <t>GLOCK</t>
        </is>
      </c>
      <c r="H609" s="65" t="inlineStr">
        <is>
          <t xml:space="preserve"> 17 GEN5 LUGER</t>
        </is>
      </c>
      <c r="I609" s="65" t="inlineStr">
        <is>
          <t>CDBW623</t>
        </is>
      </c>
      <c r="J609" s="65" t="inlineStr">
        <is>
          <t>N/D</t>
        </is>
      </c>
      <c r="K609" s="65" t="inlineStr">
        <is>
          <t>N/D</t>
        </is>
      </c>
      <c r="L609" s="127" t="inlineStr">
        <is>
          <t>BIGNAMI SPA</t>
        </is>
      </c>
      <c r="M609" s="5" t="n">
        <v>517.77</v>
      </c>
      <c r="N609" s="5" t="n"/>
      <c r="O609" s="5">
        <f>+M609+N609</f>
        <v/>
      </c>
      <c r="P609" s="4" t="n"/>
      <c r="Q609" s="87" t="n"/>
      <c r="R609" s="5" t="n">
        <v>620</v>
      </c>
      <c r="S609" s="2" t="n">
        <v>1</v>
      </c>
      <c r="T609" s="3" t="inlineStr">
        <is>
          <t>6B/2024/1S</t>
        </is>
      </c>
      <c r="U609" s="87" t="inlineStr">
        <is>
          <t>13/11/2024</t>
        </is>
      </c>
      <c r="V609" s="3" t="inlineStr">
        <is>
          <t>25</t>
        </is>
      </c>
      <c r="W609" s="108" t="inlineStr">
        <is>
          <t>13/11/2024</t>
        </is>
      </c>
      <c r="X609" s="4" t="inlineStr">
        <is>
          <t>HS &amp; S LLC</t>
        </is>
      </c>
    </row>
    <row r="610" ht="24" customHeight="1">
      <c r="A610" s="2">
        <f>+D610-S610</f>
        <v/>
      </c>
      <c r="B610" s="80" t="n">
        <v>2349</v>
      </c>
      <c r="C610" s="66" t="n">
        <v>45593</v>
      </c>
      <c r="D610" s="2" t="n">
        <v>1</v>
      </c>
      <c r="E610" s="3" t="inlineStr">
        <is>
          <t>PISTOLA SEMIAUTOMATICA</t>
        </is>
      </c>
      <c r="F610" s="3" t="inlineStr">
        <is>
          <t>9X19</t>
        </is>
      </c>
      <c r="G610" s="71" t="inlineStr">
        <is>
          <t>GLOCK</t>
        </is>
      </c>
      <c r="H610" s="65" t="inlineStr">
        <is>
          <t xml:space="preserve"> 17 GEN5 LUGER</t>
        </is>
      </c>
      <c r="I610" s="65" t="inlineStr">
        <is>
          <t>CDBW639</t>
        </is>
      </c>
      <c r="J610" s="65" t="inlineStr">
        <is>
          <t>N/D</t>
        </is>
      </c>
      <c r="K610" s="65" t="inlineStr">
        <is>
          <t>N/D</t>
        </is>
      </c>
      <c r="L610" s="127" t="inlineStr">
        <is>
          <t>BIGNAMI SPA</t>
        </is>
      </c>
      <c r="M610" s="5" t="n">
        <v>517.77</v>
      </c>
      <c r="N610" s="5" t="n"/>
      <c r="O610" s="5">
        <f>+M610+N610</f>
        <v/>
      </c>
      <c r="P610" s="4" t="n"/>
      <c r="Q610" s="87" t="n"/>
      <c r="R610" s="5" t="n">
        <v>575</v>
      </c>
      <c r="S610" s="2" t="n">
        <v>1</v>
      </c>
      <c r="T610" s="3" t="inlineStr">
        <is>
          <t>6B/2024/1S</t>
        </is>
      </c>
      <c r="U610" s="87" t="inlineStr">
        <is>
          <t>13/11/2024</t>
        </is>
      </c>
      <c r="V610" s="3" t="inlineStr">
        <is>
          <t>25</t>
        </is>
      </c>
      <c r="W610" s="108" t="inlineStr">
        <is>
          <t>13/11/2024</t>
        </is>
      </c>
      <c r="X610" s="4" t="inlineStr">
        <is>
          <t>HS &amp; S LLC</t>
        </is>
      </c>
    </row>
    <row r="611" ht="24" customHeight="1">
      <c r="A611" s="2">
        <f>+D611-S611</f>
        <v/>
      </c>
      <c r="B611" s="80" t="n">
        <v>2350</v>
      </c>
      <c r="C611" s="66" t="n">
        <v>45593</v>
      </c>
      <c r="D611" s="2" t="n">
        <v>1</v>
      </c>
      <c r="E611" s="3" t="inlineStr">
        <is>
          <t>PISTOLA SEMIAUTOMATICA</t>
        </is>
      </c>
      <c r="F611" s="3" t="inlineStr">
        <is>
          <t>9X19</t>
        </is>
      </c>
      <c r="G611" s="71" t="inlineStr">
        <is>
          <t>GLOCK</t>
        </is>
      </c>
      <c r="H611" s="65" t="inlineStr">
        <is>
          <t xml:space="preserve"> 17 GEN5 LUGER</t>
        </is>
      </c>
      <c r="I611" s="65" t="inlineStr">
        <is>
          <t>CDBW642</t>
        </is>
      </c>
      <c r="J611" s="65" t="inlineStr">
        <is>
          <t>N/D</t>
        </is>
      </c>
      <c r="K611" s="65" t="inlineStr">
        <is>
          <t>N/D</t>
        </is>
      </c>
      <c r="L611" s="127" t="inlineStr">
        <is>
          <t>BIGNAMI SPA</t>
        </is>
      </c>
      <c r="M611" s="5" t="n">
        <v>517.77</v>
      </c>
      <c r="N611" s="5" t="n"/>
      <c r="O611" s="5">
        <f>+M611+N611</f>
        <v/>
      </c>
      <c r="P611" s="4" t="n"/>
      <c r="Q611" s="87" t="n"/>
      <c r="R611" s="5" t="n">
        <v>575</v>
      </c>
      <c r="S611" s="2" t="n">
        <v>1</v>
      </c>
      <c r="T611" s="3" t="inlineStr">
        <is>
          <t>6B/2024/1S</t>
        </is>
      </c>
      <c r="U611" s="87" t="inlineStr">
        <is>
          <t>13/11/2024</t>
        </is>
      </c>
      <c r="V611" s="3" t="inlineStr">
        <is>
          <t>25</t>
        </is>
      </c>
      <c r="W611" s="108" t="inlineStr">
        <is>
          <t>13/11/2024</t>
        </is>
      </c>
      <c r="X611" s="4" t="inlineStr">
        <is>
          <t>HS &amp; S LLC</t>
        </is>
      </c>
    </row>
    <row r="612" ht="24" customHeight="1">
      <c r="A612" s="2">
        <f>+D612-S612</f>
        <v/>
      </c>
      <c r="B612" s="80" t="n">
        <v>2351</v>
      </c>
      <c r="C612" s="66" t="n">
        <v>45593</v>
      </c>
      <c r="D612" s="2" t="n">
        <v>1</v>
      </c>
      <c r="E612" s="3" t="inlineStr">
        <is>
          <t>PISTOLA SEMIAUTOMATICA</t>
        </is>
      </c>
      <c r="F612" s="3" t="inlineStr">
        <is>
          <t>9X19</t>
        </is>
      </c>
      <c r="G612" s="71" t="inlineStr">
        <is>
          <t>GLOCK</t>
        </is>
      </c>
      <c r="H612" s="65" t="inlineStr">
        <is>
          <t xml:space="preserve"> 17 GEN5 LUGER</t>
        </is>
      </c>
      <c r="I612" s="65" t="inlineStr">
        <is>
          <t>CDBW643</t>
        </is>
      </c>
      <c r="J612" s="65" t="inlineStr">
        <is>
          <t>N/D</t>
        </is>
      </c>
      <c r="K612" s="65" t="inlineStr">
        <is>
          <t>N/D</t>
        </is>
      </c>
      <c r="L612" s="127" t="inlineStr">
        <is>
          <t>BIGNAMI SPA</t>
        </is>
      </c>
      <c r="M612" s="5" t="n">
        <v>517.77</v>
      </c>
      <c r="N612" s="5" t="n"/>
      <c r="O612" s="5">
        <f>+M612+N612</f>
        <v/>
      </c>
      <c r="P612" s="4" t="n"/>
      <c r="Q612" s="87" t="n"/>
      <c r="R612" s="5" t="n">
        <v>575</v>
      </c>
      <c r="S612" s="2" t="n">
        <v>1</v>
      </c>
      <c r="T612" s="3" t="inlineStr">
        <is>
          <t>6B/2024/1S</t>
        </is>
      </c>
      <c r="U612" s="87" t="inlineStr">
        <is>
          <t>13/11/2024</t>
        </is>
      </c>
      <c r="V612" s="3" t="inlineStr">
        <is>
          <t>25</t>
        </is>
      </c>
      <c r="W612" s="108" t="inlineStr">
        <is>
          <t>13/11/2024</t>
        </is>
      </c>
      <c r="X612" s="4" t="inlineStr">
        <is>
          <t>HS &amp; S LLC</t>
        </is>
      </c>
    </row>
    <row r="613" ht="24" customHeight="1">
      <c r="A613" s="2">
        <f>+D613-S613</f>
        <v/>
      </c>
      <c r="B613" s="80" t="n">
        <v>2352</v>
      </c>
      <c r="C613" s="66" t="n">
        <v>45593</v>
      </c>
      <c r="D613" s="2" t="n">
        <v>1</v>
      </c>
      <c r="E613" s="3" t="inlineStr">
        <is>
          <t>PISTOLA SEMIAUTOMATICA</t>
        </is>
      </c>
      <c r="F613" s="3" t="inlineStr">
        <is>
          <t>9X19</t>
        </is>
      </c>
      <c r="G613" s="71" t="inlineStr">
        <is>
          <t>GLOCK</t>
        </is>
      </c>
      <c r="H613" s="65" t="inlineStr">
        <is>
          <t>19 GEN5 LUGER</t>
        </is>
      </c>
      <c r="I613" s="65" t="inlineStr">
        <is>
          <t>CDNG231</t>
        </is>
      </c>
      <c r="J613" s="65" t="inlineStr">
        <is>
          <t>N/D</t>
        </is>
      </c>
      <c r="K613" s="65" t="inlineStr">
        <is>
          <t>N/D</t>
        </is>
      </c>
      <c r="L613" s="127" t="inlineStr">
        <is>
          <t>BIGNAMI SPA</t>
        </is>
      </c>
      <c r="M613" s="5" t="n">
        <v>447.2944</v>
      </c>
      <c r="N613" s="5" t="n"/>
      <c r="O613" s="5">
        <f>+M613+N613</f>
        <v/>
      </c>
      <c r="P613" s="4" t="n"/>
      <c r="Q613" s="87" t="n"/>
      <c r="R613" s="5" t="n">
        <v>515</v>
      </c>
      <c r="S613" s="2" t="n">
        <v>1</v>
      </c>
      <c r="T613" s="3" t="inlineStr">
        <is>
          <t>6B/2024/1S</t>
        </is>
      </c>
      <c r="U613" s="87" t="inlineStr">
        <is>
          <t>13/11/2024</t>
        </is>
      </c>
      <c r="V613" s="3" t="inlineStr">
        <is>
          <t>25</t>
        </is>
      </c>
      <c r="W613" s="108" t="inlineStr">
        <is>
          <t>13/11/2024</t>
        </is>
      </c>
      <c r="X613" s="4" t="inlineStr">
        <is>
          <t>HS &amp; S LLC</t>
        </is>
      </c>
    </row>
    <row r="614" ht="24" customHeight="1">
      <c r="A614" s="2">
        <f>+D614-S614</f>
        <v/>
      </c>
      <c r="B614" s="80" t="n">
        <v>2353</v>
      </c>
      <c r="C614" s="66" t="n">
        <v>45593</v>
      </c>
      <c r="D614" s="2" t="n">
        <v>1</v>
      </c>
      <c r="E614" s="3" t="inlineStr">
        <is>
          <t>PISTOLA SEMIAUTOMATICA</t>
        </is>
      </c>
      <c r="F614" s="3" t="inlineStr">
        <is>
          <t>9X19</t>
        </is>
      </c>
      <c r="G614" s="71" t="inlineStr">
        <is>
          <t>GLOCK</t>
        </is>
      </c>
      <c r="H614" s="65" t="inlineStr">
        <is>
          <t>19 GEN5 LUGER</t>
        </is>
      </c>
      <c r="I614" s="65" t="inlineStr">
        <is>
          <t>CDNG230</t>
        </is>
      </c>
      <c r="J614" s="65" t="inlineStr">
        <is>
          <t>N/D</t>
        </is>
      </c>
      <c r="K614" s="65" t="inlineStr">
        <is>
          <t>N/D</t>
        </is>
      </c>
      <c r="L614" s="127" t="inlineStr">
        <is>
          <t>BIGNAMI SPA</t>
        </is>
      </c>
      <c r="M614" s="5" t="n">
        <v>447.2944</v>
      </c>
      <c r="N614" s="5" t="n"/>
      <c r="O614" s="5">
        <f>+M614+N614</f>
        <v/>
      </c>
      <c r="P614" s="4" t="n"/>
      <c r="Q614" s="87" t="n"/>
      <c r="R614" s="5" t="n">
        <v>515</v>
      </c>
      <c r="S614" s="2" t="n">
        <v>1</v>
      </c>
      <c r="T614" s="3" t="inlineStr">
        <is>
          <t>6B/2024/1S</t>
        </is>
      </c>
      <c r="U614" s="87" t="inlineStr">
        <is>
          <t>13/11/2024</t>
        </is>
      </c>
      <c r="V614" s="3" t="inlineStr">
        <is>
          <t>25</t>
        </is>
      </c>
      <c r="W614" s="108" t="inlineStr">
        <is>
          <t>13/11/2024</t>
        </is>
      </c>
      <c r="X614" s="4" t="inlineStr">
        <is>
          <t>HS &amp; S LLC</t>
        </is>
      </c>
    </row>
    <row r="615" ht="24" customHeight="1">
      <c r="A615" s="2">
        <f>+D615-S615</f>
        <v/>
      </c>
      <c r="B615" s="80" t="n">
        <v>2354</v>
      </c>
      <c r="C615" s="66" t="n">
        <v>45593</v>
      </c>
      <c r="D615" s="2" t="n">
        <v>1</v>
      </c>
      <c r="E615" s="3" t="inlineStr">
        <is>
          <t>PISTOLA SEMIAUTOMATICA</t>
        </is>
      </c>
      <c r="F615" s="3" t="inlineStr">
        <is>
          <t>9X19</t>
        </is>
      </c>
      <c r="G615" s="71" t="inlineStr">
        <is>
          <t>GLOCK</t>
        </is>
      </c>
      <c r="H615" s="65" t="inlineStr">
        <is>
          <t>19 GEN5 LUGER</t>
        </is>
      </c>
      <c r="I615" s="65" t="inlineStr">
        <is>
          <t>CDNG328</t>
        </is>
      </c>
      <c r="J615" s="65" t="inlineStr">
        <is>
          <t>N/D</t>
        </is>
      </c>
      <c r="K615" s="65" t="inlineStr">
        <is>
          <t>N/D</t>
        </is>
      </c>
      <c r="L615" s="127" t="inlineStr">
        <is>
          <t>BIGNAMI SPA</t>
        </is>
      </c>
      <c r="M615" s="5" t="n">
        <v>447.2944</v>
      </c>
      <c r="N615" s="5" t="n"/>
      <c r="O615" s="5">
        <f>+M615+N615</f>
        <v/>
      </c>
      <c r="P615" s="4" t="n"/>
      <c r="Q615" s="87" t="n"/>
      <c r="R615" s="5" t="n">
        <v>515</v>
      </c>
      <c r="S615" s="2" t="n">
        <v>1</v>
      </c>
      <c r="T615" s="3" t="inlineStr">
        <is>
          <t>6B/2024/1S</t>
        </is>
      </c>
      <c r="U615" s="87" t="inlineStr">
        <is>
          <t>13/11/2024</t>
        </is>
      </c>
      <c r="V615" s="3" t="inlineStr">
        <is>
          <t>25</t>
        </is>
      </c>
      <c r="W615" s="108" t="inlineStr">
        <is>
          <t>13/11/2024</t>
        </is>
      </c>
      <c r="X615" s="4" t="inlineStr">
        <is>
          <t>HS &amp; S LLC</t>
        </is>
      </c>
    </row>
    <row r="616" ht="24" customHeight="1">
      <c r="A616" s="2">
        <f>+D616-S616</f>
        <v/>
      </c>
      <c r="B616" s="80" t="n">
        <v>2355</v>
      </c>
      <c r="C616" s="66" t="n">
        <v>45593</v>
      </c>
      <c r="D616" s="2" t="n">
        <v>1</v>
      </c>
      <c r="E616" s="3" t="inlineStr">
        <is>
          <t>PISTOLA SEMIAUTOMATICA</t>
        </is>
      </c>
      <c r="F616" s="3" t="inlineStr">
        <is>
          <t>9X19</t>
        </is>
      </c>
      <c r="G616" s="71" t="inlineStr">
        <is>
          <t>GLOCK</t>
        </is>
      </c>
      <c r="H616" s="65" t="inlineStr">
        <is>
          <t>19 GEN5 LUGER</t>
        </is>
      </c>
      <c r="I616" s="65" t="inlineStr">
        <is>
          <t>CDNG323</t>
        </is>
      </c>
      <c r="J616" s="65" t="inlineStr">
        <is>
          <t>N/D</t>
        </is>
      </c>
      <c r="K616" s="65" t="inlineStr">
        <is>
          <t>N/D</t>
        </is>
      </c>
      <c r="L616" s="127" t="inlineStr">
        <is>
          <t>BIGNAMI SPA</t>
        </is>
      </c>
      <c r="M616" s="5" t="n">
        <v>447.2944</v>
      </c>
      <c r="N616" s="5" t="n"/>
      <c r="O616" s="5">
        <f>+M616+N616</f>
        <v/>
      </c>
      <c r="P616" s="4" t="n"/>
      <c r="Q616" s="87" t="n"/>
      <c r="R616" s="5" t="n">
        <v>515</v>
      </c>
      <c r="S616" s="2" t="n">
        <v>1</v>
      </c>
      <c r="T616" s="3" t="inlineStr">
        <is>
          <t>6B/2024/1S</t>
        </is>
      </c>
      <c r="U616" s="87" t="inlineStr">
        <is>
          <t>13/11/2024</t>
        </is>
      </c>
      <c r="V616" s="3" t="inlineStr">
        <is>
          <t>25</t>
        </is>
      </c>
      <c r="W616" s="108" t="inlineStr">
        <is>
          <t>13/11/2024</t>
        </is>
      </c>
      <c r="X616" s="4" t="inlineStr">
        <is>
          <t>HS &amp; S LLC</t>
        </is>
      </c>
    </row>
    <row r="617" ht="24" customHeight="1">
      <c r="A617" s="2">
        <f>+D617-S617</f>
        <v/>
      </c>
      <c r="B617" s="80" t="n">
        <v>2356</v>
      </c>
      <c r="C617" s="66" t="n">
        <v>45593</v>
      </c>
      <c r="D617" s="2" t="n">
        <v>1</v>
      </c>
      <c r="E617" s="3" t="inlineStr">
        <is>
          <t>PISTOLA SEMIAUTOMATICA</t>
        </is>
      </c>
      <c r="F617" s="3" t="inlineStr">
        <is>
          <t>9X19</t>
        </is>
      </c>
      <c r="G617" s="71" t="inlineStr">
        <is>
          <t>GLOCK</t>
        </is>
      </c>
      <c r="H617" s="65" t="inlineStr">
        <is>
          <t>19 GEN5 LUGER</t>
        </is>
      </c>
      <c r="I617" s="65" t="inlineStr">
        <is>
          <t>CDNG288</t>
        </is>
      </c>
      <c r="J617" s="65" t="inlineStr">
        <is>
          <t>N/D</t>
        </is>
      </c>
      <c r="K617" s="65" t="inlineStr">
        <is>
          <t>N/D</t>
        </is>
      </c>
      <c r="L617" s="127" t="inlineStr">
        <is>
          <t>BIGNAMI SPA</t>
        </is>
      </c>
      <c r="M617" s="5" t="n">
        <v>447.2944</v>
      </c>
      <c r="N617" s="5" t="n"/>
      <c r="O617" s="5">
        <f>+M617+N617</f>
        <v/>
      </c>
      <c r="P617" s="4" t="n"/>
      <c r="Q617" s="87" t="n"/>
      <c r="R617" s="5" t="n">
        <v>515</v>
      </c>
      <c r="S617" s="2" t="n">
        <v>1</v>
      </c>
      <c r="T617" s="3" t="inlineStr">
        <is>
          <t>6B/2024/1S</t>
        </is>
      </c>
      <c r="U617" s="87" t="inlineStr">
        <is>
          <t>13/11/2024</t>
        </is>
      </c>
      <c r="V617" s="3" t="inlineStr">
        <is>
          <t>25</t>
        </is>
      </c>
      <c r="W617" s="108" t="inlineStr">
        <is>
          <t>13/11/2024</t>
        </is>
      </c>
      <c r="X617" s="4" t="inlineStr">
        <is>
          <t>HS &amp; S LLC</t>
        </is>
      </c>
    </row>
    <row r="618" ht="24" customHeight="1">
      <c r="A618" s="2">
        <f>+D618-S618</f>
        <v/>
      </c>
      <c r="B618" s="80" t="n">
        <v>2357</v>
      </c>
      <c r="C618" s="66" t="n">
        <v>45593</v>
      </c>
      <c r="D618" s="2" t="n">
        <v>1</v>
      </c>
      <c r="E618" s="3" t="inlineStr">
        <is>
          <t>PISTOLA SEMIAUTOMATICA</t>
        </is>
      </c>
      <c r="F618" s="3" t="inlineStr">
        <is>
          <t>9X19</t>
        </is>
      </c>
      <c r="G618" s="71" t="inlineStr">
        <is>
          <t>GLOCK</t>
        </is>
      </c>
      <c r="H618" s="65" t="inlineStr">
        <is>
          <t>19 GEN5 LUGER</t>
        </is>
      </c>
      <c r="I618" s="65" t="inlineStr">
        <is>
          <t>BZXX066</t>
        </is>
      </c>
      <c r="J618" s="65" t="inlineStr">
        <is>
          <t>N/D</t>
        </is>
      </c>
      <c r="K618" s="65" t="inlineStr">
        <is>
          <t>N/D</t>
        </is>
      </c>
      <c r="L618" s="127" t="inlineStr">
        <is>
          <t>BIGNAMI SPA</t>
        </is>
      </c>
      <c r="M618" s="5" t="n">
        <v>517.776</v>
      </c>
      <c r="N618" s="5" t="n"/>
      <c r="O618" s="5">
        <f>+M618+N618</f>
        <v/>
      </c>
      <c r="P618" s="4" t="n"/>
      <c r="Q618" s="87" t="n"/>
      <c r="R618" s="5" t="n">
        <v>590</v>
      </c>
      <c r="S618" s="2" t="n">
        <v>1</v>
      </c>
      <c r="T618" s="3" t="inlineStr">
        <is>
          <t>6B/2024/1S</t>
        </is>
      </c>
      <c r="U618" s="87" t="inlineStr">
        <is>
          <t>13/11/2024</t>
        </is>
      </c>
      <c r="V618" s="3" t="inlineStr">
        <is>
          <t>25</t>
        </is>
      </c>
      <c r="W618" s="108" t="inlineStr">
        <is>
          <t>13/11/2024</t>
        </is>
      </c>
      <c r="X618" s="4" t="inlineStr">
        <is>
          <t>HS &amp; S LLC</t>
        </is>
      </c>
    </row>
    <row r="619" ht="24" customHeight="1">
      <c r="A619" s="2">
        <f>+D619-S619</f>
        <v/>
      </c>
      <c r="B619" s="80" t="n">
        <v>2358</v>
      </c>
      <c r="C619" s="66" t="n">
        <v>45593</v>
      </c>
      <c r="D619" s="2" t="n">
        <v>1</v>
      </c>
      <c r="E619" s="3" t="inlineStr">
        <is>
          <t>PISTOLA SEMIAUTOMATICA</t>
        </is>
      </c>
      <c r="F619" s="3" t="inlineStr">
        <is>
          <t>9X19</t>
        </is>
      </c>
      <c r="G619" s="71" t="inlineStr">
        <is>
          <t>GLOCK</t>
        </is>
      </c>
      <c r="H619" s="65" t="inlineStr">
        <is>
          <t>19 GEN5 LUGER</t>
        </is>
      </c>
      <c r="I619" s="65" t="inlineStr">
        <is>
          <t>BZXX060</t>
        </is>
      </c>
      <c r="J619" s="65" t="inlineStr">
        <is>
          <t>N/D</t>
        </is>
      </c>
      <c r="K619" s="65" t="inlineStr">
        <is>
          <t>N/D</t>
        </is>
      </c>
      <c r="L619" s="127" t="inlineStr">
        <is>
          <t>BIGNAMI SPA</t>
        </is>
      </c>
      <c r="M619" s="5" t="n">
        <v>517.776</v>
      </c>
      <c r="N619" s="5" t="n"/>
      <c r="O619" s="5">
        <f>+M619+N619</f>
        <v/>
      </c>
      <c r="P619" s="4" t="n"/>
      <c r="Q619" s="87" t="n"/>
      <c r="R619" s="5" t="n">
        <v>590</v>
      </c>
      <c r="S619" s="2" t="n">
        <v>1</v>
      </c>
      <c r="T619" s="3" t="inlineStr">
        <is>
          <t>6B/2024/1S</t>
        </is>
      </c>
      <c r="U619" s="87" t="inlineStr">
        <is>
          <t>13/11/2024</t>
        </is>
      </c>
      <c r="V619" s="3" t="inlineStr">
        <is>
          <t>25</t>
        </is>
      </c>
      <c r="W619" s="108" t="inlineStr">
        <is>
          <t>13/11/2024</t>
        </is>
      </c>
      <c r="X619" s="4" t="inlineStr">
        <is>
          <t>HS &amp; S LLC</t>
        </is>
      </c>
    </row>
    <row r="620" ht="24" customHeight="1">
      <c r="A620" s="2">
        <f>+D620-S620</f>
        <v/>
      </c>
      <c r="B620" s="80" t="n">
        <v>2359</v>
      </c>
      <c r="C620" s="66" t="n">
        <v>45593</v>
      </c>
      <c r="D620" s="2" t="n">
        <v>1</v>
      </c>
      <c r="E620" s="3" t="inlineStr">
        <is>
          <t>PISTOLA SEMIAUTOMATICA</t>
        </is>
      </c>
      <c r="F620" s="3" t="inlineStr">
        <is>
          <t>9X19</t>
        </is>
      </c>
      <c r="G620" s="71" t="inlineStr">
        <is>
          <t>GLOCK</t>
        </is>
      </c>
      <c r="H620" s="65" t="inlineStr">
        <is>
          <t>19 GEN5 LUGER</t>
        </is>
      </c>
      <c r="I620" s="65" t="inlineStr">
        <is>
          <t>BZXX029</t>
        </is>
      </c>
      <c r="J620" s="65" t="inlineStr">
        <is>
          <t>N/D</t>
        </is>
      </c>
      <c r="K620" s="65" t="inlineStr">
        <is>
          <t>N/D</t>
        </is>
      </c>
      <c r="L620" s="127" t="inlineStr">
        <is>
          <t>BIGNAMI SPA</t>
        </is>
      </c>
      <c r="M620" s="5" t="n">
        <v>517.776</v>
      </c>
      <c r="N620" s="5" t="n"/>
      <c r="O620" s="5">
        <f>+M620+N620</f>
        <v/>
      </c>
      <c r="P620" s="4" t="n"/>
      <c r="Q620" s="87" t="n"/>
      <c r="R620" s="5" t="n">
        <v>590</v>
      </c>
      <c r="S620" s="2" t="n">
        <v>1</v>
      </c>
      <c r="T620" s="3" t="inlineStr">
        <is>
          <t>6B/2024/1S</t>
        </is>
      </c>
      <c r="U620" s="87" t="inlineStr">
        <is>
          <t>13/11/2024</t>
        </is>
      </c>
      <c r="V620" s="3" t="inlineStr">
        <is>
          <t>25</t>
        </is>
      </c>
      <c r="W620" s="108" t="inlineStr">
        <is>
          <t>13/11/2024</t>
        </is>
      </c>
      <c r="X620" s="4" t="inlineStr">
        <is>
          <t>HS &amp; S LLC</t>
        </is>
      </c>
    </row>
    <row r="621" ht="24" customHeight="1">
      <c r="A621" s="2">
        <f>+D621-S621</f>
        <v/>
      </c>
      <c r="B621" s="80" t="n">
        <v>2360</v>
      </c>
      <c r="C621" s="66" t="n">
        <v>45593</v>
      </c>
      <c r="D621" s="2" t="n">
        <v>1</v>
      </c>
      <c r="E621" s="3" t="inlineStr">
        <is>
          <t>PISTOLA SEMIAUTOMATICA</t>
        </is>
      </c>
      <c r="F621" s="3" t="inlineStr">
        <is>
          <t>9X19</t>
        </is>
      </c>
      <c r="G621" s="71" t="inlineStr">
        <is>
          <t>GLOCK</t>
        </is>
      </c>
      <c r="H621" s="65" t="inlineStr">
        <is>
          <t>19 GEN5 LUGER</t>
        </is>
      </c>
      <c r="I621" s="65" t="inlineStr">
        <is>
          <t>CDND730</t>
        </is>
      </c>
      <c r="J621" s="65" t="inlineStr">
        <is>
          <t>N/D</t>
        </is>
      </c>
      <c r="K621" s="65" t="inlineStr">
        <is>
          <t>N/D</t>
        </is>
      </c>
      <c r="L621" s="127" t="inlineStr">
        <is>
          <t>BIGNAMI SPA</t>
        </is>
      </c>
      <c r="M621" s="5" t="n">
        <v>517.776</v>
      </c>
      <c r="N621" s="5" t="n"/>
      <c r="O621" s="5">
        <f>+M621+N621</f>
        <v/>
      </c>
      <c r="P621" s="4" t="n"/>
      <c r="Q621" s="87" t="n"/>
      <c r="R621" s="5" t="n">
        <v>590</v>
      </c>
      <c r="S621" s="2" t="n">
        <v>1</v>
      </c>
      <c r="T621" s="3" t="inlineStr">
        <is>
          <t>6B/2024/1S</t>
        </is>
      </c>
      <c r="U621" s="87" t="inlineStr">
        <is>
          <t>13/11/2024</t>
        </is>
      </c>
      <c r="V621" s="3" t="inlineStr">
        <is>
          <t>25</t>
        </is>
      </c>
      <c r="W621" s="108" t="inlineStr">
        <is>
          <t>13/11/2024</t>
        </is>
      </c>
      <c r="X621" s="4" t="inlineStr">
        <is>
          <t>HS &amp; S LLC</t>
        </is>
      </c>
    </row>
    <row r="622" ht="24" customHeight="1">
      <c r="A622" s="2">
        <f>+D622-S622</f>
        <v/>
      </c>
      <c r="B622" s="80" t="n">
        <v>2361</v>
      </c>
      <c r="C622" s="66" t="n">
        <v>45593</v>
      </c>
      <c r="D622" s="2" t="n">
        <v>1</v>
      </c>
      <c r="E622" s="3" t="inlineStr">
        <is>
          <t>PISTOLA SEMIAUTOMATICA</t>
        </is>
      </c>
      <c r="F622" s="3" t="inlineStr">
        <is>
          <t>9X19</t>
        </is>
      </c>
      <c r="G622" s="71" t="inlineStr">
        <is>
          <t>GLOCK</t>
        </is>
      </c>
      <c r="H622" s="65" t="inlineStr">
        <is>
          <t>19 GEN5 LUGER</t>
        </is>
      </c>
      <c r="I622" s="65" t="inlineStr">
        <is>
          <t>CDND731</t>
        </is>
      </c>
      <c r="J622" s="65" t="inlineStr">
        <is>
          <t>N/D</t>
        </is>
      </c>
      <c r="K622" s="65" t="inlineStr">
        <is>
          <t>N/D</t>
        </is>
      </c>
      <c r="L622" s="127" t="inlineStr">
        <is>
          <t>BIGNAMI SPA</t>
        </is>
      </c>
      <c r="M622" s="5" t="n">
        <v>517.776</v>
      </c>
      <c r="N622" s="5" t="n"/>
      <c r="O622" s="5">
        <f>+M622+N622</f>
        <v/>
      </c>
      <c r="P622" s="4" t="n"/>
      <c r="Q622" s="87" t="n"/>
      <c r="R622" s="5" t="n">
        <v>590</v>
      </c>
      <c r="S622" s="2" t="n">
        <v>1</v>
      </c>
      <c r="T622" s="3" t="inlineStr">
        <is>
          <t>6B/2024/1S</t>
        </is>
      </c>
      <c r="U622" s="87" t="inlineStr">
        <is>
          <t>13/11/2024</t>
        </is>
      </c>
      <c r="V622" s="3" t="inlineStr">
        <is>
          <t>25</t>
        </is>
      </c>
      <c r="W622" s="108" t="inlineStr">
        <is>
          <t>13/11/2024</t>
        </is>
      </c>
      <c r="X622" s="4" t="inlineStr">
        <is>
          <t>HS &amp; S LLC</t>
        </is>
      </c>
    </row>
    <row r="623" ht="24" customHeight="1">
      <c r="A623" s="2">
        <f>+D623-S623</f>
        <v/>
      </c>
      <c r="B623" s="80" t="n">
        <v>2362</v>
      </c>
      <c r="C623" s="66" t="n">
        <v>45593</v>
      </c>
      <c r="D623" s="2" t="n">
        <v>1</v>
      </c>
      <c r="E623" s="3" t="inlineStr">
        <is>
          <t>PISTOLA SEMIAUTOMATICA</t>
        </is>
      </c>
      <c r="F623" s="3" t="inlineStr">
        <is>
          <t>9X19</t>
        </is>
      </c>
      <c r="G623" s="71" t="inlineStr">
        <is>
          <t>GLOCK</t>
        </is>
      </c>
      <c r="H623" s="65" t="inlineStr">
        <is>
          <t>MOD 19X</t>
        </is>
      </c>
      <c r="I623" s="65" t="inlineStr">
        <is>
          <t>BYXT708</t>
        </is>
      </c>
      <c r="J623" s="65" t="inlineStr">
        <is>
          <t>N/D</t>
        </is>
      </c>
      <c r="K623" s="65" t="inlineStr">
        <is>
          <t>N/D</t>
        </is>
      </c>
      <c r="L623" s="127" t="inlineStr">
        <is>
          <t>BIGNAMI SPA</t>
        </is>
      </c>
      <c r="M623" s="5" t="n">
        <v>487.425</v>
      </c>
      <c r="N623" s="5" t="n"/>
      <c r="O623" s="5">
        <f>+M623+N623</f>
        <v/>
      </c>
      <c r="P623" s="4" t="n"/>
      <c r="Q623" s="87" t="n"/>
      <c r="R623" s="5" t="n">
        <v>549</v>
      </c>
      <c r="S623" s="2" t="n">
        <v>1</v>
      </c>
      <c r="T623" s="3" t="inlineStr">
        <is>
          <t>6B/2024/1S</t>
        </is>
      </c>
      <c r="U623" s="87" t="inlineStr">
        <is>
          <t>13/11/2024</t>
        </is>
      </c>
      <c r="V623" s="3" t="inlineStr">
        <is>
          <t>25</t>
        </is>
      </c>
      <c r="W623" s="108" t="inlineStr">
        <is>
          <t>13/11/2024</t>
        </is>
      </c>
      <c r="X623" s="4" t="inlineStr">
        <is>
          <t>HS &amp; S LLC</t>
        </is>
      </c>
    </row>
    <row r="624" ht="24" customHeight="1">
      <c r="A624" s="2">
        <f>+D624-S624</f>
        <v/>
      </c>
      <c r="B624" s="80" t="n">
        <v>2363</v>
      </c>
      <c r="C624" s="66" t="n">
        <v>45593</v>
      </c>
      <c r="D624" s="2" t="n">
        <v>1</v>
      </c>
      <c r="E624" s="3" t="inlineStr">
        <is>
          <t>PISTOLA SEMIAUTOMATICA</t>
        </is>
      </c>
      <c r="F624" s="3" t="inlineStr">
        <is>
          <t>9X19</t>
        </is>
      </c>
      <c r="G624" s="71" t="inlineStr">
        <is>
          <t>GLOCK</t>
        </is>
      </c>
      <c r="H624" s="65" t="inlineStr">
        <is>
          <t>MOD 19X</t>
        </is>
      </c>
      <c r="I624" s="65" t="inlineStr">
        <is>
          <t>BYXT714</t>
        </is>
      </c>
      <c r="J624" s="65" t="inlineStr">
        <is>
          <t>N/D</t>
        </is>
      </c>
      <c r="K624" s="65" t="inlineStr">
        <is>
          <t>N/D</t>
        </is>
      </c>
      <c r="L624" s="127" t="inlineStr">
        <is>
          <t>BIGNAMI SPA</t>
        </is>
      </c>
      <c r="M624" s="5" t="n">
        <v>487.425</v>
      </c>
      <c r="N624" s="5" t="n"/>
      <c r="O624" s="5">
        <f>+M624+N624</f>
        <v/>
      </c>
      <c r="P624" s="4" t="n"/>
      <c r="Q624" s="87" t="n"/>
      <c r="R624" s="5" t="n">
        <v>549</v>
      </c>
      <c r="S624" s="2" t="n">
        <v>1</v>
      </c>
      <c r="T624" s="3" t="inlineStr">
        <is>
          <t>6B/2024/1S</t>
        </is>
      </c>
      <c r="U624" s="87" t="inlineStr">
        <is>
          <t>13/11/2024</t>
        </is>
      </c>
      <c r="V624" s="3" t="inlineStr">
        <is>
          <t>25</t>
        </is>
      </c>
      <c r="W624" s="108" t="inlineStr">
        <is>
          <t>13/11/2024</t>
        </is>
      </c>
      <c r="X624" s="4" t="inlineStr">
        <is>
          <t>HS &amp; S LLC</t>
        </is>
      </c>
    </row>
    <row r="625" ht="24" customHeight="1">
      <c r="A625" s="2">
        <f>+D625-S625</f>
        <v/>
      </c>
      <c r="B625" s="80" t="n">
        <v>2364</v>
      </c>
      <c r="C625" s="66" t="n">
        <v>45593</v>
      </c>
      <c r="D625" s="2" t="n">
        <v>1</v>
      </c>
      <c r="E625" s="3" t="inlineStr">
        <is>
          <t>PISTOLA SEMIAUTOMATICA</t>
        </is>
      </c>
      <c r="F625" s="3" t="inlineStr">
        <is>
          <t>9X19</t>
        </is>
      </c>
      <c r="G625" s="71" t="inlineStr">
        <is>
          <t>GLOCK</t>
        </is>
      </c>
      <c r="H625" s="65" t="inlineStr">
        <is>
          <t>MOD 19X</t>
        </is>
      </c>
      <c r="I625" s="65" t="inlineStr">
        <is>
          <t>BYXT713</t>
        </is>
      </c>
      <c r="J625" s="65" t="inlineStr">
        <is>
          <t>N/D</t>
        </is>
      </c>
      <c r="K625" s="65" t="inlineStr">
        <is>
          <t>N/D</t>
        </is>
      </c>
      <c r="L625" s="127" t="inlineStr">
        <is>
          <t>BIGNAMI SPA</t>
        </is>
      </c>
      <c r="M625" s="5" t="n">
        <v>487.425</v>
      </c>
      <c r="N625" s="5" t="n"/>
      <c r="O625" s="5">
        <f>+M625+N625</f>
        <v/>
      </c>
      <c r="P625" s="4" t="n"/>
      <c r="Q625" s="87" t="n"/>
      <c r="R625" s="5" t="n">
        <v>549</v>
      </c>
      <c r="S625" s="2" t="n">
        <v>1</v>
      </c>
      <c r="T625" s="3" t="inlineStr">
        <is>
          <t>6B/2024/1S</t>
        </is>
      </c>
      <c r="U625" s="87" t="inlineStr">
        <is>
          <t>13/11/2024</t>
        </is>
      </c>
      <c r="V625" s="3" t="inlineStr">
        <is>
          <t>25</t>
        </is>
      </c>
      <c r="W625" s="108" t="inlineStr">
        <is>
          <t>13/11/2024</t>
        </is>
      </c>
      <c r="X625" s="4" t="inlineStr">
        <is>
          <t>HS &amp; S LLC</t>
        </is>
      </c>
    </row>
    <row r="626" ht="24" customHeight="1">
      <c r="A626" s="2">
        <f>+D626-S626</f>
        <v/>
      </c>
      <c r="B626" s="80" t="n">
        <v>2365</v>
      </c>
      <c r="C626" s="66" t="n">
        <v>45593</v>
      </c>
      <c r="D626" s="2" t="n">
        <v>1</v>
      </c>
      <c r="E626" s="3" t="inlineStr">
        <is>
          <t>PISTOLA SEMIAUTOMATICA</t>
        </is>
      </c>
      <c r="F626" s="3" t="inlineStr">
        <is>
          <t>9X19</t>
        </is>
      </c>
      <c r="G626" s="71" t="inlineStr">
        <is>
          <t>GLOCK</t>
        </is>
      </c>
      <c r="H626" s="65" t="inlineStr">
        <is>
          <t>MOD 19X</t>
        </is>
      </c>
      <c r="I626" s="65" t="inlineStr">
        <is>
          <t>BYXT709</t>
        </is>
      </c>
      <c r="J626" s="65" t="inlineStr">
        <is>
          <t>N/D</t>
        </is>
      </c>
      <c r="K626" s="65" t="inlineStr">
        <is>
          <t>N/D</t>
        </is>
      </c>
      <c r="L626" s="127" t="inlineStr">
        <is>
          <t>BIGNAMI SPA</t>
        </is>
      </c>
      <c r="M626" s="5" t="n">
        <v>487.425</v>
      </c>
      <c r="N626" s="5" t="n"/>
      <c r="O626" s="5">
        <f>+M626+N626</f>
        <v/>
      </c>
      <c r="P626" s="4" t="n"/>
      <c r="Q626" s="87" t="n"/>
      <c r="R626" s="5" t="n">
        <v>549</v>
      </c>
      <c r="S626" s="2" t="n">
        <v>1</v>
      </c>
      <c r="T626" s="3" t="inlineStr">
        <is>
          <t>6B/2024/1S</t>
        </is>
      </c>
      <c r="U626" s="87" t="inlineStr">
        <is>
          <t>13/11/2024</t>
        </is>
      </c>
      <c r="V626" s="3" t="inlineStr">
        <is>
          <t>25</t>
        </is>
      </c>
      <c r="W626" s="108" t="inlineStr">
        <is>
          <t>13/11/2024</t>
        </is>
      </c>
      <c r="X626" s="4" t="inlineStr">
        <is>
          <t>HS &amp; S LLC</t>
        </is>
      </c>
    </row>
    <row r="627" ht="24" customHeight="1">
      <c r="A627" s="2">
        <f>+D627-S627</f>
        <v/>
      </c>
      <c r="B627" s="80" t="n">
        <v>2366</v>
      </c>
      <c r="C627" s="66" t="n">
        <v>45593</v>
      </c>
      <c r="D627" s="2" t="n">
        <v>1</v>
      </c>
      <c r="E627" s="3" t="inlineStr">
        <is>
          <t>PISTOLA SEMIAUTOMATICA</t>
        </is>
      </c>
      <c r="F627" s="3" t="inlineStr">
        <is>
          <t>9X19</t>
        </is>
      </c>
      <c r="G627" s="71" t="inlineStr">
        <is>
          <t>GLOCK</t>
        </is>
      </c>
      <c r="H627" s="65" t="inlineStr">
        <is>
          <t>MOD 19X</t>
        </is>
      </c>
      <c r="I627" s="65" t="inlineStr">
        <is>
          <t>BYXT706</t>
        </is>
      </c>
      <c r="J627" s="65" t="inlineStr">
        <is>
          <t>N/D</t>
        </is>
      </c>
      <c r="K627" s="65" t="inlineStr">
        <is>
          <t>N/D</t>
        </is>
      </c>
      <c r="L627" s="127" t="inlineStr">
        <is>
          <t>BIGNAMI SPA</t>
        </is>
      </c>
      <c r="M627" s="5" t="n">
        <v>487.425</v>
      </c>
      <c r="N627" s="5" t="n"/>
      <c r="O627" s="5">
        <f>+M627+N627</f>
        <v/>
      </c>
      <c r="P627" s="4" t="n"/>
      <c r="Q627" s="87" t="n"/>
      <c r="R627" s="5" t="n">
        <v>549</v>
      </c>
      <c r="S627" s="2" t="n">
        <v>1</v>
      </c>
      <c r="T627" s="3" t="inlineStr">
        <is>
          <t>6B/2024/1S</t>
        </is>
      </c>
      <c r="U627" s="87" t="inlineStr">
        <is>
          <t>13/11/2024</t>
        </is>
      </c>
      <c r="V627" s="3" t="inlineStr">
        <is>
          <t>25</t>
        </is>
      </c>
      <c r="W627" s="108" t="inlineStr">
        <is>
          <t>13/11/2024</t>
        </is>
      </c>
      <c r="X627" s="4" t="inlineStr">
        <is>
          <t>HS &amp; S LLC</t>
        </is>
      </c>
    </row>
    <row r="628" ht="24" customHeight="1">
      <c r="A628" s="2">
        <f>+D628-S628</f>
        <v/>
      </c>
      <c r="B628" s="80" t="n">
        <v>2367</v>
      </c>
      <c r="C628" s="66" t="n">
        <v>45593</v>
      </c>
      <c r="D628" s="2" t="n">
        <v>1</v>
      </c>
      <c r="E628" s="3" t="inlineStr">
        <is>
          <t>PISTOLA SEMIAUTOMATICA</t>
        </is>
      </c>
      <c r="F628" s="3" t="inlineStr">
        <is>
          <t>9X19</t>
        </is>
      </c>
      <c r="G628" s="71" t="inlineStr">
        <is>
          <t>GLOCK</t>
        </is>
      </c>
      <c r="H628" s="65" t="inlineStr">
        <is>
          <t>MOD 19X</t>
        </is>
      </c>
      <c r="I628" s="65" t="inlineStr">
        <is>
          <t>BYXT699</t>
        </is>
      </c>
      <c r="J628" s="65" t="inlineStr">
        <is>
          <t>N/D</t>
        </is>
      </c>
      <c r="K628" s="65" t="inlineStr">
        <is>
          <t>N/D</t>
        </is>
      </c>
      <c r="L628" s="127" t="inlineStr">
        <is>
          <t>BIGNAMI SPA</t>
        </is>
      </c>
      <c r="M628" s="5" t="n">
        <v>487.425</v>
      </c>
      <c r="N628" s="5" t="n"/>
      <c r="O628" s="5">
        <f>+M628+N628</f>
        <v/>
      </c>
      <c r="P628" s="4" t="n"/>
      <c r="Q628" s="87" t="n"/>
      <c r="R628" s="5" t="n">
        <v>549</v>
      </c>
      <c r="S628" s="2" t="n">
        <v>1</v>
      </c>
      <c r="T628" s="3" t="inlineStr">
        <is>
          <t>6B/2024/1S</t>
        </is>
      </c>
      <c r="U628" s="87" t="inlineStr">
        <is>
          <t>13/11/2024</t>
        </is>
      </c>
      <c r="V628" s="3" t="inlineStr">
        <is>
          <t>25</t>
        </is>
      </c>
      <c r="W628" s="108" t="inlineStr">
        <is>
          <t>13/11/2024</t>
        </is>
      </c>
      <c r="X628" s="4" t="inlineStr">
        <is>
          <t>HS &amp; S LLC</t>
        </is>
      </c>
    </row>
    <row r="629" ht="24" customHeight="1">
      <c r="A629" s="2">
        <f>+D629-S629</f>
        <v/>
      </c>
      <c r="B629" s="80" t="n">
        <v>2368</v>
      </c>
      <c r="C629" s="66" t="n">
        <v>45593</v>
      </c>
      <c r="D629" s="2" t="n">
        <v>1</v>
      </c>
      <c r="E629" s="3" t="inlineStr">
        <is>
          <t>PISTOLA SEMIAUTOMATICA</t>
        </is>
      </c>
      <c r="F629" s="3" t="inlineStr">
        <is>
          <t>9X19</t>
        </is>
      </c>
      <c r="G629" s="71" t="inlineStr">
        <is>
          <t>GLOCK</t>
        </is>
      </c>
      <c r="H629" s="65" t="inlineStr">
        <is>
          <t>MOD 19X</t>
        </is>
      </c>
      <c r="I629" s="65" t="inlineStr">
        <is>
          <t>BYXT703</t>
        </is>
      </c>
      <c r="J629" s="65" t="inlineStr">
        <is>
          <t>N/D</t>
        </is>
      </c>
      <c r="K629" s="65" t="inlineStr">
        <is>
          <t>N/D</t>
        </is>
      </c>
      <c r="L629" s="127" t="inlineStr">
        <is>
          <t>BIGNAMI SPA</t>
        </is>
      </c>
      <c r="M629" s="5" t="n">
        <v>487.425</v>
      </c>
      <c r="N629" s="5" t="n"/>
      <c r="O629" s="5">
        <f>+M629+N629</f>
        <v/>
      </c>
      <c r="P629" s="4" t="n"/>
      <c r="Q629" s="87" t="n"/>
      <c r="R629" s="5" t="n">
        <v>549</v>
      </c>
      <c r="S629" s="2" t="n">
        <v>1</v>
      </c>
      <c r="T629" s="3" t="inlineStr">
        <is>
          <t>6B/2024/1S</t>
        </is>
      </c>
      <c r="U629" s="87" t="inlineStr">
        <is>
          <t>13/11/2024</t>
        </is>
      </c>
      <c r="V629" s="3" t="inlineStr">
        <is>
          <t>25</t>
        </is>
      </c>
      <c r="W629" s="108" t="inlineStr">
        <is>
          <t>13/11/2024</t>
        </is>
      </c>
      <c r="X629" s="4" t="inlineStr">
        <is>
          <t>HS &amp; S LLC</t>
        </is>
      </c>
    </row>
    <row r="630" ht="24" customHeight="1">
      <c r="A630" s="2">
        <f>+D630-S630</f>
        <v/>
      </c>
      <c r="B630" s="80" t="n">
        <v>2369</v>
      </c>
      <c r="C630" s="66" t="n">
        <v>45593</v>
      </c>
      <c r="D630" s="2" t="n">
        <v>1</v>
      </c>
      <c r="E630" s="3" t="inlineStr">
        <is>
          <t>PISTOLA SEMIAUTOMATICA</t>
        </is>
      </c>
      <c r="F630" s="3" t="inlineStr">
        <is>
          <t>9X19</t>
        </is>
      </c>
      <c r="G630" s="71" t="inlineStr">
        <is>
          <t>GLOCK</t>
        </is>
      </c>
      <c r="H630" s="65" t="inlineStr">
        <is>
          <t>MOD 19X</t>
        </is>
      </c>
      <c r="I630" s="65" t="inlineStr">
        <is>
          <t>BYXT711</t>
        </is>
      </c>
      <c r="J630" s="65" t="inlineStr">
        <is>
          <t>N/D</t>
        </is>
      </c>
      <c r="K630" s="65" t="inlineStr">
        <is>
          <t>N/D</t>
        </is>
      </c>
      <c r="L630" s="127" t="inlineStr">
        <is>
          <t>BIGNAMI SPA</t>
        </is>
      </c>
      <c r="M630" s="5" t="n">
        <v>487.425</v>
      </c>
      <c r="N630" s="5" t="n"/>
      <c r="O630" s="5">
        <f>+M630+N630</f>
        <v/>
      </c>
      <c r="P630" s="4" t="n"/>
      <c r="Q630" s="87" t="n"/>
      <c r="R630" s="5" t="n">
        <v>59</v>
      </c>
      <c r="S630" s="2" t="n">
        <v>1</v>
      </c>
      <c r="T630" s="3" t="inlineStr">
        <is>
          <t>6B/2024/1S</t>
        </is>
      </c>
      <c r="U630" s="87" t="inlineStr">
        <is>
          <t>13/11/2024</t>
        </is>
      </c>
      <c r="V630" s="3" t="inlineStr">
        <is>
          <t>25</t>
        </is>
      </c>
      <c r="W630" s="108" t="inlineStr">
        <is>
          <t>13/11/2024</t>
        </is>
      </c>
      <c r="X630" s="4" t="inlineStr">
        <is>
          <t>HS &amp; S LLC</t>
        </is>
      </c>
    </row>
    <row r="631" ht="24" customHeight="1">
      <c r="A631" s="2">
        <f>+D631-S631</f>
        <v/>
      </c>
      <c r="B631" s="80" t="n">
        <v>2370</v>
      </c>
      <c r="C631" s="66" t="n">
        <v>45593</v>
      </c>
      <c r="D631" s="2" t="n">
        <v>1</v>
      </c>
      <c r="E631" s="3" t="inlineStr">
        <is>
          <t>PISTOLA SEMIAUTOMATICA</t>
        </is>
      </c>
      <c r="F631" s="3" t="inlineStr">
        <is>
          <t>9X19</t>
        </is>
      </c>
      <c r="G631" s="71" t="inlineStr">
        <is>
          <t>GLOCK</t>
        </is>
      </c>
      <c r="H631" s="65" t="inlineStr">
        <is>
          <t>MOD 19X</t>
        </is>
      </c>
      <c r="I631" s="65" t="inlineStr">
        <is>
          <t>BYXT710</t>
        </is>
      </c>
      <c r="J631" s="65" t="inlineStr">
        <is>
          <t>N/D</t>
        </is>
      </c>
      <c r="K631" s="65" t="inlineStr">
        <is>
          <t>N/D</t>
        </is>
      </c>
      <c r="L631" s="127" t="inlineStr">
        <is>
          <t>BIGNAMI SPA</t>
        </is>
      </c>
      <c r="M631" s="5" t="n">
        <v>487.425</v>
      </c>
      <c r="N631" s="5" t="n"/>
      <c r="O631" s="5">
        <f>+M631+N631</f>
        <v/>
      </c>
      <c r="P631" s="4" t="n"/>
      <c r="Q631" s="87" t="n"/>
      <c r="R631" s="5" t="n">
        <v>549</v>
      </c>
      <c r="S631" s="2" t="n">
        <v>1</v>
      </c>
      <c r="T631" s="3" t="inlineStr">
        <is>
          <t>6B/2024/1S</t>
        </is>
      </c>
      <c r="U631" s="87" t="inlineStr">
        <is>
          <t>13/11/2024</t>
        </is>
      </c>
      <c r="V631" s="3" t="inlineStr">
        <is>
          <t>25</t>
        </is>
      </c>
      <c r="W631" s="108" t="inlineStr">
        <is>
          <t>13/11/2024</t>
        </is>
      </c>
      <c r="X631" s="4" t="inlineStr">
        <is>
          <t>HS &amp; S LLC</t>
        </is>
      </c>
    </row>
    <row r="632" ht="24" customHeight="1">
      <c r="A632" s="2">
        <f>+D632-S632</f>
        <v/>
      </c>
      <c r="B632" s="80" t="n">
        <v>2371</v>
      </c>
      <c r="C632" s="66" t="n">
        <v>45593</v>
      </c>
      <c r="D632" s="2" t="n">
        <v>1</v>
      </c>
      <c r="E632" s="3" t="inlineStr">
        <is>
          <t>PISTOLA SEMIAUTOMATICA</t>
        </is>
      </c>
      <c r="F632" s="3" t="inlineStr">
        <is>
          <t>9X19</t>
        </is>
      </c>
      <c r="G632" s="71" t="inlineStr">
        <is>
          <t>GLOCK</t>
        </is>
      </c>
      <c r="H632" s="65" t="inlineStr">
        <is>
          <t>MOD 19X</t>
        </is>
      </c>
      <c r="I632" s="65" t="inlineStr">
        <is>
          <t>BYXT696</t>
        </is>
      </c>
      <c r="J632" s="65" t="inlineStr">
        <is>
          <t>N/D</t>
        </is>
      </c>
      <c r="K632" s="65" t="inlineStr">
        <is>
          <t>N/D</t>
        </is>
      </c>
      <c r="L632" s="127" t="inlineStr">
        <is>
          <t>BIGNAMI SPA</t>
        </is>
      </c>
      <c r="M632" s="5" t="n">
        <v>487.425</v>
      </c>
      <c r="N632" s="5" t="n"/>
      <c r="O632" s="5">
        <f>+M632+N632</f>
        <v/>
      </c>
      <c r="P632" s="4" t="n"/>
      <c r="Q632" s="87" t="n"/>
      <c r="R632" s="5" t="n">
        <v>549</v>
      </c>
      <c r="S632" s="2" t="n">
        <v>1</v>
      </c>
      <c r="T632" s="3" t="inlineStr">
        <is>
          <t>6B/2024/1S</t>
        </is>
      </c>
      <c r="U632" s="87" t="inlineStr">
        <is>
          <t>13/11/2024</t>
        </is>
      </c>
      <c r="V632" s="3" t="inlineStr">
        <is>
          <t>25</t>
        </is>
      </c>
      <c r="W632" s="108" t="inlineStr">
        <is>
          <t>13/11/2024</t>
        </is>
      </c>
      <c r="X632" s="4" t="inlineStr">
        <is>
          <t>HS &amp; S LLC</t>
        </is>
      </c>
    </row>
    <row r="633" ht="24" customHeight="1">
      <c r="A633" s="2">
        <f>+D633-S633</f>
        <v/>
      </c>
      <c r="B633" s="80" t="n">
        <v>2372</v>
      </c>
      <c r="C633" s="66" t="n">
        <v>45593</v>
      </c>
      <c r="D633" s="2" t="n">
        <v>1</v>
      </c>
      <c r="E633" s="3" t="inlineStr">
        <is>
          <t>PISTOLA SEMIAUTOMATICA</t>
        </is>
      </c>
      <c r="F633" s="3" t="inlineStr">
        <is>
          <t>9X19</t>
        </is>
      </c>
      <c r="G633" s="71" t="inlineStr">
        <is>
          <t>GLOCK</t>
        </is>
      </c>
      <c r="H633" s="65" t="inlineStr">
        <is>
          <t>MOD 19X</t>
        </is>
      </c>
      <c r="I633" s="65" t="inlineStr">
        <is>
          <t>BYXT695</t>
        </is>
      </c>
      <c r="J633" s="65" t="inlineStr">
        <is>
          <t>N/D</t>
        </is>
      </c>
      <c r="K633" s="65" t="inlineStr">
        <is>
          <t>N/D</t>
        </is>
      </c>
      <c r="L633" s="127" t="inlineStr">
        <is>
          <t>BIGNAMI SPA</t>
        </is>
      </c>
      <c r="M633" s="5" t="n">
        <v>487.425</v>
      </c>
      <c r="N633" s="5" t="n"/>
      <c r="O633" s="5">
        <f>+M633+N633</f>
        <v/>
      </c>
      <c r="P633" s="4" t="n"/>
      <c r="Q633" s="87" t="n"/>
      <c r="R633" s="5" t="n">
        <v>549</v>
      </c>
      <c r="S633" s="2" t="n">
        <v>1</v>
      </c>
      <c r="T633" s="3" t="inlineStr">
        <is>
          <t>6B/2024/1S</t>
        </is>
      </c>
      <c r="U633" s="87" t="inlineStr">
        <is>
          <t>13/11/2024</t>
        </is>
      </c>
      <c r="V633" s="3" t="inlineStr">
        <is>
          <t>25</t>
        </is>
      </c>
      <c r="W633" s="108" t="inlineStr">
        <is>
          <t>13/11/2024</t>
        </is>
      </c>
      <c r="X633" s="4" t="inlineStr">
        <is>
          <t>HS &amp; S LLC</t>
        </is>
      </c>
    </row>
    <row r="634" ht="24" customHeight="1">
      <c r="A634" s="2">
        <f>+D634-S634</f>
        <v/>
      </c>
      <c r="B634" s="80" t="n">
        <v>2373</v>
      </c>
      <c r="C634" s="66" t="n">
        <v>45593</v>
      </c>
      <c r="D634" s="2" t="n">
        <v>1</v>
      </c>
      <c r="E634" s="3" t="inlineStr">
        <is>
          <t>PISTOLA SEMIAUTOMATICA</t>
        </is>
      </c>
      <c r="F634" s="3" t="inlineStr">
        <is>
          <t>9X19</t>
        </is>
      </c>
      <c r="G634" s="71" t="inlineStr">
        <is>
          <t>GLOCK</t>
        </is>
      </c>
      <c r="H634" s="65" t="inlineStr">
        <is>
          <t>MOD 19X</t>
        </is>
      </c>
      <c r="I634" s="65" t="inlineStr">
        <is>
          <t>BYXT705</t>
        </is>
      </c>
      <c r="J634" s="65" t="inlineStr">
        <is>
          <t>N/D</t>
        </is>
      </c>
      <c r="K634" s="65" t="inlineStr">
        <is>
          <t>N/D</t>
        </is>
      </c>
      <c r="L634" s="127" t="inlineStr">
        <is>
          <t>BIGNAMI SPA</t>
        </is>
      </c>
      <c r="M634" s="5" t="n">
        <v>487.425</v>
      </c>
      <c r="N634" s="5" t="n"/>
      <c r="O634" s="5">
        <f>+M634+N634</f>
        <v/>
      </c>
      <c r="P634" s="4" t="n"/>
      <c r="Q634" s="87" t="n"/>
      <c r="R634" s="5" t="n">
        <v>549</v>
      </c>
      <c r="S634" s="2" t="n">
        <v>1</v>
      </c>
      <c r="T634" s="3" t="inlineStr">
        <is>
          <t>6B/2024/1S</t>
        </is>
      </c>
      <c r="U634" s="87" t="inlineStr">
        <is>
          <t>13/11/2024</t>
        </is>
      </c>
      <c r="V634" s="3" t="inlineStr">
        <is>
          <t>25</t>
        </is>
      </c>
      <c r="W634" s="108" t="inlineStr">
        <is>
          <t>13/11/2024</t>
        </is>
      </c>
      <c r="X634" s="4" t="inlineStr">
        <is>
          <t>HS &amp; S LLC</t>
        </is>
      </c>
    </row>
    <row r="635" ht="24" customHeight="1">
      <c r="A635" s="2">
        <f>+D635-S635</f>
        <v/>
      </c>
      <c r="B635" s="80" t="n">
        <v>2374</v>
      </c>
      <c r="C635" s="66" t="n">
        <v>45593</v>
      </c>
      <c r="D635" s="2" t="n">
        <v>1</v>
      </c>
      <c r="E635" s="3" t="inlineStr">
        <is>
          <t>PISTOLA SEMIAUTOMATICA</t>
        </is>
      </c>
      <c r="F635" s="3" t="inlineStr">
        <is>
          <t>9X19</t>
        </is>
      </c>
      <c r="G635" s="71" t="inlineStr">
        <is>
          <t>GLOCK</t>
        </is>
      </c>
      <c r="H635" s="65" t="inlineStr">
        <is>
          <t>MOD 19X</t>
        </is>
      </c>
      <c r="I635" s="65" t="inlineStr">
        <is>
          <t>BYXT707</t>
        </is>
      </c>
      <c r="J635" s="65" t="inlineStr">
        <is>
          <t>N/D</t>
        </is>
      </c>
      <c r="K635" s="65" t="inlineStr">
        <is>
          <t>N/D</t>
        </is>
      </c>
      <c r="L635" s="127" t="inlineStr">
        <is>
          <t>BIGNAMI SPA</t>
        </is>
      </c>
      <c r="M635" s="5" t="n">
        <v>487.425</v>
      </c>
      <c r="N635" s="5" t="n"/>
      <c r="O635" s="5">
        <f>+M635+N635</f>
        <v/>
      </c>
      <c r="P635" s="4" t="n"/>
      <c r="Q635" s="87" t="n"/>
      <c r="R635" s="5" t="n">
        <v>549</v>
      </c>
      <c r="S635" s="2" t="n">
        <v>1</v>
      </c>
      <c r="T635" s="3" t="inlineStr">
        <is>
          <t>6B/2024/1S</t>
        </is>
      </c>
      <c r="U635" s="87" t="inlineStr">
        <is>
          <t>13/11/2024</t>
        </is>
      </c>
      <c r="V635" s="3" t="inlineStr">
        <is>
          <t>25</t>
        </is>
      </c>
      <c r="W635" s="108" t="inlineStr">
        <is>
          <t>13/11/2024</t>
        </is>
      </c>
      <c r="X635" s="4" t="inlineStr">
        <is>
          <t>HS &amp; S LLC</t>
        </is>
      </c>
    </row>
    <row r="636" ht="24" customHeight="1">
      <c r="A636" s="2">
        <f>+D636-S636</f>
        <v/>
      </c>
      <c r="B636" s="80" t="n">
        <v>2375</v>
      </c>
      <c r="C636" s="66" t="n">
        <v>45593</v>
      </c>
      <c r="D636" s="2" t="n">
        <v>1</v>
      </c>
      <c r="E636" s="3" t="inlineStr">
        <is>
          <t>PISTOLA SEMIAUTOMATICA</t>
        </is>
      </c>
      <c r="F636" s="3" t="inlineStr">
        <is>
          <t>9X19</t>
        </is>
      </c>
      <c r="G636" s="71" t="inlineStr">
        <is>
          <t>GLOCK</t>
        </is>
      </c>
      <c r="H636" s="65" t="inlineStr">
        <is>
          <t>MOD 19X</t>
        </is>
      </c>
      <c r="I636" s="65" t="inlineStr">
        <is>
          <t>BYXT712</t>
        </is>
      </c>
      <c r="J636" s="65" t="inlineStr">
        <is>
          <t>N/D</t>
        </is>
      </c>
      <c r="K636" s="65" t="inlineStr">
        <is>
          <t>N/D</t>
        </is>
      </c>
      <c r="L636" s="127" t="inlineStr">
        <is>
          <t>BIGNAMI SPA</t>
        </is>
      </c>
      <c r="M636" s="5" t="n">
        <v>487.425</v>
      </c>
      <c r="N636" s="5" t="n"/>
      <c r="O636" s="5">
        <f>+M636+N636</f>
        <v/>
      </c>
      <c r="P636" s="4" t="n"/>
      <c r="Q636" s="87" t="n"/>
      <c r="R636" s="5" t="n">
        <v>549</v>
      </c>
      <c r="S636" s="2" t="n">
        <v>1</v>
      </c>
      <c r="T636" s="3" t="inlineStr">
        <is>
          <t>6B/2024/1S</t>
        </is>
      </c>
      <c r="U636" s="87" t="inlineStr">
        <is>
          <t>13/11/2024</t>
        </is>
      </c>
      <c r="V636" s="3" t="inlineStr">
        <is>
          <t>25</t>
        </is>
      </c>
      <c r="W636" s="108" t="inlineStr">
        <is>
          <t>13/11/2024</t>
        </is>
      </c>
      <c r="X636" s="4" t="inlineStr">
        <is>
          <t>HS &amp; S LLC</t>
        </is>
      </c>
    </row>
    <row r="637" ht="24" customHeight="1">
      <c r="A637" s="2">
        <f>+D637-S637</f>
        <v/>
      </c>
      <c r="B637" s="80" t="n">
        <v>2376</v>
      </c>
      <c r="C637" s="66" t="n">
        <v>45593</v>
      </c>
      <c r="D637" s="2" t="n">
        <v>1</v>
      </c>
      <c r="E637" s="3" t="inlineStr">
        <is>
          <t>PISTOLA SEMIAUTOMATICA</t>
        </is>
      </c>
      <c r="F637" s="3" t="inlineStr">
        <is>
          <t>9X19</t>
        </is>
      </c>
      <c r="G637" s="71" t="inlineStr">
        <is>
          <t>GLOCK</t>
        </is>
      </c>
      <c r="H637" s="65" t="inlineStr">
        <is>
          <t>MOD 19X</t>
        </is>
      </c>
      <c r="I637" s="65" t="inlineStr">
        <is>
          <t>BYXT688</t>
        </is>
      </c>
      <c r="J637" s="65" t="inlineStr">
        <is>
          <t>N/D</t>
        </is>
      </c>
      <c r="K637" s="65" t="inlineStr">
        <is>
          <t>N/D</t>
        </is>
      </c>
      <c r="L637" s="127" t="inlineStr">
        <is>
          <t>BIGNAMI SPA</t>
        </is>
      </c>
      <c r="M637" s="5" t="n">
        <v>487.425</v>
      </c>
      <c r="N637" s="5" t="n"/>
      <c r="O637" s="5">
        <f>+M637+N637</f>
        <v/>
      </c>
      <c r="P637" s="4" t="n"/>
      <c r="Q637" s="87" t="n"/>
      <c r="R637" s="5" t="n">
        <v>549</v>
      </c>
      <c r="S637" s="2" t="n">
        <v>1</v>
      </c>
      <c r="T637" s="3" t="inlineStr">
        <is>
          <t>6B/2024/1S</t>
        </is>
      </c>
      <c r="U637" s="87" t="inlineStr">
        <is>
          <t>13/11/2024</t>
        </is>
      </c>
      <c r="V637" s="3" t="inlineStr">
        <is>
          <t>25</t>
        </is>
      </c>
      <c r="W637" s="108" t="inlineStr">
        <is>
          <t>13/11/2024</t>
        </is>
      </c>
      <c r="X637" s="4" t="inlineStr">
        <is>
          <t>HS &amp; S LLC</t>
        </is>
      </c>
    </row>
    <row r="638" ht="24" customHeight="1">
      <c r="A638" s="2">
        <f>+D638-S638</f>
        <v/>
      </c>
      <c r="B638" s="80" t="n">
        <v>2377</v>
      </c>
      <c r="C638" s="66" t="n">
        <v>45593</v>
      </c>
      <c r="D638" s="2" t="n">
        <v>1</v>
      </c>
      <c r="E638" s="3" t="inlineStr">
        <is>
          <t>PISTOLA SEMIAUTOMATICA</t>
        </is>
      </c>
      <c r="F638" s="3" t="inlineStr">
        <is>
          <t>9X19</t>
        </is>
      </c>
      <c r="G638" s="71" t="inlineStr">
        <is>
          <t>GLOCK</t>
        </is>
      </c>
      <c r="H638" s="65" t="inlineStr">
        <is>
          <t>26 GEN5 LUGER</t>
        </is>
      </c>
      <c r="I638" s="65" t="inlineStr">
        <is>
          <t>CCST319</t>
        </is>
      </c>
      <c r="J638" s="65" t="inlineStr">
        <is>
          <t>N/D</t>
        </is>
      </c>
      <c r="K638" s="65" t="inlineStr">
        <is>
          <t>N/D</t>
        </is>
      </c>
      <c r="L638" s="127" t="inlineStr">
        <is>
          <t>BIGNAMI SPA</t>
        </is>
      </c>
      <c r="M638" s="5" t="n">
        <v>447.29</v>
      </c>
      <c r="N638" s="5" t="n"/>
      <c r="O638" s="5">
        <f>+M638+N638</f>
        <v/>
      </c>
      <c r="P638" s="4" t="n"/>
      <c r="Q638" s="87" t="n"/>
      <c r="R638" s="5" t="n">
        <v>505</v>
      </c>
      <c r="S638" s="2" t="n">
        <v>1</v>
      </c>
      <c r="T638" s="3" t="inlineStr">
        <is>
          <t>6B/2024/1S</t>
        </is>
      </c>
      <c r="U638" s="87" t="inlineStr">
        <is>
          <t>13/11/2024</t>
        </is>
      </c>
      <c r="V638" s="3" t="inlineStr">
        <is>
          <t>25</t>
        </is>
      </c>
      <c r="W638" s="108" t="inlineStr">
        <is>
          <t>13/11/2024</t>
        </is>
      </c>
      <c r="X638" s="4" t="inlineStr">
        <is>
          <t>HS &amp; S LLC</t>
        </is>
      </c>
    </row>
    <row r="639" ht="24" customHeight="1">
      <c r="A639" s="2">
        <f>+D639-S639</f>
        <v/>
      </c>
      <c r="B639" s="80" t="n">
        <v>2378</v>
      </c>
      <c r="C639" s="66" t="n">
        <v>45593</v>
      </c>
      <c r="D639" s="2" t="n">
        <v>1</v>
      </c>
      <c r="E639" s="3" t="inlineStr">
        <is>
          <t>PISTOLA SEMIAUTOMATICA</t>
        </is>
      </c>
      <c r="F639" s="3" t="inlineStr">
        <is>
          <t>9X19</t>
        </is>
      </c>
      <c r="G639" s="71" t="inlineStr">
        <is>
          <t>GLOCK</t>
        </is>
      </c>
      <c r="H639" s="65" t="inlineStr">
        <is>
          <t>26 GEN5 LUGER</t>
        </is>
      </c>
      <c r="I639" s="65" t="inlineStr">
        <is>
          <t>CCST320</t>
        </is>
      </c>
      <c r="J639" s="65" t="inlineStr">
        <is>
          <t>N/D</t>
        </is>
      </c>
      <c r="K639" s="65" t="inlineStr">
        <is>
          <t>N/D</t>
        </is>
      </c>
      <c r="L639" s="127" t="inlineStr">
        <is>
          <t>BIGNAMI SPA</t>
        </is>
      </c>
      <c r="M639" s="5" t="n">
        <v>447.29</v>
      </c>
      <c r="N639" s="5" t="n"/>
      <c r="O639" s="5">
        <f>+M639+N639</f>
        <v/>
      </c>
      <c r="P639" s="4" t="n"/>
      <c r="Q639" s="87" t="n"/>
      <c r="R639" s="5" t="n">
        <v>505</v>
      </c>
      <c r="S639" s="2" t="n">
        <v>1</v>
      </c>
      <c r="T639" s="3" t="inlineStr">
        <is>
          <t>6B/2024/1S</t>
        </is>
      </c>
      <c r="U639" s="87" t="inlineStr">
        <is>
          <t>13/11/2024</t>
        </is>
      </c>
      <c r="V639" s="3" t="inlineStr">
        <is>
          <t>25</t>
        </is>
      </c>
      <c r="W639" s="108" t="inlineStr">
        <is>
          <t>13/11/2024</t>
        </is>
      </c>
      <c r="X639" s="4" t="inlineStr">
        <is>
          <t>HS &amp; S LLC</t>
        </is>
      </c>
    </row>
    <row r="640" ht="24" customHeight="1">
      <c r="A640" s="2">
        <f>+D640-S640</f>
        <v/>
      </c>
      <c r="B640" s="80" t="n">
        <v>2379</v>
      </c>
      <c r="C640" s="66" t="n">
        <v>45593</v>
      </c>
      <c r="D640" s="2" t="n">
        <v>1</v>
      </c>
      <c r="E640" s="3" t="inlineStr">
        <is>
          <t>PISTOLA SEMIAUTOMATICA</t>
        </is>
      </c>
      <c r="F640" s="3" t="inlineStr">
        <is>
          <t>9X19</t>
        </is>
      </c>
      <c r="G640" s="71" t="inlineStr">
        <is>
          <t>GLOCK</t>
        </is>
      </c>
      <c r="H640" s="65" t="inlineStr">
        <is>
          <t>26 GEN5 LUGER</t>
        </is>
      </c>
      <c r="I640" s="65" t="inlineStr">
        <is>
          <t>CCST321</t>
        </is>
      </c>
      <c r="J640" s="65" t="inlineStr">
        <is>
          <t>N/D</t>
        </is>
      </c>
      <c r="K640" s="65" t="inlineStr">
        <is>
          <t>N/D</t>
        </is>
      </c>
      <c r="L640" s="127" t="inlineStr">
        <is>
          <t>BIGNAMI SPA</t>
        </is>
      </c>
      <c r="M640" s="5" t="n">
        <v>447.29</v>
      </c>
      <c r="N640" s="5" t="n"/>
      <c r="O640" s="5">
        <f>+M640+N640</f>
        <v/>
      </c>
      <c r="P640" s="4" t="n"/>
      <c r="Q640" s="87" t="n"/>
      <c r="R640" s="5" t="n">
        <v>505</v>
      </c>
      <c r="S640" s="2" t="n">
        <v>1</v>
      </c>
      <c r="T640" s="3" t="inlineStr">
        <is>
          <t>6B/2024/1S</t>
        </is>
      </c>
      <c r="U640" s="87" t="inlineStr">
        <is>
          <t>13/11/2024</t>
        </is>
      </c>
      <c r="V640" s="3" t="inlineStr">
        <is>
          <t>25</t>
        </is>
      </c>
      <c r="W640" s="108" t="inlineStr">
        <is>
          <t>13/11/2024</t>
        </is>
      </c>
      <c r="X640" s="4" t="inlineStr">
        <is>
          <t>HS &amp; S LLC</t>
        </is>
      </c>
    </row>
    <row r="641" ht="24" customHeight="1">
      <c r="A641" s="2">
        <f>+D641-S641</f>
        <v/>
      </c>
      <c r="B641" s="80" t="n">
        <v>2380</v>
      </c>
      <c r="C641" s="66" t="n">
        <v>45593</v>
      </c>
      <c r="D641" s="2" t="n">
        <v>1</v>
      </c>
      <c r="E641" s="3" t="inlineStr">
        <is>
          <t>PISTOLA SEMIAUTOMATICA</t>
        </is>
      </c>
      <c r="F641" s="3" t="inlineStr">
        <is>
          <t>9X19</t>
        </is>
      </c>
      <c r="G641" s="71" t="inlineStr">
        <is>
          <t>GLOCK</t>
        </is>
      </c>
      <c r="H641" s="65" t="inlineStr">
        <is>
          <t>26 GEN5 LUGER</t>
        </is>
      </c>
      <c r="I641" s="65" t="inlineStr">
        <is>
          <t>CCST317</t>
        </is>
      </c>
      <c r="J641" s="65" t="inlineStr">
        <is>
          <t>N/D</t>
        </is>
      </c>
      <c r="K641" s="65" t="inlineStr">
        <is>
          <t>N/D</t>
        </is>
      </c>
      <c r="L641" s="127" t="inlineStr">
        <is>
          <t>BIGNAMI SPA</t>
        </is>
      </c>
      <c r="M641" s="5" t="n">
        <v>447.29</v>
      </c>
      <c r="N641" s="5" t="n"/>
      <c r="O641" s="5">
        <f>+M641+N641</f>
        <v/>
      </c>
      <c r="P641" s="4" t="n"/>
      <c r="Q641" s="87" t="n"/>
      <c r="R641" s="5" t="n">
        <v>505</v>
      </c>
      <c r="S641" s="2" t="n">
        <v>1</v>
      </c>
      <c r="T641" s="3" t="inlineStr">
        <is>
          <t>6B/2024/1S</t>
        </is>
      </c>
      <c r="U641" s="87" t="inlineStr">
        <is>
          <t>13/11/2024</t>
        </is>
      </c>
      <c r="V641" s="3" t="inlineStr">
        <is>
          <t>25</t>
        </is>
      </c>
      <c r="W641" s="108" t="inlineStr">
        <is>
          <t>13/11/2024</t>
        </is>
      </c>
      <c r="X641" s="4" t="inlineStr">
        <is>
          <t>HS &amp; S LLC</t>
        </is>
      </c>
    </row>
    <row r="642" ht="24" customHeight="1">
      <c r="A642" s="2">
        <f>+D642-S642</f>
        <v/>
      </c>
      <c r="B642" s="80" t="n">
        <v>2381</v>
      </c>
      <c r="C642" s="66" t="n">
        <v>45593</v>
      </c>
      <c r="D642" s="2" t="n">
        <v>1</v>
      </c>
      <c r="E642" s="3" t="inlineStr">
        <is>
          <t>PISTOLA SEMIAUTOMATICA</t>
        </is>
      </c>
      <c r="F642" s="3" t="inlineStr">
        <is>
          <t>9X19</t>
        </is>
      </c>
      <c r="G642" s="71" t="inlineStr">
        <is>
          <t>GLOCK</t>
        </is>
      </c>
      <c r="H642" s="65" t="inlineStr">
        <is>
          <t>26 GEN5 LUGER</t>
        </is>
      </c>
      <c r="I642" s="65" t="inlineStr">
        <is>
          <t>CCST318</t>
        </is>
      </c>
      <c r="J642" s="65" t="inlineStr">
        <is>
          <t>N/D</t>
        </is>
      </c>
      <c r="K642" s="65" t="inlineStr">
        <is>
          <t>N/D</t>
        </is>
      </c>
      <c r="L642" s="127" t="inlineStr">
        <is>
          <t>BIGNAMI SPA</t>
        </is>
      </c>
      <c r="M642" s="5" t="n">
        <v>447.29</v>
      </c>
      <c r="N642" s="5" t="n"/>
      <c r="O642" s="5">
        <f>+M642+N642</f>
        <v/>
      </c>
      <c r="P642" s="4" t="n"/>
      <c r="Q642" s="87" t="n"/>
      <c r="R642" s="5" t="n">
        <v>505</v>
      </c>
      <c r="S642" s="2" t="n">
        <v>1</v>
      </c>
      <c r="T642" s="3" t="inlineStr">
        <is>
          <t>6B/2024/1S</t>
        </is>
      </c>
      <c r="U642" s="87" t="inlineStr">
        <is>
          <t>13/11/2024</t>
        </is>
      </c>
      <c r="V642" s="3" t="inlineStr">
        <is>
          <t>25</t>
        </is>
      </c>
      <c r="W642" s="108" t="inlineStr">
        <is>
          <t>13/11/2024</t>
        </is>
      </c>
      <c r="X642" s="4" t="inlineStr">
        <is>
          <t>HS &amp; S LLC</t>
        </is>
      </c>
    </row>
    <row r="643" ht="24" customHeight="1">
      <c r="A643" s="2">
        <f>+D643-S643</f>
        <v/>
      </c>
      <c r="B643" s="80" t="n">
        <v>2382</v>
      </c>
      <c r="C643" s="66" t="n">
        <v>45593</v>
      </c>
      <c r="D643" s="2" t="n">
        <v>1</v>
      </c>
      <c r="E643" s="3" t="inlineStr">
        <is>
          <t>PISTOLA SEMIAUTOMATICA</t>
        </is>
      </c>
      <c r="F643" s="3" t="inlineStr">
        <is>
          <t>9X19</t>
        </is>
      </c>
      <c r="G643" s="71" t="inlineStr">
        <is>
          <t>GLOCK</t>
        </is>
      </c>
      <c r="H643" s="65" t="inlineStr">
        <is>
          <t>MOD 43</t>
        </is>
      </c>
      <c r="I643" s="65" t="inlineStr">
        <is>
          <t>CCGN484</t>
        </is>
      </c>
      <c r="J643" s="65" t="inlineStr">
        <is>
          <t>N/D</t>
        </is>
      </c>
      <c r="K643" s="65" t="inlineStr">
        <is>
          <t>N/D</t>
        </is>
      </c>
      <c r="L643" s="127" t="inlineStr">
        <is>
          <t>BIGNAMI SPA</t>
        </is>
      </c>
      <c r="M643" s="5" t="n">
        <v>378.773</v>
      </c>
      <c r="N643" s="5" t="n"/>
      <c r="O643" s="5">
        <f>+M643+N643</f>
        <v/>
      </c>
      <c r="P643" s="4" t="n"/>
      <c r="Q643" s="87" t="n"/>
      <c r="R643" s="5" t="n">
        <v>460</v>
      </c>
      <c r="S643" s="2" t="n">
        <v>1</v>
      </c>
      <c r="T643" s="3" t="inlineStr">
        <is>
          <t>6B/2024/1S</t>
        </is>
      </c>
      <c r="U643" s="87" t="inlineStr">
        <is>
          <t>13/11/2024</t>
        </is>
      </c>
      <c r="V643" s="3" t="inlineStr">
        <is>
          <t>25</t>
        </is>
      </c>
      <c r="W643" s="108" t="inlineStr">
        <is>
          <t>13/11/2024</t>
        </is>
      </c>
      <c r="X643" s="4" t="inlineStr">
        <is>
          <t>HS &amp; S LLC</t>
        </is>
      </c>
    </row>
    <row r="644" ht="24" customHeight="1">
      <c r="A644" s="2">
        <f>+D644-S644</f>
        <v/>
      </c>
      <c r="B644" s="80" t="n">
        <v>2383</v>
      </c>
      <c r="C644" s="66" t="n">
        <v>45593</v>
      </c>
      <c r="D644" s="2" t="n">
        <v>1</v>
      </c>
      <c r="E644" s="3" t="inlineStr">
        <is>
          <t>PISTOLA SEMIAUTOMATICA</t>
        </is>
      </c>
      <c r="F644" s="3" t="inlineStr">
        <is>
          <t>9X19</t>
        </is>
      </c>
      <c r="G644" s="71" t="inlineStr">
        <is>
          <t>GLOCK</t>
        </is>
      </c>
      <c r="H644" s="65" t="inlineStr">
        <is>
          <t>MOD 43</t>
        </is>
      </c>
      <c r="I644" s="65" t="inlineStr">
        <is>
          <t>CCGN481</t>
        </is>
      </c>
      <c r="J644" s="65" t="inlineStr">
        <is>
          <t>N/D</t>
        </is>
      </c>
      <c r="K644" s="65" t="inlineStr">
        <is>
          <t>N/D</t>
        </is>
      </c>
      <c r="L644" s="127" t="inlineStr">
        <is>
          <t>BIGNAMI SPA</t>
        </is>
      </c>
      <c r="M644" s="5" t="n">
        <v>378.773</v>
      </c>
      <c r="N644" s="5" t="n"/>
      <c r="O644" s="5">
        <f>+M644+N644</f>
        <v/>
      </c>
      <c r="P644" s="4" t="n"/>
      <c r="Q644" s="87" t="n"/>
      <c r="R644" s="5" t="n">
        <v>460</v>
      </c>
      <c r="S644" s="2" t="n">
        <v>1</v>
      </c>
      <c r="T644" s="3" t="inlineStr">
        <is>
          <t>6B/2024/1S</t>
        </is>
      </c>
      <c r="U644" s="87" t="inlineStr">
        <is>
          <t>13/11/2024</t>
        </is>
      </c>
      <c r="V644" s="3" t="inlineStr">
        <is>
          <t>25</t>
        </is>
      </c>
      <c r="W644" s="108" t="inlineStr">
        <is>
          <t>13/11/2024</t>
        </is>
      </c>
      <c r="X644" s="4" t="inlineStr">
        <is>
          <t>HS &amp; S LLC</t>
        </is>
      </c>
    </row>
    <row r="645" ht="24" customHeight="1">
      <c r="A645" s="2">
        <f>+D645-S645</f>
        <v/>
      </c>
      <c r="B645" s="80" t="n">
        <v>2384</v>
      </c>
      <c r="C645" s="66" t="n">
        <v>45593</v>
      </c>
      <c r="D645" s="2" t="n">
        <v>1</v>
      </c>
      <c r="E645" s="3" t="inlineStr">
        <is>
          <t>PISTOLA SEMIAUTOMATICA</t>
        </is>
      </c>
      <c r="F645" s="3" t="inlineStr">
        <is>
          <t>9X19</t>
        </is>
      </c>
      <c r="G645" s="71" t="inlineStr">
        <is>
          <t>GLOCK</t>
        </is>
      </c>
      <c r="H645" s="65" t="inlineStr">
        <is>
          <t>MOD 43</t>
        </is>
      </c>
      <c r="I645" s="65" t="inlineStr">
        <is>
          <t>CCGN485</t>
        </is>
      </c>
      <c r="J645" s="65" t="inlineStr">
        <is>
          <t>N/D</t>
        </is>
      </c>
      <c r="K645" s="65" t="inlineStr">
        <is>
          <t>N/D</t>
        </is>
      </c>
      <c r="L645" s="127" t="inlineStr">
        <is>
          <t>BIGNAMI SPA</t>
        </is>
      </c>
      <c r="M645" s="5" t="n">
        <v>378.773</v>
      </c>
      <c r="N645" s="5" t="n"/>
      <c r="O645" s="5">
        <f>+M645+N645</f>
        <v/>
      </c>
      <c r="P645" s="4" t="n"/>
      <c r="Q645" s="87" t="n"/>
      <c r="R645" s="5" t="n">
        <v>460</v>
      </c>
      <c r="S645" s="2" t="n">
        <v>1</v>
      </c>
      <c r="T645" s="3" t="inlineStr">
        <is>
          <t>6B/2024/1S</t>
        </is>
      </c>
      <c r="U645" s="87" t="inlineStr">
        <is>
          <t>13/11/2024</t>
        </is>
      </c>
      <c r="V645" s="3" t="inlineStr">
        <is>
          <t>25</t>
        </is>
      </c>
      <c r="W645" s="108" t="inlineStr">
        <is>
          <t>13/11/2024</t>
        </is>
      </c>
      <c r="X645" s="4" t="inlineStr">
        <is>
          <t>HS &amp; S LLC</t>
        </is>
      </c>
    </row>
    <row r="646" ht="24" customHeight="1">
      <c r="A646" s="2">
        <f>+D646-S646</f>
        <v/>
      </c>
      <c r="B646" s="80" t="n">
        <v>2385</v>
      </c>
      <c r="C646" s="66" t="n">
        <v>45593</v>
      </c>
      <c r="D646" s="2" t="n">
        <v>1</v>
      </c>
      <c r="E646" s="3" t="inlineStr">
        <is>
          <t>PISTOLA SEMIAUTOMATICA</t>
        </is>
      </c>
      <c r="F646" s="3" t="inlineStr">
        <is>
          <t>9X19</t>
        </is>
      </c>
      <c r="G646" s="71" t="inlineStr">
        <is>
          <t>GLOCK</t>
        </is>
      </c>
      <c r="H646" s="65" t="inlineStr">
        <is>
          <t>MOD 43</t>
        </is>
      </c>
      <c r="I646" s="65" t="inlineStr">
        <is>
          <t>CCGN482</t>
        </is>
      </c>
      <c r="J646" s="65" t="inlineStr">
        <is>
          <t>N/D</t>
        </is>
      </c>
      <c r="K646" s="65" t="inlineStr">
        <is>
          <t>N/D</t>
        </is>
      </c>
      <c r="L646" s="127" t="inlineStr">
        <is>
          <t>BIGNAMI SPA</t>
        </is>
      </c>
      <c r="M646" s="5" t="n">
        <v>378.773</v>
      </c>
      <c r="N646" s="5" t="n"/>
      <c r="O646" s="5">
        <f>+M646+N646</f>
        <v/>
      </c>
      <c r="P646" s="4" t="n"/>
      <c r="Q646" s="87" t="n"/>
      <c r="R646" s="5" t="n">
        <v>460</v>
      </c>
      <c r="S646" s="2" t="n">
        <v>1</v>
      </c>
      <c r="T646" s="3" t="inlineStr">
        <is>
          <t>6B/2024/1S</t>
        </is>
      </c>
      <c r="U646" s="87" t="inlineStr">
        <is>
          <t>13/11/2024</t>
        </is>
      </c>
      <c r="V646" s="3" t="inlineStr">
        <is>
          <t>25</t>
        </is>
      </c>
      <c r="W646" s="108" t="inlineStr">
        <is>
          <t>13/11/2024</t>
        </is>
      </c>
      <c r="X646" s="4" t="inlineStr">
        <is>
          <t>HS &amp; S LLC</t>
        </is>
      </c>
    </row>
    <row r="647" ht="24" customHeight="1">
      <c r="A647" s="2">
        <f>+D647-S647</f>
        <v/>
      </c>
      <c r="B647" s="80" t="n">
        <v>2386</v>
      </c>
      <c r="C647" s="66" t="n">
        <v>45593</v>
      </c>
      <c r="D647" s="2" t="n">
        <v>1</v>
      </c>
      <c r="E647" s="3" t="inlineStr">
        <is>
          <t>PISTOLA SEMIAUTOMATICA</t>
        </is>
      </c>
      <c r="F647" s="3" t="inlineStr">
        <is>
          <t>9X19</t>
        </is>
      </c>
      <c r="G647" s="71" t="inlineStr">
        <is>
          <t>GLOCK</t>
        </is>
      </c>
      <c r="H647" s="65" t="inlineStr">
        <is>
          <t>MOD 43X SILVER</t>
        </is>
      </c>
      <c r="I647" s="65" t="inlineStr">
        <is>
          <t>BZUB940</t>
        </is>
      </c>
      <c r="J647" s="65" t="inlineStr">
        <is>
          <t>N/D</t>
        </is>
      </c>
      <c r="K647" s="65" t="inlineStr">
        <is>
          <t>N/D</t>
        </is>
      </c>
      <c r="L647" s="127" t="inlineStr">
        <is>
          <t>BIGNAMI SPA</t>
        </is>
      </c>
      <c r="M647" s="5" t="n">
        <v>440.44</v>
      </c>
      <c r="N647" s="5" t="n"/>
      <c r="O647" s="5">
        <f>+M647+N647</f>
        <v/>
      </c>
      <c r="P647" s="4" t="n"/>
      <c r="Q647" s="87" t="n"/>
      <c r="R647" s="5" t="n">
        <v>475</v>
      </c>
      <c r="S647" s="2" t="n">
        <v>1</v>
      </c>
      <c r="T647" s="3" t="inlineStr">
        <is>
          <t>6B/2024/1S</t>
        </is>
      </c>
      <c r="U647" s="87" t="inlineStr">
        <is>
          <t>13/11/2024</t>
        </is>
      </c>
      <c r="V647" s="3" t="inlineStr">
        <is>
          <t>25</t>
        </is>
      </c>
      <c r="W647" s="108" t="inlineStr">
        <is>
          <t>13/11/2024</t>
        </is>
      </c>
      <c r="X647" s="4" t="inlineStr">
        <is>
          <t>HS &amp; S LLC</t>
        </is>
      </c>
    </row>
    <row r="648" ht="24" customHeight="1">
      <c r="A648" s="2">
        <f>+D648-S648</f>
        <v/>
      </c>
      <c r="B648" s="80" t="n">
        <v>2387</v>
      </c>
      <c r="C648" s="66" t="n">
        <v>45593</v>
      </c>
      <c r="D648" s="2" t="n">
        <v>1</v>
      </c>
      <c r="E648" s="3" t="inlineStr">
        <is>
          <t>PISTOLA SEMIAUTOMATICA</t>
        </is>
      </c>
      <c r="F648" s="3" t="inlineStr">
        <is>
          <t>9X19</t>
        </is>
      </c>
      <c r="G648" s="71" t="inlineStr">
        <is>
          <t>GLOCK</t>
        </is>
      </c>
      <c r="H648" s="65" t="inlineStr">
        <is>
          <t>MOD 43X SILVER</t>
        </is>
      </c>
      <c r="I648" s="65" t="inlineStr">
        <is>
          <t>BZUB941</t>
        </is>
      </c>
      <c r="J648" s="65" t="inlineStr">
        <is>
          <t>N/D</t>
        </is>
      </c>
      <c r="K648" s="65" t="inlineStr">
        <is>
          <t>N/D</t>
        </is>
      </c>
      <c r="L648" s="127" t="inlineStr">
        <is>
          <t>BIGNAMI SPA</t>
        </is>
      </c>
      <c r="M648" s="5" t="n">
        <v>440.44</v>
      </c>
      <c r="N648" s="5" t="n"/>
      <c r="O648" s="5">
        <f>+M648+N648</f>
        <v/>
      </c>
      <c r="P648" s="4" t="n"/>
      <c r="Q648" s="87" t="n"/>
      <c r="R648" s="5" t="n">
        <v>475</v>
      </c>
      <c r="S648" s="2" t="n">
        <v>1</v>
      </c>
      <c r="T648" s="3" t="inlineStr">
        <is>
          <t>6B/2024/1S</t>
        </is>
      </c>
      <c r="U648" s="87" t="inlineStr">
        <is>
          <t>13/11/2024</t>
        </is>
      </c>
      <c r="V648" s="3" t="inlineStr">
        <is>
          <t>25</t>
        </is>
      </c>
      <c r="W648" s="108" t="inlineStr">
        <is>
          <t>13/11/2024</t>
        </is>
      </c>
      <c r="X648" s="4" t="inlineStr">
        <is>
          <t>HS &amp; S LLC</t>
        </is>
      </c>
    </row>
    <row r="649" ht="24" customHeight="1">
      <c r="A649" s="2">
        <f>+D649-S649</f>
        <v/>
      </c>
      <c r="B649" s="80" t="n">
        <v>2388</v>
      </c>
      <c r="C649" s="66" t="n">
        <v>45593</v>
      </c>
      <c r="D649" s="2" t="n">
        <v>1</v>
      </c>
      <c r="E649" s="3" t="inlineStr">
        <is>
          <t>PISTOLA SEMIAUTOMATICA</t>
        </is>
      </c>
      <c r="F649" s="3" t="inlineStr">
        <is>
          <t>9X19</t>
        </is>
      </c>
      <c r="G649" s="71" t="inlineStr">
        <is>
          <t>GLOCK</t>
        </is>
      </c>
      <c r="H649" s="65" t="inlineStr">
        <is>
          <t>MOD 43X SILVER</t>
        </is>
      </c>
      <c r="I649" s="65" t="inlineStr">
        <is>
          <t>BZUB905</t>
        </is>
      </c>
      <c r="J649" s="65" t="inlineStr">
        <is>
          <t>N/D</t>
        </is>
      </c>
      <c r="K649" s="65" t="inlineStr">
        <is>
          <t>N/D</t>
        </is>
      </c>
      <c r="L649" s="127" t="inlineStr">
        <is>
          <t>BIGNAMI SPA</t>
        </is>
      </c>
      <c r="M649" s="5" t="n">
        <v>440.44</v>
      </c>
      <c r="N649" s="5" t="n"/>
      <c r="O649" s="5">
        <f>+M649+N649</f>
        <v/>
      </c>
      <c r="P649" s="4" t="n"/>
      <c r="Q649" s="87" t="n"/>
      <c r="R649" s="5" t="n">
        <v>475</v>
      </c>
      <c r="S649" s="2" t="n">
        <v>1</v>
      </c>
      <c r="T649" s="3" t="inlineStr">
        <is>
          <t>6B/2024/1S</t>
        </is>
      </c>
      <c r="U649" s="87" t="inlineStr">
        <is>
          <t>13/11/2024</t>
        </is>
      </c>
      <c r="V649" s="3" t="inlineStr">
        <is>
          <t>25</t>
        </is>
      </c>
      <c r="W649" s="108" t="inlineStr">
        <is>
          <t>13/11/2024</t>
        </is>
      </c>
      <c r="X649" s="4" t="inlineStr">
        <is>
          <t>HS &amp; S LLC</t>
        </is>
      </c>
    </row>
    <row r="650" ht="24" customHeight="1">
      <c r="A650" s="2">
        <f>+D650-S650</f>
        <v/>
      </c>
      <c r="B650" s="80" t="n">
        <v>2389</v>
      </c>
      <c r="C650" s="66" t="n">
        <v>45593</v>
      </c>
      <c r="D650" s="2" t="n">
        <v>1</v>
      </c>
      <c r="E650" s="3" t="inlineStr">
        <is>
          <t>PISTOLA SEMIAUTOMATICA</t>
        </is>
      </c>
      <c r="F650" s="3" t="inlineStr">
        <is>
          <t>9X19</t>
        </is>
      </c>
      <c r="G650" s="71" t="inlineStr">
        <is>
          <t>GLOCK</t>
        </is>
      </c>
      <c r="H650" s="65" t="inlineStr">
        <is>
          <t>MOD 43X SILVER</t>
        </is>
      </c>
      <c r="I650" s="65" t="inlineStr">
        <is>
          <t>BZUB944</t>
        </is>
      </c>
      <c r="J650" s="65" t="inlineStr">
        <is>
          <t>N/D</t>
        </is>
      </c>
      <c r="K650" s="65" t="inlineStr">
        <is>
          <t>N/D</t>
        </is>
      </c>
      <c r="L650" s="127" t="inlineStr">
        <is>
          <t>BIGNAMI SPA</t>
        </is>
      </c>
      <c r="M650" s="5" t="n">
        <v>440.44</v>
      </c>
      <c r="N650" s="5" t="n"/>
      <c r="O650" s="5">
        <f>+M650+N650</f>
        <v/>
      </c>
      <c r="P650" s="4" t="n"/>
      <c r="Q650" s="87" t="n"/>
      <c r="R650" s="5" t="n">
        <v>475</v>
      </c>
      <c r="S650" s="2" t="n">
        <v>1</v>
      </c>
      <c r="T650" s="3" t="inlineStr">
        <is>
          <t>6B/2024/1S</t>
        </is>
      </c>
      <c r="U650" s="87" t="inlineStr">
        <is>
          <t>13/11/2024</t>
        </is>
      </c>
      <c r="V650" s="3" t="inlineStr">
        <is>
          <t>25</t>
        </is>
      </c>
      <c r="W650" s="108" t="inlineStr">
        <is>
          <t>13/11/2024</t>
        </is>
      </c>
      <c r="X650" s="4" t="inlineStr">
        <is>
          <t>HS &amp; S LLC</t>
        </is>
      </c>
    </row>
    <row r="651" ht="24" customHeight="1">
      <c r="A651" s="2">
        <f>+D651-S651</f>
        <v/>
      </c>
      <c r="B651" s="80" t="n">
        <v>2390</v>
      </c>
      <c r="C651" s="66" t="n">
        <v>45593</v>
      </c>
      <c r="D651" s="2" t="n">
        <v>1</v>
      </c>
      <c r="E651" s="3" t="inlineStr">
        <is>
          <t>PISTOLA SEMIAUTOMATICA</t>
        </is>
      </c>
      <c r="F651" s="3" t="inlineStr">
        <is>
          <t>9X19</t>
        </is>
      </c>
      <c r="G651" s="71" t="inlineStr">
        <is>
          <t>GLOCK</t>
        </is>
      </c>
      <c r="H651" s="65" t="inlineStr">
        <is>
          <t>45 LUGER</t>
        </is>
      </c>
      <c r="I651" s="65" t="inlineStr">
        <is>
          <t>BUXB364</t>
        </is>
      </c>
      <c r="J651" s="65" t="inlineStr">
        <is>
          <t>N/D</t>
        </is>
      </c>
      <c r="K651" s="65" t="inlineStr">
        <is>
          <t>N/D</t>
        </is>
      </c>
      <c r="L651" s="127" t="inlineStr">
        <is>
          <t>BIGNAMI SPA</t>
        </is>
      </c>
      <c r="M651" s="5" t="n">
        <v>447.295</v>
      </c>
      <c r="N651" s="5" t="n"/>
      <c r="O651" s="5">
        <f>+M651+N651</f>
        <v/>
      </c>
      <c r="P651" s="4" t="n"/>
      <c r="Q651" s="87" t="n"/>
      <c r="R651" s="5" t="n">
        <v>516</v>
      </c>
      <c r="S651" s="2" t="n">
        <v>1</v>
      </c>
      <c r="T651" s="3" t="inlineStr">
        <is>
          <t>6B/2024/1S</t>
        </is>
      </c>
      <c r="U651" s="87" t="inlineStr">
        <is>
          <t>13/11/2024</t>
        </is>
      </c>
      <c r="V651" s="3" t="inlineStr">
        <is>
          <t>25</t>
        </is>
      </c>
      <c r="W651" s="108" t="inlineStr">
        <is>
          <t>13/11/2024</t>
        </is>
      </c>
      <c r="X651" s="4" t="inlineStr">
        <is>
          <t>HS &amp; S LLC</t>
        </is>
      </c>
    </row>
    <row r="652" ht="24" customHeight="1">
      <c r="A652" s="2">
        <f>+D652-S652</f>
        <v/>
      </c>
      <c r="B652" s="80" t="n">
        <v>2391</v>
      </c>
      <c r="C652" s="66" t="n">
        <v>45593</v>
      </c>
      <c r="D652" s="2" t="n">
        <v>1</v>
      </c>
      <c r="E652" s="3" t="inlineStr">
        <is>
          <t>PISTOLA SEMIAUTOMATICA</t>
        </is>
      </c>
      <c r="F652" s="3" t="inlineStr">
        <is>
          <t>9X19</t>
        </is>
      </c>
      <c r="G652" s="71" t="inlineStr">
        <is>
          <t>GLOCK</t>
        </is>
      </c>
      <c r="H652" s="65" t="inlineStr">
        <is>
          <t>45 LUGER</t>
        </is>
      </c>
      <c r="I652" s="65" t="inlineStr">
        <is>
          <t>BUXB360</t>
        </is>
      </c>
      <c r="J652" s="65" t="inlineStr">
        <is>
          <t>N/D</t>
        </is>
      </c>
      <c r="K652" s="65" t="inlineStr">
        <is>
          <t>N/D</t>
        </is>
      </c>
      <c r="L652" s="127" t="inlineStr">
        <is>
          <t>BIGNAMI SPA</t>
        </is>
      </c>
      <c r="M652" s="5" t="n">
        <v>447.295</v>
      </c>
      <c r="N652" s="5" t="n"/>
      <c r="O652" s="5">
        <f>+M652+N652</f>
        <v/>
      </c>
      <c r="P652" s="4" t="n"/>
      <c r="Q652" s="87" t="n"/>
      <c r="R652" s="5" t="n">
        <v>516</v>
      </c>
      <c r="S652" s="2" t="n">
        <v>1</v>
      </c>
      <c r="T652" s="3" t="inlineStr">
        <is>
          <t>6B/2024/1S</t>
        </is>
      </c>
      <c r="U652" s="87" t="inlineStr">
        <is>
          <t>13/11/2024</t>
        </is>
      </c>
      <c r="V652" s="3" t="inlineStr">
        <is>
          <t>25</t>
        </is>
      </c>
      <c r="W652" s="108" t="inlineStr">
        <is>
          <t>13/11/2024</t>
        </is>
      </c>
      <c r="X652" s="4" t="inlineStr">
        <is>
          <t>HS &amp; S LLC</t>
        </is>
      </c>
    </row>
    <row r="653" ht="24" customHeight="1">
      <c r="A653" s="2">
        <f>+D653-S653</f>
        <v/>
      </c>
      <c r="B653" s="80" t="n">
        <v>2392</v>
      </c>
      <c r="C653" s="66" t="n">
        <v>45593</v>
      </c>
      <c r="D653" s="2" t="n">
        <v>1</v>
      </c>
      <c r="E653" s="3" t="inlineStr">
        <is>
          <t>PISTOLA SEMIAUTOMATICA</t>
        </is>
      </c>
      <c r="F653" s="3" t="inlineStr">
        <is>
          <t>9X19</t>
        </is>
      </c>
      <c r="G653" s="71" t="inlineStr">
        <is>
          <t>GLOCK</t>
        </is>
      </c>
      <c r="H653" s="65" t="inlineStr">
        <is>
          <t>45 LUGER</t>
        </is>
      </c>
      <c r="I653" s="65" t="inlineStr">
        <is>
          <t>BUXB363</t>
        </is>
      </c>
      <c r="J653" s="65" t="inlineStr">
        <is>
          <t>N/D</t>
        </is>
      </c>
      <c r="K653" s="65" t="inlineStr">
        <is>
          <t>N/D</t>
        </is>
      </c>
      <c r="L653" s="127" t="inlineStr">
        <is>
          <t>BIGNAMI SPA</t>
        </is>
      </c>
      <c r="M653" s="5" t="n">
        <v>447.295</v>
      </c>
      <c r="N653" s="5" t="n"/>
      <c r="O653" s="5">
        <f>+M653+N653</f>
        <v/>
      </c>
      <c r="P653" s="4" t="n"/>
      <c r="Q653" s="87" t="n"/>
      <c r="R653" s="5" t="n">
        <v>516</v>
      </c>
      <c r="S653" s="2" t="n">
        <v>1</v>
      </c>
      <c r="T653" s="3" t="inlineStr">
        <is>
          <t>6B/2024/1S</t>
        </is>
      </c>
      <c r="U653" s="87" t="inlineStr">
        <is>
          <t>13/11/2024</t>
        </is>
      </c>
      <c r="V653" s="3" t="inlineStr">
        <is>
          <t>25</t>
        </is>
      </c>
      <c r="W653" s="108" t="inlineStr">
        <is>
          <t>13/11/2024</t>
        </is>
      </c>
      <c r="X653" s="4" t="inlineStr">
        <is>
          <t>HS &amp; S LLC</t>
        </is>
      </c>
    </row>
    <row r="654" ht="24" customHeight="1">
      <c r="A654" s="2">
        <f>+D654-S654</f>
        <v/>
      </c>
      <c r="B654" s="80" t="n">
        <v>2393</v>
      </c>
      <c r="C654" s="66" t="n">
        <v>45593</v>
      </c>
      <c r="D654" s="2" t="n">
        <v>1</v>
      </c>
      <c r="E654" s="3" t="inlineStr">
        <is>
          <t>PISTOLA SEMIAUTOMATICA</t>
        </is>
      </c>
      <c r="F654" s="3" t="inlineStr">
        <is>
          <t>9X19</t>
        </is>
      </c>
      <c r="G654" s="71" t="inlineStr">
        <is>
          <t>GLOCK</t>
        </is>
      </c>
      <c r="H654" s="65" t="inlineStr">
        <is>
          <t>45 LUGER</t>
        </is>
      </c>
      <c r="I654" s="65" t="inlineStr">
        <is>
          <t>BUXB350</t>
        </is>
      </c>
      <c r="J654" s="65" t="inlineStr">
        <is>
          <t>N/D</t>
        </is>
      </c>
      <c r="K654" s="65" t="inlineStr">
        <is>
          <t>N/D</t>
        </is>
      </c>
      <c r="L654" s="127" t="inlineStr">
        <is>
          <t>BIGNAMI SPA</t>
        </is>
      </c>
      <c r="M654" s="5" t="n">
        <v>447.295</v>
      </c>
      <c r="N654" s="5" t="n"/>
      <c r="O654" s="5">
        <f>+M654+N654</f>
        <v/>
      </c>
      <c r="P654" s="4" t="n"/>
      <c r="Q654" s="87" t="n"/>
      <c r="R654" s="5" t="n">
        <v>516</v>
      </c>
      <c r="S654" s="2" t="n">
        <v>1</v>
      </c>
      <c r="T654" s="3" t="inlineStr">
        <is>
          <t>6B/2024/1S</t>
        </is>
      </c>
      <c r="U654" s="87" t="inlineStr">
        <is>
          <t>13/11/2024</t>
        </is>
      </c>
      <c r="V654" s="3" t="inlineStr">
        <is>
          <t>25</t>
        </is>
      </c>
      <c r="W654" s="108" t="inlineStr">
        <is>
          <t>13/11/2024</t>
        </is>
      </c>
      <c r="X654" s="4" t="inlineStr">
        <is>
          <t>HS &amp; S LLC</t>
        </is>
      </c>
    </row>
    <row r="655" ht="24" customHeight="1">
      <c r="A655" s="2">
        <f>+D655-S655</f>
        <v/>
      </c>
      <c r="B655" s="80" t="n">
        <v>2394</v>
      </c>
      <c r="C655" s="66" t="n">
        <v>45593</v>
      </c>
      <c r="D655" s="2" t="n">
        <v>1</v>
      </c>
      <c r="E655" s="3" t="inlineStr">
        <is>
          <t>PISTOLA SEMIAUTOMATICA</t>
        </is>
      </c>
      <c r="F655" s="3" t="inlineStr">
        <is>
          <t>9X19</t>
        </is>
      </c>
      <c r="G655" s="71" t="inlineStr">
        <is>
          <t>GLOCK</t>
        </is>
      </c>
      <c r="H655" s="65" t="inlineStr">
        <is>
          <t>45 LUGER</t>
        </is>
      </c>
      <c r="I655" s="65" t="inlineStr">
        <is>
          <t>CDNE574</t>
        </is>
      </c>
      <c r="J655" s="65" t="inlineStr">
        <is>
          <t>N/D</t>
        </is>
      </c>
      <c r="K655" s="65" t="inlineStr">
        <is>
          <t>N/D</t>
        </is>
      </c>
      <c r="L655" s="127" t="inlineStr">
        <is>
          <t>BIGNAMI SPA</t>
        </is>
      </c>
      <c r="M655" s="5" t="n">
        <v>517.776</v>
      </c>
      <c r="N655" s="5" t="n"/>
      <c r="O655" s="5">
        <f>+M655+N655</f>
        <v/>
      </c>
      <c r="P655" s="4" t="n"/>
      <c r="Q655" s="87" t="n"/>
      <c r="R655" s="5" t="n">
        <v>590</v>
      </c>
      <c r="S655" s="2" t="n">
        <v>1</v>
      </c>
      <c r="T655" s="3" t="inlineStr">
        <is>
          <t>6B/2024/1S</t>
        </is>
      </c>
      <c r="U655" s="87" t="inlineStr">
        <is>
          <t>13/11/2024</t>
        </is>
      </c>
      <c r="V655" s="3" t="inlineStr">
        <is>
          <t>25</t>
        </is>
      </c>
      <c r="W655" s="108" t="inlineStr">
        <is>
          <t>13/11/2024</t>
        </is>
      </c>
      <c r="X655" s="4" t="inlineStr">
        <is>
          <t>HS &amp; S LLC</t>
        </is>
      </c>
    </row>
    <row r="656" ht="24" customHeight="1">
      <c r="A656" s="2">
        <f>+D656-S656</f>
        <v/>
      </c>
      <c r="B656" s="80" t="n">
        <v>2395</v>
      </c>
      <c r="C656" s="66" t="n">
        <v>45593</v>
      </c>
      <c r="D656" s="2" t="n">
        <v>1</v>
      </c>
      <c r="E656" s="3" t="inlineStr">
        <is>
          <t>PISTOLA SEMIAUTOMATICA</t>
        </is>
      </c>
      <c r="F656" s="3" t="inlineStr">
        <is>
          <t>9X19</t>
        </is>
      </c>
      <c r="G656" s="71" t="inlineStr">
        <is>
          <t>GLOCK</t>
        </is>
      </c>
      <c r="H656" s="65" t="inlineStr">
        <is>
          <t>45 LUGER</t>
        </is>
      </c>
      <c r="I656" s="65" t="inlineStr">
        <is>
          <t>CDNE568</t>
        </is>
      </c>
      <c r="J656" s="65" t="inlineStr">
        <is>
          <t>N/D</t>
        </is>
      </c>
      <c r="K656" s="65" t="inlineStr">
        <is>
          <t>N/D</t>
        </is>
      </c>
      <c r="L656" s="127" t="inlineStr">
        <is>
          <t>BIGNAMI SPA</t>
        </is>
      </c>
      <c r="M656" s="5" t="n">
        <v>517.776</v>
      </c>
      <c r="N656" s="5" t="n"/>
      <c r="O656" s="5">
        <f>+M656+N656</f>
        <v/>
      </c>
      <c r="P656" s="4" t="n"/>
      <c r="Q656" s="87" t="n"/>
      <c r="R656" s="5" t="n">
        <v>590</v>
      </c>
      <c r="S656" s="2" t="n">
        <v>1</v>
      </c>
      <c r="T656" s="3" t="inlineStr">
        <is>
          <t>6B/2024/1S</t>
        </is>
      </c>
      <c r="U656" s="87" t="inlineStr">
        <is>
          <t>13/11/2024</t>
        </is>
      </c>
      <c r="V656" s="3" t="inlineStr">
        <is>
          <t>25</t>
        </is>
      </c>
      <c r="W656" s="108" t="inlineStr">
        <is>
          <t>13/11/2024</t>
        </is>
      </c>
      <c r="X656" s="4" t="inlineStr">
        <is>
          <t>HS &amp; S LLC</t>
        </is>
      </c>
    </row>
    <row r="657" ht="24" customHeight="1">
      <c r="A657" s="2">
        <f>+D657-S657</f>
        <v/>
      </c>
      <c r="B657" s="80" t="n">
        <v>2396</v>
      </c>
      <c r="C657" s="66" t="n">
        <v>45593</v>
      </c>
      <c r="D657" s="2" t="n">
        <v>1</v>
      </c>
      <c r="E657" s="3" t="inlineStr">
        <is>
          <t>PISTOLA SEMIAUTOMATICA</t>
        </is>
      </c>
      <c r="F657" s="3" t="inlineStr">
        <is>
          <t>9X19</t>
        </is>
      </c>
      <c r="G657" s="71" t="inlineStr">
        <is>
          <t>GLOCK</t>
        </is>
      </c>
      <c r="H657" s="65" t="inlineStr">
        <is>
          <t>45 LUGER</t>
        </is>
      </c>
      <c r="I657" s="65" t="inlineStr">
        <is>
          <t>CDNE569</t>
        </is>
      </c>
      <c r="J657" s="65" t="inlineStr">
        <is>
          <t>N/D</t>
        </is>
      </c>
      <c r="K657" s="65" t="inlineStr">
        <is>
          <t>N/D</t>
        </is>
      </c>
      <c r="L657" s="127" t="inlineStr">
        <is>
          <t>BIGNAMI SPA</t>
        </is>
      </c>
      <c r="M657" s="5" t="n">
        <v>517.776</v>
      </c>
      <c r="N657" s="5" t="n"/>
      <c r="O657" s="5">
        <f>+M657+N657</f>
        <v/>
      </c>
      <c r="P657" s="4" t="n"/>
      <c r="Q657" s="87" t="n"/>
      <c r="R657" s="5" t="n">
        <v>590</v>
      </c>
      <c r="S657" s="2" t="n">
        <v>1</v>
      </c>
      <c r="T657" s="3" t="inlineStr">
        <is>
          <t>6B/2024/1S</t>
        </is>
      </c>
      <c r="U657" s="87" t="inlineStr">
        <is>
          <t>13/11/2024</t>
        </is>
      </c>
      <c r="V657" s="3" t="inlineStr">
        <is>
          <t>25</t>
        </is>
      </c>
      <c r="W657" s="108" t="inlineStr">
        <is>
          <t>13/11/2024</t>
        </is>
      </c>
      <c r="X657" s="4" t="inlineStr">
        <is>
          <t>HS &amp; S LLC</t>
        </is>
      </c>
    </row>
    <row r="658" ht="24" customHeight="1">
      <c r="A658" s="2">
        <f>+D658-S658</f>
        <v/>
      </c>
      <c r="B658" s="80" t="n">
        <v>2397</v>
      </c>
      <c r="C658" s="66" t="n">
        <v>45593</v>
      </c>
      <c r="D658" s="2" t="n">
        <v>1</v>
      </c>
      <c r="E658" s="3" t="inlineStr">
        <is>
          <t>PISTOLA SEMIAUTOMATICA</t>
        </is>
      </c>
      <c r="F658" s="3" t="inlineStr">
        <is>
          <t>9X19</t>
        </is>
      </c>
      <c r="G658" s="71" t="inlineStr">
        <is>
          <t>GLOCK</t>
        </is>
      </c>
      <c r="H658" s="65" t="inlineStr">
        <is>
          <t>45 LUGER</t>
        </is>
      </c>
      <c r="I658" s="65" t="inlineStr">
        <is>
          <t>CDNE563</t>
        </is>
      </c>
      <c r="J658" s="65" t="inlineStr">
        <is>
          <t>N/D</t>
        </is>
      </c>
      <c r="K658" s="65" t="inlineStr">
        <is>
          <t>N/D</t>
        </is>
      </c>
      <c r="L658" s="127" t="inlineStr">
        <is>
          <t>BIGNAMI SPA</t>
        </is>
      </c>
      <c r="M658" s="5" t="n">
        <v>517.776</v>
      </c>
      <c r="N658" s="5" t="n"/>
      <c r="O658" s="5">
        <f>+M658+N658</f>
        <v/>
      </c>
      <c r="P658" s="4" t="n"/>
      <c r="Q658" s="87" t="n"/>
      <c r="R658" s="5" t="n">
        <v>590</v>
      </c>
      <c r="S658" s="2" t="n">
        <v>1</v>
      </c>
      <c r="T658" s="3" t="inlineStr">
        <is>
          <t>6B/2024/1S</t>
        </is>
      </c>
      <c r="U658" s="87" t="inlineStr">
        <is>
          <t>13/11/2024</t>
        </is>
      </c>
      <c r="V658" s="3" t="inlineStr">
        <is>
          <t>25</t>
        </is>
      </c>
      <c r="W658" s="108" t="inlineStr">
        <is>
          <t>13/11/2024</t>
        </is>
      </c>
      <c r="X658" s="4" t="inlineStr">
        <is>
          <t>HS &amp; S LLC</t>
        </is>
      </c>
    </row>
    <row r="659" ht="24" customHeight="1">
      <c r="A659" s="2">
        <f>+D659-S659</f>
        <v/>
      </c>
      <c r="B659" s="80" t="n">
        <v>2398</v>
      </c>
      <c r="C659" s="66" t="n">
        <v>45593</v>
      </c>
      <c r="D659" s="2" t="n">
        <v>1</v>
      </c>
      <c r="E659" s="3" t="inlineStr">
        <is>
          <t>PISTOLA SEMIAUTOMATICA</t>
        </is>
      </c>
      <c r="F659" s="3" t="inlineStr">
        <is>
          <t>9X19</t>
        </is>
      </c>
      <c r="G659" s="71" t="inlineStr">
        <is>
          <t>GLOCK</t>
        </is>
      </c>
      <c r="H659" s="65" t="inlineStr">
        <is>
          <t>45 LUGER</t>
        </is>
      </c>
      <c r="I659" s="65" t="inlineStr">
        <is>
          <t>CDNE564</t>
        </is>
      </c>
      <c r="J659" s="65" t="inlineStr">
        <is>
          <t>N/D</t>
        </is>
      </c>
      <c r="K659" s="65" t="inlineStr">
        <is>
          <t>N/D</t>
        </is>
      </c>
      <c r="L659" s="127" t="inlineStr">
        <is>
          <t>BIGNAMI SPA</t>
        </is>
      </c>
      <c r="M659" s="5" t="n">
        <v>517.776</v>
      </c>
      <c r="N659" s="5" t="n"/>
      <c r="O659" s="5">
        <f>+M659+N659</f>
        <v/>
      </c>
      <c r="P659" s="4" t="n"/>
      <c r="Q659" s="87" t="n"/>
      <c r="R659" s="5" t="n">
        <v>590</v>
      </c>
      <c r="S659" s="2" t="n">
        <v>1</v>
      </c>
      <c r="T659" s="3" t="inlineStr">
        <is>
          <t>6B/2024/1S</t>
        </is>
      </c>
      <c r="U659" s="87" t="inlineStr">
        <is>
          <t>13/11/2024</t>
        </is>
      </c>
      <c r="V659" s="3" t="inlineStr">
        <is>
          <t>25</t>
        </is>
      </c>
      <c r="W659" s="108" t="inlineStr">
        <is>
          <t>13/11/2024</t>
        </is>
      </c>
      <c r="X659" s="4" t="inlineStr">
        <is>
          <t>HS &amp; S LLC</t>
        </is>
      </c>
    </row>
    <row r="660" ht="24" customHeight="1">
      <c r="A660" s="2">
        <f>+D660-S660</f>
        <v/>
      </c>
      <c r="B660" s="80" t="n">
        <v>2399</v>
      </c>
      <c r="C660" s="66" t="n">
        <v>45593</v>
      </c>
      <c r="D660" s="2" t="n">
        <v>1</v>
      </c>
      <c r="E660" s="3" t="inlineStr">
        <is>
          <t>PISTOLA SEMIAUTOMATICA</t>
        </is>
      </c>
      <c r="F660" s="3" t="inlineStr">
        <is>
          <t>9X19</t>
        </is>
      </c>
      <c r="G660" s="71" t="inlineStr">
        <is>
          <t>SIG SAUER</t>
        </is>
      </c>
      <c r="H660" s="65" t="inlineStr">
        <is>
          <t>P210 TARGET</t>
        </is>
      </c>
      <c r="I660" s="65" t="inlineStr">
        <is>
          <t>59E005410</t>
        </is>
      </c>
      <c r="J660" s="65" t="inlineStr">
        <is>
          <t>N/D</t>
        </is>
      </c>
      <c r="K660" s="65" t="inlineStr">
        <is>
          <t>N/D</t>
        </is>
      </c>
      <c r="L660" s="127" t="inlineStr">
        <is>
          <t>BIGNAMI SPA</t>
        </is>
      </c>
      <c r="M660" s="5" t="n">
        <v>2050</v>
      </c>
      <c r="N660" s="5" t="n"/>
      <c r="O660" s="5">
        <f>+M660+N660</f>
        <v/>
      </c>
      <c r="P660" s="4" t="n"/>
      <c r="Q660" s="87" t="n"/>
      <c r="R660" s="5" t="n">
        <v>2267</v>
      </c>
      <c r="S660" s="2" t="n">
        <v>1</v>
      </c>
      <c r="T660" s="3" t="inlineStr">
        <is>
          <t>6B/2024/1S</t>
        </is>
      </c>
      <c r="U660" s="87" t="inlineStr">
        <is>
          <t>13/11/2024</t>
        </is>
      </c>
      <c r="V660" s="3" t="inlineStr">
        <is>
          <t>25</t>
        </is>
      </c>
      <c r="W660" s="108" t="inlineStr">
        <is>
          <t>13/11/2024</t>
        </is>
      </c>
      <c r="X660" s="4" t="inlineStr">
        <is>
          <t>HS &amp; S LLC</t>
        </is>
      </c>
    </row>
    <row r="661" ht="24" customHeight="1">
      <c r="A661" s="2">
        <f>+D661-S661</f>
        <v/>
      </c>
      <c r="B661" s="80" t="n">
        <v>2400</v>
      </c>
      <c r="C661" s="66" t="n">
        <v>45593</v>
      </c>
      <c r="D661" s="2" t="n">
        <v>1</v>
      </c>
      <c r="E661" s="3" t="inlineStr">
        <is>
          <t>PISTOLA SEMIAUTOMATICA</t>
        </is>
      </c>
      <c r="F661" s="3" t="inlineStr">
        <is>
          <t>9X19</t>
        </is>
      </c>
      <c r="G661" s="71" t="inlineStr">
        <is>
          <t>SIG SAUER</t>
        </is>
      </c>
      <c r="H661" s="65" t="inlineStr">
        <is>
          <t>P210 TARGET</t>
        </is>
      </c>
      <c r="I661" s="65" t="inlineStr">
        <is>
          <t>59E002740</t>
        </is>
      </c>
      <c r="J661" s="65" t="inlineStr">
        <is>
          <t>N/D</t>
        </is>
      </c>
      <c r="K661" s="65" t="inlineStr">
        <is>
          <t>N/D</t>
        </is>
      </c>
      <c r="L661" s="127" t="inlineStr">
        <is>
          <t>BIGNAMI SPA</t>
        </is>
      </c>
      <c r="M661" s="5" t="n">
        <v>2050</v>
      </c>
      <c r="N661" s="5" t="n"/>
      <c r="O661" s="5">
        <f>+M661+N661</f>
        <v/>
      </c>
      <c r="P661" s="4" t="n"/>
      <c r="Q661" s="87" t="n"/>
      <c r="R661" s="5" t="n">
        <v>2267</v>
      </c>
      <c r="S661" s="2" t="n">
        <v>1</v>
      </c>
      <c r="T661" s="3" t="inlineStr">
        <is>
          <t>6B/2024/1S</t>
        </is>
      </c>
      <c r="U661" s="87" t="inlineStr">
        <is>
          <t>13/11/2024</t>
        </is>
      </c>
      <c r="V661" s="3" t="inlineStr">
        <is>
          <t>25</t>
        </is>
      </c>
      <c r="W661" s="108" t="inlineStr">
        <is>
          <t>13/11/2024</t>
        </is>
      </c>
      <c r="X661" s="4" t="inlineStr">
        <is>
          <t>HS &amp; S LLC</t>
        </is>
      </c>
    </row>
    <row r="662" ht="24" customHeight="1">
      <c r="A662" s="2">
        <f>+D662-S662</f>
        <v/>
      </c>
      <c r="B662" s="80" t="n">
        <v>2401</v>
      </c>
      <c r="C662" s="66" t="n">
        <v>45593</v>
      </c>
      <c r="D662" s="2" t="n">
        <v>1</v>
      </c>
      <c r="E662" s="3" t="inlineStr">
        <is>
          <t>PISTOLA SEMIAUTOMATICA</t>
        </is>
      </c>
      <c r="F662" s="3" t="inlineStr">
        <is>
          <t>.45</t>
        </is>
      </c>
      <c r="G662" s="71" t="inlineStr">
        <is>
          <t>RUGER</t>
        </is>
      </c>
      <c r="H662" s="65" t="inlineStr">
        <is>
          <t>SR1911</t>
        </is>
      </c>
      <c r="I662" s="65" t="inlineStr">
        <is>
          <t>673-72269</t>
        </is>
      </c>
      <c r="J662" s="65" t="inlineStr">
        <is>
          <t>N/D</t>
        </is>
      </c>
      <c r="K662" s="65" t="inlineStr">
        <is>
          <t>N/D</t>
        </is>
      </c>
      <c r="L662" s="127" t="inlineStr">
        <is>
          <t>BIGNAMI SPA</t>
        </is>
      </c>
      <c r="M662" s="5" t="n">
        <v>935.2910000000001</v>
      </c>
      <c r="N662" s="5" t="n"/>
      <c r="O662" s="5">
        <f>+M662+N662</f>
        <v/>
      </c>
      <c r="P662" s="4" t="n"/>
      <c r="Q662" s="87" t="n"/>
      <c r="R662" s="5" t="n">
        <v>1225</v>
      </c>
      <c r="S662" s="2" t="n">
        <v>1</v>
      </c>
      <c r="T662" s="3" t="inlineStr">
        <is>
          <t>6B/2024/1S</t>
        </is>
      </c>
      <c r="U662" s="87" t="inlineStr">
        <is>
          <t>13/11/2024</t>
        </is>
      </c>
      <c r="V662" s="3" t="inlineStr">
        <is>
          <t>25</t>
        </is>
      </c>
      <c r="W662" s="108" t="inlineStr">
        <is>
          <t>13/11/2024</t>
        </is>
      </c>
      <c r="X662" s="4" t="inlineStr">
        <is>
          <t>HS &amp; S LLC</t>
        </is>
      </c>
    </row>
    <row r="663" ht="24" customHeight="1">
      <c r="A663" s="2">
        <f>+D663-S663</f>
        <v/>
      </c>
      <c r="B663" s="80" t="n">
        <v>2402</v>
      </c>
      <c r="C663" s="66" t="n">
        <v>45593</v>
      </c>
      <c r="D663" s="2" t="n">
        <v>1</v>
      </c>
      <c r="E663" s="3" t="inlineStr">
        <is>
          <t>PISTOLA SEMIAUTOMATICA</t>
        </is>
      </c>
      <c r="F663" s="3" t="inlineStr">
        <is>
          <t>.45</t>
        </is>
      </c>
      <c r="G663" s="71" t="inlineStr">
        <is>
          <t>RUGER</t>
        </is>
      </c>
      <c r="H663" s="65" t="inlineStr">
        <is>
          <t>SR1911</t>
        </is>
      </c>
      <c r="I663" s="65" t="inlineStr">
        <is>
          <t>673-72273</t>
        </is>
      </c>
      <c r="J663" s="65" t="inlineStr">
        <is>
          <t>N/D</t>
        </is>
      </c>
      <c r="K663" s="65" t="inlineStr">
        <is>
          <t>N/D</t>
        </is>
      </c>
      <c r="L663" s="127" t="inlineStr">
        <is>
          <t>BIGNAMI SPA</t>
        </is>
      </c>
      <c r="M663" s="5" t="n">
        <v>935.2910000000001</v>
      </c>
      <c r="N663" s="5" t="n"/>
      <c r="O663" s="5">
        <f>+M663+N663</f>
        <v/>
      </c>
      <c r="P663" s="4" t="n"/>
      <c r="Q663" s="87" t="n"/>
      <c r="R663" s="5" t="n">
        <v>1225</v>
      </c>
      <c r="S663" s="2" t="n">
        <v>1</v>
      </c>
      <c r="T663" s="3" t="inlineStr">
        <is>
          <t>6B/2024/1S</t>
        </is>
      </c>
      <c r="U663" s="87" t="inlineStr">
        <is>
          <t>13/11/2024</t>
        </is>
      </c>
      <c r="V663" s="3" t="inlineStr">
        <is>
          <t>25</t>
        </is>
      </c>
      <c r="W663" s="108" t="inlineStr">
        <is>
          <t>13/11/2024</t>
        </is>
      </c>
      <c r="X663" s="4" t="inlineStr">
        <is>
          <t>HS &amp; S LLC</t>
        </is>
      </c>
    </row>
    <row r="664" ht="24" customHeight="1">
      <c r="A664" s="2">
        <f>+D664-S664</f>
        <v/>
      </c>
      <c r="B664" s="80" t="n">
        <v>2403</v>
      </c>
      <c r="C664" s="66" t="n">
        <v>45593</v>
      </c>
      <c r="D664" s="2" t="n">
        <v>1</v>
      </c>
      <c r="E664" s="3" t="inlineStr">
        <is>
          <t>PISTOLA SEMIAUTOMATICA</t>
        </is>
      </c>
      <c r="F664" s="3" t="inlineStr">
        <is>
          <t>.45</t>
        </is>
      </c>
      <c r="G664" s="71" t="inlineStr">
        <is>
          <t>GLOCK</t>
        </is>
      </c>
      <c r="H664" s="65" t="inlineStr">
        <is>
          <t>MOD 21 ACP</t>
        </is>
      </c>
      <c r="I664" s="65" t="inlineStr">
        <is>
          <t>CCXH668</t>
        </is>
      </c>
      <c r="J664" s="65" t="inlineStr">
        <is>
          <t>N/D</t>
        </is>
      </c>
      <c r="K664" s="65" t="inlineStr">
        <is>
          <t>N/D</t>
        </is>
      </c>
      <c r="L664" s="127" t="inlineStr">
        <is>
          <t>BIGNAMI SPA</t>
        </is>
      </c>
      <c r="M664" s="5" t="n">
        <v>566.711</v>
      </c>
      <c r="N664" s="5" t="n"/>
      <c r="O664" s="5">
        <f>+M664+N664</f>
        <v/>
      </c>
      <c r="P664" s="4" t="n"/>
      <c r="Q664" s="87" t="n"/>
      <c r="R664" s="5" t="n">
        <v>729</v>
      </c>
      <c r="S664" s="2" t="n">
        <v>1</v>
      </c>
      <c r="T664" s="3" t="inlineStr">
        <is>
          <t>6B/2024/1S</t>
        </is>
      </c>
      <c r="U664" s="87" t="inlineStr">
        <is>
          <t>13/11/2024</t>
        </is>
      </c>
      <c r="V664" s="3" t="inlineStr">
        <is>
          <t>25</t>
        </is>
      </c>
      <c r="W664" s="108" t="inlineStr">
        <is>
          <t>13/11/2024</t>
        </is>
      </c>
      <c r="X664" s="4" t="inlineStr">
        <is>
          <t>HS &amp; S LLC</t>
        </is>
      </c>
    </row>
    <row r="665" ht="24" customHeight="1">
      <c r="A665" s="2">
        <f>+D665-S665</f>
        <v/>
      </c>
      <c r="B665" s="80" t="n">
        <v>2404</v>
      </c>
      <c r="C665" s="66" t="n">
        <v>45593</v>
      </c>
      <c r="D665" s="2" t="n">
        <v>1</v>
      </c>
      <c r="E665" s="3" t="inlineStr">
        <is>
          <t>PISTOLA SEMIAUTOMATICA</t>
        </is>
      </c>
      <c r="F665" s="3" t="inlineStr">
        <is>
          <t>.45</t>
        </is>
      </c>
      <c r="G665" s="71" t="inlineStr">
        <is>
          <t>GLOCK</t>
        </is>
      </c>
      <c r="H665" s="65" t="inlineStr">
        <is>
          <t>MOD 21 ACP</t>
        </is>
      </c>
      <c r="I665" s="65" t="inlineStr">
        <is>
          <t>CCXH667</t>
        </is>
      </c>
      <c r="J665" s="65" t="inlineStr">
        <is>
          <t>N/D</t>
        </is>
      </c>
      <c r="K665" s="65" t="inlineStr">
        <is>
          <t>N/D</t>
        </is>
      </c>
      <c r="L665" s="127" t="inlineStr">
        <is>
          <t>BIGNAMI SPA</t>
        </is>
      </c>
      <c r="M665" s="5" t="n">
        <v>566.711</v>
      </c>
      <c r="N665" s="5" t="n"/>
      <c r="O665" s="5">
        <f>+M665+N665</f>
        <v/>
      </c>
      <c r="P665" s="4" t="n"/>
      <c r="Q665" s="87" t="n"/>
      <c r="R665" s="5" t="n">
        <v>729</v>
      </c>
      <c r="S665" s="2" t="n">
        <v>1</v>
      </c>
      <c r="T665" s="3" t="inlineStr">
        <is>
          <t>6B/2024/1S</t>
        </is>
      </c>
      <c r="U665" s="87" t="inlineStr">
        <is>
          <t>13/11/2024</t>
        </is>
      </c>
      <c r="V665" s="3" t="inlineStr">
        <is>
          <t>25</t>
        </is>
      </c>
      <c r="W665" s="108" t="inlineStr">
        <is>
          <t>13/11/2024</t>
        </is>
      </c>
      <c r="X665" s="4" t="inlineStr">
        <is>
          <t>HS &amp; S LLC</t>
        </is>
      </c>
    </row>
    <row r="666" ht="24" customHeight="1">
      <c r="A666" s="2">
        <f>+D666-S666</f>
        <v/>
      </c>
      <c r="B666" s="80" t="n">
        <v>2405</v>
      </c>
      <c r="C666" s="66" t="n">
        <v>45593</v>
      </c>
      <c r="D666" s="2" t="n">
        <v>1</v>
      </c>
      <c r="E666" s="3" t="inlineStr">
        <is>
          <t>PISTOLA SEMIAUTOMATICA</t>
        </is>
      </c>
      <c r="F666" s="3" t="inlineStr">
        <is>
          <t>.45</t>
        </is>
      </c>
      <c r="G666" s="71" t="inlineStr">
        <is>
          <t>GLOCK</t>
        </is>
      </c>
      <c r="H666" s="65" t="inlineStr">
        <is>
          <t>41 GEN4 ACP</t>
        </is>
      </c>
      <c r="I666" s="65" t="inlineStr">
        <is>
          <t>CBZL972</t>
        </is>
      </c>
      <c r="J666" s="65" t="inlineStr">
        <is>
          <t>N/D</t>
        </is>
      </c>
      <c r="K666" s="65" t="inlineStr">
        <is>
          <t>N/D</t>
        </is>
      </c>
      <c r="L666" s="127" t="inlineStr">
        <is>
          <t>BIGNAMI SPA</t>
        </is>
      </c>
      <c r="M666" s="5" t="n">
        <v>498.2</v>
      </c>
      <c r="N666" s="5" t="n"/>
      <c r="O666" s="5">
        <f>+M666+N666</f>
        <v/>
      </c>
      <c r="P666" s="4" t="n"/>
      <c r="Q666" s="87" t="n"/>
      <c r="R666" s="5" t="n">
        <v>566</v>
      </c>
      <c r="S666" s="2" t="n">
        <v>1</v>
      </c>
      <c r="T666" s="3" t="inlineStr">
        <is>
          <t>6B/2024/1S</t>
        </is>
      </c>
      <c r="U666" s="87" t="inlineStr">
        <is>
          <t>13/11/2024</t>
        </is>
      </c>
      <c r="V666" s="3" t="inlineStr">
        <is>
          <t>25</t>
        </is>
      </c>
      <c r="W666" s="108" t="inlineStr">
        <is>
          <t>13/11/2024</t>
        </is>
      </c>
      <c r="X666" s="4" t="inlineStr">
        <is>
          <t>HS &amp; S LLC</t>
        </is>
      </c>
    </row>
    <row r="667" ht="24" customHeight="1">
      <c r="A667" s="2">
        <f>+D667-S667</f>
        <v/>
      </c>
      <c r="B667" s="80" t="n">
        <v>2406</v>
      </c>
      <c r="C667" s="66" t="n">
        <v>45593</v>
      </c>
      <c r="D667" s="2" t="n">
        <v>1</v>
      </c>
      <c r="E667" s="3" t="inlineStr">
        <is>
          <t>PISTOLA SEMIAUTOMATICA</t>
        </is>
      </c>
      <c r="F667" s="3" t="inlineStr">
        <is>
          <t>.45</t>
        </is>
      </c>
      <c r="G667" s="71" t="inlineStr">
        <is>
          <t>GLOCK</t>
        </is>
      </c>
      <c r="H667" s="65" t="inlineStr">
        <is>
          <t>41 GEN4 ACP</t>
        </is>
      </c>
      <c r="I667" s="65" t="inlineStr">
        <is>
          <t>CBZL970</t>
        </is>
      </c>
      <c r="J667" s="65" t="inlineStr">
        <is>
          <t>N/D</t>
        </is>
      </c>
      <c r="K667" s="65" t="inlineStr">
        <is>
          <t>N/D</t>
        </is>
      </c>
      <c r="L667" s="127" t="inlineStr">
        <is>
          <t>BIGNAMI SPA</t>
        </is>
      </c>
      <c r="M667" s="5" t="n">
        <v>498.2</v>
      </c>
      <c r="N667" s="5" t="n"/>
      <c r="O667" s="5">
        <f>+M667+N667</f>
        <v/>
      </c>
      <c r="P667" s="4" t="n"/>
      <c r="Q667" s="87" t="n"/>
      <c r="R667" s="5" t="n">
        <v>566</v>
      </c>
      <c r="S667" s="2" t="n">
        <v>1</v>
      </c>
      <c r="T667" s="3" t="inlineStr">
        <is>
          <t>6B/2024/1S</t>
        </is>
      </c>
      <c r="U667" s="87" t="inlineStr">
        <is>
          <t>13/11/2024</t>
        </is>
      </c>
      <c r="V667" s="3" t="inlineStr">
        <is>
          <t>25</t>
        </is>
      </c>
      <c r="W667" s="108" t="inlineStr">
        <is>
          <t>13/11/2024</t>
        </is>
      </c>
      <c r="X667" s="4" t="inlineStr">
        <is>
          <t>HS &amp; S LLC</t>
        </is>
      </c>
    </row>
    <row r="668" ht="24" customHeight="1">
      <c r="A668" s="2">
        <f>+D668-S668</f>
        <v/>
      </c>
      <c r="B668" s="80" t="n">
        <v>2407</v>
      </c>
      <c r="C668" s="66" t="n">
        <v>45593</v>
      </c>
      <c r="D668" s="2" t="n">
        <v>1</v>
      </c>
      <c r="E668" s="3" t="inlineStr">
        <is>
          <t>PISTOLA SEMIAUTOMATICA</t>
        </is>
      </c>
      <c r="F668" s="3" t="inlineStr">
        <is>
          <t>.40</t>
        </is>
      </c>
      <c r="G668" s="71" t="inlineStr">
        <is>
          <t>GLOCK</t>
        </is>
      </c>
      <c r="H668" s="65" t="inlineStr">
        <is>
          <t>35 GEN4 S&amp;W</t>
        </is>
      </c>
      <c r="I668" s="65" t="inlineStr">
        <is>
          <t>BYFE015</t>
        </is>
      </c>
      <c r="J668" s="65" t="inlineStr">
        <is>
          <t>N/D</t>
        </is>
      </c>
      <c r="K668" s="65" t="inlineStr">
        <is>
          <t>N/D</t>
        </is>
      </c>
      <c r="L668" s="127" t="inlineStr">
        <is>
          <t>BIGNAMI SPA</t>
        </is>
      </c>
      <c r="M668" s="5" t="n">
        <v>547.141</v>
      </c>
      <c r="N668" s="5" t="n"/>
      <c r="O668" s="5">
        <f>+M668+N668</f>
        <v/>
      </c>
      <c r="P668" s="4" t="n"/>
      <c r="Q668" s="87" t="n"/>
      <c r="R668" s="5" t="n">
        <v>620</v>
      </c>
      <c r="S668" s="2" t="n">
        <v>1</v>
      </c>
      <c r="T668" s="3" t="inlineStr">
        <is>
          <t>6B/2024/1S</t>
        </is>
      </c>
      <c r="U668" s="87" t="inlineStr">
        <is>
          <t>13/11/2024</t>
        </is>
      </c>
      <c r="V668" s="3" t="inlineStr">
        <is>
          <t>25</t>
        </is>
      </c>
      <c r="W668" s="108" t="inlineStr">
        <is>
          <t>13/11/2024</t>
        </is>
      </c>
      <c r="X668" s="4" t="inlineStr">
        <is>
          <t>HS &amp; S LLC</t>
        </is>
      </c>
    </row>
    <row r="669" ht="24" customHeight="1">
      <c r="A669" s="2">
        <f>+D669-S669</f>
        <v/>
      </c>
      <c r="B669" s="80" t="n">
        <v>2408</v>
      </c>
      <c r="C669" s="66" t="n">
        <v>45593</v>
      </c>
      <c r="D669" s="2" t="n">
        <v>1</v>
      </c>
      <c r="E669" s="3" t="inlineStr">
        <is>
          <t>PISTOLA SEMIAUTOMATICA</t>
        </is>
      </c>
      <c r="F669" s="3" t="inlineStr">
        <is>
          <t>.40</t>
        </is>
      </c>
      <c r="G669" s="71" t="inlineStr">
        <is>
          <t>GLOCK</t>
        </is>
      </c>
      <c r="H669" s="65" t="inlineStr">
        <is>
          <t>35 GEN4 S&amp;W</t>
        </is>
      </c>
      <c r="I669" s="65" t="inlineStr">
        <is>
          <t>BXEK765</t>
        </is>
      </c>
      <c r="J669" s="65" t="inlineStr">
        <is>
          <t>N/D</t>
        </is>
      </c>
      <c r="K669" s="65" t="inlineStr">
        <is>
          <t>N/D</t>
        </is>
      </c>
      <c r="L669" s="127" t="inlineStr">
        <is>
          <t>BIGNAMI SPA</t>
        </is>
      </c>
      <c r="M669" s="5" t="n">
        <v>547.141</v>
      </c>
      <c r="N669" s="5" t="n"/>
      <c r="O669" s="5">
        <f>+M669+N669</f>
        <v/>
      </c>
      <c r="P669" s="4" t="n"/>
      <c r="Q669" s="87" t="n"/>
      <c r="R669" s="5" t="n">
        <v>620</v>
      </c>
      <c r="S669" s="2" t="n">
        <v>1</v>
      </c>
      <c r="T669" s="3" t="inlineStr">
        <is>
          <t>6B/2024/1S</t>
        </is>
      </c>
      <c r="U669" s="87" t="inlineStr">
        <is>
          <t>13/11/2024</t>
        </is>
      </c>
      <c r="V669" s="3" t="inlineStr">
        <is>
          <t>25</t>
        </is>
      </c>
      <c r="W669" s="108" t="inlineStr">
        <is>
          <t>13/11/2024</t>
        </is>
      </c>
      <c r="X669" s="4" t="inlineStr">
        <is>
          <t>HS &amp; S LLC</t>
        </is>
      </c>
    </row>
    <row r="670" ht="24" customHeight="1">
      <c r="A670" s="2">
        <f>+D670-S670</f>
        <v/>
      </c>
      <c r="B670" s="80" t="n">
        <v>2409</v>
      </c>
      <c r="C670" s="66" t="n">
        <v>45593</v>
      </c>
      <c r="D670" s="2" t="n">
        <v>1</v>
      </c>
      <c r="E670" s="3" t="inlineStr">
        <is>
          <t>PISTOLA SEMIAUTOMATICA</t>
        </is>
      </c>
      <c r="F670" s="3" t="inlineStr">
        <is>
          <t>.22 LR</t>
        </is>
      </c>
      <c r="G670" s="71" t="inlineStr">
        <is>
          <t>GLOCK</t>
        </is>
      </c>
      <c r="H670" s="65" t="inlineStr">
        <is>
          <t>MOD 44</t>
        </is>
      </c>
      <c r="I670" s="65" t="inlineStr">
        <is>
          <t>BNPL645</t>
        </is>
      </c>
      <c r="J670" s="65" t="inlineStr">
        <is>
          <t>N/D</t>
        </is>
      </c>
      <c r="K670" s="65" t="inlineStr">
        <is>
          <t>N/D</t>
        </is>
      </c>
      <c r="L670" s="127" t="inlineStr">
        <is>
          <t>BIGNAMI SPA</t>
        </is>
      </c>
      <c r="M670" s="5" t="n">
        <v>412.06</v>
      </c>
      <c r="N670" s="5" t="n"/>
      <c r="O670" s="5">
        <f>+M670+N670</f>
        <v/>
      </c>
      <c r="P670" s="4" t="n"/>
      <c r="Q670" s="87" t="n"/>
      <c r="R670" s="5" t="n">
        <v>475</v>
      </c>
      <c r="S670" s="2" t="n">
        <v>1</v>
      </c>
      <c r="T670" s="3" t="inlineStr">
        <is>
          <t>6B/2024/1S</t>
        </is>
      </c>
      <c r="U670" s="87" t="inlineStr">
        <is>
          <t>13/11/2024</t>
        </is>
      </c>
      <c r="V670" s="3" t="inlineStr">
        <is>
          <t>25</t>
        </is>
      </c>
      <c r="W670" s="108" t="inlineStr">
        <is>
          <t>13/11/2024</t>
        </is>
      </c>
      <c r="X670" s="4" t="inlineStr">
        <is>
          <t>HS &amp; S LLC</t>
        </is>
      </c>
    </row>
    <row r="671" ht="24" customHeight="1">
      <c r="A671" s="2">
        <f>+D671-S671</f>
        <v/>
      </c>
      <c r="B671" s="80" t="n">
        <v>2410</v>
      </c>
      <c r="C671" s="66" t="n">
        <v>45593</v>
      </c>
      <c r="D671" s="2" t="n">
        <v>1</v>
      </c>
      <c r="E671" s="3" t="inlineStr">
        <is>
          <t>PISTOLA SEMIAUTOMATICA</t>
        </is>
      </c>
      <c r="F671" s="3" t="inlineStr">
        <is>
          <t>.22 LR</t>
        </is>
      </c>
      <c r="G671" s="71" t="inlineStr">
        <is>
          <t>GLOCK</t>
        </is>
      </c>
      <c r="H671" s="65" t="inlineStr">
        <is>
          <t>MOD 44</t>
        </is>
      </c>
      <c r="I671" s="65" t="inlineStr">
        <is>
          <t>BNPL643</t>
        </is>
      </c>
      <c r="J671" s="65" t="inlineStr">
        <is>
          <t>N/D</t>
        </is>
      </c>
      <c r="K671" s="65" t="inlineStr">
        <is>
          <t>N/D</t>
        </is>
      </c>
      <c r="L671" s="127" t="inlineStr">
        <is>
          <t>BIGNAMI SPA</t>
        </is>
      </c>
      <c r="M671" s="5" t="n">
        <v>412.06</v>
      </c>
      <c r="N671" s="5" t="n"/>
      <c r="O671" s="5">
        <f>+M671+N671</f>
        <v/>
      </c>
      <c r="P671" s="4" t="n"/>
      <c r="Q671" s="87" t="n"/>
      <c r="R671" s="5" t="n">
        <v>475</v>
      </c>
      <c r="S671" s="2" t="n">
        <v>1</v>
      </c>
      <c r="T671" s="3" t="inlineStr">
        <is>
          <t>6B/2024/1S</t>
        </is>
      </c>
      <c r="U671" s="87" t="inlineStr">
        <is>
          <t>13/11/2024</t>
        </is>
      </c>
      <c r="V671" s="3" t="inlineStr">
        <is>
          <t>25</t>
        </is>
      </c>
      <c r="W671" s="108" t="inlineStr">
        <is>
          <t>13/11/2024</t>
        </is>
      </c>
      <c r="X671" s="4" t="inlineStr">
        <is>
          <t>HS &amp; S LLC</t>
        </is>
      </c>
    </row>
    <row r="672" ht="24" customHeight="1">
      <c r="A672" s="2">
        <f>+D672-S672</f>
        <v/>
      </c>
      <c r="B672" s="80" t="n">
        <v>2411</v>
      </c>
      <c r="C672" s="66" t="n">
        <v>45593</v>
      </c>
      <c r="D672" s="2" t="n">
        <v>1</v>
      </c>
      <c r="E672" s="3" t="inlineStr">
        <is>
          <t>PISTOLA SEMIAUTOMATICA</t>
        </is>
      </c>
      <c r="F672" s="3" t="inlineStr">
        <is>
          <t>.22 LR</t>
        </is>
      </c>
      <c r="G672" s="71" t="inlineStr">
        <is>
          <t>GLOCK</t>
        </is>
      </c>
      <c r="H672" s="65" t="inlineStr">
        <is>
          <t>MOD 44</t>
        </is>
      </c>
      <c r="I672" s="65" t="inlineStr">
        <is>
          <t>BNPL644</t>
        </is>
      </c>
      <c r="J672" s="65" t="inlineStr">
        <is>
          <t>N/D</t>
        </is>
      </c>
      <c r="K672" s="65" t="inlineStr">
        <is>
          <t>N/D</t>
        </is>
      </c>
      <c r="L672" s="127" t="inlineStr">
        <is>
          <t>BIGNAMI SPA</t>
        </is>
      </c>
      <c r="M672" s="5" t="n">
        <v>412.06</v>
      </c>
      <c r="N672" s="5" t="n"/>
      <c r="O672" s="5">
        <f>+M672+N672</f>
        <v/>
      </c>
      <c r="P672" s="4" t="n"/>
      <c r="Q672" s="87" t="n"/>
      <c r="R672" s="5" t="n">
        <v>475</v>
      </c>
      <c r="S672" s="2" t="n">
        <v>1</v>
      </c>
      <c r="T672" s="3" t="inlineStr">
        <is>
          <t>6B/2024/1S</t>
        </is>
      </c>
      <c r="U672" s="87" t="inlineStr">
        <is>
          <t>13/11/2024</t>
        </is>
      </c>
      <c r="V672" s="3" t="inlineStr">
        <is>
          <t>25</t>
        </is>
      </c>
      <c r="W672" s="108" t="inlineStr">
        <is>
          <t>13/11/2024</t>
        </is>
      </c>
      <c r="X672" s="4" t="inlineStr">
        <is>
          <t>HS &amp; S LLC</t>
        </is>
      </c>
    </row>
    <row r="673" ht="24" customHeight="1">
      <c r="A673" s="2">
        <f>+D673-S673</f>
        <v/>
      </c>
      <c r="B673" s="80" t="n">
        <v>2412</v>
      </c>
      <c r="C673" s="66" t="n">
        <v>45593</v>
      </c>
      <c r="D673" s="2" t="n">
        <v>1</v>
      </c>
      <c r="E673" s="3" t="inlineStr">
        <is>
          <t>PISTOLA SEMIAUTOMATICA</t>
        </is>
      </c>
      <c r="F673" s="3" t="inlineStr">
        <is>
          <t>.22 LR</t>
        </is>
      </c>
      <c r="G673" s="71" t="inlineStr">
        <is>
          <t>GLOCK</t>
        </is>
      </c>
      <c r="H673" s="65" t="inlineStr">
        <is>
          <t>MOD 44</t>
        </is>
      </c>
      <c r="I673" s="65" t="inlineStr">
        <is>
          <t>BNPL591</t>
        </is>
      </c>
      <c r="J673" s="65" t="inlineStr">
        <is>
          <t>N/D</t>
        </is>
      </c>
      <c r="K673" s="65" t="inlineStr">
        <is>
          <t>N/D</t>
        </is>
      </c>
      <c r="L673" s="127" t="inlineStr">
        <is>
          <t>BIGNAMI SPA</t>
        </is>
      </c>
      <c r="M673" s="5" t="n">
        <v>412.06</v>
      </c>
      <c r="N673" s="5" t="n"/>
      <c r="O673" s="5">
        <f>+M673+N673</f>
        <v/>
      </c>
      <c r="P673" s="4" t="n"/>
      <c r="Q673" s="87" t="n"/>
      <c r="R673" s="5" t="n">
        <v>475</v>
      </c>
      <c r="S673" s="2" t="n">
        <v>1</v>
      </c>
      <c r="T673" s="3" t="inlineStr">
        <is>
          <t>6B/2024/1S</t>
        </is>
      </c>
      <c r="U673" s="87" t="inlineStr">
        <is>
          <t>13/11/2024</t>
        </is>
      </c>
      <c r="V673" s="3" t="inlineStr">
        <is>
          <t>25</t>
        </is>
      </c>
      <c r="W673" s="108" t="inlineStr">
        <is>
          <t>13/11/2024</t>
        </is>
      </c>
      <c r="X673" s="4" t="inlineStr">
        <is>
          <t>HS &amp; S LLC</t>
        </is>
      </c>
    </row>
    <row r="674" ht="24" customHeight="1">
      <c r="A674" s="2">
        <f>+D674-S674</f>
        <v/>
      </c>
      <c r="B674" s="80" t="n">
        <v>2413</v>
      </c>
      <c r="C674" s="66" t="n">
        <v>45593</v>
      </c>
      <c r="D674" s="2" t="n">
        <v>1</v>
      </c>
      <c r="E674" s="3" t="inlineStr">
        <is>
          <t>PISTOLA SEMIAUTOMATICA</t>
        </is>
      </c>
      <c r="F674" s="3" t="inlineStr">
        <is>
          <t>.22 LR</t>
        </is>
      </c>
      <c r="G674" s="71" t="inlineStr">
        <is>
          <t>GLOCK</t>
        </is>
      </c>
      <c r="H674" s="65" t="inlineStr">
        <is>
          <t>MOD 44</t>
        </is>
      </c>
      <c r="I674" s="65" t="inlineStr">
        <is>
          <t>BNPL600</t>
        </is>
      </c>
      <c r="J674" s="65" t="inlineStr">
        <is>
          <t>N/D</t>
        </is>
      </c>
      <c r="K674" s="65" t="inlineStr">
        <is>
          <t>N/D</t>
        </is>
      </c>
      <c r="L674" s="127" t="inlineStr">
        <is>
          <t>BIGNAMI SPA</t>
        </is>
      </c>
      <c r="M674" s="5" t="n">
        <v>412.06</v>
      </c>
      <c r="N674" s="5" t="n"/>
      <c r="O674" s="5">
        <f>+M674+N674</f>
        <v/>
      </c>
      <c r="P674" s="4" t="n"/>
      <c r="Q674" s="87" t="n"/>
      <c r="R674" s="5" t="n">
        <v>475</v>
      </c>
      <c r="S674" s="2" t="n">
        <v>1</v>
      </c>
      <c r="T674" s="3" t="inlineStr">
        <is>
          <t>6B/2024/1S</t>
        </is>
      </c>
      <c r="U674" s="87" t="inlineStr">
        <is>
          <t>13/11/2024</t>
        </is>
      </c>
      <c r="V674" s="3" t="inlineStr">
        <is>
          <t>25</t>
        </is>
      </c>
      <c r="W674" s="108" t="inlineStr">
        <is>
          <t>13/11/2024</t>
        </is>
      </c>
      <c r="X674" s="4" t="inlineStr">
        <is>
          <t>HS &amp; S LLC</t>
        </is>
      </c>
    </row>
    <row r="675" ht="24" customHeight="1">
      <c r="A675" s="2">
        <f>+D675-S675</f>
        <v/>
      </c>
      <c r="B675" s="80" t="n">
        <v>2414</v>
      </c>
      <c r="C675" s="66" t="n">
        <v>45593</v>
      </c>
      <c r="D675" s="2" t="n">
        <v>1</v>
      </c>
      <c r="E675" s="3" t="inlineStr">
        <is>
          <t>PISTOLA SEMIAUTOMATICA</t>
        </is>
      </c>
      <c r="F675" s="3" t="inlineStr">
        <is>
          <t>.22 LR</t>
        </is>
      </c>
      <c r="G675" s="71" t="inlineStr">
        <is>
          <t>GLOCK</t>
        </is>
      </c>
      <c r="H675" s="65" t="inlineStr">
        <is>
          <t>MOD 44</t>
        </is>
      </c>
      <c r="I675" s="65" t="inlineStr">
        <is>
          <t>BNPL598</t>
        </is>
      </c>
      <c r="J675" s="65" t="inlineStr">
        <is>
          <t>N/D</t>
        </is>
      </c>
      <c r="K675" s="65" t="inlineStr">
        <is>
          <t>N/D</t>
        </is>
      </c>
      <c r="L675" s="127" t="inlineStr">
        <is>
          <t>BIGNAMI SPA</t>
        </is>
      </c>
      <c r="M675" s="5" t="n">
        <v>412.06</v>
      </c>
      <c r="N675" s="5" t="n"/>
      <c r="O675" s="5">
        <f>+M675+N675</f>
        <v/>
      </c>
      <c r="P675" s="4" t="n"/>
      <c r="Q675" s="87" t="n"/>
      <c r="R675" s="5" t="n">
        <v>475</v>
      </c>
      <c r="S675" s="2" t="n">
        <v>1</v>
      </c>
      <c r="T675" s="3" t="inlineStr">
        <is>
          <t>6B/2024/1S</t>
        </is>
      </c>
      <c r="U675" s="87" t="inlineStr">
        <is>
          <t>13/11/2024</t>
        </is>
      </c>
      <c r="V675" s="3" t="inlineStr">
        <is>
          <t>25</t>
        </is>
      </c>
      <c r="W675" s="108" t="inlineStr">
        <is>
          <t>13/11/2024</t>
        </is>
      </c>
      <c r="X675" s="4" t="inlineStr">
        <is>
          <t>HS &amp; S LLC</t>
        </is>
      </c>
    </row>
    <row r="676" ht="24" customHeight="1">
      <c r="A676" s="2">
        <f>+D676-S676</f>
        <v/>
      </c>
      <c r="B676" s="80" t="n">
        <v>2415</v>
      </c>
      <c r="C676" s="66" t="n">
        <v>45593</v>
      </c>
      <c r="D676" s="2" t="n">
        <v>1</v>
      </c>
      <c r="E676" s="3" t="inlineStr">
        <is>
          <t>PISTOLA SEMIAUTOMATICA</t>
        </is>
      </c>
      <c r="F676" s="3" t="inlineStr">
        <is>
          <t>.22 LR</t>
        </is>
      </c>
      <c r="G676" s="71" t="inlineStr">
        <is>
          <t>GLOCK</t>
        </is>
      </c>
      <c r="H676" s="65" t="inlineStr">
        <is>
          <t>MOD 44</t>
        </is>
      </c>
      <c r="I676" s="65" t="inlineStr">
        <is>
          <t>BNPL595</t>
        </is>
      </c>
      <c r="J676" s="65" t="inlineStr">
        <is>
          <t>N/D</t>
        </is>
      </c>
      <c r="K676" s="65" t="inlineStr">
        <is>
          <t>N/D</t>
        </is>
      </c>
      <c r="L676" s="127" t="inlineStr">
        <is>
          <t>BIGNAMI SPA</t>
        </is>
      </c>
      <c r="M676" s="5" t="n">
        <v>412.06</v>
      </c>
      <c r="N676" s="5" t="n"/>
      <c r="O676" s="5">
        <f>+M676+N676</f>
        <v/>
      </c>
      <c r="P676" s="4" t="n"/>
      <c r="Q676" s="87" t="n"/>
      <c r="R676" s="5" t="n">
        <v>475</v>
      </c>
      <c r="S676" s="2" t="n">
        <v>1</v>
      </c>
      <c r="T676" s="3" t="inlineStr">
        <is>
          <t>6B/2024/1S</t>
        </is>
      </c>
      <c r="U676" s="87" t="inlineStr">
        <is>
          <t>13/11/2024</t>
        </is>
      </c>
      <c r="V676" s="3" t="inlineStr">
        <is>
          <t>25</t>
        </is>
      </c>
      <c r="W676" s="108" t="inlineStr">
        <is>
          <t>13/11/2024</t>
        </is>
      </c>
      <c r="X676" s="4" t="inlineStr">
        <is>
          <t>HS &amp; S LLC</t>
        </is>
      </c>
    </row>
    <row r="677" ht="24" customHeight="1">
      <c r="A677" s="2">
        <f>+D677-S677</f>
        <v/>
      </c>
      <c r="B677" s="80" t="n">
        <v>2416</v>
      </c>
      <c r="C677" s="66" t="n">
        <v>45593</v>
      </c>
      <c r="D677" s="2" t="n">
        <v>1</v>
      </c>
      <c r="E677" s="3" t="inlineStr">
        <is>
          <t>PISTOLA SEMIAUTOMATICA</t>
        </is>
      </c>
      <c r="F677" s="3" t="inlineStr">
        <is>
          <t>.22 LR</t>
        </is>
      </c>
      <c r="G677" s="71" t="inlineStr">
        <is>
          <t>GLOCK</t>
        </is>
      </c>
      <c r="H677" s="65" t="inlineStr">
        <is>
          <t>MOD 44</t>
        </is>
      </c>
      <c r="I677" s="65" t="inlineStr">
        <is>
          <t>BNPL594</t>
        </is>
      </c>
      <c r="J677" s="65" t="inlineStr">
        <is>
          <t>N/D</t>
        </is>
      </c>
      <c r="K677" s="65" t="inlineStr">
        <is>
          <t>N/D</t>
        </is>
      </c>
      <c r="L677" s="127" t="inlineStr">
        <is>
          <t>BIGNAMI SPA</t>
        </is>
      </c>
      <c r="M677" s="5" t="n">
        <v>412.06</v>
      </c>
      <c r="N677" s="5" t="n"/>
      <c r="O677" s="5">
        <f>+M677+N677</f>
        <v/>
      </c>
      <c r="P677" s="4" t="n"/>
      <c r="Q677" s="87" t="n"/>
      <c r="R677" s="5" t="n">
        <v>475</v>
      </c>
      <c r="S677" s="2" t="n">
        <v>1</v>
      </c>
      <c r="T677" s="3" t="inlineStr">
        <is>
          <t>6B/2024/1S</t>
        </is>
      </c>
      <c r="U677" s="87" t="inlineStr">
        <is>
          <t>13/11/2024</t>
        </is>
      </c>
      <c r="V677" s="3" t="inlineStr">
        <is>
          <t>25</t>
        </is>
      </c>
      <c r="W677" s="108" t="inlineStr">
        <is>
          <t>13/11/2024</t>
        </is>
      </c>
      <c r="X677" s="4" t="inlineStr">
        <is>
          <t>HS &amp; S LLC</t>
        </is>
      </c>
    </row>
    <row r="678" ht="24" customHeight="1">
      <c r="A678" s="2">
        <f>+D678-S678</f>
        <v/>
      </c>
      <c r="B678" s="80" t="n">
        <v>2417</v>
      </c>
      <c r="C678" s="66" t="n">
        <v>45593</v>
      </c>
      <c r="D678" s="2" t="n">
        <v>1</v>
      </c>
      <c r="E678" s="3" t="inlineStr">
        <is>
          <t>PISTOLA SEMIAUTOMATICA</t>
        </is>
      </c>
      <c r="F678" s="3" t="inlineStr">
        <is>
          <t>.22 LR</t>
        </is>
      </c>
      <c r="G678" s="71" t="inlineStr">
        <is>
          <t>GLOCK</t>
        </is>
      </c>
      <c r="H678" s="65" t="inlineStr">
        <is>
          <t>MOD 44</t>
        </is>
      </c>
      <c r="I678" s="65" t="inlineStr">
        <is>
          <t>BNPL596</t>
        </is>
      </c>
      <c r="J678" s="65" t="inlineStr">
        <is>
          <t>N/D</t>
        </is>
      </c>
      <c r="K678" s="65" t="inlineStr">
        <is>
          <t>N/D</t>
        </is>
      </c>
      <c r="L678" s="127" t="inlineStr">
        <is>
          <t>BIGNAMI SPA</t>
        </is>
      </c>
      <c r="M678" s="5" t="n">
        <v>412.06</v>
      </c>
      <c r="N678" s="5" t="n"/>
      <c r="O678" s="5">
        <f>+M678+N678</f>
        <v/>
      </c>
      <c r="P678" s="4" t="n"/>
      <c r="Q678" s="87" t="n"/>
      <c r="R678" s="5" t="n">
        <v>475</v>
      </c>
      <c r="S678" s="2" t="n">
        <v>1</v>
      </c>
      <c r="T678" s="3" t="inlineStr">
        <is>
          <t>6B/2024/1S</t>
        </is>
      </c>
      <c r="U678" s="87" t="inlineStr">
        <is>
          <t>13/11/2024</t>
        </is>
      </c>
      <c r="V678" s="3" t="inlineStr">
        <is>
          <t>25</t>
        </is>
      </c>
      <c r="W678" s="108" t="inlineStr">
        <is>
          <t>13/11/2024</t>
        </is>
      </c>
      <c r="X678" s="4" t="inlineStr">
        <is>
          <t>HS &amp; S LLC</t>
        </is>
      </c>
    </row>
    <row r="679" ht="24" customHeight="1">
      <c r="A679" s="2">
        <f>+D679-S679</f>
        <v/>
      </c>
      <c r="B679" s="80" t="n">
        <v>2418</v>
      </c>
      <c r="C679" s="66" t="n">
        <v>45593</v>
      </c>
      <c r="D679" s="2" t="n">
        <v>1</v>
      </c>
      <c r="E679" s="3" t="inlineStr">
        <is>
          <t>PISTOLA SEMIAUTOMATICA</t>
        </is>
      </c>
      <c r="F679" s="3" t="inlineStr">
        <is>
          <t>.22 LR</t>
        </is>
      </c>
      <c r="G679" s="71" t="inlineStr">
        <is>
          <t>GLOCK</t>
        </is>
      </c>
      <c r="H679" s="65" t="inlineStr">
        <is>
          <t>MOD 44</t>
        </is>
      </c>
      <c r="I679" s="65" t="inlineStr">
        <is>
          <t>BNPL647</t>
        </is>
      </c>
      <c r="J679" s="65" t="inlineStr">
        <is>
          <t>N/D</t>
        </is>
      </c>
      <c r="K679" s="65" t="inlineStr">
        <is>
          <t>N/D</t>
        </is>
      </c>
      <c r="L679" s="127" t="inlineStr">
        <is>
          <t>BIGNAMI SPA</t>
        </is>
      </c>
      <c r="M679" s="5" t="n">
        <v>412.06</v>
      </c>
      <c r="N679" s="5" t="n"/>
      <c r="O679" s="5">
        <f>+M679+N679</f>
        <v/>
      </c>
      <c r="P679" s="4" t="n"/>
      <c r="Q679" s="87" t="n"/>
      <c r="R679" s="5" t="n">
        <v>475</v>
      </c>
      <c r="S679" s="2" t="n">
        <v>1</v>
      </c>
      <c r="T679" s="3" t="inlineStr">
        <is>
          <t>6B/2024/1S</t>
        </is>
      </c>
      <c r="U679" s="87" t="inlineStr">
        <is>
          <t>13/11/2024</t>
        </is>
      </c>
      <c r="V679" s="3" t="inlineStr">
        <is>
          <t>25</t>
        </is>
      </c>
      <c r="W679" s="108" t="inlineStr">
        <is>
          <t>13/11/2024</t>
        </is>
      </c>
      <c r="X679" s="4" t="inlineStr">
        <is>
          <t>HS &amp; S LLC</t>
        </is>
      </c>
    </row>
    <row r="680" ht="24" customHeight="1">
      <c r="A680" s="2">
        <f>+D680-S680</f>
        <v/>
      </c>
      <c r="B680" s="80" t="n">
        <v>2419</v>
      </c>
      <c r="C680" s="66" t="n">
        <v>45593</v>
      </c>
      <c r="D680" s="2" t="n">
        <v>1</v>
      </c>
      <c r="E680" s="3" t="inlineStr">
        <is>
          <t>CARABINA</t>
        </is>
      </c>
      <c r="F680" s="3" t="inlineStr">
        <is>
          <t>.22 LR</t>
        </is>
      </c>
      <c r="G680" s="71" t="inlineStr">
        <is>
          <t>CZ</t>
        </is>
      </c>
      <c r="H680" s="65" t="inlineStr">
        <is>
          <t>457 AMERICAN</t>
        </is>
      </c>
      <c r="I680" s="65" t="inlineStr">
        <is>
          <t>G495656</t>
        </is>
      </c>
      <c r="J680" s="65" t="inlineStr">
        <is>
          <t>N/D</t>
        </is>
      </c>
      <c r="K680" s="65" t="inlineStr">
        <is>
          <t>N/D</t>
        </is>
      </c>
      <c r="L680" s="127" t="inlineStr">
        <is>
          <t>BIGNAMI SPA</t>
        </is>
      </c>
      <c r="M680" s="5" t="n">
        <v>485.9</v>
      </c>
      <c r="N680" s="5" t="n"/>
      <c r="O680" s="5">
        <f>+M680+N680</f>
        <v/>
      </c>
      <c r="P680" s="4" t="n"/>
      <c r="Q680" s="87" t="n"/>
      <c r="R680" s="5" t="n">
        <v>574</v>
      </c>
      <c r="S680" s="2" t="n">
        <v>1</v>
      </c>
      <c r="T680" s="3" t="inlineStr">
        <is>
          <t>6B/2024/1S</t>
        </is>
      </c>
      <c r="U680" s="87" t="inlineStr">
        <is>
          <t>13/11/2024</t>
        </is>
      </c>
      <c r="V680" s="3" t="inlineStr">
        <is>
          <t>25</t>
        </is>
      </c>
      <c r="W680" s="108" t="inlineStr">
        <is>
          <t>13/11/2024</t>
        </is>
      </c>
      <c r="X680" s="4" t="inlineStr">
        <is>
          <t>HS &amp; S LLC</t>
        </is>
      </c>
    </row>
    <row r="681" ht="24" customHeight="1">
      <c r="A681" s="2">
        <f>+D681-S681</f>
        <v/>
      </c>
      <c r="B681" s="80" t="n">
        <v>2420</v>
      </c>
      <c r="C681" s="66" t="n">
        <v>45593</v>
      </c>
      <c r="D681" s="2" t="n">
        <v>1</v>
      </c>
      <c r="E681" s="3" t="inlineStr">
        <is>
          <t>CARABINA</t>
        </is>
      </c>
      <c r="F681" s="3" t="inlineStr">
        <is>
          <t>.22 LR</t>
        </is>
      </c>
      <c r="G681" s="71" t="inlineStr">
        <is>
          <t>CZ</t>
        </is>
      </c>
      <c r="H681" s="65" t="inlineStr">
        <is>
          <t>457 AMERICAN</t>
        </is>
      </c>
      <c r="I681" s="65" t="inlineStr">
        <is>
          <t>H191500</t>
        </is>
      </c>
      <c r="J681" s="65" t="inlineStr">
        <is>
          <t>N/D</t>
        </is>
      </c>
      <c r="K681" s="65" t="inlineStr">
        <is>
          <t>N/D</t>
        </is>
      </c>
      <c r="L681" s="127" t="inlineStr">
        <is>
          <t>BIGNAMI SPA</t>
        </is>
      </c>
      <c r="M681" s="5" t="n">
        <v>485.9</v>
      </c>
      <c r="N681" s="5" t="n"/>
      <c r="O681" s="5">
        <f>+M681+N681</f>
        <v/>
      </c>
      <c r="P681" s="4" t="n"/>
      <c r="Q681" s="87" t="n"/>
      <c r="R681" s="5" t="n">
        <v>574</v>
      </c>
      <c r="S681" s="2" t="n">
        <v>1</v>
      </c>
      <c r="T681" s="3" t="inlineStr">
        <is>
          <t>6B/2024/1S</t>
        </is>
      </c>
      <c r="U681" s="87" t="inlineStr">
        <is>
          <t>13/11/2024</t>
        </is>
      </c>
      <c r="V681" s="3" t="inlineStr">
        <is>
          <t>25</t>
        </is>
      </c>
      <c r="W681" s="108" t="inlineStr">
        <is>
          <t>13/11/2024</t>
        </is>
      </c>
      <c r="X681" s="4" t="inlineStr">
        <is>
          <t>HS &amp; S LLC</t>
        </is>
      </c>
    </row>
    <row r="682" ht="24" customHeight="1">
      <c r="A682" s="2">
        <f>+D682-S682</f>
        <v/>
      </c>
      <c r="B682" s="80" t="n">
        <v>2421</v>
      </c>
      <c r="C682" s="66" t="n">
        <v>45593</v>
      </c>
      <c r="D682" s="2" t="n">
        <v>1</v>
      </c>
      <c r="E682" s="3" t="inlineStr">
        <is>
          <t>CARABINA</t>
        </is>
      </c>
      <c r="F682" s="3" t="inlineStr">
        <is>
          <t>.22 LR</t>
        </is>
      </c>
      <c r="G682" s="71" t="inlineStr">
        <is>
          <t>CZ</t>
        </is>
      </c>
      <c r="H682" s="65" t="inlineStr">
        <is>
          <t>457 AMERICAN</t>
        </is>
      </c>
      <c r="I682" s="65" t="inlineStr">
        <is>
          <t>H191510</t>
        </is>
      </c>
      <c r="J682" s="65" t="inlineStr">
        <is>
          <t>N/D</t>
        </is>
      </c>
      <c r="K682" s="65" t="inlineStr">
        <is>
          <t>N/D</t>
        </is>
      </c>
      <c r="L682" s="127" t="inlineStr">
        <is>
          <t>BIGNAMI SPA</t>
        </is>
      </c>
      <c r="M682" s="5" t="n">
        <v>485.9</v>
      </c>
      <c r="N682" s="5" t="n"/>
      <c r="O682" s="5">
        <f>+M682+N682</f>
        <v/>
      </c>
      <c r="P682" s="4" t="n"/>
      <c r="Q682" s="87" t="n"/>
      <c r="R682" s="5" t="n">
        <v>574</v>
      </c>
      <c r="S682" s="2" t="n">
        <v>1</v>
      </c>
      <c r="T682" s="3" t="inlineStr">
        <is>
          <t>6B/2024/1S</t>
        </is>
      </c>
      <c r="U682" s="87" t="inlineStr">
        <is>
          <t>13/11/2024</t>
        </is>
      </c>
      <c r="V682" s="3" t="inlineStr">
        <is>
          <t>25</t>
        </is>
      </c>
      <c r="W682" s="108" t="inlineStr">
        <is>
          <t>13/11/2024</t>
        </is>
      </c>
      <c r="X682" s="4" t="inlineStr">
        <is>
          <t>HS &amp; S LLC</t>
        </is>
      </c>
    </row>
    <row r="683" ht="24" customHeight="1">
      <c r="A683" s="2">
        <f>+D683-S683</f>
        <v/>
      </c>
      <c r="B683" s="80" t="n"/>
      <c r="C683" s="66" t="n">
        <v>45593</v>
      </c>
      <c r="D683" s="2" t="n">
        <v>1</v>
      </c>
      <c r="E683" s="3" t="inlineStr">
        <is>
          <t>ACCESSORI</t>
        </is>
      </c>
      <c r="F683" s="3" t="n"/>
      <c r="G683" s="71" t="inlineStr">
        <is>
          <t>CZ</t>
        </is>
      </c>
      <c r="H683" s="65" t="inlineStr">
        <is>
          <t>HAMMER EVO 3</t>
        </is>
      </c>
      <c r="I683" s="65" t="inlineStr">
        <is>
          <t>N/D</t>
        </is>
      </c>
      <c r="J683" s="65" t="inlineStr">
        <is>
          <t>N/D</t>
        </is>
      </c>
      <c r="K683" s="65" t="inlineStr">
        <is>
          <t>N/D</t>
        </is>
      </c>
      <c r="L683" s="127" t="inlineStr">
        <is>
          <t>BIGNAMI SPA</t>
        </is>
      </c>
      <c r="M683" s="5" t="n">
        <v>61.7761</v>
      </c>
      <c r="N683" s="5" t="n"/>
      <c r="O683" s="5">
        <f>+M683+N683</f>
        <v/>
      </c>
      <c r="P683" s="4" t="n"/>
      <c r="Q683" s="87" t="n"/>
      <c r="R683" s="5" t="n"/>
      <c r="S683" s="2" t="n"/>
      <c r="T683" s="3" t="n"/>
      <c r="U683" s="87" t="n"/>
      <c r="V683" s="3" t="n"/>
      <c r="W683" s="108" t="n"/>
      <c r="X683" s="4" t="n"/>
    </row>
    <row r="684" ht="24" customHeight="1">
      <c r="A684" s="2">
        <f>+D684-S684</f>
        <v/>
      </c>
      <c r="B684" s="80" t="n"/>
      <c r="C684" s="66" t="n">
        <v>45593</v>
      </c>
      <c r="D684" s="2" t="n">
        <v>1</v>
      </c>
      <c r="E684" s="3" t="inlineStr">
        <is>
          <t>ACCESSORI</t>
        </is>
      </c>
      <c r="F684" s="3" t="n"/>
      <c r="G684" s="71" t="inlineStr">
        <is>
          <t>CZ</t>
        </is>
      </c>
      <c r="H684" s="65" t="inlineStr">
        <is>
          <t>HAMMER EVO 3</t>
        </is>
      </c>
      <c r="I684" s="65" t="inlineStr">
        <is>
          <t>N/D</t>
        </is>
      </c>
      <c r="J684" s="65" t="inlineStr">
        <is>
          <t>N/D</t>
        </is>
      </c>
      <c r="K684" s="65" t="inlineStr">
        <is>
          <t>N/D</t>
        </is>
      </c>
      <c r="L684" s="127" t="inlineStr">
        <is>
          <t>BIGNAMI SPA</t>
        </is>
      </c>
      <c r="M684" s="5" t="n">
        <v>61.7761</v>
      </c>
      <c r="N684" s="5" t="n"/>
      <c r="O684" s="5">
        <f>+M684+N684</f>
        <v/>
      </c>
      <c r="P684" s="4" t="n"/>
      <c r="Q684" s="87" t="n"/>
      <c r="R684" s="5" t="n"/>
      <c r="S684" s="2" t="n"/>
      <c r="T684" s="3" t="n"/>
      <c r="U684" s="87" t="n"/>
      <c r="V684" s="3" t="n"/>
      <c r="W684" s="108" t="n"/>
      <c r="X684" s="4" t="n"/>
    </row>
    <row r="685" ht="24" customHeight="1">
      <c r="A685" s="2">
        <f>+D685-S685</f>
        <v/>
      </c>
      <c r="B685" s="80" t="n"/>
      <c r="C685" s="66" t="n">
        <v>45593</v>
      </c>
      <c r="D685" s="2" t="n">
        <v>1</v>
      </c>
      <c r="E685" s="3" t="inlineStr">
        <is>
          <t>ACCESSORI</t>
        </is>
      </c>
      <c r="F685" s="3" t="n"/>
      <c r="G685" s="71" t="inlineStr">
        <is>
          <t>CZ</t>
        </is>
      </c>
      <c r="H685" s="65" t="inlineStr">
        <is>
          <t>SCHLAGBOZLEN EVO 3</t>
        </is>
      </c>
      <c r="I685" s="65" t="inlineStr">
        <is>
          <t>N/D</t>
        </is>
      </c>
      <c r="J685" s="65" t="inlineStr">
        <is>
          <t>N/D</t>
        </is>
      </c>
      <c r="K685" s="65" t="inlineStr">
        <is>
          <t>N/D</t>
        </is>
      </c>
      <c r="L685" s="127" t="inlineStr">
        <is>
          <t>BIGNAMI SPA</t>
        </is>
      </c>
      <c r="M685" s="5" t="n">
        <v>17.9</v>
      </c>
      <c r="N685" s="5" t="n"/>
      <c r="O685" s="5">
        <f>+M685+N685</f>
        <v/>
      </c>
      <c r="P685" s="4" t="n"/>
      <c r="Q685" s="87" t="n"/>
      <c r="R685" s="5" t="n"/>
      <c r="S685" s="2" t="n"/>
      <c r="T685" s="3" t="n"/>
      <c r="U685" s="87" t="n"/>
      <c r="V685" s="3" t="n"/>
      <c r="W685" s="108" t="n"/>
      <c r="X685" s="4" t="n"/>
    </row>
    <row r="686" ht="24" customHeight="1">
      <c r="A686" s="2">
        <f>+D686-S686</f>
        <v/>
      </c>
      <c r="B686" s="80" t="n"/>
      <c r="C686" s="66" t="n">
        <v>45593</v>
      </c>
      <c r="D686" s="2" t="n">
        <v>1</v>
      </c>
      <c r="E686" s="3" t="inlineStr">
        <is>
          <t>ACCESSORI</t>
        </is>
      </c>
      <c r="F686" s="3" t="n"/>
      <c r="G686" s="71" t="inlineStr">
        <is>
          <t>CZ</t>
        </is>
      </c>
      <c r="H686" s="65" t="inlineStr">
        <is>
          <t>SCHLAGBOZLEN EVO 3</t>
        </is>
      </c>
      <c r="I686" s="65" t="inlineStr">
        <is>
          <t>N/D</t>
        </is>
      </c>
      <c r="J686" s="65" t="inlineStr">
        <is>
          <t>N/D</t>
        </is>
      </c>
      <c r="K686" s="65" t="inlineStr">
        <is>
          <t>N/D</t>
        </is>
      </c>
      <c r="L686" s="127" t="inlineStr">
        <is>
          <t>BIGNAMI SPA</t>
        </is>
      </c>
      <c r="M686" s="5" t="n">
        <v>17.9</v>
      </c>
      <c r="N686" s="5" t="n"/>
      <c r="O686" s="5">
        <f>+M686+N686</f>
        <v/>
      </c>
      <c r="P686" s="4" t="n"/>
      <c r="Q686" s="87" t="n"/>
      <c r="R686" s="5" t="n"/>
      <c r="S686" s="2" t="n"/>
      <c r="T686" s="3" t="n"/>
      <c r="U686" s="87" t="n"/>
      <c r="V686" s="3" t="n"/>
      <c r="W686" s="108" t="n"/>
      <c r="X686" s="4" t="n"/>
    </row>
    <row r="687" ht="24" customHeight="1">
      <c r="A687" s="2">
        <f>+D687-S687</f>
        <v/>
      </c>
      <c r="B687" s="80" t="n"/>
      <c r="C687" s="66" t="n">
        <v>45593</v>
      </c>
      <c r="D687" s="2" t="n">
        <v>1</v>
      </c>
      <c r="E687" s="3" t="inlineStr">
        <is>
          <t>ACCESSORI</t>
        </is>
      </c>
      <c r="F687" s="3" t="n"/>
      <c r="G687" s="71" t="inlineStr">
        <is>
          <t>CZ</t>
        </is>
      </c>
      <c r="H687" s="65" t="inlineStr">
        <is>
          <t>SCHLAGBOZLEN EVO 3</t>
        </is>
      </c>
      <c r="I687" s="65" t="inlineStr">
        <is>
          <t>N/D</t>
        </is>
      </c>
      <c r="J687" s="65" t="inlineStr">
        <is>
          <t>N/D</t>
        </is>
      </c>
      <c r="K687" s="65" t="inlineStr">
        <is>
          <t>N/D</t>
        </is>
      </c>
      <c r="L687" s="127" t="inlineStr">
        <is>
          <t>BIGNAMI SPA</t>
        </is>
      </c>
      <c r="M687" s="5" t="n">
        <v>17.9</v>
      </c>
      <c r="N687" s="5" t="n"/>
      <c r="O687" s="5">
        <f>+M687+N687</f>
        <v/>
      </c>
      <c r="P687" s="4" t="n"/>
      <c r="Q687" s="87" t="n"/>
      <c r="R687" s="5" t="n"/>
      <c r="S687" s="2" t="n"/>
      <c r="T687" s="3" t="n"/>
      <c r="U687" s="87" t="n"/>
      <c r="V687" s="3" t="n"/>
      <c r="W687" s="108" t="n"/>
      <c r="X687" s="4" t="n"/>
    </row>
    <row r="688" ht="24" customHeight="1">
      <c r="A688" s="2">
        <f>+D688-S688</f>
        <v/>
      </c>
      <c r="B688" s="80" t="n"/>
      <c r="C688" s="66" t="n">
        <v>45593</v>
      </c>
      <c r="D688" s="2" t="n">
        <v>1</v>
      </c>
      <c r="E688" s="3" t="inlineStr">
        <is>
          <t>ACCESSORI</t>
        </is>
      </c>
      <c r="F688" s="3" t="n"/>
      <c r="G688" s="71" t="inlineStr">
        <is>
          <t>CZ</t>
        </is>
      </c>
      <c r="H688" s="65" t="inlineStr">
        <is>
          <t>HAMMERFEDER EVO 3</t>
        </is>
      </c>
      <c r="I688" s="65" t="inlineStr">
        <is>
          <t>N/D</t>
        </is>
      </c>
      <c r="J688" s="65" t="inlineStr">
        <is>
          <t>N/D</t>
        </is>
      </c>
      <c r="K688" s="65" t="inlineStr">
        <is>
          <t>N/D</t>
        </is>
      </c>
      <c r="L688" s="127" t="inlineStr">
        <is>
          <t>BIGNAMI SPA</t>
        </is>
      </c>
      <c r="M688" s="5" t="n">
        <v>4.216</v>
      </c>
      <c r="N688" s="5" t="n"/>
      <c r="O688" s="5">
        <f>+M688+N688</f>
        <v/>
      </c>
      <c r="P688" s="4" t="n"/>
      <c r="Q688" s="87" t="n"/>
      <c r="R688" s="5" t="n"/>
      <c r="S688" s="2" t="n"/>
      <c r="T688" s="3" t="n"/>
      <c r="U688" s="87" t="n"/>
      <c r="V688" s="3" t="n"/>
      <c r="W688" s="108" t="n"/>
      <c r="X688" s="4" t="n"/>
    </row>
    <row r="689" ht="24" customHeight="1">
      <c r="A689" s="2">
        <f>+D689-S689</f>
        <v/>
      </c>
      <c r="B689" s="80" t="n"/>
      <c r="C689" s="66" t="n">
        <v>45593</v>
      </c>
      <c r="D689" s="2" t="n">
        <v>1</v>
      </c>
      <c r="E689" s="3" t="inlineStr">
        <is>
          <t>ACCESSORI</t>
        </is>
      </c>
      <c r="F689" s="3" t="n"/>
      <c r="G689" s="71" t="inlineStr">
        <is>
          <t>CZ</t>
        </is>
      </c>
      <c r="H689" s="65" t="inlineStr">
        <is>
          <t>HAMMERFEDER EVO 3</t>
        </is>
      </c>
      <c r="I689" s="65" t="inlineStr">
        <is>
          <t>N/D</t>
        </is>
      </c>
      <c r="J689" s="65" t="inlineStr">
        <is>
          <t>N/D</t>
        </is>
      </c>
      <c r="K689" s="65" t="inlineStr">
        <is>
          <t>N/D</t>
        </is>
      </c>
      <c r="L689" s="127" t="inlineStr">
        <is>
          <t>BIGNAMI SPA</t>
        </is>
      </c>
      <c r="M689" s="5" t="n">
        <v>4.216</v>
      </c>
      <c r="N689" s="5" t="n"/>
      <c r="O689" s="5">
        <f>+M689+N689</f>
        <v/>
      </c>
      <c r="P689" s="4" t="n"/>
      <c r="Q689" s="87" t="n"/>
      <c r="R689" s="5" t="n"/>
      <c r="S689" s="2" t="n"/>
      <c r="T689" s="3" t="n"/>
      <c r="U689" s="87" t="n"/>
      <c r="V689" s="3" t="n"/>
      <c r="W689" s="108" t="n"/>
      <c r="X689" s="4" t="n"/>
    </row>
    <row r="690" ht="24" customHeight="1">
      <c r="A690" s="2">
        <f>+D690-S690</f>
        <v/>
      </c>
      <c r="B690" s="80" t="n"/>
      <c r="C690" s="66" t="n">
        <v>45593</v>
      </c>
      <c r="D690" s="2" t="n">
        <v>1</v>
      </c>
      <c r="E690" s="3" t="inlineStr">
        <is>
          <t>ACCESSORI</t>
        </is>
      </c>
      <c r="F690" s="3" t="n"/>
      <c r="G690" s="71" t="inlineStr">
        <is>
          <t>CZ</t>
        </is>
      </c>
      <c r="H690" s="65" t="inlineStr">
        <is>
          <t>HAMMERFEDER EVO 3</t>
        </is>
      </c>
      <c r="I690" s="65" t="inlineStr">
        <is>
          <t>N/D</t>
        </is>
      </c>
      <c r="J690" s="65" t="inlineStr">
        <is>
          <t>N/D</t>
        </is>
      </c>
      <c r="K690" s="65" t="inlineStr">
        <is>
          <t>N/D</t>
        </is>
      </c>
      <c r="L690" s="127" t="inlineStr">
        <is>
          <t>BIGNAMI SPA</t>
        </is>
      </c>
      <c r="M690" s="5" t="n">
        <v>4.216</v>
      </c>
      <c r="N690" s="5" t="n"/>
      <c r="O690" s="5">
        <f>+M690+N690</f>
        <v/>
      </c>
      <c r="P690" s="4" t="n"/>
      <c r="Q690" s="87" t="n"/>
      <c r="R690" s="5" t="n"/>
      <c r="S690" s="2" t="n"/>
      <c r="T690" s="3" t="n"/>
      <c r="U690" s="87" t="n"/>
      <c r="V690" s="3" t="n"/>
      <c r="W690" s="108" t="n"/>
      <c r="X690" s="4" t="n"/>
    </row>
    <row r="691" ht="24" customHeight="1">
      <c r="A691" s="2">
        <f>+D691-S691</f>
        <v/>
      </c>
      <c r="B691" s="80" t="n"/>
      <c r="C691" s="66" t="n">
        <v>45593</v>
      </c>
      <c r="D691" s="2" t="n">
        <v>1</v>
      </c>
      <c r="E691" s="3" t="inlineStr">
        <is>
          <t>ACCESSORI</t>
        </is>
      </c>
      <c r="F691" s="3" t="n"/>
      <c r="G691" s="71" t="inlineStr">
        <is>
          <t>CZ</t>
        </is>
      </c>
      <c r="H691" s="65" t="inlineStr">
        <is>
          <t>HAMMERFEDER EVO 3</t>
        </is>
      </c>
      <c r="I691" s="65" t="inlineStr">
        <is>
          <t>N/D</t>
        </is>
      </c>
      <c r="J691" s="65" t="inlineStr">
        <is>
          <t>N/D</t>
        </is>
      </c>
      <c r="K691" s="65" t="inlineStr">
        <is>
          <t>N/D</t>
        </is>
      </c>
      <c r="L691" s="127" t="inlineStr">
        <is>
          <t>BIGNAMI SPA</t>
        </is>
      </c>
      <c r="M691" s="5" t="n">
        <v>4.216</v>
      </c>
      <c r="N691" s="5" t="n"/>
      <c r="O691" s="5">
        <f>+M691+N691</f>
        <v/>
      </c>
      <c r="P691" s="4" t="n"/>
      <c r="Q691" s="87" t="n"/>
      <c r="R691" s="5" t="n"/>
      <c r="S691" s="2" t="n"/>
      <c r="T691" s="3" t="n"/>
      <c r="U691" s="87" t="n"/>
      <c r="V691" s="3" t="n"/>
      <c r="W691" s="108" t="n"/>
      <c r="X691" s="4" t="n"/>
    </row>
    <row r="692" ht="24" customHeight="1">
      <c r="A692" s="2">
        <f>+D692-S692</f>
        <v/>
      </c>
      <c r="B692" s="80" t="n"/>
      <c r="C692" s="66" t="n">
        <v>45593</v>
      </c>
      <c r="D692" s="2" t="n">
        <v>1</v>
      </c>
      <c r="E692" s="3" t="inlineStr">
        <is>
          <t>ACCESSORI</t>
        </is>
      </c>
      <c r="F692" s="3" t="n"/>
      <c r="G692" s="71" t="inlineStr">
        <is>
          <t>CZ</t>
        </is>
      </c>
      <c r="H692" s="65" t="inlineStr">
        <is>
          <t>HAMMERFEDER EVO 3</t>
        </is>
      </c>
      <c r="I692" s="65" t="inlineStr">
        <is>
          <t>N/D</t>
        </is>
      </c>
      <c r="J692" s="65" t="inlineStr">
        <is>
          <t>N/D</t>
        </is>
      </c>
      <c r="K692" s="65" t="inlineStr">
        <is>
          <t>N/D</t>
        </is>
      </c>
      <c r="L692" s="127" t="inlineStr">
        <is>
          <t>BIGNAMI SPA</t>
        </is>
      </c>
      <c r="M692" s="5" t="n">
        <v>4.216</v>
      </c>
      <c r="N692" s="5" t="n"/>
      <c r="O692" s="5">
        <f>+M692+N692</f>
        <v/>
      </c>
      <c r="P692" s="4" t="n"/>
      <c r="Q692" s="87" t="n"/>
      <c r="R692" s="5" t="n"/>
      <c r="S692" s="2" t="n"/>
      <c r="T692" s="3" t="n"/>
      <c r="U692" s="87" t="n"/>
      <c r="V692" s="3" t="n"/>
      <c r="W692" s="108" t="n"/>
      <c r="X692" s="4" t="n"/>
    </row>
    <row r="693" ht="24" customHeight="1">
      <c r="A693" s="2">
        <f>+D693-S693</f>
        <v/>
      </c>
      <c r="B693" s="80" t="n"/>
      <c r="C693" s="66" t="n">
        <v>45593</v>
      </c>
      <c r="D693" s="2" t="n">
        <v>1</v>
      </c>
      <c r="E693" s="3" t="inlineStr">
        <is>
          <t>ACCESSORI</t>
        </is>
      </c>
      <c r="F693" s="3" t="n"/>
      <c r="G693" s="71" t="inlineStr">
        <is>
          <t>CZ</t>
        </is>
      </c>
      <c r="H693" s="65" t="inlineStr">
        <is>
          <t>RUECKHOLFEDER EVO 3</t>
        </is>
      </c>
      <c r="I693" s="65" t="inlineStr">
        <is>
          <t>N/D</t>
        </is>
      </c>
      <c r="J693" s="65" t="inlineStr">
        <is>
          <t>N/D</t>
        </is>
      </c>
      <c r="K693" s="65" t="inlineStr">
        <is>
          <t>N/D</t>
        </is>
      </c>
      <c r="L693" s="127" t="inlineStr">
        <is>
          <t>BIGNAMI SPA</t>
        </is>
      </c>
      <c r="M693" s="5" t="n">
        <v>2.772</v>
      </c>
      <c r="N693" s="5" t="n"/>
      <c r="O693" s="5">
        <f>+M693+N693</f>
        <v/>
      </c>
      <c r="P693" s="4" t="n"/>
      <c r="Q693" s="87" t="n"/>
      <c r="R693" s="5" t="n"/>
      <c r="S693" s="2" t="n"/>
      <c r="T693" s="3" t="n"/>
      <c r="U693" s="87" t="n"/>
      <c r="V693" s="3" t="n"/>
      <c r="W693" s="108" t="n"/>
      <c r="X693" s="4" t="n"/>
    </row>
    <row r="694" ht="24" customHeight="1">
      <c r="A694" s="2">
        <f>+D694-S694</f>
        <v/>
      </c>
      <c r="B694" s="80" t="n"/>
      <c r="C694" s="66" t="n">
        <v>45593</v>
      </c>
      <c r="D694" s="2" t="n">
        <v>1</v>
      </c>
      <c r="E694" s="3" t="inlineStr">
        <is>
          <t>ACCESSORI</t>
        </is>
      </c>
      <c r="F694" s="3" t="n"/>
      <c r="G694" s="71" t="inlineStr">
        <is>
          <t>CZ</t>
        </is>
      </c>
      <c r="H694" s="65" t="inlineStr">
        <is>
          <t>RUECKHOLFEDER EVO 3</t>
        </is>
      </c>
      <c r="I694" s="65" t="inlineStr">
        <is>
          <t>N/D</t>
        </is>
      </c>
      <c r="J694" s="65" t="inlineStr">
        <is>
          <t>N/D</t>
        </is>
      </c>
      <c r="K694" s="65" t="inlineStr">
        <is>
          <t>N/D</t>
        </is>
      </c>
      <c r="L694" s="127" t="inlineStr">
        <is>
          <t>BIGNAMI SPA</t>
        </is>
      </c>
      <c r="M694" s="5" t="n">
        <v>2.772</v>
      </c>
      <c r="N694" s="5" t="n"/>
      <c r="O694" s="5">
        <f>+M694+N694</f>
        <v/>
      </c>
      <c r="P694" s="4" t="n"/>
      <c r="Q694" s="87" t="n"/>
      <c r="R694" s="5" t="n"/>
      <c r="S694" s="2" t="n"/>
      <c r="T694" s="3" t="n"/>
      <c r="U694" s="87" t="n"/>
      <c r="V694" s="3" t="n"/>
      <c r="W694" s="108" t="n"/>
      <c r="X694" s="4" t="n"/>
    </row>
    <row r="695" ht="24" customHeight="1">
      <c r="A695" s="2">
        <f>+D695-S695</f>
        <v/>
      </c>
      <c r="B695" s="80" t="n"/>
      <c r="C695" s="66" t="n">
        <v>45593</v>
      </c>
      <c r="D695" s="2" t="n">
        <v>1</v>
      </c>
      <c r="E695" s="3" t="inlineStr">
        <is>
          <t>ACCESSORI</t>
        </is>
      </c>
      <c r="F695" s="3" t="n"/>
      <c r="G695" s="71" t="inlineStr">
        <is>
          <t>CZ</t>
        </is>
      </c>
      <c r="H695" s="65" t="inlineStr">
        <is>
          <t>RUECKHOLFEDER EVO 3</t>
        </is>
      </c>
      <c r="I695" s="65" t="inlineStr">
        <is>
          <t>N/D</t>
        </is>
      </c>
      <c r="J695" s="65" t="inlineStr">
        <is>
          <t>N/D</t>
        </is>
      </c>
      <c r="K695" s="65" t="inlineStr">
        <is>
          <t>N/D</t>
        </is>
      </c>
      <c r="L695" s="127" t="inlineStr">
        <is>
          <t>BIGNAMI SPA</t>
        </is>
      </c>
      <c r="M695" s="5" t="n">
        <v>2.772</v>
      </c>
      <c r="N695" s="5" t="n"/>
      <c r="O695" s="5">
        <f>+M695+N695</f>
        <v/>
      </c>
      <c r="P695" s="4" t="n"/>
      <c r="Q695" s="87" t="n"/>
      <c r="R695" s="5" t="n"/>
      <c r="S695" s="2" t="n"/>
      <c r="T695" s="3" t="n"/>
      <c r="U695" s="87" t="n"/>
      <c r="V695" s="3" t="n"/>
      <c r="W695" s="108" t="n"/>
      <c r="X695" s="4" t="n"/>
    </row>
    <row r="696" ht="24" customHeight="1">
      <c r="A696" s="2">
        <f>+D696-S696</f>
        <v/>
      </c>
      <c r="B696" s="80" t="n"/>
      <c r="C696" s="66" t="n">
        <v>45593</v>
      </c>
      <c r="D696" s="2" t="n">
        <v>1</v>
      </c>
      <c r="E696" s="3" t="inlineStr">
        <is>
          <t>ACCESSORI</t>
        </is>
      </c>
      <c r="F696" s="3" t="n"/>
      <c r="G696" s="71" t="inlineStr">
        <is>
          <t>CZ</t>
        </is>
      </c>
      <c r="H696" s="65" t="inlineStr">
        <is>
          <t>RUECKHOLFEDER EVO 3</t>
        </is>
      </c>
      <c r="I696" s="65" t="inlineStr">
        <is>
          <t>N/D</t>
        </is>
      </c>
      <c r="J696" s="65" t="inlineStr">
        <is>
          <t>N/D</t>
        </is>
      </c>
      <c r="K696" s="65" t="inlineStr">
        <is>
          <t>N/D</t>
        </is>
      </c>
      <c r="L696" s="127" t="inlineStr">
        <is>
          <t>BIGNAMI SPA</t>
        </is>
      </c>
      <c r="M696" s="5" t="n">
        <v>2.772</v>
      </c>
      <c r="N696" s="5" t="n"/>
      <c r="O696" s="5">
        <f>+M696+N696</f>
        <v/>
      </c>
      <c r="P696" s="4" t="n"/>
      <c r="Q696" s="87" t="n"/>
      <c r="R696" s="5" t="n"/>
      <c r="S696" s="2" t="n"/>
      <c r="T696" s="3" t="n"/>
      <c r="U696" s="87" t="n"/>
      <c r="V696" s="3" t="n"/>
      <c r="W696" s="108" t="n"/>
      <c r="X696" s="4" t="n"/>
    </row>
    <row r="697" ht="24" customHeight="1">
      <c r="A697" s="2">
        <f>+D697-S697</f>
        <v/>
      </c>
      <c r="B697" s="80" t="n"/>
      <c r="C697" s="66" t="n">
        <v>45593</v>
      </c>
      <c r="D697" s="2" t="n">
        <v>1</v>
      </c>
      <c r="E697" s="3" t="inlineStr">
        <is>
          <t>ACCESSORI</t>
        </is>
      </c>
      <c r="F697" s="3" t="n"/>
      <c r="G697" s="71" t="inlineStr">
        <is>
          <t>CZ</t>
        </is>
      </c>
      <c r="H697" s="65" t="inlineStr">
        <is>
          <t>RUECKHOLFEDER EVO 3</t>
        </is>
      </c>
      <c r="I697" s="65" t="inlineStr">
        <is>
          <t>N/D</t>
        </is>
      </c>
      <c r="J697" s="65" t="inlineStr">
        <is>
          <t>N/D</t>
        </is>
      </c>
      <c r="K697" s="65" t="inlineStr">
        <is>
          <t>N/D</t>
        </is>
      </c>
      <c r="L697" s="127" t="inlineStr">
        <is>
          <t>BIGNAMI SPA</t>
        </is>
      </c>
      <c r="M697" s="5" t="n">
        <v>2.772</v>
      </c>
      <c r="N697" s="5" t="n"/>
      <c r="O697" s="5">
        <f>+M697+N697</f>
        <v/>
      </c>
      <c r="P697" s="4" t="n"/>
      <c r="Q697" s="87" t="n"/>
      <c r="R697" s="5" t="n"/>
      <c r="S697" s="2" t="n"/>
      <c r="T697" s="3" t="n"/>
      <c r="U697" s="87" t="n"/>
      <c r="V697" s="3" t="n"/>
      <c r="W697" s="108" t="n"/>
      <c r="X697" s="4" t="n"/>
    </row>
    <row r="698" ht="24" customHeight="1">
      <c r="A698" s="2">
        <f>+D698-S698</f>
        <v/>
      </c>
      <c r="B698" s="80" t="n"/>
      <c r="C698" s="66" t="n">
        <v>45593</v>
      </c>
      <c r="D698" s="2" t="n">
        <v>1</v>
      </c>
      <c r="E698" s="3" t="inlineStr">
        <is>
          <t>ACCESSORI</t>
        </is>
      </c>
      <c r="F698" s="3" t="n"/>
      <c r="G698" s="71" t="inlineStr">
        <is>
          <t>CZ</t>
        </is>
      </c>
      <c r="H698" s="65" t="inlineStr">
        <is>
          <t>TRIGGER SPRING SHADOW 2</t>
        </is>
      </c>
      <c r="I698" s="65" t="inlineStr">
        <is>
          <t>N/D</t>
        </is>
      </c>
      <c r="J698" s="65" t="inlineStr">
        <is>
          <t>N/D</t>
        </is>
      </c>
      <c r="K698" s="65" t="inlineStr">
        <is>
          <t>N/D</t>
        </is>
      </c>
      <c r="L698" s="127" t="inlineStr">
        <is>
          <t>BIGNAMI SPA</t>
        </is>
      </c>
      <c r="M698" s="5" t="n">
        <v>4.76</v>
      </c>
      <c r="N698" s="5" t="n"/>
      <c r="O698" s="5">
        <f>+M698+N698</f>
        <v/>
      </c>
      <c r="P698" s="4" t="n"/>
      <c r="Q698" s="87" t="n"/>
      <c r="R698" s="5" t="n"/>
      <c r="S698" s="2" t="n"/>
      <c r="T698" s="3" t="n"/>
      <c r="U698" s="87" t="n"/>
      <c r="V698" s="3" t="n"/>
      <c r="W698" s="108" t="n"/>
      <c r="X698" s="4" t="n"/>
    </row>
    <row r="699" ht="24" customHeight="1">
      <c r="A699" s="2">
        <f>+D699-S699</f>
        <v/>
      </c>
      <c r="B699" s="80" t="n"/>
      <c r="C699" s="66" t="n">
        <v>45593</v>
      </c>
      <c r="D699" s="2" t="n">
        <v>1</v>
      </c>
      <c r="E699" s="3" t="inlineStr">
        <is>
          <t>ACCESSORI</t>
        </is>
      </c>
      <c r="F699" s="3" t="n"/>
      <c r="G699" s="71" t="inlineStr">
        <is>
          <t>CZ</t>
        </is>
      </c>
      <c r="H699" s="65" t="inlineStr">
        <is>
          <t>TRIGGER SPRING SHADOW 2</t>
        </is>
      </c>
      <c r="I699" s="65" t="inlineStr">
        <is>
          <t>N/D</t>
        </is>
      </c>
      <c r="J699" s="65" t="inlineStr">
        <is>
          <t>N/D</t>
        </is>
      </c>
      <c r="K699" s="65" t="inlineStr">
        <is>
          <t>N/D</t>
        </is>
      </c>
      <c r="L699" s="127" t="inlineStr">
        <is>
          <t>BIGNAMI SPA</t>
        </is>
      </c>
      <c r="M699" s="5" t="n">
        <v>4.76</v>
      </c>
      <c r="N699" s="5" t="n"/>
      <c r="O699" s="5">
        <f>+M699+N699</f>
        <v/>
      </c>
      <c r="P699" s="4" t="n"/>
      <c r="Q699" s="87" t="n"/>
      <c r="R699" s="5" t="n"/>
      <c r="S699" s="2" t="n"/>
      <c r="T699" s="3" t="n"/>
      <c r="U699" s="87" t="n"/>
      <c r="V699" s="3" t="n"/>
      <c r="W699" s="108" t="n"/>
      <c r="X699" s="4" t="n"/>
    </row>
    <row r="700" ht="24" customHeight="1">
      <c r="A700" s="2">
        <f>+D700-S700</f>
        <v/>
      </c>
      <c r="B700" s="80" t="n"/>
      <c r="C700" s="66" t="n">
        <v>45593</v>
      </c>
      <c r="D700" s="2" t="n">
        <v>1</v>
      </c>
      <c r="E700" s="3" t="inlineStr">
        <is>
          <t>ACCESSORI</t>
        </is>
      </c>
      <c r="F700" s="3" t="n"/>
      <c r="G700" s="71" t="inlineStr">
        <is>
          <t>CZ</t>
        </is>
      </c>
      <c r="H700" s="65" t="inlineStr">
        <is>
          <t>TRIGGER SPRING SHADOW 2</t>
        </is>
      </c>
      <c r="I700" s="65" t="inlineStr">
        <is>
          <t>N/D</t>
        </is>
      </c>
      <c r="J700" s="65" t="inlineStr">
        <is>
          <t>N/D</t>
        </is>
      </c>
      <c r="K700" s="65" t="inlineStr">
        <is>
          <t>N/D</t>
        </is>
      </c>
      <c r="L700" s="127" t="inlineStr">
        <is>
          <t>BIGNAMI SPA</t>
        </is>
      </c>
      <c r="M700" s="5" t="n">
        <v>4.76</v>
      </c>
      <c r="N700" s="5" t="n"/>
      <c r="O700" s="5">
        <f>+M700+N700</f>
        <v/>
      </c>
      <c r="P700" s="4" t="n"/>
      <c r="Q700" s="87" t="n"/>
      <c r="R700" s="5" t="n"/>
      <c r="S700" s="2" t="n"/>
      <c r="T700" s="3" t="n"/>
      <c r="U700" s="87" t="n"/>
      <c r="V700" s="3" t="n"/>
      <c r="W700" s="108" t="n"/>
      <c r="X700" s="4" t="n"/>
    </row>
    <row r="701" ht="24" customHeight="1">
      <c r="A701" s="2">
        <f>+D701-S701</f>
        <v/>
      </c>
      <c r="B701" s="80" t="n"/>
      <c r="C701" s="66" t="n">
        <v>45593</v>
      </c>
      <c r="D701" s="2" t="n">
        <v>1</v>
      </c>
      <c r="E701" s="3" t="inlineStr">
        <is>
          <t>ACCESSORI</t>
        </is>
      </c>
      <c r="F701" s="3" t="n"/>
      <c r="G701" s="71" t="inlineStr">
        <is>
          <t>CZ</t>
        </is>
      </c>
      <c r="H701" s="65" t="inlineStr">
        <is>
          <t>TRIGGER SPRING SHADOW 2</t>
        </is>
      </c>
      <c r="I701" s="65" t="inlineStr">
        <is>
          <t>N/D</t>
        </is>
      </c>
      <c r="J701" s="65" t="inlineStr">
        <is>
          <t>N/D</t>
        </is>
      </c>
      <c r="K701" s="65" t="inlineStr">
        <is>
          <t>N/D</t>
        </is>
      </c>
      <c r="L701" s="127" t="inlineStr">
        <is>
          <t>BIGNAMI SPA</t>
        </is>
      </c>
      <c r="M701" s="5" t="n">
        <v>4.76</v>
      </c>
      <c r="N701" s="5" t="n"/>
      <c r="O701" s="5">
        <f>+M701+N701</f>
        <v/>
      </c>
      <c r="P701" s="4" t="n"/>
      <c r="Q701" s="87" t="n"/>
      <c r="R701" s="5" t="n"/>
      <c r="S701" s="2" t="n"/>
      <c r="T701" s="3" t="n"/>
      <c r="U701" s="87" t="n"/>
      <c r="V701" s="3" t="n"/>
      <c r="W701" s="108" t="n"/>
      <c r="X701" s="4" t="n"/>
    </row>
    <row r="702" ht="24" customHeight="1">
      <c r="A702" s="2">
        <f>+D702-S702</f>
        <v/>
      </c>
      <c r="B702" s="80" t="n"/>
      <c r="C702" s="66" t="n">
        <v>45593</v>
      </c>
      <c r="D702" s="2" t="n">
        <v>1</v>
      </c>
      <c r="E702" s="3" t="inlineStr">
        <is>
          <t>ACCESSORI</t>
        </is>
      </c>
      <c r="F702" s="3" t="n"/>
      <c r="G702" s="71" t="inlineStr">
        <is>
          <t>CZ</t>
        </is>
      </c>
      <c r="H702" s="65" t="inlineStr">
        <is>
          <t>TRIGGER SPRING SHADOW 2</t>
        </is>
      </c>
      <c r="I702" s="65" t="inlineStr">
        <is>
          <t>N/D</t>
        </is>
      </c>
      <c r="J702" s="65" t="inlineStr">
        <is>
          <t>N/D</t>
        </is>
      </c>
      <c r="K702" s="65" t="inlineStr">
        <is>
          <t>N/D</t>
        </is>
      </c>
      <c r="L702" s="127" t="inlineStr">
        <is>
          <t>BIGNAMI SPA</t>
        </is>
      </c>
      <c r="M702" s="5" t="n">
        <v>4.76</v>
      </c>
      <c r="N702" s="5" t="n"/>
      <c r="O702" s="5">
        <f>+M702+N702</f>
        <v/>
      </c>
      <c r="P702" s="4" t="n"/>
      <c r="Q702" s="87" t="n"/>
      <c r="R702" s="5" t="n"/>
      <c r="S702" s="2" t="n"/>
      <c r="T702" s="3" t="n"/>
      <c r="U702" s="87" t="n"/>
      <c r="V702" s="3" t="n"/>
      <c r="W702" s="108" t="n"/>
      <c r="X702" s="4" t="n"/>
    </row>
    <row r="703" ht="24" customHeight="1">
      <c r="A703" s="2">
        <f>+D703-S703</f>
        <v/>
      </c>
      <c r="B703" s="80" t="n"/>
      <c r="C703" s="66" t="n">
        <v>45593</v>
      </c>
      <c r="D703" s="2" t="n">
        <v>1</v>
      </c>
      <c r="E703" s="3" t="inlineStr">
        <is>
          <t>ACCESSORI</t>
        </is>
      </c>
      <c r="F703" s="3" t="n"/>
      <c r="G703" s="71" t="inlineStr">
        <is>
          <t>CZ</t>
        </is>
      </c>
      <c r="H703" s="65" t="inlineStr">
        <is>
          <t>TRIGGER SPRING SHADOW 2</t>
        </is>
      </c>
      <c r="I703" s="65" t="inlineStr">
        <is>
          <t>N/D</t>
        </is>
      </c>
      <c r="J703" s="65" t="inlineStr">
        <is>
          <t>N/D</t>
        </is>
      </c>
      <c r="K703" s="65" t="inlineStr">
        <is>
          <t>N/D</t>
        </is>
      </c>
      <c r="L703" s="127" t="inlineStr">
        <is>
          <t>BIGNAMI SPA</t>
        </is>
      </c>
      <c r="M703" s="5" t="n">
        <v>4.76</v>
      </c>
      <c r="N703" s="5" t="n"/>
      <c r="O703" s="5">
        <f>+M703+N703</f>
        <v/>
      </c>
      <c r="P703" s="4" t="n"/>
      <c r="Q703" s="87" t="n"/>
      <c r="R703" s="5" t="n"/>
      <c r="S703" s="2" t="n"/>
      <c r="T703" s="3" t="n"/>
      <c r="U703" s="87" t="n"/>
      <c r="V703" s="3" t="n"/>
      <c r="W703" s="108" t="n"/>
      <c r="X703" s="4" t="n"/>
    </row>
    <row r="704" ht="24" customHeight="1">
      <c r="A704" s="2">
        <f>+D704-S704</f>
        <v/>
      </c>
      <c r="B704" s="80" t="n"/>
      <c r="C704" s="66" t="n">
        <v>45593</v>
      </c>
      <c r="D704" s="2" t="n">
        <v>1</v>
      </c>
      <c r="E704" s="3" t="inlineStr">
        <is>
          <t>ACCESSORI</t>
        </is>
      </c>
      <c r="F704" s="3" t="n"/>
      <c r="G704" s="71" t="inlineStr">
        <is>
          <t>CZ</t>
        </is>
      </c>
      <c r="H704" s="65" t="inlineStr">
        <is>
          <t>TRIGGER SPRING SHADOW 2</t>
        </is>
      </c>
      <c r="I704" s="65" t="inlineStr">
        <is>
          <t>N/D</t>
        </is>
      </c>
      <c r="J704" s="65" t="inlineStr">
        <is>
          <t>N/D</t>
        </is>
      </c>
      <c r="K704" s="65" t="inlineStr">
        <is>
          <t>N/D</t>
        </is>
      </c>
      <c r="L704" s="127" t="inlineStr">
        <is>
          <t>BIGNAMI SPA</t>
        </is>
      </c>
      <c r="M704" s="5" t="n">
        <v>4.76</v>
      </c>
      <c r="N704" s="5" t="n"/>
      <c r="O704" s="5">
        <f>+M704+N704</f>
        <v/>
      </c>
      <c r="P704" s="4" t="n"/>
      <c r="Q704" s="87" t="n"/>
      <c r="R704" s="5" t="n"/>
      <c r="S704" s="2" t="n"/>
      <c r="T704" s="3" t="n"/>
      <c r="U704" s="87" t="n"/>
      <c r="V704" s="3" t="n"/>
      <c r="W704" s="108" t="n"/>
      <c r="X704" s="4" t="n"/>
    </row>
    <row r="705" ht="24" customHeight="1">
      <c r="A705" s="2">
        <f>+D705-S705</f>
        <v/>
      </c>
      <c r="B705" s="80" t="n"/>
      <c r="C705" s="66" t="n">
        <v>45593</v>
      </c>
      <c r="D705" s="2" t="n">
        <v>1</v>
      </c>
      <c r="E705" s="3" t="inlineStr">
        <is>
          <t>ACCESSORI</t>
        </is>
      </c>
      <c r="F705" s="3" t="n"/>
      <c r="G705" s="71" t="inlineStr">
        <is>
          <t>CZ</t>
        </is>
      </c>
      <c r="H705" s="65" t="inlineStr">
        <is>
          <t>TRIGGER SPRING SHADOW 2</t>
        </is>
      </c>
      <c r="I705" s="65" t="inlineStr">
        <is>
          <t>N/D</t>
        </is>
      </c>
      <c r="J705" s="65" t="inlineStr">
        <is>
          <t>N/D</t>
        </is>
      </c>
      <c r="K705" s="65" t="inlineStr">
        <is>
          <t>N/D</t>
        </is>
      </c>
      <c r="L705" s="127" t="inlineStr">
        <is>
          <t>BIGNAMI SPA</t>
        </is>
      </c>
      <c r="M705" s="5" t="n">
        <v>4.76</v>
      </c>
      <c r="N705" s="5" t="n"/>
      <c r="O705" s="5">
        <f>+M705+N705</f>
        <v/>
      </c>
      <c r="P705" s="4" t="n"/>
      <c r="Q705" s="87" t="n"/>
      <c r="R705" s="5" t="n"/>
      <c r="S705" s="2" t="n"/>
      <c r="T705" s="3" t="n"/>
      <c r="U705" s="87" t="n"/>
      <c r="V705" s="3" t="n"/>
      <c r="W705" s="108" t="n"/>
      <c r="X705" s="4" t="n"/>
    </row>
    <row r="706" ht="24" customHeight="1">
      <c r="A706" s="2">
        <f>+D706-S706</f>
        <v/>
      </c>
      <c r="B706" s="80" t="n"/>
      <c r="C706" s="66" t="n">
        <v>45593</v>
      </c>
      <c r="D706" s="2" t="n">
        <v>1</v>
      </c>
      <c r="E706" s="3" t="inlineStr">
        <is>
          <t>ACCESSORI</t>
        </is>
      </c>
      <c r="F706" s="3" t="n"/>
      <c r="G706" s="71" t="inlineStr">
        <is>
          <t>CZ</t>
        </is>
      </c>
      <c r="H706" s="65" t="inlineStr">
        <is>
          <t>TRIGGER SPRING SHADOW 2</t>
        </is>
      </c>
      <c r="I706" s="65" t="inlineStr">
        <is>
          <t>N/D</t>
        </is>
      </c>
      <c r="J706" s="65" t="inlineStr">
        <is>
          <t>N/D</t>
        </is>
      </c>
      <c r="K706" s="65" t="inlineStr">
        <is>
          <t>N/D</t>
        </is>
      </c>
      <c r="L706" s="127" t="inlineStr">
        <is>
          <t>BIGNAMI SPA</t>
        </is>
      </c>
      <c r="M706" s="5" t="n">
        <v>4.76</v>
      </c>
      <c r="N706" s="5" t="n"/>
      <c r="O706" s="5">
        <f>+M706+N706</f>
        <v/>
      </c>
      <c r="P706" s="4" t="n"/>
      <c r="Q706" s="87" t="n"/>
      <c r="R706" s="5" t="n"/>
      <c r="S706" s="2" t="n"/>
      <c r="T706" s="3" t="n"/>
      <c r="U706" s="87" t="n"/>
      <c r="V706" s="3" t="n"/>
      <c r="W706" s="108" t="n"/>
      <c r="X706" s="4" t="n"/>
    </row>
    <row r="707" ht="24" customHeight="1">
      <c r="A707" s="2">
        <f>+D707-S707</f>
        <v/>
      </c>
      <c r="B707" s="80" t="n"/>
      <c r="C707" s="66" t="n">
        <v>45593</v>
      </c>
      <c r="D707" s="2" t="n">
        <v>1</v>
      </c>
      <c r="E707" s="3" t="inlineStr">
        <is>
          <t>ACCESSORI</t>
        </is>
      </c>
      <c r="F707" s="3" t="n"/>
      <c r="G707" s="71" t="inlineStr">
        <is>
          <t>CZ</t>
        </is>
      </c>
      <c r="H707" s="65" t="inlineStr">
        <is>
          <t>TRIGGER SPRING SHADOW 2</t>
        </is>
      </c>
      <c r="I707" s="65" t="inlineStr">
        <is>
          <t>N/D</t>
        </is>
      </c>
      <c r="J707" s="65" t="inlineStr">
        <is>
          <t>N/D</t>
        </is>
      </c>
      <c r="K707" s="65" t="inlineStr">
        <is>
          <t>N/D</t>
        </is>
      </c>
      <c r="L707" s="127" t="inlineStr">
        <is>
          <t>BIGNAMI SPA</t>
        </is>
      </c>
      <c r="M707" s="5" t="n">
        <v>4.76</v>
      </c>
      <c r="N707" s="5" t="n"/>
      <c r="O707" s="5">
        <f>+M707+N707</f>
        <v/>
      </c>
      <c r="P707" s="4" t="n"/>
      <c r="Q707" s="87" t="n"/>
      <c r="R707" s="5" t="n"/>
      <c r="S707" s="2" t="n"/>
      <c r="T707" s="3" t="n"/>
      <c r="U707" s="87" t="n"/>
      <c r="V707" s="3" t="n"/>
      <c r="W707" s="108" t="n"/>
      <c r="X707" s="4" t="n"/>
    </row>
    <row r="708" ht="24" customHeight="1">
      <c r="A708" s="2">
        <f>+D708-S708</f>
        <v/>
      </c>
      <c r="B708" s="80" t="n"/>
      <c r="C708" s="66" t="n">
        <v>45593</v>
      </c>
      <c r="D708" s="2" t="n">
        <v>1</v>
      </c>
      <c r="E708" s="3" t="inlineStr">
        <is>
          <t>ACCESSORI</t>
        </is>
      </c>
      <c r="F708" s="3" t="n"/>
      <c r="G708" s="71" t="inlineStr">
        <is>
          <t>CZ</t>
        </is>
      </c>
      <c r="H708" s="65" t="inlineStr">
        <is>
          <t>TRIGGER SPRING SHADOW 2</t>
        </is>
      </c>
      <c r="I708" s="65" t="inlineStr">
        <is>
          <t>N/D</t>
        </is>
      </c>
      <c r="J708" s="65" t="inlineStr">
        <is>
          <t>N/D</t>
        </is>
      </c>
      <c r="K708" s="65" t="inlineStr">
        <is>
          <t>N/D</t>
        </is>
      </c>
      <c r="L708" s="127" t="inlineStr">
        <is>
          <t>BIGNAMI SPA</t>
        </is>
      </c>
      <c r="M708" s="5" t="n">
        <v>4.76</v>
      </c>
      <c r="N708" s="5" t="n"/>
      <c r="O708" s="5">
        <f>+M708+N708</f>
        <v/>
      </c>
      <c r="P708" s="4" t="n"/>
      <c r="Q708" s="87" t="n"/>
      <c r="R708" s="5" t="n"/>
      <c r="S708" s="2" t="n"/>
      <c r="T708" s="3" t="n"/>
      <c r="U708" s="87" t="n"/>
      <c r="V708" s="3" t="n"/>
      <c r="W708" s="108" t="n"/>
      <c r="X708" s="4" t="n"/>
    </row>
    <row r="709" ht="24" customHeight="1">
      <c r="A709" s="2">
        <f>+D709-S709</f>
        <v/>
      </c>
      <c r="B709" s="80" t="n"/>
      <c r="C709" s="66" t="n">
        <v>45593</v>
      </c>
      <c r="D709" s="2" t="n">
        <v>1</v>
      </c>
      <c r="E709" s="3" t="inlineStr">
        <is>
          <t>ACCESSORI</t>
        </is>
      </c>
      <c r="F709" s="3" t="n"/>
      <c r="G709" s="3" t="inlineStr">
        <is>
          <t>CZ</t>
        </is>
      </c>
      <c r="H709" s="65" t="inlineStr">
        <is>
          <t>TRIGGER SPRING SHADOW 2</t>
        </is>
      </c>
      <c r="I709" s="65" t="inlineStr">
        <is>
          <t>N/D</t>
        </is>
      </c>
      <c r="J709" s="65" t="inlineStr">
        <is>
          <t>N/D</t>
        </is>
      </c>
      <c r="K709" s="65" t="inlineStr">
        <is>
          <t>N/D</t>
        </is>
      </c>
      <c r="L709" s="127" t="inlineStr">
        <is>
          <t>BIGNAMI SPA</t>
        </is>
      </c>
      <c r="M709" s="5" t="n">
        <v>4.76</v>
      </c>
      <c r="N709" s="5" t="n"/>
      <c r="O709" s="5">
        <f>+M709+N709</f>
        <v/>
      </c>
      <c r="P709" s="4" t="n"/>
      <c r="Q709" s="87" t="n"/>
      <c r="R709" s="5" t="n"/>
      <c r="S709" s="2" t="n"/>
      <c r="T709" s="3" t="n"/>
      <c r="U709" s="87" t="n"/>
      <c r="V709" s="3" t="n"/>
      <c r="W709" s="108" t="n"/>
      <c r="X709" s="4" t="n"/>
    </row>
    <row r="710" ht="24" customHeight="1">
      <c r="A710" s="2">
        <f>+D710-S710</f>
        <v/>
      </c>
      <c r="B710" s="80" t="n"/>
      <c r="C710" s="66" t="n">
        <v>45593</v>
      </c>
      <c r="D710" s="2" t="n">
        <v>1</v>
      </c>
      <c r="E710" s="3" t="inlineStr">
        <is>
          <t>ACCESSORI</t>
        </is>
      </c>
      <c r="F710" s="3" t="n"/>
      <c r="G710" s="3" t="inlineStr">
        <is>
          <t>CZ</t>
        </is>
      </c>
      <c r="H710" s="65" t="inlineStr">
        <is>
          <t>TRIGGER SPRING SHADOW 2</t>
        </is>
      </c>
      <c r="I710" s="65" t="inlineStr">
        <is>
          <t>N/D</t>
        </is>
      </c>
      <c r="J710" s="65" t="inlineStr">
        <is>
          <t>N/D</t>
        </is>
      </c>
      <c r="K710" s="65" t="inlineStr">
        <is>
          <t>N/D</t>
        </is>
      </c>
      <c r="L710" s="127" t="inlineStr">
        <is>
          <t>BIGNAMI SPA</t>
        </is>
      </c>
      <c r="M710" s="5" t="n">
        <v>4.76</v>
      </c>
      <c r="N710" s="5" t="n"/>
      <c r="O710" s="5">
        <f>+M710+N710</f>
        <v/>
      </c>
      <c r="P710" s="4" t="n"/>
      <c r="Q710" s="87" t="n"/>
      <c r="R710" s="5" t="n"/>
      <c r="S710" s="2" t="n"/>
      <c r="T710" s="3" t="n"/>
      <c r="U710" s="87" t="n"/>
      <c r="V710" s="3" t="n"/>
      <c r="W710" s="108" t="n"/>
      <c r="X710" s="4" t="n"/>
    </row>
    <row r="711" ht="24" customHeight="1">
      <c r="A711" s="2">
        <f>+D711-S711</f>
        <v/>
      </c>
      <c r="B711" s="80" t="n"/>
      <c r="C711" s="66" t="n">
        <v>45593</v>
      </c>
      <c r="D711" s="2" t="n">
        <v>1</v>
      </c>
      <c r="E711" s="3" t="inlineStr">
        <is>
          <t>ACCESSORI</t>
        </is>
      </c>
      <c r="F711" s="3" t="n"/>
      <c r="G711" s="3" t="inlineStr">
        <is>
          <t>CZ</t>
        </is>
      </c>
      <c r="H711" s="65" t="inlineStr">
        <is>
          <t>TRIGGER SPRING SHADOW 2</t>
        </is>
      </c>
      <c r="I711" s="65" t="inlineStr">
        <is>
          <t>N/D</t>
        </is>
      </c>
      <c r="J711" s="65" t="inlineStr">
        <is>
          <t>N/D</t>
        </is>
      </c>
      <c r="K711" s="65" t="inlineStr">
        <is>
          <t>N/D</t>
        </is>
      </c>
      <c r="L711" s="127" t="inlineStr">
        <is>
          <t>BIGNAMI SPA</t>
        </is>
      </c>
      <c r="M711" s="5" t="n">
        <v>4.76</v>
      </c>
      <c r="N711" s="5" t="n"/>
      <c r="O711" s="5">
        <f>+M711+N711</f>
        <v/>
      </c>
      <c r="P711" s="4" t="n"/>
      <c r="Q711" s="87" t="n"/>
      <c r="R711" s="5" t="n"/>
      <c r="S711" s="2" t="n"/>
      <c r="T711" s="3" t="n"/>
      <c r="U711" s="87" t="n"/>
      <c r="V711" s="3" t="n"/>
      <c r="W711" s="108" t="n"/>
      <c r="X711" s="4" t="n"/>
    </row>
    <row r="712" ht="24" customHeight="1">
      <c r="A712" s="2">
        <f>+D712-S712</f>
        <v/>
      </c>
      <c r="B712" s="80" t="n"/>
      <c r="C712" s="66" t="n">
        <v>45593</v>
      </c>
      <c r="D712" s="2" t="n">
        <v>1</v>
      </c>
      <c r="E712" s="3" t="inlineStr">
        <is>
          <t>ACCESSORI</t>
        </is>
      </c>
      <c r="F712" s="3" t="n"/>
      <c r="G712" s="3" t="inlineStr">
        <is>
          <t>CZ</t>
        </is>
      </c>
      <c r="H712" s="65" t="inlineStr">
        <is>
          <t>TRIGGER SPRING SHADOW 2</t>
        </is>
      </c>
      <c r="I712" s="65" t="inlineStr">
        <is>
          <t>N/D</t>
        </is>
      </c>
      <c r="J712" s="65" t="inlineStr">
        <is>
          <t>N/D</t>
        </is>
      </c>
      <c r="K712" s="65" t="inlineStr">
        <is>
          <t>N/D</t>
        </is>
      </c>
      <c r="L712" s="127" t="inlineStr">
        <is>
          <t>BIGNAMI SPA</t>
        </is>
      </c>
      <c r="M712" s="5" t="n">
        <v>4.76</v>
      </c>
      <c r="N712" s="5" t="n"/>
      <c r="O712" s="5">
        <f>+M712+N712</f>
        <v/>
      </c>
      <c r="P712" s="4" t="n"/>
      <c r="Q712" s="87" t="n"/>
      <c r="R712" s="5" t="n"/>
      <c r="S712" s="2" t="n"/>
      <c r="T712" s="3" t="n"/>
      <c r="U712" s="87" t="n"/>
      <c r="V712" s="3" t="n"/>
      <c r="W712" s="108" t="n"/>
      <c r="X712" s="4" t="n"/>
    </row>
    <row r="713" ht="24" customHeight="1">
      <c r="A713" s="2">
        <f>+D713-S713</f>
        <v/>
      </c>
      <c r="B713" s="80" t="n"/>
      <c r="C713" s="66" t="n">
        <v>45593</v>
      </c>
      <c r="D713" s="2" t="n">
        <v>1</v>
      </c>
      <c r="E713" s="3" t="inlineStr">
        <is>
          <t>ACCESSORI</t>
        </is>
      </c>
      <c r="F713" s="3" t="n"/>
      <c r="G713" s="3" t="inlineStr">
        <is>
          <t>CZ</t>
        </is>
      </c>
      <c r="H713" s="65" t="inlineStr">
        <is>
          <t>MAIN SPRING SHADOW 2</t>
        </is>
      </c>
      <c r="I713" s="65" t="inlineStr">
        <is>
          <t>N/D</t>
        </is>
      </c>
      <c r="J713" s="65" t="inlineStr">
        <is>
          <t>N/D</t>
        </is>
      </c>
      <c r="K713" s="65" t="inlineStr">
        <is>
          <t>N/D</t>
        </is>
      </c>
      <c r="L713" s="127" t="inlineStr">
        <is>
          <t>BIGNAMI SPA</t>
        </is>
      </c>
      <c r="M713" s="5" t="n">
        <v>2.377</v>
      </c>
      <c r="N713" s="5" t="n"/>
      <c r="O713" s="5">
        <f>+M713+N713</f>
        <v/>
      </c>
      <c r="P713" s="4" t="n"/>
      <c r="Q713" s="87" t="n"/>
      <c r="R713" s="5" t="n"/>
      <c r="S713" s="2" t="n"/>
      <c r="T713" s="3" t="n"/>
      <c r="U713" s="87" t="n"/>
      <c r="V713" s="3" t="n"/>
      <c r="W713" s="108" t="n"/>
      <c r="X713" s="4" t="n"/>
    </row>
    <row r="714" ht="24" customHeight="1">
      <c r="A714" s="2">
        <f>+D714-S714</f>
        <v/>
      </c>
      <c r="B714" s="80" t="n"/>
      <c r="C714" s="66" t="n">
        <v>45593</v>
      </c>
      <c r="D714" s="2" t="n">
        <v>1</v>
      </c>
      <c r="E714" s="3" t="inlineStr">
        <is>
          <t>ACCESSORI</t>
        </is>
      </c>
      <c r="F714" s="3" t="n"/>
      <c r="G714" s="3" t="inlineStr">
        <is>
          <t>CZ</t>
        </is>
      </c>
      <c r="H714" s="65" t="inlineStr">
        <is>
          <t>MAIN SPRING SHADOW 2</t>
        </is>
      </c>
      <c r="I714" s="65" t="inlineStr">
        <is>
          <t>N/D</t>
        </is>
      </c>
      <c r="J714" s="65" t="inlineStr">
        <is>
          <t>N/D</t>
        </is>
      </c>
      <c r="K714" s="65" t="inlineStr">
        <is>
          <t>N/D</t>
        </is>
      </c>
      <c r="L714" s="127" t="inlineStr">
        <is>
          <t>BIGNAMI SPA</t>
        </is>
      </c>
      <c r="M714" s="5" t="n">
        <v>2.377</v>
      </c>
      <c r="N714" s="5" t="n"/>
      <c r="O714" s="5">
        <f>+M714+N714</f>
        <v/>
      </c>
      <c r="P714" s="4" t="n"/>
      <c r="Q714" s="87" t="n"/>
      <c r="R714" s="5" t="n"/>
      <c r="S714" s="2" t="n"/>
      <c r="T714" s="3" t="n"/>
      <c r="U714" s="87" t="n"/>
      <c r="V714" s="3" t="n"/>
      <c r="W714" s="108" t="n"/>
      <c r="X714" s="4" t="n"/>
    </row>
    <row r="715" ht="24" customHeight="1">
      <c r="A715" s="2">
        <f>+D715-S715</f>
        <v/>
      </c>
      <c r="B715" s="80" t="n"/>
      <c r="C715" s="66" t="n">
        <v>45593</v>
      </c>
      <c r="D715" s="2" t="n">
        <v>1</v>
      </c>
      <c r="E715" s="3" t="inlineStr">
        <is>
          <t>ACCESSORI</t>
        </is>
      </c>
      <c r="F715" s="3" t="n"/>
      <c r="G715" s="3" t="inlineStr">
        <is>
          <t>CZ</t>
        </is>
      </c>
      <c r="H715" s="65" t="inlineStr">
        <is>
          <t>MAIN SPRING SHADOW 2</t>
        </is>
      </c>
      <c r="I715" s="65" t="inlineStr">
        <is>
          <t>N/D</t>
        </is>
      </c>
      <c r="J715" s="65" t="inlineStr">
        <is>
          <t>N/D</t>
        </is>
      </c>
      <c r="K715" s="65" t="inlineStr">
        <is>
          <t>N/D</t>
        </is>
      </c>
      <c r="L715" s="127" t="inlineStr">
        <is>
          <t>BIGNAMI SPA</t>
        </is>
      </c>
      <c r="M715" s="5" t="n">
        <v>2.377</v>
      </c>
      <c r="N715" s="5" t="n"/>
      <c r="O715" s="5">
        <f>+M715+N715</f>
        <v/>
      </c>
      <c r="P715" s="4" t="n"/>
      <c r="Q715" s="87" t="n"/>
      <c r="R715" s="5" t="n"/>
      <c r="S715" s="2" t="n"/>
      <c r="T715" s="3" t="n"/>
      <c r="U715" s="87" t="n"/>
      <c r="V715" s="3" t="n"/>
      <c r="W715" s="108" t="n"/>
      <c r="X715" s="4" t="n"/>
    </row>
    <row r="716" ht="24" customHeight="1">
      <c r="A716" s="2">
        <f>+D716-S716</f>
        <v/>
      </c>
      <c r="B716" s="80" t="n"/>
      <c r="C716" s="66" t="n">
        <v>45593</v>
      </c>
      <c r="D716" s="2" t="n">
        <v>1</v>
      </c>
      <c r="E716" s="3" t="inlineStr">
        <is>
          <t>ACCESSORI</t>
        </is>
      </c>
      <c r="F716" s="3" t="n"/>
      <c r="G716" s="3" t="inlineStr">
        <is>
          <t>GLOCK</t>
        </is>
      </c>
      <c r="H716" s="65" t="inlineStr">
        <is>
          <t>FIRING PIN</t>
        </is>
      </c>
      <c r="I716" s="65" t="inlineStr">
        <is>
          <t>N/D</t>
        </is>
      </c>
      <c r="J716" s="65" t="inlineStr">
        <is>
          <t>N/D</t>
        </is>
      </c>
      <c r="K716" s="65" t="inlineStr">
        <is>
          <t>N/D</t>
        </is>
      </c>
      <c r="L716" s="127" t="inlineStr">
        <is>
          <t>BIGNAMI SPA</t>
        </is>
      </c>
      <c r="M716" s="5" t="n">
        <v>32.807</v>
      </c>
      <c r="N716" s="5" t="n"/>
      <c r="O716" s="5">
        <f>+M716+N716</f>
        <v/>
      </c>
      <c r="P716" s="4" t="n"/>
      <c r="Q716" s="87" t="n"/>
      <c r="R716" s="5" t="n"/>
      <c r="S716" s="2" t="n"/>
      <c r="T716" s="3" t="n"/>
      <c r="U716" s="87" t="n"/>
      <c r="V716" s="3" t="n"/>
      <c r="W716" s="108" t="n"/>
      <c r="X716" s="4" t="n"/>
    </row>
    <row r="717" ht="24" customHeight="1">
      <c r="A717" s="2">
        <f>+D717-S717</f>
        <v/>
      </c>
      <c r="B717" s="80" t="n"/>
      <c r="C717" s="66" t="n">
        <v>45593</v>
      </c>
      <c r="D717" s="2" t="n">
        <v>1</v>
      </c>
      <c r="E717" s="3" t="inlineStr">
        <is>
          <t>ACCESSORI</t>
        </is>
      </c>
      <c r="F717" s="3" t="n"/>
      <c r="G717" s="3" t="inlineStr">
        <is>
          <t>GLOCK</t>
        </is>
      </c>
      <c r="H717" s="65" t="inlineStr">
        <is>
          <t>FIRING PIN</t>
        </is>
      </c>
      <c r="I717" s="65" t="inlineStr">
        <is>
          <t>N/D</t>
        </is>
      </c>
      <c r="J717" s="65" t="inlineStr">
        <is>
          <t>N/D</t>
        </is>
      </c>
      <c r="K717" s="65" t="inlineStr">
        <is>
          <t>N/D</t>
        </is>
      </c>
      <c r="L717" s="127" t="inlineStr">
        <is>
          <t>BIGNAMI SPA</t>
        </is>
      </c>
      <c r="M717" s="5" t="n">
        <v>32.807</v>
      </c>
      <c r="N717" s="5" t="n"/>
      <c r="O717" s="5">
        <f>+M717+N717</f>
        <v/>
      </c>
      <c r="P717" s="4" t="n"/>
      <c r="Q717" s="87" t="n"/>
      <c r="R717" s="5" t="n"/>
      <c r="S717" s="2" t="n"/>
      <c r="T717" s="3" t="n"/>
      <c r="U717" s="87" t="n"/>
      <c r="V717" s="3" t="n"/>
      <c r="W717" s="108" t="n"/>
      <c r="X717" s="4" t="n"/>
    </row>
    <row r="718" ht="24" customHeight="1">
      <c r="A718" s="2">
        <f>+D718-S718</f>
        <v/>
      </c>
      <c r="B718" s="80" t="n"/>
      <c r="C718" s="66" t="n">
        <v>45593</v>
      </c>
      <c r="D718" s="2" t="n">
        <v>1</v>
      </c>
      <c r="E718" s="3" t="inlineStr">
        <is>
          <t>ACCESSORI</t>
        </is>
      </c>
      <c r="F718" s="3" t="n"/>
      <c r="G718" s="3" t="inlineStr">
        <is>
          <t>GLOCK</t>
        </is>
      </c>
      <c r="H718" s="65" t="inlineStr">
        <is>
          <t>FIRING PIN</t>
        </is>
      </c>
      <c r="I718" s="65" t="inlineStr">
        <is>
          <t>N/D</t>
        </is>
      </c>
      <c r="J718" s="65" t="inlineStr">
        <is>
          <t>N/D</t>
        </is>
      </c>
      <c r="K718" s="65" t="inlineStr">
        <is>
          <t>N/D</t>
        </is>
      </c>
      <c r="L718" s="127" t="inlineStr">
        <is>
          <t>BIGNAMI SPA</t>
        </is>
      </c>
      <c r="M718" s="5" t="n">
        <v>32.807</v>
      </c>
      <c r="N718" s="5" t="n"/>
      <c r="O718" s="5">
        <f>+M718+N718</f>
        <v/>
      </c>
      <c r="P718" s="4" t="n"/>
      <c r="Q718" s="87" t="n"/>
      <c r="R718" s="5" t="n"/>
      <c r="S718" s="2" t="n"/>
      <c r="T718" s="3" t="n"/>
      <c r="U718" s="87" t="n"/>
      <c r="V718" s="3" t="n"/>
      <c r="W718" s="108" t="n"/>
      <c r="X718" s="4" t="n"/>
    </row>
    <row r="719" ht="24" customHeight="1">
      <c r="A719" s="2">
        <f>+D719-S719</f>
        <v/>
      </c>
      <c r="B719" s="80" t="n"/>
      <c r="C719" s="66" t="n">
        <v>45593</v>
      </c>
      <c r="D719" s="2" t="n">
        <v>1</v>
      </c>
      <c r="E719" s="3" t="inlineStr">
        <is>
          <t>ACCESSORI</t>
        </is>
      </c>
      <c r="F719" s="3" t="n"/>
      <c r="G719" s="3" t="inlineStr">
        <is>
          <t>GLOCK</t>
        </is>
      </c>
      <c r="H719" s="65" t="inlineStr">
        <is>
          <t>FIRING PIN SPRING</t>
        </is>
      </c>
      <c r="I719" s="65" t="inlineStr">
        <is>
          <t>N/D</t>
        </is>
      </c>
      <c r="J719" s="65" t="inlineStr">
        <is>
          <t>N/D</t>
        </is>
      </c>
      <c r="K719" s="65" t="inlineStr">
        <is>
          <t>N/D</t>
        </is>
      </c>
      <c r="L719" s="127" t="inlineStr">
        <is>
          <t>BIGNAMI SPA</t>
        </is>
      </c>
      <c r="M719" s="5" t="n">
        <v>0.5659999999999999</v>
      </c>
      <c r="N719" s="5" t="n"/>
      <c r="O719" s="5">
        <f>+M719+N719</f>
        <v/>
      </c>
      <c r="P719" s="4" t="n"/>
      <c r="Q719" s="87" t="n"/>
      <c r="R719" s="5" t="n"/>
      <c r="S719" s="2" t="n"/>
      <c r="T719" s="3" t="n"/>
      <c r="U719" s="87" t="n"/>
      <c r="V719" s="3" t="n"/>
      <c r="W719" s="108" t="n"/>
      <c r="X719" s="4" t="n"/>
    </row>
    <row r="720" ht="24" customHeight="1">
      <c r="A720" s="2">
        <f>+D720-S720</f>
        <v/>
      </c>
      <c r="B720" s="80" t="n"/>
      <c r="C720" s="66" t="n">
        <v>45593</v>
      </c>
      <c r="D720" s="2" t="n">
        <v>1</v>
      </c>
      <c r="E720" s="3" t="inlineStr">
        <is>
          <t>ACCESSORI</t>
        </is>
      </c>
      <c r="F720" s="3" t="n"/>
      <c r="G720" s="3" t="inlineStr">
        <is>
          <t>GLOCK</t>
        </is>
      </c>
      <c r="H720" s="65" t="inlineStr">
        <is>
          <t>FIRING PIN SPRING</t>
        </is>
      </c>
      <c r="I720" s="65" t="inlineStr">
        <is>
          <t>N/D</t>
        </is>
      </c>
      <c r="J720" s="65" t="inlineStr">
        <is>
          <t>N/D</t>
        </is>
      </c>
      <c r="K720" s="65" t="inlineStr">
        <is>
          <t>N/D</t>
        </is>
      </c>
      <c r="L720" s="127" t="inlineStr">
        <is>
          <t>BIGNAMI SPA</t>
        </is>
      </c>
      <c r="M720" s="5" t="n">
        <v>0.5659999999999999</v>
      </c>
      <c r="N720" s="5" t="n"/>
      <c r="O720" s="5">
        <f>+M720+N720</f>
        <v/>
      </c>
      <c r="P720" s="4" t="n"/>
      <c r="Q720" s="87" t="n"/>
      <c r="R720" s="5" t="n"/>
      <c r="S720" s="2" t="n"/>
      <c r="T720" s="3" t="n"/>
      <c r="U720" s="87" t="n"/>
      <c r="V720" s="3" t="n"/>
      <c r="W720" s="108" t="n"/>
      <c r="X720" s="4" t="n"/>
    </row>
    <row r="721" ht="24" customHeight="1">
      <c r="A721" s="2">
        <f>+D721-S721</f>
        <v/>
      </c>
      <c r="B721" s="80" t="n"/>
      <c r="C721" s="66" t="n">
        <v>45593</v>
      </c>
      <c r="D721" s="2" t="n">
        <v>1</v>
      </c>
      <c r="E721" s="3" t="inlineStr">
        <is>
          <t>ACCESSORI</t>
        </is>
      </c>
      <c r="F721" s="3" t="n"/>
      <c r="G721" s="3" t="inlineStr">
        <is>
          <t>GLOCK</t>
        </is>
      </c>
      <c r="H721" s="65" t="inlineStr">
        <is>
          <t>FIRING PIN SPRING</t>
        </is>
      </c>
      <c r="I721" s="65" t="inlineStr">
        <is>
          <t>N/D</t>
        </is>
      </c>
      <c r="J721" s="65" t="inlineStr">
        <is>
          <t>N/D</t>
        </is>
      </c>
      <c r="K721" s="65" t="inlineStr">
        <is>
          <t>N/D</t>
        </is>
      </c>
      <c r="L721" s="127" t="inlineStr">
        <is>
          <t>BIGNAMI SPA</t>
        </is>
      </c>
      <c r="M721" s="5" t="n">
        <v>0.5659999999999999</v>
      </c>
      <c r="N721" s="5" t="n"/>
      <c r="O721" s="5">
        <f>+M721+N721</f>
        <v/>
      </c>
      <c r="P721" s="4" t="n"/>
      <c r="Q721" s="87" t="n"/>
      <c r="R721" s="5" t="n"/>
      <c r="S721" s="2" t="n"/>
      <c r="T721" s="3" t="n"/>
      <c r="U721" s="87" t="n"/>
      <c r="V721" s="3" t="n"/>
      <c r="W721" s="108" t="n"/>
      <c r="X721" s="4" t="n"/>
    </row>
    <row r="722" ht="24" customHeight="1">
      <c r="A722" s="2">
        <f>+D722-S722</f>
        <v/>
      </c>
      <c r="B722" s="80" t="n"/>
      <c r="C722" s="66" t="n">
        <v>45593</v>
      </c>
      <c r="D722" s="2" t="n">
        <v>1</v>
      </c>
      <c r="E722" s="3" t="inlineStr">
        <is>
          <t>ACCESSORI</t>
        </is>
      </c>
      <c r="F722" s="3" t="n"/>
      <c r="G722" s="3" t="inlineStr">
        <is>
          <t>GLOCK</t>
        </is>
      </c>
      <c r="H722" s="65" t="inlineStr">
        <is>
          <t>FIRING PIN SPRING</t>
        </is>
      </c>
      <c r="I722" s="65" t="inlineStr">
        <is>
          <t>N/D</t>
        </is>
      </c>
      <c r="J722" s="65" t="inlineStr">
        <is>
          <t>N/D</t>
        </is>
      </c>
      <c r="K722" s="65" t="inlineStr">
        <is>
          <t>N/D</t>
        </is>
      </c>
      <c r="L722" s="127" t="inlineStr">
        <is>
          <t>BIGNAMI SPA</t>
        </is>
      </c>
      <c r="M722" s="5" t="n">
        <v>0.5659999999999999</v>
      </c>
      <c r="N722" s="5" t="n"/>
      <c r="O722" s="5">
        <f>+M722+N722</f>
        <v/>
      </c>
      <c r="P722" s="4" t="n"/>
      <c r="Q722" s="87" t="n"/>
      <c r="R722" s="5" t="n"/>
      <c r="S722" s="2" t="n"/>
      <c r="T722" s="3" t="n"/>
      <c r="U722" s="87" t="n"/>
      <c r="V722" s="3" t="n"/>
      <c r="W722" s="108" t="n"/>
      <c r="X722" s="4" t="n"/>
    </row>
    <row r="723" ht="24" customHeight="1">
      <c r="A723" s="2">
        <f>+D723-S723</f>
        <v/>
      </c>
      <c r="B723" s="80" t="n"/>
      <c r="C723" s="66" t="n">
        <v>45593</v>
      </c>
      <c r="D723" s="2" t="n">
        <v>1</v>
      </c>
      <c r="E723" s="3" t="inlineStr">
        <is>
          <t>ACCESSORI</t>
        </is>
      </c>
      <c r="F723" s="3" t="n"/>
      <c r="G723" s="3" t="inlineStr">
        <is>
          <t>GLOCK</t>
        </is>
      </c>
      <c r="H723" s="65" t="inlineStr">
        <is>
          <t>FIRING PIN SPRING</t>
        </is>
      </c>
      <c r="I723" s="65" t="inlineStr">
        <is>
          <t>N/D</t>
        </is>
      </c>
      <c r="J723" s="65" t="inlineStr">
        <is>
          <t>N/D</t>
        </is>
      </c>
      <c r="K723" s="65" t="inlineStr">
        <is>
          <t>N/D</t>
        </is>
      </c>
      <c r="L723" s="127" t="inlineStr">
        <is>
          <t>BIGNAMI SPA</t>
        </is>
      </c>
      <c r="M723" s="5" t="n">
        <v>0.5659999999999999</v>
      </c>
      <c r="N723" s="5" t="n"/>
      <c r="O723" s="5">
        <f>+M723+N723</f>
        <v/>
      </c>
      <c r="P723" s="4" t="n"/>
      <c r="Q723" s="87" t="n"/>
      <c r="R723" s="5" t="n"/>
      <c r="S723" s="2" t="n"/>
      <c r="T723" s="3" t="n"/>
      <c r="U723" s="87" t="n"/>
      <c r="V723" s="3" t="n"/>
      <c r="W723" s="108" t="n"/>
      <c r="X723" s="4" t="n"/>
    </row>
    <row r="724" ht="24" customHeight="1">
      <c r="A724" s="2">
        <f>+D724-S724</f>
        <v/>
      </c>
      <c r="B724" s="80" t="n"/>
      <c r="C724" s="66" t="n">
        <v>45593</v>
      </c>
      <c r="D724" s="2" t="n">
        <v>1</v>
      </c>
      <c r="E724" s="3" t="inlineStr">
        <is>
          <t>ACCESSORI</t>
        </is>
      </c>
      <c r="F724" s="3" t="n"/>
      <c r="G724" s="3" t="inlineStr">
        <is>
          <t>GLOCK</t>
        </is>
      </c>
      <c r="H724" s="65" t="inlineStr">
        <is>
          <t>FIRING PIN SPRING</t>
        </is>
      </c>
      <c r="I724" s="65" t="inlineStr">
        <is>
          <t>N/D</t>
        </is>
      </c>
      <c r="J724" s="65" t="inlineStr">
        <is>
          <t>N/D</t>
        </is>
      </c>
      <c r="K724" s="65" t="inlineStr">
        <is>
          <t>N/D</t>
        </is>
      </c>
      <c r="L724" s="127" t="inlineStr">
        <is>
          <t>BIGNAMI SPA</t>
        </is>
      </c>
      <c r="M724" s="5" t="n">
        <v>0.5659999999999999</v>
      </c>
      <c r="N724" s="5" t="n"/>
      <c r="O724" s="5">
        <f>+M724+N724</f>
        <v/>
      </c>
      <c r="P724" s="4" t="n"/>
      <c r="Q724" s="87" t="n"/>
      <c r="R724" s="5" t="n"/>
      <c r="S724" s="2" t="n"/>
      <c r="T724" s="3" t="n"/>
      <c r="U724" s="87" t="n"/>
      <c r="V724" s="3" t="n"/>
      <c r="W724" s="108" t="n"/>
      <c r="X724" s="4" t="n"/>
    </row>
    <row r="725" ht="24" customHeight="1">
      <c r="A725" s="2">
        <f>+D725-S725</f>
        <v/>
      </c>
      <c r="B725" s="80" t="n"/>
      <c r="C725" s="66" t="n">
        <v>45593</v>
      </c>
      <c r="D725" s="2" t="n">
        <v>1</v>
      </c>
      <c r="E725" s="3" t="inlineStr">
        <is>
          <t>ACCESSORI</t>
        </is>
      </c>
      <c r="F725" s="3" t="n"/>
      <c r="G725" s="3" t="inlineStr">
        <is>
          <t>GLOCK</t>
        </is>
      </c>
      <c r="H725" s="65" t="inlineStr">
        <is>
          <t>FIRING PIN SPRING</t>
        </is>
      </c>
      <c r="I725" s="65" t="inlineStr">
        <is>
          <t>N/D</t>
        </is>
      </c>
      <c r="J725" s="65" t="inlineStr">
        <is>
          <t>N/D</t>
        </is>
      </c>
      <c r="K725" s="65" t="inlineStr">
        <is>
          <t>N/D</t>
        </is>
      </c>
      <c r="L725" s="127" t="inlineStr">
        <is>
          <t>BIGNAMI SPA</t>
        </is>
      </c>
      <c r="M725" s="5" t="n">
        <v>0.5659999999999999</v>
      </c>
      <c r="N725" s="5" t="n"/>
      <c r="O725" s="5">
        <f>+M725+N725</f>
        <v/>
      </c>
      <c r="P725" s="4" t="n"/>
      <c r="Q725" s="87" t="n"/>
      <c r="R725" s="5" t="n"/>
      <c r="S725" s="2" t="n"/>
      <c r="T725" s="3" t="n"/>
      <c r="U725" s="87" t="n"/>
      <c r="V725" s="3" t="n"/>
      <c r="W725" s="108" t="n"/>
      <c r="X725" s="4" t="n"/>
    </row>
    <row r="726" ht="24" customHeight="1">
      <c r="A726" s="2">
        <f>+D726-S726</f>
        <v/>
      </c>
      <c r="B726" s="80" t="n"/>
      <c r="C726" s="66" t="n">
        <v>45593</v>
      </c>
      <c r="D726" s="2" t="n">
        <v>1</v>
      </c>
      <c r="E726" s="3" t="inlineStr">
        <is>
          <t>ACCESSORI</t>
        </is>
      </c>
      <c r="F726" s="3" t="n"/>
      <c r="G726" s="3" t="inlineStr">
        <is>
          <t>GLOCK</t>
        </is>
      </c>
      <c r="H726" s="65" t="inlineStr">
        <is>
          <t>FIRING PIN SPRING</t>
        </is>
      </c>
      <c r="I726" s="65" t="inlineStr">
        <is>
          <t>N/D</t>
        </is>
      </c>
      <c r="J726" s="65" t="inlineStr">
        <is>
          <t>N/D</t>
        </is>
      </c>
      <c r="K726" s="65" t="inlineStr">
        <is>
          <t>N/D</t>
        </is>
      </c>
      <c r="L726" s="127" t="inlineStr">
        <is>
          <t>BIGNAMI SPA</t>
        </is>
      </c>
      <c r="M726" s="5" t="n">
        <v>0.5659999999999999</v>
      </c>
      <c r="N726" s="5" t="n"/>
      <c r="O726" s="5">
        <f>+M726+N726</f>
        <v/>
      </c>
      <c r="P726" s="4" t="n"/>
      <c r="Q726" s="87" t="n"/>
      <c r="R726" s="5" t="n"/>
      <c r="S726" s="2" t="n"/>
      <c r="T726" s="3" t="n"/>
      <c r="U726" s="87" t="n"/>
      <c r="V726" s="3" t="n"/>
      <c r="W726" s="108" t="n"/>
      <c r="X726" s="4" t="n"/>
    </row>
    <row r="727" ht="24" customHeight="1">
      <c r="A727" s="2">
        <f>+D727-S727</f>
        <v/>
      </c>
      <c r="B727" s="80" t="n"/>
      <c r="C727" s="66" t="n">
        <v>45593</v>
      </c>
      <c r="D727" s="2" t="n">
        <v>1</v>
      </c>
      <c r="E727" s="3" t="inlineStr">
        <is>
          <t>ACCESSORI</t>
        </is>
      </c>
      <c r="F727" s="3" t="n"/>
      <c r="G727" s="3" t="inlineStr">
        <is>
          <t>GLOCK</t>
        </is>
      </c>
      <c r="H727" s="65" t="inlineStr">
        <is>
          <t>FIRING PIN SPRING</t>
        </is>
      </c>
      <c r="I727" s="65" t="inlineStr">
        <is>
          <t>N/D</t>
        </is>
      </c>
      <c r="J727" s="65" t="inlineStr">
        <is>
          <t>N/D</t>
        </is>
      </c>
      <c r="K727" s="65" t="inlineStr">
        <is>
          <t>N/D</t>
        </is>
      </c>
      <c r="L727" s="127" t="inlineStr">
        <is>
          <t>BIGNAMI SPA</t>
        </is>
      </c>
      <c r="M727" s="5" t="n">
        <v>0.5659999999999999</v>
      </c>
      <c r="N727" s="5" t="n"/>
      <c r="O727" s="5">
        <f>+M727+N727</f>
        <v/>
      </c>
      <c r="P727" s="4" t="n"/>
      <c r="Q727" s="87" t="n"/>
      <c r="R727" s="5" t="n"/>
      <c r="S727" s="2" t="n"/>
      <c r="T727" s="3" t="n"/>
      <c r="U727" s="87" t="n"/>
      <c r="V727" s="3" t="n"/>
      <c r="W727" s="108" t="n"/>
      <c r="X727" s="4" t="n"/>
    </row>
    <row r="728" ht="24" customHeight="1">
      <c r="A728" s="2">
        <f>+D728-S728</f>
        <v/>
      </c>
      <c r="B728" s="80" t="n"/>
      <c r="C728" s="66" t="n">
        <v>45593</v>
      </c>
      <c r="D728" s="2" t="n">
        <v>1</v>
      </c>
      <c r="E728" s="3" t="inlineStr">
        <is>
          <t>ACCESSORI</t>
        </is>
      </c>
      <c r="F728" s="3" t="n"/>
      <c r="G728" s="3" t="inlineStr">
        <is>
          <t>GLOCK</t>
        </is>
      </c>
      <c r="H728" s="65" t="inlineStr">
        <is>
          <t>FIRING PIN SPRING</t>
        </is>
      </c>
      <c r="I728" s="65" t="inlineStr">
        <is>
          <t>N/D</t>
        </is>
      </c>
      <c r="J728" s="65" t="inlineStr">
        <is>
          <t>N/D</t>
        </is>
      </c>
      <c r="K728" s="65" t="inlineStr">
        <is>
          <t>N/D</t>
        </is>
      </c>
      <c r="L728" s="127" t="inlineStr">
        <is>
          <t>BIGNAMI SPA</t>
        </is>
      </c>
      <c r="M728" s="5" t="n">
        <v>0.5659999999999999</v>
      </c>
      <c r="N728" s="5" t="n"/>
      <c r="O728" s="5">
        <f>+M728+N728</f>
        <v/>
      </c>
      <c r="P728" s="4" t="n"/>
      <c r="Q728" s="87" t="n"/>
      <c r="R728" s="5" t="n"/>
      <c r="S728" s="2" t="n"/>
      <c r="T728" s="3" t="n"/>
      <c r="U728" s="87" t="n"/>
      <c r="V728" s="3" t="n"/>
      <c r="W728" s="108" t="n"/>
      <c r="X728" s="4" t="n"/>
    </row>
    <row r="729" ht="24" customHeight="1">
      <c r="A729" s="2">
        <f>+D729-S729</f>
        <v/>
      </c>
      <c r="B729" s="80" t="n"/>
      <c r="C729" s="66" t="n">
        <v>45593</v>
      </c>
      <c r="D729" s="2" t="n">
        <v>1</v>
      </c>
      <c r="E729" s="3" t="inlineStr">
        <is>
          <t>ACCESSORI</t>
        </is>
      </c>
      <c r="F729" s="3" t="n"/>
      <c r="G729" s="3" t="inlineStr">
        <is>
          <t>GLOCK</t>
        </is>
      </c>
      <c r="H729" s="65" t="inlineStr">
        <is>
          <t>RECOIL SPRING ASSEMBLED 17 GEN5</t>
        </is>
      </c>
      <c r="I729" s="65" t="inlineStr">
        <is>
          <t>N/D</t>
        </is>
      </c>
      <c r="J729" s="65" t="inlineStr">
        <is>
          <t>N/D</t>
        </is>
      </c>
      <c r="K729" s="65" t="inlineStr">
        <is>
          <t>N/D</t>
        </is>
      </c>
      <c r="L729" s="127" t="inlineStr">
        <is>
          <t>BIGNAMI SPA</t>
        </is>
      </c>
      <c r="M729" s="5" t="n">
        <v>14.74</v>
      </c>
      <c r="N729" s="5" t="n"/>
      <c r="O729" s="5">
        <f>+M729+N729</f>
        <v/>
      </c>
      <c r="P729" s="4" t="n"/>
      <c r="Q729" s="87" t="n"/>
      <c r="R729" s="5" t="n"/>
      <c r="S729" s="2" t="n"/>
      <c r="T729" s="3" t="n"/>
      <c r="U729" s="87" t="n"/>
      <c r="V729" s="3" t="n"/>
      <c r="W729" s="108" t="n"/>
      <c r="X729" s="4" t="n"/>
    </row>
    <row r="730" ht="24" customHeight="1">
      <c r="A730" s="2">
        <f>+D730-S730</f>
        <v/>
      </c>
      <c r="B730" s="80" t="n"/>
      <c r="C730" s="66" t="n">
        <v>45593</v>
      </c>
      <c r="D730" s="2" t="n">
        <v>1</v>
      </c>
      <c r="E730" s="3" t="inlineStr">
        <is>
          <t>ACCESSORI</t>
        </is>
      </c>
      <c r="F730" s="3" t="n"/>
      <c r="G730" s="3" t="inlineStr">
        <is>
          <t>GLOCK</t>
        </is>
      </c>
      <c r="H730" s="65" t="inlineStr">
        <is>
          <t>RECOIL SPRING ASSEMBLED 17 GEN5</t>
        </is>
      </c>
      <c r="I730" s="65" t="inlineStr">
        <is>
          <t>N/D</t>
        </is>
      </c>
      <c r="J730" s="65" t="inlineStr">
        <is>
          <t>N/D</t>
        </is>
      </c>
      <c r="K730" s="65" t="inlineStr">
        <is>
          <t>N/D</t>
        </is>
      </c>
      <c r="L730" s="127" t="inlineStr">
        <is>
          <t>BIGNAMI SPA</t>
        </is>
      </c>
      <c r="M730" s="5" t="n">
        <v>14.74</v>
      </c>
      <c r="N730" s="5" t="n"/>
      <c r="O730" s="5">
        <f>+M730+N730</f>
        <v/>
      </c>
      <c r="P730" s="4" t="n"/>
      <c r="Q730" s="87" t="n"/>
      <c r="R730" s="5" t="n"/>
      <c r="S730" s="2" t="n"/>
      <c r="T730" s="3" t="n"/>
      <c r="U730" s="87" t="n"/>
      <c r="V730" s="3" t="n"/>
      <c r="W730" s="108" t="n"/>
      <c r="X730" s="4" t="n"/>
    </row>
    <row r="731" ht="24" customHeight="1">
      <c r="A731" s="2">
        <f>+D731-S731</f>
        <v/>
      </c>
      <c r="B731" s="80" t="n"/>
      <c r="C731" s="66" t="n">
        <v>45593</v>
      </c>
      <c r="D731" s="2" t="n">
        <v>1</v>
      </c>
      <c r="E731" s="3" t="inlineStr">
        <is>
          <t>ACCESSORI</t>
        </is>
      </c>
      <c r="F731" s="3" t="n"/>
      <c r="G731" s="3" t="inlineStr">
        <is>
          <t>GLOCK</t>
        </is>
      </c>
      <c r="H731" s="65" t="inlineStr">
        <is>
          <t>RECOIL SPRING ASSEMBLED 17 GEN5</t>
        </is>
      </c>
      <c r="I731" s="65" t="inlineStr">
        <is>
          <t>N/D</t>
        </is>
      </c>
      <c r="J731" s="65" t="inlineStr">
        <is>
          <t>N/D</t>
        </is>
      </c>
      <c r="K731" s="65" t="inlineStr">
        <is>
          <t>N/D</t>
        </is>
      </c>
      <c r="L731" s="127" t="inlineStr">
        <is>
          <t>BIGNAMI SPA</t>
        </is>
      </c>
      <c r="M731" s="5" t="n">
        <v>14.74</v>
      </c>
      <c r="N731" s="5" t="n"/>
      <c r="O731" s="5">
        <f>+M731+N731</f>
        <v/>
      </c>
      <c r="P731" s="4" t="n"/>
      <c r="Q731" s="87" t="n"/>
      <c r="R731" s="5" t="n"/>
      <c r="S731" s="2" t="n"/>
      <c r="T731" s="3" t="n"/>
      <c r="U731" s="87" t="n"/>
      <c r="V731" s="3" t="n"/>
      <c r="W731" s="108" t="n"/>
      <c r="X731" s="4" t="n"/>
    </row>
    <row r="732" ht="24" customHeight="1">
      <c r="A732" s="2">
        <f>+D732-S732</f>
        <v/>
      </c>
      <c r="B732" s="80" t="n"/>
      <c r="C732" s="66" t="n">
        <v>45593</v>
      </c>
      <c r="D732" s="2" t="n">
        <v>1</v>
      </c>
      <c r="E732" s="3" t="inlineStr">
        <is>
          <t>ACCESSORI</t>
        </is>
      </c>
      <c r="F732" s="3" t="n"/>
      <c r="G732" s="3" t="inlineStr">
        <is>
          <t>GLOCK</t>
        </is>
      </c>
      <c r="H732" s="65" t="inlineStr">
        <is>
          <t>RECOIL SPRING ASSEMBLED 17 GEN5</t>
        </is>
      </c>
      <c r="I732" s="65" t="inlineStr">
        <is>
          <t>N/D</t>
        </is>
      </c>
      <c r="J732" s="65" t="inlineStr">
        <is>
          <t>N/D</t>
        </is>
      </c>
      <c r="K732" s="65" t="inlineStr">
        <is>
          <t>N/D</t>
        </is>
      </c>
      <c r="L732" s="127" t="inlineStr">
        <is>
          <t>BIGNAMI SPA</t>
        </is>
      </c>
      <c r="M732" s="5" t="n">
        <v>14.74</v>
      </c>
      <c r="N732" s="5" t="n"/>
      <c r="O732" s="5">
        <f>+M732+N732</f>
        <v/>
      </c>
      <c r="P732" s="4" t="n"/>
      <c r="Q732" s="87" t="n"/>
      <c r="R732" s="5" t="n"/>
      <c r="S732" s="2" t="n"/>
      <c r="T732" s="3" t="n"/>
      <c r="U732" s="87" t="n"/>
      <c r="V732" s="3" t="n"/>
      <c r="W732" s="108" t="n"/>
      <c r="X732" s="4" t="n"/>
    </row>
    <row r="733" ht="24" customHeight="1">
      <c r="A733" s="2">
        <f>+D733-S733</f>
        <v/>
      </c>
      <c r="B733" s="80" t="n"/>
      <c r="C733" s="66" t="n">
        <v>45593</v>
      </c>
      <c r="D733" s="2" t="n">
        <v>1</v>
      </c>
      <c r="E733" s="3" t="inlineStr">
        <is>
          <t>ACCESSORI</t>
        </is>
      </c>
      <c r="F733" s="3" t="n"/>
      <c r="G733" s="3" t="inlineStr">
        <is>
          <t>GLOCK</t>
        </is>
      </c>
      <c r="H733" s="65" t="inlineStr">
        <is>
          <t>RECOIL SPRING ASSEMBLED 17 GEN5</t>
        </is>
      </c>
      <c r="I733" s="65" t="inlineStr">
        <is>
          <t>N/D</t>
        </is>
      </c>
      <c r="J733" s="65" t="inlineStr">
        <is>
          <t>N/D</t>
        </is>
      </c>
      <c r="K733" s="65" t="inlineStr">
        <is>
          <t>N/D</t>
        </is>
      </c>
      <c r="L733" s="127" t="inlineStr">
        <is>
          <t>BIGNAMI SPA</t>
        </is>
      </c>
      <c r="M733" s="5" t="n">
        <v>14.74</v>
      </c>
      <c r="N733" s="5" t="n"/>
      <c r="O733" s="5">
        <f>+M733+N733</f>
        <v/>
      </c>
      <c r="P733" s="4" t="n"/>
      <c r="Q733" s="87" t="n"/>
      <c r="R733" s="5" t="n"/>
      <c r="S733" s="2" t="n"/>
      <c r="T733" s="3" t="n"/>
      <c r="U733" s="87" t="n"/>
      <c r="V733" s="3" t="n"/>
      <c r="W733" s="108" t="n"/>
      <c r="X733" s="4" t="n"/>
    </row>
    <row r="734" ht="24" customHeight="1">
      <c r="A734" s="2">
        <f>+D734-S734</f>
        <v/>
      </c>
      <c r="B734" s="80" t="n"/>
      <c r="C734" s="66" t="n">
        <v>45593</v>
      </c>
      <c r="D734" s="2" t="n">
        <v>1</v>
      </c>
      <c r="E734" s="3" t="inlineStr">
        <is>
          <t>ACCESSORI</t>
        </is>
      </c>
      <c r="F734" s="3" t="n"/>
      <c r="G734" s="3" t="inlineStr">
        <is>
          <t>SIG SAUER</t>
        </is>
      </c>
      <c r="H734" s="65" t="inlineStr">
        <is>
          <t>ROMEO-ZERO-R CIRCLE RED DOT</t>
        </is>
      </c>
      <c r="I734" s="65" t="inlineStr">
        <is>
          <t>N/D</t>
        </is>
      </c>
      <c r="J734" s="65" t="inlineStr">
        <is>
          <t>N/D</t>
        </is>
      </c>
      <c r="K734" s="65" t="inlineStr">
        <is>
          <t>N/D</t>
        </is>
      </c>
      <c r="L734" s="127" t="inlineStr">
        <is>
          <t>BIGNAMI SPA</t>
        </is>
      </c>
      <c r="M734" s="5" t="n">
        <v>228.8322</v>
      </c>
      <c r="N734" s="5" t="n"/>
      <c r="O734" s="5">
        <f>+M734+N734</f>
        <v/>
      </c>
      <c r="P734" s="4" t="n"/>
      <c r="Q734" s="87" t="n"/>
      <c r="R734" s="5" t="n">
        <v>275</v>
      </c>
      <c r="S734" s="2" t="n">
        <v>1</v>
      </c>
      <c r="T734" s="3" t="inlineStr">
        <is>
          <t>6B/2024/1S</t>
        </is>
      </c>
      <c r="U734" s="87" t="inlineStr">
        <is>
          <t>13/11/2024</t>
        </is>
      </c>
      <c r="V734" s="3" t="inlineStr">
        <is>
          <t>25</t>
        </is>
      </c>
      <c r="W734" s="108" t="inlineStr">
        <is>
          <t>13/11/2024</t>
        </is>
      </c>
      <c r="X734" s="4" t="inlineStr">
        <is>
          <t>HS &amp; S LLC</t>
        </is>
      </c>
    </row>
    <row r="735" ht="24" customHeight="1">
      <c r="A735" s="2">
        <f>+D735-S735</f>
        <v/>
      </c>
      <c r="B735" s="80" t="n">
        <v>2422</v>
      </c>
      <c r="C735" s="66" t="n">
        <v>45593</v>
      </c>
      <c r="D735" s="2" t="n">
        <v>1</v>
      </c>
      <c r="E735" s="3" t="inlineStr">
        <is>
          <t>PISTOLA SEMIAUTOMATICA</t>
        </is>
      </c>
      <c r="F735" s="3" t="inlineStr">
        <is>
          <t>9X19</t>
        </is>
      </c>
      <c r="G735" s="71" t="inlineStr">
        <is>
          <t>CZ</t>
        </is>
      </c>
      <c r="H735" s="65" t="inlineStr">
        <is>
          <t>TS-2 ORANGE 9 LUGER</t>
        </is>
      </c>
      <c r="I735" s="65" t="inlineStr">
        <is>
          <t>J019934</t>
        </is>
      </c>
      <c r="J735" s="65" t="inlineStr">
        <is>
          <t>N/D</t>
        </is>
      </c>
      <c r="K735" s="65" t="inlineStr">
        <is>
          <t>N/D</t>
        </is>
      </c>
      <c r="L735" s="127" t="inlineStr">
        <is>
          <t>BIGNAMI SPA</t>
        </is>
      </c>
      <c r="M735" s="5" t="n">
        <v>1847</v>
      </c>
      <c r="N735" s="5" t="n"/>
      <c r="O735" s="5">
        <f>+M735+N735</f>
        <v/>
      </c>
      <c r="P735" s="4" t="n"/>
      <c r="Q735" s="87" t="n"/>
      <c r="R735" s="5" t="n">
        <v>1972</v>
      </c>
      <c r="S735" s="2" t="n">
        <v>1</v>
      </c>
      <c r="T735" s="3" t="inlineStr">
        <is>
          <t>6B/2024/1S</t>
        </is>
      </c>
      <c r="U735" s="87" t="inlineStr">
        <is>
          <t>13/11/2024</t>
        </is>
      </c>
      <c r="V735" s="3" t="inlineStr">
        <is>
          <t>25</t>
        </is>
      </c>
      <c r="W735" s="108" t="inlineStr">
        <is>
          <t>13/11/2024</t>
        </is>
      </c>
      <c r="X735" s="4" t="inlineStr">
        <is>
          <t>HS &amp; S LLC</t>
        </is>
      </c>
    </row>
    <row r="736" ht="24" customHeight="1">
      <c r="A736" s="2">
        <f>+D736-S736</f>
        <v/>
      </c>
      <c r="B736" s="80" t="n">
        <v>2423</v>
      </c>
      <c r="C736" s="66" t="n">
        <v>45593</v>
      </c>
      <c r="D736" s="2" t="n">
        <v>1</v>
      </c>
      <c r="E736" s="3" t="inlineStr">
        <is>
          <t>PISTOLA SEMIAUTOMATICA</t>
        </is>
      </c>
      <c r="F736" s="3" t="inlineStr">
        <is>
          <t>9X19</t>
        </is>
      </c>
      <c r="G736" s="71" t="inlineStr">
        <is>
          <t>CZ</t>
        </is>
      </c>
      <c r="H736" s="65" t="inlineStr">
        <is>
          <t>TS-2 ORANGE 9 LUGER</t>
        </is>
      </c>
      <c r="I736" s="65" t="inlineStr">
        <is>
          <t>J019953</t>
        </is>
      </c>
      <c r="J736" s="65" t="inlineStr">
        <is>
          <t>N/D</t>
        </is>
      </c>
      <c r="K736" s="65" t="inlineStr">
        <is>
          <t>N/D</t>
        </is>
      </c>
      <c r="L736" s="127" t="inlineStr">
        <is>
          <t>BIGNAMI SPA</t>
        </is>
      </c>
      <c r="M736" s="5" t="n">
        <v>1847</v>
      </c>
      <c r="N736" s="5" t="n"/>
      <c r="O736" s="5">
        <f>+M736+N736</f>
        <v/>
      </c>
      <c r="P736" s="4" t="n"/>
      <c r="Q736" s="87" t="n"/>
      <c r="R736" s="5" t="n">
        <v>1972</v>
      </c>
      <c r="S736" s="2" t="n">
        <v>1</v>
      </c>
      <c r="T736" s="3" t="inlineStr">
        <is>
          <t>6B/2024/1S</t>
        </is>
      </c>
      <c r="U736" s="87" t="inlineStr">
        <is>
          <t>13/11/2024</t>
        </is>
      </c>
      <c r="V736" s="3" t="inlineStr">
        <is>
          <t>25</t>
        </is>
      </c>
      <c r="W736" s="108" t="inlineStr">
        <is>
          <t>13/11/2024</t>
        </is>
      </c>
      <c r="X736" s="4" t="inlineStr">
        <is>
          <t>HS &amp; S LLC</t>
        </is>
      </c>
    </row>
    <row r="737" ht="24" customHeight="1">
      <c r="A737" s="2">
        <f>+D737-S737</f>
        <v/>
      </c>
      <c r="B737" s="80" t="n">
        <v>2424</v>
      </c>
      <c r="C737" s="66" t="n">
        <v>45593</v>
      </c>
      <c r="D737" s="2" t="n">
        <v>1</v>
      </c>
      <c r="E737" s="3" t="inlineStr">
        <is>
          <t>PISTOLA SEMIAUTOMATICA</t>
        </is>
      </c>
      <c r="F737" s="3" t="inlineStr">
        <is>
          <t>9X19</t>
        </is>
      </c>
      <c r="G737" s="71" t="inlineStr">
        <is>
          <t>CZ</t>
        </is>
      </c>
      <c r="H737" s="65" t="inlineStr">
        <is>
          <t>TS-2 ORANGE 9 LUGER</t>
        </is>
      </c>
      <c r="I737" s="65" t="inlineStr">
        <is>
          <t>J065719</t>
        </is>
      </c>
      <c r="J737" s="65" t="inlineStr">
        <is>
          <t>N/D</t>
        </is>
      </c>
      <c r="K737" s="65" t="inlineStr">
        <is>
          <t>N/D</t>
        </is>
      </c>
      <c r="L737" s="127" t="inlineStr">
        <is>
          <t>BIGNAMI SPA</t>
        </is>
      </c>
      <c r="M737" s="5" t="n">
        <v>1847</v>
      </c>
      <c r="N737" s="5" t="n"/>
      <c r="O737" s="5">
        <f>+M737+N737</f>
        <v/>
      </c>
      <c r="P737" s="4" t="n"/>
      <c r="Q737" s="87" t="n"/>
      <c r="R737" s="5" t="n">
        <v>1972</v>
      </c>
      <c r="S737" s="2" t="n">
        <v>1</v>
      </c>
      <c r="T737" s="3" t="inlineStr">
        <is>
          <t>6B/2024/1S</t>
        </is>
      </c>
      <c r="U737" s="87" t="inlineStr">
        <is>
          <t>13/11/2024</t>
        </is>
      </c>
      <c r="V737" s="3" t="inlineStr">
        <is>
          <t>25</t>
        </is>
      </c>
      <c r="W737" s="108" t="inlineStr">
        <is>
          <t>13/11/2024</t>
        </is>
      </c>
      <c r="X737" s="4" t="inlineStr">
        <is>
          <t>HS &amp; S LLC</t>
        </is>
      </c>
    </row>
    <row r="738" ht="24" customHeight="1">
      <c r="A738" s="2">
        <f>+D738-S738</f>
        <v/>
      </c>
      <c r="B738" s="80" t="n">
        <v>2425</v>
      </c>
      <c r="C738" s="66" t="n">
        <v>45593</v>
      </c>
      <c r="D738" s="2" t="n">
        <v>1</v>
      </c>
      <c r="E738" s="3" t="inlineStr">
        <is>
          <t>PISTOLA SEMIAUTOMATICA</t>
        </is>
      </c>
      <c r="F738" s="3" t="inlineStr">
        <is>
          <t>.45</t>
        </is>
      </c>
      <c r="G738" s="71" t="inlineStr">
        <is>
          <t>RUGER</t>
        </is>
      </c>
      <c r="H738" s="65" t="inlineStr">
        <is>
          <t>SR 1911 ACO</t>
        </is>
      </c>
      <c r="I738" s="65" t="inlineStr">
        <is>
          <t>673-72271</t>
        </is>
      </c>
      <c r="J738" s="65" t="inlineStr">
        <is>
          <t>N/D</t>
        </is>
      </c>
      <c r="K738" s="65" t="inlineStr">
        <is>
          <t>N/D</t>
        </is>
      </c>
      <c r="L738" s="127" t="inlineStr">
        <is>
          <t>BIGNAMI SPA</t>
        </is>
      </c>
      <c r="M738" s="5" t="n">
        <v>935.292</v>
      </c>
      <c r="N738" s="5" t="n"/>
      <c r="O738" s="5">
        <f>+M738+N738</f>
        <v/>
      </c>
      <c r="P738" s="4" t="n"/>
      <c r="Q738" s="87" t="n"/>
      <c r="R738" s="5" t="n">
        <v>1225</v>
      </c>
      <c r="S738" s="2" t="n">
        <v>1</v>
      </c>
      <c r="T738" s="3" t="inlineStr">
        <is>
          <t>6B/2024/1S</t>
        </is>
      </c>
      <c r="U738" s="87" t="inlineStr">
        <is>
          <t>13/11/2024</t>
        </is>
      </c>
      <c r="V738" s="3" t="inlineStr">
        <is>
          <t>25</t>
        </is>
      </c>
      <c r="W738" s="108" t="inlineStr">
        <is>
          <t>13/11/2024</t>
        </is>
      </c>
      <c r="X738" s="4" t="inlineStr">
        <is>
          <t>HS &amp; S LLC</t>
        </is>
      </c>
    </row>
    <row r="739" ht="24" customHeight="1">
      <c r="A739" s="2">
        <f>+D739-S739</f>
        <v/>
      </c>
      <c r="B739" s="80" t="n">
        <v>2426</v>
      </c>
      <c r="C739" s="66" t="n">
        <v>45593</v>
      </c>
      <c r="D739" s="2" t="n">
        <v>1</v>
      </c>
      <c r="E739" s="3" t="inlineStr">
        <is>
          <t>PISTOLA SEMIAUTOMATICA</t>
        </is>
      </c>
      <c r="F739" s="3" t="inlineStr">
        <is>
          <t>9X19</t>
        </is>
      </c>
      <c r="G739" s="71" t="inlineStr">
        <is>
          <t>GLOCK</t>
        </is>
      </c>
      <c r="H739" s="65" t="inlineStr">
        <is>
          <t>48 RAIL LUGER</t>
        </is>
      </c>
      <c r="I739" s="65" t="inlineStr">
        <is>
          <t>CCSN569</t>
        </is>
      </c>
      <c r="J739" s="65" t="inlineStr">
        <is>
          <t>N/D</t>
        </is>
      </c>
      <c r="K739" s="65" t="inlineStr">
        <is>
          <t>N/D</t>
        </is>
      </c>
      <c r="L739" s="127" t="inlineStr">
        <is>
          <t>BIGNAMI SPA</t>
        </is>
      </c>
      <c r="M739" s="5" t="n">
        <v>426.736</v>
      </c>
      <c r="N739" s="5" t="n"/>
      <c r="O739" s="5">
        <f>+M739+N739</f>
        <v/>
      </c>
      <c r="P739" s="4" t="n"/>
      <c r="Q739" s="87" t="n"/>
      <c r="R739" s="5" t="n">
        <v>505</v>
      </c>
      <c r="S739" s="2" t="n">
        <v>1</v>
      </c>
      <c r="T739" s="3" t="inlineStr">
        <is>
          <t>6B/2024/1S</t>
        </is>
      </c>
      <c r="U739" s="87" t="inlineStr">
        <is>
          <t>13/11/2024</t>
        </is>
      </c>
      <c r="V739" s="3" t="inlineStr">
        <is>
          <t>25</t>
        </is>
      </c>
      <c r="W739" s="108" t="inlineStr">
        <is>
          <t>13/11/2024</t>
        </is>
      </c>
      <c r="X739" s="4" t="inlineStr">
        <is>
          <t>HS &amp; S LLC</t>
        </is>
      </c>
    </row>
    <row r="740" ht="24" customHeight="1">
      <c r="A740" s="2">
        <f>+D740-S740</f>
        <v/>
      </c>
      <c r="B740" s="80" t="n">
        <v>2427</v>
      </c>
      <c r="C740" s="66" t="n">
        <v>45593</v>
      </c>
      <c r="D740" s="2" t="n">
        <v>1</v>
      </c>
      <c r="E740" s="3" t="inlineStr">
        <is>
          <t>PISTOLA SEMIAUTOMATICA</t>
        </is>
      </c>
      <c r="F740" s="3" t="inlineStr">
        <is>
          <t>9X19</t>
        </is>
      </c>
      <c r="G740" s="71" t="inlineStr">
        <is>
          <t>GLOCK</t>
        </is>
      </c>
      <c r="H740" s="65" t="inlineStr">
        <is>
          <t>48 RAIL LUGER</t>
        </is>
      </c>
      <c r="I740" s="65" t="inlineStr">
        <is>
          <t>CCSN568</t>
        </is>
      </c>
      <c r="J740" s="65" t="inlineStr">
        <is>
          <t>N/D</t>
        </is>
      </c>
      <c r="K740" s="65" t="inlineStr">
        <is>
          <t>N/D</t>
        </is>
      </c>
      <c r="L740" s="127" t="inlineStr">
        <is>
          <t>BIGNAMI SPA</t>
        </is>
      </c>
      <c r="M740" s="5" t="n">
        <v>426.736</v>
      </c>
      <c r="N740" s="5" t="n"/>
      <c r="O740" s="5">
        <f>+M740+N740</f>
        <v/>
      </c>
      <c r="P740" s="4" t="n"/>
      <c r="Q740" s="87" t="n"/>
      <c r="R740" s="5" t="n">
        <v>505</v>
      </c>
      <c r="S740" s="2" t="n">
        <v>1</v>
      </c>
      <c r="T740" s="3" t="inlineStr">
        <is>
          <t>6B/2024/1S</t>
        </is>
      </c>
      <c r="U740" s="87" t="inlineStr">
        <is>
          <t>13/11/2024</t>
        </is>
      </c>
      <c r="V740" s="3" t="inlineStr">
        <is>
          <t>25</t>
        </is>
      </c>
      <c r="W740" s="108" t="inlineStr">
        <is>
          <t>13/11/2024</t>
        </is>
      </c>
      <c r="X740" s="4" t="inlineStr">
        <is>
          <t>HS &amp; S LLC</t>
        </is>
      </c>
    </row>
    <row r="741" ht="24" customHeight="1">
      <c r="A741" s="2">
        <f>+D741-S741</f>
        <v/>
      </c>
      <c r="B741" s="80" t="n">
        <v>2428</v>
      </c>
      <c r="C741" s="66" t="n">
        <v>45593</v>
      </c>
      <c r="D741" s="2" t="n">
        <v>1</v>
      </c>
      <c r="E741" s="3" t="inlineStr">
        <is>
          <t>PISTOLA SEMIAUTOMATICA</t>
        </is>
      </c>
      <c r="F741" s="3" t="inlineStr">
        <is>
          <t>9X19</t>
        </is>
      </c>
      <c r="G741" s="71" t="inlineStr">
        <is>
          <t>SIG SAUER</t>
        </is>
      </c>
      <c r="H741" s="65" t="inlineStr">
        <is>
          <t>P320 M17 LUGER</t>
        </is>
      </c>
      <c r="I741" s="65" t="inlineStr">
        <is>
          <t>M17A125092</t>
        </is>
      </c>
      <c r="J741" s="65" t="inlineStr">
        <is>
          <t>N/D</t>
        </is>
      </c>
      <c r="K741" s="65" t="inlineStr">
        <is>
          <t>N/D</t>
        </is>
      </c>
      <c r="L741" s="127" t="inlineStr">
        <is>
          <t>BIGNAMI SPA</t>
        </is>
      </c>
      <c r="M741" s="5" t="n">
        <v>695.41</v>
      </c>
      <c r="N741" s="5" t="n"/>
      <c r="O741" s="5">
        <f>+M741+N741</f>
        <v/>
      </c>
      <c r="P741" s="4" t="n"/>
      <c r="Q741" s="87" t="n"/>
      <c r="R741" s="5" t="n">
        <v>795</v>
      </c>
      <c r="S741" s="2" t="n">
        <v>1</v>
      </c>
      <c r="T741" s="3" t="inlineStr">
        <is>
          <t>6B/2024/1S</t>
        </is>
      </c>
      <c r="U741" s="87" t="inlineStr">
        <is>
          <t>13/11/2024</t>
        </is>
      </c>
      <c r="V741" s="3" t="inlineStr">
        <is>
          <t>25</t>
        </is>
      </c>
      <c r="W741" s="108" t="inlineStr">
        <is>
          <t>13/11/2024</t>
        </is>
      </c>
      <c r="X741" s="4" t="inlineStr">
        <is>
          <t>HS &amp; S LLC</t>
        </is>
      </c>
    </row>
    <row r="742" ht="24" customHeight="1">
      <c r="A742" s="2">
        <f>+D742-S742</f>
        <v/>
      </c>
      <c r="B742" s="80" t="n">
        <v>2429</v>
      </c>
      <c r="C742" s="66" t="n">
        <v>45593</v>
      </c>
      <c r="D742" s="2" t="n">
        <v>1</v>
      </c>
      <c r="E742" s="3" t="inlineStr">
        <is>
          <t>PISTOLA SEMIAUTOMATICA</t>
        </is>
      </c>
      <c r="F742" s="3" t="inlineStr">
        <is>
          <t>9X19</t>
        </is>
      </c>
      <c r="G742" s="71" t="inlineStr">
        <is>
          <t>SIG SAUER</t>
        </is>
      </c>
      <c r="H742" s="65" t="inlineStr">
        <is>
          <t>P320 M17 LUGER</t>
        </is>
      </c>
      <c r="I742" s="65" t="inlineStr">
        <is>
          <t>M17A116979</t>
        </is>
      </c>
      <c r="J742" s="65" t="inlineStr">
        <is>
          <t>N/D</t>
        </is>
      </c>
      <c r="K742" s="65" t="inlineStr">
        <is>
          <t>N/D</t>
        </is>
      </c>
      <c r="L742" s="127" t="inlineStr">
        <is>
          <t>BIGNAMI SPA</t>
        </is>
      </c>
      <c r="M742" s="5" t="n">
        <v>695.41</v>
      </c>
      <c r="N742" s="5" t="n"/>
      <c r="O742" s="5">
        <f>+M742+N742</f>
        <v/>
      </c>
      <c r="P742" s="4" t="n"/>
      <c r="Q742" s="87" t="n"/>
      <c r="R742" s="5" t="n">
        <v>795</v>
      </c>
      <c r="S742" s="2" t="n">
        <v>1</v>
      </c>
      <c r="T742" s="3" t="inlineStr">
        <is>
          <t>6B/2024/1S</t>
        </is>
      </c>
      <c r="U742" s="87" t="inlineStr">
        <is>
          <t>13/11/2024</t>
        </is>
      </c>
      <c r="V742" s="3" t="inlineStr">
        <is>
          <t>25</t>
        </is>
      </c>
      <c r="W742" s="108" t="inlineStr">
        <is>
          <t>13/11/2024</t>
        </is>
      </c>
      <c r="X742" s="4" t="inlineStr">
        <is>
          <t>HS &amp; S LLC</t>
        </is>
      </c>
    </row>
    <row r="743" ht="24" customHeight="1">
      <c r="A743" s="2">
        <f>+D743-S743</f>
        <v/>
      </c>
      <c r="B743" s="80" t="n">
        <v>2430</v>
      </c>
      <c r="C743" s="66" t="n">
        <v>45593</v>
      </c>
      <c r="D743" s="2" t="n">
        <v>1</v>
      </c>
      <c r="E743" s="3" t="inlineStr">
        <is>
          <t>PISTOLA SEMIAUTOMATICA</t>
        </is>
      </c>
      <c r="F743" s="3" t="inlineStr">
        <is>
          <t>9X19</t>
        </is>
      </c>
      <c r="G743" s="71" t="inlineStr">
        <is>
          <t>SIG SAUER</t>
        </is>
      </c>
      <c r="H743" s="65" t="inlineStr">
        <is>
          <t>P320 M17 LUGER</t>
        </is>
      </c>
      <c r="I743" s="65" t="inlineStr">
        <is>
          <t>M17A125081</t>
        </is>
      </c>
      <c r="J743" s="65" t="inlineStr">
        <is>
          <t>N/D</t>
        </is>
      </c>
      <c r="K743" s="65" t="inlineStr">
        <is>
          <t>N/D</t>
        </is>
      </c>
      <c r="L743" s="127" t="inlineStr">
        <is>
          <t>BIGNAMI SPA</t>
        </is>
      </c>
      <c r="M743" s="5" t="n">
        <v>695.41</v>
      </c>
      <c r="N743" s="5" t="n"/>
      <c r="O743" s="5">
        <f>+M743+N743</f>
        <v/>
      </c>
      <c r="P743" s="4" t="n"/>
      <c r="Q743" s="87" t="n"/>
      <c r="R743" s="5" t="n">
        <v>795</v>
      </c>
      <c r="S743" s="2" t="n">
        <v>1</v>
      </c>
      <c r="T743" s="3" t="inlineStr">
        <is>
          <t>6B/2024/1S</t>
        </is>
      </c>
      <c r="U743" s="87" t="inlineStr">
        <is>
          <t>13/11/2024</t>
        </is>
      </c>
      <c r="V743" s="3" t="inlineStr">
        <is>
          <t>25</t>
        </is>
      </c>
      <c r="W743" s="108" t="inlineStr">
        <is>
          <t>13/11/2024</t>
        </is>
      </c>
      <c r="X743" s="4" t="inlineStr">
        <is>
          <t>HS &amp; S LLC</t>
        </is>
      </c>
    </row>
    <row r="744" ht="24" customHeight="1">
      <c r="A744" s="2">
        <f>+D744-S744</f>
        <v/>
      </c>
      <c r="B744" s="80" t="n">
        <v>2431</v>
      </c>
      <c r="C744" s="66" t="n">
        <v>45593</v>
      </c>
      <c r="D744" s="2" t="n">
        <v>1</v>
      </c>
      <c r="E744" s="3" t="inlineStr">
        <is>
          <t>PISTOLA SEMIAUTOMATICA</t>
        </is>
      </c>
      <c r="F744" s="3" t="inlineStr">
        <is>
          <t>9X19</t>
        </is>
      </c>
      <c r="G744" s="71" t="inlineStr">
        <is>
          <t>SIG SAUER</t>
        </is>
      </c>
      <c r="H744" s="65" t="inlineStr">
        <is>
          <t>P320 M17 LUGER</t>
        </is>
      </c>
      <c r="I744" s="65" t="inlineStr">
        <is>
          <t>M17A125091</t>
        </is>
      </c>
      <c r="J744" s="65" t="inlineStr">
        <is>
          <t>N/D</t>
        </is>
      </c>
      <c r="K744" s="65" t="inlineStr">
        <is>
          <t>N/D</t>
        </is>
      </c>
      <c r="L744" s="127" t="inlineStr">
        <is>
          <t>BIGNAMI SPA</t>
        </is>
      </c>
      <c r="M744" s="5" t="n">
        <v>586.288</v>
      </c>
      <c r="N744" s="5" t="n"/>
      <c r="O744" s="5">
        <f>+M744+N744</f>
        <v/>
      </c>
      <c r="P744" s="4" t="n"/>
      <c r="Q744" s="87" t="n"/>
      <c r="R744" s="5" t="n">
        <v>795</v>
      </c>
      <c r="S744" s="2" t="n">
        <v>1</v>
      </c>
      <c r="T744" s="3" t="inlineStr">
        <is>
          <t>6B/2024/1S</t>
        </is>
      </c>
      <c r="U744" s="87" t="inlineStr">
        <is>
          <t>13/11/2024</t>
        </is>
      </c>
      <c r="V744" s="3" t="inlineStr">
        <is>
          <t>25</t>
        </is>
      </c>
      <c r="W744" s="108" t="inlineStr">
        <is>
          <t>13/11/2024</t>
        </is>
      </c>
      <c r="X744" s="4" t="inlineStr">
        <is>
          <t>HS &amp; S LLC</t>
        </is>
      </c>
    </row>
    <row r="745" ht="24" customHeight="1">
      <c r="A745" s="2">
        <f>+D745-S745</f>
        <v/>
      </c>
      <c r="B745" s="80" t="n">
        <v>2432</v>
      </c>
      <c r="C745" s="66" t="n">
        <v>45593</v>
      </c>
      <c r="D745" s="2" t="n">
        <v>1</v>
      </c>
      <c r="E745" s="3" t="inlineStr">
        <is>
          <t>PISTOLA SEMIAUTOMATICA</t>
        </is>
      </c>
      <c r="F745" s="3" t="inlineStr">
        <is>
          <t>9X19</t>
        </is>
      </c>
      <c r="G745" s="71" t="inlineStr">
        <is>
          <t>GLOCK</t>
        </is>
      </c>
      <c r="H745" s="65" t="inlineStr">
        <is>
          <t>34 GEN5 LUGER</t>
        </is>
      </c>
      <c r="I745" s="65" t="inlineStr">
        <is>
          <t>CDTK350</t>
        </is>
      </c>
      <c r="J745" s="65" t="inlineStr">
        <is>
          <t>N/D</t>
        </is>
      </c>
      <c r="K745" s="65" t="inlineStr">
        <is>
          <t>N/D</t>
        </is>
      </c>
      <c r="L745" s="127" t="inlineStr">
        <is>
          <t>BIGNAMI SPA</t>
        </is>
      </c>
      <c r="M745" s="5" t="n">
        <v>586.288</v>
      </c>
      <c r="N745" s="5" t="n"/>
      <c r="O745" s="5">
        <f>+M745+N745</f>
        <v/>
      </c>
      <c r="P745" s="4" t="n"/>
      <c r="Q745" s="87" t="n"/>
      <c r="R745" s="5" t="n">
        <v>715</v>
      </c>
      <c r="S745" s="2" t="n">
        <v>1</v>
      </c>
      <c r="T745" s="3" t="inlineStr">
        <is>
          <t>6B/2024/1S</t>
        </is>
      </c>
      <c r="U745" s="87" t="inlineStr">
        <is>
          <t>13/11/2024</t>
        </is>
      </c>
      <c r="V745" s="3" t="inlineStr">
        <is>
          <t>25</t>
        </is>
      </c>
      <c r="W745" s="108" t="inlineStr">
        <is>
          <t>13/11/2024</t>
        </is>
      </c>
      <c r="X745" s="4" t="inlineStr">
        <is>
          <t>HS &amp; S LLC</t>
        </is>
      </c>
    </row>
    <row r="746" ht="24" customHeight="1">
      <c r="A746" s="2">
        <f>+D746-S746</f>
        <v/>
      </c>
      <c r="B746" s="80" t="n">
        <v>2433</v>
      </c>
      <c r="C746" s="66" t="n">
        <v>45593</v>
      </c>
      <c r="D746" s="2" t="n">
        <v>1</v>
      </c>
      <c r="E746" s="3" t="inlineStr">
        <is>
          <t>PISTOLA SEMIAUTOMATICA</t>
        </is>
      </c>
      <c r="F746" s="3" t="inlineStr">
        <is>
          <t>9X19</t>
        </is>
      </c>
      <c r="G746" s="71" t="inlineStr">
        <is>
          <t>GLOCK</t>
        </is>
      </c>
      <c r="H746" s="65" t="inlineStr">
        <is>
          <t>34 GEN5 LUGER</t>
        </is>
      </c>
      <c r="I746" s="65" t="inlineStr">
        <is>
          <t>CDTK349</t>
        </is>
      </c>
      <c r="J746" s="65" t="inlineStr">
        <is>
          <t>N/D</t>
        </is>
      </c>
      <c r="K746" s="65" t="inlineStr">
        <is>
          <t>N/D</t>
        </is>
      </c>
      <c r="L746" s="127" t="inlineStr">
        <is>
          <t>BIGNAMI SPA</t>
        </is>
      </c>
      <c r="M746" s="5" t="n">
        <v>586.288</v>
      </c>
      <c r="N746" s="5" t="n"/>
      <c r="O746" s="5">
        <f>+M746+N746</f>
        <v/>
      </c>
      <c r="P746" s="4" t="n"/>
      <c r="Q746" s="87" t="n"/>
      <c r="R746" s="5" t="n">
        <v>715</v>
      </c>
      <c r="S746" s="2" t="n">
        <v>1</v>
      </c>
      <c r="T746" s="3" t="inlineStr">
        <is>
          <t>6B/2024/1S</t>
        </is>
      </c>
      <c r="U746" s="87" t="inlineStr">
        <is>
          <t>13/11/2024</t>
        </is>
      </c>
      <c r="V746" s="3" t="inlineStr">
        <is>
          <t>25</t>
        </is>
      </c>
      <c r="W746" s="108" t="inlineStr">
        <is>
          <t>13/11/2024</t>
        </is>
      </c>
      <c r="X746" s="4" t="inlineStr">
        <is>
          <t>HS &amp; S LLC</t>
        </is>
      </c>
    </row>
    <row r="747" ht="24" customHeight="1">
      <c r="A747" s="2">
        <f>+D747-S747</f>
        <v/>
      </c>
      <c r="B747" s="80" t="n">
        <v>2434</v>
      </c>
      <c r="C747" s="66" t="n">
        <v>45593</v>
      </c>
      <c r="D747" s="2" t="n">
        <v>1</v>
      </c>
      <c r="E747" s="3" t="inlineStr">
        <is>
          <t>PISTOLA SEMIAUTOMATICA</t>
        </is>
      </c>
      <c r="F747" s="3" t="inlineStr">
        <is>
          <t>9X19</t>
        </is>
      </c>
      <c r="G747" s="71" t="inlineStr">
        <is>
          <t>GLOCK</t>
        </is>
      </c>
      <c r="H747" s="65" t="inlineStr">
        <is>
          <t>34 GEN5 LUGER</t>
        </is>
      </c>
      <c r="I747" s="65" t="inlineStr">
        <is>
          <t>CDTK347</t>
        </is>
      </c>
      <c r="J747" s="65" t="inlineStr">
        <is>
          <t>N/D</t>
        </is>
      </c>
      <c r="K747" s="65" t="inlineStr">
        <is>
          <t>N/D</t>
        </is>
      </c>
      <c r="L747" s="127" t="inlineStr">
        <is>
          <t>BIGNAMI SPA</t>
        </is>
      </c>
      <c r="M747" s="5" t="n">
        <v>586.288</v>
      </c>
      <c r="N747" s="5" t="n"/>
      <c r="O747" s="5">
        <f>+M747+N747</f>
        <v/>
      </c>
      <c r="P747" s="4" t="n"/>
      <c r="Q747" s="87" t="n"/>
      <c r="R747" s="5" t="n">
        <v>715</v>
      </c>
      <c r="S747" s="2" t="n">
        <v>1</v>
      </c>
      <c r="T747" s="3" t="inlineStr">
        <is>
          <t>6B/2024/1S</t>
        </is>
      </c>
      <c r="U747" s="87" t="inlineStr">
        <is>
          <t>13/11/2024</t>
        </is>
      </c>
      <c r="V747" s="3" t="inlineStr">
        <is>
          <t>25</t>
        </is>
      </c>
      <c r="W747" s="108" t="inlineStr">
        <is>
          <t>13/11/2024</t>
        </is>
      </c>
      <c r="X747" s="4" t="inlineStr">
        <is>
          <t>HS &amp; S LLC</t>
        </is>
      </c>
    </row>
    <row r="748" ht="24" customHeight="1">
      <c r="A748" s="2">
        <f>+D748-S748</f>
        <v/>
      </c>
      <c r="B748" s="80" t="n">
        <v>2435</v>
      </c>
      <c r="C748" s="66" t="n">
        <v>45593</v>
      </c>
      <c r="D748" s="2" t="n">
        <v>1</v>
      </c>
      <c r="E748" s="3" t="inlineStr">
        <is>
          <t>PISTOLA SEMIAUTOMATICA</t>
        </is>
      </c>
      <c r="F748" s="3" t="inlineStr">
        <is>
          <t>9X19</t>
        </is>
      </c>
      <c r="G748" s="71" t="inlineStr">
        <is>
          <t>GLOCK</t>
        </is>
      </c>
      <c r="H748" s="65" t="inlineStr">
        <is>
          <t>34 GEN5 LUGER</t>
        </is>
      </c>
      <c r="I748" s="65" t="inlineStr">
        <is>
          <t>CDTK346</t>
        </is>
      </c>
      <c r="J748" s="65" t="inlineStr">
        <is>
          <t>N/D</t>
        </is>
      </c>
      <c r="K748" s="65" t="inlineStr">
        <is>
          <t>N/D</t>
        </is>
      </c>
      <c r="L748" s="127" t="inlineStr">
        <is>
          <t>BIGNAMI SPA</t>
        </is>
      </c>
      <c r="M748" s="5" t="n">
        <v>586.288</v>
      </c>
      <c r="N748" s="5" t="n"/>
      <c r="O748" s="5">
        <f>+M748+N748</f>
        <v/>
      </c>
      <c r="P748" s="4" t="n"/>
      <c r="Q748" s="87" t="n"/>
      <c r="R748" s="5" t="n">
        <v>715</v>
      </c>
      <c r="S748" s="2" t="n">
        <v>1</v>
      </c>
      <c r="T748" s="3" t="inlineStr">
        <is>
          <t>6B/2024/1S</t>
        </is>
      </c>
      <c r="U748" s="87" t="inlineStr">
        <is>
          <t>13/11/2024</t>
        </is>
      </c>
      <c r="V748" s="3" t="inlineStr">
        <is>
          <t>25</t>
        </is>
      </c>
      <c r="W748" s="108" t="inlineStr">
        <is>
          <t>13/11/2024</t>
        </is>
      </c>
      <c r="X748" s="4" t="inlineStr">
        <is>
          <t>HS &amp; S LLC</t>
        </is>
      </c>
    </row>
    <row r="749" ht="24" customHeight="1">
      <c r="A749" s="2">
        <f>+D749-S749</f>
        <v/>
      </c>
      <c r="B749" s="80" t="n">
        <v>2436</v>
      </c>
      <c r="C749" s="66" t="n">
        <v>45593</v>
      </c>
      <c r="D749" s="2" t="n">
        <v>1</v>
      </c>
      <c r="E749" s="3" t="inlineStr">
        <is>
          <t>PISTOLA SEMIAUTOMATICA</t>
        </is>
      </c>
      <c r="F749" s="3" t="inlineStr">
        <is>
          <t>9X19</t>
        </is>
      </c>
      <c r="G749" s="71" t="inlineStr">
        <is>
          <t>GLOCK</t>
        </is>
      </c>
      <c r="H749" s="65" t="inlineStr">
        <is>
          <t>34 GEN5 LUGER</t>
        </is>
      </c>
      <c r="I749" s="65" t="inlineStr">
        <is>
          <t>CDTK341</t>
        </is>
      </c>
      <c r="J749" s="65" t="inlineStr">
        <is>
          <t>N/D</t>
        </is>
      </c>
      <c r="K749" s="65" t="inlineStr">
        <is>
          <t>N/D</t>
        </is>
      </c>
      <c r="L749" s="127" t="inlineStr">
        <is>
          <t>BIGNAMI SPA</t>
        </is>
      </c>
      <c r="M749" s="5" t="n">
        <v>586.288</v>
      </c>
      <c r="N749" s="5" t="n"/>
      <c r="O749" s="5">
        <f>+M749+N749</f>
        <v/>
      </c>
      <c r="P749" s="4" t="n"/>
      <c r="Q749" s="87" t="n"/>
      <c r="R749" s="5" t="n">
        <v>715</v>
      </c>
      <c r="S749" s="2" t="n">
        <v>1</v>
      </c>
      <c r="T749" s="3" t="inlineStr">
        <is>
          <t>6B/2024/1S</t>
        </is>
      </c>
      <c r="U749" s="87" t="inlineStr">
        <is>
          <t>13/11/2024</t>
        </is>
      </c>
      <c r="V749" s="3" t="inlineStr">
        <is>
          <t>25</t>
        </is>
      </c>
      <c r="W749" s="108" t="inlineStr">
        <is>
          <t>13/11/2024</t>
        </is>
      </c>
      <c r="X749" s="4" t="inlineStr">
        <is>
          <t>HS &amp; S LLC</t>
        </is>
      </c>
    </row>
    <row r="750" ht="24" customHeight="1">
      <c r="A750" s="2">
        <f>+D750-S750</f>
        <v/>
      </c>
      <c r="B750" s="80" t="n">
        <v>2437</v>
      </c>
      <c r="C750" s="66" t="n">
        <v>45593</v>
      </c>
      <c r="D750" s="2" t="n">
        <v>1</v>
      </c>
      <c r="E750" s="3" t="inlineStr">
        <is>
          <t>PISTOLA SEMIAUTOMATICA</t>
        </is>
      </c>
      <c r="F750" s="3" t="inlineStr">
        <is>
          <t>9X19</t>
        </is>
      </c>
      <c r="G750" s="71" t="inlineStr">
        <is>
          <t>GLOCK</t>
        </is>
      </c>
      <c r="H750" s="65" t="inlineStr">
        <is>
          <t>48 RAIL LUGER</t>
        </is>
      </c>
      <c r="I750" s="65" t="inlineStr">
        <is>
          <t>CCSN658</t>
        </is>
      </c>
      <c r="J750" s="65" t="inlineStr">
        <is>
          <t>N/D</t>
        </is>
      </c>
      <c r="K750" s="65" t="inlineStr">
        <is>
          <t>N/D</t>
        </is>
      </c>
      <c r="L750" s="127" t="inlineStr">
        <is>
          <t>BIGNAMI SPA</t>
        </is>
      </c>
      <c r="M750" s="5" t="n">
        <v>426.236</v>
      </c>
      <c r="N750" s="5" t="n"/>
      <c r="O750" s="5">
        <f>+M750+N750</f>
        <v/>
      </c>
      <c r="P750" s="4" t="n"/>
      <c r="Q750" s="87" t="n"/>
      <c r="R750" s="5" t="n">
        <v>505</v>
      </c>
      <c r="S750" s="2" t="n">
        <v>1</v>
      </c>
      <c r="T750" s="3" t="inlineStr">
        <is>
          <t>6B/2024/1S</t>
        </is>
      </c>
      <c r="U750" s="87" t="inlineStr">
        <is>
          <t>13/11/2024</t>
        </is>
      </c>
      <c r="V750" s="3" t="inlineStr">
        <is>
          <t>25</t>
        </is>
      </c>
      <c r="W750" s="108" t="inlineStr">
        <is>
          <t>13/11/2024</t>
        </is>
      </c>
      <c r="X750" s="4" t="inlineStr">
        <is>
          <t>HS &amp; S LLC</t>
        </is>
      </c>
    </row>
    <row r="751" ht="24" customHeight="1">
      <c r="A751" s="2">
        <f>+D751-S751</f>
        <v/>
      </c>
      <c r="B751" s="80" t="n">
        <v>2438</v>
      </c>
      <c r="C751" s="66" t="n">
        <v>45593</v>
      </c>
      <c r="D751" s="2" t="n">
        <v>1</v>
      </c>
      <c r="E751" s="3" t="inlineStr">
        <is>
          <t>PISTOLA SEMIAUTOMATICA</t>
        </is>
      </c>
      <c r="F751" s="3" t="inlineStr">
        <is>
          <t>9X19</t>
        </is>
      </c>
      <c r="G751" s="71" t="inlineStr">
        <is>
          <t>GLOCK</t>
        </is>
      </c>
      <c r="H751" s="65" t="inlineStr">
        <is>
          <t>48 RAIL LUGER</t>
        </is>
      </c>
      <c r="I751" s="65" t="inlineStr">
        <is>
          <t>CCSN663</t>
        </is>
      </c>
      <c r="J751" s="65" t="inlineStr">
        <is>
          <t>N/D</t>
        </is>
      </c>
      <c r="K751" s="65" t="inlineStr">
        <is>
          <t>N/D</t>
        </is>
      </c>
      <c r="L751" s="127" t="inlineStr">
        <is>
          <t>BIGNAMI SPA</t>
        </is>
      </c>
      <c r="M751" s="5" t="n">
        <v>426.236</v>
      </c>
      <c r="N751" s="5" t="n"/>
      <c r="O751" s="5">
        <f>+M751+N751</f>
        <v/>
      </c>
      <c r="P751" s="4" t="n"/>
      <c r="Q751" s="87" t="n"/>
      <c r="R751" s="5" t="n">
        <v>505</v>
      </c>
      <c r="S751" s="2" t="n">
        <v>1</v>
      </c>
      <c r="T751" s="3" t="inlineStr">
        <is>
          <t>6B/2024/1S</t>
        </is>
      </c>
      <c r="U751" s="87" t="inlineStr">
        <is>
          <t>13/11/2024</t>
        </is>
      </c>
      <c r="V751" s="3" t="inlineStr">
        <is>
          <t>25</t>
        </is>
      </c>
      <c r="W751" s="108" t="inlineStr">
        <is>
          <t>13/11/2024</t>
        </is>
      </c>
      <c r="X751" s="4" t="inlineStr">
        <is>
          <t>HS &amp; S LLC</t>
        </is>
      </c>
    </row>
    <row r="752" ht="24" customHeight="1">
      <c r="A752" s="2">
        <f>+D752-S752</f>
        <v/>
      </c>
      <c r="B752" s="80" t="n">
        <v>2439</v>
      </c>
      <c r="C752" s="66" t="n">
        <v>45593</v>
      </c>
      <c r="D752" s="2" t="n">
        <v>1</v>
      </c>
      <c r="E752" s="3" t="inlineStr">
        <is>
          <t>PISTOLA SEMIAUTOMATICA</t>
        </is>
      </c>
      <c r="F752" s="3" t="inlineStr">
        <is>
          <t>.40</t>
        </is>
      </c>
      <c r="G752" s="71" t="inlineStr">
        <is>
          <t>GLOCK</t>
        </is>
      </c>
      <c r="H752" s="65" t="inlineStr">
        <is>
          <t>23 GEN5</t>
        </is>
      </c>
      <c r="I752" s="65" t="inlineStr">
        <is>
          <t>CCRC940</t>
        </is>
      </c>
      <c r="J752" s="65" t="inlineStr">
        <is>
          <t>N/D</t>
        </is>
      </c>
      <c r="K752" s="65" t="inlineStr">
        <is>
          <t>N/D</t>
        </is>
      </c>
      <c r="L752" s="127" t="inlineStr">
        <is>
          <t>BIGNAMI SPA</t>
        </is>
      </c>
      <c r="M752" s="5" t="n">
        <v>517.782</v>
      </c>
      <c r="N752" s="5" t="n"/>
      <c r="O752" s="5">
        <f>+M752+N752</f>
        <v/>
      </c>
      <c r="P752" s="4" t="n"/>
      <c r="Q752" s="87" t="n"/>
      <c r="R752" s="5" t="n">
        <v>590</v>
      </c>
      <c r="S752" s="2" t="n">
        <v>1</v>
      </c>
      <c r="T752" s="3" t="inlineStr">
        <is>
          <t>6B/2024/1S</t>
        </is>
      </c>
      <c r="U752" s="87" t="inlineStr">
        <is>
          <t>13/11/2024</t>
        </is>
      </c>
      <c r="V752" s="3" t="inlineStr">
        <is>
          <t>25</t>
        </is>
      </c>
      <c r="W752" s="108" t="inlineStr">
        <is>
          <t>13/11/2024</t>
        </is>
      </c>
      <c r="X752" s="4" t="inlineStr">
        <is>
          <t>HS &amp; S LLC</t>
        </is>
      </c>
    </row>
    <row r="753" ht="24" customHeight="1">
      <c r="A753" s="2">
        <f>+D753-S753</f>
        <v/>
      </c>
      <c r="B753" s="80" t="n"/>
      <c r="C753" s="66" t="n">
        <v>45593</v>
      </c>
      <c r="D753" s="2" t="n">
        <v>1</v>
      </c>
      <c r="E753" s="3" t="inlineStr">
        <is>
          <t>ACCESSORI</t>
        </is>
      </c>
      <c r="F753" s="3" t="n"/>
      <c r="G753" s="71" t="inlineStr">
        <is>
          <t>CZ</t>
        </is>
      </c>
      <c r="H753" s="65" t="inlineStr">
        <is>
          <t>MAIN SPRING SHADOW 2</t>
        </is>
      </c>
      <c r="I753" s="65" t="inlineStr">
        <is>
          <t>N/D</t>
        </is>
      </c>
      <c r="J753" s="65" t="inlineStr">
        <is>
          <t>N/D</t>
        </is>
      </c>
      <c r="K753" s="65" t="inlineStr">
        <is>
          <t>N/D</t>
        </is>
      </c>
      <c r="L753" s="127" t="inlineStr">
        <is>
          <t>BIGNAMI SPA</t>
        </is>
      </c>
      <c r="M753" s="5" t="n">
        <v>2.377</v>
      </c>
      <c r="N753" s="5" t="n"/>
      <c r="O753" s="5">
        <f>+M753+N753</f>
        <v/>
      </c>
      <c r="P753" s="4" t="n"/>
      <c r="Q753" s="87" t="n"/>
      <c r="R753" s="5" t="n"/>
      <c r="S753" s="2" t="n"/>
      <c r="T753" s="3" t="n"/>
      <c r="U753" s="87" t="n"/>
      <c r="V753" s="3" t="n"/>
      <c r="W753" s="108" t="n"/>
      <c r="X753" s="4" t="n"/>
    </row>
    <row r="754" ht="24" customHeight="1">
      <c r="A754" s="2">
        <f>+D754-S754</f>
        <v/>
      </c>
      <c r="B754" s="80" t="n"/>
      <c r="C754" s="66" t="n">
        <v>45593</v>
      </c>
      <c r="D754" s="2" t="n">
        <v>1</v>
      </c>
      <c r="E754" s="3" t="inlineStr">
        <is>
          <t>ACCESSORI</t>
        </is>
      </c>
      <c r="F754" s="3" t="n"/>
      <c r="G754" s="71" t="inlineStr">
        <is>
          <t>CZ</t>
        </is>
      </c>
      <c r="H754" s="65" t="inlineStr">
        <is>
          <t>MAIN SPRING SHADOW 2</t>
        </is>
      </c>
      <c r="I754" s="65" t="inlineStr">
        <is>
          <t>N/D</t>
        </is>
      </c>
      <c r="J754" s="65" t="inlineStr">
        <is>
          <t>N/D</t>
        </is>
      </c>
      <c r="K754" s="65" t="inlineStr">
        <is>
          <t>N/D</t>
        </is>
      </c>
      <c r="L754" s="127" t="inlineStr">
        <is>
          <t>BIGNAMI SPA</t>
        </is>
      </c>
      <c r="M754" s="5" t="n">
        <v>2.377</v>
      </c>
      <c r="N754" s="5" t="n"/>
      <c r="O754" s="5">
        <f>+M754+N754</f>
        <v/>
      </c>
      <c r="P754" s="4" t="n"/>
      <c r="Q754" s="87" t="n"/>
      <c r="R754" s="5" t="n"/>
      <c r="S754" s="2" t="n"/>
      <c r="T754" s="3" t="n"/>
      <c r="U754" s="87" t="n"/>
      <c r="V754" s="3" t="n"/>
      <c r="W754" s="108" t="n"/>
      <c r="X754" s="4" t="n"/>
    </row>
    <row r="755" ht="24" customHeight="1">
      <c r="A755" s="2">
        <f>+D755-S755</f>
        <v/>
      </c>
      <c r="B755" s="80" t="n"/>
      <c r="C755" s="66" t="n">
        <v>45593</v>
      </c>
      <c r="D755" s="2" t="n">
        <v>1</v>
      </c>
      <c r="E755" s="3" t="inlineStr">
        <is>
          <t>ACCESSORI</t>
        </is>
      </c>
      <c r="F755" s="3" t="n"/>
      <c r="G755" s="71" t="inlineStr">
        <is>
          <t>CZ</t>
        </is>
      </c>
      <c r="H755" s="65" t="inlineStr">
        <is>
          <t>MAIN SPRING SHADOW 2</t>
        </is>
      </c>
      <c r="I755" s="65" t="inlineStr">
        <is>
          <t>N/D</t>
        </is>
      </c>
      <c r="J755" s="65" t="inlineStr">
        <is>
          <t>N/D</t>
        </is>
      </c>
      <c r="K755" s="65" t="inlineStr">
        <is>
          <t>N/D</t>
        </is>
      </c>
      <c r="L755" s="127" t="inlineStr">
        <is>
          <t>BIGNAMI SPA</t>
        </is>
      </c>
      <c r="M755" s="5" t="n">
        <v>2.377</v>
      </c>
      <c r="N755" s="5" t="n"/>
      <c r="O755" s="5">
        <f>+M755+N755</f>
        <v/>
      </c>
      <c r="P755" s="4" t="n"/>
      <c r="Q755" s="87" t="n"/>
      <c r="R755" s="5" t="n"/>
      <c r="S755" s="2" t="n"/>
      <c r="T755" s="3" t="n"/>
      <c r="U755" s="87" t="n"/>
      <c r="V755" s="3" t="n"/>
      <c r="W755" s="108" t="n"/>
      <c r="X755" s="4" t="n"/>
    </row>
    <row r="756" ht="24" customHeight="1">
      <c r="A756" s="2">
        <f>+D756-S756</f>
        <v/>
      </c>
      <c r="B756" s="80" t="n"/>
      <c r="C756" s="66" t="n">
        <v>45593</v>
      </c>
      <c r="D756" s="2" t="n">
        <v>1</v>
      </c>
      <c r="E756" s="3" t="inlineStr">
        <is>
          <t>ACCESSORI</t>
        </is>
      </c>
      <c r="F756" s="3" t="n"/>
      <c r="G756" s="71" t="inlineStr">
        <is>
          <t>CZ</t>
        </is>
      </c>
      <c r="H756" s="65" t="inlineStr">
        <is>
          <t>SHADOW 2 HOLD OPEN LEVA ARRESTO CARRELLO</t>
        </is>
      </c>
      <c r="I756" s="65" t="inlineStr">
        <is>
          <t>N/D</t>
        </is>
      </c>
      <c r="J756" s="65" t="inlineStr">
        <is>
          <t>N/D</t>
        </is>
      </c>
      <c r="K756" s="65" t="inlineStr">
        <is>
          <t>N/D</t>
        </is>
      </c>
      <c r="L756" s="127" t="inlineStr">
        <is>
          <t>BIGNAMI SPA</t>
        </is>
      </c>
      <c r="M756" s="5" t="n">
        <v>34.671</v>
      </c>
      <c r="N756" s="5" t="n"/>
      <c r="O756" s="5">
        <f>+M756+N756</f>
        <v/>
      </c>
      <c r="P756" s="4" t="n"/>
      <c r="Q756" s="87" t="n"/>
      <c r="R756" s="5" t="n"/>
      <c r="S756" s="2" t="n"/>
      <c r="T756" s="3" t="n"/>
      <c r="U756" s="87" t="n"/>
      <c r="V756" s="3" t="n"/>
      <c r="W756" s="108" t="n"/>
      <c r="X756" s="4" t="n"/>
    </row>
    <row r="757" ht="24" customHeight="1">
      <c r="A757" s="2">
        <f>+D757-S757</f>
        <v/>
      </c>
      <c r="B757" s="80" t="n"/>
      <c r="C757" s="66" t="n">
        <v>45593</v>
      </c>
      <c r="D757" s="2" t="n">
        <v>1</v>
      </c>
      <c r="E757" s="3" t="inlineStr">
        <is>
          <t>ACCESSORI</t>
        </is>
      </c>
      <c r="F757" s="3" t="n"/>
      <c r="G757" s="71" t="inlineStr">
        <is>
          <t>CZ</t>
        </is>
      </c>
      <c r="H757" s="65" t="inlineStr">
        <is>
          <t>SHADOW 2 HOLD OPEN LEVA ARRESTO CARRELLO</t>
        </is>
      </c>
      <c r="I757" s="65" t="inlineStr">
        <is>
          <t>N/D</t>
        </is>
      </c>
      <c r="J757" s="65" t="inlineStr">
        <is>
          <t>N/D</t>
        </is>
      </c>
      <c r="K757" s="65" t="inlineStr">
        <is>
          <t>N/D</t>
        </is>
      </c>
      <c r="L757" s="127" t="inlineStr">
        <is>
          <t>BIGNAMI SPA</t>
        </is>
      </c>
      <c r="M757" s="5" t="n">
        <v>34.671</v>
      </c>
      <c r="N757" s="5" t="n"/>
      <c r="O757" s="5">
        <f>+M757+N757</f>
        <v/>
      </c>
      <c r="P757" s="4" t="n"/>
      <c r="Q757" s="87" t="n"/>
      <c r="R757" s="5" t="n"/>
      <c r="S757" s="2" t="n"/>
      <c r="T757" s="3" t="n"/>
      <c r="U757" s="87" t="n"/>
      <c r="V757" s="3" t="n"/>
      <c r="W757" s="108" t="n"/>
      <c r="X757" s="4" t="n"/>
    </row>
    <row r="758" ht="24" customHeight="1">
      <c r="A758" s="2">
        <f>+D758-S758</f>
        <v/>
      </c>
      <c r="B758" s="80" t="n">
        <v>2440</v>
      </c>
      <c r="C758" s="66" t="n">
        <v>45593</v>
      </c>
      <c r="D758" s="2" t="n">
        <v>1</v>
      </c>
      <c r="E758" s="3" t="inlineStr">
        <is>
          <t>PISTOLA SEMIAUTOMATICA</t>
        </is>
      </c>
      <c r="F758" s="3" t="inlineStr">
        <is>
          <t>9X19</t>
        </is>
      </c>
      <c r="G758" s="71" t="inlineStr">
        <is>
          <t>WALTHER</t>
        </is>
      </c>
      <c r="H758" s="65" t="inlineStr">
        <is>
          <t xml:space="preserve">PDP COMPACT PRO SD 9 LUGER </t>
        </is>
      </c>
      <c r="I758" s="72" t="inlineStr">
        <is>
          <t>FEG0092</t>
        </is>
      </c>
      <c r="J758" s="65" t="inlineStr">
        <is>
          <t>N/D</t>
        </is>
      </c>
      <c r="K758" s="65" t="inlineStr">
        <is>
          <t>N/D</t>
        </is>
      </c>
      <c r="L758" s="127" t="inlineStr">
        <is>
          <t>BIGNAMI SPA</t>
        </is>
      </c>
      <c r="M758" s="5" t="n">
        <v>793.7722</v>
      </c>
      <c r="N758" s="5" t="n"/>
      <c r="O758" s="5">
        <f>+M758+N758</f>
        <v/>
      </c>
      <c r="P758" s="4" t="n"/>
      <c r="Q758" s="87" t="n"/>
      <c r="R758" s="5" t="n">
        <v>834</v>
      </c>
      <c r="S758" s="2" t="n">
        <v>1</v>
      </c>
      <c r="T758" s="3" t="inlineStr">
        <is>
          <t>CA04954OS</t>
        </is>
      </c>
      <c r="U758" s="87" t="n">
        <v>45874</v>
      </c>
      <c r="V758" s="3" t="inlineStr">
        <is>
          <t>25</t>
        </is>
      </c>
      <c r="W758" s="4" t="n">
        <v>45874</v>
      </c>
      <c r="X758" s="4" t="inlineStr">
        <is>
          <t>PHILIPPOS  CONSTANTINIDES
TRADING CO.LTD</t>
        </is>
      </c>
    </row>
    <row r="759" ht="24" customHeight="1">
      <c r="A759" s="2">
        <f>+D759-S759</f>
        <v/>
      </c>
      <c r="B759" s="80" t="n">
        <v>2441</v>
      </c>
      <c r="C759" s="66" t="n">
        <v>45593</v>
      </c>
      <c r="D759" s="2" t="n">
        <v>1</v>
      </c>
      <c r="E759" s="3" t="inlineStr">
        <is>
          <t>PISTOLA SEMIAUTOMATICA</t>
        </is>
      </c>
      <c r="F759" s="3" t="inlineStr">
        <is>
          <t>.357</t>
        </is>
      </c>
      <c r="G759" s="71" t="inlineStr">
        <is>
          <t>GLOCK</t>
        </is>
      </c>
      <c r="H759" s="65" t="inlineStr">
        <is>
          <t>31 GEN4</t>
        </is>
      </c>
      <c r="I759" s="65" t="inlineStr">
        <is>
          <t>CDXT890</t>
        </is>
      </c>
      <c r="J759" s="65" t="inlineStr">
        <is>
          <t>N/D</t>
        </is>
      </c>
      <c r="K759" s="65" t="inlineStr">
        <is>
          <t>N/D</t>
        </is>
      </c>
      <c r="L759" s="127" t="inlineStr">
        <is>
          <t>BIGNAMI SPA</t>
        </is>
      </c>
      <c r="M759" s="5" t="n">
        <v>406.18</v>
      </c>
      <c r="N759" s="5" t="n"/>
      <c r="O759" s="5">
        <f>+M759+N759</f>
        <v/>
      </c>
      <c r="P759" s="4" t="n"/>
      <c r="Q759" s="87" t="n"/>
      <c r="R759" s="5" t="n">
        <v>501</v>
      </c>
      <c r="S759" s="2" t="n">
        <v>1</v>
      </c>
      <c r="T759" s="3" t="inlineStr">
        <is>
          <t>6B/2024/1S</t>
        </is>
      </c>
      <c r="U759" s="87" t="inlineStr">
        <is>
          <t>13/11/2024</t>
        </is>
      </c>
      <c r="V759" s="3" t="inlineStr">
        <is>
          <t>25</t>
        </is>
      </c>
      <c r="W759" s="108" t="inlineStr">
        <is>
          <t>13/11/2024</t>
        </is>
      </c>
      <c r="X759" s="4" t="inlineStr">
        <is>
          <t>HS &amp; S LLC</t>
        </is>
      </c>
    </row>
    <row r="760" ht="24" customHeight="1">
      <c r="A760" s="2">
        <f>+D760-S760</f>
        <v/>
      </c>
      <c r="B760" s="80" t="n">
        <v>2442</v>
      </c>
      <c r="C760" s="66" t="n">
        <v>45593</v>
      </c>
      <c r="D760" s="2" t="n">
        <v>1</v>
      </c>
      <c r="E760" s="3" t="inlineStr">
        <is>
          <t>PISTOLA SEMIAUTOMATICA</t>
        </is>
      </c>
      <c r="F760" s="3" t="inlineStr">
        <is>
          <t>.357</t>
        </is>
      </c>
      <c r="G760" s="71" t="inlineStr">
        <is>
          <t>GLOCK</t>
        </is>
      </c>
      <c r="H760" s="65" t="inlineStr">
        <is>
          <t>31 GEN4</t>
        </is>
      </c>
      <c r="I760" s="65" t="inlineStr">
        <is>
          <t>CDXT889</t>
        </is>
      </c>
      <c r="J760" s="65" t="inlineStr">
        <is>
          <t>N/D</t>
        </is>
      </c>
      <c r="K760" s="65" t="inlineStr">
        <is>
          <t>N/D</t>
        </is>
      </c>
      <c r="L760" s="127" t="inlineStr">
        <is>
          <t>BIGNAMI SPA</t>
        </is>
      </c>
      <c r="M760" s="5" t="n">
        <v>406.18</v>
      </c>
      <c r="N760" s="5" t="n"/>
      <c r="O760" s="5">
        <f>+M760+N760</f>
        <v/>
      </c>
      <c r="P760" s="4" t="n"/>
      <c r="Q760" s="87" t="n"/>
      <c r="R760" s="5" t="n">
        <v>501</v>
      </c>
      <c r="S760" s="2" t="n">
        <v>1</v>
      </c>
      <c r="T760" s="3" t="inlineStr">
        <is>
          <t>6B/2024/1S</t>
        </is>
      </c>
      <c r="U760" s="87" t="inlineStr">
        <is>
          <t>13/11/2024</t>
        </is>
      </c>
      <c r="V760" s="3" t="inlineStr">
        <is>
          <t>25</t>
        </is>
      </c>
      <c r="W760" s="108" t="inlineStr">
        <is>
          <t>13/11/2024</t>
        </is>
      </c>
      <c r="X760" s="4" t="inlineStr">
        <is>
          <t>HS &amp; S LLC</t>
        </is>
      </c>
    </row>
    <row r="761" ht="24" customHeight="1">
      <c r="A761" s="2">
        <f>+D761-S761</f>
        <v/>
      </c>
      <c r="B761" s="80" t="n">
        <v>2443</v>
      </c>
      <c r="C761" s="66" t="n">
        <v>45593</v>
      </c>
      <c r="D761" s="2" t="n">
        <v>1</v>
      </c>
      <c r="E761" s="3" t="inlineStr">
        <is>
          <t>PISTOLA SEMIAUTOMATICA</t>
        </is>
      </c>
      <c r="F761" s="3" t="inlineStr">
        <is>
          <t>.357</t>
        </is>
      </c>
      <c r="G761" s="71" t="inlineStr">
        <is>
          <t>GLOCK</t>
        </is>
      </c>
      <c r="H761" s="65" t="inlineStr">
        <is>
          <t>31 GEN4</t>
        </is>
      </c>
      <c r="I761" s="65" t="inlineStr">
        <is>
          <t>CDXT887</t>
        </is>
      </c>
      <c r="J761" s="65" t="inlineStr">
        <is>
          <t>N/D</t>
        </is>
      </c>
      <c r="K761" s="65" t="inlineStr">
        <is>
          <t>N/D</t>
        </is>
      </c>
      <c r="L761" s="127" t="inlineStr">
        <is>
          <t>BIGNAMI SPA</t>
        </is>
      </c>
      <c r="M761" s="5" t="n">
        <v>406.18</v>
      </c>
      <c r="N761" s="5" t="n"/>
      <c r="O761" s="5">
        <f>+M761+N761</f>
        <v/>
      </c>
      <c r="P761" s="4" t="n"/>
      <c r="Q761" s="87" t="n"/>
      <c r="R761" s="5" t="n">
        <v>501</v>
      </c>
      <c r="S761" s="2" t="n">
        <v>1</v>
      </c>
      <c r="T761" s="3" t="inlineStr">
        <is>
          <t>6B/2024/1S</t>
        </is>
      </c>
      <c r="U761" s="87" t="inlineStr">
        <is>
          <t>13/11/2024</t>
        </is>
      </c>
      <c r="V761" s="3" t="inlineStr">
        <is>
          <t>25</t>
        </is>
      </c>
      <c r="W761" s="108" t="inlineStr">
        <is>
          <t>13/11/2024</t>
        </is>
      </c>
      <c r="X761" s="4" t="inlineStr">
        <is>
          <t>HS &amp; S LLC</t>
        </is>
      </c>
    </row>
    <row r="762" ht="24" customHeight="1">
      <c r="A762" s="2">
        <f>+D762-S762</f>
        <v/>
      </c>
      <c r="B762" s="80" t="n">
        <v>2444</v>
      </c>
      <c r="C762" s="66" t="n">
        <v>45593</v>
      </c>
      <c r="D762" s="2" t="n">
        <v>1</v>
      </c>
      <c r="E762" s="3" t="inlineStr">
        <is>
          <t>PISTOLA SEMIAUTOMATICA</t>
        </is>
      </c>
      <c r="F762" s="3" t="inlineStr">
        <is>
          <t>9X19</t>
        </is>
      </c>
      <c r="G762" s="71" t="inlineStr">
        <is>
          <t>GLOCK</t>
        </is>
      </c>
      <c r="H762" s="65" t="inlineStr">
        <is>
          <t>17L LUGER</t>
        </is>
      </c>
      <c r="I762" s="65" t="inlineStr">
        <is>
          <t>CDXT971</t>
        </is>
      </c>
      <c r="J762" s="65" t="inlineStr">
        <is>
          <t>N/D</t>
        </is>
      </c>
      <c r="K762" s="65" t="inlineStr">
        <is>
          <t>N/D</t>
        </is>
      </c>
      <c r="L762" s="127" t="inlineStr">
        <is>
          <t>BIGNAMI SPA</t>
        </is>
      </c>
      <c r="M762" s="5" t="n">
        <v>468.371</v>
      </c>
      <c r="N762" s="5" t="n"/>
      <c r="O762" s="5">
        <f>+M762+N762</f>
        <v/>
      </c>
      <c r="P762" s="4" t="n"/>
      <c r="Q762" s="87" t="n"/>
      <c r="R762" s="5" t="n">
        <v>680</v>
      </c>
      <c r="S762" s="2" t="n">
        <v>1</v>
      </c>
      <c r="T762" s="3" t="inlineStr">
        <is>
          <t>6B/2024/1S</t>
        </is>
      </c>
      <c r="U762" s="87" t="inlineStr">
        <is>
          <t>13/11/2024</t>
        </is>
      </c>
      <c r="V762" s="3" t="inlineStr">
        <is>
          <t>25</t>
        </is>
      </c>
      <c r="W762" s="108" t="inlineStr">
        <is>
          <t>13/11/2024</t>
        </is>
      </c>
      <c r="X762" s="4" t="inlineStr">
        <is>
          <t>HS &amp; S LLC</t>
        </is>
      </c>
    </row>
    <row r="763" ht="24" customHeight="1">
      <c r="A763" s="2">
        <f>+D763-S763</f>
        <v/>
      </c>
      <c r="B763" s="80" t="n">
        <v>2445</v>
      </c>
      <c r="C763" s="66" t="n">
        <v>45593</v>
      </c>
      <c r="D763" s="2" t="n">
        <v>1</v>
      </c>
      <c r="E763" s="3" t="inlineStr">
        <is>
          <t>PISTOLA SEMIAUTOMATICA</t>
        </is>
      </c>
      <c r="F763" s="3" t="inlineStr">
        <is>
          <t>9X19</t>
        </is>
      </c>
      <c r="G763" s="71" t="inlineStr">
        <is>
          <t>GLOCK</t>
        </is>
      </c>
      <c r="H763" s="65" t="inlineStr">
        <is>
          <t>17L LUGER</t>
        </is>
      </c>
      <c r="I763" s="65" t="inlineStr">
        <is>
          <t>CDXT969</t>
        </is>
      </c>
      <c r="J763" s="65" t="inlineStr">
        <is>
          <t>N/D</t>
        </is>
      </c>
      <c r="K763" s="65" t="inlineStr">
        <is>
          <t>N/D</t>
        </is>
      </c>
      <c r="L763" s="127" t="inlineStr">
        <is>
          <t>BIGNAMI SPA</t>
        </is>
      </c>
      <c r="M763" s="5" t="n">
        <v>468.371</v>
      </c>
      <c r="N763" s="5" t="n"/>
      <c r="O763" s="5">
        <f>+M763+N763</f>
        <v/>
      </c>
      <c r="P763" s="4" t="n"/>
      <c r="Q763" s="87" t="n"/>
      <c r="R763" s="5" t="n">
        <v>587</v>
      </c>
      <c r="S763" s="2" t="n">
        <v>1</v>
      </c>
      <c r="T763" s="3" t="inlineStr">
        <is>
          <t>6B/2024/1S</t>
        </is>
      </c>
      <c r="U763" s="87" t="inlineStr">
        <is>
          <t>13/11/2024</t>
        </is>
      </c>
      <c r="V763" s="3" t="inlineStr">
        <is>
          <t>25</t>
        </is>
      </c>
      <c r="W763" s="108" t="inlineStr">
        <is>
          <t>13/11/2024</t>
        </is>
      </c>
      <c r="X763" s="4" t="inlineStr">
        <is>
          <t>HS &amp; S LLC</t>
        </is>
      </c>
    </row>
    <row r="764" ht="24" customHeight="1">
      <c r="A764" s="2">
        <f>+D764-S764</f>
        <v/>
      </c>
      <c r="B764" s="80" t="n">
        <v>2446</v>
      </c>
      <c r="C764" s="66" t="n">
        <v>45593</v>
      </c>
      <c r="D764" s="2" t="n">
        <v>1</v>
      </c>
      <c r="E764" s="3" t="inlineStr">
        <is>
          <t>PISTOLA SEMIAUTOMATICA</t>
        </is>
      </c>
      <c r="F764" s="3" t="inlineStr">
        <is>
          <t>9X19</t>
        </is>
      </c>
      <c r="G764" s="71" t="inlineStr">
        <is>
          <t>GLOCK</t>
        </is>
      </c>
      <c r="H764" s="65" t="inlineStr">
        <is>
          <t>17L LUGER</t>
        </is>
      </c>
      <c r="I764" s="65" t="inlineStr">
        <is>
          <t>CDXT967</t>
        </is>
      </c>
      <c r="J764" s="65" t="inlineStr">
        <is>
          <t>N/D</t>
        </is>
      </c>
      <c r="K764" s="65" t="inlineStr">
        <is>
          <t>N/D</t>
        </is>
      </c>
      <c r="L764" s="127" t="inlineStr">
        <is>
          <t>BIGNAMI SPA</t>
        </is>
      </c>
      <c r="M764" s="5" t="n">
        <v>468.371</v>
      </c>
      <c r="N764" s="5" t="n"/>
      <c r="O764" s="5">
        <f>+M764+N764</f>
        <v/>
      </c>
      <c r="P764" s="4" t="n"/>
      <c r="Q764" s="87" t="n"/>
      <c r="R764" s="5" t="n">
        <v>587</v>
      </c>
      <c r="S764" s="2" t="n">
        <v>1</v>
      </c>
      <c r="T764" s="3" t="inlineStr">
        <is>
          <t>6B/2024/1S</t>
        </is>
      </c>
      <c r="U764" s="87" t="inlineStr">
        <is>
          <t>13/11/2024</t>
        </is>
      </c>
      <c r="V764" s="3" t="inlineStr">
        <is>
          <t>25</t>
        </is>
      </c>
      <c r="W764" s="108" t="inlineStr">
        <is>
          <t>13/11/2024</t>
        </is>
      </c>
      <c r="X764" s="4" t="inlineStr">
        <is>
          <t>HS &amp; S LLC</t>
        </is>
      </c>
    </row>
    <row r="765" ht="24" customHeight="1">
      <c r="A765" s="2">
        <f>+D765-S765</f>
        <v/>
      </c>
      <c r="B765" s="80" t="n">
        <v>2447</v>
      </c>
      <c r="C765" s="66" t="n">
        <v>45593</v>
      </c>
      <c r="D765" s="2" t="n">
        <v>1</v>
      </c>
      <c r="E765" s="3" t="inlineStr">
        <is>
          <t>PISTOLA SEMIAUTOMATICA</t>
        </is>
      </c>
      <c r="F765" s="3" t="inlineStr">
        <is>
          <t>9X19</t>
        </is>
      </c>
      <c r="G765" s="71" t="inlineStr">
        <is>
          <t>GLOCK</t>
        </is>
      </c>
      <c r="H765" s="65" t="inlineStr">
        <is>
          <t>17L LUGER</t>
        </is>
      </c>
      <c r="I765" s="65" t="inlineStr">
        <is>
          <t>CDXT968</t>
        </is>
      </c>
      <c r="J765" s="65" t="inlineStr">
        <is>
          <t>N/D</t>
        </is>
      </c>
      <c r="K765" s="65" t="inlineStr">
        <is>
          <t>N/D</t>
        </is>
      </c>
      <c r="L765" s="127" t="inlineStr">
        <is>
          <t>BIGNAMI SPA</t>
        </is>
      </c>
      <c r="M765" s="5" t="n">
        <v>468.371</v>
      </c>
      <c r="N765" s="5" t="n"/>
      <c r="O765" s="5">
        <f>+M765+N765</f>
        <v/>
      </c>
      <c r="P765" s="4" t="n"/>
      <c r="Q765" s="87" t="n"/>
      <c r="R765" s="5" t="n">
        <v>587</v>
      </c>
      <c r="S765" s="2" t="n">
        <v>1</v>
      </c>
      <c r="T765" s="3" t="inlineStr">
        <is>
          <t>6B/2024/1S</t>
        </is>
      </c>
      <c r="U765" s="87" t="inlineStr">
        <is>
          <t>13/11/2024</t>
        </is>
      </c>
      <c r="V765" s="3" t="inlineStr">
        <is>
          <t>25</t>
        </is>
      </c>
      <c r="W765" s="108" t="inlineStr">
        <is>
          <t>13/11/2024</t>
        </is>
      </c>
      <c r="X765" s="4" t="inlineStr">
        <is>
          <t>HS &amp; S LLC</t>
        </is>
      </c>
    </row>
    <row r="766" ht="24" customHeight="1">
      <c r="A766" s="2">
        <f>+D766-S766</f>
        <v/>
      </c>
      <c r="B766" s="80" t="n">
        <v>2448</v>
      </c>
      <c r="C766" s="66" t="n">
        <v>45593</v>
      </c>
      <c r="D766" s="2" t="n">
        <v>1</v>
      </c>
      <c r="E766" s="3" t="inlineStr">
        <is>
          <t>PISTOLA SEMIAUTOMATICA</t>
        </is>
      </c>
      <c r="F766" s="3" t="inlineStr">
        <is>
          <t>9X19</t>
        </is>
      </c>
      <c r="G766" s="71" t="inlineStr">
        <is>
          <t>GLOCK</t>
        </is>
      </c>
      <c r="H766" s="65" t="inlineStr">
        <is>
          <t>17L LUGER</t>
        </is>
      </c>
      <c r="I766" s="65" t="inlineStr">
        <is>
          <t>CDXT970</t>
        </is>
      </c>
      <c r="J766" s="65" t="inlineStr">
        <is>
          <t>N/D</t>
        </is>
      </c>
      <c r="K766" s="65" t="inlineStr">
        <is>
          <t>N/D</t>
        </is>
      </c>
      <c r="L766" s="127" t="inlineStr">
        <is>
          <t>BIGNAMI SPA</t>
        </is>
      </c>
      <c r="M766" s="5" t="n">
        <v>468.371</v>
      </c>
      <c r="N766" s="5" t="n"/>
      <c r="O766" s="5">
        <f>+M766+N766</f>
        <v/>
      </c>
      <c r="P766" s="4" t="n"/>
      <c r="Q766" s="87" t="n"/>
      <c r="R766" s="5" t="n">
        <v>680</v>
      </c>
      <c r="S766" s="2" t="n">
        <v>1</v>
      </c>
      <c r="T766" s="3" t="inlineStr">
        <is>
          <t>6B/2024/1S</t>
        </is>
      </c>
      <c r="U766" s="87" t="inlineStr">
        <is>
          <t>13/11/2024</t>
        </is>
      </c>
      <c r="V766" s="3" t="inlineStr">
        <is>
          <t>25</t>
        </is>
      </c>
      <c r="W766" s="108" t="inlineStr">
        <is>
          <t>13/11/2024</t>
        </is>
      </c>
      <c r="X766" s="4" t="inlineStr">
        <is>
          <t>HS &amp; S LLC</t>
        </is>
      </c>
    </row>
    <row r="767" ht="24" customHeight="1">
      <c r="A767" s="2">
        <f>+D767-S767</f>
        <v/>
      </c>
      <c r="B767" s="80" t="n">
        <v>2449</v>
      </c>
      <c r="C767" s="66" t="n">
        <v>45593</v>
      </c>
      <c r="D767" s="2" t="n">
        <v>1</v>
      </c>
      <c r="E767" s="3" t="inlineStr">
        <is>
          <t>PISTOLA SEMIAUTOMATICA</t>
        </is>
      </c>
      <c r="F767" s="3" t="inlineStr">
        <is>
          <t>9X19</t>
        </is>
      </c>
      <c r="G767" s="71" t="inlineStr">
        <is>
          <t>GLOCK</t>
        </is>
      </c>
      <c r="H767" s="65" t="inlineStr">
        <is>
          <t>26 GEN5 LUGER</t>
        </is>
      </c>
      <c r="I767" s="65" t="inlineStr">
        <is>
          <t>CASF646</t>
        </is>
      </c>
      <c r="J767" s="65" t="inlineStr">
        <is>
          <t>N/D</t>
        </is>
      </c>
      <c r="K767" s="65" t="inlineStr">
        <is>
          <t>N/D</t>
        </is>
      </c>
      <c r="L767" s="127" t="inlineStr">
        <is>
          <t>BIGNAMI SPA</t>
        </is>
      </c>
      <c r="M767" s="5" t="n">
        <v>514.731</v>
      </c>
      <c r="N767" s="5" t="n"/>
      <c r="O767" s="5">
        <f>+M767+N767</f>
        <v/>
      </c>
      <c r="P767" s="4" t="n"/>
      <c r="Q767" s="87" t="n"/>
      <c r="R767" s="5" t="n">
        <v>592</v>
      </c>
      <c r="S767" s="2" t="n">
        <v>1</v>
      </c>
      <c r="T767" s="3" t="inlineStr">
        <is>
          <t>6B/2024/1S</t>
        </is>
      </c>
      <c r="U767" s="87" t="inlineStr">
        <is>
          <t>13/11/2024</t>
        </is>
      </c>
      <c r="V767" s="3" t="inlineStr">
        <is>
          <t>25</t>
        </is>
      </c>
      <c r="W767" s="108" t="inlineStr">
        <is>
          <t>13/11/2024</t>
        </is>
      </c>
      <c r="X767" s="4" t="inlineStr">
        <is>
          <t>HS &amp; S LLC</t>
        </is>
      </c>
    </row>
    <row r="768" ht="24" customHeight="1">
      <c r="A768" s="2">
        <f>+D768-S768</f>
        <v/>
      </c>
      <c r="B768" s="80" t="n">
        <v>2450</v>
      </c>
      <c r="C768" s="66" t="n">
        <v>45593</v>
      </c>
      <c r="D768" s="2" t="n">
        <v>1</v>
      </c>
      <c r="E768" s="3" t="inlineStr">
        <is>
          <t>PISTOLA SEMIAUTOMATICA</t>
        </is>
      </c>
      <c r="F768" s="3" t="inlineStr">
        <is>
          <t>9X19</t>
        </is>
      </c>
      <c r="G768" s="71" t="inlineStr">
        <is>
          <t>GLOCK</t>
        </is>
      </c>
      <c r="H768" s="65" t="inlineStr">
        <is>
          <t>26 GEN5 LUGER</t>
        </is>
      </c>
      <c r="I768" s="65" t="inlineStr">
        <is>
          <t>CASF647</t>
        </is>
      </c>
      <c r="J768" s="65" t="inlineStr">
        <is>
          <t>N/D</t>
        </is>
      </c>
      <c r="K768" s="65" t="inlineStr">
        <is>
          <t>N/D</t>
        </is>
      </c>
      <c r="L768" s="127" t="inlineStr">
        <is>
          <t>BIGNAMI SPA</t>
        </is>
      </c>
      <c r="M768" s="5" t="n">
        <v>514.731</v>
      </c>
      <c r="N768" s="5" t="n"/>
      <c r="O768" s="5">
        <f>+M768+N768</f>
        <v/>
      </c>
      <c r="P768" s="4" t="n"/>
      <c r="Q768" s="87" t="n"/>
      <c r="R768" s="5" t="n">
        <v>592</v>
      </c>
      <c r="S768" s="2" t="n">
        <v>1</v>
      </c>
      <c r="T768" s="3" t="inlineStr">
        <is>
          <t>6B/2024/1S</t>
        </is>
      </c>
      <c r="U768" s="87" t="inlineStr">
        <is>
          <t>13/11/2024</t>
        </is>
      </c>
      <c r="V768" s="3" t="inlineStr">
        <is>
          <t>25</t>
        </is>
      </c>
      <c r="W768" s="108" t="inlineStr">
        <is>
          <t>13/11/2024</t>
        </is>
      </c>
      <c r="X768" s="4" t="inlineStr">
        <is>
          <t>HS &amp; S LLC</t>
        </is>
      </c>
    </row>
    <row r="769" ht="24" customHeight="1">
      <c r="A769" s="2">
        <f>+D769-S769</f>
        <v/>
      </c>
      <c r="B769" s="80" t="n">
        <v>2451</v>
      </c>
      <c r="C769" s="66" t="n">
        <v>45593</v>
      </c>
      <c r="D769" s="2" t="n">
        <v>1</v>
      </c>
      <c r="E769" s="3" t="inlineStr">
        <is>
          <t>PISTOLA SEMIAUTOMATICA</t>
        </is>
      </c>
      <c r="F769" s="3" t="inlineStr">
        <is>
          <t>9X19</t>
        </is>
      </c>
      <c r="G769" s="71" t="inlineStr">
        <is>
          <t>GLOCK</t>
        </is>
      </c>
      <c r="H769" s="65" t="inlineStr">
        <is>
          <t>26 GEN5 LUGER</t>
        </is>
      </c>
      <c r="I769" s="65" t="inlineStr">
        <is>
          <t>CASF644</t>
        </is>
      </c>
      <c r="J769" s="65" t="inlineStr">
        <is>
          <t>N/D</t>
        </is>
      </c>
      <c r="K769" s="65" t="inlineStr">
        <is>
          <t>N/D</t>
        </is>
      </c>
      <c r="L769" s="127" t="inlineStr">
        <is>
          <t>BIGNAMI SPA</t>
        </is>
      </c>
      <c r="M769" s="5" t="n">
        <v>514.731</v>
      </c>
      <c r="N769" s="5" t="n"/>
      <c r="O769" s="5">
        <f>+M769+N769</f>
        <v/>
      </c>
      <c r="P769" s="4" t="n"/>
      <c r="Q769" s="87" t="n"/>
      <c r="R769" s="5" t="n">
        <v>615</v>
      </c>
      <c r="S769" s="2" t="n">
        <v>1</v>
      </c>
      <c r="T769" s="3" t="inlineStr">
        <is>
          <t>6B/2024/1S</t>
        </is>
      </c>
      <c r="U769" s="87" t="inlineStr">
        <is>
          <t>13/11/2024</t>
        </is>
      </c>
      <c r="V769" s="3" t="inlineStr">
        <is>
          <t>25</t>
        </is>
      </c>
      <c r="W769" s="108" t="inlineStr">
        <is>
          <t>13/11/2024</t>
        </is>
      </c>
      <c r="X769" s="4" t="inlineStr">
        <is>
          <t>HS &amp; S LLC</t>
        </is>
      </c>
    </row>
    <row r="770" ht="24" customHeight="1">
      <c r="A770" s="2">
        <f>+D770-S770</f>
        <v/>
      </c>
      <c r="B770" s="80" t="n">
        <v>2452</v>
      </c>
      <c r="C770" s="66" t="n">
        <v>45593</v>
      </c>
      <c r="D770" s="2" t="n">
        <v>1</v>
      </c>
      <c r="E770" s="3" t="inlineStr">
        <is>
          <t>PISTOLA SEMIAUTOMATICA</t>
        </is>
      </c>
      <c r="F770" s="3" t="inlineStr">
        <is>
          <t>9X19</t>
        </is>
      </c>
      <c r="G770" s="71" t="inlineStr">
        <is>
          <t>GLOCK</t>
        </is>
      </c>
      <c r="H770" s="65" t="inlineStr">
        <is>
          <t>26 GEN5 LUGER</t>
        </is>
      </c>
      <c r="I770" s="65" t="inlineStr">
        <is>
          <t>CASF645</t>
        </is>
      </c>
      <c r="J770" s="65" t="inlineStr">
        <is>
          <t>N/D</t>
        </is>
      </c>
      <c r="K770" s="65" t="inlineStr">
        <is>
          <t>N/D</t>
        </is>
      </c>
      <c r="L770" s="127" t="inlineStr">
        <is>
          <t>BIGNAMI SPA</t>
        </is>
      </c>
      <c r="M770" s="5" t="n">
        <v>514.731</v>
      </c>
      <c r="N770" s="5" t="n"/>
      <c r="O770" s="5">
        <f>+M770+N770</f>
        <v/>
      </c>
      <c r="P770" s="4" t="n"/>
      <c r="Q770" s="87" t="n"/>
      <c r="R770" s="5" t="n">
        <v>615</v>
      </c>
      <c r="S770" s="2" t="n">
        <v>1</v>
      </c>
      <c r="T770" s="3" t="inlineStr">
        <is>
          <t>6B/2024/1S</t>
        </is>
      </c>
      <c r="U770" s="87" t="inlineStr">
        <is>
          <t>13/11/2024</t>
        </is>
      </c>
      <c r="V770" s="3" t="inlineStr">
        <is>
          <t>25</t>
        </is>
      </c>
      <c r="W770" s="108" t="inlineStr">
        <is>
          <t>13/11/2024</t>
        </is>
      </c>
      <c r="X770" s="4" t="inlineStr">
        <is>
          <t>HS &amp; S LLC</t>
        </is>
      </c>
    </row>
    <row r="771" ht="24" customHeight="1">
      <c r="A771" s="2">
        <f>+D771-S771</f>
        <v/>
      </c>
      <c r="B771" s="80" t="n">
        <v>2453</v>
      </c>
      <c r="C771" s="66" t="n">
        <v>45593</v>
      </c>
      <c r="D771" s="2" t="n">
        <v>1</v>
      </c>
      <c r="E771" s="3" t="inlineStr">
        <is>
          <t>PISTOLA SEMIAUTOMATICA</t>
        </is>
      </c>
      <c r="F771" s="3" t="inlineStr">
        <is>
          <t>9X19</t>
        </is>
      </c>
      <c r="G771" s="71" t="inlineStr">
        <is>
          <t>GLOCK</t>
        </is>
      </c>
      <c r="H771" s="65" t="inlineStr">
        <is>
          <t>26 GEN5 LUGER</t>
        </is>
      </c>
      <c r="I771" s="65" t="inlineStr">
        <is>
          <t>CASF648</t>
        </is>
      </c>
      <c r="J771" s="65" t="inlineStr">
        <is>
          <t>N/D</t>
        </is>
      </c>
      <c r="K771" s="65" t="inlineStr">
        <is>
          <t>N/D</t>
        </is>
      </c>
      <c r="L771" s="127" t="inlineStr">
        <is>
          <t>BIGNAMI SPA</t>
        </is>
      </c>
      <c r="M771" s="5" t="n">
        <v>514.731</v>
      </c>
      <c r="N771" s="5" t="n"/>
      <c r="O771" s="5">
        <f>+M771+N771</f>
        <v/>
      </c>
      <c r="P771" s="4" t="n"/>
      <c r="Q771" s="87" t="n"/>
      <c r="R771" s="5" t="n">
        <v>615</v>
      </c>
      <c r="S771" s="2" t="n">
        <v>1</v>
      </c>
      <c r="T771" s="3" t="inlineStr">
        <is>
          <t>6B/2024/1S</t>
        </is>
      </c>
      <c r="U771" s="87" t="inlineStr">
        <is>
          <t>13/11/2024</t>
        </is>
      </c>
      <c r="V771" s="3" t="inlineStr">
        <is>
          <t>25</t>
        </is>
      </c>
      <c r="W771" s="108" t="inlineStr">
        <is>
          <t>13/11/2024</t>
        </is>
      </c>
      <c r="X771" s="4" t="inlineStr">
        <is>
          <t>HS &amp; S LLC</t>
        </is>
      </c>
    </row>
    <row r="772" ht="24" customHeight="1">
      <c r="A772" s="2">
        <f>+D772-S772</f>
        <v/>
      </c>
      <c r="B772" s="80" t="n">
        <v>2454</v>
      </c>
      <c r="C772" s="66" t="n">
        <v>45593</v>
      </c>
      <c r="D772" s="2" t="n">
        <v>1</v>
      </c>
      <c r="E772" s="3" t="inlineStr">
        <is>
          <t>PISTOLA SEMIAUTOMATICA</t>
        </is>
      </c>
      <c r="F772" s="3" t="inlineStr">
        <is>
          <t>9X19</t>
        </is>
      </c>
      <c r="G772" s="71" t="inlineStr">
        <is>
          <t>GLOCK</t>
        </is>
      </c>
      <c r="H772" s="65" t="inlineStr">
        <is>
          <t>34 GEN4 LUGER</t>
        </is>
      </c>
      <c r="I772" s="65" t="inlineStr">
        <is>
          <t>CECL337</t>
        </is>
      </c>
      <c r="J772" s="65" t="inlineStr">
        <is>
          <t>N/D</t>
        </is>
      </c>
      <c r="K772" s="65" t="inlineStr">
        <is>
          <t>N/D</t>
        </is>
      </c>
      <c r="L772" s="127" t="inlineStr">
        <is>
          <t>BIGNAMI SPA</t>
        </is>
      </c>
      <c r="M772" s="5" t="n">
        <v>495.466</v>
      </c>
      <c r="N772" s="5" t="n"/>
      <c r="O772" s="5">
        <f>+M772+N772</f>
        <v/>
      </c>
      <c r="P772" s="4" t="n"/>
      <c r="Q772" s="87" t="n"/>
      <c r="R772" s="5" t="n">
        <v>664</v>
      </c>
      <c r="S772" s="2" t="n">
        <v>1</v>
      </c>
      <c r="T772" s="3" t="inlineStr">
        <is>
          <t>6B/2024/1S</t>
        </is>
      </c>
      <c r="U772" s="87" t="inlineStr">
        <is>
          <t>13/11/2024</t>
        </is>
      </c>
      <c r="V772" s="3" t="inlineStr">
        <is>
          <t>25</t>
        </is>
      </c>
      <c r="W772" s="108" t="inlineStr">
        <is>
          <t>13/11/2024</t>
        </is>
      </c>
      <c r="X772" s="4" t="inlineStr">
        <is>
          <t>HS &amp; S LLC</t>
        </is>
      </c>
    </row>
    <row r="773" ht="24" customHeight="1">
      <c r="A773" s="2">
        <f>+D773-S773</f>
        <v/>
      </c>
      <c r="B773" s="80" t="n">
        <v>2455</v>
      </c>
      <c r="C773" s="66" t="n">
        <v>45593</v>
      </c>
      <c r="D773" s="2" t="n">
        <v>1</v>
      </c>
      <c r="E773" s="3" t="inlineStr">
        <is>
          <t>PISTOLA SEMIAUTOMATICA</t>
        </is>
      </c>
      <c r="F773" s="3" t="inlineStr">
        <is>
          <t>9X19</t>
        </is>
      </c>
      <c r="G773" s="71" t="inlineStr">
        <is>
          <t>GLOCK</t>
        </is>
      </c>
      <c r="H773" s="65" t="inlineStr">
        <is>
          <t>34 GEN4 LUGER</t>
        </is>
      </c>
      <c r="I773" s="65" t="inlineStr">
        <is>
          <t>CECL338</t>
        </is>
      </c>
      <c r="J773" s="65" t="inlineStr">
        <is>
          <t>N/D</t>
        </is>
      </c>
      <c r="K773" s="65" t="inlineStr">
        <is>
          <t>N/D</t>
        </is>
      </c>
      <c r="L773" s="127" t="inlineStr">
        <is>
          <t>BIGNAMI SPA</t>
        </is>
      </c>
      <c r="M773" s="5" t="n">
        <v>495.466</v>
      </c>
      <c r="N773" s="5" t="n"/>
      <c r="O773" s="5">
        <f>+M773+N773</f>
        <v/>
      </c>
      <c r="P773" s="4" t="n"/>
      <c r="Q773" s="87" t="n"/>
      <c r="R773" s="5" t="n">
        <v>664</v>
      </c>
      <c r="S773" s="2" t="n">
        <v>1</v>
      </c>
      <c r="T773" s="3" t="inlineStr">
        <is>
          <t>6B/2024/1S</t>
        </is>
      </c>
      <c r="U773" s="87" t="inlineStr">
        <is>
          <t>13/11/2024</t>
        </is>
      </c>
      <c r="V773" s="3" t="inlineStr">
        <is>
          <t>25</t>
        </is>
      </c>
      <c r="W773" s="108" t="inlineStr">
        <is>
          <t>13/11/2024</t>
        </is>
      </c>
      <c r="X773" s="4" t="inlineStr">
        <is>
          <t>HS &amp; S LLC</t>
        </is>
      </c>
    </row>
    <row r="774" ht="24" customHeight="1">
      <c r="A774" s="2">
        <f>+D774-S774</f>
        <v/>
      </c>
      <c r="B774" s="80" t="n">
        <v>2456</v>
      </c>
      <c r="C774" s="66" t="n">
        <v>45593</v>
      </c>
      <c r="D774" s="2" t="n">
        <v>1</v>
      </c>
      <c r="E774" s="3" t="inlineStr">
        <is>
          <t>PISTOLA SEMIAUTOMATICA</t>
        </is>
      </c>
      <c r="F774" s="3" t="inlineStr">
        <is>
          <t>9X19</t>
        </is>
      </c>
      <c r="G774" s="71" t="inlineStr">
        <is>
          <t>GLOCK</t>
        </is>
      </c>
      <c r="H774" s="65" t="inlineStr">
        <is>
          <t>34 GEN4 LUGER</t>
        </is>
      </c>
      <c r="I774" s="65" t="inlineStr">
        <is>
          <t>CECL336</t>
        </is>
      </c>
      <c r="J774" s="65" t="inlineStr">
        <is>
          <t>N/D</t>
        </is>
      </c>
      <c r="K774" s="65" t="inlineStr">
        <is>
          <t>N/D</t>
        </is>
      </c>
      <c r="L774" s="127" t="inlineStr">
        <is>
          <t>BIGNAMI SPA</t>
        </is>
      </c>
      <c r="M774" s="5" t="n">
        <v>495.466</v>
      </c>
      <c r="N774" s="5" t="n"/>
      <c r="O774" s="5">
        <f>+M774+N774</f>
        <v/>
      </c>
      <c r="P774" s="4" t="n"/>
      <c r="Q774" s="87" t="n"/>
      <c r="R774" s="5" t="n">
        <v>664</v>
      </c>
      <c r="S774" s="2" t="n">
        <v>1</v>
      </c>
      <c r="T774" s="3" t="inlineStr">
        <is>
          <t>6B/2024/1S</t>
        </is>
      </c>
      <c r="U774" s="87" t="inlineStr">
        <is>
          <t>13/11/2024</t>
        </is>
      </c>
      <c r="V774" s="3" t="inlineStr">
        <is>
          <t>25</t>
        </is>
      </c>
      <c r="W774" s="108" t="inlineStr">
        <is>
          <t>13/11/2024</t>
        </is>
      </c>
      <c r="X774" s="4" t="inlineStr">
        <is>
          <t>HS &amp; S LLC</t>
        </is>
      </c>
    </row>
    <row r="775" ht="24" customHeight="1">
      <c r="A775" s="2">
        <f>+D775-S775</f>
        <v/>
      </c>
      <c r="B775" s="80" t="n">
        <v>2457</v>
      </c>
      <c r="C775" s="66" t="n">
        <v>45593</v>
      </c>
      <c r="D775" s="2" t="n">
        <v>1</v>
      </c>
      <c r="E775" s="3" t="inlineStr">
        <is>
          <t>PISTOLA SEMIAUTOMATICA</t>
        </is>
      </c>
      <c r="F775" s="3" t="inlineStr">
        <is>
          <t>9X19</t>
        </is>
      </c>
      <c r="G775" s="71" t="inlineStr">
        <is>
          <t>GLOCK</t>
        </is>
      </c>
      <c r="H775" s="65" t="inlineStr">
        <is>
          <t>34 GEN4 LUGER</t>
        </is>
      </c>
      <c r="I775" s="65" t="inlineStr">
        <is>
          <t>CECL334</t>
        </is>
      </c>
      <c r="J775" s="65" t="inlineStr">
        <is>
          <t>N/D</t>
        </is>
      </c>
      <c r="K775" s="65" t="inlineStr">
        <is>
          <t>N/D</t>
        </is>
      </c>
      <c r="L775" s="127" t="inlineStr">
        <is>
          <t>BIGNAMI SPA</t>
        </is>
      </c>
      <c r="M775" s="5" t="n">
        <v>495.466</v>
      </c>
      <c r="N775" s="5" t="n"/>
      <c r="O775" s="5">
        <f>+M775+N775</f>
        <v/>
      </c>
      <c r="P775" s="4" t="n"/>
      <c r="Q775" s="87" t="n"/>
      <c r="R775" s="5" t="n">
        <v>664</v>
      </c>
      <c r="S775" s="2" t="n">
        <v>1</v>
      </c>
      <c r="T775" s="3" t="inlineStr">
        <is>
          <t>6B/2024/1S</t>
        </is>
      </c>
      <c r="U775" s="87" t="inlineStr">
        <is>
          <t>13/11/2024</t>
        </is>
      </c>
      <c r="V775" s="3" t="inlineStr">
        <is>
          <t>25</t>
        </is>
      </c>
      <c r="W775" s="108" t="inlineStr">
        <is>
          <t>13/11/2024</t>
        </is>
      </c>
      <c r="X775" s="4" t="inlineStr">
        <is>
          <t>HS &amp; S LLC</t>
        </is>
      </c>
    </row>
    <row r="776" ht="24" customHeight="1">
      <c r="A776" s="2">
        <f>+D776-S776</f>
        <v/>
      </c>
      <c r="B776" s="80" t="n">
        <v>2458</v>
      </c>
      <c r="C776" s="66" t="n">
        <v>45593</v>
      </c>
      <c r="D776" s="2" t="n">
        <v>1</v>
      </c>
      <c r="E776" s="3" t="inlineStr">
        <is>
          <t>PISTOLA SEMIAUTOMATICA</t>
        </is>
      </c>
      <c r="F776" s="3" t="inlineStr">
        <is>
          <t>9X19</t>
        </is>
      </c>
      <c r="G776" s="71" t="inlineStr">
        <is>
          <t>GLOCK</t>
        </is>
      </c>
      <c r="H776" s="65" t="inlineStr">
        <is>
          <t>48 LUGER</t>
        </is>
      </c>
      <c r="I776" s="65" t="inlineStr">
        <is>
          <t>CCSN935</t>
        </is>
      </c>
      <c r="J776" s="65" t="inlineStr">
        <is>
          <t>N/D</t>
        </is>
      </c>
      <c r="K776" s="65" t="inlineStr">
        <is>
          <t>N/D</t>
        </is>
      </c>
      <c r="L776" s="127" t="inlineStr">
        <is>
          <t>BIGNAMI SPA</t>
        </is>
      </c>
      <c r="M776" s="5" t="n">
        <v>454.14</v>
      </c>
      <c r="N776" s="5" t="n"/>
      <c r="O776" s="5">
        <f>+M776+N776</f>
        <v/>
      </c>
      <c r="P776" s="4" t="n"/>
      <c r="Q776" s="87" t="n"/>
      <c r="R776" s="5" t="n">
        <v>520</v>
      </c>
      <c r="S776" s="2" t="n">
        <v>1</v>
      </c>
      <c r="T776" s="3" t="inlineStr">
        <is>
          <t>6B/2024/1S</t>
        </is>
      </c>
      <c r="U776" s="87" t="inlineStr">
        <is>
          <t>13/11/2024</t>
        </is>
      </c>
      <c r="V776" s="3" t="inlineStr">
        <is>
          <t>25</t>
        </is>
      </c>
      <c r="W776" s="108" t="inlineStr">
        <is>
          <t>13/11/2024</t>
        </is>
      </c>
      <c r="X776" s="4" t="inlineStr">
        <is>
          <t>HS &amp; S LLC</t>
        </is>
      </c>
    </row>
    <row r="777" ht="24" customHeight="1">
      <c r="A777" s="2">
        <f>+D777-S777</f>
        <v/>
      </c>
      <c r="B777" s="80" t="n">
        <v>2459</v>
      </c>
      <c r="C777" s="66" t="n">
        <v>45593</v>
      </c>
      <c r="D777" s="2" t="n">
        <v>1</v>
      </c>
      <c r="E777" s="3" t="inlineStr">
        <is>
          <t>PISTOLA SEMIAUTOMATICA</t>
        </is>
      </c>
      <c r="F777" s="3" t="inlineStr">
        <is>
          <t>9X19</t>
        </is>
      </c>
      <c r="G777" s="71" t="inlineStr">
        <is>
          <t>GLOCK</t>
        </is>
      </c>
      <c r="H777" s="65" t="inlineStr">
        <is>
          <t>48 LUGER</t>
        </is>
      </c>
      <c r="I777" s="65" t="inlineStr">
        <is>
          <t>CCSN933</t>
        </is>
      </c>
      <c r="J777" s="65" t="inlineStr">
        <is>
          <t>N/D</t>
        </is>
      </c>
      <c r="K777" s="65" t="inlineStr">
        <is>
          <t>N/D</t>
        </is>
      </c>
      <c r="L777" s="127" t="inlineStr">
        <is>
          <t>BIGNAMI SPA</t>
        </is>
      </c>
      <c r="M777" s="5" t="n">
        <v>454.14</v>
      </c>
      <c r="N777" s="5" t="n"/>
      <c r="O777" s="5">
        <f>+M777+N777</f>
        <v/>
      </c>
      <c r="P777" s="4" t="n"/>
      <c r="Q777" s="87" t="n"/>
      <c r="R777" s="5" t="n">
        <v>520</v>
      </c>
      <c r="S777" s="2" t="n">
        <v>1</v>
      </c>
      <c r="T777" s="3" t="inlineStr">
        <is>
          <t>6B/2024/1S</t>
        </is>
      </c>
      <c r="U777" s="87" t="inlineStr">
        <is>
          <t>13/11/2024</t>
        </is>
      </c>
      <c r="V777" s="3" t="inlineStr">
        <is>
          <t>25</t>
        </is>
      </c>
      <c r="W777" s="108" t="inlineStr">
        <is>
          <t>13/11/2024</t>
        </is>
      </c>
      <c r="X777" s="4" t="inlineStr">
        <is>
          <t>HS &amp; S LLC</t>
        </is>
      </c>
    </row>
    <row r="778" ht="24" customHeight="1">
      <c r="A778" s="2">
        <f>+D778-S778</f>
        <v/>
      </c>
      <c r="B778" s="80" t="n">
        <v>2460</v>
      </c>
      <c r="C778" s="66" t="n">
        <v>45593</v>
      </c>
      <c r="D778" s="2" t="n">
        <v>1</v>
      </c>
      <c r="E778" s="3" t="inlineStr">
        <is>
          <t>PISTOLA SEMIAUTOMATICA</t>
        </is>
      </c>
      <c r="F778" s="3" t="inlineStr">
        <is>
          <t>9X19</t>
        </is>
      </c>
      <c r="G778" s="71" t="inlineStr">
        <is>
          <t>GLOCK</t>
        </is>
      </c>
      <c r="H778" s="65" t="inlineStr">
        <is>
          <t>48 LUGER</t>
        </is>
      </c>
      <c r="I778" s="65" t="inlineStr">
        <is>
          <t>CCSN932</t>
        </is>
      </c>
      <c r="J778" s="65" t="inlineStr">
        <is>
          <t>N/D</t>
        </is>
      </c>
      <c r="K778" s="65" t="inlineStr">
        <is>
          <t>N/D</t>
        </is>
      </c>
      <c r="L778" s="127" t="inlineStr">
        <is>
          <t>BIGNAMI SPA</t>
        </is>
      </c>
      <c r="M778" s="5" t="n">
        <v>454.14</v>
      </c>
      <c r="N778" s="5" t="n"/>
      <c r="O778" s="5">
        <f>+M778+N778</f>
        <v/>
      </c>
      <c r="P778" s="4" t="n"/>
      <c r="Q778" s="87" t="n"/>
      <c r="R778" s="5" t="n">
        <v>520</v>
      </c>
      <c r="S778" s="2" t="n">
        <v>1</v>
      </c>
      <c r="T778" s="3" t="inlineStr">
        <is>
          <t>6B/2024/1S</t>
        </is>
      </c>
      <c r="U778" s="87" t="inlineStr">
        <is>
          <t>13/11/2024</t>
        </is>
      </c>
      <c r="V778" s="3" t="inlineStr">
        <is>
          <t>25</t>
        </is>
      </c>
      <c r="W778" s="108" t="inlineStr">
        <is>
          <t>13/11/2024</t>
        </is>
      </c>
      <c r="X778" s="4" t="inlineStr">
        <is>
          <t>HS &amp; S LLC</t>
        </is>
      </c>
    </row>
    <row r="779" ht="24" customHeight="1">
      <c r="A779" s="2">
        <f>+D779-S779</f>
        <v/>
      </c>
      <c r="B779" s="80" t="n">
        <v>2461</v>
      </c>
      <c r="C779" s="66" t="n">
        <v>45593</v>
      </c>
      <c r="D779" s="2" t="n">
        <v>1</v>
      </c>
      <c r="E779" s="3" t="inlineStr">
        <is>
          <t>PISTOLA SEMIAUTOMATICA</t>
        </is>
      </c>
      <c r="F779" s="3" t="inlineStr">
        <is>
          <t>.40</t>
        </is>
      </c>
      <c r="G779" s="71" t="inlineStr">
        <is>
          <t>GLOCK</t>
        </is>
      </c>
      <c r="H779" s="65" t="inlineStr">
        <is>
          <t>23 GEN5</t>
        </is>
      </c>
      <c r="I779" s="65" t="inlineStr">
        <is>
          <t>CCRC956</t>
        </is>
      </c>
      <c r="J779" s="65" t="inlineStr">
        <is>
          <t>N/D</t>
        </is>
      </c>
      <c r="K779" s="65" t="inlineStr">
        <is>
          <t>N/D</t>
        </is>
      </c>
      <c r="L779" s="127" t="inlineStr">
        <is>
          <t>BIGNAMI SPA</t>
        </is>
      </c>
      <c r="M779" s="5" t="n">
        <v>517.7822</v>
      </c>
      <c r="N779" s="5" t="n"/>
      <c r="O779" s="5">
        <f>+M779+N779</f>
        <v/>
      </c>
      <c r="P779" s="4" t="n"/>
      <c r="Q779" s="87" t="n"/>
      <c r="R779" s="5" t="n">
        <v>590</v>
      </c>
      <c r="S779" s="2" t="n">
        <v>1</v>
      </c>
      <c r="T779" s="3" t="inlineStr">
        <is>
          <t>6B/2024/1S</t>
        </is>
      </c>
      <c r="U779" s="87" t="inlineStr">
        <is>
          <t>13/11/2024</t>
        </is>
      </c>
      <c r="V779" s="3" t="inlineStr">
        <is>
          <t>25</t>
        </is>
      </c>
      <c r="W779" s="108" t="inlineStr">
        <is>
          <t>13/11/2024</t>
        </is>
      </c>
      <c r="X779" s="4" t="inlineStr">
        <is>
          <t>HS &amp; S LLC</t>
        </is>
      </c>
    </row>
    <row r="780" ht="24" customHeight="1">
      <c r="A780" s="2">
        <f>+D780-S780</f>
        <v/>
      </c>
      <c r="B780" s="80" t="n">
        <v>2462</v>
      </c>
      <c r="C780" s="66" t="n">
        <v>45593</v>
      </c>
      <c r="D780" s="2" t="n">
        <v>1</v>
      </c>
      <c r="E780" s="3" t="inlineStr">
        <is>
          <t>PISTOLA SEMIAUTOMATICA</t>
        </is>
      </c>
      <c r="F780" s="3" t="inlineStr">
        <is>
          <t>9X19</t>
        </is>
      </c>
      <c r="G780" s="71" t="inlineStr">
        <is>
          <t>SIG SAUER</t>
        </is>
      </c>
      <c r="H780" s="65" t="inlineStr">
        <is>
          <t>P320 M18 LUGER 3.9''</t>
        </is>
      </c>
      <c r="I780" s="65" t="inlineStr">
        <is>
          <t>M18A187278</t>
        </is>
      </c>
      <c r="J780" s="65" t="inlineStr">
        <is>
          <t>N/D</t>
        </is>
      </c>
      <c r="K780" s="65" t="inlineStr">
        <is>
          <t>N/D</t>
        </is>
      </c>
      <c r="L780" s="127" t="inlineStr">
        <is>
          <t>BIGNAMI SPA</t>
        </is>
      </c>
      <c r="M780" s="5" t="n">
        <v>695.41</v>
      </c>
      <c r="N780" s="5" t="n"/>
      <c r="O780" s="5">
        <f>+M780+N780</f>
        <v/>
      </c>
      <c r="P780" s="4" t="n"/>
      <c r="Q780" s="87" t="n"/>
      <c r="R780" s="5" t="n">
        <v>860</v>
      </c>
      <c r="S780" s="2" t="n">
        <v>1</v>
      </c>
      <c r="T780" s="3" t="inlineStr">
        <is>
          <t>6B/2024/1S</t>
        </is>
      </c>
      <c r="U780" s="87" t="inlineStr">
        <is>
          <t>13/11/2024</t>
        </is>
      </c>
      <c r="V780" s="3" t="inlineStr">
        <is>
          <t>25</t>
        </is>
      </c>
      <c r="W780" s="108" t="inlineStr">
        <is>
          <t>13/11/2024</t>
        </is>
      </c>
      <c r="X780" s="4" t="inlineStr">
        <is>
          <t>HS &amp; S LLC</t>
        </is>
      </c>
    </row>
    <row r="781" ht="24" customHeight="1">
      <c r="A781" s="2">
        <f>+D781-S781</f>
        <v/>
      </c>
      <c r="B781" s="80" t="n">
        <v>2463</v>
      </c>
      <c r="C781" s="66" t="n">
        <v>45593</v>
      </c>
      <c r="D781" s="2" t="n">
        <v>1</v>
      </c>
      <c r="E781" s="3" t="inlineStr">
        <is>
          <t>PISTOLA SEMIAUTOMATICA</t>
        </is>
      </c>
      <c r="F781" s="3" t="inlineStr">
        <is>
          <t>9X19</t>
        </is>
      </c>
      <c r="G781" s="71" t="inlineStr">
        <is>
          <t>SIG SAUER</t>
        </is>
      </c>
      <c r="H781" s="65" t="inlineStr">
        <is>
          <t>P320 M18 LUGER 3.9''</t>
        </is>
      </c>
      <c r="I781" s="65" t="inlineStr">
        <is>
          <t>M18A187205</t>
        </is>
      </c>
      <c r="J781" s="65" t="inlineStr">
        <is>
          <t>N/D</t>
        </is>
      </c>
      <c r="K781" s="65" t="inlineStr">
        <is>
          <t>N/D</t>
        </is>
      </c>
      <c r="L781" s="127" t="inlineStr">
        <is>
          <t>BIGNAMI SPA</t>
        </is>
      </c>
      <c r="M781" s="5" t="n">
        <v>695.41</v>
      </c>
      <c r="N781" s="5" t="n"/>
      <c r="O781" s="5">
        <f>+M781+N781</f>
        <v/>
      </c>
      <c r="P781" s="4" t="n"/>
      <c r="Q781" s="87" t="n"/>
      <c r="R781" s="5" t="n">
        <v>860</v>
      </c>
      <c r="S781" s="2" t="n">
        <v>1</v>
      </c>
      <c r="T781" s="3" t="inlineStr">
        <is>
          <t>6B/2024/1S</t>
        </is>
      </c>
      <c r="U781" s="87" t="inlineStr">
        <is>
          <t>13/11/2024</t>
        </is>
      </c>
      <c r="V781" s="3" t="inlineStr">
        <is>
          <t>25</t>
        </is>
      </c>
      <c r="W781" s="108" t="inlineStr">
        <is>
          <t>13/11/2024</t>
        </is>
      </c>
      <c r="X781" s="4" t="inlineStr">
        <is>
          <t>HS &amp; S LLC</t>
        </is>
      </c>
    </row>
    <row r="782" ht="24" customHeight="1">
      <c r="A782" s="2">
        <f>+D782-S782</f>
        <v/>
      </c>
      <c r="B782" s="80" t="n">
        <v>2464</v>
      </c>
      <c r="C782" s="66" t="n">
        <v>45593</v>
      </c>
      <c r="D782" s="2" t="n">
        <v>1</v>
      </c>
      <c r="E782" s="3" t="inlineStr">
        <is>
          <t>PISTOLA SEMIAUTOMATICA</t>
        </is>
      </c>
      <c r="F782" s="3" t="inlineStr">
        <is>
          <t>9X19</t>
        </is>
      </c>
      <c r="G782" s="71" t="inlineStr">
        <is>
          <t>SIG SAUER</t>
        </is>
      </c>
      <c r="H782" s="65" t="inlineStr">
        <is>
          <t>P320 M18 LUGER 3.9''</t>
        </is>
      </c>
      <c r="I782" s="65" t="inlineStr">
        <is>
          <t>M18A187220</t>
        </is>
      </c>
      <c r="J782" s="65" t="inlineStr">
        <is>
          <t>N/D</t>
        </is>
      </c>
      <c r="K782" s="65" t="inlineStr">
        <is>
          <t>N/D</t>
        </is>
      </c>
      <c r="L782" s="127" t="inlineStr">
        <is>
          <t>BIGNAMI SPA</t>
        </is>
      </c>
      <c r="M782" s="5" t="n">
        <v>695.41</v>
      </c>
      <c r="N782" s="5" t="n"/>
      <c r="O782" s="5">
        <f>+M782+N782</f>
        <v/>
      </c>
      <c r="P782" s="4" t="n"/>
      <c r="Q782" s="87" t="n"/>
      <c r="R782" s="5" t="n">
        <v>860</v>
      </c>
      <c r="S782" s="2" t="n">
        <v>1</v>
      </c>
      <c r="T782" s="3" t="inlineStr">
        <is>
          <t>6B/2024/1S</t>
        </is>
      </c>
      <c r="U782" s="87" t="inlineStr">
        <is>
          <t>13/11/2024</t>
        </is>
      </c>
      <c r="V782" s="3" t="inlineStr">
        <is>
          <t>25</t>
        </is>
      </c>
      <c r="W782" s="108" t="inlineStr">
        <is>
          <t>13/11/2024</t>
        </is>
      </c>
      <c r="X782" s="4" t="inlineStr">
        <is>
          <t>HS &amp; S LLC</t>
        </is>
      </c>
    </row>
    <row r="783" ht="24" customHeight="1">
      <c r="A783" s="2">
        <f>+D783-S783</f>
        <v/>
      </c>
      <c r="B783" s="80" t="n">
        <v>2465</v>
      </c>
      <c r="C783" s="66" t="n">
        <v>45593</v>
      </c>
      <c r="D783" s="2" t="n">
        <v>1</v>
      </c>
      <c r="E783" s="3" t="inlineStr">
        <is>
          <t>PISTOLA SEMIAUTOMATICA</t>
        </is>
      </c>
      <c r="F783" s="3" t="inlineStr">
        <is>
          <t>9X19</t>
        </is>
      </c>
      <c r="G783" s="71" t="inlineStr">
        <is>
          <t>SIG SAUER</t>
        </is>
      </c>
      <c r="H783" s="65" t="inlineStr">
        <is>
          <t>P320 M18 LUGER 3.9''</t>
        </is>
      </c>
      <c r="I783" s="65" t="inlineStr">
        <is>
          <t>M18A184665</t>
        </is>
      </c>
      <c r="J783" s="65" t="inlineStr">
        <is>
          <t>N/D</t>
        </is>
      </c>
      <c r="K783" s="65" t="inlineStr">
        <is>
          <t>N/D</t>
        </is>
      </c>
      <c r="L783" s="127" t="inlineStr">
        <is>
          <t>BIGNAMI SPA</t>
        </is>
      </c>
      <c r="M783" s="5" t="n">
        <v>695.41</v>
      </c>
      <c r="N783" s="5" t="n"/>
      <c r="O783" s="5">
        <f>+M783+N783</f>
        <v/>
      </c>
      <c r="P783" s="4" t="n"/>
      <c r="Q783" s="87" t="n"/>
      <c r="R783" s="5" t="n">
        <v>860</v>
      </c>
      <c r="S783" s="2" t="n">
        <v>1</v>
      </c>
      <c r="T783" s="3" t="inlineStr">
        <is>
          <t>6B/2024/1S</t>
        </is>
      </c>
      <c r="U783" s="87" t="inlineStr">
        <is>
          <t>13/11/2024</t>
        </is>
      </c>
      <c r="V783" s="3" t="inlineStr">
        <is>
          <t>25</t>
        </is>
      </c>
      <c r="W783" s="108" t="inlineStr">
        <is>
          <t>13/11/2024</t>
        </is>
      </c>
      <c r="X783" s="4" t="inlineStr">
        <is>
          <t>HS &amp; S LLC</t>
        </is>
      </c>
    </row>
    <row r="784" ht="24" customHeight="1">
      <c r="A784" s="2">
        <f>+D784-S784</f>
        <v/>
      </c>
      <c r="B784" s="80" t="n">
        <v>2466</v>
      </c>
      <c r="C784" s="66" t="n">
        <v>45593</v>
      </c>
      <c r="D784" s="2" t="n">
        <v>1</v>
      </c>
      <c r="E784" s="3" t="inlineStr">
        <is>
          <t>PISTOLA SEMIAUTOMATICA</t>
        </is>
      </c>
      <c r="F784" s="3" t="inlineStr">
        <is>
          <t>9X19</t>
        </is>
      </c>
      <c r="G784" s="71" t="inlineStr">
        <is>
          <t>SIG SAUER</t>
        </is>
      </c>
      <c r="H784" s="65" t="inlineStr">
        <is>
          <t>P320 M18 LUGER 3.9''</t>
        </is>
      </c>
      <c r="I784" s="65" t="inlineStr">
        <is>
          <t>M18A187277</t>
        </is>
      </c>
      <c r="J784" s="65" t="inlineStr">
        <is>
          <t>N/D</t>
        </is>
      </c>
      <c r="K784" s="65" t="inlineStr">
        <is>
          <t>N/D</t>
        </is>
      </c>
      <c r="L784" s="127" t="inlineStr">
        <is>
          <t>BIGNAMI SPA</t>
        </is>
      </c>
      <c r="M784" s="5" t="n">
        <v>695.41</v>
      </c>
      <c r="N784" s="5" t="n"/>
      <c r="O784" s="5">
        <f>+M784+N784</f>
        <v/>
      </c>
      <c r="P784" s="4" t="n"/>
      <c r="Q784" s="87" t="n"/>
      <c r="R784" s="5" t="n">
        <v>860</v>
      </c>
      <c r="S784" s="2" t="n">
        <v>1</v>
      </c>
      <c r="T784" s="3" t="inlineStr">
        <is>
          <t>6B/2024/1S</t>
        </is>
      </c>
      <c r="U784" s="87" t="inlineStr">
        <is>
          <t>13/11/2024</t>
        </is>
      </c>
      <c r="V784" s="3" t="inlineStr">
        <is>
          <t>25</t>
        </is>
      </c>
      <c r="W784" s="108" t="inlineStr">
        <is>
          <t>13/11/2024</t>
        </is>
      </c>
      <c r="X784" s="4" t="inlineStr">
        <is>
          <t>HS &amp; S LLC</t>
        </is>
      </c>
    </row>
    <row r="785" ht="24" customHeight="1">
      <c r="A785" s="2">
        <f>+D785-S785</f>
        <v/>
      </c>
      <c r="B785" s="80" t="n">
        <v>2467</v>
      </c>
      <c r="C785" s="66" t="n">
        <v>45593</v>
      </c>
      <c r="D785" s="2" t="n">
        <v>1</v>
      </c>
      <c r="E785" s="3" t="inlineStr">
        <is>
          <t>PISTOLA SEMIAUTOMATICA</t>
        </is>
      </c>
      <c r="F785" s="3" t="inlineStr">
        <is>
          <t>9X19</t>
        </is>
      </c>
      <c r="G785" s="71" t="inlineStr">
        <is>
          <t>SIG SAUER</t>
        </is>
      </c>
      <c r="H785" s="65" t="inlineStr">
        <is>
          <t>P320 M18 LUGER 3.9''</t>
        </is>
      </c>
      <c r="I785" s="65" t="inlineStr">
        <is>
          <t>M18A184669</t>
        </is>
      </c>
      <c r="J785" s="65" t="inlineStr">
        <is>
          <t>N/D</t>
        </is>
      </c>
      <c r="K785" s="65" t="inlineStr">
        <is>
          <t>N/D</t>
        </is>
      </c>
      <c r="L785" s="127" t="inlineStr">
        <is>
          <t>BIGNAMI SPA</t>
        </is>
      </c>
      <c r="M785" s="5" t="n">
        <v>695.41</v>
      </c>
      <c r="N785" s="5" t="n"/>
      <c r="O785" s="5">
        <f>+M785+N785</f>
        <v/>
      </c>
      <c r="P785" s="4" t="n"/>
      <c r="Q785" s="87" t="n"/>
      <c r="R785" s="5" t="n">
        <v>860</v>
      </c>
      <c r="S785" s="2" t="n">
        <v>1</v>
      </c>
      <c r="T785" s="3" t="inlineStr">
        <is>
          <t>6B/2024/1S</t>
        </is>
      </c>
      <c r="U785" s="87" t="inlineStr">
        <is>
          <t>13/11/2024</t>
        </is>
      </c>
      <c r="V785" s="3" t="inlineStr">
        <is>
          <t>25</t>
        </is>
      </c>
      <c r="W785" s="108" t="inlineStr">
        <is>
          <t>13/11/2024</t>
        </is>
      </c>
      <c r="X785" s="4" t="inlineStr">
        <is>
          <t>HS &amp; S LLC</t>
        </is>
      </c>
    </row>
    <row r="786" ht="24" customHeight="1">
      <c r="A786" s="2">
        <f>+D786-S786</f>
        <v/>
      </c>
      <c r="B786" s="80" t="n">
        <v>2468</v>
      </c>
      <c r="C786" s="66" t="n">
        <v>45593</v>
      </c>
      <c r="D786" s="2" t="n">
        <v>1</v>
      </c>
      <c r="E786" s="3" t="inlineStr">
        <is>
          <t>PISTOLA SEMIAUTOMATICA</t>
        </is>
      </c>
      <c r="F786" s="3" t="inlineStr">
        <is>
          <t>9X19</t>
        </is>
      </c>
      <c r="G786" s="71" t="inlineStr">
        <is>
          <t>CZ</t>
        </is>
      </c>
      <c r="H786" s="65" t="inlineStr">
        <is>
          <t>75 B LUGER BLUED</t>
        </is>
      </c>
      <c r="I786" s="65" t="inlineStr">
        <is>
          <t>J105829</t>
        </is>
      </c>
      <c r="J786" s="65" t="inlineStr">
        <is>
          <t>N/D</t>
        </is>
      </c>
      <c r="K786" s="65" t="inlineStr">
        <is>
          <t>N/D</t>
        </is>
      </c>
      <c r="L786" s="127" t="inlineStr">
        <is>
          <t>BIGNAMI SPA</t>
        </is>
      </c>
      <c r="M786" s="5" t="n">
        <v>742</v>
      </c>
      <c r="N786" s="5" t="n"/>
      <c r="O786" s="5">
        <f>+M786+N786</f>
        <v/>
      </c>
      <c r="P786" s="4" t="n"/>
      <c r="Q786" s="87" t="n"/>
      <c r="R786" s="5" t="n">
        <v>790</v>
      </c>
      <c r="S786" s="2" t="n">
        <v>1</v>
      </c>
      <c r="T786" s="3" t="inlineStr">
        <is>
          <t>6B/2024/1S</t>
        </is>
      </c>
      <c r="U786" s="87" t="inlineStr">
        <is>
          <t>13/11/2024</t>
        </is>
      </c>
      <c r="V786" s="3" t="inlineStr">
        <is>
          <t>25</t>
        </is>
      </c>
      <c r="W786" s="108" t="inlineStr">
        <is>
          <t>13/11/2024</t>
        </is>
      </c>
      <c r="X786" s="4" t="inlineStr">
        <is>
          <t>HS &amp; S LLC</t>
        </is>
      </c>
    </row>
    <row r="787" ht="24" customHeight="1">
      <c r="A787" s="2">
        <f>+D787-S787</f>
        <v/>
      </c>
      <c r="B787" s="80" t="n">
        <v>2469</v>
      </c>
      <c r="C787" s="66" t="n">
        <v>45593</v>
      </c>
      <c r="D787" s="2" t="n">
        <v>1</v>
      </c>
      <c r="E787" s="3" t="inlineStr">
        <is>
          <t>PISTOLA SEMIAUTOMATICA</t>
        </is>
      </c>
      <c r="F787" s="3" t="inlineStr">
        <is>
          <t>9X19</t>
        </is>
      </c>
      <c r="G787" s="71" t="inlineStr">
        <is>
          <t>CZ</t>
        </is>
      </c>
      <c r="H787" s="65" t="inlineStr">
        <is>
          <t>75 B LUGER BLUED</t>
        </is>
      </c>
      <c r="I787" s="65" t="inlineStr">
        <is>
          <t>J105810</t>
        </is>
      </c>
      <c r="J787" s="65" t="inlineStr">
        <is>
          <t>N/D</t>
        </is>
      </c>
      <c r="K787" s="65" t="inlineStr">
        <is>
          <t>N/D</t>
        </is>
      </c>
      <c r="L787" s="127" t="inlineStr">
        <is>
          <t>BIGNAMI SPA</t>
        </is>
      </c>
      <c r="M787" s="5" t="n">
        <v>742</v>
      </c>
      <c r="N787" s="5" t="n"/>
      <c r="O787" s="5">
        <f>+M787+N787</f>
        <v/>
      </c>
      <c r="P787" s="4" t="n"/>
      <c r="Q787" s="87" t="n"/>
      <c r="R787" s="5" t="n">
        <v>790</v>
      </c>
      <c r="S787" s="2" t="n">
        <v>1</v>
      </c>
      <c r="T787" s="3" t="inlineStr">
        <is>
          <t>6B/2024/1S</t>
        </is>
      </c>
      <c r="U787" s="87" t="inlineStr">
        <is>
          <t>13/11/2024</t>
        </is>
      </c>
      <c r="V787" s="3" t="inlineStr">
        <is>
          <t>25</t>
        </is>
      </c>
      <c r="W787" s="108" t="inlineStr">
        <is>
          <t>13/11/2024</t>
        </is>
      </c>
      <c r="X787" s="4" t="inlineStr">
        <is>
          <t>HS &amp; S LLC</t>
        </is>
      </c>
    </row>
    <row r="788" ht="24" customHeight="1">
      <c r="A788" s="2">
        <f>+D788-S788</f>
        <v/>
      </c>
      <c r="B788" s="80" t="n">
        <v>2470</v>
      </c>
      <c r="C788" s="66" t="n">
        <v>45593</v>
      </c>
      <c r="D788" s="2" t="n">
        <v>1</v>
      </c>
      <c r="E788" s="3" t="inlineStr">
        <is>
          <t>PISTOLA SEMIAUTOMATICA</t>
        </is>
      </c>
      <c r="F788" s="3" t="inlineStr">
        <is>
          <t>9X19</t>
        </is>
      </c>
      <c r="G788" s="71" t="inlineStr">
        <is>
          <t>CZ</t>
        </is>
      </c>
      <c r="H788" s="65" t="inlineStr">
        <is>
          <t>75 B LUGER BLUED</t>
        </is>
      </c>
      <c r="I788" s="65" t="inlineStr">
        <is>
          <t>J105814</t>
        </is>
      </c>
      <c r="J788" s="65" t="inlineStr">
        <is>
          <t>N/D</t>
        </is>
      </c>
      <c r="K788" s="65" t="inlineStr">
        <is>
          <t>N/D</t>
        </is>
      </c>
      <c r="L788" s="127" t="inlineStr">
        <is>
          <t>BIGNAMI SPA</t>
        </is>
      </c>
      <c r="M788" s="5" t="n">
        <v>742</v>
      </c>
      <c r="N788" s="5" t="n"/>
      <c r="O788" s="5">
        <f>+M788+N788</f>
        <v/>
      </c>
      <c r="P788" s="4" t="n"/>
      <c r="Q788" s="87" t="n"/>
      <c r="R788" s="5" t="n">
        <v>790</v>
      </c>
      <c r="S788" s="2" t="n">
        <v>1</v>
      </c>
      <c r="T788" s="3" t="inlineStr">
        <is>
          <t>6B/2024/1S</t>
        </is>
      </c>
      <c r="U788" s="87" t="inlineStr">
        <is>
          <t>13/11/2024</t>
        </is>
      </c>
      <c r="V788" s="3" t="inlineStr">
        <is>
          <t>25</t>
        </is>
      </c>
      <c r="W788" s="108" t="inlineStr">
        <is>
          <t>13/11/2024</t>
        </is>
      </c>
      <c r="X788" s="4" t="inlineStr">
        <is>
          <t>HS &amp; S LLC</t>
        </is>
      </c>
    </row>
    <row r="789" ht="24" customHeight="1">
      <c r="A789" s="2">
        <f>+D789-S789</f>
        <v/>
      </c>
      <c r="B789" s="80" t="n">
        <v>2471</v>
      </c>
      <c r="C789" s="66" t="n">
        <v>45593</v>
      </c>
      <c r="D789" s="2" t="n">
        <v>1</v>
      </c>
      <c r="E789" s="3" t="inlineStr">
        <is>
          <t>PISTOLA SEMIAUTOMATICA</t>
        </is>
      </c>
      <c r="F789" s="3" t="inlineStr">
        <is>
          <t>9X19</t>
        </is>
      </c>
      <c r="G789" s="71" t="inlineStr">
        <is>
          <t>CZ</t>
        </is>
      </c>
      <c r="H789" s="65" t="inlineStr">
        <is>
          <t>75 B LUGER BLUED</t>
        </is>
      </c>
      <c r="I789" s="65" t="inlineStr">
        <is>
          <t>J105830</t>
        </is>
      </c>
      <c r="J789" s="65" t="inlineStr">
        <is>
          <t>N/D</t>
        </is>
      </c>
      <c r="K789" s="65" t="inlineStr">
        <is>
          <t>N/D</t>
        </is>
      </c>
      <c r="L789" s="127" t="inlineStr">
        <is>
          <t>BIGNAMI SPA</t>
        </is>
      </c>
      <c r="M789" s="5" t="n">
        <v>742</v>
      </c>
      <c r="N789" s="5" t="n"/>
      <c r="O789" s="5">
        <f>+M789+N789</f>
        <v/>
      </c>
      <c r="P789" s="4" t="n"/>
      <c r="Q789" s="87" t="n"/>
      <c r="R789" s="5" t="n">
        <v>790</v>
      </c>
      <c r="S789" s="2" t="n">
        <v>1</v>
      </c>
      <c r="T789" s="3" t="inlineStr">
        <is>
          <t>6B/2024/1S</t>
        </is>
      </c>
      <c r="U789" s="87" t="inlineStr">
        <is>
          <t>13/11/2024</t>
        </is>
      </c>
      <c r="V789" s="3" t="inlineStr">
        <is>
          <t>25</t>
        </is>
      </c>
      <c r="W789" s="108" t="inlineStr">
        <is>
          <t>13/11/2024</t>
        </is>
      </c>
      <c r="X789" s="4" t="inlineStr">
        <is>
          <t>HS &amp; S LLC</t>
        </is>
      </c>
    </row>
    <row r="790" ht="24" customHeight="1">
      <c r="A790" s="2">
        <f>+D790-S790</f>
        <v/>
      </c>
      <c r="B790" s="80" t="n">
        <v>2472</v>
      </c>
      <c r="C790" s="66" t="n">
        <v>45593</v>
      </c>
      <c r="D790" s="2" t="n">
        <v>1</v>
      </c>
      <c r="E790" s="3" t="inlineStr">
        <is>
          <t>PISTOLA SEMIAUTOMATICA</t>
        </is>
      </c>
      <c r="F790" s="3" t="inlineStr">
        <is>
          <t>9X19</t>
        </is>
      </c>
      <c r="G790" s="71" t="inlineStr">
        <is>
          <t>GLOCK</t>
        </is>
      </c>
      <c r="H790" s="65" t="inlineStr">
        <is>
          <t>34 GEN4 LUGER</t>
        </is>
      </c>
      <c r="I790" s="65" t="inlineStr">
        <is>
          <t>CEHL751</t>
        </is>
      </c>
      <c r="J790" s="65" t="inlineStr">
        <is>
          <t>N/D</t>
        </is>
      </c>
      <c r="K790" s="65" t="inlineStr">
        <is>
          <t>N/D</t>
        </is>
      </c>
      <c r="L790" s="127" t="inlineStr">
        <is>
          <t>BIGNAMI SPA</t>
        </is>
      </c>
      <c r="M790" s="5" t="n">
        <v>495.4722</v>
      </c>
      <c r="N790" s="5" t="n"/>
      <c r="O790" s="5">
        <f>+M790+N790</f>
        <v/>
      </c>
      <c r="P790" s="4" t="n"/>
      <c r="Q790" s="87" t="n"/>
      <c r="R790" s="5" t="n">
        <v>664</v>
      </c>
      <c r="S790" s="2" t="n">
        <v>1</v>
      </c>
      <c r="T790" s="3" t="inlineStr">
        <is>
          <t>6B/2024/1S</t>
        </is>
      </c>
      <c r="U790" s="87" t="inlineStr">
        <is>
          <t>13/11/2024</t>
        </is>
      </c>
      <c r="V790" s="3" t="inlineStr">
        <is>
          <t>25</t>
        </is>
      </c>
      <c r="W790" s="108" t="inlineStr">
        <is>
          <t>13/11/2024</t>
        </is>
      </c>
      <c r="X790" s="4" t="inlineStr">
        <is>
          <t>HS &amp; S LLC</t>
        </is>
      </c>
    </row>
    <row r="791" ht="24" customHeight="1">
      <c r="A791" s="2">
        <f>+D791-S791</f>
        <v/>
      </c>
      <c r="B791" s="80" t="n">
        <v>2473</v>
      </c>
      <c r="C791" s="66" t="n">
        <v>45593</v>
      </c>
      <c r="D791" s="2" t="n">
        <v>1</v>
      </c>
      <c r="E791" s="3" t="inlineStr">
        <is>
          <t>CARABINA</t>
        </is>
      </c>
      <c r="F791" s="3" t="inlineStr">
        <is>
          <t>30-06</t>
        </is>
      </c>
      <c r="G791" s="71" t="inlineStr">
        <is>
          <t>STEYR MANNL</t>
        </is>
      </c>
      <c r="H791" s="65" t="inlineStr">
        <is>
          <t>SM12 CARBON</t>
        </is>
      </c>
      <c r="I791" s="65" t="n">
        <v>3276544</v>
      </c>
      <c r="J791" s="65" t="inlineStr">
        <is>
          <t>N/D</t>
        </is>
      </c>
      <c r="K791" s="65" t="inlineStr">
        <is>
          <t>N/D</t>
        </is>
      </c>
      <c r="L791" s="127" t="inlineStr">
        <is>
          <t>BIGNAMI SPA</t>
        </is>
      </c>
      <c r="M791" s="5" t="n">
        <v>3594.2</v>
      </c>
      <c r="N791" s="5" t="n"/>
      <c r="O791" s="5">
        <f>+M791+N791</f>
        <v/>
      </c>
      <c r="P791" s="4" t="n"/>
      <c r="Q791" s="87" t="n"/>
      <c r="R791" s="5" t="n">
        <v>4155</v>
      </c>
      <c r="S791" s="2" t="n">
        <v>1</v>
      </c>
      <c r="T791" s="3" t="inlineStr">
        <is>
          <t>6B/2024/1S</t>
        </is>
      </c>
      <c r="U791" s="87" t="inlineStr">
        <is>
          <t>13/11/2024</t>
        </is>
      </c>
      <c r="V791" s="3" t="inlineStr">
        <is>
          <t>25</t>
        </is>
      </c>
      <c r="W791" s="108" t="inlineStr">
        <is>
          <t>13/11/2024</t>
        </is>
      </c>
      <c r="X791" s="4" t="inlineStr">
        <is>
          <t>HS &amp; S LLC</t>
        </is>
      </c>
    </row>
    <row r="792" ht="24" customHeight="1">
      <c r="A792" s="2">
        <f>+D792-S792</f>
        <v/>
      </c>
      <c r="B792" s="80" t="n">
        <v>2474</v>
      </c>
      <c r="C792" s="66" t="n">
        <v>45593</v>
      </c>
      <c r="D792" s="2" t="n">
        <v>1</v>
      </c>
      <c r="E792" s="3" t="inlineStr">
        <is>
          <t>CARABINA</t>
        </is>
      </c>
      <c r="F792" s="3" t="inlineStr">
        <is>
          <t>30-06</t>
        </is>
      </c>
      <c r="G792" s="71" t="inlineStr">
        <is>
          <t>STEYR MANNL</t>
        </is>
      </c>
      <c r="H792" s="65" t="inlineStr">
        <is>
          <t>SM12 CARBON</t>
        </is>
      </c>
      <c r="I792" s="65" t="n">
        <v>3276543</v>
      </c>
      <c r="J792" s="65" t="inlineStr">
        <is>
          <t>N/D</t>
        </is>
      </c>
      <c r="K792" s="65" t="inlineStr">
        <is>
          <t>N/D</t>
        </is>
      </c>
      <c r="L792" s="127" t="inlineStr">
        <is>
          <t>BIGNAMI SPA</t>
        </is>
      </c>
      <c r="M792" s="5" t="n">
        <v>3594.2</v>
      </c>
      <c r="N792" s="5" t="n"/>
      <c r="O792" s="5">
        <f>+M792+N792</f>
        <v/>
      </c>
      <c r="P792" s="4" t="n"/>
      <c r="Q792" s="87" t="n"/>
      <c r="R792" s="5" t="n">
        <v>4155</v>
      </c>
      <c r="S792" s="2" t="n">
        <v>1</v>
      </c>
      <c r="T792" s="3" t="inlineStr">
        <is>
          <t>6B/2024/1S</t>
        </is>
      </c>
      <c r="U792" s="87" t="inlineStr">
        <is>
          <t>13/11/2024</t>
        </is>
      </c>
      <c r="V792" s="3" t="inlineStr">
        <is>
          <t>25</t>
        </is>
      </c>
      <c r="W792" s="108" t="inlineStr">
        <is>
          <t>13/11/2024</t>
        </is>
      </c>
      <c r="X792" s="4" t="inlineStr">
        <is>
          <t>HS &amp; S LLC</t>
        </is>
      </c>
    </row>
    <row r="793" ht="24" customHeight="1">
      <c r="A793" s="2">
        <f>+D793-S793</f>
        <v/>
      </c>
      <c r="B793" s="80" t="n">
        <v>2475</v>
      </c>
      <c r="C793" s="66" t="n">
        <v>45593</v>
      </c>
      <c r="D793" s="2" t="n">
        <v>1</v>
      </c>
      <c r="E793" s="3" t="inlineStr">
        <is>
          <t>CARABINA</t>
        </is>
      </c>
      <c r="F793" s="3" t="inlineStr">
        <is>
          <t>30-06</t>
        </is>
      </c>
      <c r="G793" s="71" t="inlineStr">
        <is>
          <t>STEYR MANNL</t>
        </is>
      </c>
      <c r="H793" s="65" t="inlineStr">
        <is>
          <t>SM12 CARBON</t>
        </is>
      </c>
      <c r="I793" s="65" t="n">
        <v>3276542</v>
      </c>
      <c r="J793" s="65" t="inlineStr">
        <is>
          <t>N/D</t>
        </is>
      </c>
      <c r="K793" s="65" t="inlineStr">
        <is>
          <t>N/D</t>
        </is>
      </c>
      <c r="L793" s="127" t="inlineStr">
        <is>
          <t>BIGNAMI SPA</t>
        </is>
      </c>
      <c r="M793" s="5" t="n">
        <v>3594.2</v>
      </c>
      <c r="N793" s="5" t="n"/>
      <c r="O793" s="5">
        <f>+M793+N793</f>
        <v/>
      </c>
      <c r="P793" s="4" t="n"/>
      <c r="Q793" s="87" t="n"/>
      <c r="R793" s="5" t="n">
        <v>4155</v>
      </c>
      <c r="S793" s="2" t="n">
        <v>1</v>
      </c>
      <c r="T793" s="3" t="inlineStr">
        <is>
          <t>6B/2024/1S</t>
        </is>
      </c>
      <c r="U793" s="87" t="inlineStr">
        <is>
          <t>13/11/2024</t>
        </is>
      </c>
      <c r="V793" s="3" t="inlineStr">
        <is>
          <t>25</t>
        </is>
      </c>
      <c r="W793" s="108" t="inlineStr">
        <is>
          <t>13/11/2024</t>
        </is>
      </c>
      <c r="X793" s="4" t="inlineStr">
        <is>
          <t>HS &amp; S LLC</t>
        </is>
      </c>
    </row>
    <row r="794" ht="24" customHeight="1">
      <c r="A794" s="2">
        <f>+D794-S794</f>
        <v/>
      </c>
      <c r="B794" s="80" t="n">
        <v>2476</v>
      </c>
      <c r="C794" s="66" t="n">
        <v>45593</v>
      </c>
      <c r="D794" s="2" t="n">
        <v>1</v>
      </c>
      <c r="E794" s="3" t="inlineStr">
        <is>
          <t>PISTOLA SEMIAUTOMATICA</t>
        </is>
      </c>
      <c r="F794" s="3" t="inlineStr">
        <is>
          <t>9X19</t>
        </is>
      </c>
      <c r="G794" s="71" t="inlineStr">
        <is>
          <t>CZ</t>
        </is>
      </c>
      <c r="H794" s="65" t="inlineStr">
        <is>
          <t>SHADOW 2 LUGER</t>
        </is>
      </c>
      <c r="I794" s="65" t="inlineStr">
        <is>
          <t>H041367</t>
        </is>
      </c>
      <c r="J794" s="65" t="inlineStr">
        <is>
          <t>N/D</t>
        </is>
      </c>
      <c r="K794" s="65" t="inlineStr">
        <is>
          <t>N/D</t>
        </is>
      </c>
      <c r="L794" s="127" t="inlineStr">
        <is>
          <t>BIGNAMI SPA</t>
        </is>
      </c>
      <c r="M794" s="5" t="n">
        <v>1089.9522</v>
      </c>
      <c r="N794" s="5" t="n"/>
      <c r="O794" s="5">
        <f>+M794+N794</f>
        <v/>
      </c>
      <c r="P794" s="4" t="n"/>
      <c r="Q794" s="87" t="n"/>
      <c r="R794" s="5" t="n"/>
      <c r="S794" s="2" t="n"/>
      <c r="T794" s="3" t="n"/>
      <c r="U794" s="87" t="n"/>
      <c r="V794" s="3" t="n"/>
      <c r="W794" s="108" t="n"/>
      <c r="X794" s="4" t="n"/>
    </row>
    <row r="795" ht="24" customHeight="1">
      <c r="A795" s="2">
        <f>+D795-S795</f>
        <v/>
      </c>
      <c r="B795" s="80" t="n">
        <v>2477</v>
      </c>
      <c r="C795" s="66" t="n">
        <v>45593</v>
      </c>
      <c r="D795" s="2" t="n">
        <v>1</v>
      </c>
      <c r="E795" s="3" t="inlineStr">
        <is>
          <t>PISTOLA SEMIAUTOMATICA</t>
        </is>
      </c>
      <c r="F795" s="3" t="inlineStr">
        <is>
          <t>9X19</t>
        </is>
      </c>
      <c r="G795" s="71" t="inlineStr">
        <is>
          <t>CZ</t>
        </is>
      </c>
      <c r="H795" s="65" t="inlineStr">
        <is>
          <t>SHADOW 2 COMPACT LUGER</t>
        </is>
      </c>
      <c r="I795" s="65" t="inlineStr">
        <is>
          <t>J172300</t>
        </is>
      </c>
      <c r="J795" s="65" t="inlineStr">
        <is>
          <t>N/D</t>
        </is>
      </c>
      <c r="K795" s="65" t="inlineStr">
        <is>
          <t>N/D</t>
        </is>
      </c>
      <c r="L795" s="127" t="inlineStr">
        <is>
          <t>BIGNAMI SPA</t>
        </is>
      </c>
      <c r="M795" s="5" t="n">
        <v>1090.867</v>
      </c>
      <c r="N795" s="5" t="n"/>
      <c r="O795" s="5">
        <f>+M795+N795</f>
        <v/>
      </c>
      <c r="P795" s="4" t="n"/>
      <c r="Q795" s="87" t="n"/>
      <c r="R795" s="5" t="n"/>
      <c r="S795" s="2" t="n"/>
      <c r="T795" s="3" t="n"/>
      <c r="U795" s="87" t="n"/>
      <c r="V795" s="3" t="n"/>
      <c r="W795" s="108" t="n"/>
      <c r="X795" s="4" t="n"/>
    </row>
    <row r="796" ht="24" customHeight="1">
      <c r="A796" s="2">
        <f>+D796-S796</f>
        <v/>
      </c>
      <c r="B796" s="80" t="n">
        <v>2478</v>
      </c>
      <c r="C796" s="66" t="n">
        <v>45593</v>
      </c>
      <c r="D796" s="2" t="n">
        <v>1</v>
      </c>
      <c r="E796" s="3" t="inlineStr">
        <is>
          <t>PISTOLA SEMIAUTOMATICA</t>
        </is>
      </c>
      <c r="F796" s="3" t="inlineStr">
        <is>
          <t>9X19</t>
        </is>
      </c>
      <c r="G796" s="71" t="inlineStr">
        <is>
          <t>CZ</t>
        </is>
      </c>
      <c r="H796" s="65" t="inlineStr">
        <is>
          <t>SHADOW 2 COMPACT LUGER</t>
        </is>
      </c>
      <c r="I796" s="65" t="inlineStr">
        <is>
          <t>J198747</t>
        </is>
      </c>
      <c r="J796" s="65" t="inlineStr">
        <is>
          <t>N/D</t>
        </is>
      </c>
      <c r="K796" s="65" t="inlineStr">
        <is>
          <t>N/D</t>
        </is>
      </c>
      <c r="L796" s="127" t="inlineStr">
        <is>
          <t>BIGNAMI SPA</t>
        </is>
      </c>
      <c r="M796" s="5" t="n">
        <v>1090.867</v>
      </c>
      <c r="N796" s="5" t="n"/>
      <c r="O796" s="5">
        <f>+M796+N796</f>
        <v/>
      </c>
      <c r="P796" s="4" t="n"/>
      <c r="Q796" s="87" t="n"/>
      <c r="R796" s="5" t="n"/>
      <c r="S796" s="2" t="n"/>
      <c r="T796" s="3" t="n"/>
      <c r="U796" s="87" t="n"/>
      <c r="V796" s="3" t="n"/>
      <c r="W796" s="108" t="n"/>
      <c r="X796" s="4" t="n"/>
    </row>
    <row r="797" ht="24" customHeight="1">
      <c r="A797" s="2">
        <f>+D797-S797</f>
        <v/>
      </c>
      <c r="B797" s="80" t="n">
        <v>2479</v>
      </c>
      <c r="C797" s="66" t="n">
        <v>45593</v>
      </c>
      <c r="D797" s="2" t="n">
        <v>1</v>
      </c>
      <c r="E797" s="3" t="inlineStr">
        <is>
          <t>PISTOLA SEMIAUTOMATICA</t>
        </is>
      </c>
      <c r="F797" s="3" t="inlineStr">
        <is>
          <t>9X19</t>
        </is>
      </c>
      <c r="G797" s="71" t="inlineStr">
        <is>
          <t>CZ</t>
        </is>
      </c>
      <c r="H797" s="65" t="inlineStr">
        <is>
          <t>TS-2 GREEN LUGER</t>
        </is>
      </c>
      <c r="I797" s="65" t="inlineStr">
        <is>
          <t>G116216</t>
        </is>
      </c>
      <c r="J797" s="65" t="inlineStr">
        <is>
          <t>N/D</t>
        </is>
      </c>
      <c r="K797" s="65" t="inlineStr">
        <is>
          <t>N/D</t>
        </is>
      </c>
      <c r="L797" s="127" t="inlineStr">
        <is>
          <t>BIGNAMI SPA</t>
        </is>
      </c>
      <c r="M797" s="5" t="n">
        <v>1465.7922</v>
      </c>
      <c r="N797" s="5" t="n"/>
      <c r="O797" s="5">
        <f>+M797+N797</f>
        <v/>
      </c>
      <c r="P797" s="4" t="n"/>
      <c r="Q797" s="87" t="n"/>
      <c r="R797" s="5" t="n"/>
      <c r="S797" s="2" t="n"/>
      <c r="T797" s="3" t="n"/>
      <c r="U797" s="87" t="n"/>
      <c r="V797" s="3" t="n"/>
      <c r="W797" s="108" t="n"/>
      <c r="X797" s="4" t="n"/>
    </row>
    <row r="798" ht="24" customHeight="1">
      <c r="A798" s="2">
        <f>+D798-S798</f>
        <v/>
      </c>
      <c r="B798" s="80" t="n">
        <v>2480</v>
      </c>
      <c r="C798" s="66" t="n">
        <v>45593</v>
      </c>
      <c r="D798" s="2" t="n">
        <v>1</v>
      </c>
      <c r="E798" s="3" t="inlineStr">
        <is>
          <t>PISTOLA SEMIAUTOMATICA</t>
        </is>
      </c>
      <c r="F798" s="3" t="inlineStr">
        <is>
          <t>9X19</t>
        </is>
      </c>
      <c r="G798" s="71" t="inlineStr">
        <is>
          <t>CZ</t>
        </is>
      </c>
      <c r="H798" s="65" t="inlineStr">
        <is>
          <t>TS-2 BRONZE LUGER</t>
        </is>
      </c>
      <c r="I798" s="65" t="inlineStr">
        <is>
          <t>G292583</t>
        </is>
      </c>
      <c r="J798" s="65" t="inlineStr">
        <is>
          <t>N/D</t>
        </is>
      </c>
      <c r="K798" s="65" t="inlineStr">
        <is>
          <t>N/D</t>
        </is>
      </c>
      <c r="L798" s="127" t="inlineStr">
        <is>
          <t>BIGNAMI SPA</t>
        </is>
      </c>
      <c r="M798" s="5" t="n">
        <v>1725.4722</v>
      </c>
      <c r="N798" s="5" t="n"/>
      <c r="O798" s="5">
        <f>+M798+N798</f>
        <v/>
      </c>
      <c r="P798" s="4" t="n"/>
      <c r="Q798" s="87" t="n"/>
      <c r="R798" s="5" t="n"/>
      <c r="S798" s="2" t="n"/>
      <c r="T798" s="3" t="n"/>
      <c r="U798" s="87" t="n"/>
      <c r="V798" s="3" t="n"/>
      <c r="W798" s="108" t="n"/>
      <c r="X798" s="4" t="n"/>
    </row>
    <row r="799" ht="24" customHeight="1">
      <c r="A799" s="2">
        <f>+D799-S799</f>
        <v/>
      </c>
      <c r="B799" s="80" t="n">
        <v>2481</v>
      </c>
      <c r="C799" s="66" t="n">
        <v>45593</v>
      </c>
      <c r="D799" s="2" t="n">
        <v>1</v>
      </c>
      <c r="E799" s="3" t="inlineStr">
        <is>
          <t>PISTOLA SEMIAUTOMATICA</t>
        </is>
      </c>
      <c r="F799" s="3" t="inlineStr">
        <is>
          <t>9X19</t>
        </is>
      </c>
      <c r="G799" s="71" t="inlineStr">
        <is>
          <t>CZ</t>
        </is>
      </c>
      <c r="H799" s="65" t="inlineStr">
        <is>
          <t>SHADOW 2 LUGER URBAN GREY</t>
        </is>
      </c>
      <c r="I799" s="65" t="inlineStr">
        <is>
          <t>G343920</t>
        </is>
      </c>
      <c r="J799" s="65" t="inlineStr">
        <is>
          <t>N/D</t>
        </is>
      </c>
      <c r="K799" s="65" t="inlineStr">
        <is>
          <t>N/D</t>
        </is>
      </c>
      <c r="L799" s="127" t="inlineStr">
        <is>
          <t>BIGNAMI SPA</t>
        </is>
      </c>
      <c r="M799" s="5" t="n">
        <v>1089.9522</v>
      </c>
      <c r="N799" s="5" t="n"/>
      <c r="O799" s="5">
        <f>+M799+N799</f>
        <v/>
      </c>
      <c r="P799" s="4" t="n"/>
      <c r="Q799" s="87" t="n"/>
      <c r="R799" s="5" t="n"/>
      <c r="S799" s="2" t="n"/>
      <c r="T799" s="3" t="n"/>
      <c r="U799" s="87" t="n"/>
      <c r="V799" s="3" t="n"/>
      <c r="W799" s="108" t="n"/>
      <c r="X799" s="4" t="n"/>
    </row>
    <row r="800" ht="24" customHeight="1">
      <c r="A800" s="2">
        <f>+D800-S800</f>
        <v/>
      </c>
      <c r="B800" s="80" t="n">
        <v>2482</v>
      </c>
      <c r="C800" s="66" t="n">
        <v>45593</v>
      </c>
      <c r="D800" s="2" t="n">
        <v>1</v>
      </c>
      <c r="E800" s="3" t="inlineStr">
        <is>
          <t>PISTOLA SEMIAUTOMATICA</t>
        </is>
      </c>
      <c r="F800" s="3" t="inlineStr">
        <is>
          <t>.22 LR</t>
        </is>
      </c>
      <c r="G800" s="71" t="inlineStr">
        <is>
          <t>CZ</t>
        </is>
      </c>
      <c r="H800" s="65" t="inlineStr">
        <is>
          <t>P-09 NERA</t>
        </is>
      </c>
      <c r="I800" s="65" t="inlineStr">
        <is>
          <t>FP45446</t>
        </is>
      </c>
      <c r="J800" s="65" t="inlineStr">
        <is>
          <t>N/D</t>
        </is>
      </c>
      <c r="K800" s="65" t="inlineStr">
        <is>
          <t>N/D</t>
        </is>
      </c>
      <c r="L800" s="127" t="inlineStr">
        <is>
          <t>BIGNAMI SPA</t>
        </is>
      </c>
      <c r="M800" s="5" t="n">
        <v>420.745</v>
      </c>
      <c r="N800" s="5" t="n"/>
      <c r="O800" s="5">
        <f>+M800+N800</f>
        <v/>
      </c>
      <c r="P800" s="4" t="n"/>
      <c r="Q800" s="87" t="n"/>
      <c r="R800" s="5" t="n">
        <v>495</v>
      </c>
      <c r="S800" s="2" t="n">
        <v>1</v>
      </c>
      <c r="T800" s="3" t="inlineStr">
        <is>
          <t>6B-P52222600000101-001</t>
        </is>
      </c>
      <c r="U800" s="87" t="n">
        <v>46147</v>
      </c>
      <c r="V800" s="3" t="inlineStr">
        <is>
          <t>8</t>
        </is>
      </c>
      <c r="W800" s="108" t="n">
        <v>46147</v>
      </c>
      <c r="X800" s="4" t="inlineStr">
        <is>
          <t>HS &amp; S LLC</t>
        </is>
      </c>
    </row>
    <row r="801" ht="24" customHeight="1">
      <c r="A801" s="2">
        <f>+D801-S801</f>
        <v/>
      </c>
      <c r="B801" s="80" t="n">
        <v>2483</v>
      </c>
      <c r="C801" s="66" t="n">
        <v>45593</v>
      </c>
      <c r="D801" s="2" t="n">
        <v>1</v>
      </c>
      <c r="E801" s="3" t="inlineStr">
        <is>
          <t>PISTOLA SEMIAUTOMATICA</t>
        </is>
      </c>
      <c r="F801" s="3" t="inlineStr">
        <is>
          <t>.22 LR</t>
        </is>
      </c>
      <c r="G801" s="71" t="inlineStr">
        <is>
          <t>CZ</t>
        </is>
      </c>
      <c r="H801" s="65" t="inlineStr">
        <is>
          <t>P-09 NERA</t>
        </is>
      </c>
      <c r="I801" s="65" t="inlineStr">
        <is>
          <t>FP45451</t>
        </is>
      </c>
      <c r="J801" s="65" t="inlineStr">
        <is>
          <t>N/D</t>
        </is>
      </c>
      <c r="K801" s="65" t="inlineStr">
        <is>
          <t>N/D</t>
        </is>
      </c>
      <c r="L801" s="127" t="inlineStr">
        <is>
          <t>BIGNAMI SPA</t>
        </is>
      </c>
      <c r="M801" s="5" t="n">
        <v>420.745</v>
      </c>
      <c r="N801" s="5" t="n"/>
      <c r="O801" s="5">
        <f>+M801+N801</f>
        <v/>
      </c>
      <c r="P801" s="4" t="n"/>
      <c r="Q801" s="87" t="n"/>
      <c r="R801" s="5" t="n">
        <v>495</v>
      </c>
      <c r="S801" s="2" t="n">
        <v>1</v>
      </c>
      <c r="T801" s="3" t="inlineStr">
        <is>
          <t>6B-P52222600000101-001</t>
        </is>
      </c>
      <c r="U801" s="87" t="n">
        <v>46147</v>
      </c>
      <c r="V801" s="3" t="inlineStr">
        <is>
          <t>8</t>
        </is>
      </c>
      <c r="W801" s="108" t="n">
        <v>46147</v>
      </c>
      <c r="X801" s="4" t="inlineStr">
        <is>
          <t>HS &amp; S LLC</t>
        </is>
      </c>
    </row>
    <row r="802" ht="24" customHeight="1">
      <c r="A802" s="2">
        <f>+D802-S802</f>
        <v/>
      </c>
      <c r="B802" s="80" t="n">
        <v>2484</v>
      </c>
      <c r="C802" s="66" t="n">
        <v>45593</v>
      </c>
      <c r="D802" s="2" t="n">
        <v>1</v>
      </c>
      <c r="E802" s="3" t="inlineStr">
        <is>
          <t>PISTOLA SEMIAUTOMATICA</t>
        </is>
      </c>
      <c r="F802" s="3" t="inlineStr">
        <is>
          <t>.22 LR</t>
        </is>
      </c>
      <c r="G802" s="71" t="inlineStr">
        <is>
          <t>CZ</t>
        </is>
      </c>
      <c r="H802" s="65" t="inlineStr">
        <is>
          <t>P-09 NERA</t>
        </is>
      </c>
      <c r="I802" s="65" t="inlineStr">
        <is>
          <t>FP45452</t>
        </is>
      </c>
      <c r="J802" s="65" t="inlineStr">
        <is>
          <t>N/D</t>
        </is>
      </c>
      <c r="K802" s="65" t="inlineStr">
        <is>
          <t>N/D</t>
        </is>
      </c>
      <c r="L802" s="127" t="inlineStr">
        <is>
          <t>BIGNAMI SPA</t>
        </is>
      </c>
      <c r="M802" s="5" t="n">
        <v>420.745</v>
      </c>
      <c r="N802" s="5" t="n"/>
      <c r="O802" s="5">
        <f>+M802+N802</f>
        <v/>
      </c>
      <c r="P802" s="4" t="n"/>
      <c r="Q802" s="87" t="n"/>
      <c r="R802" s="5" t="n"/>
      <c r="S802" s="2" t="n"/>
      <c r="T802" s="3" t="n"/>
      <c r="U802" s="87" t="n"/>
      <c r="V802" s="3" t="n"/>
      <c r="W802" s="108" t="n"/>
      <c r="X802" s="4" t="n"/>
    </row>
    <row r="803" ht="24" customHeight="1">
      <c r="A803" s="2">
        <f>+D803-S803</f>
        <v/>
      </c>
      <c r="B803" s="80" t="n">
        <v>2485</v>
      </c>
      <c r="C803" s="66" t="n">
        <v>45593</v>
      </c>
      <c r="D803" s="2" t="n">
        <v>1</v>
      </c>
      <c r="E803" s="3" t="inlineStr">
        <is>
          <t>PISTOLA SEMIAUTOMATICA</t>
        </is>
      </c>
      <c r="F803" s="3" t="inlineStr">
        <is>
          <t>.22 LR</t>
        </is>
      </c>
      <c r="G803" s="71" t="inlineStr">
        <is>
          <t>CZ</t>
        </is>
      </c>
      <c r="H803" s="65" t="inlineStr">
        <is>
          <t>P-09 NERA</t>
        </is>
      </c>
      <c r="I803" s="65" t="inlineStr">
        <is>
          <t>FP45477</t>
        </is>
      </c>
      <c r="J803" s="65" t="inlineStr">
        <is>
          <t>N/D</t>
        </is>
      </c>
      <c r="K803" s="65" t="inlineStr">
        <is>
          <t>N/D</t>
        </is>
      </c>
      <c r="L803" s="127" t="inlineStr">
        <is>
          <t>BIGNAMI SPA</t>
        </is>
      </c>
      <c r="M803" s="5" t="n">
        <v>420.745</v>
      </c>
      <c r="N803" s="5" t="n"/>
      <c r="O803" s="5">
        <f>+M803+N803</f>
        <v/>
      </c>
      <c r="P803" s="4" t="n"/>
      <c r="Q803" s="87" t="n"/>
      <c r="R803" s="5" t="n"/>
      <c r="S803" s="2" t="n"/>
      <c r="T803" s="3" t="n"/>
      <c r="U803" s="87" t="n"/>
      <c r="V803" s="3" t="n"/>
      <c r="W803" s="108" t="n"/>
      <c r="X803" s="4" t="n"/>
    </row>
    <row r="804" ht="24" customHeight="1">
      <c r="A804" s="2">
        <f>+D804-S804</f>
        <v/>
      </c>
      <c r="B804" s="80" t="n">
        <v>2486</v>
      </c>
      <c r="C804" s="66" t="n">
        <v>45593</v>
      </c>
      <c r="D804" s="2" t="n">
        <v>1</v>
      </c>
      <c r="E804" s="3" t="inlineStr">
        <is>
          <t>PISTOLA SEMIAUTOMATICA</t>
        </is>
      </c>
      <c r="F804" s="3" t="inlineStr">
        <is>
          <t>.22 LR</t>
        </is>
      </c>
      <c r="G804" s="71" t="inlineStr">
        <is>
          <t>CZ</t>
        </is>
      </c>
      <c r="H804" s="65" t="inlineStr">
        <is>
          <t>P-07 NERA</t>
        </is>
      </c>
      <c r="I804" s="65" t="inlineStr">
        <is>
          <t>FP48328</t>
        </is>
      </c>
      <c r="J804" s="65" t="inlineStr">
        <is>
          <t>N/D</t>
        </is>
      </c>
      <c r="K804" s="65" t="inlineStr">
        <is>
          <t>N/D</t>
        </is>
      </c>
      <c r="L804" s="127" t="inlineStr">
        <is>
          <t>BIGNAMI SPA</t>
        </is>
      </c>
      <c r="M804" s="5" t="n">
        <v>478.12</v>
      </c>
      <c r="N804" s="5" t="n"/>
      <c r="O804" s="5">
        <f>+M804+N804</f>
        <v/>
      </c>
      <c r="P804" s="4" t="n"/>
      <c r="Q804" s="87" t="n"/>
      <c r="R804" s="5" t="n">
        <v>495</v>
      </c>
      <c r="S804" s="2" t="n">
        <v>1</v>
      </c>
      <c r="T804" s="3" t="inlineStr">
        <is>
          <t>6B/2024/1S</t>
        </is>
      </c>
      <c r="U804" s="87" t="inlineStr">
        <is>
          <t>13/11/2024</t>
        </is>
      </c>
      <c r="V804" s="3" t="inlineStr">
        <is>
          <t>25</t>
        </is>
      </c>
      <c r="W804" s="108" t="inlineStr">
        <is>
          <t>13/11/2024</t>
        </is>
      </c>
      <c r="X804" s="4" t="inlineStr">
        <is>
          <t>HS &amp; S LLC</t>
        </is>
      </c>
    </row>
    <row r="805" ht="24" customHeight="1">
      <c r="A805" s="2">
        <f>+D805-S805</f>
        <v/>
      </c>
      <c r="B805" s="80" t="n">
        <v>2487</v>
      </c>
      <c r="C805" s="66" t="n">
        <v>45593</v>
      </c>
      <c r="D805" s="2" t="n">
        <v>1</v>
      </c>
      <c r="E805" s="3" t="inlineStr">
        <is>
          <t>PISTOLA SEMIAUTOMATICA</t>
        </is>
      </c>
      <c r="F805" s="3" t="inlineStr">
        <is>
          <t>.22 LR</t>
        </is>
      </c>
      <c r="G805" s="71" t="inlineStr">
        <is>
          <t>CZ</t>
        </is>
      </c>
      <c r="H805" s="65" t="inlineStr">
        <is>
          <t>P-07 NERA</t>
        </is>
      </c>
      <c r="I805" s="65" t="inlineStr">
        <is>
          <t>FP48327</t>
        </is>
      </c>
      <c r="J805" s="65" t="inlineStr">
        <is>
          <t>N/D</t>
        </is>
      </c>
      <c r="K805" s="65" t="inlineStr">
        <is>
          <t>N/D</t>
        </is>
      </c>
      <c r="L805" s="127" t="inlineStr">
        <is>
          <t>BIGNAMI SPA</t>
        </is>
      </c>
      <c r="M805" s="5" t="n">
        <v>478.12</v>
      </c>
      <c r="N805" s="5" t="n"/>
      <c r="O805" s="5">
        <f>+M805+N805</f>
        <v/>
      </c>
      <c r="P805" s="4" t="n"/>
      <c r="Q805" s="87" t="n"/>
      <c r="R805" s="5" t="n">
        <v>495</v>
      </c>
      <c r="S805" s="2" t="n">
        <v>1</v>
      </c>
      <c r="T805" s="3" t="inlineStr">
        <is>
          <t>6B/2024/1S</t>
        </is>
      </c>
      <c r="U805" s="87" t="inlineStr">
        <is>
          <t>13/11/2024</t>
        </is>
      </c>
      <c r="V805" s="3" t="inlineStr">
        <is>
          <t>25</t>
        </is>
      </c>
      <c r="W805" s="108" t="inlineStr">
        <is>
          <t>13/11/2024</t>
        </is>
      </c>
      <c r="X805" s="4" t="inlineStr">
        <is>
          <t>HS &amp; S LLC</t>
        </is>
      </c>
    </row>
    <row r="806" ht="24" customHeight="1">
      <c r="A806" s="2">
        <f>+D806-S806</f>
        <v/>
      </c>
      <c r="B806" s="80" t="n">
        <v>2488</v>
      </c>
      <c r="C806" s="66" t="n">
        <v>45593</v>
      </c>
      <c r="D806" s="2" t="n">
        <v>1</v>
      </c>
      <c r="E806" s="3" t="inlineStr">
        <is>
          <t>PISTOLA SEMIAUTOMATICA</t>
        </is>
      </c>
      <c r="F806" s="3" t="inlineStr">
        <is>
          <t>.22 LR</t>
        </is>
      </c>
      <c r="G806" s="71" t="inlineStr">
        <is>
          <t>CZ</t>
        </is>
      </c>
      <c r="H806" s="65" t="inlineStr">
        <is>
          <t>P-07 NERA</t>
        </is>
      </c>
      <c r="I806" s="65" t="inlineStr">
        <is>
          <t>FP48321</t>
        </is>
      </c>
      <c r="J806" s="65" t="inlineStr">
        <is>
          <t>N/D</t>
        </is>
      </c>
      <c r="K806" s="65" t="inlineStr">
        <is>
          <t>N/D</t>
        </is>
      </c>
      <c r="L806" s="127" t="inlineStr">
        <is>
          <t>BIGNAMI SPA</t>
        </is>
      </c>
      <c r="M806" s="5" t="n">
        <v>478.12</v>
      </c>
      <c r="N806" s="5" t="n"/>
      <c r="O806" s="5">
        <f>+M806+N806</f>
        <v/>
      </c>
      <c r="P806" s="4" t="n"/>
      <c r="Q806" s="87" t="n"/>
      <c r="R806" s="5" t="n">
        <v>495</v>
      </c>
      <c r="S806" s="2" t="n">
        <v>1</v>
      </c>
      <c r="T806" s="3" t="inlineStr">
        <is>
          <t>6B/2024/1S</t>
        </is>
      </c>
      <c r="U806" s="87" t="inlineStr">
        <is>
          <t>13/11/2024</t>
        </is>
      </c>
      <c r="V806" s="3" t="inlineStr">
        <is>
          <t>25</t>
        </is>
      </c>
      <c r="W806" s="108" t="inlineStr">
        <is>
          <t>13/11/2024</t>
        </is>
      </c>
      <c r="X806" s="4" t="inlineStr">
        <is>
          <t>HS &amp; S LLC</t>
        </is>
      </c>
    </row>
    <row r="807" ht="24" customHeight="1">
      <c r="A807" s="2">
        <f>+D807-S807</f>
        <v/>
      </c>
      <c r="B807" s="80" t="n">
        <v>2489</v>
      </c>
      <c r="C807" s="66" t="n">
        <v>45593</v>
      </c>
      <c r="D807" s="2" t="n">
        <v>1</v>
      </c>
      <c r="E807" s="3" t="inlineStr">
        <is>
          <t>PISTOLA SEMIAUTOMATICA</t>
        </is>
      </c>
      <c r="F807" s="3" t="inlineStr">
        <is>
          <t>9X19</t>
        </is>
      </c>
      <c r="G807" s="71" t="inlineStr">
        <is>
          <t>GLOCK</t>
        </is>
      </c>
      <c r="H807" s="65" t="inlineStr">
        <is>
          <t>MOD 47</t>
        </is>
      </c>
      <c r="I807" s="65" t="inlineStr">
        <is>
          <t>CDND911</t>
        </is>
      </c>
      <c r="J807" s="65" t="inlineStr">
        <is>
          <t>N/D</t>
        </is>
      </c>
      <c r="K807" s="65" t="inlineStr">
        <is>
          <t>N/D</t>
        </is>
      </c>
      <c r="L807" s="127" t="inlineStr">
        <is>
          <t>BIGNAMI SPA</t>
        </is>
      </c>
      <c r="M807" s="5" t="n">
        <v>517.7</v>
      </c>
      <c r="N807" s="5" t="n"/>
      <c r="O807" s="5">
        <f>+M807+N807</f>
        <v/>
      </c>
      <c r="P807" s="4" t="n"/>
      <c r="Q807" s="87" t="n"/>
      <c r="R807" s="5" t="n">
        <v>587</v>
      </c>
      <c r="S807" s="2" t="n">
        <v>1</v>
      </c>
      <c r="T807" s="3" t="inlineStr">
        <is>
          <t>6B/2024/1S</t>
        </is>
      </c>
      <c r="U807" s="87" t="inlineStr">
        <is>
          <t>13/11/2024</t>
        </is>
      </c>
      <c r="V807" s="3" t="inlineStr">
        <is>
          <t>25</t>
        </is>
      </c>
      <c r="W807" s="108" t="inlineStr">
        <is>
          <t>13/11/2024</t>
        </is>
      </c>
      <c r="X807" s="4" t="inlineStr">
        <is>
          <t>HS &amp; S LLC</t>
        </is>
      </c>
    </row>
    <row r="808" ht="24" customHeight="1">
      <c r="A808" s="2">
        <f>+D808-S808</f>
        <v/>
      </c>
      <c r="B808" s="80" t="n">
        <v>2490</v>
      </c>
      <c r="C808" s="66" t="n">
        <v>45593</v>
      </c>
      <c r="D808" s="2" t="n">
        <v>1</v>
      </c>
      <c r="E808" s="3" t="inlineStr">
        <is>
          <t>PISTOLA SEMIAUTOMATICA</t>
        </is>
      </c>
      <c r="F808" s="3" t="inlineStr">
        <is>
          <t>9X19</t>
        </is>
      </c>
      <c r="G808" s="71" t="inlineStr">
        <is>
          <t>GLOCK</t>
        </is>
      </c>
      <c r="H808" s="65" t="inlineStr">
        <is>
          <t>MOD 47</t>
        </is>
      </c>
      <c r="I808" s="65" t="inlineStr">
        <is>
          <t>CDBV596</t>
        </is>
      </c>
      <c r="J808" s="65" t="inlineStr">
        <is>
          <t>N/D</t>
        </is>
      </c>
      <c r="K808" s="65" t="inlineStr">
        <is>
          <t>N/D</t>
        </is>
      </c>
      <c r="L808" s="127" t="inlineStr">
        <is>
          <t>BIGNAMI SPA</t>
        </is>
      </c>
      <c r="M808" s="5" t="n">
        <v>517.7</v>
      </c>
      <c r="N808" s="5" t="n"/>
      <c r="O808" s="5">
        <f>+M808+N808</f>
        <v/>
      </c>
      <c r="P808" s="4" t="n"/>
      <c r="Q808" s="87" t="n"/>
      <c r="R808" s="5" t="n">
        <v>587</v>
      </c>
      <c r="S808" s="2" t="n">
        <v>1</v>
      </c>
      <c r="T808" s="3" t="inlineStr">
        <is>
          <t>6B/2024/1S</t>
        </is>
      </c>
      <c r="U808" s="87" t="inlineStr">
        <is>
          <t>13/11/2024</t>
        </is>
      </c>
      <c r="V808" s="3" t="inlineStr">
        <is>
          <t>25</t>
        </is>
      </c>
      <c r="W808" s="108" t="inlineStr">
        <is>
          <t>13/11/2024</t>
        </is>
      </c>
      <c r="X808" s="4" t="inlineStr">
        <is>
          <t>HS &amp; S LLC</t>
        </is>
      </c>
    </row>
    <row r="809" ht="24" customHeight="1">
      <c r="A809" s="2">
        <f>+D809-S809</f>
        <v/>
      </c>
      <c r="B809" s="80" t="n">
        <v>2491</v>
      </c>
      <c r="C809" s="66" t="n">
        <v>45593</v>
      </c>
      <c r="D809" s="2" t="n">
        <v>1</v>
      </c>
      <c r="E809" s="3" t="inlineStr">
        <is>
          <t>PISTOLA SEMIAUTOMATICA</t>
        </is>
      </c>
      <c r="F809" s="3" t="inlineStr">
        <is>
          <t>9X19</t>
        </is>
      </c>
      <c r="G809" s="71" t="inlineStr">
        <is>
          <t>GLOCK</t>
        </is>
      </c>
      <c r="H809" s="65" t="inlineStr">
        <is>
          <t>MOD 47</t>
        </is>
      </c>
      <c r="I809" s="65" t="inlineStr">
        <is>
          <t>CDND912</t>
        </is>
      </c>
      <c r="J809" s="65" t="inlineStr">
        <is>
          <t>N/D</t>
        </is>
      </c>
      <c r="K809" s="65" t="inlineStr">
        <is>
          <t>N/D</t>
        </is>
      </c>
      <c r="L809" s="127" t="inlineStr">
        <is>
          <t>BIGNAMI SPA</t>
        </is>
      </c>
      <c r="M809" s="5" t="n">
        <v>517.7</v>
      </c>
      <c r="N809" s="5" t="n"/>
      <c r="O809" s="5">
        <f>+M809+N809</f>
        <v/>
      </c>
      <c r="P809" s="4" t="n"/>
      <c r="Q809" s="87" t="n"/>
      <c r="R809" s="5" t="n">
        <v>587</v>
      </c>
      <c r="S809" s="2" t="n">
        <v>1</v>
      </c>
      <c r="T809" s="3" t="inlineStr">
        <is>
          <t>6B/2024/1S</t>
        </is>
      </c>
      <c r="U809" s="87" t="inlineStr">
        <is>
          <t>13/11/2024</t>
        </is>
      </c>
      <c r="V809" s="3" t="inlineStr">
        <is>
          <t>25</t>
        </is>
      </c>
      <c r="W809" s="108" t="inlineStr">
        <is>
          <t>13/11/2024</t>
        </is>
      </c>
      <c r="X809" s="4" t="inlineStr">
        <is>
          <t>HS &amp; S LLC</t>
        </is>
      </c>
    </row>
    <row r="810" ht="24" customHeight="1">
      <c r="A810" s="2">
        <f>+D810-S810</f>
        <v/>
      </c>
      <c r="B810" s="80" t="n">
        <v>2492</v>
      </c>
      <c r="C810" s="66" t="n">
        <v>45593</v>
      </c>
      <c r="D810" s="2" t="n">
        <v>1</v>
      </c>
      <c r="E810" s="3" t="inlineStr">
        <is>
          <t>PISTOLA SEMIAUTOMATICA</t>
        </is>
      </c>
      <c r="F810" s="3" t="inlineStr">
        <is>
          <t>9X19</t>
        </is>
      </c>
      <c r="G810" s="71" t="inlineStr">
        <is>
          <t>GLOCK</t>
        </is>
      </c>
      <c r="H810" s="65" t="inlineStr">
        <is>
          <t>MOD 47</t>
        </is>
      </c>
      <c r="I810" s="65" t="inlineStr">
        <is>
          <t>CDBV595</t>
        </is>
      </c>
      <c r="J810" s="65" t="inlineStr">
        <is>
          <t>N/D</t>
        </is>
      </c>
      <c r="K810" s="65" t="inlineStr">
        <is>
          <t>N/D</t>
        </is>
      </c>
      <c r="L810" s="127" t="inlineStr">
        <is>
          <t>BIGNAMI SPA</t>
        </is>
      </c>
      <c r="M810" s="5" t="n">
        <v>517.7</v>
      </c>
      <c r="N810" s="5" t="n"/>
      <c r="O810" s="5">
        <f>+M810+N810</f>
        <v/>
      </c>
      <c r="P810" s="4" t="n"/>
      <c r="Q810" s="87" t="n"/>
      <c r="R810" s="5" t="n">
        <v>587</v>
      </c>
      <c r="S810" s="2" t="n">
        <v>1</v>
      </c>
      <c r="T810" s="3" t="inlineStr">
        <is>
          <t>6B/2024/1S</t>
        </is>
      </c>
      <c r="U810" s="87" t="inlineStr">
        <is>
          <t>13/11/2024</t>
        </is>
      </c>
      <c r="V810" s="3" t="inlineStr">
        <is>
          <t>25</t>
        </is>
      </c>
      <c r="W810" s="108" t="inlineStr">
        <is>
          <t>13/11/2024</t>
        </is>
      </c>
      <c r="X810" s="4" t="inlineStr">
        <is>
          <t>HS &amp; S LLC</t>
        </is>
      </c>
    </row>
    <row r="811" ht="24" customHeight="1">
      <c r="A811" s="2">
        <f>+D811-S811</f>
        <v/>
      </c>
      <c r="B811" s="80" t="n">
        <v>2493</v>
      </c>
      <c r="C811" s="66" t="n">
        <v>45593</v>
      </c>
      <c r="D811" s="2" t="n">
        <v>1</v>
      </c>
      <c r="E811" s="3" t="inlineStr">
        <is>
          <t>PISTOLA SEMIAUTOMATICA</t>
        </is>
      </c>
      <c r="F811" s="3" t="inlineStr">
        <is>
          <t>9X19</t>
        </is>
      </c>
      <c r="G811" s="71" t="inlineStr">
        <is>
          <t>GLOCK</t>
        </is>
      </c>
      <c r="H811" s="65" t="inlineStr">
        <is>
          <t>MOD 47</t>
        </is>
      </c>
      <c r="I811" s="65" t="inlineStr">
        <is>
          <t>CDBV591</t>
        </is>
      </c>
      <c r="J811" s="65" t="inlineStr">
        <is>
          <t>N/D</t>
        </is>
      </c>
      <c r="K811" s="65" t="inlineStr">
        <is>
          <t>N/D</t>
        </is>
      </c>
      <c r="L811" s="127" t="inlineStr">
        <is>
          <t>BIGNAMI SPA</t>
        </is>
      </c>
      <c r="M811" s="5" t="n">
        <v>517.7</v>
      </c>
      <c r="N811" s="5" t="n"/>
      <c r="O811" s="5">
        <f>+M811+N811</f>
        <v/>
      </c>
      <c r="P811" s="4" t="n"/>
      <c r="Q811" s="87" t="n"/>
      <c r="R811" s="5" t="n">
        <v>587</v>
      </c>
      <c r="S811" s="2" t="n">
        <v>1</v>
      </c>
      <c r="T811" s="3" t="inlineStr">
        <is>
          <t>6B/2024/1S</t>
        </is>
      </c>
      <c r="U811" s="87" t="inlineStr">
        <is>
          <t>13/11/2024</t>
        </is>
      </c>
      <c r="V811" s="3" t="inlineStr">
        <is>
          <t>25</t>
        </is>
      </c>
      <c r="W811" s="108" t="inlineStr">
        <is>
          <t>13/11/2024</t>
        </is>
      </c>
      <c r="X811" s="4" t="inlineStr">
        <is>
          <t>HS &amp; S LLC</t>
        </is>
      </c>
    </row>
    <row r="812" ht="24" customHeight="1">
      <c r="A812" s="2">
        <f>+D812-S812</f>
        <v/>
      </c>
      <c r="B812" s="80" t="n">
        <v>2494</v>
      </c>
      <c r="C812" s="66" t="n">
        <v>45593</v>
      </c>
      <c r="D812" s="2" t="n">
        <v>1</v>
      </c>
      <c r="E812" s="3" t="inlineStr">
        <is>
          <t>PISTOLA SEMIAUTOMATICA</t>
        </is>
      </c>
      <c r="F812" s="3" t="inlineStr">
        <is>
          <t>9X19</t>
        </is>
      </c>
      <c r="G812" s="71" t="inlineStr">
        <is>
          <t>GLOCK</t>
        </is>
      </c>
      <c r="H812" s="65" t="inlineStr">
        <is>
          <t>MOD 48</t>
        </is>
      </c>
      <c r="I812" s="65" t="inlineStr">
        <is>
          <t>BWPT907</t>
        </is>
      </c>
      <c r="J812" s="65" t="inlineStr">
        <is>
          <t>N/D</t>
        </is>
      </c>
      <c r="K812" s="65" t="inlineStr">
        <is>
          <t>N/D</t>
        </is>
      </c>
      <c r="L812" s="127" t="inlineStr">
        <is>
          <t>BIGNAMI SPA</t>
        </is>
      </c>
      <c r="M812" s="5" t="n">
        <v>454.1</v>
      </c>
      <c r="N812" s="5" t="n"/>
      <c r="O812" s="5">
        <f>+M812+N812</f>
        <v/>
      </c>
      <c r="P812" s="4" t="n"/>
      <c r="Q812" s="87" t="n"/>
      <c r="R812" s="5" t="n">
        <v>520</v>
      </c>
      <c r="S812" s="2" t="n">
        <v>1</v>
      </c>
      <c r="T812" s="3" t="inlineStr">
        <is>
          <t>6B/2024/1S</t>
        </is>
      </c>
      <c r="U812" s="87" t="inlineStr">
        <is>
          <t>13/11/2024</t>
        </is>
      </c>
      <c r="V812" s="3" t="inlineStr">
        <is>
          <t>25</t>
        </is>
      </c>
      <c r="W812" s="108" t="inlineStr">
        <is>
          <t>13/11/2024</t>
        </is>
      </c>
      <c r="X812" s="4" t="inlineStr">
        <is>
          <t>HS &amp; S LLC</t>
        </is>
      </c>
    </row>
    <row r="813" ht="24" customHeight="1">
      <c r="A813" s="2">
        <f>+D813-S813</f>
        <v/>
      </c>
      <c r="B813" s="80" t="n">
        <v>2495</v>
      </c>
      <c r="C813" s="66" t="n">
        <v>45593</v>
      </c>
      <c r="D813" s="2" t="n">
        <v>1</v>
      </c>
      <c r="E813" s="3" t="inlineStr">
        <is>
          <t>PISTOLA SEMIAUTOMATICA</t>
        </is>
      </c>
      <c r="F813" s="3" t="inlineStr">
        <is>
          <t>9X19</t>
        </is>
      </c>
      <c r="G813" s="71" t="inlineStr">
        <is>
          <t>GLOCK</t>
        </is>
      </c>
      <c r="H813" s="65" t="inlineStr">
        <is>
          <t>MOD 48</t>
        </is>
      </c>
      <c r="I813" s="65" t="inlineStr">
        <is>
          <t>BWPT913</t>
        </is>
      </c>
      <c r="J813" s="65" t="inlineStr">
        <is>
          <t>N/D</t>
        </is>
      </c>
      <c r="K813" s="65" t="inlineStr">
        <is>
          <t>N/D</t>
        </is>
      </c>
      <c r="L813" s="127" t="inlineStr">
        <is>
          <t>BIGNAMI SPA</t>
        </is>
      </c>
      <c r="M813" s="5" t="n">
        <v>454.1</v>
      </c>
      <c r="N813" s="5" t="n"/>
      <c r="O813" s="5">
        <f>+M813+N813</f>
        <v/>
      </c>
      <c r="P813" s="4" t="n"/>
      <c r="Q813" s="87" t="n"/>
      <c r="R813" s="5" t="n">
        <v>520</v>
      </c>
      <c r="S813" s="2" t="n">
        <v>1</v>
      </c>
      <c r="T813" s="3" t="inlineStr">
        <is>
          <t>6B/2024/1S</t>
        </is>
      </c>
      <c r="U813" s="87" t="inlineStr">
        <is>
          <t>13/11/2024</t>
        </is>
      </c>
      <c r="V813" s="3" t="inlineStr">
        <is>
          <t>25</t>
        </is>
      </c>
      <c r="W813" s="108" t="inlineStr">
        <is>
          <t>13/11/2024</t>
        </is>
      </c>
      <c r="X813" s="4" t="inlineStr">
        <is>
          <t>HS &amp; S LLC</t>
        </is>
      </c>
    </row>
    <row r="814" ht="24" customHeight="1">
      <c r="A814" s="2">
        <f>+D814-S814</f>
        <v/>
      </c>
      <c r="B814" s="80" t="n">
        <v>2496</v>
      </c>
      <c r="C814" s="66" t="n">
        <v>45593</v>
      </c>
      <c r="D814" s="2" t="n">
        <v>1</v>
      </c>
      <c r="E814" s="3" t="inlineStr">
        <is>
          <t>PISTOLA SEMIAUTOMATICA</t>
        </is>
      </c>
      <c r="F814" s="3" t="inlineStr">
        <is>
          <t>9X19</t>
        </is>
      </c>
      <c r="G814" s="71" t="inlineStr">
        <is>
          <t xml:space="preserve">CZ </t>
        </is>
      </c>
      <c r="H814" s="65" t="inlineStr">
        <is>
          <t>SHADOW 2</t>
        </is>
      </c>
      <c r="I814" s="65" t="inlineStr">
        <is>
          <t>H041345</t>
        </is>
      </c>
      <c r="J814" s="65" t="inlineStr">
        <is>
          <t>N/D</t>
        </is>
      </c>
      <c r="K814" s="65" t="inlineStr">
        <is>
          <t>N/D</t>
        </is>
      </c>
      <c r="L814" s="127" t="inlineStr">
        <is>
          <t>BIGNAMI SPA</t>
        </is>
      </c>
      <c r="M814" s="5" t="n">
        <v>1113.17</v>
      </c>
      <c r="N814" s="5" t="n"/>
      <c r="O814" s="5">
        <f>+M814+N814</f>
        <v/>
      </c>
      <c r="P814" s="4" t="n"/>
      <c r="Q814" s="87" t="n"/>
      <c r="R814" s="5" t="n">
        <v>1385</v>
      </c>
      <c r="S814" s="2" t="n">
        <v>1</v>
      </c>
      <c r="T814" s="3" t="inlineStr">
        <is>
          <t>6B/2024/1S</t>
        </is>
      </c>
      <c r="U814" s="87" t="inlineStr">
        <is>
          <t>13/11/2024</t>
        </is>
      </c>
      <c r="V814" s="3" t="inlineStr">
        <is>
          <t>25</t>
        </is>
      </c>
      <c r="W814" s="108" t="inlineStr">
        <is>
          <t>13/11/2024</t>
        </is>
      </c>
      <c r="X814" s="4" t="inlineStr">
        <is>
          <t>HS &amp; S LLC</t>
        </is>
      </c>
    </row>
    <row r="815" ht="24" customHeight="1">
      <c r="A815" s="2">
        <f>+D815-S815</f>
        <v/>
      </c>
      <c r="B815" s="80" t="n">
        <v>2497</v>
      </c>
      <c r="C815" s="66" t="n">
        <v>45593</v>
      </c>
      <c r="D815" s="2" t="n">
        <v>1</v>
      </c>
      <c r="E815" s="3" t="inlineStr">
        <is>
          <t>PISTOLA SEMIAUTOMATICA</t>
        </is>
      </c>
      <c r="F815" s="3" t="inlineStr">
        <is>
          <t>9X19</t>
        </is>
      </c>
      <c r="G815" s="71" t="inlineStr">
        <is>
          <t xml:space="preserve">CZ </t>
        </is>
      </c>
      <c r="H815" s="65" t="inlineStr">
        <is>
          <t>SHADOW 2</t>
        </is>
      </c>
      <c r="I815" s="65" t="inlineStr">
        <is>
          <t>H041354</t>
        </is>
      </c>
      <c r="J815" s="65" t="inlineStr">
        <is>
          <t>N/D</t>
        </is>
      </c>
      <c r="K815" s="65" t="inlineStr">
        <is>
          <t>N/D</t>
        </is>
      </c>
      <c r="L815" s="127" t="inlineStr">
        <is>
          <t>BIGNAMI SPA</t>
        </is>
      </c>
      <c r="M815" s="5" t="n">
        <v>1113.17</v>
      </c>
      <c r="N815" s="5" t="n"/>
      <c r="O815" s="5">
        <f>+M815+N815</f>
        <v/>
      </c>
      <c r="P815" s="4" t="n"/>
      <c r="Q815" s="87" t="n"/>
      <c r="R815" s="5" t="n">
        <v>1385</v>
      </c>
      <c r="S815" s="2" t="n">
        <v>1</v>
      </c>
      <c r="T815" s="3" t="inlineStr">
        <is>
          <t>6B/2024/1S</t>
        </is>
      </c>
      <c r="U815" s="87" t="inlineStr">
        <is>
          <t>13/11/2024</t>
        </is>
      </c>
      <c r="V815" s="3" t="inlineStr">
        <is>
          <t>25</t>
        </is>
      </c>
      <c r="W815" s="108" t="inlineStr">
        <is>
          <t>13/11/2024</t>
        </is>
      </c>
      <c r="X815" s="4" t="inlineStr">
        <is>
          <t>HS &amp; S LLC</t>
        </is>
      </c>
    </row>
    <row r="816" ht="24" customHeight="1">
      <c r="A816" s="2">
        <f>+D816-S816</f>
        <v/>
      </c>
      <c r="B816" s="80" t="n">
        <v>2498</v>
      </c>
      <c r="C816" s="66" t="n">
        <v>45593</v>
      </c>
      <c r="D816" s="2" t="n">
        <v>1</v>
      </c>
      <c r="E816" s="3" t="inlineStr">
        <is>
          <t>PISTOLA SEMIAUTOMATICA</t>
        </is>
      </c>
      <c r="F816" s="3" t="inlineStr">
        <is>
          <t>9X19</t>
        </is>
      </c>
      <c r="G816" s="71" t="inlineStr">
        <is>
          <t xml:space="preserve">CZ </t>
        </is>
      </c>
      <c r="H816" s="65" t="inlineStr">
        <is>
          <t>SHADOW 2</t>
        </is>
      </c>
      <c r="I816" s="65" t="inlineStr">
        <is>
          <t>H041346</t>
        </is>
      </c>
      <c r="J816" s="65" t="inlineStr">
        <is>
          <t>N/D</t>
        </is>
      </c>
      <c r="K816" s="65" t="inlineStr">
        <is>
          <t>N/D</t>
        </is>
      </c>
      <c r="L816" s="127" t="inlineStr">
        <is>
          <t>BIGNAMI SPA</t>
        </is>
      </c>
      <c r="M816" s="5" t="n">
        <v>1113.17</v>
      </c>
      <c r="N816" s="5" t="n"/>
      <c r="O816" s="5">
        <f>+M816+N816</f>
        <v/>
      </c>
      <c r="P816" s="4" t="n"/>
      <c r="Q816" s="87" t="n"/>
      <c r="R816" s="5" t="n">
        <v>1385</v>
      </c>
      <c r="S816" s="2" t="n">
        <v>1</v>
      </c>
      <c r="T816" s="3" t="inlineStr">
        <is>
          <t>6B/2024/1S</t>
        </is>
      </c>
      <c r="U816" s="87" t="inlineStr">
        <is>
          <t>13/11/2024</t>
        </is>
      </c>
      <c r="V816" s="3" t="inlineStr">
        <is>
          <t>25</t>
        </is>
      </c>
      <c r="W816" s="108" t="inlineStr">
        <is>
          <t>13/11/2024</t>
        </is>
      </c>
      <c r="X816" s="4" t="inlineStr">
        <is>
          <t>HS &amp; S LLC</t>
        </is>
      </c>
    </row>
    <row r="817" ht="24" customHeight="1">
      <c r="A817" s="2">
        <f>+D817-S817</f>
        <v/>
      </c>
      <c r="B817" s="80" t="n">
        <v>2499</v>
      </c>
      <c r="C817" s="66" t="n">
        <v>45593</v>
      </c>
      <c r="D817" s="2" t="n">
        <v>1</v>
      </c>
      <c r="E817" s="3" t="inlineStr">
        <is>
          <t>PISTOLA SEMIAUTOMATICA</t>
        </is>
      </c>
      <c r="F817" s="3" t="inlineStr">
        <is>
          <t>9X19</t>
        </is>
      </c>
      <c r="G817" s="71" t="inlineStr">
        <is>
          <t xml:space="preserve">CZ </t>
        </is>
      </c>
      <c r="H817" s="65" t="inlineStr">
        <is>
          <t>SHADOW 2 URBAN GREY</t>
        </is>
      </c>
      <c r="I817" s="65" t="inlineStr">
        <is>
          <t>G345888</t>
        </is>
      </c>
      <c r="J817" s="65" t="inlineStr">
        <is>
          <t>N/D</t>
        </is>
      </c>
      <c r="K817" s="65" t="inlineStr">
        <is>
          <t>N/D</t>
        </is>
      </c>
      <c r="L817" s="127" t="inlineStr">
        <is>
          <t>BIGNAMI SPA</t>
        </is>
      </c>
      <c r="M817" s="5" t="n">
        <v>1113.17</v>
      </c>
      <c r="N817" s="5" t="n"/>
      <c r="O817" s="5">
        <f>+M817+N817</f>
        <v/>
      </c>
      <c r="P817" s="4" t="n"/>
      <c r="Q817" s="87" t="n"/>
      <c r="R817" s="5" t="n">
        <v>1220</v>
      </c>
      <c r="S817" s="2" t="n">
        <v>1</v>
      </c>
      <c r="T817" s="3" t="inlineStr">
        <is>
          <t>6B/2024/1S</t>
        </is>
      </c>
      <c r="U817" s="87" t="inlineStr">
        <is>
          <t>13/11/2024</t>
        </is>
      </c>
      <c r="V817" s="3" t="inlineStr">
        <is>
          <t>25</t>
        </is>
      </c>
      <c r="W817" s="108" t="inlineStr">
        <is>
          <t>13/11/2024</t>
        </is>
      </c>
      <c r="X817" s="4" t="inlineStr">
        <is>
          <t>HS &amp; S LLC</t>
        </is>
      </c>
    </row>
    <row r="818" ht="24" customHeight="1">
      <c r="A818" s="2">
        <f>+D818-S818</f>
        <v/>
      </c>
      <c r="B818" s="80" t="n">
        <v>2500</v>
      </c>
      <c r="C818" s="66" t="n">
        <v>45593</v>
      </c>
      <c r="D818" s="2" t="n">
        <v>1</v>
      </c>
      <c r="E818" s="3" t="inlineStr">
        <is>
          <t>PISTOLA SEMIAUTOMATICA</t>
        </is>
      </c>
      <c r="F818" s="3" t="inlineStr">
        <is>
          <t>9X19</t>
        </is>
      </c>
      <c r="G818" s="71" t="inlineStr">
        <is>
          <t xml:space="preserve">CZ </t>
        </is>
      </c>
      <c r="H818" s="65" t="inlineStr">
        <is>
          <t>SHADOW 2 URBAN GREY</t>
        </is>
      </c>
      <c r="I818" s="65" t="inlineStr">
        <is>
          <t>G343862</t>
        </is>
      </c>
      <c r="J818" s="65" t="inlineStr">
        <is>
          <t>N/D</t>
        </is>
      </c>
      <c r="K818" s="65" t="inlineStr">
        <is>
          <t>N/D</t>
        </is>
      </c>
      <c r="L818" s="127" t="inlineStr">
        <is>
          <t>BIGNAMI SPA</t>
        </is>
      </c>
      <c r="M818" s="5" t="n">
        <v>1113.17</v>
      </c>
      <c r="N818" s="5" t="n"/>
      <c r="O818" s="5">
        <f>+M818+N818</f>
        <v/>
      </c>
      <c r="P818" s="4" t="n"/>
      <c r="Q818" s="87" t="n"/>
      <c r="R818" s="5" t="n">
        <v>1220</v>
      </c>
      <c r="S818" s="2" t="n">
        <v>1</v>
      </c>
      <c r="T818" s="3" t="inlineStr">
        <is>
          <t>6B/2024/1S</t>
        </is>
      </c>
      <c r="U818" s="87" t="inlineStr">
        <is>
          <t>13/11/2024</t>
        </is>
      </c>
      <c r="V818" s="3" t="inlineStr">
        <is>
          <t>25</t>
        </is>
      </c>
      <c r="W818" s="108" t="inlineStr">
        <is>
          <t>13/11/2024</t>
        </is>
      </c>
      <c r="X818" s="4" t="inlineStr">
        <is>
          <t>HS &amp; S LLC</t>
        </is>
      </c>
    </row>
    <row r="819" ht="24" customHeight="1">
      <c r="A819" s="2">
        <f>+D819-S819</f>
        <v/>
      </c>
      <c r="B819" s="80" t="n">
        <v>2501</v>
      </c>
      <c r="C819" s="66" t="n">
        <v>45593</v>
      </c>
      <c r="D819" s="2" t="n">
        <v>1</v>
      </c>
      <c r="E819" s="3" t="inlineStr">
        <is>
          <t>PISTOLA SEMIAUTOMATICA</t>
        </is>
      </c>
      <c r="F819" s="3" t="inlineStr">
        <is>
          <t>9X19</t>
        </is>
      </c>
      <c r="G819" s="71" t="inlineStr">
        <is>
          <t xml:space="preserve">CZ </t>
        </is>
      </c>
      <c r="H819" s="65" t="inlineStr">
        <is>
          <t>SHADOW 2 URBAN GREY</t>
        </is>
      </c>
      <c r="I819" s="65" t="inlineStr">
        <is>
          <t>G343844</t>
        </is>
      </c>
      <c r="J819" s="65" t="inlineStr">
        <is>
          <t>N/D</t>
        </is>
      </c>
      <c r="K819" s="65" t="inlineStr">
        <is>
          <t>N/D</t>
        </is>
      </c>
      <c r="L819" s="127" t="inlineStr">
        <is>
          <t>BIGNAMI SPA</t>
        </is>
      </c>
      <c r="M819" s="5" t="n">
        <v>1113.17</v>
      </c>
      <c r="N819" s="5" t="n"/>
      <c r="O819" s="5">
        <f>+M819+N819</f>
        <v/>
      </c>
      <c r="P819" s="4" t="n"/>
      <c r="Q819" s="87" t="n"/>
      <c r="R819" s="5" t="n">
        <v>1220</v>
      </c>
      <c r="S819" s="2" t="n">
        <v>1</v>
      </c>
      <c r="T819" s="3" t="inlineStr">
        <is>
          <t>6B/2024/1S</t>
        </is>
      </c>
      <c r="U819" s="87" t="inlineStr">
        <is>
          <t>13/11/2024</t>
        </is>
      </c>
      <c r="V819" s="3" t="inlineStr">
        <is>
          <t>25</t>
        </is>
      </c>
      <c r="W819" s="108" t="inlineStr">
        <is>
          <t>13/11/2024</t>
        </is>
      </c>
      <c r="X819" s="4" t="inlineStr">
        <is>
          <t>HS &amp; S LLC</t>
        </is>
      </c>
    </row>
    <row r="820" ht="24" customHeight="1">
      <c r="A820" s="2">
        <f>+D820-S820</f>
        <v/>
      </c>
      <c r="B820" s="80" t="n">
        <v>2502</v>
      </c>
      <c r="C820" s="66" t="n">
        <v>45593</v>
      </c>
      <c r="D820" s="2" t="n">
        <v>1</v>
      </c>
      <c r="E820" s="3" t="inlineStr">
        <is>
          <t>PISTOLA SEMIAUTOMATICA</t>
        </is>
      </c>
      <c r="F820" s="3" t="inlineStr">
        <is>
          <t>9X19</t>
        </is>
      </c>
      <c r="G820" s="71" t="inlineStr">
        <is>
          <t xml:space="preserve">CZ </t>
        </is>
      </c>
      <c r="H820" s="65" t="inlineStr">
        <is>
          <t>TS-2 BRONZE</t>
        </is>
      </c>
      <c r="I820" s="65" t="inlineStr">
        <is>
          <t>G292604</t>
        </is>
      </c>
      <c r="J820" s="65" t="inlineStr">
        <is>
          <t>N/D</t>
        </is>
      </c>
      <c r="K820" s="65" t="inlineStr">
        <is>
          <t>N/D</t>
        </is>
      </c>
      <c r="L820" s="127" t="inlineStr">
        <is>
          <t>BIGNAMI SPA</t>
        </is>
      </c>
      <c r="M820" s="5" t="n">
        <v>1762.2</v>
      </c>
      <c r="N820" s="5" t="n"/>
      <c r="O820" s="5">
        <f>+M820+N820</f>
        <v/>
      </c>
      <c r="P820" s="4" t="n"/>
      <c r="Q820" s="87" t="n"/>
      <c r="R820" s="5" t="n">
        <v>1903</v>
      </c>
      <c r="S820" s="2" t="n">
        <v>1</v>
      </c>
      <c r="T820" s="3" t="inlineStr">
        <is>
          <t>6B/2024/1S</t>
        </is>
      </c>
      <c r="U820" s="87" t="inlineStr">
        <is>
          <t>13/11/2024</t>
        </is>
      </c>
      <c r="V820" s="3" t="inlineStr">
        <is>
          <t>25</t>
        </is>
      </c>
      <c r="W820" s="108" t="inlineStr">
        <is>
          <t>13/11/2024</t>
        </is>
      </c>
      <c r="X820" s="4" t="inlineStr">
        <is>
          <t>HS &amp; S LLC</t>
        </is>
      </c>
    </row>
    <row r="821" ht="24" customHeight="1">
      <c r="A821" s="2">
        <f>+D821-S821</f>
        <v/>
      </c>
      <c r="B821" s="80" t="n">
        <v>2503</v>
      </c>
      <c r="C821" s="66" t="n">
        <v>45593</v>
      </c>
      <c r="D821" s="2" t="n">
        <v>1</v>
      </c>
      <c r="E821" s="3" t="inlineStr">
        <is>
          <t>PISTOLA SEMIAUTOMATICA</t>
        </is>
      </c>
      <c r="F821" s="3" t="inlineStr">
        <is>
          <t>9X19</t>
        </is>
      </c>
      <c r="G821" s="71" t="inlineStr">
        <is>
          <t xml:space="preserve">CZ </t>
        </is>
      </c>
      <c r="H821" s="65" t="inlineStr">
        <is>
          <t>TS-2 BRONZE</t>
        </is>
      </c>
      <c r="I821" s="65" t="inlineStr">
        <is>
          <t>G292628</t>
        </is>
      </c>
      <c r="J821" s="65" t="inlineStr">
        <is>
          <t>N/D</t>
        </is>
      </c>
      <c r="K821" s="65" t="inlineStr">
        <is>
          <t>N/D</t>
        </is>
      </c>
      <c r="L821" s="127" t="inlineStr">
        <is>
          <t>BIGNAMI SPA</t>
        </is>
      </c>
      <c r="M821" s="5" t="n">
        <v>1762.2</v>
      </c>
      <c r="N821" s="5" t="n"/>
      <c r="O821" s="5">
        <f>+M821+N821</f>
        <v/>
      </c>
      <c r="P821" s="4" t="n"/>
      <c r="Q821" s="87" t="n"/>
      <c r="R821" s="5" t="n">
        <v>1903</v>
      </c>
      <c r="S821" s="2" t="n">
        <v>1</v>
      </c>
      <c r="T821" s="3" t="inlineStr">
        <is>
          <t>6B/2024/1S</t>
        </is>
      </c>
      <c r="U821" s="87" t="inlineStr">
        <is>
          <t>13/11/2024</t>
        </is>
      </c>
      <c r="V821" s="3" t="inlineStr">
        <is>
          <t>25</t>
        </is>
      </c>
      <c r="W821" s="108" t="inlineStr">
        <is>
          <t>13/11/2024</t>
        </is>
      </c>
      <c r="X821" s="4" t="inlineStr">
        <is>
          <t>HS &amp; S LLC</t>
        </is>
      </c>
    </row>
    <row r="822" ht="24" customHeight="1">
      <c r="A822" s="2">
        <f>+D822-S822</f>
        <v/>
      </c>
      <c r="B822" s="80" t="n">
        <v>2504</v>
      </c>
      <c r="C822" s="66" t="n">
        <v>45593</v>
      </c>
      <c r="D822" s="2" t="n">
        <v>1</v>
      </c>
      <c r="E822" s="3" t="inlineStr">
        <is>
          <t>PISTOLA SEMIAUTOMATICA</t>
        </is>
      </c>
      <c r="F822" s="3" t="inlineStr">
        <is>
          <t>9X19</t>
        </is>
      </c>
      <c r="G822" s="71" t="inlineStr">
        <is>
          <t xml:space="preserve">CZ </t>
        </is>
      </c>
      <c r="H822" s="65" t="inlineStr">
        <is>
          <t>TS-2 BRONZE</t>
        </is>
      </c>
      <c r="I822" s="65" t="inlineStr">
        <is>
          <t>G292570</t>
        </is>
      </c>
      <c r="J822" s="65" t="inlineStr">
        <is>
          <t>N/D</t>
        </is>
      </c>
      <c r="K822" s="65" t="inlineStr">
        <is>
          <t>N/D</t>
        </is>
      </c>
      <c r="L822" s="127" t="inlineStr">
        <is>
          <t>BIGNAMI SPA</t>
        </is>
      </c>
      <c r="M822" s="5" t="n">
        <v>1762.2</v>
      </c>
      <c r="N822" s="5" t="n"/>
      <c r="O822" s="5">
        <f>+M822+N822</f>
        <v/>
      </c>
      <c r="P822" s="4" t="n"/>
      <c r="Q822" s="87" t="n"/>
      <c r="R822" s="5" t="n">
        <v>1903</v>
      </c>
      <c r="S822" s="2" t="n">
        <v>1</v>
      </c>
      <c r="T822" s="3" t="inlineStr">
        <is>
          <t>6B/2024/1S</t>
        </is>
      </c>
      <c r="U822" s="87" t="inlineStr">
        <is>
          <t>13/11/2024</t>
        </is>
      </c>
      <c r="V822" s="3" t="inlineStr">
        <is>
          <t>25</t>
        </is>
      </c>
      <c r="W822" s="108" t="inlineStr">
        <is>
          <t>13/11/2024</t>
        </is>
      </c>
      <c r="X822" s="4" t="inlineStr">
        <is>
          <t>HS &amp; S LLC</t>
        </is>
      </c>
    </row>
    <row r="823" ht="24" customHeight="1">
      <c r="A823" s="2">
        <f>+D823-S823</f>
        <v/>
      </c>
      <c r="B823" s="80" t="n">
        <v>2505</v>
      </c>
      <c r="C823" s="66" t="n">
        <v>45593</v>
      </c>
      <c r="D823" s="2" t="n">
        <v>1</v>
      </c>
      <c r="E823" s="3" t="inlineStr">
        <is>
          <t>PISTOLA SEMIAUTOMATICA</t>
        </is>
      </c>
      <c r="F823" s="3" t="inlineStr">
        <is>
          <t>9X19</t>
        </is>
      </c>
      <c r="G823" s="71" t="inlineStr">
        <is>
          <t>SIG SAUER</t>
        </is>
      </c>
      <c r="H823" s="65" t="inlineStr">
        <is>
          <t>P 226 NITRON FULL SIZE</t>
        </is>
      </c>
      <c r="I823" s="65" t="inlineStr">
        <is>
          <t>47G045989</t>
        </is>
      </c>
      <c r="J823" s="65" t="inlineStr">
        <is>
          <t>N/D</t>
        </is>
      </c>
      <c r="K823" s="65" t="inlineStr">
        <is>
          <t>N/D</t>
        </is>
      </c>
      <c r="L823" s="127" t="inlineStr">
        <is>
          <t>BIGNAMI SPA</t>
        </is>
      </c>
      <c r="M823" s="5" t="n">
        <v>1075.23</v>
      </c>
      <c r="N823" s="5" t="n"/>
      <c r="O823" s="5">
        <f>+M823+N823</f>
        <v/>
      </c>
      <c r="P823" s="4" t="n"/>
      <c r="Q823" s="87" t="n"/>
      <c r="R823" s="5" t="n">
        <v>1220</v>
      </c>
      <c r="S823" s="2" t="n">
        <v>1</v>
      </c>
      <c r="T823" s="3" t="inlineStr">
        <is>
          <t>6B/2024/1S</t>
        </is>
      </c>
      <c r="U823" s="87" t="inlineStr">
        <is>
          <t>13/11/2024</t>
        </is>
      </c>
      <c r="V823" s="3" t="inlineStr">
        <is>
          <t>25</t>
        </is>
      </c>
      <c r="W823" s="108" t="inlineStr">
        <is>
          <t>13/11/2024</t>
        </is>
      </c>
      <c r="X823" s="4" t="inlineStr">
        <is>
          <t>HS &amp; S LLC</t>
        </is>
      </c>
    </row>
    <row r="824" ht="24" customHeight="1">
      <c r="A824" s="2">
        <f>+D824-S824</f>
        <v/>
      </c>
      <c r="B824" s="80" t="n">
        <v>2506</v>
      </c>
      <c r="C824" s="66" t="n">
        <v>45593</v>
      </c>
      <c r="D824" s="2" t="n">
        <v>1</v>
      </c>
      <c r="E824" s="3" t="inlineStr">
        <is>
          <t>PISTOLA SEMIAUTOMATICA</t>
        </is>
      </c>
      <c r="F824" s="3" t="inlineStr">
        <is>
          <t>9X19</t>
        </is>
      </c>
      <c r="G824" s="71" t="inlineStr">
        <is>
          <t>SIG SAUER</t>
        </is>
      </c>
      <c r="H824" s="65" t="inlineStr">
        <is>
          <t>P 226 NITRON FULL SIZE</t>
        </is>
      </c>
      <c r="I824" s="65" t="inlineStr">
        <is>
          <t>47G046014</t>
        </is>
      </c>
      <c r="J824" s="65" t="inlineStr">
        <is>
          <t>N/D</t>
        </is>
      </c>
      <c r="K824" s="65" t="inlineStr">
        <is>
          <t>N/D</t>
        </is>
      </c>
      <c r="L824" s="127" t="inlineStr">
        <is>
          <t>BIGNAMI SPA</t>
        </is>
      </c>
      <c r="M824" s="5" t="n">
        <v>1075.23</v>
      </c>
      <c r="N824" s="5" t="n"/>
      <c r="O824" s="5">
        <f>+M824+N824</f>
        <v/>
      </c>
      <c r="P824" s="4" t="n"/>
      <c r="Q824" s="87" t="n"/>
      <c r="R824" s="5" t="n">
        <v>1220</v>
      </c>
      <c r="S824" s="2" t="n">
        <v>1</v>
      </c>
      <c r="T824" s="3" t="inlineStr">
        <is>
          <t>6B/2024/1S</t>
        </is>
      </c>
      <c r="U824" s="87" t="inlineStr">
        <is>
          <t>13/11/2024</t>
        </is>
      </c>
      <c r="V824" s="3" t="inlineStr">
        <is>
          <t>25</t>
        </is>
      </c>
      <c r="W824" s="108" t="inlineStr">
        <is>
          <t>13/11/2024</t>
        </is>
      </c>
      <c r="X824" s="4" t="inlineStr">
        <is>
          <t>HS &amp; S LLC</t>
        </is>
      </c>
    </row>
    <row r="825" ht="24" customHeight="1">
      <c r="A825" s="2">
        <f>+D825-S825</f>
        <v/>
      </c>
      <c r="B825" s="80" t="n">
        <v>2507</v>
      </c>
      <c r="C825" s="66" t="n">
        <v>45593</v>
      </c>
      <c r="D825" s="2" t="n">
        <v>1</v>
      </c>
      <c r="E825" s="3" t="inlineStr">
        <is>
          <t>PISTOLA SEMIAUTOMATICA</t>
        </is>
      </c>
      <c r="F825" s="3" t="inlineStr">
        <is>
          <t>9X19</t>
        </is>
      </c>
      <c r="G825" s="71" t="inlineStr">
        <is>
          <t>SIG SAUER</t>
        </is>
      </c>
      <c r="H825" s="65" t="inlineStr">
        <is>
          <t>P 226 NITRON FULL SIZE</t>
        </is>
      </c>
      <c r="I825" s="65" t="inlineStr">
        <is>
          <t>47G046016</t>
        </is>
      </c>
      <c r="J825" s="65" t="inlineStr">
        <is>
          <t>N/D</t>
        </is>
      </c>
      <c r="K825" s="65" t="inlineStr">
        <is>
          <t>N/D</t>
        </is>
      </c>
      <c r="L825" s="127" t="inlineStr">
        <is>
          <t>BIGNAMI SPA</t>
        </is>
      </c>
      <c r="M825" s="5" t="n">
        <v>1075.23</v>
      </c>
      <c r="N825" s="5" t="n"/>
      <c r="O825" s="5">
        <f>+M825+N825</f>
        <v/>
      </c>
      <c r="P825" s="4" t="n"/>
      <c r="Q825" s="87" t="n"/>
      <c r="R825" s="5" t="n">
        <v>1220</v>
      </c>
      <c r="S825" s="2" t="n">
        <v>1</v>
      </c>
      <c r="T825" s="3" t="inlineStr">
        <is>
          <t>6B/2024/1S</t>
        </is>
      </c>
      <c r="U825" s="87" t="inlineStr">
        <is>
          <t>13/11/2024</t>
        </is>
      </c>
      <c r="V825" s="3" t="inlineStr">
        <is>
          <t>25</t>
        </is>
      </c>
      <c r="W825" s="108" t="inlineStr">
        <is>
          <t>13/11/2024</t>
        </is>
      </c>
      <c r="X825" s="4" t="inlineStr">
        <is>
          <t>HS &amp; S LLC</t>
        </is>
      </c>
    </row>
    <row r="826" ht="24" customHeight="1">
      <c r="A826" s="2">
        <f>+D826-S826</f>
        <v/>
      </c>
      <c r="B826" s="80" t="n">
        <v>2508</v>
      </c>
      <c r="C826" s="66" t="n">
        <v>45593</v>
      </c>
      <c r="D826" s="2" t="n">
        <v>1</v>
      </c>
      <c r="E826" s="3" t="inlineStr">
        <is>
          <t>PISTOLA SEMIAUTOMATICA</t>
        </is>
      </c>
      <c r="F826" s="3" t="inlineStr">
        <is>
          <t>9X19</t>
        </is>
      </c>
      <c r="G826" s="71" t="inlineStr">
        <is>
          <t>SIG SAUER</t>
        </is>
      </c>
      <c r="H826" s="65" t="inlineStr">
        <is>
          <t>P 320 NITRON</t>
        </is>
      </c>
      <c r="I826" s="65" t="inlineStr">
        <is>
          <t>58K249686</t>
        </is>
      </c>
      <c r="J826" s="65" t="inlineStr">
        <is>
          <t>N/D</t>
        </is>
      </c>
      <c r="K826" s="65" t="inlineStr">
        <is>
          <t>N/D</t>
        </is>
      </c>
      <c r="L826" s="127" t="inlineStr">
        <is>
          <t>BIGNAMI SPA</t>
        </is>
      </c>
      <c r="M826" s="5" t="n">
        <v>550</v>
      </c>
      <c r="N826" s="5" t="n"/>
      <c r="O826" s="5">
        <f>+M826+N826</f>
        <v/>
      </c>
      <c r="P826" s="4" t="n"/>
      <c r="Q826" s="87" t="n"/>
      <c r="R826" s="5" t="n">
        <v>690</v>
      </c>
      <c r="S826" s="2" t="n">
        <v>1</v>
      </c>
      <c r="T826" s="3" t="inlineStr">
        <is>
          <t>6B/2024/1S</t>
        </is>
      </c>
      <c r="U826" s="87" t="inlineStr">
        <is>
          <t>13/11/2024</t>
        </is>
      </c>
      <c r="V826" s="3" t="inlineStr">
        <is>
          <t>25</t>
        </is>
      </c>
      <c r="W826" s="108" t="inlineStr">
        <is>
          <t>13/11/2024</t>
        </is>
      </c>
      <c r="X826" s="4" t="inlineStr">
        <is>
          <t>HS &amp; S LLC</t>
        </is>
      </c>
    </row>
    <row r="827" ht="24" customHeight="1">
      <c r="A827" s="2">
        <f>+D827-S827</f>
        <v/>
      </c>
      <c r="B827" s="80" t="n">
        <v>2509</v>
      </c>
      <c r="C827" s="66" t="n">
        <v>45593</v>
      </c>
      <c r="D827" s="2" t="n">
        <v>1</v>
      </c>
      <c r="E827" s="3" t="inlineStr">
        <is>
          <t>PISTOLA SEMIAUTOMATICA</t>
        </is>
      </c>
      <c r="F827" s="3" t="inlineStr">
        <is>
          <t>9X19</t>
        </is>
      </c>
      <c r="G827" s="71" t="inlineStr">
        <is>
          <t>SIG SAUER</t>
        </is>
      </c>
      <c r="H827" s="65" t="inlineStr">
        <is>
          <t>P 320 NITRON</t>
        </is>
      </c>
      <c r="I827" s="65" t="inlineStr">
        <is>
          <t>58k249930</t>
        </is>
      </c>
      <c r="J827" s="65" t="inlineStr">
        <is>
          <t>N/D</t>
        </is>
      </c>
      <c r="K827" s="65" t="inlineStr">
        <is>
          <t>N/D</t>
        </is>
      </c>
      <c r="L827" s="127" t="inlineStr">
        <is>
          <t>BIGNAMI SPA</t>
        </is>
      </c>
      <c r="M827" s="5" t="n">
        <v>550</v>
      </c>
      <c r="N827" s="5" t="n"/>
      <c r="O827" s="5">
        <f>+M827+N827</f>
        <v/>
      </c>
      <c r="P827" s="4" t="n"/>
      <c r="Q827" s="87" t="n"/>
      <c r="R827" s="5" t="n">
        <v>690</v>
      </c>
      <c r="S827" s="2" t="n">
        <v>1</v>
      </c>
      <c r="T827" s="3" t="inlineStr">
        <is>
          <t>6B/2024/1S</t>
        </is>
      </c>
      <c r="U827" s="87" t="inlineStr">
        <is>
          <t>13/11/2024</t>
        </is>
      </c>
      <c r="V827" s="3" t="inlineStr">
        <is>
          <t>25</t>
        </is>
      </c>
      <c r="W827" s="108" t="inlineStr">
        <is>
          <t>13/11/2024</t>
        </is>
      </c>
      <c r="X827" s="4" t="inlineStr">
        <is>
          <t>HS &amp; S LLC</t>
        </is>
      </c>
    </row>
    <row r="828" ht="24" customHeight="1">
      <c r="A828" s="2">
        <f>+D828-S828</f>
        <v/>
      </c>
      <c r="B828" s="80" t="n">
        <v>2510</v>
      </c>
      <c r="C828" s="66" t="n">
        <v>45593</v>
      </c>
      <c r="D828" s="2" t="n">
        <v>1</v>
      </c>
      <c r="E828" s="3" t="inlineStr">
        <is>
          <t>PISTOLA SEMIAUTOMATICA</t>
        </is>
      </c>
      <c r="F828" s="3" t="inlineStr">
        <is>
          <t>9X19</t>
        </is>
      </c>
      <c r="G828" s="71" t="inlineStr">
        <is>
          <t>SIG SAUER</t>
        </is>
      </c>
      <c r="H828" s="65" t="inlineStr">
        <is>
          <t>P 320 NITRON</t>
        </is>
      </c>
      <c r="I828" s="65" t="inlineStr">
        <is>
          <t>58K249652</t>
        </is>
      </c>
      <c r="J828" s="65" t="inlineStr">
        <is>
          <t>N/D</t>
        </is>
      </c>
      <c r="K828" s="65" t="inlineStr">
        <is>
          <t>N/D</t>
        </is>
      </c>
      <c r="L828" s="127" t="inlineStr">
        <is>
          <t>BIGNAMI SPA</t>
        </is>
      </c>
      <c r="M828" s="5" t="n">
        <v>550</v>
      </c>
      <c r="N828" s="5" t="n"/>
      <c r="O828" s="5">
        <f>+M828+N828</f>
        <v/>
      </c>
      <c r="P828" s="4" t="n"/>
      <c r="Q828" s="87" t="n"/>
      <c r="R828" s="5" t="n">
        <v>690</v>
      </c>
      <c r="S828" s="2" t="n">
        <v>1</v>
      </c>
      <c r="T828" s="3" t="inlineStr">
        <is>
          <t>6B/2024/1S</t>
        </is>
      </c>
      <c r="U828" s="87" t="inlineStr">
        <is>
          <t>13/11/2024</t>
        </is>
      </c>
      <c r="V828" s="3" t="inlineStr">
        <is>
          <t>25</t>
        </is>
      </c>
      <c r="W828" s="108" t="inlineStr">
        <is>
          <t>13/11/2024</t>
        </is>
      </c>
      <c r="X828" s="4" t="inlineStr">
        <is>
          <t>HS &amp; S LLC</t>
        </is>
      </c>
    </row>
    <row r="829" ht="24" customHeight="1">
      <c r="A829" s="2">
        <f>+D829-S829</f>
        <v/>
      </c>
      <c r="B829" s="80" t="n">
        <v>2511</v>
      </c>
      <c r="C829" s="66" t="n">
        <v>45593</v>
      </c>
      <c r="D829" s="2" t="n">
        <v>1</v>
      </c>
      <c r="E829" s="3" t="inlineStr">
        <is>
          <t>PISTOLA SEMIAUTOMATICA</t>
        </is>
      </c>
      <c r="F829" s="3" t="inlineStr">
        <is>
          <t>9X19</t>
        </is>
      </c>
      <c r="G829" s="71" t="inlineStr">
        <is>
          <t>SIG SAUER</t>
        </is>
      </c>
      <c r="H829" s="65" t="inlineStr">
        <is>
          <t>P 320 NITRON</t>
        </is>
      </c>
      <c r="I829" s="65" t="inlineStr">
        <is>
          <t>58K230134</t>
        </is>
      </c>
      <c r="J829" s="65" t="inlineStr">
        <is>
          <t>N/D</t>
        </is>
      </c>
      <c r="K829" s="65" t="inlineStr">
        <is>
          <t>N/D</t>
        </is>
      </c>
      <c r="L829" s="127" t="inlineStr">
        <is>
          <t>BIGNAMI SPA</t>
        </is>
      </c>
      <c r="M829" s="5" t="n">
        <v>550</v>
      </c>
      <c r="N829" s="5" t="n"/>
      <c r="O829" s="5">
        <f>+M829+N829</f>
        <v/>
      </c>
      <c r="P829" s="4" t="n"/>
      <c r="Q829" s="87" t="n"/>
      <c r="R829" s="5" t="n">
        <v>690</v>
      </c>
      <c r="S829" s="2" t="n">
        <v>1</v>
      </c>
      <c r="T829" s="3" t="inlineStr">
        <is>
          <t>6B/2024/1S</t>
        </is>
      </c>
      <c r="U829" s="87" t="inlineStr">
        <is>
          <t>13/11/2024</t>
        </is>
      </c>
      <c r="V829" s="3" t="inlineStr">
        <is>
          <t>25</t>
        </is>
      </c>
      <c r="W829" s="108" t="inlineStr">
        <is>
          <t>13/11/2024</t>
        </is>
      </c>
      <c r="X829" s="4" t="inlineStr">
        <is>
          <t>HS &amp; S LLC</t>
        </is>
      </c>
    </row>
    <row r="830" ht="24" customHeight="1">
      <c r="A830" s="2">
        <f>+D830-S830</f>
        <v/>
      </c>
      <c r="B830" s="80" t="n">
        <v>2512</v>
      </c>
      <c r="C830" s="66" t="n">
        <v>45593</v>
      </c>
      <c r="D830" s="2" t="n">
        <v>1</v>
      </c>
      <c r="E830" s="3" t="inlineStr">
        <is>
          <t>PISTOLA SEMIAUTOMATICA</t>
        </is>
      </c>
      <c r="F830" s="3" t="inlineStr">
        <is>
          <t>9X19</t>
        </is>
      </c>
      <c r="G830" s="71" t="inlineStr">
        <is>
          <t>GLOCK</t>
        </is>
      </c>
      <c r="H830" s="65" t="inlineStr">
        <is>
          <t>43X MOS</t>
        </is>
      </c>
      <c r="I830" s="65" t="inlineStr">
        <is>
          <t>CDFD835</t>
        </is>
      </c>
      <c r="J830" s="65" t="inlineStr">
        <is>
          <t>N/D</t>
        </is>
      </c>
      <c r="K830" s="65" t="inlineStr">
        <is>
          <t>N/D</t>
        </is>
      </c>
      <c r="L830" s="127" t="inlineStr">
        <is>
          <t>BIGNAMI SPA</t>
        </is>
      </c>
      <c r="M830" s="5" t="n">
        <v>440.44</v>
      </c>
      <c r="N830" s="5" t="n"/>
      <c r="O830" s="5">
        <f>+M830+N830</f>
        <v/>
      </c>
      <c r="P830" s="4" t="n"/>
      <c r="Q830" s="87" t="n"/>
      <c r="R830" s="5" t="n">
        <v>490</v>
      </c>
      <c r="S830" s="2" t="n">
        <v>1</v>
      </c>
      <c r="T830" s="3" t="inlineStr">
        <is>
          <t>6B/2024/1S</t>
        </is>
      </c>
      <c r="U830" s="87" t="inlineStr">
        <is>
          <t>13/11/2024</t>
        </is>
      </c>
      <c r="V830" s="3" t="inlineStr">
        <is>
          <t>25</t>
        </is>
      </c>
      <c r="W830" s="108" t="inlineStr">
        <is>
          <t>13/11/2024</t>
        </is>
      </c>
      <c r="X830" s="4" t="inlineStr">
        <is>
          <t>HS &amp; S LLC</t>
        </is>
      </c>
    </row>
    <row r="831" ht="24" customHeight="1">
      <c r="A831" s="2">
        <f>+D831-S831</f>
        <v/>
      </c>
      <c r="B831" s="80" t="n">
        <v>2513</v>
      </c>
      <c r="C831" s="66" t="n">
        <v>45593</v>
      </c>
      <c r="D831" s="2" t="n">
        <v>1</v>
      </c>
      <c r="E831" s="3" t="inlineStr">
        <is>
          <t>PISTOLA SEMIAUTOMATICA</t>
        </is>
      </c>
      <c r="F831" s="3" t="inlineStr">
        <is>
          <t>9X19</t>
        </is>
      </c>
      <c r="G831" s="71" t="inlineStr">
        <is>
          <t>GLOCK</t>
        </is>
      </c>
      <c r="H831" s="65" t="inlineStr">
        <is>
          <t>43X MOS</t>
        </is>
      </c>
      <c r="I831" s="65" t="inlineStr">
        <is>
          <t>CDFD825</t>
        </is>
      </c>
      <c r="J831" s="65" t="inlineStr">
        <is>
          <t>N/D</t>
        </is>
      </c>
      <c r="K831" s="65" t="inlineStr">
        <is>
          <t>N/D</t>
        </is>
      </c>
      <c r="L831" s="127" t="inlineStr">
        <is>
          <t>BIGNAMI SPA</t>
        </is>
      </c>
      <c r="M831" s="5" t="n">
        <v>440.44</v>
      </c>
      <c r="N831" s="5" t="n"/>
      <c r="O831" s="5">
        <f>+M831+N831</f>
        <v/>
      </c>
      <c r="P831" s="4" t="n"/>
      <c r="Q831" s="87" t="n"/>
      <c r="R831" s="5" t="n">
        <v>490</v>
      </c>
      <c r="S831" s="2" t="n">
        <v>1</v>
      </c>
      <c r="T831" s="3" t="inlineStr">
        <is>
          <t>6B/2024/1S</t>
        </is>
      </c>
      <c r="U831" s="87" t="inlineStr">
        <is>
          <t>13/11/2024</t>
        </is>
      </c>
      <c r="V831" s="3" t="inlineStr">
        <is>
          <t>25</t>
        </is>
      </c>
      <c r="W831" s="108" t="inlineStr">
        <is>
          <t>13/11/2024</t>
        </is>
      </c>
      <c r="X831" s="4" t="inlineStr">
        <is>
          <t>HS &amp; S LLC</t>
        </is>
      </c>
    </row>
    <row r="832" ht="24" customHeight="1">
      <c r="A832" s="2">
        <f>+D832-S832</f>
        <v/>
      </c>
      <c r="B832" s="80" t="n">
        <v>2514</v>
      </c>
      <c r="C832" s="66" t="n">
        <v>45593</v>
      </c>
      <c r="D832" s="2" t="n">
        <v>1</v>
      </c>
      <c r="E832" s="3" t="inlineStr">
        <is>
          <t>PISTOLA SEMIAUTOMATICA</t>
        </is>
      </c>
      <c r="F832" s="3" t="inlineStr">
        <is>
          <t>9X19</t>
        </is>
      </c>
      <c r="G832" s="71" t="inlineStr">
        <is>
          <t>GLOCK</t>
        </is>
      </c>
      <c r="H832" s="65" t="inlineStr">
        <is>
          <t>43X MOS</t>
        </is>
      </c>
      <c r="I832" s="65" t="inlineStr">
        <is>
          <t>CDFD817</t>
        </is>
      </c>
      <c r="J832" s="65" t="inlineStr">
        <is>
          <t>N/D</t>
        </is>
      </c>
      <c r="K832" s="65" t="inlineStr">
        <is>
          <t>N/D</t>
        </is>
      </c>
      <c r="L832" s="127" t="inlineStr">
        <is>
          <t>BIGNAMI SPA</t>
        </is>
      </c>
      <c r="M832" s="5" t="n">
        <v>440.44</v>
      </c>
      <c r="N832" s="5" t="n"/>
      <c r="O832" s="5">
        <f>+M832+N832</f>
        <v/>
      </c>
      <c r="P832" s="4" t="n"/>
      <c r="Q832" s="87" t="n"/>
      <c r="R832" s="5" t="n">
        <v>490</v>
      </c>
      <c r="S832" s="2" t="n">
        <v>1</v>
      </c>
      <c r="T832" s="3" t="inlineStr">
        <is>
          <t>6B/2024/1S</t>
        </is>
      </c>
      <c r="U832" s="87" t="inlineStr">
        <is>
          <t>13/11/2024</t>
        </is>
      </c>
      <c r="V832" s="3" t="inlineStr">
        <is>
          <t>25</t>
        </is>
      </c>
      <c r="W832" s="108" t="inlineStr">
        <is>
          <t>13/11/2024</t>
        </is>
      </c>
      <c r="X832" s="4" t="inlineStr">
        <is>
          <t>HS &amp; S LLC</t>
        </is>
      </c>
    </row>
    <row r="833" ht="24" customHeight="1">
      <c r="A833" s="2">
        <f>+D833-S833</f>
        <v/>
      </c>
      <c r="B833" s="80" t="n">
        <v>2515</v>
      </c>
      <c r="C833" s="66" t="n">
        <v>45593</v>
      </c>
      <c r="D833" s="2" t="n">
        <v>1</v>
      </c>
      <c r="E833" s="3" t="inlineStr">
        <is>
          <t>PISTOLA SEMIAUTOMATICA</t>
        </is>
      </c>
      <c r="F833" s="3" t="inlineStr">
        <is>
          <t>9X19</t>
        </is>
      </c>
      <c r="G833" s="71" t="inlineStr">
        <is>
          <t>GLOCK</t>
        </is>
      </c>
      <c r="H833" s="65" t="inlineStr">
        <is>
          <t>43X MOS</t>
        </is>
      </c>
      <c r="I833" s="65" t="inlineStr">
        <is>
          <t>CDFD811</t>
        </is>
      </c>
      <c r="J833" s="65" t="inlineStr">
        <is>
          <t>N/D</t>
        </is>
      </c>
      <c r="K833" s="65" t="inlineStr">
        <is>
          <t>N/D</t>
        </is>
      </c>
      <c r="L833" s="127" t="inlineStr">
        <is>
          <t>BIGNAMI SPA</t>
        </is>
      </c>
      <c r="M833" s="5" t="n">
        <v>440.44</v>
      </c>
      <c r="N833" s="5" t="n"/>
      <c r="O833" s="5">
        <f>+M833+N833</f>
        <v/>
      </c>
      <c r="P833" s="4" t="n"/>
      <c r="Q833" s="87" t="n"/>
      <c r="R833" s="5" t="n">
        <v>490</v>
      </c>
      <c r="S833" s="2" t="n">
        <v>1</v>
      </c>
      <c r="T833" s="3" t="inlineStr">
        <is>
          <t>6B/2024/1S</t>
        </is>
      </c>
      <c r="U833" s="87" t="inlineStr">
        <is>
          <t>13/11/2024</t>
        </is>
      </c>
      <c r="V833" s="3" t="inlineStr">
        <is>
          <t>25</t>
        </is>
      </c>
      <c r="W833" s="108" t="inlineStr">
        <is>
          <t>13/11/2024</t>
        </is>
      </c>
      <c r="X833" s="4" t="inlineStr">
        <is>
          <t>HS &amp; S LLC</t>
        </is>
      </c>
    </row>
    <row r="834" ht="24" customHeight="1">
      <c r="A834" s="2">
        <f>+D834-S834</f>
        <v/>
      </c>
      <c r="B834" s="80" t="n"/>
      <c r="C834" s="66" t="n">
        <v>45593</v>
      </c>
      <c r="D834" s="2" t="n">
        <v>1</v>
      </c>
      <c r="E834" s="3" t="inlineStr">
        <is>
          <t>ACCESSORI</t>
        </is>
      </c>
      <c r="F834" s="3" t="n"/>
      <c r="G834" s="71" t="inlineStr">
        <is>
          <t>HAWKE</t>
        </is>
      </c>
      <c r="H834" s="65" t="inlineStr">
        <is>
          <t>SCOPE VANTAGE 1'' 12*50</t>
        </is>
      </c>
      <c r="I834" s="65" t="inlineStr">
        <is>
          <t>N/D</t>
        </is>
      </c>
      <c r="J834" s="65" t="inlineStr">
        <is>
          <t>N/D</t>
        </is>
      </c>
      <c r="K834" s="65" t="inlineStr">
        <is>
          <t>N/D</t>
        </is>
      </c>
      <c r="L834" s="127" t="inlineStr">
        <is>
          <t>BIGNAMI SPA</t>
        </is>
      </c>
      <c r="M834" s="5" t="n">
        <v>116.25</v>
      </c>
      <c r="N834" s="5" t="n"/>
      <c r="O834" s="5">
        <f>+M834+N834</f>
        <v/>
      </c>
      <c r="P834" s="4" t="n"/>
      <c r="Q834" s="87" t="n"/>
      <c r="R834" s="5" t="n">
        <v>160</v>
      </c>
      <c r="S834" s="2" t="n">
        <v>1</v>
      </c>
      <c r="T834" s="3" t="inlineStr">
        <is>
          <t>6B/2024/1S</t>
        </is>
      </c>
      <c r="U834" s="87" t="inlineStr">
        <is>
          <t>13/11/2024</t>
        </is>
      </c>
      <c r="V834" s="3" t="inlineStr">
        <is>
          <t>25</t>
        </is>
      </c>
      <c r="W834" s="108" t="inlineStr">
        <is>
          <t>13/11/2024</t>
        </is>
      </c>
      <c r="X834" s="4" t="inlineStr">
        <is>
          <t>HS &amp; S LLC</t>
        </is>
      </c>
    </row>
    <row r="835" ht="24" customHeight="1">
      <c r="A835" s="2">
        <f>+D835-S835</f>
        <v/>
      </c>
      <c r="B835" s="80" t="n"/>
      <c r="C835" s="66" t="n">
        <v>45593</v>
      </c>
      <c r="D835" s="2" t="n">
        <v>1</v>
      </c>
      <c r="E835" s="3" t="inlineStr">
        <is>
          <t>ACCESSORI</t>
        </is>
      </c>
      <c r="F835" s="3" t="n"/>
      <c r="G835" s="71" t="inlineStr">
        <is>
          <t>HAWKE</t>
        </is>
      </c>
      <c r="H835" s="65" t="inlineStr">
        <is>
          <t>SCOPE VANTAGE 1'' 12*50</t>
        </is>
      </c>
      <c r="I835" s="65" t="inlineStr">
        <is>
          <t>N/D</t>
        </is>
      </c>
      <c r="J835" s="65" t="inlineStr">
        <is>
          <t>N/D</t>
        </is>
      </c>
      <c r="K835" s="65" t="inlineStr">
        <is>
          <t>N/D</t>
        </is>
      </c>
      <c r="L835" s="127" t="inlineStr">
        <is>
          <t>BIGNAMI SPA</t>
        </is>
      </c>
      <c r="M835" s="5" t="n">
        <v>116.25</v>
      </c>
      <c r="N835" s="5" t="n"/>
      <c r="O835" s="5">
        <f>+M835+N835</f>
        <v/>
      </c>
      <c r="P835" s="4" t="n"/>
      <c r="Q835" s="87" t="n"/>
      <c r="R835" s="5" t="n">
        <v>160</v>
      </c>
      <c r="S835" s="2" t="n">
        <v>1</v>
      </c>
      <c r="T835" s="3" t="inlineStr">
        <is>
          <t>6B/2024/1S</t>
        </is>
      </c>
      <c r="U835" s="87" t="inlineStr">
        <is>
          <t>13/11/2024</t>
        </is>
      </c>
      <c r="V835" s="3" t="inlineStr">
        <is>
          <t>25</t>
        </is>
      </c>
      <c r="W835" s="108" t="inlineStr">
        <is>
          <t>13/11/2024</t>
        </is>
      </c>
      <c r="X835" s="4" t="inlineStr">
        <is>
          <t>HS &amp; S LLC</t>
        </is>
      </c>
    </row>
    <row r="836" ht="24" customHeight="1">
      <c r="A836" s="2">
        <f>+D836-S836</f>
        <v/>
      </c>
      <c r="B836" s="80" t="n"/>
      <c r="C836" s="66" t="n">
        <v>45538</v>
      </c>
      <c r="D836" s="2" t="n">
        <v>1</v>
      </c>
      <c r="E836" s="3" t="inlineStr">
        <is>
          <t>FUCILE SEMIAUTOMATICO</t>
        </is>
      </c>
      <c r="F836" s="3" t="n">
        <v>12</v>
      </c>
      <c r="G836" s="71" t="inlineStr">
        <is>
          <t>WINCHESTER</t>
        </is>
      </c>
      <c r="H836" s="65" t="inlineStr">
        <is>
          <t xml:space="preserve">SX4 CAMO MOBUC </t>
        </is>
      </c>
      <c r="I836" s="65" t="inlineStr">
        <is>
          <t>PT20487YX11K</t>
        </is>
      </c>
      <c r="J836" s="65" t="inlineStr">
        <is>
          <t>N/D</t>
        </is>
      </c>
      <c r="K836" s="65" t="inlineStr">
        <is>
          <t>N/D</t>
        </is>
      </c>
      <c r="L836" s="127" t="inlineStr">
        <is>
          <t>BROWNING INTERNATIONAL SA</t>
        </is>
      </c>
      <c r="M836" s="5" t="n">
        <v>634.1</v>
      </c>
      <c r="N836" s="5" t="n"/>
      <c r="O836" s="5">
        <f>+M836+N836</f>
        <v/>
      </c>
      <c r="P836" s="4" t="n"/>
      <c r="Q836" s="87" t="n"/>
      <c r="R836" s="5" t="n"/>
      <c r="S836" s="2" t="n"/>
      <c r="T836" s="3" t="n"/>
      <c r="U836" s="87" t="n"/>
      <c r="V836" s="3" t="n"/>
      <c r="W836" s="108" t="n"/>
      <c r="X836" s="4" t="n"/>
    </row>
    <row r="837" ht="24" customHeight="1">
      <c r="A837" s="2">
        <f>+D837-S837</f>
        <v/>
      </c>
      <c r="B837" s="80" t="n"/>
      <c r="C837" s="66" t="n">
        <v>45538</v>
      </c>
      <c r="D837" s="2" t="n">
        <v>1</v>
      </c>
      <c r="E837" s="3" t="inlineStr">
        <is>
          <t>FUCILE SEMIAUTOMATICO</t>
        </is>
      </c>
      <c r="F837" s="3" t="n">
        <v>12</v>
      </c>
      <c r="G837" s="71" t="inlineStr">
        <is>
          <t>WINCHESTER</t>
        </is>
      </c>
      <c r="H837" s="65" t="inlineStr">
        <is>
          <t xml:space="preserve">SX4 CAMO MOBUC </t>
        </is>
      </c>
      <c r="I837" s="65" t="inlineStr">
        <is>
          <t>PT20479YX11K</t>
        </is>
      </c>
      <c r="J837" s="65" t="inlineStr">
        <is>
          <t>N/D</t>
        </is>
      </c>
      <c r="K837" s="65" t="inlineStr">
        <is>
          <t>N/D</t>
        </is>
      </c>
      <c r="L837" s="127" t="inlineStr">
        <is>
          <t>BROWNING INTERNATIONAL SA</t>
        </is>
      </c>
      <c r="M837" s="5" t="n">
        <v>634.1</v>
      </c>
      <c r="N837" s="5" t="n"/>
      <c r="O837" s="5">
        <f>+M837+N837</f>
        <v/>
      </c>
      <c r="P837" s="4" t="n"/>
      <c r="Q837" s="87" t="n"/>
      <c r="R837" s="5" t="n"/>
      <c r="S837" s="2" t="n"/>
      <c r="T837" s="3" t="n"/>
      <c r="U837" s="87" t="n"/>
      <c r="V837" s="3" t="n"/>
      <c r="W837" s="108" t="n"/>
      <c r="X837" s="4" t="n"/>
    </row>
    <row r="838" ht="24" customHeight="1">
      <c r="A838" s="2">
        <f>+D838-S838</f>
        <v/>
      </c>
      <c r="B838" s="80" t="n"/>
      <c r="C838" s="66" t="n">
        <v>45538</v>
      </c>
      <c r="D838" s="2" t="n">
        <v>1</v>
      </c>
      <c r="E838" s="3" t="inlineStr">
        <is>
          <t>FUCILE SEMIAUTOMATICO</t>
        </is>
      </c>
      <c r="F838" s="3" t="n">
        <v>12</v>
      </c>
      <c r="G838" s="71" t="inlineStr">
        <is>
          <t>WINCHESTER</t>
        </is>
      </c>
      <c r="H838" s="65" t="inlineStr">
        <is>
          <t xml:space="preserve">SX4 CAMO MOBUC </t>
        </is>
      </c>
      <c r="I838" s="65" t="inlineStr">
        <is>
          <t>08993YX11K</t>
        </is>
      </c>
      <c r="J838" s="65" t="inlineStr">
        <is>
          <t>N/D</t>
        </is>
      </c>
      <c r="K838" s="65" t="inlineStr">
        <is>
          <t>N/D</t>
        </is>
      </c>
      <c r="L838" s="127" t="inlineStr">
        <is>
          <t>BROWNING INTERNATIONAL SA</t>
        </is>
      </c>
      <c r="M838" s="5" t="n">
        <v>634.1</v>
      </c>
      <c r="N838" s="5" t="n"/>
      <c r="O838" s="5">
        <f>+M838+N838</f>
        <v/>
      </c>
      <c r="P838" s="4" t="n"/>
      <c r="Q838" s="87" t="n"/>
      <c r="R838" s="5" t="n"/>
      <c r="S838" s="2" t="n"/>
      <c r="T838" s="3" t="n"/>
      <c r="U838" s="87" t="n"/>
      <c r="V838" s="3" t="n"/>
      <c r="W838" s="108" t="n"/>
      <c r="X838" s="4" t="n"/>
    </row>
    <row r="839" ht="24" customHeight="1">
      <c r="A839" s="2">
        <f>+D839-S839</f>
        <v/>
      </c>
      <c r="B839" s="80" t="n"/>
      <c r="C839" s="66" t="n">
        <v>45559</v>
      </c>
      <c r="D839" s="2" t="n">
        <v>1</v>
      </c>
      <c r="E839" s="3" t="inlineStr">
        <is>
          <t>FUCILE SEMIAUTOMATICO</t>
        </is>
      </c>
      <c r="F839" s="3" t="n">
        <v>12</v>
      </c>
      <c r="G839" s="3" t="inlineStr">
        <is>
          <t>WINCHESTER</t>
        </is>
      </c>
      <c r="H839" s="65" t="inlineStr">
        <is>
          <t xml:space="preserve">SX4 CAMO MOBUC </t>
        </is>
      </c>
      <c r="I839" s="65" t="inlineStr">
        <is>
          <t>08991YX11K</t>
        </is>
      </c>
      <c r="J839" s="65" t="inlineStr">
        <is>
          <t>N/D</t>
        </is>
      </c>
      <c r="K839" s="65" t="inlineStr">
        <is>
          <t>N/D</t>
        </is>
      </c>
      <c r="L839" s="127" t="inlineStr">
        <is>
          <t>BROWNING INTERNATIONAL SA</t>
        </is>
      </c>
      <c r="M839" s="5" t="n">
        <v>634.1</v>
      </c>
      <c r="N839" s="5" t="n"/>
      <c r="O839" s="5">
        <f>+M839+N839</f>
        <v/>
      </c>
      <c r="P839" s="4" t="n"/>
      <c r="Q839" s="87" t="n"/>
      <c r="R839" s="5" t="n"/>
      <c r="S839" s="2" t="n"/>
      <c r="T839" s="3" t="n"/>
      <c r="U839" s="87" t="n"/>
      <c r="V839" s="3" t="n"/>
      <c r="W839" s="108" t="n"/>
      <c r="X839" s="4" t="n"/>
    </row>
    <row r="840" ht="24" customHeight="1">
      <c r="A840" s="2">
        <f>+D840-S840</f>
        <v/>
      </c>
      <c r="B840" s="80" t="n"/>
      <c r="C840" s="66" t="n">
        <v>45559</v>
      </c>
      <c r="D840" s="2" t="n">
        <v>1</v>
      </c>
      <c r="E840" s="3" t="inlineStr">
        <is>
          <t>FUCILE SEMIAUTOMATICO</t>
        </is>
      </c>
      <c r="F840" s="3" t="n">
        <v>12</v>
      </c>
      <c r="G840" s="3" t="inlineStr">
        <is>
          <t>WINCHESTER</t>
        </is>
      </c>
      <c r="H840" s="65" t="inlineStr">
        <is>
          <t xml:space="preserve">SX4 CAMO MOBUC </t>
        </is>
      </c>
      <c r="I840" s="65" t="inlineStr">
        <is>
          <t>08998YX11K</t>
        </is>
      </c>
      <c r="J840" s="65" t="inlineStr">
        <is>
          <t>N/D</t>
        </is>
      </c>
      <c r="K840" s="65" t="inlineStr">
        <is>
          <t>N/D</t>
        </is>
      </c>
      <c r="L840" s="127" t="inlineStr">
        <is>
          <t>BROWNING INTERNATIONAL SA</t>
        </is>
      </c>
      <c r="M840" s="5" t="n">
        <v>634.1</v>
      </c>
      <c r="N840" s="5" t="n"/>
      <c r="O840" s="5">
        <f>+M840+N840</f>
        <v/>
      </c>
      <c r="P840" s="4" t="n"/>
      <c r="Q840" s="87" t="n"/>
      <c r="R840" s="5" t="n"/>
      <c r="S840" s="2" t="n"/>
      <c r="T840" s="3" t="n"/>
      <c r="U840" s="87" t="n"/>
      <c r="V840" s="3" t="n"/>
      <c r="W840" s="108" t="n"/>
      <c r="X840" s="4" t="n"/>
    </row>
    <row r="841" ht="24" customHeight="1">
      <c r="A841" s="2">
        <f>+D841-S841</f>
        <v/>
      </c>
      <c r="B841" s="80" t="n"/>
      <c r="C841" s="66" t="n">
        <v>45544</v>
      </c>
      <c r="D841" s="2" t="n">
        <v>1</v>
      </c>
      <c r="E841" s="3" t="inlineStr">
        <is>
          <t>PISTOLA SEMIAUTOMATICA</t>
        </is>
      </c>
      <c r="F841" s="3" t="inlineStr">
        <is>
          <t>9X19</t>
        </is>
      </c>
      <c r="G841" s="3" t="inlineStr">
        <is>
          <t>FN</t>
        </is>
      </c>
      <c r="H841" s="65" t="inlineStr">
        <is>
          <t>509 NMS FE/FDE DS 2X17</t>
        </is>
      </c>
      <c r="I841" s="65" t="inlineStr">
        <is>
          <t>GKS0370997</t>
        </is>
      </c>
      <c r="J841" s="65" t="inlineStr">
        <is>
          <t>N/D</t>
        </is>
      </c>
      <c r="K841" s="65" t="inlineStr">
        <is>
          <t>N/D</t>
        </is>
      </c>
      <c r="L841" s="127" t="inlineStr">
        <is>
          <t>BROWNING INTERNATIONAL SA</t>
        </is>
      </c>
      <c r="M841" s="5" t="n">
        <v>515.2</v>
      </c>
      <c r="N841" s="5" t="n"/>
      <c r="O841" s="5">
        <f>+M841+N841</f>
        <v/>
      </c>
      <c r="P841" s="4" t="n"/>
      <c r="Q841" s="87" t="n"/>
      <c r="R841" s="5" t="n">
        <v>541</v>
      </c>
      <c r="S841" s="2" t="n">
        <v>1</v>
      </c>
      <c r="T841" s="3" t="inlineStr">
        <is>
          <t>CA04954OS</t>
        </is>
      </c>
      <c r="U841" s="87" t="n">
        <v>45874</v>
      </c>
      <c r="V841" s="3" t="inlineStr">
        <is>
          <t>25</t>
        </is>
      </c>
      <c r="W841" s="4" t="n">
        <v>45874</v>
      </c>
      <c r="X841" s="4" t="inlineStr">
        <is>
          <t>PHILIPPOS  CONSTANTINIDES
TRADING CO.LTD</t>
        </is>
      </c>
    </row>
    <row r="842" ht="24" customHeight="1">
      <c r="A842" s="2">
        <f>+D842-S842</f>
        <v/>
      </c>
      <c r="B842" s="80" t="n"/>
      <c r="C842" s="66" t="n">
        <v>45544</v>
      </c>
      <c r="D842" s="2" t="n">
        <v>1</v>
      </c>
      <c r="E842" s="3" t="inlineStr">
        <is>
          <t>PISTOLA SEMIAUTOMATICA</t>
        </is>
      </c>
      <c r="F842" s="3" t="inlineStr">
        <is>
          <t>9X19</t>
        </is>
      </c>
      <c r="G842" s="3" t="inlineStr">
        <is>
          <t>FN</t>
        </is>
      </c>
      <c r="H842" s="65" t="inlineStr">
        <is>
          <t>509 NMS FE/FDE DS 2X17</t>
        </is>
      </c>
      <c r="I842" s="65" t="inlineStr">
        <is>
          <t>GKS0370984</t>
        </is>
      </c>
      <c r="J842" s="65" t="inlineStr">
        <is>
          <t>N/D</t>
        </is>
      </c>
      <c r="K842" s="65" t="inlineStr">
        <is>
          <t>N/D</t>
        </is>
      </c>
      <c r="L842" s="127" t="inlineStr">
        <is>
          <t>BROWNING INTERNATIONAL SA</t>
        </is>
      </c>
      <c r="M842" s="5" t="n">
        <v>515.2</v>
      </c>
      <c r="N842" s="5" t="n"/>
      <c r="O842" s="5">
        <f>+M842+N842</f>
        <v/>
      </c>
      <c r="P842" s="4" t="n"/>
      <c r="Q842" s="87" t="n"/>
      <c r="R842" s="5" t="n">
        <v>541</v>
      </c>
      <c r="S842" s="2" t="n">
        <v>1</v>
      </c>
      <c r="T842" s="3" t="inlineStr">
        <is>
          <t>CA04954OS</t>
        </is>
      </c>
      <c r="U842" s="87" t="n">
        <v>45874</v>
      </c>
      <c r="V842" s="3" t="inlineStr">
        <is>
          <t>25</t>
        </is>
      </c>
      <c r="W842" s="4" t="n">
        <v>45874</v>
      </c>
      <c r="X842" s="4" t="inlineStr">
        <is>
          <t>PHILIPPOS  CONSTANTINIDES
TRADING CO.LTD</t>
        </is>
      </c>
    </row>
    <row r="843" ht="24" customHeight="1">
      <c r="A843" s="2">
        <f>+D843-S843</f>
        <v/>
      </c>
      <c r="B843" s="80" t="n"/>
      <c r="C843" s="66" t="n">
        <v>45544</v>
      </c>
      <c r="D843" s="2" t="n">
        <v>1</v>
      </c>
      <c r="E843" s="3" t="inlineStr">
        <is>
          <t>FUCILE A POMPA</t>
        </is>
      </c>
      <c r="F843" s="3" t="n">
        <v>12</v>
      </c>
      <c r="G843" s="3" t="inlineStr">
        <is>
          <t>WINCHESTER</t>
        </is>
      </c>
      <c r="H843" s="65" t="inlineStr">
        <is>
          <t>SXP DEFENDER TACTICAL ADJ 35</t>
        </is>
      </c>
      <c r="I843" s="65" t="inlineStr">
        <is>
          <t>TR6023-067210SP</t>
        </is>
      </c>
      <c r="J843" s="65" t="inlineStr">
        <is>
          <t>N/D</t>
        </is>
      </c>
      <c r="K843" s="65" t="inlineStr">
        <is>
          <t>N/D</t>
        </is>
      </c>
      <c r="L843" s="127" t="inlineStr">
        <is>
          <t>BROWNING INTERNATIONAL SA</t>
        </is>
      </c>
      <c r="M843" s="5" t="n">
        <v>342.9</v>
      </c>
      <c r="N843" s="5" t="n"/>
      <c r="O843" s="5">
        <f>+M843+N843</f>
        <v/>
      </c>
      <c r="P843" s="4" t="n"/>
      <c r="Q843" s="87" t="n"/>
      <c r="R843" s="5" t="n"/>
      <c r="S843" s="2" t="n"/>
      <c r="T843" s="3" t="n"/>
      <c r="U843" s="87" t="n"/>
      <c r="V843" s="3" t="n"/>
      <c r="W843" s="108" t="n"/>
      <c r="X843" s="4" t="n"/>
    </row>
    <row r="844" ht="24" customHeight="1">
      <c r="A844" s="2">
        <f>+D844-S844</f>
        <v/>
      </c>
      <c r="B844" s="80" t="n"/>
      <c r="C844" s="66" t="n">
        <v>45544</v>
      </c>
      <c r="D844" s="2" t="n">
        <v>1</v>
      </c>
      <c r="E844" s="3" t="inlineStr">
        <is>
          <t>FUCILE A POMPA</t>
        </is>
      </c>
      <c r="F844" s="3" t="n">
        <v>12</v>
      </c>
      <c r="G844" s="3" t="inlineStr">
        <is>
          <t>WINCHESTER</t>
        </is>
      </c>
      <c r="H844" s="65" t="inlineStr">
        <is>
          <t>SXP DEFENDER TACTICAL ADJ 35</t>
        </is>
      </c>
      <c r="I844" s="65" t="inlineStr">
        <is>
          <t>TR6023-067216SP</t>
        </is>
      </c>
      <c r="J844" s="65" t="inlineStr">
        <is>
          <t>N/D</t>
        </is>
      </c>
      <c r="K844" s="65" t="inlineStr">
        <is>
          <t>N/D</t>
        </is>
      </c>
      <c r="L844" s="127" t="inlineStr">
        <is>
          <t>BROWNING INTERNATIONAL SA</t>
        </is>
      </c>
      <c r="M844" s="5" t="n">
        <v>342.9</v>
      </c>
      <c r="N844" s="5" t="n"/>
      <c r="O844" s="5">
        <f>+M844+N844</f>
        <v/>
      </c>
      <c r="P844" s="4" t="n"/>
      <c r="Q844" s="87" t="n"/>
      <c r="R844" s="5" t="n"/>
      <c r="S844" s="2" t="n"/>
      <c r="T844" s="3" t="n"/>
      <c r="U844" s="87" t="n"/>
      <c r="V844" s="3" t="n"/>
      <c r="W844" s="108" t="n"/>
      <c r="X844" s="4" t="n"/>
    </row>
    <row r="845" ht="24" customHeight="1">
      <c r="A845" s="2">
        <f>+D845-S845</f>
        <v/>
      </c>
      <c r="B845" s="80" t="n"/>
      <c r="C845" s="66" t="n">
        <v>45538</v>
      </c>
      <c r="D845" s="2" t="n">
        <v>1</v>
      </c>
      <c r="E845" s="3" t="inlineStr">
        <is>
          <t>FUCILE SEMIAUTOMATICO</t>
        </is>
      </c>
      <c r="F845" s="3" t="n">
        <v>12</v>
      </c>
      <c r="G845" s="3" t="inlineStr">
        <is>
          <t>WINCHESTER</t>
        </is>
      </c>
      <c r="H845" s="65" t="inlineStr">
        <is>
          <t xml:space="preserve">SXA WATERFOWL MOSGH </t>
        </is>
      </c>
      <c r="I845" s="65" t="inlineStr">
        <is>
          <t>15947YX11K</t>
        </is>
      </c>
      <c r="J845" s="65" t="inlineStr">
        <is>
          <t>N/D</t>
        </is>
      </c>
      <c r="K845" s="65" t="inlineStr">
        <is>
          <t>N/D</t>
        </is>
      </c>
      <c r="L845" s="127" t="inlineStr">
        <is>
          <t>BROWNING INTERNATIONAL SA</t>
        </is>
      </c>
      <c r="M845" s="5" t="n">
        <v>634.1</v>
      </c>
      <c r="N845" s="5" t="n"/>
      <c r="O845" s="5">
        <f>+M845+N845</f>
        <v/>
      </c>
      <c r="P845" s="4" t="n"/>
      <c r="Q845" s="87" t="n"/>
      <c r="R845" s="5" t="n"/>
      <c r="S845" s="2" t="n"/>
      <c r="T845" s="3" t="n"/>
      <c r="U845" s="87" t="n"/>
      <c r="V845" s="3" t="n"/>
      <c r="W845" s="108" t="n"/>
      <c r="X845" s="4" t="n"/>
    </row>
    <row r="846" ht="24" customHeight="1">
      <c r="A846" s="2">
        <f>+D846-S846</f>
        <v/>
      </c>
      <c r="B846" s="80" t="n"/>
      <c r="C846" s="66" t="n">
        <v>45559</v>
      </c>
      <c r="D846" s="2" t="n">
        <v>1</v>
      </c>
      <c r="E846" s="3" t="inlineStr">
        <is>
          <t>FUCILE SEMIAUTOMATICO</t>
        </is>
      </c>
      <c r="F846" s="3" t="inlineStr">
        <is>
          <t>12</t>
        </is>
      </c>
      <c r="G846" s="3" t="inlineStr">
        <is>
          <t>BROWNING</t>
        </is>
      </c>
      <c r="H846" s="65" t="inlineStr">
        <is>
          <t>MAXUS II ULTIMATE GOLDEN DUCKS</t>
        </is>
      </c>
      <c r="I846" s="65" t="inlineStr">
        <is>
          <t>PT11115YX115</t>
        </is>
      </c>
      <c r="J846" s="65" t="inlineStr">
        <is>
          <t>N/D</t>
        </is>
      </c>
      <c r="K846" s="65" t="inlineStr">
        <is>
          <t>N/D</t>
        </is>
      </c>
      <c r="L846" s="127" t="inlineStr">
        <is>
          <t>BROWNING INTERNATIONAL SA</t>
        </is>
      </c>
      <c r="M846" s="5" t="n">
        <v>1260</v>
      </c>
      <c r="N846" s="5" t="n"/>
      <c r="O846" s="5">
        <f>+M846+N846</f>
        <v/>
      </c>
      <c r="P846" s="4" t="n"/>
      <c r="Q846" s="87" t="n"/>
      <c r="R846" s="5" t="n"/>
      <c r="S846" s="2" t="n"/>
      <c r="T846" s="3" t="n"/>
      <c r="U846" s="87" t="n"/>
      <c r="V846" s="3" t="n"/>
      <c r="W846" s="108" t="n"/>
      <c r="X846" s="4" t="n"/>
    </row>
    <row r="847" ht="24" customHeight="1">
      <c r="A847" s="2">
        <f>+D847-S847</f>
        <v/>
      </c>
      <c r="B847" s="80" t="n"/>
      <c r="C847" s="66" t="n">
        <v>45559</v>
      </c>
      <c r="D847" s="2" t="n">
        <v>1</v>
      </c>
      <c r="E847" s="3" t="inlineStr">
        <is>
          <t>FUCILE SEMIAUTOMATICO</t>
        </is>
      </c>
      <c r="F847" s="3" t="inlineStr">
        <is>
          <t>12</t>
        </is>
      </c>
      <c r="G847" s="3" t="inlineStr">
        <is>
          <t>BROWNING</t>
        </is>
      </c>
      <c r="H847" s="65" t="inlineStr">
        <is>
          <t>MAXUS II ULTIMATE GOLDEN DUCKS</t>
        </is>
      </c>
      <c r="I847" s="65" t="inlineStr">
        <is>
          <t>PT11137YX115</t>
        </is>
      </c>
      <c r="J847" s="65" t="inlineStr">
        <is>
          <t>N/D</t>
        </is>
      </c>
      <c r="K847" s="65" t="inlineStr">
        <is>
          <t>N/D</t>
        </is>
      </c>
      <c r="L847" s="127" t="inlineStr">
        <is>
          <t>BROWNING INTERNATIONAL SA</t>
        </is>
      </c>
      <c r="M847" s="5" t="n">
        <v>1260</v>
      </c>
      <c r="N847" s="5" t="n"/>
      <c r="O847" s="5">
        <f>+M847+N847</f>
        <v/>
      </c>
      <c r="P847" s="4" t="n"/>
      <c r="Q847" s="87" t="n"/>
      <c r="R847" s="5" t="n"/>
      <c r="S847" s="2" t="n"/>
      <c r="T847" s="3" t="n"/>
      <c r="U847" s="87" t="n"/>
      <c r="V847" s="3" t="n"/>
      <c r="W847" s="108" t="n"/>
      <c r="X847" s="4" t="n"/>
    </row>
    <row r="848" ht="24" customHeight="1">
      <c r="A848" s="2">
        <f>+D848-S848</f>
        <v/>
      </c>
      <c r="B848" s="80" t="n"/>
      <c r="C848" s="66" t="n">
        <v>45559</v>
      </c>
      <c r="D848" s="2" t="n">
        <v>1</v>
      </c>
      <c r="E848" s="3" t="inlineStr">
        <is>
          <t>FUCILE SEMIAUTOMATICO</t>
        </is>
      </c>
      <c r="F848" s="3" t="inlineStr">
        <is>
          <t>12</t>
        </is>
      </c>
      <c r="G848" s="3" t="inlineStr">
        <is>
          <t>BROWNING</t>
        </is>
      </c>
      <c r="H848" s="65" t="inlineStr">
        <is>
          <t>MAXUS II ULTIMATE GOLDEN DUCKS</t>
        </is>
      </c>
      <c r="I848" s="65" t="inlineStr">
        <is>
          <t>PT11127YX115</t>
        </is>
      </c>
      <c r="J848" s="65" t="inlineStr">
        <is>
          <t>N/D</t>
        </is>
      </c>
      <c r="K848" s="65" t="inlineStr">
        <is>
          <t>N/D</t>
        </is>
      </c>
      <c r="L848" s="127" t="inlineStr">
        <is>
          <t>BROWNING INTERNATIONAL SA</t>
        </is>
      </c>
      <c r="M848" s="5" t="n">
        <v>1260</v>
      </c>
      <c r="N848" s="5" t="n"/>
      <c r="O848" s="5">
        <f>+M848+N848</f>
        <v/>
      </c>
      <c r="P848" s="4" t="n"/>
      <c r="Q848" s="87" t="n"/>
      <c r="R848" s="5" t="n"/>
      <c r="S848" s="2" t="n"/>
      <c r="T848" s="3" t="n"/>
      <c r="U848" s="87" t="n"/>
      <c r="V848" s="3" t="n"/>
      <c r="W848" s="108" t="n"/>
      <c r="X848" s="4" t="n"/>
    </row>
    <row r="849" ht="24" customHeight="1">
      <c r="A849" s="2">
        <f>+D849-S849</f>
        <v/>
      </c>
      <c r="B849" s="80" t="n"/>
      <c r="C849" s="66" t="n">
        <v>45559</v>
      </c>
      <c r="D849" s="2" t="n">
        <v>1</v>
      </c>
      <c r="E849" s="3" t="inlineStr">
        <is>
          <t>FUCILE SEMIAUTOMATICO</t>
        </is>
      </c>
      <c r="F849" s="3" t="inlineStr">
        <is>
          <t>12</t>
        </is>
      </c>
      <c r="G849" s="3" t="inlineStr">
        <is>
          <t>BROWNING</t>
        </is>
      </c>
      <c r="H849" s="65" t="inlineStr">
        <is>
          <t>MAXUS II ULTIMATE GOLDEN DUCKS</t>
        </is>
      </c>
      <c r="I849" s="65" t="inlineStr">
        <is>
          <t>PT11128YX115</t>
        </is>
      </c>
      <c r="J849" s="65" t="inlineStr">
        <is>
          <t>N/D</t>
        </is>
      </c>
      <c r="K849" s="65" t="inlineStr">
        <is>
          <t>N/D</t>
        </is>
      </c>
      <c r="L849" s="127" t="inlineStr">
        <is>
          <t>BROWNING INTERNATIONAL SA</t>
        </is>
      </c>
      <c r="M849" s="5" t="n">
        <v>1260</v>
      </c>
      <c r="N849" s="5" t="n"/>
      <c r="O849" s="5">
        <f>+M849+N849</f>
        <v/>
      </c>
      <c r="P849" s="4" t="n"/>
      <c r="Q849" s="87" t="n"/>
      <c r="R849" s="5" t="n"/>
      <c r="S849" s="2" t="n"/>
      <c r="T849" s="3" t="n"/>
      <c r="U849" s="87" t="n"/>
      <c r="V849" s="3" t="n"/>
      <c r="W849" s="108" t="n"/>
      <c r="X849" s="4" t="n"/>
    </row>
    <row r="850" ht="24" customHeight="1">
      <c r="A850" s="2">
        <f>+D850-S850</f>
        <v/>
      </c>
      <c r="B850" s="80" t="n"/>
      <c r="C850" s="66" t="n">
        <v>45587</v>
      </c>
      <c r="D850" s="2" t="n">
        <v>1</v>
      </c>
      <c r="E850" s="3" t="inlineStr">
        <is>
          <t>FUCILE SOVRAPPOSTO</t>
        </is>
      </c>
      <c r="F850" s="3" t="inlineStr">
        <is>
          <t>12</t>
        </is>
      </c>
      <c r="G850" s="3" t="inlineStr">
        <is>
          <t>BROWNING</t>
        </is>
      </c>
      <c r="H850" s="65" t="inlineStr">
        <is>
          <t>B 525 SPORTER</t>
        </is>
      </c>
      <c r="I850" s="65" t="inlineStr">
        <is>
          <t>55544YW131</t>
        </is>
      </c>
      <c r="J850" s="65" t="inlineStr">
        <is>
          <t>N/D</t>
        </is>
      </c>
      <c r="K850" s="65" t="inlineStr">
        <is>
          <t>N/D</t>
        </is>
      </c>
      <c r="L850" s="127" t="inlineStr">
        <is>
          <t>BROWNING INTERNATIONAL SA</t>
        </is>
      </c>
      <c r="M850" s="5" t="n">
        <v>1301</v>
      </c>
      <c r="N850" s="5" t="n"/>
      <c r="O850" s="5">
        <f>+M850+N850</f>
        <v/>
      </c>
      <c r="P850" s="4" t="n"/>
      <c r="Q850" s="87" t="n"/>
      <c r="R850" s="5" t="n">
        <v>1570</v>
      </c>
      <c r="S850" s="2" t="n">
        <v>1</v>
      </c>
      <c r="T850" s="3" t="inlineStr">
        <is>
          <t>6B/2024/1S</t>
        </is>
      </c>
      <c r="U850" s="87" t="inlineStr">
        <is>
          <t>13/11/2024</t>
        </is>
      </c>
      <c r="V850" s="3" t="inlineStr">
        <is>
          <t>25</t>
        </is>
      </c>
      <c r="W850" s="108" t="inlineStr">
        <is>
          <t>13/11/2024</t>
        </is>
      </c>
      <c r="X850" s="4" t="inlineStr">
        <is>
          <t>HS &amp; S LLC</t>
        </is>
      </c>
    </row>
    <row r="851" ht="24" customHeight="1">
      <c r="A851" s="2">
        <f>+D851-S851</f>
        <v/>
      </c>
      <c r="B851" s="80" t="n"/>
      <c r="C851" s="66" t="n">
        <v>45587</v>
      </c>
      <c r="D851" s="2" t="n">
        <v>1</v>
      </c>
      <c r="E851" s="3" t="inlineStr">
        <is>
          <t>FUCILE SOVRAPPOSTO</t>
        </is>
      </c>
      <c r="F851" s="3" t="inlineStr">
        <is>
          <t>12</t>
        </is>
      </c>
      <c r="G851" s="3" t="inlineStr">
        <is>
          <t>BROWNING</t>
        </is>
      </c>
      <c r="H851" s="65" t="inlineStr">
        <is>
          <t>B 525 SPORTER</t>
        </is>
      </c>
      <c r="I851" s="65" t="inlineStr">
        <is>
          <t>55540YW131</t>
        </is>
      </c>
      <c r="J851" s="65" t="inlineStr">
        <is>
          <t>N/D</t>
        </is>
      </c>
      <c r="K851" s="65" t="inlineStr">
        <is>
          <t>N/D</t>
        </is>
      </c>
      <c r="L851" s="127" t="inlineStr">
        <is>
          <t>BROWNING INTERNATIONAL SA</t>
        </is>
      </c>
      <c r="M851" s="5" t="n">
        <v>1301</v>
      </c>
      <c r="N851" s="5" t="n"/>
      <c r="O851" s="5">
        <f>+M851+N851</f>
        <v/>
      </c>
      <c r="P851" s="4" t="n"/>
      <c r="Q851" s="87" t="n"/>
      <c r="R851" s="5" t="n">
        <v>1570</v>
      </c>
      <c r="S851" s="2" t="n">
        <v>1</v>
      </c>
      <c r="T851" s="3" t="inlineStr">
        <is>
          <t>6B/2024/1S</t>
        </is>
      </c>
      <c r="U851" s="87" t="inlineStr">
        <is>
          <t>13/11/2024</t>
        </is>
      </c>
      <c r="V851" s="3" t="inlineStr">
        <is>
          <t>25</t>
        </is>
      </c>
      <c r="W851" s="108" t="inlineStr">
        <is>
          <t>13/11/2024</t>
        </is>
      </c>
      <c r="X851" s="4" t="inlineStr">
        <is>
          <t>HS &amp; S LLC</t>
        </is>
      </c>
    </row>
    <row r="852" ht="24" customHeight="1">
      <c r="A852" s="2">
        <f>+D852-S852</f>
        <v/>
      </c>
      <c r="B852" s="80" t="n"/>
      <c r="C852" s="66" t="n">
        <v>45587</v>
      </c>
      <c r="D852" s="2" t="n">
        <v>1</v>
      </c>
      <c r="E852" s="3" t="inlineStr">
        <is>
          <t>FUCILE SOVRAPPOSTO</t>
        </is>
      </c>
      <c r="F852" s="3" t="inlineStr">
        <is>
          <t>12</t>
        </is>
      </c>
      <c r="G852" s="3" t="inlineStr">
        <is>
          <t>BROWNING</t>
        </is>
      </c>
      <c r="H852" s="65" t="inlineStr">
        <is>
          <t>B 525 SPORTER</t>
        </is>
      </c>
      <c r="I852" s="65" t="inlineStr">
        <is>
          <t>55543YW131</t>
        </is>
      </c>
      <c r="J852" s="65" t="inlineStr">
        <is>
          <t>N/D</t>
        </is>
      </c>
      <c r="K852" s="65" t="inlineStr">
        <is>
          <t>N/D</t>
        </is>
      </c>
      <c r="L852" s="127" t="inlineStr">
        <is>
          <t>BROWNING INTERNATIONAL SA</t>
        </is>
      </c>
      <c r="M852" s="5" t="n">
        <v>1301</v>
      </c>
      <c r="N852" s="5" t="n"/>
      <c r="O852" s="5">
        <f>+M852+N852</f>
        <v/>
      </c>
      <c r="P852" s="4" t="n"/>
      <c r="Q852" s="87" t="n"/>
      <c r="R852" s="5" t="n">
        <v>1570</v>
      </c>
      <c r="S852" s="2" t="n">
        <v>1</v>
      </c>
      <c r="T852" s="3" t="inlineStr">
        <is>
          <t>6B/2024/1S</t>
        </is>
      </c>
      <c r="U852" s="87" t="inlineStr">
        <is>
          <t>13/11/2024</t>
        </is>
      </c>
      <c r="V852" s="3" t="inlineStr">
        <is>
          <t>25</t>
        </is>
      </c>
      <c r="W852" s="108" t="inlineStr">
        <is>
          <t>13/11/2024</t>
        </is>
      </c>
      <c r="X852" s="4" t="inlineStr">
        <is>
          <t>HS &amp; S LLC</t>
        </is>
      </c>
    </row>
    <row r="853" ht="24" customHeight="1">
      <c r="A853" s="2">
        <f>+D853-S853</f>
        <v/>
      </c>
      <c r="B853" s="80" t="n"/>
      <c r="C853" s="66" t="n">
        <v>45587</v>
      </c>
      <c r="D853" s="2" t="n">
        <v>1</v>
      </c>
      <c r="E853" s="3" t="inlineStr">
        <is>
          <t>ACCESSORI</t>
        </is>
      </c>
      <c r="F853" s="3" t="inlineStr">
        <is>
          <t>N/D</t>
        </is>
      </c>
      <c r="G853" s="3" t="inlineStr">
        <is>
          <t>BROWNING</t>
        </is>
      </c>
      <c r="H853" s="65" t="inlineStr">
        <is>
          <t>HEARING PROTECTOR</t>
        </is>
      </c>
      <c r="I853" s="65" t="inlineStr">
        <is>
          <t>N/D</t>
        </is>
      </c>
      <c r="J853" s="65" t="inlineStr">
        <is>
          <t>N/D</t>
        </is>
      </c>
      <c r="K853" s="65" t="inlineStr">
        <is>
          <t>N/D</t>
        </is>
      </c>
      <c r="L853" s="127" t="inlineStr">
        <is>
          <t>BROWNING INTERNATIONAL SA</t>
        </is>
      </c>
      <c r="M853" s="76" t="n">
        <v>0</v>
      </c>
      <c r="N853" s="5" t="n"/>
      <c r="O853" s="5">
        <f>+M853+N853</f>
        <v/>
      </c>
      <c r="P853" s="4" t="n"/>
      <c r="Q853" s="87" t="n"/>
      <c r="R853" s="5" t="n"/>
      <c r="S853" s="2" t="n"/>
      <c r="T853" s="3" t="n"/>
      <c r="U853" s="87" t="n"/>
      <c r="V853" s="3" t="n"/>
      <c r="W853" s="108" t="n"/>
      <c r="X853" s="4" t="n"/>
    </row>
    <row r="854" ht="24" customHeight="1">
      <c r="A854" s="2">
        <f>+D854-S854</f>
        <v/>
      </c>
      <c r="B854" s="80" t="n"/>
      <c r="C854" s="66" t="n">
        <v>45587</v>
      </c>
      <c r="D854" s="2" t="n">
        <v>1</v>
      </c>
      <c r="E854" s="3" t="inlineStr">
        <is>
          <t>ACCESSORI</t>
        </is>
      </c>
      <c r="F854" s="3" t="inlineStr">
        <is>
          <t>N/D</t>
        </is>
      </c>
      <c r="G854" s="3" t="inlineStr">
        <is>
          <t>BROWNING</t>
        </is>
      </c>
      <c r="H854" s="65" t="inlineStr">
        <is>
          <t>HEARING PROTECTOR</t>
        </is>
      </c>
      <c r="I854" s="65" t="inlineStr">
        <is>
          <t>N/D</t>
        </is>
      </c>
      <c r="J854" s="65" t="inlineStr">
        <is>
          <t>N/D</t>
        </is>
      </c>
      <c r="K854" s="65" t="inlineStr">
        <is>
          <t>N/D</t>
        </is>
      </c>
      <c r="L854" s="127" t="inlineStr">
        <is>
          <t>BROWNING INTERNATIONAL SA</t>
        </is>
      </c>
      <c r="M854" s="76" t="n">
        <v>0</v>
      </c>
      <c r="N854" s="5" t="n"/>
      <c r="O854" s="5">
        <f>+M854+N854</f>
        <v/>
      </c>
      <c r="P854" s="4" t="n"/>
      <c r="Q854" s="87" t="n"/>
      <c r="R854" s="5" t="n"/>
      <c r="S854" s="2" t="n"/>
      <c r="T854" s="3" t="n"/>
      <c r="U854" s="87" t="n"/>
      <c r="V854" s="3" t="n"/>
      <c r="W854" s="108" t="n"/>
      <c r="X854" s="4" t="n"/>
    </row>
    <row r="855" ht="24" customHeight="1">
      <c r="A855" s="2">
        <f>+D855-S855</f>
        <v/>
      </c>
      <c r="B855" s="80" t="n"/>
      <c r="C855" s="66" t="n">
        <v>45587</v>
      </c>
      <c r="D855" s="2" t="n">
        <v>1</v>
      </c>
      <c r="E855" s="3" t="inlineStr">
        <is>
          <t>ACCESSORI</t>
        </is>
      </c>
      <c r="F855" s="3" t="inlineStr">
        <is>
          <t>N/D</t>
        </is>
      </c>
      <c r="G855" s="3" t="inlineStr">
        <is>
          <t>BROWNING</t>
        </is>
      </c>
      <c r="H855" s="65" t="inlineStr">
        <is>
          <t>HEARING PROTECTOR</t>
        </is>
      </c>
      <c r="I855" s="65" t="inlineStr">
        <is>
          <t>N/D</t>
        </is>
      </c>
      <c r="J855" s="65" t="inlineStr">
        <is>
          <t>N/D</t>
        </is>
      </c>
      <c r="K855" s="65" t="inlineStr">
        <is>
          <t>N/D</t>
        </is>
      </c>
      <c r="L855" s="127" t="inlineStr">
        <is>
          <t>BROWNING INTERNATIONAL SA</t>
        </is>
      </c>
      <c r="M855" s="76" t="n">
        <v>0</v>
      </c>
      <c r="N855" s="5" t="n"/>
      <c r="O855" s="5">
        <f>+M855+N855</f>
        <v/>
      </c>
      <c r="P855" s="4" t="n"/>
      <c r="Q855" s="87" t="n"/>
      <c r="R855" s="5" t="n"/>
      <c r="S855" s="2" t="n"/>
      <c r="T855" s="3" t="n"/>
      <c r="U855" s="87" t="n"/>
      <c r="V855" s="3" t="n"/>
      <c r="W855" s="108" t="n"/>
      <c r="X855" s="4" t="n"/>
    </row>
    <row r="856" ht="24" customHeight="1">
      <c r="A856" s="2">
        <f>+D856-S856</f>
        <v/>
      </c>
      <c r="B856" s="80" t="n">
        <v>2516</v>
      </c>
      <c r="C856" s="66" t="n">
        <v>45593</v>
      </c>
      <c r="D856" s="2" t="n">
        <v>1</v>
      </c>
      <c r="E856" s="3" t="inlineStr">
        <is>
          <t>CANNA PER FUCILE SOVRAPPOSTO</t>
        </is>
      </c>
      <c r="F856" s="3" t="inlineStr">
        <is>
          <t>12</t>
        </is>
      </c>
      <c r="G856" s="3" t="inlineStr">
        <is>
          <t>BROWNING</t>
        </is>
      </c>
      <c r="H856" s="65" t="inlineStr">
        <is>
          <t>HERITAGE HUNTER II</t>
        </is>
      </c>
      <c r="I856" s="65" t="inlineStr">
        <is>
          <t>50211YW131</t>
        </is>
      </c>
      <c r="J856" s="65" t="inlineStr">
        <is>
          <t>N/D</t>
        </is>
      </c>
      <c r="K856" s="65" t="inlineStr">
        <is>
          <t>N/D</t>
        </is>
      </c>
      <c r="L856" s="127" t="inlineStr">
        <is>
          <t>BROWNING INTERNATIONAL SA</t>
        </is>
      </c>
      <c r="M856" s="83" t="n">
        <v>5256.24</v>
      </c>
      <c r="N856" s="5" t="n"/>
      <c r="O856" s="5">
        <f>+M856+N856</f>
        <v/>
      </c>
      <c r="P856" s="4" t="n"/>
      <c r="Q856" s="87" t="n"/>
      <c r="R856" s="5" t="n">
        <v>5500</v>
      </c>
      <c r="S856" s="2" t="n">
        <v>1</v>
      </c>
      <c r="T856" s="3" t="inlineStr">
        <is>
          <t>CA04954OS</t>
        </is>
      </c>
      <c r="U856" s="87" t="n">
        <v>45874</v>
      </c>
      <c r="V856" s="3" t="inlineStr">
        <is>
          <t>25</t>
        </is>
      </c>
      <c r="W856" s="4" t="n">
        <v>45874</v>
      </c>
      <c r="X856" s="4" t="inlineStr">
        <is>
          <t>PHILIPPOS  CONSTANTINIDES
TRADING CO.LTD</t>
        </is>
      </c>
    </row>
    <row r="857" ht="24" customHeight="1">
      <c r="A857" s="2">
        <f>+D857-S857</f>
        <v/>
      </c>
      <c r="B857" s="80" t="n">
        <v>2517</v>
      </c>
      <c r="C857" s="66" t="n">
        <v>45593</v>
      </c>
      <c r="D857" s="2" t="n">
        <v>1</v>
      </c>
      <c r="E857" s="3" t="inlineStr">
        <is>
          <t>CARABINA</t>
        </is>
      </c>
      <c r="F857" s="3" t="inlineStr">
        <is>
          <t>308 Win</t>
        </is>
      </c>
      <c r="G857" s="3" t="inlineStr">
        <is>
          <t>BROWNING</t>
        </is>
      </c>
      <c r="H857" s="65" t="inlineStr">
        <is>
          <t>X-BOLT PRO CARBON 2 . THR , SM , NS</t>
        </is>
      </c>
      <c r="I857" s="65" t="inlineStr">
        <is>
          <t>50532YW354</t>
        </is>
      </c>
      <c r="J857" s="65" t="inlineStr">
        <is>
          <t>N/D</t>
        </is>
      </c>
      <c r="K857" s="65" t="inlineStr">
        <is>
          <t>N/D</t>
        </is>
      </c>
      <c r="L857" s="127" t="inlineStr">
        <is>
          <t>BROWNING INTERNATIONAL SA</t>
        </is>
      </c>
      <c r="M857" s="5" t="n">
        <v>1050</v>
      </c>
      <c r="N857" s="5" t="n"/>
      <c r="O857" s="5">
        <f>+M857+N857</f>
        <v/>
      </c>
      <c r="P857" s="4" t="n"/>
      <c r="Q857" s="87" t="n"/>
      <c r="R857" s="5" t="n">
        <v>1102</v>
      </c>
      <c r="S857" s="2" t="n">
        <v>1</v>
      </c>
      <c r="T857" s="3" t="inlineStr">
        <is>
          <t>CA04954OS</t>
        </is>
      </c>
      <c r="U857" s="87" t="n">
        <v>45874</v>
      </c>
      <c r="V857" s="3" t="inlineStr">
        <is>
          <t>26</t>
        </is>
      </c>
      <c r="W857" s="4" t="n">
        <v>45874</v>
      </c>
      <c r="X857" s="4" t="inlineStr">
        <is>
          <t>PHILIPPOS  CONSTANTINIDES
TRADING CO.LTD</t>
        </is>
      </c>
    </row>
    <row r="858" ht="24" customHeight="1">
      <c r="A858" s="2">
        <f>+D858-S858</f>
        <v/>
      </c>
      <c r="B858" s="80" t="n">
        <v>2518</v>
      </c>
      <c r="C858" s="66" t="n">
        <v>45593</v>
      </c>
      <c r="D858" s="2" t="n">
        <v>1</v>
      </c>
      <c r="E858" s="3" t="inlineStr">
        <is>
          <t>CARABINA</t>
        </is>
      </c>
      <c r="F858" s="3" t="inlineStr">
        <is>
          <t>308 Win</t>
        </is>
      </c>
      <c r="G858" s="3" t="inlineStr">
        <is>
          <t>BROWNING</t>
        </is>
      </c>
      <c r="H858" s="65" t="inlineStr">
        <is>
          <t>X-BOLT PRO CARBON 2 . THR , SM , NS</t>
        </is>
      </c>
      <c r="I858" s="65" t="inlineStr">
        <is>
          <t>53546YX354</t>
        </is>
      </c>
      <c r="J858" s="65" t="inlineStr">
        <is>
          <t>N/D</t>
        </is>
      </c>
      <c r="K858" s="65" t="inlineStr">
        <is>
          <t>N/D</t>
        </is>
      </c>
      <c r="L858" s="127" t="inlineStr">
        <is>
          <t>BROWNING INTERNATIONAL SA</t>
        </is>
      </c>
      <c r="M858" s="5" t="n">
        <v>1050</v>
      </c>
      <c r="N858" s="5" t="n"/>
      <c r="O858" s="5">
        <f>+M858+N858</f>
        <v/>
      </c>
      <c r="P858" s="4" t="n"/>
      <c r="Q858" s="87" t="n"/>
      <c r="R858" s="5" t="n">
        <v>1102</v>
      </c>
      <c r="S858" s="2" t="n">
        <v>1</v>
      </c>
      <c r="T858" s="3" t="inlineStr">
        <is>
          <t>CA04954OS</t>
        </is>
      </c>
      <c r="U858" s="87" t="n">
        <v>45874</v>
      </c>
      <c r="V858" s="3" t="inlineStr">
        <is>
          <t>26</t>
        </is>
      </c>
      <c r="W858" s="4" t="n">
        <v>45874</v>
      </c>
      <c r="X858" s="4" t="inlineStr">
        <is>
          <t>PHILIPPOS  CONSTANTINIDES
TRADING CO.LTD</t>
        </is>
      </c>
    </row>
    <row r="859" ht="24" customHeight="1">
      <c r="A859" s="2">
        <f>+D859-S859</f>
        <v/>
      </c>
      <c r="B859" s="80" t="n">
        <v>2519</v>
      </c>
      <c r="C859" s="66" t="n">
        <v>45594</v>
      </c>
      <c r="D859" s="2" t="n">
        <v>1</v>
      </c>
      <c r="E859" s="3" t="inlineStr">
        <is>
          <t>PISTOLA SEMIAUTOMATICA</t>
        </is>
      </c>
      <c r="F859" s="3" t="inlineStr">
        <is>
          <t>9X19</t>
        </is>
      </c>
      <c r="G859" s="3" t="inlineStr">
        <is>
          <t>BERETTA</t>
        </is>
      </c>
      <c r="H859" s="65" t="inlineStr">
        <is>
          <t>M9A4</t>
        </is>
      </c>
      <c r="I859" s="65" t="inlineStr">
        <is>
          <t>BER850038</t>
        </is>
      </c>
      <c r="J859" s="65" t="inlineStr">
        <is>
          <t>N/D</t>
        </is>
      </c>
      <c r="K859" s="65" t="inlineStr">
        <is>
          <t>N/D</t>
        </is>
      </c>
      <c r="L859" s="127" t="inlineStr">
        <is>
          <t>ARMERIA BRIGNOLI SILVIO &amp; C SNC</t>
        </is>
      </c>
      <c r="M859" s="5" t="n">
        <v>1000</v>
      </c>
      <c r="N859" s="5" t="n"/>
      <c r="O859" s="5">
        <f>+M859+N859</f>
        <v/>
      </c>
      <c r="P859" s="4" t="n"/>
      <c r="Q859" s="87" t="n"/>
      <c r="R859" s="5" t="n">
        <v>1170</v>
      </c>
      <c r="S859" s="2" t="n">
        <v>1</v>
      </c>
      <c r="T859" s="3" t="inlineStr">
        <is>
          <t>6B/2024/1S</t>
        </is>
      </c>
      <c r="U859" s="87" t="inlineStr">
        <is>
          <t>13/11/2024</t>
        </is>
      </c>
      <c r="V859" s="3" t="inlineStr">
        <is>
          <t>25</t>
        </is>
      </c>
      <c r="W859" s="108" t="inlineStr">
        <is>
          <t>13/11/2024</t>
        </is>
      </c>
      <c r="X859" s="4" t="inlineStr">
        <is>
          <t>HS &amp; S LLC</t>
        </is>
      </c>
    </row>
    <row r="860" ht="24" customHeight="1">
      <c r="A860" s="2">
        <f>+D860-S860</f>
        <v/>
      </c>
      <c r="B860" s="80" t="n">
        <v>2520</v>
      </c>
      <c r="C860" s="66" t="n">
        <v>45594</v>
      </c>
      <c r="D860" s="2" t="n">
        <v>1</v>
      </c>
      <c r="E860" s="3" t="inlineStr">
        <is>
          <t>PISTOLA SEMIAUTOMATICA</t>
        </is>
      </c>
      <c r="F860" s="3" t="inlineStr">
        <is>
          <t>9X19</t>
        </is>
      </c>
      <c r="G860" s="3" t="inlineStr">
        <is>
          <t>BERETTA</t>
        </is>
      </c>
      <c r="H860" s="65" t="inlineStr">
        <is>
          <t>M9A4</t>
        </is>
      </c>
      <c r="I860" s="65" t="inlineStr">
        <is>
          <t>BER849966</t>
        </is>
      </c>
      <c r="J860" s="65" t="inlineStr">
        <is>
          <t>N/D</t>
        </is>
      </c>
      <c r="K860" s="65" t="inlineStr">
        <is>
          <t>N/D</t>
        </is>
      </c>
      <c r="L860" s="127" t="inlineStr">
        <is>
          <t>ARMERIA BRIGNOLI SILVIO &amp; C SNC</t>
        </is>
      </c>
      <c r="M860" s="5" t="n">
        <v>1000</v>
      </c>
      <c r="N860" s="5" t="n"/>
      <c r="O860" s="5">
        <f>+M860+N860</f>
        <v/>
      </c>
      <c r="P860" s="4" t="n"/>
      <c r="Q860" s="87" t="n"/>
      <c r="R860" s="5" t="n">
        <v>1170</v>
      </c>
      <c r="S860" s="2" t="n">
        <v>1</v>
      </c>
      <c r="T860" s="3" t="inlineStr">
        <is>
          <t>6B/2024/1S</t>
        </is>
      </c>
      <c r="U860" s="87" t="inlineStr">
        <is>
          <t>13/11/2024</t>
        </is>
      </c>
      <c r="V860" s="3" t="inlineStr">
        <is>
          <t>25</t>
        </is>
      </c>
      <c r="W860" s="108" t="inlineStr">
        <is>
          <t>13/11/2024</t>
        </is>
      </c>
      <c r="X860" s="4" t="inlineStr">
        <is>
          <t>HS &amp; S LLC</t>
        </is>
      </c>
    </row>
    <row r="861" ht="24" customHeight="1">
      <c r="A861" s="2">
        <f>+D861-S861</f>
        <v/>
      </c>
      <c r="B861" s="80" t="n">
        <v>2521</v>
      </c>
      <c r="C861" s="66" t="n">
        <v>45594</v>
      </c>
      <c r="D861" s="2" t="n">
        <v>1</v>
      </c>
      <c r="E861" s="3" t="inlineStr">
        <is>
          <t>PISTOLA SEMIAUTOMATICA</t>
        </is>
      </c>
      <c r="F861" s="3" t="inlineStr">
        <is>
          <t>9X19</t>
        </is>
      </c>
      <c r="G861" s="3" t="inlineStr">
        <is>
          <t>BERETTA</t>
        </is>
      </c>
      <c r="H861" s="65" t="inlineStr">
        <is>
          <t>M9A4</t>
        </is>
      </c>
      <c r="I861" s="65" t="inlineStr">
        <is>
          <t>BER850009</t>
        </is>
      </c>
      <c r="J861" s="65" t="inlineStr">
        <is>
          <t>N/D</t>
        </is>
      </c>
      <c r="K861" s="65" t="inlineStr">
        <is>
          <t>N/D</t>
        </is>
      </c>
      <c r="L861" s="127" t="inlineStr">
        <is>
          <t>ARMERIA BRIGNOLI SILVIO &amp; C SNC</t>
        </is>
      </c>
      <c r="M861" s="5" t="n">
        <v>1000</v>
      </c>
      <c r="N861" s="5" t="n"/>
      <c r="O861" s="5">
        <f>+M861+N861</f>
        <v/>
      </c>
      <c r="P861" s="4" t="n"/>
      <c r="Q861" s="87" t="n"/>
      <c r="R861" s="5" t="n">
        <v>1170</v>
      </c>
      <c r="S861" s="2" t="n">
        <v>1</v>
      </c>
      <c r="T861" s="3" t="inlineStr">
        <is>
          <t>6B/2024/1S</t>
        </is>
      </c>
      <c r="U861" s="87" t="inlineStr">
        <is>
          <t>13/11/2024</t>
        </is>
      </c>
      <c r="V861" s="3" t="inlineStr">
        <is>
          <t>25</t>
        </is>
      </c>
      <c r="W861" s="108" t="inlineStr">
        <is>
          <t>13/11/2024</t>
        </is>
      </c>
      <c r="X861" s="4" t="inlineStr">
        <is>
          <t>HS &amp; S LLC</t>
        </is>
      </c>
    </row>
    <row r="862" ht="24" customHeight="1">
      <c r="A862" s="2">
        <f>+D862-S862</f>
        <v/>
      </c>
      <c r="B862" s="80" t="n">
        <v>2522</v>
      </c>
      <c r="C862" s="66" t="n">
        <v>45594</v>
      </c>
      <c r="D862" s="2" t="n">
        <v>1</v>
      </c>
      <c r="E862" s="3" t="inlineStr">
        <is>
          <t>PISTOLA SEMIAUTOMATICA</t>
        </is>
      </c>
      <c r="F862" s="3" t="inlineStr">
        <is>
          <t>9X19</t>
        </is>
      </c>
      <c r="G862" s="3" t="inlineStr">
        <is>
          <t>BERETTA</t>
        </is>
      </c>
      <c r="H862" s="65" t="inlineStr">
        <is>
          <t>M9A4</t>
        </is>
      </c>
      <c r="I862" s="65" t="inlineStr">
        <is>
          <t>BER850116</t>
        </is>
      </c>
      <c r="J862" s="65" t="inlineStr">
        <is>
          <t>N/D</t>
        </is>
      </c>
      <c r="K862" s="65" t="inlineStr">
        <is>
          <t>N/D</t>
        </is>
      </c>
      <c r="L862" s="127" t="inlineStr">
        <is>
          <t>ARMERIA BRIGNOLI SILVIO &amp; C SNC</t>
        </is>
      </c>
      <c r="M862" s="5" t="n">
        <v>1000</v>
      </c>
      <c r="N862" s="5" t="n"/>
      <c r="O862" s="5">
        <f>+M862+N862</f>
        <v/>
      </c>
      <c r="P862" s="4" t="n"/>
      <c r="Q862" s="87" t="n"/>
      <c r="R862" s="5" t="n">
        <v>1170</v>
      </c>
      <c r="S862" s="2" t="n">
        <v>1</v>
      </c>
      <c r="T862" s="3" t="inlineStr">
        <is>
          <t>6B/2024/1S</t>
        </is>
      </c>
      <c r="U862" s="87" t="inlineStr">
        <is>
          <t>13/11/2024</t>
        </is>
      </c>
      <c r="V862" s="3" t="inlineStr">
        <is>
          <t>25</t>
        </is>
      </c>
      <c r="W862" s="108" t="inlineStr">
        <is>
          <t>13/11/2024</t>
        </is>
      </c>
      <c r="X862" s="4" t="inlineStr">
        <is>
          <t>HS &amp; S LLC</t>
        </is>
      </c>
    </row>
    <row r="863" ht="24" customHeight="1">
      <c r="A863" s="2">
        <f>+D863-S863</f>
        <v/>
      </c>
      <c r="B863" s="80" t="n">
        <v>2523</v>
      </c>
      <c r="C863" s="66" t="n">
        <v>45594</v>
      </c>
      <c r="D863" s="2" t="n">
        <v>1</v>
      </c>
      <c r="E863" s="3" t="inlineStr">
        <is>
          <t>FUCILE SOVRAPPOSTO</t>
        </is>
      </c>
      <c r="F863" s="3" t="inlineStr">
        <is>
          <t>12</t>
        </is>
      </c>
      <c r="G863" s="3" t="inlineStr">
        <is>
          <t>BERETTA</t>
        </is>
      </c>
      <c r="H863" s="65" t="inlineStr">
        <is>
          <t>SILVER PIGEON I SPORTING</t>
        </is>
      </c>
      <c r="I863" s="65" t="inlineStr">
        <is>
          <t>H50549X</t>
        </is>
      </c>
      <c r="J863" s="65" t="inlineStr">
        <is>
          <t>N/D</t>
        </is>
      </c>
      <c r="K863" s="65" t="inlineStr">
        <is>
          <t>N/D</t>
        </is>
      </c>
      <c r="L863" s="127" t="inlineStr">
        <is>
          <t>ARMERIA BRIGNOLI SILVIO &amp; C SNC</t>
        </is>
      </c>
      <c r="M863" s="5" t="n">
        <v>1210</v>
      </c>
      <c r="N863" s="5" t="n"/>
      <c r="O863" s="5">
        <f>+M863+N863</f>
        <v/>
      </c>
      <c r="P863" s="4" t="n"/>
      <c r="Q863" s="87" t="n"/>
      <c r="R863" s="5" t="n">
        <v>1490</v>
      </c>
      <c r="S863" s="2" t="n">
        <v>1</v>
      </c>
      <c r="T863" s="3" t="inlineStr">
        <is>
          <t>6B/2024/1S</t>
        </is>
      </c>
      <c r="U863" s="87" t="inlineStr">
        <is>
          <t>13/11/2024</t>
        </is>
      </c>
      <c r="V863" s="3" t="inlineStr">
        <is>
          <t>25</t>
        </is>
      </c>
      <c r="W863" s="108" t="inlineStr">
        <is>
          <t>13/11/2024</t>
        </is>
      </c>
      <c r="X863" s="4" t="inlineStr">
        <is>
          <t>HS &amp; S LLC</t>
        </is>
      </c>
    </row>
    <row r="864" ht="24" customHeight="1">
      <c r="A864" s="2">
        <f>+D864-S864</f>
        <v/>
      </c>
      <c r="B864" s="80" t="n">
        <v>2524</v>
      </c>
      <c r="C864" s="66" t="n">
        <v>45594</v>
      </c>
      <c r="D864" s="2" t="n">
        <v>1</v>
      </c>
      <c r="E864" s="3" t="inlineStr">
        <is>
          <t>FUCILE SOVRAPPOSTO</t>
        </is>
      </c>
      <c r="F864" s="3" t="inlineStr">
        <is>
          <t>12</t>
        </is>
      </c>
      <c r="G864" s="3" t="inlineStr">
        <is>
          <t>BERETTA</t>
        </is>
      </c>
      <c r="H864" s="65" t="inlineStr">
        <is>
          <t>SILVER PIGEON I SPORTING</t>
        </is>
      </c>
      <c r="I864" s="65" t="inlineStr">
        <is>
          <t>H50159X</t>
        </is>
      </c>
      <c r="J864" s="65" t="inlineStr">
        <is>
          <t>N/D</t>
        </is>
      </c>
      <c r="K864" s="65" t="inlineStr">
        <is>
          <t>N/D</t>
        </is>
      </c>
      <c r="L864" s="127" t="inlineStr">
        <is>
          <t>ARMERIA BRIGNOLI SILVIO &amp; C SNC</t>
        </is>
      </c>
      <c r="M864" s="5" t="n">
        <v>1210</v>
      </c>
      <c r="N864" s="5" t="n"/>
      <c r="O864" s="5">
        <f>+M864+N864</f>
        <v/>
      </c>
      <c r="P864" s="4" t="n"/>
      <c r="Q864" s="87" t="n"/>
      <c r="R864" s="5" t="n">
        <v>1490</v>
      </c>
      <c r="S864" s="2" t="n">
        <v>1</v>
      </c>
      <c r="T864" s="3" t="inlineStr">
        <is>
          <t>6B/2024/1S</t>
        </is>
      </c>
      <c r="U864" s="87" t="inlineStr">
        <is>
          <t>13/11/2024</t>
        </is>
      </c>
      <c r="V864" s="3" t="inlineStr">
        <is>
          <t>25</t>
        </is>
      </c>
      <c r="W864" s="108" t="inlineStr">
        <is>
          <t>13/11/2024</t>
        </is>
      </c>
      <c r="X864" s="4" t="inlineStr">
        <is>
          <t>HS &amp; S LLC</t>
        </is>
      </c>
    </row>
    <row r="865" ht="24" customHeight="1">
      <c r="A865" s="2">
        <f>+D865-S865</f>
        <v/>
      </c>
      <c r="B865" s="80" t="n">
        <v>2525</v>
      </c>
      <c r="C865" s="66" t="n">
        <v>45594</v>
      </c>
      <c r="D865" s="2" t="n">
        <v>1</v>
      </c>
      <c r="E865" s="3" t="inlineStr">
        <is>
          <t>FUCILE SOVRAPPOSTO</t>
        </is>
      </c>
      <c r="F865" s="3" t="inlineStr">
        <is>
          <t>12</t>
        </is>
      </c>
      <c r="G865" s="3" t="inlineStr">
        <is>
          <t>BERETTA</t>
        </is>
      </c>
      <c r="H865" s="65" t="inlineStr">
        <is>
          <t>SILVER PIGEON I SPORTING</t>
        </is>
      </c>
      <c r="I865" s="65" t="inlineStr">
        <is>
          <t>H50172X</t>
        </is>
      </c>
      <c r="J865" s="65" t="inlineStr">
        <is>
          <t>N/D</t>
        </is>
      </c>
      <c r="K865" s="65" t="inlineStr">
        <is>
          <t>N/D</t>
        </is>
      </c>
      <c r="L865" s="127" t="inlineStr">
        <is>
          <t>ARMERIA BRIGNOLI SILVIO &amp; C SNC</t>
        </is>
      </c>
      <c r="M865" s="5" t="n">
        <v>1210</v>
      </c>
      <c r="N865" s="5" t="n"/>
      <c r="O865" s="5">
        <f>+M865+N865</f>
        <v/>
      </c>
      <c r="P865" s="4" t="n"/>
      <c r="Q865" s="87" t="n"/>
      <c r="R865" s="5" t="n">
        <v>1490</v>
      </c>
      <c r="S865" s="2" t="n">
        <v>1</v>
      </c>
      <c r="T865" s="3" t="inlineStr">
        <is>
          <t>6B/2024/1S</t>
        </is>
      </c>
      <c r="U865" s="87" t="inlineStr">
        <is>
          <t>13/11/2024</t>
        </is>
      </c>
      <c r="V865" s="3" t="inlineStr">
        <is>
          <t>25</t>
        </is>
      </c>
      <c r="W865" s="108" t="inlineStr">
        <is>
          <t>13/11/2024</t>
        </is>
      </c>
      <c r="X865" s="4" t="inlineStr">
        <is>
          <t>HS &amp; S LLC</t>
        </is>
      </c>
    </row>
    <row r="866" ht="24" customHeight="1">
      <c r="A866" s="2">
        <f>+D866-S866</f>
        <v/>
      </c>
      <c r="B866" s="80" t="n">
        <v>2526</v>
      </c>
      <c r="C866" s="66" t="n">
        <v>45594</v>
      </c>
      <c r="D866" s="2" t="n">
        <v>1</v>
      </c>
      <c r="E866" s="3" t="inlineStr">
        <is>
          <t>FUCILE SOVRAPPOSTO</t>
        </is>
      </c>
      <c r="F866" s="3" t="inlineStr">
        <is>
          <t>12</t>
        </is>
      </c>
      <c r="G866" s="3" t="inlineStr">
        <is>
          <t>BERETTA</t>
        </is>
      </c>
      <c r="H866" s="65" t="inlineStr">
        <is>
          <t>SILVER PIGEON I SPORTING</t>
        </is>
      </c>
      <c r="I866" s="65" t="inlineStr">
        <is>
          <t>H50504X</t>
        </is>
      </c>
      <c r="J866" s="65" t="inlineStr">
        <is>
          <t>N/D</t>
        </is>
      </c>
      <c r="K866" s="65" t="inlineStr">
        <is>
          <t>N/D</t>
        </is>
      </c>
      <c r="L866" s="127" t="inlineStr">
        <is>
          <t>ARMERIA BRIGNOLI SILVIO &amp; C SNC</t>
        </is>
      </c>
      <c r="M866" s="5" t="n">
        <v>1210</v>
      </c>
      <c r="N866" s="5" t="n"/>
      <c r="O866" s="5">
        <f>+M866+N866</f>
        <v/>
      </c>
      <c r="P866" s="4" t="n"/>
      <c r="Q866" s="87" t="n"/>
      <c r="R866" s="5" t="n">
        <v>1490</v>
      </c>
      <c r="S866" s="2" t="n">
        <v>1</v>
      </c>
      <c r="T866" s="3" t="inlineStr">
        <is>
          <t>6B/2024/1S</t>
        </is>
      </c>
      <c r="U866" s="87" t="inlineStr">
        <is>
          <t>13/11/2024</t>
        </is>
      </c>
      <c r="V866" s="3" t="inlineStr">
        <is>
          <t>25</t>
        </is>
      </c>
      <c r="W866" s="108" t="inlineStr">
        <is>
          <t>13/11/2024</t>
        </is>
      </c>
      <c r="X866" s="4" t="inlineStr">
        <is>
          <t>HS &amp; S LLC</t>
        </is>
      </c>
    </row>
    <row r="867" ht="24" customHeight="1">
      <c r="A867" s="2">
        <f>+D867-S867</f>
        <v/>
      </c>
      <c r="B867" s="80" t="n">
        <v>2527</v>
      </c>
      <c r="C867" s="66" t="n">
        <v>45594</v>
      </c>
      <c r="D867" s="2" t="n">
        <v>1</v>
      </c>
      <c r="E867" s="3" t="inlineStr">
        <is>
          <t>FUCILE SOVRAPPOSTO</t>
        </is>
      </c>
      <c r="F867" s="3" t="inlineStr">
        <is>
          <t>12</t>
        </is>
      </c>
      <c r="G867" s="3" t="inlineStr">
        <is>
          <t>BERETTA</t>
        </is>
      </c>
      <c r="H867" s="65" t="inlineStr">
        <is>
          <t>SILVER PIGEON I SPORTING</t>
        </is>
      </c>
      <c r="I867" s="65" t="inlineStr">
        <is>
          <t>H50356X</t>
        </is>
      </c>
      <c r="J867" s="65" t="inlineStr">
        <is>
          <t>N/D</t>
        </is>
      </c>
      <c r="K867" s="65" t="inlineStr">
        <is>
          <t>N/D</t>
        </is>
      </c>
      <c r="L867" s="127" t="inlineStr">
        <is>
          <t>ARMERIA BRIGNOLI SILVIO &amp; C SNC</t>
        </is>
      </c>
      <c r="M867" s="5" t="n">
        <v>1210</v>
      </c>
      <c r="N867" s="5" t="n"/>
      <c r="O867" s="5">
        <f>+M867+N867</f>
        <v/>
      </c>
      <c r="P867" s="4" t="n"/>
      <c r="Q867" s="87" t="n"/>
      <c r="R867" s="5" t="n">
        <v>1490</v>
      </c>
      <c r="S867" s="2" t="n">
        <v>1</v>
      </c>
      <c r="T867" s="3" t="inlineStr">
        <is>
          <t>6B/2024/1S</t>
        </is>
      </c>
      <c r="U867" s="87" t="inlineStr">
        <is>
          <t>13/11/2024</t>
        </is>
      </c>
      <c r="V867" s="3" t="inlineStr">
        <is>
          <t>25</t>
        </is>
      </c>
      <c r="W867" s="108" t="inlineStr">
        <is>
          <t>13/11/2024</t>
        </is>
      </c>
      <c r="X867" s="4" t="inlineStr">
        <is>
          <t>HS &amp; S LLC</t>
        </is>
      </c>
    </row>
    <row r="868" ht="24" customHeight="1">
      <c r="A868" s="2">
        <f>+D868-S868</f>
        <v/>
      </c>
      <c r="B868" s="80" t="n">
        <v>2528</v>
      </c>
      <c r="C868" s="66" t="n">
        <v>45594</v>
      </c>
      <c r="D868" s="2" t="n">
        <v>1</v>
      </c>
      <c r="E868" s="3" t="inlineStr">
        <is>
          <t>FUCILE SOVRAPPOSTO</t>
        </is>
      </c>
      <c r="F868" s="3" t="inlineStr">
        <is>
          <t>12</t>
        </is>
      </c>
      <c r="G868" s="3" t="inlineStr">
        <is>
          <t>BERETTA</t>
        </is>
      </c>
      <c r="H868" s="65" t="inlineStr">
        <is>
          <t>SILVER PIGEON I SPORTING</t>
        </is>
      </c>
      <c r="I868" s="65" t="inlineStr">
        <is>
          <t>H50415X</t>
        </is>
      </c>
      <c r="J868" s="65" t="inlineStr">
        <is>
          <t>N/D</t>
        </is>
      </c>
      <c r="K868" s="65" t="inlineStr">
        <is>
          <t>N/D</t>
        </is>
      </c>
      <c r="L868" s="127" t="inlineStr">
        <is>
          <t>ARMERIA BRIGNOLI SILVIO &amp; C SNC</t>
        </is>
      </c>
      <c r="M868" s="5" t="n">
        <v>1210</v>
      </c>
      <c r="N868" s="5" t="n"/>
      <c r="O868" s="5">
        <f>+M868+N868</f>
        <v/>
      </c>
      <c r="P868" s="4" t="n"/>
      <c r="Q868" s="87" t="n"/>
      <c r="R868" s="5" t="n">
        <v>1490</v>
      </c>
      <c r="S868" s="2" t="n">
        <v>1</v>
      </c>
      <c r="T868" s="3" t="inlineStr">
        <is>
          <t>6B/2024/1S</t>
        </is>
      </c>
      <c r="U868" s="87" t="inlineStr">
        <is>
          <t>13/11/2024</t>
        </is>
      </c>
      <c r="V868" s="3" t="inlineStr">
        <is>
          <t>25</t>
        </is>
      </c>
      <c r="W868" s="108" t="inlineStr">
        <is>
          <t>13/11/2024</t>
        </is>
      </c>
      <c r="X868" s="4" t="inlineStr">
        <is>
          <t>HS &amp; S LLC</t>
        </is>
      </c>
    </row>
    <row r="869" ht="24" customHeight="1">
      <c r="A869" s="2">
        <f>+D869-S869</f>
        <v/>
      </c>
      <c r="B869" s="80" t="n">
        <v>2529</v>
      </c>
      <c r="C869" s="66" t="n">
        <v>45594</v>
      </c>
      <c r="D869" s="2" t="n">
        <v>1</v>
      </c>
      <c r="E869" s="3" t="inlineStr">
        <is>
          <t>CANNA PER CARABINA</t>
        </is>
      </c>
      <c r="F869" s="3" t="inlineStr">
        <is>
          <t>7 MM PRC</t>
        </is>
      </c>
      <c r="G869" s="3" t="inlineStr">
        <is>
          <t>TONY INC.</t>
        </is>
      </c>
      <c r="H869" s="65" t="inlineStr">
        <is>
          <t>R8</t>
        </is>
      </c>
      <c r="I869" s="65" t="inlineStr">
        <is>
          <t>A156</t>
        </is>
      </c>
      <c r="J869" s="65" t="inlineStr">
        <is>
          <t>N/D</t>
        </is>
      </c>
      <c r="K869" s="65" t="inlineStr">
        <is>
          <t>N/D</t>
        </is>
      </c>
      <c r="L869" s="127" t="inlineStr">
        <is>
          <t>ARMERIA BRIGNOLI SILVIO &amp; C SNC</t>
        </is>
      </c>
      <c r="M869" s="5" t="n">
        <v>1400</v>
      </c>
      <c r="N869" s="5" t="n"/>
      <c r="O869" s="5">
        <f>+M869+N869</f>
        <v/>
      </c>
      <c r="P869" s="4" t="n"/>
      <c r="Q869" s="87" t="n"/>
      <c r="R869" s="5" t="n">
        <v>1470</v>
      </c>
      <c r="S869" s="2" t="n">
        <v>1</v>
      </c>
      <c r="T869" s="3" t="inlineStr">
        <is>
          <t>CA04954OS</t>
        </is>
      </c>
      <c r="U869" s="87" t="n">
        <v>45874</v>
      </c>
      <c r="V869" s="3" t="inlineStr">
        <is>
          <t>25</t>
        </is>
      </c>
      <c r="W869" s="4" t="n">
        <v>45874</v>
      </c>
      <c r="X869" s="4" t="inlineStr">
        <is>
          <t>PHILIPPOS  CONSTANTINIDES
TRADING CO.LTD</t>
        </is>
      </c>
    </row>
    <row r="870" ht="24" customHeight="1">
      <c r="A870" s="2">
        <f>+D870-S870</f>
        <v/>
      </c>
      <c r="B870" s="80" t="n">
        <v>2530</v>
      </c>
      <c r="C870" s="66" t="n">
        <v>45594</v>
      </c>
      <c r="D870" s="2" t="n">
        <v>1</v>
      </c>
      <c r="E870" s="3" t="inlineStr">
        <is>
          <t>CARABINA</t>
        </is>
      </c>
      <c r="F870" s="3" t="inlineStr">
        <is>
          <t>308 Win</t>
        </is>
      </c>
      <c r="G870" s="3" t="inlineStr">
        <is>
          <t>BLASER</t>
        </is>
      </c>
      <c r="H870" s="65" t="inlineStr">
        <is>
          <t>R8 LUXUS</t>
        </is>
      </c>
      <c r="I870" s="65" t="inlineStr">
        <is>
          <t>RR129956</t>
        </is>
      </c>
      <c r="J870" s="65" t="inlineStr">
        <is>
          <t xml:space="preserve">  R/288982</t>
        </is>
      </c>
      <c r="K870" s="65" t="inlineStr">
        <is>
          <t>RB215010</t>
        </is>
      </c>
      <c r="L870" s="127" t="inlineStr">
        <is>
          <t>ARMERIA BRIGNOLI SILVIO &amp; C SNC</t>
        </is>
      </c>
      <c r="M870" s="5" t="n">
        <v>4875</v>
      </c>
      <c r="N870" s="5" t="n"/>
      <c r="O870" s="5">
        <f>+M870+N870</f>
        <v/>
      </c>
      <c r="P870" s="4" t="n"/>
      <c r="Q870" s="87" t="n"/>
      <c r="R870" s="5" t="n">
        <v>5455</v>
      </c>
      <c r="S870" s="2" t="n">
        <v>1</v>
      </c>
      <c r="T870" s="3" t="inlineStr">
        <is>
          <t>6B/2024/1S</t>
        </is>
      </c>
      <c r="U870" s="87" t="inlineStr">
        <is>
          <t>13/11/2024</t>
        </is>
      </c>
      <c r="V870" s="3" t="inlineStr">
        <is>
          <t>25</t>
        </is>
      </c>
      <c r="W870" s="108" t="inlineStr">
        <is>
          <t>13/11/2024</t>
        </is>
      </c>
      <c r="X870" s="4" t="inlineStr">
        <is>
          <t>HS &amp; S LLC</t>
        </is>
      </c>
    </row>
    <row r="871" ht="24" customHeight="1">
      <c r="A871" s="2">
        <f>+D871-S871</f>
        <v/>
      </c>
      <c r="B871" s="80" t="n">
        <v>2531</v>
      </c>
      <c r="C871" s="66" t="n">
        <v>45594</v>
      </c>
      <c r="D871" s="2" t="n">
        <v>1</v>
      </c>
      <c r="E871" s="3" t="inlineStr">
        <is>
          <t>CARABINA</t>
        </is>
      </c>
      <c r="F871" s="3" t="inlineStr">
        <is>
          <t>308 Win</t>
        </is>
      </c>
      <c r="G871" s="3" t="inlineStr">
        <is>
          <t>BLASER</t>
        </is>
      </c>
      <c r="H871" s="65" t="inlineStr">
        <is>
          <t>R8 LUXUS</t>
        </is>
      </c>
      <c r="I871" s="65" t="inlineStr">
        <is>
          <t>RR128341</t>
        </is>
      </c>
      <c r="J871" s="65" t="inlineStr">
        <is>
          <t xml:space="preserve"> R/289734</t>
        </is>
      </c>
      <c r="K871" s="65" t="inlineStr">
        <is>
          <t xml:space="preserve"> RB267690</t>
        </is>
      </c>
      <c r="L871" s="127" t="inlineStr">
        <is>
          <t>ARMERIA BRIGNOLI SILVIO &amp; C SNC</t>
        </is>
      </c>
      <c r="M871" s="5" t="n">
        <v>4875</v>
      </c>
      <c r="N871" s="5" t="n"/>
      <c r="O871" s="5">
        <f>+M871+N871</f>
        <v/>
      </c>
      <c r="P871" s="4" t="n"/>
      <c r="Q871" s="87" t="n"/>
      <c r="R871" s="5" t="n">
        <v>5455</v>
      </c>
      <c r="S871" s="2" t="n">
        <v>1</v>
      </c>
      <c r="T871" s="3" t="inlineStr">
        <is>
          <t>6B/2024/1S</t>
        </is>
      </c>
      <c r="U871" s="87" t="inlineStr">
        <is>
          <t>13/11/2024</t>
        </is>
      </c>
      <c r="V871" s="3" t="inlineStr">
        <is>
          <t>25</t>
        </is>
      </c>
      <c r="W871" s="108" t="inlineStr">
        <is>
          <t>13/11/2024</t>
        </is>
      </c>
      <c r="X871" s="4" t="inlineStr">
        <is>
          <t>HS &amp; S LLC</t>
        </is>
      </c>
    </row>
    <row r="872" ht="24" customHeight="1">
      <c r="A872" s="2">
        <f>+D872-S872</f>
        <v/>
      </c>
      <c r="B872" s="80" t="n">
        <v>2532</v>
      </c>
      <c r="C872" s="66" t="n">
        <v>45594</v>
      </c>
      <c r="D872" s="2" t="n">
        <v>1</v>
      </c>
      <c r="E872" s="3" t="inlineStr">
        <is>
          <t>CARABINA</t>
        </is>
      </c>
      <c r="F872" s="3" t="inlineStr">
        <is>
          <t>308 Win</t>
        </is>
      </c>
      <c r="G872" s="3" t="inlineStr">
        <is>
          <t>BLASER</t>
        </is>
      </c>
      <c r="H872" s="65" t="inlineStr">
        <is>
          <t>R8 ULTIMATE</t>
        </is>
      </c>
      <c r="I872" s="65" t="inlineStr">
        <is>
          <t>RR129226</t>
        </is>
      </c>
      <c r="J872" s="65" t="inlineStr">
        <is>
          <t xml:space="preserve">  R/287262</t>
        </is>
      </c>
      <c r="K872" s="65" t="inlineStr">
        <is>
          <t>RB265284</t>
        </is>
      </c>
      <c r="L872" s="127" t="inlineStr">
        <is>
          <t>ARMERIA BRIGNOLI SILVIO &amp; C SNC</t>
        </is>
      </c>
      <c r="M872" s="5" t="n">
        <v>4100</v>
      </c>
      <c r="N872" s="5" t="n"/>
      <c r="O872" s="5">
        <f>+M872+N872</f>
        <v/>
      </c>
      <c r="P872" s="4" t="n"/>
      <c r="Q872" s="87" t="n"/>
      <c r="R872" s="5" t="n">
        <v>4365</v>
      </c>
      <c r="S872" s="2" t="n">
        <v>1</v>
      </c>
      <c r="T872" s="3" t="inlineStr">
        <is>
          <t>6B/2024/1S</t>
        </is>
      </c>
      <c r="U872" s="87" t="inlineStr">
        <is>
          <t>13/11/2024</t>
        </is>
      </c>
      <c r="V872" s="3" t="inlineStr">
        <is>
          <t>25</t>
        </is>
      </c>
      <c r="W872" s="108" t="inlineStr">
        <is>
          <t>13/11/2024</t>
        </is>
      </c>
      <c r="X872" s="4" t="inlineStr">
        <is>
          <t>HS &amp; S LLC</t>
        </is>
      </c>
    </row>
    <row r="873" ht="24" customHeight="1">
      <c r="A873" s="2">
        <f>+D873-S873</f>
        <v/>
      </c>
      <c r="B873" s="80" t="n">
        <v>2533</v>
      </c>
      <c r="C873" s="66" t="n">
        <v>45594</v>
      </c>
      <c r="D873" s="2" t="n">
        <v>1</v>
      </c>
      <c r="E873" s="3" t="inlineStr">
        <is>
          <t>CARABINA</t>
        </is>
      </c>
      <c r="F873" s="3" t="inlineStr">
        <is>
          <t>308 Win</t>
        </is>
      </c>
      <c r="G873" s="3" t="inlineStr">
        <is>
          <t>BLASER</t>
        </is>
      </c>
      <c r="H873" s="65" t="inlineStr">
        <is>
          <t>R8 ULTIMATE</t>
        </is>
      </c>
      <c r="I873" s="65" t="inlineStr">
        <is>
          <t>RR129783</t>
        </is>
      </c>
      <c r="J873" s="65" t="inlineStr">
        <is>
          <t xml:space="preserve"> R/281020</t>
        </is>
      </c>
      <c r="K873" s="65" t="inlineStr">
        <is>
          <t xml:space="preserve"> RB265273</t>
        </is>
      </c>
      <c r="L873" s="127" t="inlineStr">
        <is>
          <t>ARMERIA BRIGNOLI SILVIO &amp; C SNC</t>
        </is>
      </c>
      <c r="M873" s="5" t="n">
        <v>4100</v>
      </c>
      <c r="N873" s="5" t="n"/>
      <c r="O873" s="5">
        <f>+M873+N873</f>
        <v/>
      </c>
      <c r="P873" s="4" t="n"/>
      <c r="Q873" s="87" t="n"/>
      <c r="R873" s="5" t="n">
        <v>3585</v>
      </c>
      <c r="S873" s="2" t="n">
        <v>1</v>
      </c>
      <c r="T873" s="3" t="inlineStr">
        <is>
          <t>6B/2024/1S</t>
        </is>
      </c>
      <c r="U873" s="87" t="inlineStr">
        <is>
          <t>13/11/2024</t>
        </is>
      </c>
      <c r="V873" s="3" t="inlineStr">
        <is>
          <t>25</t>
        </is>
      </c>
      <c r="W873" s="108" t="inlineStr">
        <is>
          <t>13/11/2024</t>
        </is>
      </c>
      <c r="X873" s="4" t="inlineStr">
        <is>
          <t>HS &amp; S LLC</t>
        </is>
      </c>
    </row>
    <row r="874" ht="24" customHeight="1">
      <c r="A874" s="2">
        <f>+D874-S874</f>
        <v/>
      </c>
      <c r="B874" s="80" t="n">
        <v>2534</v>
      </c>
      <c r="C874" s="66" t="n">
        <v>45594</v>
      </c>
      <c r="D874" s="2" t="n">
        <v>1</v>
      </c>
      <c r="E874" s="3" t="inlineStr">
        <is>
          <t>CARABINA</t>
        </is>
      </c>
      <c r="F874" s="3" t="inlineStr">
        <is>
          <t>308 Win</t>
        </is>
      </c>
      <c r="G874" s="3" t="inlineStr">
        <is>
          <t>BLASER</t>
        </is>
      </c>
      <c r="H874" s="65" t="inlineStr">
        <is>
          <t>R8 ULTIMATE</t>
        </is>
      </c>
      <c r="I874" s="65" t="inlineStr">
        <is>
          <t>RR129224</t>
        </is>
      </c>
      <c r="J874" s="65" t="inlineStr">
        <is>
          <t xml:space="preserve"> R/287285</t>
        </is>
      </c>
      <c r="K874" s="65" t="inlineStr">
        <is>
          <t xml:space="preserve"> RB265211</t>
        </is>
      </c>
      <c r="L874" s="127" t="inlineStr">
        <is>
          <t>ARMERIA BRIGNOLI SILVIO &amp; C SNC</t>
        </is>
      </c>
      <c r="M874" s="5" t="n">
        <v>4100</v>
      </c>
      <c r="N874" s="5" t="n"/>
      <c r="O874" s="5">
        <f>+M874+N874</f>
        <v/>
      </c>
      <c r="P874" s="4" t="n"/>
      <c r="Q874" s="87" t="n"/>
      <c r="R874" s="5" t="n">
        <v>3585</v>
      </c>
      <c r="S874" s="2" t="n">
        <v>1</v>
      </c>
      <c r="T874" s="3" t="inlineStr">
        <is>
          <t>6B/2024/1S</t>
        </is>
      </c>
      <c r="U874" s="87" t="inlineStr">
        <is>
          <t>13/11/2024</t>
        </is>
      </c>
      <c r="V874" s="3" t="inlineStr">
        <is>
          <t>25</t>
        </is>
      </c>
      <c r="W874" s="108" t="inlineStr">
        <is>
          <t>13/11/2024</t>
        </is>
      </c>
      <c r="X874" s="4" t="inlineStr">
        <is>
          <t>HS &amp; S LLC</t>
        </is>
      </c>
    </row>
    <row r="875" ht="24" customHeight="1">
      <c r="A875" s="2">
        <f>+D875-S875</f>
        <v/>
      </c>
      <c r="B875" s="80" t="n">
        <v>2535</v>
      </c>
      <c r="C875" s="66" t="n">
        <v>45594</v>
      </c>
      <c r="D875" s="2" t="n">
        <v>1</v>
      </c>
      <c r="E875" s="3" t="inlineStr">
        <is>
          <t>CARABINA</t>
        </is>
      </c>
      <c r="F875" s="3" t="inlineStr">
        <is>
          <t>30-06 SPF</t>
        </is>
      </c>
      <c r="G875" s="3" t="inlineStr">
        <is>
          <t>BLASER</t>
        </is>
      </c>
      <c r="H875" s="65" t="inlineStr">
        <is>
          <t>R8 PROFFESSIONAL</t>
        </is>
      </c>
      <c r="I875" s="65" t="inlineStr">
        <is>
          <t>RR128535</t>
        </is>
      </c>
      <c r="J875" s="65" t="inlineStr">
        <is>
          <t xml:space="preserve">  R/284582</t>
        </is>
      </c>
      <c r="K875" s="65" t="inlineStr">
        <is>
          <t>RB215007</t>
        </is>
      </c>
      <c r="L875" s="127" t="inlineStr">
        <is>
          <t>ARMERIA BRIGNOLI SILVIO &amp; C SNC</t>
        </is>
      </c>
      <c r="M875" s="5" t="n">
        <v>3200</v>
      </c>
      <c r="N875" s="5" t="n"/>
      <c r="O875" s="5">
        <f>+M875+N875</f>
        <v/>
      </c>
      <c r="P875" s="4" t="n"/>
      <c r="Q875" s="87" t="n"/>
      <c r="R875" s="5" t="n">
        <v>3585</v>
      </c>
      <c r="S875" s="2" t="n">
        <v>1</v>
      </c>
      <c r="T875" s="3" t="inlineStr">
        <is>
          <t>6B/2024/1S</t>
        </is>
      </c>
      <c r="U875" s="87" t="inlineStr">
        <is>
          <t>13/11/2024</t>
        </is>
      </c>
      <c r="V875" s="3" t="inlineStr">
        <is>
          <t>25</t>
        </is>
      </c>
      <c r="W875" s="108" t="inlineStr">
        <is>
          <t>13/11/2024</t>
        </is>
      </c>
      <c r="X875" s="4" t="inlineStr">
        <is>
          <t>HS &amp; S LLC</t>
        </is>
      </c>
    </row>
    <row r="876" ht="24" customHeight="1">
      <c r="A876" s="2">
        <f>+D876-S876</f>
        <v/>
      </c>
      <c r="B876" s="80" t="n">
        <v>2536</v>
      </c>
      <c r="C876" s="66" t="n">
        <v>45594</v>
      </c>
      <c r="D876" s="2" t="n">
        <v>1</v>
      </c>
      <c r="E876" s="3" t="inlineStr">
        <is>
          <t>CARABINA</t>
        </is>
      </c>
      <c r="F876" s="3" t="inlineStr">
        <is>
          <t>30-06 SPF</t>
        </is>
      </c>
      <c r="G876" s="3" t="inlineStr">
        <is>
          <t>BLASER</t>
        </is>
      </c>
      <c r="H876" s="65" t="inlineStr">
        <is>
          <t>R8 PROFFESSIONAL</t>
        </is>
      </c>
      <c r="I876" s="65" t="inlineStr">
        <is>
          <t>RR129036</t>
        </is>
      </c>
      <c r="J876" s="65" t="inlineStr">
        <is>
          <t xml:space="preserve">  R/284587</t>
        </is>
      </c>
      <c r="K876" s="65" t="inlineStr">
        <is>
          <t>RB265278</t>
        </is>
      </c>
      <c r="L876" s="127" t="inlineStr">
        <is>
          <t>ARMERIA BRIGNOLI SILVIO &amp; C SNC</t>
        </is>
      </c>
      <c r="M876" s="5" t="n">
        <v>3200</v>
      </c>
      <c r="N876" s="5" t="n"/>
      <c r="O876" s="5">
        <f>+M876+N876</f>
        <v/>
      </c>
      <c r="P876" s="4" t="n"/>
      <c r="Q876" s="87" t="n"/>
      <c r="R876" s="5" t="n">
        <v>3585</v>
      </c>
      <c r="S876" s="2" t="n">
        <v>1</v>
      </c>
      <c r="T876" s="3" t="inlineStr">
        <is>
          <t>6B/2024/1S</t>
        </is>
      </c>
      <c r="U876" s="87" t="inlineStr">
        <is>
          <t>13/11/2024</t>
        </is>
      </c>
      <c r="V876" s="3" t="inlineStr">
        <is>
          <t>25</t>
        </is>
      </c>
      <c r="W876" s="108" t="inlineStr">
        <is>
          <t>13/11/2024</t>
        </is>
      </c>
      <c r="X876" s="4" t="inlineStr">
        <is>
          <t>HS &amp; S LLC</t>
        </is>
      </c>
    </row>
    <row r="877" ht="24" customHeight="1">
      <c r="A877" s="2">
        <f>+D877-S877</f>
        <v/>
      </c>
      <c r="B877" s="80" t="n">
        <v>2537</v>
      </c>
      <c r="C877" s="66" t="n">
        <v>45614</v>
      </c>
      <c r="D877" s="2" t="n">
        <v>1</v>
      </c>
      <c r="E877" s="3" t="inlineStr">
        <is>
          <t>FUCILE A POMPA</t>
        </is>
      </c>
      <c r="F877" s="3" t="inlineStr">
        <is>
          <t>12</t>
        </is>
      </c>
      <c r="G877" s="3" t="inlineStr">
        <is>
          <t xml:space="preserve">WINCHESTER </t>
        </is>
      </c>
      <c r="H877" s="65" t="inlineStr">
        <is>
          <t>SXP XTRM DEFENDER</t>
        </is>
      </c>
      <c r="I877" s="65" t="inlineStr">
        <is>
          <t>TR6024-025962SP</t>
        </is>
      </c>
      <c r="J877" s="65" t="inlineStr">
        <is>
          <t>N/D</t>
        </is>
      </c>
      <c r="K877" s="65" t="inlineStr">
        <is>
          <t>N/D</t>
        </is>
      </c>
      <c r="L877" s="127" t="inlineStr">
        <is>
          <t>BROWNING INTERNATIONAL SA</t>
        </is>
      </c>
      <c r="M877" s="5" t="n">
        <v>414.9</v>
      </c>
      <c r="N877" s="5" t="n"/>
      <c r="O877" s="5">
        <f>+M877+N877</f>
        <v/>
      </c>
      <c r="P877" s="4" t="n">
        <v>45601</v>
      </c>
      <c r="Q877" s="87" t="inlineStr">
        <is>
          <t>31/10/24</t>
        </is>
      </c>
      <c r="R877" s="5" t="n">
        <v>438</v>
      </c>
      <c r="S877" s="2" t="n">
        <v>1</v>
      </c>
      <c r="T877" s="3" t="inlineStr">
        <is>
          <t>CA42796IR</t>
        </is>
      </c>
      <c r="U877" s="87" t="n">
        <v>45821</v>
      </c>
      <c r="V877" s="3" t="inlineStr">
        <is>
          <t>11</t>
        </is>
      </c>
      <c r="W877" s="108" t="n">
        <v>45821</v>
      </c>
      <c r="X877" s="4" t="inlineStr">
        <is>
          <t>PHILIPPOS COSTANTINIDES TRADING CO. LTD</t>
        </is>
      </c>
    </row>
    <row r="878" ht="24" customHeight="1">
      <c r="A878" s="2">
        <f>+D878-S878</f>
        <v/>
      </c>
      <c r="B878" s="80" t="n">
        <v>2538</v>
      </c>
      <c r="C878" s="66" t="n">
        <v>45614</v>
      </c>
      <c r="D878" s="2" t="n">
        <v>1</v>
      </c>
      <c r="E878" s="3" t="inlineStr">
        <is>
          <t>FUCILE A POMPA</t>
        </is>
      </c>
      <c r="F878" s="3" t="inlineStr">
        <is>
          <t>12</t>
        </is>
      </c>
      <c r="G878" s="3" t="inlineStr">
        <is>
          <t xml:space="preserve">WINCHESTER </t>
        </is>
      </c>
      <c r="H878" s="65" t="inlineStr">
        <is>
          <t>SXP XTRM DEFENDER</t>
        </is>
      </c>
      <c r="I878" s="65" t="inlineStr">
        <is>
          <t>TR6024-025954SP</t>
        </is>
      </c>
      <c r="J878" s="65" t="inlineStr">
        <is>
          <t>N/D</t>
        </is>
      </c>
      <c r="K878" s="65" t="inlineStr">
        <is>
          <t>N/D</t>
        </is>
      </c>
      <c r="L878" s="127" t="inlineStr">
        <is>
          <t>BROWNING INTERNATIONAL SA</t>
        </is>
      </c>
      <c r="M878" s="5" t="n">
        <v>414.9</v>
      </c>
      <c r="N878" s="5" t="n"/>
      <c r="O878" s="5">
        <f>+M878+N878</f>
        <v/>
      </c>
      <c r="P878" s="4" t="n">
        <v>45601</v>
      </c>
      <c r="Q878" s="87" t="inlineStr">
        <is>
          <t>31/10/24</t>
        </is>
      </c>
      <c r="R878" s="5" t="n">
        <v>438</v>
      </c>
      <c r="S878" s="2" t="n">
        <v>1</v>
      </c>
      <c r="T878" s="3" t="inlineStr">
        <is>
          <t>CA42796IR</t>
        </is>
      </c>
      <c r="U878" s="87" t="n">
        <v>45821</v>
      </c>
      <c r="V878" s="3" t="inlineStr">
        <is>
          <t>11</t>
        </is>
      </c>
      <c r="W878" s="108" t="n">
        <v>45821</v>
      </c>
      <c r="X878" s="4" t="inlineStr">
        <is>
          <t>PHILIPPOS COSTANTINIDES TRADING CO. LTD</t>
        </is>
      </c>
    </row>
    <row r="879" ht="24" customHeight="1">
      <c r="A879" s="2">
        <f>+D879-S879</f>
        <v/>
      </c>
      <c r="B879" s="80" t="n">
        <v>2539</v>
      </c>
      <c r="C879" s="66" t="n">
        <v>45614</v>
      </c>
      <c r="D879" s="2" t="n">
        <v>1</v>
      </c>
      <c r="E879" s="3" t="inlineStr">
        <is>
          <t>FUCILE A POMPA</t>
        </is>
      </c>
      <c r="F879" s="3" t="inlineStr">
        <is>
          <t>12</t>
        </is>
      </c>
      <c r="G879" s="3" t="inlineStr">
        <is>
          <t xml:space="preserve">WINCHESTER </t>
        </is>
      </c>
      <c r="H879" s="65" t="inlineStr">
        <is>
          <t>SXP XTRM DEFENDER</t>
        </is>
      </c>
      <c r="I879" s="65" t="inlineStr">
        <is>
          <t>TR6024-025951SP</t>
        </is>
      </c>
      <c r="J879" s="65" t="inlineStr">
        <is>
          <t>N/D</t>
        </is>
      </c>
      <c r="K879" s="65" t="inlineStr">
        <is>
          <t>N/D</t>
        </is>
      </c>
      <c r="L879" s="127" t="inlineStr">
        <is>
          <t>BROWNING INTERNATIONAL SA</t>
        </is>
      </c>
      <c r="M879" s="5" t="n">
        <v>414.9</v>
      </c>
      <c r="N879" s="5" t="n"/>
      <c r="O879" s="5">
        <f>+M879+N879</f>
        <v/>
      </c>
      <c r="P879" s="4" t="n">
        <v>45601</v>
      </c>
      <c r="Q879" s="87" t="inlineStr">
        <is>
          <t>31/10/24</t>
        </is>
      </c>
      <c r="R879" s="5" t="n">
        <v>438</v>
      </c>
      <c r="S879" s="2" t="n">
        <v>1</v>
      </c>
      <c r="T879" s="3" t="inlineStr">
        <is>
          <t>CA42796IR</t>
        </is>
      </c>
      <c r="U879" s="87" t="n">
        <v>45821</v>
      </c>
      <c r="V879" s="3" t="inlineStr">
        <is>
          <t>11</t>
        </is>
      </c>
      <c r="W879" s="108" t="n">
        <v>45821</v>
      </c>
      <c r="X879" s="4" t="inlineStr">
        <is>
          <t>PHILIPPOS COSTANTINIDES TRADING CO. LTD</t>
        </is>
      </c>
    </row>
    <row r="880" ht="24" customHeight="1">
      <c r="A880" s="2">
        <f>+D880-S880</f>
        <v/>
      </c>
      <c r="B880" s="80" t="n">
        <v>2540</v>
      </c>
      <c r="C880" s="66" t="n">
        <v>45614</v>
      </c>
      <c r="D880" s="2" t="n">
        <v>1</v>
      </c>
      <c r="E880" s="3" t="inlineStr">
        <is>
          <t>FUCILE A POMPA</t>
        </is>
      </c>
      <c r="F880" s="3" t="inlineStr">
        <is>
          <t>12</t>
        </is>
      </c>
      <c r="G880" s="3" t="inlineStr">
        <is>
          <t xml:space="preserve">WINCHESTER </t>
        </is>
      </c>
      <c r="H880" s="65" t="inlineStr">
        <is>
          <t>SXP XTRM DEFENDER</t>
        </is>
      </c>
      <c r="I880" s="65" t="inlineStr">
        <is>
          <t>TR6024-025910SP</t>
        </is>
      </c>
      <c r="J880" s="65" t="inlineStr">
        <is>
          <t>N/D</t>
        </is>
      </c>
      <c r="K880" s="65" t="inlineStr">
        <is>
          <t>N/D</t>
        </is>
      </c>
      <c r="L880" s="127" t="inlineStr">
        <is>
          <t>BROWNING INTERNATIONAL SA</t>
        </is>
      </c>
      <c r="M880" s="5" t="n">
        <v>414.9</v>
      </c>
      <c r="N880" s="5" t="n"/>
      <c r="O880" s="5">
        <f>+M880+N880</f>
        <v/>
      </c>
      <c r="P880" s="4" t="n">
        <v>45601</v>
      </c>
      <c r="Q880" s="87" t="inlineStr">
        <is>
          <t>31/10/24</t>
        </is>
      </c>
      <c r="R880" s="5" t="n">
        <v>438</v>
      </c>
      <c r="S880" s="2" t="n">
        <v>1</v>
      </c>
      <c r="T880" s="3" t="inlineStr">
        <is>
          <t>CA42796IR</t>
        </is>
      </c>
      <c r="U880" s="87" t="n">
        <v>45821</v>
      </c>
      <c r="V880" s="3" t="inlineStr">
        <is>
          <t>11</t>
        </is>
      </c>
      <c r="W880" s="108" t="n">
        <v>45821</v>
      </c>
      <c r="X880" s="4" t="inlineStr">
        <is>
          <t>PHILIPPOS COSTANTINIDES TRADING CO. LTD</t>
        </is>
      </c>
    </row>
    <row r="881" ht="24" customHeight="1">
      <c r="A881" s="2">
        <f>+D881-S881</f>
        <v/>
      </c>
      <c r="B881" s="80" t="n">
        <v>2541</v>
      </c>
      <c r="C881" s="66" t="n">
        <v>45614</v>
      </c>
      <c r="D881" s="2" t="n">
        <v>1</v>
      </c>
      <c r="E881" s="3" t="inlineStr">
        <is>
          <t>FUCILE A POMPA</t>
        </is>
      </c>
      <c r="F881" s="3" t="inlineStr">
        <is>
          <t>12</t>
        </is>
      </c>
      <c r="G881" s="3" t="inlineStr">
        <is>
          <t xml:space="preserve">WINCHESTER </t>
        </is>
      </c>
      <c r="H881" s="65" t="inlineStr">
        <is>
          <t>SXP XTRM DEFENDER</t>
        </is>
      </c>
      <c r="I881" s="65" t="inlineStr">
        <is>
          <t>TR6024-025939SP</t>
        </is>
      </c>
      <c r="J881" s="65" t="inlineStr">
        <is>
          <t>N/D</t>
        </is>
      </c>
      <c r="K881" s="65" t="inlineStr">
        <is>
          <t>N/D</t>
        </is>
      </c>
      <c r="L881" s="127" t="inlineStr">
        <is>
          <t>BROWNING INTERNATIONAL SA</t>
        </is>
      </c>
      <c r="M881" s="5" t="n">
        <v>414.9</v>
      </c>
      <c r="N881" s="5" t="n"/>
      <c r="O881" s="5">
        <f>+M881+N881</f>
        <v/>
      </c>
      <c r="P881" s="4" t="n">
        <v>45601</v>
      </c>
      <c r="Q881" s="87" t="inlineStr">
        <is>
          <t>31/10/24</t>
        </is>
      </c>
      <c r="R881" s="5" t="n">
        <v>438</v>
      </c>
      <c r="S881" s="2" t="n">
        <v>1</v>
      </c>
      <c r="T881" s="3" t="inlineStr">
        <is>
          <t>CA42796IR</t>
        </is>
      </c>
      <c r="U881" s="87" t="n">
        <v>45821</v>
      </c>
      <c r="V881" s="3" t="inlineStr">
        <is>
          <t>11</t>
        </is>
      </c>
      <c r="W881" s="108" t="n">
        <v>45821</v>
      </c>
      <c r="X881" s="4" t="inlineStr">
        <is>
          <t>PHILIPPOS COSTANTINIDES TRADING CO. LTD</t>
        </is>
      </c>
    </row>
    <row r="882" ht="24" customHeight="1">
      <c r="A882" s="2">
        <f>+D882-S882</f>
        <v/>
      </c>
      <c r="B882" s="80" t="n">
        <v>2542</v>
      </c>
      <c r="C882" s="66" t="n">
        <v>45614</v>
      </c>
      <c r="D882" s="2" t="n">
        <v>1</v>
      </c>
      <c r="E882" s="3" t="inlineStr">
        <is>
          <t>FUCILE A POMPA</t>
        </is>
      </c>
      <c r="F882" s="3" t="inlineStr">
        <is>
          <t>12</t>
        </is>
      </c>
      <c r="G882" s="3" t="inlineStr">
        <is>
          <t xml:space="preserve">WINCHESTER </t>
        </is>
      </c>
      <c r="H882" s="65" t="inlineStr">
        <is>
          <t>SXP XTRM DEFENDER</t>
        </is>
      </c>
      <c r="I882" s="65" t="inlineStr">
        <is>
          <t>TR6024-025942SP</t>
        </is>
      </c>
      <c r="J882" s="65" t="inlineStr">
        <is>
          <t>N/D</t>
        </is>
      </c>
      <c r="K882" s="65" t="inlineStr">
        <is>
          <t>N/D</t>
        </is>
      </c>
      <c r="L882" s="127" t="inlineStr">
        <is>
          <t>BROWNING INTERNATIONAL SA</t>
        </is>
      </c>
      <c r="M882" s="5" t="n">
        <v>414.9</v>
      </c>
      <c r="N882" s="5" t="n"/>
      <c r="O882" s="5">
        <f>+M882+N882</f>
        <v/>
      </c>
      <c r="P882" s="4" t="n">
        <v>45601</v>
      </c>
      <c r="Q882" s="87" t="inlineStr">
        <is>
          <t>31/10/24</t>
        </is>
      </c>
      <c r="R882" s="5" t="n">
        <v>438</v>
      </c>
      <c r="S882" s="2" t="n">
        <v>1</v>
      </c>
      <c r="T882" s="3" t="inlineStr">
        <is>
          <t>CA42796IR</t>
        </is>
      </c>
      <c r="U882" s="87" t="n">
        <v>45821</v>
      </c>
      <c r="V882" s="3" t="inlineStr">
        <is>
          <t>11</t>
        </is>
      </c>
      <c r="W882" s="108" t="n">
        <v>45821</v>
      </c>
      <c r="X882" s="4" t="inlineStr">
        <is>
          <t>PHILIPPOS COSTANTINIDES TRADING CO. LTD</t>
        </is>
      </c>
    </row>
    <row r="883" ht="24" customHeight="1">
      <c r="A883" s="2">
        <f>+D883-S883</f>
        <v/>
      </c>
      <c r="B883" s="80" t="n">
        <v>2543</v>
      </c>
      <c r="C883" s="66" t="n">
        <v>45614</v>
      </c>
      <c r="D883" s="2" t="n">
        <v>1</v>
      </c>
      <c r="E883" s="3" t="inlineStr">
        <is>
          <t>FUCILE A POMPA</t>
        </is>
      </c>
      <c r="F883" s="3" t="inlineStr">
        <is>
          <t>12</t>
        </is>
      </c>
      <c r="G883" s="3" t="inlineStr">
        <is>
          <t xml:space="preserve">WINCHESTER </t>
        </is>
      </c>
      <c r="H883" s="65" t="inlineStr">
        <is>
          <t>SXP XTRM DEFENDER</t>
        </is>
      </c>
      <c r="I883" s="65" t="inlineStr">
        <is>
          <t>TR6024-025920SP</t>
        </is>
      </c>
      <c r="J883" s="65" t="inlineStr">
        <is>
          <t>N/D</t>
        </is>
      </c>
      <c r="K883" s="65" t="inlineStr">
        <is>
          <t>N/D</t>
        </is>
      </c>
      <c r="L883" s="127" t="inlineStr">
        <is>
          <t>BROWNING INTERNATIONAL SA</t>
        </is>
      </c>
      <c r="M883" s="5" t="n">
        <v>414.9</v>
      </c>
      <c r="N883" s="5" t="n"/>
      <c r="O883" s="5">
        <f>+M883+N883</f>
        <v/>
      </c>
      <c r="P883" s="4" t="n">
        <v>45601</v>
      </c>
      <c r="Q883" s="87" t="inlineStr">
        <is>
          <t>31/10/24</t>
        </is>
      </c>
      <c r="R883" s="5" t="n">
        <v>438</v>
      </c>
      <c r="S883" s="2" t="n">
        <v>1</v>
      </c>
      <c r="T883" s="3" t="inlineStr">
        <is>
          <t>CA42796IR</t>
        </is>
      </c>
      <c r="U883" s="87" t="n">
        <v>45821</v>
      </c>
      <c r="V883" s="3" t="inlineStr">
        <is>
          <t>11</t>
        </is>
      </c>
      <c r="W883" s="108" t="n">
        <v>45821</v>
      </c>
      <c r="X883" s="4" t="inlineStr">
        <is>
          <t>PHILIPPOS COSTANTINIDES TRADING CO. LTD</t>
        </is>
      </c>
    </row>
    <row r="884" ht="24" customHeight="1">
      <c r="A884" s="2">
        <f>+D884-S884</f>
        <v/>
      </c>
      <c r="B884" s="80" t="n">
        <v>2544</v>
      </c>
      <c r="C884" s="66" t="n">
        <v>45614</v>
      </c>
      <c r="D884" s="2" t="n">
        <v>1</v>
      </c>
      <c r="E884" s="3" t="inlineStr">
        <is>
          <t>FUCILE A POMPA</t>
        </is>
      </c>
      <c r="F884" s="3" t="inlineStr">
        <is>
          <t>12</t>
        </is>
      </c>
      <c r="G884" s="3" t="inlineStr">
        <is>
          <t xml:space="preserve">WINCHESTER </t>
        </is>
      </c>
      <c r="H884" s="65" t="inlineStr">
        <is>
          <t>SXP XTRM DEFENDER</t>
        </is>
      </c>
      <c r="I884" s="65" t="inlineStr">
        <is>
          <t>TR6024-025915SP</t>
        </is>
      </c>
      <c r="J884" s="65" t="inlineStr">
        <is>
          <t>N/D</t>
        </is>
      </c>
      <c r="K884" s="65" t="inlineStr">
        <is>
          <t>N/D</t>
        </is>
      </c>
      <c r="L884" s="127" t="inlineStr">
        <is>
          <t>BROWNING INTERNATIONAL SA</t>
        </is>
      </c>
      <c r="M884" s="5" t="n">
        <v>414.9</v>
      </c>
      <c r="N884" s="5" t="n"/>
      <c r="O884" s="5">
        <f>+M884+N884</f>
        <v/>
      </c>
      <c r="P884" s="4" t="n">
        <v>45601</v>
      </c>
      <c r="Q884" s="87" t="inlineStr">
        <is>
          <t>31/10/24</t>
        </is>
      </c>
      <c r="R884" s="5" t="n">
        <v>438</v>
      </c>
      <c r="S884" s="2" t="n">
        <v>1</v>
      </c>
      <c r="T884" s="3" t="inlineStr">
        <is>
          <t>CA42796IR</t>
        </is>
      </c>
      <c r="U884" s="87" t="n">
        <v>45821</v>
      </c>
      <c r="V884" s="3" t="inlineStr">
        <is>
          <t>11</t>
        </is>
      </c>
      <c r="W884" s="108" t="n">
        <v>45821</v>
      </c>
      <c r="X884" s="4" t="inlineStr">
        <is>
          <t>PHILIPPOS COSTANTINIDES TRADING CO. LTD</t>
        </is>
      </c>
    </row>
    <row r="885" ht="24" customHeight="1">
      <c r="A885" s="2">
        <f>+D885-S885</f>
        <v/>
      </c>
      <c r="B885" s="80" t="n">
        <v>2545</v>
      </c>
      <c r="C885" s="66" t="n">
        <v>45614</v>
      </c>
      <c r="D885" s="2" t="n">
        <v>1</v>
      </c>
      <c r="E885" s="3" t="inlineStr">
        <is>
          <t>FUCILE A POMPA</t>
        </is>
      </c>
      <c r="F885" s="3" t="inlineStr">
        <is>
          <t>12</t>
        </is>
      </c>
      <c r="G885" s="3" t="inlineStr">
        <is>
          <t xml:space="preserve">WINCHESTER </t>
        </is>
      </c>
      <c r="H885" s="65" t="inlineStr">
        <is>
          <t>SXP XTRM DEFENDER</t>
        </is>
      </c>
      <c r="I885" s="65" t="inlineStr">
        <is>
          <t>TR6024-025944SP</t>
        </is>
      </c>
      <c r="J885" s="65" t="inlineStr">
        <is>
          <t>N/D</t>
        </is>
      </c>
      <c r="K885" s="65" t="inlineStr">
        <is>
          <t>N/D</t>
        </is>
      </c>
      <c r="L885" s="127" t="inlineStr">
        <is>
          <t>BROWNING INTERNATIONAL SA</t>
        </is>
      </c>
      <c r="M885" s="5" t="n">
        <v>414.9</v>
      </c>
      <c r="N885" s="5" t="n"/>
      <c r="O885" s="5">
        <f>+M885+N885</f>
        <v/>
      </c>
      <c r="P885" s="4" t="n">
        <v>45601</v>
      </c>
      <c r="Q885" s="87" t="inlineStr">
        <is>
          <t>31/10/24</t>
        </is>
      </c>
      <c r="R885" s="5" t="n">
        <v>438</v>
      </c>
      <c r="S885" s="2" t="n">
        <v>1</v>
      </c>
      <c r="T885" s="3" t="inlineStr">
        <is>
          <t>CA42796IR</t>
        </is>
      </c>
      <c r="U885" s="87" t="n">
        <v>45821</v>
      </c>
      <c r="V885" s="3" t="inlineStr">
        <is>
          <t>11</t>
        </is>
      </c>
      <c r="W885" s="108" t="n">
        <v>45821</v>
      </c>
      <c r="X885" s="4" t="inlineStr">
        <is>
          <t>PHILIPPOS COSTANTINIDES TRADING CO. LTD</t>
        </is>
      </c>
    </row>
    <row r="886" ht="24" customHeight="1">
      <c r="A886" s="2">
        <f>+D886-S886</f>
        <v/>
      </c>
      <c r="B886" s="80" t="n">
        <v>2546</v>
      </c>
      <c r="C886" s="66" t="n">
        <v>45614</v>
      </c>
      <c r="D886" s="2" t="n">
        <v>1</v>
      </c>
      <c r="E886" s="3" t="inlineStr">
        <is>
          <t>FUCILE A POMPA</t>
        </is>
      </c>
      <c r="F886" s="3" t="inlineStr">
        <is>
          <t>12</t>
        </is>
      </c>
      <c r="G886" s="3" t="inlineStr">
        <is>
          <t xml:space="preserve">WINCHESTER </t>
        </is>
      </c>
      <c r="H886" s="65" t="inlineStr">
        <is>
          <t>SXP XTRM DEFENDER</t>
        </is>
      </c>
      <c r="I886" s="65" t="inlineStr">
        <is>
          <t>TR6024-025929SP</t>
        </is>
      </c>
      <c r="J886" s="65" t="inlineStr">
        <is>
          <t>N/D</t>
        </is>
      </c>
      <c r="K886" s="65" t="inlineStr">
        <is>
          <t>N/D</t>
        </is>
      </c>
      <c r="L886" s="127" t="inlineStr">
        <is>
          <t>BROWNING INTERNATIONAL SA</t>
        </is>
      </c>
      <c r="M886" s="5" t="n">
        <v>414.9</v>
      </c>
      <c r="N886" s="5" t="n"/>
      <c r="O886" s="5">
        <f>+M886+N886</f>
        <v/>
      </c>
      <c r="P886" s="4" t="n">
        <v>45601</v>
      </c>
      <c r="Q886" s="87" t="inlineStr">
        <is>
          <t>31/10/24</t>
        </is>
      </c>
      <c r="R886" s="5" t="n">
        <v>438</v>
      </c>
      <c r="S886" s="2" t="n">
        <v>1</v>
      </c>
      <c r="T886" s="3" t="inlineStr">
        <is>
          <t>CA42796IR</t>
        </is>
      </c>
      <c r="U886" s="87" t="n">
        <v>45821</v>
      </c>
      <c r="V886" s="3" t="inlineStr">
        <is>
          <t>11</t>
        </is>
      </c>
      <c r="W886" s="108" t="n">
        <v>45821</v>
      </c>
      <c r="X886" s="4" t="inlineStr">
        <is>
          <t>PHILIPPOS COSTANTINIDES TRADING CO. LTD</t>
        </is>
      </c>
    </row>
    <row r="887" ht="24" customHeight="1">
      <c r="A887" s="2">
        <f>+D887-S887</f>
        <v/>
      </c>
      <c r="B887" s="80" t="n">
        <v>2547</v>
      </c>
      <c r="C887" s="66" t="n">
        <v>45614</v>
      </c>
      <c r="D887" s="2" t="n">
        <v>1</v>
      </c>
      <c r="E887" s="3" t="inlineStr">
        <is>
          <t>FUCILE A POMPA</t>
        </is>
      </c>
      <c r="F887" s="3" t="inlineStr">
        <is>
          <t>12</t>
        </is>
      </c>
      <c r="G887" s="3" t="inlineStr">
        <is>
          <t xml:space="preserve">WINCHESTER </t>
        </is>
      </c>
      <c r="H887" s="65" t="inlineStr">
        <is>
          <t>SXP XTRM DEFENDER</t>
        </is>
      </c>
      <c r="I887" s="65" t="inlineStr">
        <is>
          <t>TR6024-025923SP</t>
        </is>
      </c>
      <c r="J887" s="65" t="inlineStr">
        <is>
          <t>N/D</t>
        </is>
      </c>
      <c r="K887" s="65" t="inlineStr">
        <is>
          <t>N/D</t>
        </is>
      </c>
      <c r="L887" s="127" t="inlineStr">
        <is>
          <t>BROWNING INTERNATIONAL SA</t>
        </is>
      </c>
      <c r="M887" s="5" t="n">
        <v>414.9</v>
      </c>
      <c r="N887" s="5" t="n"/>
      <c r="O887" s="5">
        <f>+M887+N887</f>
        <v/>
      </c>
      <c r="P887" s="4" t="n">
        <v>45601</v>
      </c>
      <c r="Q887" s="87" t="inlineStr">
        <is>
          <t>31/10/24</t>
        </is>
      </c>
      <c r="R887" s="5" t="n">
        <v>438</v>
      </c>
      <c r="S887" s="2" t="n">
        <v>1</v>
      </c>
      <c r="T887" s="3" t="inlineStr">
        <is>
          <t>CA42796IR</t>
        </is>
      </c>
      <c r="U887" s="87" t="n">
        <v>45821</v>
      </c>
      <c r="V887" s="3" t="inlineStr">
        <is>
          <t>11</t>
        </is>
      </c>
      <c r="W887" s="108" t="n">
        <v>45821</v>
      </c>
      <c r="X887" s="4" t="inlineStr">
        <is>
          <t>PHILIPPOS COSTANTINIDES TRADING CO. LTD</t>
        </is>
      </c>
    </row>
    <row r="888" ht="24" customHeight="1">
      <c r="A888" s="2">
        <f>+D888-S888</f>
        <v/>
      </c>
      <c r="B888" s="80" t="n">
        <v>2548</v>
      </c>
      <c r="C888" s="66" t="n">
        <v>45614</v>
      </c>
      <c r="D888" s="2" t="n">
        <v>1</v>
      </c>
      <c r="E888" s="3" t="inlineStr">
        <is>
          <t>FUCILE A POMPA</t>
        </is>
      </c>
      <c r="F888" s="3" t="inlineStr">
        <is>
          <t>12</t>
        </is>
      </c>
      <c r="G888" s="3" t="inlineStr">
        <is>
          <t xml:space="preserve">WINCHESTER </t>
        </is>
      </c>
      <c r="H888" s="65" t="inlineStr">
        <is>
          <t>SXP XTRM DEFENDER</t>
        </is>
      </c>
      <c r="I888" s="65" t="inlineStr">
        <is>
          <t>TR6024-025918SP</t>
        </is>
      </c>
      <c r="J888" s="65" t="inlineStr">
        <is>
          <t>N/D</t>
        </is>
      </c>
      <c r="K888" s="65" t="inlineStr">
        <is>
          <t>N/D</t>
        </is>
      </c>
      <c r="L888" s="127" t="inlineStr">
        <is>
          <t>BROWNING INTERNATIONAL SA</t>
        </is>
      </c>
      <c r="M888" s="5" t="n">
        <v>414.9</v>
      </c>
      <c r="N888" s="5" t="n"/>
      <c r="O888" s="5">
        <f>+M888+N888</f>
        <v/>
      </c>
      <c r="P888" s="4" t="n">
        <v>45601</v>
      </c>
      <c r="Q888" s="87" t="inlineStr">
        <is>
          <t>31/10/24</t>
        </is>
      </c>
      <c r="R888" s="5" t="n">
        <v>438</v>
      </c>
      <c r="S888" s="2" t="n">
        <v>1</v>
      </c>
      <c r="T888" s="3" t="inlineStr">
        <is>
          <t>CA42796IR</t>
        </is>
      </c>
      <c r="U888" s="87" t="n">
        <v>45821</v>
      </c>
      <c r="V888" s="3" t="inlineStr">
        <is>
          <t>11</t>
        </is>
      </c>
      <c r="W888" s="108" t="n">
        <v>45821</v>
      </c>
      <c r="X888" s="4" t="inlineStr">
        <is>
          <t>PHILIPPOS COSTANTINIDES TRADING CO. LTD</t>
        </is>
      </c>
    </row>
    <row r="889" ht="24" customHeight="1">
      <c r="A889" s="2">
        <f>+D889-S889</f>
        <v/>
      </c>
      <c r="B889" s="80" t="n">
        <v>2549</v>
      </c>
      <c r="C889" s="66" t="n">
        <v>45614</v>
      </c>
      <c r="D889" s="2" t="n">
        <v>1</v>
      </c>
      <c r="E889" s="3" t="inlineStr">
        <is>
          <t>FUCILE A POMPA</t>
        </is>
      </c>
      <c r="F889" s="3" t="inlineStr">
        <is>
          <t>12</t>
        </is>
      </c>
      <c r="G889" s="3" t="inlineStr">
        <is>
          <t xml:space="preserve">WINCHESTER </t>
        </is>
      </c>
      <c r="H889" s="65" t="inlineStr">
        <is>
          <t>SXP XTRM DEFENDER</t>
        </is>
      </c>
      <c r="I889" s="65" t="inlineStr">
        <is>
          <t>TR6024-025934SP</t>
        </is>
      </c>
      <c r="J889" s="65" t="inlineStr">
        <is>
          <t>N/D</t>
        </is>
      </c>
      <c r="K889" s="65" t="inlineStr">
        <is>
          <t>N/D</t>
        </is>
      </c>
      <c r="L889" s="127" t="inlineStr">
        <is>
          <t>BROWNING INTERNATIONAL SA</t>
        </is>
      </c>
      <c r="M889" s="5" t="n">
        <v>414.9</v>
      </c>
      <c r="N889" s="5" t="n"/>
      <c r="O889" s="5">
        <f>+M889+N889</f>
        <v/>
      </c>
      <c r="P889" s="4" t="n">
        <v>45601</v>
      </c>
      <c r="Q889" s="87" t="inlineStr">
        <is>
          <t>31/10/24</t>
        </is>
      </c>
      <c r="R889" s="5" t="n">
        <v>438</v>
      </c>
      <c r="S889" s="2" t="n">
        <v>1</v>
      </c>
      <c r="T889" s="3" t="inlineStr">
        <is>
          <t>CA42796IR</t>
        </is>
      </c>
      <c r="U889" s="87" t="n">
        <v>45821</v>
      </c>
      <c r="V889" s="3" t="inlineStr">
        <is>
          <t>11</t>
        </is>
      </c>
      <c r="W889" s="108" t="n">
        <v>45821</v>
      </c>
      <c r="X889" s="4" t="inlineStr">
        <is>
          <t>PHILIPPOS COSTANTINIDES TRADING CO. LTD</t>
        </is>
      </c>
    </row>
    <row r="890" ht="24" customHeight="1">
      <c r="A890" s="2">
        <f>+D890-S890</f>
        <v/>
      </c>
      <c r="B890" s="80" t="n">
        <v>2550</v>
      </c>
      <c r="C890" s="66" t="n">
        <v>45614</v>
      </c>
      <c r="D890" s="2" t="n">
        <v>1</v>
      </c>
      <c r="E890" s="3" t="inlineStr">
        <is>
          <t>FUCILE A POMPA</t>
        </is>
      </c>
      <c r="F890" s="3" t="inlineStr">
        <is>
          <t>12</t>
        </is>
      </c>
      <c r="G890" s="3" t="inlineStr">
        <is>
          <t xml:space="preserve">WINCHESTER </t>
        </is>
      </c>
      <c r="H890" s="65" t="inlineStr">
        <is>
          <t>SXP XTRM DEFENDER</t>
        </is>
      </c>
      <c r="I890" s="65" t="inlineStr">
        <is>
          <t>TR6024-025926SP</t>
        </is>
      </c>
      <c r="J890" s="65" t="inlineStr">
        <is>
          <t>N/D</t>
        </is>
      </c>
      <c r="K890" s="65" t="inlineStr">
        <is>
          <t>N/D</t>
        </is>
      </c>
      <c r="L890" s="127" t="inlineStr">
        <is>
          <t>BROWNING INTERNATIONAL SA</t>
        </is>
      </c>
      <c r="M890" s="5" t="n">
        <v>414.9</v>
      </c>
      <c r="N890" s="5" t="n"/>
      <c r="O890" s="5">
        <f>+M890+N890</f>
        <v/>
      </c>
      <c r="P890" s="4" t="n">
        <v>45601</v>
      </c>
      <c r="Q890" s="87" t="inlineStr">
        <is>
          <t>31/10/24</t>
        </is>
      </c>
      <c r="R890" s="5" t="n">
        <v>438</v>
      </c>
      <c r="S890" s="2" t="n">
        <v>1</v>
      </c>
      <c r="T890" s="3" t="inlineStr">
        <is>
          <t>CA42796IR</t>
        </is>
      </c>
      <c r="U890" s="87" t="n">
        <v>45821</v>
      </c>
      <c r="V890" s="3" t="inlineStr">
        <is>
          <t>11</t>
        </is>
      </c>
      <c r="W890" s="108" t="n">
        <v>45821</v>
      </c>
      <c r="X890" s="4" t="inlineStr">
        <is>
          <t>PHILIPPOS COSTANTINIDES TRADING CO. LTD</t>
        </is>
      </c>
    </row>
    <row r="891" ht="24" customHeight="1">
      <c r="A891" s="2">
        <f>+D891-S891</f>
        <v/>
      </c>
      <c r="B891" s="80" t="n">
        <v>2551</v>
      </c>
      <c r="C891" s="66" t="n">
        <v>45614</v>
      </c>
      <c r="D891" s="2" t="n">
        <v>1</v>
      </c>
      <c r="E891" s="3" t="inlineStr">
        <is>
          <t>FUCILE A POMPA</t>
        </is>
      </c>
      <c r="F891" s="3" t="inlineStr">
        <is>
          <t>12</t>
        </is>
      </c>
      <c r="G891" s="3" t="inlineStr">
        <is>
          <t xml:space="preserve">WINCHESTER </t>
        </is>
      </c>
      <c r="H891" s="65" t="inlineStr">
        <is>
          <t>SXP XTRM DEFENDER</t>
        </is>
      </c>
      <c r="I891" s="65" t="inlineStr">
        <is>
          <t>TR6024-025931SP</t>
        </is>
      </c>
      <c r="J891" s="65" t="inlineStr">
        <is>
          <t>N/D</t>
        </is>
      </c>
      <c r="K891" s="65" t="inlineStr">
        <is>
          <t>N/D</t>
        </is>
      </c>
      <c r="L891" s="127" t="inlineStr">
        <is>
          <t>BROWNING INTERNATIONAL SA</t>
        </is>
      </c>
      <c r="M891" s="5" t="n">
        <v>414.9</v>
      </c>
      <c r="N891" s="5" t="n"/>
      <c r="O891" s="5">
        <f>+M891+N891</f>
        <v/>
      </c>
      <c r="P891" s="4" t="n">
        <v>45601</v>
      </c>
      <c r="Q891" s="87" t="inlineStr">
        <is>
          <t>31/10/24</t>
        </is>
      </c>
      <c r="R891" s="5" t="n">
        <v>438</v>
      </c>
      <c r="S891" s="2" t="n">
        <v>1</v>
      </c>
      <c r="T891" s="3" t="inlineStr">
        <is>
          <t>CA42796IR</t>
        </is>
      </c>
      <c r="U891" s="87" t="n">
        <v>45821</v>
      </c>
      <c r="V891" s="3" t="inlineStr">
        <is>
          <t>11</t>
        </is>
      </c>
      <c r="W891" s="108" t="n">
        <v>45821</v>
      </c>
      <c r="X891" s="4" t="inlineStr">
        <is>
          <t>PHILIPPOS COSTANTINIDES TRADING CO. LTD</t>
        </is>
      </c>
    </row>
    <row r="892" ht="24" customHeight="1">
      <c r="A892" s="2">
        <f>+D892-S892</f>
        <v/>
      </c>
      <c r="B892" s="80" t="n">
        <v>2552</v>
      </c>
      <c r="C892" s="66" t="n">
        <v>45614</v>
      </c>
      <c r="D892" s="2" t="n">
        <v>1</v>
      </c>
      <c r="E892" s="3" t="inlineStr">
        <is>
          <t>FUCILE A POMPA</t>
        </is>
      </c>
      <c r="F892" s="3" t="inlineStr">
        <is>
          <t>12</t>
        </is>
      </c>
      <c r="G892" s="3" t="inlineStr">
        <is>
          <t xml:space="preserve">WINCHESTER </t>
        </is>
      </c>
      <c r="H892" s="65" t="inlineStr">
        <is>
          <t>SXP DEFENDER TACTICAL</t>
        </is>
      </c>
      <c r="I892" s="65" t="inlineStr">
        <is>
          <t>TR6024-025791SP</t>
        </is>
      </c>
      <c r="J892" s="65" t="inlineStr">
        <is>
          <t>N/D</t>
        </is>
      </c>
      <c r="K892" s="65" t="inlineStr">
        <is>
          <t>N/D</t>
        </is>
      </c>
      <c r="L892" s="127" t="inlineStr">
        <is>
          <t>BROWNING INTERNATIONAL SA</t>
        </is>
      </c>
      <c r="M892" s="5" t="n">
        <v>342.9</v>
      </c>
      <c r="N892" s="5" t="n"/>
      <c r="O892" s="5">
        <f>+M892+N892</f>
        <v/>
      </c>
      <c r="P892" s="4" t="n">
        <v>45601</v>
      </c>
      <c r="Q892" s="87" t="inlineStr">
        <is>
          <t>31/10/24</t>
        </is>
      </c>
      <c r="R892" s="5" t="n">
        <v>362</v>
      </c>
      <c r="S892" s="2" t="n">
        <v>1</v>
      </c>
      <c r="T892" s="3" t="inlineStr">
        <is>
          <t>CA42796IR</t>
        </is>
      </c>
      <c r="U892" s="87" t="n">
        <v>45821</v>
      </c>
      <c r="V892" s="3" t="inlineStr">
        <is>
          <t>11</t>
        </is>
      </c>
      <c r="W892" s="108" t="n">
        <v>45821</v>
      </c>
      <c r="X892" s="4" t="inlineStr">
        <is>
          <t>PHILIPPOS COSTANTINIDES TRADING CO. LTD</t>
        </is>
      </c>
    </row>
    <row r="893" ht="24" customHeight="1">
      <c r="A893" s="2">
        <f>+D893-S893</f>
        <v/>
      </c>
      <c r="B893" s="80" t="n">
        <v>2553</v>
      </c>
      <c r="C893" s="66" t="n">
        <v>45614</v>
      </c>
      <c r="D893" s="2" t="n">
        <v>1</v>
      </c>
      <c r="E893" s="3" t="inlineStr">
        <is>
          <t>FUCILE A POMPA</t>
        </is>
      </c>
      <c r="F893" s="3" t="inlineStr">
        <is>
          <t>12</t>
        </is>
      </c>
      <c r="G893" s="3" t="inlineStr">
        <is>
          <t xml:space="preserve">WINCHESTER </t>
        </is>
      </c>
      <c r="H893" s="65" t="inlineStr">
        <is>
          <t>SXP DEFENDER TACTICAL</t>
        </is>
      </c>
      <c r="I893" s="65" t="inlineStr">
        <is>
          <t>TR6024-025802SP</t>
        </is>
      </c>
      <c r="J893" s="65" t="inlineStr">
        <is>
          <t>N/D</t>
        </is>
      </c>
      <c r="K893" s="65" t="inlineStr">
        <is>
          <t>N/D</t>
        </is>
      </c>
      <c r="L893" s="127" t="inlineStr">
        <is>
          <t>BROWNING INTERNATIONAL SA</t>
        </is>
      </c>
      <c r="M893" s="5" t="n">
        <v>342.9</v>
      </c>
      <c r="N893" s="5" t="n"/>
      <c r="O893" s="5">
        <f>+M893+N893</f>
        <v/>
      </c>
      <c r="P893" s="4" t="n">
        <v>45601</v>
      </c>
      <c r="Q893" s="87" t="inlineStr">
        <is>
          <t>31/10/24</t>
        </is>
      </c>
      <c r="R893" s="5" t="n">
        <v>362</v>
      </c>
      <c r="S893" s="2" t="n">
        <v>1</v>
      </c>
      <c r="T893" s="3" t="inlineStr">
        <is>
          <t>CA42796IR</t>
        </is>
      </c>
      <c r="U893" s="87" t="n">
        <v>45821</v>
      </c>
      <c r="V893" s="3" t="inlineStr">
        <is>
          <t>11</t>
        </is>
      </c>
      <c r="W893" s="108" t="n">
        <v>45821</v>
      </c>
      <c r="X893" s="4" t="inlineStr">
        <is>
          <t>PHILIPPOS COSTANTINIDES TRADING CO. LTD</t>
        </is>
      </c>
    </row>
    <row r="894" ht="24" customHeight="1">
      <c r="A894" s="2">
        <f>+D894-S894</f>
        <v/>
      </c>
      <c r="B894" s="80" t="n">
        <v>2554</v>
      </c>
      <c r="C894" s="66" t="n">
        <v>45614</v>
      </c>
      <c r="D894" s="2" t="n">
        <v>1</v>
      </c>
      <c r="E894" s="3" t="inlineStr">
        <is>
          <t>FUCILE A POMPA</t>
        </is>
      </c>
      <c r="F894" s="3" t="inlineStr">
        <is>
          <t>12</t>
        </is>
      </c>
      <c r="G894" s="3" t="inlineStr">
        <is>
          <t xml:space="preserve">WINCHESTER </t>
        </is>
      </c>
      <c r="H894" s="65" t="inlineStr">
        <is>
          <t>SXP DEFENDER TACTICAL</t>
        </is>
      </c>
      <c r="I894" s="65" t="inlineStr">
        <is>
          <t>TR6024-025807SP</t>
        </is>
      </c>
      <c r="J894" s="65" t="inlineStr">
        <is>
          <t>N/D</t>
        </is>
      </c>
      <c r="K894" s="65" t="inlineStr">
        <is>
          <t>N/D</t>
        </is>
      </c>
      <c r="L894" s="127" t="inlineStr">
        <is>
          <t>BROWNING INTERNATIONAL SA</t>
        </is>
      </c>
      <c r="M894" s="5" t="n">
        <v>342.9</v>
      </c>
      <c r="N894" s="5" t="n"/>
      <c r="O894" s="5">
        <f>+M894+N894</f>
        <v/>
      </c>
      <c r="P894" s="4" t="n">
        <v>45601</v>
      </c>
      <c r="Q894" s="87" t="inlineStr">
        <is>
          <t>31/10/24</t>
        </is>
      </c>
      <c r="R894" s="5" t="n">
        <v>362</v>
      </c>
      <c r="S894" s="2" t="n">
        <v>1</v>
      </c>
      <c r="T894" s="3" t="inlineStr">
        <is>
          <t>CA42796IR</t>
        </is>
      </c>
      <c r="U894" s="87" t="n">
        <v>45821</v>
      </c>
      <c r="V894" s="3" t="inlineStr">
        <is>
          <t>11</t>
        </is>
      </c>
      <c r="W894" s="108" t="n">
        <v>45821</v>
      </c>
      <c r="X894" s="4" t="inlineStr">
        <is>
          <t>PHILIPPOS COSTANTINIDES TRADING CO. LTD</t>
        </is>
      </c>
    </row>
    <row r="895" ht="24" customHeight="1">
      <c r="A895" s="2">
        <f>+D895-S895</f>
        <v/>
      </c>
      <c r="B895" s="80" t="n">
        <v>2555</v>
      </c>
      <c r="C895" s="66" t="n">
        <v>45614</v>
      </c>
      <c r="D895" s="2" t="n">
        <v>1</v>
      </c>
      <c r="E895" s="3" t="inlineStr">
        <is>
          <t>FUCILE SEMIAUTOMATICO</t>
        </is>
      </c>
      <c r="F895" s="3" t="inlineStr">
        <is>
          <t>12</t>
        </is>
      </c>
      <c r="G895" s="3" t="inlineStr">
        <is>
          <t xml:space="preserve">WINCHESTER </t>
        </is>
      </c>
      <c r="H895" s="65" t="inlineStr">
        <is>
          <t>SX4 RANIERO TESTA</t>
        </is>
      </c>
      <c r="I895" s="65" t="inlineStr">
        <is>
          <t>09472YX11K</t>
        </is>
      </c>
      <c r="J895" s="65" t="inlineStr">
        <is>
          <t>N/D</t>
        </is>
      </c>
      <c r="K895" s="65" t="inlineStr">
        <is>
          <t>N/D</t>
        </is>
      </c>
      <c r="L895" s="127" t="inlineStr">
        <is>
          <t>BROWNING INTERNATIONAL SA</t>
        </is>
      </c>
      <c r="M895" s="5" t="n">
        <v>1035.3</v>
      </c>
      <c r="N895" s="5" t="n"/>
      <c r="O895" s="5">
        <f>+M895+N895</f>
        <v/>
      </c>
      <c r="P895" s="4" t="n">
        <v>45601</v>
      </c>
      <c r="Q895" s="87" t="inlineStr">
        <is>
          <t>31/10/24</t>
        </is>
      </c>
      <c r="R895" s="5" t="n"/>
      <c r="S895" s="2" t="n"/>
      <c r="T895" s="3" t="n"/>
      <c r="U895" s="87" t="n"/>
      <c r="V895" s="3" t="n"/>
      <c r="W895" s="108" t="n"/>
      <c r="X895" s="4" t="n"/>
    </row>
    <row r="896" ht="24" customHeight="1">
      <c r="A896" s="2">
        <f>+D896-S896</f>
        <v/>
      </c>
      <c r="B896" s="80" t="n">
        <v>2556</v>
      </c>
      <c r="C896" s="66" t="n">
        <v>45614</v>
      </c>
      <c r="D896" s="2" t="n">
        <v>1</v>
      </c>
      <c r="E896" s="3" t="inlineStr">
        <is>
          <t>FUCILE SEMIAUTOMATICO</t>
        </is>
      </c>
      <c r="F896" s="3" t="inlineStr">
        <is>
          <t>12</t>
        </is>
      </c>
      <c r="G896" s="3" t="inlineStr">
        <is>
          <t xml:space="preserve">WINCHESTER </t>
        </is>
      </c>
      <c r="H896" s="65" t="inlineStr">
        <is>
          <t>SX4 RANIERO TESTA</t>
        </is>
      </c>
      <c r="I896" s="65" t="inlineStr">
        <is>
          <t>09468YX11K</t>
        </is>
      </c>
      <c r="J896" s="65" t="inlineStr">
        <is>
          <t>N/D</t>
        </is>
      </c>
      <c r="K896" s="65" t="inlineStr">
        <is>
          <t>N/D</t>
        </is>
      </c>
      <c r="L896" s="127" t="inlineStr">
        <is>
          <t>BROWNING INTERNATIONAL SA</t>
        </is>
      </c>
      <c r="M896" s="5" t="n">
        <v>1035.3</v>
      </c>
      <c r="N896" s="5" t="n"/>
      <c r="O896" s="5">
        <f>+M896+N896</f>
        <v/>
      </c>
      <c r="P896" s="4" t="n">
        <v>45601</v>
      </c>
      <c r="Q896" s="87" t="inlineStr">
        <is>
          <t>31/10/24</t>
        </is>
      </c>
      <c r="R896" s="5" t="n"/>
      <c r="S896" s="2" t="n"/>
      <c r="T896" s="3" t="n"/>
      <c r="U896" s="87" t="n"/>
      <c r="V896" s="3" t="n"/>
      <c r="W896" s="108" t="n"/>
      <c r="X896" s="4" t="n"/>
    </row>
    <row r="897" ht="24" customHeight="1">
      <c r="A897" s="2">
        <f>+D897-S897</f>
        <v/>
      </c>
      <c r="B897" s="80" t="n">
        <v>2557</v>
      </c>
      <c r="C897" s="66" t="n">
        <v>45614</v>
      </c>
      <c r="D897" s="2" t="n">
        <v>1</v>
      </c>
      <c r="E897" s="3" t="inlineStr">
        <is>
          <t>FUCILE SEMIAUTOMATICO</t>
        </is>
      </c>
      <c r="F897" s="3" t="inlineStr">
        <is>
          <t>12</t>
        </is>
      </c>
      <c r="G897" s="3" t="inlineStr">
        <is>
          <t xml:space="preserve">WINCHESTER </t>
        </is>
      </c>
      <c r="H897" s="65" t="inlineStr">
        <is>
          <t>SX4 RANIERO TESTA</t>
        </is>
      </c>
      <c r="I897" s="65" t="inlineStr">
        <is>
          <t>PT34755YX11K</t>
        </is>
      </c>
      <c r="J897" s="65" t="inlineStr">
        <is>
          <t>N/D</t>
        </is>
      </c>
      <c r="K897" s="65" t="inlineStr">
        <is>
          <t>N/D</t>
        </is>
      </c>
      <c r="L897" s="127" t="inlineStr">
        <is>
          <t>BROWNING INTERNATIONAL SA</t>
        </is>
      </c>
      <c r="M897" s="5" t="n">
        <v>1035.3</v>
      </c>
      <c r="N897" s="5" t="n"/>
      <c r="O897" s="5">
        <f>+M897+N897</f>
        <v/>
      </c>
      <c r="P897" s="4" t="n">
        <v>45601</v>
      </c>
      <c r="Q897" s="87" t="inlineStr">
        <is>
          <t>31/10/24</t>
        </is>
      </c>
      <c r="R897" s="5" t="n"/>
      <c r="S897" s="2" t="n"/>
      <c r="T897" s="3" t="n"/>
      <c r="U897" s="87" t="n"/>
      <c r="V897" s="3" t="n"/>
      <c r="W897" s="108" t="n"/>
      <c r="X897" s="4" t="n"/>
    </row>
    <row r="898" ht="24" customHeight="1">
      <c r="A898" s="2">
        <f>+D898-S898</f>
        <v/>
      </c>
      <c r="B898" s="80" t="n">
        <v>2558</v>
      </c>
      <c r="C898" s="66" t="n">
        <v>45614</v>
      </c>
      <c r="D898" s="2" t="n">
        <v>1</v>
      </c>
      <c r="E898" s="3" t="inlineStr">
        <is>
          <t>FUCILE SEMIAUTOMATICO</t>
        </is>
      </c>
      <c r="F898" s="3" t="inlineStr">
        <is>
          <t>12</t>
        </is>
      </c>
      <c r="G898" s="3" t="inlineStr">
        <is>
          <t xml:space="preserve">WINCHESTER </t>
        </is>
      </c>
      <c r="H898" s="65" t="inlineStr">
        <is>
          <t>SX4 RANIERO TESTA</t>
        </is>
      </c>
      <c r="I898" s="65" t="inlineStr">
        <is>
          <t>PT34737YX11K</t>
        </is>
      </c>
      <c r="J898" s="65" t="inlineStr">
        <is>
          <t>N/D</t>
        </is>
      </c>
      <c r="K898" s="65" t="inlineStr">
        <is>
          <t>N/D</t>
        </is>
      </c>
      <c r="L898" s="127" t="inlineStr">
        <is>
          <t>BROWNING INTERNATIONAL SA</t>
        </is>
      </c>
      <c r="M898" s="5" t="n">
        <v>1035.3</v>
      </c>
      <c r="N898" s="5" t="n"/>
      <c r="O898" s="5">
        <f>+M898+N898</f>
        <v/>
      </c>
      <c r="P898" s="4" t="n">
        <v>45601</v>
      </c>
      <c r="Q898" s="87" t="inlineStr">
        <is>
          <t>31/10/24</t>
        </is>
      </c>
      <c r="R898" s="5" t="n"/>
      <c r="S898" s="2" t="n"/>
      <c r="T898" s="3" t="n"/>
      <c r="U898" s="87" t="n"/>
      <c r="V898" s="3" t="n"/>
      <c r="W898" s="108" t="n"/>
      <c r="X898" s="4" t="n"/>
    </row>
    <row r="899" ht="24" customHeight="1">
      <c r="A899" s="2">
        <f>+D899-S899</f>
        <v/>
      </c>
      <c r="B899" s="80" t="n">
        <v>2559</v>
      </c>
      <c r="C899" s="66" t="n">
        <v>45614</v>
      </c>
      <c r="D899" s="2" t="n">
        <v>1</v>
      </c>
      <c r="E899" s="3" t="inlineStr">
        <is>
          <t>FUCILE SEMIAUTOMATICO</t>
        </is>
      </c>
      <c r="F899" s="3" t="inlineStr">
        <is>
          <t>12</t>
        </is>
      </c>
      <c r="G899" s="3" t="inlineStr">
        <is>
          <t xml:space="preserve">WINCHESTER </t>
        </is>
      </c>
      <c r="H899" s="65" t="inlineStr">
        <is>
          <t>SX4 RANIERO TESTA</t>
        </is>
      </c>
      <c r="I899" s="65" t="inlineStr">
        <is>
          <t>PT34757YX11K</t>
        </is>
      </c>
      <c r="J899" s="65" t="inlineStr">
        <is>
          <t>N/D</t>
        </is>
      </c>
      <c r="K899" s="65" t="inlineStr">
        <is>
          <t>N/D</t>
        </is>
      </c>
      <c r="L899" s="127" t="inlineStr">
        <is>
          <t>BROWNING INTERNATIONAL SA</t>
        </is>
      </c>
      <c r="M899" s="5" t="n">
        <v>1035.3</v>
      </c>
      <c r="N899" s="5" t="n"/>
      <c r="O899" s="5">
        <f>+M899+N899</f>
        <v/>
      </c>
      <c r="P899" s="4" t="n">
        <v>45601</v>
      </c>
      <c r="Q899" s="87" t="inlineStr">
        <is>
          <t>31/10/24</t>
        </is>
      </c>
      <c r="R899" s="5" t="n"/>
      <c r="S899" s="2" t="n"/>
      <c r="T899" s="3" t="n"/>
      <c r="U899" s="87" t="n"/>
      <c r="V899" s="3" t="n"/>
      <c r="W899" s="108" t="n"/>
      <c r="X899" s="4" t="n"/>
    </row>
    <row r="900" ht="24" customHeight="1">
      <c r="A900" s="2">
        <f>+D900-S900</f>
        <v/>
      </c>
      <c r="B900" s="80" t="n">
        <v>2560</v>
      </c>
      <c r="C900" s="66" t="n">
        <v>45614</v>
      </c>
      <c r="D900" s="2" t="n">
        <v>1</v>
      </c>
      <c r="E900" s="3" t="inlineStr">
        <is>
          <t>FUCILE SEMIAUTOMATICO</t>
        </is>
      </c>
      <c r="F900" s="3" t="inlineStr">
        <is>
          <t>12</t>
        </is>
      </c>
      <c r="G900" s="3" t="inlineStr">
        <is>
          <t xml:space="preserve">WINCHESTER </t>
        </is>
      </c>
      <c r="H900" s="65" t="inlineStr">
        <is>
          <t>SX4 RANIERO TESTA</t>
        </is>
      </c>
      <c r="I900" s="65" t="inlineStr">
        <is>
          <t>PT34732YX11K</t>
        </is>
      </c>
      <c r="J900" s="65" t="inlineStr">
        <is>
          <t>N/D</t>
        </is>
      </c>
      <c r="K900" s="65" t="inlineStr">
        <is>
          <t>N/D</t>
        </is>
      </c>
      <c r="L900" s="127" t="inlineStr">
        <is>
          <t>BROWNING INTERNATIONAL SA</t>
        </is>
      </c>
      <c r="M900" s="5" t="n">
        <v>1035.3</v>
      </c>
      <c r="N900" s="5" t="n"/>
      <c r="O900" s="5">
        <f>+M900+N900</f>
        <v/>
      </c>
      <c r="P900" s="4" t="n">
        <v>45601</v>
      </c>
      <c r="Q900" s="87" t="inlineStr">
        <is>
          <t>31/10/24</t>
        </is>
      </c>
      <c r="R900" s="5" t="n"/>
      <c r="S900" s="2" t="n"/>
      <c r="T900" s="3" t="n"/>
      <c r="U900" s="87" t="n"/>
      <c r="V900" s="3" t="n"/>
      <c r="W900" s="108" t="n"/>
      <c r="X900" s="4" t="n"/>
    </row>
    <row r="901" ht="24" customHeight="1">
      <c r="A901" s="2">
        <f>+D901-S901</f>
        <v/>
      </c>
      <c r="B901" s="80" t="n">
        <v>2561</v>
      </c>
      <c r="C901" s="66" t="n">
        <v>45614</v>
      </c>
      <c r="D901" s="2" t="n">
        <v>1</v>
      </c>
      <c r="E901" s="3" t="inlineStr">
        <is>
          <t>FUCILE SEMIAUTOMATICO</t>
        </is>
      </c>
      <c r="F901" s="3" t="inlineStr">
        <is>
          <t>12</t>
        </is>
      </c>
      <c r="G901" s="3" t="inlineStr">
        <is>
          <t xml:space="preserve">WINCHESTER </t>
        </is>
      </c>
      <c r="H901" s="65" t="inlineStr">
        <is>
          <t>SX4 RANIERO TESTA</t>
        </is>
      </c>
      <c r="I901" s="65" t="inlineStr">
        <is>
          <t>PT39066YX11K</t>
        </is>
      </c>
      <c r="J901" s="65" t="inlineStr">
        <is>
          <t>N/D</t>
        </is>
      </c>
      <c r="K901" s="65" t="inlineStr">
        <is>
          <t>N/D</t>
        </is>
      </c>
      <c r="L901" s="127" t="inlineStr">
        <is>
          <t>BROWNING INTERNATIONAL SA</t>
        </is>
      </c>
      <c r="M901" s="5" t="n">
        <v>1035.3</v>
      </c>
      <c r="N901" s="5" t="n"/>
      <c r="O901" s="5">
        <f>+M901+N901</f>
        <v/>
      </c>
      <c r="P901" s="4" t="n">
        <v>45601</v>
      </c>
      <c r="Q901" s="87" t="inlineStr">
        <is>
          <t>31/10/24</t>
        </is>
      </c>
      <c r="R901" s="5" t="n"/>
      <c r="S901" s="2" t="n"/>
      <c r="T901" s="3" t="n"/>
      <c r="U901" s="87" t="n"/>
      <c r="V901" s="3" t="n"/>
      <c r="W901" s="108" t="n"/>
      <c r="X901" s="4" t="n"/>
    </row>
    <row r="902" ht="24" customHeight="1">
      <c r="A902" s="2">
        <f>+D902-S902</f>
        <v/>
      </c>
      <c r="B902" s="80" t="n">
        <v>2562</v>
      </c>
      <c r="C902" s="66" t="n">
        <v>45614</v>
      </c>
      <c r="D902" s="2" t="n">
        <v>1</v>
      </c>
      <c r="E902" s="3" t="inlineStr">
        <is>
          <t>FUCILE SEMIAUTOMATICO</t>
        </is>
      </c>
      <c r="F902" s="3" t="inlineStr">
        <is>
          <t>12</t>
        </is>
      </c>
      <c r="G902" s="3" t="inlineStr">
        <is>
          <t xml:space="preserve">WINCHESTER </t>
        </is>
      </c>
      <c r="H902" s="65" t="inlineStr">
        <is>
          <t>SX4 RANIERO TESTA</t>
        </is>
      </c>
      <c r="I902" s="65" t="inlineStr">
        <is>
          <t>PT39067YX11K</t>
        </is>
      </c>
      <c r="J902" s="65" t="inlineStr">
        <is>
          <t>N/D</t>
        </is>
      </c>
      <c r="K902" s="65" t="inlineStr">
        <is>
          <t>N/D</t>
        </is>
      </c>
      <c r="L902" s="127" t="inlineStr">
        <is>
          <t>BROWNING INTERNATIONAL SA</t>
        </is>
      </c>
      <c r="M902" s="5" t="n">
        <v>1035.3</v>
      </c>
      <c r="N902" s="5" t="n"/>
      <c r="O902" s="5">
        <f>+M902+N902</f>
        <v/>
      </c>
      <c r="P902" s="4" t="n">
        <v>45601</v>
      </c>
      <c r="Q902" s="87" t="inlineStr">
        <is>
          <t>31/10/24</t>
        </is>
      </c>
      <c r="R902" s="5" t="n"/>
      <c r="S902" s="2" t="n"/>
      <c r="T902" s="3" t="n"/>
      <c r="U902" s="87" t="n"/>
      <c r="V902" s="3" t="n"/>
      <c r="W902" s="108" t="n"/>
      <c r="X902" s="4" t="n"/>
    </row>
    <row r="903" ht="24" customHeight="1">
      <c r="A903" s="2">
        <f>+D903-S903</f>
        <v/>
      </c>
      <c r="B903" s="80" t="n">
        <v>2563</v>
      </c>
      <c r="C903" s="66" t="n">
        <v>45614</v>
      </c>
      <c r="D903" s="2" t="n">
        <v>1</v>
      </c>
      <c r="E903" s="3" t="inlineStr">
        <is>
          <t>FUCILE SEMIAUTOMATICO</t>
        </is>
      </c>
      <c r="F903" s="3" t="inlineStr">
        <is>
          <t>12</t>
        </is>
      </c>
      <c r="G903" s="3" t="inlineStr">
        <is>
          <t xml:space="preserve">WINCHESTER </t>
        </is>
      </c>
      <c r="H903" s="65" t="inlineStr">
        <is>
          <t>SX4 COMPO 9</t>
        </is>
      </c>
      <c r="I903" s="65" t="inlineStr">
        <is>
          <t>09177YX11K</t>
        </is>
      </c>
      <c r="J903" s="65" t="inlineStr">
        <is>
          <t>N/D</t>
        </is>
      </c>
      <c r="K903" s="65" t="inlineStr">
        <is>
          <t>N/D</t>
        </is>
      </c>
      <c r="L903" s="127" t="inlineStr">
        <is>
          <t>BROWNING INTERNATIONAL SA</t>
        </is>
      </c>
      <c r="M903" s="5" t="n">
        <v>782.85</v>
      </c>
      <c r="N903" s="5" t="n"/>
      <c r="O903" s="5">
        <f>+M903+N903</f>
        <v/>
      </c>
      <c r="P903" s="4" t="n">
        <v>45601</v>
      </c>
      <c r="Q903" s="87" t="inlineStr">
        <is>
          <t>31/10/24</t>
        </is>
      </c>
      <c r="R903" s="5" t="n">
        <v>1580</v>
      </c>
      <c r="S903" s="2" t="n">
        <v>1</v>
      </c>
      <c r="T903" s="3" t="inlineStr">
        <is>
          <t>6B/2025/1S</t>
        </is>
      </c>
      <c r="U903" s="86" t="n">
        <v>45769</v>
      </c>
      <c r="V903" s="3" t="inlineStr">
        <is>
          <t>6</t>
        </is>
      </c>
      <c r="W903" s="111" t="n">
        <v>45769</v>
      </c>
      <c r="X903" s="4" t="inlineStr">
        <is>
          <t>HS &amp; S LLC</t>
        </is>
      </c>
    </row>
    <row r="904" ht="24" customHeight="1">
      <c r="A904" s="2">
        <f>+D904-S904</f>
        <v/>
      </c>
      <c r="B904" s="80" t="n">
        <v>2564</v>
      </c>
      <c r="C904" s="66" t="n">
        <v>45614</v>
      </c>
      <c r="D904" s="2" t="n">
        <v>1</v>
      </c>
      <c r="E904" s="3" t="inlineStr">
        <is>
          <t>FUCILE SEMIAUTOMATICO</t>
        </is>
      </c>
      <c r="F904" s="3" t="inlineStr">
        <is>
          <t>12</t>
        </is>
      </c>
      <c r="G904" s="3" t="inlineStr">
        <is>
          <t xml:space="preserve">WINCHESTER </t>
        </is>
      </c>
      <c r="H904" s="65" t="inlineStr">
        <is>
          <t>SX4 COMPO 9</t>
        </is>
      </c>
      <c r="I904" s="65" t="inlineStr">
        <is>
          <t>09178YX11K</t>
        </is>
      </c>
      <c r="J904" s="65" t="inlineStr">
        <is>
          <t>N/D</t>
        </is>
      </c>
      <c r="K904" s="65" t="inlineStr">
        <is>
          <t>N/D</t>
        </is>
      </c>
      <c r="L904" s="127" t="inlineStr">
        <is>
          <t>BROWNING INTERNATIONAL SA</t>
        </is>
      </c>
      <c r="M904" s="5" t="n">
        <v>782.85</v>
      </c>
      <c r="N904" s="5" t="n"/>
      <c r="O904" s="5">
        <f>+M904+N904</f>
        <v/>
      </c>
      <c r="P904" s="4" t="n">
        <v>45601</v>
      </c>
      <c r="Q904" s="87" t="inlineStr">
        <is>
          <t>31/10/24</t>
        </is>
      </c>
      <c r="R904" s="5" t="n">
        <v>1580</v>
      </c>
      <c r="S904" s="2" t="n">
        <v>1</v>
      </c>
      <c r="T904" s="3" t="inlineStr">
        <is>
          <t>6B/2025/1S</t>
        </is>
      </c>
      <c r="U904" s="86" t="n">
        <v>45769</v>
      </c>
      <c r="V904" s="3" t="inlineStr">
        <is>
          <t>6</t>
        </is>
      </c>
      <c r="W904" s="111" t="n">
        <v>45769</v>
      </c>
      <c r="X904" s="4" t="inlineStr">
        <is>
          <t>HS &amp; S LLC</t>
        </is>
      </c>
    </row>
    <row r="905" ht="24" customHeight="1">
      <c r="A905" s="2">
        <f>+D905-S905</f>
        <v/>
      </c>
      <c r="B905" s="80" t="n">
        <v>2565</v>
      </c>
      <c r="C905" s="66" t="n">
        <v>45614</v>
      </c>
      <c r="D905" s="2" t="n">
        <v>1</v>
      </c>
      <c r="E905" s="3" t="inlineStr">
        <is>
          <t>FUCILE SEMIAUTOMATICO</t>
        </is>
      </c>
      <c r="F905" s="3" t="inlineStr">
        <is>
          <t>12</t>
        </is>
      </c>
      <c r="G905" s="3" t="inlineStr">
        <is>
          <t xml:space="preserve">WINCHESTER </t>
        </is>
      </c>
      <c r="H905" s="65" t="inlineStr">
        <is>
          <t>SX4 COMPO 9</t>
        </is>
      </c>
      <c r="I905" s="65" t="inlineStr">
        <is>
          <t>09171YX11K</t>
        </is>
      </c>
      <c r="J905" s="65" t="inlineStr">
        <is>
          <t>N/D</t>
        </is>
      </c>
      <c r="K905" s="65" t="inlineStr">
        <is>
          <t>N/D</t>
        </is>
      </c>
      <c r="L905" s="127" t="inlineStr">
        <is>
          <t>BROWNING INTERNATIONAL SA</t>
        </is>
      </c>
      <c r="M905" s="5" t="n">
        <v>782.85</v>
      </c>
      <c r="N905" s="5" t="n"/>
      <c r="O905" s="5">
        <f>+M905+N905</f>
        <v/>
      </c>
      <c r="P905" s="4" t="n">
        <v>45601</v>
      </c>
      <c r="Q905" s="87" t="inlineStr">
        <is>
          <t>31/10/24</t>
        </is>
      </c>
      <c r="R905" s="5" t="n">
        <v>1580</v>
      </c>
      <c r="S905" s="2" t="n">
        <v>1</v>
      </c>
      <c r="T905" s="3" t="inlineStr">
        <is>
          <t>6B/2025/1S</t>
        </is>
      </c>
      <c r="U905" s="86" t="n">
        <v>45769</v>
      </c>
      <c r="V905" s="3" t="inlineStr">
        <is>
          <t>6</t>
        </is>
      </c>
      <c r="W905" s="111" t="n">
        <v>45769</v>
      </c>
      <c r="X905" s="4" t="inlineStr">
        <is>
          <t>HS &amp; S LLC</t>
        </is>
      </c>
    </row>
    <row r="906" ht="24" customHeight="1">
      <c r="A906" s="2">
        <f>+D906-S906</f>
        <v/>
      </c>
      <c r="B906" s="80" t="n">
        <v>2566</v>
      </c>
      <c r="C906" s="66" t="n">
        <v>45614</v>
      </c>
      <c r="D906" s="2" t="n">
        <v>1</v>
      </c>
      <c r="E906" s="3" t="inlineStr">
        <is>
          <t>FUCILE SEMIAUTOMATICO</t>
        </is>
      </c>
      <c r="F906" s="3" t="inlineStr">
        <is>
          <t>12</t>
        </is>
      </c>
      <c r="G906" s="3" t="inlineStr">
        <is>
          <t xml:space="preserve">WINCHESTER </t>
        </is>
      </c>
      <c r="H906" s="65" t="inlineStr">
        <is>
          <t>SX4 COMPO 9</t>
        </is>
      </c>
      <c r="I906" s="65" t="inlineStr">
        <is>
          <t>09175YX11K</t>
        </is>
      </c>
      <c r="J906" s="65" t="inlineStr">
        <is>
          <t>N/D</t>
        </is>
      </c>
      <c r="K906" s="65" t="inlineStr">
        <is>
          <t>N/D</t>
        </is>
      </c>
      <c r="L906" s="127" t="inlineStr">
        <is>
          <t>BROWNING INTERNATIONAL SA</t>
        </is>
      </c>
      <c r="M906" s="5" t="n">
        <v>782.85</v>
      </c>
      <c r="N906" s="5" t="n"/>
      <c r="O906" s="5">
        <f>+M906+N906</f>
        <v/>
      </c>
      <c r="P906" s="4" t="n">
        <v>45601</v>
      </c>
      <c r="Q906" s="87" t="inlineStr">
        <is>
          <t>31/10/24</t>
        </is>
      </c>
      <c r="R906" s="5" t="n"/>
      <c r="S906" s="2" t="n"/>
      <c r="T906" s="3" t="n"/>
      <c r="U906" s="87" t="n"/>
      <c r="V906" s="3" t="n"/>
      <c r="W906" s="108" t="n"/>
      <c r="X906" s="4" t="n"/>
    </row>
    <row r="907" ht="24" customHeight="1">
      <c r="A907" s="2">
        <f>+D907-S907</f>
        <v/>
      </c>
      <c r="B907" s="80" t="n">
        <v>2567</v>
      </c>
      <c r="C907" s="66" t="n">
        <v>45614</v>
      </c>
      <c r="D907" s="2" t="n">
        <v>1</v>
      </c>
      <c r="E907" s="3" t="inlineStr">
        <is>
          <t>FUCILE SEMIAUTOMATICO</t>
        </is>
      </c>
      <c r="F907" s="3" t="inlineStr">
        <is>
          <t>12</t>
        </is>
      </c>
      <c r="G907" s="3" t="inlineStr">
        <is>
          <t xml:space="preserve">WINCHESTER </t>
        </is>
      </c>
      <c r="H907" s="65" t="inlineStr">
        <is>
          <t>SX4 COMPO 9</t>
        </is>
      </c>
      <c r="I907" s="65" t="inlineStr">
        <is>
          <t>09179YX11K</t>
        </is>
      </c>
      <c r="J907" s="65" t="inlineStr">
        <is>
          <t>N/D</t>
        </is>
      </c>
      <c r="K907" s="65" t="inlineStr">
        <is>
          <t>N/D</t>
        </is>
      </c>
      <c r="L907" s="127" t="inlineStr">
        <is>
          <t>BROWNING INTERNATIONAL SA</t>
        </is>
      </c>
      <c r="M907" s="5" t="n">
        <v>782.85</v>
      </c>
      <c r="N907" s="5" t="n"/>
      <c r="O907" s="5">
        <f>+M907+N907</f>
        <v/>
      </c>
      <c r="P907" s="4" t="n">
        <v>45601</v>
      </c>
      <c r="Q907" s="87" t="inlineStr">
        <is>
          <t>31/10/24</t>
        </is>
      </c>
      <c r="R907" s="5" t="n"/>
      <c r="S907" s="2" t="n"/>
      <c r="T907" s="3" t="n"/>
      <c r="U907" s="87" t="n"/>
      <c r="V907" s="3" t="n"/>
      <c r="W907" s="108" t="n"/>
      <c r="X907" s="4" t="n"/>
    </row>
    <row r="908" ht="24" customHeight="1">
      <c r="A908" s="2">
        <f>+D908-S908</f>
        <v/>
      </c>
      <c r="B908" s="80" t="n">
        <v>2568</v>
      </c>
      <c r="C908" s="66" t="n">
        <v>45614</v>
      </c>
      <c r="D908" s="2" t="n">
        <v>1</v>
      </c>
      <c r="E908" s="3" t="inlineStr">
        <is>
          <t>FUCILE SEMIAUTOMATICO</t>
        </is>
      </c>
      <c r="F908" s="3" t="inlineStr">
        <is>
          <t>12</t>
        </is>
      </c>
      <c r="G908" s="3" t="inlineStr">
        <is>
          <t xml:space="preserve">WINCHESTER </t>
        </is>
      </c>
      <c r="H908" s="65" t="inlineStr">
        <is>
          <t>SX4 COMPO 9</t>
        </is>
      </c>
      <c r="I908" s="65" t="inlineStr">
        <is>
          <t>09174YX11K</t>
        </is>
      </c>
      <c r="J908" s="65" t="inlineStr">
        <is>
          <t>N/D</t>
        </is>
      </c>
      <c r="K908" s="65" t="inlineStr">
        <is>
          <t>N/D</t>
        </is>
      </c>
      <c r="L908" s="127" t="inlineStr">
        <is>
          <t>BROWNING INTERNATIONAL SA</t>
        </is>
      </c>
      <c r="M908" s="5" t="n">
        <v>782.85</v>
      </c>
      <c r="N908" s="5" t="n"/>
      <c r="O908" s="5">
        <f>+M908+N908</f>
        <v/>
      </c>
      <c r="P908" s="4" t="n">
        <v>45601</v>
      </c>
      <c r="Q908" s="87" t="inlineStr">
        <is>
          <t>31/10/24</t>
        </is>
      </c>
      <c r="R908" s="5" t="n"/>
      <c r="S908" s="2" t="n"/>
      <c r="T908" s="3" t="n"/>
      <c r="U908" s="87" t="n"/>
      <c r="V908" s="3" t="n"/>
      <c r="W908" s="108" t="n"/>
      <c r="X908" s="4" t="n"/>
    </row>
    <row r="909" ht="24" customHeight="1">
      <c r="A909" s="2">
        <f>+D909-S909</f>
        <v/>
      </c>
      <c r="B909" s="80" t="n">
        <v>2569</v>
      </c>
      <c r="C909" s="66" t="n">
        <v>45614</v>
      </c>
      <c r="D909" s="2" t="n">
        <v>1</v>
      </c>
      <c r="E909" s="3" t="inlineStr">
        <is>
          <t>FUCILE SEMIAUTOMATICO</t>
        </is>
      </c>
      <c r="F909" s="3" t="inlineStr">
        <is>
          <t>12</t>
        </is>
      </c>
      <c r="G909" s="3" t="inlineStr">
        <is>
          <t xml:space="preserve">WINCHESTER </t>
        </is>
      </c>
      <c r="H909" s="65" t="inlineStr">
        <is>
          <t>SX4 COMPO 9</t>
        </is>
      </c>
      <c r="I909" s="65" t="inlineStr">
        <is>
          <t>PT34229YY11K</t>
        </is>
      </c>
      <c r="J909" s="65" t="inlineStr">
        <is>
          <t>N/D</t>
        </is>
      </c>
      <c r="K909" s="65" t="inlineStr">
        <is>
          <t>N/D</t>
        </is>
      </c>
      <c r="L909" s="127" t="inlineStr">
        <is>
          <t>BROWNING INTERNATIONAL SA</t>
        </is>
      </c>
      <c r="M909" s="5" t="n">
        <v>782.85</v>
      </c>
      <c r="N909" s="5" t="n"/>
      <c r="O909" s="5">
        <f>+M909+N909</f>
        <v/>
      </c>
      <c r="P909" s="4" t="n">
        <v>45601</v>
      </c>
      <c r="Q909" s="87" t="inlineStr">
        <is>
          <t>31/10/24</t>
        </is>
      </c>
      <c r="R909" s="5" t="n"/>
      <c r="S909" s="2" t="n"/>
      <c r="T909" s="3" t="n"/>
      <c r="U909" s="87" t="n"/>
      <c r="V909" s="3" t="n"/>
      <c r="W909" s="108" t="n"/>
      <c r="X909" s="4" t="n"/>
    </row>
    <row r="910" ht="24" customHeight="1">
      <c r="A910" s="2">
        <f>+D910-S910</f>
        <v/>
      </c>
      <c r="B910" s="80" t="n">
        <v>2570</v>
      </c>
      <c r="C910" s="66" t="n">
        <v>45614</v>
      </c>
      <c r="D910" s="2" t="n">
        <v>1</v>
      </c>
      <c r="E910" s="3" t="inlineStr">
        <is>
          <t>FUCILE SEMIAUTOMATICO</t>
        </is>
      </c>
      <c r="F910" s="3" t="inlineStr">
        <is>
          <t>12</t>
        </is>
      </c>
      <c r="G910" s="3" t="inlineStr">
        <is>
          <t xml:space="preserve">WINCHESTER </t>
        </is>
      </c>
      <c r="H910" s="65" t="inlineStr">
        <is>
          <t>SX4 COMPO 9</t>
        </is>
      </c>
      <c r="I910" s="65" t="inlineStr">
        <is>
          <t>09197YX11K</t>
        </is>
      </c>
      <c r="J910" s="65" t="inlineStr">
        <is>
          <t>N/D</t>
        </is>
      </c>
      <c r="K910" s="65" t="inlineStr">
        <is>
          <t>N/D</t>
        </is>
      </c>
      <c r="L910" s="127" t="inlineStr">
        <is>
          <t>BROWNING INTERNATIONAL SA</t>
        </is>
      </c>
      <c r="M910" s="5" t="n">
        <v>782.85</v>
      </c>
      <c r="N910" s="5" t="n"/>
      <c r="O910" s="5">
        <f>+M910+N910</f>
        <v/>
      </c>
      <c r="P910" s="4" t="n">
        <v>45601</v>
      </c>
      <c r="Q910" s="87" t="inlineStr">
        <is>
          <t>31/10/24</t>
        </is>
      </c>
      <c r="R910" s="5" t="n"/>
      <c r="S910" s="2" t="n"/>
      <c r="T910" s="3" t="n"/>
      <c r="U910" s="87" t="n"/>
      <c r="V910" s="3" t="n"/>
      <c r="W910" s="108" t="n"/>
      <c r="X910" s="4" t="n"/>
    </row>
    <row r="911" ht="24" customHeight="1">
      <c r="A911" s="2">
        <f>+D911-S911</f>
        <v/>
      </c>
      <c r="B911" s="80" t="n">
        <v>2571</v>
      </c>
      <c r="C911" s="66" t="n">
        <v>45614</v>
      </c>
      <c r="D911" s="2" t="n">
        <v>1</v>
      </c>
      <c r="E911" s="3" t="inlineStr">
        <is>
          <t>FUCILE SEMIAUTOMATICO</t>
        </is>
      </c>
      <c r="F911" s="3" t="inlineStr">
        <is>
          <t>12</t>
        </is>
      </c>
      <c r="G911" s="3" t="inlineStr">
        <is>
          <t xml:space="preserve">WINCHESTER </t>
        </is>
      </c>
      <c r="H911" s="65" t="inlineStr">
        <is>
          <t>SX4 COMPO 9</t>
        </is>
      </c>
      <c r="I911" s="65" t="inlineStr">
        <is>
          <t>09198YX11K</t>
        </is>
      </c>
      <c r="J911" s="65" t="inlineStr">
        <is>
          <t>N/D</t>
        </is>
      </c>
      <c r="K911" s="65" t="inlineStr">
        <is>
          <t>N/D</t>
        </is>
      </c>
      <c r="L911" s="127" t="inlineStr">
        <is>
          <t>BROWNING INTERNATIONAL SA</t>
        </is>
      </c>
      <c r="M911" s="5" t="n">
        <v>782.85</v>
      </c>
      <c r="N911" s="5" t="n"/>
      <c r="O911" s="5">
        <f>+M911+N911</f>
        <v/>
      </c>
      <c r="P911" s="4" t="n">
        <v>45601</v>
      </c>
      <c r="Q911" s="87" t="inlineStr">
        <is>
          <t>31/10/24</t>
        </is>
      </c>
      <c r="R911" s="5" t="n"/>
      <c r="S911" s="2" t="n"/>
      <c r="T911" s="3" t="n"/>
      <c r="U911" s="87" t="n"/>
      <c r="V911" s="3" t="n"/>
      <c r="W911" s="108" t="n"/>
      <c r="X911" s="4" t="n"/>
    </row>
    <row r="912" ht="24" customHeight="1">
      <c r="A912" s="2">
        <f>+D912-S912</f>
        <v/>
      </c>
      <c r="B912" s="80" t="n">
        <v>2572</v>
      </c>
      <c r="C912" s="66" t="n">
        <v>45615</v>
      </c>
      <c r="D912" s="2" t="n">
        <v>1</v>
      </c>
      <c r="E912" s="3" t="inlineStr">
        <is>
          <t>PISTOLA SEMIAUTOMATICA</t>
        </is>
      </c>
      <c r="F912" s="3" t="inlineStr">
        <is>
          <t>9X19</t>
        </is>
      </c>
      <c r="G912" s="3" t="inlineStr">
        <is>
          <t>BERETTA</t>
        </is>
      </c>
      <c r="H912" s="65" t="inlineStr">
        <is>
          <t>92 FUSION LIMITED EDITION</t>
        </is>
      </c>
      <c r="I912" s="65" t="inlineStr">
        <is>
          <t>FUSC152N</t>
        </is>
      </c>
      <c r="J912" s="65" t="inlineStr">
        <is>
          <t>N/D</t>
        </is>
      </c>
      <c r="K912" s="65" t="inlineStr">
        <is>
          <t>N/D</t>
        </is>
      </c>
      <c r="L912" s="127" t="inlineStr">
        <is>
          <t>REDOLFI F.LLI SRL</t>
        </is>
      </c>
      <c r="M912" s="5" t="n">
        <v>6950</v>
      </c>
      <c r="N912" s="5" t="n"/>
      <c r="O912" s="5">
        <f>+M912+N912</f>
        <v/>
      </c>
      <c r="P912" s="4" t="inlineStr">
        <is>
          <t>14/11/24</t>
        </is>
      </c>
      <c r="Q912" s="87" t="inlineStr">
        <is>
          <t>14/11/24</t>
        </is>
      </c>
      <c r="R912" s="5" t="n"/>
      <c r="S912" s="2" t="n"/>
      <c r="T912" s="3" t="n"/>
      <c r="U912" s="87" t="n"/>
      <c r="V912" s="3" t="n"/>
      <c r="W912" s="108" t="n"/>
      <c r="X912" s="4" t="n"/>
    </row>
    <row r="913" ht="24" customHeight="1">
      <c r="A913" s="2">
        <f>+D913-S913</f>
        <v/>
      </c>
      <c r="B913" s="80" t="n">
        <v>2573</v>
      </c>
      <c r="C913" s="66" t="n">
        <v>45615</v>
      </c>
      <c r="D913" s="2" t="n">
        <v>1</v>
      </c>
      <c r="E913" s="3" t="inlineStr">
        <is>
          <t>PISTOLA SEMIAUTOMATICA</t>
        </is>
      </c>
      <c r="F913" s="3" t="inlineStr">
        <is>
          <t>9X19</t>
        </is>
      </c>
      <c r="G913" s="3" t="inlineStr">
        <is>
          <t>BERETTA</t>
        </is>
      </c>
      <c r="H913" s="65" t="inlineStr">
        <is>
          <t>92 FUSION LIMITED EDITION</t>
        </is>
      </c>
      <c r="I913" s="65" t="inlineStr">
        <is>
          <t>FUSC153N</t>
        </is>
      </c>
      <c r="J913" s="65" t="inlineStr">
        <is>
          <t>N/D</t>
        </is>
      </c>
      <c r="K913" s="65" t="inlineStr">
        <is>
          <t>N/D</t>
        </is>
      </c>
      <c r="L913" s="127" t="inlineStr">
        <is>
          <t>REDOLFI F.LLI SRL</t>
        </is>
      </c>
      <c r="M913" s="5" t="n">
        <v>6950</v>
      </c>
      <c r="N913" s="5" t="n"/>
      <c r="O913" s="5">
        <f>+M913+N913</f>
        <v/>
      </c>
      <c r="P913" s="4" t="inlineStr">
        <is>
          <t>14/11/24</t>
        </is>
      </c>
      <c r="Q913" s="87" t="inlineStr">
        <is>
          <t>14/11/24</t>
        </is>
      </c>
      <c r="R913" s="5" t="n">
        <v>7875</v>
      </c>
      <c r="S913" s="2" t="n">
        <v>1</v>
      </c>
      <c r="T913" s="3" t="inlineStr">
        <is>
          <t>CA04954OS</t>
        </is>
      </c>
      <c r="U913" s="87" t="n">
        <v>45874</v>
      </c>
      <c r="V913" s="3" t="inlineStr">
        <is>
          <t>25</t>
        </is>
      </c>
      <c r="W913" s="4" t="n">
        <v>45874</v>
      </c>
      <c r="X913" s="4" t="inlineStr">
        <is>
          <t>PHILIPPOS  CONSTANTINIDES
TRADING CO.LTD</t>
        </is>
      </c>
    </row>
    <row r="914" ht="24" customHeight="1">
      <c r="A914" s="2">
        <f>+D914-S914</f>
        <v/>
      </c>
      <c r="B914" s="80" t="n">
        <v>2574</v>
      </c>
      <c r="C914" s="66" t="n">
        <v>45615</v>
      </c>
      <c r="D914" s="2" t="n">
        <v>1</v>
      </c>
      <c r="E914" s="3" t="inlineStr">
        <is>
          <t>PISTOLA SEMIAUTOMATICA</t>
        </is>
      </c>
      <c r="F914" s="3" t="inlineStr">
        <is>
          <t>.22 LR</t>
        </is>
      </c>
      <c r="G914" s="3" t="inlineStr">
        <is>
          <t>FN</t>
        </is>
      </c>
      <c r="H914" s="65" t="inlineStr">
        <is>
          <t xml:space="preserve">502 T BLK/BLK </t>
        </is>
      </c>
      <c r="I914" s="65" t="inlineStr">
        <is>
          <t>LR088768</t>
        </is>
      </c>
      <c r="J914" s="65" t="inlineStr">
        <is>
          <t>N/D</t>
        </is>
      </c>
      <c r="K914" s="65" t="inlineStr">
        <is>
          <t>N/D</t>
        </is>
      </c>
      <c r="L914" s="127" t="inlineStr">
        <is>
          <t>BROWNING INTERNATIONAL SA</t>
        </is>
      </c>
      <c r="M914" s="5" t="n">
        <v>440</v>
      </c>
      <c r="N914" s="5" t="n"/>
      <c r="O914" s="5">
        <f>+M914+N914</f>
        <v/>
      </c>
      <c r="P914" s="4" t="n">
        <v>45601</v>
      </c>
      <c r="Q914" s="87" t="inlineStr">
        <is>
          <t>31/10/24</t>
        </is>
      </c>
      <c r="R914" s="5" t="n">
        <v>578</v>
      </c>
      <c r="S914" s="2" t="n">
        <v>1</v>
      </c>
      <c r="T914" s="3" t="inlineStr">
        <is>
          <t>6B/2025/1S</t>
        </is>
      </c>
      <c r="U914" s="86" t="n">
        <v>45769</v>
      </c>
      <c r="V914" s="3" t="inlineStr">
        <is>
          <t>6</t>
        </is>
      </c>
      <c r="W914" s="111" t="n">
        <v>45769</v>
      </c>
      <c r="X914" s="4" t="inlineStr">
        <is>
          <t>HS &amp; S LLC</t>
        </is>
      </c>
    </row>
    <row r="915" ht="24" customHeight="1">
      <c r="A915" s="2">
        <f>+D915-S915</f>
        <v/>
      </c>
      <c r="B915" s="80" t="n">
        <v>2575</v>
      </c>
      <c r="C915" s="66" t="n">
        <v>45615</v>
      </c>
      <c r="D915" s="2" t="n">
        <v>1</v>
      </c>
      <c r="E915" s="3" t="inlineStr">
        <is>
          <t>PISTOLA SEMIAUTOMATICA</t>
        </is>
      </c>
      <c r="F915" s="3" t="inlineStr">
        <is>
          <t>.22 LR</t>
        </is>
      </c>
      <c r="G915" s="3" t="inlineStr">
        <is>
          <t>FN</t>
        </is>
      </c>
      <c r="H915" s="65" t="inlineStr">
        <is>
          <t xml:space="preserve">502 T BLK/BLK </t>
        </is>
      </c>
      <c r="I915" s="65" t="inlineStr">
        <is>
          <t>LR088508</t>
        </is>
      </c>
      <c r="J915" s="65" t="inlineStr">
        <is>
          <t>N/D</t>
        </is>
      </c>
      <c r="K915" s="65" t="inlineStr">
        <is>
          <t>N/D</t>
        </is>
      </c>
      <c r="L915" s="127" t="inlineStr">
        <is>
          <t>BROWNING INTERNATIONAL SA</t>
        </is>
      </c>
      <c r="M915" s="5" t="n">
        <v>440</v>
      </c>
      <c r="N915" s="5" t="n"/>
      <c r="O915" s="5">
        <f>+M915+N915</f>
        <v/>
      </c>
      <c r="P915" s="4" t="n">
        <v>45601</v>
      </c>
      <c r="Q915" s="87" t="inlineStr">
        <is>
          <t>31/10/24</t>
        </is>
      </c>
      <c r="R915" s="5" t="n">
        <v>578</v>
      </c>
      <c r="S915" s="2" t="n">
        <v>1</v>
      </c>
      <c r="T915" s="3" t="inlineStr">
        <is>
          <t>6B/2025/1S</t>
        </is>
      </c>
      <c r="U915" s="86" t="n">
        <v>45769</v>
      </c>
      <c r="V915" s="3" t="inlineStr">
        <is>
          <t>6</t>
        </is>
      </c>
      <c r="W915" s="111" t="n">
        <v>45769</v>
      </c>
      <c r="X915" s="4" t="inlineStr">
        <is>
          <t>HS &amp; S LLC</t>
        </is>
      </c>
    </row>
    <row r="916" ht="24" customHeight="1">
      <c r="A916" s="2">
        <f>+D916-S916</f>
        <v/>
      </c>
      <c r="B916" s="80" t="n">
        <v>2576</v>
      </c>
      <c r="C916" s="66" t="n">
        <v>45615</v>
      </c>
      <c r="D916" s="2" t="n">
        <v>1</v>
      </c>
      <c r="E916" s="3" t="inlineStr">
        <is>
          <t>PISTOLA SEMIAUTOMATICA</t>
        </is>
      </c>
      <c r="F916" s="3" t="inlineStr">
        <is>
          <t>.22 LR</t>
        </is>
      </c>
      <c r="G916" s="3" t="inlineStr">
        <is>
          <t>FN</t>
        </is>
      </c>
      <c r="H916" s="65" t="inlineStr">
        <is>
          <t xml:space="preserve">502 T BLK/BLK </t>
        </is>
      </c>
      <c r="I916" s="65" t="inlineStr">
        <is>
          <t>LR088767</t>
        </is>
      </c>
      <c r="J916" s="65" t="inlineStr">
        <is>
          <t>N/D</t>
        </is>
      </c>
      <c r="K916" s="65" t="inlineStr">
        <is>
          <t>N/D</t>
        </is>
      </c>
      <c r="L916" s="127" t="inlineStr">
        <is>
          <t>BROWNING INTERNATIONAL SA</t>
        </is>
      </c>
      <c r="M916" s="5" t="n">
        <v>440</v>
      </c>
      <c r="N916" s="5" t="n"/>
      <c r="O916" s="5">
        <f>+M916+N916</f>
        <v/>
      </c>
      <c r="P916" s="4" t="n">
        <v>45601</v>
      </c>
      <c r="Q916" s="87" t="inlineStr">
        <is>
          <t>31/10/24</t>
        </is>
      </c>
      <c r="R916" s="5" t="n">
        <v>578</v>
      </c>
      <c r="S916" s="2" t="n">
        <v>1</v>
      </c>
      <c r="T916" s="3" t="inlineStr">
        <is>
          <t>6B/2025/1S</t>
        </is>
      </c>
      <c r="U916" s="86" t="n">
        <v>45769</v>
      </c>
      <c r="V916" s="3" t="inlineStr">
        <is>
          <t>6</t>
        </is>
      </c>
      <c r="W916" s="111" t="n">
        <v>45769</v>
      </c>
      <c r="X916" s="4" t="inlineStr">
        <is>
          <t>HS &amp; S LLC</t>
        </is>
      </c>
    </row>
    <row r="917" ht="24" customHeight="1">
      <c r="A917" s="2">
        <f>+D917-S917</f>
        <v/>
      </c>
      <c r="B917" s="80" t="n">
        <v>2577</v>
      </c>
      <c r="C917" s="66" t="n">
        <v>45615</v>
      </c>
      <c r="D917" s="2" t="n">
        <v>1</v>
      </c>
      <c r="E917" s="3" t="inlineStr">
        <is>
          <t>PISTOLA SEMIAUTOMATICA</t>
        </is>
      </c>
      <c r="F917" s="3" t="inlineStr">
        <is>
          <t>.22 LR</t>
        </is>
      </c>
      <c r="G917" s="3" t="inlineStr">
        <is>
          <t>FN</t>
        </is>
      </c>
      <c r="H917" s="65" t="inlineStr">
        <is>
          <t xml:space="preserve">502 T BLK/BLK </t>
        </is>
      </c>
      <c r="I917" s="65" t="inlineStr">
        <is>
          <t>LR088762</t>
        </is>
      </c>
      <c r="J917" s="65" t="inlineStr">
        <is>
          <t>N/D</t>
        </is>
      </c>
      <c r="K917" s="65" t="inlineStr">
        <is>
          <t>N/D</t>
        </is>
      </c>
      <c r="L917" s="127" t="inlineStr">
        <is>
          <t>BROWNING INTERNATIONAL SA</t>
        </is>
      </c>
      <c r="M917" s="5" t="n">
        <v>440</v>
      </c>
      <c r="N917" s="5" t="n"/>
      <c r="O917" s="5">
        <f>+M917+N917</f>
        <v/>
      </c>
      <c r="P917" s="4" t="n">
        <v>45601</v>
      </c>
      <c r="Q917" s="87" t="inlineStr">
        <is>
          <t>31/10/24</t>
        </is>
      </c>
      <c r="R917" s="5" t="n">
        <v>578</v>
      </c>
      <c r="S917" s="2" t="n">
        <v>1</v>
      </c>
      <c r="T917" s="3" t="inlineStr">
        <is>
          <t>6B/2025/1S</t>
        </is>
      </c>
      <c r="U917" s="86" t="n">
        <v>45769</v>
      </c>
      <c r="V917" s="3" t="inlineStr">
        <is>
          <t>6</t>
        </is>
      </c>
      <c r="W917" s="111" t="n">
        <v>45769</v>
      </c>
      <c r="X917" s="4" t="inlineStr">
        <is>
          <t>HS &amp; S LLC</t>
        </is>
      </c>
    </row>
    <row r="918" ht="24" customHeight="1">
      <c r="A918" s="2">
        <f>+D918-S918</f>
        <v/>
      </c>
      <c r="B918" s="80" t="n">
        <v>2578</v>
      </c>
      <c r="C918" s="66" t="n">
        <v>45615</v>
      </c>
      <c r="D918" s="2" t="n">
        <v>1</v>
      </c>
      <c r="E918" s="3" t="inlineStr">
        <is>
          <t>PISTOLA SEMIAUTOMATICA</t>
        </is>
      </c>
      <c r="F918" s="3" t="inlineStr">
        <is>
          <t>.22 LR</t>
        </is>
      </c>
      <c r="G918" s="3" t="inlineStr">
        <is>
          <t>FN</t>
        </is>
      </c>
      <c r="H918" s="65" t="inlineStr">
        <is>
          <t xml:space="preserve">502 T BLK/BLK </t>
        </is>
      </c>
      <c r="I918" s="65" t="inlineStr">
        <is>
          <t>LR088505</t>
        </is>
      </c>
      <c r="J918" s="65" t="inlineStr">
        <is>
          <t>N/D</t>
        </is>
      </c>
      <c r="K918" s="65" t="inlineStr">
        <is>
          <t>N/D</t>
        </is>
      </c>
      <c r="L918" s="127" t="inlineStr">
        <is>
          <t>BROWNING INTERNATIONAL SA</t>
        </is>
      </c>
      <c r="M918" s="5" t="n">
        <v>440</v>
      </c>
      <c r="N918" s="5" t="n"/>
      <c r="O918" s="5">
        <f>+M918+N918</f>
        <v/>
      </c>
      <c r="P918" s="4" t="n">
        <v>45601</v>
      </c>
      <c r="Q918" s="87" t="inlineStr">
        <is>
          <t>31/10/24</t>
        </is>
      </c>
      <c r="R918" s="5" t="n">
        <v>578</v>
      </c>
      <c r="S918" s="2" t="n">
        <v>1</v>
      </c>
      <c r="T918" s="3" t="inlineStr">
        <is>
          <t>6B/2025/1S</t>
        </is>
      </c>
      <c r="U918" s="86" t="n">
        <v>45769</v>
      </c>
      <c r="V918" s="3" t="inlineStr">
        <is>
          <t>6</t>
        </is>
      </c>
      <c r="W918" s="111" t="n">
        <v>45769</v>
      </c>
      <c r="X918" s="4" t="inlineStr">
        <is>
          <t>HS &amp; S LLC</t>
        </is>
      </c>
    </row>
    <row r="919" ht="24" customHeight="1">
      <c r="A919" s="2">
        <f>+D919-S919</f>
        <v/>
      </c>
      <c r="B919" s="80" t="n">
        <v>2579</v>
      </c>
      <c r="C919" s="66" t="n">
        <v>45632</v>
      </c>
      <c r="D919" s="2" t="n">
        <v>1</v>
      </c>
      <c r="E919" s="3" t="inlineStr">
        <is>
          <t>PISTOLA SEMIAUTOMATICA</t>
        </is>
      </c>
      <c r="F919" s="3" t="inlineStr">
        <is>
          <t>9X19</t>
        </is>
      </c>
      <c r="G919" s="3" t="inlineStr">
        <is>
          <t>SMITH &amp; WESSON</t>
        </is>
      </c>
      <c r="H919" s="65" t="inlineStr">
        <is>
          <t>PERFORMANCE CENTER M&amp;P 9 SHIELD PLUS</t>
        </is>
      </c>
      <c r="I919" s="65" t="inlineStr">
        <is>
          <t>JPA7291</t>
        </is>
      </c>
      <c r="J919" s="65" t="inlineStr">
        <is>
          <t>N/D</t>
        </is>
      </c>
      <c r="K919" s="65" t="inlineStr">
        <is>
          <t>N/D</t>
        </is>
      </c>
      <c r="L919" s="127" t="inlineStr">
        <is>
          <t>PRIMA ARMI SRL</t>
        </is>
      </c>
      <c r="M919" s="5" t="n">
        <v>610</v>
      </c>
      <c r="N919" s="5" t="n"/>
      <c r="O919" s="5">
        <f>+M919+N919</f>
        <v/>
      </c>
      <c r="P919" s="4" t="inlineStr">
        <is>
          <t>27/11/24</t>
        </is>
      </c>
      <c r="Q919" s="87" t="inlineStr">
        <is>
          <t>27/11/24</t>
        </is>
      </c>
      <c r="R919" s="5" t="n">
        <v>779</v>
      </c>
      <c r="S919" s="2" t="n">
        <v>1</v>
      </c>
      <c r="T919" s="3" t="inlineStr">
        <is>
          <t>6B/2025/1S</t>
        </is>
      </c>
      <c r="U919" s="86" t="n">
        <v>45769</v>
      </c>
      <c r="V919" s="3" t="inlineStr">
        <is>
          <t>6</t>
        </is>
      </c>
      <c r="W919" s="111" t="n">
        <v>45769</v>
      </c>
      <c r="X919" s="4" t="inlineStr">
        <is>
          <t>HS &amp; S LLC</t>
        </is>
      </c>
    </row>
    <row r="920" ht="24" customHeight="1">
      <c r="A920" s="2">
        <f>+D920-S920</f>
        <v/>
      </c>
      <c r="B920" s="80" t="n">
        <v>2580</v>
      </c>
      <c r="C920" s="66" t="n">
        <v>45632</v>
      </c>
      <c r="D920" s="2" t="n">
        <v>1</v>
      </c>
      <c r="E920" s="3" t="inlineStr">
        <is>
          <t>PISTOLA SEMIAUTOMATICA</t>
        </is>
      </c>
      <c r="F920" s="3" t="inlineStr">
        <is>
          <t>9X19</t>
        </is>
      </c>
      <c r="G920" s="3" t="inlineStr">
        <is>
          <t>SMITH &amp; WESSON</t>
        </is>
      </c>
      <c r="H920" s="65" t="inlineStr">
        <is>
          <t>PERFORMANCE CENTER M&amp;P 9 SHIELD PLUS</t>
        </is>
      </c>
      <c r="I920" s="65" t="inlineStr">
        <is>
          <t>JPA9855</t>
        </is>
      </c>
      <c r="J920" s="65" t="inlineStr">
        <is>
          <t>N/D</t>
        </is>
      </c>
      <c r="K920" s="65" t="inlineStr">
        <is>
          <t>N/D</t>
        </is>
      </c>
      <c r="L920" s="127" t="inlineStr">
        <is>
          <t>PRIMA ARMI SRL</t>
        </is>
      </c>
      <c r="M920" s="5" t="n">
        <v>610</v>
      </c>
      <c r="N920" s="5" t="n"/>
      <c r="O920" s="5">
        <f>+M920+N920</f>
        <v/>
      </c>
      <c r="P920" s="4" t="inlineStr">
        <is>
          <t>27/11/24</t>
        </is>
      </c>
      <c r="Q920" s="87" t="inlineStr">
        <is>
          <t>27/11/24</t>
        </is>
      </c>
      <c r="R920" s="5" t="n">
        <v>779</v>
      </c>
      <c r="S920" s="2" t="n">
        <v>1</v>
      </c>
      <c r="T920" s="3" t="inlineStr">
        <is>
          <t>6B/2025/1S</t>
        </is>
      </c>
      <c r="U920" s="86" t="n">
        <v>45769</v>
      </c>
      <c r="V920" s="3" t="inlineStr">
        <is>
          <t>6</t>
        </is>
      </c>
      <c r="W920" s="111" t="n">
        <v>45769</v>
      </c>
      <c r="X920" s="4" t="inlineStr">
        <is>
          <t>HS &amp; S LLC</t>
        </is>
      </c>
    </row>
    <row r="921" ht="24" customHeight="1">
      <c r="A921" s="2">
        <f>+D921-S921</f>
        <v/>
      </c>
      <c r="B921" s="80" t="n">
        <v>2581</v>
      </c>
      <c r="C921" s="66" t="n">
        <v>45632</v>
      </c>
      <c r="D921" s="2" t="n">
        <v>1</v>
      </c>
      <c r="E921" s="3" t="inlineStr">
        <is>
          <t>REVOLVER</t>
        </is>
      </c>
      <c r="F921" s="3" t="inlineStr">
        <is>
          <t>.38Sp</t>
        </is>
      </c>
      <c r="G921" s="3" t="inlineStr">
        <is>
          <t>SMITH &amp; WESSON</t>
        </is>
      </c>
      <c r="H921" s="65" t="inlineStr">
        <is>
          <t xml:space="preserve">PRO SERIES MOD 642 </t>
        </is>
      </c>
      <c r="I921" s="65" t="inlineStr">
        <is>
          <t>DRS6021</t>
        </is>
      </c>
      <c r="J921" s="65" t="inlineStr">
        <is>
          <t>N/D</t>
        </is>
      </c>
      <c r="K921" s="65" t="inlineStr">
        <is>
          <t>N/D</t>
        </is>
      </c>
      <c r="L921" s="127" t="inlineStr">
        <is>
          <t>PRIMA ARMI SRL</t>
        </is>
      </c>
      <c r="M921" s="5" t="n">
        <v>605</v>
      </c>
      <c r="N921" s="5" t="n"/>
      <c r="O921" s="5">
        <f>+M921+N921</f>
        <v/>
      </c>
      <c r="P921" s="4" t="inlineStr">
        <is>
          <t>27/11/24</t>
        </is>
      </c>
      <c r="Q921" s="87" t="inlineStr">
        <is>
          <t>27/11/24</t>
        </is>
      </c>
      <c r="R921" s="5" t="n">
        <v>635</v>
      </c>
      <c r="S921" s="2" t="n">
        <v>1</v>
      </c>
      <c r="T921" s="3" t="inlineStr">
        <is>
          <t>CA04954OS</t>
        </is>
      </c>
      <c r="U921" s="87" t="n">
        <v>45874</v>
      </c>
      <c r="V921" s="3" t="inlineStr">
        <is>
          <t>25</t>
        </is>
      </c>
      <c r="W921" s="4" t="n">
        <v>45874</v>
      </c>
      <c r="X921" s="4" t="inlineStr">
        <is>
          <t>PHILIPPOS  CONSTANTINIDES
TRADING CO.LTD</t>
        </is>
      </c>
    </row>
    <row r="922" ht="24" customHeight="1">
      <c r="A922" s="2">
        <f>+D922-S922</f>
        <v/>
      </c>
      <c r="B922" s="80" t="n">
        <v>2582</v>
      </c>
      <c r="C922" s="66" t="n">
        <v>45632</v>
      </c>
      <c r="D922" s="2" t="n">
        <v>1</v>
      </c>
      <c r="E922" s="3" t="inlineStr">
        <is>
          <t>REVOLVER</t>
        </is>
      </c>
      <c r="F922" s="3" t="inlineStr">
        <is>
          <t>.38Sp</t>
        </is>
      </c>
      <c r="G922" s="3" t="inlineStr">
        <is>
          <t>SMITH &amp; WESSON</t>
        </is>
      </c>
      <c r="H922" s="65" t="inlineStr">
        <is>
          <t xml:space="preserve">PRO SERIES MOD 642 </t>
        </is>
      </c>
      <c r="I922" s="65" t="inlineStr">
        <is>
          <t>DRS6831</t>
        </is>
      </c>
      <c r="J922" s="65" t="inlineStr">
        <is>
          <t>N/D</t>
        </is>
      </c>
      <c r="K922" s="65" t="inlineStr">
        <is>
          <t>N/D</t>
        </is>
      </c>
      <c r="L922" s="127" t="inlineStr">
        <is>
          <t>PRIMA ARMI SRL</t>
        </is>
      </c>
      <c r="M922" s="5" t="n">
        <v>605</v>
      </c>
      <c r="N922" s="5" t="n"/>
      <c r="O922" s="5">
        <f>+M922+N922</f>
        <v/>
      </c>
      <c r="P922" s="4" t="inlineStr">
        <is>
          <t>27/11/24</t>
        </is>
      </c>
      <c r="Q922" s="87" t="inlineStr">
        <is>
          <t>27/11/24</t>
        </is>
      </c>
      <c r="R922" s="5" t="n">
        <v>635</v>
      </c>
      <c r="S922" s="2" t="n">
        <v>1</v>
      </c>
      <c r="T922" s="3" t="inlineStr">
        <is>
          <t>CA04954OS</t>
        </is>
      </c>
      <c r="U922" s="87" t="n">
        <v>45874</v>
      </c>
      <c r="V922" s="3" t="inlineStr">
        <is>
          <t>25</t>
        </is>
      </c>
      <c r="W922" s="4" t="n">
        <v>45874</v>
      </c>
      <c r="X922" s="4" t="inlineStr">
        <is>
          <t>PHILIPPOS  CONSTANTINIDES
TRADING CO.LTD</t>
        </is>
      </c>
    </row>
    <row r="923" ht="24" customHeight="1">
      <c r="A923" s="2">
        <f>+D923-S923</f>
        <v/>
      </c>
      <c r="B923" s="80" t="n">
        <v>2583</v>
      </c>
      <c r="C923" s="66" t="n">
        <v>45632</v>
      </c>
      <c r="D923" s="2" t="n">
        <v>1</v>
      </c>
      <c r="E923" s="3" t="inlineStr">
        <is>
          <t>CARABINA</t>
        </is>
      </c>
      <c r="F923" s="3" t="inlineStr">
        <is>
          <t>7.62x39</t>
        </is>
      </c>
      <c r="G923" s="3" t="inlineStr">
        <is>
          <t>S.D.M</t>
        </is>
      </c>
      <c r="H923" s="65" t="inlineStr">
        <is>
          <t>AK-47 SOVIET SERIES</t>
        </is>
      </c>
      <c r="I923" s="65" t="inlineStr">
        <is>
          <t>AK0007411</t>
        </is>
      </c>
      <c r="J923" s="65" t="inlineStr">
        <is>
          <t>N/D</t>
        </is>
      </c>
      <c r="K923" s="65" t="inlineStr">
        <is>
          <t>N/D</t>
        </is>
      </c>
      <c r="L923" s="127" t="inlineStr">
        <is>
          <t>PRIMA ARMI SRL</t>
        </is>
      </c>
      <c r="M923" s="5" t="n">
        <v>384.305</v>
      </c>
      <c r="N923" s="5" t="n"/>
      <c r="O923" s="5">
        <f>+M923+N923</f>
        <v/>
      </c>
      <c r="P923" s="4" t="inlineStr">
        <is>
          <t>27/11/24</t>
        </is>
      </c>
      <c r="Q923" s="87" t="inlineStr">
        <is>
          <t>27/11/24</t>
        </is>
      </c>
      <c r="R923" s="5" t="n">
        <v>451</v>
      </c>
      <c r="S923" s="2" t="n">
        <v>1</v>
      </c>
      <c r="T923" s="3" t="inlineStr">
        <is>
          <t>6B/2025/1S</t>
        </is>
      </c>
      <c r="U923" s="86" t="n">
        <v>45769</v>
      </c>
      <c r="V923" s="3" t="inlineStr">
        <is>
          <t>6</t>
        </is>
      </c>
      <c r="W923" s="111" t="n">
        <v>45769</v>
      </c>
      <c r="X923" s="4" t="inlineStr">
        <is>
          <t>HS &amp; S LLC</t>
        </is>
      </c>
    </row>
    <row r="924" ht="24" customHeight="1">
      <c r="A924" s="2">
        <f>+D924-S924</f>
        <v/>
      </c>
      <c r="B924" s="80" t="n">
        <v>2584</v>
      </c>
      <c r="C924" s="66" t="n">
        <v>45632</v>
      </c>
      <c r="D924" s="2" t="n">
        <v>1</v>
      </c>
      <c r="E924" s="3" t="inlineStr">
        <is>
          <t>CARABINA</t>
        </is>
      </c>
      <c r="F924" s="3" t="inlineStr">
        <is>
          <t>7.62x39</t>
        </is>
      </c>
      <c r="G924" s="3" t="inlineStr">
        <is>
          <t>S.D.M</t>
        </is>
      </c>
      <c r="H924" s="65" t="inlineStr">
        <is>
          <t>AK-47 SOVIET SERIES</t>
        </is>
      </c>
      <c r="I924" s="65" t="inlineStr">
        <is>
          <t>AK0007412</t>
        </is>
      </c>
      <c r="J924" s="65" t="inlineStr">
        <is>
          <t>N/D</t>
        </is>
      </c>
      <c r="K924" s="65" t="inlineStr">
        <is>
          <t>N/D</t>
        </is>
      </c>
      <c r="L924" s="127" t="inlineStr">
        <is>
          <t>PRIMA ARMI SRL</t>
        </is>
      </c>
      <c r="M924" s="5" t="n">
        <v>381.22</v>
      </c>
      <c r="N924" s="5" t="n"/>
      <c r="O924" s="5">
        <f>+M924+N924</f>
        <v/>
      </c>
      <c r="P924" s="4" t="inlineStr">
        <is>
          <t>27/11/24</t>
        </is>
      </c>
      <c r="Q924" s="87" t="inlineStr">
        <is>
          <t>27/11/24</t>
        </is>
      </c>
      <c r="R924" s="5" t="n">
        <v>451</v>
      </c>
      <c r="S924" s="2" t="n">
        <v>1</v>
      </c>
      <c r="T924" s="3" t="inlineStr">
        <is>
          <t>6B/2025/1S</t>
        </is>
      </c>
      <c r="U924" s="86" t="n">
        <v>45769</v>
      </c>
      <c r="V924" s="3" t="inlineStr">
        <is>
          <t>6</t>
        </is>
      </c>
      <c r="W924" s="111" t="n">
        <v>45769</v>
      </c>
      <c r="X924" s="4" t="inlineStr">
        <is>
          <t>HS &amp; S LLC</t>
        </is>
      </c>
    </row>
    <row r="925" ht="24" customHeight="1">
      <c r="A925" s="2">
        <f>+D925-S925</f>
        <v/>
      </c>
      <c r="B925" s="80" t="n">
        <v>2585</v>
      </c>
      <c r="C925" s="66" t="n">
        <v>45632</v>
      </c>
      <c r="D925" s="2" t="n">
        <v>1</v>
      </c>
      <c r="E925" s="3" t="inlineStr">
        <is>
          <t>CARABINA</t>
        </is>
      </c>
      <c r="F925" s="3" t="inlineStr">
        <is>
          <t>7.62x39</t>
        </is>
      </c>
      <c r="G925" s="3" t="inlineStr">
        <is>
          <t>S.D.M</t>
        </is>
      </c>
      <c r="H925" s="65" t="inlineStr">
        <is>
          <t>AK-47 SOVIET SERIES</t>
        </is>
      </c>
      <c r="I925" s="65" t="inlineStr">
        <is>
          <t>AK0007426</t>
        </is>
      </c>
      <c r="J925" s="65" t="inlineStr">
        <is>
          <t>N/D</t>
        </is>
      </c>
      <c r="K925" s="65" t="inlineStr">
        <is>
          <t>N/D</t>
        </is>
      </c>
      <c r="L925" s="127" t="inlineStr">
        <is>
          <t>PRIMA ARMI SRL</t>
        </is>
      </c>
      <c r="M925" s="5" t="n">
        <v>381.22</v>
      </c>
      <c r="N925" s="5" t="n"/>
      <c r="O925" s="5">
        <f>+M925+N925</f>
        <v/>
      </c>
      <c r="P925" s="4" t="inlineStr">
        <is>
          <t>27/11/24</t>
        </is>
      </c>
      <c r="Q925" s="87" t="inlineStr">
        <is>
          <t>27/11/24</t>
        </is>
      </c>
      <c r="R925" s="5" t="n">
        <v>451</v>
      </c>
      <c r="S925" s="2" t="n">
        <v>1</v>
      </c>
      <c r="T925" s="3" t="inlineStr">
        <is>
          <t>6B/2025/1S</t>
        </is>
      </c>
      <c r="U925" s="86" t="n">
        <v>45769</v>
      </c>
      <c r="V925" s="3" t="inlineStr">
        <is>
          <t>6</t>
        </is>
      </c>
      <c r="W925" s="111" t="n">
        <v>45769</v>
      </c>
      <c r="X925" s="4" t="inlineStr">
        <is>
          <t>HS &amp; S LLC</t>
        </is>
      </c>
    </row>
    <row r="926" ht="24" customHeight="1">
      <c r="A926" s="2">
        <f>+D926-S926</f>
        <v/>
      </c>
      <c r="B926" s="80" t="n">
        <v>2586</v>
      </c>
      <c r="C926" s="66" t="n">
        <v>45632</v>
      </c>
      <c r="D926" s="2" t="n">
        <v>1</v>
      </c>
      <c r="E926" s="3" t="inlineStr">
        <is>
          <t>CARABINA</t>
        </is>
      </c>
      <c r="F926" s="3" t="inlineStr">
        <is>
          <t>7.62x39</t>
        </is>
      </c>
      <c r="G926" s="3" t="inlineStr">
        <is>
          <t>S.D.M</t>
        </is>
      </c>
      <c r="H926" s="65" t="inlineStr">
        <is>
          <t>AK-47 SOVIET SERIES</t>
        </is>
      </c>
      <c r="I926" s="65" t="inlineStr">
        <is>
          <t>AK0007427</t>
        </is>
      </c>
      <c r="J926" s="65" t="inlineStr">
        <is>
          <t>N/D</t>
        </is>
      </c>
      <c r="K926" s="65" t="inlineStr">
        <is>
          <t>N/D</t>
        </is>
      </c>
      <c r="L926" s="127" t="inlineStr">
        <is>
          <t>PRIMA ARMI SRL</t>
        </is>
      </c>
      <c r="M926" s="5" t="n">
        <v>381.22</v>
      </c>
      <c r="N926" s="5" t="n"/>
      <c r="O926" s="5">
        <f>+M926+N926</f>
        <v/>
      </c>
      <c r="P926" s="85" t="inlineStr">
        <is>
          <t>27/11/24</t>
        </is>
      </c>
      <c r="Q926" s="87" t="inlineStr">
        <is>
          <t>27/11/24</t>
        </is>
      </c>
      <c r="R926" s="5" t="n">
        <v>451</v>
      </c>
      <c r="S926" s="2" t="n">
        <v>1</v>
      </c>
      <c r="T926" s="3" t="inlineStr">
        <is>
          <t>6B/2025/1S</t>
        </is>
      </c>
      <c r="U926" s="86" t="n">
        <v>45769</v>
      </c>
      <c r="V926" s="3" t="inlineStr">
        <is>
          <t>6</t>
        </is>
      </c>
      <c r="W926" s="111" t="n">
        <v>45769</v>
      </c>
      <c r="X926" s="4" t="inlineStr">
        <is>
          <t>HS &amp; S LLC</t>
        </is>
      </c>
    </row>
    <row r="927" ht="24" customHeight="1">
      <c r="A927" s="2">
        <f>+D927-S927</f>
        <v/>
      </c>
      <c r="B927" s="80" t="n">
        <v>2587</v>
      </c>
      <c r="C927" s="66" t="n">
        <v>45632</v>
      </c>
      <c r="D927" s="2" t="n">
        <v>1</v>
      </c>
      <c r="E927" s="3" t="inlineStr">
        <is>
          <t>FUCILE SEMIAUTOMATICO</t>
        </is>
      </c>
      <c r="F927" s="3" t="inlineStr">
        <is>
          <t>12</t>
        </is>
      </c>
      <c r="G927" s="3" t="inlineStr">
        <is>
          <t>BENELLI</t>
        </is>
      </c>
      <c r="H927" s="65" t="inlineStr">
        <is>
          <t>CENTRO 70 CM</t>
        </is>
      </c>
      <c r="I927" s="65" t="inlineStr">
        <is>
          <t>M384506</t>
        </is>
      </c>
      <c r="J927" s="65" t="inlineStr">
        <is>
          <t>C285378</t>
        </is>
      </c>
      <c r="K927" s="65" t="inlineStr">
        <is>
          <t>N/D</t>
        </is>
      </c>
      <c r="L927" s="127" t="inlineStr">
        <is>
          <t>REDOLFI F.LLI SRL</t>
        </is>
      </c>
      <c r="M927" s="5" t="n">
        <v>250</v>
      </c>
      <c r="N927" s="5" t="n"/>
      <c r="O927" s="5">
        <f>+M927+N927</f>
        <v/>
      </c>
      <c r="P927" s="86" t="n">
        <v>45629</v>
      </c>
      <c r="Q927" s="86" t="n">
        <v>45629</v>
      </c>
      <c r="R927" s="5" t="n">
        <v>280</v>
      </c>
      <c r="S927" s="2" t="n">
        <v>1</v>
      </c>
      <c r="T927" s="3" t="inlineStr">
        <is>
          <t>CA42796IR</t>
        </is>
      </c>
      <c r="U927" s="87" t="n">
        <v>45821</v>
      </c>
      <c r="V927" s="3" t="inlineStr">
        <is>
          <t>11</t>
        </is>
      </c>
      <c r="W927" s="108" t="n">
        <v>45821</v>
      </c>
      <c r="X927" s="4" t="inlineStr">
        <is>
          <t>PHILIPPOS COSTANTINIDES TRADING CO. LTD</t>
        </is>
      </c>
    </row>
    <row r="928" ht="24" customHeight="1">
      <c r="A928" s="2">
        <f>+D928-S928</f>
        <v/>
      </c>
      <c r="B928" s="80" t="n">
        <v>2588</v>
      </c>
      <c r="C928" s="66" t="n">
        <v>45632</v>
      </c>
      <c r="D928" s="2" t="n">
        <v>1</v>
      </c>
      <c r="E928" s="3" t="inlineStr">
        <is>
          <t>FUCILE SEMIAUTOMATICO</t>
        </is>
      </c>
      <c r="F928" s="3" t="inlineStr">
        <is>
          <t>12</t>
        </is>
      </c>
      <c r="G928" s="3" t="inlineStr">
        <is>
          <t>BERETTA</t>
        </is>
      </c>
      <c r="H928" s="65" t="inlineStr">
        <is>
          <t>A300 71 CM</t>
        </is>
      </c>
      <c r="I928" s="65" t="inlineStr">
        <is>
          <t>G75747</t>
        </is>
      </c>
      <c r="J928" s="65" t="inlineStr">
        <is>
          <t>A32392F</t>
        </is>
      </c>
      <c r="K928" s="65" t="inlineStr">
        <is>
          <t>N/D</t>
        </is>
      </c>
      <c r="L928" s="127" t="inlineStr">
        <is>
          <t>REDOLFI F.LLI SRL</t>
        </is>
      </c>
      <c r="M928" s="5" t="n">
        <v>100</v>
      </c>
      <c r="N928" s="5" t="n"/>
      <c r="O928" s="5">
        <f>+M928+N928</f>
        <v/>
      </c>
      <c r="P928" s="86" t="n">
        <v>45629</v>
      </c>
      <c r="Q928" s="86" t="n">
        <v>45629</v>
      </c>
      <c r="R928" s="5" t="n">
        <v>115</v>
      </c>
      <c r="S928" s="2" t="n">
        <v>1</v>
      </c>
      <c r="T928" s="3" t="inlineStr">
        <is>
          <t>CA42796IR</t>
        </is>
      </c>
      <c r="U928" s="87" t="n">
        <v>45821</v>
      </c>
      <c r="V928" s="3" t="inlineStr">
        <is>
          <t>11</t>
        </is>
      </c>
      <c r="W928" s="108" t="n">
        <v>45821</v>
      </c>
      <c r="X928" s="4" t="inlineStr">
        <is>
          <t>PHILIPPOS COSTANTINIDES TRADING CO. LTD</t>
        </is>
      </c>
    </row>
    <row r="929" ht="24" customHeight="1">
      <c r="A929" s="2">
        <f>+D929-S929</f>
        <v/>
      </c>
      <c r="B929" s="80" t="n">
        <v>2589</v>
      </c>
      <c r="C929" s="66" t="n">
        <v>45632</v>
      </c>
      <c r="D929" s="2" t="n">
        <v>1</v>
      </c>
      <c r="E929" s="3" t="inlineStr">
        <is>
          <t>FUCILE SOVRAPPOSTO</t>
        </is>
      </c>
      <c r="F929" s="3" t="inlineStr">
        <is>
          <t>12</t>
        </is>
      </c>
      <c r="G929" s="3" t="inlineStr">
        <is>
          <t>FRANCHI</t>
        </is>
      </c>
      <c r="H929" s="65" t="inlineStr">
        <is>
          <t>ALCIONE VARIANT</t>
        </is>
      </c>
      <c r="I929" s="65" t="inlineStr">
        <is>
          <t>5136546</t>
        </is>
      </c>
      <c r="J929" s="65" t="inlineStr">
        <is>
          <t>N/D</t>
        </is>
      </c>
      <c r="K929" s="65" t="inlineStr">
        <is>
          <t>N/D</t>
        </is>
      </c>
      <c r="L929" s="127" t="inlineStr">
        <is>
          <t>REDOLFI F.LLI SRL</t>
        </is>
      </c>
      <c r="M929" s="5" t="n">
        <v>175</v>
      </c>
      <c r="N929" s="5" t="n"/>
      <c r="O929" s="5">
        <f>+M929+N929</f>
        <v/>
      </c>
      <c r="P929" s="86" t="n">
        <v>45629</v>
      </c>
      <c r="Q929" s="86" t="n">
        <v>45629</v>
      </c>
      <c r="R929" s="5" t="n">
        <v>198</v>
      </c>
      <c r="S929" s="2" t="n">
        <v>1</v>
      </c>
      <c r="T929" s="3" t="inlineStr">
        <is>
          <t>CA42796IR</t>
        </is>
      </c>
      <c r="U929" s="87" t="n">
        <v>45821</v>
      </c>
      <c r="V929" s="3" t="inlineStr">
        <is>
          <t>9</t>
        </is>
      </c>
      <c r="W929" s="108" t="n">
        <v>45821</v>
      </c>
      <c r="X929" s="4" t="inlineStr">
        <is>
          <t>PHILIPPOS COSTANTINIDES TRADING CO. LTD</t>
        </is>
      </c>
    </row>
    <row r="930" ht="24" customHeight="1">
      <c r="A930" s="2">
        <f>+D930-S930</f>
        <v/>
      </c>
      <c r="B930" s="80" t="n">
        <v>2590</v>
      </c>
      <c r="C930" s="66" t="n">
        <v>45632</v>
      </c>
      <c r="D930" s="2" t="n">
        <v>1</v>
      </c>
      <c r="E930" s="3" t="inlineStr">
        <is>
          <t>FUCILE DOPPIETTA</t>
        </is>
      </c>
      <c r="F930" s="3" t="inlineStr">
        <is>
          <t>20</t>
        </is>
      </c>
      <c r="G930" s="3" t="inlineStr">
        <is>
          <t>RAMPINI</t>
        </is>
      </c>
      <c r="H930" s="65" t="inlineStr">
        <is>
          <t xml:space="preserve">CANI ESTERNI </t>
        </is>
      </c>
      <c r="I930" s="65" t="inlineStr">
        <is>
          <t>4039</t>
        </is>
      </c>
      <c r="J930" s="65" t="inlineStr">
        <is>
          <t>N/D</t>
        </is>
      </c>
      <c r="K930" s="65" t="inlineStr">
        <is>
          <t>N/D</t>
        </is>
      </c>
      <c r="L930" s="127" t="inlineStr">
        <is>
          <t>REDOLFI F.LLI SRL</t>
        </is>
      </c>
      <c r="M930" s="5" t="n">
        <v>125</v>
      </c>
      <c r="N930" s="5" t="n"/>
      <c r="O930" s="5">
        <f>+M930+N930</f>
        <v/>
      </c>
      <c r="P930" s="86" t="n">
        <v>45629</v>
      </c>
      <c r="Q930" s="86" t="n">
        <v>45629</v>
      </c>
      <c r="R930" s="5" t="n">
        <v>143</v>
      </c>
      <c r="S930" s="2" t="n">
        <v>1</v>
      </c>
      <c r="T930" s="3" t="inlineStr">
        <is>
          <t>CA42796IR</t>
        </is>
      </c>
      <c r="U930" s="87" t="n">
        <v>45821</v>
      </c>
      <c r="V930" s="3" t="inlineStr">
        <is>
          <t>13</t>
        </is>
      </c>
      <c r="W930" s="108" t="n">
        <v>45821</v>
      </c>
      <c r="X930" s="4" t="inlineStr">
        <is>
          <t>PHILIPPOS COSTANTINIDES TRADING CO. LTD</t>
        </is>
      </c>
    </row>
    <row r="931" ht="24" customHeight="1">
      <c r="A931" s="2">
        <f>+D931-S931</f>
        <v/>
      </c>
      <c r="B931" s="80" t="n">
        <v>2591</v>
      </c>
      <c r="C931" s="66" t="n">
        <v>45632</v>
      </c>
      <c r="D931" s="2" t="n">
        <v>1</v>
      </c>
      <c r="E931" s="3" t="inlineStr">
        <is>
          <t>FUCILE SOVRAPPOSTO</t>
        </is>
      </c>
      <c r="F931" s="3" t="inlineStr">
        <is>
          <t>12</t>
        </is>
      </c>
      <c r="G931" s="3" t="inlineStr">
        <is>
          <t>BERETTA</t>
        </is>
      </c>
      <c r="H931" s="65" t="inlineStr">
        <is>
          <t>686</t>
        </is>
      </c>
      <c r="I931" s="65" t="inlineStr">
        <is>
          <t xml:space="preserve">C23824B </t>
        </is>
      </c>
      <c r="J931" s="65" t="inlineStr">
        <is>
          <t>N/D</t>
        </is>
      </c>
      <c r="K931" s="65" t="inlineStr">
        <is>
          <t>N/D</t>
        </is>
      </c>
      <c r="L931" s="127" t="inlineStr">
        <is>
          <t>REDOLFI F.LLI SRL</t>
        </is>
      </c>
      <c r="M931" s="5" t="n">
        <v>400</v>
      </c>
      <c r="N931" s="5" t="n"/>
      <c r="O931" s="5">
        <f>+M931+N931</f>
        <v/>
      </c>
      <c r="P931" s="86" t="n">
        <v>45629</v>
      </c>
      <c r="Q931" s="86" t="n">
        <v>45629</v>
      </c>
      <c r="R931" s="5" t="n">
        <v>445</v>
      </c>
      <c r="S931" s="2" t="n">
        <v>1</v>
      </c>
      <c r="T931" s="3" t="inlineStr">
        <is>
          <t>CA42796IR</t>
        </is>
      </c>
      <c r="U931" s="87" t="n">
        <v>45821</v>
      </c>
      <c r="V931" s="3" t="inlineStr">
        <is>
          <t>9</t>
        </is>
      </c>
      <c r="W931" s="108" t="n">
        <v>45821</v>
      </c>
      <c r="X931" s="4" t="inlineStr">
        <is>
          <t>PHILIPPOS COSTANTINIDES TRADING CO. LTD</t>
        </is>
      </c>
    </row>
    <row r="932" ht="24" customHeight="1">
      <c r="A932" s="2">
        <f>+D932-S932</f>
        <v/>
      </c>
      <c r="B932" s="80" t="n">
        <v>2592</v>
      </c>
      <c r="C932" s="66" t="n">
        <v>45632</v>
      </c>
      <c r="D932" s="2" t="n">
        <v>1</v>
      </c>
      <c r="E932" s="3" t="inlineStr">
        <is>
          <t>FUCILE SEMIAUTOMATICO</t>
        </is>
      </c>
      <c r="F932" s="3" t="inlineStr">
        <is>
          <t>12</t>
        </is>
      </c>
      <c r="G932" s="3" t="inlineStr">
        <is>
          <t>BENELLI</t>
        </is>
      </c>
      <c r="H932" s="65" t="inlineStr">
        <is>
          <t>SUPER 90</t>
        </is>
      </c>
      <c r="I932" s="65" t="inlineStr">
        <is>
          <t>M123284</t>
        </is>
      </c>
      <c r="J932" s="65" t="inlineStr">
        <is>
          <t xml:space="preserve">C184186 </t>
        </is>
      </c>
      <c r="K932" s="65" t="inlineStr">
        <is>
          <t>N/D</t>
        </is>
      </c>
      <c r="L932" s="127" t="inlineStr">
        <is>
          <t>REDOLFI F.LLI SRL</t>
        </is>
      </c>
      <c r="M932" s="5" t="n">
        <v>350</v>
      </c>
      <c r="N932" s="5" t="n"/>
      <c r="O932" s="5">
        <f>+M932+N932</f>
        <v/>
      </c>
      <c r="P932" s="86" t="n">
        <v>45629</v>
      </c>
      <c r="Q932" s="86" t="n">
        <v>45629</v>
      </c>
      <c r="R932" s="5" t="n">
        <v>390</v>
      </c>
      <c r="S932" s="2" t="n">
        <v>1</v>
      </c>
      <c r="T932" s="3" t="inlineStr">
        <is>
          <t>CA42796IR</t>
        </is>
      </c>
      <c r="U932" s="87" t="n">
        <v>45821</v>
      </c>
      <c r="V932" s="3" t="inlineStr">
        <is>
          <t>11</t>
        </is>
      </c>
      <c r="W932" s="108" t="n">
        <v>45821</v>
      </c>
      <c r="X932" s="4" t="inlineStr">
        <is>
          <t>PHILIPPOS COSTANTINIDES TRADING CO. LTD</t>
        </is>
      </c>
    </row>
    <row r="933" ht="24" customHeight="1">
      <c r="A933" s="2">
        <f>+D933-S933</f>
        <v/>
      </c>
      <c r="B933" s="80" t="n">
        <v>2593</v>
      </c>
      <c r="C933" s="66" t="n">
        <v>45632</v>
      </c>
      <c r="D933" s="2" t="n">
        <v>1</v>
      </c>
      <c r="E933" s="3" t="inlineStr">
        <is>
          <t>FUCILE DOPPIETTA</t>
        </is>
      </c>
      <c r="F933" s="3" t="inlineStr">
        <is>
          <t>12</t>
        </is>
      </c>
      <c r="G933" s="3" t="inlineStr">
        <is>
          <t>FRANCHI</t>
        </is>
      </c>
      <c r="H933" s="65" t="inlineStr">
        <is>
          <t>300</t>
        </is>
      </c>
      <c r="I933" s="107" t="inlineStr">
        <is>
          <t>35090E</t>
        </is>
      </c>
      <c r="J933" s="65" t="inlineStr">
        <is>
          <t>N/D</t>
        </is>
      </c>
      <c r="K933" s="65" t="inlineStr">
        <is>
          <t>N/D</t>
        </is>
      </c>
      <c r="L933" s="127" t="inlineStr">
        <is>
          <t>REDOLFI F.LLI SRL</t>
        </is>
      </c>
      <c r="M933" s="5" t="n">
        <v>125</v>
      </c>
      <c r="N933" s="5" t="n"/>
      <c r="O933" s="5">
        <f>+M933+N933</f>
        <v/>
      </c>
      <c r="P933" s="86" t="n">
        <v>45629</v>
      </c>
      <c r="Q933" s="86" t="n">
        <v>45629</v>
      </c>
      <c r="R933" s="5" t="n">
        <v>143</v>
      </c>
      <c r="S933" s="2" t="n">
        <v>1</v>
      </c>
      <c r="T933" s="3" t="inlineStr">
        <is>
          <t>CA42796IR</t>
        </is>
      </c>
      <c r="U933" s="87" t="n">
        <v>45821</v>
      </c>
      <c r="V933" s="3" t="inlineStr">
        <is>
          <t>14</t>
        </is>
      </c>
      <c r="W933" s="108" t="n">
        <v>45821</v>
      </c>
      <c r="X933" s="4" t="inlineStr">
        <is>
          <t>PHILIPPOS COSTANTINIDES TRADING CO. LTD</t>
        </is>
      </c>
    </row>
    <row r="934" ht="24" customHeight="1">
      <c r="A934" s="2">
        <f>+D934-S934</f>
        <v/>
      </c>
      <c r="B934" s="80" t="n">
        <v>2594</v>
      </c>
      <c r="C934" s="66" t="n">
        <v>45632</v>
      </c>
      <c r="D934" s="2" t="n">
        <v>1</v>
      </c>
      <c r="E934" s="3" t="inlineStr">
        <is>
          <t>FUCILE SEMIAUTOMATICO</t>
        </is>
      </c>
      <c r="F934" s="3" t="inlineStr">
        <is>
          <t>12</t>
        </is>
      </c>
      <c r="G934" s="3" t="inlineStr">
        <is>
          <t>BERETTA</t>
        </is>
      </c>
      <c r="H934" s="65" t="inlineStr">
        <is>
          <t>A303</t>
        </is>
      </c>
      <c r="I934" s="65" t="inlineStr">
        <is>
          <t>M43930E</t>
        </is>
      </c>
      <c r="J934" s="65" t="inlineStr">
        <is>
          <t xml:space="preserve">M46982F </t>
        </is>
      </c>
      <c r="K934" s="65" t="inlineStr">
        <is>
          <t>N/D</t>
        </is>
      </c>
      <c r="L934" s="127" t="inlineStr">
        <is>
          <t>REDOLFI F.LLI SRL</t>
        </is>
      </c>
      <c r="M934" s="5" t="n">
        <v>125</v>
      </c>
      <c r="N934" s="5" t="n"/>
      <c r="O934" s="5">
        <f>+M934+N934</f>
        <v/>
      </c>
      <c r="P934" s="86" t="n">
        <v>45629</v>
      </c>
      <c r="Q934" s="86" t="n">
        <v>45629</v>
      </c>
      <c r="R934" s="5" t="n">
        <v>143</v>
      </c>
      <c r="S934" s="2" t="n">
        <v>1</v>
      </c>
      <c r="T934" s="3" t="inlineStr">
        <is>
          <t>CA42796IR</t>
        </is>
      </c>
      <c r="U934" s="87" t="n">
        <v>45821</v>
      </c>
      <c r="V934" s="3" t="inlineStr">
        <is>
          <t>11</t>
        </is>
      </c>
      <c r="W934" s="108" t="n">
        <v>45821</v>
      </c>
      <c r="X934" s="4" t="inlineStr">
        <is>
          <t>PHILIPPOS COSTANTINIDES TRADING CO. LTD</t>
        </is>
      </c>
    </row>
    <row r="935" ht="24" customHeight="1">
      <c r="A935" s="2">
        <f>+D935-S935</f>
        <v/>
      </c>
      <c r="B935" s="80" t="n">
        <v>2595</v>
      </c>
      <c r="C935" s="66" t="n">
        <v>45632</v>
      </c>
      <c r="D935" s="2" t="n">
        <v>1</v>
      </c>
      <c r="E935" s="3" t="inlineStr">
        <is>
          <t>FUCILE DOPPIETTA</t>
        </is>
      </c>
      <c r="F935" s="3" t="inlineStr">
        <is>
          <t>12-12-5,6x50</t>
        </is>
      </c>
      <c r="G935" s="3" t="inlineStr">
        <is>
          <t>SIMPSON</t>
        </is>
      </c>
      <c r="H935" s="65" t="inlineStr">
        <is>
          <t>DRILLING 5.6X50</t>
        </is>
      </c>
      <c r="I935" s="65" t="inlineStr">
        <is>
          <t>987117</t>
        </is>
      </c>
      <c r="J935" s="65" t="inlineStr">
        <is>
          <t>N/D</t>
        </is>
      </c>
      <c r="K935" s="65" t="inlineStr">
        <is>
          <t>N/D</t>
        </is>
      </c>
      <c r="L935" s="127" t="inlineStr">
        <is>
          <t>REDOLFI F.LLI SRL</t>
        </is>
      </c>
      <c r="M935" s="5" t="n">
        <v>900</v>
      </c>
      <c r="N935" s="5" t="n"/>
      <c r="O935" s="5">
        <f>+M935+N935</f>
        <v/>
      </c>
      <c r="P935" s="86" t="n">
        <v>45629</v>
      </c>
      <c r="Q935" s="86" t="n">
        <v>45629</v>
      </c>
      <c r="R935" s="5" t="n">
        <v>995</v>
      </c>
      <c r="S935" s="2" t="n">
        <v>1</v>
      </c>
      <c r="T935" s="3" t="inlineStr">
        <is>
          <t>CA42796IR</t>
        </is>
      </c>
      <c r="U935" s="87" t="n">
        <v>45821</v>
      </c>
      <c r="V935" s="3" t="inlineStr">
        <is>
          <t>16</t>
        </is>
      </c>
      <c r="W935" s="108" t="n">
        <v>45821</v>
      </c>
      <c r="X935" s="4" t="inlineStr">
        <is>
          <t>PHILIPPOS COSTANTINIDES TRADING CO. LTD</t>
        </is>
      </c>
    </row>
    <row r="936" ht="24" customHeight="1">
      <c r="A936" s="2">
        <f>+D936-S936</f>
        <v/>
      </c>
      <c r="B936" s="80" t="n">
        <v>2596</v>
      </c>
      <c r="C936" s="66" t="n">
        <v>45632</v>
      </c>
      <c r="D936" s="2" t="n">
        <v>1</v>
      </c>
      <c r="E936" s="3" t="inlineStr">
        <is>
          <t>FUCILE SEMIAUTOMATICO</t>
        </is>
      </c>
      <c r="F936" s="3" t="inlineStr">
        <is>
          <t>12</t>
        </is>
      </c>
      <c r="G936" s="3" t="inlineStr">
        <is>
          <t>BENELLI</t>
        </is>
      </c>
      <c r="H936" s="65" t="inlineStr">
        <is>
          <t>CRIO</t>
        </is>
      </c>
      <c r="I936" s="65" t="inlineStr">
        <is>
          <t>F198317</t>
        </is>
      </c>
      <c r="J936" s="65" t="inlineStr">
        <is>
          <t>C873345</t>
        </is>
      </c>
      <c r="K936" s="65" t="inlineStr">
        <is>
          <t>N/D</t>
        </is>
      </c>
      <c r="L936" s="127" t="inlineStr">
        <is>
          <t>REDOLFI F.LLI SRL</t>
        </is>
      </c>
      <c r="M936" s="5" t="n">
        <v>850</v>
      </c>
      <c r="N936" s="5" t="n"/>
      <c r="O936" s="5">
        <f>+M936+N936</f>
        <v/>
      </c>
      <c r="P936" s="86" t="n">
        <v>45629</v>
      </c>
      <c r="Q936" s="86" t="n">
        <v>45629</v>
      </c>
      <c r="R936" s="5" t="n">
        <v>940</v>
      </c>
      <c r="S936" s="2" t="n">
        <v>1</v>
      </c>
      <c r="T936" s="3" t="inlineStr">
        <is>
          <t>CA42796IR</t>
        </is>
      </c>
      <c r="U936" s="87" t="n">
        <v>45821</v>
      </c>
      <c r="V936" s="3" t="inlineStr">
        <is>
          <t>11</t>
        </is>
      </c>
      <c r="W936" s="108" t="n">
        <v>45821</v>
      </c>
      <c r="X936" s="4" t="inlineStr">
        <is>
          <t>PHILIPPOS COSTANTINIDES TRADING CO. LTD</t>
        </is>
      </c>
    </row>
    <row r="937" ht="24" customHeight="1">
      <c r="A937" s="2">
        <f>+D937-S937</f>
        <v/>
      </c>
      <c r="B937" s="80" t="n">
        <v>2597</v>
      </c>
      <c r="C937" s="66" t="n">
        <v>45632</v>
      </c>
      <c r="D937" s="2" t="n">
        <v>1</v>
      </c>
      <c r="E937" s="3" t="inlineStr">
        <is>
          <t>FUCILE SEMIAUTOMATICO</t>
        </is>
      </c>
      <c r="F937" s="3" t="inlineStr">
        <is>
          <t>12</t>
        </is>
      </c>
      <c r="G937" s="3" t="inlineStr">
        <is>
          <t>BERETTA</t>
        </is>
      </c>
      <c r="H937" s="65" t="inlineStr">
        <is>
          <t>A300</t>
        </is>
      </c>
      <c r="I937" s="65" t="inlineStr">
        <is>
          <t>G87082</t>
        </is>
      </c>
      <c r="J937" s="65" t="inlineStr">
        <is>
          <t>A47569F</t>
        </is>
      </c>
      <c r="K937" s="65" t="inlineStr">
        <is>
          <t>N/D</t>
        </is>
      </c>
      <c r="L937" s="127" t="inlineStr">
        <is>
          <t>REDOLFI F.LLI SRL</t>
        </is>
      </c>
      <c r="M937" s="5" t="n">
        <v>125</v>
      </c>
      <c r="N937" s="5" t="n"/>
      <c r="O937" s="5">
        <f>+M937+N937</f>
        <v/>
      </c>
      <c r="P937" s="86" t="n">
        <v>45629</v>
      </c>
      <c r="Q937" s="86" t="n">
        <v>45629</v>
      </c>
      <c r="R937" s="5" t="n">
        <v>143</v>
      </c>
      <c r="S937" s="2" t="n">
        <v>1</v>
      </c>
      <c r="T937" s="3" t="inlineStr">
        <is>
          <t>CA42796IR</t>
        </is>
      </c>
      <c r="U937" s="87" t="n">
        <v>45821</v>
      </c>
      <c r="V937" s="3" t="inlineStr">
        <is>
          <t>11</t>
        </is>
      </c>
      <c r="W937" s="108" t="n">
        <v>45821</v>
      </c>
      <c r="X937" s="4" t="inlineStr">
        <is>
          <t>PHILIPPOS COSTANTINIDES TRADING CO. LTD</t>
        </is>
      </c>
    </row>
    <row r="938" ht="24" customHeight="1">
      <c r="A938" s="2">
        <f>+D938-S938</f>
        <v/>
      </c>
      <c r="B938" s="80" t="n">
        <v>2598</v>
      </c>
      <c r="C938" s="66" t="n">
        <v>45632</v>
      </c>
      <c r="D938" s="2" t="n">
        <v>1</v>
      </c>
      <c r="E938" s="3" t="inlineStr">
        <is>
          <t>FUCILE SEMIAUTOMATICO</t>
        </is>
      </c>
      <c r="F938" s="3" t="inlineStr">
        <is>
          <t>12</t>
        </is>
      </c>
      <c r="G938" s="3" t="inlineStr">
        <is>
          <t>BERETTA</t>
        </is>
      </c>
      <c r="H938" s="65" t="inlineStr">
        <is>
          <t>A302</t>
        </is>
      </c>
      <c r="I938" s="65" t="inlineStr">
        <is>
          <t>E20968E</t>
        </is>
      </c>
      <c r="J938" s="65" t="inlineStr">
        <is>
          <t>F28673F</t>
        </is>
      </c>
      <c r="K938" s="65" t="inlineStr">
        <is>
          <t>N/D</t>
        </is>
      </c>
      <c r="L938" s="127" t="inlineStr">
        <is>
          <t>REDOLFI F.LLI SRL</t>
        </is>
      </c>
      <c r="M938" s="5" t="n">
        <v>175</v>
      </c>
      <c r="N938" s="5" t="n"/>
      <c r="O938" s="5">
        <f>+M938+N938</f>
        <v/>
      </c>
      <c r="P938" s="86" t="n">
        <v>45629</v>
      </c>
      <c r="Q938" s="86" t="n">
        <v>45629</v>
      </c>
      <c r="R938" s="5" t="n">
        <v>198</v>
      </c>
      <c r="S938" s="2" t="n">
        <v>1</v>
      </c>
      <c r="T938" s="3" t="inlineStr">
        <is>
          <t>CA42796IR</t>
        </is>
      </c>
      <c r="U938" s="87" t="n">
        <v>45821</v>
      </c>
      <c r="V938" s="3" t="inlineStr">
        <is>
          <t>11</t>
        </is>
      </c>
      <c r="W938" s="108" t="n">
        <v>45821</v>
      </c>
      <c r="X938" s="4" t="inlineStr">
        <is>
          <t>PHILIPPOS COSTANTINIDES TRADING CO. LTD</t>
        </is>
      </c>
    </row>
    <row r="939" ht="24" customHeight="1">
      <c r="A939" s="2">
        <f>+D939-S939</f>
        <v/>
      </c>
      <c r="B939" s="80" t="n">
        <v>2599</v>
      </c>
      <c r="C939" s="66" t="n">
        <v>45632</v>
      </c>
      <c r="D939" s="2" t="n">
        <v>1</v>
      </c>
      <c r="E939" s="3" t="inlineStr">
        <is>
          <t>FUCILE SEMIAUTOMATICO</t>
        </is>
      </c>
      <c r="F939" s="3" t="inlineStr">
        <is>
          <t>12</t>
        </is>
      </c>
      <c r="G939" s="3" t="inlineStr">
        <is>
          <t>BERETTA</t>
        </is>
      </c>
      <c r="H939" s="65" t="inlineStr">
        <is>
          <t>A300</t>
        </is>
      </c>
      <c r="I939" s="65" t="inlineStr">
        <is>
          <t>A54325E</t>
        </is>
      </c>
      <c r="J939" s="65" t="inlineStr">
        <is>
          <t>B22373F</t>
        </is>
      </c>
      <c r="K939" s="65" t="inlineStr">
        <is>
          <t>N/D</t>
        </is>
      </c>
      <c r="L939" s="127" t="inlineStr">
        <is>
          <t>REDOLFI F.LLI SRL</t>
        </is>
      </c>
      <c r="M939" s="5" t="n">
        <v>150</v>
      </c>
      <c r="N939" s="5" t="n"/>
      <c r="O939" s="5">
        <f>+M939+N939</f>
        <v/>
      </c>
      <c r="P939" s="86" t="n">
        <v>45629</v>
      </c>
      <c r="Q939" s="86" t="n">
        <v>45629</v>
      </c>
      <c r="R939" s="5" t="n">
        <v>170</v>
      </c>
      <c r="S939" s="2" t="n">
        <v>1</v>
      </c>
      <c r="T939" s="3" t="inlineStr">
        <is>
          <t>CA42796IR</t>
        </is>
      </c>
      <c r="U939" s="87" t="n">
        <v>45821</v>
      </c>
      <c r="V939" s="3" t="inlineStr">
        <is>
          <t>11</t>
        </is>
      </c>
      <c r="W939" s="108" t="n">
        <v>45821</v>
      </c>
      <c r="X939" s="4" t="inlineStr">
        <is>
          <t>PHILIPPOS COSTANTINIDES TRADING CO. LTD</t>
        </is>
      </c>
    </row>
    <row r="940" ht="24" customHeight="1">
      <c r="A940" s="2">
        <f>+D940-S940</f>
        <v/>
      </c>
      <c r="B940" s="80" t="n">
        <v>2600</v>
      </c>
      <c r="C940" s="66" t="n">
        <v>45632</v>
      </c>
      <c r="D940" s="2" t="n">
        <v>1</v>
      </c>
      <c r="E940" s="3" t="inlineStr">
        <is>
          <t>FUCILE SOVRAPPOSTO</t>
        </is>
      </c>
      <c r="F940" s="3" t="inlineStr">
        <is>
          <t>12</t>
        </is>
      </c>
      <c r="G940" s="3" t="inlineStr">
        <is>
          <t>MAROCCHI</t>
        </is>
      </c>
      <c r="H940" s="65" t="inlineStr">
        <is>
          <t>N/D</t>
        </is>
      </c>
      <c r="I940" s="65" t="inlineStr">
        <is>
          <t>083475</t>
        </is>
      </c>
      <c r="J940" s="65" t="inlineStr">
        <is>
          <t>N/D</t>
        </is>
      </c>
      <c r="K940" s="65" t="inlineStr">
        <is>
          <t>N/D</t>
        </is>
      </c>
      <c r="L940" s="127" t="inlineStr">
        <is>
          <t>REDOLFI F.LLI SRL</t>
        </is>
      </c>
      <c r="M940" s="5" t="n">
        <v>150</v>
      </c>
      <c r="N940" s="5" t="n"/>
      <c r="O940" s="5">
        <f>+M940+N940</f>
        <v/>
      </c>
      <c r="P940" s="86" t="n">
        <v>45629</v>
      </c>
      <c r="Q940" s="86" t="n">
        <v>45629</v>
      </c>
      <c r="R940" s="5" t="n">
        <v>170</v>
      </c>
      <c r="S940" s="2" t="n">
        <v>1</v>
      </c>
      <c r="T940" s="3" t="inlineStr">
        <is>
          <t>CA42796IR</t>
        </is>
      </c>
      <c r="U940" s="87" t="n">
        <v>45821</v>
      </c>
      <c r="V940" s="3" t="inlineStr">
        <is>
          <t>9</t>
        </is>
      </c>
      <c r="W940" s="108" t="n">
        <v>45821</v>
      </c>
      <c r="X940" s="4" t="inlineStr">
        <is>
          <t>PHILIPPOS COSTANTINIDES TRADING CO. LTD</t>
        </is>
      </c>
    </row>
    <row r="941" ht="24" customHeight="1">
      <c r="A941" s="2">
        <f>+D941-S941</f>
        <v/>
      </c>
      <c r="B941" s="80" t="n">
        <v>2601</v>
      </c>
      <c r="C941" s="66" t="n">
        <v>45632</v>
      </c>
      <c r="D941" s="2" t="n">
        <v>1</v>
      </c>
      <c r="E941" s="3" t="inlineStr">
        <is>
          <t>FUCILE DOPPIETTA</t>
        </is>
      </c>
      <c r="F941" s="3" t="inlineStr">
        <is>
          <t>12</t>
        </is>
      </c>
      <c r="G941" s="3" t="inlineStr">
        <is>
          <t>FRANCHI</t>
        </is>
      </c>
      <c r="H941" s="65" t="inlineStr">
        <is>
          <t>N/D</t>
        </is>
      </c>
      <c r="I941" s="65" t="inlineStr">
        <is>
          <t>37856-E</t>
        </is>
      </c>
      <c r="J941" s="65" t="inlineStr">
        <is>
          <t>N/D</t>
        </is>
      </c>
      <c r="K941" s="65" t="inlineStr">
        <is>
          <t>N/D</t>
        </is>
      </c>
      <c r="L941" s="127" t="inlineStr">
        <is>
          <t>REDOLFI F.LLI SRL</t>
        </is>
      </c>
      <c r="M941" s="5" t="n">
        <v>150</v>
      </c>
      <c r="N941" s="5" t="n"/>
      <c r="O941" s="5">
        <f>+M941+N941</f>
        <v/>
      </c>
      <c r="P941" s="86" t="n">
        <v>45629</v>
      </c>
      <c r="Q941" s="86" t="n">
        <v>45629</v>
      </c>
      <c r="R941" s="5" t="n">
        <v>170</v>
      </c>
      <c r="S941" s="2" t="n">
        <v>1</v>
      </c>
      <c r="T941" s="3" t="inlineStr">
        <is>
          <t>CA42796IR</t>
        </is>
      </c>
      <c r="U941" s="87" t="n">
        <v>45821</v>
      </c>
      <c r="V941" s="3" t="inlineStr">
        <is>
          <t>14</t>
        </is>
      </c>
      <c r="W941" s="108" t="n">
        <v>45821</v>
      </c>
      <c r="X941" s="4" t="inlineStr">
        <is>
          <t>PHILIPPOS COSTANTINIDES TRADING CO. LTD</t>
        </is>
      </c>
    </row>
    <row r="942" ht="24" customHeight="1">
      <c r="A942" s="2">
        <f>+D942-S942</f>
        <v/>
      </c>
      <c r="B942" s="80" t="n">
        <v>2602</v>
      </c>
      <c r="C942" s="66" t="n">
        <v>45632</v>
      </c>
      <c r="D942" s="2" t="n">
        <v>1</v>
      </c>
      <c r="E942" s="3" t="inlineStr">
        <is>
          <t>FUCILE SEMIAUTOMATICO</t>
        </is>
      </c>
      <c r="F942" s="3" t="inlineStr">
        <is>
          <t>12</t>
        </is>
      </c>
      <c r="G942" s="3" t="inlineStr">
        <is>
          <t>BERETTA</t>
        </is>
      </c>
      <c r="H942" s="65" t="inlineStr">
        <is>
          <t>A301</t>
        </is>
      </c>
      <c r="I942" s="65" t="inlineStr">
        <is>
          <t>B60730E</t>
        </is>
      </c>
      <c r="J942" s="65" t="inlineStr">
        <is>
          <t>C30131F</t>
        </is>
      </c>
      <c r="K942" s="65" t="inlineStr">
        <is>
          <t>N/D</t>
        </is>
      </c>
      <c r="L942" s="127" t="inlineStr">
        <is>
          <t>REDOLFI F.LLI SRL</t>
        </is>
      </c>
      <c r="M942" s="5" t="n">
        <v>125</v>
      </c>
      <c r="N942" s="5" t="n"/>
      <c r="O942" s="5">
        <f>+M942+N942</f>
        <v/>
      </c>
      <c r="P942" s="86" t="n">
        <v>45629</v>
      </c>
      <c r="Q942" s="86" t="n">
        <v>45629</v>
      </c>
      <c r="R942" s="5" t="n">
        <v>143</v>
      </c>
      <c r="S942" s="2" t="n">
        <v>1</v>
      </c>
      <c r="T942" s="3" t="inlineStr">
        <is>
          <t>CA42796IR</t>
        </is>
      </c>
      <c r="U942" s="87" t="n">
        <v>45821</v>
      </c>
      <c r="V942" s="3" t="inlineStr">
        <is>
          <t>11</t>
        </is>
      </c>
      <c r="W942" s="108" t="n">
        <v>45821</v>
      </c>
      <c r="X942" s="4" t="inlineStr">
        <is>
          <t>PHILIPPOS COSTANTINIDES TRADING CO. LTD</t>
        </is>
      </c>
    </row>
    <row r="943" ht="24" customHeight="1">
      <c r="A943" s="2">
        <f>+D943-S943</f>
        <v/>
      </c>
      <c r="B943" s="80" t="n">
        <v>2603</v>
      </c>
      <c r="C943" s="66" t="n">
        <v>45632</v>
      </c>
      <c r="D943" s="2" t="n">
        <v>1</v>
      </c>
      <c r="E943" s="3" t="inlineStr">
        <is>
          <t>FUCILE SEMIAUTOMATICO</t>
        </is>
      </c>
      <c r="F943" s="3" t="inlineStr">
        <is>
          <t>12</t>
        </is>
      </c>
      <c r="G943" s="3" t="inlineStr">
        <is>
          <t>BERETTA</t>
        </is>
      </c>
      <c r="H943" s="65" t="inlineStr">
        <is>
          <t>A301</t>
        </is>
      </c>
      <c r="I943" s="65" t="inlineStr">
        <is>
          <t>F06236E</t>
        </is>
      </c>
      <c r="J943" s="65" t="inlineStr">
        <is>
          <t>G06129F</t>
        </is>
      </c>
      <c r="K943" s="65" t="inlineStr">
        <is>
          <t>N/D</t>
        </is>
      </c>
      <c r="L943" s="127" t="inlineStr">
        <is>
          <t>REDOLFI F.LLI SRL</t>
        </is>
      </c>
      <c r="M943" s="5" t="n">
        <v>125</v>
      </c>
      <c r="N943" s="5" t="n"/>
      <c r="O943" s="5">
        <f>+M943+N943</f>
        <v/>
      </c>
      <c r="P943" s="86" t="n">
        <v>45629</v>
      </c>
      <c r="Q943" s="86" t="n">
        <v>45629</v>
      </c>
      <c r="R943" s="5" t="n">
        <v>143</v>
      </c>
      <c r="S943" s="2" t="n">
        <v>1</v>
      </c>
      <c r="T943" s="3" t="inlineStr">
        <is>
          <t>CA42796IR</t>
        </is>
      </c>
      <c r="U943" s="87" t="n">
        <v>45821</v>
      </c>
      <c r="V943" s="3" t="inlineStr">
        <is>
          <t>11</t>
        </is>
      </c>
      <c r="W943" s="108" t="n">
        <v>45821</v>
      </c>
      <c r="X943" s="4" t="inlineStr">
        <is>
          <t>PHILIPPOS COSTANTINIDES TRADING CO. LTD</t>
        </is>
      </c>
    </row>
    <row r="944" ht="24" customHeight="1">
      <c r="A944" s="2">
        <f>+D944-S944</f>
        <v/>
      </c>
      <c r="B944" s="80" t="n">
        <v>2604</v>
      </c>
      <c r="C944" s="66" t="n">
        <v>45632</v>
      </c>
      <c r="D944" s="2" t="n">
        <v>1</v>
      </c>
      <c r="E944" s="3" t="inlineStr">
        <is>
          <t>FUCILE SEMIAUTOMATICO</t>
        </is>
      </c>
      <c r="F944" s="3" t="inlineStr">
        <is>
          <t>12</t>
        </is>
      </c>
      <c r="G944" s="3" t="inlineStr">
        <is>
          <t>BERETTA</t>
        </is>
      </c>
      <c r="H944" s="65" t="inlineStr">
        <is>
          <t>A301</t>
        </is>
      </c>
      <c r="I944" s="65" t="inlineStr">
        <is>
          <t>B85720E</t>
        </is>
      </c>
      <c r="J944" s="65" t="inlineStr">
        <is>
          <t>G23954F</t>
        </is>
      </c>
      <c r="K944" s="65" t="inlineStr">
        <is>
          <t>N/D</t>
        </is>
      </c>
      <c r="L944" s="127" t="inlineStr">
        <is>
          <t>REDOLFI F.LLI SRL</t>
        </is>
      </c>
      <c r="M944" s="5" t="n">
        <v>140</v>
      </c>
      <c r="N944" s="5" t="n"/>
      <c r="O944" s="5">
        <f>+M944+N944</f>
        <v/>
      </c>
      <c r="P944" s="86" t="n">
        <v>45629</v>
      </c>
      <c r="Q944" s="86" t="n">
        <v>45629</v>
      </c>
      <c r="R944" s="5" t="n">
        <v>159</v>
      </c>
      <c r="S944" s="2" t="n">
        <v>1</v>
      </c>
      <c r="T944" s="3" t="inlineStr">
        <is>
          <t>CA42796IR</t>
        </is>
      </c>
      <c r="U944" s="87" t="n">
        <v>45821</v>
      </c>
      <c r="V944" s="3" t="inlineStr">
        <is>
          <t>11</t>
        </is>
      </c>
      <c r="W944" s="108" t="n">
        <v>45821</v>
      </c>
      <c r="X944" s="4" t="inlineStr">
        <is>
          <t>PHILIPPOS COSTANTINIDES TRADING CO. LTD</t>
        </is>
      </c>
    </row>
    <row r="945" ht="24" customHeight="1">
      <c r="A945" s="2">
        <f>+D945-S945</f>
        <v/>
      </c>
      <c r="B945" s="80" t="n">
        <v>2605</v>
      </c>
      <c r="C945" s="66" t="n">
        <v>45632</v>
      </c>
      <c r="D945" s="2" t="n">
        <v>1</v>
      </c>
      <c r="E945" s="3" t="inlineStr">
        <is>
          <t>FUCILE SEMIAUTOMATICO</t>
        </is>
      </c>
      <c r="F945" s="3" t="inlineStr">
        <is>
          <t>12</t>
        </is>
      </c>
      <c r="G945" s="3" t="inlineStr">
        <is>
          <t>BERETTA</t>
        </is>
      </c>
      <c r="H945" s="65" t="inlineStr">
        <is>
          <t>A301</t>
        </is>
      </c>
      <c r="I945" s="65" t="inlineStr">
        <is>
          <t>B84098E</t>
        </is>
      </c>
      <c r="J945" s="65" t="inlineStr">
        <is>
          <t>C56168F</t>
        </is>
      </c>
      <c r="K945" s="65" t="inlineStr">
        <is>
          <t>N/D</t>
        </is>
      </c>
      <c r="L945" s="127" t="inlineStr">
        <is>
          <t>REDOLFI F.LLI SRL</t>
        </is>
      </c>
      <c r="M945" s="5" t="n">
        <v>140</v>
      </c>
      <c r="N945" s="5" t="n"/>
      <c r="O945" s="5">
        <f>+M945+N945</f>
        <v/>
      </c>
      <c r="P945" s="86" t="n">
        <v>45629</v>
      </c>
      <c r="Q945" s="86" t="n">
        <v>45629</v>
      </c>
      <c r="R945" s="5" t="n">
        <v>159</v>
      </c>
      <c r="S945" s="2" t="n">
        <v>1</v>
      </c>
      <c r="T945" s="3" t="inlineStr">
        <is>
          <t>CA42796IR</t>
        </is>
      </c>
      <c r="U945" s="87" t="n">
        <v>45821</v>
      </c>
      <c r="V945" s="3" t="inlineStr">
        <is>
          <t>11</t>
        </is>
      </c>
      <c r="W945" s="108" t="n">
        <v>45821</v>
      </c>
      <c r="X945" s="4" t="inlineStr">
        <is>
          <t>PHILIPPOS COSTANTINIDES TRADING CO. LTD</t>
        </is>
      </c>
    </row>
    <row r="946" ht="24" customHeight="1">
      <c r="A946" s="2">
        <f>+D946-S946</f>
        <v/>
      </c>
      <c r="B946" s="80" t="n">
        <v>2606</v>
      </c>
      <c r="C946" s="66" t="n">
        <v>45632</v>
      </c>
      <c r="D946" s="2" t="n">
        <v>1</v>
      </c>
      <c r="E946" s="3" t="inlineStr">
        <is>
          <t>FUCILE SEMIAUTOMATICO</t>
        </is>
      </c>
      <c r="F946" s="3" t="inlineStr">
        <is>
          <t>12</t>
        </is>
      </c>
      <c r="G946" s="3" t="inlineStr">
        <is>
          <t>BROWNING</t>
        </is>
      </c>
      <c r="H946" s="65" t="inlineStr">
        <is>
          <t>N/D</t>
        </is>
      </c>
      <c r="I946" s="65" t="inlineStr">
        <is>
          <t>657256</t>
        </is>
      </c>
      <c r="J946" s="65" t="inlineStr">
        <is>
          <t>44232</t>
        </is>
      </c>
      <c r="K946" s="65" t="inlineStr">
        <is>
          <t>N/D</t>
        </is>
      </c>
      <c r="L946" s="127" t="inlineStr">
        <is>
          <t>REDOLFI F.LLI SRL</t>
        </is>
      </c>
      <c r="M946" s="5" t="n">
        <v>50</v>
      </c>
      <c r="N946" s="5" t="n"/>
      <c r="O946" s="5">
        <f>+M946+N946</f>
        <v/>
      </c>
      <c r="P946" s="86" t="n">
        <v>45629</v>
      </c>
      <c r="Q946" s="86" t="n">
        <v>45629</v>
      </c>
      <c r="R946" s="5" t="n">
        <v>60</v>
      </c>
      <c r="S946" s="2" t="n">
        <v>1</v>
      </c>
      <c r="T946" s="3" t="inlineStr">
        <is>
          <t>CA42796IR</t>
        </is>
      </c>
      <c r="U946" s="87" t="n">
        <v>45821</v>
      </c>
      <c r="V946" s="3" t="inlineStr">
        <is>
          <t>12</t>
        </is>
      </c>
      <c r="W946" s="108" t="n">
        <v>45821</v>
      </c>
      <c r="X946" s="4" t="inlineStr">
        <is>
          <t>PHILIPPOS COSTANTINIDES TRADING CO. LTD</t>
        </is>
      </c>
    </row>
    <row r="947" ht="24" customHeight="1">
      <c r="A947" s="2">
        <f>+D947-S947</f>
        <v/>
      </c>
      <c r="B947" s="80" t="n">
        <v>2607</v>
      </c>
      <c r="C947" s="66" t="n">
        <v>45632</v>
      </c>
      <c r="D947" s="2" t="n">
        <v>1</v>
      </c>
      <c r="E947" s="3" t="inlineStr">
        <is>
          <t>FUCILE SOVRAPPOSTO</t>
        </is>
      </c>
      <c r="F947" s="3" t="inlineStr">
        <is>
          <t>12</t>
        </is>
      </c>
      <c r="G947" s="3" t="inlineStr">
        <is>
          <t>PEDRETTI</t>
        </is>
      </c>
      <c r="H947" s="65" t="inlineStr">
        <is>
          <t>N/D</t>
        </is>
      </c>
      <c r="I947" s="65" t="inlineStr">
        <is>
          <t>184779</t>
        </is>
      </c>
      <c r="J947" s="65" t="inlineStr">
        <is>
          <t>N/D</t>
        </is>
      </c>
      <c r="K947" s="65" t="inlineStr">
        <is>
          <t>N/D</t>
        </is>
      </c>
      <c r="L947" s="127" t="inlineStr">
        <is>
          <t>REDOLFI F.LLI SRL</t>
        </is>
      </c>
      <c r="M947" s="5" t="n">
        <v>150</v>
      </c>
      <c r="N947" s="5" t="n"/>
      <c r="O947" s="5">
        <f>+M947+N947</f>
        <v/>
      </c>
      <c r="P947" s="86" t="n">
        <v>45629</v>
      </c>
      <c r="Q947" s="86" t="n">
        <v>45629</v>
      </c>
      <c r="R947" s="5" t="n">
        <v>170</v>
      </c>
      <c r="S947" s="2" t="n">
        <v>1</v>
      </c>
      <c r="T947" s="3" t="inlineStr">
        <is>
          <t>CA42796IR</t>
        </is>
      </c>
      <c r="U947" s="87" t="n">
        <v>45821</v>
      </c>
      <c r="V947" s="3" t="inlineStr">
        <is>
          <t>9</t>
        </is>
      </c>
      <c r="W947" s="108" t="n">
        <v>45821</v>
      </c>
      <c r="X947" s="4" t="inlineStr">
        <is>
          <t>PHILIPPOS COSTANTINIDES TRADING CO. LTD</t>
        </is>
      </c>
    </row>
    <row r="948" ht="24" customHeight="1">
      <c r="A948" s="2">
        <f>+D948-S948</f>
        <v/>
      </c>
      <c r="B948" s="80" t="n">
        <v>2608</v>
      </c>
      <c r="C948" s="66" t="n">
        <v>45632</v>
      </c>
      <c r="D948" s="2" t="n">
        <v>1</v>
      </c>
      <c r="E948" s="3" t="inlineStr">
        <is>
          <t>FUCILE SOVRAPPOSTO</t>
        </is>
      </c>
      <c r="F948" s="3" t="inlineStr">
        <is>
          <t>12</t>
        </is>
      </c>
      <c r="G948" s="3" t="inlineStr">
        <is>
          <t>BERETTA</t>
        </is>
      </c>
      <c r="H948" s="65" t="inlineStr">
        <is>
          <t>S55</t>
        </is>
      </c>
      <c r="I948" s="65" t="inlineStr">
        <is>
          <t>B73671</t>
        </is>
      </c>
      <c r="J948" s="65" t="inlineStr">
        <is>
          <t>N/D</t>
        </is>
      </c>
      <c r="K948" s="65" t="inlineStr">
        <is>
          <t>N/D</t>
        </is>
      </c>
      <c r="L948" s="127" t="inlineStr">
        <is>
          <t>REDOLFI F.LLI SRL</t>
        </is>
      </c>
      <c r="M948" s="5" t="n">
        <v>100</v>
      </c>
      <c r="N948" s="5" t="n"/>
      <c r="O948" s="5">
        <f>+M948+N948</f>
        <v/>
      </c>
      <c r="P948" s="86" t="n">
        <v>45629</v>
      </c>
      <c r="Q948" s="86" t="n">
        <v>45629</v>
      </c>
      <c r="R948" s="5" t="n">
        <v>115</v>
      </c>
      <c r="S948" s="2" t="n">
        <v>1</v>
      </c>
      <c r="T948" s="3" t="inlineStr">
        <is>
          <t>CA42796IR</t>
        </is>
      </c>
      <c r="U948" s="87" t="n">
        <v>45821</v>
      </c>
      <c r="V948" s="3" t="inlineStr">
        <is>
          <t>9</t>
        </is>
      </c>
      <c r="W948" s="108" t="n">
        <v>45821</v>
      </c>
      <c r="X948" s="4" t="inlineStr">
        <is>
          <t>PHILIPPOS COSTANTINIDES TRADING CO. LTD</t>
        </is>
      </c>
    </row>
    <row r="949" ht="24" customHeight="1">
      <c r="A949" s="2">
        <f>+D949-S949</f>
        <v/>
      </c>
      <c r="B949" s="80" t="n">
        <v>2609</v>
      </c>
      <c r="C949" s="66" t="n">
        <v>45632</v>
      </c>
      <c r="D949" s="2" t="n">
        <v>1</v>
      </c>
      <c r="E949" s="3" t="inlineStr">
        <is>
          <t>FUCILE SEMIAUTOMATICO</t>
        </is>
      </c>
      <c r="F949" s="3" t="inlineStr">
        <is>
          <t>12</t>
        </is>
      </c>
      <c r="G949" s="3" t="inlineStr">
        <is>
          <t>BENELLI</t>
        </is>
      </c>
      <c r="H949" s="65" t="inlineStr">
        <is>
          <t>RAFAELLO</t>
        </is>
      </c>
      <c r="I949" s="65" t="inlineStr">
        <is>
          <t>F002885</t>
        </is>
      </c>
      <c r="J949" s="65" t="inlineStr">
        <is>
          <t>C051688</t>
        </is>
      </c>
      <c r="K949" s="65" t="inlineStr">
        <is>
          <t>N/D</t>
        </is>
      </c>
      <c r="L949" s="127" t="inlineStr">
        <is>
          <t>REDOLFI F.LLI SRL</t>
        </is>
      </c>
      <c r="M949" s="5" t="n">
        <v>125</v>
      </c>
      <c r="N949" s="5" t="n"/>
      <c r="O949" s="5">
        <f>+M949+N949</f>
        <v/>
      </c>
      <c r="P949" s="86" t="n">
        <v>45629</v>
      </c>
      <c r="Q949" s="86" t="n">
        <v>45629</v>
      </c>
      <c r="R949" s="5" t="n">
        <v>143</v>
      </c>
      <c r="S949" s="2" t="n">
        <v>1</v>
      </c>
      <c r="T949" s="3" t="inlineStr">
        <is>
          <t>CA42796IR</t>
        </is>
      </c>
      <c r="U949" s="87" t="n">
        <v>45821</v>
      </c>
      <c r="V949" s="3" t="inlineStr">
        <is>
          <t>11</t>
        </is>
      </c>
      <c r="W949" s="108" t="n">
        <v>45821</v>
      </c>
      <c r="X949" s="4" t="inlineStr">
        <is>
          <t>PHILIPPOS COSTANTINIDES TRADING CO. LTD</t>
        </is>
      </c>
    </row>
    <row r="950" ht="24" customHeight="1">
      <c r="A950" s="2">
        <f>+D950-S950</f>
        <v/>
      </c>
      <c r="B950" s="80" t="n">
        <v>2610</v>
      </c>
      <c r="C950" s="66" t="n">
        <v>45632</v>
      </c>
      <c r="D950" s="2" t="n">
        <v>1</v>
      </c>
      <c r="E950" s="3" t="inlineStr">
        <is>
          <t>FUCILE SEMIAUTOMATICO</t>
        </is>
      </c>
      <c r="F950" s="3" t="inlineStr">
        <is>
          <t>12</t>
        </is>
      </c>
      <c r="G950" s="3" t="inlineStr">
        <is>
          <t>BENELLI</t>
        </is>
      </c>
      <c r="H950" s="65" t="inlineStr">
        <is>
          <t>RAFAELLO</t>
        </is>
      </c>
      <c r="I950" s="65" t="inlineStr">
        <is>
          <t>F039892</t>
        </is>
      </c>
      <c r="J950" s="65" t="inlineStr">
        <is>
          <t>C150791</t>
        </is>
      </c>
      <c r="K950" s="65" t="inlineStr">
        <is>
          <t>N/D</t>
        </is>
      </c>
      <c r="L950" s="127" t="inlineStr">
        <is>
          <t>REDOLFI F.LLI SRL</t>
        </is>
      </c>
      <c r="M950" s="5" t="n">
        <v>200</v>
      </c>
      <c r="N950" s="5" t="n"/>
      <c r="O950" s="5">
        <f>+M950+N950</f>
        <v/>
      </c>
      <c r="P950" s="86" t="n">
        <v>45629</v>
      </c>
      <c r="Q950" s="86" t="n">
        <v>45629</v>
      </c>
      <c r="R950" s="5" t="n">
        <v>225</v>
      </c>
      <c r="S950" s="2" t="n">
        <v>1</v>
      </c>
      <c r="T950" s="3" t="inlineStr">
        <is>
          <t>CA42796IR</t>
        </is>
      </c>
      <c r="U950" s="87" t="n">
        <v>45821</v>
      </c>
      <c r="V950" s="3" t="inlineStr">
        <is>
          <t>11</t>
        </is>
      </c>
      <c r="W950" s="108" t="n">
        <v>45821</v>
      </c>
      <c r="X950" s="4" t="inlineStr">
        <is>
          <t>PHILIPPOS COSTANTINIDES TRADING CO. LTD</t>
        </is>
      </c>
    </row>
    <row r="951" ht="24" customHeight="1">
      <c r="A951" s="2">
        <f>+D951-S951</f>
        <v/>
      </c>
      <c r="B951" s="80" t="n">
        <v>2611</v>
      </c>
      <c r="C951" s="66" t="n">
        <v>45632</v>
      </c>
      <c r="D951" s="2" t="n">
        <v>1</v>
      </c>
      <c r="E951" s="3" t="inlineStr">
        <is>
          <t>FUCILE DOPPIETTA</t>
        </is>
      </c>
      <c r="F951" s="3" t="inlineStr">
        <is>
          <t>12</t>
        </is>
      </c>
      <c r="G951" s="3" t="inlineStr">
        <is>
          <t>BELGA</t>
        </is>
      </c>
      <c r="H951" s="65" t="inlineStr">
        <is>
          <t>ARTIGIANALE A CANI ESTERNI</t>
        </is>
      </c>
      <c r="I951" s="65" t="inlineStr">
        <is>
          <t>19950</t>
        </is>
      </c>
      <c r="J951" s="65" t="inlineStr">
        <is>
          <t>N/D</t>
        </is>
      </c>
      <c r="K951" s="65" t="inlineStr">
        <is>
          <t>N/D</t>
        </is>
      </c>
      <c r="L951" s="127" t="inlineStr">
        <is>
          <t>REDOLFI F.LLI SRL</t>
        </is>
      </c>
      <c r="M951" s="5" t="n">
        <v>75</v>
      </c>
      <c r="N951" s="5" t="n"/>
      <c r="O951" s="5">
        <f>+M951+N951</f>
        <v/>
      </c>
      <c r="P951" s="86" t="n">
        <v>45629</v>
      </c>
      <c r="Q951" s="86" t="n">
        <v>45629</v>
      </c>
      <c r="R951" s="5" t="n">
        <v>88</v>
      </c>
      <c r="S951" s="2" t="n">
        <v>1</v>
      </c>
      <c r="T951" s="3" t="inlineStr">
        <is>
          <t>CA42796IR</t>
        </is>
      </c>
      <c r="U951" s="87" t="n">
        <v>45821</v>
      </c>
      <c r="V951" s="3" t="inlineStr">
        <is>
          <t>12</t>
        </is>
      </c>
      <c r="W951" s="108" t="n">
        <v>45821</v>
      </c>
      <c r="X951" s="4" t="inlineStr">
        <is>
          <t>PHILIPPOS COSTANTINIDES TRADING CO. LTD</t>
        </is>
      </c>
    </row>
    <row r="952" ht="24" customHeight="1">
      <c r="A952" s="2">
        <f>+D952-S952</f>
        <v/>
      </c>
      <c r="B952" s="80" t="n">
        <v>2612</v>
      </c>
      <c r="C952" s="66" t="n">
        <v>45632</v>
      </c>
      <c r="D952" s="2" t="n">
        <v>1</v>
      </c>
      <c r="E952" s="3" t="inlineStr">
        <is>
          <t>FUCILE SEMIAUTOMATICO</t>
        </is>
      </c>
      <c r="F952" s="3" t="inlineStr">
        <is>
          <t>12</t>
        </is>
      </c>
      <c r="G952" s="3" t="inlineStr">
        <is>
          <t>BERETTA</t>
        </is>
      </c>
      <c r="H952" s="65" t="inlineStr">
        <is>
          <t>A300</t>
        </is>
      </c>
      <c r="I952" s="65" t="inlineStr">
        <is>
          <t>A00748E</t>
        </is>
      </c>
      <c r="J952" s="65" t="inlineStr">
        <is>
          <t>A60811F</t>
        </is>
      </c>
      <c r="K952" s="65" t="inlineStr">
        <is>
          <t>N/D</t>
        </is>
      </c>
      <c r="L952" s="127" t="inlineStr">
        <is>
          <t>REDOLFI F.LLI SRL</t>
        </is>
      </c>
      <c r="M952" s="5" t="n">
        <v>100</v>
      </c>
      <c r="N952" s="5" t="n"/>
      <c r="O952" s="5">
        <f>+M952+N952</f>
        <v/>
      </c>
      <c r="P952" s="86" t="n">
        <v>45629</v>
      </c>
      <c r="Q952" s="86" t="n">
        <v>45629</v>
      </c>
      <c r="R952" s="5" t="n">
        <v>115</v>
      </c>
      <c r="S952" s="2" t="n">
        <v>1</v>
      </c>
      <c r="T952" s="3" t="inlineStr">
        <is>
          <t>CA42796IR</t>
        </is>
      </c>
      <c r="U952" s="87" t="n">
        <v>45821</v>
      </c>
      <c r="V952" s="3" t="inlineStr">
        <is>
          <t>11</t>
        </is>
      </c>
      <c r="W952" s="108" t="n">
        <v>45821</v>
      </c>
      <c r="X952" s="4" t="inlineStr">
        <is>
          <t>PHILIPPOS COSTANTINIDES TRADING CO. LTD</t>
        </is>
      </c>
    </row>
    <row r="953" ht="24" customHeight="1">
      <c r="A953" s="2">
        <f>+D953-S953</f>
        <v/>
      </c>
      <c r="B953" s="80" t="n">
        <v>2613</v>
      </c>
      <c r="C953" s="66" t="n">
        <v>45632</v>
      </c>
      <c r="D953" s="2" t="n">
        <v>1</v>
      </c>
      <c r="E953" s="3" t="inlineStr">
        <is>
          <t>CARABINA</t>
        </is>
      </c>
      <c r="F953" s="3" t="inlineStr">
        <is>
          <t>.22LR</t>
        </is>
      </c>
      <c r="G953" s="3" t="inlineStr">
        <is>
          <t>BERETTA</t>
        </is>
      </c>
      <c r="H953" s="65" t="inlineStr">
        <is>
          <t>OLIMPIA SPORT</t>
        </is>
      </c>
      <c r="I953" s="65" t="inlineStr">
        <is>
          <t>C20403</t>
        </is>
      </c>
      <c r="J953" s="65" t="inlineStr">
        <is>
          <t>N/D</t>
        </is>
      </c>
      <c r="K953" s="65" t="inlineStr">
        <is>
          <t>N/D</t>
        </is>
      </c>
      <c r="L953" s="127" t="inlineStr">
        <is>
          <t>REDOLFI F.LLI SRL</t>
        </is>
      </c>
      <c r="M953" s="5" t="n">
        <v>40</v>
      </c>
      <c r="N953" s="5" t="n"/>
      <c r="O953" s="5">
        <f>+M953+N953</f>
        <v/>
      </c>
      <c r="P953" s="86" t="n">
        <v>45629</v>
      </c>
      <c r="Q953" s="86" t="n">
        <v>45629</v>
      </c>
      <c r="R953" s="5" t="n"/>
      <c r="S953" s="2" t="n"/>
      <c r="T953" s="3" t="n"/>
      <c r="U953" s="87" t="n"/>
      <c r="V953" s="3" t="n"/>
      <c r="W953" s="108" t="n"/>
      <c r="X953" s="4" t="n"/>
    </row>
    <row r="954" ht="24" customHeight="1">
      <c r="A954" s="2">
        <f>+D954-S954</f>
        <v/>
      </c>
      <c r="B954" s="80" t="n">
        <v>2614</v>
      </c>
      <c r="C954" s="66" t="n">
        <v>45632</v>
      </c>
      <c r="D954" s="2" t="n">
        <v>1</v>
      </c>
      <c r="E954" s="3" t="inlineStr">
        <is>
          <t>CARABINA</t>
        </is>
      </c>
      <c r="F954" s="3" t="inlineStr">
        <is>
          <t>.22LR</t>
        </is>
      </c>
      <c r="G954" s="3" t="inlineStr">
        <is>
          <t>BERETTA</t>
        </is>
      </c>
      <c r="H954" s="65" t="inlineStr">
        <is>
          <t>OLIMPIA SPORT</t>
        </is>
      </c>
      <c r="I954" s="65" t="inlineStr">
        <is>
          <t>6626</t>
        </is>
      </c>
      <c r="J954" s="65" t="inlineStr">
        <is>
          <t>N/D</t>
        </is>
      </c>
      <c r="K954" s="65" t="inlineStr">
        <is>
          <t>N/D</t>
        </is>
      </c>
      <c r="L954" s="127" t="inlineStr">
        <is>
          <t>REDOLFI F.LLI SRL</t>
        </is>
      </c>
      <c r="M954" s="5" t="n">
        <v>50</v>
      </c>
      <c r="N954" s="5" t="n"/>
      <c r="O954" s="5">
        <f>+M954+N954</f>
        <v/>
      </c>
      <c r="P954" s="86" t="n">
        <v>45629</v>
      </c>
      <c r="Q954" s="86" t="n">
        <v>45629</v>
      </c>
      <c r="R954" s="5" t="n"/>
      <c r="S954" s="2" t="n"/>
      <c r="T954" s="3" t="n"/>
      <c r="U954" s="87" t="n"/>
      <c r="V954" s="3" t="n"/>
      <c r="W954" s="108" t="n"/>
      <c r="X954" s="4" t="n"/>
    </row>
    <row r="955" ht="24" customHeight="1">
      <c r="A955" s="2">
        <f>+D955-S955</f>
        <v/>
      </c>
      <c r="B955" s="80" t="n">
        <v>2615</v>
      </c>
      <c r="C955" s="66" t="n">
        <v>45632</v>
      </c>
      <c r="D955" s="2" t="n">
        <v>1</v>
      </c>
      <c r="E955" s="3" t="inlineStr">
        <is>
          <t>CARABINA</t>
        </is>
      </c>
      <c r="F955" s="3" t="inlineStr">
        <is>
          <t>.22LR</t>
        </is>
      </c>
      <c r="G955" s="3" t="inlineStr">
        <is>
          <t>BERETTA</t>
        </is>
      </c>
      <c r="H955" s="65" t="inlineStr">
        <is>
          <t>OLIMPIA SPORT</t>
        </is>
      </c>
      <c r="I955" s="65" t="inlineStr">
        <is>
          <t>D11877</t>
        </is>
      </c>
      <c r="J955" s="65" t="inlineStr">
        <is>
          <t>N/D</t>
        </is>
      </c>
      <c r="K955" s="65" t="inlineStr">
        <is>
          <t>N/D</t>
        </is>
      </c>
      <c r="L955" s="127" t="inlineStr">
        <is>
          <t>REDOLFI F.LLI SRL</t>
        </is>
      </c>
      <c r="M955" s="5" t="n">
        <v>50</v>
      </c>
      <c r="N955" s="5" t="n"/>
      <c r="O955" s="5">
        <f>+M955+N955</f>
        <v/>
      </c>
      <c r="P955" s="86" t="n">
        <v>45629</v>
      </c>
      <c r="Q955" s="86" t="n">
        <v>45629</v>
      </c>
      <c r="R955" s="5" t="n"/>
      <c r="S955" s="2" t="n"/>
      <c r="T955" s="3" t="n"/>
      <c r="U955" s="87" t="n"/>
      <c r="V955" s="3" t="n"/>
      <c r="W955" s="108" t="n"/>
      <c r="X955" s="4" t="n"/>
    </row>
    <row r="956" ht="24" customHeight="1">
      <c r="A956" s="2">
        <f>+D956-S956</f>
        <v/>
      </c>
      <c r="B956" s="80" t="n">
        <v>2616</v>
      </c>
      <c r="C956" s="66" t="n">
        <v>45632</v>
      </c>
      <c r="D956" s="2" t="n">
        <v>1</v>
      </c>
      <c r="E956" s="3" t="inlineStr">
        <is>
          <t>CARABINA</t>
        </is>
      </c>
      <c r="F956" s="3" t="inlineStr">
        <is>
          <t>.22LR</t>
        </is>
      </c>
      <c r="G956" s="3" t="inlineStr">
        <is>
          <t>BERETTA</t>
        </is>
      </c>
      <c r="H956" s="65" t="inlineStr">
        <is>
          <t>OLIMPIA SPORT</t>
        </is>
      </c>
      <c r="I956" s="65" t="inlineStr">
        <is>
          <t>D8376</t>
        </is>
      </c>
      <c r="J956" s="65" t="inlineStr">
        <is>
          <t>N/D</t>
        </is>
      </c>
      <c r="K956" s="65" t="inlineStr">
        <is>
          <t>N/D</t>
        </is>
      </c>
      <c r="L956" s="127" t="inlineStr">
        <is>
          <t>REDOLFI F.LLI SRL</t>
        </is>
      </c>
      <c r="M956" s="5" t="n">
        <v>50</v>
      </c>
      <c r="N956" s="5" t="n"/>
      <c r="O956" s="5">
        <f>+M956+N956</f>
        <v/>
      </c>
      <c r="P956" s="86" t="n">
        <v>45629</v>
      </c>
      <c r="Q956" s="86" t="n">
        <v>45629</v>
      </c>
      <c r="R956" s="5" t="n"/>
      <c r="S956" s="2" t="n"/>
      <c r="T956" s="3" t="n"/>
      <c r="U956" s="87" t="n"/>
      <c r="V956" s="3" t="n"/>
      <c r="W956" s="108" t="n"/>
      <c r="X956" s="4" t="n"/>
    </row>
    <row r="957" ht="24" customHeight="1">
      <c r="A957" s="2">
        <f>+D957-S957</f>
        <v/>
      </c>
      <c r="B957" s="80" t="n">
        <v>2617</v>
      </c>
      <c r="C957" s="66" t="n">
        <v>45632</v>
      </c>
      <c r="D957" s="2" t="n">
        <v>1</v>
      </c>
      <c r="E957" s="3" t="inlineStr">
        <is>
          <t>CARABINA</t>
        </is>
      </c>
      <c r="F957" s="3" t="inlineStr">
        <is>
          <t>.22LR</t>
        </is>
      </c>
      <c r="G957" s="3" t="inlineStr">
        <is>
          <t>BERETTA</t>
        </is>
      </c>
      <c r="H957" s="65" t="inlineStr">
        <is>
          <t>OLIMPIA SPORT</t>
        </is>
      </c>
      <c r="I957" s="65" t="inlineStr">
        <is>
          <t>D6978</t>
        </is>
      </c>
      <c r="J957" s="65" t="inlineStr">
        <is>
          <t>N/D</t>
        </is>
      </c>
      <c r="K957" s="65" t="inlineStr">
        <is>
          <t>N/D</t>
        </is>
      </c>
      <c r="L957" s="127" t="inlineStr">
        <is>
          <t>REDOLFI F.LLI SRL</t>
        </is>
      </c>
      <c r="M957" s="5" t="n">
        <v>50</v>
      </c>
      <c r="N957" s="5" t="n"/>
      <c r="O957" s="5">
        <f>+M957+N957</f>
        <v/>
      </c>
      <c r="P957" s="86" t="n">
        <v>45629</v>
      </c>
      <c r="Q957" s="86" t="n">
        <v>45629</v>
      </c>
      <c r="R957" s="5" t="n"/>
      <c r="S957" s="2" t="n"/>
      <c r="T957" s="3" t="n"/>
      <c r="U957" s="87" t="n"/>
      <c r="V957" s="3" t="n"/>
      <c r="W957" s="108" t="n"/>
      <c r="X957" s="4" t="n"/>
    </row>
    <row r="958" ht="24" customHeight="1">
      <c r="A958" s="2">
        <f>+D958-S958</f>
        <v/>
      </c>
      <c r="B958" s="80" t="n">
        <v>2618</v>
      </c>
      <c r="C958" s="66" t="n">
        <v>45632</v>
      </c>
      <c r="D958" s="2" t="n">
        <v>1</v>
      </c>
      <c r="E958" s="3" t="inlineStr">
        <is>
          <t>CARABINA</t>
        </is>
      </c>
      <c r="F958" s="3" t="inlineStr">
        <is>
          <t>.22LR</t>
        </is>
      </c>
      <c r="G958" s="3" t="inlineStr">
        <is>
          <t>BERETTA</t>
        </is>
      </c>
      <c r="H958" s="65" t="inlineStr">
        <is>
          <t>OLIMPIA SPORT</t>
        </is>
      </c>
      <c r="I958" s="65" t="inlineStr">
        <is>
          <t>D0926</t>
        </is>
      </c>
      <c r="J958" s="65" t="inlineStr">
        <is>
          <t>N/D</t>
        </is>
      </c>
      <c r="K958" s="65" t="inlineStr">
        <is>
          <t>N/D</t>
        </is>
      </c>
      <c r="L958" s="127" t="inlineStr">
        <is>
          <t>REDOLFI F.LLI SRL</t>
        </is>
      </c>
      <c r="M958" s="5" t="n">
        <v>50</v>
      </c>
      <c r="N958" s="5" t="n"/>
      <c r="O958" s="5">
        <f>+M958+N958</f>
        <v/>
      </c>
      <c r="P958" s="86" t="n">
        <v>45629</v>
      </c>
      <c r="Q958" s="86" t="n">
        <v>45629</v>
      </c>
      <c r="R958" s="5" t="n"/>
      <c r="S958" s="2" t="n"/>
      <c r="T958" s="3" t="n"/>
      <c r="U958" s="87" t="n"/>
      <c r="V958" s="3" t="n"/>
      <c r="W958" s="108" t="n"/>
      <c r="X958" s="4" t="n"/>
    </row>
    <row r="959" ht="24" customHeight="1">
      <c r="A959" s="2">
        <f>+D959-S959</f>
        <v/>
      </c>
      <c r="B959" s="80" t="n">
        <v>2619</v>
      </c>
      <c r="C959" s="66" t="n">
        <v>45632</v>
      </c>
      <c r="D959" s="2" t="n">
        <v>1</v>
      </c>
      <c r="E959" s="3" t="inlineStr">
        <is>
          <t>CARABINA</t>
        </is>
      </c>
      <c r="F959" s="3" t="inlineStr">
        <is>
          <t>.22LR</t>
        </is>
      </c>
      <c r="G959" s="3" t="inlineStr">
        <is>
          <t>BERETTA</t>
        </is>
      </c>
      <c r="H959" s="65" t="inlineStr">
        <is>
          <t>OLIMPIA SPORT</t>
        </is>
      </c>
      <c r="I959" s="65" t="inlineStr">
        <is>
          <t>D15179</t>
        </is>
      </c>
      <c r="J959" s="65" t="inlineStr">
        <is>
          <t>N/D</t>
        </is>
      </c>
      <c r="K959" s="65" t="inlineStr">
        <is>
          <t>N/D</t>
        </is>
      </c>
      <c r="L959" s="127" t="inlineStr">
        <is>
          <t>REDOLFI F.LLI SRL</t>
        </is>
      </c>
      <c r="M959" s="5" t="n">
        <v>50</v>
      </c>
      <c r="N959" s="5" t="n"/>
      <c r="O959" s="5">
        <f>+M959+N959</f>
        <v/>
      </c>
      <c r="P959" s="86" t="n">
        <v>45629</v>
      </c>
      <c r="Q959" s="86" t="n">
        <v>45629</v>
      </c>
      <c r="R959" s="5" t="n"/>
      <c r="S959" s="2" t="n"/>
      <c r="T959" s="3" t="n"/>
      <c r="U959" s="87" t="n"/>
      <c r="V959" s="3" t="n"/>
      <c r="W959" s="108" t="n"/>
      <c r="X959" s="4" t="n"/>
    </row>
    <row r="960" ht="24" customHeight="1">
      <c r="A960" s="2">
        <f>+D960-S960</f>
        <v/>
      </c>
      <c r="B960" s="80" t="n">
        <v>2620</v>
      </c>
      <c r="C960" s="66" t="n">
        <v>45632</v>
      </c>
      <c r="D960" s="2" t="n">
        <v>1</v>
      </c>
      <c r="E960" s="3" t="inlineStr">
        <is>
          <t>CARCASSA</t>
        </is>
      </c>
      <c r="F960" s="3" t="inlineStr">
        <is>
          <t>12</t>
        </is>
      </c>
      <c r="G960" s="3" t="inlineStr">
        <is>
          <t>FRANCHI</t>
        </is>
      </c>
      <c r="H960" s="65" t="inlineStr">
        <is>
          <t>FAST</t>
        </is>
      </c>
      <c r="I960" s="65" t="inlineStr">
        <is>
          <t>BF08735</t>
        </is>
      </c>
      <c r="J960" s="65" t="inlineStr">
        <is>
          <t>N/D</t>
        </is>
      </c>
      <c r="K960" s="65" t="inlineStr">
        <is>
          <t>N/D</t>
        </is>
      </c>
      <c r="L960" s="127" t="inlineStr">
        <is>
          <t>REDOLFI F.LLI SRL</t>
        </is>
      </c>
      <c r="M960" s="5" t="n">
        <v>5</v>
      </c>
      <c r="N960" s="5" t="n"/>
      <c r="O960" s="5">
        <f>+M960+N960</f>
        <v/>
      </c>
      <c r="P960" s="86" t="n">
        <v>45629</v>
      </c>
      <c r="Q960" s="86" t="n">
        <v>45629</v>
      </c>
      <c r="R960" s="5" t="n">
        <v>10</v>
      </c>
      <c r="S960" s="2" t="n">
        <v>1</v>
      </c>
      <c r="T960" s="3" t="inlineStr">
        <is>
          <t>CA42796IR</t>
        </is>
      </c>
      <c r="U960" s="87" t="n">
        <v>45821</v>
      </c>
      <c r="V960" s="3" t="inlineStr">
        <is>
          <t>12</t>
        </is>
      </c>
      <c r="W960" s="108" t="n">
        <v>45821</v>
      </c>
      <c r="X960" s="4" t="inlineStr">
        <is>
          <t>PHILIPPOS COSTANTINIDES TRADING CO. LTD</t>
        </is>
      </c>
    </row>
    <row r="961" ht="24" customHeight="1">
      <c r="A961" s="2">
        <f>+D961-S961</f>
        <v/>
      </c>
      <c r="B961" s="80" t="n">
        <v>2621</v>
      </c>
      <c r="C961" s="66" t="n">
        <v>45638</v>
      </c>
      <c r="D961" s="2" t="n">
        <v>1</v>
      </c>
      <c r="E961" s="3" t="inlineStr">
        <is>
          <t>PISTOLA SEMIAUTOMATICA</t>
        </is>
      </c>
      <c r="F961" s="3" t="inlineStr">
        <is>
          <t>9X19</t>
        </is>
      </c>
      <c r="G961" s="3" t="inlineStr">
        <is>
          <t>FN</t>
        </is>
      </c>
      <c r="H961" s="65" t="inlineStr">
        <is>
          <t>509 NMS BLK/BLK DS 2X17</t>
        </is>
      </c>
      <c r="I961" s="65" t="inlineStr">
        <is>
          <t>GKS0375158</t>
        </is>
      </c>
      <c r="J961" s="65" t="inlineStr">
        <is>
          <t>N/D</t>
        </is>
      </c>
      <c r="K961" s="65" t="inlineStr">
        <is>
          <t>N/D</t>
        </is>
      </c>
      <c r="L961" s="127" t="inlineStr">
        <is>
          <t>BROWNING INTERNATIONAL SA</t>
        </is>
      </c>
      <c r="M961" s="5" t="n">
        <v>502.32</v>
      </c>
      <c r="N961" s="5" t="n"/>
      <c r="O961" s="5">
        <f>+M961+N961</f>
        <v/>
      </c>
      <c r="P961" s="87" t="n">
        <v>45632</v>
      </c>
      <c r="Q961" s="87" t="n">
        <v>45625</v>
      </c>
      <c r="R961" s="5" t="n"/>
      <c r="S961" s="2" t="n"/>
      <c r="T961" s="3" t="n"/>
      <c r="U961" s="87" t="n"/>
      <c r="V961" s="3" t="n"/>
      <c r="W961" s="108" t="n"/>
      <c r="X961" s="4" t="n"/>
    </row>
    <row r="962" ht="24" customHeight="1">
      <c r="A962" s="2">
        <f>+D962-S962</f>
        <v/>
      </c>
      <c r="B962" s="80" t="n">
        <v>2622</v>
      </c>
      <c r="C962" s="66" t="n">
        <v>45638</v>
      </c>
      <c r="D962" s="2" t="n">
        <v>1</v>
      </c>
      <c r="E962" s="3" t="inlineStr">
        <is>
          <t>PISTOLA SEMIAUTOMATICA</t>
        </is>
      </c>
      <c r="F962" s="3" t="inlineStr">
        <is>
          <t>9X19</t>
        </is>
      </c>
      <c r="G962" s="3" t="inlineStr">
        <is>
          <t>FN</t>
        </is>
      </c>
      <c r="H962" s="65" t="inlineStr">
        <is>
          <t>509 NMS BLK/BLK DS 2X17</t>
        </is>
      </c>
      <c r="I962" s="65" t="inlineStr">
        <is>
          <t>GKS0374855</t>
        </is>
      </c>
      <c r="J962" s="65" t="inlineStr">
        <is>
          <t>N/D</t>
        </is>
      </c>
      <c r="K962" s="65" t="inlineStr">
        <is>
          <t>N/D</t>
        </is>
      </c>
      <c r="L962" s="127" t="inlineStr">
        <is>
          <t>BROWNING INTERNATIONAL SA</t>
        </is>
      </c>
      <c r="M962" s="5" t="n">
        <v>502.32</v>
      </c>
      <c r="N962" s="5" t="n"/>
      <c r="O962" s="5">
        <f>+M962+N962</f>
        <v/>
      </c>
      <c r="P962" s="87" t="n">
        <v>45632</v>
      </c>
      <c r="Q962" s="87" t="n">
        <v>45625</v>
      </c>
      <c r="R962" s="5" t="n"/>
      <c r="S962" s="2" t="n"/>
      <c r="T962" s="3" t="n"/>
      <c r="U962" s="87" t="n"/>
      <c r="V962" s="3" t="n"/>
      <c r="W962" s="108" t="n"/>
      <c r="X962" s="4" t="n"/>
    </row>
    <row r="963" ht="24" customHeight="1">
      <c r="A963" s="2">
        <f>+D963-S963</f>
        <v/>
      </c>
      <c r="B963" s="80" t="n">
        <v>2623</v>
      </c>
      <c r="C963" s="66" t="n">
        <v>45638</v>
      </c>
      <c r="D963" s="2" t="n">
        <v>1</v>
      </c>
      <c r="E963" s="3" t="inlineStr">
        <is>
          <t>PISTOLA SEMIAUTOMATICA</t>
        </is>
      </c>
      <c r="F963" s="3" t="inlineStr">
        <is>
          <t>9X19</t>
        </is>
      </c>
      <c r="G963" s="3" t="inlineStr">
        <is>
          <t>FN</t>
        </is>
      </c>
      <c r="H963" s="65" t="inlineStr">
        <is>
          <t>509 NMS BLK/BLK DS 2X17</t>
        </is>
      </c>
      <c r="I963" s="65" t="inlineStr">
        <is>
          <t>GKS0374846</t>
        </is>
      </c>
      <c r="J963" s="65" t="inlineStr">
        <is>
          <t>N/D</t>
        </is>
      </c>
      <c r="K963" s="65" t="inlineStr">
        <is>
          <t>N/D</t>
        </is>
      </c>
      <c r="L963" s="127" t="inlineStr">
        <is>
          <t>BROWNING INTERNATIONAL SA</t>
        </is>
      </c>
      <c r="M963" s="5" t="n">
        <v>502.32</v>
      </c>
      <c r="N963" s="5" t="n"/>
      <c r="O963" s="5">
        <f>+M963+N963</f>
        <v/>
      </c>
      <c r="P963" s="87" t="n">
        <v>45632</v>
      </c>
      <c r="Q963" s="87" t="n">
        <v>45625</v>
      </c>
      <c r="R963" s="5" t="n"/>
      <c r="S963" s="2" t="n"/>
      <c r="T963" s="3" t="n"/>
      <c r="U963" s="87" t="n"/>
      <c r="V963" s="3" t="n"/>
      <c r="W963" s="108" t="n"/>
      <c r="X963" s="4" t="n"/>
    </row>
    <row r="964" ht="24" customHeight="1">
      <c r="A964" s="2">
        <f>+D964-S964</f>
        <v/>
      </c>
      <c r="B964" s="80" t="n">
        <v>2624</v>
      </c>
      <c r="C964" s="66" t="n">
        <v>45638</v>
      </c>
      <c r="D964" s="2" t="n">
        <v>1</v>
      </c>
      <c r="E964" s="3" t="inlineStr">
        <is>
          <t>PISTOLA SEMIAUTOMATICA</t>
        </is>
      </c>
      <c r="F964" s="3" t="inlineStr">
        <is>
          <t>9X19</t>
        </is>
      </c>
      <c r="G964" s="3" t="inlineStr">
        <is>
          <t>FN</t>
        </is>
      </c>
      <c r="H964" s="65" t="inlineStr">
        <is>
          <t>FN 509 NMS FDE/FDE DS 2X17</t>
        </is>
      </c>
      <c r="I964" s="65" t="inlineStr">
        <is>
          <t>GKS0380929</t>
        </is>
      </c>
      <c r="J964" s="65" t="inlineStr">
        <is>
          <t>N/D</t>
        </is>
      </c>
      <c r="K964" s="65" t="inlineStr">
        <is>
          <t>N/D</t>
        </is>
      </c>
      <c r="L964" s="127" t="inlineStr">
        <is>
          <t>BROWNING INTERNATIONAL SA</t>
        </is>
      </c>
      <c r="M964" s="5" t="n">
        <v>502.32</v>
      </c>
      <c r="N964" s="5" t="n"/>
      <c r="O964" s="5">
        <f>+M964+N964</f>
        <v/>
      </c>
      <c r="P964" s="87" t="n">
        <v>45632</v>
      </c>
      <c r="Q964" s="87" t="n">
        <v>45625</v>
      </c>
      <c r="R964" s="5" t="n"/>
      <c r="S964" s="2" t="n"/>
      <c r="T964" s="3" t="n"/>
      <c r="U964" s="87" t="n"/>
      <c r="V964" s="3" t="n"/>
      <c r="W964" s="108" t="n"/>
      <c r="X964" s="4" t="n"/>
    </row>
    <row r="965" ht="24" customHeight="1">
      <c r="A965" s="2">
        <f>+D965-S965</f>
        <v/>
      </c>
      <c r="B965" s="80" t="n">
        <v>2625</v>
      </c>
      <c r="C965" s="66" t="n">
        <v>45638</v>
      </c>
      <c r="D965" s="2" t="n">
        <v>1</v>
      </c>
      <c r="E965" s="3" t="inlineStr">
        <is>
          <t>PISTOLA SEMIAUTOMATICA</t>
        </is>
      </c>
      <c r="F965" s="3" t="inlineStr">
        <is>
          <t>9X19</t>
        </is>
      </c>
      <c r="G965" s="3" t="inlineStr">
        <is>
          <t>FN</t>
        </is>
      </c>
      <c r="H965" s="65" t="inlineStr">
        <is>
          <t>FN 509 NMS FDE/FDE DS 2X17</t>
        </is>
      </c>
      <c r="I965" s="65" t="inlineStr">
        <is>
          <t>GKS0380899</t>
        </is>
      </c>
      <c r="J965" s="65" t="inlineStr">
        <is>
          <t>N/D</t>
        </is>
      </c>
      <c r="K965" s="65" t="inlineStr">
        <is>
          <t>N/D</t>
        </is>
      </c>
      <c r="L965" s="127" t="inlineStr">
        <is>
          <t>BROWNING INTERNATIONAL SA</t>
        </is>
      </c>
      <c r="M965" s="5" t="n">
        <v>502.32</v>
      </c>
      <c r="N965" s="5" t="n"/>
      <c r="O965" s="5">
        <f>+M965+N965</f>
        <v/>
      </c>
      <c r="P965" s="87" t="n">
        <v>45632</v>
      </c>
      <c r="Q965" s="87" t="n">
        <v>45625</v>
      </c>
      <c r="R965" s="5" t="n"/>
      <c r="S965" s="2" t="n"/>
      <c r="T965" s="3" t="n"/>
      <c r="U965" s="87" t="n"/>
      <c r="V965" s="3" t="n"/>
      <c r="W965" s="108" t="n"/>
      <c r="X965" s="4" t="n"/>
    </row>
    <row r="966" ht="24" customHeight="1">
      <c r="A966" s="2">
        <f>+D966-S966</f>
        <v/>
      </c>
      <c r="B966" s="80" t="n">
        <v>2626</v>
      </c>
      <c r="C966" s="66" t="n">
        <v>45638</v>
      </c>
      <c r="D966" s="2" t="n">
        <v>1</v>
      </c>
      <c r="E966" s="3" t="inlineStr">
        <is>
          <t>PISTOLA SEMIAUTOMATICA</t>
        </is>
      </c>
      <c r="F966" s="3" t="inlineStr">
        <is>
          <t>9X19</t>
        </is>
      </c>
      <c r="G966" s="3" t="inlineStr">
        <is>
          <t>FN</t>
        </is>
      </c>
      <c r="H966" s="65" t="inlineStr">
        <is>
          <t>FN 509 NMS FDE/FDE DS 2X17</t>
        </is>
      </c>
      <c r="I966" s="65" t="inlineStr">
        <is>
          <t>GKS0380898</t>
        </is>
      </c>
      <c r="J966" s="65" t="inlineStr">
        <is>
          <t>N/D</t>
        </is>
      </c>
      <c r="K966" s="65" t="inlineStr">
        <is>
          <t>N/D</t>
        </is>
      </c>
      <c r="L966" s="127" t="inlineStr">
        <is>
          <t>BROWNING INTERNATIONAL SA</t>
        </is>
      </c>
      <c r="M966" s="5" t="n">
        <v>502.32</v>
      </c>
      <c r="N966" s="5" t="n"/>
      <c r="O966" s="5">
        <f>+M966+N966</f>
        <v/>
      </c>
      <c r="P966" s="87" t="n">
        <v>45632</v>
      </c>
      <c r="Q966" s="87" t="n">
        <v>45625</v>
      </c>
      <c r="R966" s="5" t="n"/>
      <c r="S966" s="2" t="n"/>
      <c r="T966" s="3" t="n"/>
      <c r="U966" s="87" t="n"/>
      <c r="V966" s="3" t="n"/>
      <c r="W966" s="108" t="n"/>
      <c r="X966" s="4" t="n"/>
    </row>
    <row r="967" ht="24" customHeight="1">
      <c r="A967" s="2">
        <f>+D967-S967</f>
        <v/>
      </c>
      <c r="B967" s="80" t="n">
        <v>2627</v>
      </c>
      <c r="C967" s="66" t="n">
        <v>45638</v>
      </c>
      <c r="D967" s="2" t="n">
        <v>1</v>
      </c>
      <c r="E967" s="3" t="inlineStr">
        <is>
          <t>PISTOLA SEMIAUTOMATICA</t>
        </is>
      </c>
      <c r="F967" s="3" t="inlineStr">
        <is>
          <t>9X19</t>
        </is>
      </c>
      <c r="G967" s="3" t="inlineStr">
        <is>
          <t>FN</t>
        </is>
      </c>
      <c r="H967" s="65" t="inlineStr">
        <is>
          <t>FN 509 NMS FDE/FDE DS 2X17</t>
        </is>
      </c>
      <c r="I967" s="65" t="inlineStr">
        <is>
          <t>GKS0380646</t>
        </is>
      </c>
      <c r="J967" s="65" t="inlineStr">
        <is>
          <t>N/D</t>
        </is>
      </c>
      <c r="K967" s="65" t="inlineStr">
        <is>
          <t>N/D</t>
        </is>
      </c>
      <c r="L967" s="127" t="inlineStr">
        <is>
          <t>BROWNING INTERNATIONAL SA</t>
        </is>
      </c>
      <c r="M967" s="5" t="n">
        <v>502.32</v>
      </c>
      <c r="N967" s="5" t="n"/>
      <c r="O967" s="5">
        <f>+M967+N967</f>
        <v/>
      </c>
      <c r="P967" s="87" t="n">
        <v>45632</v>
      </c>
      <c r="Q967" s="87" t="n">
        <v>45625</v>
      </c>
      <c r="R967" s="5" t="n"/>
      <c r="S967" s="2" t="n"/>
      <c r="T967" s="3" t="n"/>
      <c r="U967" s="87" t="n"/>
      <c r="V967" s="3" t="n"/>
      <c r="W967" s="108" t="n"/>
      <c r="X967" s="4" t="n"/>
    </row>
    <row r="968" ht="24" customHeight="1">
      <c r="A968" s="2">
        <f>+D968-S968</f>
        <v/>
      </c>
      <c r="B968" s="80" t="n">
        <v>2628</v>
      </c>
      <c r="C968" s="66" t="n">
        <v>45638</v>
      </c>
      <c r="D968" s="2" t="n">
        <v>1</v>
      </c>
      <c r="E968" s="3" t="inlineStr">
        <is>
          <t>PISTOLA SEMIAUTOMATICA</t>
        </is>
      </c>
      <c r="F968" s="3" t="inlineStr">
        <is>
          <t>9X19</t>
        </is>
      </c>
      <c r="G968" s="3" t="inlineStr">
        <is>
          <t>FN</t>
        </is>
      </c>
      <c r="H968" s="65" t="inlineStr">
        <is>
          <t>509T BI NMS BLK/BLK NDS 2X17</t>
        </is>
      </c>
      <c r="I968" s="65" t="inlineStr">
        <is>
          <t>GKS0374925</t>
        </is>
      </c>
      <c r="J968" s="65" t="inlineStr">
        <is>
          <t>N/D</t>
        </is>
      </c>
      <c r="K968" s="65" t="inlineStr">
        <is>
          <t>N/D</t>
        </is>
      </c>
      <c r="L968" s="127" t="inlineStr">
        <is>
          <t>BROWNING INTERNATIONAL SA</t>
        </is>
      </c>
      <c r="M968" s="5" t="n">
        <v>590.46</v>
      </c>
      <c r="N968" s="5" t="n"/>
      <c r="O968" s="5">
        <f>+M968+N968</f>
        <v/>
      </c>
      <c r="P968" s="87" t="n">
        <v>45632</v>
      </c>
      <c r="Q968" s="87" t="n">
        <v>45625</v>
      </c>
      <c r="R968" s="5" t="n"/>
      <c r="S968" s="2" t="n"/>
      <c r="T968" s="3" t="n"/>
      <c r="U968" s="87" t="n"/>
      <c r="V968" s="3" t="n"/>
      <c r="W968" s="108" t="n"/>
      <c r="X968" s="4" t="n"/>
    </row>
    <row r="969" ht="24" customHeight="1">
      <c r="A969" s="2">
        <f>+D969-S969</f>
        <v/>
      </c>
      <c r="B969" s="80" t="n">
        <v>2629</v>
      </c>
      <c r="C969" s="66" t="n">
        <v>45638</v>
      </c>
      <c r="D969" s="2" t="n">
        <v>1</v>
      </c>
      <c r="E969" s="3" t="inlineStr">
        <is>
          <t>PISTOLA SEMIAUTOMATICA</t>
        </is>
      </c>
      <c r="F969" s="3" t="inlineStr">
        <is>
          <t>9X19</t>
        </is>
      </c>
      <c r="G969" s="3" t="inlineStr">
        <is>
          <t>FN</t>
        </is>
      </c>
      <c r="H969" s="65" t="inlineStr">
        <is>
          <t>509T BI NMS BLK/BLK NDS 2X17</t>
        </is>
      </c>
      <c r="I969" s="65" t="inlineStr">
        <is>
          <t>GKS0374895</t>
        </is>
      </c>
      <c r="J969" s="65" t="inlineStr">
        <is>
          <t>N/D</t>
        </is>
      </c>
      <c r="K969" s="65" t="inlineStr">
        <is>
          <t>N/D</t>
        </is>
      </c>
      <c r="L969" s="127" t="inlineStr">
        <is>
          <t>BROWNING INTERNATIONAL SA</t>
        </is>
      </c>
      <c r="M969" s="5" t="n">
        <v>590.46</v>
      </c>
      <c r="N969" s="5" t="n"/>
      <c r="O969" s="5">
        <f>+M969+N969</f>
        <v/>
      </c>
      <c r="P969" s="87" t="n">
        <v>45632</v>
      </c>
      <c r="Q969" s="87" t="n">
        <v>45625</v>
      </c>
      <c r="R969" s="5" t="n"/>
      <c r="S969" s="2" t="n"/>
      <c r="T969" s="3" t="n"/>
      <c r="U969" s="87" t="n"/>
      <c r="V969" s="3" t="n"/>
      <c r="W969" s="108" t="n"/>
      <c r="X969" s="4" t="n"/>
    </row>
    <row r="970" ht="24" customHeight="1">
      <c r="A970" s="2">
        <f>+D970-S970</f>
        <v/>
      </c>
      <c r="B970" s="80" t="n">
        <v>2630</v>
      </c>
      <c r="C970" s="66" t="n">
        <v>45638</v>
      </c>
      <c r="D970" s="2" t="n">
        <v>1</v>
      </c>
      <c r="E970" s="3" t="inlineStr">
        <is>
          <t>PISTOLA SEMIAUTOMATICA</t>
        </is>
      </c>
      <c r="F970" s="3" t="inlineStr">
        <is>
          <t>9X19</t>
        </is>
      </c>
      <c r="G970" s="3" t="inlineStr">
        <is>
          <t>FN</t>
        </is>
      </c>
      <c r="H970" s="65" t="inlineStr">
        <is>
          <t>509T BI NMS BLK/BLK NDS 2X17</t>
        </is>
      </c>
      <c r="I970" s="65" t="inlineStr">
        <is>
          <t>GKS0374911</t>
        </is>
      </c>
      <c r="J970" s="65" t="inlineStr">
        <is>
          <t>N/D</t>
        </is>
      </c>
      <c r="K970" s="65" t="inlineStr">
        <is>
          <t>N/D</t>
        </is>
      </c>
      <c r="L970" s="127" t="inlineStr">
        <is>
          <t>BROWNING INTERNATIONAL SA</t>
        </is>
      </c>
      <c r="M970" s="5" t="n">
        <v>590.46</v>
      </c>
      <c r="N970" s="5" t="n"/>
      <c r="O970" s="5">
        <f>+M970+N970</f>
        <v/>
      </c>
      <c r="P970" s="87" t="n">
        <v>45632</v>
      </c>
      <c r="Q970" s="87" t="n">
        <v>45625</v>
      </c>
      <c r="R970" s="5" t="n"/>
      <c r="S970" s="2" t="n"/>
      <c r="T970" s="3" t="n"/>
      <c r="U970" s="87" t="n"/>
      <c r="V970" s="3" t="n"/>
      <c r="W970" s="108" t="n"/>
      <c r="X970" s="4" t="n"/>
    </row>
    <row r="971" ht="24" customHeight="1">
      <c r="A971" s="2">
        <f>+D971-S971</f>
        <v/>
      </c>
      <c r="B971" s="80" t="n">
        <v>2631</v>
      </c>
      <c r="C971" s="66" t="n">
        <v>45638</v>
      </c>
      <c r="D971" s="2" t="n">
        <v>1</v>
      </c>
      <c r="E971" s="3" t="inlineStr">
        <is>
          <t>PISTOLA SEMIAUTOMATICA</t>
        </is>
      </c>
      <c r="F971" s="3" t="inlineStr">
        <is>
          <t>9X19</t>
        </is>
      </c>
      <c r="G971" s="3" t="inlineStr">
        <is>
          <t>FN</t>
        </is>
      </c>
      <c r="H971" s="65" t="inlineStr">
        <is>
          <t>509T BI NMS BLK/BLK NDS 2X17</t>
        </is>
      </c>
      <c r="I971" s="65" t="inlineStr">
        <is>
          <t>GKS0375313</t>
        </is>
      </c>
      <c r="J971" s="65" t="inlineStr">
        <is>
          <t>N/D</t>
        </is>
      </c>
      <c r="K971" s="65" t="inlineStr">
        <is>
          <t>N/D</t>
        </is>
      </c>
      <c r="L971" s="127" t="inlineStr">
        <is>
          <t>BROWNING INTERNATIONAL SA</t>
        </is>
      </c>
      <c r="M971" s="5" t="n">
        <v>590.46</v>
      </c>
      <c r="N971" s="5" t="n"/>
      <c r="O971" s="5">
        <f>+M971+N971</f>
        <v/>
      </c>
      <c r="P971" s="87" t="n">
        <v>45632</v>
      </c>
      <c r="Q971" s="87" t="n">
        <v>45625</v>
      </c>
      <c r="R971" s="5" t="n"/>
      <c r="S971" s="2" t="n"/>
      <c r="T971" s="3" t="n"/>
      <c r="U971" s="87" t="n"/>
      <c r="V971" s="3" t="n"/>
      <c r="W971" s="108" t="n"/>
      <c r="X971" s="4" t="n"/>
    </row>
    <row r="972" ht="24" customHeight="1">
      <c r="A972" s="2">
        <f>+D972-S972</f>
        <v/>
      </c>
      <c r="B972" s="80" t="n">
        <v>2632</v>
      </c>
      <c r="C972" s="66" t="n">
        <v>45638</v>
      </c>
      <c r="D972" s="2" t="n">
        <v>1</v>
      </c>
      <c r="E972" s="3" t="inlineStr">
        <is>
          <t>PISTOLA SEMIAUTOMATICA</t>
        </is>
      </c>
      <c r="F972" s="3" t="inlineStr">
        <is>
          <t>9X19</t>
        </is>
      </c>
      <c r="G972" s="3" t="inlineStr">
        <is>
          <t>FN</t>
        </is>
      </c>
      <c r="H972" s="65" t="inlineStr">
        <is>
          <t>509T BI NMS BLK/BLK NDS 2X17</t>
        </is>
      </c>
      <c r="I972" s="65" t="inlineStr">
        <is>
          <t>GKS0375046</t>
        </is>
      </c>
      <c r="J972" s="65" t="inlineStr">
        <is>
          <t>N/D</t>
        </is>
      </c>
      <c r="K972" s="65" t="inlineStr">
        <is>
          <t>N/D</t>
        </is>
      </c>
      <c r="L972" s="127" t="inlineStr">
        <is>
          <t>BROWNING INTERNATIONAL SA</t>
        </is>
      </c>
      <c r="M972" s="5" t="n">
        <v>590.46</v>
      </c>
      <c r="N972" s="5" t="n"/>
      <c r="O972" s="5">
        <f>+M972+N972</f>
        <v/>
      </c>
      <c r="P972" s="87" t="n">
        <v>45632</v>
      </c>
      <c r="Q972" s="87" t="n">
        <v>45625</v>
      </c>
      <c r="R972" s="5" t="n"/>
      <c r="S972" s="2" t="n"/>
      <c r="T972" s="3" t="n"/>
      <c r="U972" s="87" t="n"/>
      <c r="V972" s="3" t="n"/>
      <c r="W972" s="108" t="n"/>
      <c r="X972" s="4" t="n"/>
    </row>
    <row r="973" ht="24" customHeight="1">
      <c r="A973" s="2">
        <f>+D973-S973</f>
        <v/>
      </c>
      <c r="B973" s="80" t="n">
        <v>2633</v>
      </c>
      <c r="C973" s="66" t="n">
        <v>45638</v>
      </c>
      <c r="D973" s="2" t="n">
        <v>1</v>
      </c>
      <c r="E973" s="3" t="inlineStr">
        <is>
          <t>PISTOLA SEMIAUTOMATICA</t>
        </is>
      </c>
      <c r="F973" s="3" t="inlineStr">
        <is>
          <t>9X19</t>
        </is>
      </c>
      <c r="G973" s="3" t="inlineStr">
        <is>
          <t>FN</t>
        </is>
      </c>
      <c r="H973" s="65" t="inlineStr">
        <is>
          <t>509T BI NMS BLK/BLK NDS 2X17</t>
        </is>
      </c>
      <c r="I973" s="65" t="inlineStr">
        <is>
          <t>GKS0374872</t>
        </is>
      </c>
      <c r="J973" s="65" t="inlineStr">
        <is>
          <t>N/D</t>
        </is>
      </c>
      <c r="K973" s="65" t="inlineStr">
        <is>
          <t>N/D</t>
        </is>
      </c>
      <c r="L973" s="127" t="inlineStr">
        <is>
          <t>BROWNING INTERNATIONAL SA</t>
        </is>
      </c>
      <c r="M973" s="5" t="n">
        <v>590.46</v>
      </c>
      <c r="N973" s="5" t="n"/>
      <c r="O973" s="5">
        <f>+M973+N973</f>
        <v/>
      </c>
      <c r="P973" s="87" t="n">
        <v>45632</v>
      </c>
      <c r="Q973" s="87" t="n">
        <v>45625</v>
      </c>
      <c r="R973" s="5" t="n"/>
      <c r="S973" s="2" t="n"/>
      <c r="T973" s="3" t="n"/>
      <c r="U973" s="87" t="n"/>
      <c r="V973" s="3" t="n"/>
      <c r="W973" s="108" t="n"/>
      <c r="X973" s="4" t="n"/>
    </row>
    <row r="974" ht="24" customHeight="1">
      <c r="A974" s="2">
        <f>+D974-S974</f>
        <v/>
      </c>
      <c r="B974" s="80" t="n">
        <v>2634</v>
      </c>
      <c r="C974" s="66" t="n">
        <v>45638</v>
      </c>
      <c r="D974" s="2" t="n">
        <v>1</v>
      </c>
      <c r="E974" s="3" t="inlineStr">
        <is>
          <t>PISTOLA SEMIAUTOMATICA</t>
        </is>
      </c>
      <c r="F974" s="3" t="inlineStr">
        <is>
          <t>9X19</t>
        </is>
      </c>
      <c r="G974" s="3" t="inlineStr">
        <is>
          <t>FN</t>
        </is>
      </c>
      <c r="H974" s="65" t="inlineStr">
        <is>
          <t>509T BI NMS FDE/FDE NDS 2X17</t>
        </is>
      </c>
      <c r="I974" s="65" t="inlineStr">
        <is>
          <t>GKS0374598</t>
        </is>
      </c>
      <c r="J974" s="65" t="inlineStr">
        <is>
          <t>N/D</t>
        </is>
      </c>
      <c r="K974" s="65" t="inlineStr">
        <is>
          <t>N/D</t>
        </is>
      </c>
      <c r="L974" s="127" t="inlineStr">
        <is>
          <t>BROWNING INTERNATIONAL SA</t>
        </is>
      </c>
      <c r="M974" s="5" t="n">
        <v>590.46</v>
      </c>
      <c r="N974" s="5" t="n"/>
      <c r="O974" s="5">
        <f>+M974+N974</f>
        <v/>
      </c>
      <c r="P974" s="87" t="n">
        <v>45632</v>
      </c>
      <c r="Q974" s="87" t="n">
        <v>45625</v>
      </c>
      <c r="R974" s="5" t="n"/>
      <c r="S974" s="2" t="n"/>
      <c r="T974" s="3" t="n"/>
      <c r="U974" s="87" t="n"/>
      <c r="V974" s="3" t="n"/>
      <c r="W974" s="108" t="n"/>
      <c r="X974" s="4" t="n"/>
    </row>
    <row r="975" ht="24" customHeight="1">
      <c r="A975" s="2">
        <f>+D975-S975</f>
        <v/>
      </c>
      <c r="B975" s="80" t="n">
        <v>2635</v>
      </c>
      <c r="C975" s="66" t="n">
        <v>45638</v>
      </c>
      <c r="D975" s="2" t="n">
        <v>1</v>
      </c>
      <c r="E975" s="3" t="inlineStr">
        <is>
          <t>PISTOLA SEMIAUTOMATICA</t>
        </is>
      </c>
      <c r="F975" s="3" t="inlineStr">
        <is>
          <t>9X19</t>
        </is>
      </c>
      <c r="G975" s="3" t="inlineStr">
        <is>
          <t>FN</t>
        </is>
      </c>
      <c r="H975" s="65" t="inlineStr">
        <is>
          <t>509T BI NMS FDE/FDE NDS 2X17</t>
        </is>
      </c>
      <c r="I975" s="65" t="inlineStr">
        <is>
          <t>GKS0374290</t>
        </is>
      </c>
      <c r="J975" s="65" t="inlineStr">
        <is>
          <t>N/D</t>
        </is>
      </c>
      <c r="K975" s="65" t="inlineStr">
        <is>
          <t>N/D</t>
        </is>
      </c>
      <c r="L975" s="127" t="inlineStr">
        <is>
          <t>BROWNING INTERNATIONAL SA</t>
        </is>
      </c>
      <c r="M975" s="5" t="n">
        <v>590.46</v>
      </c>
      <c r="N975" s="5" t="n"/>
      <c r="O975" s="5">
        <f>+M975+N975</f>
        <v/>
      </c>
      <c r="P975" s="87" t="n">
        <v>45632</v>
      </c>
      <c r="Q975" s="87" t="n">
        <v>45625</v>
      </c>
      <c r="R975" s="5" t="n"/>
      <c r="S975" s="2" t="n"/>
      <c r="T975" s="3" t="n"/>
      <c r="U975" s="87" t="n"/>
      <c r="V975" s="3" t="n"/>
      <c r="W975" s="108" t="n"/>
      <c r="X975" s="4" t="n"/>
    </row>
    <row r="976" ht="24" customHeight="1">
      <c r="A976" s="2">
        <f>+D976-S976</f>
        <v/>
      </c>
      <c r="B976" s="80" t="n">
        <v>2636</v>
      </c>
      <c r="C976" s="66" t="n">
        <v>45638</v>
      </c>
      <c r="D976" s="2" t="n">
        <v>1</v>
      </c>
      <c r="E976" s="3" t="inlineStr">
        <is>
          <t>PISTOLA SEMIAUTOMATICA</t>
        </is>
      </c>
      <c r="F976" s="3" t="inlineStr">
        <is>
          <t>9X19</t>
        </is>
      </c>
      <c r="G976" s="3" t="inlineStr">
        <is>
          <t>FN</t>
        </is>
      </c>
      <c r="H976" s="65" t="inlineStr">
        <is>
          <t>509T BI NMS FDE/FDE NDS 2X17</t>
        </is>
      </c>
      <c r="I976" s="65" t="inlineStr">
        <is>
          <t>GKS0374624</t>
        </is>
      </c>
      <c r="J976" s="65" t="inlineStr">
        <is>
          <t>N/D</t>
        </is>
      </c>
      <c r="K976" s="65" t="inlineStr">
        <is>
          <t>N/D</t>
        </is>
      </c>
      <c r="L976" s="127" t="inlineStr">
        <is>
          <t>BROWNING INTERNATIONAL SA</t>
        </is>
      </c>
      <c r="M976" s="5" t="n">
        <v>590.46</v>
      </c>
      <c r="N976" s="5" t="n"/>
      <c r="O976" s="5">
        <f>+M976+N976</f>
        <v/>
      </c>
      <c r="P976" s="87" t="n">
        <v>45632</v>
      </c>
      <c r="Q976" s="87" t="n">
        <v>45625</v>
      </c>
      <c r="R976" s="5" t="n"/>
      <c r="S976" s="2" t="n"/>
      <c r="T976" s="3" t="n"/>
      <c r="U976" s="87" t="n"/>
      <c r="V976" s="3" t="n"/>
      <c r="W976" s="108" t="n"/>
      <c r="X976" s="4" t="n"/>
    </row>
    <row r="977" ht="24" customHeight="1">
      <c r="A977" s="2">
        <f>+D977-S977</f>
        <v/>
      </c>
      <c r="B977" s="80" t="n">
        <v>2637</v>
      </c>
      <c r="C977" s="66" t="n">
        <v>45638</v>
      </c>
      <c r="D977" s="2" t="n">
        <v>1</v>
      </c>
      <c r="E977" s="3" t="inlineStr">
        <is>
          <t>PISTOLA SEMIAUTOMATICA</t>
        </is>
      </c>
      <c r="F977" s="3" t="inlineStr">
        <is>
          <t>9X19</t>
        </is>
      </c>
      <c r="G977" s="3" t="inlineStr">
        <is>
          <t>FN</t>
        </is>
      </c>
      <c r="H977" s="65" t="inlineStr">
        <is>
          <t>509T BI NMS FDE/FDE NDS 2X17</t>
        </is>
      </c>
      <c r="I977" s="65" t="inlineStr">
        <is>
          <t>GKS0381518</t>
        </is>
      </c>
      <c r="J977" s="65" t="inlineStr">
        <is>
          <t>N/D</t>
        </is>
      </c>
      <c r="K977" s="65" t="inlineStr">
        <is>
          <t>N/D</t>
        </is>
      </c>
      <c r="L977" s="127" t="inlineStr">
        <is>
          <t>BROWNING INTERNATIONAL SA</t>
        </is>
      </c>
      <c r="M977" s="5" t="n">
        <v>590.46</v>
      </c>
      <c r="N977" s="5" t="n"/>
      <c r="O977" s="5">
        <f>+M977+N977</f>
        <v/>
      </c>
      <c r="P977" s="87" t="n">
        <v>45632</v>
      </c>
      <c r="Q977" s="87" t="n">
        <v>45625</v>
      </c>
      <c r="R977" s="5" t="n"/>
      <c r="S977" s="2" t="n"/>
      <c r="T977" s="3" t="n"/>
      <c r="U977" s="87" t="n"/>
      <c r="V977" s="3" t="n"/>
      <c r="W977" s="108" t="n"/>
      <c r="X977" s="4" t="n"/>
    </row>
    <row r="978" ht="24" customHeight="1">
      <c r="A978" s="2">
        <f>+D978-S978</f>
        <v/>
      </c>
      <c r="B978" s="80" t="n">
        <v>2638</v>
      </c>
      <c r="C978" s="66" t="n">
        <v>45638</v>
      </c>
      <c r="D978" s="2" t="n">
        <v>1</v>
      </c>
      <c r="E978" s="3" t="inlineStr">
        <is>
          <t>PISTOLA SEMIAUTOMATICA</t>
        </is>
      </c>
      <c r="F978" s="3" t="inlineStr">
        <is>
          <t>9X19</t>
        </is>
      </c>
      <c r="G978" s="3" t="inlineStr">
        <is>
          <t>FN</t>
        </is>
      </c>
      <c r="H978" s="65" t="inlineStr">
        <is>
          <t>509T BI NMS FDE/FDE NDS 2X17</t>
        </is>
      </c>
      <c r="I978" s="65" t="inlineStr">
        <is>
          <t>GKS0374628</t>
        </is>
      </c>
      <c r="J978" s="65" t="inlineStr">
        <is>
          <t>N/D</t>
        </is>
      </c>
      <c r="K978" s="65" t="inlineStr">
        <is>
          <t>N/D</t>
        </is>
      </c>
      <c r="L978" s="127" t="inlineStr">
        <is>
          <t>BROWNING INTERNATIONAL SA</t>
        </is>
      </c>
      <c r="M978" s="5" t="n">
        <v>590.46</v>
      </c>
      <c r="N978" s="5" t="n"/>
      <c r="O978" s="5">
        <f>+M978+N978</f>
        <v/>
      </c>
      <c r="P978" s="87" t="n">
        <v>45632</v>
      </c>
      <c r="Q978" s="87" t="n">
        <v>45625</v>
      </c>
      <c r="R978" s="5" t="n"/>
      <c r="S978" s="2" t="n"/>
      <c r="T978" s="3" t="n"/>
      <c r="U978" s="87" t="n"/>
      <c r="V978" s="3" t="n"/>
      <c r="W978" s="108" t="n"/>
      <c r="X978" s="4" t="n"/>
    </row>
    <row r="979" ht="24" customHeight="1">
      <c r="A979" s="2">
        <f>+D979-S979</f>
        <v/>
      </c>
      <c r="B979" s="80" t="n">
        <v>2639</v>
      </c>
      <c r="C979" s="66" t="n">
        <v>45638</v>
      </c>
      <c r="D979" s="2" t="n">
        <v>1</v>
      </c>
      <c r="E979" s="3" t="inlineStr">
        <is>
          <t>PISTOLA SEMIAUTOMATICA</t>
        </is>
      </c>
      <c r="F979" s="3" t="inlineStr">
        <is>
          <t>9X19</t>
        </is>
      </c>
      <c r="G979" s="3" t="inlineStr">
        <is>
          <t>FN</t>
        </is>
      </c>
      <c r="H979" s="65" t="inlineStr">
        <is>
          <t>509T BI NMS FDE/FDE NDS 2X17</t>
        </is>
      </c>
      <c r="I979" s="65" t="inlineStr">
        <is>
          <t>GKS0374304</t>
        </is>
      </c>
      <c r="J979" s="65" t="inlineStr">
        <is>
          <t>N/D</t>
        </is>
      </c>
      <c r="K979" s="65" t="inlineStr">
        <is>
          <t>N/D</t>
        </is>
      </c>
      <c r="L979" s="127" t="inlineStr">
        <is>
          <t>BROWNING INTERNATIONAL SA</t>
        </is>
      </c>
      <c r="M979" s="5" t="n">
        <v>590.46</v>
      </c>
      <c r="N979" s="5" t="n"/>
      <c r="O979" s="5">
        <f>+M979+N979</f>
        <v/>
      </c>
      <c r="P979" s="87" t="n">
        <v>45632</v>
      </c>
      <c r="Q979" s="87" t="n">
        <v>45625</v>
      </c>
      <c r="R979" s="5" t="n"/>
      <c r="S979" s="2" t="n"/>
      <c r="T979" s="3" t="n"/>
      <c r="U979" s="87" t="n"/>
      <c r="V979" s="3" t="n"/>
      <c r="W979" s="108" t="n"/>
      <c r="X979" s="4" t="n"/>
    </row>
    <row r="980" ht="24" customHeight="1">
      <c r="A980" s="2">
        <f>+D980-S980</f>
        <v/>
      </c>
      <c r="B980" s="80" t="n">
        <v>2640</v>
      </c>
      <c r="C980" s="66" t="n">
        <v>45638</v>
      </c>
      <c r="D980" s="2" t="n">
        <v>1</v>
      </c>
      <c r="E980" s="3" t="inlineStr">
        <is>
          <t>PISTOLA SEMIAUTOMATICA</t>
        </is>
      </c>
      <c r="F980" s="3" t="inlineStr">
        <is>
          <t>9X19</t>
        </is>
      </c>
      <c r="G980" s="3" t="inlineStr">
        <is>
          <t>FN</t>
        </is>
      </c>
      <c r="H980" s="65" t="inlineStr">
        <is>
          <t>509T BI NMS FDE/FDE NDS 2X17</t>
        </is>
      </c>
      <c r="I980" s="65" t="inlineStr">
        <is>
          <t>GKS0374288</t>
        </is>
      </c>
      <c r="J980" s="65" t="inlineStr">
        <is>
          <t>N/D</t>
        </is>
      </c>
      <c r="K980" s="65" t="inlineStr">
        <is>
          <t>N/D</t>
        </is>
      </c>
      <c r="L980" s="127" t="inlineStr">
        <is>
          <t>BROWNING INTERNATIONAL SA</t>
        </is>
      </c>
      <c r="M980" s="5" t="n">
        <v>590.46</v>
      </c>
      <c r="N980" s="5" t="n"/>
      <c r="O980" s="5">
        <f>+M980+N980</f>
        <v/>
      </c>
      <c r="P980" s="87" t="n">
        <v>45632</v>
      </c>
      <c r="Q980" s="87" t="n">
        <v>45625</v>
      </c>
      <c r="R980" s="5" t="n"/>
      <c r="S980" s="2" t="n"/>
      <c r="T980" s="3" t="n"/>
      <c r="U980" s="87" t="n"/>
      <c r="V980" s="3" t="n"/>
      <c r="W980" s="108" t="n"/>
      <c r="X980" s="4" t="n"/>
    </row>
    <row r="981" ht="24" customHeight="1">
      <c r="A981" s="2">
        <f>+D981-S981</f>
        <v/>
      </c>
      <c r="B981" s="80" t="n">
        <v>2641</v>
      </c>
      <c r="C981" s="66" t="n">
        <v>45638</v>
      </c>
      <c r="D981" s="2" t="n">
        <v>1</v>
      </c>
      <c r="E981" s="3" t="inlineStr">
        <is>
          <t>PISTOLA SEMIAUTOMATICA</t>
        </is>
      </c>
      <c r="F981" s="3" t="inlineStr">
        <is>
          <t>9X19</t>
        </is>
      </c>
      <c r="G981" s="3" t="inlineStr">
        <is>
          <t>FN</t>
        </is>
      </c>
      <c r="H981" s="65" t="inlineStr">
        <is>
          <t>509T BI NMS FDE/FDE NDS 2X17</t>
        </is>
      </c>
      <c r="I981" s="65" t="inlineStr">
        <is>
          <t>GKS0374626</t>
        </is>
      </c>
      <c r="J981" s="65" t="inlineStr">
        <is>
          <t>N/D</t>
        </is>
      </c>
      <c r="K981" s="65" t="inlineStr">
        <is>
          <t>N/D</t>
        </is>
      </c>
      <c r="L981" s="127" t="inlineStr">
        <is>
          <t>BROWNING INTERNATIONAL SA</t>
        </is>
      </c>
      <c r="M981" s="5" t="n">
        <v>590.46</v>
      </c>
      <c r="N981" s="5" t="n"/>
      <c r="O981" s="5">
        <f>+M981+N981</f>
        <v/>
      </c>
      <c r="P981" s="87" t="n">
        <v>45632</v>
      </c>
      <c r="Q981" s="87" t="n">
        <v>45625</v>
      </c>
      <c r="R981" s="5" t="n"/>
      <c r="S981" s="2" t="n"/>
      <c r="T981" s="3" t="n"/>
      <c r="U981" s="87" t="n"/>
      <c r="V981" s="3" t="n"/>
      <c r="W981" s="108" t="n"/>
      <c r="X981" s="4" t="n"/>
    </row>
    <row r="982" ht="24" customHeight="1">
      <c r="A982" s="2">
        <f>+D982-S982</f>
        <v/>
      </c>
      <c r="B982" s="80" t="n">
        <v>2642</v>
      </c>
      <c r="C982" s="66" t="n">
        <v>45638</v>
      </c>
      <c r="D982" s="2" t="n">
        <v>1</v>
      </c>
      <c r="E982" s="3" t="inlineStr">
        <is>
          <t>PISTOLA SEMIAUTOMATICA</t>
        </is>
      </c>
      <c r="F982" s="3" t="inlineStr">
        <is>
          <t>9X19</t>
        </is>
      </c>
      <c r="G982" s="3" t="inlineStr">
        <is>
          <t>FN</t>
        </is>
      </c>
      <c r="H982" s="65" t="inlineStr">
        <is>
          <t>509T BI NMS FDE/FDE NDS 2X17</t>
        </is>
      </c>
      <c r="I982" s="65" t="inlineStr">
        <is>
          <t>GKS0374302</t>
        </is>
      </c>
      <c r="J982" s="65" t="inlineStr">
        <is>
          <t>N/D</t>
        </is>
      </c>
      <c r="K982" s="65" t="inlineStr">
        <is>
          <t>N/D</t>
        </is>
      </c>
      <c r="L982" s="127" t="inlineStr">
        <is>
          <t>BROWNING INTERNATIONAL SA</t>
        </is>
      </c>
      <c r="M982" s="5" t="n">
        <v>590.46</v>
      </c>
      <c r="N982" s="5" t="n"/>
      <c r="O982" s="5">
        <f>+M982+N982</f>
        <v/>
      </c>
      <c r="P982" s="87" t="n">
        <v>45632</v>
      </c>
      <c r="Q982" s="87" t="n">
        <v>45625</v>
      </c>
      <c r="R982" s="5" t="n"/>
      <c r="S982" s="2" t="n"/>
      <c r="T982" s="3" t="n"/>
      <c r="U982" s="87" t="n"/>
      <c r="V982" s="3" t="n"/>
      <c r="W982" s="108" t="n"/>
      <c r="X982" s="4" t="n"/>
    </row>
    <row r="983" ht="24" customHeight="1">
      <c r="A983" s="2">
        <f>+D983-S983</f>
        <v/>
      </c>
      <c r="B983" s="80" t="n">
        <v>2643</v>
      </c>
      <c r="C983" s="66" t="n">
        <v>45638</v>
      </c>
      <c r="D983" s="2" t="n">
        <v>1</v>
      </c>
      <c r="E983" s="3" t="inlineStr">
        <is>
          <t>PISTOLA SEMIAUTOMATICA</t>
        </is>
      </c>
      <c r="F983" s="3" t="inlineStr">
        <is>
          <t>9X19</t>
        </is>
      </c>
      <c r="G983" s="3" t="inlineStr">
        <is>
          <t>FN</t>
        </is>
      </c>
      <c r="H983" s="65" t="inlineStr">
        <is>
          <t>509T BI NMS FDE/FDE NDS 2X17</t>
        </is>
      </c>
      <c r="I983" s="65" t="inlineStr">
        <is>
          <t>GKS0374591</t>
        </is>
      </c>
      <c r="J983" s="65" t="inlineStr">
        <is>
          <t>N/D</t>
        </is>
      </c>
      <c r="K983" s="65" t="inlineStr">
        <is>
          <t>N/D</t>
        </is>
      </c>
      <c r="L983" s="127" t="inlineStr">
        <is>
          <t>BROWNING INTERNATIONAL SA</t>
        </is>
      </c>
      <c r="M983" s="5" t="n">
        <v>590.46</v>
      </c>
      <c r="N983" s="5" t="n"/>
      <c r="O983" s="5">
        <f>+M983+N983</f>
        <v/>
      </c>
      <c r="P983" s="87" t="n">
        <v>45632</v>
      </c>
      <c r="Q983" s="87" t="n">
        <v>45625</v>
      </c>
      <c r="R983" s="5" t="n"/>
      <c r="S983" s="2" t="n"/>
      <c r="T983" s="3" t="n"/>
      <c r="U983" s="87" t="n"/>
      <c r="V983" s="3" t="n"/>
      <c r="W983" s="108" t="n"/>
      <c r="X983" s="4" t="n"/>
    </row>
    <row r="984" ht="24" customHeight="1">
      <c r="A984" s="2">
        <f>+D984-S984</f>
        <v/>
      </c>
      <c r="B984" s="80" t="n">
        <v>2644</v>
      </c>
      <c r="C984" s="66" t="n">
        <v>45638</v>
      </c>
      <c r="D984" s="2" t="n">
        <v>1</v>
      </c>
      <c r="E984" s="3" t="inlineStr">
        <is>
          <t>PISTOLA SEMIAUTOMATICA</t>
        </is>
      </c>
      <c r="F984" s="3" t="inlineStr">
        <is>
          <t>9X19</t>
        </is>
      </c>
      <c r="G984" s="3" t="inlineStr">
        <is>
          <t>FN</t>
        </is>
      </c>
      <c r="H984" s="65" t="inlineStr">
        <is>
          <t>509T BI NMS FDE/FDE NDS 2X17</t>
        </is>
      </c>
      <c r="I984" s="65" t="inlineStr">
        <is>
          <t>GKS0374617</t>
        </is>
      </c>
      <c r="J984" s="65" t="inlineStr">
        <is>
          <t>N/D</t>
        </is>
      </c>
      <c r="K984" s="65" t="inlineStr">
        <is>
          <t>N/D</t>
        </is>
      </c>
      <c r="L984" s="127" t="inlineStr">
        <is>
          <t>BROWNING INTERNATIONAL SA</t>
        </is>
      </c>
      <c r="M984" s="5" t="n">
        <v>590.46</v>
      </c>
      <c r="N984" s="5" t="n"/>
      <c r="O984" s="5">
        <f>+M984+N984</f>
        <v/>
      </c>
      <c r="P984" s="87" t="n">
        <v>45632</v>
      </c>
      <c r="Q984" s="87" t="n">
        <v>45625</v>
      </c>
      <c r="R984" s="5" t="n"/>
      <c r="S984" s="2" t="n"/>
      <c r="T984" s="3" t="n"/>
      <c r="U984" s="87" t="n"/>
      <c r="V984" s="3" t="n"/>
      <c r="W984" s="108" t="n"/>
      <c r="X984" s="4" t="n"/>
    </row>
    <row r="985" ht="24" customHeight="1">
      <c r="A985" s="2">
        <f>+D985-S985</f>
        <v/>
      </c>
      <c r="B985" s="80" t="n">
        <v>2645</v>
      </c>
      <c r="C985" s="66" t="n">
        <v>45638</v>
      </c>
      <c r="D985" s="2" t="n">
        <v>1</v>
      </c>
      <c r="E985" s="3" t="inlineStr">
        <is>
          <t>PISTOLA SEMIAUTOMATICA</t>
        </is>
      </c>
      <c r="F985" s="3" t="inlineStr">
        <is>
          <t>9X19</t>
        </is>
      </c>
      <c r="G985" s="3" t="inlineStr">
        <is>
          <t>FN</t>
        </is>
      </c>
      <c r="H985" s="65" t="inlineStr">
        <is>
          <t>509T BI NMS FDE/FDE NDS 2X17</t>
        </is>
      </c>
      <c r="I985" s="65" t="inlineStr">
        <is>
          <t>GKS0374285</t>
        </is>
      </c>
      <c r="J985" s="65" t="inlineStr">
        <is>
          <t>N/D</t>
        </is>
      </c>
      <c r="K985" s="65" t="inlineStr">
        <is>
          <t>N/D</t>
        </is>
      </c>
      <c r="L985" s="127" t="inlineStr">
        <is>
          <t>BROWNING INTERNATIONAL SA</t>
        </is>
      </c>
      <c r="M985" s="5" t="n">
        <v>590.46</v>
      </c>
      <c r="N985" s="5" t="n"/>
      <c r="O985" s="5">
        <f>+M985+N985</f>
        <v/>
      </c>
      <c r="P985" s="87" t="n">
        <v>45632</v>
      </c>
      <c r="Q985" s="87" t="n">
        <v>45625</v>
      </c>
      <c r="R985" s="5" t="n"/>
      <c r="S985" s="2" t="n"/>
      <c r="T985" s="3" t="n"/>
      <c r="U985" s="87" t="n"/>
      <c r="V985" s="3" t="n"/>
      <c r="W985" s="108" t="n"/>
      <c r="X985" s="4" t="n"/>
    </row>
    <row r="986" ht="24" customHeight="1">
      <c r="A986" s="2">
        <f>+D986-S986</f>
        <v/>
      </c>
      <c r="B986" s="80" t="n">
        <v>2646</v>
      </c>
      <c r="C986" s="66" t="n">
        <v>45638</v>
      </c>
      <c r="D986" s="2" t="n">
        <v>1</v>
      </c>
      <c r="E986" s="3" t="inlineStr">
        <is>
          <t>PISTOLA SEMIAUTOMATICA</t>
        </is>
      </c>
      <c r="F986" s="3" t="inlineStr">
        <is>
          <t>9X19</t>
        </is>
      </c>
      <c r="G986" s="3" t="inlineStr">
        <is>
          <t>FN</t>
        </is>
      </c>
      <c r="H986" s="65" t="inlineStr">
        <is>
          <t>509T BI NMS FDE/FDE NDS 2X17</t>
        </is>
      </c>
      <c r="I986" s="65" t="inlineStr">
        <is>
          <t>GKS0374590</t>
        </is>
      </c>
      <c r="J986" s="65" t="inlineStr">
        <is>
          <t>N/D</t>
        </is>
      </c>
      <c r="K986" s="65" t="inlineStr">
        <is>
          <t>N/D</t>
        </is>
      </c>
      <c r="L986" s="127" t="inlineStr">
        <is>
          <t>BROWNING INTERNATIONAL SA</t>
        </is>
      </c>
      <c r="M986" s="5" t="n">
        <v>590.46</v>
      </c>
      <c r="N986" s="5" t="n"/>
      <c r="O986" s="5">
        <f>+M986+N986</f>
        <v/>
      </c>
      <c r="P986" s="87" t="n">
        <v>45632</v>
      </c>
      <c r="Q986" s="87" t="n">
        <v>45625</v>
      </c>
      <c r="R986" s="5" t="n"/>
      <c r="S986" s="2" t="n"/>
      <c r="T986" s="3" t="n"/>
      <c r="U986" s="87" t="n"/>
      <c r="V986" s="3" t="n"/>
      <c r="W986" s="108" t="n"/>
      <c r="X986" s="4" t="n"/>
    </row>
    <row r="987" ht="24" customHeight="1">
      <c r="A987" s="2">
        <f>+D987-S987</f>
        <v/>
      </c>
      <c r="B987" s="80" t="n">
        <v>2647</v>
      </c>
      <c r="C987" s="66" t="n">
        <v>45638</v>
      </c>
      <c r="D987" s="2" t="n">
        <v>1</v>
      </c>
      <c r="E987" s="3" t="inlineStr">
        <is>
          <t>PISTOLA SEMIAUTOMATICA</t>
        </is>
      </c>
      <c r="F987" s="3" t="inlineStr">
        <is>
          <t>9X19</t>
        </is>
      </c>
      <c r="G987" s="3" t="inlineStr">
        <is>
          <t>FN</t>
        </is>
      </c>
      <c r="H987" s="65" t="inlineStr">
        <is>
          <t>509T BI NMS FDE/FDE NDS 2X17</t>
        </is>
      </c>
      <c r="I987" s="65" t="inlineStr">
        <is>
          <t>GKS0374279</t>
        </is>
      </c>
      <c r="J987" s="65" t="inlineStr">
        <is>
          <t>N/D</t>
        </is>
      </c>
      <c r="K987" s="65" t="inlineStr">
        <is>
          <t>N/D</t>
        </is>
      </c>
      <c r="L987" s="127" t="inlineStr">
        <is>
          <t>BROWNING INTERNATIONAL SA</t>
        </is>
      </c>
      <c r="M987" s="5" t="n">
        <v>590.46</v>
      </c>
      <c r="N987" s="5" t="n"/>
      <c r="O987" s="5">
        <f>+M987+N987</f>
        <v/>
      </c>
      <c r="P987" s="87" t="n">
        <v>45632</v>
      </c>
      <c r="Q987" s="87" t="n">
        <v>45625</v>
      </c>
      <c r="R987" s="5" t="n"/>
      <c r="S987" s="2" t="n"/>
      <c r="T987" s="3" t="n"/>
      <c r="U987" s="87" t="n"/>
      <c r="V987" s="3" t="n"/>
      <c r="W987" s="108" t="n"/>
      <c r="X987" s="4" t="n"/>
    </row>
    <row r="988" ht="24" customHeight="1">
      <c r="A988" s="2">
        <f>+D988-S988</f>
        <v/>
      </c>
      <c r="B988" s="80" t="n">
        <v>2648</v>
      </c>
      <c r="C988" s="66" t="n">
        <v>45638</v>
      </c>
      <c r="D988" s="2" t="n">
        <v>1</v>
      </c>
      <c r="E988" s="3" t="inlineStr">
        <is>
          <t>PISTOLA SEMIAUTOMATICA</t>
        </is>
      </c>
      <c r="F988" s="3" t="inlineStr">
        <is>
          <t>9X19</t>
        </is>
      </c>
      <c r="G988" s="3" t="inlineStr">
        <is>
          <t>FN</t>
        </is>
      </c>
      <c r="H988" s="65" t="inlineStr">
        <is>
          <t>509T BI NMS FDE/FDE NDS 2X17</t>
        </is>
      </c>
      <c r="I988" s="65" t="inlineStr">
        <is>
          <t>GKS0374607</t>
        </is>
      </c>
      <c r="J988" s="65" t="inlineStr">
        <is>
          <t>N/D</t>
        </is>
      </c>
      <c r="K988" s="65" t="inlineStr">
        <is>
          <t>N/D</t>
        </is>
      </c>
      <c r="L988" s="127" t="inlineStr">
        <is>
          <t>BROWNING INTERNATIONAL SA</t>
        </is>
      </c>
      <c r="M988" s="5" t="n">
        <v>590.46</v>
      </c>
      <c r="N988" s="5" t="n"/>
      <c r="O988" s="5">
        <f>+M988+N988</f>
        <v/>
      </c>
      <c r="P988" s="87" t="n">
        <v>45632</v>
      </c>
      <c r="Q988" s="87" t="n">
        <v>45625</v>
      </c>
      <c r="R988" s="5" t="n"/>
      <c r="S988" s="2" t="n"/>
      <c r="T988" s="3" t="n"/>
      <c r="U988" s="87" t="n"/>
      <c r="V988" s="3" t="n"/>
      <c r="W988" s="108" t="n"/>
      <c r="X988" s="4" t="n"/>
    </row>
    <row r="989" ht="24" customHeight="1">
      <c r="A989" s="2">
        <f>+D989-S989</f>
        <v/>
      </c>
      <c r="B989" s="80" t="n">
        <v>2649</v>
      </c>
      <c r="C989" s="66" t="n">
        <v>45638</v>
      </c>
      <c r="D989" s="2" t="n">
        <v>1</v>
      </c>
      <c r="E989" s="3" t="inlineStr">
        <is>
          <t>PISTOLA SEMIAUTOMATICA</t>
        </is>
      </c>
      <c r="F989" s="3" t="inlineStr">
        <is>
          <t>9X19</t>
        </is>
      </c>
      <c r="G989" s="3" t="inlineStr">
        <is>
          <t>FN</t>
        </is>
      </c>
      <c r="H989" s="65" t="inlineStr">
        <is>
          <t>509T BI NMS FDE/FDE NDS 2X17</t>
        </is>
      </c>
      <c r="I989" s="65" t="inlineStr">
        <is>
          <t>GKS0374286</t>
        </is>
      </c>
      <c r="J989" s="65" t="inlineStr">
        <is>
          <t>N/D</t>
        </is>
      </c>
      <c r="K989" s="65" t="inlineStr">
        <is>
          <t>N/D</t>
        </is>
      </c>
      <c r="L989" s="127" t="inlineStr">
        <is>
          <t>BROWNING INTERNATIONAL SA</t>
        </is>
      </c>
      <c r="M989" s="5" t="n">
        <v>590.46</v>
      </c>
      <c r="N989" s="5" t="n"/>
      <c r="O989" s="5">
        <f>+M989+N989</f>
        <v/>
      </c>
      <c r="P989" s="87" t="n">
        <v>45632</v>
      </c>
      <c r="Q989" s="87" t="n">
        <v>45625</v>
      </c>
      <c r="R989" s="5" t="n"/>
      <c r="S989" s="2" t="n"/>
      <c r="T989" s="3" t="n"/>
      <c r="U989" s="87" t="n"/>
      <c r="V989" s="3" t="n"/>
      <c r="W989" s="108" t="n"/>
      <c r="X989" s="4" t="n"/>
    </row>
    <row r="990" ht="24" customHeight="1">
      <c r="A990" s="2">
        <f>+D990-S990</f>
        <v/>
      </c>
      <c r="B990" s="80" t="n">
        <v>2650</v>
      </c>
      <c r="C990" s="66" t="n">
        <v>45638</v>
      </c>
      <c r="D990" s="2" t="n">
        <v>1</v>
      </c>
      <c r="E990" s="3" t="inlineStr">
        <is>
          <t>PISTOLA SEMIAUTOMATICA</t>
        </is>
      </c>
      <c r="F990" s="3" t="inlineStr">
        <is>
          <t>9X19</t>
        </is>
      </c>
      <c r="G990" s="3" t="inlineStr">
        <is>
          <t>FN</t>
        </is>
      </c>
      <c r="H990" s="65" t="inlineStr">
        <is>
          <t>509T BI NMS FDE/FDE NDS 2X17</t>
        </is>
      </c>
      <c r="I990" s="65" t="inlineStr">
        <is>
          <t>GKS0374280</t>
        </is>
      </c>
      <c r="J990" s="65" t="inlineStr">
        <is>
          <t>N/D</t>
        </is>
      </c>
      <c r="K990" s="65" t="inlineStr">
        <is>
          <t>N/D</t>
        </is>
      </c>
      <c r="L990" s="127" t="inlineStr">
        <is>
          <t>BROWNING INTERNATIONAL SA</t>
        </is>
      </c>
      <c r="M990" s="5" t="n">
        <v>590.46</v>
      </c>
      <c r="N990" s="5" t="n"/>
      <c r="O990" s="5">
        <f>+M990+N990</f>
        <v/>
      </c>
      <c r="P990" s="87" t="n">
        <v>45632</v>
      </c>
      <c r="Q990" s="87" t="n">
        <v>45625</v>
      </c>
      <c r="R990" s="5" t="n"/>
      <c r="S990" s="2" t="n"/>
      <c r="T990" s="3" t="n"/>
      <c r="U990" s="87" t="n"/>
      <c r="V990" s="3" t="n"/>
      <c r="W990" s="108" t="n"/>
      <c r="X990" s="4" t="n"/>
    </row>
    <row r="991" ht="24" customHeight="1">
      <c r="A991" s="2">
        <f>+D991-S991</f>
        <v/>
      </c>
      <c r="B991" s="80" t="n">
        <v>2651</v>
      </c>
      <c r="C991" s="66" t="n">
        <v>45638</v>
      </c>
      <c r="D991" s="2" t="n">
        <v>1</v>
      </c>
      <c r="E991" s="3" t="inlineStr">
        <is>
          <t>PISTOLA SEMIAUTOMATICA</t>
        </is>
      </c>
      <c r="F991" s="3" t="inlineStr">
        <is>
          <t>9X19</t>
        </is>
      </c>
      <c r="G991" s="3" t="inlineStr">
        <is>
          <t>FN</t>
        </is>
      </c>
      <c r="H991" s="65" t="inlineStr">
        <is>
          <t>509T BI NMS FDE/FDE NDS 2X17</t>
        </is>
      </c>
      <c r="I991" s="65" t="inlineStr">
        <is>
          <t>GKS0374622</t>
        </is>
      </c>
      <c r="J991" s="65" t="inlineStr">
        <is>
          <t>N/D</t>
        </is>
      </c>
      <c r="K991" s="65" t="inlineStr">
        <is>
          <t>N/D</t>
        </is>
      </c>
      <c r="L991" s="127" t="inlineStr">
        <is>
          <t>BROWNING INTERNATIONAL SA</t>
        </is>
      </c>
      <c r="M991" s="5" t="n">
        <v>590.46</v>
      </c>
      <c r="N991" s="5" t="n"/>
      <c r="O991" s="5">
        <f>+M991+N991</f>
        <v/>
      </c>
      <c r="P991" s="87" t="n">
        <v>45632</v>
      </c>
      <c r="Q991" s="87" t="n">
        <v>45625</v>
      </c>
      <c r="R991" s="5" t="n"/>
      <c r="S991" s="2" t="n"/>
      <c r="T991" s="3" t="n"/>
      <c r="U991" s="87" t="n"/>
      <c r="V991" s="3" t="n"/>
      <c r="W991" s="108" t="n"/>
      <c r="X991" s="4" t="n"/>
    </row>
    <row r="992" ht="24" customHeight="1">
      <c r="A992" s="2">
        <f>+D992-S992</f>
        <v/>
      </c>
      <c r="B992" s="80" t="n">
        <v>2652</v>
      </c>
      <c r="C992" s="66" t="n">
        <v>45638</v>
      </c>
      <c r="D992" s="2" t="n">
        <v>1</v>
      </c>
      <c r="E992" s="3" t="inlineStr">
        <is>
          <t>PISTOLA SEMIAUTOMATICA</t>
        </is>
      </c>
      <c r="F992" s="3" t="inlineStr">
        <is>
          <t>9X19</t>
        </is>
      </c>
      <c r="G992" s="3" t="inlineStr">
        <is>
          <t>FN</t>
        </is>
      </c>
      <c r="H992" s="65" t="inlineStr">
        <is>
          <t>509T BI NMS FDE/FDE NDS 2X17</t>
        </is>
      </c>
      <c r="I992" s="65" t="inlineStr">
        <is>
          <t>GKS0374629</t>
        </is>
      </c>
      <c r="J992" s="65" t="inlineStr">
        <is>
          <t>N/D</t>
        </is>
      </c>
      <c r="K992" s="65" t="inlineStr">
        <is>
          <t>N/D</t>
        </is>
      </c>
      <c r="L992" s="127" t="inlineStr">
        <is>
          <t>BROWNING INTERNATIONAL SA</t>
        </is>
      </c>
      <c r="M992" s="5" t="n">
        <v>590.46</v>
      </c>
      <c r="N992" s="5" t="n"/>
      <c r="O992" s="5">
        <f>+M992+N992</f>
        <v/>
      </c>
      <c r="P992" s="87" t="n">
        <v>45632</v>
      </c>
      <c r="Q992" s="87" t="n">
        <v>45625</v>
      </c>
      <c r="R992" s="5" t="n"/>
      <c r="S992" s="2" t="n"/>
      <c r="T992" s="3" t="n"/>
      <c r="U992" s="87" t="n"/>
      <c r="V992" s="3" t="n"/>
      <c r="W992" s="108" t="n"/>
      <c r="X992" s="4" t="n"/>
    </row>
    <row r="993" ht="24" customHeight="1">
      <c r="A993" s="2">
        <f>+D993-S993</f>
        <v/>
      </c>
      <c r="B993" s="80" t="n">
        <v>2653</v>
      </c>
      <c r="C993" s="66" t="n">
        <v>45638</v>
      </c>
      <c r="D993" s="2" t="n">
        <v>1</v>
      </c>
      <c r="E993" s="3" t="inlineStr">
        <is>
          <t>PISTOLA SEMIAUTOMATICA</t>
        </is>
      </c>
      <c r="F993" s="3" t="inlineStr">
        <is>
          <t>9X19</t>
        </is>
      </c>
      <c r="G993" s="3" t="inlineStr">
        <is>
          <t>FN</t>
        </is>
      </c>
      <c r="H993" s="65" t="inlineStr">
        <is>
          <t>509T BI NMS FDE/FDE NDS 2X17</t>
        </is>
      </c>
      <c r="I993" s="65" t="inlineStr">
        <is>
          <t>GKS0374597</t>
        </is>
      </c>
      <c r="J993" s="65" t="inlineStr">
        <is>
          <t>N/D</t>
        </is>
      </c>
      <c r="K993" s="65" t="inlineStr">
        <is>
          <t>N/D</t>
        </is>
      </c>
      <c r="L993" s="127" t="inlineStr">
        <is>
          <t>BROWNING INTERNATIONAL SA</t>
        </is>
      </c>
      <c r="M993" s="5" t="n">
        <v>590.46</v>
      </c>
      <c r="N993" s="5" t="n"/>
      <c r="O993" s="5">
        <f>+M993+N993</f>
        <v/>
      </c>
      <c r="P993" s="87" t="n">
        <v>45632</v>
      </c>
      <c r="Q993" s="87" t="n">
        <v>45625</v>
      </c>
      <c r="R993" s="5" t="n"/>
      <c r="S993" s="2" t="n"/>
      <c r="T993" s="3" t="n"/>
      <c r="U993" s="87" t="n"/>
      <c r="V993" s="3" t="n"/>
      <c r="W993" s="108" t="n"/>
      <c r="X993" s="4" t="n"/>
    </row>
    <row r="994" ht="24" customHeight="1">
      <c r="A994" s="2">
        <f>+D994-S994</f>
        <v/>
      </c>
      <c r="B994" s="80" t="n">
        <v>2654</v>
      </c>
      <c r="C994" s="66" t="n">
        <v>45638</v>
      </c>
      <c r="D994" s="2" t="n">
        <v>1</v>
      </c>
      <c r="E994" s="3" t="inlineStr">
        <is>
          <t>PISTOLA SEMIAUTOMATICA</t>
        </is>
      </c>
      <c r="F994" s="3" t="inlineStr">
        <is>
          <t>9X19</t>
        </is>
      </c>
      <c r="G994" s="3" t="inlineStr">
        <is>
          <t>FN</t>
        </is>
      </c>
      <c r="H994" s="65" t="inlineStr">
        <is>
          <t>509T BI NMS FDE/FDE NDS 2X17</t>
        </is>
      </c>
      <c r="I994" s="65" t="inlineStr">
        <is>
          <t>GKS0374325</t>
        </is>
      </c>
      <c r="J994" s="65" t="inlineStr">
        <is>
          <t>N/D</t>
        </is>
      </c>
      <c r="K994" s="65" t="inlineStr">
        <is>
          <t>N/D</t>
        </is>
      </c>
      <c r="L994" s="127" t="inlineStr">
        <is>
          <t>BROWNING INTERNATIONAL SA</t>
        </is>
      </c>
      <c r="M994" s="5" t="n">
        <v>590.46</v>
      </c>
      <c r="N994" s="5" t="n"/>
      <c r="O994" s="5">
        <f>+M994+N994</f>
        <v/>
      </c>
      <c r="P994" s="87" t="n">
        <v>45632</v>
      </c>
      <c r="Q994" s="87" t="n">
        <v>45625</v>
      </c>
      <c r="R994" s="5" t="n"/>
      <c r="S994" s="2" t="n"/>
      <c r="T994" s="3" t="n"/>
      <c r="U994" s="87" t="n"/>
      <c r="V994" s="3" t="n"/>
      <c r="W994" s="108" t="n"/>
      <c r="X994" s="4" t="n"/>
    </row>
    <row r="995" ht="24" customHeight="1">
      <c r="A995" s="2">
        <f>+D995-S995</f>
        <v/>
      </c>
      <c r="B995" s="80" t="n">
        <v>2655</v>
      </c>
      <c r="C995" s="66" t="n">
        <v>45638</v>
      </c>
      <c r="D995" s="2" t="n">
        <v>1</v>
      </c>
      <c r="E995" s="3" t="inlineStr">
        <is>
          <t>PISTOLA SEMIAUTOMATICA</t>
        </is>
      </c>
      <c r="F995" s="3" t="inlineStr">
        <is>
          <t>9X19</t>
        </is>
      </c>
      <c r="G995" s="3" t="inlineStr">
        <is>
          <t>FN</t>
        </is>
      </c>
      <c r="H995" s="65" t="inlineStr">
        <is>
          <t>509T BI NMS FDE/FDE NDS 2X17</t>
        </is>
      </c>
      <c r="I995" s="65" t="inlineStr">
        <is>
          <t>GKS0374320</t>
        </is>
      </c>
      <c r="J995" s="65" t="inlineStr">
        <is>
          <t>N/D</t>
        </is>
      </c>
      <c r="K995" s="65" t="inlineStr">
        <is>
          <t>N/D</t>
        </is>
      </c>
      <c r="L995" s="127" t="inlineStr">
        <is>
          <t>BROWNING INTERNATIONAL SA</t>
        </is>
      </c>
      <c r="M995" s="5" t="n">
        <v>590.46</v>
      </c>
      <c r="N995" s="5" t="n"/>
      <c r="O995" s="5">
        <f>+M995+N995</f>
        <v/>
      </c>
      <c r="P995" s="87" t="n">
        <v>45632</v>
      </c>
      <c r="Q995" s="87" t="n">
        <v>45625</v>
      </c>
      <c r="R995" s="5" t="n"/>
      <c r="S995" s="2" t="n"/>
      <c r="T995" s="3" t="n"/>
      <c r="U995" s="87" t="n"/>
      <c r="V995" s="3" t="n"/>
      <c r="W995" s="108" t="n"/>
      <c r="X995" s="4" t="n"/>
    </row>
    <row r="996" ht="24" customHeight="1">
      <c r="A996" s="2">
        <f>+D996-S996</f>
        <v/>
      </c>
      <c r="B996" s="80" t="n">
        <v>2656</v>
      </c>
      <c r="C996" s="66" t="n">
        <v>45638</v>
      </c>
      <c r="D996" s="2" t="n">
        <v>1</v>
      </c>
      <c r="E996" s="3" t="inlineStr">
        <is>
          <t>PISTOLA SEMIAUTOMATICA</t>
        </is>
      </c>
      <c r="F996" s="3" t="inlineStr">
        <is>
          <t>9X19</t>
        </is>
      </c>
      <c r="G996" s="3" t="inlineStr">
        <is>
          <t>FN</t>
        </is>
      </c>
      <c r="H996" s="65" t="inlineStr">
        <is>
          <t>509T BI NMS FDE/FDE NDS 2X17</t>
        </is>
      </c>
      <c r="I996" s="65" t="inlineStr">
        <is>
          <t>GKS0374287</t>
        </is>
      </c>
      <c r="J996" s="65" t="inlineStr">
        <is>
          <t>N/D</t>
        </is>
      </c>
      <c r="K996" s="65" t="inlineStr">
        <is>
          <t>N/D</t>
        </is>
      </c>
      <c r="L996" s="127" t="inlineStr">
        <is>
          <t>BROWNING INTERNATIONAL SA</t>
        </is>
      </c>
      <c r="M996" s="5" t="n">
        <v>590.46</v>
      </c>
      <c r="N996" s="5" t="n"/>
      <c r="O996" s="5">
        <f>+M996+N996</f>
        <v/>
      </c>
      <c r="P996" s="87" t="n">
        <v>45632</v>
      </c>
      <c r="Q996" s="87" t="n">
        <v>45625</v>
      </c>
      <c r="R996" s="5" t="n"/>
      <c r="S996" s="2" t="n"/>
      <c r="T996" s="3" t="n"/>
      <c r="U996" s="87" t="n"/>
      <c r="V996" s="3" t="n"/>
      <c r="W996" s="108" t="n"/>
      <c r="X996" s="4" t="n"/>
    </row>
    <row r="997" ht="24" customHeight="1">
      <c r="A997" s="2">
        <f>+D997-S997</f>
        <v/>
      </c>
      <c r="B997" s="80" t="n">
        <v>2657</v>
      </c>
      <c r="C997" s="66" t="n">
        <v>45638</v>
      </c>
      <c r="D997" s="2" t="n">
        <v>1</v>
      </c>
      <c r="E997" s="3" t="inlineStr">
        <is>
          <t>PISTOLA SEMIAUTOMATICA</t>
        </is>
      </c>
      <c r="F997" s="3" t="inlineStr">
        <is>
          <t>9X19</t>
        </is>
      </c>
      <c r="G997" s="3" t="inlineStr">
        <is>
          <t>FN</t>
        </is>
      </c>
      <c r="H997" s="65" t="inlineStr">
        <is>
          <t>509T BI NMS FDE/FDE NDS 2X17</t>
        </is>
      </c>
      <c r="I997" s="65" t="inlineStr">
        <is>
          <t>GKS0374316</t>
        </is>
      </c>
      <c r="J997" s="65" t="inlineStr">
        <is>
          <t>N/D</t>
        </is>
      </c>
      <c r="K997" s="65" t="inlineStr">
        <is>
          <t>N/D</t>
        </is>
      </c>
      <c r="L997" s="127" t="inlineStr">
        <is>
          <t>BROWNING INTERNATIONAL SA</t>
        </is>
      </c>
      <c r="M997" s="5" t="n">
        <v>590.46</v>
      </c>
      <c r="N997" s="5" t="n"/>
      <c r="O997" s="5">
        <f>+M997+N997</f>
        <v/>
      </c>
      <c r="P997" s="87" t="n">
        <v>45632</v>
      </c>
      <c r="Q997" s="87" t="n">
        <v>45625</v>
      </c>
      <c r="R997" s="5" t="n"/>
      <c r="S997" s="2" t="n"/>
      <c r="T997" s="3" t="n"/>
      <c r="U997" s="87" t="n"/>
      <c r="V997" s="3" t="n"/>
      <c r="W997" s="108" t="n"/>
      <c r="X997" s="4" t="n"/>
    </row>
    <row r="998" ht="24" customHeight="1">
      <c r="A998" s="2">
        <f>+D998-S998</f>
        <v/>
      </c>
      <c r="B998" s="80" t="n">
        <v>2658</v>
      </c>
      <c r="C998" s="66" t="n">
        <v>45638</v>
      </c>
      <c r="D998" s="2" t="n">
        <v>1</v>
      </c>
      <c r="E998" s="3" t="inlineStr">
        <is>
          <t>PISTOLA SEMIAUTOMATICA</t>
        </is>
      </c>
      <c r="F998" s="3" t="inlineStr">
        <is>
          <t>9X19</t>
        </is>
      </c>
      <c r="G998" s="3" t="inlineStr">
        <is>
          <t>FN</t>
        </is>
      </c>
      <c r="H998" s="65" t="inlineStr">
        <is>
          <t>509T BI NMS FDE/FDE NDS 2X17</t>
        </is>
      </c>
      <c r="I998" s="65" t="inlineStr">
        <is>
          <t>GKS0374272</t>
        </is>
      </c>
      <c r="J998" s="65" t="inlineStr">
        <is>
          <t>N/D</t>
        </is>
      </c>
      <c r="K998" s="65" t="inlineStr">
        <is>
          <t>N/D</t>
        </is>
      </c>
      <c r="L998" s="127" t="inlineStr">
        <is>
          <t>BROWNING INTERNATIONAL SA</t>
        </is>
      </c>
      <c r="M998" s="5" t="n">
        <v>590.46</v>
      </c>
      <c r="N998" s="5" t="n"/>
      <c r="O998" s="5">
        <f>+M998+N998</f>
        <v/>
      </c>
      <c r="P998" s="87" t="n">
        <v>45632</v>
      </c>
      <c r="Q998" s="87" t="n">
        <v>45625</v>
      </c>
      <c r="R998" s="5" t="n"/>
      <c r="S998" s="2" t="n"/>
      <c r="T998" s="3" t="n"/>
      <c r="U998" s="87" t="n"/>
      <c r="V998" s="3" t="n"/>
      <c r="W998" s="108" t="n"/>
      <c r="X998" s="4" t="n"/>
    </row>
    <row r="999" ht="24" customHeight="1">
      <c r="A999" s="2">
        <f>+D999-S999</f>
        <v/>
      </c>
      <c r="B999" s="80" t="n">
        <v>2659</v>
      </c>
      <c r="C999" s="66" t="n">
        <v>45638</v>
      </c>
      <c r="D999" s="2" t="n">
        <v>1</v>
      </c>
      <c r="E999" s="3" t="inlineStr">
        <is>
          <t>PISTOLA SEMIAUTOMATICA</t>
        </is>
      </c>
      <c r="F999" s="3" t="inlineStr">
        <is>
          <t>9X19</t>
        </is>
      </c>
      <c r="G999" s="3" t="inlineStr">
        <is>
          <t>FN</t>
        </is>
      </c>
      <c r="H999" s="65" t="inlineStr">
        <is>
          <t>509T BI NMS FDE/FDE NDS 2X17</t>
        </is>
      </c>
      <c r="I999" s="65" t="inlineStr">
        <is>
          <t>GKS0374322</t>
        </is>
      </c>
      <c r="J999" s="65" t="inlineStr">
        <is>
          <t>N/D</t>
        </is>
      </c>
      <c r="K999" s="65" t="inlineStr">
        <is>
          <t>N/D</t>
        </is>
      </c>
      <c r="L999" s="127" t="inlineStr">
        <is>
          <t>BROWNING INTERNATIONAL SA</t>
        </is>
      </c>
      <c r="M999" s="5" t="n">
        <v>590.46</v>
      </c>
      <c r="N999" s="5" t="n"/>
      <c r="O999" s="5">
        <f>+M999+N999</f>
        <v/>
      </c>
      <c r="P999" s="87" t="n">
        <v>45632</v>
      </c>
      <c r="Q999" s="87" t="n">
        <v>45625</v>
      </c>
      <c r="R999" s="5" t="n"/>
      <c r="S999" s="2" t="n"/>
      <c r="T999" s="3" t="n"/>
      <c r="U999" s="87" t="n"/>
      <c r="V999" s="3" t="n"/>
      <c r="W999" s="108" t="n"/>
      <c r="X999" s="4" t="n"/>
    </row>
    <row r="1000" ht="24" customHeight="1">
      <c r="A1000" s="2">
        <f>+D1000-S1000</f>
        <v/>
      </c>
      <c r="B1000" s="80" t="n">
        <v>2660</v>
      </c>
      <c r="C1000" s="66" t="n">
        <v>45638</v>
      </c>
      <c r="D1000" s="2" t="n">
        <v>1</v>
      </c>
      <c r="E1000" s="3" t="inlineStr">
        <is>
          <t>PISTOLA SEMIAUTOMATICA</t>
        </is>
      </c>
      <c r="F1000" s="3" t="inlineStr">
        <is>
          <t>9X19</t>
        </is>
      </c>
      <c r="G1000" s="3" t="inlineStr">
        <is>
          <t>FN</t>
        </is>
      </c>
      <c r="H1000" s="65" t="inlineStr">
        <is>
          <t>509T BI NMS FDE/FDE NDS 2X17</t>
        </is>
      </c>
      <c r="I1000" s="65" t="inlineStr">
        <is>
          <t>GKS0374583</t>
        </is>
      </c>
      <c r="J1000" s="65" t="inlineStr">
        <is>
          <t>N/D</t>
        </is>
      </c>
      <c r="K1000" s="65" t="inlineStr">
        <is>
          <t>N/D</t>
        </is>
      </c>
      <c r="L1000" s="127" t="inlineStr">
        <is>
          <t>BROWNING INTERNATIONAL SA</t>
        </is>
      </c>
      <c r="M1000" s="5" t="n">
        <v>590.46</v>
      </c>
      <c r="N1000" s="5" t="n"/>
      <c r="O1000" s="5">
        <f>+M1000+N1000</f>
        <v/>
      </c>
      <c r="P1000" s="87" t="n">
        <v>45632</v>
      </c>
      <c r="Q1000" s="87" t="n">
        <v>45625</v>
      </c>
      <c r="R1000" s="5" t="n"/>
      <c r="S1000" s="2" t="n"/>
      <c r="T1000" s="3" t="n"/>
      <c r="U1000" s="87" t="n"/>
      <c r="V1000" s="3" t="n"/>
      <c r="W1000" s="108" t="n"/>
      <c r="X1000" s="4" t="n"/>
    </row>
    <row r="1001" ht="24" customHeight="1">
      <c r="A1001" s="2">
        <f>+D1001-S1001</f>
        <v/>
      </c>
      <c r="B1001" s="80" t="n">
        <v>2661</v>
      </c>
      <c r="C1001" s="66" t="n">
        <v>45638</v>
      </c>
      <c r="D1001" s="2" t="n">
        <v>1</v>
      </c>
      <c r="E1001" s="3" t="inlineStr">
        <is>
          <t>PISTOLA SEMIAUTOMATICA</t>
        </is>
      </c>
      <c r="F1001" s="3" t="inlineStr">
        <is>
          <t>9X19</t>
        </is>
      </c>
      <c r="G1001" s="3" t="inlineStr">
        <is>
          <t>FN</t>
        </is>
      </c>
      <c r="H1001" s="65" t="inlineStr">
        <is>
          <t>509T BI NMS FDE/FDE NDS 2X17</t>
        </is>
      </c>
      <c r="I1001" s="65" t="inlineStr">
        <is>
          <t>GKS0374618</t>
        </is>
      </c>
      <c r="J1001" s="65" t="inlineStr">
        <is>
          <t>N/D</t>
        </is>
      </c>
      <c r="K1001" s="65" t="inlineStr">
        <is>
          <t>N/D</t>
        </is>
      </c>
      <c r="L1001" s="127" t="inlineStr">
        <is>
          <t>BROWNING INTERNATIONAL SA</t>
        </is>
      </c>
      <c r="M1001" s="5" t="n">
        <v>590.46</v>
      </c>
      <c r="N1001" s="5" t="n"/>
      <c r="O1001" s="5">
        <f>+M1001+N1001</f>
        <v/>
      </c>
      <c r="P1001" s="87" t="n">
        <v>45632</v>
      </c>
      <c r="Q1001" s="87" t="n">
        <v>45625</v>
      </c>
      <c r="R1001" s="5" t="n"/>
      <c r="S1001" s="2" t="n"/>
      <c r="T1001" s="3" t="n"/>
      <c r="U1001" s="87" t="n"/>
      <c r="V1001" s="3" t="n"/>
      <c r="W1001" s="108" t="n"/>
      <c r="X1001" s="4" t="n"/>
    </row>
    <row r="1002" ht="24" customHeight="1">
      <c r="A1002" s="2">
        <f>+D1002-S1002</f>
        <v/>
      </c>
      <c r="B1002" s="80" t="n">
        <v>2662</v>
      </c>
      <c r="C1002" s="66" t="n">
        <v>45638</v>
      </c>
      <c r="D1002" s="2" t="n">
        <v>1</v>
      </c>
      <c r="E1002" s="3" t="inlineStr">
        <is>
          <t>PISTOLA SEMIAUTOMATICA</t>
        </is>
      </c>
      <c r="F1002" s="3" t="inlineStr">
        <is>
          <t>9X19</t>
        </is>
      </c>
      <c r="G1002" s="3" t="inlineStr">
        <is>
          <t>FN</t>
        </is>
      </c>
      <c r="H1002" s="65" t="inlineStr">
        <is>
          <t>509T BI NMS FDE/FDE NDS 2X17</t>
        </is>
      </c>
      <c r="I1002" s="65" t="inlineStr">
        <is>
          <t>GKS0374604</t>
        </is>
      </c>
      <c r="J1002" s="65" t="inlineStr">
        <is>
          <t>N/D</t>
        </is>
      </c>
      <c r="K1002" s="65" t="inlineStr">
        <is>
          <t>N/D</t>
        </is>
      </c>
      <c r="L1002" s="127" t="inlineStr">
        <is>
          <t>BROWNING INTERNATIONAL SA</t>
        </is>
      </c>
      <c r="M1002" s="5" t="n">
        <v>590.46</v>
      </c>
      <c r="N1002" s="5" t="n"/>
      <c r="O1002" s="5">
        <f>+M1002+N1002</f>
        <v/>
      </c>
      <c r="P1002" s="87" t="n">
        <v>45632</v>
      </c>
      <c r="Q1002" s="87" t="n">
        <v>45625</v>
      </c>
      <c r="R1002" s="5" t="n"/>
      <c r="S1002" s="2" t="n"/>
      <c r="T1002" s="3" t="n"/>
      <c r="U1002" s="87" t="n"/>
      <c r="V1002" s="3" t="n"/>
      <c r="W1002" s="108" t="n"/>
      <c r="X1002" s="4" t="n"/>
    </row>
    <row r="1003" ht="24" customHeight="1">
      <c r="A1003" s="2">
        <f>+D1003-S1003</f>
        <v/>
      </c>
      <c r="B1003" s="80" t="n">
        <v>2663</v>
      </c>
      <c r="C1003" s="66" t="n">
        <v>45638</v>
      </c>
      <c r="D1003" s="2" t="n">
        <v>1</v>
      </c>
      <c r="E1003" s="3" t="inlineStr">
        <is>
          <t>PISTOLA SEMIAUTOMATICA</t>
        </is>
      </c>
      <c r="F1003" s="3" t="inlineStr">
        <is>
          <t>9X19</t>
        </is>
      </c>
      <c r="G1003" s="3" t="inlineStr">
        <is>
          <t>FN</t>
        </is>
      </c>
      <c r="H1003" s="65" t="inlineStr">
        <is>
          <t>509T BI NMS FDE/FDE NDS 2X17</t>
        </is>
      </c>
      <c r="I1003" s="65" t="inlineStr">
        <is>
          <t>GKS0374312</t>
        </is>
      </c>
      <c r="J1003" s="65" t="inlineStr">
        <is>
          <t>N/D</t>
        </is>
      </c>
      <c r="K1003" s="65" t="inlineStr">
        <is>
          <t>N/D</t>
        </is>
      </c>
      <c r="L1003" s="127" t="inlineStr">
        <is>
          <t>BROWNING INTERNATIONAL SA</t>
        </is>
      </c>
      <c r="M1003" s="5" t="n">
        <v>590.46</v>
      </c>
      <c r="N1003" s="5" t="n"/>
      <c r="O1003" s="5">
        <f>+M1003+N1003</f>
        <v/>
      </c>
      <c r="P1003" s="87" t="n">
        <v>45632</v>
      </c>
      <c r="Q1003" s="87" t="n">
        <v>45625</v>
      </c>
      <c r="R1003" s="5" t="n"/>
      <c r="S1003" s="2" t="n"/>
      <c r="T1003" s="3" t="n"/>
      <c r="U1003" s="87" t="n"/>
      <c r="V1003" s="3" t="n"/>
      <c r="W1003" s="108" t="n"/>
      <c r="X1003" s="4" t="n"/>
    </row>
    <row r="1004" ht="24" customHeight="1">
      <c r="A1004" s="2">
        <f>+D1004-S1004</f>
        <v/>
      </c>
      <c r="B1004" s="80" t="n">
        <v>2664</v>
      </c>
      <c r="C1004" s="66" t="n">
        <v>45638</v>
      </c>
      <c r="D1004" s="2" t="n">
        <v>1</v>
      </c>
      <c r="E1004" s="3" t="inlineStr">
        <is>
          <t>PISTOLA SEMIAUTOMATICA</t>
        </is>
      </c>
      <c r="F1004" s="3" t="inlineStr">
        <is>
          <t>9X19</t>
        </is>
      </c>
      <c r="G1004" s="3" t="inlineStr">
        <is>
          <t>FN</t>
        </is>
      </c>
      <c r="H1004" s="65" t="inlineStr">
        <is>
          <t>509T BI NMS FDE/FDE NDS 2X17</t>
        </is>
      </c>
      <c r="I1004" s="65" t="inlineStr">
        <is>
          <t>GKS0374313</t>
        </is>
      </c>
      <c r="J1004" s="65" t="inlineStr">
        <is>
          <t>N/D</t>
        </is>
      </c>
      <c r="K1004" s="65" t="inlineStr">
        <is>
          <t>N/D</t>
        </is>
      </c>
      <c r="L1004" s="127" t="inlineStr">
        <is>
          <t>BROWNING INTERNATIONAL SA</t>
        </is>
      </c>
      <c r="M1004" s="5" t="n">
        <v>590.46</v>
      </c>
      <c r="N1004" s="5" t="n"/>
      <c r="O1004" s="5">
        <f>+M1004+N1004</f>
        <v/>
      </c>
      <c r="P1004" s="87" t="n">
        <v>45632</v>
      </c>
      <c r="Q1004" s="87" t="n">
        <v>45625</v>
      </c>
      <c r="R1004" s="5" t="n"/>
      <c r="S1004" s="2" t="n"/>
      <c r="T1004" s="3" t="n"/>
      <c r="U1004" s="87" t="n"/>
      <c r="V1004" s="3" t="n"/>
      <c r="W1004" s="108" t="n"/>
      <c r="X1004" s="4" t="n"/>
    </row>
    <row r="1005" ht="24" customHeight="1">
      <c r="A1005" s="2">
        <f>+D1005-S1005</f>
        <v/>
      </c>
      <c r="B1005" s="80" t="n">
        <v>2665</v>
      </c>
      <c r="C1005" s="66" t="n">
        <v>45638</v>
      </c>
      <c r="D1005" s="2" t="n">
        <v>1</v>
      </c>
      <c r="E1005" s="3" t="inlineStr">
        <is>
          <t>PISTOLA SEMIAUTOMATICA</t>
        </is>
      </c>
      <c r="F1005" s="3" t="inlineStr">
        <is>
          <t>9X19</t>
        </is>
      </c>
      <c r="G1005" s="3" t="inlineStr">
        <is>
          <t>FN</t>
        </is>
      </c>
      <c r="H1005" s="65" t="inlineStr">
        <is>
          <t>509T BI NMS FDE/FDE NDS 2X17</t>
        </is>
      </c>
      <c r="I1005" s="65" t="inlineStr">
        <is>
          <t>GKS0374309</t>
        </is>
      </c>
      <c r="J1005" s="65" t="inlineStr">
        <is>
          <t>N/D</t>
        </is>
      </c>
      <c r="K1005" s="65" t="inlineStr">
        <is>
          <t>N/D</t>
        </is>
      </c>
      <c r="L1005" s="127" t="inlineStr">
        <is>
          <t>BROWNING INTERNATIONAL SA</t>
        </is>
      </c>
      <c r="M1005" s="5" t="n">
        <v>590.46</v>
      </c>
      <c r="N1005" s="5" t="n"/>
      <c r="O1005" s="5">
        <f>+M1005+N1005</f>
        <v/>
      </c>
      <c r="P1005" s="87" t="n">
        <v>45632</v>
      </c>
      <c r="Q1005" s="87" t="n">
        <v>45625</v>
      </c>
      <c r="R1005" s="5" t="n"/>
      <c r="S1005" s="2" t="n"/>
      <c r="T1005" s="3" t="n"/>
      <c r="U1005" s="87" t="n"/>
      <c r="V1005" s="3" t="n"/>
      <c r="W1005" s="108" t="n"/>
      <c r="X1005" s="4" t="n"/>
    </row>
    <row r="1006" ht="24" customHeight="1">
      <c r="A1006" s="2">
        <f>+D1006-S1006</f>
        <v/>
      </c>
      <c r="B1006" s="80" t="n">
        <v>2666</v>
      </c>
      <c r="C1006" s="66" t="n">
        <v>45638</v>
      </c>
      <c r="D1006" s="2" t="n">
        <v>1</v>
      </c>
      <c r="E1006" s="3" t="inlineStr">
        <is>
          <t>PISTOLA SEMIAUTOMATICA</t>
        </is>
      </c>
      <c r="F1006" s="3" t="inlineStr">
        <is>
          <t>22LR</t>
        </is>
      </c>
      <c r="G1006" s="3" t="inlineStr">
        <is>
          <t>FN</t>
        </is>
      </c>
      <c r="H1006" s="65" t="inlineStr">
        <is>
          <t>502 T FDE/FDE 1X15+1X10</t>
        </is>
      </c>
      <c r="I1006" s="65" t="inlineStr">
        <is>
          <t>LR089861</t>
        </is>
      </c>
      <c r="J1006" s="65" t="inlineStr">
        <is>
          <t>N/D</t>
        </is>
      </c>
      <c r="K1006" s="65" t="inlineStr">
        <is>
          <t>N/D</t>
        </is>
      </c>
      <c r="L1006" s="127" t="inlineStr">
        <is>
          <t>BROWNING INTERNATIONAL SA</t>
        </is>
      </c>
      <c r="M1006" s="5" t="n">
        <v>429</v>
      </c>
      <c r="N1006" s="5" t="n"/>
      <c r="O1006" s="5">
        <f>+M1006+N1006</f>
        <v/>
      </c>
      <c r="P1006" s="87" t="n">
        <v>45632</v>
      </c>
      <c r="Q1006" s="87" t="n">
        <v>45625</v>
      </c>
      <c r="R1006" s="5" t="n"/>
      <c r="S1006" s="2" t="n"/>
      <c r="T1006" s="3" t="n"/>
      <c r="U1006" s="87" t="n"/>
      <c r="V1006" s="3" t="n"/>
      <c r="W1006" s="108" t="n"/>
      <c r="X1006" s="4" t="n"/>
    </row>
    <row r="1007" ht="24" customHeight="1">
      <c r="A1007" s="2">
        <f>+D1007-S1007</f>
        <v/>
      </c>
      <c r="B1007" s="80" t="n">
        <v>2667</v>
      </c>
      <c r="C1007" s="66" t="n">
        <v>45638</v>
      </c>
      <c r="D1007" s="2" t="n">
        <v>1</v>
      </c>
      <c r="E1007" s="3" t="inlineStr">
        <is>
          <t>PISTOLA SEMIAUTOMATICA</t>
        </is>
      </c>
      <c r="F1007" s="3" t="inlineStr">
        <is>
          <t>22LR</t>
        </is>
      </c>
      <c r="G1007" s="3" t="inlineStr">
        <is>
          <t>FN</t>
        </is>
      </c>
      <c r="H1007" s="65" t="inlineStr">
        <is>
          <t>502 T FDE/FDE 1X15+1X10</t>
        </is>
      </c>
      <c r="I1007" s="65" t="inlineStr">
        <is>
          <t>LR089839</t>
        </is>
      </c>
      <c r="J1007" s="65" t="inlineStr">
        <is>
          <t>N/D</t>
        </is>
      </c>
      <c r="K1007" s="65" t="inlineStr">
        <is>
          <t>N/D</t>
        </is>
      </c>
      <c r="L1007" s="127" t="inlineStr">
        <is>
          <t>BROWNING INTERNATIONAL SA</t>
        </is>
      </c>
      <c r="M1007" s="5" t="n">
        <v>429</v>
      </c>
      <c r="N1007" s="5" t="n"/>
      <c r="O1007" s="5">
        <f>+M1007+N1007</f>
        <v/>
      </c>
      <c r="P1007" s="87" t="n">
        <v>45632</v>
      </c>
      <c r="Q1007" s="87" t="n">
        <v>45625</v>
      </c>
      <c r="R1007" s="5" t="n">
        <v>450</v>
      </c>
      <c r="S1007" s="2" t="n">
        <v>1</v>
      </c>
      <c r="T1007" s="3" t="inlineStr">
        <is>
          <t>CA04954OS</t>
        </is>
      </c>
      <c r="U1007" s="87" t="n">
        <v>45874</v>
      </c>
      <c r="V1007" s="3" t="inlineStr">
        <is>
          <t>25</t>
        </is>
      </c>
      <c r="W1007" s="4" t="n">
        <v>45874</v>
      </c>
      <c r="X1007" s="4" t="inlineStr">
        <is>
          <t>PHILIPPOS  CONSTANTINIDES
TRADING CO.LTD</t>
        </is>
      </c>
    </row>
    <row r="1008" ht="24" customHeight="1">
      <c r="A1008" s="2">
        <f>+D1008-S1008</f>
        <v/>
      </c>
      <c r="B1008" s="80" t="n">
        <v>2668</v>
      </c>
      <c r="C1008" s="66" t="n">
        <v>45638</v>
      </c>
      <c r="D1008" s="2" t="n">
        <v>1</v>
      </c>
      <c r="E1008" s="3" t="inlineStr">
        <is>
          <t>PISTOLA SEMIAUTOMATICA</t>
        </is>
      </c>
      <c r="F1008" s="3" t="inlineStr">
        <is>
          <t>22LR</t>
        </is>
      </c>
      <c r="G1008" s="3" t="inlineStr">
        <is>
          <t>FN</t>
        </is>
      </c>
      <c r="H1008" s="65" t="inlineStr">
        <is>
          <t>502 T BLK/BLK 1X15+1X10</t>
        </is>
      </c>
      <c r="I1008" s="65" t="inlineStr">
        <is>
          <t>LR088511</t>
        </is>
      </c>
      <c r="J1008" s="65" t="inlineStr">
        <is>
          <t>N/D</t>
        </is>
      </c>
      <c r="K1008" s="65" t="inlineStr">
        <is>
          <t>N/D</t>
        </is>
      </c>
      <c r="L1008" s="127" t="inlineStr">
        <is>
          <t>BROWNING INTERNATIONAL SA</t>
        </is>
      </c>
      <c r="M1008" s="5" t="n">
        <v>429</v>
      </c>
      <c r="N1008" s="5" t="n"/>
      <c r="O1008" s="5">
        <f>+M1008+N1008</f>
        <v/>
      </c>
      <c r="P1008" s="87" t="n">
        <v>45632</v>
      </c>
      <c r="Q1008" s="87" t="n">
        <v>45625</v>
      </c>
      <c r="R1008" s="5" t="n"/>
      <c r="S1008" s="2" t="n"/>
      <c r="T1008" s="3" t="n"/>
      <c r="U1008" s="87" t="n"/>
      <c r="V1008" s="3" t="n"/>
      <c r="W1008" s="108" t="n"/>
      <c r="X1008" s="4" t="n"/>
    </row>
    <row r="1009" ht="24" customHeight="1">
      <c r="A1009" s="2">
        <f>+D1009-S1009</f>
        <v/>
      </c>
      <c r="B1009" s="80" t="n">
        <v>2669</v>
      </c>
      <c r="C1009" s="66" t="n">
        <v>45638</v>
      </c>
      <c r="D1009" s="2" t="n">
        <v>1</v>
      </c>
      <c r="E1009" s="3" t="inlineStr">
        <is>
          <t>PISTOLA SEMIAUTOMATICA</t>
        </is>
      </c>
      <c r="F1009" s="3" t="inlineStr">
        <is>
          <t>22LR</t>
        </is>
      </c>
      <c r="G1009" s="3" t="inlineStr">
        <is>
          <t>FN</t>
        </is>
      </c>
      <c r="H1009" s="65" t="inlineStr">
        <is>
          <t>502 T BLK/BLK 1X15+1X10</t>
        </is>
      </c>
      <c r="I1009" s="65" t="inlineStr">
        <is>
          <t>LR088523</t>
        </is>
      </c>
      <c r="J1009" s="65" t="inlineStr">
        <is>
          <t>N/D</t>
        </is>
      </c>
      <c r="K1009" s="65" t="inlineStr">
        <is>
          <t>N/D</t>
        </is>
      </c>
      <c r="L1009" s="127" t="inlineStr">
        <is>
          <t>BROWNING INTERNATIONAL SA</t>
        </is>
      </c>
      <c r="M1009" s="5" t="n">
        <v>429</v>
      </c>
      <c r="N1009" s="5" t="n"/>
      <c r="O1009" s="5">
        <f>+M1009+N1009</f>
        <v/>
      </c>
      <c r="P1009" s="87" t="n">
        <v>45632</v>
      </c>
      <c r="Q1009" s="87" t="n">
        <v>45625</v>
      </c>
      <c r="R1009" s="5" t="n"/>
      <c r="S1009" s="2" t="n"/>
      <c r="T1009" s="3" t="n"/>
      <c r="U1009" s="87" t="n"/>
      <c r="V1009" s="3" t="n"/>
      <c r="W1009" s="108" t="n"/>
      <c r="X1009" s="4" t="n"/>
    </row>
    <row r="1010" ht="24" customHeight="1">
      <c r="A1010" s="2">
        <f>+D1010-S1010</f>
        <v/>
      </c>
      <c r="B1010" s="80" t="n">
        <v>2670</v>
      </c>
      <c r="C1010" s="66" t="n">
        <v>45644</v>
      </c>
      <c r="D1010" s="2" t="n">
        <v>1</v>
      </c>
      <c r="E1010" s="3" t="inlineStr">
        <is>
          <t>PISTOLA SEMIAUTOMATICA</t>
        </is>
      </c>
      <c r="F1010" s="3" t="inlineStr">
        <is>
          <t>9X19</t>
        </is>
      </c>
      <c r="G1010" s="3" t="inlineStr">
        <is>
          <t>FN</t>
        </is>
      </c>
      <c r="H1010" s="65" t="inlineStr">
        <is>
          <t>509 T NMS FDE/FDE NDS 2X17</t>
        </is>
      </c>
      <c r="I1010" s="65" t="inlineStr">
        <is>
          <t>GKS0374595</t>
        </is>
      </c>
      <c r="J1010" s="65" t="inlineStr">
        <is>
          <t>N/D</t>
        </is>
      </c>
      <c r="K1010" s="65" t="inlineStr">
        <is>
          <t>N/D</t>
        </is>
      </c>
      <c r="L1010" s="127" t="inlineStr">
        <is>
          <t>BROWNING INTERNATIONAL SA</t>
        </is>
      </c>
      <c r="M1010" s="5" t="n">
        <v>590.46</v>
      </c>
      <c r="N1010" s="5" t="n"/>
      <c r="O1010" s="5">
        <f>+M1010+N1010</f>
        <v/>
      </c>
      <c r="P1010" s="87" t="n">
        <v>45637</v>
      </c>
      <c r="Q1010" s="87" t="n">
        <v>45632</v>
      </c>
      <c r="R1010" s="5" t="n"/>
      <c r="S1010" s="2" t="n"/>
      <c r="T1010" s="3" t="n"/>
      <c r="U1010" s="87" t="n"/>
      <c r="V1010" s="3" t="n"/>
      <c r="W1010" s="108" t="n"/>
      <c r="X1010" s="4" t="n"/>
    </row>
    <row r="1011" ht="24" customHeight="1">
      <c r="A1011" s="2">
        <f>+D1011-S1011</f>
        <v/>
      </c>
      <c r="B1011" s="80" t="n">
        <v>2671</v>
      </c>
      <c r="C1011" s="66" t="n">
        <v>45645</v>
      </c>
      <c r="D1011" s="2" t="n">
        <v>1</v>
      </c>
      <c r="E1011" s="3" t="inlineStr">
        <is>
          <t>FUCILE DOPPIETTA</t>
        </is>
      </c>
      <c r="F1011" s="3" t="inlineStr">
        <is>
          <t>12</t>
        </is>
      </c>
      <c r="G1011" s="3" t="inlineStr">
        <is>
          <t>COCKERILL</t>
        </is>
      </c>
      <c r="H1011" s="65" t="inlineStr">
        <is>
          <t>CE</t>
        </is>
      </c>
      <c r="I1011" s="65" t="inlineStr">
        <is>
          <t>117894</t>
        </is>
      </c>
      <c r="J1011" s="65" t="inlineStr">
        <is>
          <t>N/D</t>
        </is>
      </c>
      <c r="K1011" s="65" t="inlineStr">
        <is>
          <t>N/D</t>
        </is>
      </c>
      <c r="L1011" s="127" t="inlineStr">
        <is>
          <t>MANTOVARMI</t>
        </is>
      </c>
      <c r="M1011" s="5" t="n">
        <v>70</v>
      </c>
      <c r="N1011" s="5" t="n"/>
      <c r="O1011" s="5">
        <f>+M1011+N1011</f>
        <v/>
      </c>
      <c r="P1011" s="4" t="n">
        <v>45645</v>
      </c>
      <c r="Q1011" s="87" t="n"/>
      <c r="R1011" s="5" t="n">
        <v>82</v>
      </c>
      <c r="S1011" s="2" t="n">
        <v>1</v>
      </c>
      <c r="T1011" s="3" t="inlineStr">
        <is>
          <t>CA42796IR</t>
        </is>
      </c>
      <c r="U1011" s="87" t="n">
        <v>45821</v>
      </c>
      <c r="V1011" s="3" t="inlineStr">
        <is>
          <t>12</t>
        </is>
      </c>
      <c r="W1011" s="108" t="n">
        <v>45821</v>
      </c>
      <c r="X1011" s="4" t="inlineStr">
        <is>
          <t>PHILIPPOS COSTANTINIDES TRADING CO. LTD</t>
        </is>
      </c>
    </row>
    <row r="1012" ht="24" customHeight="1">
      <c r="A1012" s="2">
        <f>+D1012-S1012</f>
        <v/>
      </c>
      <c r="B1012" s="80" t="n">
        <v>2672</v>
      </c>
      <c r="C1012" s="66" t="n">
        <v>45645</v>
      </c>
      <c r="D1012" s="2" t="n">
        <v>1</v>
      </c>
      <c r="E1012" s="3" t="inlineStr">
        <is>
          <t>FUCILE DOPPIETTA</t>
        </is>
      </c>
      <c r="F1012" s="3" t="inlineStr">
        <is>
          <t>12</t>
        </is>
      </c>
      <c r="G1012" s="3" t="inlineStr">
        <is>
          <t>LANCELLOTTI</t>
        </is>
      </c>
      <c r="H1012" s="65" t="inlineStr">
        <is>
          <t>CE</t>
        </is>
      </c>
      <c r="I1012" s="65" t="inlineStr">
        <is>
          <t>6295</t>
        </is>
      </c>
      <c r="J1012" s="65" t="inlineStr">
        <is>
          <t>N/D</t>
        </is>
      </c>
      <c r="K1012" s="65" t="inlineStr">
        <is>
          <t>N/D</t>
        </is>
      </c>
      <c r="L1012" s="127" t="inlineStr">
        <is>
          <t>MANTOVARMI</t>
        </is>
      </c>
      <c r="M1012" s="5" t="n">
        <v>70</v>
      </c>
      <c r="N1012" s="5" t="n"/>
      <c r="O1012" s="5">
        <f>+M1012+N1012</f>
        <v/>
      </c>
      <c r="P1012" s="4" t="n">
        <v>45645</v>
      </c>
      <c r="Q1012" s="87" t="n"/>
      <c r="R1012" s="5" t="n">
        <v>82</v>
      </c>
      <c r="S1012" s="2" t="n">
        <v>1</v>
      </c>
      <c r="T1012" s="3" t="inlineStr">
        <is>
          <t>CA42796IR</t>
        </is>
      </c>
      <c r="U1012" s="87" t="n">
        <v>45821</v>
      </c>
      <c r="V1012" s="3" t="inlineStr">
        <is>
          <t>14</t>
        </is>
      </c>
      <c r="W1012" s="108" t="n">
        <v>45821</v>
      </c>
      <c r="X1012" s="4" t="inlineStr">
        <is>
          <t>PHILIPPOS COSTANTINIDES TRADING CO. LTD</t>
        </is>
      </c>
    </row>
    <row r="1013" ht="24" customHeight="1">
      <c r="A1013" s="2">
        <f>+D1013-S1013</f>
        <v/>
      </c>
      <c r="B1013" s="80" t="n">
        <v>2673</v>
      </c>
      <c r="C1013" s="66" t="n">
        <v>45645</v>
      </c>
      <c r="D1013" s="2" t="n">
        <v>1</v>
      </c>
      <c r="E1013" s="3" t="inlineStr">
        <is>
          <t>FUCILE DOPPIETTA</t>
        </is>
      </c>
      <c r="F1013" s="3" t="inlineStr">
        <is>
          <t>12</t>
        </is>
      </c>
      <c r="G1013" s="3" t="inlineStr">
        <is>
          <t>ARTIGANALE</t>
        </is>
      </c>
      <c r="H1013" s="65" t="inlineStr">
        <is>
          <t>CE</t>
        </is>
      </c>
      <c r="I1013" s="65" t="inlineStr">
        <is>
          <t>586</t>
        </is>
      </c>
      <c r="J1013" s="65" t="inlineStr">
        <is>
          <t>N/D</t>
        </is>
      </c>
      <c r="K1013" s="65" t="inlineStr">
        <is>
          <t>N/D</t>
        </is>
      </c>
      <c r="L1013" s="127" t="inlineStr">
        <is>
          <t>MANTOVARMI</t>
        </is>
      </c>
      <c r="M1013" s="5" t="n">
        <v>70</v>
      </c>
      <c r="N1013" s="5" t="n"/>
      <c r="O1013" s="5">
        <f>+M1013+N1013</f>
        <v/>
      </c>
      <c r="P1013" s="4" t="n">
        <v>45645</v>
      </c>
      <c r="Q1013" s="87" t="n"/>
      <c r="R1013" s="5" t="n">
        <v>82</v>
      </c>
      <c r="S1013" s="2" t="n">
        <v>1</v>
      </c>
      <c r="T1013" s="3" t="inlineStr">
        <is>
          <t>CA42796IR</t>
        </is>
      </c>
      <c r="U1013" s="87" t="n">
        <v>45821</v>
      </c>
      <c r="V1013" s="3" t="inlineStr">
        <is>
          <t>12</t>
        </is>
      </c>
      <c r="W1013" s="108" t="n">
        <v>45821</v>
      </c>
      <c r="X1013" s="4" t="inlineStr">
        <is>
          <t>PHILIPPOS COSTANTINIDES TRADING CO. LTD</t>
        </is>
      </c>
    </row>
    <row r="1014" ht="24" customHeight="1">
      <c r="A1014" s="2">
        <f>+D1014-S1014</f>
        <v/>
      </c>
      <c r="B1014" s="80" t="n">
        <v>2674</v>
      </c>
      <c r="C1014" s="66" t="n">
        <v>45645</v>
      </c>
      <c r="D1014" s="2" t="n">
        <v>1</v>
      </c>
      <c r="E1014" s="3" t="inlineStr">
        <is>
          <t>FUCILE DOPPIETTA</t>
        </is>
      </c>
      <c r="F1014" s="3" t="inlineStr">
        <is>
          <t>12</t>
        </is>
      </c>
      <c r="G1014" s="3" t="inlineStr">
        <is>
          <t>ARTIGANALE</t>
        </is>
      </c>
      <c r="H1014" s="65" t="inlineStr">
        <is>
          <t>CE</t>
        </is>
      </c>
      <c r="I1014" s="65" t="inlineStr">
        <is>
          <t>074199</t>
        </is>
      </c>
      <c r="J1014" s="65" t="inlineStr">
        <is>
          <t>N/D</t>
        </is>
      </c>
      <c r="K1014" s="65" t="inlineStr">
        <is>
          <t>N/D</t>
        </is>
      </c>
      <c r="L1014" s="127" t="inlineStr">
        <is>
          <t>MANTOVARMI</t>
        </is>
      </c>
      <c r="M1014" s="5" t="n">
        <v>70</v>
      </c>
      <c r="N1014" s="5" t="n"/>
      <c r="O1014" s="5">
        <f>+M1014+N1014</f>
        <v/>
      </c>
      <c r="P1014" s="4" t="n">
        <v>45645</v>
      </c>
      <c r="Q1014" s="87" t="n"/>
      <c r="R1014" s="5" t="n">
        <v>82</v>
      </c>
      <c r="S1014" s="2" t="n">
        <v>1</v>
      </c>
      <c r="T1014" s="3" t="inlineStr">
        <is>
          <t>CA42796IR</t>
        </is>
      </c>
      <c r="U1014" s="87" t="n">
        <v>45821</v>
      </c>
      <c r="V1014" s="3" t="inlineStr">
        <is>
          <t>12</t>
        </is>
      </c>
      <c r="W1014" s="108" t="n">
        <v>45821</v>
      </c>
      <c r="X1014" s="4" t="inlineStr">
        <is>
          <t>PHILIPPOS COSTANTINIDES TRADING CO. LTD</t>
        </is>
      </c>
    </row>
    <row r="1015" ht="24" customHeight="1">
      <c r="A1015" s="2">
        <f>+D1015-S1015</f>
        <v/>
      </c>
      <c r="B1015" s="80" t="n">
        <v>2675</v>
      </c>
      <c r="C1015" s="66" t="n">
        <v>45645</v>
      </c>
      <c r="D1015" s="2" t="n">
        <v>1</v>
      </c>
      <c r="E1015" s="3" t="inlineStr">
        <is>
          <t>FUCILE DOPPIETTA</t>
        </is>
      </c>
      <c r="F1015" s="3" t="inlineStr">
        <is>
          <t>12</t>
        </is>
      </c>
      <c r="G1015" s="3" t="inlineStr">
        <is>
          <t>KRUPP</t>
        </is>
      </c>
      <c r="H1015" s="65" t="inlineStr">
        <is>
          <t>CE</t>
        </is>
      </c>
      <c r="I1015" s="65" t="inlineStr">
        <is>
          <t>2083</t>
        </is>
      </c>
      <c r="J1015" s="65" t="inlineStr">
        <is>
          <t>N/D</t>
        </is>
      </c>
      <c r="K1015" s="65" t="inlineStr">
        <is>
          <t>N/D</t>
        </is>
      </c>
      <c r="L1015" s="127" t="inlineStr">
        <is>
          <t>MANTOVARMI</t>
        </is>
      </c>
      <c r="M1015" s="5" t="n">
        <v>70</v>
      </c>
      <c r="N1015" s="5" t="n"/>
      <c r="O1015" s="5">
        <f>+M1015+N1015</f>
        <v/>
      </c>
      <c r="P1015" s="4" t="n">
        <v>45645</v>
      </c>
      <c r="Q1015" s="87" t="n"/>
      <c r="R1015" s="5" t="n">
        <v>82</v>
      </c>
      <c r="S1015" s="2" t="n">
        <v>1</v>
      </c>
      <c r="T1015" s="3" t="inlineStr">
        <is>
          <t>CA42796IR</t>
        </is>
      </c>
      <c r="U1015" s="87" t="n">
        <v>45821</v>
      </c>
      <c r="V1015" s="3" t="inlineStr">
        <is>
          <t>14</t>
        </is>
      </c>
      <c r="W1015" s="108" t="n">
        <v>45821</v>
      </c>
      <c r="X1015" s="4" t="inlineStr">
        <is>
          <t>PHILIPPOS COSTANTINIDES TRADING CO. LTD</t>
        </is>
      </c>
    </row>
    <row r="1016" ht="24" customHeight="1">
      <c r="A1016" s="2">
        <f>+D1016-S1016</f>
        <v/>
      </c>
      <c r="B1016" s="80" t="n">
        <v>2676</v>
      </c>
      <c r="C1016" s="66" t="n">
        <v>45645</v>
      </c>
      <c r="D1016" s="2" t="n">
        <v>1</v>
      </c>
      <c r="E1016" s="3" t="inlineStr">
        <is>
          <t>FUCILE DOPPIETTA</t>
        </is>
      </c>
      <c r="F1016" s="3" t="inlineStr">
        <is>
          <t>12</t>
        </is>
      </c>
      <c r="G1016" s="3" t="inlineStr">
        <is>
          <t>SIMSON</t>
        </is>
      </c>
      <c r="H1016" s="65" t="n"/>
      <c r="I1016" s="65" t="inlineStr">
        <is>
          <t>30810</t>
        </is>
      </c>
      <c r="J1016" s="65" t="inlineStr">
        <is>
          <t>N/D</t>
        </is>
      </c>
      <c r="K1016" s="65" t="inlineStr">
        <is>
          <t>N/D</t>
        </is>
      </c>
      <c r="L1016" s="127" t="inlineStr">
        <is>
          <t>MANTOVARMI</t>
        </is>
      </c>
      <c r="M1016" s="5" t="n">
        <v>70</v>
      </c>
      <c r="N1016" s="5" t="n"/>
      <c r="O1016" s="5">
        <f>+M1016+N1016</f>
        <v/>
      </c>
      <c r="P1016" s="4" t="n">
        <v>45645</v>
      </c>
      <c r="Q1016" s="87" t="n"/>
      <c r="R1016" s="5" t="n">
        <v>82</v>
      </c>
      <c r="S1016" s="2" t="n">
        <v>1</v>
      </c>
      <c r="T1016" s="3" t="inlineStr">
        <is>
          <t>CA42796IR</t>
        </is>
      </c>
      <c r="U1016" s="87" t="n">
        <v>45821</v>
      </c>
      <c r="V1016" s="3" t="inlineStr">
        <is>
          <t>13</t>
        </is>
      </c>
      <c r="W1016" s="108" t="n">
        <v>45821</v>
      </c>
      <c r="X1016" s="4" t="inlineStr">
        <is>
          <t>PHILIPPOS COSTANTINIDES TRADING CO. LTD</t>
        </is>
      </c>
    </row>
    <row r="1017" ht="24" customHeight="1">
      <c r="A1017" s="2">
        <f>+D1017-S1017</f>
        <v/>
      </c>
      <c r="B1017" s="80" t="n">
        <v>2677</v>
      </c>
      <c r="C1017" s="66" t="n">
        <v>45645</v>
      </c>
      <c r="D1017" s="2" t="n">
        <v>1</v>
      </c>
      <c r="E1017" s="3" t="inlineStr">
        <is>
          <t>FUCILE DOPPIETTA</t>
        </is>
      </c>
      <c r="F1017" s="3" t="inlineStr">
        <is>
          <t>12</t>
        </is>
      </c>
      <c r="G1017" s="3" t="inlineStr">
        <is>
          <t>DUMOULIN</t>
        </is>
      </c>
      <c r="H1017" s="65" t="n"/>
      <c r="I1017" s="65" t="inlineStr">
        <is>
          <t>11676</t>
        </is>
      </c>
      <c r="J1017" s="65" t="inlineStr">
        <is>
          <t>N/D</t>
        </is>
      </c>
      <c r="K1017" s="65" t="inlineStr">
        <is>
          <t>N/D</t>
        </is>
      </c>
      <c r="L1017" s="127" t="inlineStr">
        <is>
          <t>MANTOVARMI</t>
        </is>
      </c>
      <c r="M1017" s="5" t="n">
        <v>70</v>
      </c>
      <c r="N1017" s="5" t="n"/>
      <c r="O1017" s="5">
        <f>+M1017+N1017</f>
        <v/>
      </c>
      <c r="P1017" s="4" t="n">
        <v>45645</v>
      </c>
      <c r="Q1017" s="87" t="n"/>
      <c r="R1017" s="5" t="n">
        <v>82</v>
      </c>
      <c r="S1017" s="2" t="n">
        <v>1</v>
      </c>
      <c r="T1017" s="3" t="inlineStr">
        <is>
          <t>CA42796IR</t>
        </is>
      </c>
      <c r="U1017" s="87" t="n">
        <v>45821</v>
      </c>
      <c r="V1017" s="3" t="inlineStr">
        <is>
          <t>14</t>
        </is>
      </c>
      <c r="W1017" s="108" t="n">
        <v>45821</v>
      </c>
      <c r="X1017" s="4" t="inlineStr">
        <is>
          <t>PHILIPPOS COSTANTINIDES TRADING CO. LTD</t>
        </is>
      </c>
    </row>
    <row r="1018" ht="24" customHeight="1">
      <c r="A1018" s="2">
        <f>+D1018-S1018</f>
        <v/>
      </c>
      <c r="B1018" s="80" t="n">
        <v>2678</v>
      </c>
      <c r="C1018" s="66" t="n">
        <v>45645</v>
      </c>
      <c r="D1018" s="2" t="n">
        <v>1</v>
      </c>
      <c r="E1018" s="3" t="inlineStr">
        <is>
          <t>FUCILE DOPPIETTA</t>
        </is>
      </c>
      <c r="F1018" s="3" t="inlineStr">
        <is>
          <t>16</t>
        </is>
      </c>
      <c r="G1018" s="3" t="inlineStr">
        <is>
          <t>BELGA</t>
        </is>
      </c>
      <c r="H1018" s="65" t="n"/>
      <c r="I1018" s="65" t="inlineStr">
        <is>
          <t>2901</t>
        </is>
      </c>
      <c r="J1018" s="65" t="inlineStr">
        <is>
          <t>N/D</t>
        </is>
      </c>
      <c r="K1018" s="65" t="inlineStr">
        <is>
          <t>N/D</t>
        </is>
      </c>
      <c r="L1018" s="127" t="inlineStr">
        <is>
          <t>MANTOVARMI</t>
        </is>
      </c>
      <c r="M1018" s="5" t="n">
        <v>70</v>
      </c>
      <c r="N1018" s="5" t="n"/>
      <c r="O1018" s="5">
        <f>+M1018+N1018</f>
        <v/>
      </c>
      <c r="P1018" s="4" t="n">
        <v>45645</v>
      </c>
      <c r="Q1018" s="87" t="n"/>
      <c r="R1018" s="5" t="n">
        <v>82</v>
      </c>
      <c r="S1018" s="2" t="n">
        <v>1</v>
      </c>
      <c r="T1018" s="3" t="inlineStr">
        <is>
          <t>CA42796IR</t>
        </is>
      </c>
      <c r="U1018" s="87" t="n">
        <v>45821</v>
      </c>
      <c r="V1018" s="3" t="inlineStr">
        <is>
          <t>14</t>
        </is>
      </c>
      <c r="W1018" s="108" t="n">
        <v>45821</v>
      </c>
      <c r="X1018" s="4" t="inlineStr">
        <is>
          <t>PHILIPPOS COSTANTINIDES TRADING CO. LTD</t>
        </is>
      </c>
    </row>
    <row r="1019" ht="24" customHeight="1">
      <c r="A1019" s="2">
        <f>+D1019-S1019</f>
        <v/>
      </c>
      <c r="B1019" s="80" t="n">
        <v>2679</v>
      </c>
      <c r="C1019" s="66" t="n">
        <v>45645</v>
      </c>
      <c r="D1019" s="2" t="n">
        <v>1</v>
      </c>
      <c r="E1019" s="3" t="inlineStr">
        <is>
          <t>FUCILE DOPPIETTA</t>
        </is>
      </c>
      <c r="F1019" s="3" t="inlineStr">
        <is>
          <t>12</t>
        </is>
      </c>
      <c r="G1019" s="3" t="inlineStr">
        <is>
          <t>ARTIGANALE</t>
        </is>
      </c>
      <c r="H1019" s="65" t="inlineStr">
        <is>
          <t>CE</t>
        </is>
      </c>
      <c r="I1019" s="65" t="inlineStr">
        <is>
          <t>732</t>
        </is>
      </c>
      <c r="J1019" s="65" t="inlineStr">
        <is>
          <t>N/D</t>
        </is>
      </c>
      <c r="K1019" s="65" t="inlineStr">
        <is>
          <t>N/D</t>
        </is>
      </c>
      <c r="L1019" s="127" t="inlineStr">
        <is>
          <t>MANTOVARMI</t>
        </is>
      </c>
      <c r="M1019" s="5" t="n">
        <v>70</v>
      </c>
      <c r="N1019" s="5" t="n"/>
      <c r="O1019" s="5">
        <f>+M1019+N1019</f>
        <v/>
      </c>
      <c r="P1019" s="4" t="n">
        <v>45645</v>
      </c>
      <c r="Q1019" s="87" t="n"/>
      <c r="R1019" s="5" t="n">
        <v>82</v>
      </c>
      <c r="S1019" s="2" t="n">
        <v>1</v>
      </c>
      <c r="T1019" s="3" t="inlineStr">
        <is>
          <t>CA42796IR</t>
        </is>
      </c>
      <c r="U1019" s="87" t="n">
        <v>45821</v>
      </c>
      <c r="V1019" s="3" t="inlineStr">
        <is>
          <t>12</t>
        </is>
      </c>
      <c r="W1019" s="108" t="n">
        <v>45821</v>
      </c>
      <c r="X1019" s="4" t="inlineStr">
        <is>
          <t>PHILIPPOS COSTANTINIDES TRADING CO. LTD</t>
        </is>
      </c>
    </row>
    <row r="1020" ht="24" customHeight="1">
      <c r="A1020" s="2">
        <f>+D1020-S1020</f>
        <v/>
      </c>
      <c r="B1020" s="80" t="n">
        <v>2680</v>
      </c>
      <c r="C1020" s="66" t="n">
        <v>45645</v>
      </c>
      <c r="D1020" s="2" t="n">
        <v>1</v>
      </c>
      <c r="E1020" s="3" t="inlineStr">
        <is>
          <t>FUCILE DOPPIETTA</t>
        </is>
      </c>
      <c r="F1020" s="3" t="inlineStr">
        <is>
          <t>12</t>
        </is>
      </c>
      <c r="G1020" s="3" t="inlineStr">
        <is>
          <t>ARTIGANALE</t>
        </is>
      </c>
      <c r="H1020" s="65" t="inlineStr">
        <is>
          <t>CE</t>
        </is>
      </c>
      <c r="I1020" s="65" t="inlineStr">
        <is>
          <t>4622</t>
        </is>
      </c>
      <c r="J1020" s="65" t="inlineStr">
        <is>
          <t>N/D</t>
        </is>
      </c>
      <c r="K1020" s="65" t="inlineStr">
        <is>
          <t>N/D</t>
        </is>
      </c>
      <c r="L1020" s="127" t="inlineStr">
        <is>
          <t>MANTOVARMI</t>
        </is>
      </c>
      <c r="M1020" s="5" t="n">
        <v>70</v>
      </c>
      <c r="N1020" s="5" t="n"/>
      <c r="O1020" s="5">
        <f>+M1020+N1020</f>
        <v/>
      </c>
      <c r="P1020" s="4" t="n">
        <v>45645</v>
      </c>
      <c r="Q1020" s="87" t="n"/>
      <c r="R1020" s="5" t="n">
        <v>82</v>
      </c>
      <c r="S1020" s="2" t="n">
        <v>1</v>
      </c>
      <c r="T1020" s="3" t="inlineStr">
        <is>
          <t>CA42796IR</t>
        </is>
      </c>
      <c r="U1020" s="87" t="n">
        <v>45821</v>
      </c>
      <c r="V1020" s="3" t="inlineStr">
        <is>
          <t>12</t>
        </is>
      </c>
      <c r="W1020" s="108" t="n">
        <v>45821</v>
      </c>
      <c r="X1020" s="4" t="inlineStr">
        <is>
          <t>PHILIPPOS COSTANTINIDES TRADING CO. LTD</t>
        </is>
      </c>
    </row>
    <row r="1021" ht="24" customHeight="1">
      <c r="A1021" s="2">
        <f>+D1021-S1021</f>
        <v/>
      </c>
      <c r="B1021" s="80" t="n">
        <v>2681</v>
      </c>
      <c r="C1021" s="66" t="n">
        <v>45645</v>
      </c>
      <c r="D1021" s="2" t="n">
        <v>1</v>
      </c>
      <c r="E1021" s="3" t="inlineStr">
        <is>
          <t>FUCILE DOPPIETTA</t>
        </is>
      </c>
      <c r="F1021" s="3" t="inlineStr">
        <is>
          <t>12</t>
        </is>
      </c>
      <c r="G1021" s="3" t="inlineStr">
        <is>
          <t>BERETTA</t>
        </is>
      </c>
      <c r="H1021" s="65" t="inlineStr">
        <is>
          <t>CE</t>
        </is>
      </c>
      <c r="I1021" s="65" t="inlineStr">
        <is>
          <t>114754</t>
        </is>
      </c>
      <c r="J1021" s="65" t="inlineStr">
        <is>
          <t>N/D</t>
        </is>
      </c>
      <c r="K1021" s="65" t="inlineStr">
        <is>
          <t>N/D</t>
        </is>
      </c>
      <c r="L1021" s="127" t="inlineStr">
        <is>
          <t>MANTOVARMI</t>
        </is>
      </c>
      <c r="M1021" s="5" t="n">
        <v>70</v>
      </c>
      <c r="N1021" s="5" t="n"/>
      <c r="O1021" s="5">
        <f>+M1021+N1021</f>
        <v/>
      </c>
      <c r="P1021" s="4" t="n">
        <v>45645</v>
      </c>
      <c r="Q1021" s="87" t="n"/>
      <c r="R1021" s="5" t="n">
        <v>82</v>
      </c>
      <c r="S1021" s="2" t="n">
        <v>1</v>
      </c>
      <c r="T1021" s="3" t="inlineStr">
        <is>
          <t>CA42796IR</t>
        </is>
      </c>
      <c r="U1021" s="87" t="n">
        <v>45821</v>
      </c>
      <c r="V1021" s="3" t="inlineStr">
        <is>
          <t>12</t>
        </is>
      </c>
      <c r="W1021" s="108" t="n">
        <v>45821</v>
      </c>
      <c r="X1021" s="4" t="inlineStr">
        <is>
          <t>PHILIPPOS COSTANTINIDES TRADING CO. LTD</t>
        </is>
      </c>
    </row>
    <row r="1022" ht="24" customHeight="1">
      <c r="A1022" s="2">
        <f>+D1022-S1022</f>
        <v/>
      </c>
      <c r="B1022" s="80" t="n">
        <v>2682</v>
      </c>
      <c r="C1022" s="66" t="n">
        <v>45646</v>
      </c>
      <c r="D1022" s="2" t="n">
        <v>1</v>
      </c>
      <c r="E1022" s="3" t="inlineStr">
        <is>
          <t>REVOLVER</t>
        </is>
      </c>
      <c r="F1022" s="3" t="inlineStr">
        <is>
          <t>.357</t>
        </is>
      </c>
      <c r="G1022" s="3" t="inlineStr">
        <is>
          <t>RUGER</t>
        </is>
      </c>
      <c r="H1022" s="65" t="inlineStr">
        <is>
          <t>LCR-X</t>
        </is>
      </c>
      <c r="I1022" s="65" t="inlineStr">
        <is>
          <t>1543-90471</t>
        </is>
      </c>
      <c r="J1022" s="65" t="inlineStr">
        <is>
          <t>N/D</t>
        </is>
      </c>
      <c r="K1022" s="65" t="inlineStr">
        <is>
          <t>N/D</t>
        </is>
      </c>
      <c r="L1022" s="127" t="inlineStr">
        <is>
          <t>BIGNAMI SPA</t>
        </is>
      </c>
      <c r="M1022" s="5" t="n">
        <v>654.42055</v>
      </c>
      <c r="N1022" s="5" t="n"/>
      <c r="O1022" s="5">
        <f>+M1022+N1022</f>
        <v/>
      </c>
      <c r="P1022" s="87" t="n">
        <v>45646</v>
      </c>
      <c r="Q1022" s="87" t="n">
        <v>45642</v>
      </c>
      <c r="R1022" s="5" t="n">
        <v>720</v>
      </c>
      <c r="S1022" s="2" t="n">
        <v>1</v>
      </c>
      <c r="T1022" s="3" t="inlineStr">
        <is>
          <t>6B-P52222600000101-001</t>
        </is>
      </c>
      <c r="U1022" s="87" t="n">
        <v>46147</v>
      </c>
      <c r="V1022" s="3" t="inlineStr">
        <is>
          <t>8</t>
        </is>
      </c>
      <c r="W1022" s="108" t="n">
        <v>46147</v>
      </c>
      <c r="X1022" s="4" t="inlineStr">
        <is>
          <t>HS &amp; S LLC</t>
        </is>
      </c>
    </row>
    <row r="1023" ht="24" customHeight="1">
      <c r="A1023" s="2">
        <f>+D1023-S1023</f>
        <v/>
      </c>
      <c r="B1023" s="80" t="n">
        <v>2683</v>
      </c>
      <c r="C1023" s="66" t="n">
        <v>45646</v>
      </c>
      <c r="D1023" s="2" t="n">
        <v>1</v>
      </c>
      <c r="E1023" s="3" t="inlineStr">
        <is>
          <t>REVOLVER</t>
        </is>
      </c>
      <c r="F1023" s="3" t="inlineStr">
        <is>
          <t>.357</t>
        </is>
      </c>
      <c r="G1023" s="3" t="inlineStr">
        <is>
          <t>RUGER</t>
        </is>
      </c>
      <c r="H1023" s="65" t="inlineStr">
        <is>
          <t>LCR-X</t>
        </is>
      </c>
      <c r="I1023" s="65" t="inlineStr">
        <is>
          <t>1543-90795</t>
        </is>
      </c>
      <c r="J1023" s="65" t="inlineStr">
        <is>
          <t>N/D</t>
        </is>
      </c>
      <c r="K1023" s="65" t="inlineStr">
        <is>
          <t>N/D</t>
        </is>
      </c>
      <c r="L1023" s="127" t="inlineStr">
        <is>
          <t>BIGNAMI SPA</t>
        </is>
      </c>
      <c r="M1023" s="5" t="n">
        <v>654.42055</v>
      </c>
      <c r="N1023" s="5" t="n"/>
      <c r="O1023" s="5">
        <f>+M1023+N1023</f>
        <v/>
      </c>
      <c r="P1023" s="87" t="n">
        <v>45646</v>
      </c>
      <c r="Q1023" s="87" t="n">
        <v>45642</v>
      </c>
      <c r="R1023" s="5" t="n">
        <v>720</v>
      </c>
      <c r="S1023" s="2" t="n">
        <v>1</v>
      </c>
      <c r="T1023" s="3" t="inlineStr">
        <is>
          <t>6B-P52222600000101-001</t>
        </is>
      </c>
      <c r="U1023" s="87" t="n">
        <v>46147</v>
      </c>
      <c r="V1023" s="3" t="inlineStr">
        <is>
          <t>8</t>
        </is>
      </c>
      <c r="W1023" s="108" t="n">
        <v>46147</v>
      </c>
      <c r="X1023" s="4" t="inlineStr">
        <is>
          <t>HS &amp; S LLC</t>
        </is>
      </c>
    </row>
    <row r="1024" ht="24" customHeight="1">
      <c r="A1024" s="2">
        <f>+D1024-S1024</f>
        <v/>
      </c>
      <c r="B1024" s="80" t="n">
        <v>2684</v>
      </c>
      <c r="C1024" s="66" t="n">
        <v>45646</v>
      </c>
      <c r="D1024" s="2" t="n">
        <v>1</v>
      </c>
      <c r="E1024" s="3" t="inlineStr">
        <is>
          <t>REVOLVER</t>
        </is>
      </c>
      <c r="F1024" s="3" t="inlineStr">
        <is>
          <t>.357</t>
        </is>
      </c>
      <c r="G1024" s="3" t="inlineStr">
        <is>
          <t>RUGER</t>
        </is>
      </c>
      <c r="H1024" s="65" t="inlineStr">
        <is>
          <t>LCR-X</t>
        </is>
      </c>
      <c r="I1024" s="65" t="inlineStr">
        <is>
          <t>1543-90782</t>
        </is>
      </c>
      <c r="J1024" s="65" t="inlineStr">
        <is>
          <t>N/D</t>
        </is>
      </c>
      <c r="K1024" s="65" t="inlineStr">
        <is>
          <t>N/D</t>
        </is>
      </c>
      <c r="L1024" s="127" t="inlineStr">
        <is>
          <t>BIGNAMI SPA</t>
        </is>
      </c>
      <c r="M1024" s="5" t="n">
        <v>654.42055</v>
      </c>
      <c r="N1024" s="5" t="n"/>
      <c r="O1024" s="5">
        <f>+M1024+N1024</f>
        <v/>
      </c>
      <c r="P1024" s="87" t="n">
        <v>45646</v>
      </c>
      <c r="Q1024" s="87" t="n">
        <v>45642</v>
      </c>
      <c r="R1024" s="5" t="n">
        <v>720</v>
      </c>
      <c r="S1024" s="2" t="n">
        <v>1</v>
      </c>
      <c r="T1024" s="3" t="inlineStr">
        <is>
          <t>6B-P52222600000101-001</t>
        </is>
      </c>
      <c r="U1024" s="87" t="n">
        <v>46147</v>
      </c>
      <c r="V1024" s="3" t="inlineStr">
        <is>
          <t>8</t>
        </is>
      </c>
      <c r="W1024" s="108" t="n">
        <v>46147</v>
      </c>
      <c r="X1024" s="4" t="inlineStr">
        <is>
          <t>HS &amp; S LLC</t>
        </is>
      </c>
    </row>
    <row r="1025" ht="24" customHeight="1">
      <c r="A1025" s="2">
        <f>+D1025-S1025</f>
        <v/>
      </c>
      <c r="B1025" s="80" t="n">
        <v>2685</v>
      </c>
      <c r="C1025" s="66" t="n">
        <v>45646</v>
      </c>
      <c r="D1025" s="2" t="n">
        <v>1</v>
      </c>
      <c r="E1025" s="3" t="inlineStr">
        <is>
          <t>REVOLVER</t>
        </is>
      </c>
      <c r="F1025" s="3" t="inlineStr">
        <is>
          <t>.357</t>
        </is>
      </c>
      <c r="G1025" s="3" t="inlineStr">
        <is>
          <t>RUGER</t>
        </is>
      </c>
      <c r="H1025" s="65" t="inlineStr">
        <is>
          <t>LCR-X</t>
        </is>
      </c>
      <c r="I1025" s="65" t="inlineStr">
        <is>
          <t>1543-90802</t>
        </is>
      </c>
      <c r="J1025" s="65" t="inlineStr">
        <is>
          <t>N/D</t>
        </is>
      </c>
      <c r="K1025" s="65" t="inlineStr">
        <is>
          <t>N/D</t>
        </is>
      </c>
      <c r="L1025" s="127" t="inlineStr">
        <is>
          <t>BIGNAMI SPA</t>
        </is>
      </c>
      <c r="M1025" s="5" t="n">
        <v>654.42055</v>
      </c>
      <c r="N1025" s="5" t="n"/>
      <c r="O1025" s="5">
        <f>+M1025+N1025</f>
        <v/>
      </c>
      <c r="P1025" s="87" t="n">
        <v>45646</v>
      </c>
      <c r="Q1025" s="87" t="n">
        <v>45642</v>
      </c>
      <c r="R1025" s="5" t="n">
        <v>720</v>
      </c>
      <c r="S1025" s="2" t="n">
        <v>1</v>
      </c>
      <c r="T1025" s="3" t="inlineStr">
        <is>
          <t>6B-P52222600000101-001</t>
        </is>
      </c>
      <c r="U1025" s="87" t="n">
        <v>46147</v>
      </c>
      <c r="V1025" s="3" t="inlineStr">
        <is>
          <t>8</t>
        </is>
      </c>
      <c r="W1025" s="108" t="n">
        <v>46147</v>
      </c>
      <c r="X1025" s="4" t="inlineStr">
        <is>
          <t>HS &amp; S LLC</t>
        </is>
      </c>
    </row>
    <row r="1026" ht="24" customHeight="1">
      <c r="A1026" s="2">
        <f>+D1026-S1026</f>
        <v/>
      </c>
      <c r="B1026" s="80" t="n">
        <v>2686</v>
      </c>
      <c r="C1026" s="66" t="n">
        <v>45646</v>
      </c>
      <c r="D1026" s="2" t="n">
        <v>1</v>
      </c>
      <c r="E1026" s="3" t="inlineStr">
        <is>
          <t>CARABINA</t>
        </is>
      </c>
      <c r="F1026" s="3" t="inlineStr">
        <is>
          <t>22LR</t>
        </is>
      </c>
      <c r="G1026" s="3" t="inlineStr">
        <is>
          <t>RUGER</t>
        </is>
      </c>
      <c r="H1026" s="65" t="inlineStr">
        <is>
          <t>10/22 COLLECTOR 60TH</t>
        </is>
      </c>
      <c r="I1026" s="65" t="inlineStr">
        <is>
          <t>R60-51515</t>
        </is>
      </c>
      <c r="J1026" s="65" t="inlineStr">
        <is>
          <t>N/D</t>
        </is>
      </c>
      <c r="K1026" s="65" t="inlineStr">
        <is>
          <t>N/D</t>
        </is>
      </c>
      <c r="L1026" s="127" t="inlineStr">
        <is>
          <t>BIGNAMI SPA</t>
        </is>
      </c>
      <c r="M1026" s="5" t="n">
        <v>476.5422</v>
      </c>
      <c r="N1026" s="5" t="n"/>
      <c r="O1026" s="5">
        <f>+M1026+N1026</f>
        <v/>
      </c>
      <c r="P1026" s="87" t="n">
        <v>45646</v>
      </c>
      <c r="Q1026" s="87" t="n">
        <v>45642</v>
      </c>
      <c r="R1026" s="5" t="n"/>
      <c r="S1026" s="2" t="n"/>
      <c r="T1026" s="3" t="n"/>
      <c r="U1026" s="87" t="n"/>
      <c r="V1026" s="3" t="n"/>
      <c r="W1026" s="108" t="n"/>
      <c r="X1026" s="4" t="n"/>
    </row>
    <row r="1027" ht="24" customHeight="1">
      <c r="A1027" s="2">
        <f>+D1027-S1027</f>
        <v/>
      </c>
      <c r="B1027" s="80" t="n">
        <v>2687</v>
      </c>
      <c r="C1027" s="66" t="n">
        <v>45646</v>
      </c>
      <c r="D1027" s="2" t="n">
        <v>1</v>
      </c>
      <c r="E1027" s="3" t="inlineStr">
        <is>
          <t>CARABINA AD ARIA COMPRESSA PCP</t>
        </is>
      </c>
      <c r="F1027" s="3" t="inlineStr">
        <is>
          <t>4.5</t>
        </is>
      </c>
      <c r="G1027" s="3" t="inlineStr">
        <is>
          <t>FEINWERKBAU</t>
        </is>
      </c>
      <c r="H1027" s="65" t="inlineStr">
        <is>
          <t>800 BASIC FAGGIO</t>
        </is>
      </c>
      <c r="I1027" s="65" t="inlineStr">
        <is>
          <t>16848377</t>
        </is>
      </c>
      <c r="J1027" s="65" t="inlineStr">
        <is>
          <t>N/D</t>
        </is>
      </c>
      <c r="K1027" s="65" t="inlineStr">
        <is>
          <t>N/D</t>
        </is>
      </c>
      <c r="L1027" s="127" t="inlineStr">
        <is>
          <t>BIGNAMI SPA</t>
        </is>
      </c>
      <c r="M1027" s="5" t="n">
        <v>1125</v>
      </c>
      <c r="N1027" s="5" t="n"/>
      <c r="O1027" s="5">
        <f>+M1027+N1027</f>
        <v/>
      </c>
      <c r="P1027" s="87" t="n">
        <v>45646</v>
      </c>
      <c r="Q1027" s="87" t="n">
        <v>45642</v>
      </c>
      <c r="R1027" s="5" t="n"/>
      <c r="S1027" s="2" t="n"/>
      <c r="T1027" s="3" t="n"/>
      <c r="U1027" s="87" t="n"/>
      <c r="V1027" s="3" t="n"/>
      <c r="W1027" s="108" t="n"/>
      <c r="X1027" s="4" t="n"/>
    </row>
    <row r="1028" ht="24" customHeight="1">
      <c r="A1028" s="2">
        <f>+D1028-S1028</f>
        <v/>
      </c>
      <c r="B1028" s="80" t="n">
        <v>2688</v>
      </c>
      <c r="C1028" s="66" t="n">
        <v>45646</v>
      </c>
      <c r="D1028" s="2" t="n">
        <v>1</v>
      </c>
      <c r="E1028" s="3" t="inlineStr">
        <is>
          <t>PISTOLA SEMIAUTOMATICA</t>
        </is>
      </c>
      <c r="F1028" s="3" t="inlineStr">
        <is>
          <t>9X19</t>
        </is>
      </c>
      <c r="G1028" s="3" t="inlineStr">
        <is>
          <t>GLOCK</t>
        </is>
      </c>
      <c r="H1028" s="65" t="inlineStr">
        <is>
          <t>19 GEN5 LUGER</t>
        </is>
      </c>
      <c r="I1028" s="65" t="inlineStr">
        <is>
          <t>CEYB561</t>
        </is>
      </c>
      <c r="J1028" s="65" t="inlineStr">
        <is>
          <t>N/D</t>
        </is>
      </c>
      <c r="K1028" s="65" t="inlineStr">
        <is>
          <t>N/D</t>
        </is>
      </c>
      <c r="L1028" s="127" t="inlineStr">
        <is>
          <t>BIGNAMI SPA</t>
        </is>
      </c>
      <c r="M1028" s="5" t="n">
        <v>447.2922</v>
      </c>
      <c r="N1028" s="5" t="n"/>
      <c r="O1028" s="5">
        <f>+M1028+N1028</f>
        <v/>
      </c>
      <c r="P1028" s="87" t="n">
        <v>45646</v>
      </c>
      <c r="Q1028" s="87" t="n">
        <v>45642</v>
      </c>
      <c r="R1028" s="5" t="n"/>
      <c r="S1028" s="2" t="n"/>
      <c r="T1028" s="3" t="n"/>
      <c r="U1028" s="87" t="n"/>
      <c r="V1028" s="3" t="n"/>
      <c r="W1028" s="108" t="n"/>
      <c r="X1028" s="4" t="n"/>
    </row>
    <row r="1029" ht="24" customHeight="1">
      <c r="A1029" s="2">
        <f>+D1029-S1029</f>
        <v/>
      </c>
      <c r="B1029" s="80" t="n">
        <v>2689</v>
      </c>
      <c r="C1029" s="66" t="n">
        <v>45646</v>
      </c>
      <c r="D1029" s="2" t="n">
        <v>1</v>
      </c>
      <c r="E1029" s="3" t="inlineStr">
        <is>
          <t>PISTOLA SEMIAUTOMATICA</t>
        </is>
      </c>
      <c r="F1029" s="3" t="inlineStr">
        <is>
          <t>9X19</t>
        </is>
      </c>
      <c r="G1029" s="3" t="inlineStr">
        <is>
          <t>GLOCK</t>
        </is>
      </c>
      <c r="H1029" s="65" t="inlineStr">
        <is>
          <t>19 GEN5X LUGER</t>
        </is>
      </c>
      <c r="I1029" s="65" t="inlineStr">
        <is>
          <t>CEDB025</t>
        </is>
      </c>
      <c r="J1029" s="65" t="inlineStr">
        <is>
          <t>N/D</t>
        </is>
      </c>
      <c r="K1029" s="65" t="inlineStr">
        <is>
          <t>N/D</t>
        </is>
      </c>
      <c r="L1029" s="127" t="inlineStr">
        <is>
          <t>BIGNAMI SPA</t>
        </is>
      </c>
      <c r="M1029" s="5" t="n">
        <v>487.4322</v>
      </c>
      <c r="N1029" s="5" t="n"/>
      <c r="O1029" s="5">
        <f>+M1029+N1029</f>
        <v/>
      </c>
      <c r="P1029" s="87" t="n">
        <v>45646</v>
      </c>
      <c r="Q1029" s="87" t="n">
        <v>45642</v>
      </c>
      <c r="R1029" s="5" t="n"/>
      <c r="S1029" s="2" t="n"/>
      <c r="T1029" s="3" t="n"/>
      <c r="U1029" s="87" t="n"/>
      <c r="V1029" s="3" t="n"/>
      <c r="W1029" s="108" t="n"/>
      <c r="X1029" s="4" t="n"/>
    </row>
    <row r="1030" ht="24" customHeight="1">
      <c r="A1030" s="2">
        <f>+D1030-S1030</f>
        <v/>
      </c>
      <c r="B1030" s="80" t="n">
        <v>2690</v>
      </c>
      <c r="C1030" s="66" t="n">
        <v>45646</v>
      </c>
      <c r="D1030" s="2" t="n">
        <v>1</v>
      </c>
      <c r="E1030" s="3" t="inlineStr">
        <is>
          <t>PISTOLA SEMIAUTOMATICA</t>
        </is>
      </c>
      <c r="F1030" s="3" t="inlineStr">
        <is>
          <t>22LR</t>
        </is>
      </c>
      <c r="G1030" s="3" t="inlineStr">
        <is>
          <t>GLOCK</t>
        </is>
      </c>
      <c r="H1030" s="65" t="inlineStr">
        <is>
          <t>44</t>
        </is>
      </c>
      <c r="I1030" s="65" t="inlineStr">
        <is>
          <t>CEDN037</t>
        </is>
      </c>
      <c r="J1030" s="65" t="inlineStr">
        <is>
          <t>N/D</t>
        </is>
      </c>
      <c r="K1030" s="65" t="inlineStr">
        <is>
          <t>N/D</t>
        </is>
      </c>
      <c r="L1030" s="127" t="inlineStr">
        <is>
          <t>BIGNAMI SPA</t>
        </is>
      </c>
      <c r="M1030" s="5" t="n">
        <v>355.2922</v>
      </c>
      <c r="N1030" s="5" t="n"/>
      <c r="O1030" s="5">
        <f>+M1030+N1030</f>
        <v/>
      </c>
      <c r="P1030" s="87" t="n">
        <v>45646</v>
      </c>
      <c r="Q1030" s="87" t="n">
        <v>45642</v>
      </c>
      <c r="R1030" s="5" t="n">
        <v>373</v>
      </c>
      <c r="S1030" s="2" t="n">
        <v>1</v>
      </c>
      <c r="T1030" s="3" t="inlineStr">
        <is>
          <t>CA04954OS</t>
        </is>
      </c>
      <c r="U1030" s="87" t="n">
        <v>45874</v>
      </c>
      <c r="V1030" s="3" t="inlineStr">
        <is>
          <t>25</t>
        </is>
      </c>
      <c r="W1030" s="4" t="n">
        <v>45874</v>
      </c>
      <c r="X1030" s="4" t="inlineStr">
        <is>
          <t>PHILIPPOS  CONSTANTINIDES
TRADING CO.LTD</t>
        </is>
      </c>
    </row>
    <row r="1031" ht="24" customHeight="1">
      <c r="A1031" s="2">
        <f>+D1031-S1031</f>
        <v/>
      </c>
      <c r="B1031" s="80" t="n">
        <v>2691</v>
      </c>
      <c r="C1031" s="66" t="n">
        <v>45646</v>
      </c>
      <c r="D1031" s="2" t="n">
        <v>1</v>
      </c>
      <c r="E1031" s="3" t="inlineStr">
        <is>
          <t>CARABINA</t>
        </is>
      </c>
      <c r="F1031" s="3" t="inlineStr">
        <is>
          <t>223REM</t>
        </is>
      </c>
      <c r="G1031" s="3" t="inlineStr">
        <is>
          <t>DANIEL DEFENSE</t>
        </is>
      </c>
      <c r="H1031" s="65" t="inlineStr">
        <is>
          <t>DD4 M4A1 RIII</t>
        </is>
      </c>
      <c r="I1031" s="65" t="inlineStr">
        <is>
          <t>DD4024165</t>
        </is>
      </c>
      <c r="J1031" s="65" t="inlineStr">
        <is>
          <t>N/D</t>
        </is>
      </c>
      <c r="K1031" s="65" t="inlineStr">
        <is>
          <t>N/D</t>
        </is>
      </c>
      <c r="L1031" s="127" t="inlineStr">
        <is>
          <t>BIGNAMI SPA</t>
        </is>
      </c>
      <c r="M1031" s="5" t="n">
        <v>1952.361525</v>
      </c>
      <c r="N1031" s="5" t="n"/>
      <c r="O1031" s="5">
        <f>+M1031+N1031</f>
        <v/>
      </c>
      <c r="P1031" s="87" t="n">
        <v>45646</v>
      </c>
      <c r="Q1031" s="87" t="n">
        <v>45642</v>
      </c>
      <c r="R1031" s="5" t="n">
        <v>2310</v>
      </c>
      <c r="S1031" s="2" t="n">
        <v>1</v>
      </c>
      <c r="T1031" s="3" t="inlineStr">
        <is>
          <t>6B/2025/1S</t>
        </is>
      </c>
      <c r="U1031" s="86" t="n">
        <v>45769</v>
      </c>
      <c r="V1031" s="3" t="inlineStr">
        <is>
          <t>6</t>
        </is>
      </c>
      <c r="W1031" s="111" t="n">
        <v>45769</v>
      </c>
      <c r="X1031" s="4" t="inlineStr">
        <is>
          <t>HS &amp; S LLC</t>
        </is>
      </c>
    </row>
    <row r="1032" ht="24" customHeight="1">
      <c r="A1032" s="2">
        <f>+D1032-S1032</f>
        <v/>
      </c>
      <c r="B1032" s="80" t="n">
        <v>2692</v>
      </c>
      <c r="C1032" s="66" t="n">
        <v>45646</v>
      </c>
      <c r="D1032" s="2" t="n">
        <v>1</v>
      </c>
      <c r="E1032" s="3" t="inlineStr">
        <is>
          <t>CARABINA</t>
        </is>
      </c>
      <c r="F1032" s="3" t="inlineStr">
        <is>
          <t>223REM</t>
        </is>
      </c>
      <c r="G1032" s="3" t="inlineStr">
        <is>
          <t>DANIEL DEFENSE</t>
        </is>
      </c>
      <c r="H1032" s="65" t="inlineStr">
        <is>
          <t>DD4 M4A1 RIII</t>
        </is>
      </c>
      <c r="I1032" s="65" t="inlineStr">
        <is>
          <t>DD4024590</t>
        </is>
      </c>
      <c r="J1032" s="65" t="inlineStr">
        <is>
          <t>N/D</t>
        </is>
      </c>
      <c r="K1032" s="65" t="inlineStr">
        <is>
          <t>N/D</t>
        </is>
      </c>
      <c r="L1032" s="127" t="inlineStr">
        <is>
          <t>BIGNAMI SPA</t>
        </is>
      </c>
      <c r="M1032" s="5" t="n">
        <v>1952.361525</v>
      </c>
      <c r="N1032" s="5" t="n"/>
      <c r="O1032" s="5">
        <f>+M1032+N1032</f>
        <v/>
      </c>
      <c r="P1032" s="87" t="n">
        <v>45646</v>
      </c>
      <c r="Q1032" s="87" t="n">
        <v>45642</v>
      </c>
      <c r="R1032" s="5" t="n">
        <v>2310</v>
      </c>
      <c r="S1032" s="2" t="n">
        <v>1</v>
      </c>
      <c r="T1032" s="3" t="inlineStr">
        <is>
          <t>6B/2025/1S</t>
        </is>
      </c>
      <c r="U1032" s="86" t="n">
        <v>45769</v>
      </c>
      <c r="V1032" s="3" t="inlineStr">
        <is>
          <t>6</t>
        </is>
      </c>
      <c r="W1032" s="111" t="n">
        <v>45769</v>
      </c>
      <c r="X1032" s="4" t="inlineStr">
        <is>
          <t>HS &amp; S LLC</t>
        </is>
      </c>
    </row>
    <row r="1033" ht="24" customHeight="1">
      <c r="A1033" s="2">
        <f>+D1033-S1033</f>
        <v/>
      </c>
      <c r="B1033" s="80" t="n">
        <v>2693</v>
      </c>
      <c r="C1033" s="66" t="n">
        <v>45646</v>
      </c>
      <c r="D1033" s="2" t="n">
        <v>1</v>
      </c>
      <c r="E1033" s="3" t="inlineStr">
        <is>
          <t>CARABINA</t>
        </is>
      </c>
      <c r="F1033" s="3" t="inlineStr">
        <is>
          <t>223REM</t>
        </is>
      </c>
      <c r="G1033" s="3" t="inlineStr">
        <is>
          <t>DANIEL DEFENSE</t>
        </is>
      </c>
      <c r="H1033" s="65" t="inlineStr">
        <is>
          <t>DD4 M4A1 RIII</t>
        </is>
      </c>
      <c r="I1033" s="65" t="inlineStr">
        <is>
          <t>DD4024164</t>
        </is>
      </c>
      <c r="J1033" s="65" t="inlineStr">
        <is>
          <t>N/D</t>
        </is>
      </c>
      <c r="K1033" s="65" t="inlineStr">
        <is>
          <t>N/D</t>
        </is>
      </c>
      <c r="L1033" s="127" t="inlineStr">
        <is>
          <t>BIGNAMI SPA</t>
        </is>
      </c>
      <c r="M1033" s="5" t="n">
        <v>1952.361525</v>
      </c>
      <c r="N1033" s="5" t="n"/>
      <c r="O1033" s="5">
        <f>+M1033+N1033</f>
        <v/>
      </c>
      <c r="P1033" s="87" t="n">
        <v>45646</v>
      </c>
      <c r="Q1033" s="87" t="n">
        <v>45642</v>
      </c>
      <c r="R1033" s="5" t="n">
        <v>2310</v>
      </c>
      <c r="S1033" s="2" t="n">
        <v>1</v>
      </c>
      <c r="T1033" s="3" t="inlineStr">
        <is>
          <t>6B/2025/1S</t>
        </is>
      </c>
      <c r="U1033" s="86" t="n">
        <v>45769</v>
      </c>
      <c r="V1033" s="3" t="inlineStr">
        <is>
          <t>6</t>
        </is>
      </c>
      <c r="W1033" s="111" t="n">
        <v>45769</v>
      </c>
      <c r="X1033" s="4" t="inlineStr">
        <is>
          <t>HS &amp; S LLC</t>
        </is>
      </c>
    </row>
    <row r="1034" ht="24" customHeight="1">
      <c r="A1034" s="2">
        <f>+D1034-S1034</f>
        <v/>
      </c>
      <c r="B1034" s="80" t="n">
        <v>2694</v>
      </c>
      <c r="C1034" s="66" t="n">
        <v>45646</v>
      </c>
      <c r="D1034" s="2" t="n">
        <v>1</v>
      </c>
      <c r="E1034" s="3" t="inlineStr">
        <is>
          <t>CARABINA</t>
        </is>
      </c>
      <c r="F1034" s="3" t="inlineStr">
        <is>
          <t>223REM</t>
        </is>
      </c>
      <c r="G1034" s="3" t="inlineStr">
        <is>
          <t>DANIEL DEFENSE</t>
        </is>
      </c>
      <c r="H1034" s="65" t="inlineStr">
        <is>
          <t>DD4 M4A1 RIII</t>
        </is>
      </c>
      <c r="I1034" s="65" t="inlineStr">
        <is>
          <t>DD4024589</t>
        </is>
      </c>
      <c r="J1034" s="65" t="inlineStr">
        <is>
          <t>N/D</t>
        </is>
      </c>
      <c r="K1034" s="65" t="inlineStr">
        <is>
          <t>N/D</t>
        </is>
      </c>
      <c r="L1034" s="127" t="inlineStr">
        <is>
          <t>BIGNAMI SPA</t>
        </is>
      </c>
      <c r="M1034" s="5" t="n">
        <v>1952.361525</v>
      </c>
      <c r="N1034" s="5" t="n"/>
      <c r="O1034" s="5">
        <f>+M1034+N1034</f>
        <v/>
      </c>
      <c r="P1034" s="87" t="n">
        <v>45646</v>
      </c>
      <c r="Q1034" s="87" t="n">
        <v>45642</v>
      </c>
      <c r="R1034" s="5" t="n">
        <v>2310</v>
      </c>
      <c r="S1034" s="2" t="n">
        <v>1</v>
      </c>
      <c r="T1034" s="3" t="inlineStr">
        <is>
          <t>6B/2025/1S</t>
        </is>
      </c>
      <c r="U1034" s="86" t="n">
        <v>45769</v>
      </c>
      <c r="V1034" s="3" t="inlineStr">
        <is>
          <t>6</t>
        </is>
      </c>
      <c r="W1034" s="111" t="n">
        <v>45769</v>
      </c>
      <c r="X1034" s="4" t="inlineStr">
        <is>
          <t>HS &amp; S LLC</t>
        </is>
      </c>
    </row>
    <row r="1035" ht="24" customHeight="1">
      <c r="A1035" s="2">
        <f>+D1035-S1035</f>
        <v/>
      </c>
      <c r="B1035" s="80" t="n">
        <v>2695</v>
      </c>
      <c r="C1035" s="66" t="n">
        <v>45646</v>
      </c>
      <c r="D1035" s="2" t="n">
        <v>1</v>
      </c>
      <c r="E1035" s="3" t="inlineStr">
        <is>
          <t>CARABINA</t>
        </is>
      </c>
      <c r="F1035" s="3" t="inlineStr">
        <is>
          <t>223REM</t>
        </is>
      </c>
      <c r="G1035" s="3" t="inlineStr">
        <is>
          <t>DANIEL DEFENSE</t>
        </is>
      </c>
      <c r="H1035" s="65" t="inlineStr">
        <is>
          <t>DD4 M4A1 RIII</t>
        </is>
      </c>
      <c r="I1035" s="65" t="inlineStr">
        <is>
          <t>DD4028013</t>
        </is>
      </c>
      <c r="J1035" s="65" t="inlineStr">
        <is>
          <t>N/D</t>
        </is>
      </c>
      <c r="K1035" s="65" t="inlineStr">
        <is>
          <t>N/D</t>
        </is>
      </c>
      <c r="L1035" s="127" t="inlineStr">
        <is>
          <t>BIGNAMI SPA</t>
        </is>
      </c>
      <c r="M1035" s="5" t="n">
        <v>1952.361525</v>
      </c>
      <c r="N1035" s="5" t="n"/>
      <c r="O1035" s="5">
        <f>+M1035+N1035</f>
        <v/>
      </c>
      <c r="P1035" s="87" t="n">
        <v>45646</v>
      </c>
      <c r="Q1035" s="87" t="n">
        <v>45642</v>
      </c>
      <c r="R1035" s="5" t="n">
        <v>2310</v>
      </c>
      <c r="S1035" s="2" t="n">
        <v>1</v>
      </c>
      <c r="T1035" s="3" t="inlineStr">
        <is>
          <t>6B/2025/1S</t>
        </is>
      </c>
      <c r="U1035" s="86" t="n">
        <v>45769</v>
      </c>
      <c r="V1035" s="3" t="inlineStr">
        <is>
          <t>6</t>
        </is>
      </c>
      <c r="W1035" s="111" t="n">
        <v>45769</v>
      </c>
      <c r="X1035" s="4" t="inlineStr">
        <is>
          <t>HS &amp; S LLC</t>
        </is>
      </c>
    </row>
    <row r="1036" ht="24" customHeight="1">
      <c r="A1036" s="2">
        <f>+D1036-S1036</f>
        <v/>
      </c>
      <c r="B1036" s="80" t="n">
        <v>2696</v>
      </c>
      <c r="C1036" s="66" t="n">
        <v>45646</v>
      </c>
      <c r="D1036" s="2" t="n">
        <v>1</v>
      </c>
      <c r="E1036" s="3" t="inlineStr">
        <is>
          <t>CARABINA</t>
        </is>
      </c>
      <c r="F1036" s="3" t="inlineStr">
        <is>
          <t>223REM</t>
        </is>
      </c>
      <c r="G1036" s="3" t="inlineStr">
        <is>
          <t>DANIEL DEFENSE</t>
        </is>
      </c>
      <c r="H1036" s="65" t="inlineStr">
        <is>
          <t>DD4 M4A1 RIII</t>
        </is>
      </c>
      <c r="I1036" s="65" t="inlineStr">
        <is>
          <t>DD4028010</t>
        </is>
      </c>
      <c r="J1036" s="65" t="inlineStr">
        <is>
          <t>N/D</t>
        </is>
      </c>
      <c r="K1036" s="65" t="inlineStr">
        <is>
          <t>N/D</t>
        </is>
      </c>
      <c r="L1036" s="127" t="inlineStr">
        <is>
          <t>BIGNAMI SPA</t>
        </is>
      </c>
      <c r="M1036" s="5" t="n">
        <v>1952.361525</v>
      </c>
      <c r="N1036" s="5" t="n"/>
      <c r="O1036" s="5">
        <f>+M1036+N1036</f>
        <v/>
      </c>
      <c r="P1036" s="87" t="n">
        <v>45646</v>
      </c>
      <c r="Q1036" s="87" t="n">
        <v>45642</v>
      </c>
      <c r="R1036" s="5" t="n">
        <v>2310</v>
      </c>
      <c r="S1036" s="2" t="n">
        <v>1</v>
      </c>
      <c r="T1036" s="3" t="inlineStr">
        <is>
          <t>6B/2025/1S</t>
        </is>
      </c>
      <c r="U1036" s="86" t="n">
        <v>45769</v>
      </c>
      <c r="V1036" s="3" t="inlineStr">
        <is>
          <t>6</t>
        </is>
      </c>
      <c r="W1036" s="111" t="n">
        <v>45769</v>
      </c>
      <c r="X1036" s="4" t="inlineStr">
        <is>
          <t>HS &amp; S LLC</t>
        </is>
      </c>
    </row>
    <row r="1037" ht="24" customHeight="1">
      <c r="A1037" s="2">
        <f>+D1037-S1037</f>
        <v/>
      </c>
      <c r="B1037" s="80" t="n">
        <v>2697</v>
      </c>
      <c r="C1037" s="66" t="n">
        <v>45646</v>
      </c>
      <c r="D1037" s="2" t="n">
        <v>1</v>
      </c>
      <c r="E1037" s="3" t="inlineStr">
        <is>
          <t>CARABINA</t>
        </is>
      </c>
      <c r="F1037" s="3" t="inlineStr">
        <is>
          <t>223REM</t>
        </is>
      </c>
      <c r="G1037" s="3" t="inlineStr">
        <is>
          <t>DANIEL DEFENSE</t>
        </is>
      </c>
      <c r="H1037" s="65" t="inlineStr">
        <is>
          <t>DD4 M4A1 RIII</t>
        </is>
      </c>
      <c r="I1037" s="65" t="inlineStr">
        <is>
          <t>DD4024591</t>
        </is>
      </c>
      <c r="J1037" s="65" t="inlineStr">
        <is>
          <t>N/D</t>
        </is>
      </c>
      <c r="K1037" s="65" t="inlineStr">
        <is>
          <t>N/D</t>
        </is>
      </c>
      <c r="L1037" s="127" t="inlineStr">
        <is>
          <t>BIGNAMI SPA</t>
        </is>
      </c>
      <c r="M1037" s="5" t="n">
        <v>1952.361525</v>
      </c>
      <c r="N1037" s="5" t="n"/>
      <c r="O1037" s="5">
        <f>+M1037+N1037</f>
        <v/>
      </c>
      <c r="P1037" s="87" t="n">
        <v>45646</v>
      </c>
      <c r="Q1037" s="87" t="n">
        <v>45642</v>
      </c>
      <c r="R1037" s="5" t="n">
        <v>2310</v>
      </c>
      <c r="S1037" s="2" t="n">
        <v>1</v>
      </c>
      <c r="T1037" s="3" t="inlineStr">
        <is>
          <t>6B/2025/1S</t>
        </is>
      </c>
      <c r="U1037" s="86" t="n">
        <v>45769</v>
      </c>
      <c r="V1037" s="3" t="inlineStr">
        <is>
          <t>6</t>
        </is>
      </c>
      <c r="W1037" s="111" t="n">
        <v>45769</v>
      </c>
      <c r="X1037" s="4" t="inlineStr">
        <is>
          <t>HS &amp; S LLC</t>
        </is>
      </c>
    </row>
    <row r="1038" ht="24" customHeight="1">
      <c r="A1038" s="2">
        <f>+D1038-S1038</f>
        <v/>
      </c>
      <c r="B1038" s="80" t="n">
        <v>2698</v>
      </c>
      <c r="C1038" s="66" t="n">
        <v>45646</v>
      </c>
      <c r="D1038" s="2" t="n">
        <v>1</v>
      </c>
      <c r="E1038" s="3" t="inlineStr">
        <is>
          <t>CARABINA</t>
        </is>
      </c>
      <c r="F1038" s="3" t="inlineStr">
        <is>
          <t>223REM</t>
        </is>
      </c>
      <c r="G1038" s="3" t="inlineStr">
        <is>
          <t>DANIEL DEFENSE</t>
        </is>
      </c>
      <c r="H1038" s="65" t="inlineStr">
        <is>
          <t>DD4 M4A1 RIII</t>
        </is>
      </c>
      <c r="I1038" s="65" t="inlineStr">
        <is>
          <t>DD4024166</t>
        </is>
      </c>
      <c r="J1038" s="65" t="inlineStr">
        <is>
          <t>N/D</t>
        </is>
      </c>
      <c r="K1038" s="65" t="inlineStr">
        <is>
          <t>N/D</t>
        </is>
      </c>
      <c r="L1038" s="127" t="inlineStr">
        <is>
          <t>BIGNAMI SPA</t>
        </is>
      </c>
      <c r="M1038" s="5" t="n">
        <v>1952.361525</v>
      </c>
      <c r="N1038" s="5" t="n"/>
      <c r="O1038" s="5">
        <f>+M1038+N1038</f>
        <v/>
      </c>
      <c r="P1038" s="87" t="n">
        <v>45646</v>
      </c>
      <c r="Q1038" s="87" t="n">
        <v>45642</v>
      </c>
      <c r="R1038" s="5" t="n">
        <v>2310</v>
      </c>
      <c r="S1038" s="2" t="n">
        <v>1</v>
      </c>
      <c r="T1038" s="3" t="inlineStr">
        <is>
          <t>6B/2025/1S</t>
        </is>
      </c>
      <c r="U1038" s="86" t="n">
        <v>45769</v>
      </c>
      <c r="V1038" s="3" t="inlineStr">
        <is>
          <t>6</t>
        </is>
      </c>
      <c r="W1038" s="111" t="n">
        <v>45769</v>
      </c>
      <c r="X1038" s="4" t="inlineStr">
        <is>
          <t>HS &amp; S LLC</t>
        </is>
      </c>
    </row>
    <row r="1039" ht="24" customHeight="1">
      <c r="A1039" s="2">
        <f>+D1039-S1039</f>
        <v/>
      </c>
      <c r="B1039" s="80" t="n">
        <v>2699</v>
      </c>
      <c r="C1039" s="66" t="n">
        <v>45646</v>
      </c>
      <c r="D1039" s="2" t="n">
        <v>1</v>
      </c>
      <c r="E1039" s="3" t="inlineStr">
        <is>
          <t>CARABINA</t>
        </is>
      </c>
      <c r="F1039" s="3" t="inlineStr">
        <is>
          <t>223REM</t>
        </is>
      </c>
      <c r="G1039" s="3" t="inlineStr">
        <is>
          <t>DANIEL DEFENSE</t>
        </is>
      </c>
      <c r="H1039" s="65" t="inlineStr">
        <is>
          <t xml:space="preserve">DDM4 V7 PRO </t>
        </is>
      </c>
      <c r="I1039" s="65" t="inlineStr">
        <is>
          <t>DDM4518184</t>
        </is>
      </c>
      <c r="J1039" s="65" t="inlineStr">
        <is>
          <t>N/D</t>
        </is>
      </c>
      <c r="K1039" s="65" t="inlineStr">
        <is>
          <t>N/D</t>
        </is>
      </c>
      <c r="L1039" s="127" t="inlineStr">
        <is>
          <t>BIGNAMI SPA</t>
        </is>
      </c>
      <c r="M1039" s="5" t="n">
        <v>1847.034025</v>
      </c>
      <c r="N1039" s="5" t="n"/>
      <c r="O1039" s="5">
        <f>+M1039+N1039</f>
        <v/>
      </c>
      <c r="P1039" s="87" t="n">
        <v>45646</v>
      </c>
      <c r="Q1039" s="87" t="n">
        <v>45642</v>
      </c>
      <c r="R1039" s="5" t="n">
        <v>2200</v>
      </c>
      <c r="S1039" s="2" t="n">
        <v>1</v>
      </c>
      <c r="T1039" s="3" t="inlineStr">
        <is>
          <t>6B/2025/1S</t>
        </is>
      </c>
      <c r="U1039" s="86" t="n">
        <v>45769</v>
      </c>
      <c r="V1039" s="3" t="inlineStr">
        <is>
          <t>6</t>
        </is>
      </c>
      <c r="W1039" s="111" t="n">
        <v>45769</v>
      </c>
      <c r="X1039" s="4" t="inlineStr">
        <is>
          <t>HS &amp; S LLC</t>
        </is>
      </c>
    </row>
    <row r="1040" ht="24" customHeight="1">
      <c r="A1040" s="2">
        <f>+D1040-S1040</f>
        <v/>
      </c>
      <c r="B1040" s="80" t="n">
        <v>2700</v>
      </c>
      <c r="C1040" s="66" t="n">
        <v>45646</v>
      </c>
      <c r="D1040" s="2" t="n">
        <v>1</v>
      </c>
      <c r="E1040" s="3" t="inlineStr">
        <is>
          <t>CARABINA</t>
        </is>
      </c>
      <c r="F1040" s="3" t="inlineStr">
        <is>
          <t>223REM</t>
        </is>
      </c>
      <c r="G1040" s="3" t="inlineStr">
        <is>
          <t>DANIEL DEFENSE</t>
        </is>
      </c>
      <c r="H1040" s="65" t="inlineStr">
        <is>
          <t xml:space="preserve">DDM4 V7 PRO </t>
        </is>
      </c>
      <c r="I1040" s="65" t="inlineStr">
        <is>
          <t>DDM4589300</t>
        </is>
      </c>
      <c r="J1040" s="65" t="inlineStr">
        <is>
          <t>N/D</t>
        </is>
      </c>
      <c r="K1040" s="65" t="inlineStr">
        <is>
          <t>N/D</t>
        </is>
      </c>
      <c r="L1040" s="127" t="inlineStr">
        <is>
          <t>BIGNAMI SPA</t>
        </is>
      </c>
      <c r="M1040" s="5" t="n">
        <v>1847.034025</v>
      </c>
      <c r="N1040" s="5" t="n"/>
      <c r="O1040" s="5">
        <f>+M1040+N1040</f>
        <v/>
      </c>
      <c r="P1040" s="87" t="n">
        <v>45646</v>
      </c>
      <c r="Q1040" s="87" t="n">
        <v>45642</v>
      </c>
      <c r="R1040" s="5" t="n">
        <v>2200</v>
      </c>
      <c r="S1040" s="2" t="n">
        <v>1</v>
      </c>
      <c r="T1040" s="3" t="inlineStr">
        <is>
          <t>6B/2025/1S</t>
        </is>
      </c>
      <c r="U1040" s="86" t="n">
        <v>45769</v>
      </c>
      <c r="V1040" s="3" t="inlineStr">
        <is>
          <t>6</t>
        </is>
      </c>
      <c r="W1040" s="111" t="n">
        <v>45769</v>
      </c>
      <c r="X1040" s="4" t="inlineStr">
        <is>
          <t>HS &amp; S LLC</t>
        </is>
      </c>
    </row>
    <row r="1041" ht="24" customHeight="1">
      <c r="A1041" s="2">
        <f>+D1041-S1041</f>
        <v/>
      </c>
      <c r="B1041" s="80" t="n">
        <v>2701</v>
      </c>
      <c r="C1041" s="66" t="n">
        <v>45646</v>
      </c>
      <c r="D1041" s="2" t="n">
        <v>1</v>
      </c>
      <c r="E1041" s="3" t="inlineStr">
        <is>
          <t>CARABINA</t>
        </is>
      </c>
      <c r="F1041" s="3" t="inlineStr">
        <is>
          <t>223REM</t>
        </is>
      </c>
      <c r="G1041" s="3" t="inlineStr">
        <is>
          <t>DANIEL DEFENSE</t>
        </is>
      </c>
      <c r="H1041" s="65" t="inlineStr">
        <is>
          <t xml:space="preserve">DDM4 V7 PRO </t>
        </is>
      </c>
      <c r="I1041" s="65" t="inlineStr">
        <is>
          <t>DDM4518180</t>
        </is>
      </c>
      <c r="J1041" s="65" t="inlineStr">
        <is>
          <t>N/D</t>
        </is>
      </c>
      <c r="K1041" s="65" t="inlineStr">
        <is>
          <t>N/D</t>
        </is>
      </c>
      <c r="L1041" s="127" t="inlineStr">
        <is>
          <t>BIGNAMI SPA</t>
        </is>
      </c>
      <c r="M1041" s="5" t="n">
        <v>1847.034025</v>
      </c>
      <c r="N1041" s="5" t="n"/>
      <c r="O1041" s="5">
        <f>+M1041+N1041</f>
        <v/>
      </c>
      <c r="P1041" s="87" t="n">
        <v>45646</v>
      </c>
      <c r="Q1041" s="87" t="n">
        <v>45642</v>
      </c>
      <c r="R1041" s="5" t="n">
        <v>2200</v>
      </c>
      <c r="S1041" s="2" t="n">
        <v>1</v>
      </c>
      <c r="T1041" s="3" t="inlineStr">
        <is>
          <t>6B/2025/1S</t>
        </is>
      </c>
      <c r="U1041" s="86" t="n">
        <v>45769</v>
      </c>
      <c r="V1041" s="3" t="inlineStr">
        <is>
          <t>6</t>
        </is>
      </c>
      <c r="W1041" s="111" t="n">
        <v>45769</v>
      </c>
      <c r="X1041" s="4" t="inlineStr">
        <is>
          <t>HS &amp; S LLC</t>
        </is>
      </c>
    </row>
    <row r="1042" ht="24" customHeight="1">
      <c r="A1042" s="2">
        <f>+D1042-S1042</f>
        <v/>
      </c>
      <c r="B1042" s="80" t="n">
        <v>2702</v>
      </c>
      <c r="C1042" s="66" t="n">
        <v>45646</v>
      </c>
      <c r="D1042" s="2" t="n">
        <v>1</v>
      </c>
      <c r="E1042" s="3" t="inlineStr">
        <is>
          <t>CARABINA</t>
        </is>
      </c>
      <c r="F1042" s="3" t="inlineStr">
        <is>
          <t>223REM</t>
        </is>
      </c>
      <c r="G1042" s="3" t="inlineStr">
        <is>
          <t>DANIEL DEFENSE</t>
        </is>
      </c>
      <c r="H1042" s="65" t="inlineStr">
        <is>
          <t xml:space="preserve">DDM4 V7 PRO </t>
        </is>
      </c>
      <c r="I1042" s="65" t="inlineStr">
        <is>
          <t>DDM4589293</t>
        </is>
      </c>
      <c r="J1042" s="65" t="inlineStr">
        <is>
          <t>N/D</t>
        </is>
      </c>
      <c r="K1042" s="65" t="inlineStr">
        <is>
          <t>N/D</t>
        </is>
      </c>
      <c r="L1042" s="127" t="inlineStr">
        <is>
          <t>BIGNAMI SPA</t>
        </is>
      </c>
      <c r="M1042" s="5" t="n">
        <v>1847.034025</v>
      </c>
      <c r="N1042" s="5" t="n"/>
      <c r="O1042" s="5">
        <f>+M1042+N1042</f>
        <v/>
      </c>
      <c r="P1042" s="87" t="n">
        <v>45646</v>
      </c>
      <c r="Q1042" s="87" t="n">
        <v>45642</v>
      </c>
      <c r="R1042" s="5" t="n">
        <v>2200</v>
      </c>
      <c r="S1042" s="2" t="n">
        <v>1</v>
      </c>
      <c r="T1042" s="3" t="inlineStr">
        <is>
          <t>6B/2025/1S</t>
        </is>
      </c>
      <c r="U1042" s="86" t="n">
        <v>45769</v>
      </c>
      <c r="V1042" s="3" t="inlineStr">
        <is>
          <t>6</t>
        </is>
      </c>
      <c r="W1042" s="111" t="n">
        <v>45769</v>
      </c>
      <c r="X1042" s="4" t="inlineStr">
        <is>
          <t>HS &amp; S LLC</t>
        </is>
      </c>
    </row>
    <row r="1043" ht="24" customHeight="1">
      <c r="A1043" s="2">
        <f>+D1043-S1043</f>
        <v/>
      </c>
      <c r="B1043" s="80" t="n">
        <v>2703</v>
      </c>
      <c r="C1043" s="66" t="n">
        <v>45646</v>
      </c>
      <c r="D1043" s="2" t="n">
        <v>1</v>
      </c>
      <c r="E1043" s="3" t="inlineStr">
        <is>
          <t>CARABINA</t>
        </is>
      </c>
      <c r="F1043" s="3" t="inlineStr">
        <is>
          <t>223REM</t>
        </is>
      </c>
      <c r="G1043" s="3" t="inlineStr">
        <is>
          <t>DANIEL DEFENSE</t>
        </is>
      </c>
      <c r="H1043" s="65" t="inlineStr">
        <is>
          <t xml:space="preserve">DDM4 V7 PRO </t>
        </is>
      </c>
      <c r="I1043" s="65" t="inlineStr">
        <is>
          <t>DDM4517480</t>
        </is>
      </c>
      <c r="J1043" s="65" t="inlineStr">
        <is>
          <t>N/D</t>
        </is>
      </c>
      <c r="K1043" s="65" t="inlineStr">
        <is>
          <t>N/D</t>
        </is>
      </c>
      <c r="L1043" s="127" t="inlineStr">
        <is>
          <t>BIGNAMI SPA</t>
        </is>
      </c>
      <c r="M1043" s="5" t="n">
        <v>1847.034025</v>
      </c>
      <c r="N1043" s="5" t="n"/>
      <c r="O1043" s="5">
        <f>+M1043+N1043</f>
        <v/>
      </c>
      <c r="P1043" s="87" t="n">
        <v>45646</v>
      </c>
      <c r="Q1043" s="87" t="n">
        <v>45642</v>
      </c>
      <c r="R1043" s="5" t="n">
        <v>2200</v>
      </c>
      <c r="S1043" s="2" t="n">
        <v>1</v>
      </c>
      <c r="T1043" s="3" t="inlineStr">
        <is>
          <t>6B/2025/1S</t>
        </is>
      </c>
      <c r="U1043" s="86" t="n">
        <v>45769</v>
      </c>
      <c r="V1043" s="3" t="inlineStr">
        <is>
          <t>6</t>
        </is>
      </c>
      <c r="W1043" s="111" t="n">
        <v>45769</v>
      </c>
      <c r="X1043" s="4" t="inlineStr">
        <is>
          <t>HS &amp; S LLC</t>
        </is>
      </c>
    </row>
    <row r="1044" ht="24" customHeight="1">
      <c r="A1044" s="2">
        <f>+D1044-S1044</f>
        <v/>
      </c>
      <c r="B1044" s="80" t="n">
        <v>2704</v>
      </c>
      <c r="C1044" s="66" t="n">
        <v>45646</v>
      </c>
      <c r="D1044" s="2" t="n">
        <v>1</v>
      </c>
      <c r="E1044" s="3" t="inlineStr">
        <is>
          <t>CARABINA</t>
        </is>
      </c>
      <c r="F1044" s="3" t="inlineStr">
        <is>
          <t>223REM</t>
        </is>
      </c>
      <c r="G1044" s="3" t="inlineStr">
        <is>
          <t>DANIEL DEFENSE</t>
        </is>
      </c>
      <c r="H1044" s="65" t="inlineStr">
        <is>
          <t xml:space="preserve">DDM4 V7 PRO </t>
        </is>
      </c>
      <c r="I1044" s="65" t="inlineStr">
        <is>
          <t>DDM4589292</t>
        </is>
      </c>
      <c r="J1044" s="65" t="inlineStr">
        <is>
          <t>N/D</t>
        </is>
      </c>
      <c r="K1044" s="65" t="inlineStr">
        <is>
          <t>N/D</t>
        </is>
      </c>
      <c r="L1044" s="127" t="inlineStr">
        <is>
          <t>BIGNAMI SPA</t>
        </is>
      </c>
      <c r="M1044" s="5" t="n">
        <v>1847.034025</v>
      </c>
      <c r="N1044" s="5" t="n"/>
      <c r="O1044" s="5">
        <f>+M1044+N1044</f>
        <v/>
      </c>
      <c r="P1044" s="87" t="n">
        <v>45646</v>
      </c>
      <c r="Q1044" s="87" t="n">
        <v>45642</v>
      </c>
      <c r="R1044" s="5" t="n">
        <v>2200</v>
      </c>
      <c r="S1044" s="2" t="n">
        <v>1</v>
      </c>
      <c r="T1044" s="3" t="inlineStr">
        <is>
          <t>6B/2025/1S</t>
        </is>
      </c>
      <c r="U1044" s="86" t="n">
        <v>45769</v>
      </c>
      <c r="V1044" s="3" t="inlineStr">
        <is>
          <t>6</t>
        </is>
      </c>
      <c r="W1044" s="111" t="n">
        <v>45769</v>
      </c>
      <c r="X1044" s="4" t="inlineStr">
        <is>
          <t>HS &amp; S LLC</t>
        </is>
      </c>
    </row>
    <row r="1045" ht="24" customHeight="1">
      <c r="A1045" s="2">
        <f>+D1045-S1045</f>
        <v/>
      </c>
      <c r="B1045" s="80" t="n">
        <v>2705</v>
      </c>
      <c r="C1045" s="66" t="n">
        <v>45646</v>
      </c>
      <c r="D1045" s="2" t="n">
        <v>1</v>
      </c>
      <c r="E1045" s="3" t="inlineStr">
        <is>
          <t>CARABINA</t>
        </is>
      </c>
      <c r="F1045" s="3" t="inlineStr">
        <is>
          <t>223REM</t>
        </is>
      </c>
      <c r="G1045" s="3" t="inlineStr">
        <is>
          <t>DANIEL DEFENSE</t>
        </is>
      </c>
      <c r="H1045" s="65" t="inlineStr">
        <is>
          <t xml:space="preserve">DDM4 V7 PRO </t>
        </is>
      </c>
      <c r="I1045" s="65" t="inlineStr">
        <is>
          <t>DDM4589291</t>
        </is>
      </c>
      <c r="J1045" s="65" t="inlineStr">
        <is>
          <t>N/D</t>
        </is>
      </c>
      <c r="K1045" s="65" t="inlineStr">
        <is>
          <t>N/D</t>
        </is>
      </c>
      <c r="L1045" s="127" t="inlineStr">
        <is>
          <t>BIGNAMI SPA</t>
        </is>
      </c>
      <c r="M1045" s="5" t="n">
        <v>1847.034025</v>
      </c>
      <c r="N1045" s="5" t="n"/>
      <c r="O1045" s="5">
        <f>+M1045+N1045</f>
        <v/>
      </c>
      <c r="P1045" s="87" t="n">
        <v>45646</v>
      </c>
      <c r="Q1045" s="87" t="n">
        <v>45642</v>
      </c>
      <c r="R1045" s="5" t="n">
        <v>2200</v>
      </c>
      <c r="S1045" s="2" t="n">
        <v>1</v>
      </c>
      <c r="T1045" s="3" t="inlineStr">
        <is>
          <t>6B/2025/1S</t>
        </is>
      </c>
      <c r="U1045" s="86" t="n">
        <v>45769</v>
      </c>
      <c r="V1045" s="3" t="inlineStr">
        <is>
          <t>6</t>
        </is>
      </c>
      <c r="W1045" s="111" t="n">
        <v>45769</v>
      </c>
      <c r="X1045" s="4" t="inlineStr">
        <is>
          <t>HS &amp; S LLC</t>
        </is>
      </c>
    </row>
    <row r="1046" ht="24" customHeight="1">
      <c r="A1046" s="2">
        <f>+D1046-S1046</f>
        <v/>
      </c>
      <c r="B1046" s="80" t="n">
        <v>2706</v>
      </c>
      <c r="C1046" s="66" t="n">
        <v>45646</v>
      </c>
      <c r="D1046" s="2" t="n">
        <v>1</v>
      </c>
      <c r="E1046" s="3" t="inlineStr">
        <is>
          <t>CARABINA</t>
        </is>
      </c>
      <c r="F1046" s="3" t="inlineStr">
        <is>
          <t>223REM</t>
        </is>
      </c>
      <c r="G1046" s="3" t="inlineStr">
        <is>
          <t>DANIEL DEFENSE</t>
        </is>
      </c>
      <c r="H1046" s="65" t="inlineStr">
        <is>
          <t xml:space="preserve">DDM4 V7 PRO </t>
        </is>
      </c>
      <c r="I1046" s="65" t="inlineStr">
        <is>
          <t>DDM4518179</t>
        </is>
      </c>
      <c r="J1046" s="65" t="inlineStr">
        <is>
          <t>N/D</t>
        </is>
      </c>
      <c r="K1046" s="65" t="inlineStr">
        <is>
          <t>N/D</t>
        </is>
      </c>
      <c r="L1046" s="127" t="inlineStr">
        <is>
          <t>BIGNAMI SPA</t>
        </is>
      </c>
      <c r="M1046" s="5" t="n">
        <v>1847.034025</v>
      </c>
      <c r="N1046" s="5" t="n"/>
      <c r="O1046" s="5">
        <f>+M1046+N1046</f>
        <v/>
      </c>
      <c r="P1046" s="87" t="n">
        <v>45646</v>
      </c>
      <c r="Q1046" s="87" t="n">
        <v>45642</v>
      </c>
      <c r="R1046" s="5" t="n">
        <v>2200</v>
      </c>
      <c r="S1046" s="2" t="n">
        <v>1</v>
      </c>
      <c r="T1046" s="3" t="inlineStr">
        <is>
          <t>6B/2025/1S</t>
        </is>
      </c>
      <c r="U1046" s="86" t="n">
        <v>45769</v>
      </c>
      <c r="V1046" s="3" t="inlineStr">
        <is>
          <t>6</t>
        </is>
      </c>
      <c r="W1046" s="111" t="n">
        <v>45769</v>
      </c>
      <c r="X1046" s="4" t="inlineStr">
        <is>
          <t>HS &amp; S LLC</t>
        </is>
      </c>
    </row>
    <row r="1047" ht="24" customHeight="1">
      <c r="A1047" s="2">
        <f>+D1047-S1047</f>
        <v/>
      </c>
      <c r="B1047" s="80" t="n">
        <v>2707</v>
      </c>
      <c r="C1047" s="66" t="n">
        <v>45646</v>
      </c>
      <c r="D1047" s="2" t="n">
        <v>1</v>
      </c>
      <c r="E1047" s="3" t="inlineStr">
        <is>
          <t>PISTOLA SEMIAUTOMATICA</t>
        </is>
      </c>
      <c r="F1047" s="3" t="inlineStr">
        <is>
          <t>9x19</t>
        </is>
      </c>
      <c r="G1047" s="3" t="inlineStr">
        <is>
          <t>CZ</t>
        </is>
      </c>
      <c r="H1047" s="65" t="inlineStr">
        <is>
          <t>TS-2 ORANGE LUGER</t>
        </is>
      </c>
      <c r="I1047" s="65" t="inlineStr">
        <is>
          <t>J232012</t>
        </is>
      </c>
      <c r="J1047" s="65" t="inlineStr">
        <is>
          <t>N/D</t>
        </is>
      </c>
      <c r="K1047" s="65" t="inlineStr">
        <is>
          <t>N/D</t>
        </is>
      </c>
      <c r="L1047" s="127" t="inlineStr">
        <is>
          <t>BIGNAMI SPA</t>
        </is>
      </c>
      <c r="M1047" s="5" t="n">
        <v>1890.2522</v>
      </c>
      <c r="N1047" s="5" t="n"/>
      <c r="O1047" s="5">
        <f>+M1047+N1047</f>
        <v/>
      </c>
      <c r="P1047" s="87" t="n">
        <v>45646</v>
      </c>
      <c r="Q1047" s="87" t="n">
        <v>45642</v>
      </c>
      <c r="R1047" s="5" t="n"/>
      <c r="S1047" s="2" t="n"/>
      <c r="T1047" s="3" t="n"/>
      <c r="U1047" s="87" t="n"/>
      <c r="V1047" s="3" t="n"/>
      <c r="W1047" s="108" t="n"/>
      <c r="X1047" s="4" t="n"/>
    </row>
    <row r="1048" ht="24" customHeight="1">
      <c r="A1048" s="2">
        <f>+D1048-S1048</f>
        <v/>
      </c>
      <c r="B1048" s="80" t="n">
        <v>2708</v>
      </c>
      <c r="C1048" s="66" t="n">
        <v>45646</v>
      </c>
      <c r="D1048" s="2" t="n">
        <v>1</v>
      </c>
      <c r="E1048" s="3" t="inlineStr">
        <is>
          <t>PISTOLA SEMIAUTOMATICA</t>
        </is>
      </c>
      <c r="F1048" s="3" t="inlineStr">
        <is>
          <t>.45 ACP</t>
        </is>
      </c>
      <c r="G1048" s="3" t="inlineStr">
        <is>
          <t>RUGER</t>
        </is>
      </c>
      <c r="H1048" s="65" t="inlineStr">
        <is>
          <t>SR 1911 ACP 5'' 75TH ANNIVERSARY</t>
        </is>
      </c>
      <c r="I1048" s="65" t="inlineStr">
        <is>
          <t>R75-2541</t>
        </is>
      </c>
      <c r="J1048" s="65" t="inlineStr">
        <is>
          <t>N/D</t>
        </is>
      </c>
      <c r="K1048" s="65" t="inlineStr">
        <is>
          <t>N/D</t>
        </is>
      </c>
      <c r="L1048" s="127" t="inlineStr">
        <is>
          <t>BIGNAMI SPA</t>
        </is>
      </c>
      <c r="M1048" s="5" t="n">
        <v>1352.4222</v>
      </c>
      <c r="N1048" s="5" t="n"/>
      <c r="O1048" s="5">
        <f>+M1048+N1048</f>
        <v/>
      </c>
      <c r="P1048" s="87" t="n">
        <v>45646</v>
      </c>
      <c r="Q1048" s="87" t="n">
        <v>45642</v>
      </c>
      <c r="R1048" s="5" t="n">
        <v>1420</v>
      </c>
      <c r="S1048" s="2" t="n">
        <v>1</v>
      </c>
      <c r="T1048" s="3" t="inlineStr">
        <is>
          <t>CA04954OS</t>
        </is>
      </c>
      <c r="U1048" s="87" t="n">
        <v>45874</v>
      </c>
      <c r="V1048" s="3" t="inlineStr">
        <is>
          <t>25</t>
        </is>
      </c>
      <c r="W1048" s="4" t="n">
        <v>45874</v>
      </c>
      <c r="X1048" s="4" t="inlineStr">
        <is>
          <t>PHILIPPOS  CONSTANTINIDES
TRADING CO.LTD</t>
        </is>
      </c>
    </row>
    <row r="1049" ht="24" customHeight="1">
      <c r="A1049" s="2">
        <f>+D1049-S1049</f>
        <v/>
      </c>
      <c r="B1049" s="80" t="n">
        <v>2709</v>
      </c>
      <c r="C1049" s="66" t="n">
        <v>45646</v>
      </c>
      <c r="D1049" s="2" t="n">
        <v>1</v>
      </c>
      <c r="E1049" s="3" t="inlineStr">
        <is>
          <t>PISTOLA SEMIAUTOMATICA</t>
        </is>
      </c>
      <c r="F1049" s="3" t="inlineStr">
        <is>
          <t>9x19</t>
        </is>
      </c>
      <c r="G1049" s="3" t="inlineStr">
        <is>
          <t>SIG SAUER</t>
        </is>
      </c>
      <c r="H1049" s="65" t="inlineStr">
        <is>
          <t>P320 M17 LUGER 4.7''</t>
        </is>
      </c>
      <c r="I1049" s="65" t="inlineStr">
        <is>
          <t>M17A131869</t>
        </is>
      </c>
      <c r="J1049" s="65" t="inlineStr">
        <is>
          <t>N/D</t>
        </is>
      </c>
      <c r="K1049" s="65" t="inlineStr">
        <is>
          <t>N/D</t>
        </is>
      </c>
      <c r="L1049" s="127" t="inlineStr">
        <is>
          <t>BIGNAMI SPA</t>
        </is>
      </c>
      <c r="M1049" s="5" t="n">
        <v>685</v>
      </c>
      <c r="N1049" s="5" t="n"/>
      <c r="O1049" s="5">
        <f>+M1049+N1049</f>
        <v/>
      </c>
      <c r="P1049" s="87" t="n">
        <v>45646</v>
      </c>
      <c r="Q1049" s="87" t="n">
        <v>45642</v>
      </c>
      <c r="R1049" s="5" t="n">
        <v>795</v>
      </c>
      <c r="S1049" s="2" t="n">
        <v>1</v>
      </c>
      <c r="T1049" s="3" t="inlineStr">
        <is>
          <t>6B/2025/1S</t>
        </is>
      </c>
      <c r="U1049" s="86" t="n">
        <v>45769</v>
      </c>
      <c r="V1049" s="3" t="inlineStr">
        <is>
          <t>6</t>
        </is>
      </c>
      <c r="W1049" s="111" t="n">
        <v>45769</v>
      </c>
      <c r="X1049" s="4" t="inlineStr">
        <is>
          <t>HS &amp; S LLC</t>
        </is>
      </c>
    </row>
    <row r="1050" ht="24" customHeight="1">
      <c r="A1050" s="2">
        <f>+D1050-S1050</f>
        <v/>
      </c>
      <c r="B1050" s="80" t="n">
        <v>2710</v>
      </c>
      <c r="C1050" s="66" t="n">
        <v>45646</v>
      </c>
      <c r="D1050" s="2" t="n">
        <v>1</v>
      </c>
      <c r="E1050" s="3" t="inlineStr">
        <is>
          <t>PISTOLA SEMIAUTOMATICA</t>
        </is>
      </c>
      <c r="F1050" s="3" t="inlineStr">
        <is>
          <t>9x19</t>
        </is>
      </c>
      <c r="G1050" s="3" t="inlineStr">
        <is>
          <t>SIG SAUER</t>
        </is>
      </c>
      <c r="H1050" s="65" t="inlineStr">
        <is>
          <t>P320 M17 LUGER 4.7''</t>
        </is>
      </c>
      <c r="I1050" s="65" t="inlineStr">
        <is>
          <t>M17A134245</t>
        </is>
      </c>
      <c r="J1050" s="65" t="inlineStr">
        <is>
          <t>N/D</t>
        </is>
      </c>
      <c r="K1050" s="65" t="inlineStr">
        <is>
          <t>N/D</t>
        </is>
      </c>
      <c r="L1050" s="127" t="inlineStr">
        <is>
          <t>BIGNAMI SPA</t>
        </is>
      </c>
      <c r="M1050" s="5" t="n">
        <v>685</v>
      </c>
      <c r="N1050" s="5" t="n"/>
      <c r="O1050" s="5">
        <f>+M1050+N1050</f>
        <v/>
      </c>
      <c r="P1050" s="87" t="n">
        <v>45646</v>
      </c>
      <c r="Q1050" s="87" t="n">
        <v>45642</v>
      </c>
      <c r="R1050" s="5" t="n">
        <v>795</v>
      </c>
      <c r="S1050" s="2" t="n">
        <v>1</v>
      </c>
      <c r="T1050" s="3" t="inlineStr">
        <is>
          <t>6B/2025/1S</t>
        </is>
      </c>
      <c r="U1050" s="86" t="n">
        <v>45769</v>
      </c>
      <c r="V1050" s="3" t="inlineStr">
        <is>
          <t>6</t>
        </is>
      </c>
      <c r="W1050" s="111" t="n">
        <v>45769</v>
      </c>
      <c r="X1050" s="4" t="inlineStr">
        <is>
          <t>HS &amp; S LLC</t>
        </is>
      </c>
    </row>
    <row r="1051" ht="24" customHeight="1">
      <c r="A1051" s="2">
        <f>+D1051-S1051</f>
        <v/>
      </c>
      <c r="B1051" s="80" t="n">
        <v>2711</v>
      </c>
      <c r="C1051" s="66" t="n">
        <v>45646</v>
      </c>
      <c r="D1051" s="2" t="n">
        <v>1</v>
      </c>
      <c r="E1051" s="3" t="inlineStr">
        <is>
          <t>PISTOLA SEMIAUTOMATICA</t>
        </is>
      </c>
      <c r="F1051" s="3" t="inlineStr">
        <is>
          <t>9x19</t>
        </is>
      </c>
      <c r="G1051" s="3" t="inlineStr">
        <is>
          <t>SIG SAUER</t>
        </is>
      </c>
      <c r="H1051" s="65" t="inlineStr">
        <is>
          <t>P210 TARGET LUGER 5"</t>
        </is>
      </c>
      <c r="I1051" s="65" t="inlineStr">
        <is>
          <t>59E007033</t>
        </is>
      </c>
      <c r="J1051" s="65" t="inlineStr">
        <is>
          <t>N/D</t>
        </is>
      </c>
      <c r="K1051" s="65" t="inlineStr">
        <is>
          <t>N/D</t>
        </is>
      </c>
      <c r="L1051" s="127" t="inlineStr">
        <is>
          <t>BIGNAMI SPA</t>
        </is>
      </c>
      <c r="M1051" s="5" t="n">
        <v>1950</v>
      </c>
      <c r="N1051" s="5" t="n"/>
      <c r="O1051" s="5">
        <f>+M1051+N1051</f>
        <v/>
      </c>
      <c r="P1051" s="87" t="n">
        <v>45646</v>
      </c>
      <c r="Q1051" s="87" t="n">
        <v>45642</v>
      </c>
      <c r="R1051" s="5" t="n"/>
      <c r="S1051" s="2" t="n"/>
      <c r="T1051" s="3" t="n"/>
      <c r="U1051" s="86" t="n"/>
      <c r="V1051" s="3" t="n"/>
      <c r="W1051" s="111" t="n"/>
      <c r="X1051" s="4" t="n"/>
    </row>
    <row r="1052" ht="24" customHeight="1">
      <c r="A1052" s="2">
        <f>+D1052-S1052</f>
        <v/>
      </c>
      <c r="B1052" s="80" t="n">
        <v>2712</v>
      </c>
      <c r="C1052" s="66" t="n">
        <v>45646</v>
      </c>
      <c r="D1052" s="2" t="n">
        <v>1</v>
      </c>
      <c r="E1052" s="3" t="inlineStr">
        <is>
          <t>FUCILE SOVRAPPOSTO</t>
        </is>
      </c>
      <c r="F1052" s="3" t="inlineStr">
        <is>
          <t>12</t>
        </is>
      </c>
      <c r="G1052" s="3" t="inlineStr">
        <is>
          <t>BERETTA</t>
        </is>
      </c>
      <c r="H1052" s="65" t="inlineStr">
        <is>
          <t>N/A</t>
        </is>
      </c>
      <c r="I1052" s="65" t="inlineStr">
        <is>
          <t>A81379B</t>
        </is>
      </c>
      <c r="J1052" s="65" t="inlineStr">
        <is>
          <t>N/D</t>
        </is>
      </c>
      <c r="K1052" s="65" t="inlineStr">
        <is>
          <t>N/D</t>
        </is>
      </c>
      <c r="L1052" s="127" t="inlineStr">
        <is>
          <t>ARMERIA LENZERINI SAS</t>
        </is>
      </c>
      <c r="M1052" s="5" t="n">
        <v>220</v>
      </c>
      <c r="N1052" s="5" t="n"/>
      <c r="O1052" s="5">
        <f>+M1052+N1052</f>
        <v/>
      </c>
      <c r="P1052" s="87" t="n">
        <v>45642</v>
      </c>
      <c r="Q1052" s="87" t="n">
        <v>45636</v>
      </c>
      <c r="R1052" s="5" t="n">
        <v>252</v>
      </c>
      <c r="S1052" s="2" t="n">
        <v>1</v>
      </c>
      <c r="T1052" s="3" t="inlineStr">
        <is>
          <t>CA42796IR</t>
        </is>
      </c>
      <c r="U1052" s="87" t="n">
        <v>45821</v>
      </c>
      <c r="V1052" s="3" t="inlineStr">
        <is>
          <t>9</t>
        </is>
      </c>
      <c r="W1052" s="108" t="n">
        <v>45821</v>
      </c>
      <c r="X1052" s="4" t="inlineStr">
        <is>
          <t>PHILIPPOS COSTANTINIDES TRADING CO. LTD</t>
        </is>
      </c>
    </row>
    <row r="1053" ht="24" customHeight="1">
      <c r="A1053" s="2">
        <f>+D1053-S1053</f>
        <v/>
      </c>
      <c r="B1053" s="80" t="n">
        <v>2713</v>
      </c>
      <c r="C1053" s="66" t="n">
        <v>45646</v>
      </c>
      <c r="D1053" s="2" t="n">
        <v>1</v>
      </c>
      <c r="E1053" s="3" t="inlineStr">
        <is>
          <t>FUCILE SOVRAPPOSTO</t>
        </is>
      </c>
      <c r="F1053" s="3" t="inlineStr">
        <is>
          <t>12</t>
        </is>
      </c>
      <c r="G1053" s="3" t="inlineStr">
        <is>
          <t>BERETTA</t>
        </is>
      </c>
      <c r="H1053" s="65" t="inlineStr">
        <is>
          <t>N/A</t>
        </is>
      </c>
      <c r="I1053" s="65" t="inlineStr">
        <is>
          <t>50127</t>
        </is>
      </c>
      <c r="J1053" s="65" t="inlineStr">
        <is>
          <t>N/D</t>
        </is>
      </c>
      <c r="K1053" s="65" t="inlineStr">
        <is>
          <t>N/D</t>
        </is>
      </c>
      <c r="L1053" s="127" t="inlineStr">
        <is>
          <t>ARMERIA LENZERINI SAS</t>
        </is>
      </c>
      <c r="M1053" s="5" t="n">
        <v>200</v>
      </c>
      <c r="N1053" s="5" t="n"/>
      <c r="O1053" s="5">
        <f>+M1053+N1053</f>
        <v/>
      </c>
      <c r="P1053" s="87" t="n">
        <v>45642</v>
      </c>
      <c r="Q1053" s="87" t="n">
        <v>45636</v>
      </c>
      <c r="R1053" s="5" t="n">
        <v>229</v>
      </c>
      <c r="S1053" s="2" t="n">
        <v>1</v>
      </c>
      <c r="T1053" s="3" t="inlineStr">
        <is>
          <t>CA42796IR</t>
        </is>
      </c>
      <c r="U1053" s="87" t="n">
        <v>45821</v>
      </c>
      <c r="V1053" s="3" t="inlineStr">
        <is>
          <t>9</t>
        </is>
      </c>
      <c r="W1053" s="108" t="n">
        <v>45821</v>
      </c>
      <c r="X1053" s="4" t="inlineStr">
        <is>
          <t>PHILIPPOS COSTANTINIDES TRADING CO. LTD</t>
        </is>
      </c>
    </row>
    <row r="1054" ht="24" customHeight="1">
      <c r="A1054" s="2">
        <f>+D1054-S1054</f>
        <v/>
      </c>
      <c r="B1054" s="80" t="n">
        <v>2714</v>
      </c>
      <c r="C1054" s="66" t="n">
        <v>45646</v>
      </c>
      <c r="D1054" s="2" t="n">
        <v>1</v>
      </c>
      <c r="E1054" s="3" t="inlineStr">
        <is>
          <t>FUCILE SOVRAPPOSTO</t>
        </is>
      </c>
      <c r="F1054" s="3" t="inlineStr">
        <is>
          <t>12</t>
        </is>
      </c>
      <c r="G1054" s="3" t="inlineStr">
        <is>
          <t>BERETTA</t>
        </is>
      </c>
      <c r="H1054" s="65" t="inlineStr">
        <is>
          <t>N/A</t>
        </is>
      </c>
      <c r="I1054" s="65" t="inlineStr">
        <is>
          <t>22320</t>
        </is>
      </c>
      <c r="J1054" s="65" t="inlineStr">
        <is>
          <t>N/D</t>
        </is>
      </c>
      <c r="K1054" s="65" t="inlineStr">
        <is>
          <t>N/D</t>
        </is>
      </c>
      <c r="L1054" s="127" t="inlineStr">
        <is>
          <t>ARMERIA LENZERINI SAS</t>
        </is>
      </c>
      <c r="M1054" s="5" t="n">
        <v>150</v>
      </c>
      <c r="N1054" s="5" t="n"/>
      <c r="O1054" s="5">
        <f>+M1054+N1054</f>
        <v/>
      </c>
      <c r="P1054" s="87" t="n">
        <v>45642</v>
      </c>
      <c r="Q1054" s="87" t="n">
        <v>45636</v>
      </c>
      <c r="R1054" s="5" t="n">
        <v>173</v>
      </c>
      <c r="S1054" s="2" t="n">
        <v>1</v>
      </c>
      <c r="T1054" s="3" t="inlineStr">
        <is>
          <t>CA42796IR</t>
        </is>
      </c>
      <c r="U1054" s="87" t="n">
        <v>45821</v>
      </c>
      <c r="V1054" s="3" t="inlineStr">
        <is>
          <t>9</t>
        </is>
      </c>
      <c r="W1054" s="108" t="n">
        <v>45821</v>
      </c>
      <c r="X1054" s="4" t="inlineStr">
        <is>
          <t>PHILIPPOS COSTANTINIDES TRADING CO. LTD</t>
        </is>
      </c>
    </row>
    <row r="1055" ht="24" customHeight="1">
      <c r="A1055" s="2">
        <f>+D1055-S1055</f>
        <v/>
      </c>
      <c r="B1055" s="80" t="n">
        <v>2715</v>
      </c>
      <c r="C1055" s="66" t="n">
        <v>45646</v>
      </c>
      <c r="D1055" s="2" t="n">
        <v>1</v>
      </c>
      <c r="E1055" s="3" t="inlineStr">
        <is>
          <t>FUCILE SOVRAPPOSTO</t>
        </is>
      </c>
      <c r="F1055" s="3" t="inlineStr">
        <is>
          <t>12</t>
        </is>
      </c>
      <c r="G1055" s="3" t="inlineStr">
        <is>
          <t>BERETTA</t>
        </is>
      </c>
      <c r="H1055" s="65" t="inlineStr">
        <is>
          <t>N/A</t>
        </is>
      </c>
      <c r="I1055" s="65" t="inlineStr">
        <is>
          <t>C02570B</t>
        </is>
      </c>
      <c r="J1055" s="65" t="inlineStr">
        <is>
          <t>N/D</t>
        </is>
      </c>
      <c r="K1055" s="65" t="inlineStr">
        <is>
          <t>N/D</t>
        </is>
      </c>
      <c r="L1055" s="127" t="inlineStr">
        <is>
          <t>ARMERIA LENZERINI SAS</t>
        </is>
      </c>
      <c r="M1055" s="5" t="n">
        <v>300</v>
      </c>
      <c r="N1055" s="5" t="n"/>
      <c r="O1055" s="5">
        <f>+M1055+N1055</f>
        <v/>
      </c>
      <c r="P1055" s="87" t="n">
        <v>45642</v>
      </c>
      <c r="Q1055" s="87" t="n">
        <v>45636</v>
      </c>
      <c r="R1055" s="5" t="n">
        <v>341</v>
      </c>
      <c r="S1055" s="2" t="n">
        <v>1</v>
      </c>
      <c r="T1055" s="3" t="inlineStr">
        <is>
          <t>CA42796IR</t>
        </is>
      </c>
      <c r="U1055" s="87" t="n">
        <v>45821</v>
      </c>
      <c r="V1055" s="3" t="inlineStr">
        <is>
          <t>9</t>
        </is>
      </c>
      <c r="W1055" s="108" t="n">
        <v>45821</v>
      </c>
      <c r="X1055" s="4" t="inlineStr">
        <is>
          <t>PHILIPPOS COSTANTINIDES TRADING CO. LTD</t>
        </is>
      </c>
    </row>
    <row r="1056" ht="24" customHeight="1">
      <c r="A1056" s="2">
        <f>+D1056-S1056</f>
        <v/>
      </c>
      <c r="B1056" s="80" t="n">
        <v>2716</v>
      </c>
      <c r="C1056" s="66" t="n">
        <v>45646</v>
      </c>
      <c r="D1056" s="2" t="n">
        <v>1</v>
      </c>
      <c r="E1056" s="3" t="inlineStr">
        <is>
          <t>FUCILE SOVRAPPOSTO</t>
        </is>
      </c>
      <c r="F1056" s="3" t="inlineStr">
        <is>
          <t>12</t>
        </is>
      </c>
      <c r="G1056" s="3" t="inlineStr">
        <is>
          <t>BERETTA</t>
        </is>
      </c>
      <c r="H1056" s="65" t="inlineStr">
        <is>
          <t>N/A</t>
        </is>
      </c>
      <c r="I1056" s="65" t="inlineStr">
        <is>
          <t>P23302</t>
        </is>
      </c>
      <c r="J1056" s="65" t="inlineStr">
        <is>
          <t>N/D</t>
        </is>
      </c>
      <c r="K1056" s="65" t="inlineStr">
        <is>
          <t>N/D</t>
        </is>
      </c>
      <c r="L1056" s="127" t="inlineStr">
        <is>
          <t>ARMERIA LENZERINI SAS</t>
        </is>
      </c>
      <c r="M1056" s="5" t="n">
        <v>190</v>
      </c>
      <c r="N1056" s="5" t="n"/>
      <c r="O1056" s="5">
        <f>+M1056+N1056</f>
        <v/>
      </c>
      <c r="P1056" s="87" t="n">
        <v>45642</v>
      </c>
      <c r="Q1056" s="87" t="n">
        <v>45636</v>
      </c>
      <c r="R1056" s="5" t="n">
        <v>218</v>
      </c>
      <c r="S1056" s="2" t="n">
        <v>1</v>
      </c>
      <c r="T1056" s="3" t="inlineStr">
        <is>
          <t>CA42796IR</t>
        </is>
      </c>
      <c r="U1056" s="87" t="n">
        <v>45821</v>
      </c>
      <c r="V1056" s="3" t="inlineStr">
        <is>
          <t>9</t>
        </is>
      </c>
      <c r="W1056" s="108" t="n">
        <v>45821</v>
      </c>
      <c r="X1056" s="4" t="inlineStr">
        <is>
          <t>PHILIPPOS COSTANTINIDES TRADING CO. LTD</t>
        </is>
      </c>
    </row>
    <row r="1057" ht="24" customHeight="1">
      <c r="A1057" s="2">
        <f>+D1057-S1057</f>
        <v/>
      </c>
      <c r="B1057" s="80" t="n">
        <v>2717</v>
      </c>
      <c r="C1057" s="66" t="n">
        <v>45646</v>
      </c>
      <c r="D1057" s="2" t="n">
        <v>1</v>
      </c>
      <c r="E1057" s="3" t="inlineStr">
        <is>
          <t>FUCILE SOVRAPPOSTO</t>
        </is>
      </c>
      <c r="F1057" s="3" t="inlineStr">
        <is>
          <t>12</t>
        </is>
      </c>
      <c r="G1057" s="3" t="inlineStr">
        <is>
          <t>BERETTA</t>
        </is>
      </c>
      <c r="H1057" s="65" t="inlineStr">
        <is>
          <t>N/A</t>
        </is>
      </c>
      <c r="I1057" s="65" t="inlineStr">
        <is>
          <t>B53449B</t>
        </is>
      </c>
      <c r="J1057" s="65" t="inlineStr">
        <is>
          <t>N/D</t>
        </is>
      </c>
      <c r="K1057" s="65" t="inlineStr">
        <is>
          <t>N/D</t>
        </is>
      </c>
      <c r="L1057" s="127" t="inlineStr">
        <is>
          <t>ARMERIA LENZERINI SAS</t>
        </is>
      </c>
      <c r="M1057" s="5" t="n">
        <v>220</v>
      </c>
      <c r="N1057" s="5" t="n"/>
      <c r="O1057" s="5">
        <f>+M1057+N1057</f>
        <v/>
      </c>
      <c r="P1057" s="87" t="n">
        <v>45642</v>
      </c>
      <c r="Q1057" s="87" t="n">
        <v>45636</v>
      </c>
      <c r="R1057" s="5" t="n">
        <v>252</v>
      </c>
      <c r="S1057" s="2" t="n">
        <v>1</v>
      </c>
      <c r="T1057" s="3" t="inlineStr">
        <is>
          <t>CA42796IR</t>
        </is>
      </c>
      <c r="U1057" s="87" t="n">
        <v>45821</v>
      </c>
      <c r="V1057" s="3" t="inlineStr">
        <is>
          <t>9</t>
        </is>
      </c>
      <c r="W1057" s="108" t="n">
        <v>45821</v>
      </c>
      <c r="X1057" s="4" t="inlineStr">
        <is>
          <t>PHILIPPOS COSTANTINIDES TRADING CO. LTD</t>
        </is>
      </c>
    </row>
    <row r="1058" ht="24" customHeight="1">
      <c r="A1058" s="2">
        <f>+D1058-S1058</f>
        <v/>
      </c>
      <c r="B1058" s="80" t="n">
        <v>2718</v>
      </c>
      <c r="C1058" s="66" t="n">
        <v>45646</v>
      </c>
      <c r="D1058" s="2" t="n">
        <v>1</v>
      </c>
      <c r="E1058" s="3" t="inlineStr">
        <is>
          <t>FUCILE SOVRAPPOSTO</t>
        </is>
      </c>
      <c r="F1058" s="3" t="inlineStr">
        <is>
          <t>12</t>
        </is>
      </c>
      <c r="G1058" s="3" t="inlineStr">
        <is>
          <t>BERETTA</t>
        </is>
      </c>
      <c r="H1058" s="65" t="inlineStr">
        <is>
          <t>N/A</t>
        </is>
      </c>
      <c r="I1058" s="65" t="inlineStr">
        <is>
          <t>B23619</t>
        </is>
      </c>
      <c r="J1058" s="65" t="inlineStr">
        <is>
          <t>N/D</t>
        </is>
      </c>
      <c r="K1058" s="65" t="inlineStr">
        <is>
          <t>N/D</t>
        </is>
      </c>
      <c r="L1058" s="127" t="inlineStr">
        <is>
          <t>ARMERIA LENZERINI SAS</t>
        </is>
      </c>
      <c r="M1058" s="5" t="n">
        <v>150</v>
      </c>
      <c r="N1058" s="5" t="n"/>
      <c r="O1058" s="5">
        <f>+M1058+N1058</f>
        <v/>
      </c>
      <c r="P1058" s="87" t="n">
        <v>45642</v>
      </c>
      <c r="Q1058" s="87" t="n">
        <v>45636</v>
      </c>
      <c r="R1058" s="5" t="n">
        <v>173</v>
      </c>
      <c r="S1058" s="2" t="n">
        <v>1</v>
      </c>
      <c r="T1058" s="3" t="inlineStr">
        <is>
          <t>CA42796IR</t>
        </is>
      </c>
      <c r="U1058" s="87" t="n">
        <v>45821</v>
      </c>
      <c r="V1058" s="3" t="inlineStr">
        <is>
          <t>9</t>
        </is>
      </c>
      <c r="W1058" s="108" t="n">
        <v>45821</v>
      </c>
      <c r="X1058" s="4" t="inlineStr">
        <is>
          <t>PHILIPPOS COSTANTINIDES TRADING CO. LTD</t>
        </is>
      </c>
    </row>
    <row r="1059" ht="24" customHeight="1">
      <c r="A1059" s="2">
        <f>+D1059-S1059</f>
        <v/>
      </c>
      <c r="B1059" s="80" t="n">
        <v>2719</v>
      </c>
      <c r="C1059" s="66" t="n">
        <v>45646</v>
      </c>
      <c r="D1059" s="2" t="n">
        <v>1</v>
      </c>
      <c r="E1059" s="3" t="inlineStr">
        <is>
          <t>FUCILE SOVRAPPOSTO</t>
        </is>
      </c>
      <c r="F1059" s="3" t="inlineStr">
        <is>
          <t>12</t>
        </is>
      </c>
      <c r="G1059" s="3" t="inlineStr">
        <is>
          <t>BERETTA</t>
        </is>
      </c>
      <c r="H1059" s="65" t="inlineStr">
        <is>
          <t>N/A</t>
        </is>
      </c>
      <c r="I1059" s="65" t="inlineStr">
        <is>
          <t>B11784B</t>
        </is>
      </c>
      <c r="J1059" s="65" t="inlineStr">
        <is>
          <t>N/D</t>
        </is>
      </c>
      <c r="K1059" s="65" t="inlineStr">
        <is>
          <t>N/D</t>
        </is>
      </c>
      <c r="L1059" s="127" t="inlineStr">
        <is>
          <t>ARMERIA LENZERINI SAS</t>
        </is>
      </c>
      <c r="M1059" s="5" t="n">
        <v>200</v>
      </c>
      <c r="N1059" s="5" t="n"/>
      <c r="O1059" s="5">
        <f>+M1059+N1059</f>
        <v/>
      </c>
      <c r="P1059" s="87" t="n">
        <v>45642</v>
      </c>
      <c r="Q1059" s="87" t="n">
        <v>45636</v>
      </c>
      <c r="R1059" s="5" t="n">
        <v>229</v>
      </c>
      <c r="S1059" s="2" t="n">
        <v>1</v>
      </c>
      <c r="T1059" s="3" t="inlineStr">
        <is>
          <t>CA42796IR</t>
        </is>
      </c>
      <c r="U1059" s="87" t="n">
        <v>45821</v>
      </c>
      <c r="V1059" s="3" t="inlineStr">
        <is>
          <t>9</t>
        </is>
      </c>
      <c r="W1059" s="108" t="n">
        <v>45821</v>
      </c>
      <c r="X1059" s="4" t="inlineStr">
        <is>
          <t>PHILIPPOS COSTANTINIDES TRADING CO. LTD</t>
        </is>
      </c>
    </row>
    <row r="1060" ht="24" customHeight="1">
      <c r="A1060" s="2">
        <f>+D1060-S1060</f>
        <v/>
      </c>
      <c r="B1060" s="80" t="n">
        <v>2720</v>
      </c>
      <c r="C1060" s="66" t="n">
        <v>45646</v>
      </c>
      <c r="D1060" s="2" t="n">
        <v>1</v>
      </c>
      <c r="E1060" s="3" t="inlineStr">
        <is>
          <t>FUCILE SOVRAPPOSTO</t>
        </is>
      </c>
      <c r="F1060" s="3" t="inlineStr">
        <is>
          <t>12</t>
        </is>
      </c>
      <c r="G1060" s="3" t="inlineStr">
        <is>
          <t>BERETTA</t>
        </is>
      </c>
      <c r="H1060" s="65" t="inlineStr">
        <is>
          <t>N/A</t>
        </is>
      </c>
      <c r="I1060" s="65" t="inlineStr">
        <is>
          <t>A99525B</t>
        </is>
      </c>
      <c r="J1060" s="65" t="inlineStr">
        <is>
          <t>N/D</t>
        </is>
      </c>
      <c r="K1060" s="65" t="inlineStr">
        <is>
          <t>N/D</t>
        </is>
      </c>
      <c r="L1060" s="127" t="inlineStr">
        <is>
          <t>ARMERIA LENZERINI SAS</t>
        </is>
      </c>
      <c r="M1060" s="5" t="n">
        <v>250</v>
      </c>
      <c r="N1060" s="5" t="n"/>
      <c r="O1060" s="5">
        <f>+M1060+N1060</f>
        <v/>
      </c>
      <c r="P1060" s="87" t="n">
        <v>45642</v>
      </c>
      <c r="Q1060" s="87" t="n">
        <v>45636</v>
      </c>
      <c r="R1060" s="5" t="n">
        <v>285</v>
      </c>
      <c r="S1060" s="2" t="n">
        <v>1</v>
      </c>
      <c r="T1060" s="3" t="inlineStr">
        <is>
          <t>CA42796IR</t>
        </is>
      </c>
      <c r="U1060" s="87" t="n">
        <v>45821</v>
      </c>
      <c r="V1060" s="3" t="inlineStr">
        <is>
          <t>9</t>
        </is>
      </c>
      <c r="W1060" s="108" t="n">
        <v>45821</v>
      </c>
      <c r="X1060" s="4" t="inlineStr">
        <is>
          <t>PHILIPPOS COSTANTINIDES TRADING CO. LTD</t>
        </is>
      </c>
    </row>
    <row r="1061" ht="24" customHeight="1">
      <c r="A1061" s="2">
        <f>+D1061-S1061</f>
        <v/>
      </c>
      <c r="B1061" s="80" t="n">
        <v>2721</v>
      </c>
      <c r="C1061" s="66" t="n">
        <v>45646</v>
      </c>
      <c r="D1061" s="2" t="n">
        <v>1</v>
      </c>
      <c r="E1061" s="3" t="inlineStr">
        <is>
          <t>FUCILE SOVRAPPOSTO</t>
        </is>
      </c>
      <c r="F1061" s="3" t="inlineStr">
        <is>
          <t>12</t>
        </is>
      </c>
      <c r="G1061" s="3" t="inlineStr">
        <is>
          <t>BERETTA</t>
        </is>
      </c>
      <c r="H1061" s="65" t="inlineStr">
        <is>
          <t>N/A</t>
        </is>
      </c>
      <c r="I1061" s="65" t="inlineStr">
        <is>
          <t>A2099</t>
        </is>
      </c>
      <c r="J1061" s="65" t="inlineStr">
        <is>
          <t>N/D</t>
        </is>
      </c>
      <c r="K1061" s="65" t="inlineStr">
        <is>
          <t>N/D</t>
        </is>
      </c>
      <c r="L1061" s="127" t="inlineStr">
        <is>
          <t>ARMERIA LENZERINI SAS</t>
        </is>
      </c>
      <c r="M1061" s="5" t="n">
        <v>150</v>
      </c>
      <c r="N1061" s="5" t="n"/>
      <c r="O1061" s="5">
        <f>+M1061+N1061</f>
        <v/>
      </c>
      <c r="P1061" s="87" t="n">
        <v>45642</v>
      </c>
      <c r="Q1061" s="87" t="n">
        <v>45636</v>
      </c>
      <c r="R1061" s="5" t="n">
        <v>173</v>
      </c>
      <c r="S1061" s="2" t="n">
        <v>1</v>
      </c>
      <c r="T1061" s="3" t="inlineStr">
        <is>
          <t>CA42796IR</t>
        </is>
      </c>
      <c r="U1061" s="87" t="n">
        <v>45821</v>
      </c>
      <c r="V1061" s="3" t="inlineStr">
        <is>
          <t>9</t>
        </is>
      </c>
      <c r="W1061" s="108" t="n">
        <v>45821</v>
      </c>
      <c r="X1061" s="4" t="inlineStr">
        <is>
          <t>PHILIPPOS COSTANTINIDES TRADING CO. LTD</t>
        </is>
      </c>
    </row>
    <row r="1062" ht="24" customHeight="1">
      <c r="A1062" s="2">
        <f>+D1062-S1062</f>
        <v/>
      </c>
      <c r="B1062" s="80" t="n">
        <v>2722</v>
      </c>
      <c r="C1062" s="66" t="n">
        <v>45646</v>
      </c>
      <c r="D1062" s="2" t="n">
        <v>1</v>
      </c>
      <c r="E1062" s="3" t="inlineStr">
        <is>
          <t>FUCILE SOVRAPPOSTO</t>
        </is>
      </c>
      <c r="F1062" s="3" t="inlineStr">
        <is>
          <t>12</t>
        </is>
      </c>
      <c r="G1062" s="3" t="inlineStr">
        <is>
          <t>GAMBA</t>
        </is>
      </c>
      <c r="H1062" s="65" t="inlineStr">
        <is>
          <t>N/A</t>
        </is>
      </c>
      <c r="I1062" s="103" t="inlineStr">
        <is>
          <t>33527</t>
        </is>
      </c>
      <c r="J1062" s="65" t="inlineStr">
        <is>
          <t>N/D</t>
        </is>
      </c>
      <c r="K1062" s="65" t="inlineStr">
        <is>
          <t>N/D</t>
        </is>
      </c>
      <c r="L1062" s="127" t="inlineStr">
        <is>
          <t>ARMERIA LENZERINI SAS</t>
        </is>
      </c>
      <c r="M1062" s="5" t="n">
        <v>100</v>
      </c>
      <c r="N1062" s="5" t="n"/>
      <c r="O1062" s="5">
        <f>+M1062+N1062</f>
        <v/>
      </c>
      <c r="P1062" s="87" t="n">
        <v>45642</v>
      </c>
      <c r="Q1062" s="87" t="n">
        <v>45636</v>
      </c>
      <c r="R1062" s="5" t="n">
        <v>117</v>
      </c>
      <c r="S1062" s="2" t="n">
        <v>1</v>
      </c>
      <c r="T1062" s="3" t="inlineStr">
        <is>
          <t>CA42796IR</t>
        </is>
      </c>
      <c r="U1062" s="87" t="n">
        <v>45821</v>
      </c>
      <c r="V1062" s="3" t="inlineStr">
        <is>
          <t>10</t>
        </is>
      </c>
      <c r="W1062" s="108" t="n">
        <v>45821</v>
      </c>
      <c r="X1062" s="4" t="inlineStr">
        <is>
          <t>PHILIPPOS COSTANTINIDES TRADING CO. LTD</t>
        </is>
      </c>
    </row>
    <row r="1063" ht="24" customHeight="1">
      <c r="A1063" s="2">
        <f>+D1063-S1063</f>
        <v/>
      </c>
      <c r="B1063" s="80" t="n">
        <v>2723</v>
      </c>
      <c r="C1063" s="66" t="n">
        <v>45694</v>
      </c>
      <c r="D1063" s="2" t="n">
        <v>1</v>
      </c>
      <c r="E1063" s="3" t="inlineStr">
        <is>
          <t>FUCILE SOVRAPPOSTO</t>
        </is>
      </c>
      <c r="F1063" s="3" t="inlineStr">
        <is>
          <t>12</t>
        </is>
      </c>
      <c r="G1063" s="3" t="inlineStr">
        <is>
          <t>BROWNING</t>
        </is>
      </c>
      <c r="H1063" s="65" t="inlineStr">
        <is>
          <t>B825 SPORTER 71</t>
        </is>
      </c>
      <c r="I1063" s="65" t="inlineStr">
        <is>
          <t>59949YW131</t>
        </is>
      </c>
      <c r="J1063" s="65" t="inlineStr">
        <is>
          <t>N/D</t>
        </is>
      </c>
      <c r="K1063" s="65" t="inlineStr">
        <is>
          <t>N/D</t>
        </is>
      </c>
      <c r="L1063" s="127" t="inlineStr">
        <is>
          <t>BROWNING INTERNATIONAL SA</t>
        </is>
      </c>
      <c r="M1063" s="5" t="n">
        <v>2023.12</v>
      </c>
      <c r="N1063" s="5" t="n"/>
      <c r="O1063" s="5">
        <f>+M1063+N1063</f>
        <v/>
      </c>
      <c r="P1063" s="4" t="n">
        <v>45678</v>
      </c>
      <c r="Q1063" s="87" t="n">
        <v>45688</v>
      </c>
      <c r="R1063" s="5" t="n">
        <v>2125</v>
      </c>
      <c r="S1063" s="2" t="n">
        <v>1</v>
      </c>
      <c r="T1063" s="3" t="inlineStr">
        <is>
          <t>CA04954OS</t>
        </is>
      </c>
      <c r="U1063" s="87" t="n">
        <v>45874</v>
      </c>
      <c r="V1063" s="3" t="inlineStr">
        <is>
          <t>25</t>
        </is>
      </c>
      <c r="W1063" s="4" t="n">
        <v>45874</v>
      </c>
      <c r="X1063" s="4" t="inlineStr">
        <is>
          <t>PHILIPPOS  CONSTANTINIDES
TRADING CO.LTD</t>
        </is>
      </c>
    </row>
    <row r="1064" ht="24" customHeight="1">
      <c r="A1064" s="2">
        <f>+D1064-S1064</f>
        <v/>
      </c>
      <c r="B1064" s="80" t="n">
        <v>2724</v>
      </c>
      <c r="C1064" s="66" t="n">
        <v>45694</v>
      </c>
      <c r="D1064" s="2" t="n">
        <v>1</v>
      </c>
      <c r="E1064" s="3" t="inlineStr">
        <is>
          <t>FUCILE SOVRAPPOSTO</t>
        </is>
      </c>
      <c r="F1064" s="3" t="inlineStr">
        <is>
          <t>12</t>
        </is>
      </c>
      <c r="G1064" s="3" t="inlineStr">
        <is>
          <t>BROWNING</t>
        </is>
      </c>
      <c r="H1064" s="65" t="inlineStr">
        <is>
          <t>B825 SPORTER 71</t>
        </is>
      </c>
      <c r="I1064" s="65" t="inlineStr">
        <is>
          <t>58532YW131</t>
        </is>
      </c>
      <c r="J1064" s="65" t="inlineStr">
        <is>
          <t>N/D</t>
        </is>
      </c>
      <c r="K1064" s="65" t="inlineStr">
        <is>
          <t>N/D</t>
        </is>
      </c>
      <c r="L1064" s="127" t="inlineStr">
        <is>
          <t>BROWNING INTERNATIONAL SA</t>
        </is>
      </c>
      <c r="M1064" s="5" t="n">
        <v>2023.12</v>
      </c>
      <c r="N1064" s="5" t="n"/>
      <c r="O1064" s="5">
        <f>+M1064+N1064</f>
        <v/>
      </c>
      <c r="P1064" s="4" t="n">
        <v>45678</v>
      </c>
      <c r="Q1064" s="87" t="n">
        <v>45688</v>
      </c>
      <c r="R1064" s="5" t="n">
        <v>2125</v>
      </c>
      <c r="S1064" s="2" t="n">
        <v>1</v>
      </c>
      <c r="T1064" s="3" t="inlineStr">
        <is>
          <t>CA04954OS</t>
        </is>
      </c>
      <c r="U1064" s="87" t="n">
        <v>45874</v>
      </c>
      <c r="V1064" s="3" t="inlineStr">
        <is>
          <t>25</t>
        </is>
      </c>
      <c r="W1064" s="4" t="n">
        <v>45874</v>
      </c>
      <c r="X1064" s="4" t="inlineStr">
        <is>
          <t>PHILIPPOS  CONSTANTINIDES
TRADING CO.LTD</t>
        </is>
      </c>
    </row>
    <row r="1065" ht="24" customHeight="1">
      <c r="A1065" s="2">
        <f>+D1065-S1065</f>
        <v/>
      </c>
      <c r="B1065" s="80" t="n">
        <v>2725</v>
      </c>
      <c r="C1065" s="66" t="n">
        <v>45708</v>
      </c>
      <c r="D1065" s="2" t="n">
        <v>1</v>
      </c>
      <c r="E1065" s="3" t="inlineStr">
        <is>
          <t>CARABINA</t>
        </is>
      </c>
      <c r="F1065" s="3" t="inlineStr">
        <is>
          <t>338 LAPUA</t>
        </is>
      </c>
      <c r="G1065" s="3" t="inlineStr">
        <is>
          <t>ACCURACY INTERNATIONAL</t>
        </is>
      </c>
      <c r="H1065" s="65" t="inlineStr">
        <is>
          <t>ACCURACY AXSR TAC MB FDE</t>
        </is>
      </c>
      <c r="I1065" s="65" t="inlineStr">
        <is>
          <t>24SR40514</t>
        </is>
      </c>
      <c r="J1065" s="65" t="inlineStr">
        <is>
          <t>N/D</t>
        </is>
      </c>
      <c r="K1065" s="65" t="inlineStr">
        <is>
          <t>N/D</t>
        </is>
      </c>
      <c r="L1065" s="127" t="inlineStr">
        <is>
          <t>ARMERIA BRIGNOLI SILVIO &amp; C SNC</t>
        </is>
      </c>
      <c r="M1065" s="5" t="n">
        <v>8800</v>
      </c>
      <c r="N1065" s="5" t="n"/>
      <c r="O1065" s="5">
        <f>+M1065+N1065</f>
        <v/>
      </c>
      <c r="P1065" s="4" t="n">
        <v>45708</v>
      </c>
      <c r="Q1065" s="87" t="n">
        <v>45708</v>
      </c>
      <c r="R1065" s="5" t="n">
        <v>9240</v>
      </c>
      <c r="S1065" s="2" t="n">
        <v>1</v>
      </c>
      <c r="T1065" s="3" t="inlineStr">
        <is>
          <t>CA04954OS</t>
        </is>
      </c>
      <c r="U1065" s="87" t="n">
        <v>45874</v>
      </c>
      <c r="V1065" s="3" t="inlineStr">
        <is>
          <t>26</t>
        </is>
      </c>
      <c r="W1065" s="4" t="n">
        <v>45874</v>
      </c>
      <c r="X1065" s="4" t="inlineStr">
        <is>
          <t>PHILIPPOS  CONSTANTINIDES
TRADING CO.LTD</t>
        </is>
      </c>
    </row>
    <row r="1066" ht="24" customHeight="1">
      <c r="A1066" s="2">
        <f>+D1066-S1066</f>
        <v/>
      </c>
      <c r="B1066" s="80" t="n">
        <v>2726</v>
      </c>
      <c r="C1066" s="66" t="n">
        <v>45708</v>
      </c>
      <c r="D1066" s="2" t="n">
        <v>1</v>
      </c>
      <c r="E1066" s="3" t="inlineStr">
        <is>
          <t>CARABINA</t>
        </is>
      </c>
      <c r="F1066" s="3" t="inlineStr">
        <is>
          <t>338 LAPUA</t>
        </is>
      </c>
      <c r="G1066" s="3" t="inlineStr">
        <is>
          <t>ACCURACY INTERNATIONAL</t>
        </is>
      </c>
      <c r="H1066" s="65" t="inlineStr">
        <is>
          <t>ACCURACY AXSR TAC MB FDE</t>
        </is>
      </c>
      <c r="I1066" s="65" t="inlineStr">
        <is>
          <t>24SR40515</t>
        </is>
      </c>
      <c r="J1066" s="65" t="inlineStr">
        <is>
          <t>N/D</t>
        </is>
      </c>
      <c r="K1066" s="65" t="inlineStr">
        <is>
          <t>N/D</t>
        </is>
      </c>
      <c r="L1066" s="127" t="inlineStr">
        <is>
          <t>ARMERIA BRIGNOLI SILVIO &amp; C SNC</t>
        </is>
      </c>
      <c r="M1066" s="5" t="n">
        <v>8800</v>
      </c>
      <c r="N1066" s="5" t="n"/>
      <c r="O1066" s="5">
        <f>+M1066+N1066</f>
        <v/>
      </c>
      <c r="P1066" s="4" t="n">
        <v>45708</v>
      </c>
      <c r="Q1066" s="87" t="n">
        <v>45708</v>
      </c>
      <c r="R1066" s="5" t="n">
        <v>9240</v>
      </c>
      <c r="S1066" s="2" t="n">
        <v>1</v>
      </c>
      <c r="T1066" s="3" t="inlineStr">
        <is>
          <t>CA04954OS</t>
        </is>
      </c>
      <c r="U1066" s="87" t="n">
        <v>45874</v>
      </c>
      <c r="V1066" s="3" t="inlineStr">
        <is>
          <t>26</t>
        </is>
      </c>
      <c r="W1066" s="4" t="n">
        <v>45874</v>
      </c>
      <c r="X1066" s="4" t="inlineStr">
        <is>
          <t>PHILIPPOS  CONSTANTINIDES
TRADING CO.LTD</t>
        </is>
      </c>
    </row>
    <row r="1067" ht="24" customHeight="1">
      <c r="A1067" s="2">
        <f>+D1067-S1067</f>
        <v/>
      </c>
      <c r="B1067" s="80" t="n"/>
      <c r="C1067" s="66" t="n">
        <v>45708</v>
      </c>
      <c r="D1067" s="2" t="n">
        <v>4</v>
      </c>
      <c r="E1067" s="3" t="inlineStr">
        <is>
          <t>ACCESSORI</t>
        </is>
      </c>
      <c r="F1067" s="3" t="inlineStr">
        <is>
          <t>339 LAPUA</t>
        </is>
      </c>
      <c r="G1067" s="3" t="inlineStr">
        <is>
          <t>ACCURACY INTERNATIONAL</t>
        </is>
      </c>
      <c r="H1067" s="65" t="inlineStr">
        <is>
          <t>CARICATORI 10COLPI</t>
        </is>
      </c>
      <c r="I1067" s="65" t="inlineStr">
        <is>
          <t>N/D</t>
        </is>
      </c>
      <c r="J1067" s="65" t="inlineStr">
        <is>
          <t>N/D</t>
        </is>
      </c>
      <c r="K1067" s="65" t="inlineStr">
        <is>
          <t>N/D</t>
        </is>
      </c>
      <c r="L1067" s="127" t="inlineStr">
        <is>
          <t>ARMERIA BRIGNOLI SILVIO &amp; C SNC</t>
        </is>
      </c>
      <c r="M1067" s="5" t="n">
        <v>620</v>
      </c>
      <c r="N1067" s="5" t="n"/>
      <c r="O1067" s="5">
        <f>+M1067+N1067</f>
        <v/>
      </c>
      <c r="P1067" s="4" t="n">
        <v>45708</v>
      </c>
      <c r="Q1067" s="87" t="n">
        <v>45708</v>
      </c>
      <c r="R1067" s="5" t="n">
        <v>644</v>
      </c>
      <c r="S1067" s="2" t="n">
        <v>4</v>
      </c>
      <c r="T1067" s="3" t="n"/>
      <c r="U1067" s="87" t="n">
        <v>45891</v>
      </c>
      <c r="V1067" s="3" t="inlineStr">
        <is>
          <t>29</t>
        </is>
      </c>
      <c r="W1067" s="108" t="n">
        <v>45891</v>
      </c>
      <c r="X1067" s="4" t="inlineStr">
        <is>
          <t>PHILIPPOS  CONSTANTINIDES
TRADING CO.LTD</t>
        </is>
      </c>
    </row>
    <row r="1068" ht="24" customHeight="1">
      <c r="A1068" s="2">
        <f>+D1068-S1068</f>
        <v/>
      </c>
      <c r="B1068" s="80" t="n">
        <v>2727</v>
      </c>
      <c r="C1068" s="66" t="n">
        <v>45719</v>
      </c>
      <c r="D1068" s="2" t="n">
        <v>1</v>
      </c>
      <c r="E1068" s="3" t="inlineStr">
        <is>
          <t>CARABINA AD ARIA COMPRESSA</t>
        </is>
      </c>
      <c r="F1068" s="3" t="inlineStr">
        <is>
          <t>5.5</t>
        </is>
      </c>
      <c r="G1068" s="3" t="inlineStr">
        <is>
          <t>AGN TECHNOLOGY VULCAN</t>
        </is>
      </c>
      <c r="H1068" s="65" t="inlineStr">
        <is>
          <t>500</t>
        </is>
      </c>
      <c r="I1068" s="65" t="inlineStr">
        <is>
          <t>V32451091</t>
        </is>
      </c>
      <c r="J1068" s="65" t="inlineStr">
        <is>
          <t>N/D</t>
        </is>
      </c>
      <c r="K1068" s="65" t="inlineStr">
        <is>
          <t>N/D</t>
        </is>
      </c>
      <c r="L1068" s="127" t="inlineStr">
        <is>
          <t>DALBALCON SRL</t>
        </is>
      </c>
      <c r="M1068" s="5" t="n">
        <v>1100</v>
      </c>
      <c r="N1068" s="5" t="n"/>
      <c r="O1068" s="5">
        <f>+M1068+N1068</f>
        <v/>
      </c>
      <c r="P1068" s="4" t="n">
        <v>45719</v>
      </c>
      <c r="Q1068" s="87" t="n">
        <v>45717</v>
      </c>
      <c r="R1068" s="5" t="n">
        <v>1195</v>
      </c>
      <c r="S1068" s="2" t="n">
        <v>1</v>
      </c>
      <c r="T1068" s="3" t="inlineStr">
        <is>
          <t>6B/2025/1S</t>
        </is>
      </c>
      <c r="U1068" s="86" t="n">
        <v>45769</v>
      </c>
      <c r="V1068" s="3" t="inlineStr">
        <is>
          <t>6</t>
        </is>
      </c>
      <c r="W1068" s="111" t="n">
        <v>45769</v>
      </c>
      <c r="X1068" s="4" t="inlineStr">
        <is>
          <t>HS &amp; S LLC</t>
        </is>
      </c>
    </row>
    <row r="1069" ht="24" customHeight="1">
      <c r="A1069" s="2">
        <f>+D1069-S1069</f>
        <v/>
      </c>
      <c r="B1069" s="80" t="n">
        <v>2728</v>
      </c>
      <c r="C1069" s="66" t="n">
        <v>45719</v>
      </c>
      <c r="D1069" s="2" t="n">
        <v>1</v>
      </c>
      <c r="E1069" s="3" t="inlineStr">
        <is>
          <t>CARABINA AD ARIA COMPRESSA</t>
        </is>
      </c>
      <c r="F1069" s="3" t="inlineStr">
        <is>
          <t>5.5</t>
        </is>
      </c>
      <c r="G1069" s="3" t="inlineStr">
        <is>
          <t>AGN TECHNOLOGY VULCAN</t>
        </is>
      </c>
      <c r="H1069" s="65" t="inlineStr">
        <is>
          <t>500</t>
        </is>
      </c>
      <c r="I1069" s="65" t="inlineStr">
        <is>
          <t>V32451092</t>
        </is>
      </c>
      <c r="J1069" s="65" t="inlineStr">
        <is>
          <t>N/D</t>
        </is>
      </c>
      <c r="K1069" s="65" t="inlineStr">
        <is>
          <t>N/D</t>
        </is>
      </c>
      <c r="L1069" s="127" t="inlineStr">
        <is>
          <t>DALBALCON SRL</t>
        </is>
      </c>
      <c r="M1069" s="5" t="n">
        <v>1100</v>
      </c>
      <c r="N1069" s="5" t="n"/>
      <c r="O1069" s="5">
        <f>+M1069+N1069</f>
        <v/>
      </c>
      <c r="P1069" s="4" t="n">
        <v>45719</v>
      </c>
      <c r="Q1069" s="87" t="n">
        <v>45717</v>
      </c>
      <c r="R1069" s="5" t="n">
        <v>1195</v>
      </c>
      <c r="S1069" s="2" t="n">
        <v>1</v>
      </c>
      <c r="T1069" s="3" t="inlineStr">
        <is>
          <t>6B/2025/1S</t>
        </is>
      </c>
      <c r="U1069" s="86" t="n">
        <v>45769</v>
      </c>
      <c r="V1069" s="3" t="inlineStr">
        <is>
          <t>6</t>
        </is>
      </c>
      <c r="W1069" s="111" t="n">
        <v>45769</v>
      </c>
      <c r="X1069" s="4" t="inlineStr">
        <is>
          <t>HS &amp; S LLC</t>
        </is>
      </c>
    </row>
    <row r="1070" ht="24" customHeight="1">
      <c r="A1070" s="2">
        <f>+D1070-S1070</f>
        <v/>
      </c>
      <c r="B1070" s="80" t="n">
        <v>2729</v>
      </c>
      <c r="C1070" s="66" t="n">
        <v>45719</v>
      </c>
      <c r="D1070" s="2" t="n">
        <v>1</v>
      </c>
      <c r="E1070" s="3" t="inlineStr">
        <is>
          <t>CARABINA AD ARIA COMPRESSA</t>
        </is>
      </c>
      <c r="F1070" s="3" t="inlineStr">
        <is>
          <t>5.5</t>
        </is>
      </c>
      <c r="G1070" s="3" t="inlineStr">
        <is>
          <t>AGN TECHNOLOGY VULCAN</t>
        </is>
      </c>
      <c r="H1070" s="65" t="inlineStr">
        <is>
          <t>500</t>
        </is>
      </c>
      <c r="I1070" s="65" t="inlineStr">
        <is>
          <t>V32451059</t>
        </is>
      </c>
      <c r="J1070" s="65" t="inlineStr">
        <is>
          <t>N/D</t>
        </is>
      </c>
      <c r="K1070" s="65" t="inlineStr">
        <is>
          <t>N/D</t>
        </is>
      </c>
      <c r="L1070" s="127" t="inlineStr">
        <is>
          <t>DALBALCON SRL</t>
        </is>
      </c>
      <c r="M1070" s="5" t="n">
        <v>1100</v>
      </c>
      <c r="N1070" s="5" t="n"/>
      <c r="O1070" s="5">
        <f>+M1070+N1070</f>
        <v/>
      </c>
      <c r="P1070" s="4" t="n">
        <v>45719</v>
      </c>
      <c r="Q1070" s="87" t="n">
        <v>45717</v>
      </c>
      <c r="R1070" s="5" t="n">
        <v>1195</v>
      </c>
      <c r="S1070" s="2" t="n">
        <v>1</v>
      </c>
      <c r="T1070" s="3" t="inlineStr">
        <is>
          <t>6B/2025/1S</t>
        </is>
      </c>
      <c r="U1070" s="86" t="n">
        <v>45769</v>
      </c>
      <c r="V1070" s="3" t="inlineStr">
        <is>
          <t>6</t>
        </is>
      </c>
      <c r="W1070" s="111" t="n">
        <v>45769</v>
      </c>
      <c r="X1070" s="4" t="inlineStr">
        <is>
          <t>HS &amp; S LLC</t>
        </is>
      </c>
    </row>
    <row r="1071" ht="24" customHeight="1">
      <c r="A1071" s="2">
        <f>+D1071-S1071</f>
        <v/>
      </c>
      <c r="B1071" s="80" t="n">
        <v>2730</v>
      </c>
      <c r="C1071" s="66" t="n">
        <v>45719</v>
      </c>
      <c r="D1071" s="2" t="n">
        <v>1</v>
      </c>
      <c r="E1071" s="3" t="inlineStr">
        <is>
          <t>CARABINA AD ARIA COMPRESSA</t>
        </is>
      </c>
      <c r="F1071" s="3" t="inlineStr">
        <is>
          <t>5.5</t>
        </is>
      </c>
      <c r="G1071" s="3" t="inlineStr">
        <is>
          <t>AGN TECHNOLOGY VULCAN</t>
        </is>
      </c>
      <c r="H1071" s="65" t="inlineStr">
        <is>
          <t>700</t>
        </is>
      </c>
      <c r="I1071" s="65" t="inlineStr">
        <is>
          <t>V32451093</t>
        </is>
      </c>
      <c r="J1071" s="65" t="inlineStr">
        <is>
          <t>N/D</t>
        </is>
      </c>
      <c r="K1071" s="65" t="inlineStr">
        <is>
          <t>N/D</t>
        </is>
      </c>
      <c r="L1071" s="127" t="inlineStr">
        <is>
          <t>DALBALCON SRL</t>
        </is>
      </c>
      <c r="M1071" s="5" t="n">
        <v>1100</v>
      </c>
      <c r="N1071" s="5" t="n"/>
      <c r="O1071" s="5">
        <f>+M1071+N1071</f>
        <v/>
      </c>
      <c r="P1071" s="4" t="n">
        <v>45719</v>
      </c>
      <c r="Q1071" s="87" t="n">
        <v>45717</v>
      </c>
      <c r="R1071" s="5" t="n">
        <v>1195</v>
      </c>
      <c r="S1071" s="2" t="n">
        <v>1</v>
      </c>
      <c r="T1071" s="3" t="inlineStr">
        <is>
          <t>6B/2025/1S</t>
        </is>
      </c>
      <c r="U1071" s="86" t="n">
        <v>45769</v>
      </c>
      <c r="V1071" s="3" t="inlineStr">
        <is>
          <t>6</t>
        </is>
      </c>
      <c r="W1071" s="111" t="n">
        <v>45769</v>
      </c>
      <c r="X1071" s="4" t="inlineStr">
        <is>
          <t>HS &amp; S LLC</t>
        </is>
      </c>
    </row>
    <row r="1072" ht="24" customHeight="1">
      <c r="A1072" s="2">
        <f>+D1072-S1072</f>
        <v/>
      </c>
      <c r="B1072" s="80" t="n">
        <v>2731</v>
      </c>
      <c r="C1072" s="66" t="n">
        <v>45719</v>
      </c>
      <c r="D1072" s="2" t="n">
        <v>1</v>
      </c>
      <c r="E1072" s="3" t="inlineStr">
        <is>
          <t>CARABINA AD ARIA COMPRESSA</t>
        </is>
      </c>
      <c r="F1072" s="3" t="inlineStr">
        <is>
          <t>5.5</t>
        </is>
      </c>
      <c r="G1072" s="3" t="inlineStr">
        <is>
          <t>AGN TECHNOLOGY VULCAN</t>
        </is>
      </c>
      <c r="H1072" s="65" t="inlineStr">
        <is>
          <t>700</t>
        </is>
      </c>
      <c r="I1072" s="65" t="inlineStr">
        <is>
          <t>V32451094</t>
        </is>
      </c>
      <c r="J1072" s="65" t="inlineStr">
        <is>
          <t>N/D</t>
        </is>
      </c>
      <c r="K1072" s="65" t="inlineStr">
        <is>
          <t>N/D</t>
        </is>
      </c>
      <c r="L1072" s="127" t="inlineStr">
        <is>
          <t>DALBALCON SRL</t>
        </is>
      </c>
      <c r="M1072" s="5" t="n">
        <v>1100</v>
      </c>
      <c r="N1072" s="5" t="n"/>
      <c r="O1072" s="5">
        <f>+M1072+N1072</f>
        <v/>
      </c>
      <c r="P1072" s="4" t="n">
        <v>45719</v>
      </c>
      <c r="Q1072" s="87" t="n">
        <v>45717</v>
      </c>
      <c r="R1072" s="5" t="n">
        <v>1195</v>
      </c>
      <c r="S1072" s="2" t="n">
        <v>1</v>
      </c>
      <c r="T1072" s="3" t="inlineStr">
        <is>
          <t>6B/2025/1S</t>
        </is>
      </c>
      <c r="U1072" s="86" t="n">
        <v>45769</v>
      </c>
      <c r="V1072" s="3" t="inlineStr">
        <is>
          <t>6</t>
        </is>
      </c>
      <c r="W1072" s="111" t="n">
        <v>45769</v>
      </c>
      <c r="X1072" s="4" t="inlineStr">
        <is>
          <t>HS &amp; S LLC</t>
        </is>
      </c>
    </row>
    <row r="1073" ht="24" customHeight="1">
      <c r="A1073" s="2">
        <f>+D1073-S1073</f>
        <v/>
      </c>
      <c r="B1073" s="80" t="n">
        <v>2732</v>
      </c>
      <c r="C1073" s="66" t="n">
        <v>45723</v>
      </c>
      <c r="D1073" s="2" t="n">
        <v>1</v>
      </c>
      <c r="E1073" s="3" t="inlineStr">
        <is>
          <t>FUCILE SEMIAUTOMATICO</t>
        </is>
      </c>
      <c r="F1073" s="3" t="inlineStr">
        <is>
          <t>12</t>
        </is>
      </c>
      <c r="G1073" s="3" t="inlineStr">
        <is>
          <t>BERETTA</t>
        </is>
      </c>
      <c r="H1073" s="65" t="inlineStr">
        <is>
          <t>1301 COMPETITION PRO</t>
        </is>
      </c>
      <c r="I1073" s="65" t="inlineStr">
        <is>
          <t>TA129448</t>
        </is>
      </c>
      <c r="J1073" s="65" t="inlineStr">
        <is>
          <t>TB114293</t>
        </is>
      </c>
      <c r="K1073" s="65" t="inlineStr">
        <is>
          <t>N/D</t>
        </is>
      </c>
      <c r="L1073" s="127" t="inlineStr">
        <is>
          <t>ARMERIA BRIGNOLI SILVIO &amp; C SNC</t>
        </is>
      </c>
      <c r="M1073" s="5" t="n">
        <v>1194.5</v>
      </c>
      <c r="N1073" s="5" t="n"/>
      <c r="O1073" s="5">
        <f>+M1073+N1073</f>
        <v/>
      </c>
      <c r="P1073" s="4" t="n">
        <v>45723</v>
      </c>
      <c r="Q1073" s="87" t="n">
        <v>45719</v>
      </c>
      <c r="R1073" s="5" t="n">
        <v>1254</v>
      </c>
      <c r="S1073" s="2" t="n">
        <v>1</v>
      </c>
      <c r="T1073" s="3" t="inlineStr">
        <is>
          <t>CA04954OS</t>
        </is>
      </c>
      <c r="U1073" s="87" t="n">
        <v>45874</v>
      </c>
      <c r="V1073" s="3" t="inlineStr">
        <is>
          <t>25</t>
        </is>
      </c>
      <c r="W1073" s="4" t="n">
        <v>45874</v>
      </c>
      <c r="X1073" s="4" t="inlineStr">
        <is>
          <t>PHILIPPOS  CONSTANTINIDES
TRADING CO.LTD</t>
        </is>
      </c>
    </row>
    <row r="1074" ht="24" customHeight="1">
      <c r="A1074" s="2">
        <f>+D1074-S1074</f>
        <v/>
      </c>
      <c r="B1074" s="80" t="n">
        <v>2733</v>
      </c>
      <c r="C1074" s="66" t="n">
        <v>45723</v>
      </c>
      <c r="D1074" s="2" t="n">
        <v>1</v>
      </c>
      <c r="E1074" s="3" t="inlineStr">
        <is>
          <t>FUCILE SEMIAUTOMATICO</t>
        </is>
      </c>
      <c r="F1074" s="3" t="inlineStr">
        <is>
          <t>12</t>
        </is>
      </c>
      <c r="G1074" s="3" t="inlineStr">
        <is>
          <t>BERETTA</t>
        </is>
      </c>
      <c r="H1074" s="65" t="inlineStr">
        <is>
          <t>1301 COMPETITION PRO</t>
        </is>
      </c>
      <c r="I1074" s="65" t="inlineStr">
        <is>
          <t>TA090191</t>
        </is>
      </c>
      <c r="J1074" s="65" t="inlineStr">
        <is>
          <t>TB077430</t>
        </is>
      </c>
      <c r="K1074" s="65" t="inlineStr">
        <is>
          <t>N/D</t>
        </is>
      </c>
      <c r="L1074" s="127" t="inlineStr">
        <is>
          <t>ARMERIA BRIGNOLI SILVIO &amp; C SNC</t>
        </is>
      </c>
      <c r="M1074" s="5" t="n">
        <v>1194.5</v>
      </c>
      <c r="N1074" s="5" t="n"/>
      <c r="O1074" s="5">
        <f>+M1074+N1074</f>
        <v/>
      </c>
      <c r="P1074" s="4" t="n">
        <v>45723</v>
      </c>
      <c r="Q1074" s="87" t="n">
        <v>45719</v>
      </c>
      <c r="R1074" s="5" t="n">
        <v>1254</v>
      </c>
      <c r="S1074" s="2" t="n">
        <v>1</v>
      </c>
      <c r="T1074" s="3" t="inlineStr">
        <is>
          <t>CA04954OS</t>
        </is>
      </c>
      <c r="U1074" s="87" t="n">
        <v>45874</v>
      </c>
      <c r="V1074" s="3" t="inlineStr">
        <is>
          <t>25</t>
        </is>
      </c>
      <c r="W1074" s="4" t="n">
        <v>45874</v>
      </c>
      <c r="X1074" s="4" t="inlineStr">
        <is>
          <t>PHILIPPOS  CONSTANTINIDES
TRADING CO.LTD</t>
        </is>
      </c>
    </row>
    <row r="1075" ht="24" customHeight="1">
      <c r="A1075" s="2">
        <f>+D1075-S1075</f>
        <v/>
      </c>
      <c r="B1075" s="80" t="n">
        <v>2734</v>
      </c>
      <c r="C1075" s="66" t="n">
        <v>45727</v>
      </c>
      <c r="D1075" s="2" t="n">
        <v>1</v>
      </c>
      <c r="E1075" s="3" t="inlineStr">
        <is>
          <t>CARABINA</t>
        </is>
      </c>
      <c r="F1075" s="3" t="inlineStr">
        <is>
          <t>22 LR</t>
        </is>
      </c>
      <c r="G1075" s="3" t="inlineStr">
        <is>
          <t>WINCHESTER</t>
        </is>
      </c>
      <c r="H1075" s="65" t="inlineStr">
        <is>
          <t>XPERT CARBON VARMINT THR 22''</t>
        </is>
      </c>
      <c r="I1075" s="65" t="inlineStr">
        <is>
          <t>TF614-24AD01514</t>
        </is>
      </c>
      <c r="J1075" s="65" t="inlineStr">
        <is>
          <t>N/D</t>
        </is>
      </c>
      <c r="K1075" s="65" t="inlineStr">
        <is>
          <t>N/D</t>
        </is>
      </c>
      <c r="L1075" s="127" t="inlineStr">
        <is>
          <t>BROWNING INTERNATIONAL SA</t>
        </is>
      </c>
      <c r="M1075" s="5" t="n">
        <v>306.16</v>
      </c>
      <c r="N1075" s="5" t="n"/>
      <c r="O1075" s="5">
        <f>+M1075+N1075</f>
        <v/>
      </c>
      <c r="P1075" s="4" t="n">
        <v>45720</v>
      </c>
      <c r="Q1075" s="87" t="n">
        <v>45716</v>
      </c>
      <c r="R1075" s="5" t="n">
        <v>450</v>
      </c>
      <c r="S1075" s="2" t="n">
        <v>1</v>
      </c>
      <c r="T1075" s="3" t="inlineStr">
        <is>
          <t>CA04954OS</t>
        </is>
      </c>
      <c r="U1075" s="87" t="n">
        <v>45874</v>
      </c>
      <c r="V1075" s="3" t="inlineStr">
        <is>
          <t>26</t>
        </is>
      </c>
      <c r="W1075" s="4" t="n">
        <v>45874</v>
      </c>
      <c r="X1075" s="4" t="inlineStr">
        <is>
          <t>PHILIPPOS  CONSTANTINIDES
TRADING CO.LTD</t>
        </is>
      </c>
    </row>
    <row r="1076" ht="24" customHeight="1">
      <c r="A1076" s="2">
        <f>+D1076-S1076</f>
        <v/>
      </c>
      <c r="B1076" s="80" t="n">
        <v>2735</v>
      </c>
      <c r="C1076" s="66" t="n">
        <v>45727</v>
      </c>
      <c r="D1076" s="2" t="n">
        <v>1</v>
      </c>
      <c r="E1076" s="3" t="inlineStr">
        <is>
          <t>CARABINA</t>
        </is>
      </c>
      <c r="F1076" s="3" t="inlineStr">
        <is>
          <t>22 LR</t>
        </is>
      </c>
      <c r="G1076" s="3" t="inlineStr">
        <is>
          <t>WINCHESTER</t>
        </is>
      </c>
      <c r="H1076" s="65" t="inlineStr">
        <is>
          <t>XPERT CARBON VARMINT THR 22''</t>
        </is>
      </c>
      <c r="I1076" s="65" t="inlineStr">
        <is>
          <t>TF614-24AD01515</t>
        </is>
      </c>
      <c r="J1076" s="65" t="inlineStr">
        <is>
          <t>N/D</t>
        </is>
      </c>
      <c r="K1076" s="65" t="inlineStr">
        <is>
          <t>N/D</t>
        </is>
      </c>
      <c r="L1076" s="127" t="inlineStr">
        <is>
          <t>BROWNING INTERNATIONAL SA</t>
        </is>
      </c>
      <c r="M1076" s="5" t="n">
        <v>306.16</v>
      </c>
      <c r="N1076" s="5" t="n"/>
      <c r="O1076" s="5">
        <f>+M1076+N1076</f>
        <v/>
      </c>
      <c r="P1076" s="4" t="n">
        <v>45720</v>
      </c>
      <c r="Q1076" s="87" t="n">
        <v>45716</v>
      </c>
      <c r="R1076" s="5" t="n">
        <v>450</v>
      </c>
      <c r="S1076" s="2" t="n">
        <v>1</v>
      </c>
      <c r="T1076" s="3" t="inlineStr">
        <is>
          <t>CA04954OS</t>
        </is>
      </c>
      <c r="U1076" s="87" t="n">
        <v>45874</v>
      </c>
      <c r="V1076" s="3" t="inlineStr">
        <is>
          <t>26</t>
        </is>
      </c>
      <c r="W1076" s="4" t="n">
        <v>45874</v>
      </c>
      <c r="X1076" s="4" t="inlineStr">
        <is>
          <t>PHILIPPOS  CONSTANTINIDES
TRADING CO.LTD</t>
        </is>
      </c>
    </row>
    <row r="1077" ht="24" customHeight="1">
      <c r="A1077" s="2">
        <f>+D1077-S1077</f>
        <v/>
      </c>
      <c r="B1077" s="80" t="n">
        <v>2736</v>
      </c>
      <c r="C1077" s="66" t="n">
        <v>45730</v>
      </c>
      <c r="D1077" s="2" t="n">
        <v>1</v>
      </c>
      <c r="E1077" s="3" t="inlineStr">
        <is>
          <t>FUCILE SOVRAPPOSTO</t>
        </is>
      </c>
      <c r="F1077" s="3" t="inlineStr">
        <is>
          <t>20</t>
        </is>
      </c>
      <c r="G1077" s="3" t="inlineStr">
        <is>
          <t>BERETTA</t>
        </is>
      </c>
      <c r="H1077" s="65" t="inlineStr">
        <is>
          <t>MOD sl3</t>
        </is>
      </c>
      <c r="I1077" s="65" t="inlineStr">
        <is>
          <t>SL0102B</t>
        </is>
      </c>
      <c r="J1077" s="65" t="inlineStr">
        <is>
          <t>N/D</t>
        </is>
      </c>
      <c r="K1077" s="65" t="inlineStr">
        <is>
          <t>N/D</t>
        </is>
      </c>
      <c r="L1077" s="127" t="inlineStr">
        <is>
          <t>ARMERIA BRIGNOLI SILVIO &amp; C SNC</t>
        </is>
      </c>
      <c r="M1077" s="5" t="n">
        <v>14472</v>
      </c>
      <c r="N1077" s="5" t="n"/>
      <c r="O1077" s="5">
        <f>+M1077+N1077</f>
        <v/>
      </c>
      <c r="P1077" s="4" t="n">
        <v>45730</v>
      </c>
      <c r="Q1077" s="87" t="n">
        <v>45730</v>
      </c>
      <c r="R1077" s="5" t="n">
        <v>14472</v>
      </c>
      <c r="S1077" s="2" t="n">
        <v>1</v>
      </c>
      <c r="T1077" s="3" t="inlineStr">
        <is>
          <t>CA04954OS</t>
        </is>
      </c>
      <c r="U1077" s="87" t="n">
        <v>45874</v>
      </c>
      <c r="V1077" s="3" t="inlineStr">
        <is>
          <t>25</t>
        </is>
      </c>
      <c r="W1077" s="4" t="n">
        <v>45874</v>
      </c>
      <c r="X1077" s="4" t="inlineStr">
        <is>
          <t>PHILIPPOS  CONSTANTINIDES
TRADING CO.LTD</t>
        </is>
      </c>
    </row>
    <row r="1078" ht="24" customHeight="1">
      <c r="A1078" s="2">
        <f>+D1078-S1078</f>
        <v/>
      </c>
      <c r="B1078" s="80" t="n">
        <v>2737</v>
      </c>
      <c r="C1078" s="66" t="n">
        <v>45744</v>
      </c>
      <c r="D1078" s="2" t="n">
        <v>1</v>
      </c>
      <c r="E1078" s="3" t="inlineStr">
        <is>
          <t>CARABINA</t>
        </is>
      </c>
      <c r="F1078" s="3" t="inlineStr">
        <is>
          <t>308 win</t>
        </is>
      </c>
      <c r="G1078" s="3" t="inlineStr">
        <is>
          <t>BERETTA</t>
        </is>
      </c>
      <c r="H1078" s="65" t="inlineStr">
        <is>
          <t>SYNTHETIC 57CM</t>
        </is>
      </c>
      <c r="I1078" s="65" t="inlineStr">
        <is>
          <t>BX027355</t>
        </is>
      </c>
      <c r="J1078" s="65" t="inlineStr">
        <is>
          <t>N/D</t>
        </is>
      </c>
      <c r="K1078" s="65" t="inlineStr">
        <is>
          <t>N/D</t>
        </is>
      </c>
      <c r="L1078" s="127" t="inlineStr">
        <is>
          <t>ARMERIA BRIGNOLI SILVIO &amp; C SNC</t>
        </is>
      </c>
      <c r="M1078" s="5" t="n">
        <v>900</v>
      </c>
      <c r="N1078" s="5" t="n"/>
      <c r="O1078" s="5">
        <f>+M1078+N1078</f>
        <v/>
      </c>
      <c r="P1078" s="4" t="n">
        <v>45744</v>
      </c>
      <c r="Q1078" s="87" t="n">
        <v>45741</v>
      </c>
      <c r="R1078" s="5" t="n">
        <v>1208</v>
      </c>
      <c r="S1078" s="2" t="n">
        <v>1</v>
      </c>
      <c r="T1078" s="3" t="inlineStr">
        <is>
          <t>CA04954OS</t>
        </is>
      </c>
      <c r="U1078" s="87" t="n">
        <v>45874</v>
      </c>
      <c r="V1078" s="3" t="inlineStr">
        <is>
          <t>26</t>
        </is>
      </c>
      <c r="W1078" s="4" t="n">
        <v>45874</v>
      </c>
      <c r="X1078" s="4" t="inlineStr">
        <is>
          <t>PHILIPPOS  CONSTANTINIDES
TRADING CO.LTD</t>
        </is>
      </c>
    </row>
    <row r="1079" ht="24" customHeight="1">
      <c r="A1079" s="2">
        <f>+D1079-S1079</f>
        <v/>
      </c>
      <c r="B1079" s="80" t="n">
        <v>2738</v>
      </c>
      <c r="C1079" s="66" t="n">
        <v>45744</v>
      </c>
      <c r="D1079" s="2" t="n">
        <v>1</v>
      </c>
      <c r="E1079" s="3" t="inlineStr">
        <is>
          <t>FUCILE SOVRAPPOSTO</t>
        </is>
      </c>
      <c r="F1079" s="3" t="inlineStr">
        <is>
          <t>410</t>
        </is>
      </c>
      <c r="G1079" s="3" t="inlineStr">
        <is>
          <t>BERETTA</t>
        </is>
      </c>
      <c r="H1079" s="65" t="inlineStr">
        <is>
          <t>686 SILVER PIGEON I 71CM</t>
        </is>
      </c>
      <c r="I1079" s="65" t="inlineStr">
        <is>
          <t>F97798X</t>
        </is>
      </c>
      <c r="J1079" s="65" t="inlineStr">
        <is>
          <t>N/D</t>
        </is>
      </c>
      <c r="K1079" s="65" t="inlineStr">
        <is>
          <t>N/D</t>
        </is>
      </c>
      <c r="L1079" s="127" t="inlineStr">
        <is>
          <t>ARMERIA BRIGNOLI SILVIO &amp; C SNC</t>
        </is>
      </c>
      <c r="M1079" s="5" t="n">
        <v>1160</v>
      </c>
      <c r="N1079" s="5" t="n"/>
      <c r="O1079" s="5">
        <f>+M1079+N1079</f>
        <v/>
      </c>
      <c r="P1079" s="4" t="n">
        <v>45744</v>
      </c>
      <c r="Q1079" s="87" t="n">
        <v>45741</v>
      </c>
      <c r="R1079" s="5" t="n">
        <v>1218</v>
      </c>
      <c r="S1079" s="2" t="n">
        <v>1</v>
      </c>
      <c r="T1079" s="3" t="inlineStr">
        <is>
          <t>CA04954OS</t>
        </is>
      </c>
      <c r="U1079" s="87" t="n">
        <v>45874</v>
      </c>
      <c r="V1079" s="3" t="inlineStr">
        <is>
          <t>25</t>
        </is>
      </c>
      <c r="W1079" s="4" t="n">
        <v>45874</v>
      </c>
      <c r="X1079" s="4" t="inlineStr">
        <is>
          <t>PHILIPPOS  CONSTANTINIDES
TRADING CO.LTD</t>
        </is>
      </c>
    </row>
    <row r="1080" ht="24" customHeight="1">
      <c r="A1080" s="2">
        <f>+D1080-S1080</f>
        <v/>
      </c>
      <c r="B1080" s="80" t="n">
        <v>2739</v>
      </c>
      <c r="C1080" s="66" t="n">
        <v>45744</v>
      </c>
      <c r="D1080" s="2" t="n">
        <v>1</v>
      </c>
      <c r="E1080" s="3" t="inlineStr">
        <is>
          <t>FUCILE SOVRAPPOSTO</t>
        </is>
      </c>
      <c r="F1080" s="3" t="inlineStr">
        <is>
          <t>12</t>
        </is>
      </c>
      <c r="G1080" s="3" t="inlineStr">
        <is>
          <t>BERETTA</t>
        </is>
      </c>
      <c r="H1080" s="65" t="inlineStr">
        <is>
          <t>687 SILVER PIGEON III 71CM MY20</t>
        </is>
      </c>
      <c r="I1080" s="121" t="inlineStr">
        <is>
          <t>H55370X</t>
        </is>
      </c>
      <c r="J1080" s="65" t="inlineStr">
        <is>
          <t>N/D</t>
        </is>
      </c>
      <c r="K1080" s="65" t="inlineStr">
        <is>
          <t>N/D</t>
        </is>
      </c>
      <c r="L1080" s="127" t="inlineStr">
        <is>
          <t>ARMERIA BRIGNOLI SILVIO &amp; C SNC</t>
        </is>
      </c>
      <c r="M1080" s="5" t="n">
        <v>1460</v>
      </c>
      <c r="N1080" s="5" t="n"/>
      <c r="O1080" s="5">
        <f>+M1080+N1080</f>
        <v/>
      </c>
      <c r="P1080" s="4" t="n">
        <v>45744</v>
      </c>
      <c r="Q1080" s="87" t="n">
        <v>45741</v>
      </c>
      <c r="R1080" s="5" t="n">
        <v>1534</v>
      </c>
      <c r="S1080" s="2" t="n">
        <v>1</v>
      </c>
      <c r="T1080" s="3" t="inlineStr">
        <is>
          <t>CA04954OS</t>
        </is>
      </c>
      <c r="U1080" s="87" t="n">
        <v>45874</v>
      </c>
      <c r="V1080" s="3" t="inlineStr">
        <is>
          <t>25</t>
        </is>
      </c>
      <c r="W1080" s="4" t="n">
        <v>45874</v>
      </c>
      <c r="X1080" s="4" t="inlineStr">
        <is>
          <t>PHILIPPOS  CONSTANTINIDES
TRADING CO.LTD</t>
        </is>
      </c>
    </row>
    <row r="1081" ht="24" customHeight="1">
      <c r="A1081" s="2">
        <f>+D1081-S1081</f>
        <v/>
      </c>
      <c r="B1081" s="80" t="n">
        <v>2740</v>
      </c>
      <c r="C1081" s="66" t="n">
        <v>45744</v>
      </c>
      <c r="D1081" s="2" t="n">
        <v>1</v>
      </c>
      <c r="E1081" s="3" t="inlineStr">
        <is>
          <t>FUCILE SOVRAPPOSTO</t>
        </is>
      </c>
      <c r="F1081" s="3" t="inlineStr">
        <is>
          <t>12</t>
        </is>
      </c>
      <c r="G1081" s="3" t="inlineStr">
        <is>
          <t>BERETTA</t>
        </is>
      </c>
      <c r="H1081" s="65" t="inlineStr">
        <is>
          <t>687 SILVER PIGEON III 71CM MY20</t>
        </is>
      </c>
      <c r="I1081" s="65" t="inlineStr">
        <is>
          <t>H55373X</t>
        </is>
      </c>
      <c r="J1081" s="65" t="inlineStr">
        <is>
          <t>N/D</t>
        </is>
      </c>
      <c r="K1081" s="65" t="inlineStr">
        <is>
          <t>N/D</t>
        </is>
      </c>
      <c r="L1081" s="127" t="inlineStr">
        <is>
          <t>ARMERIA BRIGNOLI SILVIO &amp; C SNC</t>
        </is>
      </c>
      <c r="M1081" s="5" t="n">
        <v>1460</v>
      </c>
      <c r="N1081" s="5" t="n"/>
      <c r="O1081" s="5">
        <f>+M1081+N1081</f>
        <v/>
      </c>
      <c r="P1081" s="4" t="n">
        <v>45744</v>
      </c>
      <c r="Q1081" s="87" t="n">
        <v>45741</v>
      </c>
      <c r="R1081" s="5" t="n">
        <v>1534</v>
      </c>
      <c r="S1081" s="2" t="n">
        <v>1</v>
      </c>
      <c r="T1081" s="3" t="inlineStr">
        <is>
          <t>CA04954OS</t>
        </is>
      </c>
      <c r="U1081" s="87" t="n">
        <v>45874</v>
      </c>
      <c r="V1081" s="3" t="inlineStr">
        <is>
          <t>25</t>
        </is>
      </c>
      <c r="W1081" s="4" t="n">
        <v>45874</v>
      </c>
      <c r="X1081" s="4" t="inlineStr">
        <is>
          <t>PHILIPPOS  CONSTANTINIDES
TRADING CO.LTD</t>
        </is>
      </c>
    </row>
    <row r="1082" ht="24" customHeight="1">
      <c r="A1082" s="2">
        <f>+D1082-S1082</f>
        <v/>
      </c>
      <c r="B1082" s="80" t="n">
        <v>2741</v>
      </c>
      <c r="C1082" s="66" t="n">
        <v>45744</v>
      </c>
      <c r="D1082" s="2" t="n">
        <v>1</v>
      </c>
      <c r="E1082" s="3" t="inlineStr">
        <is>
          <t>FUCILE SOVRAPPOSTO</t>
        </is>
      </c>
      <c r="F1082" s="3" t="inlineStr">
        <is>
          <t>12</t>
        </is>
      </c>
      <c r="G1082" s="3" t="inlineStr">
        <is>
          <t>BERETTA</t>
        </is>
      </c>
      <c r="H1082" s="65" t="inlineStr">
        <is>
          <t>687 SILVER PIGEON III 71CM MY20</t>
        </is>
      </c>
      <c r="I1082" s="65" t="inlineStr">
        <is>
          <t>H55379X</t>
        </is>
      </c>
      <c r="J1082" s="65" t="inlineStr">
        <is>
          <t>N/D</t>
        </is>
      </c>
      <c r="K1082" s="65" t="inlineStr">
        <is>
          <t>N/D</t>
        </is>
      </c>
      <c r="L1082" s="127" t="inlineStr">
        <is>
          <t>ARMERIA BRIGNOLI SILVIO &amp; C SNC</t>
        </is>
      </c>
      <c r="M1082" s="5" t="n">
        <v>1460</v>
      </c>
      <c r="N1082" s="5" t="n"/>
      <c r="O1082" s="5">
        <f>+M1082+N1082</f>
        <v/>
      </c>
      <c r="P1082" s="4" t="n">
        <v>45744</v>
      </c>
      <c r="Q1082" s="87" t="n">
        <v>45741</v>
      </c>
      <c r="R1082" s="5" t="n">
        <v>1534</v>
      </c>
      <c r="S1082" s="2" t="n">
        <v>1</v>
      </c>
      <c r="T1082" s="3" t="inlineStr">
        <is>
          <t>CA04954OS</t>
        </is>
      </c>
      <c r="U1082" s="87" t="n">
        <v>45874</v>
      </c>
      <c r="V1082" s="3" t="inlineStr">
        <is>
          <t>25</t>
        </is>
      </c>
      <c r="W1082" s="4" t="n">
        <v>45874</v>
      </c>
      <c r="X1082" s="4" t="inlineStr">
        <is>
          <t>PHILIPPOS  CONSTANTINIDES
TRADING CO.LTD</t>
        </is>
      </c>
    </row>
    <row r="1083" ht="24" customHeight="1">
      <c r="A1083" s="2">
        <f>+D1083-S1083</f>
        <v/>
      </c>
      <c r="B1083" s="80" t="n">
        <v>2742</v>
      </c>
      <c r="C1083" s="66" t="n">
        <v>45744</v>
      </c>
      <c r="D1083" s="2" t="n">
        <v>1</v>
      </c>
      <c r="E1083" s="3" t="inlineStr">
        <is>
          <t>FUCILE SOVRAPPOSTO</t>
        </is>
      </c>
      <c r="F1083" s="3" t="inlineStr">
        <is>
          <t>12</t>
        </is>
      </c>
      <c r="G1083" s="3" t="inlineStr">
        <is>
          <t>BERETTA</t>
        </is>
      </c>
      <c r="H1083" s="65" t="inlineStr">
        <is>
          <t>687 SILVER PIGEON III 71CM MY20</t>
        </is>
      </c>
      <c r="I1083" s="65" t="inlineStr">
        <is>
          <t>H55381X</t>
        </is>
      </c>
      <c r="J1083" s="65" t="inlineStr">
        <is>
          <t>N/D</t>
        </is>
      </c>
      <c r="K1083" s="65" t="inlineStr">
        <is>
          <t>N/D</t>
        </is>
      </c>
      <c r="L1083" s="127" t="inlineStr">
        <is>
          <t>ARMERIA BRIGNOLI SILVIO &amp; C SNC</t>
        </is>
      </c>
      <c r="M1083" s="5" t="n">
        <v>1460</v>
      </c>
      <c r="N1083" s="5" t="n"/>
      <c r="O1083" s="5">
        <f>+M1083+N1083</f>
        <v/>
      </c>
      <c r="P1083" s="4" t="n">
        <v>45744</v>
      </c>
      <c r="Q1083" s="87" t="n">
        <v>45741</v>
      </c>
      <c r="R1083" s="5" t="n">
        <v>1534</v>
      </c>
      <c r="S1083" s="2" t="n">
        <v>1</v>
      </c>
      <c r="T1083" s="3" t="inlineStr">
        <is>
          <t>CA04954OS</t>
        </is>
      </c>
      <c r="U1083" s="87" t="n">
        <v>45874</v>
      </c>
      <c r="V1083" s="3" t="inlineStr">
        <is>
          <t>25</t>
        </is>
      </c>
      <c r="W1083" s="4" t="n">
        <v>45874</v>
      </c>
      <c r="X1083" s="4" t="inlineStr">
        <is>
          <t>PHILIPPOS  CONSTANTINIDES
TRADING CO.LTD</t>
        </is>
      </c>
    </row>
    <row r="1084" ht="24" customHeight="1">
      <c r="A1084" s="2">
        <f>+D1084-S1084</f>
        <v/>
      </c>
      <c r="B1084" s="80" t="n">
        <v>2743</v>
      </c>
      <c r="C1084" s="66" t="n">
        <v>45744</v>
      </c>
      <c r="D1084" s="2" t="n">
        <v>1</v>
      </c>
      <c r="E1084" s="3" t="inlineStr">
        <is>
          <t>FUCILE SOVRAPPOSTO</t>
        </is>
      </c>
      <c r="F1084" s="3" t="inlineStr">
        <is>
          <t>12</t>
        </is>
      </c>
      <c r="G1084" s="3" t="inlineStr">
        <is>
          <t>BERETTA</t>
        </is>
      </c>
      <c r="H1084" s="65" t="inlineStr">
        <is>
          <t>687 SILVER PIGEON III 71CM MY20</t>
        </is>
      </c>
      <c r="I1084" s="65" t="inlineStr">
        <is>
          <t>H55398X</t>
        </is>
      </c>
      <c r="J1084" s="65" t="inlineStr">
        <is>
          <t>N/D</t>
        </is>
      </c>
      <c r="K1084" s="65" t="inlineStr">
        <is>
          <t>N/D</t>
        </is>
      </c>
      <c r="L1084" s="127" t="inlineStr">
        <is>
          <t>ARMERIA BRIGNOLI SILVIO &amp; C SNC</t>
        </is>
      </c>
      <c r="M1084" s="5" t="n">
        <v>1460</v>
      </c>
      <c r="N1084" s="5" t="n"/>
      <c r="O1084" s="5">
        <f>+M1084+N1084</f>
        <v/>
      </c>
      <c r="P1084" s="4" t="n">
        <v>45744</v>
      </c>
      <c r="Q1084" s="87" t="n">
        <v>45741</v>
      </c>
      <c r="R1084" s="5" t="n">
        <v>1534</v>
      </c>
      <c r="S1084" s="2" t="n">
        <v>1</v>
      </c>
      <c r="T1084" s="3" t="inlineStr">
        <is>
          <t>CA04954OS</t>
        </is>
      </c>
      <c r="U1084" s="87" t="n">
        <v>45874</v>
      </c>
      <c r="V1084" s="3" t="inlineStr">
        <is>
          <t>25</t>
        </is>
      </c>
      <c r="W1084" s="4" t="n">
        <v>45874</v>
      </c>
      <c r="X1084" s="4" t="inlineStr">
        <is>
          <t>PHILIPPOS  CONSTANTINIDES
TRADING CO.LTD</t>
        </is>
      </c>
    </row>
    <row r="1085" ht="24" customHeight="1">
      <c r="A1085" s="2">
        <f>+D1085-S1085</f>
        <v/>
      </c>
      <c r="B1085" s="80" t="n">
        <v>2744</v>
      </c>
      <c r="C1085" s="66" t="n">
        <v>45744</v>
      </c>
      <c r="D1085" s="2" t="n">
        <v>1</v>
      </c>
      <c r="E1085" s="3" t="inlineStr">
        <is>
          <t>FUCILE SOVRAPPOSTO</t>
        </is>
      </c>
      <c r="F1085" s="3" t="inlineStr">
        <is>
          <t>12</t>
        </is>
      </c>
      <c r="G1085" s="3" t="inlineStr">
        <is>
          <t>BERETTA</t>
        </is>
      </c>
      <c r="H1085" s="65" t="inlineStr">
        <is>
          <t>687 SILVER PIGEON III 71CM MY20</t>
        </is>
      </c>
      <c r="I1085" s="65" t="inlineStr">
        <is>
          <t>H55399X</t>
        </is>
      </c>
      <c r="J1085" s="65" t="inlineStr">
        <is>
          <t>N/D</t>
        </is>
      </c>
      <c r="K1085" s="65" t="inlineStr">
        <is>
          <t>N/D</t>
        </is>
      </c>
      <c r="L1085" s="127" t="inlineStr">
        <is>
          <t>ARMERIA BRIGNOLI SILVIO &amp; C SNC</t>
        </is>
      </c>
      <c r="M1085" s="5" t="n">
        <v>1460</v>
      </c>
      <c r="N1085" s="5" t="n"/>
      <c r="O1085" s="5">
        <f>+M1085+N1085</f>
        <v/>
      </c>
      <c r="P1085" s="4" t="n">
        <v>45744</v>
      </c>
      <c r="Q1085" s="87" t="n">
        <v>45741</v>
      </c>
      <c r="R1085" s="5" t="n">
        <v>1534</v>
      </c>
      <c r="S1085" s="2" t="n">
        <v>1</v>
      </c>
      <c r="T1085" s="3" t="inlineStr">
        <is>
          <t>CA04954OS</t>
        </is>
      </c>
      <c r="U1085" s="87" t="n">
        <v>45874</v>
      </c>
      <c r="V1085" s="3" t="inlineStr">
        <is>
          <t>25</t>
        </is>
      </c>
      <c r="W1085" s="4" t="n">
        <v>45874</v>
      </c>
      <c r="X1085" s="4" t="inlineStr">
        <is>
          <t>PHILIPPOS  CONSTANTINIDES
TRADING CO.LTD</t>
        </is>
      </c>
    </row>
    <row r="1086" ht="24" customHeight="1">
      <c r="A1086" s="2">
        <f>+D1086-S1086</f>
        <v/>
      </c>
      <c r="B1086" s="80" t="n">
        <v>2745</v>
      </c>
      <c r="C1086" s="66" t="n">
        <v>45744</v>
      </c>
      <c r="D1086" s="2" t="n">
        <v>1</v>
      </c>
      <c r="E1086" s="3" t="inlineStr">
        <is>
          <t>FUCILE SOVRAPPOSTO</t>
        </is>
      </c>
      <c r="F1086" s="3" t="inlineStr">
        <is>
          <t>12</t>
        </is>
      </c>
      <c r="G1086" s="3" t="inlineStr">
        <is>
          <t>BERETTA</t>
        </is>
      </c>
      <c r="H1086" s="65" t="inlineStr">
        <is>
          <t>687 SILVER PIGEON III 71CM MY20</t>
        </is>
      </c>
      <c r="I1086" s="65" t="inlineStr">
        <is>
          <t>H55422X</t>
        </is>
      </c>
      <c r="J1086" s="65" t="inlineStr">
        <is>
          <t>N/D</t>
        </is>
      </c>
      <c r="K1086" s="65" t="inlineStr">
        <is>
          <t>N/D</t>
        </is>
      </c>
      <c r="L1086" s="127" t="inlineStr">
        <is>
          <t>ARMERIA BRIGNOLI SILVIO &amp; C SNC</t>
        </is>
      </c>
      <c r="M1086" s="5" t="n">
        <v>1460</v>
      </c>
      <c r="N1086" s="5" t="n"/>
      <c r="O1086" s="5">
        <f>+M1086+N1086</f>
        <v/>
      </c>
      <c r="P1086" s="4" t="n">
        <v>45744</v>
      </c>
      <c r="Q1086" s="87" t="n">
        <v>45741</v>
      </c>
      <c r="R1086" s="5" t="n">
        <v>1534</v>
      </c>
      <c r="S1086" s="2" t="n">
        <v>1</v>
      </c>
      <c r="T1086" s="3" t="inlineStr">
        <is>
          <t>CA04954OS</t>
        </is>
      </c>
      <c r="U1086" s="87" t="n">
        <v>45874</v>
      </c>
      <c r="V1086" s="3" t="inlineStr">
        <is>
          <t>25</t>
        </is>
      </c>
      <c r="W1086" s="4" t="n">
        <v>45874</v>
      </c>
      <c r="X1086" s="4" t="inlineStr">
        <is>
          <t>PHILIPPOS  CONSTANTINIDES
TRADING CO.LTD</t>
        </is>
      </c>
    </row>
    <row r="1087" ht="24" customHeight="1">
      <c r="A1087" s="2">
        <f>+D1087-S1087</f>
        <v/>
      </c>
      <c r="B1087" s="80" t="n">
        <v>2746</v>
      </c>
      <c r="C1087" s="66" t="n">
        <v>45744</v>
      </c>
      <c r="D1087" s="2" t="n">
        <v>1</v>
      </c>
      <c r="E1087" s="3" t="inlineStr">
        <is>
          <t>FUCILE SOVRAPPOSTO</t>
        </is>
      </c>
      <c r="F1087" s="3" t="inlineStr">
        <is>
          <t>12</t>
        </is>
      </c>
      <c r="G1087" s="3" t="inlineStr">
        <is>
          <t>BERETTA</t>
        </is>
      </c>
      <c r="H1087" s="65" t="inlineStr">
        <is>
          <t>687 SILVER PIGEON III 71CM MY20</t>
        </is>
      </c>
      <c r="I1087" s="65" t="inlineStr">
        <is>
          <t>H55426X</t>
        </is>
      </c>
      <c r="J1087" s="65" t="inlineStr">
        <is>
          <t>N/D</t>
        </is>
      </c>
      <c r="K1087" s="65" t="inlineStr">
        <is>
          <t>N/D</t>
        </is>
      </c>
      <c r="L1087" s="127" t="inlineStr">
        <is>
          <t>ARMERIA BRIGNOLI SILVIO &amp; C SNC</t>
        </is>
      </c>
      <c r="M1087" s="5" t="n">
        <v>1460</v>
      </c>
      <c r="N1087" s="5" t="n"/>
      <c r="O1087" s="5">
        <f>+M1087+N1087</f>
        <v/>
      </c>
      <c r="P1087" s="4" t="n">
        <v>45744</v>
      </c>
      <c r="Q1087" s="87" t="n">
        <v>45741</v>
      </c>
      <c r="R1087" s="5" t="n">
        <v>1534</v>
      </c>
      <c r="S1087" s="2" t="n">
        <v>1</v>
      </c>
      <c r="T1087" s="3" t="inlineStr">
        <is>
          <t>CA04954OS</t>
        </is>
      </c>
      <c r="U1087" s="87" t="n">
        <v>45874</v>
      </c>
      <c r="V1087" s="3" t="inlineStr">
        <is>
          <t>25</t>
        </is>
      </c>
      <c r="W1087" s="4" t="n">
        <v>45874</v>
      </c>
      <c r="X1087" s="4" t="inlineStr">
        <is>
          <t>PHILIPPOS  CONSTANTINIDES
TRADING CO.LTD</t>
        </is>
      </c>
    </row>
    <row r="1088" ht="24" customHeight="1">
      <c r="A1088" s="2">
        <f>+D1088-S1088</f>
        <v/>
      </c>
      <c r="B1088" s="80" t="n">
        <v>2747</v>
      </c>
      <c r="C1088" s="66" t="n">
        <v>45744</v>
      </c>
      <c r="D1088" s="2" t="n">
        <v>1</v>
      </c>
      <c r="E1088" s="3" t="inlineStr">
        <is>
          <t>FUCILE SOVRAPPOSTO</t>
        </is>
      </c>
      <c r="F1088" s="3" t="inlineStr">
        <is>
          <t>12</t>
        </is>
      </c>
      <c r="G1088" s="3" t="inlineStr">
        <is>
          <t>BERETTA</t>
        </is>
      </c>
      <c r="H1088" s="65" t="inlineStr">
        <is>
          <t>ULTRALEGGERO KO 66CM</t>
        </is>
      </c>
      <c r="I1088" s="65" t="inlineStr">
        <is>
          <t>F91525X</t>
        </is>
      </c>
      <c r="J1088" s="65" t="inlineStr">
        <is>
          <t>N/D</t>
        </is>
      </c>
      <c r="K1088" s="65" t="inlineStr">
        <is>
          <t>N/D</t>
        </is>
      </c>
      <c r="L1088" s="127" t="inlineStr">
        <is>
          <t>ARMERIA BRIGNOLI SILVIO &amp; C SNC</t>
        </is>
      </c>
      <c r="M1088" s="5" t="n">
        <v>1515</v>
      </c>
      <c r="N1088" s="5" t="n"/>
      <c r="O1088" s="5">
        <f>+M1088+N1088</f>
        <v/>
      </c>
      <c r="P1088" s="4" t="n">
        <v>45744</v>
      </c>
      <c r="Q1088" s="87" t="n">
        <v>45741</v>
      </c>
      <c r="R1088" s="5" t="n">
        <v>1591</v>
      </c>
      <c r="S1088" s="2" t="n">
        <v>1</v>
      </c>
      <c r="T1088" s="3" t="inlineStr">
        <is>
          <t>CA04954OS</t>
        </is>
      </c>
      <c r="U1088" s="87" t="n">
        <v>45874</v>
      </c>
      <c r="V1088" s="3" t="inlineStr">
        <is>
          <t>25</t>
        </is>
      </c>
      <c r="W1088" s="4" t="n">
        <v>45874</v>
      </c>
      <c r="X1088" s="4" t="inlineStr">
        <is>
          <t>PHILIPPOS  CONSTANTINIDES
TRADING CO.LTD</t>
        </is>
      </c>
    </row>
    <row r="1089" ht="24" customHeight="1">
      <c r="A1089" s="2">
        <f>+D1089-S1089</f>
        <v/>
      </c>
      <c r="B1089" s="80" t="n">
        <v>2748</v>
      </c>
      <c r="C1089" s="66" t="n">
        <v>45744</v>
      </c>
      <c r="D1089" s="2" t="n">
        <v>1</v>
      </c>
      <c r="E1089" s="3" t="inlineStr">
        <is>
          <t>FUCILE SOVRAPPOSTO</t>
        </is>
      </c>
      <c r="F1089" s="3" t="inlineStr">
        <is>
          <t>12</t>
        </is>
      </c>
      <c r="G1089" s="3" t="inlineStr">
        <is>
          <t>BERETTA</t>
        </is>
      </c>
      <c r="H1089" s="65" t="inlineStr">
        <is>
          <t>ULTRALEGGERO KO 66CM</t>
        </is>
      </c>
      <c r="I1089" s="65" t="inlineStr">
        <is>
          <t>F91538X</t>
        </is>
      </c>
      <c r="J1089" s="65" t="inlineStr">
        <is>
          <t>N/D</t>
        </is>
      </c>
      <c r="K1089" s="65" t="inlineStr">
        <is>
          <t>N/D</t>
        </is>
      </c>
      <c r="L1089" s="127" t="inlineStr">
        <is>
          <t>ARMERIA BRIGNOLI SILVIO &amp; C SNC</t>
        </is>
      </c>
      <c r="M1089" s="5" t="n">
        <v>1515</v>
      </c>
      <c r="N1089" s="5" t="n"/>
      <c r="O1089" s="5">
        <f>+M1089+N1089</f>
        <v/>
      </c>
      <c r="P1089" s="4" t="n">
        <v>45744</v>
      </c>
      <c r="Q1089" s="87" t="n">
        <v>45741</v>
      </c>
      <c r="R1089" s="5" t="n">
        <v>1591</v>
      </c>
      <c r="S1089" s="2" t="n">
        <v>1</v>
      </c>
      <c r="T1089" s="3" t="inlineStr">
        <is>
          <t>CA04954OS</t>
        </is>
      </c>
      <c r="U1089" s="87" t="n">
        <v>45874</v>
      </c>
      <c r="V1089" s="3" t="inlineStr">
        <is>
          <t>25</t>
        </is>
      </c>
      <c r="W1089" s="4" t="n">
        <v>45874</v>
      </c>
      <c r="X1089" s="4" t="inlineStr">
        <is>
          <t>PHILIPPOS  CONSTANTINIDES
TRADING CO.LTD</t>
        </is>
      </c>
    </row>
    <row r="1090" ht="24" customHeight="1">
      <c r="A1090" s="2">
        <f>+D1090-S1090</f>
        <v/>
      </c>
      <c r="B1090" s="80" t="n">
        <v>2749</v>
      </c>
      <c r="C1090" s="66" t="n">
        <v>45744</v>
      </c>
      <c r="D1090" s="2" t="n">
        <v>1</v>
      </c>
      <c r="E1090" s="3" t="inlineStr">
        <is>
          <t>FUCILE SOVRAPPOSTO</t>
        </is>
      </c>
      <c r="F1090" s="3" t="inlineStr">
        <is>
          <t>12</t>
        </is>
      </c>
      <c r="G1090" s="3" t="inlineStr">
        <is>
          <t>BERETTA</t>
        </is>
      </c>
      <c r="H1090" s="65" t="inlineStr">
        <is>
          <t>ULTRALEGGERO KO 71CM</t>
        </is>
      </c>
      <c r="I1090" s="65" t="inlineStr">
        <is>
          <t>F95303X</t>
        </is>
      </c>
      <c r="J1090" s="65" t="inlineStr">
        <is>
          <t>N/D</t>
        </is>
      </c>
      <c r="K1090" s="65" t="inlineStr">
        <is>
          <t>N/D</t>
        </is>
      </c>
      <c r="L1090" s="127" t="inlineStr">
        <is>
          <t>ARMERIA BRIGNOLI SILVIO &amp; C SNC</t>
        </is>
      </c>
      <c r="M1090" s="5" t="n">
        <v>1515</v>
      </c>
      <c r="N1090" s="5" t="n"/>
      <c r="O1090" s="5">
        <f>+M1090+N1090</f>
        <v/>
      </c>
      <c r="P1090" s="4" t="n">
        <v>45744</v>
      </c>
      <c r="Q1090" s="87" t="n">
        <v>45741</v>
      </c>
      <c r="R1090" s="5" t="n">
        <v>1591</v>
      </c>
      <c r="S1090" s="2" t="n">
        <v>1</v>
      </c>
      <c r="T1090" s="3" t="inlineStr">
        <is>
          <t>CA04954OS</t>
        </is>
      </c>
      <c r="U1090" s="87" t="n">
        <v>45874</v>
      </c>
      <c r="V1090" s="3" t="inlineStr">
        <is>
          <t>25</t>
        </is>
      </c>
      <c r="W1090" s="4" t="n">
        <v>45874</v>
      </c>
      <c r="X1090" s="4" t="inlineStr">
        <is>
          <t>PHILIPPOS  CONSTANTINIDES
TRADING CO.LTD</t>
        </is>
      </c>
    </row>
    <row r="1091" ht="24" customHeight="1">
      <c r="A1091" s="2">
        <f>+D1091-S1091</f>
        <v/>
      </c>
      <c r="B1091" s="80" t="n">
        <v>2750</v>
      </c>
      <c r="C1091" s="66" t="n">
        <v>45744</v>
      </c>
      <c r="D1091" s="2" t="n">
        <v>1</v>
      </c>
      <c r="E1091" s="3" t="inlineStr">
        <is>
          <t>FUCILE SOVRAPPOSTO</t>
        </is>
      </c>
      <c r="F1091" s="3" t="inlineStr">
        <is>
          <t>12</t>
        </is>
      </c>
      <c r="G1091" s="3" t="inlineStr">
        <is>
          <t>BERETTA</t>
        </is>
      </c>
      <c r="H1091" s="65" t="inlineStr">
        <is>
          <t>ULTRALEGGERO KO 71CM</t>
        </is>
      </c>
      <c r="I1091" s="65" t="inlineStr">
        <is>
          <t>L02814X</t>
        </is>
      </c>
      <c r="J1091" s="65" t="inlineStr">
        <is>
          <t>N/D</t>
        </is>
      </c>
      <c r="K1091" s="65" t="inlineStr">
        <is>
          <t>N/D</t>
        </is>
      </c>
      <c r="L1091" s="127" t="inlineStr">
        <is>
          <t>ARMERIA BRIGNOLI SILVIO &amp; C SNC</t>
        </is>
      </c>
      <c r="M1091" s="5" t="n">
        <v>1515</v>
      </c>
      <c r="N1091" s="5" t="n"/>
      <c r="O1091" s="5">
        <f>+M1091+N1091</f>
        <v/>
      </c>
      <c r="P1091" s="4" t="n">
        <v>45744</v>
      </c>
      <c r="Q1091" s="87" t="n">
        <v>45741</v>
      </c>
      <c r="R1091" s="5" t="n">
        <v>1591</v>
      </c>
      <c r="S1091" s="2" t="n">
        <v>1</v>
      </c>
      <c r="T1091" s="3" t="inlineStr">
        <is>
          <t>CA04954OS</t>
        </is>
      </c>
      <c r="U1091" s="87" t="n">
        <v>45874</v>
      </c>
      <c r="V1091" s="3" t="inlineStr">
        <is>
          <t>25</t>
        </is>
      </c>
      <c r="W1091" s="4" t="n">
        <v>45874</v>
      </c>
      <c r="X1091" s="4" t="inlineStr">
        <is>
          <t>PHILIPPOS  CONSTANTINIDES
TRADING CO.LTD</t>
        </is>
      </c>
    </row>
    <row r="1092" ht="24" customHeight="1">
      <c r="A1092" s="2">
        <f>+D1092-S1092</f>
        <v/>
      </c>
      <c r="B1092" s="80" t="n">
        <v>2751</v>
      </c>
      <c r="C1092" s="66" t="n">
        <v>45744</v>
      </c>
      <c r="D1092" s="2" t="n">
        <v>1</v>
      </c>
      <c r="E1092" s="3" t="inlineStr">
        <is>
          <t>FUCILE SOVRAPPOSTO</t>
        </is>
      </c>
      <c r="F1092" s="3" t="inlineStr">
        <is>
          <t>12</t>
        </is>
      </c>
      <c r="G1092" s="3" t="inlineStr">
        <is>
          <t>BERETTA</t>
        </is>
      </c>
      <c r="H1092" s="65" t="inlineStr">
        <is>
          <t>ULTRALEGGERO KO 71CM</t>
        </is>
      </c>
      <c r="I1092" s="65" t="inlineStr">
        <is>
          <t>L02817X</t>
        </is>
      </c>
      <c r="J1092" s="65" t="inlineStr">
        <is>
          <t>N/D</t>
        </is>
      </c>
      <c r="K1092" s="65" t="inlineStr">
        <is>
          <t>N/D</t>
        </is>
      </c>
      <c r="L1092" s="127" t="inlineStr">
        <is>
          <t>ARMERIA BRIGNOLI SILVIO &amp; C SNC</t>
        </is>
      </c>
      <c r="M1092" s="5" t="n">
        <v>1515</v>
      </c>
      <c r="N1092" s="5" t="n"/>
      <c r="O1092" s="5">
        <f>+M1092+N1092</f>
        <v/>
      </c>
      <c r="P1092" s="4" t="n">
        <v>45744</v>
      </c>
      <c r="Q1092" s="87" t="n">
        <v>45741</v>
      </c>
      <c r="R1092" s="5" t="n">
        <v>1591</v>
      </c>
      <c r="S1092" s="2" t="n">
        <v>1</v>
      </c>
      <c r="T1092" s="3" t="inlineStr">
        <is>
          <t>CA04954OS</t>
        </is>
      </c>
      <c r="U1092" s="87" t="n">
        <v>45874</v>
      </c>
      <c r="V1092" s="3" t="inlineStr">
        <is>
          <t>25</t>
        </is>
      </c>
      <c r="W1092" s="4" t="n">
        <v>45874</v>
      </c>
      <c r="X1092" s="4" t="inlineStr">
        <is>
          <t>PHILIPPOS  CONSTANTINIDES
TRADING CO.LTD</t>
        </is>
      </c>
    </row>
    <row r="1093" ht="24" customHeight="1">
      <c r="A1093" s="2">
        <f>+D1093-S1093</f>
        <v/>
      </c>
      <c r="B1093" s="80" t="n">
        <v>2752</v>
      </c>
      <c r="C1093" s="66" t="n">
        <v>45744</v>
      </c>
      <c r="D1093" s="2" t="n">
        <v>1</v>
      </c>
      <c r="E1093" s="3" t="inlineStr">
        <is>
          <t>FUCILE SOVRAPPOSTO</t>
        </is>
      </c>
      <c r="F1093" s="3" t="inlineStr">
        <is>
          <t>12</t>
        </is>
      </c>
      <c r="G1093" s="3" t="inlineStr">
        <is>
          <t>BERETTA</t>
        </is>
      </c>
      <c r="H1093" s="65" t="inlineStr">
        <is>
          <t>ULTRALEGGERO SILVER</t>
        </is>
      </c>
      <c r="I1093" s="65" t="inlineStr">
        <is>
          <t>F98873X</t>
        </is>
      </c>
      <c r="J1093" s="65" t="inlineStr">
        <is>
          <t>N/D</t>
        </is>
      </c>
      <c r="K1093" s="65" t="inlineStr">
        <is>
          <t>N/D</t>
        </is>
      </c>
      <c r="L1093" s="127" t="inlineStr">
        <is>
          <t>ARMERIA BRIGNOLI SILVIO &amp; C SNC</t>
        </is>
      </c>
      <c r="M1093" s="5" t="n">
        <v>1600</v>
      </c>
      <c r="N1093" s="5" t="n"/>
      <c r="O1093" s="5">
        <f>+M1093+N1093</f>
        <v/>
      </c>
      <c r="P1093" s="4" t="n">
        <v>45744</v>
      </c>
      <c r="Q1093" s="87" t="n">
        <v>45741</v>
      </c>
      <c r="R1093" s="5" t="n">
        <v>1680</v>
      </c>
      <c r="S1093" s="2" t="n">
        <v>1</v>
      </c>
      <c r="T1093" s="3" t="inlineStr">
        <is>
          <t>CA04954OS</t>
        </is>
      </c>
      <c r="U1093" s="87" t="n">
        <v>45874</v>
      </c>
      <c r="V1093" s="3" t="inlineStr">
        <is>
          <t>25</t>
        </is>
      </c>
      <c r="W1093" s="4" t="n">
        <v>45874</v>
      </c>
      <c r="X1093" s="4" t="inlineStr">
        <is>
          <t>PHILIPPOS  CONSTANTINIDES
TRADING CO.LTD</t>
        </is>
      </c>
    </row>
    <row r="1094" ht="24" customHeight="1">
      <c r="A1094" s="2">
        <f>+D1094-S1094</f>
        <v/>
      </c>
      <c r="B1094" s="80" t="n">
        <v>2753</v>
      </c>
      <c r="C1094" s="66" t="n">
        <v>45744</v>
      </c>
      <c r="D1094" s="2" t="n">
        <v>1</v>
      </c>
      <c r="E1094" s="3" t="inlineStr">
        <is>
          <t>FUCILE SOVRAPPOSTO</t>
        </is>
      </c>
      <c r="F1094" s="3" t="inlineStr">
        <is>
          <t>20</t>
        </is>
      </c>
      <c r="G1094" s="3" t="inlineStr">
        <is>
          <t>BERETTA</t>
        </is>
      </c>
      <c r="H1094" s="65" t="inlineStr">
        <is>
          <t>687 SILVER PIGEON III 71CM MY20</t>
        </is>
      </c>
      <c r="I1094" s="65" t="inlineStr">
        <is>
          <t>L03522X</t>
        </is>
      </c>
      <c r="J1094" s="65" t="inlineStr">
        <is>
          <t>N/D</t>
        </is>
      </c>
      <c r="K1094" s="65" t="inlineStr">
        <is>
          <t>N/D</t>
        </is>
      </c>
      <c r="L1094" s="127" t="inlineStr">
        <is>
          <t>ARMERIA BRIGNOLI SILVIO &amp; C SNC</t>
        </is>
      </c>
      <c r="M1094" s="5" t="n">
        <v>1460</v>
      </c>
      <c r="N1094" s="5" t="n"/>
      <c r="O1094" s="5">
        <f>+M1094+N1094</f>
        <v/>
      </c>
      <c r="P1094" s="4" t="n">
        <v>45744</v>
      </c>
      <c r="Q1094" s="87" t="n">
        <v>45741</v>
      </c>
      <c r="R1094" s="5" t="n">
        <v>1534</v>
      </c>
      <c r="S1094" s="2" t="n">
        <v>1</v>
      </c>
      <c r="T1094" s="3" t="inlineStr">
        <is>
          <t>CA04954OS</t>
        </is>
      </c>
      <c r="U1094" s="87" t="n">
        <v>45874</v>
      </c>
      <c r="V1094" s="3" t="inlineStr">
        <is>
          <t>25</t>
        </is>
      </c>
      <c r="W1094" s="4" t="n">
        <v>45874</v>
      </c>
      <c r="X1094" s="4" t="inlineStr">
        <is>
          <t>PHILIPPOS  CONSTANTINIDES
TRADING CO.LTD</t>
        </is>
      </c>
    </row>
    <row r="1095" ht="24" customHeight="1">
      <c r="A1095" s="2">
        <f>+D1095-S1095</f>
        <v/>
      </c>
      <c r="B1095" s="80" t="n">
        <v>2754</v>
      </c>
      <c r="C1095" s="66" t="n">
        <v>45744</v>
      </c>
      <c r="D1095" s="2" t="n">
        <v>1</v>
      </c>
      <c r="E1095" s="3" t="inlineStr">
        <is>
          <t>FUCILE SOVRAPPOSTO</t>
        </is>
      </c>
      <c r="F1095" s="3" t="inlineStr">
        <is>
          <t>20</t>
        </is>
      </c>
      <c r="G1095" s="3" t="inlineStr">
        <is>
          <t>BERETTA</t>
        </is>
      </c>
      <c r="H1095" s="65" t="inlineStr">
        <is>
          <t>ULTRALEGGERO KO 71CM</t>
        </is>
      </c>
      <c r="I1095" s="65" t="inlineStr">
        <is>
          <t>F96687X</t>
        </is>
      </c>
      <c r="J1095" s="65" t="inlineStr">
        <is>
          <t>N/D</t>
        </is>
      </c>
      <c r="K1095" s="65" t="inlineStr">
        <is>
          <t>N/D</t>
        </is>
      </c>
      <c r="L1095" s="127" t="inlineStr">
        <is>
          <t>ARMERIA BRIGNOLI SILVIO &amp; C SNC</t>
        </is>
      </c>
      <c r="M1095" s="5" t="n">
        <v>1515</v>
      </c>
      <c r="N1095" s="5" t="n"/>
      <c r="O1095" s="5">
        <f>+M1095+N1095</f>
        <v/>
      </c>
      <c r="P1095" s="4" t="n">
        <v>45744</v>
      </c>
      <c r="Q1095" s="87" t="n">
        <v>45741</v>
      </c>
      <c r="R1095" s="5" t="n">
        <v>1591</v>
      </c>
      <c r="S1095" s="2" t="n">
        <v>1</v>
      </c>
      <c r="T1095" s="3" t="inlineStr">
        <is>
          <t>CA04954OS</t>
        </is>
      </c>
      <c r="U1095" s="87" t="n">
        <v>45874</v>
      </c>
      <c r="V1095" s="3" t="inlineStr">
        <is>
          <t>25</t>
        </is>
      </c>
      <c r="W1095" s="4" t="n">
        <v>45874</v>
      </c>
      <c r="X1095" s="4" t="inlineStr">
        <is>
          <t>PHILIPPOS  CONSTANTINIDES
TRADING CO.LTD</t>
        </is>
      </c>
    </row>
    <row r="1096" ht="24" customHeight="1">
      <c r="A1096" s="2">
        <f>+D1096-S1096</f>
        <v/>
      </c>
      <c r="B1096" s="80" t="n">
        <v>2755</v>
      </c>
      <c r="C1096" s="66" t="n">
        <v>45744</v>
      </c>
      <c r="D1096" s="2" t="n">
        <v>1</v>
      </c>
      <c r="E1096" s="3" t="inlineStr">
        <is>
          <t>FUCILE SEMIAUTOMATICO</t>
        </is>
      </c>
      <c r="F1096" s="3" t="inlineStr">
        <is>
          <t>12</t>
        </is>
      </c>
      <c r="G1096" s="3" t="inlineStr">
        <is>
          <t>BERETTA</t>
        </is>
      </c>
      <c r="H1096" s="65" t="inlineStr">
        <is>
          <t>A400 UPLAND 66CM</t>
        </is>
      </c>
      <c r="I1096" s="65" t="inlineStr">
        <is>
          <t>SU034541</t>
        </is>
      </c>
      <c r="J1096" s="65" t="inlineStr">
        <is>
          <t>XB335813</t>
        </is>
      </c>
      <c r="K1096" s="65" t="inlineStr">
        <is>
          <t>N/D</t>
        </is>
      </c>
      <c r="L1096" s="127" t="inlineStr">
        <is>
          <t>ARMERIA BRIGNOLI SILVIO &amp; C SNC</t>
        </is>
      </c>
      <c r="M1096" s="5" t="n">
        <v>1240</v>
      </c>
      <c r="N1096" s="5" t="n"/>
      <c r="O1096" s="5">
        <f>+M1096+N1096</f>
        <v/>
      </c>
      <c r="P1096" s="4" t="n">
        <v>45744</v>
      </c>
      <c r="Q1096" s="87" t="n">
        <v>45741</v>
      </c>
      <c r="R1096" s="5" t="n">
        <v>1302</v>
      </c>
      <c r="S1096" s="2" t="n">
        <v>1</v>
      </c>
      <c r="T1096" s="3" t="inlineStr">
        <is>
          <t>CA04954OS</t>
        </is>
      </c>
      <c r="U1096" s="87" t="n">
        <v>45874</v>
      </c>
      <c r="V1096" s="3" t="inlineStr">
        <is>
          <t>25</t>
        </is>
      </c>
      <c r="W1096" s="4" t="n">
        <v>45874</v>
      </c>
      <c r="X1096" s="4" t="inlineStr">
        <is>
          <t>PHILIPPOS  CONSTANTINIDES
TRADING CO.LTD</t>
        </is>
      </c>
    </row>
    <row r="1097" ht="24" customHeight="1">
      <c r="A1097" s="2">
        <f>+D1097-S1097</f>
        <v/>
      </c>
      <c r="B1097" s="80" t="n">
        <v>2756</v>
      </c>
      <c r="C1097" s="66" t="n">
        <v>45744</v>
      </c>
      <c r="D1097" s="2" t="n">
        <v>1</v>
      </c>
      <c r="E1097" s="3" t="inlineStr">
        <is>
          <t>FUCILE SEMIAUTOMATICO</t>
        </is>
      </c>
      <c r="F1097" s="3" t="inlineStr">
        <is>
          <t>12</t>
        </is>
      </c>
      <c r="G1097" s="3" t="inlineStr">
        <is>
          <t>BERETTA</t>
        </is>
      </c>
      <c r="H1097" s="65" t="inlineStr">
        <is>
          <t>A400 UPLAND 66CM</t>
        </is>
      </c>
      <c r="I1097" s="65" t="inlineStr">
        <is>
          <t>SU034545</t>
        </is>
      </c>
      <c r="J1097" s="65" t="inlineStr">
        <is>
          <t>XB335754</t>
        </is>
      </c>
      <c r="K1097" s="65" t="inlineStr">
        <is>
          <t>N/D</t>
        </is>
      </c>
      <c r="L1097" s="127" t="inlineStr">
        <is>
          <t>ARMERIA BRIGNOLI SILVIO &amp; C SNC</t>
        </is>
      </c>
      <c r="M1097" s="5" t="n">
        <v>1240</v>
      </c>
      <c r="N1097" s="5" t="n"/>
      <c r="O1097" s="5">
        <f>+M1097+N1097</f>
        <v/>
      </c>
      <c r="P1097" s="4" t="n">
        <v>45744</v>
      </c>
      <c r="Q1097" s="87" t="n">
        <v>45741</v>
      </c>
      <c r="R1097" s="5" t="n">
        <v>1302</v>
      </c>
      <c r="S1097" s="2" t="n">
        <v>1</v>
      </c>
      <c r="T1097" s="3" t="inlineStr">
        <is>
          <t>CA04954OS</t>
        </is>
      </c>
      <c r="U1097" s="87" t="n">
        <v>45874</v>
      </c>
      <c r="V1097" s="3" t="inlineStr">
        <is>
          <t>25</t>
        </is>
      </c>
      <c r="W1097" s="4" t="n">
        <v>45874</v>
      </c>
      <c r="X1097" s="4" t="inlineStr">
        <is>
          <t>PHILIPPOS  CONSTANTINIDES
TRADING CO.LTD</t>
        </is>
      </c>
    </row>
    <row r="1098" ht="24" customHeight="1">
      <c r="A1098" s="2">
        <f>+D1098-S1098</f>
        <v/>
      </c>
      <c r="B1098" s="80" t="n">
        <v>2757</v>
      </c>
      <c r="C1098" s="66" t="n">
        <v>45744</v>
      </c>
      <c r="D1098" s="2" t="n">
        <v>1</v>
      </c>
      <c r="E1098" s="3" t="inlineStr">
        <is>
          <t>FUCILE SEMIAUTOMATICO</t>
        </is>
      </c>
      <c r="F1098" s="3" t="inlineStr">
        <is>
          <t>12</t>
        </is>
      </c>
      <c r="G1098" s="3" t="inlineStr">
        <is>
          <t>BERETTA</t>
        </is>
      </c>
      <c r="H1098" s="65" t="inlineStr">
        <is>
          <t>A400 UPLAND 66CM</t>
        </is>
      </c>
      <c r="I1098" s="65" t="inlineStr">
        <is>
          <t>SU034600</t>
        </is>
      </c>
      <c r="J1098" s="65" t="inlineStr">
        <is>
          <t>XB335815</t>
        </is>
      </c>
      <c r="K1098" s="65" t="inlineStr">
        <is>
          <t>N/D</t>
        </is>
      </c>
      <c r="L1098" s="127" t="inlineStr">
        <is>
          <t>ARMERIA BRIGNOLI SILVIO &amp; C SNC</t>
        </is>
      </c>
      <c r="M1098" s="5" t="n">
        <v>1240</v>
      </c>
      <c r="N1098" s="5" t="n"/>
      <c r="O1098" s="5">
        <f>+M1098+N1098</f>
        <v/>
      </c>
      <c r="P1098" s="4" t="n">
        <v>45744</v>
      </c>
      <c r="Q1098" s="87" t="n">
        <v>45741</v>
      </c>
      <c r="R1098" s="5" t="n">
        <v>1302</v>
      </c>
      <c r="S1098" s="2" t="n">
        <v>1</v>
      </c>
      <c r="T1098" s="3" t="inlineStr">
        <is>
          <t>CA04954OS</t>
        </is>
      </c>
      <c r="U1098" s="87" t="n">
        <v>45874</v>
      </c>
      <c r="V1098" s="3" t="inlineStr">
        <is>
          <t>25</t>
        </is>
      </c>
      <c r="W1098" s="4" t="n">
        <v>45874</v>
      </c>
      <c r="X1098" s="4" t="inlineStr">
        <is>
          <t>PHILIPPOS  CONSTANTINIDES
TRADING CO.LTD</t>
        </is>
      </c>
    </row>
    <row r="1099" ht="24" customHeight="1">
      <c r="A1099" s="2">
        <f>+D1099-S1099</f>
        <v/>
      </c>
      <c r="B1099" s="80" t="n">
        <v>2758</v>
      </c>
      <c r="C1099" s="66" t="n">
        <v>45744</v>
      </c>
      <c r="D1099" s="2" t="n">
        <v>1</v>
      </c>
      <c r="E1099" s="3" t="inlineStr">
        <is>
          <t>FUCILE SEMIAUTOMATICO</t>
        </is>
      </c>
      <c r="F1099" s="3" t="inlineStr">
        <is>
          <t>12</t>
        </is>
      </c>
      <c r="G1099" s="3" t="inlineStr">
        <is>
          <t>BERETTA</t>
        </is>
      </c>
      <c r="H1099" s="65" t="inlineStr">
        <is>
          <t>A400 UPLAND 71CM</t>
        </is>
      </c>
      <c r="I1099" s="65" t="inlineStr">
        <is>
          <t>SU035212</t>
        </is>
      </c>
      <c r="J1099" s="65" t="inlineStr">
        <is>
          <t>XB339327</t>
        </is>
      </c>
      <c r="K1099" s="65" t="inlineStr">
        <is>
          <t>N/D</t>
        </is>
      </c>
      <c r="L1099" s="127" t="inlineStr">
        <is>
          <t>ARMERIA BRIGNOLI SILVIO &amp; C SNC</t>
        </is>
      </c>
      <c r="M1099" s="5" t="n">
        <v>1240</v>
      </c>
      <c r="N1099" s="5" t="n"/>
      <c r="O1099" s="5">
        <f>+M1099+N1099</f>
        <v/>
      </c>
      <c r="P1099" s="4" t="n">
        <v>45744</v>
      </c>
      <c r="Q1099" s="87" t="n">
        <v>45741</v>
      </c>
      <c r="R1099" s="5" t="n">
        <v>1302</v>
      </c>
      <c r="S1099" s="2" t="n">
        <v>1</v>
      </c>
      <c r="T1099" s="3" t="inlineStr">
        <is>
          <t>CA04954OS</t>
        </is>
      </c>
      <c r="U1099" s="87" t="n">
        <v>45874</v>
      </c>
      <c r="V1099" s="3" t="inlineStr">
        <is>
          <t>25</t>
        </is>
      </c>
      <c r="W1099" s="4" t="n">
        <v>45874</v>
      </c>
      <c r="X1099" s="4" t="inlineStr">
        <is>
          <t>PHILIPPOS  CONSTANTINIDES
TRADING CO.LTD</t>
        </is>
      </c>
    </row>
    <row r="1100" ht="24" customHeight="1">
      <c r="A1100" s="2">
        <f>+D1100-S1100</f>
        <v/>
      </c>
      <c r="B1100" s="80" t="n">
        <v>2759</v>
      </c>
      <c r="C1100" s="66" t="n">
        <v>45744</v>
      </c>
      <c r="D1100" s="2" t="n">
        <v>1</v>
      </c>
      <c r="E1100" s="3" t="inlineStr">
        <is>
          <t>FUCILE SEMIAUTOMATICO</t>
        </is>
      </c>
      <c r="F1100" s="3" t="inlineStr">
        <is>
          <t>12</t>
        </is>
      </c>
      <c r="G1100" s="3" t="inlineStr">
        <is>
          <t>BERETTA</t>
        </is>
      </c>
      <c r="H1100" s="65" t="inlineStr">
        <is>
          <t>A400 EXTREME PLUS BOTTOM LAND 71CM</t>
        </is>
      </c>
      <c r="I1100" s="65" t="inlineStr">
        <is>
          <t>WA100988</t>
        </is>
      </c>
      <c r="J1100" s="65" t="inlineStr">
        <is>
          <t>WB137740</t>
        </is>
      </c>
      <c r="K1100" s="65" t="inlineStr">
        <is>
          <t>N/D</t>
        </is>
      </c>
      <c r="L1100" s="127" t="inlineStr">
        <is>
          <t>ARMERIA BRIGNOLI SILVIO &amp; C SNC</t>
        </is>
      </c>
      <c r="M1100" s="5" t="n">
        <v>1547</v>
      </c>
      <c r="N1100" s="5" t="n"/>
      <c r="O1100" s="5">
        <f>+M1100+N1100</f>
        <v/>
      </c>
      <c r="P1100" s="4" t="n">
        <v>45744</v>
      </c>
      <c r="Q1100" s="87" t="n">
        <v>45741</v>
      </c>
      <c r="R1100" s="5" t="n">
        <v>1550</v>
      </c>
      <c r="S1100" s="2" t="n">
        <v>1</v>
      </c>
      <c r="T1100" s="3" t="inlineStr">
        <is>
          <t>CA04954OS</t>
        </is>
      </c>
      <c r="U1100" s="87" t="n">
        <v>45874</v>
      </c>
      <c r="V1100" s="3" t="inlineStr">
        <is>
          <t>25</t>
        </is>
      </c>
      <c r="W1100" s="4" t="n">
        <v>45874</v>
      </c>
      <c r="X1100" s="4" t="inlineStr">
        <is>
          <t>PHILIPPOS  CONSTANTINIDES
TRADING CO.LTD</t>
        </is>
      </c>
    </row>
    <row r="1101" ht="24" customHeight="1">
      <c r="A1101" s="2">
        <f>+D1101-S1101</f>
        <v/>
      </c>
      <c r="B1101" s="80" t="n">
        <v>2760</v>
      </c>
      <c r="C1101" s="66" t="n">
        <v>45744</v>
      </c>
      <c r="D1101" s="2" t="n">
        <v>1</v>
      </c>
      <c r="E1101" s="3" t="inlineStr">
        <is>
          <t>FUCILE SEMIAUTOMATICO</t>
        </is>
      </c>
      <c r="F1101" s="3" t="inlineStr">
        <is>
          <t>12</t>
        </is>
      </c>
      <c r="G1101" s="3" t="inlineStr">
        <is>
          <t>BERETTA</t>
        </is>
      </c>
      <c r="H1101" s="65" t="inlineStr">
        <is>
          <t>A400 EXTREME PLUS BOTTOM LAND 71CM</t>
        </is>
      </c>
      <c r="I1101" s="65" t="inlineStr">
        <is>
          <t>WA101108</t>
        </is>
      </c>
      <c r="J1101" s="65" t="inlineStr">
        <is>
          <t>WB139298</t>
        </is>
      </c>
      <c r="K1101" s="65" t="inlineStr">
        <is>
          <t>N/D</t>
        </is>
      </c>
      <c r="L1101" s="127" t="inlineStr">
        <is>
          <t>ARMERIA BRIGNOLI SILVIO &amp; C SNC</t>
        </is>
      </c>
      <c r="M1101" s="5" t="n">
        <v>1547</v>
      </c>
      <c r="N1101" s="5" t="n"/>
      <c r="O1101" s="5">
        <f>+M1101+N1101</f>
        <v/>
      </c>
      <c r="P1101" s="4" t="n">
        <v>45744</v>
      </c>
      <c r="Q1101" s="87" t="n">
        <v>45741</v>
      </c>
      <c r="R1101" s="5" t="n">
        <v>1550</v>
      </c>
      <c r="S1101" s="2" t="n">
        <v>1</v>
      </c>
      <c r="T1101" s="3" t="inlineStr">
        <is>
          <t>CA04954OS</t>
        </is>
      </c>
      <c r="U1101" s="87" t="n">
        <v>45874</v>
      </c>
      <c r="V1101" s="3" t="inlineStr">
        <is>
          <t>25</t>
        </is>
      </c>
      <c r="W1101" s="4" t="n">
        <v>45874</v>
      </c>
      <c r="X1101" s="4" t="inlineStr">
        <is>
          <t>PHILIPPOS  CONSTANTINIDES
TRADING CO.LTD</t>
        </is>
      </c>
    </row>
    <row r="1102" ht="24" customHeight="1">
      <c r="A1102" s="2">
        <f>+D1102-S1102</f>
        <v/>
      </c>
      <c r="B1102" s="80" t="n">
        <v>2761</v>
      </c>
      <c r="C1102" s="66" t="n">
        <v>45744</v>
      </c>
      <c r="D1102" s="2" t="n">
        <v>1</v>
      </c>
      <c r="E1102" s="3" t="inlineStr">
        <is>
          <t>FUCILE SEMIAUTOMATICO</t>
        </is>
      </c>
      <c r="F1102" s="3" t="inlineStr">
        <is>
          <t>12</t>
        </is>
      </c>
      <c r="G1102" s="3" t="inlineStr">
        <is>
          <t>BERETTA</t>
        </is>
      </c>
      <c r="H1102" s="65" t="inlineStr">
        <is>
          <t>A400 EXTREME PLUS CAMO MAX7 71CM</t>
        </is>
      </c>
      <c r="I1102" s="65" t="inlineStr">
        <is>
          <t>WA102054</t>
        </is>
      </c>
      <c r="J1102" s="65" t="inlineStr">
        <is>
          <t>WB140107</t>
        </is>
      </c>
      <c r="K1102" s="65" t="inlineStr">
        <is>
          <t>N/D</t>
        </is>
      </c>
      <c r="L1102" s="127" t="inlineStr">
        <is>
          <t>ARMERIA BRIGNOLI SILVIO &amp; C SNC</t>
        </is>
      </c>
      <c r="M1102" s="5" t="n">
        <v>1547</v>
      </c>
      <c r="N1102" s="5" t="n"/>
      <c r="O1102" s="5">
        <f>+M1102+N1102</f>
        <v/>
      </c>
      <c r="P1102" s="4" t="n">
        <v>45744</v>
      </c>
      <c r="Q1102" s="87" t="n">
        <v>45741</v>
      </c>
      <c r="R1102" s="5" t="n">
        <v>1550</v>
      </c>
      <c r="S1102" s="2" t="n">
        <v>1</v>
      </c>
      <c r="T1102" s="3" t="inlineStr">
        <is>
          <t>CA04954OS</t>
        </is>
      </c>
      <c r="U1102" s="87" t="n">
        <v>45874</v>
      </c>
      <c r="V1102" s="3" t="inlineStr">
        <is>
          <t>25</t>
        </is>
      </c>
      <c r="W1102" s="4" t="n">
        <v>45874</v>
      </c>
      <c r="X1102" s="4" t="inlineStr">
        <is>
          <t>PHILIPPOS  CONSTANTINIDES
TRADING CO.LTD</t>
        </is>
      </c>
    </row>
    <row r="1103" ht="24" customHeight="1">
      <c r="A1103" s="2">
        <f>+D1103-S1103</f>
        <v/>
      </c>
      <c r="B1103" s="80" t="n">
        <v>2762</v>
      </c>
      <c r="C1103" s="66" t="n">
        <v>45744</v>
      </c>
      <c r="D1103" s="2" t="n">
        <v>1</v>
      </c>
      <c r="E1103" s="3" t="inlineStr">
        <is>
          <t>FUCILE SEMIAUTOMATICO</t>
        </is>
      </c>
      <c r="F1103" s="3" t="inlineStr">
        <is>
          <t>12</t>
        </is>
      </c>
      <c r="G1103" s="3" t="inlineStr">
        <is>
          <t>BERETTA</t>
        </is>
      </c>
      <c r="H1103" s="65" t="inlineStr">
        <is>
          <t>A400 EXTREME PLUS CAMO MAX7 71CM</t>
        </is>
      </c>
      <c r="I1103" s="65" t="inlineStr">
        <is>
          <t>WA102230</t>
        </is>
      </c>
      <c r="J1103" s="65" t="inlineStr">
        <is>
          <t>WB140115</t>
        </is>
      </c>
      <c r="K1103" s="65" t="inlineStr">
        <is>
          <t>N/D</t>
        </is>
      </c>
      <c r="L1103" s="127" t="inlineStr">
        <is>
          <t>ARMERIA BRIGNOLI SILVIO &amp; C SNC</t>
        </is>
      </c>
      <c r="M1103" s="5" t="n">
        <v>1547</v>
      </c>
      <c r="N1103" s="5" t="n"/>
      <c r="O1103" s="5">
        <f>+M1103+N1103</f>
        <v/>
      </c>
      <c r="P1103" s="4" t="n">
        <v>45744</v>
      </c>
      <c r="Q1103" s="87" t="n">
        <v>45741</v>
      </c>
      <c r="R1103" s="5" t="n">
        <v>1550</v>
      </c>
      <c r="S1103" s="2" t="n">
        <v>1</v>
      </c>
      <c r="T1103" s="3" t="inlineStr">
        <is>
          <t>CA04954OS</t>
        </is>
      </c>
      <c r="U1103" s="87" t="n">
        <v>45874</v>
      </c>
      <c r="V1103" s="3" t="inlineStr">
        <is>
          <t>25</t>
        </is>
      </c>
      <c r="W1103" s="4" t="n">
        <v>45874</v>
      </c>
      <c r="X1103" s="4" t="inlineStr">
        <is>
          <t>PHILIPPOS  CONSTANTINIDES
TRADING CO.LTD</t>
        </is>
      </c>
    </row>
    <row r="1104" ht="24" customHeight="1">
      <c r="A1104" s="2">
        <f>+D1104-S1104</f>
        <v/>
      </c>
      <c r="B1104" s="80" t="n">
        <v>2763</v>
      </c>
      <c r="C1104" s="66" t="n">
        <v>45744</v>
      </c>
      <c r="D1104" s="2" t="n">
        <v>1</v>
      </c>
      <c r="E1104" s="3" t="inlineStr">
        <is>
          <t>FUCILE SEMIAUTOMATICO</t>
        </is>
      </c>
      <c r="F1104" s="3" t="inlineStr">
        <is>
          <t>20</t>
        </is>
      </c>
      <c r="G1104" s="3" t="inlineStr">
        <is>
          <t>BERETTA</t>
        </is>
      </c>
      <c r="H1104" s="65" t="inlineStr">
        <is>
          <t>A400 UPLAND 66CM</t>
        </is>
      </c>
      <c r="I1104" s="65" t="inlineStr">
        <is>
          <t>SU032510</t>
        </is>
      </c>
      <c r="J1104" s="65" t="inlineStr">
        <is>
          <t>XB335342</t>
        </is>
      </c>
      <c r="K1104" s="65" t="inlineStr">
        <is>
          <t>N/D</t>
        </is>
      </c>
      <c r="L1104" s="127" t="inlineStr">
        <is>
          <t>ARMERIA BRIGNOLI SILVIO &amp; C SNC</t>
        </is>
      </c>
      <c r="M1104" s="5" t="n">
        <v>1240</v>
      </c>
      <c r="N1104" s="5" t="n"/>
      <c r="O1104" s="5">
        <f>+M1104+N1104</f>
        <v/>
      </c>
      <c r="P1104" s="4" t="n">
        <v>45744</v>
      </c>
      <c r="Q1104" s="87" t="n">
        <v>45741</v>
      </c>
      <c r="R1104" s="5" t="n">
        <v>1302</v>
      </c>
      <c r="S1104" s="2" t="n">
        <v>1</v>
      </c>
      <c r="T1104" s="3" t="inlineStr">
        <is>
          <t>CA04954OS</t>
        </is>
      </c>
      <c r="U1104" s="87" t="n">
        <v>45874</v>
      </c>
      <c r="V1104" s="3" t="inlineStr">
        <is>
          <t>25</t>
        </is>
      </c>
      <c r="W1104" s="4" t="n">
        <v>45874</v>
      </c>
      <c r="X1104" s="4" t="inlineStr">
        <is>
          <t>PHILIPPOS  CONSTANTINIDES
TRADING CO.LTD</t>
        </is>
      </c>
    </row>
    <row r="1105" ht="24" customHeight="1">
      <c r="A1105" s="2">
        <f>+D1105-S1105</f>
        <v/>
      </c>
      <c r="B1105" s="80" t="n">
        <v>2764</v>
      </c>
      <c r="C1105" s="66" t="n">
        <v>45744</v>
      </c>
      <c r="D1105" s="2" t="n">
        <v>1</v>
      </c>
      <c r="E1105" s="3" t="inlineStr">
        <is>
          <t>PISTOLA SEMIAUTOMATICA</t>
        </is>
      </c>
      <c r="F1105" s="3" t="inlineStr">
        <is>
          <t>9X19</t>
        </is>
      </c>
      <c r="G1105" s="3" t="inlineStr">
        <is>
          <t>BERETTA</t>
        </is>
      </c>
      <c r="H1105" s="65" t="inlineStr">
        <is>
          <t>PMX-S</t>
        </is>
      </c>
      <c r="I1105" s="65" t="inlineStr">
        <is>
          <t>PMS01782X</t>
        </is>
      </c>
      <c r="J1105" s="65" t="inlineStr">
        <is>
          <t>N/D</t>
        </is>
      </c>
      <c r="K1105" s="65" t="inlineStr">
        <is>
          <t>N/D</t>
        </is>
      </c>
      <c r="L1105" s="127" t="inlineStr">
        <is>
          <t>ARMERIA BRIGNOLI SILVIO &amp; C SNC</t>
        </is>
      </c>
      <c r="M1105" s="5" t="n">
        <v>950</v>
      </c>
      <c r="N1105" s="5" t="n"/>
      <c r="O1105" s="5">
        <f>+M1105+N1105</f>
        <v/>
      </c>
      <c r="P1105" s="4" t="n">
        <v>45744</v>
      </c>
      <c r="Q1105" s="87" t="n">
        <v>45741</v>
      </c>
      <c r="R1105" s="5" t="n">
        <v>998</v>
      </c>
      <c r="S1105" s="2" t="n">
        <v>1</v>
      </c>
      <c r="T1105" s="3" t="inlineStr">
        <is>
          <t>CA04954OS</t>
        </is>
      </c>
      <c r="U1105" s="87" t="n">
        <v>45874</v>
      </c>
      <c r="V1105" s="3" t="inlineStr">
        <is>
          <t>25</t>
        </is>
      </c>
      <c r="W1105" s="4" t="n">
        <v>45874</v>
      </c>
      <c r="X1105" s="4" t="inlineStr">
        <is>
          <t>PHILIPPOS  CONSTANTINIDES
TRADING CO.LTD</t>
        </is>
      </c>
    </row>
    <row r="1106" ht="24" customHeight="1">
      <c r="A1106" s="2">
        <f>+D1106-S1106</f>
        <v/>
      </c>
      <c r="B1106" s="80" t="n">
        <v>2765</v>
      </c>
      <c r="C1106" s="66" t="n">
        <v>45755</v>
      </c>
      <c r="D1106" s="2" t="n">
        <v>1</v>
      </c>
      <c r="E1106" s="3" t="inlineStr">
        <is>
          <t>CARABINA AD ARIA COMPRESSA</t>
        </is>
      </c>
      <c r="F1106" s="3" t="inlineStr">
        <is>
          <t>4.5</t>
        </is>
      </c>
      <c r="G1106" s="3" t="inlineStr">
        <is>
          <t>STOEGER</t>
        </is>
      </c>
      <c r="H1106" s="65" t="inlineStr">
        <is>
          <t>STO RX5 420 SYNTH MIRE</t>
        </is>
      </c>
      <c r="I1106" s="65" t="inlineStr">
        <is>
          <t>STG2231151</t>
        </is>
      </c>
      <c r="J1106" s="65" t="inlineStr">
        <is>
          <t>N/D</t>
        </is>
      </c>
      <c r="K1106" s="65" t="inlineStr">
        <is>
          <t>N/D</t>
        </is>
      </c>
      <c r="L1106" s="127" t="inlineStr">
        <is>
          <t>BENELLI ARMI SPA</t>
        </is>
      </c>
      <c r="M1106" s="5" t="n">
        <v>53</v>
      </c>
      <c r="N1106" s="5" t="n"/>
      <c r="O1106" s="5">
        <f>+M1106+N1106</f>
        <v/>
      </c>
      <c r="P1106" s="4" t="n">
        <v>45752</v>
      </c>
      <c r="Q1106" s="87" t="n">
        <v>45741</v>
      </c>
      <c r="R1106" s="5" t="n">
        <v>62.15</v>
      </c>
      <c r="S1106" s="2" t="n">
        <v>1</v>
      </c>
      <c r="T1106" s="3" t="inlineStr">
        <is>
          <t>6B/2025/2S</t>
        </is>
      </c>
      <c r="U1106" s="86" t="n">
        <v>45771</v>
      </c>
      <c r="V1106" s="3" t="inlineStr">
        <is>
          <t>7</t>
        </is>
      </c>
      <c r="W1106" s="111" t="n">
        <v>45771</v>
      </c>
      <c r="X1106" s="134" t="inlineStr">
        <is>
          <t xml:space="preserve">BIN HUMAID NATIONAL TRAD. CO. </t>
        </is>
      </c>
    </row>
    <row r="1107" ht="24" customHeight="1">
      <c r="A1107" s="2">
        <f>+D1107-S1107</f>
        <v/>
      </c>
      <c r="B1107" s="80" t="n">
        <v>2766</v>
      </c>
      <c r="C1107" s="66" t="n">
        <v>45755</v>
      </c>
      <c r="D1107" s="2" t="n">
        <v>1</v>
      </c>
      <c r="E1107" s="3" t="inlineStr">
        <is>
          <t>CARABINA AD ARIA COMPRESSA</t>
        </is>
      </c>
      <c r="F1107" s="3" t="inlineStr">
        <is>
          <t>4.5</t>
        </is>
      </c>
      <c r="G1107" s="3" t="inlineStr">
        <is>
          <t>STOEGER</t>
        </is>
      </c>
      <c r="H1107" s="65" t="inlineStr">
        <is>
          <t>STO RX5 FULL 420 SYNTH MIRE</t>
        </is>
      </c>
      <c r="I1107" s="65" t="inlineStr">
        <is>
          <t>STG2231152</t>
        </is>
      </c>
      <c r="J1107" s="65" t="inlineStr">
        <is>
          <t>N/D</t>
        </is>
      </c>
      <c r="K1107" s="65" t="inlineStr">
        <is>
          <t>N/D</t>
        </is>
      </c>
      <c r="L1107" s="127" t="inlineStr">
        <is>
          <t>BENELLI ARMI SPA</t>
        </is>
      </c>
      <c r="M1107" s="5" t="n">
        <v>53</v>
      </c>
      <c r="N1107" s="5" t="n"/>
      <c r="O1107" s="5">
        <f>+M1107+N1107</f>
        <v/>
      </c>
      <c r="P1107" s="4" t="n">
        <v>45752</v>
      </c>
      <c r="Q1107" s="87" t="n">
        <v>45741</v>
      </c>
      <c r="R1107" s="5" t="n">
        <v>62.15</v>
      </c>
      <c r="S1107" s="2" t="n">
        <v>1</v>
      </c>
      <c r="T1107" s="3" t="inlineStr">
        <is>
          <t>6B/2025/2S</t>
        </is>
      </c>
      <c r="U1107" s="86" t="n">
        <v>45771</v>
      </c>
      <c r="V1107" s="3" t="inlineStr">
        <is>
          <t>7</t>
        </is>
      </c>
      <c r="W1107" s="111" t="n">
        <v>45771</v>
      </c>
      <c r="X1107" s="134" t="inlineStr">
        <is>
          <t xml:space="preserve">BIN HUMAID NATIONAL TRAD. CO. </t>
        </is>
      </c>
    </row>
    <row r="1108" ht="24" customHeight="1">
      <c r="A1108" s="2">
        <f>+D1108-S1108</f>
        <v/>
      </c>
      <c r="B1108" s="80" t="n">
        <v>2767</v>
      </c>
      <c r="C1108" s="66" t="n">
        <v>45755</v>
      </c>
      <c r="D1108" s="2" t="n">
        <v>1</v>
      </c>
      <c r="E1108" s="3" t="inlineStr">
        <is>
          <t>CARABINA AD ARIA COMPRESSA</t>
        </is>
      </c>
      <c r="F1108" s="3" t="inlineStr">
        <is>
          <t>4.5</t>
        </is>
      </c>
      <c r="G1108" s="3" t="inlineStr">
        <is>
          <t>STOEGER</t>
        </is>
      </c>
      <c r="H1108" s="65" t="inlineStr">
        <is>
          <t>STO RX5 FULL 420 SYNTH MIRE</t>
        </is>
      </c>
      <c r="I1108" s="65" t="inlineStr">
        <is>
          <t>STG2231159</t>
        </is>
      </c>
      <c r="J1108" s="65" t="inlineStr">
        <is>
          <t>N/D</t>
        </is>
      </c>
      <c r="K1108" s="65" t="inlineStr">
        <is>
          <t>N/D</t>
        </is>
      </c>
      <c r="L1108" s="127" t="inlineStr">
        <is>
          <t>BENELLI ARMI SPA</t>
        </is>
      </c>
      <c r="M1108" s="5" t="n">
        <v>53</v>
      </c>
      <c r="N1108" s="5" t="n"/>
      <c r="O1108" s="5">
        <f>+M1108+N1108</f>
        <v/>
      </c>
      <c r="P1108" s="4" t="n">
        <v>45752</v>
      </c>
      <c r="Q1108" s="87" t="n">
        <v>45741</v>
      </c>
      <c r="R1108" s="5" t="n">
        <v>62.15</v>
      </c>
      <c r="S1108" s="2" t="n">
        <v>1</v>
      </c>
      <c r="T1108" s="3" t="inlineStr">
        <is>
          <t>6B/2025/2S</t>
        </is>
      </c>
      <c r="U1108" s="86" t="n">
        <v>45771</v>
      </c>
      <c r="V1108" s="3" t="inlineStr">
        <is>
          <t>7</t>
        </is>
      </c>
      <c r="W1108" s="111" t="n">
        <v>45771</v>
      </c>
      <c r="X1108" s="134" t="inlineStr">
        <is>
          <t xml:space="preserve">BIN HUMAID NATIONAL TRAD. CO. </t>
        </is>
      </c>
    </row>
    <row r="1109" ht="24" customHeight="1">
      <c r="A1109" s="2">
        <f>+D1109-S1109</f>
        <v/>
      </c>
      <c r="B1109" s="80" t="n">
        <v>2768</v>
      </c>
      <c r="C1109" s="66" t="n">
        <v>45755</v>
      </c>
      <c r="D1109" s="2" t="n">
        <v>1</v>
      </c>
      <c r="E1109" s="3" t="inlineStr">
        <is>
          <t>CARABINA AD ARIA COMPRESSA</t>
        </is>
      </c>
      <c r="F1109" s="3" t="inlineStr">
        <is>
          <t>4.5</t>
        </is>
      </c>
      <c r="G1109" s="3" t="inlineStr">
        <is>
          <t>STOEGER</t>
        </is>
      </c>
      <c r="H1109" s="65" t="inlineStr">
        <is>
          <t>STO RX5 FULL 420 SYNTH MIRE</t>
        </is>
      </c>
      <c r="I1109" s="65" t="inlineStr">
        <is>
          <t>STG2231161</t>
        </is>
      </c>
      <c r="J1109" s="65" t="inlineStr">
        <is>
          <t>N/D</t>
        </is>
      </c>
      <c r="K1109" s="65" t="inlineStr">
        <is>
          <t>N/D</t>
        </is>
      </c>
      <c r="L1109" s="127" t="inlineStr">
        <is>
          <t>BENELLI ARMI SPA</t>
        </is>
      </c>
      <c r="M1109" s="5" t="n">
        <v>53</v>
      </c>
      <c r="N1109" s="5" t="n"/>
      <c r="O1109" s="5">
        <f>+M1109+N1109</f>
        <v/>
      </c>
      <c r="P1109" s="4" t="n">
        <v>45752</v>
      </c>
      <c r="Q1109" s="87" t="n">
        <v>45741</v>
      </c>
      <c r="R1109" s="5" t="n">
        <v>62.15</v>
      </c>
      <c r="S1109" s="2" t="n">
        <v>1</v>
      </c>
      <c r="T1109" s="3" t="inlineStr">
        <is>
          <t>6B/2025/2S</t>
        </is>
      </c>
      <c r="U1109" s="86" t="n">
        <v>45771</v>
      </c>
      <c r="V1109" s="3" t="inlineStr">
        <is>
          <t>7</t>
        </is>
      </c>
      <c r="W1109" s="111" t="n">
        <v>45771</v>
      </c>
      <c r="X1109" s="134" t="inlineStr">
        <is>
          <t xml:space="preserve">BIN HUMAID NATIONAL TRAD. CO. </t>
        </is>
      </c>
    </row>
    <row r="1110" ht="24" customHeight="1">
      <c r="A1110" s="2">
        <f>+D1110-S1110</f>
        <v/>
      </c>
      <c r="B1110" s="80" t="n">
        <v>2769</v>
      </c>
      <c r="C1110" s="66" t="n">
        <v>45755</v>
      </c>
      <c r="D1110" s="2" t="n">
        <v>1</v>
      </c>
      <c r="E1110" s="3" t="inlineStr">
        <is>
          <t>CARABINA AD ARIA COMPRESSA</t>
        </is>
      </c>
      <c r="F1110" s="3" t="inlineStr">
        <is>
          <t>4.5</t>
        </is>
      </c>
      <c r="G1110" s="3" t="inlineStr">
        <is>
          <t>STOEGER</t>
        </is>
      </c>
      <c r="H1110" s="65" t="inlineStr">
        <is>
          <t>STO RX5 FULL 420 SYNTH MIRE</t>
        </is>
      </c>
      <c r="I1110" s="65" t="inlineStr">
        <is>
          <t>STG2231175</t>
        </is>
      </c>
      <c r="J1110" s="65" t="inlineStr">
        <is>
          <t>N/D</t>
        </is>
      </c>
      <c r="K1110" s="65" t="inlineStr">
        <is>
          <t>N/D</t>
        </is>
      </c>
      <c r="L1110" s="127" t="inlineStr">
        <is>
          <t>BENELLI ARMI SPA</t>
        </is>
      </c>
      <c r="M1110" s="5" t="n">
        <v>53</v>
      </c>
      <c r="N1110" s="5" t="n"/>
      <c r="O1110" s="5">
        <f>+M1110+N1110</f>
        <v/>
      </c>
      <c r="P1110" s="4" t="n">
        <v>45752</v>
      </c>
      <c r="Q1110" s="87" t="n">
        <v>45741</v>
      </c>
      <c r="R1110" s="5" t="n">
        <v>62.15</v>
      </c>
      <c r="S1110" s="2" t="n">
        <v>1</v>
      </c>
      <c r="T1110" s="3" t="inlineStr">
        <is>
          <t>6B/2025/2S</t>
        </is>
      </c>
      <c r="U1110" s="86" t="n">
        <v>45771</v>
      </c>
      <c r="V1110" s="3" t="inlineStr">
        <is>
          <t>7</t>
        </is>
      </c>
      <c r="W1110" s="111" t="n">
        <v>45771</v>
      </c>
      <c r="X1110" s="134" t="inlineStr">
        <is>
          <t xml:space="preserve">BIN HUMAID NATIONAL TRAD. CO. </t>
        </is>
      </c>
    </row>
    <row r="1111" ht="24" customHeight="1">
      <c r="A1111" s="2">
        <f>+D1111-S1111</f>
        <v/>
      </c>
      <c r="B1111" s="80" t="n">
        <v>2770</v>
      </c>
      <c r="C1111" s="66" t="n">
        <v>45755</v>
      </c>
      <c r="D1111" s="2" t="n">
        <v>1</v>
      </c>
      <c r="E1111" s="3" t="inlineStr">
        <is>
          <t>CARABINA AD ARIA COMPRESSA</t>
        </is>
      </c>
      <c r="F1111" s="3" t="inlineStr">
        <is>
          <t>4.5</t>
        </is>
      </c>
      <c r="G1111" s="3" t="inlineStr">
        <is>
          <t>STOEGER</t>
        </is>
      </c>
      <c r="H1111" s="65" t="inlineStr">
        <is>
          <t>STO RX5 FULL 420 SYNTH MIRE</t>
        </is>
      </c>
      <c r="I1111" s="65" t="inlineStr">
        <is>
          <t>STG2231181</t>
        </is>
      </c>
      <c r="J1111" s="65" t="inlineStr">
        <is>
          <t>N/D</t>
        </is>
      </c>
      <c r="K1111" s="65" t="inlineStr">
        <is>
          <t>N/D</t>
        </is>
      </c>
      <c r="L1111" s="127" t="inlineStr">
        <is>
          <t>BENELLI ARMI SPA</t>
        </is>
      </c>
      <c r="M1111" s="5" t="n">
        <v>53</v>
      </c>
      <c r="N1111" s="5" t="n"/>
      <c r="O1111" s="5">
        <f>+M1111+N1111</f>
        <v/>
      </c>
      <c r="P1111" s="4" t="n">
        <v>45752</v>
      </c>
      <c r="Q1111" s="87" t="n">
        <v>45741</v>
      </c>
      <c r="R1111" s="5" t="n">
        <v>62.15</v>
      </c>
      <c r="S1111" s="2" t="n">
        <v>1</v>
      </c>
      <c r="T1111" s="3" t="inlineStr">
        <is>
          <t>6B/2025/2S</t>
        </is>
      </c>
      <c r="U1111" s="86" t="n">
        <v>45771</v>
      </c>
      <c r="V1111" s="3" t="inlineStr">
        <is>
          <t>7</t>
        </is>
      </c>
      <c r="W1111" s="111" t="n">
        <v>45771</v>
      </c>
      <c r="X1111" s="134" t="inlineStr">
        <is>
          <t xml:space="preserve">BIN HUMAID NATIONAL TRAD. CO. </t>
        </is>
      </c>
    </row>
    <row r="1112" ht="24" customHeight="1">
      <c r="A1112" s="2">
        <f>+D1112-S1112</f>
        <v/>
      </c>
      <c r="B1112" s="80" t="n">
        <v>2771</v>
      </c>
      <c r="C1112" s="66" t="n">
        <v>45755</v>
      </c>
      <c r="D1112" s="2" t="n">
        <v>1</v>
      </c>
      <c r="E1112" s="3" t="inlineStr">
        <is>
          <t>CARABINA AD ARIA COMPRESSA</t>
        </is>
      </c>
      <c r="F1112" s="3" t="inlineStr">
        <is>
          <t>4.5</t>
        </is>
      </c>
      <c r="G1112" s="3" t="inlineStr">
        <is>
          <t>STOEGER</t>
        </is>
      </c>
      <c r="H1112" s="65" t="inlineStr">
        <is>
          <t>STO RX5 FULL 420 SYNTH MIRE</t>
        </is>
      </c>
      <c r="I1112" s="65" t="inlineStr">
        <is>
          <t>STG2231212</t>
        </is>
      </c>
      <c r="J1112" s="65" t="inlineStr">
        <is>
          <t>N/D</t>
        </is>
      </c>
      <c r="K1112" s="65" t="inlineStr">
        <is>
          <t>N/D</t>
        </is>
      </c>
      <c r="L1112" s="127" t="inlineStr">
        <is>
          <t>BENELLI ARMI SPA</t>
        </is>
      </c>
      <c r="M1112" s="5" t="n">
        <v>53</v>
      </c>
      <c r="N1112" s="5" t="n"/>
      <c r="O1112" s="5">
        <f>+M1112+N1112</f>
        <v/>
      </c>
      <c r="P1112" s="4" t="n">
        <v>45752</v>
      </c>
      <c r="Q1112" s="87" t="n">
        <v>45741</v>
      </c>
      <c r="R1112" s="5" t="n">
        <v>62.15</v>
      </c>
      <c r="S1112" s="2" t="n">
        <v>1</v>
      </c>
      <c r="T1112" s="3" t="inlineStr">
        <is>
          <t>6B/2025/2S</t>
        </is>
      </c>
      <c r="U1112" s="86" t="n">
        <v>45771</v>
      </c>
      <c r="V1112" s="3" t="inlineStr">
        <is>
          <t>7</t>
        </is>
      </c>
      <c r="W1112" s="111" t="n">
        <v>45771</v>
      </c>
      <c r="X1112" s="134" t="inlineStr">
        <is>
          <t xml:space="preserve">BIN HUMAID NATIONAL TRAD. CO. </t>
        </is>
      </c>
    </row>
    <row r="1113" ht="24" customHeight="1">
      <c r="A1113" s="2">
        <f>+D1113-S1113</f>
        <v/>
      </c>
      <c r="B1113" s="80" t="n">
        <v>2772</v>
      </c>
      <c r="C1113" s="66" t="n">
        <v>45755</v>
      </c>
      <c r="D1113" s="2" t="n">
        <v>1</v>
      </c>
      <c r="E1113" s="3" t="inlineStr">
        <is>
          <t>CARABINA AD ARIA COMPRESSA</t>
        </is>
      </c>
      <c r="F1113" s="3" t="inlineStr">
        <is>
          <t>4.5</t>
        </is>
      </c>
      <c r="G1113" s="3" t="inlineStr">
        <is>
          <t>STOEGER</t>
        </is>
      </c>
      <c r="H1113" s="65" t="inlineStr">
        <is>
          <t>STO RX20 FULL 420 GREY MIRE</t>
        </is>
      </c>
      <c r="I1113" s="65" t="inlineStr">
        <is>
          <t>STG21118142</t>
        </is>
      </c>
      <c r="J1113" s="65" t="inlineStr">
        <is>
          <t>N/D</t>
        </is>
      </c>
      <c r="K1113" s="65" t="inlineStr">
        <is>
          <t>N/D</t>
        </is>
      </c>
      <c r="L1113" s="127" t="inlineStr">
        <is>
          <t>BENELLI ARMI SPA</t>
        </is>
      </c>
      <c r="M1113" s="5" t="n">
        <v>76</v>
      </c>
      <c r="N1113" s="5" t="n"/>
      <c r="O1113" s="5">
        <f>+M1113+N1113</f>
        <v/>
      </c>
      <c r="P1113" s="4" t="n">
        <v>45752</v>
      </c>
      <c r="Q1113" s="87" t="n">
        <v>45741</v>
      </c>
      <c r="R1113" s="5" t="n">
        <v>85.88</v>
      </c>
      <c r="S1113" s="2" t="n">
        <v>1</v>
      </c>
      <c r="T1113" s="3" t="inlineStr">
        <is>
          <t>6B/2025/2S</t>
        </is>
      </c>
      <c r="U1113" s="86" t="n">
        <v>45771</v>
      </c>
      <c r="V1113" s="3" t="inlineStr">
        <is>
          <t>7</t>
        </is>
      </c>
      <c r="W1113" s="111" t="n">
        <v>45771</v>
      </c>
      <c r="X1113" s="134" t="inlineStr">
        <is>
          <t xml:space="preserve">BIN HUMAID NATIONAL TRAD. CO. </t>
        </is>
      </c>
    </row>
    <row r="1114" ht="24" customHeight="1">
      <c r="A1114" s="2">
        <f>+D1114-S1114</f>
        <v/>
      </c>
      <c r="B1114" s="80" t="n">
        <v>2773</v>
      </c>
      <c r="C1114" s="66" t="n">
        <v>45755</v>
      </c>
      <c r="D1114" s="2" t="n">
        <v>1</v>
      </c>
      <c r="E1114" s="3" t="inlineStr">
        <is>
          <t>CARABINA AD ARIA COMPRESSA</t>
        </is>
      </c>
      <c r="F1114" s="3" t="inlineStr">
        <is>
          <t>4.5</t>
        </is>
      </c>
      <c r="G1114" s="3" t="inlineStr">
        <is>
          <t>STOEGER</t>
        </is>
      </c>
      <c r="H1114" s="65" t="inlineStr">
        <is>
          <t>STO RX20 FULL 420 GREY MIRE</t>
        </is>
      </c>
      <c r="I1114" s="65" t="inlineStr">
        <is>
          <t>STG21118148</t>
        </is>
      </c>
      <c r="J1114" s="65" t="inlineStr">
        <is>
          <t>N/D</t>
        </is>
      </c>
      <c r="K1114" s="65" t="inlineStr">
        <is>
          <t>N/D</t>
        </is>
      </c>
      <c r="L1114" s="127" t="inlineStr">
        <is>
          <t>BENELLI ARMI SPA</t>
        </is>
      </c>
      <c r="M1114" s="5" t="n">
        <v>76</v>
      </c>
      <c r="N1114" s="5" t="n"/>
      <c r="O1114" s="5">
        <f>+M1114+N1114</f>
        <v/>
      </c>
      <c r="P1114" s="4" t="n">
        <v>45752</v>
      </c>
      <c r="Q1114" s="87" t="n">
        <v>45741</v>
      </c>
      <c r="R1114" s="5" t="n">
        <v>85.88</v>
      </c>
      <c r="S1114" s="2" t="n">
        <v>1</v>
      </c>
      <c r="T1114" s="3" t="inlineStr">
        <is>
          <t>6B/2025/2S</t>
        </is>
      </c>
      <c r="U1114" s="86" t="n">
        <v>45771</v>
      </c>
      <c r="V1114" s="3" t="inlineStr">
        <is>
          <t>7</t>
        </is>
      </c>
      <c r="W1114" s="111" t="n">
        <v>45771</v>
      </c>
      <c r="X1114" s="134" t="inlineStr">
        <is>
          <t xml:space="preserve">BIN HUMAID NATIONAL TRAD. CO. </t>
        </is>
      </c>
    </row>
    <row r="1115" ht="24" customHeight="1">
      <c r="A1115" s="2">
        <f>+D1115-S1115</f>
        <v/>
      </c>
      <c r="B1115" s="80" t="n">
        <v>2774</v>
      </c>
      <c r="C1115" s="66" t="n">
        <v>45755</v>
      </c>
      <c r="D1115" s="2" t="n">
        <v>1</v>
      </c>
      <c r="E1115" s="3" t="inlineStr">
        <is>
          <t>CARABINA AD ARIA COMPRESSA</t>
        </is>
      </c>
      <c r="F1115" s="3" t="inlineStr">
        <is>
          <t>4.5</t>
        </is>
      </c>
      <c r="G1115" s="3" t="inlineStr">
        <is>
          <t>STOEGER</t>
        </is>
      </c>
      <c r="H1115" s="65" t="inlineStr">
        <is>
          <t>STO RX20 FULL 420 GREY MIRE</t>
        </is>
      </c>
      <c r="I1115" s="65" t="inlineStr">
        <is>
          <t>STG21118150</t>
        </is>
      </c>
      <c r="J1115" s="65" t="inlineStr">
        <is>
          <t>N/D</t>
        </is>
      </c>
      <c r="K1115" s="65" t="inlineStr">
        <is>
          <t>N/D</t>
        </is>
      </c>
      <c r="L1115" s="127" t="inlineStr">
        <is>
          <t>BENELLI ARMI SPA</t>
        </is>
      </c>
      <c r="M1115" s="5" t="n">
        <v>76</v>
      </c>
      <c r="N1115" s="5" t="n"/>
      <c r="O1115" s="5">
        <f>+M1115+N1115</f>
        <v/>
      </c>
      <c r="P1115" s="4" t="n">
        <v>45752</v>
      </c>
      <c r="Q1115" s="87" t="n">
        <v>45741</v>
      </c>
      <c r="R1115" s="5" t="n">
        <v>85.88</v>
      </c>
      <c r="S1115" s="2" t="n">
        <v>1</v>
      </c>
      <c r="T1115" s="3" t="inlineStr">
        <is>
          <t>6B/2025/2S</t>
        </is>
      </c>
      <c r="U1115" s="86" t="n">
        <v>45771</v>
      </c>
      <c r="V1115" s="3" t="inlineStr">
        <is>
          <t>7</t>
        </is>
      </c>
      <c r="W1115" s="111" t="n">
        <v>45771</v>
      </c>
      <c r="X1115" s="134" t="inlineStr">
        <is>
          <t xml:space="preserve">BIN HUMAID NATIONAL TRAD. CO. </t>
        </is>
      </c>
    </row>
    <row r="1116" ht="24" customHeight="1">
      <c r="A1116" s="2">
        <f>+D1116-S1116</f>
        <v/>
      </c>
      <c r="B1116" s="80" t="n">
        <v>2775</v>
      </c>
      <c r="C1116" s="66" t="n">
        <v>45755</v>
      </c>
      <c r="D1116" s="2" t="n">
        <v>1</v>
      </c>
      <c r="E1116" s="3" t="inlineStr">
        <is>
          <t>CARABINA AD ARIA COMPRESSA</t>
        </is>
      </c>
      <c r="F1116" s="3" t="inlineStr">
        <is>
          <t>4.5</t>
        </is>
      </c>
      <c r="G1116" s="3" t="inlineStr">
        <is>
          <t>STOEGER</t>
        </is>
      </c>
      <c r="H1116" s="65" t="inlineStr">
        <is>
          <t>STO RX20 FULL 420 GREY MIRE</t>
        </is>
      </c>
      <c r="I1116" s="65" t="inlineStr">
        <is>
          <t>STG21118152</t>
        </is>
      </c>
      <c r="J1116" s="65" t="inlineStr">
        <is>
          <t>N/D</t>
        </is>
      </c>
      <c r="K1116" s="65" t="inlineStr">
        <is>
          <t>N/D</t>
        </is>
      </c>
      <c r="L1116" s="127" t="inlineStr">
        <is>
          <t>BENELLI ARMI SPA</t>
        </is>
      </c>
      <c r="M1116" s="5" t="n">
        <v>76</v>
      </c>
      <c r="N1116" s="5" t="n"/>
      <c r="O1116" s="5">
        <f>+M1116+N1116</f>
        <v/>
      </c>
      <c r="P1116" s="4" t="n">
        <v>45752</v>
      </c>
      <c r="Q1116" s="87" t="n">
        <v>45741</v>
      </c>
      <c r="R1116" s="5" t="n">
        <v>85.88</v>
      </c>
      <c r="S1116" s="2" t="n">
        <v>1</v>
      </c>
      <c r="T1116" s="3" t="inlineStr">
        <is>
          <t>6B/2025/2S</t>
        </is>
      </c>
      <c r="U1116" s="86" t="n">
        <v>45771</v>
      </c>
      <c r="V1116" s="3" t="inlineStr">
        <is>
          <t>7</t>
        </is>
      </c>
      <c r="W1116" s="111" t="n">
        <v>45771</v>
      </c>
      <c r="X1116" s="134" t="inlineStr">
        <is>
          <t xml:space="preserve">BIN HUMAID NATIONAL TRAD. CO. </t>
        </is>
      </c>
    </row>
    <row r="1117" ht="24" customHeight="1">
      <c r="A1117" s="2">
        <f>+D1117-S1117</f>
        <v/>
      </c>
      <c r="B1117" s="80" t="n">
        <v>2776</v>
      </c>
      <c r="C1117" s="66" t="n">
        <v>45755</v>
      </c>
      <c r="D1117" s="2" t="n">
        <v>1</v>
      </c>
      <c r="E1117" s="3" t="inlineStr">
        <is>
          <t>CARABINA AD ARIA COMPRESSA</t>
        </is>
      </c>
      <c r="F1117" s="3" t="inlineStr">
        <is>
          <t>4.5</t>
        </is>
      </c>
      <c r="G1117" s="3" t="inlineStr">
        <is>
          <t>STOEGER</t>
        </is>
      </c>
      <c r="H1117" s="65" t="inlineStr">
        <is>
          <t>STO RX20 FULL 420 GREY MIRE</t>
        </is>
      </c>
      <c r="I1117" s="65" t="inlineStr">
        <is>
          <t>STG21118157</t>
        </is>
      </c>
      <c r="J1117" s="65" t="inlineStr">
        <is>
          <t>N/D</t>
        </is>
      </c>
      <c r="K1117" s="65" t="inlineStr">
        <is>
          <t>N/D</t>
        </is>
      </c>
      <c r="L1117" s="127" t="inlineStr">
        <is>
          <t>BENELLI ARMI SPA</t>
        </is>
      </c>
      <c r="M1117" s="5" t="n">
        <v>76</v>
      </c>
      <c r="N1117" s="5" t="n"/>
      <c r="O1117" s="5">
        <f>+M1117+N1117</f>
        <v/>
      </c>
      <c r="P1117" s="4" t="n">
        <v>45752</v>
      </c>
      <c r="Q1117" s="87" t="n">
        <v>45741</v>
      </c>
      <c r="R1117" s="5" t="n">
        <v>85.88</v>
      </c>
      <c r="S1117" s="2" t="n">
        <v>1</v>
      </c>
      <c r="T1117" s="3" t="inlineStr">
        <is>
          <t>6B/2025/2S</t>
        </is>
      </c>
      <c r="U1117" s="86" t="n">
        <v>45771</v>
      </c>
      <c r="V1117" s="3" t="inlineStr">
        <is>
          <t>7</t>
        </is>
      </c>
      <c r="W1117" s="111" t="n">
        <v>45771</v>
      </c>
      <c r="X1117" s="134" t="inlineStr">
        <is>
          <t xml:space="preserve">BIN HUMAID NATIONAL TRAD. CO. </t>
        </is>
      </c>
    </row>
    <row r="1118" ht="24" customHeight="1">
      <c r="A1118" s="2">
        <f>+D1118-S1118</f>
        <v/>
      </c>
      <c r="B1118" s="80" t="n">
        <v>2777</v>
      </c>
      <c r="C1118" s="66" t="n">
        <v>45755</v>
      </c>
      <c r="D1118" s="2" t="n">
        <v>1</v>
      </c>
      <c r="E1118" s="3" t="inlineStr">
        <is>
          <t>CARABINA AD ARIA COMPRESSA</t>
        </is>
      </c>
      <c r="F1118" s="3" t="inlineStr">
        <is>
          <t>4.5</t>
        </is>
      </c>
      <c r="G1118" s="3" t="inlineStr">
        <is>
          <t>STOEGER</t>
        </is>
      </c>
      <c r="H1118" s="65" t="inlineStr">
        <is>
          <t>STO RX20 FULL 420 GREY MIRE</t>
        </is>
      </c>
      <c r="I1118" s="65" t="inlineStr">
        <is>
          <t>STG21118170</t>
        </is>
      </c>
      <c r="J1118" s="65" t="inlineStr">
        <is>
          <t>N/D</t>
        </is>
      </c>
      <c r="K1118" s="65" t="inlineStr">
        <is>
          <t>N/D</t>
        </is>
      </c>
      <c r="L1118" s="127" t="inlineStr">
        <is>
          <t>BENELLI ARMI SPA</t>
        </is>
      </c>
      <c r="M1118" s="5" t="n">
        <v>76</v>
      </c>
      <c r="N1118" s="5" t="n"/>
      <c r="O1118" s="5">
        <f>+M1118+N1118</f>
        <v/>
      </c>
      <c r="P1118" s="4" t="n">
        <v>45752</v>
      </c>
      <c r="Q1118" s="87" t="n">
        <v>45741</v>
      </c>
      <c r="R1118" s="5" t="n">
        <v>85.88</v>
      </c>
      <c r="S1118" s="2" t="n">
        <v>1</v>
      </c>
      <c r="T1118" s="3" t="inlineStr">
        <is>
          <t>6B/2025/2S</t>
        </is>
      </c>
      <c r="U1118" s="86" t="n">
        <v>45771</v>
      </c>
      <c r="V1118" s="3" t="inlineStr">
        <is>
          <t>7</t>
        </is>
      </c>
      <c r="W1118" s="111" t="n">
        <v>45771</v>
      </c>
      <c r="X1118" s="134" t="inlineStr">
        <is>
          <t xml:space="preserve">BIN HUMAID NATIONAL TRAD. CO. </t>
        </is>
      </c>
    </row>
    <row r="1119" ht="24" customHeight="1">
      <c r="A1119" s="2">
        <f>+D1119-S1119</f>
        <v/>
      </c>
      <c r="B1119" s="80" t="n">
        <v>2778</v>
      </c>
      <c r="C1119" s="66" t="n">
        <v>45755</v>
      </c>
      <c r="D1119" s="2" t="n">
        <v>1</v>
      </c>
      <c r="E1119" s="3" t="inlineStr">
        <is>
          <t>CARABINA AD ARIA COMPRESSA</t>
        </is>
      </c>
      <c r="F1119" s="3" t="inlineStr">
        <is>
          <t>4.5</t>
        </is>
      </c>
      <c r="G1119" s="3" t="inlineStr">
        <is>
          <t>STOEGER</t>
        </is>
      </c>
      <c r="H1119" s="65" t="inlineStr">
        <is>
          <t>STO RX20 FULL 420 GREY MIRE</t>
        </is>
      </c>
      <c r="I1119" s="65" t="inlineStr">
        <is>
          <t>STG21118171</t>
        </is>
      </c>
      <c r="J1119" s="65" t="inlineStr">
        <is>
          <t>N/D</t>
        </is>
      </c>
      <c r="K1119" s="65" t="inlineStr">
        <is>
          <t>N/D</t>
        </is>
      </c>
      <c r="L1119" s="127" t="inlineStr">
        <is>
          <t>BENELLI ARMI SPA</t>
        </is>
      </c>
      <c r="M1119" s="5" t="n">
        <v>76</v>
      </c>
      <c r="N1119" s="5" t="n"/>
      <c r="O1119" s="5">
        <f>+M1119+N1119</f>
        <v/>
      </c>
      <c r="P1119" s="4" t="n">
        <v>45752</v>
      </c>
      <c r="Q1119" s="87" t="n">
        <v>45741</v>
      </c>
      <c r="R1119" s="5" t="n">
        <v>85.88</v>
      </c>
      <c r="S1119" s="2" t="n">
        <v>1</v>
      </c>
      <c r="T1119" s="3" t="inlineStr">
        <is>
          <t>6B/2025/2S</t>
        </is>
      </c>
      <c r="U1119" s="86" t="n">
        <v>45771</v>
      </c>
      <c r="V1119" s="3" t="inlineStr">
        <is>
          <t>7</t>
        </is>
      </c>
      <c r="W1119" s="111" t="n">
        <v>45771</v>
      </c>
      <c r="X1119" s="134" t="inlineStr">
        <is>
          <t xml:space="preserve">BIN HUMAID NATIONAL TRAD. CO. </t>
        </is>
      </c>
    </row>
    <row r="1120" ht="24" customHeight="1">
      <c r="A1120" s="2">
        <f>+D1120-S1120</f>
        <v/>
      </c>
      <c r="B1120" s="80" t="n">
        <v>2779</v>
      </c>
      <c r="C1120" s="66" t="n">
        <v>45755</v>
      </c>
      <c r="D1120" s="2" t="n">
        <v>1</v>
      </c>
      <c r="E1120" s="3" t="inlineStr">
        <is>
          <t>CARABINA AD ARIA COMPRESSA</t>
        </is>
      </c>
      <c r="F1120" s="3" t="inlineStr">
        <is>
          <t>4.5</t>
        </is>
      </c>
      <c r="G1120" s="3" t="inlineStr">
        <is>
          <t>STOEGER</t>
        </is>
      </c>
      <c r="H1120" s="65" t="inlineStr">
        <is>
          <t>STO RX20 FULL 420 GREY MIRE</t>
        </is>
      </c>
      <c r="I1120" s="65" t="inlineStr">
        <is>
          <t>STG21118172</t>
        </is>
      </c>
      <c r="J1120" s="65" t="inlineStr">
        <is>
          <t>N/D</t>
        </is>
      </c>
      <c r="K1120" s="65" t="inlineStr">
        <is>
          <t>N/D</t>
        </is>
      </c>
      <c r="L1120" s="127" t="inlineStr">
        <is>
          <t>BENELLI ARMI SPA</t>
        </is>
      </c>
      <c r="M1120" s="5" t="n">
        <v>76</v>
      </c>
      <c r="N1120" s="5" t="n"/>
      <c r="O1120" s="5">
        <f>+M1120+N1120</f>
        <v/>
      </c>
      <c r="P1120" s="4" t="n">
        <v>45752</v>
      </c>
      <c r="Q1120" s="87" t="n">
        <v>45741</v>
      </c>
      <c r="R1120" s="5" t="n">
        <v>85.88</v>
      </c>
      <c r="S1120" s="2" t="n">
        <v>1</v>
      </c>
      <c r="T1120" s="3" t="inlineStr">
        <is>
          <t>6B/2025/2S</t>
        </is>
      </c>
      <c r="U1120" s="86" t="n">
        <v>45771</v>
      </c>
      <c r="V1120" s="3" t="inlineStr">
        <is>
          <t>7</t>
        </is>
      </c>
      <c r="W1120" s="111" t="n">
        <v>45771</v>
      </c>
      <c r="X1120" s="134" t="inlineStr">
        <is>
          <t xml:space="preserve">BIN HUMAID NATIONAL TRAD. CO. </t>
        </is>
      </c>
    </row>
    <row r="1121" ht="24" customHeight="1">
      <c r="A1121" s="2">
        <f>+D1121-S1121</f>
        <v/>
      </c>
      <c r="B1121" s="80" t="n">
        <v>2780</v>
      </c>
      <c r="C1121" s="66" t="n">
        <v>45755</v>
      </c>
      <c r="D1121" s="2" t="n">
        <v>1</v>
      </c>
      <c r="E1121" s="3" t="inlineStr">
        <is>
          <t>CARABINA AD ARIA COMPRESSA</t>
        </is>
      </c>
      <c r="F1121" s="3" t="inlineStr">
        <is>
          <t>4.5</t>
        </is>
      </c>
      <c r="G1121" s="3" t="inlineStr">
        <is>
          <t>STOEGER</t>
        </is>
      </c>
      <c r="H1121" s="65" t="inlineStr">
        <is>
          <t>STO RX20 FULL 420 GREY MIRE</t>
        </is>
      </c>
      <c r="I1121" s="65" t="inlineStr">
        <is>
          <t>STG21118204</t>
        </is>
      </c>
      <c r="J1121" s="65" t="inlineStr">
        <is>
          <t>N/D</t>
        </is>
      </c>
      <c r="K1121" s="65" t="inlineStr">
        <is>
          <t>N/D</t>
        </is>
      </c>
      <c r="L1121" s="127" t="inlineStr">
        <is>
          <t>BENELLI ARMI SPA</t>
        </is>
      </c>
      <c r="M1121" s="5" t="n">
        <v>76</v>
      </c>
      <c r="N1121" s="5" t="n"/>
      <c r="O1121" s="5">
        <f>+M1121+N1121</f>
        <v/>
      </c>
      <c r="P1121" s="4" t="n">
        <v>45752</v>
      </c>
      <c r="Q1121" s="87" t="n">
        <v>45741</v>
      </c>
      <c r="R1121" s="5" t="n">
        <v>85.88</v>
      </c>
      <c r="S1121" s="2" t="n">
        <v>1</v>
      </c>
      <c r="T1121" s="3" t="inlineStr">
        <is>
          <t>6B/2025/2S</t>
        </is>
      </c>
      <c r="U1121" s="86" t="n">
        <v>45771</v>
      </c>
      <c r="V1121" s="3" t="inlineStr">
        <is>
          <t>7</t>
        </is>
      </c>
      <c r="W1121" s="111" t="n">
        <v>45771</v>
      </c>
      <c r="X1121" s="134" t="inlineStr">
        <is>
          <t xml:space="preserve">BIN HUMAID NATIONAL TRAD. CO. </t>
        </is>
      </c>
    </row>
    <row r="1122" ht="24" customHeight="1">
      <c r="A1122" s="2">
        <f>+D1122-S1122</f>
        <v/>
      </c>
      <c r="B1122" s="80" t="n">
        <v>2781</v>
      </c>
      <c r="C1122" s="66" t="n">
        <v>45755</v>
      </c>
      <c r="D1122" s="2" t="n">
        <v>1</v>
      </c>
      <c r="E1122" s="3" t="inlineStr">
        <is>
          <t>CARABINA AD ARIA COMPRESSA</t>
        </is>
      </c>
      <c r="F1122" s="3" t="inlineStr">
        <is>
          <t>4.5</t>
        </is>
      </c>
      <c r="G1122" s="3" t="inlineStr">
        <is>
          <t>STOEGER</t>
        </is>
      </c>
      <c r="H1122" s="65" t="inlineStr">
        <is>
          <t>STO RX20 FULL 420 GREY MIRE</t>
        </is>
      </c>
      <c r="I1122" s="65" t="inlineStr">
        <is>
          <t>STG21118208</t>
        </is>
      </c>
      <c r="J1122" s="65" t="inlineStr">
        <is>
          <t>N/D</t>
        </is>
      </c>
      <c r="K1122" s="65" t="inlineStr">
        <is>
          <t>N/D</t>
        </is>
      </c>
      <c r="L1122" s="127" t="inlineStr">
        <is>
          <t>BENELLI ARMI SPA</t>
        </is>
      </c>
      <c r="M1122" s="5" t="n">
        <v>76</v>
      </c>
      <c r="N1122" s="5" t="n"/>
      <c r="O1122" s="5">
        <f>+M1122+N1122</f>
        <v/>
      </c>
      <c r="P1122" s="4" t="n">
        <v>45752</v>
      </c>
      <c r="Q1122" s="87" t="n">
        <v>45741</v>
      </c>
      <c r="R1122" s="5" t="n">
        <v>85.88</v>
      </c>
      <c r="S1122" s="2" t="n">
        <v>1</v>
      </c>
      <c r="T1122" s="3" t="inlineStr">
        <is>
          <t>6B/2025/2S</t>
        </is>
      </c>
      <c r="U1122" s="86" t="n">
        <v>45771</v>
      </c>
      <c r="V1122" s="3" t="inlineStr">
        <is>
          <t>7</t>
        </is>
      </c>
      <c r="W1122" s="111" t="n">
        <v>45771</v>
      </c>
      <c r="X1122" s="134" t="inlineStr">
        <is>
          <t xml:space="preserve">BIN HUMAID NATIONAL TRAD. CO. </t>
        </is>
      </c>
    </row>
    <row r="1123" ht="24" customHeight="1">
      <c r="A1123" s="2">
        <f>+D1123-S1123</f>
        <v/>
      </c>
      <c r="B1123" s="80" t="n">
        <v>2782</v>
      </c>
      <c r="C1123" s="66" t="n">
        <v>45755</v>
      </c>
      <c r="D1123" s="2" t="n">
        <v>1</v>
      </c>
      <c r="E1123" s="3" t="inlineStr">
        <is>
          <t>CARABINA AD ARIA COMPRESSA</t>
        </is>
      </c>
      <c r="F1123" s="3" t="inlineStr">
        <is>
          <t>4.5</t>
        </is>
      </c>
      <c r="G1123" s="3" t="inlineStr">
        <is>
          <t>STOEGER</t>
        </is>
      </c>
      <c r="H1123" s="65" t="inlineStr">
        <is>
          <t>STO RX20 FULL 420 GREY MIRE</t>
        </is>
      </c>
      <c r="I1123" s="65" t="inlineStr">
        <is>
          <t>STG21118210</t>
        </is>
      </c>
      <c r="J1123" s="65" t="inlineStr">
        <is>
          <t>N/D</t>
        </is>
      </c>
      <c r="K1123" s="65" t="inlineStr">
        <is>
          <t>N/D</t>
        </is>
      </c>
      <c r="L1123" s="127" t="inlineStr">
        <is>
          <t>BENELLI ARMI SPA</t>
        </is>
      </c>
      <c r="M1123" s="5" t="n">
        <v>76</v>
      </c>
      <c r="N1123" s="5" t="n"/>
      <c r="O1123" s="5">
        <f>+M1123+N1123</f>
        <v/>
      </c>
      <c r="P1123" s="4" t="n">
        <v>45752</v>
      </c>
      <c r="Q1123" s="87" t="n">
        <v>45741</v>
      </c>
      <c r="R1123" s="5" t="n">
        <v>85.88</v>
      </c>
      <c r="S1123" s="2" t="n">
        <v>1</v>
      </c>
      <c r="T1123" s="3" t="inlineStr">
        <is>
          <t>6B/2025/2S</t>
        </is>
      </c>
      <c r="U1123" s="86" t="n">
        <v>45771</v>
      </c>
      <c r="V1123" s="3" t="inlineStr">
        <is>
          <t>7</t>
        </is>
      </c>
      <c r="W1123" s="111" t="n">
        <v>45771</v>
      </c>
      <c r="X1123" s="134" t="inlineStr">
        <is>
          <t xml:space="preserve">BIN HUMAID NATIONAL TRAD. CO. </t>
        </is>
      </c>
    </row>
    <row r="1124" ht="24" customHeight="1">
      <c r="A1124" s="2">
        <f>+D1124-S1124</f>
        <v/>
      </c>
      <c r="B1124" s="80" t="n">
        <v>2783</v>
      </c>
      <c r="C1124" s="66" t="n">
        <v>45755</v>
      </c>
      <c r="D1124" s="2" t="n">
        <v>1</v>
      </c>
      <c r="E1124" s="3" t="inlineStr">
        <is>
          <t>CARABINA AD ARIA COMPRESSA</t>
        </is>
      </c>
      <c r="F1124" s="3" t="inlineStr">
        <is>
          <t>4.5</t>
        </is>
      </c>
      <c r="G1124" s="3" t="inlineStr">
        <is>
          <t>STOEGER</t>
        </is>
      </c>
      <c r="H1124" s="65" t="inlineStr">
        <is>
          <t>STO RX20 FULL 420 GREY MIRE</t>
        </is>
      </c>
      <c r="I1124" s="65" t="inlineStr">
        <is>
          <t>STG21118241</t>
        </is>
      </c>
      <c r="J1124" s="65" t="inlineStr">
        <is>
          <t>N/D</t>
        </is>
      </c>
      <c r="K1124" s="65" t="inlineStr">
        <is>
          <t>N/D</t>
        </is>
      </c>
      <c r="L1124" s="127" t="inlineStr">
        <is>
          <t>BENELLI ARMI SPA</t>
        </is>
      </c>
      <c r="M1124" s="5" t="n">
        <v>76</v>
      </c>
      <c r="N1124" s="5" t="n"/>
      <c r="O1124" s="5">
        <f>+M1124+N1124</f>
        <v/>
      </c>
      <c r="P1124" s="4" t="n">
        <v>45752</v>
      </c>
      <c r="Q1124" s="87" t="n">
        <v>45741</v>
      </c>
      <c r="R1124" s="5" t="n">
        <v>85.88</v>
      </c>
      <c r="S1124" s="2" t="n">
        <v>1</v>
      </c>
      <c r="T1124" s="3" t="inlineStr">
        <is>
          <t>6B/2025/2S</t>
        </is>
      </c>
      <c r="U1124" s="86" t="n">
        <v>45771</v>
      </c>
      <c r="V1124" s="3" t="inlineStr">
        <is>
          <t>7</t>
        </is>
      </c>
      <c r="W1124" s="111" t="n">
        <v>45771</v>
      </c>
      <c r="X1124" s="134" t="inlineStr">
        <is>
          <t xml:space="preserve">BIN HUMAID NATIONAL TRAD. CO. </t>
        </is>
      </c>
    </row>
    <row r="1125" ht="24" customHeight="1">
      <c r="A1125" s="2">
        <f>+D1125-S1125</f>
        <v/>
      </c>
      <c r="B1125" s="80" t="n">
        <v>2784</v>
      </c>
      <c r="C1125" s="66" t="n">
        <v>45755</v>
      </c>
      <c r="D1125" s="2" t="n">
        <v>1</v>
      </c>
      <c r="E1125" s="3" t="inlineStr">
        <is>
          <t>CARABINA AD ARIA COMPRESSA</t>
        </is>
      </c>
      <c r="F1125" s="3" t="inlineStr">
        <is>
          <t>4.5</t>
        </is>
      </c>
      <c r="G1125" s="3" t="inlineStr">
        <is>
          <t>STOEGER</t>
        </is>
      </c>
      <c r="H1125" s="65" t="inlineStr">
        <is>
          <t>STO RX20 FULL 420 GREY MIRE</t>
        </is>
      </c>
      <c r="I1125" s="65" t="inlineStr">
        <is>
          <t>STG21118243</t>
        </is>
      </c>
      <c r="J1125" s="65" t="inlineStr">
        <is>
          <t>N/D</t>
        </is>
      </c>
      <c r="K1125" s="65" t="inlineStr">
        <is>
          <t>N/D</t>
        </is>
      </c>
      <c r="L1125" s="127" t="inlineStr">
        <is>
          <t>BENELLI ARMI SPA</t>
        </is>
      </c>
      <c r="M1125" s="5" t="n">
        <v>76</v>
      </c>
      <c r="N1125" s="5" t="n"/>
      <c r="O1125" s="5">
        <f>+M1125+N1125</f>
        <v/>
      </c>
      <c r="P1125" s="4" t="n">
        <v>45752</v>
      </c>
      <c r="Q1125" s="87" t="n">
        <v>45741</v>
      </c>
      <c r="R1125" s="5" t="n">
        <v>85.88</v>
      </c>
      <c r="S1125" s="2" t="n">
        <v>1</v>
      </c>
      <c r="T1125" s="3" t="inlineStr">
        <is>
          <t>6B/2025/2S</t>
        </is>
      </c>
      <c r="U1125" s="86" t="n">
        <v>45771</v>
      </c>
      <c r="V1125" s="3" t="inlineStr">
        <is>
          <t>7</t>
        </is>
      </c>
      <c r="W1125" s="111" t="n">
        <v>45771</v>
      </c>
      <c r="X1125" s="134" t="inlineStr">
        <is>
          <t xml:space="preserve">BIN HUMAID NATIONAL TRAD. CO. </t>
        </is>
      </c>
    </row>
    <row r="1126" ht="24" customHeight="1">
      <c r="A1126" s="2">
        <f>+D1126-S1126</f>
        <v/>
      </c>
      <c r="B1126" s="80" t="n">
        <v>2785</v>
      </c>
      <c r="C1126" s="66" t="n">
        <v>45755</v>
      </c>
      <c r="D1126" s="2" t="n">
        <v>1</v>
      </c>
      <c r="E1126" s="3" t="inlineStr">
        <is>
          <t>CARABINA AD ARIA COMPRESSA</t>
        </is>
      </c>
      <c r="F1126" s="3" t="inlineStr">
        <is>
          <t>4.5</t>
        </is>
      </c>
      <c r="G1126" s="3" t="inlineStr">
        <is>
          <t>STOEGER</t>
        </is>
      </c>
      <c r="H1126" s="65" t="inlineStr">
        <is>
          <t>STO RX20 FULL 420 GREY MIRE</t>
        </is>
      </c>
      <c r="I1126" s="65" t="inlineStr">
        <is>
          <t>STG21118244</t>
        </is>
      </c>
      <c r="J1126" s="65" t="inlineStr">
        <is>
          <t>N/D</t>
        </is>
      </c>
      <c r="K1126" s="65" t="inlineStr">
        <is>
          <t>N/D</t>
        </is>
      </c>
      <c r="L1126" s="127" t="inlineStr">
        <is>
          <t>BENELLI ARMI SPA</t>
        </is>
      </c>
      <c r="M1126" s="5" t="n">
        <v>76</v>
      </c>
      <c r="N1126" s="5" t="n"/>
      <c r="O1126" s="5">
        <f>+M1126+N1126</f>
        <v/>
      </c>
      <c r="P1126" s="4" t="n">
        <v>45752</v>
      </c>
      <c r="Q1126" s="87" t="n">
        <v>45741</v>
      </c>
      <c r="R1126" s="5" t="n">
        <v>85.88</v>
      </c>
      <c r="S1126" s="2" t="n">
        <v>1</v>
      </c>
      <c r="T1126" s="3" t="inlineStr">
        <is>
          <t>6B/2025/2S</t>
        </is>
      </c>
      <c r="U1126" s="86" t="n">
        <v>45771</v>
      </c>
      <c r="V1126" s="3" t="inlineStr">
        <is>
          <t>7</t>
        </is>
      </c>
      <c r="W1126" s="111" t="n">
        <v>45771</v>
      </c>
      <c r="X1126" s="134" t="inlineStr">
        <is>
          <t xml:space="preserve">BIN HUMAID NATIONAL TRAD. CO. </t>
        </is>
      </c>
    </row>
    <row r="1127" ht="24" customHeight="1">
      <c r="A1127" s="2">
        <f>+D1127-S1127</f>
        <v/>
      </c>
      <c r="B1127" s="80" t="n">
        <v>2786</v>
      </c>
      <c r="C1127" s="66" t="n">
        <v>45755</v>
      </c>
      <c r="D1127" s="2" t="n">
        <v>1</v>
      </c>
      <c r="E1127" s="3" t="inlineStr">
        <is>
          <t>CARABINA AD ARIA COMPRESSA</t>
        </is>
      </c>
      <c r="F1127" s="3" t="inlineStr">
        <is>
          <t>4.5</t>
        </is>
      </c>
      <c r="G1127" s="3" t="inlineStr">
        <is>
          <t>STOEGER</t>
        </is>
      </c>
      <c r="H1127" s="65" t="inlineStr">
        <is>
          <t>STO RX20 FULL 420 GREY MIRE</t>
        </is>
      </c>
      <c r="I1127" s="65" t="inlineStr">
        <is>
          <t>STG21118283</t>
        </is>
      </c>
      <c r="J1127" s="65" t="inlineStr">
        <is>
          <t>N/D</t>
        </is>
      </c>
      <c r="K1127" s="65" t="inlineStr">
        <is>
          <t>N/D</t>
        </is>
      </c>
      <c r="L1127" s="127" t="inlineStr">
        <is>
          <t>BENELLI ARMI SPA</t>
        </is>
      </c>
      <c r="M1127" s="5" t="n">
        <v>76</v>
      </c>
      <c r="N1127" s="5" t="n"/>
      <c r="O1127" s="5">
        <f>+M1127+N1127</f>
        <v/>
      </c>
      <c r="P1127" s="4" t="n">
        <v>45752</v>
      </c>
      <c r="Q1127" s="87" t="n">
        <v>45741</v>
      </c>
      <c r="R1127" s="5" t="n">
        <v>85.88</v>
      </c>
      <c r="S1127" s="2" t="n">
        <v>1</v>
      </c>
      <c r="T1127" s="3" t="inlineStr">
        <is>
          <t>6B/2025/2S</t>
        </is>
      </c>
      <c r="U1127" s="86" t="n">
        <v>45771</v>
      </c>
      <c r="V1127" s="3" t="inlineStr">
        <is>
          <t>7</t>
        </is>
      </c>
      <c r="W1127" s="111" t="n">
        <v>45771</v>
      </c>
      <c r="X1127" s="134" t="inlineStr">
        <is>
          <t xml:space="preserve">BIN HUMAID NATIONAL TRAD. CO. </t>
        </is>
      </c>
    </row>
    <row r="1128" ht="24" customHeight="1">
      <c r="A1128" s="2">
        <f>+D1128-S1128</f>
        <v/>
      </c>
      <c r="B1128" s="80" t="n">
        <v>2787</v>
      </c>
      <c r="C1128" s="66" t="n">
        <v>45755</v>
      </c>
      <c r="D1128" s="2" t="n">
        <v>1</v>
      </c>
      <c r="E1128" s="3" t="inlineStr">
        <is>
          <t>CARABINA AD ARIA COMPRESSA</t>
        </is>
      </c>
      <c r="F1128" s="3" t="inlineStr">
        <is>
          <t>4.5</t>
        </is>
      </c>
      <c r="G1128" s="3" t="inlineStr">
        <is>
          <t>STOEGER</t>
        </is>
      </c>
      <c r="H1128" s="65" t="inlineStr">
        <is>
          <t>STO RX20 FULL 420 GREY MIRE</t>
        </is>
      </c>
      <c r="I1128" s="65" t="inlineStr">
        <is>
          <t>STG21118285</t>
        </is>
      </c>
      <c r="J1128" s="65" t="inlineStr">
        <is>
          <t>N/D</t>
        </is>
      </c>
      <c r="K1128" s="65" t="inlineStr">
        <is>
          <t>N/D</t>
        </is>
      </c>
      <c r="L1128" s="127" t="inlineStr">
        <is>
          <t>BENELLI ARMI SPA</t>
        </is>
      </c>
      <c r="M1128" s="5" t="n">
        <v>76</v>
      </c>
      <c r="N1128" s="5" t="n"/>
      <c r="O1128" s="5">
        <f>+M1128+N1128</f>
        <v/>
      </c>
      <c r="P1128" s="4" t="n">
        <v>45752</v>
      </c>
      <c r="Q1128" s="87" t="n">
        <v>45741</v>
      </c>
      <c r="R1128" s="5" t="n">
        <v>85.88</v>
      </c>
      <c r="S1128" s="2" t="n">
        <v>1</v>
      </c>
      <c r="T1128" s="3" t="inlineStr">
        <is>
          <t>6B/2025/2S</t>
        </is>
      </c>
      <c r="U1128" s="86" t="n">
        <v>45771</v>
      </c>
      <c r="V1128" s="3" t="inlineStr">
        <is>
          <t>7</t>
        </is>
      </c>
      <c r="W1128" s="111" t="n">
        <v>45771</v>
      </c>
      <c r="X1128" s="134" t="inlineStr">
        <is>
          <t xml:space="preserve">BIN HUMAID NATIONAL TRAD. CO. </t>
        </is>
      </c>
    </row>
    <row r="1129" ht="24" customHeight="1">
      <c r="A1129" s="2">
        <f>+D1129-S1129</f>
        <v/>
      </c>
      <c r="B1129" s="80" t="n">
        <v>2788</v>
      </c>
      <c r="C1129" s="66" t="n">
        <v>45755</v>
      </c>
      <c r="D1129" s="2" t="n">
        <v>1</v>
      </c>
      <c r="E1129" s="3" t="inlineStr">
        <is>
          <t>CARABINA AD ARIA COMPRESSA</t>
        </is>
      </c>
      <c r="F1129" s="3" t="inlineStr">
        <is>
          <t>4.5</t>
        </is>
      </c>
      <c r="G1129" s="3" t="inlineStr">
        <is>
          <t>STOEGER</t>
        </is>
      </c>
      <c r="H1129" s="65" t="inlineStr">
        <is>
          <t>STO XM1 FULL BPUP SYNTH</t>
        </is>
      </c>
      <c r="I1129" s="107" t="inlineStr">
        <is>
          <t>SAG221461BP</t>
        </is>
      </c>
      <c r="J1129" s="65" t="inlineStr">
        <is>
          <t>N/D</t>
        </is>
      </c>
      <c r="K1129" s="65" t="inlineStr">
        <is>
          <t>N/D</t>
        </is>
      </c>
      <c r="L1129" s="127" t="inlineStr">
        <is>
          <t>BENELLI ARMI SPA</t>
        </is>
      </c>
      <c r="M1129" s="5" t="n">
        <v>261</v>
      </c>
      <c r="N1129" s="5" t="n"/>
      <c r="O1129" s="5">
        <f>+M1129+N1129</f>
        <v/>
      </c>
      <c r="P1129" s="4" t="n">
        <v>45752</v>
      </c>
      <c r="Q1129" s="87" t="n">
        <v>45741</v>
      </c>
      <c r="R1129" s="5" t="n">
        <v>300</v>
      </c>
      <c r="S1129" s="2" t="n">
        <v>1</v>
      </c>
      <c r="T1129" s="3" t="inlineStr">
        <is>
          <t>6B/2025/2S</t>
        </is>
      </c>
      <c r="U1129" s="86" t="n">
        <v>45771</v>
      </c>
      <c r="V1129" s="3" t="inlineStr">
        <is>
          <t>7</t>
        </is>
      </c>
      <c r="W1129" s="111" t="n">
        <v>45771</v>
      </c>
      <c r="X1129" s="134" t="inlineStr">
        <is>
          <t xml:space="preserve">BIN HUMAID NATIONAL TRAD. CO. </t>
        </is>
      </c>
    </row>
    <row r="1130" ht="24" customHeight="1">
      <c r="A1130" s="2">
        <f>+D1130-S1130</f>
        <v/>
      </c>
      <c r="B1130" s="80" t="n">
        <v>2789</v>
      </c>
      <c r="C1130" s="66" t="n">
        <v>45755</v>
      </c>
      <c r="D1130" s="2" t="n">
        <v>1</v>
      </c>
      <c r="E1130" s="3" t="inlineStr">
        <is>
          <t>CARABINA AD ARIA COMPRESSA</t>
        </is>
      </c>
      <c r="F1130" s="3" t="inlineStr">
        <is>
          <t>4.5</t>
        </is>
      </c>
      <c r="G1130" s="3" t="inlineStr">
        <is>
          <t>STOEGER</t>
        </is>
      </c>
      <c r="H1130" s="65" t="inlineStr">
        <is>
          <t>STO XM1 FULL BPUP SYNTH</t>
        </is>
      </c>
      <c r="I1130" s="107" t="inlineStr">
        <is>
          <t>SAG221462BP</t>
        </is>
      </c>
      <c r="J1130" s="65" t="inlineStr">
        <is>
          <t>N/D</t>
        </is>
      </c>
      <c r="K1130" s="65" t="inlineStr">
        <is>
          <t>N/D</t>
        </is>
      </c>
      <c r="L1130" s="127" t="inlineStr">
        <is>
          <t>BENELLI ARMI SPA</t>
        </is>
      </c>
      <c r="M1130" s="5" t="n">
        <v>261</v>
      </c>
      <c r="N1130" s="5" t="n"/>
      <c r="O1130" s="5">
        <f>+M1130+N1130</f>
        <v/>
      </c>
      <c r="P1130" s="4" t="n">
        <v>45752</v>
      </c>
      <c r="Q1130" s="87" t="n">
        <v>45741</v>
      </c>
      <c r="R1130" s="5" t="n">
        <v>300</v>
      </c>
      <c r="S1130" s="2" t="n">
        <v>1</v>
      </c>
      <c r="T1130" s="3" t="inlineStr">
        <is>
          <t>6B/2025/2S</t>
        </is>
      </c>
      <c r="U1130" s="86" t="n">
        <v>45771</v>
      </c>
      <c r="V1130" s="3" t="inlineStr">
        <is>
          <t>7</t>
        </is>
      </c>
      <c r="W1130" s="111" t="n">
        <v>45771</v>
      </c>
      <c r="X1130" s="134" t="inlineStr">
        <is>
          <t xml:space="preserve">BIN HUMAID NATIONAL TRAD. CO. </t>
        </is>
      </c>
    </row>
    <row r="1131" ht="24" customHeight="1">
      <c r="A1131" s="2">
        <f>+D1131-S1131</f>
        <v/>
      </c>
      <c r="B1131" s="80" t="n">
        <v>2790</v>
      </c>
      <c r="C1131" s="66" t="n">
        <v>45755</v>
      </c>
      <c r="D1131" s="2" t="n">
        <v>1</v>
      </c>
      <c r="E1131" s="3" t="inlineStr">
        <is>
          <t>CARABINA AD ARIA COMPRESSA</t>
        </is>
      </c>
      <c r="F1131" s="3" t="inlineStr">
        <is>
          <t>4.5</t>
        </is>
      </c>
      <c r="G1131" s="3" t="inlineStr">
        <is>
          <t>STOEGER</t>
        </is>
      </c>
      <c r="H1131" s="65" t="inlineStr">
        <is>
          <t>STO XM1 FULL BPUP SYNTH</t>
        </is>
      </c>
      <c r="I1131" s="107" t="inlineStr">
        <is>
          <t>SAG221463BP</t>
        </is>
      </c>
      <c r="J1131" s="65" t="inlineStr">
        <is>
          <t>N/D</t>
        </is>
      </c>
      <c r="K1131" s="65" t="inlineStr">
        <is>
          <t>N/D</t>
        </is>
      </c>
      <c r="L1131" s="127" t="inlineStr">
        <is>
          <t>BENELLI ARMI SPA</t>
        </is>
      </c>
      <c r="M1131" s="5" t="n">
        <v>261</v>
      </c>
      <c r="N1131" s="5" t="n"/>
      <c r="O1131" s="5">
        <f>+M1131+N1131</f>
        <v/>
      </c>
      <c r="P1131" s="4" t="n">
        <v>45752</v>
      </c>
      <c r="Q1131" s="87" t="n">
        <v>45741</v>
      </c>
      <c r="R1131" s="5" t="n">
        <v>300</v>
      </c>
      <c r="S1131" s="2" t="n">
        <v>1</v>
      </c>
      <c r="T1131" s="3" t="inlineStr">
        <is>
          <t>6B/2025/2S</t>
        </is>
      </c>
      <c r="U1131" s="86" t="n">
        <v>45771</v>
      </c>
      <c r="V1131" s="3" t="inlineStr">
        <is>
          <t>7</t>
        </is>
      </c>
      <c r="W1131" s="111" t="n">
        <v>45771</v>
      </c>
      <c r="X1131" s="134" t="inlineStr">
        <is>
          <t xml:space="preserve">BIN HUMAID NATIONAL TRAD. CO. </t>
        </is>
      </c>
    </row>
    <row r="1132" ht="24" customHeight="1">
      <c r="A1132" s="2">
        <f>+D1132-S1132</f>
        <v/>
      </c>
      <c r="B1132" s="80" t="n">
        <v>2791</v>
      </c>
      <c r="C1132" s="66" t="n">
        <v>45755</v>
      </c>
      <c r="D1132" s="2" t="n">
        <v>1</v>
      </c>
      <c r="E1132" s="3" t="inlineStr">
        <is>
          <t>CARABINA AD ARIA COMPRESSA</t>
        </is>
      </c>
      <c r="F1132" s="3" t="inlineStr">
        <is>
          <t>4.5</t>
        </is>
      </c>
      <c r="G1132" s="3" t="inlineStr">
        <is>
          <t>STOEGER</t>
        </is>
      </c>
      <c r="H1132" s="65" t="inlineStr">
        <is>
          <t>STO XM1 FULL BPUP SYNTH</t>
        </is>
      </c>
      <c r="I1132" s="107" t="inlineStr">
        <is>
          <t>SAG221464BP</t>
        </is>
      </c>
      <c r="J1132" s="65" t="inlineStr">
        <is>
          <t>N/D</t>
        </is>
      </c>
      <c r="K1132" s="65" t="inlineStr">
        <is>
          <t>N/D</t>
        </is>
      </c>
      <c r="L1132" s="127" t="inlineStr">
        <is>
          <t>BENELLI ARMI SPA</t>
        </is>
      </c>
      <c r="M1132" s="5" t="n">
        <v>261</v>
      </c>
      <c r="N1132" s="5" t="n"/>
      <c r="O1132" s="5">
        <f>+M1132+N1132</f>
        <v/>
      </c>
      <c r="P1132" s="4" t="n">
        <v>45752</v>
      </c>
      <c r="Q1132" s="87" t="n">
        <v>45741</v>
      </c>
      <c r="R1132" s="5" t="n">
        <v>300</v>
      </c>
      <c r="S1132" s="2" t="n">
        <v>1</v>
      </c>
      <c r="T1132" s="3" t="inlineStr">
        <is>
          <t>6B/2025/2S</t>
        </is>
      </c>
      <c r="U1132" s="86" t="n">
        <v>45771</v>
      </c>
      <c r="V1132" s="3" t="inlineStr">
        <is>
          <t>7</t>
        </is>
      </c>
      <c r="W1132" s="111" t="n">
        <v>45771</v>
      </c>
      <c r="X1132" s="134" t="inlineStr">
        <is>
          <t xml:space="preserve">BIN HUMAID NATIONAL TRAD. CO. </t>
        </is>
      </c>
    </row>
    <row r="1133" ht="24" customHeight="1">
      <c r="A1133" s="2">
        <f>+D1133-S1133</f>
        <v/>
      </c>
      <c r="B1133" s="80" t="n">
        <v>2792</v>
      </c>
      <c r="C1133" s="66" t="n">
        <v>45755</v>
      </c>
      <c r="D1133" s="2" t="n">
        <v>1</v>
      </c>
      <c r="E1133" s="3" t="inlineStr">
        <is>
          <t>CARABINA AD ARIA COMPRESSA</t>
        </is>
      </c>
      <c r="F1133" s="3" t="inlineStr">
        <is>
          <t>4.5</t>
        </is>
      </c>
      <c r="G1133" s="3" t="inlineStr">
        <is>
          <t>STOEGER</t>
        </is>
      </c>
      <c r="H1133" s="65" t="inlineStr">
        <is>
          <t>STO XM1 FULL BPUP SYNTH</t>
        </is>
      </c>
      <c r="I1133" s="107" t="inlineStr">
        <is>
          <t>SAG221470BP</t>
        </is>
      </c>
      <c r="J1133" s="65" t="inlineStr">
        <is>
          <t>N/D</t>
        </is>
      </c>
      <c r="K1133" s="65" t="inlineStr">
        <is>
          <t>N/D</t>
        </is>
      </c>
      <c r="L1133" s="127" t="inlineStr">
        <is>
          <t>BENELLI ARMI SPA</t>
        </is>
      </c>
      <c r="M1133" s="5" t="n">
        <v>261</v>
      </c>
      <c r="N1133" s="5" t="n"/>
      <c r="O1133" s="5">
        <f>+M1133+N1133</f>
        <v/>
      </c>
      <c r="P1133" s="4" t="n">
        <v>45752</v>
      </c>
      <c r="Q1133" s="87" t="n">
        <v>45741</v>
      </c>
      <c r="R1133" s="5" t="n">
        <v>300</v>
      </c>
      <c r="S1133" s="2" t="n">
        <v>1</v>
      </c>
      <c r="T1133" s="3" t="inlineStr">
        <is>
          <t>6B/2025/2S</t>
        </is>
      </c>
      <c r="U1133" s="86" t="n">
        <v>45771</v>
      </c>
      <c r="V1133" s="3" t="inlineStr">
        <is>
          <t>7</t>
        </is>
      </c>
      <c r="W1133" s="111" t="n">
        <v>45771</v>
      </c>
      <c r="X1133" s="134" t="inlineStr">
        <is>
          <t xml:space="preserve">BIN HUMAID NATIONAL TRAD. CO. </t>
        </is>
      </c>
    </row>
    <row r="1134" ht="24" customHeight="1">
      <c r="A1134" s="2">
        <f>+D1134-S1134</f>
        <v/>
      </c>
      <c r="B1134" s="80" t="n">
        <v>2793</v>
      </c>
      <c r="C1134" s="66" t="n">
        <v>45755</v>
      </c>
      <c r="D1134" s="2" t="n">
        <v>1</v>
      </c>
      <c r="E1134" s="3" t="inlineStr">
        <is>
          <t>CARABINA AD ARIA COMPRESSA</t>
        </is>
      </c>
      <c r="F1134" s="3" t="inlineStr">
        <is>
          <t>4.5</t>
        </is>
      </c>
      <c r="G1134" s="3" t="inlineStr">
        <is>
          <t>STOEGER</t>
        </is>
      </c>
      <c r="H1134" s="65" t="inlineStr">
        <is>
          <t>STO XM1 FULL BPUP SYNTH</t>
        </is>
      </c>
      <c r="I1134" s="107" t="inlineStr">
        <is>
          <t>SAG221472BP</t>
        </is>
      </c>
      <c r="J1134" s="65" t="inlineStr">
        <is>
          <t>N/D</t>
        </is>
      </c>
      <c r="K1134" s="65" t="inlineStr">
        <is>
          <t>N/D</t>
        </is>
      </c>
      <c r="L1134" s="127" t="inlineStr">
        <is>
          <t>BENELLI ARMI SPA</t>
        </is>
      </c>
      <c r="M1134" s="5" t="n">
        <v>261</v>
      </c>
      <c r="N1134" s="5" t="n"/>
      <c r="O1134" s="5">
        <f>+M1134+N1134</f>
        <v/>
      </c>
      <c r="P1134" s="4" t="n">
        <v>45752</v>
      </c>
      <c r="Q1134" s="87" t="n">
        <v>45741</v>
      </c>
      <c r="R1134" s="5" t="n">
        <v>300</v>
      </c>
      <c r="S1134" s="2" t="n">
        <v>1</v>
      </c>
      <c r="T1134" s="3" t="inlineStr">
        <is>
          <t>6B/2025/2S</t>
        </is>
      </c>
      <c r="U1134" s="86" t="n">
        <v>45771</v>
      </c>
      <c r="V1134" s="3" t="inlineStr">
        <is>
          <t>7</t>
        </is>
      </c>
      <c r="W1134" s="111" t="n">
        <v>45771</v>
      </c>
      <c r="X1134" s="134" t="inlineStr">
        <is>
          <t xml:space="preserve">BIN HUMAID NATIONAL TRAD. CO. </t>
        </is>
      </c>
    </row>
    <row r="1135" ht="24" customHeight="1">
      <c r="A1135" s="2">
        <f>+D1135-S1135</f>
        <v/>
      </c>
      <c r="B1135" s="80" t="n">
        <v>2794</v>
      </c>
      <c r="C1135" s="66" t="n">
        <v>45755</v>
      </c>
      <c r="D1135" s="2" t="n">
        <v>1</v>
      </c>
      <c r="E1135" s="3" t="inlineStr">
        <is>
          <t>CARABINA AD ARIA COMPRESSA</t>
        </is>
      </c>
      <c r="F1135" s="3" t="inlineStr">
        <is>
          <t>4.5</t>
        </is>
      </c>
      <c r="G1135" s="3" t="inlineStr">
        <is>
          <t>STOEGER</t>
        </is>
      </c>
      <c r="H1135" s="65" t="inlineStr">
        <is>
          <t>STO XM1 FULL BPUP SYNTH</t>
        </is>
      </c>
      <c r="I1135" s="107" t="inlineStr">
        <is>
          <t>SAG221473BP</t>
        </is>
      </c>
      <c r="J1135" s="65" t="inlineStr">
        <is>
          <t>N/D</t>
        </is>
      </c>
      <c r="K1135" s="65" t="inlineStr">
        <is>
          <t>N/D</t>
        </is>
      </c>
      <c r="L1135" s="127" t="inlineStr">
        <is>
          <t>BENELLI ARMI SPA</t>
        </is>
      </c>
      <c r="M1135" s="5" t="n">
        <v>261</v>
      </c>
      <c r="N1135" s="5" t="n"/>
      <c r="O1135" s="5">
        <f>+M1135+N1135</f>
        <v/>
      </c>
      <c r="P1135" s="4" t="n">
        <v>45752</v>
      </c>
      <c r="Q1135" s="87" t="n">
        <v>45741</v>
      </c>
      <c r="R1135" s="5" t="n">
        <v>300</v>
      </c>
      <c r="S1135" s="2" t="n">
        <v>1</v>
      </c>
      <c r="T1135" s="3" t="inlineStr">
        <is>
          <t>6B/2025/2S</t>
        </is>
      </c>
      <c r="U1135" s="86" t="n">
        <v>45771</v>
      </c>
      <c r="V1135" s="3" t="inlineStr">
        <is>
          <t>7</t>
        </is>
      </c>
      <c r="W1135" s="111" t="n">
        <v>45771</v>
      </c>
      <c r="X1135" s="134" t="inlineStr">
        <is>
          <t xml:space="preserve">BIN HUMAID NATIONAL TRAD. CO. </t>
        </is>
      </c>
    </row>
    <row r="1136" ht="24" customHeight="1">
      <c r="A1136" s="2">
        <f>+D1136-S1136</f>
        <v/>
      </c>
      <c r="B1136" s="80" t="n">
        <v>2795</v>
      </c>
      <c r="C1136" s="66" t="n">
        <v>45755</v>
      </c>
      <c r="D1136" s="2" t="n">
        <v>1</v>
      </c>
      <c r="E1136" s="3" t="inlineStr">
        <is>
          <t>CARABINA AD ARIA COMPRESSA</t>
        </is>
      </c>
      <c r="F1136" s="3" t="inlineStr">
        <is>
          <t>4.5</t>
        </is>
      </c>
      <c r="G1136" s="3" t="inlineStr">
        <is>
          <t>STOEGER</t>
        </is>
      </c>
      <c r="H1136" s="65" t="inlineStr">
        <is>
          <t>STO XM1 FULL BPUP SYNTH</t>
        </is>
      </c>
      <c r="I1136" s="107" t="inlineStr">
        <is>
          <t>SAG221474BP</t>
        </is>
      </c>
      <c r="J1136" s="65" t="inlineStr">
        <is>
          <t>N/D</t>
        </is>
      </c>
      <c r="K1136" s="65" t="inlineStr">
        <is>
          <t>N/D</t>
        </is>
      </c>
      <c r="L1136" s="127" t="inlineStr">
        <is>
          <t>BENELLI ARMI SPA</t>
        </is>
      </c>
      <c r="M1136" s="5" t="n">
        <v>261</v>
      </c>
      <c r="N1136" s="5" t="n"/>
      <c r="O1136" s="5">
        <f>+M1136+N1136</f>
        <v/>
      </c>
      <c r="P1136" s="4" t="n">
        <v>45752</v>
      </c>
      <c r="Q1136" s="87" t="n">
        <v>45741</v>
      </c>
      <c r="R1136" s="5" t="n">
        <v>300</v>
      </c>
      <c r="S1136" s="2" t="n">
        <v>1</v>
      </c>
      <c r="T1136" s="3" t="inlineStr">
        <is>
          <t>6B/2025/2S</t>
        </is>
      </c>
      <c r="U1136" s="86" t="n">
        <v>45771</v>
      </c>
      <c r="V1136" s="3" t="inlineStr">
        <is>
          <t>7</t>
        </is>
      </c>
      <c r="W1136" s="111" t="n">
        <v>45771</v>
      </c>
      <c r="X1136" s="134" t="inlineStr">
        <is>
          <t xml:space="preserve">BIN HUMAID NATIONAL TRAD. CO. </t>
        </is>
      </c>
    </row>
    <row r="1137" ht="24" customHeight="1">
      <c r="A1137" s="2">
        <f>+D1137-S1137</f>
        <v/>
      </c>
      <c r="B1137" s="80" t="n">
        <v>2796</v>
      </c>
      <c r="C1137" s="66" t="n">
        <v>45755</v>
      </c>
      <c r="D1137" s="2" t="n">
        <v>1</v>
      </c>
      <c r="E1137" s="3" t="inlineStr">
        <is>
          <t>CARABINA AD ARIA COMPRESSA</t>
        </is>
      </c>
      <c r="F1137" s="3" t="inlineStr">
        <is>
          <t>4.5</t>
        </is>
      </c>
      <c r="G1137" s="3" t="inlineStr">
        <is>
          <t>STOEGER</t>
        </is>
      </c>
      <c r="H1137" s="65" t="inlineStr">
        <is>
          <t>STO XM1 FULL BPUP SYNTH</t>
        </is>
      </c>
      <c r="I1137" s="107" t="inlineStr">
        <is>
          <t>SAG221475BP</t>
        </is>
      </c>
      <c r="J1137" s="65" t="inlineStr">
        <is>
          <t>N/D</t>
        </is>
      </c>
      <c r="K1137" s="65" t="inlineStr">
        <is>
          <t>N/D</t>
        </is>
      </c>
      <c r="L1137" s="127" t="inlineStr">
        <is>
          <t>BENELLI ARMI SPA</t>
        </is>
      </c>
      <c r="M1137" s="5" t="n">
        <v>261</v>
      </c>
      <c r="N1137" s="5" t="n"/>
      <c r="O1137" s="5">
        <f>+M1137+N1137</f>
        <v/>
      </c>
      <c r="P1137" s="4" t="n">
        <v>45752</v>
      </c>
      <c r="Q1137" s="87" t="n">
        <v>45741</v>
      </c>
      <c r="R1137" s="5" t="n">
        <v>300</v>
      </c>
      <c r="S1137" s="2" t="n">
        <v>1</v>
      </c>
      <c r="T1137" s="3" t="inlineStr">
        <is>
          <t>6B/2025/2S</t>
        </is>
      </c>
      <c r="U1137" s="86" t="n">
        <v>45771</v>
      </c>
      <c r="V1137" s="3" t="inlineStr">
        <is>
          <t>7</t>
        </is>
      </c>
      <c r="W1137" s="111" t="n">
        <v>45771</v>
      </c>
      <c r="X1137" s="134" t="inlineStr">
        <is>
          <t xml:space="preserve">BIN HUMAID NATIONAL TRAD. CO. </t>
        </is>
      </c>
    </row>
    <row r="1138" ht="24" customHeight="1">
      <c r="A1138" s="2">
        <f>+D1138-S1138</f>
        <v/>
      </c>
      <c r="B1138" s="80" t="n">
        <v>2797</v>
      </c>
      <c r="C1138" s="66" t="n">
        <v>45755</v>
      </c>
      <c r="D1138" s="2" t="n">
        <v>1</v>
      </c>
      <c r="E1138" s="3" t="inlineStr">
        <is>
          <t>CARABINA AD ARIA COMPRESSA</t>
        </is>
      </c>
      <c r="F1138" s="3" t="inlineStr">
        <is>
          <t>4.5</t>
        </is>
      </c>
      <c r="G1138" s="3" t="inlineStr">
        <is>
          <t>STOEGER</t>
        </is>
      </c>
      <c r="H1138" s="65" t="inlineStr">
        <is>
          <t>STO XM1 FULL BPUP SYNTH</t>
        </is>
      </c>
      <c r="I1138" s="107" t="inlineStr">
        <is>
          <t>SAG221476BP</t>
        </is>
      </c>
      <c r="J1138" s="65" t="inlineStr">
        <is>
          <t>N/D</t>
        </is>
      </c>
      <c r="K1138" s="65" t="inlineStr">
        <is>
          <t>N/D</t>
        </is>
      </c>
      <c r="L1138" s="127" t="inlineStr">
        <is>
          <t>BENELLI ARMI SPA</t>
        </is>
      </c>
      <c r="M1138" s="5" t="n">
        <v>261</v>
      </c>
      <c r="N1138" s="5" t="n"/>
      <c r="O1138" s="5">
        <f>+M1138+N1138</f>
        <v/>
      </c>
      <c r="P1138" s="4" t="n">
        <v>45752</v>
      </c>
      <c r="Q1138" s="87" t="n">
        <v>45741</v>
      </c>
      <c r="R1138" s="5" t="n">
        <v>300</v>
      </c>
      <c r="S1138" s="2" t="n">
        <v>1</v>
      </c>
      <c r="T1138" s="3" t="inlineStr">
        <is>
          <t>6B/2025/2S</t>
        </is>
      </c>
      <c r="U1138" s="86" t="n">
        <v>45771</v>
      </c>
      <c r="V1138" s="3" t="inlineStr">
        <is>
          <t>7</t>
        </is>
      </c>
      <c r="W1138" s="111" t="n">
        <v>45771</v>
      </c>
      <c r="X1138" s="134" t="inlineStr">
        <is>
          <t xml:space="preserve">BIN HUMAID NATIONAL TRAD. CO. </t>
        </is>
      </c>
    </row>
    <row r="1139" ht="24" customHeight="1">
      <c r="A1139" s="2">
        <f>+D1139-S1139</f>
        <v/>
      </c>
      <c r="B1139" s="80" t="n">
        <v>2798</v>
      </c>
      <c r="C1139" s="66" t="n">
        <v>45755</v>
      </c>
      <c r="D1139" s="2" t="n">
        <v>1</v>
      </c>
      <c r="E1139" s="3" t="inlineStr">
        <is>
          <t>CARABINA AD ARIA COMPRESSA</t>
        </is>
      </c>
      <c r="F1139" s="3" t="inlineStr">
        <is>
          <t>4.5</t>
        </is>
      </c>
      <c r="G1139" s="3" t="inlineStr">
        <is>
          <t>STOEGER</t>
        </is>
      </c>
      <c r="H1139" s="65" t="inlineStr">
        <is>
          <t>STO XM1 FULL BPUP SYNTH</t>
        </is>
      </c>
      <c r="I1139" s="107" t="inlineStr">
        <is>
          <t>SAG221477BP</t>
        </is>
      </c>
      <c r="J1139" s="65" t="inlineStr">
        <is>
          <t>N/D</t>
        </is>
      </c>
      <c r="K1139" s="65" t="inlineStr">
        <is>
          <t>N/D</t>
        </is>
      </c>
      <c r="L1139" s="127" t="inlineStr">
        <is>
          <t>BENELLI ARMI SPA</t>
        </is>
      </c>
      <c r="M1139" s="5" t="n">
        <v>261</v>
      </c>
      <c r="N1139" s="5" t="n"/>
      <c r="O1139" s="5">
        <f>+M1139+N1139</f>
        <v/>
      </c>
      <c r="P1139" s="4" t="n">
        <v>45752</v>
      </c>
      <c r="Q1139" s="87" t="n">
        <v>45741</v>
      </c>
      <c r="R1139" s="5" t="n">
        <v>300</v>
      </c>
      <c r="S1139" s="2" t="n">
        <v>1</v>
      </c>
      <c r="T1139" s="3" t="inlineStr">
        <is>
          <t>6B/2025/2S</t>
        </is>
      </c>
      <c r="U1139" s="86" t="n">
        <v>45771</v>
      </c>
      <c r="V1139" s="3" t="inlineStr">
        <is>
          <t>7</t>
        </is>
      </c>
      <c r="W1139" s="111" t="n">
        <v>45771</v>
      </c>
      <c r="X1139" s="134" t="inlineStr">
        <is>
          <t xml:space="preserve">BIN HUMAID NATIONAL TRAD. CO. </t>
        </is>
      </c>
    </row>
    <row r="1140" ht="24" customHeight="1">
      <c r="A1140" s="2">
        <f>+D1140-S1140</f>
        <v/>
      </c>
      <c r="B1140" s="80" t="n">
        <v>2799</v>
      </c>
      <c r="C1140" s="66" t="n">
        <v>45755</v>
      </c>
      <c r="D1140" s="2" t="n">
        <v>1</v>
      </c>
      <c r="E1140" s="3" t="inlineStr">
        <is>
          <t>CARABINA AD ARIA COMPRESSA</t>
        </is>
      </c>
      <c r="F1140" s="3" t="inlineStr">
        <is>
          <t>4.5</t>
        </is>
      </c>
      <c r="G1140" s="3" t="inlineStr">
        <is>
          <t>STOEGER</t>
        </is>
      </c>
      <c r="H1140" s="65" t="inlineStr">
        <is>
          <t>STO XM1 FULL BPUP SYNTH</t>
        </is>
      </c>
      <c r="I1140" s="107" t="inlineStr">
        <is>
          <t>SAG221891BP</t>
        </is>
      </c>
      <c r="J1140" s="65" t="inlineStr">
        <is>
          <t>N/D</t>
        </is>
      </c>
      <c r="K1140" s="65" t="inlineStr">
        <is>
          <t>N/D</t>
        </is>
      </c>
      <c r="L1140" s="127" t="inlineStr">
        <is>
          <t>BENELLI ARMI SPA</t>
        </is>
      </c>
      <c r="M1140" s="5" t="n">
        <v>261</v>
      </c>
      <c r="N1140" s="5" t="n"/>
      <c r="O1140" s="5">
        <f>+M1140+N1140</f>
        <v/>
      </c>
      <c r="P1140" s="4" t="n">
        <v>45752</v>
      </c>
      <c r="Q1140" s="87" t="n">
        <v>45741</v>
      </c>
      <c r="R1140" s="5" t="n">
        <v>300</v>
      </c>
      <c r="S1140" s="2" t="n">
        <v>1</v>
      </c>
      <c r="T1140" s="3" t="inlineStr">
        <is>
          <t>6B/2025/2S</t>
        </is>
      </c>
      <c r="U1140" s="86" t="n">
        <v>45771</v>
      </c>
      <c r="V1140" s="3" t="inlineStr">
        <is>
          <t>7</t>
        </is>
      </c>
      <c r="W1140" s="111" t="n">
        <v>45771</v>
      </c>
      <c r="X1140" s="134" t="inlineStr">
        <is>
          <t xml:space="preserve">BIN HUMAID NATIONAL TRAD. CO. </t>
        </is>
      </c>
    </row>
    <row r="1141" ht="24" customHeight="1">
      <c r="A1141" s="2">
        <f>+D1141-S1141</f>
        <v/>
      </c>
      <c r="B1141" s="80" t="n">
        <v>2800</v>
      </c>
      <c r="C1141" s="66" t="n">
        <v>45755</v>
      </c>
      <c r="D1141" s="2" t="n">
        <v>1</v>
      </c>
      <c r="E1141" s="3" t="inlineStr">
        <is>
          <t>CARABINA AD ARIA COMPRESSA</t>
        </is>
      </c>
      <c r="F1141" s="3" t="inlineStr">
        <is>
          <t>4.5</t>
        </is>
      </c>
      <c r="G1141" s="3" t="inlineStr">
        <is>
          <t>STOEGER</t>
        </is>
      </c>
      <c r="H1141" s="65" t="inlineStr">
        <is>
          <t>STO XM1 FULL BPUP SYNTH</t>
        </is>
      </c>
      <c r="I1141" s="107" t="inlineStr">
        <is>
          <t>SAG221893BP</t>
        </is>
      </c>
      <c r="J1141" s="65" t="inlineStr">
        <is>
          <t>N/D</t>
        </is>
      </c>
      <c r="K1141" s="65" t="inlineStr">
        <is>
          <t>N/D</t>
        </is>
      </c>
      <c r="L1141" s="127" t="inlineStr">
        <is>
          <t>BENELLI ARMI SPA</t>
        </is>
      </c>
      <c r="M1141" s="5" t="n">
        <v>261</v>
      </c>
      <c r="N1141" s="5" t="n"/>
      <c r="O1141" s="5">
        <f>+M1141+N1141</f>
        <v/>
      </c>
      <c r="P1141" s="4" t="n">
        <v>45752</v>
      </c>
      <c r="Q1141" s="87" t="n">
        <v>45741</v>
      </c>
      <c r="R1141" s="5" t="n">
        <v>300</v>
      </c>
      <c r="S1141" s="2" t="n">
        <v>1</v>
      </c>
      <c r="T1141" s="3" t="inlineStr">
        <is>
          <t>6B/2025/2S</t>
        </is>
      </c>
      <c r="U1141" s="86" t="n">
        <v>45771</v>
      </c>
      <c r="V1141" s="3" t="inlineStr">
        <is>
          <t>7</t>
        </is>
      </c>
      <c r="W1141" s="111" t="n">
        <v>45771</v>
      </c>
      <c r="X1141" s="134" t="inlineStr">
        <is>
          <t xml:space="preserve">BIN HUMAID NATIONAL TRAD. CO. </t>
        </is>
      </c>
    </row>
    <row r="1142" ht="24" customHeight="1">
      <c r="A1142" s="2">
        <f>+D1142-S1142</f>
        <v/>
      </c>
      <c r="B1142" s="80" t="n">
        <v>2801</v>
      </c>
      <c r="C1142" s="66" t="n">
        <v>45755</v>
      </c>
      <c r="D1142" s="2" t="n">
        <v>1</v>
      </c>
      <c r="E1142" s="3" t="inlineStr">
        <is>
          <t>CARABINA AD ARIA COMPRESSA</t>
        </is>
      </c>
      <c r="F1142" s="3" t="inlineStr">
        <is>
          <t>4.5</t>
        </is>
      </c>
      <c r="G1142" s="3" t="inlineStr">
        <is>
          <t>STOEGER</t>
        </is>
      </c>
      <c r="H1142" s="65" t="inlineStr">
        <is>
          <t>STO XM1 FULL BPUP SYNTH</t>
        </is>
      </c>
      <c r="I1142" s="107" t="inlineStr">
        <is>
          <t>SAG221899BP</t>
        </is>
      </c>
      <c r="J1142" s="65" t="inlineStr">
        <is>
          <t>N/D</t>
        </is>
      </c>
      <c r="K1142" s="65" t="inlineStr">
        <is>
          <t>N/D</t>
        </is>
      </c>
      <c r="L1142" s="127" t="inlineStr">
        <is>
          <t>BENELLI ARMI SPA</t>
        </is>
      </c>
      <c r="M1142" s="5" t="n">
        <v>261</v>
      </c>
      <c r="N1142" s="5" t="n"/>
      <c r="O1142" s="5">
        <f>+M1142+N1142</f>
        <v/>
      </c>
      <c r="P1142" s="4" t="n">
        <v>45752</v>
      </c>
      <c r="Q1142" s="87" t="n">
        <v>45741</v>
      </c>
      <c r="R1142" s="5" t="n">
        <v>300</v>
      </c>
      <c r="S1142" s="2" t="n">
        <v>1</v>
      </c>
      <c r="T1142" s="3" t="inlineStr">
        <is>
          <t>6B/2025/2S</t>
        </is>
      </c>
      <c r="U1142" s="86" t="n">
        <v>45771</v>
      </c>
      <c r="V1142" s="3" t="inlineStr">
        <is>
          <t>7</t>
        </is>
      </c>
      <c r="W1142" s="111" t="n">
        <v>45771</v>
      </c>
      <c r="X1142" s="134" t="inlineStr">
        <is>
          <t xml:space="preserve">BIN HUMAID NATIONAL TRAD. CO. </t>
        </is>
      </c>
    </row>
    <row r="1143" ht="24" customHeight="1">
      <c r="A1143" s="2">
        <f>+D1143-S1143</f>
        <v/>
      </c>
      <c r="B1143" s="80" t="n">
        <v>2802</v>
      </c>
      <c r="C1143" s="66" t="n">
        <v>45755</v>
      </c>
      <c r="D1143" s="2" t="n">
        <v>1</v>
      </c>
      <c r="E1143" s="3" t="inlineStr">
        <is>
          <t>CARABINA AD ARIA COMPRESSA</t>
        </is>
      </c>
      <c r="F1143" s="3" t="inlineStr">
        <is>
          <t>4.5</t>
        </is>
      </c>
      <c r="G1143" s="3" t="inlineStr">
        <is>
          <t>STOEGER</t>
        </is>
      </c>
      <c r="H1143" s="65" t="inlineStr">
        <is>
          <t>STO XM1 FULL BPUP SYNTH</t>
        </is>
      </c>
      <c r="I1143" s="107" t="inlineStr">
        <is>
          <t>SAG221900BP</t>
        </is>
      </c>
      <c r="J1143" s="65" t="inlineStr">
        <is>
          <t>N/D</t>
        </is>
      </c>
      <c r="K1143" s="65" t="inlineStr">
        <is>
          <t>N/D</t>
        </is>
      </c>
      <c r="L1143" s="127" t="inlineStr">
        <is>
          <t>BENELLI ARMI SPA</t>
        </is>
      </c>
      <c r="M1143" s="5" t="n">
        <v>261</v>
      </c>
      <c r="N1143" s="5" t="n"/>
      <c r="O1143" s="5">
        <f>+M1143+N1143</f>
        <v/>
      </c>
      <c r="P1143" s="4" t="n">
        <v>45752</v>
      </c>
      <c r="Q1143" s="87" t="n">
        <v>45741</v>
      </c>
      <c r="R1143" s="5" t="n">
        <v>300</v>
      </c>
      <c r="S1143" s="2" t="n">
        <v>1</v>
      </c>
      <c r="T1143" s="3" t="inlineStr">
        <is>
          <t>6B/2025/2S</t>
        </is>
      </c>
      <c r="U1143" s="86" t="n">
        <v>45771</v>
      </c>
      <c r="V1143" s="3" t="inlineStr">
        <is>
          <t>7</t>
        </is>
      </c>
      <c r="W1143" s="111" t="n">
        <v>45771</v>
      </c>
      <c r="X1143" s="134" t="inlineStr">
        <is>
          <t xml:space="preserve">BIN HUMAID NATIONAL TRAD. CO. </t>
        </is>
      </c>
    </row>
    <row r="1144" ht="24" customHeight="1">
      <c r="A1144" s="2">
        <f>+D1144-S1144</f>
        <v/>
      </c>
      <c r="B1144" s="80" t="n">
        <v>2803</v>
      </c>
      <c r="C1144" s="66" t="n">
        <v>45755</v>
      </c>
      <c r="D1144" s="2" t="n">
        <v>1</v>
      </c>
      <c r="E1144" s="3" t="inlineStr">
        <is>
          <t>CARABINA AD ARIA COMPRESSA</t>
        </is>
      </c>
      <c r="F1144" s="3" t="inlineStr">
        <is>
          <t>4.5</t>
        </is>
      </c>
      <c r="G1144" s="3" t="inlineStr">
        <is>
          <t>STOEGER</t>
        </is>
      </c>
      <c r="H1144" s="65" t="inlineStr">
        <is>
          <t>STO XM1 FULL BPUP SYNTH</t>
        </is>
      </c>
      <c r="I1144" s="107" t="inlineStr">
        <is>
          <t>SAG221901BP</t>
        </is>
      </c>
      <c r="J1144" s="65" t="inlineStr">
        <is>
          <t>N/D</t>
        </is>
      </c>
      <c r="K1144" s="65" t="inlineStr">
        <is>
          <t>N/D</t>
        </is>
      </c>
      <c r="L1144" s="127" t="inlineStr">
        <is>
          <t>BENELLI ARMI SPA</t>
        </is>
      </c>
      <c r="M1144" s="5" t="n">
        <v>261</v>
      </c>
      <c r="N1144" s="5" t="n"/>
      <c r="O1144" s="5">
        <f>+M1144+N1144</f>
        <v/>
      </c>
      <c r="P1144" s="4" t="n">
        <v>45752</v>
      </c>
      <c r="Q1144" s="87" t="n">
        <v>45741</v>
      </c>
      <c r="R1144" s="5" t="n">
        <v>300</v>
      </c>
      <c r="S1144" s="2" t="n">
        <v>1</v>
      </c>
      <c r="T1144" s="3" t="inlineStr">
        <is>
          <t>6B/2025/2S</t>
        </is>
      </c>
      <c r="U1144" s="86" t="n">
        <v>45771</v>
      </c>
      <c r="V1144" s="3" t="inlineStr">
        <is>
          <t>7</t>
        </is>
      </c>
      <c r="W1144" s="111" t="n">
        <v>45771</v>
      </c>
      <c r="X1144" s="134" t="inlineStr">
        <is>
          <t xml:space="preserve">BIN HUMAID NATIONAL TRAD. CO. </t>
        </is>
      </c>
    </row>
    <row r="1145" ht="24" customHeight="1">
      <c r="A1145" s="2">
        <f>+D1145-S1145</f>
        <v/>
      </c>
      <c r="B1145" s="80" t="n">
        <v>2804</v>
      </c>
      <c r="C1145" s="66" t="n">
        <v>45755</v>
      </c>
      <c r="D1145" s="2" t="n">
        <v>1</v>
      </c>
      <c r="E1145" s="3" t="inlineStr">
        <is>
          <t>CARABINA AD ARIA COMPRESSA</t>
        </is>
      </c>
      <c r="F1145" s="3" t="inlineStr">
        <is>
          <t>4.5</t>
        </is>
      </c>
      <c r="G1145" s="3" t="inlineStr">
        <is>
          <t>STOEGER</t>
        </is>
      </c>
      <c r="H1145" s="65" t="inlineStr">
        <is>
          <t>STO XM1 FULL BPUP SYNTH</t>
        </is>
      </c>
      <c r="I1145" s="107" t="inlineStr">
        <is>
          <t>SAG221903BP</t>
        </is>
      </c>
      <c r="J1145" s="65" t="inlineStr">
        <is>
          <t>N/D</t>
        </is>
      </c>
      <c r="K1145" s="65" t="inlineStr">
        <is>
          <t>N/D</t>
        </is>
      </c>
      <c r="L1145" s="127" t="inlineStr">
        <is>
          <t>BENELLI ARMI SPA</t>
        </is>
      </c>
      <c r="M1145" s="5" t="n">
        <v>261</v>
      </c>
      <c r="N1145" s="5" t="n"/>
      <c r="O1145" s="5">
        <f>+M1145+N1145</f>
        <v/>
      </c>
      <c r="P1145" s="4" t="n">
        <v>45752</v>
      </c>
      <c r="Q1145" s="87" t="n">
        <v>45741</v>
      </c>
      <c r="R1145" s="5" t="n">
        <v>300</v>
      </c>
      <c r="S1145" s="2" t="n">
        <v>1</v>
      </c>
      <c r="T1145" s="3" t="inlineStr">
        <is>
          <t>6B/2025/2S</t>
        </is>
      </c>
      <c r="U1145" s="86" t="n">
        <v>45771</v>
      </c>
      <c r="V1145" s="3" t="inlineStr">
        <is>
          <t>7</t>
        </is>
      </c>
      <c r="W1145" s="111" t="n">
        <v>45771</v>
      </c>
      <c r="X1145" s="134" t="inlineStr">
        <is>
          <t xml:space="preserve">BIN HUMAID NATIONAL TRAD. CO. </t>
        </is>
      </c>
    </row>
    <row r="1146" ht="24" customHeight="1">
      <c r="A1146" s="2">
        <f>+D1146-S1146</f>
        <v/>
      </c>
      <c r="B1146" s="80" t="n">
        <v>2805</v>
      </c>
      <c r="C1146" s="66" t="n">
        <v>45755</v>
      </c>
      <c r="D1146" s="2" t="n">
        <v>1</v>
      </c>
      <c r="E1146" s="3" t="inlineStr">
        <is>
          <t>CARABINA AD ARIA COMPRESSA</t>
        </is>
      </c>
      <c r="F1146" s="3" t="inlineStr">
        <is>
          <t>4.5</t>
        </is>
      </c>
      <c r="G1146" s="3" t="inlineStr">
        <is>
          <t>STOEGER</t>
        </is>
      </c>
      <c r="H1146" s="65" t="inlineStr">
        <is>
          <t>STO XM1 FULL BPUP SYNTH</t>
        </is>
      </c>
      <c r="I1146" s="107" t="inlineStr">
        <is>
          <t>SAG221906BP</t>
        </is>
      </c>
      <c r="J1146" s="65" t="inlineStr">
        <is>
          <t>N/D</t>
        </is>
      </c>
      <c r="K1146" s="65" t="inlineStr">
        <is>
          <t>N/D</t>
        </is>
      </c>
      <c r="L1146" s="127" t="inlineStr">
        <is>
          <t>BENELLI ARMI SPA</t>
        </is>
      </c>
      <c r="M1146" s="5" t="n">
        <v>261</v>
      </c>
      <c r="N1146" s="5" t="n"/>
      <c r="O1146" s="5">
        <f>+M1146+N1146</f>
        <v/>
      </c>
      <c r="P1146" s="4" t="n">
        <v>45752</v>
      </c>
      <c r="Q1146" s="87" t="n">
        <v>45741</v>
      </c>
      <c r="R1146" s="5" t="n">
        <v>300</v>
      </c>
      <c r="S1146" s="2" t="n">
        <v>1</v>
      </c>
      <c r="T1146" s="3" t="inlineStr">
        <is>
          <t>6B/2025/2S</t>
        </is>
      </c>
      <c r="U1146" s="86" t="n">
        <v>45771</v>
      </c>
      <c r="V1146" s="3" t="inlineStr">
        <is>
          <t>7</t>
        </is>
      </c>
      <c r="W1146" s="111" t="n">
        <v>45771</v>
      </c>
      <c r="X1146" s="134" t="inlineStr">
        <is>
          <t xml:space="preserve">BIN HUMAID NATIONAL TRAD. CO. </t>
        </is>
      </c>
    </row>
    <row r="1147" ht="24" customHeight="1">
      <c r="A1147" s="2">
        <f>+D1147-S1147</f>
        <v/>
      </c>
      <c r="B1147" s="80" t="n">
        <v>2806</v>
      </c>
      <c r="C1147" s="66" t="n">
        <v>45755</v>
      </c>
      <c r="D1147" s="2" t="n">
        <v>1</v>
      </c>
      <c r="E1147" s="3" t="inlineStr">
        <is>
          <t>CARABINA AD ARIA COMPRESSA</t>
        </is>
      </c>
      <c r="F1147" s="3" t="inlineStr">
        <is>
          <t>4.5</t>
        </is>
      </c>
      <c r="G1147" s="3" t="inlineStr">
        <is>
          <t>STOEGER</t>
        </is>
      </c>
      <c r="H1147" s="65" t="inlineStr">
        <is>
          <t>STO XM1 FULL BPUP SYNTH</t>
        </is>
      </c>
      <c r="I1147" s="107" t="inlineStr">
        <is>
          <t>SAG221911BP</t>
        </is>
      </c>
      <c r="J1147" s="65" t="inlineStr">
        <is>
          <t>N/D</t>
        </is>
      </c>
      <c r="K1147" s="65" t="inlineStr">
        <is>
          <t>N/D</t>
        </is>
      </c>
      <c r="L1147" s="127" t="inlineStr">
        <is>
          <t>BENELLI ARMI SPA</t>
        </is>
      </c>
      <c r="M1147" s="5" t="n">
        <v>261</v>
      </c>
      <c r="N1147" s="5" t="n"/>
      <c r="O1147" s="5">
        <f>+M1147+N1147</f>
        <v/>
      </c>
      <c r="P1147" s="4" t="n">
        <v>45752</v>
      </c>
      <c r="Q1147" s="87" t="n">
        <v>45741</v>
      </c>
      <c r="R1147" s="5" t="n">
        <v>300</v>
      </c>
      <c r="S1147" s="2" t="n">
        <v>1</v>
      </c>
      <c r="T1147" s="3" t="inlineStr">
        <is>
          <t>6B/2025/2S</t>
        </is>
      </c>
      <c r="U1147" s="86" t="n">
        <v>45771</v>
      </c>
      <c r="V1147" s="3" t="inlineStr">
        <is>
          <t>7</t>
        </is>
      </c>
      <c r="W1147" s="111" t="n">
        <v>45771</v>
      </c>
      <c r="X1147" s="134" t="inlineStr">
        <is>
          <t xml:space="preserve">BIN HUMAID NATIONAL TRAD. CO. </t>
        </is>
      </c>
    </row>
    <row r="1148" ht="24" customHeight="1">
      <c r="A1148" s="2">
        <f>+D1148-S1148</f>
        <v/>
      </c>
      <c r="B1148" s="80" t="n">
        <v>2807</v>
      </c>
      <c r="C1148" s="66" t="n">
        <v>45755</v>
      </c>
      <c r="D1148" s="2" t="n">
        <v>1</v>
      </c>
      <c r="E1148" s="3" t="inlineStr">
        <is>
          <t>CARABINA AD ARIA COMPRESSA</t>
        </is>
      </c>
      <c r="F1148" s="3" t="inlineStr">
        <is>
          <t>4.5</t>
        </is>
      </c>
      <c r="G1148" s="3" t="inlineStr">
        <is>
          <t>STOEGER</t>
        </is>
      </c>
      <c r="H1148" s="65" t="inlineStr">
        <is>
          <t>STO XM1 FULL BPUP SYNTH</t>
        </is>
      </c>
      <c r="I1148" s="107" t="inlineStr">
        <is>
          <t>SAG221913BP</t>
        </is>
      </c>
      <c r="J1148" s="65" t="inlineStr">
        <is>
          <t>N/D</t>
        </is>
      </c>
      <c r="K1148" s="65" t="inlineStr">
        <is>
          <t>N/D</t>
        </is>
      </c>
      <c r="L1148" s="127" t="inlineStr">
        <is>
          <t>BENELLI ARMI SPA</t>
        </is>
      </c>
      <c r="M1148" s="5" t="n">
        <v>261</v>
      </c>
      <c r="N1148" s="5" t="n"/>
      <c r="O1148" s="5">
        <f>+M1148+N1148</f>
        <v/>
      </c>
      <c r="P1148" s="4" t="n">
        <v>45752</v>
      </c>
      <c r="Q1148" s="87" t="n">
        <v>45741</v>
      </c>
      <c r="R1148" s="5" t="n">
        <v>300</v>
      </c>
      <c r="S1148" s="2" t="n">
        <v>1</v>
      </c>
      <c r="T1148" s="3" t="inlineStr">
        <is>
          <t>6B/2025/2S</t>
        </is>
      </c>
      <c r="U1148" s="86" t="n">
        <v>45771</v>
      </c>
      <c r="V1148" s="3" t="inlineStr">
        <is>
          <t>7</t>
        </is>
      </c>
      <c r="W1148" s="111" t="n">
        <v>45771</v>
      </c>
      <c r="X1148" s="134" t="inlineStr">
        <is>
          <t xml:space="preserve">BIN HUMAID NATIONAL TRAD. CO. </t>
        </is>
      </c>
    </row>
    <row r="1149" ht="24" customHeight="1">
      <c r="A1149" s="2">
        <f>+D1149-S1149</f>
        <v/>
      </c>
      <c r="B1149" s="80" t="n">
        <v>2808</v>
      </c>
      <c r="C1149" s="66" t="n">
        <v>45755</v>
      </c>
      <c r="D1149" s="2" t="n">
        <v>1</v>
      </c>
      <c r="E1149" s="3" t="inlineStr">
        <is>
          <t>CARABINA AD ARIA COMPRESSA</t>
        </is>
      </c>
      <c r="F1149" s="3" t="inlineStr">
        <is>
          <t>4.5</t>
        </is>
      </c>
      <c r="G1149" s="3" t="inlineStr">
        <is>
          <t>STOEGER</t>
        </is>
      </c>
      <c r="H1149" s="65" t="inlineStr">
        <is>
          <t>STO XM1 FULL BPUP SYNTH</t>
        </is>
      </c>
      <c r="I1149" s="107" t="inlineStr">
        <is>
          <t>SAG221914BP</t>
        </is>
      </c>
      <c r="J1149" s="65" t="inlineStr">
        <is>
          <t>N/D</t>
        </is>
      </c>
      <c r="K1149" s="65" t="inlineStr">
        <is>
          <t>N/D</t>
        </is>
      </c>
      <c r="L1149" s="127" t="inlineStr">
        <is>
          <t>BENELLI ARMI SPA</t>
        </is>
      </c>
      <c r="M1149" s="5" t="n">
        <v>261</v>
      </c>
      <c r="N1149" s="5" t="n"/>
      <c r="O1149" s="5">
        <f>+M1149+N1149</f>
        <v/>
      </c>
      <c r="P1149" s="4" t="n">
        <v>45752</v>
      </c>
      <c r="Q1149" s="87" t="n">
        <v>45741</v>
      </c>
      <c r="R1149" s="5" t="n">
        <v>300</v>
      </c>
      <c r="S1149" s="2" t="n">
        <v>1</v>
      </c>
      <c r="T1149" s="3" t="inlineStr">
        <is>
          <t>6B/2025/2S</t>
        </is>
      </c>
      <c r="U1149" s="86" t="n">
        <v>45771</v>
      </c>
      <c r="V1149" s="3" t="inlineStr">
        <is>
          <t>7</t>
        </is>
      </c>
      <c r="W1149" s="111" t="n">
        <v>45771</v>
      </c>
      <c r="X1149" s="134" t="inlineStr">
        <is>
          <t xml:space="preserve">BIN HUMAID NATIONAL TRAD. CO. </t>
        </is>
      </c>
    </row>
    <row r="1150" ht="24" customHeight="1">
      <c r="A1150" s="2">
        <f>+D1150-S1150</f>
        <v/>
      </c>
      <c r="B1150" s="80" t="n">
        <v>2809</v>
      </c>
      <c r="C1150" s="66" t="n">
        <v>45755</v>
      </c>
      <c r="D1150" s="2" t="n">
        <v>1</v>
      </c>
      <c r="E1150" s="3" t="inlineStr">
        <is>
          <t>CARABINA AD ARIA COMPRESSA</t>
        </is>
      </c>
      <c r="F1150" s="3" t="inlineStr">
        <is>
          <t>4.5</t>
        </is>
      </c>
      <c r="G1150" s="3" t="inlineStr">
        <is>
          <t>STOEGER</t>
        </is>
      </c>
      <c r="H1150" s="65" t="inlineStr">
        <is>
          <t>STO XM1 FULL BPUP SYNTH</t>
        </is>
      </c>
      <c r="I1150" s="107" t="inlineStr">
        <is>
          <t>SAG221916BP</t>
        </is>
      </c>
      <c r="J1150" s="65" t="inlineStr">
        <is>
          <t>N/D</t>
        </is>
      </c>
      <c r="K1150" s="65" t="inlineStr">
        <is>
          <t>N/D</t>
        </is>
      </c>
      <c r="L1150" s="127" t="inlineStr">
        <is>
          <t>BENELLI ARMI SPA</t>
        </is>
      </c>
      <c r="M1150" s="5" t="n">
        <v>261</v>
      </c>
      <c r="N1150" s="5" t="n"/>
      <c r="O1150" s="5">
        <f>+M1150+N1150</f>
        <v/>
      </c>
      <c r="P1150" s="4" t="n">
        <v>45752</v>
      </c>
      <c r="Q1150" s="87" t="n">
        <v>45741</v>
      </c>
      <c r="R1150" s="5" t="n">
        <v>300</v>
      </c>
      <c r="S1150" s="2" t="n">
        <v>1</v>
      </c>
      <c r="T1150" s="3" t="inlineStr">
        <is>
          <t>6B/2025/2S</t>
        </is>
      </c>
      <c r="U1150" s="86" t="n">
        <v>45771</v>
      </c>
      <c r="V1150" s="3" t="inlineStr">
        <is>
          <t>7</t>
        </is>
      </c>
      <c r="W1150" s="111" t="n">
        <v>45771</v>
      </c>
      <c r="X1150" s="134" t="inlineStr">
        <is>
          <t xml:space="preserve">BIN HUMAID NATIONAL TRAD. CO. </t>
        </is>
      </c>
    </row>
    <row r="1151" ht="24" customHeight="1">
      <c r="A1151" s="2">
        <f>+D1151-S1151</f>
        <v/>
      </c>
      <c r="B1151" s="80" t="n">
        <v>2810</v>
      </c>
      <c r="C1151" s="66" t="n">
        <v>45755</v>
      </c>
      <c r="D1151" s="2" t="n">
        <v>1</v>
      </c>
      <c r="E1151" s="3" t="inlineStr">
        <is>
          <t>CARABINA AD ARIA COMPRESSA</t>
        </is>
      </c>
      <c r="F1151" s="3" t="inlineStr">
        <is>
          <t>4.5</t>
        </is>
      </c>
      <c r="G1151" s="3" t="inlineStr">
        <is>
          <t>STOEGER</t>
        </is>
      </c>
      <c r="H1151" s="65" t="inlineStr">
        <is>
          <t>STO XM1 FULL BPUP SYNTH</t>
        </is>
      </c>
      <c r="I1151" s="107" t="inlineStr">
        <is>
          <t>SAG221918BP</t>
        </is>
      </c>
      <c r="J1151" s="65" t="inlineStr">
        <is>
          <t>N/D</t>
        </is>
      </c>
      <c r="K1151" s="65" t="inlineStr">
        <is>
          <t>N/D</t>
        </is>
      </c>
      <c r="L1151" s="127" t="inlineStr">
        <is>
          <t>BENELLI ARMI SPA</t>
        </is>
      </c>
      <c r="M1151" s="5" t="n">
        <v>261</v>
      </c>
      <c r="N1151" s="5" t="n"/>
      <c r="O1151" s="5">
        <f>+M1151+N1151</f>
        <v/>
      </c>
      <c r="P1151" s="4" t="n">
        <v>45752</v>
      </c>
      <c r="Q1151" s="87" t="n">
        <v>45741</v>
      </c>
      <c r="R1151" s="5" t="n">
        <v>300</v>
      </c>
      <c r="S1151" s="2" t="n">
        <v>1</v>
      </c>
      <c r="T1151" s="3" t="inlineStr">
        <is>
          <t>6B/2025/2S</t>
        </is>
      </c>
      <c r="U1151" s="86" t="n">
        <v>45771</v>
      </c>
      <c r="V1151" s="3" t="inlineStr">
        <is>
          <t>7</t>
        </is>
      </c>
      <c r="W1151" s="111" t="n">
        <v>45771</v>
      </c>
      <c r="X1151" s="134" t="inlineStr">
        <is>
          <t xml:space="preserve">BIN HUMAID NATIONAL TRAD. CO. </t>
        </is>
      </c>
    </row>
    <row r="1152" ht="24" customHeight="1">
      <c r="A1152" s="2">
        <f>+D1152-S1152</f>
        <v/>
      </c>
      <c r="B1152" s="80" t="n">
        <v>2811</v>
      </c>
      <c r="C1152" s="66" t="n">
        <v>45755</v>
      </c>
      <c r="D1152" s="2" t="n">
        <v>1</v>
      </c>
      <c r="E1152" s="3" t="inlineStr">
        <is>
          <t>CARABINA AD ARIA COMPRESSA</t>
        </is>
      </c>
      <c r="F1152" s="3" t="inlineStr">
        <is>
          <t>4.5</t>
        </is>
      </c>
      <c r="G1152" s="3" t="inlineStr">
        <is>
          <t>STOEGER</t>
        </is>
      </c>
      <c r="H1152" s="65" t="inlineStr">
        <is>
          <t>STO XM1 FULL BPUP SYNTH</t>
        </is>
      </c>
      <c r="I1152" s="107" t="inlineStr">
        <is>
          <t>SAG221929BP</t>
        </is>
      </c>
      <c r="J1152" s="65" t="inlineStr">
        <is>
          <t>N/D</t>
        </is>
      </c>
      <c r="K1152" s="65" t="inlineStr">
        <is>
          <t>N/D</t>
        </is>
      </c>
      <c r="L1152" s="127" t="inlineStr">
        <is>
          <t>BENELLI ARMI SPA</t>
        </is>
      </c>
      <c r="M1152" s="5" t="n">
        <v>261</v>
      </c>
      <c r="N1152" s="5" t="n"/>
      <c r="O1152" s="5">
        <f>+M1152+N1152</f>
        <v/>
      </c>
      <c r="P1152" s="4" t="n">
        <v>45752</v>
      </c>
      <c r="Q1152" s="87" t="n">
        <v>45741</v>
      </c>
      <c r="R1152" s="5" t="n">
        <v>300</v>
      </c>
      <c r="S1152" s="2" t="n">
        <v>1</v>
      </c>
      <c r="T1152" s="3" t="inlineStr">
        <is>
          <t>6B/2025/2S</t>
        </is>
      </c>
      <c r="U1152" s="86" t="n">
        <v>45771</v>
      </c>
      <c r="V1152" s="3" t="inlineStr">
        <is>
          <t>7</t>
        </is>
      </c>
      <c r="W1152" s="111" t="n">
        <v>45771</v>
      </c>
      <c r="X1152" s="134" t="inlineStr">
        <is>
          <t xml:space="preserve">BIN HUMAID NATIONAL TRAD. CO. </t>
        </is>
      </c>
    </row>
    <row r="1153" ht="24" customHeight="1">
      <c r="A1153" s="2">
        <f>+D1153-S1153</f>
        <v/>
      </c>
      <c r="B1153" s="80" t="n">
        <v>2812</v>
      </c>
      <c r="C1153" s="66" t="n">
        <v>45755</v>
      </c>
      <c r="D1153" s="2" t="n">
        <v>1</v>
      </c>
      <c r="E1153" s="3" t="inlineStr">
        <is>
          <t>CARABINA AD ARIA COMPRESSA</t>
        </is>
      </c>
      <c r="F1153" s="3" t="inlineStr">
        <is>
          <t>4.5</t>
        </is>
      </c>
      <c r="G1153" s="3" t="inlineStr">
        <is>
          <t>STOEGER</t>
        </is>
      </c>
      <c r="H1153" s="65" t="inlineStr">
        <is>
          <t>STO XM1 FULL BPUP SYNTH</t>
        </is>
      </c>
      <c r="I1153" s="107" t="inlineStr">
        <is>
          <t>SAG221932BP</t>
        </is>
      </c>
      <c r="J1153" s="65" t="inlineStr">
        <is>
          <t>N/D</t>
        </is>
      </c>
      <c r="K1153" s="65" t="inlineStr">
        <is>
          <t>N/D</t>
        </is>
      </c>
      <c r="L1153" s="127" t="inlineStr">
        <is>
          <t>BENELLI ARMI SPA</t>
        </is>
      </c>
      <c r="M1153" s="5" t="n">
        <v>261</v>
      </c>
      <c r="N1153" s="5" t="n"/>
      <c r="O1153" s="5">
        <f>+M1153+N1153</f>
        <v/>
      </c>
      <c r="P1153" s="4" t="n">
        <v>45752</v>
      </c>
      <c r="Q1153" s="87" t="n">
        <v>45741</v>
      </c>
      <c r="R1153" s="5" t="n">
        <v>300</v>
      </c>
      <c r="S1153" s="2" t="n">
        <v>1</v>
      </c>
      <c r="T1153" s="3" t="inlineStr">
        <is>
          <t>6B/2025/2S</t>
        </is>
      </c>
      <c r="U1153" s="86" t="n">
        <v>45771</v>
      </c>
      <c r="V1153" s="3" t="inlineStr">
        <is>
          <t>7</t>
        </is>
      </c>
      <c r="W1153" s="111" t="n">
        <v>45771</v>
      </c>
      <c r="X1153" s="134" t="inlineStr">
        <is>
          <t xml:space="preserve">BIN HUMAID NATIONAL TRAD. CO. </t>
        </is>
      </c>
    </row>
    <row r="1154" ht="24" customHeight="1">
      <c r="A1154" s="2">
        <f>+D1154-S1154</f>
        <v/>
      </c>
      <c r="B1154" s="80" t="n">
        <v>2813</v>
      </c>
      <c r="C1154" s="66" t="n">
        <v>45755</v>
      </c>
      <c r="D1154" s="2" t="n">
        <v>1</v>
      </c>
      <c r="E1154" s="3" t="inlineStr">
        <is>
          <t>CARABINA AD ARIA COMPRESSA</t>
        </is>
      </c>
      <c r="F1154" s="3" t="inlineStr">
        <is>
          <t>4.5</t>
        </is>
      </c>
      <c r="G1154" s="3" t="inlineStr">
        <is>
          <t>STOEGER</t>
        </is>
      </c>
      <c r="H1154" s="65" t="inlineStr">
        <is>
          <t>STO XM1 FULL BPUP SYNTH</t>
        </is>
      </c>
      <c r="I1154" s="107" t="inlineStr">
        <is>
          <t>SAG221939BP</t>
        </is>
      </c>
      <c r="J1154" s="65" t="inlineStr">
        <is>
          <t>N/D</t>
        </is>
      </c>
      <c r="K1154" s="65" t="inlineStr">
        <is>
          <t>N/D</t>
        </is>
      </c>
      <c r="L1154" s="127" t="inlineStr">
        <is>
          <t>BENELLI ARMI SPA</t>
        </is>
      </c>
      <c r="M1154" s="5" t="n">
        <v>261</v>
      </c>
      <c r="N1154" s="5" t="n"/>
      <c r="O1154" s="5">
        <f>+M1154+N1154</f>
        <v/>
      </c>
      <c r="P1154" s="4" t="n">
        <v>45752</v>
      </c>
      <c r="Q1154" s="87" t="n">
        <v>45741</v>
      </c>
      <c r="R1154" s="5" t="n">
        <v>300</v>
      </c>
      <c r="S1154" s="2" t="n">
        <v>1</v>
      </c>
      <c r="T1154" s="3" t="inlineStr">
        <is>
          <t>6B/2025/2S</t>
        </is>
      </c>
      <c r="U1154" s="86" t="n">
        <v>45771</v>
      </c>
      <c r="V1154" s="3" t="inlineStr">
        <is>
          <t>7</t>
        </is>
      </c>
      <c r="W1154" s="111" t="n">
        <v>45771</v>
      </c>
      <c r="X1154" s="134" t="inlineStr">
        <is>
          <t xml:space="preserve">BIN HUMAID NATIONAL TRAD. CO. </t>
        </is>
      </c>
    </row>
    <row r="1155" ht="24" customHeight="1">
      <c r="A1155" s="2">
        <f>+D1155-S1155</f>
        <v/>
      </c>
      <c r="B1155" s="80" t="n">
        <v>2814</v>
      </c>
      <c r="C1155" s="66" t="n">
        <v>45755</v>
      </c>
      <c r="D1155" s="2" t="n">
        <v>1</v>
      </c>
      <c r="E1155" s="3" t="inlineStr">
        <is>
          <t>CARABINA AD ARIA COMPRESSA</t>
        </is>
      </c>
      <c r="F1155" s="3" t="inlineStr">
        <is>
          <t>4.5</t>
        </is>
      </c>
      <c r="G1155" s="3" t="inlineStr">
        <is>
          <t>STOEGER</t>
        </is>
      </c>
      <c r="H1155" s="65" t="inlineStr">
        <is>
          <t>STO XM1 FULL BPUP SYNTH</t>
        </is>
      </c>
      <c r="I1155" s="107" t="inlineStr">
        <is>
          <t>SAG221940BP</t>
        </is>
      </c>
      <c r="J1155" s="65" t="inlineStr">
        <is>
          <t>N/D</t>
        </is>
      </c>
      <c r="K1155" s="65" t="inlineStr">
        <is>
          <t>N/D</t>
        </is>
      </c>
      <c r="L1155" s="127" t="inlineStr">
        <is>
          <t>BENELLI ARMI SPA</t>
        </is>
      </c>
      <c r="M1155" s="5" t="n">
        <v>261</v>
      </c>
      <c r="N1155" s="5" t="n"/>
      <c r="O1155" s="5">
        <f>+M1155+N1155</f>
        <v/>
      </c>
      <c r="P1155" s="4" t="n">
        <v>45752</v>
      </c>
      <c r="Q1155" s="87" t="n">
        <v>45741</v>
      </c>
      <c r="R1155" s="5" t="n">
        <v>300</v>
      </c>
      <c r="S1155" s="2" t="n">
        <v>1</v>
      </c>
      <c r="T1155" s="3" t="inlineStr">
        <is>
          <t>6B/2025/2S</t>
        </is>
      </c>
      <c r="U1155" s="86" t="n">
        <v>45771</v>
      </c>
      <c r="V1155" s="3" t="inlineStr">
        <is>
          <t>7</t>
        </is>
      </c>
      <c r="W1155" s="111" t="n">
        <v>45771</v>
      </c>
      <c r="X1155" s="134" t="inlineStr">
        <is>
          <t xml:space="preserve">BIN HUMAID NATIONAL TRAD. CO. </t>
        </is>
      </c>
    </row>
    <row r="1156" ht="24" customHeight="1">
      <c r="A1156" s="2">
        <f>+D1156-S1156</f>
        <v/>
      </c>
      <c r="B1156" s="80" t="n">
        <v>2815</v>
      </c>
      <c r="C1156" s="66" t="n">
        <v>45755</v>
      </c>
      <c r="D1156" s="2" t="n">
        <v>1</v>
      </c>
      <c r="E1156" s="3" t="inlineStr">
        <is>
          <t>CARABINA AD ARIA COMPRESSA</t>
        </is>
      </c>
      <c r="F1156" s="3" t="inlineStr">
        <is>
          <t>4.5</t>
        </is>
      </c>
      <c r="G1156" s="3" t="inlineStr">
        <is>
          <t>STOEGER</t>
        </is>
      </c>
      <c r="H1156" s="65" t="inlineStr">
        <is>
          <t>STO XM1 FULL BPUP SYNTH</t>
        </is>
      </c>
      <c r="I1156" s="107" t="inlineStr">
        <is>
          <t>SAG221941BP</t>
        </is>
      </c>
      <c r="J1156" s="65" t="inlineStr">
        <is>
          <t>N/D</t>
        </is>
      </c>
      <c r="K1156" s="65" t="inlineStr">
        <is>
          <t>N/D</t>
        </is>
      </c>
      <c r="L1156" s="127" t="inlineStr">
        <is>
          <t>BENELLI ARMI SPA</t>
        </is>
      </c>
      <c r="M1156" s="5" t="n">
        <v>261</v>
      </c>
      <c r="N1156" s="5" t="n"/>
      <c r="O1156" s="5">
        <f>+M1156+N1156</f>
        <v/>
      </c>
      <c r="P1156" s="4" t="n">
        <v>45752</v>
      </c>
      <c r="Q1156" s="87" t="n">
        <v>45741</v>
      </c>
      <c r="R1156" s="5" t="n">
        <v>300</v>
      </c>
      <c r="S1156" s="2" t="n">
        <v>1</v>
      </c>
      <c r="T1156" s="3" t="inlineStr">
        <is>
          <t>6B/2025/2S</t>
        </is>
      </c>
      <c r="U1156" s="86" t="n">
        <v>45771</v>
      </c>
      <c r="V1156" s="3" t="inlineStr">
        <is>
          <t>7</t>
        </is>
      </c>
      <c r="W1156" s="111" t="n">
        <v>45771</v>
      </c>
      <c r="X1156" s="134" t="inlineStr">
        <is>
          <t xml:space="preserve">BIN HUMAID NATIONAL TRAD. CO. </t>
        </is>
      </c>
    </row>
    <row r="1157" ht="24" customHeight="1">
      <c r="A1157" s="2">
        <f>+D1157-S1157</f>
        <v/>
      </c>
      <c r="B1157" s="80" t="n">
        <v>2816</v>
      </c>
      <c r="C1157" s="66" t="n">
        <v>45755</v>
      </c>
      <c r="D1157" s="2" t="n">
        <v>1</v>
      </c>
      <c r="E1157" s="3" t="inlineStr">
        <is>
          <t>CARABINA AD ARIA COMPRESSA</t>
        </is>
      </c>
      <c r="F1157" s="3" t="inlineStr">
        <is>
          <t>4.5</t>
        </is>
      </c>
      <c r="G1157" s="3" t="inlineStr">
        <is>
          <t>STOEGER</t>
        </is>
      </c>
      <c r="H1157" s="65" t="inlineStr">
        <is>
          <t>STO XM1 FULL BPUP SYNTH</t>
        </is>
      </c>
      <c r="I1157" s="107" t="inlineStr">
        <is>
          <t>SAG221952BP</t>
        </is>
      </c>
      <c r="J1157" s="65" t="inlineStr">
        <is>
          <t>N/D</t>
        </is>
      </c>
      <c r="K1157" s="65" t="inlineStr">
        <is>
          <t>N/D</t>
        </is>
      </c>
      <c r="L1157" s="127" t="inlineStr">
        <is>
          <t>BENELLI ARMI SPA</t>
        </is>
      </c>
      <c r="M1157" s="5" t="n">
        <v>261</v>
      </c>
      <c r="N1157" s="5" t="n"/>
      <c r="O1157" s="5">
        <f>+M1157+N1157</f>
        <v/>
      </c>
      <c r="P1157" s="4" t="n">
        <v>45752</v>
      </c>
      <c r="Q1157" s="87" t="n">
        <v>45741</v>
      </c>
      <c r="R1157" s="5" t="n">
        <v>300</v>
      </c>
      <c r="S1157" s="2" t="n">
        <v>1</v>
      </c>
      <c r="T1157" s="3" t="inlineStr">
        <is>
          <t>6B/2025/2S</t>
        </is>
      </c>
      <c r="U1157" s="86" t="n">
        <v>45771</v>
      </c>
      <c r="V1157" s="3" t="inlineStr">
        <is>
          <t>7</t>
        </is>
      </c>
      <c r="W1157" s="111" t="n">
        <v>45771</v>
      </c>
      <c r="X1157" s="134" t="inlineStr">
        <is>
          <t xml:space="preserve">BIN HUMAID NATIONAL TRAD. CO. </t>
        </is>
      </c>
    </row>
    <row r="1158" ht="24" customHeight="1">
      <c r="A1158" s="2">
        <f>+D1158-S1158</f>
        <v/>
      </c>
      <c r="B1158" s="80" t="n">
        <v>2817</v>
      </c>
      <c r="C1158" s="66" t="n">
        <v>45755</v>
      </c>
      <c r="D1158" s="2" t="n">
        <v>1</v>
      </c>
      <c r="E1158" s="3" t="inlineStr">
        <is>
          <t>CARABINA AD ARIA COMPRESSA</t>
        </is>
      </c>
      <c r="F1158" s="3" t="inlineStr">
        <is>
          <t>4.5</t>
        </is>
      </c>
      <c r="G1158" s="3" t="inlineStr">
        <is>
          <t>STOEGER</t>
        </is>
      </c>
      <c r="H1158" s="65" t="inlineStr">
        <is>
          <t>STO XM1 FULL BPUP SYNTH</t>
        </is>
      </c>
      <c r="I1158" s="107" t="inlineStr">
        <is>
          <t>SAG221955BP</t>
        </is>
      </c>
      <c r="J1158" s="65" t="inlineStr">
        <is>
          <t>N/D</t>
        </is>
      </c>
      <c r="K1158" s="65" t="inlineStr">
        <is>
          <t>N/D</t>
        </is>
      </c>
      <c r="L1158" s="127" t="inlineStr">
        <is>
          <t>BENELLI ARMI SPA</t>
        </is>
      </c>
      <c r="M1158" s="5" t="n">
        <v>261</v>
      </c>
      <c r="N1158" s="5" t="n"/>
      <c r="O1158" s="5">
        <f>+M1158+N1158</f>
        <v/>
      </c>
      <c r="P1158" s="4" t="n">
        <v>45752</v>
      </c>
      <c r="Q1158" s="87" t="n">
        <v>45741</v>
      </c>
      <c r="R1158" s="5" t="n">
        <v>300</v>
      </c>
      <c r="S1158" s="2" t="n">
        <v>1</v>
      </c>
      <c r="T1158" s="3" t="inlineStr">
        <is>
          <t>6B/2025/2S</t>
        </is>
      </c>
      <c r="U1158" s="86" t="n">
        <v>45771</v>
      </c>
      <c r="V1158" s="3" t="inlineStr">
        <is>
          <t>7</t>
        </is>
      </c>
      <c r="W1158" s="111" t="n">
        <v>45771</v>
      </c>
      <c r="X1158" s="134" t="inlineStr">
        <is>
          <t xml:space="preserve">BIN HUMAID NATIONAL TRAD. CO. </t>
        </is>
      </c>
    </row>
    <row r="1159" ht="24" customHeight="1">
      <c r="A1159" s="2">
        <f>+D1159-S1159</f>
        <v/>
      </c>
      <c r="B1159" s="80" t="n">
        <v>2818</v>
      </c>
      <c r="C1159" s="66" t="n">
        <v>45755</v>
      </c>
      <c r="D1159" s="2" t="n">
        <v>1</v>
      </c>
      <c r="E1159" s="3" t="inlineStr">
        <is>
          <t>CARABINA AD ARIA COMPRESSA</t>
        </is>
      </c>
      <c r="F1159" s="3" t="inlineStr">
        <is>
          <t>5.5</t>
        </is>
      </c>
      <c r="G1159" s="3" t="inlineStr">
        <is>
          <t>STOEGER</t>
        </is>
      </c>
      <c r="H1159" s="65" t="inlineStr">
        <is>
          <t>STO XM1 FULL BPUP SYNTH</t>
        </is>
      </c>
      <c r="I1159" s="65" t="inlineStr">
        <is>
          <t>SAG222151BP</t>
        </is>
      </c>
      <c r="J1159" s="65" t="inlineStr">
        <is>
          <t>N/D</t>
        </is>
      </c>
      <c r="K1159" s="65" t="inlineStr">
        <is>
          <t>N/D</t>
        </is>
      </c>
      <c r="L1159" s="127" t="inlineStr">
        <is>
          <t>BENELLI ARMI SPA</t>
        </is>
      </c>
      <c r="M1159" s="5" t="n">
        <v>261</v>
      </c>
      <c r="N1159" s="5" t="n"/>
      <c r="O1159" s="5">
        <f>+M1159+N1159</f>
        <v/>
      </c>
      <c r="P1159" s="4" t="n">
        <v>45752</v>
      </c>
      <c r="Q1159" s="87" t="n">
        <v>45741</v>
      </c>
      <c r="R1159" s="5" t="n">
        <v>300</v>
      </c>
      <c r="S1159" s="2" t="n">
        <v>1</v>
      </c>
      <c r="T1159" s="3" t="inlineStr">
        <is>
          <t>6B/2025/2S</t>
        </is>
      </c>
      <c r="U1159" s="86" t="n">
        <v>45771</v>
      </c>
      <c r="V1159" s="3" t="inlineStr">
        <is>
          <t>7</t>
        </is>
      </c>
      <c r="W1159" s="111" t="n">
        <v>45771</v>
      </c>
      <c r="X1159" s="134" t="inlineStr">
        <is>
          <t xml:space="preserve">BIN HUMAID NATIONAL TRAD. CO. </t>
        </is>
      </c>
    </row>
    <row r="1160" ht="24" customHeight="1">
      <c r="A1160" s="2">
        <f>+D1160-S1160</f>
        <v/>
      </c>
      <c r="B1160" s="80" t="n">
        <v>2819</v>
      </c>
      <c r="C1160" s="66" t="n">
        <v>45755</v>
      </c>
      <c r="D1160" s="2" t="n">
        <v>1</v>
      </c>
      <c r="E1160" s="3" t="inlineStr">
        <is>
          <t>CARABINA AD ARIA COMPRESSA</t>
        </is>
      </c>
      <c r="F1160" s="3" t="inlineStr">
        <is>
          <t>5.5</t>
        </is>
      </c>
      <c r="G1160" s="3" t="inlineStr">
        <is>
          <t>STOEGER</t>
        </is>
      </c>
      <c r="H1160" s="65" t="inlineStr">
        <is>
          <t>STO XM1 FULL BPUP SYNTH</t>
        </is>
      </c>
      <c r="I1160" s="65" t="inlineStr">
        <is>
          <t>SAG222152BP</t>
        </is>
      </c>
      <c r="J1160" s="65" t="inlineStr">
        <is>
          <t>N/D</t>
        </is>
      </c>
      <c r="K1160" s="65" t="inlineStr">
        <is>
          <t>N/D</t>
        </is>
      </c>
      <c r="L1160" s="127" t="inlineStr">
        <is>
          <t>BENELLI ARMI SPA</t>
        </is>
      </c>
      <c r="M1160" s="5" t="n">
        <v>261</v>
      </c>
      <c r="N1160" s="5" t="n"/>
      <c r="O1160" s="5">
        <f>+M1160+N1160</f>
        <v/>
      </c>
      <c r="P1160" s="4" t="n">
        <v>45752</v>
      </c>
      <c r="Q1160" s="87" t="n">
        <v>45741</v>
      </c>
      <c r="R1160" s="5" t="n">
        <v>300</v>
      </c>
      <c r="S1160" s="2" t="n">
        <v>1</v>
      </c>
      <c r="T1160" s="3" t="inlineStr">
        <is>
          <t>6B/2025/2S</t>
        </is>
      </c>
      <c r="U1160" s="86" t="n">
        <v>45771</v>
      </c>
      <c r="V1160" s="3" t="inlineStr">
        <is>
          <t>7</t>
        </is>
      </c>
      <c r="W1160" s="111" t="n">
        <v>45771</v>
      </c>
      <c r="X1160" s="134" t="inlineStr">
        <is>
          <t xml:space="preserve">BIN HUMAID NATIONAL TRAD. CO. </t>
        </is>
      </c>
    </row>
    <row r="1161" ht="24" customHeight="1">
      <c r="A1161" s="2">
        <f>+D1161-S1161</f>
        <v/>
      </c>
      <c r="B1161" s="80" t="n">
        <v>2820</v>
      </c>
      <c r="C1161" s="66" t="n">
        <v>45755</v>
      </c>
      <c r="D1161" s="2" t="n">
        <v>1</v>
      </c>
      <c r="E1161" s="3" t="inlineStr">
        <is>
          <t>CARABINA AD ARIA COMPRESSA</t>
        </is>
      </c>
      <c r="F1161" s="3" t="inlineStr">
        <is>
          <t>5.5</t>
        </is>
      </c>
      <c r="G1161" s="3" t="inlineStr">
        <is>
          <t>STOEGER</t>
        </is>
      </c>
      <c r="H1161" s="65" t="inlineStr">
        <is>
          <t>STO XM1 FULL BPUP SYNTH</t>
        </is>
      </c>
      <c r="I1161" s="65" t="inlineStr">
        <is>
          <t>SAG222153BP</t>
        </is>
      </c>
      <c r="J1161" s="65" t="inlineStr">
        <is>
          <t>N/D</t>
        </is>
      </c>
      <c r="K1161" s="65" t="inlineStr">
        <is>
          <t>N/D</t>
        </is>
      </c>
      <c r="L1161" s="127" t="inlineStr">
        <is>
          <t>BENELLI ARMI SPA</t>
        </is>
      </c>
      <c r="M1161" s="5" t="n">
        <v>261</v>
      </c>
      <c r="N1161" s="5" t="n"/>
      <c r="O1161" s="5">
        <f>+M1161+N1161</f>
        <v/>
      </c>
      <c r="P1161" s="4" t="n">
        <v>45752</v>
      </c>
      <c r="Q1161" s="87" t="n">
        <v>45741</v>
      </c>
      <c r="R1161" s="5" t="n">
        <v>300</v>
      </c>
      <c r="S1161" s="2" t="n">
        <v>1</v>
      </c>
      <c r="T1161" s="3" t="inlineStr">
        <is>
          <t>6B/2025/2S</t>
        </is>
      </c>
      <c r="U1161" s="86" t="n">
        <v>45771</v>
      </c>
      <c r="V1161" s="3" t="inlineStr">
        <is>
          <t>7</t>
        </is>
      </c>
      <c r="W1161" s="111" t="n">
        <v>45771</v>
      </c>
      <c r="X1161" s="134" t="inlineStr">
        <is>
          <t xml:space="preserve">BIN HUMAID NATIONAL TRAD. CO. </t>
        </is>
      </c>
    </row>
    <row r="1162" ht="24" customHeight="1">
      <c r="A1162" s="2">
        <f>+D1162-S1162</f>
        <v/>
      </c>
      <c r="B1162" s="80" t="n">
        <v>2821</v>
      </c>
      <c r="C1162" s="66" t="n">
        <v>45755</v>
      </c>
      <c r="D1162" s="2" t="n">
        <v>1</v>
      </c>
      <c r="E1162" s="3" t="inlineStr">
        <is>
          <t>CARABINA AD ARIA COMPRESSA</t>
        </is>
      </c>
      <c r="F1162" s="3" t="inlineStr">
        <is>
          <t>5.5</t>
        </is>
      </c>
      <c r="G1162" s="3" t="inlineStr">
        <is>
          <t>STOEGER</t>
        </is>
      </c>
      <c r="H1162" s="65" t="inlineStr">
        <is>
          <t>STO XM1 FULL BPUP SYNTH</t>
        </is>
      </c>
      <c r="I1162" s="65" t="inlineStr">
        <is>
          <t>SAG222158BP</t>
        </is>
      </c>
      <c r="J1162" s="65" t="inlineStr">
        <is>
          <t>N/D</t>
        </is>
      </c>
      <c r="K1162" s="65" t="inlineStr">
        <is>
          <t>N/D</t>
        </is>
      </c>
      <c r="L1162" s="127" t="inlineStr">
        <is>
          <t>BENELLI ARMI SPA</t>
        </is>
      </c>
      <c r="M1162" s="5" t="n">
        <v>261</v>
      </c>
      <c r="N1162" s="5" t="n"/>
      <c r="O1162" s="5">
        <f>+M1162+N1162</f>
        <v/>
      </c>
      <c r="P1162" s="4" t="n">
        <v>45752</v>
      </c>
      <c r="Q1162" s="87" t="n">
        <v>45741</v>
      </c>
      <c r="R1162" s="5" t="n">
        <v>300</v>
      </c>
      <c r="S1162" s="2" t="n">
        <v>1</v>
      </c>
      <c r="T1162" s="3" t="inlineStr">
        <is>
          <t>6B/2025/2S</t>
        </is>
      </c>
      <c r="U1162" s="86" t="n">
        <v>45771</v>
      </c>
      <c r="V1162" s="3" t="inlineStr">
        <is>
          <t>7</t>
        </is>
      </c>
      <c r="W1162" s="111" t="n">
        <v>45771</v>
      </c>
      <c r="X1162" s="134" t="inlineStr">
        <is>
          <t xml:space="preserve">BIN HUMAID NATIONAL TRAD. CO. </t>
        </is>
      </c>
    </row>
    <row r="1163" ht="24" customHeight="1">
      <c r="A1163" s="2">
        <f>+D1163-S1163</f>
        <v/>
      </c>
      <c r="B1163" s="80" t="n">
        <v>2822</v>
      </c>
      <c r="C1163" s="66" t="n">
        <v>45755</v>
      </c>
      <c r="D1163" s="2" t="n">
        <v>1</v>
      </c>
      <c r="E1163" s="3" t="inlineStr">
        <is>
          <t>CARABINA AD ARIA COMPRESSA</t>
        </is>
      </c>
      <c r="F1163" s="3" t="inlineStr">
        <is>
          <t>5.5</t>
        </is>
      </c>
      <c r="G1163" s="3" t="inlineStr">
        <is>
          <t>STOEGER</t>
        </is>
      </c>
      <c r="H1163" s="65" t="inlineStr">
        <is>
          <t>STO XM1 FULL BPUP SYNTH</t>
        </is>
      </c>
      <c r="I1163" s="65" t="inlineStr">
        <is>
          <t>SAG222159BP</t>
        </is>
      </c>
      <c r="J1163" s="65" t="inlineStr">
        <is>
          <t>N/D</t>
        </is>
      </c>
      <c r="K1163" s="65" t="inlineStr">
        <is>
          <t>N/D</t>
        </is>
      </c>
      <c r="L1163" s="127" t="inlineStr">
        <is>
          <t>BENELLI ARMI SPA</t>
        </is>
      </c>
      <c r="M1163" s="5" t="n">
        <v>261</v>
      </c>
      <c r="N1163" s="5" t="n"/>
      <c r="O1163" s="5">
        <f>+M1163+N1163</f>
        <v/>
      </c>
      <c r="P1163" s="4" t="n">
        <v>45752</v>
      </c>
      <c r="Q1163" s="87" t="n">
        <v>45741</v>
      </c>
      <c r="R1163" s="5" t="n">
        <v>300</v>
      </c>
      <c r="S1163" s="2" t="n">
        <v>1</v>
      </c>
      <c r="T1163" s="3" t="inlineStr">
        <is>
          <t>6B/2025/2S</t>
        </is>
      </c>
      <c r="U1163" s="86" t="n">
        <v>45771</v>
      </c>
      <c r="V1163" s="3" t="inlineStr">
        <is>
          <t>7</t>
        </is>
      </c>
      <c r="W1163" s="111" t="n">
        <v>45771</v>
      </c>
      <c r="X1163" s="134" t="inlineStr">
        <is>
          <t xml:space="preserve">BIN HUMAID NATIONAL TRAD. CO. </t>
        </is>
      </c>
    </row>
    <row r="1164" ht="24" customHeight="1">
      <c r="A1164" s="2">
        <f>+D1164-S1164</f>
        <v/>
      </c>
      <c r="B1164" s="80" t="n">
        <v>2823</v>
      </c>
      <c r="C1164" s="66" t="n">
        <v>45755</v>
      </c>
      <c r="D1164" s="2" t="n">
        <v>1</v>
      </c>
      <c r="E1164" s="3" t="inlineStr">
        <is>
          <t>CARABINA AD ARIA COMPRESSA</t>
        </is>
      </c>
      <c r="F1164" s="3" t="inlineStr">
        <is>
          <t>5.5</t>
        </is>
      </c>
      <c r="G1164" s="3" t="inlineStr">
        <is>
          <t>STOEGER</t>
        </is>
      </c>
      <c r="H1164" s="65" t="inlineStr">
        <is>
          <t>STO XM1 FULL BPUP SYNTH</t>
        </is>
      </c>
      <c r="I1164" s="65" t="inlineStr">
        <is>
          <t>SAG222160BP</t>
        </is>
      </c>
      <c r="J1164" s="65" t="inlineStr">
        <is>
          <t>N/D</t>
        </is>
      </c>
      <c r="K1164" s="65" t="inlineStr">
        <is>
          <t>N/D</t>
        </is>
      </c>
      <c r="L1164" s="127" t="inlineStr">
        <is>
          <t>BENELLI ARMI SPA</t>
        </is>
      </c>
      <c r="M1164" s="5" t="n">
        <v>261</v>
      </c>
      <c r="N1164" s="5" t="n"/>
      <c r="O1164" s="5">
        <f>+M1164+N1164</f>
        <v/>
      </c>
      <c r="P1164" s="4" t="n">
        <v>45752</v>
      </c>
      <c r="Q1164" s="87" t="n">
        <v>45741</v>
      </c>
      <c r="R1164" s="5" t="n">
        <v>300</v>
      </c>
      <c r="S1164" s="2" t="n">
        <v>1</v>
      </c>
      <c r="T1164" s="3" t="inlineStr">
        <is>
          <t>6B/2025/2S</t>
        </is>
      </c>
      <c r="U1164" s="86" t="n">
        <v>45771</v>
      </c>
      <c r="V1164" s="3" t="inlineStr">
        <is>
          <t>7</t>
        </is>
      </c>
      <c r="W1164" s="111" t="n">
        <v>45771</v>
      </c>
      <c r="X1164" s="134" t="inlineStr">
        <is>
          <t xml:space="preserve">BIN HUMAID NATIONAL TRAD. CO. </t>
        </is>
      </c>
    </row>
    <row r="1165" ht="24" customHeight="1">
      <c r="A1165" s="2">
        <f>+D1165-S1165</f>
        <v/>
      </c>
      <c r="B1165" s="80" t="n">
        <v>2824</v>
      </c>
      <c r="C1165" s="66" t="n">
        <v>45755</v>
      </c>
      <c r="D1165" s="2" t="n">
        <v>1</v>
      </c>
      <c r="E1165" s="3" t="inlineStr">
        <is>
          <t>CARABINA AD ARIA COMPRESSA</t>
        </is>
      </c>
      <c r="F1165" s="3" t="inlineStr">
        <is>
          <t>5.5</t>
        </is>
      </c>
      <c r="G1165" s="3" t="inlineStr">
        <is>
          <t>STOEGER</t>
        </is>
      </c>
      <c r="H1165" s="65" t="inlineStr">
        <is>
          <t>STO XM1 FULL BPUP SYNTH</t>
        </is>
      </c>
      <c r="I1165" s="65" t="inlineStr">
        <is>
          <t>SAG222161BP</t>
        </is>
      </c>
      <c r="J1165" s="65" t="inlineStr">
        <is>
          <t>N/D</t>
        </is>
      </c>
      <c r="K1165" s="65" t="inlineStr">
        <is>
          <t>N/D</t>
        </is>
      </c>
      <c r="L1165" s="127" t="inlineStr">
        <is>
          <t>BENELLI ARMI SPA</t>
        </is>
      </c>
      <c r="M1165" s="5" t="n">
        <v>261</v>
      </c>
      <c r="N1165" s="5" t="n"/>
      <c r="O1165" s="5">
        <f>+M1165+N1165</f>
        <v/>
      </c>
      <c r="P1165" s="4" t="n">
        <v>45752</v>
      </c>
      <c r="Q1165" s="87" t="n">
        <v>45741</v>
      </c>
      <c r="R1165" s="5" t="n">
        <v>300</v>
      </c>
      <c r="S1165" s="2" t="n">
        <v>1</v>
      </c>
      <c r="T1165" s="3" t="inlineStr">
        <is>
          <t>6B/2025/2S</t>
        </is>
      </c>
      <c r="U1165" s="86" t="n">
        <v>45771</v>
      </c>
      <c r="V1165" s="3" t="inlineStr">
        <is>
          <t>7</t>
        </is>
      </c>
      <c r="W1165" s="111" t="n">
        <v>45771</v>
      </c>
      <c r="X1165" s="134" t="inlineStr">
        <is>
          <t xml:space="preserve">BIN HUMAID NATIONAL TRAD. CO. </t>
        </is>
      </c>
    </row>
    <row r="1166" ht="24" customHeight="1">
      <c r="A1166" s="2">
        <f>+D1166-S1166</f>
        <v/>
      </c>
      <c r="B1166" s="80" t="n">
        <v>2825</v>
      </c>
      <c r="C1166" s="66" t="n">
        <v>45755</v>
      </c>
      <c r="D1166" s="2" t="n">
        <v>1</v>
      </c>
      <c r="E1166" s="3" t="inlineStr">
        <is>
          <t>CARABINA AD ARIA COMPRESSA</t>
        </is>
      </c>
      <c r="F1166" s="3" t="inlineStr">
        <is>
          <t>5.5</t>
        </is>
      </c>
      <c r="G1166" s="3" t="inlineStr">
        <is>
          <t>STOEGER</t>
        </is>
      </c>
      <c r="H1166" s="65" t="inlineStr">
        <is>
          <t>STO XM1 FULL BPUP SYNTH</t>
        </is>
      </c>
      <c r="I1166" s="65" t="inlineStr">
        <is>
          <t>SAG222162BP</t>
        </is>
      </c>
      <c r="J1166" s="65" t="inlineStr">
        <is>
          <t>N/D</t>
        </is>
      </c>
      <c r="K1166" s="65" t="inlineStr">
        <is>
          <t>N/D</t>
        </is>
      </c>
      <c r="L1166" s="127" t="inlineStr">
        <is>
          <t>BENELLI ARMI SPA</t>
        </is>
      </c>
      <c r="M1166" s="5" t="n">
        <v>261</v>
      </c>
      <c r="N1166" s="5" t="n"/>
      <c r="O1166" s="5">
        <f>+M1166+N1166</f>
        <v/>
      </c>
      <c r="P1166" s="4" t="n">
        <v>45752</v>
      </c>
      <c r="Q1166" s="87" t="n">
        <v>45741</v>
      </c>
      <c r="R1166" s="5" t="n">
        <v>300</v>
      </c>
      <c r="S1166" s="2" t="n">
        <v>1</v>
      </c>
      <c r="T1166" s="3" t="inlineStr">
        <is>
          <t>6B/2025/2S</t>
        </is>
      </c>
      <c r="U1166" s="86" t="n">
        <v>45771</v>
      </c>
      <c r="V1166" s="3" t="inlineStr">
        <is>
          <t>7</t>
        </is>
      </c>
      <c r="W1166" s="111" t="n">
        <v>45771</v>
      </c>
      <c r="X1166" s="134" t="inlineStr">
        <is>
          <t xml:space="preserve">BIN HUMAID NATIONAL TRAD. CO. </t>
        </is>
      </c>
    </row>
    <row r="1167" ht="24" customHeight="1">
      <c r="A1167" s="2">
        <f>+D1167-S1167</f>
        <v/>
      </c>
      <c r="B1167" s="80" t="n">
        <v>2826</v>
      </c>
      <c r="C1167" s="66" t="n">
        <v>45755</v>
      </c>
      <c r="D1167" s="2" t="n">
        <v>1</v>
      </c>
      <c r="E1167" s="3" t="inlineStr">
        <is>
          <t>CARABINA AD ARIA COMPRESSA</t>
        </is>
      </c>
      <c r="F1167" s="3" t="inlineStr">
        <is>
          <t>5.5</t>
        </is>
      </c>
      <c r="G1167" s="3" t="inlineStr">
        <is>
          <t>STOEGER</t>
        </is>
      </c>
      <c r="H1167" s="65" t="inlineStr">
        <is>
          <t>STO XM1 FULL BPUP SYNTH</t>
        </is>
      </c>
      <c r="I1167" s="65" t="inlineStr">
        <is>
          <t>SAG222166BP</t>
        </is>
      </c>
      <c r="J1167" s="65" t="inlineStr">
        <is>
          <t>N/D</t>
        </is>
      </c>
      <c r="K1167" s="65" t="inlineStr">
        <is>
          <t>N/D</t>
        </is>
      </c>
      <c r="L1167" s="127" t="inlineStr">
        <is>
          <t>BENELLI ARMI SPA</t>
        </is>
      </c>
      <c r="M1167" s="5" t="n">
        <v>261</v>
      </c>
      <c r="N1167" s="5" t="n"/>
      <c r="O1167" s="5">
        <f>+M1167+N1167</f>
        <v/>
      </c>
      <c r="P1167" s="4" t="n">
        <v>45752</v>
      </c>
      <c r="Q1167" s="87" t="n">
        <v>45741</v>
      </c>
      <c r="R1167" s="5" t="n">
        <v>300</v>
      </c>
      <c r="S1167" s="2" t="n">
        <v>1</v>
      </c>
      <c r="T1167" s="3" t="inlineStr">
        <is>
          <t>6B/2025/2S</t>
        </is>
      </c>
      <c r="U1167" s="86" t="n">
        <v>45771</v>
      </c>
      <c r="V1167" s="3" t="inlineStr">
        <is>
          <t>7</t>
        </is>
      </c>
      <c r="W1167" s="111" t="n">
        <v>45771</v>
      </c>
      <c r="X1167" s="134" t="inlineStr">
        <is>
          <t xml:space="preserve">BIN HUMAID NATIONAL TRAD. CO. </t>
        </is>
      </c>
    </row>
    <row r="1168" ht="24" customHeight="1">
      <c r="A1168" s="2">
        <f>+D1168-S1168</f>
        <v/>
      </c>
      <c r="B1168" s="80" t="n">
        <v>2827</v>
      </c>
      <c r="C1168" s="66" t="n">
        <v>45755</v>
      </c>
      <c r="D1168" s="2" t="n">
        <v>1</v>
      </c>
      <c r="E1168" s="3" t="inlineStr">
        <is>
          <t>CARABINA AD ARIA COMPRESSA</t>
        </is>
      </c>
      <c r="F1168" s="3" t="inlineStr">
        <is>
          <t>5.5</t>
        </is>
      </c>
      <c r="G1168" s="3" t="inlineStr">
        <is>
          <t>STOEGER</t>
        </is>
      </c>
      <c r="H1168" s="65" t="inlineStr">
        <is>
          <t>STO XM1 FULL BPUP SYNTH</t>
        </is>
      </c>
      <c r="I1168" s="65" t="inlineStr">
        <is>
          <t>SAG222170BP</t>
        </is>
      </c>
      <c r="J1168" s="65" t="inlineStr">
        <is>
          <t>N/D</t>
        </is>
      </c>
      <c r="K1168" s="65" t="inlineStr">
        <is>
          <t>N/D</t>
        </is>
      </c>
      <c r="L1168" s="127" t="inlineStr">
        <is>
          <t>BENELLI ARMI SPA</t>
        </is>
      </c>
      <c r="M1168" s="5" t="n">
        <v>261</v>
      </c>
      <c r="N1168" s="5" t="n"/>
      <c r="O1168" s="5">
        <f>+M1168+N1168</f>
        <v/>
      </c>
      <c r="P1168" s="4" t="n">
        <v>45752</v>
      </c>
      <c r="Q1168" s="87" t="n">
        <v>45741</v>
      </c>
      <c r="R1168" s="5" t="n">
        <v>300</v>
      </c>
      <c r="S1168" s="2" t="n">
        <v>1</v>
      </c>
      <c r="T1168" s="3" t="inlineStr">
        <is>
          <t>6B/2025/2S</t>
        </is>
      </c>
      <c r="U1168" s="86" t="n">
        <v>45771</v>
      </c>
      <c r="V1168" s="3" t="inlineStr">
        <is>
          <t>7</t>
        </is>
      </c>
      <c r="W1168" s="111" t="n">
        <v>45771</v>
      </c>
      <c r="X1168" s="134" t="inlineStr">
        <is>
          <t xml:space="preserve">BIN HUMAID NATIONAL TRAD. CO. </t>
        </is>
      </c>
    </row>
    <row r="1169" ht="24" customHeight="1">
      <c r="A1169" s="2">
        <f>+D1169-S1169</f>
        <v/>
      </c>
      <c r="B1169" s="80" t="n">
        <v>2828</v>
      </c>
      <c r="C1169" s="66" t="n">
        <v>45755</v>
      </c>
      <c r="D1169" s="2" t="n">
        <v>1</v>
      </c>
      <c r="E1169" s="3" t="inlineStr">
        <is>
          <t>CARABINA AD ARIA COMPRESSA</t>
        </is>
      </c>
      <c r="F1169" s="3" t="inlineStr">
        <is>
          <t>5.5</t>
        </is>
      </c>
      <c r="G1169" s="3" t="inlineStr">
        <is>
          <t>STOEGER</t>
        </is>
      </c>
      <c r="H1169" s="65" t="inlineStr">
        <is>
          <t>STO XM1 FULL BPUP SYNTH</t>
        </is>
      </c>
      <c r="I1169" s="65" t="inlineStr">
        <is>
          <t>SAG222171BP</t>
        </is>
      </c>
      <c r="J1169" s="65" t="inlineStr">
        <is>
          <t>N/D</t>
        </is>
      </c>
      <c r="K1169" s="65" t="inlineStr">
        <is>
          <t>N/D</t>
        </is>
      </c>
      <c r="L1169" s="127" t="inlineStr">
        <is>
          <t>BENELLI ARMI SPA</t>
        </is>
      </c>
      <c r="M1169" s="5" t="n">
        <v>261</v>
      </c>
      <c r="N1169" s="5" t="n"/>
      <c r="O1169" s="5">
        <f>+M1169+N1169</f>
        <v/>
      </c>
      <c r="P1169" s="4" t="n">
        <v>45752</v>
      </c>
      <c r="Q1169" s="87" t="n">
        <v>45741</v>
      </c>
      <c r="R1169" s="5" t="n">
        <v>300</v>
      </c>
      <c r="S1169" s="2" t="n">
        <v>1</v>
      </c>
      <c r="T1169" s="3" t="inlineStr">
        <is>
          <t>6B/2025/2S</t>
        </is>
      </c>
      <c r="U1169" s="86" t="n">
        <v>45771</v>
      </c>
      <c r="V1169" s="3" t="inlineStr">
        <is>
          <t>7</t>
        </is>
      </c>
      <c r="W1169" s="111" t="n">
        <v>45771</v>
      </c>
      <c r="X1169" s="134" t="inlineStr">
        <is>
          <t xml:space="preserve">BIN HUMAID NATIONAL TRAD. CO. </t>
        </is>
      </c>
    </row>
    <row r="1170" ht="24" customHeight="1">
      <c r="A1170" s="2">
        <f>+D1170-S1170</f>
        <v/>
      </c>
      <c r="B1170" s="80" t="n">
        <v>2829</v>
      </c>
      <c r="C1170" s="66" t="n">
        <v>45755</v>
      </c>
      <c r="D1170" s="2" t="n">
        <v>1</v>
      </c>
      <c r="E1170" s="3" t="inlineStr">
        <is>
          <t>CARABINA AD ARIA COMPRESSA</t>
        </is>
      </c>
      <c r="F1170" s="3" t="inlineStr">
        <is>
          <t>5.5</t>
        </is>
      </c>
      <c r="G1170" s="3" t="inlineStr">
        <is>
          <t>STOEGER</t>
        </is>
      </c>
      <c r="H1170" s="65" t="inlineStr">
        <is>
          <t>STO XM1 FULL BPUP SYNTH</t>
        </is>
      </c>
      <c r="I1170" s="65" t="inlineStr">
        <is>
          <t>SAG222176BP</t>
        </is>
      </c>
      <c r="J1170" s="65" t="inlineStr">
        <is>
          <t>N/D</t>
        </is>
      </c>
      <c r="K1170" s="65" t="inlineStr">
        <is>
          <t>N/D</t>
        </is>
      </c>
      <c r="L1170" s="127" t="inlineStr">
        <is>
          <t>BENELLI ARMI SPA</t>
        </is>
      </c>
      <c r="M1170" s="5" t="n">
        <v>261</v>
      </c>
      <c r="N1170" s="5" t="n"/>
      <c r="O1170" s="5">
        <f>+M1170+N1170</f>
        <v/>
      </c>
      <c r="P1170" s="4" t="n">
        <v>45752</v>
      </c>
      <c r="Q1170" s="87" t="n">
        <v>45741</v>
      </c>
      <c r="R1170" s="5" t="n">
        <v>300</v>
      </c>
      <c r="S1170" s="2" t="n">
        <v>1</v>
      </c>
      <c r="T1170" s="3" t="inlineStr">
        <is>
          <t>6B/2025/2S</t>
        </is>
      </c>
      <c r="U1170" s="86" t="n">
        <v>45771</v>
      </c>
      <c r="V1170" s="3" t="inlineStr">
        <is>
          <t>7</t>
        </is>
      </c>
      <c r="W1170" s="111" t="n">
        <v>45771</v>
      </c>
      <c r="X1170" s="134" t="inlineStr">
        <is>
          <t xml:space="preserve">BIN HUMAID NATIONAL TRAD. CO. </t>
        </is>
      </c>
    </row>
    <row r="1171" ht="24" customHeight="1">
      <c r="A1171" s="2">
        <f>+D1171-S1171</f>
        <v/>
      </c>
      <c r="B1171" s="80" t="n">
        <v>2830</v>
      </c>
      <c r="C1171" s="66" t="n">
        <v>45755</v>
      </c>
      <c r="D1171" s="2" t="n">
        <v>1</v>
      </c>
      <c r="E1171" s="3" t="inlineStr">
        <is>
          <t>CARABINA AD ARIA COMPRESSA</t>
        </is>
      </c>
      <c r="F1171" s="3" t="inlineStr">
        <is>
          <t>5.5</t>
        </is>
      </c>
      <c r="G1171" s="3" t="inlineStr">
        <is>
          <t>STOEGER</t>
        </is>
      </c>
      <c r="H1171" s="65" t="inlineStr">
        <is>
          <t>STO XM1 FULL BPUP SYNTH</t>
        </is>
      </c>
      <c r="I1171" s="65" t="inlineStr">
        <is>
          <t>SAG222178BP</t>
        </is>
      </c>
      <c r="J1171" s="65" t="inlineStr">
        <is>
          <t>N/D</t>
        </is>
      </c>
      <c r="K1171" s="65" t="inlineStr">
        <is>
          <t>N/D</t>
        </is>
      </c>
      <c r="L1171" s="127" t="inlineStr">
        <is>
          <t>BENELLI ARMI SPA</t>
        </is>
      </c>
      <c r="M1171" s="5" t="n">
        <v>261</v>
      </c>
      <c r="N1171" s="5" t="n"/>
      <c r="O1171" s="5">
        <f>+M1171+N1171</f>
        <v/>
      </c>
      <c r="P1171" s="4" t="n">
        <v>45752</v>
      </c>
      <c r="Q1171" s="87" t="n">
        <v>45741</v>
      </c>
      <c r="R1171" s="5" t="n">
        <v>300</v>
      </c>
      <c r="S1171" s="2" t="n">
        <v>1</v>
      </c>
      <c r="T1171" s="3" t="inlineStr">
        <is>
          <t>6B/2025/2S</t>
        </is>
      </c>
      <c r="U1171" s="86" t="n">
        <v>45771</v>
      </c>
      <c r="V1171" s="3" t="inlineStr">
        <is>
          <t>7</t>
        </is>
      </c>
      <c r="W1171" s="111" t="n">
        <v>45771</v>
      </c>
      <c r="X1171" s="134" t="inlineStr">
        <is>
          <t xml:space="preserve">BIN HUMAID NATIONAL TRAD. CO. </t>
        </is>
      </c>
    </row>
    <row r="1172" ht="24" customHeight="1">
      <c r="A1172" s="2">
        <f>+D1172-S1172</f>
        <v/>
      </c>
      <c r="B1172" s="80" t="n">
        <v>2831</v>
      </c>
      <c r="C1172" s="66" t="n">
        <v>45755</v>
      </c>
      <c r="D1172" s="2" t="n">
        <v>1</v>
      </c>
      <c r="E1172" s="3" t="inlineStr">
        <is>
          <t>CARABINA AD ARIA COMPRESSA</t>
        </is>
      </c>
      <c r="F1172" s="3" t="inlineStr">
        <is>
          <t>5.5</t>
        </is>
      </c>
      <c r="G1172" s="3" t="inlineStr">
        <is>
          <t>STOEGER</t>
        </is>
      </c>
      <c r="H1172" s="65" t="inlineStr">
        <is>
          <t>STO XM1 FULL BPUP SYNTH</t>
        </is>
      </c>
      <c r="I1172" s="65" t="inlineStr">
        <is>
          <t>SAG222179BP</t>
        </is>
      </c>
      <c r="J1172" s="65" t="inlineStr">
        <is>
          <t>N/D</t>
        </is>
      </c>
      <c r="K1172" s="65" t="inlineStr">
        <is>
          <t>N/D</t>
        </is>
      </c>
      <c r="L1172" s="127" t="inlineStr">
        <is>
          <t>BENELLI ARMI SPA</t>
        </is>
      </c>
      <c r="M1172" s="5" t="n">
        <v>261</v>
      </c>
      <c r="N1172" s="5" t="n"/>
      <c r="O1172" s="5">
        <f>+M1172+N1172</f>
        <v/>
      </c>
      <c r="P1172" s="4" t="n">
        <v>45752</v>
      </c>
      <c r="Q1172" s="87" t="n">
        <v>45741</v>
      </c>
      <c r="R1172" s="5" t="n">
        <v>300</v>
      </c>
      <c r="S1172" s="2" t="n">
        <v>1</v>
      </c>
      <c r="T1172" s="3" t="inlineStr">
        <is>
          <t>6B/2025/2S</t>
        </is>
      </c>
      <c r="U1172" s="86" t="n">
        <v>45771</v>
      </c>
      <c r="V1172" s="3" t="inlineStr">
        <is>
          <t>7</t>
        </is>
      </c>
      <c r="W1172" s="111" t="n">
        <v>45771</v>
      </c>
      <c r="X1172" s="134" t="inlineStr">
        <is>
          <t xml:space="preserve">BIN HUMAID NATIONAL TRAD. CO. </t>
        </is>
      </c>
    </row>
    <row r="1173" ht="24" customHeight="1">
      <c r="A1173" s="2">
        <f>+D1173-S1173</f>
        <v/>
      </c>
      <c r="B1173" s="80" t="n">
        <v>2832</v>
      </c>
      <c r="C1173" s="66" t="n">
        <v>45755</v>
      </c>
      <c r="D1173" s="2" t="n">
        <v>1</v>
      </c>
      <c r="E1173" s="3" t="inlineStr">
        <is>
          <t>CARABINA AD ARIA COMPRESSA</t>
        </is>
      </c>
      <c r="F1173" s="3" t="inlineStr">
        <is>
          <t>5.5</t>
        </is>
      </c>
      <c r="G1173" s="3" t="inlineStr">
        <is>
          <t>STOEGER</t>
        </is>
      </c>
      <c r="H1173" s="65" t="inlineStr">
        <is>
          <t>STO XM1 FULL BPUP SYNTH</t>
        </is>
      </c>
      <c r="I1173" s="65" t="inlineStr">
        <is>
          <t>SAG222180BP</t>
        </is>
      </c>
      <c r="J1173" s="65" t="inlineStr">
        <is>
          <t>N/D</t>
        </is>
      </c>
      <c r="K1173" s="65" t="inlineStr">
        <is>
          <t>N/D</t>
        </is>
      </c>
      <c r="L1173" s="127" t="inlineStr">
        <is>
          <t>BENELLI ARMI SPA</t>
        </is>
      </c>
      <c r="M1173" s="5" t="n">
        <v>261</v>
      </c>
      <c r="N1173" s="5" t="n"/>
      <c r="O1173" s="5">
        <f>+M1173+N1173</f>
        <v/>
      </c>
      <c r="P1173" s="4" t="n">
        <v>45752</v>
      </c>
      <c r="Q1173" s="87" t="n">
        <v>45741</v>
      </c>
      <c r="R1173" s="5" t="n">
        <v>300</v>
      </c>
      <c r="S1173" s="2" t="n">
        <v>1</v>
      </c>
      <c r="T1173" s="3" t="inlineStr">
        <is>
          <t>6B/2025/2S</t>
        </is>
      </c>
      <c r="U1173" s="86" t="n">
        <v>45771</v>
      </c>
      <c r="V1173" s="3" t="inlineStr">
        <is>
          <t>7</t>
        </is>
      </c>
      <c r="W1173" s="111" t="n">
        <v>45771</v>
      </c>
      <c r="X1173" s="134" t="inlineStr">
        <is>
          <t xml:space="preserve">BIN HUMAID NATIONAL TRAD. CO. </t>
        </is>
      </c>
    </row>
    <row r="1174" ht="24" customHeight="1">
      <c r="A1174" s="2">
        <f>+D1174-S1174</f>
        <v/>
      </c>
      <c r="B1174" s="80" t="n">
        <v>2833</v>
      </c>
      <c r="C1174" s="66" t="n">
        <v>45755</v>
      </c>
      <c r="D1174" s="2" t="n">
        <v>1</v>
      </c>
      <c r="E1174" s="3" t="inlineStr">
        <is>
          <t>CARABINA AD ARIA COMPRESSA</t>
        </is>
      </c>
      <c r="F1174" s="3" t="inlineStr">
        <is>
          <t>5.5</t>
        </is>
      </c>
      <c r="G1174" s="3" t="inlineStr">
        <is>
          <t>STOEGER</t>
        </is>
      </c>
      <c r="H1174" s="65" t="inlineStr">
        <is>
          <t>STO XM1 FULL BPUP SYNTH</t>
        </is>
      </c>
      <c r="I1174" s="65" t="inlineStr">
        <is>
          <t>SAG222181BP</t>
        </is>
      </c>
      <c r="J1174" s="65" t="inlineStr">
        <is>
          <t>N/D</t>
        </is>
      </c>
      <c r="K1174" s="65" t="inlineStr">
        <is>
          <t>N/D</t>
        </is>
      </c>
      <c r="L1174" s="127" t="inlineStr">
        <is>
          <t>BENELLI ARMI SPA</t>
        </is>
      </c>
      <c r="M1174" s="5" t="n">
        <v>261</v>
      </c>
      <c r="N1174" s="5" t="n"/>
      <c r="O1174" s="5">
        <f>+M1174+N1174</f>
        <v/>
      </c>
      <c r="P1174" s="4" t="n">
        <v>45752</v>
      </c>
      <c r="Q1174" s="87" t="n">
        <v>45741</v>
      </c>
      <c r="R1174" s="5" t="n">
        <v>300</v>
      </c>
      <c r="S1174" s="2" t="n">
        <v>1</v>
      </c>
      <c r="T1174" s="3" t="inlineStr">
        <is>
          <t>6B/2025/2S</t>
        </is>
      </c>
      <c r="U1174" s="86" t="n">
        <v>45771</v>
      </c>
      <c r="V1174" s="3" t="inlineStr">
        <is>
          <t>7</t>
        </is>
      </c>
      <c r="W1174" s="111" t="n">
        <v>45771</v>
      </c>
      <c r="X1174" s="134" t="inlineStr">
        <is>
          <t xml:space="preserve">BIN HUMAID NATIONAL TRAD. CO. </t>
        </is>
      </c>
    </row>
    <row r="1175" ht="24" customHeight="1">
      <c r="A1175" s="2">
        <f>+D1175-S1175</f>
        <v/>
      </c>
      <c r="B1175" s="80" t="n">
        <v>2834</v>
      </c>
      <c r="C1175" s="66" t="n">
        <v>45755</v>
      </c>
      <c r="D1175" s="2" t="n">
        <v>1</v>
      </c>
      <c r="E1175" s="3" t="inlineStr">
        <is>
          <t>CARABINA AD ARIA COMPRESSA</t>
        </is>
      </c>
      <c r="F1175" s="3" t="inlineStr">
        <is>
          <t>5.5</t>
        </is>
      </c>
      <c r="G1175" s="3" t="inlineStr">
        <is>
          <t>STOEGER</t>
        </is>
      </c>
      <c r="H1175" s="65" t="inlineStr">
        <is>
          <t>STO XM1 FULL BPUP SYNTH</t>
        </is>
      </c>
      <c r="I1175" s="65" t="inlineStr">
        <is>
          <t>SAG222183BP</t>
        </is>
      </c>
      <c r="J1175" s="65" t="inlineStr">
        <is>
          <t>N/D</t>
        </is>
      </c>
      <c r="K1175" s="65" t="inlineStr">
        <is>
          <t>N/D</t>
        </is>
      </c>
      <c r="L1175" s="127" t="inlineStr">
        <is>
          <t>BENELLI ARMI SPA</t>
        </is>
      </c>
      <c r="M1175" s="5" t="n">
        <v>261</v>
      </c>
      <c r="N1175" s="5" t="n"/>
      <c r="O1175" s="5">
        <f>+M1175+N1175</f>
        <v/>
      </c>
      <c r="P1175" s="4" t="n">
        <v>45752</v>
      </c>
      <c r="Q1175" s="87" t="n">
        <v>45741</v>
      </c>
      <c r="R1175" s="5" t="n">
        <v>300</v>
      </c>
      <c r="S1175" s="2" t="n">
        <v>1</v>
      </c>
      <c r="T1175" s="3" t="inlineStr">
        <is>
          <t>6B/2025/2S</t>
        </is>
      </c>
      <c r="U1175" s="86" t="n">
        <v>45771</v>
      </c>
      <c r="V1175" s="3" t="inlineStr">
        <is>
          <t>7</t>
        </is>
      </c>
      <c r="W1175" s="111" t="n">
        <v>45771</v>
      </c>
      <c r="X1175" s="134" t="inlineStr">
        <is>
          <t xml:space="preserve">BIN HUMAID NATIONAL TRAD. CO. </t>
        </is>
      </c>
    </row>
    <row r="1176" ht="24" customHeight="1">
      <c r="A1176" s="2">
        <f>+D1176-S1176</f>
        <v/>
      </c>
      <c r="B1176" s="80" t="n">
        <v>2835</v>
      </c>
      <c r="C1176" s="66" t="n">
        <v>45755</v>
      </c>
      <c r="D1176" s="2" t="n">
        <v>1</v>
      </c>
      <c r="E1176" s="3" t="inlineStr">
        <is>
          <t>CARABINA AD ARIA COMPRESSA</t>
        </is>
      </c>
      <c r="F1176" s="3" t="inlineStr">
        <is>
          <t>5.5</t>
        </is>
      </c>
      <c r="G1176" s="3" t="inlineStr">
        <is>
          <t>STOEGER</t>
        </is>
      </c>
      <c r="H1176" s="65" t="inlineStr">
        <is>
          <t>STO XM1 FULL BPUP SYNTH</t>
        </is>
      </c>
      <c r="I1176" s="65" t="inlineStr">
        <is>
          <t>SAG222185BP</t>
        </is>
      </c>
      <c r="J1176" s="65" t="inlineStr">
        <is>
          <t>N/D</t>
        </is>
      </c>
      <c r="K1176" s="65" t="inlineStr">
        <is>
          <t>N/D</t>
        </is>
      </c>
      <c r="L1176" s="127" t="inlineStr">
        <is>
          <t>BENELLI ARMI SPA</t>
        </is>
      </c>
      <c r="M1176" s="5" t="n">
        <v>261</v>
      </c>
      <c r="N1176" s="5" t="n"/>
      <c r="O1176" s="5">
        <f>+M1176+N1176</f>
        <v/>
      </c>
      <c r="P1176" s="4" t="n">
        <v>45752</v>
      </c>
      <c r="Q1176" s="87" t="n">
        <v>45741</v>
      </c>
      <c r="R1176" s="5" t="n">
        <v>300</v>
      </c>
      <c r="S1176" s="2" t="n">
        <v>1</v>
      </c>
      <c r="T1176" s="3" t="inlineStr">
        <is>
          <t>6B/2025/2S</t>
        </is>
      </c>
      <c r="U1176" s="86" t="n">
        <v>45771</v>
      </c>
      <c r="V1176" s="3" t="inlineStr">
        <is>
          <t>7</t>
        </is>
      </c>
      <c r="W1176" s="111" t="n">
        <v>45771</v>
      </c>
      <c r="X1176" s="134" t="inlineStr">
        <is>
          <t xml:space="preserve">BIN HUMAID NATIONAL TRAD. CO. </t>
        </is>
      </c>
    </row>
    <row r="1177" ht="24" customHeight="1">
      <c r="A1177" s="2">
        <f>+D1177-S1177</f>
        <v/>
      </c>
      <c r="B1177" s="80" t="n">
        <v>2836</v>
      </c>
      <c r="C1177" s="66" t="n">
        <v>45755</v>
      </c>
      <c r="D1177" s="2" t="n">
        <v>1</v>
      </c>
      <c r="E1177" s="3" t="inlineStr">
        <is>
          <t>CARABINA AD ARIA COMPRESSA</t>
        </is>
      </c>
      <c r="F1177" s="3" t="inlineStr">
        <is>
          <t>5.5</t>
        </is>
      </c>
      <c r="G1177" s="3" t="inlineStr">
        <is>
          <t>STOEGER</t>
        </is>
      </c>
      <c r="H1177" s="65" t="inlineStr">
        <is>
          <t>STO XM1 FULL BPUP SYNTH</t>
        </is>
      </c>
      <c r="I1177" s="65" t="inlineStr">
        <is>
          <t>SAG222186BP</t>
        </is>
      </c>
      <c r="J1177" s="65" t="inlineStr">
        <is>
          <t>N/D</t>
        </is>
      </c>
      <c r="K1177" s="65" t="inlineStr">
        <is>
          <t>N/D</t>
        </is>
      </c>
      <c r="L1177" s="127" t="inlineStr">
        <is>
          <t>BENELLI ARMI SPA</t>
        </is>
      </c>
      <c r="M1177" s="5" t="n">
        <v>261</v>
      </c>
      <c r="N1177" s="5" t="n"/>
      <c r="O1177" s="5">
        <f>+M1177+N1177</f>
        <v/>
      </c>
      <c r="P1177" s="4" t="n">
        <v>45752</v>
      </c>
      <c r="Q1177" s="87" t="n">
        <v>45741</v>
      </c>
      <c r="R1177" s="5" t="n">
        <v>300</v>
      </c>
      <c r="S1177" s="2" t="n">
        <v>1</v>
      </c>
      <c r="T1177" s="3" t="inlineStr">
        <is>
          <t>6B/2025/2S</t>
        </is>
      </c>
      <c r="U1177" s="86" t="n">
        <v>45771</v>
      </c>
      <c r="V1177" s="3" t="inlineStr">
        <is>
          <t>7</t>
        </is>
      </c>
      <c r="W1177" s="111" t="n">
        <v>45771</v>
      </c>
      <c r="X1177" s="134" t="inlineStr">
        <is>
          <t xml:space="preserve">BIN HUMAID NATIONAL TRAD. CO. </t>
        </is>
      </c>
    </row>
    <row r="1178" ht="24" customHeight="1">
      <c r="A1178" s="2">
        <f>+D1178-S1178</f>
        <v/>
      </c>
      <c r="B1178" s="80" t="n">
        <v>2837</v>
      </c>
      <c r="C1178" s="66" t="n">
        <v>45755</v>
      </c>
      <c r="D1178" s="2" t="n">
        <v>1</v>
      </c>
      <c r="E1178" s="3" t="inlineStr">
        <is>
          <t>CARABINA AD ARIA COMPRESSA</t>
        </is>
      </c>
      <c r="F1178" s="3" t="inlineStr">
        <is>
          <t>5.5</t>
        </is>
      </c>
      <c r="G1178" s="3" t="inlineStr">
        <is>
          <t>STOEGER</t>
        </is>
      </c>
      <c r="H1178" s="65" t="inlineStr">
        <is>
          <t>STO XM1 FULL BPUP SYNTH</t>
        </is>
      </c>
      <c r="I1178" s="65" t="inlineStr">
        <is>
          <t>SAG222187BP</t>
        </is>
      </c>
      <c r="J1178" s="65" t="inlineStr">
        <is>
          <t>N/D</t>
        </is>
      </c>
      <c r="K1178" s="65" t="inlineStr">
        <is>
          <t>N/D</t>
        </is>
      </c>
      <c r="L1178" s="127" t="inlineStr">
        <is>
          <t>BENELLI ARMI SPA</t>
        </is>
      </c>
      <c r="M1178" s="5" t="n">
        <v>261</v>
      </c>
      <c r="N1178" s="5" t="n"/>
      <c r="O1178" s="5">
        <f>+M1178+N1178</f>
        <v/>
      </c>
      <c r="P1178" s="4" t="n">
        <v>45752</v>
      </c>
      <c r="Q1178" s="87" t="n">
        <v>45741</v>
      </c>
      <c r="R1178" s="5" t="n">
        <v>300</v>
      </c>
      <c r="S1178" s="2" t="n">
        <v>1</v>
      </c>
      <c r="T1178" s="3" t="inlineStr">
        <is>
          <t>6B/2025/2S</t>
        </is>
      </c>
      <c r="U1178" s="86" t="n">
        <v>45771</v>
      </c>
      <c r="V1178" s="3" t="inlineStr">
        <is>
          <t>7</t>
        </is>
      </c>
      <c r="W1178" s="111" t="n">
        <v>45771</v>
      </c>
      <c r="X1178" s="134" t="inlineStr">
        <is>
          <t xml:space="preserve">BIN HUMAID NATIONAL TRAD. CO. </t>
        </is>
      </c>
    </row>
    <row r="1179" ht="24" customHeight="1">
      <c r="A1179" s="2">
        <f>+D1179-S1179</f>
        <v/>
      </c>
      <c r="B1179" s="80" t="n">
        <v>2838</v>
      </c>
      <c r="C1179" s="66" t="n">
        <v>45755</v>
      </c>
      <c r="D1179" s="2" t="n">
        <v>1</v>
      </c>
      <c r="E1179" s="3" t="inlineStr">
        <is>
          <t>CARABINA AD ARIA COMPRESSA</t>
        </is>
      </c>
      <c r="F1179" s="3" t="inlineStr">
        <is>
          <t>5.5</t>
        </is>
      </c>
      <c r="G1179" s="3" t="inlineStr">
        <is>
          <t>STOEGER</t>
        </is>
      </c>
      <c r="H1179" s="65" t="inlineStr">
        <is>
          <t>STO XM1 FULL BPUP SYNTH</t>
        </is>
      </c>
      <c r="I1179" s="65" t="inlineStr">
        <is>
          <t>SAG222193BP</t>
        </is>
      </c>
      <c r="J1179" s="65" t="inlineStr">
        <is>
          <t>N/D</t>
        </is>
      </c>
      <c r="K1179" s="65" t="inlineStr">
        <is>
          <t>N/D</t>
        </is>
      </c>
      <c r="L1179" s="127" t="inlineStr">
        <is>
          <t>BENELLI ARMI SPA</t>
        </is>
      </c>
      <c r="M1179" s="5" t="n">
        <v>261</v>
      </c>
      <c r="N1179" s="5" t="n"/>
      <c r="O1179" s="5">
        <f>+M1179+N1179</f>
        <v/>
      </c>
      <c r="P1179" s="4" t="n">
        <v>45752</v>
      </c>
      <c r="Q1179" s="87" t="n">
        <v>45741</v>
      </c>
      <c r="R1179" s="5" t="n">
        <v>300</v>
      </c>
      <c r="S1179" s="2" t="n">
        <v>1</v>
      </c>
      <c r="T1179" s="3" t="inlineStr">
        <is>
          <t>6B/2025/2S</t>
        </is>
      </c>
      <c r="U1179" s="86" t="n">
        <v>45771</v>
      </c>
      <c r="V1179" s="3" t="inlineStr">
        <is>
          <t>7</t>
        </is>
      </c>
      <c r="W1179" s="111" t="n">
        <v>45771</v>
      </c>
      <c r="X1179" s="134" t="inlineStr">
        <is>
          <t xml:space="preserve">BIN HUMAID NATIONAL TRAD. CO. </t>
        </is>
      </c>
    </row>
    <row r="1180" ht="24" customHeight="1">
      <c r="A1180" s="2">
        <f>+D1180-S1180</f>
        <v/>
      </c>
      <c r="B1180" s="80" t="n">
        <v>2839</v>
      </c>
      <c r="C1180" s="66" t="n">
        <v>45755</v>
      </c>
      <c r="D1180" s="2" t="n">
        <v>1</v>
      </c>
      <c r="E1180" s="3" t="inlineStr">
        <is>
          <t>CARABINA AD ARIA COMPRESSA</t>
        </is>
      </c>
      <c r="F1180" s="3" t="inlineStr">
        <is>
          <t>5.5</t>
        </is>
      </c>
      <c r="G1180" s="3" t="inlineStr">
        <is>
          <t>STOEGER</t>
        </is>
      </c>
      <c r="H1180" s="65" t="inlineStr">
        <is>
          <t>STO XM1 FULL BPUP SYNTH</t>
        </is>
      </c>
      <c r="I1180" s="65" t="inlineStr">
        <is>
          <t>SAG222199BP</t>
        </is>
      </c>
      <c r="J1180" s="65" t="inlineStr">
        <is>
          <t>N/D</t>
        </is>
      </c>
      <c r="K1180" s="65" t="inlineStr">
        <is>
          <t>N/D</t>
        </is>
      </c>
      <c r="L1180" s="127" t="inlineStr">
        <is>
          <t>BENELLI ARMI SPA</t>
        </is>
      </c>
      <c r="M1180" s="5" t="n">
        <v>261</v>
      </c>
      <c r="N1180" s="5" t="n"/>
      <c r="O1180" s="5">
        <f>+M1180+N1180</f>
        <v/>
      </c>
      <c r="P1180" s="4" t="n">
        <v>45752</v>
      </c>
      <c r="Q1180" s="87" t="n">
        <v>45741</v>
      </c>
      <c r="R1180" s="5" t="n">
        <v>300</v>
      </c>
      <c r="S1180" s="2" t="n">
        <v>1</v>
      </c>
      <c r="T1180" s="3" t="inlineStr">
        <is>
          <t>6B/2025/2S</t>
        </is>
      </c>
      <c r="U1180" s="86" t="n">
        <v>45771</v>
      </c>
      <c r="V1180" s="3" t="inlineStr">
        <is>
          <t>7</t>
        </is>
      </c>
      <c r="W1180" s="111" t="n">
        <v>45771</v>
      </c>
      <c r="X1180" s="134" t="inlineStr">
        <is>
          <t xml:space="preserve">BIN HUMAID NATIONAL TRAD. CO. </t>
        </is>
      </c>
    </row>
    <row r="1181" ht="24" customHeight="1">
      <c r="A1181" s="2">
        <f>+D1181-S1181</f>
        <v/>
      </c>
      <c r="B1181" s="80" t="n">
        <v>2840</v>
      </c>
      <c r="C1181" s="66" t="n">
        <v>45755</v>
      </c>
      <c r="D1181" s="2" t="n">
        <v>1</v>
      </c>
      <c r="E1181" s="3" t="inlineStr">
        <is>
          <t>CARABINA AD ARIA COMPRESSA</t>
        </is>
      </c>
      <c r="F1181" s="3" t="inlineStr">
        <is>
          <t>5.5</t>
        </is>
      </c>
      <c r="G1181" s="3" t="inlineStr">
        <is>
          <t>STOEGER</t>
        </is>
      </c>
      <c r="H1181" s="65" t="inlineStr">
        <is>
          <t>STO XM1 FULL BPUP SYNTH</t>
        </is>
      </c>
      <c r="I1181" s="65" t="inlineStr">
        <is>
          <t>SAG222200BP</t>
        </is>
      </c>
      <c r="J1181" s="65" t="inlineStr">
        <is>
          <t>N/D</t>
        </is>
      </c>
      <c r="K1181" s="65" t="inlineStr">
        <is>
          <t>N/D</t>
        </is>
      </c>
      <c r="L1181" s="127" t="inlineStr">
        <is>
          <t>BENELLI ARMI SPA</t>
        </is>
      </c>
      <c r="M1181" s="5" t="n">
        <v>261</v>
      </c>
      <c r="N1181" s="5" t="n"/>
      <c r="O1181" s="5">
        <f>+M1181+N1181</f>
        <v/>
      </c>
      <c r="P1181" s="4" t="n">
        <v>45752</v>
      </c>
      <c r="Q1181" s="87" t="n">
        <v>45741</v>
      </c>
      <c r="R1181" s="5" t="n">
        <v>300</v>
      </c>
      <c r="S1181" s="2" t="n">
        <v>1</v>
      </c>
      <c r="T1181" s="3" t="inlineStr">
        <is>
          <t>6B/2025/2S</t>
        </is>
      </c>
      <c r="U1181" s="86" t="n">
        <v>45771</v>
      </c>
      <c r="V1181" s="3" t="inlineStr">
        <is>
          <t>7</t>
        </is>
      </c>
      <c r="W1181" s="111" t="n">
        <v>45771</v>
      </c>
      <c r="X1181" s="134" t="inlineStr">
        <is>
          <t xml:space="preserve">BIN HUMAID NATIONAL TRAD. CO. </t>
        </is>
      </c>
    </row>
    <row r="1182" ht="24" customHeight="1">
      <c r="A1182" s="2">
        <f>+D1182-S1182</f>
        <v/>
      </c>
      <c r="B1182" s="80" t="n">
        <v>2841</v>
      </c>
      <c r="C1182" s="66" t="n">
        <v>45755</v>
      </c>
      <c r="D1182" s="2" t="n">
        <v>1</v>
      </c>
      <c r="E1182" s="3" t="inlineStr">
        <is>
          <t>CARABINA AD ARIA COMPRESSA</t>
        </is>
      </c>
      <c r="F1182" s="3" t="inlineStr">
        <is>
          <t>5.5</t>
        </is>
      </c>
      <c r="G1182" s="3" t="inlineStr">
        <is>
          <t>STOEGER</t>
        </is>
      </c>
      <c r="H1182" s="65" t="inlineStr">
        <is>
          <t>STO XM1 FULL BPUP SYNTH</t>
        </is>
      </c>
      <c r="I1182" s="65" t="inlineStr">
        <is>
          <t>SAG222203BP</t>
        </is>
      </c>
      <c r="J1182" s="65" t="inlineStr">
        <is>
          <t>N/D</t>
        </is>
      </c>
      <c r="K1182" s="65" t="inlineStr">
        <is>
          <t>N/D</t>
        </is>
      </c>
      <c r="L1182" s="127" t="inlineStr">
        <is>
          <t>BENELLI ARMI SPA</t>
        </is>
      </c>
      <c r="M1182" s="5" t="n">
        <v>261</v>
      </c>
      <c r="N1182" s="5" t="n"/>
      <c r="O1182" s="5">
        <f>+M1182+N1182</f>
        <v/>
      </c>
      <c r="P1182" s="4" t="n">
        <v>45752</v>
      </c>
      <c r="Q1182" s="87" t="n">
        <v>45741</v>
      </c>
      <c r="R1182" s="5" t="n">
        <v>300</v>
      </c>
      <c r="S1182" s="2" t="n">
        <v>1</v>
      </c>
      <c r="T1182" s="3" t="inlineStr">
        <is>
          <t>6B/2025/2S</t>
        </is>
      </c>
      <c r="U1182" s="86" t="n">
        <v>45771</v>
      </c>
      <c r="V1182" s="3" t="inlineStr">
        <is>
          <t>7</t>
        </is>
      </c>
      <c r="W1182" s="111" t="n">
        <v>45771</v>
      </c>
      <c r="X1182" s="134" t="inlineStr">
        <is>
          <t xml:space="preserve">BIN HUMAID NATIONAL TRAD. CO. </t>
        </is>
      </c>
    </row>
    <row r="1183" ht="24" customHeight="1">
      <c r="A1183" s="2">
        <f>+D1183-S1183</f>
        <v/>
      </c>
      <c r="B1183" s="80" t="n">
        <v>2842</v>
      </c>
      <c r="C1183" s="66" t="n">
        <v>45755</v>
      </c>
      <c r="D1183" s="2" t="n">
        <v>1</v>
      </c>
      <c r="E1183" s="3" t="inlineStr">
        <is>
          <t>CARABINA AD ARIA COMPRESSA</t>
        </is>
      </c>
      <c r="F1183" s="3" t="inlineStr">
        <is>
          <t>5.5</t>
        </is>
      </c>
      <c r="G1183" s="3" t="inlineStr">
        <is>
          <t>STOEGER</t>
        </is>
      </c>
      <c r="H1183" s="65" t="inlineStr">
        <is>
          <t>STO XM1 FULL BPUP SYNTH</t>
        </is>
      </c>
      <c r="I1183" s="65" t="inlineStr">
        <is>
          <t>SAG222204BP</t>
        </is>
      </c>
      <c r="J1183" s="65" t="inlineStr">
        <is>
          <t>N/D</t>
        </is>
      </c>
      <c r="K1183" s="65" t="inlineStr">
        <is>
          <t>N/D</t>
        </is>
      </c>
      <c r="L1183" s="127" t="inlineStr">
        <is>
          <t>BENELLI ARMI SPA</t>
        </is>
      </c>
      <c r="M1183" s="5" t="n">
        <v>261</v>
      </c>
      <c r="N1183" s="5" t="n"/>
      <c r="O1183" s="5">
        <f>+M1183+N1183</f>
        <v/>
      </c>
      <c r="P1183" s="4" t="n">
        <v>45752</v>
      </c>
      <c r="Q1183" s="87" t="n">
        <v>45741</v>
      </c>
      <c r="R1183" s="5" t="n">
        <v>300</v>
      </c>
      <c r="S1183" s="2" t="n">
        <v>1</v>
      </c>
      <c r="T1183" s="3" t="inlineStr">
        <is>
          <t>6B/2025/2S</t>
        </is>
      </c>
      <c r="U1183" s="86" t="n">
        <v>45771</v>
      </c>
      <c r="V1183" s="3" t="inlineStr">
        <is>
          <t>7</t>
        </is>
      </c>
      <c r="W1183" s="111" t="n">
        <v>45771</v>
      </c>
      <c r="X1183" s="134" t="inlineStr">
        <is>
          <t xml:space="preserve">BIN HUMAID NATIONAL TRAD. CO. </t>
        </is>
      </c>
    </row>
    <row r="1184" ht="24" customHeight="1">
      <c r="A1184" s="2">
        <f>+D1184-S1184</f>
        <v/>
      </c>
      <c r="B1184" s="80" t="n">
        <v>2843</v>
      </c>
      <c r="C1184" s="66" t="n">
        <v>45755</v>
      </c>
      <c r="D1184" s="2" t="n">
        <v>1</v>
      </c>
      <c r="E1184" s="3" t="inlineStr">
        <is>
          <t>CARABINA AD ARIA COMPRESSA</t>
        </is>
      </c>
      <c r="F1184" s="3" t="inlineStr">
        <is>
          <t>5.5</t>
        </is>
      </c>
      <c r="G1184" s="3" t="inlineStr">
        <is>
          <t>STOEGER</t>
        </is>
      </c>
      <c r="H1184" s="65" t="inlineStr">
        <is>
          <t>STO XM1 FULL BPUP SYNTH</t>
        </is>
      </c>
      <c r="I1184" s="65" t="inlineStr">
        <is>
          <t>SAG222205BP</t>
        </is>
      </c>
      <c r="J1184" s="65" t="inlineStr">
        <is>
          <t>N/D</t>
        </is>
      </c>
      <c r="K1184" s="65" t="inlineStr">
        <is>
          <t>N/D</t>
        </is>
      </c>
      <c r="L1184" s="127" t="inlineStr">
        <is>
          <t>BENELLI ARMI SPA</t>
        </is>
      </c>
      <c r="M1184" s="5" t="n">
        <v>261</v>
      </c>
      <c r="N1184" s="5" t="n"/>
      <c r="O1184" s="5">
        <f>+M1184+N1184</f>
        <v/>
      </c>
      <c r="P1184" s="4" t="n">
        <v>45752</v>
      </c>
      <c r="Q1184" s="87" t="n">
        <v>45741</v>
      </c>
      <c r="R1184" s="5" t="n">
        <v>300</v>
      </c>
      <c r="S1184" s="2" t="n">
        <v>1</v>
      </c>
      <c r="T1184" s="3" t="inlineStr">
        <is>
          <t>6B/2025/2S</t>
        </is>
      </c>
      <c r="U1184" s="86" t="n">
        <v>45771</v>
      </c>
      <c r="V1184" s="3" t="inlineStr">
        <is>
          <t>7</t>
        </is>
      </c>
      <c r="W1184" s="111" t="n">
        <v>45771</v>
      </c>
      <c r="X1184" s="134" t="inlineStr">
        <is>
          <t xml:space="preserve">BIN HUMAID NATIONAL TRAD. CO. </t>
        </is>
      </c>
    </row>
    <row r="1185" ht="24" customHeight="1">
      <c r="A1185" s="2">
        <f>+D1185-S1185</f>
        <v/>
      </c>
      <c r="B1185" s="80" t="n">
        <v>2844</v>
      </c>
      <c r="C1185" s="66" t="n">
        <v>45755</v>
      </c>
      <c r="D1185" s="2" t="n">
        <v>1</v>
      </c>
      <c r="E1185" s="3" t="inlineStr">
        <is>
          <t>CARABINA AD ARIA COMPRESSA</t>
        </is>
      </c>
      <c r="F1185" s="3" t="inlineStr">
        <is>
          <t>5.5</t>
        </is>
      </c>
      <c r="G1185" s="3" t="inlineStr">
        <is>
          <t>STOEGER</t>
        </is>
      </c>
      <c r="H1185" s="65" t="inlineStr">
        <is>
          <t>STO XM1 FULL BPUP SYNTH</t>
        </is>
      </c>
      <c r="I1185" s="65" t="inlineStr">
        <is>
          <t>SAG222206BP</t>
        </is>
      </c>
      <c r="J1185" s="65" t="inlineStr">
        <is>
          <t>N/D</t>
        </is>
      </c>
      <c r="K1185" s="65" t="inlineStr">
        <is>
          <t>N/D</t>
        </is>
      </c>
      <c r="L1185" s="127" t="inlineStr">
        <is>
          <t>BENELLI ARMI SPA</t>
        </is>
      </c>
      <c r="M1185" s="5" t="n">
        <v>261</v>
      </c>
      <c r="N1185" s="5" t="n"/>
      <c r="O1185" s="5">
        <f>+M1185+N1185</f>
        <v/>
      </c>
      <c r="P1185" s="4" t="n">
        <v>45752</v>
      </c>
      <c r="Q1185" s="87" t="n">
        <v>45741</v>
      </c>
      <c r="R1185" s="5" t="n">
        <v>300</v>
      </c>
      <c r="S1185" s="2" t="n">
        <v>1</v>
      </c>
      <c r="T1185" s="3" t="inlineStr">
        <is>
          <t>6B/2025/2S</t>
        </is>
      </c>
      <c r="U1185" s="86" t="n">
        <v>45771</v>
      </c>
      <c r="V1185" s="3" t="inlineStr">
        <is>
          <t>7</t>
        </is>
      </c>
      <c r="W1185" s="111" t="n">
        <v>45771</v>
      </c>
      <c r="X1185" s="134" t="inlineStr">
        <is>
          <t xml:space="preserve">BIN HUMAID NATIONAL TRAD. CO. </t>
        </is>
      </c>
    </row>
    <row r="1186" ht="24" customHeight="1">
      <c r="A1186" s="2">
        <f>+D1186-S1186</f>
        <v/>
      </c>
      <c r="B1186" s="80" t="n">
        <v>2845</v>
      </c>
      <c r="C1186" s="66" t="n">
        <v>45755</v>
      </c>
      <c r="D1186" s="2" t="n">
        <v>1</v>
      </c>
      <c r="E1186" s="3" t="inlineStr">
        <is>
          <t>CARABINA AD ARIA COMPRESSA</t>
        </is>
      </c>
      <c r="F1186" s="3" t="inlineStr">
        <is>
          <t>5.5</t>
        </is>
      </c>
      <c r="G1186" s="3" t="inlineStr">
        <is>
          <t>STOEGER</t>
        </is>
      </c>
      <c r="H1186" s="65" t="inlineStr">
        <is>
          <t>STO XM1 FULL BPUP SYNTH</t>
        </is>
      </c>
      <c r="I1186" s="65" t="inlineStr">
        <is>
          <t>SAG222207BP</t>
        </is>
      </c>
      <c r="J1186" s="65" t="inlineStr">
        <is>
          <t>N/D</t>
        </is>
      </c>
      <c r="K1186" s="65" t="inlineStr">
        <is>
          <t>N/D</t>
        </is>
      </c>
      <c r="L1186" s="127" t="inlineStr">
        <is>
          <t>BENELLI ARMI SPA</t>
        </is>
      </c>
      <c r="M1186" s="5" t="n">
        <v>261</v>
      </c>
      <c r="N1186" s="5" t="n"/>
      <c r="O1186" s="5">
        <f>+M1186+N1186</f>
        <v/>
      </c>
      <c r="P1186" s="4" t="n">
        <v>45752</v>
      </c>
      <c r="Q1186" s="87" t="n">
        <v>45741</v>
      </c>
      <c r="R1186" s="5" t="n">
        <v>300</v>
      </c>
      <c r="S1186" s="2" t="n">
        <v>1</v>
      </c>
      <c r="T1186" s="3" t="inlineStr">
        <is>
          <t>6B/2025/2S</t>
        </is>
      </c>
      <c r="U1186" s="86" t="n">
        <v>45771</v>
      </c>
      <c r="V1186" s="3" t="inlineStr">
        <is>
          <t>7</t>
        </is>
      </c>
      <c r="W1186" s="111" t="n">
        <v>45771</v>
      </c>
      <c r="X1186" s="134" t="inlineStr">
        <is>
          <t xml:space="preserve">BIN HUMAID NATIONAL TRAD. CO. </t>
        </is>
      </c>
    </row>
    <row r="1187" ht="24" customHeight="1">
      <c r="A1187" s="2">
        <f>+D1187-S1187</f>
        <v/>
      </c>
      <c r="B1187" s="80" t="n">
        <v>2846</v>
      </c>
      <c r="C1187" s="66" t="n">
        <v>45755</v>
      </c>
      <c r="D1187" s="2" t="n">
        <v>1</v>
      </c>
      <c r="E1187" s="3" t="inlineStr">
        <is>
          <t>CARABINA AD ARIA COMPRESSA</t>
        </is>
      </c>
      <c r="F1187" s="3" t="inlineStr">
        <is>
          <t>5.5</t>
        </is>
      </c>
      <c r="G1187" s="3" t="inlineStr">
        <is>
          <t>STOEGER</t>
        </is>
      </c>
      <c r="H1187" s="65" t="inlineStr">
        <is>
          <t>STO XM1 FULL BPUP SYNTH</t>
        </is>
      </c>
      <c r="I1187" s="65" t="inlineStr">
        <is>
          <t>SAG222208BP</t>
        </is>
      </c>
      <c r="J1187" s="65" t="inlineStr">
        <is>
          <t>N/D</t>
        </is>
      </c>
      <c r="K1187" s="65" t="inlineStr">
        <is>
          <t>N/D</t>
        </is>
      </c>
      <c r="L1187" s="127" t="inlineStr">
        <is>
          <t>BENELLI ARMI SPA</t>
        </is>
      </c>
      <c r="M1187" s="5" t="n">
        <v>261</v>
      </c>
      <c r="N1187" s="5" t="n"/>
      <c r="O1187" s="5">
        <f>+M1187+N1187</f>
        <v/>
      </c>
      <c r="P1187" s="4" t="n">
        <v>45752</v>
      </c>
      <c r="Q1187" s="87" t="n">
        <v>45741</v>
      </c>
      <c r="R1187" s="5" t="n">
        <v>300</v>
      </c>
      <c r="S1187" s="2" t="n">
        <v>1</v>
      </c>
      <c r="T1187" s="3" t="inlineStr">
        <is>
          <t>6B/2025/2S</t>
        </is>
      </c>
      <c r="U1187" s="86" t="n">
        <v>45771</v>
      </c>
      <c r="V1187" s="3" t="inlineStr">
        <is>
          <t>7</t>
        </is>
      </c>
      <c r="W1187" s="111" t="n">
        <v>45771</v>
      </c>
      <c r="X1187" s="134" t="inlineStr">
        <is>
          <t xml:space="preserve">BIN HUMAID NATIONAL TRAD. CO. </t>
        </is>
      </c>
    </row>
    <row r="1188" ht="24" customHeight="1">
      <c r="A1188" s="2">
        <f>+D1188-S1188</f>
        <v/>
      </c>
      <c r="B1188" s="80" t="n">
        <v>2847</v>
      </c>
      <c r="C1188" s="66" t="n">
        <v>45755</v>
      </c>
      <c r="D1188" s="2" t="n">
        <v>1</v>
      </c>
      <c r="E1188" s="3" t="inlineStr">
        <is>
          <t>CARABINA AD ARIA COMPRESSA</t>
        </is>
      </c>
      <c r="F1188" s="3" t="inlineStr">
        <is>
          <t>5.5</t>
        </is>
      </c>
      <c r="G1188" s="3" t="inlineStr">
        <is>
          <t>STOEGER</t>
        </is>
      </c>
      <c r="H1188" s="65" t="inlineStr">
        <is>
          <t>STO XM1 FULL BPUP SYNTH</t>
        </is>
      </c>
      <c r="I1188" s="65" t="inlineStr">
        <is>
          <t>SAG222209BP</t>
        </is>
      </c>
      <c r="J1188" s="65" t="inlineStr">
        <is>
          <t>N/D</t>
        </is>
      </c>
      <c r="K1188" s="65" t="inlineStr">
        <is>
          <t>N/D</t>
        </is>
      </c>
      <c r="L1188" s="127" t="inlineStr">
        <is>
          <t>BENELLI ARMI SPA</t>
        </is>
      </c>
      <c r="M1188" s="5" t="n">
        <v>261</v>
      </c>
      <c r="N1188" s="5" t="n"/>
      <c r="O1188" s="5">
        <f>+M1188+N1188</f>
        <v/>
      </c>
      <c r="P1188" s="4" t="n">
        <v>45752</v>
      </c>
      <c r="Q1188" s="87" t="n">
        <v>45741</v>
      </c>
      <c r="R1188" s="5" t="n">
        <v>300</v>
      </c>
      <c r="S1188" s="2" t="n">
        <v>1</v>
      </c>
      <c r="T1188" s="3" t="inlineStr">
        <is>
          <t>6B/2025/2S</t>
        </is>
      </c>
      <c r="U1188" s="86" t="n">
        <v>45771</v>
      </c>
      <c r="V1188" s="3" t="inlineStr">
        <is>
          <t>7</t>
        </is>
      </c>
      <c r="W1188" s="111" t="n">
        <v>45771</v>
      </c>
      <c r="X1188" s="134" t="inlineStr">
        <is>
          <t xml:space="preserve">BIN HUMAID NATIONAL TRAD. CO. </t>
        </is>
      </c>
    </row>
    <row r="1189" ht="24" customHeight="1">
      <c r="A1189" s="2">
        <f>+D1189-S1189</f>
        <v/>
      </c>
      <c r="B1189" s="80" t="n">
        <v>2848</v>
      </c>
      <c r="C1189" s="66" t="n">
        <v>45755</v>
      </c>
      <c r="D1189" s="2" t="n">
        <v>1</v>
      </c>
      <c r="E1189" s="3" t="inlineStr">
        <is>
          <t>CARABINA AD ARIA COMPRESSA</t>
        </is>
      </c>
      <c r="F1189" s="3" t="inlineStr">
        <is>
          <t>5.5</t>
        </is>
      </c>
      <c r="G1189" s="3" t="inlineStr">
        <is>
          <t>STOEGER</t>
        </is>
      </c>
      <c r="H1189" s="65" t="inlineStr">
        <is>
          <t>STO XM1 FULL BPUP SYNTH</t>
        </is>
      </c>
      <c r="I1189" s="65" t="inlineStr">
        <is>
          <t>SAG222210BP</t>
        </is>
      </c>
      <c r="J1189" s="65" t="inlineStr">
        <is>
          <t>N/D</t>
        </is>
      </c>
      <c r="K1189" s="65" t="inlineStr">
        <is>
          <t>N/D</t>
        </is>
      </c>
      <c r="L1189" s="127" t="inlineStr">
        <is>
          <t>BENELLI ARMI SPA</t>
        </is>
      </c>
      <c r="M1189" s="5" t="n">
        <v>261</v>
      </c>
      <c r="N1189" s="5" t="n"/>
      <c r="O1189" s="5">
        <f>+M1189+N1189</f>
        <v/>
      </c>
      <c r="P1189" s="4" t="n">
        <v>45752</v>
      </c>
      <c r="Q1189" s="87" t="n">
        <v>45741</v>
      </c>
      <c r="R1189" s="5" t="n">
        <v>300</v>
      </c>
      <c r="S1189" s="2" t="n">
        <v>1</v>
      </c>
      <c r="T1189" s="3" t="inlineStr">
        <is>
          <t>6B/2025/2S</t>
        </is>
      </c>
      <c r="U1189" s="86" t="n">
        <v>45771</v>
      </c>
      <c r="V1189" s="3" t="inlineStr">
        <is>
          <t>7</t>
        </is>
      </c>
      <c r="W1189" s="111" t="n">
        <v>45771</v>
      </c>
      <c r="X1189" s="134" t="inlineStr">
        <is>
          <t xml:space="preserve">BIN HUMAID NATIONAL TRAD. CO. </t>
        </is>
      </c>
    </row>
    <row r="1190" ht="24" customHeight="1">
      <c r="A1190" s="2">
        <f>+D1190-S1190</f>
        <v/>
      </c>
      <c r="B1190" s="80" t="n">
        <v>2849</v>
      </c>
      <c r="C1190" s="66" t="n">
        <v>45755</v>
      </c>
      <c r="D1190" s="2" t="n">
        <v>1</v>
      </c>
      <c r="E1190" s="3" t="inlineStr">
        <is>
          <t>CARABINA AD ARIA COMPRESSA</t>
        </is>
      </c>
      <c r="F1190" s="3" t="inlineStr">
        <is>
          <t>5.5</t>
        </is>
      </c>
      <c r="G1190" s="3" t="inlineStr">
        <is>
          <t>STOEGER</t>
        </is>
      </c>
      <c r="H1190" s="65" t="inlineStr">
        <is>
          <t>STO XM1 FULL BPUP SYNTH</t>
        </is>
      </c>
      <c r="I1190" s="65" t="inlineStr">
        <is>
          <t>SAG222211BP</t>
        </is>
      </c>
      <c r="J1190" s="65" t="inlineStr">
        <is>
          <t>N/D</t>
        </is>
      </c>
      <c r="K1190" s="65" t="inlineStr">
        <is>
          <t>N/D</t>
        </is>
      </c>
      <c r="L1190" s="127" t="inlineStr">
        <is>
          <t>BENELLI ARMI SPA</t>
        </is>
      </c>
      <c r="M1190" s="5" t="n">
        <v>261</v>
      </c>
      <c r="N1190" s="5" t="n"/>
      <c r="O1190" s="5">
        <f>+M1190+N1190</f>
        <v/>
      </c>
      <c r="P1190" s="4" t="n">
        <v>45752</v>
      </c>
      <c r="Q1190" s="87" t="n">
        <v>45741</v>
      </c>
      <c r="R1190" s="5" t="n">
        <v>300</v>
      </c>
      <c r="S1190" s="2" t="n">
        <v>1</v>
      </c>
      <c r="T1190" s="3" t="inlineStr">
        <is>
          <t>6B/2025/2S</t>
        </is>
      </c>
      <c r="U1190" s="86" t="n">
        <v>45771</v>
      </c>
      <c r="V1190" s="3" t="inlineStr">
        <is>
          <t>7</t>
        </is>
      </c>
      <c r="W1190" s="111" t="n">
        <v>45771</v>
      </c>
      <c r="X1190" s="134" t="inlineStr">
        <is>
          <t xml:space="preserve">BIN HUMAID NATIONAL TRAD. CO. </t>
        </is>
      </c>
    </row>
    <row r="1191" ht="24" customHeight="1">
      <c r="A1191" s="2">
        <f>+D1191-S1191</f>
        <v/>
      </c>
      <c r="B1191" s="80" t="n">
        <v>2850</v>
      </c>
      <c r="C1191" s="66" t="n">
        <v>45755</v>
      </c>
      <c r="D1191" s="2" t="n">
        <v>1</v>
      </c>
      <c r="E1191" s="3" t="inlineStr">
        <is>
          <t>CARABINA AD ARIA COMPRESSA</t>
        </is>
      </c>
      <c r="F1191" s="3" t="inlineStr">
        <is>
          <t>5.5</t>
        </is>
      </c>
      <c r="G1191" s="3" t="inlineStr">
        <is>
          <t>STOEGER</t>
        </is>
      </c>
      <c r="H1191" s="65" t="inlineStr">
        <is>
          <t>STO XM1 FULL BPUP SYNTH</t>
        </is>
      </c>
      <c r="I1191" s="65" t="inlineStr">
        <is>
          <t>SAG222212BP</t>
        </is>
      </c>
      <c r="J1191" s="65" t="inlineStr">
        <is>
          <t>N/D</t>
        </is>
      </c>
      <c r="K1191" s="65" t="inlineStr">
        <is>
          <t>N/D</t>
        </is>
      </c>
      <c r="L1191" s="127" t="inlineStr">
        <is>
          <t>BENELLI ARMI SPA</t>
        </is>
      </c>
      <c r="M1191" s="5" t="n">
        <v>261</v>
      </c>
      <c r="N1191" s="5" t="n"/>
      <c r="O1191" s="5">
        <f>+M1191+N1191</f>
        <v/>
      </c>
      <c r="P1191" s="4" t="n">
        <v>45752</v>
      </c>
      <c r="Q1191" s="87" t="n">
        <v>45741</v>
      </c>
      <c r="R1191" s="5" t="n">
        <v>300</v>
      </c>
      <c r="S1191" s="2" t="n">
        <v>1</v>
      </c>
      <c r="T1191" s="3" t="inlineStr">
        <is>
          <t>6B/2025/2S</t>
        </is>
      </c>
      <c r="U1191" s="86" t="n">
        <v>45771</v>
      </c>
      <c r="V1191" s="3" t="inlineStr">
        <is>
          <t>7</t>
        </is>
      </c>
      <c r="W1191" s="111" t="n">
        <v>45771</v>
      </c>
      <c r="X1191" s="134" t="inlineStr">
        <is>
          <t xml:space="preserve">BIN HUMAID NATIONAL TRAD. CO. </t>
        </is>
      </c>
    </row>
    <row r="1192" ht="24" customHeight="1">
      <c r="A1192" s="2">
        <f>+D1192-S1192</f>
        <v/>
      </c>
      <c r="B1192" s="80" t="n">
        <v>2851</v>
      </c>
      <c r="C1192" s="66" t="n">
        <v>45755</v>
      </c>
      <c r="D1192" s="2" t="n">
        <v>1</v>
      </c>
      <c r="E1192" s="3" t="inlineStr">
        <is>
          <t>CARABINA AD ARIA COMPRESSA</t>
        </is>
      </c>
      <c r="F1192" s="3" t="inlineStr">
        <is>
          <t>5.5</t>
        </is>
      </c>
      <c r="G1192" s="3" t="inlineStr">
        <is>
          <t>STOEGER</t>
        </is>
      </c>
      <c r="H1192" s="65" t="inlineStr">
        <is>
          <t>STO XM1 FULL BPUP SYNTH</t>
        </is>
      </c>
      <c r="I1192" s="65" t="inlineStr">
        <is>
          <t>SAG222213BP</t>
        </is>
      </c>
      <c r="J1192" s="65" t="inlineStr">
        <is>
          <t>N/D</t>
        </is>
      </c>
      <c r="K1192" s="65" t="inlineStr">
        <is>
          <t>N/D</t>
        </is>
      </c>
      <c r="L1192" s="127" t="inlineStr">
        <is>
          <t>BENELLI ARMI SPA</t>
        </is>
      </c>
      <c r="M1192" s="5" t="n">
        <v>261</v>
      </c>
      <c r="N1192" s="5" t="n"/>
      <c r="O1192" s="5">
        <f>+M1192+N1192</f>
        <v/>
      </c>
      <c r="P1192" s="4" t="n">
        <v>45752</v>
      </c>
      <c r="Q1192" s="87" t="n">
        <v>45741</v>
      </c>
      <c r="R1192" s="5" t="n">
        <v>300</v>
      </c>
      <c r="S1192" s="2" t="n">
        <v>1</v>
      </c>
      <c r="T1192" s="3" t="inlineStr">
        <is>
          <t>6B/2025/2S</t>
        </is>
      </c>
      <c r="U1192" s="86" t="n">
        <v>45771</v>
      </c>
      <c r="V1192" s="3" t="inlineStr">
        <is>
          <t>7</t>
        </is>
      </c>
      <c r="W1192" s="111" t="n">
        <v>45771</v>
      </c>
      <c r="X1192" s="134" t="inlineStr">
        <is>
          <t xml:space="preserve">BIN HUMAID NATIONAL TRAD. CO. </t>
        </is>
      </c>
    </row>
    <row r="1193" ht="24" customHeight="1">
      <c r="A1193" s="2">
        <f>+D1193-S1193</f>
        <v/>
      </c>
      <c r="B1193" s="80" t="n">
        <v>2852</v>
      </c>
      <c r="C1193" s="66" t="n">
        <v>45755</v>
      </c>
      <c r="D1193" s="2" t="n">
        <v>1</v>
      </c>
      <c r="E1193" s="3" t="inlineStr">
        <is>
          <t>CARABINA AD ARIA COMPRESSA</t>
        </is>
      </c>
      <c r="F1193" s="3" t="inlineStr">
        <is>
          <t>5.5</t>
        </is>
      </c>
      <c r="G1193" s="3" t="inlineStr">
        <is>
          <t>STOEGER</t>
        </is>
      </c>
      <c r="H1193" s="65" t="inlineStr">
        <is>
          <t>STO XM1 FULL BPUP SYNTH</t>
        </is>
      </c>
      <c r="I1193" s="65" t="inlineStr">
        <is>
          <t>SAG222214BP</t>
        </is>
      </c>
      <c r="J1193" s="65" t="inlineStr">
        <is>
          <t>N/D</t>
        </is>
      </c>
      <c r="K1193" s="65" t="inlineStr">
        <is>
          <t>N/D</t>
        </is>
      </c>
      <c r="L1193" s="127" t="inlineStr">
        <is>
          <t>BENELLI ARMI SPA</t>
        </is>
      </c>
      <c r="M1193" s="5" t="n">
        <v>261</v>
      </c>
      <c r="N1193" s="5" t="n"/>
      <c r="O1193" s="5">
        <f>+M1193+N1193</f>
        <v/>
      </c>
      <c r="P1193" s="4" t="n">
        <v>45752</v>
      </c>
      <c r="Q1193" s="87" t="n">
        <v>45741</v>
      </c>
      <c r="R1193" s="5" t="n">
        <v>300</v>
      </c>
      <c r="S1193" s="2" t="n">
        <v>1</v>
      </c>
      <c r="T1193" s="3" t="inlineStr">
        <is>
          <t>6B/2025/2S</t>
        </is>
      </c>
      <c r="U1193" s="86" t="n">
        <v>45771</v>
      </c>
      <c r="V1193" s="3" t="inlineStr">
        <is>
          <t>7</t>
        </is>
      </c>
      <c r="W1193" s="111" t="n">
        <v>45771</v>
      </c>
      <c r="X1193" s="134" t="inlineStr">
        <is>
          <t xml:space="preserve">BIN HUMAID NATIONAL TRAD. CO. </t>
        </is>
      </c>
    </row>
    <row r="1194" ht="24" customHeight="1">
      <c r="A1194" s="2">
        <f>+D1194-S1194</f>
        <v/>
      </c>
      <c r="B1194" s="80" t="n">
        <v>2853</v>
      </c>
      <c r="C1194" s="66" t="n">
        <v>45755</v>
      </c>
      <c r="D1194" s="2" t="n">
        <v>1</v>
      </c>
      <c r="E1194" s="3" t="inlineStr">
        <is>
          <t>CARABINA AD ARIA COMPRESSA</t>
        </is>
      </c>
      <c r="F1194" s="3" t="inlineStr">
        <is>
          <t>5.5</t>
        </is>
      </c>
      <c r="G1194" s="3" t="inlineStr">
        <is>
          <t>STOEGER</t>
        </is>
      </c>
      <c r="H1194" s="65" t="inlineStr">
        <is>
          <t>STO XM1 FULL BPUP SYNTH</t>
        </is>
      </c>
      <c r="I1194" s="65" t="inlineStr">
        <is>
          <t>SAG222215BP</t>
        </is>
      </c>
      <c r="J1194" s="65" t="inlineStr">
        <is>
          <t>N/D</t>
        </is>
      </c>
      <c r="K1194" s="65" t="inlineStr">
        <is>
          <t>N/D</t>
        </is>
      </c>
      <c r="L1194" s="127" t="inlineStr">
        <is>
          <t>BENELLI ARMI SPA</t>
        </is>
      </c>
      <c r="M1194" s="5" t="n">
        <v>261</v>
      </c>
      <c r="N1194" s="5" t="n"/>
      <c r="O1194" s="5">
        <f>+M1194+N1194</f>
        <v/>
      </c>
      <c r="P1194" s="4" t="n">
        <v>45752</v>
      </c>
      <c r="Q1194" s="87" t="n">
        <v>45741</v>
      </c>
      <c r="R1194" s="5" t="n">
        <v>300</v>
      </c>
      <c r="S1194" s="2" t="n">
        <v>1</v>
      </c>
      <c r="T1194" s="3" t="inlineStr">
        <is>
          <t>6B/2025/2S</t>
        </is>
      </c>
      <c r="U1194" s="86" t="n">
        <v>45771</v>
      </c>
      <c r="V1194" s="3" t="inlineStr">
        <is>
          <t>7</t>
        </is>
      </c>
      <c r="W1194" s="111" t="n">
        <v>45771</v>
      </c>
      <c r="X1194" s="134" t="inlineStr">
        <is>
          <t xml:space="preserve">BIN HUMAID NATIONAL TRAD. CO. </t>
        </is>
      </c>
    </row>
    <row r="1195" ht="24" customHeight="1">
      <c r="A1195" s="2">
        <f>+D1195-S1195</f>
        <v/>
      </c>
      <c r="B1195" s="80" t="n">
        <v>2854</v>
      </c>
      <c r="C1195" s="66" t="n">
        <v>45755</v>
      </c>
      <c r="D1195" s="2" t="n">
        <v>1</v>
      </c>
      <c r="E1195" s="3" t="inlineStr">
        <is>
          <t>CARABINA AD ARIA COMPRESSA</t>
        </is>
      </c>
      <c r="F1195" s="3" t="inlineStr">
        <is>
          <t>5.5</t>
        </is>
      </c>
      <c r="G1195" s="3" t="inlineStr">
        <is>
          <t>STOEGER</t>
        </is>
      </c>
      <c r="H1195" s="65" t="inlineStr">
        <is>
          <t>STO XM1 FULL BPUP SYNTH</t>
        </is>
      </c>
      <c r="I1195" s="65" t="inlineStr">
        <is>
          <t>SAG222217BP</t>
        </is>
      </c>
      <c r="J1195" s="65" t="inlineStr">
        <is>
          <t>N/D</t>
        </is>
      </c>
      <c r="K1195" s="65" t="inlineStr">
        <is>
          <t>N/D</t>
        </is>
      </c>
      <c r="L1195" s="127" t="inlineStr">
        <is>
          <t>BENELLI ARMI SPA</t>
        </is>
      </c>
      <c r="M1195" s="5" t="n">
        <v>261</v>
      </c>
      <c r="N1195" s="5" t="n"/>
      <c r="O1195" s="5">
        <f>+M1195+N1195</f>
        <v/>
      </c>
      <c r="P1195" s="4" t="n">
        <v>45752</v>
      </c>
      <c r="Q1195" s="87" t="n">
        <v>45741</v>
      </c>
      <c r="R1195" s="5" t="n">
        <v>300</v>
      </c>
      <c r="S1195" s="2" t="n">
        <v>1</v>
      </c>
      <c r="T1195" s="3" t="inlineStr">
        <is>
          <t>6B/2025/2S</t>
        </is>
      </c>
      <c r="U1195" s="86" t="n">
        <v>45771</v>
      </c>
      <c r="V1195" s="3" t="inlineStr">
        <is>
          <t>7</t>
        </is>
      </c>
      <c r="W1195" s="111" t="n">
        <v>45771</v>
      </c>
      <c r="X1195" s="134" t="inlineStr">
        <is>
          <t xml:space="preserve">BIN HUMAID NATIONAL TRAD. CO. </t>
        </is>
      </c>
    </row>
    <row r="1196" ht="24" customHeight="1">
      <c r="A1196" s="2">
        <f>+D1196-S1196</f>
        <v/>
      </c>
      <c r="B1196" s="80" t="n">
        <v>2855</v>
      </c>
      <c r="C1196" s="66" t="n">
        <v>45755</v>
      </c>
      <c r="D1196" s="2" t="n">
        <v>1</v>
      </c>
      <c r="E1196" s="3" t="inlineStr">
        <is>
          <t>CARABINA AD ARIA COMPRESSA</t>
        </is>
      </c>
      <c r="F1196" s="3" t="inlineStr">
        <is>
          <t>5.5</t>
        </is>
      </c>
      <c r="G1196" s="3" t="inlineStr">
        <is>
          <t>STOEGER</t>
        </is>
      </c>
      <c r="H1196" s="65" t="inlineStr">
        <is>
          <t>STO XM1 FULL BPUP SYNTH</t>
        </is>
      </c>
      <c r="I1196" s="65" t="inlineStr">
        <is>
          <t>SAG222218BP</t>
        </is>
      </c>
      <c r="J1196" s="65" t="inlineStr">
        <is>
          <t>N/D</t>
        </is>
      </c>
      <c r="K1196" s="65" t="inlineStr">
        <is>
          <t>N/D</t>
        </is>
      </c>
      <c r="L1196" s="127" t="inlineStr">
        <is>
          <t>BENELLI ARMI SPA</t>
        </is>
      </c>
      <c r="M1196" s="5" t="n">
        <v>261</v>
      </c>
      <c r="N1196" s="5" t="n"/>
      <c r="O1196" s="5">
        <f>+M1196+N1196</f>
        <v/>
      </c>
      <c r="P1196" s="4" t="n">
        <v>45752</v>
      </c>
      <c r="Q1196" s="87" t="n">
        <v>45741</v>
      </c>
      <c r="R1196" s="5" t="n">
        <v>300</v>
      </c>
      <c r="S1196" s="2" t="n">
        <v>1</v>
      </c>
      <c r="T1196" s="3" t="inlineStr">
        <is>
          <t>6B/2025/2S</t>
        </is>
      </c>
      <c r="U1196" s="86" t="n">
        <v>45771</v>
      </c>
      <c r="V1196" s="3" t="inlineStr">
        <is>
          <t>7</t>
        </is>
      </c>
      <c r="W1196" s="111" t="n">
        <v>45771</v>
      </c>
      <c r="X1196" s="134" t="inlineStr">
        <is>
          <t xml:space="preserve">BIN HUMAID NATIONAL TRAD. CO. </t>
        </is>
      </c>
    </row>
    <row r="1197" ht="24" customHeight="1">
      <c r="A1197" s="2">
        <f>+D1197-S1197</f>
        <v/>
      </c>
      <c r="B1197" s="80" t="n">
        <v>2856</v>
      </c>
      <c r="C1197" s="66" t="n">
        <v>45755</v>
      </c>
      <c r="D1197" s="2" t="n">
        <v>1</v>
      </c>
      <c r="E1197" s="3" t="inlineStr">
        <is>
          <t>CARABINA AD ARIA COMPRESSA</t>
        </is>
      </c>
      <c r="F1197" s="3" t="inlineStr">
        <is>
          <t>5.5</t>
        </is>
      </c>
      <c r="G1197" s="3" t="inlineStr">
        <is>
          <t>STOEGER</t>
        </is>
      </c>
      <c r="H1197" s="65" t="inlineStr">
        <is>
          <t>STO XM1 FULL BPUP SYNTH</t>
        </is>
      </c>
      <c r="I1197" s="65" t="inlineStr">
        <is>
          <t>SAG222219BP</t>
        </is>
      </c>
      <c r="J1197" s="65" t="inlineStr">
        <is>
          <t>N/D</t>
        </is>
      </c>
      <c r="K1197" s="65" t="inlineStr">
        <is>
          <t>N/D</t>
        </is>
      </c>
      <c r="L1197" s="127" t="inlineStr">
        <is>
          <t>BENELLI ARMI SPA</t>
        </is>
      </c>
      <c r="M1197" s="5" t="n">
        <v>261</v>
      </c>
      <c r="N1197" s="5" t="n"/>
      <c r="O1197" s="5">
        <f>+M1197+N1197</f>
        <v/>
      </c>
      <c r="P1197" s="4" t="n">
        <v>45752</v>
      </c>
      <c r="Q1197" s="87" t="n">
        <v>45741</v>
      </c>
      <c r="R1197" s="5" t="n">
        <v>300</v>
      </c>
      <c r="S1197" s="2" t="n">
        <v>1</v>
      </c>
      <c r="T1197" s="3" t="inlineStr">
        <is>
          <t>6B/2025/2S</t>
        </is>
      </c>
      <c r="U1197" s="86" t="n">
        <v>45771</v>
      </c>
      <c r="V1197" s="3" t="inlineStr">
        <is>
          <t>7</t>
        </is>
      </c>
      <c r="W1197" s="111" t="n">
        <v>45771</v>
      </c>
      <c r="X1197" s="134" t="inlineStr">
        <is>
          <t xml:space="preserve">BIN HUMAID NATIONAL TRAD. CO. </t>
        </is>
      </c>
    </row>
    <row r="1198" ht="24" customHeight="1">
      <c r="A1198" s="2">
        <f>+D1198-S1198</f>
        <v/>
      </c>
      <c r="B1198" s="80" t="n">
        <v>2857</v>
      </c>
      <c r="C1198" s="66" t="n">
        <v>45755</v>
      </c>
      <c r="D1198" s="2" t="n">
        <v>1</v>
      </c>
      <c r="E1198" s="3" t="inlineStr">
        <is>
          <t>CARABINA AD ARIA COMPRESSA</t>
        </is>
      </c>
      <c r="F1198" s="3" t="inlineStr">
        <is>
          <t>5.5</t>
        </is>
      </c>
      <c r="G1198" s="3" t="inlineStr">
        <is>
          <t>STOEGER</t>
        </is>
      </c>
      <c r="H1198" s="65" t="inlineStr">
        <is>
          <t>STO XM1 FULL BPUP SYNTH</t>
        </is>
      </c>
      <c r="I1198" s="65" t="inlineStr">
        <is>
          <t>SAG222220BP</t>
        </is>
      </c>
      <c r="J1198" s="65" t="inlineStr">
        <is>
          <t>N/D</t>
        </is>
      </c>
      <c r="K1198" s="65" t="inlineStr">
        <is>
          <t>N/D</t>
        </is>
      </c>
      <c r="L1198" s="127" t="inlineStr">
        <is>
          <t>BENELLI ARMI SPA</t>
        </is>
      </c>
      <c r="M1198" s="5" t="n">
        <v>261</v>
      </c>
      <c r="N1198" s="5" t="n"/>
      <c r="O1198" s="5">
        <f>+M1198+N1198</f>
        <v/>
      </c>
      <c r="P1198" s="4" t="n">
        <v>45752</v>
      </c>
      <c r="Q1198" s="87" t="n">
        <v>45741</v>
      </c>
      <c r="R1198" s="5" t="n">
        <v>300</v>
      </c>
      <c r="S1198" s="2" t="n">
        <v>1</v>
      </c>
      <c r="T1198" s="3" t="inlineStr">
        <is>
          <t>6B/2025/2S</t>
        </is>
      </c>
      <c r="U1198" s="86" t="n">
        <v>45771</v>
      </c>
      <c r="V1198" s="3" t="inlineStr">
        <is>
          <t>7</t>
        </is>
      </c>
      <c r="W1198" s="111" t="n">
        <v>45771</v>
      </c>
      <c r="X1198" s="134" t="inlineStr">
        <is>
          <t xml:space="preserve">BIN HUMAID NATIONAL TRAD. CO. </t>
        </is>
      </c>
    </row>
    <row r="1199" ht="24" customHeight="1">
      <c r="A1199" s="2">
        <f>+D1199-S1199</f>
        <v/>
      </c>
      <c r="B1199" s="80" t="n">
        <v>2858</v>
      </c>
      <c r="C1199" s="66" t="n">
        <v>45755</v>
      </c>
      <c r="D1199" s="2" t="n">
        <v>1</v>
      </c>
      <c r="E1199" s="3" t="inlineStr">
        <is>
          <t>CARABINA AD ARIA COMPRESSA</t>
        </is>
      </c>
      <c r="F1199" s="3" t="inlineStr">
        <is>
          <t>5.5</t>
        </is>
      </c>
      <c r="G1199" s="3" t="inlineStr">
        <is>
          <t>STOEGER</t>
        </is>
      </c>
      <c r="H1199" s="65" t="inlineStr">
        <is>
          <t>STO XM1 FULL BPUP SYNTH</t>
        </is>
      </c>
      <c r="I1199" s="65" t="inlineStr">
        <is>
          <t>SAG222221BP</t>
        </is>
      </c>
      <c r="J1199" s="65" t="inlineStr">
        <is>
          <t>N/D</t>
        </is>
      </c>
      <c r="K1199" s="65" t="inlineStr">
        <is>
          <t>N/D</t>
        </is>
      </c>
      <c r="L1199" s="127" t="inlineStr">
        <is>
          <t>BENELLI ARMI SPA</t>
        </is>
      </c>
      <c r="M1199" s="5" t="n">
        <v>261</v>
      </c>
      <c r="N1199" s="5" t="n"/>
      <c r="O1199" s="5">
        <f>+M1199+N1199</f>
        <v/>
      </c>
      <c r="P1199" s="4" t="n">
        <v>45752</v>
      </c>
      <c r="Q1199" s="87" t="n">
        <v>45741</v>
      </c>
      <c r="R1199" s="5" t="n">
        <v>300</v>
      </c>
      <c r="S1199" s="2" t="n">
        <v>1</v>
      </c>
      <c r="T1199" s="3" t="inlineStr">
        <is>
          <t>6B/2025/2S</t>
        </is>
      </c>
      <c r="U1199" s="86" t="n">
        <v>45771</v>
      </c>
      <c r="V1199" s="3" t="inlineStr">
        <is>
          <t>7</t>
        </is>
      </c>
      <c r="W1199" s="111" t="n">
        <v>45771</v>
      </c>
      <c r="X1199" s="134" t="inlineStr">
        <is>
          <t xml:space="preserve">BIN HUMAID NATIONAL TRAD. CO. </t>
        </is>
      </c>
    </row>
    <row r="1200" ht="24" customHeight="1">
      <c r="A1200" s="2">
        <f>+D1200-S1200</f>
        <v/>
      </c>
      <c r="B1200" s="80" t="n">
        <v>2859</v>
      </c>
      <c r="C1200" s="66" t="n">
        <v>45755</v>
      </c>
      <c r="D1200" s="2" t="n">
        <v>1</v>
      </c>
      <c r="E1200" s="3" t="inlineStr">
        <is>
          <t>CARABINA AD ARIA COMPRESSA</t>
        </is>
      </c>
      <c r="F1200" s="3" t="inlineStr">
        <is>
          <t>5.5</t>
        </is>
      </c>
      <c r="G1200" s="3" t="inlineStr">
        <is>
          <t>STOEGER</t>
        </is>
      </c>
      <c r="H1200" s="65" t="inlineStr">
        <is>
          <t>STO XM1 FULL BPUP SYNTH</t>
        </is>
      </c>
      <c r="I1200" s="65" t="inlineStr">
        <is>
          <t>SAG222222BP</t>
        </is>
      </c>
      <c r="J1200" s="65" t="inlineStr">
        <is>
          <t>N/D</t>
        </is>
      </c>
      <c r="K1200" s="65" t="inlineStr">
        <is>
          <t>N/D</t>
        </is>
      </c>
      <c r="L1200" s="127" t="inlineStr">
        <is>
          <t>BENELLI ARMI SPA</t>
        </is>
      </c>
      <c r="M1200" s="5" t="n">
        <v>261</v>
      </c>
      <c r="N1200" s="5" t="n"/>
      <c r="O1200" s="5">
        <f>+M1200+N1200</f>
        <v/>
      </c>
      <c r="P1200" s="4" t="n">
        <v>45752</v>
      </c>
      <c r="Q1200" s="87" t="n">
        <v>45741</v>
      </c>
      <c r="R1200" s="5" t="n">
        <v>300</v>
      </c>
      <c r="S1200" s="2" t="n">
        <v>1</v>
      </c>
      <c r="T1200" s="3" t="inlineStr">
        <is>
          <t>6B/2025/2S</t>
        </is>
      </c>
      <c r="U1200" s="86" t="n">
        <v>45771</v>
      </c>
      <c r="V1200" s="3" t="inlineStr">
        <is>
          <t>7</t>
        </is>
      </c>
      <c r="W1200" s="111" t="n">
        <v>45771</v>
      </c>
      <c r="X1200" s="134" t="inlineStr">
        <is>
          <t xml:space="preserve">BIN HUMAID NATIONAL TRAD. CO. </t>
        </is>
      </c>
    </row>
    <row r="1201" ht="24" customHeight="1">
      <c r="A1201" s="2">
        <f>+D1201-S1201</f>
        <v/>
      </c>
      <c r="B1201" s="80" t="n">
        <v>2860</v>
      </c>
      <c r="C1201" s="66" t="n">
        <v>45755</v>
      </c>
      <c r="D1201" s="2" t="n">
        <v>1</v>
      </c>
      <c r="E1201" s="3" t="inlineStr">
        <is>
          <t>CARABINA AD ARIA COMPRESSA</t>
        </is>
      </c>
      <c r="F1201" s="3" t="inlineStr">
        <is>
          <t>5.5</t>
        </is>
      </c>
      <c r="G1201" s="3" t="inlineStr">
        <is>
          <t>STOEGER</t>
        </is>
      </c>
      <c r="H1201" s="65" t="inlineStr">
        <is>
          <t>STO XM1 FULL BPUP SYNTH</t>
        </is>
      </c>
      <c r="I1201" s="65" t="inlineStr">
        <is>
          <t>SAG222223BP</t>
        </is>
      </c>
      <c r="J1201" s="65" t="inlineStr">
        <is>
          <t>N/D</t>
        </is>
      </c>
      <c r="K1201" s="65" t="inlineStr">
        <is>
          <t>N/D</t>
        </is>
      </c>
      <c r="L1201" s="127" t="inlineStr">
        <is>
          <t>BENELLI ARMI SPA</t>
        </is>
      </c>
      <c r="M1201" s="5" t="n">
        <v>261</v>
      </c>
      <c r="N1201" s="5" t="n"/>
      <c r="O1201" s="5">
        <f>+M1201+N1201</f>
        <v/>
      </c>
      <c r="P1201" s="4" t="n">
        <v>45752</v>
      </c>
      <c r="Q1201" s="87" t="n">
        <v>45741</v>
      </c>
      <c r="R1201" s="5" t="n">
        <v>300</v>
      </c>
      <c r="S1201" s="2" t="n">
        <v>1</v>
      </c>
      <c r="T1201" s="3" t="inlineStr">
        <is>
          <t>6B/2025/2S</t>
        </is>
      </c>
      <c r="U1201" s="86" t="n">
        <v>45771</v>
      </c>
      <c r="V1201" s="3" t="inlineStr">
        <is>
          <t>7</t>
        </is>
      </c>
      <c r="W1201" s="111" t="n">
        <v>45771</v>
      </c>
      <c r="X1201" s="134" t="inlineStr">
        <is>
          <t xml:space="preserve">BIN HUMAID NATIONAL TRAD. CO. </t>
        </is>
      </c>
    </row>
    <row r="1202" ht="24" customHeight="1">
      <c r="A1202" s="2">
        <f>+D1202-S1202</f>
        <v/>
      </c>
      <c r="B1202" s="80" t="n">
        <v>2861</v>
      </c>
      <c r="C1202" s="66" t="n">
        <v>45755</v>
      </c>
      <c r="D1202" s="2" t="n">
        <v>1</v>
      </c>
      <c r="E1202" s="3" t="inlineStr">
        <is>
          <t>CARABINA AD ARIA COMPRESSA</t>
        </is>
      </c>
      <c r="F1202" s="3" t="inlineStr">
        <is>
          <t>5.5</t>
        </is>
      </c>
      <c r="G1202" s="3" t="inlineStr">
        <is>
          <t>STOEGER</t>
        </is>
      </c>
      <c r="H1202" s="65" t="inlineStr">
        <is>
          <t>STO XM1 FULL BPUP SYNTH</t>
        </is>
      </c>
      <c r="I1202" s="65" t="inlineStr">
        <is>
          <t>SAG222224BP</t>
        </is>
      </c>
      <c r="J1202" s="65" t="inlineStr">
        <is>
          <t>N/D</t>
        </is>
      </c>
      <c r="K1202" s="65" t="inlineStr">
        <is>
          <t>N/D</t>
        </is>
      </c>
      <c r="L1202" s="127" t="inlineStr">
        <is>
          <t>BENELLI ARMI SPA</t>
        </is>
      </c>
      <c r="M1202" s="5" t="n">
        <v>261</v>
      </c>
      <c r="N1202" s="5" t="n"/>
      <c r="O1202" s="5">
        <f>+M1202+N1202</f>
        <v/>
      </c>
      <c r="P1202" s="4" t="n">
        <v>45752</v>
      </c>
      <c r="Q1202" s="87" t="n">
        <v>45741</v>
      </c>
      <c r="R1202" s="5" t="n">
        <v>300</v>
      </c>
      <c r="S1202" s="2" t="n">
        <v>1</v>
      </c>
      <c r="T1202" s="3" t="inlineStr">
        <is>
          <t>6B/2025/2S</t>
        </is>
      </c>
      <c r="U1202" s="86" t="n">
        <v>45771</v>
      </c>
      <c r="V1202" s="3" t="inlineStr">
        <is>
          <t>7</t>
        </is>
      </c>
      <c r="W1202" s="111" t="n">
        <v>45771</v>
      </c>
      <c r="X1202" s="134" t="inlineStr">
        <is>
          <t xml:space="preserve">BIN HUMAID NATIONAL TRAD. CO. </t>
        </is>
      </c>
    </row>
    <row r="1203" ht="24" customHeight="1">
      <c r="A1203" s="2">
        <f>+D1203-S1203</f>
        <v/>
      </c>
      <c r="B1203" s="80" t="n">
        <v>2862</v>
      </c>
      <c r="C1203" s="66" t="n">
        <v>45755</v>
      </c>
      <c r="D1203" s="2" t="n">
        <v>1</v>
      </c>
      <c r="E1203" s="3" t="inlineStr">
        <is>
          <t>CARABINA AD ARIA COMPRESSA</t>
        </is>
      </c>
      <c r="F1203" s="3" t="inlineStr">
        <is>
          <t>5.5</t>
        </is>
      </c>
      <c r="G1203" s="3" t="inlineStr">
        <is>
          <t>STOEGER</t>
        </is>
      </c>
      <c r="H1203" s="65" t="inlineStr">
        <is>
          <t>STO XM1 FULL BPUP SYNTH</t>
        </is>
      </c>
      <c r="I1203" s="65" t="inlineStr">
        <is>
          <t>SAG222226BP</t>
        </is>
      </c>
      <c r="J1203" s="65" t="inlineStr">
        <is>
          <t>N/D</t>
        </is>
      </c>
      <c r="K1203" s="65" t="inlineStr">
        <is>
          <t>N/D</t>
        </is>
      </c>
      <c r="L1203" s="127" t="inlineStr">
        <is>
          <t>BENELLI ARMI SPA</t>
        </is>
      </c>
      <c r="M1203" s="5" t="n">
        <v>261</v>
      </c>
      <c r="N1203" s="5" t="n"/>
      <c r="O1203" s="5">
        <f>+M1203+N1203</f>
        <v/>
      </c>
      <c r="P1203" s="4" t="n">
        <v>45752</v>
      </c>
      <c r="Q1203" s="87" t="n">
        <v>45741</v>
      </c>
      <c r="R1203" s="5" t="n">
        <v>300</v>
      </c>
      <c r="S1203" s="2" t="n">
        <v>1</v>
      </c>
      <c r="T1203" s="3" t="inlineStr">
        <is>
          <t>6B/2025/2S</t>
        </is>
      </c>
      <c r="U1203" s="86" t="n">
        <v>45771</v>
      </c>
      <c r="V1203" s="3" t="inlineStr">
        <is>
          <t>7</t>
        </is>
      </c>
      <c r="W1203" s="111" t="n">
        <v>45771</v>
      </c>
      <c r="X1203" s="134" t="inlineStr">
        <is>
          <t xml:space="preserve">BIN HUMAID NATIONAL TRAD. CO. </t>
        </is>
      </c>
    </row>
    <row r="1204" ht="24" customHeight="1">
      <c r="A1204" s="2">
        <f>+D1204-S1204</f>
        <v/>
      </c>
      <c r="B1204" s="80" t="n">
        <v>2863</v>
      </c>
      <c r="C1204" s="66" t="n">
        <v>45755</v>
      </c>
      <c r="D1204" s="2" t="n">
        <v>1</v>
      </c>
      <c r="E1204" s="3" t="inlineStr">
        <is>
          <t>CARABINA AD ARIA COMPRESSA</t>
        </is>
      </c>
      <c r="F1204" s="3" t="inlineStr">
        <is>
          <t>5.5</t>
        </is>
      </c>
      <c r="G1204" s="3" t="inlineStr">
        <is>
          <t>STOEGER</t>
        </is>
      </c>
      <c r="H1204" s="65" t="inlineStr">
        <is>
          <t>STO XM1 FULL BPUP SYNTH</t>
        </is>
      </c>
      <c r="I1204" s="65" t="inlineStr">
        <is>
          <t>SAG222227BP</t>
        </is>
      </c>
      <c r="J1204" s="65" t="inlineStr">
        <is>
          <t>N/D</t>
        </is>
      </c>
      <c r="K1204" s="65" t="inlineStr">
        <is>
          <t>N/D</t>
        </is>
      </c>
      <c r="L1204" s="127" t="inlineStr">
        <is>
          <t>BENELLI ARMI SPA</t>
        </is>
      </c>
      <c r="M1204" s="5" t="n">
        <v>261</v>
      </c>
      <c r="N1204" s="5" t="n"/>
      <c r="O1204" s="5">
        <f>+M1204+N1204</f>
        <v/>
      </c>
      <c r="P1204" s="4" t="n">
        <v>45752</v>
      </c>
      <c r="Q1204" s="87" t="n">
        <v>45741</v>
      </c>
      <c r="R1204" s="5" t="n">
        <v>300</v>
      </c>
      <c r="S1204" s="2" t="n">
        <v>1</v>
      </c>
      <c r="T1204" s="3" t="inlineStr">
        <is>
          <t>6B/2025/2S</t>
        </is>
      </c>
      <c r="U1204" s="86" t="n">
        <v>45771</v>
      </c>
      <c r="V1204" s="3" t="inlineStr">
        <is>
          <t>7</t>
        </is>
      </c>
      <c r="W1204" s="111" t="n">
        <v>45771</v>
      </c>
      <c r="X1204" s="134" t="inlineStr">
        <is>
          <t xml:space="preserve">BIN HUMAID NATIONAL TRAD. CO. </t>
        </is>
      </c>
    </row>
    <row r="1205" ht="24" customHeight="1">
      <c r="A1205" s="2">
        <f>+D1205-S1205</f>
        <v/>
      </c>
      <c r="B1205" s="80" t="n">
        <v>2864</v>
      </c>
      <c r="C1205" s="66" t="n">
        <v>45755</v>
      </c>
      <c r="D1205" s="2" t="n">
        <v>1</v>
      </c>
      <c r="E1205" s="3" t="inlineStr">
        <is>
          <t>CARABINA AD ARIA COMPRESSA</t>
        </is>
      </c>
      <c r="F1205" s="3" t="inlineStr">
        <is>
          <t>5.5</t>
        </is>
      </c>
      <c r="G1205" s="3" t="inlineStr">
        <is>
          <t>STOEGER</t>
        </is>
      </c>
      <c r="H1205" s="65" t="inlineStr">
        <is>
          <t>STO XM1 FULL BPUP SYNTH</t>
        </is>
      </c>
      <c r="I1205" s="65" t="inlineStr">
        <is>
          <t>SAG222228BP</t>
        </is>
      </c>
      <c r="J1205" s="65" t="inlineStr">
        <is>
          <t>N/D</t>
        </is>
      </c>
      <c r="K1205" s="65" t="inlineStr">
        <is>
          <t>N/D</t>
        </is>
      </c>
      <c r="L1205" s="127" t="inlineStr">
        <is>
          <t>BENELLI ARMI SPA</t>
        </is>
      </c>
      <c r="M1205" s="5" t="n">
        <v>261</v>
      </c>
      <c r="N1205" s="5" t="n"/>
      <c r="O1205" s="5">
        <f>+M1205+N1205</f>
        <v/>
      </c>
      <c r="P1205" s="4" t="n">
        <v>45752</v>
      </c>
      <c r="Q1205" s="87" t="n">
        <v>45741</v>
      </c>
      <c r="R1205" s="5" t="n">
        <v>300</v>
      </c>
      <c r="S1205" s="2" t="n">
        <v>1</v>
      </c>
      <c r="T1205" s="3" t="inlineStr">
        <is>
          <t>6B/2025/2S</t>
        </is>
      </c>
      <c r="U1205" s="86" t="n">
        <v>45771</v>
      </c>
      <c r="V1205" s="3" t="inlineStr">
        <is>
          <t>7</t>
        </is>
      </c>
      <c r="W1205" s="111" t="n">
        <v>45771</v>
      </c>
      <c r="X1205" s="134" t="inlineStr">
        <is>
          <t xml:space="preserve">BIN HUMAID NATIONAL TRAD. CO. </t>
        </is>
      </c>
    </row>
    <row r="1206" ht="24" customHeight="1">
      <c r="A1206" s="2">
        <f>+D1206-S1206</f>
        <v/>
      </c>
      <c r="B1206" s="80" t="n">
        <v>2865</v>
      </c>
      <c r="C1206" s="66" t="n">
        <v>45755</v>
      </c>
      <c r="D1206" s="2" t="n">
        <v>1</v>
      </c>
      <c r="E1206" s="3" t="inlineStr">
        <is>
          <t>CARABINA AD ARIA COMPRESSA</t>
        </is>
      </c>
      <c r="F1206" s="3" t="inlineStr">
        <is>
          <t>5.5</t>
        </is>
      </c>
      <c r="G1206" s="3" t="inlineStr">
        <is>
          <t>STOEGER</t>
        </is>
      </c>
      <c r="H1206" s="65" t="inlineStr">
        <is>
          <t>STO XM1 FULL BPUP SYNTH</t>
        </is>
      </c>
      <c r="I1206" s="65" t="inlineStr">
        <is>
          <t>SAG222229BP</t>
        </is>
      </c>
      <c r="J1206" s="65" t="inlineStr">
        <is>
          <t>N/D</t>
        </is>
      </c>
      <c r="K1206" s="65" t="inlineStr">
        <is>
          <t>N/D</t>
        </is>
      </c>
      <c r="L1206" s="127" t="inlineStr">
        <is>
          <t>BENELLI ARMI SPA</t>
        </is>
      </c>
      <c r="M1206" s="5" t="n">
        <v>261</v>
      </c>
      <c r="N1206" s="5" t="n"/>
      <c r="O1206" s="5">
        <f>+M1206+N1206</f>
        <v/>
      </c>
      <c r="P1206" s="4" t="n">
        <v>45752</v>
      </c>
      <c r="Q1206" s="87" t="n">
        <v>45741</v>
      </c>
      <c r="R1206" s="5" t="n">
        <v>300</v>
      </c>
      <c r="S1206" s="2" t="n">
        <v>1</v>
      </c>
      <c r="T1206" s="3" t="inlineStr">
        <is>
          <t>6B/2025/2S</t>
        </is>
      </c>
      <c r="U1206" s="86" t="n">
        <v>45771</v>
      </c>
      <c r="V1206" s="3" t="inlineStr">
        <is>
          <t>7</t>
        </is>
      </c>
      <c r="W1206" s="111" t="n">
        <v>45771</v>
      </c>
      <c r="X1206" s="134" t="inlineStr">
        <is>
          <t xml:space="preserve">BIN HUMAID NATIONAL TRAD. CO. </t>
        </is>
      </c>
    </row>
    <row r="1207" ht="24" customHeight="1">
      <c r="A1207" s="2">
        <f>+D1207-S1207</f>
        <v/>
      </c>
      <c r="B1207" s="80" t="n">
        <v>2866</v>
      </c>
      <c r="C1207" s="66" t="n">
        <v>45755</v>
      </c>
      <c r="D1207" s="2" t="n">
        <v>1</v>
      </c>
      <c r="E1207" s="3" t="inlineStr">
        <is>
          <t>CARABINA AD ARIA COMPRESSA</t>
        </is>
      </c>
      <c r="F1207" s="3" t="inlineStr">
        <is>
          <t>5.5</t>
        </is>
      </c>
      <c r="G1207" s="3" t="inlineStr">
        <is>
          <t>STOEGER</t>
        </is>
      </c>
      <c r="H1207" s="65" t="inlineStr">
        <is>
          <t>STO XM1 FULL BPUP SYNTH</t>
        </is>
      </c>
      <c r="I1207" s="65" t="inlineStr">
        <is>
          <t>SAG222230BP</t>
        </is>
      </c>
      <c r="J1207" s="65" t="inlineStr">
        <is>
          <t>N/D</t>
        </is>
      </c>
      <c r="K1207" s="65" t="inlineStr">
        <is>
          <t>N/D</t>
        </is>
      </c>
      <c r="L1207" s="127" t="inlineStr">
        <is>
          <t>BENELLI ARMI SPA</t>
        </is>
      </c>
      <c r="M1207" s="5" t="n">
        <v>261</v>
      </c>
      <c r="N1207" s="5" t="n"/>
      <c r="O1207" s="5">
        <f>+M1207+N1207</f>
        <v/>
      </c>
      <c r="P1207" s="4" t="n">
        <v>45752</v>
      </c>
      <c r="Q1207" s="87" t="n">
        <v>45741</v>
      </c>
      <c r="R1207" s="5" t="n">
        <v>300</v>
      </c>
      <c r="S1207" s="2" t="n">
        <v>1</v>
      </c>
      <c r="T1207" s="3" t="inlineStr">
        <is>
          <t>6B/2025/2S</t>
        </is>
      </c>
      <c r="U1207" s="86" t="n">
        <v>45771</v>
      </c>
      <c r="V1207" s="3" t="inlineStr">
        <is>
          <t>7</t>
        </is>
      </c>
      <c r="W1207" s="111" t="n">
        <v>45771</v>
      </c>
      <c r="X1207" s="134" t="inlineStr">
        <is>
          <t xml:space="preserve">BIN HUMAID NATIONAL TRAD. CO. </t>
        </is>
      </c>
    </row>
    <row r="1208" ht="24" customHeight="1">
      <c r="A1208" s="2">
        <f>+D1208-S1208</f>
        <v/>
      </c>
      <c r="B1208" s="80" t="n">
        <v>2867</v>
      </c>
      <c r="C1208" s="66" t="n">
        <v>45755</v>
      </c>
      <c r="D1208" s="2" t="n">
        <v>1</v>
      </c>
      <c r="E1208" s="3" t="inlineStr">
        <is>
          <t>CARABINA AD ARIA COMPRESSA</t>
        </is>
      </c>
      <c r="F1208" s="3" t="inlineStr">
        <is>
          <t>5.5</t>
        </is>
      </c>
      <c r="G1208" s="3" t="inlineStr">
        <is>
          <t>STOEGER</t>
        </is>
      </c>
      <c r="H1208" s="65" t="inlineStr">
        <is>
          <t>STO XM1 FULL BPUP SYNTH</t>
        </is>
      </c>
      <c r="I1208" s="65" t="inlineStr">
        <is>
          <t>SAG222231BP</t>
        </is>
      </c>
      <c r="J1208" s="65" t="inlineStr">
        <is>
          <t>N/D</t>
        </is>
      </c>
      <c r="K1208" s="65" t="inlineStr">
        <is>
          <t>N/D</t>
        </is>
      </c>
      <c r="L1208" s="127" t="inlineStr">
        <is>
          <t>BENELLI ARMI SPA</t>
        </is>
      </c>
      <c r="M1208" s="5" t="n">
        <v>261</v>
      </c>
      <c r="N1208" s="5" t="n"/>
      <c r="O1208" s="5">
        <f>+M1208+N1208</f>
        <v/>
      </c>
      <c r="P1208" s="4" t="n">
        <v>45752</v>
      </c>
      <c r="Q1208" s="87" t="n">
        <v>45741</v>
      </c>
      <c r="R1208" s="5" t="n">
        <v>300</v>
      </c>
      <c r="S1208" s="2" t="n">
        <v>1</v>
      </c>
      <c r="T1208" s="3" t="inlineStr">
        <is>
          <t>6B/2025/2S</t>
        </is>
      </c>
      <c r="U1208" s="86" t="n">
        <v>45771</v>
      </c>
      <c r="V1208" s="3" t="inlineStr">
        <is>
          <t>7</t>
        </is>
      </c>
      <c r="W1208" s="111" t="n">
        <v>45771</v>
      </c>
      <c r="X1208" s="134" t="inlineStr">
        <is>
          <t xml:space="preserve">BIN HUMAID NATIONAL TRAD. CO. </t>
        </is>
      </c>
    </row>
    <row r="1209" ht="24" customHeight="1">
      <c r="A1209" s="2">
        <f>+D1209-S1209</f>
        <v/>
      </c>
      <c r="B1209" s="80" t="n">
        <v>2868</v>
      </c>
      <c r="C1209" s="66" t="n">
        <v>45755</v>
      </c>
      <c r="D1209" s="2" t="n">
        <v>1</v>
      </c>
      <c r="E1209" s="3" t="inlineStr">
        <is>
          <t>CARABINA AD ARIA COMPRESSA</t>
        </is>
      </c>
      <c r="F1209" s="3" t="inlineStr">
        <is>
          <t>5.5</t>
        </is>
      </c>
      <c r="G1209" s="3" t="inlineStr">
        <is>
          <t>STOEGER</t>
        </is>
      </c>
      <c r="H1209" s="65" t="inlineStr">
        <is>
          <t>STO XM1 FULL BPUP SYNTH</t>
        </is>
      </c>
      <c r="I1209" s="65" t="inlineStr">
        <is>
          <t>SAG222234BP</t>
        </is>
      </c>
      <c r="J1209" s="65" t="inlineStr">
        <is>
          <t>N/D</t>
        </is>
      </c>
      <c r="K1209" s="65" t="inlineStr">
        <is>
          <t>N/D</t>
        </is>
      </c>
      <c r="L1209" s="127" t="inlineStr">
        <is>
          <t>BENELLI ARMI SPA</t>
        </is>
      </c>
      <c r="M1209" s="5" t="n">
        <v>261</v>
      </c>
      <c r="N1209" s="5" t="n"/>
      <c r="O1209" s="5">
        <f>+M1209+N1209</f>
        <v/>
      </c>
      <c r="P1209" s="4" t="n">
        <v>45752</v>
      </c>
      <c r="Q1209" s="87" t="n">
        <v>45741</v>
      </c>
      <c r="R1209" s="5" t="n">
        <v>300</v>
      </c>
      <c r="S1209" s="2" t="n">
        <v>1</v>
      </c>
      <c r="T1209" s="3" t="inlineStr">
        <is>
          <t>6B/2025/2S</t>
        </is>
      </c>
      <c r="U1209" s="86" t="n">
        <v>45771</v>
      </c>
      <c r="V1209" s="3" t="inlineStr">
        <is>
          <t>7</t>
        </is>
      </c>
      <c r="W1209" s="111" t="n">
        <v>45771</v>
      </c>
      <c r="X1209" s="134" t="inlineStr">
        <is>
          <t xml:space="preserve">BIN HUMAID NATIONAL TRAD. CO. </t>
        </is>
      </c>
    </row>
    <row r="1210" ht="24" customHeight="1">
      <c r="A1210" s="2">
        <f>+D1210-S1210</f>
        <v/>
      </c>
      <c r="B1210" s="80" t="n">
        <v>2869</v>
      </c>
      <c r="C1210" s="66" t="n">
        <v>45755</v>
      </c>
      <c r="D1210" s="2" t="n">
        <v>1</v>
      </c>
      <c r="E1210" s="3" t="inlineStr">
        <is>
          <t>CARABINA AD ARIA COMPRESSA</t>
        </is>
      </c>
      <c r="F1210" s="3" t="inlineStr">
        <is>
          <t>5.5</t>
        </is>
      </c>
      <c r="G1210" s="3" t="inlineStr">
        <is>
          <t>STOEGER</t>
        </is>
      </c>
      <c r="H1210" s="65" t="inlineStr">
        <is>
          <t>STO XM1 FULL BPUP SYNTH</t>
        </is>
      </c>
      <c r="I1210" s="65" t="inlineStr">
        <is>
          <t>SAG222235BP</t>
        </is>
      </c>
      <c r="J1210" s="65" t="inlineStr">
        <is>
          <t>N/D</t>
        </is>
      </c>
      <c r="K1210" s="65" t="inlineStr">
        <is>
          <t>N/D</t>
        </is>
      </c>
      <c r="L1210" s="127" t="inlineStr">
        <is>
          <t>BENELLI ARMI SPA</t>
        </is>
      </c>
      <c r="M1210" s="5" t="n">
        <v>261</v>
      </c>
      <c r="N1210" s="5" t="n"/>
      <c r="O1210" s="5">
        <f>+M1210+N1210</f>
        <v/>
      </c>
      <c r="P1210" s="4" t="n">
        <v>45752</v>
      </c>
      <c r="Q1210" s="87" t="n">
        <v>45741</v>
      </c>
      <c r="R1210" s="5" t="n">
        <v>300</v>
      </c>
      <c r="S1210" s="2" t="n">
        <v>1</v>
      </c>
      <c r="T1210" s="3" t="inlineStr">
        <is>
          <t>6B/2025/2S</t>
        </is>
      </c>
      <c r="U1210" s="86" t="n">
        <v>45771</v>
      </c>
      <c r="V1210" s="3" t="inlineStr">
        <is>
          <t>7</t>
        </is>
      </c>
      <c r="W1210" s="111" t="n">
        <v>45771</v>
      </c>
      <c r="X1210" s="134" t="inlineStr">
        <is>
          <t xml:space="preserve">BIN HUMAID NATIONAL TRAD. CO. </t>
        </is>
      </c>
    </row>
    <row r="1211" ht="24" customHeight="1">
      <c r="A1211" s="2">
        <f>+D1211-S1211</f>
        <v/>
      </c>
      <c r="B1211" s="80" t="n">
        <v>2870</v>
      </c>
      <c r="C1211" s="66" t="n">
        <v>45755</v>
      </c>
      <c r="D1211" s="2" t="n">
        <v>1</v>
      </c>
      <c r="E1211" s="3" t="inlineStr">
        <is>
          <t>CARABINA AD ARIA COMPRESSA</t>
        </is>
      </c>
      <c r="F1211" s="3" t="inlineStr">
        <is>
          <t>5.5</t>
        </is>
      </c>
      <c r="G1211" s="3" t="inlineStr">
        <is>
          <t>STOEGER</t>
        </is>
      </c>
      <c r="H1211" s="65" t="inlineStr">
        <is>
          <t>STO XM1 FULL BPUP SYNTH</t>
        </is>
      </c>
      <c r="I1211" s="65" t="inlineStr">
        <is>
          <t>SAG222236BP</t>
        </is>
      </c>
      <c r="J1211" s="65" t="inlineStr">
        <is>
          <t>N/D</t>
        </is>
      </c>
      <c r="K1211" s="65" t="inlineStr">
        <is>
          <t>N/D</t>
        </is>
      </c>
      <c r="L1211" s="127" t="inlineStr">
        <is>
          <t>BENELLI ARMI SPA</t>
        </is>
      </c>
      <c r="M1211" s="5" t="n">
        <v>261</v>
      </c>
      <c r="N1211" s="5" t="n"/>
      <c r="O1211" s="5">
        <f>+M1211+N1211</f>
        <v/>
      </c>
      <c r="P1211" s="4" t="n">
        <v>45752</v>
      </c>
      <c r="Q1211" s="87" t="n">
        <v>45741</v>
      </c>
      <c r="R1211" s="5" t="n">
        <v>300</v>
      </c>
      <c r="S1211" s="2" t="n">
        <v>1</v>
      </c>
      <c r="T1211" s="3" t="inlineStr">
        <is>
          <t>6B/2025/2S</t>
        </is>
      </c>
      <c r="U1211" s="86" t="n">
        <v>45771</v>
      </c>
      <c r="V1211" s="3" t="inlineStr">
        <is>
          <t>7</t>
        </is>
      </c>
      <c r="W1211" s="111" t="n">
        <v>45771</v>
      </c>
      <c r="X1211" s="134" t="inlineStr">
        <is>
          <t xml:space="preserve">BIN HUMAID NATIONAL TRAD. CO. </t>
        </is>
      </c>
    </row>
    <row r="1212" ht="24" customHeight="1">
      <c r="A1212" s="2">
        <f>+D1212-S1212</f>
        <v/>
      </c>
      <c r="B1212" s="80" t="n">
        <v>2871</v>
      </c>
      <c r="C1212" s="66" t="n">
        <v>45755</v>
      </c>
      <c r="D1212" s="2" t="n">
        <v>1</v>
      </c>
      <c r="E1212" s="3" t="inlineStr">
        <is>
          <t>CARABINA AD ARIA COMPRESSA</t>
        </is>
      </c>
      <c r="F1212" s="3" t="inlineStr">
        <is>
          <t>5.5</t>
        </is>
      </c>
      <c r="G1212" s="3" t="inlineStr">
        <is>
          <t>STOEGER</t>
        </is>
      </c>
      <c r="H1212" s="65" t="inlineStr">
        <is>
          <t>STO XM1 FULL BPUP SYNTH</t>
        </is>
      </c>
      <c r="I1212" s="65" t="inlineStr">
        <is>
          <t>SAG222237BP</t>
        </is>
      </c>
      <c r="J1212" s="65" t="inlineStr">
        <is>
          <t>N/D</t>
        </is>
      </c>
      <c r="K1212" s="65" t="inlineStr">
        <is>
          <t>N/D</t>
        </is>
      </c>
      <c r="L1212" s="127" t="inlineStr">
        <is>
          <t>BENELLI ARMI SPA</t>
        </is>
      </c>
      <c r="M1212" s="5" t="n">
        <v>261</v>
      </c>
      <c r="N1212" s="5" t="n"/>
      <c r="O1212" s="5">
        <f>+M1212+N1212</f>
        <v/>
      </c>
      <c r="P1212" s="4" t="n">
        <v>45752</v>
      </c>
      <c r="Q1212" s="87" t="n">
        <v>45741</v>
      </c>
      <c r="R1212" s="5" t="n">
        <v>300</v>
      </c>
      <c r="S1212" s="2" t="n">
        <v>1</v>
      </c>
      <c r="T1212" s="3" t="inlineStr">
        <is>
          <t>6B/2025/2S</t>
        </is>
      </c>
      <c r="U1212" s="86" t="n">
        <v>45771</v>
      </c>
      <c r="V1212" s="3" t="inlineStr">
        <is>
          <t>7</t>
        </is>
      </c>
      <c r="W1212" s="111" t="n">
        <v>45771</v>
      </c>
      <c r="X1212" s="134" t="inlineStr">
        <is>
          <t xml:space="preserve">BIN HUMAID NATIONAL TRAD. CO. </t>
        </is>
      </c>
    </row>
    <row r="1213" ht="24" customHeight="1">
      <c r="A1213" s="2">
        <f>+D1213-S1213</f>
        <v/>
      </c>
      <c r="B1213" s="80" t="n">
        <v>2872</v>
      </c>
      <c r="C1213" s="66" t="n">
        <v>45755</v>
      </c>
      <c r="D1213" s="2" t="n">
        <v>1</v>
      </c>
      <c r="E1213" s="3" t="inlineStr">
        <is>
          <t>CARABINA AD ARIA COMPRESSA</t>
        </is>
      </c>
      <c r="F1213" s="3" t="inlineStr">
        <is>
          <t>5.5</t>
        </is>
      </c>
      <c r="G1213" s="3" t="inlineStr">
        <is>
          <t>STOEGER</t>
        </is>
      </c>
      <c r="H1213" s="65" t="inlineStr">
        <is>
          <t>STO XM1 FULL BPUP SYNTH</t>
        </is>
      </c>
      <c r="I1213" s="65" t="inlineStr">
        <is>
          <t>SAG222240BP</t>
        </is>
      </c>
      <c r="J1213" s="65" t="inlineStr">
        <is>
          <t>N/D</t>
        </is>
      </c>
      <c r="K1213" s="65" t="inlineStr">
        <is>
          <t>N/D</t>
        </is>
      </c>
      <c r="L1213" s="127" t="inlineStr">
        <is>
          <t>BENELLI ARMI SPA</t>
        </is>
      </c>
      <c r="M1213" s="5" t="n">
        <v>261</v>
      </c>
      <c r="N1213" s="5" t="n"/>
      <c r="O1213" s="5">
        <f>+M1213+N1213</f>
        <v/>
      </c>
      <c r="P1213" s="4" t="n">
        <v>45752</v>
      </c>
      <c r="Q1213" s="87" t="n">
        <v>45741</v>
      </c>
      <c r="R1213" s="5" t="n">
        <v>300</v>
      </c>
      <c r="S1213" s="2" t="n">
        <v>1</v>
      </c>
      <c r="T1213" s="3" t="inlineStr">
        <is>
          <t>6B/2025/2S</t>
        </is>
      </c>
      <c r="U1213" s="86" t="n">
        <v>45771</v>
      </c>
      <c r="V1213" s="3" t="inlineStr">
        <is>
          <t>7</t>
        </is>
      </c>
      <c r="W1213" s="111" t="n">
        <v>45771</v>
      </c>
      <c r="X1213" s="134" t="inlineStr">
        <is>
          <t xml:space="preserve">BIN HUMAID NATIONAL TRAD. CO. </t>
        </is>
      </c>
    </row>
    <row r="1214" ht="24" customHeight="1">
      <c r="A1214" s="2">
        <f>+D1214-S1214</f>
        <v/>
      </c>
      <c r="B1214" s="80" t="n">
        <v>2873</v>
      </c>
      <c r="C1214" s="66" t="n">
        <v>45755</v>
      </c>
      <c r="D1214" s="2" t="n">
        <v>1</v>
      </c>
      <c r="E1214" s="3" t="inlineStr">
        <is>
          <t>CARABINA AD ARIA COMPRESSA</t>
        </is>
      </c>
      <c r="F1214" s="3" t="inlineStr">
        <is>
          <t>5.5</t>
        </is>
      </c>
      <c r="G1214" s="3" t="inlineStr">
        <is>
          <t>STOEGER</t>
        </is>
      </c>
      <c r="H1214" s="65" t="inlineStr">
        <is>
          <t>STO XM1 FULL BPUP SYNTH</t>
        </is>
      </c>
      <c r="I1214" s="65" t="inlineStr">
        <is>
          <t>SAG222241BP</t>
        </is>
      </c>
      <c r="J1214" s="65" t="inlineStr">
        <is>
          <t>N/D</t>
        </is>
      </c>
      <c r="K1214" s="65" t="inlineStr">
        <is>
          <t>N/D</t>
        </is>
      </c>
      <c r="L1214" s="127" t="inlineStr">
        <is>
          <t>BENELLI ARMI SPA</t>
        </is>
      </c>
      <c r="M1214" s="5" t="n">
        <v>261</v>
      </c>
      <c r="N1214" s="5" t="n"/>
      <c r="O1214" s="5">
        <f>+M1214+N1214</f>
        <v/>
      </c>
      <c r="P1214" s="4" t="n">
        <v>45752</v>
      </c>
      <c r="Q1214" s="87" t="n">
        <v>45741</v>
      </c>
      <c r="R1214" s="5" t="n">
        <v>300</v>
      </c>
      <c r="S1214" s="2" t="n">
        <v>1</v>
      </c>
      <c r="T1214" s="3" t="inlineStr">
        <is>
          <t>6B/2025/2S</t>
        </is>
      </c>
      <c r="U1214" s="86" t="n">
        <v>45771</v>
      </c>
      <c r="V1214" s="3" t="inlineStr">
        <is>
          <t>7</t>
        </is>
      </c>
      <c r="W1214" s="111" t="n">
        <v>45771</v>
      </c>
      <c r="X1214" s="134" t="inlineStr">
        <is>
          <t xml:space="preserve">BIN HUMAID NATIONAL TRAD. CO. </t>
        </is>
      </c>
    </row>
    <row r="1215" ht="24" customHeight="1">
      <c r="A1215" s="2">
        <f>+D1215-S1215</f>
        <v/>
      </c>
      <c r="B1215" s="80" t="n">
        <v>2874</v>
      </c>
      <c r="C1215" s="66" t="n">
        <v>45755</v>
      </c>
      <c r="D1215" s="2" t="n">
        <v>1</v>
      </c>
      <c r="E1215" s="3" t="inlineStr">
        <is>
          <t>CARABINA AD ARIA COMPRESSA</t>
        </is>
      </c>
      <c r="F1215" s="3" t="inlineStr">
        <is>
          <t>5.5</t>
        </is>
      </c>
      <c r="G1215" s="3" t="inlineStr">
        <is>
          <t>STOEGER</t>
        </is>
      </c>
      <c r="H1215" s="65" t="inlineStr">
        <is>
          <t>STO XM1 FULL BPUP SYNTH</t>
        </is>
      </c>
      <c r="I1215" s="65" t="inlineStr">
        <is>
          <t>SAG222242BP</t>
        </is>
      </c>
      <c r="J1215" s="65" t="inlineStr">
        <is>
          <t>N/D</t>
        </is>
      </c>
      <c r="K1215" s="65" t="inlineStr">
        <is>
          <t>N/D</t>
        </is>
      </c>
      <c r="L1215" s="127" t="inlineStr">
        <is>
          <t>BENELLI ARMI SPA</t>
        </is>
      </c>
      <c r="M1215" s="5" t="n">
        <v>261</v>
      </c>
      <c r="N1215" s="5" t="n"/>
      <c r="O1215" s="5">
        <f>+M1215+N1215</f>
        <v/>
      </c>
      <c r="P1215" s="4" t="n">
        <v>45752</v>
      </c>
      <c r="Q1215" s="87" t="n">
        <v>45741</v>
      </c>
      <c r="R1215" s="5" t="n">
        <v>300</v>
      </c>
      <c r="S1215" s="2" t="n">
        <v>1</v>
      </c>
      <c r="T1215" s="3" t="inlineStr">
        <is>
          <t>6B/2025/2S</t>
        </is>
      </c>
      <c r="U1215" s="86" t="n">
        <v>45771</v>
      </c>
      <c r="V1215" s="3" t="inlineStr">
        <is>
          <t>7</t>
        </is>
      </c>
      <c r="W1215" s="111" t="n">
        <v>45771</v>
      </c>
      <c r="X1215" s="134" t="inlineStr">
        <is>
          <t xml:space="preserve">BIN HUMAID NATIONAL TRAD. CO. </t>
        </is>
      </c>
    </row>
    <row r="1216" ht="24" customHeight="1">
      <c r="A1216" s="2">
        <f>+D1216-S1216</f>
        <v/>
      </c>
      <c r="B1216" s="80" t="n">
        <v>2875</v>
      </c>
      <c r="C1216" s="66" t="n">
        <v>45755</v>
      </c>
      <c r="D1216" s="2" t="n">
        <v>1</v>
      </c>
      <c r="E1216" s="3" t="inlineStr">
        <is>
          <t>CARABINA AD ARIA COMPRESSA</t>
        </is>
      </c>
      <c r="F1216" s="3" t="inlineStr">
        <is>
          <t>5.5</t>
        </is>
      </c>
      <c r="G1216" s="3" t="inlineStr">
        <is>
          <t>STOEGER</t>
        </is>
      </c>
      <c r="H1216" s="65" t="inlineStr">
        <is>
          <t>STO XM1 FULL BPUP SYNTH</t>
        </is>
      </c>
      <c r="I1216" s="65" t="inlineStr">
        <is>
          <t>SAG222243BP</t>
        </is>
      </c>
      <c r="J1216" s="65" t="inlineStr">
        <is>
          <t>N/D</t>
        </is>
      </c>
      <c r="K1216" s="65" t="inlineStr">
        <is>
          <t>N/D</t>
        </is>
      </c>
      <c r="L1216" s="127" t="inlineStr">
        <is>
          <t>BENELLI ARMI SPA</t>
        </is>
      </c>
      <c r="M1216" s="5" t="n">
        <v>261</v>
      </c>
      <c r="N1216" s="5" t="n"/>
      <c r="O1216" s="5">
        <f>+M1216+N1216</f>
        <v/>
      </c>
      <c r="P1216" s="4" t="n">
        <v>45752</v>
      </c>
      <c r="Q1216" s="87" t="n">
        <v>45741</v>
      </c>
      <c r="R1216" s="5" t="n">
        <v>300</v>
      </c>
      <c r="S1216" s="2" t="n">
        <v>1</v>
      </c>
      <c r="T1216" s="3" t="inlineStr">
        <is>
          <t>6B/2025/2S</t>
        </is>
      </c>
      <c r="U1216" s="86" t="n">
        <v>45771</v>
      </c>
      <c r="V1216" s="3" t="inlineStr">
        <is>
          <t>7</t>
        </is>
      </c>
      <c r="W1216" s="111" t="n">
        <v>45771</v>
      </c>
      <c r="X1216" s="134" t="inlineStr">
        <is>
          <t xml:space="preserve">BIN HUMAID NATIONAL TRAD. CO. </t>
        </is>
      </c>
    </row>
    <row r="1217" ht="24" customHeight="1">
      <c r="A1217" s="2">
        <f>+D1217-S1217</f>
        <v/>
      </c>
      <c r="B1217" s="80" t="n">
        <v>2876</v>
      </c>
      <c r="C1217" s="66" t="n">
        <v>45755</v>
      </c>
      <c r="D1217" s="2" t="n">
        <v>1</v>
      </c>
      <c r="E1217" s="3" t="inlineStr">
        <is>
          <t>CARABINA AD ARIA COMPRESSA</t>
        </is>
      </c>
      <c r="F1217" s="3" t="inlineStr">
        <is>
          <t>5.5</t>
        </is>
      </c>
      <c r="G1217" s="3" t="inlineStr">
        <is>
          <t>STOEGER</t>
        </is>
      </c>
      <c r="H1217" s="65" t="inlineStr">
        <is>
          <t>STO XM1 FULL BPUP SYNTH</t>
        </is>
      </c>
      <c r="I1217" s="65" t="inlineStr">
        <is>
          <t>SAG222244BP</t>
        </is>
      </c>
      <c r="J1217" s="65" t="inlineStr">
        <is>
          <t>N/D</t>
        </is>
      </c>
      <c r="K1217" s="65" t="inlineStr">
        <is>
          <t>N/D</t>
        </is>
      </c>
      <c r="L1217" s="127" t="inlineStr">
        <is>
          <t>BENELLI ARMI SPA</t>
        </is>
      </c>
      <c r="M1217" s="5" t="n">
        <v>261</v>
      </c>
      <c r="N1217" s="5" t="n"/>
      <c r="O1217" s="5">
        <f>+M1217+N1217</f>
        <v/>
      </c>
      <c r="P1217" s="4" t="n">
        <v>45752</v>
      </c>
      <c r="Q1217" s="87" t="n">
        <v>45741</v>
      </c>
      <c r="R1217" s="5" t="n">
        <v>300</v>
      </c>
      <c r="S1217" s="2" t="n">
        <v>1</v>
      </c>
      <c r="T1217" s="3" t="inlineStr">
        <is>
          <t>6B/2025/2S</t>
        </is>
      </c>
      <c r="U1217" s="86" t="n">
        <v>45771</v>
      </c>
      <c r="V1217" s="3" t="inlineStr">
        <is>
          <t>7</t>
        </is>
      </c>
      <c r="W1217" s="111" t="n">
        <v>45771</v>
      </c>
      <c r="X1217" s="134" t="inlineStr">
        <is>
          <t xml:space="preserve">BIN HUMAID NATIONAL TRAD. CO. </t>
        </is>
      </c>
    </row>
    <row r="1218" ht="24" customHeight="1">
      <c r="A1218" s="2">
        <f>+D1218-S1218</f>
        <v/>
      </c>
      <c r="B1218" s="80" t="n">
        <v>2877</v>
      </c>
      <c r="C1218" s="66" t="n">
        <v>45755</v>
      </c>
      <c r="D1218" s="2" t="n">
        <v>1</v>
      </c>
      <c r="E1218" s="3" t="inlineStr">
        <is>
          <t>CARABINA AD ARIA COMPRESSA</t>
        </is>
      </c>
      <c r="F1218" s="3" t="inlineStr">
        <is>
          <t>5.5</t>
        </is>
      </c>
      <c r="G1218" s="3" t="inlineStr">
        <is>
          <t>STOEGER</t>
        </is>
      </c>
      <c r="H1218" s="65" t="inlineStr">
        <is>
          <t>STO XM1 FULL BPUP SYNTH</t>
        </is>
      </c>
      <c r="I1218" s="65" t="inlineStr">
        <is>
          <t>SAG222246BP</t>
        </is>
      </c>
      <c r="J1218" s="65" t="inlineStr">
        <is>
          <t>N/D</t>
        </is>
      </c>
      <c r="K1218" s="65" t="inlineStr">
        <is>
          <t>N/D</t>
        </is>
      </c>
      <c r="L1218" s="127" t="inlineStr">
        <is>
          <t>BENELLI ARMI SPA</t>
        </is>
      </c>
      <c r="M1218" s="5" t="n">
        <v>261</v>
      </c>
      <c r="N1218" s="5" t="n"/>
      <c r="O1218" s="5">
        <f>+M1218+N1218</f>
        <v/>
      </c>
      <c r="P1218" s="4" t="n">
        <v>45752</v>
      </c>
      <c r="Q1218" s="87" t="n">
        <v>45741</v>
      </c>
      <c r="R1218" s="5" t="n">
        <v>300</v>
      </c>
      <c r="S1218" s="2" t="n">
        <v>1</v>
      </c>
      <c r="T1218" s="3" t="inlineStr">
        <is>
          <t>6B/2025/2S</t>
        </is>
      </c>
      <c r="U1218" s="86" t="n">
        <v>45771</v>
      </c>
      <c r="V1218" s="3" t="inlineStr">
        <is>
          <t>7</t>
        </is>
      </c>
      <c r="W1218" s="111" t="n">
        <v>45771</v>
      </c>
      <c r="X1218" s="134" t="inlineStr">
        <is>
          <t xml:space="preserve">BIN HUMAID NATIONAL TRAD. CO. </t>
        </is>
      </c>
    </row>
    <row r="1219" ht="24" customHeight="1">
      <c r="A1219" s="2">
        <f>+D1219-S1219</f>
        <v/>
      </c>
      <c r="B1219" s="80" t="n">
        <v>2878</v>
      </c>
      <c r="C1219" s="66" t="n">
        <v>45755</v>
      </c>
      <c r="D1219" s="2" t="n">
        <v>1</v>
      </c>
      <c r="E1219" s="3" t="inlineStr">
        <is>
          <t>CARABINA AD ARIA COMPRESSA</t>
        </is>
      </c>
      <c r="F1219" s="3" t="inlineStr">
        <is>
          <t>5.5</t>
        </is>
      </c>
      <c r="G1219" s="3" t="inlineStr">
        <is>
          <t>STOEGER</t>
        </is>
      </c>
      <c r="H1219" s="65" t="inlineStr">
        <is>
          <t>STO XM1 FULL BPUP SYNTH</t>
        </is>
      </c>
      <c r="I1219" s="65" t="inlineStr">
        <is>
          <t>SAG222247BP</t>
        </is>
      </c>
      <c r="J1219" s="65" t="inlineStr">
        <is>
          <t>N/D</t>
        </is>
      </c>
      <c r="K1219" s="65" t="inlineStr">
        <is>
          <t>N/D</t>
        </is>
      </c>
      <c r="L1219" s="127" t="inlineStr">
        <is>
          <t>BENELLI ARMI SPA</t>
        </is>
      </c>
      <c r="M1219" s="5" t="n">
        <v>261</v>
      </c>
      <c r="N1219" s="5" t="n"/>
      <c r="O1219" s="5">
        <f>+M1219+N1219</f>
        <v/>
      </c>
      <c r="P1219" s="4" t="n">
        <v>45752</v>
      </c>
      <c r="Q1219" s="87" t="n">
        <v>45741</v>
      </c>
      <c r="R1219" s="5" t="n">
        <v>300</v>
      </c>
      <c r="S1219" s="2" t="n">
        <v>1</v>
      </c>
      <c r="T1219" s="3" t="inlineStr">
        <is>
          <t>6B/2025/2S</t>
        </is>
      </c>
      <c r="U1219" s="86" t="n">
        <v>45771</v>
      </c>
      <c r="V1219" s="3" t="inlineStr">
        <is>
          <t>7</t>
        </is>
      </c>
      <c r="W1219" s="111" t="n">
        <v>45771</v>
      </c>
      <c r="X1219" s="134" t="inlineStr">
        <is>
          <t xml:space="preserve">BIN HUMAID NATIONAL TRAD. CO. </t>
        </is>
      </c>
    </row>
    <row r="1220" ht="24" customHeight="1">
      <c r="A1220" s="2">
        <f>+D1220-S1220</f>
        <v/>
      </c>
      <c r="B1220" s="80" t="n">
        <v>2879</v>
      </c>
      <c r="C1220" s="66" t="n">
        <v>45755</v>
      </c>
      <c r="D1220" s="2" t="n">
        <v>1</v>
      </c>
      <c r="E1220" s="3" t="inlineStr">
        <is>
          <t>CARABINA AD ARIA COMPRESSA</t>
        </is>
      </c>
      <c r="F1220" s="3" t="inlineStr">
        <is>
          <t>5.5</t>
        </is>
      </c>
      <c r="G1220" s="3" t="inlineStr">
        <is>
          <t>STOEGER</t>
        </is>
      </c>
      <c r="H1220" s="65" t="inlineStr">
        <is>
          <t>STO XM1 FULL BPUP SYNTH</t>
        </is>
      </c>
      <c r="I1220" s="65" t="inlineStr">
        <is>
          <t>SAG222248BP</t>
        </is>
      </c>
      <c r="J1220" s="65" t="inlineStr">
        <is>
          <t>N/D</t>
        </is>
      </c>
      <c r="K1220" s="65" t="inlineStr">
        <is>
          <t>N/D</t>
        </is>
      </c>
      <c r="L1220" s="127" t="inlineStr">
        <is>
          <t>BENELLI ARMI SPA</t>
        </is>
      </c>
      <c r="M1220" s="5" t="n">
        <v>261</v>
      </c>
      <c r="N1220" s="5" t="n"/>
      <c r="O1220" s="5">
        <f>+M1220+N1220</f>
        <v/>
      </c>
      <c r="P1220" s="4" t="n">
        <v>45752</v>
      </c>
      <c r="Q1220" s="87" t="n">
        <v>45741</v>
      </c>
      <c r="R1220" s="5" t="n">
        <v>300</v>
      </c>
      <c r="S1220" s="2" t="n">
        <v>1</v>
      </c>
      <c r="T1220" s="3" t="inlineStr">
        <is>
          <t>6B/2025/2S</t>
        </is>
      </c>
      <c r="U1220" s="86" t="n">
        <v>45771</v>
      </c>
      <c r="V1220" s="3" t="inlineStr">
        <is>
          <t>7</t>
        </is>
      </c>
      <c r="W1220" s="111" t="n">
        <v>45771</v>
      </c>
      <c r="X1220" s="134" t="inlineStr">
        <is>
          <t xml:space="preserve">BIN HUMAID NATIONAL TRAD. CO. </t>
        </is>
      </c>
    </row>
    <row r="1221" ht="24" customHeight="1">
      <c r="A1221" s="2">
        <f>+D1221-S1221</f>
        <v/>
      </c>
      <c r="B1221" s="80" t="n">
        <v>2880</v>
      </c>
      <c r="C1221" s="66" t="n">
        <v>45755</v>
      </c>
      <c r="D1221" s="2" t="n">
        <v>1</v>
      </c>
      <c r="E1221" s="3" t="inlineStr">
        <is>
          <t>CARABINA AD ARIA COMPRESSA</t>
        </is>
      </c>
      <c r="F1221" s="3" t="inlineStr">
        <is>
          <t>5.5</t>
        </is>
      </c>
      <c r="G1221" s="3" t="inlineStr">
        <is>
          <t>STOEGER</t>
        </is>
      </c>
      <c r="H1221" s="65" t="inlineStr">
        <is>
          <t>STO XM1 FULL BPUP SYNTH</t>
        </is>
      </c>
      <c r="I1221" s="65" t="inlineStr">
        <is>
          <t>SAG222252BP</t>
        </is>
      </c>
      <c r="J1221" s="65" t="inlineStr">
        <is>
          <t>N/D</t>
        </is>
      </c>
      <c r="K1221" s="65" t="inlineStr">
        <is>
          <t>N/D</t>
        </is>
      </c>
      <c r="L1221" s="127" t="inlineStr">
        <is>
          <t>BENELLI ARMI SPA</t>
        </is>
      </c>
      <c r="M1221" s="5" t="n">
        <v>261</v>
      </c>
      <c r="N1221" s="5" t="n"/>
      <c r="O1221" s="5">
        <f>+M1221+N1221</f>
        <v/>
      </c>
      <c r="P1221" s="4" t="n">
        <v>45752</v>
      </c>
      <c r="Q1221" s="87" t="n">
        <v>45741</v>
      </c>
      <c r="R1221" s="5" t="n">
        <v>300</v>
      </c>
      <c r="S1221" s="2" t="n">
        <v>1</v>
      </c>
      <c r="T1221" s="3" t="inlineStr">
        <is>
          <t>6B/2025/2S</t>
        </is>
      </c>
      <c r="U1221" s="86" t="n">
        <v>45771</v>
      </c>
      <c r="V1221" s="3" t="inlineStr">
        <is>
          <t>7</t>
        </is>
      </c>
      <c r="W1221" s="111" t="n">
        <v>45771</v>
      </c>
      <c r="X1221" s="134" t="inlineStr">
        <is>
          <t xml:space="preserve">BIN HUMAID NATIONAL TRAD. CO. </t>
        </is>
      </c>
    </row>
    <row r="1222" ht="24" customHeight="1">
      <c r="A1222" s="2">
        <f>+D1222-S1222</f>
        <v/>
      </c>
      <c r="B1222" s="80" t="n">
        <v>2881</v>
      </c>
      <c r="C1222" s="66" t="n">
        <v>45755</v>
      </c>
      <c r="D1222" s="2" t="n">
        <v>1</v>
      </c>
      <c r="E1222" s="3" t="inlineStr">
        <is>
          <t>CARABINA AD ARIA COMPRESSA</t>
        </is>
      </c>
      <c r="F1222" s="3" t="inlineStr">
        <is>
          <t>5.5</t>
        </is>
      </c>
      <c r="G1222" s="3" t="inlineStr">
        <is>
          <t>STOEGER</t>
        </is>
      </c>
      <c r="H1222" s="65" t="inlineStr">
        <is>
          <t>STO XM1 FULL BPUP SYNTH</t>
        </is>
      </c>
      <c r="I1222" s="65" t="inlineStr">
        <is>
          <t>SAG222254BP</t>
        </is>
      </c>
      <c r="J1222" s="65" t="inlineStr">
        <is>
          <t>N/D</t>
        </is>
      </c>
      <c r="K1222" s="65" t="inlineStr">
        <is>
          <t>N/D</t>
        </is>
      </c>
      <c r="L1222" s="127" t="inlineStr">
        <is>
          <t>BENELLI ARMI SPA</t>
        </is>
      </c>
      <c r="M1222" s="5" t="n">
        <v>261</v>
      </c>
      <c r="N1222" s="5" t="n"/>
      <c r="O1222" s="5">
        <f>+M1222+N1222</f>
        <v/>
      </c>
      <c r="P1222" s="4" t="n">
        <v>45752</v>
      </c>
      <c r="Q1222" s="87" t="n">
        <v>45741</v>
      </c>
      <c r="R1222" s="5" t="n">
        <v>300</v>
      </c>
      <c r="S1222" s="2" t="n">
        <v>1</v>
      </c>
      <c r="T1222" s="3" t="inlineStr">
        <is>
          <t>6B/2025/2S</t>
        </is>
      </c>
      <c r="U1222" s="86" t="n">
        <v>45771</v>
      </c>
      <c r="V1222" s="3" t="inlineStr">
        <is>
          <t>7</t>
        </is>
      </c>
      <c r="W1222" s="111" t="n">
        <v>45771</v>
      </c>
      <c r="X1222" s="134" t="inlineStr">
        <is>
          <t xml:space="preserve">BIN HUMAID NATIONAL TRAD. CO. </t>
        </is>
      </c>
    </row>
    <row r="1223" ht="24" customHeight="1">
      <c r="A1223" s="2">
        <f>+D1223-S1223</f>
        <v/>
      </c>
      <c r="B1223" s="80" t="n">
        <v>2882</v>
      </c>
      <c r="C1223" s="66" t="n">
        <v>45755</v>
      </c>
      <c r="D1223" s="2" t="n">
        <v>1</v>
      </c>
      <c r="E1223" s="3" t="inlineStr">
        <is>
          <t>CARABINA AD ARIA COMPRESSA</t>
        </is>
      </c>
      <c r="F1223" s="3" t="inlineStr">
        <is>
          <t>5.5</t>
        </is>
      </c>
      <c r="G1223" s="3" t="inlineStr">
        <is>
          <t>STOEGER</t>
        </is>
      </c>
      <c r="H1223" s="65" t="inlineStr">
        <is>
          <t>STO XM1 FULL BPUP SYNTH</t>
        </is>
      </c>
      <c r="I1223" s="65" t="inlineStr">
        <is>
          <t>SAG222255BP</t>
        </is>
      </c>
      <c r="J1223" s="65" t="inlineStr">
        <is>
          <t>N/D</t>
        </is>
      </c>
      <c r="K1223" s="65" t="inlineStr">
        <is>
          <t>N/D</t>
        </is>
      </c>
      <c r="L1223" s="127" t="inlineStr">
        <is>
          <t>BENELLI ARMI SPA</t>
        </is>
      </c>
      <c r="M1223" s="5" t="n">
        <v>261</v>
      </c>
      <c r="N1223" s="5" t="n"/>
      <c r="O1223" s="5">
        <f>+M1223+N1223</f>
        <v/>
      </c>
      <c r="P1223" s="4" t="n">
        <v>45752</v>
      </c>
      <c r="Q1223" s="87" t="n">
        <v>45741</v>
      </c>
      <c r="R1223" s="5" t="n">
        <v>300</v>
      </c>
      <c r="S1223" s="2" t="n">
        <v>1</v>
      </c>
      <c r="T1223" s="3" t="inlineStr">
        <is>
          <t>6B/2025/2S</t>
        </is>
      </c>
      <c r="U1223" s="86" t="n">
        <v>45771</v>
      </c>
      <c r="V1223" s="3" t="inlineStr">
        <is>
          <t>7</t>
        </is>
      </c>
      <c r="W1223" s="111" t="n">
        <v>45771</v>
      </c>
      <c r="X1223" s="134" t="inlineStr">
        <is>
          <t xml:space="preserve">BIN HUMAID NATIONAL TRAD. CO. </t>
        </is>
      </c>
    </row>
    <row r="1224" ht="24" customHeight="1">
      <c r="A1224" s="2">
        <f>+D1224-S1224</f>
        <v/>
      </c>
      <c r="B1224" s="80" t="n">
        <v>2883</v>
      </c>
      <c r="C1224" s="66" t="n">
        <v>45755</v>
      </c>
      <c r="D1224" s="2" t="n">
        <v>1</v>
      </c>
      <c r="E1224" s="3" t="inlineStr">
        <is>
          <t>CARABINA AD ARIA COMPRESSA</t>
        </is>
      </c>
      <c r="F1224" s="3" t="inlineStr">
        <is>
          <t>5.5</t>
        </is>
      </c>
      <c r="G1224" s="3" t="inlineStr">
        <is>
          <t>STOEGER</t>
        </is>
      </c>
      <c r="H1224" s="65" t="inlineStr">
        <is>
          <t>STO XM1 FULL BPUP SYNTH</t>
        </is>
      </c>
      <c r="I1224" s="65" t="inlineStr">
        <is>
          <t>SAG222258BP</t>
        </is>
      </c>
      <c r="J1224" s="65" t="inlineStr">
        <is>
          <t>N/D</t>
        </is>
      </c>
      <c r="K1224" s="65" t="inlineStr">
        <is>
          <t>N/D</t>
        </is>
      </c>
      <c r="L1224" s="127" t="inlineStr">
        <is>
          <t>BENELLI ARMI SPA</t>
        </is>
      </c>
      <c r="M1224" s="5" t="n">
        <v>261</v>
      </c>
      <c r="N1224" s="5" t="n"/>
      <c r="O1224" s="5">
        <f>+M1224+N1224</f>
        <v/>
      </c>
      <c r="P1224" s="4" t="n">
        <v>45752</v>
      </c>
      <c r="Q1224" s="87" t="n">
        <v>45741</v>
      </c>
      <c r="R1224" s="5" t="n">
        <v>300</v>
      </c>
      <c r="S1224" s="2" t="n">
        <v>1</v>
      </c>
      <c r="T1224" s="3" t="inlineStr">
        <is>
          <t>6B/2025/2S</t>
        </is>
      </c>
      <c r="U1224" s="86" t="n">
        <v>45771</v>
      </c>
      <c r="V1224" s="3" t="inlineStr">
        <is>
          <t>7</t>
        </is>
      </c>
      <c r="W1224" s="111" t="n">
        <v>45771</v>
      </c>
      <c r="X1224" s="134" t="inlineStr">
        <is>
          <t xml:space="preserve">BIN HUMAID NATIONAL TRAD. CO. </t>
        </is>
      </c>
    </row>
    <row r="1225" ht="24" customHeight="1">
      <c r="A1225" s="2">
        <f>+D1225-S1225</f>
        <v/>
      </c>
      <c r="B1225" s="80" t="n">
        <v>2884</v>
      </c>
      <c r="C1225" s="66" t="n">
        <v>45755</v>
      </c>
      <c r="D1225" s="2" t="n">
        <v>1</v>
      </c>
      <c r="E1225" s="3" t="inlineStr">
        <is>
          <t>CARABINA AD ARIA COMPRESSA</t>
        </is>
      </c>
      <c r="F1225" s="3" t="inlineStr">
        <is>
          <t>5.5</t>
        </is>
      </c>
      <c r="G1225" s="3" t="inlineStr">
        <is>
          <t>STOEGER</t>
        </is>
      </c>
      <c r="H1225" s="65" t="inlineStr">
        <is>
          <t>STO XM1 FULL BPUP SYNTH</t>
        </is>
      </c>
      <c r="I1225" s="65" t="inlineStr">
        <is>
          <t>SAG222259BP</t>
        </is>
      </c>
      <c r="J1225" s="65" t="inlineStr">
        <is>
          <t>N/D</t>
        </is>
      </c>
      <c r="K1225" s="65" t="inlineStr">
        <is>
          <t>N/D</t>
        </is>
      </c>
      <c r="L1225" s="127" t="inlineStr">
        <is>
          <t>BENELLI ARMI SPA</t>
        </is>
      </c>
      <c r="M1225" s="5" t="n">
        <v>261</v>
      </c>
      <c r="N1225" s="5" t="n"/>
      <c r="O1225" s="5">
        <f>+M1225+N1225</f>
        <v/>
      </c>
      <c r="P1225" s="4" t="n">
        <v>45752</v>
      </c>
      <c r="Q1225" s="87" t="n">
        <v>45741</v>
      </c>
      <c r="R1225" s="5" t="n">
        <v>300</v>
      </c>
      <c r="S1225" s="2" t="n">
        <v>1</v>
      </c>
      <c r="T1225" s="3" t="inlineStr">
        <is>
          <t>6B/2025/2S</t>
        </is>
      </c>
      <c r="U1225" s="86" t="n">
        <v>45771</v>
      </c>
      <c r="V1225" s="3" t="inlineStr">
        <is>
          <t>7</t>
        </is>
      </c>
      <c r="W1225" s="111" t="n">
        <v>45771</v>
      </c>
      <c r="X1225" s="134" t="inlineStr">
        <is>
          <t xml:space="preserve">BIN HUMAID NATIONAL TRAD. CO. </t>
        </is>
      </c>
    </row>
    <row r="1226" ht="24" customHeight="1">
      <c r="A1226" s="2">
        <f>+D1226-S1226</f>
        <v/>
      </c>
      <c r="B1226" s="80" t="n">
        <v>2885</v>
      </c>
      <c r="C1226" s="66" t="n">
        <v>45755</v>
      </c>
      <c r="D1226" s="2" t="n">
        <v>1</v>
      </c>
      <c r="E1226" s="3" t="inlineStr">
        <is>
          <t>CARABINA AD ARIA COMPRESSA</t>
        </is>
      </c>
      <c r="F1226" s="3" t="inlineStr">
        <is>
          <t>5.5</t>
        </is>
      </c>
      <c r="G1226" s="3" t="inlineStr">
        <is>
          <t>STOEGER</t>
        </is>
      </c>
      <c r="H1226" s="65" t="inlineStr">
        <is>
          <t>STO XM1 FULL BPUP SYNTH</t>
        </is>
      </c>
      <c r="I1226" s="65" t="inlineStr">
        <is>
          <t>SAG222260BP</t>
        </is>
      </c>
      <c r="J1226" s="65" t="inlineStr">
        <is>
          <t>N/D</t>
        </is>
      </c>
      <c r="K1226" s="65" t="inlineStr">
        <is>
          <t>N/D</t>
        </is>
      </c>
      <c r="L1226" s="127" t="inlineStr">
        <is>
          <t>BENELLI ARMI SPA</t>
        </is>
      </c>
      <c r="M1226" s="5" t="n">
        <v>261</v>
      </c>
      <c r="N1226" s="5" t="n"/>
      <c r="O1226" s="5">
        <f>+M1226+N1226</f>
        <v/>
      </c>
      <c r="P1226" s="4" t="n">
        <v>45752</v>
      </c>
      <c r="Q1226" s="87" t="n">
        <v>45741</v>
      </c>
      <c r="R1226" s="5" t="n">
        <v>300</v>
      </c>
      <c r="S1226" s="2" t="n">
        <v>1</v>
      </c>
      <c r="T1226" s="3" t="inlineStr">
        <is>
          <t>6B/2025/2S</t>
        </is>
      </c>
      <c r="U1226" s="86" t="n">
        <v>45771</v>
      </c>
      <c r="V1226" s="3" t="inlineStr">
        <is>
          <t>7</t>
        </is>
      </c>
      <c r="W1226" s="111" t="n">
        <v>45771</v>
      </c>
      <c r="X1226" s="134" t="inlineStr">
        <is>
          <t xml:space="preserve">BIN HUMAID NATIONAL TRAD. CO. </t>
        </is>
      </c>
    </row>
    <row r="1227" ht="24" customHeight="1">
      <c r="A1227" s="2">
        <f>+D1227-S1227</f>
        <v/>
      </c>
      <c r="B1227" s="80" t="n">
        <v>2886</v>
      </c>
      <c r="C1227" s="66" t="n">
        <v>45755</v>
      </c>
      <c r="D1227" s="2" t="n">
        <v>1</v>
      </c>
      <c r="E1227" s="3" t="inlineStr">
        <is>
          <t>CARABINA AD ARIA COMPRESSA</t>
        </is>
      </c>
      <c r="F1227" s="3" t="inlineStr">
        <is>
          <t>5.5</t>
        </is>
      </c>
      <c r="G1227" s="3" t="inlineStr">
        <is>
          <t>STOEGER</t>
        </is>
      </c>
      <c r="H1227" s="65" t="inlineStr">
        <is>
          <t>STO XM1 FULL BPUP SYNTH</t>
        </is>
      </c>
      <c r="I1227" s="65" t="inlineStr">
        <is>
          <t>SAG222261BP</t>
        </is>
      </c>
      <c r="J1227" s="65" t="inlineStr">
        <is>
          <t>N/D</t>
        </is>
      </c>
      <c r="K1227" s="65" t="inlineStr">
        <is>
          <t>N/D</t>
        </is>
      </c>
      <c r="L1227" s="127" t="inlineStr">
        <is>
          <t>BENELLI ARMI SPA</t>
        </is>
      </c>
      <c r="M1227" s="5" t="n">
        <v>261</v>
      </c>
      <c r="N1227" s="5" t="n"/>
      <c r="O1227" s="5">
        <f>+M1227+N1227</f>
        <v/>
      </c>
      <c r="P1227" s="4" t="n">
        <v>45752</v>
      </c>
      <c r="Q1227" s="87" t="n">
        <v>45741</v>
      </c>
      <c r="R1227" s="5" t="n">
        <v>300</v>
      </c>
      <c r="S1227" s="2" t="n">
        <v>1</v>
      </c>
      <c r="T1227" s="3" t="inlineStr">
        <is>
          <t>6B/2025/2S</t>
        </is>
      </c>
      <c r="U1227" s="86" t="n">
        <v>45771</v>
      </c>
      <c r="V1227" s="3" t="inlineStr">
        <is>
          <t>7</t>
        </is>
      </c>
      <c r="W1227" s="111" t="n">
        <v>45771</v>
      </c>
      <c r="X1227" s="134" t="inlineStr">
        <is>
          <t xml:space="preserve">BIN HUMAID NATIONAL TRAD. CO. </t>
        </is>
      </c>
    </row>
    <row r="1228" ht="24" customHeight="1">
      <c r="A1228" s="2">
        <f>+D1228-S1228</f>
        <v/>
      </c>
      <c r="B1228" s="80" t="n">
        <v>2887</v>
      </c>
      <c r="C1228" s="66" t="n">
        <v>45755</v>
      </c>
      <c r="D1228" s="2" t="n">
        <v>1</v>
      </c>
      <c r="E1228" s="3" t="inlineStr">
        <is>
          <t>CARABINA AD ARIA COMPRESSA</t>
        </is>
      </c>
      <c r="F1228" s="3" t="inlineStr">
        <is>
          <t>5.5</t>
        </is>
      </c>
      <c r="G1228" s="3" t="inlineStr">
        <is>
          <t>STOEGER</t>
        </is>
      </c>
      <c r="H1228" s="65" t="inlineStr">
        <is>
          <t>STO XM1 FULL BPUP SYNTH</t>
        </is>
      </c>
      <c r="I1228" s="65" t="inlineStr">
        <is>
          <t>SAG222263BP</t>
        </is>
      </c>
      <c r="J1228" s="65" t="inlineStr">
        <is>
          <t>N/D</t>
        </is>
      </c>
      <c r="K1228" s="65" t="inlineStr">
        <is>
          <t>N/D</t>
        </is>
      </c>
      <c r="L1228" s="127" t="inlineStr">
        <is>
          <t>BENELLI ARMI SPA</t>
        </is>
      </c>
      <c r="M1228" s="5" t="n">
        <v>261</v>
      </c>
      <c r="N1228" s="5" t="n"/>
      <c r="O1228" s="5">
        <f>+M1228+N1228</f>
        <v/>
      </c>
      <c r="P1228" s="4" t="n">
        <v>45752</v>
      </c>
      <c r="Q1228" s="87" t="n">
        <v>45741</v>
      </c>
      <c r="R1228" s="5" t="n">
        <v>300</v>
      </c>
      <c r="S1228" s="2" t="n">
        <v>1</v>
      </c>
      <c r="T1228" s="3" t="inlineStr">
        <is>
          <t>6B/2025/2S</t>
        </is>
      </c>
      <c r="U1228" s="86" t="n">
        <v>45771</v>
      </c>
      <c r="V1228" s="3" t="inlineStr">
        <is>
          <t>7</t>
        </is>
      </c>
      <c r="W1228" s="111" t="n">
        <v>45771</v>
      </c>
      <c r="X1228" s="134" t="inlineStr">
        <is>
          <t xml:space="preserve">BIN HUMAID NATIONAL TRAD. CO. </t>
        </is>
      </c>
    </row>
    <row r="1229" ht="24" customHeight="1">
      <c r="A1229" s="2">
        <f>+D1229-S1229</f>
        <v/>
      </c>
      <c r="B1229" s="80" t="n">
        <v>2888</v>
      </c>
      <c r="C1229" s="66" t="n">
        <v>45755</v>
      </c>
      <c r="D1229" s="2" t="n">
        <v>1</v>
      </c>
      <c r="E1229" s="3" t="inlineStr">
        <is>
          <t>CARABINA AD ARIA COMPRESSA</t>
        </is>
      </c>
      <c r="F1229" s="3" t="inlineStr">
        <is>
          <t>5.5</t>
        </is>
      </c>
      <c r="G1229" s="3" t="inlineStr">
        <is>
          <t>STOEGER</t>
        </is>
      </c>
      <c r="H1229" s="65" t="inlineStr">
        <is>
          <t>STO XM1 FULL BPUP SYNTH</t>
        </is>
      </c>
      <c r="I1229" s="65" t="inlineStr">
        <is>
          <t>SAG222264BP</t>
        </is>
      </c>
      <c r="J1229" s="65" t="inlineStr">
        <is>
          <t>N/D</t>
        </is>
      </c>
      <c r="K1229" s="65" t="inlineStr">
        <is>
          <t>N/D</t>
        </is>
      </c>
      <c r="L1229" s="127" t="inlineStr">
        <is>
          <t>BENELLI ARMI SPA</t>
        </is>
      </c>
      <c r="M1229" s="5" t="n">
        <v>261</v>
      </c>
      <c r="N1229" s="5" t="n"/>
      <c r="O1229" s="5">
        <f>+M1229+N1229</f>
        <v/>
      </c>
      <c r="P1229" s="4" t="n">
        <v>45752</v>
      </c>
      <c r="Q1229" s="87" t="n">
        <v>45741</v>
      </c>
      <c r="R1229" s="5" t="n">
        <v>300</v>
      </c>
      <c r="S1229" s="2" t="n">
        <v>1</v>
      </c>
      <c r="T1229" s="3" t="inlineStr">
        <is>
          <t>6B/2025/2S</t>
        </is>
      </c>
      <c r="U1229" s="86" t="n">
        <v>45771</v>
      </c>
      <c r="V1229" s="3" t="inlineStr">
        <is>
          <t>7</t>
        </is>
      </c>
      <c r="W1229" s="111" t="n">
        <v>45771</v>
      </c>
      <c r="X1229" s="134" t="inlineStr">
        <is>
          <t xml:space="preserve">BIN HUMAID NATIONAL TRAD. CO. </t>
        </is>
      </c>
    </row>
    <row r="1230" ht="24" customHeight="1">
      <c r="A1230" s="2">
        <f>+D1230-S1230</f>
        <v/>
      </c>
      <c r="B1230" s="80" t="n">
        <v>2889</v>
      </c>
      <c r="C1230" s="66" t="n">
        <v>45755</v>
      </c>
      <c r="D1230" s="2" t="n">
        <v>1</v>
      </c>
      <c r="E1230" s="3" t="inlineStr">
        <is>
          <t>CARABINA AD ARIA COMPRESSA</t>
        </is>
      </c>
      <c r="F1230" s="3" t="inlineStr">
        <is>
          <t>5.5</t>
        </is>
      </c>
      <c r="G1230" s="3" t="inlineStr">
        <is>
          <t>STOEGER</t>
        </is>
      </c>
      <c r="H1230" s="65" t="inlineStr">
        <is>
          <t>STO XM1 FULL BPUP SYNTH</t>
        </is>
      </c>
      <c r="I1230" s="65" t="inlineStr">
        <is>
          <t>SAG222265BP</t>
        </is>
      </c>
      <c r="J1230" s="65" t="inlineStr">
        <is>
          <t>N/D</t>
        </is>
      </c>
      <c r="K1230" s="65" t="inlineStr">
        <is>
          <t>N/D</t>
        </is>
      </c>
      <c r="L1230" s="127" t="inlineStr">
        <is>
          <t>BENELLI ARMI SPA</t>
        </is>
      </c>
      <c r="M1230" s="5" t="n">
        <v>261</v>
      </c>
      <c r="N1230" s="5" t="n"/>
      <c r="O1230" s="5">
        <f>+M1230+N1230</f>
        <v/>
      </c>
      <c r="P1230" s="4" t="n">
        <v>45752</v>
      </c>
      <c r="Q1230" s="87" t="n">
        <v>45741</v>
      </c>
      <c r="R1230" s="5" t="n">
        <v>300</v>
      </c>
      <c r="S1230" s="2" t="n">
        <v>1</v>
      </c>
      <c r="T1230" s="3" t="inlineStr">
        <is>
          <t>6B/2025/2S</t>
        </is>
      </c>
      <c r="U1230" s="86" t="n">
        <v>45771</v>
      </c>
      <c r="V1230" s="3" t="inlineStr">
        <is>
          <t>7</t>
        </is>
      </c>
      <c r="W1230" s="111" t="n">
        <v>45771</v>
      </c>
      <c r="X1230" s="134" t="inlineStr">
        <is>
          <t xml:space="preserve">BIN HUMAID NATIONAL TRAD. CO. </t>
        </is>
      </c>
    </row>
    <row r="1231" ht="24" customHeight="1">
      <c r="A1231" s="2">
        <f>+D1231-S1231</f>
        <v/>
      </c>
      <c r="B1231" s="80" t="n">
        <v>2890</v>
      </c>
      <c r="C1231" s="66" t="n">
        <v>45755</v>
      </c>
      <c r="D1231" s="2" t="n">
        <v>1</v>
      </c>
      <c r="E1231" s="3" t="inlineStr">
        <is>
          <t>CARABINA AD ARIA COMPRESSA</t>
        </is>
      </c>
      <c r="F1231" s="3" t="inlineStr">
        <is>
          <t>5.5</t>
        </is>
      </c>
      <c r="G1231" s="3" t="inlineStr">
        <is>
          <t>STOEGER</t>
        </is>
      </c>
      <c r="H1231" s="65" t="inlineStr">
        <is>
          <t>STO XM1 FULL BPUP SYNTH</t>
        </is>
      </c>
      <c r="I1231" s="65" t="inlineStr">
        <is>
          <t>SAG222266BP</t>
        </is>
      </c>
      <c r="J1231" s="65" t="inlineStr">
        <is>
          <t>N/D</t>
        </is>
      </c>
      <c r="K1231" s="65" t="inlineStr">
        <is>
          <t>N/D</t>
        </is>
      </c>
      <c r="L1231" s="127" t="inlineStr">
        <is>
          <t>BENELLI ARMI SPA</t>
        </is>
      </c>
      <c r="M1231" s="5" t="n">
        <v>261</v>
      </c>
      <c r="N1231" s="5" t="n"/>
      <c r="O1231" s="5">
        <f>+M1231+N1231</f>
        <v/>
      </c>
      <c r="P1231" s="4" t="n">
        <v>45752</v>
      </c>
      <c r="Q1231" s="87" t="n">
        <v>45741</v>
      </c>
      <c r="R1231" s="5" t="n">
        <v>300</v>
      </c>
      <c r="S1231" s="2" t="n">
        <v>1</v>
      </c>
      <c r="T1231" s="3" t="inlineStr">
        <is>
          <t>6B/2025/2S</t>
        </is>
      </c>
      <c r="U1231" s="86" t="n">
        <v>45771</v>
      </c>
      <c r="V1231" s="3" t="inlineStr">
        <is>
          <t>7</t>
        </is>
      </c>
      <c r="W1231" s="111" t="n">
        <v>45771</v>
      </c>
      <c r="X1231" s="134" t="inlineStr">
        <is>
          <t xml:space="preserve">BIN HUMAID NATIONAL TRAD. CO. </t>
        </is>
      </c>
    </row>
    <row r="1232" ht="24" customHeight="1">
      <c r="A1232" s="2">
        <f>+D1232-S1232</f>
        <v/>
      </c>
      <c r="B1232" s="80" t="n">
        <v>2891</v>
      </c>
      <c r="C1232" s="66" t="n">
        <v>45755</v>
      </c>
      <c r="D1232" s="2" t="n">
        <v>1</v>
      </c>
      <c r="E1232" s="3" t="inlineStr">
        <is>
          <t>CARABINA AD ARIA COMPRESSA</t>
        </is>
      </c>
      <c r="F1232" s="3" t="inlineStr">
        <is>
          <t>5.5</t>
        </is>
      </c>
      <c r="G1232" s="3" t="inlineStr">
        <is>
          <t>STOEGER</t>
        </is>
      </c>
      <c r="H1232" s="65" t="inlineStr">
        <is>
          <t>STO XM1 FULL BPUP SYNTH</t>
        </is>
      </c>
      <c r="I1232" s="65" t="inlineStr">
        <is>
          <t>SAG222267BP</t>
        </is>
      </c>
      <c r="J1232" s="65" t="inlineStr">
        <is>
          <t>N/D</t>
        </is>
      </c>
      <c r="K1232" s="65" t="inlineStr">
        <is>
          <t>N/D</t>
        </is>
      </c>
      <c r="L1232" s="127" t="inlineStr">
        <is>
          <t>BENELLI ARMI SPA</t>
        </is>
      </c>
      <c r="M1232" s="5" t="n">
        <v>261</v>
      </c>
      <c r="N1232" s="5" t="n"/>
      <c r="O1232" s="5">
        <f>+M1232+N1232</f>
        <v/>
      </c>
      <c r="P1232" s="4" t="n">
        <v>45752</v>
      </c>
      <c r="Q1232" s="87" t="n">
        <v>45741</v>
      </c>
      <c r="R1232" s="5" t="n">
        <v>300</v>
      </c>
      <c r="S1232" s="2" t="n">
        <v>1</v>
      </c>
      <c r="T1232" s="3" t="inlineStr">
        <is>
          <t>6B/2025/2S</t>
        </is>
      </c>
      <c r="U1232" s="86" t="n">
        <v>45771</v>
      </c>
      <c r="V1232" s="3" t="inlineStr">
        <is>
          <t>7</t>
        </is>
      </c>
      <c r="W1232" s="111" t="n">
        <v>45771</v>
      </c>
      <c r="X1232" s="134" t="inlineStr">
        <is>
          <t xml:space="preserve">BIN HUMAID NATIONAL TRAD. CO. </t>
        </is>
      </c>
    </row>
    <row r="1233" ht="24" customHeight="1">
      <c r="A1233" s="2">
        <f>+D1233-S1233</f>
        <v/>
      </c>
      <c r="B1233" s="80" t="n">
        <v>2892</v>
      </c>
      <c r="C1233" s="66" t="n">
        <v>45755</v>
      </c>
      <c r="D1233" s="2" t="n">
        <v>1</v>
      </c>
      <c r="E1233" s="3" t="inlineStr">
        <is>
          <t>CARABINA AD ARIA COMPRESSA</t>
        </is>
      </c>
      <c r="F1233" s="3" t="inlineStr">
        <is>
          <t>5.5</t>
        </is>
      </c>
      <c r="G1233" s="3" t="inlineStr">
        <is>
          <t>STOEGER</t>
        </is>
      </c>
      <c r="H1233" s="65" t="inlineStr">
        <is>
          <t>STO XM1 FULL BPUP SYNTH</t>
        </is>
      </c>
      <c r="I1233" s="65" t="inlineStr">
        <is>
          <t>SAG222268BP</t>
        </is>
      </c>
      <c r="J1233" s="65" t="inlineStr">
        <is>
          <t>N/D</t>
        </is>
      </c>
      <c r="K1233" s="65" t="inlineStr">
        <is>
          <t>N/D</t>
        </is>
      </c>
      <c r="L1233" s="127" t="inlineStr">
        <is>
          <t>BENELLI ARMI SPA</t>
        </is>
      </c>
      <c r="M1233" s="5" t="n">
        <v>261</v>
      </c>
      <c r="N1233" s="5" t="n"/>
      <c r="O1233" s="5">
        <f>+M1233+N1233</f>
        <v/>
      </c>
      <c r="P1233" s="4" t="n">
        <v>45752</v>
      </c>
      <c r="Q1233" s="87" t="n">
        <v>45741</v>
      </c>
      <c r="R1233" s="5" t="n">
        <v>300</v>
      </c>
      <c r="S1233" s="2" t="n">
        <v>1</v>
      </c>
      <c r="T1233" s="3" t="inlineStr">
        <is>
          <t>6B/2025/2S</t>
        </is>
      </c>
      <c r="U1233" s="86" t="n">
        <v>45771</v>
      </c>
      <c r="V1233" s="3" t="inlineStr">
        <is>
          <t>7</t>
        </is>
      </c>
      <c r="W1233" s="111" t="n">
        <v>45771</v>
      </c>
      <c r="X1233" s="134" t="inlineStr">
        <is>
          <t xml:space="preserve">BIN HUMAID NATIONAL TRAD. CO. </t>
        </is>
      </c>
    </row>
    <row r="1234" ht="24" customHeight="1">
      <c r="A1234" s="2">
        <f>+D1234-S1234</f>
        <v/>
      </c>
      <c r="B1234" s="80" t="n">
        <v>2893</v>
      </c>
      <c r="C1234" s="66" t="n">
        <v>45755</v>
      </c>
      <c r="D1234" s="2" t="n">
        <v>1</v>
      </c>
      <c r="E1234" s="3" t="inlineStr">
        <is>
          <t>CARABINA AD ARIA COMPRESSA</t>
        </is>
      </c>
      <c r="F1234" s="3" t="inlineStr">
        <is>
          <t>5.5</t>
        </is>
      </c>
      <c r="G1234" s="3" t="inlineStr">
        <is>
          <t>STOEGER</t>
        </is>
      </c>
      <c r="H1234" s="65" t="inlineStr">
        <is>
          <t>STO XM1 FULL BPUP SYNTH</t>
        </is>
      </c>
      <c r="I1234" s="65" t="inlineStr">
        <is>
          <t>SAG222269BP</t>
        </is>
      </c>
      <c r="J1234" s="65" t="inlineStr">
        <is>
          <t>N/D</t>
        </is>
      </c>
      <c r="K1234" s="65" t="inlineStr">
        <is>
          <t>N/D</t>
        </is>
      </c>
      <c r="L1234" s="127" t="inlineStr">
        <is>
          <t>BENELLI ARMI SPA</t>
        </is>
      </c>
      <c r="M1234" s="5" t="n">
        <v>261</v>
      </c>
      <c r="N1234" s="5" t="n"/>
      <c r="O1234" s="5">
        <f>+M1234+N1234</f>
        <v/>
      </c>
      <c r="P1234" s="4" t="n">
        <v>45752</v>
      </c>
      <c r="Q1234" s="87" t="n">
        <v>45741</v>
      </c>
      <c r="R1234" s="5" t="n">
        <v>300</v>
      </c>
      <c r="S1234" s="2" t="n">
        <v>1</v>
      </c>
      <c r="T1234" s="3" t="inlineStr">
        <is>
          <t>6B/2025/2S</t>
        </is>
      </c>
      <c r="U1234" s="86" t="n">
        <v>45771</v>
      </c>
      <c r="V1234" s="3" t="inlineStr">
        <is>
          <t>7</t>
        </is>
      </c>
      <c r="W1234" s="111" t="n">
        <v>45771</v>
      </c>
      <c r="X1234" s="134" t="inlineStr">
        <is>
          <t xml:space="preserve">BIN HUMAID NATIONAL TRAD. CO. </t>
        </is>
      </c>
    </row>
    <row r="1235" ht="24" customHeight="1">
      <c r="A1235" s="2">
        <f>+D1235-S1235</f>
        <v/>
      </c>
      <c r="B1235" s="80" t="n">
        <v>2894</v>
      </c>
      <c r="C1235" s="66" t="n">
        <v>45755</v>
      </c>
      <c r="D1235" s="2" t="n">
        <v>1</v>
      </c>
      <c r="E1235" s="3" t="inlineStr">
        <is>
          <t>CARABINA AD ARIA COMPRESSA</t>
        </is>
      </c>
      <c r="F1235" s="3" t="inlineStr">
        <is>
          <t>5.5</t>
        </is>
      </c>
      <c r="G1235" s="3" t="inlineStr">
        <is>
          <t>STOEGER</t>
        </is>
      </c>
      <c r="H1235" s="65" t="inlineStr">
        <is>
          <t>STO XM1 FULL BPUP SYNTH</t>
        </is>
      </c>
      <c r="I1235" s="65" t="inlineStr">
        <is>
          <t>SAG222272BP</t>
        </is>
      </c>
      <c r="J1235" s="65" t="inlineStr">
        <is>
          <t>N/D</t>
        </is>
      </c>
      <c r="K1235" s="65" t="inlineStr">
        <is>
          <t>N/D</t>
        </is>
      </c>
      <c r="L1235" s="127" t="inlineStr">
        <is>
          <t>BENELLI ARMI SPA</t>
        </is>
      </c>
      <c r="M1235" s="5" t="n">
        <v>261</v>
      </c>
      <c r="N1235" s="5" t="n"/>
      <c r="O1235" s="5">
        <f>+M1235+N1235</f>
        <v/>
      </c>
      <c r="P1235" s="4" t="n">
        <v>45752</v>
      </c>
      <c r="Q1235" s="87" t="n">
        <v>45741</v>
      </c>
      <c r="R1235" s="5" t="n">
        <v>300</v>
      </c>
      <c r="S1235" s="2" t="n">
        <v>1</v>
      </c>
      <c r="T1235" s="3" t="inlineStr">
        <is>
          <t>6B/2025/2S</t>
        </is>
      </c>
      <c r="U1235" s="86" t="n">
        <v>45771</v>
      </c>
      <c r="V1235" s="3" t="inlineStr">
        <is>
          <t>7</t>
        </is>
      </c>
      <c r="W1235" s="111" t="n">
        <v>45771</v>
      </c>
      <c r="X1235" s="134" t="inlineStr">
        <is>
          <t xml:space="preserve">BIN HUMAID NATIONAL TRAD. CO. </t>
        </is>
      </c>
    </row>
    <row r="1236" ht="24" customHeight="1">
      <c r="A1236" s="2">
        <f>+D1236-S1236</f>
        <v/>
      </c>
      <c r="B1236" s="80" t="n">
        <v>2895</v>
      </c>
      <c r="C1236" s="66" t="n">
        <v>45755</v>
      </c>
      <c r="D1236" s="2" t="n">
        <v>1</v>
      </c>
      <c r="E1236" s="3" t="inlineStr">
        <is>
          <t>CARABINA AD ARIA COMPRESSA</t>
        </is>
      </c>
      <c r="F1236" s="3" t="inlineStr">
        <is>
          <t>5.5</t>
        </is>
      </c>
      <c r="G1236" s="3" t="inlineStr">
        <is>
          <t>STOEGER</t>
        </is>
      </c>
      <c r="H1236" s="65" t="inlineStr">
        <is>
          <t>STO XM1 FULL BPUP SYNTH</t>
        </is>
      </c>
      <c r="I1236" s="65" t="inlineStr">
        <is>
          <t>SAG222274BP</t>
        </is>
      </c>
      <c r="J1236" s="65" t="inlineStr">
        <is>
          <t>N/D</t>
        </is>
      </c>
      <c r="K1236" s="65" t="inlineStr">
        <is>
          <t>N/D</t>
        </is>
      </c>
      <c r="L1236" s="127" t="inlineStr">
        <is>
          <t>BENELLI ARMI SPA</t>
        </is>
      </c>
      <c r="M1236" s="5" t="n">
        <v>261</v>
      </c>
      <c r="N1236" s="5" t="n"/>
      <c r="O1236" s="5">
        <f>+M1236+N1236</f>
        <v/>
      </c>
      <c r="P1236" s="4" t="n">
        <v>45752</v>
      </c>
      <c r="Q1236" s="87" t="n">
        <v>45741</v>
      </c>
      <c r="R1236" s="5" t="n">
        <v>300</v>
      </c>
      <c r="S1236" s="2" t="n">
        <v>1</v>
      </c>
      <c r="T1236" s="3" t="inlineStr">
        <is>
          <t>6B/2025/2S</t>
        </is>
      </c>
      <c r="U1236" s="86" t="n">
        <v>45771</v>
      </c>
      <c r="V1236" s="3" t="inlineStr">
        <is>
          <t>7</t>
        </is>
      </c>
      <c r="W1236" s="111" t="n">
        <v>45771</v>
      </c>
      <c r="X1236" s="134" t="inlineStr">
        <is>
          <t xml:space="preserve">BIN HUMAID NATIONAL TRAD. CO. </t>
        </is>
      </c>
    </row>
    <row r="1237" ht="24" customHeight="1">
      <c r="A1237" s="2">
        <f>+D1237-S1237</f>
        <v/>
      </c>
      <c r="B1237" s="80" t="n">
        <v>2896</v>
      </c>
      <c r="C1237" s="66" t="n">
        <v>45755</v>
      </c>
      <c r="D1237" s="2" t="n">
        <v>1</v>
      </c>
      <c r="E1237" s="3" t="inlineStr">
        <is>
          <t>CARABINA AD ARIA COMPRESSA</t>
        </is>
      </c>
      <c r="F1237" s="3" t="inlineStr">
        <is>
          <t>5.5</t>
        </is>
      </c>
      <c r="G1237" s="3" t="inlineStr">
        <is>
          <t>STOEGER</t>
        </is>
      </c>
      <c r="H1237" s="65" t="inlineStr">
        <is>
          <t>STO XM1 FULL BPUP SYNTH</t>
        </is>
      </c>
      <c r="I1237" s="65" t="inlineStr">
        <is>
          <t>SAG222275BP</t>
        </is>
      </c>
      <c r="J1237" s="65" t="inlineStr">
        <is>
          <t>N/D</t>
        </is>
      </c>
      <c r="K1237" s="65" t="inlineStr">
        <is>
          <t>N/D</t>
        </is>
      </c>
      <c r="L1237" s="127" t="inlineStr">
        <is>
          <t>BENELLI ARMI SPA</t>
        </is>
      </c>
      <c r="M1237" s="5" t="n">
        <v>261</v>
      </c>
      <c r="N1237" s="5" t="n"/>
      <c r="O1237" s="5">
        <f>+M1237+N1237</f>
        <v/>
      </c>
      <c r="P1237" s="4" t="n">
        <v>45752</v>
      </c>
      <c r="Q1237" s="87" t="n">
        <v>45741</v>
      </c>
      <c r="R1237" s="5" t="n">
        <v>300</v>
      </c>
      <c r="S1237" s="2" t="n">
        <v>1</v>
      </c>
      <c r="T1237" s="3" t="inlineStr">
        <is>
          <t>6B/2025/2S</t>
        </is>
      </c>
      <c r="U1237" s="86" t="n">
        <v>45771</v>
      </c>
      <c r="V1237" s="3" t="inlineStr">
        <is>
          <t>7</t>
        </is>
      </c>
      <c r="W1237" s="111" t="n">
        <v>45771</v>
      </c>
      <c r="X1237" s="134" t="inlineStr">
        <is>
          <t xml:space="preserve">BIN HUMAID NATIONAL TRAD. CO. </t>
        </is>
      </c>
    </row>
    <row r="1238" ht="24" customHeight="1">
      <c r="A1238" s="2">
        <f>+D1238-S1238</f>
        <v/>
      </c>
      <c r="B1238" s="80" t="n">
        <v>2897</v>
      </c>
      <c r="C1238" s="66" t="n">
        <v>45755</v>
      </c>
      <c r="D1238" s="2" t="n">
        <v>1</v>
      </c>
      <c r="E1238" s="3" t="inlineStr">
        <is>
          <t>CARABINA AD ARIA COMPRESSA</t>
        </is>
      </c>
      <c r="F1238" s="3" t="inlineStr">
        <is>
          <t>5.5</t>
        </is>
      </c>
      <c r="G1238" s="3" t="inlineStr">
        <is>
          <t>STOEGER</t>
        </is>
      </c>
      <c r="H1238" s="65" t="inlineStr">
        <is>
          <t>STO XM1 FULL BPUP SYNTH</t>
        </is>
      </c>
      <c r="I1238" s="65" t="inlineStr">
        <is>
          <t>SAG222277BP</t>
        </is>
      </c>
      <c r="J1238" s="65" t="inlineStr">
        <is>
          <t>N/D</t>
        </is>
      </c>
      <c r="K1238" s="65" t="inlineStr">
        <is>
          <t>N/D</t>
        </is>
      </c>
      <c r="L1238" s="127" t="inlineStr">
        <is>
          <t>BENELLI ARMI SPA</t>
        </is>
      </c>
      <c r="M1238" s="5" t="n">
        <v>261</v>
      </c>
      <c r="N1238" s="5" t="n"/>
      <c r="O1238" s="5">
        <f>+M1238+N1238</f>
        <v/>
      </c>
      <c r="P1238" s="4" t="n">
        <v>45752</v>
      </c>
      <c r="Q1238" s="87" t="n">
        <v>45741</v>
      </c>
      <c r="R1238" s="5" t="n">
        <v>300</v>
      </c>
      <c r="S1238" s="2" t="n">
        <v>1</v>
      </c>
      <c r="T1238" s="3" t="inlineStr">
        <is>
          <t>6B/2025/2S</t>
        </is>
      </c>
      <c r="U1238" s="86" t="n">
        <v>45771</v>
      </c>
      <c r="V1238" s="3" t="inlineStr">
        <is>
          <t>7</t>
        </is>
      </c>
      <c r="W1238" s="111" t="n">
        <v>45771</v>
      </c>
      <c r="X1238" s="134" t="inlineStr">
        <is>
          <t xml:space="preserve">BIN HUMAID NATIONAL TRAD. CO. </t>
        </is>
      </c>
    </row>
    <row r="1239" ht="24" customHeight="1">
      <c r="A1239" s="2">
        <f>+D1239-S1239</f>
        <v/>
      </c>
      <c r="B1239" s="80" t="n">
        <v>2898</v>
      </c>
      <c r="C1239" s="66" t="n">
        <v>45755</v>
      </c>
      <c r="D1239" s="2" t="n">
        <v>1</v>
      </c>
      <c r="E1239" s="3" t="inlineStr">
        <is>
          <t>CARABINA AD ARIA COMPRESSA</t>
        </is>
      </c>
      <c r="F1239" s="3" t="inlineStr">
        <is>
          <t>5.5</t>
        </is>
      </c>
      <c r="G1239" s="3" t="inlineStr">
        <is>
          <t>STOEGER</t>
        </is>
      </c>
      <c r="H1239" s="65" t="inlineStr">
        <is>
          <t>STO XM1 FULL BPUP SYNTH</t>
        </is>
      </c>
      <c r="I1239" s="65" t="inlineStr">
        <is>
          <t>SAG222278BP</t>
        </is>
      </c>
      <c r="J1239" s="65" t="inlineStr">
        <is>
          <t>N/D</t>
        </is>
      </c>
      <c r="K1239" s="65" t="inlineStr">
        <is>
          <t>N/D</t>
        </is>
      </c>
      <c r="L1239" s="127" t="inlineStr">
        <is>
          <t>BENELLI ARMI SPA</t>
        </is>
      </c>
      <c r="M1239" s="5" t="n">
        <v>261</v>
      </c>
      <c r="N1239" s="5" t="n"/>
      <c r="O1239" s="5">
        <f>+M1239+N1239</f>
        <v/>
      </c>
      <c r="P1239" s="4" t="n">
        <v>45752</v>
      </c>
      <c r="Q1239" s="87" t="n">
        <v>45741</v>
      </c>
      <c r="R1239" s="5" t="n">
        <v>300</v>
      </c>
      <c r="S1239" s="2" t="n">
        <v>1</v>
      </c>
      <c r="T1239" s="3" t="inlineStr">
        <is>
          <t>6B/2025/2S</t>
        </is>
      </c>
      <c r="U1239" s="86" t="n">
        <v>45771</v>
      </c>
      <c r="V1239" s="3" t="inlineStr">
        <is>
          <t>7</t>
        </is>
      </c>
      <c r="W1239" s="111" t="n">
        <v>45771</v>
      </c>
      <c r="X1239" s="134" t="inlineStr">
        <is>
          <t xml:space="preserve">BIN HUMAID NATIONAL TRAD. CO. </t>
        </is>
      </c>
    </row>
    <row r="1240" ht="24" customHeight="1">
      <c r="A1240" s="2">
        <f>+D1240-S1240</f>
        <v/>
      </c>
      <c r="B1240" s="80" t="n">
        <v>2899</v>
      </c>
      <c r="C1240" s="66" t="n">
        <v>45755</v>
      </c>
      <c r="D1240" s="2" t="n">
        <v>1</v>
      </c>
      <c r="E1240" s="3" t="inlineStr">
        <is>
          <t>CARABINA AD ARIA COMPRESSA</t>
        </is>
      </c>
      <c r="F1240" s="3" t="inlineStr">
        <is>
          <t>5.5</t>
        </is>
      </c>
      <c r="G1240" s="3" t="inlineStr">
        <is>
          <t>STOEGER</t>
        </is>
      </c>
      <c r="H1240" s="65" t="inlineStr">
        <is>
          <t>STO XM1 FULL BPUP SYNTH</t>
        </is>
      </c>
      <c r="I1240" s="65" t="inlineStr">
        <is>
          <t>SAG222279BP</t>
        </is>
      </c>
      <c r="J1240" s="65" t="inlineStr">
        <is>
          <t>N/D</t>
        </is>
      </c>
      <c r="K1240" s="65" t="inlineStr">
        <is>
          <t>N/D</t>
        </is>
      </c>
      <c r="L1240" s="127" t="inlineStr">
        <is>
          <t>BENELLI ARMI SPA</t>
        </is>
      </c>
      <c r="M1240" s="5" t="n">
        <v>261</v>
      </c>
      <c r="N1240" s="5" t="n"/>
      <c r="O1240" s="5">
        <f>+M1240+N1240</f>
        <v/>
      </c>
      <c r="P1240" s="4" t="n">
        <v>45752</v>
      </c>
      <c r="Q1240" s="87" t="n">
        <v>45741</v>
      </c>
      <c r="R1240" s="5" t="n">
        <v>300</v>
      </c>
      <c r="S1240" s="2" t="n">
        <v>1</v>
      </c>
      <c r="T1240" s="3" t="inlineStr">
        <is>
          <t>6B/2025/2S</t>
        </is>
      </c>
      <c r="U1240" s="86" t="n">
        <v>45771</v>
      </c>
      <c r="V1240" s="3" t="inlineStr">
        <is>
          <t>7</t>
        </is>
      </c>
      <c r="W1240" s="111" t="n">
        <v>45771</v>
      </c>
      <c r="X1240" s="134" t="inlineStr">
        <is>
          <t xml:space="preserve">BIN HUMAID NATIONAL TRAD. CO. </t>
        </is>
      </c>
    </row>
    <row r="1241" ht="24" customHeight="1">
      <c r="A1241" s="2">
        <f>+D1241-S1241</f>
        <v/>
      </c>
      <c r="B1241" s="80" t="n">
        <v>2900</v>
      </c>
      <c r="C1241" s="66" t="n">
        <v>45755</v>
      </c>
      <c r="D1241" s="2" t="n">
        <v>1</v>
      </c>
      <c r="E1241" s="3" t="inlineStr">
        <is>
          <t>CARABINA AD ARIA COMPRESSA</t>
        </is>
      </c>
      <c r="F1241" s="3" t="inlineStr">
        <is>
          <t>5.5</t>
        </is>
      </c>
      <c r="G1241" s="3" t="inlineStr">
        <is>
          <t>STOEGER</t>
        </is>
      </c>
      <c r="H1241" s="65" t="inlineStr">
        <is>
          <t>STO XM1 FULL BPUP SYNTH</t>
        </is>
      </c>
      <c r="I1241" s="65" t="inlineStr">
        <is>
          <t>SAG222280BP</t>
        </is>
      </c>
      <c r="J1241" s="65" t="inlineStr">
        <is>
          <t>N/D</t>
        </is>
      </c>
      <c r="K1241" s="65" t="inlineStr">
        <is>
          <t>N/D</t>
        </is>
      </c>
      <c r="L1241" s="127" t="inlineStr">
        <is>
          <t>BENELLI ARMI SPA</t>
        </is>
      </c>
      <c r="M1241" s="5" t="n">
        <v>261</v>
      </c>
      <c r="N1241" s="5" t="n"/>
      <c r="O1241" s="5">
        <f>+M1241+N1241</f>
        <v/>
      </c>
      <c r="P1241" s="4" t="n">
        <v>45752</v>
      </c>
      <c r="Q1241" s="87" t="n">
        <v>45741</v>
      </c>
      <c r="R1241" s="5" t="n">
        <v>300</v>
      </c>
      <c r="S1241" s="2" t="n">
        <v>1</v>
      </c>
      <c r="T1241" s="3" t="inlineStr">
        <is>
          <t>6B/2025/2S</t>
        </is>
      </c>
      <c r="U1241" s="86" t="n">
        <v>45771</v>
      </c>
      <c r="V1241" s="3" t="inlineStr">
        <is>
          <t>7</t>
        </is>
      </c>
      <c r="W1241" s="111" t="n">
        <v>45771</v>
      </c>
      <c r="X1241" s="134" t="inlineStr">
        <is>
          <t xml:space="preserve">BIN HUMAID NATIONAL TRAD. CO. </t>
        </is>
      </c>
    </row>
    <row r="1242" ht="24" customHeight="1">
      <c r="A1242" s="2">
        <f>+D1242-S1242</f>
        <v/>
      </c>
      <c r="B1242" s="80" t="n">
        <v>2901</v>
      </c>
      <c r="C1242" s="66" t="n">
        <v>45755</v>
      </c>
      <c r="D1242" s="2" t="n">
        <v>1</v>
      </c>
      <c r="E1242" s="3" t="inlineStr">
        <is>
          <t>CARABINA AD ARIA COMPRESSA</t>
        </is>
      </c>
      <c r="F1242" s="3" t="inlineStr">
        <is>
          <t>5.5</t>
        </is>
      </c>
      <c r="G1242" s="3" t="inlineStr">
        <is>
          <t>STOEGER</t>
        </is>
      </c>
      <c r="H1242" s="65" t="inlineStr">
        <is>
          <t>STO XM1 FULL BPUP SYNTH</t>
        </is>
      </c>
      <c r="I1242" s="65" t="inlineStr">
        <is>
          <t>SAG222281BP</t>
        </is>
      </c>
      <c r="J1242" s="65" t="inlineStr">
        <is>
          <t>N/D</t>
        </is>
      </c>
      <c r="K1242" s="65" t="inlineStr">
        <is>
          <t>N/D</t>
        </is>
      </c>
      <c r="L1242" s="127" t="inlineStr">
        <is>
          <t>BENELLI ARMI SPA</t>
        </is>
      </c>
      <c r="M1242" s="5" t="n">
        <v>261</v>
      </c>
      <c r="N1242" s="5" t="n"/>
      <c r="O1242" s="5">
        <f>+M1242+N1242</f>
        <v/>
      </c>
      <c r="P1242" s="4" t="n">
        <v>45752</v>
      </c>
      <c r="Q1242" s="87" t="n">
        <v>45741</v>
      </c>
      <c r="R1242" s="5" t="n">
        <v>300</v>
      </c>
      <c r="S1242" s="2" t="n">
        <v>1</v>
      </c>
      <c r="T1242" s="3" t="inlineStr">
        <is>
          <t>6B/2025/2S</t>
        </is>
      </c>
      <c r="U1242" s="86" t="n">
        <v>45771</v>
      </c>
      <c r="V1242" s="3" t="inlineStr">
        <is>
          <t>7</t>
        </is>
      </c>
      <c r="W1242" s="111" t="n">
        <v>45771</v>
      </c>
      <c r="X1242" s="134" t="inlineStr">
        <is>
          <t xml:space="preserve">BIN HUMAID NATIONAL TRAD. CO. </t>
        </is>
      </c>
    </row>
    <row r="1243" ht="24" customHeight="1">
      <c r="A1243" s="2">
        <f>+D1243-S1243</f>
        <v/>
      </c>
      <c r="B1243" s="80" t="n">
        <v>2902</v>
      </c>
      <c r="C1243" s="66" t="n">
        <v>45755</v>
      </c>
      <c r="D1243" s="2" t="n">
        <v>1</v>
      </c>
      <c r="E1243" s="3" t="inlineStr">
        <is>
          <t>CARABINA AD ARIA COMPRESSA</t>
        </is>
      </c>
      <c r="F1243" s="3" t="inlineStr">
        <is>
          <t>5.5</t>
        </is>
      </c>
      <c r="G1243" s="3" t="inlineStr">
        <is>
          <t>STOEGER</t>
        </is>
      </c>
      <c r="H1243" s="65" t="inlineStr">
        <is>
          <t>STO XM1 FULL BPUP SYNTH</t>
        </is>
      </c>
      <c r="I1243" s="65" t="inlineStr">
        <is>
          <t>SAG222282BP</t>
        </is>
      </c>
      <c r="J1243" s="65" t="inlineStr">
        <is>
          <t>N/D</t>
        </is>
      </c>
      <c r="K1243" s="65" t="inlineStr">
        <is>
          <t>N/D</t>
        </is>
      </c>
      <c r="L1243" s="127" t="inlineStr">
        <is>
          <t>BENELLI ARMI SPA</t>
        </is>
      </c>
      <c r="M1243" s="5" t="n">
        <v>261</v>
      </c>
      <c r="N1243" s="5" t="n"/>
      <c r="O1243" s="5">
        <f>+M1243+N1243</f>
        <v/>
      </c>
      <c r="P1243" s="4" t="n">
        <v>45752</v>
      </c>
      <c r="Q1243" s="87" t="n">
        <v>45741</v>
      </c>
      <c r="R1243" s="5" t="n">
        <v>300</v>
      </c>
      <c r="S1243" s="2" t="n">
        <v>1</v>
      </c>
      <c r="T1243" s="3" t="inlineStr">
        <is>
          <t>6B/2025/2S</t>
        </is>
      </c>
      <c r="U1243" s="86" t="n">
        <v>45771</v>
      </c>
      <c r="V1243" s="3" t="inlineStr">
        <is>
          <t>7</t>
        </is>
      </c>
      <c r="W1243" s="111" t="n">
        <v>45771</v>
      </c>
      <c r="X1243" s="134" t="inlineStr">
        <is>
          <t xml:space="preserve">BIN HUMAID NATIONAL TRAD. CO. </t>
        </is>
      </c>
    </row>
    <row r="1244" ht="24" customHeight="1">
      <c r="A1244" s="2">
        <f>+D1244-S1244</f>
        <v/>
      </c>
      <c r="B1244" s="80" t="n">
        <v>2903</v>
      </c>
      <c r="C1244" s="66" t="n">
        <v>45755</v>
      </c>
      <c r="D1244" s="2" t="n">
        <v>1</v>
      </c>
      <c r="E1244" s="3" t="inlineStr">
        <is>
          <t>CARABINA AD ARIA COMPRESSA</t>
        </is>
      </c>
      <c r="F1244" s="3" t="inlineStr">
        <is>
          <t>5.5</t>
        </is>
      </c>
      <c r="G1244" s="3" t="inlineStr">
        <is>
          <t>STOEGER</t>
        </is>
      </c>
      <c r="H1244" s="65" t="inlineStr">
        <is>
          <t>STO XM1 FULL BPUP SYNTH</t>
        </is>
      </c>
      <c r="I1244" s="65" t="inlineStr">
        <is>
          <t>SAG222283BP</t>
        </is>
      </c>
      <c r="J1244" s="65" t="inlineStr">
        <is>
          <t>N/D</t>
        </is>
      </c>
      <c r="K1244" s="65" t="inlineStr">
        <is>
          <t>N/D</t>
        </is>
      </c>
      <c r="L1244" s="127" t="inlineStr">
        <is>
          <t>BENELLI ARMI SPA</t>
        </is>
      </c>
      <c r="M1244" s="5" t="n">
        <v>261</v>
      </c>
      <c r="N1244" s="5" t="n"/>
      <c r="O1244" s="5">
        <f>+M1244+N1244</f>
        <v/>
      </c>
      <c r="P1244" s="4" t="n">
        <v>45752</v>
      </c>
      <c r="Q1244" s="87" t="n">
        <v>45741</v>
      </c>
      <c r="R1244" s="5" t="n">
        <v>300</v>
      </c>
      <c r="S1244" s="2" t="n">
        <v>1</v>
      </c>
      <c r="T1244" s="3" t="inlineStr">
        <is>
          <t>6B/2025/2S</t>
        </is>
      </c>
      <c r="U1244" s="86" t="n">
        <v>45771</v>
      </c>
      <c r="V1244" s="3" t="inlineStr">
        <is>
          <t>7</t>
        </is>
      </c>
      <c r="W1244" s="111" t="n">
        <v>45771</v>
      </c>
      <c r="X1244" s="134" t="inlineStr">
        <is>
          <t xml:space="preserve">BIN HUMAID NATIONAL TRAD. CO. </t>
        </is>
      </c>
    </row>
    <row r="1245" ht="24" customHeight="1">
      <c r="A1245" s="2">
        <f>+D1245-S1245</f>
        <v/>
      </c>
      <c r="B1245" s="80" t="n">
        <v>2904</v>
      </c>
      <c r="C1245" s="66" t="n">
        <v>45755</v>
      </c>
      <c r="D1245" s="2" t="n">
        <v>1</v>
      </c>
      <c r="E1245" s="3" t="inlineStr">
        <is>
          <t>CARABINA AD ARIA COMPRESSA</t>
        </is>
      </c>
      <c r="F1245" s="3" t="inlineStr">
        <is>
          <t>5.5</t>
        </is>
      </c>
      <c r="G1245" s="3" t="inlineStr">
        <is>
          <t>STOEGER</t>
        </is>
      </c>
      <c r="H1245" s="65" t="inlineStr">
        <is>
          <t>STO XM1 FULL BPUP SYNTH</t>
        </is>
      </c>
      <c r="I1245" s="65" t="inlineStr">
        <is>
          <t>SAG222284BP</t>
        </is>
      </c>
      <c r="J1245" s="65" t="inlineStr">
        <is>
          <t>N/D</t>
        </is>
      </c>
      <c r="K1245" s="65" t="inlineStr">
        <is>
          <t>N/D</t>
        </is>
      </c>
      <c r="L1245" s="127" t="inlineStr">
        <is>
          <t>BENELLI ARMI SPA</t>
        </is>
      </c>
      <c r="M1245" s="5" t="n">
        <v>261</v>
      </c>
      <c r="N1245" s="5" t="n"/>
      <c r="O1245" s="5">
        <f>+M1245+N1245</f>
        <v/>
      </c>
      <c r="P1245" s="4" t="n">
        <v>45752</v>
      </c>
      <c r="Q1245" s="87" t="n">
        <v>45741</v>
      </c>
      <c r="R1245" s="5" t="n">
        <v>300</v>
      </c>
      <c r="S1245" s="2" t="n">
        <v>1</v>
      </c>
      <c r="T1245" s="3" t="inlineStr">
        <is>
          <t>6B/2025/2S</t>
        </is>
      </c>
      <c r="U1245" s="86" t="n">
        <v>45771</v>
      </c>
      <c r="V1245" s="3" t="inlineStr">
        <is>
          <t>7</t>
        </is>
      </c>
      <c r="W1245" s="111" t="n">
        <v>45771</v>
      </c>
      <c r="X1245" s="134" t="inlineStr">
        <is>
          <t xml:space="preserve">BIN HUMAID NATIONAL TRAD. CO. </t>
        </is>
      </c>
    </row>
    <row r="1246" ht="24" customHeight="1">
      <c r="A1246" s="2">
        <f>+D1246-S1246</f>
        <v/>
      </c>
      <c r="B1246" s="80" t="n">
        <v>2905</v>
      </c>
      <c r="C1246" s="66" t="n">
        <v>45755</v>
      </c>
      <c r="D1246" s="2" t="n">
        <v>1</v>
      </c>
      <c r="E1246" s="3" t="inlineStr">
        <is>
          <t>CARABINA AD ARIA COMPRESSA</t>
        </is>
      </c>
      <c r="F1246" s="3" t="inlineStr">
        <is>
          <t>5.5</t>
        </is>
      </c>
      <c r="G1246" s="3" t="inlineStr">
        <is>
          <t>STOEGER</t>
        </is>
      </c>
      <c r="H1246" s="65" t="inlineStr">
        <is>
          <t>STO XM1 FULL BPUP SYNTH</t>
        </is>
      </c>
      <c r="I1246" s="65" t="inlineStr">
        <is>
          <t>SAG222285BP</t>
        </is>
      </c>
      <c r="J1246" s="65" t="inlineStr">
        <is>
          <t>N/D</t>
        </is>
      </c>
      <c r="K1246" s="65" t="inlineStr">
        <is>
          <t>N/D</t>
        </is>
      </c>
      <c r="L1246" s="127" t="inlineStr">
        <is>
          <t>BENELLI ARMI SPA</t>
        </is>
      </c>
      <c r="M1246" s="5" t="n">
        <v>261</v>
      </c>
      <c r="N1246" s="5" t="n"/>
      <c r="O1246" s="5">
        <f>+M1246+N1246</f>
        <v/>
      </c>
      <c r="P1246" s="4" t="n">
        <v>45752</v>
      </c>
      <c r="Q1246" s="87" t="n">
        <v>45741</v>
      </c>
      <c r="R1246" s="5" t="n">
        <v>300</v>
      </c>
      <c r="S1246" s="2" t="n">
        <v>1</v>
      </c>
      <c r="T1246" s="3" t="inlineStr">
        <is>
          <t>6B/2025/2S</t>
        </is>
      </c>
      <c r="U1246" s="86" t="n">
        <v>45771</v>
      </c>
      <c r="V1246" s="3" t="inlineStr">
        <is>
          <t>7</t>
        </is>
      </c>
      <c r="W1246" s="111" t="n">
        <v>45771</v>
      </c>
      <c r="X1246" s="134" t="inlineStr">
        <is>
          <t xml:space="preserve">BIN HUMAID NATIONAL TRAD. CO. </t>
        </is>
      </c>
    </row>
    <row r="1247" ht="24" customHeight="1">
      <c r="A1247" s="2">
        <f>+D1247-S1247</f>
        <v/>
      </c>
      <c r="B1247" s="80" t="n">
        <v>2906</v>
      </c>
      <c r="C1247" s="66" t="n">
        <v>45755</v>
      </c>
      <c r="D1247" s="2" t="n">
        <v>1</v>
      </c>
      <c r="E1247" s="3" t="inlineStr">
        <is>
          <t>CARABINA AD ARIA COMPRESSA</t>
        </is>
      </c>
      <c r="F1247" s="3" t="inlineStr">
        <is>
          <t>5.5</t>
        </is>
      </c>
      <c r="G1247" s="3" t="inlineStr">
        <is>
          <t>STOEGER</t>
        </is>
      </c>
      <c r="H1247" s="65" t="inlineStr">
        <is>
          <t>STO XM1 FULL BPUP SYNTH</t>
        </is>
      </c>
      <c r="I1247" s="65" t="inlineStr">
        <is>
          <t>SAG222286BP</t>
        </is>
      </c>
      <c r="J1247" s="65" t="inlineStr">
        <is>
          <t>N/D</t>
        </is>
      </c>
      <c r="K1247" s="65" t="inlineStr">
        <is>
          <t>N/D</t>
        </is>
      </c>
      <c r="L1247" s="127" t="inlineStr">
        <is>
          <t>BENELLI ARMI SPA</t>
        </is>
      </c>
      <c r="M1247" s="5" t="n">
        <v>261</v>
      </c>
      <c r="N1247" s="5" t="n"/>
      <c r="O1247" s="5">
        <f>+M1247+N1247</f>
        <v/>
      </c>
      <c r="P1247" s="4" t="n">
        <v>45752</v>
      </c>
      <c r="Q1247" s="87" t="n">
        <v>45741</v>
      </c>
      <c r="R1247" s="5" t="n">
        <v>300</v>
      </c>
      <c r="S1247" s="2" t="n">
        <v>1</v>
      </c>
      <c r="T1247" s="3" t="inlineStr">
        <is>
          <t>6B/2025/2S</t>
        </is>
      </c>
      <c r="U1247" s="86" t="n">
        <v>45771</v>
      </c>
      <c r="V1247" s="3" t="inlineStr">
        <is>
          <t>7</t>
        </is>
      </c>
      <c r="W1247" s="111" t="n">
        <v>45771</v>
      </c>
      <c r="X1247" s="134" t="inlineStr">
        <is>
          <t xml:space="preserve">BIN HUMAID NATIONAL TRAD. CO. </t>
        </is>
      </c>
    </row>
    <row r="1248" ht="24" customHeight="1">
      <c r="A1248" s="2">
        <f>+D1248-S1248</f>
        <v/>
      </c>
      <c r="B1248" s="80" t="n">
        <v>2907</v>
      </c>
      <c r="C1248" s="66" t="n">
        <v>45755</v>
      </c>
      <c r="D1248" s="2" t="n">
        <v>1</v>
      </c>
      <c r="E1248" s="3" t="inlineStr">
        <is>
          <t>CARABINA AD ARIA COMPRESSA</t>
        </is>
      </c>
      <c r="F1248" s="3" t="inlineStr">
        <is>
          <t>5.5</t>
        </is>
      </c>
      <c r="G1248" s="3" t="inlineStr">
        <is>
          <t>STOEGER</t>
        </is>
      </c>
      <c r="H1248" s="65" t="inlineStr">
        <is>
          <t>STO XM1 FULL BPUP SYNTH</t>
        </is>
      </c>
      <c r="I1248" s="65" t="inlineStr">
        <is>
          <t>SAG222289BP</t>
        </is>
      </c>
      <c r="J1248" s="65" t="inlineStr">
        <is>
          <t>N/D</t>
        </is>
      </c>
      <c r="K1248" s="65" t="inlineStr">
        <is>
          <t>N/D</t>
        </is>
      </c>
      <c r="L1248" s="127" t="inlineStr">
        <is>
          <t>BENELLI ARMI SPA</t>
        </is>
      </c>
      <c r="M1248" s="5" t="n">
        <v>261</v>
      </c>
      <c r="N1248" s="5" t="n"/>
      <c r="O1248" s="5">
        <f>+M1248+N1248</f>
        <v/>
      </c>
      <c r="P1248" s="4" t="n">
        <v>45752</v>
      </c>
      <c r="Q1248" s="87" t="n">
        <v>45741</v>
      </c>
      <c r="R1248" s="5" t="n">
        <v>300</v>
      </c>
      <c r="S1248" s="2" t="n">
        <v>1</v>
      </c>
      <c r="T1248" s="3" t="inlineStr">
        <is>
          <t>6B/2025/2S</t>
        </is>
      </c>
      <c r="U1248" s="86" t="n">
        <v>45771</v>
      </c>
      <c r="V1248" s="3" t="inlineStr">
        <is>
          <t>7</t>
        </is>
      </c>
      <c r="W1248" s="111" t="n">
        <v>45771</v>
      </c>
      <c r="X1248" s="134" t="inlineStr">
        <is>
          <t xml:space="preserve">BIN HUMAID NATIONAL TRAD. CO. </t>
        </is>
      </c>
    </row>
    <row r="1249" ht="24" customHeight="1">
      <c r="A1249" s="2">
        <f>+D1249-S1249</f>
        <v/>
      </c>
      <c r="B1249" s="80" t="n">
        <v>2908</v>
      </c>
      <c r="C1249" s="66" t="n">
        <v>45755</v>
      </c>
      <c r="D1249" s="2" t="n">
        <v>1</v>
      </c>
      <c r="E1249" s="3" t="inlineStr">
        <is>
          <t>CARABINA AD ARIA COMPRESSA</t>
        </is>
      </c>
      <c r="F1249" s="3" t="inlineStr">
        <is>
          <t>5.5</t>
        </is>
      </c>
      <c r="G1249" s="3" t="inlineStr">
        <is>
          <t>STOEGER</t>
        </is>
      </c>
      <c r="H1249" s="65" t="inlineStr">
        <is>
          <t>STO XM1 FULL BPUP SYNTH</t>
        </is>
      </c>
      <c r="I1249" s="65" t="inlineStr">
        <is>
          <t>SAG222290BP</t>
        </is>
      </c>
      <c r="J1249" s="65" t="inlineStr">
        <is>
          <t>N/D</t>
        </is>
      </c>
      <c r="K1249" s="65" t="inlineStr">
        <is>
          <t>N/D</t>
        </is>
      </c>
      <c r="L1249" s="127" t="inlineStr">
        <is>
          <t>BENELLI ARMI SPA</t>
        </is>
      </c>
      <c r="M1249" s="5" t="n">
        <v>261</v>
      </c>
      <c r="N1249" s="5" t="n"/>
      <c r="O1249" s="5">
        <f>+M1249+N1249</f>
        <v/>
      </c>
      <c r="P1249" s="4" t="n">
        <v>45752</v>
      </c>
      <c r="Q1249" s="87" t="n">
        <v>45741</v>
      </c>
      <c r="R1249" s="5" t="n">
        <v>300</v>
      </c>
      <c r="S1249" s="2" t="n">
        <v>1</v>
      </c>
      <c r="T1249" s="3" t="inlineStr">
        <is>
          <t>6B/2025/2S</t>
        </is>
      </c>
      <c r="U1249" s="86" t="n">
        <v>45771</v>
      </c>
      <c r="V1249" s="3" t="inlineStr">
        <is>
          <t>7</t>
        </is>
      </c>
      <c r="W1249" s="111" t="n">
        <v>45771</v>
      </c>
      <c r="X1249" s="134" t="inlineStr">
        <is>
          <t xml:space="preserve">BIN HUMAID NATIONAL TRAD. CO. </t>
        </is>
      </c>
    </row>
    <row r="1250" ht="24" customHeight="1">
      <c r="A1250" s="2">
        <f>+D1250-S1250</f>
        <v/>
      </c>
      <c r="B1250" s="80" t="n">
        <v>2909</v>
      </c>
      <c r="C1250" s="66" t="n">
        <v>45755</v>
      </c>
      <c r="D1250" s="2" t="n">
        <v>1</v>
      </c>
      <c r="E1250" s="3" t="inlineStr">
        <is>
          <t>CARABINA AD ARIA COMPRESSA</t>
        </is>
      </c>
      <c r="F1250" s="3" t="inlineStr">
        <is>
          <t>5.5</t>
        </is>
      </c>
      <c r="G1250" s="3" t="inlineStr">
        <is>
          <t>STOEGER</t>
        </is>
      </c>
      <c r="H1250" s="65" t="inlineStr">
        <is>
          <t>STO XM1 FULL BPUP SYNTH</t>
        </is>
      </c>
      <c r="I1250" s="65" t="inlineStr">
        <is>
          <t>SAG222291BP</t>
        </is>
      </c>
      <c r="J1250" s="65" t="inlineStr">
        <is>
          <t>N/D</t>
        </is>
      </c>
      <c r="K1250" s="65" t="inlineStr">
        <is>
          <t>N/D</t>
        </is>
      </c>
      <c r="L1250" s="127" t="inlineStr">
        <is>
          <t>BENELLI ARMI SPA</t>
        </is>
      </c>
      <c r="M1250" s="5" t="n">
        <v>261</v>
      </c>
      <c r="N1250" s="5" t="n"/>
      <c r="O1250" s="5">
        <f>+M1250+N1250</f>
        <v/>
      </c>
      <c r="P1250" s="4" t="n">
        <v>45752</v>
      </c>
      <c r="Q1250" s="87" t="n">
        <v>45741</v>
      </c>
      <c r="R1250" s="5" t="n">
        <v>300</v>
      </c>
      <c r="S1250" s="2" t="n">
        <v>1</v>
      </c>
      <c r="T1250" s="3" t="inlineStr">
        <is>
          <t>6B/2025/2S</t>
        </is>
      </c>
      <c r="U1250" s="86" t="n">
        <v>45771</v>
      </c>
      <c r="V1250" s="3" t="inlineStr">
        <is>
          <t>7</t>
        </is>
      </c>
      <c r="W1250" s="111" t="n">
        <v>45771</v>
      </c>
      <c r="X1250" s="134" t="inlineStr">
        <is>
          <t xml:space="preserve">BIN HUMAID NATIONAL TRAD. CO. </t>
        </is>
      </c>
    </row>
    <row r="1251" ht="24" customHeight="1">
      <c r="A1251" s="2">
        <f>+D1251-S1251</f>
        <v/>
      </c>
      <c r="B1251" s="80" t="n">
        <v>2910</v>
      </c>
      <c r="C1251" s="66" t="n">
        <v>45755</v>
      </c>
      <c r="D1251" s="2" t="n">
        <v>1</v>
      </c>
      <c r="E1251" s="3" t="inlineStr">
        <is>
          <t>CARABINA AD ARIA COMPRESSA</t>
        </is>
      </c>
      <c r="F1251" s="3" t="inlineStr">
        <is>
          <t>5.5</t>
        </is>
      </c>
      <c r="G1251" s="3" t="inlineStr">
        <is>
          <t>STOEGER</t>
        </is>
      </c>
      <c r="H1251" s="65" t="inlineStr">
        <is>
          <t>STO XM1 FULL BPUP SYNTH</t>
        </is>
      </c>
      <c r="I1251" s="65" t="inlineStr">
        <is>
          <t>SAG222292BP</t>
        </is>
      </c>
      <c r="J1251" s="65" t="inlineStr">
        <is>
          <t>N/D</t>
        </is>
      </c>
      <c r="K1251" s="65" t="inlineStr">
        <is>
          <t>N/D</t>
        </is>
      </c>
      <c r="L1251" s="127" t="inlineStr">
        <is>
          <t>BENELLI ARMI SPA</t>
        </is>
      </c>
      <c r="M1251" s="5" t="n">
        <v>261</v>
      </c>
      <c r="N1251" s="5" t="n"/>
      <c r="O1251" s="5">
        <f>+M1251+N1251</f>
        <v/>
      </c>
      <c r="P1251" s="4" t="n">
        <v>45752</v>
      </c>
      <c r="Q1251" s="87" t="n">
        <v>45741</v>
      </c>
      <c r="R1251" s="5" t="n">
        <v>300</v>
      </c>
      <c r="S1251" s="2" t="n">
        <v>1</v>
      </c>
      <c r="T1251" s="3" t="inlineStr">
        <is>
          <t>6B/2025/2S</t>
        </is>
      </c>
      <c r="U1251" s="86" t="n">
        <v>45771</v>
      </c>
      <c r="V1251" s="3" t="inlineStr">
        <is>
          <t>7</t>
        </is>
      </c>
      <c r="W1251" s="111" t="n">
        <v>45771</v>
      </c>
      <c r="X1251" s="134" t="inlineStr">
        <is>
          <t xml:space="preserve">BIN HUMAID NATIONAL TRAD. CO. </t>
        </is>
      </c>
    </row>
    <row r="1252" ht="24" customHeight="1">
      <c r="A1252" s="2">
        <f>+D1252-S1252</f>
        <v/>
      </c>
      <c r="B1252" s="80" t="n">
        <v>2911</v>
      </c>
      <c r="C1252" s="66" t="n">
        <v>45755</v>
      </c>
      <c r="D1252" s="2" t="n">
        <v>1</v>
      </c>
      <c r="E1252" s="3" t="inlineStr">
        <is>
          <t>CARABINA AD ARIA COMPRESSA</t>
        </is>
      </c>
      <c r="F1252" s="3" t="inlineStr">
        <is>
          <t>5.5</t>
        </is>
      </c>
      <c r="G1252" s="3" t="inlineStr">
        <is>
          <t>STOEGER</t>
        </is>
      </c>
      <c r="H1252" s="65" t="inlineStr">
        <is>
          <t>STO XM1 FULL BPUP SYNTH</t>
        </is>
      </c>
      <c r="I1252" s="65" t="inlineStr">
        <is>
          <t>SAG222293BP</t>
        </is>
      </c>
      <c r="J1252" s="65" t="inlineStr">
        <is>
          <t>N/D</t>
        </is>
      </c>
      <c r="K1252" s="65" t="inlineStr">
        <is>
          <t>N/D</t>
        </is>
      </c>
      <c r="L1252" s="127" t="inlineStr">
        <is>
          <t>BENELLI ARMI SPA</t>
        </is>
      </c>
      <c r="M1252" s="5" t="n">
        <v>261</v>
      </c>
      <c r="N1252" s="5" t="n"/>
      <c r="O1252" s="5">
        <f>+M1252+N1252</f>
        <v/>
      </c>
      <c r="P1252" s="4" t="n">
        <v>45752</v>
      </c>
      <c r="Q1252" s="87" t="n">
        <v>45741</v>
      </c>
      <c r="R1252" s="5" t="n">
        <v>300</v>
      </c>
      <c r="S1252" s="2" t="n">
        <v>1</v>
      </c>
      <c r="T1252" s="3" t="inlineStr">
        <is>
          <t>6B/2025/2S</t>
        </is>
      </c>
      <c r="U1252" s="86" t="n">
        <v>45771</v>
      </c>
      <c r="V1252" s="3" t="inlineStr">
        <is>
          <t>7</t>
        </is>
      </c>
      <c r="W1252" s="111" t="n">
        <v>45771</v>
      </c>
      <c r="X1252" s="134" t="inlineStr">
        <is>
          <t xml:space="preserve">BIN HUMAID NATIONAL TRAD. CO. </t>
        </is>
      </c>
    </row>
    <row r="1253" ht="24" customHeight="1">
      <c r="A1253" s="2">
        <f>+D1253-S1253</f>
        <v/>
      </c>
      <c r="B1253" s="80" t="n">
        <v>2912</v>
      </c>
      <c r="C1253" s="66" t="n">
        <v>45755</v>
      </c>
      <c r="D1253" s="2" t="n">
        <v>1</v>
      </c>
      <c r="E1253" s="3" t="inlineStr">
        <is>
          <t>CARABINA AD ARIA COMPRESSA</t>
        </is>
      </c>
      <c r="F1253" s="3" t="inlineStr">
        <is>
          <t>5.5</t>
        </is>
      </c>
      <c r="G1253" s="3" t="inlineStr">
        <is>
          <t>STOEGER</t>
        </is>
      </c>
      <c r="H1253" s="65" t="inlineStr">
        <is>
          <t>STO XM1 FULL BPUP SYNTH</t>
        </is>
      </c>
      <c r="I1253" s="65" t="inlineStr">
        <is>
          <t>SAG222294BP</t>
        </is>
      </c>
      <c r="J1253" s="65" t="inlineStr">
        <is>
          <t>N/D</t>
        </is>
      </c>
      <c r="K1253" s="65" t="inlineStr">
        <is>
          <t>N/D</t>
        </is>
      </c>
      <c r="L1253" s="127" t="inlineStr">
        <is>
          <t>BENELLI ARMI SPA</t>
        </is>
      </c>
      <c r="M1253" s="5" t="n">
        <v>261</v>
      </c>
      <c r="N1253" s="5" t="n"/>
      <c r="O1253" s="5">
        <f>+M1253+N1253</f>
        <v/>
      </c>
      <c r="P1253" s="4" t="n">
        <v>45752</v>
      </c>
      <c r="Q1253" s="87" t="n">
        <v>45741</v>
      </c>
      <c r="R1253" s="5" t="n">
        <v>300</v>
      </c>
      <c r="S1253" s="2" t="n">
        <v>1</v>
      </c>
      <c r="T1253" s="3" t="inlineStr">
        <is>
          <t>6B/2025/2S</t>
        </is>
      </c>
      <c r="U1253" s="86" t="n">
        <v>45771</v>
      </c>
      <c r="V1253" s="3" t="inlineStr">
        <is>
          <t>7</t>
        </is>
      </c>
      <c r="W1253" s="111" t="n">
        <v>45771</v>
      </c>
      <c r="X1253" s="134" t="inlineStr">
        <is>
          <t xml:space="preserve">BIN HUMAID NATIONAL TRAD. CO. </t>
        </is>
      </c>
    </row>
    <row r="1254" ht="24" customHeight="1">
      <c r="A1254" s="2">
        <f>+D1254-S1254</f>
        <v/>
      </c>
      <c r="B1254" s="80" t="n">
        <v>2913</v>
      </c>
      <c r="C1254" s="66" t="n">
        <v>45755</v>
      </c>
      <c r="D1254" s="2" t="n">
        <v>1</v>
      </c>
      <c r="E1254" s="3" t="inlineStr">
        <is>
          <t>CARABINA AD ARIA COMPRESSA</t>
        </is>
      </c>
      <c r="F1254" s="3" t="inlineStr">
        <is>
          <t>5.5</t>
        </is>
      </c>
      <c r="G1254" s="3" t="inlineStr">
        <is>
          <t>STOEGER</t>
        </is>
      </c>
      <c r="H1254" s="65" t="inlineStr">
        <is>
          <t>STO XM1 FULL BPUP SYNTH</t>
        </is>
      </c>
      <c r="I1254" s="65" t="inlineStr">
        <is>
          <t>SAG222295BP</t>
        </is>
      </c>
      <c r="J1254" s="65" t="inlineStr">
        <is>
          <t>N/D</t>
        </is>
      </c>
      <c r="K1254" s="65" t="inlineStr">
        <is>
          <t>N/D</t>
        </is>
      </c>
      <c r="L1254" s="127" t="inlineStr">
        <is>
          <t>BENELLI ARMI SPA</t>
        </is>
      </c>
      <c r="M1254" s="5" t="n">
        <v>261</v>
      </c>
      <c r="N1254" s="5" t="n"/>
      <c r="O1254" s="5">
        <f>+M1254+N1254</f>
        <v/>
      </c>
      <c r="P1254" s="4" t="n">
        <v>45752</v>
      </c>
      <c r="Q1254" s="87" t="n">
        <v>45741</v>
      </c>
      <c r="R1254" s="5" t="n">
        <v>300</v>
      </c>
      <c r="S1254" s="2" t="n">
        <v>1</v>
      </c>
      <c r="T1254" s="3" t="inlineStr">
        <is>
          <t>6B/2025/2S</t>
        </is>
      </c>
      <c r="U1254" s="86" t="n">
        <v>45771</v>
      </c>
      <c r="V1254" s="3" t="inlineStr">
        <is>
          <t>7</t>
        </is>
      </c>
      <c r="W1254" s="111" t="n">
        <v>45771</v>
      </c>
      <c r="X1254" s="134" t="inlineStr">
        <is>
          <t xml:space="preserve">BIN HUMAID NATIONAL TRAD. CO. </t>
        </is>
      </c>
    </row>
    <row r="1255" ht="24" customHeight="1">
      <c r="A1255" s="2">
        <f>+D1255-S1255</f>
        <v/>
      </c>
      <c r="B1255" s="80" t="n">
        <v>2914</v>
      </c>
      <c r="C1255" s="66" t="n">
        <v>45755</v>
      </c>
      <c r="D1255" s="2" t="n">
        <v>1</v>
      </c>
      <c r="E1255" s="3" t="inlineStr">
        <is>
          <t>CARABINA AD ARIA COMPRESSA</t>
        </is>
      </c>
      <c r="F1255" s="3" t="inlineStr">
        <is>
          <t>5.5</t>
        </is>
      </c>
      <c r="G1255" s="3" t="inlineStr">
        <is>
          <t>STOEGER</t>
        </is>
      </c>
      <c r="H1255" s="65" t="inlineStr">
        <is>
          <t>STO XM1 FULL BPUP SYNTH</t>
        </is>
      </c>
      <c r="I1255" s="65" t="inlineStr">
        <is>
          <t>SAG222296BP</t>
        </is>
      </c>
      <c r="J1255" s="65" t="inlineStr">
        <is>
          <t>N/D</t>
        </is>
      </c>
      <c r="K1255" s="65" t="inlineStr">
        <is>
          <t>N/D</t>
        </is>
      </c>
      <c r="L1255" s="127" t="inlineStr">
        <is>
          <t>BENELLI ARMI SPA</t>
        </is>
      </c>
      <c r="M1255" s="5" t="n">
        <v>261</v>
      </c>
      <c r="N1255" s="5" t="n"/>
      <c r="O1255" s="5">
        <f>+M1255+N1255</f>
        <v/>
      </c>
      <c r="P1255" s="4" t="n">
        <v>45752</v>
      </c>
      <c r="Q1255" s="87" t="n">
        <v>45741</v>
      </c>
      <c r="R1255" s="5" t="n">
        <v>300</v>
      </c>
      <c r="S1255" s="2" t="n">
        <v>1</v>
      </c>
      <c r="T1255" s="3" t="inlineStr">
        <is>
          <t>6B/2025/2S</t>
        </is>
      </c>
      <c r="U1255" s="86" t="n">
        <v>45771</v>
      </c>
      <c r="V1255" s="3" t="inlineStr">
        <is>
          <t>7</t>
        </is>
      </c>
      <c r="W1255" s="111" t="n">
        <v>45771</v>
      </c>
      <c r="X1255" s="134" t="inlineStr">
        <is>
          <t xml:space="preserve">BIN HUMAID NATIONAL TRAD. CO. </t>
        </is>
      </c>
    </row>
    <row r="1256" ht="24" customHeight="1">
      <c r="A1256" s="2">
        <f>+D1256-S1256</f>
        <v/>
      </c>
      <c r="B1256" s="80" t="n">
        <v>2915</v>
      </c>
      <c r="C1256" s="66" t="n">
        <v>45755</v>
      </c>
      <c r="D1256" s="2" t="n">
        <v>1</v>
      </c>
      <c r="E1256" s="3" t="inlineStr">
        <is>
          <t>CARABINA AD ARIA COMPRESSA</t>
        </is>
      </c>
      <c r="F1256" s="3" t="inlineStr">
        <is>
          <t>5.5</t>
        </is>
      </c>
      <c r="G1256" s="3" t="inlineStr">
        <is>
          <t>STOEGER</t>
        </is>
      </c>
      <c r="H1256" s="65" t="inlineStr">
        <is>
          <t>STO XM1 FULL BPUP SYNTH</t>
        </is>
      </c>
      <c r="I1256" s="65" t="inlineStr">
        <is>
          <t>SAG222297BP</t>
        </is>
      </c>
      <c r="J1256" s="65" t="inlineStr">
        <is>
          <t>N/D</t>
        </is>
      </c>
      <c r="K1256" s="65" t="inlineStr">
        <is>
          <t>N/D</t>
        </is>
      </c>
      <c r="L1256" s="127" t="inlineStr">
        <is>
          <t>BENELLI ARMI SPA</t>
        </is>
      </c>
      <c r="M1256" s="5" t="n">
        <v>261</v>
      </c>
      <c r="N1256" s="5" t="n"/>
      <c r="O1256" s="5">
        <f>+M1256+N1256</f>
        <v/>
      </c>
      <c r="P1256" s="4" t="n">
        <v>45752</v>
      </c>
      <c r="Q1256" s="87" t="n">
        <v>45741</v>
      </c>
      <c r="R1256" s="5" t="n">
        <v>300</v>
      </c>
      <c r="S1256" s="2" t="n">
        <v>1</v>
      </c>
      <c r="T1256" s="3" t="inlineStr">
        <is>
          <t>6B/2025/2S</t>
        </is>
      </c>
      <c r="U1256" s="86" t="n">
        <v>45771</v>
      </c>
      <c r="V1256" s="3" t="inlineStr">
        <is>
          <t>7</t>
        </is>
      </c>
      <c r="W1256" s="111" t="n">
        <v>45771</v>
      </c>
      <c r="X1256" s="134" t="inlineStr">
        <is>
          <t xml:space="preserve">BIN HUMAID NATIONAL TRAD. CO. </t>
        </is>
      </c>
    </row>
    <row r="1257" ht="24" customHeight="1">
      <c r="A1257" s="2">
        <f>+D1257-S1257</f>
        <v/>
      </c>
      <c r="B1257" s="80" t="n">
        <v>2916</v>
      </c>
      <c r="C1257" s="66" t="n">
        <v>45755</v>
      </c>
      <c r="D1257" s="2" t="n">
        <v>1</v>
      </c>
      <c r="E1257" s="3" t="inlineStr">
        <is>
          <t>CARABINA AD ARIA COMPRESSA</t>
        </is>
      </c>
      <c r="F1257" s="3" t="inlineStr">
        <is>
          <t>5.5</t>
        </is>
      </c>
      <c r="G1257" s="3" t="inlineStr">
        <is>
          <t>STOEGER</t>
        </is>
      </c>
      <c r="H1257" s="65" t="inlineStr">
        <is>
          <t>STO XM1 FULL BPUP SYNTH</t>
        </is>
      </c>
      <c r="I1257" s="65" t="inlineStr">
        <is>
          <t>SAG222298BP</t>
        </is>
      </c>
      <c r="J1257" s="65" t="inlineStr">
        <is>
          <t>N/D</t>
        </is>
      </c>
      <c r="K1257" s="65" t="inlineStr">
        <is>
          <t>N/D</t>
        </is>
      </c>
      <c r="L1257" s="127" t="inlineStr">
        <is>
          <t>BENELLI ARMI SPA</t>
        </is>
      </c>
      <c r="M1257" s="5" t="n">
        <v>261</v>
      </c>
      <c r="N1257" s="5" t="n"/>
      <c r="O1257" s="5">
        <f>+M1257+N1257</f>
        <v/>
      </c>
      <c r="P1257" s="4" t="n">
        <v>45752</v>
      </c>
      <c r="Q1257" s="87" t="n">
        <v>45741</v>
      </c>
      <c r="R1257" s="5" t="n">
        <v>300</v>
      </c>
      <c r="S1257" s="2" t="n">
        <v>1</v>
      </c>
      <c r="T1257" s="3" t="inlineStr">
        <is>
          <t>6B/2025/2S</t>
        </is>
      </c>
      <c r="U1257" s="86" t="n">
        <v>45771</v>
      </c>
      <c r="V1257" s="3" t="inlineStr">
        <is>
          <t>7</t>
        </is>
      </c>
      <c r="W1257" s="111" t="n">
        <v>45771</v>
      </c>
      <c r="X1257" s="134" t="inlineStr">
        <is>
          <t xml:space="preserve">BIN HUMAID NATIONAL TRAD. CO. </t>
        </is>
      </c>
    </row>
    <row r="1258" ht="24" customHeight="1">
      <c r="A1258" s="2">
        <f>+D1258-S1258</f>
        <v/>
      </c>
      <c r="B1258" s="80" t="n">
        <v>2917</v>
      </c>
      <c r="C1258" s="66" t="n">
        <v>45755</v>
      </c>
      <c r="D1258" s="2" t="n">
        <v>1</v>
      </c>
      <c r="E1258" s="3" t="inlineStr">
        <is>
          <t>CARABINA AD ARIA COMPRESSA</t>
        </is>
      </c>
      <c r="F1258" s="3" t="inlineStr">
        <is>
          <t>5.5</t>
        </is>
      </c>
      <c r="G1258" s="3" t="inlineStr">
        <is>
          <t>STOEGER</t>
        </is>
      </c>
      <c r="H1258" s="65" t="inlineStr">
        <is>
          <t>STO XM1 FULL BPUP SYNTH</t>
        </is>
      </c>
      <c r="I1258" s="65" t="inlineStr">
        <is>
          <t>SAG222299BP</t>
        </is>
      </c>
      <c r="J1258" s="65" t="inlineStr">
        <is>
          <t>N/D</t>
        </is>
      </c>
      <c r="K1258" s="65" t="inlineStr">
        <is>
          <t>N/D</t>
        </is>
      </c>
      <c r="L1258" s="127" t="inlineStr">
        <is>
          <t>BENELLI ARMI SPA</t>
        </is>
      </c>
      <c r="M1258" s="5" t="n">
        <v>261</v>
      </c>
      <c r="N1258" s="5" t="n"/>
      <c r="O1258" s="5">
        <f>+M1258+N1258</f>
        <v/>
      </c>
      <c r="P1258" s="4" t="n">
        <v>45752</v>
      </c>
      <c r="Q1258" s="87" t="n">
        <v>45741</v>
      </c>
      <c r="R1258" s="5" t="n">
        <v>300</v>
      </c>
      <c r="S1258" s="2" t="n">
        <v>1</v>
      </c>
      <c r="T1258" s="3" t="inlineStr">
        <is>
          <t>6B/2025/2S</t>
        </is>
      </c>
      <c r="U1258" s="86" t="n">
        <v>45771</v>
      </c>
      <c r="V1258" s="3" t="inlineStr">
        <is>
          <t>7</t>
        </is>
      </c>
      <c r="W1258" s="111" t="n">
        <v>45771</v>
      </c>
      <c r="X1258" s="134" t="inlineStr">
        <is>
          <t xml:space="preserve">BIN HUMAID NATIONAL TRAD. CO. </t>
        </is>
      </c>
    </row>
    <row r="1259" ht="24" customHeight="1">
      <c r="A1259" s="2">
        <f>+D1259-S1259</f>
        <v/>
      </c>
      <c r="B1259" s="80" t="n">
        <v>2918</v>
      </c>
      <c r="C1259" s="66" t="n">
        <v>45755</v>
      </c>
      <c r="D1259" s="2" t="n">
        <v>1</v>
      </c>
      <c r="E1259" s="3" t="inlineStr">
        <is>
          <t>CARABINA AD ARIA COMPRESSA</t>
        </is>
      </c>
      <c r="F1259" s="3" t="inlineStr">
        <is>
          <t>6.35</t>
        </is>
      </c>
      <c r="G1259" s="3" t="inlineStr">
        <is>
          <t>STOEGER</t>
        </is>
      </c>
      <c r="H1259" s="65" t="inlineStr">
        <is>
          <t>STO XM1 FULL BLP SYNTH</t>
        </is>
      </c>
      <c r="I1259" s="65" t="inlineStr">
        <is>
          <t>SAG222309BP</t>
        </is>
      </c>
      <c r="J1259" s="65" t="inlineStr">
        <is>
          <t>N/D</t>
        </is>
      </c>
      <c r="K1259" s="65" t="inlineStr">
        <is>
          <t>N/D</t>
        </is>
      </c>
      <c r="L1259" s="127" t="inlineStr">
        <is>
          <t>BENELLI ARMI SPA</t>
        </is>
      </c>
      <c r="M1259" s="5" t="n">
        <v>261</v>
      </c>
      <c r="N1259" s="5" t="n"/>
      <c r="O1259" s="5">
        <f>+M1259+N1259</f>
        <v/>
      </c>
      <c r="P1259" s="4" t="n">
        <v>45752</v>
      </c>
      <c r="Q1259" s="87" t="n">
        <v>45741</v>
      </c>
      <c r="R1259" s="5" t="n">
        <v>300</v>
      </c>
      <c r="S1259" s="2" t="n">
        <v>1</v>
      </c>
      <c r="T1259" s="3" t="inlineStr">
        <is>
          <t>6B/2025/2S</t>
        </is>
      </c>
      <c r="U1259" s="86" t="n">
        <v>45771</v>
      </c>
      <c r="V1259" s="3" t="inlineStr">
        <is>
          <t>7</t>
        </is>
      </c>
      <c r="W1259" s="111" t="n">
        <v>45771</v>
      </c>
      <c r="X1259" s="134" t="inlineStr">
        <is>
          <t xml:space="preserve">BIN HUMAID NATIONAL TRAD. CO. </t>
        </is>
      </c>
    </row>
    <row r="1260" ht="24" customHeight="1">
      <c r="A1260" s="2">
        <f>+D1260-S1260</f>
        <v/>
      </c>
      <c r="B1260" s="80" t="n">
        <v>2919</v>
      </c>
      <c r="C1260" s="66" t="n">
        <v>45755</v>
      </c>
      <c r="D1260" s="2" t="n">
        <v>1</v>
      </c>
      <c r="E1260" s="3" t="inlineStr">
        <is>
          <t>CARABINA AD ARIA COMPRESSA</t>
        </is>
      </c>
      <c r="F1260" s="3" t="inlineStr">
        <is>
          <t>6.35</t>
        </is>
      </c>
      <c r="G1260" s="3" t="inlineStr">
        <is>
          <t>STOEGER</t>
        </is>
      </c>
      <c r="H1260" s="65" t="inlineStr">
        <is>
          <t>STO XM1 FULL BLP SYNTH</t>
        </is>
      </c>
      <c r="I1260" s="65" t="inlineStr">
        <is>
          <t>SAG222310BP</t>
        </is>
      </c>
      <c r="J1260" s="65" t="inlineStr">
        <is>
          <t>N/D</t>
        </is>
      </c>
      <c r="K1260" s="65" t="inlineStr">
        <is>
          <t>N/D</t>
        </is>
      </c>
      <c r="L1260" s="127" t="inlineStr">
        <is>
          <t>BENELLI ARMI SPA</t>
        </is>
      </c>
      <c r="M1260" s="5" t="n">
        <v>261</v>
      </c>
      <c r="N1260" s="5" t="n"/>
      <c r="O1260" s="5">
        <f>+M1260+N1260</f>
        <v/>
      </c>
      <c r="P1260" s="4" t="n">
        <v>45752</v>
      </c>
      <c r="Q1260" s="87" t="n">
        <v>45741</v>
      </c>
      <c r="R1260" s="5" t="n">
        <v>300</v>
      </c>
      <c r="S1260" s="2" t="n">
        <v>1</v>
      </c>
      <c r="T1260" s="3" t="inlineStr">
        <is>
          <t>6B/2025/2S</t>
        </is>
      </c>
      <c r="U1260" s="86" t="n">
        <v>45771</v>
      </c>
      <c r="V1260" s="3" t="inlineStr">
        <is>
          <t>7</t>
        </is>
      </c>
      <c r="W1260" s="111" t="n">
        <v>45771</v>
      </c>
      <c r="X1260" s="134" t="inlineStr">
        <is>
          <t xml:space="preserve">BIN HUMAID NATIONAL TRAD. CO. </t>
        </is>
      </c>
    </row>
    <row r="1261" ht="24" customHeight="1">
      <c r="A1261" s="2">
        <f>+D1261-S1261</f>
        <v/>
      </c>
      <c r="B1261" s="80" t="n">
        <v>2920</v>
      </c>
      <c r="C1261" s="66" t="n">
        <v>45755</v>
      </c>
      <c r="D1261" s="2" t="n">
        <v>1</v>
      </c>
      <c r="E1261" s="3" t="inlineStr">
        <is>
          <t>CARABINA AD ARIA COMPRESSA</t>
        </is>
      </c>
      <c r="F1261" s="3" t="inlineStr">
        <is>
          <t>6.35</t>
        </is>
      </c>
      <c r="G1261" s="3" t="inlineStr">
        <is>
          <t>STOEGER</t>
        </is>
      </c>
      <c r="H1261" s="65" t="inlineStr">
        <is>
          <t>STO XM1 FULL BLP SYNTH</t>
        </is>
      </c>
      <c r="I1261" s="65" t="inlineStr">
        <is>
          <t>SAG222311BP</t>
        </is>
      </c>
      <c r="J1261" s="65" t="inlineStr">
        <is>
          <t>N/D</t>
        </is>
      </c>
      <c r="K1261" s="65" t="inlineStr">
        <is>
          <t>N/D</t>
        </is>
      </c>
      <c r="L1261" s="127" t="inlineStr">
        <is>
          <t>BENELLI ARMI SPA</t>
        </is>
      </c>
      <c r="M1261" s="5" t="n">
        <v>261</v>
      </c>
      <c r="N1261" s="5" t="n"/>
      <c r="O1261" s="5">
        <f>+M1261+N1261</f>
        <v/>
      </c>
      <c r="P1261" s="4" t="n">
        <v>45752</v>
      </c>
      <c r="Q1261" s="87" t="n">
        <v>45741</v>
      </c>
      <c r="R1261" s="5" t="n">
        <v>300</v>
      </c>
      <c r="S1261" s="2" t="n">
        <v>1</v>
      </c>
      <c r="T1261" s="3" t="inlineStr">
        <is>
          <t>6B/2025/2S</t>
        </is>
      </c>
      <c r="U1261" s="86" t="n">
        <v>45771</v>
      </c>
      <c r="V1261" s="3" t="inlineStr">
        <is>
          <t>7</t>
        </is>
      </c>
      <c r="W1261" s="111" t="n">
        <v>45771</v>
      </c>
      <c r="X1261" s="134" t="inlineStr">
        <is>
          <t xml:space="preserve">BIN HUMAID NATIONAL TRAD. CO. </t>
        </is>
      </c>
    </row>
    <row r="1262" ht="24" customHeight="1">
      <c r="A1262" s="2">
        <f>+D1262-S1262</f>
        <v/>
      </c>
      <c r="B1262" s="80" t="n">
        <v>2921</v>
      </c>
      <c r="C1262" s="66" t="n">
        <v>45755</v>
      </c>
      <c r="D1262" s="2" t="n">
        <v>1</v>
      </c>
      <c r="E1262" s="3" t="inlineStr">
        <is>
          <t>CARABINA AD ARIA COMPRESSA</t>
        </is>
      </c>
      <c r="F1262" s="3" t="inlineStr">
        <is>
          <t>6.35</t>
        </is>
      </c>
      <c r="G1262" s="3" t="inlineStr">
        <is>
          <t>STOEGER</t>
        </is>
      </c>
      <c r="H1262" s="65" t="inlineStr">
        <is>
          <t>STO XM1 FULL BLP SYNTH</t>
        </is>
      </c>
      <c r="I1262" s="65" t="inlineStr">
        <is>
          <t>SAG222312BP</t>
        </is>
      </c>
      <c r="J1262" s="65" t="inlineStr">
        <is>
          <t>N/D</t>
        </is>
      </c>
      <c r="K1262" s="65" t="inlineStr">
        <is>
          <t>N/D</t>
        </is>
      </c>
      <c r="L1262" s="127" t="inlineStr">
        <is>
          <t>BENELLI ARMI SPA</t>
        </is>
      </c>
      <c r="M1262" s="5" t="n">
        <v>261</v>
      </c>
      <c r="N1262" s="5" t="n"/>
      <c r="O1262" s="5">
        <f>+M1262+N1262</f>
        <v/>
      </c>
      <c r="P1262" s="4" t="n">
        <v>45752</v>
      </c>
      <c r="Q1262" s="87" t="n">
        <v>45741</v>
      </c>
      <c r="R1262" s="5" t="n">
        <v>300</v>
      </c>
      <c r="S1262" s="2" t="n">
        <v>1</v>
      </c>
      <c r="T1262" s="3" t="inlineStr">
        <is>
          <t>6B/2025/2S</t>
        </is>
      </c>
      <c r="U1262" s="86" t="n">
        <v>45771</v>
      </c>
      <c r="V1262" s="3" t="inlineStr">
        <is>
          <t>7</t>
        </is>
      </c>
      <c r="W1262" s="111" t="n">
        <v>45771</v>
      </c>
      <c r="X1262" s="134" t="inlineStr">
        <is>
          <t xml:space="preserve">BIN HUMAID NATIONAL TRAD. CO. </t>
        </is>
      </c>
    </row>
    <row r="1263" ht="24" customHeight="1">
      <c r="A1263" s="2">
        <f>+D1263-S1263</f>
        <v/>
      </c>
      <c r="B1263" s="80" t="n">
        <v>2922</v>
      </c>
      <c r="C1263" s="66" t="n">
        <v>45755</v>
      </c>
      <c r="D1263" s="2" t="n">
        <v>1</v>
      </c>
      <c r="E1263" s="3" t="inlineStr">
        <is>
          <t>CARABINA AD ARIA COMPRESSA</t>
        </is>
      </c>
      <c r="F1263" s="3" t="inlineStr">
        <is>
          <t>6.35</t>
        </is>
      </c>
      <c r="G1263" s="3" t="inlineStr">
        <is>
          <t>STOEGER</t>
        </is>
      </c>
      <c r="H1263" s="65" t="inlineStr">
        <is>
          <t>STO XM1 FULL BLP SYNTH</t>
        </is>
      </c>
      <c r="I1263" s="65" t="inlineStr">
        <is>
          <t>SAG222313BP</t>
        </is>
      </c>
      <c r="J1263" s="65" t="inlineStr">
        <is>
          <t>N/D</t>
        </is>
      </c>
      <c r="K1263" s="65" t="inlineStr">
        <is>
          <t>N/D</t>
        </is>
      </c>
      <c r="L1263" s="127" t="inlineStr">
        <is>
          <t>BENELLI ARMI SPA</t>
        </is>
      </c>
      <c r="M1263" s="5" t="n">
        <v>261</v>
      </c>
      <c r="N1263" s="5" t="n"/>
      <c r="O1263" s="5">
        <f>+M1263+N1263</f>
        <v/>
      </c>
      <c r="P1263" s="4" t="n">
        <v>45752</v>
      </c>
      <c r="Q1263" s="87" t="n">
        <v>45741</v>
      </c>
      <c r="R1263" s="5" t="n">
        <v>300</v>
      </c>
      <c r="S1263" s="2" t="n">
        <v>1</v>
      </c>
      <c r="T1263" s="3" t="inlineStr">
        <is>
          <t>6B/2025/2S</t>
        </is>
      </c>
      <c r="U1263" s="86" t="n">
        <v>45771</v>
      </c>
      <c r="V1263" s="3" t="inlineStr">
        <is>
          <t>7</t>
        </is>
      </c>
      <c r="W1263" s="111" t="n">
        <v>45771</v>
      </c>
      <c r="X1263" s="134" t="inlineStr">
        <is>
          <t xml:space="preserve">BIN HUMAID NATIONAL TRAD. CO. </t>
        </is>
      </c>
    </row>
    <row r="1264" ht="24" customHeight="1">
      <c r="A1264" s="2">
        <f>+D1264-S1264</f>
        <v/>
      </c>
      <c r="B1264" s="80" t="n">
        <v>2923</v>
      </c>
      <c r="C1264" s="66" t="n">
        <v>45755</v>
      </c>
      <c r="D1264" s="2" t="n">
        <v>1</v>
      </c>
      <c r="E1264" s="3" t="inlineStr">
        <is>
          <t>CARABINA AD ARIA COMPRESSA</t>
        </is>
      </c>
      <c r="F1264" s="3" t="inlineStr">
        <is>
          <t>6.35</t>
        </is>
      </c>
      <c r="G1264" s="3" t="inlineStr">
        <is>
          <t>STOEGER</t>
        </is>
      </c>
      <c r="H1264" s="65" t="inlineStr">
        <is>
          <t>STO XM1 FULL BLP SYNTH</t>
        </is>
      </c>
      <c r="I1264" s="65" t="inlineStr">
        <is>
          <t>SAG222314BP</t>
        </is>
      </c>
      <c r="J1264" s="65" t="inlineStr">
        <is>
          <t>N/D</t>
        </is>
      </c>
      <c r="K1264" s="65" t="inlineStr">
        <is>
          <t>N/D</t>
        </is>
      </c>
      <c r="L1264" s="127" t="inlineStr">
        <is>
          <t>BENELLI ARMI SPA</t>
        </is>
      </c>
      <c r="M1264" s="5" t="n">
        <v>261</v>
      </c>
      <c r="N1264" s="5" t="n"/>
      <c r="O1264" s="5">
        <f>+M1264+N1264</f>
        <v/>
      </c>
      <c r="P1264" s="4" t="n">
        <v>45752</v>
      </c>
      <c r="Q1264" s="87" t="n">
        <v>45741</v>
      </c>
      <c r="R1264" s="5" t="n">
        <v>300</v>
      </c>
      <c r="S1264" s="2" t="n">
        <v>1</v>
      </c>
      <c r="T1264" s="3" t="inlineStr">
        <is>
          <t>6B/2025/2S</t>
        </is>
      </c>
      <c r="U1264" s="86" t="n">
        <v>45771</v>
      </c>
      <c r="V1264" s="3" t="inlineStr">
        <is>
          <t>7</t>
        </is>
      </c>
      <c r="W1264" s="111" t="n">
        <v>45771</v>
      </c>
      <c r="X1264" s="134" t="inlineStr">
        <is>
          <t xml:space="preserve">BIN HUMAID NATIONAL TRAD. CO. </t>
        </is>
      </c>
    </row>
    <row r="1265" ht="24" customHeight="1">
      <c r="A1265" s="2">
        <f>+D1265-S1265</f>
        <v/>
      </c>
      <c r="B1265" s="80" t="n">
        <v>2924</v>
      </c>
      <c r="C1265" s="66" t="n">
        <v>45755</v>
      </c>
      <c r="D1265" s="2" t="n">
        <v>1</v>
      </c>
      <c r="E1265" s="3" t="inlineStr">
        <is>
          <t>CARABINA AD ARIA COMPRESSA</t>
        </is>
      </c>
      <c r="F1265" s="3" t="inlineStr">
        <is>
          <t>6.35</t>
        </is>
      </c>
      <c r="G1265" s="3" t="inlineStr">
        <is>
          <t>STOEGER</t>
        </is>
      </c>
      <c r="H1265" s="65" t="inlineStr">
        <is>
          <t>STO XM1 FULL BLP SYNTH</t>
        </is>
      </c>
      <c r="I1265" s="65" t="inlineStr">
        <is>
          <t>SAG222319BP</t>
        </is>
      </c>
      <c r="J1265" s="65" t="inlineStr">
        <is>
          <t>N/D</t>
        </is>
      </c>
      <c r="K1265" s="65" t="inlineStr">
        <is>
          <t>N/D</t>
        </is>
      </c>
      <c r="L1265" s="127" t="inlineStr">
        <is>
          <t>BENELLI ARMI SPA</t>
        </is>
      </c>
      <c r="M1265" s="5" t="n">
        <v>261</v>
      </c>
      <c r="N1265" s="5" t="n"/>
      <c r="O1265" s="5">
        <f>+M1265+N1265</f>
        <v/>
      </c>
      <c r="P1265" s="4" t="n">
        <v>45752</v>
      </c>
      <c r="Q1265" s="87" t="n">
        <v>45741</v>
      </c>
      <c r="R1265" s="5" t="n">
        <v>300</v>
      </c>
      <c r="S1265" s="2" t="n">
        <v>1</v>
      </c>
      <c r="T1265" s="3" t="inlineStr">
        <is>
          <t>6B/2025/2S</t>
        </is>
      </c>
      <c r="U1265" s="86" t="n">
        <v>45771</v>
      </c>
      <c r="V1265" s="3" t="inlineStr">
        <is>
          <t>7</t>
        </is>
      </c>
      <c r="W1265" s="111" t="n">
        <v>45771</v>
      </c>
      <c r="X1265" s="134" t="inlineStr">
        <is>
          <t xml:space="preserve">BIN HUMAID NATIONAL TRAD. CO. </t>
        </is>
      </c>
    </row>
    <row r="1266" ht="24" customHeight="1">
      <c r="A1266" s="2">
        <f>+D1266-S1266</f>
        <v/>
      </c>
      <c r="B1266" s="80" t="n">
        <v>2925</v>
      </c>
      <c r="C1266" s="66" t="n">
        <v>45755</v>
      </c>
      <c r="D1266" s="2" t="n">
        <v>1</v>
      </c>
      <c r="E1266" s="3" t="inlineStr">
        <is>
          <t>CARABINA AD ARIA COMPRESSA</t>
        </is>
      </c>
      <c r="F1266" s="3" t="inlineStr">
        <is>
          <t>6.35</t>
        </is>
      </c>
      <c r="G1266" s="3" t="inlineStr">
        <is>
          <t>STOEGER</t>
        </is>
      </c>
      <c r="H1266" s="65" t="inlineStr">
        <is>
          <t>STO XM1 FULL BLP SYNTH</t>
        </is>
      </c>
      <c r="I1266" s="65" t="inlineStr">
        <is>
          <t>SAG222320BP</t>
        </is>
      </c>
      <c r="J1266" s="65" t="inlineStr">
        <is>
          <t>N/D</t>
        </is>
      </c>
      <c r="K1266" s="65" t="inlineStr">
        <is>
          <t>N/D</t>
        </is>
      </c>
      <c r="L1266" s="127" t="inlineStr">
        <is>
          <t>BENELLI ARMI SPA</t>
        </is>
      </c>
      <c r="M1266" s="5" t="n">
        <v>261</v>
      </c>
      <c r="N1266" s="5" t="n"/>
      <c r="O1266" s="5">
        <f>+M1266+N1266</f>
        <v/>
      </c>
      <c r="P1266" s="4" t="n">
        <v>45752</v>
      </c>
      <c r="Q1266" s="87" t="n">
        <v>45741</v>
      </c>
      <c r="R1266" s="5" t="n">
        <v>300</v>
      </c>
      <c r="S1266" s="2" t="n">
        <v>1</v>
      </c>
      <c r="T1266" s="3" t="inlineStr">
        <is>
          <t>6B/2025/2S</t>
        </is>
      </c>
      <c r="U1266" s="86" t="n">
        <v>45771</v>
      </c>
      <c r="V1266" s="3" t="inlineStr">
        <is>
          <t>7</t>
        </is>
      </c>
      <c r="W1266" s="111" t="n">
        <v>45771</v>
      </c>
      <c r="X1266" s="134" t="inlineStr">
        <is>
          <t xml:space="preserve">BIN HUMAID NATIONAL TRAD. CO. </t>
        </is>
      </c>
    </row>
    <row r="1267" ht="24" customHeight="1">
      <c r="A1267" s="2">
        <f>+D1267-S1267</f>
        <v/>
      </c>
      <c r="B1267" s="80" t="n">
        <v>2926</v>
      </c>
      <c r="C1267" s="66" t="n">
        <v>45755</v>
      </c>
      <c r="D1267" s="2" t="n">
        <v>1</v>
      </c>
      <c r="E1267" s="3" t="inlineStr">
        <is>
          <t>CARABINA AD ARIA COMPRESSA</t>
        </is>
      </c>
      <c r="F1267" s="3" t="inlineStr">
        <is>
          <t>6.35</t>
        </is>
      </c>
      <c r="G1267" s="3" t="inlineStr">
        <is>
          <t>STOEGER</t>
        </is>
      </c>
      <c r="H1267" s="65" t="inlineStr">
        <is>
          <t>STO XM1 FULL BLP SYNTH</t>
        </is>
      </c>
      <c r="I1267" s="65" t="inlineStr">
        <is>
          <t>SAG222323BP</t>
        </is>
      </c>
      <c r="J1267" s="65" t="inlineStr">
        <is>
          <t>N/D</t>
        </is>
      </c>
      <c r="K1267" s="65" t="inlineStr">
        <is>
          <t>N/D</t>
        </is>
      </c>
      <c r="L1267" s="127" t="inlineStr">
        <is>
          <t>BENELLI ARMI SPA</t>
        </is>
      </c>
      <c r="M1267" s="5" t="n">
        <v>261</v>
      </c>
      <c r="N1267" s="5" t="n"/>
      <c r="O1267" s="5">
        <f>+M1267+N1267</f>
        <v/>
      </c>
      <c r="P1267" s="4" t="n">
        <v>45752</v>
      </c>
      <c r="Q1267" s="87" t="n">
        <v>45741</v>
      </c>
      <c r="R1267" s="5" t="n">
        <v>300</v>
      </c>
      <c r="S1267" s="2" t="n">
        <v>1</v>
      </c>
      <c r="T1267" s="3" t="inlineStr">
        <is>
          <t>6B/2025/2S</t>
        </is>
      </c>
      <c r="U1267" s="86" t="n">
        <v>45771</v>
      </c>
      <c r="V1267" s="3" t="inlineStr">
        <is>
          <t>7</t>
        </is>
      </c>
      <c r="W1267" s="111" t="n">
        <v>45771</v>
      </c>
      <c r="X1267" s="134" t="inlineStr">
        <is>
          <t xml:space="preserve">BIN HUMAID NATIONAL TRAD. CO. </t>
        </is>
      </c>
    </row>
    <row r="1268" ht="24" customHeight="1">
      <c r="A1268" s="2">
        <f>+D1268-S1268</f>
        <v/>
      </c>
      <c r="B1268" s="80" t="n">
        <v>2927</v>
      </c>
      <c r="C1268" s="66" t="n">
        <v>45755</v>
      </c>
      <c r="D1268" s="2" t="n">
        <v>1</v>
      </c>
      <c r="E1268" s="3" t="inlineStr">
        <is>
          <t>CARABINA AD ARIA COMPRESSA</t>
        </is>
      </c>
      <c r="F1268" s="3" t="inlineStr">
        <is>
          <t>6.35</t>
        </is>
      </c>
      <c r="G1268" s="3" t="inlineStr">
        <is>
          <t>STOEGER</t>
        </is>
      </c>
      <c r="H1268" s="65" t="inlineStr">
        <is>
          <t>STO XM1 FULL BLP SYNTH</t>
        </is>
      </c>
      <c r="I1268" s="65" t="inlineStr">
        <is>
          <t>SAG222324BP</t>
        </is>
      </c>
      <c r="J1268" s="65" t="inlineStr">
        <is>
          <t>N/D</t>
        </is>
      </c>
      <c r="K1268" s="65" t="inlineStr">
        <is>
          <t>N/D</t>
        </is>
      </c>
      <c r="L1268" s="127" t="inlineStr">
        <is>
          <t>BENELLI ARMI SPA</t>
        </is>
      </c>
      <c r="M1268" s="5" t="n">
        <v>261</v>
      </c>
      <c r="N1268" s="5" t="n"/>
      <c r="O1268" s="5">
        <f>+M1268+N1268</f>
        <v/>
      </c>
      <c r="P1268" s="4" t="n">
        <v>45752</v>
      </c>
      <c r="Q1268" s="87" t="n">
        <v>45741</v>
      </c>
      <c r="R1268" s="5" t="n">
        <v>300</v>
      </c>
      <c r="S1268" s="2" t="n">
        <v>1</v>
      </c>
      <c r="T1268" s="3" t="inlineStr">
        <is>
          <t>6B/2025/2S</t>
        </is>
      </c>
      <c r="U1268" s="86" t="n">
        <v>45771</v>
      </c>
      <c r="V1268" s="3" t="inlineStr">
        <is>
          <t>7</t>
        </is>
      </c>
      <c r="W1268" s="111" t="n">
        <v>45771</v>
      </c>
      <c r="X1268" s="134" t="inlineStr">
        <is>
          <t xml:space="preserve">BIN HUMAID NATIONAL TRAD. CO. </t>
        </is>
      </c>
    </row>
    <row r="1269" ht="24" customHeight="1">
      <c r="A1269" s="2">
        <f>+D1269-S1269</f>
        <v/>
      </c>
      <c r="B1269" s="80" t="n">
        <v>2928</v>
      </c>
      <c r="C1269" s="66" t="n">
        <v>45755</v>
      </c>
      <c r="D1269" s="2" t="n">
        <v>1</v>
      </c>
      <c r="E1269" s="3" t="inlineStr">
        <is>
          <t>CARABINA AD ARIA COMPRESSA</t>
        </is>
      </c>
      <c r="F1269" s="3" t="inlineStr">
        <is>
          <t>6.35</t>
        </is>
      </c>
      <c r="G1269" s="3" t="inlineStr">
        <is>
          <t>STOEGER</t>
        </is>
      </c>
      <c r="H1269" s="65" t="inlineStr">
        <is>
          <t>STO XM1 FULL BLP SYNTH</t>
        </is>
      </c>
      <c r="I1269" s="65" t="inlineStr">
        <is>
          <t>SAG222327BP</t>
        </is>
      </c>
      <c r="J1269" s="65" t="inlineStr">
        <is>
          <t>N/D</t>
        </is>
      </c>
      <c r="K1269" s="65" t="inlineStr">
        <is>
          <t>N/D</t>
        </is>
      </c>
      <c r="L1269" s="127" t="inlineStr">
        <is>
          <t>BENELLI ARMI SPA</t>
        </is>
      </c>
      <c r="M1269" s="5" t="n">
        <v>261</v>
      </c>
      <c r="N1269" s="5" t="n"/>
      <c r="O1269" s="5">
        <f>+M1269+N1269</f>
        <v/>
      </c>
      <c r="P1269" s="4" t="n">
        <v>45752</v>
      </c>
      <c r="Q1269" s="87" t="n">
        <v>45741</v>
      </c>
      <c r="R1269" s="5" t="n">
        <v>300</v>
      </c>
      <c r="S1269" s="2" t="n">
        <v>1</v>
      </c>
      <c r="T1269" s="3" t="inlineStr">
        <is>
          <t>6B/2025/2S</t>
        </is>
      </c>
      <c r="U1269" s="86" t="n">
        <v>45771</v>
      </c>
      <c r="V1269" s="3" t="inlineStr">
        <is>
          <t>7</t>
        </is>
      </c>
      <c r="W1269" s="111" t="n">
        <v>45771</v>
      </c>
      <c r="X1269" s="134" t="inlineStr">
        <is>
          <t xml:space="preserve">BIN HUMAID NATIONAL TRAD. CO. </t>
        </is>
      </c>
    </row>
    <row r="1270" ht="24" customHeight="1">
      <c r="A1270" s="2">
        <f>+D1270-S1270</f>
        <v/>
      </c>
      <c r="B1270" s="80" t="n">
        <v>2929</v>
      </c>
      <c r="C1270" s="66" t="n">
        <v>45755</v>
      </c>
      <c r="D1270" s="2" t="n">
        <v>1</v>
      </c>
      <c r="E1270" s="3" t="inlineStr">
        <is>
          <t>CARABINA AD ARIA COMPRESSA</t>
        </is>
      </c>
      <c r="F1270" s="3" t="inlineStr">
        <is>
          <t>6.35</t>
        </is>
      </c>
      <c r="G1270" s="3" t="inlineStr">
        <is>
          <t>STOEGER</t>
        </is>
      </c>
      <c r="H1270" s="65" t="inlineStr">
        <is>
          <t>STO XM1 FULL BLP SYNTH</t>
        </is>
      </c>
      <c r="I1270" s="65" t="inlineStr">
        <is>
          <t>SAG222328BP</t>
        </is>
      </c>
      <c r="J1270" s="65" t="inlineStr">
        <is>
          <t>N/D</t>
        </is>
      </c>
      <c r="K1270" s="65" t="inlineStr">
        <is>
          <t>N/D</t>
        </is>
      </c>
      <c r="L1270" s="127" t="inlineStr">
        <is>
          <t>BENELLI ARMI SPA</t>
        </is>
      </c>
      <c r="M1270" s="5" t="n">
        <v>261</v>
      </c>
      <c r="N1270" s="5" t="n"/>
      <c r="O1270" s="5">
        <f>+M1270+N1270</f>
        <v/>
      </c>
      <c r="P1270" s="4" t="n">
        <v>45752</v>
      </c>
      <c r="Q1270" s="87" t="n">
        <v>45741</v>
      </c>
      <c r="R1270" s="5" t="n">
        <v>300</v>
      </c>
      <c r="S1270" s="2" t="n">
        <v>1</v>
      </c>
      <c r="T1270" s="3" t="inlineStr">
        <is>
          <t>6B/2025/2S</t>
        </is>
      </c>
      <c r="U1270" s="86" t="n">
        <v>45771</v>
      </c>
      <c r="V1270" s="3" t="inlineStr">
        <is>
          <t>7</t>
        </is>
      </c>
      <c r="W1270" s="111" t="n">
        <v>45771</v>
      </c>
      <c r="X1270" s="134" t="inlineStr">
        <is>
          <t xml:space="preserve">BIN HUMAID NATIONAL TRAD. CO. </t>
        </is>
      </c>
    </row>
    <row r="1271" ht="24" customHeight="1">
      <c r="A1271" s="2">
        <f>+D1271-S1271</f>
        <v/>
      </c>
      <c r="B1271" s="80" t="n">
        <v>2930</v>
      </c>
      <c r="C1271" s="66" t="n">
        <v>45755</v>
      </c>
      <c r="D1271" s="2" t="n">
        <v>1</v>
      </c>
      <c r="E1271" s="3" t="inlineStr">
        <is>
          <t>CARABINA AD ARIA COMPRESSA</t>
        </is>
      </c>
      <c r="F1271" s="3" t="inlineStr">
        <is>
          <t>6.35</t>
        </is>
      </c>
      <c r="G1271" s="3" t="inlineStr">
        <is>
          <t>STOEGER</t>
        </is>
      </c>
      <c r="H1271" s="65" t="inlineStr">
        <is>
          <t>STO XM1 FULL BLP SYNTH</t>
        </is>
      </c>
      <c r="I1271" s="65" t="inlineStr">
        <is>
          <t>SAG222329BP</t>
        </is>
      </c>
      <c r="J1271" s="65" t="inlineStr">
        <is>
          <t>N/D</t>
        </is>
      </c>
      <c r="K1271" s="65" t="inlineStr">
        <is>
          <t>N/D</t>
        </is>
      </c>
      <c r="L1271" s="127" t="inlineStr">
        <is>
          <t>BENELLI ARMI SPA</t>
        </is>
      </c>
      <c r="M1271" s="5" t="n">
        <v>261</v>
      </c>
      <c r="N1271" s="5" t="n"/>
      <c r="O1271" s="5">
        <f>+M1271+N1271</f>
        <v/>
      </c>
      <c r="P1271" s="4" t="n">
        <v>45752</v>
      </c>
      <c r="Q1271" s="87" t="n">
        <v>45741</v>
      </c>
      <c r="R1271" s="5" t="n">
        <v>300</v>
      </c>
      <c r="S1271" s="2" t="n">
        <v>1</v>
      </c>
      <c r="T1271" s="3" t="inlineStr">
        <is>
          <t>6B/2025/2S</t>
        </is>
      </c>
      <c r="U1271" s="86" t="n">
        <v>45771</v>
      </c>
      <c r="V1271" s="3" t="inlineStr">
        <is>
          <t>7</t>
        </is>
      </c>
      <c r="W1271" s="111" t="n">
        <v>45771</v>
      </c>
      <c r="X1271" s="134" t="inlineStr">
        <is>
          <t xml:space="preserve">BIN HUMAID NATIONAL TRAD. CO. </t>
        </is>
      </c>
    </row>
    <row r="1272" ht="24" customHeight="1">
      <c r="A1272" s="2">
        <f>+D1272-S1272</f>
        <v/>
      </c>
      <c r="B1272" s="80" t="n">
        <v>2931</v>
      </c>
      <c r="C1272" s="66" t="n">
        <v>45755</v>
      </c>
      <c r="D1272" s="2" t="n">
        <v>1</v>
      </c>
      <c r="E1272" s="3" t="inlineStr">
        <is>
          <t>CARABINA AD ARIA COMPRESSA</t>
        </is>
      </c>
      <c r="F1272" s="3" t="inlineStr">
        <is>
          <t>6.35</t>
        </is>
      </c>
      <c r="G1272" s="3" t="inlineStr">
        <is>
          <t>STOEGER</t>
        </is>
      </c>
      <c r="H1272" s="65" t="inlineStr">
        <is>
          <t>STO XM1 FULL BLP SYNTH</t>
        </is>
      </c>
      <c r="I1272" s="65" t="inlineStr">
        <is>
          <t>SAG222330BP</t>
        </is>
      </c>
      <c r="J1272" s="65" t="inlineStr">
        <is>
          <t>N/D</t>
        </is>
      </c>
      <c r="K1272" s="65" t="inlineStr">
        <is>
          <t>N/D</t>
        </is>
      </c>
      <c r="L1272" s="127" t="inlineStr">
        <is>
          <t>BENELLI ARMI SPA</t>
        </is>
      </c>
      <c r="M1272" s="5" t="n">
        <v>261</v>
      </c>
      <c r="N1272" s="5" t="n"/>
      <c r="O1272" s="5">
        <f>+M1272+N1272</f>
        <v/>
      </c>
      <c r="P1272" s="4" t="n">
        <v>45752</v>
      </c>
      <c r="Q1272" s="87" t="n">
        <v>45741</v>
      </c>
      <c r="R1272" s="5" t="n">
        <v>300</v>
      </c>
      <c r="S1272" s="2" t="n">
        <v>1</v>
      </c>
      <c r="T1272" s="3" t="inlineStr">
        <is>
          <t>6B/2025/2S</t>
        </is>
      </c>
      <c r="U1272" s="86" t="n">
        <v>45771</v>
      </c>
      <c r="V1272" s="3" t="inlineStr">
        <is>
          <t>7</t>
        </is>
      </c>
      <c r="W1272" s="111" t="n">
        <v>45771</v>
      </c>
      <c r="X1272" s="134" t="inlineStr">
        <is>
          <t xml:space="preserve">BIN HUMAID NATIONAL TRAD. CO. </t>
        </is>
      </c>
    </row>
    <row r="1273" ht="24" customHeight="1">
      <c r="A1273" s="2">
        <f>+D1273-S1273</f>
        <v/>
      </c>
      <c r="B1273" s="80" t="n">
        <v>2932</v>
      </c>
      <c r="C1273" s="66" t="n">
        <v>45755</v>
      </c>
      <c r="D1273" s="2" t="n">
        <v>1</v>
      </c>
      <c r="E1273" s="3" t="inlineStr">
        <is>
          <t>CARABINA AD ARIA COMPRESSA</t>
        </is>
      </c>
      <c r="F1273" s="3" t="inlineStr">
        <is>
          <t>6.35</t>
        </is>
      </c>
      <c r="G1273" s="3" t="inlineStr">
        <is>
          <t>STOEGER</t>
        </is>
      </c>
      <c r="H1273" s="65" t="inlineStr">
        <is>
          <t>STO XM1 FULL BLP SYNTH</t>
        </is>
      </c>
      <c r="I1273" s="65" t="inlineStr">
        <is>
          <t>SAG222331BP</t>
        </is>
      </c>
      <c r="J1273" s="65" t="inlineStr">
        <is>
          <t>N/D</t>
        </is>
      </c>
      <c r="K1273" s="65" t="inlineStr">
        <is>
          <t>N/D</t>
        </is>
      </c>
      <c r="L1273" s="127" t="inlineStr">
        <is>
          <t>BENELLI ARMI SPA</t>
        </is>
      </c>
      <c r="M1273" s="5" t="n">
        <v>261</v>
      </c>
      <c r="N1273" s="5" t="n"/>
      <c r="O1273" s="5">
        <f>+M1273+N1273</f>
        <v/>
      </c>
      <c r="P1273" s="4" t="n">
        <v>45752</v>
      </c>
      <c r="Q1273" s="87" t="n">
        <v>45741</v>
      </c>
      <c r="R1273" s="5" t="n">
        <v>300</v>
      </c>
      <c r="S1273" s="2" t="n">
        <v>1</v>
      </c>
      <c r="T1273" s="3" t="inlineStr">
        <is>
          <t>6B/2025/2S</t>
        </is>
      </c>
      <c r="U1273" s="86" t="n">
        <v>45771</v>
      </c>
      <c r="V1273" s="3" t="inlineStr">
        <is>
          <t>7</t>
        </is>
      </c>
      <c r="W1273" s="111" t="n">
        <v>45771</v>
      </c>
      <c r="X1273" s="134" t="inlineStr">
        <is>
          <t xml:space="preserve">BIN HUMAID NATIONAL TRAD. CO. </t>
        </is>
      </c>
    </row>
    <row r="1274" ht="24" customHeight="1">
      <c r="A1274" s="2">
        <f>+D1274-S1274</f>
        <v/>
      </c>
      <c r="B1274" s="80" t="n">
        <v>2933</v>
      </c>
      <c r="C1274" s="66" t="n">
        <v>45755</v>
      </c>
      <c r="D1274" s="2" t="n">
        <v>1</v>
      </c>
      <c r="E1274" s="3" t="inlineStr">
        <is>
          <t>CARABINA AD ARIA COMPRESSA</t>
        </is>
      </c>
      <c r="F1274" s="3" t="inlineStr">
        <is>
          <t>6.35</t>
        </is>
      </c>
      <c r="G1274" s="3" t="inlineStr">
        <is>
          <t>STOEGER</t>
        </is>
      </c>
      <c r="H1274" s="65" t="inlineStr">
        <is>
          <t>STO XM1 FULL BLP SYNTH</t>
        </is>
      </c>
      <c r="I1274" s="65" t="inlineStr">
        <is>
          <t>SAG222332BP</t>
        </is>
      </c>
      <c r="J1274" s="65" t="inlineStr">
        <is>
          <t>N/D</t>
        </is>
      </c>
      <c r="K1274" s="65" t="inlineStr">
        <is>
          <t>N/D</t>
        </is>
      </c>
      <c r="L1274" s="127" t="inlineStr">
        <is>
          <t>BENELLI ARMI SPA</t>
        </is>
      </c>
      <c r="M1274" s="5" t="n">
        <v>261</v>
      </c>
      <c r="N1274" s="5" t="n"/>
      <c r="O1274" s="5">
        <f>+M1274+N1274</f>
        <v/>
      </c>
      <c r="P1274" s="4" t="n">
        <v>45752</v>
      </c>
      <c r="Q1274" s="87" t="n">
        <v>45741</v>
      </c>
      <c r="R1274" s="5" t="n">
        <v>300</v>
      </c>
      <c r="S1274" s="2" t="n">
        <v>1</v>
      </c>
      <c r="T1274" s="3" t="inlineStr">
        <is>
          <t>6B/2025/2S</t>
        </is>
      </c>
      <c r="U1274" s="86" t="n">
        <v>45771</v>
      </c>
      <c r="V1274" s="3" t="inlineStr">
        <is>
          <t>7</t>
        </is>
      </c>
      <c r="W1274" s="111" t="n">
        <v>45771</v>
      </c>
      <c r="X1274" s="134" t="inlineStr">
        <is>
          <t xml:space="preserve">BIN HUMAID NATIONAL TRAD. CO. </t>
        </is>
      </c>
    </row>
    <row r="1275" ht="24" customHeight="1">
      <c r="A1275" s="2">
        <f>+D1275-S1275</f>
        <v/>
      </c>
      <c r="B1275" s="80" t="n">
        <v>2934</v>
      </c>
      <c r="C1275" s="66" t="n">
        <v>45755</v>
      </c>
      <c r="D1275" s="2" t="n">
        <v>1</v>
      </c>
      <c r="E1275" s="3" t="inlineStr">
        <is>
          <t>CARABINA AD ARIA COMPRESSA</t>
        </is>
      </c>
      <c r="F1275" s="3" t="inlineStr">
        <is>
          <t>6.35</t>
        </is>
      </c>
      <c r="G1275" s="3" t="inlineStr">
        <is>
          <t>STOEGER</t>
        </is>
      </c>
      <c r="H1275" s="65" t="inlineStr">
        <is>
          <t>STO XM1 FULL BLP SYNTH</t>
        </is>
      </c>
      <c r="I1275" s="65" t="inlineStr">
        <is>
          <t>SAG222337BP</t>
        </is>
      </c>
      <c r="J1275" s="65" t="inlineStr">
        <is>
          <t>N/D</t>
        </is>
      </c>
      <c r="K1275" s="65" t="inlineStr">
        <is>
          <t>N/D</t>
        </is>
      </c>
      <c r="L1275" s="127" t="inlineStr">
        <is>
          <t>BENELLI ARMI SPA</t>
        </is>
      </c>
      <c r="M1275" s="5" t="n">
        <v>261</v>
      </c>
      <c r="N1275" s="5" t="n"/>
      <c r="O1275" s="5">
        <f>+M1275+N1275</f>
        <v/>
      </c>
      <c r="P1275" s="4" t="n">
        <v>45752</v>
      </c>
      <c r="Q1275" s="87" t="n">
        <v>45741</v>
      </c>
      <c r="R1275" s="5" t="n">
        <v>300</v>
      </c>
      <c r="S1275" s="2" t="n">
        <v>1</v>
      </c>
      <c r="T1275" s="3" t="inlineStr">
        <is>
          <t>6B/2025/2S</t>
        </is>
      </c>
      <c r="U1275" s="86" t="n">
        <v>45771</v>
      </c>
      <c r="V1275" s="3" t="inlineStr">
        <is>
          <t>7</t>
        </is>
      </c>
      <c r="W1275" s="111" t="n">
        <v>45771</v>
      </c>
      <c r="X1275" s="134" t="inlineStr">
        <is>
          <t xml:space="preserve">BIN HUMAID NATIONAL TRAD. CO. </t>
        </is>
      </c>
    </row>
    <row r="1276" ht="24" customHeight="1">
      <c r="A1276" s="2">
        <f>+D1276-S1276</f>
        <v/>
      </c>
      <c r="B1276" s="80" t="n">
        <v>2935</v>
      </c>
      <c r="C1276" s="66" t="n">
        <v>45755</v>
      </c>
      <c r="D1276" s="2" t="n">
        <v>1</v>
      </c>
      <c r="E1276" s="3" t="inlineStr">
        <is>
          <t>CARABINA AD ARIA COMPRESSA</t>
        </is>
      </c>
      <c r="F1276" s="3" t="inlineStr">
        <is>
          <t>6.35</t>
        </is>
      </c>
      <c r="G1276" s="3" t="inlineStr">
        <is>
          <t>STOEGER</t>
        </is>
      </c>
      <c r="H1276" s="65" t="inlineStr">
        <is>
          <t>STO XM1 FULL BLP SYNTH</t>
        </is>
      </c>
      <c r="I1276" s="65" t="inlineStr">
        <is>
          <t>SAG222338BP</t>
        </is>
      </c>
      <c r="J1276" s="65" t="inlineStr">
        <is>
          <t>N/D</t>
        </is>
      </c>
      <c r="K1276" s="65" t="inlineStr">
        <is>
          <t>N/D</t>
        </is>
      </c>
      <c r="L1276" s="127" t="inlineStr">
        <is>
          <t>BENELLI ARMI SPA</t>
        </is>
      </c>
      <c r="M1276" s="5" t="n">
        <v>261</v>
      </c>
      <c r="N1276" s="5" t="n"/>
      <c r="O1276" s="5">
        <f>+M1276+N1276</f>
        <v/>
      </c>
      <c r="P1276" s="4" t="n">
        <v>45752</v>
      </c>
      <c r="Q1276" s="87" t="n">
        <v>45741</v>
      </c>
      <c r="R1276" s="5" t="n">
        <v>300</v>
      </c>
      <c r="S1276" s="2" t="n">
        <v>1</v>
      </c>
      <c r="T1276" s="3" t="inlineStr">
        <is>
          <t>6B/2025/2S</t>
        </is>
      </c>
      <c r="U1276" s="86" t="n">
        <v>45771</v>
      </c>
      <c r="V1276" s="3" t="inlineStr">
        <is>
          <t>7</t>
        </is>
      </c>
      <c r="W1276" s="111" t="n">
        <v>45771</v>
      </c>
      <c r="X1276" s="134" t="inlineStr">
        <is>
          <t xml:space="preserve">BIN HUMAID NATIONAL TRAD. CO. </t>
        </is>
      </c>
    </row>
    <row r="1277" ht="24" customHeight="1">
      <c r="A1277" s="2">
        <f>+D1277-S1277</f>
        <v/>
      </c>
      <c r="B1277" s="80" t="n">
        <v>2936</v>
      </c>
      <c r="C1277" s="66" t="n">
        <v>45755</v>
      </c>
      <c r="D1277" s="2" t="n">
        <v>1</v>
      </c>
      <c r="E1277" s="3" t="inlineStr">
        <is>
          <t>CARABINA AD ARIA COMPRESSA</t>
        </is>
      </c>
      <c r="F1277" s="3" t="inlineStr">
        <is>
          <t>6.35</t>
        </is>
      </c>
      <c r="G1277" s="3" t="inlineStr">
        <is>
          <t>STOEGER</t>
        </is>
      </c>
      <c r="H1277" s="65" t="inlineStr">
        <is>
          <t>STO XM1 FULL BLP SYNTH</t>
        </is>
      </c>
      <c r="I1277" s="65" t="inlineStr">
        <is>
          <t>SAG222349BP</t>
        </is>
      </c>
      <c r="J1277" s="65" t="inlineStr">
        <is>
          <t>N/D</t>
        </is>
      </c>
      <c r="K1277" s="65" t="inlineStr">
        <is>
          <t>N/D</t>
        </is>
      </c>
      <c r="L1277" s="127" t="inlineStr">
        <is>
          <t>BENELLI ARMI SPA</t>
        </is>
      </c>
      <c r="M1277" s="5" t="n">
        <v>261</v>
      </c>
      <c r="N1277" s="5" t="n"/>
      <c r="O1277" s="5">
        <f>+M1277+N1277</f>
        <v/>
      </c>
      <c r="P1277" s="4" t="n">
        <v>45752</v>
      </c>
      <c r="Q1277" s="87" t="n">
        <v>45741</v>
      </c>
      <c r="R1277" s="5" t="n">
        <v>300</v>
      </c>
      <c r="S1277" s="2" t="n">
        <v>1</v>
      </c>
      <c r="T1277" s="3" t="inlineStr">
        <is>
          <t>6B/2025/2S</t>
        </is>
      </c>
      <c r="U1277" s="86" t="n">
        <v>45771</v>
      </c>
      <c r="V1277" s="3" t="inlineStr">
        <is>
          <t>7</t>
        </is>
      </c>
      <c r="W1277" s="111" t="n">
        <v>45771</v>
      </c>
      <c r="X1277" s="134" t="inlineStr">
        <is>
          <t xml:space="preserve">BIN HUMAID NATIONAL TRAD. CO. </t>
        </is>
      </c>
    </row>
    <row r="1278" ht="24" customHeight="1">
      <c r="A1278" s="2">
        <f>+D1278-S1278</f>
        <v/>
      </c>
      <c r="B1278" s="80" t="n">
        <v>2937</v>
      </c>
      <c r="C1278" s="66" t="n">
        <v>45755</v>
      </c>
      <c r="D1278" s="2" t="n">
        <v>1</v>
      </c>
      <c r="E1278" s="3" t="inlineStr">
        <is>
          <t>CARABINA AD ARIA COMPRESSA</t>
        </is>
      </c>
      <c r="F1278" s="3" t="inlineStr">
        <is>
          <t>6.35</t>
        </is>
      </c>
      <c r="G1278" s="3" t="inlineStr">
        <is>
          <t>STOEGER</t>
        </is>
      </c>
      <c r="H1278" s="65" t="inlineStr">
        <is>
          <t>STO XM1 FULL BLP SYNTH</t>
        </is>
      </c>
      <c r="I1278" s="65" t="inlineStr">
        <is>
          <t>SAG222350BP</t>
        </is>
      </c>
      <c r="J1278" s="65" t="inlineStr">
        <is>
          <t>N/D</t>
        </is>
      </c>
      <c r="K1278" s="65" t="inlineStr">
        <is>
          <t>N/D</t>
        </is>
      </c>
      <c r="L1278" s="127" t="inlineStr">
        <is>
          <t>BENELLI ARMI SPA</t>
        </is>
      </c>
      <c r="M1278" s="5" t="n">
        <v>261</v>
      </c>
      <c r="N1278" s="5" t="n"/>
      <c r="O1278" s="5">
        <f>+M1278+N1278</f>
        <v/>
      </c>
      <c r="P1278" s="4" t="n">
        <v>45752</v>
      </c>
      <c r="Q1278" s="87" t="n">
        <v>45741</v>
      </c>
      <c r="R1278" s="5" t="n">
        <v>300</v>
      </c>
      <c r="S1278" s="2" t="n">
        <v>1</v>
      </c>
      <c r="T1278" s="3" t="inlineStr">
        <is>
          <t>6B/2025/2S</t>
        </is>
      </c>
      <c r="U1278" s="86" t="n">
        <v>45771</v>
      </c>
      <c r="V1278" s="3" t="inlineStr">
        <is>
          <t>7</t>
        </is>
      </c>
      <c r="W1278" s="111" t="n">
        <v>45771</v>
      </c>
      <c r="X1278" s="134" t="inlineStr">
        <is>
          <t xml:space="preserve">BIN HUMAID NATIONAL TRAD. CO. </t>
        </is>
      </c>
    </row>
    <row r="1279" ht="24" customHeight="1">
      <c r="A1279" s="2">
        <f>+D1279-S1279</f>
        <v/>
      </c>
      <c r="B1279" s="80" t="n">
        <v>2938</v>
      </c>
      <c r="C1279" s="66" t="n">
        <v>45755</v>
      </c>
      <c r="D1279" s="2" t="n">
        <v>1</v>
      </c>
      <c r="E1279" s="3" t="inlineStr">
        <is>
          <t>CARABINA AD ARIA COMPRESSA</t>
        </is>
      </c>
      <c r="F1279" s="3" t="inlineStr">
        <is>
          <t>4.5</t>
        </is>
      </c>
      <c r="G1279" s="3" t="inlineStr">
        <is>
          <t>STOEGER</t>
        </is>
      </c>
      <c r="H1279" s="65" t="inlineStr">
        <is>
          <t>STO RX20 TAC FULL 420 SYNTH CON OTT</t>
        </is>
      </c>
      <c r="I1279" s="65" t="inlineStr">
        <is>
          <t>STG21118293</t>
        </is>
      </c>
      <c r="J1279" s="65" t="inlineStr">
        <is>
          <t>N/D</t>
        </is>
      </c>
      <c r="K1279" s="65" t="inlineStr">
        <is>
          <t>N/D</t>
        </is>
      </c>
      <c r="L1279" s="127" t="inlineStr">
        <is>
          <t>BENELLI ARMI SPA</t>
        </is>
      </c>
      <c r="M1279" s="5" t="n">
        <v>120</v>
      </c>
      <c r="N1279" s="5" t="n"/>
      <c r="O1279" s="5">
        <f>+M1279+N1279</f>
        <v/>
      </c>
      <c r="P1279" s="4" t="n">
        <v>45752</v>
      </c>
      <c r="Q1279" s="87" t="n">
        <v>45741</v>
      </c>
      <c r="R1279" s="5" t="n">
        <v>152.55</v>
      </c>
      <c r="S1279" s="2" t="n">
        <v>1</v>
      </c>
      <c r="T1279" s="3" t="inlineStr">
        <is>
          <t>6B/2025/2S</t>
        </is>
      </c>
      <c r="U1279" s="86" t="n">
        <v>45771</v>
      </c>
      <c r="V1279" s="3" t="inlineStr">
        <is>
          <t>7</t>
        </is>
      </c>
      <c r="W1279" s="111" t="n">
        <v>45771</v>
      </c>
      <c r="X1279" s="134" t="inlineStr">
        <is>
          <t xml:space="preserve">BIN HUMAID NATIONAL TRAD. CO. </t>
        </is>
      </c>
    </row>
    <row r="1280" ht="24" customHeight="1">
      <c r="A1280" s="2">
        <f>+D1280-S1280</f>
        <v/>
      </c>
      <c r="B1280" s="80" t="n">
        <v>2939</v>
      </c>
      <c r="C1280" s="66" t="n">
        <v>45755</v>
      </c>
      <c r="D1280" s="2" t="n">
        <v>1</v>
      </c>
      <c r="E1280" s="3" t="inlineStr">
        <is>
          <t>CARABINA AD ARIA COMPRESSA</t>
        </is>
      </c>
      <c r="F1280" s="3" t="inlineStr">
        <is>
          <t>4.5</t>
        </is>
      </c>
      <c r="G1280" s="3" t="inlineStr">
        <is>
          <t>STOEGER</t>
        </is>
      </c>
      <c r="H1280" s="65" t="inlineStr">
        <is>
          <t>STO RX20 TAC FULL 420 SYNTH CON OTT</t>
        </is>
      </c>
      <c r="I1280" s="65" t="inlineStr">
        <is>
          <t>STG21118294</t>
        </is>
      </c>
      <c r="J1280" s="65" t="inlineStr">
        <is>
          <t>N/D</t>
        </is>
      </c>
      <c r="K1280" s="65" t="inlineStr">
        <is>
          <t>N/D</t>
        </is>
      </c>
      <c r="L1280" s="127" t="inlineStr">
        <is>
          <t>BENELLI ARMI SPA</t>
        </is>
      </c>
      <c r="M1280" s="5" t="n">
        <v>120</v>
      </c>
      <c r="N1280" s="5" t="n"/>
      <c r="O1280" s="5">
        <f>+M1280+N1280</f>
        <v/>
      </c>
      <c r="P1280" s="4" t="n">
        <v>45752</v>
      </c>
      <c r="Q1280" s="87" t="n">
        <v>45741</v>
      </c>
      <c r="R1280" s="5" t="n">
        <v>152.55</v>
      </c>
      <c r="S1280" s="2" t="n">
        <v>1</v>
      </c>
      <c r="T1280" s="3" t="inlineStr">
        <is>
          <t>6B/2025/2S</t>
        </is>
      </c>
      <c r="U1280" s="86" t="n">
        <v>45771</v>
      </c>
      <c r="V1280" s="3" t="inlineStr">
        <is>
          <t>7</t>
        </is>
      </c>
      <c r="W1280" s="111" t="n">
        <v>45771</v>
      </c>
      <c r="X1280" s="134" t="inlineStr">
        <is>
          <t xml:space="preserve">BIN HUMAID NATIONAL TRAD. CO. </t>
        </is>
      </c>
    </row>
    <row r="1281" ht="24" customHeight="1">
      <c r="A1281" s="2">
        <f>+D1281-S1281</f>
        <v/>
      </c>
      <c r="B1281" s="80" t="n">
        <v>2940</v>
      </c>
      <c r="C1281" s="66" t="n">
        <v>45755</v>
      </c>
      <c r="D1281" s="2" t="n">
        <v>1</v>
      </c>
      <c r="E1281" s="3" t="inlineStr">
        <is>
          <t>CARABINA AD ARIA COMPRESSA</t>
        </is>
      </c>
      <c r="F1281" s="3" t="inlineStr">
        <is>
          <t>4.5</t>
        </is>
      </c>
      <c r="G1281" s="3" t="inlineStr">
        <is>
          <t>STOEGER</t>
        </is>
      </c>
      <c r="H1281" s="65" t="inlineStr">
        <is>
          <t>STO RX20 TAC FULL 420 SYNTH CON OTT</t>
        </is>
      </c>
      <c r="I1281" s="65" t="inlineStr">
        <is>
          <t>STG21118297</t>
        </is>
      </c>
      <c r="J1281" s="65" t="inlineStr">
        <is>
          <t>N/D</t>
        </is>
      </c>
      <c r="K1281" s="65" t="inlineStr">
        <is>
          <t>N/D</t>
        </is>
      </c>
      <c r="L1281" s="127" t="inlineStr">
        <is>
          <t>BENELLI ARMI SPA</t>
        </is>
      </c>
      <c r="M1281" s="5" t="n">
        <v>120</v>
      </c>
      <c r="N1281" s="5" t="n"/>
      <c r="O1281" s="5">
        <f>+M1281+N1281</f>
        <v/>
      </c>
      <c r="P1281" s="4" t="n">
        <v>45752</v>
      </c>
      <c r="Q1281" s="87" t="n">
        <v>45741</v>
      </c>
      <c r="R1281" s="5" t="n">
        <v>152.55</v>
      </c>
      <c r="S1281" s="2" t="n">
        <v>1</v>
      </c>
      <c r="T1281" s="3" t="inlineStr">
        <is>
          <t>6B/2025/2S</t>
        </is>
      </c>
      <c r="U1281" s="86" t="n">
        <v>45771</v>
      </c>
      <c r="V1281" s="3" t="inlineStr">
        <is>
          <t>7</t>
        </is>
      </c>
      <c r="W1281" s="111" t="n">
        <v>45771</v>
      </c>
      <c r="X1281" s="134" t="inlineStr">
        <is>
          <t xml:space="preserve">BIN HUMAID NATIONAL TRAD. CO. </t>
        </is>
      </c>
    </row>
    <row r="1282" ht="24" customHeight="1">
      <c r="A1282" s="2">
        <f>+D1282-S1282</f>
        <v/>
      </c>
      <c r="B1282" s="80" t="n">
        <v>2941</v>
      </c>
      <c r="C1282" s="66" t="n">
        <v>45755</v>
      </c>
      <c r="D1282" s="2" t="n">
        <v>1</v>
      </c>
      <c r="E1282" s="3" t="inlineStr">
        <is>
          <t>CARABINA AD ARIA COMPRESSA</t>
        </is>
      </c>
      <c r="F1282" s="3" t="inlineStr">
        <is>
          <t>4.5</t>
        </is>
      </c>
      <c r="G1282" s="3" t="inlineStr">
        <is>
          <t>STOEGER</t>
        </is>
      </c>
      <c r="H1282" s="65" t="inlineStr">
        <is>
          <t>STO RX20 TAC FULL 420 SYNTH CON OTT</t>
        </is>
      </c>
      <c r="I1282" s="65" t="inlineStr">
        <is>
          <t>STG21118298</t>
        </is>
      </c>
      <c r="J1282" s="65" t="inlineStr">
        <is>
          <t>N/D</t>
        </is>
      </c>
      <c r="K1282" s="65" t="inlineStr">
        <is>
          <t>N/D</t>
        </is>
      </c>
      <c r="L1282" s="127" t="inlineStr">
        <is>
          <t>BENELLI ARMI SPA</t>
        </is>
      </c>
      <c r="M1282" s="5" t="n">
        <v>120</v>
      </c>
      <c r="N1282" s="5" t="n"/>
      <c r="O1282" s="5">
        <f>+M1282+N1282</f>
        <v/>
      </c>
      <c r="P1282" s="4" t="n">
        <v>45752</v>
      </c>
      <c r="Q1282" s="87" t="n">
        <v>45741</v>
      </c>
      <c r="R1282" s="5" t="n">
        <v>152.55</v>
      </c>
      <c r="S1282" s="2" t="n">
        <v>1</v>
      </c>
      <c r="T1282" s="3" t="inlineStr">
        <is>
          <t>6B/2025/2S</t>
        </is>
      </c>
      <c r="U1282" s="86" t="n">
        <v>45771</v>
      </c>
      <c r="V1282" s="3" t="inlineStr">
        <is>
          <t>7</t>
        </is>
      </c>
      <c r="W1282" s="111" t="n">
        <v>45771</v>
      </c>
      <c r="X1282" s="134" t="inlineStr">
        <is>
          <t xml:space="preserve">BIN HUMAID NATIONAL TRAD. CO. </t>
        </is>
      </c>
    </row>
    <row r="1283" ht="24" customHeight="1">
      <c r="A1283" s="2">
        <f>+D1283-S1283</f>
        <v/>
      </c>
      <c r="B1283" s="80" t="n">
        <v>2942</v>
      </c>
      <c r="C1283" s="66" t="n">
        <v>45755</v>
      </c>
      <c r="D1283" s="2" t="n">
        <v>1</v>
      </c>
      <c r="E1283" s="3" t="inlineStr">
        <is>
          <t>CARABINA AD ARIA COMPRESSA</t>
        </is>
      </c>
      <c r="F1283" s="3" t="inlineStr">
        <is>
          <t>4.5</t>
        </is>
      </c>
      <c r="G1283" s="3" t="inlineStr">
        <is>
          <t>STOEGER</t>
        </is>
      </c>
      <c r="H1283" s="65" t="inlineStr">
        <is>
          <t>STO RX20 TAC FULL 420 SYNTH CON OTT</t>
        </is>
      </c>
      <c r="I1283" s="65" t="inlineStr">
        <is>
          <t>STG21118302</t>
        </is>
      </c>
      <c r="J1283" s="65" t="inlineStr">
        <is>
          <t>N/D</t>
        </is>
      </c>
      <c r="K1283" s="65" t="inlineStr">
        <is>
          <t>N/D</t>
        </is>
      </c>
      <c r="L1283" s="127" t="inlineStr">
        <is>
          <t>BENELLI ARMI SPA</t>
        </is>
      </c>
      <c r="M1283" s="5" t="n">
        <v>120</v>
      </c>
      <c r="N1283" s="5" t="n"/>
      <c r="O1283" s="5">
        <f>+M1283+N1283</f>
        <v/>
      </c>
      <c r="P1283" s="4" t="n">
        <v>45752</v>
      </c>
      <c r="Q1283" s="87" t="n">
        <v>45741</v>
      </c>
      <c r="R1283" s="5" t="n">
        <v>152.55</v>
      </c>
      <c r="S1283" s="2" t="n">
        <v>1</v>
      </c>
      <c r="T1283" s="3" t="inlineStr">
        <is>
          <t>6B/2025/2S</t>
        </is>
      </c>
      <c r="U1283" s="86" t="n">
        <v>45771</v>
      </c>
      <c r="V1283" s="3" t="inlineStr">
        <is>
          <t>7</t>
        </is>
      </c>
      <c r="W1283" s="111" t="n">
        <v>45771</v>
      </c>
      <c r="X1283" s="134" t="inlineStr">
        <is>
          <t xml:space="preserve">BIN HUMAID NATIONAL TRAD. CO. </t>
        </is>
      </c>
    </row>
    <row r="1284" ht="24" customHeight="1">
      <c r="A1284" s="2">
        <f>+D1284-S1284</f>
        <v/>
      </c>
      <c r="B1284" s="80" t="n">
        <v>2943</v>
      </c>
      <c r="C1284" s="66" t="n">
        <v>45755</v>
      </c>
      <c r="D1284" s="2" t="n">
        <v>1</v>
      </c>
      <c r="E1284" s="3" t="inlineStr">
        <is>
          <t>CARABINA AD ARIA COMPRESSA</t>
        </is>
      </c>
      <c r="F1284" s="3" t="inlineStr">
        <is>
          <t>4.5</t>
        </is>
      </c>
      <c r="G1284" s="3" t="inlineStr">
        <is>
          <t>STOEGER</t>
        </is>
      </c>
      <c r="H1284" s="65" t="inlineStr">
        <is>
          <t>STO RX20 TAC FULL 420 SYNTH CON OTT</t>
        </is>
      </c>
      <c r="I1284" s="65" t="inlineStr">
        <is>
          <t>STG21118304</t>
        </is>
      </c>
      <c r="J1284" s="65" t="inlineStr">
        <is>
          <t>N/D</t>
        </is>
      </c>
      <c r="K1284" s="65" t="inlineStr">
        <is>
          <t>N/D</t>
        </is>
      </c>
      <c r="L1284" s="127" t="inlineStr">
        <is>
          <t>BENELLI ARMI SPA</t>
        </is>
      </c>
      <c r="M1284" s="5" t="n">
        <v>120</v>
      </c>
      <c r="N1284" s="5" t="n"/>
      <c r="O1284" s="5">
        <f>+M1284+N1284</f>
        <v/>
      </c>
      <c r="P1284" s="4" t="n">
        <v>45752</v>
      </c>
      <c r="Q1284" s="87" t="n">
        <v>45741</v>
      </c>
      <c r="R1284" s="5" t="n">
        <v>152.55</v>
      </c>
      <c r="S1284" s="2" t="n">
        <v>1</v>
      </c>
      <c r="T1284" s="3" t="inlineStr">
        <is>
          <t>6B/2025/2S</t>
        </is>
      </c>
      <c r="U1284" s="86" t="n">
        <v>45771</v>
      </c>
      <c r="V1284" s="3" t="inlineStr">
        <is>
          <t>7</t>
        </is>
      </c>
      <c r="W1284" s="111" t="n">
        <v>45771</v>
      </c>
      <c r="X1284" s="134" t="inlineStr">
        <is>
          <t xml:space="preserve">BIN HUMAID NATIONAL TRAD. CO. </t>
        </is>
      </c>
    </row>
    <row r="1285" ht="24" customHeight="1">
      <c r="A1285" s="2">
        <f>+D1285-S1285</f>
        <v/>
      </c>
      <c r="B1285" s="80" t="n">
        <v>2944</v>
      </c>
      <c r="C1285" s="66" t="n">
        <v>45755</v>
      </c>
      <c r="D1285" s="2" t="n">
        <v>1</v>
      </c>
      <c r="E1285" s="3" t="inlineStr">
        <is>
          <t>CARABINA AD ARIA COMPRESSA</t>
        </is>
      </c>
      <c r="F1285" s="3" t="inlineStr">
        <is>
          <t>4.5</t>
        </is>
      </c>
      <c r="G1285" s="3" t="inlineStr">
        <is>
          <t>STOEGER</t>
        </is>
      </c>
      <c r="H1285" s="65" t="inlineStr">
        <is>
          <t>STO RX20 TAC FULL 420 SYNTH CON OTT</t>
        </is>
      </c>
      <c r="I1285" s="65" t="inlineStr">
        <is>
          <t>STG21118305</t>
        </is>
      </c>
      <c r="J1285" s="65" t="inlineStr">
        <is>
          <t>N/D</t>
        </is>
      </c>
      <c r="K1285" s="65" t="inlineStr">
        <is>
          <t>N/D</t>
        </is>
      </c>
      <c r="L1285" s="127" t="inlineStr">
        <is>
          <t>BENELLI ARMI SPA</t>
        </is>
      </c>
      <c r="M1285" s="5" t="n">
        <v>120</v>
      </c>
      <c r="N1285" s="5" t="n"/>
      <c r="O1285" s="5">
        <f>+M1285+N1285</f>
        <v/>
      </c>
      <c r="P1285" s="4" t="n">
        <v>45752</v>
      </c>
      <c r="Q1285" s="87" t="n">
        <v>45741</v>
      </c>
      <c r="R1285" s="5" t="n">
        <v>152.55</v>
      </c>
      <c r="S1285" s="2" t="n">
        <v>1</v>
      </c>
      <c r="T1285" s="3" t="inlineStr">
        <is>
          <t>6B/2025/2S</t>
        </is>
      </c>
      <c r="U1285" s="86" t="n">
        <v>45771</v>
      </c>
      <c r="V1285" s="3" t="inlineStr">
        <is>
          <t>7</t>
        </is>
      </c>
      <c r="W1285" s="111" t="n">
        <v>45771</v>
      </c>
      <c r="X1285" s="134" t="inlineStr">
        <is>
          <t xml:space="preserve">BIN HUMAID NATIONAL TRAD. CO. </t>
        </is>
      </c>
    </row>
    <row r="1286" ht="24" customHeight="1">
      <c r="A1286" s="2">
        <f>+D1286-S1286</f>
        <v/>
      </c>
      <c r="B1286" s="80" t="n">
        <v>2945</v>
      </c>
      <c r="C1286" s="66" t="n">
        <v>45755</v>
      </c>
      <c r="D1286" s="2" t="n">
        <v>1</v>
      </c>
      <c r="E1286" s="3" t="inlineStr">
        <is>
          <t>CARABINA AD ARIA COMPRESSA</t>
        </is>
      </c>
      <c r="F1286" s="3" t="inlineStr">
        <is>
          <t>4.5</t>
        </is>
      </c>
      <c r="G1286" s="3" t="inlineStr">
        <is>
          <t>STOEGER</t>
        </is>
      </c>
      <c r="H1286" s="65" t="inlineStr">
        <is>
          <t>STO RX20 TAC FULL 420 SYNTH CON OTT</t>
        </is>
      </c>
      <c r="I1286" s="65" t="inlineStr">
        <is>
          <t>STG21118306</t>
        </is>
      </c>
      <c r="J1286" s="65" t="inlineStr">
        <is>
          <t>N/D</t>
        </is>
      </c>
      <c r="K1286" s="65" t="inlineStr">
        <is>
          <t>N/D</t>
        </is>
      </c>
      <c r="L1286" s="127" t="inlineStr">
        <is>
          <t>BENELLI ARMI SPA</t>
        </is>
      </c>
      <c r="M1286" s="5" t="n">
        <v>120</v>
      </c>
      <c r="N1286" s="5" t="n"/>
      <c r="O1286" s="5">
        <f>+M1286+N1286</f>
        <v/>
      </c>
      <c r="P1286" s="4" t="n">
        <v>45752</v>
      </c>
      <c r="Q1286" s="87" t="n">
        <v>45741</v>
      </c>
      <c r="R1286" s="5" t="n">
        <v>152.55</v>
      </c>
      <c r="S1286" s="2" t="n">
        <v>1</v>
      </c>
      <c r="T1286" s="3" t="inlineStr">
        <is>
          <t>6B/2025/2S</t>
        </is>
      </c>
      <c r="U1286" s="86" t="n">
        <v>45771</v>
      </c>
      <c r="V1286" s="3" t="inlineStr">
        <is>
          <t>7</t>
        </is>
      </c>
      <c r="W1286" s="111" t="n">
        <v>45771</v>
      </c>
      <c r="X1286" s="134" t="inlineStr">
        <is>
          <t xml:space="preserve">BIN HUMAID NATIONAL TRAD. CO. </t>
        </is>
      </c>
    </row>
    <row r="1287" ht="24" customHeight="1">
      <c r="A1287" s="2">
        <f>+D1287-S1287</f>
        <v/>
      </c>
      <c r="B1287" s="80" t="n">
        <v>2946</v>
      </c>
      <c r="C1287" s="66" t="n">
        <v>45755</v>
      </c>
      <c r="D1287" s="2" t="n">
        <v>1</v>
      </c>
      <c r="E1287" s="3" t="inlineStr">
        <is>
          <t>CARABINA AD ARIA COMPRESSA</t>
        </is>
      </c>
      <c r="F1287" s="3" t="inlineStr">
        <is>
          <t>4.5</t>
        </is>
      </c>
      <c r="G1287" s="3" t="inlineStr">
        <is>
          <t>STOEGER</t>
        </is>
      </c>
      <c r="H1287" s="65" t="inlineStr">
        <is>
          <t>STO RX20 TAC FULL 420 SYNTH CON OTT</t>
        </is>
      </c>
      <c r="I1287" s="65" t="inlineStr">
        <is>
          <t>STG21118307</t>
        </is>
      </c>
      <c r="J1287" s="65" t="inlineStr">
        <is>
          <t>N/D</t>
        </is>
      </c>
      <c r="K1287" s="65" t="inlineStr">
        <is>
          <t>N/D</t>
        </is>
      </c>
      <c r="L1287" s="127" t="inlineStr">
        <is>
          <t>BENELLI ARMI SPA</t>
        </is>
      </c>
      <c r="M1287" s="5" t="n">
        <v>120</v>
      </c>
      <c r="N1287" s="5" t="n"/>
      <c r="O1287" s="5">
        <f>+M1287+N1287</f>
        <v/>
      </c>
      <c r="P1287" s="4" t="n">
        <v>45752</v>
      </c>
      <c r="Q1287" s="87" t="n">
        <v>45741</v>
      </c>
      <c r="R1287" s="5" t="n">
        <v>152.55</v>
      </c>
      <c r="S1287" s="2" t="n">
        <v>1</v>
      </c>
      <c r="T1287" s="3" t="inlineStr">
        <is>
          <t>6B/2025/2S</t>
        </is>
      </c>
      <c r="U1287" s="86" t="n">
        <v>45771</v>
      </c>
      <c r="V1287" s="3" t="inlineStr">
        <is>
          <t>7</t>
        </is>
      </c>
      <c r="W1287" s="111" t="n">
        <v>45771</v>
      </c>
      <c r="X1287" s="134" t="inlineStr">
        <is>
          <t xml:space="preserve">BIN HUMAID NATIONAL TRAD. CO. </t>
        </is>
      </c>
    </row>
    <row r="1288" ht="24" customHeight="1">
      <c r="A1288" s="2">
        <f>+D1288-S1288</f>
        <v/>
      </c>
      <c r="B1288" s="80" t="n">
        <v>2947</v>
      </c>
      <c r="C1288" s="66" t="n">
        <v>45755</v>
      </c>
      <c r="D1288" s="2" t="n">
        <v>1</v>
      </c>
      <c r="E1288" s="3" t="inlineStr">
        <is>
          <t>CARABINA AD ARIA COMPRESSA</t>
        </is>
      </c>
      <c r="F1288" s="3" t="inlineStr">
        <is>
          <t>4.5</t>
        </is>
      </c>
      <c r="G1288" s="3" t="inlineStr">
        <is>
          <t>STOEGER</t>
        </is>
      </c>
      <c r="H1288" s="65" t="inlineStr">
        <is>
          <t>STO RX20 TAC FULL 420 SYNTH CON OTT</t>
        </is>
      </c>
      <c r="I1288" s="65" t="inlineStr">
        <is>
          <t>STG21118312</t>
        </is>
      </c>
      <c r="J1288" s="65" t="inlineStr">
        <is>
          <t>N/D</t>
        </is>
      </c>
      <c r="K1288" s="65" t="inlineStr">
        <is>
          <t>N/D</t>
        </is>
      </c>
      <c r="L1288" s="127" t="inlineStr">
        <is>
          <t>BENELLI ARMI SPA</t>
        </is>
      </c>
      <c r="M1288" s="5" t="n">
        <v>120</v>
      </c>
      <c r="N1288" s="5" t="n"/>
      <c r="O1288" s="5">
        <f>+M1288+N1288</f>
        <v/>
      </c>
      <c r="P1288" s="4" t="n">
        <v>45752</v>
      </c>
      <c r="Q1288" s="87" t="n">
        <v>45741</v>
      </c>
      <c r="R1288" s="5" t="n">
        <v>152.55</v>
      </c>
      <c r="S1288" s="2" t="n">
        <v>1</v>
      </c>
      <c r="T1288" s="3" t="inlineStr">
        <is>
          <t>6B/2025/2S</t>
        </is>
      </c>
      <c r="U1288" s="86" t="n">
        <v>45771</v>
      </c>
      <c r="V1288" s="3" t="inlineStr">
        <is>
          <t>7</t>
        </is>
      </c>
      <c r="W1288" s="111" t="n">
        <v>45771</v>
      </c>
      <c r="X1288" s="134" t="inlineStr">
        <is>
          <t xml:space="preserve">BIN HUMAID NATIONAL TRAD. CO. </t>
        </is>
      </c>
    </row>
    <row r="1289" ht="24" customHeight="1">
      <c r="A1289" s="2">
        <f>+D1289-S1289</f>
        <v/>
      </c>
      <c r="B1289" s="80" t="n">
        <v>2948</v>
      </c>
      <c r="C1289" s="66" t="n">
        <v>45755</v>
      </c>
      <c r="D1289" s="2" t="n">
        <v>1</v>
      </c>
      <c r="E1289" s="3" t="inlineStr">
        <is>
          <t>CARABINA AD ARIA COMPRESSA</t>
        </is>
      </c>
      <c r="F1289" s="3" t="inlineStr">
        <is>
          <t>4.5</t>
        </is>
      </c>
      <c r="G1289" s="3" t="inlineStr">
        <is>
          <t>STOEGER</t>
        </is>
      </c>
      <c r="H1289" s="65" t="inlineStr">
        <is>
          <t>STO RX20 TAC FULL 420 SYNTH CON OTT</t>
        </is>
      </c>
      <c r="I1289" s="65" t="inlineStr">
        <is>
          <t>STG21118313</t>
        </is>
      </c>
      <c r="J1289" s="65" t="inlineStr">
        <is>
          <t>N/D</t>
        </is>
      </c>
      <c r="K1289" s="65" t="inlineStr">
        <is>
          <t>N/D</t>
        </is>
      </c>
      <c r="L1289" s="127" t="inlineStr">
        <is>
          <t>BENELLI ARMI SPA</t>
        </is>
      </c>
      <c r="M1289" s="5" t="n">
        <v>120</v>
      </c>
      <c r="N1289" s="5" t="n"/>
      <c r="O1289" s="5">
        <f>+M1289+N1289</f>
        <v/>
      </c>
      <c r="P1289" s="4" t="n">
        <v>45752</v>
      </c>
      <c r="Q1289" s="87" t="n">
        <v>45741</v>
      </c>
      <c r="R1289" s="5" t="n">
        <v>152.55</v>
      </c>
      <c r="S1289" s="2" t="n">
        <v>1</v>
      </c>
      <c r="T1289" s="3" t="inlineStr">
        <is>
          <t>6B/2025/2S</t>
        </is>
      </c>
      <c r="U1289" s="86" t="n">
        <v>45771</v>
      </c>
      <c r="V1289" s="3" t="inlineStr">
        <is>
          <t>7</t>
        </is>
      </c>
      <c r="W1289" s="111" t="n">
        <v>45771</v>
      </c>
      <c r="X1289" s="134" t="inlineStr">
        <is>
          <t xml:space="preserve">BIN HUMAID NATIONAL TRAD. CO. </t>
        </is>
      </c>
    </row>
    <row r="1290" ht="24" customHeight="1">
      <c r="A1290" s="2">
        <f>+D1290-S1290</f>
        <v/>
      </c>
      <c r="B1290" s="80" t="n">
        <v>2949</v>
      </c>
      <c r="C1290" s="66" t="n">
        <v>45755</v>
      </c>
      <c r="D1290" s="2" t="n">
        <v>1</v>
      </c>
      <c r="E1290" s="3" t="inlineStr">
        <is>
          <t>CARABINA AD ARIA COMPRESSA</t>
        </is>
      </c>
      <c r="F1290" s="3" t="inlineStr">
        <is>
          <t>4.5</t>
        </is>
      </c>
      <c r="G1290" s="3" t="inlineStr">
        <is>
          <t>STOEGER</t>
        </is>
      </c>
      <c r="H1290" s="65" t="inlineStr">
        <is>
          <t>STO RX20 TAC FULL 420 SYNTH CON OTT</t>
        </is>
      </c>
      <c r="I1290" s="65" t="inlineStr">
        <is>
          <t>STG21118314</t>
        </is>
      </c>
      <c r="J1290" s="65" t="inlineStr">
        <is>
          <t>N/D</t>
        </is>
      </c>
      <c r="K1290" s="65" t="inlineStr">
        <is>
          <t>N/D</t>
        </is>
      </c>
      <c r="L1290" s="127" t="inlineStr">
        <is>
          <t>BENELLI ARMI SPA</t>
        </is>
      </c>
      <c r="M1290" s="5" t="n">
        <v>120</v>
      </c>
      <c r="N1290" s="5" t="n"/>
      <c r="O1290" s="5">
        <f>+M1290+N1290</f>
        <v/>
      </c>
      <c r="P1290" s="4" t="n">
        <v>45752</v>
      </c>
      <c r="Q1290" s="87" t="n">
        <v>45741</v>
      </c>
      <c r="R1290" s="5" t="n">
        <v>152.55</v>
      </c>
      <c r="S1290" s="2" t="n">
        <v>1</v>
      </c>
      <c r="T1290" s="3" t="inlineStr">
        <is>
          <t>6B/2025/2S</t>
        </is>
      </c>
      <c r="U1290" s="86" t="n">
        <v>45771</v>
      </c>
      <c r="V1290" s="3" t="inlineStr">
        <is>
          <t>7</t>
        </is>
      </c>
      <c r="W1290" s="111" t="n">
        <v>45771</v>
      </c>
      <c r="X1290" s="134" t="inlineStr">
        <is>
          <t xml:space="preserve">BIN HUMAID NATIONAL TRAD. CO. </t>
        </is>
      </c>
    </row>
    <row r="1291" ht="24" customHeight="1">
      <c r="A1291" s="2">
        <f>+D1291-S1291</f>
        <v/>
      </c>
      <c r="B1291" s="80" t="n">
        <v>2950</v>
      </c>
      <c r="C1291" s="66" t="n">
        <v>45755</v>
      </c>
      <c r="D1291" s="2" t="n">
        <v>1</v>
      </c>
      <c r="E1291" s="3" t="inlineStr">
        <is>
          <t>CARABINA AD ARIA COMPRESSA</t>
        </is>
      </c>
      <c r="F1291" s="3" t="inlineStr">
        <is>
          <t>4.5</t>
        </is>
      </c>
      <c r="G1291" s="3" t="inlineStr">
        <is>
          <t>STOEGER</t>
        </is>
      </c>
      <c r="H1291" s="65" t="inlineStr">
        <is>
          <t>STO RX20 TAC FULL 420 SYNTH CON OTT</t>
        </is>
      </c>
      <c r="I1291" s="65" t="inlineStr">
        <is>
          <t>STG21118315</t>
        </is>
      </c>
      <c r="J1291" s="65" t="inlineStr">
        <is>
          <t>N/D</t>
        </is>
      </c>
      <c r="K1291" s="65" t="inlineStr">
        <is>
          <t>N/D</t>
        </is>
      </c>
      <c r="L1291" s="127" t="inlineStr">
        <is>
          <t>BENELLI ARMI SPA</t>
        </is>
      </c>
      <c r="M1291" s="5" t="n">
        <v>120</v>
      </c>
      <c r="N1291" s="5" t="n"/>
      <c r="O1291" s="5">
        <f>+M1291+N1291</f>
        <v/>
      </c>
      <c r="P1291" s="4" t="n">
        <v>45752</v>
      </c>
      <c r="Q1291" s="87" t="n">
        <v>45741</v>
      </c>
      <c r="R1291" s="5" t="n">
        <v>152.55</v>
      </c>
      <c r="S1291" s="2" t="n">
        <v>1</v>
      </c>
      <c r="T1291" s="3" t="inlineStr">
        <is>
          <t>6B/2025/2S</t>
        </is>
      </c>
      <c r="U1291" s="86" t="n">
        <v>45771</v>
      </c>
      <c r="V1291" s="3" t="inlineStr">
        <is>
          <t>7</t>
        </is>
      </c>
      <c r="W1291" s="111" t="n">
        <v>45771</v>
      </c>
      <c r="X1291" s="134" t="inlineStr">
        <is>
          <t xml:space="preserve">BIN HUMAID NATIONAL TRAD. CO. </t>
        </is>
      </c>
    </row>
    <row r="1292" ht="24" customHeight="1">
      <c r="A1292" s="2">
        <f>+D1292-S1292</f>
        <v/>
      </c>
      <c r="B1292" s="80" t="n">
        <v>2951</v>
      </c>
      <c r="C1292" s="66" t="n">
        <v>45755</v>
      </c>
      <c r="D1292" s="2" t="n">
        <v>1</v>
      </c>
      <c r="E1292" s="3" t="inlineStr">
        <is>
          <t>CARABINA AD ARIA COMPRESSA</t>
        </is>
      </c>
      <c r="F1292" s="3" t="inlineStr">
        <is>
          <t>4.5</t>
        </is>
      </c>
      <c r="G1292" s="3" t="inlineStr">
        <is>
          <t>STOEGER</t>
        </is>
      </c>
      <c r="H1292" s="65" t="inlineStr">
        <is>
          <t>STO RX20 TAC FULL 420 SYNTH CON OTT</t>
        </is>
      </c>
      <c r="I1292" s="65" t="inlineStr">
        <is>
          <t>STG21118319</t>
        </is>
      </c>
      <c r="J1292" s="65" t="inlineStr">
        <is>
          <t>N/D</t>
        </is>
      </c>
      <c r="K1292" s="65" t="inlineStr">
        <is>
          <t>N/D</t>
        </is>
      </c>
      <c r="L1292" s="127" t="inlineStr">
        <is>
          <t>BENELLI ARMI SPA</t>
        </is>
      </c>
      <c r="M1292" s="5" t="n">
        <v>120</v>
      </c>
      <c r="N1292" s="5" t="n"/>
      <c r="O1292" s="5">
        <f>+M1292+N1292</f>
        <v/>
      </c>
      <c r="P1292" s="4" t="n">
        <v>45752</v>
      </c>
      <c r="Q1292" s="87" t="n">
        <v>45741</v>
      </c>
      <c r="R1292" s="5" t="n">
        <v>152.55</v>
      </c>
      <c r="S1292" s="2" t="n">
        <v>1</v>
      </c>
      <c r="T1292" s="3" t="inlineStr">
        <is>
          <t>6B/2025/2S</t>
        </is>
      </c>
      <c r="U1292" s="86" t="n">
        <v>45771</v>
      </c>
      <c r="V1292" s="3" t="inlineStr">
        <is>
          <t>7</t>
        </is>
      </c>
      <c r="W1292" s="111" t="n">
        <v>45771</v>
      </c>
      <c r="X1292" s="134" t="inlineStr">
        <is>
          <t xml:space="preserve">BIN HUMAID NATIONAL TRAD. CO. </t>
        </is>
      </c>
    </row>
    <row r="1293" ht="24" customHeight="1">
      <c r="A1293" s="2">
        <f>+D1293-S1293</f>
        <v/>
      </c>
      <c r="B1293" s="80" t="n">
        <v>2952</v>
      </c>
      <c r="C1293" s="66" t="n">
        <v>45755</v>
      </c>
      <c r="D1293" s="2" t="n">
        <v>1</v>
      </c>
      <c r="E1293" s="3" t="inlineStr">
        <is>
          <t>CARABINA AD ARIA COMPRESSA</t>
        </is>
      </c>
      <c r="F1293" s="3" t="inlineStr">
        <is>
          <t>4.5</t>
        </is>
      </c>
      <c r="G1293" s="3" t="inlineStr">
        <is>
          <t>STOEGER</t>
        </is>
      </c>
      <c r="H1293" s="65" t="inlineStr">
        <is>
          <t>STO RX20 TAC FULL 420 SYNTH CON OTT</t>
        </is>
      </c>
      <c r="I1293" s="65" t="inlineStr">
        <is>
          <t>STG21118321</t>
        </is>
      </c>
      <c r="J1293" s="65" t="inlineStr">
        <is>
          <t>N/D</t>
        </is>
      </c>
      <c r="K1293" s="65" t="inlineStr">
        <is>
          <t>N/D</t>
        </is>
      </c>
      <c r="L1293" s="127" t="inlineStr">
        <is>
          <t>BENELLI ARMI SPA</t>
        </is>
      </c>
      <c r="M1293" s="5" t="n">
        <v>120</v>
      </c>
      <c r="N1293" s="5" t="n"/>
      <c r="O1293" s="5">
        <f>+M1293+N1293</f>
        <v/>
      </c>
      <c r="P1293" s="4" t="n">
        <v>45752</v>
      </c>
      <c r="Q1293" s="87" t="n">
        <v>45741</v>
      </c>
      <c r="R1293" s="5" t="n">
        <v>152.55</v>
      </c>
      <c r="S1293" s="2" t="n">
        <v>1</v>
      </c>
      <c r="T1293" s="3" t="inlineStr">
        <is>
          <t>6B/2025/2S</t>
        </is>
      </c>
      <c r="U1293" s="86" t="n">
        <v>45771</v>
      </c>
      <c r="V1293" s="3" t="inlineStr">
        <is>
          <t>7</t>
        </is>
      </c>
      <c r="W1293" s="111" t="n">
        <v>45771</v>
      </c>
      <c r="X1293" s="134" t="inlineStr">
        <is>
          <t xml:space="preserve">BIN HUMAID NATIONAL TRAD. CO. </t>
        </is>
      </c>
    </row>
    <row r="1294" ht="24" customHeight="1">
      <c r="A1294" s="2">
        <f>+D1294-S1294</f>
        <v/>
      </c>
      <c r="B1294" s="80" t="n">
        <v>2953</v>
      </c>
      <c r="C1294" s="66" t="n">
        <v>45755</v>
      </c>
      <c r="D1294" s="2" t="n">
        <v>1</v>
      </c>
      <c r="E1294" s="3" t="inlineStr">
        <is>
          <t>CARABINA AD ARIA COMPRESSA</t>
        </is>
      </c>
      <c r="F1294" s="3" t="inlineStr">
        <is>
          <t>4.5</t>
        </is>
      </c>
      <c r="G1294" s="3" t="inlineStr">
        <is>
          <t>STOEGER</t>
        </is>
      </c>
      <c r="H1294" s="65" t="inlineStr">
        <is>
          <t>STO RX20 TAC FULL 420 SYNTH CON OTT</t>
        </is>
      </c>
      <c r="I1294" s="65" t="inlineStr">
        <is>
          <t>STG21118329</t>
        </is>
      </c>
      <c r="J1294" s="65" t="inlineStr">
        <is>
          <t>N/D</t>
        </is>
      </c>
      <c r="K1294" s="65" t="inlineStr">
        <is>
          <t>N/D</t>
        </is>
      </c>
      <c r="L1294" s="127" t="inlineStr">
        <is>
          <t>BENELLI ARMI SPA</t>
        </is>
      </c>
      <c r="M1294" s="5" t="n">
        <v>120</v>
      </c>
      <c r="N1294" s="5" t="n"/>
      <c r="O1294" s="5">
        <f>+M1294+N1294</f>
        <v/>
      </c>
      <c r="P1294" s="4" t="n">
        <v>45752</v>
      </c>
      <c r="Q1294" s="87" t="n">
        <v>45741</v>
      </c>
      <c r="R1294" s="5" t="n">
        <v>152.55</v>
      </c>
      <c r="S1294" s="2" t="n">
        <v>1</v>
      </c>
      <c r="T1294" s="3" t="inlineStr">
        <is>
          <t>6B/2025/2S</t>
        </is>
      </c>
      <c r="U1294" s="86" t="n">
        <v>45771</v>
      </c>
      <c r="V1294" s="3" t="inlineStr">
        <is>
          <t>7</t>
        </is>
      </c>
      <c r="W1294" s="111" t="n">
        <v>45771</v>
      </c>
      <c r="X1294" s="134" t="inlineStr">
        <is>
          <t xml:space="preserve">BIN HUMAID NATIONAL TRAD. CO. </t>
        </is>
      </c>
    </row>
    <row r="1295" ht="24" customHeight="1">
      <c r="A1295" s="2">
        <f>+D1295-S1295</f>
        <v/>
      </c>
      <c r="B1295" s="80" t="n">
        <v>2954</v>
      </c>
      <c r="C1295" s="66" t="n">
        <v>45755</v>
      </c>
      <c r="D1295" s="2" t="n">
        <v>1</v>
      </c>
      <c r="E1295" s="3" t="inlineStr">
        <is>
          <t>CARABINA AD ARIA COMPRESSA</t>
        </is>
      </c>
      <c r="F1295" s="3" t="inlineStr">
        <is>
          <t>4.5</t>
        </is>
      </c>
      <c r="G1295" s="3" t="inlineStr">
        <is>
          <t>STOEGER</t>
        </is>
      </c>
      <c r="H1295" s="65" t="inlineStr">
        <is>
          <t>STO RX20 TAC FULL 420 SYNTH CON OTT</t>
        </is>
      </c>
      <c r="I1295" s="65" t="inlineStr">
        <is>
          <t>STG21118333</t>
        </is>
      </c>
      <c r="J1295" s="65" t="inlineStr">
        <is>
          <t>N/D</t>
        </is>
      </c>
      <c r="K1295" s="65" t="inlineStr">
        <is>
          <t>N/D</t>
        </is>
      </c>
      <c r="L1295" s="127" t="inlineStr">
        <is>
          <t>BENELLI ARMI SPA</t>
        </is>
      </c>
      <c r="M1295" s="5" t="n">
        <v>120</v>
      </c>
      <c r="N1295" s="5" t="n"/>
      <c r="O1295" s="5">
        <f>+M1295+N1295</f>
        <v/>
      </c>
      <c r="P1295" s="4" t="n">
        <v>45752</v>
      </c>
      <c r="Q1295" s="87" t="n">
        <v>45741</v>
      </c>
      <c r="R1295" s="5" t="n">
        <v>152.55</v>
      </c>
      <c r="S1295" s="2" t="n">
        <v>1</v>
      </c>
      <c r="T1295" s="3" t="inlineStr">
        <is>
          <t>6B/2025/2S</t>
        </is>
      </c>
      <c r="U1295" s="86" t="n">
        <v>45771</v>
      </c>
      <c r="V1295" s="3" t="inlineStr">
        <is>
          <t>7</t>
        </is>
      </c>
      <c r="W1295" s="111" t="n">
        <v>45771</v>
      </c>
      <c r="X1295" s="134" t="inlineStr">
        <is>
          <t xml:space="preserve">BIN HUMAID NATIONAL TRAD. CO. </t>
        </is>
      </c>
    </row>
    <row r="1296" ht="24" customHeight="1">
      <c r="A1296" s="2">
        <f>+D1296-S1296</f>
        <v/>
      </c>
      <c r="B1296" s="80" t="n">
        <v>2955</v>
      </c>
      <c r="C1296" s="66" t="n">
        <v>45755</v>
      </c>
      <c r="D1296" s="2" t="n">
        <v>1</v>
      </c>
      <c r="E1296" s="3" t="inlineStr">
        <is>
          <t>CARABINA AD ARIA COMPRESSA</t>
        </is>
      </c>
      <c r="F1296" s="3" t="inlineStr">
        <is>
          <t>4.5</t>
        </is>
      </c>
      <c r="G1296" s="3" t="inlineStr">
        <is>
          <t>STOEGER</t>
        </is>
      </c>
      <c r="H1296" s="65" t="inlineStr">
        <is>
          <t>STO RX20 TAC FULL 420 SYNTH CON OTT</t>
        </is>
      </c>
      <c r="I1296" s="65" t="inlineStr">
        <is>
          <t>STG21118334</t>
        </is>
      </c>
      <c r="J1296" s="65" t="inlineStr">
        <is>
          <t>N/D</t>
        </is>
      </c>
      <c r="K1296" s="65" t="inlineStr">
        <is>
          <t>N/D</t>
        </is>
      </c>
      <c r="L1296" s="127" t="inlineStr">
        <is>
          <t>BENELLI ARMI SPA</t>
        </is>
      </c>
      <c r="M1296" s="5" t="n">
        <v>120</v>
      </c>
      <c r="N1296" s="5" t="n"/>
      <c r="O1296" s="5">
        <f>+M1296+N1296</f>
        <v/>
      </c>
      <c r="P1296" s="4" t="n">
        <v>45752</v>
      </c>
      <c r="Q1296" s="87" t="n">
        <v>45741</v>
      </c>
      <c r="R1296" s="5" t="n">
        <v>152.55</v>
      </c>
      <c r="S1296" s="2" t="n">
        <v>1</v>
      </c>
      <c r="T1296" s="3" t="inlineStr">
        <is>
          <t>6B/2025/2S</t>
        </is>
      </c>
      <c r="U1296" s="86" t="n">
        <v>45771</v>
      </c>
      <c r="V1296" s="3" t="inlineStr">
        <is>
          <t>7</t>
        </is>
      </c>
      <c r="W1296" s="111" t="n">
        <v>45771</v>
      </c>
      <c r="X1296" s="134" t="inlineStr">
        <is>
          <t xml:space="preserve">BIN HUMAID NATIONAL TRAD. CO. </t>
        </is>
      </c>
    </row>
    <row r="1297" ht="24" customHeight="1">
      <c r="A1297" s="2">
        <f>+D1297-S1297</f>
        <v/>
      </c>
      <c r="B1297" s="80" t="n">
        <v>2956</v>
      </c>
      <c r="C1297" s="66" t="n">
        <v>45755</v>
      </c>
      <c r="D1297" s="2" t="n">
        <v>1</v>
      </c>
      <c r="E1297" s="3" t="inlineStr">
        <is>
          <t>CARABINA AD ARIA COMPRESSA</t>
        </is>
      </c>
      <c r="F1297" s="3" t="inlineStr">
        <is>
          <t>4.5</t>
        </is>
      </c>
      <c r="G1297" s="3" t="inlineStr">
        <is>
          <t>STOEGER</t>
        </is>
      </c>
      <c r="H1297" s="65" t="inlineStr">
        <is>
          <t>STO RX20 TAC FULL 420 SYNTH CON OTT</t>
        </is>
      </c>
      <c r="I1297" s="65" t="inlineStr">
        <is>
          <t>STG21118338</t>
        </is>
      </c>
      <c r="J1297" s="65" t="inlineStr">
        <is>
          <t>N/D</t>
        </is>
      </c>
      <c r="K1297" s="65" t="inlineStr">
        <is>
          <t>N/D</t>
        </is>
      </c>
      <c r="L1297" s="127" t="inlineStr">
        <is>
          <t>BENELLI ARMI SPA</t>
        </is>
      </c>
      <c r="M1297" s="5" t="n">
        <v>120</v>
      </c>
      <c r="N1297" s="5" t="n"/>
      <c r="O1297" s="5">
        <f>+M1297+N1297</f>
        <v/>
      </c>
      <c r="P1297" s="4" t="n">
        <v>45752</v>
      </c>
      <c r="Q1297" s="87" t="n">
        <v>45741</v>
      </c>
      <c r="R1297" s="5" t="n">
        <v>152.55</v>
      </c>
      <c r="S1297" s="2" t="n">
        <v>1</v>
      </c>
      <c r="T1297" s="3" t="inlineStr">
        <is>
          <t>6B/2025/2S</t>
        </is>
      </c>
      <c r="U1297" s="86" t="n">
        <v>45771</v>
      </c>
      <c r="V1297" s="3" t="inlineStr">
        <is>
          <t>7</t>
        </is>
      </c>
      <c r="W1297" s="111" t="n">
        <v>45771</v>
      </c>
      <c r="X1297" s="134" t="inlineStr">
        <is>
          <t xml:space="preserve">BIN HUMAID NATIONAL TRAD. CO. </t>
        </is>
      </c>
    </row>
    <row r="1298" ht="24" customHeight="1">
      <c r="A1298" s="2">
        <f>+D1298-S1298</f>
        <v/>
      </c>
      <c r="B1298" s="80" t="n">
        <v>2957</v>
      </c>
      <c r="C1298" s="66" t="n">
        <v>45755</v>
      </c>
      <c r="D1298" s="2" t="n">
        <v>1</v>
      </c>
      <c r="E1298" s="3" t="inlineStr">
        <is>
          <t>CARABINA AD ARIA COMPRESSA</t>
        </is>
      </c>
      <c r="F1298" s="3" t="inlineStr">
        <is>
          <t>4.5</t>
        </is>
      </c>
      <c r="G1298" s="3" t="inlineStr">
        <is>
          <t>STOEGER</t>
        </is>
      </c>
      <c r="H1298" s="65" t="inlineStr">
        <is>
          <t>STO RX20 TAC FULL 420 SYNTH CON OTT</t>
        </is>
      </c>
      <c r="I1298" s="65" t="inlineStr">
        <is>
          <t>STG21118342</t>
        </is>
      </c>
      <c r="J1298" s="65" t="inlineStr">
        <is>
          <t>N/D</t>
        </is>
      </c>
      <c r="K1298" s="65" t="inlineStr">
        <is>
          <t>N/D</t>
        </is>
      </c>
      <c r="L1298" s="127" t="inlineStr">
        <is>
          <t>BENELLI ARMI SPA</t>
        </is>
      </c>
      <c r="M1298" s="5" t="n">
        <v>120</v>
      </c>
      <c r="N1298" s="5" t="n"/>
      <c r="O1298" s="5">
        <f>+M1298+N1298</f>
        <v/>
      </c>
      <c r="P1298" s="4" t="n">
        <v>45752</v>
      </c>
      <c r="Q1298" s="87" t="n">
        <v>45741</v>
      </c>
      <c r="R1298" s="5" t="n">
        <v>152.55</v>
      </c>
      <c r="S1298" s="2" t="n">
        <v>1</v>
      </c>
      <c r="T1298" s="3" t="inlineStr">
        <is>
          <t>6B/2025/2S</t>
        </is>
      </c>
      <c r="U1298" s="86" t="n">
        <v>45771</v>
      </c>
      <c r="V1298" s="3" t="inlineStr">
        <is>
          <t>7</t>
        </is>
      </c>
      <c r="W1298" s="111" t="n">
        <v>45771</v>
      </c>
      <c r="X1298" s="134" t="inlineStr">
        <is>
          <t xml:space="preserve">BIN HUMAID NATIONAL TRAD. CO. </t>
        </is>
      </c>
    </row>
    <row r="1299" ht="24" customHeight="1">
      <c r="A1299" s="2">
        <f>+D1299-S1299</f>
        <v/>
      </c>
      <c r="B1299" s="80" t="n">
        <v>2958</v>
      </c>
      <c r="C1299" s="66" t="n">
        <v>45755</v>
      </c>
      <c r="D1299" s="2" t="n">
        <v>1</v>
      </c>
      <c r="E1299" s="3" t="inlineStr">
        <is>
          <t>CARABINA AD ARIA COMPRESSA</t>
        </is>
      </c>
      <c r="F1299" s="3" t="inlineStr">
        <is>
          <t>4.5</t>
        </is>
      </c>
      <c r="G1299" s="3" t="inlineStr">
        <is>
          <t>STOEGER</t>
        </is>
      </c>
      <c r="H1299" s="65" t="inlineStr">
        <is>
          <t>STO RX20 TAC FULL 420 SYNTH CON OTT</t>
        </is>
      </c>
      <c r="I1299" s="65" t="inlineStr">
        <is>
          <t>STG21118343</t>
        </is>
      </c>
      <c r="J1299" s="65" t="inlineStr">
        <is>
          <t>N/D</t>
        </is>
      </c>
      <c r="K1299" s="65" t="inlineStr">
        <is>
          <t>N/D</t>
        </is>
      </c>
      <c r="L1299" s="127" t="inlineStr">
        <is>
          <t>BENELLI ARMI SPA</t>
        </is>
      </c>
      <c r="M1299" s="5" t="n">
        <v>120</v>
      </c>
      <c r="N1299" s="5" t="n"/>
      <c r="O1299" s="5">
        <f>+M1299+N1299</f>
        <v/>
      </c>
      <c r="P1299" s="4" t="n">
        <v>45752</v>
      </c>
      <c r="Q1299" s="87" t="n">
        <v>45741</v>
      </c>
      <c r="R1299" s="5" t="n">
        <v>152.55</v>
      </c>
      <c r="S1299" s="2" t="n">
        <v>1</v>
      </c>
      <c r="T1299" s="3" t="inlineStr">
        <is>
          <t>6B/2025/2S</t>
        </is>
      </c>
      <c r="U1299" s="86" t="n">
        <v>45771</v>
      </c>
      <c r="V1299" s="3" t="inlineStr">
        <is>
          <t>7</t>
        </is>
      </c>
      <c r="W1299" s="111" t="n">
        <v>45771</v>
      </c>
      <c r="X1299" s="134" t="inlineStr">
        <is>
          <t xml:space="preserve">BIN HUMAID NATIONAL TRAD. CO. </t>
        </is>
      </c>
    </row>
    <row r="1300" ht="24" customHeight="1">
      <c r="A1300" s="2">
        <f>+D1300-S1300</f>
        <v/>
      </c>
      <c r="B1300" s="80" t="n">
        <v>2959</v>
      </c>
      <c r="C1300" s="66" t="n">
        <v>45755</v>
      </c>
      <c r="D1300" s="2" t="n">
        <v>1</v>
      </c>
      <c r="E1300" s="3" t="inlineStr">
        <is>
          <t>CARABINA AD ARIA COMPRESSA</t>
        </is>
      </c>
      <c r="F1300" s="3" t="inlineStr">
        <is>
          <t>4.5</t>
        </is>
      </c>
      <c r="G1300" s="3" t="inlineStr">
        <is>
          <t>STOEGER</t>
        </is>
      </c>
      <c r="H1300" s="65" t="inlineStr">
        <is>
          <t>STO RX20 TAC FULL 420 SYNTH CON OTT</t>
        </is>
      </c>
      <c r="I1300" s="65" t="inlineStr">
        <is>
          <t>STG21118348</t>
        </is>
      </c>
      <c r="J1300" s="65" t="inlineStr">
        <is>
          <t>N/D</t>
        </is>
      </c>
      <c r="K1300" s="65" t="inlineStr">
        <is>
          <t>N/D</t>
        </is>
      </c>
      <c r="L1300" s="127" t="inlineStr">
        <is>
          <t>BENELLI ARMI SPA</t>
        </is>
      </c>
      <c r="M1300" s="5" t="n">
        <v>120</v>
      </c>
      <c r="N1300" s="5" t="n"/>
      <c r="O1300" s="5">
        <f>+M1300+N1300</f>
        <v/>
      </c>
      <c r="P1300" s="4" t="n">
        <v>45752</v>
      </c>
      <c r="Q1300" s="87" t="n">
        <v>45741</v>
      </c>
      <c r="R1300" s="5" t="n">
        <v>152.55</v>
      </c>
      <c r="S1300" s="2" t="n">
        <v>1</v>
      </c>
      <c r="T1300" s="3" t="inlineStr">
        <is>
          <t>6B/2025/2S</t>
        </is>
      </c>
      <c r="U1300" s="86" t="n">
        <v>45771</v>
      </c>
      <c r="V1300" s="3" t="inlineStr">
        <is>
          <t>7</t>
        </is>
      </c>
      <c r="W1300" s="111" t="n">
        <v>45771</v>
      </c>
      <c r="X1300" s="134" t="inlineStr">
        <is>
          <t xml:space="preserve">BIN HUMAID NATIONAL TRAD. CO. </t>
        </is>
      </c>
    </row>
    <row r="1301" ht="24" customHeight="1">
      <c r="A1301" s="2">
        <f>+D1301-S1301</f>
        <v/>
      </c>
      <c r="B1301" s="80" t="n">
        <v>2960</v>
      </c>
      <c r="C1301" s="66" t="n">
        <v>45755</v>
      </c>
      <c r="D1301" s="2" t="n">
        <v>1</v>
      </c>
      <c r="E1301" s="3" t="inlineStr">
        <is>
          <t>CARABINA AD ARIA COMPRESSA</t>
        </is>
      </c>
      <c r="F1301" s="3" t="inlineStr">
        <is>
          <t>4.5</t>
        </is>
      </c>
      <c r="G1301" s="3" t="inlineStr">
        <is>
          <t>STOEGER</t>
        </is>
      </c>
      <c r="H1301" s="65" t="inlineStr">
        <is>
          <t>STO RX20 TAC FULL 420 SYNTH CON OTT</t>
        </is>
      </c>
      <c r="I1301" s="65" t="inlineStr">
        <is>
          <t>STG21118349</t>
        </is>
      </c>
      <c r="J1301" s="65" t="inlineStr">
        <is>
          <t>N/D</t>
        </is>
      </c>
      <c r="K1301" s="65" t="inlineStr">
        <is>
          <t>N/D</t>
        </is>
      </c>
      <c r="L1301" s="127" t="inlineStr">
        <is>
          <t>BENELLI ARMI SPA</t>
        </is>
      </c>
      <c r="M1301" s="5" t="n">
        <v>120</v>
      </c>
      <c r="N1301" s="5" t="n"/>
      <c r="O1301" s="5">
        <f>+M1301+N1301</f>
        <v/>
      </c>
      <c r="P1301" s="4" t="n">
        <v>45752</v>
      </c>
      <c r="Q1301" s="87" t="n">
        <v>45741</v>
      </c>
      <c r="R1301" s="5" t="n">
        <v>152.55</v>
      </c>
      <c r="S1301" s="2" t="n">
        <v>1</v>
      </c>
      <c r="T1301" s="3" t="inlineStr">
        <is>
          <t>6B/2025/2S</t>
        </is>
      </c>
      <c r="U1301" s="86" t="n">
        <v>45771</v>
      </c>
      <c r="V1301" s="3" t="inlineStr">
        <is>
          <t>7</t>
        </is>
      </c>
      <c r="W1301" s="111" t="n">
        <v>45771</v>
      </c>
      <c r="X1301" s="134" t="inlineStr">
        <is>
          <t xml:space="preserve">BIN HUMAID NATIONAL TRAD. CO. </t>
        </is>
      </c>
    </row>
    <row r="1302" ht="24" customHeight="1">
      <c r="A1302" s="2">
        <f>+D1302-S1302</f>
        <v/>
      </c>
      <c r="B1302" s="80" t="n">
        <v>2961</v>
      </c>
      <c r="C1302" s="66" t="n">
        <v>45755</v>
      </c>
      <c r="D1302" s="2" t="n">
        <v>1</v>
      </c>
      <c r="E1302" s="3" t="inlineStr">
        <is>
          <t>CARABINA AD ARIA COMPRESSA</t>
        </is>
      </c>
      <c r="F1302" s="3" t="inlineStr">
        <is>
          <t>4.5</t>
        </is>
      </c>
      <c r="G1302" s="3" t="inlineStr">
        <is>
          <t>STOEGER</t>
        </is>
      </c>
      <c r="H1302" s="65" t="inlineStr">
        <is>
          <t>STO RX20 TAC FULL 420 SYNTH CON OTT</t>
        </is>
      </c>
      <c r="I1302" s="65" t="inlineStr">
        <is>
          <t>STG21118355</t>
        </is>
      </c>
      <c r="J1302" s="65" t="inlineStr">
        <is>
          <t>N/D</t>
        </is>
      </c>
      <c r="K1302" s="65" t="inlineStr">
        <is>
          <t>N/D</t>
        </is>
      </c>
      <c r="L1302" s="127" t="inlineStr">
        <is>
          <t>BENELLI ARMI SPA</t>
        </is>
      </c>
      <c r="M1302" s="5" t="n">
        <v>120</v>
      </c>
      <c r="N1302" s="5" t="n"/>
      <c r="O1302" s="5">
        <f>+M1302+N1302</f>
        <v/>
      </c>
      <c r="P1302" s="4" t="n">
        <v>45752</v>
      </c>
      <c r="Q1302" s="87" t="n">
        <v>45741</v>
      </c>
      <c r="R1302" s="5" t="n">
        <v>152.55</v>
      </c>
      <c r="S1302" s="2" t="n">
        <v>1</v>
      </c>
      <c r="T1302" s="3" t="inlineStr">
        <is>
          <t>6B/2025/2S</t>
        </is>
      </c>
      <c r="U1302" s="86" t="n">
        <v>45771</v>
      </c>
      <c r="V1302" s="3" t="inlineStr">
        <is>
          <t>7</t>
        </is>
      </c>
      <c r="W1302" s="111" t="n">
        <v>45771</v>
      </c>
      <c r="X1302" s="134" t="inlineStr">
        <is>
          <t xml:space="preserve">BIN HUMAID NATIONAL TRAD. CO. </t>
        </is>
      </c>
    </row>
    <row r="1303" ht="24" customHeight="1">
      <c r="A1303" s="2">
        <f>+D1303-S1303</f>
        <v/>
      </c>
      <c r="B1303" s="80" t="n">
        <v>2962</v>
      </c>
      <c r="C1303" s="66" t="n">
        <v>45755</v>
      </c>
      <c r="D1303" s="2" t="n">
        <v>1</v>
      </c>
      <c r="E1303" s="3" t="inlineStr">
        <is>
          <t>CARABINA AD ARIA COMPRESSA</t>
        </is>
      </c>
      <c r="F1303" s="3" t="inlineStr">
        <is>
          <t>4.5</t>
        </is>
      </c>
      <c r="G1303" s="3" t="inlineStr">
        <is>
          <t>STOEGER</t>
        </is>
      </c>
      <c r="H1303" s="65" t="inlineStr">
        <is>
          <t>STO RX20 TAC FULL 420 SYNTH CON OTT</t>
        </is>
      </c>
      <c r="I1303" s="65" t="inlineStr">
        <is>
          <t>STG21118356</t>
        </is>
      </c>
      <c r="J1303" s="65" t="inlineStr">
        <is>
          <t>N/D</t>
        </is>
      </c>
      <c r="K1303" s="65" t="inlineStr">
        <is>
          <t>N/D</t>
        </is>
      </c>
      <c r="L1303" s="127" t="inlineStr">
        <is>
          <t>BENELLI ARMI SPA</t>
        </is>
      </c>
      <c r="M1303" s="5" t="n">
        <v>120</v>
      </c>
      <c r="N1303" s="5" t="n"/>
      <c r="O1303" s="5">
        <f>+M1303+N1303</f>
        <v/>
      </c>
      <c r="P1303" s="4" t="n">
        <v>45752</v>
      </c>
      <c r="Q1303" s="87" t="n">
        <v>45741</v>
      </c>
      <c r="R1303" s="5" t="n">
        <v>152.55</v>
      </c>
      <c r="S1303" s="2" t="n">
        <v>1</v>
      </c>
      <c r="T1303" s="3" t="inlineStr">
        <is>
          <t>6B/2025/2S</t>
        </is>
      </c>
      <c r="U1303" s="86" t="n">
        <v>45771</v>
      </c>
      <c r="V1303" s="3" t="inlineStr">
        <is>
          <t>7</t>
        </is>
      </c>
      <c r="W1303" s="111" t="n">
        <v>45771</v>
      </c>
      <c r="X1303" s="134" t="inlineStr">
        <is>
          <t xml:space="preserve">BIN HUMAID NATIONAL TRAD. CO. </t>
        </is>
      </c>
    </row>
    <row r="1304" ht="24" customHeight="1">
      <c r="A1304" s="2">
        <f>+D1304-S1304</f>
        <v/>
      </c>
      <c r="B1304" s="80" t="n">
        <v>2963</v>
      </c>
      <c r="C1304" s="66" t="n">
        <v>45755</v>
      </c>
      <c r="D1304" s="2" t="n">
        <v>1</v>
      </c>
      <c r="E1304" s="3" t="inlineStr">
        <is>
          <t>CARABINA AD ARIA COMPRESSA</t>
        </is>
      </c>
      <c r="F1304" s="3" t="inlineStr">
        <is>
          <t>4.5</t>
        </is>
      </c>
      <c r="G1304" s="3" t="inlineStr">
        <is>
          <t>STOEGER</t>
        </is>
      </c>
      <c r="H1304" s="65" t="inlineStr">
        <is>
          <t>STO RX20 TAC FULL 420 SYNTH CON OTT</t>
        </is>
      </c>
      <c r="I1304" s="65" t="inlineStr">
        <is>
          <t>STG21118358</t>
        </is>
      </c>
      <c r="J1304" s="65" t="inlineStr">
        <is>
          <t>N/D</t>
        </is>
      </c>
      <c r="K1304" s="65" t="inlineStr">
        <is>
          <t>N/D</t>
        </is>
      </c>
      <c r="L1304" s="127" t="inlineStr">
        <is>
          <t>BENELLI ARMI SPA</t>
        </is>
      </c>
      <c r="M1304" s="5" t="n">
        <v>120</v>
      </c>
      <c r="N1304" s="5" t="n"/>
      <c r="O1304" s="5">
        <f>+M1304+N1304</f>
        <v/>
      </c>
      <c r="P1304" s="4" t="n">
        <v>45752</v>
      </c>
      <c r="Q1304" s="87" t="n">
        <v>45741</v>
      </c>
      <c r="R1304" s="5" t="n">
        <v>152.55</v>
      </c>
      <c r="S1304" s="2" t="n">
        <v>1</v>
      </c>
      <c r="T1304" s="3" t="inlineStr">
        <is>
          <t>6B/2025/2S</t>
        </is>
      </c>
      <c r="U1304" s="86" t="n">
        <v>45771</v>
      </c>
      <c r="V1304" s="3" t="inlineStr">
        <is>
          <t>7</t>
        </is>
      </c>
      <c r="W1304" s="111" t="n">
        <v>45771</v>
      </c>
      <c r="X1304" s="134" t="inlineStr">
        <is>
          <t xml:space="preserve">BIN HUMAID NATIONAL TRAD. CO. </t>
        </is>
      </c>
    </row>
    <row r="1305" ht="24" customHeight="1">
      <c r="A1305" s="2">
        <f>+D1305-S1305</f>
        <v/>
      </c>
      <c r="B1305" s="80" t="n">
        <v>2964</v>
      </c>
      <c r="C1305" s="66" t="n">
        <v>45755</v>
      </c>
      <c r="D1305" s="2" t="n">
        <v>1</v>
      </c>
      <c r="E1305" s="3" t="inlineStr">
        <is>
          <t>CARABINA AD ARIA COMPRESSA</t>
        </is>
      </c>
      <c r="F1305" s="3" t="inlineStr">
        <is>
          <t>4.5</t>
        </is>
      </c>
      <c r="G1305" s="3" t="inlineStr">
        <is>
          <t>STOEGER</t>
        </is>
      </c>
      <c r="H1305" s="65" t="inlineStr">
        <is>
          <t>STO RX20 TAC FULL 420 SYNTH CON OTT</t>
        </is>
      </c>
      <c r="I1305" s="65" t="inlineStr">
        <is>
          <t>STG21118387</t>
        </is>
      </c>
      <c r="J1305" s="65" t="inlineStr">
        <is>
          <t>N/D</t>
        </is>
      </c>
      <c r="K1305" s="65" t="inlineStr">
        <is>
          <t>N/D</t>
        </is>
      </c>
      <c r="L1305" s="127" t="inlineStr">
        <is>
          <t>BENELLI ARMI SPA</t>
        </is>
      </c>
      <c r="M1305" s="5" t="n">
        <v>120</v>
      </c>
      <c r="N1305" s="5" t="n"/>
      <c r="O1305" s="5">
        <f>+M1305+N1305</f>
        <v/>
      </c>
      <c r="P1305" s="4" t="n">
        <v>45752</v>
      </c>
      <c r="Q1305" s="87" t="n">
        <v>45741</v>
      </c>
      <c r="R1305" s="5" t="n">
        <v>152.55</v>
      </c>
      <c r="S1305" s="2" t="n">
        <v>1</v>
      </c>
      <c r="T1305" s="3" t="inlineStr">
        <is>
          <t>6B/2025/2S</t>
        </is>
      </c>
      <c r="U1305" s="86" t="n">
        <v>45771</v>
      </c>
      <c r="V1305" s="3" t="inlineStr">
        <is>
          <t>7</t>
        </is>
      </c>
      <c r="W1305" s="111" t="n">
        <v>45771</v>
      </c>
      <c r="X1305" s="134" t="inlineStr">
        <is>
          <t xml:space="preserve">BIN HUMAID NATIONAL TRAD. CO. </t>
        </is>
      </c>
    </row>
    <row r="1306" ht="24" customHeight="1">
      <c r="A1306" s="2">
        <f>+D1306-S1306</f>
        <v/>
      </c>
      <c r="B1306" s="80" t="n">
        <v>2965</v>
      </c>
      <c r="C1306" s="66" t="n">
        <v>45755</v>
      </c>
      <c r="D1306" s="2" t="n">
        <v>1</v>
      </c>
      <c r="E1306" s="3" t="inlineStr">
        <is>
          <t>CARABINA AD ARIA COMPRESSA</t>
        </is>
      </c>
      <c r="F1306" s="3" t="inlineStr">
        <is>
          <t>4.5</t>
        </is>
      </c>
      <c r="G1306" s="3" t="inlineStr">
        <is>
          <t>STOEGER</t>
        </is>
      </c>
      <c r="H1306" s="65" t="inlineStr">
        <is>
          <t>STO RX20 TAC FULL 420 SYNTH CON OTT</t>
        </is>
      </c>
      <c r="I1306" s="65" t="inlineStr">
        <is>
          <t>STG21118391</t>
        </is>
      </c>
      <c r="J1306" s="65" t="inlineStr">
        <is>
          <t>N/D</t>
        </is>
      </c>
      <c r="K1306" s="65" t="inlineStr">
        <is>
          <t>N/D</t>
        </is>
      </c>
      <c r="L1306" s="127" t="inlineStr">
        <is>
          <t>BENELLI ARMI SPA</t>
        </is>
      </c>
      <c r="M1306" s="5" t="n">
        <v>120</v>
      </c>
      <c r="N1306" s="5" t="n"/>
      <c r="O1306" s="5">
        <f>+M1306+N1306</f>
        <v/>
      </c>
      <c r="P1306" s="4" t="n">
        <v>45752</v>
      </c>
      <c r="Q1306" s="87" t="n">
        <v>45741</v>
      </c>
      <c r="R1306" s="5" t="n">
        <v>152.55</v>
      </c>
      <c r="S1306" s="2" t="n">
        <v>1</v>
      </c>
      <c r="T1306" s="3" t="inlineStr">
        <is>
          <t>6B/2025/2S</t>
        </is>
      </c>
      <c r="U1306" s="86" t="n">
        <v>45771</v>
      </c>
      <c r="V1306" s="3" t="inlineStr">
        <is>
          <t>7</t>
        </is>
      </c>
      <c r="W1306" s="111" t="n">
        <v>45771</v>
      </c>
      <c r="X1306" s="134" t="inlineStr">
        <is>
          <t xml:space="preserve">BIN HUMAID NATIONAL TRAD. CO. </t>
        </is>
      </c>
    </row>
    <row r="1307" ht="24" customHeight="1">
      <c r="A1307" s="2">
        <f>+D1307-S1307</f>
        <v/>
      </c>
      <c r="B1307" s="80" t="n">
        <v>2966</v>
      </c>
      <c r="C1307" s="66" t="n">
        <v>45755</v>
      </c>
      <c r="D1307" s="2" t="n">
        <v>1</v>
      </c>
      <c r="E1307" s="3" t="inlineStr">
        <is>
          <t>CARABINA AD ARIA COMPRESSA</t>
        </is>
      </c>
      <c r="F1307" s="3" t="inlineStr">
        <is>
          <t>4.5</t>
        </is>
      </c>
      <c r="G1307" s="3" t="inlineStr">
        <is>
          <t>STOEGER</t>
        </is>
      </c>
      <c r="H1307" s="65" t="inlineStr">
        <is>
          <t>STO RX20 TAC FULL 420 SYNTH CON OTT</t>
        </is>
      </c>
      <c r="I1307" s="65" t="inlineStr">
        <is>
          <t>STG21118395</t>
        </is>
      </c>
      <c r="J1307" s="65" t="inlineStr">
        <is>
          <t>N/D</t>
        </is>
      </c>
      <c r="K1307" s="65" t="inlineStr">
        <is>
          <t>N/D</t>
        </is>
      </c>
      <c r="L1307" s="127" t="inlineStr">
        <is>
          <t>BENELLI ARMI SPA</t>
        </is>
      </c>
      <c r="M1307" s="5" t="n">
        <v>120</v>
      </c>
      <c r="N1307" s="5" t="n"/>
      <c r="O1307" s="5">
        <f>+M1307+N1307</f>
        <v/>
      </c>
      <c r="P1307" s="4" t="n">
        <v>45752</v>
      </c>
      <c r="Q1307" s="87" t="n">
        <v>45741</v>
      </c>
      <c r="R1307" s="5" t="n">
        <v>152.55</v>
      </c>
      <c r="S1307" s="2" t="n">
        <v>1</v>
      </c>
      <c r="T1307" s="3" t="inlineStr">
        <is>
          <t>6B/2025/2S</t>
        </is>
      </c>
      <c r="U1307" s="86" t="n">
        <v>45771</v>
      </c>
      <c r="V1307" s="3" t="inlineStr">
        <is>
          <t>7</t>
        </is>
      </c>
      <c r="W1307" s="111" t="n">
        <v>45771</v>
      </c>
      <c r="X1307" s="134" t="inlineStr">
        <is>
          <t xml:space="preserve">BIN HUMAID NATIONAL TRAD. CO. </t>
        </is>
      </c>
    </row>
    <row r="1308" ht="24" customHeight="1">
      <c r="A1308" s="2">
        <f>+D1308-S1308</f>
        <v/>
      </c>
      <c r="B1308" s="80" t="n">
        <v>2967</v>
      </c>
      <c r="C1308" s="66" t="n">
        <v>45755</v>
      </c>
      <c r="D1308" s="2" t="n">
        <v>1</v>
      </c>
      <c r="E1308" s="3" t="inlineStr">
        <is>
          <t>CARABINA AD ARIA COMPRESSA</t>
        </is>
      </c>
      <c r="F1308" s="3" t="inlineStr">
        <is>
          <t>4.5</t>
        </is>
      </c>
      <c r="G1308" s="3" t="inlineStr">
        <is>
          <t>STOEGER</t>
        </is>
      </c>
      <c r="H1308" s="65" t="inlineStr">
        <is>
          <t>STO RX20 TAC FULL 420 SYNTH CON OTT</t>
        </is>
      </c>
      <c r="I1308" s="65" t="inlineStr">
        <is>
          <t>STG21118398</t>
        </is>
      </c>
      <c r="J1308" s="65" t="inlineStr">
        <is>
          <t>N/D</t>
        </is>
      </c>
      <c r="K1308" s="65" t="inlineStr">
        <is>
          <t>N/D</t>
        </is>
      </c>
      <c r="L1308" s="127" t="inlineStr">
        <is>
          <t>BENELLI ARMI SPA</t>
        </is>
      </c>
      <c r="M1308" s="5" t="n">
        <v>120</v>
      </c>
      <c r="N1308" s="5" t="n"/>
      <c r="O1308" s="5">
        <f>+M1308+N1308</f>
        <v/>
      </c>
      <c r="P1308" s="4" t="n">
        <v>45752</v>
      </c>
      <c r="Q1308" s="87" t="n">
        <v>45741</v>
      </c>
      <c r="R1308" s="5" t="n">
        <v>152.55</v>
      </c>
      <c r="S1308" s="2" t="n">
        <v>1</v>
      </c>
      <c r="T1308" s="3" t="inlineStr">
        <is>
          <t>6B/2025/2S</t>
        </is>
      </c>
      <c r="U1308" s="86" t="n">
        <v>45771</v>
      </c>
      <c r="V1308" s="3" t="inlineStr">
        <is>
          <t>7</t>
        </is>
      </c>
      <c r="W1308" s="111" t="n">
        <v>45771</v>
      </c>
      <c r="X1308" s="134" t="inlineStr">
        <is>
          <t xml:space="preserve">BIN HUMAID NATIONAL TRAD. CO. </t>
        </is>
      </c>
    </row>
    <row r="1309" ht="24" customHeight="1">
      <c r="A1309" s="2">
        <f>+D1309-S1309</f>
        <v/>
      </c>
      <c r="B1309" s="80" t="n">
        <v>2968</v>
      </c>
      <c r="C1309" s="66" t="n">
        <v>45755</v>
      </c>
      <c r="D1309" s="2" t="n">
        <v>1</v>
      </c>
      <c r="E1309" s="3" t="inlineStr">
        <is>
          <t>CARABINA AD ARIA COMPRESSA</t>
        </is>
      </c>
      <c r="F1309" s="3" t="inlineStr">
        <is>
          <t>4.5</t>
        </is>
      </c>
      <c r="G1309" s="3" t="inlineStr">
        <is>
          <t>STOEGER</t>
        </is>
      </c>
      <c r="H1309" s="65" t="inlineStr">
        <is>
          <t>STO RX20 TAC FULL 420 SYNTH CON OTT</t>
        </is>
      </c>
      <c r="I1309" s="65" t="inlineStr">
        <is>
          <t>STG21118404</t>
        </is>
      </c>
      <c r="J1309" s="65" t="inlineStr">
        <is>
          <t>N/D</t>
        </is>
      </c>
      <c r="K1309" s="65" t="inlineStr">
        <is>
          <t>N/D</t>
        </is>
      </c>
      <c r="L1309" s="127" t="inlineStr">
        <is>
          <t>BENELLI ARMI SPA</t>
        </is>
      </c>
      <c r="M1309" s="5" t="n">
        <v>120</v>
      </c>
      <c r="N1309" s="5" t="n"/>
      <c r="O1309" s="5">
        <f>+M1309+N1309</f>
        <v/>
      </c>
      <c r="P1309" s="4" t="n">
        <v>45752</v>
      </c>
      <c r="Q1309" s="87" t="n">
        <v>45741</v>
      </c>
      <c r="R1309" s="5" t="n">
        <v>152.55</v>
      </c>
      <c r="S1309" s="2" t="n">
        <v>1</v>
      </c>
      <c r="T1309" s="3" t="inlineStr">
        <is>
          <t>6B/2025/2S</t>
        </is>
      </c>
      <c r="U1309" s="86" t="n">
        <v>45771</v>
      </c>
      <c r="V1309" s="3" t="inlineStr">
        <is>
          <t>7</t>
        </is>
      </c>
      <c r="W1309" s="111" t="n">
        <v>45771</v>
      </c>
      <c r="X1309" s="134" t="inlineStr">
        <is>
          <t xml:space="preserve">BIN HUMAID NATIONAL TRAD. CO. </t>
        </is>
      </c>
    </row>
    <row r="1310" ht="24" customHeight="1">
      <c r="A1310" s="2">
        <f>+D1310-S1310</f>
        <v/>
      </c>
      <c r="B1310" s="80" t="n">
        <v>2969</v>
      </c>
      <c r="C1310" s="66" t="n">
        <v>45755</v>
      </c>
      <c r="D1310" s="2" t="n">
        <v>1</v>
      </c>
      <c r="E1310" s="3" t="inlineStr">
        <is>
          <t>CARABINA AD ARIA COMPRESSA</t>
        </is>
      </c>
      <c r="F1310" s="3" t="inlineStr">
        <is>
          <t>4.5</t>
        </is>
      </c>
      <c r="G1310" s="3" t="inlineStr">
        <is>
          <t>STOEGER</t>
        </is>
      </c>
      <c r="H1310" s="65" t="inlineStr">
        <is>
          <t>STO RX20 TAC FULL 420 SYNTH CON OTT</t>
        </is>
      </c>
      <c r="I1310" s="65" t="inlineStr">
        <is>
          <t>STG21118406</t>
        </is>
      </c>
      <c r="J1310" s="65" t="inlineStr">
        <is>
          <t>N/D</t>
        </is>
      </c>
      <c r="K1310" s="65" t="inlineStr">
        <is>
          <t>N/D</t>
        </is>
      </c>
      <c r="L1310" s="127" t="inlineStr">
        <is>
          <t>BENELLI ARMI SPA</t>
        </is>
      </c>
      <c r="M1310" s="5" t="n">
        <v>120</v>
      </c>
      <c r="N1310" s="5" t="n"/>
      <c r="O1310" s="5">
        <f>+M1310+N1310</f>
        <v/>
      </c>
      <c r="P1310" s="4" t="n">
        <v>45752</v>
      </c>
      <c r="Q1310" s="87" t="n">
        <v>45741</v>
      </c>
      <c r="R1310" s="5" t="n">
        <v>152.55</v>
      </c>
      <c r="S1310" s="2" t="n">
        <v>1</v>
      </c>
      <c r="T1310" s="3" t="inlineStr">
        <is>
          <t>6B/2025/2S</t>
        </is>
      </c>
      <c r="U1310" s="86" t="n">
        <v>45771</v>
      </c>
      <c r="V1310" s="3" t="inlineStr">
        <is>
          <t>7</t>
        </is>
      </c>
      <c r="W1310" s="111" t="n">
        <v>45771</v>
      </c>
      <c r="X1310" s="134" t="inlineStr">
        <is>
          <t xml:space="preserve">BIN HUMAID NATIONAL TRAD. CO. </t>
        </is>
      </c>
    </row>
    <row r="1311" ht="24" customHeight="1">
      <c r="A1311" s="2">
        <f>+D1311-S1311</f>
        <v/>
      </c>
      <c r="B1311" s="80" t="n">
        <v>2970</v>
      </c>
      <c r="C1311" s="66" t="n">
        <v>45755</v>
      </c>
      <c r="D1311" s="2" t="n">
        <v>1</v>
      </c>
      <c r="E1311" s="3" t="inlineStr">
        <is>
          <t>CARABINA AD ARIA COMPRESSA</t>
        </is>
      </c>
      <c r="F1311" s="3" t="inlineStr">
        <is>
          <t>4.5</t>
        </is>
      </c>
      <c r="G1311" s="3" t="inlineStr">
        <is>
          <t>STOEGER</t>
        </is>
      </c>
      <c r="H1311" s="65" t="inlineStr">
        <is>
          <t>STO RX20 TAC FULL 420 SYNTH CON OTT</t>
        </is>
      </c>
      <c r="I1311" s="65" t="inlineStr">
        <is>
          <t>STG21118408</t>
        </is>
      </c>
      <c r="J1311" s="65" t="inlineStr">
        <is>
          <t>N/D</t>
        </is>
      </c>
      <c r="K1311" s="65" t="inlineStr">
        <is>
          <t>N/D</t>
        </is>
      </c>
      <c r="L1311" s="127" t="inlineStr">
        <is>
          <t>BENELLI ARMI SPA</t>
        </is>
      </c>
      <c r="M1311" s="5" t="n">
        <v>120</v>
      </c>
      <c r="N1311" s="5" t="n"/>
      <c r="O1311" s="5">
        <f>+M1311+N1311</f>
        <v/>
      </c>
      <c r="P1311" s="4" t="n">
        <v>45752</v>
      </c>
      <c r="Q1311" s="87" t="n">
        <v>45741</v>
      </c>
      <c r="R1311" s="5" t="n">
        <v>152.55</v>
      </c>
      <c r="S1311" s="2" t="n">
        <v>1</v>
      </c>
      <c r="T1311" s="3" t="inlineStr">
        <is>
          <t>6B/2025/2S</t>
        </is>
      </c>
      <c r="U1311" s="86" t="n">
        <v>45771</v>
      </c>
      <c r="V1311" s="3" t="inlineStr">
        <is>
          <t>7</t>
        </is>
      </c>
      <c r="W1311" s="111" t="n">
        <v>45771</v>
      </c>
      <c r="X1311" s="134" t="inlineStr">
        <is>
          <t xml:space="preserve">BIN HUMAID NATIONAL TRAD. CO. </t>
        </is>
      </c>
    </row>
    <row r="1312" ht="24" customHeight="1">
      <c r="A1312" s="2">
        <f>+D1312-S1312</f>
        <v/>
      </c>
      <c r="B1312" s="80" t="n">
        <v>2971</v>
      </c>
      <c r="C1312" s="66" t="n">
        <v>45755</v>
      </c>
      <c r="D1312" s="2" t="n">
        <v>1</v>
      </c>
      <c r="E1312" s="3" t="inlineStr">
        <is>
          <t>CARABINA AD ARIA COMPRESSA</t>
        </is>
      </c>
      <c r="F1312" s="3" t="inlineStr">
        <is>
          <t>4.5</t>
        </is>
      </c>
      <c r="G1312" s="3" t="inlineStr">
        <is>
          <t>STOEGER</t>
        </is>
      </c>
      <c r="H1312" s="65" t="inlineStr">
        <is>
          <t>STO RX20 TAC FULL 420 SYNTH CON OTT</t>
        </is>
      </c>
      <c r="I1312" s="65" t="inlineStr">
        <is>
          <t>STG21118410</t>
        </is>
      </c>
      <c r="J1312" s="65" t="inlineStr">
        <is>
          <t>N/D</t>
        </is>
      </c>
      <c r="K1312" s="65" t="inlineStr">
        <is>
          <t>N/D</t>
        </is>
      </c>
      <c r="L1312" s="127" t="inlineStr">
        <is>
          <t>BENELLI ARMI SPA</t>
        </is>
      </c>
      <c r="M1312" s="5" t="n">
        <v>120</v>
      </c>
      <c r="N1312" s="5" t="n"/>
      <c r="O1312" s="5">
        <f>+M1312+N1312</f>
        <v/>
      </c>
      <c r="P1312" s="4" t="n">
        <v>45752</v>
      </c>
      <c r="Q1312" s="87" t="n">
        <v>45741</v>
      </c>
      <c r="R1312" s="5" t="n">
        <v>152.55</v>
      </c>
      <c r="S1312" s="2" t="n">
        <v>1</v>
      </c>
      <c r="T1312" s="3" t="inlineStr">
        <is>
          <t>6B/2025/2S</t>
        </is>
      </c>
      <c r="U1312" s="86" t="n">
        <v>45771</v>
      </c>
      <c r="V1312" s="3" t="inlineStr">
        <is>
          <t>7</t>
        </is>
      </c>
      <c r="W1312" s="111" t="n">
        <v>45771</v>
      </c>
      <c r="X1312" s="134" t="inlineStr">
        <is>
          <t xml:space="preserve">BIN HUMAID NATIONAL TRAD. CO. </t>
        </is>
      </c>
    </row>
    <row r="1313" ht="24" customHeight="1">
      <c r="A1313" s="2">
        <f>+D1313-S1313</f>
        <v/>
      </c>
      <c r="B1313" s="80" t="n">
        <v>2972</v>
      </c>
      <c r="C1313" s="66" t="n">
        <v>45755</v>
      </c>
      <c r="D1313" s="2" t="n">
        <v>1</v>
      </c>
      <c r="E1313" s="3" t="inlineStr">
        <is>
          <t>CARABINA AD ARIA COMPRESSA</t>
        </is>
      </c>
      <c r="F1313" s="3" t="inlineStr">
        <is>
          <t>4.5</t>
        </is>
      </c>
      <c r="G1313" s="3" t="inlineStr">
        <is>
          <t>STOEGER</t>
        </is>
      </c>
      <c r="H1313" s="65" t="inlineStr">
        <is>
          <t>STO RX20 TAC FULL 420 SYNTH CON OTT</t>
        </is>
      </c>
      <c r="I1313" s="65" t="inlineStr">
        <is>
          <t>STG21118411</t>
        </is>
      </c>
      <c r="J1313" s="65" t="inlineStr">
        <is>
          <t>N/D</t>
        </is>
      </c>
      <c r="K1313" s="65" t="inlineStr">
        <is>
          <t>N/D</t>
        </is>
      </c>
      <c r="L1313" s="127" t="inlineStr">
        <is>
          <t>BENELLI ARMI SPA</t>
        </is>
      </c>
      <c r="M1313" s="5" t="n">
        <v>120</v>
      </c>
      <c r="N1313" s="5" t="n"/>
      <c r="O1313" s="5">
        <f>+M1313+N1313</f>
        <v/>
      </c>
      <c r="P1313" s="4" t="n">
        <v>45752</v>
      </c>
      <c r="Q1313" s="87" t="n">
        <v>45741</v>
      </c>
      <c r="R1313" s="5" t="n">
        <v>152.55</v>
      </c>
      <c r="S1313" s="2" t="n">
        <v>1</v>
      </c>
      <c r="T1313" s="3" t="inlineStr">
        <is>
          <t>6B/2025/2S</t>
        </is>
      </c>
      <c r="U1313" s="86" t="n">
        <v>45771</v>
      </c>
      <c r="V1313" s="3" t="inlineStr">
        <is>
          <t>7</t>
        </is>
      </c>
      <c r="W1313" s="111" t="n">
        <v>45771</v>
      </c>
      <c r="X1313" s="134" t="inlineStr">
        <is>
          <t xml:space="preserve">BIN HUMAID NATIONAL TRAD. CO. </t>
        </is>
      </c>
    </row>
    <row r="1314" ht="24" customHeight="1">
      <c r="A1314" s="2">
        <f>+D1314-S1314</f>
        <v/>
      </c>
      <c r="B1314" s="80" t="n">
        <v>2973</v>
      </c>
      <c r="C1314" s="66" t="n">
        <v>45755</v>
      </c>
      <c r="D1314" s="2" t="n">
        <v>1</v>
      </c>
      <c r="E1314" s="3" t="inlineStr">
        <is>
          <t>CARABINA AD ARIA COMPRESSA</t>
        </is>
      </c>
      <c r="F1314" s="3" t="inlineStr">
        <is>
          <t>4.5</t>
        </is>
      </c>
      <c r="G1314" s="3" t="inlineStr">
        <is>
          <t>STOEGER</t>
        </is>
      </c>
      <c r="H1314" s="65" t="inlineStr">
        <is>
          <t>STO RX20 TAC FULL 420 SYNTH CON OTT</t>
        </is>
      </c>
      <c r="I1314" s="65" t="inlineStr">
        <is>
          <t>STG21118415</t>
        </is>
      </c>
      <c r="J1314" s="65" t="inlineStr">
        <is>
          <t>N/D</t>
        </is>
      </c>
      <c r="K1314" s="65" t="inlineStr">
        <is>
          <t>N/D</t>
        </is>
      </c>
      <c r="L1314" s="127" t="inlineStr">
        <is>
          <t>BENELLI ARMI SPA</t>
        </is>
      </c>
      <c r="M1314" s="5" t="n">
        <v>120</v>
      </c>
      <c r="N1314" s="5" t="n"/>
      <c r="O1314" s="5">
        <f>+M1314+N1314</f>
        <v/>
      </c>
      <c r="P1314" s="4" t="n">
        <v>45752</v>
      </c>
      <c r="Q1314" s="87" t="n">
        <v>45741</v>
      </c>
      <c r="R1314" s="5" t="n">
        <v>152.55</v>
      </c>
      <c r="S1314" s="2" t="n">
        <v>1</v>
      </c>
      <c r="T1314" s="3" t="inlineStr">
        <is>
          <t>6B/2025/2S</t>
        </is>
      </c>
      <c r="U1314" s="86" t="n">
        <v>45771</v>
      </c>
      <c r="V1314" s="3" t="inlineStr">
        <is>
          <t>7</t>
        </is>
      </c>
      <c r="W1314" s="111" t="n">
        <v>45771</v>
      </c>
      <c r="X1314" s="134" t="inlineStr">
        <is>
          <t xml:space="preserve">BIN HUMAID NATIONAL TRAD. CO. </t>
        </is>
      </c>
    </row>
    <row r="1315" ht="24" customHeight="1">
      <c r="A1315" s="2">
        <f>+D1315-S1315</f>
        <v/>
      </c>
      <c r="B1315" s="80" t="n">
        <v>2974</v>
      </c>
      <c r="C1315" s="66" t="n">
        <v>45755</v>
      </c>
      <c r="D1315" s="2" t="n">
        <v>1</v>
      </c>
      <c r="E1315" s="3" t="inlineStr">
        <is>
          <t>CARABINA AD ARIA COMPRESSA</t>
        </is>
      </c>
      <c r="F1315" s="3" t="inlineStr">
        <is>
          <t>4.5</t>
        </is>
      </c>
      <c r="G1315" s="3" t="inlineStr">
        <is>
          <t>STOEGER</t>
        </is>
      </c>
      <c r="H1315" s="65" t="inlineStr">
        <is>
          <t>STO RX20 TAC FULL 420 SYNTH CON OTT</t>
        </is>
      </c>
      <c r="I1315" s="65" t="inlineStr">
        <is>
          <t>STG21118439</t>
        </is>
      </c>
      <c r="J1315" s="65" t="inlineStr">
        <is>
          <t>N/D</t>
        </is>
      </c>
      <c r="K1315" s="65" t="inlineStr">
        <is>
          <t>N/D</t>
        </is>
      </c>
      <c r="L1315" s="127" t="inlineStr">
        <is>
          <t>BENELLI ARMI SPA</t>
        </is>
      </c>
      <c r="M1315" s="5" t="n">
        <v>120</v>
      </c>
      <c r="N1315" s="5" t="n"/>
      <c r="O1315" s="5">
        <f>+M1315+N1315</f>
        <v/>
      </c>
      <c r="P1315" s="4" t="n">
        <v>45752</v>
      </c>
      <c r="Q1315" s="87" t="n">
        <v>45741</v>
      </c>
      <c r="R1315" s="5" t="n">
        <v>152.55</v>
      </c>
      <c r="S1315" s="2" t="n">
        <v>1</v>
      </c>
      <c r="T1315" s="3" t="inlineStr">
        <is>
          <t>6B/2025/2S</t>
        </is>
      </c>
      <c r="U1315" s="86" t="n">
        <v>45771</v>
      </c>
      <c r="V1315" s="3" t="inlineStr">
        <is>
          <t>7</t>
        </is>
      </c>
      <c r="W1315" s="111" t="n">
        <v>45771</v>
      </c>
      <c r="X1315" s="134" t="inlineStr">
        <is>
          <t xml:space="preserve">BIN HUMAID NATIONAL TRAD. CO. </t>
        </is>
      </c>
    </row>
    <row r="1316" ht="24" customHeight="1">
      <c r="A1316" s="2">
        <f>+D1316-S1316</f>
        <v/>
      </c>
      <c r="B1316" s="80" t="n">
        <v>2975</v>
      </c>
      <c r="C1316" s="66" t="n">
        <v>45755</v>
      </c>
      <c r="D1316" s="2" t="n">
        <v>1</v>
      </c>
      <c r="E1316" s="3" t="inlineStr">
        <is>
          <t>CARABINA AD ARIA COMPRESSA</t>
        </is>
      </c>
      <c r="F1316" s="3" t="inlineStr">
        <is>
          <t>4.5</t>
        </is>
      </c>
      <c r="G1316" s="3" t="inlineStr">
        <is>
          <t>STOEGER</t>
        </is>
      </c>
      <c r="H1316" s="65" t="inlineStr">
        <is>
          <t>STO RX20 TAC FULL 420 SYNTH CON OTT</t>
        </is>
      </c>
      <c r="I1316" s="65" t="inlineStr">
        <is>
          <t>STG21118472</t>
        </is>
      </c>
      <c r="J1316" s="65" t="inlineStr">
        <is>
          <t>N/D</t>
        </is>
      </c>
      <c r="K1316" s="65" t="inlineStr">
        <is>
          <t>N/D</t>
        </is>
      </c>
      <c r="L1316" s="127" t="inlineStr">
        <is>
          <t>BENELLI ARMI SPA</t>
        </is>
      </c>
      <c r="M1316" s="5" t="n">
        <v>120</v>
      </c>
      <c r="N1316" s="5" t="n"/>
      <c r="O1316" s="5">
        <f>+M1316+N1316</f>
        <v/>
      </c>
      <c r="P1316" s="4" t="n">
        <v>45752</v>
      </c>
      <c r="Q1316" s="87" t="n">
        <v>45741</v>
      </c>
      <c r="R1316" s="5" t="n">
        <v>152.55</v>
      </c>
      <c r="S1316" s="2" t="n">
        <v>1</v>
      </c>
      <c r="T1316" s="3" t="inlineStr">
        <is>
          <t>6B/2025/2S</t>
        </is>
      </c>
      <c r="U1316" s="86" t="n">
        <v>45771</v>
      </c>
      <c r="V1316" s="3" t="inlineStr">
        <is>
          <t>7</t>
        </is>
      </c>
      <c r="W1316" s="111" t="n">
        <v>45771</v>
      </c>
      <c r="X1316" s="134" t="inlineStr">
        <is>
          <t xml:space="preserve">BIN HUMAID NATIONAL TRAD. CO. </t>
        </is>
      </c>
    </row>
    <row r="1317" ht="24" customHeight="1">
      <c r="A1317" s="2">
        <f>+D1317-S1317</f>
        <v/>
      </c>
      <c r="B1317" s="80" t="n">
        <v>2976</v>
      </c>
      <c r="C1317" s="66" t="n">
        <v>45755</v>
      </c>
      <c r="D1317" s="2" t="n">
        <v>1</v>
      </c>
      <c r="E1317" s="3" t="inlineStr">
        <is>
          <t>CARABINA AD ARIA COMPRESSA</t>
        </is>
      </c>
      <c r="F1317" s="3" t="inlineStr">
        <is>
          <t>4.5</t>
        </is>
      </c>
      <c r="G1317" s="3" t="inlineStr">
        <is>
          <t>STOEGER</t>
        </is>
      </c>
      <c r="H1317" s="65" t="inlineStr">
        <is>
          <t>STO RX20 TAC FULL 420 SYNTH CON OTT</t>
        </is>
      </c>
      <c r="I1317" s="65" t="inlineStr">
        <is>
          <t>STG21118473</t>
        </is>
      </c>
      <c r="J1317" s="65" t="inlineStr">
        <is>
          <t>N/D</t>
        </is>
      </c>
      <c r="K1317" s="65" t="inlineStr">
        <is>
          <t>N/D</t>
        </is>
      </c>
      <c r="L1317" s="127" t="inlineStr">
        <is>
          <t>BENELLI ARMI SPA</t>
        </is>
      </c>
      <c r="M1317" s="5" t="n">
        <v>120</v>
      </c>
      <c r="N1317" s="5" t="n"/>
      <c r="O1317" s="5">
        <f>+M1317+N1317</f>
        <v/>
      </c>
      <c r="P1317" s="4" t="n">
        <v>45752</v>
      </c>
      <c r="Q1317" s="87" t="n">
        <v>45741</v>
      </c>
      <c r="R1317" s="5" t="n">
        <v>152.55</v>
      </c>
      <c r="S1317" s="2" t="n">
        <v>1</v>
      </c>
      <c r="T1317" s="3" t="inlineStr">
        <is>
          <t>6B/2025/2S</t>
        </is>
      </c>
      <c r="U1317" s="86" t="n">
        <v>45771</v>
      </c>
      <c r="V1317" s="3" t="inlineStr">
        <is>
          <t>7</t>
        </is>
      </c>
      <c r="W1317" s="111" t="n">
        <v>45771</v>
      </c>
      <c r="X1317" s="134" t="inlineStr">
        <is>
          <t xml:space="preserve">BIN HUMAID NATIONAL TRAD. CO. </t>
        </is>
      </c>
    </row>
    <row r="1318" ht="24" customHeight="1">
      <c r="A1318" s="2">
        <f>+D1318-S1318</f>
        <v/>
      </c>
      <c r="B1318" s="80" t="n">
        <v>2977</v>
      </c>
      <c r="C1318" s="66" t="n">
        <v>45755</v>
      </c>
      <c r="D1318" s="2" t="n">
        <v>1</v>
      </c>
      <c r="E1318" s="3" t="inlineStr">
        <is>
          <t>CARABINA AD ARIA COMPRESSA</t>
        </is>
      </c>
      <c r="F1318" s="3" t="inlineStr">
        <is>
          <t>4.5</t>
        </is>
      </c>
      <c r="G1318" s="3" t="inlineStr">
        <is>
          <t>STOEGER</t>
        </is>
      </c>
      <c r="H1318" s="65" t="inlineStr">
        <is>
          <t>STO RX20 TAC FULL 420 SYNTH CON OTT</t>
        </is>
      </c>
      <c r="I1318" s="65" t="inlineStr">
        <is>
          <t>STG21118475</t>
        </is>
      </c>
      <c r="J1318" s="65" t="inlineStr">
        <is>
          <t>N/D</t>
        </is>
      </c>
      <c r="K1318" s="65" t="inlineStr">
        <is>
          <t>N/D</t>
        </is>
      </c>
      <c r="L1318" s="127" t="inlineStr">
        <is>
          <t>BENELLI ARMI SPA</t>
        </is>
      </c>
      <c r="M1318" s="5" t="n">
        <v>120</v>
      </c>
      <c r="N1318" s="5" t="n"/>
      <c r="O1318" s="5">
        <f>+M1318+N1318</f>
        <v/>
      </c>
      <c r="P1318" s="4" t="n">
        <v>45752</v>
      </c>
      <c r="Q1318" s="87" t="n">
        <v>45741</v>
      </c>
      <c r="R1318" s="5" t="n">
        <v>152.55</v>
      </c>
      <c r="S1318" s="2" t="n">
        <v>1</v>
      </c>
      <c r="T1318" s="3" t="inlineStr">
        <is>
          <t>6B/2025/2S</t>
        </is>
      </c>
      <c r="U1318" s="86" t="n">
        <v>45771</v>
      </c>
      <c r="V1318" s="3" t="inlineStr">
        <is>
          <t>7</t>
        </is>
      </c>
      <c r="W1318" s="111" t="n">
        <v>45771</v>
      </c>
      <c r="X1318" s="134" t="inlineStr">
        <is>
          <t xml:space="preserve">BIN HUMAID NATIONAL TRAD. CO. </t>
        </is>
      </c>
    </row>
    <row r="1319" ht="24" customHeight="1">
      <c r="A1319" s="2">
        <f>+D1319-S1319</f>
        <v/>
      </c>
      <c r="B1319" s="80" t="n">
        <v>2978</v>
      </c>
      <c r="C1319" s="66" t="n">
        <v>45755</v>
      </c>
      <c r="D1319" s="2" t="n">
        <v>1</v>
      </c>
      <c r="E1319" s="3" t="inlineStr">
        <is>
          <t>CARABINA AD ARIA COMPRESSA</t>
        </is>
      </c>
      <c r="F1319" s="3" t="inlineStr">
        <is>
          <t>4.5</t>
        </is>
      </c>
      <c r="G1319" s="3" t="inlineStr">
        <is>
          <t>STOEGER</t>
        </is>
      </c>
      <c r="H1319" s="65" t="inlineStr">
        <is>
          <t>STO RX20 TAC FULL 420 SYNTH CON OTT</t>
        </is>
      </c>
      <c r="I1319" s="65" t="inlineStr">
        <is>
          <t>STG21118483</t>
        </is>
      </c>
      <c r="J1319" s="65" t="inlineStr">
        <is>
          <t>N/D</t>
        </is>
      </c>
      <c r="K1319" s="65" t="inlineStr">
        <is>
          <t>N/D</t>
        </is>
      </c>
      <c r="L1319" s="127" t="inlineStr">
        <is>
          <t>BENELLI ARMI SPA</t>
        </is>
      </c>
      <c r="M1319" s="5" t="n">
        <v>120</v>
      </c>
      <c r="N1319" s="5" t="n"/>
      <c r="O1319" s="5">
        <f>+M1319+N1319</f>
        <v/>
      </c>
      <c r="P1319" s="4" t="n">
        <v>45752</v>
      </c>
      <c r="Q1319" s="87" t="n">
        <v>45741</v>
      </c>
      <c r="R1319" s="5" t="n">
        <v>152.55</v>
      </c>
      <c r="S1319" s="2" t="n">
        <v>1</v>
      </c>
      <c r="T1319" s="3" t="inlineStr">
        <is>
          <t>6B/2025/2S</t>
        </is>
      </c>
      <c r="U1319" s="86" t="n">
        <v>45771</v>
      </c>
      <c r="V1319" s="3" t="inlineStr">
        <is>
          <t>7</t>
        </is>
      </c>
      <c r="W1319" s="111" t="n">
        <v>45771</v>
      </c>
      <c r="X1319" s="134" t="inlineStr">
        <is>
          <t xml:space="preserve">BIN HUMAID NATIONAL TRAD. CO. </t>
        </is>
      </c>
    </row>
    <row r="1320" ht="24" customHeight="1">
      <c r="A1320" s="2">
        <f>+D1320-S1320</f>
        <v/>
      </c>
      <c r="B1320" s="80" t="n">
        <v>2979</v>
      </c>
      <c r="C1320" s="66" t="n">
        <v>45755</v>
      </c>
      <c r="D1320" s="2" t="n">
        <v>1</v>
      </c>
      <c r="E1320" s="3" t="inlineStr">
        <is>
          <t>CARABINA AD ARIA COMPRESSA</t>
        </is>
      </c>
      <c r="F1320" s="3" t="inlineStr">
        <is>
          <t>4.5</t>
        </is>
      </c>
      <c r="G1320" s="3" t="inlineStr">
        <is>
          <t>STOEGER</t>
        </is>
      </c>
      <c r="H1320" s="65" t="inlineStr">
        <is>
          <t>STO RX20 TAC FULL 420 SYNTH CON OTT</t>
        </is>
      </c>
      <c r="I1320" s="65" t="inlineStr">
        <is>
          <t>STG21118484</t>
        </is>
      </c>
      <c r="J1320" s="65" t="inlineStr">
        <is>
          <t>N/D</t>
        </is>
      </c>
      <c r="K1320" s="65" t="inlineStr">
        <is>
          <t>N/D</t>
        </is>
      </c>
      <c r="L1320" s="127" t="inlineStr">
        <is>
          <t>BENELLI ARMI SPA</t>
        </is>
      </c>
      <c r="M1320" s="5" t="n">
        <v>120</v>
      </c>
      <c r="N1320" s="5" t="n"/>
      <c r="O1320" s="5">
        <f>+M1320+N1320</f>
        <v/>
      </c>
      <c r="P1320" s="4" t="n">
        <v>45752</v>
      </c>
      <c r="Q1320" s="87" t="n">
        <v>45741</v>
      </c>
      <c r="R1320" s="5" t="n">
        <v>152.55</v>
      </c>
      <c r="S1320" s="2" t="n">
        <v>1</v>
      </c>
      <c r="T1320" s="3" t="inlineStr">
        <is>
          <t>6B/2025/2S</t>
        </is>
      </c>
      <c r="U1320" s="86" t="n">
        <v>45771</v>
      </c>
      <c r="V1320" s="3" t="inlineStr">
        <is>
          <t>7</t>
        </is>
      </c>
      <c r="W1320" s="111" t="n">
        <v>45771</v>
      </c>
      <c r="X1320" s="134" t="inlineStr">
        <is>
          <t xml:space="preserve">BIN HUMAID NATIONAL TRAD. CO. </t>
        </is>
      </c>
    </row>
    <row r="1321" ht="24" customHeight="1">
      <c r="A1321" s="2">
        <f>+D1321-S1321</f>
        <v/>
      </c>
      <c r="B1321" s="80" t="n">
        <v>2980</v>
      </c>
      <c r="C1321" s="66" t="n">
        <v>45755</v>
      </c>
      <c r="D1321" s="2" t="n">
        <v>1</v>
      </c>
      <c r="E1321" s="3" t="inlineStr">
        <is>
          <t>CARABINA AD ARIA COMPRESSA</t>
        </is>
      </c>
      <c r="F1321" s="3" t="inlineStr">
        <is>
          <t>4.5</t>
        </is>
      </c>
      <c r="G1321" s="3" t="inlineStr">
        <is>
          <t>STOEGER</t>
        </is>
      </c>
      <c r="H1321" s="65" t="inlineStr">
        <is>
          <t>STO RX20 TAC FULL 420 SYNTH CON OTT</t>
        </is>
      </c>
      <c r="I1321" s="65" t="inlineStr">
        <is>
          <t>STG21118485</t>
        </is>
      </c>
      <c r="J1321" s="65" t="inlineStr">
        <is>
          <t>N/D</t>
        </is>
      </c>
      <c r="K1321" s="65" t="inlineStr">
        <is>
          <t>N/D</t>
        </is>
      </c>
      <c r="L1321" s="127" t="inlineStr">
        <is>
          <t>BENELLI ARMI SPA</t>
        </is>
      </c>
      <c r="M1321" s="5" t="n">
        <v>120</v>
      </c>
      <c r="N1321" s="5" t="n"/>
      <c r="O1321" s="5">
        <f>+M1321+N1321</f>
        <v/>
      </c>
      <c r="P1321" s="4" t="n">
        <v>45752</v>
      </c>
      <c r="Q1321" s="87" t="n">
        <v>45741</v>
      </c>
      <c r="R1321" s="5" t="n">
        <v>152.55</v>
      </c>
      <c r="S1321" s="2" t="n">
        <v>1</v>
      </c>
      <c r="T1321" s="3" t="inlineStr">
        <is>
          <t>6B/2025/2S</t>
        </is>
      </c>
      <c r="U1321" s="86" t="n">
        <v>45771</v>
      </c>
      <c r="V1321" s="3" t="inlineStr">
        <is>
          <t>7</t>
        </is>
      </c>
      <c r="W1321" s="111" t="n">
        <v>45771</v>
      </c>
      <c r="X1321" s="134" t="inlineStr">
        <is>
          <t xml:space="preserve">BIN HUMAID NATIONAL TRAD. CO. </t>
        </is>
      </c>
    </row>
    <row r="1322" ht="24" customHeight="1">
      <c r="A1322" s="2">
        <f>+D1322-S1322</f>
        <v/>
      </c>
      <c r="B1322" s="80" t="n">
        <v>2981</v>
      </c>
      <c r="C1322" s="66" t="n">
        <v>45755</v>
      </c>
      <c r="D1322" s="2" t="n">
        <v>1</v>
      </c>
      <c r="E1322" s="3" t="inlineStr">
        <is>
          <t>CARABINA AD ARIA COMPRESSA</t>
        </is>
      </c>
      <c r="F1322" s="3" t="inlineStr">
        <is>
          <t>4.5</t>
        </is>
      </c>
      <c r="G1322" s="3" t="inlineStr">
        <is>
          <t>STOEGER</t>
        </is>
      </c>
      <c r="H1322" s="65" t="inlineStr">
        <is>
          <t>STO RX20 TAC FULL 420 SYNTH CON OTT</t>
        </is>
      </c>
      <c r="I1322" s="65" t="inlineStr">
        <is>
          <t>STG21118496</t>
        </is>
      </c>
      <c r="J1322" s="65" t="inlineStr">
        <is>
          <t>N/D</t>
        </is>
      </c>
      <c r="K1322" s="65" t="inlineStr">
        <is>
          <t>N/D</t>
        </is>
      </c>
      <c r="L1322" s="127" t="inlineStr">
        <is>
          <t>BENELLI ARMI SPA</t>
        </is>
      </c>
      <c r="M1322" s="5" t="n">
        <v>120</v>
      </c>
      <c r="N1322" s="5" t="n"/>
      <c r="O1322" s="5">
        <f>+M1322+N1322</f>
        <v/>
      </c>
      <c r="P1322" s="4" t="n">
        <v>45752</v>
      </c>
      <c r="Q1322" s="87" t="n">
        <v>45741</v>
      </c>
      <c r="R1322" s="5" t="n">
        <v>152.55</v>
      </c>
      <c r="S1322" s="2" t="n">
        <v>1</v>
      </c>
      <c r="T1322" s="3" t="inlineStr">
        <is>
          <t>6B/2025/2S</t>
        </is>
      </c>
      <c r="U1322" s="86" t="n">
        <v>45771</v>
      </c>
      <c r="V1322" s="3" t="inlineStr">
        <is>
          <t>7</t>
        </is>
      </c>
      <c r="W1322" s="111" t="n">
        <v>45771</v>
      </c>
      <c r="X1322" s="134" t="inlineStr">
        <is>
          <t xml:space="preserve">BIN HUMAID NATIONAL TRAD. CO. </t>
        </is>
      </c>
    </row>
    <row r="1323" ht="24" customHeight="1">
      <c r="A1323" s="2">
        <f>+D1323-S1323</f>
        <v/>
      </c>
      <c r="B1323" s="80" t="n">
        <v>2982</v>
      </c>
      <c r="C1323" s="66" t="n">
        <v>45755</v>
      </c>
      <c r="D1323" s="2" t="n">
        <v>1</v>
      </c>
      <c r="E1323" s="3" t="inlineStr">
        <is>
          <t>CARABINA AD ARIA COMPRESSA</t>
        </is>
      </c>
      <c r="F1323" s="3" t="inlineStr">
        <is>
          <t>4.5</t>
        </is>
      </c>
      <c r="G1323" s="3" t="inlineStr">
        <is>
          <t>STOEGER</t>
        </is>
      </c>
      <c r="H1323" s="65" t="inlineStr">
        <is>
          <t>STO RX20 TAC FULL 420 SYNTH CON OTT</t>
        </is>
      </c>
      <c r="I1323" s="65" t="inlineStr">
        <is>
          <t>STG21118528</t>
        </is>
      </c>
      <c r="J1323" s="65" t="inlineStr">
        <is>
          <t>N/D</t>
        </is>
      </c>
      <c r="K1323" s="65" t="inlineStr">
        <is>
          <t>N/D</t>
        </is>
      </c>
      <c r="L1323" s="127" t="inlineStr">
        <is>
          <t>BENELLI ARMI SPA</t>
        </is>
      </c>
      <c r="M1323" s="5" t="n">
        <v>120</v>
      </c>
      <c r="N1323" s="5" t="n"/>
      <c r="O1323" s="5">
        <f>+M1323+N1323</f>
        <v/>
      </c>
      <c r="P1323" s="4" t="n">
        <v>45752</v>
      </c>
      <c r="Q1323" s="87" t="n">
        <v>45741</v>
      </c>
      <c r="R1323" s="5" t="n">
        <v>152.55</v>
      </c>
      <c r="S1323" s="2" t="n">
        <v>1</v>
      </c>
      <c r="T1323" s="3" t="inlineStr">
        <is>
          <t>6B/2025/2S</t>
        </is>
      </c>
      <c r="U1323" s="86" t="n">
        <v>45771</v>
      </c>
      <c r="V1323" s="3" t="inlineStr">
        <is>
          <t>7</t>
        </is>
      </c>
      <c r="W1323" s="111" t="n">
        <v>45771</v>
      </c>
      <c r="X1323" s="134" t="inlineStr">
        <is>
          <t xml:space="preserve">BIN HUMAID NATIONAL TRAD. CO. </t>
        </is>
      </c>
    </row>
    <row r="1324" ht="24" customHeight="1">
      <c r="A1324" s="2">
        <f>+D1324-S1324</f>
        <v/>
      </c>
      <c r="B1324" s="80" t="n">
        <v>2983</v>
      </c>
      <c r="C1324" s="66" t="n">
        <v>45755</v>
      </c>
      <c r="D1324" s="2" t="n">
        <v>1</v>
      </c>
      <c r="E1324" s="3" t="inlineStr">
        <is>
          <t>CARABINA AD ARIA COMPRESSA</t>
        </is>
      </c>
      <c r="F1324" s="3" t="inlineStr">
        <is>
          <t>4.5</t>
        </is>
      </c>
      <c r="G1324" s="3" t="inlineStr">
        <is>
          <t>STOEGER</t>
        </is>
      </c>
      <c r="H1324" s="65" t="inlineStr">
        <is>
          <t>STO RX20 TAC FULL 420 SYNTH CON OTT</t>
        </is>
      </c>
      <c r="I1324" s="65" t="inlineStr">
        <is>
          <t>STG21118537</t>
        </is>
      </c>
      <c r="J1324" s="65" t="inlineStr">
        <is>
          <t>N/D</t>
        </is>
      </c>
      <c r="K1324" s="65" t="inlineStr">
        <is>
          <t>N/D</t>
        </is>
      </c>
      <c r="L1324" s="127" t="inlineStr">
        <is>
          <t>BENELLI ARMI SPA</t>
        </is>
      </c>
      <c r="M1324" s="5" t="n">
        <v>120</v>
      </c>
      <c r="N1324" s="5" t="n"/>
      <c r="O1324" s="5">
        <f>+M1324+N1324</f>
        <v/>
      </c>
      <c r="P1324" s="4" t="n">
        <v>45752</v>
      </c>
      <c r="Q1324" s="87" t="n">
        <v>45741</v>
      </c>
      <c r="R1324" s="5" t="n">
        <v>152.55</v>
      </c>
      <c r="S1324" s="2" t="n">
        <v>1</v>
      </c>
      <c r="T1324" s="3" t="inlineStr">
        <is>
          <t>6B/2025/2S</t>
        </is>
      </c>
      <c r="U1324" s="86" t="n">
        <v>45771</v>
      </c>
      <c r="V1324" s="3" t="inlineStr">
        <is>
          <t>7</t>
        </is>
      </c>
      <c r="W1324" s="111" t="n">
        <v>45771</v>
      </c>
      <c r="X1324" s="134" t="inlineStr">
        <is>
          <t xml:space="preserve">BIN HUMAID NATIONAL TRAD. CO. </t>
        </is>
      </c>
    </row>
    <row r="1325" ht="24" customHeight="1">
      <c r="A1325" s="2">
        <f>+D1325-S1325</f>
        <v/>
      </c>
      <c r="B1325" s="80" t="n">
        <v>2984</v>
      </c>
      <c r="C1325" s="66" t="n">
        <v>45755</v>
      </c>
      <c r="D1325" s="2" t="n">
        <v>1</v>
      </c>
      <c r="E1325" s="3" t="inlineStr">
        <is>
          <t>CARABINA AD ARIA COMPRESSA</t>
        </is>
      </c>
      <c r="F1325" s="3" t="inlineStr">
        <is>
          <t>4.5</t>
        </is>
      </c>
      <c r="G1325" s="3" t="inlineStr">
        <is>
          <t>STOEGER</t>
        </is>
      </c>
      <c r="H1325" s="65" t="inlineStr">
        <is>
          <t>STO RX20 TAC FULL 420 SYNTH CON OTT</t>
        </is>
      </c>
      <c r="I1325" s="65" t="inlineStr">
        <is>
          <t>STG2232070</t>
        </is>
      </c>
      <c r="J1325" s="65" t="inlineStr">
        <is>
          <t>N/D</t>
        </is>
      </c>
      <c r="K1325" s="65" t="inlineStr">
        <is>
          <t>N/D</t>
        </is>
      </c>
      <c r="L1325" s="127" t="inlineStr">
        <is>
          <t>BENELLI ARMI SPA</t>
        </is>
      </c>
      <c r="M1325" s="5" t="n">
        <v>120</v>
      </c>
      <c r="N1325" s="5" t="n"/>
      <c r="O1325" s="5">
        <f>+M1325+N1325</f>
        <v/>
      </c>
      <c r="P1325" s="4" t="n">
        <v>45752</v>
      </c>
      <c r="Q1325" s="87" t="n">
        <v>45741</v>
      </c>
      <c r="R1325" s="5" t="n">
        <v>152.55</v>
      </c>
      <c r="S1325" s="2" t="n">
        <v>1</v>
      </c>
      <c r="T1325" s="3" t="inlineStr">
        <is>
          <t>6B/2025/2S</t>
        </is>
      </c>
      <c r="U1325" s="86" t="n">
        <v>45771</v>
      </c>
      <c r="V1325" s="3" t="inlineStr">
        <is>
          <t>7</t>
        </is>
      </c>
      <c r="W1325" s="111" t="n">
        <v>45771</v>
      </c>
      <c r="X1325" s="134" t="inlineStr">
        <is>
          <t xml:space="preserve">BIN HUMAID NATIONAL TRAD. CO. </t>
        </is>
      </c>
    </row>
    <row r="1326" ht="24" customHeight="1">
      <c r="A1326" s="2">
        <f>+D1326-S1326</f>
        <v/>
      </c>
      <c r="B1326" s="80" t="n">
        <v>2985</v>
      </c>
      <c r="C1326" s="66" t="n">
        <v>45755</v>
      </c>
      <c r="D1326" s="2" t="n">
        <v>1</v>
      </c>
      <c r="E1326" s="3" t="inlineStr">
        <is>
          <t>CARABINA AD ARIA COMPRESSA</t>
        </is>
      </c>
      <c r="F1326" s="3" t="inlineStr">
        <is>
          <t>4.5</t>
        </is>
      </c>
      <c r="G1326" s="3" t="inlineStr">
        <is>
          <t>STOEGER</t>
        </is>
      </c>
      <c r="H1326" s="65" t="inlineStr">
        <is>
          <t>STO RX20 TAC FULL 420 SYNTH CON OTT</t>
        </is>
      </c>
      <c r="I1326" s="65" t="inlineStr">
        <is>
          <t>STG2232072</t>
        </is>
      </c>
      <c r="J1326" s="65" t="inlineStr">
        <is>
          <t>N/D</t>
        </is>
      </c>
      <c r="K1326" s="65" t="inlineStr">
        <is>
          <t>N/D</t>
        </is>
      </c>
      <c r="L1326" s="127" t="inlineStr">
        <is>
          <t>BENELLI ARMI SPA</t>
        </is>
      </c>
      <c r="M1326" s="5" t="n">
        <v>120</v>
      </c>
      <c r="N1326" s="5" t="n"/>
      <c r="O1326" s="5">
        <f>+M1326+N1326</f>
        <v/>
      </c>
      <c r="P1326" s="4" t="n">
        <v>45752</v>
      </c>
      <c r="Q1326" s="87" t="n">
        <v>45741</v>
      </c>
      <c r="R1326" s="5" t="n">
        <v>152.55</v>
      </c>
      <c r="S1326" s="2" t="n">
        <v>1</v>
      </c>
      <c r="T1326" s="3" t="inlineStr">
        <is>
          <t>6B/2025/2S</t>
        </is>
      </c>
      <c r="U1326" s="86" t="n">
        <v>45771</v>
      </c>
      <c r="V1326" s="3" t="inlineStr">
        <is>
          <t>7</t>
        </is>
      </c>
      <c r="W1326" s="111" t="n">
        <v>45771</v>
      </c>
      <c r="X1326" s="134" t="inlineStr">
        <is>
          <t xml:space="preserve">BIN HUMAID NATIONAL TRAD. CO. </t>
        </is>
      </c>
    </row>
    <row r="1327" ht="24" customHeight="1">
      <c r="A1327" s="2">
        <f>+D1327-S1327</f>
        <v/>
      </c>
      <c r="B1327" s="80" t="n">
        <v>2986</v>
      </c>
      <c r="C1327" s="66" t="n">
        <v>45755</v>
      </c>
      <c r="D1327" s="2" t="n">
        <v>1</v>
      </c>
      <c r="E1327" s="3" t="inlineStr">
        <is>
          <t>CARABINA AD ARIA COMPRESSA</t>
        </is>
      </c>
      <c r="F1327" s="3" t="inlineStr">
        <is>
          <t>4.5</t>
        </is>
      </c>
      <c r="G1327" s="3" t="inlineStr">
        <is>
          <t>STOEGER</t>
        </is>
      </c>
      <c r="H1327" s="65" t="inlineStr">
        <is>
          <t>STO RX20 TAC FULL 420 SYNTH CON OTT</t>
        </is>
      </c>
      <c r="I1327" s="65" t="inlineStr">
        <is>
          <t>STG2232077</t>
        </is>
      </c>
      <c r="J1327" s="65" t="inlineStr">
        <is>
          <t>N/D</t>
        </is>
      </c>
      <c r="K1327" s="65" t="inlineStr">
        <is>
          <t>N/D</t>
        </is>
      </c>
      <c r="L1327" s="127" t="inlineStr">
        <is>
          <t>BENELLI ARMI SPA</t>
        </is>
      </c>
      <c r="M1327" s="5" t="n">
        <v>120</v>
      </c>
      <c r="N1327" s="5" t="n"/>
      <c r="O1327" s="5">
        <f>+M1327+N1327</f>
        <v/>
      </c>
      <c r="P1327" s="4" t="n">
        <v>45752</v>
      </c>
      <c r="Q1327" s="87" t="n">
        <v>45741</v>
      </c>
      <c r="R1327" s="5" t="n">
        <v>152.55</v>
      </c>
      <c r="S1327" s="2" t="n">
        <v>1</v>
      </c>
      <c r="T1327" s="3" t="inlineStr">
        <is>
          <t>6B/2025/2S</t>
        </is>
      </c>
      <c r="U1327" s="86" t="n">
        <v>45771</v>
      </c>
      <c r="V1327" s="3" t="inlineStr">
        <is>
          <t>7</t>
        </is>
      </c>
      <c r="W1327" s="111" t="n">
        <v>45771</v>
      </c>
      <c r="X1327" s="134" t="inlineStr">
        <is>
          <t xml:space="preserve">BIN HUMAID NATIONAL TRAD. CO. </t>
        </is>
      </c>
    </row>
    <row r="1328" ht="24" customHeight="1">
      <c r="A1328" s="2">
        <f>+D1328-S1328</f>
        <v/>
      </c>
      <c r="B1328" s="80" t="n">
        <v>2987</v>
      </c>
      <c r="C1328" s="66" t="n">
        <v>45755</v>
      </c>
      <c r="D1328" s="2" t="n">
        <v>1</v>
      </c>
      <c r="E1328" s="3" t="inlineStr">
        <is>
          <t>CARABINA AD ARIA COMPRESSA</t>
        </is>
      </c>
      <c r="F1328" s="3" t="inlineStr">
        <is>
          <t>4.5</t>
        </is>
      </c>
      <c r="G1328" s="3" t="inlineStr">
        <is>
          <t>STOEGER</t>
        </is>
      </c>
      <c r="H1328" s="65" t="inlineStr">
        <is>
          <t>STO RX20 TAC FULL 420 SYNTH CON OTT</t>
        </is>
      </c>
      <c r="I1328" s="65" t="inlineStr">
        <is>
          <t>STG2232089</t>
        </is>
      </c>
      <c r="J1328" s="65" t="inlineStr">
        <is>
          <t>N/D</t>
        </is>
      </c>
      <c r="K1328" s="65" t="inlineStr">
        <is>
          <t>N/D</t>
        </is>
      </c>
      <c r="L1328" s="127" t="inlineStr">
        <is>
          <t>BENELLI ARMI SPA</t>
        </is>
      </c>
      <c r="M1328" s="5" t="n">
        <v>120</v>
      </c>
      <c r="N1328" s="5" t="n"/>
      <c r="O1328" s="5">
        <f>+M1328+N1328</f>
        <v/>
      </c>
      <c r="P1328" s="4" t="n">
        <v>45752</v>
      </c>
      <c r="Q1328" s="87" t="n">
        <v>45741</v>
      </c>
      <c r="R1328" s="5" t="n">
        <v>152.55</v>
      </c>
      <c r="S1328" s="2" t="n">
        <v>1</v>
      </c>
      <c r="T1328" s="3" t="inlineStr">
        <is>
          <t>6B/2025/2S</t>
        </is>
      </c>
      <c r="U1328" s="86" t="n">
        <v>45771</v>
      </c>
      <c r="V1328" s="3" t="inlineStr">
        <is>
          <t>7</t>
        </is>
      </c>
      <c r="W1328" s="111" t="n">
        <v>45771</v>
      </c>
      <c r="X1328" s="134" t="inlineStr">
        <is>
          <t xml:space="preserve">BIN HUMAID NATIONAL TRAD. CO. </t>
        </is>
      </c>
    </row>
    <row r="1329" ht="24" customHeight="1">
      <c r="A1329" s="2">
        <f>+D1329-S1329</f>
        <v/>
      </c>
      <c r="B1329" s="80" t="n">
        <v>2988</v>
      </c>
      <c r="C1329" s="66" t="n">
        <v>45756</v>
      </c>
      <c r="D1329" s="2" t="n">
        <v>1</v>
      </c>
      <c r="E1329" s="3" t="inlineStr">
        <is>
          <t>CARABINA</t>
        </is>
      </c>
      <c r="F1329" s="3" t="inlineStr">
        <is>
          <t>.22lr</t>
        </is>
      </c>
      <c r="G1329" s="3" t="inlineStr">
        <is>
          <t>SMITH &amp; WESSON</t>
        </is>
      </c>
      <c r="H1329" s="65" t="inlineStr">
        <is>
          <t>M&amp;P15-22 SPORT KRYPTEK HIGHLANDER</t>
        </is>
      </c>
      <c r="I1329" s="65" t="inlineStr">
        <is>
          <t>FHX1276</t>
        </is>
      </c>
      <c r="J1329" s="65" t="inlineStr">
        <is>
          <t>N/D</t>
        </is>
      </c>
      <c r="K1329" s="65" t="inlineStr">
        <is>
          <t>N/D</t>
        </is>
      </c>
      <c r="L1329" s="127" t="inlineStr">
        <is>
          <t>PRIMA ARMI SRL</t>
        </is>
      </c>
      <c r="M1329" s="5" t="n">
        <v>574.1950000000001</v>
      </c>
      <c r="N1329" s="5" t="n"/>
      <c r="O1329" s="5">
        <f>+M1329+N1329</f>
        <v/>
      </c>
      <c r="P1329" s="4" t="n">
        <v>45744</v>
      </c>
      <c r="Q1329" s="87" t="n">
        <v>45744</v>
      </c>
      <c r="R1329" s="5" t="n">
        <v>840</v>
      </c>
      <c r="S1329" s="2" t="n">
        <v>1</v>
      </c>
      <c r="T1329" s="3" t="inlineStr">
        <is>
          <t>6B/2025/1S</t>
        </is>
      </c>
      <c r="U1329" s="86" t="n">
        <v>45769</v>
      </c>
      <c r="V1329" s="3" t="inlineStr">
        <is>
          <t>6</t>
        </is>
      </c>
      <c r="W1329" s="111" t="n">
        <v>45769</v>
      </c>
      <c r="X1329" s="4" t="inlineStr">
        <is>
          <t>HS &amp; S LLC</t>
        </is>
      </c>
    </row>
    <row r="1330" ht="24" customHeight="1">
      <c r="A1330" s="2">
        <f>+D1330-S1330</f>
        <v/>
      </c>
      <c r="B1330" s="80" t="n">
        <v>2989</v>
      </c>
      <c r="C1330" s="66" t="n">
        <v>45756</v>
      </c>
      <c r="D1330" s="2" t="n">
        <v>1</v>
      </c>
      <c r="E1330" s="3" t="inlineStr">
        <is>
          <t>CARABINA</t>
        </is>
      </c>
      <c r="F1330" s="3" t="inlineStr">
        <is>
          <t>.22lr</t>
        </is>
      </c>
      <c r="G1330" s="3" t="inlineStr">
        <is>
          <t>SMITH &amp; WESSON</t>
        </is>
      </c>
      <c r="H1330" s="65" t="inlineStr">
        <is>
          <t>M&amp;P15-22 SPORT KRYPTEK HIGHLANDER</t>
        </is>
      </c>
      <c r="I1330" s="65" t="inlineStr">
        <is>
          <t>FHY6854</t>
        </is>
      </c>
      <c r="J1330" s="65" t="inlineStr">
        <is>
          <t>N/D</t>
        </is>
      </c>
      <c r="K1330" s="65" t="inlineStr">
        <is>
          <t>N/D</t>
        </is>
      </c>
      <c r="L1330" s="127" t="inlineStr">
        <is>
          <t>PRIMA ARMI SRL</t>
        </is>
      </c>
      <c r="M1330" s="5" t="n">
        <v>574.1950000000001</v>
      </c>
      <c r="N1330" s="5" t="n"/>
      <c r="O1330" s="5">
        <f>+M1330+N1330</f>
        <v/>
      </c>
      <c r="P1330" s="4" t="n">
        <v>45744</v>
      </c>
      <c r="Q1330" s="87" t="n">
        <v>45744</v>
      </c>
      <c r="R1330" s="5" t="n">
        <v>840</v>
      </c>
      <c r="S1330" s="2" t="n">
        <v>1</v>
      </c>
      <c r="T1330" s="3" t="inlineStr">
        <is>
          <t>6B/2025/1S</t>
        </is>
      </c>
      <c r="U1330" s="86" t="n">
        <v>45769</v>
      </c>
      <c r="V1330" s="3" t="inlineStr">
        <is>
          <t>6</t>
        </is>
      </c>
      <c r="W1330" s="111" t="n">
        <v>45769</v>
      </c>
      <c r="X1330" s="4" t="inlineStr">
        <is>
          <t>HS &amp; S LLC</t>
        </is>
      </c>
    </row>
    <row r="1331" ht="24" customHeight="1">
      <c r="A1331" s="2">
        <f>+D1331-S1331</f>
        <v/>
      </c>
      <c r="B1331" s="80" t="n">
        <v>2990</v>
      </c>
      <c r="C1331" s="66" t="n">
        <v>45756</v>
      </c>
      <c r="D1331" s="2" t="n">
        <v>1</v>
      </c>
      <c r="E1331" s="3" t="inlineStr">
        <is>
          <t>PISTOLA SEMIAUTOMATICA</t>
        </is>
      </c>
      <c r="F1331" s="3" t="inlineStr">
        <is>
          <t>.22lr</t>
        </is>
      </c>
      <c r="G1331" s="3" t="inlineStr">
        <is>
          <t>BROWNING</t>
        </is>
      </c>
      <c r="H1331" s="65" t="inlineStr">
        <is>
          <t>BUCK MARK MEDALLION S/S, MS, ADJ S</t>
        </is>
      </c>
      <c r="I1331" s="65" t="inlineStr">
        <is>
          <t>US515YW12853</t>
        </is>
      </c>
      <c r="J1331" s="65" t="inlineStr">
        <is>
          <t>N/D</t>
        </is>
      </c>
      <c r="K1331" s="65" t="inlineStr">
        <is>
          <t>N/D</t>
        </is>
      </c>
      <c r="L1331" s="127" t="inlineStr">
        <is>
          <t>BROWNING INTERNATIONAL SA</t>
        </is>
      </c>
      <c r="M1331" s="5" t="n">
        <v>558.9</v>
      </c>
      <c r="N1331" s="5" t="n"/>
      <c r="O1331" s="5">
        <f>+M1331+N1331</f>
        <v/>
      </c>
      <c r="P1331" s="4" t="n">
        <v>45749</v>
      </c>
      <c r="Q1331" s="87" t="n">
        <v>45744</v>
      </c>
      <c r="R1331" s="5" t="n">
        <v>587</v>
      </c>
      <c r="S1331" s="2" t="n">
        <v>1</v>
      </c>
      <c r="T1331" s="3" t="inlineStr">
        <is>
          <t>CA04954OS</t>
        </is>
      </c>
      <c r="U1331" s="87" t="n">
        <v>45874</v>
      </c>
      <c r="V1331" s="3" t="inlineStr">
        <is>
          <t>25</t>
        </is>
      </c>
      <c r="W1331" s="4" t="n">
        <v>45874</v>
      </c>
      <c r="X1331" s="4" t="inlineStr">
        <is>
          <t>PHILIPPOS  CONSTANTINIDES
TRADING CO.LTD</t>
        </is>
      </c>
    </row>
    <row r="1332" ht="24" customHeight="1">
      <c r="A1332" s="2">
        <f>+D1332-S1332</f>
        <v/>
      </c>
      <c r="B1332" s="80" t="n">
        <v>2991</v>
      </c>
      <c r="C1332" s="66" t="n">
        <v>45756</v>
      </c>
      <c r="D1332" s="2" t="n">
        <v>1</v>
      </c>
      <c r="E1332" s="3" t="inlineStr">
        <is>
          <t>CARABINA SEMIAUTOMATICA</t>
        </is>
      </c>
      <c r="F1332" s="3" t="inlineStr">
        <is>
          <t>.22lr</t>
        </is>
      </c>
      <c r="G1332" s="3" t="inlineStr">
        <is>
          <t>WINCHESTER</t>
        </is>
      </c>
      <c r="H1332" s="65" t="inlineStr">
        <is>
          <t>WILDCAT FDE SA, S, THR 18''</t>
        </is>
      </c>
      <c r="I1332" s="65" t="inlineStr">
        <is>
          <t>TF614-24M10263</t>
        </is>
      </c>
      <c r="J1332" s="65" t="inlineStr">
        <is>
          <t>N/D</t>
        </is>
      </c>
      <c r="K1332" s="65" t="inlineStr">
        <is>
          <t>N/D</t>
        </is>
      </c>
      <c r="L1332" s="127" t="inlineStr">
        <is>
          <t>BROWNING INTERNATIONAL SA</t>
        </is>
      </c>
      <c r="M1332" s="5" t="n">
        <v>276.3</v>
      </c>
      <c r="N1332" s="5" t="n"/>
      <c r="O1332" s="5">
        <f>+M1332+N1332</f>
        <v/>
      </c>
      <c r="P1332" s="4" t="n">
        <v>45749</v>
      </c>
      <c r="Q1332" s="87" t="n">
        <v>45744</v>
      </c>
      <c r="R1332" s="5" t="n"/>
      <c r="S1332" s="2" t="n"/>
      <c r="T1332" s="3" t="n"/>
      <c r="U1332" s="87" t="n"/>
      <c r="V1332" s="3" t="n"/>
      <c r="W1332" s="108" t="n"/>
      <c r="X1332" s="4" t="n"/>
    </row>
    <row r="1333" ht="24" customHeight="1">
      <c r="A1333" s="2">
        <f>+D1333-S1333</f>
        <v/>
      </c>
      <c r="B1333" s="80" t="n">
        <v>2992</v>
      </c>
      <c r="C1333" s="66" t="n">
        <v>45756</v>
      </c>
      <c r="D1333" s="2" t="n">
        <v>1</v>
      </c>
      <c r="E1333" s="3" t="inlineStr">
        <is>
          <t>CARABINA</t>
        </is>
      </c>
      <c r="F1333" s="3" t="inlineStr">
        <is>
          <t>.22lr</t>
        </is>
      </c>
      <c r="G1333" s="3" t="inlineStr">
        <is>
          <t>WINCHESTER</t>
        </is>
      </c>
      <c r="H1333" s="65" t="inlineStr">
        <is>
          <t>XPERT COMPO, THR 18''</t>
        </is>
      </c>
      <c r="I1333" s="65" t="inlineStr">
        <is>
          <t>TF614-24AB06150</t>
        </is>
      </c>
      <c r="J1333" s="65" t="inlineStr">
        <is>
          <t>N/D</t>
        </is>
      </c>
      <c r="K1333" s="65" t="inlineStr">
        <is>
          <t>N/D</t>
        </is>
      </c>
      <c r="L1333" s="127" t="inlineStr">
        <is>
          <t>BROWNING INTERNATIONAL SA</t>
        </is>
      </c>
      <c r="M1333" s="5" t="n">
        <v>257.4</v>
      </c>
      <c r="N1333" s="5" t="n"/>
      <c r="O1333" s="5">
        <f>+M1333+N1333</f>
        <v/>
      </c>
      <c r="P1333" s="4" t="n">
        <v>45749</v>
      </c>
      <c r="Q1333" s="87" t="n">
        <v>45744</v>
      </c>
      <c r="R1333" s="5" t="n">
        <v>270</v>
      </c>
      <c r="S1333" s="2" t="n">
        <v>1</v>
      </c>
      <c r="T1333" s="3" t="inlineStr">
        <is>
          <t>CA04954OS</t>
        </is>
      </c>
      <c r="U1333" s="87" t="n">
        <v>45874</v>
      </c>
      <c r="V1333" s="3" t="inlineStr">
        <is>
          <t>26</t>
        </is>
      </c>
      <c r="W1333" s="4" t="n">
        <v>45874</v>
      </c>
      <c r="X1333" s="4" t="inlineStr">
        <is>
          <t>PHILIPPOS  CONSTANTINIDES
TRADING CO.LTD</t>
        </is>
      </c>
    </row>
    <row r="1334" ht="24" customHeight="1">
      <c r="A1334" s="2">
        <f>+D1334-S1334</f>
        <v/>
      </c>
      <c r="B1334" s="80" t="n">
        <v>2993</v>
      </c>
      <c r="C1334" s="66" t="n">
        <v>45756</v>
      </c>
      <c r="D1334" s="2" t="n">
        <v>1</v>
      </c>
      <c r="E1334" s="3" t="inlineStr">
        <is>
          <t>CARABINA</t>
        </is>
      </c>
      <c r="F1334" s="3" t="inlineStr">
        <is>
          <t>.22lr</t>
        </is>
      </c>
      <c r="G1334" s="3" t="inlineStr">
        <is>
          <t>WINCHESTER</t>
        </is>
      </c>
      <c r="H1334" s="65" t="inlineStr">
        <is>
          <t>XPERT COMPO, THR 18''</t>
        </is>
      </c>
      <c r="I1334" s="65" t="inlineStr">
        <is>
          <t>TF614-24AB06148</t>
        </is>
      </c>
      <c r="J1334" s="65" t="inlineStr">
        <is>
          <t>N/D</t>
        </is>
      </c>
      <c r="K1334" s="65" t="inlineStr">
        <is>
          <t>N/D</t>
        </is>
      </c>
      <c r="L1334" s="127" t="inlineStr">
        <is>
          <t>BROWNING INTERNATIONAL SA</t>
        </is>
      </c>
      <c r="M1334" s="5" t="n">
        <v>257.4</v>
      </c>
      <c r="N1334" s="5" t="n"/>
      <c r="O1334" s="5">
        <f>+M1334+N1334</f>
        <v/>
      </c>
      <c r="P1334" s="4" t="n">
        <v>45749</v>
      </c>
      <c r="Q1334" s="87" t="n">
        <v>45744</v>
      </c>
      <c r="R1334" s="5" t="n">
        <v>270</v>
      </c>
      <c r="S1334" s="2" t="n">
        <v>1</v>
      </c>
      <c r="T1334" s="3" t="inlineStr">
        <is>
          <t>CA04954OS</t>
        </is>
      </c>
      <c r="U1334" s="87" t="n">
        <v>45874</v>
      </c>
      <c r="V1334" s="3" t="inlineStr">
        <is>
          <t>26</t>
        </is>
      </c>
      <c r="W1334" s="4" t="n">
        <v>45874</v>
      </c>
      <c r="X1334" s="4" t="inlineStr">
        <is>
          <t>PHILIPPOS  CONSTANTINIDES
TRADING CO.LTD</t>
        </is>
      </c>
    </row>
    <row r="1335" ht="24" customHeight="1">
      <c r="A1335" s="2">
        <f>+D1335-S1335</f>
        <v/>
      </c>
      <c r="B1335" s="80" t="n">
        <v>2994</v>
      </c>
      <c r="C1335" s="66" t="n">
        <v>45756</v>
      </c>
      <c r="D1335" s="2" t="n">
        <v>1</v>
      </c>
      <c r="E1335" s="3" t="inlineStr">
        <is>
          <t>CARABINA</t>
        </is>
      </c>
      <c r="F1335" s="3" t="inlineStr">
        <is>
          <t>.22lr</t>
        </is>
      </c>
      <c r="G1335" s="3" t="inlineStr">
        <is>
          <t>WINCHESTER</t>
        </is>
      </c>
      <c r="H1335" s="65" t="inlineStr">
        <is>
          <t>XPERT COMPO, THR 18''</t>
        </is>
      </c>
      <c r="I1335" s="65" t="inlineStr">
        <is>
          <t>TF614-24AB06152</t>
        </is>
      </c>
      <c r="J1335" s="65" t="inlineStr">
        <is>
          <t>N/D</t>
        </is>
      </c>
      <c r="K1335" s="65" t="inlineStr">
        <is>
          <t>N/D</t>
        </is>
      </c>
      <c r="L1335" s="127" t="inlineStr">
        <is>
          <t>BROWNING INTERNATIONAL SA</t>
        </is>
      </c>
      <c r="M1335" s="5" t="n">
        <v>257.4</v>
      </c>
      <c r="N1335" s="5" t="n"/>
      <c r="O1335" s="5">
        <f>+M1335+N1335</f>
        <v/>
      </c>
      <c r="P1335" s="4" t="n">
        <v>45749</v>
      </c>
      <c r="Q1335" s="87" t="n">
        <v>45744</v>
      </c>
      <c r="R1335" s="5" t="n">
        <v>270</v>
      </c>
      <c r="S1335" s="2" t="n">
        <v>1</v>
      </c>
      <c r="T1335" s="3" t="inlineStr">
        <is>
          <t>CA04954OS</t>
        </is>
      </c>
      <c r="U1335" s="87" t="n">
        <v>45874</v>
      </c>
      <c r="V1335" s="3" t="inlineStr">
        <is>
          <t>26</t>
        </is>
      </c>
      <c r="W1335" s="4" t="n">
        <v>45874</v>
      </c>
      <c r="X1335" s="4" t="inlineStr">
        <is>
          <t>PHILIPPOS  CONSTANTINIDES
TRADING CO.LTD</t>
        </is>
      </c>
    </row>
    <row r="1336" ht="24" customHeight="1">
      <c r="A1336" s="2">
        <f>+D1336-S1336</f>
        <v/>
      </c>
      <c r="B1336" s="80" t="n">
        <v>2995</v>
      </c>
      <c r="C1336" s="66" t="n">
        <v>45756</v>
      </c>
      <c r="D1336" s="2" t="n">
        <v>1</v>
      </c>
      <c r="E1336" s="3" t="inlineStr">
        <is>
          <t>CARABINA</t>
        </is>
      </c>
      <c r="F1336" s="3" t="inlineStr">
        <is>
          <t>.22lr</t>
        </is>
      </c>
      <c r="G1336" s="3" t="inlineStr">
        <is>
          <t>WINCHESTER</t>
        </is>
      </c>
      <c r="H1336" s="65" t="inlineStr">
        <is>
          <t>XPERT COMPO, THR 18''</t>
        </is>
      </c>
      <c r="I1336" s="65" t="inlineStr">
        <is>
          <t>TF614-24AB06155</t>
        </is>
      </c>
      <c r="J1336" s="65" t="inlineStr">
        <is>
          <t>N/D</t>
        </is>
      </c>
      <c r="K1336" s="65" t="inlineStr">
        <is>
          <t>N/D</t>
        </is>
      </c>
      <c r="L1336" s="127" t="inlineStr">
        <is>
          <t>BROWNING INTERNATIONAL SA</t>
        </is>
      </c>
      <c r="M1336" s="5" t="n">
        <v>0</v>
      </c>
      <c r="N1336" s="5" t="n"/>
      <c r="O1336" s="5">
        <f>+M1336+N1336</f>
        <v/>
      </c>
      <c r="P1336" s="4" t="n">
        <v>45749</v>
      </c>
      <c r="Q1336" s="87" t="n">
        <v>45744</v>
      </c>
      <c r="R1336" s="5" t="n">
        <v>270</v>
      </c>
      <c r="S1336" s="2" t="n">
        <v>1</v>
      </c>
      <c r="T1336" s="3" t="inlineStr">
        <is>
          <t>CA04954OS</t>
        </is>
      </c>
      <c r="U1336" s="87" t="n">
        <v>45874</v>
      </c>
      <c r="V1336" s="3" t="inlineStr">
        <is>
          <t>26</t>
        </is>
      </c>
      <c r="W1336" s="4" t="n">
        <v>45874</v>
      </c>
      <c r="X1336" s="4" t="inlineStr">
        <is>
          <t>PHILIPPOS  CONSTANTINIDES
TRADING CO.LTD</t>
        </is>
      </c>
    </row>
    <row r="1337" ht="24" customHeight="1">
      <c r="A1337" s="2">
        <f>+D1337-S1337</f>
        <v/>
      </c>
      <c r="B1337" s="80" t="n">
        <v>2996</v>
      </c>
      <c r="C1337" s="66" t="n">
        <v>45756</v>
      </c>
      <c r="D1337" s="2" t="n">
        <v>1</v>
      </c>
      <c r="E1337" s="3" t="inlineStr">
        <is>
          <t>CARABINA</t>
        </is>
      </c>
      <c r="F1337" s="3" t="inlineStr">
        <is>
          <t>.22lr</t>
        </is>
      </c>
      <c r="G1337" s="3" t="inlineStr">
        <is>
          <t>WINCHESTER</t>
        </is>
      </c>
      <c r="H1337" s="65" t="inlineStr">
        <is>
          <t>XPERT STRATA, THR 18''</t>
        </is>
      </c>
      <c r="I1337" s="65" t="inlineStr">
        <is>
          <t>TF614-24AB11994</t>
        </is>
      </c>
      <c r="J1337" s="65" t="inlineStr">
        <is>
          <t>N/D</t>
        </is>
      </c>
      <c r="K1337" s="65" t="inlineStr">
        <is>
          <t>N/D</t>
        </is>
      </c>
      <c r="L1337" s="127" t="inlineStr">
        <is>
          <t>BROWNING INTERNATIONAL SA</t>
        </is>
      </c>
      <c r="M1337" s="5" t="n">
        <v>312.3</v>
      </c>
      <c r="N1337" s="5" t="n"/>
      <c r="O1337" s="5">
        <f>+M1337+N1337</f>
        <v/>
      </c>
      <c r="P1337" s="4" t="n">
        <v>45749</v>
      </c>
      <c r="Q1337" s="87" t="n">
        <v>45744</v>
      </c>
      <c r="R1337" s="5" t="n">
        <v>327</v>
      </c>
      <c r="S1337" s="2" t="n">
        <v>1</v>
      </c>
      <c r="T1337" s="3" t="inlineStr">
        <is>
          <t>CA04954OS</t>
        </is>
      </c>
      <c r="U1337" s="87" t="n">
        <v>45874</v>
      </c>
      <c r="V1337" s="3" t="inlineStr">
        <is>
          <t>26</t>
        </is>
      </c>
      <c r="W1337" s="4" t="n">
        <v>45874</v>
      </c>
      <c r="X1337" s="4" t="inlineStr">
        <is>
          <t>PHILIPPOS  CONSTANTINIDES
TRADING CO.LTD</t>
        </is>
      </c>
    </row>
    <row r="1338" ht="24" customHeight="1">
      <c r="A1338" s="2">
        <f>+D1338-S1338</f>
        <v/>
      </c>
      <c r="B1338" s="80" t="n">
        <v>2997</v>
      </c>
      <c r="C1338" s="66" t="n">
        <v>45756</v>
      </c>
      <c r="D1338" s="2" t="n">
        <v>1</v>
      </c>
      <c r="E1338" s="3" t="inlineStr">
        <is>
          <t>CARABINA</t>
        </is>
      </c>
      <c r="F1338" s="3" t="inlineStr">
        <is>
          <t>.22lr</t>
        </is>
      </c>
      <c r="G1338" s="3" t="inlineStr">
        <is>
          <t>WINCHESTER</t>
        </is>
      </c>
      <c r="H1338" s="65" t="inlineStr">
        <is>
          <t>XPERT THUMBHOLE, THR 22''</t>
        </is>
      </c>
      <c r="I1338" s="65" t="inlineStr">
        <is>
          <t>TF614-24AD01596</t>
        </is>
      </c>
      <c r="J1338" s="65" t="inlineStr">
        <is>
          <t>N/D</t>
        </is>
      </c>
      <c r="K1338" s="65" t="inlineStr">
        <is>
          <t>N/D</t>
        </is>
      </c>
      <c r="L1338" s="127" t="inlineStr">
        <is>
          <t>BROWNING INTERNATIONAL SA</t>
        </is>
      </c>
      <c r="M1338" s="5" t="n">
        <v>428.4</v>
      </c>
      <c r="N1338" s="5" t="n"/>
      <c r="O1338" s="5">
        <f>+M1338+N1338</f>
        <v/>
      </c>
      <c r="P1338" s="4" t="n">
        <v>45749</v>
      </c>
      <c r="Q1338" s="87" t="n">
        <v>45744</v>
      </c>
      <c r="R1338" s="5" t="n">
        <v>450</v>
      </c>
      <c r="S1338" s="2" t="n">
        <v>1</v>
      </c>
      <c r="T1338" s="3" t="inlineStr">
        <is>
          <t>CA04954OS</t>
        </is>
      </c>
      <c r="U1338" s="87" t="n">
        <v>45874</v>
      </c>
      <c r="V1338" s="3" t="inlineStr">
        <is>
          <t>26</t>
        </is>
      </c>
      <c r="W1338" s="4" t="n">
        <v>45874</v>
      </c>
      <c r="X1338" s="4" t="inlineStr">
        <is>
          <t>PHILIPPOS  CONSTANTINIDES
TRADING CO.LTD</t>
        </is>
      </c>
    </row>
    <row r="1339" ht="24" customHeight="1">
      <c r="A1339" s="2">
        <f>+D1339-S1339</f>
        <v/>
      </c>
      <c r="B1339" s="80" t="n">
        <v>2998</v>
      </c>
      <c r="C1339" s="66" t="n">
        <v>45756</v>
      </c>
      <c r="D1339" s="2" t="n">
        <v>1</v>
      </c>
      <c r="E1339" s="3" t="inlineStr">
        <is>
          <t>CARABINA</t>
        </is>
      </c>
      <c r="F1339" s="3" t="inlineStr">
        <is>
          <t>.22lr</t>
        </is>
      </c>
      <c r="G1339" s="3" t="inlineStr">
        <is>
          <t>WINCHESTER</t>
        </is>
      </c>
      <c r="H1339" s="65" t="inlineStr">
        <is>
          <t>XPERT THUMBHOLE, THR 22''</t>
        </is>
      </c>
      <c r="I1339" s="65" t="inlineStr">
        <is>
          <t>TF614-24AD01603</t>
        </is>
      </c>
      <c r="J1339" s="65" t="inlineStr">
        <is>
          <t>N/D</t>
        </is>
      </c>
      <c r="K1339" s="65" t="inlineStr">
        <is>
          <t>N/D</t>
        </is>
      </c>
      <c r="L1339" s="127" t="inlineStr">
        <is>
          <t>BROWNING INTERNATIONAL SA</t>
        </is>
      </c>
      <c r="M1339" s="5" t="n">
        <v>428.4</v>
      </c>
      <c r="N1339" s="5" t="n"/>
      <c r="O1339" s="5">
        <f>+M1339+N1339</f>
        <v/>
      </c>
      <c r="P1339" s="4" t="n">
        <v>45749</v>
      </c>
      <c r="Q1339" s="87" t="n">
        <v>45744</v>
      </c>
      <c r="R1339" s="5" t="n">
        <v>450</v>
      </c>
      <c r="S1339" s="2" t="n">
        <v>1</v>
      </c>
      <c r="T1339" s="3" t="inlineStr">
        <is>
          <t>CA04954OS</t>
        </is>
      </c>
      <c r="U1339" s="87" t="n">
        <v>45874</v>
      </c>
      <c r="V1339" s="3" t="inlineStr">
        <is>
          <t>26</t>
        </is>
      </c>
      <c r="W1339" s="4" t="n">
        <v>45874</v>
      </c>
      <c r="X1339" s="4" t="inlineStr">
        <is>
          <t>PHILIPPOS  CONSTANTINIDES
TRADING CO.LTD</t>
        </is>
      </c>
    </row>
    <row r="1340" ht="24" customHeight="1">
      <c r="A1340" s="2">
        <f>+D1340-S1340</f>
        <v/>
      </c>
      <c r="B1340" s="80" t="n"/>
      <c r="C1340" s="66" t="n">
        <v>45756</v>
      </c>
      <c r="D1340" s="2" t="n">
        <v>1</v>
      </c>
      <c r="E1340" s="3" t="inlineStr">
        <is>
          <t>ACCESSORI</t>
        </is>
      </c>
      <c r="F1340" s="3" t="inlineStr">
        <is>
          <t>N/D</t>
        </is>
      </c>
      <c r="G1340" s="3" t="inlineStr">
        <is>
          <t>BROWNING</t>
        </is>
      </c>
      <c r="H1340" s="65" t="inlineStr">
        <is>
          <t>BAR-MARAL 4X STK KIT PISTOL WOOD</t>
        </is>
      </c>
      <c r="I1340" s="65" t="inlineStr">
        <is>
          <t>N/D</t>
        </is>
      </c>
      <c r="J1340" s="65" t="inlineStr">
        <is>
          <t>N/D</t>
        </is>
      </c>
      <c r="K1340" s="65" t="inlineStr">
        <is>
          <t>N/D</t>
        </is>
      </c>
      <c r="L1340" s="127" t="inlineStr">
        <is>
          <t>BROWNING INTERNATIONAL SA</t>
        </is>
      </c>
      <c r="M1340" s="5" t="n">
        <v>188.1</v>
      </c>
      <c r="N1340" s="5" t="n"/>
      <c r="O1340" s="5">
        <f>+M1340+N1340</f>
        <v/>
      </c>
      <c r="P1340" s="4" t="n">
        <v>45749</v>
      </c>
      <c r="Q1340" s="87" t="n">
        <v>45744</v>
      </c>
      <c r="R1340" s="5" t="n">
        <v>199</v>
      </c>
      <c r="S1340" s="2" t="n">
        <v>1</v>
      </c>
      <c r="T1340" s="3" t="n"/>
      <c r="U1340" s="87" t="n">
        <v>45891</v>
      </c>
      <c r="V1340" s="3" t="inlineStr">
        <is>
          <t>29</t>
        </is>
      </c>
      <c r="W1340" s="108" t="n">
        <v>45891</v>
      </c>
      <c r="X1340" s="4" t="inlineStr">
        <is>
          <t>PHILIPPOS  CONSTANTINIDES
TRADING CO.LTD</t>
        </is>
      </c>
    </row>
    <row r="1341" ht="24" customHeight="1">
      <c r="A1341" s="2">
        <f>+D1341-S1341</f>
        <v/>
      </c>
      <c r="B1341" s="80" t="n"/>
      <c r="C1341" s="66" t="n">
        <v>45756</v>
      </c>
      <c r="D1341" s="2" t="n">
        <v>1</v>
      </c>
      <c r="E1341" s="3" t="inlineStr">
        <is>
          <t>ACCESSORI</t>
        </is>
      </c>
      <c r="F1341" s="3" t="inlineStr">
        <is>
          <t>N/D</t>
        </is>
      </c>
      <c r="G1341" s="3" t="inlineStr">
        <is>
          <t>BROWNING</t>
        </is>
      </c>
      <c r="H1341" s="65" t="inlineStr">
        <is>
          <t>BAR-MARAL 4X STK KIT PISTOL WOOD</t>
        </is>
      </c>
      <c r="I1341" s="65" t="inlineStr">
        <is>
          <t>N/D</t>
        </is>
      </c>
      <c r="J1341" s="65" t="inlineStr">
        <is>
          <t>N/D</t>
        </is>
      </c>
      <c r="K1341" s="65" t="inlineStr">
        <is>
          <t>N/D</t>
        </is>
      </c>
      <c r="L1341" s="127" t="inlineStr">
        <is>
          <t>BROWNING INTERNATIONAL SA</t>
        </is>
      </c>
      <c r="M1341" s="5" t="n">
        <v>188.1</v>
      </c>
      <c r="N1341" s="5" t="n"/>
      <c r="O1341" s="5">
        <f>+M1341+N1341</f>
        <v/>
      </c>
      <c r="P1341" s="4" t="n">
        <v>45749</v>
      </c>
      <c r="Q1341" s="87" t="n">
        <v>45744</v>
      </c>
      <c r="R1341" s="5" t="n">
        <v>199</v>
      </c>
      <c r="S1341" s="2" t="n">
        <v>1</v>
      </c>
      <c r="T1341" s="3" t="n"/>
      <c r="U1341" s="87" t="n">
        <v>45891</v>
      </c>
      <c r="V1341" s="3" t="inlineStr">
        <is>
          <t>29</t>
        </is>
      </c>
      <c r="W1341" s="108" t="n">
        <v>45891</v>
      </c>
      <c r="X1341" s="4" t="inlineStr">
        <is>
          <t>PHILIPPOS  CONSTANTINIDES
TRADING CO.LTD</t>
        </is>
      </c>
    </row>
    <row r="1342" ht="24" customHeight="1">
      <c r="A1342" s="2">
        <f>+D1342-S1342</f>
        <v/>
      </c>
      <c r="B1342" s="80" t="n">
        <v>2999</v>
      </c>
      <c r="C1342" s="66" t="n">
        <v>45756</v>
      </c>
      <c r="D1342" s="2" t="n">
        <v>1</v>
      </c>
      <c r="E1342" s="3" t="inlineStr">
        <is>
          <t>CARABINA</t>
        </is>
      </c>
      <c r="F1342" s="3" t="inlineStr">
        <is>
          <t>.22lr</t>
        </is>
      </c>
      <c r="G1342" s="3" t="inlineStr">
        <is>
          <t>WINCHESTER</t>
        </is>
      </c>
      <c r="H1342" s="65" t="inlineStr">
        <is>
          <t>XPERT FDE, THR 18''</t>
        </is>
      </c>
      <c r="I1342" s="65" t="inlineStr">
        <is>
          <t>TF614-24AB12090</t>
        </is>
      </c>
      <c r="J1342" s="65" t="inlineStr">
        <is>
          <t>N/D</t>
        </is>
      </c>
      <c r="K1342" s="65" t="inlineStr">
        <is>
          <t>N/D</t>
        </is>
      </c>
      <c r="L1342" s="127" t="inlineStr">
        <is>
          <t>BROWNING INTERNATIONAL SA</t>
        </is>
      </c>
      <c r="M1342" s="5" t="n">
        <v>279</v>
      </c>
      <c r="N1342" s="5" t="n"/>
      <c r="O1342" s="5">
        <f>+M1342+N1342</f>
        <v/>
      </c>
      <c r="P1342" s="4" t="n">
        <v>45749</v>
      </c>
      <c r="Q1342" s="87" t="n">
        <v>45744</v>
      </c>
      <c r="R1342" s="5" t="n"/>
      <c r="S1342" s="2" t="n"/>
      <c r="T1342" s="3" t="n"/>
      <c r="U1342" s="87" t="n"/>
      <c r="V1342" s="3" t="n"/>
      <c r="W1342" s="108" t="n"/>
      <c r="X1342" s="4" t="n"/>
    </row>
    <row r="1343" ht="24" customHeight="1">
      <c r="A1343" s="2">
        <f>+D1343-S1343</f>
        <v/>
      </c>
      <c r="B1343" s="80" t="n">
        <v>3000</v>
      </c>
      <c r="C1343" s="66" t="n">
        <v>45756</v>
      </c>
      <c r="D1343" s="2" t="n">
        <v>1</v>
      </c>
      <c r="E1343" s="3" t="inlineStr">
        <is>
          <t>CARABINA</t>
        </is>
      </c>
      <c r="F1343" s="3" t="inlineStr">
        <is>
          <t>.22lr</t>
        </is>
      </c>
      <c r="G1343" s="3" t="inlineStr">
        <is>
          <t>WINCHESTER</t>
        </is>
      </c>
      <c r="H1343" s="65" t="inlineStr">
        <is>
          <t>XPERT FDE, THR 18''</t>
        </is>
      </c>
      <c r="I1343" s="65" t="inlineStr">
        <is>
          <t>TF614-24AB12092</t>
        </is>
      </c>
      <c r="J1343" s="65" t="inlineStr">
        <is>
          <t>N/D</t>
        </is>
      </c>
      <c r="K1343" s="65" t="inlineStr">
        <is>
          <t>N/D</t>
        </is>
      </c>
      <c r="L1343" s="127" t="inlineStr">
        <is>
          <t>BROWNING INTERNATIONAL SA</t>
        </is>
      </c>
      <c r="M1343" s="5" t="n">
        <v>279</v>
      </c>
      <c r="N1343" s="5" t="n"/>
      <c r="O1343" s="5">
        <f>+M1343+N1343</f>
        <v/>
      </c>
      <c r="P1343" s="4" t="n">
        <v>45749</v>
      </c>
      <c r="Q1343" s="87" t="n">
        <v>45744</v>
      </c>
      <c r="R1343" s="5" t="n"/>
      <c r="S1343" s="2" t="n"/>
      <c r="T1343" s="3" t="n"/>
      <c r="U1343" s="87" t="n"/>
      <c r="V1343" s="3" t="n"/>
      <c r="W1343" s="108" t="n"/>
      <c r="X1343" s="4" t="n"/>
    </row>
    <row r="1344" ht="24" customHeight="1">
      <c r="A1344" s="2">
        <f>+D1344-S1344</f>
        <v/>
      </c>
      <c r="B1344" s="80" t="n">
        <v>3001</v>
      </c>
      <c r="C1344" s="66" t="n">
        <v>45756</v>
      </c>
      <c r="D1344" s="2" t="n">
        <v>1</v>
      </c>
      <c r="E1344" s="3" t="inlineStr">
        <is>
          <t>CARABINA</t>
        </is>
      </c>
      <c r="F1344" s="3" t="inlineStr">
        <is>
          <t>.22lr</t>
        </is>
      </c>
      <c r="G1344" s="3" t="inlineStr">
        <is>
          <t>BROWNING</t>
        </is>
      </c>
      <c r="H1344" s="65" t="inlineStr">
        <is>
          <t>T-BOLT TGT/VMT BLUED GREY LAMINATE ADJ THR 19''</t>
        </is>
      </c>
      <c r="I1344" s="65" t="inlineStr">
        <is>
          <t>20646YW253</t>
        </is>
      </c>
      <c r="J1344" s="65" t="inlineStr">
        <is>
          <t>N/D</t>
        </is>
      </c>
      <c r="K1344" s="65" t="inlineStr">
        <is>
          <t>N/D</t>
        </is>
      </c>
      <c r="L1344" s="127" t="inlineStr">
        <is>
          <t>BROWNING INTERNATIONAL SA</t>
        </is>
      </c>
      <c r="M1344" s="5" t="n">
        <v>647.1</v>
      </c>
      <c r="N1344" s="5" t="n"/>
      <c r="O1344" s="5">
        <f>+M1344+N1344</f>
        <v/>
      </c>
      <c r="P1344" s="4" t="n">
        <v>45749</v>
      </c>
      <c r="Q1344" s="87" t="n">
        <v>45744</v>
      </c>
      <c r="R1344" s="5" t="n">
        <v>680</v>
      </c>
      <c r="S1344" s="2" t="n">
        <v>1</v>
      </c>
      <c r="T1344" s="3" t="inlineStr">
        <is>
          <t>CA04954OS</t>
        </is>
      </c>
      <c r="U1344" s="87" t="n">
        <v>45874</v>
      </c>
      <c r="V1344" s="3" t="inlineStr">
        <is>
          <t>26</t>
        </is>
      </c>
      <c r="W1344" s="4" t="n">
        <v>45874</v>
      </c>
      <c r="X1344" s="4" t="inlineStr">
        <is>
          <t>PHILIPPOS  CONSTANTINIDES
TRADING CO.LTD</t>
        </is>
      </c>
    </row>
    <row r="1345" ht="24" customHeight="1">
      <c r="A1345" s="2">
        <f>+D1345-S1345</f>
        <v/>
      </c>
      <c r="B1345" s="80" t="n">
        <v>3002</v>
      </c>
      <c r="C1345" s="66" t="n">
        <v>45756</v>
      </c>
      <c r="D1345" s="2" t="n">
        <v>1</v>
      </c>
      <c r="E1345" s="3" t="inlineStr">
        <is>
          <t>PISTOLA SEMIAUTOMATICA</t>
        </is>
      </c>
      <c r="F1345" s="3" t="inlineStr">
        <is>
          <t>9x19</t>
        </is>
      </c>
      <c r="G1345" s="3" t="inlineStr">
        <is>
          <t>FN</t>
        </is>
      </c>
      <c r="H1345" s="65" t="inlineStr">
        <is>
          <t>HIGH POWER BLK/BLK DS</t>
        </is>
      </c>
      <c r="I1345" s="65" t="inlineStr">
        <is>
          <t>VM004517</t>
        </is>
      </c>
      <c r="J1345" s="65" t="inlineStr">
        <is>
          <t>N/D</t>
        </is>
      </c>
      <c r="K1345" s="65" t="inlineStr">
        <is>
          <t>N/D</t>
        </is>
      </c>
      <c r="L1345" s="127" t="inlineStr">
        <is>
          <t>BROWNING INTERNATIONAL SA</t>
        </is>
      </c>
      <c r="M1345" s="5" t="n">
        <v>1052</v>
      </c>
      <c r="N1345" s="5" t="n"/>
      <c r="O1345" s="5">
        <f>+M1345+N1345</f>
        <v/>
      </c>
      <c r="P1345" s="4" t="n">
        <v>45749</v>
      </c>
      <c r="Q1345" s="87" t="n">
        <v>45744</v>
      </c>
      <c r="R1345" s="5" t="n">
        <v>1105</v>
      </c>
      <c r="S1345" s="2" t="n">
        <v>1</v>
      </c>
      <c r="T1345" s="3" t="inlineStr">
        <is>
          <t>CA04954OS</t>
        </is>
      </c>
      <c r="U1345" s="87" t="n">
        <v>45874</v>
      </c>
      <c r="V1345" s="3" t="inlineStr">
        <is>
          <t>25</t>
        </is>
      </c>
      <c r="W1345" s="4" t="n">
        <v>45874</v>
      </c>
      <c r="X1345" s="4" t="inlineStr">
        <is>
          <t>PHILIPPOS  CONSTANTINIDES
TRADING CO.LTD</t>
        </is>
      </c>
    </row>
    <row r="1346" ht="24" customHeight="1">
      <c r="A1346" s="2">
        <f>+D1346-S1346</f>
        <v/>
      </c>
      <c r="B1346" s="80" t="n">
        <v>3003</v>
      </c>
      <c r="C1346" s="66" t="n">
        <v>45756</v>
      </c>
      <c r="D1346" s="2" t="n">
        <v>1</v>
      </c>
      <c r="E1346" s="3" t="inlineStr">
        <is>
          <t>PISTOLA SEMIAUTOMATICA</t>
        </is>
      </c>
      <c r="F1346" s="3" t="inlineStr">
        <is>
          <t>9x19</t>
        </is>
      </c>
      <c r="G1346" s="3" t="inlineStr">
        <is>
          <t>FN</t>
        </is>
      </c>
      <c r="H1346" s="65" t="inlineStr">
        <is>
          <t>HIGH POWER BLK/BLK DS</t>
        </is>
      </c>
      <c r="I1346" s="65" t="inlineStr">
        <is>
          <t>VM004384</t>
        </is>
      </c>
      <c r="J1346" s="65" t="inlineStr">
        <is>
          <t>N/D</t>
        </is>
      </c>
      <c r="K1346" s="65" t="inlineStr">
        <is>
          <t>N/D</t>
        </is>
      </c>
      <c r="L1346" s="127" t="inlineStr">
        <is>
          <t>BROWNING INTERNATIONAL SA</t>
        </is>
      </c>
      <c r="M1346" s="5" t="n">
        <v>1052</v>
      </c>
      <c r="N1346" s="5" t="n"/>
      <c r="O1346" s="5">
        <f>+M1346+N1346</f>
        <v/>
      </c>
      <c r="P1346" s="4" t="n">
        <v>45749</v>
      </c>
      <c r="Q1346" s="87" t="n">
        <v>45744</v>
      </c>
      <c r="R1346" s="5" t="n">
        <v>1105</v>
      </c>
      <c r="S1346" s="2" t="n">
        <v>1</v>
      </c>
      <c r="T1346" s="3" t="inlineStr">
        <is>
          <t>CA04954OS</t>
        </is>
      </c>
      <c r="U1346" s="87" t="n">
        <v>45874</v>
      </c>
      <c r="V1346" s="3" t="inlineStr">
        <is>
          <t>25</t>
        </is>
      </c>
      <c r="W1346" s="4" t="n">
        <v>45874</v>
      </c>
      <c r="X1346" s="4" t="inlineStr">
        <is>
          <t>PHILIPPOS  CONSTANTINIDES
TRADING CO.LTD</t>
        </is>
      </c>
    </row>
    <row r="1347" ht="24" customHeight="1">
      <c r="A1347" s="2">
        <f>+D1347-S1347</f>
        <v/>
      </c>
      <c r="B1347" s="80" t="n">
        <v>3004</v>
      </c>
      <c r="C1347" s="66" t="n">
        <v>45756</v>
      </c>
      <c r="D1347" s="2" t="n">
        <v>1</v>
      </c>
      <c r="E1347" s="3" t="inlineStr">
        <is>
          <t>CARABINA</t>
        </is>
      </c>
      <c r="F1347" s="3" t="inlineStr">
        <is>
          <t>308 WIN</t>
        </is>
      </c>
      <c r="G1347" s="3" t="inlineStr">
        <is>
          <t>BROWNING</t>
        </is>
      </c>
      <c r="H1347" s="65" t="inlineStr">
        <is>
          <t>BAR 4X LIMITED EDITION AUTUMN THR, S, MG4 DBM</t>
        </is>
      </c>
      <c r="I1347" s="65" t="inlineStr">
        <is>
          <t>PT21664YW311</t>
        </is>
      </c>
      <c r="J1347" s="65" t="inlineStr">
        <is>
          <t>N/D</t>
        </is>
      </c>
      <c r="K1347" s="65" t="inlineStr">
        <is>
          <t>N/D</t>
        </is>
      </c>
      <c r="L1347" s="127" t="inlineStr">
        <is>
          <t>BROWNING INTERNATIONAL SA</t>
        </is>
      </c>
      <c r="M1347" s="5" t="n">
        <v>2023.2</v>
      </c>
      <c r="N1347" s="5" t="n"/>
      <c r="O1347" s="5">
        <f>+M1347+N1347</f>
        <v/>
      </c>
      <c r="P1347" s="4" t="n">
        <v>45749</v>
      </c>
      <c r="Q1347" s="87" t="n">
        <v>45744</v>
      </c>
      <c r="R1347" s="5" t="n">
        <v>2125</v>
      </c>
      <c r="S1347" s="2" t="n">
        <v>1</v>
      </c>
      <c r="T1347" s="3" t="inlineStr">
        <is>
          <t>CA04954OS</t>
        </is>
      </c>
      <c r="U1347" s="87" t="n">
        <v>45874</v>
      </c>
      <c r="V1347" s="3" t="inlineStr">
        <is>
          <t>26</t>
        </is>
      </c>
      <c r="W1347" s="4" t="n">
        <v>45874</v>
      </c>
      <c r="X1347" s="4" t="inlineStr">
        <is>
          <t>PHILIPPOS  CONSTANTINIDES
TRADING CO.LTD</t>
        </is>
      </c>
    </row>
    <row r="1348" ht="24" customHeight="1">
      <c r="A1348" s="2">
        <f>+D1348-S1348</f>
        <v/>
      </c>
      <c r="B1348" s="80" t="n">
        <v>3005</v>
      </c>
      <c r="C1348" s="66" t="n">
        <v>45756</v>
      </c>
      <c r="D1348" s="2" t="n">
        <v>1</v>
      </c>
      <c r="E1348" s="3" t="inlineStr">
        <is>
          <t>CARABINA</t>
        </is>
      </c>
      <c r="F1348" s="3" t="inlineStr">
        <is>
          <t>308 WIN</t>
        </is>
      </c>
      <c r="G1348" s="3" t="inlineStr">
        <is>
          <t>BROWNING</t>
        </is>
      </c>
      <c r="H1348" s="65" t="inlineStr">
        <is>
          <t>BAR 4X LIMITED EDITION AUTUMN THR, S, MG4 DBM</t>
        </is>
      </c>
      <c r="I1348" s="65" t="inlineStr">
        <is>
          <t>PT21676YW311</t>
        </is>
      </c>
      <c r="J1348" s="65" t="inlineStr">
        <is>
          <t>N/D</t>
        </is>
      </c>
      <c r="K1348" s="65" t="inlineStr">
        <is>
          <t>N/D</t>
        </is>
      </c>
      <c r="L1348" s="127" t="inlineStr">
        <is>
          <t>BROWNING INTERNATIONAL SA</t>
        </is>
      </c>
      <c r="M1348" s="5" t="n">
        <v>2023.2</v>
      </c>
      <c r="N1348" s="5" t="n"/>
      <c r="O1348" s="5">
        <f>+M1348+N1348</f>
        <v/>
      </c>
      <c r="P1348" s="4" t="n">
        <v>45749</v>
      </c>
      <c r="Q1348" s="87" t="n">
        <v>45744</v>
      </c>
      <c r="R1348" s="5" t="n">
        <v>2125</v>
      </c>
      <c r="S1348" s="2" t="n">
        <v>1</v>
      </c>
      <c r="T1348" s="3" t="inlineStr">
        <is>
          <t>CA04954OS</t>
        </is>
      </c>
      <c r="U1348" s="87" t="n">
        <v>45874</v>
      </c>
      <c r="V1348" s="3" t="inlineStr">
        <is>
          <t>26</t>
        </is>
      </c>
      <c r="W1348" s="4" t="n">
        <v>45874</v>
      </c>
      <c r="X1348" s="4" t="inlineStr">
        <is>
          <t>PHILIPPOS  CONSTANTINIDES
TRADING CO.LTD</t>
        </is>
      </c>
    </row>
    <row r="1349" ht="24" customHeight="1">
      <c r="A1349" s="2">
        <f>+D1349-S1349</f>
        <v/>
      </c>
      <c r="B1349" s="80" t="n">
        <v>3006</v>
      </c>
      <c r="C1349" s="66" t="n">
        <v>45761</v>
      </c>
      <c r="D1349" s="2" t="n">
        <v>1</v>
      </c>
      <c r="E1349" s="3" t="inlineStr">
        <is>
          <t>FUCILE SOVRAPPOSTO</t>
        </is>
      </c>
      <c r="F1349" s="3" t="inlineStr">
        <is>
          <t>12</t>
        </is>
      </c>
      <c r="G1349" s="3" t="inlineStr">
        <is>
          <t>BERETTA</t>
        </is>
      </c>
      <c r="H1349" s="65" t="inlineStr">
        <is>
          <t>SILVER PIGEON III 67 CM</t>
        </is>
      </c>
      <c r="I1349" s="65" t="inlineStr">
        <is>
          <t>H55300X</t>
        </is>
      </c>
      <c r="J1349" s="65" t="inlineStr">
        <is>
          <t>N/D</t>
        </is>
      </c>
      <c r="K1349" s="65" t="inlineStr">
        <is>
          <t>N/D</t>
        </is>
      </c>
      <c r="L1349" s="127" t="inlineStr">
        <is>
          <t>ARMERIA BRIGNOLI SILVIO &amp; C SNC</t>
        </is>
      </c>
      <c r="M1349" s="5" t="n">
        <v>1461</v>
      </c>
      <c r="N1349" s="5" t="n"/>
      <c r="O1349" s="5">
        <f>+M1349+N1349</f>
        <v/>
      </c>
      <c r="P1349" s="4" t="n">
        <v>45761</v>
      </c>
      <c r="Q1349" s="87" t="n">
        <v>45762</v>
      </c>
      <c r="R1349" s="5" t="n">
        <v>1534</v>
      </c>
      <c r="S1349" s="2" t="n">
        <v>1</v>
      </c>
      <c r="T1349" s="3" t="inlineStr">
        <is>
          <t>CA04954OS</t>
        </is>
      </c>
      <c r="U1349" s="87" t="n">
        <v>45874</v>
      </c>
      <c r="V1349" s="3" t="inlineStr">
        <is>
          <t>25</t>
        </is>
      </c>
      <c r="W1349" s="4" t="n">
        <v>45874</v>
      </c>
      <c r="X1349" s="4" t="inlineStr">
        <is>
          <t>PHILIPPOS  CONSTANTINIDES
TRADING CO.LTD</t>
        </is>
      </c>
    </row>
    <row r="1350" ht="24" customHeight="1">
      <c r="A1350" s="2">
        <f>+D1350-S1350</f>
        <v/>
      </c>
      <c r="B1350" s="80" t="n">
        <v>3007</v>
      </c>
      <c r="C1350" s="66" t="n">
        <v>45761</v>
      </c>
      <c r="D1350" s="2" t="n">
        <v>1</v>
      </c>
      <c r="E1350" s="3" t="inlineStr">
        <is>
          <t>FUCILE SOVRAPPOSTO</t>
        </is>
      </c>
      <c r="F1350" s="3" t="inlineStr">
        <is>
          <t>12</t>
        </is>
      </c>
      <c r="G1350" s="3" t="inlineStr">
        <is>
          <t>BERETTA</t>
        </is>
      </c>
      <c r="H1350" s="65" t="inlineStr">
        <is>
          <t>SILVER PIGEON III 71 CM</t>
        </is>
      </c>
      <c r="I1350" s="65" t="inlineStr">
        <is>
          <t>H56990X</t>
        </is>
      </c>
      <c r="J1350" s="65" t="inlineStr">
        <is>
          <t>N/D</t>
        </is>
      </c>
      <c r="K1350" s="65" t="inlineStr">
        <is>
          <t>N/D</t>
        </is>
      </c>
      <c r="L1350" s="127" t="inlineStr">
        <is>
          <t>ARMERIA BRIGNOLI SILVIO &amp; C SNC</t>
        </is>
      </c>
      <c r="M1350" s="5" t="n">
        <v>1461</v>
      </c>
      <c r="N1350" s="5" t="n"/>
      <c r="O1350" s="5">
        <f>+M1350+N1350</f>
        <v/>
      </c>
      <c r="P1350" s="4" t="n">
        <v>45761</v>
      </c>
      <c r="Q1350" s="87" t="n">
        <v>45762</v>
      </c>
      <c r="R1350" s="5" t="n">
        <v>1534</v>
      </c>
      <c r="S1350" s="2" t="n">
        <v>1</v>
      </c>
      <c r="T1350" s="3" t="inlineStr">
        <is>
          <t>CA04954OS</t>
        </is>
      </c>
      <c r="U1350" s="87" t="n">
        <v>45874</v>
      </c>
      <c r="V1350" s="3" t="inlineStr">
        <is>
          <t>25</t>
        </is>
      </c>
      <c r="W1350" s="4" t="n">
        <v>45874</v>
      </c>
      <c r="X1350" s="4" t="inlineStr">
        <is>
          <t>PHILIPPOS  CONSTANTINIDES
TRADING CO.LTD</t>
        </is>
      </c>
    </row>
    <row r="1351" ht="24" customHeight="1">
      <c r="A1351" s="2">
        <f>+D1351-S1351</f>
        <v/>
      </c>
      <c r="B1351" s="80" t="n">
        <v>3008</v>
      </c>
      <c r="C1351" s="66" t="n">
        <v>45761</v>
      </c>
      <c r="D1351" s="2" t="n">
        <v>1</v>
      </c>
      <c r="E1351" s="3" t="inlineStr">
        <is>
          <t>FUCILE SOVRAPPOSTO</t>
        </is>
      </c>
      <c r="F1351" s="3" t="inlineStr">
        <is>
          <t>12</t>
        </is>
      </c>
      <c r="G1351" s="3" t="inlineStr">
        <is>
          <t>BERETTA</t>
        </is>
      </c>
      <c r="H1351" s="65" t="inlineStr">
        <is>
          <t>688 SPORTING B FAST</t>
        </is>
      </c>
      <c r="I1351" s="65" t="inlineStr">
        <is>
          <t>L04056X</t>
        </is>
      </c>
      <c r="J1351" s="65" t="inlineStr">
        <is>
          <t>N/D</t>
        </is>
      </c>
      <c r="K1351" s="65" t="inlineStr">
        <is>
          <t>N/D</t>
        </is>
      </c>
      <c r="L1351" s="127" t="inlineStr">
        <is>
          <t>ARMERIA BRIGNOLI SILVIO &amp; C SNC</t>
        </is>
      </c>
      <c r="M1351" s="5" t="n">
        <v>1880</v>
      </c>
      <c r="N1351" s="5" t="n"/>
      <c r="O1351" s="5">
        <f>+M1351+N1351</f>
        <v/>
      </c>
      <c r="P1351" s="4" t="n">
        <v>45761</v>
      </c>
      <c r="Q1351" s="87" t="n">
        <v>45762</v>
      </c>
      <c r="R1351" s="5" t="n">
        <v>1974</v>
      </c>
      <c r="S1351" s="2" t="n">
        <v>1</v>
      </c>
      <c r="T1351" s="3" t="inlineStr">
        <is>
          <t>CA04954OS</t>
        </is>
      </c>
      <c r="U1351" s="87" t="n">
        <v>45874</v>
      </c>
      <c r="V1351" s="3" t="inlineStr">
        <is>
          <t>25</t>
        </is>
      </c>
      <c r="W1351" s="4" t="n">
        <v>45874</v>
      </c>
      <c r="X1351" s="4" t="inlineStr">
        <is>
          <t>PHILIPPOS  CONSTANTINIDES
TRADING CO.LTD</t>
        </is>
      </c>
    </row>
    <row r="1352" ht="24" customHeight="1">
      <c r="A1352" s="2">
        <f>+D1352-S1352</f>
        <v/>
      </c>
      <c r="B1352" s="80" t="n">
        <v>3009</v>
      </c>
      <c r="C1352" s="66" t="n">
        <v>45761</v>
      </c>
      <c r="D1352" s="2" t="n">
        <v>1</v>
      </c>
      <c r="E1352" s="3" t="inlineStr">
        <is>
          <t>FUCILE SEMIAUTOMATICO</t>
        </is>
      </c>
      <c r="F1352" s="3" t="inlineStr">
        <is>
          <t>20</t>
        </is>
      </c>
      <c r="G1352" s="3" t="inlineStr">
        <is>
          <t>BERETTA</t>
        </is>
      </c>
      <c r="H1352" s="65" t="inlineStr">
        <is>
          <t>A400 UPLAND 66 CM</t>
        </is>
      </c>
      <c r="I1352" s="65" t="inlineStr">
        <is>
          <t>SU036073</t>
        </is>
      </c>
      <c r="J1352" s="65" t="inlineStr">
        <is>
          <t>XB345266</t>
        </is>
      </c>
      <c r="K1352" s="65" t="inlineStr">
        <is>
          <t>N/D</t>
        </is>
      </c>
      <c r="L1352" s="127" t="inlineStr">
        <is>
          <t>ARMERIA BRIGNOLI SILVIO &amp; C SNC</t>
        </is>
      </c>
      <c r="M1352" s="5" t="n">
        <v>1240</v>
      </c>
      <c r="N1352" s="5" t="n"/>
      <c r="O1352" s="5">
        <f>+M1352+N1352</f>
        <v/>
      </c>
      <c r="P1352" s="4" t="n">
        <v>45761</v>
      </c>
      <c r="Q1352" s="87" t="n">
        <v>45762</v>
      </c>
      <c r="R1352" s="5" t="n">
        <v>1302</v>
      </c>
      <c r="S1352" s="2" t="n">
        <v>1</v>
      </c>
      <c r="T1352" s="3" t="inlineStr">
        <is>
          <t>CA04954OS</t>
        </is>
      </c>
      <c r="U1352" s="87" t="n">
        <v>45874</v>
      </c>
      <c r="V1352" s="3" t="inlineStr">
        <is>
          <t>25</t>
        </is>
      </c>
      <c r="W1352" s="4" t="n">
        <v>45874</v>
      </c>
      <c r="X1352" s="4" t="inlineStr">
        <is>
          <t>PHILIPPOS  CONSTANTINIDES
TRADING CO.LTD</t>
        </is>
      </c>
    </row>
    <row r="1353" ht="24" customHeight="1">
      <c r="A1353" s="2">
        <f>+D1353-S1353</f>
        <v/>
      </c>
      <c r="B1353" s="80" t="n"/>
      <c r="C1353" s="66" t="n">
        <v>45765</v>
      </c>
      <c r="D1353" s="2" t="n">
        <v>1</v>
      </c>
      <c r="E1353" s="3" t="inlineStr">
        <is>
          <t>ACCESSORI</t>
        </is>
      </c>
      <c r="F1353" s="3" t="inlineStr">
        <is>
          <t>N/D</t>
        </is>
      </c>
      <c r="G1353" s="3" t="inlineStr">
        <is>
          <t>HAWK</t>
        </is>
      </c>
      <c r="H1353" s="65" t="inlineStr">
        <is>
          <t>VANTAGE 1''</t>
        </is>
      </c>
      <c r="I1353" s="65" t="inlineStr">
        <is>
          <t>N/D</t>
        </is>
      </c>
      <c r="J1353" s="65" t="inlineStr">
        <is>
          <t>N/D</t>
        </is>
      </c>
      <c r="K1353" s="65" t="inlineStr">
        <is>
          <t>N/D</t>
        </is>
      </c>
      <c r="L1353" s="127" t="inlineStr">
        <is>
          <t>BIGNAMI SPA</t>
        </is>
      </c>
      <c r="M1353" s="5" t="n">
        <v>116.2375</v>
      </c>
      <c r="N1353" s="5" t="n"/>
      <c r="O1353" s="5">
        <f>+M1353+N1353</f>
        <v/>
      </c>
      <c r="P1353" s="4" t="n">
        <v>45765</v>
      </c>
      <c r="Q1353" s="87" t="n">
        <v>45765</v>
      </c>
      <c r="R1353" s="5" t="n">
        <v>160</v>
      </c>
      <c r="S1353" s="2" t="n">
        <v>1</v>
      </c>
      <c r="T1353" s="3" t="inlineStr">
        <is>
          <t>6B/2025/1S</t>
        </is>
      </c>
      <c r="U1353" s="86" t="n">
        <v>45769</v>
      </c>
      <c r="V1353" s="3" t="inlineStr">
        <is>
          <t>6</t>
        </is>
      </c>
      <c r="W1353" s="111" t="n">
        <v>45769</v>
      </c>
      <c r="X1353" s="4" t="inlineStr">
        <is>
          <t>HS &amp; S LLC</t>
        </is>
      </c>
    </row>
    <row r="1354" ht="24" customHeight="1">
      <c r="A1354" s="2">
        <f>+D1354-S1354</f>
        <v/>
      </c>
      <c r="B1354" s="80" t="n"/>
      <c r="C1354" s="66" t="n">
        <v>45765</v>
      </c>
      <c r="D1354" s="2" t="n">
        <v>1</v>
      </c>
      <c r="E1354" s="3" t="inlineStr">
        <is>
          <t>ACCESSORI</t>
        </is>
      </c>
      <c r="F1354" s="3" t="inlineStr">
        <is>
          <t>N/D</t>
        </is>
      </c>
      <c r="G1354" s="3" t="inlineStr">
        <is>
          <t>HAWK</t>
        </is>
      </c>
      <c r="H1354" s="65" t="inlineStr">
        <is>
          <t>VANTAGE 1''</t>
        </is>
      </c>
      <c r="I1354" s="65" t="inlineStr">
        <is>
          <t>N/D</t>
        </is>
      </c>
      <c r="J1354" s="65" t="inlineStr">
        <is>
          <t>N/D</t>
        </is>
      </c>
      <c r="K1354" s="65" t="inlineStr">
        <is>
          <t>N/D</t>
        </is>
      </c>
      <c r="L1354" s="127" t="inlineStr">
        <is>
          <t>BIGNAMI SPA</t>
        </is>
      </c>
      <c r="M1354" s="5" t="n">
        <v>116.2375</v>
      </c>
      <c r="N1354" s="5" t="n"/>
      <c r="O1354" s="5">
        <f>+M1354+N1354</f>
        <v/>
      </c>
      <c r="P1354" s="4" t="n">
        <v>45765</v>
      </c>
      <c r="Q1354" s="87" t="n">
        <v>45765</v>
      </c>
      <c r="R1354" s="5" t="n">
        <v>160</v>
      </c>
      <c r="S1354" s="2" t="n">
        <v>1</v>
      </c>
      <c r="T1354" s="3" t="inlineStr">
        <is>
          <t>6B/2025/1S</t>
        </is>
      </c>
      <c r="U1354" s="86" t="n">
        <v>45769</v>
      </c>
      <c r="V1354" s="3" t="inlineStr">
        <is>
          <t>6</t>
        </is>
      </c>
      <c r="W1354" s="111" t="n">
        <v>45769</v>
      </c>
      <c r="X1354" s="4" t="inlineStr">
        <is>
          <t>HS &amp; S LLC</t>
        </is>
      </c>
    </row>
    <row r="1355" ht="24" customHeight="1">
      <c r="A1355" s="2">
        <f>+D1355-S1355</f>
        <v/>
      </c>
      <c r="B1355" s="80" t="n"/>
      <c r="C1355" s="66" t="n">
        <v>45765</v>
      </c>
      <c r="D1355" s="2" t="n">
        <v>1</v>
      </c>
      <c r="E1355" s="3" t="inlineStr">
        <is>
          <t>ACCESSORI</t>
        </is>
      </c>
      <c r="F1355" s="3" t="inlineStr">
        <is>
          <t>N/D</t>
        </is>
      </c>
      <c r="G1355" s="3" t="inlineStr">
        <is>
          <t>HAWK</t>
        </is>
      </c>
      <c r="H1355" s="65" t="inlineStr">
        <is>
          <t>VANTAGE 1''</t>
        </is>
      </c>
      <c r="I1355" s="65" t="inlineStr">
        <is>
          <t>N/D</t>
        </is>
      </c>
      <c r="J1355" s="65" t="inlineStr">
        <is>
          <t>N/D</t>
        </is>
      </c>
      <c r="K1355" s="65" t="inlineStr">
        <is>
          <t>N/D</t>
        </is>
      </c>
      <c r="L1355" s="127" t="inlineStr">
        <is>
          <t>BIGNAMI SPA</t>
        </is>
      </c>
      <c r="M1355" s="5" t="n">
        <v>116.2375</v>
      </c>
      <c r="N1355" s="5" t="n"/>
      <c r="O1355" s="5">
        <f>+M1355+N1355</f>
        <v/>
      </c>
      <c r="P1355" s="4" t="n">
        <v>45765</v>
      </c>
      <c r="Q1355" s="87" t="n">
        <v>45765</v>
      </c>
      <c r="R1355" s="5" t="n">
        <v>160</v>
      </c>
      <c r="S1355" s="2" t="n">
        <v>1</v>
      </c>
      <c r="T1355" s="3" t="inlineStr">
        <is>
          <t>6B/2025/1S</t>
        </is>
      </c>
      <c r="U1355" s="86" t="n">
        <v>45769</v>
      </c>
      <c r="V1355" s="3" t="inlineStr">
        <is>
          <t>6</t>
        </is>
      </c>
      <c r="W1355" s="111" t="n">
        <v>45769</v>
      </c>
      <c r="X1355" s="4" t="inlineStr">
        <is>
          <t>HS &amp; S LLC</t>
        </is>
      </c>
    </row>
    <row r="1356" ht="24" customHeight="1">
      <c r="A1356" s="2">
        <f>+D1356-S1356</f>
        <v/>
      </c>
      <c r="B1356" s="80" t="n"/>
      <c r="C1356" s="66" t="n">
        <v>45765</v>
      </c>
      <c r="D1356" s="2" t="n">
        <v>1</v>
      </c>
      <c r="E1356" s="3" t="inlineStr">
        <is>
          <t>ACCESSORI</t>
        </is>
      </c>
      <c r="F1356" s="3" t="inlineStr">
        <is>
          <t>N/D</t>
        </is>
      </c>
      <c r="G1356" s="3" t="inlineStr">
        <is>
          <t>HAWK</t>
        </is>
      </c>
      <c r="H1356" s="65" t="inlineStr">
        <is>
          <t>VANTAGE 1''</t>
        </is>
      </c>
      <c r="I1356" s="65" t="inlineStr">
        <is>
          <t>N/D</t>
        </is>
      </c>
      <c r="J1356" s="65" t="inlineStr">
        <is>
          <t>N/D</t>
        </is>
      </c>
      <c r="K1356" s="65" t="inlineStr">
        <is>
          <t>N/D</t>
        </is>
      </c>
      <c r="L1356" s="127" t="inlineStr">
        <is>
          <t>BIGNAMI SPA</t>
        </is>
      </c>
      <c r="M1356" s="5" t="n">
        <v>116.2375</v>
      </c>
      <c r="N1356" s="5" t="n"/>
      <c r="O1356" s="5">
        <f>+M1356+N1356</f>
        <v/>
      </c>
      <c r="P1356" s="4" t="n">
        <v>45765</v>
      </c>
      <c r="Q1356" s="87" t="n">
        <v>45765</v>
      </c>
      <c r="R1356" s="5" t="n">
        <v>160</v>
      </c>
      <c r="S1356" s="2" t="n">
        <v>1</v>
      </c>
      <c r="T1356" s="3" t="inlineStr">
        <is>
          <t>6B/2025/1S</t>
        </is>
      </c>
      <c r="U1356" s="86" t="n">
        <v>45769</v>
      </c>
      <c r="V1356" s="3" t="inlineStr">
        <is>
          <t>6</t>
        </is>
      </c>
      <c r="W1356" s="111" t="n">
        <v>45769</v>
      </c>
      <c r="X1356" s="4" t="inlineStr">
        <is>
          <t>HS &amp; S LLC</t>
        </is>
      </c>
    </row>
    <row r="1357" ht="24" customHeight="1">
      <c r="A1357" s="2">
        <f>+D1357-S1357</f>
        <v/>
      </c>
      <c r="B1357" s="80" t="n"/>
      <c r="C1357" s="66" t="n">
        <v>45765</v>
      </c>
      <c r="D1357" s="2" t="n">
        <v>1</v>
      </c>
      <c r="E1357" s="3" t="inlineStr">
        <is>
          <t>ACCESSORI</t>
        </is>
      </c>
      <c r="F1357" s="3" t="inlineStr">
        <is>
          <t>N/D</t>
        </is>
      </c>
      <c r="G1357" s="3" t="inlineStr">
        <is>
          <t>HAWK</t>
        </is>
      </c>
      <c r="H1357" s="65" t="inlineStr">
        <is>
          <t>VANTAGE 1''</t>
        </is>
      </c>
      <c r="I1357" s="65" t="inlineStr">
        <is>
          <t>N/D</t>
        </is>
      </c>
      <c r="J1357" s="65" t="inlineStr">
        <is>
          <t>N/D</t>
        </is>
      </c>
      <c r="K1357" s="65" t="inlineStr">
        <is>
          <t>N/D</t>
        </is>
      </c>
      <c r="L1357" s="127" t="inlineStr">
        <is>
          <t>BIGNAMI SPA</t>
        </is>
      </c>
      <c r="M1357" s="5" t="n">
        <v>116.2375</v>
      </c>
      <c r="N1357" s="5" t="n"/>
      <c r="O1357" s="5">
        <f>+M1357+N1357</f>
        <v/>
      </c>
      <c r="P1357" s="4" t="n">
        <v>45765</v>
      </c>
      <c r="Q1357" s="87" t="n">
        <v>45765</v>
      </c>
      <c r="R1357" s="5" t="n">
        <v>160</v>
      </c>
      <c r="S1357" s="2" t="n">
        <v>1</v>
      </c>
      <c r="T1357" s="3" t="inlineStr">
        <is>
          <t>6B/2025/1S</t>
        </is>
      </c>
      <c r="U1357" s="86" t="n">
        <v>45769</v>
      </c>
      <c r="V1357" s="3" t="inlineStr">
        <is>
          <t>6</t>
        </is>
      </c>
      <c r="W1357" s="111" t="n">
        <v>45769</v>
      </c>
      <c r="X1357" s="4" t="inlineStr">
        <is>
          <t>HS &amp; S LLC</t>
        </is>
      </c>
    </row>
    <row r="1358" ht="24" customHeight="1">
      <c r="A1358" s="2">
        <f>+D1358-S1358</f>
        <v/>
      </c>
      <c r="B1358" s="80" t="n"/>
      <c r="C1358" s="66" t="n">
        <v>45765</v>
      </c>
      <c r="D1358" s="2" t="n">
        <v>1</v>
      </c>
      <c r="E1358" s="3" t="inlineStr">
        <is>
          <t>ACCESSORI</t>
        </is>
      </c>
      <c r="F1358" s="3" t="inlineStr">
        <is>
          <t>N/D</t>
        </is>
      </c>
      <c r="G1358" s="3" t="inlineStr">
        <is>
          <t>HAWK</t>
        </is>
      </c>
      <c r="H1358" s="65" t="inlineStr">
        <is>
          <t>VANTAGE 1''</t>
        </is>
      </c>
      <c r="I1358" s="65" t="inlineStr">
        <is>
          <t>N/D</t>
        </is>
      </c>
      <c r="J1358" s="65" t="inlineStr">
        <is>
          <t>N/D</t>
        </is>
      </c>
      <c r="K1358" s="65" t="inlineStr">
        <is>
          <t>N/D</t>
        </is>
      </c>
      <c r="L1358" s="127" t="inlineStr">
        <is>
          <t>BIGNAMI SPA</t>
        </is>
      </c>
      <c r="M1358" s="5" t="n">
        <v>116.2375</v>
      </c>
      <c r="N1358" s="5" t="n"/>
      <c r="O1358" s="5">
        <f>+M1358+N1358</f>
        <v/>
      </c>
      <c r="P1358" s="4" t="n">
        <v>45765</v>
      </c>
      <c r="Q1358" s="87" t="n">
        <v>45765</v>
      </c>
      <c r="R1358" s="5" t="n">
        <v>160</v>
      </c>
      <c r="S1358" s="2" t="n">
        <v>1</v>
      </c>
      <c r="T1358" s="3" t="inlineStr">
        <is>
          <t>6B/2025/1S</t>
        </is>
      </c>
      <c r="U1358" s="86" t="n">
        <v>45769</v>
      </c>
      <c r="V1358" s="3" t="inlineStr">
        <is>
          <t>6</t>
        </is>
      </c>
      <c r="W1358" s="111" t="n">
        <v>45769</v>
      </c>
      <c r="X1358" s="4" t="inlineStr">
        <is>
          <t>HS &amp; S LLC</t>
        </is>
      </c>
    </row>
    <row r="1359" ht="24" customHeight="1">
      <c r="A1359" s="2">
        <f>+D1359-S1359</f>
        <v/>
      </c>
      <c r="B1359" s="80" t="n"/>
      <c r="C1359" s="66" t="n">
        <v>45765</v>
      </c>
      <c r="D1359" s="2" t="n">
        <v>1</v>
      </c>
      <c r="E1359" s="3" t="inlineStr">
        <is>
          <t>ACCESSORI</t>
        </is>
      </c>
      <c r="F1359" s="3" t="inlineStr">
        <is>
          <t>N/D</t>
        </is>
      </c>
      <c r="G1359" s="3" t="inlineStr">
        <is>
          <t>HAWK</t>
        </is>
      </c>
      <c r="H1359" s="65" t="inlineStr">
        <is>
          <t>VANTAGE 1''</t>
        </is>
      </c>
      <c r="I1359" s="65" t="inlineStr">
        <is>
          <t>N/D</t>
        </is>
      </c>
      <c r="J1359" s="65" t="inlineStr">
        <is>
          <t>N/D</t>
        </is>
      </c>
      <c r="K1359" s="65" t="inlineStr">
        <is>
          <t>N/D</t>
        </is>
      </c>
      <c r="L1359" s="127" t="inlineStr">
        <is>
          <t>BIGNAMI SPA</t>
        </is>
      </c>
      <c r="M1359" s="5" t="n">
        <v>116.2375</v>
      </c>
      <c r="N1359" s="5" t="n"/>
      <c r="O1359" s="5">
        <f>+M1359+N1359</f>
        <v/>
      </c>
      <c r="P1359" s="4" t="n">
        <v>45765</v>
      </c>
      <c r="Q1359" s="87" t="n">
        <v>45765</v>
      </c>
      <c r="R1359" s="5" t="n">
        <v>160</v>
      </c>
      <c r="S1359" s="2" t="n">
        <v>1</v>
      </c>
      <c r="T1359" s="3" t="inlineStr">
        <is>
          <t>6B/2025/1S</t>
        </is>
      </c>
      <c r="U1359" s="86" t="n">
        <v>45769</v>
      </c>
      <c r="V1359" s="3" t="inlineStr">
        <is>
          <t>6</t>
        </is>
      </c>
      <c r="W1359" s="111" t="n">
        <v>45769</v>
      </c>
      <c r="X1359" s="4" t="inlineStr">
        <is>
          <t>HS &amp; S LLC</t>
        </is>
      </c>
    </row>
    <row r="1360" ht="24" customHeight="1">
      <c r="A1360" s="2">
        <f>+D1360-S1360</f>
        <v/>
      </c>
      <c r="B1360" s="80" t="n"/>
      <c r="C1360" s="66" t="n">
        <v>45765</v>
      </c>
      <c r="D1360" s="2" t="n">
        <v>1</v>
      </c>
      <c r="E1360" s="3" t="inlineStr">
        <is>
          <t>ACCESSORI</t>
        </is>
      </c>
      <c r="F1360" s="3" t="inlineStr">
        <is>
          <t>N/D</t>
        </is>
      </c>
      <c r="G1360" s="3" t="inlineStr">
        <is>
          <t>HAWK</t>
        </is>
      </c>
      <c r="H1360" s="65" t="inlineStr">
        <is>
          <t>VANTAGE 1''</t>
        </is>
      </c>
      <c r="I1360" s="65" t="inlineStr">
        <is>
          <t>N/D</t>
        </is>
      </c>
      <c r="J1360" s="65" t="inlineStr">
        <is>
          <t>N/D</t>
        </is>
      </c>
      <c r="K1360" s="65" t="inlineStr">
        <is>
          <t>N/D</t>
        </is>
      </c>
      <c r="L1360" s="127" t="inlineStr">
        <is>
          <t>BIGNAMI SPA</t>
        </is>
      </c>
      <c r="M1360" s="5" t="n">
        <v>116.2375</v>
      </c>
      <c r="N1360" s="5" t="n"/>
      <c r="O1360" s="5">
        <f>+M1360+N1360</f>
        <v/>
      </c>
      <c r="P1360" s="4" t="n">
        <v>45765</v>
      </c>
      <c r="Q1360" s="87" t="n">
        <v>45765</v>
      </c>
      <c r="R1360" s="5" t="n">
        <v>160</v>
      </c>
      <c r="S1360" s="2" t="n">
        <v>1</v>
      </c>
      <c r="T1360" s="3" t="inlineStr">
        <is>
          <t>6B/2025/1S</t>
        </is>
      </c>
      <c r="U1360" s="86" t="n">
        <v>45769</v>
      </c>
      <c r="V1360" s="3" t="inlineStr">
        <is>
          <t>6</t>
        </is>
      </c>
      <c r="W1360" s="111" t="n">
        <v>45769</v>
      </c>
      <c r="X1360" s="4" t="inlineStr">
        <is>
          <t>HS &amp; S LLC</t>
        </is>
      </c>
    </row>
    <row r="1361" ht="24" customHeight="1">
      <c r="A1361" s="2">
        <f>+D1361-S1361</f>
        <v/>
      </c>
      <c r="B1361" s="80" t="n">
        <v>3010</v>
      </c>
      <c r="C1361" s="66" t="n">
        <v>45765</v>
      </c>
      <c r="D1361" s="2" t="n">
        <v>1</v>
      </c>
      <c r="E1361" s="3" t="inlineStr">
        <is>
          <t>PISTOLA SEMIAUTOMATICA</t>
        </is>
      </c>
      <c r="F1361" s="3" t="inlineStr">
        <is>
          <t>9x19</t>
        </is>
      </c>
      <c r="G1361" s="3" t="inlineStr">
        <is>
          <t>CZ</t>
        </is>
      </c>
      <c r="H1361" s="65" t="inlineStr">
        <is>
          <t>P-10F</t>
        </is>
      </c>
      <c r="I1361" s="65" t="inlineStr">
        <is>
          <t>J298387</t>
        </is>
      </c>
      <c r="J1361" s="65" t="inlineStr">
        <is>
          <t>N/D</t>
        </is>
      </c>
      <c r="K1361" s="65" t="inlineStr">
        <is>
          <t>N/D</t>
        </is>
      </c>
      <c r="L1361" s="127" t="inlineStr">
        <is>
          <t>BIGNAMI SPA</t>
        </is>
      </c>
      <c r="M1361" s="5" t="n">
        <v>414.325</v>
      </c>
      <c r="N1361" s="5" t="n"/>
      <c r="O1361" s="5">
        <f>+M1361+N1361</f>
        <v/>
      </c>
      <c r="P1361" s="4" t="n">
        <v>45765</v>
      </c>
      <c r="Q1361" s="87" t="n">
        <v>45765</v>
      </c>
      <c r="R1361" s="5" t="n">
        <v>480</v>
      </c>
      <c r="S1361" s="2" t="n">
        <v>1</v>
      </c>
      <c r="T1361" s="3" t="inlineStr">
        <is>
          <t>6B/2025/1S</t>
        </is>
      </c>
      <c r="U1361" s="86" t="n">
        <v>45769</v>
      </c>
      <c r="V1361" s="3" t="inlineStr">
        <is>
          <t>6</t>
        </is>
      </c>
      <c r="W1361" s="111" t="n">
        <v>45769</v>
      </c>
      <c r="X1361" s="4" t="inlineStr">
        <is>
          <t>HS &amp; S LLC</t>
        </is>
      </c>
    </row>
    <row r="1362" ht="24" customHeight="1">
      <c r="A1362" s="2">
        <f>+D1362-S1362</f>
        <v/>
      </c>
      <c r="B1362" s="80" t="n">
        <v>3011</v>
      </c>
      <c r="C1362" s="66" t="n">
        <v>45765</v>
      </c>
      <c r="D1362" s="2" t="n">
        <v>1</v>
      </c>
      <c r="E1362" s="3" t="inlineStr">
        <is>
          <t>PISTOLA SEMIAUTOMATICA</t>
        </is>
      </c>
      <c r="F1362" s="3" t="inlineStr">
        <is>
          <t>9x19</t>
        </is>
      </c>
      <c r="G1362" s="3" t="inlineStr">
        <is>
          <t>CZ</t>
        </is>
      </c>
      <c r="H1362" s="65" t="inlineStr">
        <is>
          <t>P-10F</t>
        </is>
      </c>
      <c r="I1362" s="65" t="inlineStr">
        <is>
          <t>J298590</t>
        </is>
      </c>
      <c r="J1362" s="65" t="inlineStr">
        <is>
          <t>N/D</t>
        </is>
      </c>
      <c r="K1362" s="65" t="inlineStr">
        <is>
          <t>N/D</t>
        </is>
      </c>
      <c r="L1362" s="127" t="inlineStr">
        <is>
          <t>BIGNAMI SPA</t>
        </is>
      </c>
      <c r="M1362" s="5" t="n">
        <v>414.325</v>
      </c>
      <c r="N1362" s="5" t="n"/>
      <c r="O1362" s="5">
        <f>+M1362+N1362</f>
        <v/>
      </c>
      <c r="P1362" s="4" t="n">
        <v>45765</v>
      </c>
      <c r="Q1362" s="87" t="n">
        <v>45765</v>
      </c>
      <c r="R1362" s="5" t="n">
        <v>480</v>
      </c>
      <c r="S1362" s="2" t="n">
        <v>1</v>
      </c>
      <c r="T1362" s="3" t="inlineStr">
        <is>
          <t>6B/2025/1S</t>
        </is>
      </c>
      <c r="U1362" s="86" t="n">
        <v>45769</v>
      </c>
      <c r="V1362" s="3" t="inlineStr">
        <is>
          <t>6</t>
        </is>
      </c>
      <c r="W1362" s="111" t="n">
        <v>45769</v>
      </c>
      <c r="X1362" s="4" t="inlineStr">
        <is>
          <t>HS &amp; S LLC</t>
        </is>
      </c>
    </row>
    <row r="1363" ht="24" customHeight="1">
      <c r="A1363" s="2">
        <f>+D1363-S1363</f>
        <v/>
      </c>
      <c r="B1363" s="80" t="n">
        <v>3012</v>
      </c>
      <c r="C1363" s="66" t="n">
        <v>45765</v>
      </c>
      <c r="D1363" s="2" t="n">
        <v>1</v>
      </c>
      <c r="E1363" s="3" t="inlineStr">
        <is>
          <t>PISTOLA SEMIAUTOMATICA</t>
        </is>
      </c>
      <c r="F1363" s="3" t="inlineStr">
        <is>
          <t>9x19</t>
        </is>
      </c>
      <c r="G1363" s="3" t="inlineStr">
        <is>
          <t>CZ</t>
        </is>
      </c>
      <c r="H1363" s="65" t="inlineStr">
        <is>
          <t>P-10F</t>
        </is>
      </c>
      <c r="I1363" s="65" t="inlineStr">
        <is>
          <t>J298383</t>
        </is>
      </c>
      <c r="J1363" s="65" t="inlineStr">
        <is>
          <t>N/D</t>
        </is>
      </c>
      <c r="K1363" s="65" t="inlineStr">
        <is>
          <t>N/D</t>
        </is>
      </c>
      <c r="L1363" s="127" t="inlineStr">
        <is>
          <t>BIGNAMI SPA</t>
        </is>
      </c>
      <c r="M1363" s="5" t="n">
        <v>414.325</v>
      </c>
      <c r="N1363" s="5" t="n"/>
      <c r="O1363" s="5">
        <f>+M1363+N1363</f>
        <v/>
      </c>
      <c r="P1363" s="4" t="n">
        <v>45765</v>
      </c>
      <c r="Q1363" s="87" t="n">
        <v>45765</v>
      </c>
      <c r="R1363" s="5" t="n">
        <v>480</v>
      </c>
      <c r="S1363" s="2" t="n">
        <v>1</v>
      </c>
      <c r="T1363" s="3" t="inlineStr">
        <is>
          <t>6B/2025/1S</t>
        </is>
      </c>
      <c r="U1363" s="86" t="n">
        <v>45769</v>
      </c>
      <c r="V1363" s="3" t="inlineStr">
        <is>
          <t>6</t>
        </is>
      </c>
      <c r="W1363" s="111" t="n">
        <v>45769</v>
      </c>
      <c r="X1363" s="4" t="inlineStr">
        <is>
          <t>HS &amp; S LLC</t>
        </is>
      </c>
    </row>
    <row r="1364" ht="24" customHeight="1">
      <c r="A1364" s="2">
        <f>+D1364-S1364</f>
        <v/>
      </c>
      <c r="B1364" s="80" t="n">
        <v>3013</v>
      </c>
      <c r="C1364" s="66" t="n">
        <v>45765</v>
      </c>
      <c r="D1364" s="2" t="n">
        <v>1</v>
      </c>
      <c r="E1364" s="3" t="inlineStr">
        <is>
          <t>PISTOLA SEMIAUTOMATICA</t>
        </is>
      </c>
      <c r="F1364" s="3" t="inlineStr">
        <is>
          <t>9x19</t>
        </is>
      </c>
      <c r="G1364" s="3" t="inlineStr">
        <is>
          <t>CZ</t>
        </is>
      </c>
      <c r="H1364" s="65" t="inlineStr">
        <is>
          <t>P-10F</t>
        </is>
      </c>
      <c r="I1364" s="65" t="inlineStr">
        <is>
          <t>J298411</t>
        </is>
      </c>
      <c r="J1364" s="65" t="inlineStr">
        <is>
          <t>N/D</t>
        </is>
      </c>
      <c r="K1364" s="65" t="inlineStr">
        <is>
          <t>N/D</t>
        </is>
      </c>
      <c r="L1364" s="127" t="inlineStr">
        <is>
          <t>BIGNAMI SPA</t>
        </is>
      </c>
      <c r="M1364" s="5" t="n">
        <v>414.325</v>
      </c>
      <c r="N1364" s="5" t="n"/>
      <c r="O1364" s="5">
        <f>+M1364+N1364</f>
        <v/>
      </c>
      <c r="P1364" s="4" t="n">
        <v>45765</v>
      </c>
      <c r="Q1364" s="87" t="n">
        <v>45765</v>
      </c>
      <c r="R1364" s="5" t="n">
        <v>480</v>
      </c>
      <c r="S1364" s="2" t="n">
        <v>1</v>
      </c>
      <c r="T1364" s="3" t="inlineStr">
        <is>
          <t>6B/2025/1S</t>
        </is>
      </c>
      <c r="U1364" s="86" t="n">
        <v>45769</v>
      </c>
      <c r="V1364" s="3" t="inlineStr">
        <is>
          <t>6</t>
        </is>
      </c>
      <c r="W1364" s="111" t="n">
        <v>45769</v>
      </c>
      <c r="X1364" s="4" t="inlineStr">
        <is>
          <t>HS &amp; S LLC</t>
        </is>
      </c>
    </row>
    <row r="1365" ht="24" customHeight="1">
      <c r="A1365" s="2">
        <f>+D1365-S1365</f>
        <v/>
      </c>
      <c r="B1365" s="80" t="n"/>
      <c r="C1365" s="66" t="n">
        <v>45765</v>
      </c>
      <c r="D1365" s="2" t="n">
        <v>1</v>
      </c>
      <c r="E1365" s="3" t="inlineStr">
        <is>
          <t>ACCESSORI</t>
        </is>
      </c>
      <c r="F1365" s="3" t="inlineStr">
        <is>
          <t>9x19</t>
        </is>
      </c>
      <c r="G1365" s="3" t="inlineStr">
        <is>
          <t>GLOCK</t>
        </is>
      </c>
      <c r="H1365" s="65" t="inlineStr">
        <is>
          <t>SCATTO PERFORMANCE GEN4/GEN5</t>
        </is>
      </c>
      <c r="I1365" s="65" t="inlineStr">
        <is>
          <t>N/D</t>
        </is>
      </c>
      <c r="J1365" s="65" t="inlineStr">
        <is>
          <t>N/D</t>
        </is>
      </c>
      <c r="K1365" s="65" t="inlineStr">
        <is>
          <t>N/D</t>
        </is>
      </c>
      <c r="L1365" s="127" t="inlineStr">
        <is>
          <t>BIGNAMI SPA</t>
        </is>
      </c>
      <c r="M1365" s="5" t="n">
        <v>75.7</v>
      </c>
      <c r="N1365" s="5" t="n"/>
      <c r="O1365" s="5">
        <f>+M1365+N1365</f>
        <v/>
      </c>
      <c r="P1365" s="4" t="n">
        <v>45765</v>
      </c>
      <c r="Q1365" s="87" t="n">
        <v>45765</v>
      </c>
      <c r="R1365" s="5" t="n">
        <v>80</v>
      </c>
      <c r="S1365" s="2" t="n">
        <v>1</v>
      </c>
      <c r="T1365" s="3" t="inlineStr">
        <is>
          <t>CA04954OS</t>
        </is>
      </c>
      <c r="U1365" s="87" t="n">
        <v>45874</v>
      </c>
      <c r="V1365" s="3" t="inlineStr">
        <is>
          <t>26</t>
        </is>
      </c>
      <c r="W1365" s="4" t="n">
        <v>45874</v>
      </c>
      <c r="X1365" s="4" t="inlineStr">
        <is>
          <t>PHILIPPOS  CONSTANTINIDES
TRADING CO.LTD</t>
        </is>
      </c>
    </row>
    <row r="1366" ht="24" customHeight="1">
      <c r="A1366" s="2">
        <f>+D1366-S1366</f>
        <v/>
      </c>
      <c r="B1366" s="80" t="n"/>
      <c r="C1366" s="66" t="n">
        <v>45765</v>
      </c>
      <c r="D1366" s="2" t="n">
        <v>1</v>
      </c>
      <c r="E1366" s="3" t="inlineStr">
        <is>
          <t>ACCESSORI</t>
        </is>
      </c>
      <c r="F1366" s="3" t="inlineStr">
        <is>
          <t>N/D</t>
        </is>
      </c>
      <c r="G1366" s="3" t="inlineStr">
        <is>
          <t>GLOCK</t>
        </is>
      </c>
      <c r="H1366" s="65" t="inlineStr">
        <is>
          <t>FONDINA COMBAT SPORT SLIM X G43/X G48</t>
        </is>
      </c>
      <c r="I1366" s="65" t="inlineStr">
        <is>
          <t>N/D</t>
        </is>
      </c>
      <c r="J1366" s="65" t="inlineStr">
        <is>
          <t>N/D</t>
        </is>
      </c>
      <c r="K1366" s="65" t="inlineStr">
        <is>
          <t>N/D</t>
        </is>
      </c>
      <c r="L1366" s="127" t="inlineStr">
        <is>
          <t>BIGNAMI SPA</t>
        </is>
      </c>
      <c r="M1366" s="5" t="n">
        <v>7.41</v>
      </c>
      <c r="N1366" s="5" t="n"/>
      <c r="O1366" s="5">
        <f>+M1366+N1366</f>
        <v/>
      </c>
      <c r="P1366" s="4" t="n">
        <v>45765</v>
      </c>
      <c r="Q1366" s="87" t="n">
        <v>45765</v>
      </c>
      <c r="R1366" s="5" t="n">
        <v>8.199999999999999</v>
      </c>
      <c r="S1366" s="2" t="n">
        <v>1</v>
      </c>
      <c r="T1366" s="3" t="n"/>
      <c r="U1366" s="87" t="n">
        <v>45891</v>
      </c>
      <c r="V1366" s="3" t="inlineStr">
        <is>
          <t>29</t>
        </is>
      </c>
      <c r="W1366" s="108" t="n">
        <v>45891</v>
      </c>
      <c r="X1366" s="4" t="inlineStr">
        <is>
          <t>PHILIPPOS  CONSTANTINIDES
TRADING CO.LTD</t>
        </is>
      </c>
    </row>
    <row r="1367" ht="24" customHeight="1">
      <c r="A1367" s="2">
        <f>+D1367-S1367</f>
        <v/>
      </c>
      <c r="B1367" s="80" t="n"/>
      <c r="C1367" s="66" t="n">
        <v>45765</v>
      </c>
      <c r="D1367" s="2" t="n">
        <v>1</v>
      </c>
      <c r="E1367" s="3" t="inlineStr">
        <is>
          <t>ACCESSORI</t>
        </is>
      </c>
      <c r="F1367" s="3" t="inlineStr">
        <is>
          <t>9x19</t>
        </is>
      </c>
      <c r="G1367" s="3" t="inlineStr">
        <is>
          <t>GLOCK</t>
        </is>
      </c>
      <c r="H1367" s="65" t="inlineStr">
        <is>
          <t>FONDINA COMBAT SPORT X 40 S&amp;W</t>
        </is>
      </c>
      <c r="I1367" s="65" t="inlineStr">
        <is>
          <t>N/D</t>
        </is>
      </c>
      <c r="J1367" s="65" t="inlineStr">
        <is>
          <t>N/D</t>
        </is>
      </c>
      <c r="K1367" s="65" t="inlineStr">
        <is>
          <t>N/D</t>
        </is>
      </c>
      <c r="L1367" s="127" t="inlineStr">
        <is>
          <t>BIGNAMI SPA</t>
        </is>
      </c>
      <c r="M1367" s="5" t="n">
        <v>7.41</v>
      </c>
      <c r="N1367" s="5" t="n"/>
      <c r="O1367" s="5">
        <f>+M1367+N1367</f>
        <v/>
      </c>
      <c r="P1367" s="4" t="n">
        <v>45765</v>
      </c>
      <c r="Q1367" s="87" t="n">
        <v>45765</v>
      </c>
      <c r="R1367" s="5" t="n">
        <v>8.199999999999999</v>
      </c>
      <c r="S1367" s="2" t="n">
        <v>1</v>
      </c>
      <c r="T1367" s="3" t="n"/>
      <c r="U1367" s="87" t="n">
        <v>45891</v>
      </c>
      <c r="V1367" s="3" t="inlineStr">
        <is>
          <t>29</t>
        </is>
      </c>
      <c r="W1367" s="108" t="n">
        <v>45891</v>
      </c>
      <c r="X1367" s="4" t="inlineStr">
        <is>
          <t>PHILIPPOS  CONSTANTINIDES
TRADING CO.LTD</t>
        </is>
      </c>
    </row>
    <row r="1368" ht="24" customHeight="1">
      <c r="A1368" s="2">
        <f>+D1368-S1368</f>
        <v/>
      </c>
      <c r="B1368" s="80" t="n">
        <v>3014</v>
      </c>
      <c r="C1368" s="66" t="n">
        <v>45765</v>
      </c>
      <c r="D1368" s="2" t="n">
        <v>1</v>
      </c>
      <c r="E1368" s="3" t="inlineStr">
        <is>
          <t>PISTOLA SEMIAUTOMATICA</t>
        </is>
      </c>
      <c r="F1368" s="3" t="inlineStr">
        <is>
          <t>.45 ACP</t>
        </is>
      </c>
      <c r="G1368" s="3" t="inlineStr">
        <is>
          <t>COLT</t>
        </is>
      </c>
      <c r="H1368" s="65" t="inlineStr">
        <is>
          <t>COMPETITION 5''</t>
        </is>
      </c>
      <c r="I1368" s="65" t="inlineStr">
        <is>
          <t>SCC028055</t>
        </is>
      </c>
      <c r="J1368" s="65" t="inlineStr">
        <is>
          <t>N/D</t>
        </is>
      </c>
      <c r="K1368" s="65" t="inlineStr">
        <is>
          <t>N/D</t>
        </is>
      </c>
      <c r="L1368" s="127" t="inlineStr">
        <is>
          <t>BIGNAMI SPA</t>
        </is>
      </c>
      <c r="M1368" s="5" t="n">
        <v>1113.15</v>
      </c>
      <c r="N1368" s="5" t="n"/>
      <c r="O1368" s="5">
        <f>+M1368+N1368</f>
        <v/>
      </c>
      <c r="P1368" s="4" t="n">
        <v>45765</v>
      </c>
      <c r="Q1368" s="87" t="n">
        <v>45765</v>
      </c>
      <c r="R1368" s="5" t="n">
        <v>1250</v>
      </c>
      <c r="S1368" s="2" t="n">
        <v>1</v>
      </c>
      <c r="T1368" s="3" t="inlineStr">
        <is>
          <t>6B/2025/1S</t>
        </is>
      </c>
      <c r="U1368" s="86" t="n">
        <v>45769</v>
      </c>
      <c r="V1368" s="3" t="inlineStr">
        <is>
          <t>6</t>
        </is>
      </c>
      <c r="W1368" s="111" t="n">
        <v>45769</v>
      </c>
      <c r="X1368" s="4" t="inlineStr">
        <is>
          <t>HS &amp; S LLC</t>
        </is>
      </c>
    </row>
    <row r="1369" ht="24" customHeight="1">
      <c r="A1369" s="2">
        <f>+D1369-S1369</f>
        <v/>
      </c>
      <c r="B1369" s="80" t="n">
        <v>3015</v>
      </c>
      <c r="C1369" s="66" t="n">
        <v>45765</v>
      </c>
      <c r="D1369" s="2" t="n">
        <v>1</v>
      </c>
      <c r="E1369" s="3" t="inlineStr">
        <is>
          <t>PISTOLA SEMIAUTOMATICA</t>
        </is>
      </c>
      <c r="F1369" s="3" t="inlineStr">
        <is>
          <t>.45 ACP</t>
        </is>
      </c>
      <c r="G1369" s="3" t="inlineStr">
        <is>
          <t>COLT</t>
        </is>
      </c>
      <c r="H1369" s="65" t="inlineStr">
        <is>
          <t>COMPETITION 5''</t>
        </is>
      </c>
      <c r="I1369" s="65" t="inlineStr">
        <is>
          <t>SCC027983</t>
        </is>
      </c>
      <c r="J1369" s="65" t="inlineStr">
        <is>
          <t>N/D</t>
        </is>
      </c>
      <c r="K1369" s="65" t="inlineStr">
        <is>
          <t>N/D</t>
        </is>
      </c>
      <c r="L1369" s="127" t="inlineStr">
        <is>
          <t>BIGNAMI SPA</t>
        </is>
      </c>
      <c r="M1369" s="5" t="n">
        <v>1113.15</v>
      </c>
      <c r="N1369" s="5" t="n"/>
      <c r="O1369" s="5">
        <f>+M1369+N1369</f>
        <v/>
      </c>
      <c r="P1369" s="4" t="n">
        <v>45765</v>
      </c>
      <c r="Q1369" s="87" t="n">
        <v>45765</v>
      </c>
      <c r="R1369" s="5" t="n">
        <v>1250</v>
      </c>
      <c r="S1369" s="2" t="n">
        <v>1</v>
      </c>
      <c r="T1369" s="3" t="inlineStr">
        <is>
          <t>6B/2025/1S</t>
        </is>
      </c>
      <c r="U1369" s="86" t="n">
        <v>45769</v>
      </c>
      <c r="V1369" s="3" t="inlineStr">
        <is>
          <t>6</t>
        </is>
      </c>
      <c r="W1369" s="111" t="n">
        <v>45769</v>
      </c>
      <c r="X1369" s="4" t="inlineStr">
        <is>
          <t>HS &amp; S LLC</t>
        </is>
      </c>
    </row>
    <row r="1370" ht="24" customHeight="1">
      <c r="A1370" s="2">
        <f>+D1370-S1370</f>
        <v/>
      </c>
      <c r="B1370" s="80" t="n">
        <v>3016</v>
      </c>
      <c r="C1370" s="66" t="n">
        <v>45765</v>
      </c>
      <c r="D1370" s="2" t="n">
        <v>1</v>
      </c>
      <c r="E1370" s="3" t="inlineStr">
        <is>
          <t>PISTOLA SEMIAUTOMATICA</t>
        </is>
      </c>
      <c r="F1370" s="3" t="inlineStr">
        <is>
          <t>.45 ACP</t>
        </is>
      </c>
      <c r="G1370" s="3" t="inlineStr">
        <is>
          <t>COLT</t>
        </is>
      </c>
      <c r="H1370" s="65" t="inlineStr">
        <is>
          <t>COMPETITION 5''</t>
        </is>
      </c>
      <c r="I1370" s="65" t="inlineStr">
        <is>
          <t>SCC028080</t>
        </is>
      </c>
      <c r="J1370" s="65" t="inlineStr">
        <is>
          <t>N/D</t>
        </is>
      </c>
      <c r="K1370" s="65" t="inlineStr">
        <is>
          <t>N/D</t>
        </is>
      </c>
      <c r="L1370" s="127" t="inlineStr">
        <is>
          <t>BIGNAMI SPA</t>
        </is>
      </c>
      <c r="M1370" s="5" t="n">
        <v>1113.15</v>
      </c>
      <c r="N1370" s="5" t="n"/>
      <c r="O1370" s="5">
        <f>+M1370+N1370</f>
        <v/>
      </c>
      <c r="P1370" s="4" t="n">
        <v>45765</v>
      </c>
      <c r="Q1370" s="87" t="n">
        <v>45765</v>
      </c>
      <c r="R1370" s="5" t="n">
        <v>1250</v>
      </c>
      <c r="S1370" s="2" t="n">
        <v>1</v>
      </c>
      <c r="T1370" s="3" t="inlineStr">
        <is>
          <t>6B/2025/1S</t>
        </is>
      </c>
      <c r="U1370" s="86" t="n">
        <v>45769</v>
      </c>
      <c r="V1370" s="3" t="inlineStr">
        <is>
          <t>6</t>
        </is>
      </c>
      <c r="W1370" s="111" t="n">
        <v>45769</v>
      </c>
      <c r="X1370" s="4" t="inlineStr">
        <is>
          <t>HS &amp; S LLC</t>
        </is>
      </c>
    </row>
    <row r="1371" ht="24" customHeight="1">
      <c r="A1371" s="2">
        <f>+D1371-S1371</f>
        <v/>
      </c>
      <c r="B1371" s="80" t="n">
        <v>3017</v>
      </c>
      <c r="C1371" s="66" t="n">
        <v>45765</v>
      </c>
      <c r="D1371" s="2" t="n">
        <v>1</v>
      </c>
      <c r="E1371" s="3" t="inlineStr">
        <is>
          <t>PISTOLA SEMIAUTOMATICA</t>
        </is>
      </c>
      <c r="F1371" s="3" t="inlineStr">
        <is>
          <t>.45 ACP</t>
        </is>
      </c>
      <c r="G1371" s="3" t="inlineStr">
        <is>
          <t>COLT</t>
        </is>
      </c>
      <c r="H1371" s="65" t="inlineStr">
        <is>
          <t>COMPETITION 5''</t>
        </is>
      </c>
      <c r="I1371" s="65" t="inlineStr">
        <is>
          <t>SCC028258</t>
        </is>
      </c>
      <c r="J1371" s="65" t="inlineStr">
        <is>
          <t>N/D</t>
        </is>
      </c>
      <c r="K1371" s="65" t="inlineStr">
        <is>
          <t>N/D</t>
        </is>
      </c>
      <c r="L1371" s="127" t="inlineStr">
        <is>
          <t>BIGNAMI SPA</t>
        </is>
      </c>
      <c r="M1371" s="5" t="n">
        <v>1113.15</v>
      </c>
      <c r="N1371" s="5" t="n"/>
      <c r="O1371" s="5">
        <f>+M1371+N1371</f>
        <v/>
      </c>
      <c r="P1371" s="4" t="n">
        <v>45765</v>
      </c>
      <c r="Q1371" s="87" t="n">
        <v>45765</v>
      </c>
      <c r="R1371" s="5" t="n">
        <v>1250</v>
      </c>
      <c r="S1371" s="2" t="n">
        <v>1</v>
      </c>
      <c r="T1371" s="3" t="inlineStr">
        <is>
          <t>6B/2025/1S</t>
        </is>
      </c>
      <c r="U1371" s="86" t="n">
        <v>45769</v>
      </c>
      <c r="V1371" s="3" t="inlineStr">
        <is>
          <t>6</t>
        </is>
      </c>
      <c r="W1371" s="111" t="n">
        <v>45769</v>
      </c>
      <c r="X1371" s="4" t="inlineStr">
        <is>
          <t>HS &amp; S LLC</t>
        </is>
      </c>
    </row>
    <row r="1372" ht="24" customHeight="1">
      <c r="A1372" s="2">
        <f>+D1372-S1372</f>
        <v/>
      </c>
      <c r="B1372" s="80" t="n">
        <v>3018</v>
      </c>
      <c r="C1372" s="66" t="n">
        <v>45765</v>
      </c>
      <c r="D1372" s="2" t="n">
        <v>1</v>
      </c>
      <c r="E1372" s="3" t="inlineStr">
        <is>
          <t>PISTOLA SEMIAUTOMATICA</t>
        </is>
      </c>
      <c r="F1372" s="3" t="inlineStr">
        <is>
          <t>.45 ACP</t>
        </is>
      </c>
      <c r="G1372" s="3" t="inlineStr">
        <is>
          <t>COLT</t>
        </is>
      </c>
      <c r="H1372" s="65" t="inlineStr">
        <is>
          <t>COMPETITION 5''</t>
        </is>
      </c>
      <c r="I1372" s="65" t="inlineStr">
        <is>
          <t>CCS035734</t>
        </is>
      </c>
      <c r="J1372" s="65" t="inlineStr">
        <is>
          <t>N/D</t>
        </is>
      </c>
      <c r="K1372" s="65" t="inlineStr">
        <is>
          <t>N/D</t>
        </is>
      </c>
      <c r="L1372" s="127" t="inlineStr">
        <is>
          <t>BIGNAMI SPA</t>
        </is>
      </c>
      <c r="M1372" s="5" t="n">
        <v>1057</v>
      </c>
      <c r="N1372" s="5" t="n"/>
      <c r="O1372" s="5">
        <f>+M1372+N1372</f>
        <v/>
      </c>
      <c r="P1372" s="4" t="n">
        <v>45765</v>
      </c>
      <c r="Q1372" s="87" t="n">
        <v>45765</v>
      </c>
      <c r="R1372" s="5" t="n">
        <v>1250</v>
      </c>
      <c r="S1372" s="2" t="n">
        <v>1</v>
      </c>
      <c r="T1372" s="3" t="inlineStr">
        <is>
          <t>6B/2025/1S</t>
        </is>
      </c>
      <c r="U1372" s="86" t="n">
        <v>45769</v>
      </c>
      <c r="V1372" s="3" t="inlineStr">
        <is>
          <t>6</t>
        </is>
      </c>
      <c r="W1372" s="111" t="n">
        <v>45769</v>
      </c>
      <c r="X1372" s="4" t="inlineStr">
        <is>
          <t>HS &amp; S LLC</t>
        </is>
      </c>
    </row>
    <row r="1373" ht="24" customHeight="1">
      <c r="A1373" s="2">
        <f>+D1373-S1373</f>
        <v/>
      </c>
      <c r="B1373" s="80" t="n">
        <v>3019</v>
      </c>
      <c r="C1373" s="66" t="n">
        <v>45765</v>
      </c>
      <c r="D1373" s="2" t="n">
        <v>1</v>
      </c>
      <c r="E1373" s="3" t="inlineStr">
        <is>
          <t>PISTOLA SEMIAUTOMATICA</t>
        </is>
      </c>
      <c r="F1373" s="3" t="inlineStr">
        <is>
          <t>.45 ACP</t>
        </is>
      </c>
      <c r="G1373" s="3" t="inlineStr">
        <is>
          <t>COLT</t>
        </is>
      </c>
      <c r="H1373" s="65" t="inlineStr">
        <is>
          <t>COMPETITION 5''</t>
        </is>
      </c>
      <c r="I1373" s="65" t="inlineStr">
        <is>
          <t>CCS036091</t>
        </is>
      </c>
      <c r="J1373" s="65" t="inlineStr">
        <is>
          <t>N/D</t>
        </is>
      </c>
      <c r="K1373" s="65" t="inlineStr">
        <is>
          <t>N/D</t>
        </is>
      </c>
      <c r="L1373" s="127" t="inlineStr">
        <is>
          <t>BIGNAMI SPA</t>
        </is>
      </c>
      <c r="M1373" s="5" t="n">
        <v>1057</v>
      </c>
      <c r="N1373" s="5" t="n"/>
      <c r="O1373" s="5">
        <f>+M1373+N1373</f>
        <v/>
      </c>
      <c r="P1373" s="4" t="n">
        <v>45765</v>
      </c>
      <c r="Q1373" s="87" t="n">
        <v>45765</v>
      </c>
      <c r="R1373" s="5" t="n">
        <v>1250</v>
      </c>
      <c r="S1373" s="2" t="n">
        <v>1</v>
      </c>
      <c r="T1373" s="3" t="inlineStr">
        <is>
          <t>6B/2025/1S</t>
        </is>
      </c>
      <c r="U1373" s="86" t="n">
        <v>45769</v>
      </c>
      <c r="V1373" s="3" t="inlineStr">
        <is>
          <t>6</t>
        </is>
      </c>
      <c r="W1373" s="111" t="n">
        <v>45769</v>
      </c>
      <c r="X1373" s="4" t="inlineStr">
        <is>
          <t>HS &amp; S LLC</t>
        </is>
      </c>
    </row>
    <row r="1374" ht="24" customHeight="1">
      <c r="A1374" s="2">
        <f>+D1374-S1374</f>
        <v/>
      </c>
      <c r="B1374" s="80" t="n">
        <v>3020</v>
      </c>
      <c r="C1374" s="66" t="n">
        <v>45765</v>
      </c>
      <c r="D1374" s="2" t="n">
        <v>1</v>
      </c>
      <c r="E1374" s="3" t="inlineStr">
        <is>
          <t>PISTOLA SEMIAUTOMATICA</t>
        </is>
      </c>
      <c r="F1374" s="3" t="inlineStr">
        <is>
          <t>.45 ACP</t>
        </is>
      </c>
      <c r="G1374" s="3" t="inlineStr">
        <is>
          <t>COLT</t>
        </is>
      </c>
      <c r="H1374" s="65" t="inlineStr">
        <is>
          <t>COMPETITION 5''</t>
        </is>
      </c>
      <c r="I1374" s="65" t="inlineStr">
        <is>
          <t>CCS035468</t>
        </is>
      </c>
      <c r="J1374" s="65" t="inlineStr">
        <is>
          <t>N/D</t>
        </is>
      </c>
      <c r="K1374" s="65" t="inlineStr">
        <is>
          <t>N/D</t>
        </is>
      </c>
      <c r="L1374" s="127" t="inlineStr">
        <is>
          <t>BIGNAMI SPA</t>
        </is>
      </c>
      <c r="M1374" s="5" t="n">
        <v>1057</v>
      </c>
      <c r="N1374" s="5" t="n"/>
      <c r="O1374" s="5">
        <f>+M1374+N1374</f>
        <v/>
      </c>
      <c r="P1374" s="4" t="n">
        <v>45765</v>
      </c>
      <c r="Q1374" s="87" t="n">
        <v>45765</v>
      </c>
      <c r="R1374" s="5" t="n">
        <v>1250</v>
      </c>
      <c r="S1374" s="2" t="n">
        <v>1</v>
      </c>
      <c r="T1374" s="3" t="inlineStr">
        <is>
          <t>6B/2025/1S</t>
        </is>
      </c>
      <c r="U1374" s="86" t="n">
        <v>45769</v>
      </c>
      <c r="V1374" s="3" t="inlineStr">
        <is>
          <t>6</t>
        </is>
      </c>
      <c r="W1374" s="111" t="n">
        <v>45769</v>
      </c>
      <c r="X1374" s="4" t="inlineStr">
        <is>
          <t>HS &amp; S LLC</t>
        </is>
      </c>
    </row>
    <row r="1375" ht="24" customHeight="1">
      <c r="A1375" s="2">
        <f>+D1375-S1375</f>
        <v/>
      </c>
      <c r="B1375" s="80" t="n">
        <v>3021</v>
      </c>
      <c r="C1375" s="66" t="n">
        <v>45765</v>
      </c>
      <c r="D1375" s="2" t="n">
        <v>1</v>
      </c>
      <c r="E1375" s="3" t="inlineStr">
        <is>
          <t>CARABINA</t>
        </is>
      </c>
      <c r="F1375" s="3" t="inlineStr">
        <is>
          <t>.223 REM</t>
        </is>
      </c>
      <c r="G1375" s="3" t="inlineStr">
        <is>
          <t>COLT</t>
        </is>
      </c>
      <c r="H1375" s="65" t="inlineStr">
        <is>
          <t>M4A1 16''</t>
        </is>
      </c>
      <c r="I1375" s="65" t="inlineStr">
        <is>
          <t>CR864736</t>
        </is>
      </c>
      <c r="J1375" s="65" t="inlineStr">
        <is>
          <t>N/D</t>
        </is>
      </c>
      <c r="K1375" s="65" t="inlineStr">
        <is>
          <t>N/D</t>
        </is>
      </c>
      <c r="L1375" s="127" t="inlineStr">
        <is>
          <t>BIGNAMI SPA</t>
        </is>
      </c>
      <c r="M1375" s="5" t="n">
        <v>1761</v>
      </c>
      <c r="N1375" s="5" t="n"/>
      <c r="O1375" s="5">
        <f>+M1375+N1375</f>
        <v/>
      </c>
      <c r="P1375" s="4" t="n">
        <v>45765</v>
      </c>
      <c r="Q1375" s="87" t="n">
        <v>45765</v>
      </c>
      <c r="R1375" s="5" t="n">
        <v>2054</v>
      </c>
      <c r="S1375" s="2" t="n">
        <v>1</v>
      </c>
      <c r="T1375" s="3" t="inlineStr">
        <is>
          <t>6B/2025/1S</t>
        </is>
      </c>
      <c r="U1375" s="86" t="n">
        <v>45769</v>
      </c>
      <c r="V1375" s="3" t="inlineStr">
        <is>
          <t>6</t>
        </is>
      </c>
      <c r="W1375" s="111" t="n">
        <v>45769</v>
      </c>
      <c r="X1375" s="4" t="inlineStr">
        <is>
          <t>HS &amp; S LLC</t>
        </is>
      </c>
    </row>
    <row r="1376" ht="24" customHeight="1">
      <c r="A1376" s="2">
        <f>+D1376-S1376</f>
        <v/>
      </c>
      <c r="B1376" s="80" t="n">
        <v>3022</v>
      </c>
      <c r="C1376" s="66" t="n">
        <v>45771</v>
      </c>
      <c r="D1376" s="2" t="n">
        <v>1</v>
      </c>
      <c r="E1376" s="3" t="inlineStr">
        <is>
          <t>CARABINA</t>
        </is>
      </c>
      <c r="F1376" s="3" t="inlineStr">
        <is>
          <t>.223 REM</t>
        </is>
      </c>
      <c r="G1376" s="3" t="inlineStr">
        <is>
          <t>VOERE</t>
        </is>
      </c>
      <c r="H1376" s="65" t="inlineStr">
        <is>
          <t>S16 BASIC CARBON BARREL</t>
        </is>
      </c>
      <c r="I1376" s="65" t="inlineStr">
        <is>
          <t>359216</t>
        </is>
      </c>
      <c r="J1376" s="65" t="inlineStr">
        <is>
          <t>QI0361</t>
        </is>
      </c>
      <c r="K1376" s="65" t="inlineStr">
        <is>
          <t>TB0111</t>
        </is>
      </c>
      <c r="L1376" s="127" t="inlineStr">
        <is>
          <t>ORIGIN STB SRL</t>
        </is>
      </c>
      <c r="M1376" s="5" t="n">
        <v>597.04</v>
      </c>
      <c r="N1376" s="5" t="n"/>
      <c r="O1376" s="5">
        <f>+M1376+N1376</f>
        <v/>
      </c>
      <c r="P1376" s="4" t="n">
        <v>45762</v>
      </c>
      <c r="Q1376" s="87" t="n">
        <v>45762</v>
      </c>
      <c r="R1376" s="5" t="n">
        <v>627</v>
      </c>
      <c r="S1376" s="2" t="n">
        <v>1</v>
      </c>
      <c r="T1376" s="3" t="inlineStr">
        <is>
          <t>CA04954OS</t>
        </is>
      </c>
      <c r="U1376" s="87" t="n">
        <v>45874</v>
      </c>
      <c r="V1376" s="3" t="inlineStr">
        <is>
          <t>26</t>
        </is>
      </c>
      <c r="W1376" s="4" t="n">
        <v>45874</v>
      </c>
      <c r="X1376" s="4" t="inlineStr">
        <is>
          <t>PHILIPPOS  CONSTANTINIDES
TRADING CO.LTD</t>
        </is>
      </c>
    </row>
    <row r="1377" ht="24" customHeight="1">
      <c r="A1377" s="2">
        <f>+D1377-S1377</f>
        <v/>
      </c>
      <c r="B1377" s="80" t="n">
        <v>3023</v>
      </c>
      <c r="C1377" s="66" t="n">
        <v>45771</v>
      </c>
      <c r="D1377" s="2" t="n">
        <v>1</v>
      </c>
      <c r="E1377" s="3" t="inlineStr">
        <is>
          <t>CARABINA</t>
        </is>
      </c>
      <c r="F1377" s="3" t="inlineStr">
        <is>
          <t>22 LR</t>
        </is>
      </c>
      <c r="G1377" s="3" t="inlineStr">
        <is>
          <t>VOERE</t>
        </is>
      </c>
      <c r="H1377" s="65" t="inlineStr">
        <is>
          <t>K15 KK-BASIC CARBON BARREL 18.9''</t>
        </is>
      </c>
      <c r="I1377" s="65" t="inlineStr">
        <is>
          <t>358442</t>
        </is>
      </c>
      <c r="J1377" s="65" t="inlineStr">
        <is>
          <t>OQ0513</t>
        </is>
      </c>
      <c r="K1377" s="65" t="inlineStr">
        <is>
          <t>PF0126</t>
        </is>
      </c>
      <c r="L1377" s="127" t="inlineStr">
        <is>
          <t>ORIGIN STB SRL</t>
        </is>
      </c>
      <c r="M1377" s="5" t="n">
        <v>371.655</v>
      </c>
      <c r="N1377" s="5" t="n"/>
      <c r="O1377" s="5">
        <f>+M1377+N1377</f>
        <v/>
      </c>
      <c r="P1377" s="4" t="n">
        <v>45758</v>
      </c>
      <c r="Q1377" s="87" t="n">
        <v>45762</v>
      </c>
      <c r="R1377" s="5" t="n">
        <v>409</v>
      </c>
      <c r="S1377" s="2" t="n">
        <v>1</v>
      </c>
      <c r="T1377" s="3" t="inlineStr">
        <is>
          <t>CA04954OS</t>
        </is>
      </c>
      <c r="U1377" s="87" t="n">
        <v>45874</v>
      </c>
      <c r="V1377" s="3" t="inlineStr">
        <is>
          <t>26</t>
        </is>
      </c>
      <c r="W1377" s="4" t="n">
        <v>45874</v>
      </c>
      <c r="X1377" s="4" t="inlineStr">
        <is>
          <t>PHILIPPOS  CONSTANTINIDES
TRADING CO.LTD</t>
        </is>
      </c>
    </row>
    <row r="1378" ht="24" customHeight="1">
      <c r="A1378" s="2">
        <f>+D1378-S1378</f>
        <v/>
      </c>
      <c r="B1378" s="80" t="n">
        <v>3024</v>
      </c>
      <c r="C1378" s="66" t="n">
        <v>45771</v>
      </c>
      <c r="D1378" s="2" t="n">
        <v>1</v>
      </c>
      <c r="E1378" s="3" t="inlineStr">
        <is>
          <t>CARABINA</t>
        </is>
      </c>
      <c r="F1378" s="3" t="inlineStr">
        <is>
          <t>22 LR</t>
        </is>
      </c>
      <c r="G1378" s="3" t="inlineStr">
        <is>
          <t>VOERE</t>
        </is>
      </c>
      <c r="H1378" s="65" t="inlineStr">
        <is>
          <t>K15 KK-BASIC CARBON BARREL 18.9''</t>
        </is>
      </c>
      <c r="I1378" s="65" t="inlineStr">
        <is>
          <t>358446</t>
        </is>
      </c>
      <c r="J1378" s="65" t="inlineStr">
        <is>
          <t>OQ0517</t>
        </is>
      </c>
      <c r="K1378" s="65" t="inlineStr">
        <is>
          <t>PF0130</t>
        </is>
      </c>
      <c r="L1378" s="127" t="inlineStr">
        <is>
          <t>ORIGIN STB SRL</t>
        </is>
      </c>
      <c r="M1378" s="5" t="n">
        <v>371.655</v>
      </c>
      <c r="N1378" s="5" t="n"/>
      <c r="O1378" s="5">
        <f>+M1378+N1378</f>
        <v/>
      </c>
      <c r="P1378" s="4" t="n">
        <v>45758</v>
      </c>
      <c r="Q1378" s="87" t="n">
        <v>45762</v>
      </c>
      <c r="R1378" s="5" t="n">
        <v>409</v>
      </c>
      <c r="S1378" s="2" t="n">
        <v>1</v>
      </c>
      <c r="T1378" s="3" t="inlineStr">
        <is>
          <t>CA04954OS</t>
        </is>
      </c>
      <c r="U1378" s="87" t="n">
        <v>45874</v>
      </c>
      <c r="V1378" s="3" t="inlineStr">
        <is>
          <t>26</t>
        </is>
      </c>
      <c r="W1378" s="4" t="n">
        <v>45874</v>
      </c>
      <c r="X1378" s="4" t="inlineStr">
        <is>
          <t>PHILIPPOS  CONSTANTINIDES
TRADING CO.LTD</t>
        </is>
      </c>
    </row>
    <row r="1379" ht="24" customHeight="1">
      <c r="A1379" s="2">
        <f>+D1379-S1379</f>
        <v/>
      </c>
      <c r="B1379" s="80" t="n">
        <v>3025</v>
      </c>
      <c r="C1379" s="66" t="n">
        <v>45775</v>
      </c>
      <c r="D1379" s="2" t="n">
        <v>1</v>
      </c>
      <c r="E1379" s="3" t="inlineStr">
        <is>
          <t>CARABINA</t>
        </is>
      </c>
      <c r="F1379" s="3" t="inlineStr">
        <is>
          <t>30-06</t>
        </is>
      </c>
      <c r="G1379" s="3" t="inlineStr">
        <is>
          <t>BLASER</t>
        </is>
      </c>
      <c r="H1379" s="107" t="inlineStr">
        <is>
          <t>R8 SILVERSTONE</t>
        </is>
      </c>
      <c r="I1379" s="65" t="inlineStr">
        <is>
          <t>RR139089</t>
        </is>
      </c>
      <c r="J1379" s="65" t="inlineStr">
        <is>
          <t xml:space="preserve"> R/301930</t>
        </is>
      </c>
      <c r="K1379" s="65" t="inlineStr">
        <is>
          <t>RB277393</t>
        </is>
      </c>
      <c r="L1379" s="127" t="inlineStr">
        <is>
          <t>ARMERIA BRIGNOLI SILVIO &amp; C SNC</t>
        </is>
      </c>
      <c r="M1379" s="5" t="n">
        <v>6000</v>
      </c>
      <c r="N1379" s="5" t="n"/>
      <c r="O1379" s="5">
        <f>+M1379+N1379</f>
        <v/>
      </c>
      <c r="P1379" s="4" t="n">
        <v>45775</v>
      </c>
      <c r="Q1379" s="87" t="n">
        <v>45776</v>
      </c>
      <c r="R1379" s="5" t="n">
        <v>6865</v>
      </c>
      <c r="S1379" s="2" t="n">
        <v>1</v>
      </c>
      <c r="T1379" s="3" t="inlineStr">
        <is>
          <t>6B-P52222600000101-001</t>
        </is>
      </c>
      <c r="U1379" s="87" t="n">
        <v>46147</v>
      </c>
      <c r="V1379" s="3" t="inlineStr">
        <is>
          <t>8</t>
        </is>
      </c>
      <c r="W1379" s="108" t="n">
        <v>46147</v>
      </c>
      <c r="X1379" s="4" t="inlineStr">
        <is>
          <t>HS &amp; S LLC</t>
        </is>
      </c>
    </row>
    <row r="1380" ht="24" customHeight="1">
      <c r="A1380" s="2">
        <f>+D1380-S1380</f>
        <v/>
      </c>
      <c r="B1380" s="80" t="n">
        <v>3026</v>
      </c>
      <c r="C1380" s="66" t="n">
        <v>45775</v>
      </c>
      <c r="D1380" s="2" t="n">
        <v>1</v>
      </c>
      <c r="E1380" s="3" t="inlineStr">
        <is>
          <t>CARABINA</t>
        </is>
      </c>
      <c r="F1380" s="3" t="inlineStr">
        <is>
          <t>30-06</t>
        </is>
      </c>
      <c r="G1380" s="3" t="inlineStr">
        <is>
          <t>BLASER</t>
        </is>
      </c>
      <c r="H1380" s="103" t="inlineStr">
        <is>
          <t>R8 SILVERSTONE</t>
        </is>
      </c>
      <c r="I1380" s="65" t="inlineStr">
        <is>
          <t>RR139097</t>
        </is>
      </c>
      <c r="J1380" s="65" t="inlineStr">
        <is>
          <t xml:space="preserve"> R/301187</t>
        </is>
      </c>
      <c r="K1380" s="65" t="inlineStr">
        <is>
          <t>RB277828</t>
        </is>
      </c>
      <c r="L1380" s="127" t="inlineStr">
        <is>
          <t>ARMERIA BRIGNOLI SILVIO &amp; C SNC</t>
        </is>
      </c>
      <c r="M1380" s="5" t="n">
        <v>6000</v>
      </c>
      <c r="N1380" s="5" t="n"/>
      <c r="O1380" s="5">
        <f>+M1380+N1380</f>
        <v/>
      </c>
      <c r="P1380" s="4" t="n">
        <v>45775</v>
      </c>
      <c r="Q1380" s="87" t="n">
        <v>45776</v>
      </c>
      <c r="R1380" s="5" t="n">
        <v>6865</v>
      </c>
      <c r="S1380" s="2" t="n">
        <v>1</v>
      </c>
      <c r="T1380" s="3" t="inlineStr">
        <is>
          <t>6B-P52222600000101-001</t>
        </is>
      </c>
      <c r="U1380" s="87" t="n">
        <v>46147</v>
      </c>
      <c r="V1380" s="3" t="inlineStr">
        <is>
          <t>8</t>
        </is>
      </c>
      <c r="W1380" s="108" t="n">
        <v>46147</v>
      </c>
      <c r="X1380" s="4" t="inlineStr">
        <is>
          <t>HS &amp; S LLC</t>
        </is>
      </c>
    </row>
    <row r="1381" ht="24" customHeight="1">
      <c r="A1381" s="2">
        <f>+D1381-S1381</f>
        <v/>
      </c>
      <c r="B1381" s="80" t="n">
        <v>3027</v>
      </c>
      <c r="C1381" s="66" t="n">
        <v>45775</v>
      </c>
      <c r="D1381" s="2" t="n">
        <v>1</v>
      </c>
      <c r="E1381" s="3" t="inlineStr">
        <is>
          <t>CARABINA</t>
        </is>
      </c>
      <c r="F1381" s="3" t="inlineStr">
        <is>
          <t>308 WIN</t>
        </is>
      </c>
      <c r="G1381" s="3" t="inlineStr">
        <is>
          <t>BLASER</t>
        </is>
      </c>
      <c r="H1381" s="65" t="inlineStr">
        <is>
          <t>R8 LUXUS</t>
        </is>
      </c>
      <c r="I1381" s="65" t="inlineStr">
        <is>
          <t>RR137227</t>
        </is>
      </c>
      <c r="J1381" s="65" t="inlineStr">
        <is>
          <t xml:space="preserve"> R/296657</t>
        </is>
      </c>
      <c r="K1381" s="65" t="inlineStr">
        <is>
          <t>RB273671</t>
        </is>
      </c>
      <c r="L1381" s="127" t="inlineStr">
        <is>
          <t>ARMERIA BRIGNOLI SILVIO &amp; C SNC</t>
        </is>
      </c>
      <c r="M1381" s="5" t="n">
        <v>4876</v>
      </c>
      <c r="N1381" s="5" t="n"/>
      <c r="O1381" s="5">
        <f>+M1381+N1381</f>
        <v/>
      </c>
      <c r="P1381" s="4" t="n">
        <v>45775</v>
      </c>
      <c r="Q1381" s="87" t="n">
        <v>45776</v>
      </c>
      <c r="R1381" s="5" t="n">
        <v>5455</v>
      </c>
      <c r="S1381" s="2" t="n">
        <v>1</v>
      </c>
      <c r="T1381" s="3" t="inlineStr">
        <is>
          <t>6B-P52222600000101-001</t>
        </is>
      </c>
      <c r="U1381" s="87" t="n">
        <v>46147</v>
      </c>
      <c r="V1381" s="3" t="inlineStr">
        <is>
          <t>8</t>
        </is>
      </c>
      <c r="W1381" s="108" t="n">
        <v>46147</v>
      </c>
      <c r="X1381" s="4" t="inlineStr">
        <is>
          <t>HS &amp; S LLC</t>
        </is>
      </c>
    </row>
    <row r="1382" ht="24" customHeight="1">
      <c r="A1382" s="2">
        <f>+D1382-S1382</f>
        <v/>
      </c>
      <c r="B1382" s="80" t="n">
        <v>3028</v>
      </c>
      <c r="C1382" s="66" t="n">
        <v>45775</v>
      </c>
      <c r="D1382" s="2" t="n">
        <v>1</v>
      </c>
      <c r="E1382" s="3" t="inlineStr">
        <is>
          <t>CARABINA</t>
        </is>
      </c>
      <c r="F1382" s="3" t="inlineStr">
        <is>
          <t>308 WIN</t>
        </is>
      </c>
      <c r="G1382" s="3" t="inlineStr">
        <is>
          <t>BLASER</t>
        </is>
      </c>
      <c r="H1382" s="65" t="inlineStr">
        <is>
          <t>R8 LUXUS</t>
        </is>
      </c>
      <c r="I1382" s="65" t="inlineStr">
        <is>
          <t>RR137708</t>
        </is>
      </c>
      <c r="J1382" s="65" t="inlineStr">
        <is>
          <t>R/296843</t>
        </is>
      </c>
      <c r="K1382" s="65" t="inlineStr">
        <is>
          <t xml:space="preserve"> RB275561 </t>
        </is>
      </c>
      <c r="L1382" s="127" t="inlineStr">
        <is>
          <t>ARMERIA BRIGNOLI SILVIO &amp; C SNC</t>
        </is>
      </c>
      <c r="M1382" s="5" t="n">
        <v>4876</v>
      </c>
      <c r="N1382" s="5" t="n"/>
      <c r="O1382" s="5">
        <f>+M1382+N1382</f>
        <v/>
      </c>
      <c r="P1382" s="4" t="n">
        <v>45775</v>
      </c>
      <c r="Q1382" s="87" t="n">
        <v>45776</v>
      </c>
      <c r="R1382" s="5" t="n">
        <v>5455</v>
      </c>
      <c r="S1382" s="2" t="n">
        <v>1</v>
      </c>
      <c r="T1382" s="3" t="inlineStr">
        <is>
          <t>6B-P52222600000101-001</t>
        </is>
      </c>
      <c r="U1382" s="87" t="n">
        <v>46147</v>
      </c>
      <c r="V1382" s="3" t="inlineStr">
        <is>
          <t>8</t>
        </is>
      </c>
      <c r="W1382" s="108" t="n">
        <v>46147</v>
      </c>
      <c r="X1382" s="4" t="inlineStr">
        <is>
          <t>HS &amp; S LLC</t>
        </is>
      </c>
    </row>
    <row r="1383" ht="24" customHeight="1">
      <c r="A1383" s="2">
        <f>+D1383-S1383</f>
        <v/>
      </c>
      <c r="B1383" s="80" t="n">
        <v>3029</v>
      </c>
      <c r="C1383" s="66" t="n">
        <v>45775</v>
      </c>
      <c r="D1383" s="2" t="n">
        <v>1</v>
      </c>
      <c r="E1383" s="3" t="inlineStr">
        <is>
          <t>CARABINA</t>
        </is>
      </c>
      <c r="F1383" s="3" t="inlineStr">
        <is>
          <t>.223 REM</t>
        </is>
      </c>
      <c r="G1383" s="3" t="inlineStr">
        <is>
          <t>SAUER</t>
        </is>
      </c>
      <c r="H1383" s="65" t="inlineStr">
        <is>
          <t>100 FILED</t>
        </is>
      </c>
      <c r="I1383" s="65" t="inlineStr">
        <is>
          <t>C067704</t>
        </is>
      </c>
      <c r="J1383" s="65" t="inlineStr">
        <is>
          <t>N/D</t>
        </is>
      </c>
      <c r="K1383" s="65" t="inlineStr">
        <is>
          <t>N/D</t>
        </is>
      </c>
      <c r="L1383" s="127" t="inlineStr">
        <is>
          <t>ARMERIA BRIGNOLI SILVIO &amp; C SNC</t>
        </is>
      </c>
      <c r="M1383" s="5" t="n">
        <v>1355.68</v>
      </c>
      <c r="N1383" s="5" t="n"/>
      <c r="O1383" s="5">
        <f>+M1383+N1383</f>
        <v/>
      </c>
      <c r="P1383" s="4" t="n">
        <v>45775</v>
      </c>
      <c r="Q1383" s="87" t="n">
        <v>45776</v>
      </c>
      <c r="R1383" s="5" t="n">
        <v>1423</v>
      </c>
      <c r="S1383" s="2" t="n">
        <v>1</v>
      </c>
      <c r="T1383" s="3" t="inlineStr">
        <is>
          <t>CA04954OS</t>
        </is>
      </c>
      <c r="U1383" s="87" t="n">
        <v>45874</v>
      </c>
      <c r="V1383" s="3" t="inlineStr">
        <is>
          <t>26</t>
        </is>
      </c>
      <c r="W1383" s="4" t="n">
        <v>45874</v>
      </c>
      <c r="X1383" s="4" t="inlineStr">
        <is>
          <t>PHILIPPOS  CONSTANTINIDES
TRADING CO.LTD</t>
        </is>
      </c>
    </row>
    <row r="1384" ht="24" customHeight="1">
      <c r="A1384" s="2">
        <f>+D1384-S1384</f>
        <v/>
      </c>
      <c r="B1384" s="80" t="n">
        <v>3030</v>
      </c>
      <c r="C1384" s="66" t="n">
        <v>45783</v>
      </c>
      <c r="D1384" s="2" t="n">
        <v>1</v>
      </c>
      <c r="E1384" s="3" t="inlineStr">
        <is>
          <t>PISTOLA SEMIAUTOMATICA</t>
        </is>
      </c>
      <c r="F1384" s="3" t="inlineStr">
        <is>
          <t>9x19</t>
        </is>
      </c>
      <c r="G1384" s="3" t="inlineStr">
        <is>
          <t>BERETTA</t>
        </is>
      </c>
      <c r="H1384" s="65" t="inlineStr">
        <is>
          <t>APX COMPACT</t>
        </is>
      </c>
      <c r="I1384" s="65" t="inlineStr">
        <is>
          <t>A299960X</t>
        </is>
      </c>
      <c r="J1384" s="65" t="inlineStr">
        <is>
          <t>N/D</t>
        </is>
      </c>
      <c r="K1384" s="65" t="inlineStr">
        <is>
          <t>N/D</t>
        </is>
      </c>
      <c r="L1384" s="127" t="inlineStr">
        <is>
          <t>ARMERIA BRIGNOLI SILVIO &amp; C SNC</t>
        </is>
      </c>
      <c r="M1384" s="5" t="n">
        <v>420</v>
      </c>
      <c r="N1384" s="5" t="n"/>
      <c r="O1384" s="5">
        <f>+M1384+N1384</f>
        <v/>
      </c>
      <c r="P1384" s="4" t="n">
        <v>45783</v>
      </c>
      <c r="Q1384" s="87" t="n">
        <v>45783</v>
      </c>
      <c r="R1384" s="5" t="n">
        <v>441</v>
      </c>
      <c r="S1384" s="2" t="n">
        <v>1</v>
      </c>
      <c r="T1384" s="3" t="inlineStr">
        <is>
          <t>CA04954OS</t>
        </is>
      </c>
      <c r="U1384" s="87" t="n">
        <v>45874</v>
      </c>
      <c r="V1384" s="3" t="inlineStr">
        <is>
          <t>25</t>
        </is>
      </c>
      <c r="W1384" s="4" t="n">
        <v>45874</v>
      </c>
      <c r="X1384" s="4" t="inlineStr">
        <is>
          <t>PHILIPPOS  CONSTANTINIDES
TRADING CO.LTD</t>
        </is>
      </c>
    </row>
    <row r="1385" ht="24" customHeight="1">
      <c r="A1385" s="2">
        <f>+D1385-S1385</f>
        <v/>
      </c>
      <c r="B1385" s="80" t="n">
        <v>3031</v>
      </c>
      <c r="C1385" s="66" t="n">
        <v>45783</v>
      </c>
      <c r="D1385" s="2" t="n">
        <v>1</v>
      </c>
      <c r="E1385" s="3" t="inlineStr">
        <is>
          <t>PISTOLA SEMIAUTOMATICA</t>
        </is>
      </c>
      <c r="F1385" s="3" t="inlineStr">
        <is>
          <t>9x19</t>
        </is>
      </c>
      <c r="G1385" s="3" t="inlineStr">
        <is>
          <t>BERETTA</t>
        </is>
      </c>
      <c r="H1385" s="65" t="inlineStr">
        <is>
          <t>PX4 INOX</t>
        </is>
      </c>
      <c r="I1385" s="65" t="inlineStr">
        <is>
          <t>CB739</t>
        </is>
      </c>
      <c r="J1385" s="65" t="inlineStr">
        <is>
          <t>N/D</t>
        </is>
      </c>
      <c r="K1385" s="65" t="inlineStr">
        <is>
          <t>N/D</t>
        </is>
      </c>
      <c r="L1385" s="127" t="inlineStr">
        <is>
          <t>ARMERIA BRIGNOLI SILVIO &amp; C SNC</t>
        </is>
      </c>
      <c r="M1385" s="5" t="n">
        <v>580</v>
      </c>
      <c r="N1385" s="5" t="n"/>
      <c r="O1385" s="5">
        <f>+M1385+N1385</f>
        <v/>
      </c>
      <c r="P1385" s="4" t="n">
        <v>45783</v>
      </c>
      <c r="Q1385" s="87" t="n">
        <v>45783</v>
      </c>
      <c r="R1385" s="5" t="n">
        <v>606</v>
      </c>
      <c r="S1385" s="2" t="n">
        <v>1</v>
      </c>
      <c r="T1385" s="3" t="inlineStr">
        <is>
          <t>CA04954OS</t>
        </is>
      </c>
      <c r="U1385" s="87" t="n">
        <v>45874</v>
      </c>
      <c r="V1385" s="3" t="inlineStr">
        <is>
          <t>25</t>
        </is>
      </c>
      <c r="W1385" s="4" t="n">
        <v>45874</v>
      </c>
      <c r="X1385" s="4" t="inlineStr">
        <is>
          <t>PHILIPPOS  CONSTANTINIDES
TRADING CO.LTD</t>
        </is>
      </c>
    </row>
    <row r="1386" ht="24" customHeight="1">
      <c r="A1386" s="2">
        <f>+D1386-S1386</f>
        <v/>
      </c>
      <c r="B1386" s="80" t="n">
        <v>3032</v>
      </c>
      <c r="C1386" s="66" t="n">
        <v>45783</v>
      </c>
      <c r="D1386" s="2" t="n">
        <v>1</v>
      </c>
      <c r="E1386" s="3" t="inlineStr">
        <is>
          <t>PISTOLA SEMIAUTOMATICA</t>
        </is>
      </c>
      <c r="F1386" s="3" t="inlineStr">
        <is>
          <t>9x19</t>
        </is>
      </c>
      <c r="G1386" s="3" t="inlineStr">
        <is>
          <t>BERETTA</t>
        </is>
      </c>
      <c r="H1386" s="65" t="inlineStr">
        <is>
          <t>APX A1 TACTICAL</t>
        </is>
      </c>
      <c r="I1386" s="65" t="inlineStr">
        <is>
          <t>A274178X</t>
        </is>
      </c>
      <c r="J1386" s="65" t="inlineStr">
        <is>
          <t>N/D</t>
        </is>
      </c>
      <c r="K1386" s="65" t="inlineStr">
        <is>
          <t>N/D</t>
        </is>
      </c>
      <c r="L1386" s="127" t="inlineStr">
        <is>
          <t>ARMERIA BRIGNOLI SILVIO &amp; C SNC</t>
        </is>
      </c>
      <c r="M1386" s="5" t="n">
        <v>501</v>
      </c>
      <c r="N1386" s="5" t="n"/>
      <c r="O1386" s="5">
        <f>+M1386+N1386</f>
        <v/>
      </c>
      <c r="P1386" s="4" t="n">
        <v>45783</v>
      </c>
      <c r="Q1386" s="87" t="n">
        <v>45783</v>
      </c>
      <c r="R1386" s="5" t="n">
        <v>526</v>
      </c>
      <c r="S1386" s="2" t="n">
        <v>1</v>
      </c>
      <c r="T1386" s="3" t="inlineStr">
        <is>
          <t>CA04954OS</t>
        </is>
      </c>
      <c r="U1386" s="87" t="n">
        <v>45874</v>
      </c>
      <c r="V1386" s="3" t="inlineStr">
        <is>
          <t>25</t>
        </is>
      </c>
      <c r="W1386" s="4" t="n">
        <v>45874</v>
      </c>
      <c r="X1386" s="4" t="inlineStr">
        <is>
          <t>PHILIPPOS  CONSTANTINIDES
TRADING CO.LTD</t>
        </is>
      </c>
    </row>
    <row r="1387" ht="24" customHeight="1">
      <c r="A1387" s="2">
        <f>+D1387-S1387</f>
        <v/>
      </c>
      <c r="B1387" s="80" t="n">
        <v>3033</v>
      </c>
      <c r="C1387" s="66" t="n">
        <v>45783</v>
      </c>
      <c r="D1387" s="2" t="n">
        <v>1</v>
      </c>
      <c r="E1387" s="3" t="inlineStr">
        <is>
          <t>PISTOLA SEMIAUTOMATICA</t>
        </is>
      </c>
      <c r="F1387" s="3" t="inlineStr">
        <is>
          <t>9x19</t>
        </is>
      </c>
      <c r="G1387" s="3" t="inlineStr">
        <is>
          <t>BERETTA</t>
        </is>
      </c>
      <c r="H1387" s="65" t="inlineStr">
        <is>
          <t>APX A1 TACTICAL</t>
        </is>
      </c>
      <c r="I1387" s="65" t="inlineStr">
        <is>
          <t>A274179X</t>
        </is>
      </c>
      <c r="J1387" s="65" t="inlineStr">
        <is>
          <t>N/D</t>
        </is>
      </c>
      <c r="K1387" s="65" t="inlineStr">
        <is>
          <t>N/D</t>
        </is>
      </c>
      <c r="L1387" s="127" t="inlineStr">
        <is>
          <t>ARMERIA BRIGNOLI SILVIO &amp; C SNC</t>
        </is>
      </c>
      <c r="M1387" s="5" t="n">
        <v>501</v>
      </c>
      <c r="N1387" s="5" t="n"/>
      <c r="O1387" s="5">
        <f>+M1387+N1387</f>
        <v/>
      </c>
      <c r="P1387" s="4" t="n">
        <v>45783</v>
      </c>
      <c r="Q1387" s="87" t="n">
        <v>45783</v>
      </c>
      <c r="R1387" s="5" t="n">
        <v>526</v>
      </c>
      <c r="S1387" s="2" t="n">
        <v>1</v>
      </c>
      <c r="T1387" s="3" t="inlineStr">
        <is>
          <t>CA04954OS</t>
        </is>
      </c>
      <c r="U1387" s="87" t="n">
        <v>45874</v>
      </c>
      <c r="V1387" s="3" t="inlineStr">
        <is>
          <t>25</t>
        </is>
      </c>
      <c r="W1387" s="4" t="n">
        <v>45874</v>
      </c>
      <c r="X1387" s="4" t="inlineStr">
        <is>
          <t>PHILIPPOS  CONSTANTINIDES
TRADING CO.LTD</t>
        </is>
      </c>
    </row>
    <row r="1388" ht="24" customHeight="1">
      <c r="A1388" s="2">
        <f>+D1388-S1388</f>
        <v/>
      </c>
      <c r="B1388" s="80" t="n">
        <v>3034</v>
      </c>
      <c r="C1388" s="66" t="n">
        <v>45784</v>
      </c>
      <c r="D1388" s="2" t="n">
        <v>1</v>
      </c>
      <c r="E1388" s="3" t="inlineStr">
        <is>
          <t>CARABINA</t>
        </is>
      </c>
      <c r="F1388" s="3" t="inlineStr">
        <is>
          <t>22LR</t>
        </is>
      </c>
      <c r="G1388" s="3" t="inlineStr">
        <is>
          <t>WINCHESTER</t>
        </is>
      </c>
      <c r="H1388" s="65" t="inlineStr">
        <is>
          <t>XPERT FDE, THR 16.5''</t>
        </is>
      </c>
      <c r="I1388" s="65" t="inlineStr">
        <is>
          <t>TF614-24AA00121</t>
        </is>
      </c>
      <c r="J1388" s="65" t="inlineStr">
        <is>
          <t>N/D</t>
        </is>
      </c>
      <c r="K1388" s="65" t="inlineStr">
        <is>
          <t>N/D</t>
        </is>
      </c>
      <c r="L1388" s="127" t="inlineStr">
        <is>
          <t>BROWNING INTERNATIONAL SA</t>
        </is>
      </c>
      <c r="M1388" s="5" t="n">
        <v>291.5</v>
      </c>
      <c r="N1388" s="5" t="n"/>
      <c r="O1388" s="5">
        <f>+M1388+N1388</f>
        <v/>
      </c>
      <c r="P1388" s="4" t="n">
        <v>45777</v>
      </c>
      <c r="Q1388" s="87" t="n">
        <v>45772</v>
      </c>
      <c r="R1388" s="5" t="n">
        <v>306</v>
      </c>
      <c r="S1388" s="2" t="n">
        <v>1</v>
      </c>
      <c r="T1388" s="3" t="inlineStr">
        <is>
          <t>CA04954OS</t>
        </is>
      </c>
      <c r="U1388" s="87" t="n">
        <v>45874</v>
      </c>
      <c r="V1388" s="3" t="inlineStr">
        <is>
          <t>26</t>
        </is>
      </c>
      <c r="W1388" s="4" t="n">
        <v>45874</v>
      </c>
      <c r="X1388" s="4" t="inlineStr">
        <is>
          <t>PHILIPPOS  CONSTANTINIDES
TRADING CO.LTD</t>
        </is>
      </c>
    </row>
    <row r="1389" ht="24" customHeight="1">
      <c r="A1389" s="2">
        <f>+D1389-S1389</f>
        <v/>
      </c>
      <c r="B1389" s="80" t="n">
        <v>3035</v>
      </c>
      <c r="C1389" s="66" t="n">
        <v>45785</v>
      </c>
      <c r="D1389" s="2" t="n">
        <v>1</v>
      </c>
      <c r="E1389" s="3" t="inlineStr">
        <is>
          <t>PISTOLA POMPA</t>
        </is>
      </c>
      <c r="F1389" s="3" t="inlineStr">
        <is>
          <t>12</t>
        </is>
      </c>
      <c r="G1389" s="3" t="inlineStr">
        <is>
          <t>FABARM</t>
        </is>
      </c>
      <c r="H1389" s="65" t="inlineStr">
        <is>
          <t xml:space="preserve">STF 12 COMPACT </t>
        </is>
      </c>
      <c r="I1389" s="65" t="inlineStr">
        <is>
          <t>RP017202</t>
        </is>
      </c>
      <c r="J1389" s="65" t="inlineStr">
        <is>
          <t>BP017202</t>
        </is>
      </c>
      <c r="K1389" s="65" t="inlineStr">
        <is>
          <t>P8797B</t>
        </is>
      </c>
      <c r="L1389" s="127" t="inlineStr">
        <is>
          <t>FABARM SpA</t>
        </is>
      </c>
      <c r="M1389" s="5" t="n">
        <v>804.66</v>
      </c>
      <c r="N1389" s="5" t="n"/>
      <c r="O1389" s="5">
        <f>+M1389+N1389</f>
        <v/>
      </c>
      <c r="P1389" s="4" t="n">
        <v>45785</v>
      </c>
      <c r="Q1389" s="87" t="n">
        <v>45785</v>
      </c>
      <c r="R1389" s="5" t="n">
        <v>845</v>
      </c>
      <c r="S1389" s="2" t="n">
        <v>1</v>
      </c>
      <c r="T1389" s="3" t="inlineStr">
        <is>
          <t>CA04954OS</t>
        </is>
      </c>
      <c r="U1389" s="87" t="n">
        <v>45874</v>
      </c>
      <c r="V1389" s="3" t="inlineStr">
        <is>
          <t>25</t>
        </is>
      </c>
      <c r="W1389" s="4" t="n">
        <v>45874</v>
      </c>
      <c r="X1389" s="4" t="inlineStr">
        <is>
          <t>PHILIPPOS  CONSTANTINIDES
TRADING CO.LTD</t>
        </is>
      </c>
    </row>
    <row r="1390" ht="24" customHeight="1">
      <c r="A1390" s="2">
        <f>+D1390-S1390</f>
        <v/>
      </c>
      <c r="B1390" s="80" t="n">
        <v>3036</v>
      </c>
      <c r="C1390" s="66" t="n">
        <v>45794</v>
      </c>
      <c r="D1390" s="2" t="n">
        <v>1</v>
      </c>
      <c r="E1390" s="3" t="inlineStr">
        <is>
          <t>FUCILE SOVRAPPOSTO</t>
        </is>
      </c>
      <c r="F1390" s="3" t="inlineStr">
        <is>
          <t>12</t>
        </is>
      </c>
      <c r="G1390" s="3" t="inlineStr">
        <is>
          <t>BERETTA</t>
        </is>
      </c>
      <c r="H1390" s="65" t="inlineStr">
        <is>
          <t>687 SILVER PIGEON</t>
        </is>
      </c>
      <c r="I1390" s="65" t="inlineStr">
        <is>
          <t>H56922X</t>
        </is>
      </c>
      <c r="J1390" s="65" t="inlineStr">
        <is>
          <t>N/D</t>
        </is>
      </c>
      <c r="K1390" s="65" t="inlineStr">
        <is>
          <t>N/D</t>
        </is>
      </c>
      <c r="L1390" s="127" t="inlineStr">
        <is>
          <t>ARMERIA BRIGNOLI SILVIO &amp; C SNC</t>
        </is>
      </c>
      <c r="M1390" s="5" t="n">
        <v>1461</v>
      </c>
      <c r="N1390" s="5" t="n"/>
      <c r="O1390" s="5">
        <f>+M1390+N1390</f>
        <v/>
      </c>
      <c r="P1390" s="4" t="n">
        <v>45794</v>
      </c>
      <c r="Q1390" s="87" t="n">
        <v>45794</v>
      </c>
      <c r="R1390" s="5" t="n">
        <v>1534</v>
      </c>
      <c r="S1390" s="2" t="n">
        <v>1</v>
      </c>
      <c r="T1390" s="3" t="inlineStr">
        <is>
          <t>CA04954OS</t>
        </is>
      </c>
      <c r="U1390" s="87" t="n">
        <v>45874</v>
      </c>
      <c r="V1390" s="3" t="inlineStr">
        <is>
          <t>25</t>
        </is>
      </c>
      <c r="W1390" s="4" t="n">
        <v>45874</v>
      </c>
      <c r="X1390" s="4" t="inlineStr">
        <is>
          <t>PHILIPPOS  CONSTANTINIDES
TRADING CO.LTD</t>
        </is>
      </c>
    </row>
    <row r="1391" ht="24" customHeight="1">
      <c r="A1391" s="2">
        <f>+D1391-S1391</f>
        <v/>
      </c>
      <c r="B1391" s="80" t="n">
        <v>3037</v>
      </c>
      <c r="C1391" s="66" t="n">
        <v>45794</v>
      </c>
      <c r="D1391" s="2" t="n">
        <v>1</v>
      </c>
      <c r="E1391" s="3" t="inlineStr">
        <is>
          <t>FUCILE SOVRAPPOSTO</t>
        </is>
      </c>
      <c r="F1391" s="3" t="inlineStr">
        <is>
          <t>12</t>
        </is>
      </c>
      <c r="G1391" s="3" t="inlineStr">
        <is>
          <t>BERETTA</t>
        </is>
      </c>
      <c r="H1391" s="65" t="inlineStr">
        <is>
          <t>688 SPORTING B FAST</t>
        </is>
      </c>
      <c r="I1391" s="65" t="inlineStr">
        <is>
          <t>H58852X</t>
        </is>
      </c>
      <c r="J1391" s="65" t="inlineStr">
        <is>
          <t>N/D</t>
        </is>
      </c>
      <c r="K1391" s="65" t="inlineStr">
        <is>
          <t>N/D</t>
        </is>
      </c>
      <c r="L1391" s="127" t="inlineStr">
        <is>
          <t>ARMERIA BRIGNOLI SILVIO &amp; C SNC</t>
        </is>
      </c>
      <c r="M1391" s="5" t="n">
        <v>1881</v>
      </c>
      <c r="N1391" s="5" t="n"/>
      <c r="O1391" s="5">
        <f>+M1391+N1391</f>
        <v/>
      </c>
      <c r="P1391" s="4" t="n">
        <v>45794</v>
      </c>
      <c r="Q1391" s="87" t="n">
        <v>45794</v>
      </c>
      <c r="R1391" s="5" t="n">
        <v>1974</v>
      </c>
      <c r="S1391" s="2" t="n">
        <v>1</v>
      </c>
      <c r="T1391" s="3" t="inlineStr">
        <is>
          <t>CA04954OS</t>
        </is>
      </c>
      <c r="U1391" s="87" t="n">
        <v>45874</v>
      </c>
      <c r="V1391" s="3" t="inlineStr">
        <is>
          <t>25</t>
        </is>
      </c>
      <c r="W1391" s="4" t="n">
        <v>45874</v>
      </c>
      <c r="X1391" s="4" t="inlineStr">
        <is>
          <t>PHILIPPOS  CONSTANTINIDES
TRADING CO.LTD</t>
        </is>
      </c>
    </row>
    <row r="1392" ht="24" customHeight="1">
      <c r="A1392" s="2">
        <f>+D1392-S1392</f>
        <v/>
      </c>
      <c r="B1392" s="80" t="n">
        <v>3038</v>
      </c>
      <c r="C1392" s="66" t="n">
        <v>45804</v>
      </c>
      <c r="D1392" s="2" t="n">
        <v>1</v>
      </c>
      <c r="E1392" s="3" t="inlineStr">
        <is>
          <t>CARABINA SEMIAUTOMATICA</t>
        </is>
      </c>
      <c r="F1392" s="3" t="inlineStr">
        <is>
          <t>22LR</t>
        </is>
      </c>
      <c r="G1392" s="3" t="inlineStr">
        <is>
          <t>WINCHESTER</t>
        </is>
      </c>
      <c r="H1392" s="65" t="inlineStr">
        <is>
          <t>WILDCAT FIELD SA,S, THR 18''</t>
        </is>
      </c>
      <c r="I1392" s="65" t="inlineStr">
        <is>
          <t>TF614-24M10235</t>
        </is>
      </c>
      <c r="J1392" s="65" t="inlineStr">
        <is>
          <t>N/D</t>
        </is>
      </c>
      <c r="K1392" s="65" t="inlineStr">
        <is>
          <t>N/D</t>
        </is>
      </c>
      <c r="L1392" s="127" t="inlineStr">
        <is>
          <t>BROWNING INTERNATIONAL SA</t>
        </is>
      </c>
      <c r="M1392" s="5" t="n">
        <v>275.4</v>
      </c>
      <c r="N1392" s="5" t="n"/>
      <c r="O1392" s="5">
        <f>+M1392+N1392</f>
        <v/>
      </c>
      <c r="P1392" s="4" t="n">
        <v>45790</v>
      </c>
      <c r="Q1392" s="87" t="n">
        <v>45786</v>
      </c>
      <c r="R1392" s="5" t="n"/>
      <c r="S1392" s="2" t="n"/>
      <c r="T1392" s="3" t="n"/>
      <c r="U1392" s="87" t="n"/>
      <c r="V1392" s="3" t="n"/>
      <c r="W1392" s="108" t="n"/>
      <c r="X1392" s="4" t="n"/>
    </row>
    <row r="1393" ht="24" customHeight="1">
      <c r="A1393" s="2">
        <f>+D1393-S1393</f>
        <v/>
      </c>
      <c r="B1393" s="80" t="n">
        <v>3039</v>
      </c>
      <c r="C1393" s="66" t="n">
        <v>45804</v>
      </c>
      <c r="D1393" s="2" t="n">
        <v>1</v>
      </c>
      <c r="E1393" s="3" t="inlineStr">
        <is>
          <t>CARABINA SEMIAUTOMATICA</t>
        </is>
      </c>
      <c r="F1393" s="3" t="inlineStr">
        <is>
          <t>22LR</t>
        </is>
      </c>
      <c r="G1393" s="3" t="inlineStr">
        <is>
          <t>WINCHESTER</t>
        </is>
      </c>
      <c r="H1393" s="65" t="inlineStr">
        <is>
          <t>WILDCAT FIELD SA,S, THR 18''</t>
        </is>
      </c>
      <c r="I1393" s="65" t="inlineStr">
        <is>
          <t>TF614-24M10222</t>
        </is>
      </c>
      <c r="J1393" s="65" t="inlineStr">
        <is>
          <t>N/D</t>
        </is>
      </c>
      <c r="K1393" s="65" t="inlineStr">
        <is>
          <t>N/D</t>
        </is>
      </c>
      <c r="L1393" s="127" t="inlineStr">
        <is>
          <t>BROWNING INTERNATIONAL SA</t>
        </is>
      </c>
      <c r="M1393" s="5" t="n">
        <v>275.4</v>
      </c>
      <c r="N1393" s="5" t="n"/>
      <c r="O1393" s="5">
        <f>+M1393+N1393</f>
        <v/>
      </c>
      <c r="P1393" s="4" t="n">
        <v>45790</v>
      </c>
      <c r="Q1393" s="87" t="n">
        <v>45786</v>
      </c>
      <c r="R1393" s="5" t="n"/>
      <c r="S1393" s="2" t="n"/>
      <c r="T1393" s="3" t="n"/>
      <c r="U1393" s="87" t="n"/>
      <c r="V1393" s="3" t="n"/>
      <c r="W1393" s="108" t="n"/>
      <c r="X1393" s="4" t="n"/>
    </row>
    <row r="1394" ht="24" customHeight="1">
      <c r="A1394" s="2">
        <f>+D1394-S1394</f>
        <v/>
      </c>
      <c r="B1394" s="80" t="n">
        <v>3040</v>
      </c>
      <c r="C1394" s="66" t="n">
        <v>45804</v>
      </c>
      <c r="D1394" s="2" t="n">
        <v>1</v>
      </c>
      <c r="E1394" s="3" t="inlineStr">
        <is>
          <t>CARABINA SEMIAUTOMATICA</t>
        </is>
      </c>
      <c r="F1394" s="3" t="inlineStr">
        <is>
          <t>22LR</t>
        </is>
      </c>
      <c r="G1394" s="3" t="inlineStr">
        <is>
          <t>WINCHESTER</t>
        </is>
      </c>
      <c r="H1394" s="65" t="inlineStr">
        <is>
          <t>WILDCAT FIELD SA,S, THR 18''</t>
        </is>
      </c>
      <c r="I1394" s="65" t="inlineStr">
        <is>
          <t>TF614-24M10232</t>
        </is>
      </c>
      <c r="J1394" s="65" t="inlineStr">
        <is>
          <t>N/D</t>
        </is>
      </c>
      <c r="K1394" s="65" t="inlineStr">
        <is>
          <t>N/D</t>
        </is>
      </c>
      <c r="L1394" s="127" t="inlineStr">
        <is>
          <t>BROWNING INTERNATIONAL SA</t>
        </is>
      </c>
      <c r="M1394" s="5" t="n">
        <v>275.4</v>
      </c>
      <c r="N1394" s="5" t="n"/>
      <c r="O1394" s="5">
        <f>+M1394+N1394</f>
        <v/>
      </c>
      <c r="P1394" s="4" t="n">
        <v>45790</v>
      </c>
      <c r="Q1394" s="87" t="n">
        <v>45786</v>
      </c>
      <c r="R1394" s="5" t="n"/>
      <c r="S1394" s="2" t="n"/>
      <c r="T1394" s="3" t="n"/>
      <c r="U1394" s="87" t="n"/>
      <c r="V1394" s="3" t="n"/>
      <c r="W1394" s="108" t="n"/>
      <c r="X1394" s="4" t="n"/>
    </row>
    <row r="1395" ht="24" customHeight="1">
      <c r="A1395" s="2">
        <f>+D1395-S1395</f>
        <v/>
      </c>
      <c r="B1395" s="80" t="n">
        <v>3041</v>
      </c>
      <c r="C1395" s="66" t="n">
        <v>45804</v>
      </c>
      <c r="D1395" s="2" t="n">
        <v>1</v>
      </c>
      <c r="E1395" s="3" t="inlineStr">
        <is>
          <t>CARABINA SEMIAUTOMATICA</t>
        </is>
      </c>
      <c r="F1395" s="3" t="inlineStr">
        <is>
          <t>22LR</t>
        </is>
      </c>
      <c r="G1395" s="3" t="inlineStr">
        <is>
          <t>WINCHESTER</t>
        </is>
      </c>
      <c r="H1395" s="65" t="inlineStr">
        <is>
          <t>WILDCAT FIELD SA,S, THR 18''</t>
        </is>
      </c>
      <c r="I1395" s="65" t="inlineStr">
        <is>
          <t>TF614-24M10245</t>
        </is>
      </c>
      <c r="J1395" s="65" t="inlineStr">
        <is>
          <t>N/D</t>
        </is>
      </c>
      <c r="K1395" s="65" t="inlineStr">
        <is>
          <t>N/D</t>
        </is>
      </c>
      <c r="L1395" s="127" t="inlineStr">
        <is>
          <t>BROWNING INTERNATIONAL SA</t>
        </is>
      </c>
      <c r="M1395" s="5" t="n">
        <v>275.4</v>
      </c>
      <c r="N1395" s="5" t="n"/>
      <c r="O1395" s="5">
        <f>+M1395+N1395</f>
        <v/>
      </c>
      <c r="P1395" s="4" t="n">
        <v>45790</v>
      </c>
      <c r="Q1395" s="87" t="n">
        <v>45786</v>
      </c>
      <c r="R1395" s="5" t="n"/>
      <c r="S1395" s="2" t="n"/>
      <c r="T1395" s="3" t="n"/>
      <c r="U1395" s="87" t="n"/>
      <c r="V1395" s="3" t="n"/>
      <c r="W1395" s="108" t="n"/>
      <c r="X1395" s="4" t="n"/>
    </row>
    <row r="1396" ht="24" customHeight="1">
      <c r="A1396" s="2">
        <f>+D1396-S1396</f>
        <v/>
      </c>
      <c r="B1396" s="80" t="n">
        <v>3042</v>
      </c>
      <c r="C1396" s="66" t="n">
        <v>45804</v>
      </c>
      <c r="D1396" s="2" t="n">
        <v>1</v>
      </c>
      <c r="E1396" s="3" t="inlineStr">
        <is>
          <t>PISTOLA SEMIAUTOMATICA</t>
        </is>
      </c>
      <c r="F1396" s="3" t="inlineStr">
        <is>
          <t>9x19</t>
        </is>
      </c>
      <c r="G1396" s="3" t="inlineStr">
        <is>
          <t>FN</t>
        </is>
      </c>
      <c r="H1396" s="65" t="inlineStr">
        <is>
          <t>HIGH POWER FDE/FDE DS</t>
        </is>
      </c>
      <c r="I1396" s="65" t="inlineStr">
        <is>
          <t>VU09379</t>
        </is>
      </c>
      <c r="J1396" s="65" t="inlineStr">
        <is>
          <t>N/D</t>
        </is>
      </c>
      <c r="K1396" s="65" t="inlineStr">
        <is>
          <t>N/D</t>
        </is>
      </c>
      <c r="L1396" s="127" t="inlineStr">
        <is>
          <t>BROWNING INTERNATIONAL SA</t>
        </is>
      </c>
      <c r="M1396" s="5" t="n">
        <v>1052</v>
      </c>
      <c r="N1396" s="5" t="n"/>
      <c r="O1396" s="5">
        <f>+M1396+N1396</f>
        <v/>
      </c>
      <c r="P1396" s="4" t="n">
        <v>45790</v>
      </c>
      <c r="Q1396" s="87" t="n">
        <v>45786</v>
      </c>
      <c r="R1396" s="5" t="n">
        <v>1105</v>
      </c>
      <c r="S1396" s="2" t="n">
        <v>1</v>
      </c>
      <c r="T1396" s="3" t="inlineStr">
        <is>
          <t>CA04954OS</t>
        </is>
      </c>
      <c r="U1396" s="87" t="n">
        <v>45874</v>
      </c>
      <c r="V1396" s="3" t="inlineStr">
        <is>
          <t>25</t>
        </is>
      </c>
      <c r="W1396" s="4" t="n">
        <v>45874</v>
      </c>
      <c r="X1396" s="4" t="inlineStr">
        <is>
          <t>PHILIPPOS  CONSTANTINIDES
TRADING CO.LTD</t>
        </is>
      </c>
    </row>
    <row r="1397" ht="24" customHeight="1">
      <c r="A1397" s="2">
        <f>+D1397-S1397</f>
        <v/>
      </c>
      <c r="B1397" s="80" t="n">
        <v>3043</v>
      </c>
      <c r="C1397" s="66" t="n">
        <v>45804</v>
      </c>
      <c r="D1397" s="2" t="n">
        <v>1</v>
      </c>
      <c r="E1397" s="3" t="inlineStr">
        <is>
          <t>PISTOLA SEMIAUTOMATICA</t>
        </is>
      </c>
      <c r="F1397" s="3" t="inlineStr">
        <is>
          <t>9x19</t>
        </is>
      </c>
      <c r="G1397" s="3" t="inlineStr">
        <is>
          <t>FN</t>
        </is>
      </c>
      <c r="H1397" s="65" t="inlineStr">
        <is>
          <t>HIGH POWER FDE/FDE DS</t>
        </is>
      </c>
      <c r="I1397" s="65" t="inlineStr">
        <is>
          <t>VU13506</t>
        </is>
      </c>
      <c r="J1397" s="65" t="inlineStr">
        <is>
          <t>N/D</t>
        </is>
      </c>
      <c r="K1397" s="65" t="inlineStr">
        <is>
          <t>N/D</t>
        </is>
      </c>
      <c r="L1397" s="127" t="inlineStr">
        <is>
          <t>BROWNING INTERNATIONAL SA</t>
        </is>
      </c>
      <c r="M1397" s="5" t="n">
        <v>1052</v>
      </c>
      <c r="N1397" s="5" t="n"/>
      <c r="O1397" s="5">
        <f>+M1397+N1397</f>
        <v/>
      </c>
      <c r="P1397" s="4" t="n">
        <v>45790</v>
      </c>
      <c r="Q1397" s="87" t="n">
        <v>45786</v>
      </c>
      <c r="R1397" s="5" t="n">
        <v>1105</v>
      </c>
      <c r="S1397" s="2" t="n">
        <v>1</v>
      </c>
      <c r="T1397" s="3" t="inlineStr">
        <is>
          <t>CA04954OS</t>
        </is>
      </c>
      <c r="U1397" s="87" t="n">
        <v>45874</v>
      </c>
      <c r="V1397" s="3" t="inlineStr">
        <is>
          <t>25</t>
        </is>
      </c>
      <c r="W1397" s="4" t="n">
        <v>45874</v>
      </c>
      <c r="X1397" s="4" t="inlineStr">
        <is>
          <t>PHILIPPOS  CONSTANTINIDES
TRADING CO.LTD</t>
        </is>
      </c>
    </row>
    <row r="1398" ht="24" customHeight="1">
      <c r="A1398" s="2">
        <f>+D1398-S1398</f>
        <v/>
      </c>
      <c r="B1398" s="80" t="n">
        <v>3044</v>
      </c>
      <c r="C1398" s="66" t="n">
        <v>45805</v>
      </c>
      <c r="D1398" s="2" t="n">
        <v>1</v>
      </c>
      <c r="E1398" s="3" t="inlineStr">
        <is>
          <t>CARABINA</t>
        </is>
      </c>
      <c r="F1398" s="3" t="inlineStr">
        <is>
          <t>22LR</t>
        </is>
      </c>
      <c r="G1398" s="3" t="inlineStr">
        <is>
          <t>WINCHESTER</t>
        </is>
      </c>
      <c r="H1398" s="65" t="inlineStr">
        <is>
          <t>XPERT FDE, THR 16.5''</t>
        </is>
      </c>
      <c r="I1398" s="65" t="inlineStr">
        <is>
          <t>TF614-24AA00130</t>
        </is>
      </c>
      <c r="J1398" s="65" t="inlineStr">
        <is>
          <t>N/D</t>
        </is>
      </c>
      <c r="K1398" s="65" t="inlineStr">
        <is>
          <t>N/D</t>
        </is>
      </c>
      <c r="L1398" s="127" t="inlineStr">
        <is>
          <t>BROWNING INTERNATIONAL SA</t>
        </is>
      </c>
      <c r="M1398" s="5" t="n">
        <v>291.5</v>
      </c>
      <c r="N1398" s="5" t="n"/>
      <c r="O1398" s="5">
        <f>+M1398+N1398</f>
        <v/>
      </c>
      <c r="P1398" s="4" t="n">
        <v>45777</v>
      </c>
      <c r="Q1398" s="87" t="n">
        <v>45772</v>
      </c>
      <c r="R1398" s="5" t="n">
        <v>306</v>
      </c>
      <c r="S1398" s="2" t="n">
        <v>1</v>
      </c>
      <c r="T1398" s="3" t="inlineStr">
        <is>
          <t>CA04954OS</t>
        </is>
      </c>
      <c r="U1398" s="87" t="n">
        <v>45874</v>
      </c>
      <c r="V1398" s="3" t="inlineStr">
        <is>
          <t>26</t>
        </is>
      </c>
      <c r="W1398" s="4" t="n">
        <v>45874</v>
      </c>
      <c r="X1398" s="4" t="inlineStr">
        <is>
          <t>PHILIPPOS  CONSTANTINIDES
TRADING CO.LTD</t>
        </is>
      </c>
    </row>
    <row r="1399" ht="24" customHeight="1">
      <c r="A1399" s="2">
        <f>+D1399-S1399</f>
        <v/>
      </c>
      <c r="B1399" s="80" t="n">
        <v>3045</v>
      </c>
      <c r="C1399" s="66" t="n">
        <v>45812</v>
      </c>
      <c r="D1399" s="2" t="n">
        <v>1</v>
      </c>
      <c r="E1399" s="3" t="inlineStr">
        <is>
          <t>FUCILE SEMIAUTOMATICO</t>
        </is>
      </c>
      <c r="F1399" s="3" t="inlineStr">
        <is>
          <t>12</t>
        </is>
      </c>
      <c r="G1399" s="3" t="inlineStr">
        <is>
          <t>WINCHESTER</t>
        </is>
      </c>
      <c r="H1399" s="65" t="inlineStr">
        <is>
          <t>SX4 COMPO 9</t>
        </is>
      </c>
      <c r="I1399" s="65" t="inlineStr">
        <is>
          <t>WIPT06150YM11K</t>
        </is>
      </c>
      <c r="J1399" s="65" t="inlineStr">
        <is>
          <t>N/D</t>
        </is>
      </c>
      <c r="K1399" s="65" t="inlineStr">
        <is>
          <t>N/D</t>
        </is>
      </c>
      <c r="L1399" s="127" t="inlineStr">
        <is>
          <t>BROWNING INTERNATIONAL SA</t>
        </is>
      </c>
      <c r="M1399" s="5" t="n">
        <v>782.85</v>
      </c>
      <c r="N1399" s="5" t="n"/>
      <c r="O1399" s="5">
        <f>+M1399+N1399</f>
        <v/>
      </c>
      <c r="P1399" s="4" t="n">
        <v>45798</v>
      </c>
      <c r="Q1399" s="87" t="n">
        <v>45793</v>
      </c>
      <c r="R1399" s="5" t="n">
        <v>782.85</v>
      </c>
      <c r="S1399" s="2" t="n">
        <v>1</v>
      </c>
      <c r="T1399" s="3" t="inlineStr">
        <is>
          <t>N/A</t>
        </is>
      </c>
      <c r="U1399" s="87" t="n">
        <v>45819</v>
      </c>
      <c r="V1399" s="3" t="inlineStr">
        <is>
          <t>N/A</t>
        </is>
      </c>
      <c r="W1399" s="108" t="n">
        <v>45819</v>
      </c>
      <c r="X1399" s="3" t="inlineStr">
        <is>
          <t>BROWNING INTERNATIONAL SA</t>
        </is>
      </c>
    </row>
    <row r="1400" ht="24" customHeight="1">
      <c r="A1400" s="2">
        <f>+D1400-S1400</f>
        <v/>
      </c>
      <c r="B1400" s="80" t="n">
        <v>3046</v>
      </c>
      <c r="C1400" s="66" t="n">
        <v>45814</v>
      </c>
      <c r="D1400" s="2" t="n">
        <v>1</v>
      </c>
      <c r="E1400" s="3" t="inlineStr">
        <is>
          <t>FUCILE SOVRAPPOSTO</t>
        </is>
      </c>
      <c r="F1400" s="3" t="inlineStr">
        <is>
          <t>20</t>
        </is>
      </c>
      <c r="G1400" s="3" t="inlineStr">
        <is>
          <t>BERETTA</t>
        </is>
      </c>
      <c r="H1400" s="65" t="inlineStr">
        <is>
          <t>ULTRALEGGERO</t>
        </is>
      </c>
      <c r="I1400" s="65" t="inlineStr">
        <is>
          <t>L04127X</t>
        </is>
      </c>
      <c r="J1400" s="65" t="inlineStr">
        <is>
          <t>N/D</t>
        </is>
      </c>
      <c r="K1400" s="65" t="inlineStr">
        <is>
          <t>N/D</t>
        </is>
      </c>
      <c r="L1400" s="127" t="inlineStr">
        <is>
          <t>ARMERIA BRIGNOLI SILVIO &amp; C SNC</t>
        </is>
      </c>
      <c r="M1400" s="5" t="n">
        <v>1517</v>
      </c>
      <c r="N1400" s="5" t="n"/>
      <c r="O1400" s="5">
        <f>+M1400+N1400</f>
        <v/>
      </c>
      <c r="P1400" s="4" t="n">
        <v>45814</v>
      </c>
      <c r="Q1400" s="87" t="n">
        <v>45814</v>
      </c>
      <c r="R1400" s="5" t="n">
        <v>1591</v>
      </c>
      <c r="S1400" s="2" t="n">
        <v>1</v>
      </c>
      <c r="T1400" s="3" t="inlineStr">
        <is>
          <t>CA04954OS</t>
        </is>
      </c>
      <c r="U1400" s="87" t="n">
        <v>45874</v>
      </c>
      <c r="V1400" s="3" t="inlineStr">
        <is>
          <t>25</t>
        </is>
      </c>
      <c r="W1400" s="4" t="n">
        <v>45874</v>
      </c>
      <c r="X1400" s="4" t="inlineStr">
        <is>
          <t>PHILIPPOS  CONSTANTINIDES
TRADING CO.LTD</t>
        </is>
      </c>
    </row>
    <row r="1401" ht="24" customHeight="1">
      <c r="A1401" s="2">
        <f>+D1401-S1401</f>
        <v/>
      </c>
      <c r="B1401" s="80" t="n">
        <v>3047</v>
      </c>
      <c r="C1401" s="66" t="n">
        <v>45814</v>
      </c>
      <c r="D1401" s="2" t="n">
        <v>1</v>
      </c>
      <c r="E1401" s="3" t="inlineStr">
        <is>
          <t>FUCILE SOVRAPPOSTO</t>
        </is>
      </c>
      <c r="F1401" s="3" t="inlineStr">
        <is>
          <t>12</t>
        </is>
      </c>
      <c r="G1401" s="3" t="inlineStr">
        <is>
          <t>BERETTA</t>
        </is>
      </c>
      <c r="H1401" s="65" t="inlineStr">
        <is>
          <t>ULTRALEGGERO</t>
        </is>
      </c>
      <c r="I1401" s="65" t="inlineStr">
        <is>
          <t>L02983X</t>
        </is>
      </c>
      <c r="J1401" s="65" t="inlineStr">
        <is>
          <t>N/D</t>
        </is>
      </c>
      <c r="K1401" s="65" t="inlineStr">
        <is>
          <t>N/D</t>
        </is>
      </c>
      <c r="L1401" s="127" t="inlineStr">
        <is>
          <t>ARMERIA BRIGNOLI SILVIO &amp; C SNC</t>
        </is>
      </c>
      <c r="M1401" s="5" t="n">
        <v>1515</v>
      </c>
      <c r="N1401" s="5" t="n"/>
      <c r="O1401" s="5">
        <f>+M1401+N1401</f>
        <v/>
      </c>
      <c r="P1401" s="4" t="n">
        <v>45814</v>
      </c>
      <c r="Q1401" s="87" t="n">
        <v>45814</v>
      </c>
      <c r="R1401" s="5" t="n">
        <v>1591</v>
      </c>
      <c r="S1401" s="2" t="n">
        <v>1</v>
      </c>
      <c r="T1401" s="3" t="inlineStr">
        <is>
          <t>CA04954OS</t>
        </is>
      </c>
      <c r="U1401" s="87" t="n">
        <v>45874</v>
      </c>
      <c r="V1401" s="3" t="inlineStr">
        <is>
          <t>25</t>
        </is>
      </c>
      <c r="W1401" s="4" t="n">
        <v>45874</v>
      </c>
      <c r="X1401" s="4" t="inlineStr">
        <is>
          <t>PHILIPPOS  CONSTANTINIDES
TRADING CO.LTD</t>
        </is>
      </c>
    </row>
    <row r="1402" ht="24" customHeight="1">
      <c r="A1402" s="2">
        <f>+D1402-S1402</f>
        <v/>
      </c>
      <c r="B1402" s="80" t="n">
        <v>3048</v>
      </c>
      <c r="C1402" s="66" t="n">
        <v>45814</v>
      </c>
      <c r="D1402" s="2" t="n">
        <v>1</v>
      </c>
      <c r="E1402" s="3" t="inlineStr">
        <is>
          <t>FUCILE SOVRAPPOSTO</t>
        </is>
      </c>
      <c r="F1402" s="3" t="inlineStr">
        <is>
          <t>12</t>
        </is>
      </c>
      <c r="G1402" s="3" t="inlineStr">
        <is>
          <t>BERETTA</t>
        </is>
      </c>
      <c r="H1402" s="65" t="inlineStr">
        <is>
          <t>ULTRALEGGERO</t>
        </is>
      </c>
      <c r="I1402" s="65" t="inlineStr">
        <is>
          <t>L03021X</t>
        </is>
      </c>
      <c r="J1402" s="65" t="inlineStr">
        <is>
          <t>N/D</t>
        </is>
      </c>
      <c r="K1402" s="65" t="inlineStr">
        <is>
          <t>N/D</t>
        </is>
      </c>
      <c r="L1402" s="127" t="inlineStr">
        <is>
          <t>ARMERIA BRIGNOLI SILVIO &amp; C SNC</t>
        </is>
      </c>
      <c r="M1402" s="5" t="n">
        <v>1515</v>
      </c>
      <c r="N1402" s="5" t="n"/>
      <c r="O1402" s="5">
        <f>+M1402+N1402</f>
        <v/>
      </c>
      <c r="P1402" s="4" t="n">
        <v>45814</v>
      </c>
      <c r="Q1402" s="87" t="n">
        <v>45814</v>
      </c>
      <c r="R1402" s="5" t="n">
        <v>1591</v>
      </c>
      <c r="S1402" s="2" t="n">
        <v>1</v>
      </c>
      <c r="T1402" s="3" t="inlineStr">
        <is>
          <t>CA04954OS</t>
        </is>
      </c>
      <c r="U1402" s="87" t="n">
        <v>45874</v>
      </c>
      <c r="V1402" s="3" t="inlineStr">
        <is>
          <t>25</t>
        </is>
      </c>
      <c r="W1402" s="4" t="n">
        <v>45874</v>
      </c>
      <c r="X1402" s="4" t="inlineStr">
        <is>
          <t>PHILIPPOS  CONSTANTINIDES
TRADING CO.LTD</t>
        </is>
      </c>
    </row>
    <row r="1403" ht="24" customHeight="1">
      <c r="A1403" s="2">
        <f>+D1403-S1403</f>
        <v/>
      </c>
      <c r="B1403" s="80" t="n">
        <v>3049</v>
      </c>
      <c r="C1403" s="66" t="n">
        <v>45814</v>
      </c>
      <c r="D1403" s="2" t="n">
        <v>1</v>
      </c>
      <c r="E1403" s="3" t="inlineStr">
        <is>
          <t>FUCILE SOVRAPPOSTO</t>
        </is>
      </c>
      <c r="F1403" s="3" t="inlineStr">
        <is>
          <t>12</t>
        </is>
      </c>
      <c r="G1403" s="3" t="inlineStr">
        <is>
          <t>BERETTA</t>
        </is>
      </c>
      <c r="H1403" s="65" t="inlineStr">
        <is>
          <t>ULTRALEGGERO</t>
        </is>
      </c>
      <c r="I1403" s="65" t="inlineStr">
        <is>
          <t>L02781X</t>
        </is>
      </c>
      <c r="J1403" s="65" t="inlineStr">
        <is>
          <t>N/D</t>
        </is>
      </c>
      <c r="K1403" s="65" t="inlineStr">
        <is>
          <t>N/D</t>
        </is>
      </c>
      <c r="L1403" s="127" t="inlineStr">
        <is>
          <t>ARMERIA BRIGNOLI SILVIO &amp; C SNC</t>
        </is>
      </c>
      <c r="M1403" s="5" t="n">
        <v>1515</v>
      </c>
      <c r="N1403" s="5" t="n"/>
      <c r="O1403" s="5">
        <f>+M1403+N1403</f>
        <v/>
      </c>
      <c r="P1403" s="4" t="n">
        <v>45814</v>
      </c>
      <c r="Q1403" s="87" t="n">
        <v>45814</v>
      </c>
      <c r="R1403" s="5" t="n">
        <v>1591</v>
      </c>
      <c r="S1403" s="2" t="n">
        <v>1</v>
      </c>
      <c r="T1403" s="3" t="inlineStr">
        <is>
          <t>CA04954OS</t>
        </is>
      </c>
      <c r="U1403" s="87" t="n">
        <v>45874</v>
      </c>
      <c r="V1403" s="3" t="inlineStr">
        <is>
          <t>25</t>
        </is>
      </c>
      <c r="W1403" s="4" t="n">
        <v>45874</v>
      </c>
      <c r="X1403" s="4" t="inlineStr">
        <is>
          <t>PHILIPPOS  CONSTANTINIDES
TRADING CO.LTD</t>
        </is>
      </c>
    </row>
    <row r="1404" ht="24" customHeight="1">
      <c r="A1404" s="2">
        <f>+D1404-S1404</f>
        <v/>
      </c>
      <c r="B1404" s="80" t="n">
        <v>3050</v>
      </c>
      <c r="C1404" s="66" t="n">
        <v>45814</v>
      </c>
      <c r="D1404" s="2" t="n">
        <v>1</v>
      </c>
      <c r="E1404" s="3" t="inlineStr">
        <is>
          <t>FUCILE SOVRAPPOSTO</t>
        </is>
      </c>
      <c r="F1404" s="3" t="inlineStr">
        <is>
          <t>12</t>
        </is>
      </c>
      <c r="G1404" s="3" t="inlineStr">
        <is>
          <t>BERETTA</t>
        </is>
      </c>
      <c r="H1404" s="65" t="inlineStr">
        <is>
          <t>ULTRALEGGERO</t>
        </is>
      </c>
      <c r="I1404" s="65" t="inlineStr">
        <is>
          <t>L03008X</t>
        </is>
      </c>
      <c r="J1404" s="65" t="inlineStr">
        <is>
          <t>N/D</t>
        </is>
      </c>
      <c r="K1404" s="65" t="inlineStr">
        <is>
          <t>N/D</t>
        </is>
      </c>
      <c r="L1404" s="127" t="inlineStr">
        <is>
          <t>ARMERIA BRIGNOLI SILVIO &amp; C SNC</t>
        </is>
      </c>
      <c r="M1404" s="5" t="n">
        <v>1515</v>
      </c>
      <c r="N1404" s="5" t="n"/>
      <c r="O1404" s="5">
        <f>+M1404+N1404</f>
        <v/>
      </c>
      <c r="P1404" s="4" t="n">
        <v>45814</v>
      </c>
      <c r="Q1404" s="87" t="n">
        <v>45814</v>
      </c>
      <c r="R1404" s="5" t="n">
        <v>1591</v>
      </c>
      <c r="S1404" s="2" t="n">
        <v>1</v>
      </c>
      <c r="T1404" s="3" t="inlineStr">
        <is>
          <t>CA04954OS</t>
        </is>
      </c>
      <c r="U1404" s="87" t="n">
        <v>45874</v>
      </c>
      <c r="V1404" s="3" t="inlineStr">
        <is>
          <t>25</t>
        </is>
      </c>
      <c r="W1404" s="4" t="n">
        <v>45874</v>
      </c>
      <c r="X1404" s="4" t="inlineStr">
        <is>
          <t>PHILIPPOS  CONSTANTINIDES
TRADING CO.LTD</t>
        </is>
      </c>
    </row>
    <row r="1405" ht="24" customHeight="1">
      <c r="A1405" s="2">
        <f>+D1405-S1405</f>
        <v/>
      </c>
      <c r="B1405" s="80" t="n">
        <v>3051</v>
      </c>
      <c r="C1405" s="66" t="n">
        <v>45814</v>
      </c>
      <c r="D1405" s="2" t="n">
        <v>1</v>
      </c>
      <c r="E1405" s="3" t="inlineStr">
        <is>
          <t>FUCILE SOVRAPPOSTO</t>
        </is>
      </c>
      <c r="F1405" s="3" t="inlineStr">
        <is>
          <t>12</t>
        </is>
      </c>
      <c r="G1405" s="3" t="inlineStr">
        <is>
          <t>BERETTA</t>
        </is>
      </c>
      <c r="H1405" s="65" t="inlineStr">
        <is>
          <t>ULTRALEGGERO</t>
        </is>
      </c>
      <c r="I1405" s="65" t="inlineStr">
        <is>
          <t>L03015X</t>
        </is>
      </c>
      <c r="J1405" s="65" t="inlineStr">
        <is>
          <t>N/D</t>
        </is>
      </c>
      <c r="K1405" s="65" t="inlineStr">
        <is>
          <t>N/D</t>
        </is>
      </c>
      <c r="L1405" s="127" t="inlineStr">
        <is>
          <t>ARMERIA BRIGNOLI SILVIO &amp; C SNC</t>
        </is>
      </c>
      <c r="M1405" s="5" t="n">
        <v>1515</v>
      </c>
      <c r="N1405" s="5" t="n"/>
      <c r="O1405" s="5">
        <f>+M1405+N1405</f>
        <v/>
      </c>
      <c r="P1405" s="4" t="n">
        <v>45814</v>
      </c>
      <c r="Q1405" s="87" t="n">
        <v>45814</v>
      </c>
      <c r="R1405" s="5" t="n">
        <v>1591</v>
      </c>
      <c r="S1405" s="2" t="n">
        <v>1</v>
      </c>
      <c r="T1405" s="3" t="inlineStr">
        <is>
          <t>CA04954OS</t>
        </is>
      </c>
      <c r="U1405" s="87" t="n">
        <v>45874</v>
      </c>
      <c r="V1405" s="3" t="inlineStr">
        <is>
          <t>25</t>
        </is>
      </c>
      <c r="W1405" s="4" t="n">
        <v>45874</v>
      </c>
      <c r="X1405" s="4" t="inlineStr">
        <is>
          <t>PHILIPPOS  CONSTANTINIDES
TRADING CO.LTD</t>
        </is>
      </c>
    </row>
    <row r="1406" ht="24" customHeight="1">
      <c r="A1406" s="2">
        <f>+D1406-S1406</f>
        <v/>
      </c>
      <c r="B1406" s="80" t="n">
        <v>3052</v>
      </c>
      <c r="C1406" s="66" t="n">
        <v>45826</v>
      </c>
      <c r="D1406" s="2" t="n">
        <v>1</v>
      </c>
      <c r="E1406" s="3" t="inlineStr">
        <is>
          <t>PISTOLA SEMIAUTOMATICA</t>
        </is>
      </c>
      <c r="F1406" s="3" t="inlineStr">
        <is>
          <t>9</t>
        </is>
      </c>
      <c r="G1406" s="3" t="inlineStr">
        <is>
          <t>FN</t>
        </is>
      </c>
      <c r="H1406" s="65" t="inlineStr">
        <is>
          <t>HIGH POWER SS/SS</t>
        </is>
      </c>
      <c r="I1406" s="65" t="inlineStr">
        <is>
          <t>VM006718</t>
        </is>
      </c>
      <c r="J1406" s="65" t="inlineStr">
        <is>
          <t>N/D</t>
        </is>
      </c>
      <c r="K1406" s="65" t="inlineStr">
        <is>
          <t>N/D</t>
        </is>
      </c>
      <c r="L1406" s="127" t="inlineStr">
        <is>
          <t>BROWNING INTERNATIONAL SA</t>
        </is>
      </c>
      <c r="M1406" s="5" t="n">
        <v>1052</v>
      </c>
      <c r="N1406" s="5" t="n"/>
      <c r="O1406" s="5">
        <f>+M1406+N1406</f>
        <v/>
      </c>
      <c r="P1406" s="4" t="n">
        <v>45824</v>
      </c>
      <c r="Q1406" s="87" t="n">
        <v>45814</v>
      </c>
      <c r="R1406" s="5" t="n">
        <v>1105</v>
      </c>
      <c r="S1406" s="2" t="n">
        <v>1</v>
      </c>
      <c r="T1406" s="3" t="inlineStr">
        <is>
          <t>CA04954OS</t>
        </is>
      </c>
      <c r="U1406" s="87" t="n">
        <v>45874</v>
      </c>
      <c r="V1406" s="3" t="inlineStr">
        <is>
          <t>25</t>
        </is>
      </c>
      <c r="W1406" s="4" t="n">
        <v>45874</v>
      </c>
      <c r="X1406" s="4" t="inlineStr">
        <is>
          <t>PHILIPPOS  CONSTANTINIDES
TRADING CO.LTD</t>
        </is>
      </c>
    </row>
    <row r="1407" ht="24" customHeight="1">
      <c r="A1407" s="2">
        <f>+D1407-S1407</f>
        <v/>
      </c>
      <c r="B1407" s="80" t="n">
        <v>3053</v>
      </c>
      <c r="C1407" s="66" t="n">
        <v>45826</v>
      </c>
      <c r="D1407" s="2" t="n">
        <v>1</v>
      </c>
      <c r="E1407" s="3" t="inlineStr">
        <is>
          <t>PISTOLA SEMIAUTOMATICA</t>
        </is>
      </c>
      <c r="F1407" s="3" t="inlineStr">
        <is>
          <t>9</t>
        </is>
      </c>
      <c r="G1407" s="3" t="inlineStr">
        <is>
          <t>FN</t>
        </is>
      </c>
      <c r="H1407" s="65" t="inlineStr">
        <is>
          <t>HIGH POWER SS/SS</t>
        </is>
      </c>
      <c r="I1407" s="65" t="inlineStr">
        <is>
          <t>VM006792</t>
        </is>
      </c>
      <c r="J1407" s="65" t="inlineStr">
        <is>
          <t>N/D</t>
        </is>
      </c>
      <c r="K1407" s="65" t="inlineStr">
        <is>
          <t>N/D</t>
        </is>
      </c>
      <c r="L1407" s="127" t="inlineStr">
        <is>
          <t>BROWNING INTERNATIONAL SA</t>
        </is>
      </c>
      <c r="M1407" s="5" t="n">
        <v>1052</v>
      </c>
      <c r="N1407" s="5" t="n"/>
      <c r="O1407" s="5">
        <f>+M1407+N1407</f>
        <v/>
      </c>
      <c r="P1407" s="4" t="n">
        <v>45824</v>
      </c>
      <c r="Q1407" s="87" t="n">
        <v>45814</v>
      </c>
      <c r="R1407" s="5" t="n">
        <v>1105</v>
      </c>
      <c r="S1407" s="2" t="n">
        <v>1</v>
      </c>
      <c r="T1407" s="3" t="inlineStr">
        <is>
          <t>CA04954OS</t>
        </is>
      </c>
      <c r="U1407" s="87" t="n">
        <v>45874</v>
      </c>
      <c r="V1407" s="3" t="inlineStr">
        <is>
          <t>25</t>
        </is>
      </c>
      <c r="W1407" s="4" t="n">
        <v>45874</v>
      </c>
      <c r="X1407" s="4" t="inlineStr">
        <is>
          <t>PHILIPPOS  CONSTANTINIDES
TRADING CO.LTD</t>
        </is>
      </c>
    </row>
    <row r="1408" ht="24" customHeight="1">
      <c r="A1408" s="2">
        <f>+D1408-S1408</f>
        <v/>
      </c>
      <c r="B1408" s="80" t="n">
        <v>3054</v>
      </c>
      <c r="C1408" s="66" t="n">
        <v>45827</v>
      </c>
      <c r="D1408" s="2" t="n">
        <v>1</v>
      </c>
      <c r="E1408" s="3" t="inlineStr">
        <is>
          <t>CARABINA SEMIAUTOMATICA</t>
        </is>
      </c>
      <c r="F1408" s="3" t="inlineStr">
        <is>
          <t>308 WIN</t>
        </is>
      </c>
      <c r="G1408" s="3" t="inlineStr">
        <is>
          <t>H&amp;K</t>
        </is>
      </c>
      <c r="H1408" s="65" t="inlineStr">
        <is>
          <t>MR308A3-28 BLK</t>
        </is>
      </c>
      <c r="I1408" s="103" t="inlineStr">
        <is>
          <t>144-010697</t>
        </is>
      </c>
      <c r="J1408" s="65" t="inlineStr">
        <is>
          <t>N/D</t>
        </is>
      </c>
      <c r="K1408" s="65" t="inlineStr">
        <is>
          <t>N/D</t>
        </is>
      </c>
      <c r="L1408" s="127" t="inlineStr">
        <is>
          <t>ARMERIA BRIGNOLI SILVIO &amp; C SNC</t>
        </is>
      </c>
      <c r="M1408" s="5" t="n">
        <v>2871</v>
      </c>
      <c r="N1408" s="5" t="n"/>
      <c r="O1408" s="5">
        <f>+M1408+N1408</f>
        <v/>
      </c>
      <c r="P1408" s="4" t="n">
        <v>45827</v>
      </c>
      <c r="Q1408" s="87" t="n">
        <v>45827</v>
      </c>
      <c r="R1408" s="5" t="n">
        <v>3013</v>
      </c>
      <c r="S1408" s="2" t="n">
        <v>1</v>
      </c>
      <c r="T1408" s="3" t="inlineStr">
        <is>
          <t>CA04954OS</t>
        </is>
      </c>
      <c r="U1408" s="87" t="n">
        <v>45874</v>
      </c>
      <c r="V1408" s="3" t="inlineStr">
        <is>
          <t>26</t>
        </is>
      </c>
      <c r="W1408" s="4" t="n">
        <v>45874</v>
      </c>
      <c r="X1408" s="4" t="inlineStr">
        <is>
          <t>PHILIPPOS  CONSTANTINIDES
TRADING CO.LTD</t>
        </is>
      </c>
    </row>
    <row r="1409" ht="24" customHeight="1">
      <c r="A1409" s="2">
        <f>+D1409-S1409</f>
        <v/>
      </c>
      <c r="B1409" s="80" t="n">
        <v>3055</v>
      </c>
      <c r="C1409" s="66" t="n">
        <v>45827</v>
      </c>
      <c r="D1409" s="2" t="n">
        <v>1</v>
      </c>
      <c r="E1409" s="3" t="inlineStr">
        <is>
          <t>CARABINA SEMIAUTOMATICA</t>
        </is>
      </c>
      <c r="F1409" s="3" t="inlineStr">
        <is>
          <t>308 WIN</t>
        </is>
      </c>
      <c r="G1409" s="3" t="inlineStr">
        <is>
          <t>H&amp;K</t>
        </is>
      </c>
      <c r="H1409" s="65" t="inlineStr">
        <is>
          <t>MR308A3 13'' RAL8000</t>
        </is>
      </c>
      <c r="I1409" s="65" t="inlineStr">
        <is>
          <t>144-010628</t>
        </is>
      </c>
      <c r="J1409" s="65" t="inlineStr">
        <is>
          <t>N/D</t>
        </is>
      </c>
      <c r="K1409" s="65" t="inlineStr">
        <is>
          <t>N/D</t>
        </is>
      </c>
      <c r="L1409" s="127" t="inlineStr">
        <is>
          <t>ARMERIA BRIGNOLI SILVIO &amp; C SNC</t>
        </is>
      </c>
      <c r="M1409" s="5" t="n">
        <v>2870</v>
      </c>
      <c r="N1409" s="5" t="n"/>
      <c r="O1409" s="5">
        <f>+M1409+N1409</f>
        <v/>
      </c>
      <c r="P1409" s="4" t="n">
        <v>45827</v>
      </c>
      <c r="Q1409" s="87" t="n">
        <v>45827</v>
      </c>
      <c r="R1409" s="5" t="n">
        <v>3013</v>
      </c>
      <c r="S1409" s="2" t="n">
        <v>1</v>
      </c>
      <c r="T1409" s="3" t="inlineStr">
        <is>
          <t>CA04954OS</t>
        </is>
      </c>
      <c r="U1409" s="87" t="n">
        <v>45874</v>
      </c>
      <c r="V1409" s="3" t="inlineStr">
        <is>
          <t>26</t>
        </is>
      </c>
      <c r="W1409" s="4" t="n">
        <v>45874</v>
      </c>
      <c r="X1409" s="4" t="inlineStr">
        <is>
          <t>PHILIPPOS  CONSTANTINIDES
TRADING CO.LTD</t>
        </is>
      </c>
    </row>
    <row r="1410" ht="24" customHeight="1">
      <c r="A1410" s="2">
        <f>+D1410-S1410</f>
        <v/>
      </c>
      <c r="B1410" s="80" t="n">
        <v>3056</v>
      </c>
      <c r="C1410" s="66" t="n">
        <v>45827</v>
      </c>
      <c r="D1410" s="2" t="n">
        <v>1</v>
      </c>
      <c r="E1410" s="3" t="inlineStr">
        <is>
          <t>CARABINA SEMIAUTOMATICA</t>
        </is>
      </c>
      <c r="F1410" s="3" t="inlineStr">
        <is>
          <t>308 WIN</t>
        </is>
      </c>
      <c r="G1410" s="3" t="inlineStr">
        <is>
          <t>H&amp;K</t>
        </is>
      </c>
      <c r="H1410" s="65" t="inlineStr">
        <is>
          <t>MR308A3 13'' RAL8000</t>
        </is>
      </c>
      <c r="I1410" s="65" t="inlineStr">
        <is>
          <t>144-010651</t>
        </is>
      </c>
      <c r="J1410" s="65" t="inlineStr">
        <is>
          <t>N/D</t>
        </is>
      </c>
      <c r="K1410" s="65" t="inlineStr">
        <is>
          <t>N/D</t>
        </is>
      </c>
      <c r="L1410" s="127" t="inlineStr">
        <is>
          <t>ARMERIA BRIGNOLI SILVIO &amp; C SNC</t>
        </is>
      </c>
      <c r="M1410" s="5" t="n">
        <v>2870</v>
      </c>
      <c r="N1410" s="5" t="n"/>
      <c r="O1410" s="5">
        <f>+M1410+N1410</f>
        <v/>
      </c>
      <c r="P1410" s="4" t="n">
        <v>45827</v>
      </c>
      <c r="Q1410" s="87" t="n">
        <v>45827</v>
      </c>
      <c r="R1410" s="5" t="n">
        <v>3013</v>
      </c>
      <c r="S1410" s="2" t="n">
        <v>1</v>
      </c>
      <c r="T1410" s="3" t="inlineStr">
        <is>
          <t>CA04954OS</t>
        </is>
      </c>
      <c r="U1410" s="87" t="n">
        <v>45874</v>
      </c>
      <c r="V1410" s="3" t="inlineStr">
        <is>
          <t>26</t>
        </is>
      </c>
      <c r="W1410" s="4" t="n">
        <v>45874</v>
      </c>
      <c r="X1410" s="4" t="inlineStr">
        <is>
          <t>PHILIPPOS  CONSTANTINIDES
TRADING CO.LTD</t>
        </is>
      </c>
    </row>
    <row r="1411" ht="24" customHeight="1">
      <c r="A1411" s="2">
        <f>+D1411-S1411</f>
        <v/>
      </c>
      <c r="B1411" s="80" t="n">
        <v>3057</v>
      </c>
      <c r="C1411" s="66" t="n">
        <v>45827</v>
      </c>
      <c r="D1411" s="2" t="n">
        <v>1</v>
      </c>
      <c r="E1411" s="3" t="inlineStr">
        <is>
          <t>CARABINA SEMIAUTOMATICA</t>
        </is>
      </c>
      <c r="F1411" s="3" t="inlineStr">
        <is>
          <t>308 WIN</t>
        </is>
      </c>
      <c r="G1411" s="3" t="inlineStr">
        <is>
          <t>H&amp;K</t>
        </is>
      </c>
      <c r="H1411" s="65" t="inlineStr">
        <is>
          <t>MR308A3 13'' RAL8000</t>
        </is>
      </c>
      <c r="I1411" s="65" t="inlineStr">
        <is>
          <t>144-010649</t>
        </is>
      </c>
      <c r="J1411" s="65" t="inlineStr">
        <is>
          <t>N/D</t>
        </is>
      </c>
      <c r="K1411" s="65" t="inlineStr">
        <is>
          <t>N/D</t>
        </is>
      </c>
      <c r="L1411" s="127" t="inlineStr">
        <is>
          <t>ARMERIA BRIGNOLI SILVIO &amp; C SNC</t>
        </is>
      </c>
      <c r="M1411" s="5" t="n">
        <v>2870</v>
      </c>
      <c r="N1411" s="5" t="n"/>
      <c r="O1411" s="5">
        <f>+M1411+N1411</f>
        <v/>
      </c>
      <c r="P1411" s="4" t="n">
        <v>45827</v>
      </c>
      <c r="Q1411" s="87" t="n">
        <v>45827</v>
      </c>
      <c r="R1411" s="5" t="n">
        <v>3013</v>
      </c>
      <c r="S1411" s="2" t="n">
        <v>1</v>
      </c>
      <c r="T1411" s="3" t="inlineStr">
        <is>
          <t>CA04954OS</t>
        </is>
      </c>
      <c r="U1411" s="87" t="n">
        <v>45874</v>
      </c>
      <c r="V1411" s="3" t="inlineStr">
        <is>
          <t>26</t>
        </is>
      </c>
      <c r="W1411" s="4" t="n">
        <v>45874</v>
      </c>
      <c r="X1411" s="4" t="inlineStr">
        <is>
          <t>PHILIPPOS  CONSTANTINIDES
TRADING CO.LTD</t>
        </is>
      </c>
    </row>
    <row r="1412" ht="24" customHeight="1">
      <c r="A1412" s="2">
        <f>+D1412-S1412</f>
        <v/>
      </c>
      <c r="B1412" s="80" t="n">
        <v>3058</v>
      </c>
      <c r="C1412" s="66" t="n">
        <v>45827</v>
      </c>
      <c r="D1412" s="2" t="n">
        <v>1</v>
      </c>
      <c r="E1412" s="3" t="inlineStr">
        <is>
          <t>CARABINA SEMIAUTOMATICA</t>
        </is>
      </c>
      <c r="F1412" s="3" t="inlineStr">
        <is>
          <t>308 WIN</t>
        </is>
      </c>
      <c r="G1412" s="3" t="inlineStr">
        <is>
          <t>H&amp;K</t>
        </is>
      </c>
      <c r="H1412" s="65" t="inlineStr">
        <is>
          <t>MR308A3 13'' RAL8000</t>
        </is>
      </c>
      <c r="I1412" s="65" t="inlineStr">
        <is>
          <t>144-010650</t>
        </is>
      </c>
      <c r="J1412" s="65" t="inlineStr">
        <is>
          <t>N/D</t>
        </is>
      </c>
      <c r="K1412" s="65" t="inlineStr">
        <is>
          <t>N/D</t>
        </is>
      </c>
      <c r="L1412" s="127" t="inlineStr">
        <is>
          <t>ARMERIA BRIGNOLI SILVIO &amp; C SNC</t>
        </is>
      </c>
      <c r="M1412" s="5" t="n">
        <v>2870</v>
      </c>
      <c r="N1412" s="5" t="n"/>
      <c r="O1412" s="5">
        <f>+M1412+N1412</f>
        <v/>
      </c>
      <c r="P1412" s="4" t="n">
        <v>45827</v>
      </c>
      <c r="Q1412" s="87" t="n">
        <v>45827</v>
      </c>
      <c r="R1412" s="5" t="n">
        <v>3013</v>
      </c>
      <c r="S1412" s="2" t="n">
        <v>1</v>
      </c>
      <c r="T1412" s="3" t="inlineStr">
        <is>
          <t>CA04954OS</t>
        </is>
      </c>
      <c r="U1412" s="87" t="n">
        <v>45874</v>
      </c>
      <c r="V1412" s="3" t="inlineStr">
        <is>
          <t>26</t>
        </is>
      </c>
      <c r="W1412" s="4" t="n">
        <v>45874</v>
      </c>
      <c r="X1412" s="4" t="inlineStr">
        <is>
          <t>PHILIPPOS  CONSTANTINIDES
TRADING CO.LTD</t>
        </is>
      </c>
    </row>
    <row r="1413" ht="24" customHeight="1">
      <c r="A1413" s="2">
        <f>+D1413-S1413</f>
        <v/>
      </c>
      <c r="B1413" s="80" t="n">
        <v>3059</v>
      </c>
      <c r="C1413" s="66" t="n">
        <v>45827</v>
      </c>
      <c r="D1413" s="2" t="n">
        <v>1</v>
      </c>
      <c r="E1413" s="3" t="inlineStr">
        <is>
          <t>CARABINA SEMIAUTOMATICA</t>
        </is>
      </c>
      <c r="F1413" s="3" t="inlineStr">
        <is>
          <t>308 WIN</t>
        </is>
      </c>
      <c r="G1413" s="3" t="inlineStr">
        <is>
          <t>H&amp;K</t>
        </is>
      </c>
      <c r="H1413" s="65" t="inlineStr">
        <is>
          <t>MR308A3 13'' RAL8000</t>
        </is>
      </c>
      <c r="I1413" s="65" t="inlineStr">
        <is>
          <t>144-010653</t>
        </is>
      </c>
      <c r="J1413" s="65" t="inlineStr">
        <is>
          <t>N/D</t>
        </is>
      </c>
      <c r="K1413" s="65" t="inlineStr">
        <is>
          <t>N/D</t>
        </is>
      </c>
      <c r="L1413" s="127" t="inlineStr">
        <is>
          <t>ARMERIA BRIGNOLI SILVIO &amp; C SNC</t>
        </is>
      </c>
      <c r="M1413" s="5" t="n">
        <v>2870</v>
      </c>
      <c r="N1413" s="5" t="n"/>
      <c r="O1413" s="5">
        <f>+M1413+N1413</f>
        <v/>
      </c>
      <c r="P1413" s="4" t="n">
        <v>45827</v>
      </c>
      <c r="Q1413" s="87" t="n">
        <v>45827</v>
      </c>
      <c r="R1413" s="5" t="n">
        <v>3013</v>
      </c>
      <c r="S1413" s="2" t="n">
        <v>1</v>
      </c>
      <c r="T1413" s="3" t="inlineStr">
        <is>
          <t>CA04954OS</t>
        </is>
      </c>
      <c r="U1413" s="87" t="n">
        <v>45874</v>
      </c>
      <c r="V1413" s="3" t="inlineStr">
        <is>
          <t>26</t>
        </is>
      </c>
      <c r="W1413" s="4" t="n">
        <v>45874</v>
      </c>
      <c r="X1413" s="4" t="inlineStr">
        <is>
          <t>PHILIPPOS  CONSTANTINIDES
TRADING CO.LTD</t>
        </is>
      </c>
    </row>
    <row r="1414" ht="24" customHeight="1">
      <c r="A1414" s="2">
        <f>+D1414-S1414</f>
        <v/>
      </c>
      <c r="B1414" s="80" t="n">
        <v>3060</v>
      </c>
      <c r="C1414" s="66" t="n">
        <v>45827</v>
      </c>
      <c r="D1414" s="2" t="n">
        <v>1</v>
      </c>
      <c r="E1414" s="3" t="inlineStr">
        <is>
          <t>CARABINA SEMIAUTOMATICA</t>
        </is>
      </c>
      <c r="F1414" s="3" t="inlineStr">
        <is>
          <t>308 WIN</t>
        </is>
      </c>
      <c r="G1414" s="3" t="inlineStr">
        <is>
          <t>H&amp;K</t>
        </is>
      </c>
      <c r="H1414" s="65" t="inlineStr">
        <is>
          <t>MR308A3 13'' BLK</t>
        </is>
      </c>
      <c r="I1414" s="65" t="inlineStr">
        <is>
          <t>144-012224</t>
        </is>
      </c>
      <c r="J1414" s="65" t="inlineStr">
        <is>
          <t>N/D</t>
        </is>
      </c>
      <c r="K1414" s="65" t="inlineStr">
        <is>
          <t>N/D</t>
        </is>
      </c>
      <c r="L1414" s="127" t="inlineStr">
        <is>
          <t>ARMERIA BRIGNOLI SILVIO &amp; C SNC</t>
        </is>
      </c>
      <c r="M1414" s="5" t="n">
        <v>2871</v>
      </c>
      <c r="N1414" s="5" t="n"/>
      <c r="O1414" s="5">
        <f>+M1414+N1414</f>
        <v/>
      </c>
      <c r="P1414" s="4" t="n">
        <v>45827</v>
      </c>
      <c r="Q1414" s="87" t="n">
        <v>45827</v>
      </c>
      <c r="R1414" s="5" t="n">
        <v>3013</v>
      </c>
      <c r="S1414" s="2" t="n">
        <v>1</v>
      </c>
      <c r="T1414" s="3" t="inlineStr">
        <is>
          <t>CA04954OS</t>
        </is>
      </c>
      <c r="U1414" s="87" t="n">
        <v>45874</v>
      </c>
      <c r="V1414" s="3" t="inlineStr">
        <is>
          <t>26</t>
        </is>
      </c>
      <c r="W1414" s="4" t="n">
        <v>45874</v>
      </c>
      <c r="X1414" s="4" t="inlineStr">
        <is>
          <t>PHILIPPOS  CONSTANTINIDES
TRADING CO.LTD</t>
        </is>
      </c>
    </row>
    <row r="1415" ht="24" customHeight="1">
      <c r="A1415" s="2">
        <f>+D1415-S1415</f>
        <v/>
      </c>
      <c r="B1415" s="80" t="n"/>
      <c r="C1415" s="66" t="n">
        <v>45827</v>
      </c>
      <c r="D1415" s="2" t="n">
        <v>33</v>
      </c>
      <c r="E1415" s="3" t="inlineStr">
        <is>
          <t>ACCESSORI</t>
        </is>
      </c>
      <c r="F1415" s="3" t="inlineStr">
        <is>
          <t>N/D</t>
        </is>
      </c>
      <c r="G1415" s="3" t="inlineStr">
        <is>
          <t>H&amp;K</t>
        </is>
      </c>
      <c r="H1415" s="65" t="inlineStr">
        <is>
          <t>MAGAZINE MR223 30RD</t>
        </is>
      </c>
      <c r="I1415" s="65" t="inlineStr">
        <is>
          <t>N/D</t>
        </is>
      </c>
      <c r="J1415" s="65" t="inlineStr">
        <is>
          <t>N/D</t>
        </is>
      </c>
      <c r="K1415" s="65" t="inlineStr">
        <is>
          <t>N/D</t>
        </is>
      </c>
      <c r="L1415" s="127" t="inlineStr">
        <is>
          <t>ARMERIA BRIGNOLI SILVIO &amp; C SNC</t>
        </is>
      </c>
      <c r="M1415" s="5" t="n">
        <v>1650</v>
      </c>
      <c r="N1415" s="5" t="n"/>
      <c r="O1415" s="5">
        <f>+M1415+N1415</f>
        <v/>
      </c>
      <c r="P1415" s="4" t="n">
        <v>45827</v>
      </c>
      <c r="Q1415" s="87" t="n">
        <v>45827</v>
      </c>
      <c r="R1415" s="5" t="n">
        <v>1719.96</v>
      </c>
      <c r="S1415" s="2" t="n">
        <v>33</v>
      </c>
      <c r="T1415" s="3" t="inlineStr">
        <is>
          <t>CA04954OS</t>
        </is>
      </c>
      <c r="U1415" s="87" t="n">
        <v>45874</v>
      </c>
      <c r="V1415" s="3" t="inlineStr">
        <is>
          <t>26</t>
        </is>
      </c>
      <c r="W1415" s="4" t="n">
        <v>45874</v>
      </c>
      <c r="X1415" s="4" t="inlineStr">
        <is>
          <t>PHILIPPOS  CONSTANTINIDES
TRADING CO.LTD</t>
        </is>
      </c>
    </row>
    <row r="1416" ht="24" customHeight="1">
      <c r="A1416" s="2">
        <f>+D1416-S1416</f>
        <v/>
      </c>
      <c r="B1416" s="80" t="n"/>
      <c r="C1416" s="66" t="n">
        <v>45827</v>
      </c>
      <c r="D1416" s="2" t="n">
        <v>36</v>
      </c>
      <c r="E1416" s="3" t="inlineStr">
        <is>
          <t>ACCESSORI</t>
        </is>
      </c>
      <c r="F1416" s="3" t="inlineStr">
        <is>
          <t>N/D</t>
        </is>
      </c>
      <c r="G1416" s="3" t="inlineStr">
        <is>
          <t>H&amp;K</t>
        </is>
      </c>
      <c r="H1416" s="65" t="inlineStr">
        <is>
          <t>MAGAZINE MR308 20RD</t>
        </is>
      </c>
      <c r="I1416" s="65" t="inlineStr">
        <is>
          <t>N/D</t>
        </is>
      </c>
      <c r="J1416" s="65" t="inlineStr">
        <is>
          <t>N/D</t>
        </is>
      </c>
      <c r="K1416" s="65" t="inlineStr">
        <is>
          <t>N/D</t>
        </is>
      </c>
      <c r="L1416" s="127" t="inlineStr">
        <is>
          <t>ARMERIA BRIGNOLI SILVIO &amp; C SNC</t>
        </is>
      </c>
      <c r="M1416" s="5" t="n">
        <v>2214</v>
      </c>
      <c r="N1416" s="5" t="n"/>
      <c r="O1416" s="5">
        <f>+M1416+N1416</f>
        <v/>
      </c>
      <c r="P1416" s="4" t="n">
        <v>45827</v>
      </c>
      <c r="Q1416" s="87" t="n">
        <v>45827</v>
      </c>
      <c r="R1416" s="5" t="n">
        <v>2457</v>
      </c>
      <c r="S1416" s="2" t="n">
        <v>36</v>
      </c>
      <c r="T1416" s="3" t="inlineStr">
        <is>
          <t>CA04954OS</t>
        </is>
      </c>
      <c r="U1416" s="87" t="n">
        <v>45874</v>
      </c>
      <c r="V1416" s="3" t="inlineStr">
        <is>
          <t>26</t>
        </is>
      </c>
      <c r="W1416" s="4" t="n">
        <v>45874</v>
      </c>
      <c r="X1416" s="4" t="inlineStr">
        <is>
          <t>PHILIPPOS  CONSTANTINIDES
TRADING CO.LTD</t>
        </is>
      </c>
    </row>
    <row r="1417" ht="24" customHeight="1">
      <c r="A1417" s="2">
        <f>+D1417-S1417</f>
        <v/>
      </c>
      <c r="B1417" s="80" t="n">
        <v>3061</v>
      </c>
      <c r="C1417" s="66" t="n">
        <v>45832</v>
      </c>
      <c r="D1417" s="2" t="n">
        <v>1</v>
      </c>
      <c r="E1417" s="3" t="inlineStr">
        <is>
          <t>CARABINA</t>
        </is>
      </c>
      <c r="F1417" s="3" t="inlineStr">
        <is>
          <t>22 LR</t>
        </is>
      </c>
      <c r="G1417" s="3" t="inlineStr">
        <is>
          <t>WINCHESTER</t>
        </is>
      </c>
      <c r="H1417" s="65" t="inlineStr">
        <is>
          <t>XPERT COMPO, THR 18''</t>
        </is>
      </c>
      <c r="I1417" s="65" t="inlineStr">
        <is>
          <t>TF614-24AB06260</t>
        </is>
      </c>
      <c r="J1417" s="65" t="inlineStr">
        <is>
          <t>N/D</t>
        </is>
      </c>
      <c r="K1417" s="65" t="inlineStr">
        <is>
          <t>N/D</t>
        </is>
      </c>
      <c r="L1417" s="127" t="inlineStr">
        <is>
          <t>BROWNING INTERNATIONAL SA</t>
        </is>
      </c>
      <c r="M1417" s="5" t="n">
        <v>257.4</v>
      </c>
      <c r="N1417" s="5" t="n"/>
      <c r="O1417" s="5">
        <f>+M1417+N1417</f>
        <v/>
      </c>
      <c r="P1417" s="4" t="n">
        <v>45826</v>
      </c>
      <c r="Q1417" s="87" t="n">
        <v>45800</v>
      </c>
      <c r="R1417" s="5" t="n"/>
      <c r="S1417" s="2" t="n"/>
      <c r="T1417" s="3" t="n"/>
      <c r="U1417" s="87" t="n"/>
      <c r="V1417" s="3" t="n"/>
      <c r="W1417" s="108" t="n"/>
      <c r="X1417" s="4" t="n"/>
    </row>
    <row r="1418" ht="24" customHeight="1">
      <c r="A1418" s="2">
        <f>+D1418-S1418</f>
        <v/>
      </c>
      <c r="B1418" s="80" t="n">
        <v>3062</v>
      </c>
      <c r="C1418" s="66" t="n">
        <v>45832</v>
      </c>
      <c r="D1418" s="2" t="n">
        <v>1</v>
      </c>
      <c r="E1418" s="3" t="inlineStr">
        <is>
          <t>CARABINA</t>
        </is>
      </c>
      <c r="F1418" s="3" t="inlineStr">
        <is>
          <t>22 LR</t>
        </is>
      </c>
      <c r="G1418" s="3" t="inlineStr">
        <is>
          <t>WINCHESTER</t>
        </is>
      </c>
      <c r="H1418" s="65" t="inlineStr">
        <is>
          <t>XPERT COMPO, THR 18''</t>
        </is>
      </c>
      <c r="I1418" s="65" t="inlineStr">
        <is>
          <t>TF614-24AB06264</t>
        </is>
      </c>
      <c r="J1418" s="65" t="inlineStr">
        <is>
          <t>N/D</t>
        </is>
      </c>
      <c r="K1418" s="65" t="inlineStr">
        <is>
          <t>N/D</t>
        </is>
      </c>
      <c r="L1418" s="127" t="inlineStr">
        <is>
          <t>BROWNING INTERNATIONAL SA</t>
        </is>
      </c>
      <c r="M1418" s="5" t="n">
        <v>257.4</v>
      </c>
      <c r="N1418" s="5" t="n"/>
      <c r="O1418" s="5">
        <f>+M1418+N1418</f>
        <v/>
      </c>
      <c r="P1418" s="4" t="n">
        <v>45826</v>
      </c>
      <c r="Q1418" s="87" t="n">
        <v>45800</v>
      </c>
      <c r="R1418" s="5" t="n"/>
      <c r="S1418" s="2" t="n"/>
      <c r="T1418" s="3" t="n"/>
      <c r="U1418" s="87" t="n"/>
      <c r="V1418" s="3" t="n"/>
      <c r="W1418" s="108" t="n"/>
      <c r="X1418" s="4" t="n"/>
    </row>
    <row r="1419" ht="24" customHeight="1">
      <c r="A1419" s="2">
        <f>+D1419-S1419</f>
        <v/>
      </c>
      <c r="B1419" s="80" t="n">
        <v>3063</v>
      </c>
      <c r="C1419" s="66" t="n">
        <v>45832</v>
      </c>
      <c r="D1419" s="2" t="n">
        <v>1</v>
      </c>
      <c r="E1419" s="3" t="inlineStr">
        <is>
          <t>CARABINA</t>
        </is>
      </c>
      <c r="F1419" s="3" t="inlineStr">
        <is>
          <t>22 LR</t>
        </is>
      </c>
      <c r="G1419" s="3" t="inlineStr">
        <is>
          <t>WINCHESTER</t>
        </is>
      </c>
      <c r="H1419" s="65" t="inlineStr">
        <is>
          <t>XPERT COMPO, THR 18''</t>
        </is>
      </c>
      <c r="I1419" s="65" t="inlineStr">
        <is>
          <t>TF614-24AB06248</t>
        </is>
      </c>
      <c r="J1419" s="65" t="inlineStr">
        <is>
          <t>N/D</t>
        </is>
      </c>
      <c r="K1419" s="65" t="inlineStr">
        <is>
          <t>N/D</t>
        </is>
      </c>
      <c r="L1419" s="127" t="inlineStr">
        <is>
          <t>BROWNING INTERNATIONAL SA</t>
        </is>
      </c>
      <c r="M1419" s="5" t="n">
        <v>257.4</v>
      </c>
      <c r="N1419" s="5" t="n"/>
      <c r="O1419" s="5">
        <f>+M1419+N1419</f>
        <v/>
      </c>
      <c r="P1419" s="4" t="n">
        <v>45826</v>
      </c>
      <c r="Q1419" s="87" t="n">
        <v>45800</v>
      </c>
      <c r="R1419" s="5" t="n"/>
      <c r="S1419" s="2" t="n"/>
      <c r="T1419" s="3" t="n"/>
      <c r="U1419" s="87" t="n"/>
      <c r="V1419" s="3" t="n"/>
      <c r="W1419" s="108" t="n"/>
      <c r="X1419" s="4" t="n"/>
    </row>
    <row r="1420" ht="24" customHeight="1">
      <c r="A1420" s="2">
        <f>+D1420-S1420</f>
        <v/>
      </c>
      <c r="B1420" s="80" t="n">
        <v>3064</v>
      </c>
      <c r="C1420" s="66" t="n">
        <v>45832</v>
      </c>
      <c r="D1420" s="2" t="n">
        <v>1</v>
      </c>
      <c r="E1420" s="3" t="inlineStr">
        <is>
          <t>CARABINA</t>
        </is>
      </c>
      <c r="F1420" s="3" t="inlineStr">
        <is>
          <t>22 LR</t>
        </is>
      </c>
      <c r="G1420" s="3" t="inlineStr">
        <is>
          <t>WINCHESTER</t>
        </is>
      </c>
      <c r="H1420" s="65" t="inlineStr">
        <is>
          <t>XPERT COMPO, THR 18''</t>
        </is>
      </c>
      <c r="I1420" s="65" t="inlineStr">
        <is>
          <t>TF614-24AB06256</t>
        </is>
      </c>
      <c r="J1420" s="65" t="inlineStr">
        <is>
          <t>N/D</t>
        </is>
      </c>
      <c r="K1420" s="65" t="inlineStr">
        <is>
          <t>N/D</t>
        </is>
      </c>
      <c r="L1420" s="127" t="inlineStr">
        <is>
          <t>BROWNING INTERNATIONAL SA</t>
        </is>
      </c>
      <c r="M1420" s="5" t="n">
        <v>257.4</v>
      </c>
      <c r="N1420" s="5" t="n"/>
      <c r="O1420" s="5">
        <f>+M1420+N1420</f>
        <v/>
      </c>
      <c r="P1420" s="4" t="n">
        <v>45826</v>
      </c>
      <c r="Q1420" s="87" t="n">
        <v>45800</v>
      </c>
      <c r="R1420" s="5" t="n"/>
      <c r="S1420" s="2" t="n"/>
      <c r="T1420" s="3" t="n"/>
      <c r="U1420" s="87" t="n"/>
      <c r="V1420" s="3" t="n"/>
      <c r="W1420" s="108" t="n"/>
      <c r="X1420" s="4" t="n"/>
    </row>
    <row r="1421" ht="24" customHeight="1">
      <c r="A1421" s="2">
        <f>+D1421-S1421</f>
        <v/>
      </c>
      <c r="B1421" s="80" t="n">
        <v>3065</v>
      </c>
      <c r="C1421" s="66" t="n">
        <v>45832</v>
      </c>
      <c r="D1421" s="2" t="n">
        <v>1</v>
      </c>
      <c r="E1421" s="3" t="inlineStr">
        <is>
          <t>CARABINA</t>
        </is>
      </c>
      <c r="F1421" s="3" t="inlineStr">
        <is>
          <t>22 LR</t>
        </is>
      </c>
      <c r="G1421" s="3" t="inlineStr">
        <is>
          <t>WINCHESTER</t>
        </is>
      </c>
      <c r="H1421" s="65" t="inlineStr">
        <is>
          <t>XPERT COMPO, THR 18''</t>
        </is>
      </c>
      <c r="I1421" s="65" t="inlineStr">
        <is>
          <t>TF614-24AB06254</t>
        </is>
      </c>
      <c r="J1421" s="65" t="inlineStr">
        <is>
          <t>N/D</t>
        </is>
      </c>
      <c r="K1421" s="65" t="inlineStr">
        <is>
          <t>N/D</t>
        </is>
      </c>
      <c r="L1421" s="127" t="inlineStr">
        <is>
          <t>BROWNING INTERNATIONAL SA</t>
        </is>
      </c>
      <c r="M1421" s="5" t="n">
        <v>257.4</v>
      </c>
      <c r="N1421" s="5" t="n"/>
      <c r="O1421" s="5">
        <f>+M1421+N1421</f>
        <v/>
      </c>
      <c r="P1421" s="4" t="n">
        <v>45826</v>
      </c>
      <c r="Q1421" s="87" t="n">
        <v>45800</v>
      </c>
      <c r="R1421" s="5" t="n"/>
      <c r="S1421" s="2" t="n"/>
      <c r="T1421" s="3" t="n"/>
      <c r="U1421" s="87" t="n"/>
      <c r="V1421" s="3" t="n"/>
      <c r="W1421" s="108" t="n"/>
      <c r="X1421" s="4" t="n"/>
    </row>
    <row r="1422" ht="24" customHeight="1">
      <c r="A1422" s="2">
        <f>+D1422-S1422</f>
        <v/>
      </c>
      <c r="B1422" s="80" t="n">
        <v>3066</v>
      </c>
      <c r="C1422" s="66" t="n">
        <v>45832</v>
      </c>
      <c r="D1422" s="2" t="n">
        <v>1</v>
      </c>
      <c r="E1422" s="3" t="inlineStr">
        <is>
          <t>CARABINA</t>
        </is>
      </c>
      <c r="F1422" s="3" t="inlineStr">
        <is>
          <t>22 LR</t>
        </is>
      </c>
      <c r="G1422" s="3" t="inlineStr">
        <is>
          <t>WINCHESTER</t>
        </is>
      </c>
      <c r="H1422" s="65" t="inlineStr">
        <is>
          <t>XPERT COMPO, THR 18''</t>
        </is>
      </c>
      <c r="I1422" s="65" t="inlineStr">
        <is>
          <t>TF614-24AB06252</t>
        </is>
      </c>
      <c r="J1422" s="65" t="inlineStr">
        <is>
          <t>N/D</t>
        </is>
      </c>
      <c r="K1422" s="65" t="inlineStr">
        <is>
          <t>N/D</t>
        </is>
      </c>
      <c r="L1422" s="127" t="inlineStr">
        <is>
          <t>BROWNING INTERNATIONAL SA</t>
        </is>
      </c>
      <c r="M1422" s="5" t="n">
        <v>257.4</v>
      </c>
      <c r="N1422" s="5" t="n"/>
      <c r="O1422" s="5">
        <f>+M1422+N1422</f>
        <v/>
      </c>
      <c r="P1422" s="4" t="n">
        <v>45826</v>
      </c>
      <c r="Q1422" s="87" t="n">
        <v>45800</v>
      </c>
      <c r="R1422" s="5" t="n"/>
      <c r="S1422" s="2" t="n"/>
      <c r="T1422" s="3" t="n"/>
      <c r="U1422" s="87" t="n"/>
      <c r="V1422" s="3" t="n"/>
      <c r="W1422" s="108" t="n"/>
      <c r="X1422" s="4" t="n"/>
    </row>
    <row r="1423" ht="24" customHeight="1">
      <c r="A1423" s="2">
        <f>+D1423-S1423</f>
        <v/>
      </c>
      <c r="B1423" s="80" t="n">
        <v>3067</v>
      </c>
      <c r="C1423" s="66" t="n">
        <v>45832</v>
      </c>
      <c r="D1423" s="2" t="n">
        <v>1</v>
      </c>
      <c r="E1423" s="3" t="inlineStr">
        <is>
          <t>CARABINA</t>
        </is>
      </c>
      <c r="F1423" s="3" t="inlineStr">
        <is>
          <t>22 LR</t>
        </is>
      </c>
      <c r="G1423" s="3" t="inlineStr">
        <is>
          <t>WINCHESTER</t>
        </is>
      </c>
      <c r="H1423" s="65" t="inlineStr">
        <is>
          <t>XPERT COMPO, THR 18''</t>
        </is>
      </c>
      <c r="I1423" s="65" t="inlineStr">
        <is>
          <t>TF614-24AB06246</t>
        </is>
      </c>
      <c r="J1423" s="65" t="inlineStr">
        <is>
          <t>N/D</t>
        </is>
      </c>
      <c r="K1423" s="65" t="inlineStr">
        <is>
          <t>N/D</t>
        </is>
      </c>
      <c r="L1423" s="127" t="inlineStr">
        <is>
          <t>BROWNING INTERNATIONAL SA</t>
        </is>
      </c>
      <c r="M1423" s="5" t="n">
        <v>257.4</v>
      </c>
      <c r="N1423" s="5" t="n"/>
      <c r="O1423" s="5">
        <f>+M1423+N1423</f>
        <v/>
      </c>
      <c r="P1423" s="4" t="n">
        <v>45826</v>
      </c>
      <c r="Q1423" s="87" t="n">
        <v>45800</v>
      </c>
      <c r="R1423" s="5" t="n"/>
      <c r="S1423" s="2" t="n"/>
      <c r="T1423" s="3" t="n"/>
      <c r="U1423" s="87" t="n"/>
      <c r="V1423" s="3" t="n"/>
      <c r="W1423" s="108" t="n"/>
      <c r="X1423" s="4" t="n"/>
    </row>
    <row r="1424" ht="24" customHeight="1">
      <c r="A1424" s="2">
        <f>+D1424-S1424</f>
        <v/>
      </c>
      <c r="B1424" s="80" t="n">
        <v>3068</v>
      </c>
      <c r="C1424" s="66" t="n">
        <v>45832</v>
      </c>
      <c r="D1424" s="2" t="n">
        <v>1</v>
      </c>
      <c r="E1424" s="3" t="inlineStr">
        <is>
          <t>CARABINA</t>
        </is>
      </c>
      <c r="F1424" s="3" t="inlineStr">
        <is>
          <t>22 LR</t>
        </is>
      </c>
      <c r="G1424" s="3" t="inlineStr">
        <is>
          <t>WINCHESTER</t>
        </is>
      </c>
      <c r="H1424" s="65" t="inlineStr">
        <is>
          <t>XPERT COMPO, THR 18''</t>
        </is>
      </c>
      <c r="I1424" s="65" t="inlineStr">
        <is>
          <t>TF614-24AB06258</t>
        </is>
      </c>
      <c r="J1424" s="65" t="inlineStr">
        <is>
          <t>N/D</t>
        </is>
      </c>
      <c r="K1424" s="65" t="inlineStr">
        <is>
          <t>N/D</t>
        </is>
      </c>
      <c r="L1424" s="127" t="inlineStr">
        <is>
          <t>BROWNING INTERNATIONAL SA</t>
        </is>
      </c>
      <c r="M1424" s="5" t="n">
        <v>257.4</v>
      </c>
      <c r="N1424" s="5" t="n"/>
      <c r="O1424" s="5">
        <f>+M1424+N1424</f>
        <v/>
      </c>
      <c r="P1424" s="4" t="n">
        <v>45826</v>
      </c>
      <c r="Q1424" s="87" t="n">
        <v>45800</v>
      </c>
      <c r="R1424" s="5" t="n"/>
      <c r="S1424" s="2" t="n"/>
      <c r="T1424" s="3" t="n"/>
      <c r="U1424" s="87" t="n"/>
      <c r="V1424" s="3" t="n"/>
      <c r="W1424" s="108" t="n"/>
      <c r="X1424" s="4" t="n"/>
    </row>
    <row r="1425" ht="24" customHeight="1">
      <c r="A1425" s="2">
        <f>+D1425-S1425</f>
        <v/>
      </c>
      <c r="B1425" s="80" t="n">
        <v>3069</v>
      </c>
      <c r="C1425" s="66" t="n">
        <v>45832</v>
      </c>
      <c r="D1425" s="2" t="n">
        <v>1</v>
      </c>
      <c r="E1425" s="3" t="inlineStr">
        <is>
          <t>CARABINA</t>
        </is>
      </c>
      <c r="F1425" s="3" t="inlineStr">
        <is>
          <t>22 LR</t>
        </is>
      </c>
      <c r="G1425" s="3" t="inlineStr">
        <is>
          <t>WINCHESTER</t>
        </is>
      </c>
      <c r="H1425" s="65" t="inlineStr">
        <is>
          <t>XPERT COMPO, THR 18''</t>
        </is>
      </c>
      <c r="I1425" s="65" t="inlineStr">
        <is>
          <t>TF614-24AB06253</t>
        </is>
      </c>
      <c r="J1425" s="65" t="inlineStr">
        <is>
          <t>N/D</t>
        </is>
      </c>
      <c r="K1425" s="65" t="inlineStr">
        <is>
          <t>N/D</t>
        </is>
      </c>
      <c r="L1425" s="127" t="inlineStr">
        <is>
          <t>BROWNING INTERNATIONAL SA</t>
        </is>
      </c>
      <c r="M1425" s="5" t="n">
        <v>257.4</v>
      </c>
      <c r="N1425" s="5" t="n"/>
      <c r="O1425" s="5">
        <f>+M1425+N1425</f>
        <v/>
      </c>
      <c r="P1425" s="4" t="n">
        <v>45826</v>
      </c>
      <c r="Q1425" s="87" t="n">
        <v>45800</v>
      </c>
      <c r="R1425" s="5" t="n"/>
      <c r="S1425" s="2" t="n"/>
      <c r="T1425" s="3" t="n"/>
      <c r="U1425" s="87" t="n"/>
      <c r="V1425" s="3" t="n"/>
      <c r="W1425" s="108" t="n"/>
      <c r="X1425" s="4" t="n"/>
    </row>
    <row r="1426" ht="24" customHeight="1">
      <c r="A1426" s="2">
        <f>+D1426-S1426</f>
        <v/>
      </c>
      <c r="B1426" s="80" t="n">
        <v>3070</v>
      </c>
      <c r="C1426" s="66" t="n">
        <v>45832</v>
      </c>
      <c r="D1426" s="2" t="n">
        <v>1</v>
      </c>
      <c r="E1426" s="3" t="inlineStr">
        <is>
          <t>CARABINA</t>
        </is>
      </c>
      <c r="F1426" s="3" t="inlineStr">
        <is>
          <t>22 LR</t>
        </is>
      </c>
      <c r="G1426" s="3" t="inlineStr">
        <is>
          <t>WINCHESTER</t>
        </is>
      </c>
      <c r="H1426" s="65" t="inlineStr">
        <is>
          <t>XPERT COMPO, THR 18''</t>
        </is>
      </c>
      <c r="I1426" s="65" t="inlineStr">
        <is>
          <t>TF614-24AB06259</t>
        </is>
      </c>
      <c r="J1426" s="65" t="inlineStr">
        <is>
          <t>N/D</t>
        </is>
      </c>
      <c r="K1426" s="65" t="inlineStr">
        <is>
          <t>N/D</t>
        </is>
      </c>
      <c r="L1426" s="127" t="inlineStr">
        <is>
          <t>BROWNING INTERNATIONAL SA</t>
        </is>
      </c>
      <c r="M1426" s="5" t="n">
        <v>257.4</v>
      </c>
      <c r="N1426" s="5" t="n"/>
      <c r="O1426" s="5">
        <f>+M1426+N1426</f>
        <v/>
      </c>
      <c r="P1426" s="4" t="n">
        <v>45826</v>
      </c>
      <c r="Q1426" s="87" t="n">
        <v>45800</v>
      </c>
      <c r="R1426" s="5" t="n"/>
      <c r="S1426" s="2" t="n"/>
      <c r="T1426" s="3" t="n"/>
      <c r="U1426" s="87" t="n"/>
      <c r="V1426" s="3" t="n"/>
      <c r="W1426" s="108" t="n"/>
      <c r="X1426" s="4" t="n"/>
    </row>
    <row r="1427" ht="24" customHeight="1">
      <c r="A1427" s="2">
        <f>+D1427-S1427</f>
        <v/>
      </c>
      <c r="B1427" s="80" t="n">
        <v>3071</v>
      </c>
      <c r="C1427" s="66" t="n">
        <v>45832</v>
      </c>
      <c r="D1427" s="2" t="n">
        <v>1</v>
      </c>
      <c r="E1427" s="3" t="inlineStr">
        <is>
          <t>CARABINA</t>
        </is>
      </c>
      <c r="F1427" s="3" t="inlineStr">
        <is>
          <t>22 LR</t>
        </is>
      </c>
      <c r="G1427" s="3" t="inlineStr">
        <is>
          <t>WINCHESTER</t>
        </is>
      </c>
      <c r="H1427" s="65" t="inlineStr">
        <is>
          <t>XPERT COMPO, THR 18''</t>
        </is>
      </c>
      <c r="I1427" s="65" t="inlineStr">
        <is>
          <t>TF614-24AB06249</t>
        </is>
      </c>
      <c r="J1427" s="65" t="inlineStr">
        <is>
          <t>N/D</t>
        </is>
      </c>
      <c r="K1427" s="65" t="inlineStr">
        <is>
          <t>N/D</t>
        </is>
      </c>
      <c r="L1427" s="127" t="inlineStr">
        <is>
          <t>BROWNING INTERNATIONAL SA</t>
        </is>
      </c>
      <c r="M1427" s="5" t="n">
        <v>257.4</v>
      </c>
      <c r="N1427" s="5" t="n"/>
      <c r="O1427" s="5">
        <f>+M1427+N1427</f>
        <v/>
      </c>
      <c r="P1427" s="4" t="n">
        <v>45826</v>
      </c>
      <c r="Q1427" s="87" t="n">
        <v>45800</v>
      </c>
      <c r="R1427" s="5" t="n"/>
      <c r="S1427" s="2" t="n"/>
      <c r="T1427" s="3" t="n"/>
      <c r="U1427" s="87" t="n"/>
      <c r="V1427" s="3" t="n"/>
      <c r="W1427" s="108" t="n"/>
      <c r="X1427" s="4" t="n"/>
    </row>
    <row r="1428" ht="24" customHeight="1">
      <c r="A1428" s="2">
        <f>+D1428-S1428</f>
        <v/>
      </c>
      <c r="B1428" s="80" t="n">
        <v>3072</v>
      </c>
      <c r="C1428" s="66" t="n">
        <v>45832</v>
      </c>
      <c r="D1428" s="2" t="n">
        <v>1</v>
      </c>
      <c r="E1428" s="3" t="inlineStr">
        <is>
          <t>CARABINA</t>
        </is>
      </c>
      <c r="F1428" s="3" t="inlineStr">
        <is>
          <t>22 LR</t>
        </is>
      </c>
      <c r="G1428" s="3" t="inlineStr">
        <is>
          <t>WINCHESTER</t>
        </is>
      </c>
      <c r="H1428" s="65" t="inlineStr">
        <is>
          <t>XPERT COMPO, THR 18''</t>
        </is>
      </c>
      <c r="I1428" s="65" t="inlineStr">
        <is>
          <t>TF614-24AB06262</t>
        </is>
      </c>
      <c r="J1428" s="65" t="inlineStr">
        <is>
          <t>N/D</t>
        </is>
      </c>
      <c r="K1428" s="65" t="inlineStr">
        <is>
          <t>N/D</t>
        </is>
      </c>
      <c r="L1428" s="127" t="inlineStr">
        <is>
          <t>BROWNING INTERNATIONAL SA</t>
        </is>
      </c>
      <c r="M1428" s="5" t="n">
        <v>257.4</v>
      </c>
      <c r="N1428" s="5" t="n"/>
      <c r="O1428" s="5">
        <f>+M1428+N1428</f>
        <v/>
      </c>
      <c r="P1428" s="4" t="n">
        <v>45826</v>
      </c>
      <c r="Q1428" s="87" t="n">
        <v>45800</v>
      </c>
      <c r="R1428" s="5" t="n"/>
      <c r="S1428" s="2" t="n"/>
      <c r="T1428" s="3" t="n"/>
      <c r="U1428" s="87" t="n"/>
      <c r="V1428" s="3" t="n"/>
      <c r="W1428" s="108" t="n"/>
      <c r="X1428" s="4" t="n"/>
    </row>
    <row r="1429" ht="24" customHeight="1">
      <c r="A1429" s="2">
        <f>+D1429-S1429</f>
        <v/>
      </c>
      <c r="B1429" s="80" t="n">
        <v>3073</v>
      </c>
      <c r="C1429" s="66" t="n">
        <v>45832</v>
      </c>
      <c r="D1429" s="2" t="n">
        <v>1</v>
      </c>
      <c r="E1429" s="3" t="inlineStr">
        <is>
          <t>CARABINA</t>
        </is>
      </c>
      <c r="F1429" s="3" t="inlineStr">
        <is>
          <t>22 LR</t>
        </is>
      </c>
      <c r="G1429" s="3" t="inlineStr">
        <is>
          <t>WINCHESTER</t>
        </is>
      </c>
      <c r="H1429" s="65" t="inlineStr">
        <is>
          <t>XPERT COMPO, THR 18''</t>
        </is>
      </c>
      <c r="I1429" s="65" t="inlineStr">
        <is>
          <t>TF614-24AB06257</t>
        </is>
      </c>
      <c r="J1429" s="65" t="inlineStr">
        <is>
          <t>N/D</t>
        </is>
      </c>
      <c r="K1429" s="65" t="inlineStr">
        <is>
          <t>N/D</t>
        </is>
      </c>
      <c r="L1429" s="127" t="inlineStr">
        <is>
          <t>BROWNING INTERNATIONAL SA</t>
        </is>
      </c>
      <c r="M1429" s="5" t="n">
        <v>257.4</v>
      </c>
      <c r="N1429" s="5" t="n"/>
      <c r="O1429" s="5">
        <f>+M1429+N1429</f>
        <v/>
      </c>
      <c r="P1429" s="4" t="n">
        <v>45826</v>
      </c>
      <c r="Q1429" s="87" t="n">
        <v>45800</v>
      </c>
      <c r="R1429" s="5" t="n"/>
      <c r="S1429" s="2" t="n"/>
      <c r="T1429" s="3" t="n"/>
      <c r="U1429" s="87" t="n"/>
      <c r="V1429" s="3" t="n"/>
      <c r="W1429" s="108" t="n"/>
      <c r="X1429" s="4" t="n"/>
    </row>
    <row r="1430" ht="24" customHeight="1">
      <c r="A1430" s="2">
        <f>+D1430-S1430</f>
        <v/>
      </c>
      <c r="B1430" s="80" t="n">
        <v>3074</v>
      </c>
      <c r="C1430" s="66" t="n">
        <v>45832</v>
      </c>
      <c r="D1430" s="2" t="n">
        <v>1</v>
      </c>
      <c r="E1430" s="3" t="inlineStr">
        <is>
          <t>CARABINA</t>
        </is>
      </c>
      <c r="F1430" s="3" t="inlineStr">
        <is>
          <t>22 LR</t>
        </is>
      </c>
      <c r="G1430" s="3" t="inlineStr">
        <is>
          <t>WINCHESTER</t>
        </is>
      </c>
      <c r="H1430" s="65" t="inlineStr">
        <is>
          <t>XPERT COMPO, THR 18''</t>
        </is>
      </c>
      <c r="I1430" s="65" t="inlineStr">
        <is>
          <t>TF614-24AB06250</t>
        </is>
      </c>
      <c r="J1430" s="65" t="inlineStr">
        <is>
          <t>N/D</t>
        </is>
      </c>
      <c r="K1430" s="65" t="inlineStr">
        <is>
          <t>N/D</t>
        </is>
      </c>
      <c r="L1430" s="127" t="inlineStr">
        <is>
          <t>BROWNING INTERNATIONAL SA</t>
        </is>
      </c>
      <c r="M1430" s="5" t="n">
        <v>257.4</v>
      </c>
      <c r="N1430" s="5" t="n"/>
      <c r="O1430" s="5">
        <f>+M1430+N1430</f>
        <v/>
      </c>
      <c r="P1430" s="4" t="n">
        <v>45826</v>
      </c>
      <c r="Q1430" s="87" t="n">
        <v>45800</v>
      </c>
      <c r="R1430" s="5" t="n"/>
      <c r="S1430" s="2" t="n"/>
      <c r="T1430" s="3" t="n"/>
      <c r="U1430" s="87" t="n"/>
      <c r="V1430" s="3" t="n"/>
      <c r="W1430" s="108" t="n"/>
      <c r="X1430" s="4" t="n"/>
    </row>
    <row r="1431" ht="24" customHeight="1">
      <c r="A1431" s="2">
        <f>+D1431-S1431</f>
        <v/>
      </c>
      <c r="B1431" s="80" t="n">
        <v>3075</v>
      </c>
      <c r="C1431" s="66" t="n">
        <v>45832</v>
      </c>
      <c r="D1431" s="2" t="n">
        <v>1</v>
      </c>
      <c r="E1431" s="3" t="inlineStr">
        <is>
          <t>CARABINA</t>
        </is>
      </c>
      <c r="F1431" s="3" t="inlineStr">
        <is>
          <t>22 LR</t>
        </is>
      </c>
      <c r="G1431" s="3" t="inlineStr">
        <is>
          <t>WINCHESTER</t>
        </is>
      </c>
      <c r="H1431" s="65" t="inlineStr">
        <is>
          <t>XPERT COMPO, THR 18''</t>
        </is>
      </c>
      <c r="I1431" s="65" t="inlineStr">
        <is>
          <t>TF614-24AB06255</t>
        </is>
      </c>
      <c r="J1431" s="65" t="inlineStr">
        <is>
          <t>N/D</t>
        </is>
      </c>
      <c r="K1431" s="65" t="inlineStr">
        <is>
          <t>N/D</t>
        </is>
      </c>
      <c r="L1431" s="127" t="inlineStr">
        <is>
          <t>BROWNING INTERNATIONAL SA</t>
        </is>
      </c>
      <c r="M1431" s="5" t="n">
        <v>257.4</v>
      </c>
      <c r="N1431" s="5" t="n"/>
      <c r="O1431" s="5">
        <f>+M1431+N1431</f>
        <v/>
      </c>
      <c r="P1431" s="4" t="n">
        <v>45826</v>
      </c>
      <c r="Q1431" s="87" t="n">
        <v>45800</v>
      </c>
      <c r="R1431" s="5" t="n"/>
      <c r="S1431" s="2" t="n"/>
      <c r="T1431" s="3" t="n"/>
      <c r="U1431" s="87" t="n"/>
      <c r="V1431" s="3" t="n"/>
      <c r="W1431" s="108" t="n"/>
      <c r="X1431" s="4" t="n"/>
    </row>
    <row r="1432" ht="24" customHeight="1">
      <c r="A1432" s="2">
        <f>+D1432-S1432</f>
        <v/>
      </c>
      <c r="B1432" s="80" t="n">
        <v>3076</v>
      </c>
      <c r="C1432" s="66" t="n">
        <v>45832</v>
      </c>
      <c r="D1432" s="2" t="n">
        <v>1</v>
      </c>
      <c r="E1432" s="3" t="inlineStr">
        <is>
          <t>CARABINA</t>
        </is>
      </c>
      <c r="F1432" s="3" t="inlineStr">
        <is>
          <t>22 LR</t>
        </is>
      </c>
      <c r="G1432" s="3" t="inlineStr">
        <is>
          <t>WINCHESTER</t>
        </is>
      </c>
      <c r="H1432" s="65" t="inlineStr">
        <is>
          <t>XPERT COMPO, THR 18''</t>
        </is>
      </c>
      <c r="I1432" s="65" t="inlineStr">
        <is>
          <t>TF614-24AB06265</t>
        </is>
      </c>
      <c r="J1432" s="65" t="inlineStr">
        <is>
          <t>N/D</t>
        </is>
      </c>
      <c r="K1432" s="65" t="inlineStr">
        <is>
          <t>N/D</t>
        </is>
      </c>
      <c r="L1432" s="127" t="inlineStr">
        <is>
          <t>BROWNING INTERNATIONAL SA</t>
        </is>
      </c>
      <c r="M1432" s="5" t="n">
        <v>257.4</v>
      </c>
      <c r="N1432" s="5" t="n"/>
      <c r="O1432" s="5">
        <f>+M1432+N1432</f>
        <v/>
      </c>
      <c r="P1432" s="4" t="n">
        <v>45826</v>
      </c>
      <c r="Q1432" s="87" t="n">
        <v>45800</v>
      </c>
      <c r="R1432" s="5" t="n"/>
      <c r="S1432" s="2" t="n"/>
      <c r="T1432" s="3" t="n"/>
      <c r="U1432" s="87" t="n"/>
      <c r="V1432" s="3" t="n"/>
      <c r="W1432" s="108" t="n"/>
      <c r="X1432" s="4" t="n"/>
    </row>
    <row r="1433" ht="24" customHeight="1">
      <c r="A1433" s="2">
        <f>+D1433-S1433</f>
        <v/>
      </c>
      <c r="B1433" s="80" t="n">
        <v>3077</v>
      </c>
      <c r="C1433" s="66" t="n">
        <v>45832</v>
      </c>
      <c r="D1433" s="2" t="n">
        <v>1</v>
      </c>
      <c r="E1433" s="3" t="inlineStr">
        <is>
          <t>CARABINA</t>
        </is>
      </c>
      <c r="F1433" s="3" t="inlineStr">
        <is>
          <t>22 LR</t>
        </is>
      </c>
      <c r="G1433" s="3" t="inlineStr">
        <is>
          <t>WINCHESTER</t>
        </is>
      </c>
      <c r="H1433" s="65" t="inlineStr">
        <is>
          <t>XPERT COMPO, THR 18''</t>
        </is>
      </c>
      <c r="I1433" s="65" t="inlineStr">
        <is>
          <t>TF614-24AB06247</t>
        </is>
      </c>
      <c r="J1433" s="65" t="inlineStr">
        <is>
          <t>N/D</t>
        </is>
      </c>
      <c r="K1433" s="65" t="inlineStr">
        <is>
          <t>N/D</t>
        </is>
      </c>
      <c r="L1433" s="127" t="inlineStr">
        <is>
          <t>BROWNING INTERNATIONAL SA</t>
        </is>
      </c>
      <c r="M1433" s="5" t="n">
        <v>257.4</v>
      </c>
      <c r="N1433" s="5" t="n"/>
      <c r="O1433" s="5">
        <f>+M1433+N1433</f>
        <v/>
      </c>
      <c r="P1433" s="4" t="n">
        <v>45826</v>
      </c>
      <c r="Q1433" s="87" t="n">
        <v>45800</v>
      </c>
      <c r="R1433" s="5" t="n"/>
      <c r="S1433" s="2" t="n"/>
      <c r="T1433" s="3" t="n"/>
      <c r="U1433" s="87" t="n"/>
      <c r="V1433" s="3" t="n"/>
      <c r="W1433" s="108" t="n"/>
      <c r="X1433" s="4" t="n"/>
    </row>
    <row r="1434" ht="24" customHeight="1">
      <c r="A1434" s="2">
        <f>+D1434-S1434</f>
        <v/>
      </c>
      <c r="B1434" s="80" t="n">
        <v>3078</v>
      </c>
      <c r="C1434" s="66" t="n">
        <v>45832</v>
      </c>
      <c r="D1434" s="2" t="n">
        <v>1</v>
      </c>
      <c r="E1434" s="3" t="inlineStr">
        <is>
          <t>CARABINA</t>
        </is>
      </c>
      <c r="F1434" s="3" t="inlineStr">
        <is>
          <t>22 LR</t>
        </is>
      </c>
      <c r="G1434" s="3" t="inlineStr">
        <is>
          <t>WINCHESTER</t>
        </is>
      </c>
      <c r="H1434" s="65" t="inlineStr">
        <is>
          <t>XPERT COMPO, THR 18''</t>
        </is>
      </c>
      <c r="I1434" s="65" t="inlineStr">
        <is>
          <t>TF614-24AB06263</t>
        </is>
      </c>
      <c r="J1434" s="65" t="inlineStr">
        <is>
          <t>N/D</t>
        </is>
      </c>
      <c r="K1434" s="65" t="inlineStr">
        <is>
          <t>N/D</t>
        </is>
      </c>
      <c r="L1434" s="127" t="inlineStr">
        <is>
          <t>BROWNING INTERNATIONAL SA</t>
        </is>
      </c>
      <c r="M1434" s="5" t="n">
        <v>257.4</v>
      </c>
      <c r="N1434" s="5" t="n"/>
      <c r="O1434" s="5">
        <f>+M1434+N1434</f>
        <v/>
      </c>
      <c r="P1434" s="4" t="n">
        <v>45826</v>
      </c>
      <c r="Q1434" s="87" t="n">
        <v>45800</v>
      </c>
      <c r="R1434" s="5" t="n"/>
      <c r="S1434" s="2" t="n"/>
      <c r="T1434" s="3" t="n"/>
      <c r="U1434" s="87" t="n"/>
      <c r="V1434" s="3" t="n"/>
      <c r="W1434" s="108" t="n"/>
      <c r="X1434" s="4" t="n"/>
    </row>
    <row r="1435" ht="24" customHeight="1">
      <c r="A1435" s="2">
        <f>+D1435-S1435</f>
        <v/>
      </c>
      <c r="B1435" s="80" t="n">
        <v>3079</v>
      </c>
      <c r="C1435" s="66" t="n">
        <v>45832</v>
      </c>
      <c r="D1435" s="2" t="n">
        <v>1</v>
      </c>
      <c r="E1435" s="3" t="inlineStr">
        <is>
          <t>CARABINA</t>
        </is>
      </c>
      <c r="F1435" s="3" t="inlineStr">
        <is>
          <t>22 LR</t>
        </is>
      </c>
      <c r="G1435" s="3" t="inlineStr">
        <is>
          <t>WINCHESTER</t>
        </is>
      </c>
      <c r="H1435" s="65" t="inlineStr">
        <is>
          <t>XPERT COMPO, THR 18''</t>
        </is>
      </c>
      <c r="I1435" s="65" t="inlineStr">
        <is>
          <t>TF614-24AB06261</t>
        </is>
      </c>
      <c r="J1435" s="65" t="inlineStr">
        <is>
          <t>N/D</t>
        </is>
      </c>
      <c r="K1435" s="65" t="inlineStr">
        <is>
          <t>N/D</t>
        </is>
      </c>
      <c r="L1435" s="127" t="inlineStr">
        <is>
          <t>BROWNING INTERNATIONAL SA</t>
        </is>
      </c>
      <c r="M1435" s="5" t="n">
        <v>257.4</v>
      </c>
      <c r="N1435" s="5" t="n"/>
      <c r="O1435" s="5">
        <f>+M1435+N1435</f>
        <v/>
      </c>
      <c r="P1435" s="4" t="n">
        <v>45826</v>
      </c>
      <c r="Q1435" s="87" t="n">
        <v>45800</v>
      </c>
      <c r="R1435" s="5" t="n"/>
      <c r="S1435" s="2" t="n"/>
      <c r="T1435" s="3" t="n"/>
      <c r="U1435" s="87" t="n"/>
      <c r="V1435" s="3" t="n"/>
      <c r="W1435" s="108" t="n"/>
      <c r="X1435" s="4" t="n"/>
    </row>
    <row r="1436" ht="24" customHeight="1">
      <c r="A1436" s="2">
        <f>+D1436-S1436</f>
        <v/>
      </c>
      <c r="B1436" s="80" t="n">
        <v>3080</v>
      </c>
      <c r="C1436" s="66" t="n">
        <v>45832</v>
      </c>
      <c r="D1436" s="2" t="n">
        <v>1</v>
      </c>
      <c r="E1436" s="3" t="inlineStr">
        <is>
          <t>CARABINA</t>
        </is>
      </c>
      <c r="F1436" s="3" t="inlineStr">
        <is>
          <t>22 LR</t>
        </is>
      </c>
      <c r="G1436" s="3" t="inlineStr">
        <is>
          <t>WINCHESTER</t>
        </is>
      </c>
      <c r="H1436" s="65" t="inlineStr">
        <is>
          <t>XPERT COMPO, THR 18''</t>
        </is>
      </c>
      <c r="I1436" s="65" t="inlineStr">
        <is>
          <t>TF614-24AB06184</t>
        </is>
      </c>
      <c r="J1436" s="65" t="inlineStr">
        <is>
          <t>N/D</t>
        </is>
      </c>
      <c r="K1436" s="65" t="inlineStr">
        <is>
          <t>N/D</t>
        </is>
      </c>
      <c r="L1436" s="127" t="inlineStr">
        <is>
          <t>BROWNING INTERNATIONAL SA</t>
        </is>
      </c>
      <c r="M1436" s="5" t="n">
        <v>257.4</v>
      </c>
      <c r="N1436" s="5" t="n"/>
      <c r="O1436" s="5">
        <f>+M1436+N1436</f>
        <v/>
      </c>
      <c r="P1436" s="4" t="n">
        <v>45826</v>
      </c>
      <c r="Q1436" s="87" t="n">
        <v>45800</v>
      </c>
      <c r="R1436" s="5" t="n"/>
      <c r="S1436" s="2" t="n"/>
      <c r="T1436" s="3" t="n"/>
      <c r="U1436" s="87" t="n"/>
      <c r="V1436" s="3" t="n"/>
      <c r="W1436" s="108" t="n"/>
      <c r="X1436" s="4" t="n"/>
    </row>
    <row r="1437" ht="24" customHeight="1">
      <c r="A1437" s="2">
        <f>+D1437-S1437</f>
        <v/>
      </c>
      <c r="B1437" s="80" t="n">
        <v>3081</v>
      </c>
      <c r="C1437" s="66" t="n">
        <v>45832</v>
      </c>
      <c r="D1437" s="2" t="n">
        <v>1</v>
      </c>
      <c r="E1437" s="3" t="inlineStr">
        <is>
          <t>CARABINA</t>
        </is>
      </c>
      <c r="F1437" s="3" t="inlineStr">
        <is>
          <t>22 LR</t>
        </is>
      </c>
      <c r="G1437" s="3" t="inlineStr">
        <is>
          <t>WINCHESTER</t>
        </is>
      </c>
      <c r="H1437" s="65" t="inlineStr">
        <is>
          <t>XPERT COMPO, THR 18''</t>
        </is>
      </c>
      <c r="I1437" s="65" t="inlineStr">
        <is>
          <t>TF614-24AB06196</t>
        </is>
      </c>
      <c r="J1437" s="65" t="inlineStr">
        <is>
          <t>N/D</t>
        </is>
      </c>
      <c r="K1437" s="65" t="inlineStr">
        <is>
          <t>N/D</t>
        </is>
      </c>
      <c r="L1437" s="127" t="inlineStr">
        <is>
          <t>BROWNING INTERNATIONAL SA</t>
        </is>
      </c>
      <c r="M1437" s="5" t="n">
        <v>257.4</v>
      </c>
      <c r="N1437" s="5" t="n"/>
      <c r="O1437" s="5">
        <f>+M1437+N1437</f>
        <v/>
      </c>
      <c r="P1437" s="4" t="n">
        <v>45826</v>
      </c>
      <c r="Q1437" s="87" t="n">
        <v>45800</v>
      </c>
      <c r="R1437" s="5" t="n"/>
      <c r="S1437" s="2" t="n"/>
      <c r="T1437" s="3" t="n"/>
      <c r="U1437" s="87" t="n"/>
      <c r="V1437" s="3" t="n"/>
      <c r="W1437" s="108" t="n"/>
      <c r="X1437" s="4" t="n"/>
    </row>
    <row r="1438" ht="24" customHeight="1">
      <c r="A1438" s="2">
        <f>+D1438-S1438</f>
        <v/>
      </c>
      <c r="B1438" s="80" t="n">
        <v>3082</v>
      </c>
      <c r="C1438" s="66" t="n">
        <v>45832</v>
      </c>
      <c r="D1438" s="2" t="n">
        <v>1</v>
      </c>
      <c r="E1438" s="3" t="inlineStr">
        <is>
          <t>CARABINA</t>
        </is>
      </c>
      <c r="F1438" s="3" t="inlineStr">
        <is>
          <t>22 LR</t>
        </is>
      </c>
      <c r="G1438" s="3" t="inlineStr">
        <is>
          <t>WINCHESTER</t>
        </is>
      </c>
      <c r="H1438" s="65" t="inlineStr">
        <is>
          <t>XPERT COMPO, THR 18''</t>
        </is>
      </c>
      <c r="I1438" s="65" t="inlineStr">
        <is>
          <t>TF614-24AB06205</t>
        </is>
      </c>
      <c r="J1438" s="65" t="inlineStr">
        <is>
          <t>N/D</t>
        </is>
      </c>
      <c r="K1438" s="65" t="inlineStr">
        <is>
          <t>N/D</t>
        </is>
      </c>
      <c r="L1438" s="127" t="inlineStr">
        <is>
          <t>BROWNING INTERNATIONAL SA</t>
        </is>
      </c>
      <c r="M1438" s="5" t="n">
        <v>257.4</v>
      </c>
      <c r="N1438" s="5" t="n"/>
      <c r="O1438" s="5">
        <f>+M1438+N1438</f>
        <v/>
      </c>
      <c r="P1438" s="4" t="n">
        <v>45826</v>
      </c>
      <c r="Q1438" s="87" t="n">
        <v>45800</v>
      </c>
      <c r="R1438" s="5" t="n"/>
      <c r="S1438" s="2" t="n"/>
      <c r="T1438" s="3" t="n"/>
      <c r="U1438" s="87" t="n"/>
      <c r="V1438" s="3" t="n"/>
      <c r="W1438" s="108" t="n"/>
      <c r="X1438" s="4" t="n"/>
    </row>
    <row r="1439" ht="24" customHeight="1">
      <c r="A1439" s="2">
        <f>+D1439-S1439</f>
        <v/>
      </c>
      <c r="B1439" s="80" t="n">
        <v>3083</v>
      </c>
      <c r="C1439" s="66" t="n">
        <v>45832</v>
      </c>
      <c r="D1439" s="2" t="n">
        <v>1</v>
      </c>
      <c r="E1439" s="3" t="inlineStr">
        <is>
          <t>CARABINA</t>
        </is>
      </c>
      <c r="F1439" s="3" t="inlineStr">
        <is>
          <t>22 LR</t>
        </is>
      </c>
      <c r="G1439" s="3" t="inlineStr">
        <is>
          <t>WINCHESTER</t>
        </is>
      </c>
      <c r="H1439" s="65" t="inlineStr">
        <is>
          <t>XPERT COMPO, THR 18''</t>
        </is>
      </c>
      <c r="I1439" s="65" t="inlineStr">
        <is>
          <t>TF614-24AB06203</t>
        </is>
      </c>
      <c r="J1439" s="65" t="inlineStr">
        <is>
          <t>N/D</t>
        </is>
      </c>
      <c r="K1439" s="65" t="inlineStr">
        <is>
          <t>N/D</t>
        </is>
      </c>
      <c r="L1439" s="127" t="inlineStr">
        <is>
          <t>BROWNING INTERNATIONAL SA</t>
        </is>
      </c>
      <c r="M1439" s="5" t="n">
        <v>257.4</v>
      </c>
      <c r="N1439" s="5" t="n"/>
      <c r="O1439" s="5">
        <f>+M1439+N1439</f>
        <v/>
      </c>
      <c r="P1439" s="4" t="n">
        <v>45826</v>
      </c>
      <c r="Q1439" s="87" t="n">
        <v>45800</v>
      </c>
      <c r="R1439" s="5" t="n"/>
      <c r="S1439" s="2" t="n"/>
      <c r="T1439" s="3" t="n"/>
      <c r="U1439" s="87" t="n"/>
      <c r="V1439" s="3" t="n"/>
      <c r="W1439" s="108" t="n"/>
      <c r="X1439" s="4" t="n"/>
    </row>
    <row r="1440" ht="24" customHeight="1">
      <c r="A1440" s="2">
        <f>+D1440-S1440</f>
        <v/>
      </c>
      <c r="B1440" s="80" t="n">
        <v>3084</v>
      </c>
      <c r="C1440" s="66" t="n">
        <v>45832</v>
      </c>
      <c r="D1440" s="2" t="n">
        <v>1</v>
      </c>
      <c r="E1440" s="3" t="inlineStr">
        <is>
          <t>CARABINA</t>
        </is>
      </c>
      <c r="F1440" s="3" t="inlineStr">
        <is>
          <t>22 LR</t>
        </is>
      </c>
      <c r="G1440" s="3" t="inlineStr">
        <is>
          <t>WINCHESTER</t>
        </is>
      </c>
      <c r="H1440" s="65" t="inlineStr">
        <is>
          <t>XPERT COMPO, THR 18''</t>
        </is>
      </c>
      <c r="I1440" s="65" t="inlineStr">
        <is>
          <t>TF614-24AB06177</t>
        </is>
      </c>
      <c r="J1440" s="65" t="inlineStr">
        <is>
          <t>N/D</t>
        </is>
      </c>
      <c r="K1440" s="65" t="inlineStr">
        <is>
          <t>N/D</t>
        </is>
      </c>
      <c r="L1440" s="127" t="inlineStr">
        <is>
          <t>BROWNING INTERNATIONAL SA</t>
        </is>
      </c>
      <c r="M1440" s="5" t="n">
        <v>257.4</v>
      </c>
      <c r="N1440" s="5" t="n"/>
      <c r="O1440" s="5">
        <f>+M1440+N1440</f>
        <v/>
      </c>
      <c r="P1440" s="4" t="n">
        <v>45826</v>
      </c>
      <c r="Q1440" s="87" t="n">
        <v>45800</v>
      </c>
      <c r="R1440" s="5" t="n"/>
      <c r="S1440" s="2" t="n"/>
      <c r="T1440" s="3" t="n"/>
      <c r="U1440" s="87" t="n"/>
      <c r="V1440" s="3" t="n"/>
      <c r="W1440" s="108" t="n"/>
      <c r="X1440" s="4" t="n"/>
    </row>
    <row r="1441" ht="24" customHeight="1">
      <c r="A1441" s="2">
        <f>+D1441-S1441</f>
        <v/>
      </c>
      <c r="B1441" s="80" t="n">
        <v>3085</v>
      </c>
      <c r="C1441" s="66" t="n">
        <v>45832</v>
      </c>
      <c r="D1441" s="2" t="n">
        <v>1</v>
      </c>
      <c r="E1441" s="3" t="inlineStr">
        <is>
          <t>CARABINA</t>
        </is>
      </c>
      <c r="F1441" s="3" t="inlineStr">
        <is>
          <t>22 LR</t>
        </is>
      </c>
      <c r="G1441" s="3" t="inlineStr">
        <is>
          <t>WINCHESTER</t>
        </is>
      </c>
      <c r="H1441" s="65" t="inlineStr">
        <is>
          <t>XPERT COMPO, THR 18''</t>
        </is>
      </c>
      <c r="I1441" s="65" t="inlineStr">
        <is>
          <t>TF614-24AB06214</t>
        </is>
      </c>
      <c r="J1441" s="65" t="inlineStr">
        <is>
          <t>N/D</t>
        </is>
      </c>
      <c r="K1441" s="65" t="inlineStr">
        <is>
          <t>N/D</t>
        </is>
      </c>
      <c r="L1441" s="127" t="inlineStr">
        <is>
          <t>BROWNING INTERNATIONAL SA</t>
        </is>
      </c>
      <c r="M1441" s="5" t="n">
        <v>257.4</v>
      </c>
      <c r="N1441" s="5" t="n"/>
      <c r="O1441" s="5">
        <f>+M1441+N1441</f>
        <v/>
      </c>
      <c r="P1441" s="4" t="n">
        <v>45826</v>
      </c>
      <c r="Q1441" s="87" t="n">
        <v>45800</v>
      </c>
      <c r="R1441" s="5" t="n"/>
      <c r="S1441" s="2" t="n"/>
      <c r="T1441" s="3" t="n"/>
      <c r="U1441" s="87" t="n"/>
      <c r="V1441" s="3" t="n"/>
      <c r="W1441" s="108" t="n"/>
      <c r="X1441" s="4" t="n"/>
    </row>
    <row r="1442" ht="24" customHeight="1">
      <c r="A1442" s="2">
        <f>+D1442-S1442</f>
        <v/>
      </c>
      <c r="B1442" s="80" t="n">
        <v>3086</v>
      </c>
      <c r="C1442" s="66" t="n">
        <v>45832</v>
      </c>
      <c r="D1442" s="2" t="n">
        <v>1</v>
      </c>
      <c r="E1442" s="3" t="inlineStr">
        <is>
          <t>CARABINA</t>
        </is>
      </c>
      <c r="F1442" s="3" t="inlineStr">
        <is>
          <t>22 LR</t>
        </is>
      </c>
      <c r="G1442" s="3" t="inlineStr">
        <is>
          <t>WINCHESTER</t>
        </is>
      </c>
      <c r="H1442" s="65" t="inlineStr">
        <is>
          <t>XPERT COMPO, THR 18''</t>
        </is>
      </c>
      <c r="I1442" s="65" t="inlineStr">
        <is>
          <t>TF614-24AB06217</t>
        </is>
      </c>
      <c r="J1442" s="65" t="inlineStr">
        <is>
          <t>N/D</t>
        </is>
      </c>
      <c r="K1442" s="65" t="inlineStr">
        <is>
          <t>N/D</t>
        </is>
      </c>
      <c r="L1442" s="127" t="inlineStr">
        <is>
          <t>BROWNING INTERNATIONAL SA</t>
        </is>
      </c>
      <c r="M1442" s="5" t="n">
        <v>257.4</v>
      </c>
      <c r="N1442" s="5" t="n"/>
      <c r="O1442" s="5">
        <f>+M1442+N1442</f>
        <v/>
      </c>
      <c r="P1442" s="4" t="n">
        <v>45826</v>
      </c>
      <c r="Q1442" s="87" t="n">
        <v>45800</v>
      </c>
      <c r="R1442" s="5" t="n"/>
      <c r="S1442" s="2" t="n"/>
      <c r="T1442" s="3" t="n"/>
      <c r="U1442" s="87" t="n"/>
      <c r="V1442" s="3" t="n"/>
      <c r="W1442" s="108" t="n"/>
      <c r="X1442" s="4" t="n"/>
    </row>
    <row r="1443" ht="24" customHeight="1">
      <c r="A1443" s="2">
        <f>+D1443-S1443</f>
        <v/>
      </c>
      <c r="B1443" s="80" t="n">
        <v>3087</v>
      </c>
      <c r="C1443" s="66" t="n">
        <v>45832</v>
      </c>
      <c r="D1443" s="2" t="n">
        <v>1</v>
      </c>
      <c r="E1443" s="3" t="inlineStr">
        <is>
          <t>CARABINA</t>
        </is>
      </c>
      <c r="F1443" s="3" t="inlineStr">
        <is>
          <t>22 LR</t>
        </is>
      </c>
      <c r="G1443" s="3" t="inlineStr">
        <is>
          <t>WINCHESTER</t>
        </is>
      </c>
      <c r="H1443" s="65" t="inlineStr">
        <is>
          <t>XPERT COMPO, THR 18''</t>
        </is>
      </c>
      <c r="I1443" s="65" t="inlineStr">
        <is>
          <t>TF614-24AB06197</t>
        </is>
      </c>
      <c r="J1443" s="65" t="inlineStr">
        <is>
          <t>N/D</t>
        </is>
      </c>
      <c r="K1443" s="65" t="inlineStr">
        <is>
          <t>N/D</t>
        </is>
      </c>
      <c r="L1443" s="127" t="inlineStr">
        <is>
          <t>BROWNING INTERNATIONAL SA</t>
        </is>
      </c>
      <c r="M1443" s="5" t="n">
        <v>257.4</v>
      </c>
      <c r="N1443" s="5" t="n"/>
      <c r="O1443" s="5">
        <f>+M1443+N1443</f>
        <v/>
      </c>
      <c r="P1443" s="4" t="n">
        <v>45826</v>
      </c>
      <c r="Q1443" s="87" t="n">
        <v>45800</v>
      </c>
      <c r="R1443" s="5" t="n"/>
      <c r="S1443" s="2" t="n"/>
      <c r="T1443" s="3" t="n"/>
      <c r="U1443" s="87" t="n"/>
      <c r="V1443" s="3" t="n"/>
      <c r="W1443" s="108" t="n"/>
      <c r="X1443" s="4" t="n"/>
    </row>
    <row r="1444" ht="24" customHeight="1">
      <c r="A1444" s="2">
        <f>+D1444-S1444</f>
        <v/>
      </c>
      <c r="B1444" s="80" t="n">
        <v>3088</v>
      </c>
      <c r="C1444" s="66" t="n">
        <v>45832</v>
      </c>
      <c r="D1444" s="2" t="n">
        <v>1</v>
      </c>
      <c r="E1444" s="3" t="inlineStr">
        <is>
          <t>CARABINA</t>
        </is>
      </c>
      <c r="F1444" s="3" t="inlineStr">
        <is>
          <t>22 LR</t>
        </is>
      </c>
      <c r="G1444" s="3" t="inlineStr">
        <is>
          <t>WINCHESTER</t>
        </is>
      </c>
      <c r="H1444" s="65" t="inlineStr">
        <is>
          <t>XPERT COMPO, THR 18''</t>
        </is>
      </c>
      <c r="I1444" s="65" t="inlineStr">
        <is>
          <t>TF614-24AB06251</t>
        </is>
      </c>
      <c r="J1444" s="65" t="inlineStr">
        <is>
          <t>N/D</t>
        </is>
      </c>
      <c r="K1444" s="65" t="inlineStr">
        <is>
          <t>N/D</t>
        </is>
      </c>
      <c r="L1444" s="127" t="inlineStr">
        <is>
          <t>BROWNING INTERNATIONAL SA</t>
        </is>
      </c>
      <c r="M1444" s="5" t="n">
        <v>257.4</v>
      </c>
      <c r="N1444" s="5" t="n"/>
      <c r="O1444" s="5">
        <f>+M1444+N1444</f>
        <v/>
      </c>
      <c r="P1444" s="4" t="n">
        <v>45826</v>
      </c>
      <c r="Q1444" s="87" t="n">
        <v>45800</v>
      </c>
      <c r="R1444" s="5" t="n"/>
      <c r="S1444" s="2" t="n"/>
      <c r="T1444" s="3" t="n"/>
      <c r="U1444" s="87" t="n"/>
      <c r="V1444" s="3" t="n"/>
      <c r="W1444" s="108" t="n"/>
      <c r="X1444" s="4" t="n"/>
    </row>
    <row r="1445" ht="24" customHeight="1">
      <c r="A1445" s="2">
        <f>+D1445-S1445</f>
        <v/>
      </c>
      <c r="B1445" s="80" t="n">
        <v>3089</v>
      </c>
      <c r="C1445" s="66" t="n">
        <v>45832</v>
      </c>
      <c r="D1445" s="2" t="n">
        <v>1</v>
      </c>
      <c r="E1445" s="3" t="inlineStr">
        <is>
          <t>CARABINA</t>
        </is>
      </c>
      <c r="F1445" s="3" t="inlineStr">
        <is>
          <t>22 LR</t>
        </is>
      </c>
      <c r="G1445" s="3" t="inlineStr">
        <is>
          <t>WINCHESTER</t>
        </is>
      </c>
      <c r="H1445" s="65" t="inlineStr">
        <is>
          <t>XPERT COMPO, THR 18''</t>
        </is>
      </c>
      <c r="I1445" s="65" t="inlineStr">
        <is>
          <t>TF614-24AB06164</t>
        </is>
      </c>
      <c r="J1445" s="65" t="inlineStr">
        <is>
          <t>N/D</t>
        </is>
      </c>
      <c r="K1445" s="65" t="inlineStr">
        <is>
          <t>N/D</t>
        </is>
      </c>
      <c r="L1445" s="127" t="inlineStr">
        <is>
          <t>BROWNING INTERNATIONAL SA</t>
        </is>
      </c>
      <c r="M1445" s="5" t="n">
        <v>257.4</v>
      </c>
      <c r="N1445" s="5" t="n"/>
      <c r="O1445" s="5">
        <f>+M1445+N1445</f>
        <v/>
      </c>
      <c r="P1445" s="4" t="n">
        <v>45826</v>
      </c>
      <c r="Q1445" s="87" t="n">
        <v>45800</v>
      </c>
      <c r="R1445" s="5" t="n"/>
      <c r="S1445" s="2" t="n"/>
      <c r="T1445" s="3" t="n"/>
      <c r="U1445" s="87" t="n"/>
      <c r="V1445" s="3" t="n"/>
      <c r="W1445" s="108" t="n"/>
      <c r="X1445" s="4" t="n"/>
    </row>
    <row r="1446" ht="24" customHeight="1">
      <c r="A1446" s="2">
        <f>+D1446-S1446</f>
        <v/>
      </c>
      <c r="B1446" s="80" t="n">
        <v>3090</v>
      </c>
      <c r="C1446" s="66" t="n">
        <v>45832</v>
      </c>
      <c r="D1446" s="2" t="n">
        <v>1</v>
      </c>
      <c r="E1446" s="3" t="inlineStr">
        <is>
          <t>CARABINA</t>
        </is>
      </c>
      <c r="F1446" s="3" t="inlineStr">
        <is>
          <t>22 LR</t>
        </is>
      </c>
      <c r="G1446" s="3" t="inlineStr">
        <is>
          <t>WINCHESTER</t>
        </is>
      </c>
      <c r="H1446" s="65" t="inlineStr">
        <is>
          <t>XPERT COMPO, THR 18''</t>
        </is>
      </c>
      <c r="I1446" s="65" t="inlineStr">
        <is>
          <t>TF614-24AB06165</t>
        </is>
      </c>
      <c r="J1446" s="65" t="inlineStr">
        <is>
          <t>N/D</t>
        </is>
      </c>
      <c r="K1446" s="65" t="inlineStr">
        <is>
          <t>N/D</t>
        </is>
      </c>
      <c r="L1446" s="127" t="inlineStr">
        <is>
          <t>BROWNING INTERNATIONAL SA</t>
        </is>
      </c>
      <c r="M1446" s="5" t="n">
        <v>257.4</v>
      </c>
      <c r="N1446" s="5" t="n"/>
      <c r="O1446" s="5">
        <f>+M1446+N1446</f>
        <v/>
      </c>
      <c r="P1446" s="4" t="n">
        <v>45826</v>
      </c>
      <c r="Q1446" s="87" t="n">
        <v>45800</v>
      </c>
      <c r="R1446" s="5" t="n"/>
      <c r="S1446" s="2" t="n"/>
      <c r="T1446" s="3" t="n"/>
      <c r="U1446" s="87" t="n"/>
      <c r="V1446" s="3" t="n"/>
      <c r="W1446" s="108" t="n"/>
      <c r="X1446" s="4" t="n"/>
    </row>
    <row r="1447" ht="24" customHeight="1">
      <c r="A1447" s="2">
        <f>+D1447-S1447</f>
        <v/>
      </c>
      <c r="B1447" s="80" t="n">
        <v>3091</v>
      </c>
      <c r="C1447" s="66" t="n">
        <v>45832</v>
      </c>
      <c r="D1447" s="2" t="n">
        <v>1</v>
      </c>
      <c r="E1447" s="3" t="inlineStr">
        <is>
          <t>CARABINA</t>
        </is>
      </c>
      <c r="F1447" s="3" t="inlineStr">
        <is>
          <t>22 LR</t>
        </is>
      </c>
      <c r="G1447" s="3" t="inlineStr">
        <is>
          <t>WINCHESTER</t>
        </is>
      </c>
      <c r="H1447" s="65" t="inlineStr">
        <is>
          <t>XPERT COMPO, THR 18''</t>
        </is>
      </c>
      <c r="I1447" s="65" t="inlineStr">
        <is>
          <t>TF614-24AB06167</t>
        </is>
      </c>
      <c r="J1447" s="65" t="inlineStr">
        <is>
          <t>N/D</t>
        </is>
      </c>
      <c r="K1447" s="65" t="inlineStr">
        <is>
          <t>N/D</t>
        </is>
      </c>
      <c r="L1447" s="127" t="inlineStr">
        <is>
          <t>BROWNING INTERNATIONAL SA</t>
        </is>
      </c>
      <c r="M1447" s="5" t="n">
        <v>257.4</v>
      </c>
      <c r="N1447" s="5" t="n"/>
      <c r="O1447" s="5">
        <f>+M1447+N1447</f>
        <v/>
      </c>
      <c r="P1447" s="4" t="n">
        <v>45826</v>
      </c>
      <c r="Q1447" s="87" t="n">
        <v>45800</v>
      </c>
      <c r="R1447" s="5" t="n"/>
      <c r="S1447" s="2" t="n"/>
      <c r="T1447" s="3" t="n"/>
      <c r="U1447" s="87" t="n"/>
      <c r="V1447" s="3" t="n"/>
      <c r="W1447" s="108" t="n"/>
      <c r="X1447" s="4" t="n"/>
    </row>
    <row r="1448" ht="24" customHeight="1">
      <c r="A1448" s="2">
        <f>+D1448-S1448</f>
        <v/>
      </c>
      <c r="B1448" s="80" t="n">
        <v>3092</v>
      </c>
      <c r="C1448" s="66" t="n">
        <v>45832</v>
      </c>
      <c r="D1448" s="2" t="n">
        <v>1</v>
      </c>
      <c r="E1448" s="3" t="inlineStr">
        <is>
          <t>CARABINA</t>
        </is>
      </c>
      <c r="F1448" s="3" t="inlineStr">
        <is>
          <t>22 LR</t>
        </is>
      </c>
      <c r="G1448" s="3" t="inlineStr">
        <is>
          <t>WINCHESTER</t>
        </is>
      </c>
      <c r="H1448" s="65" t="inlineStr">
        <is>
          <t>XPERT COMPO, THR 18''</t>
        </is>
      </c>
      <c r="I1448" s="65" t="inlineStr">
        <is>
          <t>TF614-24AB06174</t>
        </is>
      </c>
      <c r="J1448" s="65" t="inlineStr">
        <is>
          <t>N/D</t>
        </is>
      </c>
      <c r="K1448" s="65" t="inlineStr">
        <is>
          <t>N/D</t>
        </is>
      </c>
      <c r="L1448" s="127" t="inlineStr">
        <is>
          <t>BROWNING INTERNATIONAL SA</t>
        </is>
      </c>
      <c r="M1448" s="5" t="n">
        <v>257.4</v>
      </c>
      <c r="N1448" s="5" t="n"/>
      <c r="O1448" s="5">
        <f>+M1448+N1448</f>
        <v/>
      </c>
      <c r="P1448" s="4" t="n">
        <v>45826</v>
      </c>
      <c r="Q1448" s="87" t="n">
        <v>45800</v>
      </c>
      <c r="R1448" s="5" t="n"/>
      <c r="S1448" s="2" t="n"/>
      <c r="T1448" s="3" t="n"/>
      <c r="U1448" s="87" t="n"/>
      <c r="V1448" s="3" t="n"/>
      <c r="W1448" s="108" t="n"/>
      <c r="X1448" s="4" t="n"/>
    </row>
    <row r="1449" ht="24" customHeight="1">
      <c r="A1449" s="2">
        <f>+D1449-S1449</f>
        <v/>
      </c>
      <c r="B1449" s="80" t="n">
        <v>3093</v>
      </c>
      <c r="C1449" s="66" t="n">
        <v>45832</v>
      </c>
      <c r="D1449" s="2" t="n">
        <v>1</v>
      </c>
      <c r="E1449" s="3" t="inlineStr">
        <is>
          <t>CARABINA</t>
        </is>
      </c>
      <c r="F1449" s="3" t="inlineStr">
        <is>
          <t>22 LR</t>
        </is>
      </c>
      <c r="G1449" s="3" t="inlineStr">
        <is>
          <t>WINCHESTER</t>
        </is>
      </c>
      <c r="H1449" s="65" t="inlineStr">
        <is>
          <t>XPERT COMPO, THR 18''</t>
        </is>
      </c>
      <c r="I1449" s="65" t="inlineStr">
        <is>
          <t>TF614-24AB06198</t>
        </is>
      </c>
      <c r="J1449" s="65" t="inlineStr">
        <is>
          <t>N/D</t>
        </is>
      </c>
      <c r="K1449" s="65" t="inlineStr">
        <is>
          <t>N/D</t>
        </is>
      </c>
      <c r="L1449" s="127" t="inlineStr">
        <is>
          <t>BROWNING INTERNATIONAL SA</t>
        </is>
      </c>
      <c r="M1449" s="5" t="n">
        <v>257.4</v>
      </c>
      <c r="N1449" s="5" t="n"/>
      <c r="O1449" s="5">
        <f>+M1449+N1449</f>
        <v/>
      </c>
      <c r="P1449" s="4" t="n">
        <v>45826</v>
      </c>
      <c r="Q1449" s="87" t="n">
        <v>45800</v>
      </c>
      <c r="R1449" s="5" t="n"/>
      <c r="S1449" s="2" t="n"/>
      <c r="T1449" s="3" t="n"/>
      <c r="U1449" s="87" t="n"/>
      <c r="V1449" s="3" t="n"/>
      <c r="W1449" s="108" t="n"/>
      <c r="X1449" s="4" t="n"/>
    </row>
    <row r="1450" ht="24" customHeight="1">
      <c r="A1450" s="2">
        <f>+D1450-S1450</f>
        <v/>
      </c>
      <c r="B1450" s="80" t="n">
        <v>3094</v>
      </c>
      <c r="C1450" s="66" t="n">
        <v>45832</v>
      </c>
      <c r="D1450" s="2" t="n">
        <v>1</v>
      </c>
      <c r="E1450" s="3" t="inlineStr">
        <is>
          <t>CARABINA</t>
        </is>
      </c>
      <c r="F1450" s="3" t="inlineStr">
        <is>
          <t>22 LR</t>
        </is>
      </c>
      <c r="G1450" s="3" t="inlineStr">
        <is>
          <t>WINCHESTER</t>
        </is>
      </c>
      <c r="H1450" s="65" t="inlineStr">
        <is>
          <t>XPERT COMPO, THR 18''</t>
        </is>
      </c>
      <c r="I1450" s="65" t="inlineStr">
        <is>
          <t>TF614-24AB06204</t>
        </is>
      </c>
      <c r="J1450" s="65" t="inlineStr">
        <is>
          <t>N/D</t>
        </is>
      </c>
      <c r="K1450" s="65" t="inlineStr">
        <is>
          <t>N/D</t>
        </is>
      </c>
      <c r="L1450" s="127" t="inlineStr">
        <is>
          <t>BROWNING INTERNATIONAL SA</t>
        </is>
      </c>
      <c r="M1450" s="5" t="n">
        <v>257.4</v>
      </c>
      <c r="N1450" s="5" t="n"/>
      <c r="O1450" s="5">
        <f>+M1450+N1450</f>
        <v/>
      </c>
      <c r="P1450" s="4" t="n">
        <v>45826</v>
      </c>
      <c r="Q1450" s="87" t="n">
        <v>45800</v>
      </c>
      <c r="R1450" s="5" t="n"/>
      <c r="S1450" s="2" t="n"/>
      <c r="T1450" s="3" t="n"/>
      <c r="U1450" s="87" t="n"/>
      <c r="V1450" s="3" t="n"/>
      <c r="W1450" s="108" t="n"/>
      <c r="X1450" s="4" t="n"/>
    </row>
    <row r="1451" ht="24" customHeight="1">
      <c r="A1451" s="2">
        <f>+D1451-S1451</f>
        <v/>
      </c>
      <c r="B1451" s="80" t="n">
        <v>3095</v>
      </c>
      <c r="C1451" s="66" t="n">
        <v>45832</v>
      </c>
      <c r="D1451" s="2" t="n">
        <v>1</v>
      </c>
      <c r="E1451" s="3" t="inlineStr">
        <is>
          <t>CARABINA</t>
        </is>
      </c>
      <c r="F1451" s="3" t="inlineStr">
        <is>
          <t>22 LR</t>
        </is>
      </c>
      <c r="G1451" s="3" t="inlineStr">
        <is>
          <t>WINCHESTER</t>
        </is>
      </c>
      <c r="H1451" s="65" t="inlineStr">
        <is>
          <t>XPERT COMPO, THR 18''</t>
        </is>
      </c>
      <c r="I1451" s="65" t="inlineStr">
        <is>
          <t>TF614-24AB06207</t>
        </is>
      </c>
      <c r="J1451" s="65" t="inlineStr">
        <is>
          <t>N/D</t>
        </is>
      </c>
      <c r="K1451" s="65" t="inlineStr">
        <is>
          <t>N/D</t>
        </is>
      </c>
      <c r="L1451" s="127" t="inlineStr">
        <is>
          <t>BROWNING INTERNATIONAL SA</t>
        </is>
      </c>
      <c r="M1451" s="5" t="n">
        <v>257.4</v>
      </c>
      <c r="N1451" s="5" t="n"/>
      <c r="O1451" s="5">
        <f>+M1451+N1451</f>
        <v/>
      </c>
      <c r="P1451" s="4" t="n">
        <v>45826</v>
      </c>
      <c r="Q1451" s="87" t="n">
        <v>45800</v>
      </c>
      <c r="R1451" s="5" t="n"/>
      <c r="S1451" s="2" t="n"/>
      <c r="T1451" s="3" t="n"/>
      <c r="U1451" s="87" t="n"/>
      <c r="V1451" s="3" t="n"/>
      <c r="W1451" s="108" t="n"/>
      <c r="X1451" s="4" t="n"/>
    </row>
    <row r="1452" ht="24" customHeight="1">
      <c r="A1452" s="2">
        <f>+D1452-S1452</f>
        <v/>
      </c>
      <c r="B1452" s="80" t="n">
        <v>3096</v>
      </c>
      <c r="C1452" s="66" t="n">
        <v>45832</v>
      </c>
      <c r="D1452" s="2" t="n">
        <v>1</v>
      </c>
      <c r="E1452" s="3" t="inlineStr">
        <is>
          <t>CARABINA</t>
        </is>
      </c>
      <c r="F1452" s="3" t="inlineStr">
        <is>
          <t>22 LR</t>
        </is>
      </c>
      <c r="G1452" s="3" t="inlineStr">
        <is>
          <t>WINCHESTER</t>
        </is>
      </c>
      <c r="H1452" s="65" t="inlineStr">
        <is>
          <t>XPERT COMPO, THR 18''</t>
        </is>
      </c>
      <c r="I1452" s="65" t="inlineStr">
        <is>
          <t>TF614-24AB06208</t>
        </is>
      </c>
      <c r="J1452" s="65" t="inlineStr">
        <is>
          <t>N/D</t>
        </is>
      </c>
      <c r="K1452" s="65" t="inlineStr">
        <is>
          <t>N/D</t>
        </is>
      </c>
      <c r="L1452" s="127" t="inlineStr">
        <is>
          <t>BROWNING INTERNATIONAL SA</t>
        </is>
      </c>
      <c r="M1452" s="5" t="n">
        <v>257.4</v>
      </c>
      <c r="N1452" s="5" t="n"/>
      <c r="O1452" s="5">
        <f>+M1452+N1452</f>
        <v/>
      </c>
      <c r="P1452" s="4" t="n">
        <v>45826</v>
      </c>
      <c r="Q1452" s="87" t="n">
        <v>45800</v>
      </c>
      <c r="R1452" s="5" t="n"/>
      <c r="S1452" s="2" t="n"/>
      <c r="T1452" s="3" t="n"/>
      <c r="U1452" s="87" t="n"/>
      <c r="V1452" s="3" t="n"/>
      <c r="W1452" s="108" t="n"/>
      <c r="X1452" s="4" t="n"/>
    </row>
    <row r="1453" ht="24" customHeight="1">
      <c r="A1453" s="2">
        <f>+D1453-S1453</f>
        <v/>
      </c>
      <c r="B1453" s="80" t="n">
        <v>3097</v>
      </c>
      <c r="C1453" s="66" t="n">
        <v>45832</v>
      </c>
      <c r="D1453" s="2" t="n">
        <v>1</v>
      </c>
      <c r="E1453" s="3" t="inlineStr">
        <is>
          <t>CARABINA</t>
        </is>
      </c>
      <c r="F1453" s="3" t="inlineStr">
        <is>
          <t>22 LR</t>
        </is>
      </c>
      <c r="G1453" s="3" t="inlineStr">
        <is>
          <t>WINCHESTER</t>
        </is>
      </c>
      <c r="H1453" s="65" t="inlineStr">
        <is>
          <t>XPERT COMPO, THR 18''</t>
        </is>
      </c>
      <c r="I1453" s="65" t="inlineStr">
        <is>
          <t>TF614-24AB06549</t>
        </is>
      </c>
      <c r="J1453" s="65" t="inlineStr">
        <is>
          <t>N/D</t>
        </is>
      </c>
      <c r="K1453" s="65" t="inlineStr">
        <is>
          <t>N/D</t>
        </is>
      </c>
      <c r="L1453" s="127" t="inlineStr">
        <is>
          <t>BROWNING INTERNATIONAL SA</t>
        </is>
      </c>
      <c r="M1453" s="5" t="n">
        <v>257.4</v>
      </c>
      <c r="N1453" s="5" t="n"/>
      <c r="O1453" s="5">
        <f>+M1453+N1453</f>
        <v/>
      </c>
      <c r="P1453" s="4" t="n">
        <v>45826</v>
      </c>
      <c r="Q1453" s="87" t="n">
        <v>45800</v>
      </c>
      <c r="R1453" s="5" t="n"/>
      <c r="S1453" s="2" t="n"/>
      <c r="T1453" s="3" t="n"/>
      <c r="U1453" s="87" t="n"/>
      <c r="V1453" s="3" t="n"/>
      <c r="W1453" s="108" t="n"/>
      <c r="X1453" s="4" t="n"/>
    </row>
    <row r="1454" ht="24" customHeight="1">
      <c r="A1454" s="2">
        <f>+D1454-S1454</f>
        <v/>
      </c>
      <c r="B1454" s="80" t="n">
        <v>3098</v>
      </c>
      <c r="C1454" s="66" t="n">
        <v>45832</v>
      </c>
      <c r="D1454" s="2" t="n">
        <v>1</v>
      </c>
      <c r="E1454" s="3" t="inlineStr">
        <is>
          <t>CARABINA</t>
        </is>
      </c>
      <c r="F1454" s="3" t="inlineStr">
        <is>
          <t>22 LR</t>
        </is>
      </c>
      <c r="G1454" s="3" t="inlineStr">
        <is>
          <t>WINCHESTER</t>
        </is>
      </c>
      <c r="H1454" s="65" t="inlineStr">
        <is>
          <t>XPERT COMPO, THR 18''</t>
        </is>
      </c>
      <c r="I1454" s="65" t="inlineStr">
        <is>
          <t>TF614-24AB06946</t>
        </is>
      </c>
      <c r="J1454" s="65" t="inlineStr">
        <is>
          <t>N/D</t>
        </is>
      </c>
      <c r="K1454" s="65" t="inlineStr">
        <is>
          <t>N/D</t>
        </is>
      </c>
      <c r="L1454" s="127" t="inlineStr">
        <is>
          <t>BROWNING INTERNATIONAL SA</t>
        </is>
      </c>
      <c r="M1454" s="5" t="n">
        <v>257.4</v>
      </c>
      <c r="N1454" s="5" t="n"/>
      <c r="O1454" s="5">
        <f>+M1454+N1454</f>
        <v/>
      </c>
      <c r="P1454" s="4" t="n">
        <v>45826</v>
      </c>
      <c r="Q1454" s="87" t="n">
        <v>45800</v>
      </c>
      <c r="R1454" s="5" t="n"/>
      <c r="S1454" s="2" t="n"/>
      <c r="T1454" s="3" t="n"/>
      <c r="U1454" s="87" t="n"/>
      <c r="V1454" s="3" t="n"/>
      <c r="W1454" s="108" t="n"/>
      <c r="X1454" s="4" t="n"/>
    </row>
    <row r="1455" ht="24" customHeight="1">
      <c r="A1455" s="2">
        <f>+D1455-S1455</f>
        <v/>
      </c>
      <c r="B1455" s="80" t="n">
        <v>3099</v>
      </c>
      <c r="C1455" s="66" t="n">
        <v>45832</v>
      </c>
      <c r="D1455" s="2" t="n">
        <v>1</v>
      </c>
      <c r="E1455" s="3" t="inlineStr">
        <is>
          <t>CARABINA</t>
        </is>
      </c>
      <c r="F1455" s="3" t="inlineStr">
        <is>
          <t>22 LR</t>
        </is>
      </c>
      <c r="G1455" s="3" t="inlineStr">
        <is>
          <t>WINCHESTER</t>
        </is>
      </c>
      <c r="H1455" s="65" t="inlineStr">
        <is>
          <t>XPERT COMPO, THR 18''</t>
        </is>
      </c>
      <c r="I1455" s="65" t="inlineStr">
        <is>
          <t>TF614-24AB06666</t>
        </is>
      </c>
      <c r="J1455" s="65" t="inlineStr">
        <is>
          <t>N/D</t>
        </is>
      </c>
      <c r="K1455" s="65" t="inlineStr">
        <is>
          <t>N/D</t>
        </is>
      </c>
      <c r="L1455" s="127" t="inlineStr">
        <is>
          <t>BROWNING INTERNATIONAL SA</t>
        </is>
      </c>
      <c r="M1455" s="5" t="n">
        <v>257.4</v>
      </c>
      <c r="N1455" s="5" t="n"/>
      <c r="O1455" s="5">
        <f>+M1455+N1455</f>
        <v/>
      </c>
      <c r="P1455" s="4" t="n">
        <v>45826</v>
      </c>
      <c r="Q1455" s="87" t="n">
        <v>45800</v>
      </c>
      <c r="R1455" s="5" t="n"/>
      <c r="S1455" s="2" t="n"/>
      <c r="T1455" s="3" t="n"/>
      <c r="U1455" s="87" t="n"/>
      <c r="V1455" s="3" t="n"/>
      <c r="W1455" s="108" t="n"/>
      <c r="X1455" s="4" t="n"/>
    </row>
    <row r="1456" ht="24" customHeight="1">
      <c r="A1456" s="2">
        <f>+D1456-S1456</f>
        <v/>
      </c>
      <c r="B1456" s="80" t="n">
        <v>3100</v>
      </c>
      <c r="C1456" s="66" t="n">
        <v>45832</v>
      </c>
      <c r="D1456" s="2" t="n">
        <v>1</v>
      </c>
      <c r="E1456" s="3" t="inlineStr">
        <is>
          <t>CARABINA</t>
        </is>
      </c>
      <c r="F1456" s="3" t="inlineStr">
        <is>
          <t>22 LR</t>
        </is>
      </c>
      <c r="G1456" s="3" t="inlineStr">
        <is>
          <t>WINCHESTER</t>
        </is>
      </c>
      <c r="H1456" s="65" t="inlineStr">
        <is>
          <t>XPERT COMPO, THR 18''</t>
        </is>
      </c>
      <c r="I1456" s="65" t="inlineStr">
        <is>
          <t>TF614-24AB06669</t>
        </is>
      </c>
      <c r="J1456" s="65" t="inlineStr">
        <is>
          <t>N/D</t>
        </is>
      </c>
      <c r="K1456" s="65" t="inlineStr">
        <is>
          <t>N/D</t>
        </is>
      </c>
      <c r="L1456" s="127" t="inlineStr">
        <is>
          <t>BROWNING INTERNATIONAL SA</t>
        </is>
      </c>
      <c r="M1456" s="5" t="n">
        <v>257.4</v>
      </c>
      <c r="N1456" s="5" t="n"/>
      <c r="O1456" s="5">
        <f>+M1456+N1456</f>
        <v/>
      </c>
      <c r="P1456" s="4" t="n">
        <v>45826</v>
      </c>
      <c r="Q1456" s="87" t="n">
        <v>45800</v>
      </c>
      <c r="R1456" s="5" t="n"/>
      <c r="S1456" s="2" t="n"/>
      <c r="T1456" s="3" t="n"/>
      <c r="U1456" s="87" t="n"/>
      <c r="V1456" s="3" t="n"/>
      <c r="W1456" s="108" t="n"/>
      <c r="X1456" s="4" t="n"/>
    </row>
    <row r="1457" ht="24" customHeight="1">
      <c r="A1457" s="2">
        <f>+D1457-S1457</f>
        <v/>
      </c>
      <c r="B1457" s="80" t="n">
        <v>3101</v>
      </c>
      <c r="C1457" s="66" t="n">
        <v>45832</v>
      </c>
      <c r="D1457" s="2" t="n">
        <v>1</v>
      </c>
      <c r="E1457" s="3" t="inlineStr">
        <is>
          <t>CARABINA</t>
        </is>
      </c>
      <c r="F1457" s="3" t="inlineStr">
        <is>
          <t>22 LR</t>
        </is>
      </c>
      <c r="G1457" s="3" t="inlineStr">
        <is>
          <t>WINCHESTER</t>
        </is>
      </c>
      <c r="H1457" s="65" t="inlineStr">
        <is>
          <t>XPERT COMPO, THR 18''</t>
        </is>
      </c>
      <c r="I1457" s="65" t="inlineStr">
        <is>
          <t>TF614-24AB06665</t>
        </is>
      </c>
      <c r="J1457" s="65" t="inlineStr">
        <is>
          <t>N/D</t>
        </is>
      </c>
      <c r="K1457" s="65" t="inlineStr">
        <is>
          <t>N/D</t>
        </is>
      </c>
      <c r="L1457" s="127" t="inlineStr">
        <is>
          <t>BROWNING INTERNATIONAL SA</t>
        </is>
      </c>
      <c r="M1457" s="5" t="n">
        <v>257.4</v>
      </c>
      <c r="N1457" s="5" t="n"/>
      <c r="O1457" s="5">
        <f>+M1457+N1457</f>
        <v/>
      </c>
      <c r="P1457" s="4" t="n">
        <v>45826</v>
      </c>
      <c r="Q1457" s="87" t="n">
        <v>45800</v>
      </c>
      <c r="R1457" s="5" t="n"/>
      <c r="S1457" s="2" t="n"/>
      <c r="T1457" s="3" t="n"/>
      <c r="U1457" s="87" t="n"/>
      <c r="V1457" s="3" t="n"/>
      <c r="W1457" s="108" t="n"/>
      <c r="X1457" s="4" t="n"/>
    </row>
    <row r="1458" ht="24" customHeight="1">
      <c r="A1458" s="2">
        <f>+D1458-S1458</f>
        <v/>
      </c>
      <c r="B1458" s="80" t="n">
        <v>3102</v>
      </c>
      <c r="C1458" s="66" t="n">
        <v>45832</v>
      </c>
      <c r="D1458" s="2" t="n">
        <v>1</v>
      </c>
      <c r="E1458" s="3" t="inlineStr">
        <is>
          <t>CARABINA</t>
        </is>
      </c>
      <c r="F1458" s="3" t="inlineStr">
        <is>
          <t>22 LR</t>
        </is>
      </c>
      <c r="G1458" s="3" t="inlineStr">
        <is>
          <t>WINCHESTER</t>
        </is>
      </c>
      <c r="H1458" s="65" t="inlineStr">
        <is>
          <t>XPERT COMPO, THR 18''</t>
        </is>
      </c>
      <c r="I1458" s="65" t="inlineStr">
        <is>
          <t>TF614-24AB06548</t>
        </is>
      </c>
      <c r="J1458" s="65" t="inlineStr">
        <is>
          <t>N/D</t>
        </is>
      </c>
      <c r="K1458" s="65" t="inlineStr">
        <is>
          <t>N/D</t>
        </is>
      </c>
      <c r="L1458" s="127" t="inlineStr">
        <is>
          <t>BROWNING INTERNATIONAL SA</t>
        </is>
      </c>
      <c r="M1458" s="5" t="n">
        <v>257.4</v>
      </c>
      <c r="N1458" s="5" t="n"/>
      <c r="O1458" s="5">
        <f>+M1458+N1458</f>
        <v/>
      </c>
      <c r="P1458" s="4" t="n">
        <v>45826</v>
      </c>
      <c r="Q1458" s="87" t="n">
        <v>45800</v>
      </c>
      <c r="R1458" s="5" t="n"/>
      <c r="S1458" s="2" t="n"/>
      <c r="T1458" s="3" t="n"/>
      <c r="U1458" s="87" t="n"/>
      <c r="V1458" s="3" t="n"/>
      <c r="W1458" s="108" t="n"/>
      <c r="X1458" s="4" t="n"/>
    </row>
    <row r="1459" ht="24" customHeight="1">
      <c r="A1459" s="2">
        <f>+D1459-S1459</f>
        <v/>
      </c>
      <c r="B1459" s="80" t="n">
        <v>3103</v>
      </c>
      <c r="C1459" s="66" t="n">
        <v>45832</v>
      </c>
      <c r="D1459" s="2" t="n">
        <v>1</v>
      </c>
      <c r="E1459" s="3" t="inlineStr">
        <is>
          <t>CARABINA</t>
        </is>
      </c>
      <c r="F1459" s="3" t="inlineStr">
        <is>
          <t>22 LR</t>
        </is>
      </c>
      <c r="G1459" s="3" t="inlineStr">
        <is>
          <t>WINCHESTER</t>
        </is>
      </c>
      <c r="H1459" s="65" t="inlineStr">
        <is>
          <t>XPERT COMPO, THR 18''</t>
        </is>
      </c>
      <c r="I1459" s="65" t="inlineStr">
        <is>
          <t>TF614-24AB06547</t>
        </is>
      </c>
      <c r="J1459" s="65" t="inlineStr">
        <is>
          <t>N/D</t>
        </is>
      </c>
      <c r="K1459" s="65" t="inlineStr">
        <is>
          <t>N/D</t>
        </is>
      </c>
      <c r="L1459" s="127" t="inlineStr">
        <is>
          <t>BROWNING INTERNATIONAL SA</t>
        </is>
      </c>
      <c r="M1459" s="5" t="n">
        <v>257.4</v>
      </c>
      <c r="N1459" s="5" t="n"/>
      <c r="O1459" s="5">
        <f>+M1459+N1459</f>
        <v/>
      </c>
      <c r="P1459" s="4" t="n">
        <v>45826</v>
      </c>
      <c r="Q1459" s="87" t="n">
        <v>45800</v>
      </c>
      <c r="R1459" s="5" t="n"/>
      <c r="S1459" s="2" t="n"/>
      <c r="T1459" s="3" t="n"/>
      <c r="U1459" s="87" t="n"/>
      <c r="V1459" s="3" t="n"/>
      <c r="W1459" s="108" t="n"/>
      <c r="X1459" s="4" t="n"/>
    </row>
    <row r="1460" ht="24" customHeight="1">
      <c r="A1460" s="2">
        <f>+D1460-S1460</f>
        <v/>
      </c>
      <c r="B1460" s="80" t="n">
        <v>3104</v>
      </c>
      <c r="C1460" s="66" t="n">
        <v>45832</v>
      </c>
      <c r="D1460" s="2" t="n">
        <v>1</v>
      </c>
      <c r="E1460" s="3" t="inlineStr">
        <is>
          <t>CARABINA</t>
        </is>
      </c>
      <c r="F1460" s="3" t="inlineStr">
        <is>
          <t>22 LR</t>
        </is>
      </c>
      <c r="G1460" s="3" t="inlineStr">
        <is>
          <t>WINCHESTER</t>
        </is>
      </c>
      <c r="H1460" s="65" t="inlineStr">
        <is>
          <t>XPERT COMPO, THR 18''</t>
        </is>
      </c>
      <c r="I1460" s="65" t="inlineStr">
        <is>
          <t>TF614-24AB06948</t>
        </is>
      </c>
      <c r="J1460" s="65" t="inlineStr">
        <is>
          <t>N/D</t>
        </is>
      </c>
      <c r="K1460" s="65" t="inlineStr">
        <is>
          <t>N/D</t>
        </is>
      </c>
      <c r="L1460" s="127" t="inlineStr">
        <is>
          <t>BROWNING INTERNATIONAL SA</t>
        </is>
      </c>
      <c r="M1460" s="5" t="n">
        <v>257.4</v>
      </c>
      <c r="N1460" s="5" t="n"/>
      <c r="O1460" s="5">
        <f>+M1460+N1460</f>
        <v/>
      </c>
      <c r="P1460" s="4" t="n">
        <v>45826</v>
      </c>
      <c r="Q1460" s="87" t="n">
        <v>45800</v>
      </c>
      <c r="R1460" s="5" t="n"/>
      <c r="S1460" s="2" t="n"/>
      <c r="T1460" s="3" t="n"/>
      <c r="U1460" s="87" t="n"/>
      <c r="V1460" s="3" t="n"/>
      <c r="W1460" s="108" t="n"/>
      <c r="X1460" s="4" t="n"/>
    </row>
    <row r="1461" ht="24" customHeight="1">
      <c r="A1461" s="2">
        <f>+D1461-S1461</f>
        <v/>
      </c>
      <c r="B1461" s="80" t="n">
        <v>3105</v>
      </c>
      <c r="C1461" s="66" t="n">
        <v>45832</v>
      </c>
      <c r="D1461" s="2" t="n">
        <v>1</v>
      </c>
      <c r="E1461" s="3" t="inlineStr">
        <is>
          <t>CARABINA</t>
        </is>
      </c>
      <c r="F1461" s="3" t="inlineStr">
        <is>
          <t>22 LR</t>
        </is>
      </c>
      <c r="G1461" s="3" t="inlineStr">
        <is>
          <t>WINCHESTER</t>
        </is>
      </c>
      <c r="H1461" s="65" t="inlineStr">
        <is>
          <t>XPERT COMPO, THR 18''</t>
        </is>
      </c>
      <c r="I1461" s="65" t="inlineStr">
        <is>
          <t>TF614-24AB06954</t>
        </is>
      </c>
      <c r="J1461" s="65" t="inlineStr">
        <is>
          <t>N/D</t>
        </is>
      </c>
      <c r="K1461" s="65" t="inlineStr">
        <is>
          <t>N/D</t>
        </is>
      </c>
      <c r="L1461" s="127" t="inlineStr">
        <is>
          <t>BROWNING INTERNATIONAL SA</t>
        </is>
      </c>
      <c r="M1461" s="5" t="n">
        <v>257.4</v>
      </c>
      <c r="N1461" s="5" t="n"/>
      <c r="O1461" s="5">
        <f>+M1461+N1461</f>
        <v/>
      </c>
      <c r="P1461" s="4" t="n">
        <v>45826</v>
      </c>
      <c r="Q1461" s="87" t="n">
        <v>45800</v>
      </c>
      <c r="R1461" s="5" t="n"/>
      <c r="S1461" s="2" t="n"/>
      <c r="T1461" s="3" t="n"/>
      <c r="U1461" s="87" t="n"/>
      <c r="V1461" s="3" t="n"/>
      <c r="W1461" s="108" t="n"/>
      <c r="X1461" s="4" t="n"/>
    </row>
    <row r="1462" ht="24" customHeight="1">
      <c r="A1462" s="2">
        <f>+D1462-S1462</f>
        <v/>
      </c>
      <c r="B1462" s="80" t="n">
        <v>3106</v>
      </c>
      <c r="C1462" s="66" t="n">
        <v>45832</v>
      </c>
      <c r="D1462" s="2" t="n">
        <v>1</v>
      </c>
      <c r="E1462" s="3" t="inlineStr">
        <is>
          <t>CARABINA</t>
        </is>
      </c>
      <c r="F1462" s="3" t="inlineStr">
        <is>
          <t>22 LR</t>
        </is>
      </c>
      <c r="G1462" s="3" t="inlineStr">
        <is>
          <t>WINCHESTER</t>
        </is>
      </c>
      <c r="H1462" s="65" t="inlineStr">
        <is>
          <t>XPERT COMPO, THR 18''</t>
        </is>
      </c>
      <c r="I1462" s="65" t="inlineStr">
        <is>
          <t>TF614-24AB06947</t>
        </is>
      </c>
      <c r="J1462" s="65" t="inlineStr">
        <is>
          <t>N/D</t>
        </is>
      </c>
      <c r="K1462" s="65" t="inlineStr">
        <is>
          <t>N/D</t>
        </is>
      </c>
      <c r="L1462" s="127" t="inlineStr">
        <is>
          <t>BROWNING INTERNATIONAL SA</t>
        </is>
      </c>
      <c r="M1462" s="5" t="n">
        <v>257.4</v>
      </c>
      <c r="N1462" s="5" t="n"/>
      <c r="O1462" s="5">
        <f>+M1462+N1462</f>
        <v/>
      </c>
      <c r="P1462" s="4" t="n">
        <v>45826</v>
      </c>
      <c r="Q1462" s="87" t="n">
        <v>45800</v>
      </c>
      <c r="R1462" s="5" t="n"/>
      <c r="S1462" s="2" t="n"/>
      <c r="T1462" s="3" t="n"/>
      <c r="U1462" s="87" t="n"/>
      <c r="V1462" s="3" t="n"/>
      <c r="W1462" s="108" t="n"/>
      <c r="X1462" s="4" t="n"/>
    </row>
    <row r="1463" ht="24" customHeight="1">
      <c r="A1463" s="2">
        <f>+D1463-S1463</f>
        <v/>
      </c>
      <c r="B1463" s="80" t="n">
        <v>3107</v>
      </c>
      <c r="C1463" s="66" t="n">
        <v>45832</v>
      </c>
      <c r="D1463" s="2" t="n">
        <v>1</v>
      </c>
      <c r="E1463" s="3" t="inlineStr">
        <is>
          <t>CARABINA</t>
        </is>
      </c>
      <c r="F1463" s="3" t="inlineStr">
        <is>
          <t>22 LR</t>
        </is>
      </c>
      <c r="G1463" s="3" t="inlineStr">
        <is>
          <t>WINCHESTER</t>
        </is>
      </c>
      <c r="H1463" s="65" t="inlineStr">
        <is>
          <t>XPERT COMPO, THR 18''</t>
        </is>
      </c>
      <c r="I1463" s="65" t="inlineStr">
        <is>
          <t>TF614-24AB06955</t>
        </is>
      </c>
      <c r="J1463" s="65" t="inlineStr">
        <is>
          <t>N/D</t>
        </is>
      </c>
      <c r="K1463" s="65" t="inlineStr">
        <is>
          <t>N/D</t>
        </is>
      </c>
      <c r="L1463" s="127" t="inlineStr">
        <is>
          <t>BROWNING INTERNATIONAL SA</t>
        </is>
      </c>
      <c r="M1463" s="5" t="n">
        <v>257.4</v>
      </c>
      <c r="N1463" s="5" t="n"/>
      <c r="O1463" s="5">
        <f>+M1463+N1463</f>
        <v/>
      </c>
      <c r="P1463" s="4" t="n">
        <v>45826</v>
      </c>
      <c r="Q1463" s="87" t="n">
        <v>45800</v>
      </c>
      <c r="R1463" s="5" t="n"/>
      <c r="S1463" s="2" t="n"/>
      <c r="T1463" s="3" t="n"/>
      <c r="U1463" s="87" t="n"/>
      <c r="V1463" s="3" t="n"/>
      <c r="W1463" s="108" t="n"/>
      <c r="X1463" s="4" t="n"/>
    </row>
    <row r="1464" ht="24" customHeight="1">
      <c r="A1464" s="2">
        <f>+D1464-S1464</f>
        <v/>
      </c>
      <c r="B1464" s="80" t="n">
        <v>3108</v>
      </c>
      <c r="C1464" s="66" t="n">
        <v>45832</v>
      </c>
      <c r="D1464" s="2" t="n">
        <v>1</v>
      </c>
      <c r="E1464" s="3" t="inlineStr">
        <is>
          <t>CARABINA</t>
        </is>
      </c>
      <c r="F1464" s="3" t="inlineStr">
        <is>
          <t>22 LR</t>
        </is>
      </c>
      <c r="G1464" s="3" t="inlineStr">
        <is>
          <t>WINCHESTER</t>
        </is>
      </c>
      <c r="H1464" s="65" t="inlineStr">
        <is>
          <t>XPERT COMPO, THR 18''</t>
        </is>
      </c>
      <c r="I1464" s="65" t="inlineStr">
        <is>
          <t>TF614-24AB06661</t>
        </is>
      </c>
      <c r="J1464" s="65" t="inlineStr">
        <is>
          <t>N/D</t>
        </is>
      </c>
      <c r="K1464" s="65" t="inlineStr">
        <is>
          <t>N/D</t>
        </is>
      </c>
      <c r="L1464" s="127" t="inlineStr">
        <is>
          <t>BROWNING INTERNATIONAL SA</t>
        </is>
      </c>
      <c r="M1464" s="5" t="n">
        <v>257.4</v>
      </c>
      <c r="N1464" s="5" t="n"/>
      <c r="O1464" s="5">
        <f>+M1464+N1464</f>
        <v/>
      </c>
      <c r="P1464" s="4" t="n">
        <v>45826</v>
      </c>
      <c r="Q1464" s="87" t="n">
        <v>45800</v>
      </c>
      <c r="R1464" s="5" t="n"/>
      <c r="S1464" s="2" t="n"/>
      <c r="T1464" s="3" t="n"/>
      <c r="U1464" s="87" t="n"/>
      <c r="V1464" s="3" t="n"/>
      <c r="W1464" s="108" t="n"/>
      <c r="X1464" s="4" t="n"/>
    </row>
    <row r="1465" ht="24" customHeight="1">
      <c r="A1465" s="2">
        <f>+D1465-S1465</f>
        <v/>
      </c>
      <c r="B1465" s="80" t="n">
        <v>3109</v>
      </c>
      <c r="C1465" s="66" t="n">
        <v>45832</v>
      </c>
      <c r="D1465" s="2" t="n">
        <v>1</v>
      </c>
      <c r="E1465" s="3" t="inlineStr">
        <is>
          <t>CARABINA</t>
        </is>
      </c>
      <c r="F1465" s="3" t="inlineStr">
        <is>
          <t>22 LR</t>
        </is>
      </c>
      <c r="G1465" s="3" t="inlineStr">
        <is>
          <t>WINCHESTER</t>
        </is>
      </c>
      <c r="H1465" s="65" t="inlineStr">
        <is>
          <t>XPERT COMPO, THR 18''</t>
        </is>
      </c>
      <c r="I1465" s="65" t="inlineStr">
        <is>
          <t>TF614-24AB06670</t>
        </is>
      </c>
      <c r="J1465" s="65" t="inlineStr">
        <is>
          <t>N/D</t>
        </is>
      </c>
      <c r="K1465" s="65" t="inlineStr">
        <is>
          <t>N/D</t>
        </is>
      </c>
      <c r="L1465" s="127" t="inlineStr">
        <is>
          <t>BROWNING INTERNATIONAL SA</t>
        </is>
      </c>
      <c r="M1465" s="5" t="n">
        <v>257.4</v>
      </c>
      <c r="N1465" s="5" t="n"/>
      <c r="O1465" s="5">
        <f>+M1465+N1465</f>
        <v/>
      </c>
      <c r="P1465" s="4" t="n">
        <v>45826</v>
      </c>
      <c r="Q1465" s="87" t="n">
        <v>45800</v>
      </c>
      <c r="R1465" s="5" t="n"/>
      <c r="S1465" s="2" t="n"/>
      <c r="T1465" s="3" t="n"/>
      <c r="U1465" s="87" t="n"/>
      <c r="V1465" s="3" t="n"/>
      <c r="W1465" s="108" t="n"/>
      <c r="X1465" s="4" t="n"/>
    </row>
    <row r="1466" ht="24" customHeight="1">
      <c r="A1466" s="2">
        <f>+D1466-S1466</f>
        <v/>
      </c>
      <c r="B1466" s="80" t="n">
        <v>3110</v>
      </c>
      <c r="C1466" s="66" t="n">
        <v>45832</v>
      </c>
      <c r="D1466" s="2" t="n">
        <v>1</v>
      </c>
      <c r="E1466" s="3" t="inlineStr">
        <is>
          <t>CARABINA</t>
        </is>
      </c>
      <c r="F1466" s="3" t="inlineStr">
        <is>
          <t>22 LR</t>
        </is>
      </c>
      <c r="G1466" s="3" t="inlineStr">
        <is>
          <t>WINCHESTER</t>
        </is>
      </c>
      <c r="H1466" s="65" t="inlineStr">
        <is>
          <t>XPERT COMPO, THR 18''</t>
        </is>
      </c>
      <c r="I1466" s="65" t="inlineStr">
        <is>
          <t>TF614-24AB06663</t>
        </is>
      </c>
      <c r="J1466" s="65" t="inlineStr">
        <is>
          <t>N/D</t>
        </is>
      </c>
      <c r="K1466" s="65" t="inlineStr">
        <is>
          <t>N/D</t>
        </is>
      </c>
      <c r="L1466" s="127" t="inlineStr">
        <is>
          <t>BROWNING INTERNATIONAL SA</t>
        </is>
      </c>
      <c r="M1466" s="5" t="n">
        <v>257.4</v>
      </c>
      <c r="N1466" s="5" t="n"/>
      <c r="O1466" s="5">
        <f>+M1466+N1466</f>
        <v/>
      </c>
      <c r="P1466" s="4" t="n">
        <v>45826</v>
      </c>
      <c r="Q1466" s="87" t="n">
        <v>45800</v>
      </c>
      <c r="R1466" s="5" t="n"/>
      <c r="S1466" s="2" t="n"/>
      <c r="T1466" s="3" t="n"/>
      <c r="U1466" s="87" t="n"/>
      <c r="V1466" s="3" t="n"/>
      <c r="W1466" s="108" t="n"/>
      <c r="X1466" s="4" t="n"/>
    </row>
    <row r="1467" ht="24" customHeight="1">
      <c r="A1467" s="2">
        <f>+D1467-S1467</f>
        <v/>
      </c>
      <c r="B1467" s="80" t="n">
        <v>3111</v>
      </c>
      <c r="C1467" s="66" t="n">
        <v>45832</v>
      </c>
      <c r="D1467" s="2" t="n">
        <v>1</v>
      </c>
      <c r="E1467" s="3" t="inlineStr">
        <is>
          <t>CARABINA</t>
        </is>
      </c>
      <c r="F1467" s="3" t="inlineStr">
        <is>
          <t>22 LR</t>
        </is>
      </c>
      <c r="G1467" s="3" t="inlineStr">
        <is>
          <t>WINCHESTER</t>
        </is>
      </c>
      <c r="H1467" s="65" t="inlineStr">
        <is>
          <t>XPERT COMPO, THR 18''</t>
        </is>
      </c>
      <c r="I1467" s="65" t="inlineStr">
        <is>
          <t>TF614-24AB06668</t>
        </is>
      </c>
      <c r="J1467" s="65" t="inlineStr">
        <is>
          <t>N/D</t>
        </is>
      </c>
      <c r="K1467" s="65" t="inlineStr">
        <is>
          <t>N/D</t>
        </is>
      </c>
      <c r="L1467" s="127" t="inlineStr">
        <is>
          <t>BROWNING INTERNATIONAL SA</t>
        </is>
      </c>
      <c r="M1467" s="5" t="n">
        <v>257.4</v>
      </c>
      <c r="N1467" s="5" t="n"/>
      <c r="O1467" s="5">
        <f>+M1467+N1467</f>
        <v/>
      </c>
      <c r="P1467" s="4" t="n">
        <v>45826</v>
      </c>
      <c r="Q1467" s="87" t="n">
        <v>45800</v>
      </c>
      <c r="R1467" s="5" t="n"/>
      <c r="S1467" s="2" t="n"/>
      <c r="T1467" s="3" t="n"/>
      <c r="U1467" s="87" t="n"/>
      <c r="V1467" s="3" t="n"/>
      <c r="W1467" s="108" t="n"/>
      <c r="X1467" s="4" t="n"/>
    </row>
    <row r="1468" ht="24" customHeight="1">
      <c r="A1468" s="2">
        <f>+D1468-S1468</f>
        <v/>
      </c>
      <c r="B1468" s="80" t="n">
        <v>3112</v>
      </c>
      <c r="C1468" s="66" t="n">
        <v>45832</v>
      </c>
      <c r="D1468" s="2" t="n">
        <v>1</v>
      </c>
      <c r="E1468" s="3" t="inlineStr">
        <is>
          <t>CARABINA</t>
        </is>
      </c>
      <c r="F1468" s="3" t="inlineStr">
        <is>
          <t>22 LR</t>
        </is>
      </c>
      <c r="G1468" s="3" t="inlineStr">
        <is>
          <t>WINCHESTER</t>
        </is>
      </c>
      <c r="H1468" s="65" t="inlineStr">
        <is>
          <t>XPERT COMPO, THR 18''</t>
        </is>
      </c>
      <c r="I1468" s="65" t="inlineStr">
        <is>
          <t>TF614-24AB06953</t>
        </is>
      </c>
      <c r="J1468" s="65" t="inlineStr">
        <is>
          <t>N/D</t>
        </is>
      </c>
      <c r="K1468" s="65" t="inlineStr">
        <is>
          <t>N/D</t>
        </is>
      </c>
      <c r="L1468" s="127" t="inlineStr">
        <is>
          <t>BROWNING INTERNATIONAL SA</t>
        </is>
      </c>
      <c r="M1468" s="5" t="n">
        <v>257.4</v>
      </c>
      <c r="N1468" s="5" t="n"/>
      <c r="O1468" s="5">
        <f>+M1468+N1468</f>
        <v/>
      </c>
      <c r="P1468" s="4" t="n">
        <v>45826</v>
      </c>
      <c r="Q1468" s="87" t="n">
        <v>45800</v>
      </c>
      <c r="R1468" s="5" t="n"/>
      <c r="S1468" s="2" t="n"/>
      <c r="T1468" s="3" t="n"/>
      <c r="U1468" s="87" t="n"/>
      <c r="V1468" s="3" t="n"/>
      <c r="W1468" s="108" t="n"/>
      <c r="X1468" s="4" t="n"/>
    </row>
    <row r="1469" ht="24" customHeight="1">
      <c r="A1469" s="2">
        <f>+D1469-S1469</f>
        <v/>
      </c>
      <c r="B1469" s="80" t="n">
        <v>3113</v>
      </c>
      <c r="C1469" s="66" t="n">
        <v>45832</v>
      </c>
      <c r="D1469" s="2" t="n">
        <v>1</v>
      </c>
      <c r="E1469" s="3" t="inlineStr">
        <is>
          <t>CARABINA</t>
        </is>
      </c>
      <c r="F1469" s="3" t="inlineStr">
        <is>
          <t>22 LR</t>
        </is>
      </c>
      <c r="G1469" s="3" t="inlineStr">
        <is>
          <t>WINCHESTER</t>
        </is>
      </c>
      <c r="H1469" s="65" t="inlineStr">
        <is>
          <t>XPERT COMPO, THR 18''</t>
        </is>
      </c>
      <c r="I1469" s="65" t="inlineStr">
        <is>
          <t>TF614-24AB06546</t>
        </is>
      </c>
      <c r="J1469" s="65" t="inlineStr">
        <is>
          <t>N/D</t>
        </is>
      </c>
      <c r="K1469" s="65" t="inlineStr">
        <is>
          <t>N/D</t>
        </is>
      </c>
      <c r="L1469" s="127" t="inlineStr">
        <is>
          <t>BROWNING INTERNATIONAL SA</t>
        </is>
      </c>
      <c r="M1469" s="5" t="n">
        <v>257.4</v>
      </c>
      <c r="N1469" s="5" t="n"/>
      <c r="O1469" s="5">
        <f>+M1469+N1469</f>
        <v/>
      </c>
      <c r="P1469" s="4" t="n">
        <v>45826</v>
      </c>
      <c r="Q1469" s="87" t="n">
        <v>45800</v>
      </c>
      <c r="R1469" s="5" t="n"/>
      <c r="S1469" s="2" t="n"/>
      <c r="T1469" s="3" t="n"/>
      <c r="U1469" s="87" t="n"/>
      <c r="V1469" s="3" t="n"/>
      <c r="W1469" s="108" t="n"/>
      <c r="X1469" s="4" t="n"/>
    </row>
    <row r="1470" ht="24" customHeight="1">
      <c r="A1470" s="2">
        <f>+D1470-S1470</f>
        <v/>
      </c>
      <c r="B1470" s="80" t="n">
        <v>3114</v>
      </c>
      <c r="C1470" s="66" t="n">
        <v>45832</v>
      </c>
      <c r="D1470" s="2" t="n">
        <v>1</v>
      </c>
      <c r="E1470" s="3" t="inlineStr">
        <is>
          <t>CARABINA</t>
        </is>
      </c>
      <c r="F1470" s="3" t="inlineStr">
        <is>
          <t>22 LR</t>
        </is>
      </c>
      <c r="G1470" s="3" t="inlineStr">
        <is>
          <t>WINCHESTER</t>
        </is>
      </c>
      <c r="H1470" s="65" t="inlineStr">
        <is>
          <t>XPERT COMPO, THR 18''</t>
        </is>
      </c>
      <c r="I1470" s="65" t="inlineStr">
        <is>
          <t>TF614-24AB06667</t>
        </is>
      </c>
      <c r="J1470" s="65" t="inlineStr">
        <is>
          <t>N/D</t>
        </is>
      </c>
      <c r="K1470" s="65" t="inlineStr">
        <is>
          <t>N/D</t>
        </is>
      </c>
      <c r="L1470" s="127" t="inlineStr">
        <is>
          <t>BROWNING INTERNATIONAL SA</t>
        </is>
      </c>
      <c r="M1470" s="5" t="n">
        <v>257.4</v>
      </c>
      <c r="N1470" s="5" t="n"/>
      <c r="O1470" s="5">
        <f>+M1470+N1470</f>
        <v/>
      </c>
      <c r="P1470" s="4" t="n">
        <v>45826</v>
      </c>
      <c r="Q1470" s="87" t="n">
        <v>45800</v>
      </c>
      <c r="R1470" s="5" t="n"/>
      <c r="S1470" s="2" t="n"/>
      <c r="T1470" s="3" t="n"/>
      <c r="U1470" s="87" t="n"/>
      <c r="V1470" s="3" t="n"/>
      <c r="W1470" s="108" t="n"/>
      <c r="X1470" s="4" t="n"/>
    </row>
    <row r="1471" ht="24" customHeight="1">
      <c r="A1471" s="2">
        <f>+D1471-S1471</f>
        <v/>
      </c>
      <c r="B1471" s="80" t="n">
        <v>3115</v>
      </c>
      <c r="C1471" s="66" t="n">
        <v>45832</v>
      </c>
      <c r="D1471" s="2" t="n">
        <v>1</v>
      </c>
      <c r="E1471" s="3" t="inlineStr">
        <is>
          <t>CARABINA</t>
        </is>
      </c>
      <c r="F1471" s="3" t="inlineStr">
        <is>
          <t>22 LR</t>
        </is>
      </c>
      <c r="G1471" s="3" t="inlineStr">
        <is>
          <t>WINCHESTER</t>
        </is>
      </c>
      <c r="H1471" s="65" t="inlineStr">
        <is>
          <t>XPERT COMPO, THR 18''</t>
        </is>
      </c>
      <c r="I1471" s="65" t="inlineStr">
        <is>
          <t>TF614-24AB06550</t>
        </is>
      </c>
      <c r="J1471" s="65" t="inlineStr">
        <is>
          <t>N/D</t>
        </is>
      </c>
      <c r="K1471" s="65" t="inlineStr">
        <is>
          <t>N/D</t>
        </is>
      </c>
      <c r="L1471" s="127" t="inlineStr">
        <is>
          <t>BROWNING INTERNATIONAL SA</t>
        </is>
      </c>
      <c r="M1471" s="5" t="n">
        <v>257.4</v>
      </c>
      <c r="N1471" s="5" t="n"/>
      <c r="O1471" s="5">
        <f>+M1471+N1471</f>
        <v/>
      </c>
      <c r="P1471" s="4" t="n">
        <v>45826</v>
      </c>
      <c r="Q1471" s="87" t="n">
        <v>45800</v>
      </c>
      <c r="R1471" s="5" t="n"/>
      <c r="S1471" s="2" t="n"/>
      <c r="T1471" s="3" t="n"/>
      <c r="U1471" s="87" t="n"/>
      <c r="V1471" s="3" t="n"/>
      <c r="W1471" s="108" t="n"/>
      <c r="X1471" s="4" t="n"/>
    </row>
    <row r="1472" ht="24" customHeight="1">
      <c r="A1472" s="2">
        <f>+D1472-S1472</f>
        <v/>
      </c>
      <c r="B1472" s="80" t="n">
        <v>3116</v>
      </c>
      <c r="C1472" s="66" t="n">
        <v>45832</v>
      </c>
      <c r="D1472" s="2" t="n">
        <v>1</v>
      </c>
      <c r="E1472" s="3" t="inlineStr">
        <is>
          <t>CARABINA</t>
        </is>
      </c>
      <c r="F1472" s="3" t="inlineStr">
        <is>
          <t>22 LR</t>
        </is>
      </c>
      <c r="G1472" s="3" t="inlineStr">
        <is>
          <t>WINCHESTER</t>
        </is>
      </c>
      <c r="H1472" s="65" t="inlineStr">
        <is>
          <t>XPERT COMPO, THR 18''</t>
        </is>
      </c>
      <c r="I1472" s="65" t="inlineStr">
        <is>
          <t>TF614-24AB06949</t>
        </is>
      </c>
      <c r="J1472" s="65" t="inlineStr">
        <is>
          <t>N/D</t>
        </is>
      </c>
      <c r="K1472" s="65" t="inlineStr">
        <is>
          <t>N/D</t>
        </is>
      </c>
      <c r="L1472" s="127" t="inlineStr">
        <is>
          <t>BROWNING INTERNATIONAL SA</t>
        </is>
      </c>
      <c r="M1472" s="5" t="n">
        <v>257.4</v>
      </c>
      <c r="N1472" s="5" t="n"/>
      <c r="O1472" s="5">
        <f>+M1472+N1472</f>
        <v/>
      </c>
      <c r="P1472" s="4" t="n">
        <v>45826</v>
      </c>
      <c r="Q1472" s="87" t="n">
        <v>45800</v>
      </c>
      <c r="R1472" s="5" t="n"/>
      <c r="S1472" s="2" t="n"/>
      <c r="T1472" s="3" t="n"/>
      <c r="U1472" s="87" t="n"/>
      <c r="V1472" s="3" t="n"/>
      <c r="W1472" s="108" t="n"/>
      <c r="X1472" s="4" t="n"/>
    </row>
    <row r="1473" ht="24" customHeight="1">
      <c r="A1473" s="2">
        <f>+D1473-S1473</f>
        <v/>
      </c>
      <c r="B1473" s="80" t="n">
        <v>3117</v>
      </c>
      <c r="C1473" s="66" t="n">
        <v>45832</v>
      </c>
      <c r="D1473" s="2" t="n">
        <v>1</v>
      </c>
      <c r="E1473" s="3" t="inlineStr">
        <is>
          <t>CARABINA</t>
        </is>
      </c>
      <c r="F1473" s="3" t="inlineStr">
        <is>
          <t>22 LR</t>
        </is>
      </c>
      <c r="G1473" s="3" t="inlineStr">
        <is>
          <t>WINCHESTER</t>
        </is>
      </c>
      <c r="H1473" s="65" t="inlineStr">
        <is>
          <t>XPERT COMPO, THR 18''</t>
        </is>
      </c>
      <c r="I1473" s="65" t="inlineStr">
        <is>
          <t>TF614-24AB06952</t>
        </is>
      </c>
      <c r="J1473" s="65" t="inlineStr">
        <is>
          <t>N/D</t>
        </is>
      </c>
      <c r="K1473" s="65" t="inlineStr">
        <is>
          <t>N/D</t>
        </is>
      </c>
      <c r="L1473" s="127" t="inlineStr">
        <is>
          <t>BROWNING INTERNATIONAL SA</t>
        </is>
      </c>
      <c r="M1473" s="5" t="n">
        <v>257.4</v>
      </c>
      <c r="N1473" s="5" t="n"/>
      <c r="O1473" s="5">
        <f>+M1473+N1473</f>
        <v/>
      </c>
      <c r="P1473" s="4" t="n">
        <v>45826</v>
      </c>
      <c r="Q1473" s="87" t="n">
        <v>45800</v>
      </c>
      <c r="R1473" s="5" t="n"/>
      <c r="S1473" s="2" t="n"/>
      <c r="T1473" s="3" t="n"/>
      <c r="U1473" s="87" t="n"/>
      <c r="V1473" s="3" t="n"/>
      <c r="W1473" s="108" t="n"/>
      <c r="X1473" s="4" t="n"/>
    </row>
    <row r="1474" ht="24" customHeight="1">
      <c r="A1474" s="2">
        <f>+D1474-S1474</f>
        <v/>
      </c>
      <c r="B1474" s="80" t="n">
        <v>3118</v>
      </c>
      <c r="C1474" s="66" t="n">
        <v>45832</v>
      </c>
      <c r="D1474" s="2" t="n">
        <v>1</v>
      </c>
      <c r="E1474" s="3" t="inlineStr">
        <is>
          <t>CARABINA</t>
        </is>
      </c>
      <c r="F1474" s="3" t="inlineStr">
        <is>
          <t>22 LR</t>
        </is>
      </c>
      <c r="G1474" s="3" t="inlineStr">
        <is>
          <t>WINCHESTER</t>
        </is>
      </c>
      <c r="H1474" s="65" t="inlineStr">
        <is>
          <t>XPERT COMPO, THR 18''</t>
        </is>
      </c>
      <c r="I1474" s="65" t="inlineStr">
        <is>
          <t>TF614-24AB06950</t>
        </is>
      </c>
      <c r="J1474" s="65" t="inlineStr">
        <is>
          <t>N/D</t>
        </is>
      </c>
      <c r="K1474" s="65" t="inlineStr">
        <is>
          <t>N/D</t>
        </is>
      </c>
      <c r="L1474" s="127" t="inlineStr">
        <is>
          <t>BROWNING INTERNATIONAL SA</t>
        </is>
      </c>
      <c r="M1474" s="5" t="n">
        <v>257.4</v>
      </c>
      <c r="N1474" s="5" t="n"/>
      <c r="O1474" s="5">
        <f>+M1474+N1474</f>
        <v/>
      </c>
      <c r="P1474" s="4" t="n">
        <v>45826</v>
      </c>
      <c r="Q1474" s="87" t="n">
        <v>45800</v>
      </c>
      <c r="R1474" s="5" t="n"/>
      <c r="S1474" s="2" t="n"/>
      <c r="T1474" s="3" t="n"/>
      <c r="U1474" s="87" t="n"/>
      <c r="V1474" s="3" t="n"/>
      <c r="W1474" s="108" t="n"/>
      <c r="X1474" s="4" t="n"/>
    </row>
    <row r="1475" ht="24" customHeight="1">
      <c r="A1475" s="2">
        <f>+D1475-S1475</f>
        <v/>
      </c>
      <c r="B1475" s="80" t="n">
        <v>3119</v>
      </c>
      <c r="C1475" s="66" t="n">
        <v>45832</v>
      </c>
      <c r="D1475" s="2" t="n">
        <v>1</v>
      </c>
      <c r="E1475" s="3" t="inlineStr">
        <is>
          <t>CARABINA</t>
        </is>
      </c>
      <c r="F1475" s="3" t="inlineStr">
        <is>
          <t>22 LR</t>
        </is>
      </c>
      <c r="G1475" s="3" t="inlineStr">
        <is>
          <t>WINCHESTER</t>
        </is>
      </c>
      <c r="H1475" s="65" t="inlineStr">
        <is>
          <t>XPERT COMPO, THR 18''</t>
        </is>
      </c>
      <c r="I1475" s="65" t="inlineStr">
        <is>
          <t>TF614-24AB06951</t>
        </is>
      </c>
      <c r="J1475" s="65" t="inlineStr">
        <is>
          <t>N/D</t>
        </is>
      </c>
      <c r="K1475" s="65" t="inlineStr">
        <is>
          <t>N/D</t>
        </is>
      </c>
      <c r="L1475" s="127" t="inlineStr">
        <is>
          <t>BROWNING INTERNATIONAL SA</t>
        </is>
      </c>
      <c r="M1475" s="5" t="n">
        <v>257.4</v>
      </c>
      <c r="N1475" s="5" t="n"/>
      <c r="O1475" s="5">
        <f>+M1475+N1475</f>
        <v/>
      </c>
      <c r="P1475" s="4" t="n">
        <v>45826</v>
      </c>
      <c r="Q1475" s="87" t="n">
        <v>45800</v>
      </c>
      <c r="R1475" s="5" t="n"/>
      <c r="S1475" s="2" t="n"/>
      <c r="T1475" s="3" t="n"/>
      <c r="U1475" s="87" t="n"/>
      <c r="V1475" s="3" t="n"/>
      <c r="W1475" s="108" t="n"/>
      <c r="X1475" s="4" t="n"/>
    </row>
    <row r="1476" ht="24" customHeight="1">
      <c r="A1476" s="2">
        <f>+D1476-S1476</f>
        <v/>
      </c>
      <c r="B1476" s="80" t="n">
        <v>3120</v>
      </c>
      <c r="C1476" s="66" t="n">
        <v>45832</v>
      </c>
      <c r="D1476" s="2" t="n">
        <v>1</v>
      </c>
      <c r="E1476" s="3" t="inlineStr">
        <is>
          <t>CARABINA</t>
        </is>
      </c>
      <c r="F1476" s="3" t="inlineStr">
        <is>
          <t>22 LR</t>
        </is>
      </c>
      <c r="G1476" s="3" t="inlineStr">
        <is>
          <t>WINCHESTER</t>
        </is>
      </c>
      <c r="H1476" s="65" t="inlineStr">
        <is>
          <t>XPERT COMPO, THR 18''</t>
        </is>
      </c>
      <c r="I1476" s="65" t="inlineStr">
        <is>
          <t>TF614-24AB06662</t>
        </is>
      </c>
      <c r="J1476" s="65" t="inlineStr">
        <is>
          <t>N/D</t>
        </is>
      </c>
      <c r="K1476" s="65" t="inlineStr">
        <is>
          <t>N/D</t>
        </is>
      </c>
      <c r="L1476" s="127" t="inlineStr">
        <is>
          <t>BROWNING INTERNATIONAL SA</t>
        </is>
      </c>
      <c r="M1476" s="5" t="n">
        <v>257.4</v>
      </c>
      <c r="N1476" s="5" t="n"/>
      <c r="O1476" s="5">
        <f>+M1476+N1476</f>
        <v/>
      </c>
      <c r="P1476" s="4" t="n">
        <v>45826</v>
      </c>
      <c r="Q1476" s="87" t="n">
        <v>45800</v>
      </c>
      <c r="R1476" s="5" t="n"/>
      <c r="S1476" s="2" t="n"/>
      <c r="T1476" s="3" t="n"/>
      <c r="U1476" s="87" t="n"/>
      <c r="V1476" s="3" t="n"/>
      <c r="W1476" s="108" t="n"/>
      <c r="X1476" s="4" t="n"/>
    </row>
    <row r="1477" ht="24" customHeight="1">
      <c r="A1477" s="2">
        <f>+D1477-S1477</f>
        <v/>
      </c>
      <c r="B1477" s="80" t="n">
        <v>3121</v>
      </c>
      <c r="C1477" s="66" t="n">
        <v>45832</v>
      </c>
      <c r="D1477" s="2" t="n">
        <v>1</v>
      </c>
      <c r="E1477" s="3" t="inlineStr">
        <is>
          <t>CARABINA</t>
        </is>
      </c>
      <c r="F1477" s="3" t="inlineStr">
        <is>
          <t>22 LR</t>
        </is>
      </c>
      <c r="G1477" s="3" t="inlineStr">
        <is>
          <t>WINCHESTER</t>
        </is>
      </c>
      <c r="H1477" s="65" t="inlineStr">
        <is>
          <t>XPERT STEALTH, THR 18''</t>
        </is>
      </c>
      <c r="I1477" s="65" t="inlineStr">
        <is>
          <t>TF614-24AB11786</t>
        </is>
      </c>
      <c r="J1477" s="65" t="inlineStr">
        <is>
          <t>N/D</t>
        </is>
      </c>
      <c r="K1477" s="65" t="inlineStr">
        <is>
          <t>N/D</t>
        </is>
      </c>
      <c r="L1477" s="127" t="inlineStr">
        <is>
          <t>BROWNING INTERNATIONAL SA</t>
        </is>
      </c>
      <c r="M1477" s="5" t="n">
        <v>279</v>
      </c>
      <c r="N1477" s="5" t="n"/>
      <c r="O1477" s="5">
        <f>+M1477+N1477</f>
        <v/>
      </c>
      <c r="P1477" s="4" t="n">
        <v>45826</v>
      </c>
      <c r="Q1477" s="87" t="n">
        <v>45800</v>
      </c>
      <c r="R1477" s="5" t="n"/>
      <c r="S1477" s="2" t="n"/>
      <c r="T1477" s="3" t="n"/>
      <c r="U1477" s="87" t="n"/>
      <c r="V1477" s="3" t="n"/>
      <c r="W1477" s="108" t="n"/>
      <c r="X1477" s="4" t="n"/>
    </row>
    <row r="1478" ht="24" customHeight="1">
      <c r="A1478" s="2">
        <f>+D1478-S1478</f>
        <v/>
      </c>
      <c r="B1478" s="80" t="n">
        <v>3122</v>
      </c>
      <c r="C1478" s="66" t="n">
        <v>45832</v>
      </c>
      <c r="D1478" s="2" t="n">
        <v>1</v>
      </c>
      <c r="E1478" s="3" t="inlineStr">
        <is>
          <t>CARABINA</t>
        </is>
      </c>
      <c r="F1478" s="3" t="inlineStr">
        <is>
          <t>22 LR</t>
        </is>
      </c>
      <c r="G1478" s="3" t="inlineStr">
        <is>
          <t>WINCHESTER</t>
        </is>
      </c>
      <c r="H1478" s="65" t="inlineStr">
        <is>
          <t>XPERT STEALTH, THR 18''</t>
        </is>
      </c>
      <c r="I1478" s="65" t="inlineStr">
        <is>
          <t>TF614-24AB11763</t>
        </is>
      </c>
      <c r="J1478" s="65" t="inlineStr">
        <is>
          <t>N/D</t>
        </is>
      </c>
      <c r="K1478" s="65" t="inlineStr">
        <is>
          <t>N/D</t>
        </is>
      </c>
      <c r="L1478" s="127" t="inlineStr">
        <is>
          <t>BROWNING INTERNATIONAL SA</t>
        </is>
      </c>
      <c r="M1478" s="5" t="n">
        <v>279</v>
      </c>
      <c r="N1478" s="5" t="n"/>
      <c r="O1478" s="5">
        <f>+M1478+N1478</f>
        <v/>
      </c>
      <c r="P1478" s="4" t="n">
        <v>45826</v>
      </c>
      <c r="Q1478" s="87" t="n">
        <v>45800</v>
      </c>
      <c r="R1478" s="5" t="n"/>
      <c r="S1478" s="2" t="n"/>
      <c r="T1478" s="3" t="n"/>
      <c r="U1478" s="87" t="n"/>
      <c r="V1478" s="3" t="n"/>
      <c r="W1478" s="108" t="n"/>
      <c r="X1478" s="4" t="n"/>
    </row>
    <row r="1479" ht="24" customHeight="1">
      <c r="A1479" s="2">
        <f>+D1479-S1479</f>
        <v/>
      </c>
      <c r="B1479" s="80" t="n">
        <v>3123</v>
      </c>
      <c r="C1479" s="66" t="n">
        <v>45832</v>
      </c>
      <c r="D1479" s="2" t="n">
        <v>1</v>
      </c>
      <c r="E1479" s="3" t="inlineStr">
        <is>
          <t>CARABINA</t>
        </is>
      </c>
      <c r="F1479" s="3" t="inlineStr">
        <is>
          <t>22 LR</t>
        </is>
      </c>
      <c r="G1479" s="3" t="inlineStr">
        <is>
          <t>WINCHESTER</t>
        </is>
      </c>
      <c r="H1479" s="65" t="inlineStr">
        <is>
          <t>XPERT STEALTH, THR 18''</t>
        </is>
      </c>
      <c r="I1479" s="65" t="inlineStr">
        <is>
          <t>TF614-24AB11787</t>
        </is>
      </c>
      <c r="J1479" s="65" t="inlineStr">
        <is>
          <t>N/D</t>
        </is>
      </c>
      <c r="K1479" s="65" t="inlineStr">
        <is>
          <t>N/D</t>
        </is>
      </c>
      <c r="L1479" s="127" t="inlineStr">
        <is>
          <t>BROWNING INTERNATIONAL SA</t>
        </is>
      </c>
      <c r="M1479" s="5" t="n">
        <v>279</v>
      </c>
      <c r="N1479" s="5" t="n"/>
      <c r="O1479" s="5">
        <f>+M1479+N1479</f>
        <v/>
      </c>
      <c r="P1479" s="4" t="n">
        <v>45826</v>
      </c>
      <c r="Q1479" s="87" t="n">
        <v>45800</v>
      </c>
      <c r="R1479" s="5" t="n"/>
      <c r="S1479" s="2" t="n"/>
      <c r="T1479" s="3" t="n"/>
      <c r="U1479" s="87" t="n"/>
      <c r="V1479" s="3" t="n"/>
      <c r="W1479" s="108" t="n"/>
      <c r="X1479" s="4" t="n"/>
    </row>
    <row r="1480" ht="24" customHeight="1">
      <c r="A1480" s="2">
        <f>+D1480-S1480</f>
        <v/>
      </c>
      <c r="B1480" s="80" t="n">
        <v>3124</v>
      </c>
      <c r="C1480" s="66" t="n">
        <v>45832</v>
      </c>
      <c r="D1480" s="2" t="n">
        <v>1</v>
      </c>
      <c r="E1480" s="3" t="inlineStr">
        <is>
          <t>CARABINA</t>
        </is>
      </c>
      <c r="F1480" s="3" t="inlineStr">
        <is>
          <t>22 LR</t>
        </is>
      </c>
      <c r="G1480" s="3" t="inlineStr">
        <is>
          <t>WINCHESTER</t>
        </is>
      </c>
      <c r="H1480" s="65" t="inlineStr">
        <is>
          <t>XPERT STEALTH, THR 18''</t>
        </is>
      </c>
      <c r="I1480" s="65" t="inlineStr">
        <is>
          <t>TF614-24AB11761</t>
        </is>
      </c>
      <c r="J1480" s="65" t="inlineStr">
        <is>
          <t>N/D</t>
        </is>
      </c>
      <c r="K1480" s="65" t="inlineStr">
        <is>
          <t>N/D</t>
        </is>
      </c>
      <c r="L1480" s="127" t="inlineStr">
        <is>
          <t>BROWNING INTERNATIONAL SA</t>
        </is>
      </c>
      <c r="M1480" s="5" t="n">
        <v>279</v>
      </c>
      <c r="N1480" s="5" t="n"/>
      <c r="O1480" s="5">
        <f>+M1480+N1480</f>
        <v/>
      </c>
      <c r="P1480" s="4" t="n">
        <v>45826</v>
      </c>
      <c r="Q1480" s="87" t="n">
        <v>45800</v>
      </c>
      <c r="R1480" s="5" t="n"/>
      <c r="S1480" s="2" t="n"/>
      <c r="T1480" s="3" t="n"/>
      <c r="U1480" s="87" t="n"/>
      <c r="V1480" s="3" t="n"/>
      <c r="W1480" s="108" t="n"/>
      <c r="X1480" s="4" t="n"/>
    </row>
    <row r="1481" ht="24" customHeight="1">
      <c r="A1481" s="2">
        <f>+D1481-S1481</f>
        <v/>
      </c>
      <c r="B1481" s="80" t="n">
        <v>3125</v>
      </c>
      <c r="C1481" s="66" t="n">
        <v>45832</v>
      </c>
      <c r="D1481" s="2" t="n">
        <v>1</v>
      </c>
      <c r="E1481" s="3" t="inlineStr">
        <is>
          <t>CARABINA</t>
        </is>
      </c>
      <c r="F1481" s="3" t="inlineStr">
        <is>
          <t>22 LR</t>
        </is>
      </c>
      <c r="G1481" s="3" t="inlineStr">
        <is>
          <t>WINCHESTER</t>
        </is>
      </c>
      <c r="H1481" s="65" t="inlineStr">
        <is>
          <t>XPERT STEALTH, THR 18''</t>
        </is>
      </c>
      <c r="I1481" s="65" t="inlineStr">
        <is>
          <t>TF614-24AB11890</t>
        </is>
      </c>
      <c r="J1481" s="65" t="inlineStr">
        <is>
          <t>N/D</t>
        </is>
      </c>
      <c r="K1481" s="65" t="inlineStr">
        <is>
          <t>N/D</t>
        </is>
      </c>
      <c r="L1481" s="127" t="inlineStr">
        <is>
          <t>BROWNING INTERNATIONAL SA</t>
        </is>
      </c>
      <c r="M1481" s="5" t="n">
        <v>279</v>
      </c>
      <c r="N1481" s="5" t="n"/>
      <c r="O1481" s="5">
        <f>+M1481+N1481</f>
        <v/>
      </c>
      <c r="P1481" s="4" t="n">
        <v>45826</v>
      </c>
      <c r="Q1481" s="87" t="n">
        <v>45800</v>
      </c>
      <c r="R1481" s="5" t="n"/>
      <c r="S1481" s="2" t="n"/>
      <c r="T1481" s="3" t="n"/>
      <c r="U1481" s="87" t="n"/>
      <c r="V1481" s="3" t="n"/>
      <c r="W1481" s="108" t="n"/>
      <c r="X1481" s="4" t="n"/>
    </row>
    <row r="1482" ht="24" customHeight="1">
      <c r="A1482" s="2">
        <f>+D1482-S1482</f>
        <v/>
      </c>
      <c r="B1482" s="80" t="n">
        <v>3126</v>
      </c>
      <c r="C1482" s="66" t="n">
        <v>45832</v>
      </c>
      <c r="D1482" s="2" t="n">
        <v>1</v>
      </c>
      <c r="E1482" s="3" t="inlineStr">
        <is>
          <t>CARABINA</t>
        </is>
      </c>
      <c r="F1482" s="3" t="inlineStr">
        <is>
          <t>22 LR</t>
        </is>
      </c>
      <c r="G1482" s="3" t="inlineStr">
        <is>
          <t>WINCHESTER</t>
        </is>
      </c>
      <c r="H1482" s="65" t="inlineStr">
        <is>
          <t>XPERT STEALTH, THR 18''</t>
        </is>
      </c>
      <c r="I1482" s="65" t="inlineStr">
        <is>
          <t>TF614-24AB11891</t>
        </is>
      </c>
      <c r="J1482" s="65" t="inlineStr">
        <is>
          <t>N/D</t>
        </is>
      </c>
      <c r="K1482" s="65" t="inlineStr">
        <is>
          <t>N/D</t>
        </is>
      </c>
      <c r="L1482" s="127" t="inlineStr">
        <is>
          <t>BROWNING INTERNATIONAL SA</t>
        </is>
      </c>
      <c r="M1482" s="5" t="n">
        <v>279</v>
      </c>
      <c r="N1482" s="5" t="n"/>
      <c r="O1482" s="5">
        <f>+M1482+N1482</f>
        <v/>
      </c>
      <c r="P1482" s="4" t="n">
        <v>45826</v>
      </c>
      <c r="Q1482" s="87" t="n">
        <v>45800</v>
      </c>
      <c r="R1482" s="5" t="n"/>
      <c r="S1482" s="2" t="n"/>
      <c r="T1482" s="3" t="n"/>
      <c r="U1482" s="87" t="n"/>
      <c r="V1482" s="3" t="n"/>
      <c r="W1482" s="108" t="n"/>
      <c r="X1482" s="4" t="n"/>
    </row>
    <row r="1483" ht="24" customHeight="1">
      <c r="A1483" s="2">
        <f>+D1483-S1483</f>
        <v/>
      </c>
      <c r="B1483" s="80" t="n">
        <v>3127</v>
      </c>
      <c r="C1483" s="66" t="n">
        <v>45832</v>
      </c>
      <c r="D1483" s="2" t="n">
        <v>1</v>
      </c>
      <c r="E1483" s="3" t="inlineStr">
        <is>
          <t>CARABINA</t>
        </is>
      </c>
      <c r="F1483" s="3" t="inlineStr">
        <is>
          <t>22 LR</t>
        </is>
      </c>
      <c r="G1483" s="3" t="inlineStr">
        <is>
          <t>WINCHESTER</t>
        </is>
      </c>
      <c r="H1483" s="65" t="inlineStr">
        <is>
          <t>XPERT STEALTH, THR 18''</t>
        </is>
      </c>
      <c r="I1483" s="65" t="inlineStr">
        <is>
          <t>TF614-24AB11838</t>
        </is>
      </c>
      <c r="J1483" s="65" t="inlineStr">
        <is>
          <t>N/D</t>
        </is>
      </c>
      <c r="K1483" s="65" t="inlineStr">
        <is>
          <t>N/D</t>
        </is>
      </c>
      <c r="L1483" s="127" t="inlineStr">
        <is>
          <t>BROWNING INTERNATIONAL SA</t>
        </is>
      </c>
      <c r="M1483" s="5" t="n">
        <v>279</v>
      </c>
      <c r="N1483" s="5" t="n"/>
      <c r="O1483" s="5">
        <f>+M1483+N1483</f>
        <v/>
      </c>
      <c r="P1483" s="4" t="n">
        <v>45826</v>
      </c>
      <c r="Q1483" s="87" t="n">
        <v>45800</v>
      </c>
      <c r="R1483" s="5" t="n"/>
      <c r="S1483" s="2" t="n"/>
      <c r="T1483" s="3" t="n"/>
      <c r="U1483" s="87" t="n"/>
      <c r="V1483" s="3" t="n"/>
      <c r="W1483" s="108" t="n"/>
      <c r="X1483" s="4" t="n"/>
    </row>
    <row r="1484" ht="24" customHeight="1">
      <c r="A1484" s="2">
        <f>+D1484-S1484</f>
        <v/>
      </c>
      <c r="B1484" s="80" t="n">
        <v>3128</v>
      </c>
      <c r="C1484" s="66" t="n">
        <v>45832</v>
      </c>
      <c r="D1484" s="2" t="n">
        <v>1</v>
      </c>
      <c r="E1484" s="3" t="inlineStr">
        <is>
          <t>CARABINA</t>
        </is>
      </c>
      <c r="F1484" s="3" t="inlineStr">
        <is>
          <t>22 LR</t>
        </is>
      </c>
      <c r="G1484" s="3" t="inlineStr">
        <is>
          <t>WINCHESTER</t>
        </is>
      </c>
      <c r="H1484" s="65" t="inlineStr">
        <is>
          <t>XPERT STEALTH, THR 18''</t>
        </is>
      </c>
      <c r="I1484" s="65" t="inlineStr">
        <is>
          <t>TF614-24AB11809</t>
        </is>
      </c>
      <c r="J1484" s="65" t="inlineStr">
        <is>
          <t>N/D</t>
        </is>
      </c>
      <c r="K1484" s="65" t="inlineStr">
        <is>
          <t>N/D</t>
        </is>
      </c>
      <c r="L1484" s="127" t="inlineStr">
        <is>
          <t>BROWNING INTERNATIONAL SA</t>
        </is>
      </c>
      <c r="M1484" s="5" t="n">
        <v>279</v>
      </c>
      <c r="N1484" s="5" t="n"/>
      <c r="O1484" s="5">
        <f>+M1484+N1484</f>
        <v/>
      </c>
      <c r="P1484" s="4" t="n">
        <v>45826</v>
      </c>
      <c r="Q1484" s="87" t="n">
        <v>45800</v>
      </c>
      <c r="R1484" s="5" t="n"/>
      <c r="S1484" s="2" t="n"/>
      <c r="T1484" s="3" t="n"/>
      <c r="U1484" s="87" t="n"/>
      <c r="V1484" s="3" t="n"/>
      <c r="W1484" s="108" t="n"/>
      <c r="X1484" s="4" t="n"/>
    </row>
    <row r="1485" ht="24" customHeight="1">
      <c r="A1485" s="2">
        <f>+D1485-S1485</f>
        <v/>
      </c>
      <c r="B1485" s="80" t="n">
        <v>3129</v>
      </c>
      <c r="C1485" s="66" t="n">
        <v>45832</v>
      </c>
      <c r="D1485" s="2" t="n">
        <v>1</v>
      </c>
      <c r="E1485" s="3" t="inlineStr">
        <is>
          <t>CARABINA</t>
        </is>
      </c>
      <c r="F1485" s="3" t="inlineStr">
        <is>
          <t>22 LR</t>
        </is>
      </c>
      <c r="G1485" s="3" t="inlineStr">
        <is>
          <t>WINCHESTER</t>
        </is>
      </c>
      <c r="H1485" s="65" t="inlineStr">
        <is>
          <t>XPERT STEALTH, THR 18''</t>
        </is>
      </c>
      <c r="I1485" s="65" t="inlineStr">
        <is>
          <t>TF614-24AB11819</t>
        </is>
      </c>
      <c r="J1485" s="65" t="inlineStr">
        <is>
          <t>N/D</t>
        </is>
      </c>
      <c r="K1485" s="65" t="inlineStr">
        <is>
          <t>N/D</t>
        </is>
      </c>
      <c r="L1485" s="127" t="inlineStr">
        <is>
          <t>BROWNING INTERNATIONAL SA</t>
        </is>
      </c>
      <c r="M1485" s="5" t="n">
        <v>279</v>
      </c>
      <c r="N1485" s="5" t="n"/>
      <c r="O1485" s="5">
        <f>+M1485+N1485</f>
        <v/>
      </c>
      <c r="P1485" s="4" t="n">
        <v>45826</v>
      </c>
      <c r="Q1485" s="87" t="n">
        <v>45800</v>
      </c>
      <c r="R1485" s="5" t="n"/>
      <c r="S1485" s="2" t="n"/>
      <c r="T1485" s="3" t="n"/>
      <c r="U1485" s="87" t="n"/>
      <c r="V1485" s="3" t="n"/>
      <c r="W1485" s="108" t="n"/>
      <c r="X1485" s="4" t="n"/>
    </row>
    <row r="1486" ht="24" customHeight="1">
      <c r="A1486" s="2">
        <f>+D1486-S1486</f>
        <v/>
      </c>
      <c r="B1486" s="80" t="n">
        <v>3130</v>
      </c>
      <c r="C1486" s="66" t="n">
        <v>45832</v>
      </c>
      <c r="D1486" s="2" t="n">
        <v>1</v>
      </c>
      <c r="E1486" s="3" t="inlineStr">
        <is>
          <t>CARABINA</t>
        </is>
      </c>
      <c r="F1486" s="3" t="inlineStr">
        <is>
          <t>22 LR</t>
        </is>
      </c>
      <c r="G1486" s="3" t="inlineStr">
        <is>
          <t>WINCHESTER</t>
        </is>
      </c>
      <c r="H1486" s="65" t="inlineStr">
        <is>
          <t>XPERT STEALTH, THR 18''</t>
        </is>
      </c>
      <c r="I1486" s="65" t="inlineStr">
        <is>
          <t>TF614-24AB11794</t>
        </is>
      </c>
      <c r="J1486" s="65" t="inlineStr">
        <is>
          <t>N/D</t>
        </is>
      </c>
      <c r="K1486" s="65" t="inlineStr">
        <is>
          <t>N/D</t>
        </is>
      </c>
      <c r="L1486" s="127" t="inlineStr">
        <is>
          <t>BROWNING INTERNATIONAL SA</t>
        </is>
      </c>
      <c r="M1486" s="5" t="n">
        <v>279</v>
      </c>
      <c r="N1486" s="5" t="n"/>
      <c r="O1486" s="5">
        <f>+M1486+N1486</f>
        <v/>
      </c>
      <c r="P1486" s="4" t="n">
        <v>45826</v>
      </c>
      <c r="Q1486" s="87" t="n">
        <v>45800</v>
      </c>
      <c r="R1486" s="5" t="n"/>
      <c r="S1486" s="2" t="n"/>
      <c r="T1486" s="3" t="n"/>
      <c r="U1486" s="87" t="n"/>
      <c r="V1486" s="3" t="n"/>
      <c r="W1486" s="108" t="n"/>
      <c r="X1486" s="4" t="n"/>
    </row>
    <row r="1487" ht="24" customHeight="1">
      <c r="A1487" s="2">
        <f>+D1487-S1487</f>
        <v/>
      </c>
      <c r="B1487" s="80" t="n">
        <v>3131</v>
      </c>
      <c r="C1487" s="66" t="n">
        <v>45832</v>
      </c>
      <c r="D1487" s="2" t="n">
        <v>1</v>
      </c>
      <c r="E1487" s="3" t="inlineStr">
        <is>
          <t>CARABINA</t>
        </is>
      </c>
      <c r="F1487" s="3" t="inlineStr">
        <is>
          <t>22 LR</t>
        </is>
      </c>
      <c r="G1487" s="3" t="inlineStr">
        <is>
          <t>WINCHESTER</t>
        </is>
      </c>
      <c r="H1487" s="65" t="inlineStr">
        <is>
          <t>XPERT STEALTH, THR 18''</t>
        </is>
      </c>
      <c r="I1487" s="65" t="inlineStr">
        <is>
          <t>TF614-24AB11776</t>
        </is>
      </c>
      <c r="J1487" s="65" t="inlineStr">
        <is>
          <t>N/D</t>
        </is>
      </c>
      <c r="K1487" s="65" t="inlineStr">
        <is>
          <t>N/D</t>
        </is>
      </c>
      <c r="L1487" s="127" t="inlineStr">
        <is>
          <t>BROWNING INTERNATIONAL SA</t>
        </is>
      </c>
      <c r="M1487" s="5" t="n">
        <v>279</v>
      </c>
      <c r="N1487" s="5" t="n"/>
      <c r="O1487" s="5">
        <f>+M1487+N1487</f>
        <v/>
      </c>
      <c r="P1487" s="4" t="n">
        <v>45826</v>
      </c>
      <c r="Q1487" s="87" t="n">
        <v>45800</v>
      </c>
      <c r="R1487" s="5" t="n"/>
      <c r="S1487" s="2" t="n"/>
      <c r="T1487" s="3" t="n"/>
      <c r="U1487" s="87" t="n"/>
      <c r="V1487" s="3" t="n"/>
      <c r="W1487" s="108" t="n"/>
      <c r="X1487" s="4" t="n"/>
    </row>
    <row r="1488" ht="24" customHeight="1">
      <c r="A1488" s="2">
        <f>+D1488-S1488</f>
        <v/>
      </c>
      <c r="B1488" s="80" t="n">
        <v>3132</v>
      </c>
      <c r="C1488" s="66" t="n">
        <v>45832</v>
      </c>
      <c r="D1488" s="2" t="n">
        <v>1</v>
      </c>
      <c r="E1488" s="3" t="inlineStr">
        <is>
          <t>CARABINA</t>
        </is>
      </c>
      <c r="F1488" s="3" t="inlineStr">
        <is>
          <t>22 LR</t>
        </is>
      </c>
      <c r="G1488" s="3" t="inlineStr">
        <is>
          <t>WINCHESTER</t>
        </is>
      </c>
      <c r="H1488" s="65" t="inlineStr">
        <is>
          <t>XPERT STEALTH, THR 18''</t>
        </is>
      </c>
      <c r="I1488" s="65" t="inlineStr">
        <is>
          <t>TF614-24AB11814</t>
        </is>
      </c>
      <c r="J1488" s="65" t="inlineStr">
        <is>
          <t>N/D</t>
        </is>
      </c>
      <c r="K1488" s="65" t="inlineStr">
        <is>
          <t>N/D</t>
        </is>
      </c>
      <c r="L1488" s="127" t="inlineStr">
        <is>
          <t>BROWNING INTERNATIONAL SA</t>
        </is>
      </c>
      <c r="M1488" s="5" t="n">
        <v>279</v>
      </c>
      <c r="N1488" s="5" t="n"/>
      <c r="O1488" s="5">
        <f>+M1488+N1488</f>
        <v/>
      </c>
      <c r="P1488" s="4" t="n">
        <v>45826</v>
      </c>
      <c r="Q1488" s="87" t="n">
        <v>45800</v>
      </c>
      <c r="R1488" s="5" t="n"/>
      <c r="S1488" s="2" t="n"/>
      <c r="T1488" s="3" t="n"/>
      <c r="U1488" s="87" t="n"/>
      <c r="V1488" s="3" t="n"/>
      <c r="W1488" s="108" t="n"/>
      <c r="X1488" s="4" t="n"/>
    </row>
    <row r="1489" ht="24" customHeight="1">
      <c r="A1489" s="2">
        <f>+D1489-S1489</f>
        <v/>
      </c>
      <c r="B1489" s="80" t="n">
        <v>3133</v>
      </c>
      <c r="C1489" s="66" t="n">
        <v>45832</v>
      </c>
      <c r="D1489" s="2" t="n">
        <v>1</v>
      </c>
      <c r="E1489" s="3" t="inlineStr">
        <is>
          <t>CARABINA</t>
        </is>
      </c>
      <c r="F1489" s="3" t="inlineStr">
        <is>
          <t>22 LR</t>
        </is>
      </c>
      <c r="G1489" s="3" t="inlineStr">
        <is>
          <t>WINCHESTER</t>
        </is>
      </c>
      <c r="H1489" s="65" t="inlineStr">
        <is>
          <t>XPERT STEALTH, THR 18''</t>
        </is>
      </c>
      <c r="I1489" s="65" t="inlineStr">
        <is>
          <t>TF614-24AB11793</t>
        </is>
      </c>
      <c r="J1489" s="65" t="inlineStr">
        <is>
          <t>N/D</t>
        </is>
      </c>
      <c r="K1489" s="65" t="inlineStr">
        <is>
          <t>N/D</t>
        </is>
      </c>
      <c r="L1489" s="127" t="inlineStr">
        <is>
          <t>BROWNING INTERNATIONAL SA</t>
        </is>
      </c>
      <c r="M1489" s="5" t="n">
        <v>279</v>
      </c>
      <c r="N1489" s="5" t="n"/>
      <c r="O1489" s="5">
        <f>+M1489+N1489</f>
        <v/>
      </c>
      <c r="P1489" s="4" t="n">
        <v>45826</v>
      </c>
      <c r="Q1489" s="87" t="n">
        <v>45800</v>
      </c>
      <c r="R1489" s="5" t="n"/>
      <c r="S1489" s="2" t="n"/>
      <c r="T1489" s="3" t="n"/>
      <c r="U1489" s="87" t="n"/>
      <c r="V1489" s="3" t="n"/>
      <c r="W1489" s="108" t="n"/>
      <c r="X1489" s="4" t="n"/>
    </row>
    <row r="1490" ht="24" customHeight="1">
      <c r="A1490" s="2">
        <f>+D1490-S1490</f>
        <v/>
      </c>
      <c r="B1490" s="80" t="n">
        <v>3134</v>
      </c>
      <c r="C1490" s="66" t="n">
        <v>45832</v>
      </c>
      <c r="D1490" s="2" t="n">
        <v>1</v>
      </c>
      <c r="E1490" s="3" t="inlineStr">
        <is>
          <t>CARABINA</t>
        </is>
      </c>
      <c r="F1490" s="3" t="inlineStr">
        <is>
          <t>22 LR</t>
        </is>
      </c>
      <c r="G1490" s="3" t="inlineStr">
        <is>
          <t>WINCHESTER</t>
        </is>
      </c>
      <c r="H1490" s="65" t="inlineStr">
        <is>
          <t>XPERT STEALTH, THR 18''</t>
        </is>
      </c>
      <c r="I1490" s="65" t="inlineStr">
        <is>
          <t>TF614-24AB11777</t>
        </is>
      </c>
      <c r="J1490" s="65" t="inlineStr">
        <is>
          <t>N/D</t>
        </is>
      </c>
      <c r="K1490" s="65" t="inlineStr">
        <is>
          <t>N/D</t>
        </is>
      </c>
      <c r="L1490" s="127" t="inlineStr">
        <is>
          <t>BROWNING INTERNATIONAL SA</t>
        </is>
      </c>
      <c r="M1490" s="5" t="n">
        <v>279</v>
      </c>
      <c r="N1490" s="5" t="n"/>
      <c r="O1490" s="5">
        <f>+M1490+N1490</f>
        <v/>
      </c>
      <c r="P1490" s="4" t="n">
        <v>45826</v>
      </c>
      <c r="Q1490" s="87" t="n">
        <v>45800</v>
      </c>
      <c r="R1490" s="5" t="n"/>
      <c r="S1490" s="2" t="n"/>
      <c r="T1490" s="3" t="n"/>
      <c r="U1490" s="87" t="n"/>
      <c r="V1490" s="3" t="n"/>
      <c r="W1490" s="108" t="n"/>
      <c r="X1490" s="4" t="n"/>
    </row>
    <row r="1491" ht="24" customHeight="1">
      <c r="A1491" s="2">
        <f>+D1491-S1491</f>
        <v/>
      </c>
      <c r="B1491" s="80" t="n">
        <v>3135</v>
      </c>
      <c r="C1491" s="66" t="n">
        <v>45832</v>
      </c>
      <c r="D1491" s="2" t="n">
        <v>1</v>
      </c>
      <c r="E1491" s="3" t="inlineStr">
        <is>
          <t>CARABINA</t>
        </is>
      </c>
      <c r="F1491" s="3" t="inlineStr">
        <is>
          <t>22 LR</t>
        </is>
      </c>
      <c r="G1491" s="3" t="inlineStr">
        <is>
          <t>WINCHESTER</t>
        </is>
      </c>
      <c r="H1491" s="65" t="inlineStr">
        <is>
          <t>XPERT STEALTH, THR 18''</t>
        </is>
      </c>
      <c r="I1491" s="65" t="inlineStr">
        <is>
          <t>TF614-24AB11799</t>
        </is>
      </c>
      <c r="J1491" s="65" t="inlineStr">
        <is>
          <t>N/D</t>
        </is>
      </c>
      <c r="K1491" s="65" t="inlineStr">
        <is>
          <t>N/D</t>
        </is>
      </c>
      <c r="L1491" s="127" t="inlineStr">
        <is>
          <t>BROWNING INTERNATIONAL SA</t>
        </is>
      </c>
      <c r="M1491" s="5" t="n">
        <v>279</v>
      </c>
      <c r="N1491" s="5" t="n"/>
      <c r="O1491" s="5">
        <f>+M1491+N1491</f>
        <v/>
      </c>
      <c r="P1491" s="4" t="n">
        <v>45826</v>
      </c>
      <c r="Q1491" s="87" t="n">
        <v>45800</v>
      </c>
      <c r="R1491" s="5" t="n"/>
      <c r="S1491" s="2" t="n"/>
      <c r="T1491" s="3" t="n"/>
      <c r="U1491" s="87" t="n"/>
      <c r="V1491" s="3" t="n"/>
      <c r="W1491" s="108" t="n"/>
      <c r="X1491" s="4" t="n"/>
    </row>
    <row r="1492" ht="24" customHeight="1">
      <c r="A1492" s="2">
        <f>+D1492-S1492</f>
        <v/>
      </c>
      <c r="B1492" s="80" t="n">
        <v>3136</v>
      </c>
      <c r="C1492" s="66" t="n">
        <v>45832</v>
      </c>
      <c r="D1492" s="2" t="n">
        <v>1</v>
      </c>
      <c r="E1492" s="3" t="inlineStr">
        <is>
          <t>CARABINA</t>
        </is>
      </c>
      <c r="F1492" s="3" t="inlineStr">
        <is>
          <t>22 LR</t>
        </is>
      </c>
      <c r="G1492" s="3" t="inlineStr">
        <is>
          <t>WINCHESTER</t>
        </is>
      </c>
      <c r="H1492" s="65" t="inlineStr">
        <is>
          <t>XPERT STEALTH, THR 18''</t>
        </is>
      </c>
      <c r="I1492" s="65" t="inlineStr">
        <is>
          <t>TF614-24AB11804</t>
        </is>
      </c>
      <c r="J1492" s="65" t="inlineStr">
        <is>
          <t>N/D</t>
        </is>
      </c>
      <c r="K1492" s="65" t="inlineStr">
        <is>
          <t>N/D</t>
        </is>
      </c>
      <c r="L1492" s="127" t="inlineStr">
        <is>
          <t>BROWNING INTERNATIONAL SA</t>
        </is>
      </c>
      <c r="M1492" s="5" t="n">
        <v>279</v>
      </c>
      <c r="N1492" s="5" t="n"/>
      <c r="O1492" s="5">
        <f>+M1492+N1492</f>
        <v/>
      </c>
      <c r="P1492" s="4" t="n">
        <v>45826</v>
      </c>
      <c r="Q1492" s="87" t="n">
        <v>45800</v>
      </c>
      <c r="R1492" s="5" t="n"/>
      <c r="S1492" s="2" t="n"/>
      <c r="T1492" s="3" t="n"/>
      <c r="U1492" s="87" t="n"/>
      <c r="V1492" s="3" t="n"/>
      <c r="W1492" s="108" t="n"/>
      <c r="X1492" s="4" t="n"/>
    </row>
    <row r="1493" ht="24" customHeight="1">
      <c r="A1493" s="2">
        <f>+D1493-S1493</f>
        <v/>
      </c>
      <c r="B1493" s="80" t="n">
        <v>3137</v>
      </c>
      <c r="C1493" s="66" t="n">
        <v>45832</v>
      </c>
      <c r="D1493" s="2" t="n">
        <v>1</v>
      </c>
      <c r="E1493" s="3" t="inlineStr">
        <is>
          <t>CARABINA</t>
        </is>
      </c>
      <c r="F1493" s="3" t="inlineStr">
        <is>
          <t>22 LR</t>
        </is>
      </c>
      <c r="G1493" s="3" t="inlineStr">
        <is>
          <t>WINCHESTER</t>
        </is>
      </c>
      <c r="H1493" s="65" t="inlineStr">
        <is>
          <t>XPERT STEALTH, THR 18''</t>
        </is>
      </c>
      <c r="I1493" s="65" t="inlineStr">
        <is>
          <t>TF614-24AB11751</t>
        </is>
      </c>
      <c r="J1493" s="65" t="inlineStr">
        <is>
          <t>N/D</t>
        </is>
      </c>
      <c r="K1493" s="65" t="inlineStr">
        <is>
          <t>N/D</t>
        </is>
      </c>
      <c r="L1493" s="127" t="inlineStr">
        <is>
          <t>BROWNING INTERNATIONAL SA</t>
        </is>
      </c>
      <c r="M1493" s="5" t="n">
        <v>279</v>
      </c>
      <c r="N1493" s="5" t="n"/>
      <c r="O1493" s="5">
        <f>+M1493+N1493</f>
        <v/>
      </c>
      <c r="P1493" s="4" t="n">
        <v>45826</v>
      </c>
      <c r="Q1493" s="87" t="n">
        <v>45800</v>
      </c>
      <c r="R1493" s="5" t="n"/>
      <c r="S1493" s="2" t="n"/>
      <c r="T1493" s="3" t="n"/>
      <c r="U1493" s="87" t="n"/>
      <c r="V1493" s="3" t="n"/>
      <c r="W1493" s="108" t="n"/>
      <c r="X1493" s="4" t="n"/>
    </row>
    <row r="1494" ht="24" customHeight="1">
      <c r="A1494" s="2">
        <f>+D1494-S1494</f>
        <v/>
      </c>
      <c r="B1494" s="80" t="n">
        <v>3138</v>
      </c>
      <c r="C1494" s="66" t="n">
        <v>45832</v>
      </c>
      <c r="D1494" s="2" t="n">
        <v>1</v>
      </c>
      <c r="E1494" s="3" t="inlineStr">
        <is>
          <t>CARABINA</t>
        </is>
      </c>
      <c r="F1494" s="3" t="inlineStr">
        <is>
          <t>22 LR</t>
        </is>
      </c>
      <c r="G1494" s="3" t="inlineStr">
        <is>
          <t>WINCHESTER</t>
        </is>
      </c>
      <c r="H1494" s="65" t="inlineStr">
        <is>
          <t>XPERT STEALTH, THR 18''</t>
        </is>
      </c>
      <c r="I1494" s="65" t="inlineStr">
        <is>
          <t>TF614-24AB11753</t>
        </is>
      </c>
      <c r="J1494" s="65" t="inlineStr">
        <is>
          <t>N/D</t>
        </is>
      </c>
      <c r="K1494" s="65" t="inlineStr">
        <is>
          <t>N/D</t>
        </is>
      </c>
      <c r="L1494" s="127" t="inlineStr">
        <is>
          <t>BROWNING INTERNATIONAL SA</t>
        </is>
      </c>
      <c r="M1494" s="5" t="n">
        <v>279</v>
      </c>
      <c r="N1494" s="5" t="n"/>
      <c r="O1494" s="5">
        <f>+M1494+N1494</f>
        <v/>
      </c>
      <c r="P1494" s="4" t="n">
        <v>45826</v>
      </c>
      <c r="Q1494" s="87" t="n">
        <v>45800</v>
      </c>
      <c r="R1494" s="5" t="n"/>
      <c r="S1494" s="2" t="n"/>
      <c r="T1494" s="3" t="n"/>
      <c r="U1494" s="87" t="n"/>
      <c r="V1494" s="3" t="n"/>
      <c r="W1494" s="108" t="n"/>
      <c r="X1494" s="4" t="n"/>
    </row>
    <row r="1495" ht="24" customHeight="1">
      <c r="A1495" s="2">
        <f>+D1495-S1495</f>
        <v/>
      </c>
      <c r="B1495" s="80" t="n">
        <v>3139</v>
      </c>
      <c r="C1495" s="66" t="n">
        <v>45832</v>
      </c>
      <c r="D1495" s="2" t="n">
        <v>1</v>
      </c>
      <c r="E1495" s="3" t="inlineStr">
        <is>
          <t>CARABINA</t>
        </is>
      </c>
      <c r="F1495" s="3" t="inlineStr">
        <is>
          <t>22 LR</t>
        </is>
      </c>
      <c r="G1495" s="3" t="inlineStr">
        <is>
          <t>WINCHESTER</t>
        </is>
      </c>
      <c r="H1495" s="65" t="inlineStr">
        <is>
          <t>XPERT STEALTH, THR 18''</t>
        </is>
      </c>
      <c r="I1495" s="65" t="inlineStr">
        <is>
          <t>TF614-24AB11750</t>
        </is>
      </c>
      <c r="J1495" s="65" t="inlineStr">
        <is>
          <t>N/D</t>
        </is>
      </c>
      <c r="K1495" s="65" t="inlineStr">
        <is>
          <t>N/D</t>
        </is>
      </c>
      <c r="L1495" s="127" t="inlineStr">
        <is>
          <t>BROWNING INTERNATIONAL SA</t>
        </is>
      </c>
      <c r="M1495" s="5" t="n">
        <v>279</v>
      </c>
      <c r="N1495" s="5" t="n"/>
      <c r="O1495" s="5">
        <f>+M1495+N1495</f>
        <v/>
      </c>
      <c r="P1495" s="4" t="n">
        <v>45826</v>
      </c>
      <c r="Q1495" s="87" t="n">
        <v>45800</v>
      </c>
      <c r="R1495" s="5" t="n"/>
      <c r="S1495" s="2" t="n"/>
      <c r="T1495" s="3" t="n"/>
      <c r="U1495" s="87" t="n"/>
      <c r="V1495" s="3" t="n"/>
      <c r="W1495" s="108" t="n"/>
      <c r="X1495" s="4" t="n"/>
    </row>
    <row r="1496" ht="24" customHeight="1">
      <c r="A1496" s="2">
        <f>+D1496-S1496</f>
        <v/>
      </c>
      <c r="B1496" s="80" t="n">
        <v>3140</v>
      </c>
      <c r="C1496" s="66" t="n">
        <v>45832</v>
      </c>
      <c r="D1496" s="2" t="n">
        <v>1</v>
      </c>
      <c r="E1496" s="3" t="inlineStr">
        <is>
          <t>CARABINA</t>
        </is>
      </c>
      <c r="F1496" s="3" t="inlineStr">
        <is>
          <t>22 LR</t>
        </is>
      </c>
      <c r="G1496" s="3" t="inlineStr">
        <is>
          <t>WINCHESTER</t>
        </is>
      </c>
      <c r="H1496" s="65" t="inlineStr">
        <is>
          <t>XPERT STEALTH, THR 18''</t>
        </is>
      </c>
      <c r="I1496" s="65" t="inlineStr">
        <is>
          <t>TF614-24AB11759</t>
        </is>
      </c>
      <c r="J1496" s="65" t="inlineStr">
        <is>
          <t>N/D</t>
        </is>
      </c>
      <c r="K1496" s="65" t="inlineStr">
        <is>
          <t>N/D</t>
        </is>
      </c>
      <c r="L1496" s="127" t="inlineStr">
        <is>
          <t>BROWNING INTERNATIONAL SA</t>
        </is>
      </c>
      <c r="M1496" s="5" t="n">
        <v>279</v>
      </c>
      <c r="N1496" s="5" t="n"/>
      <c r="O1496" s="5">
        <f>+M1496+N1496</f>
        <v/>
      </c>
      <c r="P1496" s="4" t="n">
        <v>45826</v>
      </c>
      <c r="Q1496" s="87" t="n">
        <v>45800</v>
      </c>
      <c r="R1496" s="5" t="n"/>
      <c r="S1496" s="2" t="n"/>
      <c r="T1496" s="3" t="n"/>
      <c r="U1496" s="87" t="n"/>
      <c r="V1496" s="3" t="n"/>
      <c r="W1496" s="108" t="n"/>
      <c r="X1496" s="4" t="n"/>
    </row>
    <row r="1497" ht="24" customHeight="1">
      <c r="A1497" s="2">
        <f>+D1497-S1497</f>
        <v/>
      </c>
      <c r="B1497" s="80" t="n">
        <v>3141</v>
      </c>
      <c r="C1497" s="66" t="n">
        <v>45832</v>
      </c>
      <c r="D1497" s="2" t="n">
        <v>1</v>
      </c>
      <c r="E1497" s="3" t="inlineStr">
        <is>
          <t>CARABINA</t>
        </is>
      </c>
      <c r="F1497" s="3" t="inlineStr">
        <is>
          <t>22 LR</t>
        </is>
      </c>
      <c r="G1497" s="3" t="inlineStr">
        <is>
          <t>WINCHESTER</t>
        </is>
      </c>
      <c r="H1497" s="65" t="inlineStr">
        <is>
          <t>XPERT STEALTH, THR 18''</t>
        </is>
      </c>
      <c r="I1497" s="65" t="inlineStr">
        <is>
          <t>TF614-24AB11758</t>
        </is>
      </c>
      <c r="J1497" s="65" t="inlineStr">
        <is>
          <t>N/D</t>
        </is>
      </c>
      <c r="K1497" s="65" t="inlineStr">
        <is>
          <t>N/D</t>
        </is>
      </c>
      <c r="L1497" s="127" t="inlineStr">
        <is>
          <t>BROWNING INTERNATIONAL SA</t>
        </is>
      </c>
      <c r="M1497" s="5" t="n">
        <v>279</v>
      </c>
      <c r="N1497" s="5" t="n"/>
      <c r="O1497" s="5">
        <f>+M1497+N1497</f>
        <v/>
      </c>
      <c r="P1497" s="4" t="n">
        <v>45826</v>
      </c>
      <c r="Q1497" s="87" t="n">
        <v>45800</v>
      </c>
      <c r="R1497" s="5" t="n"/>
      <c r="S1497" s="2" t="n"/>
      <c r="T1497" s="3" t="n"/>
      <c r="U1497" s="87" t="n"/>
      <c r="V1497" s="3" t="n"/>
      <c r="W1497" s="108" t="n"/>
      <c r="X1497" s="4" t="n"/>
    </row>
    <row r="1498" ht="24" customHeight="1">
      <c r="A1498" s="2">
        <f>+D1498-S1498</f>
        <v/>
      </c>
      <c r="B1498" s="80" t="n">
        <v>3142</v>
      </c>
      <c r="C1498" s="66" t="n">
        <v>45832</v>
      </c>
      <c r="D1498" s="2" t="n">
        <v>1</v>
      </c>
      <c r="E1498" s="3" t="inlineStr">
        <is>
          <t>CARABINA</t>
        </is>
      </c>
      <c r="F1498" s="3" t="inlineStr">
        <is>
          <t>22 LR</t>
        </is>
      </c>
      <c r="G1498" s="3" t="inlineStr">
        <is>
          <t>WINCHESTER</t>
        </is>
      </c>
      <c r="H1498" s="65" t="inlineStr">
        <is>
          <t>XPERT STEALTH, THR 18''</t>
        </is>
      </c>
      <c r="I1498" s="65" t="inlineStr">
        <is>
          <t>TF614-24AB11826</t>
        </is>
      </c>
      <c r="J1498" s="65" t="inlineStr">
        <is>
          <t>N/D</t>
        </is>
      </c>
      <c r="K1498" s="65" t="inlineStr">
        <is>
          <t>N/D</t>
        </is>
      </c>
      <c r="L1498" s="127" t="inlineStr">
        <is>
          <t>BROWNING INTERNATIONAL SA</t>
        </is>
      </c>
      <c r="M1498" s="5" t="n">
        <v>279</v>
      </c>
      <c r="N1498" s="5" t="n"/>
      <c r="O1498" s="5">
        <f>+M1498+N1498</f>
        <v/>
      </c>
      <c r="P1498" s="4" t="n">
        <v>45826</v>
      </c>
      <c r="Q1498" s="87" t="n">
        <v>45800</v>
      </c>
      <c r="R1498" s="5" t="n"/>
      <c r="S1498" s="2" t="n"/>
      <c r="T1498" s="3" t="n"/>
      <c r="U1498" s="87" t="n"/>
      <c r="V1498" s="3" t="n"/>
      <c r="W1498" s="108" t="n"/>
      <c r="X1498" s="4" t="n"/>
    </row>
    <row r="1499" ht="24" customHeight="1">
      <c r="A1499" s="2">
        <f>+D1499-S1499</f>
        <v/>
      </c>
      <c r="B1499" s="80" t="n">
        <v>3143</v>
      </c>
      <c r="C1499" s="66" t="n">
        <v>45832</v>
      </c>
      <c r="D1499" s="2" t="n">
        <v>1</v>
      </c>
      <c r="E1499" s="3" t="inlineStr">
        <is>
          <t>CARABINA</t>
        </is>
      </c>
      <c r="F1499" s="3" t="inlineStr">
        <is>
          <t>22 LR</t>
        </is>
      </c>
      <c r="G1499" s="3" t="inlineStr">
        <is>
          <t>WINCHESTER</t>
        </is>
      </c>
      <c r="H1499" s="65" t="inlineStr">
        <is>
          <t>XPERT STEALTH, THR 18''</t>
        </is>
      </c>
      <c r="I1499" s="65" t="inlineStr">
        <is>
          <t>TF614-24AB11818</t>
        </is>
      </c>
      <c r="J1499" s="65" t="inlineStr">
        <is>
          <t>N/D</t>
        </is>
      </c>
      <c r="K1499" s="65" t="inlineStr">
        <is>
          <t>N/D</t>
        </is>
      </c>
      <c r="L1499" s="127" t="inlineStr">
        <is>
          <t>BROWNING INTERNATIONAL SA</t>
        </is>
      </c>
      <c r="M1499" s="5" t="n">
        <v>279</v>
      </c>
      <c r="N1499" s="5" t="n"/>
      <c r="O1499" s="5">
        <f>+M1499+N1499</f>
        <v/>
      </c>
      <c r="P1499" s="4" t="n">
        <v>45826</v>
      </c>
      <c r="Q1499" s="87" t="n">
        <v>45800</v>
      </c>
      <c r="R1499" s="5" t="n"/>
      <c r="S1499" s="2" t="n"/>
      <c r="T1499" s="3" t="n"/>
      <c r="U1499" s="87" t="n"/>
      <c r="V1499" s="3" t="n"/>
      <c r="W1499" s="108" t="n"/>
      <c r="X1499" s="4" t="n"/>
    </row>
    <row r="1500" ht="24" customHeight="1">
      <c r="A1500" s="2">
        <f>+D1500-S1500</f>
        <v/>
      </c>
      <c r="B1500" s="80" t="n">
        <v>3144</v>
      </c>
      <c r="C1500" s="66" t="n">
        <v>45832</v>
      </c>
      <c r="D1500" s="2" t="n">
        <v>1</v>
      </c>
      <c r="E1500" s="3" t="inlineStr">
        <is>
          <t>CARABINA</t>
        </is>
      </c>
      <c r="F1500" s="3" t="inlineStr">
        <is>
          <t>22 LR</t>
        </is>
      </c>
      <c r="G1500" s="3" t="inlineStr">
        <is>
          <t>WINCHESTER</t>
        </is>
      </c>
      <c r="H1500" s="65" t="inlineStr">
        <is>
          <t>XPERT STEALTH, THR 18''</t>
        </is>
      </c>
      <c r="I1500" s="65" t="inlineStr">
        <is>
          <t>TF614-24AB11815</t>
        </is>
      </c>
      <c r="J1500" s="65" t="inlineStr">
        <is>
          <t>N/D</t>
        </is>
      </c>
      <c r="K1500" s="65" t="inlineStr">
        <is>
          <t>N/D</t>
        </is>
      </c>
      <c r="L1500" s="127" t="inlineStr">
        <is>
          <t>BROWNING INTERNATIONAL SA</t>
        </is>
      </c>
      <c r="M1500" s="5" t="n">
        <v>279</v>
      </c>
      <c r="N1500" s="5" t="n"/>
      <c r="O1500" s="5">
        <f>+M1500+N1500</f>
        <v/>
      </c>
      <c r="P1500" s="4" t="n">
        <v>45826</v>
      </c>
      <c r="Q1500" s="87" t="n">
        <v>45800</v>
      </c>
      <c r="R1500" s="5" t="n"/>
      <c r="S1500" s="2" t="n"/>
      <c r="T1500" s="3" t="n"/>
      <c r="U1500" s="87" t="n"/>
      <c r="V1500" s="3" t="n"/>
      <c r="W1500" s="108" t="n"/>
      <c r="X1500" s="4" t="n"/>
    </row>
    <row r="1501" ht="24" customHeight="1">
      <c r="A1501" s="2">
        <f>+D1501-S1501</f>
        <v/>
      </c>
      <c r="B1501" s="80" t="n">
        <v>3145</v>
      </c>
      <c r="C1501" s="66" t="n">
        <v>45832</v>
      </c>
      <c r="D1501" s="2" t="n">
        <v>1</v>
      </c>
      <c r="E1501" s="3" t="inlineStr">
        <is>
          <t>CARABINA</t>
        </is>
      </c>
      <c r="F1501" s="3" t="inlineStr">
        <is>
          <t>22 LR</t>
        </is>
      </c>
      <c r="G1501" s="3" t="inlineStr">
        <is>
          <t>WINCHESTER</t>
        </is>
      </c>
      <c r="H1501" s="65" t="inlineStr">
        <is>
          <t>XPERT STEALTH, THR 18''</t>
        </is>
      </c>
      <c r="I1501" s="65" t="inlineStr">
        <is>
          <t>TF614-24AB11762</t>
        </is>
      </c>
      <c r="J1501" s="65" t="inlineStr">
        <is>
          <t>N/D</t>
        </is>
      </c>
      <c r="K1501" s="65" t="inlineStr">
        <is>
          <t>N/D</t>
        </is>
      </c>
      <c r="L1501" s="127" t="inlineStr">
        <is>
          <t>BROWNING INTERNATIONAL SA</t>
        </is>
      </c>
      <c r="M1501" s="5" t="n">
        <v>279</v>
      </c>
      <c r="N1501" s="5" t="n"/>
      <c r="O1501" s="5">
        <f>+M1501+N1501</f>
        <v/>
      </c>
      <c r="P1501" s="4" t="n">
        <v>45826</v>
      </c>
      <c r="Q1501" s="87" t="n">
        <v>45800</v>
      </c>
      <c r="R1501" s="5" t="n"/>
      <c r="S1501" s="2" t="n"/>
      <c r="T1501" s="3" t="n"/>
      <c r="U1501" s="87" t="n"/>
      <c r="V1501" s="3" t="n"/>
      <c r="W1501" s="108" t="n"/>
      <c r="X1501" s="4" t="n"/>
    </row>
    <row r="1502" ht="24" customHeight="1">
      <c r="A1502" s="2">
        <f>+D1502-S1502</f>
        <v/>
      </c>
      <c r="B1502" s="80" t="n">
        <v>3146</v>
      </c>
      <c r="C1502" s="66" t="n">
        <v>45832</v>
      </c>
      <c r="D1502" s="2" t="n">
        <v>1</v>
      </c>
      <c r="E1502" s="3" t="inlineStr">
        <is>
          <t>CARABINA</t>
        </is>
      </c>
      <c r="F1502" s="3" t="inlineStr">
        <is>
          <t>22 LR</t>
        </is>
      </c>
      <c r="G1502" s="3" t="inlineStr">
        <is>
          <t>WINCHESTER</t>
        </is>
      </c>
      <c r="H1502" s="65" t="inlineStr">
        <is>
          <t>XPERT STEALTH, THR 18''</t>
        </is>
      </c>
      <c r="I1502" s="65" t="inlineStr">
        <is>
          <t>TF614-24AB11749</t>
        </is>
      </c>
      <c r="J1502" s="65" t="inlineStr">
        <is>
          <t>N/D</t>
        </is>
      </c>
      <c r="K1502" s="65" t="inlineStr">
        <is>
          <t>N/D</t>
        </is>
      </c>
      <c r="L1502" s="127" t="inlineStr">
        <is>
          <t>BROWNING INTERNATIONAL SA</t>
        </is>
      </c>
      <c r="M1502" s="5" t="n">
        <v>279</v>
      </c>
      <c r="N1502" s="5" t="n"/>
      <c r="O1502" s="5">
        <f>+M1502+N1502</f>
        <v/>
      </c>
      <c r="P1502" s="4" t="n">
        <v>45826</v>
      </c>
      <c r="Q1502" s="87" t="n">
        <v>45800</v>
      </c>
      <c r="R1502" s="5" t="n"/>
      <c r="S1502" s="2" t="n"/>
      <c r="T1502" s="3" t="n"/>
      <c r="U1502" s="87" t="n"/>
      <c r="V1502" s="3" t="n"/>
      <c r="W1502" s="108" t="n"/>
      <c r="X1502" s="4" t="n"/>
    </row>
    <row r="1503" ht="24" customHeight="1">
      <c r="A1503" s="2">
        <f>+D1503-S1503</f>
        <v/>
      </c>
      <c r="B1503" s="80" t="n">
        <v>3147</v>
      </c>
      <c r="C1503" s="66" t="n">
        <v>45832</v>
      </c>
      <c r="D1503" s="2" t="n">
        <v>1</v>
      </c>
      <c r="E1503" s="3" t="inlineStr">
        <is>
          <t>CARABINA</t>
        </is>
      </c>
      <c r="F1503" s="3" t="inlineStr">
        <is>
          <t>22 LR</t>
        </is>
      </c>
      <c r="G1503" s="3" t="inlineStr">
        <is>
          <t>WINCHESTER</t>
        </is>
      </c>
      <c r="H1503" s="65" t="inlineStr">
        <is>
          <t>XPERT STEALTH, THR 18''</t>
        </is>
      </c>
      <c r="I1503" s="65" t="inlineStr">
        <is>
          <t>TF614-24AB11767</t>
        </is>
      </c>
      <c r="J1503" s="65" t="inlineStr">
        <is>
          <t>N/D</t>
        </is>
      </c>
      <c r="K1503" s="65" t="inlineStr">
        <is>
          <t>N/D</t>
        </is>
      </c>
      <c r="L1503" s="127" t="inlineStr">
        <is>
          <t>BROWNING INTERNATIONAL SA</t>
        </is>
      </c>
      <c r="M1503" s="5" t="n">
        <v>279</v>
      </c>
      <c r="N1503" s="5" t="n"/>
      <c r="O1503" s="5">
        <f>+M1503+N1503</f>
        <v/>
      </c>
      <c r="P1503" s="4" t="n">
        <v>45826</v>
      </c>
      <c r="Q1503" s="87" t="n">
        <v>45800</v>
      </c>
      <c r="R1503" s="5" t="n"/>
      <c r="S1503" s="2" t="n"/>
      <c r="T1503" s="3" t="n"/>
      <c r="U1503" s="87" t="n"/>
      <c r="V1503" s="3" t="n"/>
      <c r="W1503" s="108" t="n"/>
      <c r="X1503" s="4" t="n"/>
    </row>
    <row r="1504" ht="24" customHeight="1">
      <c r="A1504" s="2">
        <f>+D1504-S1504</f>
        <v/>
      </c>
      <c r="B1504" s="80" t="n">
        <v>3148</v>
      </c>
      <c r="C1504" s="66" t="n">
        <v>45832</v>
      </c>
      <c r="D1504" s="2" t="n">
        <v>1</v>
      </c>
      <c r="E1504" s="3" t="inlineStr">
        <is>
          <t>CARABINA</t>
        </is>
      </c>
      <c r="F1504" s="3" t="inlineStr">
        <is>
          <t>22 LR</t>
        </is>
      </c>
      <c r="G1504" s="3" t="inlineStr">
        <is>
          <t>WINCHESTER</t>
        </is>
      </c>
      <c r="H1504" s="65" t="inlineStr">
        <is>
          <t>XPERT STEALTH, THR 18''</t>
        </is>
      </c>
      <c r="I1504" s="65" t="inlineStr">
        <is>
          <t>TF614-24AB11764</t>
        </is>
      </c>
      <c r="J1504" s="65" t="inlineStr">
        <is>
          <t>N/D</t>
        </is>
      </c>
      <c r="K1504" s="65" t="inlineStr">
        <is>
          <t>N/D</t>
        </is>
      </c>
      <c r="L1504" s="127" t="inlineStr">
        <is>
          <t>BROWNING INTERNATIONAL SA</t>
        </is>
      </c>
      <c r="M1504" s="5" t="n">
        <v>279</v>
      </c>
      <c r="N1504" s="5" t="n"/>
      <c r="O1504" s="5">
        <f>+M1504+N1504</f>
        <v/>
      </c>
      <c r="P1504" s="4" t="n">
        <v>45826</v>
      </c>
      <c r="Q1504" s="87" t="n">
        <v>45800</v>
      </c>
      <c r="R1504" s="5" t="n"/>
      <c r="S1504" s="2" t="n"/>
      <c r="T1504" s="3" t="n"/>
      <c r="U1504" s="87" t="n"/>
      <c r="V1504" s="3" t="n"/>
      <c r="W1504" s="108" t="n"/>
      <c r="X1504" s="4" t="n"/>
    </row>
    <row r="1505" ht="24" customHeight="1">
      <c r="A1505" s="2">
        <f>+D1505-S1505</f>
        <v/>
      </c>
      <c r="B1505" s="80" t="n">
        <v>3149</v>
      </c>
      <c r="C1505" s="66" t="n">
        <v>45832</v>
      </c>
      <c r="D1505" s="2" t="n">
        <v>1</v>
      </c>
      <c r="E1505" s="3" t="inlineStr">
        <is>
          <t>CARABINA</t>
        </is>
      </c>
      <c r="F1505" s="3" t="inlineStr">
        <is>
          <t>22 LR</t>
        </is>
      </c>
      <c r="G1505" s="3" t="inlineStr">
        <is>
          <t>WINCHESTER</t>
        </is>
      </c>
      <c r="H1505" s="65" t="inlineStr">
        <is>
          <t>XPERT STEALTH, THR 18''</t>
        </is>
      </c>
      <c r="I1505" s="65" t="inlineStr">
        <is>
          <t>TF614-24AB11877</t>
        </is>
      </c>
      <c r="J1505" s="65" t="inlineStr">
        <is>
          <t>N/D</t>
        </is>
      </c>
      <c r="K1505" s="65" t="inlineStr">
        <is>
          <t>N/D</t>
        </is>
      </c>
      <c r="L1505" s="127" t="inlineStr">
        <is>
          <t>BROWNING INTERNATIONAL SA</t>
        </is>
      </c>
      <c r="M1505" s="5" t="n">
        <v>279</v>
      </c>
      <c r="N1505" s="5" t="n"/>
      <c r="O1505" s="5">
        <f>+M1505+N1505</f>
        <v/>
      </c>
      <c r="P1505" s="4" t="n">
        <v>45826</v>
      </c>
      <c r="Q1505" s="87" t="n">
        <v>45800</v>
      </c>
      <c r="R1505" s="5" t="n"/>
      <c r="S1505" s="2" t="n"/>
      <c r="T1505" s="3" t="n"/>
      <c r="U1505" s="87" t="n"/>
      <c r="V1505" s="3" t="n"/>
      <c r="W1505" s="108" t="n"/>
      <c r="X1505" s="4" t="n"/>
    </row>
    <row r="1506" ht="24" customHeight="1">
      <c r="A1506" s="2">
        <f>+D1506-S1506</f>
        <v/>
      </c>
      <c r="B1506" s="80" t="n">
        <v>3150</v>
      </c>
      <c r="C1506" s="66" t="n">
        <v>45832</v>
      </c>
      <c r="D1506" s="2" t="n">
        <v>1</v>
      </c>
      <c r="E1506" s="3" t="inlineStr">
        <is>
          <t>CARABINA</t>
        </is>
      </c>
      <c r="F1506" s="3" t="inlineStr">
        <is>
          <t>22 LR</t>
        </is>
      </c>
      <c r="G1506" s="3" t="inlineStr">
        <is>
          <t>WINCHESTER</t>
        </is>
      </c>
      <c r="H1506" s="65" t="inlineStr">
        <is>
          <t>XPERT STEALTH, THR 18''</t>
        </is>
      </c>
      <c r="I1506" s="65" t="inlineStr">
        <is>
          <t>TF614-24AB11752</t>
        </is>
      </c>
      <c r="J1506" s="65" t="inlineStr">
        <is>
          <t>N/D</t>
        </is>
      </c>
      <c r="K1506" s="65" t="inlineStr">
        <is>
          <t>N/D</t>
        </is>
      </c>
      <c r="L1506" s="127" t="inlineStr">
        <is>
          <t>BROWNING INTERNATIONAL SA</t>
        </is>
      </c>
      <c r="M1506" s="5" t="n">
        <v>279</v>
      </c>
      <c r="N1506" s="5" t="n"/>
      <c r="O1506" s="5">
        <f>+M1506+N1506</f>
        <v/>
      </c>
      <c r="P1506" s="4" t="n">
        <v>45826</v>
      </c>
      <c r="Q1506" s="87" t="n">
        <v>45800</v>
      </c>
      <c r="R1506" s="5" t="n"/>
      <c r="S1506" s="2" t="n"/>
      <c r="T1506" s="3" t="n"/>
      <c r="U1506" s="87" t="n"/>
      <c r="V1506" s="3" t="n"/>
      <c r="W1506" s="108" t="n"/>
      <c r="X1506" s="4" t="n"/>
    </row>
    <row r="1507" ht="24" customHeight="1">
      <c r="A1507" s="2">
        <f>+D1507-S1507</f>
        <v/>
      </c>
      <c r="B1507" s="80" t="n">
        <v>3151</v>
      </c>
      <c r="C1507" s="66" t="n">
        <v>45832</v>
      </c>
      <c r="D1507" s="2" t="n">
        <v>1</v>
      </c>
      <c r="E1507" s="3" t="inlineStr">
        <is>
          <t>CARABINA</t>
        </is>
      </c>
      <c r="F1507" s="3" t="inlineStr">
        <is>
          <t>22 LR</t>
        </is>
      </c>
      <c r="G1507" s="3" t="inlineStr">
        <is>
          <t>WINCHESTER</t>
        </is>
      </c>
      <c r="H1507" s="65" t="inlineStr">
        <is>
          <t>XPERT STEALTH, THR 18''</t>
        </is>
      </c>
      <c r="I1507" s="65" t="inlineStr">
        <is>
          <t>TF614-24AB11886</t>
        </is>
      </c>
      <c r="J1507" s="65" t="inlineStr">
        <is>
          <t>N/D</t>
        </is>
      </c>
      <c r="K1507" s="65" t="inlineStr">
        <is>
          <t>N/D</t>
        </is>
      </c>
      <c r="L1507" s="127" t="inlineStr">
        <is>
          <t>BROWNING INTERNATIONAL SA</t>
        </is>
      </c>
      <c r="M1507" s="5" t="n">
        <v>279</v>
      </c>
      <c r="N1507" s="5" t="n"/>
      <c r="O1507" s="5">
        <f>+M1507+N1507</f>
        <v/>
      </c>
      <c r="P1507" s="4" t="n">
        <v>45826</v>
      </c>
      <c r="Q1507" s="87" t="n">
        <v>45800</v>
      </c>
      <c r="R1507" s="5" t="n"/>
      <c r="S1507" s="2" t="n"/>
      <c r="T1507" s="3" t="n"/>
      <c r="U1507" s="87" t="n"/>
      <c r="V1507" s="3" t="n"/>
      <c r="W1507" s="108" t="n"/>
      <c r="X1507" s="4" t="n"/>
    </row>
    <row r="1508" ht="24" customHeight="1">
      <c r="A1508" s="2">
        <f>+D1508-S1508</f>
        <v/>
      </c>
      <c r="B1508" s="80" t="n">
        <v>3152</v>
      </c>
      <c r="C1508" s="66" t="n">
        <v>45832</v>
      </c>
      <c r="D1508" s="2" t="n">
        <v>1</v>
      </c>
      <c r="E1508" s="3" t="inlineStr">
        <is>
          <t>CARABINA</t>
        </is>
      </c>
      <c r="F1508" s="3" t="inlineStr">
        <is>
          <t>22 LR</t>
        </is>
      </c>
      <c r="G1508" s="3" t="inlineStr">
        <is>
          <t>WINCHESTER</t>
        </is>
      </c>
      <c r="H1508" s="65" t="inlineStr">
        <is>
          <t>XPERT STEALTH, THR 18''</t>
        </is>
      </c>
      <c r="I1508" s="65" t="inlineStr">
        <is>
          <t>TF614-24AB11760</t>
        </is>
      </c>
      <c r="J1508" s="65" t="inlineStr">
        <is>
          <t>N/D</t>
        </is>
      </c>
      <c r="K1508" s="65" t="inlineStr">
        <is>
          <t>N/D</t>
        </is>
      </c>
      <c r="L1508" s="127" t="inlineStr">
        <is>
          <t>BROWNING INTERNATIONAL SA</t>
        </is>
      </c>
      <c r="M1508" s="5" t="n">
        <v>279</v>
      </c>
      <c r="N1508" s="5" t="n"/>
      <c r="O1508" s="5">
        <f>+M1508+N1508</f>
        <v/>
      </c>
      <c r="P1508" s="4" t="n">
        <v>45826</v>
      </c>
      <c r="Q1508" s="87" t="n">
        <v>45800</v>
      </c>
      <c r="R1508" s="5" t="n"/>
      <c r="S1508" s="2" t="n"/>
      <c r="T1508" s="3" t="n"/>
      <c r="U1508" s="87" t="n"/>
      <c r="V1508" s="3" t="n"/>
      <c r="W1508" s="108" t="n"/>
      <c r="X1508" s="4" t="n"/>
    </row>
    <row r="1509" ht="24" customHeight="1">
      <c r="A1509" s="2">
        <f>+D1509-S1509</f>
        <v/>
      </c>
      <c r="B1509" s="80" t="n">
        <v>3153</v>
      </c>
      <c r="C1509" s="66" t="n">
        <v>45832</v>
      </c>
      <c r="D1509" s="2" t="n">
        <v>1</v>
      </c>
      <c r="E1509" s="3" t="inlineStr">
        <is>
          <t>CARABINA</t>
        </is>
      </c>
      <c r="F1509" s="3" t="inlineStr">
        <is>
          <t>22 LR</t>
        </is>
      </c>
      <c r="G1509" s="3" t="inlineStr">
        <is>
          <t>WINCHESTER</t>
        </is>
      </c>
      <c r="H1509" s="65" t="inlineStr">
        <is>
          <t>XPERT STEALTH, THR 18''</t>
        </is>
      </c>
      <c r="I1509" s="65" t="inlineStr">
        <is>
          <t>TF614-24AB11857</t>
        </is>
      </c>
      <c r="J1509" s="65" t="inlineStr">
        <is>
          <t>N/D</t>
        </is>
      </c>
      <c r="K1509" s="65" t="inlineStr">
        <is>
          <t>N/D</t>
        </is>
      </c>
      <c r="L1509" s="127" t="inlineStr">
        <is>
          <t>BROWNING INTERNATIONAL SA</t>
        </is>
      </c>
      <c r="M1509" s="5" t="n">
        <v>279</v>
      </c>
      <c r="N1509" s="5" t="n"/>
      <c r="O1509" s="5">
        <f>+M1509+N1509</f>
        <v/>
      </c>
      <c r="P1509" s="4" t="n">
        <v>45826</v>
      </c>
      <c r="Q1509" s="87" t="n">
        <v>45800</v>
      </c>
      <c r="R1509" s="5" t="n"/>
      <c r="S1509" s="2" t="n"/>
      <c r="T1509" s="3" t="n"/>
      <c r="U1509" s="87" t="n"/>
      <c r="V1509" s="3" t="n"/>
      <c r="W1509" s="108" t="n"/>
      <c r="X1509" s="4" t="n"/>
    </row>
    <row r="1510" ht="24" customHeight="1">
      <c r="A1510" s="2">
        <f>+D1510-S1510</f>
        <v/>
      </c>
      <c r="B1510" s="80" t="n">
        <v>3154</v>
      </c>
      <c r="C1510" s="66" t="n">
        <v>45832</v>
      </c>
      <c r="D1510" s="2" t="n">
        <v>1</v>
      </c>
      <c r="E1510" s="3" t="inlineStr">
        <is>
          <t>CARABINA</t>
        </is>
      </c>
      <c r="F1510" s="3" t="inlineStr">
        <is>
          <t>22 LR</t>
        </is>
      </c>
      <c r="G1510" s="3" t="inlineStr">
        <is>
          <t>WINCHESTER</t>
        </is>
      </c>
      <c r="H1510" s="65" t="inlineStr">
        <is>
          <t>XPERT STEALTH, THR 18''</t>
        </is>
      </c>
      <c r="I1510" s="65" t="inlineStr">
        <is>
          <t>TF614-24AB11846</t>
        </is>
      </c>
      <c r="J1510" s="65" t="inlineStr">
        <is>
          <t>N/D</t>
        </is>
      </c>
      <c r="K1510" s="65" t="inlineStr">
        <is>
          <t>N/D</t>
        </is>
      </c>
      <c r="L1510" s="127" t="inlineStr">
        <is>
          <t>BROWNING INTERNATIONAL SA</t>
        </is>
      </c>
      <c r="M1510" s="5" t="n">
        <v>279</v>
      </c>
      <c r="N1510" s="5" t="n"/>
      <c r="O1510" s="5">
        <f>+M1510+N1510</f>
        <v/>
      </c>
      <c r="P1510" s="4" t="n">
        <v>45826</v>
      </c>
      <c r="Q1510" s="87" t="n">
        <v>45800</v>
      </c>
      <c r="R1510" s="5" t="n"/>
      <c r="S1510" s="2" t="n"/>
      <c r="T1510" s="3" t="n"/>
      <c r="U1510" s="87" t="n"/>
      <c r="V1510" s="3" t="n"/>
      <c r="W1510" s="108" t="n"/>
      <c r="X1510" s="4" t="n"/>
    </row>
    <row r="1511" ht="24" customHeight="1">
      <c r="A1511" s="2">
        <f>+D1511-S1511</f>
        <v/>
      </c>
      <c r="B1511" s="80" t="n">
        <v>3155</v>
      </c>
      <c r="C1511" s="66" t="n">
        <v>45832</v>
      </c>
      <c r="D1511" s="2" t="n">
        <v>1</v>
      </c>
      <c r="E1511" s="3" t="inlineStr">
        <is>
          <t>CARABINA</t>
        </is>
      </c>
      <c r="F1511" s="3" t="inlineStr">
        <is>
          <t>22 LR</t>
        </is>
      </c>
      <c r="G1511" s="3" t="inlineStr">
        <is>
          <t>WINCHESTER</t>
        </is>
      </c>
      <c r="H1511" s="65" t="inlineStr">
        <is>
          <t>XPERT STEALTH, THR 18''</t>
        </is>
      </c>
      <c r="I1511" s="65" t="inlineStr">
        <is>
          <t>TF614-24AB11755</t>
        </is>
      </c>
      <c r="J1511" s="65" t="inlineStr">
        <is>
          <t>N/D</t>
        </is>
      </c>
      <c r="K1511" s="65" t="inlineStr">
        <is>
          <t>N/D</t>
        </is>
      </c>
      <c r="L1511" s="127" t="inlineStr">
        <is>
          <t>BROWNING INTERNATIONAL SA</t>
        </is>
      </c>
      <c r="M1511" s="5" t="n">
        <v>279</v>
      </c>
      <c r="N1511" s="5" t="n"/>
      <c r="O1511" s="5">
        <f>+M1511+N1511</f>
        <v/>
      </c>
      <c r="P1511" s="4" t="n">
        <v>45826</v>
      </c>
      <c r="Q1511" s="87" t="n">
        <v>45800</v>
      </c>
      <c r="R1511" s="5" t="n"/>
      <c r="S1511" s="2" t="n"/>
      <c r="T1511" s="3" t="n"/>
      <c r="U1511" s="87" t="n"/>
      <c r="V1511" s="3" t="n"/>
      <c r="W1511" s="108" t="n"/>
      <c r="X1511" s="4" t="n"/>
    </row>
    <row r="1512" ht="24" customHeight="1">
      <c r="A1512" s="2">
        <f>+D1512-S1512</f>
        <v/>
      </c>
      <c r="B1512" s="80" t="n">
        <v>3156</v>
      </c>
      <c r="C1512" s="66" t="n">
        <v>45832</v>
      </c>
      <c r="D1512" s="2" t="n">
        <v>1</v>
      </c>
      <c r="E1512" s="3" t="inlineStr">
        <is>
          <t>CARABINA</t>
        </is>
      </c>
      <c r="F1512" s="3" t="inlineStr">
        <is>
          <t>22 LR</t>
        </is>
      </c>
      <c r="G1512" s="3" t="inlineStr">
        <is>
          <t>WINCHESTER</t>
        </is>
      </c>
      <c r="H1512" s="65" t="inlineStr">
        <is>
          <t>XPERT STEALTH, THR 18''</t>
        </is>
      </c>
      <c r="I1512" s="65" t="inlineStr">
        <is>
          <t>TF614-24AB11869</t>
        </is>
      </c>
      <c r="J1512" s="65" t="inlineStr">
        <is>
          <t>N/D</t>
        </is>
      </c>
      <c r="K1512" s="65" t="inlineStr">
        <is>
          <t>N/D</t>
        </is>
      </c>
      <c r="L1512" s="127" t="inlineStr">
        <is>
          <t>BROWNING INTERNATIONAL SA</t>
        </is>
      </c>
      <c r="M1512" s="5" t="n">
        <v>279</v>
      </c>
      <c r="N1512" s="5" t="n"/>
      <c r="O1512" s="5">
        <f>+M1512+N1512</f>
        <v/>
      </c>
      <c r="P1512" s="4" t="n">
        <v>45826</v>
      </c>
      <c r="Q1512" s="87" t="n">
        <v>45800</v>
      </c>
      <c r="R1512" s="5" t="n"/>
      <c r="S1512" s="2" t="n"/>
      <c r="T1512" s="3" t="n"/>
      <c r="U1512" s="87" t="n"/>
      <c r="V1512" s="3" t="n"/>
      <c r="W1512" s="108" t="n"/>
      <c r="X1512" s="4" t="n"/>
    </row>
    <row r="1513" ht="24" customHeight="1">
      <c r="A1513" s="2">
        <f>+D1513-S1513</f>
        <v/>
      </c>
      <c r="B1513" s="80" t="n">
        <v>3157</v>
      </c>
      <c r="C1513" s="66" t="n">
        <v>45832</v>
      </c>
      <c r="D1513" s="2" t="n">
        <v>1</v>
      </c>
      <c r="E1513" s="3" t="inlineStr">
        <is>
          <t>CARABINA</t>
        </is>
      </c>
      <c r="F1513" s="3" t="inlineStr">
        <is>
          <t>22 LR</t>
        </is>
      </c>
      <c r="G1513" s="3" t="inlineStr">
        <is>
          <t>WINCHESTER</t>
        </is>
      </c>
      <c r="H1513" s="65" t="inlineStr">
        <is>
          <t>XPERT STEALTH, THR 18''</t>
        </is>
      </c>
      <c r="I1513" s="65" t="inlineStr">
        <is>
          <t>TF614-24AB11887</t>
        </is>
      </c>
      <c r="J1513" s="65" t="inlineStr">
        <is>
          <t>N/D</t>
        </is>
      </c>
      <c r="K1513" s="65" t="inlineStr">
        <is>
          <t>N/D</t>
        </is>
      </c>
      <c r="L1513" s="127" t="inlineStr">
        <is>
          <t>BROWNING INTERNATIONAL SA</t>
        </is>
      </c>
      <c r="M1513" s="5" t="n">
        <v>279</v>
      </c>
      <c r="N1513" s="5" t="n"/>
      <c r="O1513" s="5">
        <f>+M1513+N1513</f>
        <v/>
      </c>
      <c r="P1513" s="4" t="n">
        <v>45826</v>
      </c>
      <c r="Q1513" s="87" t="n">
        <v>45800</v>
      </c>
      <c r="R1513" s="5" t="n"/>
      <c r="S1513" s="2" t="n"/>
      <c r="T1513" s="3" t="n"/>
      <c r="U1513" s="87" t="n"/>
      <c r="V1513" s="3" t="n"/>
      <c r="W1513" s="108" t="n"/>
      <c r="X1513" s="4" t="n"/>
    </row>
    <row r="1514" ht="24" customHeight="1">
      <c r="A1514" s="2">
        <f>+D1514-S1514</f>
        <v/>
      </c>
      <c r="B1514" s="80" t="n">
        <v>3158</v>
      </c>
      <c r="C1514" s="66" t="n">
        <v>45832</v>
      </c>
      <c r="D1514" s="2" t="n">
        <v>1</v>
      </c>
      <c r="E1514" s="3" t="inlineStr">
        <is>
          <t>CARABINA</t>
        </is>
      </c>
      <c r="F1514" s="3" t="inlineStr">
        <is>
          <t>22 LR</t>
        </is>
      </c>
      <c r="G1514" s="3" t="inlineStr">
        <is>
          <t>WINCHESTER</t>
        </is>
      </c>
      <c r="H1514" s="65" t="inlineStr">
        <is>
          <t>XPERT STEALTH, THR 18''</t>
        </is>
      </c>
      <c r="I1514" s="65" t="inlineStr">
        <is>
          <t>TF614-24AB11754</t>
        </is>
      </c>
      <c r="J1514" s="65" t="inlineStr">
        <is>
          <t>N/D</t>
        </is>
      </c>
      <c r="K1514" s="65" t="inlineStr">
        <is>
          <t>N/D</t>
        </is>
      </c>
      <c r="L1514" s="127" t="inlineStr">
        <is>
          <t>BROWNING INTERNATIONAL SA</t>
        </is>
      </c>
      <c r="M1514" s="5" t="n">
        <v>279</v>
      </c>
      <c r="N1514" s="5" t="n"/>
      <c r="O1514" s="5">
        <f>+M1514+N1514</f>
        <v/>
      </c>
      <c r="P1514" s="4" t="n">
        <v>45826</v>
      </c>
      <c r="Q1514" s="87" t="n">
        <v>45800</v>
      </c>
      <c r="R1514" s="5" t="n"/>
      <c r="S1514" s="2" t="n"/>
      <c r="T1514" s="3" t="n"/>
      <c r="U1514" s="87" t="n"/>
      <c r="V1514" s="3" t="n"/>
      <c r="W1514" s="108" t="n"/>
      <c r="X1514" s="4" t="n"/>
    </row>
    <row r="1515" ht="24" customHeight="1">
      <c r="A1515" s="2">
        <f>+D1515-S1515</f>
        <v/>
      </c>
      <c r="B1515" s="80" t="n">
        <v>3159</v>
      </c>
      <c r="C1515" s="66" t="n">
        <v>45832</v>
      </c>
      <c r="D1515" s="2" t="n">
        <v>1</v>
      </c>
      <c r="E1515" s="3" t="inlineStr">
        <is>
          <t>CARABINA</t>
        </is>
      </c>
      <c r="F1515" s="3" t="inlineStr">
        <is>
          <t>22 LR</t>
        </is>
      </c>
      <c r="G1515" s="3" t="inlineStr">
        <is>
          <t>WINCHESTER</t>
        </is>
      </c>
      <c r="H1515" s="65" t="inlineStr">
        <is>
          <t>XPERT STEALTH, THR 18''</t>
        </is>
      </c>
      <c r="I1515" s="65" t="inlineStr">
        <is>
          <t>TF614-24AB11867</t>
        </is>
      </c>
      <c r="J1515" s="65" t="inlineStr">
        <is>
          <t>N/D</t>
        </is>
      </c>
      <c r="K1515" s="65" t="inlineStr">
        <is>
          <t>N/D</t>
        </is>
      </c>
      <c r="L1515" s="127" t="inlineStr">
        <is>
          <t>BROWNING INTERNATIONAL SA</t>
        </is>
      </c>
      <c r="M1515" s="5" t="n">
        <v>279</v>
      </c>
      <c r="N1515" s="5" t="n"/>
      <c r="O1515" s="5">
        <f>+M1515+N1515</f>
        <v/>
      </c>
      <c r="P1515" s="4" t="n">
        <v>45826</v>
      </c>
      <c r="Q1515" s="87" t="n">
        <v>45800</v>
      </c>
      <c r="R1515" s="5" t="n"/>
      <c r="S1515" s="2" t="n"/>
      <c r="T1515" s="3" t="n"/>
      <c r="U1515" s="87" t="n"/>
      <c r="V1515" s="3" t="n"/>
      <c r="W1515" s="108" t="n"/>
      <c r="X1515" s="4" t="n"/>
    </row>
    <row r="1516" ht="24" customHeight="1">
      <c r="A1516" s="2">
        <f>+D1516-S1516</f>
        <v/>
      </c>
      <c r="B1516" s="80" t="n">
        <v>3160</v>
      </c>
      <c r="C1516" s="66" t="n">
        <v>45832</v>
      </c>
      <c r="D1516" s="2" t="n">
        <v>1</v>
      </c>
      <c r="E1516" s="3" t="inlineStr">
        <is>
          <t>CARABINA</t>
        </is>
      </c>
      <c r="F1516" s="3" t="inlineStr">
        <is>
          <t>22 LR</t>
        </is>
      </c>
      <c r="G1516" s="3" t="inlineStr">
        <is>
          <t>WINCHESTER</t>
        </is>
      </c>
      <c r="H1516" s="65" t="inlineStr">
        <is>
          <t>XPERT STEALTH, THR 18''</t>
        </is>
      </c>
      <c r="I1516" s="65" t="inlineStr">
        <is>
          <t>TF614-24AB11870</t>
        </is>
      </c>
      <c r="J1516" s="65" t="inlineStr">
        <is>
          <t>N/D</t>
        </is>
      </c>
      <c r="K1516" s="65" t="inlineStr">
        <is>
          <t>N/D</t>
        </is>
      </c>
      <c r="L1516" s="127" t="inlineStr">
        <is>
          <t>BROWNING INTERNATIONAL SA</t>
        </is>
      </c>
      <c r="M1516" s="5" t="n">
        <v>279</v>
      </c>
      <c r="N1516" s="5" t="n"/>
      <c r="O1516" s="5">
        <f>+M1516+N1516</f>
        <v/>
      </c>
      <c r="P1516" s="4" t="n">
        <v>45826</v>
      </c>
      <c r="Q1516" s="87" t="n">
        <v>45800</v>
      </c>
      <c r="R1516" s="5" t="n"/>
      <c r="S1516" s="2" t="n"/>
      <c r="T1516" s="3" t="n"/>
      <c r="U1516" s="87" t="n"/>
      <c r="V1516" s="3" t="n"/>
      <c r="W1516" s="108" t="n"/>
      <c r="X1516" s="4" t="n"/>
    </row>
    <row r="1517" ht="24" customHeight="1">
      <c r="A1517" s="2">
        <f>+D1517-S1517</f>
        <v/>
      </c>
      <c r="B1517" s="80" t="n">
        <v>3161</v>
      </c>
      <c r="C1517" s="66" t="n">
        <v>45832</v>
      </c>
      <c r="D1517" s="2" t="n">
        <v>1</v>
      </c>
      <c r="E1517" s="3" t="inlineStr">
        <is>
          <t>CARABINA</t>
        </is>
      </c>
      <c r="F1517" s="3" t="inlineStr">
        <is>
          <t>22 LR</t>
        </is>
      </c>
      <c r="G1517" s="3" t="inlineStr">
        <is>
          <t>WINCHESTER</t>
        </is>
      </c>
      <c r="H1517" s="65" t="inlineStr">
        <is>
          <t>XPERT FDE, THR 18''</t>
        </is>
      </c>
      <c r="I1517" s="65" t="inlineStr">
        <is>
          <t>TF614-25AB00750</t>
        </is>
      </c>
      <c r="J1517" s="65" t="inlineStr">
        <is>
          <t>N/D</t>
        </is>
      </c>
      <c r="K1517" s="65" t="inlineStr">
        <is>
          <t>N/D</t>
        </is>
      </c>
      <c r="L1517" s="127" t="inlineStr">
        <is>
          <t>BROWNING INTERNATIONAL SA</t>
        </is>
      </c>
      <c r="M1517" s="5" t="n">
        <v>279</v>
      </c>
      <c r="N1517" s="5" t="n"/>
      <c r="O1517" s="5">
        <f>+M1517+N1517</f>
        <v/>
      </c>
      <c r="P1517" s="4" t="n">
        <v>45826</v>
      </c>
      <c r="Q1517" s="87" t="n">
        <v>45800</v>
      </c>
      <c r="R1517" s="5" t="n"/>
      <c r="S1517" s="2" t="n"/>
      <c r="T1517" s="3" t="n"/>
      <c r="U1517" s="87" t="n"/>
      <c r="V1517" s="3" t="n"/>
      <c r="W1517" s="108" t="n"/>
      <c r="X1517" s="4" t="n"/>
    </row>
    <row r="1518" ht="24" customHeight="1">
      <c r="A1518" s="2">
        <f>+D1518-S1518</f>
        <v/>
      </c>
      <c r="B1518" s="80" t="n">
        <v>3162</v>
      </c>
      <c r="C1518" s="66" t="n">
        <v>45832</v>
      </c>
      <c r="D1518" s="2" t="n">
        <v>1</v>
      </c>
      <c r="E1518" s="3" t="inlineStr">
        <is>
          <t>CARABINA</t>
        </is>
      </c>
      <c r="F1518" s="3" t="inlineStr">
        <is>
          <t>22 LR</t>
        </is>
      </c>
      <c r="G1518" s="3" t="inlineStr">
        <is>
          <t>WINCHESTER</t>
        </is>
      </c>
      <c r="H1518" s="65" t="inlineStr">
        <is>
          <t>XPERT FDE, THR 18''</t>
        </is>
      </c>
      <c r="I1518" s="65" t="inlineStr">
        <is>
          <t>TF614-25AB00739</t>
        </is>
      </c>
      <c r="J1518" s="65" t="inlineStr">
        <is>
          <t>N/D</t>
        </is>
      </c>
      <c r="K1518" s="65" t="inlineStr">
        <is>
          <t>N/D</t>
        </is>
      </c>
      <c r="L1518" s="127" t="inlineStr">
        <is>
          <t>BROWNING INTERNATIONAL SA</t>
        </is>
      </c>
      <c r="M1518" s="5" t="n">
        <v>279</v>
      </c>
      <c r="N1518" s="5" t="n"/>
      <c r="O1518" s="5">
        <f>+M1518+N1518</f>
        <v/>
      </c>
      <c r="P1518" s="4" t="n">
        <v>45826</v>
      </c>
      <c r="Q1518" s="87" t="n">
        <v>45800</v>
      </c>
      <c r="R1518" s="5" t="n"/>
      <c r="S1518" s="2" t="n"/>
      <c r="T1518" s="3" t="n"/>
      <c r="U1518" s="87" t="n"/>
      <c r="V1518" s="3" t="n"/>
      <c r="W1518" s="108" t="n"/>
      <c r="X1518" s="4" t="n"/>
    </row>
    <row r="1519" ht="24" customHeight="1">
      <c r="A1519" s="2">
        <f>+D1519-S1519</f>
        <v/>
      </c>
      <c r="B1519" s="80" t="n">
        <v>3163</v>
      </c>
      <c r="C1519" s="66" t="n">
        <v>45832</v>
      </c>
      <c r="D1519" s="2" t="n">
        <v>1</v>
      </c>
      <c r="E1519" s="3" t="inlineStr">
        <is>
          <t>CARABINA</t>
        </is>
      </c>
      <c r="F1519" s="3" t="inlineStr">
        <is>
          <t>22 LR</t>
        </is>
      </c>
      <c r="G1519" s="3" t="inlineStr">
        <is>
          <t>WINCHESTER</t>
        </is>
      </c>
      <c r="H1519" s="65" t="inlineStr">
        <is>
          <t>XPERT FDE, THR 18''</t>
        </is>
      </c>
      <c r="I1519" s="65" t="inlineStr">
        <is>
          <t>TF614-25AB00752</t>
        </is>
      </c>
      <c r="J1519" s="65" t="inlineStr">
        <is>
          <t>N/D</t>
        </is>
      </c>
      <c r="K1519" s="65" t="inlineStr">
        <is>
          <t>N/D</t>
        </is>
      </c>
      <c r="L1519" s="127" t="inlineStr">
        <is>
          <t>BROWNING INTERNATIONAL SA</t>
        </is>
      </c>
      <c r="M1519" s="5" t="n">
        <v>279</v>
      </c>
      <c r="N1519" s="5" t="n"/>
      <c r="O1519" s="5">
        <f>+M1519+N1519</f>
        <v/>
      </c>
      <c r="P1519" s="4" t="n">
        <v>45826</v>
      </c>
      <c r="Q1519" s="87" t="n">
        <v>45800</v>
      </c>
      <c r="R1519" s="5" t="n"/>
      <c r="S1519" s="2" t="n"/>
      <c r="T1519" s="3" t="n"/>
      <c r="U1519" s="87" t="n"/>
      <c r="V1519" s="3" t="n"/>
      <c r="W1519" s="108" t="n"/>
      <c r="X1519" s="4" t="n"/>
    </row>
    <row r="1520" ht="24" customHeight="1">
      <c r="A1520" s="2">
        <f>+D1520-S1520</f>
        <v/>
      </c>
      <c r="B1520" s="80" t="n">
        <v>3164</v>
      </c>
      <c r="C1520" s="66" t="n">
        <v>45832</v>
      </c>
      <c r="D1520" s="2" t="n">
        <v>1</v>
      </c>
      <c r="E1520" s="3" t="inlineStr">
        <is>
          <t>CARABINA</t>
        </is>
      </c>
      <c r="F1520" s="3" t="inlineStr">
        <is>
          <t>22 LR</t>
        </is>
      </c>
      <c r="G1520" s="3" t="inlineStr">
        <is>
          <t>WINCHESTER</t>
        </is>
      </c>
      <c r="H1520" s="65" t="inlineStr">
        <is>
          <t>XPERT FDE, THR 18''</t>
        </is>
      </c>
      <c r="I1520" s="65" t="inlineStr">
        <is>
          <t>TF614-25AB00780</t>
        </is>
      </c>
      <c r="J1520" s="65" t="inlineStr">
        <is>
          <t>N/D</t>
        </is>
      </c>
      <c r="K1520" s="65" t="inlineStr">
        <is>
          <t>N/D</t>
        </is>
      </c>
      <c r="L1520" s="127" t="inlineStr">
        <is>
          <t>BROWNING INTERNATIONAL SA</t>
        </is>
      </c>
      <c r="M1520" s="5" t="n">
        <v>279</v>
      </c>
      <c r="N1520" s="5" t="n"/>
      <c r="O1520" s="5">
        <f>+M1520+N1520</f>
        <v/>
      </c>
      <c r="P1520" s="4" t="n">
        <v>45826</v>
      </c>
      <c r="Q1520" s="87" t="n">
        <v>45800</v>
      </c>
      <c r="R1520" s="5" t="n"/>
      <c r="S1520" s="2" t="n"/>
      <c r="T1520" s="3" t="n"/>
      <c r="U1520" s="87" t="n"/>
      <c r="V1520" s="3" t="n"/>
      <c r="W1520" s="108" t="n"/>
      <c r="X1520" s="4" t="n"/>
    </row>
    <row r="1521" ht="24" customHeight="1">
      <c r="A1521" s="2">
        <f>+D1521-S1521</f>
        <v/>
      </c>
      <c r="B1521" s="80" t="n">
        <v>3165</v>
      </c>
      <c r="C1521" s="66" t="n">
        <v>45832</v>
      </c>
      <c r="D1521" s="2" t="n">
        <v>1</v>
      </c>
      <c r="E1521" s="3" t="inlineStr">
        <is>
          <t>CARABINA</t>
        </is>
      </c>
      <c r="F1521" s="3" t="inlineStr">
        <is>
          <t>22 LR</t>
        </is>
      </c>
      <c r="G1521" s="3" t="inlineStr">
        <is>
          <t>WINCHESTER</t>
        </is>
      </c>
      <c r="H1521" s="65" t="inlineStr">
        <is>
          <t>XPERT FDE, THR 18''</t>
        </is>
      </c>
      <c r="I1521" s="65" t="inlineStr">
        <is>
          <t>TF614-25AB00786</t>
        </is>
      </c>
      <c r="J1521" s="65" t="inlineStr">
        <is>
          <t>N/D</t>
        </is>
      </c>
      <c r="K1521" s="65" t="inlineStr">
        <is>
          <t>N/D</t>
        </is>
      </c>
      <c r="L1521" s="127" t="inlineStr">
        <is>
          <t>BROWNING INTERNATIONAL SA</t>
        </is>
      </c>
      <c r="M1521" s="5" t="n">
        <v>279</v>
      </c>
      <c r="N1521" s="5" t="n"/>
      <c r="O1521" s="5">
        <f>+M1521+N1521</f>
        <v/>
      </c>
      <c r="P1521" s="4" t="n">
        <v>45826</v>
      </c>
      <c r="Q1521" s="87" t="n">
        <v>45800</v>
      </c>
      <c r="R1521" s="5" t="n"/>
      <c r="S1521" s="2" t="n"/>
      <c r="T1521" s="3" t="n"/>
      <c r="U1521" s="87" t="n"/>
      <c r="V1521" s="3" t="n"/>
      <c r="W1521" s="108" t="n"/>
      <c r="X1521" s="4" t="n"/>
    </row>
    <row r="1522" ht="24" customHeight="1">
      <c r="A1522" s="2">
        <f>+D1522-S1522</f>
        <v/>
      </c>
      <c r="B1522" s="80" t="n">
        <v>3166</v>
      </c>
      <c r="C1522" s="66" t="n">
        <v>45832</v>
      </c>
      <c r="D1522" s="2" t="n">
        <v>1</v>
      </c>
      <c r="E1522" s="3" t="inlineStr">
        <is>
          <t>CARABINA</t>
        </is>
      </c>
      <c r="F1522" s="3" t="inlineStr">
        <is>
          <t>22 LR</t>
        </is>
      </c>
      <c r="G1522" s="3" t="inlineStr">
        <is>
          <t>WINCHESTER</t>
        </is>
      </c>
      <c r="H1522" s="65" t="inlineStr">
        <is>
          <t>XPERT FDE, THR 18''</t>
        </is>
      </c>
      <c r="I1522" s="65" t="inlineStr">
        <is>
          <t>TF614-25AB00735</t>
        </is>
      </c>
      <c r="J1522" s="65" t="inlineStr">
        <is>
          <t>N/D</t>
        </is>
      </c>
      <c r="K1522" s="65" t="inlineStr">
        <is>
          <t>N/D</t>
        </is>
      </c>
      <c r="L1522" s="127" t="inlineStr">
        <is>
          <t>BROWNING INTERNATIONAL SA</t>
        </is>
      </c>
      <c r="M1522" s="5" t="n">
        <v>279</v>
      </c>
      <c r="N1522" s="5" t="n"/>
      <c r="O1522" s="5">
        <f>+M1522+N1522</f>
        <v/>
      </c>
      <c r="P1522" s="4" t="n">
        <v>45826</v>
      </c>
      <c r="Q1522" s="87" t="n">
        <v>45800</v>
      </c>
      <c r="R1522" s="5" t="n"/>
      <c r="S1522" s="2" t="n"/>
      <c r="T1522" s="3" t="n"/>
      <c r="U1522" s="87" t="n"/>
      <c r="V1522" s="3" t="n"/>
      <c r="W1522" s="108" t="n"/>
      <c r="X1522" s="4" t="n"/>
    </row>
    <row r="1523" ht="24" customHeight="1">
      <c r="A1523" s="2">
        <f>+D1523-S1523</f>
        <v/>
      </c>
      <c r="B1523" s="80" t="n">
        <v>3167</v>
      </c>
      <c r="C1523" s="66" t="n">
        <v>45832</v>
      </c>
      <c r="D1523" s="2" t="n">
        <v>1</v>
      </c>
      <c r="E1523" s="3" t="inlineStr">
        <is>
          <t>CARABINA</t>
        </is>
      </c>
      <c r="F1523" s="3" t="inlineStr">
        <is>
          <t>22 LR</t>
        </is>
      </c>
      <c r="G1523" s="3" t="inlineStr">
        <is>
          <t>WINCHESTER</t>
        </is>
      </c>
      <c r="H1523" s="65" t="inlineStr">
        <is>
          <t>XPERT FDE, THR 18''</t>
        </is>
      </c>
      <c r="I1523" s="65" t="inlineStr">
        <is>
          <t>TF614-25AB00746</t>
        </is>
      </c>
      <c r="J1523" s="65" t="inlineStr">
        <is>
          <t>N/D</t>
        </is>
      </c>
      <c r="K1523" s="65" t="inlineStr">
        <is>
          <t>N/D</t>
        </is>
      </c>
      <c r="L1523" s="127" t="inlineStr">
        <is>
          <t>BROWNING INTERNATIONAL SA</t>
        </is>
      </c>
      <c r="M1523" s="5" t="n">
        <v>279</v>
      </c>
      <c r="N1523" s="5" t="n"/>
      <c r="O1523" s="5">
        <f>+M1523+N1523</f>
        <v/>
      </c>
      <c r="P1523" s="4" t="n">
        <v>45826</v>
      </c>
      <c r="Q1523" s="87" t="n">
        <v>45800</v>
      </c>
      <c r="R1523" s="5" t="n"/>
      <c r="S1523" s="2" t="n"/>
      <c r="T1523" s="3" t="n"/>
      <c r="U1523" s="87" t="n"/>
      <c r="V1523" s="3" t="n"/>
      <c r="W1523" s="108" t="n"/>
      <c r="X1523" s="4" t="n"/>
    </row>
    <row r="1524" ht="24" customHeight="1">
      <c r="A1524" s="2">
        <f>+D1524-S1524</f>
        <v/>
      </c>
      <c r="B1524" s="80" t="n">
        <v>3168</v>
      </c>
      <c r="C1524" s="66" t="n">
        <v>45832</v>
      </c>
      <c r="D1524" s="2" t="n">
        <v>1</v>
      </c>
      <c r="E1524" s="3" t="inlineStr">
        <is>
          <t>CARABINA</t>
        </is>
      </c>
      <c r="F1524" s="3" t="inlineStr">
        <is>
          <t>22 LR</t>
        </is>
      </c>
      <c r="G1524" s="3" t="inlineStr">
        <is>
          <t>WINCHESTER</t>
        </is>
      </c>
      <c r="H1524" s="65" t="inlineStr">
        <is>
          <t>XPERT FDE, THR 18''</t>
        </is>
      </c>
      <c r="I1524" s="65" t="inlineStr">
        <is>
          <t>TF614-25AB00785</t>
        </is>
      </c>
      <c r="J1524" s="65" t="inlineStr">
        <is>
          <t>N/D</t>
        </is>
      </c>
      <c r="K1524" s="65" t="inlineStr">
        <is>
          <t>N/D</t>
        </is>
      </c>
      <c r="L1524" s="127" t="inlineStr">
        <is>
          <t>BROWNING INTERNATIONAL SA</t>
        </is>
      </c>
      <c r="M1524" s="5" t="n">
        <v>279</v>
      </c>
      <c r="N1524" s="5" t="n"/>
      <c r="O1524" s="5">
        <f>+M1524+N1524</f>
        <v/>
      </c>
      <c r="P1524" s="4" t="n">
        <v>45826</v>
      </c>
      <c r="Q1524" s="87" t="n">
        <v>45800</v>
      </c>
      <c r="R1524" s="5" t="n"/>
      <c r="S1524" s="2" t="n"/>
      <c r="T1524" s="3" t="n"/>
      <c r="U1524" s="87" t="n"/>
      <c r="V1524" s="3" t="n"/>
      <c r="W1524" s="108" t="n"/>
      <c r="X1524" s="4" t="n"/>
    </row>
    <row r="1525" ht="24" customHeight="1">
      <c r="A1525" s="2">
        <f>+D1525-S1525</f>
        <v/>
      </c>
      <c r="B1525" s="80" t="n">
        <v>3169</v>
      </c>
      <c r="C1525" s="66" t="n">
        <v>45832</v>
      </c>
      <c r="D1525" s="2" t="n">
        <v>1</v>
      </c>
      <c r="E1525" s="3" t="inlineStr">
        <is>
          <t>CARABINA</t>
        </is>
      </c>
      <c r="F1525" s="3" t="inlineStr">
        <is>
          <t>22 LR</t>
        </is>
      </c>
      <c r="G1525" s="3" t="inlineStr">
        <is>
          <t>WINCHESTER</t>
        </is>
      </c>
      <c r="H1525" s="65" t="inlineStr">
        <is>
          <t>XPERT FDE, THR 18''</t>
        </is>
      </c>
      <c r="I1525" s="65" t="inlineStr">
        <is>
          <t>TF614-25AB00787</t>
        </is>
      </c>
      <c r="J1525" s="65" t="inlineStr">
        <is>
          <t>N/D</t>
        </is>
      </c>
      <c r="K1525" s="65" t="inlineStr">
        <is>
          <t>N/D</t>
        </is>
      </c>
      <c r="L1525" s="127" t="inlineStr">
        <is>
          <t>BROWNING INTERNATIONAL SA</t>
        </is>
      </c>
      <c r="M1525" s="5" t="n">
        <v>279</v>
      </c>
      <c r="N1525" s="5" t="n"/>
      <c r="O1525" s="5">
        <f>+M1525+N1525</f>
        <v/>
      </c>
      <c r="P1525" s="4" t="n">
        <v>45826</v>
      </c>
      <c r="Q1525" s="87" t="n">
        <v>45800</v>
      </c>
      <c r="R1525" s="5" t="n"/>
      <c r="S1525" s="2" t="n"/>
      <c r="T1525" s="3" t="n"/>
      <c r="U1525" s="87" t="n"/>
      <c r="V1525" s="3" t="n"/>
      <c r="W1525" s="108" t="n"/>
      <c r="X1525" s="4" t="n"/>
    </row>
    <row r="1526" ht="24" customHeight="1">
      <c r="A1526" s="2">
        <f>+D1526-S1526</f>
        <v/>
      </c>
      <c r="B1526" s="80" t="n">
        <v>3170</v>
      </c>
      <c r="C1526" s="66" t="n">
        <v>45832</v>
      </c>
      <c r="D1526" s="2" t="n">
        <v>1</v>
      </c>
      <c r="E1526" s="3" t="inlineStr">
        <is>
          <t>CARABINA</t>
        </is>
      </c>
      <c r="F1526" s="3" t="inlineStr">
        <is>
          <t>22 LR</t>
        </is>
      </c>
      <c r="G1526" s="3" t="inlineStr">
        <is>
          <t>WINCHESTER</t>
        </is>
      </c>
      <c r="H1526" s="65" t="inlineStr">
        <is>
          <t>XPERT FDE, THR 18''</t>
        </is>
      </c>
      <c r="I1526" s="65" t="inlineStr">
        <is>
          <t>TF614-25AB00755</t>
        </is>
      </c>
      <c r="J1526" s="65" t="inlineStr">
        <is>
          <t>N/D</t>
        </is>
      </c>
      <c r="K1526" s="65" t="inlineStr">
        <is>
          <t>N/D</t>
        </is>
      </c>
      <c r="L1526" s="127" t="inlineStr">
        <is>
          <t>BROWNING INTERNATIONAL SA</t>
        </is>
      </c>
      <c r="M1526" s="5" t="n">
        <v>279</v>
      </c>
      <c r="N1526" s="5" t="n"/>
      <c r="O1526" s="5">
        <f>+M1526+N1526</f>
        <v/>
      </c>
      <c r="P1526" s="4" t="n">
        <v>45826</v>
      </c>
      <c r="Q1526" s="87" t="n">
        <v>45800</v>
      </c>
      <c r="R1526" s="5" t="n"/>
      <c r="S1526" s="2" t="n"/>
      <c r="T1526" s="3" t="n"/>
      <c r="U1526" s="87" t="n"/>
      <c r="V1526" s="3" t="n"/>
      <c r="W1526" s="108" t="n"/>
      <c r="X1526" s="4" t="n"/>
    </row>
    <row r="1527" ht="24" customHeight="1">
      <c r="A1527" s="2">
        <f>+D1527-S1527</f>
        <v/>
      </c>
      <c r="B1527" s="80" t="n">
        <v>3171</v>
      </c>
      <c r="C1527" s="66" t="n">
        <v>45832</v>
      </c>
      <c r="D1527" s="2" t="n">
        <v>1</v>
      </c>
      <c r="E1527" s="3" t="inlineStr">
        <is>
          <t>CARABINA</t>
        </is>
      </c>
      <c r="F1527" s="3" t="inlineStr">
        <is>
          <t>22 LR</t>
        </is>
      </c>
      <c r="G1527" s="3" t="inlineStr">
        <is>
          <t>WINCHESTER</t>
        </is>
      </c>
      <c r="H1527" s="65" t="inlineStr">
        <is>
          <t>XPERT FDE, THR 18''</t>
        </is>
      </c>
      <c r="I1527" s="65" t="inlineStr">
        <is>
          <t>TF614-25AB00770</t>
        </is>
      </c>
      <c r="J1527" s="65" t="inlineStr">
        <is>
          <t>N/D</t>
        </is>
      </c>
      <c r="K1527" s="65" t="inlineStr">
        <is>
          <t>N/D</t>
        </is>
      </c>
      <c r="L1527" s="127" t="inlineStr">
        <is>
          <t>BROWNING INTERNATIONAL SA</t>
        </is>
      </c>
      <c r="M1527" s="5" t="n">
        <v>279</v>
      </c>
      <c r="N1527" s="5" t="n"/>
      <c r="O1527" s="5">
        <f>+M1527+N1527</f>
        <v/>
      </c>
      <c r="P1527" s="4" t="n">
        <v>45826</v>
      </c>
      <c r="Q1527" s="87" t="n">
        <v>45800</v>
      </c>
      <c r="R1527" s="5" t="n"/>
      <c r="S1527" s="2" t="n"/>
      <c r="T1527" s="3" t="n"/>
      <c r="U1527" s="87" t="n"/>
      <c r="V1527" s="3" t="n"/>
      <c r="W1527" s="108" t="n"/>
      <c r="X1527" s="4" t="n"/>
    </row>
    <row r="1528" ht="24" customHeight="1">
      <c r="A1528" s="2">
        <f>+D1528-S1528</f>
        <v/>
      </c>
      <c r="B1528" s="80" t="n">
        <v>3172</v>
      </c>
      <c r="C1528" s="66" t="n">
        <v>45832</v>
      </c>
      <c r="D1528" s="2" t="n">
        <v>1</v>
      </c>
      <c r="E1528" s="3" t="inlineStr">
        <is>
          <t>CARABINA</t>
        </is>
      </c>
      <c r="F1528" s="3" t="inlineStr">
        <is>
          <t>22 LR</t>
        </is>
      </c>
      <c r="G1528" s="3" t="inlineStr">
        <is>
          <t>WINCHESTER</t>
        </is>
      </c>
      <c r="H1528" s="65" t="inlineStr">
        <is>
          <t>XPERT FDE, THR 18''</t>
        </is>
      </c>
      <c r="I1528" s="65" t="inlineStr">
        <is>
          <t>TF614-25AB00791</t>
        </is>
      </c>
      <c r="J1528" s="65" t="inlineStr">
        <is>
          <t>N/D</t>
        </is>
      </c>
      <c r="K1528" s="65" t="inlineStr">
        <is>
          <t>N/D</t>
        </is>
      </c>
      <c r="L1528" s="127" t="inlineStr">
        <is>
          <t>BROWNING INTERNATIONAL SA</t>
        </is>
      </c>
      <c r="M1528" s="5" t="n">
        <v>279</v>
      </c>
      <c r="N1528" s="5" t="n"/>
      <c r="O1528" s="5">
        <f>+M1528+N1528</f>
        <v/>
      </c>
      <c r="P1528" s="4" t="n">
        <v>45826</v>
      </c>
      <c r="Q1528" s="87" t="n">
        <v>45800</v>
      </c>
      <c r="R1528" s="5" t="n"/>
      <c r="S1528" s="2" t="n"/>
      <c r="T1528" s="3" t="n"/>
      <c r="U1528" s="87" t="n"/>
      <c r="V1528" s="3" t="n"/>
      <c r="W1528" s="108" t="n"/>
      <c r="X1528" s="4" t="n"/>
    </row>
    <row r="1529" ht="24" customHeight="1">
      <c r="A1529" s="2">
        <f>+D1529-S1529</f>
        <v/>
      </c>
      <c r="B1529" s="80" t="n">
        <v>3173</v>
      </c>
      <c r="C1529" s="66" t="n">
        <v>45832</v>
      </c>
      <c r="D1529" s="2" t="n">
        <v>1</v>
      </c>
      <c r="E1529" s="3" t="inlineStr">
        <is>
          <t>CARABINA</t>
        </is>
      </c>
      <c r="F1529" s="3" t="inlineStr">
        <is>
          <t>22 LR</t>
        </is>
      </c>
      <c r="G1529" s="3" t="inlineStr">
        <is>
          <t>WINCHESTER</t>
        </is>
      </c>
      <c r="H1529" s="65" t="inlineStr">
        <is>
          <t>XPERT FDE, THR 18''</t>
        </is>
      </c>
      <c r="I1529" s="65" t="inlineStr">
        <is>
          <t>TF614-25AB00771</t>
        </is>
      </c>
      <c r="J1529" s="65" t="inlineStr">
        <is>
          <t>N/D</t>
        </is>
      </c>
      <c r="K1529" s="65" t="inlineStr">
        <is>
          <t>N/D</t>
        </is>
      </c>
      <c r="L1529" s="127" t="inlineStr">
        <is>
          <t>BROWNING INTERNATIONAL SA</t>
        </is>
      </c>
      <c r="M1529" s="5" t="n">
        <v>279</v>
      </c>
      <c r="N1529" s="5" t="n"/>
      <c r="O1529" s="5">
        <f>+M1529+N1529</f>
        <v/>
      </c>
      <c r="P1529" s="4" t="n">
        <v>45826</v>
      </c>
      <c r="Q1529" s="87" t="n">
        <v>45800</v>
      </c>
      <c r="R1529" s="5" t="n"/>
      <c r="S1529" s="2" t="n"/>
      <c r="T1529" s="3" t="n"/>
      <c r="U1529" s="87" t="n"/>
      <c r="V1529" s="3" t="n"/>
      <c r="W1529" s="108" t="n"/>
      <c r="X1529" s="4" t="n"/>
    </row>
    <row r="1530" ht="24" customHeight="1">
      <c r="A1530" s="2">
        <f>+D1530-S1530</f>
        <v/>
      </c>
      <c r="B1530" s="80" t="n">
        <v>3174</v>
      </c>
      <c r="C1530" s="66" t="n">
        <v>45832</v>
      </c>
      <c r="D1530" s="2" t="n">
        <v>1</v>
      </c>
      <c r="E1530" s="3" t="inlineStr">
        <is>
          <t>CARABINA</t>
        </is>
      </c>
      <c r="F1530" s="3" t="inlineStr">
        <is>
          <t>22 LR</t>
        </is>
      </c>
      <c r="G1530" s="3" t="inlineStr">
        <is>
          <t>WINCHESTER</t>
        </is>
      </c>
      <c r="H1530" s="65" t="inlineStr">
        <is>
          <t>XPERT FDE, THR 18''</t>
        </is>
      </c>
      <c r="I1530" s="65" t="inlineStr">
        <is>
          <t>TF614-25AB00776</t>
        </is>
      </c>
      <c r="J1530" s="65" t="inlineStr">
        <is>
          <t>N/D</t>
        </is>
      </c>
      <c r="K1530" s="65" t="inlineStr">
        <is>
          <t>N/D</t>
        </is>
      </c>
      <c r="L1530" s="127" t="inlineStr">
        <is>
          <t>BROWNING INTERNATIONAL SA</t>
        </is>
      </c>
      <c r="M1530" s="5" t="n">
        <v>279</v>
      </c>
      <c r="N1530" s="5" t="n"/>
      <c r="O1530" s="5">
        <f>+M1530+N1530</f>
        <v/>
      </c>
      <c r="P1530" s="4" t="n">
        <v>45826</v>
      </c>
      <c r="Q1530" s="87" t="n">
        <v>45800</v>
      </c>
      <c r="R1530" s="5" t="n"/>
      <c r="S1530" s="2" t="n"/>
      <c r="T1530" s="3" t="n"/>
      <c r="U1530" s="87" t="n"/>
      <c r="V1530" s="3" t="n"/>
      <c r="W1530" s="108" t="n"/>
      <c r="X1530" s="4" t="n"/>
    </row>
    <row r="1531" ht="24" customHeight="1">
      <c r="A1531" s="2">
        <f>+D1531-S1531</f>
        <v/>
      </c>
      <c r="B1531" s="80" t="n">
        <v>3175</v>
      </c>
      <c r="C1531" s="66" t="n">
        <v>45832</v>
      </c>
      <c r="D1531" s="2" t="n">
        <v>1</v>
      </c>
      <c r="E1531" s="3" t="inlineStr">
        <is>
          <t>CARABINA</t>
        </is>
      </c>
      <c r="F1531" s="3" t="inlineStr">
        <is>
          <t>22 LR</t>
        </is>
      </c>
      <c r="G1531" s="3" t="inlineStr">
        <is>
          <t>WINCHESTER</t>
        </is>
      </c>
      <c r="H1531" s="65" t="inlineStr">
        <is>
          <t>XPERT FDE, THR 18''</t>
        </is>
      </c>
      <c r="I1531" s="65" t="inlineStr">
        <is>
          <t>TF614-25AB00760</t>
        </is>
      </c>
      <c r="J1531" s="65" t="inlineStr">
        <is>
          <t>N/D</t>
        </is>
      </c>
      <c r="K1531" s="65" t="inlineStr">
        <is>
          <t>N/D</t>
        </is>
      </c>
      <c r="L1531" s="127" t="inlineStr">
        <is>
          <t>BROWNING INTERNATIONAL SA</t>
        </is>
      </c>
      <c r="M1531" s="5" t="n">
        <v>279</v>
      </c>
      <c r="N1531" s="5" t="n"/>
      <c r="O1531" s="5">
        <f>+M1531+N1531</f>
        <v/>
      </c>
      <c r="P1531" s="4" t="n">
        <v>45826</v>
      </c>
      <c r="Q1531" s="87" t="n">
        <v>45800</v>
      </c>
      <c r="R1531" s="5" t="n"/>
      <c r="S1531" s="2" t="n"/>
      <c r="T1531" s="3" t="n"/>
      <c r="U1531" s="87" t="n"/>
      <c r="V1531" s="3" t="n"/>
      <c r="W1531" s="108" t="n"/>
      <c r="X1531" s="4" t="n"/>
    </row>
    <row r="1532" ht="24" customHeight="1">
      <c r="A1532" s="2">
        <f>+D1532-S1532</f>
        <v/>
      </c>
      <c r="B1532" s="80" t="n">
        <v>3176</v>
      </c>
      <c r="C1532" s="66" t="n">
        <v>45832</v>
      </c>
      <c r="D1532" s="2" t="n">
        <v>1</v>
      </c>
      <c r="E1532" s="3" t="inlineStr">
        <is>
          <t>CARABINA</t>
        </is>
      </c>
      <c r="F1532" s="3" t="inlineStr">
        <is>
          <t>22 LR</t>
        </is>
      </c>
      <c r="G1532" s="3" t="inlineStr">
        <is>
          <t>WINCHESTER</t>
        </is>
      </c>
      <c r="H1532" s="65" t="inlineStr">
        <is>
          <t>XPERT FDE, THR 18''</t>
        </is>
      </c>
      <c r="I1532" s="65" t="inlineStr">
        <is>
          <t>TF614-25AB00777</t>
        </is>
      </c>
      <c r="J1532" s="65" t="inlineStr">
        <is>
          <t>N/D</t>
        </is>
      </c>
      <c r="K1532" s="65" t="inlineStr">
        <is>
          <t>N/D</t>
        </is>
      </c>
      <c r="L1532" s="127" t="inlineStr">
        <is>
          <t>BROWNING INTERNATIONAL SA</t>
        </is>
      </c>
      <c r="M1532" s="5" t="n">
        <v>279</v>
      </c>
      <c r="N1532" s="5" t="n"/>
      <c r="O1532" s="5">
        <f>+M1532+N1532</f>
        <v/>
      </c>
      <c r="P1532" s="4" t="n">
        <v>45826</v>
      </c>
      <c r="Q1532" s="87" t="n">
        <v>45800</v>
      </c>
      <c r="R1532" s="5" t="n"/>
      <c r="S1532" s="2" t="n"/>
      <c r="T1532" s="3" t="n"/>
      <c r="U1532" s="87" t="n"/>
      <c r="V1532" s="3" t="n"/>
      <c r="W1532" s="108" t="n"/>
      <c r="X1532" s="4" t="n"/>
    </row>
    <row r="1533" ht="24" customHeight="1">
      <c r="A1533" s="2">
        <f>+D1533-S1533</f>
        <v/>
      </c>
      <c r="B1533" s="80" t="n">
        <v>3177</v>
      </c>
      <c r="C1533" s="66" t="n">
        <v>45832</v>
      </c>
      <c r="D1533" s="2" t="n">
        <v>1</v>
      </c>
      <c r="E1533" s="3" t="inlineStr">
        <is>
          <t>CARABINA</t>
        </is>
      </c>
      <c r="F1533" s="3" t="inlineStr">
        <is>
          <t>22 LR</t>
        </is>
      </c>
      <c r="G1533" s="3" t="inlineStr">
        <is>
          <t>WINCHESTER</t>
        </is>
      </c>
      <c r="H1533" s="65" t="inlineStr">
        <is>
          <t>XPERT FDE, THR 18''</t>
        </is>
      </c>
      <c r="I1533" s="65" t="inlineStr">
        <is>
          <t>TF614-25AB00775</t>
        </is>
      </c>
      <c r="J1533" s="65" t="inlineStr">
        <is>
          <t>N/D</t>
        </is>
      </c>
      <c r="K1533" s="65" t="inlineStr">
        <is>
          <t>N/D</t>
        </is>
      </c>
      <c r="L1533" s="127" t="inlineStr">
        <is>
          <t>BROWNING INTERNATIONAL SA</t>
        </is>
      </c>
      <c r="M1533" s="5" t="n">
        <v>279</v>
      </c>
      <c r="N1533" s="5" t="n"/>
      <c r="O1533" s="5">
        <f>+M1533+N1533</f>
        <v/>
      </c>
      <c r="P1533" s="4" t="n">
        <v>45826</v>
      </c>
      <c r="Q1533" s="87" t="n">
        <v>45800</v>
      </c>
      <c r="R1533" s="5" t="n"/>
      <c r="S1533" s="2" t="n"/>
      <c r="T1533" s="3" t="n"/>
      <c r="U1533" s="87" t="n"/>
      <c r="V1533" s="3" t="n"/>
      <c r="W1533" s="108" t="n"/>
      <c r="X1533" s="4" t="n"/>
    </row>
    <row r="1534" ht="24" customHeight="1">
      <c r="A1534" s="2">
        <f>+D1534-S1534</f>
        <v/>
      </c>
      <c r="B1534" s="80" t="n">
        <v>3178</v>
      </c>
      <c r="C1534" s="66" t="n">
        <v>45832</v>
      </c>
      <c r="D1534" s="2" t="n">
        <v>1</v>
      </c>
      <c r="E1534" s="3" t="inlineStr">
        <is>
          <t>CARABINA</t>
        </is>
      </c>
      <c r="F1534" s="3" t="inlineStr">
        <is>
          <t>22 LR</t>
        </is>
      </c>
      <c r="G1534" s="3" t="inlineStr">
        <is>
          <t>WINCHESTER</t>
        </is>
      </c>
      <c r="H1534" s="65" t="inlineStr">
        <is>
          <t>XPERT FDE, THR 18''</t>
        </is>
      </c>
      <c r="I1534" s="65" t="inlineStr">
        <is>
          <t>TF614-25AB00761</t>
        </is>
      </c>
      <c r="J1534" s="65" t="inlineStr">
        <is>
          <t>N/D</t>
        </is>
      </c>
      <c r="K1534" s="65" t="inlineStr">
        <is>
          <t>N/D</t>
        </is>
      </c>
      <c r="L1534" s="127" t="inlineStr">
        <is>
          <t>BROWNING INTERNATIONAL SA</t>
        </is>
      </c>
      <c r="M1534" s="5" t="n">
        <v>279</v>
      </c>
      <c r="N1534" s="5" t="n"/>
      <c r="O1534" s="5">
        <f>+M1534+N1534</f>
        <v/>
      </c>
      <c r="P1534" s="4" t="n">
        <v>45826</v>
      </c>
      <c r="Q1534" s="87" t="n">
        <v>45800</v>
      </c>
      <c r="R1534" s="5" t="n"/>
      <c r="S1534" s="2" t="n"/>
      <c r="T1534" s="3" t="n"/>
      <c r="U1534" s="87" t="n"/>
      <c r="V1534" s="3" t="n"/>
      <c r="W1534" s="108" t="n"/>
      <c r="X1534" s="4" t="n"/>
    </row>
    <row r="1535" ht="24" customHeight="1">
      <c r="A1535" s="2">
        <f>+D1535-S1535</f>
        <v/>
      </c>
      <c r="B1535" s="80" t="n">
        <v>3179</v>
      </c>
      <c r="C1535" s="66" t="n">
        <v>45832</v>
      </c>
      <c r="D1535" s="2" t="n">
        <v>1</v>
      </c>
      <c r="E1535" s="3" t="inlineStr">
        <is>
          <t>CARABINA</t>
        </is>
      </c>
      <c r="F1535" s="3" t="inlineStr">
        <is>
          <t>22 LR</t>
        </is>
      </c>
      <c r="G1535" s="3" t="inlineStr">
        <is>
          <t>WINCHESTER</t>
        </is>
      </c>
      <c r="H1535" s="65" t="inlineStr">
        <is>
          <t>XPERT FDE, THR 18''</t>
        </is>
      </c>
      <c r="I1535" s="65" t="inlineStr">
        <is>
          <t>TF614-25AB00736</t>
        </is>
      </c>
      <c r="J1535" s="65" t="inlineStr">
        <is>
          <t>N/D</t>
        </is>
      </c>
      <c r="K1535" s="65" t="inlineStr">
        <is>
          <t>N/D</t>
        </is>
      </c>
      <c r="L1535" s="127" t="inlineStr">
        <is>
          <t>BROWNING INTERNATIONAL SA</t>
        </is>
      </c>
      <c r="M1535" s="5" t="n">
        <v>279</v>
      </c>
      <c r="N1535" s="5" t="n"/>
      <c r="O1535" s="5">
        <f>+M1535+N1535</f>
        <v/>
      </c>
      <c r="P1535" s="4" t="n">
        <v>45826</v>
      </c>
      <c r="Q1535" s="87" t="n">
        <v>45800</v>
      </c>
      <c r="R1535" s="5" t="n"/>
      <c r="S1535" s="2" t="n"/>
      <c r="T1535" s="3" t="n"/>
      <c r="U1535" s="87" t="n"/>
      <c r="V1535" s="3" t="n"/>
      <c r="W1535" s="108" t="n"/>
      <c r="X1535" s="4" t="n"/>
    </row>
    <row r="1536" ht="24" customHeight="1">
      <c r="A1536" s="2">
        <f>+D1536-S1536</f>
        <v/>
      </c>
      <c r="B1536" s="80" t="n">
        <v>3180</v>
      </c>
      <c r="C1536" s="66" t="n">
        <v>45832</v>
      </c>
      <c r="D1536" s="2" t="n">
        <v>1</v>
      </c>
      <c r="E1536" s="3" t="inlineStr">
        <is>
          <t>CARABINA</t>
        </is>
      </c>
      <c r="F1536" s="3" t="inlineStr">
        <is>
          <t>22 LR</t>
        </is>
      </c>
      <c r="G1536" s="3" t="inlineStr">
        <is>
          <t>WINCHESTER</t>
        </is>
      </c>
      <c r="H1536" s="65" t="inlineStr">
        <is>
          <t>XPERT FDE, THR 18''</t>
        </is>
      </c>
      <c r="I1536" s="65" t="inlineStr">
        <is>
          <t>TF614-25AB00795</t>
        </is>
      </c>
      <c r="J1536" s="65" t="inlineStr">
        <is>
          <t>N/D</t>
        </is>
      </c>
      <c r="K1536" s="65" t="inlineStr">
        <is>
          <t>N/D</t>
        </is>
      </c>
      <c r="L1536" s="127" t="inlineStr">
        <is>
          <t>BROWNING INTERNATIONAL SA</t>
        </is>
      </c>
      <c r="M1536" s="5" t="n">
        <v>279</v>
      </c>
      <c r="N1536" s="5" t="n"/>
      <c r="O1536" s="5">
        <f>+M1536+N1536</f>
        <v/>
      </c>
      <c r="P1536" s="4" t="n">
        <v>45826</v>
      </c>
      <c r="Q1536" s="87" t="n">
        <v>45800</v>
      </c>
      <c r="R1536" s="5" t="n"/>
      <c r="S1536" s="2" t="n"/>
      <c r="T1536" s="3" t="n"/>
      <c r="U1536" s="87" t="n"/>
      <c r="V1536" s="3" t="n"/>
      <c r="W1536" s="108" t="n"/>
      <c r="X1536" s="4" t="n"/>
    </row>
    <row r="1537" ht="24" customHeight="1">
      <c r="A1537" s="2">
        <f>+D1537-S1537</f>
        <v/>
      </c>
      <c r="B1537" s="80" t="n">
        <v>3181</v>
      </c>
      <c r="C1537" s="66" t="n">
        <v>45832</v>
      </c>
      <c r="D1537" s="2" t="n">
        <v>1</v>
      </c>
      <c r="E1537" s="3" t="inlineStr">
        <is>
          <t>CARABINA</t>
        </is>
      </c>
      <c r="F1537" s="3" t="inlineStr">
        <is>
          <t>22 LR</t>
        </is>
      </c>
      <c r="G1537" s="3" t="inlineStr">
        <is>
          <t>WINCHESTER</t>
        </is>
      </c>
      <c r="H1537" s="65" t="inlineStr">
        <is>
          <t>XPERT FDE, THR 18''</t>
        </is>
      </c>
      <c r="I1537" s="65" t="inlineStr">
        <is>
          <t>TF614-25AB00794</t>
        </is>
      </c>
      <c r="J1537" s="65" t="inlineStr">
        <is>
          <t>N/D</t>
        </is>
      </c>
      <c r="K1537" s="65" t="inlineStr">
        <is>
          <t>N/D</t>
        </is>
      </c>
      <c r="L1537" s="127" t="inlineStr">
        <is>
          <t>BROWNING INTERNATIONAL SA</t>
        </is>
      </c>
      <c r="M1537" s="5" t="n">
        <v>279</v>
      </c>
      <c r="N1537" s="5" t="n"/>
      <c r="O1537" s="5">
        <f>+M1537+N1537</f>
        <v/>
      </c>
      <c r="P1537" s="4" t="n">
        <v>45826</v>
      </c>
      <c r="Q1537" s="87" t="n">
        <v>45800</v>
      </c>
      <c r="R1537" s="5" t="n"/>
      <c r="S1537" s="2" t="n"/>
      <c r="T1537" s="3" t="n"/>
      <c r="U1537" s="87" t="n"/>
      <c r="V1537" s="3" t="n"/>
      <c r="W1537" s="108" t="n"/>
      <c r="X1537" s="4" t="n"/>
    </row>
    <row r="1538" ht="24" customHeight="1">
      <c r="A1538" s="2">
        <f>+D1538-S1538</f>
        <v/>
      </c>
      <c r="B1538" s="80" t="n">
        <v>3182</v>
      </c>
      <c r="C1538" s="66" t="n">
        <v>45832</v>
      </c>
      <c r="D1538" s="2" t="n">
        <v>1</v>
      </c>
      <c r="E1538" s="3" t="inlineStr">
        <is>
          <t>CARABINA</t>
        </is>
      </c>
      <c r="F1538" s="3" t="inlineStr">
        <is>
          <t>22 LR</t>
        </is>
      </c>
      <c r="G1538" s="3" t="inlineStr">
        <is>
          <t>WINCHESTER</t>
        </is>
      </c>
      <c r="H1538" s="65" t="inlineStr">
        <is>
          <t>XPERT FDE, THR 18''</t>
        </is>
      </c>
      <c r="I1538" s="65" t="inlineStr">
        <is>
          <t>TF614-25AB00745</t>
        </is>
      </c>
      <c r="J1538" s="65" t="inlineStr">
        <is>
          <t>N/D</t>
        </is>
      </c>
      <c r="K1538" s="65" t="inlineStr">
        <is>
          <t>N/D</t>
        </is>
      </c>
      <c r="L1538" s="127" t="inlineStr">
        <is>
          <t>BROWNING INTERNATIONAL SA</t>
        </is>
      </c>
      <c r="M1538" s="5" t="n">
        <v>279</v>
      </c>
      <c r="N1538" s="5" t="n"/>
      <c r="O1538" s="5">
        <f>+M1538+N1538</f>
        <v/>
      </c>
      <c r="P1538" s="4" t="n">
        <v>45826</v>
      </c>
      <c r="Q1538" s="87" t="n">
        <v>45800</v>
      </c>
      <c r="R1538" s="5" t="n"/>
      <c r="S1538" s="2" t="n"/>
      <c r="T1538" s="3" t="n"/>
      <c r="U1538" s="87" t="n"/>
      <c r="V1538" s="3" t="n"/>
      <c r="W1538" s="108" t="n"/>
      <c r="X1538" s="4" t="n"/>
    </row>
    <row r="1539" ht="24" customHeight="1">
      <c r="A1539" s="2">
        <f>+D1539-S1539</f>
        <v/>
      </c>
      <c r="B1539" s="80" t="n">
        <v>3183</v>
      </c>
      <c r="C1539" s="66" t="n">
        <v>45832</v>
      </c>
      <c r="D1539" s="2" t="n">
        <v>1</v>
      </c>
      <c r="E1539" s="3" t="inlineStr">
        <is>
          <t>CARABINA</t>
        </is>
      </c>
      <c r="F1539" s="3" t="inlineStr">
        <is>
          <t>22 LR</t>
        </is>
      </c>
      <c r="G1539" s="3" t="inlineStr">
        <is>
          <t>WINCHESTER</t>
        </is>
      </c>
      <c r="H1539" s="65" t="inlineStr">
        <is>
          <t>XPERT FDE, THR 18''</t>
        </is>
      </c>
      <c r="I1539" s="65" t="inlineStr">
        <is>
          <t>TF614-25AB00756</t>
        </is>
      </c>
      <c r="J1539" s="65" t="inlineStr">
        <is>
          <t>N/D</t>
        </is>
      </c>
      <c r="K1539" s="65" t="inlineStr">
        <is>
          <t>N/D</t>
        </is>
      </c>
      <c r="L1539" s="127" t="inlineStr">
        <is>
          <t>BROWNING INTERNATIONAL SA</t>
        </is>
      </c>
      <c r="M1539" s="5" t="n">
        <v>279</v>
      </c>
      <c r="N1539" s="5" t="n"/>
      <c r="O1539" s="5">
        <f>+M1539+N1539</f>
        <v/>
      </c>
      <c r="P1539" s="4" t="n">
        <v>45826</v>
      </c>
      <c r="Q1539" s="87" t="n">
        <v>45800</v>
      </c>
      <c r="R1539" s="5" t="n"/>
      <c r="S1539" s="2" t="n"/>
      <c r="T1539" s="3" t="n"/>
      <c r="U1539" s="87" t="n"/>
      <c r="V1539" s="3" t="n"/>
      <c r="W1539" s="108" t="n"/>
      <c r="X1539" s="4" t="n"/>
    </row>
    <row r="1540" ht="24" customHeight="1">
      <c r="A1540" s="2">
        <f>+D1540-S1540</f>
        <v/>
      </c>
      <c r="B1540" s="80" t="n">
        <v>3184</v>
      </c>
      <c r="C1540" s="66" t="n">
        <v>45832</v>
      </c>
      <c r="D1540" s="2" t="n">
        <v>1</v>
      </c>
      <c r="E1540" s="3" t="inlineStr">
        <is>
          <t>CARABINA</t>
        </is>
      </c>
      <c r="F1540" s="3" t="inlineStr">
        <is>
          <t>22 LR</t>
        </is>
      </c>
      <c r="G1540" s="3" t="inlineStr">
        <is>
          <t>WINCHESTER</t>
        </is>
      </c>
      <c r="H1540" s="65" t="inlineStr">
        <is>
          <t>XPERT FDE, THR 18''</t>
        </is>
      </c>
      <c r="I1540" s="65" t="inlineStr">
        <is>
          <t>TF614-25AB00732</t>
        </is>
      </c>
      <c r="J1540" s="65" t="inlineStr">
        <is>
          <t>N/D</t>
        </is>
      </c>
      <c r="K1540" s="65" t="inlineStr">
        <is>
          <t>N/D</t>
        </is>
      </c>
      <c r="L1540" s="127" t="inlineStr">
        <is>
          <t>BROWNING INTERNATIONAL SA</t>
        </is>
      </c>
      <c r="M1540" s="5" t="n">
        <v>279</v>
      </c>
      <c r="N1540" s="5" t="n"/>
      <c r="O1540" s="5">
        <f>+M1540+N1540</f>
        <v/>
      </c>
      <c r="P1540" s="4" t="n">
        <v>45826</v>
      </c>
      <c r="Q1540" s="87" t="n">
        <v>45800</v>
      </c>
      <c r="R1540" s="5" t="n"/>
      <c r="S1540" s="2" t="n"/>
      <c r="T1540" s="3" t="n"/>
      <c r="U1540" s="87" t="n"/>
      <c r="V1540" s="3" t="n"/>
      <c r="W1540" s="108" t="n"/>
      <c r="X1540" s="4" t="n"/>
    </row>
    <row r="1541" ht="24" customHeight="1">
      <c r="A1541" s="2">
        <f>+D1541-S1541</f>
        <v/>
      </c>
      <c r="B1541" s="80" t="n">
        <v>3185</v>
      </c>
      <c r="C1541" s="66" t="n">
        <v>45832</v>
      </c>
      <c r="D1541" s="2" t="n">
        <v>1</v>
      </c>
      <c r="E1541" s="3" t="inlineStr">
        <is>
          <t>CARABINA</t>
        </is>
      </c>
      <c r="F1541" s="3" t="inlineStr">
        <is>
          <t>22 LR</t>
        </is>
      </c>
      <c r="G1541" s="3" t="inlineStr">
        <is>
          <t>WINCHESTER</t>
        </is>
      </c>
      <c r="H1541" s="65" t="inlineStr">
        <is>
          <t>XPERT FDE, THR 18''</t>
        </is>
      </c>
      <c r="I1541" s="65" t="inlineStr">
        <is>
          <t>TF614-25AB00749</t>
        </is>
      </c>
      <c r="J1541" s="65" t="inlineStr">
        <is>
          <t>N/D</t>
        </is>
      </c>
      <c r="K1541" s="65" t="inlineStr">
        <is>
          <t>N/D</t>
        </is>
      </c>
      <c r="L1541" s="127" t="inlineStr">
        <is>
          <t>BROWNING INTERNATIONAL SA</t>
        </is>
      </c>
      <c r="M1541" s="5" t="n">
        <v>279</v>
      </c>
      <c r="N1541" s="5" t="n"/>
      <c r="O1541" s="5">
        <f>+M1541+N1541</f>
        <v/>
      </c>
      <c r="P1541" s="4" t="n">
        <v>45826</v>
      </c>
      <c r="Q1541" s="87" t="n">
        <v>45800</v>
      </c>
      <c r="R1541" s="5" t="n"/>
      <c r="S1541" s="2" t="n"/>
      <c r="T1541" s="3" t="n"/>
      <c r="U1541" s="87" t="n"/>
      <c r="V1541" s="3" t="n"/>
      <c r="W1541" s="108" t="n"/>
      <c r="X1541" s="4" t="n"/>
    </row>
    <row r="1542" ht="24" customHeight="1">
      <c r="A1542" s="2">
        <f>+D1542-S1542</f>
        <v/>
      </c>
      <c r="B1542" s="80" t="n">
        <v>3186</v>
      </c>
      <c r="C1542" s="66" t="n">
        <v>45832</v>
      </c>
      <c r="D1542" s="2" t="n">
        <v>1</v>
      </c>
      <c r="E1542" s="3" t="inlineStr">
        <is>
          <t>CARABINA</t>
        </is>
      </c>
      <c r="F1542" s="3" t="inlineStr">
        <is>
          <t>22 LR</t>
        </is>
      </c>
      <c r="G1542" s="3" t="inlineStr">
        <is>
          <t>WINCHESTER</t>
        </is>
      </c>
      <c r="H1542" s="65" t="inlineStr">
        <is>
          <t>XPERT FDE, THR 18''</t>
        </is>
      </c>
      <c r="I1542" s="65" t="inlineStr">
        <is>
          <t>TF614-25AB00774</t>
        </is>
      </c>
      <c r="J1542" s="65" t="inlineStr">
        <is>
          <t>N/D</t>
        </is>
      </c>
      <c r="K1542" s="65" t="inlineStr">
        <is>
          <t>N/D</t>
        </is>
      </c>
      <c r="L1542" s="127" t="inlineStr">
        <is>
          <t>BROWNING INTERNATIONAL SA</t>
        </is>
      </c>
      <c r="M1542" s="5" t="n">
        <v>279</v>
      </c>
      <c r="N1542" s="5" t="n"/>
      <c r="O1542" s="5">
        <f>+M1542+N1542</f>
        <v/>
      </c>
      <c r="P1542" s="4" t="n">
        <v>45826</v>
      </c>
      <c r="Q1542" s="87" t="n">
        <v>45800</v>
      </c>
      <c r="R1542" s="5" t="n"/>
      <c r="S1542" s="2" t="n"/>
      <c r="T1542" s="3" t="n"/>
      <c r="U1542" s="87" t="n"/>
      <c r="V1542" s="3" t="n"/>
      <c r="W1542" s="108" t="n"/>
      <c r="X1542" s="4" t="n"/>
    </row>
    <row r="1543" ht="24" customHeight="1">
      <c r="A1543" s="2">
        <f>+D1543-S1543</f>
        <v/>
      </c>
      <c r="B1543" s="80" t="n">
        <v>3187</v>
      </c>
      <c r="C1543" s="66" t="n">
        <v>45832</v>
      </c>
      <c r="D1543" s="2" t="n">
        <v>1</v>
      </c>
      <c r="E1543" s="3" t="inlineStr">
        <is>
          <t>CARABINA</t>
        </is>
      </c>
      <c r="F1543" s="3" t="inlineStr">
        <is>
          <t>22 LR</t>
        </is>
      </c>
      <c r="G1543" s="3" t="inlineStr">
        <is>
          <t>WINCHESTER</t>
        </is>
      </c>
      <c r="H1543" s="65" t="inlineStr">
        <is>
          <t>XPERT FDE, THR 18''</t>
        </is>
      </c>
      <c r="I1543" s="65" t="inlineStr">
        <is>
          <t>TF614-25AB00766</t>
        </is>
      </c>
      <c r="J1543" s="65" t="inlineStr">
        <is>
          <t>N/D</t>
        </is>
      </c>
      <c r="K1543" s="65" t="inlineStr">
        <is>
          <t>N/D</t>
        </is>
      </c>
      <c r="L1543" s="127" t="inlineStr">
        <is>
          <t>BROWNING INTERNATIONAL SA</t>
        </is>
      </c>
      <c r="M1543" s="5" t="n">
        <v>279</v>
      </c>
      <c r="N1543" s="5" t="n"/>
      <c r="O1543" s="5">
        <f>+M1543+N1543</f>
        <v/>
      </c>
      <c r="P1543" s="4" t="n">
        <v>45826</v>
      </c>
      <c r="Q1543" s="87" t="n">
        <v>45800</v>
      </c>
      <c r="R1543" s="5" t="n"/>
      <c r="S1543" s="2" t="n"/>
      <c r="T1543" s="3" t="n"/>
      <c r="U1543" s="87" t="n"/>
      <c r="V1543" s="3" t="n"/>
      <c r="W1543" s="108" t="n"/>
      <c r="X1543" s="4" t="n"/>
    </row>
    <row r="1544" ht="24" customHeight="1">
      <c r="A1544" s="2">
        <f>+D1544-S1544</f>
        <v/>
      </c>
      <c r="B1544" s="80" t="n">
        <v>3188</v>
      </c>
      <c r="C1544" s="66" t="n">
        <v>45832</v>
      </c>
      <c r="D1544" s="2" t="n">
        <v>1</v>
      </c>
      <c r="E1544" s="3" t="inlineStr">
        <is>
          <t>CARABINA</t>
        </is>
      </c>
      <c r="F1544" s="3" t="inlineStr">
        <is>
          <t>22 LR</t>
        </is>
      </c>
      <c r="G1544" s="3" t="inlineStr">
        <is>
          <t>WINCHESTER</t>
        </is>
      </c>
      <c r="H1544" s="65" t="inlineStr">
        <is>
          <t>XPERT FDE, THR 18''</t>
        </is>
      </c>
      <c r="I1544" s="65" t="inlineStr">
        <is>
          <t>TF614-25AB00726</t>
        </is>
      </c>
      <c r="J1544" s="65" t="inlineStr">
        <is>
          <t>N/D</t>
        </is>
      </c>
      <c r="K1544" s="65" t="inlineStr">
        <is>
          <t>N/D</t>
        </is>
      </c>
      <c r="L1544" s="127" t="inlineStr">
        <is>
          <t>BROWNING INTERNATIONAL SA</t>
        </is>
      </c>
      <c r="M1544" s="5" t="n">
        <v>279</v>
      </c>
      <c r="N1544" s="5" t="n"/>
      <c r="O1544" s="5">
        <f>+M1544+N1544</f>
        <v/>
      </c>
      <c r="P1544" s="4" t="n">
        <v>45826</v>
      </c>
      <c r="Q1544" s="87" t="n">
        <v>45800</v>
      </c>
      <c r="R1544" s="5" t="n"/>
      <c r="S1544" s="2" t="n"/>
      <c r="T1544" s="3" t="n"/>
      <c r="U1544" s="87" t="n"/>
      <c r="V1544" s="3" t="n"/>
      <c r="W1544" s="108" t="n"/>
      <c r="X1544" s="4" t="n"/>
    </row>
    <row r="1545" ht="24" customHeight="1">
      <c r="A1545" s="2">
        <f>+D1545-S1545</f>
        <v/>
      </c>
      <c r="B1545" s="80" t="n">
        <v>3189</v>
      </c>
      <c r="C1545" s="66" t="n">
        <v>45832</v>
      </c>
      <c r="D1545" s="2" t="n">
        <v>1</v>
      </c>
      <c r="E1545" s="3" t="inlineStr">
        <is>
          <t>CARABINA</t>
        </is>
      </c>
      <c r="F1545" s="3" t="inlineStr">
        <is>
          <t>22 LR</t>
        </is>
      </c>
      <c r="G1545" s="3" t="inlineStr">
        <is>
          <t>WINCHESTER</t>
        </is>
      </c>
      <c r="H1545" s="65" t="inlineStr">
        <is>
          <t>XPERT FDE, THR 18''</t>
        </is>
      </c>
      <c r="I1545" s="65" t="inlineStr">
        <is>
          <t>TF614-25AB00742</t>
        </is>
      </c>
      <c r="J1545" s="65" t="inlineStr">
        <is>
          <t>N/D</t>
        </is>
      </c>
      <c r="K1545" s="65" t="inlineStr">
        <is>
          <t>N/D</t>
        </is>
      </c>
      <c r="L1545" s="127" t="inlineStr">
        <is>
          <t>BROWNING INTERNATIONAL SA</t>
        </is>
      </c>
      <c r="M1545" s="5" t="n">
        <v>279</v>
      </c>
      <c r="N1545" s="5" t="n"/>
      <c r="O1545" s="5">
        <f>+M1545+N1545</f>
        <v/>
      </c>
      <c r="P1545" s="4" t="n">
        <v>45826</v>
      </c>
      <c r="Q1545" s="87" t="n">
        <v>45800</v>
      </c>
      <c r="R1545" s="5" t="n"/>
      <c r="S1545" s="2" t="n"/>
      <c r="T1545" s="3" t="n"/>
      <c r="U1545" s="87" t="n"/>
      <c r="V1545" s="3" t="n"/>
      <c r="W1545" s="108" t="n"/>
      <c r="X1545" s="4" t="n"/>
    </row>
    <row r="1546" ht="24" customHeight="1">
      <c r="A1546" s="2">
        <f>+D1546-S1546</f>
        <v/>
      </c>
      <c r="B1546" s="80" t="n">
        <v>3190</v>
      </c>
      <c r="C1546" s="66" t="n">
        <v>45832</v>
      </c>
      <c r="D1546" s="2" t="n">
        <v>1</v>
      </c>
      <c r="E1546" s="3" t="inlineStr">
        <is>
          <t>CARABINA</t>
        </is>
      </c>
      <c r="F1546" s="3" t="inlineStr">
        <is>
          <t>22 LR</t>
        </is>
      </c>
      <c r="G1546" s="3" t="inlineStr">
        <is>
          <t>WINCHESTER</t>
        </is>
      </c>
      <c r="H1546" s="65" t="inlineStr">
        <is>
          <t>XPERT FDE, THR 18''</t>
        </is>
      </c>
      <c r="I1546" s="65" t="inlineStr">
        <is>
          <t>TF614-25AB00751</t>
        </is>
      </c>
      <c r="J1546" s="65" t="inlineStr">
        <is>
          <t>N/D</t>
        </is>
      </c>
      <c r="K1546" s="65" t="inlineStr">
        <is>
          <t>N/D</t>
        </is>
      </c>
      <c r="L1546" s="127" t="inlineStr">
        <is>
          <t>BROWNING INTERNATIONAL SA</t>
        </is>
      </c>
      <c r="M1546" s="5" t="n">
        <v>279</v>
      </c>
      <c r="N1546" s="5" t="n"/>
      <c r="O1546" s="5">
        <f>+M1546+N1546</f>
        <v/>
      </c>
      <c r="P1546" s="4" t="n">
        <v>45826</v>
      </c>
      <c r="Q1546" s="87" t="n">
        <v>45800</v>
      </c>
      <c r="R1546" s="5" t="n"/>
      <c r="S1546" s="2" t="n"/>
      <c r="T1546" s="3" t="n"/>
      <c r="U1546" s="87" t="n"/>
      <c r="V1546" s="3" t="n"/>
      <c r="W1546" s="108" t="n"/>
      <c r="X1546" s="4" t="n"/>
    </row>
    <row r="1547" ht="24" customHeight="1">
      <c r="A1547" s="2">
        <f>+D1547-S1547</f>
        <v/>
      </c>
      <c r="B1547" s="80" t="n">
        <v>3191</v>
      </c>
      <c r="C1547" s="66" t="n">
        <v>45832</v>
      </c>
      <c r="D1547" s="2" t="n">
        <v>1</v>
      </c>
      <c r="E1547" s="3" t="inlineStr">
        <is>
          <t>CARABINA</t>
        </is>
      </c>
      <c r="F1547" s="3" t="inlineStr">
        <is>
          <t>22 LR</t>
        </is>
      </c>
      <c r="G1547" s="3" t="inlineStr">
        <is>
          <t>WINCHESTER</t>
        </is>
      </c>
      <c r="H1547" s="65" t="inlineStr">
        <is>
          <t>XPERT FDE, THR 18''</t>
        </is>
      </c>
      <c r="I1547" s="65" t="inlineStr">
        <is>
          <t>TF614-25AB00759</t>
        </is>
      </c>
      <c r="J1547" s="65" t="inlineStr">
        <is>
          <t>N/D</t>
        </is>
      </c>
      <c r="K1547" s="65" t="inlineStr">
        <is>
          <t>N/D</t>
        </is>
      </c>
      <c r="L1547" s="127" t="inlineStr">
        <is>
          <t>BROWNING INTERNATIONAL SA</t>
        </is>
      </c>
      <c r="M1547" s="5" t="n">
        <v>279</v>
      </c>
      <c r="N1547" s="5" t="n"/>
      <c r="O1547" s="5">
        <f>+M1547+N1547</f>
        <v/>
      </c>
      <c r="P1547" s="4" t="n">
        <v>45826</v>
      </c>
      <c r="Q1547" s="87" t="n">
        <v>45800</v>
      </c>
      <c r="R1547" s="5" t="n"/>
      <c r="S1547" s="2" t="n"/>
      <c r="T1547" s="3" t="n"/>
      <c r="U1547" s="87" t="n"/>
      <c r="V1547" s="3" t="n"/>
      <c r="W1547" s="108" t="n"/>
      <c r="X1547" s="4" t="n"/>
    </row>
    <row r="1548" ht="24" customHeight="1">
      <c r="A1548" s="2">
        <f>+D1548-S1548</f>
        <v/>
      </c>
      <c r="B1548" s="80" t="n">
        <v>3192</v>
      </c>
      <c r="C1548" s="66" t="n">
        <v>45832</v>
      </c>
      <c r="D1548" s="2" t="n">
        <v>1</v>
      </c>
      <c r="E1548" s="3" t="inlineStr">
        <is>
          <t>CARABINA</t>
        </is>
      </c>
      <c r="F1548" s="3" t="inlineStr">
        <is>
          <t>22 LR</t>
        </is>
      </c>
      <c r="G1548" s="3" t="inlineStr">
        <is>
          <t>WINCHESTER</t>
        </is>
      </c>
      <c r="H1548" s="65" t="inlineStr">
        <is>
          <t>XPERT FDE, THR 18''</t>
        </is>
      </c>
      <c r="I1548" s="65" t="inlineStr">
        <is>
          <t>TF614-25AB00781</t>
        </is>
      </c>
      <c r="J1548" s="65" t="inlineStr">
        <is>
          <t>N/D</t>
        </is>
      </c>
      <c r="K1548" s="65" t="inlineStr">
        <is>
          <t>N/D</t>
        </is>
      </c>
      <c r="L1548" s="127" t="inlineStr">
        <is>
          <t>BROWNING INTERNATIONAL SA</t>
        </is>
      </c>
      <c r="M1548" s="5" t="n">
        <v>279</v>
      </c>
      <c r="N1548" s="5" t="n"/>
      <c r="O1548" s="5">
        <f>+M1548+N1548</f>
        <v/>
      </c>
      <c r="P1548" s="4" t="n">
        <v>45826</v>
      </c>
      <c r="Q1548" s="87" t="n">
        <v>45800</v>
      </c>
      <c r="R1548" s="5" t="n"/>
      <c r="S1548" s="2" t="n"/>
      <c r="T1548" s="3" t="n"/>
      <c r="U1548" s="87" t="n"/>
      <c r="V1548" s="3" t="n"/>
      <c r="W1548" s="108" t="n"/>
      <c r="X1548" s="4" t="n"/>
    </row>
    <row r="1549" ht="24" customHeight="1">
      <c r="A1549" s="2">
        <f>+D1549-S1549</f>
        <v/>
      </c>
      <c r="B1549" s="80" t="n">
        <v>3193</v>
      </c>
      <c r="C1549" s="66" t="n">
        <v>45832</v>
      </c>
      <c r="D1549" s="2" t="n">
        <v>1</v>
      </c>
      <c r="E1549" s="3" t="inlineStr">
        <is>
          <t>CARABINA</t>
        </is>
      </c>
      <c r="F1549" s="3" t="inlineStr">
        <is>
          <t>22 LR</t>
        </is>
      </c>
      <c r="G1549" s="3" t="inlineStr">
        <is>
          <t>WINCHESTER</t>
        </is>
      </c>
      <c r="H1549" s="65" t="inlineStr">
        <is>
          <t>XPERT FDE, THR 18''</t>
        </is>
      </c>
      <c r="I1549" s="65" t="inlineStr">
        <is>
          <t>TF614-25AB00762</t>
        </is>
      </c>
      <c r="J1549" s="65" t="inlineStr">
        <is>
          <t>N/D</t>
        </is>
      </c>
      <c r="K1549" s="65" t="inlineStr">
        <is>
          <t>N/D</t>
        </is>
      </c>
      <c r="L1549" s="127" t="inlineStr">
        <is>
          <t>BROWNING INTERNATIONAL SA</t>
        </is>
      </c>
      <c r="M1549" s="5" t="n">
        <v>279</v>
      </c>
      <c r="N1549" s="5" t="n"/>
      <c r="O1549" s="5">
        <f>+M1549+N1549</f>
        <v/>
      </c>
      <c r="P1549" s="4" t="n">
        <v>45826</v>
      </c>
      <c r="Q1549" s="87" t="n">
        <v>45800</v>
      </c>
      <c r="R1549" s="5" t="n"/>
      <c r="S1549" s="2" t="n"/>
      <c r="T1549" s="3" t="n"/>
      <c r="U1549" s="87" t="n"/>
      <c r="V1549" s="3" t="n"/>
      <c r="W1549" s="108" t="n"/>
      <c r="X1549" s="4" t="n"/>
    </row>
    <row r="1550" ht="24" customHeight="1">
      <c r="A1550" s="2">
        <f>+D1550-S1550</f>
        <v/>
      </c>
      <c r="B1550" s="80" t="n">
        <v>3194</v>
      </c>
      <c r="C1550" s="66" t="n">
        <v>45832</v>
      </c>
      <c r="D1550" s="2" t="n">
        <v>1</v>
      </c>
      <c r="E1550" s="3" t="inlineStr">
        <is>
          <t>CARABINA</t>
        </is>
      </c>
      <c r="F1550" s="3" t="inlineStr">
        <is>
          <t>22 LR</t>
        </is>
      </c>
      <c r="G1550" s="3" t="inlineStr">
        <is>
          <t>WINCHESTER</t>
        </is>
      </c>
      <c r="H1550" s="65" t="inlineStr">
        <is>
          <t>XPERT FDE, THR 18''</t>
        </is>
      </c>
      <c r="I1550" s="65" t="inlineStr">
        <is>
          <t>TF614-25AB00790</t>
        </is>
      </c>
      <c r="J1550" s="65" t="inlineStr">
        <is>
          <t>N/D</t>
        </is>
      </c>
      <c r="K1550" s="65" t="inlineStr">
        <is>
          <t>N/D</t>
        </is>
      </c>
      <c r="L1550" s="127" t="inlineStr">
        <is>
          <t>BROWNING INTERNATIONAL SA</t>
        </is>
      </c>
      <c r="M1550" s="5" t="n">
        <v>279</v>
      </c>
      <c r="N1550" s="5" t="n"/>
      <c r="O1550" s="5">
        <f>+M1550+N1550</f>
        <v/>
      </c>
      <c r="P1550" s="4" t="n">
        <v>45826</v>
      </c>
      <c r="Q1550" s="87" t="n">
        <v>45800</v>
      </c>
      <c r="R1550" s="5" t="n"/>
      <c r="S1550" s="2" t="n"/>
      <c r="T1550" s="3" t="n"/>
      <c r="U1550" s="87" t="n"/>
      <c r="V1550" s="3" t="n"/>
      <c r="W1550" s="108" t="n"/>
      <c r="X1550" s="4" t="n"/>
    </row>
    <row r="1551" ht="24" customHeight="1">
      <c r="A1551" s="2">
        <f>+D1551-S1551</f>
        <v/>
      </c>
      <c r="B1551" s="80" t="n">
        <v>3195</v>
      </c>
      <c r="C1551" s="66" t="n">
        <v>45832</v>
      </c>
      <c r="D1551" s="2" t="n">
        <v>1</v>
      </c>
      <c r="E1551" s="3" t="inlineStr">
        <is>
          <t>CARABINA</t>
        </is>
      </c>
      <c r="F1551" s="3" t="inlineStr">
        <is>
          <t>22 LR</t>
        </is>
      </c>
      <c r="G1551" s="3" t="inlineStr">
        <is>
          <t>WINCHESTER</t>
        </is>
      </c>
      <c r="H1551" s="65" t="inlineStr">
        <is>
          <t>XPERT FDE, THR 18''</t>
        </is>
      </c>
      <c r="I1551" s="65" t="inlineStr">
        <is>
          <t>TF614-25AB00769</t>
        </is>
      </c>
      <c r="J1551" s="65" t="inlineStr">
        <is>
          <t>N/D</t>
        </is>
      </c>
      <c r="K1551" s="65" t="inlineStr">
        <is>
          <t>N/D</t>
        </is>
      </c>
      <c r="L1551" s="127" t="inlineStr">
        <is>
          <t>BROWNING INTERNATIONAL SA</t>
        </is>
      </c>
      <c r="M1551" s="5" t="n">
        <v>279</v>
      </c>
      <c r="N1551" s="5" t="n"/>
      <c r="O1551" s="5">
        <f>+M1551+N1551</f>
        <v/>
      </c>
      <c r="P1551" s="4" t="n">
        <v>45826</v>
      </c>
      <c r="Q1551" s="87" t="n">
        <v>45800</v>
      </c>
      <c r="R1551" s="5" t="n"/>
      <c r="S1551" s="2" t="n"/>
      <c r="T1551" s="3" t="n"/>
      <c r="U1551" s="87" t="n"/>
      <c r="V1551" s="3" t="n"/>
      <c r="W1551" s="108" t="n"/>
      <c r="X1551" s="4" t="n"/>
    </row>
    <row r="1552" ht="24" customHeight="1">
      <c r="A1552" s="2">
        <f>+D1552-S1552</f>
        <v/>
      </c>
      <c r="B1552" s="80" t="n">
        <v>3196</v>
      </c>
      <c r="C1552" s="66" t="n">
        <v>45832</v>
      </c>
      <c r="D1552" s="2" t="n">
        <v>1</v>
      </c>
      <c r="E1552" s="3" t="inlineStr">
        <is>
          <t>CARABINA</t>
        </is>
      </c>
      <c r="F1552" s="3" t="inlineStr">
        <is>
          <t>22 LR</t>
        </is>
      </c>
      <c r="G1552" s="3" t="inlineStr">
        <is>
          <t>WINCHESTER</t>
        </is>
      </c>
      <c r="H1552" s="65" t="inlineStr">
        <is>
          <t>XPERT FDE, THR 18''</t>
        </is>
      </c>
      <c r="I1552" s="65" t="inlineStr">
        <is>
          <t>TF614-25AB00765</t>
        </is>
      </c>
      <c r="J1552" s="65" t="inlineStr">
        <is>
          <t>N/D</t>
        </is>
      </c>
      <c r="K1552" s="65" t="inlineStr">
        <is>
          <t>N/D</t>
        </is>
      </c>
      <c r="L1552" s="127" t="inlineStr">
        <is>
          <t>BROWNING INTERNATIONAL SA</t>
        </is>
      </c>
      <c r="M1552" s="5" t="n">
        <v>279</v>
      </c>
      <c r="N1552" s="5" t="n"/>
      <c r="O1552" s="5">
        <f>+M1552+N1552</f>
        <v/>
      </c>
      <c r="P1552" s="4" t="n">
        <v>45826</v>
      </c>
      <c r="Q1552" s="87" t="n">
        <v>45800</v>
      </c>
      <c r="R1552" s="5" t="n"/>
      <c r="S1552" s="2" t="n"/>
      <c r="T1552" s="3" t="n"/>
      <c r="U1552" s="87" t="n"/>
      <c r="V1552" s="3" t="n"/>
      <c r="W1552" s="108" t="n"/>
      <c r="X1552" s="4" t="n"/>
    </row>
    <row r="1553" ht="24" customHeight="1">
      <c r="A1553" s="2">
        <f>+D1553-S1553</f>
        <v/>
      </c>
      <c r="B1553" s="80" t="n">
        <v>3197</v>
      </c>
      <c r="C1553" s="66" t="n">
        <v>45832</v>
      </c>
      <c r="D1553" s="2" t="n">
        <v>1</v>
      </c>
      <c r="E1553" s="3" t="inlineStr">
        <is>
          <t>CARABINA</t>
        </is>
      </c>
      <c r="F1553" s="3" t="inlineStr">
        <is>
          <t>22 LR</t>
        </is>
      </c>
      <c r="G1553" s="3" t="inlineStr">
        <is>
          <t>WINCHESTER</t>
        </is>
      </c>
      <c r="H1553" s="65" t="inlineStr">
        <is>
          <t>XPERT FDE, THR 18''</t>
        </is>
      </c>
      <c r="I1553" s="65" t="inlineStr">
        <is>
          <t>TF614-25AB00725</t>
        </is>
      </c>
      <c r="J1553" s="65" t="inlineStr">
        <is>
          <t>N/D</t>
        </is>
      </c>
      <c r="K1553" s="65" t="inlineStr">
        <is>
          <t>N/D</t>
        </is>
      </c>
      <c r="L1553" s="127" t="inlineStr">
        <is>
          <t>BROWNING INTERNATIONAL SA</t>
        </is>
      </c>
      <c r="M1553" s="5" t="n">
        <v>279</v>
      </c>
      <c r="N1553" s="5" t="n"/>
      <c r="O1553" s="5">
        <f>+M1553+N1553</f>
        <v/>
      </c>
      <c r="P1553" s="4" t="n">
        <v>45826</v>
      </c>
      <c r="Q1553" s="87" t="n">
        <v>45800</v>
      </c>
      <c r="R1553" s="5" t="n"/>
      <c r="S1553" s="2" t="n"/>
      <c r="T1553" s="3" t="n"/>
      <c r="U1553" s="87" t="n"/>
      <c r="V1553" s="3" t="n"/>
      <c r="W1553" s="108" t="n"/>
      <c r="X1553" s="4" t="n"/>
    </row>
    <row r="1554" ht="24" customHeight="1">
      <c r="A1554" s="2">
        <f>+D1554-S1554</f>
        <v/>
      </c>
      <c r="B1554" s="80" t="n">
        <v>3198</v>
      </c>
      <c r="C1554" s="66" t="n">
        <v>45832</v>
      </c>
      <c r="D1554" s="2" t="n">
        <v>1</v>
      </c>
      <c r="E1554" s="3" t="inlineStr">
        <is>
          <t>CARABINA</t>
        </is>
      </c>
      <c r="F1554" s="3" t="inlineStr">
        <is>
          <t>22 LR</t>
        </is>
      </c>
      <c r="G1554" s="3" t="inlineStr">
        <is>
          <t>WINCHESTER</t>
        </is>
      </c>
      <c r="H1554" s="65" t="inlineStr">
        <is>
          <t>XPERT FDE, THR 18''</t>
        </is>
      </c>
      <c r="I1554" s="65" t="inlineStr">
        <is>
          <t>TF614-25AB00784</t>
        </is>
      </c>
      <c r="J1554" s="65" t="inlineStr">
        <is>
          <t>N/D</t>
        </is>
      </c>
      <c r="K1554" s="65" t="inlineStr">
        <is>
          <t>N/D</t>
        </is>
      </c>
      <c r="L1554" s="127" t="inlineStr">
        <is>
          <t>BROWNING INTERNATIONAL SA</t>
        </is>
      </c>
      <c r="M1554" s="5" t="n">
        <v>279</v>
      </c>
      <c r="N1554" s="5" t="n"/>
      <c r="O1554" s="5">
        <f>+M1554+N1554</f>
        <v/>
      </c>
      <c r="P1554" s="4" t="n">
        <v>45826</v>
      </c>
      <c r="Q1554" s="87" t="n">
        <v>45800</v>
      </c>
      <c r="R1554" s="5" t="n"/>
      <c r="S1554" s="2" t="n"/>
      <c r="T1554" s="3" t="n"/>
      <c r="U1554" s="87" t="n"/>
      <c r="V1554" s="3" t="n"/>
      <c r="W1554" s="108" t="n"/>
      <c r="X1554" s="4" t="n"/>
    </row>
    <row r="1555" ht="24" customHeight="1">
      <c r="A1555" s="2">
        <f>+D1555-S1555</f>
        <v/>
      </c>
      <c r="B1555" s="80" t="n">
        <v>3199</v>
      </c>
      <c r="C1555" s="66" t="n">
        <v>45832</v>
      </c>
      <c r="D1555" s="2" t="n">
        <v>1</v>
      </c>
      <c r="E1555" s="3" t="inlineStr">
        <is>
          <t>CARABINA SEMIAUTOMATICA</t>
        </is>
      </c>
      <c r="F1555" s="3" t="inlineStr">
        <is>
          <t>22 LR</t>
        </is>
      </c>
      <c r="G1555" s="3" t="inlineStr">
        <is>
          <t>WINCHESTER</t>
        </is>
      </c>
      <c r="H1555" s="65" t="inlineStr">
        <is>
          <t>WILDCAT STRATA SA, S, THR 18''</t>
        </is>
      </c>
      <c r="I1555" s="65" t="inlineStr">
        <is>
          <t>TF614-23M07920</t>
        </is>
      </c>
      <c r="J1555" s="65" t="inlineStr">
        <is>
          <t>N/D</t>
        </is>
      </c>
      <c r="K1555" s="65" t="inlineStr">
        <is>
          <t>N/D</t>
        </is>
      </c>
      <c r="L1555" s="127" t="inlineStr">
        <is>
          <t>BROWNING INTERNATIONAL SA</t>
        </is>
      </c>
      <c r="M1555" s="5" t="n">
        <v>270</v>
      </c>
      <c r="N1555" s="5" t="n"/>
      <c r="O1555" s="5">
        <f>+M1555+N1555</f>
        <v/>
      </c>
      <c r="P1555" s="4" t="n">
        <v>45826</v>
      </c>
      <c r="Q1555" s="87" t="n">
        <v>45800</v>
      </c>
      <c r="R1555" s="5" t="n"/>
      <c r="S1555" s="2" t="n"/>
      <c r="T1555" s="3" t="n"/>
      <c r="U1555" s="87" t="n"/>
      <c r="V1555" s="3" t="n"/>
      <c r="W1555" s="108" t="n"/>
      <c r="X1555" s="4" t="n"/>
    </row>
    <row r="1556" ht="24" customHeight="1">
      <c r="A1556" s="2">
        <f>+D1556-S1556</f>
        <v/>
      </c>
      <c r="B1556" s="80" t="n">
        <v>3200</v>
      </c>
      <c r="C1556" s="66" t="n">
        <v>45832</v>
      </c>
      <c r="D1556" s="2" t="n">
        <v>1</v>
      </c>
      <c r="E1556" s="3" t="inlineStr">
        <is>
          <t>CARABINA SEMIAUTOMATICA</t>
        </is>
      </c>
      <c r="F1556" s="3" t="inlineStr">
        <is>
          <t>22 LR</t>
        </is>
      </c>
      <c r="G1556" s="3" t="inlineStr">
        <is>
          <t>WINCHESTER</t>
        </is>
      </c>
      <c r="H1556" s="65" t="inlineStr">
        <is>
          <t>WILDCAT STRATA SA, S, THR 18''</t>
        </is>
      </c>
      <c r="I1556" s="65" t="inlineStr">
        <is>
          <t>TF614-23M07913</t>
        </is>
      </c>
      <c r="J1556" s="65" t="inlineStr">
        <is>
          <t>N/D</t>
        </is>
      </c>
      <c r="K1556" s="65" t="inlineStr">
        <is>
          <t>N/D</t>
        </is>
      </c>
      <c r="L1556" s="127" t="inlineStr">
        <is>
          <t>BROWNING INTERNATIONAL SA</t>
        </is>
      </c>
      <c r="M1556" s="5" t="n">
        <v>270</v>
      </c>
      <c r="N1556" s="5" t="n"/>
      <c r="O1556" s="5">
        <f>+M1556+N1556</f>
        <v/>
      </c>
      <c r="P1556" s="4" t="n">
        <v>45826</v>
      </c>
      <c r="Q1556" s="87" t="n">
        <v>45800</v>
      </c>
      <c r="R1556" s="5" t="n"/>
      <c r="S1556" s="2" t="n"/>
      <c r="T1556" s="3" t="n"/>
      <c r="U1556" s="87" t="n"/>
      <c r="V1556" s="3" t="n"/>
      <c r="W1556" s="108" t="n"/>
      <c r="X1556" s="4" t="n"/>
    </row>
    <row r="1557" ht="24" customHeight="1">
      <c r="A1557" s="2">
        <f>+D1557-S1557</f>
        <v/>
      </c>
      <c r="B1557" s="80" t="n">
        <v>3201</v>
      </c>
      <c r="C1557" s="66" t="n">
        <v>45832</v>
      </c>
      <c r="D1557" s="2" t="n">
        <v>1</v>
      </c>
      <c r="E1557" s="3" t="inlineStr">
        <is>
          <t>CARABINA SEMIAUTOMATICA</t>
        </is>
      </c>
      <c r="F1557" s="3" t="inlineStr">
        <is>
          <t>22 LR</t>
        </is>
      </c>
      <c r="G1557" s="3" t="inlineStr">
        <is>
          <t>WINCHESTER</t>
        </is>
      </c>
      <c r="H1557" s="65" t="inlineStr">
        <is>
          <t>WILDCAT STRATA SA, S, THR 18''</t>
        </is>
      </c>
      <c r="I1557" s="65" t="inlineStr">
        <is>
          <t>TF614-23M07918</t>
        </is>
      </c>
      <c r="J1557" s="65" t="inlineStr">
        <is>
          <t>N/D</t>
        </is>
      </c>
      <c r="K1557" s="65" t="inlineStr">
        <is>
          <t>N/D</t>
        </is>
      </c>
      <c r="L1557" s="127" t="inlineStr">
        <is>
          <t>BROWNING INTERNATIONAL SA</t>
        </is>
      </c>
      <c r="M1557" s="5" t="n">
        <v>270</v>
      </c>
      <c r="N1557" s="5" t="n"/>
      <c r="O1557" s="5">
        <f>+M1557+N1557</f>
        <v/>
      </c>
      <c r="P1557" s="4" t="n">
        <v>45826</v>
      </c>
      <c r="Q1557" s="87" t="n">
        <v>45800</v>
      </c>
      <c r="R1557" s="5" t="n"/>
      <c r="S1557" s="2" t="n"/>
      <c r="T1557" s="3" t="n"/>
      <c r="U1557" s="87" t="n"/>
      <c r="V1557" s="3" t="n"/>
      <c r="W1557" s="108" t="n"/>
      <c r="X1557" s="4" t="n"/>
    </row>
    <row r="1558" ht="24" customHeight="1">
      <c r="A1558" s="2">
        <f>+D1558-S1558</f>
        <v/>
      </c>
      <c r="B1558" s="80" t="n">
        <v>3202</v>
      </c>
      <c r="C1558" s="66" t="n">
        <v>45832</v>
      </c>
      <c r="D1558" s="2" t="n">
        <v>1</v>
      </c>
      <c r="E1558" s="3" t="inlineStr">
        <is>
          <t>CARABINA SEMIAUTOMATICA</t>
        </is>
      </c>
      <c r="F1558" s="3" t="inlineStr">
        <is>
          <t>22 LR</t>
        </is>
      </c>
      <c r="G1558" s="3" t="inlineStr">
        <is>
          <t>WINCHESTER</t>
        </is>
      </c>
      <c r="H1558" s="65" t="inlineStr">
        <is>
          <t>WILDCAT STRATA SA, S, THR 18''</t>
        </is>
      </c>
      <c r="I1558" s="65" t="inlineStr">
        <is>
          <t>TF614-23M07901</t>
        </is>
      </c>
      <c r="J1558" s="65" t="inlineStr">
        <is>
          <t>N/D</t>
        </is>
      </c>
      <c r="K1558" s="65" t="inlineStr">
        <is>
          <t>N/D</t>
        </is>
      </c>
      <c r="L1558" s="127" t="inlineStr">
        <is>
          <t>BROWNING INTERNATIONAL SA</t>
        </is>
      </c>
      <c r="M1558" s="5" t="n">
        <v>270</v>
      </c>
      <c r="N1558" s="5" t="n"/>
      <c r="O1558" s="5">
        <f>+M1558+N1558</f>
        <v/>
      </c>
      <c r="P1558" s="4" t="n">
        <v>45826</v>
      </c>
      <c r="Q1558" s="87" t="n">
        <v>45800</v>
      </c>
      <c r="R1558" s="5" t="n"/>
      <c r="S1558" s="2" t="n"/>
      <c r="T1558" s="3" t="n"/>
      <c r="U1558" s="87" t="n"/>
      <c r="V1558" s="3" t="n"/>
      <c r="W1558" s="108" t="n"/>
      <c r="X1558" s="4" t="n"/>
    </row>
    <row r="1559" ht="24" customHeight="1">
      <c r="A1559" s="2">
        <f>+D1559-S1559</f>
        <v/>
      </c>
      <c r="B1559" s="80" t="n">
        <v>3203</v>
      </c>
      <c r="C1559" s="66" t="n">
        <v>45832</v>
      </c>
      <c r="D1559" s="2" t="n">
        <v>1</v>
      </c>
      <c r="E1559" s="3" t="inlineStr">
        <is>
          <t>CARABINA SEMIAUTOMATICA</t>
        </is>
      </c>
      <c r="F1559" s="3" t="inlineStr">
        <is>
          <t>22 LR</t>
        </is>
      </c>
      <c r="G1559" s="3" t="inlineStr">
        <is>
          <t>WINCHESTER</t>
        </is>
      </c>
      <c r="H1559" s="65" t="inlineStr">
        <is>
          <t>WILDCAT STRATA SA, S, THR 18''</t>
        </is>
      </c>
      <c r="I1559" s="65" t="inlineStr">
        <is>
          <t>TF614-23M07910</t>
        </is>
      </c>
      <c r="J1559" s="65" t="inlineStr">
        <is>
          <t>N/D</t>
        </is>
      </c>
      <c r="K1559" s="65" t="inlineStr">
        <is>
          <t>N/D</t>
        </is>
      </c>
      <c r="L1559" s="127" t="inlineStr">
        <is>
          <t>BROWNING INTERNATIONAL SA</t>
        </is>
      </c>
      <c r="M1559" s="5" t="n">
        <v>270</v>
      </c>
      <c r="N1559" s="5" t="n"/>
      <c r="O1559" s="5">
        <f>+M1559+N1559</f>
        <v/>
      </c>
      <c r="P1559" s="4" t="n">
        <v>45826</v>
      </c>
      <c r="Q1559" s="87" t="n">
        <v>45800</v>
      </c>
      <c r="R1559" s="5" t="n"/>
      <c r="S1559" s="2" t="n"/>
      <c r="T1559" s="3" t="n"/>
      <c r="U1559" s="87" t="n"/>
      <c r="V1559" s="3" t="n"/>
      <c r="W1559" s="108" t="n"/>
      <c r="X1559" s="4" t="n"/>
    </row>
    <row r="1560" ht="24" customHeight="1">
      <c r="A1560" s="2">
        <f>+D1560-S1560</f>
        <v/>
      </c>
      <c r="B1560" s="80" t="n">
        <v>3204</v>
      </c>
      <c r="C1560" s="66" t="n">
        <v>45832</v>
      </c>
      <c r="D1560" s="2" t="n">
        <v>1</v>
      </c>
      <c r="E1560" s="3" t="inlineStr">
        <is>
          <t>CARABINA SEMIAUTOMATICA</t>
        </is>
      </c>
      <c r="F1560" s="3" t="inlineStr">
        <is>
          <t>22 LR</t>
        </is>
      </c>
      <c r="G1560" s="3" t="inlineStr">
        <is>
          <t>WINCHESTER</t>
        </is>
      </c>
      <c r="H1560" s="65" t="inlineStr">
        <is>
          <t>WILDCAT STRATA SA, S, THR 18''</t>
        </is>
      </c>
      <c r="I1560" s="65" t="inlineStr">
        <is>
          <t>TF614-23M07909</t>
        </is>
      </c>
      <c r="J1560" s="65" t="inlineStr">
        <is>
          <t>N/D</t>
        </is>
      </c>
      <c r="K1560" s="65" t="inlineStr">
        <is>
          <t>N/D</t>
        </is>
      </c>
      <c r="L1560" s="127" t="inlineStr">
        <is>
          <t>BROWNING INTERNATIONAL SA</t>
        </is>
      </c>
      <c r="M1560" s="5" t="n">
        <v>270</v>
      </c>
      <c r="N1560" s="5" t="n"/>
      <c r="O1560" s="5">
        <f>+M1560+N1560</f>
        <v/>
      </c>
      <c r="P1560" s="4" t="n">
        <v>45826</v>
      </c>
      <c r="Q1560" s="87" t="n">
        <v>45800</v>
      </c>
      <c r="R1560" s="5" t="n"/>
      <c r="S1560" s="2" t="n"/>
      <c r="T1560" s="3" t="n"/>
      <c r="U1560" s="87" t="n"/>
      <c r="V1560" s="3" t="n"/>
      <c r="W1560" s="108" t="n"/>
      <c r="X1560" s="4" t="n"/>
    </row>
    <row r="1561" ht="24" customHeight="1">
      <c r="A1561" s="2">
        <f>+D1561-S1561</f>
        <v/>
      </c>
      <c r="B1561" s="80" t="n">
        <v>3205</v>
      </c>
      <c r="C1561" s="66" t="n">
        <v>45832</v>
      </c>
      <c r="D1561" s="2" t="n">
        <v>1</v>
      </c>
      <c r="E1561" s="3" t="inlineStr">
        <is>
          <t>CARABINA SEMIAUTOMATICA</t>
        </is>
      </c>
      <c r="F1561" s="3" t="inlineStr">
        <is>
          <t>22 LR</t>
        </is>
      </c>
      <c r="G1561" s="3" t="inlineStr">
        <is>
          <t>WINCHESTER</t>
        </is>
      </c>
      <c r="H1561" s="65" t="inlineStr">
        <is>
          <t>WILDCAT STRATA SA, S, THR 18''</t>
        </is>
      </c>
      <c r="I1561" s="65" t="inlineStr">
        <is>
          <t>TF614-23M07959</t>
        </is>
      </c>
      <c r="J1561" s="65" t="inlineStr">
        <is>
          <t>N/D</t>
        </is>
      </c>
      <c r="K1561" s="65" t="inlineStr">
        <is>
          <t>N/D</t>
        </is>
      </c>
      <c r="L1561" s="127" t="inlineStr">
        <is>
          <t>BROWNING INTERNATIONAL SA</t>
        </is>
      </c>
      <c r="M1561" s="5" t="n">
        <v>270</v>
      </c>
      <c r="N1561" s="5" t="n"/>
      <c r="O1561" s="5">
        <f>+M1561+N1561</f>
        <v/>
      </c>
      <c r="P1561" s="4" t="n">
        <v>45826</v>
      </c>
      <c r="Q1561" s="87" t="n">
        <v>45800</v>
      </c>
      <c r="R1561" s="5" t="n"/>
      <c r="S1561" s="2" t="n"/>
      <c r="T1561" s="3" t="n"/>
      <c r="U1561" s="87" t="n"/>
      <c r="V1561" s="3" t="n"/>
      <c r="W1561" s="108" t="n"/>
      <c r="X1561" s="4" t="n"/>
    </row>
    <row r="1562" ht="24" customHeight="1">
      <c r="A1562" s="2">
        <f>+D1562-S1562</f>
        <v/>
      </c>
      <c r="B1562" s="80" t="n">
        <v>3206</v>
      </c>
      <c r="C1562" s="66" t="n">
        <v>45832</v>
      </c>
      <c r="D1562" s="2" t="n">
        <v>1</v>
      </c>
      <c r="E1562" s="3" t="inlineStr">
        <is>
          <t>CARABINA SEMIAUTOMATICA</t>
        </is>
      </c>
      <c r="F1562" s="3" t="inlineStr">
        <is>
          <t>22 LR</t>
        </is>
      </c>
      <c r="G1562" s="3" t="inlineStr">
        <is>
          <t>WINCHESTER</t>
        </is>
      </c>
      <c r="H1562" s="65" t="inlineStr">
        <is>
          <t>WILDCAT STRATA SA, S, THR 18''</t>
        </is>
      </c>
      <c r="I1562" s="65" t="inlineStr">
        <is>
          <t>TF614-23M07952</t>
        </is>
      </c>
      <c r="J1562" s="65" t="inlineStr">
        <is>
          <t>N/D</t>
        </is>
      </c>
      <c r="K1562" s="65" t="inlineStr">
        <is>
          <t>N/D</t>
        </is>
      </c>
      <c r="L1562" s="127" t="inlineStr">
        <is>
          <t>BROWNING INTERNATIONAL SA</t>
        </is>
      </c>
      <c r="M1562" s="5" t="n">
        <v>270</v>
      </c>
      <c r="N1562" s="5" t="n"/>
      <c r="O1562" s="5">
        <f>+M1562+N1562</f>
        <v/>
      </c>
      <c r="P1562" s="4" t="n">
        <v>45826</v>
      </c>
      <c r="Q1562" s="87" t="n">
        <v>45800</v>
      </c>
      <c r="R1562" s="5" t="n"/>
      <c r="S1562" s="2" t="n"/>
      <c r="T1562" s="3" t="n"/>
      <c r="U1562" s="87" t="n"/>
      <c r="V1562" s="3" t="n"/>
      <c r="W1562" s="108" t="n"/>
      <c r="X1562" s="4" t="n"/>
    </row>
    <row r="1563" ht="24" customHeight="1">
      <c r="A1563" s="2">
        <f>+D1563-S1563</f>
        <v/>
      </c>
      <c r="B1563" s="80" t="n">
        <v>3207</v>
      </c>
      <c r="C1563" s="66" t="n">
        <v>45832</v>
      </c>
      <c r="D1563" s="2" t="n">
        <v>1</v>
      </c>
      <c r="E1563" s="3" t="inlineStr">
        <is>
          <t>CARABINA SEMIAUTOMATICA</t>
        </is>
      </c>
      <c r="F1563" s="3" t="inlineStr">
        <is>
          <t>22 LR</t>
        </is>
      </c>
      <c r="G1563" s="3" t="inlineStr">
        <is>
          <t>WINCHESTER</t>
        </is>
      </c>
      <c r="H1563" s="65" t="inlineStr">
        <is>
          <t>WILDCAT STRATA SA, S, THR 18''</t>
        </is>
      </c>
      <c r="I1563" s="65" t="inlineStr">
        <is>
          <t>TF614-23M07954</t>
        </is>
      </c>
      <c r="J1563" s="65" t="inlineStr">
        <is>
          <t>N/D</t>
        </is>
      </c>
      <c r="K1563" s="65" t="inlineStr">
        <is>
          <t>N/D</t>
        </is>
      </c>
      <c r="L1563" s="127" t="inlineStr">
        <is>
          <t>BROWNING INTERNATIONAL SA</t>
        </is>
      </c>
      <c r="M1563" s="5" t="n">
        <v>270</v>
      </c>
      <c r="N1563" s="5" t="n"/>
      <c r="O1563" s="5">
        <f>+M1563+N1563</f>
        <v/>
      </c>
      <c r="P1563" s="4" t="n">
        <v>45826</v>
      </c>
      <c r="Q1563" s="87" t="n">
        <v>45800</v>
      </c>
      <c r="R1563" s="5" t="n"/>
      <c r="S1563" s="2" t="n"/>
      <c r="T1563" s="3" t="n"/>
      <c r="U1563" s="87" t="n"/>
      <c r="V1563" s="3" t="n"/>
      <c r="W1563" s="108" t="n"/>
      <c r="X1563" s="4" t="n"/>
    </row>
    <row r="1564" ht="24" customHeight="1">
      <c r="A1564" s="2">
        <f>+D1564-S1564</f>
        <v/>
      </c>
      <c r="B1564" s="80" t="n">
        <v>3208</v>
      </c>
      <c r="C1564" s="66" t="n">
        <v>45832</v>
      </c>
      <c r="D1564" s="2" t="n">
        <v>1</v>
      </c>
      <c r="E1564" s="3" t="inlineStr">
        <is>
          <t>CARABINA SEMIAUTOMATICA</t>
        </is>
      </c>
      <c r="F1564" s="3" t="inlineStr">
        <is>
          <t>22 LR</t>
        </is>
      </c>
      <c r="G1564" s="3" t="inlineStr">
        <is>
          <t>WINCHESTER</t>
        </is>
      </c>
      <c r="H1564" s="65" t="inlineStr">
        <is>
          <t>WILDCAT STRATA SA, S, THR 18''</t>
        </is>
      </c>
      <c r="I1564" s="65" t="inlineStr">
        <is>
          <t>TF614-23M07955</t>
        </is>
      </c>
      <c r="J1564" s="65" t="inlineStr">
        <is>
          <t>N/D</t>
        </is>
      </c>
      <c r="K1564" s="65" t="inlineStr">
        <is>
          <t>N/D</t>
        </is>
      </c>
      <c r="L1564" s="127" t="inlineStr">
        <is>
          <t>BROWNING INTERNATIONAL SA</t>
        </is>
      </c>
      <c r="M1564" s="5" t="n">
        <v>270</v>
      </c>
      <c r="N1564" s="5" t="n"/>
      <c r="O1564" s="5">
        <f>+M1564+N1564</f>
        <v/>
      </c>
      <c r="P1564" s="4" t="n">
        <v>45826</v>
      </c>
      <c r="Q1564" s="87" t="n">
        <v>45800</v>
      </c>
      <c r="R1564" s="5" t="n"/>
      <c r="S1564" s="2" t="n"/>
      <c r="T1564" s="3" t="n"/>
      <c r="U1564" s="87" t="n"/>
      <c r="V1564" s="3" t="n"/>
      <c r="W1564" s="108" t="n"/>
      <c r="X1564" s="4" t="n"/>
    </row>
    <row r="1565" ht="24" customHeight="1">
      <c r="A1565" s="2">
        <f>+D1565-S1565</f>
        <v/>
      </c>
      <c r="B1565" s="80" t="n">
        <v>3209</v>
      </c>
      <c r="C1565" s="66" t="n">
        <v>45832</v>
      </c>
      <c r="D1565" s="2" t="n">
        <v>1</v>
      </c>
      <c r="E1565" s="3" t="inlineStr">
        <is>
          <t>CARABINA SEMIAUTOMATICA</t>
        </is>
      </c>
      <c r="F1565" s="3" t="inlineStr">
        <is>
          <t>22 LR</t>
        </is>
      </c>
      <c r="G1565" s="3" t="inlineStr">
        <is>
          <t>WINCHESTER</t>
        </is>
      </c>
      <c r="H1565" s="65" t="inlineStr">
        <is>
          <t>WILDCAT STRATA SA, S, THR 18''</t>
        </is>
      </c>
      <c r="I1565" s="65" t="inlineStr">
        <is>
          <t>TF614-23M07864</t>
        </is>
      </c>
      <c r="J1565" s="65" t="inlineStr">
        <is>
          <t>N/D</t>
        </is>
      </c>
      <c r="K1565" s="65" t="inlineStr">
        <is>
          <t>N/D</t>
        </is>
      </c>
      <c r="L1565" s="127" t="inlineStr">
        <is>
          <t>BROWNING INTERNATIONAL SA</t>
        </is>
      </c>
      <c r="M1565" s="5" t="n">
        <v>270</v>
      </c>
      <c r="N1565" s="5" t="n"/>
      <c r="O1565" s="5">
        <f>+M1565+N1565</f>
        <v/>
      </c>
      <c r="P1565" s="4" t="n">
        <v>45826</v>
      </c>
      <c r="Q1565" s="87" t="n">
        <v>45800</v>
      </c>
      <c r="R1565" s="5" t="n"/>
      <c r="S1565" s="2" t="n"/>
      <c r="T1565" s="3" t="n"/>
      <c r="U1565" s="87" t="n"/>
      <c r="V1565" s="3" t="n"/>
      <c r="W1565" s="108" t="n"/>
      <c r="X1565" s="4" t="n"/>
    </row>
    <row r="1566" ht="24" customHeight="1">
      <c r="A1566" s="2">
        <f>+D1566-S1566</f>
        <v/>
      </c>
      <c r="B1566" s="80" t="n">
        <v>3210</v>
      </c>
      <c r="C1566" s="66" t="n">
        <v>45832</v>
      </c>
      <c r="D1566" s="2" t="n">
        <v>1</v>
      </c>
      <c r="E1566" s="3" t="inlineStr">
        <is>
          <t>CARABINA SEMIAUTOMATICA</t>
        </is>
      </c>
      <c r="F1566" s="3" t="inlineStr">
        <is>
          <t>22 LR</t>
        </is>
      </c>
      <c r="G1566" s="3" t="inlineStr">
        <is>
          <t>WINCHESTER</t>
        </is>
      </c>
      <c r="H1566" s="65" t="inlineStr">
        <is>
          <t>WILDCAT STRATA SA, S, THR 18''</t>
        </is>
      </c>
      <c r="I1566" s="65" t="inlineStr">
        <is>
          <t>TF614-23M07869</t>
        </is>
      </c>
      <c r="J1566" s="65" t="inlineStr">
        <is>
          <t>N/D</t>
        </is>
      </c>
      <c r="K1566" s="65" t="inlineStr">
        <is>
          <t>N/D</t>
        </is>
      </c>
      <c r="L1566" s="127" t="inlineStr">
        <is>
          <t>BROWNING INTERNATIONAL SA</t>
        </is>
      </c>
      <c r="M1566" s="5" t="n">
        <v>270</v>
      </c>
      <c r="N1566" s="5" t="n"/>
      <c r="O1566" s="5">
        <f>+M1566+N1566</f>
        <v/>
      </c>
      <c r="P1566" s="4" t="n">
        <v>45826</v>
      </c>
      <c r="Q1566" s="87" t="n">
        <v>45800</v>
      </c>
      <c r="R1566" s="5" t="n"/>
      <c r="S1566" s="2" t="n"/>
      <c r="T1566" s="3" t="n"/>
      <c r="U1566" s="87" t="n"/>
      <c r="V1566" s="3" t="n"/>
      <c r="W1566" s="108" t="n"/>
      <c r="X1566" s="4" t="n"/>
    </row>
    <row r="1567" ht="24" customHeight="1">
      <c r="A1567" s="2">
        <f>+D1567-S1567</f>
        <v/>
      </c>
      <c r="B1567" s="80" t="n">
        <v>3211</v>
      </c>
      <c r="C1567" s="66" t="n">
        <v>45832</v>
      </c>
      <c r="D1567" s="2" t="n">
        <v>1</v>
      </c>
      <c r="E1567" s="3" t="inlineStr">
        <is>
          <t>CARABINA SEMIAUTOMATICA</t>
        </is>
      </c>
      <c r="F1567" s="3" t="inlineStr">
        <is>
          <t>22 LR</t>
        </is>
      </c>
      <c r="G1567" s="3" t="inlineStr">
        <is>
          <t>WINCHESTER</t>
        </is>
      </c>
      <c r="H1567" s="65" t="inlineStr">
        <is>
          <t>WILDCAT STRATA SA, S, THR 18''</t>
        </is>
      </c>
      <c r="I1567" s="65" t="inlineStr">
        <is>
          <t>TF614-23M07892</t>
        </is>
      </c>
      <c r="J1567" s="65" t="inlineStr">
        <is>
          <t>N/D</t>
        </is>
      </c>
      <c r="K1567" s="65" t="inlineStr">
        <is>
          <t>N/D</t>
        </is>
      </c>
      <c r="L1567" s="127" t="inlineStr">
        <is>
          <t>BROWNING INTERNATIONAL SA</t>
        </is>
      </c>
      <c r="M1567" s="5" t="n">
        <v>270</v>
      </c>
      <c r="N1567" s="5" t="n"/>
      <c r="O1567" s="5">
        <f>+M1567+N1567</f>
        <v/>
      </c>
      <c r="P1567" s="4" t="n">
        <v>45826</v>
      </c>
      <c r="Q1567" s="87" t="n">
        <v>45800</v>
      </c>
      <c r="R1567" s="5" t="n"/>
      <c r="S1567" s="2" t="n"/>
      <c r="T1567" s="3" t="n"/>
      <c r="U1567" s="87" t="n"/>
      <c r="V1567" s="3" t="n"/>
      <c r="W1567" s="108" t="n"/>
      <c r="X1567" s="4" t="n"/>
    </row>
    <row r="1568" ht="24" customHeight="1">
      <c r="A1568" s="2">
        <f>+D1568-S1568</f>
        <v/>
      </c>
      <c r="B1568" s="80" t="n">
        <v>3212</v>
      </c>
      <c r="C1568" s="66" t="n">
        <v>45832</v>
      </c>
      <c r="D1568" s="2" t="n">
        <v>1</v>
      </c>
      <c r="E1568" s="3" t="inlineStr">
        <is>
          <t>CARABINA SEMIAUTOMATICA</t>
        </is>
      </c>
      <c r="F1568" s="3" t="inlineStr">
        <is>
          <t>22 LR</t>
        </is>
      </c>
      <c r="G1568" s="3" t="inlineStr">
        <is>
          <t>WINCHESTER</t>
        </is>
      </c>
      <c r="H1568" s="65" t="inlineStr">
        <is>
          <t>WILDCAT STRATA SA, S, THR 18''</t>
        </is>
      </c>
      <c r="I1568" s="65" t="inlineStr">
        <is>
          <t>TF614-23M07915</t>
        </is>
      </c>
      <c r="J1568" s="65" t="inlineStr">
        <is>
          <t>N/D</t>
        </is>
      </c>
      <c r="K1568" s="65" t="inlineStr">
        <is>
          <t>N/D</t>
        </is>
      </c>
      <c r="L1568" s="127" t="inlineStr">
        <is>
          <t>BROWNING INTERNATIONAL SA</t>
        </is>
      </c>
      <c r="M1568" s="5" t="n">
        <v>270</v>
      </c>
      <c r="N1568" s="5" t="n"/>
      <c r="O1568" s="5">
        <f>+M1568+N1568</f>
        <v/>
      </c>
      <c r="P1568" s="4" t="n">
        <v>45826</v>
      </c>
      <c r="Q1568" s="87" t="n">
        <v>45800</v>
      </c>
      <c r="R1568" s="5" t="n"/>
      <c r="S1568" s="2" t="n"/>
      <c r="T1568" s="3" t="n"/>
      <c r="U1568" s="87" t="n"/>
      <c r="V1568" s="3" t="n"/>
      <c r="W1568" s="108" t="n"/>
      <c r="X1568" s="4" t="n"/>
    </row>
    <row r="1569" ht="24" customHeight="1">
      <c r="A1569" s="2">
        <f>+D1569-S1569</f>
        <v/>
      </c>
      <c r="B1569" s="80" t="n">
        <v>3213</v>
      </c>
      <c r="C1569" s="66" t="n">
        <v>45832</v>
      </c>
      <c r="D1569" s="2" t="n">
        <v>1</v>
      </c>
      <c r="E1569" s="3" t="inlineStr">
        <is>
          <t>CARABINA SEMIAUTOMATICA</t>
        </is>
      </c>
      <c r="F1569" s="3" t="inlineStr">
        <is>
          <t>22 LR</t>
        </is>
      </c>
      <c r="G1569" s="3" t="inlineStr">
        <is>
          <t>WINCHESTER</t>
        </is>
      </c>
      <c r="H1569" s="65" t="inlineStr">
        <is>
          <t>WILDCAT STRATA SA, S, THR 18''</t>
        </is>
      </c>
      <c r="I1569" s="65" t="inlineStr">
        <is>
          <t>TF614-23M07904</t>
        </is>
      </c>
      <c r="J1569" s="65" t="inlineStr">
        <is>
          <t>N/D</t>
        </is>
      </c>
      <c r="K1569" s="65" t="inlineStr">
        <is>
          <t>N/D</t>
        </is>
      </c>
      <c r="L1569" s="127" t="inlineStr">
        <is>
          <t>BROWNING INTERNATIONAL SA</t>
        </is>
      </c>
      <c r="M1569" s="5" t="n">
        <v>270</v>
      </c>
      <c r="N1569" s="5" t="n"/>
      <c r="O1569" s="5">
        <f>+M1569+N1569</f>
        <v/>
      </c>
      <c r="P1569" s="4" t="n">
        <v>45826</v>
      </c>
      <c r="Q1569" s="87" t="n">
        <v>45800</v>
      </c>
      <c r="R1569" s="5" t="n"/>
      <c r="S1569" s="2" t="n"/>
      <c r="T1569" s="3" t="n"/>
      <c r="U1569" s="87" t="n"/>
      <c r="V1569" s="3" t="n"/>
      <c r="W1569" s="108" t="n"/>
      <c r="X1569" s="4" t="n"/>
    </row>
    <row r="1570" ht="24" customHeight="1">
      <c r="A1570" s="2">
        <f>+D1570-S1570</f>
        <v/>
      </c>
      <c r="B1570" s="80" t="n">
        <v>3214</v>
      </c>
      <c r="C1570" s="66" t="n">
        <v>45832</v>
      </c>
      <c r="D1570" s="2" t="n">
        <v>1</v>
      </c>
      <c r="E1570" s="3" t="inlineStr">
        <is>
          <t>CARABINA SEMIAUTOMATICA</t>
        </is>
      </c>
      <c r="F1570" s="3" t="inlineStr">
        <is>
          <t>22 LR</t>
        </is>
      </c>
      <c r="G1570" s="3" t="inlineStr">
        <is>
          <t>WINCHESTER</t>
        </is>
      </c>
      <c r="H1570" s="65" t="inlineStr">
        <is>
          <t>WILDCAT STRATA SA, S, THR 18''</t>
        </is>
      </c>
      <c r="I1570" s="65" t="inlineStr">
        <is>
          <t>TF614-23M07903</t>
        </is>
      </c>
      <c r="J1570" s="65" t="inlineStr">
        <is>
          <t>N/D</t>
        </is>
      </c>
      <c r="K1570" s="65" t="inlineStr">
        <is>
          <t>N/D</t>
        </is>
      </c>
      <c r="L1570" s="127" t="inlineStr">
        <is>
          <t>BROWNING INTERNATIONAL SA</t>
        </is>
      </c>
      <c r="M1570" s="5" t="n">
        <v>270</v>
      </c>
      <c r="N1570" s="5" t="n"/>
      <c r="O1570" s="5">
        <f>+M1570+N1570</f>
        <v/>
      </c>
      <c r="P1570" s="4" t="n">
        <v>45826</v>
      </c>
      <c r="Q1570" s="87" t="n">
        <v>45800</v>
      </c>
      <c r="R1570" s="5" t="n"/>
      <c r="S1570" s="2" t="n"/>
      <c r="T1570" s="3" t="n"/>
      <c r="U1570" s="87" t="n"/>
      <c r="V1570" s="3" t="n"/>
      <c r="W1570" s="108" t="n"/>
      <c r="X1570" s="4" t="n"/>
    </row>
    <row r="1571" ht="24" customHeight="1">
      <c r="A1571" s="2">
        <f>+D1571-S1571</f>
        <v/>
      </c>
      <c r="B1571" s="80" t="n">
        <v>3215</v>
      </c>
      <c r="C1571" s="66" t="n">
        <v>45832</v>
      </c>
      <c r="D1571" s="2" t="n">
        <v>1</v>
      </c>
      <c r="E1571" s="3" t="inlineStr">
        <is>
          <t>CARABINA SEMIAUTOMATICA</t>
        </is>
      </c>
      <c r="F1571" s="3" t="inlineStr">
        <is>
          <t>22 LR</t>
        </is>
      </c>
      <c r="G1571" s="3" t="inlineStr">
        <is>
          <t>WINCHESTER</t>
        </is>
      </c>
      <c r="H1571" s="65" t="inlineStr">
        <is>
          <t>WILDCAT STRATA SA, S, THR 18''</t>
        </is>
      </c>
      <c r="I1571" s="65" t="inlineStr">
        <is>
          <t>TF614-23M07907</t>
        </is>
      </c>
      <c r="J1571" s="65" t="inlineStr">
        <is>
          <t>N/D</t>
        </is>
      </c>
      <c r="K1571" s="65" t="inlineStr">
        <is>
          <t>N/D</t>
        </is>
      </c>
      <c r="L1571" s="127" t="inlineStr">
        <is>
          <t>BROWNING INTERNATIONAL SA</t>
        </is>
      </c>
      <c r="M1571" s="5" t="n">
        <v>270</v>
      </c>
      <c r="N1571" s="5" t="n"/>
      <c r="O1571" s="5">
        <f>+M1571+N1571</f>
        <v/>
      </c>
      <c r="P1571" s="4" t="n">
        <v>45826</v>
      </c>
      <c r="Q1571" s="87" t="n">
        <v>45800</v>
      </c>
      <c r="R1571" s="5" t="n"/>
      <c r="S1571" s="2" t="n"/>
      <c r="T1571" s="3" t="n"/>
      <c r="U1571" s="87" t="n"/>
      <c r="V1571" s="3" t="n"/>
      <c r="W1571" s="108" t="n"/>
      <c r="X1571" s="4" t="n"/>
    </row>
    <row r="1572" ht="24" customHeight="1">
      <c r="A1572" s="2">
        <f>+D1572-S1572</f>
        <v/>
      </c>
      <c r="B1572" s="80" t="n">
        <v>3216</v>
      </c>
      <c r="C1572" s="66" t="n">
        <v>45832</v>
      </c>
      <c r="D1572" s="2" t="n">
        <v>1</v>
      </c>
      <c r="E1572" s="3" t="inlineStr">
        <is>
          <t>CARABINA SEMIAUTOMATICA</t>
        </is>
      </c>
      <c r="F1572" s="3" t="inlineStr">
        <is>
          <t>22 LR</t>
        </is>
      </c>
      <c r="G1572" s="3" t="inlineStr">
        <is>
          <t>WINCHESTER</t>
        </is>
      </c>
      <c r="H1572" s="65" t="inlineStr">
        <is>
          <t>WILDCAT STRATA SA, S, THR 18''</t>
        </is>
      </c>
      <c r="I1572" s="65" t="inlineStr">
        <is>
          <t>TF614-23M07922</t>
        </is>
      </c>
      <c r="J1572" s="65" t="inlineStr">
        <is>
          <t>N/D</t>
        </is>
      </c>
      <c r="K1572" s="65" t="inlineStr">
        <is>
          <t>N/D</t>
        </is>
      </c>
      <c r="L1572" s="127" t="inlineStr">
        <is>
          <t>BROWNING INTERNATIONAL SA</t>
        </is>
      </c>
      <c r="M1572" s="5" t="n">
        <v>270</v>
      </c>
      <c r="N1572" s="5" t="n"/>
      <c r="O1572" s="5">
        <f>+M1572+N1572</f>
        <v/>
      </c>
      <c r="P1572" s="4" t="n">
        <v>45826</v>
      </c>
      <c r="Q1572" s="87" t="n">
        <v>45800</v>
      </c>
      <c r="R1572" s="5" t="n"/>
      <c r="S1572" s="2" t="n"/>
      <c r="T1572" s="3" t="n"/>
      <c r="U1572" s="87" t="n"/>
      <c r="V1572" s="3" t="n"/>
      <c r="W1572" s="108" t="n"/>
      <c r="X1572" s="4" t="n"/>
    </row>
    <row r="1573" ht="24" customHeight="1">
      <c r="A1573" s="2">
        <f>+D1573-S1573</f>
        <v/>
      </c>
      <c r="B1573" s="80" t="n">
        <v>3217</v>
      </c>
      <c r="C1573" s="66" t="n">
        <v>45832</v>
      </c>
      <c r="D1573" s="2" t="n">
        <v>1</v>
      </c>
      <c r="E1573" s="3" t="inlineStr">
        <is>
          <t>CARABINA SEMIAUTOMATICA</t>
        </is>
      </c>
      <c r="F1573" s="3" t="inlineStr">
        <is>
          <t>22 LR</t>
        </is>
      </c>
      <c r="G1573" s="3" t="inlineStr">
        <is>
          <t>WINCHESTER</t>
        </is>
      </c>
      <c r="H1573" s="65" t="inlineStr">
        <is>
          <t>WILDCAT STRATA SA, S, THR 18''</t>
        </is>
      </c>
      <c r="I1573" s="65" t="inlineStr">
        <is>
          <t>TF614-23M07958</t>
        </is>
      </c>
      <c r="J1573" s="65" t="inlineStr">
        <is>
          <t>N/D</t>
        </is>
      </c>
      <c r="K1573" s="65" t="inlineStr">
        <is>
          <t>N/D</t>
        </is>
      </c>
      <c r="L1573" s="127" t="inlineStr">
        <is>
          <t>BROWNING INTERNATIONAL SA</t>
        </is>
      </c>
      <c r="M1573" s="5" t="n">
        <v>270</v>
      </c>
      <c r="N1573" s="5" t="n"/>
      <c r="O1573" s="5">
        <f>+M1573+N1573</f>
        <v/>
      </c>
      <c r="P1573" s="4" t="n">
        <v>45826</v>
      </c>
      <c r="Q1573" s="87" t="n">
        <v>45800</v>
      </c>
      <c r="R1573" s="5" t="n"/>
      <c r="S1573" s="2" t="n"/>
      <c r="T1573" s="3" t="n"/>
      <c r="U1573" s="87" t="n"/>
      <c r="V1573" s="3" t="n"/>
      <c r="W1573" s="108" t="n"/>
      <c r="X1573" s="4" t="n"/>
    </row>
    <row r="1574" ht="24" customHeight="1">
      <c r="A1574" s="2">
        <f>+D1574-S1574</f>
        <v/>
      </c>
      <c r="B1574" s="80" t="n">
        <v>3218</v>
      </c>
      <c r="C1574" s="66" t="n">
        <v>45832</v>
      </c>
      <c r="D1574" s="2" t="n">
        <v>1</v>
      </c>
      <c r="E1574" s="3" t="inlineStr">
        <is>
          <t>CARABINA SEMIAUTOMATICA</t>
        </is>
      </c>
      <c r="F1574" s="3" t="inlineStr">
        <is>
          <t>22 LR</t>
        </is>
      </c>
      <c r="G1574" s="3" t="inlineStr">
        <is>
          <t>WINCHESTER</t>
        </is>
      </c>
      <c r="H1574" s="65" t="inlineStr">
        <is>
          <t>WILDCAT STRATA SA, S, THR 18''</t>
        </is>
      </c>
      <c r="I1574" s="65" t="inlineStr">
        <is>
          <t>TF614-23M07957</t>
        </is>
      </c>
      <c r="J1574" s="65" t="inlineStr">
        <is>
          <t>N/D</t>
        </is>
      </c>
      <c r="K1574" s="65" t="inlineStr">
        <is>
          <t>N/D</t>
        </is>
      </c>
      <c r="L1574" s="127" t="inlineStr">
        <is>
          <t>BROWNING INTERNATIONAL SA</t>
        </is>
      </c>
      <c r="M1574" s="5" t="n">
        <v>270</v>
      </c>
      <c r="N1574" s="5" t="n"/>
      <c r="O1574" s="5">
        <f>+M1574+N1574</f>
        <v/>
      </c>
      <c r="P1574" s="4" t="n">
        <v>45826</v>
      </c>
      <c r="Q1574" s="87" t="n">
        <v>45800</v>
      </c>
      <c r="R1574" s="5" t="n"/>
      <c r="S1574" s="2" t="n"/>
      <c r="T1574" s="3" t="n"/>
      <c r="U1574" s="87" t="n"/>
      <c r="V1574" s="3" t="n"/>
      <c r="W1574" s="108" t="n"/>
      <c r="X1574" s="4" t="n"/>
    </row>
    <row r="1575" ht="24" customHeight="1">
      <c r="A1575" s="2">
        <f>+D1575-S1575</f>
        <v/>
      </c>
      <c r="B1575" s="80" t="n">
        <v>3219</v>
      </c>
      <c r="C1575" s="66" t="n">
        <v>45832</v>
      </c>
      <c r="D1575" s="2" t="n">
        <v>1</v>
      </c>
      <c r="E1575" s="3" t="inlineStr">
        <is>
          <t>CARABINA SEMIAUTOMATICA</t>
        </is>
      </c>
      <c r="F1575" s="3" t="inlineStr">
        <is>
          <t>22 LR</t>
        </is>
      </c>
      <c r="G1575" s="3" t="inlineStr">
        <is>
          <t>WINCHESTER</t>
        </is>
      </c>
      <c r="H1575" s="65" t="inlineStr">
        <is>
          <t>WILDCAT STRATA SA, S, THR 18''</t>
        </is>
      </c>
      <c r="I1575" s="65" t="inlineStr">
        <is>
          <t>TF614-23M07951</t>
        </is>
      </c>
      <c r="J1575" s="65" t="inlineStr">
        <is>
          <t>N/D</t>
        </is>
      </c>
      <c r="K1575" s="65" t="inlineStr">
        <is>
          <t>N/D</t>
        </is>
      </c>
      <c r="L1575" s="127" t="inlineStr">
        <is>
          <t>BROWNING INTERNATIONAL SA</t>
        </is>
      </c>
      <c r="M1575" s="5" t="n">
        <v>270</v>
      </c>
      <c r="N1575" s="5" t="n"/>
      <c r="O1575" s="5">
        <f>+M1575+N1575</f>
        <v/>
      </c>
      <c r="P1575" s="4" t="n">
        <v>45826</v>
      </c>
      <c r="Q1575" s="87" t="n">
        <v>45800</v>
      </c>
      <c r="R1575" s="5" t="n"/>
      <c r="S1575" s="2" t="n"/>
      <c r="T1575" s="3" t="n"/>
      <c r="U1575" s="87" t="n"/>
      <c r="V1575" s="3" t="n"/>
      <c r="W1575" s="108" t="n"/>
      <c r="X1575" s="4" t="n"/>
    </row>
    <row r="1576" ht="24" customHeight="1">
      <c r="A1576" s="2">
        <f>+D1576-S1576</f>
        <v/>
      </c>
      <c r="B1576" s="80" t="n">
        <v>3220</v>
      </c>
      <c r="C1576" s="66" t="n">
        <v>45832</v>
      </c>
      <c r="D1576" s="2" t="n">
        <v>1</v>
      </c>
      <c r="E1576" s="3" t="inlineStr">
        <is>
          <t>CARABINA SEMIAUTOMATICA</t>
        </is>
      </c>
      <c r="F1576" s="3" t="inlineStr">
        <is>
          <t>22 LR</t>
        </is>
      </c>
      <c r="G1576" s="3" t="inlineStr">
        <is>
          <t>WINCHESTER</t>
        </is>
      </c>
      <c r="H1576" s="65" t="inlineStr">
        <is>
          <t>WILDCAT STRATA SA, S, THR 18''</t>
        </is>
      </c>
      <c r="I1576" s="65" t="inlineStr">
        <is>
          <t>TF614-23M07863</t>
        </is>
      </c>
      <c r="J1576" s="65" t="inlineStr">
        <is>
          <t>N/D</t>
        </is>
      </c>
      <c r="K1576" s="65" t="inlineStr">
        <is>
          <t>N/D</t>
        </is>
      </c>
      <c r="L1576" s="127" t="inlineStr">
        <is>
          <t>BROWNING INTERNATIONAL SA</t>
        </is>
      </c>
      <c r="M1576" s="5" t="n">
        <v>270</v>
      </c>
      <c r="N1576" s="5" t="n"/>
      <c r="O1576" s="5">
        <f>+M1576+N1576</f>
        <v/>
      </c>
      <c r="P1576" s="4" t="n">
        <v>45826</v>
      </c>
      <c r="Q1576" s="87" t="n">
        <v>45800</v>
      </c>
      <c r="R1576" s="5" t="n"/>
      <c r="S1576" s="2" t="n"/>
      <c r="T1576" s="3" t="n"/>
      <c r="U1576" s="87" t="n"/>
      <c r="V1576" s="3" t="n"/>
      <c r="W1576" s="108" t="n"/>
      <c r="X1576" s="4" t="n"/>
    </row>
    <row r="1577" ht="24" customHeight="1">
      <c r="A1577" s="2">
        <f>+D1577-S1577</f>
        <v/>
      </c>
      <c r="B1577" s="80" t="n">
        <v>3221</v>
      </c>
      <c r="C1577" s="66" t="n">
        <v>45832</v>
      </c>
      <c r="D1577" s="2" t="n">
        <v>1</v>
      </c>
      <c r="E1577" s="3" t="inlineStr">
        <is>
          <t>CARABINA SEMIAUTOMATICA</t>
        </is>
      </c>
      <c r="F1577" s="3" t="inlineStr">
        <is>
          <t>22 LR</t>
        </is>
      </c>
      <c r="G1577" s="3" t="inlineStr">
        <is>
          <t>WINCHESTER</t>
        </is>
      </c>
      <c r="H1577" s="65" t="inlineStr">
        <is>
          <t>WILDCAT STRATA SA, S, THR 18''</t>
        </is>
      </c>
      <c r="I1577" s="65" t="inlineStr">
        <is>
          <t>TF614-23M07870</t>
        </is>
      </c>
      <c r="J1577" s="65" t="inlineStr">
        <is>
          <t>N/D</t>
        </is>
      </c>
      <c r="K1577" s="65" t="inlineStr">
        <is>
          <t>N/D</t>
        </is>
      </c>
      <c r="L1577" s="127" t="inlineStr">
        <is>
          <t>BROWNING INTERNATIONAL SA</t>
        </is>
      </c>
      <c r="M1577" s="5" t="n">
        <v>270</v>
      </c>
      <c r="N1577" s="5" t="n"/>
      <c r="O1577" s="5">
        <f>+M1577+N1577</f>
        <v/>
      </c>
      <c r="P1577" s="4" t="n">
        <v>45826</v>
      </c>
      <c r="Q1577" s="87" t="n">
        <v>45800</v>
      </c>
      <c r="R1577" s="5" t="n"/>
      <c r="S1577" s="2" t="n"/>
      <c r="T1577" s="3" t="n"/>
      <c r="U1577" s="87" t="n"/>
      <c r="V1577" s="3" t="n"/>
      <c r="W1577" s="108" t="n"/>
      <c r="X1577" s="4" t="n"/>
    </row>
    <row r="1578" ht="24" customHeight="1">
      <c r="A1578" s="2">
        <f>+D1578-S1578</f>
        <v/>
      </c>
      <c r="B1578" s="80" t="n">
        <v>3222</v>
      </c>
      <c r="C1578" s="66" t="n">
        <v>45832</v>
      </c>
      <c r="D1578" s="2" t="n">
        <v>1</v>
      </c>
      <c r="E1578" s="3" t="inlineStr">
        <is>
          <t>CARABINA SEMIAUTOMATICA</t>
        </is>
      </c>
      <c r="F1578" s="3" t="inlineStr">
        <is>
          <t>22 LR</t>
        </is>
      </c>
      <c r="G1578" s="3" t="inlineStr">
        <is>
          <t>WINCHESTER</t>
        </is>
      </c>
      <c r="H1578" s="65" t="inlineStr">
        <is>
          <t>WILDCAT STRATA SA, S, THR 18''</t>
        </is>
      </c>
      <c r="I1578" s="65" t="inlineStr">
        <is>
          <t>TF614-23M07894</t>
        </is>
      </c>
      <c r="J1578" s="65" t="inlineStr">
        <is>
          <t>N/D</t>
        </is>
      </c>
      <c r="K1578" s="65" t="inlineStr">
        <is>
          <t>N/D</t>
        </is>
      </c>
      <c r="L1578" s="127" t="inlineStr">
        <is>
          <t>BROWNING INTERNATIONAL SA</t>
        </is>
      </c>
      <c r="M1578" s="5" t="n">
        <v>270</v>
      </c>
      <c r="N1578" s="5" t="n"/>
      <c r="O1578" s="5">
        <f>+M1578+N1578</f>
        <v/>
      </c>
      <c r="P1578" s="4" t="n">
        <v>45826</v>
      </c>
      <c r="Q1578" s="87" t="n">
        <v>45800</v>
      </c>
      <c r="R1578" s="5" t="n"/>
      <c r="S1578" s="2" t="n"/>
      <c r="T1578" s="3" t="n"/>
      <c r="U1578" s="87" t="n"/>
      <c r="V1578" s="3" t="n"/>
      <c r="W1578" s="108" t="n"/>
      <c r="X1578" s="4" t="n"/>
    </row>
    <row r="1579" ht="24" customHeight="1">
      <c r="A1579" s="2">
        <f>+D1579-S1579</f>
        <v/>
      </c>
      <c r="B1579" s="80" t="n">
        <v>3223</v>
      </c>
      <c r="C1579" s="66" t="n">
        <v>45832</v>
      </c>
      <c r="D1579" s="2" t="n">
        <v>1</v>
      </c>
      <c r="E1579" s="3" t="inlineStr">
        <is>
          <t>CARABINA SEMIAUTOMATICA</t>
        </is>
      </c>
      <c r="F1579" s="3" t="inlineStr">
        <is>
          <t>22 LR</t>
        </is>
      </c>
      <c r="G1579" s="3" t="inlineStr">
        <is>
          <t>WINCHESTER</t>
        </is>
      </c>
      <c r="H1579" s="65" t="inlineStr">
        <is>
          <t>WILDCAT STRATA SA, S, THR 18''</t>
        </is>
      </c>
      <c r="I1579" s="65" t="inlineStr">
        <is>
          <t>TF614-23M07893</t>
        </is>
      </c>
      <c r="J1579" s="65" t="inlineStr">
        <is>
          <t>N/D</t>
        </is>
      </c>
      <c r="K1579" s="65" t="inlineStr">
        <is>
          <t>N/D</t>
        </is>
      </c>
      <c r="L1579" s="127" t="inlineStr">
        <is>
          <t>BROWNING INTERNATIONAL SA</t>
        </is>
      </c>
      <c r="M1579" s="5" t="n">
        <v>270</v>
      </c>
      <c r="N1579" s="5" t="n"/>
      <c r="O1579" s="5">
        <f>+M1579+N1579</f>
        <v/>
      </c>
      <c r="P1579" s="4" t="n">
        <v>45826</v>
      </c>
      <c r="Q1579" s="87" t="n">
        <v>45800</v>
      </c>
      <c r="R1579" s="5" t="n"/>
      <c r="S1579" s="2" t="n"/>
      <c r="T1579" s="3" t="n"/>
      <c r="U1579" s="87" t="n"/>
      <c r="V1579" s="3" t="n"/>
      <c r="W1579" s="108" t="n"/>
      <c r="X1579" s="4" t="n"/>
    </row>
    <row r="1580" ht="24" customHeight="1">
      <c r="A1580" s="2">
        <f>+D1580-S1580</f>
        <v/>
      </c>
      <c r="B1580" s="80" t="n">
        <v>3224</v>
      </c>
      <c r="C1580" s="66" t="n">
        <v>45832</v>
      </c>
      <c r="D1580" s="2" t="n">
        <v>1</v>
      </c>
      <c r="E1580" s="3" t="inlineStr">
        <is>
          <t>CARABINA SEMIAUTOMATICA</t>
        </is>
      </c>
      <c r="F1580" s="3" t="inlineStr">
        <is>
          <t>22 LR</t>
        </is>
      </c>
      <c r="G1580" s="3" t="inlineStr">
        <is>
          <t>WINCHESTER</t>
        </is>
      </c>
      <c r="H1580" s="65" t="inlineStr">
        <is>
          <t>WILDCAT STRATA SA, S, THR 18''</t>
        </is>
      </c>
      <c r="I1580" s="65" t="inlineStr">
        <is>
          <t>TF614-23M07891</t>
        </is>
      </c>
      <c r="J1580" s="65" t="inlineStr">
        <is>
          <t>N/D</t>
        </is>
      </c>
      <c r="K1580" s="65" t="inlineStr">
        <is>
          <t>N/D</t>
        </is>
      </c>
      <c r="L1580" s="127" t="inlineStr">
        <is>
          <t>BROWNING INTERNATIONAL SA</t>
        </is>
      </c>
      <c r="M1580" s="5" t="n">
        <v>270</v>
      </c>
      <c r="N1580" s="5" t="n"/>
      <c r="O1580" s="5">
        <f>+M1580+N1580</f>
        <v/>
      </c>
      <c r="P1580" s="4" t="n">
        <v>45826</v>
      </c>
      <c r="Q1580" s="87" t="n">
        <v>45800</v>
      </c>
      <c r="R1580" s="5" t="n"/>
      <c r="S1580" s="2" t="n"/>
      <c r="T1580" s="3" t="n"/>
      <c r="U1580" s="87" t="n"/>
      <c r="V1580" s="3" t="n"/>
      <c r="W1580" s="108" t="n"/>
      <c r="X1580" s="4" t="n"/>
    </row>
    <row r="1581" ht="24" customHeight="1">
      <c r="A1581" s="2">
        <f>+D1581-S1581</f>
        <v/>
      </c>
      <c r="B1581" s="80" t="n">
        <v>3225</v>
      </c>
      <c r="C1581" s="66" t="n">
        <v>45832</v>
      </c>
      <c r="D1581" s="2" t="n">
        <v>1</v>
      </c>
      <c r="E1581" s="3" t="inlineStr">
        <is>
          <t>CARABINA SEMIAUTOMATICA</t>
        </is>
      </c>
      <c r="F1581" s="3" t="inlineStr">
        <is>
          <t>22 LR</t>
        </is>
      </c>
      <c r="G1581" s="3" t="inlineStr">
        <is>
          <t>WINCHESTER</t>
        </is>
      </c>
      <c r="H1581" s="65" t="inlineStr">
        <is>
          <t>WILDCAT STRATA SA, S, THR 18''</t>
        </is>
      </c>
      <c r="I1581" s="65" t="inlineStr">
        <is>
          <t>TF614-23M07899</t>
        </is>
      </c>
      <c r="J1581" s="65" t="inlineStr">
        <is>
          <t>N/D</t>
        </is>
      </c>
      <c r="K1581" s="65" t="inlineStr">
        <is>
          <t>N/D</t>
        </is>
      </c>
      <c r="L1581" s="127" t="inlineStr">
        <is>
          <t>BROWNING INTERNATIONAL SA</t>
        </is>
      </c>
      <c r="M1581" s="5" t="n">
        <v>270</v>
      </c>
      <c r="N1581" s="5" t="n"/>
      <c r="O1581" s="5">
        <f>+M1581+N1581</f>
        <v/>
      </c>
      <c r="P1581" s="4" t="n">
        <v>45826</v>
      </c>
      <c r="Q1581" s="87" t="n">
        <v>45800</v>
      </c>
      <c r="R1581" s="5" t="n"/>
      <c r="S1581" s="2" t="n"/>
      <c r="T1581" s="3" t="n"/>
      <c r="U1581" s="87" t="n"/>
      <c r="V1581" s="3" t="n"/>
      <c r="W1581" s="108" t="n"/>
      <c r="X1581" s="4" t="n"/>
    </row>
    <row r="1582" ht="24" customHeight="1">
      <c r="A1582" s="2">
        <f>+D1582-S1582</f>
        <v/>
      </c>
      <c r="B1582" s="80" t="n">
        <v>3226</v>
      </c>
      <c r="C1582" s="66" t="n">
        <v>45832</v>
      </c>
      <c r="D1582" s="2" t="n">
        <v>1</v>
      </c>
      <c r="E1582" s="3" t="inlineStr">
        <is>
          <t>CARABINA SEMIAUTOMATICA</t>
        </is>
      </c>
      <c r="F1582" s="3" t="inlineStr">
        <is>
          <t>22 LR</t>
        </is>
      </c>
      <c r="G1582" s="3" t="inlineStr">
        <is>
          <t>WINCHESTER</t>
        </is>
      </c>
      <c r="H1582" s="65" t="inlineStr">
        <is>
          <t>WILDCAT STRATA SA, S, THR 18''</t>
        </is>
      </c>
      <c r="I1582" s="65" t="inlineStr">
        <is>
          <t>TF614-23M07896</t>
        </is>
      </c>
      <c r="J1582" s="65" t="inlineStr">
        <is>
          <t>N/D</t>
        </is>
      </c>
      <c r="K1582" s="65" t="inlineStr">
        <is>
          <t>N/D</t>
        </is>
      </c>
      <c r="L1582" s="127" t="inlineStr">
        <is>
          <t>BROWNING INTERNATIONAL SA</t>
        </is>
      </c>
      <c r="M1582" s="5" t="n">
        <v>270</v>
      </c>
      <c r="N1582" s="5" t="n"/>
      <c r="O1582" s="5">
        <f>+M1582+N1582</f>
        <v/>
      </c>
      <c r="P1582" s="4" t="n">
        <v>45826</v>
      </c>
      <c r="Q1582" s="87" t="n">
        <v>45800</v>
      </c>
      <c r="R1582" s="5" t="n"/>
      <c r="S1582" s="2" t="n"/>
      <c r="T1582" s="3" t="n"/>
      <c r="U1582" s="87" t="n"/>
      <c r="V1582" s="3" t="n"/>
      <c r="W1582" s="108" t="n"/>
      <c r="X1582" s="4" t="n"/>
    </row>
    <row r="1583" ht="24" customHeight="1">
      <c r="A1583" s="2">
        <f>+D1583-S1583</f>
        <v/>
      </c>
      <c r="B1583" s="80" t="n">
        <v>3227</v>
      </c>
      <c r="C1583" s="66" t="n">
        <v>45832</v>
      </c>
      <c r="D1583" s="2" t="n">
        <v>1</v>
      </c>
      <c r="E1583" s="3" t="inlineStr">
        <is>
          <t>CARABINA SEMIAUTOMATICA</t>
        </is>
      </c>
      <c r="F1583" s="3" t="inlineStr">
        <is>
          <t>22 LR</t>
        </is>
      </c>
      <c r="G1583" s="3" t="inlineStr">
        <is>
          <t>WINCHESTER</t>
        </is>
      </c>
      <c r="H1583" s="65" t="inlineStr">
        <is>
          <t>WILDCAT STRATA SA, S, THR 18''</t>
        </is>
      </c>
      <c r="I1583" s="65" t="inlineStr">
        <is>
          <t>TF614-23M07911</t>
        </is>
      </c>
      <c r="J1583" s="65" t="inlineStr">
        <is>
          <t>N/D</t>
        </is>
      </c>
      <c r="K1583" s="65" t="inlineStr">
        <is>
          <t>N/D</t>
        </is>
      </c>
      <c r="L1583" s="127" t="inlineStr">
        <is>
          <t>BROWNING INTERNATIONAL SA</t>
        </is>
      </c>
      <c r="M1583" s="5" t="n">
        <v>270</v>
      </c>
      <c r="N1583" s="5" t="n"/>
      <c r="O1583" s="5">
        <f>+M1583+N1583</f>
        <v/>
      </c>
      <c r="P1583" s="4" t="n">
        <v>45826</v>
      </c>
      <c r="Q1583" s="87" t="n">
        <v>45800</v>
      </c>
      <c r="R1583" s="5" t="n"/>
      <c r="S1583" s="2" t="n"/>
      <c r="T1583" s="3" t="n"/>
      <c r="U1583" s="87" t="n"/>
      <c r="V1583" s="3" t="n"/>
      <c r="W1583" s="108" t="n"/>
      <c r="X1583" s="4" t="n"/>
    </row>
    <row r="1584" ht="24" customHeight="1">
      <c r="A1584" s="2">
        <f>+D1584-S1584</f>
        <v/>
      </c>
      <c r="B1584" s="80" t="n">
        <v>3228</v>
      </c>
      <c r="C1584" s="66" t="n">
        <v>45832</v>
      </c>
      <c r="D1584" s="2" t="n">
        <v>1</v>
      </c>
      <c r="E1584" s="3" t="inlineStr">
        <is>
          <t>CARABINA SEMIAUTOMATICA</t>
        </is>
      </c>
      <c r="F1584" s="3" t="inlineStr">
        <is>
          <t>22 LR</t>
        </is>
      </c>
      <c r="G1584" s="3" t="inlineStr">
        <is>
          <t>WINCHESTER</t>
        </is>
      </c>
      <c r="H1584" s="65" t="inlineStr">
        <is>
          <t>WILDCAT STRATA SA, S, THR 18''</t>
        </is>
      </c>
      <c r="I1584" s="65" t="inlineStr">
        <is>
          <t>TF614-23M07916</t>
        </is>
      </c>
      <c r="J1584" s="65" t="inlineStr">
        <is>
          <t>N/D</t>
        </is>
      </c>
      <c r="K1584" s="65" t="inlineStr">
        <is>
          <t>N/D</t>
        </is>
      </c>
      <c r="L1584" s="127" t="inlineStr">
        <is>
          <t>BROWNING INTERNATIONAL SA</t>
        </is>
      </c>
      <c r="M1584" s="5" t="n">
        <v>270</v>
      </c>
      <c r="N1584" s="5" t="n"/>
      <c r="O1584" s="5">
        <f>+M1584+N1584</f>
        <v/>
      </c>
      <c r="P1584" s="4" t="n">
        <v>45826</v>
      </c>
      <c r="Q1584" s="87" t="n">
        <v>45800</v>
      </c>
      <c r="R1584" s="5" t="n"/>
      <c r="S1584" s="2" t="n"/>
      <c r="T1584" s="3" t="n"/>
      <c r="U1584" s="87" t="n"/>
      <c r="V1584" s="3" t="n"/>
      <c r="W1584" s="108" t="n"/>
      <c r="X1584" s="4" t="n"/>
    </row>
    <row r="1585" ht="24" customHeight="1">
      <c r="A1585" s="2">
        <f>+D1585-S1585</f>
        <v/>
      </c>
      <c r="B1585" s="80" t="n">
        <v>3229</v>
      </c>
      <c r="C1585" s="66" t="n">
        <v>45832</v>
      </c>
      <c r="D1585" s="2" t="n">
        <v>1</v>
      </c>
      <c r="E1585" s="3" t="inlineStr">
        <is>
          <t>CARABINA SEMIAUTOMATICA</t>
        </is>
      </c>
      <c r="F1585" s="3" t="inlineStr">
        <is>
          <t>22 LR</t>
        </is>
      </c>
      <c r="G1585" s="3" t="inlineStr">
        <is>
          <t>WINCHESTER</t>
        </is>
      </c>
      <c r="H1585" s="65" t="inlineStr">
        <is>
          <t>WILDCAT STRATA SA, S, THR 18''</t>
        </is>
      </c>
      <c r="I1585" s="65" t="inlineStr">
        <is>
          <t>TF614-23M07917</t>
        </is>
      </c>
      <c r="J1585" s="65" t="inlineStr">
        <is>
          <t>N/D</t>
        </is>
      </c>
      <c r="K1585" s="65" t="inlineStr">
        <is>
          <t>N/D</t>
        </is>
      </c>
      <c r="L1585" s="127" t="inlineStr">
        <is>
          <t>BROWNING INTERNATIONAL SA</t>
        </is>
      </c>
      <c r="M1585" s="5" t="n">
        <v>270</v>
      </c>
      <c r="N1585" s="5" t="n"/>
      <c r="O1585" s="5">
        <f>+M1585+N1585</f>
        <v/>
      </c>
      <c r="P1585" s="4" t="n">
        <v>45826</v>
      </c>
      <c r="Q1585" s="87" t="n">
        <v>45800</v>
      </c>
      <c r="R1585" s="5" t="n"/>
      <c r="S1585" s="2" t="n"/>
      <c r="T1585" s="3" t="n"/>
      <c r="U1585" s="87" t="n"/>
      <c r="V1585" s="3" t="n"/>
      <c r="W1585" s="108" t="n"/>
      <c r="X1585" s="4" t="n"/>
    </row>
    <row r="1586" ht="24" customHeight="1">
      <c r="A1586" s="2">
        <f>+D1586-S1586</f>
        <v/>
      </c>
      <c r="B1586" s="80" t="n">
        <v>3230</v>
      </c>
      <c r="C1586" s="66" t="n">
        <v>45832</v>
      </c>
      <c r="D1586" s="2" t="n">
        <v>1</v>
      </c>
      <c r="E1586" s="3" t="inlineStr">
        <is>
          <t>CARABINA SEMIAUTOMATICA</t>
        </is>
      </c>
      <c r="F1586" s="3" t="inlineStr">
        <is>
          <t>22 LR</t>
        </is>
      </c>
      <c r="G1586" s="3" t="inlineStr">
        <is>
          <t>WINCHESTER</t>
        </is>
      </c>
      <c r="H1586" s="65" t="inlineStr">
        <is>
          <t>WILDCAT STRATA SA, S, THR 18''</t>
        </is>
      </c>
      <c r="I1586" s="65" t="inlineStr">
        <is>
          <t>TF614-23M07905</t>
        </is>
      </c>
      <c r="J1586" s="65" t="inlineStr">
        <is>
          <t>N/D</t>
        </is>
      </c>
      <c r="K1586" s="65" t="inlineStr">
        <is>
          <t>N/D</t>
        </is>
      </c>
      <c r="L1586" s="127" t="inlineStr">
        <is>
          <t>BROWNING INTERNATIONAL SA</t>
        </is>
      </c>
      <c r="M1586" s="5" t="n">
        <v>270</v>
      </c>
      <c r="N1586" s="5" t="n"/>
      <c r="O1586" s="5">
        <f>+M1586+N1586</f>
        <v/>
      </c>
      <c r="P1586" s="4" t="n">
        <v>45826</v>
      </c>
      <c r="Q1586" s="87" t="n">
        <v>45800</v>
      </c>
      <c r="R1586" s="5" t="n"/>
      <c r="S1586" s="2" t="n"/>
      <c r="T1586" s="3" t="n"/>
      <c r="U1586" s="87" t="n"/>
      <c r="V1586" s="3" t="n"/>
      <c r="W1586" s="108" t="n"/>
      <c r="X1586" s="4" t="n"/>
    </row>
    <row r="1587" ht="24" customHeight="1">
      <c r="A1587" s="2">
        <f>+D1587-S1587</f>
        <v/>
      </c>
      <c r="B1587" s="80" t="n">
        <v>3231</v>
      </c>
      <c r="C1587" s="66" t="n">
        <v>45832</v>
      </c>
      <c r="D1587" s="2" t="n">
        <v>1</v>
      </c>
      <c r="E1587" s="3" t="inlineStr">
        <is>
          <t>CARABINA SEMIAUTOMATICA</t>
        </is>
      </c>
      <c r="F1587" s="3" t="inlineStr">
        <is>
          <t>22 LR</t>
        </is>
      </c>
      <c r="G1587" s="3" t="inlineStr">
        <is>
          <t>WINCHESTER</t>
        </is>
      </c>
      <c r="H1587" s="65" t="inlineStr">
        <is>
          <t>WILDCAT STRATA SA, S, THR 18''</t>
        </is>
      </c>
      <c r="I1587" s="65" t="inlineStr">
        <is>
          <t>TF614-23M07902</t>
        </is>
      </c>
      <c r="J1587" s="65" t="inlineStr">
        <is>
          <t>N/D</t>
        </is>
      </c>
      <c r="K1587" s="65" t="inlineStr">
        <is>
          <t>N/D</t>
        </is>
      </c>
      <c r="L1587" s="127" t="inlineStr">
        <is>
          <t>BROWNING INTERNATIONAL SA</t>
        </is>
      </c>
      <c r="M1587" s="5" t="n">
        <v>270</v>
      </c>
      <c r="N1587" s="5" t="n"/>
      <c r="O1587" s="5">
        <f>+M1587+N1587</f>
        <v/>
      </c>
      <c r="P1587" s="4" t="n">
        <v>45826</v>
      </c>
      <c r="Q1587" s="87" t="n">
        <v>45800</v>
      </c>
      <c r="R1587" s="5" t="n"/>
      <c r="S1587" s="2" t="n"/>
      <c r="T1587" s="3" t="n"/>
      <c r="U1587" s="87" t="n"/>
      <c r="V1587" s="3" t="n"/>
      <c r="W1587" s="108" t="n"/>
      <c r="X1587" s="4" t="n"/>
    </row>
    <row r="1588" ht="24" customHeight="1">
      <c r="A1588" s="2">
        <f>+D1588-S1588</f>
        <v/>
      </c>
      <c r="B1588" s="80" t="n">
        <v>3232</v>
      </c>
      <c r="C1588" s="66" t="n">
        <v>45832</v>
      </c>
      <c r="D1588" s="2" t="n">
        <v>1</v>
      </c>
      <c r="E1588" s="3" t="inlineStr">
        <is>
          <t>CARABINA SEMIAUTOMATICA</t>
        </is>
      </c>
      <c r="F1588" s="3" t="inlineStr">
        <is>
          <t>22 LR</t>
        </is>
      </c>
      <c r="G1588" s="3" t="inlineStr">
        <is>
          <t>WINCHESTER</t>
        </is>
      </c>
      <c r="H1588" s="65" t="inlineStr">
        <is>
          <t>WILDCAT STRATA SA, S, THR 18''</t>
        </is>
      </c>
      <c r="I1588" s="65" t="inlineStr">
        <is>
          <t>TF614-23M07908</t>
        </is>
      </c>
      <c r="J1588" s="65" t="inlineStr">
        <is>
          <t>N/D</t>
        </is>
      </c>
      <c r="K1588" s="65" t="inlineStr">
        <is>
          <t>N/D</t>
        </is>
      </c>
      <c r="L1588" s="127" t="inlineStr">
        <is>
          <t>BROWNING INTERNATIONAL SA</t>
        </is>
      </c>
      <c r="M1588" s="5" t="n">
        <v>270</v>
      </c>
      <c r="N1588" s="5" t="n"/>
      <c r="O1588" s="5">
        <f>+M1588+N1588</f>
        <v/>
      </c>
      <c r="P1588" s="4" t="n">
        <v>45826</v>
      </c>
      <c r="Q1588" s="87" t="n">
        <v>45800</v>
      </c>
      <c r="R1588" s="5" t="n"/>
      <c r="S1588" s="2" t="n"/>
      <c r="T1588" s="3" t="n"/>
      <c r="U1588" s="87" t="n"/>
      <c r="V1588" s="3" t="n"/>
      <c r="W1588" s="108" t="n"/>
      <c r="X1588" s="4" t="n"/>
    </row>
    <row r="1589" ht="24" customHeight="1">
      <c r="A1589" s="2">
        <f>+D1589-S1589</f>
        <v/>
      </c>
      <c r="B1589" s="80" t="n">
        <v>3233</v>
      </c>
      <c r="C1589" s="66" t="n">
        <v>45832</v>
      </c>
      <c r="D1589" s="2" t="n">
        <v>1</v>
      </c>
      <c r="E1589" s="3" t="inlineStr">
        <is>
          <t>CARABINA SEMIAUTOMATICA</t>
        </is>
      </c>
      <c r="F1589" s="3" t="inlineStr">
        <is>
          <t>22 LR</t>
        </is>
      </c>
      <c r="G1589" s="3" t="inlineStr">
        <is>
          <t>WINCHESTER</t>
        </is>
      </c>
      <c r="H1589" s="65" t="inlineStr">
        <is>
          <t>WILDCAT STRATA SA, S, THR 18''</t>
        </is>
      </c>
      <c r="I1589" s="65" t="inlineStr">
        <is>
          <t>TF614-23M07924</t>
        </is>
      </c>
      <c r="J1589" s="65" t="inlineStr">
        <is>
          <t>N/D</t>
        </is>
      </c>
      <c r="K1589" s="65" t="inlineStr">
        <is>
          <t>N/D</t>
        </is>
      </c>
      <c r="L1589" s="127" t="inlineStr">
        <is>
          <t>BROWNING INTERNATIONAL SA</t>
        </is>
      </c>
      <c r="M1589" s="5" t="n">
        <v>270</v>
      </c>
      <c r="N1589" s="5" t="n"/>
      <c r="O1589" s="5">
        <f>+M1589+N1589</f>
        <v/>
      </c>
      <c r="P1589" s="4" t="n">
        <v>45826</v>
      </c>
      <c r="Q1589" s="87" t="n">
        <v>45800</v>
      </c>
      <c r="R1589" s="5" t="n"/>
      <c r="S1589" s="2" t="n"/>
      <c r="T1589" s="3" t="n"/>
      <c r="U1589" s="87" t="n"/>
      <c r="V1589" s="3" t="n"/>
      <c r="W1589" s="108" t="n"/>
      <c r="X1589" s="4" t="n"/>
    </row>
    <row r="1590" ht="24" customHeight="1">
      <c r="A1590" s="2">
        <f>+D1590-S1590</f>
        <v/>
      </c>
      <c r="B1590" s="80" t="n">
        <v>3234</v>
      </c>
      <c r="C1590" s="66" t="n">
        <v>45832</v>
      </c>
      <c r="D1590" s="2" t="n">
        <v>1</v>
      </c>
      <c r="E1590" s="3" t="inlineStr">
        <is>
          <t>CARABINA SEMIAUTOMATICA</t>
        </is>
      </c>
      <c r="F1590" s="3" t="inlineStr">
        <is>
          <t>22 LR</t>
        </is>
      </c>
      <c r="G1590" s="3" t="inlineStr">
        <is>
          <t>WINCHESTER</t>
        </is>
      </c>
      <c r="H1590" s="65" t="inlineStr">
        <is>
          <t>WILDCAT STRATA SA, S, THR 18''</t>
        </is>
      </c>
      <c r="I1590" s="65" t="inlineStr">
        <is>
          <t>TF614-23M07923</t>
        </is>
      </c>
      <c r="J1590" s="65" t="inlineStr">
        <is>
          <t>N/D</t>
        </is>
      </c>
      <c r="K1590" s="65" t="inlineStr">
        <is>
          <t>N/D</t>
        </is>
      </c>
      <c r="L1590" s="127" t="inlineStr">
        <is>
          <t>BROWNING INTERNATIONAL SA</t>
        </is>
      </c>
      <c r="M1590" s="5" t="n">
        <v>270</v>
      </c>
      <c r="N1590" s="5" t="n"/>
      <c r="O1590" s="5">
        <f>+M1590+N1590</f>
        <v/>
      </c>
      <c r="P1590" s="4" t="n">
        <v>45826</v>
      </c>
      <c r="Q1590" s="87" t="n">
        <v>45800</v>
      </c>
      <c r="R1590" s="5" t="n"/>
      <c r="S1590" s="2" t="n"/>
      <c r="T1590" s="3" t="n"/>
      <c r="U1590" s="87" t="n"/>
      <c r="V1590" s="3" t="n"/>
      <c r="W1590" s="108" t="n"/>
      <c r="X1590" s="4" t="n"/>
    </row>
    <row r="1591" ht="24" customHeight="1">
      <c r="A1591" s="2">
        <f>+D1591-S1591</f>
        <v/>
      </c>
      <c r="B1591" s="80" t="n">
        <v>3235</v>
      </c>
      <c r="C1591" s="66" t="n">
        <v>45832</v>
      </c>
      <c r="D1591" s="2" t="n">
        <v>1</v>
      </c>
      <c r="E1591" s="3" t="inlineStr">
        <is>
          <t>CARABINA SEMIAUTOMATICA</t>
        </is>
      </c>
      <c r="F1591" s="3" t="inlineStr">
        <is>
          <t>22 LR</t>
        </is>
      </c>
      <c r="G1591" s="3" t="inlineStr">
        <is>
          <t>WINCHESTER</t>
        </is>
      </c>
      <c r="H1591" s="65" t="inlineStr">
        <is>
          <t>WILDCAT STRATA SA, S, THR 18''</t>
        </is>
      </c>
      <c r="I1591" s="65" t="inlineStr">
        <is>
          <t>TF614-23M07921</t>
        </is>
      </c>
      <c r="J1591" s="65" t="inlineStr">
        <is>
          <t>N/D</t>
        </is>
      </c>
      <c r="K1591" s="65" t="inlineStr">
        <is>
          <t>N/D</t>
        </is>
      </c>
      <c r="L1591" s="127" t="inlineStr">
        <is>
          <t>BROWNING INTERNATIONAL SA</t>
        </is>
      </c>
      <c r="M1591" s="5" t="n">
        <v>270</v>
      </c>
      <c r="N1591" s="5" t="n"/>
      <c r="O1591" s="5">
        <f>+M1591+N1591</f>
        <v/>
      </c>
      <c r="P1591" s="4" t="n">
        <v>45826</v>
      </c>
      <c r="Q1591" s="87" t="n">
        <v>45800</v>
      </c>
      <c r="R1591" s="5" t="n"/>
      <c r="S1591" s="2" t="n"/>
      <c r="T1591" s="3" t="n"/>
      <c r="U1591" s="87" t="n"/>
      <c r="V1591" s="3" t="n"/>
      <c r="W1591" s="108" t="n"/>
      <c r="X1591" s="4" t="n"/>
    </row>
    <row r="1592" ht="24" customHeight="1">
      <c r="A1592" s="2">
        <f>+D1592-S1592</f>
        <v/>
      </c>
      <c r="B1592" s="80" t="n">
        <v>3236</v>
      </c>
      <c r="C1592" s="66" t="n">
        <v>45832</v>
      </c>
      <c r="D1592" s="2" t="n">
        <v>1</v>
      </c>
      <c r="E1592" s="3" t="inlineStr">
        <is>
          <t>CARABINA SEMIAUTOMATICA</t>
        </is>
      </c>
      <c r="F1592" s="3" t="inlineStr">
        <is>
          <t>22 LR</t>
        </is>
      </c>
      <c r="G1592" s="3" t="inlineStr">
        <is>
          <t>WINCHESTER</t>
        </is>
      </c>
      <c r="H1592" s="65" t="inlineStr">
        <is>
          <t>WILDCAT STRATA SA, S, THR 18''</t>
        </is>
      </c>
      <c r="I1592" s="65" t="inlineStr">
        <is>
          <t>TF614-23M07960</t>
        </is>
      </c>
      <c r="J1592" s="65" t="inlineStr">
        <is>
          <t>N/D</t>
        </is>
      </c>
      <c r="K1592" s="65" t="inlineStr">
        <is>
          <t>N/D</t>
        </is>
      </c>
      <c r="L1592" s="127" t="inlineStr">
        <is>
          <t>BROWNING INTERNATIONAL SA</t>
        </is>
      </c>
      <c r="M1592" s="5" t="n">
        <v>270</v>
      </c>
      <c r="N1592" s="5" t="n"/>
      <c r="O1592" s="5">
        <f>+M1592+N1592</f>
        <v/>
      </c>
      <c r="P1592" s="4" t="n">
        <v>45826</v>
      </c>
      <c r="Q1592" s="87" t="n">
        <v>45800</v>
      </c>
      <c r="R1592" s="5" t="n"/>
      <c r="S1592" s="2" t="n"/>
      <c r="T1592" s="3" t="n"/>
      <c r="U1592" s="87" t="n"/>
      <c r="V1592" s="3" t="n"/>
      <c r="W1592" s="108" t="n"/>
      <c r="X1592" s="4" t="n"/>
    </row>
    <row r="1593" ht="24" customHeight="1">
      <c r="A1593" s="2">
        <f>+D1593-S1593</f>
        <v/>
      </c>
      <c r="B1593" s="80" t="n">
        <v>3237</v>
      </c>
      <c r="C1593" s="66" t="n">
        <v>45832</v>
      </c>
      <c r="D1593" s="2" t="n">
        <v>1</v>
      </c>
      <c r="E1593" s="3" t="inlineStr">
        <is>
          <t>CARABINA SEMIAUTOMATICA</t>
        </is>
      </c>
      <c r="F1593" s="3" t="inlineStr">
        <is>
          <t>22 LR</t>
        </is>
      </c>
      <c r="G1593" s="3" t="inlineStr">
        <is>
          <t>WINCHESTER</t>
        </is>
      </c>
      <c r="H1593" s="65" t="inlineStr">
        <is>
          <t>WILDCAT STRATA SA, S, THR 18''</t>
        </is>
      </c>
      <c r="I1593" s="65" t="inlineStr">
        <is>
          <t>TF614-23M07861</t>
        </is>
      </c>
      <c r="J1593" s="65" t="inlineStr">
        <is>
          <t>N/D</t>
        </is>
      </c>
      <c r="K1593" s="65" t="inlineStr">
        <is>
          <t>N/D</t>
        </is>
      </c>
      <c r="L1593" s="127" t="inlineStr">
        <is>
          <t>BROWNING INTERNATIONAL SA</t>
        </is>
      </c>
      <c r="M1593" s="5" t="n">
        <v>270</v>
      </c>
      <c r="N1593" s="5" t="n"/>
      <c r="O1593" s="5">
        <f>+M1593+N1593</f>
        <v/>
      </c>
      <c r="P1593" s="4" t="n">
        <v>45826</v>
      </c>
      <c r="Q1593" s="87" t="n">
        <v>45800</v>
      </c>
      <c r="R1593" s="5" t="n"/>
      <c r="S1593" s="2" t="n"/>
      <c r="T1593" s="3" t="n"/>
      <c r="U1593" s="87" t="n"/>
      <c r="V1593" s="3" t="n"/>
      <c r="W1593" s="108" t="n"/>
      <c r="X1593" s="4" t="n"/>
    </row>
    <row r="1594" ht="24" customHeight="1">
      <c r="A1594" s="2">
        <f>+D1594-S1594</f>
        <v/>
      </c>
      <c r="B1594" s="80" t="n">
        <v>3238</v>
      </c>
      <c r="C1594" s="66" t="n">
        <v>45832</v>
      </c>
      <c r="D1594" s="2" t="n">
        <v>1</v>
      </c>
      <c r="E1594" s="3" t="inlineStr">
        <is>
          <t>CARABINA SEMIAUTOMATICA</t>
        </is>
      </c>
      <c r="F1594" s="3" t="inlineStr">
        <is>
          <t>22 LR</t>
        </is>
      </c>
      <c r="G1594" s="3" t="inlineStr">
        <is>
          <t>WINCHESTER</t>
        </is>
      </c>
      <c r="H1594" s="65" t="inlineStr">
        <is>
          <t>WILDCAT STRATA SA, S, THR 18''</t>
        </is>
      </c>
      <c r="I1594" s="65" t="inlineStr">
        <is>
          <t>TF614-23M07868</t>
        </is>
      </c>
      <c r="J1594" s="65" t="inlineStr">
        <is>
          <t>N/D</t>
        </is>
      </c>
      <c r="K1594" s="65" t="inlineStr">
        <is>
          <t>N/D</t>
        </is>
      </c>
      <c r="L1594" s="127" t="inlineStr">
        <is>
          <t>BROWNING INTERNATIONAL SA</t>
        </is>
      </c>
      <c r="M1594" s="5" t="n">
        <v>270</v>
      </c>
      <c r="N1594" s="5" t="n"/>
      <c r="O1594" s="5">
        <f>+M1594+N1594</f>
        <v/>
      </c>
      <c r="P1594" s="4" t="n">
        <v>45826</v>
      </c>
      <c r="Q1594" s="87" t="n">
        <v>45800</v>
      </c>
      <c r="R1594" s="5" t="n"/>
      <c r="S1594" s="2" t="n"/>
      <c r="T1594" s="3" t="n"/>
      <c r="U1594" s="87" t="n"/>
      <c r="V1594" s="3" t="n"/>
      <c r="W1594" s="108" t="n"/>
      <c r="X1594" s="4" t="n"/>
    </row>
    <row r="1595" ht="24" customHeight="1">
      <c r="A1595" s="2">
        <f>+D1595-S1595</f>
        <v/>
      </c>
      <c r="B1595" s="80" t="n">
        <v>3239</v>
      </c>
      <c r="C1595" s="66" t="n">
        <v>45832</v>
      </c>
      <c r="D1595" s="2" t="n">
        <v>1</v>
      </c>
      <c r="E1595" s="3" t="inlineStr">
        <is>
          <t>CARABINA SEMIAUTOMATICA</t>
        </is>
      </c>
      <c r="F1595" s="3" t="inlineStr">
        <is>
          <t>22 LR</t>
        </is>
      </c>
      <c r="G1595" s="3" t="inlineStr">
        <is>
          <t>WINCHESTER</t>
        </is>
      </c>
      <c r="H1595" s="65" t="inlineStr">
        <is>
          <t>WILDCAT STRATA SA, S, THR 18''</t>
        </is>
      </c>
      <c r="I1595" s="65" t="inlineStr">
        <is>
          <t>TF614-23M07897</t>
        </is>
      </c>
      <c r="J1595" s="65" t="inlineStr">
        <is>
          <t>N/D</t>
        </is>
      </c>
      <c r="K1595" s="65" t="inlineStr">
        <is>
          <t>N/D</t>
        </is>
      </c>
      <c r="L1595" s="127" t="inlineStr">
        <is>
          <t>BROWNING INTERNATIONAL SA</t>
        </is>
      </c>
      <c r="M1595" s="5" t="n">
        <v>270</v>
      </c>
      <c r="N1595" s="5" t="n"/>
      <c r="O1595" s="5">
        <f>+M1595+N1595</f>
        <v/>
      </c>
      <c r="P1595" s="4" t="n">
        <v>45826</v>
      </c>
      <c r="Q1595" s="87" t="n">
        <v>45800</v>
      </c>
      <c r="R1595" s="5" t="n"/>
      <c r="S1595" s="2" t="n"/>
      <c r="T1595" s="3" t="n"/>
      <c r="U1595" s="87" t="n"/>
      <c r="V1595" s="3" t="n"/>
      <c r="W1595" s="108" t="n"/>
      <c r="X1595" s="4" t="n"/>
    </row>
    <row r="1596" ht="24" customHeight="1">
      <c r="A1596" s="2">
        <f>+D1596-S1596</f>
        <v/>
      </c>
      <c r="B1596" s="80" t="n">
        <v>3240</v>
      </c>
      <c r="C1596" s="66" t="n">
        <v>45832</v>
      </c>
      <c r="D1596" s="2" t="n">
        <v>1</v>
      </c>
      <c r="E1596" s="3" t="inlineStr">
        <is>
          <t>CARABINA SEMIAUTOMATICA</t>
        </is>
      </c>
      <c r="F1596" s="3" t="inlineStr">
        <is>
          <t>22 LR</t>
        </is>
      </c>
      <c r="G1596" s="3" t="inlineStr">
        <is>
          <t>WINCHESTER</t>
        </is>
      </c>
      <c r="H1596" s="65" t="inlineStr">
        <is>
          <t>WILDCAT STRATA SA, S, THR 18''</t>
        </is>
      </c>
      <c r="I1596" s="65" t="inlineStr">
        <is>
          <t>TF614-23M07914</t>
        </is>
      </c>
      <c r="J1596" s="65" t="inlineStr">
        <is>
          <t>N/D</t>
        </is>
      </c>
      <c r="K1596" s="65" t="inlineStr">
        <is>
          <t>N/D</t>
        </is>
      </c>
      <c r="L1596" s="127" t="inlineStr">
        <is>
          <t>BROWNING INTERNATIONAL SA</t>
        </is>
      </c>
      <c r="M1596" s="5" t="n">
        <v>270</v>
      </c>
      <c r="N1596" s="5" t="n"/>
      <c r="O1596" s="5">
        <f>+M1596+N1596</f>
        <v/>
      </c>
      <c r="P1596" s="4" t="n">
        <v>45826</v>
      </c>
      <c r="Q1596" s="87" t="n">
        <v>45800</v>
      </c>
      <c r="R1596" s="5" t="n"/>
      <c r="S1596" s="2" t="n"/>
      <c r="T1596" s="3" t="n"/>
      <c r="U1596" s="87" t="n"/>
      <c r="V1596" s="3" t="n"/>
      <c r="W1596" s="108" t="n"/>
      <c r="X1596" s="4" t="n"/>
    </row>
    <row r="1597" ht="24" customHeight="1">
      <c r="A1597" s="2">
        <f>+D1597-S1597</f>
        <v/>
      </c>
      <c r="B1597" s="80" t="n">
        <v>3241</v>
      </c>
      <c r="C1597" s="66" t="n">
        <v>45832</v>
      </c>
      <c r="D1597" s="2" t="n">
        <v>1</v>
      </c>
      <c r="E1597" s="3" t="inlineStr">
        <is>
          <t>CARABINA SEMIAUTOMATICA</t>
        </is>
      </c>
      <c r="F1597" s="3" t="inlineStr">
        <is>
          <t>22 LR</t>
        </is>
      </c>
      <c r="G1597" s="3" t="inlineStr">
        <is>
          <t>WINCHESTER</t>
        </is>
      </c>
      <c r="H1597" s="65" t="inlineStr">
        <is>
          <t>WILDCAT STRATA SA, S, THR 18''</t>
        </is>
      </c>
      <c r="I1597" s="65" t="inlineStr">
        <is>
          <t>TF614-23M07912</t>
        </is>
      </c>
      <c r="J1597" s="65" t="inlineStr">
        <is>
          <t>N/D</t>
        </is>
      </c>
      <c r="K1597" s="65" t="inlineStr">
        <is>
          <t>N/D</t>
        </is>
      </c>
      <c r="L1597" s="127" t="inlineStr">
        <is>
          <t>BROWNING INTERNATIONAL SA</t>
        </is>
      </c>
      <c r="M1597" s="5" t="n">
        <v>270</v>
      </c>
      <c r="N1597" s="5" t="n"/>
      <c r="O1597" s="5">
        <f>+M1597+N1597</f>
        <v/>
      </c>
      <c r="P1597" s="4" t="n">
        <v>45826</v>
      </c>
      <c r="Q1597" s="87" t="n">
        <v>45800</v>
      </c>
      <c r="R1597" s="5" t="n"/>
      <c r="S1597" s="2" t="n"/>
      <c r="T1597" s="3" t="n"/>
      <c r="U1597" s="87" t="n"/>
      <c r="V1597" s="3" t="n"/>
      <c r="W1597" s="108" t="n"/>
      <c r="X1597" s="4" t="n"/>
    </row>
    <row r="1598" ht="24" customHeight="1">
      <c r="A1598" s="2">
        <f>+D1598-S1598</f>
        <v/>
      </c>
      <c r="B1598" s="80" t="n">
        <v>3242</v>
      </c>
      <c r="C1598" s="66" t="n">
        <v>45832</v>
      </c>
      <c r="D1598" s="2" t="n">
        <v>1</v>
      </c>
      <c r="E1598" s="3" t="inlineStr">
        <is>
          <t>CARABINA SEMIAUTOMATICA</t>
        </is>
      </c>
      <c r="F1598" s="3" t="inlineStr">
        <is>
          <t>22 LR</t>
        </is>
      </c>
      <c r="G1598" s="3" t="inlineStr">
        <is>
          <t>WINCHESTER</t>
        </is>
      </c>
      <c r="H1598" s="65" t="inlineStr">
        <is>
          <t>WILDCAT STRATA SA, S, THR 18''</t>
        </is>
      </c>
      <c r="I1598" s="65" t="inlineStr">
        <is>
          <t>TF614-23M07919</t>
        </is>
      </c>
      <c r="J1598" s="65" t="inlineStr">
        <is>
          <t>N/D</t>
        </is>
      </c>
      <c r="K1598" s="65" t="inlineStr">
        <is>
          <t>N/D</t>
        </is>
      </c>
      <c r="L1598" s="127" t="inlineStr">
        <is>
          <t>BROWNING INTERNATIONAL SA</t>
        </is>
      </c>
      <c r="M1598" s="5" t="n">
        <v>270</v>
      </c>
      <c r="N1598" s="5" t="n"/>
      <c r="O1598" s="5">
        <f>+M1598+N1598</f>
        <v/>
      </c>
      <c r="P1598" s="4" t="n">
        <v>45826</v>
      </c>
      <c r="Q1598" s="87" t="n">
        <v>45800</v>
      </c>
      <c r="R1598" s="5" t="n"/>
      <c r="S1598" s="2" t="n"/>
      <c r="T1598" s="3" t="n"/>
      <c r="U1598" s="87" t="n"/>
      <c r="V1598" s="3" t="n"/>
      <c r="W1598" s="108" t="n"/>
      <c r="X1598" s="4" t="n"/>
    </row>
    <row r="1599" ht="24" customHeight="1">
      <c r="A1599" s="2">
        <f>+D1599-S1599</f>
        <v/>
      </c>
      <c r="B1599" s="80" t="n">
        <v>3243</v>
      </c>
      <c r="C1599" s="66" t="n">
        <v>45832</v>
      </c>
      <c r="D1599" s="2" t="n">
        <v>1</v>
      </c>
      <c r="E1599" s="3" t="inlineStr">
        <is>
          <t>CARABINA SEMIAUTOMATICA</t>
        </is>
      </c>
      <c r="F1599" s="3" t="inlineStr">
        <is>
          <t>22 LR</t>
        </is>
      </c>
      <c r="G1599" s="3" t="inlineStr">
        <is>
          <t>WINCHESTER</t>
        </is>
      </c>
      <c r="H1599" s="65" t="inlineStr">
        <is>
          <t>WILDCAT STRATA SA, S, THR 18''</t>
        </is>
      </c>
      <c r="I1599" s="65" t="inlineStr">
        <is>
          <t>TF614-23M07906</t>
        </is>
      </c>
      <c r="J1599" s="65" t="inlineStr">
        <is>
          <t>N/D</t>
        </is>
      </c>
      <c r="K1599" s="65" t="inlineStr">
        <is>
          <t>N/D</t>
        </is>
      </c>
      <c r="L1599" s="127" t="inlineStr">
        <is>
          <t>BROWNING INTERNATIONAL SA</t>
        </is>
      </c>
      <c r="M1599" s="5" t="n">
        <v>270</v>
      </c>
      <c r="N1599" s="5" t="n"/>
      <c r="O1599" s="5">
        <f>+M1599+N1599</f>
        <v/>
      </c>
      <c r="P1599" s="4" t="n">
        <v>45826</v>
      </c>
      <c r="Q1599" s="87" t="n">
        <v>45800</v>
      </c>
      <c r="R1599" s="5" t="n"/>
      <c r="S1599" s="2" t="n"/>
      <c r="T1599" s="3" t="n"/>
      <c r="U1599" s="87" t="n"/>
      <c r="V1599" s="3" t="n"/>
      <c r="W1599" s="108" t="n"/>
      <c r="X1599" s="4" t="n"/>
    </row>
    <row r="1600" ht="24" customHeight="1">
      <c r="A1600" s="2">
        <f>+D1600-S1600</f>
        <v/>
      </c>
      <c r="B1600" s="80" t="n">
        <v>3244</v>
      </c>
      <c r="C1600" s="66" t="n">
        <v>45832</v>
      </c>
      <c r="D1600" s="2" t="n">
        <v>1</v>
      </c>
      <c r="E1600" s="3" t="inlineStr">
        <is>
          <t>CARABINA SEMIAUTOMATICA</t>
        </is>
      </c>
      <c r="F1600" s="3" t="inlineStr">
        <is>
          <t>22 LR</t>
        </is>
      </c>
      <c r="G1600" s="3" t="inlineStr">
        <is>
          <t>WINCHESTER</t>
        </is>
      </c>
      <c r="H1600" s="65" t="inlineStr">
        <is>
          <t>WILDCAT STRATA SA, S, THR 18''</t>
        </is>
      </c>
      <c r="I1600" s="65" t="inlineStr">
        <is>
          <t>TF614-23M07929</t>
        </is>
      </c>
      <c r="J1600" s="65" t="inlineStr">
        <is>
          <t>N/D</t>
        </is>
      </c>
      <c r="K1600" s="65" t="inlineStr">
        <is>
          <t>N/D</t>
        </is>
      </c>
      <c r="L1600" s="127" t="inlineStr">
        <is>
          <t>BROWNING INTERNATIONAL SA</t>
        </is>
      </c>
      <c r="M1600" s="5" t="n">
        <v>270</v>
      </c>
      <c r="N1600" s="5" t="n"/>
      <c r="O1600" s="5">
        <f>+M1600+N1600</f>
        <v/>
      </c>
      <c r="P1600" s="4" t="n">
        <v>45826</v>
      </c>
      <c r="Q1600" s="87" t="n">
        <v>45800</v>
      </c>
      <c r="R1600" s="5" t="n"/>
      <c r="S1600" s="2" t="n"/>
      <c r="T1600" s="3" t="n"/>
      <c r="U1600" s="87" t="n"/>
      <c r="V1600" s="3" t="n"/>
      <c r="W1600" s="108" t="n"/>
      <c r="X1600" s="4" t="n"/>
    </row>
    <row r="1601" ht="24" customHeight="1">
      <c r="A1601" s="2">
        <f>+D1601-S1601</f>
        <v/>
      </c>
      <c r="B1601" s="80" t="n">
        <v>3245</v>
      </c>
      <c r="C1601" s="66" t="n">
        <v>45832</v>
      </c>
      <c r="D1601" s="2" t="n">
        <v>1</v>
      </c>
      <c r="E1601" s="3" t="inlineStr">
        <is>
          <t>CARABINA SEMIAUTOMATICA</t>
        </is>
      </c>
      <c r="F1601" s="3" t="inlineStr">
        <is>
          <t>22 LR</t>
        </is>
      </c>
      <c r="G1601" s="3" t="inlineStr">
        <is>
          <t>WINCHESTER</t>
        </is>
      </c>
      <c r="H1601" s="65" t="inlineStr">
        <is>
          <t>WILDCAT STRATA SA, S, THR 18''</t>
        </is>
      </c>
      <c r="I1601" s="65" t="inlineStr">
        <is>
          <t>TF614-23M07928</t>
        </is>
      </c>
      <c r="J1601" s="65" t="inlineStr">
        <is>
          <t>N/D</t>
        </is>
      </c>
      <c r="K1601" s="65" t="inlineStr">
        <is>
          <t>N/D</t>
        </is>
      </c>
      <c r="L1601" s="127" t="inlineStr">
        <is>
          <t>BROWNING INTERNATIONAL SA</t>
        </is>
      </c>
      <c r="M1601" s="5" t="n">
        <v>270</v>
      </c>
      <c r="N1601" s="5" t="n"/>
      <c r="O1601" s="5">
        <f>+M1601+N1601</f>
        <v/>
      </c>
      <c r="P1601" s="4" t="n">
        <v>45826</v>
      </c>
      <c r="Q1601" s="87" t="n">
        <v>45800</v>
      </c>
      <c r="R1601" s="5" t="n"/>
      <c r="S1601" s="2" t="n"/>
      <c r="T1601" s="3" t="n"/>
      <c r="U1601" s="87" t="n"/>
      <c r="V1601" s="3" t="n"/>
      <c r="W1601" s="108" t="n"/>
      <c r="X1601" s="4" t="n"/>
    </row>
    <row r="1602" ht="24" customHeight="1">
      <c r="A1602" s="2">
        <f>+D1602-S1602</f>
        <v/>
      </c>
      <c r="B1602" s="80" t="n">
        <v>3246</v>
      </c>
      <c r="C1602" s="66" t="n">
        <v>45832</v>
      </c>
      <c r="D1602" s="2" t="n">
        <v>1</v>
      </c>
      <c r="E1602" s="3" t="inlineStr">
        <is>
          <t>CARABINA SEMIAUTOMATICA</t>
        </is>
      </c>
      <c r="F1602" s="3" t="inlineStr">
        <is>
          <t>22 LR</t>
        </is>
      </c>
      <c r="G1602" s="3" t="inlineStr">
        <is>
          <t>WINCHESTER</t>
        </is>
      </c>
      <c r="H1602" s="65" t="inlineStr">
        <is>
          <t>WILDCAT STRATA SA, S, THR 18''</t>
        </is>
      </c>
      <c r="I1602" s="65" t="inlineStr">
        <is>
          <t>TF614-23M07927</t>
        </is>
      </c>
      <c r="J1602" s="65" t="inlineStr">
        <is>
          <t>N/D</t>
        </is>
      </c>
      <c r="K1602" s="65" t="inlineStr">
        <is>
          <t>N/D</t>
        </is>
      </c>
      <c r="L1602" s="127" t="inlineStr">
        <is>
          <t>BROWNING INTERNATIONAL SA</t>
        </is>
      </c>
      <c r="M1602" s="5" t="n">
        <v>270</v>
      </c>
      <c r="N1602" s="5" t="n"/>
      <c r="O1602" s="5">
        <f>+M1602+N1602</f>
        <v/>
      </c>
      <c r="P1602" s="4" t="n">
        <v>45826</v>
      </c>
      <c r="Q1602" s="87" t="n">
        <v>45800</v>
      </c>
      <c r="R1602" s="5" t="n"/>
      <c r="S1602" s="2" t="n"/>
      <c r="T1602" s="3" t="n"/>
      <c r="U1602" s="87" t="n"/>
      <c r="V1602" s="3" t="n"/>
      <c r="W1602" s="108" t="n"/>
      <c r="X1602" s="4" t="n"/>
    </row>
    <row r="1603" ht="24" customHeight="1">
      <c r="A1603" s="2">
        <f>+D1603-S1603</f>
        <v/>
      </c>
      <c r="B1603" s="80" t="n">
        <v>3247</v>
      </c>
      <c r="C1603" s="66" t="n">
        <v>45832</v>
      </c>
      <c r="D1603" s="2" t="n">
        <v>1</v>
      </c>
      <c r="E1603" s="3" t="inlineStr">
        <is>
          <t>CARABINA SEMIAUTOMATICA</t>
        </is>
      </c>
      <c r="F1603" s="3" t="inlineStr">
        <is>
          <t>22 LR</t>
        </is>
      </c>
      <c r="G1603" s="3" t="inlineStr">
        <is>
          <t>WINCHESTER</t>
        </is>
      </c>
      <c r="H1603" s="65" t="inlineStr">
        <is>
          <t>WILDCAT STRATA SA, S, THR 18''</t>
        </is>
      </c>
      <c r="I1603" s="65" t="inlineStr">
        <is>
          <t>TF614-23M07926</t>
        </is>
      </c>
      <c r="J1603" s="65" t="inlineStr">
        <is>
          <t>N/D</t>
        </is>
      </c>
      <c r="K1603" s="65" t="inlineStr">
        <is>
          <t>N/D</t>
        </is>
      </c>
      <c r="L1603" s="127" t="inlineStr">
        <is>
          <t>BROWNING INTERNATIONAL SA</t>
        </is>
      </c>
      <c r="M1603" s="5" t="n">
        <v>270</v>
      </c>
      <c r="N1603" s="5" t="n"/>
      <c r="O1603" s="5">
        <f>+M1603+N1603</f>
        <v/>
      </c>
      <c r="P1603" s="4" t="n">
        <v>45826</v>
      </c>
      <c r="Q1603" s="87" t="n">
        <v>45800</v>
      </c>
      <c r="R1603" s="5" t="n"/>
      <c r="S1603" s="2" t="n"/>
      <c r="T1603" s="3" t="n"/>
      <c r="U1603" s="87" t="n"/>
      <c r="V1603" s="3" t="n"/>
      <c r="W1603" s="108" t="n"/>
      <c r="X1603" s="4" t="n"/>
    </row>
    <row r="1604" ht="24" customHeight="1">
      <c r="A1604" s="2">
        <f>+D1604-S1604</f>
        <v/>
      </c>
      <c r="B1604" s="80" t="n">
        <v>3248</v>
      </c>
      <c r="C1604" s="66" t="n">
        <v>45832</v>
      </c>
      <c r="D1604" s="2" t="n">
        <v>1</v>
      </c>
      <c r="E1604" s="3" t="inlineStr">
        <is>
          <t>CARABINA SEMIAUTOMATICA</t>
        </is>
      </c>
      <c r="F1604" s="3" t="inlineStr">
        <is>
          <t>22 LR</t>
        </is>
      </c>
      <c r="G1604" s="3" t="inlineStr">
        <is>
          <t>WINCHESTER</t>
        </is>
      </c>
      <c r="H1604" s="65" t="inlineStr">
        <is>
          <t>WILDCAT STRATA SA, S, THR 18''</t>
        </is>
      </c>
      <c r="I1604" s="65" t="inlineStr">
        <is>
          <t>TF614-23M07956</t>
        </is>
      </c>
      <c r="J1604" s="65" t="inlineStr">
        <is>
          <t>N/D</t>
        </is>
      </c>
      <c r="K1604" s="65" t="inlineStr">
        <is>
          <t>N/D</t>
        </is>
      </c>
      <c r="L1604" s="127" t="inlineStr">
        <is>
          <t>BROWNING INTERNATIONAL SA</t>
        </is>
      </c>
      <c r="M1604" s="5" t="n">
        <v>270</v>
      </c>
      <c r="N1604" s="5" t="n"/>
      <c r="O1604" s="5">
        <f>+M1604+N1604</f>
        <v/>
      </c>
      <c r="P1604" s="4" t="n">
        <v>45826</v>
      </c>
      <c r="Q1604" s="87" t="n">
        <v>45800</v>
      </c>
      <c r="R1604" s="5" t="n"/>
      <c r="S1604" s="2" t="n"/>
      <c r="T1604" s="3" t="n"/>
      <c r="U1604" s="87" t="n"/>
      <c r="V1604" s="3" t="n"/>
      <c r="W1604" s="108" t="n"/>
      <c r="X1604" s="4" t="n"/>
    </row>
    <row r="1605" ht="24" customHeight="1">
      <c r="A1605" s="2">
        <f>+D1605-S1605</f>
        <v/>
      </c>
      <c r="B1605" s="80" t="n">
        <v>3249</v>
      </c>
      <c r="C1605" s="66" t="n">
        <v>45832</v>
      </c>
      <c r="D1605" s="2" t="n">
        <v>1</v>
      </c>
      <c r="E1605" s="3" t="inlineStr">
        <is>
          <t>CARABINA SEMIAUTOMATICA</t>
        </is>
      </c>
      <c r="F1605" s="3" t="inlineStr">
        <is>
          <t>22 LR</t>
        </is>
      </c>
      <c r="G1605" s="3" t="inlineStr">
        <is>
          <t>WINCHESTER</t>
        </is>
      </c>
      <c r="H1605" s="65" t="inlineStr">
        <is>
          <t>WILDCAT STRATA SA, S, THR 18''</t>
        </is>
      </c>
      <c r="I1605" s="65" t="inlineStr">
        <is>
          <t>TF614-23M07953</t>
        </is>
      </c>
      <c r="J1605" s="65" t="inlineStr">
        <is>
          <t>N/D</t>
        </is>
      </c>
      <c r="K1605" s="65" t="inlineStr">
        <is>
          <t>N/D</t>
        </is>
      </c>
      <c r="L1605" s="127" t="inlineStr">
        <is>
          <t>BROWNING INTERNATIONAL SA</t>
        </is>
      </c>
      <c r="M1605" s="5" t="n">
        <v>270</v>
      </c>
      <c r="N1605" s="5" t="n"/>
      <c r="O1605" s="5">
        <f>+M1605+N1605</f>
        <v/>
      </c>
      <c r="P1605" s="4" t="n">
        <v>45826</v>
      </c>
      <c r="Q1605" s="87" t="n">
        <v>45800</v>
      </c>
      <c r="R1605" s="5" t="n"/>
      <c r="S1605" s="2" t="n"/>
      <c r="T1605" s="3" t="n"/>
      <c r="U1605" s="87" t="n"/>
      <c r="V1605" s="3" t="n"/>
      <c r="W1605" s="108" t="n"/>
      <c r="X1605" s="4" t="n"/>
    </row>
    <row r="1606" ht="24" customHeight="1">
      <c r="A1606" s="2">
        <f>+D1606-S1606</f>
        <v/>
      </c>
      <c r="B1606" s="80" t="n">
        <v>3250</v>
      </c>
      <c r="C1606" s="66" t="n">
        <v>45832</v>
      </c>
      <c r="D1606" s="2" t="n">
        <v>1</v>
      </c>
      <c r="E1606" s="3" t="inlineStr">
        <is>
          <t>CARABINA SEMIAUTOMATICA</t>
        </is>
      </c>
      <c r="F1606" s="3" t="inlineStr">
        <is>
          <t>22 LR</t>
        </is>
      </c>
      <c r="G1606" s="3" t="inlineStr">
        <is>
          <t>WINCHESTER</t>
        </is>
      </c>
      <c r="H1606" s="65" t="inlineStr">
        <is>
          <t>WILDCAT STRATA SA, S, THR 18''</t>
        </is>
      </c>
      <c r="I1606" s="65" t="inlineStr">
        <is>
          <t>TF614-23M07865</t>
        </is>
      </c>
      <c r="J1606" s="65" t="inlineStr">
        <is>
          <t>N/D</t>
        </is>
      </c>
      <c r="K1606" s="65" t="inlineStr">
        <is>
          <t>N/D</t>
        </is>
      </c>
      <c r="L1606" s="127" t="inlineStr">
        <is>
          <t>BROWNING INTERNATIONAL SA</t>
        </is>
      </c>
      <c r="M1606" s="5" t="n">
        <v>270</v>
      </c>
      <c r="N1606" s="5" t="n"/>
      <c r="O1606" s="5">
        <f>+M1606+N1606</f>
        <v/>
      </c>
      <c r="P1606" s="4" t="n">
        <v>45826</v>
      </c>
      <c r="Q1606" s="87" t="n">
        <v>45800</v>
      </c>
      <c r="R1606" s="5" t="n"/>
      <c r="S1606" s="2" t="n"/>
      <c r="T1606" s="3" t="n"/>
      <c r="U1606" s="87" t="n"/>
      <c r="V1606" s="3" t="n"/>
      <c r="W1606" s="108" t="n"/>
      <c r="X1606" s="4" t="n"/>
    </row>
    <row r="1607" ht="24" customHeight="1">
      <c r="A1607" s="2">
        <f>+D1607-S1607</f>
        <v/>
      </c>
      <c r="B1607" s="80" t="n">
        <v>3251</v>
      </c>
      <c r="C1607" s="66" t="n">
        <v>45832</v>
      </c>
      <c r="D1607" s="2" t="n">
        <v>1</v>
      </c>
      <c r="E1607" s="3" t="inlineStr">
        <is>
          <t>CARABINA SEMIAUTOMATICA</t>
        </is>
      </c>
      <c r="F1607" s="3" t="inlineStr">
        <is>
          <t>22 LR</t>
        </is>
      </c>
      <c r="G1607" s="3" t="inlineStr">
        <is>
          <t>WINCHESTER</t>
        </is>
      </c>
      <c r="H1607" s="65" t="inlineStr">
        <is>
          <t>WILDCAT STRATA SA, S, THR 18''</t>
        </is>
      </c>
      <c r="I1607" s="65" t="inlineStr">
        <is>
          <t>TF614-23M07862</t>
        </is>
      </c>
      <c r="J1607" s="65" t="inlineStr">
        <is>
          <t>N/D</t>
        </is>
      </c>
      <c r="K1607" s="65" t="inlineStr">
        <is>
          <t>N/D</t>
        </is>
      </c>
      <c r="L1607" s="127" t="inlineStr">
        <is>
          <t>BROWNING INTERNATIONAL SA</t>
        </is>
      </c>
      <c r="M1607" s="5" t="n">
        <v>270</v>
      </c>
      <c r="N1607" s="5" t="n"/>
      <c r="O1607" s="5">
        <f>+M1607+N1607</f>
        <v/>
      </c>
      <c r="P1607" s="4" t="n">
        <v>45826</v>
      </c>
      <c r="Q1607" s="87" t="n">
        <v>45800</v>
      </c>
      <c r="R1607" s="5" t="n"/>
      <c r="S1607" s="2" t="n"/>
      <c r="T1607" s="3" t="n"/>
      <c r="U1607" s="87" t="n"/>
      <c r="V1607" s="3" t="n"/>
      <c r="W1607" s="108" t="n"/>
      <c r="X1607" s="4" t="n"/>
    </row>
    <row r="1608" ht="24" customHeight="1">
      <c r="A1608" s="2">
        <f>+D1608-S1608</f>
        <v/>
      </c>
      <c r="B1608" s="80" t="n">
        <v>3252</v>
      </c>
      <c r="C1608" s="66" t="n">
        <v>45832</v>
      </c>
      <c r="D1608" s="2" t="n">
        <v>1</v>
      </c>
      <c r="E1608" s="3" t="inlineStr">
        <is>
          <t>CARABINA SEMIAUTOMATICA</t>
        </is>
      </c>
      <c r="F1608" s="3" t="inlineStr">
        <is>
          <t>22 LR</t>
        </is>
      </c>
      <c r="G1608" s="3" t="inlineStr">
        <is>
          <t>WINCHESTER</t>
        </is>
      </c>
      <c r="H1608" s="65" t="inlineStr">
        <is>
          <t>WILDCAT STRATA SA, S, THR 18''</t>
        </is>
      </c>
      <c r="I1608" s="65" t="inlineStr">
        <is>
          <t>TF614-23M07867</t>
        </is>
      </c>
      <c r="J1608" s="65" t="inlineStr">
        <is>
          <t>N/D</t>
        </is>
      </c>
      <c r="K1608" s="65" t="inlineStr">
        <is>
          <t>N/D</t>
        </is>
      </c>
      <c r="L1608" s="127" t="inlineStr">
        <is>
          <t>BROWNING INTERNATIONAL SA</t>
        </is>
      </c>
      <c r="M1608" s="5" t="n">
        <v>270</v>
      </c>
      <c r="N1608" s="5" t="n"/>
      <c r="O1608" s="5">
        <f>+M1608+N1608</f>
        <v/>
      </c>
      <c r="P1608" s="4" t="n">
        <v>45826</v>
      </c>
      <c r="Q1608" s="87" t="n">
        <v>45800</v>
      </c>
      <c r="R1608" s="5" t="n"/>
      <c r="S1608" s="2" t="n"/>
      <c r="T1608" s="3" t="n"/>
      <c r="U1608" s="87" t="n"/>
      <c r="V1608" s="3" t="n"/>
      <c r="W1608" s="108" t="n"/>
      <c r="X1608" s="4" t="n"/>
    </row>
    <row r="1609" ht="24" customHeight="1">
      <c r="A1609" s="2">
        <f>+D1609-S1609</f>
        <v/>
      </c>
      <c r="B1609" s="80" t="n">
        <v>3253</v>
      </c>
      <c r="C1609" s="66" t="n">
        <v>45832</v>
      </c>
      <c r="D1609" s="2" t="n">
        <v>1</v>
      </c>
      <c r="E1609" s="3" t="inlineStr">
        <is>
          <t>CARABINA SEMIAUTOMATICA</t>
        </is>
      </c>
      <c r="F1609" s="3" t="inlineStr">
        <is>
          <t>22 LR</t>
        </is>
      </c>
      <c r="G1609" s="3" t="inlineStr">
        <is>
          <t>WINCHESTER</t>
        </is>
      </c>
      <c r="H1609" s="65" t="inlineStr">
        <is>
          <t>WILDCAT STRATA SA, S, THR 18''</t>
        </is>
      </c>
      <c r="I1609" s="65" t="inlineStr">
        <is>
          <t>TF614-23M07866</t>
        </is>
      </c>
      <c r="J1609" s="65" t="inlineStr">
        <is>
          <t>N/D</t>
        </is>
      </c>
      <c r="K1609" s="65" t="inlineStr">
        <is>
          <t>N/D</t>
        </is>
      </c>
      <c r="L1609" s="127" t="inlineStr">
        <is>
          <t>BROWNING INTERNATIONAL SA</t>
        </is>
      </c>
      <c r="M1609" s="5" t="n">
        <v>270</v>
      </c>
      <c r="N1609" s="5" t="n"/>
      <c r="O1609" s="5">
        <f>+M1609+N1609</f>
        <v/>
      </c>
      <c r="P1609" s="4" t="n">
        <v>45826</v>
      </c>
      <c r="Q1609" s="87" t="n">
        <v>45800</v>
      </c>
      <c r="R1609" s="5" t="n"/>
      <c r="S1609" s="2" t="n"/>
      <c r="T1609" s="3" t="n"/>
      <c r="U1609" s="87" t="n"/>
      <c r="V1609" s="3" t="n"/>
      <c r="W1609" s="108" t="n"/>
      <c r="X1609" s="4" t="n"/>
    </row>
    <row r="1610" ht="24" customHeight="1">
      <c r="A1610" s="2">
        <f>+D1610-S1610</f>
        <v/>
      </c>
      <c r="B1610" s="80" t="n">
        <v>3254</v>
      </c>
      <c r="C1610" s="66" t="n">
        <v>45832</v>
      </c>
      <c r="D1610" s="2" t="n">
        <v>1</v>
      </c>
      <c r="E1610" s="3" t="inlineStr">
        <is>
          <t>CARABINA SEMIAUTOMATICA</t>
        </is>
      </c>
      <c r="F1610" s="3" t="inlineStr">
        <is>
          <t>22 LR</t>
        </is>
      </c>
      <c r="G1610" s="3" t="inlineStr">
        <is>
          <t>WINCHESTER</t>
        </is>
      </c>
      <c r="H1610" s="65" t="inlineStr">
        <is>
          <t>WILDCAT STRATA SA, S, THR 18''</t>
        </is>
      </c>
      <c r="I1610" s="65" t="inlineStr">
        <is>
          <t>TF614-23M07895</t>
        </is>
      </c>
      <c r="J1610" s="65" t="inlineStr">
        <is>
          <t>N/D</t>
        </is>
      </c>
      <c r="K1610" s="65" t="inlineStr">
        <is>
          <t>N/D</t>
        </is>
      </c>
      <c r="L1610" s="127" t="inlineStr">
        <is>
          <t>BROWNING INTERNATIONAL SA</t>
        </is>
      </c>
      <c r="M1610" s="5" t="n">
        <v>270</v>
      </c>
      <c r="N1610" s="5" t="n"/>
      <c r="O1610" s="5">
        <f>+M1610+N1610</f>
        <v/>
      </c>
      <c r="P1610" s="4" t="n">
        <v>45826</v>
      </c>
      <c r="Q1610" s="87" t="n">
        <v>45800</v>
      </c>
      <c r="R1610" s="5" t="n"/>
      <c r="S1610" s="2" t="n"/>
      <c r="T1610" s="3" t="n"/>
      <c r="U1610" s="87" t="n"/>
      <c r="V1610" s="3" t="n"/>
      <c r="W1610" s="108" t="n"/>
      <c r="X1610" s="4" t="n"/>
    </row>
    <row r="1611" ht="24" customHeight="1">
      <c r="A1611" s="2">
        <f>+D1611-S1611</f>
        <v/>
      </c>
      <c r="B1611" s="80" t="n">
        <v>3255</v>
      </c>
      <c r="C1611" s="66" t="n">
        <v>45832</v>
      </c>
      <c r="D1611" s="2" t="n">
        <v>1</v>
      </c>
      <c r="E1611" s="3" t="inlineStr">
        <is>
          <t>CARABINA SEMIAUTOMATICA</t>
        </is>
      </c>
      <c r="F1611" s="3" t="inlineStr">
        <is>
          <t>22 LR</t>
        </is>
      </c>
      <c r="G1611" s="3" t="inlineStr">
        <is>
          <t>WINCHESTER</t>
        </is>
      </c>
      <c r="H1611" s="65" t="inlineStr">
        <is>
          <t>WILDCAT STRATA SA, S, THR 18''</t>
        </is>
      </c>
      <c r="I1611" s="65" t="inlineStr">
        <is>
          <t>TF614-23M07900</t>
        </is>
      </c>
      <c r="J1611" s="65" t="inlineStr">
        <is>
          <t>N/D</t>
        </is>
      </c>
      <c r="K1611" s="65" t="inlineStr">
        <is>
          <t>N/D</t>
        </is>
      </c>
      <c r="L1611" s="127" t="inlineStr">
        <is>
          <t>BROWNING INTERNATIONAL SA</t>
        </is>
      </c>
      <c r="M1611" s="5" t="n">
        <v>270</v>
      </c>
      <c r="N1611" s="5" t="n"/>
      <c r="O1611" s="5">
        <f>+M1611+N1611</f>
        <v/>
      </c>
      <c r="P1611" s="4" t="n">
        <v>45826</v>
      </c>
      <c r="Q1611" s="87" t="n">
        <v>45800</v>
      </c>
      <c r="R1611" s="5" t="n"/>
      <c r="S1611" s="2" t="n"/>
      <c r="T1611" s="3" t="n"/>
      <c r="U1611" s="87" t="n"/>
      <c r="V1611" s="3" t="n"/>
      <c r="W1611" s="108" t="n"/>
      <c r="X1611" s="4" t="n"/>
    </row>
    <row r="1612" ht="24" customHeight="1">
      <c r="A1612" s="2">
        <f>+D1612-S1612</f>
        <v/>
      </c>
      <c r="B1612" s="80" t="n">
        <v>3256</v>
      </c>
      <c r="C1612" s="66" t="n">
        <v>45832</v>
      </c>
      <c r="D1612" s="2" t="n">
        <v>1</v>
      </c>
      <c r="E1612" s="3" t="inlineStr">
        <is>
          <t>CARABINA SEMIAUTOMATICA</t>
        </is>
      </c>
      <c r="F1612" s="3" t="inlineStr">
        <is>
          <t>22 LR</t>
        </is>
      </c>
      <c r="G1612" s="3" t="inlineStr">
        <is>
          <t>WINCHESTER</t>
        </is>
      </c>
      <c r="H1612" s="65" t="inlineStr">
        <is>
          <t>WILDCAT STRATA SA, S, THR 18''</t>
        </is>
      </c>
      <c r="I1612" s="65" t="inlineStr">
        <is>
          <t>TF614-23M07898</t>
        </is>
      </c>
      <c r="J1612" s="65" t="inlineStr">
        <is>
          <t>N/D</t>
        </is>
      </c>
      <c r="K1612" s="65" t="inlineStr">
        <is>
          <t>N/D</t>
        </is>
      </c>
      <c r="L1612" s="127" t="inlineStr">
        <is>
          <t>BROWNING INTERNATIONAL SA</t>
        </is>
      </c>
      <c r="M1612" s="5" t="n">
        <v>270</v>
      </c>
      <c r="N1612" s="5" t="n"/>
      <c r="O1612" s="5">
        <f>+M1612+N1612</f>
        <v/>
      </c>
      <c r="P1612" s="4" t="n">
        <v>45826</v>
      </c>
      <c r="Q1612" s="87" t="n">
        <v>45800</v>
      </c>
      <c r="R1612" s="5" t="n"/>
      <c r="S1612" s="2" t="n"/>
      <c r="T1612" s="3" t="n"/>
      <c r="U1612" s="87" t="n"/>
      <c r="V1612" s="3" t="n"/>
      <c r="W1612" s="108" t="n"/>
      <c r="X1612" s="4" t="n"/>
    </row>
    <row r="1613" ht="24" customHeight="1">
      <c r="A1613" s="2">
        <f>+D1613-S1613</f>
        <v/>
      </c>
      <c r="B1613" s="80" t="n">
        <v>3257</v>
      </c>
      <c r="C1613" s="66" t="n">
        <v>45833</v>
      </c>
      <c r="D1613" s="2" t="n">
        <v>1</v>
      </c>
      <c r="E1613" s="3" t="inlineStr">
        <is>
          <t>FUCILE SOVRAPPOSTO</t>
        </is>
      </c>
      <c r="F1613" s="84" t="inlineStr">
        <is>
          <t>20/223REM</t>
        </is>
      </c>
      <c r="G1613" s="84" t="inlineStr">
        <is>
          <t>FAIR</t>
        </is>
      </c>
      <c r="H1613" s="107" t="inlineStr">
        <is>
          <t>COMBI DELUXE</t>
        </is>
      </c>
      <c r="I1613" s="65" t="inlineStr">
        <is>
          <t>364157</t>
        </is>
      </c>
      <c r="J1613" s="65" t="inlineStr">
        <is>
          <t>N/D</t>
        </is>
      </c>
      <c r="K1613" s="65" t="inlineStr">
        <is>
          <t>N/D</t>
        </is>
      </c>
      <c r="L1613" s="127" t="inlineStr">
        <is>
          <t>FAIR SRL</t>
        </is>
      </c>
      <c r="M1613" s="5" t="n">
        <v>1069.5</v>
      </c>
      <c r="N1613" s="5" t="n"/>
      <c r="O1613" s="5">
        <f>+M1613+N1613</f>
        <v/>
      </c>
      <c r="P1613" s="4" t="n">
        <v>45828</v>
      </c>
      <c r="Q1613" s="87" t="n">
        <v>45828</v>
      </c>
      <c r="R1613" s="5" t="n">
        <v>1124</v>
      </c>
      <c r="S1613" s="2" t="n">
        <v>1</v>
      </c>
      <c r="T1613" s="3" t="inlineStr">
        <is>
          <t>CA04954OS</t>
        </is>
      </c>
      <c r="U1613" s="87" t="n">
        <v>45874</v>
      </c>
      <c r="V1613" s="3" t="inlineStr">
        <is>
          <t>25</t>
        </is>
      </c>
      <c r="W1613" s="4" t="n">
        <v>45874</v>
      </c>
      <c r="X1613" s="4" t="inlineStr">
        <is>
          <t>PHILIPPOS  CONSTANTINIDES
TRADING CO.LTD</t>
        </is>
      </c>
    </row>
    <row r="1614" ht="24" customHeight="1">
      <c r="A1614" s="2">
        <f>+D1614-S1614</f>
        <v/>
      </c>
      <c r="B1614" s="80" t="n">
        <v>3258</v>
      </c>
      <c r="C1614" s="66" t="n">
        <v>45833</v>
      </c>
      <c r="D1614" s="2" t="n">
        <v>1</v>
      </c>
      <c r="E1614" s="3" t="inlineStr">
        <is>
          <t>DOPPIETTA A CANNE RIGATE</t>
        </is>
      </c>
      <c r="F1614" s="3" t="inlineStr">
        <is>
          <t>308 WIN</t>
        </is>
      </c>
      <c r="G1614" s="84" t="inlineStr">
        <is>
          <t>FAIR</t>
        </is>
      </c>
      <c r="H1614" s="65" t="inlineStr">
        <is>
          <t>ISIDE SAFARI PRESTIGE</t>
        </is>
      </c>
      <c r="I1614" s="65" t="inlineStr">
        <is>
          <t>364158</t>
        </is>
      </c>
      <c r="J1614" s="65" t="inlineStr">
        <is>
          <t>N/D</t>
        </is>
      </c>
      <c r="K1614" s="65" t="inlineStr">
        <is>
          <t>N/D</t>
        </is>
      </c>
      <c r="L1614" s="127" t="inlineStr">
        <is>
          <t>FAIR SRL</t>
        </is>
      </c>
      <c r="M1614" s="5" t="n">
        <v>2479.5</v>
      </c>
      <c r="N1614" s="5" t="n"/>
      <c r="O1614" s="5">
        <f>+M1614+N1614</f>
        <v/>
      </c>
      <c r="P1614" s="4" t="n">
        <v>45828</v>
      </c>
      <c r="Q1614" s="87" t="n">
        <v>45828</v>
      </c>
      <c r="R1614" s="5" t="n">
        <v>2603</v>
      </c>
      <c r="S1614" s="2" t="n">
        <v>1</v>
      </c>
      <c r="T1614" s="3" t="inlineStr">
        <is>
          <t>CA04954OS</t>
        </is>
      </c>
      <c r="U1614" s="87" t="n">
        <v>45874</v>
      </c>
      <c r="V1614" s="3" t="inlineStr">
        <is>
          <t>26</t>
        </is>
      </c>
      <c r="W1614" s="4" t="n">
        <v>45874</v>
      </c>
      <c r="X1614" s="4" t="inlineStr">
        <is>
          <t>PHILIPPOS  CONSTANTINIDES
TRADING CO.LTD</t>
        </is>
      </c>
    </row>
    <row r="1615" ht="24" customHeight="1">
      <c r="A1615" s="2">
        <f>+D1615-S1615</f>
        <v/>
      </c>
      <c r="B1615" s="80" t="n">
        <v>3259</v>
      </c>
      <c r="C1615" s="66" t="n">
        <v>45833</v>
      </c>
      <c r="D1615" s="2" t="n">
        <v>1</v>
      </c>
      <c r="E1615" s="3" t="inlineStr">
        <is>
          <t>CANNA RIGATA</t>
        </is>
      </c>
      <c r="F1615" s="3" t="inlineStr">
        <is>
          <t>243 W</t>
        </is>
      </c>
      <c r="G1615" s="84" t="inlineStr">
        <is>
          <t>FAIR</t>
        </is>
      </c>
      <c r="H1615" s="65" t="inlineStr">
        <is>
          <t>ISIDE SAFARI 55 CM</t>
        </is>
      </c>
      <c r="I1615" s="65" t="inlineStr">
        <is>
          <t>N/D</t>
        </is>
      </c>
      <c r="J1615" s="65" t="inlineStr">
        <is>
          <t>011046</t>
        </is>
      </c>
      <c r="K1615" s="65" t="inlineStr">
        <is>
          <t>N/D</t>
        </is>
      </c>
      <c r="L1615" s="127" t="inlineStr">
        <is>
          <t>FAIR SRL</t>
        </is>
      </c>
      <c r="M1615" s="5" t="n">
        <v>1069.5</v>
      </c>
      <c r="N1615" s="5" t="n"/>
      <c r="O1615" s="5">
        <f>+M1615+N1615</f>
        <v/>
      </c>
      <c r="P1615" s="4" t="n">
        <v>45828</v>
      </c>
      <c r="Q1615" s="87" t="n">
        <v>45828</v>
      </c>
      <c r="R1615" s="5" t="n">
        <v>1124</v>
      </c>
      <c r="S1615" s="2" t="n">
        <v>1</v>
      </c>
      <c r="T1615" s="3" t="inlineStr">
        <is>
          <t>CA04954OS</t>
        </is>
      </c>
      <c r="U1615" s="87" t="n">
        <v>45874</v>
      </c>
      <c r="V1615" s="3" t="inlineStr">
        <is>
          <t>26</t>
        </is>
      </c>
      <c r="W1615" s="4" t="n">
        <v>45874</v>
      </c>
      <c r="X1615" s="4" t="inlineStr">
        <is>
          <t>PHILIPPOS  CONSTANTINIDES
TRADING CO.LTD</t>
        </is>
      </c>
    </row>
    <row r="1616" ht="24" customHeight="1">
      <c r="A1616" s="2">
        <f>+D1616-S1616</f>
        <v/>
      </c>
      <c r="B1616" s="80" t="n">
        <v>3260</v>
      </c>
      <c r="C1616" s="66" t="n">
        <v>45833</v>
      </c>
      <c r="D1616" s="2" t="n">
        <v>1</v>
      </c>
      <c r="E1616" s="3" t="inlineStr">
        <is>
          <t>CANNA PER FUCILE DOPPIETTA</t>
        </is>
      </c>
      <c r="F1616" s="3" t="inlineStr">
        <is>
          <t>20</t>
        </is>
      </c>
      <c r="G1616" s="84" t="inlineStr">
        <is>
          <t>FAIR</t>
        </is>
      </c>
      <c r="H1616" s="65" t="inlineStr">
        <is>
          <t>ISIDE SAFARI 61 CM</t>
        </is>
      </c>
      <c r="I1616" s="65" t="inlineStr">
        <is>
          <t>N/D</t>
        </is>
      </c>
      <c r="J1616" s="65" t="inlineStr">
        <is>
          <t>011048</t>
        </is>
      </c>
      <c r="K1616" s="65" t="inlineStr">
        <is>
          <t>N/D</t>
        </is>
      </c>
      <c r="L1616" s="127" t="inlineStr">
        <is>
          <t>FAIR SRL</t>
        </is>
      </c>
      <c r="M1616" s="5" t="n">
        <v>789</v>
      </c>
      <c r="N1616" s="5" t="n"/>
      <c r="O1616" s="5">
        <f>+M1616+N1616</f>
        <v/>
      </c>
      <c r="P1616" s="4" t="n">
        <v>45828</v>
      </c>
      <c r="Q1616" s="87" t="n">
        <v>45828</v>
      </c>
      <c r="R1616" s="5" t="n">
        <v>829</v>
      </c>
      <c r="S1616" s="2" t="n">
        <v>1</v>
      </c>
      <c r="T1616" s="3" t="inlineStr">
        <is>
          <t>CA04954OS</t>
        </is>
      </c>
      <c r="U1616" s="87" t="n">
        <v>45874</v>
      </c>
      <c r="V1616" s="3" t="inlineStr">
        <is>
          <t>25</t>
        </is>
      </c>
      <c r="W1616" s="4" t="n">
        <v>45874</v>
      </c>
      <c r="X1616" s="4" t="inlineStr">
        <is>
          <t>PHILIPPOS  CONSTANTINIDES
TRADING CO.LTD</t>
        </is>
      </c>
    </row>
    <row r="1617" ht="24" customHeight="1">
      <c r="A1617" s="2">
        <f>+D1617-S1617</f>
        <v/>
      </c>
      <c r="B1617" s="80" t="n">
        <v>3261</v>
      </c>
      <c r="C1617" s="66" t="n">
        <v>45833</v>
      </c>
      <c r="D1617" s="2" t="n">
        <v>1</v>
      </c>
      <c r="E1617" s="3" t="inlineStr">
        <is>
          <t>CANNA PER FUCILE DOPPIETTA</t>
        </is>
      </c>
      <c r="F1617" s="3" t="inlineStr">
        <is>
          <t>28</t>
        </is>
      </c>
      <c r="G1617" s="84" t="inlineStr">
        <is>
          <t>FAIR</t>
        </is>
      </c>
      <c r="H1617" s="65" t="inlineStr">
        <is>
          <t>ISIDE SAFARI 61 CM</t>
        </is>
      </c>
      <c r="I1617" s="65" t="inlineStr">
        <is>
          <t>N/D</t>
        </is>
      </c>
      <c r="J1617" s="65" t="inlineStr">
        <is>
          <t>011049</t>
        </is>
      </c>
      <c r="K1617" s="65" t="inlineStr">
        <is>
          <t>N/D</t>
        </is>
      </c>
      <c r="L1617" s="127" t="inlineStr">
        <is>
          <t>FAIR SRL</t>
        </is>
      </c>
      <c r="M1617" s="5" t="n">
        <v>804.5</v>
      </c>
      <c r="N1617" s="5" t="n"/>
      <c r="O1617" s="5">
        <f>+M1617+N1617</f>
        <v/>
      </c>
      <c r="P1617" s="4" t="n">
        <v>45828</v>
      </c>
      <c r="Q1617" s="87" t="n">
        <v>45828</v>
      </c>
      <c r="R1617" s="5" t="n">
        <v>776</v>
      </c>
      <c r="S1617" s="2" t="n">
        <v>1</v>
      </c>
      <c r="T1617" s="3" t="inlineStr">
        <is>
          <t>CA04954OS</t>
        </is>
      </c>
      <c r="U1617" s="87" t="n">
        <v>45874</v>
      </c>
      <c r="V1617" s="3" t="inlineStr">
        <is>
          <t>25</t>
        </is>
      </c>
      <c r="W1617" s="4" t="n">
        <v>45874</v>
      </c>
      <c r="X1617" s="4" t="inlineStr">
        <is>
          <t>PHILIPPOS  CONSTANTINIDES
TRADING CO.LTD</t>
        </is>
      </c>
    </row>
    <row r="1618" ht="24" customHeight="1">
      <c r="A1618" s="2">
        <f>+D1618-S1618</f>
        <v/>
      </c>
      <c r="B1618" s="80" t="n">
        <v>3262</v>
      </c>
      <c r="C1618" s="66" t="n">
        <v>45833</v>
      </c>
      <c r="D1618" s="2" t="n">
        <v>1</v>
      </c>
      <c r="E1618" s="3" t="inlineStr">
        <is>
          <t>FUCILE SOVRAPPOSTO</t>
        </is>
      </c>
      <c r="F1618" s="3" t="inlineStr">
        <is>
          <t>30.06SP</t>
        </is>
      </c>
      <c r="G1618" s="84" t="inlineStr">
        <is>
          <t>FAIR</t>
        </is>
      </c>
      <c r="H1618" s="65" t="inlineStr">
        <is>
          <t>SAFARI PRESTIGE 55 CM</t>
        </is>
      </c>
      <c r="I1618" s="65" t="inlineStr">
        <is>
          <t>364159</t>
        </is>
      </c>
      <c r="J1618" s="65" t="inlineStr">
        <is>
          <t>N/D</t>
        </is>
      </c>
      <c r="K1618" s="65" t="inlineStr">
        <is>
          <t>N/D</t>
        </is>
      </c>
      <c r="L1618" s="127" t="inlineStr">
        <is>
          <t>FAIR SRL</t>
        </is>
      </c>
      <c r="M1618" s="5" t="n">
        <v>2130.5</v>
      </c>
      <c r="N1618" s="5" t="n"/>
      <c r="O1618" s="5">
        <f>+M1618+N1618</f>
        <v/>
      </c>
      <c r="P1618" s="4" t="n">
        <v>45828</v>
      </c>
      <c r="Q1618" s="87" t="n">
        <v>45828</v>
      </c>
      <c r="R1618" s="5" t="n">
        <v>2236</v>
      </c>
      <c r="S1618" s="2" t="n">
        <v>1</v>
      </c>
      <c r="T1618" s="3" t="inlineStr">
        <is>
          <t>CA04954OS</t>
        </is>
      </c>
      <c r="U1618" s="87" t="n">
        <v>45874</v>
      </c>
      <c r="V1618" s="3" t="inlineStr">
        <is>
          <t>26</t>
        </is>
      </c>
      <c r="W1618" s="4" t="n">
        <v>45874</v>
      </c>
      <c r="X1618" s="4" t="inlineStr">
        <is>
          <t>PHILIPPOS  CONSTANTINIDES
TRADING CO.LTD</t>
        </is>
      </c>
    </row>
    <row r="1619" ht="24" customHeight="1">
      <c r="A1619" s="2">
        <f>+D1619-S1619</f>
        <v/>
      </c>
      <c r="B1619" s="80" t="n">
        <v>3263</v>
      </c>
      <c r="C1619" s="66" t="n">
        <v>45833</v>
      </c>
      <c r="D1619" s="2" t="n">
        <v>1</v>
      </c>
      <c r="E1619" s="3" t="inlineStr">
        <is>
          <t>CANNA PER FUCILE SOVRAPPOSTO</t>
        </is>
      </c>
      <c r="F1619" s="3" t="inlineStr">
        <is>
          <t>20</t>
        </is>
      </c>
      <c r="G1619" s="84" t="inlineStr">
        <is>
          <t>FAIR</t>
        </is>
      </c>
      <c r="H1619" s="65" t="inlineStr">
        <is>
          <t>SAFARI PRESTIGE 71 CM</t>
        </is>
      </c>
      <c r="I1619" s="65" t="inlineStr">
        <is>
          <t>N/D</t>
        </is>
      </c>
      <c r="J1619" s="65" t="inlineStr">
        <is>
          <t>011050</t>
        </is>
      </c>
      <c r="K1619" s="65" t="inlineStr">
        <is>
          <t>N/D</t>
        </is>
      </c>
      <c r="L1619" s="127" t="inlineStr">
        <is>
          <t>FAIR SRL</t>
        </is>
      </c>
      <c r="M1619" s="5" t="n">
        <v>569</v>
      </c>
      <c r="N1619" s="5" t="n"/>
      <c r="O1619" s="5">
        <f>+M1619+N1619</f>
        <v/>
      </c>
      <c r="P1619" s="4" t="n">
        <v>45828</v>
      </c>
      <c r="Q1619" s="87" t="n">
        <v>45828</v>
      </c>
      <c r="R1619" s="5" t="n">
        <v>660</v>
      </c>
      <c r="S1619" s="2" t="n">
        <v>1</v>
      </c>
      <c r="T1619" s="3" t="inlineStr">
        <is>
          <t>CA04954OS</t>
        </is>
      </c>
      <c r="U1619" s="87" t="n">
        <v>45874</v>
      </c>
      <c r="V1619" s="3" t="inlineStr">
        <is>
          <t>25</t>
        </is>
      </c>
      <c r="W1619" s="4" t="n">
        <v>45874</v>
      </c>
      <c r="X1619" s="4" t="inlineStr">
        <is>
          <t>PHILIPPOS  CONSTANTINIDES
TRADING CO.LTD</t>
        </is>
      </c>
    </row>
    <row r="1620" ht="24" customHeight="1">
      <c r="A1620" s="2">
        <f>+D1620-S1620</f>
        <v/>
      </c>
      <c r="B1620" s="80" t="n">
        <v>3264</v>
      </c>
      <c r="C1620" s="66" t="n">
        <v>45833</v>
      </c>
      <c r="D1620" s="2" t="n">
        <v>1</v>
      </c>
      <c r="E1620" s="3" t="inlineStr">
        <is>
          <t>CANNA PER FUCILE SOVRAPPOSTO</t>
        </is>
      </c>
      <c r="F1620" s="3" t="inlineStr">
        <is>
          <t>28</t>
        </is>
      </c>
      <c r="G1620" s="84" t="inlineStr">
        <is>
          <t>FAIR</t>
        </is>
      </c>
      <c r="H1620" s="65" t="inlineStr">
        <is>
          <t>SAFARI PRESTIGE 71 CM</t>
        </is>
      </c>
      <c r="I1620" s="65" t="inlineStr">
        <is>
          <t>N/D</t>
        </is>
      </c>
      <c r="J1620" s="65" t="inlineStr">
        <is>
          <t>011051</t>
        </is>
      </c>
      <c r="K1620" s="65" t="inlineStr">
        <is>
          <t>N/D</t>
        </is>
      </c>
      <c r="L1620" s="127" t="inlineStr">
        <is>
          <t>FAIR SRL</t>
        </is>
      </c>
      <c r="M1620" s="5" t="n">
        <v>629</v>
      </c>
      <c r="N1620" s="5" t="n"/>
      <c r="O1620" s="5">
        <f>+M1620+N1620</f>
        <v/>
      </c>
      <c r="P1620" s="4" t="n">
        <v>45828</v>
      </c>
      <c r="Q1620" s="87" t="n">
        <v>45828</v>
      </c>
      <c r="R1620" s="5" t="n">
        <v>597</v>
      </c>
      <c r="S1620" s="2" t="n">
        <v>1</v>
      </c>
      <c r="T1620" s="3" t="inlineStr">
        <is>
          <t>CA04954OS</t>
        </is>
      </c>
      <c r="U1620" s="87" t="n">
        <v>45874</v>
      </c>
      <c r="V1620" s="3" t="inlineStr">
        <is>
          <t>25</t>
        </is>
      </c>
      <c r="W1620" s="4" t="n">
        <v>45874</v>
      </c>
      <c r="X1620" s="4" t="inlineStr">
        <is>
          <t>PHILIPPOS  CONSTANTINIDES
TRADING CO.LTD</t>
        </is>
      </c>
    </row>
    <row r="1621" ht="24" customHeight="1">
      <c r="A1621" s="2">
        <f>+D1621-S1621</f>
        <v/>
      </c>
      <c r="B1621" s="80" t="n">
        <v>3265</v>
      </c>
      <c r="C1621" s="66" t="n">
        <v>45833</v>
      </c>
      <c r="D1621" s="2" t="n">
        <v>1</v>
      </c>
      <c r="E1621" s="3" t="inlineStr">
        <is>
          <t>FUCILE SOVRAPPOSTO</t>
        </is>
      </c>
      <c r="F1621" s="3" t="inlineStr">
        <is>
          <t>308 WIN</t>
        </is>
      </c>
      <c r="G1621" s="84" t="inlineStr">
        <is>
          <t>FAIR</t>
        </is>
      </c>
      <c r="H1621" s="65" t="inlineStr">
        <is>
          <t>SAFARI DELUXE TARTARUGA 55 CM</t>
        </is>
      </c>
      <c r="I1621" s="65" t="inlineStr">
        <is>
          <t>364160</t>
        </is>
      </c>
      <c r="J1621" s="65" t="inlineStr">
        <is>
          <t>N/D</t>
        </is>
      </c>
      <c r="K1621" s="65" t="inlineStr">
        <is>
          <t>N/D</t>
        </is>
      </c>
      <c r="L1621" s="127" t="inlineStr">
        <is>
          <t>FAIR SRL</t>
        </is>
      </c>
      <c r="M1621" s="5" t="n">
        <v>2080</v>
      </c>
      <c r="N1621" s="5" t="n"/>
      <c r="O1621" s="5">
        <f>+M1621+N1621</f>
        <v/>
      </c>
      <c r="P1621" s="4" t="n">
        <v>45828</v>
      </c>
      <c r="Q1621" s="87" t="n">
        <v>45828</v>
      </c>
      <c r="R1621" s="5" t="n">
        <v>2184</v>
      </c>
      <c r="S1621" s="2" t="n">
        <v>1</v>
      </c>
      <c r="T1621" s="3" t="inlineStr">
        <is>
          <t>CA04954OS</t>
        </is>
      </c>
      <c r="U1621" s="87" t="n">
        <v>45874</v>
      </c>
      <c r="V1621" s="3" t="inlineStr">
        <is>
          <t>26</t>
        </is>
      </c>
      <c r="W1621" s="4" t="n">
        <v>45874</v>
      </c>
      <c r="X1621" s="4" t="inlineStr">
        <is>
          <t>PHILIPPOS  CONSTANTINIDES
TRADING CO.LTD</t>
        </is>
      </c>
    </row>
    <row r="1622" ht="24" customHeight="1">
      <c r="A1622" s="2">
        <f>+D1622-S1622</f>
        <v/>
      </c>
      <c r="B1622" s="80" t="n">
        <v>3266</v>
      </c>
      <c r="C1622" s="66" t="n">
        <v>45833</v>
      </c>
      <c r="D1622" s="2" t="n">
        <v>1</v>
      </c>
      <c r="E1622" s="3" t="inlineStr">
        <is>
          <t>CANNA PER FUCILE SOVRAPPOSTO</t>
        </is>
      </c>
      <c r="F1622" s="3" t="inlineStr">
        <is>
          <t>20</t>
        </is>
      </c>
      <c r="G1622" s="84" t="inlineStr">
        <is>
          <t>FAIR</t>
        </is>
      </c>
      <c r="H1622" s="65" t="inlineStr">
        <is>
          <t>SAFARI DELUXE 66 CM</t>
        </is>
      </c>
      <c r="I1622" s="65" t="inlineStr">
        <is>
          <t>N/D</t>
        </is>
      </c>
      <c r="J1622" s="65" t="inlineStr">
        <is>
          <t>011052</t>
        </is>
      </c>
      <c r="K1622" s="65" t="inlineStr">
        <is>
          <t>N/D</t>
        </is>
      </c>
      <c r="L1622" s="127" t="inlineStr">
        <is>
          <t>FAIR SRL</t>
        </is>
      </c>
      <c r="M1622" s="5" t="n">
        <v>627</v>
      </c>
      <c r="N1622" s="5" t="n"/>
      <c r="O1622" s="5">
        <f>+M1622+N1622</f>
        <v/>
      </c>
      <c r="P1622" s="4" t="n">
        <v>45828</v>
      </c>
      <c r="Q1622" s="87" t="n">
        <v>45828</v>
      </c>
      <c r="R1622" s="5" t="n">
        <v>722</v>
      </c>
      <c r="S1622" s="2" t="n">
        <v>1</v>
      </c>
      <c r="T1622" s="3" t="inlineStr">
        <is>
          <t>CA04954OS</t>
        </is>
      </c>
      <c r="U1622" s="87" t="n">
        <v>45874</v>
      </c>
      <c r="V1622" s="3" t="inlineStr">
        <is>
          <t>25</t>
        </is>
      </c>
      <c r="W1622" s="4" t="n">
        <v>45874</v>
      </c>
      <c r="X1622" s="4" t="inlineStr">
        <is>
          <t>PHILIPPOS  CONSTANTINIDES
TRADING CO.LTD</t>
        </is>
      </c>
    </row>
    <row r="1623" ht="24" customHeight="1">
      <c r="A1623" s="2">
        <f>+D1623-S1623</f>
        <v/>
      </c>
      <c r="B1623" s="80" t="n">
        <v>3267</v>
      </c>
      <c r="C1623" s="66" t="n">
        <v>45833</v>
      </c>
      <c r="D1623" s="2" t="n">
        <v>1</v>
      </c>
      <c r="E1623" s="3" t="inlineStr">
        <is>
          <t>CANNA PER FUCILE SOVRAPPOSTO</t>
        </is>
      </c>
      <c r="F1623" s="3" t="inlineStr">
        <is>
          <t>28</t>
        </is>
      </c>
      <c r="G1623" s="84" t="inlineStr">
        <is>
          <t>FAIR</t>
        </is>
      </c>
      <c r="H1623" s="65" t="inlineStr">
        <is>
          <t>SAFARI DELUXE 66 CM</t>
        </is>
      </c>
      <c r="I1623" s="65" t="inlineStr">
        <is>
          <t>N/D</t>
        </is>
      </c>
      <c r="J1623" s="65" t="inlineStr">
        <is>
          <t>011053</t>
        </is>
      </c>
      <c r="K1623" s="65" t="inlineStr">
        <is>
          <t>N/D</t>
        </is>
      </c>
      <c r="L1623" s="127" t="inlineStr">
        <is>
          <t>FAIR SRL</t>
        </is>
      </c>
      <c r="M1623" s="5" t="n">
        <v>687.5</v>
      </c>
      <c r="N1623" s="5" t="n"/>
      <c r="O1623" s="5">
        <f>+M1623+N1623</f>
        <v/>
      </c>
      <c r="P1623" s="4" t="n">
        <v>45828</v>
      </c>
      <c r="Q1623" s="87" t="n">
        <v>45828</v>
      </c>
      <c r="R1623" s="5" t="n">
        <v>659</v>
      </c>
      <c r="S1623" s="2" t="n">
        <v>1</v>
      </c>
      <c r="T1623" s="3" t="inlineStr">
        <is>
          <t>CA04954OS</t>
        </is>
      </c>
      <c r="U1623" s="87" t="n">
        <v>45874</v>
      </c>
      <c r="V1623" s="3" t="inlineStr">
        <is>
          <t>25</t>
        </is>
      </c>
      <c r="W1623" s="4" t="n">
        <v>45874</v>
      </c>
      <c r="X1623" s="4" t="inlineStr">
        <is>
          <t>PHILIPPOS  CONSTANTINIDES
TRADING CO.LTD</t>
        </is>
      </c>
    </row>
    <row r="1624" ht="24" customHeight="1">
      <c r="A1624" s="2">
        <f>+D1624-S1624</f>
        <v/>
      </c>
      <c r="B1624" s="80" t="n">
        <v>3268</v>
      </c>
      <c r="C1624" s="66" t="n">
        <v>45833</v>
      </c>
      <c r="D1624" s="2" t="n">
        <v>1</v>
      </c>
      <c r="E1624" s="3" t="inlineStr">
        <is>
          <t>FUCILE SOVRAPPOSTO</t>
        </is>
      </c>
      <c r="F1624" s="3" t="inlineStr">
        <is>
          <t>20</t>
        </is>
      </c>
      <c r="G1624" s="84" t="inlineStr">
        <is>
          <t>FAIR</t>
        </is>
      </c>
      <c r="H1624" s="65" t="inlineStr">
        <is>
          <t>JUBILEE TARTARUGA 66 CM</t>
        </is>
      </c>
      <c r="I1624" s="65" t="inlineStr">
        <is>
          <t>364161</t>
        </is>
      </c>
      <c r="J1624" s="65" t="inlineStr">
        <is>
          <t>N/D</t>
        </is>
      </c>
      <c r="K1624" s="65" t="inlineStr">
        <is>
          <t>N/D</t>
        </is>
      </c>
      <c r="L1624" s="127" t="inlineStr">
        <is>
          <t>FAIR SRL</t>
        </is>
      </c>
      <c r="M1624" s="5" t="n">
        <v>1190.5</v>
      </c>
      <c r="N1624" s="5" t="n"/>
      <c r="O1624" s="5">
        <f>+M1624+N1624</f>
        <v/>
      </c>
      <c r="P1624" s="4" t="n">
        <v>45828</v>
      </c>
      <c r="Q1624" s="87" t="n">
        <v>45828</v>
      </c>
      <c r="R1624" s="5" t="n">
        <v>1232</v>
      </c>
      <c r="S1624" s="2" t="n">
        <v>1</v>
      </c>
      <c r="T1624" s="3" t="inlineStr">
        <is>
          <t>CA04954OS</t>
        </is>
      </c>
      <c r="U1624" s="87" t="n">
        <v>45874</v>
      </c>
      <c r="V1624" s="3" t="inlineStr">
        <is>
          <t>25</t>
        </is>
      </c>
      <c r="W1624" s="4" t="n">
        <v>45874</v>
      </c>
      <c r="X1624" s="4" t="inlineStr">
        <is>
          <t>PHILIPPOS  CONSTANTINIDES
TRADING CO.LTD</t>
        </is>
      </c>
    </row>
    <row r="1625" ht="24" customHeight="1">
      <c r="A1625" s="2">
        <f>+D1625-S1625</f>
        <v/>
      </c>
      <c r="B1625" s="80" t="n">
        <v>3269</v>
      </c>
      <c r="C1625" s="66" t="n">
        <v>45833</v>
      </c>
      <c r="D1625" s="2" t="n">
        <v>1</v>
      </c>
      <c r="E1625" s="3" t="inlineStr">
        <is>
          <t>CANNA PER FUCILE SOVRAPPOSTO</t>
        </is>
      </c>
      <c r="F1625" s="3" t="inlineStr">
        <is>
          <t>28</t>
        </is>
      </c>
      <c r="G1625" s="84" t="inlineStr">
        <is>
          <t>FAIR</t>
        </is>
      </c>
      <c r="H1625" s="65" t="inlineStr">
        <is>
          <t>JUBILEE TARTARUGA 66 CM</t>
        </is>
      </c>
      <c r="I1625" s="65" t="inlineStr">
        <is>
          <t>N/D</t>
        </is>
      </c>
      <c r="J1625" s="65" t="inlineStr">
        <is>
          <t>011054</t>
        </is>
      </c>
      <c r="K1625" s="65" t="inlineStr">
        <is>
          <t>N/D</t>
        </is>
      </c>
      <c r="L1625" s="127" t="inlineStr">
        <is>
          <t>FAIR SRL</t>
        </is>
      </c>
      <c r="M1625" s="5" t="n">
        <v>740</v>
      </c>
      <c r="N1625" s="5" t="n"/>
      <c r="O1625" s="5">
        <f>+M1625+N1625</f>
        <v/>
      </c>
      <c r="P1625" s="4" t="n">
        <v>45828</v>
      </c>
      <c r="Q1625" s="87" t="n">
        <v>45828</v>
      </c>
      <c r="R1625" s="5" t="n">
        <v>776</v>
      </c>
      <c r="S1625" s="2" t="n">
        <v>1</v>
      </c>
      <c r="T1625" s="3" t="inlineStr">
        <is>
          <t>CA04954OS</t>
        </is>
      </c>
      <c r="U1625" s="87" t="n">
        <v>45874</v>
      </c>
      <c r="V1625" s="3" t="inlineStr">
        <is>
          <t>25</t>
        </is>
      </c>
      <c r="W1625" s="4" t="n">
        <v>45874</v>
      </c>
      <c r="X1625" s="4" t="inlineStr">
        <is>
          <t>PHILIPPOS  CONSTANTINIDES
TRADING CO.LTD</t>
        </is>
      </c>
    </row>
    <row r="1626" ht="24" customHeight="1">
      <c r="A1626" s="2">
        <f>+D1626-S1626</f>
        <v/>
      </c>
      <c r="B1626" s="80" t="n">
        <v>3270</v>
      </c>
      <c r="C1626" s="66" t="n">
        <v>45833</v>
      </c>
      <c r="D1626" s="2" t="n">
        <v>1</v>
      </c>
      <c r="E1626" s="3" t="inlineStr">
        <is>
          <t>FUCILE SOVRAPPOSTO</t>
        </is>
      </c>
      <c r="F1626" s="3" t="inlineStr">
        <is>
          <t>12</t>
        </is>
      </c>
      <c r="G1626" s="84" t="inlineStr">
        <is>
          <t>FAIR</t>
        </is>
      </c>
      <c r="H1626" s="65" t="inlineStr">
        <is>
          <t>JUBILEE TARTARUGA 66 CM</t>
        </is>
      </c>
      <c r="I1626" s="65" t="inlineStr">
        <is>
          <t>364162</t>
        </is>
      </c>
      <c r="J1626" s="65" t="inlineStr">
        <is>
          <t>N/D</t>
        </is>
      </c>
      <c r="K1626" s="65" t="inlineStr">
        <is>
          <t>N/D</t>
        </is>
      </c>
      <c r="L1626" s="127" t="inlineStr">
        <is>
          <t>FAIR SRL</t>
        </is>
      </c>
      <c r="M1626" s="5" t="n">
        <v>1174.5</v>
      </c>
      <c r="N1626" s="5" t="n"/>
      <c r="O1626" s="5">
        <f>+M1626+N1626</f>
        <v/>
      </c>
      <c r="P1626" s="4" t="n">
        <v>45828</v>
      </c>
      <c r="Q1626" s="87" t="n">
        <v>45828</v>
      </c>
      <c r="R1626" s="5" t="n">
        <v>1232</v>
      </c>
      <c r="S1626" s="2" t="n">
        <v>1</v>
      </c>
      <c r="T1626" s="3" t="inlineStr">
        <is>
          <t>CA04954OS</t>
        </is>
      </c>
      <c r="U1626" s="87" t="n">
        <v>45874</v>
      </c>
      <c r="V1626" s="3" t="inlineStr">
        <is>
          <t>25</t>
        </is>
      </c>
      <c r="W1626" s="4" t="n">
        <v>45874</v>
      </c>
      <c r="X1626" s="4" t="inlineStr">
        <is>
          <t>PHILIPPOS  CONSTANTINIDES
TRADING CO.LTD</t>
        </is>
      </c>
    </row>
    <row r="1627" ht="24" customHeight="1">
      <c r="A1627" s="2">
        <f>+D1627-S1627</f>
        <v/>
      </c>
      <c r="B1627" s="80" t="n">
        <v>3271</v>
      </c>
      <c r="C1627" s="66" t="n">
        <v>45833</v>
      </c>
      <c r="D1627" s="2" t="n">
        <v>1</v>
      </c>
      <c r="E1627" s="3" t="inlineStr">
        <is>
          <t>FUCILE SOVRAPPOSTO</t>
        </is>
      </c>
      <c r="F1627" s="3" t="inlineStr">
        <is>
          <t>20</t>
        </is>
      </c>
      <c r="G1627" s="3" t="inlineStr">
        <is>
          <t>FAIR</t>
        </is>
      </c>
      <c r="H1627" s="65" t="inlineStr">
        <is>
          <t>JUBILEE TARTARUGA 66 CM</t>
        </is>
      </c>
      <c r="I1627" s="65" t="inlineStr">
        <is>
          <t>364163</t>
        </is>
      </c>
      <c r="J1627" s="65" t="inlineStr">
        <is>
          <t>N/D</t>
        </is>
      </c>
      <c r="K1627" s="65" t="inlineStr">
        <is>
          <t>N/D</t>
        </is>
      </c>
      <c r="L1627" s="127" t="inlineStr">
        <is>
          <t>FAIR SRL</t>
        </is>
      </c>
      <c r="M1627" s="5" t="n">
        <v>1182.5</v>
      </c>
      <c r="N1627" s="5" t="n"/>
      <c r="O1627" s="5">
        <f>+M1627+N1627</f>
        <v/>
      </c>
      <c r="P1627" s="4" t="n">
        <v>45828</v>
      </c>
      <c r="Q1627" s="87" t="n">
        <v>45828</v>
      </c>
      <c r="R1627" s="5" t="n">
        <v>1232</v>
      </c>
      <c r="S1627" s="2" t="n">
        <v>1</v>
      </c>
      <c r="T1627" s="3" t="inlineStr">
        <is>
          <t>CA04954OS</t>
        </is>
      </c>
      <c r="U1627" s="87" t="n">
        <v>45874</v>
      </c>
      <c r="V1627" s="3" t="inlineStr">
        <is>
          <t>25</t>
        </is>
      </c>
      <c r="W1627" s="4" t="n">
        <v>45874</v>
      </c>
      <c r="X1627" s="4" t="inlineStr">
        <is>
          <t>PHILIPPOS  CONSTANTINIDES
TRADING CO.LTD</t>
        </is>
      </c>
    </row>
    <row r="1628" ht="24" customHeight="1">
      <c r="A1628" s="2">
        <f>+D1628-S1628</f>
        <v/>
      </c>
      <c r="B1628" s="80" t="n">
        <v>3272</v>
      </c>
      <c r="C1628" s="66" t="n">
        <v>45833</v>
      </c>
      <c r="D1628" s="2" t="n">
        <v>1</v>
      </c>
      <c r="E1628" s="3" t="inlineStr">
        <is>
          <t>CANNA PER FUCILE SOVRAPPOSTO</t>
        </is>
      </c>
      <c r="F1628" s="3" t="inlineStr">
        <is>
          <t>28</t>
        </is>
      </c>
      <c r="G1628" s="3" t="inlineStr">
        <is>
          <t>FAIR</t>
        </is>
      </c>
      <c r="H1628" s="65" t="inlineStr">
        <is>
          <t>JUBILEE TARTARUGA 66 CM</t>
        </is>
      </c>
      <c r="I1628" s="65" t="inlineStr">
        <is>
          <t>N/D</t>
        </is>
      </c>
      <c r="J1628" s="65" t="inlineStr">
        <is>
          <t>011055</t>
        </is>
      </c>
      <c r="K1628" s="65" t="inlineStr">
        <is>
          <t>N/D</t>
        </is>
      </c>
      <c r="L1628" s="127" t="inlineStr">
        <is>
          <t>FAIR SRL</t>
        </is>
      </c>
      <c r="M1628" s="5" t="n">
        <v>739.5</v>
      </c>
      <c r="N1628" s="5" t="n"/>
      <c r="O1628" s="5">
        <f>+M1628+N1628</f>
        <v/>
      </c>
      <c r="P1628" s="4" t="n">
        <v>45828</v>
      </c>
      <c r="Q1628" s="87" t="n">
        <v>45828</v>
      </c>
      <c r="R1628" s="5" t="n">
        <v>776</v>
      </c>
      <c r="S1628" s="2" t="n">
        <v>1</v>
      </c>
      <c r="T1628" s="3" t="inlineStr">
        <is>
          <t>CA04954OS</t>
        </is>
      </c>
      <c r="U1628" s="87" t="n">
        <v>45874</v>
      </c>
      <c r="V1628" s="3" t="inlineStr">
        <is>
          <t>25</t>
        </is>
      </c>
      <c r="W1628" s="4" t="n">
        <v>45874</v>
      </c>
      <c r="X1628" s="4" t="inlineStr">
        <is>
          <t>PHILIPPOS  CONSTANTINIDES
TRADING CO.LTD</t>
        </is>
      </c>
    </row>
    <row r="1629" ht="24" customHeight="1">
      <c r="A1629" s="2">
        <f>+D1629-S1629</f>
        <v/>
      </c>
      <c r="B1629" s="80" t="n">
        <v>3273</v>
      </c>
      <c r="C1629" s="66" t="n">
        <v>45833</v>
      </c>
      <c r="D1629" s="2" t="n">
        <v>1</v>
      </c>
      <c r="E1629" s="3" t="inlineStr">
        <is>
          <t>FUCILE DOPPIETTA</t>
        </is>
      </c>
      <c r="F1629" s="3" t="inlineStr">
        <is>
          <t>20</t>
        </is>
      </c>
      <c r="G1629" s="3" t="inlineStr">
        <is>
          <t>FAIR</t>
        </is>
      </c>
      <c r="H1629" s="65" t="inlineStr">
        <is>
          <t>ISIDE PRESTIGE 71 CM</t>
        </is>
      </c>
      <c r="I1629" s="65" t="inlineStr">
        <is>
          <t>361199</t>
        </is>
      </c>
      <c r="J1629" s="65" t="inlineStr">
        <is>
          <t>N/D</t>
        </is>
      </c>
      <c r="K1629" s="65" t="inlineStr">
        <is>
          <t>N/D</t>
        </is>
      </c>
      <c r="L1629" s="127" t="inlineStr">
        <is>
          <t>FAIR SRL</t>
        </is>
      </c>
      <c r="M1629" s="5" t="n">
        <v>1262</v>
      </c>
      <c r="N1629" s="5" t="n"/>
      <c r="O1629" s="5">
        <f>+M1629+N1629</f>
        <v/>
      </c>
      <c r="P1629" s="4" t="n">
        <v>45828</v>
      </c>
      <c r="Q1629" s="87" t="n">
        <v>45828</v>
      </c>
      <c r="R1629" s="5" t="n"/>
      <c r="S1629" s="2" t="n"/>
      <c r="T1629" s="3" t="n"/>
      <c r="U1629" s="87" t="n"/>
      <c r="V1629" s="3" t="n"/>
      <c r="W1629" s="108" t="n"/>
      <c r="X1629" s="4" t="n"/>
    </row>
    <row r="1630" ht="24" customHeight="1">
      <c r="A1630" s="2">
        <f>+D1630-S1630</f>
        <v/>
      </c>
      <c r="B1630" s="80" t="n">
        <v>3274</v>
      </c>
      <c r="C1630" s="66" t="n">
        <v>45833</v>
      </c>
      <c r="D1630" s="2" t="n">
        <v>1</v>
      </c>
      <c r="E1630" s="3" t="inlineStr">
        <is>
          <t>FUCILE SOVRAPPOSTO</t>
        </is>
      </c>
      <c r="F1630" s="3" t="inlineStr">
        <is>
          <t>20</t>
        </is>
      </c>
      <c r="G1630" s="3" t="inlineStr">
        <is>
          <t>FAIR</t>
        </is>
      </c>
      <c r="H1630" s="65" t="inlineStr">
        <is>
          <t>PREMIER EM 71CM</t>
        </is>
      </c>
      <c r="I1630" s="65" t="inlineStr">
        <is>
          <t>349422</t>
        </is>
      </c>
      <c r="J1630" s="65" t="inlineStr">
        <is>
          <t>N/D</t>
        </is>
      </c>
      <c r="K1630" s="65" t="inlineStr">
        <is>
          <t>N/D</t>
        </is>
      </c>
      <c r="L1630" s="127" t="inlineStr">
        <is>
          <t>FAIR SRL</t>
        </is>
      </c>
      <c r="M1630" s="5" t="n">
        <v>750.5</v>
      </c>
      <c r="N1630" s="5" t="n"/>
      <c r="O1630" s="5">
        <f>+M1630+N1630</f>
        <v/>
      </c>
      <c r="P1630" s="4" t="n">
        <v>45828</v>
      </c>
      <c r="Q1630" s="87" t="n">
        <v>45828</v>
      </c>
      <c r="R1630" s="5" t="n"/>
      <c r="S1630" s="2" t="n"/>
      <c r="T1630" s="3" t="n"/>
      <c r="U1630" s="87" t="n"/>
      <c r="V1630" s="3" t="n"/>
      <c r="W1630" s="108" t="n"/>
      <c r="X1630" s="4" t="n"/>
    </row>
    <row r="1631" ht="24" customHeight="1">
      <c r="A1631" s="2">
        <f>+D1631-S1631</f>
        <v/>
      </c>
      <c r="B1631" s="80" t="n">
        <v>3275</v>
      </c>
      <c r="C1631" s="66" t="n">
        <v>45833</v>
      </c>
      <c r="D1631" s="2" t="n">
        <v>1</v>
      </c>
      <c r="E1631" s="3" t="inlineStr">
        <is>
          <t>FUCILE SOVRAPPOSTO</t>
        </is>
      </c>
      <c r="F1631" s="3" t="inlineStr">
        <is>
          <t>12</t>
        </is>
      </c>
      <c r="G1631" s="3" t="inlineStr">
        <is>
          <t>R.F.M</t>
        </is>
      </c>
      <c r="H1631" s="65" t="inlineStr">
        <is>
          <t>SM ONE</t>
        </is>
      </c>
      <c r="I1631" s="65" t="inlineStr">
        <is>
          <t>7531</t>
        </is>
      </c>
      <c r="J1631" s="65" t="inlineStr">
        <is>
          <t>N/D</t>
        </is>
      </c>
      <c r="K1631" s="65" t="inlineStr">
        <is>
          <t>N/D</t>
        </is>
      </c>
      <c r="L1631" s="127" t="inlineStr">
        <is>
          <t>R.F.M</t>
        </is>
      </c>
      <c r="M1631" s="5" t="n">
        <v>1985.25</v>
      </c>
      <c r="N1631" s="5" t="n"/>
      <c r="O1631" s="5">
        <f>+M1631+N1631</f>
        <v/>
      </c>
      <c r="P1631" s="4" t="n">
        <v>45802</v>
      </c>
      <c r="Q1631" s="87" t="n">
        <v>45833</v>
      </c>
      <c r="R1631" s="5" t="n">
        <v>2085</v>
      </c>
      <c r="S1631" s="2" t="n">
        <v>1</v>
      </c>
      <c r="T1631" s="3" t="inlineStr">
        <is>
          <t>CA04954OS</t>
        </is>
      </c>
      <c r="U1631" s="87" t="n">
        <v>45874</v>
      </c>
      <c r="V1631" s="3" t="inlineStr">
        <is>
          <t>25</t>
        </is>
      </c>
      <c r="W1631" s="4" t="n">
        <v>45874</v>
      </c>
      <c r="X1631" s="4" t="inlineStr">
        <is>
          <t>PHILIPPOS  CONSTANTINIDES
TRADING CO.LTD</t>
        </is>
      </c>
    </row>
    <row r="1632" ht="24" customHeight="1">
      <c r="A1632" s="2">
        <f>+D1632-S1632</f>
        <v/>
      </c>
      <c r="B1632" s="80" t="n">
        <v>3276</v>
      </c>
      <c r="C1632" s="66" t="n">
        <v>45838</v>
      </c>
      <c r="D1632" s="2" t="n">
        <v>1</v>
      </c>
      <c r="E1632" s="3" t="inlineStr">
        <is>
          <t>FUCILE SOVRAPPOSTO</t>
        </is>
      </c>
      <c r="F1632" s="3" t="inlineStr">
        <is>
          <t>410</t>
        </is>
      </c>
      <c r="G1632" s="3" t="inlineStr">
        <is>
          <t>BERETTA</t>
        </is>
      </c>
      <c r="H1632" s="65" t="inlineStr">
        <is>
          <t>SILVER PIGEON 1 SPORT</t>
        </is>
      </c>
      <c r="I1632" s="65" t="inlineStr">
        <is>
          <t>F99894X</t>
        </is>
      </c>
      <c r="J1632" s="65" t="inlineStr">
        <is>
          <t>N/D</t>
        </is>
      </c>
      <c r="K1632" s="65" t="inlineStr">
        <is>
          <t>N/D</t>
        </is>
      </c>
      <c r="L1632" s="127" t="inlineStr">
        <is>
          <t>ARMERIA BRIGNOLI SILVIO &amp; C SNC</t>
        </is>
      </c>
      <c r="M1632" s="5" t="n">
        <v>1320</v>
      </c>
      <c r="N1632" s="5" t="n"/>
      <c r="O1632" s="5">
        <f>+M1632+N1632</f>
        <v/>
      </c>
      <c r="P1632" s="4" t="n">
        <v>45838</v>
      </c>
      <c r="Q1632" s="87" t="n">
        <v>45838</v>
      </c>
      <c r="R1632" s="5" t="n">
        <v>133</v>
      </c>
      <c r="S1632" s="2" t="n">
        <v>1</v>
      </c>
      <c r="T1632" s="3" t="inlineStr">
        <is>
          <t>CA42796IR</t>
        </is>
      </c>
      <c r="U1632" s="87" t="n">
        <v>45887</v>
      </c>
      <c r="V1632" s="3" t="inlineStr">
        <is>
          <t>28</t>
        </is>
      </c>
      <c r="W1632" s="108" t="n">
        <v>45887</v>
      </c>
      <c r="X1632" s="4" t="inlineStr">
        <is>
          <t>PHILIPPOS  CONSTANTINIDES
TRADING CO.LTD</t>
        </is>
      </c>
    </row>
    <row r="1633" ht="24" customHeight="1">
      <c r="A1633" s="2">
        <f>+D1633-S1633</f>
        <v/>
      </c>
      <c r="B1633" s="80" t="n">
        <v>3277</v>
      </c>
      <c r="C1633" s="66" t="n">
        <v>45838</v>
      </c>
      <c r="D1633" s="2" t="n">
        <v>1</v>
      </c>
      <c r="E1633" s="3" t="inlineStr">
        <is>
          <t>FUCILE SOVRAPPOSTO</t>
        </is>
      </c>
      <c r="F1633" s="3" t="inlineStr">
        <is>
          <t>410</t>
        </is>
      </c>
      <c r="G1633" s="3" t="inlineStr">
        <is>
          <t>BERETTA</t>
        </is>
      </c>
      <c r="H1633" s="65" t="inlineStr">
        <is>
          <t>SILVER PIGEON 1 SPORT</t>
        </is>
      </c>
      <c r="I1633" s="65" t="inlineStr">
        <is>
          <t>L07127X</t>
        </is>
      </c>
      <c r="J1633" s="65" t="inlineStr">
        <is>
          <t>N/D</t>
        </is>
      </c>
      <c r="K1633" s="65" t="inlineStr">
        <is>
          <t>N/D</t>
        </is>
      </c>
      <c r="L1633" s="127" t="inlineStr">
        <is>
          <t>ARMERIA BRIGNOLI SILVIO &amp; C SNC</t>
        </is>
      </c>
      <c r="M1633" s="5" t="n">
        <v>1320</v>
      </c>
      <c r="N1633" s="5" t="n"/>
      <c r="O1633" s="5">
        <f>+M1633+N1633</f>
        <v/>
      </c>
      <c r="P1633" s="4" t="n">
        <v>45838</v>
      </c>
      <c r="Q1633" s="87" t="n">
        <v>45838</v>
      </c>
      <c r="R1633" s="5" t="n">
        <v>133</v>
      </c>
      <c r="S1633" s="2" t="n">
        <v>1</v>
      </c>
      <c r="T1633" s="3" t="inlineStr">
        <is>
          <t>CA42796IR</t>
        </is>
      </c>
      <c r="U1633" s="87" t="n">
        <v>45887</v>
      </c>
      <c r="V1633" s="3" t="inlineStr">
        <is>
          <t>28</t>
        </is>
      </c>
      <c r="W1633" s="108" t="n">
        <v>45887</v>
      </c>
      <c r="X1633" s="4" t="inlineStr">
        <is>
          <t>PHILIPPOS  CONSTANTINIDES
TRADING CO.LTD</t>
        </is>
      </c>
    </row>
    <row r="1634" ht="24" customHeight="1">
      <c r="A1634" s="2">
        <f>+D1634-S1634</f>
        <v/>
      </c>
      <c r="B1634" s="80" t="n">
        <v>3278</v>
      </c>
      <c r="C1634" s="66" t="n">
        <v>45838</v>
      </c>
      <c r="D1634" s="2" t="n">
        <v>1</v>
      </c>
      <c r="E1634" s="3" t="inlineStr">
        <is>
          <t>FUCILE SOVRAPPOSTO</t>
        </is>
      </c>
      <c r="F1634" s="3" t="inlineStr">
        <is>
          <t>410</t>
        </is>
      </c>
      <c r="G1634" s="3" t="inlineStr">
        <is>
          <t>BERETTA</t>
        </is>
      </c>
      <c r="H1634" s="65" t="inlineStr">
        <is>
          <t>SILVER PIGEON 1 SPORT</t>
        </is>
      </c>
      <c r="I1634" s="65" t="inlineStr">
        <is>
          <t>L07840X</t>
        </is>
      </c>
      <c r="J1634" s="65" t="inlineStr">
        <is>
          <t>N/D</t>
        </is>
      </c>
      <c r="K1634" s="65" t="inlineStr">
        <is>
          <t>N/D</t>
        </is>
      </c>
      <c r="L1634" s="127" t="inlineStr">
        <is>
          <t>ARMERIA BRIGNOLI SILVIO &amp; C SNC</t>
        </is>
      </c>
      <c r="M1634" s="5" t="n">
        <v>1320</v>
      </c>
      <c r="N1634" s="5" t="n"/>
      <c r="O1634" s="5">
        <f>+M1634+N1634</f>
        <v/>
      </c>
      <c r="P1634" s="4" t="n">
        <v>45838</v>
      </c>
      <c r="Q1634" s="87" t="n">
        <v>45838</v>
      </c>
      <c r="R1634" s="5" t="n">
        <v>133</v>
      </c>
      <c r="S1634" s="2" t="n">
        <v>1</v>
      </c>
      <c r="T1634" s="3" t="inlineStr">
        <is>
          <t>CA42796IR</t>
        </is>
      </c>
      <c r="U1634" s="87" t="n">
        <v>45887</v>
      </c>
      <c r="V1634" s="3" t="inlineStr">
        <is>
          <t>28</t>
        </is>
      </c>
      <c r="W1634" s="108" t="n">
        <v>45887</v>
      </c>
      <c r="X1634" s="4" t="inlineStr">
        <is>
          <t>PHILIPPOS  CONSTANTINIDES
TRADING CO.LTD</t>
        </is>
      </c>
    </row>
    <row r="1635" ht="24" customHeight="1">
      <c r="A1635" s="2">
        <f>+D1635-S1635</f>
        <v/>
      </c>
      <c r="B1635" s="80" t="n"/>
      <c r="C1635" s="66" t="n">
        <v>45838</v>
      </c>
      <c r="D1635" s="2" t="n">
        <v>1</v>
      </c>
      <c r="E1635" s="3" t="inlineStr">
        <is>
          <t>ACCESSORI</t>
        </is>
      </c>
      <c r="F1635" s="3" t="inlineStr">
        <is>
          <t>308 WIN</t>
        </is>
      </c>
      <c r="G1635" s="3" t="inlineStr">
        <is>
          <t>N/D</t>
        </is>
      </c>
      <c r="H1635" s="65" t="inlineStr">
        <is>
          <t>CARICATORI  Brx1</t>
        </is>
      </c>
      <c r="I1635" s="65" t="inlineStr">
        <is>
          <t>N/D</t>
        </is>
      </c>
      <c r="J1635" s="65" t="inlineStr">
        <is>
          <t>N/D</t>
        </is>
      </c>
      <c r="K1635" s="65" t="inlineStr">
        <is>
          <t>N/D</t>
        </is>
      </c>
      <c r="L1635" s="127" t="inlineStr">
        <is>
          <t>ARMERIA BRIGNOLI SILVIO &amp; C SNC</t>
        </is>
      </c>
      <c r="M1635" s="5" t="n">
        <v>34</v>
      </c>
      <c r="N1635" s="5" t="n"/>
      <c r="O1635" s="5">
        <f>+M1635+N1635</f>
        <v/>
      </c>
      <c r="P1635" s="4" t="n">
        <v>45838</v>
      </c>
      <c r="Q1635" s="87" t="n">
        <v>45838</v>
      </c>
      <c r="R1635" s="5" t="n">
        <v>37.5</v>
      </c>
      <c r="S1635" s="2" t="n">
        <v>1</v>
      </c>
      <c r="T1635" s="3" t="inlineStr">
        <is>
          <t>CA04954OS</t>
        </is>
      </c>
      <c r="U1635" s="87" t="n">
        <v>45874</v>
      </c>
      <c r="V1635" s="3" t="inlineStr">
        <is>
          <t>26</t>
        </is>
      </c>
      <c r="W1635" s="4" t="n">
        <v>45874</v>
      </c>
      <c r="X1635" s="4" t="inlineStr">
        <is>
          <t>PHILIPPOS  CONSTANTINIDES
TRADING CO.LTD</t>
        </is>
      </c>
    </row>
    <row r="1636" ht="24" customHeight="1">
      <c r="A1636" s="2">
        <f>+D1636-S1636</f>
        <v/>
      </c>
      <c r="B1636" s="80" t="n">
        <v>3279</v>
      </c>
      <c r="C1636" s="66" t="n">
        <v>45838</v>
      </c>
      <c r="D1636" s="2" t="n">
        <v>1</v>
      </c>
      <c r="E1636" s="3" t="inlineStr">
        <is>
          <t>PISTOLA SEMIAUTOMATICA</t>
        </is>
      </c>
      <c r="F1636" s="3" t="inlineStr">
        <is>
          <t>9x19</t>
        </is>
      </c>
      <c r="G1636" s="3" t="inlineStr">
        <is>
          <t>BERETTA</t>
        </is>
      </c>
      <c r="H1636" s="65" t="inlineStr">
        <is>
          <t>92 FS INOX</t>
        </is>
      </c>
      <c r="I1636" s="65" t="inlineStr">
        <is>
          <t>A316012Z</t>
        </is>
      </c>
      <c r="J1636" s="65" t="inlineStr">
        <is>
          <t>N/D</t>
        </is>
      </c>
      <c r="K1636" s="65" t="inlineStr">
        <is>
          <t>N/D</t>
        </is>
      </c>
      <c r="L1636" s="127" t="inlineStr">
        <is>
          <t>ARMERIA BRIGNOLI SILVIO &amp; C SNC</t>
        </is>
      </c>
      <c r="M1636" s="5" t="n">
        <v>720</v>
      </c>
      <c r="N1636" s="5" t="n"/>
      <c r="O1636" s="5">
        <f>+M1636+N1636</f>
        <v/>
      </c>
      <c r="P1636" s="4" t="n">
        <v>45838</v>
      </c>
      <c r="Q1636" s="87" t="n">
        <v>45838</v>
      </c>
      <c r="R1636" s="5" t="n">
        <v>756</v>
      </c>
      <c r="S1636" s="2" t="n">
        <v>1</v>
      </c>
      <c r="T1636" s="3" t="inlineStr">
        <is>
          <t>CA04954OS</t>
        </is>
      </c>
      <c r="U1636" s="87" t="n">
        <v>45874</v>
      </c>
      <c r="V1636" s="3" t="inlineStr">
        <is>
          <t>25</t>
        </is>
      </c>
      <c r="W1636" s="4" t="n">
        <v>45874</v>
      </c>
      <c r="X1636" s="4" t="inlineStr">
        <is>
          <t>PHILIPPOS  CONSTANTINIDES
TRADING CO.LTD</t>
        </is>
      </c>
    </row>
    <row r="1637" ht="24" customHeight="1">
      <c r="A1637" s="2">
        <f>+D1637-S1637</f>
        <v/>
      </c>
      <c r="B1637" s="80" t="n">
        <v>3280</v>
      </c>
      <c r="C1637" s="66" t="n">
        <v>45840</v>
      </c>
      <c r="D1637" s="2" t="n">
        <v>1</v>
      </c>
      <c r="E1637" s="3" t="inlineStr">
        <is>
          <t>CARABINA</t>
        </is>
      </c>
      <c r="F1637" s="3" t="inlineStr">
        <is>
          <t>308 MATCH</t>
        </is>
      </c>
      <c r="G1637" s="3" t="inlineStr">
        <is>
          <t>VICTRIX</t>
        </is>
      </c>
      <c r="H1637" s="65" t="inlineStr">
        <is>
          <t>TARGET X MKII 30''</t>
        </is>
      </c>
      <c r="I1637" s="65" t="inlineStr">
        <is>
          <t>VSX250675</t>
        </is>
      </c>
      <c r="J1637" s="65" t="inlineStr">
        <is>
          <t>N/D</t>
        </is>
      </c>
      <c r="K1637" s="65" t="inlineStr">
        <is>
          <t>N/D</t>
        </is>
      </c>
      <c r="L1637" s="127" t="inlineStr">
        <is>
          <t>VICTRIX SRL</t>
        </is>
      </c>
      <c r="M1637" s="5" t="n">
        <v>1954.82</v>
      </c>
      <c r="N1637" s="5" t="n"/>
      <c r="O1637" s="5">
        <f>+M1637+N1637</f>
        <v/>
      </c>
      <c r="P1637" s="4" t="n">
        <v>45833</v>
      </c>
      <c r="Q1637" s="87" t="n">
        <v>45740</v>
      </c>
      <c r="R1637" s="5" t="n">
        <v>2052</v>
      </c>
      <c r="S1637" s="2" t="n">
        <v>1</v>
      </c>
      <c r="T1637" s="3" t="inlineStr">
        <is>
          <t>CA04954OS</t>
        </is>
      </c>
      <c r="U1637" s="87" t="n">
        <v>45874</v>
      </c>
      <c r="V1637" s="3" t="inlineStr">
        <is>
          <t>26</t>
        </is>
      </c>
      <c r="W1637" s="4" t="n">
        <v>45874</v>
      </c>
      <c r="X1637" s="4" t="inlineStr">
        <is>
          <t>PHILIPPOS  CONSTANTINIDES
TRADING CO.LTD</t>
        </is>
      </c>
    </row>
    <row r="1638" ht="24" customHeight="1">
      <c r="A1638" s="2">
        <f>+D1638-S1638</f>
        <v/>
      </c>
      <c r="B1638" s="80" t="n">
        <v>3281</v>
      </c>
      <c r="C1638" s="66" t="n">
        <v>45840</v>
      </c>
      <c r="D1638" s="2" t="n">
        <v>1</v>
      </c>
      <c r="E1638" s="3" t="inlineStr">
        <is>
          <t>CARABINA</t>
        </is>
      </c>
      <c r="F1638" s="3" t="inlineStr">
        <is>
          <t>308 WIN</t>
        </is>
      </c>
      <c r="G1638" s="3" t="inlineStr">
        <is>
          <t>VICTRIX</t>
        </is>
      </c>
      <c r="H1638" s="65" t="inlineStr">
        <is>
          <t>VENUS X 24''</t>
        </is>
      </c>
      <c r="I1638" s="65" t="inlineStr">
        <is>
          <t>VSX250676</t>
        </is>
      </c>
      <c r="J1638" s="65" t="inlineStr">
        <is>
          <t>N/D</t>
        </is>
      </c>
      <c r="K1638" s="65" t="inlineStr">
        <is>
          <t>N/D</t>
        </is>
      </c>
      <c r="L1638" s="127" t="inlineStr">
        <is>
          <t>VICTRIX SRL</t>
        </is>
      </c>
      <c r="M1638" s="5" t="n">
        <v>1608.75</v>
      </c>
      <c r="N1638" s="5" t="n"/>
      <c r="O1638" s="5">
        <f>+M1638+N1638</f>
        <v/>
      </c>
      <c r="P1638" s="4" t="n">
        <v>45833</v>
      </c>
      <c r="Q1638" s="87" t="n">
        <v>45740</v>
      </c>
      <c r="R1638" s="5" t="n">
        <v>1690</v>
      </c>
      <c r="S1638" s="2" t="n">
        <v>1</v>
      </c>
      <c r="T1638" s="3" t="inlineStr">
        <is>
          <t>CA04954OS</t>
        </is>
      </c>
      <c r="U1638" s="87" t="n">
        <v>45874</v>
      </c>
      <c r="V1638" s="3" t="inlineStr">
        <is>
          <t>26</t>
        </is>
      </c>
      <c r="W1638" s="4" t="n">
        <v>45874</v>
      </c>
      <c r="X1638" s="4" t="inlineStr">
        <is>
          <t>PHILIPPOS  CONSTANTINIDES
TRADING CO.LTD</t>
        </is>
      </c>
    </row>
    <row r="1639" ht="24" customHeight="1">
      <c r="A1639" s="2">
        <f>+D1639-S1639</f>
        <v/>
      </c>
      <c r="B1639" s="80" t="n">
        <v>3282</v>
      </c>
      <c r="C1639" s="66" t="n">
        <v>45840</v>
      </c>
      <c r="D1639" s="2" t="n">
        <v>1</v>
      </c>
      <c r="E1639" s="3" t="inlineStr">
        <is>
          <t>CARABINA</t>
        </is>
      </c>
      <c r="F1639" s="3" t="inlineStr">
        <is>
          <t>50 BMG</t>
        </is>
      </c>
      <c r="G1639" s="3" t="inlineStr">
        <is>
          <t>VICTRIX</t>
        </is>
      </c>
      <c r="H1639" s="65" t="inlineStr">
        <is>
          <t>CORVO V 27''</t>
        </is>
      </c>
      <c r="I1639" s="65" t="inlineStr">
        <is>
          <t>VPVY250617</t>
        </is>
      </c>
      <c r="J1639" s="65" t="inlineStr">
        <is>
          <t>N/D</t>
        </is>
      </c>
      <c r="K1639" s="65" t="inlineStr">
        <is>
          <t>N/D</t>
        </is>
      </c>
      <c r="L1639" s="127" t="inlineStr">
        <is>
          <t>VICTRIX SRL</t>
        </is>
      </c>
      <c r="M1639" s="5" t="n">
        <v>7601.26</v>
      </c>
      <c r="N1639" s="5" t="n"/>
      <c r="O1639" s="5">
        <f>+M1639+N1639</f>
        <v/>
      </c>
      <c r="P1639" s="4" t="n">
        <v>45833</v>
      </c>
      <c r="Q1639" s="87" t="n">
        <v>45740</v>
      </c>
      <c r="R1639" s="5" t="n">
        <v>7981</v>
      </c>
      <c r="S1639" s="2" t="n">
        <v>1</v>
      </c>
      <c r="T1639" s="3" t="inlineStr">
        <is>
          <t>CA04954OS</t>
        </is>
      </c>
      <c r="U1639" s="87" t="n">
        <v>45874</v>
      </c>
      <c r="V1639" s="3" t="inlineStr">
        <is>
          <t>26</t>
        </is>
      </c>
      <c r="W1639" s="4" t="n">
        <v>45874</v>
      </c>
      <c r="X1639" s="4" t="inlineStr">
        <is>
          <t>PHILIPPOS  CONSTANTINIDES
TRADING CO.LTD</t>
        </is>
      </c>
    </row>
    <row r="1640" ht="24" customHeight="1">
      <c r="A1640" s="2">
        <f>+D1640-S1640</f>
        <v/>
      </c>
      <c r="B1640" s="80" t="n"/>
      <c r="C1640" s="66" t="n">
        <v>45840</v>
      </c>
      <c r="D1640" s="2" t="n">
        <v>2</v>
      </c>
      <c r="E1640" s="3" t="inlineStr">
        <is>
          <t>ACCESSORI</t>
        </is>
      </c>
      <c r="F1640" s="3" t="inlineStr">
        <is>
          <t>308 T/X</t>
        </is>
      </c>
      <c r="G1640" s="3" t="inlineStr">
        <is>
          <t>VICTRIX</t>
        </is>
      </c>
      <c r="H1640" s="65" t="inlineStr">
        <is>
          <t>CARICATORE METAL 10 COLPI</t>
        </is>
      </c>
      <c r="I1640" s="65" t="inlineStr">
        <is>
          <t>N/D</t>
        </is>
      </c>
      <c r="J1640" s="65" t="inlineStr">
        <is>
          <t>N/D</t>
        </is>
      </c>
      <c r="K1640" s="65" t="inlineStr">
        <is>
          <t>N/D</t>
        </is>
      </c>
      <c r="L1640" s="127" t="inlineStr">
        <is>
          <t>VICTRIX SRL</t>
        </is>
      </c>
      <c r="M1640" s="5" t="n">
        <v>91.45</v>
      </c>
      <c r="N1640" s="5" t="n"/>
      <c r="O1640" s="5">
        <f>+M1640+N1640</f>
        <v/>
      </c>
      <c r="P1640" s="4" t="n">
        <v>45833</v>
      </c>
      <c r="Q1640" s="87" t="n">
        <v>45740</v>
      </c>
      <c r="R1640" s="5" t="n">
        <v>98</v>
      </c>
      <c r="S1640" s="2" t="n">
        <v>2</v>
      </c>
      <c r="T1640" s="3" t="inlineStr">
        <is>
          <t>CA04954OS</t>
        </is>
      </c>
      <c r="U1640" s="87" t="n">
        <v>45874</v>
      </c>
      <c r="V1640" s="3" t="inlineStr">
        <is>
          <t>26</t>
        </is>
      </c>
      <c r="W1640" s="4" t="n">
        <v>45874</v>
      </c>
      <c r="X1640" s="4" t="inlineStr">
        <is>
          <t>PHILIPPOS  CONSTANTINIDES
TRADING CO.LTD</t>
        </is>
      </c>
    </row>
    <row r="1641" ht="24" customHeight="1">
      <c r="A1641" s="2">
        <f>+D1641-S1641</f>
        <v/>
      </c>
      <c r="B1641" s="80" t="n"/>
      <c r="C1641" s="66" t="n">
        <v>45840</v>
      </c>
      <c r="D1641" s="2" t="n">
        <v>5</v>
      </c>
      <c r="E1641" s="3" t="inlineStr">
        <is>
          <t>ACCESSORI</t>
        </is>
      </c>
      <c r="F1641" s="3" t="inlineStr">
        <is>
          <t>N/D</t>
        </is>
      </c>
      <c r="G1641" s="3" t="inlineStr">
        <is>
          <t>VICTRIX</t>
        </is>
      </c>
      <c r="H1641" s="65" t="inlineStr">
        <is>
          <t>SLITTA PICATINNY L=65MM</t>
        </is>
      </c>
      <c r="I1641" s="65" t="inlineStr">
        <is>
          <t>N/D</t>
        </is>
      </c>
      <c r="J1641" s="65" t="inlineStr">
        <is>
          <t>N/D</t>
        </is>
      </c>
      <c r="K1641" s="65" t="inlineStr">
        <is>
          <t>N/D</t>
        </is>
      </c>
      <c r="L1641" s="127" t="inlineStr">
        <is>
          <t>VICTRIX SRL</t>
        </is>
      </c>
      <c r="M1641" s="5" t="n">
        <v>175.86</v>
      </c>
      <c r="N1641" s="5" t="n"/>
      <c r="O1641" s="5">
        <f>+M1641+N1641</f>
        <v/>
      </c>
      <c r="P1641" s="4" t="n">
        <v>45833</v>
      </c>
      <c r="Q1641" s="87" t="n">
        <v>45740</v>
      </c>
      <c r="R1641" s="5" t="n">
        <v>190</v>
      </c>
      <c r="S1641" s="2" t="n">
        <v>5</v>
      </c>
      <c r="T1641" s="3" t="inlineStr">
        <is>
          <t>CA04954OS</t>
        </is>
      </c>
      <c r="U1641" s="87" t="n">
        <v>45874</v>
      </c>
      <c r="V1641" s="3" t="inlineStr">
        <is>
          <t>26</t>
        </is>
      </c>
      <c r="W1641" s="4" t="n">
        <v>45874</v>
      </c>
      <c r="X1641" s="4" t="inlineStr">
        <is>
          <t>PHILIPPOS  CONSTANTINIDES
TRADING CO.LTD</t>
        </is>
      </c>
    </row>
    <row r="1642" ht="24" customHeight="1">
      <c r="A1642" s="2">
        <f>+D1642-S1642</f>
        <v/>
      </c>
      <c r="B1642" s="80" t="n"/>
      <c r="C1642" s="66" t="n">
        <v>45840</v>
      </c>
      <c r="D1642" s="2" t="n">
        <v>5</v>
      </c>
      <c r="E1642" s="3" t="inlineStr">
        <is>
          <t>ACCESSORI</t>
        </is>
      </c>
      <c r="F1642" s="3" t="inlineStr">
        <is>
          <t>N/D</t>
        </is>
      </c>
      <c r="G1642" s="3" t="inlineStr">
        <is>
          <t>VICTRIX</t>
        </is>
      </c>
      <c r="H1642" s="65" t="inlineStr">
        <is>
          <t>BASIS</t>
        </is>
      </c>
      <c r="I1642" s="65" t="inlineStr">
        <is>
          <t>N/D</t>
        </is>
      </c>
      <c r="J1642" s="65" t="inlineStr">
        <is>
          <t>N/D</t>
        </is>
      </c>
      <c r="K1642" s="65" t="inlineStr">
        <is>
          <t>N/D</t>
        </is>
      </c>
      <c r="L1642" s="127" t="inlineStr">
        <is>
          <t>VICTRIX SRL</t>
        </is>
      </c>
      <c r="M1642" s="5" t="n">
        <v>1512.37</v>
      </c>
      <c r="N1642" s="5" t="n"/>
      <c r="O1642" s="5">
        <f>+M1642+N1642</f>
        <v/>
      </c>
      <c r="P1642" s="4" t="n">
        <v>45833</v>
      </c>
      <c r="Q1642" s="87" t="n">
        <v>45740</v>
      </c>
      <c r="R1642" s="5" t="n">
        <v>1625</v>
      </c>
      <c r="S1642" s="2" t="n">
        <v>5</v>
      </c>
      <c r="T1642" s="3" t="n"/>
      <c r="U1642" s="87" t="n">
        <v>45891</v>
      </c>
      <c r="V1642" s="3" t="inlineStr">
        <is>
          <t>29</t>
        </is>
      </c>
      <c r="W1642" s="108" t="n">
        <v>45891</v>
      </c>
      <c r="X1642" s="4" t="inlineStr">
        <is>
          <t>PHILIPPOS  CONSTANTINIDES
TRADING CO.LTD</t>
        </is>
      </c>
    </row>
    <row r="1643" ht="24" customHeight="1">
      <c r="A1643" s="2">
        <f>+D1643-S1643</f>
        <v/>
      </c>
      <c r="B1643" s="80" t="n"/>
      <c r="C1643" s="66" t="n">
        <v>45840</v>
      </c>
      <c r="D1643" s="2" t="n">
        <v>1</v>
      </c>
      <c r="E1643" s="3" t="inlineStr">
        <is>
          <t>ACCESSORI</t>
        </is>
      </c>
      <c r="F1643" s="3" t="inlineStr">
        <is>
          <t>.50/.460</t>
        </is>
      </c>
      <c r="G1643" s="3" t="inlineStr">
        <is>
          <t>VICTRIX</t>
        </is>
      </c>
      <c r="H1643" s="65" t="inlineStr">
        <is>
          <t>.50 CARICATORI POL. 5 COLPI - SERIE V</t>
        </is>
      </c>
      <c r="I1643" s="65" t="inlineStr">
        <is>
          <t>N/D</t>
        </is>
      </c>
      <c r="J1643" s="65" t="inlineStr">
        <is>
          <t>N/D</t>
        </is>
      </c>
      <c r="K1643" s="65" t="inlineStr">
        <is>
          <t>N/D</t>
        </is>
      </c>
      <c r="L1643" s="127" t="inlineStr">
        <is>
          <t>VICTRIX SRL</t>
        </is>
      </c>
      <c r="M1643" s="5" t="n">
        <v>126.62</v>
      </c>
      <c r="N1643" s="5" t="n"/>
      <c r="O1643" s="5">
        <f>+M1643+N1643</f>
        <v/>
      </c>
      <c r="P1643" s="4" t="n">
        <v>45833</v>
      </c>
      <c r="Q1643" s="87" t="n">
        <v>45740</v>
      </c>
      <c r="R1643" s="5" t="n">
        <v>135</v>
      </c>
      <c r="S1643" s="2" t="n">
        <v>1</v>
      </c>
      <c r="T1643" s="3" t="inlineStr">
        <is>
          <t>CA04954OS</t>
        </is>
      </c>
      <c r="U1643" s="87" t="n">
        <v>45874</v>
      </c>
      <c r="V1643" s="3" t="inlineStr">
        <is>
          <t>26</t>
        </is>
      </c>
      <c r="W1643" s="4" t="n">
        <v>45874</v>
      </c>
      <c r="X1643" s="4" t="inlineStr">
        <is>
          <t>PHILIPPOS  CONSTANTINIDES
TRADING CO.LTD</t>
        </is>
      </c>
    </row>
    <row r="1644" ht="24" customHeight="1">
      <c r="A1644" s="2">
        <f>+D1644-S1644</f>
        <v/>
      </c>
      <c r="B1644" s="80" t="n">
        <v>3283</v>
      </c>
      <c r="C1644" s="66" t="n">
        <v>45842</v>
      </c>
      <c r="D1644" s="2" t="n">
        <v>1</v>
      </c>
      <c r="E1644" s="3" t="inlineStr">
        <is>
          <t>PISTOLA SEMIAUTOMATICA</t>
        </is>
      </c>
      <c r="F1644" s="3" t="inlineStr">
        <is>
          <t>9</t>
        </is>
      </c>
      <c r="G1644" s="3" t="inlineStr">
        <is>
          <t>WALTHER</t>
        </is>
      </c>
      <c r="H1644" s="65" t="inlineStr">
        <is>
          <t>PDP COMPACT 9 LUGER 4'' OR</t>
        </is>
      </c>
      <c r="I1644" s="65" t="inlineStr">
        <is>
          <t>FEH2108</t>
        </is>
      </c>
      <c r="J1644" s="65" t="inlineStr">
        <is>
          <t>N/D</t>
        </is>
      </c>
      <c r="K1644" s="65" t="inlineStr">
        <is>
          <t>N/D</t>
        </is>
      </c>
      <c r="L1644" s="127" t="inlineStr">
        <is>
          <t>BIGNAMI SPA</t>
        </is>
      </c>
      <c r="M1644" s="5" t="n">
        <v>570.95</v>
      </c>
      <c r="N1644" s="5" t="n"/>
      <c r="O1644" s="5">
        <f>+M1644+N1644</f>
        <v/>
      </c>
      <c r="P1644" s="4" t="n">
        <v>45793</v>
      </c>
      <c r="Q1644" s="87" t="n">
        <v>45841</v>
      </c>
      <c r="R1644" s="5" t="n">
        <v>649</v>
      </c>
      <c r="S1644" s="2" t="n">
        <v>1</v>
      </c>
      <c r="T1644" s="3" t="inlineStr">
        <is>
          <t>CA04954OS</t>
        </is>
      </c>
      <c r="U1644" s="87" t="n">
        <v>45874</v>
      </c>
      <c r="V1644" s="3" t="inlineStr">
        <is>
          <t>25</t>
        </is>
      </c>
      <c r="W1644" s="4" t="n">
        <v>45874</v>
      </c>
      <c r="X1644" s="4" t="inlineStr">
        <is>
          <t>PHILIPPOS  CONSTANTINIDES
TRADING CO.LTD</t>
        </is>
      </c>
    </row>
    <row r="1645" ht="24" customHeight="1">
      <c r="A1645" s="2">
        <f>+D1645-S1645</f>
        <v/>
      </c>
      <c r="B1645" s="80" t="n">
        <v>3284</v>
      </c>
      <c r="C1645" s="66" t="n">
        <v>45842</v>
      </c>
      <c r="D1645" s="2" t="n">
        <v>1</v>
      </c>
      <c r="E1645" s="3" t="inlineStr">
        <is>
          <t>PISTOLA SEMIAUTOMATICA</t>
        </is>
      </c>
      <c r="F1645" s="3" t="inlineStr">
        <is>
          <t>9</t>
        </is>
      </c>
      <c r="G1645" s="3" t="inlineStr">
        <is>
          <t>WALTHER</t>
        </is>
      </c>
      <c r="H1645" s="65" t="inlineStr">
        <is>
          <t>PDP COMPACT 9 LUGER 4'' GREEN</t>
        </is>
      </c>
      <c r="I1645" s="65" t="inlineStr">
        <is>
          <t>FEG5841</t>
        </is>
      </c>
      <c r="J1645" s="65" t="inlineStr">
        <is>
          <t>N/D</t>
        </is>
      </c>
      <c r="K1645" s="65" t="inlineStr">
        <is>
          <t>N/D</t>
        </is>
      </c>
      <c r="L1645" s="127" t="inlineStr">
        <is>
          <t>BIGNAMI SPA</t>
        </is>
      </c>
      <c r="M1645" s="5" t="n">
        <v>617.83</v>
      </c>
      <c r="N1645" s="5" t="n"/>
      <c r="O1645" s="5">
        <f>+M1645+N1645</f>
        <v/>
      </c>
      <c r="P1645" s="4" t="n">
        <v>45793</v>
      </c>
      <c r="Q1645" s="87" t="n">
        <v>45841</v>
      </c>
      <c r="R1645" s="5" t="n">
        <v>649</v>
      </c>
      <c r="S1645" s="2" t="n">
        <v>1</v>
      </c>
      <c r="T1645" s="3" t="inlineStr">
        <is>
          <t>CA04954OS</t>
        </is>
      </c>
      <c r="U1645" s="87" t="n">
        <v>45874</v>
      </c>
      <c r="V1645" s="3" t="inlineStr">
        <is>
          <t>25</t>
        </is>
      </c>
      <c r="W1645" s="4" t="n">
        <v>45874</v>
      </c>
      <c r="X1645" s="4" t="inlineStr">
        <is>
          <t>PHILIPPOS  CONSTANTINIDES
TRADING CO.LTD</t>
        </is>
      </c>
    </row>
    <row r="1646" ht="24" customHeight="1">
      <c r="A1646" s="2">
        <f>+D1646-S1646</f>
        <v/>
      </c>
      <c r="B1646" s="80" t="n">
        <v>3285</v>
      </c>
      <c r="C1646" s="66" t="n">
        <v>45842</v>
      </c>
      <c r="D1646" s="2" t="n">
        <v>1</v>
      </c>
      <c r="E1646" s="3" t="inlineStr">
        <is>
          <t>PISTOLA SEMIAUTOMATICA</t>
        </is>
      </c>
      <c r="F1646" s="3" t="inlineStr">
        <is>
          <t>9</t>
        </is>
      </c>
      <c r="G1646" s="3" t="inlineStr">
        <is>
          <t>WALTHER</t>
        </is>
      </c>
      <c r="H1646" s="65" t="inlineStr">
        <is>
          <t>PDP COMPACT 9 LUGER 4'' FDE</t>
        </is>
      </c>
      <c r="I1646" s="65" t="inlineStr">
        <is>
          <t>FEG8178</t>
        </is>
      </c>
      <c r="J1646" s="65" t="inlineStr">
        <is>
          <t>N/D</t>
        </is>
      </c>
      <c r="K1646" s="65" t="inlineStr">
        <is>
          <t>N/D</t>
        </is>
      </c>
      <c r="L1646" s="127" t="inlineStr">
        <is>
          <t>BIGNAMI SPA</t>
        </is>
      </c>
      <c r="M1646" s="5" t="n">
        <v>617.83</v>
      </c>
      <c r="N1646" s="5" t="n"/>
      <c r="O1646" s="5">
        <f>+M1646+N1646</f>
        <v/>
      </c>
      <c r="P1646" s="4" t="n">
        <v>45793</v>
      </c>
      <c r="Q1646" s="87" t="n">
        <v>45841</v>
      </c>
      <c r="R1646" s="5" t="n">
        <v>600</v>
      </c>
      <c r="S1646" s="2" t="n">
        <v>1</v>
      </c>
      <c r="T1646" s="3" t="inlineStr">
        <is>
          <t>CA04954OS</t>
        </is>
      </c>
      <c r="U1646" s="87" t="n">
        <v>45874</v>
      </c>
      <c r="V1646" s="3" t="inlineStr">
        <is>
          <t>25</t>
        </is>
      </c>
      <c r="W1646" s="4" t="n">
        <v>45874</v>
      </c>
      <c r="X1646" s="4" t="inlineStr">
        <is>
          <t>PHILIPPOS  CONSTANTINIDES
TRADING CO.LTD</t>
        </is>
      </c>
    </row>
    <row r="1647" ht="24" customHeight="1">
      <c r="A1647" s="2">
        <f>+D1647-S1647</f>
        <v/>
      </c>
      <c r="B1647" s="80" t="n">
        <v>3286</v>
      </c>
      <c r="C1647" s="66" t="n">
        <v>45842</v>
      </c>
      <c r="D1647" s="2" t="n">
        <v>1</v>
      </c>
      <c r="E1647" s="3" t="inlineStr">
        <is>
          <t>PISTOLA SEMIAUTOMATICA</t>
        </is>
      </c>
      <c r="F1647" s="3" t="inlineStr">
        <is>
          <t>9</t>
        </is>
      </c>
      <c r="G1647" s="3" t="inlineStr">
        <is>
          <t>WALTHER</t>
        </is>
      </c>
      <c r="H1647" s="65" t="inlineStr">
        <is>
          <t>PDP FS LUGER 5'' OR</t>
        </is>
      </c>
      <c r="I1647" s="65" t="inlineStr">
        <is>
          <t>FEI6350</t>
        </is>
      </c>
      <c r="J1647" s="65" t="inlineStr">
        <is>
          <t>N/D</t>
        </is>
      </c>
      <c r="K1647" s="65" t="inlineStr">
        <is>
          <t>N/D</t>
        </is>
      </c>
      <c r="L1647" s="127" t="inlineStr">
        <is>
          <t>BIGNAMI SPA</t>
        </is>
      </c>
      <c r="M1647" s="5" t="n">
        <v>570.95</v>
      </c>
      <c r="N1647" s="5" t="n"/>
      <c r="O1647" s="5">
        <f>+M1647+N1647</f>
        <v/>
      </c>
      <c r="P1647" s="4" t="n">
        <v>45793</v>
      </c>
      <c r="Q1647" s="87" t="n">
        <v>45841</v>
      </c>
      <c r="R1647" s="5" t="n"/>
      <c r="S1647" s="2" t="n"/>
      <c r="T1647" s="3" t="n"/>
      <c r="U1647" s="87" t="n"/>
      <c r="V1647" s="3" t="n"/>
      <c r="W1647" s="108" t="n"/>
      <c r="X1647" s="4" t="n"/>
    </row>
    <row r="1648" ht="24" customHeight="1">
      <c r="A1648" s="2">
        <f>+D1648-S1648</f>
        <v/>
      </c>
      <c r="B1648" s="80" t="n">
        <v>3287</v>
      </c>
      <c r="C1648" s="66" t="n">
        <v>45842</v>
      </c>
      <c r="D1648" s="2" t="n">
        <v>1</v>
      </c>
      <c r="E1648" s="3" t="inlineStr">
        <is>
          <t>PISTOLA SEMIAUTOMATICA</t>
        </is>
      </c>
      <c r="F1648" s="3" t="inlineStr">
        <is>
          <t>9</t>
        </is>
      </c>
      <c r="G1648" s="3" t="inlineStr">
        <is>
          <t>WALTHER</t>
        </is>
      </c>
      <c r="H1648" s="65" t="inlineStr">
        <is>
          <t>PDP FS LUGER 5'' OR</t>
        </is>
      </c>
      <c r="I1648" s="65" t="inlineStr">
        <is>
          <t>FEI6349</t>
        </is>
      </c>
      <c r="J1648" s="65" t="inlineStr">
        <is>
          <t>N/D</t>
        </is>
      </c>
      <c r="K1648" s="65" t="inlineStr">
        <is>
          <t>N/D</t>
        </is>
      </c>
      <c r="L1648" s="127" t="inlineStr">
        <is>
          <t>BIGNAMI SPA</t>
        </is>
      </c>
      <c r="M1648" s="5" t="n">
        <v>570.95</v>
      </c>
      <c r="N1648" s="5" t="n"/>
      <c r="O1648" s="5">
        <f>+M1648+N1648</f>
        <v/>
      </c>
      <c r="P1648" s="4" t="n">
        <v>45793</v>
      </c>
      <c r="Q1648" s="87" t="n">
        <v>45841</v>
      </c>
      <c r="R1648" s="5" t="n">
        <v>600</v>
      </c>
      <c r="S1648" s="2" t="n">
        <v>1</v>
      </c>
      <c r="T1648" s="3" t="inlineStr">
        <is>
          <t>CA04954OS</t>
        </is>
      </c>
      <c r="U1648" s="87" t="n">
        <v>45874</v>
      </c>
      <c r="V1648" s="3" t="inlineStr">
        <is>
          <t>25</t>
        </is>
      </c>
      <c r="W1648" s="4" t="n">
        <v>45874</v>
      </c>
      <c r="X1648" s="4" t="inlineStr">
        <is>
          <t>PHILIPPOS  CONSTANTINIDES
TRADING CO.LTD</t>
        </is>
      </c>
    </row>
    <row r="1649" ht="24" customHeight="1">
      <c r="A1649" s="2">
        <f>+D1649-S1649</f>
        <v/>
      </c>
      <c r="B1649" s="80" t="n">
        <v>3288</v>
      </c>
      <c r="C1649" s="66" t="n">
        <v>45842</v>
      </c>
      <c r="D1649" s="2" t="n">
        <v>1</v>
      </c>
      <c r="E1649" s="3" t="inlineStr">
        <is>
          <t>PISTOLA SEMIAUTOMATICA</t>
        </is>
      </c>
      <c r="F1649" s="3" t="inlineStr">
        <is>
          <t>9</t>
        </is>
      </c>
      <c r="G1649" s="3" t="inlineStr">
        <is>
          <t>GLOCK</t>
        </is>
      </c>
      <c r="H1649" s="65" t="inlineStr">
        <is>
          <t>19X LUGER FDE</t>
        </is>
      </c>
      <c r="I1649" s="65" t="inlineStr">
        <is>
          <t>CFLC488</t>
        </is>
      </c>
      <c r="J1649" s="65" t="inlineStr">
        <is>
          <t>N/D</t>
        </is>
      </c>
      <c r="K1649" s="65" t="inlineStr">
        <is>
          <t>N/D</t>
        </is>
      </c>
      <c r="L1649" s="127" t="inlineStr">
        <is>
          <t>BIGNAMI SPA</t>
        </is>
      </c>
      <c r="M1649" s="5" t="n">
        <v>477.25</v>
      </c>
      <c r="N1649" s="5" t="n"/>
      <c r="O1649" s="5">
        <f>+M1649+N1649</f>
        <v/>
      </c>
      <c r="P1649" s="4" t="n">
        <v>45793</v>
      </c>
      <c r="Q1649" s="87" t="n">
        <v>45841</v>
      </c>
      <c r="R1649" s="5" t="n">
        <v>501</v>
      </c>
      <c r="S1649" s="2" t="n">
        <v>1</v>
      </c>
      <c r="T1649" s="3" t="inlineStr">
        <is>
          <t>CA04954OS</t>
        </is>
      </c>
      <c r="U1649" s="87" t="n">
        <v>45874</v>
      </c>
      <c r="V1649" s="3" t="inlineStr">
        <is>
          <t>25</t>
        </is>
      </c>
      <c r="W1649" s="4" t="n">
        <v>45874</v>
      </c>
      <c r="X1649" s="4" t="inlineStr">
        <is>
          <t>PHILIPPOS  CONSTANTINIDES
TRADING CO.LTD</t>
        </is>
      </c>
    </row>
    <row r="1650" ht="24" customHeight="1">
      <c r="A1650" s="2">
        <f>+D1650-S1650</f>
        <v/>
      </c>
      <c r="B1650" s="80" t="n">
        <v>3289</v>
      </c>
      <c r="C1650" s="66" t="n">
        <v>45842</v>
      </c>
      <c r="D1650" s="2" t="n">
        <v>1</v>
      </c>
      <c r="E1650" s="3" t="inlineStr">
        <is>
          <t>PISTOLA SEMIAUTOMATICA</t>
        </is>
      </c>
      <c r="F1650" s="3" t="inlineStr">
        <is>
          <t>9</t>
        </is>
      </c>
      <c r="G1650" s="3" t="inlineStr">
        <is>
          <t>GLOCK</t>
        </is>
      </c>
      <c r="H1650" s="65" t="inlineStr">
        <is>
          <t>19X LUGER FDE</t>
        </is>
      </c>
      <c r="I1650" s="65" t="inlineStr">
        <is>
          <t>CFLC489</t>
        </is>
      </c>
      <c r="J1650" s="65" t="inlineStr">
        <is>
          <t>N/D</t>
        </is>
      </c>
      <c r="K1650" s="65" t="inlineStr">
        <is>
          <t>N/D</t>
        </is>
      </c>
      <c r="L1650" s="127" t="inlineStr">
        <is>
          <t>BIGNAMI SPA</t>
        </is>
      </c>
      <c r="M1650" s="5" t="n">
        <v>477.25</v>
      </c>
      <c r="N1650" s="5" t="n"/>
      <c r="O1650" s="5">
        <f>+M1650+N1650</f>
        <v/>
      </c>
      <c r="P1650" s="4" t="n">
        <v>45793</v>
      </c>
      <c r="Q1650" s="87" t="n">
        <v>45841</v>
      </c>
      <c r="R1650" s="5" t="n">
        <v>501</v>
      </c>
      <c r="S1650" s="2" t="n">
        <v>1</v>
      </c>
      <c r="T1650" s="3" t="inlineStr">
        <is>
          <t>CA04954OS</t>
        </is>
      </c>
      <c r="U1650" s="87" t="n">
        <v>45874</v>
      </c>
      <c r="V1650" s="3" t="inlineStr">
        <is>
          <t>25</t>
        </is>
      </c>
      <c r="W1650" s="4" t="n">
        <v>45874</v>
      </c>
      <c r="X1650" s="4" t="inlineStr">
        <is>
          <t>PHILIPPOS  CONSTANTINIDES
TRADING CO.LTD</t>
        </is>
      </c>
    </row>
    <row r="1651" ht="24" customHeight="1">
      <c r="A1651" s="2">
        <f>+D1651-S1651</f>
        <v/>
      </c>
      <c r="B1651" s="80" t="n">
        <v>3290</v>
      </c>
      <c r="C1651" s="66" t="n">
        <v>45842</v>
      </c>
      <c r="D1651" s="2" t="n">
        <v>1</v>
      </c>
      <c r="E1651" s="3" t="inlineStr">
        <is>
          <t>PISTOLA SEMIAUTOMATICA</t>
        </is>
      </c>
      <c r="F1651" s="3" t="inlineStr">
        <is>
          <t>9</t>
        </is>
      </c>
      <c r="G1651" s="3" t="inlineStr">
        <is>
          <t>GLOCK</t>
        </is>
      </c>
      <c r="H1651" s="65" t="inlineStr">
        <is>
          <t>19X LUGER FDE</t>
        </is>
      </c>
      <c r="I1651" s="65" t="inlineStr">
        <is>
          <t>CFLC487</t>
        </is>
      </c>
      <c r="J1651" s="65" t="inlineStr">
        <is>
          <t>N/D</t>
        </is>
      </c>
      <c r="K1651" s="65" t="inlineStr">
        <is>
          <t>N/D</t>
        </is>
      </c>
      <c r="L1651" s="127" t="inlineStr">
        <is>
          <t>BIGNAMI SPA</t>
        </is>
      </c>
      <c r="M1651" s="5" t="n">
        <v>477.25</v>
      </c>
      <c r="N1651" s="5" t="n"/>
      <c r="O1651" s="5">
        <f>+M1651+N1651</f>
        <v/>
      </c>
      <c r="P1651" s="4" t="n">
        <v>45793</v>
      </c>
      <c r="Q1651" s="87" t="n">
        <v>45841</v>
      </c>
      <c r="R1651" s="5" t="n">
        <v>501</v>
      </c>
      <c r="S1651" s="2" t="n">
        <v>1</v>
      </c>
      <c r="T1651" s="3" t="inlineStr">
        <is>
          <t>CA04954OS</t>
        </is>
      </c>
      <c r="U1651" s="87" t="n">
        <v>45874</v>
      </c>
      <c r="V1651" s="3" t="inlineStr">
        <is>
          <t>25</t>
        </is>
      </c>
      <c r="W1651" s="4" t="n">
        <v>45874</v>
      </c>
      <c r="X1651" s="4" t="inlineStr">
        <is>
          <t>PHILIPPOS  CONSTANTINIDES
TRADING CO.LTD</t>
        </is>
      </c>
    </row>
    <row r="1652" ht="24" customHeight="1">
      <c r="A1652" s="2">
        <f>+D1652-S1652</f>
        <v/>
      </c>
      <c r="B1652" s="80" t="n">
        <v>3291</v>
      </c>
      <c r="C1652" s="66" t="n">
        <v>45842</v>
      </c>
      <c r="D1652" s="2" t="n">
        <v>1</v>
      </c>
      <c r="E1652" s="3" t="inlineStr">
        <is>
          <t>PISTOLA SEMIAUTOMATICA</t>
        </is>
      </c>
      <c r="F1652" s="3" t="inlineStr">
        <is>
          <t>9</t>
        </is>
      </c>
      <c r="G1652" s="3" t="inlineStr">
        <is>
          <t>GLOCK</t>
        </is>
      </c>
      <c r="H1652" s="65" t="inlineStr">
        <is>
          <t>19X LUGER FDE</t>
        </is>
      </c>
      <c r="I1652" s="65" t="inlineStr">
        <is>
          <t>CFLC486</t>
        </is>
      </c>
      <c r="J1652" s="65" t="inlineStr">
        <is>
          <t>N/D</t>
        </is>
      </c>
      <c r="K1652" s="65" t="inlineStr">
        <is>
          <t>N/D</t>
        </is>
      </c>
      <c r="L1652" s="127" t="inlineStr">
        <is>
          <t>BIGNAMI SPA</t>
        </is>
      </c>
      <c r="M1652" s="5" t="n">
        <v>477.25</v>
      </c>
      <c r="N1652" s="5" t="n"/>
      <c r="O1652" s="5">
        <f>+M1652+N1652</f>
        <v/>
      </c>
      <c r="P1652" s="4" t="n">
        <v>45793</v>
      </c>
      <c r="Q1652" s="87" t="n">
        <v>45841</v>
      </c>
      <c r="R1652" s="5" t="n">
        <v>501</v>
      </c>
      <c r="S1652" s="2" t="n">
        <v>1</v>
      </c>
      <c r="T1652" s="3" t="inlineStr">
        <is>
          <t>CA04954OS</t>
        </is>
      </c>
      <c r="U1652" s="87" t="n">
        <v>45874</v>
      </c>
      <c r="V1652" s="3" t="inlineStr">
        <is>
          <t>25</t>
        </is>
      </c>
      <c r="W1652" s="4" t="n">
        <v>45874</v>
      </c>
      <c r="X1652" s="4" t="inlineStr">
        <is>
          <t>PHILIPPOS  CONSTANTINIDES
TRADING CO.LTD</t>
        </is>
      </c>
    </row>
    <row r="1653" ht="24" customHeight="1">
      <c r="A1653" s="2">
        <f>+D1653-S1653</f>
        <v/>
      </c>
      <c r="B1653" s="80" t="n">
        <v>3292</v>
      </c>
      <c r="C1653" s="66" t="n">
        <v>45842</v>
      </c>
      <c r="D1653" s="2" t="n">
        <v>1</v>
      </c>
      <c r="E1653" s="3" t="inlineStr">
        <is>
          <t>PISTOLA SEMIAUTOMATICA</t>
        </is>
      </c>
      <c r="F1653" s="3" t="inlineStr">
        <is>
          <t>9</t>
        </is>
      </c>
      <c r="G1653" s="3" t="inlineStr">
        <is>
          <t>GLOCK</t>
        </is>
      </c>
      <c r="H1653" s="65" t="inlineStr">
        <is>
          <t>19X LUGER FDE</t>
        </is>
      </c>
      <c r="I1653" s="65" t="inlineStr">
        <is>
          <t>CFLC490</t>
        </is>
      </c>
      <c r="J1653" s="65" t="inlineStr">
        <is>
          <t>N/D</t>
        </is>
      </c>
      <c r="K1653" s="65" t="inlineStr">
        <is>
          <t>N/D</t>
        </is>
      </c>
      <c r="L1653" s="127" t="inlineStr">
        <is>
          <t>BIGNAMI SPA</t>
        </is>
      </c>
      <c r="M1653" s="5" t="n">
        <v>477.25</v>
      </c>
      <c r="N1653" s="5" t="n"/>
      <c r="O1653" s="5">
        <f>+M1653+N1653</f>
        <v/>
      </c>
      <c r="P1653" s="4" t="n">
        <v>45793</v>
      </c>
      <c r="Q1653" s="87" t="n">
        <v>45841</v>
      </c>
      <c r="R1653" s="5" t="n">
        <v>501</v>
      </c>
      <c r="S1653" s="2" t="n">
        <v>1</v>
      </c>
      <c r="T1653" s="3" t="inlineStr">
        <is>
          <t>CA04954OS</t>
        </is>
      </c>
      <c r="U1653" s="87" t="n">
        <v>45874</v>
      </c>
      <c r="V1653" s="3" t="inlineStr">
        <is>
          <t>25</t>
        </is>
      </c>
      <c r="W1653" s="4" t="n">
        <v>45874</v>
      </c>
      <c r="X1653" s="4" t="inlineStr">
        <is>
          <t>PHILIPPOS  CONSTANTINIDES
TRADING CO.LTD</t>
        </is>
      </c>
    </row>
    <row r="1654" ht="24" customHeight="1">
      <c r="A1654" s="2">
        <f>+D1654-S1654</f>
        <v/>
      </c>
      <c r="B1654" s="80" t="n">
        <v>3293</v>
      </c>
      <c r="C1654" s="66" t="n">
        <v>45842</v>
      </c>
      <c r="D1654" s="2" t="n">
        <v>1</v>
      </c>
      <c r="E1654" s="3" t="inlineStr">
        <is>
          <t>PISTOLA SEMIAUTOMATICA</t>
        </is>
      </c>
      <c r="F1654" s="3" t="inlineStr">
        <is>
          <t>9</t>
        </is>
      </c>
      <c r="G1654" s="3" t="inlineStr">
        <is>
          <t>GLOCK</t>
        </is>
      </c>
      <c r="H1654" s="65" t="inlineStr">
        <is>
          <t>19X LUGER FDE</t>
        </is>
      </c>
      <c r="I1654" s="65" t="inlineStr">
        <is>
          <t>CEDB146</t>
        </is>
      </c>
      <c r="J1654" s="65" t="inlineStr">
        <is>
          <t>N/D</t>
        </is>
      </c>
      <c r="K1654" s="65" t="inlineStr">
        <is>
          <t>N/D</t>
        </is>
      </c>
      <c r="L1654" s="127" t="inlineStr">
        <is>
          <t>BIGNAMI SPA</t>
        </is>
      </c>
      <c r="M1654" s="5" t="n">
        <v>477.25</v>
      </c>
      <c r="N1654" s="5" t="n"/>
      <c r="O1654" s="5">
        <f>+M1654+N1654</f>
        <v/>
      </c>
      <c r="P1654" s="4" t="n">
        <v>45793</v>
      </c>
      <c r="Q1654" s="87" t="n">
        <v>45841</v>
      </c>
      <c r="R1654" s="5" t="n">
        <v>501</v>
      </c>
      <c r="S1654" s="2" t="n">
        <v>1</v>
      </c>
      <c r="T1654" s="3" t="inlineStr">
        <is>
          <t>CA04954OS</t>
        </is>
      </c>
      <c r="U1654" s="87" t="n">
        <v>45874</v>
      </c>
      <c r="V1654" s="3" t="inlineStr">
        <is>
          <t>25</t>
        </is>
      </c>
      <c r="W1654" s="4" t="n">
        <v>45874</v>
      </c>
      <c r="X1654" s="4" t="inlineStr">
        <is>
          <t>PHILIPPOS  CONSTANTINIDES
TRADING CO.LTD</t>
        </is>
      </c>
    </row>
    <row r="1655" ht="24" customHeight="1">
      <c r="A1655" s="2">
        <f>+D1655-S1655</f>
        <v/>
      </c>
      <c r="B1655" s="80" t="n">
        <v>3294</v>
      </c>
      <c r="C1655" s="66" t="n">
        <v>45842</v>
      </c>
      <c r="D1655" s="2" t="n">
        <v>1</v>
      </c>
      <c r="E1655" s="3" t="inlineStr">
        <is>
          <t>PISTOLA SEMIAUTOMATICA</t>
        </is>
      </c>
      <c r="F1655" s="3" t="inlineStr">
        <is>
          <t>9</t>
        </is>
      </c>
      <c r="G1655" s="3" t="inlineStr">
        <is>
          <t>GLOCK</t>
        </is>
      </c>
      <c r="H1655" s="65" t="inlineStr">
        <is>
          <t>19X LUGER FDE</t>
        </is>
      </c>
      <c r="I1655" s="65" t="inlineStr">
        <is>
          <t>CFLC485</t>
        </is>
      </c>
      <c r="J1655" s="65" t="inlineStr">
        <is>
          <t>N/D</t>
        </is>
      </c>
      <c r="K1655" s="65" t="inlineStr">
        <is>
          <t>N/D</t>
        </is>
      </c>
      <c r="L1655" s="127" t="inlineStr">
        <is>
          <t>BIGNAMI SPA</t>
        </is>
      </c>
      <c r="M1655" s="5" t="n">
        <v>477.25</v>
      </c>
      <c r="N1655" s="5" t="n"/>
      <c r="O1655" s="5">
        <f>+M1655+N1655</f>
        <v/>
      </c>
      <c r="P1655" s="4" t="n">
        <v>45793</v>
      </c>
      <c r="Q1655" s="87" t="n">
        <v>45841</v>
      </c>
      <c r="R1655" s="5" t="n">
        <v>501</v>
      </c>
      <c r="S1655" s="2" t="n">
        <v>1</v>
      </c>
      <c r="T1655" s="3" t="inlineStr">
        <is>
          <t>CA04954OS</t>
        </is>
      </c>
      <c r="U1655" s="87" t="n">
        <v>45874</v>
      </c>
      <c r="V1655" s="3" t="inlineStr">
        <is>
          <t>25</t>
        </is>
      </c>
      <c r="W1655" s="4" t="n">
        <v>45874</v>
      </c>
      <c r="X1655" s="4" t="inlineStr">
        <is>
          <t>PHILIPPOS  CONSTANTINIDES
TRADING CO.LTD</t>
        </is>
      </c>
    </row>
    <row r="1656" ht="24" customHeight="1">
      <c r="A1656" s="2">
        <f>+D1656-S1656</f>
        <v/>
      </c>
      <c r="B1656" s="80" t="n">
        <v>3295</v>
      </c>
      <c r="C1656" s="66" t="n">
        <v>45842</v>
      </c>
      <c r="D1656" s="2" t="n">
        <v>1</v>
      </c>
      <c r="E1656" s="3" t="inlineStr">
        <is>
          <t>PISTOLA SEMIAUTOMATICA</t>
        </is>
      </c>
      <c r="F1656" s="3" t="inlineStr">
        <is>
          <t>9</t>
        </is>
      </c>
      <c r="G1656" s="3" t="inlineStr">
        <is>
          <t>GLOCK</t>
        </is>
      </c>
      <c r="H1656" s="65" t="inlineStr">
        <is>
          <t>19X LUGER FDE</t>
        </is>
      </c>
      <c r="I1656" s="65" t="inlineStr">
        <is>
          <t>CEYH876</t>
        </is>
      </c>
      <c r="J1656" s="65" t="inlineStr">
        <is>
          <t>N/D</t>
        </is>
      </c>
      <c r="K1656" s="65" t="inlineStr">
        <is>
          <t>N/D</t>
        </is>
      </c>
      <c r="L1656" s="127" t="inlineStr">
        <is>
          <t>BIGNAMI SPA</t>
        </is>
      </c>
      <c r="M1656" s="5" t="n">
        <v>477.25</v>
      </c>
      <c r="N1656" s="5" t="n"/>
      <c r="O1656" s="5">
        <f>+M1656+N1656</f>
        <v/>
      </c>
      <c r="P1656" s="4" t="n">
        <v>45793</v>
      </c>
      <c r="Q1656" s="87" t="n">
        <v>45841</v>
      </c>
      <c r="R1656" s="5" t="n">
        <v>501</v>
      </c>
      <c r="S1656" s="2" t="n">
        <v>1</v>
      </c>
      <c r="T1656" s="3" t="inlineStr">
        <is>
          <t>CA04954OS</t>
        </is>
      </c>
      <c r="U1656" s="87" t="n">
        <v>45874</v>
      </c>
      <c r="V1656" s="3" t="inlineStr">
        <is>
          <t>25</t>
        </is>
      </c>
      <c r="W1656" s="4" t="n">
        <v>45874</v>
      </c>
      <c r="X1656" s="4" t="inlineStr">
        <is>
          <t>PHILIPPOS  CONSTANTINIDES
TRADING CO.LTD</t>
        </is>
      </c>
    </row>
    <row r="1657" ht="24" customHeight="1">
      <c r="A1657" s="2">
        <f>+D1657-S1657</f>
        <v/>
      </c>
      <c r="B1657" s="80" t="n">
        <v>3296</v>
      </c>
      <c r="C1657" s="66" t="n">
        <v>45842</v>
      </c>
      <c r="D1657" s="2" t="n">
        <v>1</v>
      </c>
      <c r="E1657" s="3" t="inlineStr">
        <is>
          <t>PISTOLA SEMIAUTOMATICA</t>
        </is>
      </c>
      <c r="F1657" s="3" t="inlineStr">
        <is>
          <t>9</t>
        </is>
      </c>
      <c r="G1657" s="3" t="inlineStr">
        <is>
          <t>GLOCK</t>
        </is>
      </c>
      <c r="H1657" s="65" t="inlineStr">
        <is>
          <t>19X LUGER FDE</t>
        </is>
      </c>
      <c r="I1657" s="65" t="inlineStr">
        <is>
          <t>CEYH881</t>
        </is>
      </c>
      <c r="J1657" s="65" t="inlineStr">
        <is>
          <t>N/D</t>
        </is>
      </c>
      <c r="K1657" s="65" t="inlineStr">
        <is>
          <t>N/D</t>
        </is>
      </c>
      <c r="L1657" s="127" t="inlineStr">
        <is>
          <t>BIGNAMI SPA</t>
        </is>
      </c>
      <c r="M1657" s="5" t="n">
        <v>477.25</v>
      </c>
      <c r="N1657" s="5" t="n"/>
      <c r="O1657" s="5">
        <f>+M1657+N1657</f>
        <v/>
      </c>
      <c r="P1657" s="4" t="n">
        <v>45793</v>
      </c>
      <c r="Q1657" s="87" t="n">
        <v>45841</v>
      </c>
      <c r="R1657" s="5" t="n">
        <v>501</v>
      </c>
      <c r="S1657" s="2" t="n">
        <v>1</v>
      </c>
      <c r="T1657" s="3" t="inlineStr">
        <is>
          <t>CA04954OS</t>
        </is>
      </c>
      <c r="U1657" s="87" t="n">
        <v>45874</v>
      </c>
      <c r="V1657" s="3" t="inlineStr">
        <is>
          <t>25</t>
        </is>
      </c>
      <c r="W1657" s="4" t="n">
        <v>45874</v>
      </c>
      <c r="X1657" s="4" t="inlineStr">
        <is>
          <t>PHILIPPOS  CONSTANTINIDES
TRADING CO.LTD</t>
        </is>
      </c>
    </row>
    <row r="1658" ht="24" customHeight="1">
      <c r="A1658" s="2">
        <f>+D1658-S1658</f>
        <v/>
      </c>
      <c r="B1658" s="80" t="n">
        <v>3297</v>
      </c>
      <c r="C1658" s="66" t="n">
        <v>45842</v>
      </c>
      <c r="D1658" s="2" t="n">
        <v>1</v>
      </c>
      <c r="E1658" s="3" t="inlineStr">
        <is>
          <t>PISTOLA SEMIAUTOMATICA</t>
        </is>
      </c>
      <c r="F1658" s="3" t="inlineStr">
        <is>
          <t>9</t>
        </is>
      </c>
      <c r="G1658" s="3" t="inlineStr">
        <is>
          <t>GLOCK</t>
        </is>
      </c>
      <c r="H1658" s="65" t="inlineStr">
        <is>
          <t>19X LUGER FDE</t>
        </is>
      </c>
      <c r="I1658" s="65" t="inlineStr">
        <is>
          <t>CEYH873</t>
        </is>
      </c>
      <c r="J1658" s="65" t="inlineStr">
        <is>
          <t>N/D</t>
        </is>
      </c>
      <c r="K1658" s="65" t="inlineStr">
        <is>
          <t>N/D</t>
        </is>
      </c>
      <c r="L1658" s="127" t="inlineStr">
        <is>
          <t>BIGNAMI SPA</t>
        </is>
      </c>
      <c r="M1658" s="5" t="n">
        <v>477.25</v>
      </c>
      <c r="N1658" s="5" t="n"/>
      <c r="O1658" s="5">
        <f>+M1658+N1658</f>
        <v/>
      </c>
      <c r="P1658" s="4" t="n">
        <v>45793</v>
      </c>
      <c r="Q1658" s="87" t="n">
        <v>45841</v>
      </c>
      <c r="R1658" s="5" t="n">
        <v>501</v>
      </c>
      <c r="S1658" s="2" t="n">
        <v>1</v>
      </c>
      <c r="T1658" s="3" t="inlineStr">
        <is>
          <t>CA04954OS</t>
        </is>
      </c>
      <c r="U1658" s="87" t="n">
        <v>45874</v>
      </c>
      <c r="V1658" s="3" t="inlineStr">
        <is>
          <t>25</t>
        </is>
      </c>
      <c r="W1658" s="4" t="n">
        <v>45874</v>
      </c>
      <c r="X1658" s="4" t="inlineStr">
        <is>
          <t>PHILIPPOS  CONSTANTINIDES
TRADING CO.LTD</t>
        </is>
      </c>
    </row>
    <row r="1659" ht="24" customHeight="1">
      <c r="A1659" s="2">
        <f>+D1659-S1659</f>
        <v/>
      </c>
      <c r="B1659" s="80" t="n">
        <v>3298</v>
      </c>
      <c r="C1659" s="66" t="n">
        <v>45842</v>
      </c>
      <c r="D1659" s="2" t="n">
        <v>1</v>
      </c>
      <c r="E1659" s="3" t="inlineStr">
        <is>
          <t>PISTOLA SEMIAUTOMATICA</t>
        </is>
      </c>
      <c r="F1659" s="3" t="inlineStr">
        <is>
          <t>9</t>
        </is>
      </c>
      <c r="G1659" s="3" t="inlineStr">
        <is>
          <t>GLOCK</t>
        </is>
      </c>
      <c r="H1659" s="65" t="inlineStr">
        <is>
          <t>19X LUGER FDE</t>
        </is>
      </c>
      <c r="I1659" s="65" t="inlineStr">
        <is>
          <t>CEYH886</t>
        </is>
      </c>
      <c r="J1659" s="65" t="inlineStr">
        <is>
          <t>N/D</t>
        </is>
      </c>
      <c r="K1659" s="65" t="inlineStr">
        <is>
          <t>N/D</t>
        </is>
      </c>
      <c r="L1659" s="127" t="inlineStr">
        <is>
          <t>BIGNAMI SPA</t>
        </is>
      </c>
      <c r="M1659" s="5" t="n">
        <v>477.25</v>
      </c>
      <c r="N1659" s="5" t="n"/>
      <c r="O1659" s="5">
        <f>+M1659+N1659</f>
        <v/>
      </c>
      <c r="P1659" s="4" t="n">
        <v>45793</v>
      </c>
      <c r="Q1659" s="87" t="n">
        <v>45841</v>
      </c>
      <c r="R1659" s="5" t="n">
        <v>501</v>
      </c>
      <c r="S1659" s="2" t="n">
        <v>1</v>
      </c>
      <c r="T1659" s="3" t="inlineStr">
        <is>
          <t>CA04954OS</t>
        </is>
      </c>
      <c r="U1659" s="87" t="n">
        <v>45874</v>
      </c>
      <c r="V1659" s="3" t="inlineStr">
        <is>
          <t>25</t>
        </is>
      </c>
      <c r="W1659" s="4" t="n">
        <v>45874</v>
      </c>
      <c r="X1659" s="4" t="inlineStr">
        <is>
          <t>PHILIPPOS  CONSTANTINIDES
TRADING CO.LTD</t>
        </is>
      </c>
    </row>
    <row r="1660" ht="24" customHeight="1">
      <c r="A1660" s="2">
        <f>+D1660-S1660</f>
        <v/>
      </c>
      <c r="B1660" s="80" t="n">
        <v>3299</v>
      </c>
      <c r="C1660" s="66" t="n">
        <v>45842</v>
      </c>
      <c r="D1660" s="2" t="n">
        <v>1</v>
      </c>
      <c r="E1660" s="3" t="inlineStr">
        <is>
          <t>PISTOLA SEMIAUTOMATICA</t>
        </is>
      </c>
      <c r="F1660" s="3" t="inlineStr">
        <is>
          <t>9</t>
        </is>
      </c>
      <c r="G1660" s="3" t="inlineStr">
        <is>
          <t>GLOCK</t>
        </is>
      </c>
      <c r="H1660" s="65" t="inlineStr">
        <is>
          <t>19X LUGER FDE</t>
        </is>
      </c>
      <c r="I1660" s="65" t="inlineStr">
        <is>
          <t>CEYH883</t>
        </is>
      </c>
      <c r="J1660" s="65" t="inlineStr">
        <is>
          <t>N/D</t>
        </is>
      </c>
      <c r="K1660" s="65" t="inlineStr">
        <is>
          <t>N/D</t>
        </is>
      </c>
      <c r="L1660" s="127" t="inlineStr">
        <is>
          <t>BIGNAMI SPA</t>
        </is>
      </c>
      <c r="M1660" s="5" t="n">
        <v>477.25</v>
      </c>
      <c r="N1660" s="5" t="n"/>
      <c r="O1660" s="5">
        <f>+M1660+N1660</f>
        <v/>
      </c>
      <c r="P1660" s="4" t="n">
        <v>45793</v>
      </c>
      <c r="Q1660" s="87" t="n">
        <v>45841</v>
      </c>
      <c r="R1660" s="5" t="n">
        <v>501</v>
      </c>
      <c r="S1660" s="2" t="n">
        <v>1</v>
      </c>
      <c r="T1660" s="3" t="inlineStr">
        <is>
          <t>CA04954OS</t>
        </is>
      </c>
      <c r="U1660" s="87" t="n">
        <v>45874</v>
      </c>
      <c r="V1660" s="3" t="inlineStr">
        <is>
          <t>25</t>
        </is>
      </c>
      <c r="W1660" s="4" t="n">
        <v>45874</v>
      </c>
      <c r="X1660" s="4" t="inlineStr">
        <is>
          <t>PHILIPPOS  CONSTANTINIDES
TRADING CO.LTD</t>
        </is>
      </c>
    </row>
    <row r="1661" ht="24" customHeight="1">
      <c r="A1661" s="2">
        <f>+D1661-S1661</f>
        <v/>
      </c>
      <c r="B1661" s="80" t="n">
        <v>3300</v>
      </c>
      <c r="C1661" s="66" t="n">
        <v>45842</v>
      </c>
      <c r="D1661" s="2" t="n">
        <v>1</v>
      </c>
      <c r="E1661" s="3" t="inlineStr">
        <is>
          <t>PISTOLA SEMIAUTOMATICA</t>
        </is>
      </c>
      <c r="F1661" s="3" t="inlineStr">
        <is>
          <t>9</t>
        </is>
      </c>
      <c r="G1661" s="3" t="inlineStr">
        <is>
          <t>GLOCK</t>
        </is>
      </c>
      <c r="H1661" s="65" t="inlineStr">
        <is>
          <t>19X LUGER FDE</t>
        </is>
      </c>
      <c r="I1661" s="65" t="inlineStr">
        <is>
          <t>CEYH880</t>
        </is>
      </c>
      <c r="J1661" s="65" t="inlineStr">
        <is>
          <t>N/D</t>
        </is>
      </c>
      <c r="K1661" s="65" t="inlineStr">
        <is>
          <t>N/D</t>
        </is>
      </c>
      <c r="L1661" s="127" t="inlineStr">
        <is>
          <t>BIGNAMI SPA</t>
        </is>
      </c>
      <c r="M1661" s="5" t="n">
        <v>477.25</v>
      </c>
      <c r="N1661" s="5" t="n"/>
      <c r="O1661" s="5">
        <f>+M1661+N1661</f>
        <v/>
      </c>
      <c r="P1661" s="4" t="n">
        <v>45793</v>
      </c>
      <c r="Q1661" s="87" t="n">
        <v>45841</v>
      </c>
      <c r="R1661" s="5" t="n">
        <v>501</v>
      </c>
      <c r="S1661" s="2" t="n">
        <v>1</v>
      </c>
      <c r="T1661" s="3" t="inlineStr">
        <is>
          <t>CA04954OS</t>
        </is>
      </c>
      <c r="U1661" s="87" t="n">
        <v>45874</v>
      </c>
      <c r="V1661" s="3" t="inlineStr">
        <is>
          <t>25</t>
        </is>
      </c>
      <c r="W1661" s="4" t="n">
        <v>45874</v>
      </c>
      <c r="X1661" s="4" t="inlineStr">
        <is>
          <t>PHILIPPOS  CONSTANTINIDES
TRADING CO.LTD</t>
        </is>
      </c>
    </row>
    <row r="1662" ht="24" customHeight="1">
      <c r="A1662" s="2">
        <f>+D1662-S1662</f>
        <v/>
      </c>
      <c r="B1662" s="80" t="n">
        <v>3301</v>
      </c>
      <c r="C1662" s="66" t="n">
        <v>45842</v>
      </c>
      <c r="D1662" s="2" t="n">
        <v>1</v>
      </c>
      <c r="E1662" s="3" t="inlineStr">
        <is>
          <t>PISTOLA SEMIAUTOMATICA</t>
        </is>
      </c>
      <c r="F1662" s="3" t="inlineStr">
        <is>
          <t>9</t>
        </is>
      </c>
      <c r="G1662" s="3" t="inlineStr">
        <is>
          <t>GLOCK</t>
        </is>
      </c>
      <c r="H1662" s="65" t="inlineStr">
        <is>
          <t>19X LUGER FDE</t>
        </is>
      </c>
      <c r="I1662" s="65" t="inlineStr">
        <is>
          <t>CEYH889</t>
        </is>
      </c>
      <c r="J1662" s="65" t="inlineStr">
        <is>
          <t>N/D</t>
        </is>
      </c>
      <c r="K1662" s="65" t="inlineStr">
        <is>
          <t>N/D</t>
        </is>
      </c>
      <c r="L1662" s="127" t="inlineStr">
        <is>
          <t>BIGNAMI SPA</t>
        </is>
      </c>
      <c r="M1662" s="5" t="n">
        <v>477.25</v>
      </c>
      <c r="N1662" s="5" t="n"/>
      <c r="O1662" s="5">
        <f>+M1662+N1662</f>
        <v/>
      </c>
      <c r="P1662" s="4" t="n">
        <v>45793</v>
      </c>
      <c r="Q1662" s="87" t="n">
        <v>45841</v>
      </c>
      <c r="R1662" s="5" t="n">
        <v>501</v>
      </c>
      <c r="S1662" s="2" t="n">
        <v>1</v>
      </c>
      <c r="T1662" s="3" t="inlineStr">
        <is>
          <t>CA04954OS</t>
        </is>
      </c>
      <c r="U1662" s="87" t="n">
        <v>45874</v>
      </c>
      <c r="V1662" s="3" t="inlineStr">
        <is>
          <t>25</t>
        </is>
      </c>
      <c r="W1662" s="4" t="n">
        <v>45874</v>
      </c>
      <c r="X1662" s="4" t="inlineStr">
        <is>
          <t>PHILIPPOS  CONSTANTINIDES
TRADING CO.LTD</t>
        </is>
      </c>
    </row>
    <row r="1663" ht="24" customHeight="1">
      <c r="A1663" s="2">
        <f>+D1663-S1663</f>
        <v/>
      </c>
      <c r="B1663" s="80" t="n">
        <v>3302</v>
      </c>
      <c r="C1663" s="66" t="n">
        <v>45842</v>
      </c>
      <c r="D1663" s="2" t="n">
        <v>1</v>
      </c>
      <c r="E1663" s="3" t="inlineStr">
        <is>
          <t>PISTOLA SEMIAUTOMATICA</t>
        </is>
      </c>
      <c r="F1663" s="3" t="inlineStr">
        <is>
          <t>9</t>
        </is>
      </c>
      <c r="G1663" s="3" t="inlineStr">
        <is>
          <t>GLOCK</t>
        </is>
      </c>
      <c r="H1663" s="65" t="inlineStr">
        <is>
          <t>19X LUGER FDE</t>
        </is>
      </c>
      <c r="I1663" s="65" t="inlineStr">
        <is>
          <t>CEYH884</t>
        </is>
      </c>
      <c r="J1663" s="65" t="inlineStr">
        <is>
          <t>N/D</t>
        </is>
      </c>
      <c r="K1663" s="65" t="inlineStr">
        <is>
          <t>N/D</t>
        </is>
      </c>
      <c r="L1663" s="127" t="inlineStr">
        <is>
          <t>BIGNAMI SPA</t>
        </is>
      </c>
      <c r="M1663" s="5" t="n">
        <v>477.25</v>
      </c>
      <c r="N1663" s="5" t="n"/>
      <c r="O1663" s="5">
        <f>+M1663+N1663</f>
        <v/>
      </c>
      <c r="P1663" s="4" t="n">
        <v>45793</v>
      </c>
      <c r="Q1663" s="87" t="n">
        <v>45841</v>
      </c>
      <c r="R1663" s="5" t="n">
        <v>501</v>
      </c>
      <c r="S1663" s="2" t="n">
        <v>1</v>
      </c>
      <c r="T1663" s="3" t="inlineStr">
        <is>
          <t>CA04954OS</t>
        </is>
      </c>
      <c r="U1663" s="87" t="n">
        <v>45874</v>
      </c>
      <c r="V1663" s="3" t="inlineStr">
        <is>
          <t>25</t>
        </is>
      </c>
      <c r="W1663" s="4" t="n">
        <v>45874</v>
      </c>
      <c r="X1663" s="4" t="inlineStr">
        <is>
          <t>PHILIPPOS  CONSTANTINIDES
TRADING CO.LTD</t>
        </is>
      </c>
    </row>
    <row r="1664" ht="24" customHeight="1">
      <c r="A1664" s="2">
        <f>+D1664-S1664</f>
        <v/>
      </c>
      <c r="B1664" s="80" t="n">
        <v>3303</v>
      </c>
      <c r="C1664" s="66" t="n">
        <v>45842</v>
      </c>
      <c r="D1664" s="2" t="n">
        <v>1</v>
      </c>
      <c r="E1664" s="3" t="inlineStr">
        <is>
          <t>PISTOLA SEMIAUTOMATICA</t>
        </is>
      </c>
      <c r="F1664" s="3" t="inlineStr">
        <is>
          <t>9</t>
        </is>
      </c>
      <c r="G1664" s="3" t="inlineStr">
        <is>
          <t>GLOCK</t>
        </is>
      </c>
      <c r="H1664" s="65" t="inlineStr">
        <is>
          <t>19 GEN 5 9 LUGER FS</t>
        </is>
      </c>
      <c r="I1664" s="65" t="inlineStr">
        <is>
          <t>CFCB734</t>
        </is>
      </c>
      <c r="J1664" s="65" t="inlineStr">
        <is>
          <t>N/D</t>
        </is>
      </c>
      <c r="K1664" s="65" t="inlineStr">
        <is>
          <t>N/D</t>
        </is>
      </c>
      <c r="L1664" s="127" t="inlineStr">
        <is>
          <t>BIGNAMI SPA</t>
        </is>
      </c>
      <c r="M1664" s="5" t="n">
        <v>437.956</v>
      </c>
      <c r="N1664" s="5" t="n"/>
      <c r="O1664" s="5">
        <f>+M1664+N1664</f>
        <v/>
      </c>
      <c r="P1664" s="4" t="n">
        <v>45793</v>
      </c>
      <c r="Q1664" s="87" t="n">
        <v>45841</v>
      </c>
      <c r="R1664" s="5" t="n">
        <v>543</v>
      </c>
      <c r="S1664" s="2" t="n">
        <v>1</v>
      </c>
      <c r="T1664" s="3" t="inlineStr">
        <is>
          <t>CA04954OS</t>
        </is>
      </c>
      <c r="U1664" s="87" t="n">
        <v>45874</v>
      </c>
      <c r="V1664" s="3" t="inlineStr">
        <is>
          <t>25</t>
        </is>
      </c>
      <c r="W1664" s="4" t="n">
        <v>45874</v>
      </c>
      <c r="X1664" s="4" t="inlineStr">
        <is>
          <t>PHILIPPOS  CONSTANTINIDES
TRADING CO.LTD</t>
        </is>
      </c>
    </row>
    <row r="1665" ht="24" customHeight="1">
      <c r="A1665" s="2">
        <f>+D1665-S1665</f>
        <v/>
      </c>
      <c r="B1665" s="80" t="n">
        <v>3304</v>
      </c>
      <c r="C1665" s="66" t="n">
        <v>45842</v>
      </c>
      <c r="D1665" s="2" t="n">
        <v>1</v>
      </c>
      <c r="E1665" s="3" t="inlineStr">
        <is>
          <t>PISTOLA SEMIAUTOMATICA</t>
        </is>
      </c>
      <c r="F1665" s="3" t="inlineStr">
        <is>
          <t>9</t>
        </is>
      </c>
      <c r="G1665" s="3" t="inlineStr">
        <is>
          <t>GLOCK</t>
        </is>
      </c>
      <c r="H1665" s="65" t="inlineStr">
        <is>
          <t>19 GEN 5 9 LUGER FS</t>
        </is>
      </c>
      <c r="I1665" s="65" t="inlineStr">
        <is>
          <t>CEDC678</t>
        </is>
      </c>
      <c r="J1665" s="65" t="inlineStr">
        <is>
          <t>N/D</t>
        </is>
      </c>
      <c r="K1665" s="65" t="inlineStr">
        <is>
          <t>N/D</t>
        </is>
      </c>
      <c r="L1665" s="127" t="inlineStr">
        <is>
          <t>BIGNAMI SPA</t>
        </is>
      </c>
      <c r="M1665" s="5" t="n">
        <v>437.956</v>
      </c>
      <c r="N1665" s="5" t="n"/>
      <c r="O1665" s="5">
        <f>+M1665+N1665</f>
        <v/>
      </c>
      <c r="P1665" s="4" t="n">
        <v>45793</v>
      </c>
      <c r="Q1665" s="87" t="n">
        <v>45841</v>
      </c>
      <c r="R1665" s="5" t="n">
        <v>543</v>
      </c>
      <c r="S1665" s="2" t="n">
        <v>1</v>
      </c>
      <c r="T1665" s="3" t="inlineStr">
        <is>
          <t>CA04954OS</t>
        </is>
      </c>
      <c r="U1665" s="87" t="n">
        <v>45874</v>
      </c>
      <c r="V1665" s="3" t="inlineStr">
        <is>
          <t>25</t>
        </is>
      </c>
      <c r="W1665" s="4" t="n">
        <v>45874</v>
      </c>
      <c r="X1665" s="4" t="inlineStr">
        <is>
          <t>PHILIPPOS  CONSTANTINIDES
TRADING CO.LTD</t>
        </is>
      </c>
    </row>
    <row r="1666" ht="24" customHeight="1">
      <c r="A1666" s="2">
        <f>+D1666-S1666</f>
        <v/>
      </c>
      <c r="B1666" s="80" t="n">
        <v>3305</v>
      </c>
      <c r="C1666" s="66" t="n">
        <v>45842</v>
      </c>
      <c r="D1666" s="2" t="n">
        <v>1</v>
      </c>
      <c r="E1666" s="3" t="inlineStr">
        <is>
          <t>PISTOLA SEMIAUTOMATICA</t>
        </is>
      </c>
      <c r="F1666" s="3" t="inlineStr">
        <is>
          <t>9</t>
        </is>
      </c>
      <c r="G1666" s="3" t="inlineStr">
        <is>
          <t>GLOCK</t>
        </is>
      </c>
      <c r="H1666" s="65" t="inlineStr">
        <is>
          <t>19 GEN 5 9 LUGER FS</t>
        </is>
      </c>
      <c r="I1666" s="65" t="inlineStr">
        <is>
          <t>CFCB739</t>
        </is>
      </c>
      <c r="J1666" s="65" t="inlineStr">
        <is>
          <t>N/D</t>
        </is>
      </c>
      <c r="K1666" s="65" t="inlineStr">
        <is>
          <t>N/D</t>
        </is>
      </c>
      <c r="L1666" s="127" t="inlineStr">
        <is>
          <t>BIGNAMI SPA</t>
        </is>
      </c>
      <c r="M1666" s="5" t="n">
        <v>437.956</v>
      </c>
      <c r="N1666" s="5" t="n"/>
      <c r="O1666" s="5">
        <f>+M1666+N1666</f>
        <v/>
      </c>
      <c r="P1666" s="4" t="n">
        <v>45793</v>
      </c>
      <c r="Q1666" s="87" t="n">
        <v>45841</v>
      </c>
      <c r="R1666" s="5" t="n">
        <v>543</v>
      </c>
      <c r="S1666" s="2" t="n">
        <v>1</v>
      </c>
      <c r="T1666" s="3" t="inlineStr">
        <is>
          <t>CA04954OS</t>
        </is>
      </c>
      <c r="U1666" s="87" t="n">
        <v>45874</v>
      </c>
      <c r="V1666" s="3" t="inlineStr">
        <is>
          <t>25</t>
        </is>
      </c>
      <c r="W1666" s="4" t="n">
        <v>45874</v>
      </c>
      <c r="X1666" s="4" t="inlineStr">
        <is>
          <t>PHILIPPOS  CONSTANTINIDES
TRADING CO.LTD</t>
        </is>
      </c>
    </row>
    <row r="1667" ht="24" customHeight="1">
      <c r="A1667" s="2">
        <f>+D1667-S1667</f>
        <v/>
      </c>
      <c r="B1667" s="80" t="n">
        <v>3306</v>
      </c>
      <c r="C1667" s="66" t="n">
        <v>45842</v>
      </c>
      <c r="D1667" s="2" t="n">
        <v>1</v>
      </c>
      <c r="E1667" s="3" t="inlineStr">
        <is>
          <t>PISTOLA SEMIAUTOMATICA</t>
        </is>
      </c>
      <c r="F1667" s="3" t="inlineStr">
        <is>
          <t>9</t>
        </is>
      </c>
      <c r="G1667" s="3" t="inlineStr">
        <is>
          <t>GLOCK</t>
        </is>
      </c>
      <c r="H1667" s="65" t="inlineStr">
        <is>
          <t>19 GEN 5 9 LUGER FS</t>
        </is>
      </c>
      <c r="I1667" s="65" t="inlineStr">
        <is>
          <t>CEDC672</t>
        </is>
      </c>
      <c r="J1667" s="65" t="inlineStr">
        <is>
          <t>N/D</t>
        </is>
      </c>
      <c r="K1667" s="65" t="inlineStr">
        <is>
          <t>N/D</t>
        </is>
      </c>
      <c r="L1667" s="127" t="inlineStr">
        <is>
          <t>BIGNAMI SPA</t>
        </is>
      </c>
      <c r="M1667" s="5" t="n">
        <v>437.956</v>
      </c>
      <c r="N1667" s="5" t="n"/>
      <c r="O1667" s="5">
        <f>+M1667+N1667</f>
        <v/>
      </c>
      <c r="P1667" s="4" t="n">
        <v>45793</v>
      </c>
      <c r="Q1667" s="87" t="n">
        <v>45841</v>
      </c>
      <c r="R1667" s="5" t="n">
        <v>543</v>
      </c>
      <c r="S1667" s="2" t="n">
        <v>1</v>
      </c>
      <c r="T1667" s="3" t="inlineStr">
        <is>
          <t>CA04954OS</t>
        </is>
      </c>
      <c r="U1667" s="87" t="n">
        <v>45874</v>
      </c>
      <c r="V1667" s="3" t="inlineStr">
        <is>
          <t>25</t>
        </is>
      </c>
      <c r="W1667" s="4" t="n">
        <v>45874</v>
      </c>
      <c r="X1667" s="4" t="inlineStr">
        <is>
          <t>PHILIPPOS  CONSTANTINIDES
TRADING CO.LTD</t>
        </is>
      </c>
    </row>
    <row r="1668" ht="24" customHeight="1">
      <c r="A1668" s="2">
        <f>+D1668-S1668</f>
        <v/>
      </c>
      <c r="B1668" s="80" t="n">
        <v>3307</v>
      </c>
      <c r="C1668" s="66" t="n">
        <v>45842</v>
      </c>
      <c r="D1668" s="2" t="n">
        <v>1</v>
      </c>
      <c r="E1668" s="3" t="inlineStr">
        <is>
          <t>PISTOLA SEMIAUTOMATICA</t>
        </is>
      </c>
      <c r="F1668" s="3" t="inlineStr">
        <is>
          <t>9</t>
        </is>
      </c>
      <c r="G1668" s="3" t="inlineStr">
        <is>
          <t>GLOCK</t>
        </is>
      </c>
      <c r="H1668" s="65" t="inlineStr">
        <is>
          <t>19 GEN 5 9 LUGER FS</t>
        </is>
      </c>
      <c r="I1668" s="65" t="inlineStr">
        <is>
          <t>CEDC673</t>
        </is>
      </c>
      <c r="J1668" s="65" t="inlineStr">
        <is>
          <t>N/D</t>
        </is>
      </c>
      <c r="K1668" s="65" t="inlineStr">
        <is>
          <t>N/D</t>
        </is>
      </c>
      <c r="L1668" s="127" t="inlineStr">
        <is>
          <t>BIGNAMI SPA</t>
        </is>
      </c>
      <c r="M1668" s="5" t="n">
        <v>437.956</v>
      </c>
      <c r="N1668" s="5" t="n"/>
      <c r="O1668" s="5">
        <f>+M1668+N1668</f>
        <v/>
      </c>
      <c r="P1668" s="4" t="n">
        <v>45793</v>
      </c>
      <c r="Q1668" s="87" t="n">
        <v>45841</v>
      </c>
      <c r="R1668" s="5" t="n">
        <v>543</v>
      </c>
      <c r="S1668" s="2" t="n">
        <v>1</v>
      </c>
      <c r="T1668" s="3" t="inlineStr">
        <is>
          <t>CA04954OS</t>
        </is>
      </c>
      <c r="U1668" s="87" t="n">
        <v>45874</v>
      </c>
      <c r="V1668" s="3" t="inlineStr">
        <is>
          <t>25</t>
        </is>
      </c>
      <c r="W1668" s="4" t="n">
        <v>45874</v>
      </c>
      <c r="X1668" s="4" t="inlineStr">
        <is>
          <t>PHILIPPOS  CONSTANTINIDES
TRADING CO.LTD</t>
        </is>
      </c>
    </row>
    <row r="1669" ht="24" customHeight="1">
      <c r="A1669" s="2">
        <f>+D1669-S1669</f>
        <v/>
      </c>
      <c r="C1669" s="66" t="n">
        <v>45842</v>
      </c>
      <c r="D1669" s="2" t="n">
        <v>1</v>
      </c>
      <c r="E1669" s="3" t="inlineStr">
        <is>
          <t>ACCESSORI</t>
        </is>
      </c>
      <c r="F1669" s="3" t="inlineStr">
        <is>
          <t>9</t>
        </is>
      </c>
      <c r="G1669" s="3" t="inlineStr">
        <is>
          <t>GLOCK</t>
        </is>
      </c>
      <c r="H1669" s="65" t="inlineStr">
        <is>
          <t>SCATTO PERFORMANCE GEN4/GEN5</t>
        </is>
      </c>
      <c r="I1669" s="65" t="inlineStr">
        <is>
          <t>N/D</t>
        </is>
      </c>
      <c r="J1669" s="65" t="inlineStr">
        <is>
          <t>N/D</t>
        </is>
      </c>
      <c r="K1669" s="65" t="inlineStr">
        <is>
          <t>N/D</t>
        </is>
      </c>
      <c r="L1669" s="127" t="inlineStr">
        <is>
          <t>BIGNAMI SPA</t>
        </is>
      </c>
      <c r="M1669" s="5" t="n">
        <v>75.7</v>
      </c>
      <c r="N1669" s="5" t="n"/>
      <c r="O1669" s="5">
        <f>+M1669+N1669</f>
        <v/>
      </c>
      <c r="P1669" s="4" t="n">
        <v>45793</v>
      </c>
      <c r="Q1669" s="87" t="n">
        <v>45841</v>
      </c>
      <c r="R1669" s="5" t="n">
        <v>80</v>
      </c>
      <c r="S1669" s="2" t="n">
        <v>1</v>
      </c>
      <c r="T1669" s="3" t="inlineStr">
        <is>
          <t>CA04954OS</t>
        </is>
      </c>
      <c r="U1669" s="87" t="n">
        <v>45874</v>
      </c>
      <c r="V1669" s="3" t="inlineStr">
        <is>
          <t>26</t>
        </is>
      </c>
      <c r="W1669" s="4" t="n">
        <v>45874</v>
      </c>
      <c r="X1669" s="4" t="inlineStr">
        <is>
          <t>PHILIPPOS  CONSTANTINIDES
TRADING CO.LTD</t>
        </is>
      </c>
    </row>
    <row r="1670" ht="24" customHeight="1">
      <c r="A1670" s="2">
        <f>+D1670-S1670</f>
        <v/>
      </c>
      <c r="B1670" s="80" t="n">
        <v>3308</v>
      </c>
      <c r="C1670" s="66" t="n">
        <v>45842</v>
      </c>
      <c r="D1670" s="106" t="n">
        <v>1</v>
      </c>
      <c r="E1670" s="3" t="inlineStr">
        <is>
          <t>CARABINA SEMIAUTOMATICA</t>
        </is>
      </c>
      <c r="F1670" s="84" t="inlineStr">
        <is>
          <t>.223 REM</t>
        </is>
      </c>
      <c r="G1670" s="84" t="inlineStr">
        <is>
          <t>SAN SWISS ARMS</t>
        </is>
      </c>
      <c r="H1670" s="107" t="inlineStr">
        <is>
          <t>SPORTER 553 14'' ODG(S)</t>
        </is>
      </c>
      <c r="I1670" s="107" t="inlineStr">
        <is>
          <t>SG419077</t>
        </is>
      </c>
      <c r="J1670" s="65" t="inlineStr">
        <is>
          <t>N/D</t>
        </is>
      </c>
      <c r="K1670" s="65" t="inlineStr">
        <is>
          <t>N/D</t>
        </is>
      </c>
      <c r="L1670" s="127" t="inlineStr">
        <is>
          <t>BIGNAMI SPA</t>
        </is>
      </c>
      <c r="M1670" s="5" t="n">
        <v>1751</v>
      </c>
      <c r="N1670" s="5" t="n"/>
      <c r="O1670" s="5">
        <f>+M1670+N1670</f>
        <v/>
      </c>
      <c r="P1670" s="4" t="n">
        <v>45793</v>
      </c>
      <c r="Q1670" s="87" t="n">
        <v>45841</v>
      </c>
      <c r="R1670" s="5" t="n">
        <v>1838</v>
      </c>
      <c r="S1670" s="2" t="n">
        <v>1</v>
      </c>
      <c r="T1670" s="3" t="inlineStr">
        <is>
          <t>CA04954OS</t>
        </is>
      </c>
      <c r="U1670" s="87" t="n">
        <v>45874</v>
      </c>
      <c r="V1670" s="3" t="inlineStr">
        <is>
          <t>26</t>
        </is>
      </c>
      <c r="W1670" s="4" t="n">
        <v>45874</v>
      </c>
      <c r="X1670" s="4" t="inlineStr">
        <is>
          <t>PHILIPPOS  CONSTANTINIDES
TRADING CO.LTD</t>
        </is>
      </c>
    </row>
    <row r="1671" ht="24" customHeight="1">
      <c r="A1671" s="2">
        <f>+D1671-S1671</f>
        <v/>
      </c>
      <c r="B1671" s="80" t="n">
        <v>3309</v>
      </c>
      <c r="C1671" s="66" t="n">
        <v>45842</v>
      </c>
      <c r="D1671" s="106" t="n">
        <v>1</v>
      </c>
      <c r="E1671" s="3" t="inlineStr">
        <is>
          <t>CARABINA SEMIAUTOMATICA</t>
        </is>
      </c>
      <c r="F1671" s="84" t="inlineStr">
        <is>
          <t>.223 REM</t>
        </is>
      </c>
      <c r="G1671" s="84" t="inlineStr">
        <is>
          <t>SAN SWISS ARMS</t>
        </is>
      </c>
      <c r="H1671" s="107" t="inlineStr">
        <is>
          <t>SPORTER 553 14'' ODG(S)</t>
        </is>
      </c>
      <c r="I1671" s="65" t="inlineStr">
        <is>
          <t>SG419096</t>
        </is>
      </c>
      <c r="J1671" s="65" t="inlineStr">
        <is>
          <t>N/D</t>
        </is>
      </c>
      <c r="K1671" s="65" t="inlineStr">
        <is>
          <t>N/D</t>
        </is>
      </c>
      <c r="L1671" s="127" t="inlineStr">
        <is>
          <t>BIGNAMI SPA</t>
        </is>
      </c>
      <c r="M1671" s="5" t="n">
        <v>1751</v>
      </c>
      <c r="N1671" s="5" t="n"/>
      <c r="O1671" s="5">
        <f>+M1671+N1671</f>
        <v/>
      </c>
      <c r="P1671" s="4" t="n">
        <v>45793</v>
      </c>
      <c r="Q1671" s="87" t="n">
        <v>45841</v>
      </c>
      <c r="R1671" s="5" t="n">
        <v>1838</v>
      </c>
      <c r="S1671" s="2" t="n">
        <v>1</v>
      </c>
      <c r="T1671" s="3" t="inlineStr">
        <is>
          <t>CA04954OS</t>
        </is>
      </c>
      <c r="U1671" s="87" t="n">
        <v>45874</v>
      </c>
      <c r="V1671" s="3" t="inlineStr">
        <is>
          <t>26</t>
        </is>
      </c>
      <c r="W1671" s="4" t="n">
        <v>45874</v>
      </c>
      <c r="X1671" s="4" t="inlineStr">
        <is>
          <t>PHILIPPOS  CONSTANTINIDES
TRADING CO.LTD</t>
        </is>
      </c>
    </row>
    <row r="1672" ht="24" customHeight="1">
      <c r="A1672" s="2">
        <f>+D1672-S1672</f>
        <v/>
      </c>
      <c r="B1672" s="80" t="n">
        <v>3310</v>
      </c>
      <c r="C1672" s="66" t="n">
        <v>45842</v>
      </c>
      <c r="D1672" s="106" t="n">
        <v>1</v>
      </c>
      <c r="E1672" s="3" t="inlineStr">
        <is>
          <t>CARABINA SEMIAUTOMATICA</t>
        </is>
      </c>
      <c r="F1672" s="84" t="inlineStr">
        <is>
          <t>.223 REM</t>
        </is>
      </c>
      <c r="G1672" s="84" t="inlineStr">
        <is>
          <t>SAN SWISS ARMS</t>
        </is>
      </c>
      <c r="H1672" s="107" t="inlineStr">
        <is>
          <t>SPORTER 553 14'' ODG(S)</t>
        </is>
      </c>
      <c r="I1672" s="65" t="inlineStr">
        <is>
          <t>SG419143</t>
        </is>
      </c>
      <c r="J1672" s="65" t="inlineStr">
        <is>
          <t>N/D</t>
        </is>
      </c>
      <c r="K1672" s="65" t="inlineStr">
        <is>
          <t>N/D</t>
        </is>
      </c>
      <c r="L1672" s="127" t="inlineStr">
        <is>
          <t>BIGNAMI SPA</t>
        </is>
      </c>
      <c r="M1672" s="5" t="n">
        <v>1751</v>
      </c>
      <c r="N1672" s="5" t="n"/>
      <c r="O1672" s="5">
        <f>+M1672+N1672</f>
        <v/>
      </c>
      <c r="P1672" s="4" t="n">
        <v>45793</v>
      </c>
      <c r="Q1672" s="87" t="n">
        <v>45841</v>
      </c>
      <c r="R1672" s="5" t="n">
        <v>1838</v>
      </c>
      <c r="S1672" s="2" t="n">
        <v>1</v>
      </c>
      <c r="T1672" s="3" t="inlineStr">
        <is>
          <t>CA04954OS</t>
        </is>
      </c>
      <c r="U1672" s="87" t="n">
        <v>45874</v>
      </c>
      <c r="V1672" s="3" t="inlineStr">
        <is>
          <t>26</t>
        </is>
      </c>
      <c r="W1672" s="4" t="n">
        <v>45874</v>
      </c>
      <c r="X1672" s="4" t="inlineStr">
        <is>
          <t>PHILIPPOS  CONSTANTINIDES
TRADING CO.LTD</t>
        </is>
      </c>
    </row>
    <row r="1673" ht="24" customHeight="1">
      <c r="A1673" s="2">
        <f>+D1673-S1673</f>
        <v/>
      </c>
      <c r="B1673" s="80" t="n">
        <v>3311</v>
      </c>
      <c r="C1673" s="66" t="n">
        <v>45842</v>
      </c>
      <c r="D1673" s="2" t="n">
        <v>1</v>
      </c>
      <c r="E1673" s="3" t="inlineStr">
        <is>
          <t>PISTOLA SEMIAUTOMATICA</t>
        </is>
      </c>
      <c r="F1673" s="3" t="inlineStr">
        <is>
          <t>9</t>
        </is>
      </c>
      <c r="G1673" s="3" t="inlineStr">
        <is>
          <t>GLOCK</t>
        </is>
      </c>
      <c r="H1673" s="65" t="inlineStr">
        <is>
          <t>43X 9 LUGER RAIL FS</t>
        </is>
      </c>
      <c r="I1673" s="65" t="inlineStr">
        <is>
          <t>CEDL861</t>
        </is>
      </c>
      <c r="J1673" s="65" t="inlineStr">
        <is>
          <t>N/D</t>
        </is>
      </c>
      <c r="K1673" s="65" t="inlineStr">
        <is>
          <t>N/D</t>
        </is>
      </c>
      <c r="L1673" s="127" t="inlineStr">
        <is>
          <t>BIGNAMI SPA</t>
        </is>
      </c>
      <c r="M1673" s="5" t="n">
        <v>404.414</v>
      </c>
      <c r="N1673" s="5" t="n"/>
      <c r="O1673" s="5">
        <f>+M1673+N1673</f>
        <v/>
      </c>
      <c r="P1673" s="4" t="n">
        <v>45793</v>
      </c>
      <c r="Q1673" s="87" t="n">
        <v>45841</v>
      </c>
      <c r="R1673" s="5" t="n">
        <v>425</v>
      </c>
      <c r="S1673" s="2" t="n">
        <v>1</v>
      </c>
      <c r="T1673" s="3" t="inlineStr">
        <is>
          <t>CA04954OS</t>
        </is>
      </c>
      <c r="U1673" s="87" t="n">
        <v>45874</v>
      </c>
      <c r="V1673" s="3" t="inlineStr">
        <is>
          <t>25</t>
        </is>
      </c>
      <c r="W1673" s="4" t="n">
        <v>45874</v>
      </c>
      <c r="X1673" s="4" t="inlineStr">
        <is>
          <t>PHILIPPOS  CONSTANTINIDES
TRADING CO.LTD</t>
        </is>
      </c>
    </row>
    <row r="1674" ht="24" customHeight="1">
      <c r="A1674" s="2">
        <f>+D1674-S1674</f>
        <v/>
      </c>
      <c r="B1674" s="80" t="n">
        <v>3312</v>
      </c>
      <c r="C1674" s="66" t="n">
        <v>45842</v>
      </c>
      <c r="D1674" s="2" t="n">
        <v>1</v>
      </c>
      <c r="E1674" s="3" t="inlineStr">
        <is>
          <t>PISTOLA SEMIAUTOMATICA</t>
        </is>
      </c>
      <c r="F1674" s="3" t="inlineStr">
        <is>
          <t>9</t>
        </is>
      </c>
      <c r="G1674" s="3" t="inlineStr">
        <is>
          <t>GLOCK</t>
        </is>
      </c>
      <c r="H1674" s="65" t="inlineStr">
        <is>
          <t>43X 9 LUGER RAIL FS</t>
        </is>
      </c>
      <c r="I1674" s="65" t="inlineStr">
        <is>
          <t>CEDL870</t>
        </is>
      </c>
      <c r="J1674" s="65" t="inlineStr">
        <is>
          <t>N/D</t>
        </is>
      </c>
      <c r="K1674" s="65" t="inlineStr">
        <is>
          <t>N/D</t>
        </is>
      </c>
      <c r="L1674" s="127" t="inlineStr">
        <is>
          <t>BIGNAMI SPA</t>
        </is>
      </c>
      <c r="M1674" s="5" t="n">
        <v>404.414</v>
      </c>
      <c r="N1674" s="5" t="n"/>
      <c r="O1674" s="5">
        <f>+M1674+N1674</f>
        <v/>
      </c>
      <c r="P1674" s="4" t="n">
        <v>45793</v>
      </c>
      <c r="Q1674" s="87" t="n">
        <v>45841</v>
      </c>
      <c r="R1674" s="5" t="n">
        <v>425</v>
      </c>
      <c r="S1674" s="2" t="n">
        <v>1</v>
      </c>
      <c r="T1674" s="3" t="inlineStr">
        <is>
          <t>CA04954OS</t>
        </is>
      </c>
      <c r="U1674" s="87" t="n">
        <v>45874</v>
      </c>
      <c r="V1674" s="3" t="inlineStr">
        <is>
          <t>25</t>
        </is>
      </c>
      <c r="W1674" s="4" t="n">
        <v>45874</v>
      </c>
      <c r="X1674" s="4" t="inlineStr">
        <is>
          <t>PHILIPPOS  CONSTANTINIDES
TRADING CO.LTD</t>
        </is>
      </c>
    </row>
    <row r="1675" ht="24" customHeight="1">
      <c r="A1675" s="2">
        <f>+D1675-S1675</f>
        <v/>
      </c>
      <c r="B1675" s="80" t="n">
        <v>3313</v>
      </c>
      <c r="C1675" s="66" t="n">
        <v>45842</v>
      </c>
      <c r="D1675" s="2" t="n">
        <v>1</v>
      </c>
      <c r="E1675" s="3" t="inlineStr">
        <is>
          <t>PISTOLA SEMIAUTOMATICA</t>
        </is>
      </c>
      <c r="F1675" s="3" t="inlineStr">
        <is>
          <t>9</t>
        </is>
      </c>
      <c r="G1675" s="3" t="inlineStr">
        <is>
          <t>GLOCK</t>
        </is>
      </c>
      <c r="H1675" s="65" t="inlineStr">
        <is>
          <t>43X 9 LUGER RAIL FS</t>
        </is>
      </c>
      <c r="I1675" s="65" t="inlineStr">
        <is>
          <t>CEDL876</t>
        </is>
      </c>
      <c r="J1675" s="65" t="inlineStr">
        <is>
          <t>N/D</t>
        </is>
      </c>
      <c r="K1675" s="65" t="inlineStr">
        <is>
          <t>N/D</t>
        </is>
      </c>
      <c r="L1675" s="127" t="inlineStr">
        <is>
          <t>BIGNAMI SPA</t>
        </is>
      </c>
      <c r="M1675" s="5" t="n">
        <v>404.414</v>
      </c>
      <c r="N1675" s="5" t="n"/>
      <c r="O1675" s="5">
        <f>+M1675+N1675</f>
        <v/>
      </c>
      <c r="P1675" s="4" t="n">
        <v>45793</v>
      </c>
      <c r="Q1675" s="87" t="n">
        <v>45841</v>
      </c>
      <c r="R1675" s="5" t="n">
        <v>425</v>
      </c>
      <c r="S1675" s="2" t="n">
        <v>1</v>
      </c>
      <c r="T1675" s="3" t="inlineStr">
        <is>
          <t>CA04954OS</t>
        </is>
      </c>
      <c r="U1675" s="87" t="n">
        <v>45874</v>
      </c>
      <c r="V1675" s="3" t="inlineStr">
        <is>
          <t>25</t>
        </is>
      </c>
      <c r="W1675" s="4" t="n">
        <v>45874</v>
      </c>
      <c r="X1675" s="4" t="inlineStr">
        <is>
          <t>PHILIPPOS  CONSTANTINIDES
TRADING CO.LTD</t>
        </is>
      </c>
    </row>
    <row r="1676" ht="24" customHeight="1">
      <c r="A1676" s="2">
        <f>+D1676-S1676</f>
        <v/>
      </c>
      <c r="B1676" s="80" t="n">
        <v>3314</v>
      </c>
      <c r="C1676" s="66" t="n">
        <v>45842</v>
      </c>
      <c r="D1676" s="2" t="n">
        <v>1</v>
      </c>
      <c r="E1676" s="3" t="inlineStr">
        <is>
          <t>PISTOLA SEMIAUTOMATICA</t>
        </is>
      </c>
      <c r="F1676" s="3" t="inlineStr">
        <is>
          <t>9</t>
        </is>
      </c>
      <c r="G1676" s="3" t="inlineStr">
        <is>
          <t>GLOCK</t>
        </is>
      </c>
      <c r="H1676" s="65" t="inlineStr">
        <is>
          <t>43X 9 LUGER RAIL FS</t>
        </is>
      </c>
      <c r="I1676" s="65" t="inlineStr">
        <is>
          <t>CEDL875</t>
        </is>
      </c>
      <c r="J1676" s="65" t="inlineStr">
        <is>
          <t>N/D</t>
        </is>
      </c>
      <c r="K1676" s="65" t="inlineStr">
        <is>
          <t>N/D</t>
        </is>
      </c>
      <c r="L1676" s="127" t="inlineStr">
        <is>
          <t>BIGNAMI SPA</t>
        </is>
      </c>
      <c r="M1676" s="5" t="n">
        <v>404.414</v>
      </c>
      <c r="N1676" s="5" t="n"/>
      <c r="O1676" s="5">
        <f>+M1676+N1676</f>
        <v/>
      </c>
      <c r="P1676" s="4" t="n">
        <v>45793</v>
      </c>
      <c r="Q1676" s="87" t="n">
        <v>45841</v>
      </c>
      <c r="R1676" s="5" t="n">
        <v>425</v>
      </c>
      <c r="S1676" s="2" t="n">
        <v>1</v>
      </c>
      <c r="T1676" s="3" t="inlineStr">
        <is>
          <t>CA04954OS</t>
        </is>
      </c>
      <c r="U1676" s="87" t="n">
        <v>45874</v>
      </c>
      <c r="V1676" s="3" t="inlineStr">
        <is>
          <t>25</t>
        </is>
      </c>
      <c r="W1676" s="4" t="n">
        <v>45874</v>
      </c>
      <c r="X1676" s="4" t="inlineStr">
        <is>
          <t>PHILIPPOS  CONSTANTINIDES
TRADING CO.LTD</t>
        </is>
      </c>
    </row>
    <row r="1677" ht="24" customHeight="1">
      <c r="A1677" s="2">
        <f>+D1677-S1677</f>
        <v/>
      </c>
      <c r="B1677" s="80" t="n">
        <v>3315</v>
      </c>
      <c r="C1677" s="66" t="n">
        <v>45842</v>
      </c>
      <c r="D1677" s="2" t="n">
        <v>1</v>
      </c>
      <c r="E1677" s="3" t="inlineStr">
        <is>
          <t>PISTOLA SEMIAUTOMATICA</t>
        </is>
      </c>
      <c r="F1677" s="3" t="inlineStr">
        <is>
          <t>9</t>
        </is>
      </c>
      <c r="G1677" s="3" t="inlineStr">
        <is>
          <t>GLOCK</t>
        </is>
      </c>
      <c r="H1677" s="65" t="inlineStr">
        <is>
          <t>43X 9 LUGER RAIL FS</t>
        </is>
      </c>
      <c r="I1677" s="65" t="inlineStr">
        <is>
          <t>CEDL878</t>
        </is>
      </c>
      <c r="J1677" s="65" t="inlineStr">
        <is>
          <t>N/D</t>
        </is>
      </c>
      <c r="K1677" s="65" t="inlineStr">
        <is>
          <t>N/D</t>
        </is>
      </c>
      <c r="L1677" s="127" t="inlineStr">
        <is>
          <t>BIGNAMI SPA</t>
        </is>
      </c>
      <c r="M1677" s="5" t="n">
        <v>404.414</v>
      </c>
      <c r="N1677" s="5" t="n"/>
      <c r="O1677" s="5">
        <f>+M1677+N1677</f>
        <v/>
      </c>
      <c r="P1677" s="4" t="n">
        <v>45793</v>
      </c>
      <c r="Q1677" s="87" t="n">
        <v>45841</v>
      </c>
      <c r="R1677" s="5" t="n">
        <v>425</v>
      </c>
      <c r="S1677" s="2" t="n">
        <v>1</v>
      </c>
      <c r="T1677" s="3" t="inlineStr">
        <is>
          <t>CA04954OS</t>
        </is>
      </c>
      <c r="U1677" s="87" t="n">
        <v>45874</v>
      </c>
      <c r="V1677" s="3" t="inlineStr">
        <is>
          <t>25</t>
        </is>
      </c>
      <c r="W1677" s="4" t="n">
        <v>45874</v>
      </c>
      <c r="X1677" s="4" t="inlineStr">
        <is>
          <t>PHILIPPOS  CONSTANTINIDES
TRADING CO.LTD</t>
        </is>
      </c>
    </row>
    <row r="1678" ht="24" customHeight="1">
      <c r="A1678" s="2">
        <f>+D1678-S1678</f>
        <v/>
      </c>
      <c r="B1678" s="80" t="n">
        <v>3316</v>
      </c>
      <c r="C1678" s="66" t="n">
        <v>45842</v>
      </c>
      <c r="D1678" s="2" t="n">
        <v>1</v>
      </c>
      <c r="E1678" s="3" t="inlineStr">
        <is>
          <t>CARABINA</t>
        </is>
      </c>
      <c r="F1678" s="3" t="inlineStr">
        <is>
          <t>.22LR</t>
        </is>
      </c>
      <c r="G1678" s="3" t="inlineStr">
        <is>
          <t>RUGER</t>
        </is>
      </c>
      <c r="H1678" s="65" t="inlineStr">
        <is>
          <t>PRECISION RIMFIRE 16.1'' RED</t>
        </is>
      </c>
      <c r="I1678" s="65" t="inlineStr">
        <is>
          <t>842-30935</t>
        </is>
      </c>
      <c r="J1678" s="65" t="inlineStr">
        <is>
          <t>N/D</t>
        </is>
      </c>
      <c r="K1678" s="65" t="inlineStr">
        <is>
          <t>N/D</t>
        </is>
      </c>
      <c r="L1678" s="127" t="inlineStr">
        <is>
          <t>BIGNAMI SPA</t>
        </is>
      </c>
      <c r="M1678" s="5" t="n">
        <v>503.26</v>
      </c>
      <c r="N1678" s="5" t="n"/>
      <c r="O1678" s="5">
        <f>+M1678+N1678</f>
        <v/>
      </c>
      <c r="P1678" s="4" t="n">
        <v>45807</v>
      </c>
      <c r="Q1678" s="87" t="n">
        <v>45841</v>
      </c>
      <c r="R1678" s="5" t="n"/>
      <c r="S1678" s="2" t="n"/>
      <c r="T1678" s="3" t="n"/>
      <c r="U1678" s="87" t="n"/>
      <c r="V1678" s="3" t="n"/>
      <c r="W1678" s="108" t="n"/>
      <c r="X1678" s="4" t="n"/>
    </row>
    <row r="1679" ht="24" customHeight="1">
      <c r="A1679" s="2">
        <f>+D1679-S1679</f>
        <v/>
      </c>
      <c r="B1679" s="80" t="n">
        <v>3317</v>
      </c>
      <c r="C1679" s="66" t="n">
        <v>45842</v>
      </c>
      <c r="D1679" s="2" t="n">
        <v>1</v>
      </c>
      <c r="E1679" s="3" t="inlineStr">
        <is>
          <t>PISTOLA SEMIAUTOMATICA</t>
        </is>
      </c>
      <c r="F1679" s="3" t="inlineStr">
        <is>
          <t>9</t>
        </is>
      </c>
      <c r="G1679" s="3" t="inlineStr">
        <is>
          <t>WALTHER</t>
        </is>
      </c>
      <c r="H1679" s="65" t="inlineStr">
        <is>
          <t>PDP SF FS MATCH 5'' 9 LUGER ARABESQUE</t>
        </is>
      </c>
      <c r="I1679" s="65" t="inlineStr">
        <is>
          <t>FEI5732</t>
        </is>
      </c>
      <c r="J1679" s="65" t="inlineStr">
        <is>
          <t>N/D</t>
        </is>
      </c>
      <c r="K1679" s="65" t="inlineStr">
        <is>
          <t>N/D</t>
        </is>
      </c>
      <c r="L1679" s="127" t="inlineStr">
        <is>
          <t>BIGNAMI SPA</t>
        </is>
      </c>
      <c r="M1679" s="5" t="n">
        <v>5750</v>
      </c>
      <c r="N1679" s="5" t="n"/>
      <c r="O1679" s="5">
        <f>+M1679+N1679</f>
        <v/>
      </c>
      <c r="P1679" s="4" t="n">
        <v>45807</v>
      </c>
      <c r="Q1679" s="87" t="n">
        <v>45841</v>
      </c>
      <c r="R1679" s="5" t="n">
        <v>6038</v>
      </c>
      <c r="S1679" s="2" t="n">
        <v>1</v>
      </c>
      <c r="T1679" s="3" t="inlineStr">
        <is>
          <t>CA04954OS</t>
        </is>
      </c>
      <c r="U1679" s="87" t="n">
        <v>45874</v>
      </c>
      <c r="V1679" s="3" t="inlineStr">
        <is>
          <t>25</t>
        </is>
      </c>
      <c r="W1679" s="4" t="n">
        <v>45874</v>
      </c>
      <c r="X1679" s="4" t="inlineStr">
        <is>
          <t>PHILIPPOS  CONSTANTINIDES
TRADING CO.LTD</t>
        </is>
      </c>
    </row>
    <row r="1680" ht="24" customHeight="1">
      <c r="A1680" s="2">
        <f>+D1680-S1680</f>
        <v/>
      </c>
      <c r="B1680" s="80" t="n">
        <v>3318</v>
      </c>
      <c r="C1680" s="66" t="n">
        <v>45842</v>
      </c>
      <c r="D1680" s="2" t="n">
        <v>1</v>
      </c>
      <c r="E1680" s="3" t="inlineStr">
        <is>
          <t>PISTOLA SEMIAUTOMATICA</t>
        </is>
      </c>
      <c r="F1680" s="3" t="inlineStr">
        <is>
          <t>9</t>
        </is>
      </c>
      <c r="G1680" s="3" t="inlineStr">
        <is>
          <t>WALTHER</t>
        </is>
      </c>
      <c r="H1680" s="65" t="inlineStr">
        <is>
          <t>PDP SF FS MATCH 9 LUGER GRAVIERT</t>
        </is>
      </c>
      <c r="I1680" s="65" t="inlineStr">
        <is>
          <t>FEI8308</t>
        </is>
      </c>
      <c r="J1680" s="65" t="inlineStr">
        <is>
          <t>N/D</t>
        </is>
      </c>
      <c r="K1680" s="65" t="inlineStr">
        <is>
          <t>N/D</t>
        </is>
      </c>
      <c r="L1680" s="127" t="inlineStr">
        <is>
          <t>BIGNAMI SPA</t>
        </is>
      </c>
      <c r="M1680" s="5" t="n">
        <v>5750</v>
      </c>
      <c r="N1680" s="5" t="n"/>
      <c r="O1680" s="5">
        <f>+M1680+N1680</f>
        <v/>
      </c>
      <c r="P1680" s="4" t="n">
        <v>45807</v>
      </c>
      <c r="Q1680" s="87" t="n">
        <v>45841</v>
      </c>
      <c r="R1680" s="5" t="n">
        <v>6038</v>
      </c>
      <c r="S1680" s="2" t="n">
        <v>1</v>
      </c>
      <c r="T1680" s="3" t="inlineStr">
        <is>
          <t>CA04954OS</t>
        </is>
      </c>
      <c r="U1680" s="87" t="n">
        <v>45874</v>
      </c>
      <c r="V1680" s="3" t="inlineStr">
        <is>
          <t>25</t>
        </is>
      </c>
      <c r="W1680" s="4" t="n">
        <v>45874</v>
      </c>
      <c r="X1680" s="4" t="inlineStr">
        <is>
          <t>PHILIPPOS  CONSTANTINIDES
TRADING CO.LTD</t>
        </is>
      </c>
    </row>
    <row r="1681" ht="24" customHeight="1">
      <c r="A1681" s="2">
        <f>+D1681-S1681</f>
        <v/>
      </c>
      <c r="B1681" s="80" t="n">
        <v>3319</v>
      </c>
      <c r="C1681" s="66" t="n">
        <v>45842</v>
      </c>
      <c r="D1681" s="2" t="n">
        <v>1</v>
      </c>
      <c r="E1681" s="3" t="inlineStr">
        <is>
          <t>CARABINA SEMIAUTOMATICA</t>
        </is>
      </c>
      <c r="F1681" s="3" t="inlineStr">
        <is>
          <t>223 REM</t>
        </is>
      </c>
      <c r="G1681" s="84" t="inlineStr">
        <is>
          <t>SAN SWISS ARMS</t>
        </is>
      </c>
      <c r="H1681" s="107" t="inlineStr">
        <is>
          <t>SPORTER 553 14'' ODG(S)</t>
        </is>
      </c>
      <c r="I1681" s="65" t="inlineStr">
        <is>
          <t>SG419112</t>
        </is>
      </c>
      <c r="J1681" s="65" t="inlineStr">
        <is>
          <t>N/D</t>
        </is>
      </c>
      <c r="K1681" s="65" t="inlineStr">
        <is>
          <t>N/D</t>
        </is>
      </c>
      <c r="L1681" s="127" t="inlineStr">
        <is>
          <t>BIGNAMI SPA</t>
        </is>
      </c>
      <c r="M1681" s="5" t="n">
        <v>1751</v>
      </c>
      <c r="N1681" s="5" t="n"/>
      <c r="O1681" s="5">
        <f>+M1681+N1681</f>
        <v/>
      </c>
      <c r="P1681" s="4" t="n">
        <v>45807</v>
      </c>
      <c r="Q1681" s="87" t="n">
        <v>45841</v>
      </c>
      <c r="R1681" s="5" t="n">
        <v>1838</v>
      </c>
      <c r="S1681" s="2" t="n">
        <v>1</v>
      </c>
      <c r="T1681" s="3" t="inlineStr">
        <is>
          <t>CA04954OS</t>
        </is>
      </c>
      <c r="U1681" s="87" t="n">
        <v>45874</v>
      </c>
      <c r="V1681" s="3" t="inlineStr">
        <is>
          <t>26</t>
        </is>
      </c>
      <c r="W1681" s="4" t="n">
        <v>45874</v>
      </c>
      <c r="X1681" s="4" t="inlineStr">
        <is>
          <t>PHILIPPOS  CONSTANTINIDES
TRADING CO.LTD</t>
        </is>
      </c>
    </row>
    <row r="1682" ht="24" customHeight="1">
      <c r="A1682" s="2">
        <f>+D1682-S1682</f>
        <v/>
      </c>
      <c r="B1682" s="80" t="n">
        <v>3320</v>
      </c>
      <c r="C1682" s="66" t="n">
        <v>45842</v>
      </c>
      <c r="D1682" s="2" t="n">
        <v>1</v>
      </c>
      <c r="E1682" s="3" t="inlineStr">
        <is>
          <t>CARABINA</t>
        </is>
      </c>
      <c r="F1682" s="3" t="inlineStr">
        <is>
          <t>308 WIN</t>
        </is>
      </c>
      <c r="G1682" s="3" t="inlineStr">
        <is>
          <t>STEYR</t>
        </is>
      </c>
      <c r="H1682" s="65" t="inlineStr">
        <is>
          <t>MANNL MS WILD VER S/M F-51 CM</t>
        </is>
      </c>
      <c r="I1682" s="65" t="inlineStr">
        <is>
          <t>3280093</t>
        </is>
      </c>
      <c r="J1682" s="65" t="inlineStr">
        <is>
          <t>N/D</t>
        </is>
      </c>
      <c r="K1682" s="65" t="inlineStr">
        <is>
          <t>N/D</t>
        </is>
      </c>
      <c r="L1682" s="127" t="inlineStr">
        <is>
          <t>BIGNAMI SPA</t>
        </is>
      </c>
      <c r="M1682" s="5" t="n">
        <v>1379.35</v>
      </c>
      <c r="N1682" s="5" t="n"/>
      <c r="O1682" s="5">
        <f>+M1682+N1682</f>
        <v/>
      </c>
      <c r="P1682" s="4" t="n">
        <v>45807</v>
      </c>
      <c r="Q1682" s="87" t="n">
        <v>45841</v>
      </c>
      <c r="R1682" s="5" t="n">
        <v>1448</v>
      </c>
      <c r="S1682" s="2" t="n">
        <v>1</v>
      </c>
      <c r="T1682" s="3" t="inlineStr">
        <is>
          <t>CA04954OS</t>
        </is>
      </c>
      <c r="U1682" s="87" t="n">
        <v>45874</v>
      </c>
      <c r="V1682" s="3" t="inlineStr">
        <is>
          <t>26</t>
        </is>
      </c>
      <c r="W1682" s="4" t="n">
        <v>45874</v>
      </c>
      <c r="X1682" s="4" t="inlineStr">
        <is>
          <t>PHILIPPOS  CONSTANTINIDES
TRADING CO.LTD</t>
        </is>
      </c>
    </row>
    <row r="1683" ht="24" customHeight="1">
      <c r="A1683" s="2">
        <f>+D1683-S1683</f>
        <v/>
      </c>
      <c r="B1683" s="80" t="n">
        <v>3321</v>
      </c>
      <c r="C1683" s="66" t="n">
        <v>45842</v>
      </c>
      <c r="D1683" s="2" t="n">
        <v>1</v>
      </c>
      <c r="E1683" s="3" t="inlineStr">
        <is>
          <t>CARABINA</t>
        </is>
      </c>
      <c r="F1683" s="3" t="inlineStr">
        <is>
          <t>308 WIN</t>
        </is>
      </c>
      <c r="G1683" s="3" t="inlineStr">
        <is>
          <t>STEYR</t>
        </is>
      </c>
      <c r="H1683" s="65" t="inlineStr">
        <is>
          <t>MANNL MS WILD MAR S/M F-51 CM</t>
        </is>
      </c>
      <c r="I1683" s="65" t="inlineStr">
        <is>
          <t>3280091</t>
        </is>
      </c>
      <c r="J1683" s="65" t="inlineStr">
        <is>
          <t>N/D</t>
        </is>
      </c>
      <c r="K1683" s="65" t="inlineStr">
        <is>
          <t>N/D</t>
        </is>
      </c>
      <c r="L1683" s="127" t="inlineStr">
        <is>
          <t>BIGNAMI SPA</t>
        </is>
      </c>
      <c r="M1683" s="5" t="n">
        <v>1379.35</v>
      </c>
      <c r="N1683" s="5" t="n"/>
      <c r="O1683" s="5">
        <f>+M1683+N1683</f>
        <v/>
      </c>
      <c r="P1683" s="4" t="n">
        <v>45807</v>
      </c>
      <c r="Q1683" s="87" t="n">
        <v>45841</v>
      </c>
      <c r="R1683" s="5" t="n">
        <v>1448</v>
      </c>
      <c r="S1683" s="2" t="n">
        <v>1</v>
      </c>
      <c r="T1683" s="3" t="inlineStr">
        <is>
          <t>CA04954OS</t>
        </is>
      </c>
      <c r="U1683" s="87" t="n">
        <v>45874</v>
      </c>
      <c r="V1683" s="3" t="inlineStr">
        <is>
          <t>26</t>
        </is>
      </c>
      <c r="W1683" s="4" t="n">
        <v>45874</v>
      </c>
      <c r="X1683" s="4" t="inlineStr">
        <is>
          <t>PHILIPPOS  CONSTANTINIDES
TRADING CO.LTD</t>
        </is>
      </c>
    </row>
    <row r="1684" ht="24" customHeight="1">
      <c r="A1684" s="2">
        <f>+D1684-S1684</f>
        <v/>
      </c>
      <c r="B1684" s="80" t="n">
        <v>3322</v>
      </c>
      <c r="C1684" s="66" t="n">
        <v>45842</v>
      </c>
      <c r="D1684" s="2" t="n">
        <v>1</v>
      </c>
      <c r="E1684" s="3" t="inlineStr">
        <is>
          <t>CARABINA</t>
        </is>
      </c>
      <c r="F1684" s="3" t="inlineStr">
        <is>
          <t>223 REM</t>
        </is>
      </c>
      <c r="G1684" s="3" t="inlineStr">
        <is>
          <t>STEYR</t>
        </is>
      </c>
      <c r="H1684" s="65" t="inlineStr">
        <is>
          <t>MANNL GAMS SM12 FL-48.5CM</t>
        </is>
      </c>
      <c r="I1684" s="65" t="inlineStr">
        <is>
          <t>3283471</t>
        </is>
      </c>
      <c r="J1684" s="65" t="inlineStr">
        <is>
          <t>N/D</t>
        </is>
      </c>
      <c r="K1684" s="65" t="inlineStr">
        <is>
          <t>N/D</t>
        </is>
      </c>
      <c r="L1684" s="127" t="inlineStr">
        <is>
          <t>BIGNAMI SPA</t>
        </is>
      </c>
      <c r="M1684" s="5" t="n">
        <v>3115.84</v>
      </c>
      <c r="N1684" s="5" t="n"/>
      <c r="O1684" s="5">
        <f>+M1684+N1684</f>
        <v/>
      </c>
      <c r="P1684" s="4" t="n">
        <v>45802</v>
      </c>
      <c r="Q1684" s="87" t="n">
        <v>45841</v>
      </c>
      <c r="R1684" s="5" t="n">
        <v>3270</v>
      </c>
      <c r="S1684" s="2" t="n">
        <v>1</v>
      </c>
      <c r="T1684" s="3" t="inlineStr">
        <is>
          <t>CA04954OS</t>
        </is>
      </c>
      <c r="U1684" s="87" t="n">
        <v>45874</v>
      </c>
      <c r="V1684" s="3" t="inlineStr">
        <is>
          <t>26</t>
        </is>
      </c>
      <c r="W1684" s="4" t="n">
        <v>45874</v>
      </c>
      <c r="X1684" s="4" t="inlineStr">
        <is>
          <t>PHILIPPOS  CONSTANTINIDES
TRADING CO.LTD</t>
        </is>
      </c>
    </row>
    <row r="1685" ht="24" customHeight="1">
      <c r="A1685" s="2">
        <f>+D1685-S1685</f>
        <v/>
      </c>
      <c r="B1685" s="80" t="n">
        <v>3323</v>
      </c>
      <c r="C1685" s="66" t="n">
        <v>45842</v>
      </c>
      <c r="D1685" s="2" t="n">
        <v>1</v>
      </c>
      <c r="E1685" s="3" t="inlineStr">
        <is>
          <t>CARABINA</t>
        </is>
      </c>
      <c r="F1685" s="3" t="inlineStr">
        <is>
          <t>7 MM REM</t>
        </is>
      </c>
      <c r="G1685" s="3" t="inlineStr">
        <is>
          <t>STEYR</t>
        </is>
      </c>
      <c r="H1685" s="65" t="inlineStr">
        <is>
          <t>MANNL CLII SX S/M F-63</t>
        </is>
      </c>
      <c r="I1685" s="65" t="inlineStr">
        <is>
          <t>3283601</t>
        </is>
      </c>
      <c r="J1685" s="65" t="inlineStr">
        <is>
          <t>N/D</t>
        </is>
      </c>
      <c r="K1685" s="65" t="inlineStr">
        <is>
          <t>N/D</t>
        </is>
      </c>
      <c r="L1685" s="127" t="inlineStr">
        <is>
          <t>BIGNAMI SPA</t>
        </is>
      </c>
      <c r="M1685" s="5" t="n">
        <v>1529.96</v>
      </c>
      <c r="N1685" s="5" t="n"/>
      <c r="O1685" s="5">
        <f>+M1685+N1685</f>
        <v/>
      </c>
      <c r="P1685" s="4" t="n">
        <v>45802</v>
      </c>
      <c r="Q1685" s="87" t="n">
        <v>45841</v>
      </c>
      <c r="R1685" s="5" t="n">
        <v>1599</v>
      </c>
      <c r="S1685" s="2" t="n">
        <v>1</v>
      </c>
      <c r="T1685" s="3" t="inlineStr">
        <is>
          <t>CA04954OS</t>
        </is>
      </c>
      <c r="U1685" s="87" t="n">
        <v>45874</v>
      </c>
      <c r="V1685" s="3" t="inlineStr">
        <is>
          <t>26</t>
        </is>
      </c>
      <c r="W1685" s="4" t="n">
        <v>45874</v>
      </c>
      <c r="X1685" s="4" t="inlineStr">
        <is>
          <t>PHILIPPOS  CONSTANTINIDES
TRADING CO.LTD</t>
        </is>
      </c>
    </row>
    <row r="1686" ht="24" customHeight="1">
      <c r="A1686" s="2">
        <f>+D1686-S1686</f>
        <v/>
      </c>
      <c r="B1686" s="80" t="n">
        <v>3324</v>
      </c>
      <c r="C1686" s="66" t="n">
        <v>45842</v>
      </c>
      <c r="D1686" s="2" t="n">
        <v>1</v>
      </c>
      <c r="E1686" s="3" t="inlineStr">
        <is>
          <t>CARABINA</t>
        </is>
      </c>
      <c r="F1686" s="3" t="inlineStr">
        <is>
          <t>30-06</t>
        </is>
      </c>
      <c r="G1686" s="3" t="inlineStr">
        <is>
          <t>STEYR</t>
        </is>
      </c>
      <c r="H1686" s="65" t="inlineStr">
        <is>
          <t>MANNL MONOBLOC  WOOD+ANELLI 30MM BK</t>
        </is>
      </c>
      <c r="I1686" s="65" t="inlineStr">
        <is>
          <t>3270950</t>
        </is>
      </c>
      <c r="J1686" s="65" t="inlineStr">
        <is>
          <t>N/D</t>
        </is>
      </c>
      <c r="K1686" s="65" t="inlineStr">
        <is>
          <t>N/D</t>
        </is>
      </c>
      <c r="L1686" s="127" t="inlineStr">
        <is>
          <t>BIGNAMI SPA</t>
        </is>
      </c>
      <c r="M1686" s="5" t="n">
        <v>4436.56</v>
      </c>
      <c r="N1686" s="5" t="n"/>
      <c r="O1686" s="5">
        <f>+M1686+N1686</f>
        <v/>
      </c>
      <c r="P1686" s="4" t="n">
        <v>45802</v>
      </c>
      <c r="Q1686" s="87" t="n">
        <v>45841</v>
      </c>
      <c r="R1686" s="5" t="n">
        <v>4658</v>
      </c>
      <c r="S1686" s="2" t="n">
        <v>1</v>
      </c>
      <c r="T1686" s="3" t="inlineStr">
        <is>
          <t>CA04954OS</t>
        </is>
      </c>
      <c r="U1686" s="87" t="n">
        <v>45874</v>
      </c>
      <c r="V1686" s="3" t="inlineStr">
        <is>
          <t>26</t>
        </is>
      </c>
      <c r="W1686" s="4" t="n">
        <v>45874</v>
      </c>
      <c r="X1686" s="4" t="inlineStr">
        <is>
          <t>PHILIPPOS  CONSTANTINIDES
TRADING CO.LTD</t>
        </is>
      </c>
    </row>
    <row r="1687" ht="24" customHeight="1">
      <c r="A1687" s="2">
        <f>+D1687-S1687</f>
        <v/>
      </c>
      <c r="B1687" s="80" t="n">
        <v>3325</v>
      </c>
      <c r="C1687" s="66" t="n">
        <v>45842</v>
      </c>
      <c r="D1687" s="2" t="n">
        <v>1</v>
      </c>
      <c r="E1687" s="3" t="inlineStr">
        <is>
          <t>CARABINA</t>
        </is>
      </c>
      <c r="F1687" s="3" t="inlineStr">
        <is>
          <t>308 WIN</t>
        </is>
      </c>
      <c r="G1687" s="3" t="inlineStr">
        <is>
          <t>STEYR</t>
        </is>
      </c>
      <c r="H1687" s="65" t="inlineStr">
        <is>
          <t xml:space="preserve">MANNL MONOBLOC  SX +PICATINNY -BRW </t>
        </is>
      </c>
      <c r="I1687" s="65" t="inlineStr">
        <is>
          <t>3270965</t>
        </is>
      </c>
      <c r="J1687" s="65" t="inlineStr">
        <is>
          <t>N/D</t>
        </is>
      </c>
      <c r="K1687" s="65" t="inlineStr">
        <is>
          <t>N/D</t>
        </is>
      </c>
      <c r="L1687" s="127" t="inlineStr">
        <is>
          <t>BIGNAMI SPA</t>
        </is>
      </c>
      <c r="M1687" s="5" t="n">
        <v>3666.93</v>
      </c>
      <c r="N1687" s="5" t="n"/>
      <c r="O1687" s="5">
        <f>+M1687+N1687</f>
        <v/>
      </c>
      <c r="P1687" s="108" t="n">
        <v>45802</v>
      </c>
      <c r="Q1687" s="87" t="n">
        <v>45841</v>
      </c>
      <c r="R1687" s="5" t="n">
        <v>3850</v>
      </c>
      <c r="S1687" s="2" t="n">
        <v>1</v>
      </c>
      <c r="T1687" s="3" t="inlineStr">
        <is>
          <t>CA04954OS</t>
        </is>
      </c>
      <c r="U1687" s="87" t="n">
        <v>45874</v>
      </c>
      <c r="V1687" s="3" t="inlineStr">
        <is>
          <t>26</t>
        </is>
      </c>
      <c r="W1687" s="4" t="n">
        <v>45874</v>
      </c>
      <c r="X1687" s="4" t="inlineStr">
        <is>
          <t>PHILIPPOS  CONSTANTINIDES
TRADING CO.LTD</t>
        </is>
      </c>
    </row>
    <row r="1688" ht="24" customHeight="1">
      <c r="A1688" s="2">
        <f>+D1688-S1688</f>
        <v/>
      </c>
      <c r="B1688" s="80" t="n"/>
      <c r="C1688" s="66" t="n">
        <v>45842</v>
      </c>
      <c r="D1688" s="2" t="n">
        <v>1</v>
      </c>
      <c r="E1688" s="3" t="inlineStr">
        <is>
          <t>ACCESSORI</t>
        </is>
      </c>
      <c r="F1688" s="3" t="inlineStr">
        <is>
          <t>N/D</t>
        </is>
      </c>
      <c r="G1688" s="3" t="inlineStr">
        <is>
          <t>N/D</t>
        </is>
      </c>
      <c r="H1688" s="65" t="inlineStr">
        <is>
          <t>AXE BALESTRA 440 CAMO + ACCESSORI</t>
        </is>
      </c>
      <c r="I1688" s="65" t="inlineStr">
        <is>
          <t>440T03244R03277</t>
        </is>
      </c>
      <c r="J1688" s="65" t="inlineStr">
        <is>
          <t>N/D</t>
        </is>
      </c>
      <c r="K1688" s="65" t="inlineStr">
        <is>
          <t>N/D</t>
        </is>
      </c>
      <c r="L1688" s="127" t="inlineStr">
        <is>
          <t>BIGNAMI SPA</t>
        </is>
      </c>
      <c r="M1688" s="5" t="n">
        <v>1539.04</v>
      </c>
      <c r="N1688" s="5" t="n"/>
      <c r="O1688" s="5">
        <f>+M1688+N1688</f>
        <v/>
      </c>
      <c r="P1688" s="108" t="n">
        <v>45841</v>
      </c>
      <c r="Q1688" s="87" t="n">
        <v>45841</v>
      </c>
      <c r="R1688" s="5" t="n">
        <v>1620</v>
      </c>
      <c r="S1688" s="2" t="n">
        <v>1</v>
      </c>
      <c r="T1688" s="3" t="inlineStr">
        <is>
          <t>CA04954OS</t>
        </is>
      </c>
      <c r="U1688" s="87" t="n">
        <v>45874</v>
      </c>
      <c r="V1688" s="3" t="inlineStr">
        <is>
          <t>26</t>
        </is>
      </c>
      <c r="W1688" s="4" t="n">
        <v>45874</v>
      </c>
      <c r="X1688" s="4" t="inlineStr">
        <is>
          <t>PHILIPPOS  CONSTANTINIDES
TRADING CO.LTD</t>
        </is>
      </c>
    </row>
    <row r="1689" ht="24" customHeight="1">
      <c r="A1689" s="2">
        <f>+D1689-S1689</f>
        <v/>
      </c>
      <c r="B1689" s="80" t="n"/>
      <c r="C1689" s="66" t="n">
        <v>45842</v>
      </c>
      <c r="D1689" s="2" t="n">
        <v>24</v>
      </c>
      <c r="E1689" s="3" t="inlineStr">
        <is>
          <t>ACCESSORI</t>
        </is>
      </c>
      <c r="F1689" s="3" t="inlineStr">
        <is>
          <t>N/D</t>
        </is>
      </c>
      <c r="G1689" s="3" t="inlineStr">
        <is>
          <t>N/D</t>
        </is>
      </c>
      <c r="H1689" s="65" t="inlineStr">
        <is>
          <t>AXE DARBO BALESTRA 440</t>
        </is>
      </c>
      <c r="I1689" s="65" t="inlineStr">
        <is>
          <t>N/D</t>
        </is>
      </c>
      <c r="J1689" s="65" t="inlineStr">
        <is>
          <t>N/D</t>
        </is>
      </c>
      <c r="K1689" s="65" t="inlineStr">
        <is>
          <t>N/D</t>
        </is>
      </c>
      <c r="L1689" s="127" t="inlineStr">
        <is>
          <t>BIGNAMI SPA</t>
        </is>
      </c>
      <c r="M1689" s="5" t="n">
        <v>303.96</v>
      </c>
      <c r="N1689" s="5" t="n"/>
      <c r="O1689" s="5">
        <f>+M1689+N1689</f>
        <v/>
      </c>
      <c r="P1689" s="108" t="n">
        <v>45841</v>
      </c>
      <c r="Q1689" s="87" t="n">
        <v>45841</v>
      </c>
      <c r="R1689" s="5" t="n">
        <v>320.16</v>
      </c>
      <c r="S1689" s="2" t="n">
        <v>24</v>
      </c>
      <c r="T1689" s="3" t="inlineStr">
        <is>
          <t>CA04954OS</t>
        </is>
      </c>
      <c r="U1689" s="87" t="n">
        <v>45874</v>
      </c>
      <c r="V1689" s="3" t="inlineStr">
        <is>
          <t>26</t>
        </is>
      </c>
      <c r="W1689" s="4" t="n">
        <v>45874</v>
      </c>
      <c r="X1689" s="4" t="inlineStr">
        <is>
          <t>PHILIPPOS  CONSTANTINIDES
TRADING CO.LTD</t>
        </is>
      </c>
    </row>
    <row r="1690" ht="24" customHeight="1">
      <c r="A1690" s="2">
        <f>+D1690-S1690</f>
        <v/>
      </c>
      <c r="B1690" s="80" t="n"/>
      <c r="C1690" s="66" t="n">
        <v>45842</v>
      </c>
      <c r="D1690" s="2" t="n">
        <v>4</v>
      </c>
      <c r="E1690" s="3" t="inlineStr">
        <is>
          <t>ACCESSORI</t>
        </is>
      </c>
      <c r="F1690" s="3" t="inlineStr">
        <is>
          <t>N/D</t>
        </is>
      </c>
      <c r="G1690" s="3" t="inlineStr">
        <is>
          <t>N/D</t>
        </is>
      </c>
      <c r="H1690" s="65" t="inlineStr">
        <is>
          <t>CARBON EXPRESS PUNTA CACCIA F-15 100GR</t>
        </is>
      </c>
      <c r="I1690" s="65" t="inlineStr">
        <is>
          <t>N/D</t>
        </is>
      </c>
      <c r="J1690" s="65" t="inlineStr">
        <is>
          <t>N/D</t>
        </is>
      </c>
      <c r="K1690" s="65" t="inlineStr">
        <is>
          <t>N/D</t>
        </is>
      </c>
      <c r="L1690" s="127" t="inlineStr">
        <is>
          <t>BIGNAMI SPA</t>
        </is>
      </c>
      <c r="M1690" s="5" t="n">
        <v>61.78</v>
      </c>
      <c r="N1690" s="5" t="n"/>
      <c r="O1690" s="5">
        <f>+M1690+N1690</f>
        <v/>
      </c>
      <c r="P1690" s="108" t="n">
        <v>45841</v>
      </c>
      <c r="Q1690" s="87" t="n">
        <v>45841</v>
      </c>
      <c r="R1690" s="5" t="n">
        <v>68</v>
      </c>
      <c r="S1690" s="2" t="n">
        <v>4</v>
      </c>
      <c r="T1690" s="3" t="inlineStr">
        <is>
          <t>CA04954OS</t>
        </is>
      </c>
      <c r="U1690" s="87" t="n">
        <v>45874</v>
      </c>
      <c r="V1690" s="3" t="inlineStr">
        <is>
          <t>26</t>
        </is>
      </c>
      <c r="W1690" s="4" t="n">
        <v>45874</v>
      </c>
      <c r="X1690" s="4" t="inlineStr">
        <is>
          <t>PHILIPPOS  CONSTANTINIDES
TRADING CO.LTD</t>
        </is>
      </c>
    </row>
    <row r="1691" ht="24" customHeight="1">
      <c r="A1691" s="2">
        <f>+D1691-S1691</f>
        <v/>
      </c>
      <c r="B1691" s="80" t="n"/>
      <c r="C1691" s="66" t="n">
        <v>45842</v>
      </c>
      <c r="D1691" s="2" t="n">
        <v>10</v>
      </c>
      <c r="E1691" s="3" t="inlineStr">
        <is>
          <t>ACCESSORI</t>
        </is>
      </c>
      <c r="F1691" s="3" t="inlineStr">
        <is>
          <t>N/D</t>
        </is>
      </c>
      <c r="G1691" s="3" t="inlineStr">
        <is>
          <t>CZ</t>
        </is>
      </c>
      <c r="H1691" s="65" t="inlineStr">
        <is>
          <t>1010-1320-60 SP-01/ SHADOW 2 RECOIL SPRING</t>
        </is>
      </c>
      <c r="I1691" s="65" t="inlineStr">
        <is>
          <t>N/D</t>
        </is>
      </c>
      <c r="J1691" s="65" t="inlineStr">
        <is>
          <t>N/D</t>
        </is>
      </c>
      <c r="K1691" s="65" t="inlineStr">
        <is>
          <t>N/D</t>
        </is>
      </c>
      <c r="L1691" s="127" t="inlineStr">
        <is>
          <t>BIGNAMI SPA</t>
        </is>
      </c>
      <c r="M1691" s="5" t="n">
        <v>116.07</v>
      </c>
      <c r="N1691" s="5" t="n"/>
      <c r="O1691" s="5">
        <f>+M1691+N1691</f>
        <v/>
      </c>
      <c r="P1691" s="108" t="n">
        <v>45841</v>
      </c>
      <c r="Q1691" s="87" t="n">
        <v>45841</v>
      </c>
      <c r="R1691" s="5" t="n"/>
      <c r="S1691" s="2" t="n"/>
      <c r="T1691" s="3" t="n"/>
      <c r="U1691" s="87" t="n"/>
      <c r="V1691" s="3" t="n"/>
      <c r="W1691" s="108" t="n"/>
      <c r="X1691" s="4" t="n"/>
    </row>
    <row r="1692" ht="24" customHeight="1">
      <c r="A1692" s="2">
        <f>+D1692-S1692</f>
        <v/>
      </c>
      <c r="B1692" s="80" t="n">
        <v>3326</v>
      </c>
      <c r="C1692" s="66" t="n">
        <v>45842</v>
      </c>
      <c r="D1692" s="2" t="n">
        <v>1</v>
      </c>
      <c r="E1692" s="3" t="inlineStr">
        <is>
          <t>PISTOLA SEMIAUTOMATICA</t>
        </is>
      </c>
      <c r="F1692" s="3" t="inlineStr">
        <is>
          <t>9</t>
        </is>
      </c>
      <c r="G1692" s="3" t="inlineStr">
        <is>
          <t>GLOCK</t>
        </is>
      </c>
      <c r="H1692" s="65" t="inlineStr">
        <is>
          <t>17 GEN5 9 LUGER FS MOS</t>
        </is>
      </c>
      <c r="I1692" s="65" t="inlineStr">
        <is>
          <t>CFLL285</t>
        </is>
      </c>
      <c r="J1692" s="65" t="inlineStr">
        <is>
          <t>N/D</t>
        </is>
      </c>
      <c r="K1692" s="65" t="inlineStr">
        <is>
          <t>N/D</t>
        </is>
      </c>
      <c r="L1692" s="127" t="inlineStr">
        <is>
          <t>BIGNAMI SPA</t>
        </is>
      </c>
      <c r="M1692" s="5" t="n">
        <v>506.97</v>
      </c>
      <c r="N1692" s="5" t="n"/>
      <c r="O1692" s="5">
        <f>+M1692+N1692</f>
        <v/>
      </c>
      <c r="P1692" s="108" t="n">
        <v>45807</v>
      </c>
      <c r="Q1692" s="87" t="n">
        <v>45841</v>
      </c>
      <c r="R1692" s="5" t="n">
        <v>532</v>
      </c>
      <c r="S1692" s="2" t="n">
        <v>1</v>
      </c>
      <c r="T1692" s="3" t="inlineStr">
        <is>
          <t>CA04954OS</t>
        </is>
      </c>
      <c r="U1692" s="87" t="n">
        <v>45874</v>
      </c>
      <c r="V1692" s="3" t="inlineStr">
        <is>
          <t>25</t>
        </is>
      </c>
      <c r="W1692" s="4" t="n">
        <v>45874</v>
      </c>
      <c r="X1692" s="4" t="inlineStr">
        <is>
          <t>PHILIPPOS  CONSTANTINIDES
TRADING CO.LTD</t>
        </is>
      </c>
    </row>
    <row r="1693" ht="24" customHeight="1">
      <c r="A1693" s="2">
        <f>+D1693-S1693</f>
        <v/>
      </c>
      <c r="B1693" s="80" t="n"/>
      <c r="C1693" s="66" t="n">
        <v>45842</v>
      </c>
      <c r="D1693" s="2" t="n">
        <v>1</v>
      </c>
      <c r="E1693" s="3" t="inlineStr">
        <is>
          <t>ACCESSORI</t>
        </is>
      </c>
      <c r="F1693" s="3" t="inlineStr">
        <is>
          <t>22LR</t>
        </is>
      </c>
      <c r="G1693" s="3" t="inlineStr">
        <is>
          <t>RUGER</t>
        </is>
      </c>
      <c r="H1693" s="65" t="inlineStr">
        <is>
          <t>10/22 CARICATORE</t>
        </is>
      </c>
      <c r="I1693" s="65" t="inlineStr">
        <is>
          <t>N/D</t>
        </is>
      </c>
      <c r="J1693" s="65" t="inlineStr">
        <is>
          <t>N/D</t>
        </is>
      </c>
      <c r="K1693" s="65" t="inlineStr">
        <is>
          <t>N/D</t>
        </is>
      </c>
      <c r="L1693" s="127" t="inlineStr">
        <is>
          <t>BIGNAMI SPA</t>
        </is>
      </c>
      <c r="M1693" s="5" t="n">
        <v>28.05</v>
      </c>
      <c r="N1693" s="5" t="n"/>
      <c r="O1693" s="5">
        <f>+M1693+N1693</f>
        <v/>
      </c>
      <c r="P1693" s="108" t="n">
        <v>45841</v>
      </c>
      <c r="Q1693" s="87" t="n">
        <v>45841</v>
      </c>
      <c r="R1693" s="5" t="n">
        <v>30</v>
      </c>
      <c r="S1693" s="2" t="n">
        <v>1</v>
      </c>
      <c r="T1693" s="3" t="inlineStr">
        <is>
          <t>CA04954OS</t>
        </is>
      </c>
      <c r="U1693" s="87" t="n">
        <v>45874</v>
      </c>
      <c r="V1693" s="3" t="inlineStr">
        <is>
          <t>26</t>
        </is>
      </c>
      <c r="W1693" s="4" t="n">
        <v>45874</v>
      </c>
      <c r="X1693" s="4" t="inlineStr">
        <is>
          <t>PHILIPPOS  CONSTANTINIDES
TRADING CO.LTD</t>
        </is>
      </c>
    </row>
    <row r="1694" ht="24" customHeight="1">
      <c r="A1694" s="2">
        <f>+D1694-S1694</f>
        <v/>
      </c>
      <c r="B1694" s="80" t="n">
        <v>3327</v>
      </c>
      <c r="C1694" s="66" t="n">
        <v>45845</v>
      </c>
      <c r="D1694" s="2" t="n">
        <v>1</v>
      </c>
      <c r="E1694" s="3" t="inlineStr">
        <is>
          <t>CARABINA</t>
        </is>
      </c>
      <c r="F1694" s="3" t="inlineStr">
        <is>
          <t>22LR</t>
        </is>
      </c>
      <c r="G1694" s="3" t="inlineStr">
        <is>
          <t>WINCHESTER</t>
        </is>
      </c>
      <c r="H1694" s="65" t="inlineStr">
        <is>
          <t>XPERT FDE THR 18''</t>
        </is>
      </c>
      <c r="I1694" s="65" t="inlineStr">
        <is>
          <t>TF614-25AB00758</t>
        </is>
      </c>
      <c r="J1694" s="65" t="inlineStr">
        <is>
          <t>N/D</t>
        </is>
      </c>
      <c r="K1694" s="65" t="inlineStr">
        <is>
          <t>N/D</t>
        </is>
      </c>
      <c r="L1694" s="127" t="inlineStr">
        <is>
          <t>BROWNING INTERNATIONAL SA</t>
        </is>
      </c>
      <c r="M1694" s="5" t="n">
        <v>279</v>
      </c>
      <c r="N1694" s="5" t="n"/>
      <c r="O1694" s="5">
        <f>+M1694+N1694</f>
        <v/>
      </c>
      <c r="P1694" s="4" t="n">
        <v>45841</v>
      </c>
      <c r="Q1694" s="87" t="n">
        <v>45835</v>
      </c>
      <c r="R1694" s="5" t="n">
        <v>306</v>
      </c>
      <c r="S1694" s="2" t="n">
        <v>1</v>
      </c>
      <c r="T1694" s="3" t="inlineStr">
        <is>
          <t>CA04954OS</t>
        </is>
      </c>
      <c r="U1694" s="87" t="n">
        <v>45874</v>
      </c>
      <c r="V1694" s="3" t="inlineStr">
        <is>
          <t>26</t>
        </is>
      </c>
      <c r="W1694" s="4" t="n">
        <v>45874</v>
      </c>
      <c r="X1694" s="4" t="inlineStr">
        <is>
          <t>PHILIPPOS  CONSTANTINIDES
TRADING CO.LTD</t>
        </is>
      </c>
    </row>
    <row r="1695" ht="24" customHeight="1">
      <c r="A1695" s="2">
        <f>+D1695-S1695</f>
        <v/>
      </c>
      <c r="B1695" s="80" t="n">
        <v>3328</v>
      </c>
      <c r="C1695" s="66" t="n">
        <v>45845</v>
      </c>
      <c r="D1695" s="2" t="n">
        <v>1</v>
      </c>
      <c r="E1695" s="3" t="inlineStr">
        <is>
          <t>CARABINA</t>
        </is>
      </c>
      <c r="F1695" s="3" t="inlineStr">
        <is>
          <t>22LR</t>
        </is>
      </c>
      <c r="G1695" s="3" t="inlineStr">
        <is>
          <t>WINCHESTER</t>
        </is>
      </c>
      <c r="H1695" s="65" t="inlineStr">
        <is>
          <t>XPERT FDE THR 18''</t>
        </is>
      </c>
      <c r="I1695" s="65" t="inlineStr">
        <is>
          <t>TF614-25AB00763</t>
        </is>
      </c>
      <c r="J1695" s="65" t="inlineStr">
        <is>
          <t>N/D</t>
        </is>
      </c>
      <c r="K1695" s="65" t="inlineStr">
        <is>
          <t>N/D</t>
        </is>
      </c>
      <c r="L1695" s="127" t="inlineStr">
        <is>
          <t>BROWNING INTERNATIONAL SA</t>
        </is>
      </c>
      <c r="M1695" s="5" t="n">
        <v>279</v>
      </c>
      <c r="N1695" s="5" t="n"/>
      <c r="O1695" s="5">
        <f>+M1695+N1695</f>
        <v/>
      </c>
      <c r="P1695" s="4" t="n">
        <v>45841</v>
      </c>
      <c r="Q1695" s="87" t="n">
        <v>45835</v>
      </c>
      <c r="R1695" s="5" t="n">
        <v>306</v>
      </c>
      <c r="S1695" s="2" t="n">
        <v>1</v>
      </c>
      <c r="T1695" s="3" t="inlineStr">
        <is>
          <t>CA04954OS</t>
        </is>
      </c>
      <c r="U1695" s="87" t="n">
        <v>45874</v>
      </c>
      <c r="V1695" s="3" t="inlineStr">
        <is>
          <t>26</t>
        </is>
      </c>
      <c r="W1695" s="4" t="n">
        <v>45874</v>
      </c>
      <c r="X1695" s="4" t="inlineStr">
        <is>
          <t>PHILIPPOS  CONSTANTINIDES
TRADING CO.LTD</t>
        </is>
      </c>
    </row>
    <row r="1696" ht="24" customHeight="1">
      <c r="A1696" s="2">
        <f>+D1696-S1696</f>
        <v/>
      </c>
      <c r="B1696" s="80" t="n">
        <v>3329</v>
      </c>
      <c r="C1696" s="66" t="n">
        <v>45845</v>
      </c>
      <c r="D1696" s="2" t="n">
        <v>1</v>
      </c>
      <c r="E1696" s="3" t="inlineStr">
        <is>
          <t>CARABINA</t>
        </is>
      </c>
      <c r="F1696" s="3" t="inlineStr">
        <is>
          <t>22LR</t>
        </is>
      </c>
      <c r="G1696" s="3" t="inlineStr">
        <is>
          <t>WINCHESTER</t>
        </is>
      </c>
      <c r="H1696" s="65" t="inlineStr">
        <is>
          <t>XPERT FDE THR 18''</t>
        </is>
      </c>
      <c r="I1696" s="65" t="inlineStr">
        <is>
          <t>TF614-25AB00768</t>
        </is>
      </c>
      <c r="J1696" s="65" t="inlineStr">
        <is>
          <t>N/D</t>
        </is>
      </c>
      <c r="K1696" s="65" t="inlineStr">
        <is>
          <t>N/D</t>
        </is>
      </c>
      <c r="L1696" s="127" t="inlineStr">
        <is>
          <t>BROWNING INTERNATIONAL SA</t>
        </is>
      </c>
      <c r="M1696" s="5" t="n">
        <v>279</v>
      </c>
      <c r="N1696" s="5" t="n"/>
      <c r="O1696" s="5">
        <f>+M1696+N1696</f>
        <v/>
      </c>
      <c r="P1696" s="4" t="n">
        <v>45841</v>
      </c>
      <c r="Q1696" s="87" t="n">
        <v>45835</v>
      </c>
      <c r="R1696" s="5" t="n"/>
      <c r="S1696" s="2" t="n"/>
      <c r="T1696" s="3" t="n"/>
      <c r="U1696" s="87" t="n"/>
      <c r="V1696" s="3" t="n"/>
      <c r="W1696" s="108" t="n"/>
      <c r="X1696" s="4" t="n"/>
    </row>
    <row r="1697" ht="24" customHeight="1">
      <c r="A1697" s="2">
        <f>+D1697-S1697</f>
        <v/>
      </c>
      <c r="B1697" s="80" t="n">
        <v>3330</v>
      </c>
      <c r="C1697" s="66" t="n">
        <v>45845</v>
      </c>
      <c r="D1697" s="2" t="n">
        <v>1</v>
      </c>
      <c r="E1697" s="3" t="inlineStr">
        <is>
          <t>CARABINA</t>
        </is>
      </c>
      <c r="F1697" s="3" t="inlineStr">
        <is>
          <t>22LR</t>
        </is>
      </c>
      <c r="G1697" s="3" t="inlineStr">
        <is>
          <t>WINCHESTER</t>
        </is>
      </c>
      <c r="H1697" s="65" t="inlineStr">
        <is>
          <t>XPERT FDE THR 18''</t>
        </is>
      </c>
      <c r="I1697" s="65" t="inlineStr">
        <is>
          <t>TF614-25AB00773</t>
        </is>
      </c>
      <c r="J1697" s="65" t="inlineStr">
        <is>
          <t>N/D</t>
        </is>
      </c>
      <c r="K1697" s="65" t="inlineStr">
        <is>
          <t>N/D</t>
        </is>
      </c>
      <c r="L1697" s="127" t="inlineStr">
        <is>
          <t>BROWNING INTERNATIONAL SA</t>
        </is>
      </c>
      <c r="M1697" s="5" t="n">
        <v>279</v>
      </c>
      <c r="N1697" s="5" t="n"/>
      <c r="O1697" s="5">
        <f>+M1697+N1697</f>
        <v/>
      </c>
      <c r="P1697" s="4" t="n">
        <v>45841</v>
      </c>
      <c r="Q1697" s="87" t="n">
        <v>45835</v>
      </c>
      <c r="R1697" s="5" t="n"/>
      <c r="S1697" s="2" t="n"/>
      <c r="T1697" s="3" t="n"/>
      <c r="U1697" s="87" t="n"/>
      <c r="V1697" s="3" t="n"/>
      <c r="W1697" s="108" t="n"/>
      <c r="X1697" s="4" t="n"/>
    </row>
    <row r="1698" ht="24" customHeight="1">
      <c r="A1698" s="2">
        <f>+D1698-S1698</f>
        <v/>
      </c>
      <c r="B1698" s="80" t="n">
        <v>3331</v>
      </c>
      <c r="C1698" s="66" t="n">
        <v>45845</v>
      </c>
      <c r="D1698" s="2" t="n">
        <v>1</v>
      </c>
      <c r="E1698" s="3" t="inlineStr">
        <is>
          <t>FUCILE SEMIAUTOMATICO</t>
        </is>
      </c>
      <c r="F1698" s="3" t="inlineStr">
        <is>
          <t>12</t>
        </is>
      </c>
      <c r="G1698" s="3" t="inlineStr">
        <is>
          <t>PIETTA</t>
        </is>
      </c>
      <c r="H1698" s="65" t="inlineStr">
        <is>
          <t>N/D</t>
        </is>
      </c>
      <c r="I1698" s="65" t="inlineStr">
        <is>
          <t>Z104204</t>
        </is>
      </c>
      <c r="J1698" s="65" t="inlineStr">
        <is>
          <t>102973</t>
        </is>
      </c>
      <c r="K1698" s="65" t="inlineStr">
        <is>
          <t>N/D</t>
        </is>
      </c>
      <c r="L1698" s="127" t="inlineStr">
        <is>
          <t>CHIAPPA FIREARMS SRL</t>
        </is>
      </c>
      <c r="M1698" s="5" t="n">
        <v>100</v>
      </c>
      <c r="N1698" s="5" t="n"/>
      <c r="O1698" s="5">
        <f>+M1698+N1698</f>
        <v/>
      </c>
      <c r="P1698" s="4" t="n">
        <v>45841</v>
      </c>
      <c r="Q1698" s="87" t="n">
        <v>45841</v>
      </c>
      <c r="R1698" s="5" t="n">
        <v>110</v>
      </c>
      <c r="S1698" s="2" t="n">
        <v>1</v>
      </c>
      <c r="T1698" s="3" t="inlineStr">
        <is>
          <t>CA42796IR</t>
        </is>
      </c>
      <c r="U1698" s="87" t="n">
        <v>46041</v>
      </c>
      <c r="V1698" s="3" t="inlineStr">
        <is>
          <t>2</t>
        </is>
      </c>
      <c r="W1698" s="108" t="n">
        <v>46041</v>
      </c>
      <c r="X1698" s="4" t="inlineStr">
        <is>
          <t>PHILIPPOS  CONSTANTINIDES
TRADING CO.LTD</t>
        </is>
      </c>
    </row>
    <row r="1699" ht="24" customHeight="1">
      <c r="A1699" s="2">
        <f>+D1699-S1699</f>
        <v/>
      </c>
      <c r="B1699" s="80" t="n">
        <v>3332</v>
      </c>
      <c r="C1699" s="66" t="n">
        <v>45845</v>
      </c>
      <c r="D1699" s="2" t="n">
        <v>1</v>
      </c>
      <c r="E1699" s="3" t="inlineStr">
        <is>
          <t>FUCILE SEMIAUTOMATICO</t>
        </is>
      </c>
      <c r="F1699" s="3" t="inlineStr">
        <is>
          <t>12</t>
        </is>
      </c>
      <c r="G1699" s="3" t="inlineStr">
        <is>
          <t>BERNARDELLI</t>
        </is>
      </c>
      <c r="H1699" s="65" t="inlineStr">
        <is>
          <t>N/D</t>
        </is>
      </c>
      <c r="I1699" s="65" t="inlineStr">
        <is>
          <t>A12331</t>
        </is>
      </c>
      <c r="J1699" s="65" t="inlineStr">
        <is>
          <t>C10005</t>
        </is>
      </c>
      <c r="K1699" s="65" t="inlineStr">
        <is>
          <t>N/D</t>
        </is>
      </c>
      <c r="L1699" s="127" t="inlineStr">
        <is>
          <t>CHIAPPA FIREARMS SRL</t>
        </is>
      </c>
      <c r="M1699" s="5" t="n">
        <v>100</v>
      </c>
      <c r="N1699" s="5" t="n"/>
      <c r="O1699" s="5">
        <f>+M1699+N1699</f>
        <v/>
      </c>
      <c r="P1699" s="4" t="n">
        <v>45841</v>
      </c>
      <c r="Q1699" s="87" t="n">
        <v>45841</v>
      </c>
      <c r="R1699" s="5" t="n">
        <v>110</v>
      </c>
      <c r="S1699" s="2" t="n">
        <v>1</v>
      </c>
      <c r="T1699" s="3" t="inlineStr">
        <is>
          <t>CA42796IR</t>
        </is>
      </c>
      <c r="U1699" s="87" t="n">
        <v>46041</v>
      </c>
      <c r="V1699" s="3" t="inlineStr">
        <is>
          <t>2</t>
        </is>
      </c>
      <c r="W1699" s="108" t="n">
        <v>46041</v>
      </c>
      <c r="X1699" s="4" t="inlineStr">
        <is>
          <t>PHILIPPOS  CONSTANTINIDES
TRADING CO.LTD</t>
        </is>
      </c>
    </row>
    <row r="1700" ht="24" customHeight="1">
      <c r="A1700" s="2">
        <f>+D1700-S1700</f>
        <v/>
      </c>
      <c r="B1700" s="80" t="n">
        <v>3333</v>
      </c>
      <c r="C1700" s="66" t="n">
        <v>45845</v>
      </c>
      <c r="D1700" s="2" t="n">
        <v>1</v>
      </c>
      <c r="E1700" s="3" t="inlineStr">
        <is>
          <t>FUCILE SEMIAUTOMATICO</t>
        </is>
      </c>
      <c r="F1700" s="3" t="inlineStr">
        <is>
          <t>410</t>
        </is>
      </c>
      <c r="G1700" s="3" t="inlineStr">
        <is>
          <t>BORA</t>
        </is>
      </c>
      <c r="H1700" s="65" t="inlineStr">
        <is>
          <t>BARAK CL-1 410</t>
        </is>
      </c>
      <c r="I1700" s="65" t="inlineStr">
        <is>
          <t>16-30025</t>
        </is>
      </c>
      <c r="J1700" s="65" t="inlineStr">
        <is>
          <t>N/D</t>
        </is>
      </c>
      <c r="K1700" s="65" t="inlineStr">
        <is>
          <t>N/D</t>
        </is>
      </c>
      <c r="L1700" s="127" t="inlineStr">
        <is>
          <t>CHIAPPA FIREARMS SRL</t>
        </is>
      </c>
      <c r="M1700" s="5" t="n">
        <v>100</v>
      </c>
      <c r="N1700" s="5" t="n"/>
      <c r="O1700" s="5">
        <f>+M1700+N1700</f>
        <v/>
      </c>
      <c r="P1700" s="4" t="n">
        <v>45841</v>
      </c>
      <c r="Q1700" s="87" t="n">
        <v>45841</v>
      </c>
      <c r="R1700" s="5" t="n">
        <v>110</v>
      </c>
      <c r="S1700" s="2" t="n">
        <v>1</v>
      </c>
      <c r="T1700" s="3" t="inlineStr">
        <is>
          <t>CA42796IR</t>
        </is>
      </c>
      <c r="U1700" s="87" t="n">
        <v>46041</v>
      </c>
      <c r="V1700" s="3" t="inlineStr">
        <is>
          <t>2</t>
        </is>
      </c>
      <c r="W1700" s="108" t="n">
        <v>46041</v>
      </c>
      <c r="X1700" s="4" t="inlineStr">
        <is>
          <t>PHILIPPOS  CONSTANTINIDES
TRADING CO.LTD</t>
        </is>
      </c>
    </row>
    <row r="1701" ht="24" customHeight="1">
      <c r="A1701" s="2">
        <f>+D1701-S1701</f>
        <v/>
      </c>
      <c r="B1701" s="80" t="n">
        <v>3334</v>
      </c>
      <c r="C1701" s="66" t="n">
        <v>45845</v>
      </c>
      <c r="D1701" s="2" t="n">
        <v>1</v>
      </c>
      <c r="E1701" s="3" t="inlineStr">
        <is>
          <t>FUCILE SEMIAUTOMATICO</t>
        </is>
      </c>
      <c r="F1701" s="3" t="inlineStr">
        <is>
          <t>12</t>
        </is>
      </c>
      <c r="G1701" s="3" t="inlineStr">
        <is>
          <t>BORA</t>
        </is>
      </c>
      <c r="H1701" s="65" t="inlineStr">
        <is>
          <t>BARAK CL-9</t>
        </is>
      </c>
      <c r="I1701" s="65" t="inlineStr">
        <is>
          <t>16-20391</t>
        </is>
      </c>
      <c r="J1701" s="65" t="inlineStr">
        <is>
          <t>N/D</t>
        </is>
      </c>
      <c r="K1701" s="65" t="inlineStr">
        <is>
          <t>N/D</t>
        </is>
      </c>
      <c r="L1701" s="127" t="inlineStr">
        <is>
          <t>CHIAPPA FIREARMS SRL</t>
        </is>
      </c>
      <c r="M1701" s="5" t="n">
        <v>100</v>
      </c>
      <c r="N1701" s="5" t="n"/>
      <c r="O1701" s="5">
        <f>+M1701+N1701</f>
        <v/>
      </c>
      <c r="P1701" s="4" t="n">
        <v>45841</v>
      </c>
      <c r="Q1701" s="87" t="n">
        <v>45841</v>
      </c>
      <c r="R1701" s="5" t="n">
        <v>110</v>
      </c>
      <c r="S1701" s="2" t="n">
        <v>1</v>
      </c>
      <c r="T1701" s="3" t="inlineStr">
        <is>
          <t>CA42796IR</t>
        </is>
      </c>
      <c r="U1701" s="87" t="n">
        <v>46041</v>
      </c>
      <c r="V1701" s="3" t="inlineStr">
        <is>
          <t>2</t>
        </is>
      </c>
      <c r="W1701" s="108" t="n">
        <v>46041</v>
      </c>
      <c r="X1701" s="4" t="inlineStr">
        <is>
          <t>PHILIPPOS  CONSTANTINIDES
TRADING CO.LTD</t>
        </is>
      </c>
    </row>
    <row r="1702" ht="24" customHeight="1">
      <c r="A1702" s="2">
        <f>+D1702-S1702</f>
        <v/>
      </c>
      <c r="B1702" s="80" t="n">
        <v>3335</v>
      </c>
      <c r="C1702" s="66" t="n">
        <v>45845</v>
      </c>
      <c r="D1702" s="2" t="n">
        <v>1</v>
      </c>
      <c r="E1702" s="3" t="inlineStr">
        <is>
          <t>FUCILE SEMIAUTOMATICO</t>
        </is>
      </c>
      <c r="F1702" s="3" t="inlineStr">
        <is>
          <t>410</t>
        </is>
      </c>
      <c r="G1702" s="3" t="inlineStr">
        <is>
          <t>BORA</t>
        </is>
      </c>
      <c r="H1702" s="65" t="inlineStr">
        <is>
          <t>BARAK CL-3 410</t>
        </is>
      </c>
      <c r="I1702" s="65" t="inlineStr">
        <is>
          <t>16-30026</t>
        </is>
      </c>
      <c r="J1702" s="65" t="inlineStr">
        <is>
          <t>N/D</t>
        </is>
      </c>
      <c r="K1702" s="65" t="inlineStr">
        <is>
          <t>N/D</t>
        </is>
      </c>
      <c r="L1702" s="127" t="inlineStr">
        <is>
          <t>CHIAPPA FIREARMS SRL</t>
        </is>
      </c>
      <c r="M1702" s="5" t="n">
        <v>100</v>
      </c>
      <c r="N1702" s="5" t="n"/>
      <c r="O1702" s="5">
        <f>+M1702+N1702</f>
        <v/>
      </c>
      <c r="P1702" s="4" t="n">
        <v>45841</v>
      </c>
      <c r="Q1702" s="87" t="n">
        <v>45841</v>
      </c>
      <c r="R1702" s="5" t="n">
        <v>110</v>
      </c>
      <c r="S1702" s="2" t="n">
        <v>1</v>
      </c>
      <c r="T1702" s="3" t="inlineStr">
        <is>
          <t>CA42796IR</t>
        </is>
      </c>
      <c r="U1702" s="87" t="n">
        <v>46041</v>
      </c>
      <c r="V1702" s="3" t="inlineStr">
        <is>
          <t>2</t>
        </is>
      </c>
      <c r="W1702" s="108" t="n">
        <v>46041</v>
      </c>
      <c r="X1702" s="4" t="inlineStr">
        <is>
          <t>PHILIPPOS  CONSTANTINIDES
TRADING CO.LTD</t>
        </is>
      </c>
    </row>
    <row r="1703" ht="24" customHeight="1">
      <c r="A1703" s="2">
        <f>+D1703-S1703</f>
        <v/>
      </c>
      <c r="B1703" s="80" t="n">
        <v>3336</v>
      </c>
      <c r="C1703" s="66" t="n">
        <v>45845</v>
      </c>
      <c r="D1703" s="2" t="n">
        <v>1</v>
      </c>
      <c r="E1703" s="3" t="inlineStr">
        <is>
          <t>FUCILE SEMIAUTOMATICO</t>
        </is>
      </c>
      <c r="F1703" s="3" t="inlineStr">
        <is>
          <t>12</t>
        </is>
      </c>
      <c r="G1703" s="3" t="inlineStr">
        <is>
          <t>PIETTA</t>
        </is>
      </c>
      <c r="H1703" s="65" t="inlineStr">
        <is>
          <t>N/D</t>
        </is>
      </c>
      <c r="I1703" s="65" t="inlineStr">
        <is>
          <t>Z104197</t>
        </is>
      </c>
      <c r="J1703" s="65" t="inlineStr">
        <is>
          <t>102984</t>
        </is>
      </c>
      <c r="K1703" s="65" t="inlineStr">
        <is>
          <t>N/D</t>
        </is>
      </c>
      <c r="L1703" s="127" t="inlineStr">
        <is>
          <t>CHIAPPA FIREARMS SRL</t>
        </is>
      </c>
      <c r="M1703" s="5" t="n">
        <v>100</v>
      </c>
      <c r="N1703" s="5" t="n"/>
      <c r="O1703" s="5">
        <f>+M1703+N1703</f>
        <v/>
      </c>
      <c r="P1703" s="4" t="n">
        <v>45841</v>
      </c>
      <c r="Q1703" s="87" t="n">
        <v>45841</v>
      </c>
      <c r="R1703" s="5" t="n">
        <v>110</v>
      </c>
      <c r="S1703" s="2" t="n">
        <v>1</v>
      </c>
      <c r="T1703" s="3" t="inlineStr">
        <is>
          <t>CA42796IR</t>
        </is>
      </c>
      <c r="U1703" s="87" t="n">
        <v>46041</v>
      </c>
      <c r="V1703" s="3" t="inlineStr">
        <is>
          <t>2</t>
        </is>
      </c>
      <c r="W1703" s="108" t="n">
        <v>46041</v>
      </c>
      <c r="X1703" s="4" t="inlineStr">
        <is>
          <t>PHILIPPOS  CONSTANTINIDES
TRADING CO.LTD</t>
        </is>
      </c>
    </row>
    <row r="1704" ht="24" customHeight="1">
      <c r="A1704" s="2">
        <f>+D1704-S1704</f>
        <v/>
      </c>
      <c r="B1704" s="80" t="n">
        <v>3337</v>
      </c>
      <c r="C1704" s="66" t="n">
        <v>45845</v>
      </c>
      <c r="D1704" s="2" t="n">
        <v>1</v>
      </c>
      <c r="E1704" s="3" t="inlineStr">
        <is>
          <t>FUCILE SOVRAPPOSTO</t>
        </is>
      </c>
      <c r="F1704" s="3" t="inlineStr">
        <is>
          <t>12</t>
        </is>
      </c>
      <c r="G1704" s="3" t="inlineStr">
        <is>
          <t>CHARLES DALY</t>
        </is>
      </c>
      <c r="H1704" s="65" t="inlineStr">
        <is>
          <t>202 WALNUT STOCK MC-5 20'' WHITE</t>
        </is>
      </c>
      <c r="I1704" s="65" t="inlineStr">
        <is>
          <t>19SP-0002</t>
        </is>
      </c>
      <c r="J1704" s="65" t="inlineStr">
        <is>
          <t>N/D</t>
        </is>
      </c>
      <c r="K1704" s="65" t="inlineStr">
        <is>
          <t>N/D</t>
        </is>
      </c>
      <c r="L1704" s="127" t="inlineStr">
        <is>
          <t>CHIAPPA FIREARMS SRL</t>
        </is>
      </c>
      <c r="M1704" s="5" t="n">
        <v>100</v>
      </c>
      <c r="N1704" s="5" t="n"/>
      <c r="O1704" s="5">
        <f>+M1704+N1704</f>
        <v/>
      </c>
      <c r="P1704" s="4" t="n">
        <v>45841</v>
      </c>
      <c r="Q1704" s="87" t="n">
        <v>45841</v>
      </c>
      <c r="R1704" s="5" t="n">
        <v>110</v>
      </c>
      <c r="S1704" s="2" t="n">
        <v>1</v>
      </c>
      <c r="T1704" s="3" t="inlineStr">
        <is>
          <t>CA42796IR</t>
        </is>
      </c>
      <c r="U1704" s="87" t="n">
        <v>46041</v>
      </c>
      <c r="V1704" s="3" t="inlineStr">
        <is>
          <t>2</t>
        </is>
      </c>
      <c r="W1704" s="108" t="n">
        <v>46041</v>
      </c>
      <c r="X1704" s="4" t="inlineStr">
        <is>
          <t>PHILIPPOS  CONSTANTINIDES
TRADING CO.LTD</t>
        </is>
      </c>
    </row>
    <row r="1705" ht="24" customHeight="1">
      <c r="A1705" s="2">
        <f>+D1705-S1705</f>
        <v/>
      </c>
      <c r="B1705" s="80" t="n">
        <v>3338</v>
      </c>
      <c r="C1705" s="66" t="n">
        <v>45845</v>
      </c>
      <c r="D1705" s="2" t="n">
        <v>1</v>
      </c>
      <c r="E1705" s="3" t="inlineStr">
        <is>
          <t>FUCILE SOVRAPPOSTO</t>
        </is>
      </c>
      <c r="F1705" s="3" t="inlineStr">
        <is>
          <t>12</t>
        </is>
      </c>
      <c r="G1705" s="3" t="inlineStr">
        <is>
          <t>CHARLES DALY</t>
        </is>
      </c>
      <c r="H1705" s="65" t="inlineStr">
        <is>
          <t>202 WALNUT STOCK MC-5 20'' WHITE</t>
        </is>
      </c>
      <c r="I1705" s="65" t="inlineStr">
        <is>
          <t>19SP-0001</t>
        </is>
      </c>
      <c r="J1705" s="65" t="inlineStr">
        <is>
          <t>N/D</t>
        </is>
      </c>
      <c r="K1705" s="65" t="inlineStr">
        <is>
          <t>N/D</t>
        </is>
      </c>
      <c r="L1705" s="127" t="inlineStr">
        <is>
          <t>CHIAPPA FIREARMS SRL</t>
        </is>
      </c>
      <c r="M1705" s="5" t="n">
        <v>100</v>
      </c>
      <c r="N1705" s="5" t="n"/>
      <c r="O1705" s="5">
        <f>+M1705+N1705</f>
        <v/>
      </c>
      <c r="P1705" s="4" t="n">
        <v>45841</v>
      </c>
      <c r="Q1705" s="87" t="n">
        <v>45841</v>
      </c>
      <c r="R1705" s="5" t="n">
        <v>110</v>
      </c>
      <c r="S1705" s="2" t="n">
        <v>1</v>
      </c>
      <c r="T1705" s="3" t="inlineStr">
        <is>
          <t>CA42796IR</t>
        </is>
      </c>
      <c r="U1705" s="87" t="n">
        <v>46041</v>
      </c>
      <c r="V1705" s="3" t="inlineStr">
        <is>
          <t>2</t>
        </is>
      </c>
      <c r="W1705" s="108" t="n">
        <v>46041</v>
      </c>
      <c r="X1705" s="4" t="inlineStr">
        <is>
          <t>PHILIPPOS  CONSTANTINIDES
TRADING CO.LTD</t>
        </is>
      </c>
    </row>
    <row r="1706" ht="24" customHeight="1">
      <c r="A1706" s="2">
        <f>+D1706-S1706</f>
        <v/>
      </c>
      <c r="B1706" s="80" t="n">
        <v>3339</v>
      </c>
      <c r="C1706" s="66" t="n">
        <v>45845</v>
      </c>
      <c r="D1706" s="2" t="n">
        <v>1</v>
      </c>
      <c r="E1706" s="3" t="inlineStr">
        <is>
          <t>FUCILE SEMIAUTOMATICO</t>
        </is>
      </c>
      <c r="F1706" s="3" t="inlineStr">
        <is>
          <t>12</t>
        </is>
      </c>
      <c r="G1706" s="3" t="inlineStr">
        <is>
          <t>CHARLES DALY</t>
        </is>
      </c>
      <c r="H1706" s="65" t="inlineStr">
        <is>
          <t>601 SA FIELD WOOD STOCK MC-3 28'' BLACK</t>
        </is>
      </c>
      <c r="I1706" s="65" t="inlineStr">
        <is>
          <t>19SA-0001</t>
        </is>
      </c>
      <c r="J1706" s="65" t="inlineStr">
        <is>
          <t>N/D</t>
        </is>
      </c>
      <c r="K1706" s="65" t="inlineStr">
        <is>
          <t>N/D</t>
        </is>
      </c>
      <c r="L1706" s="127" t="inlineStr">
        <is>
          <t>CHIAPPA FIREARMS SRL</t>
        </is>
      </c>
      <c r="M1706" s="5" t="n">
        <v>100</v>
      </c>
      <c r="N1706" s="5" t="n"/>
      <c r="O1706" s="5">
        <f>+M1706+N1706</f>
        <v/>
      </c>
      <c r="P1706" s="4" t="n">
        <v>45841</v>
      </c>
      <c r="Q1706" s="87" t="n">
        <v>45841</v>
      </c>
      <c r="R1706" s="5" t="n">
        <v>110</v>
      </c>
      <c r="S1706" s="2" t="n">
        <v>1</v>
      </c>
      <c r="T1706" s="3" t="inlineStr">
        <is>
          <t>CA42796IR</t>
        </is>
      </c>
      <c r="U1706" s="87" t="n">
        <v>46041</v>
      </c>
      <c r="V1706" s="3" t="inlineStr">
        <is>
          <t>2</t>
        </is>
      </c>
      <c r="W1706" s="108" t="n">
        <v>46041</v>
      </c>
      <c r="X1706" s="4" t="inlineStr">
        <is>
          <t>PHILIPPOS  CONSTANTINIDES
TRADING CO.LTD</t>
        </is>
      </c>
    </row>
    <row r="1707" ht="24" customHeight="1">
      <c r="A1707" s="2">
        <f>+D1707-S1707</f>
        <v/>
      </c>
      <c r="B1707" s="80" t="n">
        <v>3340</v>
      </c>
      <c r="C1707" s="66" t="n">
        <v>45845</v>
      </c>
      <c r="D1707" s="2" t="n">
        <v>1</v>
      </c>
      <c r="E1707" s="3" t="inlineStr">
        <is>
          <t>FUCILE SEMIAUTOMATICO</t>
        </is>
      </c>
      <c r="F1707" s="3" t="inlineStr">
        <is>
          <t>12</t>
        </is>
      </c>
      <c r="G1707" s="3" t="inlineStr">
        <is>
          <t>CHARLES DALY</t>
        </is>
      </c>
      <c r="H1707" s="65" t="inlineStr">
        <is>
          <t>601 SA FIELD WOOD STOCK MC-3 28'' BLACK</t>
        </is>
      </c>
      <c r="I1707" s="65" t="inlineStr">
        <is>
          <t>19SA-0002</t>
        </is>
      </c>
      <c r="J1707" s="65" t="inlineStr">
        <is>
          <t>N/D</t>
        </is>
      </c>
      <c r="K1707" s="65" t="inlineStr">
        <is>
          <t>N/D</t>
        </is>
      </c>
      <c r="L1707" s="127" t="inlineStr">
        <is>
          <t>CHIAPPA FIREARMS SRL</t>
        </is>
      </c>
      <c r="M1707" s="5" t="n">
        <v>100</v>
      </c>
      <c r="N1707" s="5" t="n"/>
      <c r="O1707" s="5">
        <f>+M1707+N1707</f>
        <v/>
      </c>
      <c r="P1707" s="4" t="n">
        <v>45841</v>
      </c>
      <c r="Q1707" s="87" t="n">
        <v>45841</v>
      </c>
      <c r="R1707" s="5" t="n">
        <v>110</v>
      </c>
      <c r="S1707" s="2" t="n">
        <v>1</v>
      </c>
      <c r="T1707" s="3" t="inlineStr">
        <is>
          <t>CA42796IR</t>
        </is>
      </c>
      <c r="U1707" s="87" t="n">
        <v>46041</v>
      </c>
      <c r="V1707" s="3" t="inlineStr">
        <is>
          <t>2</t>
        </is>
      </c>
      <c r="W1707" s="108" t="n">
        <v>46041</v>
      </c>
      <c r="X1707" s="4" t="inlineStr">
        <is>
          <t>PHILIPPOS  CONSTANTINIDES
TRADING CO.LTD</t>
        </is>
      </c>
    </row>
    <row r="1708" ht="24" customHeight="1">
      <c r="A1708" s="2">
        <f>+D1708-S1708</f>
        <v/>
      </c>
      <c r="B1708" s="80" t="n">
        <v>3341</v>
      </c>
      <c r="C1708" s="66" t="n">
        <v>45845</v>
      </c>
      <c r="D1708" s="2" t="n">
        <v>1</v>
      </c>
      <c r="E1708" s="3" t="inlineStr">
        <is>
          <t>FUCILE MONOCANNA</t>
        </is>
      </c>
      <c r="F1708" s="3" t="inlineStr">
        <is>
          <t>410</t>
        </is>
      </c>
      <c r="G1708" s="3" t="inlineStr">
        <is>
          <t>CHARLES DALY</t>
        </is>
      </c>
      <c r="H1708" s="65" t="inlineStr">
        <is>
          <t>101 WALNUT STOCK FIXED MOD CHOKE</t>
        </is>
      </c>
      <c r="I1708" s="65" t="inlineStr">
        <is>
          <t>19SB-0002</t>
        </is>
      </c>
      <c r="J1708" s="65" t="inlineStr">
        <is>
          <t>N/D</t>
        </is>
      </c>
      <c r="K1708" s="65" t="inlineStr">
        <is>
          <t>N/D</t>
        </is>
      </c>
      <c r="L1708" s="127" t="inlineStr">
        <is>
          <t>CHIAPPA FIREARMS SRL</t>
        </is>
      </c>
      <c r="M1708" s="5" t="n">
        <v>0</v>
      </c>
      <c r="N1708" s="5" t="n"/>
      <c r="O1708" s="5">
        <f>+M1708+N1708</f>
        <v/>
      </c>
      <c r="P1708" s="4" t="n">
        <v>45841</v>
      </c>
      <c r="Q1708" s="87" t="n">
        <v>45841</v>
      </c>
      <c r="R1708" s="5" t="n">
        <v>10</v>
      </c>
      <c r="S1708" s="2" t="n">
        <v>1</v>
      </c>
      <c r="T1708" s="3" t="inlineStr">
        <is>
          <t>CA42796IR</t>
        </is>
      </c>
      <c r="U1708" s="87" t="n">
        <v>46041</v>
      </c>
      <c r="V1708" s="3" t="inlineStr">
        <is>
          <t>2</t>
        </is>
      </c>
      <c r="W1708" s="108" t="n">
        <v>46041</v>
      </c>
      <c r="X1708" s="4" t="inlineStr">
        <is>
          <t>PHILIPPOS  CONSTANTINIDES
TRADING CO.LTD</t>
        </is>
      </c>
    </row>
    <row r="1709" ht="24" customHeight="1">
      <c r="A1709" s="2">
        <f>+D1709-S1709</f>
        <v/>
      </c>
      <c r="B1709" s="80" t="n">
        <v>3342</v>
      </c>
      <c r="C1709" s="66" t="n">
        <v>45845</v>
      </c>
      <c r="D1709" s="2" t="n">
        <v>1</v>
      </c>
      <c r="E1709" s="3" t="inlineStr">
        <is>
          <t>FUCILE MONOCANNA</t>
        </is>
      </c>
      <c r="F1709" s="3" t="inlineStr">
        <is>
          <t>410</t>
        </is>
      </c>
      <c r="G1709" s="3" t="inlineStr">
        <is>
          <t>CHARLES DALY</t>
        </is>
      </c>
      <c r="H1709" s="65" t="inlineStr">
        <is>
          <t>101 WALNUT STOCK FIXED MOD CHOKE</t>
        </is>
      </c>
      <c r="I1709" s="65" t="inlineStr">
        <is>
          <t>19SB-0001</t>
        </is>
      </c>
      <c r="J1709" s="65" t="inlineStr">
        <is>
          <t>N/D</t>
        </is>
      </c>
      <c r="K1709" s="65" t="inlineStr">
        <is>
          <t>N/D</t>
        </is>
      </c>
      <c r="L1709" s="127" t="inlineStr">
        <is>
          <t>CHIAPPA FIREARMS SRL</t>
        </is>
      </c>
      <c r="M1709" s="5" t="n">
        <v>0</v>
      </c>
      <c r="N1709" s="5" t="n"/>
      <c r="O1709" s="5">
        <f>+M1709+N1709</f>
        <v/>
      </c>
      <c r="P1709" s="4" t="n">
        <v>45841</v>
      </c>
      <c r="Q1709" s="87" t="n">
        <v>45841</v>
      </c>
      <c r="R1709" s="5" t="n">
        <v>10</v>
      </c>
      <c r="S1709" s="2" t="n">
        <v>1</v>
      </c>
      <c r="T1709" s="3" t="inlineStr">
        <is>
          <t>CA42796IR</t>
        </is>
      </c>
      <c r="U1709" s="87" t="n">
        <v>46041</v>
      </c>
      <c r="V1709" s="3" t="inlineStr">
        <is>
          <t>2</t>
        </is>
      </c>
      <c r="W1709" s="108" t="n">
        <v>46041</v>
      </c>
      <c r="X1709" s="4" t="inlineStr">
        <is>
          <t>PHILIPPOS  CONSTANTINIDES
TRADING CO.LTD</t>
        </is>
      </c>
    </row>
    <row r="1710" ht="24" customHeight="1">
      <c r="A1710" s="2">
        <f>+D1710-S1710</f>
        <v/>
      </c>
      <c r="B1710" s="80" t="n">
        <v>3343</v>
      </c>
      <c r="C1710" s="66" t="n">
        <v>45845</v>
      </c>
      <c r="D1710" s="2" t="n">
        <v>1</v>
      </c>
      <c r="E1710" s="3" t="inlineStr">
        <is>
          <t>FUCILE SEMIAUTOMATICO</t>
        </is>
      </c>
      <c r="F1710" s="3" t="inlineStr">
        <is>
          <t>12</t>
        </is>
      </c>
      <c r="G1710" s="3" t="inlineStr">
        <is>
          <t>CHARLES DALY</t>
        </is>
      </c>
      <c r="H1710" s="65" t="inlineStr">
        <is>
          <t xml:space="preserve">N4S BULLPUP MAGAZINE FED 20'' BLACK </t>
        </is>
      </c>
      <c r="I1710" s="65" t="inlineStr">
        <is>
          <t>19EC-0001</t>
        </is>
      </c>
      <c r="J1710" s="65" t="inlineStr">
        <is>
          <t>N/D</t>
        </is>
      </c>
      <c r="K1710" s="65" t="inlineStr">
        <is>
          <t>N/D</t>
        </is>
      </c>
      <c r="L1710" s="127" t="inlineStr">
        <is>
          <t>CHIAPPA FIREARMS SRL</t>
        </is>
      </c>
      <c r="M1710" s="5" t="n">
        <v>100</v>
      </c>
      <c r="N1710" s="5" t="n"/>
      <c r="O1710" s="5">
        <f>+M1710+N1710</f>
        <v/>
      </c>
      <c r="P1710" s="4" t="n">
        <v>45841</v>
      </c>
      <c r="Q1710" s="87" t="n">
        <v>45841</v>
      </c>
      <c r="R1710" s="5" t="n">
        <v>110</v>
      </c>
      <c r="S1710" s="2" t="n">
        <v>1</v>
      </c>
      <c r="T1710" s="3" t="inlineStr">
        <is>
          <t>CA42796IR</t>
        </is>
      </c>
      <c r="U1710" s="87" t="n">
        <v>46041</v>
      </c>
      <c r="V1710" s="3" t="inlineStr">
        <is>
          <t>2</t>
        </is>
      </c>
      <c r="W1710" s="108" t="n">
        <v>46041</v>
      </c>
      <c r="X1710" s="4" t="inlineStr">
        <is>
          <t>PHILIPPOS  CONSTANTINIDES
TRADING CO.LTD</t>
        </is>
      </c>
    </row>
    <row r="1711" ht="24" customHeight="1">
      <c r="A1711" s="2">
        <f>+D1711-S1711</f>
        <v/>
      </c>
      <c r="B1711" s="80" t="n">
        <v>3344</v>
      </c>
      <c r="C1711" s="66" t="n">
        <v>45845</v>
      </c>
      <c r="D1711" s="2" t="n">
        <v>1</v>
      </c>
      <c r="E1711" s="3" t="inlineStr">
        <is>
          <t>FUCILE SEMIAUTOMATICO</t>
        </is>
      </c>
      <c r="F1711" s="3" t="inlineStr">
        <is>
          <t>12</t>
        </is>
      </c>
      <c r="G1711" s="3" t="inlineStr">
        <is>
          <t>CHARLES DALY</t>
        </is>
      </c>
      <c r="H1711" s="65" t="inlineStr">
        <is>
          <t xml:space="preserve">N4S BULLPUP MAGAZINE FED 20'' BLACK </t>
        </is>
      </c>
      <c r="I1711" s="65" t="inlineStr">
        <is>
          <t>19EC-0002</t>
        </is>
      </c>
      <c r="J1711" s="65" t="inlineStr">
        <is>
          <t>N/D</t>
        </is>
      </c>
      <c r="K1711" s="65" t="inlineStr">
        <is>
          <t>N/D</t>
        </is>
      </c>
      <c r="L1711" s="127" t="inlineStr">
        <is>
          <t>CHIAPPA FIREARMS SRL</t>
        </is>
      </c>
      <c r="M1711" s="5" t="n">
        <v>100</v>
      </c>
      <c r="N1711" s="5" t="n"/>
      <c r="O1711" s="5">
        <f>+M1711+N1711</f>
        <v/>
      </c>
      <c r="P1711" s="4" t="n">
        <v>45841</v>
      </c>
      <c r="Q1711" s="87" t="n">
        <v>45841</v>
      </c>
      <c r="R1711" s="5" t="n">
        <v>110</v>
      </c>
      <c r="S1711" s="2" t="n">
        <v>1</v>
      </c>
      <c r="T1711" s="3" t="inlineStr">
        <is>
          <t>CA42796IR</t>
        </is>
      </c>
      <c r="U1711" s="87" t="n">
        <v>46041</v>
      </c>
      <c r="V1711" s="3" t="inlineStr">
        <is>
          <t>2</t>
        </is>
      </c>
      <c r="W1711" s="108" t="n">
        <v>46041</v>
      </c>
      <c r="X1711" s="4" t="inlineStr">
        <is>
          <t>PHILIPPOS  CONSTANTINIDES
TRADING CO.LTD</t>
        </is>
      </c>
    </row>
    <row r="1712" ht="24" customHeight="1">
      <c r="A1712" s="2">
        <f>+D1712-S1712</f>
        <v/>
      </c>
      <c r="B1712" s="80" t="n">
        <v>3345</v>
      </c>
      <c r="C1712" s="66" t="n">
        <v>45845</v>
      </c>
      <c r="D1712" s="2" t="n">
        <v>1</v>
      </c>
      <c r="E1712" s="3" t="inlineStr">
        <is>
          <t>FUCILE SEMIAUTOMATICO</t>
        </is>
      </c>
      <c r="F1712" s="3" t="inlineStr">
        <is>
          <t>12</t>
        </is>
      </c>
      <c r="G1712" s="3" t="inlineStr">
        <is>
          <t>CHARLES DALY</t>
        </is>
      </c>
      <c r="H1712" s="65" t="inlineStr">
        <is>
          <t>AR-12S MAGAZINE FED 20'' BLACK</t>
        </is>
      </c>
      <c r="I1712" s="65" t="inlineStr">
        <is>
          <t>19BM-0002</t>
        </is>
      </c>
      <c r="J1712" s="65" t="inlineStr">
        <is>
          <t>N/D</t>
        </is>
      </c>
      <c r="K1712" s="65" t="inlineStr">
        <is>
          <t>N/D</t>
        </is>
      </c>
      <c r="L1712" s="127" t="inlineStr">
        <is>
          <t>CHIAPPA FIREARMS SRL</t>
        </is>
      </c>
      <c r="M1712" s="5" t="n">
        <v>100</v>
      </c>
      <c r="N1712" s="5" t="n"/>
      <c r="O1712" s="5">
        <f>+M1712+N1712</f>
        <v/>
      </c>
      <c r="P1712" s="4" t="n">
        <v>45841</v>
      </c>
      <c r="Q1712" s="87" t="n">
        <v>45841</v>
      </c>
      <c r="R1712" s="5" t="n">
        <v>110</v>
      </c>
      <c r="S1712" s="2" t="n">
        <v>1</v>
      </c>
      <c r="T1712" s="3" t="inlineStr">
        <is>
          <t>CA42796IR</t>
        </is>
      </c>
      <c r="U1712" s="87" t="n">
        <v>46041</v>
      </c>
      <c r="V1712" s="3" t="inlineStr">
        <is>
          <t>2</t>
        </is>
      </c>
      <c r="W1712" s="108" t="n">
        <v>46041</v>
      </c>
      <c r="X1712" s="4" t="inlineStr">
        <is>
          <t>PHILIPPOS  CONSTANTINIDES
TRADING CO.LTD</t>
        </is>
      </c>
    </row>
    <row r="1713" ht="24" customHeight="1">
      <c r="A1713" s="2">
        <f>+D1713-S1713</f>
        <v/>
      </c>
      <c r="B1713" s="80" t="n">
        <v>3346</v>
      </c>
      <c r="C1713" s="66" t="n">
        <v>45845</v>
      </c>
      <c r="D1713" s="2" t="n">
        <v>1</v>
      </c>
      <c r="E1713" s="3" t="inlineStr">
        <is>
          <t>FUCILE SEMIAUTOMATICO</t>
        </is>
      </c>
      <c r="F1713" s="3" t="inlineStr">
        <is>
          <t>12</t>
        </is>
      </c>
      <c r="G1713" s="3" t="inlineStr">
        <is>
          <t>CHARLES DALY</t>
        </is>
      </c>
      <c r="H1713" s="65" t="inlineStr">
        <is>
          <t>AR-12S MAGAZINE FED 20'' BLACK</t>
        </is>
      </c>
      <c r="I1713" s="65" t="inlineStr">
        <is>
          <t>19BM-0001</t>
        </is>
      </c>
      <c r="J1713" s="65" t="inlineStr">
        <is>
          <t>N/D</t>
        </is>
      </c>
      <c r="K1713" s="65" t="inlineStr">
        <is>
          <t>N/D</t>
        </is>
      </c>
      <c r="L1713" s="127" t="inlineStr">
        <is>
          <t>CHIAPPA FIREARMS SRL</t>
        </is>
      </c>
      <c r="M1713" s="5" t="n">
        <v>100</v>
      </c>
      <c r="N1713" s="5" t="n"/>
      <c r="O1713" s="5">
        <f>+M1713+N1713</f>
        <v/>
      </c>
      <c r="P1713" s="4" t="n">
        <v>45841</v>
      </c>
      <c r="Q1713" s="87" t="n">
        <v>45841</v>
      </c>
      <c r="R1713" s="5" t="n">
        <v>110</v>
      </c>
      <c r="S1713" s="2" t="n">
        <v>1</v>
      </c>
      <c r="T1713" s="3" t="inlineStr">
        <is>
          <t>CA42796IR</t>
        </is>
      </c>
      <c r="U1713" s="87" t="n">
        <v>46041</v>
      </c>
      <c r="V1713" s="3" t="inlineStr">
        <is>
          <t>2</t>
        </is>
      </c>
      <c r="W1713" s="108" t="n">
        <v>46041</v>
      </c>
      <c r="X1713" s="4" t="inlineStr">
        <is>
          <t>PHILIPPOS  CONSTANTINIDES
TRADING CO.LTD</t>
        </is>
      </c>
    </row>
    <row r="1714" ht="24" customHeight="1">
      <c r="A1714" s="2">
        <f>+D1714-S1714</f>
        <v/>
      </c>
      <c r="B1714" s="80" t="n">
        <v>3347</v>
      </c>
      <c r="C1714" s="66" t="n">
        <v>45845</v>
      </c>
      <c r="D1714" s="2" t="n">
        <v>1</v>
      </c>
      <c r="E1714" s="3" t="inlineStr">
        <is>
          <t>FUCILE SEMIAUTOMATICO</t>
        </is>
      </c>
      <c r="F1714" s="3" t="inlineStr">
        <is>
          <t>12</t>
        </is>
      </c>
      <c r="G1714" s="3" t="inlineStr">
        <is>
          <t>CHARLES DALY</t>
        </is>
      </c>
      <c r="H1714" s="65" t="inlineStr">
        <is>
          <t>HONCHO TACTICAL MATTE BLACK SYNTH</t>
        </is>
      </c>
      <c r="I1714" s="65" t="inlineStr">
        <is>
          <t>20SA12P-0005</t>
        </is>
      </c>
      <c r="J1714" s="65" t="inlineStr">
        <is>
          <t>N/D</t>
        </is>
      </c>
      <c r="K1714" s="65" t="inlineStr">
        <is>
          <t>N/D</t>
        </is>
      </c>
      <c r="L1714" s="127" t="inlineStr">
        <is>
          <t>CHIAPPA FIREARMS SRL</t>
        </is>
      </c>
      <c r="M1714" s="5" t="n">
        <v>100</v>
      </c>
      <c r="N1714" s="5" t="n"/>
      <c r="O1714" s="5">
        <f>+M1714+N1714</f>
        <v/>
      </c>
      <c r="P1714" s="4" t="n">
        <v>45841</v>
      </c>
      <c r="Q1714" s="87" t="n">
        <v>45841</v>
      </c>
      <c r="R1714" s="5" t="n">
        <v>110</v>
      </c>
      <c r="S1714" s="2" t="n">
        <v>1</v>
      </c>
      <c r="T1714" s="3" t="inlineStr">
        <is>
          <t>CA42796IR</t>
        </is>
      </c>
      <c r="U1714" s="87" t="n">
        <v>46041</v>
      </c>
      <c r="V1714" s="3" t="inlineStr">
        <is>
          <t>2</t>
        </is>
      </c>
      <c r="W1714" s="108" t="n">
        <v>46041</v>
      </c>
      <c r="X1714" s="4" t="inlineStr">
        <is>
          <t>PHILIPPOS  CONSTANTINIDES
TRADING CO.LTD</t>
        </is>
      </c>
    </row>
    <row r="1715" ht="24" customHeight="1">
      <c r="A1715" s="2">
        <f>+D1715-S1715</f>
        <v/>
      </c>
      <c r="B1715" s="80" t="n">
        <v>3348</v>
      </c>
      <c r="C1715" s="66" t="n">
        <v>45845</v>
      </c>
      <c r="D1715" s="2" t="n">
        <v>1</v>
      </c>
      <c r="E1715" s="3" t="inlineStr">
        <is>
          <t>FUCILE SEMIAUTOMATICO</t>
        </is>
      </c>
      <c r="F1715" s="3" t="inlineStr">
        <is>
          <t>12</t>
        </is>
      </c>
      <c r="G1715" s="3" t="inlineStr">
        <is>
          <t>CHARLES DALY</t>
        </is>
      </c>
      <c r="H1715" s="65" t="inlineStr">
        <is>
          <t>HONCHO TACTICAL MATTE BLACK SYNTH</t>
        </is>
      </c>
      <c r="I1715" s="65" t="inlineStr">
        <is>
          <t>20SA12P-0006</t>
        </is>
      </c>
      <c r="J1715" s="65" t="inlineStr">
        <is>
          <t>N/D</t>
        </is>
      </c>
      <c r="K1715" s="65" t="inlineStr">
        <is>
          <t>N/D</t>
        </is>
      </c>
      <c r="L1715" s="127" t="inlineStr">
        <is>
          <t>CHIAPPA FIREARMS SRL</t>
        </is>
      </c>
      <c r="M1715" s="5" t="n">
        <v>100</v>
      </c>
      <c r="N1715" s="5" t="n"/>
      <c r="O1715" s="5">
        <f>+M1715+N1715</f>
        <v/>
      </c>
      <c r="P1715" s="4" t="n">
        <v>45841</v>
      </c>
      <c r="Q1715" s="87" t="n">
        <v>45841</v>
      </c>
      <c r="R1715" s="5" t="n">
        <v>110</v>
      </c>
      <c r="S1715" s="2" t="n">
        <v>1</v>
      </c>
      <c r="T1715" s="3" t="inlineStr">
        <is>
          <t>CA42796IR</t>
        </is>
      </c>
      <c r="U1715" s="87" t="n">
        <v>46041</v>
      </c>
      <c r="V1715" s="3" t="inlineStr">
        <is>
          <t>2</t>
        </is>
      </c>
      <c r="W1715" s="108" t="n">
        <v>46041</v>
      </c>
      <c r="X1715" s="4" t="inlineStr">
        <is>
          <t>PHILIPPOS  CONSTANTINIDES
TRADING CO.LTD</t>
        </is>
      </c>
    </row>
    <row r="1716" ht="24" customHeight="1">
      <c r="A1716" s="2">
        <f>+D1716-S1716</f>
        <v/>
      </c>
      <c r="B1716" s="80" t="n">
        <v>3349</v>
      </c>
      <c r="C1716" s="66" t="n">
        <v>45845</v>
      </c>
      <c r="D1716" s="2" t="n">
        <v>1</v>
      </c>
      <c r="E1716" s="3" t="inlineStr">
        <is>
          <t>FUCILE A POMPA</t>
        </is>
      </c>
      <c r="F1716" s="3" t="inlineStr">
        <is>
          <t>12</t>
        </is>
      </c>
      <c r="G1716" s="3" t="inlineStr">
        <is>
          <t>CHARLES DALY</t>
        </is>
      </c>
      <c r="H1716" s="65" t="inlineStr">
        <is>
          <t>301 MATTE BLACK 20'' W/ HEAT SHIELD AND GHOST RING SIGHT</t>
        </is>
      </c>
      <c r="I1716" s="65" t="inlineStr">
        <is>
          <t>19PA-0001</t>
        </is>
      </c>
      <c r="J1716" s="65" t="inlineStr">
        <is>
          <t>N/D</t>
        </is>
      </c>
      <c r="K1716" s="65" t="inlineStr">
        <is>
          <t>N/D</t>
        </is>
      </c>
      <c r="L1716" s="127" t="inlineStr">
        <is>
          <t>CHIAPPA FIREARMS SRL</t>
        </is>
      </c>
      <c r="M1716" s="5" t="n">
        <v>100</v>
      </c>
      <c r="N1716" s="5" t="n"/>
      <c r="O1716" s="5">
        <f>+M1716+N1716</f>
        <v/>
      </c>
      <c r="P1716" s="4" t="n">
        <v>45841</v>
      </c>
      <c r="Q1716" s="87" t="n">
        <v>45841</v>
      </c>
      <c r="R1716" s="5" t="n">
        <v>110</v>
      </c>
      <c r="S1716" s="2" t="n">
        <v>1</v>
      </c>
      <c r="T1716" s="3" t="inlineStr">
        <is>
          <t>CA42796IR</t>
        </is>
      </c>
      <c r="U1716" s="87" t="n">
        <v>46041</v>
      </c>
      <c r="V1716" s="3" t="inlineStr">
        <is>
          <t>2</t>
        </is>
      </c>
      <c r="W1716" s="108" t="n">
        <v>46041</v>
      </c>
      <c r="X1716" s="4" t="inlineStr">
        <is>
          <t>PHILIPPOS  CONSTANTINIDES
TRADING CO.LTD</t>
        </is>
      </c>
    </row>
    <row r="1717" ht="24" customHeight="1">
      <c r="A1717" s="2">
        <f>+D1717-S1717</f>
        <v/>
      </c>
      <c r="B1717" s="80" t="n">
        <v>3350</v>
      </c>
      <c r="C1717" s="66" t="n">
        <v>45845</v>
      </c>
      <c r="D1717" s="2" t="n">
        <v>1</v>
      </c>
      <c r="E1717" s="3" t="inlineStr">
        <is>
          <t>FUCILE SEMIAUTOMATICO</t>
        </is>
      </c>
      <c r="F1717" s="3" t="inlineStr">
        <is>
          <t>12</t>
        </is>
      </c>
      <c r="G1717" s="3" t="inlineStr">
        <is>
          <t>CHARLES DALY</t>
        </is>
      </c>
      <c r="H1717" s="65" t="inlineStr">
        <is>
          <t>AR-12T MC-1 18.9'' BLACK</t>
        </is>
      </c>
      <c r="I1717" s="65" t="inlineStr">
        <is>
          <t>20SA12P-0008</t>
        </is>
      </c>
      <c r="J1717" s="65" t="inlineStr">
        <is>
          <t>N/D</t>
        </is>
      </c>
      <c r="K1717" s="65" t="inlineStr">
        <is>
          <t>N/D</t>
        </is>
      </c>
      <c r="L1717" s="127" t="inlineStr">
        <is>
          <t>CHIAPPA FIREARMS SRL</t>
        </is>
      </c>
      <c r="M1717" s="5" t="n">
        <v>100</v>
      </c>
      <c r="N1717" s="5" t="n"/>
      <c r="O1717" s="5">
        <f>+M1717+N1717</f>
        <v/>
      </c>
      <c r="P1717" s="4" t="n">
        <v>45841</v>
      </c>
      <c r="Q1717" s="87" t="n">
        <v>45841</v>
      </c>
      <c r="R1717" s="5" t="n">
        <v>110</v>
      </c>
      <c r="S1717" s="2" t="n">
        <v>1</v>
      </c>
      <c r="T1717" s="3" t="inlineStr">
        <is>
          <t>CA42796IR</t>
        </is>
      </c>
      <c r="U1717" s="87" t="n">
        <v>46041</v>
      </c>
      <c r="V1717" s="3" t="inlineStr">
        <is>
          <t>2</t>
        </is>
      </c>
      <c r="W1717" s="108" t="n">
        <v>46041</v>
      </c>
      <c r="X1717" s="4" t="inlineStr">
        <is>
          <t>PHILIPPOS  CONSTANTINIDES
TRADING CO.LTD</t>
        </is>
      </c>
    </row>
    <row r="1718" ht="24" customHeight="1">
      <c r="A1718" s="2">
        <f>+D1718-S1718</f>
        <v/>
      </c>
      <c r="B1718" s="80" t="n">
        <v>3351</v>
      </c>
      <c r="C1718" s="66" t="n">
        <v>45845</v>
      </c>
      <c r="D1718" s="2" t="n">
        <v>1</v>
      </c>
      <c r="E1718" s="3" t="inlineStr">
        <is>
          <t>FUCILE SEMIAUTOMATICO</t>
        </is>
      </c>
      <c r="F1718" s="3" t="inlineStr">
        <is>
          <t>12</t>
        </is>
      </c>
      <c r="G1718" s="3" t="inlineStr">
        <is>
          <t>CHARLES DALY</t>
        </is>
      </c>
      <c r="H1718" s="65" t="inlineStr">
        <is>
          <t>AR-12T MC-1 18.9'' BLACK</t>
        </is>
      </c>
      <c r="I1718" s="65" t="inlineStr">
        <is>
          <t>MRTK24M0221</t>
        </is>
      </c>
      <c r="J1718" s="65" t="inlineStr">
        <is>
          <t>N/D</t>
        </is>
      </c>
      <c r="K1718" s="65" t="inlineStr">
        <is>
          <t>N/D</t>
        </is>
      </c>
      <c r="L1718" s="127" t="inlineStr">
        <is>
          <t>CHIAPPA FIREARMS SRL</t>
        </is>
      </c>
      <c r="M1718" s="5" t="n">
        <v>100</v>
      </c>
      <c r="N1718" s="5" t="n"/>
      <c r="O1718" s="5">
        <f>+M1718+N1718</f>
        <v/>
      </c>
      <c r="P1718" s="4" t="n">
        <v>45841</v>
      </c>
      <c r="Q1718" s="87" t="n">
        <v>45841</v>
      </c>
      <c r="R1718" s="5" t="n">
        <v>110</v>
      </c>
      <c r="S1718" s="2" t="n">
        <v>1</v>
      </c>
      <c r="T1718" s="3" t="inlineStr">
        <is>
          <t>CA42796IR</t>
        </is>
      </c>
      <c r="U1718" s="87" t="n">
        <v>46041</v>
      </c>
      <c r="V1718" s="3" t="inlineStr">
        <is>
          <t>2</t>
        </is>
      </c>
      <c r="W1718" s="108" t="n">
        <v>46041</v>
      </c>
      <c r="X1718" s="4" t="inlineStr">
        <is>
          <t>PHILIPPOS  CONSTANTINIDES
TRADING CO.LTD</t>
        </is>
      </c>
    </row>
    <row r="1719" ht="24" customHeight="1">
      <c r="A1719" s="2">
        <f>+D1719-S1719</f>
        <v/>
      </c>
      <c r="B1719" s="80" t="n">
        <v>3352</v>
      </c>
      <c r="C1719" s="66" t="n">
        <v>45845</v>
      </c>
      <c r="D1719" s="2" t="n">
        <v>1</v>
      </c>
      <c r="E1719" s="3" t="inlineStr">
        <is>
          <t>FUCILE SEMIAUTOMATICO</t>
        </is>
      </c>
      <c r="F1719" s="3" t="inlineStr">
        <is>
          <t>12</t>
        </is>
      </c>
      <c r="G1719" s="3" t="inlineStr">
        <is>
          <t>CHARLES DALY</t>
        </is>
      </c>
      <c r="H1719" s="65" t="inlineStr">
        <is>
          <t>N4S BULLPUP 18.9'' BLACK</t>
        </is>
      </c>
      <c r="I1719" s="65" t="inlineStr">
        <is>
          <t>20SA12B-0001</t>
        </is>
      </c>
      <c r="J1719" s="65" t="inlineStr">
        <is>
          <t>N/D</t>
        </is>
      </c>
      <c r="K1719" s="65" t="inlineStr">
        <is>
          <t>N/D</t>
        </is>
      </c>
      <c r="L1719" s="127" t="inlineStr">
        <is>
          <t>CHIAPPA FIREARMS SRL</t>
        </is>
      </c>
      <c r="M1719" s="5" t="n">
        <v>100</v>
      </c>
      <c r="N1719" s="5" t="n"/>
      <c r="O1719" s="5">
        <f>+M1719+N1719</f>
        <v/>
      </c>
      <c r="P1719" s="4" t="n">
        <v>45841</v>
      </c>
      <c r="Q1719" s="87" t="n">
        <v>45841</v>
      </c>
      <c r="R1719" s="5" t="n">
        <v>110</v>
      </c>
      <c r="S1719" s="2" t="n">
        <v>1</v>
      </c>
      <c r="T1719" s="3" t="inlineStr">
        <is>
          <t>CA42796IR</t>
        </is>
      </c>
      <c r="U1719" s="87" t="n">
        <v>46041</v>
      </c>
      <c r="V1719" s="3" t="inlineStr">
        <is>
          <t>2</t>
        </is>
      </c>
      <c r="W1719" s="108" t="n">
        <v>46041</v>
      </c>
      <c r="X1719" s="4" t="inlineStr">
        <is>
          <t>PHILIPPOS  CONSTANTINIDES
TRADING CO.LTD</t>
        </is>
      </c>
    </row>
    <row r="1720" ht="24" customHeight="1">
      <c r="A1720" s="2">
        <f>+D1720-S1720</f>
        <v/>
      </c>
      <c r="B1720" s="80" t="n">
        <v>3353</v>
      </c>
      <c r="C1720" s="66" t="n">
        <v>45845</v>
      </c>
      <c r="D1720" s="2" t="n">
        <v>1</v>
      </c>
      <c r="E1720" s="3" t="inlineStr">
        <is>
          <t>FUCILE SEMIAUTOMATICO</t>
        </is>
      </c>
      <c r="F1720" s="3" t="inlineStr">
        <is>
          <t>12</t>
        </is>
      </c>
      <c r="G1720" s="3" t="inlineStr">
        <is>
          <t>CHARLES DALY</t>
        </is>
      </c>
      <c r="H1720" s="65" t="inlineStr">
        <is>
          <t>N4S BULLPUP 18.9'' BLACK</t>
        </is>
      </c>
      <c r="I1720" s="65" t="inlineStr">
        <is>
          <t>20SA12B-0002</t>
        </is>
      </c>
      <c r="J1720" s="65" t="inlineStr">
        <is>
          <t>N/D</t>
        </is>
      </c>
      <c r="K1720" s="65" t="inlineStr">
        <is>
          <t>N/D</t>
        </is>
      </c>
      <c r="L1720" s="127" t="inlineStr">
        <is>
          <t>CHIAPPA FIREARMS SRL</t>
        </is>
      </c>
      <c r="M1720" s="5" t="n">
        <v>100</v>
      </c>
      <c r="N1720" s="5" t="n"/>
      <c r="O1720" s="5">
        <f>+M1720+N1720</f>
        <v/>
      </c>
      <c r="P1720" s="4" t="n">
        <v>45841</v>
      </c>
      <c r="Q1720" s="87" t="n">
        <v>45841</v>
      </c>
      <c r="R1720" s="5" t="n">
        <v>110</v>
      </c>
      <c r="S1720" s="2" t="n">
        <v>1</v>
      </c>
      <c r="T1720" s="3" t="inlineStr">
        <is>
          <t>CA42796IR</t>
        </is>
      </c>
      <c r="U1720" s="87" t="n">
        <v>46041</v>
      </c>
      <c r="V1720" s="3" t="inlineStr">
        <is>
          <t>2</t>
        </is>
      </c>
      <c r="W1720" s="108" t="n">
        <v>46041</v>
      </c>
      <c r="X1720" s="4" t="inlineStr">
        <is>
          <t>PHILIPPOS  CONSTANTINIDES
TRADING CO.LTD</t>
        </is>
      </c>
    </row>
    <row r="1721" ht="24" customHeight="1">
      <c r="A1721" s="2">
        <f>+D1721-S1721</f>
        <v/>
      </c>
      <c r="B1721" s="80" t="n">
        <v>3354</v>
      </c>
      <c r="C1721" s="66" t="n">
        <v>45845</v>
      </c>
      <c r="D1721" s="2" t="n">
        <v>1</v>
      </c>
      <c r="E1721" s="3" t="inlineStr">
        <is>
          <t>FUCILE SOVRAPPOSTO</t>
        </is>
      </c>
      <c r="F1721" s="3" t="inlineStr">
        <is>
          <t>12</t>
        </is>
      </c>
      <c r="G1721" s="3" t="inlineStr">
        <is>
          <t>CHARLES DALY</t>
        </is>
      </c>
      <c r="H1721" s="65" t="inlineStr">
        <is>
          <t>202 STEEL FRAME WALNUT STOCK MC-5 28''</t>
        </is>
      </c>
      <c r="I1721" s="65" t="inlineStr">
        <is>
          <t>MRTK22C-0010</t>
        </is>
      </c>
      <c r="J1721" s="65" t="inlineStr">
        <is>
          <t>N/D</t>
        </is>
      </c>
      <c r="K1721" s="65" t="inlineStr">
        <is>
          <t>N/D</t>
        </is>
      </c>
      <c r="L1721" s="127" t="inlineStr">
        <is>
          <t>CHIAPPA FIREARMS SRL</t>
        </is>
      </c>
      <c r="M1721" s="5" t="n">
        <v>100</v>
      </c>
      <c r="N1721" s="5" t="n"/>
      <c r="O1721" s="5">
        <f>+M1721+N1721</f>
        <v/>
      </c>
      <c r="P1721" s="4" t="n">
        <v>45841</v>
      </c>
      <c r="Q1721" s="87" t="n">
        <v>45841</v>
      </c>
      <c r="R1721" s="5" t="n">
        <v>110</v>
      </c>
      <c r="S1721" s="2" t="n">
        <v>1</v>
      </c>
      <c r="T1721" s="3" t="inlineStr">
        <is>
          <t>CA42796IR</t>
        </is>
      </c>
      <c r="U1721" s="87" t="n">
        <v>46041</v>
      </c>
      <c r="V1721" s="3" t="inlineStr">
        <is>
          <t>2</t>
        </is>
      </c>
      <c r="W1721" s="108" t="n">
        <v>46041</v>
      </c>
      <c r="X1721" s="4" t="inlineStr">
        <is>
          <t>PHILIPPOS  CONSTANTINIDES
TRADING CO.LTD</t>
        </is>
      </c>
    </row>
    <row r="1722" ht="24" customHeight="1">
      <c r="A1722" s="2">
        <f>+D1722-S1722</f>
        <v/>
      </c>
      <c r="B1722" s="80" t="n">
        <v>3355</v>
      </c>
      <c r="C1722" s="66" t="n">
        <v>45845</v>
      </c>
      <c r="D1722" s="2" t="n">
        <v>1</v>
      </c>
      <c r="E1722" s="3" t="inlineStr">
        <is>
          <t>FUCILE SOVRAPPOSTO</t>
        </is>
      </c>
      <c r="F1722" s="3" t="inlineStr">
        <is>
          <t>12</t>
        </is>
      </c>
      <c r="G1722" s="3" t="inlineStr">
        <is>
          <t>CHARLES DALY</t>
        </is>
      </c>
      <c r="H1722" s="65" t="inlineStr">
        <is>
          <t>202 STEEL FRAME WALNUT STOCK MC-5 28''</t>
        </is>
      </c>
      <c r="I1722" s="65" t="inlineStr">
        <is>
          <t>MRTK22C-0003</t>
        </is>
      </c>
      <c r="J1722" s="65" t="inlineStr">
        <is>
          <t>N/D</t>
        </is>
      </c>
      <c r="K1722" s="65" t="inlineStr">
        <is>
          <t>N/D</t>
        </is>
      </c>
      <c r="L1722" s="127" t="inlineStr">
        <is>
          <t>CHIAPPA FIREARMS SRL</t>
        </is>
      </c>
      <c r="M1722" s="5" t="n">
        <v>100</v>
      </c>
      <c r="N1722" s="5" t="n"/>
      <c r="O1722" s="5">
        <f>+M1722+N1722</f>
        <v/>
      </c>
      <c r="P1722" s="4" t="n">
        <v>45841</v>
      </c>
      <c r="Q1722" s="87" t="n">
        <v>45841</v>
      </c>
      <c r="R1722" s="5" t="n">
        <v>110</v>
      </c>
      <c r="S1722" s="2" t="n">
        <v>1</v>
      </c>
      <c r="T1722" s="3" t="inlineStr">
        <is>
          <t>CA42796IR</t>
        </is>
      </c>
      <c r="U1722" s="87" t="n">
        <v>46041</v>
      </c>
      <c r="V1722" s="3" t="inlineStr">
        <is>
          <t>2</t>
        </is>
      </c>
      <c r="W1722" s="108" t="n">
        <v>46041</v>
      </c>
      <c r="X1722" s="4" t="inlineStr">
        <is>
          <t>PHILIPPOS  CONSTANTINIDES
TRADING CO.LTD</t>
        </is>
      </c>
    </row>
    <row r="1723" ht="24" customHeight="1">
      <c r="A1723" s="2">
        <f>+D1723-S1723</f>
        <v/>
      </c>
      <c r="B1723" s="80" t="n">
        <v>3356</v>
      </c>
      <c r="C1723" s="66" t="n">
        <v>45845</v>
      </c>
      <c r="D1723" s="2" t="n">
        <v>1</v>
      </c>
      <c r="E1723" s="3" t="inlineStr">
        <is>
          <t>FUCILE SOVRAPPOSTO</t>
        </is>
      </c>
      <c r="F1723" s="3" t="inlineStr">
        <is>
          <t>12</t>
        </is>
      </c>
      <c r="G1723" s="3" t="inlineStr">
        <is>
          <t>CHARLES DALY</t>
        </is>
      </c>
      <c r="H1723" s="65" t="inlineStr">
        <is>
          <t>202 STEEL FRAME WALNUT STOCK MC-5 28''</t>
        </is>
      </c>
      <c r="I1723" s="65" t="inlineStr">
        <is>
          <t>SP20-0007</t>
        </is>
      </c>
      <c r="J1723" s="65" t="inlineStr">
        <is>
          <t>N/D</t>
        </is>
      </c>
      <c r="K1723" s="65" t="inlineStr">
        <is>
          <t>N/D</t>
        </is>
      </c>
      <c r="L1723" s="127" t="inlineStr">
        <is>
          <t>CHIAPPA FIREARMS SRL</t>
        </is>
      </c>
      <c r="M1723" s="5" t="n">
        <v>100</v>
      </c>
      <c r="N1723" s="5" t="n"/>
      <c r="O1723" s="5">
        <f>+M1723+N1723</f>
        <v/>
      </c>
      <c r="P1723" s="4" t="n">
        <v>45841</v>
      </c>
      <c r="Q1723" s="87" t="n">
        <v>45841</v>
      </c>
      <c r="R1723" s="5" t="n">
        <v>110</v>
      </c>
      <c r="S1723" s="2" t="n">
        <v>1</v>
      </c>
      <c r="T1723" s="3" t="inlineStr">
        <is>
          <t>CA42796IR</t>
        </is>
      </c>
      <c r="U1723" s="87" t="n">
        <v>46041</v>
      </c>
      <c r="V1723" s="3" t="inlineStr">
        <is>
          <t>2</t>
        </is>
      </c>
      <c r="W1723" s="108" t="n">
        <v>46041</v>
      </c>
      <c r="X1723" s="4" t="inlineStr">
        <is>
          <t>PHILIPPOS  CONSTANTINIDES
TRADING CO.LTD</t>
        </is>
      </c>
    </row>
    <row r="1724" ht="24" customHeight="1">
      <c r="A1724" s="2">
        <f>+D1724-S1724</f>
        <v/>
      </c>
      <c r="B1724" s="80" t="n">
        <v>3357</v>
      </c>
      <c r="C1724" s="66" t="n">
        <v>45845</v>
      </c>
      <c r="D1724" s="2" t="n">
        <v>1</v>
      </c>
      <c r="E1724" s="3" t="inlineStr">
        <is>
          <t>FUCILE SOVRAPPOSTO</t>
        </is>
      </c>
      <c r="F1724" s="3" t="inlineStr">
        <is>
          <t>12</t>
        </is>
      </c>
      <c r="G1724" s="3" t="inlineStr">
        <is>
          <t>CHARLES DALY</t>
        </is>
      </c>
      <c r="H1724" s="65" t="inlineStr">
        <is>
          <t>202 STEEL FRAME WALNUT STOCK MC-5 28''</t>
        </is>
      </c>
      <c r="I1724" s="65" t="inlineStr">
        <is>
          <t>MRTK22C-0009</t>
        </is>
      </c>
      <c r="J1724" s="65" t="inlineStr">
        <is>
          <t>N/D</t>
        </is>
      </c>
      <c r="K1724" s="65" t="inlineStr">
        <is>
          <t>N/D</t>
        </is>
      </c>
      <c r="L1724" s="127" t="inlineStr">
        <is>
          <t>CHIAPPA FIREARMS SRL</t>
        </is>
      </c>
      <c r="M1724" s="5" t="n">
        <v>100</v>
      </c>
      <c r="N1724" s="5" t="n"/>
      <c r="O1724" s="5">
        <f>+M1724+N1724</f>
        <v/>
      </c>
      <c r="P1724" s="4" t="n">
        <v>45841</v>
      </c>
      <c r="Q1724" s="87" t="n">
        <v>45841</v>
      </c>
      <c r="R1724" s="5" t="n">
        <v>110</v>
      </c>
      <c r="S1724" s="2" t="n">
        <v>1</v>
      </c>
      <c r="T1724" s="3" t="inlineStr">
        <is>
          <t>CA42796IR</t>
        </is>
      </c>
      <c r="U1724" s="87" t="n">
        <v>46041</v>
      </c>
      <c r="V1724" s="3" t="inlineStr">
        <is>
          <t>2</t>
        </is>
      </c>
      <c r="W1724" s="108" t="n">
        <v>46041</v>
      </c>
      <c r="X1724" s="4" t="inlineStr">
        <is>
          <t>PHILIPPOS  CONSTANTINIDES
TRADING CO.LTD</t>
        </is>
      </c>
    </row>
    <row r="1725" ht="24" customHeight="1">
      <c r="A1725" s="2">
        <f>+D1725-S1725</f>
        <v/>
      </c>
      <c r="B1725" s="80" t="n">
        <v>3358</v>
      </c>
      <c r="C1725" s="66" t="n">
        <v>45845</v>
      </c>
      <c r="D1725" s="2" t="n">
        <v>1</v>
      </c>
      <c r="E1725" s="3" t="inlineStr">
        <is>
          <t>FUCILE SOVRAPPOSTO</t>
        </is>
      </c>
      <c r="F1725" s="3" t="inlineStr">
        <is>
          <t>12</t>
        </is>
      </c>
      <c r="G1725" s="3" t="inlineStr">
        <is>
          <t>CHARLES DALY</t>
        </is>
      </c>
      <c r="H1725" s="65" t="inlineStr">
        <is>
          <t>202 STEEL FRAME WALNUT STOCK MC-5 28''</t>
        </is>
      </c>
      <c r="I1725" s="65" t="inlineStr">
        <is>
          <t>MRTK22C-0004</t>
        </is>
      </c>
      <c r="J1725" s="65" t="inlineStr">
        <is>
          <t>N/D</t>
        </is>
      </c>
      <c r="K1725" s="65" t="inlineStr">
        <is>
          <t>N/D</t>
        </is>
      </c>
      <c r="L1725" s="127" t="inlineStr">
        <is>
          <t>CHIAPPA FIREARMS SRL</t>
        </is>
      </c>
      <c r="M1725" s="5" t="n">
        <v>100</v>
      </c>
      <c r="N1725" s="5" t="n"/>
      <c r="O1725" s="5">
        <f>+M1725+N1725</f>
        <v/>
      </c>
      <c r="P1725" s="4" t="n">
        <v>45841</v>
      </c>
      <c r="Q1725" s="87" t="n">
        <v>45841</v>
      </c>
      <c r="R1725" s="5" t="n">
        <v>110</v>
      </c>
      <c r="S1725" s="2" t="n">
        <v>1</v>
      </c>
      <c r="T1725" s="3" t="inlineStr">
        <is>
          <t>CA42796IR</t>
        </is>
      </c>
      <c r="U1725" s="87" t="n">
        <v>46041</v>
      </c>
      <c r="V1725" s="3" t="inlineStr">
        <is>
          <t>2</t>
        </is>
      </c>
      <c r="W1725" s="108" t="n">
        <v>46041</v>
      </c>
      <c r="X1725" s="4" t="inlineStr">
        <is>
          <t>PHILIPPOS  CONSTANTINIDES
TRADING CO.LTD</t>
        </is>
      </c>
    </row>
    <row r="1726" ht="24" customHeight="1">
      <c r="A1726" s="2">
        <f>+D1726-S1726</f>
        <v/>
      </c>
      <c r="B1726" s="80" t="n">
        <v>3359</v>
      </c>
      <c r="C1726" s="66" t="n">
        <v>45845</v>
      </c>
      <c r="D1726" s="2" t="n">
        <v>1</v>
      </c>
      <c r="E1726" s="3" t="inlineStr">
        <is>
          <t>FUCILE SEMIAUTOMATICO</t>
        </is>
      </c>
      <c r="F1726" s="3" t="inlineStr">
        <is>
          <t>12</t>
        </is>
      </c>
      <c r="G1726" s="3" t="inlineStr">
        <is>
          <t>CHARLES DALY</t>
        </is>
      </c>
      <c r="H1726" s="65" t="inlineStr">
        <is>
          <t>CA612 SYN REALTREE MAX 5 28''</t>
        </is>
      </c>
      <c r="I1726" s="65" t="inlineStr">
        <is>
          <t>20SA12Z-0027</t>
        </is>
      </c>
      <c r="J1726" s="65" t="inlineStr">
        <is>
          <t>N/D</t>
        </is>
      </c>
      <c r="K1726" s="65" t="inlineStr">
        <is>
          <t>N/D</t>
        </is>
      </c>
      <c r="L1726" s="127" t="inlineStr">
        <is>
          <t>CHIAPPA FIREARMS SRL</t>
        </is>
      </c>
      <c r="M1726" s="5" t="n">
        <v>100</v>
      </c>
      <c r="N1726" s="5" t="n"/>
      <c r="O1726" s="5">
        <f>+M1726+N1726</f>
        <v/>
      </c>
      <c r="P1726" s="4" t="n">
        <v>45841</v>
      </c>
      <c r="Q1726" s="87" t="n">
        <v>45841</v>
      </c>
      <c r="R1726" s="5" t="n">
        <v>110</v>
      </c>
      <c r="S1726" s="2" t="n">
        <v>1</v>
      </c>
      <c r="T1726" s="3" t="inlineStr">
        <is>
          <t>CA42796IR</t>
        </is>
      </c>
      <c r="U1726" s="87" t="n">
        <v>46041</v>
      </c>
      <c r="V1726" s="3" t="inlineStr">
        <is>
          <t>2</t>
        </is>
      </c>
      <c r="W1726" s="108" t="n">
        <v>46041</v>
      </c>
      <c r="X1726" s="4" t="inlineStr">
        <is>
          <t>PHILIPPOS  CONSTANTINIDES
TRADING CO.LTD</t>
        </is>
      </c>
    </row>
    <row r="1727" ht="24" customHeight="1">
      <c r="A1727" s="2">
        <f>+D1727-S1727</f>
        <v/>
      </c>
      <c r="B1727" s="80" t="n">
        <v>3360</v>
      </c>
      <c r="C1727" s="66" t="n">
        <v>45845</v>
      </c>
      <c r="D1727" s="2" t="n">
        <v>1</v>
      </c>
      <c r="E1727" s="3" t="inlineStr">
        <is>
          <t>FUCILE SEMIAUTOMATICO</t>
        </is>
      </c>
      <c r="F1727" s="3" t="inlineStr">
        <is>
          <t>12</t>
        </is>
      </c>
      <c r="G1727" s="3" t="inlineStr">
        <is>
          <t>CHARLES DALY</t>
        </is>
      </c>
      <c r="H1727" s="65" t="inlineStr">
        <is>
          <t>CA612 SYN REALTREE MAX 5 28''</t>
        </is>
      </c>
      <c r="I1727" s="65" t="inlineStr">
        <is>
          <t>20SA12Z-0026</t>
        </is>
      </c>
      <c r="J1727" s="65" t="inlineStr">
        <is>
          <t>N/D</t>
        </is>
      </c>
      <c r="K1727" s="65" t="inlineStr">
        <is>
          <t>N/D</t>
        </is>
      </c>
      <c r="L1727" s="127" t="inlineStr">
        <is>
          <t>CHIAPPA FIREARMS SRL</t>
        </is>
      </c>
      <c r="M1727" s="5" t="n">
        <v>100</v>
      </c>
      <c r="N1727" s="5" t="n"/>
      <c r="O1727" s="5">
        <f>+M1727+N1727</f>
        <v/>
      </c>
      <c r="P1727" s="4" t="n">
        <v>45841</v>
      </c>
      <c r="Q1727" s="87" t="n">
        <v>45841</v>
      </c>
      <c r="R1727" s="5" t="n">
        <v>110</v>
      </c>
      <c r="S1727" s="2" t="n">
        <v>1</v>
      </c>
      <c r="T1727" s="3" t="inlineStr">
        <is>
          <t>CA42796IR</t>
        </is>
      </c>
      <c r="U1727" s="87" t="n">
        <v>46041</v>
      </c>
      <c r="V1727" s="3" t="inlineStr">
        <is>
          <t>2</t>
        </is>
      </c>
      <c r="W1727" s="108" t="n">
        <v>46041</v>
      </c>
      <c r="X1727" s="4" t="inlineStr">
        <is>
          <t>PHILIPPOS  CONSTANTINIDES
TRADING CO.LTD</t>
        </is>
      </c>
    </row>
    <row r="1728" ht="24" customHeight="1">
      <c r="A1728" s="2">
        <f>+D1728-S1728</f>
        <v/>
      </c>
      <c r="B1728" s="80" t="n">
        <v>3361</v>
      </c>
      <c r="C1728" s="66" t="n">
        <v>45845</v>
      </c>
      <c r="D1728" s="2" t="n">
        <v>1</v>
      </c>
      <c r="E1728" s="3" t="inlineStr">
        <is>
          <t>FUCILE SEMIAUTOMATICO</t>
        </is>
      </c>
      <c r="F1728" s="3" t="inlineStr">
        <is>
          <t>12</t>
        </is>
      </c>
      <c r="G1728" s="3" t="inlineStr">
        <is>
          <t>CHARLES DALY</t>
        </is>
      </c>
      <c r="H1728" s="65" t="inlineStr">
        <is>
          <t>601 SA FIELD SYNTH STOCK MC-3 28'' BLACK</t>
        </is>
      </c>
      <c r="I1728" s="65" t="inlineStr">
        <is>
          <t>MRTK22P0023</t>
        </is>
      </c>
      <c r="J1728" s="65" t="inlineStr">
        <is>
          <t>N/D</t>
        </is>
      </c>
      <c r="K1728" s="65" t="inlineStr">
        <is>
          <t>N/D</t>
        </is>
      </c>
      <c r="L1728" s="127" t="inlineStr">
        <is>
          <t>CHIAPPA FIREARMS SRL</t>
        </is>
      </c>
      <c r="M1728" s="5" t="n">
        <v>100</v>
      </c>
      <c r="N1728" s="5" t="n"/>
      <c r="O1728" s="5">
        <f>+M1728+N1728</f>
        <v/>
      </c>
      <c r="P1728" s="4" t="n">
        <v>45841</v>
      </c>
      <c r="Q1728" s="87" t="n">
        <v>45841</v>
      </c>
      <c r="R1728" s="5" t="n">
        <v>110</v>
      </c>
      <c r="S1728" s="2" t="n">
        <v>1</v>
      </c>
      <c r="T1728" s="3" t="inlineStr">
        <is>
          <t>CA42796IR</t>
        </is>
      </c>
      <c r="U1728" s="87" t="n">
        <v>46041</v>
      </c>
      <c r="V1728" s="3" t="inlineStr">
        <is>
          <t>2</t>
        </is>
      </c>
      <c r="W1728" s="108" t="n">
        <v>46041</v>
      </c>
      <c r="X1728" s="4" t="inlineStr">
        <is>
          <t>PHILIPPOS  CONSTANTINIDES
TRADING CO.LTD</t>
        </is>
      </c>
    </row>
    <row r="1729" ht="24" customHeight="1">
      <c r="A1729" s="2">
        <f>+D1729-S1729</f>
        <v/>
      </c>
      <c r="B1729" s="80" t="n">
        <v>3362</v>
      </c>
      <c r="C1729" s="66" t="n">
        <v>45845</v>
      </c>
      <c r="D1729" s="2" t="n">
        <v>1</v>
      </c>
      <c r="E1729" s="3" t="inlineStr">
        <is>
          <t>FUCILE SOVRAPPOSTO</t>
        </is>
      </c>
      <c r="F1729" s="3" t="inlineStr">
        <is>
          <t>20</t>
        </is>
      </c>
      <c r="G1729" s="3" t="inlineStr">
        <is>
          <t>CHARLES DALY</t>
        </is>
      </c>
      <c r="H1729" s="65" t="inlineStr">
        <is>
          <t>202 STEEL FRAME WALNUT STOCK MC-5 26''</t>
        </is>
      </c>
      <c r="I1729" s="65" t="inlineStr">
        <is>
          <t>MRTK22C-0022</t>
        </is>
      </c>
      <c r="J1729" s="65" t="inlineStr">
        <is>
          <t>N/D</t>
        </is>
      </c>
      <c r="K1729" s="65" t="inlineStr">
        <is>
          <t>N/D</t>
        </is>
      </c>
      <c r="L1729" s="127" t="inlineStr">
        <is>
          <t>CHIAPPA FIREARMS SRL</t>
        </is>
      </c>
      <c r="M1729" s="5" t="n">
        <v>100</v>
      </c>
      <c r="N1729" s="5" t="n"/>
      <c r="O1729" s="5">
        <f>+M1729+N1729</f>
        <v/>
      </c>
      <c r="P1729" s="4" t="n">
        <v>45841</v>
      </c>
      <c r="Q1729" s="87" t="n">
        <v>45841</v>
      </c>
      <c r="R1729" s="5" t="n">
        <v>110</v>
      </c>
      <c r="S1729" s="2" t="n">
        <v>1</v>
      </c>
      <c r="T1729" s="3" t="inlineStr">
        <is>
          <t>CA42796IR</t>
        </is>
      </c>
      <c r="U1729" s="87" t="n">
        <v>46041</v>
      </c>
      <c r="V1729" s="3" t="inlineStr">
        <is>
          <t>2</t>
        </is>
      </c>
      <c r="W1729" s="108" t="n">
        <v>46041</v>
      </c>
      <c r="X1729" s="4" t="inlineStr">
        <is>
          <t>PHILIPPOS  CONSTANTINIDES
TRADING CO.LTD</t>
        </is>
      </c>
    </row>
    <row r="1730" ht="24" customHeight="1">
      <c r="A1730" s="2">
        <f>+D1730-S1730</f>
        <v/>
      </c>
      <c r="B1730" s="80" t="n">
        <v>3363</v>
      </c>
      <c r="C1730" s="66" t="n">
        <v>45845</v>
      </c>
      <c r="D1730" s="2" t="n">
        <v>1</v>
      </c>
      <c r="E1730" s="3" t="inlineStr">
        <is>
          <t>FUCILE SOVRAPPOSTO</t>
        </is>
      </c>
      <c r="F1730" s="3" t="inlineStr">
        <is>
          <t>410</t>
        </is>
      </c>
      <c r="G1730" s="3" t="inlineStr">
        <is>
          <t>CHARLES DALY</t>
        </is>
      </c>
      <c r="H1730" s="65" t="inlineStr">
        <is>
          <t>202A ALUM FRAME WALNUT STOCK MC-5 26''</t>
        </is>
      </c>
      <c r="I1730" s="65" t="inlineStr">
        <is>
          <t>MRTK24C2200</t>
        </is>
      </c>
      <c r="J1730" s="65" t="inlineStr">
        <is>
          <t>N/D</t>
        </is>
      </c>
      <c r="K1730" s="65" t="inlineStr">
        <is>
          <t>N/D</t>
        </is>
      </c>
      <c r="L1730" s="127" t="inlineStr">
        <is>
          <t>CHIAPPA FIREARMS SRL</t>
        </is>
      </c>
      <c r="M1730" s="5" t="n">
        <v>100</v>
      </c>
      <c r="N1730" s="5" t="n"/>
      <c r="O1730" s="5">
        <f>+M1730+N1730</f>
        <v/>
      </c>
      <c r="P1730" s="4" t="n">
        <v>45841</v>
      </c>
      <c r="Q1730" s="87" t="n">
        <v>45841</v>
      </c>
      <c r="R1730" s="5" t="n">
        <v>110</v>
      </c>
      <c r="S1730" s="2" t="n">
        <v>1</v>
      </c>
      <c r="T1730" s="3" t="inlineStr">
        <is>
          <t>CA42796IR</t>
        </is>
      </c>
      <c r="U1730" s="87" t="n">
        <v>46041</v>
      </c>
      <c r="V1730" s="3" t="inlineStr">
        <is>
          <t>2</t>
        </is>
      </c>
      <c r="W1730" s="108" t="n">
        <v>46041</v>
      </c>
      <c r="X1730" s="4" t="inlineStr">
        <is>
          <t>PHILIPPOS  CONSTANTINIDES
TRADING CO.LTD</t>
        </is>
      </c>
    </row>
    <row r="1731" ht="24" customHeight="1">
      <c r="A1731" s="2">
        <f>+D1731-S1731</f>
        <v/>
      </c>
      <c r="B1731" s="80" t="n">
        <v>3364</v>
      </c>
      <c r="C1731" s="66" t="n">
        <v>45845</v>
      </c>
      <c r="D1731" s="2" t="n">
        <v>1</v>
      </c>
      <c r="E1731" s="3" t="inlineStr">
        <is>
          <t>FUCILE A POMPA</t>
        </is>
      </c>
      <c r="F1731" s="3" t="inlineStr">
        <is>
          <t>12</t>
        </is>
      </c>
      <c r="G1731" s="3" t="inlineStr">
        <is>
          <t>CHARLES DALY</t>
        </is>
      </c>
      <c r="H1731" s="65" t="inlineStr">
        <is>
          <t>301 FIELD MAX 5 REALTREE CAM MC-3 28''</t>
        </is>
      </c>
      <c r="I1731" s="65" t="inlineStr">
        <is>
          <t>MRTK22Z15362</t>
        </is>
      </c>
      <c r="J1731" s="65" t="inlineStr">
        <is>
          <t>N/D</t>
        </is>
      </c>
      <c r="K1731" s="65" t="inlineStr">
        <is>
          <t>N/D</t>
        </is>
      </c>
      <c r="L1731" s="127" t="inlineStr">
        <is>
          <t>CHIAPPA FIREARMS SRL</t>
        </is>
      </c>
      <c r="M1731" s="5" t="n">
        <v>100</v>
      </c>
      <c r="N1731" s="5" t="n"/>
      <c r="O1731" s="5">
        <f>+M1731+N1731</f>
        <v/>
      </c>
      <c r="P1731" s="4" t="n">
        <v>45841</v>
      </c>
      <c r="Q1731" s="87" t="n">
        <v>45841</v>
      </c>
      <c r="R1731" s="5" t="n">
        <v>110</v>
      </c>
      <c r="S1731" s="2" t="n">
        <v>1</v>
      </c>
      <c r="T1731" s="3" t="inlineStr">
        <is>
          <t>CA42796IR</t>
        </is>
      </c>
      <c r="U1731" s="87" t="n">
        <v>46041</v>
      </c>
      <c r="V1731" s="3" t="inlineStr">
        <is>
          <t>2</t>
        </is>
      </c>
      <c r="W1731" s="108" t="n">
        <v>46041</v>
      </c>
      <c r="X1731" s="4" t="inlineStr">
        <is>
          <t>PHILIPPOS  CONSTANTINIDES
TRADING CO.LTD</t>
        </is>
      </c>
    </row>
    <row r="1732" ht="24" customHeight="1">
      <c r="A1732" s="2">
        <f>+D1732-S1732</f>
        <v/>
      </c>
      <c r="B1732" s="80" t="n">
        <v>3365</v>
      </c>
      <c r="C1732" s="66" t="n">
        <v>45845</v>
      </c>
      <c r="D1732" s="2" t="n">
        <v>1</v>
      </c>
      <c r="E1732" s="3" t="inlineStr">
        <is>
          <t>FUCILE SEMIAUTOMATICO</t>
        </is>
      </c>
      <c r="F1732" s="3" t="inlineStr">
        <is>
          <t>12</t>
        </is>
      </c>
      <c r="G1732" s="3" t="inlineStr">
        <is>
          <t>CHARLES DALY</t>
        </is>
      </c>
      <c r="H1732" s="65" t="inlineStr">
        <is>
          <t>601 SA FIELD REALTREE MAX 5  MC-3 28''</t>
        </is>
      </c>
      <c r="I1732" s="65" t="inlineStr">
        <is>
          <t>MRTK22P0009</t>
        </is>
      </c>
      <c r="J1732" s="65" t="inlineStr">
        <is>
          <t>N/D</t>
        </is>
      </c>
      <c r="K1732" s="65" t="inlineStr">
        <is>
          <t>N/D</t>
        </is>
      </c>
      <c r="L1732" s="127" t="inlineStr">
        <is>
          <t>CHIAPPA FIREARMS SRL</t>
        </is>
      </c>
      <c r="M1732" s="5" t="n">
        <v>100</v>
      </c>
      <c r="N1732" s="5" t="n"/>
      <c r="O1732" s="5">
        <f>+M1732+N1732</f>
        <v/>
      </c>
      <c r="P1732" s="4" t="n">
        <v>45841</v>
      </c>
      <c r="Q1732" s="87" t="n">
        <v>45841</v>
      </c>
      <c r="R1732" s="5" t="n">
        <v>110</v>
      </c>
      <c r="S1732" s="2" t="n">
        <v>1</v>
      </c>
      <c r="T1732" s="3" t="inlineStr">
        <is>
          <t>CA42796IR</t>
        </is>
      </c>
      <c r="U1732" s="87" t="n">
        <v>46041</v>
      </c>
      <c r="V1732" s="3" t="inlineStr">
        <is>
          <t>2</t>
        </is>
      </c>
      <c r="W1732" s="108" t="n">
        <v>46041</v>
      </c>
      <c r="X1732" s="4" t="inlineStr">
        <is>
          <t>PHILIPPOS  CONSTANTINIDES
TRADING CO.LTD</t>
        </is>
      </c>
    </row>
    <row r="1733" ht="24" customHeight="1">
      <c r="A1733" s="2">
        <f>+D1733-S1733</f>
        <v/>
      </c>
      <c r="B1733" s="80" t="n">
        <v>3366</v>
      </c>
      <c r="C1733" s="66" t="n">
        <v>45845</v>
      </c>
      <c r="D1733" s="2" t="n">
        <v>1</v>
      </c>
      <c r="E1733" s="3" t="inlineStr">
        <is>
          <t>FUCILE SEMIAUTOMATICO</t>
        </is>
      </c>
      <c r="F1733" s="3" t="inlineStr">
        <is>
          <t>410</t>
        </is>
      </c>
      <c r="G1733" s="3" t="inlineStr">
        <is>
          <t>CHARLES DALY</t>
        </is>
      </c>
      <c r="H1733" s="65" t="inlineStr">
        <is>
          <t>N4S G2 BULLPUP MC-1 18.9'' BLACK</t>
        </is>
      </c>
      <c r="I1733" s="65" t="inlineStr">
        <is>
          <t>20SA36R-0001</t>
        </is>
      </c>
      <c r="J1733" s="65" t="inlineStr">
        <is>
          <t>N/D</t>
        </is>
      </c>
      <c r="K1733" s="65" t="inlineStr">
        <is>
          <t>N/D</t>
        </is>
      </c>
      <c r="L1733" s="127" t="inlineStr">
        <is>
          <t>CHIAPPA FIREARMS SRL</t>
        </is>
      </c>
      <c r="M1733" s="5" t="n">
        <v>100</v>
      </c>
      <c r="N1733" s="5" t="n"/>
      <c r="O1733" s="5">
        <f>+M1733+N1733</f>
        <v/>
      </c>
      <c r="P1733" s="4" t="n">
        <v>45841</v>
      </c>
      <c r="Q1733" s="87" t="n">
        <v>45841</v>
      </c>
      <c r="R1733" s="5" t="n">
        <v>110</v>
      </c>
      <c r="S1733" s="2" t="n">
        <v>1</v>
      </c>
      <c r="T1733" s="3" t="inlineStr">
        <is>
          <t>CA42796IR</t>
        </is>
      </c>
      <c r="U1733" s="87" t="n">
        <v>46041</v>
      </c>
      <c r="V1733" s="3" t="inlineStr">
        <is>
          <t>2</t>
        </is>
      </c>
      <c r="W1733" s="108" t="n">
        <v>46041</v>
      </c>
      <c r="X1733" s="4" t="inlineStr">
        <is>
          <t>PHILIPPOS  CONSTANTINIDES
TRADING CO.LTD</t>
        </is>
      </c>
    </row>
    <row r="1734" ht="24" customHeight="1">
      <c r="A1734" s="2">
        <f>+D1734-S1734</f>
        <v/>
      </c>
      <c r="B1734" s="80" t="n">
        <v>3367</v>
      </c>
      <c r="C1734" s="66" t="n">
        <v>45845</v>
      </c>
      <c r="D1734" s="2" t="n">
        <v>1</v>
      </c>
      <c r="E1734" s="3" t="inlineStr">
        <is>
          <t>FUCILE SEMIAUTOMATICO</t>
        </is>
      </c>
      <c r="F1734" s="3" t="inlineStr">
        <is>
          <t>410</t>
        </is>
      </c>
      <c r="G1734" s="3" t="inlineStr">
        <is>
          <t>CHARLES DALY</t>
        </is>
      </c>
      <c r="H1734" s="65" t="inlineStr">
        <is>
          <t>N4S G2 BULLPUP MC-1 18.9'' BLACK</t>
        </is>
      </c>
      <c r="I1734" s="65" t="inlineStr">
        <is>
          <t>20SA36R-0002</t>
        </is>
      </c>
      <c r="J1734" s="65" t="inlineStr">
        <is>
          <t>N/D</t>
        </is>
      </c>
      <c r="K1734" s="65" t="inlineStr">
        <is>
          <t>N/D</t>
        </is>
      </c>
      <c r="L1734" s="127" t="inlineStr">
        <is>
          <t>CHIAPPA FIREARMS SRL</t>
        </is>
      </c>
      <c r="M1734" s="5" t="n">
        <v>100</v>
      </c>
      <c r="N1734" s="5" t="n"/>
      <c r="O1734" s="5">
        <f>+M1734+N1734</f>
        <v/>
      </c>
      <c r="P1734" s="4" t="n">
        <v>45841</v>
      </c>
      <c r="Q1734" s="87" t="n">
        <v>45841</v>
      </c>
      <c r="R1734" s="5" t="n">
        <v>110</v>
      </c>
      <c r="S1734" s="2" t="n">
        <v>1</v>
      </c>
      <c r="T1734" s="3" t="inlineStr">
        <is>
          <t>CA42796IR</t>
        </is>
      </c>
      <c r="U1734" s="87" t="n">
        <v>46041</v>
      </c>
      <c r="V1734" s="3" t="inlineStr">
        <is>
          <t>2</t>
        </is>
      </c>
      <c r="W1734" s="108" t="n">
        <v>46041</v>
      </c>
      <c r="X1734" s="4" t="inlineStr">
        <is>
          <t>PHILIPPOS  CONSTANTINIDES
TRADING CO.LTD</t>
        </is>
      </c>
    </row>
    <row r="1735" ht="24" customHeight="1">
      <c r="A1735" s="2">
        <f>+D1735-S1735</f>
        <v/>
      </c>
      <c r="B1735" s="80" t="n">
        <v>3368</v>
      </c>
      <c r="C1735" s="66" t="n">
        <v>45845</v>
      </c>
      <c r="D1735" s="2" t="n">
        <v>1</v>
      </c>
      <c r="E1735" s="3" t="inlineStr">
        <is>
          <t>FUCILE A POMPA</t>
        </is>
      </c>
      <c r="F1735" s="3" t="inlineStr">
        <is>
          <t>12</t>
        </is>
      </c>
      <c r="G1735" s="3" t="inlineStr">
        <is>
          <t>CHARLES DALY</t>
        </is>
      </c>
      <c r="H1735" s="65" t="inlineStr">
        <is>
          <t>HONCHO TACTICAL FIXED BLADE 14'' BLACK</t>
        </is>
      </c>
      <c r="I1735" s="65" t="inlineStr">
        <is>
          <t>MRTK24M3942</t>
        </is>
      </c>
      <c r="J1735" s="65" t="inlineStr">
        <is>
          <t>N/D</t>
        </is>
      </c>
      <c r="K1735" s="65" t="inlineStr">
        <is>
          <t>N/D</t>
        </is>
      </c>
      <c r="L1735" s="127" t="inlineStr">
        <is>
          <t>CHIAPPA FIREARMS SRL</t>
        </is>
      </c>
      <c r="M1735" s="5" t="n">
        <v>100</v>
      </c>
      <c r="N1735" s="5" t="n"/>
      <c r="O1735" s="5">
        <f>+M1735+N1735</f>
        <v/>
      </c>
      <c r="P1735" s="4" t="n">
        <v>45841</v>
      </c>
      <c r="Q1735" s="87" t="n">
        <v>45841</v>
      </c>
      <c r="R1735" s="5" t="n">
        <v>110</v>
      </c>
      <c r="S1735" s="2" t="n">
        <v>1</v>
      </c>
      <c r="T1735" s="3" t="inlineStr">
        <is>
          <t>CA42796IR</t>
        </is>
      </c>
      <c r="U1735" s="87" t="n">
        <v>46041</v>
      </c>
      <c r="V1735" s="3" t="inlineStr">
        <is>
          <t>2</t>
        </is>
      </c>
      <c r="W1735" s="108" t="n">
        <v>46041</v>
      </c>
      <c r="X1735" s="4" t="inlineStr">
        <is>
          <t>PHILIPPOS  CONSTANTINIDES
TRADING CO.LTD</t>
        </is>
      </c>
    </row>
    <row r="1736" ht="24" customHeight="1">
      <c r="A1736" s="2">
        <f>+D1736-S1736</f>
        <v/>
      </c>
      <c r="B1736" s="80" t="n">
        <v>3369</v>
      </c>
      <c r="C1736" s="66" t="n">
        <v>45845</v>
      </c>
      <c r="D1736" s="2" t="n">
        <v>1</v>
      </c>
      <c r="E1736" s="3" t="inlineStr">
        <is>
          <t>FUCILE SOVRAPPOSTO</t>
        </is>
      </c>
      <c r="F1736" s="3" t="inlineStr">
        <is>
          <t>12</t>
        </is>
      </c>
      <c r="G1736" s="3" t="inlineStr">
        <is>
          <t>CHARLES DALY</t>
        </is>
      </c>
      <c r="H1736" s="65" t="inlineStr">
        <is>
          <t>202A ALUM FRAME WALNUT STOCK MC-5 28''</t>
        </is>
      </c>
      <c r="I1736" s="65" t="inlineStr">
        <is>
          <t>MRTK22C-0013</t>
        </is>
      </c>
      <c r="J1736" s="65" t="inlineStr">
        <is>
          <t>N/D</t>
        </is>
      </c>
      <c r="K1736" s="65" t="inlineStr">
        <is>
          <t>N/D</t>
        </is>
      </c>
      <c r="L1736" s="127" t="inlineStr">
        <is>
          <t>CHIAPPA FIREARMS SRL</t>
        </is>
      </c>
      <c r="M1736" s="5" t="n">
        <v>100</v>
      </c>
      <c r="N1736" s="5" t="n"/>
      <c r="O1736" s="5">
        <f>+M1736+N1736</f>
        <v/>
      </c>
      <c r="P1736" s="4" t="n">
        <v>45841</v>
      </c>
      <c r="Q1736" s="87" t="n">
        <v>45841</v>
      </c>
      <c r="R1736" s="5" t="n">
        <v>110</v>
      </c>
      <c r="S1736" s="2" t="n">
        <v>1</v>
      </c>
      <c r="T1736" s="3" t="inlineStr">
        <is>
          <t>CA42796IR</t>
        </is>
      </c>
      <c r="U1736" s="87" t="n">
        <v>46041</v>
      </c>
      <c r="V1736" s="3" t="inlineStr">
        <is>
          <t>2</t>
        </is>
      </c>
      <c r="W1736" s="108" t="n">
        <v>46041</v>
      </c>
      <c r="X1736" s="4" t="inlineStr">
        <is>
          <t>PHILIPPOS  CONSTANTINIDES
TRADING CO.LTD</t>
        </is>
      </c>
    </row>
    <row r="1737" ht="24" customHeight="1">
      <c r="A1737" s="2">
        <f>+D1737-S1737</f>
        <v/>
      </c>
      <c r="B1737" s="80" t="n">
        <v>3370</v>
      </c>
      <c r="C1737" s="66" t="n">
        <v>45845</v>
      </c>
      <c r="D1737" s="2" t="n">
        <v>1</v>
      </c>
      <c r="E1737" s="3" t="inlineStr">
        <is>
          <t>FUCILE SEMIAUTOMATICO</t>
        </is>
      </c>
      <c r="F1737" s="3" t="inlineStr">
        <is>
          <t>410</t>
        </is>
      </c>
      <c r="G1737" s="3" t="inlineStr">
        <is>
          <t>CHARLES DALY</t>
        </is>
      </c>
      <c r="H1737" s="65" t="inlineStr">
        <is>
          <t>601M WALNUT STOCK 26''</t>
        </is>
      </c>
      <c r="I1737" s="65" t="inlineStr">
        <is>
          <t>20SA36R-0004</t>
        </is>
      </c>
      <c r="J1737" s="65" t="inlineStr">
        <is>
          <t>N/D</t>
        </is>
      </c>
      <c r="K1737" s="65" t="inlineStr">
        <is>
          <t>N/D</t>
        </is>
      </c>
      <c r="L1737" s="127" t="inlineStr">
        <is>
          <t>CHIAPPA FIREARMS SRL</t>
        </is>
      </c>
      <c r="M1737" s="5" t="n">
        <v>100</v>
      </c>
      <c r="N1737" s="5" t="n"/>
      <c r="O1737" s="5">
        <f>+M1737+N1737</f>
        <v/>
      </c>
      <c r="P1737" s="4" t="n">
        <v>45841</v>
      </c>
      <c r="Q1737" s="87" t="n">
        <v>45841</v>
      </c>
      <c r="R1737" s="5" t="n">
        <v>110</v>
      </c>
      <c r="S1737" s="2" t="n">
        <v>1</v>
      </c>
      <c r="T1737" s="3" t="inlineStr">
        <is>
          <t>CA42796IR</t>
        </is>
      </c>
      <c r="U1737" s="87" t="n">
        <v>46041</v>
      </c>
      <c r="V1737" s="3" t="inlineStr">
        <is>
          <t>2</t>
        </is>
      </c>
      <c r="W1737" s="108" t="n">
        <v>46041</v>
      </c>
      <c r="X1737" s="4" t="inlineStr">
        <is>
          <t>PHILIPPOS  CONSTANTINIDES
TRADING CO.LTD</t>
        </is>
      </c>
    </row>
    <row r="1738" ht="24" customHeight="1">
      <c r="A1738" s="2">
        <f>+D1738-S1738</f>
        <v/>
      </c>
      <c r="B1738" s="80" t="n">
        <v>3371</v>
      </c>
      <c r="C1738" s="66" t="n">
        <v>45845</v>
      </c>
      <c r="D1738" s="2" t="n">
        <v>1</v>
      </c>
      <c r="E1738" s="3" t="inlineStr">
        <is>
          <t>FUCILE SEMIAUTOMATICO</t>
        </is>
      </c>
      <c r="F1738" s="3" t="inlineStr">
        <is>
          <t>410</t>
        </is>
      </c>
      <c r="G1738" s="3" t="inlineStr">
        <is>
          <t>CHARLES DALY</t>
        </is>
      </c>
      <c r="H1738" s="65" t="inlineStr">
        <is>
          <t>601M WALNUT STOCK 26''</t>
        </is>
      </c>
      <c r="I1738" s="65" t="inlineStr">
        <is>
          <t>20SA36R-0003</t>
        </is>
      </c>
      <c r="J1738" s="65" t="inlineStr">
        <is>
          <t>N/D</t>
        </is>
      </c>
      <c r="K1738" s="65" t="inlineStr">
        <is>
          <t>N/D</t>
        </is>
      </c>
      <c r="L1738" s="127" t="inlineStr">
        <is>
          <t>CHIAPPA FIREARMS SRL</t>
        </is>
      </c>
      <c r="M1738" s="5" t="n">
        <v>100</v>
      </c>
      <c r="N1738" s="5" t="n"/>
      <c r="O1738" s="5">
        <f>+M1738+N1738</f>
        <v/>
      </c>
      <c r="P1738" s="4" t="n">
        <v>45841</v>
      </c>
      <c r="Q1738" s="87" t="n">
        <v>45841</v>
      </c>
      <c r="R1738" s="5" t="n">
        <v>110</v>
      </c>
      <c r="S1738" s="2" t="n">
        <v>1</v>
      </c>
      <c r="T1738" s="3" t="inlineStr">
        <is>
          <t>CA42796IR</t>
        </is>
      </c>
      <c r="U1738" s="87" t="n">
        <v>46041</v>
      </c>
      <c r="V1738" s="3" t="inlineStr">
        <is>
          <t>2</t>
        </is>
      </c>
      <c r="W1738" s="108" t="n">
        <v>46041</v>
      </c>
      <c r="X1738" s="4" t="inlineStr">
        <is>
          <t>PHILIPPOS  CONSTANTINIDES
TRADING CO.LTD</t>
        </is>
      </c>
    </row>
    <row r="1739" ht="24" customHeight="1">
      <c r="A1739" s="2">
        <f>+D1739-S1739</f>
        <v/>
      </c>
      <c r="B1739" s="80" t="n">
        <v>3372</v>
      </c>
      <c r="C1739" s="66" t="n">
        <v>45845</v>
      </c>
      <c r="D1739" s="2" t="n">
        <v>1</v>
      </c>
      <c r="E1739" s="3" t="inlineStr">
        <is>
          <t>FUCILE SOVRAPPOSTO</t>
        </is>
      </c>
      <c r="F1739" s="3" t="inlineStr">
        <is>
          <t>12</t>
        </is>
      </c>
      <c r="G1739" s="3" t="inlineStr">
        <is>
          <t>CHARLES DALY</t>
        </is>
      </c>
      <c r="H1739" s="65" t="inlineStr">
        <is>
          <t>202XT TACTICAL FIBER OPTIC 20'' BLACK</t>
        </is>
      </c>
      <c r="I1739" s="65" t="inlineStr">
        <is>
          <t>MRTK24C2196</t>
        </is>
      </c>
      <c r="J1739" s="65" t="inlineStr">
        <is>
          <t>N/D</t>
        </is>
      </c>
      <c r="K1739" s="65" t="inlineStr">
        <is>
          <t>N/D</t>
        </is>
      </c>
      <c r="L1739" s="127" t="inlineStr">
        <is>
          <t>CHIAPPA FIREARMS SRL</t>
        </is>
      </c>
      <c r="M1739" s="5" t="n">
        <v>100</v>
      </c>
      <c r="N1739" s="5" t="n"/>
      <c r="O1739" s="5">
        <f>+M1739+N1739</f>
        <v/>
      </c>
      <c r="P1739" s="4" t="n">
        <v>45841</v>
      </c>
      <c r="Q1739" s="87" t="n">
        <v>45841</v>
      </c>
      <c r="R1739" s="5" t="n">
        <v>110</v>
      </c>
      <c r="S1739" s="2" t="n">
        <v>1</v>
      </c>
      <c r="T1739" s="3" t="inlineStr">
        <is>
          <t>CA42796IR</t>
        </is>
      </c>
      <c r="U1739" s="87" t="n">
        <v>46041</v>
      </c>
      <c r="V1739" s="3" t="inlineStr">
        <is>
          <t>2</t>
        </is>
      </c>
      <c r="W1739" s="108" t="n">
        <v>46041</v>
      </c>
      <c r="X1739" s="4" t="inlineStr">
        <is>
          <t>PHILIPPOS  CONSTANTINIDES
TRADING CO.LTD</t>
        </is>
      </c>
    </row>
    <row r="1740" ht="24" customHeight="1">
      <c r="A1740" s="2">
        <f>+D1740-S1740</f>
        <v/>
      </c>
      <c r="B1740" s="80" t="n">
        <v>3373</v>
      </c>
      <c r="C1740" s="66" t="n">
        <v>45845</v>
      </c>
      <c r="D1740" s="2" t="n">
        <v>1</v>
      </c>
      <c r="E1740" s="3" t="inlineStr">
        <is>
          <t>FUCILE SOVRAPPOSTO</t>
        </is>
      </c>
      <c r="F1740" s="3" t="inlineStr">
        <is>
          <t>28</t>
        </is>
      </c>
      <c r="G1740" s="3" t="inlineStr">
        <is>
          <t>CHARLES DALY</t>
        </is>
      </c>
      <c r="H1740" s="65" t="inlineStr">
        <is>
          <t>202A ALUM FRAME WALNUT STOCK MC-5 26''</t>
        </is>
      </c>
      <c r="I1740" s="65" t="inlineStr">
        <is>
          <t>MRTK24C2199</t>
        </is>
      </c>
      <c r="J1740" s="65" t="inlineStr">
        <is>
          <t>N/D</t>
        </is>
      </c>
      <c r="K1740" s="65" t="inlineStr">
        <is>
          <t>N/D</t>
        </is>
      </c>
      <c r="L1740" s="127" t="inlineStr">
        <is>
          <t>CHIAPPA FIREARMS SRL</t>
        </is>
      </c>
      <c r="M1740" s="5" t="n">
        <v>100</v>
      </c>
      <c r="N1740" s="5" t="n"/>
      <c r="O1740" s="5">
        <f>+M1740+N1740</f>
        <v/>
      </c>
      <c r="P1740" s="4" t="n">
        <v>45841</v>
      </c>
      <c r="Q1740" s="87" t="n">
        <v>45841</v>
      </c>
      <c r="R1740" s="5" t="n">
        <v>110</v>
      </c>
      <c r="S1740" s="2" t="n">
        <v>1</v>
      </c>
      <c r="T1740" s="3" t="inlineStr">
        <is>
          <t>CA42796IR</t>
        </is>
      </c>
      <c r="U1740" s="87" t="n">
        <v>46041</v>
      </c>
      <c r="V1740" s="3" t="inlineStr">
        <is>
          <t>2</t>
        </is>
      </c>
      <c r="W1740" s="108" t="n">
        <v>46041</v>
      </c>
      <c r="X1740" s="4" t="inlineStr">
        <is>
          <t>PHILIPPOS  CONSTANTINIDES
TRADING CO.LTD</t>
        </is>
      </c>
    </row>
    <row r="1741" ht="24" customHeight="1">
      <c r="A1741" s="2">
        <f>+D1741-S1741</f>
        <v/>
      </c>
      <c r="B1741" s="80" t="n">
        <v>3374</v>
      </c>
      <c r="C1741" s="66" t="n">
        <v>45845</v>
      </c>
      <c r="D1741" s="2" t="n">
        <v>1</v>
      </c>
      <c r="E1741" s="3" t="inlineStr">
        <is>
          <t>FUCILE SEMIAUTOMATICO</t>
        </is>
      </c>
      <c r="F1741" s="3" t="inlineStr">
        <is>
          <t>12</t>
        </is>
      </c>
      <c r="G1741" s="3" t="inlineStr">
        <is>
          <t>CHARLES DALY</t>
        </is>
      </c>
      <c r="H1741" s="65" t="inlineStr">
        <is>
          <t>601 TRUE TIMBER STRATA FULL CAMO MC-3 28''</t>
        </is>
      </c>
      <c r="I1741" s="65" t="inlineStr">
        <is>
          <t>MRTK24P4029</t>
        </is>
      </c>
      <c r="J1741" s="65" t="inlineStr">
        <is>
          <t>N/D</t>
        </is>
      </c>
      <c r="K1741" s="65" t="inlineStr">
        <is>
          <t>N/D</t>
        </is>
      </c>
      <c r="L1741" s="127" t="inlineStr">
        <is>
          <t>CHIAPPA FIREARMS SRL</t>
        </is>
      </c>
      <c r="M1741" s="5" t="n">
        <v>100</v>
      </c>
      <c r="N1741" s="5" t="n"/>
      <c r="O1741" s="5">
        <f>+M1741+N1741</f>
        <v/>
      </c>
      <c r="P1741" s="4" t="n">
        <v>45841</v>
      </c>
      <c r="Q1741" s="87" t="n">
        <v>45841</v>
      </c>
      <c r="R1741" s="5" t="n">
        <v>110</v>
      </c>
      <c r="S1741" s="2" t="n">
        <v>1</v>
      </c>
      <c r="T1741" s="3" t="inlineStr">
        <is>
          <t>CA42796IR</t>
        </is>
      </c>
      <c r="U1741" s="87" t="n">
        <v>46041</v>
      </c>
      <c r="V1741" s="3" t="inlineStr">
        <is>
          <t>2</t>
        </is>
      </c>
      <c r="W1741" s="108" t="n">
        <v>46041</v>
      </c>
      <c r="X1741" s="4" t="inlineStr">
        <is>
          <t>PHILIPPOS  CONSTANTINIDES
TRADING CO.LTD</t>
        </is>
      </c>
    </row>
    <row r="1742" ht="24" customHeight="1">
      <c r="A1742" s="2">
        <f>+D1742-S1742</f>
        <v/>
      </c>
      <c r="B1742" s="80" t="n">
        <v>3375</v>
      </c>
      <c r="C1742" s="66" t="n">
        <v>45845</v>
      </c>
      <c r="D1742" s="2" t="n">
        <v>1</v>
      </c>
      <c r="E1742" s="3" t="inlineStr">
        <is>
          <t>FUCILE SOVRAPPOSTO</t>
        </is>
      </c>
      <c r="F1742" s="3" t="inlineStr">
        <is>
          <t>12</t>
        </is>
      </c>
      <c r="G1742" s="3" t="inlineStr">
        <is>
          <t>CHARLES DALY</t>
        </is>
      </c>
      <c r="H1742" s="65" t="inlineStr">
        <is>
          <t>202AXT TACTICAL CHECKERED SYNTH 20''</t>
        </is>
      </c>
      <c r="I1742" s="65" t="inlineStr">
        <is>
          <t>MRTK24C2197</t>
        </is>
      </c>
      <c r="J1742" s="65" t="inlineStr">
        <is>
          <t>N/D</t>
        </is>
      </c>
      <c r="K1742" s="65" t="inlineStr">
        <is>
          <t>N/D</t>
        </is>
      </c>
      <c r="L1742" s="127" t="inlineStr">
        <is>
          <t>CHIAPPA FIREARMS SRL</t>
        </is>
      </c>
      <c r="M1742" s="5" t="n">
        <v>100</v>
      </c>
      <c r="N1742" s="5" t="n"/>
      <c r="O1742" s="5">
        <f>+M1742+N1742</f>
        <v/>
      </c>
      <c r="P1742" s="4" t="n">
        <v>45841</v>
      </c>
      <c r="Q1742" s="87" t="n">
        <v>45841</v>
      </c>
      <c r="R1742" s="5" t="n">
        <v>110</v>
      </c>
      <c r="S1742" s="2" t="n">
        <v>1</v>
      </c>
      <c r="T1742" s="3" t="inlineStr">
        <is>
          <t>CA42796IR</t>
        </is>
      </c>
      <c r="U1742" s="87" t="n">
        <v>46041</v>
      </c>
      <c r="V1742" s="3" t="inlineStr">
        <is>
          <t>2</t>
        </is>
      </c>
      <c r="W1742" s="108" t="n">
        <v>46041</v>
      </c>
      <c r="X1742" s="4" t="inlineStr">
        <is>
          <t>PHILIPPOS  CONSTANTINIDES
TRADING CO.LTD</t>
        </is>
      </c>
    </row>
    <row r="1743" ht="24" customHeight="1">
      <c r="A1743" s="2">
        <f>+D1743-S1743</f>
        <v/>
      </c>
      <c r="B1743" s="80" t="n">
        <v>3376</v>
      </c>
      <c r="C1743" s="66" t="n">
        <v>45845</v>
      </c>
      <c r="D1743" s="2" t="n">
        <v>1</v>
      </c>
      <c r="E1743" s="3" t="inlineStr">
        <is>
          <t>FUCILE A POMPA</t>
        </is>
      </c>
      <c r="F1743" s="3" t="inlineStr">
        <is>
          <t>12</t>
        </is>
      </c>
      <c r="G1743" s="3" t="inlineStr">
        <is>
          <t>CHARLES DALY</t>
        </is>
      </c>
      <c r="H1743" s="65" t="inlineStr">
        <is>
          <t>301 MATTE BLACK 20'' W/ HEAT SHIELD AND GHOST RING SIGHT</t>
        </is>
      </c>
      <c r="I1743" s="65" t="inlineStr">
        <is>
          <t>19PA-0002</t>
        </is>
      </c>
      <c r="J1743" s="65" t="inlineStr">
        <is>
          <t>N/D</t>
        </is>
      </c>
      <c r="K1743" s="65" t="inlineStr">
        <is>
          <t>N/D</t>
        </is>
      </c>
      <c r="L1743" s="127" t="inlineStr">
        <is>
          <t>CHIAPPA FIREARMS SRL</t>
        </is>
      </c>
      <c r="M1743" s="5" t="n">
        <v>100</v>
      </c>
      <c r="N1743" s="5" t="n"/>
      <c r="O1743" s="5">
        <f>+M1743+N1743</f>
        <v/>
      </c>
      <c r="P1743" s="4" t="n">
        <v>45841</v>
      </c>
      <c r="Q1743" s="87" t="n">
        <v>45841</v>
      </c>
      <c r="R1743" s="5" t="n">
        <v>110</v>
      </c>
      <c r="S1743" s="2" t="n">
        <v>1</v>
      </c>
      <c r="T1743" s="3" t="inlineStr">
        <is>
          <t>CA42796IR</t>
        </is>
      </c>
      <c r="U1743" s="87" t="n">
        <v>46041</v>
      </c>
      <c r="V1743" s="3" t="inlineStr">
        <is>
          <t>2</t>
        </is>
      </c>
      <c r="W1743" s="108" t="n">
        <v>46041</v>
      </c>
      <c r="X1743" s="4" t="inlineStr">
        <is>
          <t>PHILIPPOS  CONSTANTINIDES
TRADING CO.LTD</t>
        </is>
      </c>
    </row>
    <row r="1744" ht="24" customHeight="1">
      <c r="A1744" s="2">
        <f>+D1744-S1744</f>
        <v/>
      </c>
      <c r="B1744" s="80" t="n">
        <v>3377</v>
      </c>
      <c r="C1744" s="66" t="n">
        <v>45845</v>
      </c>
      <c r="D1744" s="2" t="n">
        <v>1</v>
      </c>
      <c r="E1744" s="3" t="inlineStr">
        <is>
          <t>PISTOLA SEMIAUTOMATICA</t>
        </is>
      </c>
      <c r="F1744" s="3" t="inlineStr">
        <is>
          <t>45ACP</t>
        </is>
      </c>
      <c r="G1744" s="3" t="inlineStr">
        <is>
          <t>CF</t>
        </is>
      </c>
      <c r="H1744" s="65" t="inlineStr">
        <is>
          <t>1911 SUPERIOR GRADE 5'' BBL CC</t>
        </is>
      </c>
      <c r="I1744" s="65" t="inlineStr">
        <is>
          <t>KTIT24M0761</t>
        </is>
      </c>
      <c r="J1744" s="65" t="inlineStr">
        <is>
          <t>N/D</t>
        </is>
      </c>
      <c r="K1744" s="65" t="inlineStr">
        <is>
          <t>N/D</t>
        </is>
      </c>
      <c r="L1744" s="127" t="inlineStr">
        <is>
          <t>CHIAPPA FIREARMS SRL</t>
        </is>
      </c>
      <c r="M1744" s="5" t="n">
        <v>554</v>
      </c>
      <c r="N1744" s="5" t="n"/>
      <c r="O1744" s="5">
        <f>+M1744+N1744</f>
        <v/>
      </c>
      <c r="P1744" s="4" t="n">
        <v>45841</v>
      </c>
      <c r="Q1744" s="87" t="n">
        <v>45841</v>
      </c>
      <c r="R1744" s="5" t="n"/>
      <c r="S1744" s="2" t="n"/>
      <c r="T1744" s="3" t="n"/>
      <c r="U1744" s="87" t="n"/>
      <c r="V1744" s="3" t="n"/>
      <c r="W1744" s="108" t="n"/>
      <c r="X1744" s="4" t="n"/>
    </row>
    <row r="1745" ht="24" customHeight="1">
      <c r="A1745" s="2">
        <f>+D1745-S1745</f>
        <v/>
      </c>
      <c r="B1745" s="80" t="n">
        <v>3378</v>
      </c>
      <c r="C1745" s="66" t="n">
        <v>45845</v>
      </c>
      <c r="D1745" s="2" t="n">
        <v>1</v>
      </c>
      <c r="E1745" s="3" t="inlineStr">
        <is>
          <t>PISTOLA SEMIAUTOMATICA</t>
        </is>
      </c>
      <c r="F1745" s="3" t="inlineStr">
        <is>
          <t>9</t>
        </is>
      </c>
      <c r="G1745" s="3" t="inlineStr">
        <is>
          <t>CF</t>
        </is>
      </c>
      <c r="H1745" s="65" t="inlineStr">
        <is>
          <t>1911 SUPERIOR GRADE 5'' CHROME BBL FIBER</t>
        </is>
      </c>
      <c r="I1745" s="65" t="inlineStr">
        <is>
          <t>KTIT23L0032</t>
        </is>
      </c>
      <c r="J1745" s="65" t="inlineStr">
        <is>
          <t>N/D</t>
        </is>
      </c>
      <c r="K1745" s="65" t="inlineStr">
        <is>
          <t>N/D</t>
        </is>
      </c>
      <c r="L1745" s="127" t="inlineStr">
        <is>
          <t>CHIAPPA FIREARMS SRL</t>
        </is>
      </c>
      <c r="M1745" s="5" t="n">
        <v>399</v>
      </c>
      <c r="N1745" s="5" t="n"/>
      <c r="O1745" s="5">
        <f>+M1745+N1745</f>
        <v/>
      </c>
      <c r="P1745" s="4" t="n">
        <v>45841</v>
      </c>
      <c r="Q1745" s="87" t="n">
        <v>45841</v>
      </c>
      <c r="R1745" s="5" t="n">
        <v>419</v>
      </c>
      <c r="S1745" s="2" t="n">
        <v>1</v>
      </c>
      <c r="T1745" s="3" t="inlineStr">
        <is>
          <t>CA04954OS</t>
        </is>
      </c>
      <c r="U1745" s="87" t="n">
        <v>45874</v>
      </c>
      <c r="V1745" s="3" t="inlineStr">
        <is>
          <t>25</t>
        </is>
      </c>
      <c r="W1745" s="4" t="n">
        <v>45874</v>
      </c>
      <c r="X1745" s="4" t="inlineStr">
        <is>
          <t>PHILIPPOS  CONSTANTINIDES
TRADING CO.LTD</t>
        </is>
      </c>
    </row>
    <row r="1746" ht="24" customHeight="1">
      <c r="A1746" s="2">
        <f>+D1746-S1746</f>
        <v/>
      </c>
      <c r="B1746" s="80" t="n">
        <v>3379</v>
      </c>
      <c r="C1746" s="66" t="n">
        <v>45845</v>
      </c>
      <c r="D1746" s="2" t="n">
        <v>1</v>
      </c>
      <c r="E1746" s="3" t="inlineStr">
        <is>
          <t>PISTOLA SEMIAUTOMATICA</t>
        </is>
      </c>
      <c r="F1746" s="3" t="inlineStr">
        <is>
          <t>9</t>
        </is>
      </c>
      <c r="G1746" s="3" t="inlineStr">
        <is>
          <t>CF</t>
        </is>
      </c>
      <c r="H1746" s="65" t="inlineStr">
        <is>
          <t>1911 SUPERIOR GRADE 5'' BLACK FIBER O</t>
        </is>
      </c>
      <c r="I1746" s="65" t="inlineStr">
        <is>
          <t>KTIT24M0744</t>
        </is>
      </c>
      <c r="J1746" s="65" t="inlineStr">
        <is>
          <t>N/D</t>
        </is>
      </c>
      <c r="K1746" s="65" t="inlineStr">
        <is>
          <t>N/D</t>
        </is>
      </c>
      <c r="L1746" s="127" t="inlineStr">
        <is>
          <t>CHIAPPA FIREARMS SRL</t>
        </is>
      </c>
      <c r="M1746" s="5" t="n">
        <v>359.25</v>
      </c>
      <c r="N1746" s="5" t="n"/>
      <c r="O1746" s="5">
        <f>+M1746+N1746</f>
        <v/>
      </c>
      <c r="P1746" s="4" t="n">
        <v>45841</v>
      </c>
      <c r="Q1746" s="87" t="n">
        <v>45841</v>
      </c>
      <c r="R1746" s="5" t="n">
        <v>378</v>
      </c>
      <c r="S1746" s="2" t="n">
        <v>1</v>
      </c>
      <c r="T1746" s="3" t="inlineStr">
        <is>
          <t>CA04954OS</t>
        </is>
      </c>
      <c r="U1746" s="87" t="n">
        <v>45874</v>
      </c>
      <c r="V1746" s="3" t="inlineStr">
        <is>
          <t>25</t>
        </is>
      </c>
      <c r="W1746" s="4" t="n">
        <v>45874</v>
      </c>
      <c r="X1746" s="4" t="inlineStr">
        <is>
          <t>PHILIPPOS  CONSTANTINIDES
TRADING CO.LTD</t>
        </is>
      </c>
    </row>
    <row r="1747" ht="24" customHeight="1">
      <c r="A1747" s="2">
        <f>+D1747-S1747</f>
        <v/>
      </c>
      <c r="B1747" s="80" t="n">
        <v>3380</v>
      </c>
      <c r="C1747" s="66" t="n">
        <v>45845</v>
      </c>
      <c r="D1747" s="2" t="n">
        <v>1</v>
      </c>
      <c r="E1747" s="3" t="inlineStr">
        <is>
          <t>REVOLVER</t>
        </is>
      </c>
      <c r="F1747" s="3" t="inlineStr">
        <is>
          <t>357 MAGNUM</t>
        </is>
      </c>
      <c r="G1747" s="3" t="inlineStr">
        <is>
          <t>CHIAPPA</t>
        </is>
      </c>
      <c r="H1747" s="65" t="inlineStr">
        <is>
          <t>RHINO REVOLVER 30DS NEBULA 3''</t>
        </is>
      </c>
      <c r="I1747" s="65" t="inlineStr">
        <is>
          <t>CFIT24D05634</t>
        </is>
      </c>
      <c r="J1747" s="65" t="inlineStr">
        <is>
          <t>N/D</t>
        </is>
      </c>
      <c r="K1747" s="65" t="inlineStr">
        <is>
          <t>N/D</t>
        </is>
      </c>
      <c r="L1747" s="127" t="inlineStr">
        <is>
          <t>CHIAPPA FIREARMS SRL</t>
        </is>
      </c>
      <c r="M1747" s="5" t="n">
        <v>880.5</v>
      </c>
      <c r="N1747" s="5" t="n"/>
      <c r="O1747" s="5">
        <f>+M1747+N1747</f>
        <v/>
      </c>
      <c r="P1747" s="4" t="n">
        <v>45841</v>
      </c>
      <c r="Q1747" s="87" t="n">
        <v>45841</v>
      </c>
      <c r="R1747" s="5" t="n">
        <v>924</v>
      </c>
      <c r="S1747" s="2" t="n">
        <v>1</v>
      </c>
      <c r="T1747" s="3" t="inlineStr">
        <is>
          <t>CA04954OS</t>
        </is>
      </c>
      <c r="U1747" s="87" t="n">
        <v>45874</v>
      </c>
      <c r="V1747" s="3" t="inlineStr">
        <is>
          <t>25</t>
        </is>
      </c>
      <c r="W1747" s="4" t="n">
        <v>45874</v>
      </c>
      <c r="X1747" s="4" t="inlineStr">
        <is>
          <t>PHILIPPOS  CONSTANTINIDES
TRADING CO.LTD</t>
        </is>
      </c>
    </row>
    <row r="1748" ht="24" customHeight="1">
      <c r="A1748" s="2">
        <f>+D1748-S1748</f>
        <v/>
      </c>
      <c r="B1748" s="80" t="n">
        <v>3381</v>
      </c>
      <c r="C1748" s="66" t="n">
        <v>45845</v>
      </c>
      <c r="D1748" s="2" t="n">
        <v>1</v>
      </c>
      <c r="E1748" s="3" t="inlineStr">
        <is>
          <t>REVOLVER</t>
        </is>
      </c>
      <c r="F1748" s="3" t="inlineStr">
        <is>
          <t>357 MAGNUM</t>
        </is>
      </c>
      <c r="G1748" s="3" t="inlineStr">
        <is>
          <t>CHIAPPA</t>
        </is>
      </c>
      <c r="H1748" s="65" t="inlineStr">
        <is>
          <t>RHINO REVOLVER 30DS 3''</t>
        </is>
      </c>
      <c r="I1748" s="65" t="inlineStr">
        <is>
          <t>CFIT24N02213</t>
        </is>
      </c>
      <c r="J1748" s="65" t="inlineStr">
        <is>
          <t>N/D</t>
        </is>
      </c>
      <c r="K1748" s="65" t="inlineStr">
        <is>
          <t>N/D</t>
        </is>
      </c>
      <c r="L1748" s="127" t="inlineStr">
        <is>
          <t>CHIAPPA FIREARMS SRL</t>
        </is>
      </c>
      <c r="M1748" s="5" t="n">
        <v>569.25</v>
      </c>
      <c r="N1748" s="5" t="n"/>
      <c r="O1748" s="5">
        <f>+M1748+N1748</f>
        <v/>
      </c>
      <c r="P1748" s="4" t="n">
        <v>45841</v>
      </c>
      <c r="Q1748" s="87" t="n">
        <v>45841</v>
      </c>
      <c r="R1748" s="5" t="n">
        <v>598</v>
      </c>
      <c r="S1748" s="2" t="n">
        <v>1</v>
      </c>
      <c r="T1748" s="3" t="inlineStr">
        <is>
          <t>CA04954OS</t>
        </is>
      </c>
      <c r="U1748" s="87" t="n">
        <v>45874</v>
      </c>
      <c r="V1748" s="3" t="inlineStr">
        <is>
          <t>25</t>
        </is>
      </c>
      <c r="W1748" s="4" t="n">
        <v>45874</v>
      </c>
      <c r="X1748" s="4" t="inlineStr">
        <is>
          <t>PHILIPPOS  CONSTANTINIDES
TRADING CO.LTD</t>
        </is>
      </c>
    </row>
    <row r="1749" ht="24" customHeight="1">
      <c r="A1749" s="2">
        <f>+D1749-S1749</f>
        <v/>
      </c>
      <c r="B1749" s="80" t="n">
        <v>3382</v>
      </c>
      <c r="C1749" s="66" t="n">
        <v>45845</v>
      </c>
      <c r="D1749" s="2" t="n">
        <v>1</v>
      </c>
      <c r="E1749" s="3" t="inlineStr">
        <is>
          <t>REVOLVER</t>
        </is>
      </c>
      <c r="F1749" s="3" t="inlineStr">
        <is>
          <t>357 MAGNUM</t>
        </is>
      </c>
      <c r="G1749" s="3" t="inlineStr">
        <is>
          <t>CHIAPPA</t>
        </is>
      </c>
      <c r="H1749" s="65" t="inlineStr">
        <is>
          <t>RHINO REVOLVER 60DS 6''</t>
        </is>
      </c>
      <c r="I1749" s="65" t="inlineStr">
        <is>
          <t>CFIT24H01619</t>
        </is>
      </c>
      <c r="J1749" s="65" t="inlineStr">
        <is>
          <t>N/D</t>
        </is>
      </c>
      <c r="K1749" s="65" t="inlineStr">
        <is>
          <t>N/D</t>
        </is>
      </c>
      <c r="L1749" s="127" t="inlineStr">
        <is>
          <t>CHIAPPA FIREARMS SRL</t>
        </is>
      </c>
      <c r="M1749" s="5" t="n">
        <v>765</v>
      </c>
      <c r="N1749" s="5" t="n"/>
      <c r="O1749" s="5">
        <f>+M1749+N1749</f>
        <v/>
      </c>
      <c r="P1749" s="4" t="n">
        <v>45841</v>
      </c>
      <c r="Q1749" s="87" t="n">
        <v>45841</v>
      </c>
      <c r="R1749" s="5" t="n">
        <v>803</v>
      </c>
      <c r="S1749" s="2" t="n">
        <v>1</v>
      </c>
      <c r="T1749" s="3" t="inlineStr">
        <is>
          <t>CA04954OS</t>
        </is>
      </c>
      <c r="U1749" s="87" t="n">
        <v>45874</v>
      </c>
      <c r="V1749" s="3" t="inlineStr">
        <is>
          <t>25</t>
        </is>
      </c>
      <c r="W1749" s="4" t="n">
        <v>45874</v>
      </c>
      <c r="X1749" s="4" t="inlineStr">
        <is>
          <t>PHILIPPOS  CONSTANTINIDES
TRADING CO.LTD</t>
        </is>
      </c>
    </row>
    <row r="1750" ht="24" customHeight="1">
      <c r="A1750" s="2">
        <f>+D1750-S1750</f>
        <v/>
      </c>
      <c r="B1750" s="80" t="n">
        <v>3383</v>
      </c>
      <c r="C1750" s="66" t="n">
        <v>45845</v>
      </c>
      <c r="D1750" s="2" t="n">
        <v>1</v>
      </c>
      <c r="E1750" s="3" t="inlineStr">
        <is>
          <t>REVOLVER</t>
        </is>
      </c>
      <c r="F1750" s="3" t="inlineStr">
        <is>
          <t>357 MAGNUM</t>
        </is>
      </c>
      <c r="G1750" s="3" t="inlineStr">
        <is>
          <t>CHIAPPA</t>
        </is>
      </c>
      <c r="H1750" s="65" t="inlineStr">
        <is>
          <t>RHINO REVOLVER 60DS 6''</t>
        </is>
      </c>
      <c r="I1750" s="65" t="inlineStr">
        <is>
          <t>CFIT24H01620</t>
        </is>
      </c>
      <c r="J1750" s="65" t="inlineStr">
        <is>
          <t>N/D</t>
        </is>
      </c>
      <c r="K1750" s="65" t="inlineStr">
        <is>
          <t>N/D</t>
        </is>
      </c>
      <c r="L1750" s="127" t="inlineStr">
        <is>
          <t>CHIAPPA FIREARMS SRL</t>
        </is>
      </c>
      <c r="M1750" s="5" t="n">
        <v>765</v>
      </c>
      <c r="N1750" s="5" t="n"/>
      <c r="O1750" s="5">
        <f>+M1750+N1750</f>
        <v/>
      </c>
      <c r="P1750" s="4" t="n">
        <v>45841</v>
      </c>
      <c r="Q1750" s="87" t="n">
        <v>45841</v>
      </c>
      <c r="R1750" s="5" t="n">
        <v>803</v>
      </c>
      <c r="S1750" s="2" t="n">
        <v>1</v>
      </c>
      <c r="T1750" s="3" t="inlineStr">
        <is>
          <t>CA04954OS</t>
        </is>
      </c>
      <c r="U1750" s="87" t="n">
        <v>45874</v>
      </c>
      <c r="V1750" s="3" t="inlineStr">
        <is>
          <t>25</t>
        </is>
      </c>
      <c r="W1750" s="4" t="n">
        <v>45874</v>
      </c>
      <c r="X1750" s="4" t="inlineStr">
        <is>
          <t>PHILIPPOS  CONSTANTINIDES
TRADING CO.LTD</t>
        </is>
      </c>
    </row>
    <row r="1751" ht="24" customHeight="1">
      <c r="A1751" s="2">
        <f>+D1751-S1751</f>
        <v/>
      </c>
      <c r="B1751" s="80" t="n">
        <v>3384</v>
      </c>
      <c r="C1751" s="66" t="n">
        <v>45845</v>
      </c>
      <c r="D1751" s="2" t="n">
        <v>1</v>
      </c>
      <c r="E1751" s="3" t="inlineStr">
        <is>
          <t>PISTOLA SEMIAUTOMATICA</t>
        </is>
      </c>
      <c r="F1751" s="3" t="inlineStr">
        <is>
          <t>22 LR</t>
        </is>
      </c>
      <c r="G1751" s="3" t="inlineStr">
        <is>
          <t>CHIAPPA</t>
        </is>
      </c>
      <c r="H1751" s="65" t="inlineStr">
        <is>
          <t>1911 TACTICAL DARK GREY 5''</t>
        </is>
      </c>
      <c r="I1751" s="65" t="inlineStr">
        <is>
          <t>CFIT24N00690</t>
        </is>
      </c>
      <c r="J1751" s="65" t="inlineStr">
        <is>
          <t>N/D</t>
        </is>
      </c>
      <c r="K1751" s="65" t="inlineStr">
        <is>
          <t>N/D</t>
        </is>
      </c>
      <c r="L1751" s="127" t="inlineStr">
        <is>
          <t>CHIAPPA FIREARMS SRL</t>
        </is>
      </c>
      <c r="M1751" s="5" t="n">
        <v>200.25</v>
      </c>
      <c r="N1751" s="5" t="n"/>
      <c r="O1751" s="5">
        <f>+M1751+N1751</f>
        <v/>
      </c>
      <c r="P1751" s="4" t="n">
        <v>45841</v>
      </c>
      <c r="Q1751" s="87" t="n">
        <v>45841</v>
      </c>
      <c r="R1751" s="5" t="n">
        <v>210</v>
      </c>
      <c r="S1751" s="2" t="n">
        <v>1</v>
      </c>
      <c r="T1751" s="3" t="inlineStr">
        <is>
          <t>CA04954OS</t>
        </is>
      </c>
      <c r="U1751" s="87" t="n">
        <v>45874</v>
      </c>
      <c r="V1751" s="3" t="inlineStr">
        <is>
          <t>25</t>
        </is>
      </c>
      <c r="W1751" s="4" t="n">
        <v>45874</v>
      </c>
      <c r="X1751" s="4" t="inlineStr">
        <is>
          <t>PHILIPPOS  CONSTANTINIDES
TRADING CO.LTD</t>
        </is>
      </c>
    </row>
    <row r="1752" ht="24" customHeight="1">
      <c r="A1752" s="2">
        <f>+D1752-S1752</f>
        <v/>
      </c>
      <c r="B1752" s="80" t="n">
        <v>3385</v>
      </c>
      <c r="C1752" s="66" t="n">
        <v>45845</v>
      </c>
      <c r="D1752" s="2" t="n">
        <v>1</v>
      </c>
      <c r="E1752" s="3" t="inlineStr">
        <is>
          <t>PISTOLA SEMIAUTOMATICA</t>
        </is>
      </c>
      <c r="F1752" s="3" t="inlineStr">
        <is>
          <t>22 LR</t>
        </is>
      </c>
      <c r="G1752" s="3" t="inlineStr">
        <is>
          <t>CHIAPPA</t>
        </is>
      </c>
      <c r="H1752" s="65" t="inlineStr">
        <is>
          <t>1911 CUSTOM THREADED BARREL 5''</t>
        </is>
      </c>
      <c r="I1752" s="65" t="inlineStr">
        <is>
          <t>CFIT24N00988</t>
        </is>
      </c>
      <c r="J1752" s="65" t="inlineStr">
        <is>
          <t>N/D</t>
        </is>
      </c>
      <c r="K1752" s="65" t="inlineStr">
        <is>
          <t>N/D</t>
        </is>
      </c>
      <c r="L1752" s="127" t="inlineStr">
        <is>
          <t>CHIAPPA FIREARMS SRL</t>
        </is>
      </c>
      <c r="M1752" s="5" t="n">
        <v>155.25</v>
      </c>
      <c r="N1752" s="5" t="n"/>
      <c r="O1752" s="5">
        <f>+M1752+N1752</f>
        <v/>
      </c>
      <c r="P1752" s="4" t="n">
        <v>45841</v>
      </c>
      <c r="Q1752" s="87" t="n">
        <v>45841</v>
      </c>
      <c r="R1752" s="5" t="n">
        <v>163</v>
      </c>
      <c r="S1752" s="2" t="n">
        <v>1</v>
      </c>
      <c r="T1752" s="3" t="inlineStr">
        <is>
          <t>CA04954OS</t>
        </is>
      </c>
      <c r="U1752" s="87" t="n">
        <v>45874</v>
      </c>
      <c r="V1752" s="3" t="inlineStr">
        <is>
          <t>25</t>
        </is>
      </c>
      <c r="W1752" s="4" t="n">
        <v>45874</v>
      </c>
      <c r="X1752" s="4" t="inlineStr">
        <is>
          <t>PHILIPPOS  CONSTANTINIDES
TRADING CO.LTD</t>
        </is>
      </c>
    </row>
    <row r="1753" ht="24" customHeight="1">
      <c r="A1753" s="2">
        <f>+D1753-S1753</f>
        <v/>
      </c>
      <c r="B1753" s="80" t="n">
        <v>3386</v>
      </c>
      <c r="C1753" s="66" t="n">
        <v>45848</v>
      </c>
      <c r="D1753" s="2" t="n">
        <v>1</v>
      </c>
      <c r="E1753" s="3" t="inlineStr">
        <is>
          <t>CARABINA SEMIAUTOMATICA</t>
        </is>
      </c>
      <c r="F1753" s="3" t="inlineStr">
        <is>
          <t>223 REM</t>
        </is>
      </c>
      <c r="G1753" s="3" t="inlineStr">
        <is>
          <t>H&amp;K</t>
        </is>
      </c>
      <c r="H1753" s="65" t="inlineStr">
        <is>
          <t>MR223 BLK 14.5''</t>
        </is>
      </c>
      <c r="I1753" s="65" t="inlineStr">
        <is>
          <t>143-060800</t>
        </is>
      </c>
      <c r="J1753" s="65" t="inlineStr">
        <is>
          <t>N/D</t>
        </is>
      </c>
      <c r="K1753" s="65" t="inlineStr">
        <is>
          <t>N/D</t>
        </is>
      </c>
      <c r="L1753" s="127" t="inlineStr">
        <is>
          <t>ARMERIA BRIGNOLI SILVIO &amp; C SNC</t>
        </is>
      </c>
      <c r="M1753" s="5" t="n">
        <v>2258.3</v>
      </c>
      <c r="N1753" s="5" t="n"/>
      <c r="O1753" s="5">
        <f>+M1753+N1753</f>
        <v/>
      </c>
      <c r="P1753" s="4" t="n">
        <v>45848</v>
      </c>
      <c r="Q1753" s="87" t="n">
        <v>45848</v>
      </c>
      <c r="R1753" s="5" t="n">
        <v>2258.3</v>
      </c>
      <c r="S1753" s="2" t="n">
        <v>1</v>
      </c>
      <c r="T1753" s="3" t="inlineStr">
        <is>
          <t>CA04954OS</t>
        </is>
      </c>
      <c r="U1753" s="87" t="n">
        <v>45874</v>
      </c>
      <c r="V1753" s="3" t="inlineStr">
        <is>
          <t>26</t>
        </is>
      </c>
      <c r="W1753" s="4" t="n">
        <v>45874</v>
      </c>
      <c r="X1753" s="4" t="inlineStr">
        <is>
          <t>PHILIPPOS  CONSTANTINIDES
TRADING CO.LTD</t>
        </is>
      </c>
    </row>
    <row r="1754" ht="24" customHeight="1">
      <c r="A1754" s="2">
        <f>+D1754-S1754</f>
        <v/>
      </c>
      <c r="B1754" s="80" t="n">
        <v>3387</v>
      </c>
      <c r="C1754" s="66" t="n">
        <v>45848</v>
      </c>
      <c r="D1754" s="2" t="n">
        <v>1</v>
      </c>
      <c r="E1754" s="3" t="inlineStr">
        <is>
          <t>CARABINA SEMIAUTOMATICA</t>
        </is>
      </c>
      <c r="F1754" s="3" t="inlineStr">
        <is>
          <t>223 REM</t>
        </is>
      </c>
      <c r="G1754" s="3" t="inlineStr">
        <is>
          <t>H&amp;K</t>
        </is>
      </c>
      <c r="H1754" s="65" t="inlineStr">
        <is>
          <t>MR223 BLK 14.5''</t>
        </is>
      </c>
      <c r="I1754" s="65" t="inlineStr">
        <is>
          <t>143-060801</t>
        </is>
      </c>
      <c r="J1754" s="65" t="inlineStr">
        <is>
          <t>N/D</t>
        </is>
      </c>
      <c r="K1754" s="65" t="inlineStr">
        <is>
          <t>N/D</t>
        </is>
      </c>
      <c r="L1754" s="127" t="inlineStr">
        <is>
          <t>ARMERIA BRIGNOLI SILVIO &amp; C SNC</t>
        </is>
      </c>
      <c r="M1754" s="5" t="n">
        <v>2258.3</v>
      </c>
      <c r="N1754" s="5" t="n"/>
      <c r="O1754" s="5">
        <f>+M1754+N1754</f>
        <v/>
      </c>
      <c r="P1754" s="4" t="n">
        <v>45848</v>
      </c>
      <c r="Q1754" s="87" t="n">
        <v>45848</v>
      </c>
      <c r="R1754" s="5" t="n">
        <v>2258.3</v>
      </c>
      <c r="S1754" s="2" t="n">
        <v>1</v>
      </c>
      <c r="T1754" s="3" t="inlineStr">
        <is>
          <t>CA04954OS</t>
        </is>
      </c>
      <c r="U1754" s="87" t="n">
        <v>45874</v>
      </c>
      <c r="V1754" s="3" t="inlineStr">
        <is>
          <t>26</t>
        </is>
      </c>
      <c r="W1754" s="4" t="n">
        <v>45874</v>
      </c>
      <c r="X1754" s="4" t="inlineStr">
        <is>
          <t>PHILIPPOS  CONSTANTINIDES
TRADING CO.LTD</t>
        </is>
      </c>
    </row>
    <row r="1755" ht="24" customHeight="1">
      <c r="A1755" s="2">
        <f>+D1755-S1755</f>
        <v/>
      </c>
      <c r="B1755" s="80" t="n">
        <v>3388</v>
      </c>
      <c r="C1755" s="66" t="n">
        <v>45848</v>
      </c>
      <c r="D1755" s="2" t="n">
        <v>1</v>
      </c>
      <c r="E1755" s="3" t="inlineStr">
        <is>
          <t>CARABINA SEMIAUTOMATICA</t>
        </is>
      </c>
      <c r="F1755" s="3" t="inlineStr">
        <is>
          <t>308 WIN</t>
        </is>
      </c>
      <c r="G1755" s="3" t="inlineStr">
        <is>
          <t>H&amp;K</t>
        </is>
      </c>
      <c r="H1755" s="65" t="inlineStr">
        <is>
          <t>MR308 RAL8000 13''</t>
        </is>
      </c>
      <c r="I1755" s="65" t="inlineStr">
        <is>
          <t>144-010655</t>
        </is>
      </c>
      <c r="J1755" s="65" t="inlineStr">
        <is>
          <t>N/D</t>
        </is>
      </c>
      <c r="K1755" s="65" t="inlineStr">
        <is>
          <t>N/D</t>
        </is>
      </c>
      <c r="L1755" s="127" t="inlineStr">
        <is>
          <t>ARMERIA BRIGNOLI SILVIO &amp; C SNC</t>
        </is>
      </c>
      <c r="M1755" s="5" t="n">
        <v>3042.7</v>
      </c>
      <c r="N1755" s="5" t="n"/>
      <c r="O1755" s="5">
        <f>+M1755+N1755</f>
        <v/>
      </c>
      <c r="P1755" s="4" t="n">
        <v>45848</v>
      </c>
      <c r="Q1755" s="87" t="n">
        <v>45848</v>
      </c>
      <c r="R1755" s="5" t="n">
        <v>3042.7</v>
      </c>
      <c r="S1755" s="2" t="n">
        <v>1</v>
      </c>
      <c r="T1755" s="3" t="inlineStr">
        <is>
          <t>CA04954OS</t>
        </is>
      </c>
      <c r="U1755" s="87" t="n">
        <v>45874</v>
      </c>
      <c r="V1755" s="3" t="inlineStr">
        <is>
          <t>25</t>
        </is>
      </c>
      <c r="W1755" s="4" t="n">
        <v>45874</v>
      </c>
      <c r="X1755" s="4" t="inlineStr">
        <is>
          <t>PHILIPPOS  CONSTANTINIDES
TRADING CO.LTD</t>
        </is>
      </c>
    </row>
    <row r="1756" ht="24" customHeight="1">
      <c r="A1756" s="2">
        <f>+D1756-S1756</f>
        <v/>
      </c>
      <c r="B1756" s="80" t="n">
        <v>3389</v>
      </c>
      <c r="C1756" s="66" t="n">
        <v>45848</v>
      </c>
      <c r="D1756" s="2" t="n">
        <v>1</v>
      </c>
      <c r="E1756" s="3" t="inlineStr">
        <is>
          <t>CARABINA SEMIAUTOMATICA</t>
        </is>
      </c>
      <c r="F1756" s="3" t="inlineStr">
        <is>
          <t>308 WIN</t>
        </is>
      </c>
      <c r="G1756" s="3" t="inlineStr">
        <is>
          <t>H&amp;K</t>
        </is>
      </c>
      <c r="H1756" s="65" t="inlineStr">
        <is>
          <t>MR308 RAL8000 13''</t>
        </is>
      </c>
      <c r="I1756" s="65" t="inlineStr">
        <is>
          <t>144-010656</t>
        </is>
      </c>
      <c r="J1756" s="65" t="inlineStr">
        <is>
          <t>N/D</t>
        </is>
      </c>
      <c r="K1756" s="65" t="inlineStr">
        <is>
          <t>N/D</t>
        </is>
      </c>
      <c r="L1756" s="127" t="inlineStr">
        <is>
          <t>ARMERIA BRIGNOLI SILVIO &amp; C SNC</t>
        </is>
      </c>
      <c r="M1756" s="5" t="n">
        <v>3042.7</v>
      </c>
      <c r="N1756" s="5" t="n"/>
      <c r="O1756" s="5">
        <f>+M1756+N1756</f>
        <v/>
      </c>
      <c r="P1756" s="4" t="n">
        <v>45848</v>
      </c>
      <c r="Q1756" s="87" t="n">
        <v>45848</v>
      </c>
      <c r="R1756" s="5" t="n">
        <v>3042.7</v>
      </c>
      <c r="S1756" s="2" t="n">
        <v>1</v>
      </c>
      <c r="T1756" s="3" t="inlineStr">
        <is>
          <t>CA04954OS</t>
        </is>
      </c>
      <c r="U1756" s="87" t="n">
        <v>45874</v>
      </c>
      <c r="V1756" s="3" t="inlineStr">
        <is>
          <t>25</t>
        </is>
      </c>
      <c r="W1756" s="4" t="n">
        <v>45874</v>
      </c>
      <c r="X1756" s="4" t="inlineStr">
        <is>
          <t>PHILIPPOS  CONSTANTINIDES
TRADING CO.LTD</t>
        </is>
      </c>
    </row>
    <row r="1757" ht="24" customHeight="1">
      <c r="A1757" s="2">
        <f>+D1757-S1757</f>
        <v/>
      </c>
      <c r="B1757" s="80" t="n">
        <v>3390</v>
      </c>
      <c r="C1757" s="66" t="n">
        <v>45849</v>
      </c>
      <c r="D1757" s="2" t="n">
        <v>1</v>
      </c>
      <c r="E1757" s="3" t="inlineStr">
        <is>
          <t>PISTOLA SEMIAUTOMATICA</t>
        </is>
      </c>
      <c r="F1757" s="3" t="inlineStr">
        <is>
          <t>9x19</t>
        </is>
      </c>
      <c r="G1757" s="3" t="inlineStr">
        <is>
          <t>KRISS</t>
        </is>
      </c>
      <c r="H1757" s="65" t="inlineStr">
        <is>
          <t xml:space="preserve">VECTOR SBR GEN 2 </t>
        </is>
      </c>
      <c r="I1757" s="65" t="inlineStr">
        <is>
          <t>919R002776</t>
        </is>
      </c>
      <c r="J1757" s="65" t="inlineStr">
        <is>
          <t>N/D</t>
        </is>
      </c>
      <c r="K1757" s="65" t="inlineStr">
        <is>
          <t>N/D</t>
        </is>
      </c>
      <c r="L1757" s="127" t="inlineStr">
        <is>
          <t>ERREDI TRADING SRL</t>
        </is>
      </c>
      <c r="M1757" s="5" t="n">
        <v>1719.5</v>
      </c>
      <c r="N1757" s="5" t="n"/>
      <c r="O1757" s="5">
        <f>+M1757+N1757</f>
        <v/>
      </c>
      <c r="P1757" s="4" t="n">
        <v>45849</v>
      </c>
      <c r="Q1757" s="87" t="n">
        <v>45849</v>
      </c>
      <c r="R1757" s="5" t="n">
        <v>1810</v>
      </c>
      <c r="S1757" s="2" t="n">
        <v>1</v>
      </c>
      <c r="T1757" s="3" t="inlineStr">
        <is>
          <t>CA04954OS</t>
        </is>
      </c>
      <c r="U1757" s="87" t="n">
        <v>45874</v>
      </c>
      <c r="V1757" s="3" t="inlineStr">
        <is>
          <t>25</t>
        </is>
      </c>
      <c r="W1757" s="4" t="n">
        <v>45874</v>
      </c>
      <c r="X1757" s="4" t="inlineStr">
        <is>
          <t>PHILIPPOS  CONSTANTINIDES
TRADING CO.LTD</t>
        </is>
      </c>
    </row>
    <row r="1758" ht="24" customHeight="1">
      <c r="A1758" s="2">
        <f>+D1758-S1758</f>
        <v/>
      </c>
      <c r="B1758" s="80" t="n">
        <v>3391</v>
      </c>
      <c r="C1758" s="66" t="n">
        <v>45849</v>
      </c>
      <c r="D1758" s="2" t="n">
        <v>1</v>
      </c>
      <c r="E1758" s="3" t="inlineStr">
        <is>
          <t>PISTOLA SEMIAUTOMATICA</t>
        </is>
      </c>
      <c r="F1758" s="3" t="inlineStr">
        <is>
          <t>9x19</t>
        </is>
      </c>
      <c r="G1758" s="3" t="inlineStr">
        <is>
          <t>KRISS</t>
        </is>
      </c>
      <c r="H1758" s="65" t="inlineStr">
        <is>
          <t xml:space="preserve">VECTOR SBR GEN 2 </t>
        </is>
      </c>
      <c r="I1758" s="65" t="inlineStr">
        <is>
          <t>919R002780</t>
        </is>
      </c>
      <c r="J1758" s="65" t="inlineStr">
        <is>
          <t>N/D</t>
        </is>
      </c>
      <c r="K1758" s="65" t="inlineStr">
        <is>
          <t>N/D</t>
        </is>
      </c>
      <c r="L1758" s="127" t="inlineStr">
        <is>
          <t>ERREDI TRADING SRL</t>
        </is>
      </c>
      <c r="M1758" s="5" t="n">
        <v>1719.5</v>
      </c>
      <c r="N1758" s="5" t="n"/>
      <c r="O1758" s="5">
        <f>+M1758+N1758</f>
        <v/>
      </c>
      <c r="P1758" s="4" t="n">
        <v>45849</v>
      </c>
      <c r="Q1758" s="87" t="n">
        <v>45849</v>
      </c>
      <c r="R1758" s="5" t="n">
        <v>1810</v>
      </c>
      <c r="S1758" s="2" t="n">
        <v>1</v>
      </c>
      <c r="T1758" s="3" t="inlineStr">
        <is>
          <t>CA04954OS</t>
        </is>
      </c>
      <c r="U1758" s="87" t="n">
        <v>45874</v>
      </c>
      <c r="V1758" s="3" t="inlineStr">
        <is>
          <t>25</t>
        </is>
      </c>
      <c r="W1758" s="4" t="n">
        <v>45874</v>
      </c>
      <c r="X1758" s="4" t="inlineStr">
        <is>
          <t>PHILIPPOS  CONSTANTINIDES
TRADING CO.LTD</t>
        </is>
      </c>
    </row>
    <row r="1759" ht="24" customHeight="1">
      <c r="A1759" s="2">
        <f>+D1759-S1759</f>
        <v/>
      </c>
      <c r="B1759" s="80" t="n">
        <v>3392</v>
      </c>
      <c r="C1759" s="66" t="n">
        <v>45849</v>
      </c>
      <c r="D1759" s="2" t="n">
        <v>1</v>
      </c>
      <c r="E1759" s="3" t="inlineStr">
        <is>
          <t>PISTOLA SEMIAUTOMATICA</t>
        </is>
      </c>
      <c r="F1759" s="3" t="inlineStr">
        <is>
          <t>9x19</t>
        </is>
      </c>
      <c r="G1759" s="3" t="inlineStr">
        <is>
          <t>KRISS</t>
        </is>
      </c>
      <c r="H1759" s="65" t="inlineStr">
        <is>
          <t xml:space="preserve">VECTOR SBR GEN 2 </t>
        </is>
      </c>
      <c r="I1759" s="65" t="inlineStr">
        <is>
          <t>919R002779</t>
        </is>
      </c>
      <c r="J1759" s="65" t="inlineStr">
        <is>
          <t>N/D</t>
        </is>
      </c>
      <c r="K1759" s="65" t="inlineStr">
        <is>
          <t>N/D</t>
        </is>
      </c>
      <c r="L1759" s="127" t="inlineStr">
        <is>
          <t>ERREDI TRADING SRL</t>
        </is>
      </c>
      <c r="M1759" s="5" t="n">
        <v>1719.5</v>
      </c>
      <c r="N1759" s="5" t="n"/>
      <c r="O1759" s="5">
        <f>+M1759+N1759</f>
        <v/>
      </c>
      <c r="P1759" s="4" t="n">
        <v>45849</v>
      </c>
      <c r="Q1759" s="87" t="n">
        <v>45849</v>
      </c>
      <c r="R1759" s="5" t="n">
        <v>1810</v>
      </c>
      <c r="S1759" s="2" t="n">
        <v>1</v>
      </c>
      <c r="T1759" s="3" t="inlineStr">
        <is>
          <t>CA04954OS</t>
        </is>
      </c>
      <c r="U1759" s="87" t="n">
        <v>45874</v>
      </c>
      <c r="V1759" s="3" t="inlineStr">
        <is>
          <t>25</t>
        </is>
      </c>
      <c r="W1759" s="4" t="n">
        <v>45874</v>
      </c>
      <c r="X1759" s="4" t="inlineStr">
        <is>
          <t>PHILIPPOS  CONSTANTINIDES
TRADING CO.LTD</t>
        </is>
      </c>
    </row>
    <row r="1760" ht="24" customHeight="1">
      <c r="A1760" s="2">
        <f>+D1760-S1760</f>
        <v/>
      </c>
      <c r="B1760" s="80" t="n">
        <v>3393</v>
      </c>
      <c r="C1760" s="66" t="n">
        <v>45852</v>
      </c>
      <c r="D1760" s="2" t="n">
        <v>1</v>
      </c>
      <c r="E1760" s="3" t="inlineStr">
        <is>
          <t>CARABINA SEMIAUTOMATICA</t>
        </is>
      </c>
      <c r="F1760" s="3" t="inlineStr">
        <is>
          <t>22 LR</t>
        </is>
      </c>
      <c r="G1760" s="3" t="inlineStr">
        <is>
          <t>WINCHESTER</t>
        </is>
      </c>
      <c r="H1760" s="65" t="inlineStr">
        <is>
          <t>WILDCAT SA, S, THR 18''</t>
        </is>
      </c>
      <c r="I1760" s="65" t="inlineStr">
        <is>
          <t>TF614-24M08861</t>
        </is>
      </c>
      <c r="J1760" s="65" t="inlineStr">
        <is>
          <t>N/D</t>
        </is>
      </c>
      <c r="K1760" s="65" t="inlineStr">
        <is>
          <t>N/D</t>
        </is>
      </c>
      <c r="L1760" s="127" t="inlineStr">
        <is>
          <t>BROWNING INTERNATIONAL SA</t>
        </is>
      </c>
      <c r="M1760" s="5" t="n">
        <v>244.8</v>
      </c>
      <c r="N1760" s="5" t="n"/>
      <c r="O1760" s="5">
        <f>+M1760+N1760</f>
        <v/>
      </c>
      <c r="P1760" s="4" t="n">
        <v>45847</v>
      </c>
      <c r="Q1760" s="87" t="n">
        <v>45845</v>
      </c>
      <c r="R1760" s="5" t="n"/>
      <c r="S1760" s="2" t="n"/>
      <c r="T1760" s="3" t="n"/>
      <c r="U1760" s="87" t="n"/>
      <c r="V1760" s="3" t="n"/>
      <c r="W1760" s="108" t="n"/>
      <c r="X1760" s="4" t="n"/>
    </row>
    <row r="1761" ht="24" customHeight="1">
      <c r="A1761" s="2">
        <f>+D1761-S1761</f>
        <v/>
      </c>
      <c r="B1761" s="80" t="n">
        <v>3394</v>
      </c>
      <c r="C1761" s="66" t="n">
        <v>45852</v>
      </c>
      <c r="D1761" s="2" t="n">
        <v>1</v>
      </c>
      <c r="E1761" s="3" t="inlineStr">
        <is>
          <t>CARABINA SEMIAUTOMATICA</t>
        </is>
      </c>
      <c r="F1761" s="3" t="inlineStr">
        <is>
          <t>22 LR</t>
        </is>
      </c>
      <c r="G1761" s="3" t="inlineStr">
        <is>
          <t>WINCHESTER</t>
        </is>
      </c>
      <c r="H1761" s="65" t="inlineStr">
        <is>
          <t>WILDCAT SA, S, THR 18''</t>
        </is>
      </c>
      <c r="I1761" s="65" t="inlineStr">
        <is>
          <t>TF614-24M08913</t>
        </is>
      </c>
      <c r="J1761" s="65" t="inlineStr">
        <is>
          <t>N/D</t>
        </is>
      </c>
      <c r="K1761" s="65" t="inlineStr">
        <is>
          <t>N/D</t>
        </is>
      </c>
      <c r="L1761" s="127" t="inlineStr">
        <is>
          <t>BROWNING INTERNATIONAL SA</t>
        </is>
      </c>
      <c r="M1761" s="5" t="n">
        <v>244.8</v>
      </c>
      <c r="N1761" s="5" t="n"/>
      <c r="O1761" s="5">
        <f>+M1761+N1761</f>
        <v/>
      </c>
      <c r="P1761" s="4" t="n">
        <v>45847</v>
      </c>
      <c r="Q1761" s="87" t="n">
        <v>45845</v>
      </c>
      <c r="R1761" s="5" t="n"/>
      <c r="S1761" s="2" t="n"/>
      <c r="T1761" s="3" t="n"/>
      <c r="U1761" s="87" t="n"/>
      <c r="V1761" s="3" t="n"/>
      <c r="W1761" s="108" t="n"/>
      <c r="X1761" s="4" t="n"/>
    </row>
    <row r="1762" ht="24" customHeight="1">
      <c r="A1762" s="2">
        <f>+D1762-S1762</f>
        <v/>
      </c>
      <c r="B1762" s="80" t="n">
        <v>3395</v>
      </c>
      <c r="C1762" s="66" t="n">
        <v>45852</v>
      </c>
      <c r="D1762" s="2" t="n">
        <v>1</v>
      </c>
      <c r="E1762" s="3" t="inlineStr">
        <is>
          <t>CARABINA SEMIAUTOMATICA</t>
        </is>
      </c>
      <c r="F1762" s="3" t="inlineStr">
        <is>
          <t>22 LR</t>
        </is>
      </c>
      <c r="G1762" s="3" t="inlineStr">
        <is>
          <t>WINCHESTER</t>
        </is>
      </c>
      <c r="H1762" s="65" t="inlineStr">
        <is>
          <t>WILDCAT SA, S, THR 18''</t>
        </is>
      </c>
      <c r="I1762" s="65" t="inlineStr">
        <is>
          <t>TF614-24M08862</t>
        </is>
      </c>
      <c r="J1762" s="65" t="inlineStr">
        <is>
          <t>N/D</t>
        </is>
      </c>
      <c r="K1762" s="65" t="inlineStr">
        <is>
          <t>N/D</t>
        </is>
      </c>
      <c r="L1762" s="127" t="inlineStr">
        <is>
          <t>BROWNING INTERNATIONAL SA</t>
        </is>
      </c>
      <c r="M1762" s="5" t="n">
        <v>244.8</v>
      </c>
      <c r="N1762" s="5" t="n"/>
      <c r="O1762" s="5">
        <f>+M1762+N1762</f>
        <v/>
      </c>
      <c r="P1762" s="4" t="n">
        <v>45847</v>
      </c>
      <c r="Q1762" s="87" t="n">
        <v>45845</v>
      </c>
      <c r="R1762" s="5" t="n"/>
      <c r="S1762" s="2" t="n"/>
      <c r="T1762" s="3" t="n"/>
      <c r="U1762" s="87" t="n"/>
      <c r="V1762" s="3" t="n"/>
      <c r="W1762" s="108" t="n"/>
      <c r="X1762" s="4" t="n"/>
    </row>
    <row r="1763" ht="24" customHeight="1">
      <c r="A1763" s="2">
        <f>+D1763-S1763</f>
        <v/>
      </c>
      <c r="B1763" s="80" t="n">
        <v>3396</v>
      </c>
      <c r="C1763" s="66" t="n">
        <v>45852</v>
      </c>
      <c r="D1763" s="2" t="n">
        <v>1</v>
      </c>
      <c r="E1763" s="3" t="inlineStr">
        <is>
          <t>CARABINA SEMIAUTOMATICA</t>
        </is>
      </c>
      <c r="F1763" s="3" t="inlineStr">
        <is>
          <t>22 LR</t>
        </is>
      </c>
      <c r="G1763" s="3" t="inlineStr">
        <is>
          <t>WINCHESTER</t>
        </is>
      </c>
      <c r="H1763" s="65" t="inlineStr">
        <is>
          <t>WILDCAT SA, S, THR 18''</t>
        </is>
      </c>
      <c r="I1763" s="65" t="inlineStr">
        <is>
          <t>TF614-24M08845</t>
        </is>
      </c>
      <c r="J1763" s="65" t="inlineStr">
        <is>
          <t>N/D</t>
        </is>
      </c>
      <c r="K1763" s="65" t="inlineStr">
        <is>
          <t>N/D</t>
        </is>
      </c>
      <c r="L1763" s="127" t="inlineStr">
        <is>
          <t>BROWNING INTERNATIONAL SA</t>
        </is>
      </c>
      <c r="M1763" s="5" t="n">
        <v>244.8</v>
      </c>
      <c r="N1763" s="5" t="n"/>
      <c r="O1763" s="5">
        <f>+M1763+N1763</f>
        <v/>
      </c>
      <c r="P1763" s="4" t="n">
        <v>45847</v>
      </c>
      <c r="Q1763" s="87" t="n">
        <v>45845</v>
      </c>
      <c r="R1763" s="5" t="n"/>
      <c r="S1763" s="2" t="n"/>
      <c r="T1763" s="3" t="n"/>
      <c r="U1763" s="87" t="n"/>
      <c r="V1763" s="3" t="n"/>
      <c r="W1763" s="108" t="n"/>
      <c r="X1763" s="4" t="n"/>
    </row>
    <row r="1764" ht="24" customHeight="1">
      <c r="A1764" s="2">
        <f>+D1764-S1764</f>
        <v/>
      </c>
      <c r="B1764" s="80" t="n">
        <v>3397</v>
      </c>
      <c r="C1764" s="66" t="n">
        <v>45852</v>
      </c>
      <c r="D1764" s="2" t="n">
        <v>1</v>
      </c>
      <c r="E1764" s="3" t="inlineStr">
        <is>
          <t>CARABINA SEMIAUTOMATICA</t>
        </is>
      </c>
      <c r="F1764" s="3" t="inlineStr">
        <is>
          <t>22 LR</t>
        </is>
      </c>
      <c r="G1764" s="3" t="inlineStr">
        <is>
          <t>WINCHESTER</t>
        </is>
      </c>
      <c r="H1764" s="65" t="inlineStr">
        <is>
          <t>WILDCAT SA, S, THR 18''</t>
        </is>
      </c>
      <c r="I1764" s="65" t="inlineStr">
        <is>
          <t>TF614-24M08851</t>
        </is>
      </c>
      <c r="J1764" s="65" t="inlineStr">
        <is>
          <t>N/D</t>
        </is>
      </c>
      <c r="K1764" s="65" t="inlineStr">
        <is>
          <t>N/D</t>
        </is>
      </c>
      <c r="L1764" s="127" t="inlineStr">
        <is>
          <t>BROWNING INTERNATIONAL SA</t>
        </is>
      </c>
      <c r="M1764" s="5" t="n">
        <v>244.8</v>
      </c>
      <c r="N1764" s="5" t="n"/>
      <c r="O1764" s="5">
        <f>+M1764+N1764</f>
        <v/>
      </c>
      <c r="P1764" s="4" t="n">
        <v>45847</v>
      </c>
      <c r="Q1764" s="87" t="n">
        <v>45845</v>
      </c>
      <c r="R1764" s="5" t="n"/>
      <c r="S1764" s="2" t="n"/>
      <c r="T1764" s="3" t="n"/>
      <c r="U1764" s="87" t="n"/>
      <c r="V1764" s="3" t="n"/>
      <c r="W1764" s="108" t="n"/>
      <c r="X1764" s="4" t="n"/>
    </row>
    <row r="1765" ht="24" customHeight="1">
      <c r="A1765" s="2">
        <f>+D1765-S1765</f>
        <v/>
      </c>
      <c r="B1765" s="80" t="n">
        <v>3398</v>
      </c>
      <c r="C1765" s="66" t="n">
        <v>45852</v>
      </c>
      <c r="D1765" s="2" t="n">
        <v>1</v>
      </c>
      <c r="E1765" s="3" t="inlineStr">
        <is>
          <t>CARABINA SEMIAUTOMATICA</t>
        </is>
      </c>
      <c r="F1765" s="3" t="inlineStr">
        <is>
          <t>22 LR</t>
        </is>
      </c>
      <c r="G1765" s="3" t="inlineStr">
        <is>
          <t>WINCHESTER</t>
        </is>
      </c>
      <c r="H1765" s="65" t="inlineStr">
        <is>
          <t>WILDCAT SA, S, THR 18''</t>
        </is>
      </c>
      <c r="I1765" s="65" t="inlineStr">
        <is>
          <t>TF614-24M08914</t>
        </is>
      </c>
      <c r="J1765" s="65" t="inlineStr">
        <is>
          <t>N/D</t>
        </is>
      </c>
      <c r="K1765" s="65" t="inlineStr">
        <is>
          <t>N/D</t>
        </is>
      </c>
      <c r="L1765" s="127" t="inlineStr">
        <is>
          <t>BROWNING INTERNATIONAL SA</t>
        </is>
      </c>
      <c r="M1765" s="5" t="n">
        <v>244.8</v>
      </c>
      <c r="N1765" s="5" t="n"/>
      <c r="O1765" s="5">
        <f>+M1765+N1765</f>
        <v/>
      </c>
      <c r="P1765" s="4" t="n">
        <v>45847</v>
      </c>
      <c r="Q1765" s="87" t="n">
        <v>45845</v>
      </c>
      <c r="R1765" s="5" t="n"/>
      <c r="S1765" s="2" t="n"/>
      <c r="T1765" s="3" t="n"/>
      <c r="U1765" s="87" t="n"/>
      <c r="V1765" s="3" t="n"/>
      <c r="W1765" s="108" t="n"/>
      <c r="X1765" s="4" t="n"/>
    </row>
    <row r="1766" ht="24" customHeight="1">
      <c r="A1766" s="2">
        <f>+D1766-S1766</f>
        <v/>
      </c>
      <c r="B1766" s="80" t="n">
        <v>3399</v>
      </c>
      <c r="C1766" s="66" t="n">
        <v>45852</v>
      </c>
      <c r="D1766" s="2" t="n">
        <v>1</v>
      </c>
      <c r="E1766" s="3" t="inlineStr">
        <is>
          <t>CARABINA SEMIAUTOMATICA</t>
        </is>
      </c>
      <c r="F1766" s="3" t="inlineStr">
        <is>
          <t>22 LR</t>
        </is>
      </c>
      <c r="G1766" s="3" t="inlineStr">
        <is>
          <t>WINCHESTER</t>
        </is>
      </c>
      <c r="H1766" s="65" t="inlineStr">
        <is>
          <t>WILDCAT SA, S, THR 18''</t>
        </is>
      </c>
      <c r="I1766" s="65" t="inlineStr">
        <is>
          <t>TF614-24M08895</t>
        </is>
      </c>
      <c r="J1766" s="65" t="inlineStr">
        <is>
          <t>N/D</t>
        </is>
      </c>
      <c r="K1766" s="65" t="inlineStr">
        <is>
          <t>N/D</t>
        </is>
      </c>
      <c r="L1766" s="127" t="inlineStr">
        <is>
          <t>BROWNING INTERNATIONAL SA</t>
        </is>
      </c>
      <c r="M1766" s="5" t="n">
        <v>244.8</v>
      </c>
      <c r="N1766" s="5" t="n"/>
      <c r="O1766" s="5">
        <f>+M1766+N1766</f>
        <v/>
      </c>
      <c r="P1766" s="4" t="n">
        <v>45847</v>
      </c>
      <c r="Q1766" s="87" t="n">
        <v>45845</v>
      </c>
      <c r="R1766" s="5" t="n"/>
      <c r="S1766" s="2" t="n"/>
      <c r="T1766" s="3" t="n"/>
      <c r="U1766" s="87" t="n"/>
      <c r="V1766" s="3" t="n"/>
      <c r="W1766" s="108" t="n"/>
      <c r="X1766" s="4" t="n"/>
    </row>
    <row r="1767" ht="24" customHeight="1">
      <c r="A1767" s="2">
        <f>+D1767-S1767</f>
        <v/>
      </c>
      <c r="B1767" s="80" t="n">
        <v>3400</v>
      </c>
      <c r="C1767" s="66" t="n">
        <v>45852</v>
      </c>
      <c r="D1767" s="2" t="n">
        <v>1</v>
      </c>
      <c r="E1767" s="3" t="inlineStr">
        <is>
          <t>CARABINA SEMIAUTOMATICA</t>
        </is>
      </c>
      <c r="F1767" s="3" t="inlineStr">
        <is>
          <t>22 LR</t>
        </is>
      </c>
      <c r="G1767" s="3" t="inlineStr">
        <is>
          <t>WINCHESTER</t>
        </is>
      </c>
      <c r="H1767" s="65" t="inlineStr">
        <is>
          <t>WILDCAT SA, S, THR 18''</t>
        </is>
      </c>
      <c r="I1767" s="65" t="inlineStr">
        <is>
          <t>TF614-24M08846</t>
        </is>
      </c>
      <c r="J1767" s="65" t="inlineStr">
        <is>
          <t>N/D</t>
        </is>
      </c>
      <c r="K1767" s="65" t="inlineStr">
        <is>
          <t>N/D</t>
        </is>
      </c>
      <c r="L1767" s="127" t="inlineStr">
        <is>
          <t>BROWNING INTERNATIONAL SA</t>
        </is>
      </c>
      <c r="M1767" s="5" t="n">
        <v>244.8</v>
      </c>
      <c r="N1767" s="5" t="n"/>
      <c r="O1767" s="5">
        <f>+M1767+N1767</f>
        <v/>
      </c>
      <c r="P1767" s="4" t="n">
        <v>45847</v>
      </c>
      <c r="Q1767" s="87" t="n">
        <v>45845</v>
      </c>
      <c r="R1767" s="5" t="n"/>
      <c r="S1767" s="2" t="n"/>
      <c r="T1767" s="3" t="n"/>
      <c r="U1767" s="87" t="n"/>
      <c r="V1767" s="3" t="n"/>
      <c r="W1767" s="108" t="n"/>
      <c r="X1767" s="4" t="n"/>
    </row>
    <row r="1768" ht="24" customHeight="1">
      <c r="A1768" s="2">
        <f>+D1768-S1768</f>
        <v/>
      </c>
      <c r="B1768" s="80" t="n">
        <v>3401</v>
      </c>
      <c r="C1768" s="66" t="n">
        <v>45852</v>
      </c>
      <c r="D1768" s="2" t="n">
        <v>1</v>
      </c>
      <c r="E1768" s="3" t="inlineStr">
        <is>
          <t>CARABINA SEMIAUTOMATICA</t>
        </is>
      </c>
      <c r="F1768" s="3" t="inlineStr">
        <is>
          <t>22 LR</t>
        </is>
      </c>
      <c r="G1768" s="3" t="inlineStr">
        <is>
          <t>WINCHESTER</t>
        </is>
      </c>
      <c r="H1768" s="65" t="inlineStr">
        <is>
          <t>WILDCAT SA, S, THR 18''</t>
        </is>
      </c>
      <c r="I1768" s="65" t="inlineStr">
        <is>
          <t>TF614-24M08915</t>
        </is>
      </c>
      <c r="J1768" s="65" t="inlineStr">
        <is>
          <t>N/D</t>
        </is>
      </c>
      <c r="K1768" s="65" t="inlineStr">
        <is>
          <t>N/D</t>
        </is>
      </c>
      <c r="L1768" s="127" t="inlineStr">
        <is>
          <t>BROWNING INTERNATIONAL SA</t>
        </is>
      </c>
      <c r="M1768" s="5" t="n">
        <v>244.8</v>
      </c>
      <c r="N1768" s="5" t="n"/>
      <c r="O1768" s="5">
        <f>+M1768+N1768</f>
        <v/>
      </c>
      <c r="P1768" s="4" t="n">
        <v>45847</v>
      </c>
      <c r="Q1768" s="87" t="n">
        <v>45845</v>
      </c>
      <c r="R1768" s="5" t="n"/>
      <c r="S1768" s="2" t="n"/>
      <c r="T1768" s="3" t="n"/>
      <c r="U1768" s="87" t="n"/>
      <c r="V1768" s="3" t="n"/>
      <c r="W1768" s="108" t="n"/>
      <c r="X1768" s="4" t="n"/>
    </row>
    <row r="1769" ht="24" customHeight="1">
      <c r="A1769" s="2">
        <f>+D1769-S1769</f>
        <v/>
      </c>
      <c r="B1769" s="80" t="n">
        <v>3402</v>
      </c>
      <c r="C1769" s="66" t="n">
        <v>45852</v>
      </c>
      <c r="D1769" s="2" t="n">
        <v>1</v>
      </c>
      <c r="E1769" s="3" t="inlineStr">
        <is>
          <t>CARABINA SEMIAUTOMATICA</t>
        </is>
      </c>
      <c r="F1769" s="3" t="inlineStr">
        <is>
          <t>22 LR</t>
        </is>
      </c>
      <c r="G1769" s="3" t="inlineStr">
        <is>
          <t>WINCHESTER</t>
        </is>
      </c>
      <c r="H1769" s="65" t="inlineStr">
        <is>
          <t>WILDCAT SA, S, THR 18''</t>
        </is>
      </c>
      <c r="I1769" s="65" t="inlineStr">
        <is>
          <t>TF614-24M08890</t>
        </is>
      </c>
      <c r="J1769" s="65" t="inlineStr">
        <is>
          <t>N/D</t>
        </is>
      </c>
      <c r="K1769" s="65" t="inlineStr">
        <is>
          <t>N/D</t>
        </is>
      </c>
      <c r="L1769" s="127" t="inlineStr">
        <is>
          <t>BROWNING INTERNATIONAL SA</t>
        </is>
      </c>
      <c r="M1769" s="5" t="n">
        <v>244.8</v>
      </c>
      <c r="N1769" s="5" t="n"/>
      <c r="O1769" s="5">
        <f>+M1769+N1769</f>
        <v/>
      </c>
      <c r="P1769" s="4" t="n">
        <v>45847</v>
      </c>
      <c r="Q1769" s="87" t="n">
        <v>45845</v>
      </c>
      <c r="R1769" s="5" t="n"/>
      <c r="S1769" s="2" t="n"/>
      <c r="T1769" s="3" t="n"/>
      <c r="U1769" s="87" t="n"/>
      <c r="V1769" s="3" t="n"/>
      <c r="W1769" s="108" t="n"/>
      <c r="X1769" s="4" t="n"/>
    </row>
    <row r="1770" ht="24" customHeight="1">
      <c r="A1770" s="2">
        <f>+D1770-S1770</f>
        <v/>
      </c>
      <c r="B1770" s="80" t="n">
        <v>3403</v>
      </c>
      <c r="C1770" s="66" t="n">
        <v>45852</v>
      </c>
      <c r="D1770" s="2" t="n">
        <v>1</v>
      </c>
      <c r="E1770" s="3" t="inlineStr">
        <is>
          <t>CARABINA SEMIAUTOMATICA</t>
        </is>
      </c>
      <c r="F1770" s="3" t="inlineStr">
        <is>
          <t>22 LR</t>
        </is>
      </c>
      <c r="G1770" s="3" t="inlineStr">
        <is>
          <t>WINCHESTER</t>
        </is>
      </c>
      <c r="H1770" s="65" t="inlineStr">
        <is>
          <t>WILDCAT STRATA SA, S, THR 18''</t>
        </is>
      </c>
      <c r="I1770" s="65" t="inlineStr">
        <is>
          <t>TF614-22M28651</t>
        </is>
      </c>
      <c r="J1770" s="65" t="inlineStr">
        <is>
          <t>N/D</t>
        </is>
      </c>
      <c r="K1770" s="65" t="inlineStr">
        <is>
          <t>N/D</t>
        </is>
      </c>
      <c r="L1770" s="127" t="inlineStr">
        <is>
          <t>BROWNING INTERNATIONAL SA</t>
        </is>
      </c>
      <c r="M1770" s="5" t="n">
        <v>270</v>
      </c>
      <c r="N1770" s="5" t="n"/>
      <c r="O1770" s="5">
        <f>+M1770+N1770</f>
        <v/>
      </c>
      <c r="P1770" s="4" t="n">
        <v>45847</v>
      </c>
      <c r="Q1770" s="87" t="n">
        <v>45845</v>
      </c>
      <c r="R1770" s="5" t="n"/>
      <c r="S1770" s="2" t="n"/>
      <c r="T1770" s="3" t="n"/>
      <c r="U1770" s="87" t="n"/>
      <c r="V1770" s="3" t="n"/>
      <c r="W1770" s="108" t="n"/>
      <c r="X1770" s="4" t="n"/>
    </row>
    <row r="1771" ht="24" customHeight="1">
      <c r="A1771" s="2">
        <f>+D1771-S1771</f>
        <v/>
      </c>
      <c r="B1771" s="80" t="n">
        <v>3404</v>
      </c>
      <c r="C1771" s="66" t="n">
        <v>45852</v>
      </c>
      <c r="D1771" s="2" t="n">
        <v>1</v>
      </c>
      <c r="E1771" s="3" t="inlineStr">
        <is>
          <t>CARABINA SEMIAUTOMATICA</t>
        </is>
      </c>
      <c r="F1771" s="3" t="inlineStr">
        <is>
          <t>22 LR</t>
        </is>
      </c>
      <c r="G1771" s="3" t="inlineStr">
        <is>
          <t>WINCHESTER</t>
        </is>
      </c>
      <c r="H1771" s="65" t="inlineStr">
        <is>
          <t>WILDCAT STRATA SA, S, THR 18''</t>
        </is>
      </c>
      <c r="I1771" s="65" t="inlineStr">
        <is>
          <t>TF614-22M28642</t>
        </is>
      </c>
      <c r="J1771" s="65" t="inlineStr">
        <is>
          <t>N/D</t>
        </is>
      </c>
      <c r="K1771" s="65" t="inlineStr">
        <is>
          <t>N/D</t>
        </is>
      </c>
      <c r="L1771" s="127" t="inlineStr">
        <is>
          <t>BROWNING INTERNATIONAL SA</t>
        </is>
      </c>
      <c r="M1771" s="5" t="n">
        <v>270</v>
      </c>
      <c r="N1771" s="5" t="n"/>
      <c r="O1771" s="5">
        <f>+M1771+N1771</f>
        <v/>
      </c>
      <c r="P1771" s="4" t="n">
        <v>45847</v>
      </c>
      <c r="Q1771" s="87" t="n">
        <v>45845</v>
      </c>
      <c r="R1771" s="5" t="n"/>
      <c r="S1771" s="2" t="n"/>
      <c r="T1771" s="3" t="n"/>
      <c r="U1771" s="87" t="n"/>
      <c r="V1771" s="3" t="n"/>
      <c r="W1771" s="108" t="n"/>
      <c r="X1771" s="4" t="n"/>
    </row>
    <row r="1772" ht="24" customHeight="1">
      <c r="A1772" s="2">
        <f>+D1772-S1772</f>
        <v/>
      </c>
      <c r="B1772" s="80" t="n">
        <v>3405</v>
      </c>
      <c r="C1772" s="66" t="n">
        <v>45852</v>
      </c>
      <c r="D1772" s="2" t="n">
        <v>1</v>
      </c>
      <c r="E1772" s="3" t="inlineStr">
        <is>
          <t>CARABINA SEMIAUTOMATICA</t>
        </is>
      </c>
      <c r="F1772" s="3" t="inlineStr">
        <is>
          <t>22 LR</t>
        </is>
      </c>
      <c r="G1772" s="3" t="inlineStr">
        <is>
          <t>WINCHESTER</t>
        </is>
      </c>
      <c r="H1772" s="65" t="inlineStr">
        <is>
          <t>WILDCAT STRATA SA, S, THR 18''</t>
        </is>
      </c>
      <c r="I1772" s="65" t="inlineStr">
        <is>
          <t>TF614-22M28592</t>
        </is>
      </c>
      <c r="J1772" s="65" t="inlineStr">
        <is>
          <t>N/D</t>
        </is>
      </c>
      <c r="K1772" s="65" t="inlineStr">
        <is>
          <t>N/D</t>
        </is>
      </c>
      <c r="L1772" s="127" t="inlineStr">
        <is>
          <t>BROWNING INTERNATIONAL SA</t>
        </is>
      </c>
      <c r="M1772" s="5" t="n">
        <v>270</v>
      </c>
      <c r="N1772" s="5" t="n"/>
      <c r="O1772" s="5">
        <f>+M1772+N1772</f>
        <v/>
      </c>
      <c r="P1772" s="4" t="n">
        <v>45847</v>
      </c>
      <c r="Q1772" s="87" t="n">
        <v>45845</v>
      </c>
      <c r="R1772" s="5" t="n"/>
      <c r="S1772" s="2" t="n"/>
      <c r="T1772" s="3" t="n"/>
      <c r="U1772" s="87" t="n"/>
      <c r="V1772" s="3" t="n"/>
      <c r="W1772" s="108" t="n"/>
      <c r="X1772" s="4" t="n"/>
    </row>
    <row r="1773" ht="24" customHeight="1">
      <c r="A1773" s="2">
        <f>+D1773-S1773</f>
        <v/>
      </c>
      <c r="B1773" s="80" t="n">
        <v>3406</v>
      </c>
      <c r="C1773" s="66" t="n">
        <v>45852</v>
      </c>
      <c r="D1773" s="2" t="n">
        <v>1</v>
      </c>
      <c r="E1773" s="3" t="inlineStr">
        <is>
          <t>CARABINA SEMIAUTOMATICA</t>
        </is>
      </c>
      <c r="F1773" s="3" t="inlineStr">
        <is>
          <t>22 LR</t>
        </is>
      </c>
      <c r="G1773" s="3" t="inlineStr">
        <is>
          <t>WINCHESTER</t>
        </is>
      </c>
      <c r="H1773" s="65" t="inlineStr">
        <is>
          <t>WILDCAT STRATA SA, S, THR 18''</t>
        </is>
      </c>
      <c r="I1773" s="65" t="inlineStr">
        <is>
          <t>TF614-22M28649</t>
        </is>
      </c>
      <c r="J1773" s="65" t="inlineStr">
        <is>
          <t>N/D</t>
        </is>
      </c>
      <c r="K1773" s="65" t="inlineStr">
        <is>
          <t>N/D</t>
        </is>
      </c>
      <c r="L1773" s="127" t="inlineStr">
        <is>
          <t>BROWNING INTERNATIONAL SA</t>
        </is>
      </c>
      <c r="M1773" s="5" t="n">
        <v>270</v>
      </c>
      <c r="N1773" s="5" t="n"/>
      <c r="O1773" s="5">
        <f>+M1773+N1773</f>
        <v/>
      </c>
      <c r="P1773" s="4" t="n">
        <v>45847</v>
      </c>
      <c r="Q1773" s="87" t="n">
        <v>45845</v>
      </c>
      <c r="R1773" s="5" t="n"/>
      <c r="S1773" s="2" t="n"/>
      <c r="T1773" s="3" t="n"/>
      <c r="U1773" s="87" t="n"/>
      <c r="V1773" s="3" t="n"/>
      <c r="W1773" s="108" t="n"/>
      <c r="X1773" s="4" t="n"/>
    </row>
    <row r="1774" ht="24" customHeight="1">
      <c r="A1774" s="2">
        <f>+D1774-S1774</f>
        <v/>
      </c>
      <c r="B1774" s="80" t="n">
        <v>3407</v>
      </c>
      <c r="C1774" s="66" t="n">
        <v>45852</v>
      </c>
      <c r="D1774" s="2" t="n">
        <v>1</v>
      </c>
      <c r="E1774" s="3" t="inlineStr">
        <is>
          <t>CARABINA SEMIAUTOMATICA</t>
        </is>
      </c>
      <c r="F1774" s="3" t="inlineStr">
        <is>
          <t>22 LR</t>
        </is>
      </c>
      <c r="G1774" s="3" t="inlineStr">
        <is>
          <t>WINCHESTER</t>
        </is>
      </c>
      <c r="H1774" s="65" t="inlineStr">
        <is>
          <t>WILDCAT STRATA SA, S, THR 18''</t>
        </is>
      </c>
      <c r="I1774" s="65" t="inlineStr">
        <is>
          <t>TF614-22M28659</t>
        </is>
      </c>
      <c r="J1774" s="65" t="inlineStr">
        <is>
          <t>N/D</t>
        </is>
      </c>
      <c r="K1774" s="65" t="inlineStr">
        <is>
          <t>N/D</t>
        </is>
      </c>
      <c r="L1774" s="127" t="inlineStr">
        <is>
          <t>BROWNING INTERNATIONAL SA</t>
        </is>
      </c>
      <c r="M1774" s="5" t="n">
        <v>270</v>
      </c>
      <c r="N1774" s="5" t="n"/>
      <c r="O1774" s="5">
        <f>+M1774+N1774</f>
        <v/>
      </c>
      <c r="P1774" s="4" t="n">
        <v>45847</v>
      </c>
      <c r="Q1774" s="87" t="n">
        <v>45845</v>
      </c>
      <c r="R1774" s="5" t="n"/>
      <c r="S1774" s="2" t="n"/>
      <c r="T1774" s="3" t="n"/>
      <c r="U1774" s="87" t="n"/>
      <c r="V1774" s="3" t="n"/>
      <c r="W1774" s="108" t="n"/>
      <c r="X1774" s="4" t="n"/>
    </row>
    <row r="1775" ht="24" customHeight="1">
      <c r="A1775" s="2">
        <f>+D1775-S1775</f>
        <v/>
      </c>
      <c r="B1775" s="80" t="n">
        <v>3408</v>
      </c>
      <c r="C1775" s="66" t="n">
        <v>45852</v>
      </c>
      <c r="D1775" s="2" t="n">
        <v>1</v>
      </c>
      <c r="E1775" s="3" t="inlineStr">
        <is>
          <t>CARABINA SEMIAUTOMATICA</t>
        </is>
      </c>
      <c r="F1775" s="3" t="inlineStr">
        <is>
          <t>22 LR</t>
        </is>
      </c>
      <c r="G1775" s="3" t="inlineStr">
        <is>
          <t>WINCHESTER</t>
        </is>
      </c>
      <c r="H1775" s="65" t="inlineStr">
        <is>
          <t>WILDCAT STRATA SA, S, THR 18''</t>
        </is>
      </c>
      <c r="I1775" s="65" t="inlineStr">
        <is>
          <t>TF614-22M28593</t>
        </is>
      </c>
      <c r="J1775" s="65" t="inlineStr">
        <is>
          <t>N/D</t>
        </is>
      </c>
      <c r="K1775" s="65" t="inlineStr">
        <is>
          <t>N/D</t>
        </is>
      </c>
      <c r="L1775" s="127" t="inlineStr">
        <is>
          <t>BROWNING INTERNATIONAL SA</t>
        </is>
      </c>
      <c r="M1775" s="5" t="n">
        <v>270</v>
      </c>
      <c r="N1775" s="5" t="n"/>
      <c r="O1775" s="5">
        <f>+M1775+N1775</f>
        <v/>
      </c>
      <c r="P1775" s="4" t="n">
        <v>45847</v>
      </c>
      <c r="Q1775" s="87" t="n">
        <v>45845</v>
      </c>
      <c r="R1775" s="5" t="n"/>
      <c r="S1775" s="2" t="n"/>
      <c r="T1775" s="3" t="n"/>
      <c r="U1775" s="87" t="n"/>
      <c r="V1775" s="3" t="n"/>
      <c r="W1775" s="108" t="n"/>
      <c r="X1775" s="4" t="n"/>
    </row>
    <row r="1776" ht="24" customHeight="1">
      <c r="A1776" s="2">
        <f>+D1776-S1776</f>
        <v/>
      </c>
      <c r="B1776" s="80" t="n">
        <v>3409</v>
      </c>
      <c r="C1776" s="66" t="n">
        <v>45852</v>
      </c>
      <c r="D1776" s="2" t="n">
        <v>1</v>
      </c>
      <c r="E1776" s="3" t="inlineStr">
        <is>
          <t>CARABINA SEMIAUTOMATICA</t>
        </is>
      </c>
      <c r="F1776" s="3" t="inlineStr">
        <is>
          <t>22 LR</t>
        </is>
      </c>
      <c r="G1776" s="3" t="inlineStr">
        <is>
          <t>WINCHESTER</t>
        </is>
      </c>
      <c r="H1776" s="65" t="inlineStr">
        <is>
          <t>WILDCAT STRATA SA, S, THR 18''</t>
        </is>
      </c>
      <c r="I1776" s="65" t="inlineStr">
        <is>
          <t>TF614-22M28643</t>
        </is>
      </c>
      <c r="J1776" s="65" t="inlineStr">
        <is>
          <t>N/D</t>
        </is>
      </c>
      <c r="K1776" s="65" t="inlineStr">
        <is>
          <t>N/D</t>
        </is>
      </c>
      <c r="L1776" s="127" t="inlineStr">
        <is>
          <t>BROWNING INTERNATIONAL SA</t>
        </is>
      </c>
      <c r="M1776" s="5" t="n">
        <v>270</v>
      </c>
      <c r="N1776" s="5" t="n"/>
      <c r="O1776" s="5">
        <f>+M1776+N1776</f>
        <v/>
      </c>
      <c r="P1776" s="4" t="n">
        <v>45847</v>
      </c>
      <c r="Q1776" s="87" t="n">
        <v>45845</v>
      </c>
      <c r="R1776" s="5" t="n"/>
      <c r="S1776" s="2" t="n"/>
      <c r="T1776" s="3" t="n"/>
      <c r="U1776" s="87" t="n"/>
      <c r="V1776" s="3" t="n"/>
      <c r="W1776" s="108" t="n"/>
      <c r="X1776" s="4" t="n"/>
    </row>
    <row r="1777" ht="24" customHeight="1">
      <c r="A1777" s="2">
        <f>+D1777-S1777</f>
        <v/>
      </c>
      <c r="B1777" s="80" t="n">
        <v>3410</v>
      </c>
      <c r="C1777" s="66" t="n">
        <v>45852</v>
      </c>
      <c r="D1777" s="2" t="n">
        <v>1</v>
      </c>
      <c r="E1777" s="3" t="inlineStr">
        <is>
          <t>CARABINA SEMIAUTOMATICA</t>
        </is>
      </c>
      <c r="F1777" s="3" t="inlineStr">
        <is>
          <t>22 LR</t>
        </is>
      </c>
      <c r="G1777" s="3" t="inlineStr">
        <is>
          <t>WINCHESTER</t>
        </is>
      </c>
      <c r="H1777" s="65" t="inlineStr">
        <is>
          <t>WILDCAT STRATA SA, S, THR 18''</t>
        </is>
      </c>
      <c r="I1777" s="65" t="inlineStr">
        <is>
          <t>TF614-22M28640</t>
        </is>
      </c>
      <c r="J1777" s="65" t="inlineStr">
        <is>
          <t>N/D</t>
        </is>
      </c>
      <c r="K1777" s="65" t="inlineStr">
        <is>
          <t>N/D</t>
        </is>
      </c>
      <c r="L1777" s="127" t="inlineStr">
        <is>
          <t>BROWNING INTERNATIONAL SA</t>
        </is>
      </c>
      <c r="M1777" s="5" t="n">
        <v>270</v>
      </c>
      <c r="N1777" s="5" t="n"/>
      <c r="O1777" s="5">
        <f>+M1777+N1777</f>
        <v/>
      </c>
      <c r="P1777" s="4" t="n">
        <v>45847</v>
      </c>
      <c r="Q1777" s="87" t="n">
        <v>45845</v>
      </c>
      <c r="R1777" s="5" t="n"/>
      <c r="S1777" s="2" t="n"/>
      <c r="T1777" s="3" t="n"/>
      <c r="U1777" s="87" t="n"/>
      <c r="V1777" s="3" t="n"/>
      <c r="W1777" s="108" t="n"/>
      <c r="X1777" s="4" t="n"/>
    </row>
    <row r="1778" ht="24" customHeight="1">
      <c r="A1778" s="2">
        <f>+D1778-S1778</f>
        <v/>
      </c>
      <c r="B1778" s="80" t="n">
        <v>3411</v>
      </c>
      <c r="C1778" s="66" t="n">
        <v>45852</v>
      </c>
      <c r="D1778" s="2" t="n">
        <v>1</v>
      </c>
      <c r="E1778" s="3" t="inlineStr">
        <is>
          <t>CARABINA SEMIAUTOMATICA</t>
        </is>
      </c>
      <c r="F1778" s="3" t="inlineStr">
        <is>
          <t>22 LR</t>
        </is>
      </c>
      <c r="G1778" s="3" t="inlineStr">
        <is>
          <t>WINCHESTER</t>
        </is>
      </c>
      <c r="H1778" s="65" t="inlineStr">
        <is>
          <t>WILDCAT STRATA SA, S, THR 18''</t>
        </is>
      </c>
      <c r="I1778" s="65" t="inlineStr">
        <is>
          <t>TF614-22M28650</t>
        </is>
      </c>
      <c r="J1778" s="65" t="inlineStr">
        <is>
          <t>N/D</t>
        </is>
      </c>
      <c r="K1778" s="65" t="inlineStr">
        <is>
          <t>N/D</t>
        </is>
      </c>
      <c r="L1778" s="127" t="inlineStr">
        <is>
          <t>BROWNING INTERNATIONAL SA</t>
        </is>
      </c>
      <c r="M1778" s="5" t="n">
        <v>270</v>
      </c>
      <c r="N1778" s="5" t="n"/>
      <c r="O1778" s="5">
        <f>+M1778+N1778</f>
        <v/>
      </c>
      <c r="P1778" s="4" t="n">
        <v>45847</v>
      </c>
      <c r="Q1778" s="87" t="n">
        <v>45845</v>
      </c>
      <c r="R1778" s="5" t="n"/>
      <c r="S1778" s="2" t="n"/>
      <c r="T1778" s="3" t="n"/>
      <c r="U1778" s="87" t="n"/>
      <c r="V1778" s="3" t="n"/>
      <c r="W1778" s="108" t="n"/>
      <c r="X1778" s="4" t="n"/>
    </row>
    <row r="1779" ht="24" customHeight="1">
      <c r="A1779" s="2">
        <f>+D1779-S1779</f>
        <v/>
      </c>
      <c r="B1779" s="80" t="n">
        <v>3412</v>
      </c>
      <c r="C1779" s="66" t="n">
        <v>45852</v>
      </c>
      <c r="D1779" s="2" t="n">
        <v>1</v>
      </c>
      <c r="E1779" s="3" t="inlineStr">
        <is>
          <t>CARABINA SEMIAUTOMATICA</t>
        </is>
      </c>
      <c r="F1779" s="3" t="inlineStr">
        <is>
          <t>22 LR</t>
        </is>
      </c>
      <c r="G1779" s="3" t="inlineStr">
        <is>
          <t>WINCHESTER</t>
        </is>
      </c>
      <c r="H1779" s="65" t="inlineStr">
        <is>
          <t>WILDCAT STRATA SA, S, THR 18''</t>
        </is>
      </c>
      <c r="I1779" s="65" t="inlineStr">
        <is>
          <t>TF614-22M28660</t>
        </is>
      </c>
      <c r="J1779" s="65" t="inlineStr">
        <is>
          <t>N/D</t>
        </is>
      </c>
      <c r="K1779" s="65" t="inlineStr">
        <is>
          <t>N/D</t>
        </is>
      </c>
      <c r="L1779" s="127" t="inlineStr">
        <is>
          <t>BROWNING INTERNATIONAL SA</t>
        </is>
      </c>
      <c r="M1779" s="5" t="n">
        <v>270</v>
      </c>
      <c r="N1779" s="5" t="n"/>
      <c r="O1779" s="5">
        <f>+M1779+N1779</f>
        <v/>
      </c>
      <c r="P1779" s="4" t="n">
        <v>45847</v>
      </c>
      <c r="Q1779" s="87" t="n">
        <v>45845</v>
      </c>
      <c r="R1779" s="5" t="n"/>
      <c r="S1779" s="2" t="n"/>
      <c r="T1779" s="3" t="n"/>
      <c r="U1779" s="87" t="n"/>
      <c r="V1779" s="3" t="n"/>
      <c r="W1779" s="108" t="n"/>
      <c r="X1779" s="4" t="n"/>
    </row>
    <row r="1780" ht="24" customHeight="1">
      <c r="A1780" s="2">
        <f>+D1780-S1780</f>
        <v/>
      </c>
      <c r="B1780" s="80" t="n">
        <v>3413</v>
      </c>
      <c r="C1780" s="66" t="n">
        <v>45852</v>
      </c>
      <c r="D1780" s="2" t="n">
        <v>1</v>
      </c>
      <c r="E1780" s="3" t="inlineStr">
        <is>
          <t>CARABINA SEMIAUTOMATICA</t>
        </is>
      </c>
      <c r="F1780" s="3" t="inlineStr">
        <is>
          <t>22 LR</t>
        </is>
      </c>
      <c r="G1780" s="3" t="inlineStr">
        <is>
          <t>WINCHESTER</t>
        </is>
      </c>
      <c r="H1780" s="65" t="inlineStr">
        <is>
          <t>WILDCAT STRATA SA, S, THR 18''</t>
        </is>
      </c>
      <c r="I1780" s="65" t="inlineStr">
        <is>
          <t>TF614-22M28646</t>
        </is>
      </c>
      <c r="J1780" s="65" t="inlineStr">
        <is>
          <t>N/D</t>
        </is>
      </c>
      <c r="K1780" s="65" t="inlineStr">
        <is>
          <t>N/D</t>
        </is>
      </c>
      <c r="L1780" s="127" t="inlineStr">
        <is>
          <t>BROWNING INTERNATIONAL SA</t>
        </is>
      </c>
      <c r="M1780" s="5" t="n">
        <v>270</v>
      </c>
      <c r="N1780" s="5" t="n"/>
      <c r="O1780" s="5">
        <f>+M1780+N1780</f>
        <v/>
      </c>
      <c r="P1780" s="4" t="n">
        <v>45847</v>
      </c>
      <c r="Q1780" s="87" t="n">
        <v>45845</v>
      </c>
      <c r="R1780" s="5" t="n"/>
      <c r="S1780" s="2" t="n"/>
      <c r="T1780" s="3" t="n"/>
      <c r="U1780" s="87" t="n"/>
      <c r="V1780" s="3" t="n"/>
      <c r="W1780" s="108" t="n"/>
      <c r="X1780" s="4" t="n"/>
    </row>
    <row r="1781" ht="24" customHeight="1">
      <c r="A1781" s="2">
        <f>+D1781-S1781</f>
        <v/>
      </c>
      <c r="B1781" s="80" t="n">
        <v>3414</v>
      </c>
      <c r="C1781" s="66" t="n">
        <v>45852</v>
      </c>
      <c r="D1781" s="2" t="n">
        <v>1</v>
      </c>
      <c r="E1781" s="3" t="inlineStr">
        <is>
          <t>CARABINA SEMIAUTOMATICA</t>
        </is>
      </c>
      <c r="F1781" s="3" t="inlineStr">
        <is>
          <t>22 LR</t>
        </is>
      </c>
      <c r="G1781" s="3" t="inlineStr">
        <is>
          <t>WINCHESTER</t>
        </is>
      </c>
      <c r="H1781" s="65" t="inlineStr">
        <is>
          <t>WILDCAT STRATA SA, S, THR 18''</t>
        </is>
      </c>
      <c r="I1781" s="65" t="inlineStr">
        <is>
          <t>TF614-22M28594</t>
        </is>
      </c>
      <c r="J1781" s="65" t="inlineStr">
        <is>
          <t>N/D</t>
        </is>
      </c>
      <c r="K1781" s="65" t="inlineStr">
        <is>
          <t>N/D</t>
        </is>
      </c>
      <c r="L1781" s="127" t="inlineStr">
        <is>
          <t>BROWNING INTERNATIONAL SA</t>
        </is>
      </c>
      <c r="M1781" s="5" t="n">
        <v>270</v>
      </c>
      <c r="N1781" s="5" t="n"/>
      <c r="O1781" s="5">
        <f>+M1781+N1781</f>
        <v/>
      </c>
      <c r="P1781" s="4" t="n">
        <v>45847</v>
      </c>
      <c r="Q1781" s="87" t="n">
        <v>45845</v>
      </c>
      <c r="R1781" s="5" t="n"/>
      <c r="S1781" s="2" t="n"/>
      <c r="T1781" s="3" t="n"/>
      <c r="U1781" s="87" t="n"/>
      <c r="V1781" s="3" t="n"/>
      <c r="W1781" s="108" t="n"/>
      <c r="X1781" s="4" t="n"/>
    </row>
    <row r="1782" ht="24" customHeight="1">
      <c r="A1782" s="2">
        <f>+D1782-S1782</f>
        <v/>
      </c>
      <c r="B1782" s="80" t="n">
        <v>3415</v>
      </c>
      <c r="C1782" s="66" t="n">
        <v>45852</v>
      </c>
      <c r="D1782" s="2" t="n">
        <v>1</v>
      </c>
      <c r="E1782" s="3" t="inlineStr">
        <is>
          <t>CARABINA SEMIAUTOMATICA</t>
        </is>
      </c>
      <c r="F1782" s="3" t="inlineStr">
        <is>
          <t>22 LR</t>
        </is>
      </c>
      <c r="G1782" s="3" t="inlineStr">
        <is>
          <t>WINCHESTER</t>
        </is>
      </c>
      <c r="H1782" s="65" t="inlineStr">
        <is>
          <t>WILDCAT STRATA SA, S, THR 18''</t>
        </is>
      </c>
      <c r="I1782" s="65" t="inlineStr">
        <is>
          <t>TF614-22M28605</t>
        </is>
      </c>
      <c r="J1782" s="65" t="inlineStr">
        <is>
          <t>N/D</t>
        </is>
      </c>
      <c r="K1782" s="65" t="inlineStr">
        <is>
          <t>N/D</t>
        </is>
      </c>
      <c r="L1782" s="127" t="inlineStr">
        <is>
          <t>BROWNING INTERNATIONAL SA</t>
        </is>
      </c>
      <c r="M1782" s="5" t="n">
        <v>270</v>
      </c>
      <c r="N1782" s="5" t="n"/>
      <c r="O1782" s="5">
        <f>+M1782+N1782</f>
        <v/>
      </c>
      <c r="P1782" s="4" t="n">
        <v>45847</v>
      </c>
      <c r="Q1782" s="87" t="n">
        <v>45845</v>
      </c>
      <c r="R1782" s="5" t="n"/>
      <c r="S1782" s="2" t="n"/>
      <c r="T1782" s="3" t="n"/>
      <c r="U1782" s="87" t="n"/>
      <c r="V1782" s="3" t="n"/>
      <c r="W1782" s="108" t="n"/>
      <c r="X1782" s="4" t="n"/>
    </row>
    <row r="1783" ht="24" customHeight="1">
      <c r="A1783" s="2">
        <f>+D1783-S1783</f>
        <v/>
      </c>
      <c r="B1783" s="80" t="n">
        <v>3416</v>
      </c>
      <c r="C1783" s="66" t="n">
        <v>45852</v>
      </c>
      <c r="D1783" s="2" t="n">
        <v>1</v>
      </c>
      <c r="E1783" s="3" t="inlineStr">
        <is>
          <t>CARABINA SEMIAUTOMATICA</t>
        </is>
      </c>
      <c r="F1783" s="3" t="inlineStr">
        <is>
          <t>22 LR</t>
        </is>
      </c>
      <c r="G1783" s="3" t="inlineStr">
        <is>
          <t>WINCHESTER</t>
        </is>
      </c>
      <c r="H1783" s="65" t="inlineStr">
        <is>
          <t>WILDCAT STRATA SA, S, THR 18''</t>
        </is>
      </c>
      <c r="I1783" s="65" t="inlineStr">
        <is>
          <t>TF614-22M28657</t>
        </is>
      </c>
      <c r="J1783" s="65" t="inlineStr">
        <is>
          <t>N/D</t>
        </is>
      </c>
      <c r="K1783" s="65" t="inlineStr">
        <is>
          <t>N/D</t>
        </is>
      </c>
      <c r="L1783" s="127" t="inlineStr">
        <is>
          <t>BROWNING INTERNATIONAL SA</t>
        </is>
      </c>
      <c r="M1783" s="5" t="n">
        <v>270</v>
      </c>
      <c r="N1783" s="5" t="n"/>
      <c r="O1783" s="5">
        <f>+M1783+N1783</f>
        <v/>
      </c>
      <c r="P1783" s="4" t="n">
        <v>45847</v>
      </c>
      <c r="Q1783" s="87" t="n">
        <v>45845</v>
      </c>
      <c r="R1783" s="5" t="n"/>
      <c r="S1783" s="2" t="n"/>
      <c r="T1783" s="3" t="n"/>
      <c r="U1783" s="87" t="n"/>
      <c r="V1783" s="3" t="n"/>
      <c r="W1783" s="108" t="n"/>
      <c r="X1783" s="4" t="n"/>
    </row>
    <row r="1784" ht="24" customHeight="1">
      <c r="A1784" s="2">
        <f>+D1784-S1784</f>
        <v/>
      </c>
      <c r="B1784" s="80" t="n">
        <v>3417</v>
      </c>
      <c r="C1784" s="66" t="n">
        <v>45852</v>
      </c>
      <c r="D1784" s="2" t="n">
        <v>1</v>
      </c>
      <c r="E1784" s="3" t="inlineStr">
        <is>
          <t>CARABINA SEMIAUTOMATICA</t>
        </is>
      </c>
      <c r="F1784" s="3" t="inlineStr">
        <is>
          <t>22 LR</t>
        </is>
      </c>
      <c r="G1784" s="3" t="inlineStr">
        <is>
          <t>WINCHESTER</t>
        </is>
      </c>
      <c r="H1784" s="65" t="inlineStr">
        <is>
          <t>WILDCAT STRATA SA, S, THR 18''</t>
        </is>
      </c>
      <c r="I1784" s="65" t="inlineStr">
        <is>
          <t>TF614-22M28635</t>
        </is>
      </c>
      <c r="J1784" s="65" t="inlineStr">
        <is>
          <t>N/D</t>
        </is>
      </c>
      <c r="K1784" s="65" t="inlineStr">
        <is>
          <t>N/D</t>
        </is>
      </c>
      <c r="L1784" s="127" t="inlineStr">
        <is>
          <t>BROWNING INTERNATIONAL SA</t>
        </is>
      </c>
      <c r="M1784" s="5" t="n">
        <v>270</v>
      </c>
      <c r="N1784" s="5" t="n"/>
      <c r="O1784" s="5">
        <f>+M1784+N1784</f>
        <v/>
      </c>
      <c r="P1784" s="4" t="n">
        <v>45847</v>
      </c>
      <c r="Q1784" s="87" t="n">
        <v>45845</v>
      </c>
      <c r="R1784" s="5" t="n"/>
      <c r="S1784" s="2" t="n"/>
      <c r="T1784" s="3" t="n"/>
      <c r="U1784" s="87" t="n"/>
      <c r="V1784" s="3" t="n"/>
      <c r="W1784" s="108" t="n"/>
      <c r="X1784" s="4" t="n"/>
    </row>
    <row r="1785" ht="24" customHeight="1">
      <c r="A1785" s="2">
        <f>+D1785-S1785</f>
        <v/>
      </c>
      <c r="B1785" s="80" t="n">
        <v>3418</v>
      </c>
      <c r="C1785" s="66" t="n">
        <v>45852</v>
      </c>
      <c r="D1785" s="2" t="n">
        <v>1</v>
      </c>
      <c r="E1785" s="3" t="inlineStr">
        <is>
          <t>CARABINA SEMIAUTOMATICA</t>
        </is>
      </c>
      <c r="F1785" s="3" t="inlineStr">
        <is>
          <t>22 LR</t>
        </is>
      </c>
      <c r="G1785" s="3" t="inlineStr">
        <is>
          <t>WINCHESTER</t>
        </is>
      </c>
      <c r="H1785" s="65" t="inlineStr">
        <is>
          <t>WILDCAT STRATA SA, S, THR 18''</t>
        </is>
      </c>
      <c r="I1785" s="65" t="inlineStr">
        <is>
          <t>TF614-22M28595</t>
        </is>
      </c>
      <c r="J1785" s="65" t="inlineStr">
        <is>
          <t>N/D</t>
        </is>
      </c>
      <c r="K1785" s="65" t="inlineStr">
        <is>
          <t>N/D</t>
        </is>
      </c>
      <c r="L1785" s="127" t="inlineStr">
        <is>
          <t>BROWNING INTERNATIONAL SA</t>
        </is>
      </c>
      <c r="M1785" s="5" t="n">
        <v>270</v>
      </c>
      <c r="N1785" s="5" t="n"/>
      <c r="O1785" s="5">
        <f>+M1785+N1785</f>
        <v/>
      </c>
      <c r="P1785" s="4" t="n">
        <v>45847</v>
      </c>
      <c r="Q1785" s="87" t="n">
        <v>45845</v>
      </c>
      <c r="R1785" s="5" t="n"/>
      <c r="S1785" s="2" t="n"/>
      <c r="T1785" s="3" t="n"/>
      <c r="U1785" s="87" t="n"/>
      <c r="V1785" s="3" t="n"/>
      <c r="W1785" s="108" t="n"/>
      <c r="X1785" s="4" t="n"/>
    </row>
    <row r="1786" ht="24" customHeight="1">
      <c r="A1786" s="2">
        <f>+D1786-S1786</f>
        <v/>
      </c>
      <c r="B1786" s="80" t="n">
        <v>3419</v>
      </c>
      <c r="C1786" s="66" t="n">
        <v>45852</v>
      </c>
      <c r="D1786" s="2" t="n">
        <v>1</v>
      </c>
      <c r="E1786" s="3" t="inlineStr">
        <is>
          <t>CARABINA SEMIAUTOMATICA</t>
        </is>
      </c>
      <c r="F1786" s="3" t="inlineStr">
        <is>
          <t>22 LR</t>
        </is>
      </c>
      <c r="G1786" s="3" t="inlineStr">
        <is>
          <t>WINCHESTER</t>
        </is>
      </c>
      <c r="H1786" s="65" t="inlineStr">
        <is>
          <t>WILDCAT STRATA SA, S, THR 18''</t>
        </is>
      </c>
      <c r="I1786" s="65" t="inlineStr">
        <is>
          <t>TF614-22M28658</t>
        </is>
      </c>
      <c r="J1786" s="65" t="inlineStr">
        <is>
          <t>N/D</t>
        </is>
      </c>
      <c r="K1786" s="65" t="inlineStr">
        <is>
          <t>N/D</t>
        </is>
      </c>
      <c r="L1786" s="127" t="inlineStr">
        <is>
          <t>BROWNING INTERNATIONAL SA</t>
        </is>
      </c>
      <c r="M1786" s="5" t="n">
        <v>270</v>
      </c>
      <c r="N1786" s="5" t="n"/>
      <c r="O1786" s="5">
        <f>+M1786+N1786</f>
        <v/>
      </c>
      <c r="P1786" s="4" t="n">
        <v>45847</v>
      </c>
      <c r="Q1786" s="87" t="n">
        <v>45845</v>
      </c>
      <c r="R1786" s="5" t="n"/>
      <c r="S1786" s="2" t="n"/>
      <c r="T1786" s="3" t="n"/>
      <c r="U1786" s="87" t="n"/>
      <c r="V1786" s="3" t="n"/>
      <c r="W1786" s="108" t="n"/>
      <c r="X1786" s="4" t="n"/>
    </row>
    <row r="1787" ht="24" customHeight="1">
      <c r="A1787" s="2">
        <f>+D1787-S1787</f>
        <v/>
      </c>
      <c r="B1787" s="80" t="n">
        <v>3420</v>
      </c>
      <c r="C1787" s="66" t="n">
        <v>45852</v>
      </c>
      <c r="D1787" s="2" t="n">
        <v>1</v>
      </c>
      <c r="E1787" s="3" t="inlineStr">
        <is>
          <t>CARABINA SEMIAUTOMATICA</t>
        </is>
      </c>
      <c r="F1787" s="3" t="inlineStr">
        <is>
          <t>22 LR</t>
        </is>
      </c>
      <c r="G1787" s="3" t="inlineStr">
        <is>
          <t>WINCHESTER</t>
        </is>
      </c>
      <c r="H1787" s="65" t="inlineStr">
        <is>
          <t>WILDCAT STRATA SA, S, THR 18''</t>
        </is>
      </c>
      <c r="I1787" s="65" t="inlineStr">
        <is>
          <t>TF614-22M28636</t>
        </is>
      </c>
      <c r="J1787" s="65" t="inlineStr">
        <is>
          <t>N/D</t>
        </is>
      </c>
      <c r="K1787" s="65" t="inlineStr">
        <is>
          <t>N/D</t>
        </is>
      </c>
      <c r="L1787" s="127" t="inlineStr">
        <is>
          <t>BROWNING INTERNATIONAL SA</t>
        </is>
      </c>
      <c r="M1787" s="5" t="n">
        <v>270</v>
      </c>
      <c r="N1787" s="5" t="n"/>
      <c r="O1787" s="5">
        <f>+M1787+N1787</f>
        <v/>
      </c>
      <c r="P1787" s="4" t="n">
        <v>45847</v>
      </c>
      <c r="Q1787" s="87" t="n">
        <v>45845</v>
      </c>
      <c r="R1787" s="5" t="n"/>
      <c r="S1787" s="2" t="n"/>
      <c r="T1787" s="3" t="n"/>
      <c r="U1787" s="87" t="n"/>
      <c r="V1787" s="3" t="n"/>
      <c r="W1787" s="108" t="n"/>
      <c r="X1787" s="4" t="n"/>
    </row>
    <row r="1788" ht="24" customHeight="1">
      <c r="A1788" s="2">
        <f>+D1788-S1788</f>
        <v/>
      </c>
      <c r="B1788" s="80" t="n">
        <v>3421</v>
      </c>
      <c r="C1788" s="66" t="n">
        <v>45852</v>
      </c>
      <c r="D1788" s="2" t="n">
        <v>1</v>
      </c>
      <c r="E1788" s="3" t="inlineStr">
        <is>
          <t>CARABINA SEMIAUTOMATICA</t>
        </is>
      </c>
      <c r="F1788" s="3" t="inlineStr">
        <is>
          <t>22 LR</t>
        </is>
      </c>
      <c r="G1788" s="3" t="inlineStr">
        <is>
          <t>WINCHESTER</t>
        </is>
      </c>
      <c r="H1788" s="65" t="inlineStr">
        <is>
          <t>WILDCAT STRATA SA, S, THR 18''</t>
        </is>
      </c>
      <c r="I1788" s="65" t="inlineStr">
        <is>
          <t>TF614-22M28641</t>
        </is>
      </c>
      <c r="J1788" s="65" t="inlineStr">
        <is>
          <t>N/D</t>
        </is>
      </c>
      <c r="K1788" s="65" t="inlineStr">
        <is>
          <t>N/D</t>
        </is>
      </c>
      <c r="L1788" s="127" t="inlineStr">
        <is>
          <t>BROWNING INTERNATIONAL SA</t>
        </is>
      </c>
      <c r="M1788" s="5" t="n">
        <v>270</v>
      </c>
      <c r="N1788" s="5" t="n"/>
      <c r="O1788" s="5">
        <f>+M1788+N1788</f>
        <v/>
      </c>
      <c r="P1788" s="4" t="n">
        <v>45847</v>
      </c>
      <c r="Q1788" s="87" t="n">
        <v>45845</v>
      </c>
      <c r="R1788" s="5" t="n"/>
      <c r="S1788" s="2" t="n"/>
      <c r="T1788" s="3" t="n"/>
      <c r="U1788" s="87" t="n"/>
      <c r="V1788" s="3" t="n"/>
      <c r="W1788" s="108" t="n"/>
      <c r="X1788" s="4" t="n"/>
    </row>
    <row r="1789" ht="24" customHeight="1">
      <c r="A1789" s="2">
        <f>+D1789-S1789</f>
        <v/>
      </c>
      <c r="B1789" s="80" t="n">
        <v>3422</v>
      </c>
      <c r="C1789" s="66" t="n">
        <v>45852</v>
      </c>
      <c r="D1789" s="2" t="n">
        <v>1</v>
      </c>
      <c r="E1789" s="3" t="inlineStr">
        <is>
          <t>CARABINA SEMIAUTOMATICA</t>
        </is>
      </c>
      <c r="F1789" s="3" t="inlineStr">
        <is>
          <t>22 LR</t>
        </is>
      </c>
      <c r="G1789" s="3" t="inlineStr">
        <is>
          <t>WINCHESTER</t>
        </is>
      </c>
      <c r="H1789" s="65" t="inlineStr">
        <is>
          <t>WILDCAT STRATA SA, S, THR 18''</t>
        </is>
      </c>
      <c r="I1789" s="65" t="inlineStr">
        <is>
          <t>TF614-22M28648</t>
        </is>
      </c>
      <c r="J1789" s="65" t="inlineStr">
        <is>
          <t>N/D</t>
        </is>
      </c>
      <c r="K1789" s="65" t="inlineStr">
        <is>
          <t>N/D</t>
        </is>
      </c>
      <c r="L1789" s="127" t="inlineStr">
        <is>
          <t>BROWNING INTERNATIONAL SA</t>
        </is>
      </c>
      <c r="M1789" s="5" t="n">
        <v>270</v>
      </c>
      <c r="N1789" s="5" t="n"/>
      <c r="O1789" s="5">
        <f>+M1789+N1789</f>
        <v/>
      </c>
      <c r="P1789" s="4" t="n">
        <v>45847</v>
      </c>
      <c r="Q1789" s="87" t="n">
        <v>45845</v>
      </c>
      <c r="R1789" s="5" t="n"/>
      <c r="S1789" s="2" t="n"/>
      <c r="T1789" s="3" t="n"/>
      <c r="U1789" s="87" t="n"/>
      <c r="V1789" s="3" t="n"/>
      <c r="W1789" s="108" t="n"/>
      <c r="X1789" s="4" t="n"/>
    </row>
    <row r="1790" ht="24" customHeight="1">
      <c r="A1790" s="2">
        <f>+D1790-S1790</f>
        <v/>
      </c>
      <c r="B1790" s="80" t="n">
        <v>3423</v>
      </c>
      <c r="C1790" s="66" t="n">
        <v>45852</v>
      </c>
      <c r="D1790" s="2" t="n">
        <v>1</v>
      </c>
      <c r="E1790" s="3" t="inlineStr">
        <is>
          <t>CARABINA SEMIAUTOMATICA</t>
        </is>
      </c>
      <c r="F1790" s="3" t="inlineStr">
        <is>
          <t>22 LR</t>
        </is>
      </c>
      <c r="G1790" s="3" t="inlineStr">
        <is>
          <t>WINCHESTER</t>
        </is>
      </c>
      <c r="H1790" s="65" t="inlineStr">
        <is>
          <t>WILDCAT STRATA SA, S, THR 18''</t>
        </is>
      </c>
      <c r="I1790" s="65" t="inlineStr">
        <is>
          <t>TF614-22M28634</t>
        </is>
      </c>
      <c r="J1790" s="65" t="inlineStr">
        <is>
          <t>N/D</t>
        </is>
      </c>
      <c r="K1790" s="65" t="inlineStr">
        <is>
          <t>N/D</t>
        </is>
      </c>
      <c r="L1790" s="127" t="inlineStr">
        <is>
          <t>BROWNING INTERNATIONAL SA</t>
        </is>
      </c>
      <c r="M1790" s="5" t="n">
        <v>270</v>
      </c>
      <c r="N1790" s="5" t="n"/>
      <c r="O1790" s="5">
        <f>+M1790+N1790</f>
        <v/>
      </c>
      <c r="P1790" s="4" t="n">
        <v>45847</v>
      </c>
      <c r="Q1790" s="87" t="n">
        <v>45845</v>
      </c>
      <c r="R1790" s="5" t="n"/>
      <c r="S1790" s="2" t="n"/>
      <c r="T1790" s="3" t="n"/>
      <c r="U1790" s="87" t="n"/>
      <c r="V1790" s="3" t="n"/>
      <c r="W1790" s="108" t="n"/>
      <c r="X1790" s="4" t="n"/>
    </row>
    <row r="1791" ht="24" customHeight="1">
      <c r="A1791" s="2">
        <f>+D1791-S1791</f>
        <v/>
      </c>
      <c r="B1791" s="80" t="n">
        <v>3424</v>
      </c>
      <c r="C1791" s="66" t="n">
        <v>45852</v>
      </c>
      <c r="D1791" s="2" t="n">
        <v>1</v>
      </c>
      <c r="E1791" s="3" t="inlineStr">
        <is>
          <t>CARABINA SEMIAUTOMATICA</t>
        </is>
      </c>
      <c r="F1791" s="3" t="inlineStr">
        <is>
          <t>22 LR</t>
        </is>
      </c>
      <c r="G1791" s="3" t="inlineStr">
        <is>
          <t>WINCHESTER</t>
        </is>
      </c>
      <c r="H1791" s="65" t="inlineStr">
        <is>
          <t>WILDCAT STRATA SA, S, THR 18''</t>
        </is>
      </c>
      <c r="I1791" s="65" t="inlineStr">
        <is>
          <t>TF614-22M28637</t>
        </is>
      </c>
      <c r="J1791" s="65" t="inlineStr">
        <is>
          <t>N/D</t>
        </is>
      </c>
      <c r="K1791" s="65" t="inlineStr">
        <is>
          <t>N/D</t>
        </is>
      </c>
      <c r="L1791" s="127" t="inlineStr">
        <is>
          <t>BROWNING INTERNATIONAL SA</t>
        </is>
      </c>
      <c r="M1791" s="5" t="n">
        <v>270</v>
      </c>
      <c r="N1791" s="5" t="n"/>
      <c r="O1791" s="5">
        <f>+M1791+N1791</f>
        <v/>
      </c>
      <c r="P1791" s="4" t="n">
        <v>45847</v>
      </c>
      <c r="Q1791" s="87" t="n">
        <v>45845</v>
      </c>
      <c r="R1791" s="5" t="n"/>
      <c r="S1791" s="2" t="n"/>
      <c r="T1791" s="3" t="n"/>
      <c r="U1791" s="87" t="n"/>
      <c r="V1791" s="3" t="n"/>
      <c r="W1791" s="108" t="n"/>
      <c r="X1791" s="4" t="n"/>
    </row>
    <row r="1792" ht="24" customHeight="1">
      <c r="A1792" s="2">
        <f>+D1792-S1792</f>
        <v/>
      </c>
      <c r="B1792" s="80" t="n">
        <v>3425</v>
      </c>
      <c r="C1792" s="66" t="n">
        <v>45852</v>
      </c>
      <c r="D1792" s="2" t="n">
        <v>1</v>
      </c>
      <c r="E1792" s="3" t="inlineStr">
        <is>
          <t>CARABINA SEMIAUTOMATICA</t>
        </is>
      </c>
      <c r="F1792" s="3" t="inlineStr">
        <is>
          <t>22 LR</t>
        </is>
      </c>
      <c r="G1792" s="3" t="inlineStr">
        <is>
          <t>WINCHESTER</t>
        </is>
      </c>
      <c r="H1792" s="65" t="inlineStr">
        <is>
          <t>WILDCAT STRATA SA, S, THR 18''</t>
        </is>
      </c>
      <c r="I1792" s="65" t="inlineStr">
        <is>
          <t>TF614-22M28601</t>
        </is>
      </c>
      <c r="J1792" s="65" t="inlineStr">
        <is>
          <t>N/D</t>
        </is>
      </c>
      <c r="K1792" s="65" t="inlineStr">
        <is>
          <t>N/D</t>
        </is>
      </c>
      <c r="L1792" s="127" t="inlineStr">
        <is>
          <t>BROWNING INTERNATIONAL SA</t>
        </is>
      </c>
      <c r="M1792" s="5" t="n">
        <v>270</v>
      </c>
      <c r="N1792" s="5" t="n"/>
      <c r="O1792" s="5">
        <f>+M1792+N1792</f>
        <v/>
      </c>
      <c r="P1792" s="4" t="n">
        <v>45847</v>
      </c>
      <c r="Q1792" s="87" t="n">
        <v>45845</v>
      </c>
      <c r="R1792" s="5" t="n"/>
      <c r="S1792" s="2" t="n"/>
      <c r="T1792" s="3" t="n"/>
      <c r="U1792" s="87" t="n"/>
      <c r="V1792" s="3" t="n"/>
      <c r="W1792" s="108" t="n"/>
      <c r="X1792" s="4" t="n"/>
    </row>
    <row r="1793" ht="24" customHeight="1">
      <c r="A1793" s="2">
        <f>+D1793-S1793</f>
        <v/>
      </c>
      <c r="B1793" s="80" t="n">
        <v>3426</v>
      </c>
      <c r="C1793" s="66" t="n">
        <v>45852</v>
      </c>
      <c r="D1793" s="2" t="n">
        <v>1</v>
      </c>
      <c r="E1793" s="3" t="inlineStr">
        <is>
          <t>CARABINA SEMIAUTOMATICA</t>
        </is>
      </c>
      <c r="F1793" s="3" t="inlineStr">
        <is>
          <t>22 LR</t>
        </is>
      </c>
      <c r="G1793" s="3" t="inlineStr">
        <is>
          <t>WINCHESTER</t>
        </is>
      </c>
      <c r="H1793" s="65" t="inlineStr">
        <is>
          <t>WILDCAT SA, S, THR 18''</t>
        </is>
      </c>
      <c r="I1793" s="65" t="inlineStr">
        <is>
          <t>TF614-24M08912</t>
        </is>
      </c>
      <c r="J1793" s="65" t="inlineStr">
        <is>
          <t>N/D</t>
        </is>
      </c>
      <c r="K1793" s="65" t="inlineStr">
        <is>
          <t>N/D</t>
        </is>
      </c>
      <c r="L1793" s="127" t="inlineStr">
        <is>
          <t>BROWNING INTERNATIONAL SA</t>
        </is>
      </c>
      <c r="M1793" s="5" t="n">
        <v>0</v>
      </c>
      <c r="N1793" s="5" t="n"/>
      <c r="O1793" s="5">
        <f>+M1793+N1793</f>
        <v/>
      </c>
      <c r="P1793" s="4" t="n">
        <v>45847</v>
      </c>
      <c r="Q1793" s="87" t="n">
        <v>45845</v>
      </c>
      <c r="R1793" s="5" t="n"/>
      <c r="S1793" s="2" t="n"/>
      <c r="T1793" s="3" t="n"/>
      <c r="U1793" s="87" t="n"/>
      <c r="V1793" s="3" t="n"/>
      <c r="W1793" s="108" t="n"/>
      <c r="X1793" s="4" t="n"/>
    </row>
    <row r="1794" ht="24" customHeight="1">
      <c r="A1794" s="2">
        <f>+D1794-S1794</f>
        <v/>
      </c>
      <c r="B1794" s="80" t="n">
        <v>3427</v>
      </c>
      <c r="C1794" s="66" t="n">
        <v>45852</v>
      </c>
      <c r="D1794" s="2" t="n">
        <v>1</v>
      </c>
      <c r="E1794" s="3" t="inlineStr">
        <is>
          <t>CARABINA SEMIAUTOMATICA</t>
        </is>
      </c>
      <c r="F1794" s="3" t="inlineStr">
        <is>
          <t>22 LR</t>
        </is>
      </c>
      <c r="G1794" s="3" t="inlineStr">
        <is>
          <t>WINCHESTER</t>
        </is>
      </c>
      <c r="H1794" s="65" t="inlineStr">
        <is>
          <t>WILDCAT SA, S, THR 18''</t>
        </is>
      </c>
      <c r="I1794" s="65" t="inlineStr">
        <is>
          <t>TF614-24M08898</t>
        </is>
      </c>
      <c r="J1794" s="65" t="inlineStr">
        <is>
          <t>N/D</t>
        </is>
      </c>
      <c r="K1794" s="65" t="inlineStr">
        <is>
          <t>N/D</t>
        </is>
      </c>
      <c r="L1794" s="127" t="inlineStr">
        <is>
          <t>BROWNING INTERNATIONAL SA</t>
        </is>
      </c>
      <c r="M1794" s="5" t="n">
        <v>0</v>
      </c>
      <c r="N1794" s="5" t="n"/>
      <c r="O1794" s="5">
        <f>+M1794+N1794</f>
        <v/>
      </c>
      <c r="P1794" s="4" t="n">
        <v>45847</v>
      </c>
      <c r="Q1794" s="87" t="n">
        <v>45845</v>
      </c>
      <c r="R1794" s="5" t="n"/>
      <c r="S1794" s="2" t="n"/>
      <c r="T1794" s="3" t="n"/>
      <c r="U1794" s="87" t="n"/>
      <c r="V1794" s="3" t="n"/>
      <c r="W1794" s="108" t="n"/>
      <c r="X1794" s="4" t="n"/>
    </row>
    <row r="1795" ht="24" customHeight="1">
      <c r="A1795" s="2">
        <f>+D1795-S1795</f>
        <v/>
      </c>
      <c r="B1795" s="80" t="n">
        <v>3428</v>
      </c>
      <c r="C1795" s="66" t="n">
        <v>45852</v>
      </c>
      <c r="D1795" s="2" t="n">
        <v>1</v>
      </c>
      <c r="E1795" s="3" t="inlineStr">
        <is>
          <t>CARABINA SEMIAUTOMATICA</t>
        </is>
      </c>
      <c r="F1795" s="3" t="inlineStr">
        <is>
          <t>22 LR</t>
        </is>
      </c>
      <c r="G1795" s="3" t="inlineStr">
        <is>
          <t>WINCHESTER</t>
        </is>
      </c>
      <c r="H1795" s="65" t="inlineStr">
        <is>
          <t>WILDCAT SA, S, THR 18''</t>
        </is>
      </c>
      <c r="I1795" s="65" t="inlineStr">
        <is>
          <t>TF614-24M08848</t>
        </is>
      </c>
      <c r="J1795" s="65" t="inlineStr">
        <is>
          <t>N/D</t>
        </is>
      </c>
      <c r="K1795" s="65" t="inlineStr">
        <is>
          <t>N/D</t>
        </is>
      </c>
      <c r="L1795" s="127" t="inlineStr">
        <is>
          <t>BROWNING INTERNATIONAL SA</t>
        </is>
      </c>
      <c r="M1795" s="5" t="n">
        <v>0</v>
      </c>
      <c r="N1795" s="5" t="n"/>
      <c r="O1795" s="5">
        <f>+M1795+N1795</f>
        <v/>
      </c>
      <c r="P1795" s="4" t="n">
        <v>45847</v>
      </c>
      <c r="Q1795" s="87" t="n">
        <v>45845</v>
      </c>
      <c r="R1795" s="5" t="n"/>
      <c r="S1795" s="2" t="n"/>
      <c r="T1795" s="3" t="n"/>
      <c r="U1795" s="87" t="n"/>
      <c r="V1795" s="3" t="n"/>
      <c r="W1795" s="108" t="n"/>
      <c r="X1795" s="4" t="n"/>
    </row>
    <row r="1796" ht="24" customHeight="1">
      <c r="A1796" s="2">
        <f>+D1796-S1796</f>
        <v/>
      </c>
      <c r="B1796" s="80" t="n">
        <v>3429</v>
      </c>
      <c r="C1796" s="66" t="n">
        <v>45852</v>
      </c>
      <c r="D1796" s="2" t="n">
        <v>1</v>
      </c>
      <c r="E1796" s="3" t="inlineStr">
        <is>
          <t>CARABINA SEMIAUTOMATICA</t>
        </is>
      </c>
      <c r="F1796" s="3" t="inlineStr">
        <is>
          <t>22 LR</t>
        </is>
      </c>
      <c r="G1796" s="3" t="inlineStr">
        <is>
          <t>WINCHESTER</t>
        </is>
      </c>
      <c r="H1796" s="65" t="inlineStr">
        <is>
          <t>WILDCAT SA, S, THR 18''</t>
        </is>
      </c>
      <c r="I1796" s="65" t="inlineStr">
        <is>
          <t>TF614-24M08896</t>
        </is>
      </c>
      <c r="J1796" s="65" t="inlineStr">
        <is>
          <t>N/D</t>
        </is>
      </c>
      <c r="K1796" s="65" t="inlineStr">
        <is>
          <t>N/D</t>
        </is>
      </c>
      <c r="L1796" s="127" t="inlineStr">
        <is>
          <t>BROWNING INTERNATIONAL SA</t>
        </is>
      </c>
      <c r="M1796" s="5" t="n">
        <v>0</v>
      </c>
      <c r="N1796" s="5" t="n"/>
      <c r="O1796" s="5">
        <f>+M1796+N1796</f>
        <v/>
      </c>
      <c r="P1796" s="4" t="n">
        <v>45847</v>
      </c>
      <c r="Q1796" s="87" t="n">
        <v>45845</v>
      </c>
      <c r="R1796" s="5" t="n"/>
      <c r="S1796" s="2" t="n"/>
      <c r="T1796" s="3" t="n"/>
      <c r="U1796" s="87" t="n"/>
      <c r="V1796" s="3" t="n"/>
      <c r="W1796" s="108" t="n"/>
      <c r="X1796" s="4" t="n"/>
    </row>
    <row r="1797" ht="24" customHeight="1">
      <c r="A1797" s="2">
        <f>+D1797-S1797</f>
        <v/>
      </c>
      <c r="B1797" s="80" t="n">
        <v>3430</v>
      </c>
      <c r="C1797" s="66" t="n">
        <v>45852</v>
      </c>
      <c r="D1797" s="2" t="n">
        <v>1</v>
      </c>
      <c r="E1797" s="3" t="inlineStr">
        <is>
          <t>CARABINA SEMIAUTOMATICA</t>
        </is>
      </c>
      <c r="F1797" s="3" t="inlineStr">
        <is>
          <t>22 LR</t>
        </is>
      </c>
      <c r="G1797" s="3" t="inlineStr">
        <is>
          <t>WINCHESTER</t>
        </is>
      </c>
      <c r="H1797" s="65" t="inlineStr">
        <is>
          <t>WILDCAT SA, S, THR 18''</t>
        </is>
      </c>
      <c r="I1797" s="65" t="inlineStr">
        <is>
          <t>TF614-24M08855</t>
        </is>
      </c>
      <c r="J1797" s="65" t="inlineStr">
        <is>
          <t>N/D</t>
        </is>
      </c>
      <c r="K1797" s="65" t="inlineStr">
        <is>
          <t>N/D</t>
        </is>
      </c>
      <c r="L1797" s="127" t="inlineStr">
        <is>
          <t>BROWNING INTERNATIONAL SA</t>
        </is>
      </c>
      <c r="M1797" s="5" t="n">
        <v>0</v>
      </c>
      <c r="N1797" s="5" t="n"/>
      <c r="O1797" s="5">
        <f>+M1797+N1797</f>
        <v/>
      </c>
      <c r="P1797" s="4" t="n">
        <v>45847</v>
      </c>
      <c r="Q1797" s="87" t="n">
        <v>45845</v>
      </c>
      <c r="R1797" s="5" t="n"/>
      <c r="S1797" s="2" t="n"/>
      <c r="T1797" s="3" t="n"/>
      <c r="U1797" s="87" t="n"/>
      <c r="V1797" s="3" t="n"/>
      <c r="W1797" s="108" t="n"/>
      <c r="X1797" s="4" t="n"/>
    </row>
    <row r="1798" ht="24" customHeight="1">
      <c r="A1798" s="2">
        <f>+D1798-S1798</f>
        <v/>
      </c>
      <c r="B1798" s="80" t="n">
        <v>3431</v>
      </c>
      <c r="C1798" s="66" t="n">
        <v>45852</v>
      </c>
      <c r="D1798" s="2" t="n">
        <v>1</v>
      </c>
      <c r="E1798" s="3" t="inlineStr">
        <is>
          <t>CARABINA SEMIAUTOMATICA</t>
        </is>
      </c>
      <c r="F1798" s="3" t="inlineStr">
        <is>
          <t>22 LR</t>
        </is>
      </c>
      <c r="G1798" s="3" t="inlineStr">
        <is>
          <t>WINCHESTER</t>
        </is>
      </c>
      <c r="H1798" s="65" t="inlineStr">
        <is>
          <t>WILDCAT SA, S, THR 18''</t>
        </is>
      </c>
      <c r="I1798" s="65" t="inlineStr">
        <is>
          <t>TF614-24M08854</t>
        </is>
      </c>
      <c r="J1798" s="65" t="inlineStr">
        <is>
          <t>N/D</t>
        </is>
      </c>
      <c r="K1798" s="65" t="inlineStr">
        <is>
          <t>N/D</t>
        </is>
      </c>
      <c r="L1798" s="127" t="inlineStr">
        <is>
          <t>BROWNING INTERNATIONAL SA</t>
        </is>
      </c>
      <c r="M1798" s="5" t="n">
        <v>0</v>
      </c>
      <c r="N1798" s="5" t="n"/>
      <c r="O1798" s="5">
        <f>+M1798+N1798</f>
        <v/>
      </c>
      <c r="P1798" s="4" t="n">
        <v>45847</v>
      </c>
      <c r="Q1798" s="87" t="n">
        <v>45845</v>
      </c>
      <c r="R1798" s="5" t="n"/>
      <c r="S1798" s="2" t="n"/>
      <c r="T1798" s="3" t="n"/>
      <c r="U1798" s="87" t="n"/>
      <c r="V1798" s="3" t="n"/>
      <c r="W1798" s="108" t="n"/>
      <c r="X1798" s="4" t="n"/>
    </row>
    <row r="1799" ht="24" customHeight="1">
      <c r="A1799" s="2">
        <f>+D1799-S1799</f>
        <v/>
      </c>
      <c r="B1799" s="80" t="n">
        <v>3432</v>
      </c>
      <c r="C1799" s="66" t="n">
        <v>45852</v>
      </c>
      <c r="D1799" s="2" t="n">
        <v>1</v>
      </c>
      <c r="E1799" s="3" t="inlineStr">
        <is>
          <t>CARABINA SEMIAUTOMATICA</t>
        </is>
      </c>
      <c r="F1799" s="3" t="inlineStr">
        <is>
          <t>22 LR</t>
        </is>
      </c>
      <c r="G1799" s="3" t="inlineStr">
        <is>
          <t>WINCHESTER</t>
        </is>
      </c>
      <c r="H1799" s="65" t="inlineStr">
        <is>
          <t>WILDCAT SA, S, THR 18''</t>
        </is>
      </c>
      <c r="I1799" s="65" t="inlineStr">
        <is>
          <t>TF614-24M08853</t>
        </is>
      </c>
      <c r="J1799" s="65" t="inlineStr">
        <is>
          <t>N/D</t>
        </is>
      </c>
      <c r="K1799" s="65" t="inlineStr">
        <is>
          <t>N/D</t>
        </is>
      </c>
      <c r="L1799" s="127" t="inlineStr">
        <is>
          <t>BROWNING INTERNATIONAL SA</t>
        </is>
      </c>
      <c r="M1799" s="5" t="n">
        <v>0</v>
      </c>
      <c r="N1799" s="5" t="n"/>
      <c r="O1799" s="5">
        <f>+M1799+N1799</f>
        <v/>
      </c>
      <c r="P1799" s="4" t="n">
        <v>45847</v>
      </c>
      <c r="Q1799" s="87" t="n">
        <v>45845</v>
      </c>
      <c r="R1799" s="5" t="n"/>
      <c r="S1799" s="2" t="n"/>
      <c r="T1799" s="3" t="n"/>
      <c r="U1799" s="87" t="n"/>
      <c r="V1799" s="3" t="n"/>
      <c r="W1799" s="108" t="n"/>
      <c r="X1799" s="4" t="n"/>
    </row>
    <row r="1800" ht="24" customHeight="1">
      <c r="A1800" s="2">
        <f>+D1800-S1800</f>
        <v/>
      </c>
      <c r="B1800" s="80" t="n">
        <v>3433</v>
      </c>
      <c r="C1800" s="66" t="n">
        <v>45852</v>
      </c>
      <c r="D1800" s="2" t="n">
        <v>1</v>
      </c>
      <c r="E1800" s="3" t="inlineStr">
        <is>
          <t>CARABINA SEMIAUTOMATICA</t>
        </is>
      </c>
      <c r="F1800" s="3" t="inlineStr">
        <is>
          <t>22 LR</t>
        </is>
      </c>
      <c r="G1800" s="3" t="inlineStr">
        <is>
          <t>WINCHESTER</t>
        </is>
      </c>
      <c r="H1800" s="65" t="inlineStr">
        <is>
          <t>WILDCAT SA, S, THR 18''</t>
        </is>
      </c>
      <c r="I1800" s="65" t="inlineStr">
        <is>
          <t>TF614-24M08844</t>
        </is>
      </c>
      <c r="J1800" s="65" t="inlineStr">
        <is>
          <t>N/D</t>
        </is>
      </c>
      <c r="K1800" s="65" t="inlineStr">
        <is>
          <t>N/D</t>
        </is>
      </c>
      <c r="L1800" s="127" t="inlineStr">
        <is>
          <t>BROWNING INTERNATIONAL SA</t>
        </is>
      </c>
      <c r="M1800" s="5" t="n">
        <v>0</v>
      </c>
      <c r="N1800" s="5" t="n"/>
      <c r="O1800" s="5">
        <f>+M1800+N1800</f>
        <v/>
      </c>
      <c r="P1800" s="4" t="n">
        <v>45847</v>
      </c>
      <c r="Q1800" s="87" t="n">
        <v>45845</v>
      </c>
      <c r="R1800" s="5" t="n"/>
      <c r="S1800" s="2" t="n"/>
      <c r="T1800" s="3" t="n"/>
      <c r="U1800" s="87" t="n"/>
      <c r="V1800" s="3" t="n"/>
      <c r="W1800" s="108" t="n"/>
      <c r="X1800" s="4" t="n"/>
    </row>
    <row r="1801" ht="24" customHeight="1">
      <c r="A1801" s="2">
        <f>+D1801-S1801</f>
        <v/>
      </c>
      <c r="B1801" s="80" t="n">
        <v>3434</v>
      </c>
      <c r="C1801" s="66" t="n">
        <v>45852</v>
      </c>
      <c r="D1801" s="2" t="n">
        <v>1</v>
      </c>
      <c r="E1801" s="3" t="inlineStr">
        <is>
          <t>CARABINA SEMIAUTOMATICA</t>
        </is>
      </c>
      <c r="F1801" s="3" t="inlineStr">
        <is>
          <t>22 LR</t>
        </is>
      </c>
      <c r="G1801" s="3" t="inlineStr">
        <is>
          <t>WINCHESTER</t>
        </is>
      </c>
      <c r="H1801" s="65" t="inlineStr">
        <is>
          <t>WILDCAT SA, S, THR 18''</t>
        </is>
      </c>
      <c r="I1801" s="65" t="inlineStr">
        <is>
          <t>TF614-24M08849</t>
        </is>
      </c>
      <c r="J1801" s="65" t="inlineStr">
        <is>
          <t>N/D</t>
        </is>
      </c>
      <c r="K1801" s="65" t="inlineStr">
        <is>
          <t>N/D</t>
        </is>
      </c>
      <c r="L1801" s="127" t="inlineStr">
        <is>
          <t>BROWNING INTERNATIONAL SA</t>
        </is>
      </c>
      <c r="M1801" s="5" t="n">
        <v>0</v>
      </c>
      <c r="N1801" s="5" t="n"/>
      <c r="O1801" s="5">
        <f>+M1801+N1801</f>
        <v/>
      </c>
      <c r="P1801" s="4" t="n">
        <v>45847</v>
      </c>
      <c r="Q1801" s="87" t="n">
        <v>45845</v>
      </c>
      <c r="R1801" s="5" t="n"/>
      <c r="S1801" s="2" t="n"/>
      <c r="T1801" s="3" t="n"/>
      <c r="U1801" s="87" t="n"/>
      <c r="V1801" s="3" t="n"/>
      <c r="W1801" s="108" t="n"/>
      <c r="X1801" s="4" t="n"/>
    </row>
    <row r="1802" ht="24" customHeight="1">
      <c r="A1802" s="2">
        <f>+D1802-S1802</f>
        <v/>
      </c>
      <c r="B1802" s="80" t="n">
        <v>3435</v>
      </c>
      <c r="C1802" s="66" t="n">
        <v>45852</v>
      </c>
      <c r="D1802" s="2" t="n">
        <v>1</v>
      </c>
      <c r="E1802" s="3" t="inlineStr">
        <is>
          <t>CARABINA SEMIAUTOMATICA</t>
        </is>
      </c>
      <c r="F1802" s="3" t="inlineStr">
        <is>
          <t>22 LR</t>
        </is>
      </c>
      <c r="G1802" s="3" t="inlineStr">
        <is>
          <t>WINCHESTER</t>
        </is>
      </c>
      <c r="H1802" s="65" t="inlineStr">
        <is>
          <t>WILDCAT SA, S, THR 18''</t>
        </is>
      </c>
      <c r="I1802" s="65" t="inlineStr">
        <is>
          <t>TF614-24M08863</t>
        </is>
      </c>
      <c r="J1802" s="65" t="inlineStr">
        <is>
          <t>N/D</t>
        </is>
      </c>
      <c r="K1802" s="65" t="inlineStr">
        <is>
          <t>N/D</t>
        </is>
      </c>
      <c r="L1802" s="127" t="inlineStr">
        <is>
          <t>BROWNING INTERNATIONAL SA</t>
        </is>
      </c>
      <c r="M1802" s="5" t="n">
        <v>0</v>
      </c>
      <c r="N1802" s="5" t="n"/>
      <c r="O1802" s="5">
        <f>+M1802+N1802</f>
        <v/>
      </c>
      <c r="P1802" s="4" t="n">
        <v>45847</v>
      </c>
      <c r="Q1802" s="87" t="n">
        <v>45845</v>
      </c>
      <c r="R1802" s="5" t="n"/>
      <c r="S1802" s="2" t="n"/>
      <c r="T1802" s="3" t="n"/>
      <c r="U1802" s="87" t="n"/>
      <c r="V1802" s="3" t="n"/>
      <c r="W1802" s="108" t="n"/>
      <c r="X1802" s="4" t="n"/>
    </row>
    <row r="1803" ht="24" customHeight="1">
      <c r="A1803" s="2">
        <f>+D1803-S1803</f>
        <v/>
      </c>
      <c r="B1803" s="80" t="n">
        <v>3436</v>
      </c>
      <c r="C1803" s="66" t="n">
        <v>45852</v>
      </c>
      <c r="D1803" s="2" t="n">
        <v>1</v>
      </c>
      <c r="E1803" s="3" t="inlineStr">
        <is>
          <t>CARABINA SEMIAUTOMATICA</t>
        </is>
      </c>
      <c r="F1803" s="3" t="inlineStr">
        <is>
          <t>22 LR</t>
        </is>
      </c>
      <c r="G1803" s="3" t="inlineStr">
        <is>
          <t>WINCHESTER</t>
        </is>
      </c>
      <c r="H1803" s="65" t="inlineStr">
        <is>
          <t>WILDCAT SA, S, THR 18''</t>
        </is>
      </c>
      <c r="I1803" s="65" t="inlineStr">
        <is>
          <t>TF614-24M08900</t>
        </is>
      </c>
      <c r="J1803" s="65" t="inlineStr">
        <is>
          <t>N/D</t>
        </is>
      </c>
      <c r="K1803" s="65" t="inlineStr">
        <is>
          <t>N/D</t>
        </is>
      </c>
      <c r="L1803" s="127" t="inlineStr">
        <is>
          <t>BROWNING INTERNATIONAL SA</t>
        </is>
      </c>
      <c r="M1803" s="5" t="n">
        <v>0</v>
      </c>
      <c r="N1803" s="5" t="n"/>
      <c r="O1803" s="5">
        <f>+M1803+N1803</f>
        <v/>
      </c>
      <c r="P1803" s="4" t="n">
        <v>45847</v>
      </c>
      <c r="Q1803" s="87" t="n">
        <v>45845</v>
      </c>
      <c r="R1803" s="5" t="n"/>
      <c r="S1803" s="2" t="n"/>
      <c r="T1803" s="3" t="n"/>
      <c r="U1803" s="87" t="n"/>
      <c r="V1803" s="3" t="n"/>
      <c r="W1803" s="108" t="n"/>
      <c r="X1803" s="4" t="n"/>
    </row>
    <row r="1804" ht="24" customHeight="1">
      <c r="A1804" s="2">
        <f>+D1804-S1804</f>
        <v/>
      </c>
      <c r="B1804" s="80" t="n">
        <v>3437</v>
      </c>
      <c r="C1804" s="66" t="n">
        <v>45852</v>
      </c>
      <c r="D1804" s="2" t="n">
        <v>1</v>
      </c>
      <c r="E1804" s="3" t="inlineStr">
        <is>
          <t>CARABINA SEMIAUTOMATICA</t>
        </is>
      </c>
      <c r="F1804" s="3" t="inlineStr">
        <is>
          <t>22 LR</t>
        </is>
      </c>
      <c r="G1804" s="3" t="inlineStr">
        <is>
          <t>WINCHESTER</t>
        </is>
      </c>
      <c r="H1804" s="65" t="inlineStr">
        <is>
          <t>WILDCAT SA, S, THR 18''</t>
        </is>
      </c>
      <c r="I1804" s="65" t="inlineStr">
        <is>
          <t>TF614-24M08859</t>
        </is>
      </c>
      <c r="J1804" s="65" t="inlineStr">
        <is>
          <t>N/D</t>
        </is>
      </c>
      <c r="K1804" s="65" t="inlineStr">
        <is>
          <t>N/D</t>
        </is>
      </c>
      <c r="L1804" s="127" t="inlineStr">
        <is>
          <t>BROWNING INTERNATIONAL SA</t>
        </is>
      </c>
      <c r="M1804" s="5" t="n">
        <v>0</v>
      </c>
      <c r="N1804" s="5" t="n"/>
      <c r="O1804" s="5">
        <f>+M1804+N1804</f>
        <v/>
      </c>
      <c r="P1804" s="4" t="n">
        <v>45847</v>
      </c>
      <c r="Q1804" s="87" t="n">
        <v>45845</v>
      </c>
      <c r="R1804" s="5" t="n"/>
      <c r="S1804" s="2" t="n"/>
      <c r="T1804" s="3" t="n"/>
      <c r="U1804" s="87" t="n"/>
      <c r="V1804" s="3" t="n"/>
      <c r="W1804" s="108" t="n"/>
      <c r="X1804" s="4" t="n"/>
    </row>
    <row r="1805" ht="24" customHeight="1">
      <c r="A1805" s="2">
        <f>+D1805-S1805</f>
        <v/>
      </c>
      <c r="B1805" s="80" t="n">
        <v>3438</v>
      </c>
      <c r="C1805" s="66" t="n">
        <v>45852</v>
      </c>
      <c r="D1805" s="2" t="n">
        <v>1</v>
      </c>
      <c r="E1805" s="3" t="inlineStr">
        <is>
          <t>CARABINA SEMIAUTOMATICA</t>
        </is>
      </c>
      <c r="F1805" s="3" t="inlineStr">
        <is>
          <t>22 LR</t>
        </is>
      </c>
      <c r="G1805" s="3" t="inlineStr">
        <is>
          <t>WINCHESTER</t>
        </is>
      </c>
      <c r="H1805" s="65" t="inlineStr">
        <is>
          <t>WILDCAT SA, S, THR 18''</t>
        </is>
      </c>
      <c r="I1805" s="65" t="inlineStr">
        <is>
          <t>TF614-24M08906</t>
        </is>
      </c>
      <c r="J1805" s="65" t="inlineStr">
        <is>
          <t>N/D</t>
        </is>
      </c>
      <c r="K1805" s="65" t="inlineStr">
        <is>
          <t>N/D</t>
        </is>
      </c>
      <c r="L1805" s="127" t="inlineStr">
        <is>
          <t>BROWNING INTERNATIONAL SA</t>
        </is>
      </c>
      <c r="M1805" s="5" t="n">
        <v>0</v>
      </c>
      <c r="N1805" s="5" t="n"/>
      <c r="O1805" s="5">
        <f>+M1805+N1805</f>
        <v/>
      </c>
      <c r="P1805" s="4" t="n">
        <v>45847</v>
      </c>
      <c r="Q1805" s="87" t="n">
        <v>45845</v>
      </c>
      <c r="R1805" s="5" t="n"/>
      <c r="S1805" s="2" t="n"/>
      <c r="T1805" s="3" t="n"/>
      <c r="U1805" s="87" t="n"/>
      <c r="V1805" s="3" t="n"/>
      <c r="W1805" s="108" t="n"/>
      <c r="X1805" s="4" t="n"/>
    </row>
    <row r="1806" ht="24" customHeight="1">
      <c r="A1806" s="2">
        <f>+D1806-S1806</f>
        <v/>
      </c>
      <c r="B1806" s="80" t="n">
        <v>3439</v>
      </c>
      <c r="C1806" s="66" t="n">
        <v>45852</v>
      </c>
      <c r="D1806" s="2" t="n">
        <v>1</v>
      </c>
      <c r="E1806" s="3" t="inlineStr">
        <is>
          <t>CARABINA SEMIAUTOMATICA</t>
        </is>
      </c>
      <c r="F1806" s="3" t="inlineStr">
        <is>
          <t>22 LR</t>
        </is>
      </c>
      <c r="G1806" s="3" t="inlineStr">
        <is>
          <t>WINCHESTER</t>
        </is>
      </c>
      <c r="H1806" s="65" t="inlineStr">
        <is>
          <t>WILDCAT SA, S, THR 18''</t>
        </is>
      </c>
      <c r="I1806" s="65" t="inlineStr">
        <is>
          <t>TF614-24M08901</t>
        </is>
      </c>
      <c r="J1806" s="65" t="inlineStr">
        <is>
          <t>N/D</t>
        </is>
      </c>
      <c r="K1806" s="65" t="inlineStr">
        <is>
          <t>N/D</t>
        </is>
      </c>
      <c r="L1806" s="127" t="inlineStr">
        <is>
          <t>BROWNING INTERNATIONAL SA</t>
        </is>
      </c>
      <c r="M1806" s="5" t="n">
        <v>0</v>
      </c>
      <c r="N1806" s="5" t="n"/>
      <c r="O1806" s="5">
        <f>+M1806+N1806</f>
        <v/>
      </c>
      <c r="P1806" s="4" t="n">
        <v>45847</v>
      </c>
      <c r="Q1806" s="87" t="n">
        <v>45845</v>
      </c>
      <c r="R1806" s="5" t="n"/>
      <c r="S1806" s="2" t="n"/>
      <c r="T1806" s="3" t="n"/>
      <c r="U1806" s="87" t="n"/>
      <c r="V1806" s="3" t="n"/>
      <c r="W1806" s="108" t="n"/>
      <c r="X1806" s="4" t="n"/>
    </row>
    <row r="1807" ht="24" customHeight="1">
      <c r="A1807" s="2">
        <f>+D1807-S1807</f>
        <v/>
      </c>
      <c r="B1807" s="80" t="n">
        <v>3440</v>
      </c>
      <c r="C1807" s="66" t="n">
        <v>45852</v>
      </c>
      <c r="D1807" s="2" t="n">
        <v>1</v>
      </c>
      <c r="E1807" s="3" t="inlineStr">
        <is>
          <t>CARABINA SEMIAUTOMATICA</t>
        </is>
      </c>
      <c r="F1807" s="3" t="inlineStr">
        <is>
          <t>22 LR</t>
        </is>
      </c>
      <c r="G1807" s="3" t="inlineStr">
        <is>
          <t>WINCHESTER</t>
        </is>
      </c>
      <c r="H1807" s="65" t="inlineStr">
        <is>
          <t>WILDCAT SA, S, THR 18''</t>
        </is>
      </c>
      <c r="I1807" s="65" t="inlineStr">
        <is>
          <t>TF614-24M08904</t>
        </is>
      </c>
      <c r="J1807" s="65" t="inlineStr">
        <is>
          <t>N/D</t>
        </is>
      </c>
      <c r="K1807" s="65" t="inlineStr">
        <is>
          <t>N/D</t>
        </is>
      </c>
      <c r="L1807" s="127" t="inlineStr">
        <is>
          <t>BROWNING INTERNATIONAL SA</t>
        </is>
      </c>
      <c r="M1807" s="5" t="n">
        <v>0</v>
      </c>
      <c r="N1807" s="5" t="n"/>
      <c r="O1807" s="5">
        <f>+M1807+N1807</f>
        <v/>
      </c>
      <c r="P1807" s="4" t="n">
        <v>45847</v>
      </c>
      <c r="Q1807" s="87" t="n">
        <v>45845</v>
      </c>
      <c r="R1807" s="5" t="n"/>
      <c r="S1807" s="2" t="n"/>
      <c r="T1807" s="3" t="n"/>
      <c r="U1807" s="87" t="n"/>
      <c r="V1807" s="3" t="n"/>
      <c r="W1807" s="108" t="n"/>
      <c r="X1807" s="4" t="n"/>
    </row>
    <row r="1808" ht="24" customHeight="1">
      <c r="A1808" s="2">
        <f>+D1808-S1808</f>
        <v/>
      </c>
      <c r="B1808" s="80" t="n">
        <v>3441</v>
      </c>
      <c r="C1808" s="66" t="n">
        <v>45852</v>
      </c>
      <c r="D1808" s="2" t="n">
        <v>1</v>
      </c>
      <c r="E1808" s="3" t="inlineStr">
        <is>
          <t>CARABINA SEMIAUTOMATICA</t>
        </is>
      </c>
      <c r="F1808" s="3" t="inlineStr">
        <is>
          <t>22 LR</t>
        </is>
      </c>
      <c r="G1808" s="3" t="inlineStr">
        <is>
          <t>WINCHESTER</t>
        </is>
      </c>
      <c r="H1808" s="65" t="inlineStr">
        <is>
          <t>WILDCAT SA, S, THR 18''</t>
        </is>
      </c>
      <c r="I1808" s="65" t="inlineStr">
        <is>
          <t>TF614-24M08852</t>
        </is>
      </c>
      <c r="J1808" s="65" t="inlineStr">
        <is>
          <t>N/D</t>
        </is>
      </c>
      <c r="K1808" s="65" t="inlineStr">
        <is>
          <t>N/D</t>
        </is>
      </c>
      <c r="L1808" s="127" t="inlineStr">
        <is>
          <t>BROWNING INTERNATIONAL SA</t>
        </is>
      </c>
      <c r="M1808" s="5" t="n">
        <v>0</v>
      </c>
      <c r="N1808" s="5" t="n"/>
      <c r="O1808" s="5">
        <f>+M1808+N1808</f>
        <v/>
      </c>
      <c r="P1808" s="4" t="n">
        <v>45847</v>
      </c>
      <c r="Q1808" s="87" t="n">
        <v>45845</v>
      </c>
      <c r="R1808" s="5" t="n"/>
      <c r="S1808" s="2" t="n"/>
      <c r="T1808" s="3" t="n"/>
      <c r="U1808" s="87" t="n"/>
      <c r="V1808" s="3" t="n"/>
      <c r="W1808" s="108" t="n"/>
      <c r="X1808" s="4" t="n"/>
    </row>
    <row r="1809" ht="24" customHeight="1">
      <c r="A1809" s="2">
        <f>+D1809-S1809</f>
        <v/>
      </c>
      <c r="B1809" s="80" t="n">
        <v>3442</v>
      </c>
      <c r="C1809" s="66" t="n">
        <v>45852</v>
      </c>
      <c r="D1809" s="2" t="n">
        <v>1</v>
      </c>
      <c r="E1809" s="3" t="inlineStr">
        <is>
          <t>CARABINA SEMIAUTOMATICA</t>
        </is>
      </c>
      <c r="F1809" s="3" t="inlineStr">
        <is>
          <t>22 LR</t>
        </is>
      </c>
      <c r="G1809" s="3" t="inlineStr">
        <is>
          <t>WINCHESTER</t>
        </is>
      </c>
      <c r="H1809" s="65" t="inlineStr">
        <is>
          <t>WILDCAT SA, S, THR 18''</t>
        </is>
      </c>
      <c r="I1809" s="65" t="inlineStr">
        <is>
          <t>TF614-24M08911</t>
        </is>
      </c>
      <c r="J1809" s="65" t="inlineStr">
        <is>
          <t>N/D</t>
        </is>
      </c>
      <c r="K1809" s="65" t="inlineStr">
        <is>
          <t>N/D</t>
        </is>
      </c>
      <c r="L1809" s="127" t="inlineStr">
        <is>
          <t>BROWNING INTERNATIONAL SA</t>
        </is>
      </c>
      <c r="M1809" s="5" t="n">
        <v>0</v>
      </c>
      <c r="N1809" s="5" t="n"/>
      <c r="O1809" s="5">
        <f>+M1809+N1809</f>
        <v/>
      </c>
      <c r="P1809" s="4" t="n">
        <v>45847</v>
      </c>
      <c r="Q1809" s="87" t="n">
        <v>45845</v>
      </c>
      <c r="R1809" s="5" t="n"/>
      <c r="S1809" s="2" t="n"/>
      <c r="T1809" s="3" t="n"/>
      <c r="U1809" s="87" t="n"/>
      <c r="V1809" s="3" t="n"/>
      <c r="W1809" s="108" t="n"/>
      <c r="X1809" s="4" t="n"/>
    </row>
    <row r="1810" ht="24" customHeight="1">
      <c r="A1810" s="2">
        <f>+D1810-S1810</f>
        <v/>
      </c>
      <c r="B1810" s="80" t="n">
        <v>3443</v>
      </c>
      <c r="C1810" s="66" t="n">
        <v>45852</v>
      </c>
      <c r="D1810" s="2" t="n">
        <v>1</v>
      </c>
      <c r="E1810" s="3" t="inlineStr">
        <is>
          <t>CARABINA SEMIAUTOMATICA</t>
        </is>
      </c>
      <c r="F1810" s="3" t="inlineStr">
        <is>
          <t>22 LR</t>
        </is>
      </c>
      <c r="G1810" s="3" t="inlineStr">
        <is>
          <t>WINCHESTER</t>
        </is>
      </c>
      <c r="H1810" s="65" t="inlineStr">
        <is>
          <t>WILDCAT SA, S, THR 18''</t>
        </is>
      </c>
      <c r="I1810" s="65" t="inlineStr">
        <is>
          <t>TF614-24M08891</t>
        </is>
      </c>
      <c r="J1810" s="65" t="inlineStr">
        <is>
          <t>N/D</t>
        </is>
      </c>
      <c r="K1810" s="65" t="inlineStr">
        <is>
          <t>N/D</t>
        </is>
      </c>
      <c r="L1810" s="127" t="inlineStr">
        <is>
          <t>BROWNING INTERNATIONAL SA</t>
        </is>
      </c>
      <c r="M1810" s="5" t="n">
        <v>0</v>
      </c>
      <c r="N1810" s="5" t="n"/>
      <c r="O1810" s="5">
        <f>+M1810+N1810</f>
        <v/>
      </c>
      <c r="P1810" s="4" t="n">
        <v>45847</v>
      </c>
      <c r="Q1810" s="87" t="n">
        <v>45845</v>
      </c>
      <c r="R1810" s="5" t="n"/>
      <c r="S1810" s="2" t="n"/>
      <c r="T1810" s="3" t="n"/>
      <c r="U1810" s="87" t="n"/>
      <c r="V1810" s="3" t="n"/>
      <c r="W1810" s="108" t="n"/>
      <c r="X1810" s="4" t="n"/>
    </row>
    <row r="1811" ht="24" customHeight="1">
      <c r="A1811" s="2">
        <f>+D1811-S1811</f>
        <v/>
      </c>
      <c r="B1811" s="80" t="n">
        <v>3444</v>
      </c>
      <c r="C1811" s="66" t="n">
        <v>45852</v>
      </c>
      <c r="D1811" s="2" t="n">
        <v>1</v>
      </c>
      <c r="E1811" s="3" t="inlineStr">
        <is>
          <t>CARABINA SEMIAUTOMATICA</t>
        </is>
      </c>
      <c r="F1811" s="3" t="inlineStr">
        <is>
          <t>22 LR</t>
        </is>
      </c>
      <c r="G1811" s="3" t="inlineStr">
        <is>
          <t>WINCHESTER</t>
        </is>
      </c>
      <c r="H1811" s="65" t="inlineStr">
        <is>
          <t>WILDCAT SA, S, THR 18''</t>
        </is>
      </c>
      <c r="I1811" s="65" t="inlineStr">
        <is>
          <t>TF614-24M08907</t>
        </is>
      </c>
      <c r="J1811" s="65" t="inlineStr">
        <is>
          <t>N/D</t>
        </is>
      </c>
      <c r="K1811" s="65" t="inlineStr">
        <is>
          <t>N/D</t>
        </is>
      </c>
      <c r="L1811" s="127" t="inlineStr">
        <is>
          <t>BROWNING INTERNATIONAL SA</t>
        </is>
      </c>
      <c r="M1811" s="5" t="n">
        <v>0</v>
      </c>
      <c r="N1811" s="5" t="n"/>
      <c r="O1811" s="5">
        <f>+M1811+N1811</f>
        <v/>
      </c>
      <c r="P1811" s="4" t="n">
        <v>45847</v>
      </c>
      <c r="Q1811" s="87" t="n">
        <v>45845</v>
      </c>
      <c r="R1811" s="5" t="n"/>
      <c r="S1811" s="2" t="n"/>
      <c r="T1811" s="3" t="n"/>
      <c r="U1811" s="87" t="n"/>
      <c r="V1811" s="3" t="n"/>
      <c r="W1811" s="108" t="n"/>
      <c r="X1811" s="4" t="n"/>
    </row>
    <row r="1812" ht="24" customHeight="1">
      <c r="A1812" s="2">
        <f>+D1812-S1812</f>
        <v/>
      </c>
      <c r="B1812" s="80" t="n">
        <v>3445</v>
      </c>
      <c r="C1812" s="66" t="n">
        <v>45852</v>
      </c>
      <c r="D1812" s="2" t="n">
        <v>1</v>
      </c>
      <c r="E1812" s="3" t="inlineStr">
        <is>
          <t>CARABINA SEMIAUTOMATICA</t>
        </is>
      </c>
      <c r="F1812" s="3" t="inlineStr">
        <is>
          <t>22 LR</t>
        </is>
      </c>
      <c r="G1812" s="3" t="inlineStr">
        <is>
          <t>WINCHESTER</t>
        </is>
      </c>
      <c r="H1812" s="65" t="inlineStr">
        <is>
          <t>WILDCAT SA, S, THR 18''</t>
        </is>
      </c>
      <c r="I1812" s="65" t="inlineStr">
        <is>
          <t>TF614-24M08903</t>
        </is>
      </c>
      <c r="J1812" s="65" t="inlineStr">
        <is>
          <t>N/D</t>
        </is>
      </c>
      <c r="K1812" s="65" t="inlineStr">
        <is>
          <t>N/D</t>
        </is>
      </c>
      <c r="L1812" s="127" t="inlineStr">
        <is>
          <t>BROWNING INTERNATIONAL SA</t>
        </is>
      </c>
      <c r="M1812" s="5" t="n">
        <v>0</v>
      </c>
      <c r="N1812" s="5" t="n"/>
      <c r="O1812" s="5">
        <f>+M1812+N1812</f>
        <v/>
      </c>
      <c r="P1812" s="4" t="n">
        <v>45847</v>
      </c>
      <c r="Q1812" s="87" t="n">
        <v>45845</v>
      </c>
      <c r="R1812" s="5" t="n"/>
      <c r="S1812" s="2" t="n"/>
      <c r="T1812" s="3" t="n"/>
      <c r="U1812" s="87" t="n"/>
      <c r="V1812" s="3" t="n"/>
      <c r="W1812" s="108" t="n"/>
      <c r="X1812" s="4" t="n"/>
    </row>
    <row r="1813" ht="24" customHeight="1">
      <c r="A1813" s="2">
        <f>+D1813-S1813</f>
        <v/>
      </c>
      <c r="B1813" s="80" t="n">
        <v>3446</v>
      </c>
      <c r="C1813" s="66" t="n">
        <v>45852</v>
      </c>
      <c r="D1813" s="2" t="n">
        <v>1</v>
      </c>
      <c r="E1813" s="3" t="inlineStr">
        <is>
          <t>CARABINA SEMIAUTOMATICA</t>
        </is>
      </c>
      <c r="F1813" s="3" t="inlineStr">
        <is>
          <t>22 LR</t>
        </is>
      </c>
      <c r="G1813" s="3" t="inlineStr">
        <is>
          <t>WINCHESTER</t>
        </is>
      </c>
      <c r="H1813" s="65" t="inlineStr">
        <is>
          <t>WILDCAT SA, S, THR 18''</t>
        </is>
      </c>
      <c r="I1813" s="65" t="inlineStr">
        <is>
          <t>TF614-24M08908</t>
        </is>
      </c>
      <c r="J1813" s="65" t="inlineStr">
        <is>
          <t>N/D</t>
        </is>
      </c>
      <c r="K1813" s="65" t="inlineStr">
        <is>
          <t>N/D</t>
        </is>
      </c>
      <c r="L1813" s="127" t="inlineStr">
        <is>
          <t>BROWNING INTERNATIONAL SA</t>
        </is>
      </c>
      <c r="M1813" s="5" t="n">
        <v>0</v>
      </c>
      <c r="N1813" s="5" t="n"/>
      <c r="O1813" s="5">
        <f>+M1813+N1813</f>
        <v/>
      </c>
      <c r="P1813" s="4" t="n">
        <v>45847</v>
      </c>
      <c r="Q1813" s="87" t="n">
        <v>45845</v>
      </c>
      <c r="R1813" s="5" t="n"/>
      <c r="S1813" s="2" t="n"/>
      <c r="T1813" s="3" t="n"/>
      <c r="U1813" s="87" t="n"/>
      <c r="V1813" s="3" t="n"/>
      <c r="W1813" s="108" t="n"/>
      <c r="X1813" s="4" t="n"/>
    </row>
    <row r="1814" ht="24" customHeight="1">
      <c r="A1814" s="2">
        <f>+D1814-S1814</f>
        <v/>
      </c>
      <c r="B1814" s="80" t="n">
        <v>3447</v>
      </c>
      <c r="C1814" s="66" t="n">
        <v>45852</v>
      </c>
      <c r="D1814" s="2" t="n">
        <v>1</v>
      </c>
      <c r="E1814" s="3" t="inlineStr">
        <is>
          <t>CARABINA SEMIAUTOMATICA</t>
        </is>
      </c>
      <c r="F1814" s="3" t="inlineStr">
        <is>
          <t>22 LR</t>
        </is>
      </c>
      <c r="G1814" s="3" t="inlineStr">
        <is>
          <t>WINCHESTER</t>
        </is>
      </c>
      <c r="H1814" s="65" t="inlineStr">
        <is>
          <t>WILDCAT SA, S, THR 18''</t>
        </is>
      </c>
      <c r="I1814" s="65" t="inlineStr">
        <is>
          <t>TF614-24M08902</t>
        </is>
      </c>
      <c r="J1814" s="65" t="inlineStr">
        <is>
          <t>N/D</t>
        </is>
      </c>
      <c r="K1814" s="65" t="inlineStr">
        <is>
          <t>N/D</t>
        </is>
      </c>
      <c r="L1814" s="127" t="inlineStr">
        <is>
          <t>BROWNING INTERNATIONAL SA</t>
        </is>
      </c>
      <c r="M1814" s="5" t="n">
        <v>0</v>
      </c>
      <c r="N1814" s="5" t="n"/>
      <c r="O1814" s="5">
        <f>+M1814+N1814</f>
        <v/>
      </c>
      <c r="P1814" s="4" t="n">
        <v>45847</v>
      </c>
      <c r="Q1814" s="87" t="n">
        <v>45845</v>
      </c>
      <c r="R1814" s="5" t="n"/>
      <c r="S1814" s="2" t="n"/>
      <c r="T1814" s="3" t="n"/>
      <c r="U1814" s="87" t="n"/>
      <c r="V1814" s="3" t="n"/>
      <c r="W1814" s="108" t="n"/>
      <c r="X1814" s="4" t="n"/>
    </row>
    <row r="1815" ht="24" customHeight="1">
      <c r="A1815" s="2">
        <f>+D1815-S1815</f>
        <v/>
      </c>
      <c r="B1815" s="80" t="n">
        <v>3448</v>
      </c>
      <c r="C1815" s="66" t="n">
        <v>45852</v>
      </c>
      <c r="D1815" s="2" t="n">
        <v>1</v>
      </c>
      <c r="E1815" s="3" t="inlineStr">
        <is>
          <t>CARABINA SEMIAUTOMATICA</t>
        </is>
      </c>
      <c r="F1815" s="3" t="inlineStr">
        <is>
          <t>22 LR</t>
        </is>
      </c>
      <c r="G1815" s="3" t="inlineStr">
        <is>
          <t>WINCHESTER</t>
        </is>
      </c>
      <c r="H1815" s="65" t="inlineStr">
        <is>
          <t>WILDCAT SA, S, THR 18''</t>
        </is>
      </c>
      <c r="I1815" s="65" t="inlineStr">
        <is>
          <t>TF614-24M08917</t>
        </is>
      </c>
      <c r="J1815" s="65" t="inlineStr">
        <is>
          <t>N/D</t>
        </is>
      </c>
      <c r="K1815" s="65" t="inlineStr">
        <is>
          <t>N/D</t>
        </is>
      </c>
      <c r="L1815" s="127" t="inlineStr">
        <is>
          <t>BROWNING INTERNATIONAL SA</t>
        </is>
      </c>
      <c r="M1815" s="5" t="n">
        <v>0</v>
      </c>
      <c r="N1815" s="5" t="n"/>
      <c r="O1815" s="5">
        <f>+M1815+N1815</f>
        <v/>
      </c>
      <c r="P1815" s="4" t="n">
        <v>45847</v>
      </c>
      <c r="Q1815" s="87" t="n">
        <v>45845</v>
      </c>
      <c r="R1815" s="5" t="n"/>
      <c r="S1815" s="2" t="n"/>
      <c r="T1815" s="3" t="n"/>
      <c r="U1815" s="87" t="n"/>
      <c r="V1815" s="3" t="n"/>
      <c r="W1815" s="108" t="n"/>
      <c r="X1815" s="4" t="n"/>
    </row>
    <row r="1816" ht="24" customHeight="1">
      <c r="A1816" s="2">
        <f>+D1816-S1816</f>
        <v/>
      </c>
      <c r="B1816" s="80" t="n">
        <v>3449</v>
      </c>
      <c r="C1816" s="66" t="n">
        <v>45852</v>
      </c>
      <c r="D1816" s="2" t="n">
        <v>1</v>
      </c>
      <c r="E1816" s="3" t="inlineStr">
        <is>
          <t>CARABINA SEMIAUTOMATICA</t>
        </is>
      </c>
      <c r="F1816" s="3" t="inlineStr">
        <is>
          <t>22 LR</t>
        </is>
      </c>
      <c r="G1816" s="3" t="inlineStr">
        <is>
          <t>WINCHESTER</t>
        </is>
      </c>
      <c r="H1816" s="65" t="inlineStr">
        <is>
          <t>WILDCAT SA, S, THR 18''</t>
        </is>
      </c>
      <c r="I1816" s="65" t="inlineStr">
        <is>
          <t>TF614-24M08916</t>
        </is>
      </c>
      <c r="J1816" s="65" t="inlineStr">
        <is>
          <t>N/D</t>
        </is>
      </c>
      <c r="K1816" s="65" t="inlineStr">
        <is>
          <t>N/D</t>
        </is>
      </c>
      <c r="L1816" s="127" t="inlineStr">
        <is>
          <t>BROWNING INTERNATIONAL SA</t>
        </is>
      </c>
      <c r="M1816" s="5" t="n">
        <v>0</v>
      </c>
      <c r="N1816" s="5" t="n"/>
      <c r="O1816" s="5">
        <f>+M1816+N1816</f>
        <v/>
      </c>
      <c r="P1816" s="4" t="n">
        <v>45847</v>
      </c>
      <c r="Q1816" s="87" t="n">
        <v>45845</v>
      </c>
      <c r="R1816" s="5" t="n"/>
      <c r="S1816" s="2" t="n"/>
      <c r="T1816" s="3" t="n"/>
      <c r="U1816" s="87" t="n"/>
      <c r="V1816" s="3" t="n"/>
      <c r="W1816" s="108" t="n"/>
      <c r="X1816" s="4" t="n"/>
    </row>
    <row r="1817" ht="24" customHeight="1">
      <c r="A1817" s="2">
        <f>+D1817-S1817</f>
        <v/>
      </c>
      <c r="B1817" s="80" t="n">
        <v>3450</v>
      </c>
      <c r="C1817" s="66" t="n">
        <v>45852</v>
      </c>
      <c r="D1817" s="2" t="n">
        <v>1</v>
      </c>
      <c r="E1817" s="3" t="inlineStr">
        <is>
          <t>CARABINA SEMIAUTOMATICA</t>
        </is>
      </c>
      <c r="F1817" s="3" t="inlineStr">
        <is>
          <t>22 LR</t>
        </is>
      </c>
      <c r="G1817" s="3" t="inlineStr">
        <is>
          <t>WINCHESTER</t>
        </is>
      </c>
      <c r="H1817" s="65" t="inlineStr">
        <is>
          <t>WILDCAT SA, S, THR 18''</t>
        </is>
      </c>
      <c r="I1817" s="65" t="inlineStr">
        <is>
          <t>TF614-24M08910</t>
        </is>
      </c>
      <c r="J1817" s="65" t="inlineStr">
        <is>
          <t>N/D</t>
        </is>
      </c>
      <c r="K1817" s="65" t="inlineStr">
        <is>
          <t>N/D</t>
        </is>
      </c>
      <c r="L1817" s="127" t="inlineStr">
        <is>
          <t>BROWNING INTERNATIONAL SA</t>
        </is>
      </c>
      <c r="M1817" s="5" t="n">
        <v>0</v>
      </c>
      <c r="N1817" s="5" t="n"/>
      <c r="O1817" s="5">
        <f>+M1817+N1817</f>
        <v/>
      </c>
      <c r="P1817" s="4" t="n">
        <v>45847</v>
      </c>
      <c r="Q1817" s="87" t="n">
        <v>45845</v>
      </c>
      <c r="R1817" s="5" t="n"/>
      <c r="S1817" s="2" t="n"/>
      <c r="T1817" s="3" t="n"/>
      <c r="U1817" s="87" t="n"/>
      <c r="V1817" s="3" t="n"/>
      <c r="W1817" s="108" t="n"/>
      <c r="X1817" s="4" t="n"/>
    </row>
    <row r="1818" ht="24" customHeight="1">
      <c r="A1818" s="2">
        <f>+D1818-S1818</f>
        <v/>
      </c>
      <c r="B1818" s="80" t="n">
        <v>3451</v>
      </c>
      <c r="C1818" s="66" t="n">
        <v>45852</v>
      </c>
      <c r="D1818" s="2" t="n">
        <v>1</v>
      </c>
      <c r="E1818" s="3" t="inlineStr">
        <is>
          <t>CARABINA SEMIAUTOMATICA</t>
        </is>
      </c>
      <c r="F1818" s="3" t="inlineStr">
        <is>
          <t>22 LR</t>
        </is>
      </c>
      <c r="G1818" s="3" t="inlineStr">
        <is>
          <t>WINCHESTER</t>
        </is>
      </c>
      <c r="H1818" s="65" t="inlineStr">
        <is>
          <t>WILDCAT SA, S, THR 18''</t>
        </is>
      </c>
      <c r="I1818" s="65" t="inlineStr">
        <is>
          <t>TF614-24M08909</t>
        </is>
      </c>
      <c r="J1818" s="65" t="inlineStr">
        <is>
          <t>N/D</t>
        </is>
      </c>
      <c r="K1818" s="65" t="inlineStr">
        <is>
          <t>N/D</t>
        </is>
      </c>
      <c r="L1818" s="127" t="inlineStr">
        <is>
          <t>BROWNING INTERNATIONAL SA</t>
        </is>
      </c>
      <c r="M1818" s="5" t="n">
        <v>0</v>
      </c>
      <c r="N1818" s="5" t="n"/>
      <c r="O1818" s="5">
        <f>+M1818+N1818</f>
        <v/>
      </c>
      <c r="P1818" s="4" t="n">
        <v>45847</v>
      </c>
      <c r="Q1818" s="87" t="n">
        <v>45845</v>
      </c>
      <c r="R1818" s="5" t="n"/>
      <c r="S1818" s="2" t="n"/>
      <c r="T1818" s="3" t="n"/>
      <c r="U1818" s="87" t="n"/>
      <c r="V1818" s="3" t="n"/>
      <c r="W1818" s="108" t="n"/>
      <c r="X1818" s="4" t="n"/>
    </row>
    <row r="1819" ht="24" customHeight="1">
      <c r="A1819" s="2">
        <f>+D1819-S1819</f>
        <v/>
      </c>
      <c r="B1819" s="80" t="n">
        <v>3452</v>
      </c>
      <c r="C1819" s="66" t="n">
        <v>45860</v>
      </c>
      <c r="D1819" s="2" t="n">
        <v>1</v>
      </c>
      <c r="E1819" s="3" t="inlineStr">
        <is>
          <t>FUCILE SOVRAPPOSTO</t>
        </is>
      </c>
      <c r="F1819" s="3" t="inlineStr">
        <is>
          <t>12</t>
        </is>
      </c>
      <c r="G1819" s="3" t="inlineStr">
        <is>
          <t>PERAZZI</t>
        </is>
      </c>
      <c r="H1819" s="65" t="inlineStr">
        <is>
          <t>HIGH TECH</t>
        </is>
      </c>
      <c r="I1819" s="65" t="inlineStr">
        <is>
          <t>169946</t>
        </is>
      </c>
      <c r="J1819" s="65" t="inlineStr">
        <is>
          <t>N/D</t>
        </is>
      </c>
      <c r="K1819" s="65" t="inlineStr">
        <is>
          <t>N/D</t>
        </is>
      </c>
      <c r="L1819" s="127" t="inlineStr">
        <is>
          <t>ARMI PERAZZI SPA</t>
        </is>
      </c>
      <c r="M1819" s="5" t="n">
        <v>9050</v>
      </c>
      <c r="N1819" s="5" t="n"/>
      <c r="O1819" s="5">
        <f>+M1819+N1819</f>
        <v/>
      </c>
      <c r="P1819" s="4" t="n">
        <v>45855</v>
      </c>
      <c r="Q1819" s="87" t="n">
        <v>45855</v>
      </c>
      <c r="R1819" s="5" t="n">
        <v>10210</v>
      </c>
      <c r="S1819" s="2" t="n">
        <v>1</v>
      </c>
      <c r="T1819" s="3" t="inlineStr">
        <is>
          <t>6B/2025/2D</t>
        </is>
      </c>
      <c r="U1819" s="87" t="n">
        <v>45873</v>
      </c>
      <c r="V1819" s="3" t="inlineStr">
        <is>
          <t>21</t>
        </is>
      </c>
      <c r="W1819" s="87" t="n">
        <v>45873</v>
      </c>
      <c r="X1819" s="4" t="inlineStr">
        <is>
          <t xml:space="preserve">Bin Humaid National Trading Co </t>
        </is>
      </c>
    </row>
    <row r="1820" ht="24" customHeight="1">
      <c r="A1820" s="2">
        <f>+D1820-S1820</f>
        <v/>
      </c>
      <c r="B1820" s="80" t="n"/>
      <c r="C1820" s="66" t="n">
        <v>45860</v>
      </c>
      <c r="D1820" s="2" t="n">
        <v>1</v>
      </c>
      <c r="E1820" s="3" t="inlineStr">
        <is>
          <t>ACCESSORI</t>
        </is>
      </c>
      <c r="F1820" s="3" t="inlineStr">
        <is>
          <t>N/D</t>
        </is>
      </c>
      <c r="G1820" s="3" t="inlineStr">
        <is>
          <t>N/D</t>
        </is>
      </c>
      <c r="H1820" s="65" t="inlineStr">
        <is>
          <t>SUPPL. STROZZATORI SU DUE TUBI</t>
        </is>
      </c>
      <c r="I1820" s="65" t="inlineStr">
        <is>
          <t>N/D</t>
        </is>
      </c>
      <c r="J1820" s="65" t="inlineStr">
        <is>
          <t>N/D</t>
        </is>
      </c>
      <c r="K1820" s="65" t="inlineStr">
        <is>
          <t>N/D</t>
        </is>
      </c>
      <c r="L1820" s="127" t="inlineStr">
        <is>
          <t>ARMI PERAZZI SPA</t>
        </is>
      </c>
      <c r="M1820" s="5" t="n">
        <v>800</v>
      </c>
      <c r="N1820" s="5" t="n"/>
      <c r="O1820" s="5">
        <f>+M1820+N1820</f>
        <v/>
      </c>
      <c r="P1820" s="4" t="n">
        <v>45855</v>
      </c>
      <c r="Q1820" s="87" t="n">
        <v>45855</v>
      </c>
      <c r="R1820" s="5" t="n">
        <v>800</v>
      </c>
      <c r="S1820" s="2" t="n">
        <v>1</v>
      </c>
      <c r="T1820" s="3" t="inlineStr">
        <is>
          <t>6B/2025/2D</t>
        </is>
      </c>
      <c r="U1820" s="87" t="n">
        <v>45873</v>
      </c>
      <c r="V1820" s="3" t="inlineStr">
        <is>
          <t>21</t>
        </is>
      </c>
      <c r="W1820" s="87" t="n">
        <v>45873</v>
      </c>
      <c r="X1820" s="4" t="inlineStr">
        <is>
          <t xml:space="preserve">Bin Humaid National Trading Co </t>
        </is>
      </c>
    </row>
    <row r="1821" ht="24" customHeight="1">
      <c r="A1821" s="2">
        <f>+D1821-S1821</f>
        <v/>
      </c>
      <c r="B1821" s="80" t="n"/>
      <c r="C1821" s="66" t="n">
        <v>45860</v>
      </c>
      <c r="D1821" s="2" t="n">
        <v>1</v>
      </c>
      <c r="E1821" s="3" t="inlineStr">
        <is>
          <t>ACCESSORI</t>
        </is>
      </c>
      <c r="F1821" s="3" t="inlineStr">
        <is>
          <t>N/D</t>
        </is>
      </c>
      <c r="G1821" s="3" t="inlineStr">
        <is>
          <t>N/D</t>
        </is>
      </c>
      <c r="H1821" s="65" t="inlineStr">
        <is>
          <t>SUPPLEMENTO PER CALCIO REGOLABILE</t>
        </is>
      </c>
      <c r="I1821" s="65" t="inlineStr">
        <is>
          <t>N/D</t>
        </is>
      </c>
      <c r="J1821" s="65" t="inlineStr">
        <is>
          <t>N/D</t>
        </is>
      </c>
      <c r="K1821" s="65" t="inlineStr">
        <is>
          <t>N/D</t>
        </is>
      </c>
      <c r="L1821" s="127" t="inlineStr">
        <is>
          <t>ARMI PERAZZI SPA</t>
        </is>
      </c>
      <c r="M1821" s="5" t="n">
        <v>370</v>
      </c>
      <c r="N1821" s="5" t="n"/>
      <c r="O1821" s="5">
        <f>+M1821+N1821</f>
        <v/>
      </c>
      <c r="P1821" s="4" t="n">
        <v>45855</v>
      </c>
      <c r="Q1821" s="87" t="n">
        <v>45855</v>
      </c>
      <c r="R1821" s="5" t="n">
        <v>370</v>
      </c>
      <c r="S1821" s="2" t="n">
        <v>1</v>
      </c>
      <c r="T1821" s="3" t="inlineStr">
        <is>
          <t>6B/2025/2D</t>
        </is>
      </c>
      <c r="U1821" s="87" t="n">
        <v>45873</v>
      </c>
      <c r="V1821" s="3" t="inlineStr">
        <is>
          <t>21</t>
        </is>
      </c>
      <c r="W1821" s="87" t="n">
        <v>45873</v>
      </c>
      <c r="X1821" s="4" t="inlineStr">
        <is>
          <t xml:space="preserve">Bin Humaid National Trading Co </t>
        </is>
      </c>
    </row>
    <row r="1822" ht="24" customHeight="1">
      <c r="A1822" s="2">
        <f>+D1822-S1822</f>
        <v/>
      </c>
      <c r="B1822" s="80" t="n"/>
      <c r="C1822" s="66" t="n">
        <v>45860</v>
      </c>
      <c r="D1822" s="2" t="n">
        <v>1</v>
      </c>
      <c r="E1822" s="3" t="inlineStr">
        <is>
          <t>ACCESSORI</t>
        </is>
      </c>
      <c r="F1822" s="3" t="inlineStr">
        <is>
          <t>N/D</t>
        </is>
      </c>
      <c r="G1822" s="3" t="inlineStr">
        <is>
          <t>N/D</t>
        </is>
      </c>
      <c r="H1822" s="65" t="inlineStr">
        <is>
          <t>BATTERIA RICAMBIO STANDARD</t>
        </is>
      </c>
      <c r="I1822" s="65" t="inlineStr">
        <is>
          <t>N/D</t>
        </is>
      </c>
      <c r="J1822" s="65" t="inlineStr">
        <is>
          <t>N/D</t>
        </is>
      </c>
      <c r="K1822" s="65" t="inlineStr">
        <is>
          <t>N/D</t>
        </is>
      </c>
      <c r="L1822" s="127" t="inlineStr">
        <is>
          <t>ARMI PERAZZI SPA</t>
        </is>
      </c>
      <c r="M1822" s="5" t="n">
        <v>1120</v>
      </c>
      <c r="N1822" s="5" t="n"/>
      <c r="O1822" s="5">
        <f>+M1822+N1822</f>
        <v/>
      </c>
      <c r="P1822" s="4" t="n">
        <v>45855</v>
      </c>
      <c r="Q1822" s="87" t="n">
        <v>45855</v>
      </c>
      <c r="R1822" s="5" t="n">
        <v>1120</v>
      </c>
      <c r="S1822" s="2" t="n">
        <v>1</v>
      </c>
      <c r="T1822" s="3" t="inlineStr">
        <is>
          <t>6B/2025/2D</t>
        </is>
      </c>
      <c r="U1822" s="87" t="n">
        <v>45873</v>
      </c>
      <c r="V1822" s="3" t="inlineStr">
        <is>
          <t>21</t>
        </is>
      </c>
      <c r="W1822" s="87" t="n">
        <v>45873</v>
      </c>
      <c r="X1822" s="4" t="inlineStr">
        <is>
          <t xml:space="preserve">Bin Humaid National Trading Co </t>
        </is>
      </c>
    </row>
    <row r="1823" ht="24" customHeight="1">
      <c r="A1823" s="2">
        <f>+D1823-S1823</f>
        <v/>
      </c>
      <c r="B1823" s="80" t="n">
        <v>3453</v>
      </c>
      <c r="C1823" s="66" t="n">
        <v>45861</v>
      </c>
      <c r="D1823" s="2" t="n">
        <v>1</v>
      </c>
      <c r="E1823" s="3" t="inlineStr">
        <is>
          <t>CARABINA</t>
        </is>
      </c>
      <c r="F1823" s="3" t="inlineStr">
        <is>
          <t>308 MATCH</t>
        </is>
      </c>
      <c r="G1823" s="3" t="inlineStr">
        <is>
          <t>VICTRIX</t>
        </is>
      </c>
      <c r="H1823" s="65" t="inlineStr">
        <is>
          <t>BLACKBELT MKII 30''</t>
        </is>
      </c>
      <c r="I1823" s="65" t="inlineStr">
        <is>
          <t>VSV251167</t>
        </is>
      </c>
      <c r="J1823" s="65" t="inlineStr">
        <is>
          <t>N/D</t>
        </is>
      </c>
      <c r="K1823" s="65" t="inlineStr">
        <is>
          <t>N/D</t>
        </is>
      </c>
      <c r="L1823" s="127" t="inlineStr">
        <is>
          <t>VICTRIX SRL</t>
        </is>
      </c>
      <c r="M1823" s="5" t="n">
        <v>3932.16</v>
      </c>
      <c r="N1823" s="5" t="n"/>
      <c r="O1823" s="5">
        <f>+M1823+N1823</f>
        <v/>
      </c>
      <c r="P1823" s="108" t="n">
        <v>45855</v>
      </c>
      <c r="Q1823" s="87" t="n">
        <v>45740</v>
      </c>
      <c r="R1823" s="5" t="n">
        <v>4109</v>
      </c>
      <c r="S1823" s="2" t="n">
        <v>1</v>
      </c>
      <c r="T1823" s="3" t="inlineStr">
        <is>
          <t>CA04954OS</t>
        </is>
      </c>
      <c r="U1823" s="87" t="n">
        <v>45874</v>
      </c>
      <c r="V1823" s="3" t="inlineStr">
        <is>
          <t>26</t>
        </is>
      </c>
      <c r="W1823" s="4" t="n">
        <v>45874</v>
      </c>
      <c r="X1823" s="4" t="inlineStr">
        <is>
          <t>PHILIPPOS  CONSTANTINIDES
TRADING CO.LTD</t>
        </is>
      </c>
    </row>
    <row r="1824" ht="24" customHeight="1">
      <c r="A1824" s="2">
        <f>+D1824-S1824</f>
        <v/>
      </c>
      <c r="B1824" s="80" t="n">
        <v>3454</v>
      </c>
      <c r="C1824" s="66" t="n">
        <v>45861</v>
      </c>
      <c r="D1824" s="2" t="n">
        <v>1</v>
      </c>
      <c r="E1824" s="3" t="inlineStr">
        <is>
          <t>CARABINA</t>
        </is>
      </c>
      <c r="F1824" s="3" t="inlineStr">
        <is>
          <t>308 MATCH</t>
        </is>
      </c>
      <c r="G1824" s="3" t="inlineStr">
        <is>
          <t>VICTRIX</t>
        </is>
      </c>
      <c r="H1824" s="65" t="inlineStr">
        <is>
          <t>BLACKBELT MKII 30''</t>
        </is>
      </c>
      <c r="I1824" s="65" t="inlineStr">
        <is>
          <t>VSV251168</t>
        </is>
      </c>
      <c r="J1824" s="65" t="inlineStr">
        <is>
          <t>N/D</t>
        </is>
      </c>
      <c r="K1824" s="65" t="inlineStr">
        <is>
          <t>N/D</t>
        </is>
      </c>
      <c r="L1824" s="127" t="inlineStr">
        <is>
          <t>VICTRIX SRL</t>
        </is>
      </c>
      <c r="M1824" s="5" t="n">
        <v>3932.16</v>
      </c>
      <c r="N1824" s="5" t="n"/>
      <c r="O1824" s="5">
        <f>+M1824+N1824</f>
        <v/>
      </c>
      <c r="P1824" s="108" t="n">
        <v>45855</v>
      </c>
      <c r="Q1824" s="87" t="n">
        <v>45740</v>
      </c>
      <c r="R1824" s="5" t="n">
        <v>4109</v>
      </c>
      <c r="S1824" s="2" t="n">
        <v>1</v>
      </c>
      <c r="T1824" s="3" t="inlineStr">
        <is>
          <t>CA04954OS</t>
        </is>
      </c>
      <c r="U1824" s="87" t="n">
        <v>45874</v>
      </c>
      <c r="V1824" s="3" t="inlineStr">
        <is>
          <t>26</t>
        </is>
      </c>
      <c r="W1824" s="4" t="n">
        <v>45874</v>
      </c>
      <c r="X1824" s="4" t="inlineStr">
        <is>
          <t>PHILIPPOS  CONSTANTINIDES
TRADING CO.LTD</t>
        </is>
      </c>
    </row>
    <row r="1825" ht="24" customHeight="1">
      <c r="A1825" s="2">
        <f>+D1825-S1825</f>
        <v/>
      </c>
      <c r="B1825" s="80" t="n">
        <v>3455</v>
      </c>
      <c r="C1825" s="109" t="n">
        <v>45862</v>
      </c>
      <c r="D1825" s="106" t="n">
        <v>1</v>
      </c>
      <c r="E1825" s="3" t="inlineStr">
        <is>
          <t>PISTOLA SEMIAUTOMATICA</t>
        </is>
      </c>
      <c r="F1825" s="84" t="inlineStr">
        <is>
          <t>9x19</t>
        </is>
      </c>
      <c r="G1825" s="3" t="inlineStr">
        <is>
          <t>H&amp;K</t>
        </is>
      </c>
      <c r="H1825" s="107" t="inlineStr">
        <is>
          <t>SFP9-SF PB</t>
        </is>
      </c>
      <c r="I1825" s="107" t="inlineStr">
        <is>
          <t>218-052787</t>
        </is>
      </c>
      <c r="J1825" s="65" t="inlineStr">
        <is>
          <t>N/D</t>
        </is>
      </c>
      <c r="K1825" s="65" t="inlineStr">
        <is>
          <t>N/D</t>
        </is>
      </c>
      <c r="L1825" s="127" t="inlineStr">
        <is>
          <t>TFC SRL</t>
        </is>
      </c>
      <c r="M1825" s="28" t="n">
        <v>605</v>
      </c>
      <c r="N1825" s="28" t="n"/>
      <c r="O1825" s="28">
        <f>+M1825+N1825</f>
        <v/>
      </c>
      <c r="P1825" s="4" t="n">
        <v>45862</v>
      </c>
      <c r="Q1825" s="87" t="n">
        <v>45862</v>
      </c>
      <c r="R1825" s="5" t="n">
        <v>665.5</v>
      </c>
      <c r="S1825" s="2" t="n">
        <v>1</v>
      </c>
      <c r="T1825" s="3" t="inlineStr">
        <is>
          <t>6B/2025/5S</t>
        </is>
      </c>
      <c r="U1825" s="87" t="n">
        <v>45963</v>
      </c>
      <c r="V1825" s="3" t="inlineStr">
        <is>
          <t>32</t>
        </is>
      </c>
      <c r="W1825" s="108" t="n">
        <v>45963</v>
      </c>
      <c r="X1825" s="4" t="inlineStr">
        <is>
          <t>BIN HUMAID NATIONAL TRADING CO</t>
        </is>
      </c>
    </row>
    <row r="1826" ht="24" customHeight="1">
      <c r="A1826" s="2">
        <f>+D1826-S1826</f>
        <v/>
      </c>
      <c r="B1826" s="80" t="n">
        <v>3456</v>
      </c>
      <c r="C1826" s="109" t="n">
        <v>45862</v>
      </c>
      <c r="D1826" s="106" t="n">
        <v>1</v>
      </c>
      <c r="E1826" s="3" t="inlineStr">
        <is>
          <t>PISTOLA SEMIAUTOMATICA</t>
        </is>
      </c>
      <c r="F1826" s="84" t="inlineStr">
        <is>
          <t>9x19</t>
        </is>
      </c>
      <c r="G1826" s="3" t="inlineStr">
        <is>
          <t>H&amp;K</t>
        </is>
      </c>
      <c r="H1826" s="107" t="inlineStr">
        <is>
          <t>SFP9-SF PB</t>
        </is>
      </c>
      <c r="I1826" s="107" t="inlineStr">
        <is>
          <t>218-052784</t>
        </is>
      </c>
      <c r="J1826" s="65" t="inlineStr">
        <is>
          <t>N/D</t>
        </is>
      </c>
      <c r="K1826" s="65" t="inlineStr">
        <is>
          <t>N/D</t>
        </is>
      </c>
      <c r="L1826" s="127" t="inlineStr">
        <is>
          <t>TFC SRL</t>
        </is>
      </c>
      <c r="M1826" s="28" t="n">
        <v>605</v>
      </c>
      <c r="N1826" s="28" t="n"/>
      <c r="O1826" s="28">
        <f>+M1826+N1826</f>
        <v/>
      </c>
      <c r="P1826" s="4" t="n">
        <v>45862</v>
      </c>
      <c r="Q1826" s="87" t="n">
        <v>45862</v>
      </c>
      <c r="R1826" s="5" t="n">
        <v>665.5</v>
      </c>
      <c r="S1826" s="2" t="n">
        <v>1</v>
      </c>
      <c r="T1826" s="3" t="inlineStr">
        <is>
          <t>6B/2025/5S</t>
        </is>
      </c>
      <c r="U1826" s="87" t="n">
        <v>45963</v>
      </c>
      <c r="V1826" s="3" t="inlineStr">
        <is>
          <t>32</t>
        </is>
      </c>
      <c r="W1826" s="108" t="n">
        <v>45963</v>
      </c>
      <c r="X1826" s="4" t="inlineStr">
        <is>
          <t>BIN HUMAID NATIONAL TRADING CO</t>
        </is>
      </c>
    </row>
    <row r="1827" ht="24" customHeight="1">
      <c r="A1827" s="2">
        <f>+D1827-S1827</f>
        <v/>
      </c>
      <c r="B1827" s="80" t="n">
        <v>3457</v>
      </c>
      <c r="C1827" s="109" t="n">
        <v>45862</v>
      </c>
      <c r="D1827" s="106" t="n">
        <v>1</v>
      </c>
      <c r="E1827" s="3" t="inlineStr">
        <is>
          <t>PISTOLA SEMIAUTOMATICA</t>
        </is>
      </c>
      <c r="F1827" s="84" t="inlineStr">
        <is>
          <t>9x19</t>
        </is>
      </c>
      <c r="G1827" s="3" t="inlineStr">
        <is>
          <t>H&amp;K</t>
        </is>
      </c>
      <c r="H1827" s="107" t="inlineStr">
        <is>
          <t>SFP9-SF PB</t>
        </is>
      </c>
      <c r="I1827" s="107" t="inlineStr">
        <is>
          <t>218-052781</t>
        </is>
      </c>
      <c r="J1827" s="65" t="inlineStr">
        <is>
          <t>N/D</t>
        </is>
      </c>
      <c r="K1827" s="65" t="inlineStr">
        <is>
          <t>N/D</t>
        </is>
      </c>
      <c r="L1827" s="127" t="inlineStr">
        <is>
          <t>TFC SRL</t>
        </is>
      </c>
      <c r="M1827" s="28" t="n">
        <v>605</v>
      </c>
      <c r="N1827" s="28" t="n"/>
      <c r="O1827" s="28">
        <f>+M1827+N1827</f>
        <v/>
      </c>
      <c r="P1827" s="4" t="n">
        <v>45862</v>
      </c>
      <c r="Q1827" s="87" t="n">
        <v>45862</v>
      </c>
      <c r="R1827" s="5" t="n">
        <v>665.5</v>
      </c>
      <c r="S1827" s="2" t="n">
        <v>1</v>
      </c>
      <c r="T1827" s="3" t="inlineStr">
        <is>
          <t>6B/2025/5S</t>
        </is>
      </c>
      <c r="U1827" s="87" t="n">
        <v>45963</v>
      </c>
      <c r="V1827" s="3" t="inlineStr">
        <is>
          <t>32</t>
        </is>
      </c>
      <c r="W1827" s="108" t="n">
        <v>45963</v>
      </c>
      <c r="X1827" s="4" t="inlineStr">
        <is>
          <t>BIN HUMAID NATIONAL TRADING CO</t>
        </is>
      </c>
    </row>
    <row r="1828" ht="24" customHeight="1">
      <c r="A1828" s="2">
        <f>+D1828-S1828</f>
        <v/>
      </c>
      <c r="B1828" s="80" t="n">
        <v>3458</v>
      </c>
      <c r="C1828" s="109" t="n">
        <v>45862</v>
      </c>
      <c r="D1828" s="106" t="n">
        <v>1</v>
      </c>
      <c r="E1828" s="3" t="inlineStr">
        <is>
          <t>PISTOLA SEMIAUTOMATICA</t>
        </is>
      </c>
      <c r="F1828" s="84" t="inlineStr">
        <is>
          <t>9x19</t>
        </is>
      </c>
      <c r="G1828" s="3" t="inlineStr">
        <is>
          <t>H&amp;K</t>
        </is>
      </c>
      <c r="H1828" s="107" t="inlineStr">
        <is>
          <t>SFP9L-OR PB</t>
        </is>
      </c>
      <c r="I1828" s="107" t="inlineStr">
        <is>
          <t>239-006617</t>
        </is>
      </c>
      <c r="J1828" s="65" t="inlineStr">
        <is>
          <t>N/D</t>
        </is>
      </c>
      <c r="K1828" s="65" t="inlineStr">
        <is>
          <t>N/D</t>
        </is>
      </c>
      <c r="L1828" s="127" t="inlineStr">
        <is>
          <t>TFC SRL</t>
        </is>
      </c>
      <c r="M1828" s="28" t="n">
        <v>675</v>
      </c>
      <c r="N1828" s="28" t="n"/>
      <c r="O1828" s="28">
        <f>+M1828+N1828</f>
        <v/>
      </c>
      <c r="P1828" s="4" t="n">
        <v>45862</v>
      </c>
      <c r="Q1828" s="87" t="n">
        <v>45862</v>
      </c>
      <c r="R1828" s="5" t="n">
        <v>742.5</v>
      </c>
      <c r="S1828" s="2" t="n">
        <v>1</v>
      </c>
      <c r="T1828" s="3" t="inlineStr">
        <is>
          <t>6B/2025/5S</t>
        </is>
      </c>
      <c r="U1828" s="87" t="n">
        <v>45963</v>
      </c>
      <c r="V1828" s="3" t="inlineStr">
        <is>
          <t>32</t>
        </is>
      </c>
      <c r="W1828" s="108" t="n">
        <v>45963</v>
      </c>
      <c r="X1828" s="4" t="inlineStr">
        <is>
          <t>BIN HUMAID NATIONAL TRADING CO</t>
        </is>
      </c>
    </row>
    <row r="1829" ht="24" customHeight="1">
      <c r="A1829" s="2">
        <f>+D1829-S1829</f>
        <v/>
      </c>
      <c r="B1829" s="80" t="n">
        <v>3459</v>
      </c>
      <c r="C1829" s="109" t="n">
        <v>45862</v>
      </c>
      <c r="D1829" s="106" t="n">
        <v>1</v>
      </c>
      <c r="E1829" s="3" t="inlineStr">
        <is>
          <t>PISTOLA SEMIAUTOMATICA</t>
        </is>
      </c>
      <c r="F1829" s="84" t="inlineStr">
        <is>
          <t>9x19</t>
        </is>
      </c>
      <c r="G1829" s="3" t="inlineStr">
        <is>
          <t>H&amp;K</t>
        </is>
      </c>
      <c r="H1829" s="107" t="inlineStr">
        <is>
          <t>SFP9L-OR PB</t>
        </is>
      </c>
      <c r="I1829" s="107" t="inlineStr">
        <is>
          <t>239-006618</t>
        </is>
      </c>
      <c r="J1829" s="65" t="inlineStr">
        <is>
          <t>N/D</t>
        </is>
      </c>
      <c r="K1829" s="65" t="inlineStr">
        <is>
          <t>N/D</t>
        </is>
      </c>
      <c r="L1829" s="127" t="inlineStr">
        <is>
          <t>TFC SRL</t>
        </is>
      </c>
      <c r="M1829" s="5" t="n">
        <v>675</v>
      </c>
      <c r="N1829" s="5" t="n"/>
      <c r="O1829" s="5">
        <f>+M1829+N1829</f>
        <v/>
      </c>
      <c r="P1829" s="4" t="n">
        <v>45862</v>
      </c>
      <c r="Q1829" s="87" t="n">
        <v>45862</v>
      </c>
      <c r="R1829" s="5" t="n">
        <v>742.5</v>
      </c>
      <c r="S1829" s="2" t="n">
        <v>1</v>
      </c>
      <c r="T1829" s="3" t="inlineStr">
        <is>
          <t>6B/2025/5S</t>
        </is>
      </c>
      <c r="U1829" s="87" t="n">
        <v>45963</v>
      </c>
      <c r="V1829" s="3" t="inlineStr">
        <is>
          <t>32</t>
        </is>
      </c>
      <c r="W1829" s="108" t="n">
        <v>45963</v>
      </c>
      <c r="X1829" s="4" t="inlineStr">
        <is>
          <t>BIN HUMAID NATIONAL TRADING CO</t>
        </is>
      </c>
    </row>
    <row r="1830" ht="24" customHeight="1">
      <c r="A1830" s="2">
        <f>+D1830-S1830</f>
        <v/>
      </c>
      <c r="B1830" s="80" t="n">
        <v>3460</v>
      </c>
      <c r="C1830" s="109" t="n">
        <v>45862</v>
      </c>
      <c r="D1830" s="106" t="n">
        <v>1</v>
      </c>
      <c r="E1830" s="3" t="inlineStr">
        <is>
          <t>PISTOLA SEMIAUTOMATICA</t>
        </is>
      </c>
      <c r="F1830" s="84" t="inlineStr">
        <is>
          <t>9x19</t>
        </is>
      </c>
      <c r="G1830" s="3" t="inlineStr">
        <is>
          <t>H&amp;K</t>
        </is>
      </c>
      <c r="H1830" s="107" t="inlineStr">
        <is>
          <t>SFP9L-OR PB</t>
        </is>
      </c>
      <c r="I1830" s="107" t="inlineStr">
        <is>
          <t>239-006619</t>
        </is>
      </c>
      <c r="J1830" s="65" t="inlineStr">
        <is>
          <t>N/D</t>
        </is>
      </c>
      <c r="K1830" s="65" t="inlineStr">
        <is>
          <t>N/D</t>
        </is>
      </c>
      <c r="L1830" s="127" t="inlineStr">
        <is>
          <t>TFC SRL</t>
        </is>
      </c>
      <c r="M1830" s="5" t="n">
        <v>675</v>
      </c>
      <c r="N1830" s="5" t="n"/>
      <c r="O1830" s="5">
        <f>+M1830+N1830</f>
        <v/>
      </c>
      <c r="P1830" s="4" t="n">
        <v>45862</v>
      </c>
      <c r="Q1830" s="87" t="n">
        <v>45862</v>
      </c>
      <c r="R1830" s="5" t="n">
        <v>742.5</v>
      </c>
      <c r="S1830" s="2" t="n">
        <v>1</v>
      </c>
      <c r="T1830" s="3" t="inlineStr">
        <is>
          <t>6B/2025/5S</t>
        </is>
      </c>
      <c r="U1830" s="87" t="n">
        <v>45963</v>
      </c>
      <c r="V1830" s="3" t="inlineStr">
        <is>
          <t>32</t>
        </is>
      </c>
      <c r="W1830" s="108" t="n">
        <v>45963</v>
      </c>
      <c r="X1830" s="4" t="inlineStr">
        <is>
          <t>BIN HUMAID NATIONAL TRADING CO</t>
        </is>
      </c>
    </row>
    <row r="1831" ht="24" customHeight="1">
      <c r="A1831" s="2">
        <f>+D1831-S1831</f>
        <v/>
      </c>
      <c r="B1831" s="80" t="n">
        <v>3461</v>
      </c>
      <c r="C1831" s="109" t="n">
        <v>45862</v>
      </c>
      <c r="D1831" s="106" t="n">
        <v>1</v>
      </c>
      <c r="E1831" s="3" t="inlineStr">
        <is>
          <t>PISTOLA SEMIAUTOMATICA</t>
        </is>
      </c>
      <c r="F1831" s="84" t="inlineStr">
        <is>
          <t>9x19</t>
        </is>
      </c>
      <c r="G1831" s="3" t="inlineStr">
        <is>
          <t>H&amp;K</t>
        </is>
      </c>
      <c r="H1831" s="107" t="inlineStr">
        <is>
          <t>SFP9L-OR PB</t>
        </is>
      </c>
      <c r="I1831" s="107" t="inlineStr">
        <is>
          <t>239-006615</t>
        </is>
      </c>
      <c r="J1831" s="65" t="inlineStr">
        <is>
          <t>N/D</t>
        </is>
      </c>
      <c r="K1831" s="65" t="inlineStr">
        <is>
          <t>N/D</t>
        </is>
      </c>
      <c r="L1831" s="127" t="inlineStr">
        <is>
          <t>TFC SRL</t>
        </is>
      </c>
      <c r="M1831" s="5" t="n">
        <v>675</v>
      </c>
      <c r="N1831" s="5" t="n"/>
      <c r="O1831" s="5">
        <f>+M1831+N1831</f>
        <v/>
      </c>
      <c r="P1831" s="4" t="n">
        <v>45862</v>
      </c>
      <c r="Q1831" s="87" t="n">
        <v>45862</v>
      </c>
      <c r="R1831" s="5" t="n">
        <v>742.5</v>
      </c>
      <c r="S1831" s="2" t="n">
        <v>1</v>
      </c>
      <c r="T1831" s="3" t="inlineStr">
        <is>
          <t>6B/2025/5S</t>
        </is>
      </c>
      <c r="U1831" s="87" t="n">
        <v>45963</v>
      </c>
      <c r="V1831" s="3" t="inlineStr">
        <is>
          <t>32</t>
        </is>
      </c>
      <c r="W1831" s="108" t="n">
        <v>45963</v>
      </c>
      <c r="X1831" s="4" t="inlineStr">
        <is>
          <t>BIN HUMAID NATIONAL TRADING CO</t>
        </is>
      </c>
    </row>
    <row r="1832" ht="24" customHeight="1">
      <c r="A1832" s="2">
        <f>+D1832-S1832</f>
        <v/>
      </c>
      <c r="B1832" s="80" t="n">
        <v>3462</v>
      </c>
      <c r="C1832" s="109" t="n">
        <v>45862</v>
      </c>
      <c r="D1832" s="106" t="n">
        <v>1</v>
      </c>
      <c r="E1832" s="3" t="inlineStr">
        <is>
          <t>PISTOLA SEMIAUTOMATICA</t>
        </is>
      </c>
      <c r="F1832" s="84" t="inlineStr">
        <is>
          <t>9x19</t>
        </is>
      </c>
      <c r="G1832" s="3" t="inlineStr">
        <is>
          <t>H&amp;K</t>
        </is>
      </c>
      <c r="H1832" s="107" t="inlineStr">
        <is>
          <t>SFP9L-OR PB</t>
        </is>
      </c>
      <c r="I1832" s="107" t="inlineStr">
        <is>
          <t>239-006614</t>
        </is>
      </c>
      <c r="J1832" s="65" t="inlineStr">
        <is>
          <t>N/D</t>
        </is>
      </c>
      <c r="K1832" s="65" t="inlineStr">
        <is>
          <t>N/D</t>
        </is>
      </c>
      <c r="L1832" s="127" t="inlineStr">
        <is>
          <t>TFC SRL</t>
        </is>
      </c>
      <c r="M1832" s="5" t="n">
        <v>675</v>
      </c>
      <c r="N1832" s="5" t="n"/>
      <c r="O1832" s="5">
        <f>+M1832+N1832</f>
        <v/>
      </c>
      <c r="P1832" s="4" t="n">
        <v>45862</v>
      </c>
      <c r="Q1832" s="87" t="n">
        <v>45862</v>
      </c>
      <c r="R1832" s="5" t="n">
        <v>742.5</v>
      </c>
      <c r="S1832" s="2" t="n">
        <v>1</v>
      </c>
      <c r="T1832" s="3" t="inlineStr">
        <is>
          <t>6B/2025/5S</t>
        </is>
      </c>
      <c r="U1832" s="87" t="n">
        <v>45963</v>
      </c>
      <c r="V1832" s="3" t="inlineStr">
        <is>
          <t>32</t>
        </is>
      </c>
      <c r="W1832" s="108" t="n">
        <v>45963</v>
      </c>
      <c r="X1832" s="4" t="inlineStr">
        <is>
          <t>BIN HUMAID NATIONAL TRADING CO</t>
        </is>
      </c>
    </row>
    <row r="1833" ht="24" customHeight="1">
      <c r="A1833" s="2">
        <f>+D1833-S1833</f>
        <v/>
      </c>
      <c r="B1833" s="80" t="n">
        <v>3463</v>
      </c>
      <c r="C1833" s="109" t="n">
        <v>45862</v>
      </c>
      <c r="D1833" s="106" t="n">
        <v>1</v>
      </c>
      <c r="E1833" s="3" t="inlineStr">
        <is>
          <t>CARABINA SEMIAUTOMATICA</t>
        </is>
      </c>
      <c r="F1833" s="3" t="inlineStr">
        <is>
          <t>308WIN</t>
        </is>
      </c>
      <c r="G1833" s="3" t="inlineStr">
        <is>
          <t>H&amp;K</t>
        </is>
      </c>
      <c r="H1833" s="65" t="inlineStr">
        <is>
          <t>MR308 16.5''</t>
        </is>
      </c>
      <c r="I1833" s="65" t="inlineStr">
        <is>
          <t>144-016703</t>
        </is>
      </c>
      <c r="J1833" s="65" t="inlineStr">
        <is>
          <t>N/D</t>
        </is>
      </c>
      <c r="K1833" s="65" t="inlineStr">
        <is>
          <t>N/D</t>
        </is>
      </c>
      <c r="L1833" s="127" t="inlineStr">
        <is>
          <t>TFC SRL</t>
        </is>
      </c>
      <c r="M1833" s="5" t="n">
        <v>2567</v>
      </c>
      <c r="N1833" s="5" t="n"/>
      <c r="O1833" s="5">
        <f>+M1833+N1833</f>
        <v/>
      </c>
      <c r="P1833" s="4" t="n">
        <v>45862</v>
      </c>
      <c r="Q1833" s="87" t="n">
        <v>45862</v>
      </c>
      <c r="R1833" s="5" t="n">
        <v>2700</v>
      </c>
      <c r="S1833" s="2" t="n">
        <v>1</v>
      </c>
      <c r="T1833" s="3" t="inlineStr">
        <is>
          <t>CA04954OS</t>
        </is>
      </c>
      <c r="U1833" s="87" t="n">
        <v>45874</v>
      </c>
      <c r="V1833" s="3" t="inlineStr">
        <is>
          <t>26</t>
        </is>
      </c>
      <c r="W1833" s="4" t="n">
        <v>45874</v>
      </c>
      <c r="X1833" s="4" t="inlineStr">
        <is>
          <t>PHILIPPOS  CONSTANTINIDES
TRADING CO.LTD</t>
        </is>
      </c>
    </row>
    <row r="1834" ht="24" customHeight="1">
      <c r="A1834" s="2">
        <f>+D1834-S1834</f>
        <v/>
      </c>
      <c r="B1834" s="80" t="n">
        <v>3464</v>
      </c>
      <c r="C1834" s="109" t="n">
        <v>45862</v>
      </c>
      <c r="D1834" s="106" t="n">
        <v>1</v>
      </c>
      <c r="E1834" s="3" t="inlineStr">
        <is>
          <t>CARABINA SEMIAUTOMATICA</t>
        </is>
      </c>
      <c r="F1834" s="3" t="inlineStr">
        <is>
          <t>45ACP</t>
        </is>
      </c>
      <c r="G1834" s="3" t="inlineStr">
        <is>
          <t>H&amp;K</t>
        </is>
      </c>
      <c r="H1834" s="65" t="inlineStr">
        <is>
          <t>USC 16.5''</t>
        </is>
      </c>
      <c r="I1834" s="65" t="inlineStr">
        <is>
          <t>47-025453</t>
        </is>
      </c>
      <c r="J1834" s="65" t="inlineStr">
        <is>
          <t>N/D</t>
        </is>
      </c>
      <c r="K1834" s="65" t="inlineStr">
        <is>
          <t>N/D</t>
        </is>
      </c>
      <c r="L1834" s="127" t="inlineStr">
        <is>
          <t>TFC SRL</t>
        </is>
      </c>
      <c r="M1834" s="5" t="n">
        <v>1195</v>
      </c>
      <c r="N1834" s="5" t="n"/>
      <c r="O1834" s="5">
        <f>+M1834+N1834</f>
        <v/>
      </c>
      <c r="P1834" s="4" t="n">
        <v>45862</v>
      </c>
      <c r="Q1834" s="87" t="n">
        <v>45862</v>
      </c>
      <c r="R1834" s="5" t="n">
        <v>1255</v>
      </c>
      <c r="S1834" s="2" t="n">
        <v>1</v>
      </c>
      <c r="T1834" s="3" t="inlineStr">
        <is>
          <t>CA04954OS</t>
        </is>
      </c>
      <c r="U1834" s="87" t="n">
        <v>45874</v>
      </c>
      <c r="V1834" s="3" t="inlineStr">
        <is>
          <t>26</t>
        </is>
      </c>
      <c r="W1834" s="4" t="n">
        <v>45874</v>
      </c>
      <c r="X1834" s="4" t="inlineStr">
        <is>
          <t>PHILIPPOS  CONSTANTINIDES
TRADING CO.LTD</t>
        </is>
      </c>
    </row>
    <row r="1835" ht="24" customHeight="1">
      <c r="A1835" s="2">
        <f>+D1835-S1835</f>
        <v/>
      </c>
      <c r="B1835" s="80" t="n">
        <v>3465</v>
      </c>
      <c r="C1835" s="109" t="n">
        <v>45862</v>
      </c>
      <c r="D1835" s="106" t="n">
        <v>1</v>
      </c>
      <c r="E1835" s="3" t="inlineStr">
        <is>
          <t>PISTOLA SEMIAUTOMATICA</t>
        </is>
      </c>
      <c r="F1835" s="3" t="inlineStr">
        <is>
          <t>9</t>
        </is>
      </c>
      <c r="G1835" s="3" t="inlineStr">
        <is>
          <t>H&amp;K</t>
        </is>
      </c>
      <c r="H1835" s="65" t="inlineStr">
        <is>
          <t xml:space="preserve">USP ELITE </t>
        </is>
      </c>
      <c r="I1835" s="65" t="inlineStr">
        <is>
          <t>24-194403</t>
        </is>
      </c>
      <c r="J1835" s="65" t="inlineStr">
        <is>
          <t>N/D</t>
        </is>
      </c>
      <c r="K1835" s="65" t="inlineStr">
        <is>
          <t>N/D</t>
        </is>
      </c>
      <c r="L1835" s="127" t="inlineStr">
        <is>
          <t>TFC SRL</t>
        </is>
      </c>
      <c r="M1835" s="5" t="n">
        <v>1115</v>
      </c>
      <c r="N1835" s="5" t="n"/>
      <c r="O1835" s="5">
        <f>+M1835+N1835</f>
        <v/>
      </c>
      <c r="P1835" s="4" t="n">
        <v>45862</v>
      </c>
      <c r="Q1835" s="87" t="n">
        <v>45862</v>
      </c>
      <c r="R1835" s="5" t="n">
        <v>1226.5</v>
      </c>
      <c r="S1835" s="2" t="n">
        <v>1</v>
      </c>
      <c r="T1835" s="3" t="inlineStr">
        <is>
          <t>6B/2025/5S</t>
        </is>
      </c>
      <c r="U1835" s="87" t="n">
        <v>45963</v>
      </c>
      <c r="V1835" s="3" t="inlineStr">
        <is>
          <t>32</t>
        </is>
      </c>
      <c r="W1835" s="108" t="n">
        <v>45963</v>
      </c>
      <c r="X1835" s="4" t="inlineStr">
        <is>
          <t>BIN HUMAID NATIONAL TRADING CO</t>
        </is>
      </c>
    </row>
    <row r="1836" ht="24" customHeight="1">
      <c r="A1836" s="2">
        <f>+D1836-S1836</f>
        <v/>
      </c>
      <c r="B1836" s="80" t="n">
        <v>3466</v>
      </c>
      <c r="C1836" s="109" t="n">
        <v>45862</v>
      </c>
      <c r="D1836" s="106" t="n">
        <v>1</v>
      </c>
      <c r="E1836" s="3" t="inlineStr">
        <is>
          <t>PISTOLA SEMIAUTOMATICA</t>
        </is>
      </c>
      <c r="F1836" s="3" t="inlineStr">
        <is>
          <t>9</t>
        </is>
      </c>
      <c r="G1836" s="3" t="inlineStr">
        <is>
          <t>H&amp;K</t>
        </is>
      </c>
      <c r="H1836" s="65" t="inlineStr">
        <is>
          <t xml:space="preserve">USP ELITE </t>
        </is>
      </c>
      <c r="I1836" s="65" t="inlineStr">
        <is>
          <t>24-194404</t>
        </is>
      </c>
      <c r="J1836" s="65" t="inlineStr">
        <is>
          <t>N/D</t>
        </is>
      </c>
      <c r="K1836" s="65" t="inlineStr">
        <is>
          <t>N/D</t>
        </is>
      </c>
      <c r="L1836" s="127" t="inlineStr">
        <is>
          <t>TFC SRL</t>
        </is>
      </c>
      <c r="M1836" s="5" t="n">
        <v>1115</v>
      </c>
      <c r="N1836" s="5" t="n"/>
      <c r="O1836" s="5">
        <f>+M1836+N1836</f>
        <v/>
      </c>
      <c r="P1836" s="4" t="n">
        <v>45862</v>
      </c>
      <c r="Q1836" s="87" t="n">
        <v>45862</v>
      </c>
      <c r="R1836" s="5" t="n">
        <v>1226.5</v>
      </c>
      <c r="S1836" s="2" t="n">
        <v>1</v>
      </c>
      <c r="T1836" s="3" t="inlineStr">
        <is>
          <t>6B/2025/5S</t>
        </is>
      </c>
      <c r="U1836" s="87" t="n">
        <v>45963</v>
      </c>
      <c r="V1836" s="3" t="inlineStr">
        <is>
          <t>32</t>
        </is>
      </c>
      <c r="W1836" s="108" t="n">
        <v>45963</v>
      </c>
      <c r="X1836" s="4" t="inlineStr">
        <is>
          <t>BIN HUMAID NATIONAL TRADING CO</t>
        </is>
      </c>
    </row>
    <row r="1837" ht="24" customHeight="1">
      <c r="A1837" s="2">
        <f>+D1837-S1837</f>
        <v/>
      </c>
      <c r="B1837" s="80" t="n"/>
      <c r="C1837" s="66" t="n">
        <v>45862</v>
      </c>
      <c r="D1837" s="2" t="n">
        <v>33</v>
      </c>
      <c r="E1837" s="3" t="inlineStr">
        <is>
          <t>ACCESSORI</t>
        </is>
      </c>
      <c r="F1837" s="3" t="inlineStr">
        <is>
          <t>223 REM</t>
        </is>
      </c>
      <c r="G1837" s="3" t="inlineStr">
        <is>
          <t>H&amp;K</t>
        </is>
      </c>
      <c r="H1837" s="65" t="inlineStr">
        <is>
          <t>CARICATORE METAL 30 COLPI</t>
        </is>
      </c>
      <c r="I1837" s="65" t="inlineStr">
        <is>
          <t>N/D</t>
        </is>
      </c>
      <c r="J1837" s="65" t="inlineStr">
        <is>
          <t>N/D</t>
        </is>
      </c>
      <c r="K1837" s="65" t="inlineStr">
        <is>
          <t>N/D</t>
        </is>
      </c>
      <c r="L1837" s="127" t="inlineStr">
        <is>
          <t>TFC SRL</t>
        </is>
      </c>
      <c r="M1837" s="5" t="n">
        <v>1597.2</v>
      </c>
      <c r="N1837" s="5" t="n"/>
      <c r="O1837" s="5">
        <f>+M1837+N1837</f>
        <v/>
      </c>
      <c r="P1837" s="4" t="n">
        <v>45862</v>
      </c>
      <c r="Q1837" s="87" t="n">
        <v>45862</v>
      </c>
      <c r="R1837" s="5" t="n">
        <v>1732.5</v>
      </c>
      <c r="S1837" s="2" t="n">
        <v>1</v>
      </c>
      <c r="T1837" s="3" t="inlineStr">
        <is>
          <t>CA04954OS</t>
        </is>
      </c>
      <c r="U1837" s="87" t="n">
        <v>45874</v>
      </c>
      <c r="V1837" s="3" t="inlineStr">
        <is>
          <t>26</t>
        </is>
      </c>
      <c r="W1837" s="4" t="n">
        <v>45874</v>
      </c>
      <c r="X1837" s="4" t="inlineStr">
        <is>
          <t>PHILIPPOS  CONSTANTINIDES
TRADING CO.LTD</t>
        </is>
      </c>
    </row>
    <row r="1838" ht="24" customHeight="1">
      <c r="A1838" s="2">
        <f>+D1838-S1838</f>
        <v/>
      </c>
      <c r="B1838" s="80" t="n"/>
      <c r="C1838" s="66" t="n">
        <v>45862</v>
      </c>
      <c r="D1838" s="2" t="n">
        <v>36</v>
      </c>
      <c r="E1838" s="3" t="inlineStr">
        <is>
          <t>ACCESSORI</t>
        </is>
      </c>
      <c r="F1838" s="3" t="inlineStr">
        <is>
          <t>308 WIN</t>
        </is>
      </c>
      <c r="G1838" s="3" t="inlineStr">
        <is>
          <t>H&amp;K</t>
        </is>
      </c>
      <c r="H1838" s="65" t="inlineStr">
        <is>
          <t xml:space="preserve">CARICATORE MR308 20 COLPI </t>
        </is>
      </c>
      <c r="I1838" s="65" t="inlineStr">
        <is>
          <t>N/D</t>
        </is>
      </c>
      <c r="J1838" s="65" t="inlineStr">
        <is>
          <t>N/D</t>
        </is>
      </c>
      <c r="K1838" s="65" t="inlineStr">
        <is>
          <t>N/D</t>
        </is>
      </c>
      <c r="L1838" s="127" t="inlineStr">
        <is>
          <t>TFC SRL</t>
        </is>
      </c>
      <c r="M1838" s="5" t="n">
        <v>2340</v>
      </c>
      <c r="N1838" s="5" t="n"/>
      <c r="O1838" s="5">
        <f>+M1838+N1838</f>
        <v/>
      </c>
      <c r="P1838" s="4" t="n">
        <v>45862</v>
      </c>
      <c r="Q1838" s="87" t="n">
        <v>45862</v>
      </c>
      <c r="R1838" s="5" t="n">
        <v>2325.6</v>
      </c>
      <c r="S1838" s="2" t="n">
        <v>1</v>
      </c>
      <c r="T1838" s="3" t="inlineStr">
        <is>
          <t>CA04954OS</t>
        </is>
      </c>
      <c r="U1838" s="87" t="n">
        <v>45874</v>
      </c>
      <c r="V1838" s="3" t="inlineStr">
        <is>
          <t>26</t>
        </is>
      </c>
      <c r="W1838" s="4" t="n">
        <v>45874</v>
      </c>
      <c r="X1838" s="4" t="inlineStr">
        <is>
          <t>PHILIPPOS  CONSTANTINIDES
TRADING CO.LTD</t>
        </is>
      </c>
    </row>
    <row r="1839" ht="24" customHeight="1">
      <c r="A1839" s="2">
        <f>+D1839-S1839</f>
        <v/>
      </c>
      <c r="B1839" s="80" t="n"/>
      <c r="C1839" s="66" t="n">
        <v>45862</v>
      </c>
      <c r="D1839" s="2" t="n">
        <v>1</v>
      </c>
      <c r="E1839" s="3" t="inlineStr">
        <is>
          <t>ACCESSORI</t>
        </is>
      </c>
      <c r="F1839" s="3" t="inlineStr">
        <is>
          <t>308 WIN</t>
        </is>
      </c>
      <c r="G1839" s="3" t="inlineStr">
        <is>
          <t>H&amp;K</t>
        </is>
      </c>
      <c r="H1839" s="65" t="inlineStr">
        <is>
          <t>COPRIFILETTO PER PISTOLA MOD. MARK 23</t>
        </is>
      </c>
      <c r="I1839" s="65" t="inlineStr">
        <is>
          <t>N/D</t>
        </is>
      </c>
      <c r="J1839" s="65" t="inlineStr">
        <is>
          <t>N/D</t>
        </is>
      </c>
      <c r="K1839" s="65" t="inlineStr">
        <is>
          <t>N/D</t>
        </is>
      </c>
      <c r="L1839" s="127" t="inlineStr">
        <is>
          <t>TFC SRL</t>
        </is>
      </c>
      <c r="M1839" s="5" t="n">
        <v>21</v>
      </c>
      <c r="N1839" s="5" t="n"/>
      <c r="O1839" s="5">
        <f>+M1839+N1839</f>
        <v/>
      </c>
      <c r="P1839" s="4" t="n">
        <v>45862</v>
      </c>
      <c r="Q1839" s="87" t="n">
        <v>45862</v>
      </c>
      <c r="R1839" s="5" t="n">
        <v>23</v>
      </c>
      <c r="S1839" s="2" t="n">
        <v>1</v>
      </c>
      <c r="T1839" s="3" t="inlineStr">
        <is>
          <t>CA04954OS</t>
        </is>
      </c>
      <c r="U1839" s="87" t="n">
        <v>45874</v>
      </c>
      <c r="V1839" s="3" t="inlineStr">
        <is>
          <t>26</t>
        </is>
      </c>
      <c r="W1839" s="4" t="n">
        <v>45874</v>
      </c>
      <c r="X1839" s="4" t="inlineStr">
        <is>
          <t>PHILIPPOS  CONSTANTINIDES
TRADING CO.LTD</t>
        </is>
      </c>
    </row>
    <row r="1840" ht="24" customHeight="1">
      <c r="A1840" s="2">
        <f>+D1840-S1840</f>
        <v/>
      </c>
      <c r="B1840" s="80" t="n"/>
      <c r="C1840" s="66" t="n">
        <v>45862</v>
      </c>
      <c r="D1840" s="2" t="n">
        <v>1</v>
      </c>
      <c r="E1840" s="3" t="inlineStr">
        <is>
          <t>ACCESSORI</t>
        </is>
      </c>
      <c r="F1840" s="3" t="inlineStr">
        <is>
          <t>308 WIN</t>
        </is>
      </c>
      <c r="G1840" s="3" t="inlineStr">
        <is>
          <t>H&amp;K</t>
        </is>
      </c>
      <c r="H1840" s="65" t="inlineStr">
        <is>
          <t>COPRIFILETTO PER PISTOLA MOD. USP-SD</t>
        </is>
      </c>
      <c r="I1840" s="65" t="inlineStr">
        <is>
          <t>N/D</t>
        </is>
      </c>
      <c r="J1840" s="65" t="inlineStr">
        <is>
          <t>N/D</t>
        </is>
      </c>
      <c r="K1840" s="65" t="inlineStr">
        <is>
          <t>N/D</t>
        </is>
      </c>
      <c r="L1840" s="127" t="inlineStr">
        <is>
          <t>TFC SRL</t>
        </is>
      </c>
      <c r="M1840" s="5" t="n">
        <v>21</v>
      </c>
      <c r="N1840" s="5" t="n"/>
      <c r="O1840" s="5">
        <f>+M1840+N1840</f>
        <v/>
      </c>
      <c r="P1840" s="4" t="n">
        <v>45862</v>
      </c>
      <c r="Q1840" s="87" t="n">
        <v>45862</v>
      </c>
      <c r="R1840" s="5" t="n">
        <v>23</v>
      </c>
      <c r="S1840" s="2" t="n">
        <v>1</v>
      </c>
      <c r="T1840" s="3" t="inlineStr">
        <is>
          <t>CA04954OS</t>
        </is>
      </c>
      <c r="U1840" s="87" t="n">
        <v>45874</v>
      </c>
      <c r="V1840" s="3" t="inlineStr">
        <is>
          <t>26</t>
        </is>
      </c>
      <c r="W1840" s="4" t="n">
        <v>45874</v>
      </c>
      <c r="X1840" s="4" t="inlineStr">
        <is>
          <t>PHILIPPOS  CONSTANTINIDES
TRADING CO.LTD</t>
        </is>
      </c>
    </row>
    <row r="1841" ht="24" customHeight="1">
      <c r="A1841" s="2">
        <f>+D1841-S1841</f>
        <v/>
      </c>
      <c r="B1841" s="80" t="n">
        <v>3467</v>
      </c>
      <c r="C1841" s="66" t="n">
        <v>45862</v>
      </c>
      <c r="D1841" s="2" t="n">
        <v>1</v>
      </c>
      <c r="E1841" s="3" t="inlineStr">
        <is>
          <t>CARABINA AD ARIA COMPRESSA</t>
        </is>
      </c>
      <c r="F1841" s="3" t="inlineStr">
        <is>
          <t>5.5</t>
        </is>
      </c>
      <c r="G1841" s="3" t="inlineStr">
        <is>
          <t>FX</t>
        </is>
      </c>
      <c r="H1841" s="65" t="inlineStr">
        <is>
          <t>DRS PRO</t>
        </is>
      </c>
      <c r="I1841" s="65" t="inlineStr">
        <is>
          <t>2221805</t>
        </is>
      </c>
      <c r="J1841" s="65" t="inlineStr">
        <is>
          <t>N/D</t>
        </is>
      </c>
      <c r="K1841" s="65" t="inlineStr">
        <is>
          <t>N/D</t>
        </is>
      </c>
      <c r="L1841" s="127" t="inlineStr">
        <is>
          <t>REDOLFI ARMI SRL</t>
        </is>
      </c>
      <c r="M1841" s="5" t="n">
        <v>1825</v>
      </c>
      <c r="N1841" s="5" t="n"/>
      <c r="O1841" s="5">
        <f>+M1841+N1841</f>
        <v/>
      </c>
      <c r="P1841" s="4" t="n">
        <v>45862</v>
      </c>
      <c r="Q1841" s="87" t="n">
        <v>45862</v>
      </c>
      <c r="R1841" s="5" t="n">
        <v>1861.5</v>
      </c>
      <c r="S1841" s="2" t="n">
        <v>1</v>
      </c>
      <c r="T1841" s="3" t="inlineStr">
        <is>
          <t>CA42796IR</t>
        </is>
      </c>
      <c r="U1841" s="87" t="n">
        <v>45887</v>
      </c>
      <c r="V1841" s="3" t="inlineStr">
        <is>
          <t>28</t>
        </is>
      </c>
      <c r="W1841" s="108" t="n">
        <v>45887</v>
      </c>
      <c r="X1841" s="4" t="inlineStr">
        <is>
          <t>PHILIPPOS  CONSTANTINIDES
TRADING CO.LTD</t>
        </is>
      </c>
    </row>
    <row r="1842" ht="24" customHeight="1">
      <c r="A1842" s="2">
        <f>+D1842-S1842</f>
        <v/>
      </c>
      <c r="B1842" s="80" t="n">
        <v>3468</v>
      </c>
      <c r="C1842" s="66" t="n">
        <v>45862</v>
      </c>
      <c r="D1842" s="2" t="n">
        <v>1</v>
      </c>
      <c r="E1842" s="3" t="inlineStr">
        <is>
          <t>CARABINA AD ARIA COMPRESSA</t>
        </is>
      </c>
      <c r="F1842" s="3" t="inlineStr">
        <is>
          <t>5.5</t>
        </is>
      </c>
      <c r="G1842" s="3" t="inlineStr">
        <is>
          <t>FX</t>
        </is>
      </c>
      <c r="H1842" s="65" t="inlineStr">
        <is>
          <t>DRS PRO</t>
        </is>
      </c>
      <c r="I1842" s="65" t="inlineStr">
        <is>
          <t>2221806</t>
        </is>
      </c>
      <c r="J1842" s="65" t="inlineStr">
        <is>
          <t>N/D</t>
        </is>
      </c>
      <c r="K1842" s="65" t="inlineStr">
        <is>
          <t>N/D</t>
        </is>
      </c>
      <c r="L1842" s="127" t="inlineStr">
        <is>
          <t>REDOLFI ARMI SRL</t>
        </is>
      </c>
      <c r="M1842" s="5" t="n">
        <v>1825</v>
      </c>
      <c r="N1842" s="5" t="n"/>
      <c r="O1842" s="5">
        <f>+M1842+N1842</f>
        <v/>
      </c>
      <c r="P1842" s="4" t="n">
        <v>45862</v>
      </c>
      <c r="Q1842" s="87" t="n">
        <v>45862</v>
      </c>
      <c r="R1842" s="5" t="n">
        <v>1861.5</v>
      </c>
      <c r="S1842" s="2" t="n">
        <v>1</v>
      </c>
      <c r="T1842" s="3" t="inlineStr">
        <is>
          <t>CA42796IR</t>
        </is>
      </c>
      <c r="U1842" s="87" t="n">
        <v>45887</v>
      </c>
      <c r="V1842" s="3" t="inlineStr">
        <is>
          <t>28</t>
        </is>
      </c>
      <c r="W1842" s="108" t="n">
        <v>45887</v>
      </c>
      <c r="X1842" s="4" t="inlineStr">
        <is>
          <t>PHILIPPOS  CONSTANTINIDES
TRADING CO.LTD</t>
        </is>
      </c>
    </row>
    <row r="1843" ht="24" customHeight="1">
      <c r="A1843" s="2">
        <f>+D1843-S1843</f>
        <v/>
      </c>
      <c r="B1843" s="80" t="n">
        <v>3469</v>
      </c>
      <c r="C1843" s="66" t="n">
        <v>45862</v>
      </c>
      <c r="D1843" s="2" t="n">
        <v>1</v>
      </c>
      <c r="E1843" s="3" t="inlineStr">
        <is>
          <t>CARABINA AD ARIA COMPRESSA</t>
        </is>
      </c>
      <c r="F1843" s="3" t="inlineStr">
        <is>
          <t>5.5</t>
        </is>
      </c>
      <c r="G1843" s="3" t="inlineStr">
        <is>
          <t>FX</t>
        </is>
      </c>
      <c r="H1843" s="65" t="inlineStr">
        <is>
          <t>DRS PRO</t>
        </is>
      </c>
      <c r="I1843" s="65" t="inlineStr">
        <is>
          <t>2221807</t>
        </is>
      </c>
      <c r="J1843" s="65" t="inlineStr">
        <is>
          <t>N/D</t>
        </is>
      </c>
      <c r="K1843" s="65" t="inlineStr">
        <is>
          <t>N/D</t>
        </is>
      </c>
      <c r="L1843" s="127" t="inlineStr">
        <is>
          <t>REDOLFI ARMI SRL</t>
        </is>
      </c>
      <c r="M1843" s="5" t="n">
        <v>1825</v>
      </c>
      <c r="N1843" s="5" t="n"/>
      <c r="O1843" s="5">
        <f>+M1843+N1843</f>
        <v/>
      </c>
      <c r="P1843" s="4" t="n">
        <v>45862</v>
      </c>
      <c r="Q1843" s="87" t="n">
        <v>45862</v>
      </c>
      <c r="R1843" s="5" t="n">
        <v>1861.5</v>
      </c>
      <c r="S1843" s="2" t="n">
        <v>1</v>
      </c>
      <c r="T1843" s="3" t="inlineStr">
        <is>
          <t>CA42796IR</t>
        </is>
      </c>
      <c r="U1843" s="87" t="n">
        <v>45887</v>
      </c>
      <c r="V1843" s="3" t="inlineStr">
        <is>
          <t>28</t>
        </is>
      </c>
      <c r="W1843" s="108" t="n">
        <v>45887</v>
      </c>
      <c r="X1843" s="4" t="inlineStr">
        <is>
          <t>PHILIPPOS  CONSTANTINIDES
TRADING CO.LTD</t>
        </is>
      </c>
    </row>
    <row r="1844" ht="24" customHeight="1">
      <c r="A1844" s="2">
        <f>+D1844-S1844</f>
        <v/>
      </c>
      <c r="B1844" s="80" t="n">
        <v>3470</v>
      </c>
      <c r="C1844" s="66" t="n">
        <v>45862</v>
      </c>
      <c r="D1844" s="2" t="n">
        <v>1</v>
      </c>
      <c r="E1844" s="3" t="inlineStr">
        <is>
          <t>CARABINA AD ARIA COMPRESSA</t>
        </is>
      </c>
      <c r="F1844" s="3" t="inlineStr">
        <is>
          <t>5.5</t>
        </is>
      </c>
      <c r="G1844" s="3" t="inlineStr">
        <is>
          <t>FX</t>
        </is>
      </c>
      <c r="H1844" s="65" t="inlineStr">
        <is>
          <t>DRS PRO</t>
        </is>
      </c>
      <c r="I1844" s="65" t="inlineStr">
        <is>
          <t>2221808</t>
        </is>
      </c>
      <c r="J1844" s="65" t="inlineStr">
        <is>
          <t>N/D</t>
        </is>
      </c>
      <c r="K1844" s="65" t="inlineStr">
        <is>
          <t>N/D</t>
        </is>
      </c>
      <c r="L1844" s="127" t="inlineStr">
        <is>
          <t>REDOLFI ARMI SRL</t>
        </is>
      </c>
      <c r="M1844" s="5" t="n">
        <v>1825</v>
      </c>
      <c r="N1844" s="5" t="n"/>
      <c r="O1844" s="5">
        <f>+M1844+N1844</f>
        <v/>
      </c>
      <c r="P1844" s="4" t="n">
        <v>45862</v>
      </c>
      <c r="Q1844" s="87" t="n">
        <v>45862</v>
      </c>
      <c r="R1844" s="5" t="n">
        <v>1861.5</v>
      </c>
      <c r="S1844" s="2" t="n">
        <v>1</v>
      </c>
      <c r="T1844" s="3" t="inlineStr">
        <is>
          <t>CA42796IR</t>
        </is>
      </c>
      <c r="U1844" s="87" t="n">
        <v>45887</v>
      </c>
      <c r="V1844" s="3" t="inlineStr">
        <is>
          <t>28</t>
        </is>
      </c>
      <c r="W1844" s="108" t="n">
        <v>45887</v>
      </c>
      <c r="X1844" s="4" t="inlineStr">
        <is>
          <t>PHILIPPOS  CONSTANTINIDES
TRADING CO.LTD</t>
        </is>
      </c>
    </row>
    <row r="1845" ht="24" customHeight="1">
      <c r="A1845" s="2">
        <f>+D1845-S1845</f>
        <v/>
      </c>
      <c r="B1845" s="80" t="n">
        <v>3471</v>
      </c>
      <c r="C1845" s="66" t="n">
        <v>45862</v>
      </c>
      <c r="D1845" s="2" t="n">
        <v>1</v>
      </c>
      <c r="E1845" s="3" t="inlineStr">
        <is>
          <t>CARABINA AD ARIA COMPRESSA</t>
        </is>
      </c>
      <c r="F1845" s="3" t="inlineStr">
        <is>
          <t>5.5</t>
        </is>
      </c>
      <c r="G1845" s="3" t="inlineStr">
        <is>
          <t>FX</t>
        </is>
      </c>
      <c r="H1845" s="65" t="inlineStr">
        <is>
          <t>DRS PRO</t>
        </is>
      </c>
      <c r="I1845" s="65" t="inlineStr">
        <is>
          <t>2221809</t>
        </is>
      </c>
      <c r="J1845" s="65" t="inlineStr">
        <is>
          <t>N/D</t>
        </is>
      </c>
      <c r="K1845" s="65" t="inlineStr">
        <is>
          <t>N/D</t>
        </is>
      </c>
      <c r="L1845" s="127" t="inlineStr">
        <is>
          <t>REDOLFI ARMI SRL</t>
        </is>
      </c>
      <c r="M1845" s="5" t="n">
        <v>1825</v>
      </c>
      <c r="N1845" s="5" t="n"/>
      <c r="O1845" s="5">
        <f>+M1845+N1845</f>
        <v/>
      </c>
      <c r="P1845" s="4" t="n">
        <v>45862</v>
      </c>
      <c r="Q1845" s="87" t="n">
        <v>45862</v>
      </c>
      <c r="R1845" s="5" t="n">
        <v>1861.5</v>
      </c>
      <c r="S1845" s="2" t="n">
        <v>1</v>
      </c>
      <c r="T1845" s="3" t="inlineStr">
        <is>
          <t>CA42796IR</t>
        </is>
      </c>
      <c r="U1845" s="87" t="n">
        <v>45887</v>
      </c>
      <c r="V1845" s="3" t="inlineStr">
        <is>
          <t>28</t>
        </is>
      </c>
      <c r="W1845" s="108" t="n">
        <v>45887</v>
      </c>
      <c r="X1845" s="4" t="inlineStr">
        <is>
          <t>PHILIPPOS  CONSTANTINIDES
TRADING CO.LTD</t>
        </is>
      </c>
    </row>
    <row r="1846" ht="24" customHeight="1">
      <c r="A1846" s="2">
        <f>+D1846-S1846</f>
        <v/>
      </c>
      <c r="B1846" s="80" t="n">
        <v>3472</v>
      </c>
      <c r="C1846" s="66" t="n">
        <v>45862</v>
      </c>
      <c r="D1846" s="2" t="n">
        <v>1</v>
      </c>
      <c r="E1846" s="3" t="inlineStr">
        <is>
          <t>CARABINA AD ARIA COMPRESSA</t>
        </is>
      </c>
      <c r="F1846" s="3" t="inlineStr">
        <is>
          <t>5.5</t>
        </is>
      </c>
      <c r="G1846" s="3" t="inlineStr">
        <is>
          <t>FX</t>
        </is>
      </c>
      <c r="H1846" s="65" t="inlineStr">
        <is>
          <t>DRS WALNUT 600</t>
        </is>
      </c>
      <c r="I1846" s="65" t="inlineStr">
        <is>
          <t>2221811</t>
        </is>
      </c>
      <c r="J1846" s="65" t="inlineStr">
        <is>
          <t>N/D</t>
        </is>
      </c>
      <c r="K1846" s="65" t="inlineStr">
        <is>
          <t>N/D</t>
        </is>
      </c>
      <c r="L1846" s="127" t="inlineStr">
        <is>
          <t>REDOLFI ARMI SRL</t>
        </is>
      </c>
      <c r="M1846" s="5" t="n">
        <v>595</v>
      </c>
      <c r="N1846" s="5" t="n"/>
      <c r="O1846" s="5">
        <f>+M1846+N1846</f>
        <v/>
      </c>
      <c r="P1846" s="4" t="n">
        <v>45862</v>
      </c>
      <c r="Q1846" s="87" t="n">
        <v>45862</v>
      </c>
      <c r="R1846" s="5" t="n">
        <v>606.9</v>
      </c>
      <c r="S1846" s="2" t="n">
        <v>1</v>
      </c>
      <c r="T1846" s="3" t="inlineStr">
        <is>
          <t>CA42796IR</t>
        </is>
      </c>
      <c r="U1846" s="87" t="n">
        <v>45887</v>
      </c>
      <c r="V1846" s="3" t="inlineStr">
        <is>
          <t>28</t>
        </is>
      </c>
      <c r="W1846" s="108" t="n">
        <v>45887</v>
      </c>
      <c r="X1846" s="4" t="inlineStr">
        <is>
          <t>PHILIPPOS  CONSTANTINIDES
TRADING CO.LTD</t>
        </is>
      </c>
    </row>
    <row r="1847" ht="24" customHeight="1">
      <c r="A1847" s="2">
        <f>+D1847-S1847</f>
        <v/>
      </c>
      <c r="B1847" s="80" t="n">
        <v>3473</v>
      </c>
      <c r="C1847" s="66" t="n">
        <v>45862</v>
      </c>
      <c r="D1847" s="2" t="n">
        <v>1</v>
      </c>
      <c r="E1847" s="3" t="inlineStr">
        <is>
          <t>CARABINA AD ARIA COMPRESSA</t>
        </is>
      </c>
      <c r="F1847" s="3" t="inlineStr">
        <is>
          <t>5.5</t>
        </is>
      </c>
      <c r="G1847" s="3" t="inlineStr">
        <is>
          <t>FX</t>
        </is>
      </c>
      <c r="H1847" s="65" t="inlineStr">
        <is>
          <t>DRS WALNUT 600</t>
        </is>
      </c>
      <c r="I1847" s="65" t="inlineStr">
        <is>
          <t>2221812</t>
        </is>
      </c>
      <c r="J1847" s="65" t="inlineStr">
        <is>
          <t>N/D</t>
        </is>
      </c>
      <c r="K1847" s="65" t="inlineStr">
        <is>
          <t>N/D</t>
        </is>
      </c>
      <c r="L1847" s="127" t="inlineStr">
        <is>
          <t>REDOLFI ARMI SRL</t>
        </is>
      </c>
      <c r="M1847" s="5" t="n">
        <v>595</v>
      </c>
      <c r="N1847" s="5" t="n"/>
      <c r="O1847" s="5">
        <f>+M1847+N1847</f>
        <v/>
      </c>
      <c r="P1847" s="4" t="n">
        <v>45862</v>
      </c>
      <c r="Q1847" s="87" t="n">
        <v>45862</v>
      </c>
      <c r="R1847" s="5" t="n">
        <v>606.9</v>
      </c>
      <c r="S1847" s="2" t="n">
        <v>1</v>
      </c>
      <c r="T1847" s="3" t="inlineStr">
        <is>
          <t>CA42796IR</t>
        </is>
      </c>
      <c r="U1847" s="87" t="n">
        <v>45887</v>
      </c>
      <c r="V1847" s="3" t="inlineStr">
        <is>
          <t>28</t>
        </is>
      </c>
      <c r="W1847" s="108" t="n">
        <v>45887</v>
      </c>
      <c r="X1847" s="4" t="inlineStr">
        <is>
          <t>PHILIPPOS  CONSTANTINIDES
TRADING CO.LTD</t>
        </is>
      </c>
    </row>
    <row r="1848" ht="24" customHeight="1">
      <c r="A1848" s="2">
        <f>+D1848-S1848</f>
        <v/>
      </c>
      <c r="B1848" s="80" t="n">
        <v>3474</v>
      </c>
      <c r="C1848" s="66" t="n">
        <v>45862</v>
      </c>
      <c r="D1848" s="2" t="n">
        <v>1</v>
      </c>
      <c r="E1848" s="3" t="inlineStr">
        <is>
          <t>CARABINA AD ARIA COMPRESSA</t>
        </is>
      </c>
      <c r="F1848" s="3" t="inlineStr">
        <is>
          <t>5.5</t>
        </is>
      </c>
      <c r="G1848" s="3" t="inlineStr">
        <is>
          <t>FX</t>
        </is>
      </c>
      <c r="H1848" s="65" t="inlineStr">
        <is>
          <t>DRS WALNUT 600</t>
        </is>
      </c>
      <c r="I1848" s="65" t="inlineStr">
        <is>
          <t>2221813</t>
        </is>
      </c>
      <c r="J1848" s="65" t="inlineStr">
        <is>
          <t>N/D</t>
        </is>
      </c>
      <c r="K1848" s="65" t="inlineStr">
        <is>
          <t>N/D</t>
        </is>
      </c>
      <c r="L1848" s="127" t="inlineStr">
        <is>
          <t>REDOLFI ARMI SRL</t>
        </is>
      </c>
      <c r="M1848" s="5" t="n">
        <v>595</v>
      </c>
      <c r="N1848" s="5" t="n"/>
      <c r="O1848" s="5">
        <f>+M1848+N1848</f>
        <v/>
      </c>
      <c r="P1848" s="4" t="n">
        <v>45862</v>
      </c>
      <c r="Q1848" s="87" t="n">
        <v>45862</v>
      </c>
      <c r="R1848" s="5" t="n">
        <v>606.9</v>
      </c>
      <c r="S1848" s="2" t="n">
        <v>1</v>
      </c>
      <c r="T1848" s="3" t="inlineStr">
        <is>
          <t>CA42796IR</t>
        </is>
      </c>
      <c r="U1848" s="87" t="n">
        <v>45887</v>
      </c>
      <c r="V1848" s="3" t="inlineStr">
        <is>
          <t>28</t>
        </is>
      </c>
      <c r="W1848" s="108" t="n">
        <v>45887</v>
      </c>
      <c r="X1848" s="4" t="inlineStr">
        <is>
          <t>PHILIPPOS  CONSTANTINIDES
TRADING CO.LTD</t>
        </is>
      </c>
    </row>
    <row r="1849" ht="24" customHeight="1">
      <c r="A1849" s="2">
        <f>+D1849-S1849</f>
        <v/>
      </c>
      <c r="B1849" s="80" t="n">
        <v>3475</v>
      </c>
      <c r="C1849" s="66" t="n">
        <v>45862</v>
      </c>
      <c r="D1849" s="2" t="n">
        <v>1</v>
      </c>
      <c r="E1849" s="3" t="inlineStr">
        <is>
          <t>CARABINA AD ARIA COMPRESSA</t>
        </is>
      </c>
      <c r="F1849" s="3" t="inlineStr">
        <is>
          <t>5.5</t>
        </is>
      </c>
      <c r="G1849" s="3" t="inlineStr">
        <is>
          <t>FX</t>
        </is>
      </c>
      <c r="H1849" s="65" t="inlineStr">
        <is>
          <t>DRS WALNUT 600</t>
        </is>
      </c>
      <c r="I1849" s="65" t="inlineStr">
        <is>
          <t>2221814</t>
        </is>
      </c>
      <c r="J1849" s="65" t="inlineStr">
        <is>
          <t>N/D</t>
        </is>
      </c>
      <c r="K1849" s="65" t="inlineStr">
        <is>
          <t>N/D</t>
        </is>
      </c>
      <c r="L1849" s="127" t="inlineStr">
        <is>
          <t>REDOLFI ARMI SRL</t>
        </is>
      </c>
      <c r="M1849" s="5" t="n">
        <v>595</v>
      </c>
      <c r="N1849" s="5" t="n"/>
      <c r="O1849" s="5">
        <f>+M1849+N1849</f>
        <v/>
      </c>
      <c r="P1849" s="4" t="n">
        <v>45862</v>
      </c>
      <c r="Q1849" s="87" t="n">
        <v>45862</v>
      </c>
      <c r="R1849" s="5" t="n">
        <v>606.9</v>
      </c>
      <c r="S1849" s="2" t="n">
        <v>1</v>
      </c>
      <c r="T1849" s="3" t="inlineStr">
        <is>
          <t>CA42796IR</t>
        </is>
      </c>
      <c r="U1849" s="87" t="n">
        <v>45887</v>
      </c>
      <c r="V1849" s="3" t="inlineStr">
        <is>
          <t>28</t>
        </is>
      </c>
      <c r="W1849" s="108" t="n">
        <v>45887</v>
      </c>
      <c r="X1849" s="4" t="inlineStr">
        <is>
          <t>PHILIPPOS  CONSTANTINIDES
TRADING CO.LTD</t>
        </is>
      </c>
    </row>
    <row r="1850" ht="24" customHeight="1">
      <c r="A1850" s="2">
        <f>+D1850-S1850</f>
        <v/>
      </c>
      <c r="B1850" s="80" t="n">
        <v>3476</v>
      </c>
      <c r="C1850" s="66" t="n">
        <v>45862</v>
      </c>
      <c r="D1850" s="2" t="n">
        <v>1</v>
      </c>
      <c r="E1850" s="3" t="inlineStr">
        <is>
          <t>CARABINA AD ARIA COMPRESSA</t>
        </is>
      </c>
      <c r="F1850" s="3" t="inlineStr">
        <is>
          <t>5.5</t>
        </is>
      </c>
      <c r="G1850" s="3" t="inlineStr">
        <is>
          <t>FX</t>
        </is>
      </c>
      <c r="H1850" s="65" t="inlineStr">
        <is>
          <t>DRS WALNUT 600</t>
        </is>
      </c>
      <c r="I1850" s="65" t="inlineStr">
        <is>
          <t>2221815</t>
        </is>
      </c>
      <c r="J1850" s="65" t="inlineStr">
        <is>
          <t>N/D</t>
        </is>
      </c>
      <c r="K1850" s="65" t="inlineStr">
        <is>
          <t>N/D</t>
        </is>
      </c>
      <c r="L1850" s="127" t="inlineStr">
        <is>
          <t>REDOLFI ARMI SRL</t>
        </is>
      </c>
      <c r="M1850" s="5" t="n">
        <v>595</v>
      </c>
      <c r="N1850" s="5" t="n"/>
      <c r="O1850" s="5">
        <f>+M1850+N1850</f>
        <v/>
      </c>
      <c r="P1850" s="4" t="n">
        <v>45862</v>
      </c>
      <c r="Q1850" s="87" t="n">
        <v>45862</v>
      </c>
      <c r="R1850" s="5" t="n">
        <v>606.9</v>
      </c>
      <c r="S1850" s="2" t="n">
        <v>1</v>
      </c>
      <c r="T1850" s="3" t="inlineStr">
        <is>
          <t>CA42796IR</t>
        </is>
      </c>
      <c r="U1850" s="87" t="n">
        <v>45887</v>
      </c>
      <c r="V1850" s="3" t="inlineStr">
        <is>
          <t>28</t>
        </is>
      </c>
      <c r="W1850" s="108" t="n">
        <v>45887</v>
      </c>
      <c r="X1850" s="4" t="inlineStr">
        <is>
          <t>PHILIPPOS  CONSTANTINIDES
TRADING CO.LTD</t>
        </is>
      </c>
    </row>
    <row r="1851" ht="24" customHeight="1">
      <c r="A1851" s="2">
        <f>+D1851-S1851</f>
        <v/>
      </c>
      <c r="B1851" s="80" t="n">
        <v>3477</v>
      </c>
      <c r="C1851" s="66" t="n">
        <v>45862</v>
      </c>
      <c r="D1851" s="2" t="n">
        <v>1</v>
      </c>
      <c r="E1851" s="3" t="inlineStr">
        <is>
          <t>CARABINA AD ARIA COMPRESSA</t>
        </is>
      </c>
      <c r="F1851" s="3" t="inlineStr">
        <is>
          <t>5.5</t>
        </is>
      </c>
      <c r="G1851" s="3" t="inlineStr">
        <is>
          <t>FX</t>
        </is>
      </c>
      <c r="H1851" s="65" t="inlineStr">
        <is>
          <t xml:space="preserve">IMPACT M4 COMPACT </t>
        </is>
      </c>
      <c r="I1851" s="65" t="inlineStr">
        <is>
          <t>2250616</t>
        </is>
      </c>
      <c r="J1851" s="65" t="inlineStr">
        <is>
          <t>N/D</t>
        </is>
      </c>
      <c r="K1851" s="65" t="inlineStr">
        <is>
          <t>N/D</t>
        </is>
      </c>
      <c r="L1851" s="127" t="inlineStr">
        <is>
          <t>REDOLFI ARMI SRL</t>
        </is>
      </c>
      <c r="M1851" s="5" t="n">
        <v>1190</v>
      </c>
      <c r="N1851" s="5" t="n"/>
      <c r="O1851" s="5">
        <f>+M1851+N1851</f>
        <v/>
      </c>
      <c r="P1851" s="4" t="n">
        <v>45862</v>
      </c>
      <c r="Q1851" s="87" t="n">
        <v>45862</v>
      </c>
      <c r="R1851" s="5" t="n">
        <v>1213.8</v>
      </c>
      <c r="S1851" s="2" t="n">
        <v>1</v>
      </c>
      <c r="T1851" s="3" t="inlineStr">
        <is>
          <t>CA42796IR</t>
        </is>
      </c>
      <c r="U1851" s="87" t="n">
        <v>45887</v>
      </c>
      <c r="V1851" s="3" t="inlineStr">
        <is>
          <t>28</t>
        </is>
      </c>
      <c r="W1851" s="108" t="n">
        <v>45887</v>
      </c>
      <c r="X1851" s="4" t="inlineStr">
        <is>
          <t>PHILIPPOS  CONSTANTINIDES
TRADING CO.LTD</t>
        </is>
      </c>
    </row>
    <row r="1852" ht="24" customHeight="1">
      <c r="A1852" s="2">
        <f>+D1852-S1852</f>
        <v/>
      </c>
      <c r="B1852" s="80" t="n">
        <v>3478</v>
      </c>
      <c r="C1852" s="66" t="n">
        <v>45862</v>
      </c>
      <c r="D1852" s="2" t="n">
        <v>1</v>
      </c>
      <c r="E1852" s="3" t="inlineStr">
        <is>
          <t>CARABINA AD ARIA COMPRESSA</t>
        </is>
      </c>
      <c r="F1852" s="3" t="inlineStr">
        <is>
          <t>5.5</t>
        </is>
      </c>
      <c r="G1852" s="3" t="inlineStr">
        <is>
          <t>FX</t>
        </is>
      </c>
      <c r="H1852" s="65" t="inlineStr">
        <is>
          <t>IMPACT M4 COMPACT COPPER</t>
        </is>
      </c>
      <c r="I1852" s="65" t="inlineStr">
        <is>
          <t>2250617</t>
        </is>
      </c>
      <c r="J1852" s="65" t="inlineStr">
        <is>
          <t>N/D</t>
        </is>
      </c>
      <c r="K1852" s="65" t="inlineStr">
        <is>
          <t>N/D</t>
        </is>
      </c>
      <c r="L1852" s="127" t="inlineStr">
        <is>
          <t>REDOLFI ARMI SRL</t>
        </is>
      </c>
      <c r="M1852" s="5" t="n">
        <v>1199</v>
      </c>
      <c r="N1852" s="5" t="n"/>
      <c r="O1852" s="5">
        <f>+M1852+N1852</f>
        <v/>
      </c>
      <c r="P1852" s="4" t="n">
        <v>45862</v>
      </c>
      <c r="Q1852" s="87" t="n">
        <v>45862</v>
      </c>
      <c r="R1852" s="5" t="n">
        <v>1222.98</v>
      </c>
      <c r="S1852" s="2" t="n">
        <v>1</v>
      </c>
      <c r="T1852" s="3" t="inlineStr">
        <is>
          <t>CA42796IR</t>
        </is>
      </c>
      <c r="U1852" s="87" t="n">
        <v>45887</v>
      </c>
      <c r="V1852" s="3" t="inlineStr">
        <is>
          <t>28</t>
        </is>
      </c>
      <c r="W1852" s="108" t="n">
        <v>45887</v>
      </c>
      <c r="X1852" s="4" t="inlineStr">
        <is>
          <t>PHILIPPOS  CONSTANTINIDES
TRADING CO.LTD</t>
        </is>
      </c>
    </row>
    <row r="1853" ht="24" customHeight="1">
      <c r="A1853" s="2">
        <f>+D1853-S1853</f>
        <v/>
      </c>
      <c r="B1853" s="80" t="n">
        <v>3479</v>
      </c>
      <c r="C1853" s="66" t="n">
        <v>45862</v>
      </c>
      <c r="D1853" s="2" t="n">
        <v>1</v>
      </c>
      <c r="E1853" s="3" t="inlineStr">
        <is>
          <t>CARABINA AD ARIA COMPRESSA</t>
        </is>
      </c>
      <c r="F1853" s="3" t="inlineStr">
        <is>
          <t>5.5</t>
        </is>
      </c>
      <c r="G1853" s="3" t="inlineStr">
        <is>
          <t>FX</t>
        </is>
      </c>
      <c r="H1853" s="65" t="inlineStr">
        <is>
          <t>IMPACT M4 SNIPER</t>
        </is>
      </c>
      <c r="I1853" s="65" t="inlineStr">
        <is>
          <t>2250628</t>
        </is>
      </c>
      <c r="J1853" s="65" t="inlineStr">
        <is>
          <t>N/D</t>
        </is>
      </c>
      <c r="K1853" s="65" t="inlineStr">
        <is>
          <t>N/D</t>
        </is>
      </c>
      <c r="L1853" s="127" t="inlineStr">
        <is>
          <t>REDOLFI ARMI SRL</t>
        </is>
      </c>
      <c r="M1853" s="5" t="n">
        <v>1260</v>
      </c>
      <c r="N1853" s="5" t="n"/>
      <c r="O1853" s="5">
        <f>+M1853+N1853</f>
        <v/>
      </c>
      <c r="P1853" s="4" t="n">
        <v>45862</v>
      </c>
      <c r="Q1853" s="87" t="n">
        <v>45862</v>
      </c>
      <c r="R1853" s="5" t="n">
        <v>1285.2</v>
      </c>
      <c r="S1853" s="2" t="n">
        <v>1</v>
      </c>
      <c r="T1853" s="3" t="inlineStr">
        <is>
          <t>CA42796IR</t>
        </is>
      </c>
      <c r="U1853" s="87" t="n">
        <v>45887</v>
      </c>
      <c r="V1853" s="3" t="inlineStr">
        <is>
          <t>28</t>
        </is>
      </c>
      <c r="W1853" s="108" t="n">
        <v>45887</v>
      </c>
      <c r="X1853" s="4" t="inlineStr">
        <is>
          <t>PHILIPPOS  CONSTANTINIDES
TRADING CO.LTD</t>
        </is>
      </c>
    </row>
    <row r="1854" ht="24" customHeight="1">
      <c r="A1854" s="2">
        <f>+D1854-S1854</f>
        <v/>
      </c>
      <c r="B1854" s="80" t="n">
        <v>3480</v>
      </c>
      <c r="C1854" s="66" t="n">
        <v>45862</v>
      </c>
      <c r="D1854" s="2" t="n">
        <v>1</v>
      </c>
      <c r="E1854" s="3" t="inlineStr">
        <is>
          <t>CARABINA AD ARIA COMPRESSA</t>
        </is>
      </c>
      <c r="F1854" s="3" t="inlineStr">
        <is>
          <t>5.5</t>
        </is>
      </c>
      <c r="G1854" s="3" t="inlineStr">
        <is>
          <t>FX</t>
        </is>
      </c>
      <c r="H1854" s="65" t="inlineStr">
        <is>
          <t>IMPACT M4 SNIPER</t>
        </is>
      </c>
      <c r="I1854" s="65" t="inlineStr">
        <is>
          <t>2250622</t>
        </is>
      </c>
      <c r="J1854" s="65" t="inlineStr">
        <is>
          <t>N/D</t>
        </is>
      </c>
      <c r="K1854" s="65" t="inlineStr">
        <is>
          <t>N/D</t>
        </is>
      </c>
      <c r="L1854" s="127" t="inlineStr">
        <is>
          <t>REDOLFI ARMI SRL</t>
        </is>
      </c>
      <c r="M1854" s="5" t="n">
        <v>1260</v>
      </c>
      <c r="N1854" s="5" t="n"/>
      <c r="O1854" s="5">
        <f>+M1854+N1854</f>
        <v/>
      </c>
      <c r="P1854" s="4" t="n">
        <v>45862</v>
      </c>
      <c r="Q1854" s="87" t="n">
        <v>45862</v>
      </c>
      <c r="R1854" s="5" t="n">
        <v>1285.2</v>
      </c>
      <c r="S1854" s="2" t="n">
        <v>1</v>
      </c>
      <c r="T1854" s="3" t="inlineStr">
        <is>
          <t>CA42796IR</t>
        </is>
      </c>
      <c r="U1854" s="87" t="n">
        <v>45887</v>
      </c>
      <c r="V1854" s="3" t="inlineStr">
        <is>
          <t>28</t>
        </is>
      </c>
      <c r="W1854" s="108" t="n">
        <v>45887</v>
      </c>
      <c r="X1854" s="4" t="inlineStr">
        <is>
          <t>PHILIPPOS  CONSTANTINIDES
TRADING CO.LTD</t>
        </is>
      </c>
    </row>
    <row r="1855" ht="24" customHeight="1">
      <c r="A1855" s="2">
        <f>+D1855-S1855</f>
        <v/>
      </c>
      <c r="B1855" s="80" t="n">
        <v>3481</v>
      </c>
      <c r="C1855" s="66" t="n">
        <v>45862</v>
      </c>
      <c r="D1855" s="2" t="n">
        <v>1</v>
      </c>
      <c r="E1855" s="3" t="inlineStr">
        <is>
          <t>CARABINA AD ARIA COMPRESSA</t>
        </is>
      </c>
      <c r="F1855" s="3" t="inlineStr">
        <is>
          <t>5.5</t>
        </is>
      </c>
      <c r="G1855" s="3" t="inlineStr">
        <is>
          <t>FX</t>
        </is>
      </c>
      <c r="H1855" s="65" t="inlineStr">
        <is>
          <t>IMPACT M4 SNIPER</t>
        </is>
      </c>
      <c r="I1855" s="65" t="inlineStr">
        <is>
          <t>2250625</t>
        </is>
      </c>
      <c r="J1855" s="65" t="inlineStr">
        <is>
          <t>N/D</t>
        </is>
      </c>
      <c r="K1855" s="65" t="inlineStr">
        <is>
          <t>N/D</t>
        </is>
      </c>
      <c r="L1855" s="127" t="inlineStr">
        <is>
          <t>REDOLFI ARMI SRL</t>
        </is>
      </c>
      <c r="M1855" s="5" t="n">
        <v>1260</v>
      </c>
      <c r="N1855" s="5" t="n"/>
      <c r="O1855" s="5">
        <f>+M1855+N1855</f>
        <v/>
      </c>
      <c r="P1855" s="4" t="n">
        <v>45862</v>
      </c>
      <c r="Q1855" s="87" t="n">
        <v>45862</v>
      </c>
      <c r="R1855" s="5" t="n">
        <v>1285.2</v>
      </c>
      <c r="S1855" s="2" t="n">
        <v>1</v>
      </c>
      <c r="T1855" s="3" t="inlineStr">
        <is>
          <t>CA42796IR</t>
        </is>
      </c>
      <c r="U1855" s="87" t="n">
        <v>45887</v>
      </c>
      <c r="V1855" s="3" t="inlineStr">
        <is>
          <t>28</t>
        </is>
      </c>
      <c r="W1855" s="108" t="n">
        <v>45887</v>
      </c>
      <c r="X1855" s="4" t="inlineStr">
        <is>
          <t>PHILIPPOS  CONSTANTINIDES
TRADING CO.LTD</t>
        </is>
      </c>
    </row>
    <row r="1856" ht="24" customHeight="1">
      <c r="A1856" s="2">
        <f>+D1856-S1856</f>
        <v/>
      </c>
      <c r="B1856" s="80" t="n">
        <v>3482</v>
      </c>
      <c r="C1856" s="66" t="n">
        <v>45862</v>
      </c>
      <c r="D1856" s="2" t="n">
        <v>1</v>
      </c>
      <c r="E1856" s="3" t="inlineStr">
        <is>
          <t>CARABINA AD ARIA COMPRESSA</t>
        </is>
      </c>
      <c r="F1856" s="3" t="inlineStr">
        <is>
          <t>5.5</t>
        </is>
      </c>
      <c r="G1856" s="3" t="inlineStr">
        <is>
          <t>FX</t>
        </is>
      </c>
      <c r="H1856" s="65" t="inlineStr">
        <is>
          <t>IMPACT M4 SNIPER</t>
        </is>
      </c>
      <c r="I1856" s="65" t="inlineStr">
        <is>
          <t>2250621</t>
        </is>
      </c>
      <c r="J1856" s="65" t="inlineStr">
        <is>
          <t>N/D</t>
        </is>
      </c>
      <c r="K1856" s="65" t="inlineStr">
        <is>
          <t>N/D</t>
        </is>
      </c>
      <c r="L1856" s="127" t="inlineStr">
        <is>
          <t>REDOLFI ARMI SRL</t>
        </is>
      </c>
      <c r="M1856" s="5" t="n">
        <v>1260</v>
      </c>
      <c r="N1856" s="5" t="n"/>
      <c r="O1856" s="5">
        <f>+M1856+N1856</f>
        <v/>
      </c>
      <c r="P1856" s="4" t="n">
        <v>45862</v>
      </c>
      <c r="Q1856" s="87" t="n">
        <v>45862</v>
      </c>
      <c r="R1856" s="5" t="n">
        <v>1285.2</v>
      </c>
      <c r="S1856" s="2" t="n">
        <v>1</v>
      </c>
      <c r="T1856" s="3" t="inlineStr">
        <is>
          <t>CA42796IR</t>
        </is>
      </c>
      <c r="U1856" s="87" t="n">
        <v>45887</v>
      </c>
      <c r="V1856" s="3" t="inlineStr">
        <is>
          <t>28</t>
        </is>
      </c>
      <c r="W1856" s="108" t="n">
        <v>45887</v>
      </c>
      <c r="X1856" s="4" t="inlineStr">
        <is>
          <t>PHILIPPOS  CONSTANTINIDES
TRADING CO.LTD</t>
        </is>
      </c>
    </row>
    <row r="1857" ht="24" customHeight="1">
      <c r="A1857" s="2">
        <f>+D1857-S1857</f>
        <v/>
      </c>
      <c r="B1857" s="80" t="n">
        <v>3483</v>
      </c>
      <c r="C1857" s="66" t="n">
        <v>45862</v>
      </c>
      <c r="D1857" s="2" t="n">
        <v>1</v>
      </c>
      <c r="E1857" s="3" t="inlineStr">
        <is>
          <t>CARABINA AD ARIA COMPRESSA</t>
        </is>
      </c>
      <c r="F1857" s="3" t="inlineStr">
        <is>
          <t>5.5</t>
        </is>
      </c>
      <c r="G1857" s="3" t="inlineStr">
        <is>
          <t>FX</t>
        </is>
      </c>
      <c r="H1857" s="65" t="inlineStr">
        <is>
          <t>IMPACT M4 SNIPER</t>
        </is>
      </c>
      <c r="I1857" s="65" t="inlineStr">
        <is>
          <t>2250624</t>
        </is>
      </c>
      <c r="J1857" s="65" t="inlineStr">
        <is>
          <t>N/D</t>
        </is>
      </c>
      <c r="K1857" s="65" t="inlineStr">
        <is>
          <t>N/D</t>
        </is>
      </c>
      <c r="L1857" s="127" t="inlineStr">
        <is>
          <t>REDOLFI ARMI SRL</t>
        </is>
      </c>
      <c r="M1857" s="5" t="n">
        <v>1260</v>
      </c>
      <c r="N1857" s="5" t="n"/>
      <c r="O1857" s="5">
        <f>+M1857+N1857</f>
        <v/>
      </c>
      <c r="P1857" s="4" t="n">
        <v>45862</v>
      </c>
      <c r="Q1857" s="87" t="n">
        <v>45862</v>
      </c>
      <c r="R1857" s="5" t="n">
        <v>1285.2</v>
      </c>
      <c r="S1857" s="2" t="n">
        <v>1</v>
      </c>
      <c r="T1857" s="3" t="inlineStr">
        <is>
          <t>CA42796IR</t>
        </is>
      </c>
      <c r="U1857" s="87" t="n">
        <v>45887</v>
      </c>
      <c r="V1857" s="3" t="inlineStr">
        <is>
          <t>28</t>
        </is>
      </c>
      <c r="W1857" s="108" t="n">
        <v>45887</v>
      </c>
      <c r="X1857" s="4" t="inlineStr">
        <is>
          <t>PHILIPPOS  CONSTANTINIDES
TRADING CO.LTD</t>
        </is>
      </c>
    </row>
    <row r="1858" ht="24" customHeight="1">
      <c r="A1858" s="2">
        <f>+D1858-S1858</f>
        <v/>
      </c>
      <c r="B1858" s="80" t="n">
        <v>3484</v>
      </c>
      <c r="C1858" s="66" t="n">
        <v>45862</v>
      </c>
      <c r="D1858" s="2" t="n">
        <v>1</v>
      </c>
      <c r="E1858" s="3" t="inlineStr">
        <is>
          <t>CARABINA AD ARIA COMPRESSA</t>
        </is>
      </c>
      <c r="F1858" s="3" t="inlineStr">
        <is>
          <t>5.5</t>
        </is>
      </c>
      <c r="G1858" s="3" t="inlineStr">
        <is>
          <t>FX</t>
        </is>
      </c>
      <c r="H1858" s="65" t="inlineStr">
        <is>
          <t xml:space="preserve">IMPACT M4 </t>
        </is>
      </c>
      <c r="I1858" s="65" t="inlineStr">
        <is>
          <t>2250632</t>
        </is>
      </c>
      <c r="J1858" s="65" t="inlineStr">
        <is>
          <t>N/D</t>
        </is>
      </c>
      <c r="K1858" s="65" t="inlineStr">
        <is>
          <t>N/D</t>
        </is>
      </c>
      <c r="L1858" s="127" t="inlineStr">
        <is>
          <t>REDOLFI ARMI SRL</t>
        </is>
      </c>
      <c r="M1858" s="5" t="n">
        <v>1270</v>
      </c>
      <c r="N1858" s="5" t="n"/>
      <c r="O1858" s="5">
        <f>+M1858+N1858</f>
        <v/>
      </c>
      <c r="P1858" s="4" t="n">
        <v>45862</v>
      </c>
      <c r="Q1858" s="87" t="n">
        <v>45862</v>
      </c>
      <c r="R1858" s="5" t="n">
        <v>1295.4</v>
      </c>
      <c r="S1858" s="2" t="n">
        <v>1</v>
      </c>
      <c r="T1858" s="3" t="inlineStr">
        <is>
          <t>CA42796IR</t>
        </is>
      </c>
      <c r="U1858" s="87" t="n">
        <v>45887</v>
      </c>
      <c r="V1858" s="3" t="inlineStr">
        <is>
          <t>28</t>
        </is>
      </c>
      <c r="W1858" s="108" t="n">
        <v>45887</v>
      </c>
      <c r="X1858" s="4" t="inlineStr">
        <is>
          <t>PHILIPPOS  CONSTANTINIDES
TRADING CO.LTD</t>
        </is>
      </c>
    </row>
    <row r="1859" ht="24" customHeight="1">
      <c r="A1859" s="2">
        <f>+D1859-S1859</f>
        <v/>
      </c>
      <c r="B1859" s="80" t="n">
        <v>3485</v>
      </c>
      <c r="C1859" s="66" t="n">
        <v>45862</v>
      </c>
      <c r="D1859" s="2" t="n">
        <v>1</v>
      </c>
      <c r="E1859" s="3" t="inlineStr">
        <is>
          <t>CARABINA AD ARIA COMPRESSA</t>
        </is>
      </c>
      <c r="F1859" s="3" t="inlineStr">
        <is>
          <t>5.5</t>
        </is>
      </c>
      <c r="G1859" s="3" t="inlineStr">
        <is>
          <t>FX</t>
        </is>
      </c>
      <c r="H1859" s="65" t="inlineStr">
        <is>
          <t xml:space="preserve">IMPACT M4 </t>
        </is>
      </c>
      <c r="I1859" s="65" t="inlineStr">
        <is>
          <t>2250636</t>
        </is>
      </c>
      <c r="J1859" s="65" t="inlineStr">
        <is>
          <t>N/D</t>
        </is>
      </c>
      <c r="K1859" s="65" t="inlineStr">
        <is>
          <t>N/D</t>
        </is>
      </c>
      <c r="L1859" s="127" t="inlineStr">
        <is>
          <t>REDOLFI ARMI SRL</t>
        </is>
      </c>
      <c r="M1859" s="5" t="n">
        <v>1270</v>
      </c>
      <c r="N1859" s="5" t="n"/>
      <c r="O1859" s="5">
        <f>+M1859+N1859</f>
        <v/>
      </c>
      <c r="P1859" s="4" t="n">
        <v>45862</v>
      </c>
      <c r="Q1859" s="87" t="n">
        <v>45862</v>
      </c>
      <c r="R1859" s="5" t="n">
        <v>1295.4</v>
      </c>
      <c r="S1859" s="2" t="n">
        <v>1</v>
      </c>
      <c r="T1859" s="3" t="inlineStr">
        <is>
          <t>CA42796IR</t>
        </is>
      </c>
      <c r="U1859" s="87" t="n">
        <v>45887</v>
      </c>
      <c r="V1859" s="3" t="inlineStr">
        <is>
          <t>28</t>
        </is>
      </c>
      <c r="W1859" s="108" t="n">
        <v>45887</v>
      </c>
      <c r="X1859" s="4" t="inlineStr">
        <is>
          <t>PHILIPPOS  CONSTANTINIDES
TRADING CO.LTD</t>
        </is>
      </c>
    </row>
    <row r="1860" ht="24" customHeight="1">
      <c r="A1860" s="2">
        <f>+D1860-S1860</f>
        <v/>
      </c>
      <c r="B1860" s="80" t="n">
        <v>3486</v>
      </c>
      <c r="C1860" s="66" t="n">
        <v>45862</v>
      </c>
      <c r="D1860" s="2" t="n">
        <v>1</v>
      </c>
      <c r="E1860" s="3" t="inlineStr">
        <is>
          <t>CARABINA AD ARIA COMPRESSA</t>
        </is>
      </c>
      <c r="F1860" s="3" t="inlineStr">
        <is>
          <t>5.5</t>
        </is>
      </c>
      <c r="G1860" s="3" t="inlineStr">
        <is>
          <t>FX</t>
        </is>
      </c>
      <c r="H1860" s="65" t="inlineStr">
        <is>
          <t xml:space="preserve">IMPACT M4 </t>
        </is>
      </c>
      <c r="I1860" s="65" t="inlineStr">
        <is>
          <t>2250637</t>
        </is>
      </c>
      <c r="J1860" s="65" t="inlineStr">
        <is>
          <t>N/D</t>
        </is>
      </c>
      <c r="K1860" s="65" t="inlineStr">
        <is>
          <t>N/D</t>
        </is>
      </c>
      <c r="L1860" s="127" t="inlineStr">
        <is>
          <t>REDOLFI ARMI SRL</t>
        </is>
      </c>
      <c r="M1860" s="5" t="n">
        <v>1270</v>
      </c>
      <c r="N1860" s="5" t="n"/>
      <c r="O1860" s="5">
        <f>+M1860+N1860</f>
        <v/>
      </c>
      <c r="P1860" s="4" t="n">
        <v>45862</v>
      </c>
      <c r="Q1860" s="87" t="n">
        <v>45862</v>
      </c>
      <c r="R1860" s="5" t="n">
        <v>1295.4</v>
      </c>
      <c r="S1860" s="2" t="n">
        <v>1</v>
      </c>
      <c r="T1860" s="3" t="inlineStr">
        <is>
          <t>CA42796IR</t>
        </is>
      </c>
      <c r="U1860" s="87" t="n">
        <v>45887</v>
      </c>
      <c r="V1860" s="3" t="inlineStr">
        <is>
          <t>28</t>
        </is>
      </c>
      <c r="W1860" s="108" t="n">
        <v>45887</v>
      </c>
      <c r="X1860" s="4" t="inlineStr">
        <is>
          <t>PHILIPPOS  CONSTANTINIDES
TRADING CO.LTD</t>
        </is>
      </c>
    </row>
    <row r="1861" ht="24" customHeight="1">
      <c r="A1861" s="2">
        <f>+D1861-S1861</f>
        <v/>
      </c>
      <c r="B1861" s="80" t="n">
        <v>3487</v>
      </c>
      <c r="C1861" s="66" t="n">
        <v>45862</v>
      </c>
      <c r="D1861" s="2" t="n">
        <v>1</v>
      </c>
      <c r="E1861" s="3" t="inlineStr">
        <is>
          <t>CARABINA AD ARIA COMPRESSA</t>
        </is>
      </c>
      <c r="F1861" s="3" t="inlineStr">
        <is>
          <t>5.5</t>
        </is>
      </c>
      <c r="G1861" s="3" t="inlineStr">
        <is>
          <t>FX</t>
        </is>
      </c>
      <c r="H1861" s="65" t="inlineStr">
        <is>
          <t xml:space="preserve">IMPACT M4 </t>
        </is>
      </c>
      <c r="I1861" s="65" t="inlineStr">
        <is>
          <t>2250631</t>
        </is>
      </c>
      <c r="J1861" s="65" t="inlineStr">
        <is>
          <t>N/D</t>
        </is>
      </c>
      <c r="K1861" s="65" t="inlineStr">
        <is>
          <t>N/D</t>
        </is>
      </c>
      <c r="L1861" s="127" t="inlineStr">
        <is>
          <t>REDOLFI ARMI SRL</t>
        </is>
      </c>
      <c r="M1861" s="5" t="n">
        <v>1270</v>
      </c>
      <c r="N1861" s="5" t="n"/>
      <c r="O1861" s="5">
        <f>+M1861+N1861</f>
        <v/>
      </c>
      <c r="P1861" s="4" t="n">
        <v>45862</v>
      </c>
      <c r="Q1861" s="87" t="n">
        <v>45862</v>
      </c>
      <c r="R1861" s="5" t="n">
        <v>1295.4</v>
      </c>
      <c r="S1861" s="2" t="n">
        <v>1</v>
      </c>
      <c r="T1861" s="3" t="inlineStr">
        <is>
          <t>CA42796IR</t>
        </is>
      </c>
      <c r="U1861" s="87" t="n">
        <v>45887</v>
      </c>
      <c r="V1861" s="3" t="inlineStr">
        <is>
          <t>28</t>
        </is>
      </c>
      <c r="W1861" s="108" t="n">
        <v>45887</v>
      </c>
      <c r="X1861" s="4" t="inlineStr">
        <is>
          <t>PHILIPPOS  CONSTANTINIDES
TRADING CO.LTD</t>
        </is>
      </c>
    </row>
    <row r="1862" ht="24" customHeight="1">
      <c r="A1862" s="2">
        <f>+D1862-S1862</f>
        <v/>
      </c>
      <c r="B1862" s="80" t="n">
        <v>3488</v>
      </c>
      <c r="C1862" s="66" t="n">
        <v>45862</v>
      </c>
      <c r="D1862" s="2" t="n">
        <v>1</v>
      </c>
      <c r="E1862" s="3" t="inlineStr">
        <is>
          <t>CARABINA AD ARIA COMPRESSA</t>
        </is>
      </c>
      <c r="F1862" s="3" t="inlineStr">
        <is>
          <t>5.5</t>
        </is>
      </c>
      <c r="G1862" s="3" t="inlineStr">
        <is>
          <t>FX</t>
        </is>
      </c>
      <c r="H1862" s="65" t="inlineStr">
        <is>
          <t xml:space="preserve">IMPACT M4 </t>
        </is>
      </c>
      <c r="I1862" s="65" t="inlineStr">
        <is>
          <t>2250638</t>
        </is>
      </c>
      <c r="J1862" s="65" t="inlineStr">
        <is>
          <t>N/D</t>
        </is>
      </c>
      <c r="K1862" s="65" t="inlineStr">
        <is>
          <t>N/D</t>
        </is>
      </c>
      <c r="L1862" s="127" t="inlineStr">
        <is>
          <t>REDOLFI ARMI SRL</t>
        </is>
      </c>
      <c r="M1862" s="5" t="n">
        <v>1270</v>
      </c>
      <c r="N1862" s="5" t="n"/>
      <c r="O1862" s="5">
        <f>+M1862+N1862</f>
        <v/>
      </c>
      <c r="P1862" s="4" t="n">
        <v>45862</v>
      </c>
      <c r="Q1862" s="87" t="n">
        <v>45862</v>
      </c>
      <c r="R1862" s="5" t="n">
        <v>1295.4</v>
      </c>
      <c r="S1862" s="2" t="n">
        <v>1</v>
      </c>
      <c r="T1862" s="3" t="inlineStr">
        <is>
          <t>CA42796IR</t>
        </is>
      </c>
      <c r="U1862" s="87" t="n">
        <v>45887</v>
      </c>
      <c r="V1862" s="3" t="inlineStr">
        <is>
          <t>28</t>
        </is>
      </c>
      <c r="W1862" s="108" t="n">
        <v>45887</v>
      </c>
      <c r="X1862" s="4" t="inlineStr">
        <is>
          <t>PHILIPPOS  CONSTANTINIDES
TRADING CO.LTD</t>
        </is>
      </c>
    </row>
    <row r="1863" ht="24" customHeight="1">
      <c r="A1863" s="2">
        <f>+D1863-S1863</f>
        <v/>
      </c>
      <c r="B1863" s="80" t="n">
        <v>3489</v>
      </c>
      <c r="C1863" s="66" t="n">
        <v>45862</v>
      </c>
      <c r="D1863" s="2" t="n">
        <v>1</v>
      </c>
      <c r="E1863" s="3" t="inlineStr">
        <is>
          <t>CARABINA AD ARIA COMPRESSA</t>
        </is>
      </c>
      <c r="F1863" s="3" t="inlineStr">
        <is>
          <t>5.5</t>
        </is>
      </c>
      <c r="G1863" s="3" t="inlineStr">
        <is>
          <t>FX</t>
        </is>
      </c>
      <c r="H1863" s="65" t="inlineStr">
        <is>
          <t>IMPACT M4 EXTENDED BLACK</t>
        </is>
      </c>
      <c r="I1863" s="65" t="inlineStr">
        <is>
          <t>2250640</t>
        </is>
      </c>
      <c r="J1863" s="65" t="inlineStr">
        <is>
          <t>N/D</t>
        </is>
      </c>
      <c r="K1863" s="65" t="inlineStr">
        <is>
          <t>N/D</t>
        </is>
      </c>
      <c r="L1863" s="127" t="inlineStr">
        <is>
          <t>REDOLFI ARMI SRL</t>
        </is>
      </c>
      <c r="M1863" s="5" t="n">
        <v>1280</v>
      </c>
      <c r="N1863" s="5" t="n"/>
      <c r="O1863" s="5">
        <f>+M1863+N1863</f>
        <v/>
      </c>
      <c r="P1863" s="4" t="n">
        <v>45862</v>
      </c>
      <c r="Q1863" s="87" t="n">
        <v>45862</v>
      </c>
      <c r="R1863" s="5" t="n">
        <v>1305.6</v>
      </c>
      <c r="S1863" s="2" t="n">
        <v>1</v>
      </c>
      <c r="T1863" s="3" t="inlineStr">
        <is>
          <t>CA42796IR</t>
        </is>
      </c>
      <c r="U1863" s="87" t="n">
        <v>45887</v>
      </c>
      <c r="V1863" s="3" t="inlineStr">
        <is>
          <t>28</t>
        </is>
      </c>
      <c r="W1863" s="108" t="n">
        <v>45887</v>
      </c>
      <c r="X1863" s="4" t="inlineStr">
        <is>
          <t>PHILIPPOS  CONSTANTINIDES
TRADING CO.LTD</t>
        </is>
      </c>
    </row>
    <row r="1864" ht="24" customHeight="1">
      <c r="A1864" s="2">
        <f>+D1864-S1864</f>
        <v/>
      </c>
      <c r="B1864" s="80" t="n">
        <v>3490</v>
      </c>
      <c r="C1864" s="66" t="n">
        <v>45862</v>
      </c>
      <c r="D1864" s="2" t="n">
        <v>1</v>
      </c>
      <c r="E1864" s="3" t="inlineStr">
        <is>
          <t>CARABINA AD ARIA COMPRESSA</t>
        </is>
      </c>
      <c r="F1864" s="3" t="inlineStr">
        <is>
          <t>5.5</t>
        </is>
      </c>
      <c r="G1864" s="3" t="inlineStr">
        <is>
          <t>FX</t>
        </is>
      </c>
      <c r="H1864" s="65" t="inlineStr">
        <is>
          <t>IMPACT M4 EXTENDED COPPER</t>
        </is>
      </c>
      <c r="I1864" s="65" t="inlineStr">
        <is>
          <t>2250641</t>
        </is>
      </c>
      <c r="J1864" s="65" t="inlineStr">
        <is>
          <t>N/D</t>
        </is>
      </c>
      <c r="K1864" s="65" t="inlineStr">
        <is>
          <t>N/D</t>
        </is>
      </c>
      <c r="L1864" s="127" t="inlineStr">
        <is>
          <t>REDOLFI ARMI SRL</t>
        </is>
      </c>
      <c r="M1864" s="5" t="n">
        <v>1290</v>
      </c>
      <c r="N1864" s="5" t="n"/>
      <c r="O1864" s="5">
        <f>+M1864+N1864</f>
        <v/>
      </c>
      <c r="P1864" s="4" t="n">
        <v>45862</v>
      </c>
      <c r="Q1864" s="87" t="n">
        <v>45862</v>
      </c>
      <c r="R1864" s="5" t="n">
        <v>1315.8</v>
      </c>
      <c r="S1864" s="2" t="n">
        <v>1</v>
      </c>
      <c r="T1864" s="3" t="inlineStr">
        <is>
          <t>CA42796IR</t>
        </is>
      </c>
      <c r="U1864" s="87" t="n">
        <v>45887</v>
      </c>
      <c r="V1864" s="3" t="inlineStr">
        <is>
          <t>28</t>
        </is>
      </c>
      <c r="W1864" s="108" t="n">
        <v>45887</v>
      </c>
      <c r="X1864" s="4" t="inlineStr">
        <is>
          <t>PHILIPPOS  CONSTANTINIDES
TRADING CO.LTD</t>
        </is>
      </c>
    </row>
    <row r="1865" ht="24" customHeight="1">
      <c r="A1865" s="2">
        <f>+D1865-S1865</f>
        <v/>
      </c>
      <c r="B1865" s="80" t="n">
        <v>3491</v>
      </c>
      <c r="C1865" s="66" t="n">
        <v>45862</v>
      </c>
      <c r="D1865" s="2" t="n">
        <v>1</v>
      </c>
      <c r="E1865" s="3" t="inlineStr">
        <is>
          <t>CARABINA AD ARIA COMPRESSA</t>
        </is>
      </c>
      <c r="F1865" s="3" t="inlineStr">
        <is>
          <t>5.5</t>
        </is>
      </c>
      <c r="G1865" s="3" t="inlineStr">
        <is>
          <t>FX</t>
        </is>
      </c>
      <c r="H1865" s="65" t="inlineStr">
        <is>
          <t>DRS TAC 500 MM</t>
        </is>
      </c>
      <c r="I1865" s="65" t="inlineStr">
        <is>
          <t>2250644</t>
        </is>
      </c>
      <c r="J1865" s="65" t="inlineStr">
        <is>
          <t>N/D</t>
        </is>
      </c>
      <c r="K1865" s="65" t="inlineStr">
        <is>
          <t>N/D</t>
        </is>
      </c>
      <c r="L1865" s="127" t="inlineStr">
        <is>
          <t>REDOLFI ARMI SRL</t>
        </is>
      </c>
      <c r="M1865" s="5" t="n">
        <v>535</v>
      </c>
      <c r="N1865" s="5" t="n"/>
      <c r="O1865" s="5">
        <f>+M1865+N1865</f>
        <v/>
      </c>
      <c r="P1865" s="4" t="n">
        <v>45862</v>
      </c>
      <c r="Q1865" s="87" t="n">
        <v>45862</v>
      </c>
      <c r="R1865" s="5" t="n">
        <v>545.7</v>
      </c>
      <c r="S1865" s="2" t="n">
        <v>1</v>
      </c>
      <c r="T1865" s="3" t="inlineStr">
        <is>
          <t>CA42796IR</t>
        </is>
      </c>
      <c r="U1865" s="87" t="n">
        <v>45887</v>
      </c>
      <c r="V1865" s="3" t="inlineStr">
        <is>
          <t>28</t>
        </is>
      </c>
      <c r="W1865" s="108" t="n">
        <v>45887</v>
      </c>
      <c r="X1865" s="4" t="inlineStr">
        <is>
          <t>PHILIPPOS  CONSTANTINIDES
TRADING CO.LTD</t>
        </is>
      </c>
    </row>
    <row r="1866" ht="24" customHeight="1">
      <c r="A1866" s="2">
        <f>+D1866-S1866</f>
        <v/>
      </c>
      <c r="B1866" s="80" t="n">
        <v>3492</v>
      </c>
      <c r="C1866" s="66" t="n">
        <v>45862</v>
      </c>
      <c r="D1866" s="2" t="n">
        <v>1</v>
      </c>
      <c r="E1866" s="3" t="inlineStr">
        <is>
          <t>CARABINA AD ARIA COMPRESSA</t>
        </is>
      </c>
      <c r="F1866" s="3" t="inlineStr">
        <is>
          <t>5.5</t>
        </is>
      </c>
      <c r="G1866" s="3" t="inlineStr">
        <is>
          <t>FX</t>
        </is>
      </c>
      <c r="H1866" s="65" t="inlineStr">
        <is>
          <t>DRS TAC 700 MM</t>
        </is>
      </c>
      <c r="I1866" s="65" t="inlineStr">
        <is>
          <t>2250646</t>
        </is>
      </c>
      <c r="J1866" s="65" t="inlineStr">
        <is>
          <t>N/D</t>
        </is>
      </c>
      <c r="K1866" s="65" t="inlineStr">
        <is>
          <t>N/D</t>
        </is>
      </c>
      <c r="L1866" s="127" t="inlineStr">
        <is>
          <t>REDOLFI ARMI SRL</t>
        </is>
      </c>
      <c r="M1866" s="5" t="n">
        <v>590</v>
      </c>
      <c r="N1866" s="5" t="n"/>
      <c r="O1866" s="5">
        <f>+M1866+N1866</f>
        <v/>
      </c>
      <c r="P1866" s="4" t="n">
        <v>45862</v>
      </c>
      <c r="Q1866" s="87" t="n">
        <v>45862</v>
      </c>
      <c r="R1866" s="5" t="n">
        <v>601.8</v>
      </c>
      <c r="S1866" s="2" t="n">
        <v>1</v>
      </c>
      <c r="T1866" s="3" t="inlineStr">
        <is>
          <t>CA42796IR</t>
        </is>
      </c>
      <c r="U1866" s="87" t="n">
        <v>45887</v>
      </c>
      <c r="V1866" s="3" t="inlineStr">
        <is>
          <t>28</t>
        </is>
      </c>
      <c r="W1866" s="108" t="n">
        <v>45887</v>
      </c>
      <c r="X1866" s="4" t="inlineStr">
        <is>
          <t>PHILIPPOS  CONSTANTINIDES
TRADING CO.LTD</t>
        </is>
      </c>
    </row>
    <row r="1867" ht="24" customHeight="1">
      <c r="A1867" s="2">
        <f>+D1867-S1867</f>
        <v/>
      </c>
      <c r="B1867" s="80" t="n">
        <v>3493</v>
      </c>
      <c r="C1867" s="66" t="n">
        <v>45862</v>
      </c>
      <c r="D1867" s="2" t="n">
        <v>1</v>
      </c>
      <c r="E1867" s="3" t="inlineStr">
        <is>
          <t>CARABINA AD ARIA COMPRESSA</t>
        </is>
      </c>
      <c r="F1867" s="3" t="inlineStr">
        <is>
          <t>5.5</t>
        </is>
      </c>
      <c r="G1867" s="3" t="inlineStr">
        <is>
          <t>FX</t>
        </is>
      </c>
      <c r="H1867" s="65" t="inlineStr">
        <is>
          <t>KING BROWN 600 MM</t>
        </is>
      </c>
      <c r="I1867" s="65" t="inlineStr">
        <is>
          <t>2250648</t>
        </is>
      </c>
      <c r="J1867" s="65" t="inlineStr">
        <is>
          <t>N/D</t>
        </is>
      </c>
      <c r="K1867" s="65" t="inlineStr">
        <is>
          <t>N/D</t>
        </is>
      </c>
      <c r="L1867" s="127" t="inlineStr">
        <is>
          <t>REDOLFI ARMI SRL</t>
        </is>
      </c>
      <c r="M1867" s="5" t="n">
        <v>1350</v>
      </c>
      <c r="N1867" s="5" t="n"/>
      <c r="O1867" s="5">
        <f>+M1867+N1867</f>
        <v/>
      </c>
      <c r="P1867" s="4" t="n">
        <v>45862</v>
      </c>
      <c r="Q1867" s="87" t="n">
        <v>45862</v>
      </c>
      <c r="R1867" s="5" t="n">
        <v>1377</v>
      </c>
      <c r="S1867" s="2" t="n">
        <v>1</v>
      </c>
      <c r="T1867" s="3" t="inlineStr">
        <is>
          <t>CA42796IR</t>
        </is>
      </c>
      <c r="U1867" s="87" t="n">
        <v>45887</v>
      </c>
      <c r="V1867" s="3" t="inlineStr">
        <is>
          <t>28</t>
        </is>
      </c>
      <c r="W1867" s="108" t="n">
        <v>45887</v>
      </c>
      <c r="X1867" s="4" t="inlineStr">
        <is>
          <t>PHILIPPOS  CONSTANTINIDES
TRADING CO.LTD</t>
        </is>
      </c>
    </row>
    <row r="1868" ht="24" customHeight="1">
      <c r="A1868" s="2">
        <f>+D1868-S1868</f>
        <v/>
      </c>
      <c r="B1868" s="80" t="n">
        <v>3494</v>
      </c>
      <c r="C1868" s="66" t="n">
        <v>45862</v>
      </c>
      <c r="D1868" s="2" t="n">
        <v>1</v>
      </c>
      <c r="E1868" s="3" t="inlineStr">
        <is>
          <t>CARABINA AD ARIA COMPRESSA</t>
        </is>
      </c>
      <c r="F1868" s="3" t="inlineStr">
        <is>
          <t>5.5</t>
        </is>
      </c>
      <c r="G1868" s="3" t="inlineStr">
        <is>
          <t>FX</t>
        </is>
      </c>
      <c r="H1868" s="65" t="inlineStr">
        <is>
          <t>LEOPARD 500 MM COMPACT  CFB</t>
        </is>
      </c>
      <c r="I1868" s="65" t="inlineStr">
        <is>
          <t>2250649</t>
        </is>
      </c>
      <c r="J1868" s="65" t="inlineStr">
        <is>
          <t>N/D</t>
        </is>
      </c>
      <c r="K1868" s="65" t="inlineStr">
        <is>
          <t>N/D</t>
        </is>
      </c>
      <c r="L1868" s="127" t="inlineStr">
        <is>
          <t>REDOLFI ARMI SRL</t>
        </is>
      </c>
      <c r="M1868" s="5" t="n">
        <v>1100</v>
      </c>
      <c r="N1868" s="5" t="n"/>
      <c r="O1868" s="5">
        <f>+M1868+N1868</f>
        <v/>
      </c>
      <c r="P1868" s="4" t="n">
        <v>45862</v>
      </c>
      <c r="Q1868" s="87" t="n">
        <v>45862</v>
      </c>
      <c r="R1868" s="5" t="n">
        <v>1122</v>
      </c>
      <c r="S1868" s="2" t="n">
        <v>1</v>
      </c>
      <c r="T1868" s="3" t="inlineStr">
        <is>
          <t>CA42796IR</t>
        </is>
      </c>
      <c r="U1868" s="87" t="n">
        <v>45887</v>
      </c>
      <c r="V1868" s="3" t="inlineStr">
        <is>
          <t>28</t>
        </is>
      </c>
      <c r="W1868" s="108" t="n">
        <v>45887</v>
      </c>
      <c r="X1868" s="4" t="inlineStr">
        <is>
          <t>PHILIPPOS  CONSTANTINIDES
TRADING CO.LTD</t>
        </is>
      </c>
    </row>
    <row r="1869" ht="24" customHeight="1">
      <c r="A1869" s="2">
        <f>+D1869-S1869</f>
        <v/>
      </c>
      <c r="B1869" s="80" t="n">
        <v>3495</v>
      </c>
      <c r="C1869" s="66" t="n">
        <v>45862</v>
      </c>
      <c r="D1869" s="2" t="n">
        <v>1</v>
      </c>
      <c r="E1869" s="3" t="inlineStr">
        <is>
          <t>CARABINA AD ARIA COMPRESSA</t>
        </is>
      </c>
      <c r="F1869" s="3" t="inlineStr">
        <is>
          <t>5.5</t>
        </is>
      </c>
      <c r="G1869" s="3" t="inlineStr">
        <is>
          <t>FX</t>
        </is>
      </c>
      <c r="H1869" s="65" t="inlineStr">
        <is>
          <t>LEOPARD 700 MM CFB</t>
        </is>
      </c>
      <c r="I1869" s="65" t="inlineStr">
        <is>
          <t>2250650</t>
        </is>
      </c>
      <c r="J1869" s="65" t="inlineStr">
        <is>
          <t>N/D</t>
        </is>
      </c>
      <c r="K1869" s="65" t="inlineStr">
        <is>
          <t>N/D</t>
        </is>
      </c>
      <c r="L1869" s="127" t="inlineStr">
        <is>
          <t>REDOLFI ARMI SRL</t>
        </is>
      </c>
      <c r="M1869" s="5" t="n">
        <v>1170</v>
      </c>
      <c r="N1869" s="5" t="n"/>
      <c r="O1869" s="5">
        <f>+M1869+N1869</f>
        <v/>
      </c>
      <c r="P1869" s="4" t="n">
        <v>45862</v>
      </c>
      <c r="Q1869" s="87" t="n">
        <v>45862</v>
      </c>
      <c r="R1869" s="5" t="n">
        <v>1193.4</v>
      </c>
      <c r="S1869" s="2" t="n">
        <v>1</v>
      </c>
      <c r="T1869" s="3" t="inlineStr">
        <is>
          <t>CA42796IR</t>
        </is>
      </c>
      <c r="U1869" s="87" t="n">
        <v>45887</v>
      </c>
      <c r="V1869" s="3" t="inlineStr">
        <is>
          <t>28</t>
        </is>
      </c>
      <c r="W1869" s="108" t="n">
        <v>45887</v>
      </c>
      <c r="X1869" s="4" t="inlineStr">
        <is>
          <t>PHILIPPOS  CONSTANTINIDES
TRADING CO.LTD</t>
        </is>
      </c>
    </row>
    <row r="1870" ht="24" customHeight="1">
      <c r="A1870" s="2">
        <f>+D1870-S1870</f>
        <v/>
      </c>
      <c r="B1870" s="80" t="n"/>
      <c r="C1870" s="66" t="n">
        <v>45862</v>
      </c>
      <c r="D1870" s="2" t="n">
        <v>3</v>
      </c>
      <c r="E1870" s="3" t="inlineStr">
        <is>
          <t>ACCESSORI</t>
        </is>
      </c>
      <c r="F1870" s="3" t="inlineStr">
        <is>
          <t>.22</t>
        </is>
      </c>
      <c r="G1870" s="3" t="inlineStr">
        <is>
          <t>FX</t>
        </is>
      </c>
      <c r="H1870" s="65" t="inlineStr">
        <is>
          <t>STX LINER 700 MM SUPERIOR FACTORY STD TWIST RATE 1:24''</t>
        </is>
      </c>
      <c r="I1870" s="65" t="inlineStr">
        <is>
          <t>N/D</t>
        </is>
      </c>
      <c r="J1870" s="65" t="inlineStr">
        <is>
          <t>N/D</t>
        </is>
      </c>
      <c r="K1870" s="65" t="inlineStr">
        <is>
          <t>N/D</t>
        </is>
      </c>
      <c r="L1870" s="127" t="inlineStr">
        <is>
          <t>REDOLFI ARMI SRL</t>
        </is>
      </c>
      <c r="M1870" s="5" t="n">
        <v>202.5</v>
      </c>
      <c r="N1870" s="5" t="n"/>
      <c r="O1870" s="5">
        <f>+M1870+N1870</f>
        <v/>
      </c>
      <c r="P1870" s="4" t="n">
        <v>45862</v>
      </c>
      <c r="Q1870" s="87" t="n">
        <v>45862</v>
      </c>
      <c r="R1870" s="5" t="n">
        <v>222</v>
      </c>
      <c r="S1870" s="2" t="n">
        <v>3</v>
      </c>
      <c r="T1870" s="3" t="inlineStr">
        <is>
          <t>CA42796IR</t>
        </is>
      </c>
      <c r="U1870" s="87" t="n">
        <v>45887</v>
      </c>
      <c r="V1870" s="3" t="inlineStr">
        <is>
          <t>28</t>
        </is>
      </c>
      <c r="W1870" s="108" t="n">
        <v>45887</v>
      </c>
      <c r="X1870" s="4" t="inlineStr">
        <is>
          <t>PHILIPPOS  CONSTANTINIDES
TRADING CO.LTD</t>
        </is>
      </c>
    </row>
    <row r="1871" ht="24" customHeight="1">
      <c r="A1871" s="2">
        <f>+D1871-S1871</f>
        <v/>
      </c>
      <c r="B1871" s="80" t="n"/>
      <c r="C1871" s="66" t="n">
        <v>45862</v>
      </c>
      <c r="D1871" s="2" t="n">
        <v>1</v>
      </c>
      <c r="E1871" s="3" t="inlineStr">
        <is>
          <t>ACCESSORI</t>
        </is>
      </c>
      <c r="F1871" s="3" t="inlineStr">
        <is>
          <t>.22</t>
        </is>
      </c>
      <c r="G1871" s="3" t="inlineStr">
        <is>
          <t>FX</t>
        </is>
      </c>
      <c r="H1871" s="65" t="inlineStr">
        <is>
          <t>STX LINER 700 MM SUPERIOR SUPERIOR HEAVY TWIST RATE 1:16''</t>
        </is>
      </c>
      <c r="I1871" s="65" t="inlineStr">
        <is>
          <t>N/D</t>
        </is>
      </c>
      <c r="J1871" s="65" t="inlineStr">
        <is>
          <t>N/D</t>
        </is>
      </c>
      <c r="K1871" s="65" t="inlineStr">
        <is>
          <t>N/D</t>
        </is>
      </c>
      <c r="L1871" s="127" t="inlineStr">
        <is>
          <t>REDOLFI ARMI SRL</t>
        </is>
      </c>
      <c r="M1871" s="5" t="n">
        <v>67.5</v>
      </c>
      <c r="N1871" s="5" t="n"/>
      <c r="O1871" s="5">
        <f>+M1871+N1871</f>
        <v/>
      </c>
      <c r="P1871" s="4" t="n">
        <v>45862</v>
      </c>
      <c r="Q1871" s="87" t="n">
        <v>45862</v>
      </c>
      <c r="R1871" s="5" t="n">
        <v>74</v>
      </c>
      <c r="S1871" s="2" t="n">
        <v>1</v>
      </c>
      <c r="T1871" s="3" t="inlineStr">
        <is>
          <t>CA42796IR</t>
        </is>
      </c>
      <c r="U1871" s="87" t="n">
        <v>45887</v>
      </c>
      <c r="V1871" s="3" t="inlineStr">
        <is>
          <t>28</t>
        </is>
      </c>
      <c r="W1871" s="108" t="n">
        <v>45887</v>
      </c>
      <c r="X1871" s="4" t="inlineStr">
        <is>
          <t>PHILIPPOS  CONSTANTINIDES
TRADING CO.LTD</t>
        </is>
      </c>
    </row>
    <row r="1872" ht="24" customHeight="1">
      <c r="A1872" s="2">
        <f>+D1872-S1872</f>
        <v/>
      </c>
      <c r="B1872" s="80" t="n">
        <v>3496</v>
      </c>
      <c r="C1872" s="66" t="n">
        <v>45862</v>
      </c>
      <c r="D1872" s="2" t="n">
        <v>1</v>
      </c>
      <c r="E1872" s="3" t="inlineStr">
        <is>
          <t>CANNA PER CARABINA AD ARIA COMPRESSA</t>
        </is>
      </c>
      <c r="F1872" s="3" t="inlineStr">
        <is>
          <t>.22</t>
        </is>
      </c>
      <c r="G1872" s="3" t="inlineStr">
        <is>
          <t>FX</t>
        </is>
      </c>
      <c r="H1872" s="65" t="inlineStr">
        <is>
          <t>TUBE KIT IMPACT 500 MM</t>
        </is>
      </c>
      <c r="I1872" s="65" t="inlineStr">
        <is>
          <t>N/D</t>
        </is>
      </c>
      <c r="J1872" s="65" t="inlineStr">
        <is>
          <t>2250611</t>
        </is>
      </c>
      <c r="K1872" s="65" t="inlineStr">
        <is>
          <t>N/D</t>
        </is>
      </c>
      <c r="L1872" s="127" t="inlineStr">
        <is>
          <t>REDOLFI ARMI SRL</t>
        </is>
      </c>
      <c r="M1872" s="5" t="n">
        <v>180</v>
      </c>
      <c r="N1872" s="5" t="n"/>
      <c r="O1872" s="5">
        <f>+M1872+N1872</f>
        <v/>
      </c>
      <c r="P1872" s="4" t="n">
        <v>45862</v>
      </c>
      <c r="Q1872" s="87" t="n">
        <v>45862</v>
      </c>
      <c r="R1872" s="5" t="n">
        <v>192</v>
      </c>
      <c r="S1872" s="2" t="n">
        <v>1</v>
      </c>
      <c r="T1872" s="3" t="inlineStr">
        <is>
          <t>CA42796IR</t>
        </is>
      </c>
      <c r="U1872" s="87" t="n">
        <v>45887</v>
      </c>
      <c r="V1872" s="3" t="inlineStr">
        <is>
          <t>28</t>
        </is>
      </c>
      <c r="W1872" s="108" t="n">
        <v>45887</v>
      </c>
      <c r="X1872" s="4" t="inlineStr">
        <is>
          <t>PHILIPPOS  CONSTANTINIDES
TRADING CO.LTD</t>
        </is>
      </c>
    </row>
    <row r="1873" ht="24" customHeight="1">
      <c r="A1873" s="2">
        <f>+D1873-S1873</f>
        <v/>
      </c>
      <c r="B1873" s="80" t="n">
        <v>3497</v>
      </c>
      <c r="C1873" s="66" t="n">
        <v>45862</v>
      </c>
      <c r="D1873" s="2" t="n">
        <v>1</v>
      </c>
      <c r="E1873" s="3" t="inlineStr">
        <is>
          <t>CANNA PER CARABINA AD ARIA COMPRESSA</t>
        </is>
      </c>
      <c r="F1873" s="3" t="inlineStr">
        <is>
          <t>.22</t>
        </is>
      </c>
      <c r="G1873" s="3" t="inlineStr">
        <is>
          <t>FX</t>
        </is>
      </c>
      <c r="H1873" s="65" t="inlineStr">
        <is>
          <t>TUBE KIT IMPACT 500 MM</t>
        </is>
      </c>
      <c r="I1873" s="65" t="inlineStr">
        <is>
          <t>N/D</t>
        </is>
      </c>
      <c r="J1873" s="65" t="inlineStr">
        <is>
          <t>2250610</t>
        </is>
      </c>
      <c r="K1873" s="65" t="inlineStr">
        <is>
          <t>N/D</t>
        </is>
      </c>
      <c r="L1873" s="127" t="inlineStr">
        <is>
          <t>REDOLFI ARMI SRL</t>
        </is>
      </c>
      <c r="M1873" s="5" t="n">
        <v>180</v>
      </c>
      <c r="N1873" s="5" t="n"/>
      <c r="O1873" s="5">
        <f>+M1873+N1873</f>
        <v/>
      </c>
      <c r="P1873" s="4" t="n">
        <v>45862</v>
      </c>
      <c r="Q1873" s="87" t="n">
        <v>45862</v>
      </c>
      <c r="R1873" s="5" t="n">
        <v>192</v>
      </c>
      <c r="S1873" s="2" t="n">
        <v>1</v>
      </c>
      <c r="T1873" s="3" t="inlineStr">
        <is>
          <t>CA42796IR</t>
        </is>
      </c>
      <c r="U1873" s="87" t="n">
        <v>45887</v>
      </c>
      <c r="V1873" s="3" t="inlineStr">
        <is>
          <t>28</t>
        </is>
      </c>
      <c r="W1873" s="108" t="n">
        <v>45887</v>
      </c>
      <c r="X1873" s="4" t="inlineStr">
        <is>
          <t>PHILIPPOS  CONSTANTINIDES
TRADING CO.LTD</t>
        </is>
      </c>
    </row>
    <row r="1874" ht="24" customHeight="1">
      <c r="A1874" s="2">
        <f>+D1874-S1874</f>
        <v/>
      </c>
      <c r="B1874" s="80" t="n">
        <v>3498</v>
      </c>
      <c r="C1874" s="66" t="n">
        <v>45862</v>
      </c>
      <c r="D1874" s="2" t="n">
        <v>1</v>
      </c>
      <c r="E1874" s="3" t="inlineStr">
        <is>
          <t>CANNA PER CARABINA AD ARIA COMPRESSA</t>
        </is>
      </c>
      <c r="F1874" s="3" t="inlineStr">
        <is>
          <t>.22</t>
        </is>
      </c>
      <c r="G1874" s="3" t="inlineStr">
        <is>
          <t>FX</t>
        </is>
      </c>
      <c r="H1874" s="65" t="inlineStr">
        <is>
          <t>TUBE KIT IMPACT 500 MM</t>
        </is>
      </c>
      <c r="I1874" s="65" t="inlineStr">
        <is>
          <t>N/D</t>
        </is>
      </c>
      <c r="J1874" s="65" t="inlineStr">
        <is>
          <t>2250609</t>
        </is>
      </c>
      <c r="K1874" s="65" t="inlineStr">
        <is>
          <t>N/D</t>
        </is>
      </c>
      <c r="L1874" s="127" t="inlineStr">
        <is>
          <t>REDOLFI ARMI SRL</t>
        </is>
      </c>
      <c r="M1874" s="5" t="n">
        <v>180</v>
      </c>
      <c r="N1874" s="5" t="n"/>
      <c r="O1874" s="5">
        <f>+M1874+N1874</f>
        <v/>
      </c>
      <c r="P1874" s="4" t="n">
        <v>45862</v>
      </c>
      <c r="Q1874" s="87" t="n">
        <v>45862</v>
      </c>
      <c r="R1874" s="5" t="n">
        <v>192</v>
      </c>
      <c r="S1874" s="2" t="n">
        <v>1</v>
      </c>
      <c r="T1874" s="3" t="inlineStr">
        <is>
          <t>CA42796IR</t>
        </is>
      </c>
      <c r="U1874" s="87" t="n">
        <v>45887</v>
      </c>
      <c r="V1874" s="3" t="inlineStr">
        <is>
          <t>28</t>
        </is>
      </c>
      <c r="W1874" s="108" t="n">
        <v>45887</v>
      </c>
      <c r="X1874" s="4" t="inlineStr">
        <is>
          <t>PHILIPPOS  CONSTANTINIDES
TRADING CO.LTD</t>
        </is>
      </c>
    </row>
    <row r="1875" ht="24" customHeight="1">
      <c r="A1875" s="2">
        <f>+D1875-S1875</f>
        <v/>
      </c>
      <c r="B1875" s="80" t="n">
        <v>3499</v>
      </c>
      <c r="C1875" s="66" t="n">
        <v>45862</v>
      </c>
      <c r="D1875" s="2" t="n">
        <v>1</v>
      </c>
      <c r="E1875" s="3" t="inlineStr">
        <is>
          <t>CANNA PER CARABINA AD ARIA COMPRESSA</t>
        </is>
      </c>
      <c r="F1875" s="3" t="inlineStr">
        <is>
          <t>.22</t>
        </is>
      </c>
      <c r="G1875" s="3" t="inlineStr">
        <is>
          <t>FX</t>
        </is>
      </c>
      <c r="H1875" s="65" t="inlineStr">
        <is>
          <t>TUBE KIT IMPACT 500 MM</t>
        </is>
      </c>
      <c r="I1875" s="65" t="inlineStr">
        <is>
          <t>N/D</t>
        </is>
      </c>
      <c r="J1875" s="65" t="inlineStr">
        <is>
          <t>2250605</t>
        </is>
      </c>
      <c r="K1875" s="65" t="inlineStr">
        <is>
          <t>N/D</t>
        </is>
      </c>
      <c r="L1875" s="127" t="inlineStr">
        <is>
          <t>REDOLFI ARMI SRL</t>
        </is>
      </c>
      <c r="M1875" s="5" t="n">
        <v>180</v>
      </c>
      <c r="N1875" s="5" t="n"/>
      <c r="O1875" s="5">
        <f>+M1875+N1875</f>
        <v/>
      </c>
      <c r="P1875" s="4" t="n">
        <v>45862</v>
      </c>
      <c r="Q1875" s="87" t="n">
        <v>45862</v>
      </c>
      <c r="R1875" s="5" t="n">
        <v>192</v>
      </c>
      <c r="S1875" s="2" t="n">
        <v>1</v>
      </c>
      <c r="T1875" s="3" t="inlineStr">
        <is>
          <t>CA42796IR</t>
        </is>
      </c>
      <c r="U1875" s="87" t="n">
        <v>45887</v>
      </c>
      <c r="V1875" s="3" t="inlineStr">
        <is>
          <t>28</t>
        </is>
      </c>
      <c r="W1875" s="108" t="n">
        <v>45887</v>
      </c>
      <c r="X1875" s="4" t="inlineStr">
        <is>
          <t>PHILIPPOS  CONSTANTINIDES
TRADING CO.LTD</t>
        </is>
      </c>
    </row>
    <row r="1876" ht="24" customHeight="1">
      <c r="A1876" s="2">
        <f>+D1876-S1876</f>
        <v/>
      </c>
      <c r="B1876" s="80" t="n">
        <v>3500</v>
      </c>
      <c r="C1876" s="66" t="n">
        <v>45862</v>
      </c>
      <c r="D1876" s="2" t="n">
        <v>1</v>
      </c>
      <c r="E1876" s="3" t="inlineStr">
        <is>
          <t>CANNA PER CARABINA AD ARIA COMPRESSA</t>
        </is>
      </c>
      <c r="F1876" s="3" t="inlineStr">
        <is>
          <t>.22</t>
        </is>
      </c>
      <c r="G1876" s="3" t="inlineStr">
        <is>
          <t>FX</t>
        </is>
      </c>
      <c r="H1876" s="65" t="inlineStr">
        <is>
          <t>TUBE KIT IMPACT 500 MM</t>
        </is>
      </c>
      <c r="I1876" s="65" t="inlineStr">
        <is>
          <t>N/D</t>
        </is>
      </c>
      <c r="J1876" s="65" t="inlineStr">
        <is>
          <t>2250607</t>
        </is>
      </c>
      <c r="K1876" s="65" t="inlineStr">
        <is>
          <t>N/D</t>
        </is>
      </c>
      <c r="L1876" s="127" t="inlineStr">
        <is>
          <t>REDOLFI ARMI SRL</t>
        </is>
      </c>
      <c r="M1876" s="5" t="n">
        <v>180</v>
      </c>
      <c r="N1876" s="5" t="n"/>
      <c r="O1876" s="5">
        <f>+M1876+N1876</f>
        <v/>
      </c>
      <c r="P1876" s="4" t="n">
        <v>45862</v>
      </c>
      <c r="Q1876" s="87" t="n">
        <v>45862</v>
      </c>
      <c r="R1876" s="5" t="n">
        <v>192</v>
      </c>
      <c r="S1876" s="2" t="n">
        <v>1</v>
      </c>
      <c r="T1876" s="3" t="inlineStr">
        <is>
          <t>CA42796IR</t>
        </is>
      </c>
      <c r="U1876" s="87" t="n">
        <v>45887</v>
      </c>
      <c r="V1876" s="3" t="inlineStr">
        <is>
          <t>28</t>
        </is>
      </c>
      <c r="W1876" s="108" t="n">
        <v>45887</v>
      </c>
      <c r="X1876" s="4" t="inlineStr">
        <is>
          <t>PHILIPPOS  CONSTANTINIDES
TRADING CO.LTD</t>
        </is>
      </c>
    </row>
    <row r="1877" ht="24" customHeight="1">
      <c r="A1877" s="2">
        <f>+D1877-S1877</f>
        <v/>
      </c>
      <c r="B1877" s="80" t="n">
        <v>3501</v>
      </c>
      <c r="C1877" s="66" t="n">
        <v>45862</v>
      </c>
      <c r="D1877" s="2" t="n">
        <v>1</v>
      </c>
      <c r="E1877" s="3" t="inlineStr">
        <is>
          <t>CANNA PER CARABINA AD ARIA COMPRESSA</t>
        </is>
      </c>
      <c r="F1877" s="3" t="inlineStr">
        <is>
          <t>.22</t>
        </is>
      </c>
      <c r="G1877" s="3" t="inlineStr">
        <is>
          <t>FX</t>
        </is>
      </c>
      <c r="H1877" s="65" t="inlineStr">
        <is>
          <t>TUBE KIT IMPACT 700 MM</t>
        </is>
      </c>
      <c r="I1877" s="65" t="inlineStr">
        <is>
          <t>N/D</t>
        </is>
      </c>
      <c r="J1877" s="65" t="inlineStr">
        <is>
          <t>2250614</t>
        </is>
      </c>
      <c r="K1877" s="65" t="inlineStr">
        <is>
          <t>N/D</t>
        </is>
      </c>
      <c r="L1877" s="127" t="inlineStr">
        <is>
          <t>REDOLFI ARMI SRL</t>
        </is>
      </c>
      <c r="M1877" s="5" t="n">
        <v>215</v>
      </c>
      <c r="N1877" s="5" t="n"/>
      <c r="O1877" s="5">
        <f>+M1877+N1877</f>
        <v/>
      </c>
      <c r="P1877" s="4" t="n">
        <v>45862</v>
      </c>
      <c r="Q1877" s="87" t="n">
        <v>45862</v>
      </c>
      <c r="R1877" s="5" t="n">
        <v>225</v>
      </c>
      <c r="S1877" s="2" t="n">
        <v>1</v>
      </c>
      <c r="T1877" s="3" t="inlineStr">
        <is>
          <t>CA42796IR</t>
        </is>
      </c>
      <c r="U1877" s="87" t="n">
        <v>45887</v>
      </c>
      <c r="V1877" s="3" t="inlineStr">
        <is>
          <t>28</t>
        </is>
      </c>
      <c r="W1877" s="108" t="n">
        <v>45887</v>
      </c>
      <c r="X1877" s="4" t="inlineStr">
        <is>
          <t>PHILIPPOS  CONSTANTINIDES
TRADING CO.LTD</t>
        </is>
      </c>
    </row>
    <row r="1878" ht="24" customHeight="1">
      <c r="A1878" s="2">
        <f>+D1878-S1878</f>
        <v/>
      </c>
      <c r="B1878" s="80" t="n">
        <v>3502</v>
      </c>
      <c r="C1878" s="66" t="n">
        <v>45862</v>
      </c>
      <c r="D1878" s="2" t="n">
        <v>1</v>
      </c>
      <c r="E1878" s="3" t="inlineStr">
        <is>
          <t>CANNA PER CARABINA AD ARIA COMPRESSA</t>
        </is>
      </c>
      <c r="F1878" s="3" t="inlineStr">
        <is>
          <t>.22</t>
        </is>
      </c>
      <c r="G1878" s="3" t="inlineStr">
        <is>
          <t>FX</t>
        </is>
      </c>
      <c r="H1878" s="65" t="inlineStr">
        <is>
          <t>TUBE KIT IMPACT 800 MM</t>
        </is>
      </c>
      <c r="I1878" s="65" t="inlineStr">
        <is>
          <t>N/D</t>
        </is>
      </c>
      <c r="J1878" s="65" t="inlineStr">
        <is>
          <t>500045</t>
        </is>
      </c>
      <c r="K1878" s="65" t="inlineStr">
        <is>
          <t>N/D</t>
        </is>
      </c>
      <c r="L1878" s="127" t="inlineStr">
        <is>
          <t>REDOLFI ARMI SRL</t>
        </is>
      </c>
      <c r="M1878" s="5" t="n">
        <v>235</v>
      </c>
      <c r="N1878" s="5" t="n"/>
      <c r="O1878" s="5">
        <f>+M1878+N1878</f>
        <v/>
      </c>
      <c r="P1878" s="4" t="n">
        <v>45862</v>
      </c>
      <c r="Q1878" s="87" t="n">
        <v>45862</v>
      </c>
      <c r="R1878" s="5" t="n">
        <v>245</v>
      </c>
      <c r="S1878" s="2" t="n">
        <v>1</v>
      </c>
      <c r="T1878" s="3" t="inlineStr">
        <is>
          <t>CA42796IR</t>
        </is>
      </c>
      <c r="U1878" s="87" t="n">
        <v>45887</v>
      </c>
      <c r="V1878" s="3" t="inlineStr">
        <is>
          <t>28</t>
        </is>
      </c>
      <c r="W1878" s="108" t="n">
        <v>45887</v>
      </c>
      <c r="X1878" s="4" t="inlineStr">
        <is>
          <t>PHILIPPOS  CONSTANTINIDES
TRADING CO.LTD</t>
        </is>
      </c>
    </row>
    <row r="1879" ht="24" customHeight="1">
      <c r="A1879" s="2">
        <f>+D1879-S1879</f>
        <v/>
      </c>
      <c r="B1879" s="80" t="n"/>
      <c r="C1879" s="66" t="n">
        <v>45862</v>
      </c>
      <c r="D1879" s="2" t="n">
        <v>3</v>
      </c>
      <c r="E1879" s="3" t="inlineStr">
        <is>
          <t>ACCESSORI</t>
        </is>
      </c>
      <c r="F1879" s="3" t="inlineStr">
        <is>
          <t>N/D</t>
        </is>
      </c>
      <c r="G1879" s="3" t="inlineStr">
        <is>
          <t>FX</t>
        </is>
      </c>
      <c r="H1879" s="65" t="inlineStr">
        <is>
          <t>POWER SLUG KIT TUNGSTEN IMPACT M4</t>
        </is>
      </c>
      <c r="I1879" s="65" t="inlineStr">
        <is>
          <t>N/D</t>
        </is>
      </c>
      <c r="J1879" s="65" t="inlineStr">
        <is>
          <t>N/D</t>
        </is>
      </c>
      <c r="K1879" s="65" t="inlineStr">
        <is>
          <t>N/D</t>
        </is>
      </c>
      <c r="L1879" s="127" t="inlineStr">
        <is>
          <t>REDOLFI ARMI SRL</t>
        </is>
      </c>
      <c r="M1879" s="5" t="n">
        <v>111</v>
      </c>
      <c r="N1879" s="5" t="n"/>
      <c r="O1879" s="5">
        <f>+M1879+N1879</f>
        <v/>
      </c>
      <c r="P1879" s="4" t="n">
        <v>45862</v>
      </c>
      <c r="Q1879" s="87" t="n">
        <v>45862</v>
      </c>
      <c r="R1879" s="5" t="n">
        <v>120</v>
      </c>
      <c r="S1879" s="2" t="n">
        <v>1</v>
      </c>
      <c r="T1879" s="3" t="inlineStr">
        <is>
          <t>CA42796IR</t>
        </is>
      </c>
      <c r="U1879" s="87" t="n">
        <v>45887</v>
      </c>
      <c r="V1879" s="3" t="inlineStr">
        <is>
          <t>28</t>
        </is>
      </c>
      <c r="W1879" s="108" t="n">
        <v>45887</v>
      </c>
      <c r="X1879" s="4" t="inlineStr">
        <is>
          <t>PHILIPPOS  CONSTANTINIDES
TRADING CO.LTD</t>
        </is>
      </c>
    </row>
    <row r="1880" ht="39" customHeight="1">
      <c r="A1880" s="2">
        <f>+D1880-S1880</f>
        <v/>
      </c>
      <c r="B1880" s="80" t="n"/>
      <c r="C1880" s="66" t="n">
        <v>45862</v>
      </c>
      <c r="D1880" s="2" t="n">
        <v>1</v>
      </c>
      <c r="E1880" s="3" t="inlineStr">
        <is>
          <t>ACCESSORI</t>
        </is>
      </c>
      <c r="F1880" s="3" t="inlineStr">
        <is>
          <t>N/D</t>
        </is>
      </c>
      <c r="G1880" s="3" t="inlineStr">
        <is>
          <t>FX</t>
        </is>
      </c>
      <c r="H1880" s="65" t="inlineStr">
        <is>
          <t>POWER SLUG KIT TUNGSTEN MAVERICK/WILDCAT/PANTHERA/KING/DYNAMIC/DRS</t>
        </is>
      </c>
      <c r="I1880" s="65" t="inlineStr">
        <is>
          <t>N/D</t>
        </is>
      </c>
      <c r="J1880" s="65" t="inlineStr">
        <is>
          <t>N/D</t>
        </is>
      </c>
      <c r="K1880" s="65" t="inlineStr">
        <is>
          <t>N/D</t>
        </is>
      </c>
      <c r="L1880" s="127" t="inlineStr">
        <is>
          <t>REDOLFI ARMI SRL</t>
        </is>
      </c>
      <c r="M1880" s="5" t="n">
        <v>37</v>
      </c>
      <c r="N1880" s="5" t="n"/>
      <c r="O1880" s="5">
        <f>+M1880+N1880</f>
        <v/>
      </c>
      <c r="P1880" s="4" t="n">
        <v>45862</v>
      </c>
      <c r="Q1880" s="87" t="n">
        <v>45862</v>
      </c>
      <c r="R1880" s="5" t="n">
        <v>40</v>
      </c>
      <c r="S1880" s="2" t="n">
        <v>1</v>
      </c>
      <c r="T1880" s="3" t="inlineStr">
        <is>
          <t>CA42796IR</t>
        </is>
      </c>
      <c r="U1880" s="87" t="n">
        <v>45887</v>
      </c>
      <c r="V1880" s="3" t="inlineStr">
        <is>
          <t>28</t>
        </is>
      </c>
      <c r="W1880" s="108" t="n">
        <v>45887</v>
      </c>
      <c r="X1880" s="4" t="inlineStr">
        <is>
          <t>PHILIPPOS  CONSTANTINIDES
TRADING CO.LTD</t>
        </is>
      </c>
    </row>
    <row r="1881" ht="24" customHeight="1">
      <c r="A1881" s="2">
        <f>+D1881-S1881</f>
        <v/>
      </c>
      <c r="B1881" s="80" t="n"/>
      <c r="C1881" s="66" t="n">
        <v>45862</v>
      </c>
      <c r="D1881" s="2" t="n">
        <v>3</v>
      </c>
      <c r="E1881" s="3" t="inlineStr">
        <is>
          <t>ACCESSORI</t>
        </is>
      </c>
      <c r="F1881" s="3" t="inlineStr">
        <is>
          <t>.22</t>
        </is>
      </c>
      <c r="G1881" s="3" t="inlineStr">
        <is>
          <t>FX</t>
        </is>
      </c>
      <c r="H1881" s="65" t="inlineStr">
        <is>
          <t>MAGAZINE SS MEGA DUAL LID</t>
        </is>
      </c>
      <c r="I1881" s="65" t="inlineStr">
        <is>
          <t>N/D</t>
        </is>
      </c>
      <c r="J1881" s="65" t="inlineStr">
        <is>
          <t>N/D</t>
        </is>
      </c>
      <c r="K1881" s="65" t="inlineStr">
        <is>
          <t>N/D</t>
        </is>
      </c>
      <c r="L1881" s="127" t="inlineStr">
        <is>
          <t>REDOLFI ARMI SRL</t>
        </is>
      </c>
      <c r="M1881" s="5" t="n">
        <v>96</v>
      </c>
      <c r="N1881" s="5" t="n"/>
      <c r="O1881" s="5">
        <f>+M1881+N1881</f>
        <v/>
      </c>
      <c r="P1881" s="4" t="n">
        <v>45862</v>
      </c>
      <c r="Q1881" s="87" t="n">
        <v>45862</v>
      </c>
      <c r="R1881" s="5" t="n">
        <v>105</v>
      </c>
      <c r="S1881" s="2" t="n">
        <v>3</v>
      </c>
      <c r="T1881" s="3" t="inlineStr">
        <is>
          <t>CA42796IR</t>
        </is>
      </c>
      <c r="U1881" s="87" t="n">
        <v>45887</v>
      </c>
      <c r="V1881" s="3" t="inlineStr">
        <is>
          <t>28</t>
        </is>
      </c>
      <c r="W1881" s="108" t="n">
        <v>45887</v>
      </c>
      <c r="X1881" s="4" t="inlineStr">
        <is>
          <t>PHILIPPOS  CONSTANTINIDES
TRADING CO.LTD</t>
        </is>
      </c>
    </row>
    <row r="1882" ht="24" customHeight="1">
      <c r="A1882" s="2">
        <f>+D1882-S1882</f>
        <v/>
      </c>
      <c r="B1882" s="80" t="n"/>
      <c r="C1882" s="66" t="n">
        <v>45862</v>
      </c>
      <c r="D1882" s="2" t="n">
        <v>13</v>
      </c>
      <c r="E1882" s="3" t="inlineStr">
        <is>
          <t>ACCESSORI</t>
        </is>
      </c>
      <c r="F1882" s="3" t="inlineStr">
        <is>
          <t>.22</t>
        </is>
      </c>
      <c r="G1882" s="3" t="inlineStr">
        <is>
          <t>FX</t>
        </is>
      </c>
      <c r="H1882" s="65" t="inlineStr">
        <is>
          <t>MAGAZINE HI-CAP 28</t>
        </is>
      </c>
      <c r="I1882" s="65" t="inlineStr">
        <is>
          <t>N/D</t>
        </is>
      </c>
      <c r="J1882" s="65" t="inlineStr">
        <is>
          <t>N/D</t>
        </is>
      </c>
      <c r="K1882" s="65" t="inlineStr">
        <is>
          <t>N/D</t>
        </is>
      </c>
      <c r="L1882" s="127" t="inlineStr">
        <is>
          <t>REDOLFI ARMI SRL</t>
        </is>
      </c>
      <c r="M1882" s="5" t="n">
        <v>429</v>
      </c>
      <c r="N1882" s="5" t="n"/>
      <c r="O1882" s="5">
        <f>+M1882+N1882</f>
        <v/>
      </c>
      <c r="P1882" s="4" t="n">
        <v>45862</v>
      </c>
      <c r="Q1882" s="87" t="n">
        <v>45862</v>
      </c>
      <c r="R1882" s="5" t="n">
        <v>468</v>
      </c>
      <c r="S1882" s="2" t="n">
        <v>13</v>
      </c>
      <c r="T1882" s="3" t="inlineStr">
        <is>
          <t>CA42796IR</t>
        </is>
      </c>
      <c r="U1882" s="87" t="n">
        <v>45887</v>
      </c>
      <c r="V1882" s="3" t="inlineStr">
        <is>
          <t>28</t>
        </is>
      </c>
      <c r="W1882" s="108" t="n">
        <v>45887</v>
      </c>
      <c r="X1882" s="4" t="inlineStr">
        <is>
          <t>PHILIPPOS  CONSTANTINIDES
TRADING CO.LTD</t>
        </is>
      </c>
    </row>
    <row r="1883" ht="24" customHeight="1">
      <c r="A1883" s="2">
        <f>+D1883-S1883</f>
        <v/>
      </c>
      <c r="B1883" s="80" t="n"/>
      <c r="C1883" s="66" t="n">
        <v>45862</v>
      </c>
      <c r="D1883" s="2" t="n">
        <v>2</v>
      </c>
      <c r="E1883" s="3" t="inlineStr">
        <is>
          <t>ACCESSORI</t>
        </is>
      </c>
      <c r="F1883" s="3" t="inlineStr">
        <is>
          <t>.22</t>
        </is>
      </c>
      <c r="G1883" s="3" t="inlineStr">
        <is>
          <t>FX</t>
        </is>
      </c>
      <c r="H1883" s="65" t="inlineStr">
        <is>
          <t>MAGAZINE MINI 11-SHOT DRS PRO</t>
        </is>
      </c>
      <c r="I1883" s="65" t="inlineStr">
        <is>
          <t>N/D</t>
        </is>
      </c>
      <c r="J1883" s="65" t="inlineStr">
        <is>
          <t>N/D</t>
        </is>
      </c>
      <c r="K1883" s="65" t="inlineStr">
        <is>
          <t>N/D</t>
        </is>
      </c>
      <c r="L1883" s="127" t="inlineStr">
        <is>
          <t>REDOLFI ARMI SRL</t>
        </is>
      </c>
      <c r="M1883" s="5" t="n">
        <v>66</v>
      </c>
      <c r="N1883" s="5" t="n"/>
      <c r="O1883" s="5">
        <f>+M1883+N1883</f>
        <v/>
      </c>
      <c r="P1883" s="4" t="n">
        <v>45862</v>
      </c>
      <c r="Q1883" s="87" t="n">
        <v>45862</v>
      </c>
      <c r="R1883" s="5" t="n">
        <v>72</v>
      </c>
      <c r="S1883" s="2" t="n">
        <v>2</v>
      </c>
      <c r="T1883" s="3" t="inlineStr">
        <is>
          <t>CA42796IR</t>
        </is>
      </c>
      <c r="U1883" s="87" t="n">
        <v>45887</v>
      </c>
      <c r="V1883" s="3" t="inlineStr">
        <is>
          <t>28</t>
        </is>
      </c>
      <c r="W1883" s="108" t="n">
        <v>45887</v>
      </c>
      <c r="X1883" s="4" t="inlineStr">
        <is>
          <t>PHILIPPOS  CONSTANTINIDES
TRADING CO.LTD</t>
        </is>
      </c>
    </row>
    <row r="1884" ht="24" customHeight="1">
      <c r="A1884" s="2">
        <f>+D1884-S1884</f>
        <v/>
      </c>
      <c r="B1884" s="80" t="n"/>
      <c r="C1884" s="66" t="n">
        <v>45862</v>
      </c>
      <c r="D1884" s="2" t="n">
        <v>15</v>
      </c>
      <c r="E1884" s="3" t="inlineStr">
        <is>
          <t>ACCESSORI</t>
        </is>
      </c>
      <c r="F1884" s="3" t="inlineStr">
        <is>
          <t>N/D</t>
        </is>
      </c>
      <c r="G1884" s="3" t="inlineStr">
        <is>
          <t>FX</t>
        </is>
      </c>
      <c r="H1884" s="65" t="inlineStr">
        <is>
          <t>IMPACT M4 REPAIR KIT</t>
        </is>
      </c>
      <c r="I1884" s="65" t="inlineStr">
        <is>
          <t>N/D</t>
        </is>
      </c>
      <c r="J1884" s="65" t="inlineStr">
        <is>
          <t>N/D</t>
        </is>
      </c>
      <c r="K1884" s="65" t="inlineStr">
        <is>
          <t>N/D</t>
        </is>
      </c>
      <c r="L1884" s="127" t="inlineStr">
        <is>
          <t>REDOLFI ARMI SRL</t>
        </is>
      </c>
      <c r="M1884" s="5" t="n">
        <v>585</v>
      </c>
      <c r="N1884" s="5" t="n"/>
      <c r="O1884" s="5">
        <f>+M1884+N1884</f>
        <v/>
      </c>
      <c r="P1884" s="4" t="n">
        <v>45862</v>
      </c>
      <c r="Q1884" s="87" t="n">
        <v>45862</v>
      </c>
      <c r="R1884" s="5" t="n">
        <v>615</v>
      </c>
      <c r="S1884" s="2" t="n">
        <v>15</v>
      </c>
      <c r="T1884" s="3" t="inlineStr">
        <is>
          <t>CA42796IR</t>
        </is>
      </c>
      <c r="U1884" s="87" t="n">
        <v>45887</v>
      </c>
      <c r="V1884" s="3" t="inlineStr">
        <is>
          <t>28</t>
        </is>
      </c>
      <c r="W1884" s="108" t="n">
        <v>45887</v>
      </c>
      <c r="X1884" s="4" t="inlineStr">
        <is>
          <t>PHILIPPOS  CONSTANTINIDES
TRADING CO.LTD</t>
        </is>
      </c>
    </row>
    <row r="1885" ht="24" customHeight="1">
      <c r="A1885" s="2">
        <f>+D1885-S1885</f>
        <v/>
      </c>
      <c r="B1885" s="80" t="n">
        <v>3503</v>
      </c>
      <c r="C1885" s="66" t="n">
        <v>45862</v>
      </c>
      <c r="D1885" s="2" t="n">
        <v>1</v>
      </c>
      <c r="E1885" s="3" t="inlineStr">
        <is>
          <t>CARABINA</t>
        </is>
      </c>
      <c r="F1885" s="3" t="inlineStr">
        <is>
          <t>.223 REM</t>
        </is>
      </c>
      <c r="G1885" s="3" t="inlineStr">
        <is>
          <t>BERGARA</t>
        </is>
      </c>
      <c r="H1885" s="65" t="inlineStr">
        <is>
          <t>B14 20'' CREST D.M. C.CLASS</t>
        </is>
      </c>
      <c r="I1885" s="65" t="inlineStr">
        <is>
          <t>61-06-115289-24</t>
        </is>
      </c>
      <c r="J1885" s="65" t="inlineStr">
        <is>
          <t>N/D</t>
        </is>
      </c>
      <c r="K1885" s="65" t="inlineStr">
        <is>
          <t>N/D</t>
        </is>
      </c>
      <c r="L1885" s="127" t="inlineStr">
        <is>
          <t>REDOLFI ARMI SRL</t>
        </is>
      </c>
      <c r="M1885" s="5" t="n">
        <v>1125.9</v>
      </c>
      <c r="N1885" s="5" t="n"/>
      <c r="O1885" s="5">
        <f>+M1885+N1885</f>
        <v/>
      </c>
      <c r="P1885" s="4" t="n">
        <v>45862</v>
      </c>
      <c r="Q1885" s="87" t="n">
        <v>45862</v>
      </c>
      <c r="R1885" s="5" t="n">
        <v>1183</v>
      </c>
      <c r="S1885" s="2" t="n">
        <v>1</v>
      </c>
      <c r="T1885" s="3" t="inlineStr">
        <is>
          <t>CA04954OS</t>
        </is>
      </c>
      <c r="U1885" s="87" t="n">
        <v>45874</v>
      </c>
      <c r="V1885" s="3" t="inlineStr">
        <is>
          <t>26</t>
        </is>
      </c>
      <c r="W1885" s="4" t="n">
        <v>45874</v>
      </c>
      <c r="X1885" s="4" t="inlineStr">
        <is>
          <t>PHILIPPOS  CONSTANTINIDES
TRADING CO.LTD</t>
        </is>
      </c>
    </row>
    <row r="1886" ht="24" customHeight="1">
      <c r="A1886" s="2">
        <f>+D1886-S1886</f>
        <v/>
      </c>
      <c r="B1886" s="80" t="n">
        <v>3504</v>
      </c>
      <c r="C1886" s="66" t="n">
        <v>45862</v>
      </c>
      <c r="D1886" s="2" t="n">
        <v>1</v>
      </c>
      <c r="E1886" s="3" t="inlineStr">
        <is>
          <t>CARABINA</t>
        </is>
      </c>
      <c r="F1886" s="3" t="inlineStr">
        <is>
          <t>.223 REM</t>
        </is>
      </c>
      <c r="G1886" s="3" t="inlineStr">
        <is>
          <t>BERGARA</t>
        </is>
      </c>
      <c r="H1886" s="65" t="inlineStr">
        <is>
          <t>B14 20'' CREST D.M. C.CLASS</t>
        </is>
      </c>
      <c r="I1886" s="65" t="inlineStr">
        <is>
          <t>61-06-118164-24</t>
        </is>
      </c>
      <c r="J1886" s="65" t="inlineStr">
        <is>
          <t>N/D</t>
        </is>
      </c>
      <c r="K1886" s="65" t="inlineStr">
        <is>
          <t>N/D</t>
        </is>
      </c>
      <c r="L1886" s="127" t="inlineStr">
        <is>
          <t>REDOLFI ARMI SRL</t>
        </is>
      </c>
      <c r="M1886" s="5" t="n">
        <v>1125.9</v>
      </c>
      <c r="N1886" s="5" t="n"/>
      <c r="O1886" s="5">
        <f>+M1886+N1886</f>
        <v/>
      </c>
      <c r="P1886" s="4" t="n">
        <v>45862</v>
      </c>
      <c r="Q1886" s="87" t="n">
        <v>45862</v>
      </c>
      <c r="R1886" s="5" t="n">
        <v>1183</v>
      </c>
      <c r="S1886" s="2" t="n">
        <v>1</v>
      </c>
      <c r="T1886" s="3" t="inlineStr">
        <is>
          <t>CA04954OS</t>
        </is>
      </c>
      <c r="U1886" s="87" t="n">
        <v>45874</v>
      </c>
      <c r="V1886" s="3" t="inlineStr">
        <is>
          <t>26</t>
        </is>
      </c>
      <c r="W1886" s="4" t="n">
        <v>45874</v>
      </c>
      <c r="X1886" s="4" t="inlineStr">
        <is>
          <t>PHILIPPOS  CONSTANTINIDES
TRADING CO.LTD</t>
        </is>
      </c>
    </row>
    <row r="1887" ht="24" customHeight="1">
      <c r="A1887" s="2">
        <f>+D1887-S1887</f>
        <v/>
      </c>
      <c r="B1887" s="80" t="n">
        <v>3505</v>
      </c>
      <c r="C1887" s="66" t="n">
        <v>45862</v>
      </c>
      <c r="D1887" s="2" t="n">
        <v>1</v>
      </c>
      <c r="E1887" s="3" t="inlineStr">
        <is>
          <t>CARABINA</t>
        </is>
      </c>
      <c r="F1887" s="3" t="inlineStr">
        <is>
          <t>.223 REM</t>
        </is>
      </c>
      <c r="G1887" s="3" t="inlineStr">
        <is>
          <t>BERGARA</t>
        </is>
      </c>
      <c r="H1887" s="65" t="inlineStr">
        <is>
          <t>B14 20'' CREST D.M. C.CLASS</t>
        </is>
      </c>
      <c r="I1887" s="65" t="inlineStr">
        <is>
          <t>61-06-117513-24</t>
        </is>
      </c>
      <c r="J1887" s="65" t="inlineStr">
        <is>
          <t>N/D</t>
        </is>
      </c>
      <c r="K1887" s="65" t="inlineStr">
        <is>
          <t>N/D</t>
        </is>
      </c>
      <c r="L1887" s="127" t="inlineStr">
        <is>
          <t>REDOLFI ARMI SRL</t>
        </is>
      </c>
      <c r="M1887" s="5" t="n">
        <v>1125.9</v>
      </c>
      <c r="N1887" s="5" t="n"/>
      <c r="O1887" s="5">
        <f>+M1887+N1887</f>
        <v/>
      </c>
      <c r="P1887" s="4" t="n">
        <v>45862</v>
      </c>
      <c r="Q1887" s="87" t="n">
        <v>45862</v>
      </c>
      <c r="R1887" s="5" t="n">
        <v>1183</v>
      </c>
      <c r="S1887" s="2" t="n">
        <v>1</v>
      </c>
      <c r="T1887" s="3" t="inlineStr">
        <is>
          <t>CA04954OS</t>
        </is>
      </c>
      <c r="U1887" s="87" t="n">
        <v>45874</v>
      </c>
      <c r="V1887" s="3" t="inlineStr">
        <is>
          <t>26</t>
        </is>
      </c>
      <c r="W1887" s="4" t="n">
        <v>45874</v>
      </c>
      <c r="X1887" s="4" t="inlineStr">
        <is>
          <t>PHILIPPOS  CONSTANTINIDES
TRADING CO.LTD</t>
        </is>
      </c>
    </row>
    <row r="1888" ht="24" customHeight="1">
      <c r="A1888" s="2">
        <f>+D1888-S1888</f>
        <v/>
      </c>
      <c r="B1888" s="80" t="n">
        <v>3506</v>
      </c>
      <c r="C1888" s="66" t="n">
        <v>45862</v>
      </c>
      <c r="D1888" s="2" t="n">
        <v>1</v>
      </c>
      <c r="E1888" s="3" t="inlineStr">
        <is>
          <t>CARABINA</t>
        </is>
      </c>
      <c r="F1888" s="3" t="inlineStr">
        <is>
          <t>.223 REM</t>
        </is>
      </c>
      <c r="G1888" s="3" t="inlineStr">
        <is>
          <t>BERGARA</t>
        </is>
      </c>
      <c r="H1888" s="65" t="inlineStr">
        <is>
          <t>B14 20'' CREST D.M. C.CLASS</t>
        </is>
      </c>
      <c r="I1888" s="65" t="inlineStr">
        <is>
          <t>61-06-118165-24</t>
        </is>
      </c>
      <c r="J1888" s="65" t="inlineStr">
        <is>
          <t>N/D</t>
        </is>
      </c>
      <c r="K1888" s="65" t="inlineStr">
        <is>
          <t>N/D</t>
        </is>
      </c>
      <c r="L1888" s="127" t="inlineStr">
        <is>
          <t>REDOLFI ARMI SRL</t>
        </is>
      </c>
      <c r="M1888" s="5" t="n">
        <v>1125.9</v>
      </c>
      <c r="N1888" s="5" t="n"/>
      <c r="O1888" s="5">
        <f>+M1888+N1888</f>
        <v/>
      </c>
      <c r="P1888" s="4" t="n">
        <v>45862</v>
      </c>
      <c r="Q1888" s="87" t="n">
        <v>45862</v>
      </c>
      <c r="R1888" s="5" t="n">
        <v>1183</v>
      </c>
      <c r="S1888" s="2" t="n">
        <v>1</v>
      </c>
      <c r="T1888" s="3" t="inlineStr">
        <is>
          <t>CA04954OS</t>
        </is>
      </c>
      <c r="U1888" s="87" t="n">
        <v>45874</v>
      </c>
      <c r="V1888" s="3" t="inlineStr">
        <is>
          <t>26</t>
        </is>
      </c>
      <c r="W1888" s="4" t="n">
        <v>45874</v>
      </c>
      <c r="X1888" s="4" t="inlineStr">
        <is>
          <t>PHILIPPOS  CONSTANTINIDES
TRADING CO.LTD</t>
        </is>
      </c>
    </row>
    <row r="1889" ht="24" customHeight="1">
      <c r="A1889" s="2">
        <f>+D1889-S1889</f>
        <v/>
      </c>
      <c r="B1889" s="80" t="n">
        <v>3507</v>
      </c>
      <c r="C1889" s="66" t="n">
        <v>45862</v>
      </c>
      <c r="D1889" s="2" t="n">
        <v>1</v>
      </c>
      <c r="E1889" s="3" t="inlineStr">
        <is>
          <t>CARABINA</t>
        </is>
      </c>
      <c r="F1889" s="3" t="inlineStr">
        <is>
          <t>.223 REM</t>
        </is>
      </c>
      <c r="G1889" s="3" t="inlineStr">
        <is>
          <t>BERGARA</t>
        </is>
      </c>
      <c r="H1889" s="65" t="inlineStr">
        <is>
          <t>B14 20'' CREST D.M. C.CLASS</t>
        </is>
      </c>
      <c r="I1889" s="65" t="inlineStr">
        <is>
          <t>61-06-115304-24</t>
        </is>
      </c>
      <c r="J1889" s="65" t="inlineStr">
        <is>
          <t>N/D</t>
        </is>
      </c>
      <c r="K1889" s="65" t="inlineStr">
        <is>
          <t>N/D</t>
        </is>
      </c>
      <c r="L1889" s="127" t="inlineStr">
        <is>
          <t>REDOLFI ARMI SRL</t>
        </is>
      </c>
      <c r="M1889" s="5" t="n">
        <v>1125.9</v>
      </c>
      <c r="N1889" s="5" t="n"/>
      <c r="O1889" s="5">
        <f>+M1889+N1889</f>
        <v/>
      </c>
      <c r="P1889" s="4" t="n">
        <v>45862</v>
      </c>
      <c r="Q1889" s="87" t="n">
        <v>45862</v>
      </c>
      <c r="R1889" s="5" t="n">
        <v>1183</v>
      </c>
      <c r="S1889" s="2" t="n">
        <v>1</v>
      </c>
      <c r="T1889" s="3" t="inlineStr">
        <is>
          <t>CA04954OS</t>
        </is>
      </c>
      <c r="U1889" s="87" t="n">
        <v>45874</v>
      </c>
      <c r="V1889" s="3" t="inlineStr">
        <is>
          <t>26</t>
        </is>
      </c>
      <c r="W1889" s="4" t="n">
        <v>45874</v>
      </c>
      <c r="X1889" s="4" t="inlineStr">
        <is>
          <t>PHILIPPOS  CONSTANTINIDES
TRADING CO.LTD</t>
        </is>
      </c>
    </row>
    <row r="1890" ht="24" customHeight="1">
      <c r="A1890" s="2">
        <f>+D1890-S1890</f>
        <v/>
      </c>
      <c r="B1890" s="80" t="n">
        <v>3508</v>
      </c>
      <c r="C1890" s="66" t="n">
        <v>45862</v>
      </c>
      <c r="D1890" s="2" t="n">
        <v>1</v>
      </c>
      <c r="E1890" s="3" t="inlineStr">
        <is>
          <t>CARABINA</t>
        </is>
      </c>
      <c r="F1890" s="3" t="inlineStr">
        <is>
          <t>.223 REM</t>
        </is>
      </c>
      <c r="G1890" s="3" t="inlineStr">
        <is>
          <t>BERGARA</t>
        </is>
      </c>
      <c r="H1890" s="65" t="inlineStr">
        <is>
          <t>B14 20'' CREST D.M. C.CLASS</t>
        </is>
      </c>
      <c r="I1890" s="65" t="inlineStr">
        <is>
          <t>61-06-118166-24</t>
        </is>
      </c>
      <c r="J1890" s="65" t="inlineStr">
        <is>
          <t>N/D</t>
        </is>
      </c>
      <c r="K1890" s="65" t="inlineStr">
        <is>
          <t>N/D</t>
        </is>
      </c>
      <c r="L1890" s="127" t="inlineStr">
        <is>
          <t>REDOLFI ARMI SRL</t>
        </is>
      </c>
      <c r="M1890" s="5" t="n">
        <v>1125.9</v>
      </c>
      <c r="N1890" s="5" t="n"/>
      <c r="O1890" s="5">
        <f>+M1890+N1890</f>
        <v/>
      </c>
      <c r="P1890" s="4" t="n">
        <v>45862</v>
      </c>
      <c r="Q1890" s="87" t="n">
        <v>45862</v>
      </c>
      <c r="R1890" s="5" t="n">
        <v>1183</v>
      </c>
      <c r="S1890" s="2" t="n">
        <v>1</v>
      </c>
      <c r="T1890" s="3" t="inlineStr">
        <is>
          <t>CA04954OS</t>
        </is>
      </c>
      <c r="U1890" s="87" t="n">
        <v>45874</v>
      </c>
      <c r="V1890" s="3" t="inlineStr">
        <is>
          <t>26</t>
        </is>
      </c>
      <c r="W1890" s="4" t="n">
        <v>45874</v>
      </c>
      <c r="X1890" s="4" t="inlineStr">
        <is>
          <t>PHILIPPOS  CONSTANTINIDES
TRADING CO.LTD</t>
        </is>
      </c>
    </row>
    <row r="1891" ht="24" customHeight="1">
      <c r="A1891" s="2">
        <f>+D1891-S1891</f>
        <v/>
      </c>
      <c r="B1891" s="80" t="n">
        <v>3509</v>
      </c>
      <c r="C1891" s="66" t="n">
        <v>45862</v>
      </c>
      <c r="D1891" s="2" t="n">
        <v>1</v>
      </c>
      <c r="E1891" s="3" t="inlineStr">
        <is>
          <t>CARABINA</t>
        </is>
      </c>
      <c r="F1891" s="3" t="inlineStr">
        <is>
          <t>.223 REM</t>
        </is>
      </c>
      <c r="G1891" s="3" t="inlineStr">
        <is>
          <t>BERGARA</t>
        </is>
      </c>
      <c r="H1891" s="65" t="inlineStr">
        <is>
          <t>B14 20'' CREST D.M. C.CLASS</t>
        </is>
      </c>
      <c r="I1891" s="65" t="inlineStr">
        <is>
          <t>61-06-115334-24</t>
        </is>
      </c>
      <c r="J1891" s="65" t="inlineStr">
        <is>
          <t>N/D</t>
        </is>
      </c>
      <c r="K1891" s="65" t="inlineStr">
        <is>
          <t>N/D</t>
        </is>
      </c>
      <c r="L1891" s="127" t="inlineStr">
        <is>
          <t>REDOLFI ARMI SRL</t>
        </is>
      </c>
      <c r="M1891" s="5" t="n">
        <v>1125.9</v>
      </c>
      <c r="N1891" s="5" t="n"/>
      <c r="O1891" s="5">
        <f>+M1891+N1891</f>
        <v/>
      </c>
      <c r="P1891" s="4" t="n">
        <v>45862</v>
      </c>
      <c r="Q1891" s="87" t="n">
        <v>45862</v>
      </c>
      <c r="R1891" s="5" t="n">
        <v>1183</v>
      </c>
      <c r="S1891" s="2" t="n">
        <v>1</v>
      </c>
      <c r="T1891" s="3" t="inlineStr">
        <is>
          <t>CA04954OS</t>
        </is>
      </c>
      <c r="U1891" s="87" t="n">
        <v>45874</v>
      </c>
      <c r="V1891" s="3" t="inlineStr">
        <is>
          <t>26</t>
        </is>
      </c>
      <c r="W1891" s="4" t="n">
        <v>45874</v>
      </c>
      <c r="X1891" s="4" t="inlineStr">
        <is>
          <t>PHILIPPOS  CONSTANTINIDES
TRADING CO.LTD</t>
        </is>
      </c>
    </row>
    <row r="1892" ht="24" customHeight="1">
      <c r="A1892" s="2">
        <f>+D1892-S1892</f>
        <v/>
      </c>
      <c r="B1892" s="80" t="n">
        <v>3510</v>
      </c>
      <c r="C1892" s="66" t="n">
        <v>45862</v>
      </c>
      <c r="D1892" s="2" t="n">
        <v>1</v>
      </c>
      <c r="E1892" s="3" t="inlineStr">
        <is>
          <t>CARABINA</t>
        </is>
      </c>
      <c r="F1892" s="3" t="inlineStr">
        <is>
          <t>.223 REM</t>
        </is>
      </c>
      <c r="G1892" s="3" t="inlineStr">
        <is>
          <t>BERGARA</t>
        </is>
      </c>
      <c r="H1892" s="65" t="inlineStr">
        <is>
          <t>B14 20'' CREST D.M. C.CLASS</t>
        </is>
      </c>
      <c r="I1892" s="65" t="inlineStr">
        <is>
          <t>61-06-115314-24</t>
        </is>
      </c>
      <c r="J1892" s="65" t="inlineStr">
        <is>
          <t>N/D</t>
        </is>
      </c>
      <c r="K1892" s="65" t="inlineStr">
        <is>
          <t>N/D</t>
        </is>
      </c>
      <c r="L1892" s="127" t="inlineStr">
        <is>
          <t>REDOLFI ARMI SRL</t>
        </is>
      </c>
      <c r="M1892" s="5" t="n">
        <v>1125.9</v>
      </c>
      <c r="N1892" s="5" t="n"/>
      <c r="O1892" s="5">
        <f>+M1892+N1892</f>
        <v/>
      </c>
      <c r="P1892" s="4" t="n">
        <v>45862</v>
      </c>
      <c r="Q1892" s="87" t="n">
        <v>45862</v>
      </c>
      <c r="R1892" s="5" t="n">
        <v>1183</v>
      </c>
      <c r="S1892" s="2" t="n">
        <v>1</v>
      </c>
      <c r="T1892" s="3" t="inlineStr">
        <is>
          <t>CA04954OS</t>
        </is>
      </c>
      <c r="U1892" s="87" t="n">
        <v>45874</v>
      </c>
      <c r="V1892" s="3" t="inlineStr">
        <is>
          <t>0616</t>
        </is>
      </c>
      <c r="W1892" s="4" t="n">
        <v>45874</v>
      </c>
      <c r="X1892" s="4" t="inlineStr">
        <is>
          <t>PHILIPPOS  CONSTANTINIDES
TRADING CO.LTD</t>
        </is>
      </c>
    </row>
    <row r="1893" ht="24" customHeight="1">
      <c r="A1893" s="2">
        <f>+D1893-S1893</f>
        <v/>
      </c>
      <c r="B1893" s="80" t="n">
        <v>3511</v>
      </c>
      <c r="C1893" s="66" t="n">
        <v>45862</v>
      </c>
      <c r="D1893" s="2" t="n">
        <v>1</v>
      </c>
      <c r="E1893" s="3" t="inlineStr">
        <is>
          <t>CARABINA</t>
        </is>
      </c>
      <c r="F1893" s="3" t="inlineStr">
        <is>
          <t>.223 REM</t>
        </is>
      </c>
      <c r="G1893" s="3" t="inlineStr">
        <is>
          <t>BERGARA</t>
        </is>
      </c>
      <c r="H1893" s="65" t="inlineStr">
        <is>
          <t>B14 20'' CREST D.M. C.CLASS</t>
        </is>
      </c>
      <c r="I1893" s="65" t="inlineStr">
        <is>
          <t>61-06-115341-24</t>
        </is>
      </c>
      <c r="J1893" s="65" t="inlineStr">
        <is>
          <t>N/D</t>
        </is>
      </c>
      <c r="K1893" s="65" t="inlineStr">
        <is>
          <t>N/D</t>
        </is>
      </c>
      <c r="L1893" s="127" t="inlineStr">
        <is>
          <t>REDOLFI ARMI SRL</t>
        </is>
      </c>
      <c r="M1893" s="5" t="n">
        <v>1125.9</v>
      </c>
      <c r="N1893" s="5" t="n"/>
      <c r="O1893" s="5">
        <f>+M1893+N1893</f>
        <v/>
      </c>
      <c r="P1893" s="4" t="n">
        <v>45862</v>
      </c>
      <c r="Q1893" s="87" t="n">
        <v>45862</v>
      </c>
      <c r="R1893" s="5" t="n">
        <v>1183</v>
      </c>
      <c r="S1893" s="2" t="n">
        <v>1</v>
      </c>
      <c r="T1893" s="3" t="inlineStr">
        <is>
          <t>CA04954OS</t>
        </is>
      </c>
      <c r="U1893" s="87" t="n">
        <v>45874</v>
      </c>
      <c r="V1893" s="3" t="inlineStr">
        <is>
          <t>26</t>
        </is>
      </c>
      <c r="W1893" s="4" t="n">
        <v>45874</v>
      </c>
      <c r="X1893" s="4" t="inlineStr">
        <is>
          <t>PHILIPPOS  CONSTANTINIDES
TRADING CO.LTD</t>
        </is>
      </c>
    </row>
    <row r="1894" ht="24" customHeight="1">
      <c r="A1894" s="2">
        <f>+D1894-S1894</f>
        <v/>
      </c>
      <c r="B1894" s="80" t="n">
        <v>3512</v>
      </c>
      <c r="C1894" s="66" t="n">
        <v>45862</v>
      </c>
      <c r="D1894" s="2" t="n">
        <v>1</v>
      </c>
      <c r="E1894" s="3" t="inlineStr">
        <is>
          <t>CARABINA</t>
        </is>
      </c>
      <c r="F1894" s="3" t="inlineStr">
        <is>
          <t>.223 REM</t>
        </is>
      </c>
      <c r="G1894" s="3" t="inlineStr">
        <is>
          <t>BERGARA</t>
        </is>
      </c>
      <c r="H1894" s="65" t="inlineStr">
        <is>
          <t>B14 20'' CREST D.M. C.CLASS</t>
        </is>
      </c>
      <c r="I1894" s="65" t="inlineStr">
        <is>
          <t>61-06-115305-24</t>
        </is>
      </c>
      <c r="J1894" s="65" t="inlineStr">
        <is>
          <t>N/D</t>
        </is>
      </c>
      <c r="K1894" s="65" t="inlineStr">
        <is>
          <t>N/D</t>
        </is>
      </c>
      <c r="L1894" s="127" t="inlineStr">
        <is>
          <t>REDOLFI ARMI SRL</t>
        </is>
      </c>
      <c r="M1894" s="5" t="n">
        <v>1125.9</v>
      </c>
      <c r="N1894" s="5" t="n"/>
      <c r="O1894" s="5">
        <f>+M1894+N1894</f>
        <v/>
      </c>
      <c r="P1894" s="4" t="n">
        <v>45862</v>
      </c>
      <c r="Q1894" s="87" t="n">
        <v>45862</v>
      </c>
      <c r="R1894" s="5" t="n">
        <v>1183</v>
      </c>
      <c r="S1894" s="2" t="n">
        <v>1</v>
      </c>
      <c r="T1894" s="3" t="inlineStr">
        <is>
          <t>CA04954OS</t>
        </is>
      </c>
      <c r="U1894" s="87" t="n">
        <v>45874</v>
      </c>
      <c r="V1894" s="3" t="inlineStr">
        <is>
          <t>26</t>
        </is>
      </c>
      <c r="W1894" s="4" t="n">
        <v>45874</v>
      </c>
      <c r="X1894" s="4" t="inlineStr">
        <is>
          <t>PHILIPPOS  CONSTANTINIDES
TRADING CO.LTD</t>
        </is>
      </c>
    </row>
    <row r="1895" ht="24" customHeight="1">
      <c r="A1895" s="2">
        <f>+D1895-S1895</f>
        <v/>
      </c>
      <c r="B1895" s="80" t="n">
        <v>3513</v>
      </c>
      <c r="C1895" s="66" t="n">
        <v>45862</v>
      </c>
      <c r="D1895" s="2" t="n">
        <v>1</v>
      </c>
      <c r="E1895" s="3" t="inlineStr">
        <is>
          <t>CARABINA</t>
        </is>
      </c>
      <c r="F1895" s="3" t="inlineStr">
        <is>
          <t>22 LR</t>
        </is>
      </c>
      <c r="G1895" s="3" t="inlineStr">
        <is>
          <t>BERGARA</t>
        </is>
      </c>
      <c r="H1895" s="65" t="inlineStr">
        <is>
          <t>B14 18'' TRAINER STEEL C.CLASS</t>
        </is>
      </c>
      <c r="I1895" s="65" t="inlineStr">
        <is>
          <t>61-01-004255-25</t>
        </is>
      </c>
      <c r="J1895" s="65" t="inlineStr">
        <is>
          <t>N/D</t>
        </is>
      </c>
      <c r="K1895" s="65" t="inlineStr">
        <is>
          <t>N/D</t>
        </is>
      </c>
      <c r="L1895" s="127" t="inlineStr">
        <is>
          <t>REDOLFI ARMI SRL</t>
        </is>
      </c>
      <c r="M1895" s="5" t="n">
        <v>647.1900000000001</v>
      </c>
      <c r="N1895" s="5" t="n"/>
      <c r="O1895" s="5">
        <f>+M1895+N1895</f>
        <v/>
      </c>
      <c r="P1895" s="4" t="n">
        <v>45862</v>
      </c>
      <c r="Q1895" s="87" t="n">
        <v>45862</v>
      </c>
      <c r="R1895" s="5" t="n">
        <v>679.5</v>
      </c>
      <c r="S1895" s="2" t="n">
        <v>1</v>
      </c>
      <c r="T1895" s="3" t="inlineStr">
        <is>
          <t>CA04954OS</t>
        </is>
      </c>
      <c r="U1895" s="87" t="n">
        <v>45874</v>
      </c>
      <c r="V1895" s="3" t="inlineStr">
        <is>
          <t>26</t>
        </is>
      </c>
      <c r="W1895" s="4" t="n">
        <v>45874</v>
      </c>
      <c r="X1895" s="4" t="inlineStr">
        <is>
          <t>PHILIPPOS  CONSTANTINIDES
TRADING CO.LTD</t>
        </is>
      </c>
    </row>
    <row r="1896" ht="24" customHeight="1">
      <c r="A1896" s="2">
        <f>+D1896-S1896</f>
        <v/>
      </c>
      <c r="B1896" s="80" t="n">
        <v>3514</v>
      </c>
      <c r="C1896" s="66" t="n">
        <v>45862</v>
      </c>
      <c r="D1896" s="2" t="n">
        <v>1</v>
      </c>
      <c r="E1896" s="3" t="inlineStr">
        <is>
          <t>CARABINA</t>
        </is>
      </c>
      <c r="F1896" s="3" t="inlineStr">
        <is>
          <t>22 LR</t>
        </is>
      </c>
      <c r="G1896" s="3" t="inlineStr">
        <is>
          <t>BERGARA</t>
        </is>
      </c>
      <c r="H1896" s="65" t="inlineStr">
        <is>
          <t>B14 18'' TRAINER STEEL C.CLASS</t>
        </is>
      </c>
      <c r="I1896" s="65" t="inlineStr">
        <is>
          <t>61-01-004256-25</t>
        </is>
      </c>
      <c r="J1896" s="65" t="inlineStr">
        <is>
          <t>N/D</t>
        </is>
      </c>
      <c r="K1896" s="65" t="inlineStr">
        <is>
          <t>N/D</t>
        </is>
      </c>
      <c r="L1896" s="127" t="inlineStr">
        <is>
          <t>REDOLFI ARMI SRL</t>
        </is>
      </c>
      <c r="M1896" s="5" t="n">
        <v>647.1900000000001</v>
      </c>
      <c r="N1896" s="5" t="n"/>
      <c r="O1896" s="5">
        <f>+M1896+N1896</f>
        <v/>
      </c>
      <c r="P1896" s="4" t="n">
        <v>45862</v>
      </c>
      <c r="Q1896" s="87" t="n">
        <v>45862</v>
      </c>
      <c r="R1896" s="5" t="n">
        <v>679.5</v>
      </c>
      <c r="S1896" s="2" t="n">
        <v>1</v>
      </c>
      <c r="T1896" s="3" t="inlineStr">
        <is>
          <t>CA04954OS</t>
        </is>
      </c>
      <c r="U1896" s="87" t="n">
        <v>45874</v>
      </c>
      <c r="V1896" s="3" t="inlineStr">
        <is>
          <t>26</t>
        </is>
      </c>
      <c r="W1896" s="4" t="n">
        <v>45874</v>
      </c>
      <c r="X1896" s="4" t="inlineStr">
        <is>
          <t>PHILIPPOS  CONSTANTINIDES
TRADING CO.LTD</t>
        </is>
      </c>
    </row>
    <row r="1897" ht="24" customHeight="1">
      <c r="A1897" s="2">
        <f>+D1897-S1897</f>
        <v/>
      </c>
      <c r="B1897" s="80" t="n">
        <v>3515</v>
      </c>
      <c r="C1897" s="66" t="n">
        <v>45862</v>
      </c>
      <c r="D1897" s="2" t="n">
        <v>1</v>
      </c>
      <c r="E1897" s="3" t="inlineStr">
        <is>
          <t>FUCILE SEMIAUTOMATICO</t>
        </is>
      </c>
      <c r="F1897" s="3" t="inlineStr">
        <is>
          <t>12</t>
        </is>
      </c>
      <c r="G1897" s="3" t="inlineStr">
        <is>
          <t>BERETTA</t>
        </is>
      </c>
      <c r="H1897" s="65" t="inlineStr">
        <is>
          <t>A400 ACTION KIKOFF 76 CM</t>
        </is>
      </c>
      <c r="I1897" s="65" t="inlineStr">
        <is>
          <t>XA291032</t>
        </is>
      </c>
      <c r="J1897" s="121" t="inlineStr">
        <is>
          <t>XB326276</t>
        </is>
      </c>
      <c r="K1897" s="65" t="inlineStr">
        <is>
          <t>N/D</t>
        </is>
      </c>
      <c r="L1897" s="127" t="inlineStr">
        <is>
          <t>REDOLFI ARMI SRL</t>
        </is>
      </c>
      <c r="M1897" s="5" t="n">
        <v>950</v>
      </c>
      <c r="N1897" s="5" t="n"/>
      <c r="O1897" s="5">
        <f>+M1897+N1897</f>
        <v/>
      </c>
      <c r="P1897" s="4" t="n">
        <v>45862</v>
      </c>
      <c r="Q1897" s="87" t="n">
        <v>45862</v>
      </c>
      <c r="R1897" s="5" t="n">
        <v>1334</v>
      </c>
      <c r="S1897" s="2" t="n">
        <v>1</v>
      </c>
      <c r="T1897" s="3" t="inlineStr">
        <is>
          <t>CA04954OS</t>
        </is>
      </c>
      <c r="U1897" s="87" t="n">
        <v>45874</v>
      </c>
      <c r="V1897" s="3" t="inlineStr">
        <is>
          <t>25</t>
        </is>
      </c>
      <c r="W1897" s="4" t="n">
        <v>45874</v>
      </c>
      <c r="X1897" s="4" t="inlineStr">
        <is>
          <t>PHILIPPOS  CONSTANTINIDES
TRADING CO.LTD</t>
        </is>
      </c>
    </row>
    <row r="1898" ht="24" customHeight="1">
      <c r="A1898" s="2">
        <f>+D1898-S1898</f>
        <v/>
      </c>
      <c r="B1898" s="80" t="n">
        <v>3516</v>
      </c>
      <c r="C1898" s="66" t="n">
        <v>45862</v>
      </c>
      <c r="D1898" s="2" t="n">
        <v>1</v>
      </c>
      <c r="E1898" s="3" t="inlineStr">
        <is>
          <t>FUCILE SEMIAUTOMATICO</t>
        </is>
      </c>
      <c r="F1898" s="3" t="inlineStr">
        <is>
          <t>12</t>
        </is>
      </c>
      <c r="G1898" s="3" t="inlineStr">
        <is>
          <t>BERETTA</t>
        </is>
      </c>
      <c r="H1898" s="65" t="inlineStr">
        <is>
          <t>A400 ACTION KIKOFF 76 CM</t>
        </is>
      </c>
      <c r="I1898" s="65" t="inlineStr">
        <is>
          <t>XA291033</t>
        </is>
      </c>
      <c r="J1898" s="65" t="inlineStr">
        <is>
          <t>XB326277</t>
        </is>
      </c>
      <c r="K1898" s="65" t="inlineStr">
        <is>
          <t>N/D</t>
        </is>
      </c>
      <c r="L1898" s="127" t="inlineStr">
        <is>
          <t>REDOLFI ARMI SRL</t>
        </is>
      </c>
      <c r="M1898" s="5" t="n">
        <v>950</v>
      </c>
      <c r="N1898" s="5" t="n"/>
      <c r="O1898" s="5">
        <f>+M1898+N1898</f>
        <v/>
      </c>
      <c r="P1898" s="4" t="n">
        <v>45862</v>
      </c>
      <c r="Q1898" s="87" t="n">
        <v>45862</v>
      </c>
      <c r="R1898" s="5" t="n">
        <v>1334</v>
      </c>
      <c r="S1898" s="2" t="n">
        <v>1</v>
      </c>
      <c r="T1898" s="3" t="inlineStr">
        <is>
          <t>CA04954OS</t>
        </is>
      </c>
      <c r="U1898" s="87" t="n">
        <v>45874</v>
      </c>
      <c r="V1898" s="3" t="inlineStr">
        <is>
          <t>25</t>
        </is>
      </c>
      <c r="W1898" s="4" t="n">
        <v>45874</v>
      </c>
      <c r="X1898" s="4" t="inlineStr">
        <is>
          <t>PHILIPPOS  CONSTANTINIDES
TRADING CO.LTD</t>
        </is>
      </c>
    </row>
    <row r="1899" ht="24" customHeight="1">
      <c r="A1899" s="2">
        <f>+D1899-S1899</f>
        <v/>
      </c>
      <c r="B1899" s="80" t="n">
        <v>3517</v>
      </c>
      <c r="C1899" s="66" t="n">
        <v>45862</v>
      </c>
      <c r="D1899" s="2" t="n">
        <v>1</v>
      </c>
      <c r="E1899" s="3" t="inlineStr">
        <is>
          <t>FUCILE SEMIAUTOMATICO</t>
        </is>
      </c>
      <c r="F1899" s="3" t="inlineStr">
        <is>
          <t>12</t>
        </is>
      </c>
      <c r="G1899" s="3" t="inlineStr">
        <is>
          <t>BERETTA</t>
        </is>
      </c>
      <c r="H1899" s="65" t="inlineStr">
        <is>
          <t>A400 ACTION KIKOFF 76 CM</t>
        </is>
      </c>
      <c r="I1899" s="65" t="inlineStr">
        <is>
          <t>XA291034</t>
        </is>
      </c>
      <c r="J1899" s="65" t="inlineStr">
        <is>
          <t>XB326278</t>
        </is>
      </c>
      <c r="K1899" s="65" t="inlineStr">
        <is>
          <t>N/D</t>
        </is>
      </c>
      <c r="L1899" s="127" t="inlineStr">
        <is>
          <t>REDOLFI ARMI SRL</t>
        </is>
      </c>
      <c r="M1899" s="5" t="n">
        <v>950</v>
      </c>
      <c r="N1899" s="5" t="n"/>
      <c r="O1899" s="5">
        <f>+M1899+N1899</f>
        <v/>
      </c>
      <c r="P1899" s="4" t="n">
        <v>45862</v>
      </c>
      <c r="Q1899" s="87" t="n">
        <v>45862</v>
      </c>
      <c r="R1899" s="5" t="n"/>
      <c r="S1899" s="2" t="n"/>
      <c r="T1899" s="3" t="n"/>
      <c r="U1899" s="87" t="n"/>
      <c r="V1899" s="3" t="n"/>
      <c r="W1899" s="108" t="n"/>
      <c r="X1899" s="4" t="n"/>
    </row>
    <row r="1900" ht="24" customHeight="1">
      <c r="A1900" s="2">
        <f>+D1900-S1900</f>
        <v/>
      </c>
      <c r="B1900" s="80" t="n">
        <v>3518</v>
      </c>
      <c r="C1900" s="66" t="n">
        <v>45862</v>
      </c>
      <c r="D1900" s="2" t="n">
        <v>1</v>
      </c>
      <c r="E1900" s="3" t="inlineStr">
        <is>
          <t>FUCILE SEMIAUTOMATICO</t>
        </is>
      </c>
      <c r="F1900" s="3" t="inlineStr">
        <is>
          <t>12</t>
        </is>
      </c>
      <c r="G1900" s="3" t="inlineStr">
        <is>
          <t>BERETTA</t>
        </is>
      </c>
      <c r="H1900" s="65" t="inlineStr">
        <is>
          <t>A400 ACTION KIKOFF 76 CM</t>
        </is>
      </c>
      <c r="I1900" s="65" t="inlineStr">
        <is>
          <t>XA291035</t>
        </is>
      </c>
      <c r="J1900" s="65" t="inlineStr">
        <is>
          <t>XB326279</t>
        </is>
      </c>
      <c r="K1900" s="65" t="inlineStr">
        <is>
          <t>N/D</t>
        </is>
      </c>
      <c r="L1900" s="127" t="inlineStr">
        <is>
          <t>REDOLFI ARMI SRL</t>
        </is>
      </c>
      <c r="M1900" s="5" t="n">
        <v>950</v>
      </c>
      <c r="N1900" s="5" t="n"/>
      <c r="O1900" s="5">
        <f>+M1900+N1900</f>
        <v/>
      </c>
      <c r="P1900" s="4" t="n">
        <v>45862</v>
      </c>
      <c r="Q1900" s="87" t="n">
        <v>45862</v>
      </c>
      <c r="R1900" s="5" t="n">
        <v>1334</v>
      </c>
      <c r="S1900" s="2" t="n">
        <v>1</v>
      </c>
      <c r="T1900" s="3" t="inlineStr">
        <is>
          <t>CA04954OS</t>
        </is>
      </c>
      <c r="U1900" s="87" t="n">
        <v>45874</v>
      </c>
      <c r="V1900" s="3" t="inlineStr">
        <is>
          <t>25</t>
        </is>
      </c>
      <c r="W1900" s="4" t="n">
        <v>45874</v>
      </c>
      <c r="X1900" s="4" t="inlineStr">
        <is>
          <t>PHILIPPOS  CONSTANTINIDES
TRADING CO.LTD</t>
        </is>
      </c>
    </row>
    <row r="1901" ht="24" customHeight="1">
      <c r="A1901" s="2">
        <f>+D1901-S1901</f>
        <v/>
      </c>
      <c r="B1901" s="80" t="n">
        <v>3519</v>
      </c>
      <c r="C1901" s="66" t="n">
        <v>45862</v>
      </c>
      <c r="D1901" s="2" t="n">
        <v>1</v>
      </c>
      <c r="E1901" s="3" t="inlineStr">
        <is>
          <t>FUCILE SEMIAUTOMATICO</t>
        </is>
      </c>
      <c r="F1901" s="3" t="inlineStr">
        <is>
          <t>12</t>
        </is>
      </c>
      <c r="G1901" s="3" t="inlineStr">
        <is>
          <t>BERETTA</t>
        </is>
      </c>
      <c r="H1901" s="65" t="inlineStr">
        <is>
          <t>A400 ACTION KIKOFF 76 CM</t>
        </is>
      </c>
      <c r="I1901" s="65" t="inlineStr">
        <is>
          <t>XA291036</t>
        </is>
      </c>
      <c r="J1901" s="65" t="inlineStr">
        <is>
          <t>XB326280</t>
        </is>
      </c>
      <c r="K1901" s="65" t="inlineStr">
        <is>
          <t>N/D</t>
        </is>
      </c>
      <c r="L1901" s="127" t="inlineStr">
        <is>
          <t>REDOLFI ARMI SRL</t>
        </is>
      </c>
      <c r="M1901" s="5" t="n">
        <v>950</v>
      </c>
      <c r="N1901" s="5" t="n"/>
      <c r="O1901" s="5">
        <f>+M1901+N1901</f>
        <v/>
      </c>
      <c r="P1901" s="4" t="n">
        <v>45862</v>
      </c>
      <c r="Q1901" s="87" t="n">
        <v>45862</v>
      </c>
      <c r="R1901" s="5" t="n"/>
      <c r="S1901" s="2" t="n"/>
      <c r="T1901" s="3" t="n"/>
      <c r="U1901" s="87" t="n"/>
      <c r="V1901" s="3" t="n"/>
      <c r="W1901" s="108" t="n"/>
      <c r="X1901" s="4" t="n"/>
    </row>
    <row r="1902" ht="24" customHeight="1">
      <c r="A1902" s="2">
        <f>+D1902-S1902</f>
        <v/>
      </c>
      <c r="B1902" s="80" t="n">
        <v>3520</v>
      </c>
      <c r="C1902" s="66" t="n">
        <v>45862</v>
      </c>
      <c r="D1902" s="2" t="n">
        <v>1</v>
      </c>
      <c r="E1902" s="3" t="inlineStr">
        <is>
          <t>FUCILE SEMIAUTOMATICO</t>
        </is>
      </c>
      <c r="F1902" s="3" t="inlineStr">
        <is>
          <t>12</t>
        </is>
      </c>
      <c r="G1902" s="3" t="inlineStr">
        <is>
          <t>BERETTA</t>
        </is>
      </c>
      <c r="H1902" s="65" t="inlineStr">
        <is>
          <t>A400 XCEL BLACK 71 CM</t>
        </is>
      </c>
      <c r="I1902" s="65" t="inlineStr">
        <is>
          <t>XA277576</t>
        </is>
      </c>
      <c r="J1902" s="65" t="inlineStr">
        <is>
          <t>XB308082</t>
        </is>
      </c>
      <c r="K1902" s="65" t="inlineStr">
        <is>
          <t>N/D</t>
        </is>
      </c>
      <c r="L1902" s="127" t="inlineStr">
        <is>
          <t>REDOLFI ARMI SRL</t>
        </is>
      </c>
      <c r="M1902" s="5" t="n">
        <v>1150</v>
      </c>
      <c r="N1902" s="5" t="n"/>
      <c r="O1902" s="5">
        <f>+M1902+N1902</f>
        <v/>
      </c>
      <c r="P1902" s="4" t="n">
        <v>45862</v>
      </c>
      <c r="Q1902" s="87" t="n">
        <v>45862</v>
      </c>
      <c r="R1902" s="5" t="n">
        <v>1200</v>
      </c>
      <c r="S1902" s="2" t="n">
        <v>1</v>
      </c>
      <c r="T1902" s="3" t="inlineStr">
        <is>
          <t>CA04954OS</t>
        </is>
      </c>
      <c r="U1902" s="87" t="n">
        <v>45874</v>
      </c>
      <c r="V1902" s="3" t="inlineStr">
        <is>
          <t>25</t>
        </is>
      </c>
      <c r="W1902" s="4" t="n">
        <v>45874</v>
      </c>
      <c r="X1902" s="4" t="inlineStr">
        <is>
          <t>PHILIPPOS  CONSTANTINIDES
TRADING CO.LTD</t>
        </is>
      </c>
    </row>
    <row r="1903" ht="24" customHeight="1">
      <c r="A1903" s="2">
        <f>+D1903-S1903</f>
        <v/>
      </c>
      <c r="B1903" s="80" t="n">
        <v>3521</v>
      </c>
      <c r="C1903" s="66" t="n">
        <v>45862</v>
      </c>
      <c r="D1903" s="2" t="n">
        <v>1</v>
      </c>
      <c r="E1903" s="3" t="inlineStr">
        <is>
          <t>FUCILE SEMIAUTOMATICO</t>
        </is>
      </c>
      <c r="F1903" s="3" t="inlineStr">
        <is>
          <t>12</t>
        </is>
      </c>
      <c r="G1903" s="3" t="inlineStr">
        <is>
          <t>BERETTA</t>
        </is>
      </c>
      <c r="H1903" s="65" t="inlineStr">
        <is>
          <t>A400 XCEL BLACK 71 CM</t>
        </is>
      </c>
      <c r="I1903" s="65" t="inlineStr">
        <is>
          <t>XA286962</t>
        </is>
      </c>
      <c r="J1903" s="65" t="inlineStr">
        <is>
          <t>XB321084</t>
        </is>
      </c>
      <c r="K1903" s="65" t="inlineStr">
        <is>
          <t>N/D</t>
        </is>
      </c>
      <c r="L1903" s="127" t="inlineStr">
        <is>
          <t>REDOLFI ARMI SRL</t>
        </is>
      </c>
      <c r="M1903" s="5" t="n">
        <v>1150</v>
      </c>
      <c r="N1903" s="5" t="n"/>
      <c r="O1903" s="5">
        <f>+M1903+N1903</f>
        <v/>
      </c>
      <c r="P1903" s="4" t="n">
        <v>45862</v>
      </c>
      <c r="Q1903" s="87" t="n">
        <v>45862</v>
      </c>
      <c r="R1903" s="5" t="n">
        <v>1200</v>
      </c>
      <c r="S1903" s="2" t="n">
        <v>1</v>
      </c>
      <c r="T1903" s="3" t="inlineStr">
        <is>
          <t>CA04954OS</t>
        </is>
      </c>
      <c r="U1903" s="87" t="n">
        <v>45874</v>
      </c>
      <c r="V1903" s="3" t="inlineStr">
        <is>
          <t>25</t>
        </is>
      </c>
      <c r="W1903" s="4" t="n">
        <v>45874</v>
      </c>
      <c r="X1903" s="4" t="inlineStr">
        <is>
          <t>PHILIPPOS  CONSTANTINIDES
TRADING CO.LTD</t>
        </is>
      </c>
    </row>
    <row r="1904" ht="24" customHeight="1">
      <c r="A1904" s="2">
        <f>+D1904-S1904</f>
        <v/>
      </c>
      <c r="B1904" s="80" t="n">
        <v>3522</v>
      </c>
      <c r="C1904" s="66" t="n">
        <v>45862</v>
      </c>
      <c r="D1904" s="2" t="n">
        <v>1</v>
      </c>
      <c r="E1904" s="3" t="inlineStr">
        <is>
          <t>FUCILE SEMIAUTOMATICO</t>
        </is>
      </c>
      <c r="F1904" s="3" t="inlineStr">
        <is>
          <t>12</t>
        </is>
      </c>
      <c r="G1904" s="3" t="inlineStr">
        <is>
          <t>BERETTA</t>
        </is>
      </c>
      <c r="H1904" s="65" t="inlineStr">
        <is>
          <t>A400 XCEL BLACK 71 CM</t>
        </is>
      </c>
      <c r="I1904" s="65" t="inlineStr">
        <is>
          <t>XA277583</t>
        </is>
      </c>
      <c r="J1904" s="65" t="inlineStr">
        <is>
          <t>XB308089</t>
        </is>
      </c>
      <c r="K1904" s="65" t="inlineStr">
        <is>
          <t>N/D</t>
        </is>
      </c>
      <c r="L1904" s="127" t="inlineStr">
        <is>
          <t>REDOLFI ARMI SRL</t>
        </is>
      </c>
      <c r="M1904" s="5" t="n">
        <v>1150</v>
      </c>
      <c r="N1904" s="5" t="n"/>
      <c r="O1904" s="5">
        <f>+M1904+N1904</f>
        <v/>
      </c>
      <c r="P1904" s="4" t="n">
        <v>45862</v>
      </c>
      <c r="Q1904" s="87" t="n">
        <v>45862</v>
      </c>
      <c r="R1904" s="5" t="n">
        <v>1200</v>
      </c>
      <c r="S1904" s="2" t="n">
        <v>1</v>
      </c>
      <c r="T1904" s="3" t="inlineStr">
        <is>
          <t>CA04954OS</t>
        </is>
      </c>
      <c r="U1904" s="87" t="n">
        <v>45874</v>
      </c>
      <c r="V1904" s="3" t="inlineStr">
        <is>
          <t>25</t>
        </is>
      </c>
      <c r="W1904" s="4" t="n">
        <v>45874</v>
      </c>
      <c r="X1904" s="4" t="inlineStr">
        <is>
          <t>PHILIPPOS  CONSTANTINIDES
TRADING CO.LTD</t>
        </is>
      </c>
    </row>
    <row r="1905" ht="24" customHeight="1">
      <c r="A1905" s="2">
        <f>+D1905-S1905</f>
        <v/>
      </c>
      <c r="B1905" s="80" t="n">
        <v>3523</v>
      </c>
      <c r="C1905" s="66" t="n">
        <v>45862</v>
      </c>
      <c r="D1905" s="2" t="n">
        <v>1</v>
      </c>
      <c r="E1905" s="3" t="inlineStr">
        <is>
          <t>FUCILE SEMIAUTOMATICO</t>
        </is>
      </c>
      <c r="F1905" s="3" t="inlineStr">
        <is>
          <t>12</t>
        </is>
      </c>
      <c r="G1905" s="3" t="inlineStr">
        <is>
          <t>BERETTA</t>
        </is>
      </c>
      <c r="H1905" s="65" t="inlineStr">
        <is>
          <t>A400 XCEL BLACK 71 CM</t>
        </is>
      </c>
      <c r="I1905" s="65" t="inlineStr">
        <is>
          <t>XA277418</t>
        </is>
      </c>
      <c r="J1905" s="65" t="inlineStr">
        <is>
          <t>XB307924</t>
        </is>
      </c>
      <c r="K1905" s="65" t="inlineStr">
        <is>
          <t>N/D</t>
        </is>
      </c>
      <c r="L1905" s="127" t="inlineStr">
        <is>
          <t>REDOLFI ARMI SRL</t>
        </is>
      </c>
      <c r="M1905" s="5" t="n">
        <v>1150</v>
      </c>
      <c r="N1905" s="5" t="n"/>
      <c r="O1905" s="5">
        <f>+M1905+N1905</f>
        <v/>
      </c>
      <c r="P1905" s="4" t="n">
        <v>45862</v>
      </c>
      <c r="Q1905" s="87" t="n">
        <v>45862</v>
      </c>
      <c r="R1905" s="5" t="n">
        <v>1200</v>
      </c>
      <c r="S1905" s="2" t="n">
        <v>1</v>
      </c>
      <c r="T1905" s="3" t="inlineStr">
        <is>
          <t>CA04954OS</t>
        </is>
      </c>
      <c r="U1905" s="87" t="n">
        <v>45874</v>
      </c>
      <c r="V1905" s="3" t="inlineStr">
        <is>
          <t>25</t>
        </is>
      </c>
      <c r="W1905" s="4" t="n">
        <v>45874</v>
      </c>
      <c r="X1905" s="4" t="inlineStr">
        <is>
          <t>PHILIPPOS  CONSTANTINIDES
TRADING CO.LTD</t>
        </is>
      </c>
    </row>
    <row r="1906" ht="24" customHeight="1">
      <c r="A1906" s="2">
        <f>+D1906-S1906</f>
        <v/>
      </c>
      <c r="B1906" s="80" t="n">
        <v>3524</v>
      </c>
      <c r="C1906" s="66" t="n">
        <v>45862</v>
      </c>
      <c r="D1906" s="2" t="n">
        <v>1</v>
      </c>
      <c r="E1906" s="3" t="inlineStr">
        <is>
          <t>FUCILE SEMIAUTOMATICO</t>
        </is>
      </c>
      <c r="F1906" s="3" t="inlineStr">
        <is>
          <t>12</t>
        </is>
      </c>
      <c r="G1906" s="3" t="inlineStr">
        <is>
          <t>BERETTA</t>
        </is>
      </c>
      <c r="H1906" s="65" t="inlineStr">
        <is>
          <t>A400 XCEL BLACK 71 CM</t>
        </is>
      </c>
      <c r="I1906" s="65" t="inlineStr">
        <is>
          <t>XA191224</t>
        </is>
      </c>
      <c r="J1906" s="65" t="inlineStr">
        <is>
          <t>XB316223</t>
        </is>
      </c>
      <c r="K1906" s="65" t="inlineStr">
        <is>
          <t>N/D</t>
        </is>
      </c>
      <c r="L1906" s="127" t="inlineStr">
        <is>
          <t>REDOLFI ARMI SRL</t>
        </is>
      </c>
      <c r="M1906" s="5" t="n">
        <v>1150</v>
      </c>
      <c r="N1906" s="5" t="n"/>
      <c r="O1906" s="5">
        <f>+M1906+N1906</f>
        <v/>
      </c>
      <c r="P1906" s="4" t="n">
        <v>45862</v>
      </c>
      <c r="Q1906" s="87" t="n">
        <v>45862</v>
      </c>
      <c r="R1906" s="5" t="n">
        <v>1200</v>
      </c>
      <c r="S1906" s="2" t="n">
        <v>1</v>
      </c>
      <c r="T1906" s="3" t="inlineStr">
        <is>
          <t>CA04954OS</t>
        </is>
      </c>
      <c r="U1906" s="87" t="n">
        <v>45874</v>
      </c>
      <c r="V1906" s="3" t="inlineStr">
        <is>
          <t>25</t>
        </is>
      </c>
      <c r="W1906" s="4" t="n">
        <v>45874</v>
      </c>
      <c r="X1906" s="4" t="inlineStr">
        <is>
          <t>PHILIPPOS  CONSTANTINIDES
TRADING CO.LTD</t>
        </is>
      </c>
    </row>
    <row r="1907" ht="24" customHeight="1">
      <c r="A1907" s="2">
        <f>+D1907-S1907</f>
        <v/>
      </c>
      <c r="B1907" s="80" t="n">
        <v>3525</v>
      </c>
      <c r="C1907" s="66" t="n">
        <v>45862</v>
      </c>
      <c r="D1907" s="2" t="n">
        <v>1</v>
      </c>
      <c r="E1907" s="3" t="inlineStr">
        <is>
          <t>FUCILE SEMIAUTOMATICO</t>
        </is>
      </c>
      <c r="F1907" s="3" t="inlineStr">
        <is>
          <t>12</t>
        </is>
      </c>
      <c r="G1907" s="3" t="inlineStr">
        <is>
          <t>BERETTA</t>
        </is>
      </c>
      <c r="H1907" s="65" t="inlineStr">
        <is>
          <t>A400 XCEL 76 CM</t>
        </is>
      </c>
      <c r="I1907" s="65" t="inlineStr">
        <is>
          <t>XA260616</t>
        </is>
      </c>
      <c r="J1907" s="65" t="inlineStr">
        <is>
          <t>XB282360</t>
        </is>
      </c>
      <c r="K1907" s="65" t="inlineStr">
        <is>
          <t>N/D</t>
        </is>
      </c>
      <c r="L1907" s="127" t="inlineStr">
        <is>
          <t>REDOLFI ARMI SRL</t>
        </is>
      </c>
      <c r="M1907" s="5" t="n">
        <v>1150</v>
      </c>
      <c r="N1907" s="5" t="n"/>
      <c r="O1907" s="5">
        <f>+M1907+N1907</f>
        <v/>
      </c>
      <c r="P1907" s="4" t="n">
        <v>45862</v>
      </c>
      <c r="Q1907" s="87" t="n">
        <v>45862</v>
      </c>
      <c r="R1907" s="5" t="n"/>
      <c r="S1907" s="2" t="n"/>
      <c r="T1907" s="3" t="n"/>
      <c r="U1907" s="87" t="n"/>
      <c r="V1907" s="3" t="n"/>
      <c r="W1907" s="108" t="n"/>
      <c r="X1907" s="4" t="n"/>
    </row>
    <row r="1908" ht="24" customHeight="1">
      <c r="A1908" s="2">
        <f>+D1908-S1908</f>
        <v/>
      </c>
      <c r="B1908" s="80" t="n">
        <v>3526</v>
      </c>
      <c r="C1908" s="66" t="n">
        <v>45862</v>
      </c>
      <c r="D1908" s="2" t="n">
        <v>1</v>
      </c>
      <c r="E1908" s="3" t="inlineStr">
        <is>
          <t>FUCILE SEMIAUTOMATICO</t>
        </is>
      </c>
      <c r="F1908" s="3" t="inlineStr">
        <is>
          <t>12</t>
        </is>
      </c>
      <c r="G1908" s="3" t="inlineStr">
        <is>
          <t>BERETTA</t>
        </is>
      </c>
      <c r="H1908" s="65" t="inlineStr">
        <is>
          <t>A400 XCEL 76 CM</t>
        </is>
      </c>
      <c r="I1908" s="65" t="inlineStr">
        <is>
          <t>XA260617</t>
        </is>
      </c>
      <c r="J1908" s="65" t="inlineStr">
        <is>
          <t>XB282361</t>
        </is>
      </c>
      <c r="K1908" s="65" t="inlineStr">
        <is>
          <t>N/D</t>
        </is>
      </c>
      <c r="L1908" s="127" t="inlineStr">
        <is>
          <t>REDOLFI ARMI SRL</t>
        </is>
      </c>
      <c r="M1908" s="5" t="n">
        <v>1150</v>
      </c>
      <c r="N1908" s="5" t="n"/>
      <c r="O1908" s="5">
        <f>+M1908+N1908</f>
        <v/>
      </c>
      <c r="P1908" s="4" t="n">
        <v>45862</v>
      </c>
      <c r="Q1908" s="87" t="n">
        <v>45862</v>
      </c>
      <c r="R1908" s="5" t="n"/>
      <c r="S1908" s="2" t="n"/>
      <c r="T1908" s="3" t="n"/>
      <c r="U1908" s="87" t="n"/>
      <c r="V1908" s="3" t="n"/>
      <c r="W1908" s="108" t="n"/>
      <c r="X1908" s="4" t="n"/>
    </row>
    <row r="1909" ht="24" customHeight="1">
      <c r="A1909" s="2">
        <f>+D1909-S1909</f>
        <v/>
      </c>
      <c r="B1909" s="80" t="n">
        <v>3527</v>
      </c>
      <c r="C1909" s="66" t="n">
        <v>45862</v>
      </c>
      <c r="D1909" s="2" t="n">
        <v>1</v>
      </c>
      <c r="E1909" s="3" t="inlineStr">
        <is>
          <t>FUCILE SEMIAUTOMATICO</t>
        </is>
      </c>
      <c r="F1909" s="3" t="inlineStr">
        <is>
          <t>20</t>
        </is>
      </c>
      <c r="G1909" s="3" t="inlineStr">
        <is>
          <t>BERETTA</t>
        </is>
      </c>
      <c r="H1909" s="65" t="inlineStr">
        <is>
          <t>A300 ULTIMA 71 CM</t>
        </is>
      </c>
      <c r="I1909" s="65" t="inlineStr">
        <is>
          <t>RUP237246</t>
        </is>
      </c>
      <c r="J1909" s="65" t="inlineStr">
        <is>
          <t>N/D</t>
        </is>
      </c>
      <c r="K1909" s="65" t="inlineStr">
        <is>
          <t>N/D</t>
        </is>
      </c>
      <c r="L1909" s="127" t="inlineStr">
        <is>
          <t>REDOLFI ARMI SRL</t>
        </is>
      </c>
      <c r="M1909" s="5" t="n">
        <v>650</v>
      </c>
      <c r="N1909" s="5" t="n"/>
      <c r="O1909" s="5">
        <f>+M1909+N1909</f>
        <v/>
      </c>
      <c r="P1909" s="4" t="n">
        <v>45862</v>
      </c>
      <c r="Q1909" s="87" t="n">
        <v>45862</v>
      </c>
      <c r="R1909" s="5" t="n">
        <v>670</v>
      </c>
      <c r="S1909" s="2" t="n">
        <v>1</v>
      </c>
      <c r="T1909" s="3" t="inlineStr">
        <is>
          <t>CA04954OS</t>
        </is>
      </c>
      <c r="U1909" s="87" t="n">
        <v>45874</v>
      </c>
      <c r="V1909" s="3" t="inlineStr">
        <is>
          <t>25</t>
        </is>
      </c>
      <c r="W1909" s="4" t="n">
        <v>45874</v>
      </c>
      <c r="X1909" s="4" t="inlineStr">
        <is>
          <t>PHILIPPOS  CONSTANTINIDES
TRADING CO.LTD</t>
        </is>
      </c>
    </row>
    <row r="1910" ht="24" customHeight="1">
      <c r="A1910" s="2">
        <f>+D1910-S1910</f>
        <v/>
      </c>
      <c r="B1910" s="80" t="n">
        <v>3528</v>
      </c>
      <c r="C1910" s="66" t="n">
        <v>45862</v>
      </c>
      <c r="D1910" s="2" t="n">
        <v>1</v>
      </c>
      <c r="E1910" s="3" t="inlineStr">
        <is>
          <t>FUCILE SEMIAUTOMATICO</t>
        </is>
      </c>
      <c r="F1910" s="3" t="inlineStr">
        <is>
          <t>20</t>
        </is>
      </c>
      <c r="G1910" s="3" t="inlineStr">
        <is>
          <t>BERETTA</t>
        </is>
      </c>
      <c r="H1910" s="65" t="inlineStr">
        <is>
          <t>A300 ULTIMA 71 CM</t>
        </is>
      </c>
      <c r="I1910" s="65" t="inlineStr">
        <is>
          <t>RUP238210</t>
        </is>
      </c>
      <c r="J1910" s="65" t="inlineStr">
        <is>
          <t>N/D</t>
        </is>
      </c>
      <c r="K1910" s="65" t="inlineStr">
        <is>
          <t>N/D</t>
        </is>
      </c>
      <c r="L1910" s="127" t="inlineStr">
        <is>
          <t>REDOLFI ARMI SRL</t>
        </is>
      </c>
      <c r="M1910" s="5" t="n">
        <v>650</v>
      </c>
      <c r="N1910" s="5" t="n"/>
      <c r="O1910" s="5">
        <f>+M1910+N1910</f>
        <v/>
      </c>
      <c r="P1910" s="4" t="n">
        <v>45862</v>
      </c>
      <c r="Q1910" s="87" t="n">
        <v>45862</v>
      </c>
      <c r="R1910" s="5" t="n">
        <v>670</v>
      </c>
      <c r="S1910" s="2" t="n">
        <v>1</v>
      </c>
      <c r="T1910" s="3" t="inlineStr">
        <is>
          <t>CA04954OS</t>
        </is>
      </c>
      <c r="U1910" s="87" t="n">
        <v>45874</v>
      </c>
      <c r="V1910" s="3" t="inlineStr">
        <is>
          <t>25</t>
        </is>
      </c>
      <c r="W1910" s="4" t="n">
        <v>45874</v>
      </c>
      <c r="X1910" s="4" t="inlineStr">
        <is>
          <t>PHILIPPOS  CONSTANTINIDES
TRADING CO.LTD</t>
        </is>
      </c>
    </row>
    <row r="1911" ht="24" customHeight="1">
      <c r="A1911" s="2">
        <f>+D1911-S1911</f>
        <v/>
      </c>
      <c r="B1911" s="80" t="n">
        <v>3529</v>
      </c>
      <c r="C1911" s="66" t="n">
        <v>45862</v>
      </c>
      <c r="D1911" s="2" t="n">
        <v>1</v>
      </c>
      <c r="E1911" s="3" t="inlineStr">
        <is>
          <t>FUCILE SEMIAUTOMATICO</t>
        </is>
      </c>
      <c r="F1911" s="3" t="inlineStr">
        <is>
          <t>20</t>
        </is>
      </c>
      <c r="G1911" s="3" t="inlineStr">
        <is>
          <t>BERETTA</t>
        </is>
      </c>
      <c r="H1911" s="65" t="inlineStr">
        <is>
          <t>A300 ULTIMA 71 CM</t>
        </is>
      </c>
      <c r="I1911" s="65" t="inlineStr">
        <is>
          <t>RUP238271</t>
        </is>
      </c>
      <c r="J1911" s="65" t="inlineStr">
        <is>
          <t>N/D</t>
        </is>
      </c>
      <c r="K1911" s="65" t="inlineStr">
        <is>
          <t>N/D</t>
        </is>
      </c>
      <c r="L1911" s="127" t="inlineStr">
        <is>
          <t>REDOLFI ARMI SRL</t>
        </is>
      </c>
      <c r="M1911" s="5" t="n">
        <v>650</v>
      </c>
      <c r="N1911" s="5" t="n"/>
      <c r="O1911" s="5">
        <f>+M1911+N1911</f>
        <v/>
      </c>
      <c r="P1911" s="4" t="n">
        <v>45862</v>
      </c>
      <c r="Q1911" s="87" t="n">
        <v>45862</v>
      </c>
      <c r="R1911" s="5" t="n">
        <v>670</v>
      </c>
      <c r="S1911" s="2" t="n">
        <v>1</v>
      </c>
      <c r="T1911" s="3" t="inlineStr">
        <is>
          <t>CA04954OS</t>
        </is>
      </c>
      <c r="U1911" s="87" t="n">
        <v>45874</v>
      </c>
      <c r="V1911" s="3" t="inlineStr">
        <is>
          <t>25</t>
        </is>
      </c>
      <c r="W1911" s="4" t="n">
        <v>45874</v>
      </c>
      <c r="X1911" s="4" t="inlineStr">
        <is>
          <t>PHILIPPOS  CONSTANTINIDES
TRADING CO.LTD</t>
        </is>
      </c>
    </row>
    <row r="1912" ht="24" customHeight="1">
      <c r="A1912" s="2">
        <f>+D1912-S1912</f>
        <v/>
      </c>
      <c r="B1912" s="80" t="n">
        <v>3530</v>
      </c>
      <c r="C1912" s="66" t="n">
        <v>45862</v>
      </c>
      <c r="D1912" s="2" t="n">
        <v>1</v>
      </c>
      <c r="E1912" s="3" t="inlineStr">
        <is>
          <t>FUCILE SEMIAUTOMATICO</t>
        </is>
      </c>
      <c r="F1912" s="3" t="inlineStr">
        <is>
          <t>20</t>
        </is>
      </c>
      <c r="G1912" s="3" t="inlineStr">
        <is>
          <t>BERETTA</t>
        </is>
      </c>
      <c r="H1912" s="65" t="inlineStr">
        <is>
          <t>A300 ULTIMA 71 CM</t>
        </is>
      </c>
      <c r="I1912" s="65" t="inlineStr">
        <is>
          <t>RUP237247</t>
        </is>
      </c>
      <c r="J1912" s="65" t="inlineStr">
        <is>
          <t>N/D</t>
        </is>
      </c>
      <c r="K1912" s="65" t="inlineStr">
        <is>
          <t>N/D</t>
        </is>
      </c>
      <c r="L1912" s="127" t="inlineStr">
        <is>
          <t>REDOLFI ARMI SRL</t>
        </is>
      </c>
      <c r="M1912" s="5" t="n">
        <v>650</v>
      </c>
      <c r="N1912" s="5" t="n"/>
      <c r="O1912" s="5">
        <f>+M1912+N1912</f>
        <v/>
      </c>
      <c r="P1912" s="4" t="n">
        <v>45862</v>
      </c>
      <c r="Q1912" s="87" t="n">
        <v>45862</v>
      </c>
      <c r="R1912" s="5" t="n">
        <v>670</v>
      </c>
      <c r="S1912" s="2" t="n">
        <v>1</v>
      </c>
      <c r="T1912" s="3" t="inlineStr">
        <is>
          <t>CA04954OS</t>
        </is>
      </c>
      <c r="U1912" s="87" t="n">
        <v>45874</v>
      </c>
      <c r="V1912" s="3" t="inlineStr">
        <is>
          <t>25</t>
        </is>
      </c>
      <c r="W1912" s="4" t="n">
        <v>45874</v>
      </c>
      <c r="X1912" s="4" t="inlineStr">
        <is>
          <t>PHILIPPOS  CONSTANTINIDES
TRADING CO.LTD</t>
        </is>
      </c>
    </row>
    <row r="1913" ht="24" customHeight="1">
      <c r="A1913" s="2">
        <f>+D1913-S1913</f>
        <v/>
      </c>
      <c r="B1913" s="80" t="n">
        <v>3531</v>
      </c>
      <c r="C1913" s="66" t="n">
        <v>45862</v>
      </c>
      <c r="D1913" s="2" t="n">
        <v>1</v>
      </c>
      <c r="E1913" s="3" t="inlineStr">
        <is>
          <t>FUCILE SEMIAUTOMATICO</t>
        </is>
      </c>
      <c r="F1913" s="3" t="inlineStr">
        <is>
          <t>20</t>
        </is>
      </c>
      <c r="G1913" s="3" t="inlineStr">
        <is>
          <t>BERETTA</t>
        </is>
      </c>
      <c r="H1913" s="65" t="inlineStr">
        <is>
          <t>A300 ULTIMA 71 CM</t>
        </is>
      </c>
      <c r="I1913" s="65" t="inlineStr">
        <is>
          <t>RUP231123</t>
        </is>
      </c>
      <c r="J1913" s="65" t="inlineStr">
        <is>
          <t>N/D</t>
        </is>
      </c>
      <c r="K1913" s="65" t="inlineStr">
        <is>
          <t>N/D</t>
        </is>
      </c>
      <c r="L1913" s="127" t="inlineStr">
        <is>
          <t>REDOLFI ARMI SRL</t>
        </is>
      </c>
      <c r="M1913" s="5" t="n">
        <v>650</v>
      </c>
      <c r="N1913" s="5" t="n"/>
      <c r="O1913" s="5">
        <f>+M1913+N1913</f>
        <v/>
      </c>
      <c r="P1913" s="4" t="n">
        <v>45862</v>
      </c>
      <c r="Q1913" s="87" t="n">
        <v>45862</v>
      </c>
      <c r="R1913" s="5" t="n">
        <v>670</v>
      </c>
      <c r="S1913" s="2" t="n">
        <v>1</v>
      </c>
      <c r="T1913" s="3" t="inlineStr">
        <is>
          <t>CA04954OS</t>
        </is>
      </c>
      <c r="U1913" s="87" t="n">
        <v>45874</v>
      </c>
      <c r="V1913" s="3" t="inlineStr">
        <is>
          <t>25</t>
        </is>
      </c>
      <c r="W1913" s="4" t="n">
        <v>45874</v>
      </c>
      <c r="X1913" s="4" t="inlineStr">
        <is>
          <t>PHILIPPOS  CONSTANTINIDES
TRADING CO.LTD</t>
        </is>
      </c>
    </row>
    <row r="1914" ht="24" customHeight="1">
      <c r="A1914" s="2">
        <f>+D1914-S1914</f>
        <v/>
      </c>
      <c r="B1914" s="80" t="n">
        <v>3532</v>
      </c>
      <c r="C1914" s="66" t="n">
        <v>45862</v>
      </c>
      <c r="D1914" s="2" t="n">
        <v>1</v>
      </c>
      <c r="E1914" s="3" t="inlineStr">
        <is>
          <t>FUCILE SEMIAUTOMATICO</t>
        </is>
      </c>
      <c r="F1914" s="3" t="inlineStr">
        <is>
          <t>20</t>
        </is>
      </c>
      <c r="G1914" s="3" t="inlineStr">
        <is>
          <t>BERETTA</t>
        </is>
      </c>
      <c r="H1914" s="65" t="inlineStr">
        <is>
          <t>A300 ULTIMA 71 CM</t>
        </is>
      </c>
      <c r="I1914" s="65" t="inlineStr">
        <is>
          <t>RUP237239</t>
        </is>
      </c>
      <c r="J1914" s="65" t="inlineStr">
        <is>
          <t>N/D</t>
        </is>
      </c>
      <c r="K1914" s="65" t="inlineStr">
        <is>
          <t>N/D</t>
        </is>
      </c>
      <c r="L1914" s="127" t="inlineStr">
        <is>
          <t>REDOLFI ARMI SRL</t>
        </is>
      </c>
      <c r="M1914" s="5" t="n">
        <v>650</v>
      </c>
      <c r="N1914" s="5" t="n"/>
      <c r="O1914" s="5">
        <f>+M1914+N1914</f>
        <v/>
      </c>
      <c r="P1914" s="4" t="n">
        <v>45862</v>
      </c>
      <c r="Q1914" s="87" t="n">
        <v>45862</v>
      </c>
      <c r="R1914" s="5" t="n">
        <v>670</v>
      </c>
      <c r="S1914" s="2" t="n">
        <v>1</v>
      </c>
      <c r="T1914" s="3" t="inlineStr">
        <is>
          <t>CA04954OS</t>
        </is>
      </c>
      <c r="U1914" s="87" t="n">
        <v>45874</v>
      </c>
      <c r="V1914" s="3" t="inlineStr">
        <is>
          <t>25</t>
        </is>
      </c>
      <c r="W1914" s="4" t="n">
        <v>45874</v>
      </c>
      <c r="X1914" s="4" t="inlineStr">
        <is>
          <t>PHILIPPOS  CONSTANTINIDES
TRADING CO.LTD</t>
        </is>
      </c>
    </row>
    <row r="1915" ht="24" customHeight="1">
      <c r="A1915" s="2">
        <f>+D1915-S1915</f>
        <v/>
      </c>
      <c r="B1915" s="80" t="n">
        <v>3533</v>
      </c>
      <c r="C1915" s="66" t="n">
        <v>45862</v>
      </c>
      <c r="D1915" s="2" t="n">
        <v>1</v>
      </c>
      <c r="E1915" s="3" t="inlineStr">
        <is>
          <t>FUCILE SEMIAUTOMATICO</t>
        </is>
      </c>
      <c r="F1915" s="3" t="inlineStr">
        <is>
          <t>20</t>
        </is>
      </c>
      <c r="G1915" s="3" t="inlineStr">
        <is>
          <t>BERETTA</t>
        </is>
      </c>
      <c r="H1915" s="65" t="inlineStr">
        <is>
          <t>A300 ULTIMA 71 CM</t>
        </is>
      </c>
      <c r="I1915" s="65" t="inlineStr">
        <is>
          <t>RUP237236</t>
        </is>
      </c>
      <c r="J1915" s="65" t="inlineStr">
        <is>
          <t>N/D</t>
        </is>
      </c>
      <c r="K1915" s="65" t="inlineStr">
        <is>
          <t>N/D</t>
        </is>
      </c>
      <c r="L1915" s="127" t="inlineStr">
        <is>
          <t>REDOLFI ARMI SRL</t>
        </is>
      </c>
      <c r="M1915" s="5" t="n">
        <v>650</v>
      </c>
      <c r="N1915" s="5" t="n"/>
      <c r="O1915" s="5">
        <f>+M1915+N1915</f>
        <v/>
      </c>
      <c r="P1915" s="4" t="n">
        <v>45862</v>
      </c>
      <c r="Q1915" s="87" t="n">
        <v>45862</v>
      </c>
      <c r="R1915" s="5" t="n">
        <v>670</v>
      </c>
      <c r="S1915" s="2" t="n">
        <v>1</v>
      </c>
      <c r="T1915" s="3" t="inlineStr">
        <is>
          <t>CA04954OS</t>
        </is>
      </c>
      <c r="U1915" s="87" t="n">
        <v>45874</v>
      </c>
      <c r="V1915" s="3" t="inlineStr">
        <is>
          <t>25</t>
        </is>
      </c>
      <c r="W1915" s="4" t="n">
        <v>45874</v>
      </c>
      <c r="X1915" s="4" t="inlineStr">
        <is>
          <t>PHILIPPOS  CONSTANTINIDES
TRADING CO.LTD</t>
        </is>
      </c>
    </row>
    <row r="1916" ht="24" customHeight="1">
      <c r="A1916" s="2">
        <f>+D1916-S1916</f>
        <v/>
      </c>
      <c r="B1916" s="80" t="n">
        <v>3534</v>
      </c>
      <c r="C1916" s="66" t="n">
        <v>45862</v>
      </c>
      <c r="D1916" s="2" t="n">
        <v>1</v>
      </c>
      <c r="E1916" s="3" t="inlineStr">
        <is>
          <t>FUCILE SEMIAUTOMATICO</t>
        </is>
      </c>
      <c r="F1916" s="3" t="inlineStr">
        <is>
          <t>20</t>
        </is>
      </c>
      <c r="G1916" s="3" t="inlineStr">
        <is>
          <t>BERETTA</t>
        </is>
      </c>
      <c r="H1916" s="65" t="inlineStr">
        <is>
          <t>A300 ULTIMA 71 CM</t>
        </is>
      </c>
      <c r="I1916" s="65" t="inlineStr">
        <is>
          <t>RUP238194</t>
        </is>
      </c>
      <c r="J1916" s="65" t="inlineStr">
        <is>
          <t>N/D</t>
        </is>
      </c>
      <c r="K1916" s="65" t="inlineStr">
        <is>
          <t>N/D</t>
        </is>
      </c>
      <c r="L1916" s="127" t="inlineStr">
        <is>
          <t>REDOLFI ARMI SRL</t>
        </is>
      </c>
      <c r="M1916" s="5" t="n">
        <v>650</v>
      </c>
      <c r="N1916" s="5" t="n"/>
      <c r="O1916" s="5">
        <f>+M1916+N1916</f>
        <v/>
      </c>
      <c r="P1916" s="4" t="n">
        <v>45862</v>
      </c>
      <c r="Q1916" s="87" t="n">
        <v>45862</v>
      </c>
      <c r="R1916" s="5" t="n">
        <v>670</v>
      </c>
      <c r="S1916" s="2" t="n">
        <v>1</v>
      </c>
      <c r="T1916" s="3" t="inlineStr">
        <is>
          <t>CA04954OS</t>
        </is>
      </c>
      <c r="U1916" s="87" t="n">
        <v>45874</v>
      </c>
      <c r="V1916" s="3" t="inlineStr">
        <is>
          <t>25</t>
        </is>
      </c>
      <c r="W1916" s="4" t="n">
        <v>45874</v>
      </c>
      <c r="X1916" s="4" t="inlineStr">
        <is>
          <t>PHILIPPOS  CONSTANTINIDES
TRADING CO.LTD</t>
        </is>
      </c>
    </row>
    <row r="1917" ht="24" customHeight="1">
      <c r="A1917" s="2">
        <f>+D1917-S1917</f>
        <v/>
      </c>
      <c r="B1917" s="80" t="n">
        <v>3535</v>
      </c>
      <c r="C1917" s="66" t="n">
        <v>45862</v>
      </c>
      <c r="D1917" s="2" t="n">
        <v>1</v>
      </c>
      <c r="E1917" s="3" t="inlineStr">
        <is>
          <t>FUCILE SEMIAUTOMATICO</t>
        </is>
      </c>
      <c r="F1917" s="3" t="inlineStr">
        <is>
          <t>12</t>
        </is>
      </c>
      <c r="G1917" s="3" t="inlineStr">
        <is>
          <t>BERETTA</t>
        </is>
      </c>
      <c r="H1917" s="65" t="inlineStr">
        <is>
          <t>A400 ACTION KIK OFF 71 CM</t>
        </is>
      </c>
      <c r="I1917" s="65" t="inlineStr">
        <is>
          <t>XA286821</t>
        </is>
      </c>
      <c r="J1917" s="65" t="inlineStr">
        <is>
          <t>XB320626</t>
        </is>
      </c>
      <c r="K1917" s="65" t="inlineStr">
        <is>
          <t>N/D</t>
        </is>
      </c>
      <c r="L1917" s="127" t="inlineStr">
        <is>
          <t>REDOLFI ARMI SRL</t>
        </is>
      </c>
      <c r="M1917" s="5" t="n">
        <v>950</v>
      </c>
      <c r="N1917" s="5" t="n"/>
      <c r="O1917" s="5">
        <f>+M1917+N1917</f>
        <v/>
      </c>
      <c r="P1917" s="4" t="n">
        <v>45862</v>
      </c>
      <c r="Q1917" s="87" t="n">
        <v>45862</v>
      </c>
      <c r="R1917" s="5" t="n">
        <v>1334</v>
      </c>
      <c r="S1917" s="2" t="n">
        <v>1</v>
      </c>
      <c r="T1917" s="3" t="inlineStr">
        <is>
          <t>CA04954OS</t>
        </is>
      </c>
      <c r="U1917" s="87" t="n">
        <v>45874</v>
      </c>
      <c r="V1917" s="3" t="inlineStr">
        <is>
          <t>25</t>
        </is>
      </c>
      <c r="W1917" s="4" t="n">
        <v>45874</v>
      </c>
      <c r="X1917" s="4" t="inlineStr">
        <is>
          <t>PHILIPPOS  CONSTANTINIDES
TRADING CO.LTD</t>
        </is>
      </c>
    </row>
    <row r="1918" ht="24" customHeight="1">
      <c r="A1918" s="2">
        <f>+D1918-S1918</f>
        <v/>
      </c>
      <c r="B1918" s="80" t="n">
        <v>3536</v>
      </c>
      <c r="C1918" s="66" t="n">
        <v>45862</v>
      </c>
      <c r="D1918" s="2" t="n">
        <v>1</v>
      </c>
      <c r="E1918" s="3" t="inlineStr">
        <is>
          <t>FUCILE SEMIAUTOMATICO</t>
        </is>
      </c>
      <c r="F1918" s="3" t="inlineStr">
        <is>
          <t>12</t>
        </is>
      </c>
      <c r="G1918" s="3" t="inlineStr">
        <is>
          <t>BERETTA</t>
        </is>
      </c>
      <c r="H1918" s="65" t="inlineStr">
        <is>
          <t>A400 ACTION KIK OFF 71 CM</t>
        </is>
      </c>
      <c r="I1918" s="65" t="inlineStr">
        <is>
          <t>XA286825</t>
        </is>
      </c>
      <c r="J1918" s="65" t="inlineStr">
        <is>
          <t>XB320630</t>
        </is>
      </c>
      <c r="K1918" s="65" t="inlineStr">
        <is>
          <t>N/D</t>
        </is>
      </c>
      <c r="L1918" s="127" t="inlineStr">
        <is>
          <t>REDOLFI ARMI SRL</t>
        </is>
      </c>
      <c r="M1918" s="5" t="n">
        <v>950</v>
      </c>
      <c r="N1918" s="5" t="n"/>
      <c r="O1918" s="5">
        <f>+M1918+N1918</f>
        <v/>
      </c>
      <c r="P1918" s="4" t="n">
        <v>45862</v>
      </c>
      <c r="Q1918" s="87" t="n">
        <v>45862</v>
      </c>
      <c r="R1918" s="5" t="n">
        <v>1334</v>
      </c>
      <c r="S1918" s="2" t="n">
        <v>1</v>
      </c>
      <c r="T1918" s="3" t="inlineStr">
        <is>
          <t>CA04954OS</t>
        </is>
      </c>
      <c r="U1918" s="87" t="n">
        <v>45874</v>
      </c>
      <c r="V1918" s="3" t="inlineStr">
        <is>
          <t>25</t>
        </is>
      </c>
      <c r="W1918" s="4" t="n">
        <v>45874</v>
      </c>
      <c r="X1918" s="4" t="inlineStr">
        <is>
          <t>PHILIPPOS  CONSTANTINIDES
TRADING CO.LTD</t>
        </is>
      </c>
    </row>
    <row r="1919" ht="24" customHeight="1">
      <c r="A1919" s="2">
        <f>+D1919-S1919</f>
        <v/>
      </c>
      <c r="B1919" s="80" t="n">
        <v>3537</v>
      </c>
      <c r="C1919" s="66" t="n">
        <v>45862</v>
      </c>
      <c r="D1919" s="2" t="n">
        <v>1</v>
      </c>
      <c r="E1919" s="3" t="inlineStr">
        <is>
          <t>FUCILE SEMIAUTOMATICO</t>
        </is>
      </c>
      <c r="F1919" s="3" t="inlineStr">
        <is>
          <t>12</t>
        </is>
      </c>
      <c r="G1919" s="3" t="inlineStr">
        <is>
          <t>BERETTA</t>
        </is>
      </c>
      <c r="H1919" s="65" t="inlineStr">
        <is>
          <t>A400 ACTION KIK OFF 71 CM</t>
        </is>
      </c>
      <c r="I1919" s="65" t="inlineStr">
        <is>
          <t>XA286823</t>
        </is>
      </c>
      <c r="J1919" s="65" t="inlineStr">
        <is>
          <t>XB320628</t>
        </is>
      </c>
      <c r="K1919" s="65" t="inlineStr">
        <is>
          <t>N/D</t>
        </is>
      </c>
      <c r="L1919" s="127" t="inlineStr">
        <is>
          <t>REDOLFI ARMI SRL</t>
        </is>
      </c>
      <c r="M1919" s="5" t="n">
        <v>950</v>
      </c>
      <c r="N1919" s="5" t="n"/>
      <c r="O1919" s="5">
        <f>+M1919+N1919</f>
        <v/>
      </c>
      <c r="P1919" s="4" t="n">
        <v>45862</v>
      </c>
      <c r="Q1919" s="87" t="n">
        <v>45862</v>
      </c>
      <c r="R1919" s="5" t="n">
        <v>1334</v>
      </c>
      <c r="S1919" s="2" t="n">
        <v>1</v>
      </c>
      <c r="T1919" s="3" t="inlineStr">
        <is>
          <t>CA04954OS</t>
        </is>
      </c>
      <c r="U1919" s="87" t="n">
        <v>45874</v>
      </c>
      <c r="V1919" s="3" t="inlineStr">
        <is>
          <t>25</t>
        </is>
      </c>
      <c r="W1919" s="4" t="n">
        <v>45874</v>
      </c>
      <c r="X1919" s="4" t="inlineStr">
        <is>
          <t>PHILIPPOS  CONSTANTINIDES
TRADING CO.LTD</t>
        </is>
      </c>
    </row>
    <row r="1920" ht="24" customHeight="1">
      <c r="A1920" s="2">
        <f>+D1920-S1920</f>
        <v/>
      </c>
      <c r="B1920" s="80" t="n">
        <v>3538</v>
      </c>
      <c r="C1920" s="66" t="n">
        <v>45862</v>
      </c>
      <c r="D1920" s="2" t="n">
        <v>1</v>
      </c>
      <c r="E1920" s="3" t="inlineStr">
        <is>
          <t>FUCILE SEMIAUTOMATICO</t>
        </is>
      </c>
      <c r="F1920" s="3" t="inlineStr">
        <is>
          <t>20</t>
        </is>
      </c>
      <c r="G1920" s="3" t="inlineStr">
        <is>
          <t>PIETTA</t>
        </is>
      </c>
      <c r="H1920" s="65" t="inlineStr">
        <is>
          <t>66 CM</t>
        </is>
      </c>
      <c r="I1920" s="65" t="inlineStr">
        <is>
          <t>Z111292</t>
        </is>
      </c>
      <c r="J1920" s="65" t="inlineStr">
        <is>
          <t>106320</t>
        </is>
      </c>
      <c r="K1920" s="65" t="inlineStr">
        <is>
          <t>N/D</t>
        </is>
      </c>
      <c r="L1920" s="127" t="inlineStr">
        <is>
          <t>REDOLFI ARMI SRL</t>
        </is>
      </c>
      <c r="M1920" s="5" t="n">
        <v>190</v>
      </c>
      <c r="N1920" s="5" t="n"/>
      <c r="O1920" s="5">
        <f>+M1920+N1920</f>
        <v/>
      </c>
      <c r="P1920" s="4" t="n">
        <v>45862</v>
      </c>
      <c r="Q1920" s="87" t="n">
        <v>45862</v>
      </c>
      <c r="R1920" s="5" t="n">
        <v>209</v>
      </c>
      <c r="S1920" s="2" t="n">
        <v>1</v>
      </c>
      <c r="T1920" s="3" t="inlineStr">
        <is>
          <t>CA42796IR</t>
        </is>
      </c>
      <c r="U1920" s="87" t="n">
        <v>46041</v>
      </c>
      <c r="V1920" s="3" t="inlineStr">
        <is>
          <t>2</t>
        </is>
      </c>
      <c r="W1920" s="108" t="n">
        <v>46041</v>
      </c>
      <c r="X1920" s="4" t="inlineStr">
        <is>
          <t>PHILIPPOS  CONSTANTINIDES
TRADING CO.LTD</t>
        </is>
      </c>
    </row>
    <row r="1921" ht="24" customHeight="1">
      <c r="A1921" s="2">
        <f>+D1921-S1921</f>
        <v/>
      </c>
      <c r="B1921" s="80" t="n">
        <v>3539</v>
      </c>
      <c r="C1921" s="66" t="n">
        <v>45862</v>
      </c>
      <c r="D1921" s="2" t="n">
        <v>1</v>
      </c>
      <c r="E1921" s="3" t="inlineStr">
        <is>
          <t>FUCILE SEMIAUTOMATICO</t>
        </is>
      </c>
      <c r="F1921" s="3" t="inlineStr">
        <is>
          <t>20</t>
        </is>
      </c>
      <c r="G1921" s="3" t="inlineStr">
        <is>
          <t>PIETTA</t>
        </is>
      </c>
      <c r="H1921" s="65" t="inlineStr">
        <is>
          <t>66 CM</t>
        </is>
      </c>
      <c r="I1921" s="65" t="inlineStr">
        <is>
          <t>Z111289</t>
        </is>
      </c>
      <c r="J1921" s="65" t="inlineStr">
        <is>
          <t>106316</t>
        </is>
      </c>
      <c r="K1921" s="65" t="inlineStr">
        <is>
          <t>N/D</t>
        </is>
      </c>
      <c r="L1921" s="127" t="inlineStr">
        <is>
          <t>REDOLFI ARMI SRL</t>
        </is>
      </c>
      <c r="M1921" s="5" t="n">
        <v>190</v>
      </c>
      <c r="N1921" s="5" t="n"/>
      <c r="O1921" s="5">
        <f>+M1921+N1921</f>
        <v/>
      </c>
      <c r="P1921" s="4" t="n">
        <v>45862</v>
      </c>
      <c r="Q1921" s="87" t="n">
        <v>45862</v>
      </c>
      <c r="R1921" s="5" t="n">
        <v>209</v>
      </c>
      <c r="S1921" s="2" t="n">
        <v>1</v>
      </c>
      <c r="T1921" s="3" t="inlineStr">
        <is>
          <t>CA42796IR</t>
        </is>
      </c>
      <c r="U1921" s="87" t="n">
        <v>46041</v>
      </c>
      <c r="V1921" s="3" t="inlineStr">
        <is>
          <t>2</t>
        </is>
      </c>
      <c r="W1921" s="108" t="n">
        <v>46041</v>
      </c>
      <c r="X1921" s="4" t="inlineStr">
        <is>
          <t>PHILIPPOS  CONSTANTINIDES
TRADING CO.LTD</t>
        </is>
      </c>
    </row>
    <row r="1922" ht="24" customHeight="1">
      <c r="A1922" s="2">
        <f>+D1922-S1922</f>
        <v/>
      </c>
      <c r="B1922" s="80" t="n">
        <v>3540</v>
      </c>
      <c r="C1922" s="66" t="n">
        <v>45862</v>
      </c>
      <c r="D1922" s="2" t="n">
        <v>1</v>
      </c>
      <c r="E1922" s="3" t="inlineStr">
        <is>
          <t>FUCILE SEMIAUTOMATICO</t>
        </is>
      </c>
      <c r="F1922" s="3" t="inlineStr">
        <is>
          <t>20</t>
        </is>
      </c>
      <c r="G1922" s="3" t="inlineStr">
        <is>
          <t>PIETTA</t>
        </is>
      </c>
      <c r="H1922" s="65" t="inlineStr">
        <is>
          <t>66 CM</t>
        </is>
      </c>
      <c r="I1922" s="65" t="inlineStr">
        <is>
          <t>Z111291</t>
        </is>
      </c>
      <c r="J1922" s="65" t="inlineStr">
        <is>
          <t>106325</t>
        </is>
      </c>
      <c r="K1922" s="65" t="inlineStr">
        <is>
          <t>N/D</t>
        </is>
      </c>
      <c r="L1922" s="127" t="inlineStr">
        <is>
          <t>REDOLFI ARMI SRL</t>
        </is>
      </c>
      <c r="M1922" s="5" t="n">
        <v>190</v>
      </c>
      <c r="N1922" s="5" t="n"/>
      <c r="O1922" s="5">
        <f>+M1922+N1922</f>
        <v/>
      </c>
      <c r="P1922" s="4" t="n">
        <v>45862</v>
      </c>
      <c r="Q1922" s="87" t="n">
        <v>45862</v>
      </c>
      <c r="R1922" s="5" t="n">
        <v>209</v>
      </c>
      <c r="S1922" s="2" t="n">
        <v>1</v>
      </c>
      <c r="T1922" s="3" t="inlineStr">
        <is>
          <t>CA42796IR</t>
        </is>
      </c>
      <c r="U1922" s="87" t="n">
        <v>46041</v>
      </c>
      <c r="V1922" s="3" t="inlineStr">
        <is>
          <t>2</t>
        </is>
      </c>
      <c r="W1922" s="108" t="n">
        <v>46041</v>
      </c>
      <c r="X1922" s="4" t="inlineStr">
        <is>
          <t>PHILIPPOS  CONSTANTINIDES
TRADING CO.LTD</t>
        </is>
      </c>
    </row>
    <row r="1923" ht="24" customHeight="1">
      <c r="A1923" s="2">
        <f>+D1923-S1923</f>
        <v/>
      </c>
      <c r="B1923" s="80" t="n">
        <v>3541</v>
      </c>
      <c r="C1923" s="66" t="n">
        <v>45862</v>
      </c>
      <c r="D1923" s="2" t="n">
        <v>1</v>
      </c>
      <c r="E1923" s="3" t="inlineStr">
        <is>
          <t>FUCILE SEMIAUTOMATICO</t>
        </is>
      </c>
      <c r="F1923" s="3" t="inlineStr">
        <is>
          <t>20</t>
        </is>
      </c>
      <c r="G1923" s="3" t="inlineStr">
        <is>
          <t>PIETTA</t>
        </is>
      </c>
      <c r="H1923" s="65" t="inlineStr">
        <is>
          <t>66 CM</t>
        </is>
      </c>
      <c r="I1923" s="65" t="inlineStr">
        <is>
          <t>Z111286</t>
        </is>
      </c>
      <c r="J1923" s="65" t="inlineStr">
        <is>
          <t>112974</t>
        </is>
      </c>
      <c r="K1923" s="65" t="inlineStr">
        <is>
          <t>N/D</t>
        </is>
      </c>
      <c r="L1923" s="127" t="inlineStr">
        <is>
          <t>REDOLFI ARMI SRL</t>
        </is>
      </c>
      <c r="M1923" s="5" t="n">
        <v>190</v>
      </c>
      <c r="N1923" s="5" t="n"/>
      <c r="O1923" s="5">
        <f>+M1923+N1923</f>
        <v/>
      </c>
      <c r="P1923" s="4" t="n">
        <v>45862</v>
      </c>
      <c r="Q1923" s="87" t="n">
        <v>45862</v>
      </c>
      <c r="R1923" s="5" t="n">
        <v>209</v>
      </c>
      <c r="S1923" s="2" t="n">
        <v>1</v>
      </c>
      <c r="T1923" s="3" t="inlineStr">
        <is>
          <t>CA42796IR</t>
        </is>
      </c>
      <c r="U1923" s="87" t="n">
        <v>46041</v>
      </c>
      <c r="V1923" s="3" t="inlineStr">
        <is>
          <t>2</t>
        </is>
      </c>
      <c r="W1923" s="108" t="n">
        <v>46041</v>
      </c>
      <c r="X1923" s="4" t="inlineStr">
        <is>
          <t>PHILIPPOS  CONSTANTINIDES
TRADING CO.LTD</t>
        </is>
      </c>
    </row>
    <row r="1924" ht="24" customHeight="1">
      <c r="A1924" s="2">
        <f>+D1924-S1924</f>
        <v/>
      </c>
      <c r="B1924" s="80" t="n">
        <v>3542</v>
      </c>
      <c r="C1924" s="66" t="n">
        <v>45862</v>
      </c>
      <c r="D1924" s="2" t="n">
        <v>1</v>
      </c>
      <c r="E1924" s="3" t="inlineStr">
        <is>
          <t>FUCILE SEMIAUTOMATICO</t>
        </is>
      </c>
      <c r="F1924" s="3" t="inlineStr">
        <is>
          <t>20</t>
        </is>
      </c>
      <c r="G1924" s="3" t="inlineStr">
        <is>
          <t>PIETTA</t>
        </is>
      </c>
      <c r="H1924" s="65" t="inlineStr">
        <is>
          <t>66 CM</t>
        </is>
      </c>
      <c r="I1924" s="65" t="inlineStr">
        <is>
          <t>Z111294</t>
        </is>
      </c>
      <c r="J1924" s="65" t="inlineStr">
        <is>
          <t>106317</t>
        </is>
      </c>
      <c r="K1924" s="65" t="inlineStr">
        <is>
          <t>N/D</t>
        </is>
      </c>
      <c r="L1924" s="127" t="inlineStr">
        <is>
          <t>REDOLFI ARMI SRL</t>
        </is>
      </c>
      <c r="M1924" s="5" t="n">
        <v>190</v>
      </c>
      <c r="N1924" s="5" t="n"/>
      <c r="O1924" s="5">
        <f>+M1924+N1924</f>
        <v/>
      </c>
      <c r="P1924" s="4" t="n">
        <v>45862</v>
      </c>
      <c r="Q1924" s="87" t="n">
        <v>45862</v>
      </c>
      <c r="R1924" s="5" t="n">
        <v>209</v>
      </c>
      <c r="S1924" s="2" t="n">
        <v>1</v>
      </c>
      <c r="T1924" s="3" t="inlineStr">
        <is>
          <t>CA42796IR</t>
        </is>
      </c>
      <c r="U1924" s="87" t="n">
        <v>46041</v>
      </c>
      <c r="V1924" s="3" t="inlineStr">
        <is>
          <t>2</t>
        </is>
      </c>
      <c r="W1924" s="108" t="n">
        <v>46041</v>
      </c>
      <c r="X1924" s="4" t="inlineStr">
        <is>
          <t>PHILIPPOS  CONSTANTINIDES
TRADING CO.LTD</t>
        </is>
      </c>
    </row>
    <row r="1925" ht="24" customHeight="1">
      <c r="A1925" s="2">
        <f>+D1925-S1925</f>
        <v/>
      </c>
      <c r="B1925" s="80" t="n">
        <v>3543</v>
      </c>
      <c r="C1925" s="66" t="n">
        <v>45862</v>
      </c>
      <c r="D1925" s="2" t="n">
        <v>1</v>
      </c>
      <c r="E1925" s="3" t="inlineStr">
        <is>
          <t>FUCILE SEMIAUTOMATICO</t>
        </is>
      </c>
      <c r="F1925" s="3" t="inlineStr">
        <is>
          <t>12</t>
        </is>
      </c>
      <c r="G1925" s="3" t="inlineStr">
        <is>
          <t>PIETTA</t>
        </is>
      </c>
      <c r="H1925" s="65" t="inlineStr">
        <is>
          <t>71 CM</t>
        </is>
      </c>
      <c r="I1925" s="65" t="inlineStr">
        <is>
          <t>Z111626</t>
        </is>
      </c>
      <c r="J1925" s="65" t="inlineStr">
        <is>
          <t>113005</t>
        </is>
      </c>
      <c r="K1925" s="65" t="inlineStr">
        <is>
          <t>N/D</t>
        </is>
      </c>
      <c r="L1925" s="127" t="inlineStr">
        <is>
          <t>REDOLFI ARMI SRL</t>
        </is>
      </c>
      <c r="M1925" s="5" t="n">
        <v>190</v>
      </c>
      <c r="N1925" s="5" t="n"/>
      <c r="O1925" s="5">
        <f>+M1925+N1925</f>
        <v/>
      </c>
      <c r="P1925" s="4" t="n">
        <v>45862</v>
      </c>
      <c r="Q1925" s="87" t="n">
        <v>45862</v>
      </c>
      <c r="R1925" s="5" t="n">
        <v>209</v>
      </c>
      <c r="S1925" s="2" t="n">
        <v>1</v>
      </c>
      <c r="T1925" s="3" t="inlineStr">
        <is>
          <t>CA42796IR</t>
        </is>
      </c>
      <c r="U1925" s="87" t="n">
        <v>46041</v>
      </c>
      <c r="V1925" s="3" t="inlineStr">
        <is>
          <t>2</t>
        </is>
      </c>
      <c r="W1925" s="108" t="n">
        <v>46041</v>
      </c>
      <c r="X1925" s="4" t="inlineStr">
        <is>
          <t>PHILIPPOS  CONSTANTINIDES
TRADING CO.LTD</t>
        </is>
      </c>
    </row>
    <row r="1926" ht="24" customHeight="1">
      <c r="A1926" s="2">
        <f>+D1926-S1926</f>
        <v/>
      </c>
      <c r="B1926" s="80" t="n">
        <v>3544</v>
      </c>
      <c r="C1926" s="66" t="n">
        <v>45862</v>
      </c>
      <c r="D1926" s="2" t="n">
        <v>1</v>
      </c>
      <c r="E1926" s="3" t="inlineStr">
        <is>
          <t>FUCILE SEMIAUTOMATICO</t>
        </is>
      </c>
      <c r="F1926" s="3" t="inlineStr">
        <is>
          <t>12</t>
        </is>
      </c>
      <c r="G1926" s="3" t="inlineStr">
        <is>
          <t>PIETTA</t>
        </is>
      </c>
      <c r="H1926" s="65" t="inlineStr">
        <is>
          <t>71 CM</t>
        </is>
      </c>
      <c r="I1926" s="65" t="inlineStr">
        <is>
          <t>Z111627</t>
        </is>
      </c>
      <c r="J1926" s="65" t="inlineStr">
        <is>
          <t>113004</t>
        </is>
      </c>
      <c r="K1926" s="65" t="inlineStr">
        <is>
          <t>N/D</t>
        </is>
      </c>
      <c r="L1926" s="127" t="inlineStr">
        <is>
          <t>REDOLFI ARMI SRL</t>
        </is>
      </c>
      <c r="M1926" s="5" t="n">
        <v>190</v>
      </c>
      <c r="N1926" s="5" t="n"/>
      <c r="O1926" s="5">
        <f>+M1926+N1926</f>
        <v/>
      </c>
      <c r="P1926" s="4" t="n">
        <v>45862</v>
      </c>
      <c r="Q1926" s="87" t="n">
        <v>45862</v>
      </c>
      <c r="R1926" s="5" t="n">
        <v>209</v>
      </c>
      <c r="S1926" s="2" t="n">
        <v>1</v>
      </c>
      <c r="T1926" s="3" t="inlineStr">
        <is>
          <t>CA42796IR</t>
        </is>
      </c>
      <c r="U1926" s="87" t="n">
        <v>46041</v>
      </c>
      <c r="V1926" s="3" t="inlineStr">
        <is>
          <t>2</t>
        </is>
      </c>
      <c r="W1926" s="108" t="n">
        <v>46041</v>
      </c>
      <c r="X1926" s="4" t="inlineStr">
        <is>
          <t>PHILIPPOS  CONSTANTINIDES
TRADING CO.LTD</t>
        </is>
      </c>
    </row>
    <row r="1927" ht="24" customHeight="1">
      <c r="A1927" s="2">
        <f>+D1927-S1927</f>
        <v/>
      </c>
      <c r="B1927" s="80" t="n">
        <v>3545</v>
      </c>
      <c r="C1927" s="66" t="n">
        <v>45862</v>
      </c>
      <c r="D1927" s="2" t="n">
        <v>1</v>
      </c>
      <c r="E1927" s="3" t="inlineStr">
        <is>
          <t>FUCILE SEMIAUTOMATICO</t>
        </is>
      </c>
      <c r="F1927" s="3" t="inlineStr">
        <is>
          <t>12</t>
        </is>
      </c>
      <c r="G1927" s="3" t="inlineStr">
        <is>
          <t>PIETTA</t>
        </is>
      </c>
      <c r="H1927" s="65" t="inlineStr">
        <is>
          <t>71 CM</t>
        </is>
      </c>
      <c r="I1927" s="65" t="inlineStr">
        <is>
          <t>Z111269</t>
        </is>
      </c>
      <c r="J1927" s="65" t="inlineStr">
        <is>
          <t>103828</t>
        </is>
      </c>
      <c r="K1927" s="65" t="inlineStr">
        <is>
          <t>N/D</t>
        </is>
      </c>
      <c r="L1927" s="127" t="inlineStr">
        <is>
          <t>REDOLFI ARMI SRL</t>
        </is>
      </c>
      <c r="M1927" s="5" t="n">
        <v>190</v>
      </c>
      <c r="N1927" s="5" t="n"/>
      <c r="O1927" s="5">
        <f>+M1927+N1927</f>
        <v/>
      </c>
      <c r="P1927" s="4" t="n">
        <v>45862</v>
      </c>
      <c r="Q1927" s="87" t="n">
        <v>45862</v>
      </c>
      <c r="R1927" s="5" t="n">
        <v>209</v>
      </c>
      <c r="S1927" s="2" t="n">
        <v>1</v>
      </c>
      <c r="T1927" s="3" t="inlineStr">
        <is>
          <t>CA42796IR</t>
        </is>
      </c>
      <c r="U1927" s="87" t="n">
        <v>46041</v>
      </c>
      <c r="V1927" s="3" t="inlineStr">
        <is>
          <t>2</t>
        </is>
      </c>
      <c r="W1927" s="108" t="n">
        <v>46041</v>
      </c>
      <c r="X1927" s="4" t="inlineStr">
        <is>
          <t>PHILIPPOS  CONSTANTINIDES
TRADING CO.LTD</t>
        </is>
      </c>
    </row>
    <row r="1928" ht="24" customHeight="1">
      <c r="A1928" s="2">
        <f>+D1928-S1928</f>
        <v/>
      </c>
      <c r="B1928" s="80" t="n">
        <v>3546</v>
      </c>
      <c r="C1928" s="66" t="n">
        <v>45862</v>
      </c>
      <c r="D1928" s="2" t="n">
        <v>1</v>
      </c>
      <c r="E1928" s="3" t="inlineStr">
        <is>
          <t>FUCILE SEMIAUTOMATICO</t>
        </is>
      </c>
      <c r="F1928" s="3" t="inlineStr">
        <is>
          <t>12</t>
        </is>
      </c>
      <c r="G1928" s="3" t="inlineStr">
        <is>
          <t>PIETTA</t>
        </is>
      </c>
      <c r="H1928" s="65" t="inlineStr">
        <is>
          <t>71 CM</t>
        </is>
      </c>
      <c r="I1928" s="65" t="inlineStr">
        <is>
          <t>Z111271</t>
        </is>
      </c>
      <c r="J1928" s="65" t="inlineStr">
        <is>
          <t>103848</t>
        </is>
      </c>
      <c r="K1928" s="65" t="inlineStr">
        <is>
          <t>N/D</t>
        </is>
      </c>
      <c r="L1928" s="127" t="inlineStr">
        <is>
          <t>REDOLFI ARMI SRL</t>
        </is>
      </c>
      <c r="M1928" s="5" t="n">
        <v>190</v>
      </c>
      <c r="N1928" s="5" t="n"/>
      <c r="O1928" s="5">
        <f>+M1928+N1928</f>
        <v/>
      </c>
      <c r="P1928" s="4" t="n">
        <v>45862</v>
      </c>
      <c r="Q1928" s="87" t="n">
        <v>45862</v>
      </c>
      <c r="R1928" s="5" t="n">
        <v>209</v>
      </c>
      <c r="S1928" s="2" t="n">
        <v>1</v>
      </c>
      <c r="T1928" s="3" t="inlineStr">
        <is>
          <t>CA42796IR</t>
        </is>
      </c>
      <c r="U1928" s="87" t="n">
        <v>46041</v>
      </c>
      <c r="V1928" s="3" t="inlineStr">
        <is>
          <t>2</t>
        </is>
      </c>
      <c r="W1928" s="108" t="n">
        <v>46041</v>
      </c>
      <c r="X1928" s="4" t="inlineStr">
        <is>
          <t>PHILIPPOS  CONSTANTINIDES
TRADING CO.LTD</t>
        </is>
      </c>
    </row>
    <row r="1929" ht="24" customHeight="1">
      <c r="A1929" s="2">
        <f>+D1929-S1929</f>
        <v/>
      </c>
      <c r="B1929" s="80" t="n">
        <v>3547</v>
      </c>
      <c r="C1929" s="66" t="n">
        <v>45862</v>
      </c>
      <c r="D1929" s="2" t="n">
        <v>1</v>
      </c>
      <c r="E1929" s="3" t="inlineStr">
        <is>
          <t>FUCILE MONOCANNA</t>
        </is>
      </c>
      <c r="F1929" s="3" t="inlineStr">
        <is>
          <t>28</t>
        </is>
      </c>
      <c r="G1929" s="3" t="inlineStr">
        <is>
          <t>INVESTARM</t>
        </is>
      </c>
      <c r="H1929" s="65" t="inlineStr">
        <is>
          <t>N/D</t>
        </is>
      </c>
      <c r="I1929" s="65" t="inlineStr">
        <is>
          <t>584410</t>
        </is>
      </c>
      <c r="J1929" s="65" t="inlineStr">
        <is>
          <t>N/D</t>
        </is>
      </c>
      <c r="K1929" s="65" t="inlineStr">
        <is>
          <t>N/D</t>
        </is>
      </c>
      <c r="L1929" s="127" t="inlineStr">
        <is>
          <t>REDOLFI ARMI SRL</t>
        </is>
      </c>
      <c r="M1929" s="5" t="n">
        <v>100</v>
      </c>
      <c r="N1929" s="5" t="n"/>
      <c r="O1929" s="5">
        <f>+M1929+N1929</f>
        <v/>
      </c>
      <c r="P1929" s="4" t="n">
        <v>45862</v>
      </c>
      <c r="Q1929" s="87" t="n">
        <v>45862</v>
      </c>
      <c r="R1929" s="5" t="n">
        <v>110</v>
      </c>
      <c r="S1929" s="2" t="n">
        <v>1</v>
      </c>
      <c r="T1929" s="3" t="inlineStr">
        <is>
          <t>CA42796IR</t>
        </is>
      </c>
      <c r="U1929" s="87" t="n">
        <v>46041</v>
      </c>
      <c r="V1929" s="3" t="inlineStr">
        <is>
          <t>2</t>
        </is>
      </c>
      <c r="W1929" s="108" t="n">
        <v>46041</v>
      </c>
      <c r="X1929" s="4" t="inlineStr">
        <is>
          <t>PHILIPPOS  CONSTANTINIDES
TRADING CO.LTD</t>
        </is>
      </c>
    </row>
    <row r="1930" ht="24" customHeight="1">
      <c r="A1930" s="2">
        <f>+D1930-S1930</f>
        <v/>
      </c>
      <c r="B1930" s="80" t="n">
        <v>3548</v>
      </c>
      <c r="C1930" s="66" t="n">
        <v>45862</v>
      </c>
      <c r="D1930" s="2" t="n">
        <v>1</v>
      </c>
      <c r="E1930" s="3" t="inlineStr">
        <is>
          <t>FUCILE MONOCANNA</t>
        </is>
      </c>
      <c r="F1930" s="3" t="inlineStr">
        <is>
          <t>28</t>
        </is>
      </c>
      <c r="G1930" s="3" t="inlineStr">
        <is>
          <t>INVESTARM</t>
        </is>
      </c>
      <c r="H1930" s="65" t="inlineStr">
        <is>
          <t>N/D</t>
        </is>
      </c>
      <c r="I1930" s="65" t="inlineStr">
        <is>
          <t>584409</t>
        </is>
      </c>
      <c r="J1930" s="65" t="inlineStr">
        <is>
          <t>N/D</t>
        </is>
      </c>
      <c r="K1930" s="65" t="inlineStr">
        <is>
          <t>N/D</t>
        </is>
      </c>
      <c r="L1930" s="127" t="inlineStr">
        <is>
          <t>REDOLFI ARMI SRL</t>
        </is>
      </c>
      <c r="M1930" s="5" t="n">
        <v>100</v>
      </c>
      <c r="N1930" s="5" t="n"/>
      <c r="O1930" s="5">
        <f>+M1930+N1930</f>
        <v/>
      </c>
      <c r="P1930" s="4" t="n">
        <v>45862</v>
      </c>
      <c r="Q1930" s="87" t="n">
        <v>45862</v>
      </c>
      <c r="R1930" s="5" t="n">
        <v>110</v>
      </c>
      <c r="S1930" s="2" t="n">
        <v>1</v>
      </c>
      <c r="T1930" s="3" t="inlineStr">
        <is>
          <t>CA42796IR</t>
        </is>
      </c>
      <c r="U1930" s="87" t="n">
        <v>46041</v>
      </c>
      <c r="V1930" s="3" t="inlineStr">
        <is>
          <t>2</t>
        </is>
      </c>
      <c r="W1930" s="108" t="n">
        <v>46041</v>
      </c>
      <c r="X1930" s="4" t="inlineStr">
        <is>
          <t>PHILIPPOS  CONSTANTINIDES
TRADING CO.LTD</t>
        </is>
      </c>
    </row>
    <row r="1931" ht="24" customHeight="1">
      <c r="A1931" s="2">
        <f>+D1931-S1931</f>
        <v/>
      </c>
      <c r="B1931" s="80" t="n">
        <v>3549</v>
      </c>
      <c r="C1931" s="66" t="n">
        <v>45862</v>
      </c>
      <c r="D1931" s="2" t="n">
        <v>1</v>
      </c>
      <c r="E1931" s="3" t="inlineStr">
        <is>
          <t>FUCILE MONOCANNA</t>
        </is>
      </c>
      <c r="F1931" s="3" t="inlineStr">
        <is>
          <t>28</t>
        </is>
      </c>
      <c r="G1931" s="3" t="inlineStr">
        <is>
          <t>INVESTARM</t>
        </is>
      </c>
      <c r="H1931" s="65" t="inlineStr">
        <is>
          <t>N/D</t>
        </is>
      </c>
      <c r="I1931" s="65" t="inlineStr">
        <is>
          <t>584411</t>
        </is>
      </c>
      <c r="J1931" s="65" t="inlineStr">
        <is>
          <t>N/D</t>
        </is>
      </c>
      <c r="K1931" s="65" t="inlineStr">
        <is>
          <t>N/D</t>
        </is>
      </c>
      <c r="L1931" s="127" t="inlineStr">
        <is>
          <t>REDOLFI ARMI SRL</t>
        </is>
      </c>
      <c r="M1931" s="5" t="n">
        <v>100</v>
      </c>
      <c r="N1931" s="5" t="n"/>
      <c r="O1931" s="5">
        <f>+M1931+N1931</f>
        <v/>
      </c>
      <c r="P1931" s="4" t="n">
        <v>45862</v>
      </c>
      <c r="Q1931" s="87" t="n">
        <v>45862</v>
      </c>
      <c r="R1931" s="5" t="n">
        <v>110</v>
      </c>
      <c r="S1931" s="2" t="n">
        <v>1</v>
      </c>
      <c r="T1931" s="3" t="inlineStr">
        <is>
          <t>CA42796IR</t>
        </is>
      </c>
      <c r="U1931" s="87" t="n">
        <v>46041</v>
      </c>
      <c r="V1931" s="3" t="inlineStr">
        <is>
          <t>2</t>
        </is>
      </c>
      <c r="W1931" s="108" t="n">
        <v>46041</v>
      </c>
      <c r="X1931" s="4" t="inlineStr">
        <is>
          <t>PHILIPPOS  CONSTANTINIDES
TRADING CO.LTD</t>
        </is>
      </c>
    </row>
    <row r="1932" ht="24" customHeight="1">
      <c r="A1932" s="2">
        <f>+D1932-S1932</f>
        <v/>
      </c>
      <c r="B1932" s="80" t="n">
        <v>3550</v>
      </c>
      <c r="C1932" s="66" t="n">
        <v>45862</v>
      </c>
      <c r="D1932" s="2" t="n">
        <v>1</v>
      </c>
      <c r="E1932" s="3" t="inlineStr">
        <is>
          <t>FUCILE SEMIAUTOMATICO</t>
        </is>
      </c>
      <c r="F1932" s="3" t="inlineStr">
        <is>
          <t>12</t>
        </is>
      </c>
      <c r="G1932" s="3" t="inlineStr">
        <is>
          <t>BERETTA</t>
        </is>
      </c>
      <c r="H1932" s="65" t="inlineStr">
        <is>
          <t>1301 COMP</t>
        </is>
      </c>
      <c r="I1932" s="65" t="inlineStr">
        <is>
          <t>TA058887</t>
        </is>
      </c>
      <c r="J1932" s="65" t="inlineStr">
        <is>
          <t>MB023881</t>
        </is>
      </c>
      <c r="K1932" s="65" t="inlineStr">
        <is>
          <t>N/D</t>
        </is>
      </c>
      <c r="L1932" s="127" t="inlineStr">
        <is>
          <t>REDOLFI ARMI SRL</t>
        </is>
      </c>
      <c r="M1932" s="5" t="n">
        <v>780</v>
      </c>
      <c r="N1932" s="5" t="n"/>
      <c r="O1932" s="5">
        <f>+M1932+N1932</f>
        <v/>
      </c>
      <c r="P1932" s="4" t="n">
        <v>45862</v>
      </c>
      <c r="Q1932" s="87" t="n">
        <v>45862</v>
      </c>
      <c r="R1932" s="5" t="n">
        <v>819</v>
      </c>
      <c r="S1932" s="2" t="n">
        <v>1</v>
      </c>
      <c r="T1932" s="3" t="inlineStr">
        <is>
          <t>CA04954OS</t>
        </is>
      </c>
      <c r="U1932" s="87" t="n">
        <v>45874</v>
      </c>
      <c r="V1932" s="3" t="inlineStr">
        <is>
          <t>25</t>
        </is>
      </c>
      <c r="W1932" s="4" t="n">
        <v>45874</v>
      </c>
      <c r="X1932" s="4" t="inlineStr">
        <is>
          <t>PHILIPPOS  CONSTANTINIDES
TRADING CO.LTD</t>
        </is>
      </c>
    </row>
    <row r="1933" ht="24" customHeight="1">
      <c r="A1933" s="2">
        <f>+D1933-S1933</f>
        <v/>
      </c>
      <c r="B1933" s="80" t="n">
        <v>3551</v>
      </c>
      <c r="C1933" s="66" t="n">
        <v>45862</v>
      </c>
      <c r="D1933" s="2" t="n">
        <v>1</v>
      </c>
      <c r="E1933" s="3" t="inlineStr">
        <is>
          <t>FUCILE SEMIAUTOMATICO</t>
        </is>
      </c>
      <c r="F1933" s="3" t="inlineStr">
        <is>
          <t>12</t>
        </is>
      </c>
      <c r="G1933" s="3" t="inlineStr">
        <is>
          <t>BERETTA</t>
        </is>
      </c>
      <c r="H1933" s="65" t="inlineStr">
        <is>
          <t>1301 COMP</t>
        </is>
      </c>
      <c r="I1933" s="65" t="inlineStr">
        <is>
          <t>TA058890</t>
        </is>
      </c>
      <c r="J1933" s="65" t="inlineStr">
        <is>
          <t>MB023760</t>
        </is>
      </c>
      <c r="K1933" s="65" t="inlineStr">
        <is>
          <t>N/D</t>
        </is>
      </c>
      <c r="L1933" s="127" t="inlineStr">
        <is>
          <t>REDOLFI ARMI SRL</t>
        </is>
      </c>
      <c r="M1933" s="5" t="n">
        <v>780</v>
      </c>
      <c r="N1933" s="5" t="n"/>
      <c r="O1933" s="5">
        <f>+M1933+N1933</f>
        <v/>
      </c>
      <c r="P1933" s="4" t="n">
        <v>45862</v>
      </c>
      <c r="Q1933" s="87" t="n">
        <v>45862</v>
      </c>
      <c r="R1933" s="5" t="n">
        <v>819</v>
      </c>
      <c r="S1933" s="2" t="n">
        <v>1</v>
      </c>
      <c r="T1933" s="3" t="inlineStr">
        <is>
          <t>CA04954OS</t>
        </is>
      </c>
      <c r="U1933" s="87" t="n">
        <v>45874</v>
      </c>
      <c r="V1933" s="3" t="inlineStr">
        <is>
          <t>25</t>
        </is>
      </c>
      <c r="W1933" s="4" t="n">
        <v>45874</v>
      </c>
      <c r="X1933" s="4" t="inlineStr">
        <is>
          <t>PHILIPPOS  CONSTANTINIDES
TRADING CO.LTD</t>
        </is>
      </c>
    </row>
    <row r="1934" ht="24" customHeight="1">
      <c r="A1934" s="2">
        <f>+D1934-S1934</f>
        <v/>
      </c>
      <c r="B1934" s="80" t="n">
        <v>3552</v>
      </c>
      <c r="C1934" s="66" t="n">
        <v>45862</v>
      </c>
      <c r="D1934" s="2" t="n">
        <v>1</v>
      </c>
      <c r="E1934" s="3" t="inlineStr">
        <is>
          <t>FUCILE MONOCANNA</t>
        </is>
      </c>
      <c r="F1934" s="3" t="inlineStr">
        <is>
          <t>20</t>
        </is>
      </c>
      <c r="G1934" s="3" t="inlineStr">
        <is>
          <t>INVESTARM</t>
        </is>
      </c>
      <c r="H1934" s="65" t="inlineStr">
        <is>
          <t>N/D</t>
        </is>
      </c>
      <c r="I1934" s="65" t="inlineStr">
        <is>
          <t>584330</t>
        </is>
      </c>
      <c r="J1934" s="65" t="inlineStr">
        <is>
          <t>N/D</t>
        </is>
      </c>
      <c r="K1934" s="65" t="inlineStr">
        <is>
          <t>N/D</t>
        </is>
      </c>
      <c r="L1934" s="127" t="inlineStr">
        <is>
          <t>REDOLFI ARMI SRL</t>
        </is>
      </c>
      <c r="M1934" s="5" t="n">
        <v>100</v>
      </c>
      <c r="N1934" s="5" t="n"/>
      <c r="O1934" s="5">
        <f>+M1934+N1934</f>
        <v/>
      </c>
      <c r="P1934" s="4" t="n">
        <v>45862</v>
      </c>
      <c r="Q1934" s="87" t="n">
        <v>45862</v>
      </c>
      <c r="R1934" s="5" t="n">
        <v>110</v>
      </c>
      <c r="S1934" s="2" t="n">
        <v>1</v>
      </c>
      <c r="T1934" s="3" t="inlineStr">
        <is>
          <t>CA42796IR</t>
        </is>
      </c>
      <c r="U1934" s="87" t="n">
        <v>46041</v>
      </c>
      <c r="V1934" s="3" t="inlineStr">
        <is>
          <t>2</t>
        </is>
      </c>
      <c r="W1934" s="108" t="n">
        <v>46041</v>
      </c>
      <c r="X1934" s="4" t="inlineStr">
        <is>
          <t>PHILIPPOS  CONSTANTINIDES
TRADING CO.LTD</t>
        </is>
      </c>
    </row>
    <row r="1935" ht="24" customHeight="1">
      <c r="A1935" s="2">
        <f>+D1935-S1935</f>
        <v/>
      </c>
      <c r="B1935" s="80" t="n">
        <v>3553</v>
      </c>
      <c r="C1935" s="66" t="n">
        <v>45862</v>
      </c>
      <c r="D1935" s="2" t="n">
        <v>1</v>
      </c>
      <c r="E1935" s="3" t="inlineStr">
        <is>
          <t>FUCILE MONOCANNA</t>
        </is>
      </c>
      <c r="F1935" s="3" t="inlineStr">
        <is>
          <t>20</t>
        </is>
      </c>
      <c r="G1935" s="3" t="inlineStr">
        <is>
          <t>INVESTARM</t>
        </is>
      </c>
      <c r="H1935" s="65" t="inlineStr">
        <is>
          <t>N/D</t>
        </is>
      </c>
      <c r="I1935" s="65" t="inlineStr">
        <is>
          <t>584327</t>
        </is>
      </c>
      <c r="J1935" s="65" t="inlineStr">
        <is>
          <t>N/D</t>
        </is>
      </c>
      <c r="K1935" s="65" t="inlineStr">
        <is>
          <t>N/D</t>
        </is>
      </c>
      <c r="L1935" s="127" t="inlineStr">
        <is>
          <t>REDOLFI ARMI SRL</t>
        </is>
      </c>
      <c r="M1935" s="5" t="n">
        <v>100</v>
      </c>
      <c r="N1935" s="5" t="n"/>
      <c r="O1935" s="5">
        <f>+M1935+N1935</f>
        <v/>
      </c>
      <c r="P1935" s="4" t="n">
        <v>45862</v>
      </c>
      <c r="Q1935" s="87" t="n">
        <v>45862</v>
      </c>
      <c r="R1935" s="5" t="n">
        <v>110</v>
      </c>
      <c r="S1935" s="2" t="n">
        <v>1</v>
      </c>
      <c r="T1935" s="3" t="inlineStr">
        <is>
          <t>CA42796IR</t>
        </is>
      </c>
      <c r="U1935" s="87" t="n">
        <v>46041</v>
      </c>
      <c r="V1935" s="3" t="inlineStr">
        <is>
          <t>2</t>
        </is>
      </c>
      <c r="W1935" s="108" t="n">
        <v>46041</v>
      </c>
      <c r="X1935" s="4" t="inlineStr">
        <is>
          <t>PHILIPPOS  CONSTANTINIDES
TRADING CO.LTD</t>
        </is>
      </c>
    </row>
    <row r="1936" ht="24" customHeight="1">
      <c r="A1936" s="2">
        <f>+D1936-S1936</f>
        <v/>
      </c>
      <c r="B1936" s="80" t="n">
        <v>3554</v>
      </c>
      <c r="C1936" s="66" t="n">
        <v>45862</v>
      </c>
      <c r="D1936" s="2" t="n">
        <v>1</v>
      </c>
      <c r="E1936" s="3" t="inlineStr">
        <is>
          <t>FUCILE MONOCANNA</t>
        </is>
      </c>
      <c r="F1936" s="3" t="inlineStr">
        <is>
          <t>20</t>
        </is>
      </c>
      <c r="G1936" s="3" t="inlineStr">
        <is>
          <t>INVESTARM</t>
        </is>
      </c>
      <c r="H1936" s="65" t="inlineStr">
        <is>
          <t>N/D</t>
        </is>
      </c>
      <c r="I1936" s="65" t="inlineStr">
        <is>
          <t>584329</t>
        </is>
      </c>
      <c r="J1936" s="65" t="inlineStr">
        <is>
          <t>N/D</t>
        </is>
      </c>
      <c r="K1936" s="65" t="inlineStr">
        <is>
          <t>N/D</t>
        </is>
      </c>
      <c r="L1936" s="127" t="inlineStr">
        <is>
          <t>REDOLFI ARMI SRL</t>
        </is>
      </c>
      <c r="M1936" s="5" t="n">
        <v>100</v>
      </c>
      <c r="N1936" s="5" t="n"/>
      <c r="O1936" s="5">
        <f>+M1936+N1936</f>
        <v/>
      </c>
      <c r="P1936" s="4" t="n">
        <v>45862</v>
      </c>
      <c r="Q1936" s="87" t="n">
        <v>45862</v>
      </c>
      <c r="R1936" s="5" t="n">
        <v>110</v>
      </c>
      <c r="S1936" s="2" t="n">
        <v>1</v>
      </c>
      <c r="T1936" s="3" t="inlineStr">
        <is>
          <t>CA42796IR</t>
        </is>
      </c>
      <c r="U1936" s="87" t="n">
        <v>46041</v>
      </c>
      <c r="V1936" s="3" t="inlineStr">
        <is>
          <t>2</t>
        </is>
      </c>
      <c r="W1936" s="108" t="n">
        <v>46041</v>
      </c>
      <c r="X1936" s="4" t="inlineStr">
        <is>
          <t>PHILIPPOS  CONSTANTINIDES
TRADING CO.LTD</t>
        </is>
      </c>
    </row>
    <row r="1937" ht="24" customHeight="1">
      <c r="A1937" s="2">
        <f>+D1937-S1937</f>
        <v/>
      </c>
      <c r="B1937" s="80" t="n">
        <v>3555</v>
      </c>
      <c r="C1937" s="66" t="n">
        <v>45862</v>
      </c>
      <c r="D1937" s="2" t="n">
        <v>1</v>
      </c>
      <c r="E1937" s="3" t="inlineStr">
        <is>
          <t>FUCILE SEMIAUTOMATICO</t>
        </is>
      </c>
      <c r="F1937" s="3" t="inlineStr">
        <is>
          <t>12</t>
        </is>
      </c>
      <c r="G1937" s="3" t="inlineStr">
        <is>
          <t>BERETTA</t>
        </is>
      </c>
      <c r="H1937" s="65" t="inlineStr">
        <is>
          <t>UPLAND 76 CM</t>
        </is>
      </c>
      <c r="I1937" s="65" t="inlineStr">
        <is>
          <t>SU029934</t>
        </is>
      </c>
      <c r="J1937" s="65" t="inlineStr">
        <is>
          <t>XB326988</t>
        </is>
      </c>
      <c r="K1937" s="65" t="inlineStr">
        <is>
          <t>N/D</t>
        </is>
      </c>
      <c r="L1937" s="127" t="inlineStr">
        <is>
          <t>REDOLFI ARMI SRL</t>
        </is>
      </c>
      <c r="M1937" s="5" t="n">
        <v>1270</v>
      </c>
      <c r="N1937" s="5" t="n"/>
      <c r="O1937" s="5">
        <f>+M1937+N1937</f>
        <v/>
      </c>
      <c r="P1937" s="4" t="n">
        <v>45862</v>
      </c>
      <c r="Q1937" s="87" t="n">
        <v>45862</v>
      </c>
      <c r="R1937" s="5" t="n"/>
      <c r="S1937" s="2" t="n"/>
      <c r="T1937" s="3" t="n"/>
      <c r="U1937" s="87" t="n"/>
      <c r="V1937" s="3" t="n"/>
      <c r="W1937" s="108" t="n"/>
      <c r="X1937" s="4" t="n"/>
    </row>
    <row r="1938" ht="24" customHeight="1">
      <c r="A1938" s="2">
        <f>+D1938-S1938</f>
        <v/>
      </c>
      <c r="B1938" s="80" t="n">
        <v>3556</v>
      </c>
      <c r="C1938" s="66" t="n">
        <v>45862</v>
      </c>
      <c r="D1938" s="2" t="n">
        <v>1</v>
      </c>
      <c r="E1938" s="3" t="inlineStr">
        <is>
          <t>FUCILE SEMIAUTOMATICO</t>
        </is>
      </c>
      <c r="F1938" s="3" t="inlineStr">
        <is>
          <t>12</t>
        </is>
      </c>
      <c r="G1938" s="3" t="inlineStr">
        <is>
          <t>BERETTA</t>
        </is>
      </c>
      <c r="H1938" s="65" t="inlineStr">
        <is>
          <t>UPLAND 76 CM</t>
        </is>
      </c>
      <c r="I1938" s="65" t="inlineStr">
        <is>
          <t>SU030327</t>
        </is>
      </c>
      <c r="J1938" s="65" t="inlineStr">
        <is>
          <t>XB326987</t>
        </is>
      </c>
      <c r="K1938" s="65" t="inlineStr">
        <is>
          <t>N/D</t>
        </is>
      </c>
      <c r="L1938" s="127" t="inlineStr">
        <is>
          <t>REDOLFI ARMI SRL</t>
        </is>
      </c>
      <c r="M1938" s="5" t="n">
        <v>1270</v>
      </c>
      <c r="N1938" s="5" t="n"/>
      <c r="O1938" s="5">
        <f>+M1938+N1938</f>
        <v/>
      </c>
      <c r="P1938" s="4" t="n">
        <v>45862</v>
      </c>
      <c r="Q1938" s="87" t="n">
        <v>45862</v>
      </c>
      <c r="R1938" s="5" t="n"/>
      <c r="S1938" s="2" t="n"/>
      <c r="T1938" s="3" t="n"/>
      <c r="U1938" s="87" t="n"/>
      <c r="V1938" s="3" t="n"/>
      <c r="W1938" s="108" t="n"/>
      <c r="X1938" s="4" t="n"/>
    </row>
    <row r="1939" ht="24" customHeight="1">
      <c r="A1939" s="2">
        <f>+D1939-S1939</f>
        <v/>
      </c>
      <c r="B1939" s="80" t="n">
        <v>3557</v>
      </c>
      <c r="C1939" s="66" t="n">
        <v>45862</v>
      </c>
      <c r="D1939" s="2" t="n">
        <v>1</v>
      </c>
      <c r="E1939" s="3" t="inlineStr">
        <is>
          <t>FUCILE SEMIAUTOMATICO</t>
        </is>
      </c>
      <c r="F1939" s="3" t="inlineStr">
        <is>
          <t>12</t>
        </is>
      </c>
      <c r="G1939" s="3" t="inlineStr">
        <is>
          <t>BERETTA</t>
        </is>
      </c>
      <c r="H1939" s="65" t="inlineStr">
        <is>
          <t>UPLAND 76 CM</t>
        </is>
      </c>
      <c r="I1939" s="65" t="inlineStr">
        <is>
          <t>SU030365</t>
        </is>
      </c>
      <c r="J1939" s="65" t="inlineStr">
        <is>
          <t>XB326980</t>
        </is>
      </c>
      <c r="K1939" s="65" t="inlineStr">
        <is>
          <t>N/D</t>
        </is>
      </c>
      <c r="L1939" s="127" t="inlineStr">
        <is>
          <t>REDOLFI ARMI SRL</t>
        </is>
      </c>
      <c r="M1939" s="5" t="n">
        <v>1270</v>
      </c>
      <c r="N1939" s="5" t="n"/>
      <c r="O1939" s="5">
        <f>+M1939+N1939</f>
        <v/>
      </c>
      <c r="P1939" s="4" t="n">
        <v>45862</v>
      </c>
      <c r="Q1939" s="87" t="n">
        <v>45862</v>
      </c>
      <c r="R1939" s="5" t="n"/>
      <c r="S1939" s="2" t="n"/>
      <c r="T1939" s="3" t="n"/>
      <c r="U1939" s="87" t="n"/>
      <c r="V1939" s="3" t="n"/>
      <c r="W1939" s="108" t="n"/>
      <c r="X1939" s="4" t="n"/>
    </row>
    <row r="1940" ht="24" customHeight="1">
      <c r="A1940" s="2">
        <f>+D1940-S1940</f>
        <v/>
      </c>
      <c r="B1940" s="80" t="n">
        <v>3558</v>
      </c>
      <c r="C1940" s="66" t="n">
        <v>45862</v>
      </c>
      <c r="D1940" s="2" t="n">
        <v>1</v>
      </c>
      <c r="E1940" s="3" t="inlineStr">
        <is>
          <t>FUCILE SEMIAUTOMATICO</t>
        </is>
      </c>
      <c r="F1940" s="3" t="inlineStr">
        <is>
          <t>12</t>
        </is>
      </c>
      <c r="G1940" s="3" t="inlineStr">
        <is>
          <t>BERETTA</t>
        </is>
      </c>
      <c r="H1940" s="65" t="inlineStr">
        <is>
          <t>UPLAND 76 CM</t>
        </is>
      </c>
      <c r="I1940" s="65" t="inlineStr">
        <is>
          <t>SU032654</t>
        </is>
      </c>
      <c r="J1940" s="65" t="inlineStr">
        <is>
          <t>XB333792</t>
        </is>
      </c>
      <c r="K1940" s="65" t="inlineStr">
        <is>
          <t>N/D</t>
        </is>
      </c>
      <c r="L1940" s="127" t="inlineStr">
        <is>
          <t>REDOLFI ARMI SRL</t>
        </is>
      </c>
      <c r="M1940" s="5" t="n">
        <v>1270</v>
      </c>
      <c r="N1940" s="5" t="n"/>
      <c r="O1940" s="5">
        <f>+M1940+N1940</f>
        <v/>
      </c>
      <c r="P1940" s="4" t="n">
        <v>45862</v>
      </c>
      <c r="Q1940" s="87" t="n">
        <v>45862</v>
      </c>
      <c r="R1940" s="5" t="n">
        <v>1334</v>
      </c>
      <c r="S1940" s="2" t="n">
        <v>1</v>
      </c>
      <c r="T1940" s="3" t="inlineStr">
        <is>
          <t>CA04954OS</t>
        </is>
      </c>
      <c r="U1940" s="87" t="n">
        <v>45874</v>
      </c>
      <c r="V1940" s="3" t="inlineStr">
        <is>
          <t>25</t>
        </is>
      </c>
      <c r="W1940" s="4" t="n">
        <v>45874</v>
      </c>
      <c r="X1940" s="4" t="inlineStr">
        <is>
          <t>PHILIPPOS  CONSTANTINIDES
TRADING CO.LTD</t>
        </is>
      </c>
    </row>
    <row r="1941" ht="24" customHeight="1">
      <c r="A1941" s="2">
        <f>+D1941-S1941</f>
        <v/>
      </c>
      <c r="B1941" s="80" t="n">
        <v>3559</v>
      </c>
      <c r="C1941" s="66" t="n">
        <v>45862</v>
      </c>
      <c r="D1941" s="2" t="n">
        <v>1</v>
      </c>
      <c r="E1941" s="3" t="inlineStr">
        <is>
          <t>FUCILE SEMIAUTOMATICO</t>
        </is>
      </c>
      <c r="F1941" s="3" t="inlineStr">
        <is>
          <t>12</t>
        </is>
      </c>
      <c r="G1941" s="3" t="inlineStr">
        <is>
          <t>BERETTA</t>
        </is>
      </c>
      <c r="H1941" s="65" t="inlineStr">
        <is>
          <t>UPLAND 76 CM</t>
        </is>
      </c>
      <c r="I1941" s="65" t="inlineStr">
        <is>
          <t>SU032613</t>
        </is>
      </c>
      <c r="J1941" s="65" t="inlineStr">
        <is>
          <t>XB333793</t>
        </is>
      </c>
      <c r="K1941" s="65" t="inlineStr">
        <is>
          <t>N/D</t>
        </is>
      </c>
      <c r="L1941" s="127" t="inlineStr">
        <is>
          <t>REDOLFI ARMI SRL</t>
        </is>
      </c>
      <c r="M1941" s="5" t="n">
        <v>1270</v>
      </c>
      <c r="N1941" s="5" t="n"/>
      <c r="O1941" s="5">
        <f>+M1941+N1941</f>
        <v/>
      </c>
      <c r="P1941" s="4" t="n">
        <v>45862</v>
      </c>
      <c r="Q1941" s="87" t="n">
        <v>45862</v>
      </c>
      <c r="R1941" s="5" t="n"/>
      <c r="S1941" s="2" t="n"/>
      <c r="T1941" s="3" t="n"/>
      <c r="U1941" s="87" t="n"/>
      <c r="V1941" s="3" t="n"/>
      <c r="W1941" s="108" t="n"/>
      <c r="X1941" s="4" t="n"/>
    </row>
    <row r="1942" ht="24" customHeight="1">
      <c r="A1942" s="2">
        <f>+D1942-S1942</f>
        <v/>
      </c>
      <c r="B1942" s="80" t="n">
        <v>3560</v>
      </c>
      <c r="C1942" s="66" t="n">
        <v>45862</v>
      </c>
      <c r="D1942" s="2" t="n">
        <v>1</v>
      </c>
      <c r="E1942" s="3" t="inlineStr">
        <is>
          <t>FUCILE SEMIAUTOMATICO</t>
        </is>
      </c>
      <c r="F1942" s="3" t="inlineStr">
        <is>
          <t>12</t>
        </is>
      </c>
      <c r="G1942" s="3" t="inlineStr">
        <is>
          <t>BERETTA</t>
        </is>
      </c>
      <c r="H1942" s="65" t="inlineStr">
        <is>
          <t>UPLAND 76 CM</t>
        </is>
      </c>
      <c r="I1942" s="65" t="inlineStr">
        <is>
          <t>SU032647</t>
        </is>
      </c>
      <c r="J1942" s="121" t="inlineStr">
        <is>
          <t>XB333791</t>
        </is>
      </c>
      <c r="K1942" s="65" t="inlineStr">
        <is>
          <t>N/D</t>
        </is>
      </c>
      <c r="L1942" s="127" t="inlineStr">
        <is>
          <t>REDOLFI ARMI SRL</t>
        </is>
      </c>
      <c r="M1942" s="5" t="n">
        <v>1270</v>
      </c>
      <c r="N1942" s="5" t="n"/>
      <c r="O1942" s="5">
        <f>+M1942+N1942</f>
        <v/>
      </c>
      <c r="P1942" s="4" t="n">
        <v>45862</v>
      </c>
      <c r="Q1942" s="87" t="n">
        <v>45862</v>
      </c>
      <c r="R1942" s="5" t="n">
        <v>1334</v>
      </c>
      <c r="S1942" s="2" t="n">
        <v>1</v>
      </c>
      <c r="T1942" s="3" t="inlineStr">
        <is>
          <t>CA04954OS</t>
        </is>
      </c>
      <c r="U1942" s="87" t="n">
        <v>45874</v>
      </c>
      <c r="V1942" s="3" t="inlineStr">
        <is>
          <t>25</t>
        </is>
      </c>
      <c r="W1942" s="4" t="n">
        <v>45874</v>
      </c>
      <c r="X1942" s="4" t="inlineStr">
        <is>
          <t>PHILIPPOS  CONSTANTINIDES
TRADING CO.LTD</t>
        </is>
      </c>
    </row>
    <row r="1943" ht="24" customHeight="1">
      <c r="A1943" s="2">
        <f>+D1943-S1943</f>
        <v/>
      </c>
      <c r="B1943" s="80" t="n">
        <v>3561</v>
      </c>
      <c r="C1943" s="66" t="n">
        <v>45862</v>
      </c>
      <c r="D1943" s="2" t="n">
        <v>1</v>
      </c>
      <c r="E1943" s="3" t="inlineStr">
        <is>
          <t>FUCILE SEMIAUTOMATICO</t>
        </is>
      </c>
      <c r="F1943" s="3" t="inlineStr">
        <is>
          <t>12</t>
        </is>
      </c>
      <c r="G1943" s="3" t="inlineStr">
        <is>
          <t>BERETTA</t>
        </is>
      </c>
      <c r="H1943" s="65" t="inlineStr">
        <is>
          <t>UPLAND 76 CM</t>
        </is>
      </c>
      <c r="I1943" s="65" t="inlineStr">
        <is>
          <t>SU032611</t>
        </is>
      </c>
      <c r="J1943" s="65" t="inlineStr">
        <is>
          <t>XB333794</t>
        </is>
      </c>
      <c r="K1943" s="65" t="inlineStr">
        <is>
          <t>N/D</t>
        </is>
      </c>
      <c r="L1943" s="127" t="inlineStr">
        <is>
          <t>REDOLFI ARMI SRL</t>
        </is>
      </c>
      <c r="M1943" s="5" t="n">
        <v>1270</v>
      </c>
      <c r="N1943" s="5" t="n"/>
      <c r="O1943" s="5">
        <f>+M1943+N1943</f>
        <v/>
      </c>
      <c r="P1943" s="4" t="n">
        <v>45862</v>
      </c>
      <c r="Q1943" s="87" t="n">
        <v>45862</v>
      </c>
      <c r="R1943" s="5" t="n">
        <v>1334</v>
      </c>
      <c r="S1943" s="2" t="n">
        <v>1</v>
      </c>
      <c r="T1943" s="3" t="inlineStr">
        <is>
          <t>CA04954OS</t>
        </is>
      </c>
      <c r="U1943" s="87" t="n">
        <v>45874</v>
      </c>
      <c r="V1943" s="3" t="inlineStr">
        <is>
          <t>25</t>
        </is>
      </c>
      <c r="W1943" s="4" t="n">
        <v>45874</v>
      </c>
      <c r="X1943" s="4" t="inlineStr">
        <is>
          <t>PHILIPPOS  CONSTANTINIDES
TRADING CO.LTD</t>
        </is>
      </c>
    </row>
    <row r="1944" ht="24" customHeight="1">
      <c r="A1944" s="2">
        <f>+D1944-S1944</f>
        <v/>
      </c>
      <c r="B1944" s="80" t="n">
        <v>3562</v>
      </c>
      <c r="C1944" s="66" t="n">
        <v>45862</v>
      </c>
      <c r="D1944" s="2" t="n">
        <v>1</v>
      </c>
      <c r="E1944" s="3" t="inlineStr">
        <is>
          <t>FUCILE SEMIAUTOMATICO</t>
        </is>
      </c>
      <c r="F1944" s="3" t="inlineStr">
        <is>
          <t>12</t>
        </is>
      </c>
      <c r="G1944" s="3" t="inlineStr">
        <is>
          <t>BERETTA</t>
        </is>
      </c>
      <c r="H1944" s="65" t="inlineStr">
        <is>
          <t>A400 EXCEL MULTITARGET 76 CM</t>
        </is>
      </c>
      <c r="I1944" s="65" t="inlineStr">
        <is>
          <t>ST000726</t>
        </is>
      </c>
      <c r="J1944" s="65" t="inlineStr">
        <is>
          <t>XB199935</t>
        </is>
      </c>
      <c r="K1944" s="65" t="inlineStr">
        <is>
          <t>N/D</t>
        </is>
      </c>
      <c r="L1944" s="127" t="inlineStr">
        <is>
          <t>REDOLFI ARMI SRL</t>
        </is>
      </c>
      <c r="M1944" s="5" t="n">
        <v>1400</v>
      </c>
      <c r="N1944" s="5" t="n"/>
      <c r="O1944" s="5">
        <f>+M1944+N1944</f>
        <v/>
      </c>
      <c r="P1944" s="4" t="n">
        <v>45862</v>
      </c>
      <c r="Q1944" s="87" t="n">
        <v>45862</v>
      </c>
      <c r="R1944" s="5" t="n"/>
      <c r="S1944" s="2" t="n"/>
      <c r="T1944" s="3" t="n"/>
      <c r="U1944" s="87" t="n"/>
      <c r="V1944" s="3" t="n"/>
      <c r="W1944" s="108" t="n"/>
      <c r="X1944" s="4" t="n"/>
    </row>
    <row r="1945" ht="24" customHeight="1">
      <c r="A1945" s="2">
        <f>+D1945-S1945</f>
        <v/>
      </c>
      <c r="B1945" s="80" t="n">
        <v>3563</v>
      </c>
      <c r="C1945" s="66" t="n">
        <v>45862</v>
      </c>
      <c r="D1945" s="2" t="n">
        <v>1</v>
      </c>
      <c r="E1945" s="3" t="inlineStr">
        <is>
          <t>FUCILE MONOCANNA</t>
        </is>
      </c>
      <c r="F1945" s="3" t="inlineStr">
        <is>
          <t>12</t>
        </is>
      </c>
      <c r="G1945" s="3" t="inlineStr">
        <is>
          <t>INVESTARM</t>
        </is>
      </c>
      <c r="H1945" s="65" t="inlineStr">
        <is>
          <t>N/D</t>
        </is>
      </c>
      <c r="I1945" s="65" t="inlineStr">
        <is>
          <t>583427</t>
        </is>
      </c>
      <c r="J1945" s="65" t="inlineStr">
        <is>
          <t>N/D</t>
        </is>
      </c>
      <c r="K1945" s="65" t="inlineStr">
        <is>
          <t>N/D</t>
        </is>
      </c>
      <c r="L1945" s="127" t="inlineStr">
        <is>
          <t>REDOLFI ARMI SRL</t>
        </is>
      </c>
      <c r="M1945" s="5" t="n">
        <v>100</v>
      </c>
      <c r="N1945" s="5" t="n"/>
      <c r="O1945" s="5">
        <f>+M1945+N1945</f>
        <v/>
      </c>
      <c r="P1945" s="4" t="n">
        <v>45862</v>
      </c>
      <c r="Q1945" s="87" t="n">
        <v>45862</v>
      </c>
      <c r="R1945" s="5" t="n">
        <v>110</v>
      </c>
      <c r="S1945" s="2" t="n">
        <v>1</v>
      </c>
      <c r="T1945" s="3" t="inlineStr">
        <is>
          <t>CA42796IR</t>
        </is>
      </c>
      <c r="U1945" s="87" t="n">
        <v>46041</v>
      </c>
      <c r="V1945" s="3" t="inlineStr">
        <is>
          <t>2</t>
        </is>
      </c>
      <c r="W1945" s="108" t="n">
        <v>46041</v>
      </c>
      <c r="X1945" s="4" t="inlineStr">
        <is>
          <t>PHILIPPOS  CONSTANTINIDES
TRADING CO.LTD</t>
        </is>
      </c>
    </row>
    <row r="1946" ht="24" customHeight="1">
      <c r="A1946" s="2">
        <f>+D1946-S1946</f>
        <v/>
      </c>
      <c r="B1946" s="80" t="n">
        <v>3564</v>
      </c>
      <c r="C1946" s="66" t="n">
        <v>45862</v>
      </c>
      <c r="D1946" s="2" t="n">
        <v>1</v>
      </c>
      <c r="E1946" s="3" t="inlineStr">
        <is>
          <t>FUCILE MONOCANNA</t>
        </is>
      </c>
      <c r="F1946" s="3" t="inlineStr">
        <is>
          <t>12</t>
        </is>
      </c>
      <c r="G1946" s="3" t="inlineStr">
        <is>
          <t>INVESTARM</t>
        </is>
      </c>
      <c r="H1946" s="65" t="inlineStr">
        <is>
          <t>N/D</t>
        </is>
      </c>
      <c r="I1946" s="65" t="inlineStr">
        <is>
          <t>583426</t>
        </is>
      </c>
      <c r="J1946" s="65" t="inlineStr">
        <is>
          <t>N/D</t>
        </is>
      </c>
      <c r="K1946" s="65" t="inlineStr">
        <is>
          <t>N/D</t>
        </is>
      </c>
      <c r="L1946" s="127" t="inlineStr">
        <is>
          <t>REDOLFI ARMI SRL</t>
        </is>
      </c>
      <c r="M1946" s="5" t="n">
        <v>100</v>
      </c>
      <c r="N1946" s="5" t="n"/>
      <c r="O1946" s="5">
        <f>+M1946+N1946</f>
        <v/>
      </c>
      <c r="P1946" s="4" t="n">
        <v>45862</v>
      </c>
      <c r="Q1946" s="87" t="n">
        <v>45862</v>
      </c>
      <c r="R1946" s="5" t="n">
        <v>110</v>
      </c>
      <c r="S1946" s="2" t="n">
        <v>1</v>
      </c>
      <c r="T1946" s="3" t="inlineStr">
        <is>
          <t>CA42796IR</t>
        </is>
      </c>
      <c r="U1946" s="87" t="n">
        <v>46041</v>
      </c>
      <c r="V1946" s="3" t="inlineStr">
        <is>
          <t>2</t>
        </is>
      </c>
      <c r="W1946" s="108" t="n">
        <v>46041</v>
      </c>
      <c r="X1946" s="4" t="inlineStr">
        <is>
          <t>PHILIPPOS  CONSTANTINIDES
TRADING CO.LTD</t>
        </is>
      </c>
    </row>
    <row r="1947" ht="24" customHeight="1">
      <c r="A1947" s="2">
        <f>+D1947-S1947</f>
        <v/>
      </c>
      <c r="B1947" s="80" t="n">
        <v>3565</v>
      </c>
      <c r="C1947" s="66" t="n">
        <v>45863</v>
      </c>
      <c r="D1947" s="2" t="n">
        <v>1</v>
      </c>
      <c r="E1947" s="3" t="inlineStr">
        <is>
          <t>FUCILE SEMIAUTOMATICO</t>
        </is>
      </c>
      <c r="F1947" s="3" t="inlineStr">
        <is>
          <t>12</t>
        </is>
      </c>
      <c r="G1947" s="3" t="inlineStr">
        <is>
          <t>FRANCHI</t>
        </is>
      </c>
      <c r="H1947" s="65" t="inlineStr">
        <is>
          <t xml:space="preserve">AFFINITY 3 ELITE 30'' MARSH BRONZE </t>
        </is>
      </c>
      <c r="I1947" s="65" t="inlineStr">
        <is>
          <t>BL093823Z</t>
        </is>
      </c>
      <c r="J1947" s="65" t="inlineStr">
        <is>
          <t>CL096479M</t>
        </is>
      </c>
      <c r="K1947" s="65" t="inlineStr">
        <is>
          <t>N/D</t>
        </is>
      </c>
      <c r="L1947" s="127" t="inlineStr">
        <is>
          <t>BENELLI ARMI SPA</t>
        </is>
      </c>
      <c r="M1947" s="5" t="n">
        <v>548</v>
      </c>
      <c r="N1947" s="5" t="n"/>
      <c r="O1947" s="5">
        <f>+M1947+N1947</f>
        <v/>
      </c>
      <c r="P1947" s="4" t="n">
        <v>45863</v>
      </c>
      <c r="Q1947" s="87" t="n">
        <v>45856</v>
      </c>
      <c r="R1947" s="5" t="n">
        <v>657.78</v>
      </c>
      <c r="S1947" s="2" t="n">
        <v>1</v>
      </c>
      <c r="T1947" s="3" t="inlineStr">
        <is>
          <t>6B/2025/2S</t>
        </is>
      </c>
      <c r="U1947" s="87" t="n">
        <v>45873</v>
      </c>
      <c r="V1947" s="3" t="inlineStr">
        <is>
          <t>20</t>
        </is>
      </c>
      <c r="W1947" s="87" t="n">
        <v>45873</v>
      </c>
      <c r="X1947" s="4" t="inlineStr">
        <is>
          <t xml:space="preserve">Bin Humaid National Trading Co </t>
        </is>
      </c>
    </row>
    <row r="1948" ht="24" customHeight="1">
      <c r="A1948" s="2">
        <f>+D1948-S1948</f>
        <v/>
      </c>
      <c r="B1948" s="80" t="n">
        <v>3566</v>
      </c>
      <c r="C1948" s="66" t="n">
        <v>45863</v>
      </c>
      <c r="D1948" s="2" t="n">
        <v>1</v>
      </c>
      <c r="E1948" s="3" t="inlineStr">
        <is>
          <t>FUCILE SEMIAUTOMATICO</t>
        </is>
      </c>
      <c r="F1948" s="3" t="inlineStr">
        <is>
          <t>12</t>
        </is>
      </c>
      <c r="G1948" s="3" t="inlineStr">
        <is>
          <t>FRANCHI</t>
        </is>
      </c>
      <c r="H1948" s="65" t="inlineStr">
        <is>
          <t xml:space="preserve">AFFINITY 3 ELITE 30'' MARSH BRONZE </t>
        </is>
      </c>
      <c r="I1948" s="65" t="inlineStr">
        <is>
          <t>BL093825Z</t>
        </is>
      </c>
      <c r="J1948" s="65" t="inlineStr">
        <is>
          <t>CL096478M</t>
        </is>
      </c>
      <c r="K1948" s="65" t="inlineStr">
        <is>
          <t>N/D</t>
        </is>
      </c>
      <c r="L1948" s="127" t="inlineStr">
        <is>
          <t>BENELLI ARMI SPA</t>
        </is>
      </c>
      <c r="M1948" s="5" t="n">
        <v>548</v>
      </c>
      <c r="N1948" s="5" t="n"/>
      <c r="O1948" s="5">
        <f>+M1948+N1948</f>
        <v/>
      </c>
      <c r="P1948" s="4" t="n">
        <v>45863</v>
      </c>
      <c r="Q1948" s="87" t="n">
        <v>45856</v>
      </c>
      <c r="R1948" s="5" t="n">
        <v>657.78</v>
      </c>
      <c r="S1948" s="2" t="n">
        <v>1</v>
      </c>
      <c r="T1948" s="3" t="inlineStr">
        <is>
          <t>6B/2025/2S</t>
        </is>
      </c>
      <c r="U1948" s="87" t="n">
        <v>45873</v>
      </c>
      <c r="V1948" s="3" t="inlineStr">
        <is>
          <t>20</t>
        </is>
      </c>
      <c r="W1948" s="87" t="n">
        <v>45873</v>
      </c>
      <c r="X1948" s="4" t="inlineStr">
        <is>
          <t xml:space="preserve">Bin Humaid National Trading Co </t>
        </is>
      </c>
    </row>
    <row r="1949" ht="24" customHeight="1">
      <c r="A1949" s="2">
        <f>+D1949-S1949</f>
        <v/>
      </c>
      <c r="B1949" s="80" t="n">
        <v>3567</v>
      </c>
      <c r="C1949" s="66" t="n">
        <v>45863</v>
      </c>
      <c r="D1949" s="2" t="n">
        <v>1</v>
      </c>
      <c r="E1949" s="3" t="inlineStr">
        <is>
          <t>FUCILE SEMIAUTOMATICO</t>
        </is>
      </c>
      <c r="F1949" s="3" t="inlineStr">
        <is>
          <t>12</t>
        </is>
      </c>
      <c r="G1949" s="3" t="inlineStr">
        <is>
          <t>FRANCHI</t>
        </is>
      </c>
      <c r="H1949" s="65" t="inlineStr">
        <is>
          <t xml:space="preserve">AFFINITY 3 ELITE 30'' MARSH BRONZE </t>
        </is>
      </c>
      <c r="I1949" s="65" t="inlineStr">
        <is>
          <t>BL093826Z</t>
        </is>
      </c>
      <c r="J1949" s="65" t="inlineStr">
        <is>
          <t>CL096480M</t>
        </is>
      </c>
      <c r="K1949" s="65" t="inlineStr">
        <is>
          <t>N/D</t>
        </is>
      </c>
      <c r="L1949" s="127" t="inlineStr">
        <is>
          <t>BENELLI ARMI SPA</t>
        </is>
      </c>
      <c r="M1949" s="5" t="n">
        <v>548</v>
      </c>
      <c r="N1949" s="5" t="n"/>
      <c r="O1949" s="5">
        <f>+M1949+N1949</f>
        <v/>
      </c>
      <c r="P1949" s="4" t="n">
        <v>45863</v>
      </c>
      <c r="Q1949" s="87" t="n">
        <v>45856</v>
      </c>
      <c r="R1949" s="5" t="n">
        <v>657.78</v>
      </c>
      <c r="S1949" s="2" t="n">
        <v>1</v>
      </c>
      <c r="T1949" s="3" t="inlineStr">
        <is>
          <t>6B/2025/2S</t>
        </is>
      </c>
      <c r="U1949" s="87" t="n">
        <v>45873</v>
      </c>
      <c r="V1949" s="3" t="inlineStr">
        <is>
          <t>20</t>
        </is>
      </c>
      <c r="W1949" s="87" t="n">
        <v>45873</v>
      </c>
      <c r="X1949" s="4" t="inlineStr">
        <is>
          <t xml:space="preserve">Bin Humaid National Trading Co </t>
        </is>
      </c>
    </row>
    <row r="1950" ht="24" customHeight="1">
      <c r="A1950" s="2">
        <f>+D1950-S1950</f>
        <v/>
      </c>
      <c r="B1950" s="80" t="n">
        <v>3568</v>
      </c>
      <c r="C1950" s="66" t="n">
        <v>45863</v>
      </c>
      <c r="D1950" s="2" t="n">
        <v>1</v>
      </c>
      <c r="E1950" s="3" t="inlineStr">
        <is>
          <t>FUCILE SEMIAUTOMATICO</t>
        </is>
      </c>
      <c r="F1950" s="3" t="inlineStr">
        <is>
          <t>12</t>
        </is>
      </c>
      <c r="G1950" s="3" t="inlineStr">
        <is>
          <t>FRANCHI</t>
        </is>
      </c>
      <c r="H1950" s="65" t="inlineStr">
        <is>
          <t xml:space="preserve">AFFINITY 3 ELITE 30'' MARSH BRONZE </t>
        </is>
      </c>
      <c r="I1950" s="65" t="inlineStr">
        <is>
          <t>BL093827Z</t>
        </is>
      </c>
      <c r="J1950" s="65" t="inlineStr">
        <is>
          <t>CL096476M</t>
        </is>
      </c>
      <c r="K1950" s="65" t="inlineStr">
        <is>
          <t>N/D</t>
        </is>
      </c>
      <c r="L1950" s="127" t="inlineStr">
        <is>
          <t>BENELLI ARMI SPA</t>
        </is>
      </c>
      <c r="M1950" s="5" t="n">
        <v>548</v>
      </c>
      <c r="N1950" s="5" t="n"/>
      <c r="O1950" s="5">
        <f>+M1950+N1950</f>
        <v/>
      </c>
      <c r="P1950" s="4" t="n">
        <v>45863</v>
      </c>
      <c r="Q1950" s="87" t="n">
        <v>45856</v>
      </c>
      <c r="R1950" s="5" t="n">
        <v>657.78</v>
      </c>
      <c r="S1950" s="2" t="n">
        <v>1</v>
      </c>
      <c r="T1950" s="3" t="inlineStr">
        <is>
          <t>6B/2025/2S</t>
        </is>
      </c>
      <c r="U1950" s="87" t="n">
        <v>45873</v>
      </c>
      <c r="V1950" s="3" t="inlineStr">
        <is>
          <t>20</t>
        </is>
      </c>
      <c r="W1950" s="87" t="n">
        <v>45873</v>
      </c>
      <c r="X1950" s="4" t="inlineStr">
        <is>
          <t xml:space="preserve">Bin Humaid National Trading Co </t>
        </is>
      </c>
    </row>
    <row r="1951" ht="24" customHeight="1">
      <c r="A1951" s="2">
        <f>+D1951-S1951</f>
        <v/>
      </c>
      <c r="B1951" s="80" t="n">
        <v>3569</v>
      </c>
      <c r="C1951" s="66" t="n">
        <v>45863</v>
      </c>
      <c r="D1951" s="2" t="n">
        <v>1</v>
      </c>
      <c r="E1951" s="3" t="inlineStr">
        <is>
          <t>FUCILE SEMIAUTOMATICO</t>
        </is>
      </c>
      <c r="F1951" s="3" t="inlineStr">
        <is>
          <t>12</t>
        </is>
      </c>
      <c r="G1951" s="3" t="inlineStr">
        <is>
          <t>FRANCHI</t>
        </is>
      </c>
      <c r="H1951" s="65" t="inlineStr">
        <is>
          <t xml:space="preserve">AFFINITY 3 ELITE 30'' MARSH BRONZE </t>
        </is>
      </c>
      <c r="I1951" s="65" t="inlineStr">
        <is>
          <t>BL093829N</t>
        </is>
      </c>
      <c r="J1951" s="65" t="inlineStr">
        <is>
          <t>CL096475D</t>
        </is>
      </c>
      <c r="K1951" s="65" t="inlineStr">
        <is>
          <t>N/D</t>
        </is>
      </c>
      <c r="L1951" s="127" t="inlineStr">
        <is>
          <t>BENELLI ARMI SPA</t>
        </is>
      </c>
      <c r="M1951" s="5" t="n">
        <v>548</v>
      </c>
      <c r="N1951" s="5" t="n"/>
      <c r="O1951" s="5">
        <f>+M1951+N1951</f>
        <v/>
      </c>
      <c r="P1951" s="4" t="n">
        <v>45863</v>
      </c>
      <c r="Q1951" s="87" t="n">
        <v>45856</v>
      </c>
      <c r="R1951" s="5" t="n">
        <v>657.78</v>
      </c>
      <c r="S1951" s="2" t="n">
        <v>1</v>
      </c>
      <c r="T1951" s="3" t="inlineStr">
        <is>
          <t>6B/2025/2S</t>
        </is>
      </c>
      <c r="U1951" s="87" t="n">
        <v>45873</v>
      </c>
      <c r="V1951" s="3" t="inlineStr">
        <is>
          <t>20</t>
        </is>
      </c>
      <c r="W1951" s="87" t="n">
        <v>45873</v>
      </c>
      <c r="X1951" s="4" t="inlineStr">
        <is>
          <t xml:space="preserve">Bin Humaid National Trading Co </t>
        </is>
      </c>
    </row>
    <row r="1952" ht="24" customHeight="1">
      <c r="A1952" s="2">
        <f>+D1952-S1952</f>
        <v/>
      </c>
      <c r="B1952" s="80" t="n">
        <v>3570</v>
      </c>
      <c r="C1952" s="66" t="n">
        <v>45863</v>
      </c>
      <c r="D1952" s="2" t="n">
        <v>1</v>
      </c>
      <c r="E1952" s="3" t="inlineStr">
        <is>
          <t>FUCILE SEMIAUTOMATICO</t>
        </is>
      </c>
      <c r="F1952" s="3" t="inlineStr">
        <is>
          <t>12</t>
        </is>
      </c>
      <c r="G1952" s="3" t="inlineStr">
        <is>
          <t>FRANCHI</t>
        </is>
      </c>
      <c r="H1952" s="65" t="inlineStr">
        <is>
          <t xml:space="preserve">AFFINITY 3 ELITE 30'' MARSH BRONZE </t>
        </is>
      </c>
      <c r="I1952" s="65" t="inlineStr">
        <is>
          <t>BL093828L</t>
        </is>
      </c>
      <c r="J1952" s="65" t="inlineStr">
        <is>
          <t>CL096492Y</t>
        </is>
      </c>
      <c r="K1952" s="65" t="inlineStr">
        <is>
          <t>N/D</t>
        </is>
      </c>
      <c r="L1952" s="127" t="inlineStr">
        <is>
          <t>BENELLI ARMI SPA</t>
        </is>
      </c>
      <c r="M1952" s="5" t="n">
        <v>548</v>
      </c>
      <c r="N1952" s="5" t="n"/>
      <c r="O1952" s="5">
        <f>+M1952+N1952</f>
        <v/>
      </c>
      <c r="P1952" s="4" t="n">
        <v>45863</v>
      </c>
      <c r="Q1952" s="87" t="n">
        <v>45856</v>
      </c>
      <c r="R1952" s="5" t="n">
        <v>657.78</v>
      </c>
      <c r="S1952" s="2" t="n">
        <v>1</v>
      </c>
      <c r="T1952" s="3" t="inlineStr">
        <is>
          <t>6B/2025/2S</t>
        </is>
      </c>
      <c r="U1952" s="87" t="n">
        <v>45873</v>
      </c>
      <c r="V1952" s="3" t="inlineStr">
        <is>
          <t>20</t>
        </is>
      </c>
      <c r="W1952" s="87" t="n">
        <v>45873</v>
      </c>
      <c r="X1952" s="4" t="inlineStr">
        <is>
          <t xml:space="preserve">Bin Humaid National Trading Co </t>
        </is>
      </c>
    </row>
    <row r="1953" ht="24" customHeight="1">
      <c r="A1953" s="2">
        <f>+D1953-S1953</f>
        <v/>
      </c>
      <c r="B1953" s="80" t="n">
        <v>3571</v>
      </c>
      <c r="C1953" s="66" t="n">
        <v>45863</v>
      </c>
      <c r="D1953" s="2" t="n">
        <v>1</v>
      </c>
      <c r="E1953" s="3" t="inlineStr">
        <is>
          <t>FUCILE SEMIAUTOMATICO</t>
        </is>
      </c>
      <c r="F1953" s="3" t="inlineStr">
        <is>
          <t>12</t>
        </is>
      </c>
      <c r="G1953" s="3" t="inlineStr">
        <is>
          <t>FRANCHI</t>
        </is>
      </c>
      <c r="H1953" s="65" t="inlineStr">
        <is>
          <t xml:space="preserve">AFFINITY 3 ELITE 30'' MARSH BRONZE </t>
        </is>
      </c>
      <c r="I1953" s="65" t="inlineStr">
        <is>
          <t>BL093830U</t>
        </is>
      </c>
      <c r="J1953" s="65" t="inlineStr">
        <is>
          <t>CL096495F</t>
        </is>
      </c>
      <c r="K1953" s="65" t="inlineStr">
        <is>
          <t>N/D</t>
        </is>
      </c>
      <c r="L1953" s="127" t="inlineStr">
        <is>
          <t>BENELLI ARMI SPA</t>
        </is>
      </c>
      <c r="M1953" s="5" t="n">
        <v>548</v>
      </c>
      <c r="N1953" s="5" t="n"/>
      <c r="O1953" s="5">
        <f>+M1953+N1953</f>
        <v/>
      </c>
      <c r="P1953" s="4" t="n">
        <v>45863</v>
      </c>
      <c r="Q1953" s="87" t="n">
        <v>45856</v>
      </c>
      <c r="R1953" s="5" t="n">
        <v>657.78</v>
      </c>
      <c r="S1953" s="2" t="n">
        <v>1</v>
      </c>
      <c r="T1953" s="3" t="inlineStr">
        <is>
          <t>6B/2025/2S</t>
        </is>
      </c>
      <c r="U1953" s="87" t="n">
        <v>45873</v>
      </c>
      <c r="V1953" s="3" t="inlineStr">
        <is>
          <t>20</t>
        </is>
      </c>
      <c r="W1953" s="87" t="n">
        <v>45873</v>
      </c>
      <c r="X1953" s="4" t="inlineStr">
        <is>
          <t xml:space="preserve">Bin Humaid National Trading Co </t>
        </is>
      </c>
    </row>
    <row r="1954" ht="24" customHeight="1">
      <c r="A1954" s="2">
        <f>+D1954-S1954</f>
        <v/>
      </c>
      <c r="B1954" s="80" t="n">
        <v>3572</v>
      </c>
      <c r="C1954" s="66" t="n">
        <v>45863</v>
      </c>
      <c r="D1954" s="2" t="n">
        <v>1</v>
      </c>
      <c r="E1954" s="3" t="inlineStr">
        <is>
          <t>FUCILE SEMIAUTOMATICO</t>
        </is>
      </c>
      <c r="F1954" s="3" t="inlineStr">
        <is>
          <t>12</t>
        </is>
      </c>
      <c r="G1954" s="3" t="inlineStr">
        <is>
          <t>FRANCHI</t>
        </is>
      </c>
      <c r="H1954" s="65" t="inlineStr">
        <is>
          <t xml:space="preserve">AFFINITY 3 ELITE 30'' MARSH BRONZE </t>
        </is>
      </c>
      <c r="I1954" s="65" t="inlineStr">
        <is>
          <t>BL093831W</t>
        </is>
      </c>
      <c r="J1954" s="65" t="inlineStr">
        <is>
          <t>CL096494C</t>
        </is>
      </c>
      <c r="K1954" s="65" t="inlineStr">
        <is>
          <t>N/D</t>
        </is>
      </c>
      <c r="L1954" s="127" t="inlineStr">
        <is>
          <t>BENELLI ARMI SPA</t>
        </is>
      </c>
      <c r="M1954" s="5" t="n">
        <v>548</v>
      </c>
      <c r="N1954" s="5" t="n"/>
      <c r="O1954" s="5">
        <f>+M1954+N1954</f>
        <v/>
      </c>
      <c r="P1954" s="4" t="n">
        <v>45863</v>
      </c>
      <c r="Q1954" s="87" t="n">
        <v>45856</v>
      </c>
      <c r="R1954" s="5" t="n">
        <v>657.78</v>
      </c>
      <c r="S1954" s="2" t="n">
        <v>1</v>
      </c>
      <c r="T1954" s="3" t="inlineStr">
        <is>
          <t>6B/2025/2S</t>
        </is>
      </c>
      <c r="U1954" s="87" t="n">
        <v>45873</v>
      </c>
      <c r="V1954" s="3" t="inlineStr">
        <is>
          <t>20</t>
        </is>
      </c>
      <c r="W1954" s="87" t="n">
        <v>45873</v>
      </c>
      <c r="X1954" s="4" t="inlineStr">
        <is>
          <t xml:space="preserve">Bin Humaid National Trading Co </t>
        </is>
      </c>
    </row>
    <row r="1955" ht="24" customHeight="1">
      <c r="A1955" s="2">
        <f>+D1955-S1955</f>
        <v/>
      </c>
      <c r="B1955" s="80" t="n">
        <v>3573</v>
      </c>
      <c r="C1955" s="66" t="n">
        <v>45863</v>
      </c>
      <c r="D1955" s="2" t="n">
        <v>1</v>
      </c>
      <c r="E1955" s="3" t="inlineStr">
        <is>
          <t>FUCILE SEMIAUTOMATICO</t>
        </is>
      </c>
      <c r="F1955" s="3" t="inlineStr">
        <is>
          <t>12</t>
        </is>
      </c>
      <c r="G1955" s="3" t="inlineStr">
        <is>
          <t>FRANCHI</t>
        </is>
      </c>
      <c r="H1955" s="65" t="inlineStr">
        <is>
          <t xml:space="preserve">AFFINITY 3 ELITE 30'' MARSH BRONZE </t>
        </is>
      </c>
      <c r="I1955" s="65" t="inlineStr">
        <is>
          <t>BL093832Y</t>
        </is>
      </c>
      <c r="J1955" s="65" t="inlineStr">
        <is>
          <t>CL096471U</t>
        </is>
      </c>
      <c r="K1955" s="65" t="inlineStr">
        <is>
          <t>N/D</t>
        </is>
      </c>
      <c r="L1955" s="127" t="inlineStr">
        <is>
          <t>BENELLI ARMI SPA</t>
        </is>
      </c>
      <c r="M1955" s="5" t="n">
        <v>548</v>
      </c>
      <c r="N1955" s="5" t="n"/>
      <c r="O1955" s="5">
        <f>+M1955+N1955</f>
        <v/>
      </c>
      <c r="P1955" s="4" t="n">
        <v>45863</v>
      </c>
      <c r="Q1955" s="87" t="n">
        <v>45856</v>
      </c>
      <c r="R1955" s="5" t="n">
        <v>657.78</v>
      </c>
      <c r="S1955" s="2" t="n">
        <v>1</v>
      </c>
      <c r="T1955" s="3" t="inlineStr">
        <is>
          <t>6B/2025/2S</t>
        </is>
      </c>
      <c r="U1955" s="87" t="n">
        <v>45873</v>
      </c>
      <c r="V1955" s="3" t="inlineStr">
        <is>
          <t>20</t>
        </is>
      </c>
      <c r="W1955" s="87" t="n">
        <v>45873</v>
      </c>
      <c r="X1955" s="4" t="inlineStr">
        <is>
          <t xml:space="preserve">Bin Humaid National Trading Co </t>
        </is>
      </c>
    </row>
    <row r="1956" ht="24" customHeight="1">
      <c r="A1956" s="2">
        <f>+D1956-S1956</f>
        <v/>
      </c>
      <c r="B1956" s="80" t="n">
        <v>3574</v>
      </c>
      <c r="C1956" s="66" t="n">
        <v>45863</v>
      </c>
      <c r="D1956" s="2" t="n">
        <v>1</v>
      </c>
      <c r="E1956" s="3" t="inlineStr">
        <is>
          <t>FUCILE SEMIAUTOMATICO</t>
        </is>
      </c>
      <c r="F1956" s="3" t="inlineStr">
        <is>
          <t>12</t>
        </is>
      </c>
      <c r="G1956" s="3" t="inlineStr">
        <is>
          <t>FRANCHI</t>
        </is>
      </c>
      <c r="H1956" s="65" t="inlineStr">
        <is>
          <t xml:space="preserve">AFFINITY 3 ELITE 30'' MARSH BRONZE </t>
        </is>
      </c>
      <c r="I1956" s="65" t="inlineStr">
        <is>
          <t>BL093833A</t>
        </is>
      </c>
      <c r="J1956" s="65" t="inlineStr">
        <is>
          <t>CL096467G</t>
        </is>
      </c>
      <c r="K1956" s="65" t="inlineStr">
        <is>
          <t>N/D</t>
        </is>
      </c>
      <c r="L1956" s="127" t="inlineStr">
        <is>
          <t>BENELLI ARMI SPA</t>
        </is>
      </c>
      <c r="M1956" s="5" t="n">
        <v>548</v>
      </c>
      <c r="N1956" s="5" t="n"/>
      <c r="O1956" s="5">
        <f>+M1956+N1956</f>
        <v/>
      </c>
      <c r="P1956" s="4" t="n">
        <v>45863</v>
      </c>
      <c r="Q1956" s="87" t="n">
        <v>45856</v>
      </c>
      <c r="R1956" s="5" t="n">
        <v>657.78</v>
      </c>
      <c r="S1956" s="2" t="n">
        <v>1</v>
      </c>
      <c r="T1956" s="3" t="inlineStr">
        <is>
          <t>6B/2025/2S</t>
        </is>
      </c>
      <c r="U1956" s="87" t="n">
        <v>45873</v>
      </c>
      <c r="V1956" s="3" t="inlineStr">
        <is>
          <t>20</t>
        </is>
      </c>
      <c r="W1956" s="87" t="n">
        <v>45873</v>
      </c>
      <c r="X1956" s="4" t="inlineStr">
        <is>
          <t xml:space="preserve">Bin Humaid National Trading Co </t>
        </is>
      </c>
    </row>
    <row r="1957" ht="24" customHeight="1">
      <c r="A1957" s="2">
        <f>+D1957-S1957</f>
        <v/>
      </c>
      <c r="B1957" s="80" t="n">
        <v>3575</v>
      </c>
      <c r="C1957" s="66" t="n">
        <v>45863</v>
      </c>
      <c r="D1957" s="2" t="n">
        <v>1</v>
      </c>
      <c r="E1957" s="3" t="inlineStr">
        <is>
          <t>FUCILE SEMIAUTOMATICO</t>
        </is>
      </c>
      <c r="F1957" s="3" t="inlineStr">
        <is>
          <t>12</t>
        </is>
      </c>
      <c r="G1957" s="3" t="inlineStr">
        <is>
          <t>FRANCHI</t>
        </is>
      </c>
      <c r="H1957" s="65" t="inlineStr">
        <is>
          <t xml:space="preserve">AFFINITY 3 ELITE 30'' MARSH BRONZE </t>
        </is>
      </c>
      <c r="I1957" s="65" t="inlineStr">
        <is>
          <t>BL093813Y</t>
        </is>
      </c>
      <c r="J1957" s="65" t="inlineStr">
        <is>
          <t>CL096470S</t>
        </is>
      </c>
      <c r="K1957" s="65" t="inlineStr">
        <is>
          <t>N/D</t>
        </is>
      </c>
      <c r="L1957" s="127" t="inlineStr">
        <is>
          <t>BENELLI ARMI SPA</t>
        </is>
      </c>
      <c r="M1957" s="5" t="n">
        <v>548</v>
      </c>
      <c r="N1957" s="5" t="n"/>
      <c r="O1957" s="5">
        <f>+M1957+N1957</f>
        <v/>
      </c>
      <c r="P1957" s="4" t="n">
        <v>45863</v>
      </c>
      <c r="Q1957" s="87" t="n">
        <v>45856</v>
      </c>
      <c r="R1957" s="5" t="n">
        <v>657.78</v>
      </c>
      <c r="S1957" s="2" t="n">
        <v>1</v>
      </c>
      <c r="T1957" s="3" t="inlineStr">
        <is>
          <t>6B/2025/2S</t>
        </is>
      </c>
      <c r="U1957" s="87" t="n">
        <v>45873</v>
      </c>
      <c r="V1957" s="3" t="inlineStr">
        <is>
          <t>20</t>
        </is>
      </c>
      <c r="W1957" s="87" t="n">
        <v>45873</v>
      </c>
      <c r="X1957" s="4" t="inlineStr">
        <is>
          <t xml:space="preserve">Bin Humaid National Trading Co </t>
        </is>
      </c>
    </row>
    <row r="1958" ht="24" customHeight="1">
      <c r="A1958" s="2">
        <f>+D1958-S1958</f>
        <v/>
      </c>
      <c r="B1958" s="80" t="n">
        <v>3576</v>
      </c>
      <c r="C1958" s="66" t="n">
        <v>45863</v>
      </c>
      <c r="D1958" s="2" t="n">
        <v>1</v>
      </c>
      <c r="E1958" s="3" t="inlineStr">
        <is>
          <t>CARABINA</t>
        </is>
      </c>
      <c r="F1958" s="3" t="inlineStr">
        <is>
          <t>223 REM</t>
        </is>
      </c>
      <c r="G1958" s="3" t="inlineStr">
        <is>
          <t>FRANCHI</t>
        </is>
      </c>
      <c r="H1958" s="65" t="inlineStr">
        <is>
          <t>HORIZON ELITE STRATA BRONZE 22''</t>
        </is>
      </c>
      <c r="I1958" s="65" t="inlineStr">
        <is>
          <t>FB073201A</t>
        </is>
      </c>
      <c r="J1958" s="65" t="inlineStr">
        <is>
          <t>N/D</t>
        </is>
      </c>
      <c r="K1958" s="65" t="inlineStr">
        <is>
          <t>N/D</t>
        </is>
      </c>
      <c r="L1958" s="127" t="inlineStr">
        <is>
          <t>BENELLI ARMI SPA</t>
        </is>
      </c>
      <c r="M1958" s="5" t="n">
        <v>547</v>
      </c>
      <c r="N1958" s="5" t="n"/>
      <c r="O1958" s="5">
        <f>+M1958+N1958</f>
        <v/>
      </c>
      <c r="P1958" s="4" t="n">
        <v>45863</v>
      </c>
      <c r="Q1958" s="87" t="n">
        <v>45856</v>
      </c>
      <c r="R1958" s="5" t="n">
        <v>623.58</v>
      </c>
      <c r="S1958" s="2" t="n">
        <v>1</v>
      </c>
      <c r="T1958" s="3" t="inlineStr">
        <is>
          <t>6B/2025/2S</t>
        </is>
      </c>
      <c r="U1958" s="87" t="n">
        <v>45873</v>
      </c>
      <c r="V1958" s="3" t="inlineStr">
        <is>
          <t>19</t>
        </is>
      </c>
      <c r="W1958" s="87" t="n">
        <v>45873</v>
      </c>
      <c r="X1958" s="4" t="inlineStr">
        <is>
          <t xml:space="preserve">Bin Humaid National Trading Co </t>
        </is>
      </c>
    </row>
    <row r="1959" ht="24" customHeight="1">
      <c r="A1959" s="2">
        <f>+D1959-S1959</f>
        <v/>
      </c>
      <c r="B1959" s="80" t="n">
        <v>3577</v>
      </c>
      <c r="C1959" s="66" t="n">
        <v>45863</v>
      </c>
      <c r="D1959" s="2" t="n">
        <v>1</v>
      </c>
      <c r="E1959" s="3" t="inlineStr">
        <is>
          <t>CARABINA</t>
        </is>
      </c>
      <c r="F1959" s="3" t="inlineStr">
        <is>
          <t>223 REM</t>
        </is>
      </c>
      <c r="G1959" s="3" t="inlineStr">
        <is>
          <t>FRANCHI</t>
        </is>
      </c>
      <c r="H1959" s="65" t="inlineStr">
        <is>
          <t>HORIZON ELITE STRATA BRONZE 22''</t>
        </is>
      </c>
      <c r="I1959" s="65" t="inlineStr">
        <is>
          <t>FB073204G</t>
        </is>
      </c>
      <c r="J1959" s="65" t="inlineStr">
        <is>
          <t>N/D</t>
        </is>
      </c>
      <c r="K1959" s="65" t="inlineStr">
        <is>
          <t>N/D</t>
        </is>
      </c>
      <c r="L1959" s="127" t="inlineStr">
        <is>
          <t>BENELLI ARMI SPA</t>
        </is>
      </c>
      <c r="M1959" s="5" t="n">
        <v>547</v>
      </c>
      <c r="N1959" s="5" t="n"/>
      <c r="O1959" s="5">
        <f>+M1959+N1959</f>
        <v/>
      </c>
      <c r="P1959" s="4" t="n">
        <v>45863</v>
      </c>
      <c r="Q1959" s="87" t="n">
        <v>45856</v>
      </c>
      <c r="R1959" s="5" t="n">
        <v>623.58</v>
      </c>
      <c r="S1959" s="2" t="n">
        <v>1</v>
      </c>
      <c r="T1959" s="3" t="inlineStr">
        <is>
          <t>6B/2025/2S</t>
        </is>
      </c>
      <c r="U1959" s="87" t="n">
        <v>45873</v>
      </c>
      <c r="V1959" s="3" t="inlineStr">
        <is>
          <t>19</t>
        </is>
      </c>
      <c r="W1959" s="87" t="n">
        <v>45873</v>
      </c>
      <c r="X1959" s="4" t="inlineStr">
        <is>
          <t xml:space="preserve">Bin Humaid National Trading Co </t>
        </is>
      </c>
    </row>
    <row r="1960" ht="24" customHeight="1">
      <c r="A1960" s="2">
        <f>+D1960-S1960</f>
        <v/>
      </c>
      <c r="B1960" s="80" t="n">
        <v>3578</v>
      </c>
      <c r="C1960" s="66" t="n">
        <v>45863</v>
      </c>
      <c r="D1960" s="2" t="n">
        <v>1</v>
      </c>
      <c r="E1960" s="3" t="inlineStr">
        <is>
          <t>CARABINA</t>
        </is>
      </c>
      <c r="F1960" s="3" t="inlineStr">
        <is>
          <t>223 REM</t>
        </is>
      </c>
      <c r="G1960" s="3" t="inlineStr">
        <is>
          <t>FRANCHI</t>
        </is>
      </c>
      <c r="H1960" s="65" t="inlineStr">
        <is>
          <t>HORIZON ELITE STRATA BRONZE 22''</t>
        </is>
      </c>
      <c r="I1960" s="65" t="inlineStr">
        <is>
          <t>FB073206M</t>
        </is>
      </c>
      <c r="J1960" s="65" t="inlineStr">
        <is>
          <t>N/D</t>
        </is>
      </c>
      <c r="K1960" s="65" t="inlineStr">
        <is>
          <t>N/D</t>
        </is>
      </c>
      <c r="L1960" s="127" t="inlineStr">
        <is>
          <t>BENELLI ARMI SPA</t>
        </is>
      </c>
      <c r="M1960" s="5" t="n">
        <v>547</v>
      </c>
      <c r="N1960" s="5" t="n"/>
      <c r="O1960" s="5">
        <f>+M1960+N1960</f>
        <v/>
      </c>
      <c r="P1960" s="4" t="n">
        <v>45863</v>
      </c>
      <c r="Q1960" s="87" t="n">
        <v>45856</v>
      </c>
      <c r="R1960" s="5" t="n">
        <v>623.58</v>
      </c>
      <c r="S1960" s="2" t="n">
        <v>1</v>
      </c>
      <c r="T1960" s="3" t="inlineStr">
        <is>
          <t>6B/2025/2S</t>
        </is>
      </c>
      <c r="U1960" s="87" t="n">
        <v>45873</v>
      </c>
      <c r="V1960" s="3" t="inlineStr">
        <is>
          <t>19</t>
        </is>
      </c>
      <c r="W1960" s="87" t="n">
        <v>45873</v>
      </c>
      <c r="X1960" s="4" t="inlineStr">
        <is>
          <t xml:space="preserve">Bin Humaid National Trading Co </t>
        </is>
      </c>
    </row>
    <row r="1961" ht="24" customHeight="1">
      <c r="A1961" s="2">
        <f>+D1961-S1961</f>
        <v/>
      </c>
      <c r="B1961" s="80" t="n">
        <v>3579</v>
      </c>
      <c r="C1961" s="66" t="n">
        <v>45863</v>
      </c>
      <c r="D1961" s="2" t="n">
        <v>1</v>
      </c>
      <c r="E1961" s="3" t="inlineStr">
        <is>
          <t>CARABINA</t>
        </is>
      </c>
      <c r="F1961" s="3" t="inlineStr">
        <is>
          <t>223 REM</t>
        </is>
      </c>
      <c r="G1961" s="3" t="inlineStr">
        <is>
          <t>FRANCHI</t>
        </is>
      </c>
      <c r="H1961" s="65" t="inlineStr">
        <is>
          <t>HORIZON ELITE STRATA BRONZE 22''</t>
        </is>
      </c>
      <c r="I1961" s="65" t="inlineStr">
        <is>
          <t>FB082845D</t>
        </is>
      </c>
      <c r="J1961" s="65" t="inlineStr">
        <is>
          <t>N/D</t>
        </is>
      </c>
      <c r="K1961" s="65" t="inlineStr">
        <is>
          <t>N/D</t>
        </is>
      </c>
      <c r="L1961" s="127" t="inlineStr">
        <is>
          <t>BENELLI ARMI SPA</t>
        </is>
      </c>
      <c r="M1961" s="5" t="n">
        <v>547</v>
      </c>
      <c r="N1961" s="5" t="n"/>
      <c r="O1961" s="5">
        <f>+M1961+N1961</f>
        <v/>
      </c>
      <c r="P1961" s="4" t="n">
        <v>45863</v>
      </c>
      <c r="Q1961" s="87" t="n">
        <v>45856</v>
      </c>
      <c r="R1961" s="5" t="n">
        <v>623.58</v>
      </c>
      <c r="S1961" s="2" t="n">
        <v>1</v>
      </c>
      <c r="T1961" s="3" t="inlineStr">
        <is>
          <t>6B/2025/2S</t>
        </is>
      </c>
      <c r="U1961" s="87" t="n">
        <v>45873</v>
      </c>
      <c r="V1961" s="3" t="inlineStr">
        <is>
          <t>19</t>
        </is>
      </c>
      <c r="W1961" s="87" t="n">
        <v>45873</v>
      </c>
      <c r="X1961" s="4" t="inlineStr">
        <is>
          <t xml:space="preserve">Bin Humaid National Trading Co </t>
        </is>
      </c>
    </row>
    <row r="1962" ht="24" customHeight="1">
      <c r="A1962" s="2">
        <f>+D1962-S1962</f>
        <v/>
      </c>
      <c r="B1962" s="80" t="n">
        <v>3580</v>
      </c>
      <c r="C1962" s="66" t="n">
        <v>45863</v>
      </c>
      <c r="D1962" s="2" t="n">
        <v>1</v>
      </c>
      <c r="E1962" s="3" t="inlineStr">
        <is>
          <t>CARABINA</t>
        </is>
      </c>
      <c r="F1962" s="3" t="inlineStr">
        <is>
          <t>223 REM</t>
        </is>
      </c>
      <c r="G1962" s="3" t="inlineStr">
        <is>
          <t>FRANCHI</t>
        </is>
      </c>
      <c r="H1962" s="65" t="inlineStr">
        <is>
          <t>HORIZON ELITE STRATA BRONZE 22''</t>
        </is>
      </c>
      <c r="I1962" s="65" t="inlineStr">
        <is>
          <t>FB082849M</t>
        </is>
      </c>
      <c r="J1962" s="65" t="inlineStr">
        <is>
          <t>N/D</t>
        </is>
      </c>
      <c r="K1962" s="65" t="inlineStr">
        <is>
          <t>N/D</t>
        </is>
      </c>
      <c r="L1962" s="127" t="inlineStr">
        <is>
          <t>BENELLI ARMI SPA</t>
        </is>
      </c>
      <c r="M1962" s="5" t="n">
        <v>547</v>
      </c>
      <c r="N1962" s="5" t="n"/>
      <c r="O1962" s="5">
        <f>+M1962+N1962</f>
        <v/>
      </c>
      <c r="P1962" s="4" t="n">
        <v>45863</v>
      </c>
      <c r="Q1962" s="87" t="n">
        <v>45856</v>
      </c>
      <c r="R1962" s="5" t="n">
        <v>623.58</v>
      </c>
      <c r="S1962" s="2" t="n">
        <v>1</v>
      </c>
      <c r="T1962" s="3" t="inlineStr">
        <is>
          <t>6B/2025/2S</t>
        </is>
      </c>
      <c r="U1962" s="87" t="n">
        <v>45873</v>
      </c>
      <c r="V1962" s="3" t="inlineStr">
        <is>
          <t>19</t>
        </is>
      </c>
      <c r="W1962" s="87" t="n">
        <v>45873</v>
      </c>
      <c r="X1962" s="4" t="inlineStr">
        <is>
          <t xml:space="preserve">Bin Humaid National Trading Co </t>
        </is>
      </c>
    </row>
    <row r="1963" ht="24" customHeight="1">
      <c r="A1963" s="2">
        <f>+D1963-S1963</f>
        <v/>
      </c>
      <c r="B1963" s="80" t="n">
        <v>3581</v>
      </c>
      <c r="C1963" s="66" t="n">
        <v>45863</v>
      </c>
      <c r="D1963" s="2" t="n">
        <v>1</v>
      </c>
      <c r="E1963" s="3" t="inlineStr">
        <is>
          <t>CARABINA</t>
        </is>
      </c>
      <c r="F1963" s="3" t="inlineStr">
        <is>
          <t>223 REM</t>
        </is>
      </c>
      <c r="G1963" s="3" t="inlineStr">
        <is>
          <t>FRANCHI</t>
        </is>
      </c>
      <c r="H1963" s="65" t="inlineStr">
        <is>
          <t>HORIZON 22''</t>
        </is>
      </c>
      <c r="I1963" s="65" t="inlineStr">
        <is>
          <t>FB084795J</t>
        </is>
      </c>
      <c r="J1963" s="65" t="inlineStr">
        <is>
          <t>N/D</t>
        </is>
      </c>
      <c r="K1963" s="65" t="inlineStr">
        <is>
          <t>N/D</t>
        </is>
      </c>
      <c r="L1963" s="127" t="inlineStr">
        <is>
          <t>BENELLI ARMI SPA</t>
        </is>
      </c>
      <c r="M1963" s="5" t="n">
        <v>405</v>
      </c>
      <c r="N1963" s="5" t="n"/>
      <c r="O1963" s="5">
        <f>+M1963+N1963</f>
        <v/>
      </c>
      <c r="P1963" s="4" t="n">
        <v>45863</v>
      </c>
      <c r="Q1963" s="87" t="n">
        <v>45856</v>
      </c>
      <c r="R1963" s="5" t="n">
        <v>549.48</v>
      </c>
      <c r="S1963" s="2" t="n">
        <v>1</v>
      </c>
      <c r="T1963" s="3" t="inlineStr">
        <is>
          <t>6B/2025/2S</t>
        </is>
      </c>
      <c r="U1963" s="87" t="n">
        <v>45873</v>
      </c>
      <c r="V1963" s="3" t="inlineStr">
        <is>
          <t>19</t>
        </is>
      </c>
      <c r="W1963" s="87" t="n">
        <v>45873</v>
      </c>
      <c r="X1963" s="4" t="inlineStr">
        <is>
          <t xml:space="preserve">Bin Humaid National Trading Co </t>
        </is>
      </c>
    </row>
    <row r="1964" ht="24" customHeight="1">
      <c r="A1964" s="2">
        <f>+D1964-S1964</f>
        <v/>
      </c>
      <c r="B1964" s="80" t="n">
        <v>3582</v>
      </c>
      <c r="C1964" s="66" t="n">
        <v>45863</v>
      </c>
      <c r="D1964" s="2" t="n">
        <v>1</v>
      </c>
      <c r="E1964" s="3" t="inlineStr">
        <is>
          <t>CARABINA</t>
        </is>
      </c>
      <c r="F1964" s="3" t="inlineStr">
        <is>
          <t>223 REM</t>
        </is>
      </c>
      <c r="G1964" s="3" t="inlineStr">
        <is>
          <t>FRANCHI</t>
        </is>
      </c>
      <c r="H1964" s="65" t="inlineStr">
        <is>
          <t>HORIZON 22''</t>
        </is>
      </c>
      <c r="I1964" s="65" t="inlineStr">
        <is>
          <t>FB084796L</t>
        </is>
      </c>
      <c r="J1964" s="65" t="inlineStr">
        <is>
          <t>N/D</t>
        </is>
      </c>
      <c r="K1964" s="65" t="inlineStr">
        <is>
          <t>N/D</t>
        </is>
      </c>
      <c r="L1964" s="127" t="inlineStr">
        <is>
          <t>BENELLI ARMI SPA</t>
        </is>
      </c>
      <c r="M1964" s="5" t="n">
        <v>405</v>
      </c>
      <c r="N1964" s="5" t="n"/>
      <c r="O1964" s="5">
        <f>+M1964+N1964</f>
        <v/>
      </c>
      <c r="P1964" s="4" t="n">
        <v>45863</v>
      </c>
      <c r="Q1964" s="87" t="n">
        <v>45856</v>
      </c>
      <c r="R1964" s="5" t="n">
        <v>549.48</v>
      </c>
      <c r="S1964" s="2" t="n">
        <v>1</v>
      </c>
      <c r="T1964" s="3" t="inlineStr">
        <is>
          <t>6B/2025/2S</t>
        </is>
      </c>
      <c r="U1964" s="87" t="n">
        <v>45873</v>
      </c>
      <c r="V1964" s="3" t="inlineStr">
        <is>
          <t>19</t>
        </is>
      </c>
      <c r="W1964" s="87" t="n">
        <v>45873</v>
      </c>
      <c r="X1964" s="4" t="inlineStr">
        <is>
          <t xml:space="preserve">Bin Humaid National Trading Co </t>
        </is>
      </c>
    </row>
    <row r="1965" ht="24" customHeight="1">
      <c r="A1965" s="2">
        <f>+D1965-S1965</f>
        <v/>
      </c>
      <c r="B1965" s="80" t="n">
        <v>3583</v>
      </c>
      <c r="C1965" s="66" t="n">
        <v>45863</v>
      </c>
      <c r="D1965" s="2" t="n">
        <v>1</v>
      </c>
      <c r="E1965" s="3" t="inlineStr">
        <is>
          <t>CARABINA</t>
        </is>
      </c>
      <c r="F1965" s="3" t="inlineStr">
        <is>
          <t>223 REM</t>
        </is>
      </c>
      <c r="G1965" s="3" t="inlineStr">
        <is>
          <t>FRANCHI</t>
        </is>
      </c>
      <c r="H1965" s="65" t="inlineStr">
        <is>
          <t>HORIZON 22''</t>
        </is>
      </c>
      <c r="I1965" s="65" t="inlineStr">
        <is>
          <t>FB084797N</t>
        </is>
      </c>
      <c r="J1965" s="65" t="inlineStr">
        <is>
          <t>N/D</t>
        </is>
      </c>
      <c r="K1965" s="65" t="inlineStr">
        <is>
          <t>N/D</t>
        </is>
      </c>
      <c r="L1965" s="127" t="inlineStr">
        <is>
          <t>BENELLI ARMI SPA</t>
        </is>
      </c>
      <c r="M1965" s="5" t="n">
        <v>405</v>
      </c>
      <c r="N1965" s="5" t="n"/>
      <c r="O1965" s="5">
        <f>+M1965+N1965</f>
        <v/>
      </c>
      <c r="P1965" s="4" t="n">
        <v>45863</v>
      </c>
      <c r="Q1965" s="87" t="n">
        <v>45856</v>
      </c>
      <c r="R1965" s="5" t="n">
        <v>549.48</v>
      </c>
      <c r="S1965" s="2" t="n">
        <v>1</v>
      </c>
      <c r="T1965" s="3" t="inlineStr">
        <is>
          <t>6B/2025/2S</t>
        </is>
      </c>
      <c r="U1965" s="87" t="n">
        <v>45873</v>
      </c>
      <c r="V1965" s="3" t="inlineStr">
        <is>
          <t>19</t>
        </is>
      </c>
      <c r="W1965" s="87" t="n">
        <v>45873</v>
      </c>
      <c r="X1965" s="4" t="inlineStr">
        <is>
          <t xml:space="preserve">Bin Humaid National Trading Co </t>
        </is>
      </c>
    </row>
    <row r="1966" ht="24" customHeight="1">
      <c r="A1966" s="2">
        <f>+D1966-S1966</f>
        <v/>
      </c>
      <c r="B1966" s="80" t="n">
        <v>3584</v>
      </c>
      <c r="C1966" s="66" t="n">
        <v>45863</v>
      </c>
      <c r="D1966" s="2" t="n">
        <v>1</v>
      </c>
      <c r="E1966" s="3" t="inlineStr">
        <is>
          <t>CARABINA</t>
        </is>
      </c>
      <c r="F1966" s="3" t="inlineStr">
        <is>
          <t>223 REM</t>
        </is>
      </c>
      <c r="G1966" s="3" t="inlineStr">
        <is>
          <t>FRANCHI</t>
        </is>
      </c>
      <c r="H1966" s="65" t="inlineStr">
        <is>
          <t>HORIZON 22''</t>
        </is>
      </c>
      <c r="I1966" s="65" t="inlineStr">
        <is>
          <t>FB084798Q</t>
        </is>
      </c>
      <c r="J1966" s="65" t="inlineStr">
        <is>
          <t>N/D</t>
        </is>
      </c>
      <c r="K1966" s="65" t="inlineStr">
        <is>
          <t>N/D</t>
        </is>
      </c>
      <c r="L1966" s="127" t="inlineStr">
        <is>
          <t>BENELLI ARMI SPA</t>
        </is>
      </c>
      <c r="M1966" s="5" t="n">
        <v>405</v>
      </c>
      <c r="N1966" s="5" t="n"/>
      <c r="O1966" s="5">
        <f>+M1966+N1966</f>
        <v/>
      </c>
      <c r="P1966" s="4" t="n">
        <v>45863</v>
      </c>
      <c r="Q1966" s="87" t="n">
        <v>45856</v>
      </c>
      <c r="R1966" s="5" t="n">
        <v>549.48</v>
      </c>
      <c r="S1966" s="2" t="n">
        <v>1</v>
      </c>
      <c r="T1966" s="3" t="inlineStr">
        <is>
          <t>6B/2025/2S</t>
        </is>
      </c>
      <c r="U1966" s="87" t="n">
        <v>45873</v>
      </c>
      <c r="V1966" s="3" t="inlineStr">
        <is>
          <t>19</t>
        </is>
      </c>
      <c r="W1966" s="87" t="n">
        <v>45873</v>
      </c>
      <c r="X1966" s="4" t="inlineStr">
        <is>
          <t xml:space="preserve">Bin Humaid National Trading Co </t>
        </is>
      </c>
    </row>
    <row r="1967" ht="24" customHeight="1">
      <c r="A1967" s="2">
        <f>+D1967-S1967</f>
        <v/>
      </c>
      <c r="B1967" s="80" t="n">
        <v>3585</v>
      </c>
      <c r="C1967" s="66" t="n">
        <v>45863</v>
      </c>
      <c r="D1967" s="2" t="n">
        <v>1</v>
      </c>
      <c r="E1967" s="3" t="inlineStr">
        <is>
          <t>CARABINA</t>
        </is>
      </c>
      <c r="F1967" s="3" t="inlineStr">
        <is>
          <t>223 REM</t>
        </is>
      </c>
      <c r="G1967" s="3" t="inlineStr">
        <is>
          <t>FRANCHI</t>
        </is>
      </c>
      <c r="H1967" s="65" t="inlineStr">
        <is>
          <t>HORIZON 22''</t>
        </is>
      </c>
      <c r="I1967" s="65" t="inlineStr">
        <is>
          <t>FB084799S</t>
        </is>
      </c>
      <c r="J1967" s="65" t="inlineStr">
        <is>
          <t>N/D</t>
        </is>
      </c>
      <c r="K1967" s="65" t="inlineStr">
        <is>
          <t>N/D</t>
        </is>
      </c>
      <c r="L1967" s="127" t="inlineStr">
        <is>
          <t>BENELLI ARMI SPA</t>
        </is>
      </c>
      <c r="M1967" s="5" t="n">
        <v>405</v>
      </c>
      <c r="N1967" s="5" t="n"/>
      <c r="O1967" s="5">
        <f>+M1967+N1967</f>
        <v/>
      </c>
      <c r="P1967" s="4" t="n">
        <v>45863</v>
      </c>
      <c r="Q1967" s="87" t="n">
        <v>45856</v>
      </c>
      <c r="R1967" s="5" t="n">
        <v>549.48</v>
      </c>
      <c r="S1967" s="2" t="n">
        <v>1</v>
      </c>
      <c r="T1967" s="3" t="inlineStr">
        <is>
          <t>6B/2025/2S</t>
        </is>
      </c>
      <c r="U1967" s="87" t="n">
        <v>45873</v>
      </c>
      <c r="V1967" s="3" t="inlineStr">
        <is>
          <t>19</t>
        </is>
      </c>
      <c r="W1967" s="87" t="n">
        <v>45873</v>
      </c>
      <c r="X1967" s="4" t="inlineStr">
        <is>
          <t xml:space="preserve">Bin Humaid National Trading Co </t>
        </is>
      </c>
    </row>
    <row r="1968" ht="24" customHeight="1">
      <c r="A1968" s="2">
        <f>+D1968-S1968</f>
        <v/>
      </c>
      <c r="B1968" s="80" t="n">
        <v>3586</v>
      </c>
      <c r="C1968" s="66" t="n">
        <v>45863</v>
      </c>
      <c r="D1968" s="2" t="n">
        <v>1</v>
      </c>
      <c r="E1968" s="3" t="inlineStr">
        <is>
          <t>CARABINA</t>
        </is>
      </c>
      <c r="F1968" s="3" t="inlineStr">
        <is>
          <t>223 REM</t>
        </is>
      </c>
      <c r="G1968" s="3" t="inlineStr">
        <is>
          <t>FRANCHI</t>
        </is>
      </c>
      <c r="H1968" s="65" t="inlineStr">
        <is>
          <t>HORIZON 22''</t>
        </is>
      </c>
      <c r="I1968" s="65" t="inlineStr">
        <is>
          <t>FB084800Q</t>
        </is>
      </c>
      <c r="J1968" s="65" t="inlineStr">
        <is>
          <t>N/D</t>
        </is>
      </c>
      <c r="K1968" s="65" t="inlineStr">
        <is>
          <t>N/D</t>
        </is>
      </c>
      <c r="L1968" s="127" t="inlineStr">
        <is>
          <t>BENELLI ARMI SPA</t>
        </is>
      </c>
      <c r="M1968" s="5" t="n">
        <v>405</v>
      </c>
      <c r="N1968" s="5" t="n"/>
      <c r="O1968" s="5">
        <f>+M1968+N1968</f>
        <v/>
      </c>
      <c r="P1968" s="4" t="n">
        <v>45863</v>
      </c>
      <c r="Q1968" s="87" t="n">
        <v>45856</v>
      </c>
      <c r="R1968" s="5" t="n">
        <v>549.48</v>
      </c>
      <c r="S1968" s="2" t="n">
        <v>1</v>
      </c>
      <c r="T1968" s="3" t="inlineStr">
        <is>
          <t>6B/2025/2S</t>
        </is>
      </c>
      <c r="U1968" s="87" t="n">
        <v>45873</v>
      </c>
      <c r="V1968" s="3" t="inlineStr">
        <is>
          <t>19</t>
        </is>
      </c>
      <c r="W1968" s="87" t="n">
        <v>45873</v>
      </c>
      <c r="X1968" s="4" t="inlineStr">
        <is>
          <t xml:space="preserve">Bin Humaid National Trading Co </t>
        </is>
      </c>
    </row>
    <row r="1969" ht="24" customHeight="1">
      <c r="A1969" s="2">
        <f>+D1969-S1969</f>
        <v/>
      </c>
      <c r="B1969" s="80" t="n">
        <v>3587</v>
      </c>
      <c r="C1969" s="66" t="n">
        <v>45863</v>
      </c>
      <c r="D1969" s="2" t="n">
        <v>1</v>
      </c>
      <c r="E1969" s="3" t="inlineStr">
        <is>
          <t>CARABINA</t>
        </is>
      </c>
      <c r="F1969" s="3" t="inlineStr">
        <is>
          <t>223 REM</t>
        </is>
      </c>
      <c r="G1969" s="3" t="inlineStr">
        <is>
          <t>FRANCHI</t>
        </is>
      </c>
      <c r="H1969" s="65" t="inlineStr">
        <is>
          <t>HORIZON 22''</t>
        </is>
      </c>
      <c r="I1969" s="65" t="inlineStr">
        <is>
          <t>FB084801S</t>
        </is>
      </c>
      <c r="J1969" s="65" t="inlineStr">
        <is>
          <t>N/D</t>
        </is>
      </c>
      <c r="K1969" s="65" t="inlineStr">
        <is>
          <t>N/D</t>
        </is>
      </c>
      <c r="L1969" s="127" t="inlineStr">
        <is>
          <t>BENELLI ARMI SPA</t>
        </is>
      </c>
      <c r="M1969" s="5" t="n">
        <v>405</v>
      </c>
      <c r="N1969" s="5" t="n"/>
      <c r="O1969" s="5">
        <f>+M1969+N1969</f>
        <v/>
      </c>
      <c r="P1969" s="4" t="n">
        <v>45863</v>
      </c>
      <c r="Q1969" s="87" t="n">
        <v>45856</v>
      </c>
      <c r="R1969" s="5" t="n">
        <v>549.48</v>
      </c>
      <c r="S1969" s="2" t="n">
        <v>1</v>
      </c>
      <c r="T1969" s="3" t="inlineStr">
        <is>
          <t>6B/2025/2S</t>
        </is>
      </c>
      <c r="U1969" s="87" t="n">
        <v>45873</v>
      </c>
      <c r="V1969" s="3" t="inlineStr">
        <is>
          <t>19</t>
        </is>
      </c>
      <c r="W1969" s="87" t="n">
        <v>45873</v>
      </c>
      <c r="X1969" s="4" t="inlineStr">
        <is>
          <t xml:space="preserve">Bin Humaid National Trading Co </t>
        </is>
      </c>
    </row>
    <row r="1970" ht="24" customHeight="1">
      <c r="A1970" s="2">
        <f>+D1970-S1970</f>
        <v/>
      </c>
      <c r="B1970" s="80" t="n">
        <v>3588</v>
      </c>
      <c r="C1970" s="66" t="n">
        <v>45863</v>
      </c>
      <c r="D1970" s="2" t="n">
        <v>1</v>
      </c>
      <c r="E1970" s="3" t="inlineStr">
        <is>
          <t>CARABINA</t>
        </is>
      </c>
      <c r="F1970" s="3" t="inlineStr">
        <is>
          <t>223 REM</t>
        </is>
      </c>
      <c r="G1970" s="3" t="inlineStr">
        <is>
          <t>FRANCHI</t>
        </is>
      </c>
      <c r="H1970" s="65" t="inlineStr">
        <is>
          <t>HORIZON 22''</t>
        </is>
      </c>
      <c r="I1970" s="65" t="inlineStr">
        <is>
          <t>FB084802U</t>
        </is>
      </c>
      <c r="J1970" s="65" t="inlineStr">
        <is>
          <t>N/D</t>
        </is>
      </c>
      <c r="K1970" s="65" t="inlineStr">
        <is>
          <t>N/D</t>
        </is>
      </c>
      <c r="L1970" s="127" t="inlineStr">
        <is>
          <t>BENELLI ARMI SPA</t>
        </is>
      </c>
      <c r="M1970" s="5" t="n">
        <v>405</v>
      </c>
      <c r="N1970" s="5" t="n"/>
      <c r="O1970" s="5">
        <f>+M1970+N1970</f>
        <v/>
      </c>
      <c r="P1970" s="4" t="n">
        <v>45863</v>
      </c>
      <c r="Q1970" s="87" t="n">
        <v>45856</v>
      </c>
      <c r="R1970" s="5" t="n">
        <v>549.48</v>
      </c>
      <c r="S1970" s="2" t="n">
        <v>1</v>
      </c>
      <c r="T1970" s="3" t="inlineStr">
        <is>
          <t>6B/2025/2S</t>
        </is>
      </c>
      <c r="U1970" s="87" t="n">
        <v>45873</v>
      </c>
      <c r="V1970" s="3" t="inlineStr">
        <is>
          <t>19</t>
        </is>
      </c>
      <c r="W1970" s="87" t="n">
        <v>45873</v>
      </c>
      <c r="X1970" s="4" t="inlineStr">
        <is>
          <t xml:space="preserve">Bin Humaid National Trading Co </t>
        </is>
      </c>
    </row>
    <row r="1971" ht="24" customHeight="1">
      <c r="A1971" s="2">
        <f>+D1971-S1971</f>
        <v/>
      </c>
      <c r="B1971" s="80" t="n">
        <v>3589</v>
      </c>
      <c r="C1971" s="66" t="n">
        <v>45863</v>
      </c>
      <c r="D1971" s="2" t="n">
        <v>1</v>
      </c>
      <c r="E1971" s="3" t="inlineStr">
        <is>
          <t>CARABINA</t>
        </is>
      </c>
      <c r="F1971" s="3" t="inlineStr">
        <is>
          <t>223 REM</t>
        </is>
      </c>
      <c r="G1971" s="3" t="inlineStr">
        <is>
          <t>FRANCHI</t>
        </is>
      </c>
      <c r="H1971" s="65" t="inlineStr">
        <is>
          <t>HORIZON 22''</t>
        </is>
      </c>
      <c r="I1971" s="65" t="inlineStr">
        <is>
          <t>FB084803W</t>
        </is>
      </c>
      <c r="J1971" s="65" t="inlineStr">
        <is>
          <t>N/D</t>
        </is>
      </c>
      <c r="K1971" s="65" t="inlineStr">
        <is>
          <t>N/D</t>
        </is>
      </c>
      <c r="L1971" s="127" t="inlineStr">
        <is>
          <t>BENELLI ARMI SPA</t>
        </is>
      </c>
      <c r="M1971" s="5" t="n">
        <v>405</v>
      </c>
      <c r="N1971" s="5" t="n"/>
      <c r="O1971" s="5">
        <f>+M1971+N1971</f>
        <v/>
      </c>
      <c r="P1971" s="4" t="n">
        <v>45863</v>
      </c>
      <c r="Q1971" s="87" t="n">
        <v>45856</v>
      </c>
      <c r="R1971" s="5" t="n">
        <v>549.48</v>
      </c>
      <c r="S1971" s="2" t="n">
        <v>1</v>
      </c>
      <c r="T1971" s="3" t="inlineStr">
        <is>
          <t>6B/2025/2S</t>
        </is>
      </c>
      <c r="U1971" s="87" t="n">
        <v>45873</v>
      </c>
      <c r="V1971" s="3" t="inlineStr">
        <is>
          <t>19</t>
        </is>
      </c>
      <c r="W1971" s="87" t="n">
        <v>45873</v>
      </c>
      <c r="X1971" s="4" t="inlineStr">
        <is>
          <t xml:space="preserve">Bin Humaid National Trading Co </t>
        </is>
      </c>
    </row>
    <row r="1972" ht="24" customHeight="1">
      <c r="A1972" s="2">
        <f>+D1972-S1972</f>
        <v/>
      </c>
      <c r="B1972" s="80" t="n">
        <v>3590</v>
      </c>
      <c r="C1972" s="66" t="n">
        <v>45863</v>
      </c>
      <c r="D1972" s="2" t="n">
        <v>1</v>
      </c>
      <c r="E1972" s="3" t="inlineStr">
        <is>
          <t>CARABINA</t>
        </is>
      </c>
      <c r="F1972" s="3" t="inlineStr">
        <is>
          <t>223 REM</t>
        </is>
      </c>
      <c r="G1972" s="3" t="inlineStr">
        <is>
          <t>FRANCHI</t>
        </is>
      </c>
      <c r="H1972" s="65" t="inlineStr">
        <is>
          <t>HORIZON 22''</t>
        </is>
      </c>
      <c r="I1972" s="65" t="inlineStr">
        <is>
          <t>FB084804Y</t>
        </is>
      </c>
      <c r="J1972" s="65" t="inlineStr">
        <is>
          <t>N/D</t>
        </is>
      </c>
      <c r="K1972" s="65" t="inlineStr">
        <is>
          <t>N/D</t>
        </is>
      </c>
      <c r="L1972" s="127" t="inlineStr">
        <is>
          <t>BENELLI ARMI SPA</t>
        </is>
      </c>
      <c r="M1972" s="5" t="n">
        <v>405</v>
      </c>
      <c r="N1972" s="5" t="n"/>
      <c r="O1972" s="5">
        <f>+M1972+N1972</f>
        <v/>
      </c>
      <c r="P1972" s="4" t="n">
        <v>45863</v>
      </c>
      <c r="Q1972" s="87" t="n">
        <v>45856</v>
      </c>
      <c r="R1972" s="5" t="n">
        <v>549.48</v>
      </c>
      <c r="S1972" s="2" t="n">
        <v>1</v>
      </c>
      <c r="T1972" s="3" t="inlineStr">
        <is>
          <t>6B/2025/2S</t>
        </is>
      </c>
      <c r="U1972" s="87" t="n">
        <v>45873</v>
      </c>
      <c r="V1972" s="3" t="inlineStr">
        <is>
          <t>19</t>
        </is>
      </c>
      <c r="W1972" s="87" t="n">
        <v>45873</v>
      </c>
      <c r="X1972" s="4" t="inlineStr">
        <is>
          <t xml:space="preserve">Bin Humaid National Trading Co </t>
        </is>
      </c>
    </row>
    <row r="1973" ht="24" customHeight="1">
      <c r="A1973" s="2">
        <f>+D1973-S1973</f>
        <v/>
      </c>
      <c r="B1973" s="80" t="n">
        <v>3591</v>
      </c>
      <c r="C1973" s="66" t="n">
        <v>45863</v>
      </c>
      <c r="D1973" s="2" t="n">
        <v>1</v>
      </c>
      <c r="E1973" s="3" t="inlineStr">
        <is>
          <t>CARABINA</t>
        </is>
      </c>
      <c r="F1973" s="3" t="inlineStr">
        <is>
          <t>223 REM</t>
        </is>
      </c>
      <c r="G1973" s="3" t="inlineStr">
        <is>
          <t>FRANCHI</t>
        </is>
      </c>
      <c r="H1973" s="65" t="inlineStr">
        <is>
          <t>HORIZON 22''</t>
        </is>
      </c>
      <c r="I1973" s="65" t="inlineStr">
        <is>
          <t>FB084805B</t>
        </is>
      </c>
      <c r="J1973" s="65" t="inlineStr">
        <is>
          <t>N/D</t>
        </is>
      </c>
      <c r="K1973" s="65" t="inlineStr">
        <is>
          <t>N/D</t>
        </is>
      </c>
      <c r="L1973" s="127" t="inlineStr">
        <is>
          <t>BENELLI ARMI SPA</t>
        </is>
      </c>
      <c r="M1973" s="5" t="n">
        <v>405</v>
      </c>
      <c r="N1973" s="5" t="n"/>
      <c r="O1973" s="5">
        <f>+M1973+N1973</f>
        <v/>
      </c>
      <c r="P1973" s="4" t="n">
        <v>45863</v>
      </c>
      <c r="Q1973" s="87" t="n">
        <v>45856</v>
      </c>
      <c r="R1973" s="5" t="n">
        <v>549.48</v>
      </c>
      <c r="S1973" s="2" t="n">
        <v>1</v>
      </c>
      <c r="T1973" s="3" t="inlineStr">
        <is>
          <t>6B/2025/2S</t>
        </is>
      </c>
      <c r="U1973" s="87" t="n">
        <v>45873</v>
      </c>
      <c r="V1973" s="3" t="inlineStr">
        <is>
          <t>19</t>
        </is>
      </c>
      <c r="W1973" s="87" t="n">
        <v>45873</v>
      </c>
      <c r="X1973" s="4" t="inlineStr">
        <is>
          <t xml:space="preserve">Bin Humaid National Trading Co </t>
        </is>
      </c>
    </row>
    <row r="1974" ht="24" customHeight="1">
      <c r="A1974" s="2">
        <f>+D1974-S1974</f>
        <v/>
      </c>
      <c r="B1974" s="80" t="n">
        <v>3592</v>
      </c>
      <c r="C1974" s="66" t="n">
        <v>45863</v>
      </c>
      <c r="D1974" s="2" t="n">
        <v>1</v>
      </c>
      <c r="E1974" s="3" t="inlineStr">
        <is>
          <t>CARABINA</t>
        </is>
      </c>
      <c r="F1974" s="3" t="inlineStr">
        <is>
          <t>223 REM</t>
        </is>
      </c>
      <c r="G1974" s="3" t="inlineStr">
        <is>
          <t>FRANCHI</t>
        </is>
      </c>
      <c r="H1974" s="65" t="inlineStr">
        <is>
          <t>HORIZON 22''</t>
        </is>
      </c>
      <c r="I1974" s="65" t="inlineStr">
        <is>
          <t>FB084806D</t>
        </is>
      </c>
      <c r="J1974" s="65" t="inlineStr">
        <is>
          <t>N/D</t>
        </is>
      </c>
      <c r="K1974" s="65" t="inlineStr">
        <is>
          <t>N/D</t>
        </is>
      </c>
      <c r="L1974" s="127" t="inlineStr">
        <is>
          <t>BENELLI ARMI SPA</t>
        </is>
      </c>
      <c r="M1974" s="5" t="n">
        <v>405</v>
      </c>
      <c r="N1974" s="5" t="n"/>
      <c r="O1974" s="5">
        <f>+M1974+N1974</f>
        <v/>
      </c>
      <c r="P1974" s="4" t="n">
        <v>45863</v>
      </c>
      <c r="Q1974" s="87" t="n">
        <v>45856</v>
      </c>
      <c r="R1974" s="5" t="n">
        <v>549.48</v>
      </c>
      <c r="S1974" s="2" t="n">
        <v>1</v>
      </c>
      <c r="T1974" s="3" t="inlineStr">
        <is>
          <t>6B/2025/2S</t>
        </is>
      </c>
      <c r="U1974" s="87" t="n">
        <v>45873</v>
      </c>
      <c r="V1974" s="3" t="inlineStr">
        <is>
          <t>19</t>
        </is>
      </c>
      <c r="W1974" s="87" t="n">
        <v>45873</v>
      </c>
      <c r="X1974" s="4" t="inlineStr">
        <is>
          <t xml:space="preserve">Bin Humaid National Trading Co </t>
        </is>
      </c>
    </row>
    <row r="1975" ht="24" customHeight="1">
      <c r="A1975" s="2">
        <f>+D1975-S1975</f>
        <v/>
      </c>
      <c r="B1975" s="80" t="n">
        <v>3593</v>
      </c>
      <c r="C1975" s="66" t="n">
        <v>45863</v>
      </c>
      <c r="D1975" s="2" t="n">
        <v>1</v>
      </c>
      <c r="E1975" s="3" t="inlineStr">
        <is>
          <t>CARABINA</t>
        </is>
      </c>
      <c r="F1975" s="3" t="inlineStr">
        <is>
          <t>223 REM</t>
        </is>
      </c>
      <c r="G1975" s="3" t="inlineStr">
        <is>
          <t>FRANCHI</t>
        </is>
      </c>
      <c r="H1975" s="65" t="inlineStr">
        <is>
          <t>HORIZON 22''</t>
        </is>
      </c>
      <c r="I1975" s="65" t="inlineStr">
        <is>
          <t>FB084807F</t>
        </is>
      </c>
      <c r="J1975" s="65" t="inlineStr">
        <is>
          <t>N/D</t>
        </is>
      </c>
      <c r="K1975" s="65" t="inlineStr">
        <is>
          <t>N/D</t>
        </is>
      </c>
      <c r="L1975" s="127" t="inlineStr">
        <is>
          <t>BENELLI ARMI SPA</t>
        </is>
      </c>
      <c r="M1975" s="5" t="n">
        <v>405</v>
      </c>
      <c r="N1975" s="5" t="n"/>
      <c r="O1975" s="5">
        <f>+M1975+N1975</f>
        <v/>
      </c>
      <c r="P1975" s="4" t="n">
        <v>45863</v>
      </c>
      <c r="Q1975" s="87" t="n">
        <v>45856</v>
      </c>
      <c r="R1975" s="5" t="n">
        <v>549.48</v>
      </c>
      <c r="S1975" s="2" t="n">
        <v>1</v>
      </c>
      <c r="T1975" s="3" t="inlineStr">
        <is>
          <t>6B/2025/2S</t>
        </is>
      </c>
      <c r="U1975" s="87" t="n">
        <v>45873</v>
      </c>
      <c r="V1975" s="3" t="inlineStr">
        <is>
          <t>19</t>
        </is>
      </c>
      <c r="W1975" s="87" t="n">
        <v>45873</v>
      </c>
      <c r="X1975" s="4" t="inlineStr">
        <is>
          <t xml:space="preserve">Bin Humaid National Trading Co </t>
        </is>
      </c>
    </row>
    <row r="1976" ht="24" customHeight="1">
      <c r="A1976" s="2">
        <f>+D1976-S1976</f>
        <v/>
      </c>
      <c r="B1976" s="80" t="n">
        <v>3594</v>
      </c>
      <c r="C1976" s="66" t="n">
        <v>45863</v>
      </c>
      <c r="D1976" s="2" t="n">
        <v>1</v>
      </c>
      <c r="E1976" s="3" t="inlineStr">
        <is>
          <t>CARABINA</t>
        </is>
      </c>
      <c r="F1976" s="3" t="inlineStr">
        <is>
          <t>223 REM</t>
        </is>
      </c>
      <c r="G1976" s="3" t="inlineStr">
        <is>
          <t>FRANCHI</t>
        </is>
      </c>
      <c r="H1976" s="65" t="inlineStr">
        <is>
          <t>HORIZON 22''</t>
        </is>
      </c>
      <c r="I1976" s="65" t="inlineStr">
        <is>
          <t>FB084808H</t>
        </is>
      </c>
      <c r="J1976" s="65" t="inlineStr">
        <is>
          <t>N/D</t>
        </is>
      </c>
      <c r="K1976" s="65" t="inlineStr">
        <is>
          <t>N/D</t>
        </is>
      </c>
      <c r="L1976" s="127" t="inlineStr">
        <is>
          <t>BENELLI ARMI SPA</t>
        </is>
      </c>
      <c r="M1976" s="5" t="n">
        <v>405</v>
      </c>
      <c r="N1976" s="5" t="n"/>
      <c r="O1976" s="5">
        <f>+M1976+N1976</f>
        <v/>
      </c>
      <c r="P1976" s="4" t="n">
        <v>45863</v>
      </c>
      <c r="Q1976" s="87" t="n">
        <v>45856</v>
      </c>
      <c r="R1976" s="5" t="n">
        <v>549.48</v>
      </c>
      <c r="S1976" s="2" t="n">
        <v>1</v>
      </c>
      <c r="T1976" s="3" t="inlineStr">
        <is>
          <t>6B/2025/2S</t>
        </is>
      </c>
      <c r="U1976" s="87" t="n">
        <v>45873</v>
      </c>
      <c r="V1976" s="3" t="inlineStr">
        <is>
          <t>19</t>
        </is>
      </c>
      <c r="W1976" s="87" t="n">
        <v>45873</v>
      </c>
      <c r="X1976" s="4" t="inlineStr">
        <is>
          <t xml:space="preserve">Bin Humaid National Trading Co </t>
        </is>
      </c>
    </row>
    <row r="1977" ht="24" customHeight="1">
      <c r="A1977" s="2">
        <f>+D1977-S1977</f>
        <v/>
      </c>
      <c r="B1977" s="80" t="n">
        <v>3595</v>
      </c>
      <c r="C1977" s="66" t="n">
        <v>45863</v>
      </c>
      <c r="D1977" s="2" t="n">
        <v>1</v>
      </c>
      <c r="E1977" s="3" t="inlineStr">
        <is>
          <t>CARABINA</t>
        </is>
      </c>
      <c r="F1977" s="3" t="inlineStr">
        <is>
          <t>223 REM</t>
        </is>
      </c>
      <c r="G1977" s="3" t="inlineStr">
        <is>
          <t>FRANCHI</t>
        </is>
      </c>
      <c r="H1977" s="65" t="inlineStr">
        <is>
          <t>HORIZON 22''</t>
        </is>
      </c>
      <c r="I1977" s="65" t="inlineStr">
        <is>
          <t>FB084809K</t>
        </is>
      </c>
      <c r="J1977" s="65" t="inlineStr">
        <is>
          <t>N/D</t>
        </is>
      </c>
      <c r="K1977" s="65" t="inlineStr">
        <is>
          <t>N/D</t>
        </is>
      </c>
      <c r="L1977" s="127" t="inlineStr">
        <is>
          <t>BENELLI ARMI SPA</t>
        </is>
      </c>
      <c r="M1977" s="5" t="n">
        <v>405</v>
      </c>
      <c r="N1977" s="5" t="n"/>
      <c r="O1977" s="5">
        <f>+M1977+N1977</f>
        <v/>
      </c>
      <c r="P1977" s="4" t="n">
        <v>45863</v>
      </c>
      <c r="Q1977" s="87" t="n">
        <v>45856</v>
      </c>
      <c r="R1977" s="5" t="n">
        <v>549.48</v>
      </c>
      <c r="S1977" s="2" t="n">
        <v>1</v>
      </c>
      <c r="T1977" s="3" t="inlineStr">
        <is>
          <t>6B/2025/2S</t>
        </is>
      </c>
      <c r="U1977" s="87" t="n">
        <v>45873</v>
      </c>
      <c r="V1977" s="3" t="inlineStr">
        <is>
          <t>19</t>
        </is>
      </c>
      <c r="W1977" s="87" t="n">
        <v>45873</v>
      </c>
      <c r="X1977" s="4" t="inlineStr">
        <is>
          <t xml:space="preserve">Bin Humaid National Trading Co </t>
        </is>
      </c>
    </row>
    <row r="1978" ht="24" customHeight="1">
      <c r="A1978" s="2">
        <f>+D1978-S1978</f>
        <v/>
      </c>
      <c r="B1978" s="80" t="n">
        <v>3596</v>
      </c>
      <c r="C1978" s="66" t="n">
        <v>45863</v>
      </c>
      <c r="D1978" s="2" t="n">
        <v>1</v>
      </c>
      <c r="E1978" s="3" t="inlineStr">
        <is>
          <t>CARABINA</t>
        </is>
      </c>
      <c r="F1978" s="3" t="inlineStr">
        <is>
          <t>223 REM</t>
        </is>
      </c>
      <c r="G1978" s="3" t="inlineStr">
        <is>
          <t>FRANCHI</t>
        </is>
      </c>
      <c r="H1978" s="65" t="inlineStr">
        <is>
          <t>HORIZON 22''</t>
        </is>
      </c>
      <c r="I1978" s="65" t="inlineStr">
        <is>
          <t>FB084810R</t>
        </is>
      </c>
      <c r="J1978" s="65" t="inlineStr">
        <is>
          <t>N/D</t>
        </is>
      </c>
      <c r="K1978" s="65" t="inlineStr">
        <is>
          <t>N/D</t>
        </is>
      </c>
      <c r="L1978" s="127" t="inlineStr">
        <is>
          <t>BENELLI ARMI SPA</t>
        </is>
      </c>
      <c r="M1978" s="5" t="n">
        <v>405</v>
      </c>
      <c r="N1978" s="5" t="n"/>
      <c r="O1978" s="5">
        <f>+M1978+N1978</f>
        <v/>
      </c>
      <c r="P1978" s="4" t="n">
        <v>45863</v>
      </c>
      <c r="Q1978" s="87" t="n">
        <v>45856</v>
      </c>
      <c r="R1978" s="5" t="n">
        <v>549.48</v>
      </c>
      <c r="S1978" s="2" t="n">
        <v>1</v>
      </c>
      <c r="T1978" s="3" t="inlineStr">
        <is>
          <t>6B/2025/2S</t>
        </is>
      </c>
      <c r="U1978" s="87" t="n">
        <v>45873</v>
      </c>
      <c r="V1978" s="3" t="inlineStr">
        <is>
          <t>19</t>
        </is>
      </c>
      <c r="W1978" s="87" t="n">
        <v>45873</v>
      </c>
      <c r="X1978" s="4" t="inlineStr">
        <is>
          <t xml:space="preserve">Bin Humaid National Trading Co </t>
        </is>
      </c>
    </row>
    <row r="1979" ht="24" customHeight="1">
      <c r="A1979" s="2">
        <f>+D1979-S1979</f>
        <v/>
      </c>
      <c r="B1979" s="80" t="n">
        <v>3597</v>
      </c>
      <c r="C1979" s="66" t="n">
        <v>45863</v>
      </c>
      <c r="D1979" s="2" t="n">
        <v>1</v>
      </c>
      <c r="E1979" s="3" t="inlineStr">
        <is>
          <t>CARABINA</t>
        </is>
      </c>
      <c r="F1979" s="3" t="inlineStr">
        <is>
          <t>223 REM</t>
        </is>
      </c>
      <c r="G1979" s="3" t="inlineStr">
        <is>
          <t>FRANCHI</t>
        </is>
      </c>
      <c r="H1979" s="65" t="inlineStr">
        <is>
          <t>HORIZON 22''</t>
        </is>
      </c>
      <c r="I1979" s="65" t="inlineStr">
        <is>
          <t>FB084811T</t>
        </is>
      </c>
      <c r="J1979" s="65" t="inlineStr">
        <is>
          <t>N/D</t>
        </is>
      </c>
      <c r="K1979" s="65" t="inlineStr">
        <is>
          <t>N/D</t>
        </is>
      </c>
      <c r="L1979" s="127" t="inlineStr">
        <is>
          <t>BENELLI ARMI SPA</t>
        </is>
      </c>
      <c r="M1979" s="5" t="n">
        <v>405</v>
      </c>
      <c r="N1979" s="5" t="n"/>
      <c r="O1979" s="5">
        <f>+M1979+N1979</f>
        <v/>
      </c>
      <c r="P1979" s="4" t="n">
        <v>45863</v>
      </c>
      <c r="Q1979" s="87" t="n">
        <v>45856</v>
      </c>
      <c r="R1979" s="5" t="n">
        <v>549.48</v>
      </c>
      <c r="S1979" s="2" t="n">
        <v>1</v>
      </c>
      <c r="T1979" s="3" t="inlineStr">
        <is>
          <t>6B/2025/2S</t>
        </is>
      </c>
      <c r="U1979" s="87" t="n">
        <v>45873</v>
      </c>
      <c r="V1979" s="3" t="inlineStr">
        <is>
          <t>19</t>
        </is>
      </c>
      <c r="W1979" s="87" t="n">
        <v>45873</v>
      </c>
      <c r="X1979" s="4" t="inlineStr">
        <is>
          <t xml:space="preserve">Bin Humaid National Trading Co </t>
        </is>
      </c>
    </row>
    <row r="1980" ht="24" customHeight="1">
      <c r="A1980" s="2">
        <f>+D1980-S1980</f>
        <v/>
      </c>
      <c r="B1980" s="80" t="n">
        <v>3598</v>
      </c>
      <c r="C1980" s="66" t="n">
        <v>45863</v>
      </c>
      <c r="D1980" s="2" t="n">
        <v>1</v>
      </c>
      <c r="E1980" s="3" t="inlineStr">
        <is>
          <t>CARABINA</t>
        </is>
      </c>
      <c r="F1980" s="3" t="inlineStr">
        <is>
          <t>223 REM</t>
        </is>
      </c>
      <c r="G1980" s="3" t="inlineStr">
        <is>
          <t>FRANCHI</t>
        </is>
      </c>
      <c r="H1980" s="65" t="inlineStr">
        <is>
          <t>HORIZON 22''</t>
        </is>
      </c>
      <c r="I1980" s="65" t="inlineStr">
        <is>
          <t>FB084812V</t>
        </is>
      </c>
      <c r="J1980" s="65" t="inlineStr">
        <is>
          <t>N/D</t>
        </is>
      </c>
      <c r="K1980" s="65" t="inlineStr">
        <is>
          <t>N/D</t>
        </is>
      </c>
      <c r="L1980" s="127" t="inlineStr">
        <is>
          <t>BENELLI ARMI SPA</t>
        </is>
      </c>
      <c r="M1980" s="5" t="n">
        <v>405</v>
      </c>
      <c r="N1980" s="5" t="n"/>
      <c r="O1980" s="5">
        <f>+M1980+N1980</f>
        <v/>
      </c>
      <c r="P1980" s="4" t="n">
        <v>45863</v>
      </c>
      <c r="Q1980" s="87" t="n">
        <v>45856</v>
      </c>
      <c r="R1980" s="5" t="n">
        <v>549.48</v>
      </c>
      <c r="S1980" s="2" t="n">
        <v>1</v>
      </c>
      <c r="T1980" s="3" t="inlineStr">
        <is>
          <t>6B/2025/2S</t>
        </is>
      </c>
      <c r="U1980" s="87" t="n">
        <v>45873</v>
      </c>
      <c r="V1980" s="3" t="inlineStr">
        <is>
          <t>19</t>
        </is>
      </c>
      <c r="W1980" s="87" t="n">
        <v>45873</v>
      </c>
      <c r="X1980" s="4" t="inlineStr">
        <is>
          <t xml:space="preserve">Bin Humaid National Trading Co </t>
        </is>
      </c>
    </row>
    <row r="1981" ht="24" customHeight="1">
      <c r="A1981" s="2">
        <f>+D1981-S1981</f>
        <v/>
      </c>
      <c r="B1981" s="80" t="n">
        <v>3599</v>
      </c>
      <c r="C1981" s="66" t="n">
        <v>45863</v>
      </c>
      <c r="D1981" s="2" t="n">
        <v>1</v>
      </c>
      <c r="E1981" s="3" t="inlineStr">
        <is>
          <t>CARABINA</t>
        </is>
      </c>
      <c r="F1981" s="3" t="inlineStr">
        <is>
          <t>223 REM</t>
        </is>
      </c>
      <c r="G1981" s="3" t="inlineStr">
        <is>
          <t>FRANCHI</t>
        </is>
      </c>
      <c r="H1981" s="65" t="inlineStr">
        <is>
          <t>HORIZON 22''</t>
        </is>
      </c>
      <c r="I1981" s="65" t="inlineStr">
        <is>
          <t>FB084813X</t>
        </is>
      </c>
      <c r="J1981" s="65" t="inlineStr">
        <is>
          <t>N/D</t>
        </is>
      </c>
      <c r="K1981" s="65" t="inlineStr">
        <is>
          <t>N/D</t>
        </is>
      </c>
      <c r="L1981" s="127" t="inlineStr">
        <is>
          <t>BENELLI ARMI SPA</t>
        </is>
      </c>
      <c r="M1981" s="5" t="n">
        <v>405</v>
      </c>
      <c r="N1981" s="5" t="n"/>
      <c r="O1981" s="5">
        <f>+M1981+N1981</f>
        <v/>
      </c>
      <c r="P1981" s="4" t="n">
        <v>45863</v>
      </c>
      <c r="Q1981" s="87" t="n">
        <v>45856</v>
      </c>
      <c r="R1981" s="5" t="n">
        <v>549.48</v>
      </c>
      <c r="S1981" s="2" t="n">
        <v>1</v>
      </c>
      <c r="T1981" s="3" t="inlineStr">
        <is>
          <t>6B/2025/2S</t>
        </is>
      </c>
      <c r="U1981" s="87" t="n">
        <v>45873</v>
      </c>
      <c r="V1981" s="3" t="inlineStr">
        <is>
          <t>19</t>
        </is>
      </c>
      <c r="W1981" s="87" t="n">
        <v>45873</v>
      </c>
      <c r="X1981" s="4" t="inlineStr">
        <is>
          <t xml:space="preserve">Bin Humaid National Trading Co </t>
        </is>
      </c>
    </row>
    <row r="1982" ht="24" customHeight="1">
      <c r="A1982" s="2">
        <f>+D1982-S1982</f>
        <v/>
      </c>
      <c r="B1982" s="80" t="n">
        <v>3600</v>
      </c>
      <c r="C1982" s="66" t="n">
        <v>45863</v>
      </c>
      <c r="D1982" s="2" t="n">
        <v>1</v>
      </c>
      <c r="E1982" s="3" t="inlineStr">
        <is>
          <t>CARABINA</t>
        </is>
      </c>
      <c r="F1982" s="3" t="inlineStr">
        <is>
          <t>223 REM</t>
        </is>
      </c>
      <c r="G1982" s="3" t="inlineStr">
        <is>
          <t>FRANCHI</t>
        </is>
      </c>
      <c r="H1982" s="65" t="inlineStr">
        <is>
          <t>HORIZON 22''</t>
        </is>
      </c>
      <c r="I1982" s="65" t="inlineStr">
        <is>
          <t>FB084814Z</t>
        </is>
      </c>
      <c r="J1982" s="65" t="inlineStr">
        <is>
          <t>N/D</t>
        </is>
      </c>
      <c r="K1982" s="65" t="inlineStr">
        <is>
          <t>N/D</t>
        </is>
      </c>
      <c r="L1982" s="127" t="inlineStr">
        <is>
          <t>BENELLI ARMI SPA</t>
        </is>
      </c>
      <c r="M1982" s="5" t="n">
        <v>405</v>
      </c>
      <c r="N1982" s="5" t="n"/>
      <c r="O1982" s="5">
        <f>+M1982+N1982</f>
        <v/>
      </c>
      <c r="P1982" s="4" t="n">
        <v>45863</v>
      </c>
      <c r="Q1982" s="87" t="n">
        <v>45856</v>
      </c>
      <c r="R1982" s="5" t="n">
        <v>549.48</v>
      </c>
      <c r="S1982" s="2" t="n">
        <v>1</v>
      </c>
      <c r="T1982" s="3" t="inlineStr">
        <is>
          <t>6B/2025/2S</t>
        </is>
      </c>
      <c r="U1982" s="87" t="n">
        <v>45873</v>
      </c>
      <c r="V1982" s="3" t="inlineStr">
        <is>
          <t>19</t>
        </is>
      </c>
      <c r="W1982" s="87" t="n">
        <v>45873</v>
      </c>
      <c r="X1982" s="4" t="inlineStr">
        <is>
          <t xml:space="preserve">Bin Humaid National Trading Co </t>
        </is>
      </c>
    </row>
    <row r="1983" ht="24" customHeight="1">
      <c r="A1983" s="2">
        <f>+D1983-S1983</f>
        <v/>
      </c>
      <c r="B1983" s="80" t="n">
        <v>3601</v>
      </c>
      <c r="C1983" s="66" t="n">
        <v>45863</v>
      </c>
      <c r="D1983" s="2" t="n">
        <v>1</v>
      </c>
      <c r="E1983" s="3" t="inlineStr">
        <is>
          <t>CARABINA</t>
        </is>
      </c>
      <c r="F1983" s="3" t="inlineStr">
        <is>
          <t>223 REM</t>
        </is>
      </c>
      <c r="G1983" s="3" t="inlineStr">
        <is>
          <t>FRANCHI</t>
        </is>
      </c>
      <c r="H1983" s="65" t="inlineStr">
        <is>
          <t>HORIZON 22''</t>
        </is>
      </c>
      <c r="I1983" s="65" t="inlineStr">
        <is>
          <t>FB084817G</t>
        </is>
      </c>
      <c r="J1983" s="65" t="inlineStr">
        <is>
          <t>N/D</t>
        </is>
      </c>
      <c r="K1983" s="65" t="inlineStr">
        <is>
          <t>N/D</t>
        </is>
      </c>
      <c r="L1983" s="127" t="inlineStr">
        <is>
          <t>BENELLI ARMI SPA</t>
        </is>
      </c>
      <c r="M1983" s="5" t="n">
        <v>405</v>
      </c>
      <c r="N1983" s="5" t="n"/>
      <c r="O1983" s="5">
        <f>+M1983+N1983</f>
        <v/>
      </c>
      <c r="P1983" s="4" t="n">
        <v>45863</v>
      </c>
      <c r="Q1983" s="87" t="n">
        <v>45856</v>
      </c>
      <c r="R1983" s="5" t="n">
        <v>549.48</v>
      </c>
      <c r="S1983" s="2" t="n">
        <v>1</v>
      </c>
      <c r="T1983" s="3" t="inlineStr">
        <is>
          <t>6B/2025/2S</t>
        </is>
      </c>
      <c r="U1983" s="87" t="n">
        <v>45873</v>
      </c>
      <c r="V1983" s="3" t="inlineStr">
        <is>
          <t>19</t>
        </is>
      </c>
      <c r="W1983" s="87" t="n">
        <v>45873</v>
      </c>
      <c r="X1983" s="4" t="inlineStr">
        <is>
          <t xml:space="preserve">Bin Humaid National Trading Co </t>
        </is>
      </c>
    </row>
    <row r="1984" ht="24" customHeight="1">
      <c r="A1984" s="2">
        <f>+D1984-S1984</f>
        <v/>
      </c>
      <c r="B1984" s="80" t="n">
        <v>3602</v>
      </c>
      <c r="C1984" s="66" t="n">
        <v>45863</v>
      </c>
      <c r="D1984" s="2" t="n">
        <v>1</v>
      </c>
      <c r="E1984" s="3" t="inlineStr">
        <is>
          <t>CARABINA</t>
        </is>
      </c>
      <c r="F1984" s="3" t="inlineStr">
        <is>
          <t>223 REM</t>
        </is>
      </c>
      <c r="G1984" s="3" t="inlineStr">
        <is>
          <t>FRANCHI</t>
        </is>
      </c>
      <c r="H1984" s="65" t="inlineStr">
        <is>
          <t>HORIZON 22''</t>
        </is>
      </c>
      <c r="I1984" s="65" t="inlineStr">
        <is>
          <t>FB084818J</t>
        </is>
      </c>
      <c r="J1984" s="65" t="inlineStr">
        <is>
          <t>N/D</t>
        </is>
      </c>
      <c r="K1984" s="65" t="inlineStr">
        <is>
          <t>N/D</t>
        </is>
      </c>
      <c r="L1984" s="127" t="inlineStr">
        <is>
          <t>BENELLI ARMI SPA</t>
        </is>
      </c>
      <c r="M1984" s="5" t="n">
        <v>405</v>
      </c>
      <c r="N1984" s="5" t="n"/>
      <c r="O1984" s="5">
        <f>+M1984+N1984</f>
        <v/>
      </c>
      <c r="P1984" s="4" t="n">
        <v>45863</v>
      </c>
      <c r="Q1984" s="87" t="n">
        <v>45856</v>
      </c>
      <c r="R1984" s="5" t="n">
        <v>549.48</v>
      </c>
      <c r="S1984" s="2" t="n">
        <v>1</v>
      </c>
      <c r="T1984" s="3" t="inlineStr">
        <is>
          <t>6B/2025/2S</t>
        </is>
      </c>
      <c r="U1984" s="87" t="n">
        <v>45873</v>
      </c>
      <c r="V1984" s="3" t="inlineStr">
        <is>
          <t>19</t>
        </is>
      </c>
      <c r="W1984" s="87" t="n">
        <v>45873</v>
      </c>
      <c r="X1984" s="4" t="inlineStr">
        <is>
          <t xml:space="preserve">Bin Humaid National Trading Co </t>
        </is>
      </c>
    </row>
    <row r="1985" ht="24" customHeight="1">
      <c r="A1985" s="2">
        <f>+D1985-S1985</f>
        <v/>
      </c>
      <c r="B1985" s="80" t="n">
        <v>3603</v>
      </c>
      <c r="C1985" s="66" t="n">
        <v>45863</v>
      </c>
      <c r="D1985" s="2" t="n">
        <v>1</v>
      </c>
      <c r="E1985" s="3" t="inlineStr">
        <is>
          <t>CARABINA</t>
        </is>
      </c>
      <c r="F1985" s="3" t="inlineStr">
        <is>
          <t>223 REM</t>
        </is>
      </c>
      <c r="G1985" s="3" t="inlineStr">
        <is>
          <t>FRANCHI</t>
        </is>
      </c>
      <c r="H1985" s="65" t="inlineStr">
        <is>
          <t>HORIZON 22''</t>
        </is>
      </c>
      <c r="I1985" s="65" t="inlineStr">
        <is>
          <t>FB084820S</t>
        </is>
      </c>
      <c r="J1985" s="65" t="inlineStr">
        <is>
          <t>N/D</t>
        </is>
      </c>
      <c r="K1985" s="65" t="inlineStr">
        <is>
          <t>N/D</t>
        </is>
      </c>
      <c r="L1985" s="127" t="inlineStr">
        <is>
          <t>BENELLI ARMI SPA</t>
        </is>
      </c>
      <c r="M1985" s="5" t="n">
        <v>405</v>
      </c>
      <c r="N1985" s="5" t="n"/>
      <c r="O1985" s="5">
        <f>+M1985+N1985</f>
        <v/>
      </c>
      <c r="P1985" s="4" t="n">
        <v>45863</v>
      </c>
      <c r="Q1985" s="87" t="n">
        <v>45856</v>
      </c>
      <c r="R1985" s="5" t="n">
        <v>549.48</v>
      </c>
      <c r="S1985" s="2" t="n">
        <v>1</v>
      </c>
      <c r="T1985" s="3" t="inlineStr">
        <is>
          <t>6B/2025/2S</t>
        </is>
      </c>
      <c r="U1985" s="87" t="n">
        <v>45873</v>
      </c>
      <c r="V1985" s="3" t="inlineStr">
        <is>
          <t>19</t>
        </is>
      </c>
      <c r="W1985" s="87" t="n">
        <v>45873</v>
      </c>
      <c r="X1985" s="4" t="inlineStr">
        <is>
          <t xml:space="preserve">Bin Humaid National Trading Co </t>
        </is>
      </c>
    </row>
    <row r="1986" ht="24" customHeight="1">
      <c r="A1986" s="2">
        <f>+D1986-S1986</f>
        <v/>
      </c>
      <c r="B1986" s="80" t="n">
        <v>3604</v>
      </c>
      <c r="C1986" s="66" t="n">
        <v>45863</v>
      </c>
      <c r="D1986" s="2" t="n">
        <v>1</v>
      </c>
      <c r="E1986" s="3" t="inlineStr">
        <is>
          <t>CARABINA</t>
        </is>
      </c>
      <c r="F1986" s="3" t="inlineStr">
        <is>
          <t>223 REM</t>
        </is>
      </c>
      <c r="G1986" s="3" t="inlineStr">
        <is>
          <t>FRANCHI</t>
        </is>
      </c>
      <c r="H1986" s="65" t="inlineStr">
        <is>
          <t>HORIZON 22''</t>
        </is>
      </c>
      <c r="I1986" s="65" t="inlineStr">
        <is>
          <t>FB084821U</t>
        </is>
      </c>
      <c r="J1986" s="65" t="inlineStr">
        <is>
          <t>N/D</t>
        </is>
      </c>
      <c r="K1986" s="65" t="inlineStr">
        <is>
          <t>N/D</t>
        </is>
      </c>
      <c r="L1986" s="127" t="inlineStr">
        <is>
          <t>BENELLI ARMI SPA</t>
        </is>
      </c>
      <c r="M1986" s="5" t="n">
        <v>405</v>
      </c>
      <c r="N1986" s="5" t="n"/>
      <c r="O1986" s="5">
        <f>+M1986+N1986</f>
        <v/>
      </c>
      <c r="P1986" s="4" t="n">
        <v>45863</v>
      </c>
      <c r="Q1986" s="87" t="n">
        <v>45856</v>
      </c>
      <c r="R1986" s="5" t="n">
        <v>549.48</v>
      </c>
      <c r="S1986" s="2" t="n">
        <v>1</v>
      </c>
      <c r="T1986" s="3" t="inlineStr">
        <is>
          <t>6B/2025/2S</t>
        </is>
      </c>
      <c r="U1986" s="87" t="n">
        <v>45873</v>
      </c>
      <c r="V1986" s="3" t="inlineStr">
        <is>
          <t>19</t>
        </is>
      </c>
      <c r="W1986" s="87" t="n">
        <v>45873</v>
      </c>
      <c r="X1986" s="4" t="inlineStr">
        <is>
          <t xml:space="preserve">Bin Humaid National Trading Co </t>
        </is>
      </c>
    </row>
    <row r="1987" ht="24" customHeight="1">
      <c r="A1987" s="2">
        <f>+D1987-S1987</f>
        <v/>
      </c>
      <c r="B1987" s="80" t="n">
        <v>3605</v>
      </c>
      <c r="C1987" s="66" t="n">
        <v>45863</v>
      </c>
      <c r="D1987" s="2" t="n">
        <v>1</v>
      </c>
      <c r="E1987" s="3" t="inlineStr">
        <is>
          <t>CARABINA</t>
        </is>
      </c>
      <c r="F1987" s="3" t="inlineStr">
        <is>
          <t>223 REM</t>
        </is>
      </c>
      <c r="G1987" s="3" t="inlineStr">
        <is>
          <t>FRANCHI</t>
        </is>
      </c>
      <c r="H1987" s="65" t="inlineStr">
        <is>
          <t>HORIZON 22''</t>
        </is>
      </c>
      <c r="I1987" s="65" t="inlineStr">
        <is>
          <t>FB084822W</t>
        </is>
      </c>
      <c r="J1987" s="65" t="inlineStr">
        <is>
          <t>N/D</t>
        </is>
      </c>
      <c r="K1987" s="65" t="inlineStr">
        <is>
          <t>N/D</t>
        </is>
      </c>
      <c r="L1987" s="127" t="inlineStr">
        <is>
          <t>BENELLI ARMI SPA</t>
        </is>
      </c>
      <c r="M1987" s="5" t="n">
        <v>405</v>
      </c>
      <c r="N1987" s="5" t="n"/>
      <c r="O1987" s="5">
        <f>+M1987+N1987</f>
        <v/>
      </c>
      <c r="P1987" s="4" t="n">
        <v>45863</v>
      </c>
      <c r="Q1987" s="87" t="n">
        <v>45856</v>
      </c>
      <c r="R1987" s="5" t="n">
        <v>549.48</v>
      </c>
      <c r="S1987" s="2" t="n">
        <v>1</v>
      </c>
      <c r="T1987" s="3" t="inlineStr">
        <is>
          <t>6B/2025/2S</t>
        </is>
      </c>
      <c r="U1987" s="87" t="n">
        <v>45873</v>
      </c>
      <c r="V1987" s="3" t="inlineStr">
        <is>
          <t>19</t>
        </is>
      </c>
      <c r="W1987" s="87" t="n">
        <v>45873</v>
      </c>
      <c r="X1987" s="4" t="inlineStr">
        <is>
          <t xml:space="preserve">Bin Humaid National Trading Co </t>
        </is>
      </c>
    </row>
    <row r="1988" ht="24" customHeight="1">
      <c r="A1988" s="2">
        <f>+D1988-S1988</f>
        <v/>
      </c>
      <c r="B1988" s="80" t="n">
        <v>3606</v>
      </c>
      <c r="C1988" s="66" t="n">
        <v>45863</v>
      </c>
      <c r="D1988" s="2" t="n">
        <v>1</v>
      </c>
      <c r="E1988" s="3" t="inlineStr">
        <is>
          <t>CARABINA</t>
        </is>
      </c>
      <c r="F1988" s="3" t="inlineStr">
        <is>
          <t>223 REM</t>
        </is>
      </c>
      <c r="G1988" s="3" t="inlineStr">
        <is>
          <t>FRANCHI</t>
        </is>
      </c>
      <c r="H1988" s="65" t="inlineStr">
        <is>
          <t>HORIZON 22''</t>
        </is>
      </c>
      <c r="I1988" s="65" t="inlineStr">
        <is>
          <t>FB087203L</t>
        </is>
      </c>
      <c r="J1988" s="65" t="inlineStr">
        <is>
          <t>N/D</t>
        </is>
      </c>
      <c r="K1988" s="65" t="inlineStr">
        <is>
          <t>N/D</t>
        </is>
      </c>
      <c r="L1988" s="127" t="inlineStr">
        <is>
          <t>BENELLI ARMI SPA</t>
        </is>
      </c>
      <c r="M1988" s="5" t="n">
        <v>405</v>
      </c>
      <c r="N1988" s="5" t="n"/>
      <c r="O1988" s="5">
        <f>+M1988+N1988</f>
        <v/>
      </c>
      <c r="P1988" s="4" t="n">
        <v>45863</v>
      </c>
      <c r="Q1988" s="87" t="n">
        <v>45856</v>
      </c>
      <c r="R1988" s="5" t="n">
        <v>549.48</v>
      </c>
      <c r="S1988" s="2" t="n">
        <v>1</v>
      </c>
      <c r="T1988" s="3" t="inlineStr">
        <is>
          <t>6B/2025/2S</t>
        </is>
      </c>
      <c r="U1988" s="87" t="n">
        <v>45873</v>
      </c>
      <c r="V1988" s="3" t="inlineStr">
        <is>
          <t>19</t>
        </is>
      </c>
      <c r="W1988" s="87" t="n">
        <v>45873</v>
      </c>
      <c r="X1988" s="4" t="inlineStr">
        <is>
          <t xml:space="preserve">Bin Humaid National Trading Co </t>
        </is>
      </c>
    </row>
    <row r="1989" ht="24" customHeight="1">
      <c r="A1989" s="2">
        <f>+D1989-S1989</f>
        <v/>
      </c>
      <c r="B1989" s="80" t="n">
        <v>3607</v>
      </c>
      <c r="C1989" s="66" t="n">
        <v>45863</v>
      </c>
      <c r="D1989" s="2" t="n">
        <v>1</v>
      </c>
      <c r="E1989" s="3" t="inlineStr">
        <is>
          <t>CARABINA</t>
        </is>
      </c>
      <c r="F1989" s="3" t="inlineStr">
        <is>
          <t>223 REM</t>
        </is>
      </c>
      <c r="G1989" s="3" t="inlineStr">
        <is>
          <t>FRANCHI</t>
        </is>
      </c>
      <c r="H1989" s="65" t="inlineStr">
        <is>
          <t>HORIZON 22''</t>
        </is>
      </c>
      <c r="I1989" s="65" t="inlineStr">
        <is>
          <t>FB087204N</t>
        </is>
      </c>
      <c r="J1989" s="65" t="inlineStr">
        <is>
          <t>N/D</t>
        </is>
      </c>
      <c r="K1989" s="65" t="inlineStr">
        <is>
          <t>N/D</t>
        </is>
      </c>
      <c r="L1989" s="127" t="inlineStr">
        <is>
          <t>BENELLI ARMI SPA</t>
        </is>
      </c>
      <c r="M1989" s="5" t="n">
        <v>405</v>
      </c>
      <c r="N1989" s="5" t="n"/>
      <c r="O1989" s="5">
        <f>+M1989+N1989</f>
        <v/>
      </c>
      <c r="P1989" s="4" t="n">
        <v>45863</v>
      </c>
      <c r="Q1989" s="87" t="n">
        <v>45856</v>
      </c>
      <c r="R1989" s="5" t="n">
        <v>549.48</v>
      </c>
      <c r="S1989" s="2" t="n">
        <v>1</v>
      </c>
      <c r="T1989" s="3" t="inlineStr">
        <is>
          <t>6B/2025/2S</t>
        </is>
      </c>
      <c r="U1989" s="87" t="n">
        <v>45873</v>
      </c>
      <c r="V1989" s="3" t="inlineStr">
        <is>
          <t>19</t>
        </is>
      </c>
      <c r="W1989" s="87" t="n">
        <v>45873</v>
      </c>
      <c r="X1989" s="4" t="inlineStr">
        <is>
          <t xml:space="preserve">Bin Humaid National Trading Co </t>
        </is>
      </c>
    </row>
    <row r="1990" ht="24" customHeight="1">
      <c r="A1990" s="2">
        <f>+D1990-S1990</f>
        <v/>
      </c>
      <c r="B1990" s="80" t="n">
        <v>3608</v>
      </c>
      <c r="C1990" s="66" t="n">
        <v>45863</v>
      </c>
      <c r="D1990" s="2" t="n">
        <v>1</v>
      </c>
      <c r="E1990" s="3" t="inlineStr">
        <is>
          <t>CARABINA</t>
        </is>
      </c>
      <c r="F1990" s="3" t="inlineStr">
        <is>
          <t>223 REM</t>
        </is>
      </c>
      <c r="G1990" s="3" t="inlineStr">
        <is>
          <t>FRANCHI</t>
        </is>
      </c>
      <c r="H1990" s="65" t="inlineStr">
        <is>
          <t>HORIZON 22''</t>
        </is>
      </c>
      <c r="I1990" s="65" t="inlineStr">
        <is>
          <t>FB087205R</t>
        </is>
      </c>
      <c r="J1990" s="65" t="inlineStr">
        <is>
          <t>N/D</t>
        </is>
      </c>
      <c r="K1990" s="65" t="inlineStr">
        <is>
          <t>N/D</t>
        </is>
      </c>
      <c r="L1990" s="127" t="inlineStr">
        <is>
          <t>BENELLI ARMI SPA</t>
        </is>
      </c>
      <c r="M1990" s="5" t="n">
        <v>405</v>
      </c>
      <c r="N1990" s="5" t="n"/>
      <c r="O1990" s="5">
        <f>+M1990+N1990</f>
        <v/>
      </c>
      <c r="P1990" s="4" t="n">
        <v>45863</v>
      </c>
      <c r="Q1990" s="87" t="n">
        <v>45856</v>
      </c>
      <c r="R1990" s="5" t="n">
        <v>549.48</v>
      </c>
      <c r="S1990" s="2" t="n">
        <v>1</v>
      </c>
      <c r="T1990" s="3" t="inlineStr">
        <is>
          <t>6B/2025/2S</t>
        </is>
      </c>
      <c r="U1990" s="87" t="n">
        <v>45873</v>
      </c>
      <c r="V1990" s="3" t="inlineStr">
        <is>
          <t>19</t>
        </is>
      </c>
      <c r="W1990" s="87" t="n">
        <v>45873</v>
      </c>
      <c r="X1990" s="4" t="inlineStr">
        <is>
          <t xml:space="preserve">Bin Humaid National Trading Co </t>
        </is>
      </c>
    </row>
    <row r="1991" ht="24" customHeight="1">
      <c r="A1991" s="2">
        <f>+D1991-S1991</f>
        <v/>
      </c>
      <c r="B1991" s="80" t="n">
        <v>3609</v>
      </c>
      <c r="C1991" s="66" t="n">
        <v>45863</v>
      </c>
      <c r="D1991" s="2" t="n">
        <v>1</v>
      </c>
      <c r="E1991" s="3" t="inlineStr">
        <is>
          <t>CARABINA</t>
        </is>
      </c>
      <c r="F1991" s="3" t="inlineStr">
        <is>
          <t>223 REM</t>
        </is>
      </c>
      <c r="G1991" s="3" t="inlineStr">
        <is>
          <t>FRANCHI</t>
        </is>
      </c>
      <c r="H1991" s="65" t="inlineStr">
        <is>
          <t>HORIZON 22''</t>
        </is>
      </c>
      <c r="I1991" s="65" t="inlineStr">
        <is>
          <t>FB087206T</t>
        </is>
      </c>
      <c r="J1991" s="65" t="inlineStr">
        <is>
          <t>N/D</t>
        </is>
      </c>
      <c r="K1991" s="65" t="inlineStr">
        <is>
          <t>N/D</t>
        </is>
      </c>
      <c r="L1991" s="127" t="inlineStr">
        <is>
          <t>BENELLI ARMI SPA</t>
        </is>
      </c>
      <c r="M1991" s="5" t="n">
        <v>405</v>
      </c>
      <c r="N1991" s="5" t="n"/>
      <c r="O1991" s="5">
        <f>+M1991+N1991</f>
        <v/>
      </c>
      <c r="P1991" s="4" t="n">
        <v>45863</v>
      </c>
      <c r="Q1991" s="87" t="n">
        <v>45856</v>
      </c>
      <c r="R1991" s="5" t="n">
        <v>549.48</v>
      </c>
      <c r="S1991" s="2" t="n">
        <v>1</v>
      </c>
      <c r="T1991" s="3" t="inlineStr">
        <is>
          <t>6B/2025/2S</t>
        </is>
      </c>
      <c r="U1991" s="87" t="n">
        <v>45873</v>
      </c>
      <c r="V1991" s="3" t="inlineStr">
        <is>
          <t>19</t>
        </is>
      </c>
      <c r="W1991" s="87" t="n">
        <v>45873</v>
      </c>
      <c r="X1991" s="4" t="inlineStr">
        <is>
          <t xml:space="preserve">Bin Humaid National Trading Co </t>
        </is>
      </c>
    </row>
    <row r="1992" ht="24" customHeight="1">
      <c r="A1992" s="2">
        <f>+D1992-S1992</f>
        <v/>
      </c>
      <c r="B1992" s="80" t="n">
        <v>3610</v>
      </c>
      <c r="C1992" s="66" t="n">
        <v>45863</v>
      </c>
      <c r="D1992" s="2" t="n">
        <v>1</v>
      </c>
      <c r="E1992" s="3" t="inlineStr">
        <is>
          <t>CARABINA</t>
        </is>
      </c>
      <c r="F1992" s="3" t="inlineStr">
        <is>
          <t>223 REM</t>
        </is>
      </c>
      <c r="G1992" s="3" t="inlineStr">
        <is>
          <t>FRANCHI</t>
        </is>
      </c>
      <c r="H1992" s="65" t="inlineStr">
        <is>
          <t>HORIZON 22''</t>
        </is>
      </c>
      <c r="I1992" s="65" t="inlineStr">
        <is>
          <t>FB087214P</t>
        </is>
      </c>
      <c r="J1992" s="65" t="inlineStr">
        <is>
          <t>N/D</t>
        </is>
      </c>
      <c r="K1992" s="65" t="inlineStr">
        <is>
          <t>N/D</t>
        </is>
      </c>
      <c r="L1992" s="127" t="inlineStr">
        <is>
          <t>BENELLI ARMI SPA</t>
        </is>
      </c>
      <c r="M1992" s="5" t="n">
        <v>405</v>
      </c>
      <c r="N1992" s="5" t="n"/>
      <c r="O1992" s="5">
        <f>+M1992+N1992</f>
        <v/>
      </c>
      <c r="P1992" s="4" t="n">
        <v>45863</v>
      </c>
      <c r="Q1992" s="87" t="n">
        <v>45856</v>
      </c>
      <c r="R1992" s="5" t="n">
        <v>549.48</v>
      </c>
      <c r="S1992" s="2" t="n">
        <v>1</v>
      </c>
      <c r="T1992" s="3" t="inlineStr">
        <is>
          <t>6B/2025/2S</t>
        </is>
      </c>
      <c r="U1992" s="87" t="n">
        <v>45873</v>
      </c>
      <c r="V1992" s="3" t="inlineStr">
        <is>
          <t>19</t>
        </is>
      </c>
      <c r="W1992" s="87" t="n">
        <v>45873</v>
      </c>
      <c r="X1992" s="4" t="inlineStr">
        <is>
          <t xml:space="preserve">Bin Humaid National Trading Co </t>
        </is>
      </c>
    </row>
    <row r="1993" ht="24" customHeight="1">
      <c r="A1993" s="2">
        <f>+D1993-S1993</f>
        <v/>
      </c>
      <c r="B1993" s="80" t="n">
        <v>3611</v>
      </c>
      <c r="C1993" s="66" t="n">
        <v>45863</v>
      </c>
      <c r="D1993" s="2" t="n">
        <v>1</v>
      </c>
      <c r="E1993" s="3" t="inlineStr">
        <is>
          <t>CARABINA</t>
        </is>
      </c>
      <c r="F1993" s="3" t="inlineStr">
        <is>
          <t>223 REM</t>
        </is>
      </c>
      <c r="G1993" s="3" t="inlineStr">
        <is>
          <t>FRANCHI</t>
        </is>
      </c>
      <c r="H1993" s="65" t="inlineStr">
        <is>
          <t>HORIZON ELITE BEIGE GRAY 22''</t>
        </is>
      </c>
      <c r="I1993" s="65" t="inlineStr">
        <is>
          <t>FB080908F</t>
        </is>
      </c>
      <c r="J1993" s="65" t="inlineStr">
        <is>
          <t>N/D</t>
        </is>
      </c>
      <c r="K1993" s="65" t="inlineStr">
        <is>
          <t>N/D</t>
        </is>
      </c>
      <c r="L1993" s="127" t="inlineStr">
        <is>
          <t>BENELLI ARMI SPA</t>
        </is>
      </c>
      <c r="M1993" s="5" t="n">
        <v>484.2</v>
      </c>
      <c r="N1993" s="5" t="n"/>
      <c r="O1993" s="5">
        <f>+M1993+N1993</f>
        <v/>
      </c>
      <c r="P1993" s="4" t="n">
        <v>45863</v>
      </c>
      <c r="Q1993" s="87" t="n">
        <v>45856</v>
      </c>
      <c r="R1993" s="5" t="n">
        <v>612.1799999999999</v>
      </c>
      <c r="S1993" s="2" t="n">
        <v>1</v>
      </c>
      <c r="T1993" s="3" t="inlineStr">
        <is>
          <t>6B/2025/2S</t>
        </is>
      </c>
      <c r="U1993" s="87" t="n">
        <v>45873</v>
      </c>
      <c r="V1993" s="3" t="inlineStr">
        <is>
          <t>19</t>
        </is>
      </c>
      <c r="W1993" s="87" t="n">
        <v>45873</v>
      </c>
      <c r="X1993" s="4" t="inlineStr">
        <is>
          <t xml:space="preserve">Bin Humaid National Trading Co </t>
        </is>
      </c>
    </row>
    <row r="1994" ht="24" customHeight="1">
      <c r="A1994" s="2">
        <f>+D1994-S1994</f>
        <v/>
      </c>
      <c r="B1994" s="80" t="n">
        <v>3612</v>
      </c>
      <c r="C1994" s="66" t="n">
        <v>45863</v>
      </c>
      <c r="D1994" s="2" t="n">
        <v>1</v>
      </c>
      <c r="E1994" s="3" t="inlineStr">
        <is>
          <t>CARABINA</t>
        </is>
      </c>
      <c r="F1994" s="3" t="inlineStr">
        <is>
          <t>223 REM</t>
        </is>
      </c>
      <c r="G1994" s="3" t="inlineStr">
        <is>
          <t>FRANCHI</t>
        </is>
      </c>
      <c r="H1994" s="65" t="inlineStr">
        <is>
          <t>HORIZON ELITE BEIGE GRAY 22''</t>
        </is>
      </c>
      <c r="I1994" s="65" t="inlineStr">
        <is>
          <t>FB080909H</t>
        </is>
      </c>
      <c r="J1994" s="65" t="inlineStr">
        <is>
          <t>N/D</t>
        </is>
      </c>
      <c r="K1994" s="65" t="inlineStr">
        <is>
          <t>N/D</t>
        </is>
      </c>
      <c r="L1994" s="127" t="inlineStr">
        <is>
          <t>BENELLI ARMI SPA</t>
        </is>
      </c>
      <c r="M1994" s="5" t="n">
        <v>484.2</v>
      </c>
      <c r="N1994" s="5" t="n"/>
      <c r="O1994" s="5">
        <f>+M1994+N1994</f>
        <v/>
      </c>
      <c r="P1994" s="4" t="n">
        <v>45863</v>
      </c>
      <c r="Q1994" s="87" t="n">
        <v>45856</v>
      </c>
      <c r="R1994" s="5" t="n">
        <v>612.1799999999999</v>
      </c>
      <c r="S1994" s="2" t="n">
        <v>1</v>
      </c>
      <c r="T1994" s="3" t="inlineStr">
        <is>
          <t>6B/2025/2S</t>
        </is>
      </c>
      <c r="U1994" s="87" t="n">
        <v>45873</v>
      </c>
      <c r="V1994" s="3" t="inlineStr">
        <is>
          <t>19</t>
        </is>
      </c>
      <c r="W1994" s="87" t="n">
        <v>45873</v>
      </c>
      <c r="X1994" s="4" t="inlineStr">
        <is>
          <t xml:space="preserve">Bin Humaid National Trading Co </t>
        </is>
      </c>
    </row>
    <row r="1995" ht="24" customHeight="1">
      <c r="A1995" s="2">
        <f>+D1995-S1995</f>
        <v/>
      </c>
      <c r="B1995" s="80" t="n">
        <v>3613</v>
      </c>
      <c r="C1995" s="66" t="n">
        <v>45863</v>
      </c>
      <c r="D1995" s="2" t="n">
        <v>1</v>
      </c>
      <c r="E1995" s="3" t="inlineStr">
        <is>
          <t>CARABINA</t>
        </is>
      </c>
      <c r="F1995" s="3" t="inlineStr">
        <is>
          <t>223 REM</t>
        </is>
      </c>
      <c r="G1995" s="3" t="inlineStr">
        <is>
          <t>FRANCHI</t>
        </is>
      </c>
      <c r="H1995" s="65" t="inlineStr">
        <is>
          <t>HORIZON ELITE BEIGE GRAY 22''</t>
        </is>
      </c>
      <c r="I1995" s="65" t="inlineStr">
        <is>
          <t>FB080910P</t>
        </is>
      </c>
      <c r="J1995" s="65" t="inlineStr">
        <is>
          <t>N/D</t>
        </is>
      </c>
      <c r="K1995" s="65" t="inlineStr">
        <is>
          <t>N/D</t>
        </is>
      </c>
      <c r="L1995" s="127" t="inlineStr">
        <is>
          <t>BENELLI ARMI SPA</t>
        </is>
      </c>
      <c r="M1995" s="5" t="n">
        <v>484.2</v>
      </c>
      <c r="N1995" s="5" t="n"/>
      <c r="O1995" s="5">
        <f>+M1995+N1995</f>
        <v/>
      </c>
      <c r="P1995" s="4" t="n">
        <v>45863</v>
      </c>
      <c r="Q1995" s="87" t="n">
        <v>45856</v>
      </c>
      <c r="R1995" s="5" t="n">
        <v>612.1799999999999</v>
      </c>
      <c r="S1995" s="2" t="n">
        <v>1</v>
      </c>
      <c r="T1995" s="3" t="inlineStr">
        <is>
          <t>6B/2025/2S</t>
        </is>
      </c>
      <c r="U1995" s="87" t="n">
        <v>45873</v>
      </c>
      <c r="V1995" s="3" t="inlineStr">
        <is>
          <t>19</t>
        </is>
      </c>
      <c r="W1995" s="87" t="n">
        <v>45873</v>
      </c>
      <c r="X1995" s="4" t="inlineStr">
        <is>
          <t xml:space="preserve">Bin Humaid National Trading Co </t>
        </is>
      </c>
    </row>
    <row r="1996" ht="24" customHeight="1">
      <c r="A1996" s="2">
        <f>+D1996-S1996</f>
        <v/>
      </c>
      <c r="B1996" s="80" t="n">
        <v>3614</v>
      </c>
      <c r="C1996" s="66" t="n">
        <v>45863</v>
      </c>
      <c r="D1996" s="2" t="n">
        <v>1</v>
      </c>
      <c r="E1996" s="3" t="inlineStr">
        <is>
          <t>CARABINA</t>
        </is>
      </c>
      <c r="F1996" s="3" t="inlineStr">
        <is>
          <t>223 REM</t>
        </is>
      </c>
      <c r="G1996" s="3" t="inlineStr">
        <is>
          <t>FRANCHI</t>
        </is>
      </c>
      <c r="H1996" s="65" t="inlineStr">
        <is>
          <t>HORIZON ELITE BEIGE GRAY 22''</t>
        </is>
      </c>
      <c r="I1996" s="65" t="inlineStr">
        <is>
          <t>FB086086W</t>
        </is>
      </c>
      <c r="J1996" s="65" t="inlineStr">
        <is>
          <t>N/D</t>
        </is>
      </c>
      <c r="K1996" s="65" t="inlineStr">
        <is>
          <t>N/D</t>
        </is>
      </c>
      <c r="L1996" s="127" t="inlineStr">
        <is>
          <t>BENELLI ARMI SPA</t>
        </is>
      </c>
      <c r="M1996" s="5" t="n">
        <v>484.2</v>
      </c>
      <c r="N1996" s="5" t="n"/>
      <c r="O1996" s="5">
        <f>+M1996+N1996</f>
        <v/>
      </c>
      <c r="P1996" s="4" t="n">
        <v>45863</v>
      </c>
      <c r="Q1996" s="87" t="n">
        <v>45856</v>
      </c>
      <c r="R1996" s="5" t="n">
        <v>612.1799999999999</v>
      </c>
      <c r="S1996" s="2" t="n">
        <v>1</v>
      </c>
      <c r="T1996" s="3" t="inlineStr">
        <is>
          <t>6B/2025/2S</t>
        </is>
      </c>
      <c r="U1996" s="87" t="n">
        <v>45873</v>
      </c>
      <c r="V1996" s="3" t="inlineStr">
        <is>
          <t>19</t>
        </is>
      </c>
      <c r="W1996" s="87" t="n">
        <v>45873</v>
      </c>
      <c r="X1996" s="4" t="inlineStr">
        <is>
          <t xml:space="preserve">Bin Humaid National Trading Co </t>
        </is>
      </c>
    </row>
    <row r="1997" ht="24" customHeight="1">
      <c r="A1997" s="2">
        <f>+D1997-S1997</f>
        <v/>
      </c>
      <c r="B1997" s="80" t="n">
        <v>3615</v>
      </c>
      <c r="C1997" s="66" t="n">
        <v>45863</v>
      </c>
      <c r="D1997" s="2" t="n">
        <v>1</v>
      </c>
      <c r="E1997" s="3" t="inlineStr">
        <is>
          <t>CARABINA</t>
        </is>
      </c>
      <c r="F1997" s="3" t="inlineStr">
        <is>
          <t>223 REM</t>
        </is>
      </c>
      <c r="G1997" s="3" t="inlineStr">
        <is>
          <t>FRANCHI</t>
        </is>
      </c>
      <c r="H1997" s="65" t="inlineStr">
        <is>
          <t>HORIZON ELITE BEIGE GRAY 22''</t>
        </is>
      </c>
      <c r="I1997" s="65" t="inlineStr">
        <is>
          <t>FB086089C</t>
        </is>
      </c>
      <c r="J1997" s="65" t="inlineStr">
        <is>
          <t>N/D</t>
        </is>
      </c>
      <c r="K1997" s="65" t="inlineStr">
        <is>
          <t>N/D</t>
        </is>
      </c>
      <c r="L1997" s="127" t="inlineStr">
        <is>
          <t>BENELLI ARMI SPA</t>
        </is>
      </c>
      <c r="M1997" s="5" t="n">
        <v>484.2</v>
      </c>
      <c r="N1997" s="5" t="n"/>
      <c r="O1997" s="5">
        <f>+M1997+N1997</f>
        <v/>
      </c>
      <c r="P1997" s="4" t="n">
        <v>45863</v>
      </c>
      <c r="Q1997" s="87" t="n">
        <v>45856</v>
      </c>
      <c r="R1997" s="5" t="n">
        <v>612.1799999999999</v>
      </c>
      <c r="S1997" s="2" t="n">
        <v>1</v>
      </c>
      <c r="T1997" s="3" t="inlineStr">
        <is>
          <t>6B/2025/2S</t>
        </is>
      </c>
      <c r="U1997" s="87" t="n">
        <v>45873</v>
      </c>
      <c r="V1997" s="3" t="inlineStr">
        <is>
          <t>19</t>
        </is>
      </c>
      <c r="W1997" s="87" t="n">
        <v>45873</v>
      </c>
      <c r="X1997" s="4" t="inlineStr">
        <is>
          <t xml:space="preserve">Bin Humaid National Trading Co </t>
        </is>
      </c>
    </row>
    <row r="1998" ht="24" customHeight="1">
      <c r="A1998" s="2">
        <f>+D1998-S1998</f>
        <v/>
      </c>
      <c r="B1998" s="80" t="n">
        <v>3616</v>
      </c>
      <c r="C1998" s="66" t="n">
        <v>45863</v>
      </c>
      <c r="D1998" s="2" t="n">
        <v>1</v>
      </c>
      <c r="E1998" s="3" t="inlineStr">
        <is>
          <t>CARABINA</t>
        </is>
      </c>
      <c r="F1998" s="3" t="inlineStr">
        <is>
          <t>223 REM</t>
        </is>
      </c>
      <c r="G1998" s="3" t="inlineStr">
        <is>
          <t>FRANCHI</t>
        </is>
      </c>
      <c r="H1998" s="65" t="inlineStr">
        <is>
          <t>HORIZON ELITE BEIGE GRAY 22''</t>
        </is>
      </c>
      <c r="I1998" s="65" t="inlineStr">
        <is>
          <t>FB086090J</t>
        </is>
      </c>
      <c r="J1998" s="65" t="inlineStr">
        <is>
          <t>N/D</t>
        </is>
      </c>
      <c r="K1998" s="65" t="inlineStr">
        <is>
          <t>N/D</t>
        </is>
      </c>
      <c r="L1998" s="127" t="inlineStr">
        <is>
          <t>BENELLI ARMI SPA</t>
        </is>
      </c>
      <c r="M1998" s="5" t="n">
        <v>484.2</v>
      </c>
      <c r="N1998" s="5" t="n"/>
      <c r="O1998" s="5">
        <f>+M1998+N1998</f>
        <v/>
      </c>
      <c r="P1998" s="4" t="n">
        <v>45863</v>
      </c>
      <c r="Q1998" s="87" t="n">
        <v>45856</v>
      </c>
      <c r="R1998" s="5" t="n">
        <v>612.1799999999999</v>
      </c>
      <c r="S1998" s="2" t="n">
        <v>1</v>
      </c>
      <c r="T1998" s="3" t="inlineStr">
        <is>
          <t>6B/2025/2S</t>
        </is>
      </c>
      <c r="U1998" s="87" t="n">
        <v>45873</v>
      </c>
      <c r="V1998" s="3" t="inlineStr">
        <is>
          <t>19</t>
        </is>
      </c>
      <c r="W1998" s="87" t="n">
        <v>45873</v>
      </c>
      <c r="X1998" s="4" t="inlineStr">
        <is>
          <t xml:space="preserve">Bin Humaid National Trading Co </t>
        </is>
      </c>
    </row>
    <row r="1999" ht="24" customHeight="1">
      <c r="A1999" s="2">
        <f>+D1999-S1999</f>
        <v/>
      </c>
      <c r="B1999" s="80" t="n">
        <v>3617</v>
      </c>
      <c r="C1999" s="66" t="n">
        <v>45863</v>
      </c>
      <c r="D1999" s="2" t="n">
        <v>1</v>
      </c>
      <c r="E1999" s="3" t="inlineStr">
        <is>
          <t>CARABINA</t>
        </is>
      </c>
      <c r="F1999" s="3" t="inlineStr">
        <is>
          <t>223 REM</t>
        </is>
      </c>
      <c r="G1999" s="3" t="inlineStr">
        <is>
          <t>FRANCHI</t>
        </is>
      </c>
      <c r="H1999" s="65" t="inlineStr">
        <is>
          <t>HORIZON ELITE BEIGE GRAY 22''</t>
        </is>
      </c>
      <c r="I1999" s="65" t="inlineStr">
        <is>
          <t>FB086091L</t>
        </is>
      </c>
      <c r="J1999" s="65" t="inlineStr">
        <is>
          <t>N/D</t>
        </is>
      </c>
      <c r="K1999" s="65" t="inlineStr">
        <is>
          <t>N/D</t>
        </is>
      </c>
      <c r="L1999" s="127" t="inlineStr">
        <is>
          <t>BENELLI ARMI SPA</t>
        </is>
      </c>
      <c r="M1999" s="5" t="n">
        <v>484.2</v>
      </c>
      <c r="N1999" s="5" t="n"/>
      <c r="O1999" s="5">
        <f>+M1999+N1999</f>
        <v/>
      </c>
      <c r="P1999" s="4" t="n">
        <v>45863</v>
      </c>
      <c r="Q1999" s="87" t="n">
        <v>45856</v>
      </c>
      <c r="R1999" s="5" t="n">
        <v>612.1799999999999</v>
      </c>
      <c r="S1999" s="2" t="n">
        <v>1</v>
      </c>
      <c r="T1999" s="3" t="inlineStr">
        <is>
          <t>6B/2025/2S</t>
        </is>
      </c>
      <c r="U1999" s="87" t="n">
        <v>45873</v>
      </c>
      <c r="V1999" s="3" t="inlineStr">
        <is>
          <t>19</t>
        </is>
      </c>
      <c r="W1999" s="87" t="n">
        <v>45873</v>
      </c>
      <c r="X1999" s="4" t="inlineStr">
        <is>
          <t xml:space="preserve">Bin Humaid National Trading Co </t>
        </is>
      </c>
    </row>
    <row r="2000" ht="24" customHeight="1">
      <c r="A2000" s="2">
        <f>+D2000-S2000</f>
        <v/>
      </c>
      <c r="B2000" s="80" t="n">
        <v>3618</v>
      </c>
      <c r="C2000" s="66" t="n">
        <v>45863</v>
      </c>
      <c r="D2000" s="2" t="n">
        <v>1</v>
      </c>
      <c r="E2000" s="3" t="inlineStr">
        <is>
          <t>CARABINA</t>
        </is>
      </c>
      <c r="F2000" s="3" t="inlineStr">
        <is>
          <t>223 REM</t>
        </is>
      </c>
      <c r="G2000" s="3" t="inlineStr">
        <is>
          <t>FRANCHI</t>
        </is>
      </c>
      <c r="H2000" s="65" t="inlineStr">
        <is>
          <t>HORIZON ELITE BEIGE GRAY 22''</t>
        </is>
      </c>
      <c r="I2000" s="65" t="inlineStr">
        <is>
          <t>FB086092N</t>
        </is>
      </c>
      <c r="J2000" s="65" t="inlineStr">
        <is>
          <t>N/D</t>
        </is>
      </c>
      <c r="K2000" s="65" t="inlineStr">
        <is>
          <t>N/D</t>
        </is>
      </c>
      <c r="L2000" s="127" t="inlineStr">
        <is>
          <t>BENELLI ARMI SPA</t>
        </is>
      </c>
      <c r="M2000" s="5" t="n">
        <v>484.2</v>
      </c>
      <c r="N2000" s="5" t="n"/>
      <c r="O2000" s="5">
        <f>+M2000+N2000</f>
        <v/>
      </c>
      <c r="P2000" s="4" t="n">
        <v>45863</v>
      </c>
      <c r="Q2000" s="87" t="n">
        <v>45856</v>
      </c>
      <c r="R2000" s="5" t="n">
        <v>612.1799999999999</v>
      </c>
      <c r="S2000" s="2" t="n">
        <v>1</v>
      </c>
      <c r="T2000" s="3" t="inlineStr">
        <is>
          <t>6B/2025/2S</t>
        </is>
      </c>
      <c r="U2000" s="87" t="n">
        <v>45873</v>
      </c>
      <c r="V2000" s="3" t="inlineStr">
        <is>
          <t>19</t>
        </is>
      </c>
      <c r="W2000" s="87" t="n">
        <v>45873</v>
      </c>
      <c r="X2000" s="4" t="inlineStr">
        <is>
          <t xml:space="preserve">Bin Humaid National Trading Co </t>
        </is>
      </c>
    </row>
    <row r="2001" ht="24" customHeight="1">
      <c r="A2001" s="2">
        <f>+D2001-S2001</f>
        <v/>
      </c>
      <c r="B2001" s="80" t="n">
        <v>3619</v>
      </c>
      <c r="C2001" s="66" t="n">
        <v>45863</v>
      </c>
      <c r="D2001" s="2" t="n">
        <v>1</v>
      </c>
      <c r="E2001" s="3" t="inlineStr">
        <is>
          <t>CARABINA</t>
        </is>
      </c>
      <c r="F2001" s="3" t="inlineStr">
        <is>
          <t>223 REM</t>
        </is>
      </c>
      <c r="G2001" s="3" t="inlineStr">
        <is>
          <t>FRANCHI</t>
        </is>
      </c>
      <c r="H2001" s="65" t="inlineStr">
        <is>
          <t>HORIZON ELITE BEIGE GRAY 22''</t>
        </is>
      </c>
      <c r="I2001" s="65" t="inlineStr">
        <is>
          <t>FB086093Q</t>
        </is>
      </c>
      <c r="J2001" s="65" t="inlineStr">
        <is>
          <t>N/D</t>
        </is>
      </c>
      <c r="K2001" s="65" t="inlineStr">
        <is>
          <t>N/D</t>
        </is>
      </c>
      <c r="L2001" s="127" t="inlineStr">
        <is>
          <t>BENELLI ARMI SPA</t>
        </is>
      </c>
      <c r="M2001" s="5" t="n">
        <v>484.2</v>
      </c>
      <c r="N2001" s="5" t="n"/>
      <c r="O2001" s="5">
        <f>+M2001+N2001</f>
        <v/>
      </c>
      <c r="P2001" s="4" t="n">
        <v>45863</v>
      </c>
      <c r="Q2001" s="87" t="n">
        <v>45856</v>
      </c>
      <c r="R2001" s="5" t="n">
        <v>612.1799999999999</v>
      </c>
      <c r="S2001" s="2" t="n">
        <v>1</v>
      </c>
      <c r="T2001" s="3" t="inlineStr">
        <is>
          <t>6B/2025/2S</t>
        </is>
      </c>
      <c r="U2001" s="87" t="n">
        <v>45873</v>
      </c>
      <c r="V2001" s="3" t="inlineStr">
        <is>
          <t>19</t>
        </is>
      </c>
      <c r="W2001" s="87" t="n">
        <v>45873</v>
      </c>
      <c r="X2001" s="4" t="inlineStr">
        <is>
          <t xml:space="preserve">Bin Humaid National Trading Co </t>
        </is>
      </c>
    </row>
    <row r="2002" ht="24" customHeight="1">
      <c r="A2002" s="2">
        <f>+D2002-S2002</f>
        <v/>
      </c>
      <c r="B2002" s="80" t="n">
        <v>3620</v>
      </c>
      <c r="C2002" s="66" t="n">
        <v>45863</v>
      </c>
      <c r="D2002" s="2" t="n">
        <v>1</v>
      </c>
      <c r="E2002" s="3" t="inlineStr">
        <is>
          <t>CARABINA</t>
        </is>
      </c>
      <c r="F2002" s="3" t="inlineStr">
        <is>
          <t>223 REM</t>
        </is>
      </c>
      <c r="G2002" s="3" t="inlineStr">
        <is>
          <t>FRANCHI</t>
        </is>
      </c>
      <c r="H2002" s="65" t="inlineStr">
        <is>
          <t>HORIZON ELITE BEIGE GRAY 22''</t>
        </is>
      </c>
      <c r="I2002" s="65" t="inlineStr">
        <is>
          <t>FB086095V</t>
        </is>
      </c>
      <c r="J2002" s="65" t="inlineStr">
        <is>
          <t>N/D</t>
        </is>
      </c>
      <c r="K2002" s="65" t="inlineStr">
        <is>
          <t>N/D</t>
        </is>
      </c>
      <c r="L2002" s="127" t="inlineStr">
        <is>
          <t>BENELLI ARMI SPA</t>
        </is>
      </c>
      <c r="M2002" s="5" t="n">
        <v>484.2</v>
      </c>
      <c r="N2002" s="5" t="n"/>
      <c r="O2002" s="5">
        <f>+M2002+N2002</f>
        <v/>
      </c>
      <c r="P2002" s="4" t="n">
        <v>45863</v>
      </c>
      <c r="Q2002" s="87" t="n">
        <v>45856</v>
      </c>
      <c r="R2002" s="5" t="n">
        <v>612.1799999999999</v>
      </c>
      <c r="S2002" s="2" t="n">
        <v>1</v>
      </c>
      <c r="T2002" s="3" t="inlineStr">
        <is>
          <t>6B/2025/2S</t>
        </is>
      </c>
      <c r="U2002" s="87" t="n">
        <v>45873</v>
      </c>
      <c r="V2002" s="3" t="inlineStr">
        <is>
          <t>19</t>
        </is>
      </c>
      <c r="W2002" s="87" t="n">
        <v>45873</v>
      </c>
      <c r="X2002" s="4" t="inlineStr">
        <is>
          <t xml:space="preserve">Bin Humaid National Trading Co </t>
        </is>
      </c>
    </row>
    <row r="2003" ht="24" customHeight="1">
      <c r="A2003" s="2">
        <f>+D2003-S2003</f>
        <v/>
      </c>
      <c r="B2003" s="80" t="n">
        <v>3621</v>
      </c>
      <c r="C2003" s="66" t="n">
        <v>45863</v>
      </c>
      <c r="D2003" s="2" t="n">
        <v>1</v>
      </c>
      <c r="E2003" s="3" t="inlineStr">
        <is>
          <t>CARABINA</t>
        </is>
      </c>
      <c r="F2003" s="3" t="inlineStr">
        <is>
          <t>223 REM</t>
        </is>
      </c>
      <c r="G2003" s="3" t="inlineStr">
        <is>
          <t>FRANCHI</t>
        </is>
      </c>
      <c r="H2003" s="65" t="inlineStr">
        <is>
          <t>HORIZON VARMINT BRONZE OPT SUBALP 24"</t>
        </is>
      </c>
      <c r="I2003" s="65" t="inlineStr">
        <is>
          <t>FB082625X</t>
        </is>
      </c>
      <c r="J2003" s="65" t="inlineStr">
        <is>
          <t>N/D</t>
        </is>
      </c>
      <c r="K2003" s="65" t="inlineStr">
        <is>
          <t>N/D</t>
        </is>
      </c>
      <c r="L2003" s="127" t="inlineStr">
        <is>
          <t>BENELLI ARMI SPA</t>
        </is>
      </c>
      <c r="M2003" s="5" t="n">
        <v>638</v>
      </c>
      <c r="N2003" s="5" t="n"/>
      <c r="O2003" s="5">
        <f>+M2003+N2003</f>
        <v/>
      </c>
      <c r="P2003" s="4" t="n">
        <v>45863</v>
      </c>
      <c r="Q2003" s="87" t="n">
        <v>45856</v>
      </c>
      <c r="R2003" s="5" t="n">
        <v>727.3200000000001</v>
      </c>
      <c r="S2003" s="2" t="n">
        <v>1</v>
      </c>
      <c r="T2003" s="3" t="inlineStr">
        <is>
          <t>6B/2025/2S</t>
        </is>
      </c>
      <c r="U2003" s="87" t="n">
        <v>45873</v>
      </c>
      <c r="V2003" s="3" t="inlineStr">
        <is>
          <t>19</t>
        </is>
      </c>
      <c r="W2003" s="87" t="n">
        <v>45873</v>
      </c>
      <c r="X2003" s="4" t="inlineStr">
        <is>
          <t xml:space="preserve">Bin Humaid National Trading Co </t>
        </is>
      </c>
    </row>
    <row r="2004" ht="24" customHeight="1">
      <c r="A2004" s="2">
        <f>+D2004-S2004</f>
        <v/>
      </c>
      <c r="B2004" s="80" t="n">
        <v>3622</v>
      </c>
      <c r="C2004" s="66" t="n">
        <v>45863</v>
      </c>
      <c r="D2004" s="2" t="n">
        <v>1</v>
      </c>
      <c r="E2004" s="3" t="inlineStr">
        <is>
          <t>CARABINA</t>
        </is>
      </c>
      <c r="F2004" s="3" t="inlineStr">
        <is>
          <t>223 REM</t>
        </is>
      </c>
      <c r="G2004" s="3" t="inlineStr">
        <is>
          <t>FRANCHI</t>
        </is>
      </c>
      <c r="H2004" s="65" t="inlineStr">
        <is>
          <t>HORIZON VARMINT BRONZE OPT SUBALP 24"</t>
        </is>
      </c>
      <c r="I2004" s="65" t="inlineStr">
        <is>
          <t>FB082626Z</t>
        </is>
      </c>
      <c r="J2004" s="65" t="inlineStr">
        <is>
          <t>N/D</t>
        </is>
      </c>
      <c r="K2004" s="65" t="inlineStr">
        <is>
          <t>N/D</t>
        </is>
      </c>
      <c r="L2004" s="127" t="inlineStr">
        <is>
          <t>BENELLI ARMI SPA</t>
        </is>
      </c>
      <c r="M2004" s="5" t="n">
        <v>638</v>
      </c>
      <c r="N2004" s="5" t="n"/>
      <c r="O2004" s="5">
        <f>+M2004+N2004</f>
        <v/>
      </c>
      <c r="P2004" s="4" t="n">
        <v>45863</v>
      </c>
      <c r="Q2004" s="87" t="n">
        <v>45856</v>
      </c>
      <c r="R2004" s="5" t="n">
        <v>727.3200000000001</v>
      </c>
      <c r="S2004" s="2" t="n">
        <v>1</v>
      </c>
      <c r="T2004" s="3" t="inlineStr">
        <is>
          <t>6B/2025/2S</t>
        </is>
      </c>
      <c r="U2004" s="87" t="n">
        <v>45873</v>
      </c>
      <c r="V2004" s="3" t="inlineStr">
        <is>
          <t>19</t>
        </is>
      </c>
      <c r="W2004" s="87" t="n">
        <v>45873</v>
      </c>
      <c r="X2004" s="4" t="inlineStr">
        <is>
          <t xml:space="preserve">Bin Humaid National Trading Co </t>
        </is>
      </c>
    </row>
    <row r="2005" ht="24" customHeight="1">
      <c r="A2005" s="2">
        <f>+D2005-S2005</f>
        <v/>
      </c>
      <c r="B2005" s="80" t="n">
        <v>3623</v>
      </c>
      <c r="C2005" s="66" t="n">
        <v>45863</v>
      </c>
      <c r="D2005" s="2" t="n">
        <v>1</v>
      </c>
      <c r="E2005" s="3" t="inlineStr">
        <is>
          <t>CARABINA</t>
        </is>
      </c>
      <c r="F2005" s="3" t="inlineStr">
        <is>
          <t>223 REM</t>
        </is>
      </c>
      <c r="G2005" s="3" t="inlineStr">
        <is>
          <t>FRANCHI</t>
        </is>
      </c>
      <c r="H2005" s="65" t="inlineStr">
        <is>
          <t>HORIZON VARMINT BRONZE OPT SUBALP 24"</t>
        </is>
      </c>
      <c r="I2005" s="65" t="inlineStr">
        <is>
          <t>FB082627B</t>
        </is>
      </c>
      <c r="J2005" s="65" t="inlineStr">
        <is>
          <t>N/D</t>
        </is>
      </c>
      <c r="K2005" s="65" t="inlineStr">
        <is>
          <t>N/D</t>
        </is>
      </c>
      <c r="L2005" s="127" t="inlineStr">
        <is>
          <t>BENELLI ARMI SPA</t>
        </is>
      </c>
      <c r="M2005" s="5" t="n">
        <v>638</v>
      </c>
      <c r="N2005" s="5" t="n"/>
      <c r="O2005" s="5">
        <f>+M2005+N2005</f>
        <v/>
      </c>
      <c r="P2005" s="4" t="n">
        <v>45863</v>
      </c>
      <c r="Q2005" s="87" t="n">
        <v>45856</v>
      </c>
      <c r="R2005" s="5" t="n">
        <v>727.3200000000001</v>
      </c>
      <c r="S2005" s="2" t="n">
        <v>1</v>
      </c>
      <c r="T2005" s="3" t="inlineStr">
        <is>
          <t>6B/2025/2S</t>
        </is>
      </c>
      <c r="U2005" s="87" t="n">
        <v>45873</v>
      </c>
      <c r="V2005" s="3" t="inlineStr">
        <is>
          <t>19</t>
        </is>
      </c>
      <c r="W2005" s="87" t="n">
        <v>45873</v>
      </c>
      <c r="X2005" s="4" t="inlineStr">
        <is>
          <t xml:space="preserve">Bin Humaid National Trading Co </t>
        </is>
      </c>
    </row>
    <row r="2006" ht="24" customHeight="1">
      <c r="A2006" s="2">
        <f>+D2006-S2006</f>
        <v/>
      </c>
      <c r="B2006" s="80" t="n">
        <v>3624</v>
      </c>
      <c r="C2006" s="66" t="n">
        <v>45863</v>
      </c>
      <c r="D2006" s="2" t="n">
        <v>1</v>
      </c>
      <c r="E2006" s="3" t="inlineStr">
        <is>
          <t>CARABINA</t>
        </is>
      </c>
      <c r="F2006" s="3" t="inlineStr">
        <is>
          <t>223 REM</t>
        </is>
      </c>
      <c r="G2006" s="3" t="inlineStr">
        <is>
          <t>FRANCHI</t>
        </is>
      </c>
      <c r="H2006" s="65" t="inlineStr">
        <is>
          <t>HORIZON VARMINT BRONZE OPT SUBALP 24"</t>
        </is>
      </c>
      <c r="I2006" s="65" t="inlineStr">
        <is>
          <t>FB082628D</t>
        </is>
      </c>
      <c r="J2006" s="65" t="inlineStr">
        <is>
          <t>N/D</t>
        </is>
      </c>
      <c r="K2006" s="65" t="inlineStr">
        <is>
          <t>N/D</t>
        </is>
      </c>
      <c r="L2006" s="127" t="inlineStr">
        <is>
          <t>BENELLI ARMI SPA</t>
        </is>
      </c>
      <c r="M2006" s="5" t="n">
        <v>638</v>
      </c>
      <c r="N2006" s="5" t="n"/>
      <c r="O2006" s="5">
        <f>+M2006+N2006</f>
        <v/>
      </c>
      <c r="P2006" s="4" t="n">
        <v>45863</v>
      </c>
      <c r="Q2006" s="87" t="n">
        <v>45856</v>
      </c>
      <c r="R2006" s="5" t="n">
        <v>727.3200000000001</v>
      </c>
      <c r="S2006" s="2" t="n">
        <v>1</v>
      </c>
      <c r="T2006" s="3" t="inlineStr">
        <is>
          <t>6B/2025/2S</t>
        </is>
      </c>
      <c r="U2006" s="87" t="n">
        <v>45873</v>
      </c>
      <c r="V2006" s="3" t="inlineStr">
        <is>
          <t>19</t>
        </is>
      </c>
      <c r="W2006" s="87" t="n">
        <v>45873</v>
      </c>
      <c r="X2006" s="4" t="inlineStr">
        <is>
          <t xml:space="preserve">Bin Humaid National Trading Co </t>
        </is>
      </c>
    </row>
    <row r="2007" ht="24" customHeight="1">
      <c r="A2007" s="2">
        <f>+D2007-S2007</f>
        <v/>
      </c>
      <c r="B2007" s="80" t="n">
        <v>3625</v>
      </c>
      <c r="C2007" s="66" t="n">
        <v>45863</v>
      </c>
      <c r="D2007" s="2" t="n">
        <v>1</v>
      </c>
      <c r="E2007" s="3" t="inlineStr">
        <is>
          <t>CARABINA</t>
        </is>
      </c>
      <c r="F2007" s="3" t="inlineStr">
        <is>
          <t>223 REM</t>
        </is>
      </c>
      <c r="G2007" s="3" t="inlineStr">
        <is>
          <t>FRANCHI</t>
        </is>
      </c>
      <c r="H2007" s="65" t="inlineStr">
        <is>
          <t>HORIZON VARMINT BRONZE OPT SUBALP 24"</t>
        </is>
      </c>
      <c r="I2007" s="65" t="inlineStr">
        <is>
          <t>FB082635Y</t>
        </is>
      </c>
      <c r="J2007" s="65" t="inlineStr">
        <is>
          <t>N/D</t>
        </is>
      </c>
      <c r="K2007" s="65" t="inlineStr">
        <is>
          <t>N/D</t>
        </is>
      </c>
      <c r="L2007" s="127" t="inlineStr">
        <is>
          <t>BENELLI ARMI SPA</t>
        </is>
      </c>
      <c r="M2007" s="5" t="n">
        <v>638</v>
      </c>
      <c r="N2007" s="5" t="n"/>
      <c r="O2007" s="5">
        <f>+M2007+N2007</f>
        <v/>
      </c>
      <c r="P2007" s="4" t="n">
        <v>45863</v>
      </c>
      <c r="Q2007" s="87" t="n">
        <v>45856</v>
      </c>
      <c r="R2007" s="5" t="n">
        <v>727.3200000000001</v>
      </c>
      <c r="S2007" s="2" t="n">
        <v>1</v>
      </c>
      <c r="T2007" s="3" t="inlineStr">
        <is>
          <t>6B/2025/2S</t>
        </is>
      </c>
      <c r="U2007" s="87" t="n">
        <v>45873</v>
      </c>
      <c r="V2007" s="3" t="inlineStr">
        <is>
          <t>19</t>
        </is>
      </c>
      <c r="W2007" s="87" t="n">
        <v>45873</v>
      </c>
      <c r="X2007" s="4" t="inlineStr">
        <is>
          <t xml:space="preserve">Bin Humaid National Trading Co </t>
        </is>
      </c>
    </row>
    <row r="2008" ht="24" customHeight="1">
      <c r="A2008" s="2">
        <f>+D2008-S2008</f>
        <v/>
      </c>
      <c r="B2008" s="80" t="n">
        <v>3626</v>
      </c>
      <c r="C2008" s="66" t="n">
        <v>45863</v>
      </c>
      <c r="D2008" s="2" t="n">
        <v>1</v>
      </c>
      <c r="E2008" s="3" t="inlineStr">
        <is>
          <t>CARABINA</t>
        </is>
      </c>
      <c r="F2008" s="3" t="inlineStr">
        <is>
          <t>223 REM</t>
        </is>
      </c>
      <c r="G2008" s="3" t="inlineStr">
        <is>
          <t>FRANCHI</t>
        </is>
      </c>
      <c r="H2008" s="65" t="inlineStr">
        <is>
          <t>HORIZON VARMINT BRONZE OPT SUBALP 24"</t>
        </is>
      </c>
      <c r="I2008" s="65" t="inlineStr">
        <is>
          <t>FB082640N</t>
        </is>
      </c>
      <c r="J2008" s="65" t="inlineStr">
        <is>
          <t>N/D</t>
        </is>
      </c>
      <c r="K2008" s="65" t="inlineStr">
        <is>
          <t>N/D</t>
        </is>
      </c>
      <c r="L2008" s="127" t="inlineStr">
        <is>
          <t>BENELLI ARMI SPA</t>
        </is>
      </c>
      <c r="M2008" s="5" t="n">
        <v>638</v>
      </c>
      <c r="N2008" s="5" t="n"/>
      <c r="O2008" s="5">
        <f>+M2008+N2008</f>
        <v/>
      </c>
      <c r="P2008" s="4" t="n">
        <v>45863</v>
      </c>
      <c r="Q2008" s="87" t="n">
        <v>45856</v>
      </c>
      <c r="R2008" s="5" t="n">
        <v>727.3200000000001</v>
      </c>
      <c r="S2008" s="2" t="n">
        <v>1</v>
      </c>
      <c r="T2008" s="3" t="inlineStr">
        <is>
          <t>6B/2025/2S</t>
        </is>
      </c>
      <c r="U2008" s="87" t="n">
        <v>45873</v>
      </c>
      <c r="V2008" s="3" t="inlineStr">
        <is>
          <t>19</t>
        </is>
      </c>
      <c r="W2008" s="87" t="n">
        <v>45873</v>
      </c>
      <c r="X2008" s="4" t="inlineStr">
        <is>
          <t xml:space="preserve">Bin Humaid National Trading Co </t>
        </is>
      </c>
    </row>
    <row r="2009" ht="24" customHeight="1">
      <c r="A2009" s="2">
        <f>+D2009-S2009</f>
        <v/>
      </c>
      <c r="B2009" s="80" t="n">
        <v>3627</v>
      </c>
      <c r="C2009" s="66" t="n">
        <v>45863</v>
      </c>
      <c r="D2009" s="2" t="n">
        <v>1</v>
      </c>
      <c r="E2009" s="3" t="inlineStr">
        <is>
          <t>FUCILE SEMIAUTOMATICO</t>
        </is>
      </c>
      <c r="F2009" s="3" t="inlineStr">
        <is>
          <t>12</t>
        </is>
      </c>
      <c r="G2009" s="3" t="inlineStr">
        <is>
          <t>FRANCHI</t>
        </is>
      </c>
      <c r="H2009" s="65" t="inlineStr">
        <is>
          <t>AFFINITY 3 30" 3-ICK FLAT RIB SYNT</t>
        </is>
      </c>
      <c r="I2009" s="65" t="inlineStr">
        <is>
          <t>BL069441N</t>
        </is>
      </c>
      <c r="J2009" s="65" t="inlineStr">
        <is>
          <t>CL071793Y</t>
        </is>
      </c>
      <c r="K2009" s="65" t="inlineStr">
        <is>
          <t>N/D</t>
        </is>
      </c>
      <c r="L2009" s="127" t="inlineStr">
        <is>
          <t>BENELLI ARMI SPA</t>
        </is>
      </c>
      <c r="M2009" s="5" t="n">
        <v>451</v>
      </c>
      <c r="N2009" s="5" t="n"/>
      <c r="O2009" s="5">
        <f>+M2009+N2009</f>
        <v/>
      </c>
      <c r="P2009" s="4" t="n">
        <v>45863</v>
      </c>
      <c r="Q2009" s="87" t="n">
        <v>45856</v>
      </c>
      <c r="R2009" s="5" t="n">
        <v>628.14</v>
      </c>
      <c r="S2009" s="2" t="n">
        <v>1</v>
      </c>
      <c r="T2009" s="3" t="inlineStr">
        <is>
          <t>6B/2025/2S</t>
        </is>
      </c>
      <c r="U2009" s="87" t="n">
        <v>45873</v>
      </c>
      <c r="V2009" s="3" t="inlineStr">
        <is>
          <t>19</t>
        </is>
      </c>
      <c r="W2009" s="87" t="n">
        <v>45873</v>
      </c>
      <c r="X2009" s="4" t="inlineStr">
        <is>
          <t xml:space="preserve">Bin Humaid National Trading Co </t>
        </is>
      </c>
    </row>
    <row r="2010" ht="24" customHeight="1">
      <c r="A2010" s="2">
        <f>+D2010-S2010</f>
        <v/>
      </c>
      <c r="B2010" s="80" t="n">
        <v>3628</v>
      </c>
      <c r="C2010" s="66" t="n">
        <v>45863</v>
      </c>
      <c r="D2010" s="2" t="n">
        <v>1</v>
      </c>
      <c r="E2010" s="3" t="inlineStr">
        <is>
          <t>FUCILE SEMIAUTOMATICO</t>
        </is>
      </c>
      <c r="F2010" s="3" t="inlineStr">
        <is>
          <t>12</t>
        </is>
      </c>
      <c r="G2010" s="3" t="inlineStr">
        <is>
          <t>FRANCHI</t>
        </is>
      </c>
      <c r="H2010" s="65" t="inlineStr">
        <is>
          <t>AFFINITY 3 30" 3-ICK FLAT RIB SYNT</t>
        </is>
      </c>
      <c r="I2010" s="65" t="inlineStr">
        <is>
          <t>BL069443S</t>
        </is>
      </c>
      <c r="J2010" s="65" t="inlineStr">
        <is>
          <t>CL071794A</t>
        </is>
      </c>
      <c r="K2010" s="65" t="inlineStr">
        <is>
          <t>N/D</t>
        </is>
      </c>
      <c r="L2010" s="127" t="inlineStr">
        <is>
          <t>BENELLI ARMI SPA</t>
        </is>
      </c>
      <c r="M2010" s="5" t="n">
        <v>451</v>
      </c>
      <c r="N2010" s="5" t="n"/>
      <c r="O2010" s="5">
        <f>+M2010+N2010</f>
        <v/>
      </c>
      <c r="P2010" s="4" t="n">
        <v>45863</v>
      </c>
      <c r="Q2010" s="87" t="n">
        <v>45856</v>
      </c>
      <c r="R2010" s="5" t="n">
        <v>628.14</v>
      </c>
      <c r="S2010" s="2" t="n">
        <v>1</v>
      </c>
      <c r="T2010" s="3" t="inlineStr">
        <is>
          <t>6B/2025/2S</t>
        </is>
      </c>
      <c r="U2010" s="87" t="n">
        <v>45873</v>
      </c>
      <c r="V2010" s="3" t="inlineStr">
        <is>
          <t>19</t>
        </is>
      </c>
      <c r="W2010" s="87" t="n">
        <v>45873</v>
      </c>
      <c r="X2010" s="4" t="inlineStr">
        <is>
          <t xml:space="preserve">Bin Humaid National Trading Co </t>
        </is>
      </c>
    </row>
    <row r="2011" ht="24" customHeight="1">
      <c r="A2011" s="2">
        <f>+D2011-S2011</f>
        <v/>
      </c>
      <c r="B2011" s="80" t="n">
        <v>3629</v>
      </c>
      <c r="C2011" s="66" t="n">
        <v>45863</v>
      </c>
      <c r="D2011" s="2" t="n">
        <v>1</v>
      </c>
      <c r="E2011" s="3" t="inlineStr">
        <is>
          <t>FUCILE SEMIAUTOMATICO</t>
        </is>
      </c>
      <c r="F2011" s="3" t="inlineStr">
        <is>
          <t>12</t>
        </is>
      </c>
      <c r="G2011" s="3" t="inlineStr">
        <is>
          <t>FRANCHI</t>
        </is>
      </c>
      <c r="H2011" s="65" t="inlineStr">
        <is>
          <t>AFFINITY 3 30" 3-ICK FLAT RIB SYNT</t>
        </is>
      </c>
      <c r="I2011" s="65" t="inlineStr">
        <is>
          <t>BL069442Q</t>
        </is>
      </c>
      <c r="J2011" s="65" t="inlineStr">
        <is>
          <t>CL071791U</t>
        </is>
      </c>
      <c r="K2011" s="65" t="inlineStr">
        <is>
          <t>N/D</t>
        </is>
      </c>
      <c r="L2011" s="127" t="inlineStr">
        <is>
          <t>BENELLI ARMI SPA</t>
        </is>
      </c>
      <c r="M2011" s="5" t="n">
        <v>451</v>
      </c>
      <c r="N2011" s="5" t="n"/>
      <c r="O2011" s="5">
        <f>+M2011+N2011</f>
        <v/>
      </c>
      <c r="P2011" s="4" t="n">
        <v>45863</v>
      </c>
      <c r="Q2011" s="87" t="n">
        <v>45856</v>
      </c>
      <c r="R2011" s="5" t="n">
        <v>628.14</v>
      </c>
      <c r="S2011" s="2" t="n">
        <v>1</v>
      </c>
      <c r="T2011" s="3" t="inlineStr">
        <is>
          <t>6B/2025/2S</t>
        </is>
      </c>
      <c r="U2011" s="87" t="n">
        <v>45873</v>
      </c>
      <c r="V2011" s="3" t="inlineStr">
        <is>
          <t>19</t>
        </is>
      </c>
      <c r="W2011" s="87" t="n">
        <v>45873</v>
      </c>
      <c r="X2011" s="4" t="inlineStr">
        <is>
          <t xml:space="preserve">Bin Humaid National Trading Co </t>
        </is>
      </c>
    </row>
    <row r="2012" ht="24" customHeight="1">
      <c r="A2012" s="2">
        <f>+D2012-S2012</f>
        <v/>
      </c>
      <c r="B2012" s="80" t="n">
        <v>3630</v>
      </c>
      <c r="C2012" s="66" t="n">
        <v>45863</v>
      </c>
      <c r="D2012" s="2" t="n">
        <v>1</v>
      </c>
      <c r="E2012" s="3" t="inlineStr">
        <is>
          <t>FUCILE SEMIAUTOMATICO</t>
        </is>
      </c>
      <c r="F2012" s="3" t="inlineStr">
        <is>
          <t>12</t>
        </is>
      </c>
      <c r="G2012" s="3" t="inlineStr">
        <is>
          <t>FRANCHI</t>
        </is>
      </c>
      <c r="H2012" s="65" t="inlineStr">
        <is>
          <t>AFFINITY 3 30" 3-ICK FLAT RIB SYNT</t>
        </is>
      </c>
      <c r="I2012" s="65" t="inlineStr">
        <is>
          <t>BL070672R</t>
        </is>
      </c>
      <c r="J2012" s="65" t="inlineStr">
        <is>
          <t>CL077461Q</t>
        </is>
      </c>
      <c r="K2012" s="65" t="inlineStr">
        <is>
          <t>N/D</t>
        </is>
      </c>
      <c r="L2012" s="127" t="inlineStr">
        <is>
          <t>BENELLI ARMI SPA</t>
        </is>
      </c>
      <c r="M2012" s="5" t="n">
        <v>451</v>
      </c>
      <c r="N2012" s="5" t="n"/>
      <c r="O2012" s="5">
        <f>+M2012+N2012</f>
        <v/>
      </c>
      <c r="P2012" s="4" t="n">
        <v>45863</v>
      </c>
      <c r="Q2012" s="87" t="n">
        <v>45856</v>
      </c>
      <c r="R2012" s="5" t="n">
        <v>628.14</v>
      </c>
      <c r="S2012" s="2" t="n">
        <v>1</v>
      </c>
      <c r="T2012" s="3" t="inlineStr">
        <is>
          <t>6B/2025/2S</t>
        </is>
      </c>
      <c r="U2012" s="87" t="n">
        <v>45873</v>
      </c>
      <c r="V2012" s="3" t="inlineStr">
        <is>
          <t>19</t>
        </is>
      </c>
      <c r="W2012" s="87" t="n">
        <v>45873</v>
      </c>
      <c r="X2012" s="4" t="inlineStr">
        <is>
          <t xml:space="preserve">Bin Humaid National Trading Co </t>
        </is>
      </c>
    </row>
    <row r="2013" ht="24" customHeight="1">
      <c r="A2013" s="2">
        <f>+D2013-S2013</f>
        <v/>
      </c>
      <c r="B2013" s="80" t="n">
        <v>3631</v>
      </c>
      <c r="C2013" s="66" t="n">
        <v>45863</v>
      </c>
      <c r="D2013" s="2" t="n">
        <v>1</v>
      </c>
      <c r="E2013" s="3" t="inlineStr">
        <is>
          <t>FUCILE SEMIAUTOMATICO</t>
        </is>
      </c>
      <c r="F2013" s="3" t="inlineStr">
        <is>
          <t>12</t>
        </is>
      </c>
      <c r="G2013" s="3" t="inlineStr">
        <is>
          <t>FRANCHI</t>
        </is>
      </c>
      <c r="H2013" s="65" t="inlineStr">
        <is>
          <t>AFFINITY 3 30" 3-ICK FLAT RIB SYNT</t>
        </is>
      </c>
      <c r="I2013" s="65" t="inlineStr">
        <is>
          <t>BL081647C</t>
        </is>
      </c>
      <c r="J2013" s="65" t="inlineStr">
        <is>
          <t>CL076626B</t>
        </is>
      </c>
      <c r="K2013" s="65" t="inlineStr">
        <is>
          <t>N/D</t>
        </is>
      </c>
      <c r="L2013" s="127" t="inlineStr">
        <is>
          <t>BENELLI ARMI SPA</t>
        </is>
      </c>
      <c r="M2013" s="5" t="n">
        <v>451</v>
      </c>
      <c r="N2013" s="5" t="n"/>
      <c r="O2013" s="5">
        <f>+M2013+N2013</f>
        <v/>
      </c>
      <c r="P2013" s="4" t="n">
        <v>45863</v>
      </c>
      <c r="Q2013" s="87" t="n">
        <v>45856</v>
      </c>
      <c r="R2013" s="5" t="n">
        <v>628.14</v>
      </c>
      <c r="S2013" s="2" t="n">
        <v>1</v>
      </c>
      <c r="T2013" s="3" t="inlineStr">
        <is>
          <t>6B/2025/2S</t>
        </is>
      </c>
      <c r="U2013" s="87" t="n">
        <v>45873</v>
      </c>
      <c r="V2013" s="3" t="inlineStr">
        <is>
          <t>19</t>
        </is>
      </c>
      <c r="W2013" s="87" t="n">
        <v>45873</v>
      </c>
      <c r="X2013" s="4" t="inlineStr">
        <is>
          <t xml:space="preserve">Bin Humaid National Trading Co </t>
        </is>
      </c>
    </row>
    <row r="2014" ht="24" customHeight="1">
      <c r="A2014" s="2">
        <f>+D2014-S2014</f>
        <v/>
      </c>
      <c r="B2014" s="80" t="n">
        <v>3632</v>
      </c>
      <c r="C2014" s="66" t="n">
        <v>45863</v>
      </c>
      <c r="D2014" s="2" t="n">
        <v>1</v>
      </c>
      <c r="E2014" s="3" t="inlineStr">
        <is>
          <t>FUCILE SEMIAUTOMATICO</t>
        </is>
      </c>
      <c r="F2014" s="3" t="inlineStr">
        <is>
          <t>12</t>
        </is>
      </c>
      <c r="G2014" s="3" t="inlineStr">
        <is>
          <t>FRANCHI</t>
        </is>
      </c>
      <c r="H2014" s="65" t="inlineStr">
        <is>
          <t>AFFINITY 3 30" 3-ICK FLAT RIB SYNT</t>
        </is>
      </c>
      <c r="I2014" s="65" t="inlineStr">
        <is>
          <t>BL092072J</t>
        </is>
      </c>
      <c r="J2014" s="65" t="inlineStr">
        <is>
          <t>CL094733Z</t>
        </is>
      </c>
      <c r="K2014" s="65" t="inlineStr">
        <is>
          <t>N/D</t>
        </is>
      </c>
      <c r="L2014" s="127" t="inlineStr">
        <is>
          <t>BENELLI ARMI SPA</t>
        </is>
      </c>
      <c r="M2014" s="5" t="n">
        <v>451</v>
      </c>
      <c r="N2014" s="5" t="n"/>
      <c r="O2014" s="5">
        <f>+M2014+N2014</f>
        <v/>
      </c>
      <c r="P2014" s="4" t="n">
        <v>45863</v>
      </c>
      <c r="Q2014" s="87" t="n">
        <v>45856</v>
      </c>
      <c r="R2014" s="5" t="n">
        <v>628.14</v>
      </c>
      <c r="S2014" s="2" t="n">
        <v>1</v>
      </c>
      <c r="T2014" s="3" t="inlineStr">
        <is>
          <t>6B/2025/2S</t>
        </is>
      </c>
      <c r="U2014" s="87" t="n">
        <v>45873</v>
      </c>
      <c r="V2014" s="3" t="inlineStr">
        <is>
          <t>19</t>
        </is>
      </c>
      <c r="W2014" s="87" t="n">
        <v>45873</v>
      </c>
      <c r="X2014" s="4" t="inlineStr">
        <is>
          <t xml:space="preserve">Bin Humaid National Trading Co </t>
        </is>
      </c>
    </row>
    <row r="2015" ht="24" customHeight="1">
      <c r="A2015" s="2">
        <f>+D2015-S2015</f>
        <v/>
      </c>
      <c r="B2015" s="80" t="n">
        <v>3633</v>
      </c>
      <c r="C2015" s="66" t="n">
        <v>45863</v>
      </c>
      <c r="D2015" s="2" t="n">
        <v>1</v>
      </c>
      <c r="E2015" s="3" t="inlineStr">
        <is>
          <t>FUCILE SEMIAUTOMATICO</t>
        </is>
      </c>
      <c r="F2015" s="3" t="inlineStr">
        <is>
          <t>12</t>
        </is>
      </c>
      <c r="G2015" s="3" t="inlineStr">
        <is>
          <t>FRANCHI</t>
        </is>
      </c>
      <c r="H2015" s="65" t="inlineStr">
        <is>
          <t>AFFINITY 3 30" 3-ICK FLAT RIB SYNT</t>
        </is>
      </c>
      <c r="I2015" s="65" t="inlineStr">
        <is>
          <t>BL092074N</t>
        </is>
      </c>
      <c r="J2015" s="65" t="inlineStr">
        <is>
          <t>CL094750V</t>
        </is>
      </c>
      <c r="K2015" s="65" t="inlineStr">
        <is>
          <t>N/D</t>
        </is>
      </c>
      <c r="L2015" s="127" t="inlineStr">
        <is>
          <t>BENELLI ARMI SPA</t>
        </is>
      </c>
      <c r="M2015" s="5" t="n">
        <v>451</v>
      </c>
      <c r="N2015" s="5" t="n"/>
      <c r="O2015" s="5">
        <f>+M2015+N2015</f>
        <v/>
      </c>
      <c r="P2015" s="4" t="n">
        <v>45863</v>
      </c>
      <c r="Q2015" s="87" t="n">
        <v>45856</v>
      </c>
      <c r="R2015" s="5" t="n">
        <v>628.14</v>
      </c>
      <c r="S2015" s="2" t="n">
        <v>1</v>
      </c>
      <c r="T2015" s="3" t="inlineStr">
        <is>
          <t>6B/2025/2S</t>
        </is>
      </c>
      <c r="U2015" s="87" t="n">
        <v>45873</v>
      </c>
      <c r="V2015" s="3" t="inlineStr">
        <is>
          <t>19</t>
        </is>
      </c>
      <c r="W2015" s="87" t="n">
        <v>45873</v>
      </c>
      <c r="X2015" s="4" t="inlineStr">
        <is>
          <t xml:space="preserve">Bin Humaid National Trading Co </t>
        </is>
      </c>
    </row>
    <row r="2016" ht="24" customHeight="1">
      <c r="A2016" s="2">
        <f>+D2016-S2016</f>
        <v/>
      </c>
      <c r="B2016" s="80" t="n">
        <v>3634</v>
      </c>
      <c r="C2016" s="66" t="n">
        <v>45863</v>
      </c>
      <c r="D2016" s="2" t="n">
        <v>1</v>
      </c>
      <c r="E2016" s="3" t="inlineStr">
        <is>
          <t>FUCILE SEMIAUTOMATICO</t>
        </is>
      </c>
      <c r="F2016" s="3" t="inlineStr">
        <is>
          <t>12</t>
        </is>
      </c>
      <c r="G2016" s="3" t="inlineStr">
        <is>
          <t>FRANCHI</t>
        </is>
      </c>
      <c r="H2016" s="65" t="inlineStr">
        <is>
          <t>AFFINITY 3 30" 3-ICK FLAT RIB SYNT</t>
        </is>
      </c>
      <c r="I2016" s="65" t="inlineStr">
        <is>
          <t>BL092075R</t>
        </is>
      </c>
      <c r="J2016" s="65" t="inlineStr">
        <is>
          <t>CL094747K</t>
        </is>
      </c>
      <c r="K2016" s="65" t="inlineStr">
        <is>
          <t>N/D</t>
        </is>
      </c>
      <c r="L2016" s="127" t="inlineStr">
        <is>
          <t>BENELLI ARMI SPA</t>
        </is>
      </c>
      <c r="M2016" s="5" t="n">
        <v>451</v>
      </c>
      <c r="N2016" s="5" t="n"/>
      <c r="O2016" s="5">
        <f>+M2016+N2016</f>
        <v/>
      </c>
      <c r="P2016" s="4" t="n">
        <v>45863</v>
      </c>
      <c r="Q2016" s="87" t="n">
        <v>45856</v>
      </c>
      <c r="R2016" s="5" t="n">
        <v>628.14</v>
      </c>
      <c r="S2016" s="2" t="n">
        <v>1</v>
      </c>
      <c r="T2016" s="3" t="inlineStr">
        <is>
          <t>6B/2025/2S</t>
        </is>
      </c>
      <c r="U2016" s="87" t="n">
        <v>45873</v>
      </c>
      <c r="V2016" s="3" t="inlineStr">
        <is>
          <t>19</t>
        </is>
      </c>
      <c r="W2016" s="87" t="n">
        <v>45873</v>
      </c>
      <c r="X2016" s="4" t="inlineStr">
        <is>
          <t xml:space="preserve">Bin Humaid National Trading Co </t>
        </is>
      </c>
    </row>
    <row r="2017" ht="24" customHeight="1">
      <c r="A2017" s="2">
        <f>+D2017-S2017</f>
        <v/>
      </c>
      <c r="B2017" s="80" t="n">
        <v>3635</v>
      </c>
      <c r="C2017" s="66" t="n">
        <v>45863</v>
      </c>
      <c r="D2017" s="2" t="n">
        <v>1</v>
      </c>
      <c r="E2017" s="3" t="inlineStr">
        <is>
          <t>FUCILE SEMIAUTOMATICO</t>
        </is>
      </c>
      <c r="F2017" s="3" t="inlineStr">
        <is>
          <t>12</t>
        </is>
      </c>
      <c r="G2017" s="3" t="inlineStr">
        <is>
          <t>FRANCHI</t>
        </is>
      </c>
      <c r="H2017" s="65" t="inlineStr">
        <is>
          <t>AFFINITY 3 30" 3-ICK FLAT RIB SYNT</t>
        </is>
      </c>
      <c r="I2017" s="65" t="inlineStr">
        <is>
          <t>BL092077V</t>
        </is>
      </c>
      <c r="J2017" s="65" t="inlineStr">
        <is>
          <t>CL094734B</t>
        </is>
      </c>
      <c r="K2017" s="65" t="inlineStr">
        <is>
          <t>N/D</t>
        </is>
      </c>
      <c r="L2017" s="127" t="inlineStr">
        <is>
          <t>BENELLI ARMI SPA</t>
        </is>
      </c>
      <c r="M2017" s="5" t="n">
        <v>451</v>
      </c>
      <c r="N2017" s="5" t="n"/>
      <c r="O2017" s="5">
        <f>+M2017+N2017</f>
        <v/>
      </c>
      <c r="P2017" s="4" t="n">
        <v>45863</v>
      </c>
      <c r="Q2017" s="87" t="n">
        <v>45856</v>
      </c>
      <c r="R2017" s="5" t="n">
        <v>628.14</v>
      </c>
      <c r="S2017" s="2" t="n">
        <v>1</v>
      </c>
      <c r="T2017" s="3" t="inlineStr">
        <is>
          <t>6B/2025/2S</t>
        </is>
      </c>
      <c r="U2017" s="87" t="n">
        <v>45873</v>
      </c>
      <c r="V2017" s="3" t="inlineStr">
        <is>
          <t>19</t>
        </is>
      </c>
      <c r="W2017" s="87" t="n">
        <v>45873</v>
      </c>
      <c r="X2017" s="4" t="inlineStr">
        <is>
          <t xml:space="preserve">Bin Humaid National Trading Co </t>
        </is>
      </c>
    </row>
    <row r="2018" ht="24" customHeight="1">
      <c r="A2018" s="2">
        <f>+D2018-S2018</f>
        <v/>
      </c>
      <c r="B2018" s="80" t="n">
        <v>3636</v>
      </c>
      <c r="C2018" s="66" t="n">
        <v>45863</v>
      </c>
      <c r="D2018" s="2" t="n">
        <v>1</v>
      </c>
      <c r="E2018" s="3" t="inlineStr">
        <is>
          <t>FUCILE SEMIAUTOMATICO</t>
        </is>
      </c>
      <c r="F2018" s="3" t="inlineStr">
        <is>
          <t>12</t>
        </is>
      </c>
      <c r="G2018" s="3" t="inlineStr">
        <is>
          <t>FRANCHI</t>
        </is>
      </c>
      <c r="H2018" s="65" t="inlineStr">
        <is>
          <t>AFFINITY 3 30" 3-ICK FLAT RIB SYNT</t>
        </is>
      </c>
      <c r="I2018" s="65" t="inlineStr">
        <is>
          <t>BL092080F</t>
        </is>
      </c>
      <c r="J2018" s="65" t="inlineStr">
        <is>
          <t>CL094739N</t>
        </is>
      </c>
      <c r="K2018" s="65" t="inlineStr">
        <is>
          <t>N/D</t>
        </is>
      </c>
      <c r="L2018" s="127" t="inlineStr">
        <is>
          <t>BENELLI ARMI SPA</t>
        </is>
      </c>
      <c r="M2018" s="5" t="n">
        <v>451</v>
      </c>
      <c r="N2018" s="5" t="n"/>
      <c r="O2018" s="5">
        <f>+M2018+N2018</f>
        <v/>
      </c>
      <c r="P2018" s="4" t="n">
        <v>45863</v>
      </c>
      <c r="Q2018" s="87" t="n">
        <v>45856</v>
      </c>
      <c r="R2018" s="5" t="n">
        <v>628.14</v>
      </c>
      <c r="S2018" s="2" t="n">
        <v>1</v>
      </c>
      <c r="T2018" s="3" t="inlineStr">
        <is>
          <t>6B/2025/2S</t>
        </is>
      </c>
      <c r="U2018" s="87" t="n">
        <v>45873</v>
      </c>
      <c r="V2018" s="3" t="inlineStr">
        <is>
          <t>19</t>
        </is>
      </c>
      <c r="W2018" s="87" t="n">
        <v>45873</v>
      </c>
      <c r="X2018" s="4" t="inlineStr">
        <is>
          <t xml:space="preserve">Bin Humaid National Trading Co </t>
        </is>
      </c>
    </row>
    <row r="2019" ht="24" customHeight="1">
      <c r="A2019" s="2">
        <f>+D2019-S2019</f>
        <v/>
      </c>
      <c r="B2019" s="80" t="n">
        <v>3637</v>
      </c>
      <c r="C2019" s="66" t="n">
        <v>45863</v>
      </c>
      <c r="D2019" s="2" t="n">
        <v>1</v>
      </c>
      <c r="E2019" s="3" t="inlineStr">
        <is>
          <t>FUCILE SEMIAUTOMATICO</t>
        </is>
      </c>
      <c r="F2019" s="3" t="inlineStr">
        <is>
          <t>12</t>
        </is>
      </c>
      <c r="G2019" s="3" t="inlineStr">
        <is>
          <t>FRANCHI</t>
        </is>
      </c>
      <c r="H2019" s="65" t="inlineStr">
        <is>
          <t>AFFINITY 3 30" 3-ICK FLAT RIB SYNT</t>
        </is>
      </c>
      <c r="I2019" s="65" t="inlineStr">
        <is>
          <t>BL092226S</t>
        </is>
      </c>
      <c r="J2019" s="65" t="inlineStr">
        <is>
          <t>CL094917L</t>
        </is>
      </c>
      <c r="K2019" s="65" t="inlineStr">
        <is>
          <t>N/D</t>
        </is>
      </c>
      <c r="L2019" s="127" t="inlineStr">
        <is>
          <t>BENELLI ARMI SPA</t>
        </is>
      </c>
      <c r="M2019" s="5" t="n">
        <v>451</v>
      </c>
      <c r="N2019" s="5" t="n"/>
      <c r="O2019" s="5">
        <f>+M2019+N2019</f>
        <v/>
      </c>
      <c r="P2019" s="4" t="n">
        <v>45863</v>
      </c>
      <c r="Q2019" s="87" t="n">
        <v>45856</v>
      </c>
      <c r="R2019" s="5" t="n">
        <v>628.14</v>
      </c>
      <c r="S2019" s="2" t="n">
        <v>1</v>
      </c>
      <c r="T2019" s="3" t="inlineStr">
        <is>
          <t>6B/2025/2S</t>
        </is>
      </c>
      <c r="U2019" s="87" t="n">
        <v>45873</v>
      </c>
      <c r="V2019" s="3" t="inlineStr">
        <is>
          <t>19</t>
        </is>
      </c>
      <c r="W2019" s="87" t="n">
        <v>45873</v>
      </c>
      <c r="X2019" s="4" t="inlineStr">
        <is>
          <t xml:space="preserve">Bin Humaid National Trading Co </t>
        </is>
      </c>
    </row>
    <row r="2020" ht="24" customHeight="1">
      <c r="A2020" s="2">
        <f>+D2020-S2020</f>
        <v/>
      </c>
      <c r="B2020" s="80" t="n">
        <v>3638</v>
      </c>
      <c r="C2020" s="66" t="n">
        <v>45863</v>
      </c>
      <c r="D2020" s="2" t="n">
        <v>1</v>
      </c>
      <c r="E2020" s="3" t="inlineStr">
        <is>
          <t>FUCILE SEMIAUTOMATICO</t>
        </is>
      </c>
      <c r="F2020" s="3" t="inlineStr">
        <is>
          <t>12</t>
        </is>
      </c>
      <c r="G2020" s="3" t="inlineStr">
        <is>
          <t>FRANCHI</t>
        </is>
      </c>
      <c r="H2020" s="65" t="inlineStr">
        <is>
          <t>AFFINITY 3 30" 3-ICK FLAT RIB SYNT</t>
        </is>
      </c>
      <c r="I2020" s="65" t="inlineStr">
        <is>
          <t>BL092243M</t>
        </is>
      </c>
      <c r="J2020" s="65" t="inlineStr">
        <is>
          <t>CL094915G</t>
        </is>
      </c>
      <c r="K2020" s="65" t="inlineStr">
        <is>
          <t>N/D</t>
        </is>
      </c>
      <c r="L2020" s="127" t="inlineStr">
        <is>
          <t>BENELLI ARMI SPA</t>
        </is>
      </c>
      <c r="M2020" s="5" t="n">
        <v>451</v>
      </c>
      <c r="N2020" s="5" t="n"/>
      <c r="O2020" s="5">
        <f>+M2020+N2020</f>
        <v/>
      </c>
      <c r="P2020" s="4" t="n">
        <v>45863</v>
      </c>
      <c r="Q2020" s="87" t="n">
        <v>45856</v>
      </c>
      <c r="R2020" s="5" t="n">
        <v>628.14</v>
      </c>
      <c r="S2020" s="2" t="n">
        <v>1</v>
      </c>
      <c r="T2020" s="3" t="inlineStr">
        <is>
          <t>6B/2025/2S</t>
        </is>
      </c>
      <c r="U2020" s="87" t="n">
        <v>45873</v>
      </c>
      <c r="V2020" s="3" t="inlineStr">
        <is>
          <t>19</t>
        </is>
      </c>
      <c r="W2020" s="87" t="n">
        <v>45873</v>
      </c>
      <c r="X2020" s="4" t="inlineStr">
        <is>
          <t xml:space="preserve">Bin Humaid National Trading Co </t>
        </is>
      </c>
    </row>
    <row r="2021" ht="24" customHeight="1">
      <c r="A2021" s="2">
        <f>+D2021-S2021</f>
        <v/>
      </c>
      <c r="B2021" s="80" t="n">
        <v>3639</v>
      </c>
      <c r="C2021" s="66" t="n">
        <v>45863</v>
      </c>
      <c r="D2021" s="2" t="n">
        <v>1</v>
      </c>
      <c r="E2021" s="3" t="inlineStr">
        <is>
          <t>FUCILE SEMIAUTOMATICO</t>
        </is>
      </c>
      <c r="F2021" s="3" t="inlineStr">
        <is>
          <t>12</t>
        </is>
      </c>
      <c r="G2021" s="3" t="inlineStr">
        <is>
          <t>FRANCHI</t>
        </is>
      </c>
      <c r="H2021" s="65" t="inlineStr">
        <is>
          <t>AFFINITY 3 30" 3-ICK FLAT RIB SYNT</t>
        </is>
      </c>
      <c r="I2021" s="65" t="inlineStr">
        <is>
          <t>BL092244P</t>
        </is>
      </c>
      <c r="J2021" s="65" t="inlineStr">
        <is>
          <t>CL094913B</t>
        </is>
      </c>
      <c r="K2021" s="65" t="inlineStr">
        <is>
          <t>N/D</t>
        </is>
      </c>
      <c r="L2021" s="127" t="inlineStr">
        <is>
          <t>BENELLI ARMI SPA</t>
        </is>
      </c>
      <c r="M2021" s="5" t="n">
        <v>451</v>
      </c>
      <c r="N2021" s="5" t="n"/>
      <c r="O2021" s="5">
        <f>+M2021+N2021</f>
        <v/>
      </c>
      <c r="P2021" s="4" t="n">
        <v>45863</v>
      </c>
      <c r="Q2021" s="87" t="n">
        <v>45856</v>
      </c>
      <c r="R2021" s="5" t="n">
        <v>628.14</v>
      </c>
      <c r="S2021" s="2" t="n">
        <v>1</v>
      </c>
      <c r="T2021" s="3" t="inlineStr">
        <is>
          <t>6B/2025/2S</t>
        </is>
      </c>
      <c r="U2021" s="87" t="n">
        <v>45873</v>
      </c>
      <c r="V2021" s="3" t="inlineStr">
        <is>
          <t>19</t>
        </is>
      </c>
      <c r="W2021" s="87" t="n">
        <v>45873</v>
      </c>
      <c r="X2021" s="4" t="inlineStr">
        <is>
          <t xml:space="preserve">Bin Humaid National Trading Co </t>
        </is>
      </c>
    </row>
    <row r="2022" ht="24" customHeight="1">
      <c r="A2022" s="2">
        <f>+D2022-S2022</f>
        <v/>
      </c>
      <c r="B2022" s="80" t="n">
        <v>3640</v>
      </c>
      <c r="C2022" s="66" t="n">
        <v>45863</v>
      </c>
      <c r="D2022" s="2" t="n">
        <v>1</v>
      </c>
      <c r="E2022" s="3" t="inlineStr">
        <is>
          <t>FUCILE SEMIAUTOMATICO</t>
        </is>
      </c>
      <c r="F2022" s="3" t="inlineStr">
        <is>
          <t>12</t>
        </is>
      </c>
      <c r="G2022" s="3" t="inlineStr">
        <is>
          <t>FRANCHI</t>
        </is>
      </c>
      <c r="H2022" s="65" t="inlineStr">
        <is>
          <t>AFFINITY 3 30" 3-ICK FLAT RIB SYNT</t>
        </is>
      </c>
      <c r="I2022" s="65" t="inlineStr">
        <is>
          <t>BL092246U</t>
        </is>
      </c>
      <c r="J2022" s="65" t="inlineStr">
        <is>
          <t>CL094912Z</t>
        </is>
      </c>
      <c r="K2022" s="65" t="inlineStr">
        <is>
          <t>N/D</t>
        </is>
      </c>
      <c r="L2022" s="127" t="inlineStr">
        <is>
          <t>BENELLI ARMI SPA</t>
        </is>
      </c>
      <c r="M2022" s="5" t="n">
        <v>451</v>
      </c>
      <c r="N2022" s="5" t="n"/>
      <c r="O2022" s="5">
        <f>+M2022+N2022</f>
        <v/>
      </c>
      <c r="P2022" s="4" t="n">
        <v>45863</v>
      </c>
      <c r="Q2022" s="87" t="n">
        <v>45856</v>
      </c>
      <c r="R2022" s="5" t="n">
        <v>628.14</v>
      </c>
      <c r="S2022" s="2" t="n">
        <v>1</v>
      </c>
      <c r="T2022" s="3" t="inlineStr">
        <is>
          <t>6B/2025/2S</t>
        </is>
      </c>
      <c r="U2022" s="87" t="n">
        <v>45873</v>
      </c>
      <c r="V2022" s="3" t="inlineStr">
        <is>
          <t>19</t>
        </is>
      </c>
      <c r="W2022" s="87" t="n">
        <v>45873</v>
      </c>
      <c r="X2022" s="4" t="inlineStr">
        <is>
          <t xml:space="preserve">Bin Humaid National Trading Co </t>
        </is>
      </c>
    </row>
    <row r="2023" ht="24" customHeight="1">
      <c r="A2023" s="2">
        <f>+D2023-S2023</f>
        <v/>
      </c>
      <c r="B2023" s="80" t="n">
        <v>3641</v>
      </c>
      <c r="C2023" s="66" t="n">
        <v>45863</v>
      </c>
      <c r="D2023" s="2" t="n">
        <v>1</v>
      </c>
      <c r="E2023" s="3" t="inlineStr">
        <is>
          <t>FUCILE SEMIAUTOMATICO</t>
        </is>
      </c>
      <c r="F2023" s="3" t="inlineStr">
        <is>
          <t>12</t>
        </is>
      </c>
      <c r="G2023" s="3" t="inlineStr">
        <is>
          <t>FRANCHI</t>
        </is>
      </c>
      <c r="H2023" s="65" t="inlineStr">
        <is>
          <t>AFFINITY 3 30" 3-ICK FLAT RIB SYNT</t>
        </is>
      </c>
      <c r="I2023" s="65" t="inlineStr">
        <is>
          <t>BL092245S</t>
        </is>
      </c>
      <c r="J2023" s="65" t="inlineStr">
        <is>
          <t>CL094895N</t>
        </is>
      </c>
      <c r="K2023" s="65" t="inlineStr">
        <is>
          <t>N/D</t>
        </is>
      </c>
      <c r="L2023" s="127" t="inlineStr">
        <is>
          <t>BENELLI ARMI SPA</t>
        </is>
      </c>
      <c r="M2023" s="5" t="n">
        <v>451</v>
      </c>
      <c r="N2023" s="5" t="n"/>
      <c r="O2023" s="5">
        <f>+M2023+N2023</f>
        <v/>
      </c>
      <c r="P2023" s="4" t="n">
        <v>45863</v>
      </c>
      <c r="Q2023" s="87" t="n">
        <v>45856</v>
      </c>
      <c r="R2023" s="5" t="n">
        <v>628.14</v>
      </c>
      <c r="S2023" s="2" t="n">
        <v>1</v>
      </c>
      <c r="T2023" s="3" t="inlineStr">
        <is>
          <t>6B/2025/2S</t>
        </is>
      </c>
      <c r="U2023" s="87" t="n">
        <v>45873</v>
      </c>
      <c r="V2023" s="3" t="inlineStr">
        <is>
          <t>19</t>
        </is>
      </c>
      <c r="W2023" s="87" t="n">
        <v>45873</v>
      </c>
      <c r="X2023" s="4" t="inlineStr">
        <is>
          <t xml:space="preserve">Bin Humaid National Trading Co </t>
        </is>
      </c>
    </row>
    <row r="2024" ht="24" customHeight="1">
      <c r="A2024" s="2">
        <f>+D2024-S2024</f>
        <v/>
      </c>
      <c r="B2024" s="80" t="n">
        <v>3642</v>
      </c>
      <c r="C2024" s="66" t="n">
        <v>45863</v>
      </c>
      <c r="D2024" s="2" t="n">
        <v>1</v>
      </c>
      <c r="E2024" s="3" t="inlineStr">
        <is>
          <t>FUCILE SEMIAUTOMATICO</t>
        </is>
      </c>
      <c r="F2024" s="3" t="inlineStr">
        <is>
          <t>12</t>
        </is>
      </c>
      <c r="G2024" s="3" t="inlineStr">
        <is>
          <t>FRANCHI</t>
        </is>
      </c>
      <c r="H2024" s="65" t="inlineStr">
        <is>
          <t>AFFINITY 3 30" 3-ICK FLAT RIB SYNT</t>
        </is>
      </c>
      <c r="I2024" s="65" t="inlineStr">
        <is>
          <t>BL092259B</t>
        </is>
      </c>
      <c r="J2024" s="65" t="inlineStr">
        <is>
          <t>CL094893H</t>
        </is>
      </c>
      <c r="K2024" s="65" t="inlineStr">
        <is>
          <t>N/D</t>
        </is>
      </c>
      <c r="L2024" s="127" t="inlineStr">
        <is>
          <t>BENELLI ARMI SPA</t>
        </is>
      </c>
      <c r="M2024" s="5" t="n">
        <v>451</v>
      </c>
      <c r="N2024" s="5" t="n"/>
      <c r="O2024" s="5">
        <f>+M2024+N2024</f>
        <v/>
      </c>
      <c r="P2024" s="4" t="n">
        <v>45863</v>
      </c>
      <c r="Q2024" s="87" t="n">
        <v>45856</v>
      </c>
      <c r="R2024" s="5" t="n">
        <v>628.14</v>
      </c>
      <c r="S2024" s="2" t="n">
        <v>1</v>
      </c>
      <c r="T2024" s="3" t="inlineStr">
        <is>
          <t>6B/2025/2S</t>
        </is>
      </c>
      <c r="U2024" s="87" t="n">
        <v>45873</v>
      </c>
      <c r="V2024" s="3" t="inlineStr">
        <is>
          <t>19</t>
        </is>
      </c>
      <c r="W2024" s="87" t="n">
        <v>45873</v>
      </c>
      <c r="X2024" s="4" t="inlineStr">
        <is>
          <t xml:space="preserve">Bin Humaid National Trading Co </t>
        </is>
      </c>
    </row>
    <row r="2025" ht="24" customHeight="1">
      <c r="A2025" s="2">
        <f>+D2025-S2025</f>
        <v/>
      </c>
      <c r="B2025" s="80" t="n">
        <v>3643</v>
      </c>
      <c r="C2025" s="66" t="n">
        <v>45863</v>
      </c>
      <c r="D2025" s="2" t="n">
        <v>1</v>
      </c>
      <c r="E2025" s="3" t="inlineStr">
        <is>
          <t>FUCILE SEMIAUTOMATICO</t>
        </is>
      </c>
      <c r="F2025" s="3" t="inlineStr">
        <is>
          <t>12</t>
        </is>
      </c>
      <c r="G2025" s="3" t="inlineStr">
        <is>
          <t>FRANCHI</t>
        </is>
      </c>
      <c r="H2025" s="65" t="inlineStr">
        <is>
          <t>AFFINITY 3 30" 3-ICK FLAT RIB SYNT</t>
        </is>
      </c>
      <c r="I2025" s="65" t="inlineStr">
        <is>
          <t>BL092258Z</t>
        </is>
      </c>
      <c r="J2025" s="65" t="inlineStr">
        <is>
          <t>CL094918N</t>
        </is>
      </c>
      <c r="K2025" s="65" t="inlineStr">
        <is>
          <t>N/D</t>
        </is>
      </c>
      <c r="L2025" s="127" t="inlineStr">
        <is>
          <t>BENELLI ARMI SPA</t>
        </is>
      </c>
      <c r="M2025" s="5" t="n">
        <v>451</v>
      </c>
      <c r="N2025" s="5" t="n"/>
      <c r="O2025" s="5">
        <f>+M2025+N2025</f>
        <v/>
      </c>
      <c r="P2025" s="4" t="n">
        <v>45863</v>
      </c>
      <c r="Q2025" s="87" t="n">
        <v>45856</v>
      </c>
      <c r="R2025" s="5" t="n">
        <v>628.14</v>
      </c>
      <c r="S2025" s="2" t="n">
        <v>1</v>
      </c>
      <c r="T2025" s="3" t="inlineStr">
        <is>
          <t>6B/2025/2S</t>
        </is>
      </c>
      <c r="U2025" s="87" t="n">
        <v>45873</v>
      </c>
      <c r="V2025" s="3" t="inlineStr">
        <is>
          <t>19</t>
        </is>
      </c>
      <c r="W2025" s="87" t="n">
        <v>45873</v>
      </c>
      <c r="X2025" s="4" t="inlineStr">
        <is>
          <t xml:space="preserve">Bin Humaid National Trading Co </t>
        </is>
      </c>
    </row>
    <row r="2026" ht="24" customHeight="1">
      <c r="A2026" s="2">
        <f>+D2026-S2026</f>
        <v/>
      </c>
      <c r="B2026" s="80" t="n">
        <v>3644</v>
      </c>
      <c r="C2026" s="66" t="n">
        <v>45863</v>
      </c>
      <c r="D2026" s="2" t="n">
        <v>1</v>
      </c>
      <c r="E2026" s="3" t="inlineStr">
        <is>
          <t>FUCILE SEMIAUTOMATICO</t>
        </is>
      </c>
      <c r="F2026" s="3" t="inlineStr">
        <is>
          <t>12</t>
        </is>
      </c>
      <c r="G2026" s="3" t="inlineStr">
        <is>
          <t>FRANCHI</t>
        </is>
      </c>
      <c r="H2026" s="65" t="inlineStr">
        <is>
          <t>AFFINITY 3 30" 3-ICK FLAT RIB SYNT</t>
        </is>
      </c>
      <c r="I2026" s="65" t="inlineStr">
        <is>
          <t>BL092248Y</t>
        </is>
      </c>
      <c r="J2026" s="65" t="inlineStr">
        <is>
          <t>CL094919Q</t>
        </is>
      </c>
      <c r="K2026" s="65" t="inlineStr">
        <is>
          <t>N/D</t>
        </is>
      </c>
      <c r="L2026" s="127" t="inlineStr">
        <is>
          <t>BENELLI ARMI SPA</t>
        </is>
      </c>
      <c r="M2026" s="5" t="n">
        <v>451</v>
      </c>
      <c r="N2026" s="5" t="n"/>
      <c r="O2026" s="5">
        <f>+M2026+N2026</f>
        <v/>
      </c>
      <c r="P2026" s="4" t="n">
        <v>45863</v>
      </c>
      <c r="Q2026" s="87" t="n">
        <v>45856</v>
      </c>
      <c r="R2026" s="5" t="n">
        <v>628.14</v>
      </c>
      <c r="S2026" s="2" t="n">
        <v>1</v>
      </c>
      <c r="T2026" s="3" t="inlineStr">
        <is>
          <t>6B/2025/2S</t>
        </is>
      </c>
      <c r="U2026" s="87" t="n">
        <v>45873</v>
      </c>
      <c r="V2026" s="3" t="inlineStr">
        <is>
          <t>19</t>
        </is>
      </c>
      <c r="W2026" s="87" t="n">
        <v>45873</v>
      </c>
      <c r="X2026" s="4" t="inlineStr">
        <is>
          <t xml:space="preserve">Bin Humaid National Trading Co </t>
        </is>
      </c>
    </row>
    <row r="2027" ht="24" customHeight="1">
      <c r="A2027" s="2">
        <f>+D2027-S2027</f>
        <v/>
      </c>
      <c r="B2027" s="80" t="n">
        <v>3645</v>
      </c>
      <c r="C2027" s="66" t="n">
        <v>45863</v>
      </c>
      <c r="D2027" s="2" t="n">
        <v>1</v>
      </c>
      <c r="E2027" s="3" t="inlineStr">
        <is>
          <t>FUCILE SEMIAUTOMATICO</t>
        </is>
      </c>
      <c r="F2027" s="3" t="inlineStr">
        <is>
          <t>12</t>
        </is>
      </c>
      <c r="G2027" s="3" t="inlineStr">
        <is>
          <t>FRANCHI</t>
        </is>
      </c>
      <c r="H2027" s="65" t="inlineStr">
        <is>
          <t>AFFINITY 3 30" 3-ICK FLAT RIB SYNT</t>
        </is>
      </c>
      <c r="I2027" s="65" t="inlineStr">
        <is>
          <t>BL092257X</t>
        </is>
      </c>
      <c r="J2027" s="65" t="inlineStr">
        <is>
          <t>CL094924E</t>
        </is>
      </c>
      <c r="K2027" s="65" t="inlineStr">
        <is>
          <t>N/D</t>
        </is>
      </c>
      <c r="L2027" s="127" t="inlineStr">
        <is>
          <t>BENELLI ARMI SPA</t>
        </is>
      </c>
      <c r="M2027" s="5" t="n">
        <v>451</v>
      </c>
      <c r="N2027" s="5" t="n"/>
      <c r="O2027" s="5">
        <f>+M2027+N2027</f>
        <v/>
      </c>
      <c r="P2027" s="4" t="n">
        <v>45863</v>
      </c>
      <c r="Q2027" s="87" t="n">
        <v>45856</v>
      </c>
      <c r="R2027" s="5" t="n">
        <v>628.14</v>
      </c>
      <c r="S2027" s="2" t="n">
        <v>1</v>
      </c>
      <c r="T2027" s="3" t="inlineStr">
        <is>
          <t>6B/2025/2S</t>
        </is>
      </c>
      <c r="U2027" s="87" t="n">
        <v>45873</v>
      </c>
      <c r="V2027" s="3" t="inlineStr">
        <is>
          <t>19</t>
        </is>
      </c>
      <c r="W2027" s="87" t="n">
        <v>45873</v>
      </c>
      <c r="X2027" s="4" t="inlineStr">
        <is>
          <t xml:space="preserve">Bin Humaid National Trading Co </t>
        </is>
      </c>
    </row>
    <row r="2028" ht="24" customHeight="1">
      <c r="A2028" s="2">
        <f>+D2028-S2028</f>
        <v/>
      </c>
      <c r="B2028" s="80" t="n">
        <v>3646</v>
      </c>
      <c r="C2028" s="66" t="n">
        <v>45863</v>
      </c>
      <c r="D2028" s="2" t="n">
        <v>1</v>
      </c>
      <c r="E2028" s="3" t="inlineStr">
        <is>
          <t>FUCILE SEMIAUTOMATICO</t>
        </is>
      </c>
      <c r="F2028" s="3" t="inlineStr">
        <is>
          <t>12</t>
        </is>
      </c>
      <c r="G2028" s="3" t="inlineStr">
        <is>
          <t>FRANCHI</t>
        </is>
      </c>
      <c r="H2028" s="65" t="inlineStr">
        <is>
          <t>AFFINITY 3 30" 3-ICK FLAT RIB SYNT</t>
        </is>
      </c>
      <c r="I2028" s="65" t="inlineStr">
        <is>
          <t>BL092256V</t>
        </is>
      </c>
      <c r="J2028" s="65" t="inlineStr">
        <is>
          <t>CL094925H</t>
        </is>
      </c>
      <c r="K2028" s="65" t="inlineStr">
        <is>
          <t>N/D</t>
        </is>
      </c>
      <c r="L2028" s="127" t="inlineStr">
        <is>
          <t>BENELLI ARMI SPA</t>
        </is>
      </c>
      <c r="M2028" s="5" t="n">
        <v>451</v>
      </c>
      <c r="N2028" s="5" t="n"/>
      <c r="O2028" s="5">
        <f>+M2028+N2028</f>
        <v/>
      </c>
      <c r="P2028" s="4" t="n">
        <v>45863</v>
      </c>
      <c r="Q2028" s="87" t="n">
        <v>45856</v>
      </c>
      <c r="R2028" s="5" t="n">
        <v>628.14</v>
      </c>
      <c r="S2028" s="2" t="n">
        <v>1</v>
      </c>
      <c r="T2028" s="3" t="inlineStr">
        <is>
          <t>6B/2025/2S</t>
        </is>
      </c>
      <c r="U2028" s="87" t="n">
        <v>45873</v>
      </c>
      <c r="V2028" s="3" t="inlineStr">
        <is>
          <t>19</t>
        </is>
      </c>
      <c r="W2028" s="87" t="n">
        <v>45873</v>
      </c>
      <c r="X2028" s="4" t="inlineStr">
        <is>
          <t xml:space="preserve">Bin Humaid National Trading Co </t>
        </is>
      </c>
    </row>
    <row r="2029" ht="24" customHeight="1">
      <c r="A2029" s="2">
        <f>+D2029-S2029</f>
        <v/>
      </c>
      <c r="B2029" s="80" t="n">
        <v>3647</v>
      </c>
      <c r="C2029" s="66" t="n">
        <v>45863</v>
      </c>
      <c r="D2029" s="2" t="n">
        <v>1</v>
      </c>
      <c r="E2029" s="3" t="inlineStr">
        <is>
          <t>FUCILE SEMIAUTOMATICO</t>
        </is>
      </c>
      <c r="F2029" s="3" t="inlineStr">
        <is>
          <t>12</t>
        </is>
      </c>
      <c r="G2029" s="3" t="inlineStr">
        <is>
          <t>FRANCHI</t>
        </is>
      </c>
      <c r="H2029" s="65" t="inlineStr">
        <is>
          <t>AFFINITY 3 30" 3-ICK FLAT RIB SYNT</t>
        </is>
      </c>
      <c r="I2029" s="65" t="inlineStr">
        <is>
          <t>BL092255T</t>
        </is>
      </c>
      <c r="J2029" s="65" t="inlineStr">
        <is>
          <t>CL094920W</t>
        </is>
      </c>
      <c r="K2029" s="65" t="inlineStr">
        <is>
          <t>N/D</t>
        </is>
      </c>
      <c r="L2029" s="127" t="inlineStr">
        <is>
          <t>BENELLI ARMI SPA</t>
        </is>
      </c>
      <c r="M2029" s="5" t="n">
        <v>451</v>
      </c>
      <c r="N2029" s="5" t="n"/>
      <c r="O2029" s="5">
        <f>+M2029+N2029</f>
        <v/>
      </c>
      <c r="P2029" s="4" t="n">
        <v>45863</v>
      </c>
      <c r="Q2029" s="87" t="n">
        <v>45856</v>
      </c>
      <c r="R2029" s="5" t="n">
        <v>628.14</v>
      </c>
      <c r="S2029" s="2" t="n">
        <v>1</v>
      </c>
      <c r="T2029" s="3" t="inlineStr">
        <is>
          <t>6B/2025/2S</t>
        </is>
      </c>
      <c r="U2029" s="87" t="n">
        <v>45873</v>
      </c>
      <c r="V2029" s="3" t="inlineStr">
        <is>
          <t>19</t>
        </is>
      </c>
      <c r="W2029" s="87" t="n">
        <v>45873</v>
      </c>
      <c r="X2029" s="4" t="inlineStr">
        <is>
          <t xml:space="preserve">Bin Humaid National Trading Co </t>
        </is>
      </c>
    </row>
    <row r="2030" ht="24" customHeight="1">
      <c r="A2030" s="2">
        <f>+D2030-S2030</f>
        <v/>
      </c>
      <c r="B2030" s="80" t="n">
        <v>3648</v>
      </c>
      <c r="C2030" s="66" t="n">
        <v>45863</v>
      </c>
      <c r="D2030" s="2" t="n">
        <v>1</v>
      </c>
      <c r="E2030" s="3" t="inlineStr">
        <is>
          <t>FUCILE SEMIAUTOMATICO</t>
        </is>
      </c>
      <c r="F2030" s="3" t="inlineStr">
        <is>
          <t>12</t>
        </is>
      </c>
      <c r="G2030" s="3" t="inlineStr">
        <is>
          <t>FRANCHI</t>
        </is>
      </c>
      <c r="H2030" s="65" t="inlineStr">
        <is>
          <t>AFFINITY 3 30" 3-ICK FLAT RIB SYNT</t>
        </is>
      </c>
      <c r="I2030" s="65" t="inlineStr">
        <is>
          <t>BL092254Q</t>
        </is>
      </c>
      <c r="J2030" s="65" t="inlineStr">
        <is>
          <t>CL094926K</t>
        </is>
      </c>
      <c r="K2030" s="65" t="inlineStr">
        <is>
          <t>N/D</t>
        </is>
      </c>
      <c r="L2030" s="127" t="inlineStr">
        <is>
          <t>BENELLI ARMI SPA</t>
        </is>
      </c>
      <c r="M2030" s="5" t="n">
        <v>451</v>
      </c>
      <c r="N2030" s="5" t="n"/>
      <c r="O2030" s="5">
        <f>+M2030+N2030</f>
        <v/>
      </c>
      <c r="P2030" s="4" t="n">
        <v>45863</v>
      </c>
      <c r="Q2030" s="87" t="n">
        <v>45856</v>
      </c>
      <c r="R2030" s="5" t="n">
        <v>628.14</v>
      </c>
      <c r="S2030" s="2" t="n">
        <v>1</v>
      </c>
      <c r="T2030" s="3" t="inlineStr">
        <is>
          <t>6B/2025/2S</t>
        </is>
      </c>
      <c r="U2030" s="87" t="n">
        <v>45873</v>
      </c>
      <c r="V2030" s="3" t="inlineStr">
        <is>
          <t>19</t>
        </is>
      </c>
      <c r="W2030" s="87" t="n">
        <v>45873</v>
      </c>
      <c r="X2030" s="4" t="inlineStr">
        <is>
          <t xml:space="preserve">Bin Humaid National Trading Co </t>
        </is>
      </c>
    </row>
    <row r="2031" ht="24" customHeight="1">
      <c r="A2031" s="2">
        <f>+D2031-S2031</f>
        <v/>
      </c>
      <c r="B2031" s="80" t="n">
        <v>3649</v>
      </c>
      <c r="C2031" s="66" t="n">
        <v>45863</v>
      </c>
      <c r="D2031" s="2" t="n">
        <v>1</v>
      </c>
      <c r="E2031" s="3" t="inlineStr">
        <is>
          <t>FUCILE SEMIAUTOMATICO</t>
        </is>
      </c>
      <c r="F2031" s="3" t="inlineStr">
        <is>
          <t>12</t>
        </is>
      </c>
      <c r="G2031" s="3" t="inlineStr">
        <is>
          <t>FRANCHI</t>
        </is>
      </c>
      <c r="H2031" s="65" t="inlineStr">
        <is>
          <t>AFFINITY 3 30" 3-ICK FLAT RIB SYNT</t>
        </is>
      </c>
      <c r="I2031" s="65" t="inlineStr">
        <is>
          <t>BL092253N</t>
        </is>
      </c>
      <c r="J2031" s="65" t="inlineStr">
        <is>
          <t>CL094921Y</t>
        </is>
      </c>
      <c r="K2031" s="65" t="inlineStr">
        <is>
          <t>N/D</t>
        </is>
      </c>
      <c r="L2031" s="127" t="inlineStr">
        <is>
          <t>BENELLI ARMI SPA</t>
        </is>
      </c>
      <c r="M2031" s="5" t="n">
        <v>451</v>
      </c>
      <c r="N2031" s="5" t="n"/>
      <c r="O2031" s="5">
        <f>+M2031+N2031</f>
        <v/>
      </c>
      <c r="P2031" s="4" t="n">
        <v>45863</v>
      </c>
      <c r="Q2031" s="87" t="n">
        <v>45856</v>
      </c>
      <c r="R2031" s="5" t="n">
        <v>628.14</v>
      </c>
      <c r="S2031" s="2" t="n">
        <v>1</v>
      </c>
      <c r="T2031" s="3" t="inlineStr">
        <is>
          <t>6B/2025/2S</t>
        </is>
      </c>
      <c r="U2031" s="87" t="n">
        <v>45873</v>
      </c>
      <c r="V2031" s="3" t="inlineStr">
        <is>
          <t>19</t>
        </is>
      </c>
      <c r="W2031" s="87" t="n">
        <v>45873</v>
      </c>
      <c r="X2031" s="4" t="inlineStr">
        <is>
          <t xml:space="preserve">Bin Humaid National Trading Co </t>
        </is>
      </c>
    </row>
    <row r="2032" ht="24" customHeight="1">
      <c r="A2032" s="2">
        <f>+D2032-S2032</f>
        <v/>
      </c>
      <c r="B2032" s="80" t="n">
        <v>3650</v>
      </c>
      <c r="C2032" s="66" t="n">
        <v>45863</v>
      </c>
      <c r="D2032" s="2" t="n">
        <v>1</v>
      </c>
      <c r="E2032" s="3" t="inlineStr">
        <is>
          <t>FUCILE SEMIAUTOMATICO</t>
        </is>
      </c>
      <c r="F2032" s="3" t="inlineStr">
        <is>
          <t>12</t>
        </is>
      </c>
      <c r="G2032" s="3" t="inlineStr">
        <is>
          <t>FRANCHI</t>
        </is>
      </c>
      <c r="H2032" s="65" t="inlineStr">
        <is>
          <t>AFFINITY 3 30" 3-ICK FLAT RIB SYNT</t>
        </is>
      </c>
      <c r="I2032" s="65" t="inlineStr">
        <is>
          <t>BL092252L</t>
        </is>
      </c>
      <c r="J2032" s="65" t="inlineStr">
        <is>
          <t>CL094927M</t>
        </is>
      </c>
      <c r="K2032" s="65" t="inlineStr">
        <is>
          <t>N/D</t>
        </is>
      </c>
      <c r="L2032" s="127" t="inlineStr">
        <is>
          <t>BENELLI ARMI SPA</t>
        </is>
      </c>
      <c r="M2032" s="5" t="n">
        <v>451</v>
      </c>
      <c r="N2032" s="5" t="n"/>
      <c r="O2032" s="5">
        <f>+M2032+N2032</f>
        <v/>
      </c>
      <c r="P2032" s="4" t="n">
        <v>45863</v>
      </c>
      <c r="Q2032" s="87" t="n">
        <v>45856</v>
      </c>
      <c r="R2032" s="5" t="n">
        <v>628.14</v>
      </c>
      <c r="S2032" s="2" t="n">
        <v>1</v>
      </c>
      <c r="T2032" s="3" t="inlineStr">
        <is>
          <t>6B/2025/2S</t>
        </is>
      </c>
      <c r="U2032" s="87" t="n">
        <v>45873</v>
      </c>
      <c r="V2032" s="3" t="inlineStr">
        <is>
          <t>19</t>
        </is>
      </c>
      <c r="W2032" s="87" t="n">
        <v>45873</v>
      </c>
      <c r="X2032" s="4" t="inlineStr">
        <is>
          <t xml:space="preserve">Bin Humaid National Trading Co </t>
        </is>
      </c>
    </row>
    <row r="2033" ht="24" customHeight="1">
      <c r="A2033" s="2">
        <f>+D2033-S2033</f>
        <v/>
      </c>
      <c r="B2033" s="80" t="n">
        <v>3651</v>
      </c>
      <c r="C2033" s="66" t="n">
        <v>45863</v>
      </c>
      <c r="D2033" s="2" t="n">
        <v>1</v>
      </c>
      <c r="E2033" s="3" t="inlineStr">
        <is>
          <t>FUCILE SEMIAUTOMATICO</t>
        </is>
      </c>
      <c r="F2033" s="3" t="inlineStr">
        <is>
          <t>12</t>
        </is>
      </c>
      <c r="G2033" s="3" t="inlineStr">
        <is>
          <t>FRANCHI</t>
        </is>
      </c>
      <c r="H2033" s="65" t="inlineStr">
        <is>
          <t>AFFINITY 3 30" 3-ICK FLAT RIB SYNT</t>
        </is>
      </c>
      <c r="I2033" s="65" t="inlineStr">
        <is>
          <t>BL092251J</t>
        </is>
      </c>
      <c r="J2033" s="65" t="inlineStr">
        <is>
          <t>CL094922A</t>
        </is>
      </c>
      <c r="K2033" s="65" t="inlineStr">
        <is>
          <t>N/D</t>
        </is>
      </c>
      <c r="L2033" s="127" t="inlineStr">
        <is>
          <t>BENELLI ARMI SPA</t>
        </is>
      </c>
      <c r="M2033" s="5" t="n">
        <v>451</v>
      </c>
      <c r="N2033" s="5" t="n"/>
      <c r="O2033" s="5">
        <f>+M2033+N2033</f>
        <v/>
      </c>
      <c r="P2033" s="4" t="n">
        <v>45863</v>
      </c>
      <c r="Q2033" s="87" t="n">
        <v>45856</v>
      </c>
      <c r="R2033" s="5" t="n">
        <v>628.14</v>
      </c>
      <c r="S2033" s="2" t="n">
        <v>1</v>
      </c>
      <c r="T2033" s="3" t="inlineStr">
        <is>
          <t>6B/2025/2S</t>
        </is>
      </c>
      <c r="U2033" s="87" t="n">
        <v>45873</v>
      </c>
      <c r="V2033" s="3" t="inlineStr">
        <is>
          <t>19</t>
        </is>
      </c>
      <c r="W2033" s="87" t="n">
        <v>45873</v>
      </c>
      <c r="X2033" s="4" t="inlineStr">
        <is>
          <t xml:space="preserve">Bin Humaid National Trading Co </t>
        </is>
      </c>
    </row>
    <row r="2034" ht="24" customHeight="1">
      <c r="A2034" s="2">
        <f>+D2034-S2034</f>
        <v/>
      </c>
      <c r="B2034" s="80" t="n">
        <v>3652</v>
      </c>
      <c r="C2034" s="66" t="n">
        <v>45863</v>
      </c>
      <c r="D2034" s="2" t="n">
        <v>1</v>
      </c>
      <c r="E2034" s="3" t="inlineStr">
        <is>
          <t>FUCILE SEMIAUTOMATICO</t>
        </is>
      </c>
      <c r="F2034" s="3" t="inlineStr">
        <is>
          <t>12</t>
        </is>
      </c>
      <c r="G2034" s="3" t="inlineStr">
        <is>
          <t>FRANCHI</t>
        </is>
      </c>
      <c r="H2034" s="65" t="inlineStr">
        <is>
          <t>AFFINITY 3 MAX7 30" 3-ICK FLAT RIB SYNT</t>
        </is>
      </c>
      <c r="I2034" s="65" t="inlineStr">
        <is>
          <t>BL092804Y</t>
        </is>
      </c>
      <c r="J2034" s="65" t="inlineStr">
        <is>
          <t>CL095469K</t>
        </is>
      </c>
      <c r="K2034" s="65" t="inlineStr">
        <is>
          <t>N/D</t>
        </is>
      </c>
      <c r="L2034" s="127" t="inlineStr">
        <is>
          <t>BENELLI ARMI SPA</t>
        </is>
      </c>
      <c r="M2034" s="5" t="n">
        <v>474</v>
      </c>
      <c r="N2034" s="5" t="n"/>
      <c r="O2034" s="5">
        <f>+M2034+N2034</f>
        <v/>
      </c>
      <c r="P2034" s="4" t="n">
        <v>45863</v>
      </c>
      <c r="Q2034" s="87" t="n">
        <v>45856</v>
      </c>
      <c r="R2034" s="5" t="n">
        <v>647.52</v>
      </c>
      <c r="S2034" s="2" t="n">
        <v>1</v>
      </c>
      <c r="T2034" s="3" t="inlineStr">
        <is>
          <t>6B/2025/2S</t>
        </is>
      </c>
      <c r="U2034" s="87" t="n">
        <v>45873</v>
      </c>
      <c r="V2034" s="3" t="inlineStr">
        <is>
          <t>19</t>
        </is>
      </c>
      <c r="W2034" s="87" t="n">
        <v>45873</v>
      </c>
      <c r="X2034" s="4" t="inlineStr">
        <is>
          <t xml:space="preserve">Bin Humaid National Trading Co </t>
        </is>
      </c>
    </row>
    <row r="2035" ht="24" customHeight="1">
      <c r="A2035" s="2">
        <f>+D2035-S2035</f>
        <v/>
      </c>
      <c r="B2035" s="80" t="n">
        <v>3653</v>
      </c>
      <c r="C2035" s="66" t="n">
        <v>45863</v>
      </c>
      <c r="D2035" s="2" t="n">
        <v>1</v>
      </c>
      <c r="E2035" s="3" t="inlineStr">
        <is>
          <t>FUCILE SEMIAUTOMATICO</t>
        </is>
      </c>
      <c r="F2035" s="3" t="inlineStr">
        <is>
          <t>12</t>
        </is>
      </c>
      <c r="G2035" s="3" t="inlineStr">
        <is>
          <t>FRANCHI</t>
        </is>
      </c>
      <c r="H2035" s="65" t="inlineStr">
        <is>
          <t>AFFINITY 3 MAX7 30" 3-ICK FLAT RIB SYNT</t>
        </is>
      </c>
      <c r="I2035" s="65" t="inlineStr">
        <is>
          <t>BL092803W</t>
        </is>
      </c>
      <c r="J2035" s="65" t="inlineStr">
        <is>
          <t>CL095468H</t>
        </is>
      </c>
      <c r="K2035" s="65" t="inlineStr">
        <is>
          <t>N/D</t>
        </is>
      </c>
      <c r="L2035" s="127" t="inlineStr">
        <is>
          <t>BENELLI ARMI SPA</t>
        </is>
      </c>
      <c r="M2035" s="5" t="n">
        <v>474</v>
      </c>
      <c r="N2035" s="5" t="n"/>
      <c r="O2035" s="5">
        <f>+M2035+N2035</f>
        <v/>
      </c>
      <c r="P2035" s="4" t="n">
        <v>45863</v>
      </c>
      <c r="Q2035" s="87" t="n">
        <v>45856</v>
      </c>
      <c r="R2035" s="5" t="n">
        <v>647.52</v>
      </c>
      <c r="S2035" s="2" t="n">
        <v>1</v>
      </c>
      <c r="T2035" s="3" t="inlineStr">
        <is>
          <t>6B/2025/2S</t>
        </is>
      </c>
      <c r="U2035" s="87" t="n">
        <v>45873</v>
      </c>
      <c r="V2035" s="3" t="inlineStr">
        <is>
          <t>19</t>
        </is>
      </c>
      <c r="W2035" s="87" t="n">
        <v>45873</v>
      </c>
      <c r="X2035" s="4" t="inlineStr">
        <is>
          <t xml:space="preserve">Bin Humaid National Trading Co </t>
        </is>
      </c>
    </row>
    <row r="2036" ht="24" customHeight="1">
      <c r="A2036" s="2">
        <f>+D2036-S2036</f>
        <v/>
      </c>
      <c r="B2036" s="80" t="n">
        <v>3654</v>
      </c>
      <c r="C2036" s="66" t="n">
        <v>45863</v>
      </c>
      <c r="D2036" s="2" t="n">
        <v>1</v>
      </c>
      <c r="E2036" s="3" t="inlineStr">
        <is>
          <t>FUCILE SEMIAUTOMATICO</t>
        </is>
      </c>
      <c r="F2036" s="3" t="inlineStr">
        <is>
          <t>12</t>
        </is>
      </c>
      <c r="G2036" s="3" t="inlineStr">
        <is>
          <t>FRANCHI</t>
        </is>
      </c>
      <c r="H2036" s="65" t="inlineStr">
        <is>
          <t>AFFINITY 3 MAX7 30" 3-ICK FLAT RIB SYNT</t>
        </is>
      </c>
      <c r="I2036" s="65" t="inlineStr">
        <is>
          <t>BL092802U</t>
        </is>
      </c>
      <c r="J2036" s="65" t="inlineStr">
        <is>
          <t>CL095470R</t>
        </is>
      </c>
      <c r="K2036" s="65" t="inlineStr">
        <is>
          <t>N/D</t>
        </is>
      </c>
      <c r="L2036" s="127" t="inlineStr">
        <is>
          <t>BENELLI ARMI SPA</t>
        </is>
      </c>
      <c r="M2036" s="5" t="n">
        <v>474</v>
      </c>
      <c r="N2036" s="5" t="n"/>
      <c r="O2036" s="5">
        <f>+M2036+N2036</f>
        <v/>
      </c>
      <c r="P2036" s="4" t="n">
        <v>45863</v>
      </c>
      <c r="Q2036" s="87" t="n">
        <v>45856</v>
      </c>
      <c r="R2036" s="5" t="n">
        <v>647.52</v>
      </c>
      <c r="S2036" s="2" t="n">
        <v>1</v>
      </c>
      <c r="T2036" s="3" t="inlineStr">
        <is>
          <t>6B/2025/2S</t>
        </is>
      </c>
      <c r="U2036" s="87" t="n">
        <v>45873</v>
      </c>
      <c r="V2036" s="3" t="inlineStr">
        <is>
          <t>19</t>
        </is>
      </c>
      <c r="W2036" s="87" t="n">
        <v>45873</v>
      </c>
      <c r="X2036" s="4" t="inlineStr">
        <is>
          <t xml:space="preserve">Bin Humaid National Trading Co </t>
        </is>
      </c>
    </row>
    <row r="2037" ht="24" customHeight="1">
      <c r="A2037" s="2">
        <f>+D2037-S2037</f>
        <v/>
      </c>
      <c r="B2037" s="80" t="n">
        <v>3655</v>
      </c>
      <c r="C2037" s="66" t="n">
        <v>45863</v>
      </c>
      <c r="D2037" s="2" t="n">
        <v>1</v>
      </c>
      <c r="E2037" s="3" t="inlineStr">
        <is>
          <t>FUCILE SEMIAUTOMATICO</t>
        </is>
      </c>
      <c r="F2037" s="3" t="inlineStr">
        <is>
          <t>12</t>
        </is>
      </c>
      <c r="G2037" s="3" t="inlineStr">
        <is>
          <t>FRANCHI</t>
        </is>
      </c>
      <c r="H2037" s="65" t="inlineStr">
        <is>
          <t>AFFINITY 3 MAX7 30" 3-ICK FLAT RIB SYNT</t>
        </is>
      </c>
      <c r="I2037" s="65" t="inlineStr">
        <is>
          <t>BL092801S</t>
        </is>
      </c>
      <c r="J2037" s="65" t="inlineStr">
        <is>
          <t>CL095471T</t>
        </is>
      </c>
      <c r="K2037" s="65" t="inlineStr">
        <is>
          <t>N/D</t>
        </is>
      </c>
      <c r="L2037" s="127" t="inlineStr">
        <is>
          <t>BENELLI ARMI SPA</t>
        </is>
      </c>
      <c r="M2037" s="5" t="n">
        <v>474</v>
      </c>
      <c r="N2037" s="5" t="n"/>
      <c r="O2037" s="5">
        <f>+M2037+N2037</f>
        <v/>
      </c>
      <c r="P2037" s="4" t="n">
        <v>45863</v>
      </c>
      <c r="Q2037" s="87" t="n">
        <v>45856</v>
      </c>
      <c r="R2037" s="5" t="n">
        <v>647.52</v>
      </c>
      <c r="S2037" s="2" t="n">
        <v>1</v>
      </c>
      <c r="T2037" s="3" t="inlineStr">
        <is>
          <t>6B/2025/2S</t>
        </is>
      </c>
      <c r="U2037" s="87" t="n">
        <v>45873</v>
      </c>
      <c r="V2037" s="3" t="inlineStr">
        <is>
          <t>19</t>
        </is>
      </c>
      <c r="W2037" s="87" t="n">
        <v>45873</v>
      </c>
      <c r="X2037" s="4" t="inlineStr">
        <is>
          <t xml:space="preserve">Bin Humaid National Trading Co </t>
        </is>
      </c>
    </row>
    <row r="2038" ht="24" customHeight="1">
      <c r="A2038" s="2">
        <f>+D2038-S2038</f>
        <v/>
      </c>
      <c r="B2038" s="80" t="n">
        <v>3656</v>
      </c>
      <c r="C2038" s="66" t="n">
        <v>45863</v>
      </c>
      <c r="D2038" s="2" t="n">
        <v>1</v>
      </c>
      <c r="E2038" s="3" t="inlineStr">
        <is>
          <t>FUCILE SEMIAUTOMATICO</t>
        </is>
      </c>
      <c r="F2038" s="3" t="inlineStr">
        <is>
          <t>12</t>
        </is>
      </c>
      <c r="G2038" s="3" t="inlineStr">
        <is>
          <t>FRANCHI</t>
        </is>
      </c>
      <c r="H2038" s="65" t="inlineStr">
        <is>
          <t>AFFINITY 3 MAX7 30" 3-ICK FLAT RIB SYNT</t>
        </is>
      </c>
      <c r="I2038" s="65" t="inlineStr">
        <is>
          <t>BL092800Q</t>
        </is>
      </c>
      <c r="J2038" s="65" t="inlineStr">
        <is>
          <t>CL095467F</t>
        </is>
      </c>
      <c r="K2038" s="65" t="inlineStr">
        <is>
          <t>N/D</t>
        </is>
      </c>
      <c r="L2038" s="127" t="inlineStr">
        <is>
          <t>BENELLI ARMI SPA</t>
        </is>
      </c>
      <c r="M2038" s="5" t="n">
        <v>474</v>
      </c>
      <c r="N2038" s="5" t="n"/>
      <c r="O2038" s="5">
        <f>+M2038+N2038</f>
        <v/>
      </c>
      <c r="P2038" s="4" t="n">
        <v>45863</v>
      </c>
      <c r="Q2038" s="87" t="n">
        <v>45856</v>
      </c>
      <c r="R2038" s="5" t="n">
        <v>647.52</v>
      </c>
      <c r="S2038" s="2" t="n">
        <v>1</v>
      </c>
      <c r="T2038" s="3" t="inlineStr">
        <is>
          <t>6B/2025/2S</t>
        </is>
      </c>
      <c r="U2038" s="87" t="n">
        <v>45873</v>
      </c>
      <c r="V2038" s="3" t="inlineStr">
        <is>
          <t>19</t>
        </is>
      </c>
      <c r="W2038" s="87" t="n">
        <v>45873</v>
      </c>
      <c r="X2038" s="4" t="inlineStr">
        <is>
          <t xml:space="preserve">Bin Humaid National Trading Co </t>
        </is>
      </c>
    </row>
    <row r="2039" ht="24" customHeight="1">
      <c r="A2039" s="2">
        <f>+D2039-S2039</f>
        <v/>
      </c>
      <c r="B2039" s="80" t="n">
        <v>3657</v>
      </c>
      <c r="C2039" s="66" t="n">
        <v>45863</v>
      </c>
      <c r="D2039" s="2" t="n">
        <v>1</v>
      </c>
      <c r="E2039" s="3" t="inlineStr">
        <is>
          <t>FUCILE SEMIAUTOMATICO</t>
        </is>
      </c>
      <c r="F2039" s="3" t="inlineStr">
        <is>
          <t>12</t>
        </is>
      </c>
      <c r="G2039" s="3" t="inlineStr">
        <is>
          <t>FRANCHI</t>
        </is>
      </c>
      <c r="H2039" s="65" t="inlineStr">
        <is>
          <t>AFFINITY 3 MAX7 30" 3-ICK FLAT RIB SYNT</t>
        </is>
      </c>
      <c r="I2039" s="65" t="inlineStr">
        <is>
          <t>BL092794F</t>
        </is>
      </c>
      <c r="J2039" s="65" t="inlineStr">
        <is>
          <t>CL095463W</t>
        </is>
      </c>
      <c r="K2039" s="65" t="inlineStr">
        <is>
          <t>N/D</t>
        </is>
      </c>
      <c r="L2039" s="127" t="inlineStr">
        <is>
          <t>BENELLI ARMI SPA</t>
        </is>
      </c>
      <c r="M2039" s="5" t="n">
        <v>474</v>
      </c>
      <c r="N2039" s="5" t="n"/>
      <c r="O2039" s="5">
        <f>+M2039+N2039</f>
        <v/>
      </c>
      <c r="P2039" s="4" t="n">
        <v>45863</v>
      </c>
      <c r="Q2039" s="87" t="n">
        <v>45856</v>
      </c>
      <c r="R2039" s="5" t="n">
        <v>647.52</v>
      </c>
      <c r="S2039" s="2" t="n">
        <v>1</v>
      </c>
      <c r="T2039" s="3" t="inlineStr">
        <is>
          <t>6B/2025/2S</t>
        </is>
      </c>
      <c r="U2039" s="87" t="n">
        <v>45873</v>
      </c>
      <c r="V2039" s="3" t="inlineStr">
        <is>
          <t>19</t>
        </is>
      </c>
      <c r="W2039" s="87" t="n">
        <v>45873</v>
      </c>
      <c r="X2039" s="4" t="inlineStr">
        <is>
          <t xml:space="preserve">Bin Humaid National Trading Co </t>
        </is>
      </c>
    </row>
    <row r="2040" ht="24" customHeight="1">
      <c r="A2040" s="2">
        <f>+D2040-S2040</f>
        <v/>
      </c>
      <c r="B2040" s="80" t="n">
        <v>3658</v>
      </c>
      <c r="C2040" s="66" t="n">
        <v>45863</v>
      </c>
      <c r="D2040" s="2" t="n">
        <v>1</v>
      </c>
      <c r="E2040" s="3" t="inlineStr">
        <is>
          <t>FUCILE SEMIAUTOMATICO</t>
        </is>
      </c>
      <c r="F2040" s="3" t="inlineStr">
        <is>
          <t>12</t>
        </is>
      </c>
      <c r="G2040" s="3" t="inlineStr">
        <is>
          <t>FRANCHI</t>
        </is>
      </c>
      <c r="H2040" s="65" t="inlineStr">
        <is>
          <t>AFFINITY 3 MAX7 30" 3-ICK FLAT RIB SYNT</t>
        </is>
      </c>
      <c r="I2040" s="65" t="inlineStr">
        <is>
          <t>BL092793D</t>
        </is>
      </c>
      <c r="J2040" s="65" t="inlineStr">
        <is>
          <t>CL095462U</t>
        </is>
      </c>
      <c r="K2040" s="65" t="inlineStr">
        <is>
          <t>N/D</t>
        </is>
      </c>
      <c r="L2040" s="127" t="inlineStr">
        <is>
          <t>BENELLI ARMI SPA</t>
        </is>
      </c>
      <c r="M2040" s="5" t="n">
        <v>474</v>
      </c>
      <c r="N2040" s="5" t="n"/>
      <c r="O2040" s="5">
        <f>+M2040+N2040</f>
        <v/>
      </c>
      <c r="P2040" s="4" t="n">
        <v>45863</v>
      </c>
      <c r="Q2040" s="87" t="n">
        <v>45856</v>
      </c>
      <c r="R2040" s="5" t="n">
        <v>647.52</v>
      </c>
      <c r="S2040" s="2" t="n">
        <v>1</v>
      </c>
      <c r="T2040" s="3" t="inlineStr">
        <is>
          <t>6B/2025/2S</t>
        </is>
      </c>
      <c r="U2040" s="87" t="n">
        <v>45873</v>
      </c>
      <c r="V2040" s="3" t="inlineStr">
        <is>
          <t>19</t>
        </is>
      </c>
      <c r="W2040" s="87" t="n">
        <v>45873</v>
      </c>
      <c r="X2040" s="4" t="inlineStr">
        <is>
          <t xml:space="preserve">Bin Humaid National Trading Co </t>
        </is>
      </c>
    </row>
    <row r="2041" ht="24" customHeight="1">
      <c r="A2041" s="2">
        <f>+D2041-S2041</f>
        <v/>
      </c>
      <c r="B2041" s="80" t="n">
        <v>3659</v>
      </c>
      <c r="C2041" s="66" t="n">
        <v>45863</v>
      </c>
      <c r="D2041" s="2" t="n">
        <v>1</v>
      </c>
      <c r="E2041" s="3" t="inlineStr">
        <is>
          <t>FUCILE SEMIAUTOMATICO</t>
        </is>
      </c>
      <c r="F2041" s="3" t="inlineStr">
        <is>
          <t>12</t>
        </is>
      </c>
      <c r="G2041" s="3" t="inlineStr">
        <is>
          <t>FRANCHI</t>
        </is>
      </c>
      <c r="H2041" s="65" t="inlineStr">
        <is>
          <t>AFFINITY 3 MAX7 30" 3-ICK FLAT RIB SYNT</t>
        </is>
      </c>
      <c r="I2041" s="65" t="inlineStr">
        <is>
          <t>BL092792B</t>
        </is>
      </c>
      <c r="J2041" s="65" t="inlineStr">
        <is>
          <t>CL095461S</t>
        </is>
      </c>
      <c r="K2041" s="65" t="inlineStr">
        <is>
          <t>N/D</t>
        </is>
      </c>
      <c r="L2041" s="127" t="inlineStr">
        <is>
          <t>BENELLI ARMI SPA</t>
        </is>
      </c>
      <c r="M2041" s="5" t="n">
        <v>474</v>
      </c>
      <c r="N2041" s="5" t="n"/>
      <c r="O2041" s="5">
        <f>+M2041+N2041</f>
        <v/>
      </c>
      <c r="P2041" s="4" t="n">
        <v>45863</v>
      </c>
      <c r="Q2041" s="87" t="n">
        <v>45856</v>
      </c>
      <c r="R2041" s="5" t="n">
        <v>647.52</v>
      </c>
      <c r="S2041" s="2" t="n">
        <v>1</v>
      </c>
      <c r="T2041" s="3" t="inlineStr">
        <is>
          <t>6B/2025/2S</t>
        </is>
      </c>
      <c r="U2041" s="87" t="n">
        <v>45873</v>
      </c>
      <c r="V2041" s="3" t="inlineStr">
        <is>
          <t>19</t>
        </is>
      </c>
      <c r="W2041" s="87" t="n">
        <v>45873</v>
      </c>
      <c r="X2041" s="4" t="inlineStr">
        <is>
          <t xml:space="preserve">Bin Humaid National Trading Co </t>
        </is>
      </c>
    </row>
    <row r="2042" ht="24" customHeight="1">
      <c r="A2042" s="2">
        <f>+D2042-S2042</f>
        <v/>
      </c>
      <c r="B2042" s="80" t="n">
        <v>3660</v>
      </c>
      <c r="C2042" s="66" t="n">
        <v>45863</v>
      </c>
      <c r="D2042" s="2" t="n">
        <v>1</v>
      </c>
      <c r="E2042" s="3" t="inlineStr">
        <is>
          <t>FUCILE SEMIAUTOMATICO</t>
        </is>
      </c>
      <c r="F2042" s="3" t="inlineStr">
        <is>
          <t>12</t>
        </is>
      </c>
      <c r="G2042" s="3" t="inlineStr">
        <is>
          <t>FRANCHI</t>
        </is>
      </c>
      <c r="H2042" s="65" t="inlineStr">
        <is>
          <t>AFFINITY 3 MAX7 30" 3-ICK FLAT RIB SYNT</t>
        </is>
      </c>
      <c r="I2042" s="65" t="inlineStr">
        <is>
          <t>BL092791Z</t>
        </is>
      </c>
      <c r="J2042" s="65" t="inlineStr">
        <is>
          <t>CL095460Q</t>
        </is>
      </c>
      <c r="K2042" s="65" t="inlineStr">
        <is>
          <t>N/D</t>
        </is>
      </c>
      <c r="L2042" s="127" t="inlineStr">
        <is>
          <t>BENELLI ARMI SPA</t>
        </is>
      </c>
      <c r="M2042" s="5" t="n">
        <v>474</v>
      </c>
      <c r="N2042" s="5" t="n"/>
      <c r="O2042" s="5">
        <f>+M2042+N2042</f>
        <v/>
      </c>
      <c r="P2042" s="4" t="n">
        <v>45863</v>
      </c>
      <c r="Q2042" s="87" t="n">
        <v>45856</v>
      </c>
      <c r="R2042" s="5" t="n">
        <v>647.52</v>
      </c>
      <c r="S2042" s="2" t="n">
        <v>1</v>
      </c>
      <c r="T2042" s="3" t="inlineStr">
        <is>
          <t>6B/2025/2S</t>
        </is>
      </c>
      <c r="U2042" s="87" t="n">
        <v>45873</v>
      </c>
      <c r="V2042" s="3" t="inlineStr">
        <is>
          <t>19</t>
        </is>
      </c>
      <c r="W2042" s="87" t="n">
        <v>45873</v>
      </c>
      <c r="X2042" s="4" t="inlineStr">
        <is>
          <t xml:space="preserve">Bin Humaid National Trading Co </t>
        </is>
      </c>
    </row>
    <row r="2043" ht="24" customHeight="1">
      <c r="A2043" s="2">
        <f>+D2043-S2043</f>
        <v/>
      </c>
      <c r="B2043" s="80" t="n">
        <v>3661</v>
      </c>
      <c r="C2043" s="66" t="n">
        <v>45863</v>
      </c>
      <c r="D2043" s="2" t="n">
        <v>1</v>
      </c>
      <c r="E2043" s="3" t="inlineStr">
        <is>
          <t>FUCILE SEMIAUTOMATICO</t>
        </is>
      </c>
      <c r="F2043" s="3" t="inlineStr">
        <is>
          <t>12</t>
        </is>
      </c>
      <c r="G2043" s="3" t="inlineStr">
        <is>
          <t>FRANCHI</t>
        </is>
      </c>
      <c r="H2043" s="65" t="inlineStr">
        <is>
          <t>AFFINITY 3 MAX7 30" 3-ICK FLAT RIB SYNT</t>
        </is>
      </c>
      <c r="I2043" s="65" t="inlineStr">
        <is>
          <t>BL092790X</t>
        </is>
      </c>
      <c r="J2043" s="65" t="inlineStr">
        <is>
          <t>CL095459J</t>
        </is>
      </c>
      <c r="K2043" s="65" t="inlineStr">
        <is>
          <t>N/D</t>
        </is>
      </c>
      <c r="L2043" s="127" t="inlineStr">
        <is>
          <t>BENELLI ARMI SPA</t>
        </is>
      </c>
      <c r="M2043" s="5" t="n">
        <v>474</v>
      </c>
      <c r="N2043" s="5" t="n"/>
      <c r="O2043" s="5">
        <f>+M2043+N2043</f>
        <v/>
      </c>
      <c r="P2043" s="4" t="n">
        <v>45863</v>
      </c>
      <c r="Q2043" s="87" t="n">
        <v>45856</v>
      </c>
      <c r="R2043" s="5" t="n">
        <v>647.52</v>
      </c>
      <c r="S2043" s="2" t="n">
        <v>1</v>
      </c>
      <c r="T2043" s="3" t="inlineStr">
        <is>
          <t>6B/2025/2S</t>
        </is>
      </c>
      <c r="U2043" s="87" t="n">
        <v>45873</v>
      </c>
      <c r="V2043" s="3" t="inlineStr">
        <is>
          <t>19</t>
        </is>
      </c>
      <c r="W2043" s="87" t="n">
        <v>45873</v>
      </c>
      <c r="X2043" s="4" t="inlineStr">
        <is>
          <t xml:space="preserve">Bin Humaid National Trading Co </t>
        </is>
      </c>
    </row>
    <row r="2044" ht="24" customHeight="1">
      <c r="A2044" s="2">
        <f>+D2044-S2044</f>
        <v/>
      </c>
      <c r="B2044" s="80" t="n">
        <v>3662</v>
      </c>
      <c r="C2044" s="66" t="n">
        <v>45863</v>
      </c>
      <c r="D2044" s="2" t="n">
        <v>1</v>
      </c>
      <c r="E2044" s="3" t="inlineStr">
        <is>
          <t>FUCILE SEMIAUTOMATICO</t>
        </is>
      </c>
      <c r="F2044" s="3" t="inlineStr">
        <is>
          <t>12</t>
        </is>
      </c>
      <c r="G2044" s="3" t="inlineStr">
        <is>
          <t>FRANCHI</t>
        </is>
      </c>
      <c r="H2044" s="65" t="inlineStr">
        <is>
          <t>AFFINITY 3 MAX7 30" 3-ICK FLAT RIB SYNT</t>
        </is>
      </c>
      <c r="I2044" s="65" t="inlineStr">
        <is>
          <t>BL095436A</t>
        </is>
      </c>
      <c r="J2044" s="65" t="inlineStr">
        <is>
          <t>CL098099H</t>
        </is>
      </c>
      <c r="K2044" s="65" t="inlineStr">
        <is>
          <t>N/D</t>
        </is>
      </c>
      <c r="L2044" s="127" t="inlineStr">
        <is>
          <t>BENELLI ARMI SPA</t>
        </is>
      </c>
      <c r="M2044" s="5" t="n">
        <v>474</v>
      </c>
      <c r="N2044" s="5" t="n"/>
      <c r="O2044" s="5">
        <f>+M2044+N2044</f>
        <v/>
      </c>
      <c r="P2044" s="4" t="n">
        <v>45863</v>
      </c>
      <c r="Q2044" s="87" t="n">
        <v>45856</v>
      </c>
      <c r="R2044" s="5" t="n">
        <v>647.52</v>
      </c>
      <c r="S2044" s="2" t="n">
        <v>1</v>
      </c>
      <c r="T2044" s="3" t="inlineStr">
        <is>
          <t>6B/2025/2S</t>
        </is>
      </c>
      <c r="U2044" s="87" t="n">
        <v>45873</v>
      </c>
      <c r="V2044" s="3" t="inlineStr">
        <is>
          <t>19</t>
        </is>
      </c>
      <c r="W2044" s="87" t="n">
        <v>45873</v>
      </c>
      <c r="X2044" s="4" t="inlineStr">
        <is>
          <t xml:space="preserve">Bin Humaid National Trading Co </t>
        </is>
      </c>
    </row>
    <row r="2045" ht="24" customHeight="1">
      <c r="A2045" s="2">
        <f>+D2045-S2045</f>
        <v/>
      </c>
      <c r="B2045" s="80" t="n">
        <v>3663</v>
      </c>
      <c r="C2045" s="66" t="n">
        <v>45863</v>
      </c>
      <c r="D2045" s="2" t="n">
        <v>1</v>
      </c>
      <c r="E2045" s="3" t="inlineStr">
        <is>
          <t>FUCILE SEMIAUTOMATICO</t>
        </is>
      </c>
      <c r="F2045" s="3" t="inlineStr">
        <is>
          <t>12</t>
        </is>
      </c>
      <c r="G2045" s="3" t="inlineStr">
        <is>
          <t>FRANCHI</t>
        </is>
      </c>
      <c r="H2045" s="65" t="inlineStr">
        <is>
          <t>AFFINITY 3 MAX7 30" 3-ICK FLAT RIB SYNT</t>
        </is>
      </c>
      <c r="I2045" s="65" t="inlineStr">
        <is>
          <t>BL095438E</t>
        </is>
      </c>
      <c r="J2045" s="65" t="inlineStr">
        <is>
          <t>CL098097D</t>
        </is>
      </c>
      <c r="K2045" s="65" t="inlineStr">
        <is>
          <t>N/D</t>
        </is>
      </c>
      <c r="L2045" s="127" t="inlineStr">
        <is>
          <t>BENELLI ARMI SPA</t>
        </is>
      </c>
      <c r="M2045" s="5" t="n">
        <v>474</v>
      </c>
      <c r="N2045" s="5" t="n"/>
      <c r="O2045" s="5">
        <f>+M2045+N2045</f>
        <v/>
      </c>
      <c r="P2045" s="4" t="n">
        <v>45863</v>
      </c>
      <c r="Q2045" s="87" t="n">
        <v>45856</v>
      </c>
      <c r="R2045" s="5" t="n">
        <v>647.52</v>
      </c>
      <c r="S2045" s="2" t="n">
        <v>1</v>
      </c>
      <c r="T2045" s="3" t="inlineStr">
        <is>
          <t>6B/2025/2S</t>
        </is>
      </c>
      <c r="U2045" s="87" t="n">
        <v>45873</v>
      </c>
      <c r="V2045" s="3" t="inlineStr">
        <is>
          <t>19</t>
        </is>
      </c>
      <c r="W2045" s="87" t="n">
        <v>45873</v>
      </c>
      <c r="X2045" s="4" t="inlineStr">
        <is>
          <t xml:space="preserve">Bin Humaid National Trading Co </t>
        </is>
      </c>
    </row>
    <row r="2046" ht="24" customHeight="1">
      <c r="A2046" s="2">
        <f>+D2046-S2046</f>
        <v/>
      </c>
      <c r="B2046" s="80" t="n">
        <v>3664</v>
      </c>
      <c r="C2046" s="66" t="n">
        <v>45863</v>
      </c>
      <c r="D2046" s="2" t="n">
        <v>1</v>
      </c>
      <c r="E2046" s="3" t="inlineStr">
        <is>
          <t>FUCILE SEMIAUTOMATICO</t>
        </is>
      </c>
      <c r="F2046" s="3" t="inlineStr">
        <is>
          <t>12</t>
        </is>
      </c>
      <c r="G2046" s="3" t="inlineStr">
        <is>
          <t>FRANCHI</t>
        </is>
      </c>
      <c r="H2046" s="65" t="inlineStr">
        <is>
          <t>AFFINITY 3 MAX7 30" 3-ICK FLAT RIB SYNT</t>
        </is>
      </c>
      <c r="I2046" s="65" t="inlineStr">
        <is>
          <t>BL095433T</t>
        </is>
      </c>
      <c r="J2046" s="65" t="inlineStr">
        <is>
          <t>CL098094W</t>
        </is>
      </c>
      <c r="K2046" s="65" t="inlineStr">
        <is>
          <t>N/D</t>
        </is>
      </c>
      <c r="L2046" s="127" t="inlineStr">
        <is>
          <t>BENELLI ARMI SPA</t>
        </is>
      </c>
      <c r="M2046" s="5" t="n">
        <v>474</v>
      </c>
      <c r="N2046" s="5" t="n"/>
      <c r="O2046" s="5">
        <f>+M2046+N2046</f>
        <v/>
      </c>
      <c r="P2046" s="4" t="n">
        <v>45863</v>
      </c>
      <c r="Q2046" s="87" t="n">
        <v>45856</v>
      </c>
      <c r="R2046" s="5" t="n">
        <v>647.52</v>
      </c>
      <c r="S2046" s="2" t="n">
        <v>1</v>
      </c>
      <c r="T2046" s="3" t="inlineStr">
        <is>
          <t>6B/2025/2S</t>
        </is>
      </c>
      <c r="U2046" s="87" t="n">
        <v>45873</v>
      </c>
      <c r="V2046" s="3" t="inlineStr">
        <is>
          <t>19</t>
        </is>
      </c>
      <c r="W2046" s="87" t="n">
        <v>45873</v>
      </c>
      <c r="X2046" s="4" t="inlineStr">
        <is>
          <t xml:space="preserve">Bin Humaid National Trading Co </t>
        </is>
      </c>
    </row>
    <row r="2047" ht="24" customHeight="1">
      <c r="A2047" s="2">
        <f>+D2047-S2047</f>
        <v/>
      </c>
      <c r="B2047" s="80" t="n">
        <v>3665</v>
      </c>
      <c r="C2047" s="66" t="n">
        <v>45863</v>
      </c>
      <c r="D2047" s="2" t="n">
        <v>1</v>
      </c>
      <c r="E2047" s="3" t="inlineStr">
        <is>
          <t>FUCILE SEMIAUTOMATICO</t>
        </is>
      </c>
      <c r="F2047" s="3" t="inlineStr">
        <is>
          <t>12</t>
        </is>
      </c>
      <c r="G2047" s="3" t="inlineStr">
        <is>
          <t>FRANCHI</t>
        </is>
      </c>
      <c r="H2047" s="65" t="inlineStr">
        <is>
          <t>AFFINITY 3 MAX7 30" 3-ICK FLAT RIB SYNT</t>
        </is>
      </c>
      <c r="I2047" s="65" t="inlineStr">
        <is>
          <t>BL095437C</t>
        </is>
      </c>
      <c r="J2047" s="65" t="inlineStr">
        <is>
          <t>CL098098F</t>
        </is>
      </c>
      <c r="K2047" s="65" t="inlineStr">
        <is>
          <t>N/D</t>
        </is>
      </c>
      <c r="L2047" s="127" t="inlineStr">
        <is>
          <t>BENELLI ARMI SPA</t>
        </is>
      </c>
      <c r="M2047" s="5" t="n">
        <v>474</v>
      </c>
      <c r="N2047" s="5" t="n"/>
      <c r="O2047" s="5">
        <f>+M2047+N2047</f>
        <v/>
      </c>
      <c r="P2047" s="4" t="n">
        <v>45863</v>
      </c>
      <c r="Q2047" s="87" t="n">
        <v>45856</v>
      </c>
      <c r="R2047" s="5" t="n">
        <v>647.52</v>
      </c>
      <c r="S2047" s="2" t="n">
        <v>1</v>
      </c>
      <c r="T2047" s="3" t="inlineStr">
        <is>
          <t>6B/2025/2S</t>
        </is>
      </c>
      <c r="U2047" s="87" t="n">
        <v>45873</v>
      </c>
      <c r="V2047" s="3" t="inlineStr">
        <is>
          <t>19</t>
        </is>
      </c>
      <c r="W2047" s="87" t="n">
        <v>45873</v>
      </c>
      <c r="X2047" s="4" t="inlineStr">
        <is>
          <t xml:space="preserve">Bin Humaid National Trading Co </t>
        </is>
      </c>
    </row>
    <row r="2048" ht="24" customHeight="1">
      <c r="A2048" s="2">
        <f>+D2048-S2048</f>
        <v/>
      </c>
      <c r="B2048" s="80" t="n">
        <v>3666</v>
      </c>
      <c r="C2048" s="66" t="n">
        <v>45863</v>
      </c>
      <c r="D2048" s="2" t="n">
        <v>1</v>
      </c>
      <c r="E2048" s="3" t="inlineStr">
        <is>
          <t>FUCILE SEMIAUTOMATICO</t>
        </is>
      </c>
      <c r="F2048" s="3" t="inlineStr">
        <is>
          <t>12</t>
        </is>
      </c>
      <c r="G2048" s="3" t="inlineStr">
        <is>
          <t>FRANCHI</t>
        </is>
      </c>
      <c r="H2048" s="65" t="inlineStr">
        <is>
          <t>AFFINITY 3 MAX7 30" 3-ICK FLAT RIB SYNT</t>
        </is>
      </c>
      <c r="I2048" s="65" t="inlineStr">
        <is>
          <t>BL095434V</t>
        </is>
      </c>
      <c r="J2048" s="65" t="inlineStr">
        <is>
          <t>CL098095Z</t>
        </is>
      </c>
      <c r="K2048" s="65" t="inlineStr">
        <is>
          <t>N/D</t>
        </is>
      </c>
      <c r="L2048" s="127" t="inlineStr">
        <is>
          <t>BENELLI ARMI SPA</t>
        </is>
      </c>
      <c r="M2048" s="5" t="n">
        <v>474</v>
      </c>
      <c r="N2048" s="5" t="n"/>
      <c r="O2048" s="5">
        <f>+M2048+N2048</f>
        <v/>
      </c>
      <c r="P2048" s="4" t="n">
        <v>45863</v>
      </c>
      <c r="Q2048" s="87" t="n">
        <v>45856</v>
      </c>
      <c r="R2048" s="5" t="n">
        <v>647.52</v>
      </c>
      <c r="S2048" s="2" t="n">
        <v>1</v>
      </c>
      <c r="T2048" s="3" t="inlineStr">
        <is>
          <t>6B/2025/2S</t>
        </is>
      </c>
      <c r="U2048" s="87" t="n">
        <v>45873</v>
      </c>
      <c r="V2048" s="3" t="inlineStr">
        <is>
          <t>19</t>
        </is>
      </c>
      <c r="W2048" s="87" t="n">
        <v>45873</v>
      </c>
      <c r="X2048" s="4" t="inlineStr">
        <is>
          <t xml:space="preserve">Bin Humaid National Trading Co </t>
        </is>
      </c>
    </row>
    <row r="2049" ht="24" customHeight="1">
      <c r="A2049" s="2">
        <f>+D2049-S2049</f>
        <v/>
      </c>
      <c r="B2049" s="80" t="n">
        <v>3667</v>
      </c>
      <c r="C2049" s="66" t="n">
        <v>45863</v>
      </c>
      <c r="D2049" s="2" t="n">
        <v>1</v>
      </c>
      <c r="E2049" s="3" t="inlineStr">
        <is>
          <t>FUCILE SEMIAUTOMATICO</t>
        </is>
      </c>
      <c r="F2049" s="3" t="inlineStr">
        <is>
          <t>12</t>
        </is>
      </c>
      <c r="G2049" s="3" t="inlineStr">
        <is>
          <t>FRANCHI</t>
        </is>
      </c>
      <c r="H2049" s="65" t="inlineStr">
        <is>
          <t>AFFINITY 3 SPORTING 30" 3KND STEP RIB WOOD</t>
        </is>
      </c>
      <c r="I2049" s="65" t="inlineStr">
        <is>
          <t>BL093388F</t>
        </is>
      </c>
      <c r="J2049" s="65" t="inlineStr">
        <is>
          <t>CL096058Z</t>
        </is>
      </c>
      <c r="K2049" s="65" t="inlineStr">
        <is>
          <t>N/D</t>
        </is>
      </c>
      <c r="L2049" s="127" t="inlineStr">
        <is>
          <t>BENELLI ARMI SPA</t>
        </is>
      </c>
      <c r="M2049" s="5" t="n">
        <v>684</v>
      </c>
      <c r="N2049" s="5" t="n"/>
      <c r="O2049" s="5">
        <f>+M2049+N2049</f>
        <v/>
      </c>
      <c r="P2049" s="4" t="n">
        <v>45863</v>
      </c>
      <c r="Q2049" s="87" t="n">
        <v>45856</v>
      </c>
      <c r="R2049" s="5" t="n">
        <v>779.76</v>
      </c>
      <c r="S2049" s="2" t="n">
        <v>1</v>
      </c>
      <c r="T2049" s="3" t="inlineStr">
        <is>
          <t>6B/2025/2S</t>
        </is>
      </c>
      <c r="U2049" s="87" t="n">
        <v>45873</v>
      </c>
      <c r="V2049" s="3" t="inlineStr">
        <is>
          <t>19</t>
        </is>
      </c>
      <c r="W2049" s="87" t="n">
        <v>45873</v>
      </c>
      <c r="X2049" s="4" t="inlineStr">
        <is>
          <t xml:space="preserve">Bin Humaid National Trading Co </t>
        </is>
      </c>
    </row>
    <row r="2050" ht="24" customHeight="1">
      <c r="A2050" s="2">
        <f>+D2050-S2050</f>
        <v/>
      </c>
      <c r="B2050" s="80" t="n">
        <v>3668</v>
      </c>
      <c r="C2050" s="66" t="n">
        <v>45863</v>
      </c>
      <c r="D2050" s="2" t="n">
        <v>1</v>
      </c>
      <c r="E2050" s="3" t="inlineStr">
        <is>
          <t>FUCILE SEMIAUTOMATICO</t>
        </is>
      </c>
      <c r="F2050" s="3" t="inlineStr">
        <is>
          <t>12</t>
        </is>
      </c>
      <c r="G2050" s="3" t="inlineStr">
        <is>
          <t>FRANCHI</t>
        </is>
      </c>
      <c r="H2050" s="65" t="inlineStr">
        <is>
          <t>AFFINITY 3 SPORTING 30" 3KND STEP RIB WOOD</t>
        </is>
      </c>
      <c r="I2050" s="65" t="inlineStr">
        <is>
          <t>BL093390P</t>
        </is>
      </c>
      <c r="J2050" s="65" t="inlineStr">
        <is>
          <t>CL096049A</t>
        </is>
      </c>
      <c r="K2050" s="65" t="inlineStr">
        <is>
          <t>N/D</t>
        </is>
      </c>
      <c r="L2050" s="127" t="inlineStr">
        <is>
          <t>BENELLI ARMI SPA</t>
        </is>
      </c>
      <c r="M2050" s="5" t="n">
        <v>684</v>
      </c>
      <c r="N2050" s="5" t="n"/>
      <c r="O2050" s="5">
        <f>+M2050+N2050</f>
        <v/>
      </c>
      <c r="P2050" s="4" t="n">
        <v>45863</v>
      </c>
      <c r="Q2050" s="87" t="n">
        <v>45856</v>
      </c>
      <c r="R2050" s="5" t="n">
        <v>779.76</v>
      </c>
      <c r="S2050" s="2" t="n">
        <v>1</v>
      </c>
      <c r="T2050" s="3" t="inlineStr">
        <is>
          <t>6B/2025/2S</t>
        </is>
      </c>
      <c r="U2050" s="87" t="n">
        <v>45873</v>
      </c>
      <c r="V2050" s="3" t="inlineStr">
        <is>
          <t>19</t>
        </is>
      </c>
      <c r="W2050" s="87" t="n">
        <v>45873</v>
      </c>
      <c r="X2050" s="4" t="inlineStr">
        <is>
          <t xml:space="preserve">Bin Humaid National Trading Co </t>
        </is>
      </c>
    </row>
    <row r="2051" ht="24" customHeight="1">
      <c r="A2051" s="2">
        <f>+D2051-S2051</f>
        <v/>
      </c>
      <c r="B2051" s="80" t="n">
        <v>3669</v>
      </c>
      <c r="C2051" s="66" t="n">
        <v>45863</v>
      </c>
      <c r="D2051" s="2" t="n">
        <v>1</v>
      </c>
      <c r="E2051" s="3" t="inlineStr">
        <is>
          <t>FUCILE SEMIAUTOMATICO</t>
        </is>
      </c>
      <c r="F2051" s="3" t="inlineStr">
        <is>
          <t>12</t>
        </is>
      </c>
      <c r="G2051" s="3" t="inlineStr">
        <is>
          <t>FRANCHI</t>
        </is>
      </c>
      <c r="H2051" s="65" t="inlineStr">
        <is>
          <t>AFFINITY 3 SPORTING 30" 3KND STEP RIB WOOD</t>
        </is>
      </c>
      <c r="I2051" s="65" t="inlineStr">
        <is>
          <t>BL093392T</t>
        </is>
      </c>
      <c r="J2051" s="65" t="inlineStr">
        <is>
          <t>CL096063P</t>
        </is>
      </c>
      <c r="K2051" s="65" t="inlineStr">
        <is>
          <t>N/D</t>
        </is>
      </c>
      <c r="L2051" s="127" t="inlineStr">
        <is>
          <t>BENELLI ARMI SPA</t>
        </is>
      </c>
      <c r="M2051" s="5" t="n">
        <v>684</v>
      </c>
      <c r="N2051" s="5" t="n"/>
      <c r="O2051" s="5">
        <f>+M2051+N2051</f>
        <v/>
      </c>
      <c r="P2051" s="4" t="n">
        <v>45863</v>
      </c>
      <c r="Q2051" s="87" t="n">
        <v>45856</v>
      </c>
      <c r="R2051" s="5" t="n">
        <v>779.76</v>
      </c>
      <c r="S2051" s="2" t="n">
        <v>1</v>
      </c>
      <c r="T2051" s="3" t="inlineStr">
        <is>
          <t>6B/2025/2S</t>
        </is>
      </c>
      <c r="U2051" s="87" t="n">
        <v>45873</v>
      </c>
      <c r="V2051" s="3" t="inlineStr">
        <is>
          <t>19</t>
        </is>
      </c>
      <c r="W2051" s="87" t="n">
        <v>45873</v>
      </c>
      <c r="X2051" s="4" t="inlineStr">
        <is>
          <t xml:space="preserve">Bin Humaid National Trading Co </t>
        </is>
      </c>
    </row>
    <row r="2052" ht="24" customHeight="1">
      <c r="A2052" s="2">
        <f>+D2052-S2052</f>
        <v/>
      </c>
      <c r="B2052" s="80" t="n">
        <v>3670</v>
      </c>
      <c r="C2052" s="66" t="n">
        <v>45863</v>
      </c>
      <c r="D2052" s="2" t="n">
        <v>1</v>
      </c>
      <c r="E2052" s="3" t="inlineStr">
        <is>
          <t>FUCILE SEMIAUTOMATICO</t>
        </is>
      </c>
      <c r="F2052" s="3" t="inlineStr">
        <is>
          <t>12</t>
        </is>
      </c>
      <c r="G2052" s="3" t="inlineStr">
        <is>
          <t>FRANCHI</t>
        </is>
      </c>
      <c r="H2052" s="65" t="inlineStr">
        <is>
          <t>AFFINITY 3 SPORTING 30" 3KND STEP RIB WOOD</t>
        </is>
      </c>
      <c r="I2052" s="65" t="inlineStr">
        <is>
          <t>BL093391R</t>
        </is>
      </c>
      <c r="J2052" s="65" t="inlineStr">
        <is>
          <t>CL096057X</t>
        </is>
      </c>
      <c r="K2052" s="65" t="inlineStr">
        <is>
          <t>N/D</t>
        </is>
      </c>
      <c r="L2052" s="127" t="inlineStr">
        <is>
          <t>BENELLI ARMI SPA</t>
        </is>
      </c>
      <c r="M2052" s="5" t="n">
        <v>684</v>
      </c>
      <c r="N2052" s="5" t="n"/>
      <c r="O2052" s="5">
        <f>+M2052+N2052</f>
        <v/>
      </c>
      <c r="P2052" s="4" t="n">
        <v>45863</v>
      </c>
      <c r="Q2052" s="87" t="n">
        <v>45856</v>
      </c>
      <c r="R2052" s="5" t="n">
        <v>779.76</v>
      </c>
      <c r="S2052" s="2" t="n">
        <v>1</v>
      </c>
      <c r="T2052" s="3" t="inlineStr">
        <is>
          <t>6B/2025/2S</t>
        </is>
      </c>
      <c r="U2052" s="87" t="n">
        <v>45873</v>
      </c>
      <c r="V2052" s="3" t="inlineStr">
        <is>
          <t>19</t>
        </is>
      </c>
      <c r="W2052" s="87" t="n">
        <v>45873</v>
      </c>
      <c r="X2052" s="4" t="inlineStr">
        <is>
          <t xml:space="preserve">Bin Humaid National Trading Co </t>
        </is>
      </c>
    </row>
    <row r="2053" ht="24" customHeight="1">
      <c r="A2053" s="2">
        <f>+D2053-S2053</f>
        <v/>
      </c>
      <c r="B2053" s="80" t="n">
        <v>3671</v>
      </c>
      <c r="C2053" s="66" t="n">
        <v>45863</v>
      </c>
      <c r="D2053" s="2" t="n">
        <v>1</v>
      </c>
      <c r="E2053" s="3" t="inlineStr">
        <is>
          <t>FUCILE SEMIAUTOMATICO</t>
        </is>
      </c>
      <c r="F2053" s="3" t="inlineStr">
        <is>
          <t>12</t>
        </is>
      </c>
      <c r="G2053" s="3" t="inlineStr">
        <is>
          <t>FRANCHI</t>
        </is>
      </c>
      <c r="H2053" s="65" t="inlineStr">
        <is>
          <t>AFFINITY 3 SPORTING 30" 3KND STEP RIB WOOD</t>
        </is>
      </c>
      <c r="I2053" s="65" t="inlineStr">
        <is>
          <t>BL093394X</t>
        </is>
      </c>
      <c r="J2053" s="65" t="inlineStr">
        <is>
          <t>CL096053N</t>
        </is>
      </c>
      <c r="K2053" s="65" t="inlineStr">
        <is>
          <t>N/D</t>
        </is>
      </c>
      <c r="L2053" s="127" t="inlineStr">
        <is>
          <t>BENELLI ARMI SPA</t>
        </is>
      </c>
      <c r="M2053" s="5" t="n">
        <v>684</v>
      </c>
      <c r="N2053" s="5" t="n"/>
      <c r="O2053" s="5">
        <f>+M2053+N2053</f>
        <v/>
      </c>
      <c r="P2053" s="4" t="n">
        <v>45863</v>
      </c>
      <c r="Q2053" s="87" t="n">
        <v>45856</v>
      </c>
      <c r="R2053" s="5" t="n">
        <v>779.76</v>
      </c>
      <c r="S2053" s="2" t="n">
        <v>1</v>
      </c>
      <c r="T2053" s="3" t="inlineStr">
        <is>
          <t>6B/2025/2S</t>
        </is>
      </c>
      <c r="U2053" s="87" t="n">
        <v>45873</v>
      </c>
      <c r="V2053" s="3" t="inlineStr">
        <is>
          <t>19</t>
        </is>
      </c>
      <c r="W2053" s="87" t="n">
        <v>45873</v>
      </c>
      <c r="X2053" s="4" t="inlineStr">
        <is>
          <t xml:space="preserve">Bin Humaid National Trading Co </t>
        </is>
      </c>
    </row>
    <row r="2054" ht="24" customHeight="1">
      <c r="A2054" s="2">
        <f>+D2054-S2054</f>
        <v/>
      </c>
      <c r="B2054" s="80" t="n">
        <v>3672</v>
      </c>
      <c r="C2054" s="66" t="n">
        <v>45863</v>
      </c>
      <c r="D2054" s="2" t="n">
        <v>1</v>
      </c>
      <c r="E2054" s="3" t="inlineStr">
        <is>
          <t>FUCILE SEMIAUTOMATICO</t>
        </is>
      </c>
      <c r="F2054" s="3" t="inlineStr">
        <is>
          <t>12</t>
        </is>
      </c>
      <c r="G2054" s="3" t="inlineStr">
        <is>
          <t>FRANCHI</t>
        </is>
      </c>
      <c r="H2054" s="65" t="inlineStr">
        <is>
          <t>AFFINITY 3 SPORTING 30" 3KND STEP RIB WOOD</t>
        </is>
      </c>
      <c r="I2054" s="65" t="inlineStr">
        <is>
          <t>BL095845J</t>
        </is>
      </c>
      <c r="J2054" s="65" t="inlineStr">
        <is>
          <t>CL098495H</t>
        </is>
      </c>
      <c r="K2054" s="65" t="inlineStr">
        <is>
          <t>N/D</t>
        </is>
      </c>
      <c r="L2054" s="127" t="inlineStr">
        <is>
          <t>BENELLI ARMI SPA</t>
        </is>
      </c>
      <c r="M2054" s="5" t="n">
        <v>684</v>
      </c>
      <c r="N2054" s="5" t="n"/>
      <c r="O2054" s="5">
        <f>+M2054+N2054</f>
        <v/>
      </c>
      <c r="P2054" s="4" t="n">
        <v>45863</v>
      </c>
      <c r="Q2054" s="87" t="n">
        <v>45856</v>
      </c>
      <c r="R2054" s="5" t="n">
        <v>779.76</v>
      </c>
      <c r="S2054" s="2" t="n">
        <v>1</v>
      </c>
      <c r="T2054" s="3" t="inlineStr">
        <is>
          <t>6B/2025/2S</t>
        </is>
      </c>
      <c r="U2054" s="87" t="n">
        <v>45873</v>
      </c>
      <c r="V2054" s="3" t="inlineStr">
        <is>
          <t>19</t>
        </is>
      </c>
      <c r="W2054" s="87" t="n">
        <v>45873</v>
      </c>
      <c r="X2054" s="4" t="inlineStr">
        <is>
          <t xml:space="preserve">Bin Humaid National Trading Co </t>
        </is>
      </c>
    </row>
    <row r="2055" ht="24" customHeight="1">
      <c r="A2055" s="2">
        <f>+D2055-S2055</f>
        <v/>
      </c>
      <c r="B2055" s="80" t="n">
        <v>3673</v>
      </c>
      <c r="C2055" s="66" t="n">
        <v>45863</v>
      </c>
      <c r="D2055" s="2" t="n">
        <v>1</v>
      </c>
      <c r="E2055" s="3" t="inlineStr">
        <is>
          <t>FUCILE SEMIAUTOMATICO</t>
        </is>
      </c>
      <c r="F2055" s="3" t="inlineStr">
        <is>
          <t>12</t>
        </is>
      </c>
      <c r="G2055" s="3" t="inlineStr">
        <is>
          <t>FRANCHI</t>
        </is>
      </c>
      <c r="H2055" s="65" t="inlineStr">
        <is>
          <t>AFFINITY 3 SPORTING 30" 3KND STEP RIB WOOD</t>
        </is>
      </c>
      <c r="I2055" s="65" t="inlineStr">
        <is>
          <t>BL095846L</t>
        </is>
      </c>
      <c r="J2055" s="65" t="inlineStr">
        <is>
          <t>CL098484D</t>
        </is>
      </c>
      <c r="K2055" s="65" t="inlineStr">
        <is>
          <t>N/D</t>
        </is>
      </c>
      <c r="L2055" s="127" t="inlineStr">
        <is>
          <t>BENELLI ARMI SPA</t>
        </is>
      </c>
      <c r="M2055" s="5" t="n">
        <v>684</v>
      </c>
      <c r="N2055" s="5" t="n"/>
      <c r="O2055" s="5">
        <f>+M2055+N2055</f>
        <v/>
      </c>
      <c r="P2055" s="4" t="n">
        <v>45863</v>
      </c>
      <c r="Q2055" s="87" t="n">
        <v>45856</v>
      </c>
      <c r="R2055" s="5" t="n">
        <v>779.76</v>
      </c>
      <c r="S2055" s="2" t="n">
        <v>1</v>
      </c>
      <c r="T2055" s="3" t="inlineStr">
        <is>
          <t>6B/2025/2S</t>
        </is>
      </c>
      <c r="U2055" s="87" t="n">
        <v>45873</v>
      </c>
      <c r="V2055" s="3" t="inlineStr">
        <is>
          <t>19</t>
        </is>
      </c>
      <c r="W2055" s="87" t="n">
        <v>45873</v>
      </c>
      <c r="X2055" s="4" t="inlineStr">
        <is>
          <t xml:space="preserve">Bin Humaid National Trading Co </t>
        </is>
      </c>
    </row>
    <row r="2056" ht="24" customHeight="1">
      <c r="A2056" s="2">
        <f>+D2056-S2056</f>
        <v/>
      </c>
      <c r="B2056" s="80" t="n">
        <v>3674</v>
      </c>
      <c r="C2056" s="66" t="n">
        <v>45863</v>
      </c>
      <c r="D2056" s="2" t="n">
        <v>1</v>
      </c>
      <c r="E2056" s="3" t="inlineStr">
        <is>
          <t>FUCILE SEMIAUTOMATICO</t>
        </is>
      </c>
      <c r="F2056" s="3" t="inlineStr">
        <is>
          <t>12</t>
        </is>
      </c>
      <c r="G2056" s="3" t="inlineStr">
        <is>
          <t>FRANCHI</t>
        </is>
      </c>
      <c r="H2056" s="65" t="inlineStr">
        <is>
          <t>AFFINITY 3 SPORTING 30" 3KND STEP RIB WOOD</t>
        </is>
      </c>
      <c r="I2056" s="65" t="inlineStr">
        <is>
          <t>BL095847N</t>
        </is>
      </c>
      <c r="J2056" s="65" t="inlineStr">
        <is>
          <t>CL098487L</t>
        </is>
      </c>
      <c r="K2056" s="65" t="inlineStr">
        <is>
          <t>N/D</t>
        </is>
      </c>
      <c r="L2056" s="127" t="inlineStr">
        <is>
          <t>BENELLI ARMI SPA</t>
        </is>
      </c>
      <c r="M2056" s="5" t="n">
        <v>684</v>
      </c>
      <c r="N2056" s="5" t="n"/>
      <c r="O2056" s="5">
        <f>+M2056+N2056</f>
        <v/>
      </c>
      <c r="P2056" s="4" t="n">
        <v>45863</v>
      </c>
      <c r="Q2056" s="87" t="n">
        <v>45856</v>
      </c>
      <c r="R2056" s="5" t="n">
        <v>779.76</v>
      </c>
      <c r="S2056" s="2" t="n">
        <v>1</v>
      </c>
      <c r="T2056" s="3" t="inlineStr">
        <is>
          <t>6B/2025/2S</t>
        </is>
      </c>
      <c r="U2056" s="87" t="n">
        <v>45873</v>
      </c>
      <c r="V2056" s="3" t="inlineStr">
        <is>
          <t>19</t>
        </is>
      </c>
      <c r="W2056" s="87" t="n">
        <v>45873</v>
      </c>
      <c r="X2056" s="4" t="inlineStr">
        <is>
          <t xml:space="preserve">Bin Humaid National Trading Co </t>
        </is>
      </c>
    </row>
    <row r="2057" ht="24" customHeight="1">
      <c r="A2057" s="2">
        <f>+D2057-S2057</f>
        <v/>
      </c>
      <c r="B2057" s="80" t="n">
        <v>3675</v>
      </c>
      <c r="C2057" s="66" t="n">
        <v>45863</v>
      </c>
      <c r="D2057" s="2" t="n">
        <v>1</v>
      </c>
      <c r="E2057" s="3" t="inlineStr">
        <is>
          <t>FUCILE SEMIAUTOMATICO</t>
        </is>
      </c>
      <c r="F2057" s="3" t="inlineStr">
        <is>
          <t>12</t>
        </is>
      </c>
      <c r="G2057" s="3" t="inlineStr">
        <is>
          <t>FRANCHI</t>
        </is>
      </c>
      <c r="H2057" s="65" t="inlineStr">
        <is>
          <t>AFFINITY 3 SPORTING 30" 3KND STEP RIB WOOD</t>
        </is>
      </c>
      <c r="I2057" s="65" t="inlineStr">
        <is>
          <t>BL095848Q</t>
        </is>
      </c>
      <c r="J2057" s="65" t="inlineStr">
        <is>
          <t>CL098478M</t>
        </is>
      </c>
      <c r="K2057" s="65" t="inlineStr">
        <is>
          <t>N/D</t>
        </is>
      </c>
      <c r="L2057" s="127" t="inlineStr">
        <is>
          <t>BENELLI ARMI SPA</t>
        </is>
      </c>
      <c r="M2057" s="5" t="n">
        <v>684</v>
      </c>
      <c r="N2057" s="5" t="n"/>
      <c r="O2057" s="5">
        <f>+M2057+N2057</f>
        <v/>
      </c>
      <c r="P2057" s="4" t="n">
        <v>45863</v>
      </c>
      <c r="Q2057" s="87" t="n">
        <v>45856</v>
      </c>
      <c r="R2057" s="5" t="n">
        <v>779.76</v>
      </c>
      <c r="S2057" s="2" t="n">
        <v>1</v>
      </c>
      <c r="T2057" s="3" t="inlineStr">
        <is>
          <t>6B/2025/2S</t>
        </is>
      </c>
      <c r="U2057" s="87" t="n">
        <v>45873</v>
      </c>
      <c r="V2057" s="3" t="inlineStr">
        <is>
          <t>19</t>
        </is>
      </c>
      <c r="W2057" s="87" t="n">
        <v>45873</v>
      </c>
      <c r="X2057" s="4" t="inlineStr">
        <is>
          <t xml:space="preserve">Bin Humaid National Trading Co </t>
        </is>
      </c>
    </row>
    <row r="2058" ht="24" customHeight="1">
      <c r="A2058" s="2">
        <f>+D2058-S2058</f>
        <v/>
      </c>
      <c r="B2058" s="80" t="n">
        <v>3676</v>
      </c>
      <c r="C2058" s="66" t="n">
        <v>45863</v>
      </c>
      <c r="D2058" s="2" t="n">
        <v>1</v>
      </c>
      <c r="E2058" s="3" t="inlineStr">
        <is>
          <t>FUCILE SEMIAUTOMATICO</t>
        </is>
      </c>
      <c r="F2058" s="3" t="inlineStr">
        <is>
          <t>12</t>
        </is>
      </c>
      <c r="G2058" s="3" t="inlineStr">
        <is>
          <t>FRANCHI</t>
        </is>
      </c>
      <c r="H2058" s="65" t="inlineStr">
        <is>
          <t>AFFINITY 3 SPORTING 30" 3KND STEP RIB WOOD</t>
        </is>
      </c>
      <c r="I2058" s="65" t="inlineStr">
        <is>
          <t>BL095412P</t>
        </is>
      </c>
      <c r="J2058" s="65" t="inlineStr">
        <is>
          <t>CL098480V</t>
        </is>
      </c>
      <c r="K2058" s="65" t="inlineStr">
        <is>
          <t>N/D</t>
        </is>
      </c>
      <c r="L2058" s="127" t="inlineStr">
        <is>
          <t>BENELLI ARMI SPA</t>
        </is>
      </c>
      <c r="M2058" s="5" t="n">
        <v>684</v>
      </c>
      <c r="N2058" s="5" t="n"/>
      <c r="O2058" s="5">
        <f>+M2058+N2058</f>
        <v/>
      </c>
      <c r="P2058" s="4" t="n">
        <v>45863</v>
      </c>
      <c r="Q2058" s="87" t="n">
        <v>45856</v>
      </c>
      <c r="R2058" s="5" t="n">
        <v>779.76</v>
      </c>
      <c r="S2058" s="2" t="n">
        <v>1</v>
      </c>
      <c r="T2058" s="3" t="inlineStr">
        <is>
          <t>6B/2025/2S</t>
        </is>
      </c>
      <c r="U2058" s="87" t="n">
        <v>45873</v>
      </c>
      <c r="V2058" s="3" t="inlineStr">
        <is>
          <t>19</t>
        </is>
      </c>
      <c r="W2058" s="87" t="n">
        <v>45873</v>
      </c>
      <c r="X2058" s="4" t="inlineStr">
        <is>
          <t xml:space="preserve">Bin Humaid National Trading Co </t>
        </is>
      </c>
    </row>
    <row r="2059" ht="24" customHeight="1">
      <c r="A2059" s="2">
        <f>+D2059-S2059</f>
        <v/>
      </c>
      <c r="B2059" s="80" t="n">
        <v>3677</v>
      </c>
      <c r="C2059" s="66" t="n">
        <v>45863</v>
      </c>
      <c r="D2059" s="2" t="n">
        <v>1</v>
      </c>
      <c r="E2059" s="3" t="inlineStr">
        <is>
          <t>FUCILE SEMIAUTOMATICO</t>
        </is>
      </c>
      <c r="F2059" s="3" t="inlineStr">
        <is>
          <t>12</t>
        </is>
      </c>
      <c r="G2059" s="3" t="inlineStr">
        <is>
          <t>FRANCHI</t>
        </is>
      </c>
      <c r="H2059" s="65" t="inlineStr">
        <is>
          <t>AFFINITY 3 SPORTING 30" 3KND STEP RIB WOOD</t>
        </is>
      </c>
      <c r="I2059" s="65" t="inlineStr">
        <is>
          <t>BL095842B</t>
        </is>
      </c>
      <c r="J2059" s="65" t="inlineStr">
        <is>
          <t>CL098498P</t>
        </is>
      </c>
      <c r="K2059" s="65" t="inlineStr">
        <is>
          <t>N/D</t>
        </is>
      </c>
      <c r="L2059" s="127" t="inlineStr">
        <is>
          <t>BENELLI ARMI SPA</t>
        </is>
      </c>
      <c r="M2059" s="5" t="n">
        <v>684</v>
      </c>
      <c r="N2059" s="5" t="n"/>
      <c r="O2059" s="5">
        <f>+M2059+N2059</f>
        <v/>
      </c>
      <c r="P2059" s="4" t="n">
        <v>45863</v>
      </c>
      <c r="Q2059" s="87" t="n">
        <v>45856</v>
      </c>
      <c r="R2059" s="5" t="n">
        <v>779.76</v>
      </c>
      <c r="S2059" s="2" t="n">
        <v>1</v>
      </c>
      <c r="T2059" s="3" t="inlineStr">
        <is>
          <t>6B/2025/2S</t>
        </is>
      </c>
      <c r="U2059" s="87" t="n">
        <v>45873</v>
      </c>
      <c r="V2059" s="3" t="inlineStr">
        <is>
          <t>19</t>
        </is>
      </c>
      <c r="W2059" s="87" t="n">
        <v>45873</v>
      </c>
      <c r="X2059" s="4" t="inlineStr">
        <is>
          <t xml:space="preserve">Bin Humaid National Trading Co </t>
        </is>
      </c>
    </row>
    <row r="2060" ht="24" customHeight="1">
      <c r="A2060" s="2">
        <f>+D2060-S2060</f>
        <v/>
      </c>
      <c r="B2060" s="80" t="n">
        <v>3678</v>
      </c>
      <c r="C2060" s="66" t="n">
        <v>45863</v>
      </c>
      <c r="D2060" s="2" t="n">
        <v>1</v>
      </c>
      <c r="E2060" s="3" t="inlineStr">
        <is>
          <t>FUCILE SEMIAUTOMATICO</t>
        </is>
      </c>
      <c r="F2060" s="3" t="inlineStr">
        <is>
          <t>12</t>
        </is>
      </c>
      <c r="G2060" s="3" t="inlineStr">
        <is>
          <t>FRANCHI</t>
        </is>
      </c>
      <c r="H2060" s="65" t="inlineStr">
        <is>
          <t>AFFINITY 3 SPORTING 30" 3KND STEP RIB WOOD</t>
        </is>
      </c>
      <c r="I2060" s="65" t="inlineStr">
        <is>
          <t>BL095843D</t>
        </is>
      </c>
      <c r="J2060" s="65" t="inlineStr">
        <is>
          <t>CL098629P</t>
        </is>
      </c>
      <c r="K2060" s="65" t="inlineStr">
        <is>
          <t>N/D</t>
        </is>
      </c>
      <c r="L2060" s="127" t="inlineStr">
        <is>
          <t>BENELLI ARMI SPA</t>
        </is>
      </c>
      <c r="M2060" s="5" t="n">
        <v>684</v>
      </c>
      <c r="N2060" s="5" t="n"/>
      <c r="O2060" s="5">
        <f>+M2060+N2060</f>
        <v/>
      </c>
      <c r="P2060" s="4" t="n">
        <v>45863</v>
      </c>
      <c r="Q2060" s="87" t="n">
        <v>45856</v>
      </c>
      <c r="R2060" s="5" t="n">
        <v>779.76</v>
      </c>
      <c r="S2060" s="2" t="n">
        <v>1</v>
      </c>
      <c r="T2060" s="3" t="inlineStr">
        <is>
          <t>6B/2025/2S</t>
        </is>
      </c>
      <c r="U2060" s="87" t="n">
        <v>45873</v>
      </c>
      <c r="V2060" s="3" t="inlineStr">
        <is>
          <t>19</t>
        </is>
      </c>
      <c r="W2060" s="87" t="n">
        <v>45873</v>
      </c>
      <c r="X2060" s="4" t="inlineStr">
        <is>
          <t xml:space="preserve">Bin Humaid National Trading Co </t>
        </is>
      </c>
    </row>
    <row r="2061" ht="24" customHeight="1">
      <c r="A2061" s="2">
        <f>+D2061-S2061</f>
        <v/>
      </c>
      <c r="B2061" s="80" t="n">
        <v>3679</v>
      </c>
      <c r="C2061" s="66" t="n">
        <v>45863</v>
      </c>
      <c r="D2061" s="2" t="n">
        <v>1</v>
      </c>
      <c r="E2061" s="3" t="inlineStr">
        <is>
          <t>FUCILE SEMIAUTOMATICO</t>
        </is>
      </c>
      <c r="F2061" s="3" t="inlineStr">
        <is>
          <t>12</t>
        </is>
      </c>
      <c r="G2061" s="3" t="inlineStr">
        <is>
          <t>FRANCHI</t>
        </is>
      </c>
      <c r="H2061" s="65" t="inlineStr">
        <is>
          <t>AFFINITY 3 SPORTING 30" 3KND STEP RIB WOOD</t>
        </is>
      </c>
      <c r="I2061" s="65" t="inlineStr">
        <is>
          <t>BL095849S</t>
        </is>
      </c>
      <c r="J2061" s="65" t="inlineStr">
        <is>
          <t>CL098625F</t>
        </is>
      </c>
      <c r="K2061" s="65" t="inlineStr">
        <is>
          <t>N/D</t>
        </is>
      </c>
      <c r="L2061" s="127" t="inlineStr">
        <is>
          <t>BENELLI ARMI SPA</t>
        </is>
      </c>
      <c r="M2061" s="5" t="n">
        <v>684</v>
      </c>
      <c r="N2061" s="5" t="n"/>
      <c r="O2061" s="5">
        <f>+M2061+N2061</f>
        <v/>
      </c>
      <c r="P2061" s="4" t="n">
        <v>45863</v>
      </c>
      <c r="Q2061" s="87" t="n">
        <v>45856</v>
      </c>
      <c r="R2061" s="5" t="n">
        <v>779.76</v>
      </c>
      <c r="S2061" s="2" t="n">
        <v>1</v>
      </c>
      <c r="T2061" s="3" t="inlineStr">
        <is>
          <t>6B/2025/2S</t>
        </is>
      </c>
      <c r="U2061" s="87" t="n">
        <v>45873</v>
      </c>
      <c r="V2061" s="3" t="inlineStr">
        <is>
          <t>19</t>
        </is>
      </c>
      <c r="W2061" s="87" t="n">
        <v>45873</v>
      </c>
      <c r="X2061" s="4" t="inlineStr">
        <is>
          <t xml:space="preserve">Bin Humaid National Trading Co </t>
        </is>
      </c>
    </row>
    <row r="2062" ht="24" customHeight="1">
      <c r="A2062" s="2">
        <f>+D2062-S2062</f>
        <v/>
      </c>
      <c r="B2062" s="80" t="n">
        <v>3680</v>
      </c>
      <c r="C2062" s="66" t="n">
        <v>45863</v>
      </c>
      <c r="D2062" s="2" t="n">
        <v>1</v>
      </c>
      <c r="E2062" s="3" t="inlineStr">
        <is>
          <t>FUCILE SEMIAUTOMATICO</t>
        </is>
      </c>
      <c r="F2062" s="3" t="inlineStr">
        <is>
          <t>12</t>
        </is>
      </c>
      <c r="G2062" s="3" t="inlineStr">
        <is>
          <t>FRANCHI</t>
        </is>
      </c>
      <c r="H2062" s="65" t="inlineStr">
        <is>
          <t>AFFINITY 3 SPORTING 30" 3KND STEP RIB WOOD</t>
        </is>
      </c>
      <c r="I2062" s="65" t="inlineStr">
        <is>
          <t>BL095970C</t>
        </is>
      </c>
      <c r="J2062" s="65" t="inlineStr">
        <is>
          <t>CL098640W</t>
        </is>
      </c>
      <c r="K2062" s="65" t="inlineStr">
        <is>
          <t>N/D</t>
        </is>
      </c>
      <c r="L2062" s="127" t="inlineStr">
        <is>
          <t>BENELLI ARMI SPA</t>
        </is>
      </c>
      <c r="M2062" s="5" t="n">
        <v>684</v>
      </c>
      <c r="N2062" s="5" t="n"/>
      <c r="O2062" s="5">
        <f>+M2062+N2062</f>
        <v/>
      </c>
      <c r="P2062" s="4" t="n">
        <v>45863</v>
      </c>
      <c r="Q2062" s="87" t="n">
        <v>45856</v>
      </c>
      <c r="R2062" s="5" t="n">
        <v>779.76</v>
      </c>
      <c r="S2062" s="2" t="n">
        <v>1</v>
      </c>
      <c r="T2062" s="3" t="inlineStr">
        <is>
          <t>6B/2025/2S</t>
        </is>
      </c>
      <c r="U2062" s="87" t="n">
        <v>45873</v>
      </c>
      <c r="V2062" s="3" t="inlineStr">
        <is>
          <t>19</t>
        </is>
      </c>
      <c r="W2062" s="87" t="n">
        <v>45873</v>
      </c>
      <c r="X2062" s="4" t="inlineStr">
        <is>
          <t xml:space="preserve">Bin Humaid National Trading Co </t>
        </is>
      </c>
    </row>
    <row r="2063" ht="24" customHeight="1">
      <c r="A2063" s="2">
        <f>+D2063-S2063</f>
        <v/>
      </c>
      <c r="B2063" s="80" t="n">
        <v>3681</v>
      </c>
      <c r="C2063" s="66" t="n">
        <v>45863</v>
      </c>
      <c r="D2063" s="2" t="n">
        <v>1</v>
      </c>
      <c r="E2063" s="3" t="inlineStr">
        <is>
          <t>FUCILE SEMIAUTOMATICO</t>
        </is>
      </c>
      <c r="F2063" s="3" t="inlineStr">
        <is>
          <t>12</t>
        </is>
      </c>
      <c r="G2063" s="3" t="inlineStr">
        <is>
          <t>FRANCHI</t>
        </is>
      </c>
      <c r="H2063" s="65" t="inlineStr">
        <is>
          <t>AFFINITY 3 SPORTING 30" 3KND STEP RIB WOOD</t>
        </is>
      </c>
      <c r="I2063" s="65" t="inlineStr">
        <is>
          <t>BL095971E</t>
        </is>
      </c>
      <c r="J2063" s="65" t="inlineStr">
        <is>
          <t>CL098508H</t>
        </is>
      </c>
      <c r="K2063" s="65" t="inlineStr">
        <is>
          <t>N/D</t>
        </is>
      </c>
      <c r="L2063" s="127" t="inlineStr">
        <is>
          <t>BENELLI ARMI SPA</t>
        </is>
      </c>
      <c r="M2063" s="5" t="n">
        <v>684</v>
      </c>
      <c r="N2063" s="5" t="n"/>
      <c r="O2063" s="5">
        <f>+M2063+N2063</f>
        <v/>
      </c>
      <c r="P2063" s="4" t="n">
        <v>45863</v>
      </c>
      <c r="Q2063" s="87" t="n">
        <v>45856</v>
      </c>
      <c r="R2063" s="5" t="n">
        <v>779.76</v>
      </c>
      <c r="S2063" s="2" t="n">
        <v>1</v>
      </c>
      <c r="T2063" s="3" t="inlineStr">
        <is>
          <t>6B/2025/2S</t>
        </is>
      </c>
      <c r="U2063" s="87" t="n">
        <v>45873</v>
      </c>
      <c r="V2063" s="3" t="inlineStr">
        <is>
          <t>19</t>
        </is>
      </c>
      <c r="W2063" s="87" t="n">
        <v>45873</v>
      </c>
      <c r="X2063" s="4" t="inlineStr">
        <is>
          <t xml:space="preserve">Bin Humaid National Trading Co </t>
        </is>
      </c>
    </row>
    <row r="2064" ht="24" customHeight="1">
      <c r="A2064" s="2">
        <f>+D2064-S2064</f>
        <v/>
      </c>
      <c r="B2064" s="80" t="n">
        <v>3682</v>
      </c>
      <c r="C2064" s="66" t="n">
        <v>45863</v>
      </c>
      <c r="D2064" s="2" t="n">
        <v>1</v>
      </c>
      <c r="E2064" s="3" t="inlineStr">
        <is>
          <t>FUCILE SEMIAUTOMATICO</t>
        </is>
      </c>
      <c r="F2064" s="3" t="inlineStr">
        <is>
          <t>12</t>
        </is>
      </c>
      <c r="G2064" s="3" t="inlineStr">
        <is>
          <t>FRANCHI</t>
        </is>
      </c>
      <c r="H2064" s="65" t="inlineStr">
        <is>
          <t>AFFINITY 3 SPORTING 30" 3KND STEP RIB WOOD</t>
        </is>
      </c>
      <c r="I2064" s="65" t="inlineStr">
        <is>
          <t>BL095973J</t>
        </is>
      </c>
      <c r="J2064" s="65" t="inlineStr">
        <is>
          <t>CL098510R</t>
        </is>
      </c>
      <c r="K2064" s="65" t="inlineStr">
        <is>
          <t>N/D</t>
        </is>
      </c>
      <c r="L2064" s="127" t="inlineStr">
        <is>
          <t>BENELLI ARMI SPA</t>
        </is>
      </c>
      <c r="M2064" s="5" t="n">
        <v>684</v>
      </c>
      <c r="N2064" s="5" t="n"/>
      <c r="O2064" s="5">
        <f>+M2064+N2064</f>
        <v/>
      </c>
      <c r="P2064" s="4" t="n">
        <v>45863</v>
      </c>
      <c r="Q2064" s="87" t="n">
        <v>45856</v>
      </c>
      <c r="R2064" s="5" t="n">
        <v>779.76</v>
      </c>
      <c r="S2064" s="2" t="n">
        <v>1</v>
      </c>
      <c r="T2064" s="3" t="inlineStr">
        <is>
          <t>6B/2025/2S</t>
        </is>
      </c>
      <c r="U2064" s="87" t="n">
        <v>45873</v>
      </c>
      <c r="V2064" s="3" t="inlineStr">
        <is>
          <t>19</t>
        </is>
      </c>
      <c r="W2064" s="87" t="n">
        <v>45873</v>
      </c>
      <c r="X2064" s="4" t="inlineStr">
        <is>
          <t xml:space="preserve">Bin Humaid National Trading Co </t>
        </is>
      </c>
    </row>
    <row r="2065" ht="24" customHeight="1">
      <c r="A2065" s="2">
        <f>+D2065-S2065</f>
        <v/>
      </c>
      <c r="B2065" s="80" t="n">
        <v>3683</v>
      </c>
      <c r="C2065" s="66" t="n">
        <v>45863</v>
      </c>
      <c r="D2065" s="2" t="n">
        <v>1</v>
      </c>
      <c r="E2065" s="3" t="inlineStr">
        <is>
          <t>FUCILE SEMIAUTOMATICO</t>
        </is>
      </c>
      <c r="F2065" s="3" t="inlineStr">
        <is>
          <t>12</t>
        </is>
      </c>
      <c r="G2065" s="3" t="inlineStr">
        <is>
          <t>FRANCHI</t>
        </is>
      </c>
      <c r="H2065" s="65" t="inlineStr">
        <is>
          <t>AFFINITY 3 SPORTING 30" 3KND STEP RIB WOOD</t>
        </is>
      </c>
      <c r="I2065" s="65" t="inlineStr">
        <is>
          <t>BL095972G</t>
        </is>
      </c>
      <c r="J2065" s="65" t="inlineStr">
        <is>
          <t>BL095972G</t>
        </is>
      </c>
      <c r="K2065" s="65" t="inlineStr">
        <is>
          <t>N/D</t>
        </is>
      </c>
      <c r="L2065" s="127" t="inlineStr">
        <is>
          <t>BENELLI ARMI SPA</t>
        </is>
      </c>
      <c r="M2065" s="5" t="n">
        <v>684</v>
      </c>
      <c r="N2065" s="5" t="n"/>
      <c r="O2065" s="5">
        <f>+M2065+N2065</f>
        <v/>
      </c>
      <c r="P2065" s="4" t="n">
        <v>45863</v>
      </c>
      <c r="Q2065" s="87" t="n">
        <v>45856</v>
      </c>
      <c r="R2065" s="5" t="n">
        <v>779.76</v>
      </c>
      <c r="S2065" s="2" t="n">
        <v>1</v>
      </c>
      <c r="T2065" s="3" t="inlineStr">
        <is>
          <t>6B/2025/2S</t>
        </is>
      </c>
      <c r="U2065" s="87" t="n">
        <v>45873</v>
      </c>
      <c r="V2065" s="3" t="inlineStr">
        <is>
          <t>19</t>
        </is>
      </c>
      <c r="W2065" s="87" t="n">
        <v>45873</v>
      </c>
      <c r="X2065" s="4" t="inlineStr">
        <is>
          <t xml:space="preserve">Bin Humaid National Trading Co </t>
        </is>
      </c>
    </row>
    <row r="2066" ht="24" customHeight="1">
      <c r="A2066" s="2">
        <f>+D2066-S2066</f>
        <v/>
      </c>
      <c r="B2066" s="80" t="n">
        <v>3684</v>
      </c>
      <c r="C2066" s="66" t="n">
        <v>45863</v>
      </c>
      <c r="D2066" s="2" t="n">
        <v>1</v>
      </c>
      <c r="E2066" s="3" t="inlineStr">
        <is>
          <t>FUCILE SEMIAUTOMATICO</t>
        </is>
      </c>
      <c r="F2066" s="3" t="inlineStr">
        <is>
          <t>12</t>
        </is>
      </c>
      <c r="G2066" s="3" t="inlineStr">
        <is>
          <t>FRANCHI</t>
        </is>
      </c>
      <c r="H2066" s="65" t="inlineStr">
        <is>
          <t>AFFINITY 3 SPORTING 30" 3KND STEP RIB WOOD</t>
        </is>
      </c>
      <c r="I2066" s="65" t="inlineStr">
        <is>
          <t>BL095975P</t>
        </is>
      </c>
      <c r="J2066" s="65" t="inlineStr">
        <is>
          <t>CL098626H</t>
        </is>
      </c>
      <c r="K2066" s="65" t="inlineStr">
        <is>
          <t>N/D</t>
        </is>
      </c>
      <c r="L2066" s="127" t="inlineStr">
        <is>
          <t>BENELLI ARMI SPA</t>
        </is>
      </c>
      <c r="M2066" s="5" t="n">
        <v>684</v>
      </c>
      <c r="N2066" s="5" t="n"/>
      <c r="O2066" s="5">
        <f>+M2066+N2066</f>
        <v/>
      </c>
      <c r="P2066" s="4" t="n">
        <v>45863</v>
      </c>
      <c r="Q2066" s="87" t="n">
        <v>45856</v>
      </c>
      <c r="R2066" s="5" t="n">
        <v>779.76</v>
      </c>
      <c r="S2066" s="2" t="n">
        <v>1</v>
      </c>
      <c r="T2066" s="3" t="inlineStr">
        <is>
          <t>6B/2025/2S</t>
        </is>
      </c>
      <c r="U2066" s="87" t="n">
        <v>45873</v>
      </c>
      <c r="V2066" s="3" t="inlineStr">
        <is>
          <t>19</t>
        </is>
      </c>
      <c r="W2066" s="87" t="n">
        <v>45873</v>
      </c>
      <c r="X2066" s="4" t="inlineStr">
        <is>
          <t xml:space="preserve">Bin Humaid National Trading Co </t>
        </is>
      </c>
    </row>
    <row r="2067" ht="24" customHeight="1">
      <c r="A2067" s="2">
        <f>+D2067-S2067</f>
        <v/>
      </c>
      <c r="B2067" s="80" t="n">
        <v>3685</v>
      </c>
      <c r="C2067" s="66" t="n">
        <v>45863</v>
      </c>
      <c r="D2067" s="2" t="n">
        <v>1</v>
      </c>
      <c r="E2067" s="3" t="inlineStr">
        <is>
          <t>FUCILE SEMIAUTOMATICO</t>
        </is>
      </c>
      <c r="F2067" s="3" t="inlineStr">
        <is>
          <t>12</t>
        </is>
      </c>
      <c r="G2067" s="3" t="inlineStr">
        <is>
          <t>FRANCHI</t>
        </is>
      </c>
      <c r="H2067" s="65" t="inlineStr">
        <is>
          <t>AFFINITY 3 SPORTING 30" 3KND STEP RIB WOOD</t>
        </is>
      </c>
      <c r="I2067" s="65" t="inlineStr">
        <is>
          <t>BL095974L</t>
        </is>
      </c>
      <c r="J2067" s="65" t="inlineStr">
        <is>
          <t>CL098628M</t>
        </is>
      </c>
      <c r="K2067" s="65" t="inlineStr">
        <is>
          <t>N/D</t>
        </is>
      </c>
      <c r="L2067" s="127" t="inlineStr">
        <is>
          <t>BENELLI ARMI SPA</t>
        </is>
      </c>
      <c r="M2067" s="5" t="n">
        <v>684</v>
      </c>
      <c r="N2067" s="5" t="n"/>
      <c r="O2067" s="5">
        <f>+M2067+N2067</f>
        <v/>
      </c>
      <c r="P2067" s="4" t="n">
        <v>45863</v>
      </c>
      <c r="Q2067" s="87" t="n">
        <v>45856</v>
      </c>
      <c r="R2067" s="5" t="n">
        <v>779.76</v>
      </c>
      <c r="S2067" s="2" t="n">
        <v>1</v>
      </c>
      <c r="T2067" s="3" t="inlineStr">
        <is>
          <t>6B/2025/2S</t>
        </is>
      </c>
      <c r="U2067" s="87" t="n">
        <v>45873</v>
      </c>
      <c r="V2067" s="3" t="inlineStr">
        <is>
          <t>19</t>
        </is>
      </c>
      <c r="W2067" s="87" t="n">
        <v>45873</v>
      </c>
      <c r="X2067" s="4" t="inlineStr">
        <is>
          <t xml:space="preserve">Bin Humaid National Trading Co </t>
        </is>
      </c>
    </row>
    <row r="2068" ht="24" customHeight="1">
      <c r="A2068" s="2">
        <f>+D2068-S2068</f>
        <v/>
      </c>
      <c r="B2068" s="80" t="n">
        <v>3686</v>
      </c>
      <c r="C2068" s="66" t="n">
        <v>45863</v>
      </c>
      <c r="D2068" s="2" t="n">
        <v>1</v>
      </c>
      <c r="E2068" s="3" t="inlineStr">
        <is>
          <t>FUCILE SEMIAUTOMATICO</t>
        </is>
      </c>
      <c r="F2068" s="3" t="inlineStr">
        <is>
          <t>12</t>
        </is>
      </c>
      <c r="G2068" s="3" t="inlineStr">
        <is>
          <t>FRANCHI</t>
        </is>
      </c>
      <c r="H2068" s="65" t="inlineStr">
        <is>
          <t>AFFINITY 3 SPORTING 30" 3KND STEP RIB WOOD</t>
        </is>
      </c>
      <c r="I2068" s="65" t="inlineStr">
        <is>
          <t>BL095976R</t>
        </is>
      </c>
      <c r="J2068" s="65" t="inlineStr">
        <is>
          <t>CL098636J</t>
        </is>
      </c>
      <c r="K2068" s="65" t="inlineStr">
        <is>
          <t>N/D</t>
        </is>
      </c>
      <c r="L2068" s="127" t="inlineStr">
        <is>
          <t>BENELLI ARMI SPA</t>
        </is>
      </c>
      <c r="M2068" s="5" t="n">
        <v>684</v>
      </c>
      <c r="N2068" s="5" t="n"/>
      <c r="O2068" s="5">
        <f>+M2068+N2068</f>
        <v/>
      </c>
      <c r="P2068" s="4" t="n">
        <v>45863</v>
      </c>
      <c r="Q2068" s="87" t="n">
        <v>45856</v>
      </c>
      <c r="R2068" s="5" t="n">
        <v>779.76</v>
      </c>
      <c r="S2068" s="2" t="n">
        <v>1</v>
      </c>
      <c r="T2068" s="3" t="inlineStr">
        <is>
          <t>6B/2025/2S</t>
        </is>
      </c>
      <c r="U2068" s="87" t="n">
        <v>45873</v>
      </c>
      <c r="V2068" s="3" t="inlineStr">
        <is>
          <t>19</t>
        </is>
      </c>
      <c r="W2068" s="87" t="n">
        <v>45873</v>
      </c>
      <c r="X2068" s="4" t="inlineStr">
        <is>
          <t xml:space="preserve">Bin Humaid National Trading Co </t>
        </is>
      </c>
    </row>
    <row r="2069" ht="24" customHeight="1">
      <c r="A2069" s="2">
        <f>+D2069-S2069</f>
        <v/>
      </c>
      <c r="B2069" s="80" t="n">
        <v>3687</v>
      </c>
      <c r="C2069" s="66" t="n">
        <v>45863</v>
      </c>
      <c r="D2069" s="2" t="n">
        <v>1</v>
      </c>
      <c r="E2069" s="3" t="inlineStr">
        <is>
          <t>FUCILE SEMIAUTOMATICO</t>
        </is>
      </c>
      <c r="F2069" s="3" t="inlineStr">
        <is>
          <t>12</t>
        </is>
      </c>
      <c r="G2069" s="3" t="inlineStr">
        <is>
          <t>FRANCHI</t>
        </is>
      </c>
      <c r="H2069" s="65" t="inlineStr">
        <is>
          <t>AFFINITY 3 SPORTING 30" 3KND STEP RIB WOOD</t>
        </is>
      </c>
      <c r="I2069" s="65" t="inlineStr">
        <is>
          <t>BL095978V</t>
        </is>
      </c>
      <c r="J2069" s="65" t="inlineStr">
        <is>
          <t>CL098507F</t>
        </is>
      </c>
      <c r="K2069" s="65" t="inlineStr">
        <is>
          <t>N/D</t>
        </is>
      </c>
      <c r="L2069" s="127" t="inlineStr">
        <is>
          <t>BENELLI ARMI SPA</t>
        </is>
      </c>
      <c r="M2069" s="5" t="n">
        <v>684</v>
      </c>
      <c r="N2069" s="5" t="n"/>
      <c r="O2069" s="5">
        <f>+M2069+N2069</f>
        <v/>
      </c>
      <c r="P2069" s="4" t="n">
        <v>45863</v>
      </c>
      <c r="Q2069" s="87" t="n">
        <v>45856</v>
      </c>
      <c r="R2069" s="5" t="n">
        <v>779.76</v>
      </c>
      <c r="S2069" s="2" t="n">
        <v>1</v>
      </c>
      <c r="T2069" s="3" t="inlineStr">
        <is>
          <t>6B/2025/2S</t>
        </is>
      </c>
      <c r="U2069" s="87" t="n">
        <v>45873</v>
      </c>
      <c r="V2069" s="3" t="inlineStr">
        <is>
          <t>19</t>
        </is>
      </c>
      <c r="W2069" s="87" t="n">
        <v>45873</v>
      </c>
      <c r="X2069" s="4" t="inlineStr">
        <is>
          <t xml:space="preserve">Bin Humaid National Trading Co </t>
        </is>
      </c>
    </row>
    <row r="2070" ht="24" customHeight="1">
      <c r="A2070" s="2">
        <f>+D2070-S2070</f>
        <v/>
      </c>
      <c r="B2070" s="80" t="n">
        <v>3688</v>
      </c>
      <c r="C2070" s="66" t="n">
        <v>45863</v>
      </c>
      <c r="D2070" s="2" t="n">
        <v>1</v>
      </c>
      <c r="E2070" s="3" t="inlineStr">
        <is>
          <t>FUCILE SEMIAUTOMATICO</t>
        </is>
      </c>
      <c r="F2070" s="3" t="inlineStr">
        <is>
          <t>12</t>
        </is>
      </c>
      <c r="G2070" s="3" t="inlineStr">
        <is>
          <t>FRANCHI</t>
        </is>
      </c>
      <c r="H2070" s="65" t="inlineStr">
        <is>
          <t>AFFINITY 3 SPORTING 30" 3KND STEP RIB WOOD</t>
        </is>
      </c>
      <c r="I2070" s="65" t="inlineStr">
        <is>
          <t>BL095835H</t>
        </is>
      </c>
      <c r="J2070" s="65" t="inlineStr">
        <is>
          <t>CL098506D</t>
        </is>
      </c>
      <c r="K2070" s="65" t="inlineStr">
        <is>
          <t>N/D</t>
        </is>
      </c>
      <c r="L2070" s="127" t="inlineStr">
        <is>
          <t>BENELLI ARMI SPA</t>
        </is>
      </c>
      <c r="M2070" s="5" t="n">
        <v>684</v>
      </c>
      <c r="N2070" s="5" t="n"/>
      <c r="O2070" s="5">
        <f>+M2070+N2070</f>
        <v/>
      </c>
      <c r="P2070" s="4" t="n">
        <v>45863</v>
      </c>
      <c r="Q2070" s="87" t="n">
        <v>45856</v>
      </c>
      <c r="R2070" s="5" t="n">
        <v>779.76</v>
      </c>
      <c r="S2070" s="2" t="n">
        <v>1</v>
      </c>
      <c r="T2070" s="3" t="inlineStr">
        <is>
          <t>6B/2025/2S</t>
        </is>
      </c>
      <c r="U2070" s="87" t="n">
        <v>45873</v>
      </c>
      <c r="V2070" s="3" t="inlineStr">
        <is>
          <t>19</t>
        </is>
      </c>
      <c r="W2070" s="87" t="n">
        <v>45873</v>
      </c>
      <c r="X2070" s="4" t="inlineStr">
        <is>
          <t xml:space="preserve">Bin Humaid National Trading Co </t>
        </is>
      </c>
    </row>
    <row r="2071" ht="24" customHeight="1">
      <c r="A2071" s="2">
        <f>+D2071-S2071</f>
        <v/>
      </c>
      <c r="B2071" s="80" t="n">
        <v>3689</v>
      </c>
      <c r="C2071" s="66" t="n">
        <v>45863</v>
      </c>
      <c r="D2071" s="2" t="n">
        <v>1</v>
      </c>
      <c r="E2071" s="3" t="inlineStr">
        <is>
          <t>FUCILE SEMIAUTOMATICO</t>
        </is>
      </c>
      <c r="F2071" s="3" t="inlineStr">
        <is>
          <t>12</t>
        </is>
      </c>
      <c r="G2071" s="3" t="inlineStr">
        <is>
          <t>FRANCHI</t>
        </is>
      </c>
      <c r="H2071" s="65" t="inlineStr">
        <is>
          <t>AFFINITY 3 SPORTING 30" 3KND STEP RIB WOOD</t>
        </is>
      </c>
      <c r="I2071" s="65" t="inlineStr">
        <is>
          <t>BL095834E</t>
        </is>
      </c>
      <c r="J2071" s="65" t="inlineStr">
        <is>
          <t>CL098638N</t>
        </is>
      </c>
      <c r="K2071" s="65" t="inlineStr">
        <is>
          <t>N/D</t>
        </is>
      </c>
      <c r="L2071" s="127" t="inlineStr">
        <is>
          <t>BENELLI ARMI SPA</t>
        </is>
      </c>
      <c r="M2071" s="5" t="n">
        <v>684</v>
      </c>
      <c r="N2071" s="5" t="n"/>
      <c r="O2071" s="5">
        <f>+M2071+N2071</f>
        <v/>
      </c>
      <c r="P2071" s="4" t="n">
        <v>45863</v>
      </c>
      <c r="Q2071" s="87" t="n">
        <v>45856</v>
      </c>
      <c r="R2071" s="5" t="n">
        <v>779.76</v>
      </c>
      <c r="S2071" s="2" t="n">
        <v>1</v>
      </c>
      <c r="T2071" s="3" t="inlineStr">
        <is>
          <t>6B/2025/2S</t>
        </is>
      </c>
      <c r="U2071" s="87" t="n">
        <v>45873</v>
      </c>
      <c r="V2071" s="3" t="inlineStr">
        <is>
          <t>19</t>
        </is>
      </c>
      <c r="W2071" s="87" t="n">
        <v>45873</v>
      </c>
      <c r="X2071" s="4" t="inlineStr">
        <is>
          <t xml:space="preserve">Bin Humaid National Trading Co </t>
        </is>
      </c>
    </row>
    <row r="2072" ht="24" customHeight="1">
      <c r="A2072" s="2">
        <f>+D2072-S2072</f>
        <v/>
      </c>
      <c r="B2072" s="80" t="n">
        <v>3690</v>
      </c>
      <c r="C2072" s="66" t="n">
        <v>45863</v>
      </c>
      <c r="D2072" s="2" t="n">
        <v>1</v>
      </c>
      <c r="E2072" s="3" t="inlineStr">
        <is>
          <t>FUCILE SEMIAUTOMATICO</t>
        </is>
      </c>
      <c r="F2072" s="3" t="inlineStr">
        <is>
          <t>12</t>
        </is>
      </c>
      <c r="G2072" s="3" t="inlineStr">
        <is>
          <t>FRANCHI</t>
        </is>
      </c>
      <c r="H2072" s="65" t="inlineStr">
        <is>
          <t>AFFINITY 3 SPORTING 30" 3KND STEP RIB WOOD</t>
        </is>
      </c>
      <c r="I2072" s="65" t="inlineStr">
        <is>
          <t>BL095820V</t>
        </is>
      </c>
      <c r="J2072" s="65" t="inlineStr">
        <is>
          <t>CL098633B</t>
        </is>
      </c>
      <c r="K2072" s="65" t="inlineStr">
        <is>
          <t>N/D</t>
        </is>
      </c>
      <c r="L2072" s="127" t="inlineStr">
        <is>
          <t>BENELLI ARMI SPA</t>
        </is>
      </c>
      <c r="M2072" s="5" t="n">
        <v>684</v>
      </c>
      <c r="N2072" s="5" t="n"/>
      <c r="O2072" s="5">
        <f>+M2072+N2072</f>
        <v/>
      </c>
      <c r="P2072" s="4" t="n">
        <v>45863</v>
      </c>
      <c r="Q2072" s="87" t="n">
        <v>45856</v>
      </c>
      <c r="R2072" s="5" t="n">
        <v>779.76</v>
      </c>
      <c r="S2072" s="2" t="n">
        <v>1</v>
      </c>
      <c r="T2072" s="3" t="inlineStr">
        <is>
          <t>6B/2025/2S</t>
        </is>
      </c>
      <c r="U2072" s="87" t="n">
        <v>45873</v>
      </c>
      <c r="V2072" s="3" t="inlineStr">
        <is>
          <t>19</t>
        </is>
      </c>
      <c r="W2072" s="87" t="n">
        <v>45873</v>
      </c>
      <c r="X2072" s="4" t="inlineStr">
        <is>
          <t xml:space="preserve">Bin Humaid National Trading Co </t>
        </is>
      </c>
    </row>
    <row r="2073" ht="24" customHeight="1">
      <c r="A2073" s="2">
        <f>+D2073-S2073</f>
        <v/>
      </c>
      <c r="B2073" s="80" t="n">
        <v>3691</v>
      </c>
      <c r="C2073" s="66" t="n">
        <v>45863</v>
      </c>
      <c r="D2073" s="2" t="n">
        <v>1</v>
      </c>
      <c r="E2073" s="3" t="inlineStr">
        <is>
          <t>FUCILE SEMIAUTOMATICO</t>
        </is>
      </c>
      <c r="F2073" s="3" t="inlineStr">
        <is>
          <t>12</t>
        </is>
      </c>
      <c r="G2073" s="3" t="inlineStr">
        <is>
          <t>FRANCHI</t>
        </is>
      </c>
      <c r="H2073" s="65" t="inlineStr">
        <is>
          <t>AFFINITY 3 SPORTING 30" 3KND STEP RIB WOOD</t>
        </is>
      </c>
      <c r="I2073" s="65" t="inlineStr">
        <is>
          <t>BL095839R</t>
        </is>
      </c>
      <c r="J2073" s="65" t="inlineStr">
        <is>
          <t>CL098634D</t>
        </is>
      </c>
      <c r="K2073" s="65" t="inlineStr">
        <is>
          <t>N/D</t>
        </is>
      </c>
      <c r="L2073" s="127" t="inlineStr">
        <is>
          <t>BENELLI ARMI SPA</t>
        </is>
      </c>
      <c r="M2073" s="5" t="n">
        <v>684</v>
      </c>
      <c r="N2073" s="5" t="n"/>
      <c r="O2073" s="5">
        <f>+M2073+N2073</f>
        <v/>
      </c>
      <c r="P2073" s="4" t="n">
        <v>45863</v>
      </c>
      <c r="Q2073" s="87" t="n">
        <v>45856</v>
      </c>
      <c r="R2073" s="5" t="n">
        <v>779.76</v>
      </c>
      <c r="S2073" s="2" t="n">
        <v>1</v>
      </c>
      <c r="T2073" s="3" t="inlineStr">
        <is>
          <t>6B/2025/2S</t>
        </is>
      </c>
      <c r="U2073" s="87" t="n">
        <v>45873</v>
      </c>
      <c r="V2073" s="3" t="inlineStr">
        <is>
          <t>19</t>
        </is>
      </c>
      <c r="W2073" s="87" t="n">
        <v>45873</v>
      </c>
      <c r="X2073" s="4" t="inlineStr">
        <is>
          <t xml:space="preserve">Bin Humaid National Trading Co </t>
        </is>
      </c>
    </row>
    <row r="2074" ht="24" customHeight="1">
      <c r="A2074" s="2">
        <f>+D2074-S2074</f>
        <v/>
      </c>
      <c r="B2074" s="80" t="n">
        <v>3692</v>
      </c>
      <c r="C2074" s="66" t="n">
        <v>45863</v>
      </c>
      <c r="D2074" s="2" t="n">
        <v>1</v>
      </c>
      <c r="E2074" s="3" t="inlineStr">
        <is>
          <t>FUCILE SEMIAUTOMATICO</t>
        </is>
      </c>
      <c r="F2074" s="3" t="inlineStr">
        <is>
          <t>12</t>
        </is>
      </c>
      <c r="G2074" s="3" t="inlineStr">
        <is>
          <t>FRANCHI</t>
        </is>
      </c>
      <c r="H2074" s="65" t="inlineStr">
        <is>
          <t>AFFINITY 3 ELITE COBALT 30" 3KND STEP RIB OPTIFADE TIM</t>
        </is>
      </c>
      <c r="I2074" s="65" t="inlineStr">
        <is>
          <t>BL091742V</t>
        </is>
      </c>
      <c r="J2074" s="65" t="inlineStr">
        <is>
          <t>CL094402M</t>
        </is>
      </c>
      <c r="K2074" s="65" t="inlineStr">
        <is>
          <t>N/D</t>
        </is>
      </c>
      <c r="L2074" s="127" t="inlineStr">
        <is>
          <t>BENELLI ARMI SPA</t>
        </is>
      </c>
      <c r="M2074" s="5" t="n">
        <v>548</v>
      </c>
      <c r="N2074" s="5" t="n"/>
      <c r="O2074" s="5">
        <f>+M2074+N2074</f>
        <v/>
      </c>
      <c r="P2074" s="4" t="n">
        <v>45863</v>
      </c>
      <c r="Q2074" s="87" t="n">
        <v>45856</v>
      </c>
      <c r="R2074" s="5" t="n">
        <v>657.78</v>
      </c>
      <c r="S2074" s="2" t="n">
        <v>1</v>
      </c>
      <c r="T2074" s="3" t="inlineStr">
        <is>
          <t>6B/2025/2S</t>
        </is>
      </c>
      <c r="U2074" s="87" t="n">
        <v>45873</v>
      </c>
      <c r="V2074" s="3" t="inlineStr">
        <is>
          <t>19</t>
        </is>
      </c>
      <c r="W2074" s="87" t="n">
        <v>45873</v>
      </c>
      <c r="X2074" s="4" t="inlineStr">
        <is>
          <t xml:space="preserve">Bin Humaid National Trading Co </t>
        </is>
      </c>
    </row>
    <row r="2075" ht="24" customHeight="1">
      <c r="A2075" s="2">
        <f>+D2075-S2075</f>
        <v/>
      </c>
      <c r="B2075" s="80" t="n">
        <v>3693</v>
      </c>
      <c r="C2075" s="66" t="n">
        <v>45863</v>
      </c>
      <c r="D2075" s="2" t="n">
        <v>1</v>
      </c>
      <c r="E2075" s="3" t="inlineStr">
        <is>
          <t>FUCILE SEMIAUTOMATICO</t>
        </is>
      </c>
      <c r="F2075" s="3" t="inlineStr">
        <is>
          <t>12</t>
        </is>
      </c>
      <c r="G2075" s="3" t="inlineStr">
        <is>
          <t>FRANCHI</t>
        </is>
      </c>
      <c r="H2075" s="65" t="inlineStr">
        <is>
          <t>AFFINITY 3 ELITE COBALT 30" 3KND STEP RIB OPTIFADE TIM</t>
        </is>
      </c>
      <c r="I2075" s="65" t="inlineStr">
        <is>
          <t>BL091741T</t>
        </is>
      </c>
      <c r="J2075" s="65" t="inlineStr">
        <is>
          <t>CL094403P</t>
        </is>
      </c>
      <c r="K2075" s="65" t="inlineStr">
        <is>
          <t>N/D</t>
        </is>
      </c>
      <c r="L2075" s="127" t="inlineStr">
        <is>
          <t>BENELLI ARMI SPA</t>
        </is>
      </c>
      <c r="M2075" s="5" t="n">
        <v>548</v>
      </c>
      <c r="N2075" s="5" t="n"/>
      <c r="O2075" s="5">
        <f>+M2075+N2075</f>
        <v/>
      </c>
      <c r="P2075" s="4" t="n">
        <v>45863</v>
      </c>
      <c r="Q2075" s="87" t="n">
        <v>45856</v>
      </c>
      <c r="R2075" s="5" t="n">
        <v>657.78</v>
      </c>
      <c r="S2075" s="2" t="n">
        <v>1</v>
      </c>
      <c r="T2075" s="3" t="inlineStr">
        <is>
          <t>6B/2025/2S</t>
        </is>
      </c>
      <c r="U2075" s="87" t="n">
        <v>45873</v>
      </c>
      <c r="V2075" s="3" t="inlineStr">
        <is>
          <t>19</t>
        </is>
      </c>
      <c r="W2075" s="87" t="n">
        <v>45873</v>
      </c>
      <c r="X2075" s="4" t="inlineStr">
        <is>
          <t xml:space="preserve">Bin Humaid National Trading Co </t>
        </is>
      </c>
    </row>
    <row r="2076" ht="24" customHeight="1">
      <c r="A2076" s="2">
        <f>+D2076-S2076</f>
        <v/>
      </c>
      <c r="B2076" s="80" t="n">
        <v>3694</v>
      </c>
      <c r="C2076" s="66" t="n">
        <v>45863</v>
      </c>
      <c r="D2076" s="2" t="n">
        <v>1</v>
      </c>
      <c r="E2076" s="3" t="inlineStr">
        <is>
          <t>FUCILE SEMIAUTOMATICO</t>
        </is>
      </c>
      <c r="F2076" s="3" t="inlineStr">
        <is>
          <t>12</t>
        </is>
      </c>
      <c r="G2076" s="3" t="inlineStr">
        <is>
          <t>FRANCHI</t>
        </is>
      </c>
      <c r="H2076" s="65" t="inlineStr">
        <is>
          <t>AFFINITY 3 ELITE COBALT 30" 3KND STEP RIB OPTIFADE TIM</t>
        </is>
      </c>
      <c r="I2076" s="65" t="inlineStr">
        <is>
          <t>BL091740R</t>
        </is>
      </c>
      <c r="J2076" s="65" t="inlineStr">
        <is>
          <t>CL094407Y</t>
        </is>
      </c>
      <c r="K2076" s="65" t="inlineStr">
        <is>
          <t>N/D</t>
        </is>
      </c>
      <c r="L2076" s="127" t="inlineStr">
        <is>
          <t>BENELLI ARMI SPA</t>
        </is>
      </c>
      <c r="M2076" s="5" t="n">
        <v>548</v>
      </c>
      <c r="N2076" s="5" t="n"/>
      <c r="O2076" s="5">
        <f>+M2076+N2076</f>
        <v/>
      </c>
      <c r="P2076" s="4" t="n">
        <v>45863</v>
      </c>
      <c r="Q2076" s="87" t="n">
        <v>45856</v>
      </c>
      <c r="R2076" s="5" t="n">
        <v>657.78</v>
      </c>
      <c r="S2076" s="2" t="n">
        <v>1</v>
      </c>
      <c r="T2076" s="3" t="inlineStr">
        <is>
          <t>6B/2025/2S</t>
        </is>
      </c>
      <c r="U2076" s="87" t="n">
        <v>45873</v>
      </c>
      <c r="V2076" s="3" t="inlineStr">
        <is>
          <t>19</t>
        </is>
      </c>
      <c r="W2076" s="87" t="n">
        <v>45873</v>
      </c>
      <c r="X2076" s="4" t="inlineStr">
        <is>
          <t xml:space="preserve">Bin Humaid National Trading Co </t>
        </is>
      </c>
    </row>
    <row r="2077" ht="24" customHeight="1">
      <c r="A2077" s="2">
        <f>+D2077-S2077</f>
        <v/>
      </c>
      <c r="B2077" s="80" t="n">
        <v>3695</v>
      </c>
      <c r="C2077" s="66" t="n">
        <v>45863</v>
      </c>
      <c r="D2077" s="2" t="n">
        <v>1</v>
      </c>
      <c r="E2077" s="3" t="inlineStr">
        <is>
          <t>FUCILE SEMIAUTOMATICO</t>
        </is>
      </c>
      <c r="F2077" s="3" t="inlineStr">
        <is>
          <t>12</t>
        </is>
      </c>
      <c r="G2077" s="3" t="inlineStr">
        <is>
          <t>FRANCHI</t>
        </is>
      </c>
      <c r="H2077" s="65" t="inlineStr">
        <is>
          <t>AFFINITY 3 ELITE COBALT 30" 3KND STEP RIB OPTIFADE TIM</t>
        </is>
      </c>
      <c r="I2077" s="65" t="inlineStr">
        <is>
          <t>BL091745C</t>
        </is>
      </c>
      <c r="J2077" s="65" t="inlineStr">
        <is>
          <t>CL094416X</t>
        </is>
      </c>
      <c r="K2077" s="65" t="inlineStr">
        <is>
          <t>N/D</t>
        </is>
      </c>
      <c r="L2077" s="127" t="inlineStr">
        <is>
          <t>BENELLI ARMI SPA</t>
        </is>
      </c>
      <c r="M2077" s="5" t="n">
        <v>548</v>
      </c>
      <c r="N2077" s="5" t="n"/>
      <c r="O2077" s="5">
        <f>+M2077+N2077</f>
        <v/>
      </c>
      <c r="P2077" s="4" t="n">
        <v>45863</v>
      </c>
      <c r="Q2077" s="87" t="n">
        <v>45856</v>
      </c>
      <c r="R2077" s="5" t="n">
        <v>657.78</v>
      </c>
      <c r="S2077" s="2" t="n">
        <v>1</v>
      </c>
      <c r="T2077" s="3" t="inlineStr">
        <is>
          <t>6B/2025/2S</t>
        </is>
      </c>
      <c r="U2077" s="87" t="n">
        <v>45873</v>
      </c>
      <c r="V2077" s="3" t="inlineStr">
        <is>
          <t>19</t>
        </is>
      </c>
      <c r="W2077" s="87" t="n">
        <v>45873</v>
      </c>
      <c r="X2077" s="4" t="inlineStr">
        <is>
          <t xml:space="preserve">Bin Humaid National Trading Co </t>
        </is>
      </c>
    </row>
    <row r="2078" ht="24" customHeight="1">
      <c r="A2078" s="2">
        <f>+D2078-S2078</f>
        <v/>
      </c>
      <c r="B2078" s="80" t="n">
        <v>3696</v>
      </c>
      <c r="C2078" s="66" t="n">
        <v>45863</v>
      </c>
      <c r="D2078" s="2" t="n">
        <v>1</v>
      </c>
      <c r="E2078" s="3" t="inlineStr">
        <is>
          <t>FUCILE SEMIAUTOMATICO</t>
        </is>
      </c>
      <c r="F2078" s="3" t="inlineStr">
        <is>
          <t>12</t>
        </is>
      </c>
      <c r="G2078" s="3" t="inlineStr">
        <is>
          <t>FRANCHI</t>
        </is>
      </c>
      <c r="H2078" s="65" t="inlineStr">
        <is>
          <t>AFFINITY 3 ELITE COBALT 30" 3KND STEP RIB OPTIFADE TIM</t>
        </is>
      </c>
      <c r="I2078" s="65" t="inlineStr">
        <is>
          <t>BL091744Z</t>
        </is>
      </c>
      <c r="J2078" s="65" t="inlineStr">
        <is>
          <t>CL094401K</t>
        </is>
      </c>
      <c r="K2078" s="65" t="inlineStr">
        <is>
          <t>N/D</t>
        </is>
      </c>
      <c r="L2078" s="127" t="inlineStr">
        <is>
          <t>BENELLI ARMI SPA</t>
        </is>
      </c>
      <c r="M2078" s="5" t="n">
        <v>548</v>
      </c>
      <c r="N2078" s="5" t="n"/>
      <c r="O2078" s="5">
        <f>+M2078+N2078</f>
        <v/>
      </c>
      <c r="P2078" s="4" t="n">
        <v>45863</v>
      </c>
      <c r="Q2078" s="87" t="n">
        <v>45856</v>
      </c>
      <c r="R2078" s="5" t="n">
        <v>657.78</v>
      </c>
      <c r="S2078" s="2" t="n">
        <v>1</v>
      </c>
      <c r="T2078" s="3" t="inlineStr">
        <is>
          <t>6B/2025/2S</t>
        </is>
      </c>
      <c r="U2078" s="87" t="n">
        <v>45873</v>
      </c>
      <c r="V2078" s="3" t="inlineStr">
        <is>
          <t>19</t>
        </is>
      </c>
      <c r="W2078" s="87" t="n">
        <v>45873</v>
      </c>
      <c r="X2078" s="4" t="inlineStr">
        <is>
          <t xml:space="preserve">Bin Humaid National Trading Co </t>
        </is>
      </c>
    </row>
    <row r="2079" ht="24" customHeight="1">
      <c r="A2079" s="2">
        <f>+D2079-S2079</f>
        <v/>
      </c>
      <c r="B2079" s="80" t="n">
        <v>3697</v>
      </c>
      <c r="C2079" s="66" t="n">
        <v>45863</v>
      </c>
      <c r="D2079" s="2" t="n">
        <v>1</v>
      </c>
      <c r="E2079" s="3" t="inlineStr">
        <is>
          <t>FUCILE SEMIAUTOMATICO</t>
        </is>
      </c>
      <c r="F2079" s="3" t="inlineStr">
        <is>
          <t>12</t>
        </is>
      </c>
      <c r="G2079" s="3" t="inlineStr">
        <is>
          <t>FRANCHI</t>
        </is>
      </c>
      <c r="H2079" s="65" t="inlineStr">
        <is>
          <t>AFFINITY 3 ELITE COBALT 30" 3KND STEP RIB OPTIFADE TIM</t>
        </is>
      </c>
      <c r="I2079" s="65" t="inlineStr">
        <is>
          <t>BL091747G</t>
        </is>
      </c>
      <c r="J2079" s="65" t="inlineStr">
        <is>
          <t>CL094404R</t>
        </is>
      </c>
      <c r="K2079" s="65" t="inlineStr">
        <is>
          <t>N/D</t>
        </is>
      </c>
      <c r="L2079" s="127" t="inlineStr">
        <is>
          <t>BENELLI ARMI SPA</t>
        </is>
      </c>
      <c r="M2079" s="5" t="n">
        <v>548</v>
      </c>
      <c r="N2079" s="5" t="n"/>
      <c r="O2079" s="5">
        <f>+M2079+N2079</f>
        <v/>
      </c>
      <c r="P2079" s="4" t="n">
        <v>45863</v>
      </c>
      <c r="Q2079" s="87" t="n">
        <v>45856</v>
      </c>
      <c r="R2079" s="5" t="n">
        <v>657.78</v>
      </c>
      <c r="S2079" s="2" t="n">
        <v>1</v>
      </c>
      <c r="T2079" s="3" t="inlineStr">
        <is>
          <t>6B/2025/2S</t>
        </is>
      </c>
      <c r="U2079" s="87" t="n">
        <v>45873</v>
      </c>
      <c r="V2079" s="3" t="inlineStr">
        <is>
          <t>19</t>
        </is>
      </c>
      <c r="W2079" s="87" t="n">
        <v>45873</v>
      </c>
      <c r="X2079" s="4" t="inlineStr">
        <is>
          <t xml:space="preserve">Bin Humaid National Trading Co </t>
        </is>
      </c>
    </row>
    <row r="2080" ht="24" customHeight="1">
      <c r="A2080" s="2">
        <f>+D2080-S2080</f>
        <v/>
      </c>
      <c r="B2080" s="80" t="n">
        <v>3698</v>
      </c>
      <c r="C2080" s="66" t="n">
        <v>45863</v>
      </c>
      <c r="D2080" s="2" t="n">
        <v>1</v>
      </c>
      <c r="E2080" s="3" t="inlineStr">
        <is>
          <t>FUCILE SEMIAUTOMATICO</t>
        </is>
      </c>
      <c r="F2080" s="3" t="inlineStr">
        <is>
          <t>12</t>
        </is>
      </c>
      <c r="G2080" s="3" t="inlineStr">
        <is>
          <t>FRANCHI</t>
        </is>
      </c>
      <c r="H2080" s="65" t="inlineStr">
        <is>
          <t>AFFINITY 3 ELITE COBALT 30" 3KND STEP RIB OPTIFADE TIM</t>
        </is>
      </c>
      <c r="I2080" s="65" t="inlineStr">
        <is>
          <t>BL091746E</t>
        </is>
      </c>
      <c r="J2080" s="65" t="inlineStr">
        <is>
          <t>CL094394Y</t>
        </is>
      </c>
      <c r="K2080" s="65" t="inlineStr">
        <is>
          <t>N/D</t>
        </is>
      </c>
      <c r="L2080" s="127" t="inlineStr">
        <is>
          <t>BENELLI ARMI SPA</t>
        </is>
      </c>
      <c r="M2080" s="5" t="n">
        <v>548</v>
      </c>
      <c r="N2080" s="5" t="n"/>
      <c r="O2080" s="5">
        <f>+M2080+N2080</f>
        <v/>
      </c>
      <c r="P2080" s="4" t="n">
        <v>45863</v>
      </c>
      <c r="Q2080" s="87" t="n">
        <v>45856</v>
      </c>
      <c r="R2080" s="5" t="n">
        <v>657.78</v>
      </c>
      <c r="S2080" s="2" t="n">
        <v>1</v>
      </c>
      <c r="T2080" s="3" t="inlineStr">
        <is>
          <t>6B/2025/2S</t>
        </is>
      </c>
      <c r="U2080" s="87" t="n">
        <v>45873</v>
      </c>
      <c r="V2080" s="3" t="inlineStr">
        <is>
          <t>19</t>
        </is>
      </c>
      <c r="W2080" s="87" t="n">
        <v>45873</v>
      </c>
      <c r="X2080" s="4" t="inlineStr">
        <is>
          <t xml:space="preserve">Bin Humaid National Trading Co </t>
        </is>
      </c>
    </row>
    <row r="2081" ht="24" customHeight="1">
      <c r="A2081" s="2">
        <f>+D2081-S2081</f>
        <v/>
      </c>
      <c r="B2081" s="80" t="n">
        <v>3699</v>
      </c>
      <c r="C2081" s="66" t="n">
        <v>45863</v>
      </c>
      <c r="D2081" s="2" t="n">
        <v>1</v>
      </c>
      <c r="E2081" s="3" t="inlineStr">
        <is>
          <t>FUCILE SEMIAUTOMATICO</t>
        </is>
      </c>
      <c r="F2081" s="3" t="inlineStr">
        <is>
          <t>12</t>
        </is>
      </c>
      <c r="G2081" s="3" t="inlineStr">
        <is>
          <t>FRANCHI</t>
        </is>
      </c>
      <c r="H2081" s="65" t="inlineStr">
        <is>
          <t>AFFINITY 3 ELITE COBALT 30" 3KND STEP RIB OPTIFADE TIM</t>
        </is>
      </c>
      <c r="I2081" s="65" t="inlineStr">
        <is>
          <t>BL091749L</t>
        </is>
      </c>
      <c r="J2081" s="65" t="inlineStr">
        <is>
          <t>CL094380P</t>
        </is>
      </c>
      <c r="K2081" s="65" t="inlineStr">
        <is>
          <t>N/D</t>
        </is>
      </c>
      <c r="L2081" s="127" t="inlineStr">
        <is>
          <t>BENELLI ARMI SPA</t>
        </is>
      </c>
      <c r="M2081" s="5" t="n">
        <v>548</v>
      </c>
      <c r="N2081" s="5" t="n"/>
      <c r="O2081" s="5">
        <f>+M2081+N2081</f>
        <v/>
      </c>
      <c r="P2081" s="4" t="n">
        <v>45863</v>
      </c>
      <c r="Q2081" s="87" t="n">
        <v>45856</v>
      </c>
      <c r="R2081" s="5" t="n">
        <v>657.78</v>
      </c>
      <c r="S2081" s="2" t="n">
        <v>1</v>
      </c>
      <c r="T2081" s="3" t="inlineStr">
        <is>
          <t>6B/2025/2S</t>
        </is>
      </c>
      <c r="U2081" s="87" t="n">
        <v>45873</v>
      </c>
      <c r="V2081" s="3" t="inlineStr">
        <is>
          <t>19</t>
        </is>
      </c>
      <c r="W2081" s="87" t="n">
        <v>45873</v>
      </c>
      <c r="X2081" s="4" t="inlineStr">
        <is>
          <t xml:space="preserve">Bin Humaid National Trading Co </t>
        </is>
      </c>
    </row>
    <row r="2082" ht="24" customHeight="1">
      <c r="A2082" s="2">
        <f>+D2082-S2082</f>
        <v/>
      </c>
      <c r="B2082" s="80" t="n">
        <v>3700</v>
      </c>
      <c r="C2082" s="66" t="n">
        <v>45863</v>
      </c>
      <c r="D2082" s="2" t="n">
        <v>1</v>
      </c>
      <c r="E2082" s="3" t="inlineStr">
        <is>
          <t>FUCILE SEMIAUTOMATICO</t>
        </is>
      </c>
      <c r="F2082" s="3" t="inlineStr">
        <is>
          <t>12</t>
        </is>
      </c>
      <c r="G2082" s="3" t="inlineStr">
        <is>
          <t>FRANCHI</t>
        </is>
      </c>
      <c r="H2082" s="65" t="inlineStr">
        <is>
          <t>AFFINITY 3 ELITE COBALT 30" 3KND STEP RIB OPTIFADE TIM</t>
        </is>
      </c>
      <c r="I2082" s="65" t="inlineStr">
        <is>
          <t>BL091748J</t>
        </is>
      </c>
      <c r="J2082" s="65" t="inlineStr">
        <is>
          <t>CL094406W</t>
        </is>
      </c>
      <c r="K2082" s="65" t="inlineStr">
        <is>
          <t>N/D</t>
        </is>
      </c>
      <c r="L2082" s="127" t="inlineStr">
        <is>
          <t>BENELLI ARMI SPA</t>
        </is>
      </c>
      <c r="M2082" s="5" t="n">
        <v>548</v>
      </c>
      <c r="N2082" s="5" t="n"/>
      <c r="O2082" s="5">
        <f>+M2082+N2082</f>
        <v/>
      </c>
      <c r="P2082" s="4" t="n">
        <v>45863</v>
      </c>
      <c r="Q2082" s="87" t="n">
        <v>45856</v>
      </c>
      <c r="R2082" s="5" t="n">
        <v>657.78</v>
      </c>
      <c r="S2082" s="2" t="n">
        <v>1</v>
      </c>
      <c r="T2082" s="3" t="inlineStr">
        <is>
          <t>6B/2025/2S</t>
        </is>
      </c>
      <c r="U2082" s="87" t="n">
        <v>45873</v>
      </c>
      <c r="V2082" s="3" t="inlineStr">
        <is>
          <t>19</t>
        </is>
      </c>
      <c r="W2082" s="87" t="n">
        <v>45873</v>
      </c>
      <c r="X2082" s="4" t="inlineStr">
        <is>
          <t xml:space="preserve">Bin Humaid National Trading Co </t>
        </is>
      </c>
    </row>
    <row r="2083" ht="24" customHeight="1">
      <c r="A2083" s="2">
        <f>+D2083-S2083</f>
        <v/>
      </c>
      <c r="B2083" s="80" t="n">
        <v>3701</v>
      </c>
      <c r="C2083" s="66" t="n">
        <v>45863</v>
      </c>
      <c r="D2083" s="2" t="n">
        <v>1</v>
      </c>
      <c r="E2083" s="3" t="inlineStr">
        <is>
          <t>FUCILE SEMIAUTOMATICO</t>
        </is>
      </c>
      <c r="F2083" s="3" t="inlineStr">
        <is>
          <t>12</t>
        </is>
      </c>
      <c r="G2083" s="3" t="inlineStr">
        <is>
          <t>FRANCHI</t>
        </is>
      </c>
      <c r="H2083" s="65" t="inlineStr">
        <is>
          <t>AFFINITY 3 ELITE COBALT 30" 3KND STEP RIB OPTIFADE TIM</t>
        </is>
      </c>
      <c r="I2083" s="65" t="inlineStr">
        <is>
          <t>BL091751U</t>
        </is>
      </c>
      <c r="J2083" s="65" t="inlineStr">
        <is>
          <t>CL094414S</t>
        </is>
      </c>
      <c r="K2083" s="65" t="inlineStr">
        <is>
          <t>N/D</t>
        </is>
      </c>
      <c r="L2083" s="127" t="inlineStr">
        <is>
          <t>BENELLI ARMI SPA</t>
        </is>
      </c>
      <c r="M2083" s="5" t="n">
        <v>548</v>
      </c>
      <c r="N2083" s="5" t="n"/>
      <c r="O2083" s="5">
        <f>+M2083+N2083</f>
        <v/>
      </c>
      <c r="P2083" s="4" t="n">
        <v>45863</v>
      </c>
      <c r="Q2083" s="87" t="n">
        <v>45856</v>
      </c>
      <c r="R2083" s="5" t="n">
        <v>657.78</v>
      </c>
      <c r="S2083" s="2" t="n">
        <v>1</v>
      </c>
      <c r="T2083" s="3" t="inlineStr">
        <is>
          <t>6B/2025/2S</t>
        </is>
      </c>
      <c r="U2083" s="87" t="n">
        <v>45873</v>
      </c>
      <c r="V2083" s="3" t="inlineStr">
        <is>
          <t>19</t>
        </is>
      </c>
      <c r="W2083" s="87" t="n">
        <v>45873</v>
      </c>
      <c r="X2083" s="4" t="inlineStr">
        <is>
          <t xml:space="preserve">Bin Humaid National Trading Co </t>
        </is>
      </c>
    </row>
    <row r="2084" ht="24" customHeight="1">
      <c r="A2084" s="2">
        <f>+D2084-S2084</f>
        <v/>
      </c>
      <c r="B2084" s="80" t="n">
        <v>3702</v>
      </c>
      <c r="C2084" s="66" t="n">
        <v>45863</v>
      </c>
      <c r="D2084" s="2" t="n">
        <v>1</v>
      </c>
      <c r="E2084" s="3" t="inlineStr">
        <is>
          <t>FUCILE SEMIAUTOMATICO</t>
        </is>
      </c>
      <c r="F2084" s="3" t="inlineStr">
        <is>
          <t>12</t>
        </is>
      </c>
      <c r="G2084" s="3" t="inlineStr">
        <is>
          <t>FRANCHI</t>
        </is>
      </c>
      <c r="H2084" s="65" t="inlineStr">
        <is>
          <t>AFFINITY 3 ELITE COBALT 30" 3KND STEP RIB OPTIFADE TIM</t>
        </is>
      </c>
      <c r="I2084" s="65" t="inlineStr">
        <is>
          <t>BL091750S</t>
        </is>
      </c>
      <c r="J2084" s="65" t="inlineStr">
        <is>
          <t>CL094412N</t>
        </is>
      </c>
      <c r="K2084" s="65" t="inlineStr">
        <is>
          <t>N/D</t>
        </is>
      </c>
      <c r="L2084" s="127" t="inlineStr">
        <is>
          <t>BENELLI ARMI SPA</t>
        </is>
      </c>
      <c r="M2084" s="5" t="n">
        <v>548</v>
      </c>
      <c r="N2084" s="5" t="n"/>
      <c r="O2084" s="5">
        <f>+M2084+N2084</f>
        <v/>
      </c>
      <c r="P2084" s="4" t="n">
        <v>45863</v>
      </c>
      <c r="Q2084" s="87" t="n">
        <v>45856</v>
      </c>
      <c r="R2084" s="5" t="n">
        <v>657.78</v>
      </c>
      <c r="S2084" s="2" t="n">
        <v>1</v>
      </c>
      <c r="T2084" s="3" t="inlineStr">
        <is>
          <t>6B/2025/2S</t>
        </is>
      </c>
      <c r="U2084" s="87" t="n">
        <v>45873</v>
      </c>
      <c r="V2084" s="3" t="inlineStr">
        <is>
          <t>19</t>
        </is>
      </c>
      <c r="W2084" s="87" t="n">
        <v>45873</v>
      </c>
      <c r="X2084" s="4" t="inlineStr">
        <is>
          <t xml:space="preserve">Bin Humaid National Trading Co </t>
        </is>
      </c>
    </row>
    <row r="2085" ht="24" customHeight="1">
      <c r="A2085" s="2">
        <f>+D2085-S2085</f>
        <v/>
      </c>
      <c r="B2085" s="80" t="n">
        <v>3703</v>
      </c>
      <c r="C2085" s="66" t="n">
        <v>45863</v>
      </c>
      <c r="D2085" s="2" t="n">
        <v>1</v>
      </c>
      <c r="E2085" s="3" t="inlineStr">
        <is>
          <t>FUCILE SEMIAUTOMATICO</t>
        </is>
      </c>
      <c r="F2085" s="3" t="inlineStr">
        <is>
          <t>12</t>
        </is>
      </c>
      <c r="G2085" s="3" t="inlineStr">
        <is>
          <t>FRANCHI</t>
        </is>
      </c>
      <c r="H2085" s="65" t="inlineStr">
        <is>
          <t>AFFINITY 3 ELITE COBALT 30" 3KND STEP RIB OPTIFADE TIM</t>
        </is>
      </c>
      <c r="I2085" s="65" t="inlineStr">
        <is>
          <t>BL091753Y</t>
        </is>
      </c>
      <c r="J2085" s="65" t="inlineStr">
        <is>
          <t>CL094413Q</t>
        </is>
      </c>
      <c r="K2085" s="65" t="inlineStr">
        <is>
          <t>N/D</t>
        </is>
      </c>
      <c r="L2085" s="127" t="inlineStr">
        <is>
          <t>BENELLI ARMI SPA</t>
        </is>
      </c>
      <c r="M2085" s="5" t="n">
        <v>548</v>
      </c>
      <c r="N2085" s="5" t="n"/>
      <c r="O2085" s="5">
        <f>+M2085+N2085</f>
        <v/>
      </c>
      <c r="P2085" s="4" t="n">
        <v>45863</v>
      </c>
      <c r="Q2085" s="87" t="n">
        <v>45856</v>
      </c>
      <c r="R2085" s="5" t="n">
        <v>657.78</v>
      </c>
      <c r="S2085" s="2" t="n">
        <v>1</v>
      </c>
      <c r="T2085" s="3" t="inlineStr">
        <is>
          <t>6B/2025/2S</t>
        </is>
      </c>
      <c r="U2085" s="87" t="n">
        <v>45873</v>
      </c>
      <c r="V2085" s="3" t="inlineStr">
        <is>
          <t>19</t>
        </is>
      </c>
      <c r="W2085" s="87" t="n">
        <v>45873</v>
      </c>
      <c r="X2085" s="4" t="inlineStr">
        <is>
          <t xml:space="preserve">Bin Humaid National Trading Co </t>
        </is>
      </c>
    </row>
    <row r="2086" ht="24" customHeight="1">
      <c r="A2086" s="2">
        <f>+D2086-S2086</f>
        <v/>
      </c>
      <c r="B2086" s="80" t="n">
        <v>3704</v>
      </c>
      <c r="C2086" s="66" t="n">
        <v>45863</v>
      </c>
      <c r="D2086" s="2" t="n">
        <v>1</v>
      </c>
      <c r="E2086" s="3" t="inlineStr">
        <is>
          <t>FUCILE SEMIAUTOMATICO</t>
        </is>
      </c>
      <c r="F2086" s="3" t="inlineStr">
        <is>
          <t>12</t>
        </is>
      </c>
      <c r="G2086" s="3" t="inlineStr">
        <is>
          <t>FRANCHI</t>
        </is>
      </c>
      <c r="H2086" s="65" t="inlineStr">
        <is>
          <t>AFFINITY 3 ELITE COBALT 30" 3KND STEP RIB OPTIFADE TIM</t>
        </is>
      </c>
      <c r="I2086" s="65" t="inlineStr">
        <is>
          <t>BL091752W</t>
        </is>
      </c>
      <c r="J2086" s="65" t="inlineStr">
        <is>
          <t>CL094405U</t>
        </is>
      </c>
      <c r="K2086" s="65" t="inlineStr">
        <is>
          <t>N/D</t>
        </is>
      </c>
      <c r="L2086" s="127" t="inlineStr">
        <is>
          <t>BENELLI ARMI SPA</t>
        </is>
      </c>
      <c r="M2086" s="5" t="n">
        <v>548</v>
      </c>
      <c r="N2086" s="5" t="n"/>
      <c r="O2086" s="5">
        <f>+M2086+N2086</f>
        <v/>
      </c>
      <c r="P2086" s="4" t="n">
        <v>45863</v>
      </c>
      <c r="Q2086" s="87" t="n">
        <v>45856</v>
      </c>
      <c r="R2086" s="5" t="n">
        <v>657.78</v>
      </c>
      <c r="S2086" s="2" t="n">
        <v>1</v>
      </c>
      <c r="T2086" s="3" t="inlineStr">
        <is>
          <t>6B/2025/2S</t>
        </is>
      </c>
      <c r="U2086" s="87" t="n">
        <v>45873</v>
      </c>
      <c r="V2086" s="3" t="inlineStr">
        <is>
          <t>19</t>
        </is>
      </c>
      <c r="W2086" s="87" t="n">
        <v>45873</v>
      </c>
      <c r="X2086" s="4" t="inlineStr">
        <is>
          <t xml:space="preserve">Bin Humaid National Trading Co </t>
        </is>
      </c>
    </row>
    <row r="2087" ht="24" customHeight="1">
      <c r="A2087" s="2">
        <f>+D2087-S2087</f>
        <v/>
      </c>
      <c r="B2087" s="80" t="n">
        <v>3705</v>
      </c>
      <c r="C2087" s="66" t="n">
        <v>45863</v>
      </c>
      <c r="D2087" s="2" t="n">
        <v>1</v>
      </c>
      <c r="E2087" s="3" t="inlineStr">
        <is>
          <t>FUCILE SEMIAUTOMATICO</t>
        </is>
      </c>
      <c r="F2087" s="3" t="inlineStr">
        <is>
          <t>12</t>
        </is>
      </c>
      <c r="G2087" s="3" t="inlineStr">
        <is>
          <t>FRANCHI</t>
        </is>
      </c>
      <c r="H2087" s="65" t="inlineStr">
        <is>
          <t>AFFINITY 3 ELITE COBALT 30" 3KND STEP RIB OPTIFADE TIM</t>
        </is>
      </c>
      <c r="I2087" s="65" t="inlineStr">
        <is>
          <t>BL091743X</t>
        </is>
      </c>
      <c r="J2087" s="65" t="inlineStr">
        <is>
          <t>CL094385A</t>
        </is>
      </c>
      <c r="K2087" s="65" t="inlineStr">
        <is>
          <t>N/D</t>
        </is>
      </c>
      <c r="L2087" s="127" t="inlineStr">
        <is>
          <t>BENELLI ARMI SPA</t>
        </is>
      </c>
      <c r="M2087" s="5" t="n">
        <v>548</v>
      </c>
      <c r="N2087" s="5" t="n"/>
      <c r="O2087" s="5">
        <f>+M2087+N2087</f>
        <v/>
      </c>
      <c r="P2087" s="4" t="n">
        <v>45863</v>
      </c>
      <c r="Q2087" s="87" t="n">
        <v>45856</v>
      </c>
      <c r="R2087" s="5" t="n">
        <v>657.78</v>
      </c>
      <c r="S2087" s="2" t="n">
        <v>1</v>
      </c>
      <c r="T2087" s="3" t="inlineStr">
        <is>
          <t>6B/2025/2S</t>
        </is>
      </c>
      <c r="U2087" s="87" t="n">
        <v>45873</v>
      </c>
      <c r="V2087" s="3" t="inlineStr">
        <is>
          <t>19</t>
        </is>
      </c>
      <c r="W2087" s="87" t="n">
        <v>45873</v>
      </c>
      <c r="X2087" s="4" t="inlineStr">
        <is>
          <t xml:space="preserve">Bin Humaid National Trading Co </t>
        </is>
      </c>
    </row>
    <row r="2088" ht="24" customHeight="1">
      <c r="A2088" s="2">
        <f>+D2088-S2088</f>
        <v/>
      </c>
      <c r="B2088" s="80" t="n">
        <v>3706</v>
      </c>
      <c r="C2088" s="66" t="n">
        <v>45863</v>
      </c>
      <c r="D2088" s="2" t="n">
        <v>1</v>
      </c>
      <c r="E2088" s="3" t="inlineStr">
        <is>
          <t>FUCILE SEMIAUTOMATICO</t>
        </is>
      </c>
      <c r="F2088" s="3" t="inlineStr">
        <is>
          <t>12</t>
        </is>
      </c>
      <c r="G2088" s="3" t="inlineStr">
        <is>
          <t>FRANCHI</t>
        </is>
      </c>
      <c r="H2088" s="65" t="inlineStr">
        <is>
          <t>AFFINITY 3 ELITE COBALT 30" 3KND STEP RIB OPTIFADE TIM</t>
        </is>
      </c>
      <c r="I2088" s="65" t="inlineStr">
        <is>
          <t>BL091754A</t>
        </is>
      </c>
      <c r="J2088" s="65" t="inlineStr">
        <is>
          <t>CL094396D</t>
        </is>
      </c>
      <c r="K2088" s="65" t="inlineStr">
        <is>
          <t>N/D</t>
        </is>
      </c>
      <c r="L2088" s="127" t="inlineStr">
        <is>
          <t>BENELLI ARMI SPA</t>
        </is>
      </c>
      <c r="M2088" s="5" t="n">
        <v>548</v>
      </c>
      <c r="N2088" s="5" t="n"/>
      <c r="O2088" s="5">
        <f>+M2088+N2088</f>
        <v/>
      </c>
      <c r="P2088" s="4" t="n">
        <v>45863</v>
      </c>
      <c r="Q2088" s="87" t="n">
        <v>45856</v>
      </c>
      <c r="R2088" s="5" t="n">
        <v>657.78</v>
      </c>
      <c r="S2088" s="2" t="n">
        <v>1</v>
      </c>
      <c r="T2088" s="3" t="inlineStr">
        <is>
          <t>6B/2025/2S</t>
        </is>
      </c>
      <c r="U2088" s="87" t="n">
        <v>45873</v>
      </c>
      <c r="V2088" s="3" t="inlineStr">
        <is>
          <t>19</t>
        </is>
      </c>
      <c r="W2088" s="87" t="n">
        <v>45873</v>
      </c>
      <c r="X2088" s="4" t="inlineStr">
        <is>
          <t xml:space="preserve">Bin Humaid National Trading Co </t>
        </is>
      </c>
    </row>
    <row r="2089" ht="24" customHeight="1">
      <c r="A2089" s="2">
        <f>+D2089-S2089</f>
        <v/>
      </c>
      <c r="B2089" s="80" t="n">
        <v>3707</v>
      </c>
      <c r="C2089" s="66" t="n">
        <v>45863</v>
      </c>
      <c r="D2089" s="2" t="n">
        <v>1</v>
      </c>
      <c r="E2089" s="3" t="inlineStr">
        <is>
          <t>FUCILE SEMIAUTOMATICO</t>
        </is>
      </c>
      <c r="F2089" s="3" t="inlineStr">
        <is>
          <t>12</t>
        </is>
      </c>
      <c r="G2089" s="3" t="inlineStr">
        <is>
          <t>FRANCHI</t>
        </is>
      </c>
      <c r="H2089" s="65" t="inlineStr">
        <is>
          <t>AFFINITY 3 ELITE COBALT 30" 3KND STEP RIB OPTIFADE TIM</t>
        </is>
      </c>
      <c r="I2089" s="65" t="inlineStr">
        <is>
          <t>BL091714W</t>
        </is>
      </c>
      <c r="J2089" s="65" t="inlineStr">
        <is>
          <t>CL094410J</t>
        </is>
      </c>
      <c r="K2089" s="65" t="inlineStr">
        <is>
          <t>N/D</t>
        </is>
      </c>
      <c r="L2089" s="127" t="inlineStr">
        <is>
          <t>BENELLI ARMI SPA</t>
        </is>
      </c>
      <c r="M2089" s="5" t="n">
        <v>548</v>
      </c>
      <c r="N2089" s="5" t="n"/>
      <c r="O2089" s="5">
        <f>+M2089+N2089</f>
        <v/>
      </c>
      <c r="P2089" s="4" t="n">
        <v>45863</v>
      </c>
      <c r="Q2089" s="87" t="n">
        <v>45856</v>
      </c>
      <c r="R2089" s="5" t="n">
        <v>657.78</v>
      </c>
      <c r="S2089" s="2" t="n">
        <v>1</v>
      </c>
      <c r="T2089" s="3" t="inlineStr">
        <is>
          <t>6B/2025/2S</t>
        </is>
      </c>
      <c r="U2089" s="87" t="n">
        <v>45873</v>
      </c>
      <c r="V2089" s="3" t="inlineStr">
        <is>
          <t>19</t>
        </is>
      </c>
      <c r="W2089" s="87" t="n">
        <v>45873</v>
      </c>
      <c r="X2089" s="4" t="inlineStr">
        <is>
          <t xml:space="preserve">Bin Humaid National Trading Co </t>
        </is>
      </c>
    </row>
    <row r="2090" ht="24" customHeight="1">
      <c r="A2090" s="2">
        <f>+D2090-S2090</f>
        <v/>
      </c>
      <c r="B2090" s="80" t="n">
        <v>3708</v>
      </c>
      <c r="C2090" s="66" t="n">
        <v>45863</v>
      </c>
      <c r="D2090" s="2" t="n">
        <v>1</v>
      </c>
      <c r="E2090" s="3" t="inlineStr">
        <is>
          <t>FUCILE SEMIAUTOMATICO</t>
        </is>
      </c>
      <c r="F2090" s="3" t="inlineStr">
        <is>
          <t>12</t>
        </is>
      </c>
      <c r="G2090" s="3" t="inlineStr">
        <is>
          <t>FRANCHI</t>
        </is>
      </c>
      <c r="H2090" s="65" t="inlineStr">
        <is>
          <t>AFFINITY 3 ELITE COBALT 30" 3KND STEP RIB OPTIFADE TIM</t>
        </is>
      </c>
      <c r="I2090" s="65" t="inlineStr">
        <is>
          <t>BL091728G</t>
        </is>
      </c>
      <c r="J2090" s="65" t="inlineStr">
        <is>
          <t>CL094417Z</t>
        </is>
      </c>
      <c r="K2090" s="65" t="inlineStr">
        <is>
          <t>N/D</t>
        </is>
      </c>
      <c r="L2090" s="127" t="inlineStr">
        <is>
          <t>BENELLI ARMI SPA</t>
        </is>
      </c>
      <c r="M2090" s="5" t="n">
        <v>548</v>
      </c>
      <c r="N2090" s="5" t="n"/>
      <c r="O2090" s="5">
        <f>+M2090+N2090</f>
        <v/>
      </c>
      <c r="P2090" s="4" t="n">
        <v>45863</v>
      </c>
      <c r="Q2090" s="87" t="n">
        <v>45856</v>
      </c>
      <c r="R2090" s="5" t="n">
        <v>657.78</v>
      </c>
      <c r="S2090" s="2" t="n">
        <v>1</v>
      </c>
      <c r="T2090" s="3" t="inlineStr">
        <is>
          <t>6B/2025/2S</t>
        </is>
      </c>
      <c r="U2090" s="87" t="n">
        <v>45873</v>
      </c>
      <c r="V2090" s="3" t="inlineStr">
        <is>
          <t>19</t>
        </is>
      </c>
      <c r="W2090" s="87" t="n">
        <v>45873</v>
      </c>
      <c r="X2090" s="4" t="inlineStr">
        <is>
          <t xml:space="preserve">Bin Humaid National Trading Co </t>
        </is>
      </c>
    </row>
    <row r="2091" ht="24" customHeight="1">
      <c r="A2091" s="2">
        <f>+D2091-S2091</f>
        <v/>
      </c>
      <c r="B2091" s="80" t="n">
        <v>3709</v>
      </c>
      <c r="C2091" s="66" t="n">
        <v>45863</v>
      </c>
      <c r="D2091" s="2" t="n">
        <v>1</v>
      </c>
      <c r="E2091" s="3" t="inlineStr">
        <is>
          <t>FUCILE SEMIAUTOMATICO</t>
        </is>
      </c>
      <c r="F2091" s="3" t="inlineStr">
        <is>
          <t>12</t>
        </is>
      </c>
      <c r="G2091" s="3" t="inlineStr">
        <is>
          <t>FRANCHI</t>
        </is>
      </c>
      <c r="H2091" s="65" t="inlineStr">
        <is>
          <t>AFFINITY 3 ELITE COBALT 30" 3KND STEP RIB OPTIFADE TIM</t>
        </is>
      </c>
      <c r="I2091" s="65" t="inlineStr">
        <is>
          <t>BL091720P</t>
        </is>
      </c>
      <c r="J2091" s="65" t="inlineStr">
        <is>
          <t>CL094418B</t>
        </is>
      </c>
      <c r="K2091" s="65" t="inlineStr">
        <is>
          <t>N/D</t>
        </is>
      </c>
      <c r="L2091" s="127" t="inlineStr">
        <is>
          <t>BENELLI ARMI SPA</t>
        </is>
      </c>
      <c r="M2091" s="5" t="n">
        <v>548</v>
      </c>
      <c r="N2091" s="5" t="n"/>
      <c r="O2091" s="5">
        <f>+M2091+N2091</f>
        <v/>
      </c>
      <c r="P2091" s="4" t="n">
        <v>45863</v>
      </c>
      <c r="Q2091" s="87" t="n">
        <v>45856</v>
      </c>
      <c r="R2091" s="5" t="n">
        <v>657.78</v>
      </c>
      <c r="S2091" s="2" t="n">
        <v>1</v>
      </c>
      <c r="T2091" s="3" t="inlineStr">
        <is>
          <t>6B/2025/2S</t>
        </is>
      </c>
      <c r="U2091" s="87" t="n">
        <v>45873</v>
      </c>
      <c r="V2091" s="3" t="inlineStr">
        <is>
          <t>19</t>
        </is>
      </c>
      <c r="W2091" s="87" t="n">
        <v>45873</v>
      </c>
      <c r="X2091" s="4" t="inlineStr">
        <is>
          <t xml:space="preserve">Bin Humaid National Trading Co </t>
        </is>
      </c>
    </row>
    <row r="2092" ht="24" customHeight="1">
      <c r="A2092" s="2">
        <f>+D2092-S2092</f>
        <v/>
      </c>
      <c r="B2092" s="80" t="n">
        <v>3710</v>
      </c>
      <c r="C2092" s="66" t="n">
        <v>45863</v>
      </c>
      <c r="D2092" s="2" t="n">
        <v>1</v>
      </c>
      <c r="E2092" s="3" t="inlineStr">
        <is>
          <t>FUCILE SEMIAUTOMATICO</t>
        </is>
      </c>
      <c r="F2092" s="3" t="inlineStr">
        <is>
          <t>12</t>
        </is>
      </c>
      <c r="G2092" s="3" t="inlineStr">
        <is>
          <t>FRANCHI</t>
        </is>
      </c>
      <c r="H2092" s="65" t="inlineStr">
        <is>
          <t>AFFINITY 3 ELITE COBALT 30" 3KND STEP RIB OPTIFADE TIM</t>
        </is>
      </c>
      <c r="I2092" s="65" t="inlineStr">
        <is>
          <t>BL091730Q</t>
        </is>
      </c>
      <c r="J2092" s="65" t="inlineStr">
        <is>
          <t>CL094386C</t>
        </is>
      </c>
      <c r="K2092" s="65" t="inlineStr">
        <is>
          <t>N/D</t>
        </is>
      </c>
      <c r="L2092" s="127" t="inlineStr">
        <is>
          <t>BENELLI ARMI SPA</t>
        </is>
      </c>
      <c r="M2092" s="5" t="n">
        <v>548</v>
      </c>
      <c r="N2092" s="5" t="n"/>
      <c r="O2092" s="5">
        <f>+M2092+N2092</f>
        <v/>
      </c>
      <c r="P2092" s="4" t="n">
        <v>45863</v>
      </c>
      <c r="Q2092" s="87" t="n">
        <v>45856</v>
      </c>
      <c r="R2092" s="5" t="n">
        <v>657.78</v>
      </c>
      <c r="S2092" s="2" t="n">
        <v>1</v>
      </c>
      <c r="T2092" s="3" t="inlineStr">
        <is>
          <t>6B/2025/2S</t>
        </is>
      </c>
      <c r="U2092" s="87" t="n">
        <v>45873</v>
      </c>
      <c r="V2092" s="3" t="inlineStr">
        <is>
          <t>19</t>
        </is>
      </c>
      <c r="W2092" s="87" t="n">
        <v>45873</v>
      </c>
      <c r="X2092" s="4" t="inlineStr">
        <is>
          <t xml:space="preserve">Bin Humaid National Trading Co </t>
        </is>
      </c>
    </row>
    <row r="2093" ht="24" customHeight="1">
      <c r="A2093" s="2">
        <f>+D2093-S2093</f>
        <v/>
      </c>
      <c r="B2093" s="80" t="n">
        <v>3711</v>
      </c>
      <c r="C2093" s="66" t="n">
        <v>45863</v>
      </c>
      <c r="D2093" s="2" t="n">
        <v>1</v>
      </c>
      <c r="E2093" s="3" t="inlineStr">
        <is>
          <t>FUCILE SEMIAUTOMATICO</t>
        </is>
      </c>
      <c r="F2093" s="3" t="inlineStr">
        <is>
          <t>12</t>
        </is>
      </c>
      <c r="G2093" s="3" t="inlineStr">
        <is>
          <t>FRANCHI</t>
        </is>
      </c>
      <c r="H2093" s="65" t="inlineStr">
        <is>
          <t>AFFINITY 3 ELITE COBALT 30" 3KND STEP RIB OPTIFADE TIM</t>
        </is>
      </c>
      <c r="I2093" s="65" t="inlineStr">
        <is>
          <t>BL091729J</t>
        </is>
      </c>
      <c r="J2093" s="65" t="inlineStr">
        <is>
          <t>BL091729J</t>
        </is>
      </c>
      <c r="K2093" s="65" t="inlineStr">
        <is>
          <t>N/D</t>
        </is>
      </c>
      <c r="L2093" s="127" t="inlineStr">
        <is>
          <t>BENELLI ARMI SPA</t>
        </is>
      </c>
      <c r="M2093" s="5" t="n">
        <v>548</v>
      </c>
      <c r="N2093" s="5" t="n"/>
      <c r="O2093" s="5">
        <f>+M2093+N2093</f>
        <v/>
      </c>
      <c r="P2093" s="4" t="n">
        <v>45863</v>
      </c>
      <c r="Q2093" s="87" t="n">
        <v>45856</v>
      </c>
      <c r="R2093" s="5" t="n">
        <v>657.78</v>
      </c>
      <c r="S2093" s="2" t="n">
        <v>1</v>
      </c>
      <c r="T2093" s="3" t="inlineStr">
        <is>
          <t>6B/2025/2S</t>
        </is>
      </c>
      <c r="U2093" s="87" t="n">
        <v>45873</v>
      </c>
      <c r="V2093" s="3" t="inlineStr">
        <is>
          <t>19</t>
        </is>
      </c>
      <c r="W2093" s="87" t="n">
        <v>45873</v>
      </c>
      <c r="X2093" s="4" t="inlineStr">
        <is>
          <t xml:space="preserve">Bin Humaid National Trading Co </t>
        </is>
      </c>
    </row>
    <row r="2094" ht="24" customHeight="1">
      <c r="A2094" s="2">
        <f>+D2094-S2094</f>
        <v/>
      </c>
      <c r="B2094" s="80" t="n">
        <v>3712</v>
      </c>
      <c r="C2094" s="66" t="n">
        <v>45863</v>
      </c>
      <c r="D2094" s="2" t="n">
        <v>1</v>
      </c>
      <c r="E2094" s="3" t="inlineStr">
        <is>
          <t>FUCILE SEMIAUTOMATICO</t>
        </is>
      </c>
      <c r="F2094" s="3" t="inlineStr">
        <is>
          <t>12</t>
        </is>
      </c>
      <c r="G2094" s="3" t="inlineStr">
        <is>
          <t>FRANCHI</t>
        </is>
      </c>
      <c r="H2094" s="65" t="inlineStr">
        <is>
          <t>AFFINITY 3 ELITE COBALT 30" 3KND STEP RIB OPTIFADE TIM</t>
        </is>
      </c>
      <c r="I2094" s="65" t="inlineStr">
        <is>
          <t>BL091732U</t>
        </is>
      </c>
      <c r="J2094" s="65" t="inlineStr">
        <is>
          <t>CL094409C</t>
        </is>
      </c>
      <c r="K2094" s="65" t="inlineStr">
        <is>
          <t>N/D</t>
        </is>
      </c>
      <c r="L2094" s="127" t="inlineStr">
        <is>
          <t>BENELLI ARMI SPA</t>
        </is>
      </c>
      <c r="M2094" s="5" t="n">
        <v>548</v>
      </c>
      <c r="N2094" s="5" t="n"/>
      <c r="O2094" s="5">
        <f>+M2094+N2094</f>
        <v/>
      </c>
      <c r="P2094" s="4" t="n">
        <v>45863</v>
      </c>
      <c r="Q2094" s="87" t="n">
        <v>45856</v>
      </c>
      <c r="R2094" s="5" t="n">
        <v>657.78</v>
      </c>
      <c r="S2094" s="2" t="n">
        <v>1</v>
      </c>
      <c r="T2094" s="3" t="inlineStr">
        <is>
          <t>6B/2025/2S</t>
        </is>
      </c>
      <c r="U2094" s="87" t="n">
        <v>45873</v>
      </c>
      <c r="V2094" s="3" t="inlineStr">
        <is>
          <t>19</t>
        </is>
      </c>
      <c r="W2094" s="87" t="n">
        <v>45873</v>
      </c>
      <c r="X2094" s="4" t="inlineStr">
        <is>
          <t xml:space="preserve">Bin Humaid National Trading Co </t>
        </is>
      </c>
    </row>
    <row r="2095" ht="24" customHeight="1">
      <c r="A2095" s="2">
        <f>+D2095-S2095</f>
        <v/>
      </c>
      <c r="B2095" s="80" t="n">
        <v>3713</v>
      </c>
      <c r="C2095" s="66" t="n">
        <v>45863</v>
      </c>
      <c r="D2095" s="2" t="n">
        <v>1</v>
      </c>
      <c r="E2095" s="3" t="inlineStr">
        <is>
          <t>FUCILE SEMIAUTOMATICO</t>
        </is>
      </c>
      <c r="F2095" s="3" t="inlineStr">
        <is>
          <t>12</t>
        </is>
      </c>
      <c r="G2095" s="3" t="inlineStr">
        <is>
          <t>FRANCHI</t>
        </is>
      </c>
      <c r="H2095" s="65" t="inlineStr">
        <is>
          <t>AFFINITY 3 ELITE COBALT 30" 3KND STEP RIB OPTIFADE TIM</t>
        </is>
      </c>
      <c r="I2095" s="65" t="inlineStr">
        <is>
          <t>BL091731S</t>
        </is>
      </c>
      <c r="J2095" s="65" t="inlineStr">
        <is>
          <t>BL091731S</t>
        </is>
      </c>
      <c r="K2095" s="65" t="inlineStr">
        <is>
          <t>N/D</t>
        </is>
      </c>
      <c r="L2095" s="127" t="inlineStr">
        <is>
          <t>BENELLI ARMI SPA</t>
        </is>
      </c>
      <c r="M2095" s="5" t="n">
        <v>548</v>
      </c>
      <c r="N2095" s="5" t="n"/>
      <c r="O2095" s="5">
        <f>+M2095+N2095</f>
        <v/>
      </c>
      <c r="P2095" s="4" t="n">
        <v>45863</v>
      </c>
      <c r="Q2095" s="87" t="n">
        <v>45856</v>
      </c>
      <c r="R2095" s="5" t="n">
        <v>657.78</v>
      </c>
      <c r="S2095" s="2" t="n">
        <v>1</v>
      </c>
      <c r="T2095" s="3" t="inlineStr">
        <is>
          <t>6B/2025/2S</t>
        </is>
      </c>
      <c r="U2095" s="87" t="n">
        <v>45873</v>
      </c>
      <c r="V2095" s="3" t="inlineStr">
        <is>
          <t>19</t>
        </is>
      </c>
      <c r="W2095" s="87" t="n">
        <v>45873</v>
      </c>
      <c r="X2095" s="4" t="inlineStr">
        <is>
          <t xml:space="preserve">Bin Humaid National Trading Co </t>
        </is>
      </c>
    </row>
    <row r="2096" ht="24" customHeight="1">
      <c r="A2096" s="2">
        <f>+D2096-S2096</f>
        <v/>
      </c>
      <c r="B2096" s="80" t="n">
        <v>3714</v>
      </c>
      <c r="C2096" s="66" t="n">
        <v>45863</v>
      </c>
      <c r="D2096" s="2" t="n">
        <v>1</v>
      </c>
      <c r="E2096" s="3" t="inlineStr">
        <is>
          <t>FUCILE SEMIAUTOMATICO</t>
        </is>
      </c>
      <c r="F2096" s="3" t="inlineStr">
        <is>
          <t>12</t>
        </is>
      </c>
      <c r="G2096" s="3" t="inlineStr">
        <is>
          <t>FRANCHI</t>
        </is>
      </c>
      <c r="H2096" s="65" t="inlineStr">
        <is>
          <t>AFFINITY 3 ELITE COBALT 30" 3KND STEP RIB OPTIFADE TIM</t>
        </is>
      </c>
      <c r="I2096" s="65" t="inlineStr">
        <is>
          <t>BL091734Y</t>
        </is>
      </c>
      <c r="J2096" s="65" t="inlineStr">
        <is>
          <t>CL094411L</t>
        </is>
      </c>
      <c r="K2096" s="65" t="inlineStr">
        <is>
          <t>N/D</t>
        </is>
      </c>
      <c r="L2096" s="127" t="inlineStr">
        <is>
          <t>BENELLI ARMI SPA</t>
        </is>
      </c>
      <c r="M2096" s="5" t="n">
        <v>548</v>
      </c>
      <c r="N2096" s="5" t="n"/>
      <c r="O2096" s="5">
        <f>+M2096+N2096</f>
        <v/>
      </c>
      <c r="P2096" s="4" t="n">
        <v>45863</v>
      </c>
      <c r="Q2096" s="87" t="n">
        <v>45856</v>
      </c>
      <c r="R2096" s="5" t="n">
        <v>657.78</v>
      </c>
      <c r="S2096" s="2" t="n">
        <v>1</v>
      </c>
      <c r="T2096" s="3" t="inlineStr">
        <is>
          <t>6B/2025/2S</t>
        </is>
      </c>
      <c r="U2096" s="87" t="n">
        <v>45873</v>
      </c>
      <c r="V2096" s="3" t="inlineStr">
        <is>
          <t>19</t>
        </is>
      </c>
      <c r="W2096" s="87" t="n">
        <v>45873</v>
      </c>
      <c r="X2096" s="4" t="inlineStr">
        <is>
          <t xml:space="preserve">Bin Humaid National Trading Co </t>
        </is>
      </c>
    </row>
    <row r="2097" ht="24" customHeight="1">
      <c r="A2097" s="2">
        <f>+D2097-S2097</f>
        <v/>
      </c>
      <c r="B2097" s="80" t="n">
        <v>3715</v>
      </c>
      <c r="C2097" s="66" t="n">
        <v>45863</v>
      </c>
      <c r="D2097" s="2" t="n">
        <v>1</v>
      </c>
      <c r="E2097" s="3" t="inlineStr">
        <is>
          <t>FUCILE SEMIAUTOMATICO</t>
        </is>
      </c>
      <c r="F2097" s="3" t="inlineStr">
        <is>
          <t>12</t>
        </is>
      </c>
      <c r="G2097" s="3" t="inlineStr">
        <is>
          <t>FRANCHI</t>
        </is>
      </c>
      <c r="H2097" s="65" t="inlineStr">
        <is>
          <t>AFFINITY 3 ELITE COBALT 30" 3KND STEP RIB OPTIFADE TIM</t>
        </is>
      </c>
      <c r="I2097" s="65" t="inlineStr">
        <is>
          <t>CL094411L</t>
        </is>
      </c>
      <c r="J2097" s="65" t="inlineStr">
        <is>
          <t>CL094399K</t>
        </is>
      </c>
      <c r="K2097" s="65" t="inlineStr">
        <is>
          <t>N/D</t>
        </is>
      </c>
      <c r="L2097" s="127" t="inlineStr">
        <is>
          <t>BENELLI ARMI SPA</t>
        </is>
      </c>
      <c r="M2097" s="5" t="n">
        <v>548</v>
      </c>
      <c r="N2097" s="5" t="n"/>
      <c r="O2097" s="5">
        <f>+M2097+N2097</f>
        <v/>
      </c>
      <c r="P2097" s="4" t="n">
        <v>45863</v>
      </c>
      <c r="Q2097" s="87" t="n">
        <v>45856</v>
      </c>
      <c r="R2097" s="5" t="n">
        <v>657.78</v>
      </c>
      <c r="S2097" s="2" t="n">
        <v>1</v>
      </c>
      <c r="T2097" s="3" t="inlineStr">
        <is>
          <t>6B/2025/2S</t>
        </is>
      </c>
      <c r="U2097" s="87" t="n">
        <v>45873</v>
      </c>
      <c r="V2097" s="3" t="inlineStr">
        <is>
          <t>19</t>
        </is>
      </c>
      <c r="W2097" s="87" t="n">
        <v>45873</v>
      </c>
      <c r="X2097" s="4" t="inlineStr">
        <is>
          <t xml:space="preserve">Bin Humaid National Trading Co </t>
        </is>
      </c>
    </row>
    <row r="2098" ht="24" customHeight="1">
      <c r="A2098" s="2">
        <f>+D2098-S2098</f>
        <v/>
      </c>
      <c r="B2098" s="80" t="n">
        <v>3716</v>
      </c>
      <c r="C2098" s="66" t="n">
        <v>45863</v>
      </c>
      <c r="D2098" s="2" t="n">
        <v>1</v>
      </c>
      <c r="E2098" s="3" t="inlineStr">
        <is>
          <t>FUCILE SEMIAUTOMATICO</t>
        </is>
      </c>
      <c r="F2098" s="3" t="inlineStr">
        <is>
          <t>12</t>
        </is>
      </c>
      <c r="G2098" s="3" t="inlineStr">
        <is>
          <t>FRANCHI</t>
        </is>
      </c>
      <c r="H2098" s="65" t="inlineStr">
        <is>
          <t>AFFINITY 3 ELITE COBALT 30" 3KND STEP RIB OPTIFADE TIM</t>
        </is>
      </c>
      <c r="I2098" s="65" t="inlineStr">
        <is>
          <t>BL091736D</t>
        </is>
      </c>
      <c r="J2098" s="65" t="inlineStr">
        <is>
          <t>CL094397F</t>
        </is>
      </c>
      <c r="K2098" s="65" t="inlineStr">
        <is>
          <t>N/D</t>
        </is>
      </c>
      <c r="L2098" s="127" t="inlineStr">
        <is>
          <t>BENELLI ARMI SPA</t>
        </is>
      </c>
      <c r="M2098" s="5" t="n">
        <v>548</v>
      </c>
      <c r="N2098" s="5" t="n"/>
      <c r="O2098" s="5">
        <f>+M2098+N2098</f>
        <v/>
      </c>
      <c r="P2098" s="4" t="n">
        <v>45863</v>
      </c>
      <c r="Q2098" s="87" t="n">
        <v>45856</v>
      </c>
      <c r="R2098" s="5" t="n">
        <v>657.78</v>
      </c>
      <c r="S2098" s="2" t="n">
        <v>1</v>
      </c>
      <c r="T2098" s="3" t="inlineStr">
        <is>
          <t>6B/2025/2S</t>
        </is>
      </c>
      <c r="U2098" s="87" t="n">
        <v>45873</v>
      </c>
      <c r="V2098" s="3" t="inlineStr">
        <is>
          <t>19</t>
        </is>
      </c>
      <c r="W2098" s="87" t="n">
        <v>45873</v>
      </c>
      <c r="X2098" s="4" t="inlineStr">
        <is>
          <t xml:space="preserve">Bin Humaid National Trading Co </t>
        </is>
      </c>
    </row>
    <row r="2099" ht="24" customHeight="1">
      <c r="A2099" s="2">
        <f>+D2099-S2099</f>
        <v/>
      </c>
      <c r="B2099" s="80" t="n">
        <v>3717</v>
      </c>
      <c r="C2099" s="66" t="n">
        <v>45863</v>
      </c>
      <c r="D2099" s="2" t="n">
        <v>1</v>
      </c>
      <c r="E2099" s="3" t="inlineStr">
        <is>
          <t>FUCILE SEMIAUTOMATICO</t>
        </is>
      </c>
      <c r="F2099" s="3" t="inlineStr">
        <is>
          <t>12</t>
        </is>
      </c>
      <c r="G2099" s="3" t="inlineStr">
        <is>
          <t>FRANCHI</t>
        </is>
      </c>
      <c r="H2099" s="65" t="inlineStr">
        <is>
          <t>AFFINITY 3 30" 3ICK FLAT RIB SYNT</t>
        </is>
      </c>
      <c r="I2099" s="65" t="inlineStr">
        <is>
          <t>BL078053L</t>
        </is>
      </c>
      <c r="J2099" s="65" t="inlineStr">
        <is>
          <t>CL080518Y</t>
        </is>
      </c>
      <c r="K2099" s="65" t="inlineStr">
        <is>
          <t>N/D</t>
        </is>
      </c>
      <c r="L2099" s="127" t="inlineStr">
        <is>
          <t>BENELLI ARMI SPA</t>
        </is>
      </c>
      <c r="M2099" s="5" t="n">
        <v>451</v>
      </c>
      <c r="N2099" s="5" t="n"/>
      <c r="O2099" s="5">
        <f>+M2099+N2099</f>
        <v/>
      </c>
      <c r="P2099" s="4" t="n">
        <v>45863</v>
      </c>
      <c r="Q2099" s="87" t="n">
        <v>45856</v>
      </c>
      <c r="R2099" s="5" t="n">
        <v>628.14</v>
      </c>
      <c r="S2099" s="2" t="n">
        <v>1</v>
      </c>
      <c r="T2099" s="3" t="inlineStr">
        <is>
          <t>6B/2025/2S</t>
        </is>
      </c>
      <c r="U2099" s="87" t="n">
        <v>45873</v>
      </c>
      <c r="V2099" s="3" t="inlineStr">
        <is>
          <t>19</t>
        </is>
      </c>
      <c r="W2099" s="87" t="n">
        <v>45873</v>
      </c>
      <c r="X2099" s="4" t="inlineStr">
        <is>
          <t xml:space="preserve">Bin Humaid National Trading Co </t>
        </is>
      </c>
    </row>
    <row r="2100" ht="24" customHeight="1">
      <c r="A2100" s="2">
        <f>+D2100-S2100</f>
        <v/>
      </c>
      <c r="B2100" s="80" t="n">
        <v>3718</v>
      </c>
      <c r="C2100" s="66" t="n">
        <v>45863</v>
      </c>
      <c r="D2100" s="2" t="n">
        <v>1</v>
      </c>
      <c r="E2100" s="3" t="inlineStr">
        <is>
          <t>FUCILE SEMIAUTOMATICO</t>
        </is>
      </c>
      <c r="F2100" s="3" t="inlineStr">
        <is>
          <t>12</t>
        </is>
      </c>
      <c r="G2100" s="3" t="inlineStr">
        <is>
          <t>FRANCHI</t>
        </is>
      </c>
      <c r="H2100" s="65" t="inlineStr">
        <is>
          <t>AFFINITY 3 30" 3ICK FLAT RIB SYNT</t>
        </is>
      </c>
      <c r="I2100" s="65" t="inlineStr">
        <is>
          <t>BL078052J</t>
        </is>
      </c>
      <c r="J2100" s="65" t="inlineStr">
        <is>
          <t>CL080529B</t>
        </is>
      </c>
      <c r="K2100" s="65" t="inlineStr">
        <is>
          <t>N/D</t>
        </is>
      </c>
      <c r="L2100" s="127" t="inlineStr">
        <is>
          <t>BENELLI ARMI SPA</t>
        </is>
      </c>
      <c r="M2100" s="5" t="n">
        <v>451</v>
      </c>
      <c r="N2100" s="5" t="n"/>
      <c r="O2100" s="5">
        <f>+M2100+N2100</f>
        <v/>
      </c>
      <c r="P2100" s="4" t="n">
        <v>45863</v>
      </c>
      <c r="Q2100" s="87" t="n">
        <v>45856</v>
      </c>
      <c r="R2100" s="5" t="n">
        <v>628.14</v>
      </c>
      <c r="S2100" s="2" t="n">
        <v>1</v>
      </c>
      <c r="T2100" s="3" t="inlineStr">
        <is>
          <t>6B/2025/2S</t>
        </is>
      </c>
      <c r="U2100" s="87" t="n">
        <v>45873</v>
      </c>
      <c r="V2100" s="3" t="inlineStr">
        <is>
          <t>19</t>
        </is>
      </c>
      <c r="W2100" s="87" t="n">
        <v>45873</v>
      </c>
      <c r="X2100" s="4" t="inlineStr">
        <is>
          <t xml:space="preserve">Bin Humaid National Trading Co </t>
        </is>
      </c>
    </row>
    <row r="2101" ht="24" customHeight="1">
      <c r="A2101" s="2">
        <f>+D2101-S2101</f>
        <v/>
      </c>
      <c r="B2101" s="80" t="n">
        <v>3719</v>
      </c>
      <c r="C2101" s="66" t="n">
        <v>45863</v>
      </c>
      <c r="D2101" s="2" t="n">
        <v>1</v>
      </c>
      <c r="E2101" s="3" t="inlineStr">
        <is>
          <t>FUCILE SEMIAUTOMATICO</t>
        </is>
      </c>
      <c r="F2101" s="3" t="inlineStr">
        <is>
          <t>12</t>
        </is>
      </c>
      <c r="G2101" s="3" t="inlineStr">
        <is>
          <t>FRANCHI</t>
        </is>
      </c>
      <c r="H2101" s="65" t="inlineStr">
        <is>
          <t>AFFINITY 3 30" 3ICK FLAT RIB SYNT</t>
        </is>
      </c>
      <c r="I2101" s="65" t="inlineStr">
        <is>
          <t>BL078051G</t>
        </is>
      </c>
      <c r="J2101" s="65" t="inlineStr">
        <is>
          <t>CL080530H</t>
        </is>
      </c>
      <c r="K2101" s="65" t="inlineStr">
        <is>
          <t>N/D</t>
        </is>
      </c>
      <c r="L2101" s="127" t="inlineStr">
        <is>
          <t>BENELLI ARMI SPA</t>
        </is>
      </c>
      <c r="M2101" s="5" t="n">
        <v>451</v>
      </c>
      <c r="N2101" s="5" t="n"/>
      <c r="O2101" s="5">
        <f>+M2101+N2101</f>
        <v/>
      </c>
      <c r="P2101" s="4" t="n">
        <v>45863</v>
      </c>
      <c r="Q2101" s="87" t="n">
        <v>45856</v>
      </c>
      <c r="R2101" s="5" t="n">
        <v>628.14</v>
      </c>
      <c r="S2101" s="2" t="n">
        <v>1</v>
      </c>
      <c r="T2101" s="3" t="inlineStr">
        <is>
          <t>6B/2025/2S</t>
        </is>
      </c>
      <c r="U2101" s="87" t="n">
        <v>45873</v>
      </c>
      <c r="V2101" s="3" t="inlineStr">
        <is>
          <t>19</t>
        </is>
      </c>
      <c r="W2101" s="87" t="n">
        <v>45873</v>
      </c>
      <c r="X2101" s="4" t="inlineStr">
        <is>
          <t xml:space="preserve">Bin Humaid National Trading Co </t>
        </is>
      </c>
    </row>
    <row r="2102" ht="24" customHeight="1">
      <c r="A2102" s="2">
        <f>+D2102-S2102</f>
        <v/>
      </c>
      <c r="B2102" s="80" t="n">
        <v>3720</v>
      </c>
      <c r="C2102" s="66" t="n">
        <v>45863</v>
      </c>
      <c r="D2102" s="2" t="n">
        <v>1</v>
      </c>
      <c r="E2102" s="3" t="inlineStr">
        <is>
          <t>FUCILE SEMIAUTOMATICO</t>
        </is>
      </c>
      <c r="F2102" s="3" t="inlineStr">
        <is>
          <t>12</t>
        </is>
      </c>
      <c r="G2102" s="3" t="inlineStr">
        <is>
          <t>FRANCHI</t>
        </is>
      </c>
      <c r="H2102" s="65" t="inlineStr">
        <is>
          <t>AFFINITY 3 30" 3ICK FLAT RIB SYNT</t>
        </is>
      </c>
      <c r="I2102" s="65" t="inlineStr">
        <is>
          <t>BL078057V</t>
        </is>
      </c>
      <c r="J2102" s="65" t="inlineStr">
        <is>
          <t>CL080542N</t>
        </is>
      </c>
      <c r="K2102" s="65" t="inlineStr">
        <is>
          <t>N/D</t>
        </is>
      </c>
      <c r="L2102" s="127" t="inlineStr">
        <is>
          <t>BENELLI ARMI SPA</t>
        </is>
      </c>
      <c r="M2102" s="5" t="n">
        <v>451</v>
      </c>
      <c r="N2102" s="5" t="n"/>
      <c r="O2102" s="5">
        <f>+M2102+N2102</f>
        <v/>
      </c>
      <c r="P2102" s="4" t="n">
        <v>45863</v>
      </c>
      <c r="Q2102" s="87" t="n">
        <v>45856</v>
      </c>
      <c r="R2102" s="5" t="n">
        <v>628.14</v>
      </c>
      <c r="S2102" s="2" t="n">
        <v>1</v>
      </c>
      <c r="T2102" s="3" t="inlineStr">
        <is>
          <t>6B/2025/2S</t>
        </is>
      </c>
      <c r="U2102" s="87" t="n">
        <v>45873</v>
      </c>
      <c r="V2102" s="3" t="inlineStr">
        <is>
          <t>19</t>
        </is>
      </c>
      <c r="W2102" s="87" t="n">
        <v>45873</v>
      </c>
      <c r="X2102" s="4" t="inlineStr">
        <is>
          <t xml:space="preserve">Bin Humaid National Trading Co </t>
        </is>
      </c>
    </row>
    <row r="2103" ht="24" customHeight="1">
      <c r="A2103" s="2">
        <f>+D2103-S2103</f>
        <v/>
      </c>
      <c r="B2103" s="80" t="n">
        <v>3721</v>
      </c>
      <c r="C2103" s="66" t="n">
        <v>45863</v>
      </c>
      <c r="D2103" s="2" t="n">
        <v>1</v>
      </c>
      <c r="E2103" s="3" t="inlineStr">
        <is>
          <t>FUCILE SEMIAUTOMATICO</t>
        </is>
      </c>
      <c r="F2103" s="3" t="inlineStr">
        <is>
          <t>12</t>
        </is>
      </c>
      <c r="G2103" s="3" t="inlineStr">
        <is>
          <t>FRANCHI</t>
        </is>
      </c>
      <c r="H2103" s="65" t="inlineStr">
        <is>
          <t>AFFINITY 3 30" 3ICK FLAT RIB SYNT</t>
        </is>
      </c>
      <c r="I2103" s="65" t="inlineStr">
        <is>
          <t>BL078056T</t>
        </is>
      </c>
      <c r="J2103" s="65" t="inlineStr">
        <is>
          <t>CL080547Z</t>
        </is>
      </c>
      <c r="K2103" s="65" t="inlineStr">
        <is>
          <t>N/D</t>
        </is>
      </c>
      <c r="L2103" s="127" t="inlineStr">
        <is>
          <t>BENELLI ARMI SPA</t>
        </is>
      </c>
      <c r="M2103" s="5" t="n">
        <v>451</v>
      </c>
      <c r="N2103" s="5" t="n"/>
      <c r="O2103" s="5">
        <f>+M2103+N2103</f>
        <v/>
      </c>
      <c r="P2103" s="4" t="n">
        <v>45863</v>
      </c>
      <c r="Q2103" s="87" t="n">
        <v>45856</v>
      </c>
      <c r="R2103" s="5" t="n">
        <v>628.14</v>
      </c>
      <c r="S2103" s="2" t="n">
        <v>1</v>
      </c>
      <c r="T2103" s="3" t="inlineStr">
        <is>
          <t>6B/2025/2S</t>
        </is>
      </c>
      <c r="U2103" s="87" t="n">
        <v>45873</v>
      </c>
      <c r="V2103" s="3" t="inlineStr">
        <is>
          <t>19</t>
        </is>
      </c>
      <c r="W2103" s="87" t="n">
        <v>45873</v>
      </c>
      <c r="X2103" s="4" t="inlineStr">
        <is>
          <t xml:space="preserve">Bin Humaid National Trading Co </t>
        </is>
      </c>
    </row>
    <row r="2104" ht="24" customHeight="1">
      <c r="A2104" s="2">
        <f>+D2104-S2104</f>
        <v/>
      </c>
      <c r="B2104" s="80" t="n">
        <v>3722</v>
      </c>
      <c r="C2104" s="66" t="n">
        <v>45863</v>
      </c>
      <c r="D2104" s="2" t="n">
        <v>1</v>
      </c>
      <c r="E2104" s="3" t="inlineStr">
        <is>
          <t>FUCILE SEMIAUTOMATICO</t>
        </is>
      </c>
      <c r="F2104" s="3" t="inlineStr">
        <is>
          <t>12</t>
        </is>
      </c>
      <c r="G2104" s="3" t="inlineStr">
        <is>
          <t>FRANCHI</t>
        </is>
      </c>
      <c r="H2104" s="65" t="inlineStr">
        <is>
          <t>AFFINITY 3 30" 3ICK FLAT RIB SYNT</t>
        </is>
      </c>
      <c r="I2104" s="65" t="inlineStr">
        <is>
          <t>BL092063K</t>
        </is>
      </c>
      <c r="J2104" s="65" t="inlineStr">
        <is>
          <t>CL094737J</t>
        </is>
      </c>
      <c r="K2104" s="65" t="inlineStr">
        <is>
          <t>N/D</t>
        </is>
      </c>
      <c r="L2104" s="127" t="inlineStr">
        <is>
          <t>BENELLI ARMI SPA</t>
        </is>
      </c>
      <c r="M2104" s="5" t="n">
        <v>451</v>
      </c>
      <c r="N2104" s="5" t="n"/>
      <c r="O2104" s="5">
        <f>+M2104+N2104</f>
        <v/>
      </c>
      <c r="P2104" s="4" t="n">
        <v>45863</v>
      </c>
      <c r="Q2104" s="87" t="n">
        <v>45856</v>
      </c>
      <c r="R2104" s="5" t="n">
        <v>628.14</v>
      </c>
      <c r="S2104" s="2" t="n">
        <v>1</v>
      </c>
      <c r="T2104" s="3" t="inlineStr">
        <is>
          <t>6B/2025/2S</t>
        </is>
      </c>
      <c r="U2104" s="87" t="n">
        <v>45873</v>
      </c>
      <c r="V2104" s="3" t="inlineStr">
        <is>
          <t>19</t>
        </is>
      </c>
      <c r="W2104" s="87" t="n">
        <v>45873</v>
      </c>
      <c r="X2104" s="4" t="inlineStr">
        <is>
          <t xml:space="preserve">Bin Humaid National Trading Co </t>
        </is>
      </c>
    </row>
    <row r="2105" ht="24" customHeight="1">
      <c r="A2105" s="2">
        <f>+D2105-S2105</f>
        <v/>
      </c>
      <c r="B2105" s="80" t="n">
        <v>3723</v>
      </c>
      <c r="C2105" s="66" t="n">
        <v>45863</v>
      </c>
      <c r="D2105" s="2" t="n">
        <v>1</v>
      </c>
      <c r="E2105" s="3" t="inlineStr">
        <is>
          <t>FUCILE SEMIAUTOMATICO</t>
        </is>
      </c>
      <c r="F2105" s="3" t="inlineStr">
        <is>
          <t>12</t>
        </is>
      </c>
      <c r="G2105" s="3" t="inlineStr">
        <is>
          <t>FRANCHI</t>
        </is>
      </c>
      <c r="H2105" s="65" t="inlineStr">
        <is>
          <t>AFFINITY 3 30" 3ICK FLAT RIB SYNT</t>
        </is>
      </c>
      <c r="I2105" s="65" t="inlineStr">
        <is>
          <t>BL092064M</t>
        </is>
      </c>
      <c r="J2105" s="65" t="inlineStr">
        <is>
          <t>CL094735E</t>
        </is>
      </c>
      <c r="K2105" s="65" t="inlineStr">
        <is>
          <t>N/D</t>
        </is>
      </c>
      <c r="L2105" s="127" t="inlineStr">
        <is>
          <t>BENELLI ARMI SPA</t>
        </is>
      </c>
      <c r="M2105" s="5" t="n">
        <v>451</v>
      </c>
      <c r="N2105" s="5" t="n"/>
      <c r="O2105" s="5">
        <f>+M2105+N2105</f>
        <v/>
      </c>
      <c r="P2105" s="4" t="n">
        <v>45863</v>
      </c>
      <c r="Q2105" s="87" t="n">
        <v>45856</v>
      </c>
      <c r="R2105" s="5" t="n">
        <v>628.14</v>
      </c>
      <c r="S2105" s="2" t="n">
        <v>1</v>
      </c>
      <c r="T2105" s="3" t="inlineStr">
        <is>
          <t>6B/2025/2S</t>
        </is>
      </c>
      <c r="U2105" s="87" t="n">
        <v>45873</v>
      </c>
      <c r="V2105" s="3" t="inlineStr">
        <is>
          <t>19</t>
        </is>
      </c>
      <c r="W2105" s="87" t="n">
        <v>45873</v>
      </c>
      <c r="X2105" s="4" t="inlineStr">
        <is>
          <t xml:space="preserve">Bin Humaid National Trading Co </t>
        </is>
      </c>
    </row>
    <row r="2106" ht="24" customHeight="1">
      <c r="A2106" s="2">
        <f>+D2106-S2106</f>
        <v/>
      </c>
      <c r="B2106" s="80" t="n">
        <v>3724</v>
      </c>
      <c r="C2106" s="66" t="n">
        <v>45863</v>
      </c>
      <c r="D2106" s="2" t="n">
        <v>1</v>
      </c>
      <c r="E2106" s="3" t="inlineStr">
        <is>
          <t>FUCILE SEMIAUTOMATICO</t>
        </is>
      </c>
      <c r="F2106" s="3" t="inlineStr">
        <is>
          <t>12</t>
        </is>
      </c>
      <c r="G2106" s="3" t="inlineStr">
        <is>
          <t>FRANCHI</t>
        </is>
      </c>
      <c r="H2106" s="65" t="inlineStr">
        <is>
          <t>AFFINITY 3 30" 3ICK FLAT RIB SYNT</t>
        </is>
      </c>
      <c r="I2106" s="65" t="inlineStr">
        <is>
          <t>BL092069Y</t>
        </is>
      </c>
      <c r="J2106" s="65" t="inlineStr">
        <is>
          <t>CL094741W</t>
        </is>
      </c>
      <c r="K2106" s="65" t="inlineStr">
        <is>
          <t>N/D</t>
        </is>
      </c>
      <c r="L2106" s="127" t="inlineStr">
        <is>
          <t>BENELLI ARMI SPA</t>
        </is>
      </c>
      <c r="M2106" s="5" t="n">
        <v>451</v>
      </c>
      <c r="N2106" s="5" t="n"/>
      <c r="O2106" s="5">
        <f>+M2106+N2106</f>
        <v/>
      </c>
      <c r="P2106" s="4" t="n">
        <v>45863</v>
      </c>
      <c r="Q2106" s="87" t="n">
        <v>45856</v>
      </c>
      <c r="R2106" s="5" t="n">
        <v>628.14</v>
      </c>
      <c r="S2106" s="2" t="n">
        <v>1</v>
      </c>
      <c r="T2106" s="3" t="inlineStr">
        <is>
          <t>6B/2025/2S</t>
        </is>
      </c>
      <c r="U2106" s="87" t="n">
        <v>45873</v>
      </c>
      <c r="V2106" s="3" t="inlineStr">
        <is>
          <t>19</t>
        </is>
      </c>
      <c r="W2106" s="87" t="n">
        <v>45873</v>
      </c>
      <c r="X2106" s="4" t="inlineStr">
        <is>
          <t xml:space="preserve">Bin Humaid National Trading Co </t>
        </is>
      </c>
    </row>
    <row r="2107" ht="24" customHeight="1">
      <c r="A2107" s="2">
        <f>+D2107-S2107</f>
        <v/>
      </c>
      <c r="B2107" s="80" t="n">
        <v>3725</v>
      </c>
      <c r="C2107" s="66" t="n">
        <v>45863</v>
      </c>
      <c r="D2107" s="2" t="n">
        <v>1</v>
      </c>
      <c r="E2107" s="3" t="inlineStr">
        <is>
          <t>FUCILE SEMIAUTOMATICO</t>
        </is>
      </c>
      <c r="F2107" s="3" t="inlineStr">
        <is>
          <t>12</t>
        </is>
      </c>
      <c r="G2107" s="3" t="inlineStr">
        <is>
          <t>FRANCHI</t>
        </is>
      </c>
      <c r="H2107" s="65" t="inlineStr">
        <is>
          <t>AFFINITY 3 30" 3ICK FLAT RIB SYNT</t>
        </is>
      </c>
      <c r="I2107" s="65" t="inlineStr">
        <is>
          <t>BL092067U</t>
        </is>
      </c>
      <c r="J2107" s="65" t="inlineStr">
        <is>
          <t>CL094745F</t>
        </is>
      </c>
      <c r="K2107" s="65" t="inlineStr">
        <is>
          <t>N/D</t>
        </is>
      </c>
      <c r="L2107" s="127" t="inlineStr">
        <is>
          <t>BENELLI ARMI SPA</t>
        </is>
      </c>
      <c r="M2107" s="5" t="n">
        <v>451</v>
      </c>
      <c r="N2107" s="5" t="n"/>
      <c r="O2107" s="5">
        <f>+M2107+N2107</f>
        <v/>
      </c>
      <c r="P2107" s="4" t="n">
        <v>45863</v>
      </c>
      <c r="Q2107" s="87" t="n">
        <v>45856</v>
      </c>
      <c r="R2107" s="5" t="n">
        <v>628.14</v>
      </c>
      <c r="S2107" s="2" t="n">
        <v>1</v>
      </c>
      <c r="T2107" s="3" t="inlineStr">
        <is>
          <t>6B/2025/2S</t>
        </is>
      </c>
      <c r="U2107" s="87" t="n">
        <v>45873</v>
      </c>
      <c r="V2107" s="3" t="inlineStr">
        <is>
          <t>19</t>
        </is>
      </c>
      <c r="W2107" s="87" t="n">
        <v>45873</v>
      </c>
      <c r="X2107" s="4" t="inlineStr">
        <is>
          <t xml:space="preserve">Bin Humaid National Trading Co </t>
        </is>
      </c>
    </row>
    <row r="2108" ht="24" customHeight="1">
      <c r="A2108" s="2">
        <f>+D2108-S2108</f>
        <v/>
      </c>
      <c r="B2108" s="80" t="n">
        <v>3726</v>
      </c>
      <c r="C2108" s="66" t="n">
        <v>45863</v>
      </c>
      <c r="D2108" s="2" t="n">
        <v>1</v>
      </c>
      <c r="E2108" s="3" t="inlineStr">
        <is>
          <t>FUCILE SEMIAUTOMATICO</t>
        </is>
      </c>
      <c r="F2108" s="3" t="inlineStr">
        <is>
          <t>12</t>
        </is>
      </c>
      <c r="G2108" s="3" t="inlineStr">
        <is>
          <t>FRANCHI</t>
        </is>
      </c>
      <c r="H2108" s="65" t="inlineStr">
        <is>
          <t>AFFINITY 3 30" 3ICK FLAT RIB SYNT</t>
        </is>
      </c>
      <c r="I2108" s="65" t="inlineStr">
        <is>
          <t>BL092071G</t>
        </is>
      </c>
      <c r="J2108" s="65" t="inlineStr">
        <is>
          <t>CL094744C</t>
        </is>
      </c>
      <c r="K2108" s="65" t="inlineStr">
        <is>
          <t>N/D</t>
        </is>
      </c>
      <c r="L2108" s="127" t="inlineStr">
        <is>
          <t>BENELLI ARMI SPA</t>
        </is>
      </c>
      <c r="M2108" s="5" t="n">
        <v>451</v>
      </c>
      <c r="N2108" s="5" t="n"/>
      <c r="O2108" s="5">
        <f>+M2108+N2108</f>
        <v/>
      </c>
      <c r="P2108" s="4" t="n">
        <v>45863</v>
      </c>
      <c r="Q2108" s="87" t="n">
        <v>45856</v>
      </c>
      <c r="R2108" s="5" t="n">
        <v>628.14</v>
      </c>
      <c r="S2108" s="2" t="n">
        <v>1</v>
      </c>
      <c r="T2108" s="3" t="inlineStr">
        <is>
          <t>6B/2025/2S</t>
        </is>
      </c>
      <c r="U2108" s="87" t="n">
        <v>45873</v>
      </c>
      <c r="V2108" s="3" t="inlineStr">
        <is>
          <t>19</t>
        </is>
      </c>
      <c r="W2108" s="87" t="n">
        <v>45873</v>
      </c>
      <c r="X2108" s="4" t="inlineStr">
        <is>
          <t xml:space="preserve">Bin Humaid National Trading Co </t>
        </is>
      </c>
    </row>
    <row r="2109" ht="24" customHeight="1">
      <c r="A2109" s="2">
        <f>+D2109-S2109</f>
        <v/>
      </c>
      <c r="B2109" s="80" t="n">
        <v>3727</v>
      </c>
      <c r="C2109" s="66" t="n">
        <v>45863</v>
      </c>
      <c r="D2109" s="2" t="n">
        <v>1</v>
      </c>
      <c r="E2109" s="3" t="inlineStr">
        <is>
          <t>FUCILE SEMIAUTOMATICO</t>
        </is>
      </c>
      <c r="F2109" s="3" t="inlineStr">
        <is>
          <t>12</t>
        </is>
      </c>
      <c r="G2109" s="3" t="inlineStr">
        <is>
          <t>FRANCHI</t>
        </is>
      </c>
      <c r="H2109" s="65" t="inlineStr">
        <is>
          <t>AFFINITY 3 30" 3ICK FLAT RIB SYNT</t>
        </is>
      </c>
      <c r="I2109" s="65" t="inlineStr">
        <is>
          <t>BL092262M</t>
        </is>
      </c>
      <c r="J2109" s="65" t="inlineStr">
        <is>
          <t>CL094740U</t>
        </is>
      </c>
      <c r="K2109" s="65" t="inlineStr">
        <is>
          <t>N/D</t>
        </is>
      </c>
      <c r="L2109" s="127" t="inlineStr">
        <is>
          <t>BENELLI ARMI SPA</t>
        </is>
      </c>
      <c r="M2109" s="5" t="n">
        <v>451</v>
      </c>
      <c r="N2109" s="5" t="n"/>
      <c r="O2109" s="5">
        <f>+M2109+N2109</f>
        <v/>
      </c>
      <c r="P2109" s="4" t="n">
        <v>45863</v>
      </c>
      <c r="Q2109" s="87" t="n">
        <v>45856</v>
      </c>
      <c r="R2109" s="5" t="n">
        <v>628.14</v>
      </c>
      <c r="S2109" s="2" t="n">
        <v>1</v>
      </c>
      <c r="T2109" s="3" t="inlineStr">
        <is>
          <t>6B/2025/2S</t>
        </is>
      </c>
      <c r="U2109" s="87" t="n">
        <v>45873</v>
      </c>
      <c r="V2109" s="3" t="inlineStr">
        <is>
          <t>19</t>
        </is>
      </c>
      <c r="W2109" s="87" t="n">
        <v>45873</v>
      </c>
      <c r="X2109" s="4" t="inlineStr">
        <is>
          <t xml:space="preserve">Bin Humaid National Trading Co </t>
        </is>
      </c>
    </row>
    <row r="2110" ht="24" customHeight="1">
      <c r="A2110" s="2">
        <f>+D2110-S2110</f>
        <v/>
      </c>
      <c r="B2110" s="80" t="n">
        <v>3728</v>
      </c>
      <c r="C2110" s="66" t="n">
        <v>45863</v>
      </c>
      <c r="D2110" s="2" t="n">
        <v>1</v>
      </c>
      <c r="E2110" s="3" t="inlineStr">
        <is>
          <t>FUCILE SEMIAUTOMATICO</t>
        </is>
      </c>
      <c r="F2110" s="3" t="inlineStr">
        <is>
          <t>12</t>
        </is>
      </c>
      <c r="G2110" s="3" t="inlineStr">
        <is>
          <t>FRANCHI</t>
        </is>
      </c>
      <c r="H2110" s="65" t="inlineStr">
        <is>
          <t>AFFINITY 3 30" 3ICK FLAT RIB SYNT</t>
        </is>
      </c>
      <c r="I2110" s="65" t="inlineStr">
        <is>
          <t>BL092263P</t>
        </is>
      </c>
      <c r="J2110" s="65" t="inlineStr">
        <is>
          <t>CL094953F</t>
        </is>
      </c>
      <c r="K2110" s="65" t="inlineStr">
        <is>
          <t>N/D</t>
        </is>
      </c>
      <c r="L2110" s="127" t="inlineStr">
        <is>
          <t>BENELLI ARMI SPA</t>
        </is>
      </c>
      <c r="M2110" s="5" t="n">
        <v>451</v>
      </c>
      <c r="N2110" s="5" t="n"/>
      <c r="O2110" s="5">
        <f>+M2110+N2110</f>
        <v/>
      </c>
      <c r="P2110" s="4" t="n">
        <v>45863</v>
      </c>
      <c r="Q2110" s="87" t="n">
        <v>45856</v>
      </c>
      <c r="R2110" s="5" t="n">
        <v>628.14</v>
      </c>
      <c r="S2110" s="2" t="n">
        <v>1</v>
      </c>
      <c r="T2110" s="3" t="inlineStr">
        <is>
          <t>6B/2025/2S</t>
        </is>
      </c>
      <c r="U2110" s="87" t="n">
        <v>45873</v>
      </c>
      <c r="V2110" s="3" t="inlineStr">
        <is>
          <t>19</t>
        </is>
      </c>
      <c r="W2110" s="87" t="n">
        <v>45873</v>
      </c>
      <c r="X2110" s="4" t="inlineStr">
        <is>
          <t xml:space="preserve">Bin Humaid National Trading Co </t>
        </is>
      </c>
    </row>
    <row r="2111" ht="24" customHeight="1">
      <c r="A2111" s="2">
        <f>+D2111-S2111</f>
        <v/>
      </c>
      <c r="B2111" s="80" t="n">
        <v>3729</v>
      </c>
      <c r="C2111" s="66" t="n">
        <v>45863</v>
      </c>
      <c r="D2111" s="2" t="n">
        <v>1</v>
      </c>
      <c r="E2111" s="3" t="inlineStr">
        <is>
          <t>FUCILE SEMIAUTOMATICO</t>
        </is>
      </c>
      <c r="F2111" s="3" t="inlineStr">
        <is>
          <t>12</t>
        </is>
      </c>
      <c r="G2111" s="3" t="inlineStr">
        <is>
          <t>FRANCHI</t>
        </is>
      </c>
      <c r="H2111" s="65" t="inlineStr">
        <is>
          <t>AFFINITY 3 30" 3ICK FLAT RIB SYNT</t>
        </is>
      </c>
      <c r="I2111" s="65" t="inlineStr">
        <is>
          <t>BL092264R</t>
        </is>
      </c>
      <c r="J2111" s="65" t="inlineStr">
        <is>
          <t>CL094954H</t>
        </is>
      </c>
      <c r="K2111" s="65" t="inlineStr">
        <is>
          <t>N/D</t>
        </is>
      </c>
      <c r="L2111" s="127" t="inlineStr">
        <is>
          <t>BENELLI ARMI SPA</t>
        </is>
      </c>
      <c r="M2111" s="5" t="n">
        <v>451</v>
      </c>
      <c r="N2111" s="5" t="n"/>
      <c r="O2111" s="5">
        <f>+M2111+N2111</f>
        <v/>
      </c>
      <c r="P2111" s="4" t="n">
        <v>45863</v>
      </c>
      <c r="Q2111" s="87" t="n">
        <v>45856</v>
      </c>
      <c r="R2111" s="5" t="n">
        <v>628.14</v>
      </c>
      <c r="S2111" s="2" t="n">
        <v>1</v>
      </c>
      <c r="T2111" s="3" t="inlineStr">
        <is>
          <t>6B/2025/2S</t>
        </is>
      </c>
      <c r="U2111" s="87" t="n">
        <v>45873</v>
      </c>
      <c r="V2111" s="3" t="inlineStr">
        <is>
          <t>19</t>
        </is>
      </c>
      <c r="W2111" s="87" t="n">
        <v>45873</v>
      </c>
      <c r="X2111" s="4" t="inlineStr">
        <is>
          <t xml:space="preserve">Bin Humaid National Trading Co </t>
        </is>
      </c>
    </row>
    <row r="2112" ht="24" customHeight="1">
      <c r="A2112" s="2">
        <f>+D2112-S2112</f>
        <v/>
      </c>
      <c r="B2112" s="80" t="n">
        <v>3730</v>
      </c>
      <c r="C2112" s="66" t="n">
        <v>45863</v>
      </c>
      <c r="D2112" s="2" t="n">
        <v>1</v>
      </c>
      <c r="E2112" s="3" t="inlineStr">
        <is>
          <t>FUCILE SEMIAUTOMATICO</t>
        </is>
      </c>
      <c r="F2112" s="3" t="inlineStr">
        <is>
          <t>12</t>
        </is>
      </c>
      <c r="G2112" s="3" t="inlineStr">
        <is>
          <t>FRANCHI</t>
        </is>
      </c>
      <c r="H2112" s="65" t="inlineStr">
        <is>
          <t>AFFINITY 3 30" 3ICK FLAT RIB SYNT</t>
        </is>
      </c>
      <c r="I2112" s="65" t="inlineStr">
        <is>
          <t>BL092265U</t>
        </is>
      </c>
      <c r="J2112" s="65" t="inlineStr">
        <is>
          <t>CL094955L</t>
        </is>
      </c>
      <c r="K2112" s="65" t="inlineStr">
        <is>
          <t>N/D</t>
        </is>
      </c>
      <c r="L2112" s="127" t="inlineStr">
        <is>
          <t>BENELLI ARMI SPA</t>
        </is>
      </c>
      <c r="M2112" s="5" t="n">
        <v>451</v>
      </c>
      <c r="N2112" s="5" t="n"/>
      <c r="O2112" s="5">
        <f>+M2112+N2112</f>
        <v/>
      </c>
      <c r="P2112" s="4" t="n">
        <v>45863</v>
      </c>
      <c r="Q2112" s="87" t="n">
        <v>45856</v>
      </c>
      <c r="R2112" s="5" t="n">
        <v>628.14</v>
      </c>
      <c r="S2112" s="2" t="n">
        <v>1</v>
      </c>
      <c r="T2112" s="3" t="inlineStr">
        <is>
          <t>6B/2025/2S</t>
        </is>
      </c>
      <c r="U2112" s="87" t="n">
        <v>45873</v>
      </c>
      <c r="V2112" s="3" t="inlineStr">
        <is>
          <t>19</t>
        </is>
      </c>
      <c r="W2112" s="87" t="n">
        <v>45873</v>
      </c>
      <c r="X2112" s="4" t="inlineStr">
        <is>
          <t xml:space="preserve">Bin Humaid National Trading Co </t>
        </is>
      </c>
    </row>
    <row r="2113" ht="24" customHeight="1">
      <c r="A2113" s="2">
        <f>+D2113-S2113</f>
        <v/>
      </c>
      <c r="B2113" s="80" t="n">
        <v>3731</v>
      </c>
      <c r="C2113" s="66" t="n">
        <v>45863</v>
      </c>
      <c r="D2113" s="2" t="n">
        <v>1</v>
      </c>
      <c r="E2113" s="3" t="inlineStr">
        <is>
          <t>FUCILE SEMIAUTOMATICO</t>
        </is>
      </c>
      <c r="F2113" s="3" t="inlineStr">
        <is>
          <t>12</t>
        </is>
      </c>
      <c r="G2113" s="3" t="inlineStr">
        <is>
          <t>FRANCHI</t>
        </is>
      </c>
      <c r="H2113" s="65" t="inlineStr">
        <is>
          <t>AFFINITY 3 30" 3ICK FLAT RIB SYNT</t>
        </is>
      </c>
      <c r="I2113" s="65" t="inlineStr">
        <is>
          <t>BL092266W</t>
        </is>
      </c>
      <c r="J2113" s="65" t="inlineStr">
        <is>
          <t>CL094957Q</t>
        </is>
      </c>
      <c r="K2113" s="65" t="inlineStr">
        <is>
          <t>N/D</t>
        </is>
      </c>
      <c r="L2113" s="127" t="inlineStr">
        <is>
          <t>BENELLI ARMI SPA</t>
        </is>
      </c>
      <c r="M2113" s="5" t="n">
        <v>451</v>
      </c>
      <c r="N2113" s="5" t="n"/>
      <c r="O2113" s="5">
        <f>+M2113+N2113</f>
        <v/>
      </c>
      <c r="P2113" s="4" t="n">
        <v>45863</v>
      </c>
      <c r="Q2113" s="87" t="n">
        <v>45856</v>
      </c>
      <c r="R2113" s="5" t="n">
        <v>628.14</v>
      </c>
      <c r="S2113" s="2" t="n">
        <v>1</v>
      </c>
      <c r="T2113" s="3" t="inlineStr">
        <is>
          <t>6B/2025/2S</t>
        </is>
      </c>
      <c r="U2113" s="87" t="n">
        <v>45873</v>
      </c>
      <c r="V2113" s="3" t="inlineStr">
        <is>
          <t>19</t>
        </is>
      </c>
      <c r="W2113" s="87" t="n">
        <v>45873</v>
      </c>
      <c r="X2113" s="4" t="inlineStr">
        <is>
          <t xml:space="preserve">Bin Humaid National Trading Co </t>
        </is>
      </c>
    </row>
    <row r="2114" ht="24" customHeight="1">
      <c r="A2114" s="2">
        <f>+D2114-S2114</f>
        <v/>
      </c>
      <c r="B2114" s="80" t="n">
        <v>3732</v>
      </c>
      <c r="C2114" s="66" t="n">
        <v>45863</v>
      </c>
      <c r="D2114" s="2" t="n">
        <v>1</v>
      </c>
      <c r="E2114" s="3" t="inlineStr">
        <is>
          <t>FUCILE SEMIAUTOMATICO</t>
        </is>
      </c>
      <c r="F2114" s="3" t="inlineStr">
        <is>
          <t>12</t>
        </is>
      </c>
      <c r="G2114" s="3" t="inlineStr">
        <is>
          <t>FRANCHI</t>
        </is>
      </c>
      <c r="H2114" s="65" t="inlineStr">
        <is>
          <t>AFFINITY 3 30" 3ICK FLAT RIB SYNT</t>
        </is>
      </c>
      <c r="I2114" s="65" t="inlineStr">
        <is>
          <t>BL092267Y</t>
        </is>
      </c>
      <c r="J2114" s="65" t="inlineStr">
        <is>
          <t>CL094958S</t>
        </is>
      </c>
      <c r="K2114" s="65" t="inlineStr">
        <is>
          <t>N/D</t>
        </is>
      </c>
      <c r="L2114" s="127" t="inlineStr">
        <is>
          <t>BENELLI ARMI SPA</t>
        </is>
      </c>
      <c r="M2114" s="5" t="n">
        <v>451</v>
      </c>
      <c r="N2114" s="5" t="n"/>
      <c r="O2114" s="5">
        <f>+M2114+N2114</f>
        <v/>
      </c>
      <c r="P2114" s="4" t="n">
        <v>45863</v>
      </c>
      <c r="Q2114" s="87" t="n">
        <v>45856</v>
      </c>
      <c r="R2114" s="5" t="n">
        <v>628.14</v>
      </c>
      <c r="S2114" s="2" t="n">
        <v>1</v>
      </c>
      <c r="T2114" s="3" t="inlineStr">
        <is>
          <t>6B/2025/2S</t>
        </is>
      </c>
      <c r="U2114" s="87" t="n">
        <v>45873</v>
      </c>
      <c r="V2114" s="3" t="inlineStr">
        <is>
          <t>19</t>
        </is>
      </c>
      <c r="W2114" s="87" t="n">
        <v>45873</v>
      </c>
      <c r="X2114" s="4" t="inlineStr">
        <is>
          <t xml:space="preserve">Bin Humaid National Trading Co </t>
        </is>
      </c>
    </row>
    <row r="2115" ht="24" customHeight="1">
      <c r="A2115" s="2">
        <f>+D2115-S2115</f>
        <v/>
      </c>
      <c r="B2115" s="80" t="n">
        <v>3733</v>
      </c>
      <c r="C2115" s="66" t="n">
        <v>45863</v>
      </c>
      <c r="D2115" s="2" t="n">
        <v>1</v>
      </c>
      <c r="E2115" s="3" t="inlineStr">
        <is>
          <t>FUCILE SEMIAUTOMATICO</t>
        </is>
      </c>
      <c r="F2115" s="3" t="inlineStr">
        <is>
          <t>12</t>
        </is>
      </c>
      <c r="G2115" s="3" t="inlineStr">
        <is>
          <t>FRANCHI</t>
        </is>
      </c>
      <c r="H2115" s="65" t="inlineStr">
        <is>
          <t>AFFINITY 3 30" 3ICK FLAT RIB SYNT</t>
        </is>
      </c>
      <c r="I2115" s="65" t="inlineStr">
        <is>
          <t>BL092268A</t>
        </is>
      </c>
      <c r="J2115" s="65" t="inlineStr">
        <is>
          <t>CL094956N</t>
        </is>
      </c>
      <c r="K2115" s="65" t="inlineStr">
        <is>
          <t>N/D</t>
        </is>
      </c>
      <c r="L2115" s="127" t="inlineStr">
        <is>
          <t>BENELLI ARMI SPA</t>
        </is>
      </c>
      <c r="M2115" s="5" t="n">
        <v>451</v>
      </c>
      <c r="N2115" s="5" t="n"/>
      <c r="O2115" s="5">
        <f>+M2115+N2115</f>
        <v/>
      </c>
      <c r="P2115" s="4" t="n">
        <v>45863</v>
      </c>
      <c r="Q2115" s="87" t="n">
        <v>45856</v>
      </c>
      <c r="R2115" s="5" t="n">
        <v>628.14</v>
      </c>
      <c r="S2115" s="2" t="n">
        <v>1</v>
      </c>
      <c r="T2115" s="3" t="inlineStr">
        <is>
          <t>6B/2025/2S</t>
        </is>
      </c>
      <c r="U2115" s="87" t="n">
        <v>45873</v>
      </c>
      <c r="V2115" s="3" t="inlineStr">
        <is>
          <t>19</t>
        </is>
      </c>
      <c r="W2115" s="87" t="n">
        <v>45873</v>
      </c>
      <c r="X2115" s="4" t="inlineStr">
        <is>
          <t xml:space="preserve">Bin Humaid National Trading Co </t>
        </is>
      </c>
    </row>
    <row r="2116" ht="24" customHeight="1">
      <c r="A2116" s="2">
        <f>+D2116-S2116</f>
        <v/>
      </c>
      <c r="B2116" s="80" t="n">
        <v>3734</v>
      </c>
      <c r="C2116" s="66" t="n">
        <v>45863</v>
      </c>
      <c r="D2116" s="2" t="n">
        <v>1</v>
      </c>
      <c r="E2116" s="3" t="inlineStr">
        <is>
          <t>FUCILE SEMIAUTOMATICO</t>
        </is>
      </c>
      <c r="F2116" s="3" t="inlineStr">
        <is>
          <t>12</t>
        </is>
      </c>
      <c r="G2116" s="3" t="inlineStr">
        <is>
          <t>FRANCHI</t>
        </is>
      </c>
      <c r="H2116" s="65" t="inlineStr">
        <is>
          <t>AFFINITY 3 30" 3ICK FLAT RIB SYNT</t>
        </is>
      </c>
      <c r="I2116" s="65" t="inlineStr">
        <is>
          <t>BL092269C</t>
        </is>
      </c>
      <c r="J2116" s="65" t="inlineStr">
        <is>
          <t>CL094946M</t>
        </is>
      </c>
      <c r="K2116" s="65" t="inlineStr">
        <is>
          <t>N/D</t>
        </is>
      </c>
      <c r="L2116" s="127" t="inlineStr">
        <is>
          <t>BENELLI ARMI SPA</t>
        </is>
      </c>
      <c r="M2116" s="5" t="n">
        <v>451</v>
      </c>
      <c r="N2116" s="5" t="n"/>
      <c r="O2116" s="5">
        <f>+M2116+N2116</f>
        <v/>
      </c>
      <c r="P2116" s="4" t="n">
        <v>45863</v>
      </c>
      <c r="Q2116" s="87" t="n">
        <v>45856</v>
      </c>
      <c r="R2116" s="5" t="n">
        <v>628.14</v>
      </c>
      <c r="S2116" s="2" t="n">
        <v>1</v>
      </c>
      <c r="T2116" s="3" t="inlineStr">
        <is>
          <t>6B/2025/2S</t>
        </is>
      </c>
      <c r="U2116" s="87" t="n">
        <v>45873</v>
      </c>
      <c r="V2116" s="3" t="inlineStr">
        <is>
          <t>19</t>
        </is>
      </c>
      <c r="W2116" s="87" t="n">
        <v>45873</v>
      </c>
      <c r="X2116" s="4" t="inlineStr">
        <is>
          <t xml:space="preserve">Bin Humaid National Trading Co </t>
        </is>
      </c>
    </row>
    <row r="2117" ht="24" customHeight="1">
      <c r="A2117" s="2">
        <f>+D2117-S2117</f>
        <v/>
      </c>
      <c r="B2117" s="80" t="n">
        <v>3735</v>
      </c>
      <c r="C2117" s="66" t="n">
        <v>45863</v>
      </c>
      <c r="D2117" s="2" t="n">
        <v>1</v>
      </c>
      <c r="E2117" s="3" t="inlineStr">
        <is>
          <t>FUCILE SEMIAUTOMATICO</t>
        </is>
      </c>
      <c r="F2117" s="3" t="inlineStr">
        <is>
          <t>12</t>
        </is>
      </c>
      <c r="G2117" s="3" t="inlineStr">
        <is>
          <t>FRANCHI</t>
        </is>
      </c>
      <c r="H2117" s="65" t="inlineStr">
        <is>
          <t>AFFINITY 3 30" 3ICK FLAT RIB SYNT</t>
        </is>
      </c>
      <c r="I2117" s="65" t="inlineStr">
        <is>
          <t>BL092270J</t>
        </is>
      </c>
      <c r="J2117" s="65" t="inlineStr">
        <is>
          <t>CL094949T</t>
        </is>
      </c>
      <c r="K2117" s="65" t="inlineStr">
        <is>
          <t>N/D</t>
        </is>
      </c>
      <c r="L2117" s="127" t="inlineStr">
        <is>
          <t>BENELLI ARMI SPA</t>
        </is>
      </c>
      <c r="M2117" s="5" t="n">
        <v>451</v>
      </c>
      <c r="N2117" s="5" t="n"/>
      <c r="O2117" s="5">
        <f>+M2117+N2117</f>
        <v/>
      </c>
      <c r="P2117" s="4" t="n">
        <v>45863</v>
      </c>
      <c r="Q2117" s="87" t="n">
        <v>45856</v>
      </c>
      <c r="R2117" s="5" t="n">
        <v>628.14</v>
      </c>
      <c r="S2117" s="2" t="n">
        <v>1</v>
      </c>
      <c r="T2117" s="3" t="inlineStr">
        <is>
          <t>6B/2025/2S</t>
        </is>
      </c>
      <c r="U2117" s="87" t="n">
        <v>45873</v>
      </c>
      <c r="V2117" s="3" t="inlineStr">
        <is>
          <t>19</t>
        </is>
      </c>
      <c r="W2117" s="87" t="n">
        <v>45873</v>
      </c>
      <c r="X2117" s="4" t="inlineStr">
        <is>
          <t xml:space="preserve">Bin Humaid National Trading Co </t>
        </is>
      </c>
    </row>
    <row r="2118" ht="24" customHeight="1">
      <c r="A2118" s="2">
        <f>+D2118-S2118</f>
        <v/>
      </c>
      <c r="B2118" s="80" t="n">
        <v>3736</v>
      </c>
      <c r="C2118" s="66" t="n">
        <v>45863</v>
      </c>
      <c r="D2118" s="2" t="n">
        <v>1</v>
      </c>
      <c r="E2118" s="3" t="inlineStr">
        <is>
          <t>FUCILE SEMIAUTOMATICO</t>
        </is>
      </c>
      <c r="F2118" s="3" t="inlineStr">
        <is>
          <t>12</t>
        </is>
      </c>
      <c r="G2118" s="3" t="inlineStr">
        <is>
          <t>FRANCHI</t>
        </is>
      </c>
      <c r="H2118" s="65" t="inlineStr">
        <is>
          <t>AFFINITY 3 30" 3ICK FLAT RIB SYNT</t>
        </is>
      </c>
      <c r="I2118" s="65" t="inlineStr">
        <is>
          <t>BL092271L</t>
        </is>
      </c>
      <c r="J2118" s="65" t="inlineStr">
        <is>
          <t>CL094950Z</t>
        </is>
      </c>
      <c r="K2118" s="65" t="inlineStr">
        <is>
          <t>N/D</t>
        </is>
      </c>
      <c r="L2118" s="127" t="inlineStr">
        <is>
          <t>BENELLI ARMI SPA</t>
        </is>
      </c>
      <c r="M2118" s="5" t="n">
        <v>451</v>
      </c>
      <c r="N2118" s="5" t="n"/>
      <c r="O2118" s="5">
        <f>+M2118+N2118</f>
        <v/>
      </c>
      <c r="P2118" s="4" t="n">
        <v>45863</v>
      </c>
      <c r="Q2118" s="87" t="n">
        <v>45856</v>
      </c>
      <c r="R2118" s="5" t="n">
        <v>628.14</v>
      </c>
      <c r="S2118" s="2" t="n">
        <v>1</v>
      </c>
      <c r="T2118" s="3" t="inlineStr">
        <is>
          <t>6B/2025/2S</t>
        </is>
      </c>
      <c r="U2118" s="87" t="n">
        <v>45873</v>
      </c>
      <c r="V2118" s="3" t="inlineStr">
        <is>
          <t>19</t>
        </is>
      </c>
      <c r="W2118" s="87" t="n">
        <v>45873</v>
      </c>
      <c r="X2118" s="4" t="inlineStr">
        <is>
          <t xml:space="preserve">Bin Humaid National Trading Co </t>
        </is>
      </c>
    </row>
    <row r="2119" ht="24" customHeight="1">
      <c r="A2119" s="2">
        <f>+D2119-S2119</f>
        <v/>
      </c>
      <c r="B2119" s="80" t="n">
        <v>3737</v>
      </c>
      <c r="C2119" s="66" t="n">
        <v>45863</v>
      </c>
      <c r="D2119" s="2" t="n">
        <v>1</v>
      </c>
      <c r="E2119" s="3" t="inlineStr">
        <is>
          <t>FUCILE SEMIAUTOMATICO</t>
        </is>
      </c>
      <c r="F2119" s="3" t="inlineStr">
        <is>
          <t>12</t>
        </is>
      </c>
      <c r="G2119" s="3" t="inlineStr">
        <is>
          <t>FRANCHI</t>
        </is>
      </c>
      <c r="H2119" s="65" t="inlineStr">
        <is>
          <t>AFFINITY 3 30" 3ICK FLAT RIB SYNT</t>
        </is>
      </c>
      <c r="I2119" s="65" t="inlineStr">
        <is>
          <t>BL092272N</t>
        </is>
      </c>
      <c r="J2119" s="65" t="inlineStr">
        <is>
          <t>CL094951B</t>
        </is>
      </c>
      <c r="K2119" s="65" t="inlineStr">
        <is>
          <t>N/D</t>
        </is>
      </c>
      <c r="L2119" s="127" t="inlineStr">
        <is>
          <t>BENELLI ARMI SPA</t>
        </is>
      </c>
      <c r="M2119" s="5" t="n">
        <v>451</v>
      </c>
      <c r="N2119" s="5" t="n"/>
      <c r="O2119" s="5">
        <f>+M2119+N2119</f>
        <v/>
      </c>
      <c r="P2119" s="4" t="n">
        <v>45863</v>
      </c>
      <c r="Q2119" s="87" t="n">
        <v>45856</v>
      </c>
      <c r="R2119" s="5" t="n">
        <v>628.14</v>
      </c>
      <c r="S2119" s="2" t="n">
        <v>1</v>
      </c>
      <c r="T2119" s="3" t="inlineStr">
        <is>
          <t>6B/2025/2S</t>
        </is>
      </c>
      <c r="U2119" s="87" t="n">
        <v>45873</v>
      </c>
      <c r="V2119" s="3" t="inlineStr">
        <is>
          <t>19</t>
        </is>
      </c>
      <c r="W2119" s="87" t="n">
        <v>45873</v>
      </c>
      <c r="X2119" s="4" t="inlineStr">
        <is>
          <t xml:space="preserve">Bin Humaid National Trading Co </t>
        </is>
      </c>
    </row>
    <row r="2120" ht="24" customHeight="1">
      <c r="A2120" s="2">
        <f>+D2120-S2120</f>
        <v/>
      </c>
      <c r="B2120" s="80" t="n">
        <v>3738</v>
      </c>
      <c r="C2120" s="66" t="n">
        <v>45863</v>
      </c>
      <c r="D2120" s="2" t="n">
        <v>1</v>
      </c>
      <c r="E2120" s="3" t="inlineStr">
        <is>
          <t>FUCILE SEMIAUTOMATICO</t>
        </is>
      </c>
      <c r="F2120" s="3" t="inlineStr">
        <is>
          <t>12</t>
        </is>
      </c>
      <c r="G2120" s="3" t="inlineStr">
        <is>
          <t>FRANCHI</t>
        </is>
      </c>
      <c r="H2120" s="65" t="inlineStr">
        <is>
          <t>AFFINITY 3 30" 3ICK FLAT RIB SYNT</t>
        </is>
      </c>
      <c r="I2120" s="65" t="inlineStr">
        <is>
          <t>BL092273Q</t>
        </is>
      </c>
      <c r="J2120" s="65" t="inlineStr">
        <is>
          <t>CL094952D</t>
        </is>
      </c>
      <c r="K2120" s="65" t="inlineStr">
        <is>
          <t>N/D</t>
        </is>
      </c>
      <c r="L2120" s="127" t="inlineStr">
        <is>
          <t>BENELLI ARMI SPA</t>
        </is>
      </c>
      <c r="M2120" s="5" t="n">
        <v>451</v>
      </c>
      <c r="N2120" s="5" t="n"/>
      <c r="O2120" s="5">
        <f>+M2120+N2120</f>
        <v/>
      </c>
      <c r="P2120" s="4" t="n">
        <v>45863</v>
      </c>
      <c r="Q2120" s="87" t="n">
        <v>45856</v>
      </c>
      <c r="R2120" s="5" t="n">
        <v>628.14</v>
      </c>
      <c r="S2120" s="2" t="n">
        <v>1</v>
      </c>
      <c r="T2120" s="3" t="inlineStr">
        <is>
          <t>6B/2025/2S</t>
        </is>
      </c>
      <c r="U2120" s="87" t="n">
        <v>45873</v>
      </c>
      <c r="V2120" s="3" t="inlineStr">
        <is>
          <t>19</t>
        </is>
      </c>
      <c r="W2120" s="87" t="n">
        <v>45873</v>
      </c>
      <c r="X2120" s="4" t="inlineStr">
        <is>
          <t xml:space="preserve">Bin Humaid National Trading Co </t>
        </is>
      </c>
    </row>
    <row r="2121" ht="24" customHeight="1">
      <c r="A2121" s="2">
        <f>+D2121-S2121</f>
        <v/>
      </c>
      <c r="B2121" s="80" t="n">
        <v>3739</v>
      </c>
      <c r="C2121" s="66" t="n">
        <v>45863</v>
      </c>
      <c r="D2121" s="2" t="n">
        <v>1</v>
      </c>
      <c r="E2121" s="3" t="inlineStr">
        <is>
          <t>FUCILE SEMIAUTOMATICO</t>
        </is>
      </c>
      <c r="F2121" s="3" t="inlineStr">
        <is>
          <t>12</t>
        </is>
      </c>
      <c r="G2121" s="3" t="inlineStr">
        <is>
          <t>FRANCHI</t>
        </is>
      </c>
      <c r="H2121" s="65" t="inlineStr">
        <is>
          <t>AFFINITY 3 30" 3ICK FLAT RIB SYNT</t>
        </is>
      </c>
      <c r="I2121" s="65" t="inlineStr">
        <is>
          <t>BL092274S</t>
        </is>
      </c>
      <c r="J2121" s="65" t="inlineStr">
        <is>
          <t>CL094947P</t>
        </is>
      </c>
      <c r="K2121" s="65" t="inlineStr">
        <is>
          <t>N/D</t>
        </is>
      </c>
      <c r="L2121" s="127" t="inlineStr">
        <is>
          <t>BENELLI ARMI SPA</t>
        </is>
      </c>
      <c r="M2121" s="5" t="n">
        <v>451</v>
      </c>
      <c r="N2121" s="5" t="n"/>
      <c r="O2121" s="5">
        <f>+M2121+N2121</f>
        <v/>
      </c>
      <c r="P2121" s="4" t="n">
        <v>45863</v>
      </c>
      <c r="Q2121" s="87" t="n">
        <v>45856</v>
      </c>
      <c r="R2121" s="5" t="n">
        <v>628.14</v>
      </c>
      <c r="S2121" s="2" t="n">
        <v>1</v>
      </c>
      <c r="T2121" s="3" t="inlineStr">
        <is>
          <t>6B/2025/2S</t>
        </is>
      </c>
      <c r="U2121" s="87" t="n">
        <v>45873</v>
      </c>
      <c r="V2121" s="3" t="inlineStr">
        <is>
          <t>19</t>
        </is>
      </c>
      <c r="W2121" s="87" t="n">
        <v>45873</v>
      </c>
      <c r="X2121" s="4" t="inlineStr">
        <is>
          <t xml:space="preserve">Bin Humaid National Trading Co </t>
        </is>
      </c>
    </row>
    <row r="2122" ht="24" customHeight="1">
      <c r="A2122" s="2">
        <f>+D2122-S2122</f>
        <v/>
      </c>
      <c r="B2122" s="80" t="n">
        <v>3740</v>
      </c>
      <c r="C2122" s="66" t="n">
        <v>45863</v>
      </c>
      <c r="D2122" s="2" t="n">
        <v>1</v>
      </c>
      <c r="E2122" s="3" t="inlineStr">
        <is>
          <t>FUCILE SEMIAUTOMATICO</t>
        </is>
      </c>
      <c r="F2122" s="3" t="inlineStr">
        <is>
          <t>12</t>
        </is>
      </c>
      <c r="G2122" s="3" t="inlineStr">
        <is>
          <t>FRANCHI</t>
        </is>
      </c>
      <c r="H2122" s="65" t="inlineStr">
        <is>
          <t>AFFINITY 3 30" 3ICK FLAT RIB SYNT</t>
        </is>
      </c>
      <c r="I2122" s="65" t="inlineStr">
        <is>
          <t>BL092275V</t>
        </is>
      </c>
      <c r="J2122" s="65" t="inlineStr">
        <is>
          <t>CL094948R</t>
        </is>
      </c>
      <c r="K2122" s="65" t="inlineStr">
        <is>
          <t>N/D</t>
        </is>
      </c>
      <c r="L2122" s="127" t="inlineStr">
        <is>
          <t>BENELLI ARMI SPA</t>
        </is>
      </c>
      <c r="M2122" s="5" t="n">
        <v>451</v>
      </c>
      <c r="N2122" s="5" t="n"/>
      <c r="O2122" s="5">
        <f>+M2122+N2122</f>
        <v/>
      </c>
      <c r="P2122" s="4" t="n">
        <v>45863</v>
      </c>
      <c r="Q2122" s="87" t="n">
        <v>45856</v>
      </c>
      <c r="R2122" s="5" t="n">
        <v>628.14</v>
      </c>
      <c r="S2122" s="2" t="n">
        <v>1</v>
      </c>
      <c r="T2122" s="3" t="inlineStr">
        <is>
          <t>6B/2025/2S</t>
        </is>
      </c>
      <c r="U2122" s="87" t="n">
        <v>45873</v>
      </c>
      <c r="V2122" s="3" t="inlineStr">
        <is>
          <t>19</t>
        </is>
      </c>
      <c r="W2122" s="87" t="n">
        <v>45873</v>
      </c>
      <c r="X2122" s="4" t="inlineStr">
        <is>
          <t xml:space="preserve">Bin Humaid National Trading Co </t>
        </is>
      </c>
    </row>
    <row r="2123" ht="24" customHeight="1">
      <c r="A2123" s="2">
        <f>+D2123-S2123</f>
        <v/>
      </c>
      <c r="B2123" s="80" t="n">
        <v>3741</v>
      </c>
      <c r="C2123" s="66" t="n">
        <v>45863</v>
      </c>
      <c r="D2123" s="2" t="n">
        <v>1</v>
      </c>
      <c r="E2123" s="3" t="inlineStr">
        <is>
          <t>FUCILE SEMIAUTOMATICO</t>
        </is>
      </c>
      <c r="F2123" s="3" t="inlineStr">
        <is>
          <t>12</t>
        </is>
      </c>
      <c r="G2123" s="3" t="inlineStr">
        <is>
          <t>FRANCHI</t>
        </is>
      </c>
      <c r="H2123" s="65" t="inlineStr">
        <is>
          <t>AFFINITY 3 30" 3ICK FLAT RIB SYNT</t>
        </is>
      </c>
      <c r="I2123" s="65" t="inlineStr">
        <is>
          <t>BL092276X</t>
        </is>
      </c>
      <c r="J2123" s="65" t="inlineStr">
        <is>
          <t>CL094930X</t>
        </is>
      </c>
      <c r="K2123" s="65" t="inlineStr">
        <is>
          <t>N/D</t>
        </is>
      </c>
      <c r="L2123" s="127" t="inlineStr">
        <is>
          <t>BENELLI ARMI SPA</t>
        </is>
      </c>
      <c r="M2123" s="5" t="n">
        <v>451</v>
      </c>
      <c r="N2123" s="5" t="n"/>
      <c r="O2123" s="5">
        <f>+M2123+N2123</f>
        <v/>
      </c>
      <c r="P2123" s="4" t="n">
        <v>45863</v>
      </c>
      <c r="Q2123" s="87" t="n">
        <v>45856</v>
      </c>
      <c r="R2123" s="5" t="n">
        <v>628.14</v>
      </c>
      <c r="S2123" s="2" t="n">
        <v>1</v>
      </c>
      <c r="T2123" s="3" t="inlineStr">
        <is>
          <t>6B/2025/2S</t>
        </is>
      </c>
      <c r="U2123" s="87" t="n">
        <v>45873</v>
      </c>
      <c r="V2123" s="3" t="inlineStr">
        <is>
          <t>19</t>
        </is>
      </c>
      <c r="W2123" s="87" t="n">
        <v>45873</v>
      </c>
      <c r="X2123" s="4" t="inlineStr">
        <is>
          <t xml:space="preserve">Bin Humaid National Trading Co </t>
        </is>
      </c>
    </row>
    <row r="2124" ht="24" customHeight="1">
      <c r="A2124" s="2">
        <f>+D2124-S2124</f>
        <v/>
      </c>
      <c r="B2124" s="80" t="n">
        <v>3742</v>
      </c>
      <c r="C2124" s="66" t="n">
        <v>45863</v>
      </c>
      <c r="D2124" s="2" t="n">
        <v>1</v>
      </c>
      <c r="E2124" s="3" t="inlineStr">
        <is>
          <t>FUCILE SEMIAUTOMATICO</t>
        </is>
      </c>
      <c r="F2124" s="3" t="inlineStr">
        <is>
          <t>12</t>
        </is>
      </c>
      <c r="G2124" s="3" t="inlineStr">
        <is>
          <t>FRANCHI</t>
        </is>
      </c>
      <c r="H2124" s="65" t="inlineStr">
        <is>
          <t>AFFINITY 3 30" 3ICK FLAT RIB SYNT</t>
        </is>
      </c>
      <c r="I2124" s="65" t="inlineStr">
        <is>
          <t>BL092047S</t>
        </is>
      </c>
      <c r="J2124" s="65" t="inlineStr">
        <is>
          <t>CL094932B</t>
        </is>
      </c>
      <c r="K2124" s="65" t="inlineStr">
        <is>
          <t>N/D</t>
        </is>
      </c>
      <c r="L2124" s="127" t="inlineStr">
        <is>
          <t>BENELLI ARMI SPA</t>
        </is>
      </c>
      <c r="M2124" s="5" t="n">
        <v>451</v>
      </c>
      <c r="N2124" s="5" t="n"/>
      <c r="O2124" s="5">
        <f>+M2124+N2124</f>
        <v/>
      </c>
      <c r="P2124" s="4" t="n">
        <v>45863</v>
      </c>
      <c r="Q2124" s="87" t="n">
        <v>45856</v>
      </c>
      <c r="R2124" s="5" t="n">
        <v>628.14</v>
      </c>
      <c r="S2124" s="2" t="n">
        <v>1</v>
      </c>
      <c r="T2124" s="3" t="inlineStr">
        <is>
          <t>6B/2025/2S</t>
        </is>
      </c>
      <c r="U2124" s="87" t="n">
        <v>45873</v>
      </c>
      <c r="V2124" s="3" t="inlineStr">
        <is>
          <t>19</t>
        </is>
      </c>
      <c r="W2124" s="87" t="n">
        <v>45873</v>
      </c>
      <c r="X2124" s="4" t="inlineStr">
        <is>
          <t xml:space="preserve">Bin Humaid National Trading Co </t>
        </is>
      </c>
    </row>
    <row r="2125" ht="24" customHeight="1">
      <c r="A2125" s="2">
        <f>+D2125-S2125</f>
        <v/>
      </c>
      <c r="B2125" s="80" t="n">
        <v>3743</v>
      </c>
      <c r="C2125" s="66" t="n">
        <v>45863</v>
      </c>
      <c r="D2125" s="2" t="n">
        <v>1</v>
      </c>
      <c r="E2125" s="3" t="inlineStr">
        <is>
          <t>FUCILE SEMIAUTOMATICO</t>
        </is>
      </c>
      <c r="F2125" s="3" t="inlineStr">
        <is>
          <t>12</t>
        </is>
      </c>
      <c r="G2125" s="3" t="inlineStr">
        <is>
          <t>FRANCHI</t>
        </is>
      </c>
      <c r="H2125" s="65" t="inlineStr">
        <is>
          <t>AFFINITY 3 30" 3ICK FLAT RIB SYNT</t>
        </is>
      </c>
      <c r="I2125" s="65" t="inlineStr">
        <is>
          <t>BL092070E</t>
        </is>
      </c>
      <c r="J2125" s="65" t="inlineStr">
        <is>
          <t>CL094931Z</t>
        </is>
      </c>
      <c r="K2125" s="65" t="inlineStr">
        <is>
          <t>N/D</t>
        </is>
      </c>
      <c r="L2125" s="127" t="inlineStr">
        <is>
          <t>BENELLI ARMI SPA</t>
        </is>
      </c>
      <c r="M2125" s="5" t="n">
        <v>451</v>
      </c>
      <c r="N2125" s="5" t="n"/>
      <c r="O2125" s="5">
        <f>+M2125+N2125</f>
        <v/>
      </c>
      <c r="P2125" s="4" t="n">
        <v>45863</v>
      </c>
      <c r="Q2125" s="87" t="n">
        <v>45856</v>
      </c>
      <c r="R2125" s="5" t="n">
        <v>628.14</v>
      </c>
      <c r="S2125" s="2" t="n">
        <v>1</v>
      </c>
      <c r="T2125" s="3" t="inlineStr">
        <is>
          <t>6B/2025/2S</t>
        </is>
      </c>
      <c r="U2125" s="87" t="n">
        <v>45873</v>
      </c>
      <c r="V2125" s="3" t="inlineStr">
        <is>
          <t>19</t>
        </is>
      </c>
      <c r="W2125" s="87" t="n">
        <v>45873</v>
      </c>
      <c r="X2125" s="4" t="inlineStr">
        <is>
          <t xml:space="preserve">Bin Humaid National Trading Co </t>
        </is>
      </c>
    </row>
    <row r="2126" ht="24" customHeight="1">
      <c r="A2126" s="2">
        <f>+D2126-S2126</f>
        <v/>
      </c>
      <c r="B2126" s="80" t="n">
        <v>3744</v>
      </c>
      <c r="C2126" s="66" t="n">
        <v>45863</v>
      </c>
      <c r="D2126" s="2" t="n">
        <v>1</v>
      </c>
      <c r="E2126" s="3" t="inlineStr">
        <is>
          <t>FUCILE SEMIAUTOMATICO</t>
        </is>
      </c>
      <c r="F2126" s="3" t="inlineStr">
        <is>
          <t>12</t>
        </is>
      </c>
      <c r="G2126" s="3" t="inlineStr">
        <is>
          <t>FRANCHI</t>
        </is>
      </c>
      <c r="H2126" s="65" t="inlineStr">
        <is>
          <t>AFFINITY 3 30" 3ICK FLAT RIB SYNT</t>
        </is>
      </c>
      <c r="I2126" s="65" t="inlineStr">
        <is>
          <t>BL092278B</t>
        </is>
      </c>
      <c r="J2126" s="65" t="inlineStr">
        <is>
          <t>CL094933D</t>
        </is>
      </c>
      <c r="K2126" s="65" t="inlineStr">
        <is>
          <t>N/D</t>
        </is>
      </c>
      <c r="L2126" s="127" t="inlineStr">
        <is>
          <t>BENELLI ARMI SPA</t>
        </is>
      </c>
      <c r="M2126" s="5" t="n">
        <v>451</v>
      </c>
      <c r="N2126" s="5" t="n"/>
      <c r="O2126" s="5">
        <f>+M2126+N2126</f>
        <v/>
      </c>
      <c r="P2126" s="4" t="n">
        <v>45863</v>
      </c>
      <c r="Q2126" s="87" t="n">
        <v>45856</v>
      </c>
      <c r="R2126" s="5" t="n">
        <v>628.14</v>
      </c>
      <c r="S2126" s="2" t="n">
        <v>1</v>
      </c>
      <c r="T2126" s="3" t="inlineStr">
        <is>
          <t>6B/2025/2S</t>
        </is>
      </c>
      <c r="U2126" s="87" t="n">
        <v>45873</v>
      </c>
      <c r="V2126" s="3" t="inlineStr">
        <is>
          <t>19</t>
        </is>
      </c>
      <c r="W2126" s="87" t="n">
        <v>45873</v>
      </c>
      <c r="X2126" s="4" t="inlineStr">
        <is>
          <t xml:space="preserve">Bin Humaid National Trading Co </t>
        </is>
      </c>
    </row>
    <row r="2127" ht="24" customHeight="1">
      <c r="A2127" s="2">
        <f>+D2127-S2127</f>
        <v/>
      </c>
      <c r="B2127" s="80" t="n">
        <v>3745</v>
      </c>
      <c r="C2127" s="66" t="n">
        <v>45863</v>
      </c>
      <c r="D2127" s="2" t="n">
        <v>1</v>
      </c>
      <c r="E2127" s="3" t="inlineStr">
        <is>
          <t>FUCILE SEMIAUTOMATICO</t>
        </is>
      </c>
      <c r="F2127" s="3" t="inlineStr">
        <is>
          <t>12</t>
        </is>
      </c>
      <c r="G2127" s="3" t="inlineStr">
        <is>
          <t>FRANCHI</t>
        </is>
      </c>
      <c r="H2127" s="65" t="inlineStr">
        <is>
          <t>AFFINITY 3 30" 3ICK FLAT RIB SYNT</t>
        </is>
      </c>
      <c r="I2127" s="65" t="inlineStr">
        <is>
          <t>BL092277Z</t>
        </is>
      </c>
      <c r="J2127" s="65" t="inlineStr">
        <is>
          <t>CL094939S</t>
        </is>
      </c>
      <c r="K2127" s="65" t="inlineStr">
        <is>
          <t>N/D</t>
        </is>
      </c>
      <c r="L2127" s="127" t="inlineStr">
        <is>
          <t>BENELLI ARMI SPA</t>
        </is>
      </c>
      <c r="M2127" s="5" t="n">
        <v>451</v>
      </c>
      <c r="N2127" s="5" t="n"/>
      <c r="O2127" s="5">
        <f>+M2127+N2127</f>
        <v/>
      </c>
      <c r="P2127" s="4" t="n">
        <v>45863</v>
      </c>
      <c r="Q2127" s="87" t="n">
        <v>45856</v>
      </c>
      <c r="R2127" s="5" t="n">
        <v>628.14</v>
      </c>
      <c r="S2127" s="2" t="n">
        <v>1</v>
      </c>
      <c r="T2127" s="3" t="inlineStr">
        <is>
          <t>6B/2025/2S</t>
        </is>
      </c>
      <c r="U2127" s="87" t="n">
        <v>45873</v>
      </c>
      <c r="V2127" s="3" t="inlineStr">
        <is>
          <t>19</t>
        </is>
      </c>
      <c r="W2127" s="87" t="n">
        <v>45873</v>
      </c>
      <c r="X2127" s="4" t="inlineStr">
        <is>
          <t xml:space="preserve">Bin Humaid National Trading Co </t>
        </is>
      </c>
    </row>
    <row r="2128" ht="24" customHeight="1">
      <c r="A2128" s="2">
        <f>+D2128-S2128</f>
        <v/>
      </c>
      <c r="B2128" s="80" t="n">
        <v>3746</v>
      </c>
      <c r="C2128" s="66" t="n">
        <v>45863</v>
      </c>
      <c r="D2128" s="2" t="n">
        <v>1</v>
      </c>
      <c r="E2128" s="3" t="inlineStr">
        <is>
          <t>FUCILE SEMIAUTOMATICO</t>
        </is>
      </c>
      <c r="F2128" s="3" t="inlineStr">
        <is>
          <t>12</t>
        </is>
      </c>
      <c r="G2128" s="3" t="inlineStr">
        <is>
          <t>FRANCHI</t>
        </is>
      </c>
      <c r="H2128" s="65" t="inlineStr">
        <is>
          <t>AFFINITY 3 30" 3ICK FLAT RIB SYNT</t>
        </is>
      </c>
      <c r="I2128" s="65" t="inlineStr">
        <is>
          <t>BL092280K</t>
        </is>
      </c>
      <c r="J2128" s="65" t="inlineStr">
        <is>
          <t>CL094945K</t>
        </is>
      </c>
      <c r="K2128" s="65" t="inlineStr">
        <is>
          <t>N/D</t>
        </is>
      </c>
      <c r="L2128" s="127" t="inlineStr">
        <is>
          <t>BENELLI ARMI SPA</t>
        </is>
      </c>
      <c r="M2128" s="5" t="n">
        <v>451</v>
      </c>
      <c r="N2128" s="5" t="n"/>
      <c r="O2128" s="5">
        <f>+M2128+N2128</f>
        <v/>
      </c>
      <c r="P2128" s="4" t="n">
        <v>45863</v>
      </c>
      <c r="Q2128" s="87" t="n">
        <v>45856</v>
      </c>
      <c r="R2128" s="5" t="n">
        <v>628.14</v>
      </c>
      <c r="S2128" s="2" t="n">
        <v>1</v>
      </c>
      <c r="T2128" s="3" t="inlineStr">
        <is>
          <t>6B/2025/2S</t>
        </is>
      </c>
      <c r="U2128" s="87" t="n">
        <v>45873</v>
      </c>
      <c r="V2128" s="3" t="inlineStr">
        <is>
          <t>19</t>
        </is>
      </c>
      <c r="W2128" s="87" t="n">
        <v>45873</v>
      </c>
      <c r="X2128" s="4" t="inlineStr">
        <is>
          <t xml:space="preserve">Bin Humaid National Trading Co </t>
        </is>
      </c>
    </row>
    <row r="2129" ht="24" customHeight="1">
      <c r="A2129" s="2">
        <f>+D2129-S2129</f>
        <v/>
      </c>
      <c r="B2129" s="80" t="n">
        <v>3747</v>
      </c>
      <c r="C2129" s="66" t="n">
        <v>45863</v>
      </c>
      <c r="D2129" s="2" t="n">
        <v>1</v>
      </c>
      <c r="E2129" s="3" t="inlineStr">
        <is>
          <t>FUCILE SEMIAUTOMATICO</t>
        </is>
      </c>
      <c r="F2129" s="3" t="inlineStr">
        <is>
          <t>12</t>
        </is>
      </c>
      <c r="G2129" s="3" t="inlineStr">
        <is>
          <t>FRANCHI</t>
        </is>
      </c>
      <c r="H2129" s="65" t="inlineStr">
        <is>
          <t>AFFINITY 3 30" 3ICK FLAT RIB SYNT</t>
        </is>
      </c>
      <c r="I2129" s="65" t="inlineStr">
        <is>
          <t>BL092281M</t>
        </is>
      </c>
      <c r="J2129" s="65" t="inlineStr">
        <is>
          <t>CL094938Q</t>
        </is>
      </c>
      <c r="K2129" s="65" t="inlineStr">
        <is>
          <t>N/D</t>
        </is>
      </c>
      <c r="L2129" s="127" t="inlineStr">
        <is>
          <t>BENELLI ARMI SPA</t>
        </is>
      </c>
      <c r="M2129" s="5" t="n">
        <v>451</v>
      </c>
      <c r="N2129" s="5" t="n"/>
      <c r="O2129" s="5">
        <f>+M2129+N2129</f>
        <v/>
      </c>
      <c r="P2129" s="4" t="n">
        <v>45863</v>
      </c>
      <c r="Q2129" s="87" t="n">
        <v>45856</v>
      </c>
      <c r="R2129" s="5" t="n">
        <v>628.14</v>
      </c>
      <c r="S2129" s="2" t="n">
        <v>1</v>
      </c>
      <c r="T2129" s="3" t="inlineStr">
        <is>
          <t>6B/2025/2S</t>
        </is>
      </c>
      <c r="U2129" s="87" t="n">
        <v>45873</v>
      </c>
      <c r="V2129" s="3" t="inlineStr">
        <is>
          <t>19</t>
        </is>
      </c>
      <c r="W2129" s="87" t="n">
        <v>45873</v>
      </c>
      <c r="X2129" s="4" t="inlineStr">
        <is>
          <t xml:space="preserve">Bin Humaid National Trading Co </t>
        </is>
      </c>
    </row>
    <row r="2130" ht="24" customHeight="1">
      <c r="A2130" s="2">
        <f>+D2130-S2130</f>
        <v/>
      </c>
      <c r="B2130" s="80" t="n">
        <v>3748</v>
      </c>
      <c r="C2130" s="66" t="n">
        <v>45863</v>
      </c>
      <c r="D2130" s="2" t="n">
        <v>1</v>
      </c>
      <c r="E2130" s="3" t="inlineStr">
        <is>
          <t>FUCILE SEMIAUTOMATICO</t>
        </is>
      </c>
      <c r="F2130" s="3" t="inlineStr">
        <is>
          <t>12</t>
        </is>
      </c>
      <c r="G2130" s="3" t="inlineStr">
        <is>
          <t>FRANCHI</t>
        </is>
      </c>
      <c r="H2130" s="65" t="inlineStr">
        <is>
          <t>AFFINITY 3 30" 3ICK FLAT RIB SYNT</t>
        </is>
      </c>
      <c r="I2130" s="65" t="inlineStr">
        <is>
          <t>BL092282P</t>
        </is>
      </c>
      <c r="J2130" s="65" t="inlineStr">
        <is>
          <t>CL094944G</t>
        </is>
      </c>
      <c r="K2130" s="65" t="inlineStr">
        <is>
          <t>N/D</t>
        </is>
      </c>
      <c r="L2130" s="127" t="inlineStr">
        <is>
          <t>BENELLI ARMI SPA</t>
        </is>
      </c>
      <c r="M2130" s="5" t="n">
        <v>451</v>
      </c>
      <c r="N2130" s="5" t="n"/>
      <c r="O2130" s="5">
        <f>+M2130+N2130</f>
        <v/>
      </c>
      <c r="P2130" s="4" t="n">
        <v>45863</v>
      </c>
      <c r="Q2130" s="87" t="n">
        <v>45856</v>
      </c>
      <c r="R2130" s="5" t="n">
        <v>628.14</v>
      </c>
      <c r="S2130" s="2" t="n">
        <v>1</v>
      </c>
      <c r="T2130" s="3" t="inlineStr">
        <is>
          <t>6B/2025/2S</t>
        </is>
      </c>
      <c r="U2130" s="87" t="n">
        <v>45873</v>
      </c>
      <c r="V2130" s="3" t="inlineStr">
        <is>
          <t>19</t>
        </is>
      </c>
      <c r="W2130" s="87" t="n">
        <v>45873</v>
      </c>
      <c r="X2130" s="4" t="inlineStr">
        <is>
          <t xml:space="preserve">Bin Humaid National Trading Co </t>
        </is>
      </c>
    </row>
    <row r="2131" ht="24" customHeight="1">
      <c r="A2131" s="2">
        <f>+D2131-S2131</f>
        <v/>
      </c>
      <c r="B2131" s="80" t="n">
        <v>3749</v>
      </c>
      <c r="C2131" s="66" t="n">
        <v>45863</v>
      </c>
      <c r="D2131" s="2" t="n">
        <v>1</v>
      </c>
      <c r="E2131" s="3" t="inlineStr">
        <is>
          <t>FUCILE SEMIAUTOMATICO</t>
        </is>
      </c>
      <c r="F2131" s="3" t="inlineStr">
        <is>
          <t>12</t>
        </is>
      </c>
      <c r="G2131" s="3" t="inlineStr">
        <is>
          <t>FRANCHI</t>
        </is>
      </c>
      <c r="H2131" s="65" t="inlineStr">
        <is>
          <t>AFFINITY 3 30" 3ICK FLAT RIB SYNT</t>
        </is>
      </c>
      <c r="I2131" s="65" t="inlineStr">
        <is>
          <t>BL092283R</t>
        </is>
      </c>
      <c r="J2131" s="65" t="inlineStr">
        <is>
          <t>CL094936L</t>
        </is>
      </c>
      <c r="K2131" s="65" t="inlineStr">
        <is>
          <t>N/D</t>
        </is>
      </c>
      <c r="L2131" s="127" t="inlineStr">
        <is>
          <t>BENELLI ARMI SPA</t>
        </is>
      </c>
      <c r="M2131" s="5" t="n">
        <v>451</v>
      </c>
      <c r="N2131" s="5" t="n"/>
      <c r="O2131" s="5">
        <f>+M2131+N2131</f>
        <v/>
      </c>
      <c r="P2131" s="4" t="n">
        <v>45863</v>
      </c>
      <c r="Q2131" s="87" t="n">
        <v>45856</v>
      </c>
      <c r="R2131" s="5" t="n">
        <v>628.14</v>
      </c>
      <c r="S2131" s="2" t="n">
        <v>1</v>
      </c>
      <c r="T2131" s="3" t="inlineStr">
        <is>
          <t>6B/2025/2S</t>
        </is>
      </c>
      <c r="U2131" s="87" t="n">
        <v>45873</v>
      </c>
      <c r="V2131" s="3" t="inlineStr">
        <is>
          <t>19</t>
        </is>
      </c>
      <c r="W2131" s="87" t="n">
        <v>45873</v>
      </c>
      <c r="X2131" s="4" t="inlineStr">
        <is>
          <t xml:space="preserve">Bin Humaid National Trading Co </t>
        </is>
      </c>
    </row>
    <row r="2132" ht="24" customHeight="1">
      <c r="A2132" s="2">
        <f>+D2132-S2132</f>
        <v/>
      </c>
      <c r="B2132" s="80" t="n">
        <v>3750</v>
      </c>
      <c r="C2132" s="66" t="n">
        <v>45863</v>
      </c>
      <c r="D2132" s="2" t="n">
        <v>1</v>
      </c>
      <c r="E2132" s="3" t="inlineStr">
        <is>
          <t>FUCILE SEMIAUTOMATICO</t>
        </is>
      </c>
      <c r="F2132" s="3" t="inlineStr">
        <is>
          <t>12</t>
        </is>
      </c>
      <c r="G2132" s="3" t="inlineStr">
        <is>
          <t>FRANCHI</t>
        </is>
      </c>
      <c r="H2132" s="65" t="inlineStr">
        <is>
          <t>AFFINITY 3 30" 3ICK FLAT RIB SYNT</t>
        </is>
      </c>
      <c r="I2132" s="65" t="inlineStr">
        <is>
          <t>BL092284T</t>
        </is>
      </c>
      <c r="J2132" s="65" t="inlineStr">
        <is>
          <t>CL094937N</t>
        </is>
      </c>
      <c r="K2132" s="65" t="inlineStr">
        <is>
          <t>N/D</t>
        </is>
      </c>
      <c r="L2132" s="127" t="inlineStr">
        <is>
          <t>BENELLI ARMI SPA</t>
        </is>
      </c>
      <c r="M2132" s="5" t="n">
        <v>451</v>
      </c>
      <c r="N2132" s="5" t="n"/>
      <c r="O2132" s="5">
        <f>+M2132+N2132</f>
        <v/>
      </c>
      <c r="P2132" s="4" t="n">
        <v>45863</v>
      </c>
      <c r="Q2132" s="87" t="n">
        <v>45856</v>
      </c>
      <c r="R2132" s="5" t="n">
        <v>628.14</v>
      </c>
      <c r="S2132" s="2" t="n">
        <v>1</v>
      </c>
      <c r="T2132" s="3" t="inlineStr">
        <is>
          <t>6B/2025/2S</t>
        </is>
      </c>
      <c r="U2132" s="87" t="n">
        <v>45873</v>
      </c>
      <c r="V2132" s="3" t="inlineStr">
        <is>
          <t>19</t>
        </is>
      </c>
      <c r="W2132" s="87" t="n">
        <v>45873</v>
      </c>
      <c r="X2132" s="4" t="inlineStr">
        <is>
          <t xml:space="preserve">Bin Humaid National Trading Co </t>
        </is>
      </c>
    </row>
    <row r="2133" ht="24" customHeight="1">
      <c r="A2133" s="2">
        <f>+D2133-S2133</f>
        <v/>
      </c>
      <c r="B2133" s="80" t="n">
        <v>3751</v>
      </c>
      <c r="C2133" s="66" t="n">
        <v>45863</v>
      </c>
      <c r="D2133" s="2" t="n">
        <v>1</v>
      </c>
      <c r="E2133" s="3" t="inlineStr">
        <is>
          <t>FUCILE SEMIAUTOMATICO</t>
        </is>
      </c>
      <c r="F2133" s="3" t="inlineStr">
        <is>
          <t>12</t>
        </is>
      </c>
      <c r="G2133" s="3" t="inlineStr">
        <is>
          <t>FRANCHI</t>
        </is>
      </c>
      <c r="H2133" s="65" t="inlineStr">
        <is>
          <t>AFFINITY 3 30" 3ICK FLAT RIB SYNT</t>
        </is>
      </c>
      <c r="I2133" s="65" t="inlineStr">
        <is>
          <t>BL092285W</t>
        </is>
      </c>
      <c r="J2133" s="65" t="inlineStr">
        <is>
          <t>CL094935J</t>
        </is>
      </c>
      <c r="K2133" s="65" t="inlineStr">
        <is>
          <t>N/D</t>
        </is>
      </c>
      <c r="L2133" s="127" t="inlineStr">
        <is>
          <t>BENELLI ARMI SPA</t>
        </is>
      </c>
      <c r="M2133" s="5" t="n">
        <v>451</v>
      </c>
      <c r="N2133" s="5" t="n"/>
      <c r="O2133" s="5">
        <f>+M2133+N2133</f>
        <v/>
      </c>
      <c r="P2133" s="4" t="n">
        <v>45863</v>
      </c>
      <c r="Q2133" s="87" t="n">
        <v>45856</v>
      </c>
      <c r="R2133" s="5" t="n">
        <v>628.14</v>
      </c>
      <c r="S2133" s="2" t="n">
        <v>1</v>
      </c>
      <c r="T2133" s="3" t="inlineStr">
        <is>
          <t>6B/2025/2S</t>
        </is>
      </c>
      <c r="U2133" s="87" t="n">
        <v>45873</v>
      </c>
      <c r="V2133" s="3" t="inlineStr">
        <is>
          <t>19</t>
        </is>
      </c>
      <c r="W2133" s="87" t="n">
        <v>45873</v>
      </c>
      <c r="X2133" s="4" t="inlineStr">
        <is>
          <t xml:space="preserve">Bin Humaid National Trading Co </t>
        </is>
      </c>
    </row>
    <row r="2134" ht="24" customHeight="1">
      <c r="A2134" s="2">
        <f>+D2134-S2134</f>
        <v/>
      </c>
      <c r="B2134" s="80" t="n">
        <v>3752</v>
      </c>
      <c r="C2134" s="66" t="n">
        <v>45863</v>
      </c>
      <c r="D2134" s="2" t="n">
        <v>1</v>
      </c>
      <c r="E2134" s="3" t="inlineStr">
        <is>
          <t>FUCILE SEMIAUTOMATICO</t>
        </is>
      </c>
      <c r="F2134" s="3" t="inlineStr">
        <is>
          <t>12</t>
        </is>
      </c>
      <c r="G2134" s="3" t="inlineStr">
        <is>
          <t>FRANCHI</t>
        </is>
      </c>
      <c r="H2134" s="65" t="inlineStr">
        <is>
          <t>AFFINITY 3 30" 3ICK FLAT RIB SYNT</t>
        </is>
      </c>
      <c r="I2134" s="65" t="inlineStr">
        <is>
          <t>BL092286Y</t>
        </is>
      </c>
      <c r="J2134" s="65" t="inlineStr">
        <is>
          <t>CL094934F</t>
        </is>
      </c>
      <c r="K2134" s="65" t="inlineStr">
        <is>
          <t>N/D</t>
        </is>
      </c>
      <c r="L2134" s="127" t="inlineStr">
        <is>
          <t>BENELLI ARMI SPA</t>
        </is>
      </c>
      <c r="M2134" s="5" t="n">
        <v>451</v>
      </c>
      <c r="N2134" s="5" t="n"/>
      <c r="O2134" s="5">
        <f>+M2134+N2134</f>
        <v/>
      </c>
      <c r="P2134" s="4" t="n">
        <v>45863</v>
      </c>
      <c r="Q2134" s="87" t="n">
        <v>45856</v>
      </c>
      <c r="R2134" s="5" t="n">
        <v>628.14</v>
      </c>
      <c r="S2134" s="2" t="n">
        <v>1</v>
      </c>
      <c r="T2134" s="3" t="inlineStr">
        <is>
          <t>6B/2025/2S</t>
        </is>
      </c>
      <c r="U2134" s="87" t="n">
        <v>45873</v>
      </c>
      <c r="V2134" s="3" t="inlineStr">
        <is>
          <t>19</t>
        </is>
      </c>
      <c r="W2134" s="87" t="n">
        <v>45873</v>
      </c>
      <c r="X2134" s="4" t="inlineStr">
        <is>
          <t xml:space="preserve">Bin Humaid National Trading Co </t>
        </is>
      </c>
    </row>
    <row r="2135" ht="24" customHeight="1">
      <c r="A2135" s="2">
        <f>+D2135-S2135</f>
        <v/>
      </c>
      <c r="B2135" s="80" t="n">
        <v>3753</v>
      </c>
      <c r="C2135" s="66" t="n">
        <v>45863</v>
      </c>
      <c r="D2135" s="2" t="n">
        <v>1</v>
      </c>
      <c r="E2135" s="3" t="inlineStr">
        <is>
          <t>FUCILE SEMIAUTOMATICO</t>
        </is>
      </c>
      <c r="F2135" s="3" t="inlineStr">
        <is>
          <t>12</t>
        </is>
      </c>
      <c r="G2135" s="3" t="inlineStr">
        <is>
          <t>FRANCHI</t>
        </is>
      </c>
      <c r="H2135" s="65" t="inlineStr">
        <is>
          <t>AFFINITY 3 30" 3ICK FLAT RIB SYNT</t>
        </is>
      </c>
      <c r="I2135" s="65" t="inlineStr">
        <is>
          <t>BL092287A</t>
        </is>
      </c>
      <c r="J2135" s="65" t="inlineStr">
        <is>
          <t>CL094943E</t>
        </is>
      </c>
      <c r="K2135" s="65" t="inlineStr">
        <is>
          <t>N/D</t>
        </is>
      </c>
      <c r="L2135" s="127" t="inlineStr">
        <is>
          <t>BENELLI ARMI SPA</t>
        </is>
      </c>
      <c r="M2135" s="5" t="n">
        <v>451</v>
      </c>
      <c r="N2135" s="5" t="n"/>
      <c r="O2135" s="5">
        <f>+M2135+N2135</f>
        <v/>
      </c>
      <c r="P2135" s="4" t="n">
        <v>45863</v>
      </c>
      <c r="Q2135" s="87" t="n">
        <v>45856</v>
      </c>
      <c r="R2135" s="5" t="n">
        <v>628.14</v>
      </c>
      <c r="S2135" s="2" t="n">
        <v>1</v>
      </c>
      <c r="T2135" s="3" t="inlineStr">
        <is>
          <t>6B/2025/2S</t>
        </is>
      </c>
      <c r="U2135" s="87" t="n">
        <v>45873</v>
      </c>
      <c r="V2135" s="3" t="inlineStr">
        <is>
          <t>19</t>
        </is>
      </c>
      <c r="W2135" s="87" t="n">
        <v>45873</v>
      </c>
      <c r="X2135" s="4" t="inlineStr">
        <is>
          <t xml:space="preserve">Bin Humaid National Trading Co </t>
        </is>
      </c>
    </row>
    <row r="2136" ht="24" customHeight="1">
      <c r="A2136" s="2">
        <f>+D2136-S2136</f>
        <v/>
      </c>
      <c r="B2136" s="80" t="n">
        <v>3754</v>
      </c>
      <c r="C2136" s="66" t="n">
        <v>45863</v>
      </c>
      <c r="D2136" s="2" t="n">
        <v>1</v>
      </c>
      <c r="E2136" s="3" t="inlineStr">
        <is>
          <t>FUCILE SEMIAUTOMATICO</t>
        </is>
      </c>
      <c r="F2136" s="3" t="inlineStr">
        <is>
          <t>12</t>
        </is>
      </c>
      <c r="G2136" s="3" t="inlineStr">
        <is>
          <t>FRANCHI</t>
        </is>
      </c>
      <c r="H2136" s="65" t="inlineStr">
        <is>
          <t>AFFINITY 3 30" 3ICK FLAT RIB SYNT</t>
        </is>
      </c>
      <c r="I2136" s="65" t="inlineStr">
        <is>
          <t>BL092288C</t>
        </is>
      </c>
      <c r="J2136" s="65" t="inlineStr">
        <is>
          <t>CL094942C</t>
        </is>
      </c>
      <c r="K2136" s="65" t="inlineStr">
        <is>
          <t>N/D</t>
        </is>
      </c>
      <c r="L2136" s="127" t="inlineStr">
        <is>
          <t>BENELLI ARMI SPA</t>
        </is>
      </c>
      <c r="M2136" s="5" t="n">
        <v>451</v>
      </c>
      <c r="N2136" s="5" t="n"/>
      <c r="O2136" s="5">
        <f>+M2136+N2136</f>
        <v/>
      </c>
      <c r="P2136" s="4" t="n">
        <v>45863</v>
      </c>
      <c r="Q2136" s="87" t="n">
        <v>45856</v>
      </c>
      <c r="R2136" s="5" t="n">
        <v>628.14</v>
      </c>
      <c r="S2136" s="2" t="n">
        <v>1</v>
      </c>
      <c r="T2136" s="3" t="inlineStr">
        <is>
          <t>6B/2025/2S</t>
        </is>
      </c>
      <c r="U2136" s="87" t="n">
        <v>45873</v>
      </c>
      <c r="V2136" s="3" t="inlineStr">
        <is>
          <t>19</t>
        </is>
      </c>
      <c r="W2136" s="87" t="n">
        <v>45873</v>
      </c>
      <c r="X2136" s="4" t="inlineStr">
        <is>
          <t xml:space="preserve">Bin Humaid National Trading Co </t>
        </is>
      </c>
    </row>
    <row r="2137" ht="24" customHeight="1">
      <c r="A2137" s="2">
        <f>+D2137-S2137</f>
        <v/>
      </c>
      <c r="B2137" s="80" t="n">
        <v>3755</v>
      </c>
      <c r="C2137" s="66" t="n">
        <v>45863</v>
      </c>
      <c r="D2137" s="2" t="n">
        <v>1</v>
      </c>
      <c r="E2137" s="3" t="inlineStr">
        <is>
          <t>FUCILE SEMIAUTOMATICO</t>
        </is>
      </c>
      <c r="F2137" s="3" t="inlineStr">
        <is>
          <t>12</t>
        </is>
      </c>
      <c r="G2137" s="3" t="inlineStr">
        <is>
          <t>FRANCHI</t>
        </is>
      </c>
      <c r="H2137" s="65" t="inlineStr">
        <is>
          <t>AFFINITY 3 30" 3ICK FLAT RIB SYNT</t>
        </is>
      </c>
      <c r="I2137" s="65" t="inlineStr">
        <is>
          <t>BL092289E</t>
        </is>
      </c>
      <c r="J2137" s="65" t="inlineStr">
        <is>
          <t>CL094941A</t>
        </is>
      </c>
      <c r="K2137" s="65" t="inlineStr">
        <is>
          <t>N/D</t>
        </is>
      </c>
      <c r="L2137" s="127" t="inlineStr">
        <is>
          <t>BENELLI ARMI SPA</t>
        </is>
      </c>
      <c r="M2137" s="5" t="n">
        <v>451</v>
      </c>
      <c r="N2137" s="5" t="n"/>
      <c r="O2137" s="5">
        <f>+M2137+N2137</f>
        <v/>
      </c>
      <c r="P2137" s="4" t="n">
        <v>45863</v>
      </c>
      <c r="Q2137" s="87" t="n">
        <v>45856</v>
      </c>
      <c r="R2137" s="5" t="n">
        <v>628.14</v>
      </c>
      <c r="S2137" s="2" t="n">
        <v>1</v>
      </c>
      <c r="T2137" s="3" t="inlineStr">
        <is>
          <t>6B/2025/2S</t>
        </is>
      </c>
      <c r="U2137" s="87" t="n">
        <v>45873</v>
      </c>
      <c r="V2137" s="3" t="inlineStr">
        <is>
          <t>19</t>
        </is>
      </c>
      <c r="W2137" s="87" t="n">
        <v>45873</v>
      </c>
      <c r="X2137" s="4" t="inlineStr">
        <is>
          <t xml:space="preserve">Bin Humaid National Trading Co </t>
        </is>
      </c>
    </row>
    <row r="2138" ht="24" customHeight="1">
      <c r="A2138" s="2">
        <f>+D2138-S2138</f>
        <v/>
      </c>
      <c r="B2138" s="80" t="n">
        <v>3756</v>
      </c>
      <c r="C2138" s="66" t="n">
        <v>45863</v>
      </c>
      <c r="D2138" s="2" t="n">
        <v>1</v>
      </c>
      <c r="E2138" s="3" t="inlineStr">
        <is>
          <t>FUCILE SEMIAUTOMATICO</t>
        </is>
      </c>
      <c r="F2138" s="3" t="inlineStr">
        <is>
          <t>12</t>
        </is>
      </c>
      <c r="G2138" s="3" t="inlineStr">
        <is>
          <t>FRANCHI</t>
        </is>
      </c>
      <c r="H2138" s="65" t="inlineStr">
        <is>
          <t>AFFINITY 3 30" 3ICK FLAT RIB SYNT</t>
        </is>
      </c>
      <c r="I2138" s="65" t="inlineStr">
        <is>
          <t>BL092260H</t>
        </is>
      </c>
      <c r="J2138" s="65" t="inlineStr">
        <is>
          <t>CL094940Y</t>
        </is>
      </c>
      <c r="K2138" s="65" t="inlineStr">
        <is>
          <t>N/D</t>
        </is>
      </c>
      <c r="L2138" s="127" t="inlineStr">
        <is>
          <t>BENELLI ARMI SPA</t>
        </is>
      </c>
      <c r="M2138" s="5" t="n">
        <v>451</v>
      </c>
      <c r="N2138" s="5" t="n"/>
      <c r="O2138" s="5">
        <f>+M2138+N2138</f>
        <v/>
      </c>
      <c r="P2138" s="4" t="n">
        <v>45863</v>
      </c>
      <c r="Q2138" s="87" t="n">
        <v>45856</v>
      </c>
      <c r="R2138" s="5" t="n">
        <v>628.14</v>
      </c>
      <c r="S2138" s="2" t="n">
        <v>1</v>
      </c>
      <c r="T2138" s="3" t="inlineStr">
        <is>
          <t>6B/2025/2S</t>
        </is>
      </c>
      <c r="U2138" s="87" t="n">
        <v>45873</v>
      </c>
      <c r="V2138" s="3" t="inlineStr">
        <is>
          <t>19</t>
        </is>
      </c>
      <c r="W2138" s="87" t="n">
        <v>45873</v>
      </c>
      <c r="X2138" s="4" t="inlineStr">
        <is>
          <t xml:space="preserve">Bin Humaid National Trading Co </t>
        </is>
      </c>
    </row>
    <row r="2139" ht="24" customHeight="1">
      <c r="A2139" s="2">
        <f>+D2139-S2139</f>
        <v/>
      </c>
      <c r="B2139" s="80" t="n">
        <v>3757</v>
      </c>
      <c r="C2139" s="66" t="n">
        <v>45863</v>
      </c>
      <c r="D2139" s="2" t="n">
        <v>1</v>
      </c>
      <c r="E2139" s="3" t="inlineStr">
        <is>
          <t>FUCILE SEMIAUTOMATICO</t>
        </is>
      </c>
      <c r="F2139" s="3" t="inlineStr">
        <is>
          <t>12</t>
        </is>
      </c>
      <c r="G2139" s="3" t="inlineStr">
        <is>
          <t>FRANCHI</t>
        </is>
      </c>
      <c r="H2139" s="65" t="inlineStr">
        <is>
          <t>AFFINITY 3 30" 3ICK FLAT RIB SYNT</t>
        </is>
      </c>
      <c r="I2139" s="65" t="inlineStr">
        <is>
          <t>BL092202F</t>
        </is>
      </c>
      <c r="J2139" s="65" t="inlineStr">
        <is>
          <t>CL094929R</t>
        </is>
      </c>
      <c r="K2139" s="65" t="inlineStr">
        <is>
          <t>N/D</t>
        </is>
      </c>
      <c r="L2139" s="127" t="inlineStr">
        <is>
          <t>BENELLI ARMI SPA</t>
        </is>
      </c>
      <c r="M2139" s="5" t="n">
        <v>451</v>
      </c>
      <c r="N2139" s="5" t="n"/>
      <c r="O2139" s="5">
        <f>+M2139+N2139</f>
        <v/>
      </c>
      <c r="P2139" s="4" t="n">
        <v>45863</v>
      </c>
      <c r="Q2139" s="87" t="n">
        <v>45856</v>
      </c>
      <c r="R2139" s="5" t="n">
        <v>628.14</v>
      </c>
      <c r="S2139" s="2" t="n">
        <v>1</v>
      </c>
      <c r="T2139" s="3" t="inlineStr">
        <is>
          <t>6B/2025/2S</t>
        </is>
      </c>
      <c r="U2139" s="87" t="n">
        <v>45873</v>
      </c>
      <c r="V2139" s="3" t="inlineStr">
        <is>
          <t>19</t>
        </is>
      </c>
      <c r="W2139" s="87" t="n">
        <v>45873</v>
      </c>
      <c r="X2139" s="4" t="inlineStr">
        <is>
          <t xml:space="preserve">Bin Humaid National Trading Co </t>
        </is>
      </c>
    </row>
    <row r="2140" ht="24" customHeight="1">
      <c r="A2140" s="2">
        <f>+D2140-S2140</f>
        <v/>
      </c>
      <c r="B2140" s="80" t="n">
        <v>3758</v>
      </c>
      <c r="C2140" s="66" t="n">
        <v>45863</v>
      </c>
      <c r="D2140" s="2" t="n">
        <v>1</v>
      </c>
      <c r="E2140" s="3" t="inlineStr">
        <is>
          <t>FUCILE SEMIAUTOMATICO</t>
        </is>
      </c>
      <c r="F2140" s="3" t="inlineStr">
        <is>
          <t>12</t>
        </is>
      </c>
      <c r="G2140" s="3" t="inlineStr">
        <is>
          <t>FRANCHI</t>
        </is>
      </c>
      <c r="H2140" s="65" t="inlineStr">
        <is>
          <t>AFFINITY 3 30" 3ICK FLAT RIB SYNT</t>
        </is>
      </c>
      <c r="I2140" s="65" t="inlineStr">
        <is>
          <t>BL092205N</t>
        </is>
      </c>
      <c r="J2140" s="65" t="inlineStr">
        <is>
          <t>CL094871B</t>
        </is>
      </c>
      <c r="K2140" s="65" t="inlineStr">
        <is>
          <t>N/D</t>
        </is>
      </c>
      <c r="L2140" s="127" t="inlineStr">
        <is>
          <t>BENELLI ARMI SPA</t>
        </is>
      </c>
      <c r="M2140" s="5" t="n">
        <v>451</v>
      </c>
      <c r="N2140" s="5" t="n"/>
      <c r="O2140" s="5">
        <f>+M2140+N2140</f>
        <v/>
      </c>
      <c r="P2140" s="4" t="n">
        <v>45863</v>
      </c>
      <c r="Q2140" s="87" t="n">
        <v>45856</v>
      </c>
      <c r="R2140" s="5" t="n">
        <v>628.14</v>
      </c>
      <c r="S2140" s="2" t="n">
        <v>1</v>
      </c>
      <c r="T2140" s="3" t="inlineStr">
        <is>
          <t>6B/2025/2S</t>
        </is>
      </c>
      <c r="U2140" s="87" t="n">
        <v>45873</v>
      </c>
      <c r="V2140" s="3" t="inlineStr">
        <is>
          <t>19</t>
        </is>
      </c>
      <c r="W2140" s="87" t="n">
        <v>45873</v>
      </c>
      <c r="X2140" s="4" t="inlineStr">
        <is>
          <t xml:space="preserve">Bin Humaid National Trading Co </t>
        </is>
      </c>
    </row>
    <row r="2141" ht="24" customHeight="1">
      <c r="A2141" s="2">
        <f>+D2141-S2141</f>
        <v/>
      </c>
      <c r="B2141" s="80" t="n">
        <v>3759</v>
      </c>
      <c r="C2141" s="66" t="n">
        <v>45863</v>
      </c>
      <c r="D2141" s="2" t="n">
        <v>1</v>
      </c>
      <c r="E2141" s="3" t="inlineStr">
        <is>
          <t>FUCILE SEMIAUTOMATICO</t>
        </is>
      </c>
      <c r="F2141" s="3" t="inlineStr">
        <is>
          <t>12</t>
        </is>
      </c>
      <c r="G2141" s="3" t="inlineStr">
        <is>
          <t>FRANCHI</t>
        </is>
      </c>
      <c r="H2141" s="65" t="inlineStr">
        <is>
          <t>AFFINITY 3 30" 3ICK FLAT RIB SYNT</t>
        </is>
      </c>
      <c r="I2141" s="65" t="inlineStr">
        <is>
          <t>BL092207S</t>
        </is>
      </c>
      <c r="J2141" s="65" t="inlineStr">
        <is>
          <t>CL094874H</t>
        </is>
      </c>
      <c r="K2141" s="65" t="inlineStr">
        <is>
          <t>N/D</t>
        </is>
      </c>
      <c r="L2141" s="127" t="inlineStr">
        <is>
          <t>BENELLI ARMI SPA</t>
        </is>
      </c>
      <c r="M2141" s="5" t="n">
        <v>451</v>
      </c>
      <c r="N2141" s="5" t="n"/>
      <c r="O2141" s="5">
        <f>+M2141+N2141</f>
        <v/>
      </c>
      <c r="P2141" s="4" t="n">
        <v>45863</v>
      </c>
      <c r="Q2141" s="87" t="n">
        <v>45856</v>
      </c>
      <c r="R2141" s="5" t="n">
        <v>628.14</v>
      </c>
      <c r="S2141" s="2" t="n">
        <v>1</v>
      </c>
      <c r="T2141" s="3" t="inlineStr">
        <is>
          <t>6B/2025/2S</t>
        </is>
      </c>
      <c r="U2141" s="87" t="n">
        <v>45873</v>
      </c>
      <c r="V2141" s="3" t="inlineStr">
        <is>
          <t>19</t>
        </is>
      </c>
      <c r="W2141" s="87" t="n">
        <v>45873</v>
      </c>
      <c r="X2141" s="4" t="inlineStr">
        <is>
          <t xml:space="preserve">Bin Humaid National Trading Co </t>
        </is>
      </c>
    </row>
    <row r="2142" ht="24" customHeight="1">
      <c r="A2142" s="2">
        <f>+D2142-S2142</f>
        <v/>
      </c>
      <c r="B2142" s="80" t="n">
        <v>3760</v>
      </c>
      <c r="C2142" s="66" t="n">
        <v>45863</v>
      </c>
      <c r="D2142" s="2" t="n">
        <v>1</v>
      </c>
      <c r="E2142" s="3" t="inlineStr">
        <is>
          <t>FUCILE SEMIAUTOMATICO</t>
        </is>
      </c>
      <c r="F2142" s="3" t="inlineStr">
        <is>
          <t>12</t>
        </is>
      </c>
      <c r="G2142" s="3" t="inlineStr">
        <is>
          <t>FRANCHI</t>
        </is>
      </c>
      <c r="H2142" s="65" t="inlineStr">
        <is>
          <t>AFFINITY 3 30" 3ICK FLAT RIB SYNT</t>
        </is>
      </c>
      <c r="I2142" s="65" t="inlineStr">
        <is>
          <t>BL092209W</t>
        </is>
      </c>
      <c r="J2142" s="65" t="inlineStr">
        <is>
          <t>CL094876N</t>
        </is>
      </c>
      <c r="K2142" s="65" t="inlineStr">
        <is>
          <t>N/D</t>
        </is>
      </c>
      <c r="L2142" s="127" t="inlineStr">
        <is>
          <t>BENELLI ARMI SPA</t>
        </is>
      </c>
      <c r="M2142" s="5" t="n">
        <v>451</v>
      </c>
      <c r="N2142" s="5" t="n"/>
      <c r="O2142" s="5">
        <f>+M2142+N2142</f>
        <v/>
      </c>
      <c r="P2142" s="4" t="n">
        <v>45863</v>
      </c>
      <c r="Q2142" s="87" t="n">
        <v>45856</v>
      </c>
      <c r="R2142" s="5" t="n">
        <v>628.14</v>
      </c>
      <c r="S2142" s="2" t="n">
        <v>1</v>
      </c>
      <c r="T2142" s="3" t="inlineStr">
        <is>
          <t>6B/2025/2S</t>
        </is>
      </c>
      <c r="U2142" s="87" t="n">
        <v>45873</v>
      </c>
      <c r="V2142" s="3" t="inlineStr">
        <is>
          <t>19</t>
        </is>
      </c>
      <c r="W2142" s="87" t="n">
        <v>45873</v>
      </c>
      <c r="X2142" s="4" t="inlineStr">
        <is>
          <t xml:space="preserve">Bin Humaid National Trading Co </t>
        </is>
      </c>
    </row>
    <row r="2143" ht="24" customHeight="1">
      <c r="A2143" s="2">
        <f>+D2143-S2143</f>
        <v/>
      </c>
      <c r="B2143" s="80" t="n">
        <v>3761</v>
      </c>
      <c r="C2143" s="66" t="n">
        <v>45863</v>
      </c>
      <c r="D2143" s="2" t="n">
        <v>1</v>
      </c>
      <c r="E2143" s="3" t="inlineStr">
        <is>
          <t>FUCILE SEMIAUTOMATICO</t>
        </is>
      </c>
      <c r="F2143" s="3" t="inlineStr">
        <is>
          <t>12</t>
        </is>
      </c>
      <c r="G2143" s="3" t="inlineStr">
        <is>
          <t>FRANCHI</t>
        </is>
      </c>
      <c r="H2143" s="65" t="inlineStr">
        <is>
          <t>AFFINITY 3 30" 3ICK FLAT RIB SYNT</t>
        </is>
      </c>
      <c r="I2143" s="65" t="inlineStr">
        <is>
          <t>BL092211E</t>
        </is>
      </c>
      <c r="J2143" s="65" t="inlineStr">
        <is>
          <t>CL094878S</t>
        </is>
      </c>
      <c r="K2143" s="65" t="inlineStr">
        <is>
          <t>N/D</t>
        </is>
      </c>
      <c r="L2143" s="127" t="inlineStr">
        <is>
          <t>BENELLI ARMI SPA</t>
        </is>
      </c>
      <c r="M2143" s="5" t="n">
        <v>451</v>
      </c>
      <c r="N2143" s="5" t="n"/>
      <c r="O2143" s="5">
        <f>+M2143+N2143</f>
        <v/>
      </c>
      <c r="P2143" s="4" t="n">
        <v>45863</v>
      </c>
      <c r="Q2143" s="87" t="n">
        <v>45856</v>
      </c>
      <c r="R2143" s="5" t="n">
        <v>628.14</v>
      </c>
      <c r="S2143" s="2" t="n">
        <v>1</v>
      </c>
      <c r="T2143" s="3" t="inlineStr">
        <is>
          <t>6B/2025/2S</t>
        </is>
      </c>
      <c r="U2143" s="87" t="n">
        <v>45873</v>
      </c>
      <c r="V2143" s="3" t="inlineStr">
        <is>
          <t>19</t>
        </is>
      </c>
      <c r="W2143" s="87" t="n">
        <v>45873</v>
      </c>
      <c r="X2143" s="4" t="inlineStr">
        <is>
          <t xml:space="preserve">Bin Humaid National Trading Co </t>
        </is>
      </c>
    </row>
    <row r="2144" ht="24" customHeight="1">
      <c r="A2144" s="2">
        <f>+D2144-S2144</f>
        <v/>
      </c>
      <c r="B2144" s="80" t="n">
        <v>3762</v>
      </c>
      <c r="C2144" s="66" t="n">
        <v>45863</v>
      </c>
      <c r="D2144" s="2" t="n">
        <v>1</v>
      </c>
      <c r="E2144" s="3" t="inlineStr">
        <is>
          <t>FUCILE SEMIAUTOMATICO</t>
        </is>
      </c>
      <c r="F2144" s="3" t="inlineStr">
        <is>
          <t>12</t>
        </is>
      </c>
      <c r="G2144" s="3" t="inlineStr">
        <is>
          <t>FRANCHI</t>
        </is>
      </c>
      <c r="H2144" s="65" t="inlineStr">
        <is>
          <t>AFFINITY 3 30" 3ICK FLAT RIB SYNT</t>
        </is>
      </c>
      <c r="I2144" s="65" t="inlineStr">
        <is>
          <t>BL092213J</t>
        </is>
      </c>
      <c r="J2144" s="65" t="inlineStr">
        <is>
          <t>CL094880A</t>
        </is>
      </c>
      <c r="K2144" s="65" t="inlineStr">
        <is>
          <t>N/D</t>
        </is>
      </c>
      <c r="L2144" s="127" t="inlineStr">
        <is>
          <t>BENELLI ARMI SPA</t>
        </is>
      </c>
      <c r="M2144" s="5" t="n">
        <v>451</v>
      </c>
      <c r="N2144" s="5" t="n"/>
      <c r="O2144" s="5">
        <f>+M2144+N2144</f>
        <v/>
      </c>
      <c r="P2144" s="4" t="n">
        <v>45863</v>
      </c>
      <c r="Q2144" s="87" t="n">
        <v>45856</v>
      </c>
      <c r="R2144" s="5" t="n">
        <v>628.14</v>
      </c>
      <c r="S2144" s="2" t="n">
        <v>1</v>
      </c>
      <c r="T2144" s="3" t="inlineStr">
        <is>
          <t>6B/2025/2S</t>
        </is>
      </c>
      <c r="U2144" s="87" t="n">
        <v>45873</v>
      </c>
      <c r="V2144" s="3" t="inlineStr">
        <is>
          <t>19</t>
        </is>
      </c>
      <c r="W2144" s="87" t="n">
        <v>45873</v>
      </c>
      <c r="X2144" s="4" t="inlineStr">
        <is>
          <t xml:space="preserve">Bin Humaid National Trading Co </t>
        </is>
      </c>
    </row>
    <row r="2145" ht="24" customHeight="1">
      <c r="A2145" s="2">
        <f>+D2145-S2145</f>
        <v/>
      </c>
      <c r="B2145" s="80" t="n">
        <v>3763</v>
      </c>
      <c r="C2145" s="66" t="n">
        <v>45863</v>
      </c>
      <c r="D2145" s="2" t="n">
        <v>1</v>
      </c>
      <c r="E2145" s="3" t="inlineStr">
        <is>
          <t>FUCILE SEMIAUTOMATICO</t>
        </is>
      </c>
      <c r="F2145" s="3" t="inlineStr">
        <is>
          <t>12</t>
        </is>
      </c>
      <c r="G2145" s="3" t="inlineStr">
        <is>
          <t>FRANCHI</t>
        </is>
      </c>
      <c r="H2145" s="65" t="inlineStr">
        <is>
          <t>AFFINITY 3 30" 3ICK FLAT RIB SYNT</t>
        </is>
      </c>
      <c r="I2145" s="65" t="inlineStr">
        <is>
          <t>BL092218V</t>
        </is>
      </c>
      <c r="J2145" s="65" t="inlineStr">
        <is>
          <t>CL094882E</t>
        </is>
      </c>
      <c r="K2145" s="65" t="inlineStr">
        <is>
          <t>N/D</t>
        </is>
      </c>
      <c r="L2145" s="127" t="inlineStr">
        <is>
          <t>BENELLI ARMI SPA</t>
        </is>
      </c>
      <c r="M2145" s="5" t="n">
        <v>451</v>
      </c>
      <c r="N2145" s="5" t="n"/>
      <c r="O2145" s="5">
        <f>+M2145+N2145</f>
        <v/>
      </c>
      <c r="P2145" s="4" t="n">
        <v>45863</v>
      </c>
      <c r="Q2145" s="87" t="n">
        <v>45856</v>
      </c>
      <c r="R2145" s="5" t="n">
        <v>628.14</v>
      </c>
      <c r="S2145" s="2" t="n">
        <v>1</v>
      </c>
      <c r="T2145" s="3" t="inlineStr">
        <is>
          <t>6B/2025/2S</t>
        </is>
      </c>
      <c r="U2145" s="87" t="n">
        <v>45873</v>
      </c>
      <c r="V2145" s="3" t="inlineStr">
        <is>
          <t>19</t>
        </is>
      </c>
      <c r="W2145" s="87" t="n">
        <v>45873</v>
      </c>
      <c r="X2145" s="4" t="inlineStr">
        <is>
          <t xml:space="preserve">Bin Humaid National Trading Co </t>
        </is>
      </c>
    </row>
    <row r="2146" ht="24" customHeight="1">
      <c r="A2146" s="2">
        <f>+D2146-S2146</f>
        <v/>
      </c>
      <c r="B2146" s="80" t="n">
        <v>3764</v>
      </c>
      <c r="C2146" s="66" t="n">
        <v>45863</v>
      </c>
      <c r="D2146" s="2" t="n">
        <v>1</v>
      </c>
      <c r="E2146" s="3" t="inlineStr">
        <is>
          <t>FUCILE SEMIAUTOMATICO</t>
        </is>
      </c>
      <c r="F2146" s="3" t="inlineStr">
        <is>
          <t>12</t>
        </is>
      </c>
      <c r="G2146" s="3" t="inlineStr">
        <is>
          <t>FRANCHI</t>
        </is>
      </c>
      <c r="H2146" s="65" t="inlineStr">
        <is>
          <t>AFFINITY 3 30" 3ICK FLAT RIB SYNT</t>
        </is>
      </c>
      <c r="I2146" s="65" t="inlineStr">
        <is>
          <t>BL092220D</t>
        </is>
      </c>
      <c r="J2146" s="65" t="inlineStr">
        <is>
          <t>CL094887R</t>
        </is>
      </c>
      <c r="K2146" s="65" t="inlineStr">
        <is>
          <t>N/D</t>
        </is>
      </c>
      <c r="L2146" s="127" t="inlineStr">
        <is>
          <t>BENELLI ARMI SPA</t>
        </is>
      </c>
      <c r="M2146" s="5" t="n">
        <v>451</v>
      </c>
      <c r="N2146" s="5" t="n"/>
      <c r="O2146" s="5">
        <f>+M2146+N2146</f>
        <v/>
      </c>
      <c r="P2146" s="4" t="n">
        <v>45863</v>
      </c>
      <c r="Q2146" s="87" t="n">
        <v>45856</v>
      </c>
      <c r="R2146" s="5" t="n">
        <v>628.14</v>
      </c>
      <c r="S2146" s="2" t="n">
        <v>1</v>
      </c>
      <c r="T2146" s="3" t="inlineStr">
        <is>
          <t>6B/2025/2S</t>
        </is>
      </c>
      <c r="U2146" s="87" t="n">
        <v>45873</v>
      </c>
      <c r="V2146" s="3" t="inlineStr">
        <is>
          <t>19</t>
        </is>
      </c>
      <c r="W2146" s="87" t="n">
        <v>45873</v>
      </c>
      <c r="X2146" s="4" t="inlineStr">
        <is>
          <t xml:space="preserve">Bin Humaid National Trading Co </t>
        </is>
      </c>
    </row>
    <row r="2147" ht="24" customHeight="1">
      <c r="A2147" s="2">
        <f>+D2147-S2147</f>
        <v/>
      </c>
      <c r="B2147" s="80" t="n">
        <v>3765</v>
      </c>
      <c r="C2147" s="66" t="n">
        <v>45863</v>
      </c>
      <c r="D2147" s="2" t="n">
        <v>1</v>
      </c>
      <c r="E2147" s="3" t="inlineStr">
        <is>
          <t>FUCILE SEMIAUTOMATICO</t>
        </is>
      </c>
      <c r="F2147" s="3" t="inlineStr">
        <is>
          <t>12</t>
        </is>
      </c>
      <c r="G2147" s="3" t="inlineStr">
        <is>
          <t>FRANCHI</t>
        </is>
      </c>
      <c r="H2147" s="65" t="inlineStr">
        <is>
          <t>AFFINITY 3 30" 3ICK FLAT RIB SYNT</t>
        </is>
      </c>
      <c r="I2147" s="65" t="inlineStr">
        <is>
          <t>BL092222H</t>
        </is>
      </c>
      <c r="J2147" s="65" t="inlineStr">
        <is>
          <t>CL094889V</t>
        </is>
      </c>
      <c r="K2147" s="65" t="inlineStr">
        <is>
          <t>N/D</t>
        </is>
      </c>
      <c r="L2147" s="127" t="inlineStr">
        <is>
          <t>BENELLI ARMI SPA</t>
        </is>
      </c>
      <c r="M2147" s="5" t="n">
        <v>451</v>
      </c>
      <c r="N2147" s="5" t="n"/>
      <c r="O2147" s="5">
        <f>+M2147+N2147</f>
        <v/>
      </c>
      <c r="P2147" s="4" t="n">
        <v>45863</v>
      </c>
      <c r="Q2147" s="87" t="n">
        <v>45856</v>
      </c>
      <c r="R2147" s="5" t="n">
        <v>628.14</v>
      </c>
      <c r="S2147" s="2" t="n">
        <v>1</v>
      </c>
      <c r="T2147" s="3" t="inlineStr">
        <is>
          <t>6B/2025/2S</t>
        </is>
      </c>
      <c r="U2147" s="87" t="n">
        <v>45873</v>
      </c>
      <c r="V2147" s="3" t="inlineStr">
        <is>
          <t>19</t>
        </is>
      </c>
      <c r="W2147" s="87" t="n">
        <v>45873</v>
      </c>
      <c r="X2147" s="4" t="inlineStr">
        <is>
          <t xml:space="preserve">Bin Humaid National Trading Co </t>
        </is>
      </c>
    </row>
    <row r="2148" ht="24" customHeight="1">
      <c r="A2148" s="2">
        <f>+D2148-S2148</f>
        <v/>
      </c>
      <c r="B2148" s="80" t="n">
        <v>3766</v>
      </c>
      <c r="C2148" s="66" t="n">
        <v>45863</v>
      </c>
      <c r="D2148" s="2" t="n">
        <v>1</v>
      </c>
      <c r="E2148" s="3" t="inlineStr">
        <is>
          <t>FUCILE SEMIAUTOMATICO</t>
        </is>
      </c>
      <c r="F2148" s="3" t="inlineStr">
        <is>
          <t>12</t>
        </is>
      </c>
      <c r="G2148" s="3" t="inlineStr">
        <is>
          <t>FRANCHI</t>
        </is>
      </c>
      <c r="H2148" s="65" t="inlineStr">
        <is>
          <t>AFFINITY 3 30" 3ICK FLAT RIB SYNT</t>
        </is>
      </c>
      <c r="I2148" s="65" t="inlineStr">
        <is>
          <t>BL092224M</t>
        </is>
      </c>
      <c r="J2148" s="65" t="inlineStr">
        <is>
          <t>CL094891D</t>
        </is>
      </c>
      <c r="K2148" s="65" t="inlineStr">
        <is>
          <t>N/D</t>
        </is>
      </c>
      <c r="L2148" s="127" t="inlineStr">
        <is>
          <t>BENELLI ARMI SPA</t>
        </is>
      </c>
      <c r="M2148" s="5" t="n">
        <v>451</v>
      </c>
      <c r="N2148" s="5" t="n"/>
      <c r="O2148" s="5">
        <f>+M2148+N2148</f>
        <v/>
      </c>
      <c r="P2148" s="4" t="n">
        <v>45863</v>
      </c>
      <c r="Q2148" s="87" t="n">
        <v>45856</v>
      </c>
      <c r="R2148" s="5" t="n">
        <v>628.14</v>
      </c>
      <c r="S2148" s="2" t="n">
        <v>1</v>
      </c>
      <c r="T2148" s="3" t="inlineStr">
        <is>
          <t>6B/2025/2S</t>
        </is>
      </c>
      <c r="U2148" s="87" t="n">
        <v>45873</v>
      </c>
      <c r="V2148" s="3" t="inlineStr">
        <is>
          <t>19</t>
        </is>
      </c>
      <c r="W2148" s="87" t="n">
        <v>45873</v>
      </c>
      <c r="X2148" s="4" t="inlineStr">
        <is>
          <t xml:space="preserve">Bin Humaid National Trading Co </t>
        </is>
      </c>
    </row>
    <row r="2149" ht="24" customHeight="1">
      <c r="A2149" s="2">
        <f>+D2149-S2149</f>
        <v/>
      </c>
      <c r="B2149" s="80" t="n">
        <v>3767</v>
      </c>
      <c r="C2149" s="66" t="n">
        <v>45863</v>
      </c>
      <c r="D2149" s="2" t="n">
        <v>1</v>
      </c>
      <c r="E2149" s="3" t="inlineStr">
        <is>
          <t>FUCILE SEMIAUTOMATICO</t>
        </is>
      </c>
      <c r="F2149" s="3" t="inlineStr">
        <is>
          <t>12</t>
        </is>
      </c>
      <c r="G2149" s="3" t="inlineStr">
        <is>
          <t>FRANCHI</t>
        </is>
      </c>
      <c r="H2149" s="65" t="inlineStr">
        <is>
          <t>AFFINITY 3 30" 3ICK FLAT RIB WOOD GR2 OIL</t>
        </is>
      </c>
      <c r="I2149" s="65" t="inlineStr">
        <is>
          <t>BL091755D</t>
        </is>
      </c>
      <c r="J2149" s="65" t="inlineStr">
        <is>
          <t>CL094437B</t>
        </is>
      </c>
      <c r="K2149" s="65" t="inlineStr">
        <is>
          <t>N/D</t>
        </is>
      </c>
      <c r="L2149" s="127" t="inlineStr">
        <is>
          <t>BENELLI ARMI SPA</t>
        </is>
      </c>
      <c r="M2149" s="5" t="n">
        <v>511</v>
      </c>
      <c r="N2149" s="5" t="n"/>
      <c r="O2149" s="5">
        <f>+M2149+N2149</f>
        <v/>
      </c>
      <c r="P2149" s="4" t="n">
        <v>45863</v>
      </c>
      <c r="Q2149" s="87" t="n">
        <v>45856</v>
      </c>
      <c r="R2149" s="5" t="n">
        <v>766</v>
      </c>
      <c r="S2149" s="2" t="n">
        <v>1</v>
      </c>
      <c r="T2149" s="3" t="inlineStr">
        <is>
          <t>6B/2025/2S</t>
        </is>
      </c>
      <c r="U2149" s="87" t="n">
        <v>45873</v>
      </c>
      <c r="V2149" s="3" t="inlineStr">
        <is>
          <t>20</t>
        </is>
      </c>
      <c r="W2149" s="87" t="n">
        <v>45873</v>
      </c>
      <c r="X2149" s="4" t="inlineStr">
        <is>
          <t xml:space="preserve">Bin Humaid National Trading Co </t>
        </is>
      </c>
    </row>
    <row r="2150" ht="24" customHeight="1">
      <c r="A2150" s="2">
        <f>+D2150-S2150</f>
        <v/>
      </c>
      <c r="B2150" s="80" t="n">
        <v>3768</v>
      </c>
      <c r="C2150" s="66" t="n">
        <v>45863</v>
      </c>
      <c r="D2150" s="2" t="n">
        <v>1</v>
      </c>
      <c r="E2150" s="3" t="inlineStr">
        <is>
          <t>FUCILE SEMIAUTOMATICO</t>
        </is>
      </c>
      <c r="F2150" s="3" t="inlineStr">
        <is>
          <t>12</t>
        </is>
      </c>
      <c r="G2150" s="3" t="inlineStr">
        <is>
          <t>FRANCHI</t>
        </is>
      </c>
      <c r="H2150" s="65" t="inlineStr">
        <is>
          <t>AFFINITY 3 30" 3ICK FLAT RIB WOOD GR2 OIL</t>
        </is>
      </c>
      <c r="I2150" s="65" t="inlineStr">
        <is>
          <t>BL091756F</t>
        </is>
      </c>
      <c r="J2150" s="65" t="inlineStr">
        <is>
          <t>CL094427A</t>
        </is>
      </c>
      <c r="K2150" s="65" t="inlineStr">
        <is>
          <t>N/D</t>
        </is>
      </c>
      <c r="L2150" s="127" t="inlineStr">
        <is>
          <t>BENELLI ARMI SPA</t>
        </is>
      </c>
      <c r="M2150" s="5" t="n">
        <v>511</v>
      </c>
      <c r="N2150" s="5" t="n"/>
      <c r="O2150" s="5">
        <f>+M2150+N2150</f>
        <v/>
      </c>
      <c r="P2150" s="4" t="n">
        <v>45863</v>
      </c>
      <c r="Q2150" s="87" t="n">
        <v>45856</v>
      </c>
      <c r="R2150" s="5" t="n">
        <v>766</v>
      </c>
      <c r="S2150" s="2" t="n">
        <v>1</v>
      </c>
      <c r="T2150" s="3" t="inlineStr">
        <is>
          <t>6B/2025/2S</t>
        </is>
      </c>
      <c r="U2150" s="87" t="n">
        <v>45873</v>
      </c>
      <c r="V2150" s="3" t="inlineStr">
        <is>
          <t>20</t>
        </is>
      </c>
      <c r="W2150" s="87" t="n">
        <v>45873</v>
      </c>
      <c r="X2150" s="4" t="inlineStr">
        <is>
          <t xml:space="preserve">Bin Humaid National Trading Co </t>
        </is>
      </c>
    </row>
    <row r="2151" ht="24" customHeight="1">
      <c r="A2151" s="2">
        <f>+D2151-S2151</f>
        <v/>
      </c>
      <c r="B2151" s="80" t="n">
        <v>3769</v>
      </c>
      <c r="C2151" s="66" t="n">
        <v>45863</v>
      </c>
      <c r="D2151" s="2" t="n">
        <v>1</v>
      </c>
      <c r="E2151" s="3" t="inlineStr">
        <is>
          <t>FUCILE SEMIAUTOMATICO</t>
        </is>
      </c>
      <c r="F2151" s="3" t="inlineStr">
        <is>
          <t>12</t>
        </is>
      </c>
      <c r="G2151" s="3" t="inlineStr">
        <is>
          <t>FRANCHI</t>
        </is>
      </c>
      <c r="H2151" s="65" t="inlineStr">
        <is>
          <t>AFFINITY 3 30" 3ICK FLAT RIB WOOD GR2 OIL</t>
        </is>
      </c>
      <c r="I2151" s="65" t="inlineStr">
        <is>
          <t>BL091757H</t>
        </is>
      </c>
      <c r="J2151" s="65" t="inlineStr">
        <is>
          <t>CL094428C</t>
        </is>
      </c>
      <c r="K2151" s="65" t="inlineStr">
        <is>
          <t>N/D</t>
        </is>
      </c>
      <c r="L2151" s="127" t="inlineStr">
        <is>
          <t>BENELLI ARMI SPA</t>
        </is>
      </c>
      <c r="M2151" s="5" t="n">
        <v>511</v>
      </c>
      <c r="N2151" s="5" t="n"/>
      <c r="O2151" s="5">
        <f>+M2151+N2151</f>
        <v/>
      </c>
      <c r="P2151" s="4" t="n">
        <v>45863</v>
      </c>
      <c r="Q2151" s="87" t="n">
        <v>45856</v>
      </c>
      <c r="R2151" s="5" t="n">
        <v>766</v>
      </c>
      <c r="S2151" s="2" t="n">
        <v>1</v>
      </c>
      <c r="T2151" s="3" t="inlineStr">
        <is>
          <t>6B/2025/2S</t>
        </is>
      </c>
      <c r="U2151" s="87" t="n">
        <v>45873</v>
      </c>
      <c r="V2151" s="3" t="inlineStr">
        <is>
          <t>20</t>
        </is>
      </c>
      <c r="W2151" s="87" t="n">
        <v>45873</v>
      </c>
      <c r="X2151" s="4" t="inlineStr">
        <is>
          <t xml:space="preserve">Bin Humaid National Trading Co </t>
        </is>
      </c>
    </row>
    <row r="2152" ht="24" customHeight="1">
      <c r="A2152" s="2">
        <f>+D2152-S2152</f>
        <v/>
      </c>
      <c r="B2152" s="80" t="n">
        <v>3770</v>
      </c>
      <c r="C2152" s="66" t="n">
        <v>45863</v>
      </c>
      <c r="D2152" s="2" t="n">
        <v>1</v>
      </c>
      <c r="E2152" s="3" t="inlineStr">
        <is>
          <t>FUCILE SEMIAUTOMATICO</t>
        </is>
      </c>
      <c r="F2152" s="3" t="inlineStr">
        <is>
          <t>12</t>
        </is>
      </c>
      <c r="G2152" s="3" t="inlineStr">
        <is>
          <t>FRANCHI</t>
        </is>
      </c>
      <c r="H2152" s="65" t="inlineStr">
        <is>
          <t>AFFINITY 3 30" 3ICK FLAT RIB WOOD GR2 OIL</t>
        </is>
      </c>
      <c r="I2152" s="65" t="inlineStr">
        <is>
          <t>BL091758K</t>
        </is>
      </c>
      <c r="J2152" s="65" t="inlineStr">
        <is>
          <t>CL094429E</t>
        </is>
      </c>
      <c r="K2152" s="65" t="inlineStr">
        <is>
          <t>N/D</t>
        </is>
      </c>
      <c r="L2152" s="127" t="inlineStr">
        <is>
          <t>BENELLI ARMI SPA</t>
        </is>
      </c>
      <c r="M2152" s="5" t="n">
        <v>511</v>
      </c>
      <c r="N2152" s="5" t="n"/>
      <c r="O2152" s="5">
        <f>+M2152+N2152</f>
        <v/>
      </c>
      <c r="P2152" s="4" t="n">
        <v>45863</v>
      </c>
      <c r="Q2152" s="87" t="n">
        <v>45856</v>
      </c>
      <c r="R2152" s="5" t="n">
        <v>766</v>
      </c>
      <c r="S2152" s="2" t="n">
        <v>1</v>
      </c>
      <c r="T2152" s="3" t="inlineStr">
        <is>
          <t>6B/2025/2S</t>
        </is>
      </c>
      <c r="U2152" s="87" t="n">
        <v>45873</v>
      </c>
      <c r="V2152" s="3" t="inlineStr">
        <is>
          <t>20</t>
        </is>
      </c>
      <c r="W2152" s="87" t="n">
        <v>45873</v>
      </c>
      <c r="X2152" s="4" t="inlineStr">
        <is>
          <t xml:space="preserve">Bin Humaid National Trading Co </t>
        </is>
      </c>
    </row>
    <row r="2153" ht="24" customHeight="1">
      <c r="A2153" s="2">
        <f>+D2153-S2153</f>
        <v/>
      </c>
      <c r="B2153" s="80" t="n">
        <v>3771</v>
      </c>
      <c r="C2153" s="66" t="n">
        <v>45863</v>
      </c>
      <c r="D2153" s="2" t="n">
        <v>1</v>
      </c>
      <c r="E2153" s="3" t="inlineStr">
        <is>
          <t>FUCILE SEMIAUTOMATICO</t>
        </is>
      </c>
      <c r="F2153" s="3" t="inlineStr">
        <is>
          <t>12</t>
        </is>
      </c>
      <c r="G2153" s="3" t="inlineStr">
        <is>
          <t>FRANCHI</t>
        </is>
      </c>
      <c r="H2153" s="65" t="inlineStr">
        <is>
          <t>AFFINITY 3 30" 3ICK FLAT RIB WOOD GR2 OIL</t>
        </is>
      </c>
      <c r="I2153" s="65" t="inlineStr">
        <is>
          <t>BL091760T</t>
        </is>
      </c>
      <c r="J2153" s="65" t="inlineStr">
        <is>
          <t>CL094434U</t>
        </is>
      </c>
      <c r="K2153" s="65" t="inlineStr">
        <is>
          <t>N/D</t>
        </is>
      </c>
      <c r="L2153" s="127" t="inlineStr">
        <is>
          <t>BENELLI ARMI SPA</t>
        </is>
      </c>
      <c r="M2153" s="5" t="n">
        <v>511</v>
      </c>
      <c r="N2153" s="5" t="n"/>
      <c r="O2153" s="5">
        <f>+M2153+N2153</f>
        <v/>
      </c>
      <c r="P2153" s="4" t="n">
        <v>45863</v>
      </c>
      <c r="Q2153" s="87" t="n">
        <v>45856</v>
      </c>
      <c r="R2153" s="5" t="n">
        <v>766</v>
      </c>
      <c r="S2153" s="2" t="n">
        <v>1</v>
      </c>
      <c r="T2153" s="3" t="inlineStr">
        <is>
          <t>6B/2025/2S</t>
        </is>
      </c>
      <c r="U2153" s="87" t="n">
        <v>45873</v>
      </c>
      <c r="V2153" s="3" t="inlineStr">
        <is>
          <t>20</t>
        </is>
      </c>
      <c r="W2153" s="87" t="n">
        <v>45873</v>
      </c>
      <c r="X2153" s="4" t="inlineStr">
        <is>
          <t xml:space="preserve">Bin Humaid National Trading Co </t>
        </is>
      </c>
    </row>
    <row r="2154" ht="24" customHeight="1">
      <c r="A2154" s="2">
        <f>+D2154-S2154</f>
        <v/>
      </c>
      <c r="B2154" s="80" t="n">
        <v>3772</v>
      </c>
      <c r="C2154" s="66" t="n">
        <v>45863</v>
      </c>
      <c r="D2154" s="2" t="n">
        <v>1</v>
      </c>
      <c r="E2154" s="3" t="inlineStr">
        <is>
          <t>FUCILE SEMIAUTOMATICO</t>
        </is>
      </c>
      <c r="F2154" s="3" t="inlineStr">
        <is>
          <t>12</t>
        </is>
      </c>
      <c r="G2154" s="3" t="inlineStr">
        <is>
          <t>FRANCHI</t>
        </is>
      </c>
      <c r="H2154" s="65" t="inlineStr">
        <is>
          <t>AFFINITY 3 30" 3ICK FLAT RIB WOOD GR2 OIL</t>
        </is>
      </c>
      <c r="I2154" s="65" t="inlineStr">
        <is>
          <t>BL091759M</t>
        </is>
      </c>
      <c r="J2154" s="65" t="inlineStr">
        <is>
          <t>CL094426Y</t>
        </is>
      </c>
      <c r="K2154" s="65" t="inlineStr">
        <is>
          <t>N/D</t>
        </is>
      </c>
      <c r="L2154" s="127" t="inlineStr">
        <is>
          <t>BENELLI ARMI SPA</t>
        </is>
      </c>
      <c r="M2154" s="5" t="n">
        <v>511</v>
      </c>
      <c r="N2154" s="5" t="n"/>
      <c r="O2154" s="5">
        <f>+M2154+N2154</f>
        <v/>
      </c>
      <c r="P2154" s="4" t="n">
        <v>45863</v>
      </c>
      <c r="Q2154" s="87" t="n">
        <v>45856</v>
      </c>
      <c r="R2154" s="5" t="n">
        <v>766</v>
      </c>
      <c r="S2154" s="2" t="n">
        <v>1</v>
      </c>
      <c r="T2154" s="3" t="inlineStr">
        <is>
          <t>6B/2025/2S</t>
        </is>
      </c>
      <c r="U2154" s="87" t="n">
        <v>45873</v>
      </c>
      <c r="V2154" s="3" t="inlineStr">
        <is>
          <t>20</t>
        </is>
      </c>
      <c r="W2154" s="87" t="n">
        <v>45873</v>
      </c>
      <c r="X2154" s="4" t="inlineStr">
        <is>
          <t xml:space="preserve">Bin Humaid National Trading Co </t>
        </is>
      </c>
    </row>
    <row r="2155" ht="24" customHeight="1">
      <c r="A2155" s="2">
        <f>+D2155-S2155</f>
        <v/>
      </c>
      <c r="B2155" s="80" t="n">
        <v>3773</v>
      </c>
      <c r="C2155" s="66" t="n">
        <v>45863</v>
      </c>
      <c r="D2155" s="2" t="n">
        <v>1</v>
      </c>
      <c r="E2155" s="3" t="inlineStr">
        <is>
          <t>FUCILE SEMIAUTOMATICO</t>
        </is>
      </c>
      <c r="F2155" s="3" t="inlineStr">
        <is>
          <t>12</t>
        </is>
      </c>
      <c r="G2155" s="3" t="inlineStr">
        <is>
          <t>FRANCHI</t>
        </is>
      </c>
      <c r="H2155" s="65" t="inlineStr">
        <is>
          <t>AFFINITY 3 30" 3ICK FLAT RIB WOOD GR2 OIL</t>
        </is>
      </c>
      <c r="I2155" s="65" t="inlineStr">
        <is>
          <t>BL091761V</t>
        </is>
      </c>
      <c r="J2155" s="65" t="inlineStr">
        <is>
          <t>CL094421M</t>
        </is>
      </c>
      <c r="K2155" s="65" t="inlineStr">
        <is>
          <t>N/D</t>
        </is>
      </c>
      <c r="L2155" s="127" t="inlineStr">
        <is>
          <t>BENELLI ARMI SPA</t>
        </is>
      </c>
      <c r="M2155" s="5" t="n">
        <v>511</v>
      </c>
      <c r="N2155" s="5" t="n"/>
      <c r="O2155" s="5">
        <f>+M2155+N2155</f>
        <v/>
      </c>
      <c r="P2155" s="4" t="n">
        <v>45863</v>
      </c>
      <c r="Q2155" s="87" t="n">
        <v>45856</v>
      </c>
      <c r="R2155" s="5" t="n">
        <v>766</v>
      </c>
      <c r="S2155" s="2" t="n">
        <v>1</v>
      </c>
      <c r="T2155" s="3" t="inlineStr">
        <is>
          <t>6B/2025/2S</t>
        </is>
      </c>
      <c r="U2155" s="87" t="n">
        <v>45873</v>
      </c>
      <c r="V2155" s="3" t="inlineStr">
        <is>
          <t>20</t>
        </is>
      </c>
      <c r="W2155" s="87" t="n">
        <v>45873</v>
      </c>
      <c r="X2155" s="4" t="inlineStr">
        <is>
          <t xml:space="preserve">Bin Humaid National Trading Co </t>
        </is>
      </c>
    </row>
    <row r="2156" ht="24" customHeight="1">
      <c r="A2156" s="2">
        <f>+D2156-S2156</f>
        <v/>
      </c>
      <c r="B2156" s="80" t="n">
        <v>3774</v>
      </c>
      <c r="C2156" s="66" t="n">
        <v>45863</v>
      </c>
      <c r="D2156" s="2" t="n">
        <v>1</v>
      </c>
      <c r="E2156" s="3" t="inlineStr">
        <is>
          <t>FUCILE SEMIAUTOMATICO</t>
        </is>
      </c>
      <c r="F2156" s="3" t="inlineStr">
        <is>
          <t>12</t>
        </is>
      </c>
      <c r="G2156" s="3" t="inlineStr">
        <is>
          <t>FRANCHI</t>
        </is>
      </c>
      <c r="H2156" s="65" t="inlineStr">
        <is>
          <t>AFFINITY 3 30" 3ICK FLAT RIB WOOD GR2 OIL</t>
        </is>
      </c>
      <c r="I2156" s="65" t="inlineStr">
        <is>
          <t>BL091762X</t>
        </is>
      </c>
      <c r="J2156" s="65" t="inlineStr">
        <is>
          <t>CL094431N</t>
        </is>
      </c>
      <c r="K2156" s="65" t="inlineStr">
        <is>
          <t>N/D</t>
        </is>
      </c>
      <c r="L2156" s="127" t="inlineStr">
        <is>
          <t>BENELLI ARMI SPA</t>
        </is>
      </c>
      <c r="M2156" s="5" t="n">
        <v>511</v>
      </c>
      <c r="N2156" s="5" t="n"/>
      <c r="O2156" s="5">
        <f>+M2156+N2156</f>
        <v/>
      </c>
      <c r="P2156" s="4" t="n">
        <v>45863</v>
      </c>
      <c r="Q2156" s="87" t="n">
        <v>45856</v>
      </c>
      <c r="R2156" s="5" t="n">
        <v>766</v>
      </c>
      <c r="S2156" s="2" t="n">
        <v>1</v>
      </c>
      <c r="T2156" s="3" t="inlineStr">
        <is>
          <t>6B/2025/2S</t>
        </is>
      </c>
      <c r="U2156" s="87" t="n">
        <v>45873</v>
      </c>
      <c r="V2156" s="3" t="inlineStr">
        <is>
          <t>20</t>
        </is>
      </c>
      <c r="W2156" s="87" t="n">
        <v>45873</v>
      </c>
      <c r="X2156" s="4" t="inlineStr">
        <is>
          <t xml:space="preserve">Bin Humaid National Trading Co </t>
        </is>
      </c>
    </row>
    <row r="2157" ht="24" customHeight="1">
      <c r="A2157" s="2">
        <f>+D2157-S2157</f>
        <v/>
      </c>
      <c r="B2157" s="80" t="n">
        <v>3775</v>
      </c>
      <c r="C2157" s="66" t="n">
        <v>45863</v>
      </c>
      <c r="D2157" s="2" t="n">
        <v>1</v>
      </c>
      <c r="E2157" s="3" t="inlineStr">
        <is>
          <t>FUCILE SEMIAUTOMATICO</t>
        </is>
      </c>
      <c r="F2157" s="3" t="inlineStr">
        <is>
          <t>12</t>
        </is>
      </c>
      <c r="G2157" s="3" t="inlineStr">
        <is>
          <t>FRANCHI</t>
        </is>
      </c>
      <c r="H2157" s="65" t="inlineStr">
        <is>
          <t>AFFINITY 3 30" 3ICK FLAT RIB WOOD GR2 OIL</t>
        </is>
      </c>
      <c r="I2157" s="65" t="inlineStr">
        <is>
          <t>BL091763Z</t>
        </is>
      </c>
      <c r="J2157" s="65" t="inlineStr">
        <is>
          <t>CL094430L</t>
        </is>
      </c>
      <c r="K2157" s="65" t="inlineStr">
        <is>
          <t>N/D</t>
        </is>
      </c>
      <c r="L2157" s="127" t="inlineStr">
        <is>
          <t>BENELLI ARMI SPA</t>
        </is>
      </c>
      <c r="M2157" s="5" t="n">
        <v>511</v>
      </c>
      <c r="N2157" s="5" t="n"/>
      <c r="O2157" s="5">
        <f>+M2157+N2157</f>
        <v/>
      </c>
      <c r="P2157" s="4" t="n">
        <v>45863</v>
      </c>
      <c r="Q2157" s="87" t="n">
        <v>45856</v>
      </c>
      <c r="R2157" s="5" t="n">
        <v>766</v>
      </c>
      <c r="S2157" s="2" t="n">
        <v>1</v>
      </c>
      <c r="T2157" s="3" t="inlineStr">
        <is>
          <t>6B/2025/2S</t>
        </is>
      </c>
      <c r="U2157" s="87" t="n">
        <v>45873</v>
      </c>
      <c r="V2157" s="3" t="inlineStr">
        <is>
          <t>20</t>
        </is>
      </c>
      <c r="W2157" s="87" t="n">
        <v>45873</v>
      </c>
      <c r="X2157" s="4" t="inlineStr">
        <is>
          <t xml:space="preserve">Bin Humaid National Trading Co </t>
        </is>
      </c>
    </row>
    <row r="2158" ht="24" customHeight="1">
      <c r="A2158" s="2">
        <f>+D2158-S2158</f>
        <v/>
      </c>
      <c r="B2158" s="80" t="n">
        <v>3776</v>
      </c>
      <c r="C2158" s="66" t="n">
        <v>45863</v>
      </c>
      <c r="D2158" s="2" t="n">
        <v>1</v>
      </c>
      <c r="E2158" s="3" t="inlineStr">
        <is>
          <t>FUCILE SEMIAUTOMATICO</t>
        </is>
      </c>
      <c r="F2158" s="3" t="inlineStr">
        <is>
          <t>12</t>
        </is>
      </c>
      <c r="G2158" s="3" t="inlineStr">
        <is>
          <t>FRANCHI</t>
        </is>
      </c>
      <c r="H2158" s="65" t="inlineStr">
        <is>
          <t>AFFINITY 3 30" 3ICK FLAT RIB WOOD GR2 OIL</t>
        </is>
      </c>
      <c r="I2158" s="65" t="inlineStr">
        <is>
          <t>BL091765E</t>
        </is>
      </c>
      <c r="J2158" s="65" t="inlineStr">
        <is>
          <t>CL094432Q</t>
        </is>
      </c>
      <c r="K2158" s="65" t="inlineStr">
        <is>
          <t>N/D</t>
        </is>
      </c>
      <c r="L2158" s="127" t="inlineStr">
        <is>
          <t>BENELLI ARMI SPA</t>
        </is>
      </c>
      <c r="M2158" s="5" t="n">
        <v>511</v>
      </c>
      <c r="N2158" s="5" t="n"/>
      <c r="O2158" s="5">
        <f>+M2158+N2158</f>
        <v/>
      </c>
      <c r="P2158" s="4" t="n">
        <v>45863</v>
      </c>
      <c r="Q2158" s="87" t="n">
        <v>45856</v>
      </c>
      <c r="R2158" s="5" t="n">
        <v>766</v>
      </c>
      <c r="S2158" s="2" t="n">
        <v>1</v>
      </c>
      <c r="T2158" s="3" t="inlineStr">
        <is>
          <t>6B/2025/2S</t>
        </is>
      </c>
      <c r="U2158" s="87" t="n">
        <v>45873</v>
      </c>
      <c r="V2158" s="3" t="inlineStr">
        <is>
          <t>20</t>
        </is>
      </c>
      <c r="W2158" s="87" t="n">
        <v>45873</v>
      </c>
      <c r="X2158" s="4" t="inlineStr">
        <is>
          <t xml:space="preserve">Bin Humaid National Trading Co </t>
        </is>
      </c>
    </row>
    <row r="2159" ht="24" customHeight="1">
      <c r="A2159" s="2">
        <f>+D2159-S2159</f>
        <v/>
      </c>
      <c r="B2159" s="80" t="n">
        <v>3777</v>
      </c>
      <c r="C2159" s="66" t="n">
        <v>45863</v>
      </c>
      <c r="D2159" s="2" t="n">
        <v>1</v>
      </c>
      <c r="E2159" s="3" t="inlineStr">
        <is>
          <t>FUCILE SOVRAPPOSTO</t>
        </is>
      </c>
      <c r="F2159" s="3" t="inlineStr">
        <is>
          <t>12</t>
        </is>
      </c>
      <c r="G2159" s="3" t="inlineStr">
        <is>
          <t>BENELLI</t>
        </is>
      </c>
      <c r="H2159" s="65" t="inlineStr">
        <is>
          <t>828U STEEL BE.S.T. BLACK AI 30"</t>
        </is>
      </c>
      <c r="I2159" s="65" t="inlineStr">
        <is>
          <t>BS059467B</t>
        </is>
      </c>
      <c r="J2159" s="65" t="inlineStr">
        <is>
          <t>CS060154E</t>
        </is>
      </c>
      <c r="K2159" s="65" t="inlineStr">
        <is>
          <t>N/D</t>
        </is>
      </c>
      <c r="L2159" s="127" t="inlineStr">
        <is>
          <t>BENELLI ARMI SPA</t>
        </is>
      </c>
      <c r="M2159" s="5" t="n">
        <v>1824</v>
      </c>
      <c r="N2159" s="5" t="n"/>
      <c r="O2159" s="5">
        <f>+M2159+N2159</f>
        <v/>
      </c>
      <c r="P2159" s="4" t="n">
        <v>45863</v>
      </c>
      <c r="Q2159" s="87" t="n">
        <v>45856</v>
      </c>
      <c r="R2159" s="5" t="n">
        <v>2098</v>
      </c>
      <c r="S2159" s="2" t="n">
        <v>1</v>
      </c>
      <c r="T2159" s="3" t="inlineStr">
        <is>
          <t>6B/2025/2S</t>
        </is>
      </c>
      <c r="U2159" s="87" t="n">
        <v>45873</v>
      </c>
      <c r="V2159" s="3" t="inlineStr">
        <is>
          <t>22</t>
        </is>
      </c>
      <c r="W2159" s="87" t="n">
        <v>45873</v>
      </c>
      <c r="X2159" s="4" t="inlineStr">
        <is>
          <t xml:space="preserve">Bin Humaid National Trading Co </t>
        </is>
      </c>
    </row>
    <row r="2160" ht="24" customHeight="1">
      <c r="A2160" s="2">
        <f>+D2160-S2160</f>
        <v/>
      </c>
      <c r="B2160" s="80" t="n">
        <v>3778</v>
      </c>
      <c r="C2160" s="66" t="n">
        <v>45863</v>
      </c>
      <c r="D2160" s="2" t="n">
        <v>1</v>
      </c>
      <c r="E2160" s="3" t="inlineStr">
        <is>
          <t>FUCILE SOVRAPPOSTO</t>
        </is>
      </c>
      <c r="F2160" s="3" t="inlineStr">
        <is>
          <t>12</t>
        </is>
      </c>
      <c r="G2160" s="3" t="inlineStr">
        <is>
          <t>BENELLI</t>
        </is>
      </c>
      <c r="H2160" s="65" t="inlineStr">
        <is>
          <t>828S SILVER AI 30"</t>
        </is>
      </c>
      <c r="I2160" s="65" t="inlineStr">
        <is>
          <t>BS055134F</t>
        </is>
      </c>
      <c r="J2160" s="65" t="inlineStr">
        <is>
          <t>CS055787G</t>
        </is>
      </c>
      <c r="K2160" s="65" t="inlineStr">
        <is>
          <t>N/D</t>
        </is>
      </c>
      <c r="L2160" s="127" t="inlineStr">
        <is>
          <t>BENELLI ARMI SPA</t>
        </is>
      </c>
      <c r="M2160" s="5" t="n">
        <v>1824</v>
      </c>
      <c r="N2160" s="5" t="n"/>
      <c r="O2160" s="5">
        <f>+M2160+N2160</f>
        <v/>
      </c>
      <c r="P2160" s="4" t="n">
        <v>45863</v>
      </c>
      <c r="Q2160" s="87" t="n">
        <v>45856</v>
      </c>
      <c r="R2160" s="5" t="n">
        <v>2079.36</v>
      </c>
      <c r="S2160" s="2" t="n">
        <v>1</v>
      </c>
      <c r="T2160" s="3" t="inlineStr">
        <is>
          <t>6B/2025/2S</t>
        </is>
      </c>
      <c r="U2160" s="87" t="n">
        <v>45873</v>
      </c>
      <c r="V2160" s="3" t="inlineStr">
        <is>
          <t>22</t>
        </is>
      </c>
      <c r="W2160" s="87" t="n">
        <v>45873</v>
      </c>
      <c r="X2160" s="4" t="inlineStr">
        <is>
          <t xml:space="preserve">Bin Humaid National Trading Co </t>
        </is>
      </c>
    </row>
    <row r="2161" ht="24" customHeight="1">
      <c r="A2161" s="2">
        <f>+D2161-S2161</f>
        <v/>
      </c>
      <c r="B2161" s="80" t="n">
        <v>3779</v>
      </c>
      <c r="C2161" s="66" t="n">
        <v>45863</v>
      </c>
      <c r="D2161" s="2" t="n">
        <v>1</v>
      </c>
      <c r="E2161" s="3" t="inlineStr">
        <is>
          <t>FUCILE SOVRAPPOSTO</t>
        </is>
      </c>
      <c r="F2161" s="3" t="inlineStr">
        <is>
          <t>12</t>
        </is>
      </c>
      <c r="G2161" s="3" t="inlineStr">
        <is>
          <t>BENELLI</t>
        </is>
      </c>
      <c r="H2161" s="65" t="inlineStr">
        <is>
          <t>828S SILVER AI 30"</t>
        </is>
      </c>
      <c r="I2161" s="65" t="inlineStr">
        <is>
          <t>BS055133D</t>
        </is>
      </c>
      <c r="J2161" s="65" t="inlineStr">
        <is>
          <t>CS055786E</t>
        </is>
      </c>
      <c r="K2161" s="65" t="inlineStr">
        <is>
          <t>N/D</t>
        </is>
      </c>
      <c r="L2161" s="127" t="inlineStr">
        <is>
          <t>BENELLI ARMI SPA</t>
        </is>
      </c>
      <c r="M2161" s="5" t="n">
        <v>1824</v>
      </c>
      <c r="N2161" s="5" t="n"/>
      <c r="O2161" s="5">
        <f>+M2161+N2161</f>
        <v/>
      </c>
      <c r="P2161" s="4" t="n">
        <v>45863</v>
      </c>
      <c r="Q2161" s="87" t="n">
        <v>45856</v>
      </c>
      <c r="R2161" s="5" t="n">
        <v>2079.36</v>
      </c>
      <c r="S2161" s="2" t="n">
        <v>1</v>
      </c>
      <c r="T2161" s="3" t="inlineStr">
        <is>
          <t>6B/2025/2S</t>
        </is>
      </c>
      <c r="U2161" s="87" t="n">
        <v>45873</v>
      </c>
      <c r="V2161" s="3" t="inlineStr">
        <is>
          <t>22</t>
        </is>
      </c>
      <c r="W2161" s="87" t="n">
        <v>45873</v>
      </c>
      <c r="X2161" s="4" t="inlineStr">
        <is>
          <t xml:space="preserve">Bin Humaid National Trading Co </t>
        </is>
      </c>
    </row>
    <row r="2162" ht="24" customHeight="1">
      <c r="A2162" s="2">
        <f>+D2162-S2162</f>
        <v/>
      </c>
      <c r="B2162" s="80" t="n">
        <v>3780</v>
      </c>
      <c r="C2162" s="66" t="n">
        <v>45863</v>
      </c>
      <c r="D2162" s="2" t="n">
        <v>1</v>
      </c>
      <c r="E2162" s="3" t="inlineStr">
        <is>
          <t>CARABINA</t>
        </is>
      </c>
      <c r="F2162" s="3" t="inlineStr">
        <is>
          <t>223 REM</t>
        </is>
      </c>
      <c r="G2162" s="3" t="inlineStr">
        <is>
          <t>BENELLI</t>
        </is>
      </c>
      <c r="H2162" s="65" t="inlineStr">
        <is>
          <t>LUPO BE.S.T.  24"</t>
        </is>
      </c>
      <c r="I2162" s="65" t="inlineStr">
        <is>
          <t>AR035142X</t>
        </is>
      </c>
      <c r="J2162" s="65" t="inlineStr">
        <is>
          <t>N/D</t>
        </is>
      </c>
      <c r="K2162" s="65" t="inlineStr">
        <is>
          <t>N/D</t>
        </is>
      </c>
      <c r="L2162" s="127" t="inlineStr">
        <is>
          <t>BENELLI ARMI SPA</t>
        </is>
      </c>
      <c r="M2162" s="5" t="n">
        <v>903</v>
      </c>
      <c r="N2162" s="5" t="n"/>
      <c r="O2162" s="5">
        <f>+M2162+N2162</f>
        <v/>
      </c>
      <c r="P2162" s="4" t="n">
        <v>45863</v>
      </c>
      <c r="Q2162" s="87" t="n">
        <v>45856</v>
      </c>
      <c r="R2162" s="5" t="n">
        <v>1029.42</v>
      </c>
      <c r="S2162" s="2" t="n">
        <v>1</v>
      </c>
      <c r="T2162" s="3" t="inlineStr">
        <is>
          <t>6B/2025/2S</t>
        </is>
      </c>
      <c r="U2162" s="87" t="n">
        <v>45873</v>
      </c>
      <c r="V2162" s="3" t="inlineStr">
        <is>
          <t>22</t>
        </is>
      </c>
      <c r="W2162" s="87" t="n">
        <v>45873</v>
      </c>
      <c r="X2162" s="4" t="inlineStr">
        <is>
          <t xml:space="preserve">Bin Humaid National Trading Co </t>
        </is>
      </c>
    </row>
    <row r="2163" ht="24" customHeight="1">
      <c r="A2163" s="2">
        <f>+D2163-S2163</f>
        <v/>
      </c>
      <c r="B2163" s="80" t="n">
        <v>3781</v>
      </c>
      <c r="C2163" s="66" t="n">
        <v>45863</v>
      </c>
      <c r="D2163" s="2" t="n">
        <v>1</v>
      </c>
      <c r="E2163" s="3" t="inlineStr">
        <is>
          <t>CARABINA</t>
        </is>
      </c>
      <c r="F2163" s="3" t="inlineStr">
        <is>
          <t>223 REM</t>
        </is>
      </c>
      <c r="G2163" s="3" t="inlineStr">
        <is>
          <t>BENELLI</t>
        </is>
      </c>
      <c r="H2163" s="65" t="inlineStr">
        <is>
          <t>LUPO BE.S.T.  24"</t>
        </is>
      </c>
      <c r="I2163" s="65" t="inlineStr">
        <is>
          <t>AR035151W</t>
        </is>
      </c>
      <c r="J2163" s="65" t="inlineStr">
        <is>
          <t>N/D</t>
        </is>
      </c>
      <c r="K2163" s="65" t="inlineStr">
        <is>
          <t>N/D</t>
        </is>
      </c>
      <c r="L2163" s="127" t="inlineStr">
        <is>
          <t>BENELLI ARMI SPA</t>
        </is>
      </c>
      <c r="M2163" s="5" t="n">
        <v>903</v>
      </c>
      <c r="N2163" s="5" t="n"/>
      <c r="O2163" s="5">
        <f>+M2163+N2163</f>
        <v/>
      </c>
      <c r="P2163" s="4" t="n">
        <v>45863</v>
      </c>
      <c r="Q2163" s="87" t="n">
        <v>45856</v>
      </c>
      <c r="R2163" s="5" t="n">
        <v>1029.42</v>
      </c>
      <c r="S2163" s="2" t="n">
        <v>1</v>
      </c>
      <c r="T2163" s="3" t="inlineStr">
        <is>
          <t>6B/2025/2S</t>
        </is>
      </c>
      <c r="U2163" s="87" t="n">
        <v>45873</v>
      </c>
      <c r="V2163" s="3" t="inlineStr">
        <is>
          <t>22</t>
        </is>
      </c>
      <c r="W2163" s="87" t="n">
        <v>45873</v>
      </c>
      <c r="X2163" s="4" t="inlineStr">
        <is>
          <t xml:space="preserve">Bin Humaid National Trading Co </t>
        </is>
      </c>
    </row>
    <row r="2164" ht="24" customHeight="1">
      <c r="A2164" s="2">
        <f>+D2164-S2164</f>
        <v/>
      </c>
      <c r="B2164" s="80" t="n">
        <v>3782</v>
      </c>
      <c r="C2164" s="66" t="n">
        <v>45863</v>
      </c>
      <c r="D2164" s="2" t="n">
        <v>1</v>
      </c>
      <c r="E2164" s="3" t="inlineStr">
        <is>
          <t>CARABINA</t>
        </is>
      </c>
      <c r="F2164" s="3" t="inlineStr">
        <is>
          <t>223 REM</t>
        </is>
      </c>
      <c r="G2164" s="3" t="inlineStr">
        <is>
          <t>BENELLI</t>
        </is>
      </c>
      <c r="H2164" s="65" t="inlineStr">
        <is>
          <t>LUPO BE.S.T.  24"</t>
        </is>
      </c>
      <c r="I2164" s="65" t="inlineStr">
        <is>
          <t>AR035154C</t>
        </is>
      </c>
      <c r="J2164" s="65" t="inlineStr">
        <is>
          <t>N/D</t>
        </is>
      </c>
      <c r="K2164" s="65" t="inlineStr">
        <is>
          <t>N/D</t>
        </is>
      </c>
      <c r="L2164" s="127" t="inlineStr">
        <is>
          <t>BENELLI ARMI SPA</t>
        </is>
      </c>
      <c r="M2164" s="5" t="n">
        <v>903</v>
      </c>
      <c r="N2164" s="5" t="n"/>
      <c r="O2164" s="5">
        <f>+M2164+N2164</f>
        <v/>
      </c>
      <c r="P2164" s="4" t="n">
        <v>45863</v>
      </c>
      <c r="Q2164" s="87" t="n">
        <v>45856</v>
      </c>
      <c r="R2164" s="5" t="n">
        <v>1029.42</v>
      </c>
      <c r="S2164" s="2" t="n">
        <v>1</v>
      </c>
      <c r="T2164" s="3" t="inlineStr">
        <is>
          <t>6B/2025/2S</t>
        </is>
      </c>
      <c r="U2164" s="87" t="n">
        <v>45873</v>
      </c>
      <c r="V2164" s="3" t="inlineStr">
        <is>
          <t>22</t>
        </is>
      </c>
      <c r="W2164" s="87" t="n">
        <v>45873</v>
      </c>
      <c r="X2164" s="4" t="inlineStr">
        <is>
          <t xml:space="preserve">Bin Humaid National Trading Co </t>
        </is>
      </c>
    </row>
    <row r="2165" ht="24" customHeight="1">
      <c r="A2165" s="2">
        <f>+D2165-S2165</f>
        <v/>
      </c>
      <c r="B2165" s="80" t="n">
        <v>3783</v>
      </c>
      <c r="C2165" s="66" t="n">
        <v>45863</v>
      </c>
      <c r="D2165" s="2" t="n">
        <v>1</v>
      </c>
      <c r="E2165" s="3" t="inlineStr">
        <is>
          <t>CARABINA</t>
        </is>
      </c>
      <c r="F2165" s="3" t="inlineStr">
        <is>
          <t>223 REM</t>
        </is>
      </c>
      <c r="G2165" s="3" t="inlineStr">
        <is>
          <t>BENELLI</t>
        </is>
      </c>
      <c r="H2165" s="65" t="inlineStr">
        <is>
          <t>LUPO BE.S.T.  24"</t>
        </is>
      </c>
      <c r="I2165" s="65" t="inlineStr">
        <is>
          <t>AR035158M</t>
        </is>
      </c>
      <c r="J2165" s="65" t="inlineStr">
        <is>
          <t>N/D</t>
        </is>
      </c>
      <c r="K2165" s="65" t="inlineStr">
        <is>
          <t>N/D</t>
        </is>
      </c>
      <c r="L2165" s="127" t="inlineStr">
        <is>
          <t>BENELLI ARMI SPA</t>
        </is>
      </c>
      <c r="M2165" s="5" t="n">
        <v>903</v>
      </c>
      <c r="N2165" s="5" t="n"/>
      <c r="O2165" s="5">
        <f>+M2165+N2165</f>
        <v/>
      </c>
      <c r="P2165" s="4" t="n">
        <v>45863</v>
      </c>
      <c r="Q2165" s="87" t="n">
        <v>45856</v>
      </c>
      <c r="R2165" s="5" t="n">
        <v>1029.42</v>
      </c>
      <c r="S2165" s="2" t="n">
        <v>1</v>
      </c>
      <c r="T2165" s="3" t="inlineStr">
        <is>
          <t>6B/2025/2S</t>
        </is>
      </c>
      <c r="U2165" s="87" t="n">
        <v>45873</v>
      </c>
      <c r="V2165" s="3" t="inlineStr">
        <is>
          <t>22</t>
        </is>
      </c>
      <c r="W2165" s="87" t="n">
        <v>45873</v>
      </c>
      <c r="X2165" s="4" t="inlineStr">
        <is>
          <t xml:space="preserve">Bin Humaid National Trading Co </t>
        </is>
      </c>
    </row>
    <row r="2166" ht="24" customHeight="1">
      <c r="A2166" s="2">
        <f>+D2166-S2166</f>
        <v/>
      </c>
      <c r="B2166" s="80" t="n">
        <v>3784</v>
      </c>
      <c r="C2166" s="66" t="n">
        <v>45863</v>
      </c>
      <c r="D2166" s="2" t="n">
        <v>1</v>
      </c>
      <c r="E2166" s="3" t="inlineStr">
        <is>
          <t>CARABINA</t>
        </is>
      </c>
      <c r="F2166" s="3" t="inlineStr">
        <is>
          <t>223 REM</t>
        </is>
      </c>
      <c r="G2166" s="3" t="inlineStr">
        <is>
          <t>BENELLI</t>
        </is>
      </c>
      <c r="H2166" s="65" t="inlineStr">
        <is>
          <t>LUPO BE.S.T.  24"</t>
        </is>
      </c>
      <c r="I2166" s="65" t="inlineStr">
        <is>
          <t>AR035169Q</t>
        </is>
      </c>
      <c r="J2166" s="65" t="inlineStr">
        <is>
          <t>N/D</t>
        </is>
      </c>
      <c r="K2166" s="65" t="inlineStr">
        <is>
          <t>N/D</t>
        </is>
      </c>
      <c r="L2166" s="127" t="inlineStr">
        <is>
          <t>BENELLI ARMI SPA</t>
        </is>
      </c>
      <c r="M2166" s="5" t="n">
        <v>903</v>
      </c>
      <c r="N2166" s="5" t="n"/>
      <c r="O2166" s="5">
        <f>+M2166+N2166</f>
        <v/>
      </c>
      <c r="P2166" s="4" t="n">
        <v>45863</v>
      </c>
      <c r="Q2166" s="87" t="n">
        <v>45856</v>
      </c>
      <c r="R2166" s="5" t="n">
        <v>1029.42</v>
      </c>
      <c r="S2166" s="2" t="n">
        <v>1</v>
      </c>
      <c r="T2166" s="3" t="inlineStr">
        <is>
          <t>6B/2025/2S</t>
        </is>
      </c>
      <c r="U2166" s="87" t="n">
        <v>45873</v>
      </c>
      <c r="V2166" s="3" t="inlineStr">
        <is>
          <t>22</t>
        </is>
      </c>
      <c r="W2166" s="87" t="n">
        <v>45873</v>
      </c>
      <c r="X2166" s="4" t="inlineStr">
        <is>
          <t xml:space="preserve">Bin Humaid National Trading Co </t>
        </is>
      </c>
    </row>
    <row r="2167" ht="24" customHeight="1">
      <c r="A2167" s="2">
        <f>+D2167-S2167</f>
        <v/>
      </c>
      <c r="B2167" s="80" t="n">
        <v>3785</v>
      </c>
      <c r="C2167" s="66" t="n">
        <v>45863</v>
      </c>
      <c r="D2167" s="2" t="n">
        <v>1</v>
      </c>
      <c r="E2167" s="3" t="inlineStr">
        <is>
          <t>CARABINA</t>
        </is>
      </c>
      <c r="F2167" s="3" t="inlineStr">
        <is>
          <t>223 REM</t>
        </is>
      </c>
      <c r="G2167" s="3" t="inlineStr">
        <is>
          <t>BENELLI</t>
        </is>
      </c>
      <c r="H2167" s="65" t="inlineStr">
        <is>
          <t>LUPO BE.S.T.  24"</t>
        </is>
      </c>
      <c r="I2167" s="65" t="inlineStr">
        <is>
          <t>AR035173C</t>
        </is>
      </c>
      <c r="J2167" s="65" t="inlineStr">
        <is>
          <t>N/D</t>
        </is>
      </c>
      <c r="K2167" s="65" t="inlineStr">
        <is>
          <t>N/D</t>
        </is>
      </c>
      <c r="L2167" s="127" t="inlineStr">
        <is>
          <t>BENELLI ARMI SPA</t>
        </is>
      </c>
      <c r="M2167" s="5" t="n">
        <v>903</v>
      </c>
      <c r="N2167" s="5" t="n"/>
      <c r="O2167" s="5">
        <f>+M2167+N2167</f>
        <v/>
      </c>
      <c r="P2167" s="4" t="n">
        <v>45863</v>
      </c>
      <c r="Q2167" s="87" t="n">
        <v>45856</v>
      </c>
      <c r="R2167" s="5" t="n">
        <v>1029.42</v>
      </c>
      <c r="S2167" s="2" t="n">
        <v>1</v>
      </c>
      <c r="T2167" s="3" t="inlineStr">
        <is>
          <t>6B/2025/2S</t>
        </is>
      </c>
      <c r="U2167" s="87" t="n">
        <v>45873</v>
      </c>
      <c r="V2167" s="3" t="inlineStr">
        <is>
          <t>22</t>
        </is>
      </c>
      <c r="W2167" s="87" t="n">
        <v>45873</v>
      </c>
      <c r="X2167" s="4" t="inlineStr">
        <is>
          <t xml:space="preserve">Bin Humaid National Trading Co </t>
        </is>
      </c>
    </row>
    <row r="2168" ht="24" customHeight="1">
      <c r="A2168" s="2">
        <f>+D2168-S2168</f>
        <v/>
      </c>
      <c r="B2168" s="80" t="n">
        <v>3786</v>
      </c>
      <c r="C2168" s="66" t="n">
        <v>45863</v>
      </c>
      <c r="D2168" s="2" t="n">
        <v>1</v>
      </c>
      <c r="E2168" s="3" t="inlineStr">
        <is>
          <t>CARABINA</t>
        </is>
      </c>
      <c r="F2168" s="3" t="inlineStr">
        <is>
          <t>223 REM</t>
        </is>
      </c>
      <c r="G2168" s="3" t="inlineStr">
        <is>
          <t>BENELLI</t>
        </is>
      </c>
      <c r="H2168" s="65" t="inlineStr">
        <is>
          <t>LUPO BE.S.T.  24"</t>
        </is>
      </c>
      <c r="I2168" s="65" t="inlineStr">
        <is>
          <t>AR036685W</t>
        </is>
      </c>
      <c r="J2168" s="65" t="inlineStr">
        <is>
          <t>N/D</t>
        </is>
      </c>
      <c r="K2168" s="65" t="inlineStr">
        <is>
          <t>N/D</t>
        </is>
      </c>
      <c r="L2168" s="127" t="inlineStr">
        <is>
          <t>BENELLI ARMI SPA</t>
        </is>
      </c>
      <c r="M2168" s="5" t="n">
        <v>903</v>
      </c>
      <c r="N2168" s="5" t="n"/>
      <c r="O2168" s="5">
        <f>+M2168+N2168</f>
        <v/>
      </c>
      <c r="P2168" s="4" t="n">
        <v>45863</v>
      </c>
      <c r="Q2168" s="87" t="n">
        <v>45856</v>
      </c>
      <c r="R2168" s="5" t="n">
        <v>1029.42</v>
      </c>
      <c r="S2168" s="2" t="n">
        <v>1</v>
      </c>
      <c r="T2168" s="3" t="inlineStr">
        <is>
          <t>6B/2025/2S</t>
        </is>
      </c>
      <c r="U2168" s="87" t="n">
        <v>45873</v>
      </c>
      <c r="V2168" s="3" t="inlineStr">
        <is>
          <t>22</t>
        </is>
      </c>
      <c r="W2168" s="87" t="n">
        <v>45873</v>
      </c>
      <c r="X2168" s="4" t="inlineStr">
        <is>
          <t xml:space="preserve">Bin Humaid National Trading Co </t>
        </is>
      </c>
    </row>
    <row r="2169" ht="24" customHeight="1">
      <c r="A2169" s="2">
        <f>+D2169-S2169</f>
        <v/>
      </c>
      <c r="B2169" s="80" t="n">
        <v>3787</v>
      </c>
      <c r="C2169" s="66" t="n">
        <v>45863</v>
      </c>
      <c r="D2169" s="2" t="n">
        <v>1</v>
      </c>
      <c r="E2169" s="3" t="inlineStr">
        <is>
          <t>CARABINA</t>
        </is>
      </c>
      <c r="F2169" s="3" t="inlineStr">
        <is>
          <t>223 REM</t>
        </is>
      </c>
      <c r="G2169" s="3" t="inlineStr">
        <is>
          <t>BENELLI</t>
        </is>
      </c>
      <c r="H2169" s="65" t="inlineStr">
        <is>
          <t>LUPO BE.S.T.  24"</t>
        </is>
      </c>
      <c r="I2169" s="65" t="inlineStr">
        <is>
          <t>AR036686Y</t>
        </is>
      </c>
      <c r="J2169" s="65" t="inlineStr">
        <is>
          <t>N/D</t>
        </is>
      </c>
      <c r="K2169" s="65" t="inlineStr">
        <is>
          <t>N/D</t>
        </is>
      </c>
      <c r="L2169" s="127" t="inlineStr">
        <is>
          <t>BENELLI ARMI SPA</t>
        </is>
      </c>
      <c r="M2169" s="5" t="n">
        <v>903</v>
      </c>
      <c r="N2169" s="5" t="n"/>
      <c r="O2169" s="5">
        <f>+M2169+N2169</f>
        <v/>
      </c>
      <c r="P2169" s="4" t="n">
        <v>45863</v>
      </c>
      <c r="Q2169" s="87" t="n">
        <v>45856</v>
      </c>
      <c r="R2169" s="5" t="n">
        <v>1029.42</v>
      </c>
      <c r="S2169" s="2" t="n">
        <v>1</v>
      </c>
      <c r="T2169" s="3" t="inlineStr">
        <is>
          <t>6B/2025/2S</t>
        </is>
      </c>
      <c r="U2169" s="87" t="n">
        <v>45873</v>
      </c>
      <c r="V2169" s="3" t="inlineStr">
        <is>
          <t>22</t>
        </is>
      </c>
      <c r="W2169" s="87" t="n">
        <v>45873</v>
      </c>
      <c r="X2169" s="4" t="inlineStr">
        <is>
          <t xml:space="preserve">Bin Humaid National Trading Co </t>
        </is>
      </c>
    </row>
    <row r="2170" ht="24" customHeight="1">
      <c r="A2170" s="2">
        <f>+D2170-S2170</f>
        <v/>
      </c>
      <c r="B2170" s="80" t="n">
        <v>3788</v>
      </c>
      <c r="C2170" s="66" t="n">
        <v>45863</v>
      </c>
      <c r="D2170" s="2" t="n">
        <v>1</v>
      </c>
      <c r="E2170" s="3" t="inlineStr">
        <is>
          <t>CARABINA</t>
        </is>
      </c>
      <c r="F2170" s="3" t="inlineStr">
        <is>
          <t>223 REM</t>
        </is>
      </c>
      <c r="G2170" s="3" t="inlineStr">
        <is>
          <t>BENELLI</t>
        </is>
      </c>
      <c r="H2170" s="65" t="inlineStr">
        <is>
          <t>LUPO BE.S.T.  24"</t>
        </is>
      </c>
      <c r="I2170" s="65" t="inlineStr">
        <is>
          <t>AR036687A</t>
        </is>
      </c>
      <c r="J2170" s="65" t="inlineStr">
        <is>
          <t>N/D</t>
        </is>
      </c>
      <c r="K2170" s="65" t="inlineStr">
        <is>
          <t>N/D</t>
        </is>
      </c>
      <c r="L2170" s="127" t="inlineStr">
        <is>
          <t>BENELLI ARMI SPA</t>
        </is>
      </c>
      <c r="M2170" s="5" t="n">
        <v>903</v>
      </c>
      <c r="N2170" s="5" t="n"/>
      <c r="O2170" s="5">
        <f>+M2170+N2170</f>
        <v/>
      </c>
      <c r="P2170" s="4" t="n">
        <v>45863</v>
      </c>
      <c r="Q2170" s="87" t="n">
        <v>45856</v>
      </c>
      <c r="R2170" s="5" t="n">
        <v>1029.42</v>
      </c>
      <c r="S2170" s="2" t="n">
        <v>1</v>
      </c>
      <c r="T2170" s="3" t="inlineStr">
        <is>
          <t>6B/2025/2S</t>
        </is>
      </c>
      <c r="U2170" s="87" t="n">
        <v>45873</v>
      </c>
      <c r="V2170" s="3" t="inlineStr">
        <is>
          <t>22</t>
        </is>
      </c>
      <c r="W2170" s="87" t="n">
        <v>45873</v>
      </c>
      <c r="X2170" s="4" t="inlineStr">
        <is>
          <t xml:space="preserve">Bin Humaid National Trading Co </t>
        </is>
      </c>
    </row>
    <row r="2171" ht="24" customHeight="1">
      <c r="A2171" s="2">
        <f>+D2171-S2171</f>
        <v/>
      </c>
      <c r="B2171" s="80" t="n">
        <v>3789</v>
      </c>
      <c r="C2171" s="66" t="n">
        <v>45863</v>
      </c>
      <c r="D2171" s="2" t="n">
        <v>1</v>
      </c>
      <c r="E2171" s="3" t="inlineStr">
        <is>
          <t>CARABINA</t>
        </is>
      </c>
      <c r="F2171" s="3" t="inlineStr">
        <is>
          <t>223 REM</t>
        </is>
      </c>
      <c r="G2171" s="3" t="inlineStr">
        <is>
          <t>BENELLI</t>
        </is>
      </c>
      <c r="H2171" s="65" t="inlineStr">
        <is>
          <t>LUPO BE.S.T.  24"</t>
        </is>
      </c>
      <c r="I2171" s="65" t="inlineStr">
        <is>
          <t>AR036691N</t>
        </is>
      </c>
      <c r="J2171" s="65" t="inlineStr">
        <is>
          <t>N/D</t>
        </is>
      </c>
      <c r="K2171" s="65" t="inlineStr">
        <is>
          <t>N/D</t>
        </is>
      </c>
      <c r="L2171" s="127" t="inlineStr">
        <is>
          <t>BENELLI ARMI SPA</t>
        </is>
      </c>
      <c r="M2171" s="5" t="n">
        <v>903</v>
      </c>
      <c r="N2171" s="5" t="n"/>
      <c r="O2171" s="5">
        <f>+M2171+N2171</f>
        <v/>
      </c>
      <c r="P2171" s="4" t="n">
        <v>45863</v>
      </c>
      <c r="Q2171" s="87" t="n">
        <v>45856</v>
      </c>
      <c r="R2171" s="5" t="n">
        <v>1029.42</v>
      </c>
      <c r="S2171" s="2" t="n">
        <v>1</v>
      </c>
      <c r="T2171" s="3" t="inlineStr">
        <is>
          <t>6B/2025/2S</t>
        </is>
      </c>
      <c r="U2171" s="87" t="n">
        <v>45873</v>
      </c>
      <c r="V2171" s="3" t="inlineStr">
        <is>
          <t>22</t>
        </is>
      </c>
      <c r="W2171" s="87" t="n">
        <v>45873</v>
      </c>
      <c r="X2171" s="4" t="inlineStr">
        <is>
          <t xml:space="preserve">Bin Humaid National Trading Co </t>
        </is>
      </c>
    </row>
    <row r="2172" ht="24" customHeight="1">
      <c r="A2172" s="2">
        <f>+D2172-S2172</f>
        <v/>
      </c>
      <c r="B2172" s="80" t="n">
        <v>3790</v>
      </c>
      <c r="C2172" s="66" t="n">
        <v>45863</v>
      </c>
      <c r="D2172" s="2" t="n">
        <v>1</v>
      </c>
      <c r="E2172" s="3" t="inlineStr">
        <is>
          <t>CARABINA</t>
        </is>
      </c>
      <c r="F2172" s="3" t="inlineStr">
        <is>
          <t>223 REM</t>
        </is>
      </c>
      <c r="G2172" s="3" t="inlineStr">
        <is>
          <t>BENELLI</t>
        </is>
      </c>
      <c r="H2172" s="65" t="inlineStr">
        <is>
          <t>LUPO BE.S.T.  24"</t>
        </is>
      </c>
      <c r="I2172" s="65" t="inlineStr">
        <is>
          <t>AR036738Z</t>
        </is>
      </c>
      <c r="J2172" s="65" t="inlineStr">
        <is>
          <t>N/D</t>
        </is>
      </c>
      <c r="K2172" s="65" t="inlineStr">
        <is>
          <t>N/D</t>
        </is>
      </c>
      <c r="L2172" s="127" t="inlineStr">
        <is>
          <t>BENELLI ARMI SPA</t>
        </is>
      </c>
      <c r="M2172" s="5" t="n">
        <v>903</v>
      </c>
      <c r="N2172" s="5" t="n"/>
      <c r="O2172" s="5">
        <f>+M2172+N2172</f>
        <v/>
      </c>
      <c r="P2172" s="4" t="n">
        <v>45863</v>
      </c>
      <c r="Q2172" s="87" t="n">
        <v>45856</v>
      </c>
      <c r="R2172" s="5" t="n">
        <v>1029.42</v>
      </c>
      <c r="S2172" s="2" t="n">
        <v>1</v>
      </c>
      <c r="T2172" s="3" t="inlineStr">
        <is>
          <t>6B/2025/2S</t>
        </is>
      </c>
      <c r="U2172" s="87" t="n">
        <v>45873</v>
      </c>
      <c r="V2172" s="3" t="inlineStr">
        <is>
          <t>22</t>
        </is>
      </c>
      <c r="W2172" s="87" t="n">
        <v>45873</v>
      </c>
      <c r="X2172" s="4" t="inlineStr">
        <is>
          <t xml:space="preserve">Bin Humaid National Trading Co </t>
        </is>
      </c>
    </row>
    <row r="2173" ht="24" customHeight="1">
      <c r="A2173" s="2">
        <f>+D2173-S2173</f>
        <v/>
      </c>
      <c r="B2173" s="80" t="n">
        <v>3791</v>
      </c>
      <c r="C2173" s="66" t="n">
        <v>45863</v>
      </c>
      <c r="D2173" s="2" t="n">
        <v>1</v>
      </c>
      <c r="E2173" s="3" t="inlineStr">
        <is>
          <t>CARABINA</t>
        </is>
      </c>
      <c r="F2173" s="3" t="inlineStr">
        <is>
          <t>223 REM</t>
        </is>
      </c>
      <c r="G2173" s="3" t="inlineStr">
        <is>
          <t>BENELLI</t>
        </is>
      </c>
      <c r="H2173" s="65" t="inlineStr">
        <is>
          <t>LUPO BE.S.T.  24"</t>
        </is>
      </c>
      <c r="I2173" s="65" t="inlineStr">
        <is>
          <t>AR036740H</t>
        </is>
      </c>
      <c r="J2173" s="65" t="inlineStr">
        <is>
          <t>N/D</t>
        </is>
      </c>
      <c r="K2173" s="65" t="inlineStr">
        <is>
          <t>N/D</t>
        </is>
      </c>
      <c r="L2173" s="127" t="inlineStr">
        <is>
          <t>BENELLI ARMI SPA</t>
        </is>
      </c>
      <c r="M2173" s="5" t="n">
        <v>903</v>
      </c>
      <c r="N2173" s="5" t="n"/>
      <c r="O2173" s="5">
        <f>+M2173+N2173</f>
        <v/>
      </c>
      <c r="P2173" s="4" t="n">
        <v>45863</v>
      </c>
      <c r="Q2173" s="87" t="n">
        <v>45856</v>
      </c>
      <c r="R2173" s="5" t="n">
        <v>1029.42</v>
      </c>
      <c r="S2173" s="2" t="n">
        <v>1</v>
      </c>
      <c r="T2173" s="3" t="inlineStr">
        <is>
          <t>6B/2025/2S</t>
        </is>
      </c>
      <c r="U2173" s="87" t="n">
        <v>45873</v>
      </c>
      <c r="V2173" s="3" t="inlineStr">
        <is>
          <t>22</t>
        </is>
      </c>
      <c r="W2173" s="87" t="n">
        <v>45873</v>
      </c>
      <c r="X2173" s="4" t="inlineStr">
        <is>
          <t xml:space="preserve">Bin Humaid National Trading Co </t>
        </is>
      </c>
    </row>
    <row r="2174" ht="24" customHeight="1">
      <c r="A2174" s="2">
        <f>+D2174-S2174</f>
        <v/>
      </c>
      <c r="B2174" s="80" t="n">
        <v>3792</v>
      </c>
      <c r="C2174" s="66" t="n">
        <v>45863</v>
      </c>
      <c r="D2174" s="2" t="n">
        <v>1</v>
      </c>
      <c r="E2174" s="3" t="inlineStr">
        <is>
          <t>CARABINA</t>
        </is>
      </c>
      <c r="F2174" s="3" t="inlineStr">
        <is>
          <t>223 REM</t>
        </is>
      </c>
      <c r="G2174" s="3" t="inlineStr">
        <is>
          <t>BENELLI</t>
        </is>
      </c>
      <c r="H2174" s="65" t="inlineStr">
        <is>
          <t>LUPO BE.S.T.  24"</t>
        </is>
      </c>
      <c r="I2174" s="65" t="inlineStr">
        <is>
          <t>AR036754S</t>
        </is>
      </c>
      <c r="J2174" s="65" t="inlineStr">
        <is>
          <t>N/D</t>
        </is>
      </c>
      <c r="K2174" s="65" t="inlineStr">
        <is>
          <t>N/D</t>
        </is>
      </c>
      <c r="L2174" s="127" t="inlineStr">
        <is>
          <t>BENELLI ARMI SPA</t>
        </is>
      </c>
      <c r="M2174" s="5" t="n">
        <v>903</v>
      </c>
      <c r="N2174" s="5" t="n"/>
      <c r="O2174" s="5">
        <f>+M2174+N2174</f>
        <v/>
      </c>
      <c r="P2174" s="4" t="n">
        <v>45863</v>
      </c>
      <c r="Q2174" s="87" t="n">
        <v>45856</v>
      </c>
      <c r="R2174" s="5" t="n">
        <v>1029.42</v>
      </c>
      <c r="S2174" s="2" t="n">
        <v>1</v>
      </c>
      <c r="T2174" s="3" t="inlineStr">
        <is>
          <t>6B/2025/2S</t>
        </is>
      </c>
      <c r="U2174" s="87" t="n">
        <v>45873</v>
      </c>
      <c r="V2174" s="3" t="inlineStr">
        <is>
          <t>22</t>
        </is>
      </c>
      <c r="W2174" s="87" t="n">
        <v>45873</v>
      </c>
      <c r="X2174" s="4" t="inlineStr">
        <is>
          <t xml:space="preserve">Bin Humaid National Trading Co </t>
        </is>
      </c>
    </row>
    <row r="2175" ht="24" customHeight="1">
      <c r="A2175" s="2">
        <f>+D2175-S2175</f>
        <v/>
      </c>
      <c r="B2175" s="80" t="n">
        <v>3793</v>
      </c>
      <c r="C2175" s="66" t="n">
        <v>45863</v>
      </c>
      <c r="D2175" s="2" t="n">
        <v>1</v>
      </c>
      <c r="E2175" s="3" t="inlineStr">
        <is>
          <t>CARABINA</t>
        </is>
      </c>
      <c r="F2175" s="3" t="inlineStr">
        <is>
          <t>223 REM</t>
        </is>
      </c>
      <c r="G2175" s="3" t="inlineStr">
        <is>
          <t>BENELLI</t>
        </is>
      </c>
      <c r="H2175" s="65" t="inlineStr">
        <is>
          <t>LUPO BE.S.T.  24"</t>
        </is>
      </c>
      <c r="I2175" s="65" t="inlineStr">
        <is>
          <t>AR036757Z</t>
        </is>
      </c>
      <c r="J2175" s="65" t="inlineStr">
        <is>
          <t>N/D</t>
        </is>
      </c>
      <c r="K2175" s="65" t="inlineStr">
        <is>
          <t>N/D</t>
        </is>
      </c>
      <c r="L2175" s="127" t="inlineStr">
        <is>
          <t>BENELLI ARMI SPA</t>
        </is>
      </c>
      <c r="M2175" s="5" t="n">
        <v>903</v>
      </c>
      <c r="N2175" s="5" t="n"/>
      <c r="O2175" s="5">
        <f>+M2175+N2175</f>
        <v/>
      </c>
      <c r="P2175" s="4" t="n">
        <v>45863</v>
      </c>
      <c r="Q2175" s="87" t="n">
        <v>45856</v>
      </c>
      <c r="R2175" s="5" t="n">
        <v>1029.42</v>
      </c>
      <c r="S2175" s="2" t="n">
        <v>1</v>
      </c>
      <c r="T2175" s="3" t="inlineStr">
        <is>
          <t>6B/2025/2S</t>
        </is>
      </c>
      <c r="U2175" s="87" t="n">
        <v>45873</v>
      </c>
      <c r="V2175" s="3" t="inlineStr">
        <is>
          <t>22</t>
        </is>
      </c>
      <c r="W2175" s="87" t="n">
        <v>45873</v>
      </c>
      <c r="X2175" s="4" t="inlineStr">
        <is>
          <t xml:space="preserve">Bin Humaid National Trading Co </t>
        </is>
      </c>
    </row>
    <row r="2176" ht="24" customHeight="1">
      <c r="A2176" s="2">
        <f>+D2176-S2176</f>
        <v/>
      </c>
      <c r="B2176" s="80" t="n">
        <v>3794</v>
      </c>
      <c r="C2176" s="66" t="n">
        <v>45863</v>
      </c>
      <c r="D2176" s="2" t="n">
        <v>1</v>
      </c>
      <c r="E2176" s="3" t="inlineStr">
        <is>
          <t>CARABINA</t>
        </is>
      </c>
      <c r="F2176" s="3" t="inlineStr">
        <is>
          <t>223 REM</t>
        </is>
      </c>
      <c r="G2176" s="3" t="inlineStr">
        <is>
          <t>BENELLI</t>
        </is>
      </c>
      <c r="H2176" s="65" t="inlineStr">
        <is>
          <t>LUPO BE.S.T.  24"</t>
        </is>
      </c>
      <c r="I2176" s="65" t="inlineStr">
        <is>
          <t>AR036763R</t>
        </is>
      </c>
      <c r="J2176" s="65" t="inlineStr">
        <is>
          <t>N/D</t>
        </is>
      </c>
      <c r="K2176" s="65" t="inlineStr">
        <is>
          <t>N/D</t>
        </is>
      </c>
      <c r="L2176" s="127" t="inlineStr">
        <is>
          <t>BENELLI ARMI SPA</t>
        </is>
      </c>
      <c r="M2176" s="5" t="n">
        <v>903</v>
      </c>
      <c r="N2176" s="5" t="n"/>
      <c r="O2176" s="5">
        <f>+M2176+N2176</f>
        <v/>
      </c>
      <c r="P2176" s="4" t="n">
        <v>45863</v>
      </c>
      <c r="Q2176" s="87" t="n">
        <v>45856</v>
      </c>
      <c r="R2176" s="5" t="n">
        <v>1029.42</v>
      </c>
      <c r="S2176" s="2" t="n">
        <v>1</v>
      </c>
      <c r="T2176" s="3" t="inlineStr">
        <is>
          <t>6B/2025/2S</t>
        </is>
      </c>
      <c r="U2176" s="87" t="n">
        <v>45873</v>
      </c>
      <c r="V2176" s="3" t="inlineStr">
        <is>
          <t>22</t>
        </is>
      </c>
      <c r="W2176" s="87" t="n">
        <v>45873</v>
      </c>
      <c r="X2176" s="4" t="inlineStr">
        <is>
          <t xml:space="preserve">Bin Humaid National Trading Co </t>
        </is>
      </c>
    </row>
    <row r="2177" ht="24" customHeight="1">
      <c r="A2177" s="2">
        <f>+D2177-S2177</f>
        <v/>
      </c>
      <c r="B2177" s="80" t="n">
        <v>3795</v>
      </c>
      <c r="C2177" s="66" t="n">
        <v>45863</v>
      </c>
      <c r="D2177" s="2" t="n">
        <v>1</v>
      </c>
      <c r="E2177" s="3" t="inlineStr">
        <is>
          <t>CARABINA</t>
        </is>
      </c>
      <c r="F2177" s="3" t="inlineStr">
        <is>
          <t>223 REM</t>
        </is>
      </c>
      <c r="G2177" s="3" t="inlineStr">
        <is>
          <t>BENELLI</t>
        </is>
      </c>
      <c r="H2177" s="65" t="inlineStr">
        <is>
          <t>LUPO BE.S.T.  24"</t>
        </is>
      </c>
      <c r="I2177" s="65" t="inlineStr">
        <is>
          <t>AR036764T</t>
        </is>
      </c>
      <c r="J2177" s="65" t="inlineStr">
        <is>
          <t>N/D</t>
        </is>
      </c>
      <c r="K2177" s="65" t="inlineStr">
        <is>
          <t>N/D</t>
        </is>
      </c>
      <c r="L2177" s="127" t="inlineStr">
        <is>
          <t>BENELLI ARMI SPA</t>
        </is>
      </c>
      <c r="M2177" s="5" t="n">
        <v>903</v>
      </c>
      <c r="N2177" s="5" t="n"/>
      <c r="O2177" s="5">
        <f>+M2177+N2177</f>
        <v/>
      </c>
      <c r="P2177" s="4" t="n">
        <v>45863</v>
      </c>
      <c r="Q2177" s="87" t="n">
        <v>45856</v>
      </c>
      <c r="R2177" s="5" t="n">
        <v>1029.42</v>
      </c>
      <c r="S2177" s="2" t="n">
        <v>1</v>
      </c>
      <c r="T2177" s="3" t="inlineStr">
        <is>
          <t>6B/2025/2S</t>
        </is>
      </c>
      <c r="U2177" s="87" t="n">
        <v>45873</v>
      </c>
      <c r="V2177" s="3" t="inlineStr">
        <is>
          <t>22</t>
        </is>
      </c>
      <c r="W2177" s="87" t="n">
        <v>45873</v>
      </c>
      <c r="X2177" s="4" t="inlineStr">
        <is>
          <t xml:space="preserve">Bin Humaid National Trading Co </t>
        </is>
      </c>
    </row>
    <row r="2178" ht="24" customHeight="1">
      <c r="A2178" s="2">
        <f>+D2178-S2178</f>
        <v/>
      </c>
      <c r="B2178" s="80" t="n">
        <v>3796</v>
      </c>
      <c r="C2178" s="66" t="n">
        <v>45863</v>
      </c>
      <c r="D2178" s="2" t="n">
        <v>1</v>
      </c>
      <c r="E2178" s="3" t="inlineStr">
        <is>
          <t>CARABINA</t>
        </is>
      </c>
      <c r="F2178" s="3" t="inlineStr">
        <is>
          <t>223 REM</t>
        </is>
      </c>
      <c r="G2178" s="3" t="inlineStr">
        <is>
          <t>BENELLI</t>
        </is>
      </c>
      <c r="H2178" s="65" t="inlineStr">
        <is>
          <t>LUPO BE.S.T.  24"</t>
        </is>
      </c>
      <c r="I2178" s="65" t="inlineStr">
        <is>
          <t>AR036768C</t>
        </is>
      </c>
      <c r="J2178" s="65" t="inlineStr">
        <is>
          <t>N/D</t>
        </is>
      </c>
      <c r="K2178" s="65" t="inlineStr">
        <is>
          <t>N/D</t>
        </is>
      </c>
      <c r="L2178" s="127" t="inlineStr">
        <is>
          <t>BENELLI ARMI SPA</t>
        </is>
      </c>
      <c r="M2178" s="5" t="n">
        <v>903</v>
      </c>
      <c r="N2178" s="5" t="n"/>
      <c r="O2178" s="5">
        <f>+M2178+N2178</f>
        <v/>
      </c>
      <c r="P2178" s="4" t="n">
        <v>45863</v>
      </c>
      <c r="Q2178" s="87" t="n">
        <v>45856</v>
      </c>
      <c r="R2178" s="5" t="n">
        <v>1029.42</v>
      </c>
      <c r="S2178" s="2" t="n">
        <v>1</v>
      </c>
      <c r="T2178" s="3" t="inlineStr">
        <is>
          <t>6B/2025/2S</t>
        </is>
      </c>
      <c r="U2178" s="87" t="n">
        <v>45873</v>
      </c>
      <c r="V2178" s="3" t="inlineStr">
        <is>
          <t>22</t>
        </is>
      </c>
      <c r="W2178" s="87" t="n">
        <v>45873</v>
      </c>
      <c r="X2178" s="4" t="inlineStr">
        <is>
          <t xml:space="preserve">Bin Humaid National Trading Co </t>
        </is>
      </c>
    </row>
    <row r="2179" ht="24" customHeight="1">
      <c r="A2179" s="2">
        <f>+D2179-S2179</f>
        <v/>
      </c>
      <c r="B2179" s="80" t="n">
        <v>3797</v>
      </c>
      <c r="C2179" s="66" t="n">
        <v>45863</v>
      </c>
      <c r="D2179" s="2" t="n">
        <v>1</v>
      </c>
      <c r="E2179" s="3" t="inlineStr">
        <is>
          <t>CARABINA</t>
        </is>
      </c>
      <c r="F2179" s="3" t="inlineStr">
        <is>
          <t>223 REM</t>
        </is>
      </c>
      <c r="G2179" s="3" t="inlineStr">
        <is>
          <t>BENELLI</t>
        </is>
      </c>
      <c r="H2179" s="65" t="inlineStr">
        <is>
          <t>LUPO BE.S.T.  24"</t>
        </is>
      </c>
      <c r="I2179" s="65" t="inlineStr">
        <is>
          <t>AR040878B</t>
        </is>
      </c>
      <c r="J2179" s="65" t="inlineStr">
        <is>
          <t>N/D</t>
        </is>
      </c>
      <c r="K2179" s="65" t="inlineStr">
        <is>
          <t>N/D</t>
        </is>
      </c>
      <c r="L2179" s="127" t="inlineStr">
        <is>
          <t>BENELLI ARMI SPA</t>
        </is>
      </c>
      <c r="M2179" s="5" t="n">
        <v>903</v>
      </c>
      <c r="N2179" s="5" t="n"/>
      <c r="O2179" s="5">
        <f>+M2179+N2179</f>
        <v/>
      </c>
      <c r="P2179" s="4" t="n">
        <v>45863</v>
      </c>
      <c r="Q2179" s="87" t="n">
        <v>45856</v>
      </c>
      <c r="R2179" s="5" t="n">
        <v>1029.42</v>
      </c>
      <c r="S2179" s="2" t="n">
        <v>1</v>
      </c>
      <c r="T2179" s="3" t="inlineStr">
        <is>
          <t>6B/2025/2S</t>
        </is>
      </c>
      <c r="U2179" s="87" t="n">
        <v>45873</v>
      </c>
      <c r="V2179" s="3" t="inlineStr">
        <is>
          <t>22</t>
        </is>
      </c>
      <c r="W2179" s="87" t="n">
        <v>45873</v>
      </c>
      <c r="X2179" s="4" t="inlineStr">
        <is>
          <t xml:space="preserve">Bin Humaid National Trading Co </t>
        </is>
      </c>
    </row>
    <row r="2180" ht="24" customHeight="1">
      <c r="A2180" s="2">
        <f>+D2180-S2180</f>
        <v/>
      </c>
      <c r="B2180" s="80" t="n">
        <v>3798</v>
      </c>
      <c r="C2180" s="66" t="n">
        <v>45863</v>
      </c>
      <c r="D2180" s="2" t="n">
        <v>1</v>
      </c>
      <c r="E2180" s="3" t="inlineStr">
        <is>
          <t>CARABINA</t>
        </is>
      </c>
      <c r="F2180" s="3" t="inlineStr">
        <is>
          <t>223 REM</t>
        </is>
      </c>
      <c r="G2180" s="3" t="inlineStr">
        <is>
          <t>BENELLI</t>
        </is>
      </c>
      <c r="H2180" s="65" t="inlineStr">
        <is>
          <t>LUPO BE.S.T.  24"</t>
        </is>
      </c>
      <c r="I2180" s="65" t="inlineStr">
        <is>
          <t>AR040952N</t>
        </is>
      </c>
      <c r="J2180" s="65" t="inlineStr">
        <is>
          <t>N/D</t>
        </is>
      </c>
      <c r="K2180" s="65" t="inlineStr">
        <is>
          <t>N/D</t>
        </is>
      </c>
      <c r="L2180" s="127" t="inlineStr">
        <is>
          <t>BENELLI ARMI SPA</t>
        </is>
      </c>
      <c r="M2180" s="5" t="n">
        <v>903</v>
      </c>
      <c r="N2180" s="5" t="n"/>
      <c r="O2180" s="5">
        <f>+M2180+N2180</f>
        <v/>
      </c>
      <c r="P2180" s="4" t="n">
        <v>45863</v>
      </c>
      <c r="Q2180" s="87" t="n">
        <v>45856</v>
      </c>
      <c r="R2180" s="5" t="n">
        <v>1029.42</v>
      </c>
      <c r="S2180" s="2" t="n">
        <v>1</v>
      </c>
      <c r="T2180" s="3" t="inlineStr">
        <is>
          <t>6B/2025/2S</t>
        </is>
      </c>
      <c r="U2180" s="87" t="n">
        <v>45873</v>
      </c>
      <c r="V2180" s="3" t="inlineStr">
        <is>
          <t>22</t>
        </is>
      </c>
      <c r="W2180" s="87" t="n">
        <v>45873</v>
      </c>
      <c r="X2180" s="4" t="inlineStr">
        <is>
          <t xml:space="preserve">Bin Humaid National Trading Co </t>
        </is>
      </c>
    </row>
    <row r="2181" ht="24" customHeight="1">
      <c r="A2181" s="2">
        <f>+D2181-S2181</f>
        <v/>
      </c>
      <c r="B2181" s="80" t="n">
        <v>3799</v>
      </c>
      <c r="C2181" s="66" t="n">
        <v>45863</v>
      </c>
      <c r="D2181" s="2" t="n">
        <v>1</v>
      </c>
      <c r="E2181" s="3" t="inlineStr">
        <is>
          <t>CARABINA</t>
        </is>
      </c>
      <c r="F2181" s="3" t="inlineStr">
        <is>
          <t>223 REM</t>
        </is>
      </c>
      <c r="G2181" s="3" t="inlineStr">
        <is>
          <t>BENELLI</t>
        </is>
      </c>
      <c r="H2181" s="65" t="inlineStr">
        <is>
          <t>LUPO BE.S.T.  24"</t>
        </is>
      </c>
      <c r="I2181" s="65" t="inlineStr">
        <is>
          <t>AR042585S</t>
        </is>
      </c>
      <c r="J2181" s="65" t="inlineStr">
        <is>
          <t>N/D</t>
        </is>
      </c>
      <c r="K2181" s="65" t="inlineStr">
        <is>
          <t>N/D</t>
        </is>
      </c>
      <c r="L2181" s="127" t="inlineStr">
        <is>
          <t>BENELLI ARMI SPA</t>
        </is>
      </c>
      <c r="M2181" s="5" t="n">
        <v>903</v>
      </c>
      <c r="N2181" s="5" t="n"/>
      <c r="O2181" s="5">
        <f>+M2181+N2181</f>
        <v/>
      </c>
      <c r="P2181" s="4" t="n">
        <v>45863</v>
      </c>
      <c r="Q2181" s="87" t="n">
        <v>45856</v>
      </c>
      <c r="R2181" s="5" t="n">
        <v>1029.42</v>
      </c>
      <c r="S2181" s="2" t="n">
        <v>1</v>
      </c>
      <c r="T2181" s="3" t="inlineStr">
        <is>
          <t>6B/2025/2S</t>
        </is>
      </c>
      <c r="U2181" s="87" t="n">
        <v>45873</v>
      </c>
      <c r="V2181" s="3" t="inlineStr">
        <is>
          <t>22</t>
        </is>
      </c>
      <c r="W2181" s="87" t="n">
        <v>45873</v>
      </c>
      <c r="X2181" s="4" t="inlineStr">
        <is>
          <t xml:space="preserve">Bin Humaid National Trading Co </t>
        </is>
      </c>
    </row>
    <row r="2182" ht="24" customHeight="1">
      <c r="A2182" s="2">
        <f>+D2182-S2182</f>
        <v/>
      </c>
      <c r="B2182" s="80" t="n">
        <v>3800</v>
      </c>
      <c r="C2182" s="66" t="n">
        <v>45863</v>
      </c>
      <c r="D2182" s="2" t="n">
        <v>1</v>
      </c>
      <c r="E2182" s="3" t="inlineStr">
        <is>
          <t>CARABINA</t>
        </is>
      </c>
      <c r="F2182" s="3" t="inlineStr">
        <is>
          <t>223 REM</t>
        </is>
      </c>
      <c r="G2182" s="3" t="inlineStr">
        <is>
          <t>BENELLI</t>
        </is>
      </c>
      <c r="H2182" s="65" t="inlineStr">
        <is>
          <t>LUPO BE.S.T.  24"</t>
        </is>
      </c>
      <c r="I2182" s="65" t="inlineStr">
        <is>
          <t>AR042601B</t>
        </is>
      </c>
      <c r="J2182" s="65" t="inlineStr">
        <is>
          <t>N/D</t>
        </is>
      </c>
      <c r="K2182" s="65" t="inlineStr">
        <is>
          <t>N/D</t>
        </is>
      </c>
      <c r="L2182" s="127" t="inlineStr">
        <is>
          <t>BENELLI ARMI SPA</t>
        </is>
      </c>
      <c r="M2182" s="5" t="n">
        <v>903</v>
      </c>
      <c r="N2182" s="5" t="n"/>
      <c r="O2182" s="5">
        <f>+M2182+N2182</f>
        <v/>
      </c>
      <c r="P2182" s="4" t="n">
        <v>45863</v>
      </c>
      <c r="Q2182" s="87" t="n">
        <v>45856</v>
      </c>
      <c r="R2182" s="5" t="n">
        <v>1029.42</v>
      </c>
      <c r="S2182" s="2" t="n">
        <v>1</v>
      </c>
      <c r="T2182" s="3" t="inlineStr">
        <is>
          <t>6B/2025/2S</t>
        </is>
      </c>
      <c r="U2182" s="87" t="n">
        <v>45873</v>
      </c>
      <c r="V2182" s="3" t="inlineStr">
        <is>
          <t>22</t>
        </is>
      </c>
      <c r="W2182" s="87" t="n">
        <v>45873</v>
      </c>
      <c r="X2182" s="4" t="inlineStr">
        <is>
          <t xml:space="preserve">Bin Humaid National Trading Co </t>
        </is>
      </c>
    </row>
    <row r="2183" ht="24" customHeight="1">
      <c r="A2183" s="2">
        <f>+D2183-S2183</f>
        <v/>
      </c>
      <c r="B2183" s="80" t="n">
        <v>3801</v>
      </c>
      <c r="C2183" s="66" t="n">
        <v>45863</v>
      </c>
      <c r="D2183" s="2" t="n">
        <v>1</v>
      </c>
      <c r="E2183" s="3" t="inlineStr">
        <is>
          <t>CARABINA</t>
        </is>
      </c>
      <c r="F2183" s="3" t="inlineStr">
        <is>
          <t>223 REM</t>
        </is>
      </c>
      <c r="G2183" s="3" t="inlineStr">
        <is>
          <t>BENELLI</t>
        </is>
      </c>
      <c r="H2183" s="65" t="inlineStr">
        <is>
          <t>LUPO BE.S.T.  24"</t>
        </is>
      </c>
      <c r="I2183" s="65" t="inlineStr">
        <is>
          <t>AR043488W</t>
        </is>
      </c>
      <c r="J2183" s="65" t="inlineStr">
        <is>
          <t>N/D</t>
        </is>
      </c>
      <c r="K2183" s="65" t="inlineStr">
        <is>
          <t>N/D</t>
        </is>
      </c>
      <c r="L2183" s="127" t="inlineStr">
        <is>
          <t>BENELLI ARMI SPA</t>
        </is>
      </c>
      <c r="M2183" s="5" t="n">
        <v>903</v>
      </c>
      <c r="N2183" s="5" t="n"/>
      <c r="O2183" s="5">
        <f>+M2183+N2183</f>
        <v/>
      </c>
      <c r="P2183" s="4" t="n">
        <v>45863</v>
      </c>
      <c r="Q2183" s="87" t="n">
        <v>45856</v>
      </c>
      <c r="R2183" s="5" t="n">
        <v>1029.42</v>
      </c>
      <c r="S2183" s="2" t="n">
        <v>1</v>
      </c>
      <c r="T2183" s="3" t="inlineStr">
        <is>
          <t>6B/2025/2S</t>
        </is>
      </c>
      <c r="U2183" s="87" t="n">
        <v>45873</v>
      </c>
      <c r="V2183" s="3" t="inlineStr">
        <is>
          <t>22</t>
        </is>
      </c>
      <c r="W2183" s="87" t="n">
        <v>45873</v>
      </c>
      <c r="X2183" s="4" t="inlineStr">
        <is>
          <t xml:space="preserve">Bin Humaid National Trading Co </t>
        </is>
      </c>
    </row>
    <row r="2184" ht="24" customHeight="1">
      <c r="A2184" s="2">
        <f>+D2184-S2184</f>
        <v/>
      </c>
      <c r="B2184" s="80" t="n">
        <v>3802</v>
      </c>
      <c r="C2184" s="66" t="n">
        <v>45863</v>
      </c>
      <c r="D2184" s="2" t="n">
        <v>1</v>
      </c>
      <c r="E2184" s="3" t="inlineStr">
        <is>
          <t>CARABINA</t>
        </is>
      </c>
      <c r="F2184" s="3" t="inlineStr">
        <is>
          <t>223 REM</t>
        </is>
      </c>
      <c r="G2184" s="3" t="inlineStr">
        <is>
          <t>BENELLI</t>
        </is>
      </c>
      <c r="H2184" s="65" t="inlineStr">
        <is>
          <t>LUPO BE.S.T.  24"</t>
        </is>
      </c>
      <c r="I2184" s="65" t="inlineStr">
        <is>
          <t>AR043489Y</t>
        </is>
      </c>
      <c r="J2184" s="65" t="inlineStr">
        <is>
          <t>N/D</t>
        </is>
      </c>
      <c r="K2184" s="65" t="inlineStr">
        <is>
          <t>N/D</t>
        </is>
      </c>
      <c r="L2184" s="127" t="inlineStr">
        <is>
          <t>BENELLI ARMI SPA</t>
        </is>
      </c>
      <c r="M2184" s="5" t="n">
        <v>903</v>
      </c>
      <c r="N2184" s="5" t="n"/>
      <c r="O2184" s="5">
        <f>+M2184+N2184</f>
        <v/>
      </c>
      <c r="P2184" s="4" t="n">
        <v>45863</v>
      </c>
      <c r="Q2184" s="87" t="n">
        <v>45856</v>
      </c>
      <c r="R2184" s="5" t="n">
        <v>1029.42</v>
      </c>
      <c r="S2184" s="2" t="n">
        <v>1</v>
      </c>
      <c r="T2184" s="3" t="inlineStr">
        <is>
          <t>6B/2025/2S</t>
        </is>
      </c>
      <c r="U2184" s="87" t="n">
        <v>45873</v>
      </c>
      <c r="V2184" s="3" t="inlineStr">
        <is>
          <t>22</t>
        </is>
      </c>
      <c r="W2184" s="87" t="n">
        <v>45873</v>
      </c>
      <c r="X2184" s="4" t="inlineStr">
        <is>
          <t xml:space="preserve">Bin Humaid National Trading Co </t>
        </is>
      </c>
    </row>
    <row r="2185" ht="24" customHeight="1">
      <c r="A2185" s="2">
        <f>+D2185-S2185</f>
        <v/>
      </c>
      <c r="B2185" s="80" t="n">
        <v>3803</v>
      </c>
      <c r="C2185" s="66" t="n">
        <v>45863</v>
      </c>
      <c r="D2185" s="2" t="n">
        <v>1</v>
      </c>
      <c r="E2185" s="3" t="inlineStr">
        <is>
          <t>CARABINA</t>
        </is>
      </c>
      <c r="F2185" s="3" t="inlineStr">
        <is>
          <t>223 REM</t>
        </is>
      </c>
      <c r="G2185" s="3" t="inlineStr">
        <is>
          <t>BENELLI</t>
        </is>
      </c>
      <c r="H2185" s="65" t="inlineStr">
        <is>
          <t>LUPO BE.S.T.  24"</t>
        </is>
      </c>
      <c r="I2185" s="65" t="inlineStr">
        <is>
          <t>AR043495R</t>
        </is>
      </c>
      <c r="J2185" s="65" t="inlineStr">
        <is>
          <t>N/D</t>
        </is>
      </c>
      <c r="K2185" s="65" t="inlineStr">
        <is>
          <t>N/D</t>
        </is>
      </c>
      <c r="L2185" s="127" t="inlineStr">
        <is>
          <t>BENELLI ARMI SPA</t>
        </is>
      </c>
      <c r="M2185" s="5" t="n">
        <v>903</v>
      </c>
      <c r="N2185" s="5" t="n"/>
      <c r="O2185" s="5">
        <f>+M2185+N2185</f>
        <v/>
      </c>
      <c r="P2185" s="4" t="n">
        <v>45863</v>
      </c>
      <c r="Q2185" s="87" t="n">
        <v>45856</v>
      </c>
      <c r="R2185" s="5" t="n">
        <v>1029.42</v>
      </c>
      <c r="S2185" s="2" t="n">
        <v>1</v>
      </c>
      <c r="T2185" s="3" t="inlineStr">
        <is>
          <t>6B/2025/2S</t>
        </is>
      </c>
      <c r="U2185" s="87" t="n">
        <v>45873</v>
      </c>
      <c r="V2185" s="3" t="inlineStr">
        <is>
          <t>22</t>
        </is>
      </c>
      <c r="W2185" s="87" t="n">
        <v>45873</v>
      </c>
      <c r="X2185" s="4" t="inlineStr">
        <is>
          <t xml:space="preserve">Bin Humaid National Trading Co </t>
        </is>
      </c>
    </row>
    <row r="2186" ht="24" customHeight="1">
      <c r="A2186" s="2">
        <f>+D2186-S2186</f>
        <v/>
      </c>
      <c r="B2186" s="80" t="n">
        <v>3804</v>
      </c>
      <c r="C2186" s="66" t="n">
        <v>45863</v>
      </c>
      <c r="D2186" s="2" t="n">
        <v>1</v>
      </c>
      <c r="E2186" s="3" t="inlineStr">
        <is>
          <t>CARABINA</t>
        </is>
      </c>
      <c r="F2186" s="3" t="inlineStr">
        <is>
          <t>223 REM</t>
        </is>
      </c>
      <c r="G2186" s="3" t="inlineStr">
        <is>
          <t>BENELLI</t>
        </is>
      </c>
      <c r="H2186" s="65" t="inlineStr">
        <is>
          <t>LUPO BE.S.T.  24"</t>
        </is>
      </c>
      <c r="I2186" s="65" t="inlineStr">
        <is>
          <t>AR043502C</t>
        </is>
      </c>
      <c r="J2186" s="65" t="inlineStr">
        <is>
          <t>N/D</t>
        </is>
      </c>
      <c r="K2186" s="65" t="inlineStr">
        <is>
          <t>N/D</t>
        </is>
      </c>
      <c r="L2186" s="127" t="inlineStr">
        <is>
          <t>BENELLI ARMI SPA</t>
        </is>
      </c>
      <c r="M2186" s="5" t="n">
        <v>903</v>
      </c>
      <c r="N2186" s="5" t="n"/>
      <c r="O2186" s="5">
        <f>+M2186+N2186</f>
        <v/>
      </c>
      <c r="P2186" s="4" t="n">
        <v>45863</v>
      </c>
      <c r="Q2186" s="87" t="n">
        <v>45856</v>
      </c>
      <c r="R2186" s="5" t="n">
        <v>1029.42</v>
      </c>
      <c r="S2186" s="2" t="n">
        <v>1</v>
      </c>
      <c r="T2186" s="3" t="inlineStr">
        <is>
          <t>6B/2025/2S</t>
        </is>
      </c>
      <c r="U2186" s="87" t="n">
        <v>45873</v>
      </c>
      <c r="V2186" s="3" t="inlineStr">
        <is>
          <t>22</t>
        </is>
      </c>
      <c r="W2186" s="87" t="n">
        <v>45873</v>
      </c>
      <c r="X2186" s="4" t="inlineStr">
        <is>
          <t xml:space="preserve">Bin Humaid National Trading Co </t>
        </is>
      </c>
    </row>
    <row r="2187" ht="24" customHeight="1">
      <c r="A2187" s="2">
        <f>+D2187-S2187</f>
        <v/>
      </c>
      <c r="B2187" s="80" t="n">
        <v>3805</v>
      </c>
      <c r="C2187" s="66" t="n">
        <v>45863</v>
      </c>
      <c r="D2187" s="2" t="n">
        <v>1</v>
      </c>
      <c r="E2187" s="3" t="inlineStr">
        <is>
          <t>CARABINA</t>
        </is>
      </c>
      <c r="F2187" s="3" t="inlineStr">
        <is>
          <t>223 REM</t>
        </is>
      </c>
      <c r="G2187" s="3" t="inlineStr">
        <is>
          <t>BENELLI</t>
        </is>
      </c>
      <c r="H2187" s="65" t="inlineStr">
        <is>
          <t>LUPO BE.S.T.  24"</t>
        </is>
      </c>
      <c r="I2187" s="65" t="inlineStr">
        <is>
          <t>AR043509T</t>
        </is>
      </c>
      <c r="J2187" s="65" t="inlineStr">
        <is>
          <t>N/D</t>
        </is>
      </c>
      <c r="K2187" s="65" t="inlineStr">
        <is>
          <t>N/D</t>
        </is>
      </c>
      <c r="L2187" s="127" t="inlineStr">
        <is>
          <t>BENELLI ARMI SPA</t>
        </is>
      </c>
      <c r="M2187" s="5" t="n">
        <v>903</v>
      </c>
      <c r="N2187" s="5" t="n"/>
      <c r="O2187" s="5">
        <f>+M2187+N2187</f>
        <v/>
      </c>
      <c r="P2187" s="4" t="n">
        <v>45863</v>
      </c>
      <c r="Q2187" s="87" t="n">
        <v>45856</v>
      </c>
      <c r="R2187" s="5" t="n">
        <v>1029.42</v>
      </c>
      <c r="S2187" s="2" t="n">
        <v>1</v>
      </c>
      <c r="T2187" s="3" t="inlineStr">
        <is>
          <t>6B/2025/2S</t>
        </is>
      </c>
      <c r="U2187" s="87" t="n">
        <v>45873</v>
      </c>
      <c r="V2187" s="3" t="inlineStr">
        <is>
          <t>22</t>
        </is>
      </c>
      <c r="W2187" s="87" t="n">
        <v>45873</v>
      </c>
      <c r="X2187" s="4" t="inlineStr">
        <is>
          <t xml:space="preserve">Bin Humaid National Trading Co </t>
        </is>
      </c>
    </row>
    <row r="2188" ht="24" customHeight="1">
      <c r="A2188" s="2">
        <f>+D2188-S2188</f>
        <v/>
      </c>
      <c r="B2188" s="80" t="n">
        <v>3806</v>
      </c>
      <c r="C2188" s="66" t="n">
        <v>45863</v>
      </c>
      <c r="D2188" s="2" t="n">
        <v>1</v>
      </c>
      <c r="E2188" s="3" t="inlineStr">
        <is>
          <t>CARABINA</t>
        </is>
      </c>
      <c r="F2188" s="3" t="inlineStr">
        <is>
          <t>223 REM</t>
        </is>
      </c>
      <c r="G2188" s="3" t="inlineStr">
        <is>
          <t>BENELLI</t>
        </is>
      </c>
      <c r="H2188" s="65" t="inlineStr">
        <is>
          <t>LUPO BE.S.T.  24"</t>
        </is>
      </c>
      <c r="I2188" s="65" t="inlineStr">
        <is>
          <t>AR043512D</t>
        </is>
      </c>
      <c r="J2188" s="65" t="inlineStr">
        <is>
          <t>N/D</t>
        </is>
      </c>
      <c r="K2188" s="65" t="inlineStr">
        <is>
          <t>N/D</t>
        </is>
      </c>
      <c r="L2188" s="127" t="inlineStr">
        <is>
          <t>BENELLI ARMI SPA</t>
        </is>
      </c>
      <c r="M2188" s="5" t="n">
        <v>903</v>
      </c>
      <c r="N2188" s="5" t="n"/>
      <c r="O2188" s="5">
        <f>+M2188+N2188</f>
        <v/>
      </c>
      <c r="P2188" s="4" t="n">
        <v>45863</v>
      </c>
      <c r="Q2188" s="87" t="n">
        <v>45856</v>
      </c>
      <c r="R2188" s="5" t="n">
        <v>1029.42</v>
      </c>
      <c r="S2188" s="2" t="n">
        <v>1</v>
      </c>
      <c r="T2188" s="3" t="inlineStr">
        <is>
          <t>6B/2025/2S</t>
        </is>
      </c>
      <c r="U2188" s="87" t="n">
        <v>45873</v>
      </c>
      <c r="V2188" s="3" t="inlineStr">
        <is>
          <t>22</t>
        </is>
      </c>
      <c r="W2188" s="87" t="n">
        <v>45873</v>
      </c>
      <c r="X2188" s="4" t="inlineStr">
        <is>
          <t xml:space="preserve">Bin Humaid National Trading Co </t>
        </is>
      </c>
    </row>
    <row r="2189" ht="24" customHeight="1">
      <c r="A2189" s="2">
        <f>+D2189-S2189</f>
        <v/>
      </c>
      <c r="B2189" s="80" t="n">
        <v>3807</v>
      </c>
      <c r="C2189" s="66" t="n">
        <v>45863</v>
      </c>
      <c r="D2189" s="2" t="n">
        <v>1</v>
      </c>
      <c r="E2189" s="3" t="inlineStr">
        <is>
          <t>CARABINA</t>
        </is>
      </c>
      <c r="F2189" s="3" t="inlineStr">
        <is>
          <t>223 REM</t>
        </is>
      </c>
      <c r="G2189" s="3" t="inlineStr">
        <is>
          <t>BENELLI</t>
        </is>
      </c>
      <c r="H2189" s="65" t="inlineStr">
        <is>
          <t>LUPO BE.S.T.  24"</t>
        </is>
      </c>
      <c r="I2189" s="65" t="inlineStr">
        <is>
          <t>AR043516N</t>
        </is>
      </c>
      <c r="J2189" s="65" t="inlineStr">
        <is>
          <t>N/D</t>
        </is>
      </c>
      <c r="K2189" s="65" t="inlineStr">
        <is>
          <t>N/D</t>
        </is>
      </c>
      <c r="L2189" s="127" t="inlineStr">
        <is>
          <t>BENELLI ARMI SPA</t>
        </is>
      </c>
      <c r="M2189" s="5" t="n">
        <v>903</v>
      </c>
      <c r="N2189" s="5" t="n"/>
      <c r="O2189" s="5">
        <f>+M2189+N2189</f>
        <v/>
      </c>
      <c r="P2189" s="4" t="n">
        <v>45863</v>
      </c>
      <c r="Q2189" s="87" t="n">
        <v>45856</v>
      </c>
      <c r="R2189" s="5" t="n">
        <v>1029.42</v>
      </c>
      <c r="S2189" s="2" t="n">
        <v>1</v>
      </c>
      <c r="T2189" s="3" t="inlineStr">
        <is>
          <t>6B/2025/2S</t>
        </is>
      </c>
      <c r="U2189" s="87" t="n">
        <v>45873</v>
      </c>
      <c r="V2189" s="3" t="inlineStr">
        <is>
          <t>22</t>
        </is>
      </c>
      <c r="W2189" s="87" t="n">
        <v>45873</v>
      </c>
      <c r="X2189" s="4" t="inlineStr">
        <is>
          <t xml:space="preserve">Bin Humaid National Trading Co </t>
        </is>
      </c>
    </row>
    <row r="2190" ht="24" customHeight="1">
      <c r="A2190" s="2">
        <f>+D2190-S2190</f>
        <v/>
      </c>
      <c r="B2190" s="80" t="n">
        <v>3808</v>
      </c>
      <c r="C2190" s="66" t="n">
        <v>45863</v>
      </c>
      <c r="D2190" s="2" t="n">
        <v>1</v>
      </c>
      <c r="E2190" s="3" t="inlineStr">
        <is>
          <t>CARABINA</t>
        </is>
      </c>
      <c r="F2190" s="3" t="inlineStr">
        <is>
          <t>223 REM</t>
        </is>
      </c>
      <c r="G2190" s="3" t="inlineStr">
        <is>
          <t>BENELLI</t>
        </is>
      </c>
      <c r="H2190" s="65" t="inlineStr">
        <is>
          <t>LUPO BE.S.T.  24"</t>
        </is>
      </c>
      <c r="I2190" s="65" t="inlineStr">
        <is>
          <t>AR043518S</t>
        </is>
      </c>
      <c r="J2190" s="65" t="inlineStr">
        <is>
          <t>N/D</t>
        </is>
      </c>
      <c r="K2190" s="65" t="inlineStr">
        <is>
          <t>N/D</t>
        </is>
      </c>
      <c r="L2190" s="127" t="inlineStr">
        <is>
          <t>BENELLI ARMI SPA</t>
        </is>
      </c>
      <c r="M2190" s="5" t="n">
        <v>903</v>
      </c>
      <c r="N2190" s="5" t="n"/>
      <c r="O2190" s="5">
        <f>+M2190+N2190</f>
        <v/>
      </c>
      <c r="P2190" s="4" t="n">
        <v>45863</v>
      </c>
      <c r="Q2190" s="87" t="n">
        <v>45856</v>
      </c>
      <c r="R2190" s="5" t="n">
        <v>1029.42</v>
      </c>
      <c r="S2190" s="2" t="n">
        <v>1</v>
      </c>
      <c r="T2190" s="3" t="inlineStr">
        <is>
          <t>6B/2025/2S</t>
        </is>
      </c>
      <c r="U2190" s="87" t="n">
        <v>45873</v>
      </c>
      <c r="V2190" s="3" t="inlineStr">
        <is>
          <t>22</t>
        </is>
      </c>
      <c r="W2190" s="87" t="n">
        <v>45873</v>
      </c>
      <c r="X2190" s="4" t="inlineStr">
        <is>
          <t xml:space="preserve">Bin Humaid National Trading Co </t>
        </is>
      </c>
    </row>
    <row r="2191" ht="24" customHeight="1">
      <c r="A2191" s="2">
        <f>+D2191-S2191</f>
        <v/>
      </c>
      <c r="B2191" s="80" t="n">
        <v>3809</v>
      </c>
      <c r="C2191" s="66" t="n">
        <v>45863</v>
      </c>
      <c r="D2191" s="2" t="n">
        <v>1</v>
      </c>
      <c r="E2191" s="3" t="inlineStr">
        <is>
          <t>CARABINA</t>
        </is>
      </c>
      <c r="F2191" s="3" t="inlineStr">
        <is>
          <t>223 REM</t>
        </is>
      </c>
      <c r="G2191" s="3" t="inlineStr">
        <is>
          <t>BENELLI</t>
        </is>
      </c>
      <c r="H2191" s="65" t="inlineStr">
        <is>
          <t>LUPO BE.S.T.  24"</t>
        </is>
      </c>
      <c r="I2191" s="65" t="inlineStr">
        <is>
          <t>AR043519U</t>
        </is>
      </c>
      <c r="J2191" s="65" t="inlineStr">
        <is>
          <t>N/D</t>
        </is>
      </c>
      <c r="K2191" s="65" t="inlineStr">
        <is>
          <t>N/D</t>
        </is>
      </c>
      <c r="L2191" s="127" t="inlineStr">
        <is>
          <t>BENELLI ARMI SPA</t>
        </is>
      </c>
      <c r="M2191" s="5" t="n">
        <v>903</v>
      </c>
      <c r="N2191" s="5" t="n"/>
      <c r="O2191" s="5">
        <f>+M2191+N2191</f>
        <v/>
      </c>
      <c r="P2191" s="4" t="n">
        <v>45863</v>
      </c>
      <c r="Q2191" s="87" t="n">
        <v>45856</v>
      </c>
      <c r="R2191" s="5" t="n">
        <v>1029.42</v>
      </c>
      <c r="S2191" s="2" t="n">
        <v>1</v>
      </c>
      <c r="T2191" s="3" t="inlineStr">
        <is>
          <t>6B/2025/2S</t>
        </is>
      </c>
      <c r="U2191" s="87" t="n">
        <v>45873</v>
      </c>
      <c r="V2191" s="3" t="inlineStr">
        <is>
          <t>22</t>
        </is>
      </c>
      <c r="W2191" s="87" t="n">
        <v>45873</v>
      </c>
      <c r="X2191" s="4" t="inlineStr">
        <is>
          <t xml:space="preserve">Bin Humaid National Trading Co </t>
        </is>
      </c>
    </row>
    <row r="2192" ht="24" customHeight="1">
      <c r="A2192" s="2">
        <f>+D2192-S2192</f>
        <v/>
      </c>
      <c r="B2192" s="80" t="n">
        <v>3810</v>
      </c>
      <c r="C2192" s="66" t="n">
        <v>45863</v>
      </c>
      <c r="D2192" s="2" t="n">
        <v>1</v>
      </c>
      <c r="E2192" s="3" t="inlineStr">
        <is>
          <t>CARABINA</t>
        </is>
      </c>
      <c r="F2192" s="3" t="inlineStr">
        <is>
          <t>223 REM</t>
        </is>
      </c>
      <c r="G2192" s="3" t="inlineStr">
        <is>
          <t>BENELLI</t>
        </is>
      </c>
      <c r="H2192" s="65" t="inlineStr">
        <is>
          <t>LUPO BE.S.T. 24"</t>
        </is>
      </c>
      <c r="I2192" s="65" t="inlineStr">
        <is>
          <t>AR036699F</t>
        </is>
      </c>
      <c r="J2192" s="65" t="inlineStr">
        <is>
          <t>N/D</t>
        </is>
      </c>
      <c r="K2192" s="65" t="inlineStr">
        <is>
          <t>N/D</t>
        </is>
      </c>
      <c r="L2192" s="127" t="inlineStr">
        <is>
          <t>BENELLI ARMI SPA</t>
        </is>
      </c>
      <c r="M2192" s="5" t="n">
        <v>972</v>
      </c>
      <c r="N2192" s="5" t="n"/>
      <c r="O2192" s="5">
        <f>+M2192+N2192</f>
        <v/>
      </c>
      <c r="P2192" s="4" t="n">
        <v>45863</v>
      </c>
      <c r="Q2192" s="87" t="n">
        <v>45856</v>
      </c>
      <c r="R2192" s="5" t="n">
        <v>1108</v>
      </c>
      <c r="S2192" s="2" t="n">
        <v>1</v>
      </c>
      <c r="T2192" s="3" t="inlineStr">
        <is>
          <t>6B/2025/2S</t>
        </is>
      </c>
      <c r="U2192" s="87" t="n">
        <v>45873</v>
      </c>
      <c r="V2192" s="3" t="inlineStr">
        <is>
          <t>22</t>
        </is>
      </c>
      <c r="W2192" s="87" t="n">
        <v>45873</v>
      </c>
      <c r="X2192" s="4" t="inlineStr">
        <is>
          <t xml:space="preserve">Bin Humaid National Trading Co </t>
        </is>
      </c>
    </row>
    <row r="2193" ht="24" customHeight="1">
      <c r="A2193" s="2">
        <f>+D2193-S2193</f>
        <v/>
      </c>
      <c r="B2193" s="80" t="n">
        <v>3811</v>
      </c>
      <c r="C2193" s="66" t="n">
        <v>45863</v>
      </c>
      <c r="D2193" s="2" t="n">
        <v>1</v>
      </c>
      <c r="E2193" s="3" t="inlineStr">
        <is>
          <t>CARABINA</t>
        </is>
      </c>
      <c r="F2193" s="3" t="inlineStr">
        <is>
          <t>223 REM</t>
        </is>
      </c>
      <c r="G2193" s="3" t="inlineStr">
        <is>
          <t>BENELLI</t>
        </is>
      </c>
      <c r="H2193" s="65" t="inlineStr">
        <is>
          <t>LUPO BE.S.T. 24"</t>
        </is>
      </c>
      <c r="I2193" s="65" t="inlineStr">
        <is>
          <t>AR036711G</t>
        </is>
      </c>
      <c r="J2193" s="65" t="inlineStr">
        <is>
          <t>N/D</t>
        </is>
      </c>
      <c r="K2193" s="65" t="inlineStr">
        <is>
          <t>N/D</t>
        </is>
      </c>
      <c r="L2193" s="127" t="inlineStr">
        <is>
          <t>BENELLI ARMI SPA</t>
        </is>
      </c>
      <c r="M2193" s="5" t="n">
        <v>972</v>
      </c>
      <c r="N2193" s="5" t="n"/>
      <c r="O2193" s="5">
        <f>+M2193+N2193</f>
        <v/>
      </c>
      <c r="P2193" s="4" t="n">
        <v>45863</v>
      </c>
      <c r="Q2193" s="87" t="n">
        <v>45856</v>
      </c>
      <c r="R2193" s="5" t="n">
        <v>1108</v>
      </c>
      <c r="S2193" s="2" t="n">
        <v>1</v>
      </c>
      <c r="T2193" s="3" t="inlineStr">
        <is>
          <t>6B/2025/2S</t>
        </is>
      </c>
      <c r="U2193" s="87" t="n">
        <v>45873</v>
      </c>
      <c r="V2193" s="3" t="inlineStr">
        <is>
          <t>22</t>
        </is>
      </c>
      <c r="W2193" s="87" t="n">
        <v>45873</v>
      </c>
      <c r="X2193" s="4" t="inlineStr">
        <is>
          <t xml:space="preserve">Bin Humaid National Trading Co </t>
        </is>
      </c>
    </row>
    <row r="2194" ht="24" customHeight="1">
      <c r="A2194" s="2">
        <f>+D2194-S2194</f>
        <v/>
      </c>
      <c r="B2194" s="80" t="n">
        <v>3812</v>
      </c>
      <c r="C2194" s="66" t="n">
        <v>45863</v>
      </c>
      <c r="D2194" s="2" t="n">
        <v>1</v>
      </c>
      <c r="E2194" s="3" t="inlineStr">
        <is>
          <t>CARABINA</t>
        </is>
      </c>
      <c r="F2194" s="3" t="inlineStr">
        <is>
          <t>223 REM</t>
        </is>
      </c>
      <c r="G2194" s="3" t="inlineStr">
        <is>
          <t>BENELLI</t>
        </is>
      </c>
      <c r="H2194" s="65" t="inlineStr">
        <is>
          <t>LUPO BE.S.T. 24"</t>
        </is>
      </c>
      <c r="I2194" s="65" t="inlineStr">
        <is>
          <t>AR036712J</t>
        </is>
      </c>
      <c r="J2194" s="65" t="inlineStr">
        <is>
          <t>N/D</t>
        </is>
      </c>
      <c r="K2194" s="65" t="inlineStr">
        <is>
          <t>N/D</t>
        </is>
      </c>
      <c r="L2194" s="127" t="inlineStr">
        <is>
          <t>BENELLI ARMI SPA</t>
        </is>
      </c>
      <c r="M2194" s="5" t="n">
        <v>972</v>
      </c>
      <c r="N2194" s="5" t="n"/>
      <c r="O2194" s="5">
        <f>+M2194+N2194</f>
        <v/>
      </c>
      <c r="P2194" s="4" t="n">
        <v>45863</v>
      </c>
      <c r="Q2194" s="87" t="n">
        <v>45856</v>
      </c>
      <c r="R2194" s="5" t="n">
        <v>1108</v>
      </c>
      <c r="S2194" s="2" t="n">
        <v>1</v>
      </c>
      <c r="T2194" s="3" t="inlineStr">
        <is>
          <t>6B/2025/2S</t>
        </is>
      </c>
      <c r="U2194" s="87" t="n">
        <v>45873</v>
      </c>
      <c r="V2194" s="3" t="inlineStr">
        <is>
          <t>22</t>
        </is>
      </c>
      <c r="W2194" s="87" t="n">
        <v>45873</v>
      </c>
      <c r="X2194" s="4" t="inlineStr">
        <is>
          <t xml:space="preserve">Bin Humaid National Trading Co </t>
        </is>
      </c>
    </row>
    <row r="2195" ht="24" customHeight="1">
      <c r="A2195" s="2">
        <f>+D2195-S2195</f>
        <v/>
      </c>
      <c r="B2195" s="80" t="n">
        <v>3813</v>
      </c>
      <c r="C2195" s="66" t="n">
        <v>45863</v>
      </c>
      <c r="D2195" s="2" t="n">
        <v>1</v>
      </c>
      <c r="E2195" s="3" t="inlineStr">
        <is>
          <t>CARABINA</t>
        </is>
      </c>
      <c r="F2195" s="3" t="inlineStr">
        <is>
          <t>223 REM</t>
        </is>
      </c>
      <c r="G2195" s="3" t="inlineStr">
        <is>
          <t>BENELLI</t>
        </is>
      </c>
      <c r="H2195" s="65" t="inlineStr">
        <is>
          <t>LUPO BE.S.T. 24"</t>
        </is>
      </c>
      <c r="I2195" s="65" t="inlineStr">
        <is>
          <t>AR036722K</t>
        </is>
      </c>
      <c r="J2195" s="65" t="inlineStr">
        <is>
          <t>N/D</t>
        </is>
      </c>
      <c r="K2195" s="65" t="inlineStr">
        <is>
          <t>N/D</t>
        </is>
      </c>
      <c r="L2195" s="127" t="inlineStr">
        <is>
          <t>BENELLI ARMI SPA</t>
        </is>
      </c>
      <c r="M2195" s="5" t="n">
        <v>972</v>
      </c>
      <c r="N2195" s="5" t="n"/>
      <c r="O2195" s="5">
        <f>+M2195+N2195</f>
        <v/>
      </c>
      <c r="P2195" s="4" t="n">
        <v>45863</v>
      </c>
      <c r="Q2195" s="87" t="n">
        <v>45856</v>
      </c>
      <c r="R2195" s="5" t="n">
        <v>1108</v>
      </c>
      <c r="S2195" s="2" t="n">
        <v>1</v>
      </c>
      <c r="T2195" s="3" t="inlineStr">
        <is>
          <t>6B/2025/2S</t>
        </is>
      </c>
      <c r="U2195" s="87" t="n">
        <v>45873</v>
      </c>
      <c r="V2195" s="3" t="inlineStr">
        <is>
          <t>22</t>
        </is>
      </c>
      <c r="W2195" s="87" t="n">
        <v>45873</v>
      </c>
      <c r="X2195" s="4" t="inlineStr">
        <is>
          <t xml:space="preserve">Bin Humaid National Trading Co </t>
        </is>
      </c>
    </row>
    <row r="2196" ht="24" customHeight="1">
      <c r="A2196" s="2">
        <f>+D2196-S2196</f>
        <v/>
      </c>
      <c r="B2196" s="80" t="n">
        <v>3814</v>
      </c>
      <c r="C2196" s="66" t="n">
        <v>45863</v>
      </c>
      <c r="D2196" s="2" t="n">
        <v>1</v>
      </c>
      <c r="E2196" s="3" t="inlineStr">
        <is>
          <t>CARABINA</t>
        </is>
      </c>
      <c r="F2196" s="3" t="inlineStr">
        <is>
          <t>223 REM</t>
        </is>
      </c>
      <c r="G2196" s="3" t="inlineStr">
        <is>
          <t>BENELLI</t>
        </is>
      </c>
      <c r="H2196" s="65" t="inlineStr">
        <is>
          <t>LUPO BE.S.T. 24"</t>
        </is>
      </c>
      <c r="I2196" s="65" t="inlineStr">
        <is>
          <t>AR036732L</t>
        </is>
      </c>
      <c r="J2196" s="65" t="inlineStr">
        <is>
          <t>N/D</t>
        </is>
      </c>
      <c r="K2196" s="65" t="inlineStr">
        <is>
          <t>N/D</t>
        </is>
      </c>
      <c r="L2196" s="127" t="inlineStr">
        <is>
          <t>BENELLI ARMI SPA</t>
        </is>
      </c>
      <c r="M2196" s="5" t="n">
        <v>972</v>
      </c>
      <c r="N2196" s="5" t="n"/>
      <c r="O2196" s="5">
        <f>+M2196+N2196</f>
        <v/>
      </c>
      <c r="P2196" s="4" t="n">
        <v>45863</v>
      </c>
      <c r="Q2196" s="87" t="n">
        <v>45856</v>
      </c>
      <c r="R2196" s="5" t="n">
        <v>1108</v>
      </c>
      <c r="S2196" s="2" t="n">
        <v>1</v>
      </c>
      <c r="T2196" s="3" t="inlineStr">
        <is>
          <t>6B/2025/2S</t>
        </is>
      </c>
      <c r="U2196" s="87" t="n">
        <v>45873</v>
      </c>
      <c r="V2196" s="3" t="inlineStr">
        <is>
          <t>22</t>
        </is>
      </c>
      <c r="W2196" s="87" t="n">
        <v>45873</v>
      </c>
      <c r="X2196" s="4" t="inlineStr">
        <is>
          <t xml:space="preserve">Bin Humaid National Trading Co </t>
        </is>
      </c>
    </row>
    <row r="2197" ht="24" customHeight="1">
      <c r="A2197" s="2">
        <f>+D2197-S2197</f>
        <v/>
      </c>
      <c r="B2197" s="80" t="n">
        <v>3815</v>
      </c>
      <c r="C2197" s="66" t="n">
        <v>45863</v>
      </c>
      <c r="D2197" s="2" t="n">
        <v>1</v>
      </c>
      <c r="E2197" s="3" t="inlineStr">
        <is>
          <t>CARABINA</t>
        </is>
      </c>
      <c r="F2197" s="3" t="inlineStr">
        <is>
          <t>223 REM</t>
        </is>
      </c>
      <c r="G2197" s="3" t="inlineStr">
        <is>
          <t>BENELLI</t>
        </is>
      </c>
      <c r="H2197" s="65" t="inlineStr">
        <is>
          <t>LUPO BE.S.T. 24"</t>
        </is>
      </c>
      <c r="I2197" s="65" t="inlineStr">
        <is>
          <t>AR036736V</t>
        </is>
      </c>
      <c r="J2197" s="65" t="inlineStr">
        <is>
          <t>N/D</t>
        </is>
      </c>
      <c r="K2197" s="65" t="inlineStr">
        <is>
          <t>N/D</t>
        </is>
      </c>
      <c r="L2197" s="127" t="inlineStr">
        <is>
          <t>BENELLI ARMI SPA</t>
        </is>
      </c>
      <c r="M2197" s="5" t="n">
        <v>972</v>
      </c>
      <c r="N2197" s="5" t="n"/>
      <c r="O2197" s="5">
        <f>+M2197+N2197</f>
        <v/>
      </c>
      <c r="P2197" s="4" t="n">
        <v>45863</v>
      </c>
      <c r="Q2197" s="87" t="n">
        <v>45856</v>
      </c>
      <c r="R2197" s="5" t="n">
        <v>1108</v>
      </c>
      <c r="S2197" s="2" t="n">
        <v>1</v>
      </c>
      <c r="T2197" s="3" t="inlineStr">
        <is>
          <t>6B/2025/2S</t>
        </is>
      </c>
      <c r="U2197" s="87" t="n">
        <v>45873</v>
      </c>
      <c r="V2197" s="3" t="inlineStr">
        <is>
          <t>22</t>
        </is>
      </c>
      <c r="W2197" s="87" t="n">
        <v>45873</v>
      </c>
      <c r="X2197" s="4" t="inlineStr">
        <is>
          <t xml:space="preserve">Bin Humaid National Trading Co </t>
        </is>
      </c>
    </row>
    <row r="2198" ht="24" customHeight="1">
      <c r="A2198" s="2">
        <f>+D2198-S2198</f>
        <v/>
      </c>
      <c r="B2198" s="80" t="n">
        <v>3816</v>
      </c>
      <c r="C2198" s="66" t="n">
        <v>45863</v>
      </c>
      <c r="D2198" s="2" t="n">
        <v>1</v>
      </c>
      <c r="E2198" s="3" t="inlineStr">
        <is>
          <t>CARABINA</t>
        </is>
      </c>
      <c r="F2198" s="3" t="inlineStr">
        <is>
          <t>223 REM</t>
        </is>
      </c>
      <c r="G2198" s="3" t="inlineStr">
        <is>
          <t>BENELLI</t>
        </is>
      </c>
      <c r="H2198" s="65" t="inlineStr">
        <is>
          <t>LUPO BE.S.T. 24"</t>
        </is>
      </c>
      <c r="I2198" s="65" t="inlineStr">
        <is>
          <t>AR036748A</t>
        </is>
      </c>
      <c r="J2198" s="65" t="inlineStr">
        <is>
          <t>N/D</t>
        </is>
      </c>
      <c r="K2198" s="65" t="inlineStr">
        <is>
          <t>N/D</t>
        </is>
      </c>
      <c r="L2198" s="127" t="inlineStr">
        <is>
          <t>BENELLI ARMI SPA</t>
        </is>
      </c>
      <c r="M2198" s="5" t="n">
        <v>972</v>
      </c>
      <c r="N2198" s="5" t="n"/>
      <c r="O2198" s="5">
        <f>+M2198+N2198</f>
        <v/>
      </c>
      <c r="P2198" s="4" t="n">
        <v>45863</v>
      </c>
      <c r="Q2198" s="87" t="n">
        <v>45856</v>
      </c>
      <c r="R2198" s="5" t="n">
        <v>1108</v>
      </c>
      <c r="S2198" s="2" t="n">
        <v>1</v>
      </c>
      <c r="T2198" s="3" t="inlineStr">
        <is>
          <t>6B/2025/2S</t>
        </is>
      </c>
      <c r="U2198" s="87" t="n">
        <v>45873</v>
      </c>
      <c r="V2198" s="3" t="inlineStr">
        <is>
          <t>22</t>
        </is>
      </c>
      <c r="W2198" s="87" t="n">
        <v>45873</v>
      </c>
      <c r="X2198" s="4" t="inlineStr">
        <is>
          <t xml:space="preserve">Bin Humaid National Trading Co </t>
        </is>
      </c>
    </row>
    <row r="2199" ht="24" customHeight="1">
      <c r="A2199" s="2">
        <f>+D2199-S2199</f>
        <v/>
      </c>
      <c r="B2199" s="80" t="n">
        <v>3817</v>
      </c>
      <c r="C2199" s="66" t="n">
        <v>45863</v>
      </c>
      <c r="D2199" s="2" t="n">
        <v>1</v>
      </c>
      <c r="E2199" s="3" t="inlineStr">
        <is>
          <t>CARABINA</t>
        </is>
      </c>
      <c r="F2199" s="3" t="inlineStr">
        <is>
          <t>223 REM</t>
        </is>
      </c>
      <c r="G2199" s="3" t="inlineStr">
        <is>
          <t>BENELLI</t>
        </is>
      </c>
      <c r="H2199" s="65" t="inlineStr">
        <is>
          <t>LUPO BE.S.T. 24"</t>
        </is>
      </c>
      <c r="I2199" s="65" t="inlineStr">
        <is>
          <t>AR036756X</t>
        </is>
      </c>
      <c r="J2199" s="65" t="inlineStr">
        <is>
          <t>N/D</t>
        </is>
      </c>
      <c r="K2199" s="65" t="inlineStr">
        <is>
          <t>N/D</t>
        </is>
      </c>
      <c r="L2199" s="127" t="inlineStr">
        <is>
          <t>BENELLI ARMI SPA</t>
        </is>
      </c>
      <c r="M2199" s="5" t="n">
        <v>972</v>
      </c>
      <c r="N2199" s="5" t="n"/>
      <c r="O2199" s="5">
        <f>+M2199+N2199</f>
        <v/>
      </c>
      <c r="P2199" s="4" t="n">
        <v>45863</v>
      </c>
      <c r="Q2199" s="87" t="n">
        <v>45856</v>
      </c>
      <c r="R2199" s="5" t="n">
        <v>1108</v>
      </c>
      <c r="S2199" s="2" t="n">
        <v>1</v>
      </c>
      <c r="T2199" s="3" t="inlineStr">
        <is>
          <t>6B/2025/2S</t>
        </is>
      </c>
      <c r="U2199" s="87" t="n">
        <v>45873</v>
      </c>
      <c r="V2199" s="3" t="inlineStr">
        <is>
          <t>22</t>
        </is>
      </c>
      <c r="W2199" s="87" t="n">
        <v>45873</v>
      </c>
      <c r="X2199" s="4" t="inlineStr">
        <is>
          <t xml:space="preserve">Bin Humaid National Trading Co </t>
        </is>
      </c>
    </row>
    <row r="2200" ht="24" customHeight="1">
      <c r="A2200" s="2">
        <f>+D2200-S2200</f>
        <v/>
      </c>
      <c r="B2200" s="80" t="n">
        <v>3818</v>
      </c>
      <c r="C2200" s="66" t="n">
        <v>45863</v>
      </c>
      <c r="D2200" s="2" t="n">
        <v>1</v>
      </c>
      <c r="E2200" s="3" t="inlineStr">
        <is>
          <t>CARABINA</t>
        </is>
      </c>
      <c r="F2200" s="3" t="inlineStr">
        <is>
          <t>223 REM</t>
        </is>
      </c>
      <c r="G2200" s="3" t="inlineStr">
        <is>
          <t>BENELLI</t>
        </is>
      </c>
      <c r="H2200" s="65" t="inlineStr">
        <is>
          <t>LUPO BE.S.T. 24"</t>
        </is>
      </c>
      <c r="I2200" s="65" t="inlineStr">
        <is>
          <t>AR036758B</t>
        </is>
      </c>
      <c r="J2200" s="65" t="inlineStr">
        <is>
          <t>N/D</t>
        </is>
      </c>
      <c r="K2200" s="65" t="inlineStr">
        <is>
          <t>N/D</t>
        </is>
      </c>
      <c r="L2200" s="127" t="inlineStr">
        <is>
          <t>BENELLI ARMI SPA</t>
        </is>
      </c>
      <c r="M2200" s="5" t="n">
        <v>972</v>
      </c>
      <c r="N2200" s="5" t="n"/>
      <c r="O2200" s="5">
        <f>+M2200+N2200</f>
        <v/>
      </c>
      <c r="P2200" s="4" t="n">
        <v>45863</v>
      </c>
      <c r="Q2200" s="87" t="n">
        <v>45856</v>
      </c>
      <c r="R2200" s="5" t="n">
        <v>1108</v>
      </c>
      <c r="S2200" s="2" t="n">
        <v>1</v>
      </c>
      <c r="T2200" s="3" t="inlineStr">
        <is>
          <t>6B/2025/2S</t>
        </is>
      </c>
      <c r="U2200" s="87" t="n">
        <v>45873</v>
      </c>
      <c r="V2200" s="3" t="inlineStr">
        <is>
          <t>22</t>
        </is>
      </c>
      <c r="W2200" s="87" t="n">
        <v>45873</v>
      </c>
      <c r="X2200" s="4" t="inlineStr">
        <is>
          <t xml:space="preserve">Bin Humaid National Trading Co </t>
        </is>
      </c>
    </row>
    <row r="2201" ht="24" customHeight="1">
      <c r="A2201" s="2">
        <f>+D2201-S2201</f>
        <v/>
      </c>
      <c r="B2201" s="80" t="n">
        <v>3819</v>
      </c>
      <c r="C2201" s="66" t="n">
        <v>45863</v>
      </c>
      <c r="D2201" s="2" t="n">
        <v>1</v>
      </c>
      <c r="E2201" s="3" t="inlineStr">
        <is>
          <t>CARABINA</t>
        </is>
      </c>
      <c r="F2201" s="3" t="inlineStr">
        <is>
          <t>223 REM</t>
        </is>
      </c>
      <c r="G2201" s="3" t="inlineStr">
        <is>
          <t>BENELLI</t>
        </is>
      </c>
      <c r="H2201" s="65" t="inlineStr">
        <is>
          <t>LUPO BE.S.T. 24"</t>
        </is>
      </c>
      <c r="I2201" s="65" t="inlineStr">
        <is>
          <t>AR036762P</t>
        </is>
      </c>
      <c r="J2201" s="65" t="inlineStr">
        <is>
          <t>N/D</t>
        </is>
      </c>
      <c r="K2201" s="65" t="inlineStr">
        <is>
          <t>N/D</t>
        </is>
      </c>
      <c r="L2201" s="127" t="inlineStr">
        <is>
          <t>BENELLI ARMI SPA</t>
        </is>
      </c>
      <c r="M2201" s="5" t="n">
        <v>972</v>
      </c>
      <c r="N2201" s="5" t="n"/>
      <c r="O2201" s="5">
        <f>+M2201+N2201</f>
        <v/>
      </c>
      <c r="P2201" s="4" t="n">
        <v>45863</v>
      </c>
      <c r="Q2201" s="87" t="n">
        <v>45856</v>
      </c>
      <c r="R2201" s="5" t="n">
        <v>1108</v>
      </c>
      <c r="S2201" s="2" t="n">
        <v>1</v>
      </c>
      <c r="T2201" s="3" t="inlineStr">
        <is>
          <t>6B/2025/2S</t>
        </is>
      </c>
      <c r="U2201" s="87" t="n">
        <v>45873</v>
      </c>
      <c r="V2201" s="3" t="inlineStr">
        <is>
          <t>22</t>
        </is>
      </c>
      <c r="W2201" s="87" t="n">
        <v>45873</v>
      </c>
      <c r="X2201" s="4" t="inlineStr">
        <is>
          <t xml:space="preserve">Bin Humaid National Trading Co </t>
        </is>
      </c>
    </row>
    <row r="2202" ht="24" customHeight="1">
      <c r="A2202" s="2">
        <f>+D2202-S2202</f>
        <v/>
      </c>
      <c r="B2202" s="80" t="n">
        <v>3820</v>
      </c>
      <c r="C2202" s="66" t="n">
        <v>45863</v>
      </c>
      <c r="D2202" s="2" t="n">
        <v>1</v>
      </c>
      <c r="E2202" s="3" t="inlineStr">
        <is>
          <t>CARABINA</t>
        </is>
      </c>
      <c r="F2202" s="3" t="inlineStr">
        <is>
          <t>223 REM</t>
        </is>
      </c>
      <c r="G2202" s="3" t="inlineStr">
        <is>
          <t>BENELLI</t>
        </is>
      </c>
      <c r="H2202" s="65" t="inlineStr">
        <is>
          <t>LUPO BE.S.T. 24"</t>
        </is>
      </c>
      <c r="I2202" s="65" t="inlineStr">
        <is>
          <t>AR036770L</t>
        </is>
      </c>
      <c r="J2202" s="65" t="inlineStr">
        <is>
          <t>N/D</t>
        </is>
      </c>
      <c r="K2202" s="65" t="inlineStr">
        <is>
          <t>N/D</t>
        </is>
      </c>
      <c r="L2202" s="127" t="inlineStr">
        <is>
          <t>BENELLI ARMI SPA</t>
        </is>
      </c>
      <c r="M2202" s="5" t="n">
        <v>972</v>
      </c>
      <c r="N2202" s="5" t="n"/>
      <c r="O2202" s="5">
        <f>+M2202+N2202</f>
        <v/>
      </c>
      <c r="P2202" s="4" t="n">
        <v>45863</v>
      </c>
      <c r="Q2202" s="87" t="n">
        <v>45856</v>
      </c>
      <c r="R2202" s="5" t="n">
        <v>1108</v>
      </c>
      <c r="S2202" s="2" t="n">
        <v>1</v>
      </c>
      <c r="T2202" s="3" t="inlineStr">
        <is>
          <t>6B/2025/2S</t>
        </is>
      </c>
      <c r="U2202" s="87" t="n">
        <v>45873</v>
      </c>
      <c r="V2202" s="3" t="inlineStr">
        <is>
          <t>22</t>
        </is>
      </c>
      <c r="W2202" s="87" t="n">
        <v>45873</v>
      </c>
      <c r="X2202" s="4" t="inlineStr">
        <is>
          <t xml:space="preserve">Bin Humaid National Trading Co </t>
        </is>
      </c>
    </row>
    <row r="2203" ht="24" customHeight="1">
      <c r="A2203" s="2">
        <f>+D2203-S2203</f>
        <v/>
      </c>
      <c r="B2203" s="80" t="n">
        <v>3821</v>
      </c>
      <c r="C2203" s="66" t="n">
        <v>45863</v>
      </c>
      <c r="D2203" s="2" t="n">
        <v>1</v>
      </c>
      <c r="E2203" s="3" t="inlineStr">
        <is>
          <t>CARABINA</t>
        </is>
      </c>
      <c r="F2203" s="3" t="inlineStr">
        <is>
          <t>223 REM</t>
        </is>
      </c>
      <c r="G2203" s="3" t="inlineStr">
        <is>
          <t>BENELLI</t>
        </is>
      </c>
      <c r="H2203" s="65" t="inlineStr">
        <is>
          <t>LUPO BE.S.T. 24"</t>
        </is>
      </c>
      <c r="I2203" s="65" t="inlineStr">
        <is>
          <t>AR036771N</t>
        </is>
      </c>
      <c r="J2203" s="65" t="inlineStr">
        <is>
          <t>N/D</t>
        </is>
      </c>
      <c r="K2203" s="65" t="inlineStr">
        <is>
          <t>N/D</t>
        </is>
      </c>
      <c r="L2203" s="127" t="inlineStr">
        <is>
          <t>BENELLI ARMI SPA</t>
        </is>
      </c>
      <c r="M2203" s="5" t="n">
        <v>972</v>
      </c>
      <c r="N2203" s="5" t="n"/>
      <c r="O2203" s="5">
        <f>+M2203+N2203</f>
        <v/>
      </c>
      <c r="P2203" s="4" t="n">
        <v>45863</v>
      </c>
      <c r="Q2203" s="87" t="n">
        <v>45856</v>
      </c>
      <c r="R2203" s="5" t="n">
        <v>1108</v>
      </c>
      <c r="S2203" s="2" t="n">
        <v>1</v>
      </c>
      <c r="T2203" s="3" t="inlineStr">
        <is>
          <t>6B/2025/2S</t>
        </is>
      </c>
      <c r="U2203" s="87" t="n">
        <v>45873</v>
      </c>
      <c r="V2203" s="3" t="inlineStr">
        <is>
          <t>22</t>
        </is>
      </c>
      <c r="W2203" s="87" t="n">
        <v>45873</v>
      </c>
      <c r="X2203" s="4" t="inlineStr">
        <is>
          <t xml:space="preserve">Bin Humaid National Trading Co </t>
        </is>
      </c>
    </row>
    <row r="2204" ht="24" customHeight="1">
      <c r="A2204" s="2">
        <f>+D2204-S2204</f>
        <v/>
      </c>
      <c r="B2204" s="80" t="n">
        <v>3822</v>
      </c>
      <c r="C2204" s="66" t="n">
        <v>45863</v>
      </c>
      <c r="D2204" s="2" t="n">
        <v>1</v>
      </c>
      <c r="E2204" s="3" t="inlineStr">
        <is>
          <t>CARABINA</t>
        </is>
      </c>
      <c r="F2204" s="3" t="inlineStr">
        <is>
          <t>223 REM</t>
        </is>
      </c>
      <c r="G2204" s="3" t="inlineStr">
        <is>
          <t>BENELLI</t>
        </is>
      </c>
      <c r="H2204" s="65" t="inlineStr">
        <is>
          <t>LUPO BE.S.T. 24"</t>
        </is>
      </c>
      <c r="I2204" s="65" t="inlineStr">
        <is>
          <t>AR036773S</t>
        </is>
      </c>
      <c r="J2204" s="65" t="inlineStr">
        <is>
          <t>N/D</t>
        </is>
      </c>
      <c r="K2204" s="65" t="inlineStr">
        <is>
          <t>N/D</t>
        </is>
      </c>
      <c r="L2204" s="127" t="inlineStr">
        <is>
          <t>BENELLI ARMI SPA</t>
        </is>
      </c>
      <c r="M2204" s="5" t="n">
        <v>972</v>
      </c>
      <c r="N2204" s="5" t="n"/>
      <c r="O2204" s="5">
        <f>+M2204+N2204</f>
        <v/>
      </c>
      <c r="P2204" s="4" t="n">
        <v>45863</v>
      </c>
      <c r="Q2204" s="87" t="n">
        <v>45856</v>
      </c>
      <c r="R2204" s="5" t="n">
        <v>1108</v>
      </c>
      <c r="S2204" s="2" t="n">
        <v>1</v>
      </c>
      <c r="T2204" s="3" t="inlineStr">
        <is>
          <t>6B/2025/2S</t>
        </is>
      </c>
      <c r="U2204" s="87" t="n">
        <v>45873</v>
      </c>
      <c r="V2204" s="3" t="inlineStr">
        <is>
          <t>22</t>
        </is>
      </c>
      <c r="W2204" s="87" t="n">
        <v>45873</v>
      </c>
      <c r="X2204" s="4" t="inlineStr">
        <is>
          <t xml:space="preserve">Bin Humaid National Trading Co </t>
        </is>
      </c>
    </row>
    <row r="2205" ht="24" customHeight="1">
      <c r="A2205" s="2">
        <f>+D2205-S2205</f>
        <v/>
      </c>
      <c r="B2205" s="80" t="n">
        <v>3823</v>
      </c>
      <c r="C2205" s="66" t="n">
        <v>45863</v>
      </c>
      <c r="D2205" s="2" t="n">
        <v>1</v>
      </c>
      <c r="E2205" s="3" t="inlineStr">
        <is>
          <t>CARABINA</t>
        </is>
      </c>
      <c r="F2205" s="3" t="inlineStr">
        <is>
          <t>223 REM</t>
        </is>
      </c>
      <c r="G2205" s="3" t="inlineStr">
        <is>
          <t>BENELLI</t>
        </is>
      </c>
      <c r="H2205" s="65" t="inlineStr">
        <is>
          <t>LUPO BE.S.T. 24"</t>
        </is>
      </c>
      <c r="I2205" s="65" t="inlineStr">
        <is>
          <t>AR040898D</t>
        </is>
      </c>
      <c r="J2205" s="65" t="inlineStr">
        <is>
          <t>N/D</t>
        </is>
      </c>
      <c r="K2205" s="65" t="inlineStr">
        <is>
          <t>N/D</t>
        </is>
      </c>
      <c r="L2205" s="127" t="inlineStr">
        <is>
          <t>BENELLI ARMI SPA</t>
        </is>
      </c>
      <c r="M2205" s="5" t="n">
        <v>972</v>
      </c>
      <c r="N2205" s="5" t="n"/>
      <c r="O2205" s="5">
        <f>+M2205+N2205</f>
        <v/>
      </c>
      <c r="P2205" s="4" t="n">
        <v>45863</v>
      </c>
      <c r="Q2205" s="87" t="n">
        <v>45856</v>
      </c>
      <c r="R2205" s="5" t="n">
        <v>1108</v>
      </c>
      <c r="S2205" s="2" t="n">
        <v>1</v>
      </c>
      <c r="T2205" s="3" t="inlineStr">
        <is>
          <t>6B/2025/2S</t>
        </is>
      </c>
      <c r="U2205" s="87" t="n">
        <v>45873</v>
      </c>
      <c r="V2205" s="3" t="inlineStr">
        <is>
          <t>22</t>
        </is>
      </c>
      <c r="W2205" s="87" t="n">
        <v>45873</v>
      </c>
      <c r="X2205" s="4" t="inlineStr">
        <is>
          <t xml:space="preserve">Bin Humaid National Trading Co </t>
        </is>
      </c>
    </row>
    <row r="2206" ht="24" customHeight="1">
      <c r="A2206" s="2">
        <f>+D2206-S2206</f>
        <v/>
      </c>
      <c r="B2206" s="80" t="n">
        <v>3824</v>
      </c>
      <c r="C2206" s="66" t="n">
        <v>45863</v>
      </c>
      <c r="D2206" s="2" t="n">
        <v>1</v>
      </c>
      <c r="E2206" s="3" t="inlineStr">
        <is>
          <t>CARABINA</t>
        </is>
      </c>
      <c r="F2206" s="3" t="inlineStr">
        <is>
          <t>223 REM</t>
        </is>
      </c>
      <c r="G2206" s="3" t="inlineStr">
        <is>
          <t>BENELLI</t>
        </is>
      </c>
      <c r="H2206" s="65" t="inlineStr">
        <is>
          <t>LUPO BE.S.T. 24"</t>
        </is>
      </c>
      <c r="I2206" s="65" t="inlineStr">
        <is>
          <t>AR040923M</t>
        </is>
      </c>
      <c r="J2206" s="65" t="inlineStr">
        <is>
          <t>N/D</t>
        </is>
      </c>
      <c r="K2206" s="65" t="inlineStr">
        <is>
          <t>N/D</t>
        </is>
      </c>
      <c r="L2206" s="127" t="inlineStr">
        <is>
          <t>BENELLI ARMI SPA</t>
        </is>
      </c>
      <c r="M2206" s="5" t="n">
        <v>972</v>
      </c>
      <c r="N2206" s="5" t="n"/>
      <c r="O2206" s="5">
        <f>+M2206+N2206</f>
        <v/>
      </c>
      <c r="P2206" s="4" t="n">
        <v>45863</v>
      </c>
      <c r="Q2206" s="87" t="n">
        <v>45856</v>
      </c>
      <c r="R2206" s="5" t="n">
        <v>1108</v>
      </c>
      <c r="S2206" s="2" t="n">
        <v>1</v>
      </c>
      <c r="T2206" s="3" t="inlineStr">
        <is>
          <t>6B/2025/2S</t>
        </is>
      </c>
      <c r="U2206" s="87" t="n">
        <v>45873</v>
      </c>
      <c r="V2206" s="3" t="inlineStr">
        <is>
          <t>22</t>
        </is>
      </c>
      <c r="W2206" s="87" t="n">
        <v>45873</v>
      </c>
      <c r="X2206" s="4" t="inlineStr">
        <is>
          <t xml:space="preserve">Bin Humaid National Trading Co </t>
        </is>
      </c>
    </row>
    <row r="2207" ht="24" customHeight="1">
      <c r="A2207" s="2">
        <f>+D2207-S2207</f>
        <v/>
      </c>
      <c r="B2207" s="80" t="n">
        <v>3825</v>
      </c>
      <c r="C2207" s="66" t="n">
        <v>45863</v>
      </c>
      <c r="D2207" s="2" t="n">
        <v>1</v>
      </c>
      <c r="E2207" s="3" t="inlineStr">
        <is>
          <t>CARABINA</t>
        </is>
      </c>
      <c r="F2207" s="3" t="inlineStr">
        <is>
          <t>223 REM</t>
        </is>
      </c>
      <c r="G2207" s="3" t="inlineStr">
        <is>
          <t>BENELLI</t>
        </is>
      </c>
      <c r="H2207" s="65" t="inlineStr">
        <is>
          <t>LUPO GRANITE MOSS 22"</t>
        </is>
      </c>
      <c r="I2207" s="65" t="inlineStr">
        <is>
          <t>AR045115D</t>
        </is>
      </c>
      <c r="J2207" s="65" t="inlineStr">
        <is>
          <t>N/D</t>
        </is>
      </c>
      <c r="K2207" s="65" t="inlineStr">
        <is>
          <t>N/D</t>
        </is>
      </c>
      <c r="L2207" s="127" t="inlineStr">
        <is>
          <t>BENELLI ARMI SPA</t>
        </is>
      </c>
      <c r="M2207" s="5" t="n">
        <v>759</v>
      </c>
      <c r="N2207" s="5" t="n"/>
      <c r="O2207" s="5">
        <f>+M2207+N2207</f>
        <v/>
      </c>
      <c r="P2207" s="4" t="n">
        <v>45863</v>
      </c>
      <c r="Q2207" s="87" t="n">
        <v>45856</v>
      </c>
      <c r="R2207" s="5" t="n">
        <v>873</v>
      </c>
      <c r="S2207" s="2" t="n">
        <v>1</v>
      </c>
      <c r="T2207" s="3" t="inlineStr">
        <is>
          <t>6B/2025/2S</t>
        </is>
      </c>
      <c r="U2207" s="87" t="n">
        <v>45873</v>
      </c>
      <c r="V2207" s="3" t="inlineStr">
        <is>
          <t>22</t>
        </is>
      </c>
      <c r="W2207" s="87" t="n">
        <v>45873</v>
      </c>
      <c r="X2207" s="4" t="inlineStr">
        <is>
          <t xml:space="preserve">Bin Humaid National Trading Co </t>
        </is>
      </c>
    </row>
    <row r="2208" ht="24" customHeight="1">
      <c r="A2208" s="2">
        <f>+D2208-S2208</f>
        <v/>
      </c>
      <c r="B2208" s="80" t="n">
        <v>3826</v>
      </c>
      <c r="C2208" s="66" t="n">
        <v>45863</v>
      </c>
      <c r="D2208" s="2" t="n">
        <v>1</v>
      </c>
      <c r="E2208" s="3" t="inlineStr">
        <is>
          <t>CARABINA</t>
        </is>
      </c>
      <c r="F2208" s="3" t="inlineStr">
        <is>
          <t>223 REM</t>
        </is>
      </c>
      <c r="G2208" s="3" t="inlineStr">
        <is>
          <t>BENELLI</t>
        </is>
      </c>
      <c r="H2208" s="65" t="inlineStr">
        <is>
          <t>LUPO GRANITE MOSS 22"</t>
        </is>
      </c>
      <c r="I2208" s="65" t="inlineStr">
        <is>
          <t>AR045117H</t>
        </is>
      </c>
      <c r="J2208" s="65" t="inlineStr">
        <is>
          <t>N/D</t>
        </is>
      </c>
      <c r="K2208" s="65" t="inlineStr">
        <is>
          <t>N/D</t>
        </is>
      </c>
      <c r="L2208" s="127" t="inlineStr">
        <is>
          <t>BENELLI ARMI SPA</t>
        </is>
      </c>
      <c r="M2208" s="5" t="n">
        <v>759</v>
      </c>
      <c r="N2208" s="5" t="n"/>
      <c r="O2208" s="5">
        <f>+M2208+N2208</f>
        <v/>
      </c>
      <c r="P2208" s="4" t="n">
        <v>45863</v>
      </c>
      <c r="Q2208" s="87" t="n">
        <v>45856</v>
      </c>
      <c r="R2208" s="5" t="n">
        <v>873</v>
      </c>
      <c r="S2208" s="2" t="n">
        <v>1</v>
      </c>
      <c r="T2208" s="3" t="inlineStr">
        <is>
          <t>6B/2025/2S</t>
        </is>
      </c>
      <c r="U2208" s="87" t="n">
        <v>45873</v>
      </c>
      <c r="V2208" s="3" t="inlineStr">
        <is>
          <t>22</t>
        </is>
      </c>
      <c r="W2208" s="87" t="n">
        <v>45873</v>
      </c>
      <c r="X2208" s="4" t="inlineStr">
        <is>
          <t xml:space="preserve">Bin Humaid National Trading Co </t>
        </is>
      </c>
    </row>
    <row r="2209" ht="24" customHeight="1">
      <c r="A2209" s="2">
        <f>+D2209-S2209</f>
        <v/>
      </c>
      <c r="B2209" s="80" t="n">
        <v>3827</v>
      </c>
      <c r="C2209" s="66" t="n">
        <v>45863</v>
      </c>
      <c r="D2209" s="2" t="n">
        <v>1</v>
      </c>
      <c r="E2209" s="3" t="inlineStr">
        <is>
          <t>CARABINA</t>
        </is>
      </c>
      <c r="F2209" s="3" t="inlineStr">
        <is>
          <t>223 REM</t>
        </is>
      </c>
      <c r="G2209" s="3" t="inlineStr">
        <is>
          <t>BENELLI</t>
        </is>
      </c>
      <c r="H2209" s="65" t="inlineStr">
        <is>
          <t>LUPO GRANITE MOSS 22"</t>
        </is>
      </c>
      <c r="I2209" s="65" t="inlineStr">
        <is>
          <t>AR045118K</t>
        </is>
      </c>
      <c r="J2209" s="65" t="inlineStr">
        <is>
          <t>N/D</t>
        </is>
      </c>
      <c r="K2209" s="65" t="inlineStr">
        <is>
          <t>N/D</t>
        </is>
      </c>
      <c r="L2209" s="127" t="inlineStr">
        <is>
          <t>BENELLI ARMI SPA</t>
        </is>
      </c>
      <c r="M2209" s="5" t="n">
        <v>759</v>
      </c>
      <c r="N2209" s="5" t="n"/>
      <c r="O2209" s="5">
        <f>+M2209+N2209</f>
        <v/>
      </c>
      <c r="P2209" s="4" t="n">
        <v>45863</v>
      </c>
      <c r="Q2209" s="87" t="n">
        <v>45856</v>
      </c>
      <c r="R2209" s="5" t="n">
        <v>873</v>
      </c>
      <c r="S2209" s="2" t="n">
        <v>1</v>
      </c>
      <c r="T2209" s="3" t="inlineStr">
        <is>
          <t>6B/2025/2S</t>
        </is>
      </c>
      <c r="U2209" s="87" t="n">
        <v>45873</v>
      </c>
      <c r="V2209" s="3" t="inlineStr">
        <is>
          <t>22</t>
        </is>
      </c>
      <c r="W2209" s="87" t="n">
        <v>45873</v>
      </c>
      <c r="X2209" s="4" t="inlineStr">
        <is>
          <t xml:space="preserve">Bin Humaid National Trading Co </t>
        </is>
      </c>
    </row>
    <row r="2210" ht="24" customHeight="1">
      <c r="A2210" s="2">
        <f>+D2210-S2210</f>
        <v/>
      </c>
      <c r="B2210" s="80" t="n">
        <v>3828</v>
      </c>
      <c r="C2210" s="66" t="n">
        <v>45863</v>
      </c>
      <c r="D2210" s="2" t="n">
        <v>1</v>
      </c>
      <c r="E2210" s="3" t="inlineStr">
        <is>
          <t>CARABINA</t>
        </is>
      </c>
      <c r="F2210" s="3" t="inlineStr">
        <is>
          <t>223 REM</t>
        </is>
      </c>
      <c r="G2210" s="3" t="inlineStr">
        <is>
          <t>BENELLI</t>
        </is>
      </c>
      <c r="H2210" s="65" t="inlineStr">
        <is>
          <t>LUPO GRANITE MOSS 22"</t>
        </is>
      </c>
      <c r="I2210" s="65" t="inlineStr">
        <is>
          <t>AR045119M</t>
        </is>
      </c>
      <c r="J2210" s="65" t="inlineStr">
        <is>
          <t>N/D</t>
        </is>
      </c>
      <c r="K2210" s="65" t="inlineStr">
        <is>
          <t>N/D</t>
        </is>
      </c>
      <c r="L2210" s="127" t="inlineStr">
        <is>
          <t>BENELLI ARMI SPA</t>
        </is>
      </c>
      <c r="M2210" s="5" t="n">
        <v>759</v>
      </c>
      <c r="N2210" s="5" t="n"/>
      <c r="O2210" s="5">
        <f>+M2210+N2210</f>
        <v/>
      </c>
      <c r="P2210" s="4" t="n">
        <v>45863</v>
      </c>
      <c r="Q2210" s="87" t="n">
        <v>45856</v>
      </c>
      <c r="R2210" s="5" t="n">
        <v>873</v>
      </c>
      <c r="S2210" s="2" t="n">
        <v>1</v>
      </c>
      <c r="T2210" s="3" t="inlineStr">
        <is>
          <t>6B/2025/2S</t>
        </is>
      </c>
      <c r="U2210" s="87" t="n">
        <v>45873</v>
      </c>
      <c r="V2210" s="3" t="inlineStr">
        <is>
          <t>22</t>
        </is>
      </c>
      <c r="W2210" s="87" t="n">
        <v>45873</v>
      </c>
      <c r="X2210" s="4" t="inlineStr">
        <is>
          <t xml:space="preserve">Bin Humaid National Trading Co </t>
        </is>
      </c>
    </row>
    <row r="2211" ht="24" customHeight="1">
      <c r="A2211" s="2">
        <f>+D2211-S2211</f>
        <v/>
      </c>
      <c r="B2211" s="80" t="n">
        <v>3829</v>
      </c>
      <c r="C2211" s="66" t="n">
        <v>45863</v>
      </c>
      <c r="D2211" s="2" t="n">
        <v>1</v>
      </c>
      <c r="E2211" s="3" t="inlineStr">
        <is>
          <t>CARABINA</t>
        </is>
      </c>
      <c r="F2211" s="3" t="inlineStr">
        <is>
          <t>223 REM</t>
        </is>
      </c>
      <c r="G2211" s="3" t="inlineStr">
        <is>
          <t>BENELLI</t>
        </is>
      </c>
      <c r="H2211" s="65" t="inlineStr">
        <is>
          <t>LUPO GRANITE MOSS 22"</t>
        </is>
      </c>
      <c r="I2211" s="65" t="inlineStr">
        <is>
          <t>AR045120T</t>
        </is>
      </c>
      <c r="J2211" s="65" t="inlineStr">
        <is>
          <t>N/D</t>
        </is>
      </c>
      <c r="K2211" s="65" t="inlineStr">
        <is>
          <t>N/D</t>
        </is>
      </c>
      <c r="L2211" s="127" t="inlineStr">
        <is>
          <t>BENELLI ARMI SPA</t>
        </is>
      </c>
      <c r="M2211" s="5" t="n">
        <v>759</v>
      </c>
      <c r="N2211" s="5" t="n"/>
      <c r="O2211" s="5">
        <f>+M2211+N2211</f>
        <v/>
      </c>
      <c r="P2211" s="4" t="n">
        <v>45863</v>
      </c>
      <c r="Q2211" s="87" t="n">
        <v>45856</v>
      </c>
      <c r="R2211" s="5" t="n">
        <v>873</v>
      </c>
      <c r="S2211" s="2" t="n">
        <v>1</v>
      </c>
      <c r="T2211" s="3" t="inlineStr">
        <is>
          <t>6B/2025/2S</t>
        </is>
      </c>
      <c r="U2211" s="87" t="n">
        <v>45873</v>
      </c>
      <c r="V2211" s="3" t="inlineStr">
        <is>
          <t>22</t>
        </is>
      </c>
      <c r="W2211" s="87" t="n">
        <v>45873</v>
      </c>
      <c r="X2211" s="4" t="inlineStr">
        <is>
          <t xml:space="preserve">Bin Humaid National Trading Co </t>
        </is>
      </c>
    </row>
    <row r="2212" ht="24" customHeight="1">
      <c r="A2212" s="2">
        <f>+D2212-S2212</f>
        <v/>
      </c>
      <c r="B2212" s="80" t="n">
        <v>3830</v>
      </c>
      <c r="C2212" s="66" t="n">
        <v>45863</v>
      </c>
      <c r="D2212" s="2" t="n">
        <v>1</v>
      </c>
      <c r="E2212" s="3" t="inlineStr">
        <is>
          <t>CARABINA</t>
        </is>
      </c>
      <c r="F2212" s="3" t="inlineStr">
        <is>
          <t>223 REM</t>
        </is>
      </c>
      <c r="G2212" s="3" t="inlineStr">
        <is>
          <t>BENELLI</t>
        </is>
      </c>
      <c r="H2212" s="65" t="inlineStr">
        <is>
          <t>LUPO GRANITE MOSS 22"</t>
        </is>
      </c>
      <c r="I2212" s="65" t="inlineStr">
        <is>
          <t>AR045121V</t>
        </is>
      </c>
      <c r="J2212" s="65" t="inlineStr">
        <is>
          <t>N/D</t>
        </is>
      </c>
      <c r="K2212" s="65" t="inlineStr">
        <is>
          <t>N/D</t>
        </is>
      </c>
      <c r="L2212" s="127" t="inlineStr">
        <is>
          <t>BENELLI ARMI SPA</t>
        </is>
      </c>
      <c r="M2212" s="5" t="n">
        <v>759</v>
      </c>
      <c r="N2212" s="5" t="n"/>
      <c r="O2212" s="5">
        <f>+M2212+N2212</f>
        <v/>
      </c>
      <c r="P2212" s="4" t="n">
        <v>45863</v>
      </c>
      <c r="Q2212" s="87" t="n">
        <v>45856</v>
      </c>
      <c r="R2212" s="5" t="n">
        <v>873</v>
      </c>
      <c r="S2212" s="2" t="n">
        <v>1</v>
      </c>
      <c r="T2212" s="3" t="inlineStr">
        <is>
          <t>6B/2025/2S</t>
        </is>
      </c>
      <c r="U2212" s="87" t="n">
        <v>45873</v>
      </c>
      <c r="V2212" s="3" t="inlineStr">
        <is>
          <t>22</t>
        </is>
      </c>
      <c r="W2212" s="87" t="n">
        <v>45873</v>
      </c>
      <c r="X2212" s="4" t="inlineStr">
        <is>
          <t xml:space="preserve">Bin Humaid National Trading Co </t>
        </is>
      </c>
    </row>
    <row r="2213" ht="24" customHeight="1">
      <c r="A2213" s="2">
        <f>+D2213-S2213</f>
        <v/>
      </c>
      <c r="B2213" s="80" t="n">
        <v>3831</v>
      </c>
      <c r="C2213" s="66" t="n">
        <v>45863</v>
      </c>
      <c r="D2213" s="2" t="n">
        <v>1</v>
      </c>
      <c r="E2213" s="3" t="inlineStr">
        <is>
          <t>CARABINA</t>
        </is>
      </c>
      <c r="F2213" s="3" t="inlineStr">
        <is>
          <t>223 REM</t>
        </is>
      </c>
      <c r="G2213" s="3" t="inlineStr">
        <is>
          <t>BENELLI</t>
        </is>
      </c>
      <c r="H2213" s="65" t="inlineStr">
        <is>
          <t>LUPO GRANITE MOSS 22"</t>
        </is>
      </c>
      <c r="I2213" s="65" t="inlineStr">
        <is>
          <t>AR045123Z</t>
        </is>
      </c>
      <c r="J2213" s="65" t="inlineStr">
        <is>
          <t>N/D</t>
        </is>
      </c>
      <c r="K2213" s="65" t="inlineStr">
        <is>
          <t>N/D</t>
        </is>
      </c>
      <c r="L2213" s="127" t="inlineStr">
        <is>
          <t>BENELLI ARMI SPA</t>
        </is>
      </c>
      <c r="M2213" s="5" t="n">
        <v>759</v>
      </c>
      <c r="N2213" s="5" t="n"/>
      <c r="O2213" s="5">
        <f>+M2213+N2213</f>
        <v/>
      </c>
      <c r="P2213" s="4" t="n">
        <v>45863</v>
      </c>
      <c r="Q2213" s="87" t="n">
        <v>45856</v>
      </c>
      <c r="R2213" s="5" t="n">
        <v>873</v>
      </c>
      <c r="S2213" s="2" t="n">
        <v>1</v>
      </c>
      <c r="T2213" s="3" t="inlineStr">
        <is>
          <t>6B/2025/2S</t>
        </is>
      </c>
      <c r="U2213" s="87" t="n">
        <v>45873</v>
      </c>
      <c r="V2213" s="3" t="inlineStr">
        <is>
          <t>22</t>
        </is>
      </c>
      <c r="W2213" s="87" t="n">
        <v>45873</v>
      </c>
      <c r="X2213" s="4" t="inlineStr">
        <is>
          <t xml:space="preserve">Bin Humaid National Trading Co </t>
        </is>
      </c>
    </row>
    <row r="2214" ht="24" customHeight="1">
      <c r="A2214" s="2">
        <f>+D2214-S2214</f>
        <v/>
      </c>
      <c r="B2214" s="80" t="n">
        <v>3832</v>
      </c>
      <c r="C2214" s="66" t="n">
        <v>45863</v>
      </c>
      <c r="D2214" s="2" t="n">
        <v>1</v>
      </c>
      <c r="E2214" s="3" t="inlineStr">
        <is>
          <t>CARABINA</t>
        </is>
      </c>
      <c r="F2214" s="3" t="inlineStr">
        <is>
          <t>223 REM</t>
        </is>
      </c>
      <c r="G2214" s="3" t="inlineStr">
        <is>
          <t>BENELLI</t>
        </is>
      </c>
      <c r="H2214" s="65" t="inlineStr">
        <is>
          <t>LUPO GRANITE MOSS 22"</t>
        </is>
      </c>
      <c r="I2214" s="65" t="inlineStr">
        <is>
          <t>AR045127J</t>
        </is>
      </c>
      <c r="J2214" s="65" t="inlineStr">
        <is>
          <t>N/D</t>
        </is>
      </c>
      <c r="K2214" s="65" t="inlineStr">
        <is>
          <t>N/D</t>
        </is>
      </c>
      <c r="L2214" s="127" t="inlineStr">
        <is>
          <t>BENELLI ARMI SPA</t>
        </is>
      </c>
      <c r="M2214" s="5" t="n">
        <v>759</v>
      </c>
      <c r="N2214" s="5" t="n"/>
      <c r="O2214" s="5">
        <f>+M2214+N2214</f>
        <v/>
      </c>
      <c r="P2214" s="4" t="n">
        <v>45863</v>
      </c>
      <c r="Q2214" s="87" t="n">
        <v>45856</v>
      </c>
      <c r="R2214" s="5" t="n">
        <v>873</v>
      </c>
      <c r="S2214" s="2" t="n">
        <v>1</v>
      </c>
      <c r="T2214" s="3" t="inlineStr">
        <is>
          <t>6B/2025/2S</t>
        </is>
      </c>
      <c r="U2214" s="87" t="n">
        <v>45873</v>
      </c>
      <c r="V2214" s="3" t="inlineStr">
        <is>
          <t>22</t>
        </is>
      </c>
      <c r="W2214" s="87" t="n">
        <v>45873</v>
      </c>
      <c r="X2214" s="4" t="inlineStr">
        <is>
          <t xml:space="preserve">Bin Humaid National Trading Co </t>
        </is>
      </c>
    </row>
    <row r="2215" ht="24" customHeight="1">
      <c r="A2215" s="2">
        <f>+D2215-S2215</f>
        <v/>
      </c>
      <c r="B2215" s="80" t="n">
        <v>3833</v>
      </c>
      <c r="C2215" s="66" t="n">
        <v>45863</v>
      </c>
      <c r="D2215" s="2" t="n">
        <v>1</v>
      </c>
      <c r="E2215" s="3" t="inlineStr">
        <is>
          <t>CARABINA</t>
        </is>
      </c>
      <c r="F2215" s="3" t="inlineStr">
        <is>
          <t>223 REM</t>
        </is>
      </c>
      <c r="G2215" s="3" t="inlineStr">
        <is>
          <t>BENELLI</t>
        </is>
      </c>
      <c r="H2215" s="65" t="inlineStr">
        <is>
          <t>LUPO GRANITE MOSS 22"</t>
        </is>
      </c>
      <c r="I2215" s="65" t="inlineStr">
        <is>
          <t>AR045130U</t>
        </is>
      </c>
      <c r="J2215" s="65" t="inlineStr">
        <is>
          <t>N/D</t>
        </is>
      </c>
      <c r="K2215" s="65" t="inlineStr">
        <is>
          <t>N/D</t>
        </is>
      </c>
      <c r="L2215" s="127" t="inlineStr">
        <is>
          <t>BENELLI ARMI SPA</t>
        </is>
      </c>
      <c r="M2215" s="5" t="n">
        <v>759</v>
      </c>
      <c r="N2215" s="5" t="n"/>
      <c r="O2215" s="5">
        <f>+M2215+N2215</f>
        <v/>
      </c>
      <c r="P2215" s="4" t="n">
        <v>45863</v>
      </c>
      <c r="Q2215" s="87" t="n">
        <v>45856</v>
      </c>
      <c r="R2215" s="5" t="n">
        <v>873</v>
      </c>
      <c r="S2215" s="2" t="n">
        <v>1</v>
      </c>
      <c r="T2215" s="3" t="inlineStr">
        <is>
          <t>6B/2025/2S</t>
        </is>
      </c>
      <c r="U2215" s="87" t="n">
        <v>45873</v>
      </c>
      <c r="V2215" s="3" t="inlineStr">
        <is>
          <t>22</t>
        </is>
      </c>
      <c r="W2215" s="87" t="n">
        <v>45873</v>
      </c>
      <c r="X2215" s="4" t="inlineStr">
        <is>
          <t xml:space="preserve">Bin Humaid National Trading Co </t>
        </is>
      </c>
    </row>
    <row r="2216" ht="24" customHeight="1">
      <c r="A2216" s="2">
        <f>+D2216-S2216</f>
        <v/>
      </c>
      <c r="B2216" s="80" t="n">
        <v>3834</v>
      </c>
      <c r="C2216" s="66" t="n">
        <v>45863</v>
      </c>
      <c r="D2216" s="2" t="n">
        <v>1</v>
      </c>
      <c r="E2216" s="3" t="inlineStr">
        <is>
          <t>CARABINA</t>
        </is>
      </c>
      <c r="F2216" s="3" t="inlineStr">
        <is>
          <t>223 REM</t>
        </is>
      </c>
      <c r="G2216" s="3" t="inlineStr">
        <is>
          <t>BENELLI</t>
        </is>
      </c>
      <c r="H2216" s="65" t="inlineStr">
        <is>
          <t>LUPO GRANITE MOSS 22"</t>
        </is>
      </c>
      <c r="I2216" s="65" t="inlineStr">
        <is>
          <t>AR045132Y</t>
        </is>
      </c>
      <c r="J2216" s="65" t="inlineStr">
        <is>
          <t>N/D</t>
        </is>
      </c>
      <c r="K2216" s="65" t="inlineStr">
        <is>
          <t>N/D</t>
        </is>
      </c>
      <c r="L2216" s="127" t="inlineStr">
        <is>
          <t>BENELLI ARMI SPA</t>
        </is>
      </c>
      <c r="M2216" s="5" t="n">
        <v>759</v>
      </c>
      <c r="N2216" s="5" t="n"/>
      <c r="O2216" s="5">
        <f>+M2216+N2216</f>
        <v/>
      </c>
      <c r="P2216" s="4" t="n">
        <v>45863</v>
      </c>
      <c r="Q2216" s="87" t="n">
        <v>45856</v>
      </c>
      <c r="R2216" s="5" t="n">
        <v>873</v>
      </c>
      <c r="S2216" s="2" t="n">
        <v>1</v>
      </c>
      <c r="T2216" s="3" t="inlineStr">
        <is>
          <t>6B/2025/2S</t>
        </is>
      </c>
      <c r="U2216" s="87" t="n">
        <v>45873</v>
      </c>
      <c r="V2216" s="3" t="inlineStr">
        <is>
          <t>22</t>
        </is>
      </c>
      <c r="W2216" s="87" t="n">
        <v>45873</v>
      </c>
      <c r="X2216" s="4" t="inlineStr">
        <is>
          <t xml:space="preserve">Bin Humaid National Trading Co </t>
        </is>
      </c>
    </row>
    <row r="2217" ht="24" customHeight="1">
      <c r="A2217" s="2">
        <f>+D2217-S2217</f>
        <v/>
      </c>
      <c r="B2217" s="80" t="n">
        <v>3835</v>
      </c>
      <c r="C2217" s="66" t="n">
        <v>45863</v>
      </c>
      <c r="D2217" s="2" t="n">
        <v>1</v>
      </c>
      <c r="E2217" s="3" t="inlineStr">
        <is>
          <t>FUCILE SEMIAUTOMATICO</t>
        </is>
      </c>
      <c r="F2217" s="3" t="inlineStr">
        <is>
          <t>12</t>
        </is>
      </c>
      <c r="G2217" s="3" t="inlineStr">
        <is>
          <t>BENELLI</t>
        </is>
      </c>
      <c r="H2217" s="65" t="inlineStr">
        <is>
          <t>RAFFAELLO POWERBORE 30"</t>
        </is>
      </c>
      <c r="I2217" s="65" t="inlineStr">
        <is>
          <t>F427990V</t>
        </is>
      </c>
      <c r="J2217" s="65" t="inlineStr">
        <is>
          <t>C1612951S</t>
        </is>
      </c>
      <c r="K2217" s="65" t="inlineStr">
        <is>
          <t>N/D</t>
        </is>
      </c>
      <c r="L2217" s="127" t="inlineStr">
        <is>
          <t>BENELLI ARMI SPA</t>
        </is>
      </c>
      <c r="M2217" s="5" t="n">
        <v>1315</v>
      </c>
      <c r="N2217" s="5" t="n"/>
      <c r="O2217" s="5">
        <f>+M2217+N2217</f>
        <v/>
      </c>
      <c r="P2217" s="4" t="n">
        <v>45863</v>
      </c>
      <c r="Q2217" s="87" t="n">
        <v>45856</v>
      </c>
      <c r="R2217" s="5" t="n">
        <v>1500</v>
      </c>
      <c r="S2217" s="2" t="n">
        <v>1</v>
      </c>
      <c r="T2217" s="3" t="inlineStr">
        <is>
          <t>6B/2025/2S</t>
        </is>
      </c>
      <c r="U2217" s="87" t="n">
        <v>45873</v>
      </c>
      <c r="V2217" s="3" t="inlineStr">
        <is>
          <t>22</t>
        </is>
      </c>
      <c r="W2217" s="87" t="n">
        <v>45873</v>
      </c>
      <c r="X2217" s="4" t="inlineStr">
        <is>
          <t xml:space="preserve">Bin Humaid National Trading Co </t>
        </is>
      </c>
    </row>
    <row r="2218" ht="24" customHeight="1">
      <c r="A2218" s="2">
        <f>+D2218-S2218</f>
        <v/>
      </c>
      <c r="B2218" s="80" t="n">
        <v>3836</v>
      </c>
      <c r="C2218" s="66" t="n">
        <v>45863</v>
      </c>
      <c r="D2218" s="2" t="n">
        <v>1</v>
      </c>
      <c r="E2218" s="3" t="inlineStr">
        <is>
          <t>FUCILE SEMIAUTOMATICO</t>
        </is>
      </c>
      <c r="F2218" s="3" t="inlineStr">
        <is>
          <t>12</t>
        </is>
      </c>
      <c r="G2218" s="3" t="inlineStr">
        <is>
          <t>BENELLI</t>
        </is>
      </c>
      <c r="H2218" s="65" t="inlineStr">
        <is>
          <t>RAFFAELLO POWERBORE 30"</t>
        </is>
      </c>
      <c r="I2218" s="65" t="inlineStr">
        <is>
          <t>F427987K</t>
        </is>
      </c>
      <c r="J2218" s="65" t="inlineStr">
        <is>
          <t>C1612958Z</t>
        </is>
      </c>
      <c r="K2218" s="65" t="inlineStr">
        <is>
          <t>N/D</t>
        </is>
      </c>
      <c r="L2218" s="127" t="inlineStr">
        <is>
          <t>BENELLI ARMI SPA</t>
        </is>
      </c>
      <c r="M2218" s="5" t="n">
        <v>1315</v>
      </c>
      <c r="N2218" s="5" t="n"/>
      <c r="O2218" s="5">
        <f>+M2218+N2218</f>
        <v/>
      </c>
      <c r="P2218" s="4" t="n">
        <v>45863</v>
      </c>
      <c r="Q2218" s="87" t="n">
        <v>45856</v>
      </c>
      <c r="R2218" s="5" t="n">
        <v>1500</v>
      </c>
      <c r="S2218" s="2" t="n">
        <v>1</v>
      </c>
      <c r="T2218" s="3" t="inlineStr">
        <is>
          <t>6B/2025/2S</t>
        </is>
      </c>
      <c r="U2218" s="87" t="n">
        <v>45873</v>
      </c>
      <c r="V2218" s="3" t="inlineStr">
        <is>
          <t>22</t>
        </is>
      </c>
      <c r="W2218" s="87" t="n">
        <v>45873</v>
      </c>
      <c r="X2218" s="4" t="inlineStr">
        <is>
          <t xml:space="preserve">Bin Humaid National Trading Co </t>
        </is>
      </c>
    </row>
    <row r="2219" ht="24" customHeight="1">
      <c r="A2219" s="2">
        <f>+D2219-S2219</f>
        <v/>
      </c>
      <c r="B2219" s="80" t="n">
        <v>3837</v>
      </c>
      <c r="C2219" s="66" t="n">
        <v>45863</v>
      </c>
      <c r="D2219" s="2" t="n">
        <v>1</v>
      </c>
      <c r="E2219" s="3" t="inlineStr">
        <is>
          <t>FUCILE SEMIAUTOMATICO</t>
        </is>
      </c>
      <c r="F2219" s="3" t="inlineStr">
        <is>
          <t>12</t>
        </is>
      </c>
      <c r="G2219" s="3" t="inlineStr">
        <is>
          <t>BENELLI</t>
        </is>
      </c>
      <c r="H2219" s="65" t="inlineStr">
        <is>
          <t>M2 SP 26"</t>
        </is>
      </c>
      <c r="I2219" s="65" t="inlineStr">
        <is>
          <t>M0193320A</t>
        </is>
      </c>
      <c r="J2219" s="65" t="inlineStr">
        <is>
          <t>C1676715A</t>
        </is>
      </c>
      <c r="K2219" s="65" t="inlineStr">
        <is>
          <t>N/D</t>
        </is>
      </c>
      <c r="L2219" s="127" t="inlineStr">
        <is>
          <t>BENELLI ARMI SPA</t>
        </is>
      </c>
      <c r="M2219" s="5" t="n">
        <v>971</v>
      </c>
      <c r="N2219" s="5" t="n"/>
      <c r="O2219" s="5">
        <f>+M2219+N2219</f>
        <v/>
      </c>
      <c r="P2219" s="4" t="n">
        <v>45863</v>
      </c>
      <c r="Q2219" s="87" t="n">
        <v>45856</v>
      </c>
      <c r="R2219" s="5" t="n">
        <v>1106.94</v>
      </c>
      <c r="S2219" s="2" t="n">
        <v>1</v>
      </c>
      <c r="T2219" s="3" t="inlineStr">
        <is>
          <t>6B/2025/2S</t>
        </is>
      </c>
      <c r="U2219" s="87" t="n">
        <v>45873</v>
      </c>
      <c r="V2219" s="3" t="inlineStr">
        <is>
          <t>22</t>
        </is>
      </c>
      <c r="W2219" s="87" t="n">
        <v>45873</v>
      </c>
      <c r="X2219" s="4" t="inlineStr">
        <is>
          <t xml:space="preserve">Bin Humaid National Trading Co </t>
        </is>
      </c>
    </row>
    <row r="2220" ht="24" customHeight="1">
      <c r="A2220" s="2">
        <f>+D2220-S2220</f>
        <v/>
      </c>
      <c r="B2220" s="80" t="n">
        <v>3838</v>
      </c>
      <c r="C2220" s="66" t="n">
        <v>45863</v>
      </c>
      <c r="D2220" s="2" t="n">
        <v>1</v>
      </c>
      <c r="E2220" s="3" t="inlineStr">
        <is>
          <t>FUCILE SEMIAUTOMATICO</t>
        </is>
      </c>
      <c r="F2220" s="3" t="inlineStr">
        <is>
          <t>12</t>
        </is>
      </c>
      <c r="G2220" s="3" t="inlineStr">
        <is>
          <t>BENELLI</t>
        </is>
      </c>
      <c r="H2220" s="65" t="inlineStr">
        <is>
          <t>M2 SP 26"</t>
        </is>
      </c>
      <c r="I2220" s="65" t="inlineStr">
        <is>
          <t>M0193318G</t>
        </is>
      </c>
      <c r="J2220" s="65" t="inlineStr">
        <is>
          <t>C1676716B</t>
        </is>
      </c>
      <c r="K2220" s="65" t="inlineStr">
        <is>
          <t>N/D</t>
        </is>
      </c>
      <c r="L2220" s="127" t="inlineStr">
        <is>
          <t>BENELLI ARMI SPA</t>
        </is>
      </c>
      <c r="M2220" s="5" t="n">
        <v>971</v>
      </c>
      <c r="N2220" s="5" t="n"/>
      <c r="O2220" s="5">
        <f>+M2220+N2220</f>
        <v/>
      </c>
      <c r="P2220" s="4" t="n">
        <v>45863</v>
      </c>
      <c r="Q2220" s="87" t="n">
        <v>45856</v>
      </c>
      <c r="R2220" s="5" t="n">
        <v>1106.94</v>
      </c>
      <c r="S2220" s="2" t="n">
        <v>1</v>
      </c>
      <c r="T2220" s="3" t="inlineStr">
        <is>
          <t>6B/2025/2S</t>
        </is>
      </c>
      <c r="U2220" s="87" t="n">
        <v>45873</v>
      </c>
      <c r="V2220" s="3" t="inlineStr">
        <is>
          <t>22</t>
        </is>
      </c>
      <c r="W2220" s="87" t="n">
        <v>45873</v>
      </c>
      <c r="X2220" s="4" t="inlineStr">
        <is>
          <t xml:space="preserve">Bin Humaid National Trading Co </t>
        </is>
      </c>
    </row>
    <row r="2221" ht="24" customHeight="1">
      <c r="A2221" s="2">
        <f>+D2221-S2221</f>
        <v/>
      </c>
      <c r="B2221" s="80" t="n">
        <v>3839</v>
      </c>
      <c r="C2221" s="66" t="n">
        <v>45863</v>
      </c>
      <c r="D2221" s="2" t="n">
        <v>1</v>
      </c>
      <c r="E2221" s="3" t="inlineStr">
        <is>
          <t>FUCILE SEMIAUTOMATICO</t>
        </is>
      </c>
      <c r="F2221" s="3" t="inlineStr">
        <is>
          <t>12</t>
        </is>
      </c>
      <c r="G2221" s="3" t="inlineStr">
        <is>
          <t>BENELLI</t>
        </is>
      </c>
      <c r="H2221" s="65" t="inlineStr">
        <is>
          <t>M2 SP 26"</t>
        </is>
      </c>
      <c r="I2221" s="65" t="inlineStr">
        <is>
          <t>M0193317F</t>
        </is>
      </c>
      <c r="J2221" s="65" t="inlineStr">
        <is>
          <t>C1676726D</t>
        </is>
      </c>
      <c r="K2221" s="65" t="inlineStr">
        <is>
          <t>N/D</t>
        </is>
      </c>
      <c r="L2221" s="127" t="inlineStr">
        <is>
          <t>BENELLI ARMI SPA</t>
        </is>
      </c>
      <c r="M2221" s="5" t="n">
        <v>971</v>
      </c>
      <c r="N2221" s="5" t="n"/>
      <c r="O2221" s="5">
        <f>+M2221+N2221</f>
        <v/>
      </c>
      <c r="P2221" s="4" t="n">
        <v>45863</v>
      </c>
      <c r="Q2221" s="87" t="n">
        <v>45856</v>
      </c>
      <c r="R2221" s="5" t="n">
        <v>1106.94</v>
      </c>
      <c r="S2221" s="2" t="n">
        <v>1</v>
      </c>
      <c r="T2221" s="3" t="inlineStr">
        <is>
          <t>6B/2025/2S</t>
        </is>
      </c>
      <c r="U2221" s="87" t="n">
        <v>45873</v>
      </c>
      <c r="V2221" s="3" t="inlineStr">
        <is>
          <t>22</t>
        </is>
      </c>
      <c r="W2221" s="87" t="n">
        <v>45873</v>
      </c>
      <c r="X2221" s="4" t="inlineStr">
        <is>
          <t xml:space="preserve">Bin Humaid National Trading Co </t>
        </is>
      </c>
    </row>
    <row r="2222" ht="24" customHeight="1">
      <c r="A2222" s="2">
        <f>+D2222-S2222</f>
        <v/>
      </c>
      <c r="B2222" s="80" t="n">
        <v>3840</v>
      </c>
      <c r="C2222" s="66" t="n">
        <v>45863</v>
      </c>
      <c r="D2222" s="2" t="n">
        <v>1</v>
      </c>
      <c r="E2222" s="3" t="inlineStr">
        <is>
          <t>FUCILE SEMIAUTOMATICO</t>
        </is>
      </c>
      <c r="F2222" s="3" t="inlineStr">
        <is>
          <t>12</t>
        </is>
      </c>
      <c r="G2222" s="3" t="inlineStr">
        <is>
          <t>BENELLI</t>
        </is>
      </c>
      <c r="H2222" s="65" t="inlineStr">
        <is>
          <t>M2 SP 26"</t>
        </is>
      </c>
      <c r="I2222" s="65" t="inlineStr">
        <is>
          <t>M0193321B</t>
        </is>
      </c>
      <c r="J2222" s="65" t="inlineStr">
        <is>
          <t>C1676717C</t>
        </is>
      </c>
      <c r="K2222" s="65" t="inlineStr">
        <is>
          <t>N/D</t>
        </is>
      </c>
      <c r="L2222" s="127" t="inlineStr">
        <is>
          <t>BENELLI ARMI SPA</t>
        </is>
      </c>
      <c r="M2222" s="5" t="n">
        <v>971</v>
      </c>
      <c r="N2222" s="5" t="n"/>
      <c r="O2222" s="5">
        <f>+M2222+N2222</f>
        <v/>
      </c>
      <c r="P2222" s="4" t="n">
        <v>45863</v>
      </c>
      <c r="Q2222" s="87" t="n">
        <v>45856</v>
      </c>
      <c r="R2222" s="5" t="n">
        <v>1106.94</v>
      </c>
      <c r="S2222" s="2" t="n">
        <v>1</v>
      </c>
      <c r="T2222" s="3" t="inlineStr">
        <is>
          <t>6B/2025/2S</t>
        </is>
      </c>
      <c r="U2222" s="87" t="n">
        <v>45873</v>
      </c>
      <c r="V2222" s="3" t="inlineStr">
        <is>
          <t>22</t>
        </is>
      </c>
      <c r="W2222" s="87" t="n">
        <v>45873</v>
      </c>
      <c r="X2222" s="4" t="inlineStr">
        <is>
          <t xml:space="preserve">Bin Humaid National Trading Co </t>
        </is>
      </c>
    </row>
    <row r="2223" ht="24" customHeight="1">
      <c r="A2223" s="2">
        <f>+D2223-S2223</f>
        <v/>
      </c>
      <c r="B2223" s="80" t="n">
        <v>3841</v>
      </c>
      <c r="C2223" s="66" t="n">
        <v>45863</v>
      </c>
      <c r="D2223" s="2" t="n">
        <v>1</v>
      </c>
      <c r="E2223" s="3" t="inlineStr">
        <is>
          <t>FUCILE SEMIAUTOMATICO</t>
        </is>
      </c>
      <c r="F2223" s="3" t="inlineStr">
        <is>
          <t>12</t>
        </is>
      </c>
      <c r="G2223" s="3" t="inlineStr">
        <is>
          <t>BENELLI</t>
        </is>
      </c>
      <c r="H2223" s="65" t="inlineStr">
        <is>
          <t>M2 SP 26"</t>
        </is>
      </c>
      <c r="I2223" s="65" t="inlineStr">
        <is>
          <t>M0193322C</t>
        </is>
      </c>
      <c r="J2223" s="65" t="inlineStr">
        <is>
          <t>C1676725C</t>
        </is>
      </c>
      <c r="K2223" s="65" t="inlineStr">
        <is>
          <t>N/D</t>
        </is>
      </c>
      <c r="L2223" s="127" t="inlineStr">
        <is>
          <t>BENELLI ARMI SPA</t>
        </is>
      </c>
      <c r="M2223" s="5" t="n">
        <v>971</v>
      </c>
      <c r="N2223" s="5" t="n"/>
      <c r="O2223" s="5">
        <f>+M2223+N2223</f>
        <v/>
      </c>
      <c r="P2223" s="4" t="n">
        <v>45863</v>
      </c>
      <c r="Q2223" s="87" t="n">
        <v>45856</v>
      </c>
      <c r="R2223" s="5" t="n">
        <v>1106.94</v>
      </c>
      <c r="S2223" s="2" t="n">
        <v>1</v>
      </c>
      <c r="T2223" s="3" t="inlineStr">
        <is>
          <t>6B/2025/2S</t>
        </is>
      </c>
      <c r="U2223" s="87" t="n">
        <v>45873</v>
      </c>
      <c r="V2223" s="3" t="inlineStr">
        <is>
          <t>22</t>
        </is>
      </c>
      <c r="W2223" s="87" t="n">
        <v>45873</v>
      </c>
      <c r="X2223" s="4" t="inlineStr">
        <is>
          <t xml:space="preserve">Bin Humaid National Trading Co </t>
        </is>
      </c>
    </row>
    <row r="2224" ht="24" customHeight="1">
      <c r="A2224" s="2">
        <f>+D2224-S2224</f>
        <v/>
      </c>
      <c r="B2224" s="80" t="n">
        <v>3842</v>
      </c>
      <c r="C2224" s="66" t="n">
        <v>45863</v>
      </c>
      <c r="D2224" s="2" t="n">
        <v>1</v>
      </c>
      <c r="E2224" s="3" t="inlineStr">
        <is>
          <t>FUCILE SEMIAUTOMATICO</t>
        </is>
      </c>
      <c r="F2224" s="3" t="inlineStr">
        <is>
          <t>12</t>
        </is>
      </c>
      <c r="G2224" s="3" t="inlineStr">
        <is>
          <t>BENELLI</t>
        </is>
      </c>
      <c r="H2224" s="65" t="inlineStr">
        <is>
          <t>M2 SP 26"</t>
        </is>
      </c>
      <c r="I2224" s="65" t="inlineStr">
        <is>
          <t>M0197567D</t>
        </is>
      </c>
      <c r="J2224" s="65" t="inlineStr">
        <is>
          <t>C1683304M</t>
        </is>
      </c>
      <c r="K2224" s="65" t="inlineStr">
        <is>
          <t>N/D</t>
        </is>
      </c>
      <c r="L2224" s="127" t="inlineStr">
        <is>
          <t>BENELLI ARMI SPA</t>
        </is>
      </c>
      <c r="M2224" s="5" t="n">
        <v>971</v>
      </c>
      <c r="N2224" s="5" t="n"/>
      <c r="O2224" s="5">
        <f>+M2224+N2224</f>
        <v/>
      </c>
      <c r="P2224" s="4" t="n">
        <v>45863</v>
      </c>
      <c r="Q2224" s="87" t="n">
        <v>45856</v>
      </c>
      <c r="R2224" s="5" t="n">
        <v>1106.94</v>
      </c>
      <c r="S2224" s="2" t="n">
        <v>1</v>
      </c>
      <c r="T2224" s="3" t="inlineStr">
        <is>
          <t>6B/2025/2S</t>
        </is>
      </c>
      <c r="U2224" s="87" t="n">
        <v>45873</v>
      </c>
      <c r="V2224" s="3" t="inlineStr">
        <is>
          <t>22</t>
        </is>
      </c>
      <c r="W2224" s="87" t="n">
        <v>45873</v>
      </c>
      <c r="X2224" s="4" t="inlineStr">
        <is>
          <t xml:space="preserve">Bin Humaid National Trading Co </t>
        </is>
      </c>
    </row>
    <row r="2225" ht="24" customHeight="1">
      <c r="A2225" s="2">
        <f>+D2225-S2225</f>
        <v/>
      </c>
      <c r="B2225" s="80" t="n">
        <v>3843</v>
      </c>
      <c r="C2225" s="66" t="n">
        <v>45863</v>
      </c>
      <c r="D2225" s="2" t="n">
        <v>1</v>
      </c>
      <c r="E2225" s="3" t="inlineStr">
        <is>
          <t>FUCILE SEMIAUTOMATICO</t>
        </is>
      </c>
      <c r="F2225" s="3" t="inlineStr">
        <is>
          <t>12</t>
        </is>
      </c>
      <c r="G2225" s="3" t="inlineStr">
        <is>
          <t>BENELLI</t>
        </is>
      </c>
      <c r="H2225" s="65" t="inlineStr">
        <is>
          <t>M2 SP 26"</t>
        </is>
      </c>
      <c r="I2225" s="65" t="inlineStr">
        <is>
          <t>M0197565B</t>
        </is>
      </c>
      <c r="J2225" s="65" t="inlineStr">
        <is>
          <t>C1683312M</t>
        </is>
      </c>
      <c r="K2225" s="65" t="inlineStr">
        <is>
          <t>N/D</t>
        </is>
      </c>
      <c r="L2225" s="127" t="inlineStr">
        <is>
          <t>BENELLI ARMI SPA</t>
        </is>
      </c>
      <c r="M2225" s="5" t="n">
        <v>971</v>
      </c>
      <c r="N2225" s="5" t="n"/>
      <c r="O2225" s="5">
        <f>+M2225+N2225</f>
        <v/>
      </c>
      <c r="P2225" s="4" t="n">
        <v>45863</v>
      </c>
      <c r="Q2225" s="87" t="n">
        <v>45856</v>
      </c>
      <c r="R2225" s="5" t="n">
        <v>1106.94</v>
      </c>
      <c r="S2225" s="2" t="n">
        <v>1</v>
      </c>
      <c r="T2225" s="3" t="inlineStr">
        <is>
          <t>6B/2025/2S</t>
        </is>
      </c>
      <c r="U2225" s="87" t="n">
        <v>45873</v>
      </c>
      <c r="V2225" s="3" t="inlineStr">
        <is>
          <t>22</t>
        </is>
      </c>
      <c r="W2225" s="87" t="n">
        <v>45873</v>
      </c>
      <c r="X2225" s="4" t="inlineStr">
        <is>
          <t xml:space="preserve">Bin Humaid National Trading Co </t>
        </is>
      </c>
    </row>
    <row r="2226" ht="24" customHeight="1">
      <c r="A2226" s="2">
        <f>+D2226-S2226</f>
        <v/>
      </c>
      <c r="B2226" s="80" t="n">
        <v>3844</v>
      </c>
      <c r="C2226" s="66" t="n">
        <v>45863</v>
      </c>
      <c r="D2226" s="2" t="n">
        <v>1</v>
      </c>
      <c r="E2226" s="3" t="inlineStr">
        <is>
          <t>FUCILE SEMIAUTOMATICO</t>
        </is>
      </c>
      <c r="F2226" s="3" t="inlineStr">
        <is>
          <t>12</t>
        </is>
      </c>
      <c r="G2226" s="3" t="inlineStr">
        <is>
          <t>BENELLI</t>
        </is>
      </c>
      <c r="H2226" s="65" t="inlineStr">
        <is>
          <t>M2 SP 26"</t>
        </is>
      </c>
      <c r="I2226" s="65" t="inlineStr">
        <is>
          <t>M0197553X</t>
        </is>
      </c>
      <c r="J2226" s="65" t="inlineStr">
        <is>
          <t>C1683311L</t>
        </is>
      </c>
      <c r="K2226" s="65" t="inlineStr">
        <is>
          <t>N/D</t>
        </is>
      </c>
      <c r="L2226" s="127" t="inlineStr">
        <is>
          <t>BENELLI ARMI SPA</t>
        </is>
      </c>
      <c r="M2226" s="5" t="n">
        <v>971</v>
      </c>
      <c r="N2226" s="5" t="n"/>
      <c r="O2226" s="5">
        <f>+M2226+N2226</f>
        <v/>
      </c>
      <c r="P2226" s="4" t="n">
        <v>45863</v>
      </c>
      <c r="Q2226" s="87" t="n">
        <v>45856</v>
      </c>
      <c r="R2226" s="5" t="n">
        <v>1106.94</v>
      </c>
      <c r="S2226" s="2" t="n">
        <v>1</v>
      </c>
      <c r="T2226" s="3" t="inlineStr">
        <is>
          <t>6B/2025/2S</t>
        </is>
      </c>
      <c r="U2226" s="87" t="n">
        <v>45873</v>
      </c>
      <c r="V2226" s="3" t="inlineStr">
        <is>
          <t>22</t>
        </is>
      </c>
      <c r="W2226" s="87" t="n">
        <v>45873</v>
      </c>
      <c r="X2226" s="4" t="inlineStr">
        <is>
          <t xml:space="preserve">Bin Humaid National Trading Co </t>
        </is>
      </c>
    </row>
    <row r="2227" ht="24" customHeight="1">
      <c r="A2227" s="2">
        <f>+D2227-S2227</f>
        <v/>
      </c>
      <c r="B2227" s="80" t="n">
        <v>3845</v>
      </c>
      <c r="C2227" s="66" t="n">
        <v>45863</v>
      </c>
      <c r="D2227" s="2" t="n">
        <v>1</v>
      </c>
      <c r="E2227" s="3" t="inlineStr">
        <is>
          <t>FUCILE SEMIAUTOMATICO</t>
        </is>
      </c>
      <c r="F2227" s="3" t="inlineStr">
        <is>
          <t>12</t>
        </is>
      </c>
      <c r="G2227" s="3" t="inlineStr">
        <is>
          <t>BENELLI</t>
        </is>
      </c>
      <c r="H2227" s="65" t="inlineStr">
        <is>
          <t>M2 SP 26"</t>
        </is>
      </c>
      <c r="I2227" s="65" t="inlineStr">
        <is>
          <t>M0197554Y</t>
        </is>
      </c>
      <c r="J2227" s="65" t="inlineStr">
        <is>
          <t>C1683318T</t>
        </is>
      </c>
      <c r="K2227" s="65" t="inlineStr">
        <is>
          <t>N/D</t>
        </is>
      </c>
      <c r="L2227" s="127" t="inlineStr">
        <is>
          <t>BENELLI ARMI SPA</t>
        </is>
      </c>
      <c r="M2227" s="5" t="n">
        <v>971</v>
      </c>
      <c r="N2227" s="5" t="n"/>
      <c r="O2227" s="5">
        <f>+M2227+N2227</f>
        <v/>
      </c>
      <c r="P2227" s="4" t="n">
        <v>45863</v>
      </c>
      <c r="Q2227" s="87" t="n">
        <v>45856</v>
      </c>
      <c r="R2227" s="5" t="n">
        <v>1106.94</v>
      </c>
      <c r="S2227" s="2" t="n">
        <v>1</v>
      </c>
      <c r="T2227" s="3" t="inlineStr">
        <is>
          <t>6B/2025/2S</t>
        </is>
      </c>
      <c r="U2227" s="87" t="n">
        <v>45873</v>
      </c>
      <c r="V2227" s="3" t="inlineStr">
        <is>
          <t>22</t>
        </is>
      </c>
      <c r="W2227" s="87" t="n">
        <v>45873</v>
      </c>
      <c r="X2227" s="4" t="inlineStr">
        <is>
          <t xml:space="preserve">Bin Humaid National Trading Co </t>
        </is>
      </c>
    </row>
    <row r="2228" ht="24" customHeight="1">
      <c r="A2228" s="2">
        <f>+D2228-S2228</f>
        <v/>
      </c>
      <c r="B2228" s="80" t="n">
        <v>3846</v>
      </c>
      <c r="C2228" s="66" t="n">
        <v>45863</v>
      </c>
      <c r="D2228" s="2" t="n">
        <v>1</v>
      </c>
      <c r="E2228" s="3" t="inlineStr">
        <is>
          <t>FUCILE SEMIAUTOMATICO</t>
        </is>
      </c>
      <c r="F2228" s="3" t="inlineStr">
        <is>
          <t>12</t>
        </is>
      </c>
      <c r="G2228" s="3" t="inlineStr">
        <is>
          <t>BENELLI</t>
        </is>
      </c>
      <c r="H2228" s="65" t="inlineStr">
        <is>
          <t>M2 SP 26"</t>
        </is>
      </c>
      <c r="I2228" s="65" t="inlineStr">
        <is>
          <t>M0197564A</t>
        </is>
      </c>
      <c r="J2228" s="65" t="inlineStr">
        <is>
          <t>C1683321N</t>
        </is>
      </c>
      <c r="K2228" s="65" t="inlineStr">
        <is>
          <t>N/D</t>
        </is>
      </c>
      <c r="L2228" s="127" t="inlineStr">
        <is>
          <t>BENELLI ARMI SPA</t>
        </is>
      </c>
      <c r="M2228" s="5" t="n">
        <v>971</v>
      </c>
      <c r="N2228" s="5" t="n"/>
      <c r="O2228" s="5">
        <f>+M2228+N2228</f>
        <v/>
      </c>
      <c r="P2228" s="4" t="n">
        <v>45863</v>
      </c>
      <c r="Q2228" s="87" t="n">
        <v>45856</v>
      </c>
      <c r="R2228" s="5" t="n">
        <v>1106.94</v>
      </c>
      <c r="S2228" s="2" t="n">
        <v>1</v>
      </c>
      <c r="T2228" s="3" t="inlineStr">
        <is>
          <t>6B/2025/2S</t>
        </is>
      </c>
      <c r="U2228" s="87" t="n">
        <v>45873</v>
      </c>
      <c r="V2228" s="3" t="inlineStr">
        <is>
          <t>22</t>
        </is>
      </c>
      <c r="W2228" s="87" t="n">
        <v>45873</v>
      </c>
      <c r="X2228" s="4" t="inlineStr">
        <is>
          <t xml:space="preserve">Bin Humaid National Trading Co </t>
        </is>
      </c>
    </row>
    <row r="2229" ht="24" customHeight="1">
      <c r="A2229" s="2">
        <f>+D2229-S2229</f>
        <v/>
      </c>
      <c r="B2229" s="80" t="n">
        <v>3847</v>
      </c>
      <c r="C2229" s="66" t="n">
        <v>45863</v>
      </c>
      <c r="D2229" s="2" t="n">
        <v>1</v>
      </c>
      <c r="E2229" s="3" t="inlineStr">
        <is>
          <t>FUCILE SEMIAUTOMATICO</t>
        </is>
      </c>
      <c r="F2229" s="3" t="inlineStr">
        <is>
          <t>12</t>
        </is>
      </c>
      <c r="G2229" s="3" t="inlineStr">
        <is>
          <t>BENELLI</t>
        </is>
      </c>
      <c r="H2229" s="65" t="inlineStr">
        <is>
          <t>M2 SP 26"</t>
        </is>
      </c>
      <c r="I2229" s="65" t="inlineStr">
        <is>
          <t>M0197972E</t>
        </is>
      </c>
      <c r="J2229" s="65" t="inlineStr">
        <is>
          <t>C1683930V</t>
        </is>
      </c>
      <c r="K2229" s="65" t="inlineStr">
        <is>
          <t>N/D</t>
        </is>
      </c>
      <c r="L2229" s="127" t="inlineStr">
        <is>
          <t>BENELLI ARMI SPA</t>
        </is>
      </c>
      <c r="M2229" s="5" t="n">
        <v>971</v>
      </c>
      <c r="N2229" s="5" t="n"/>
      <c r="O2229" s="5">
        <f>+M2229+N2229</f>
        <v/>
      </c>
      <c r="P2229" s="4" t="n">
        <v>45863</v>
      </c>
      <c r="Q2229" s="87" t="n">
        <v>45856</v>
      </c>
      <c r="R2229" s="5" t="n">
        <v>1106.94</v>
      </c>
      <c r="S2229" s="2" t="n">
        <v>1</v>
      </c>
      <c r="T2229" s="3" t="inlineStr">
        <is>
          <t>6B/2025/2S</t>
        </is>
      </c>
      <c r="U2229" s="87" t="n">
        <v>45873</v>
      </c>
      <c r="V2229" s="3" t="inlineStr">
        <is>
          <t>22</t>
        </is>
      </c>
      <c r="W2229" s="87" t="n">
        <v>45873</v>
      </c>
      <c r="X2229" s="4" t="inlineStr">
        <is>
          <t xml:space="preserve">Bin Humaid National Trading Co </t>
        </is>
      </c>
    </row>
    <row r="2230" ht="24" customHeight="1">
      <c r="A2230" s="2">
        <f>+D2230-S2230</f>
        <v/>
      </c>
      <c r="B2230" s="80" t="n">
        <v>3848</v>
      </c>
      <c r="C2230" s="66" t="n">
        <v>45863</v>
      </c>
      <c r="D2230" s="2" t="n">
        <v>1</v>
      </c>
      <c r="E2230" s="3" t="inlineStr">
        <is>
          <t>FUCILE SEMIAUTOMATICO</t>
        </is>
      </c>
      <c r="F2230" s="3" t="inlineStr">
        <is>
          <t>12</t>
        </is>
      </c>
      <c r="G2230" s="3" t="inlineStr">
        <is>
          <t>BENELLI</t>
        </is>
      </c>
      <c r="H2230" s="65" t="inlineStr">
        <is>
          <t>M2 SP 26"</t>
        </is>
      </c>
      <c r="I2230" s="65" t="inlineStr">
        <is>
          <t>M0197973F</t>
        </is>
      </c>
      <c r="J2230" s="65" t="inlineStr">
        <is>
          <t>C1683928B</t>
        </is>
      </c>
      <c r="K2230" s="65" t="inlineStr">
        <is>
          <t>N/D</t>
        </is>
      </c>
      <c r="L2230" s="127" t="inlineStr">
        <is>
          <t>BENELLI ARMI SPA</t>
        </is>
      </c>
      <c r="M2230" s="5" t="n">
        <v>971</v>
      </c>
      <c r="N2230" s="5" t="n"/>
      <c r="O2230" s="5">
        <f>+M2230+N2230</f>
        <v/>
      </c>
      <c r="P2230" s="4" t="n">
        <v>45863</v>
      </c>
      <c r="Q2230" s="87" t="n">
        <v>45856</v>
      </c>
      <c r="R2230" s="5" t="n">
        <v>1106.94</v>
      </c>
      <c r="S2230" s="2" t="n">
        <v>1</v>
      </c>
      <c r="T2230" s="3" t="inlineStr">
        <is>
          <t>6B/2025/2S</t>
        </is>
      </c>
      <c r="U2230" s="87" t="n">
        <v>45873</v>
      </c>
      <c r="V2230" s="3" t="inlineStr">
        <is>
          <t>22</t>
        </is>
      </c>
      <c r="W2230" s="87" t="n">
        <v>45873</v>
      </c>
      <c r="X2230" s="4" t="inlineStr">
        <is>
          <t xml:space="preserve">Bin Humaid National Trading Co </t>
        </is>
      </c>
    </row>
    <row r="2231" ht="24" customHeight="1">
      <c r="A2231" s="2">
        <f>+D2231-S2231</f>
        <v/>
      </c>
      <c r="B2231" s="80" t="n">
        <v>3849</v>
      </c>
      <c r="C2231" s="66" t="n">
        <v>45863</v>
      </c>
      <c r="D2231" s="2" t="n">
        <v>1</v>
      </c>
      <c r="E2231" s="3" t="inlineStr">
        <is>
          <t>FUCILE SEMIAUTOMATICO</t>
        </is>
      </c>
      <c r="F2231" s="3" t="inlineStr">
        <is>
          <t>12</t>
        </is>
      </c>
      <c r="G2231" s="3" t="inlineStr">
        <is>
          <t>BENELLI</t>
        </is>
      </c>
      <c r="H2231" s="65" t="inlineStr">
        <is>
          <t>M2 SP 26"</t>
        </is>
      </c>
      <c r="I2231" s="65" t="inlineStr">
        <is>
          <t>M0197974G</t>
        </is>
      </c>
      <c r="J2231" s="65" t="inlineStr">
        <is>
          <t>C1683929C</t>
        </is>
      </c>
      <c r="K2231" s="65" t="inlineStr">
        <is>
          <t>N/D</t>
        </is>
      </c>
      <c r="L2231" s="127" t="inlineStr">
        <is>
          <t>BENELLI ARMI SPA</t>
        </is>
      </c>
      <c r="M2231" s="5" t="n">
        <v>971</v>
      </c>
      <c r="N2231" s="5" t="n"/>
      <c r="O2231" s="5">
        <f>+M2231+N2231</f>
        <v/>
      </c>
      <c r="P2231" s="4" t="n">
        <v>45863</v>
      </c>
      <c r="Q2231" s="87" t="n">
        <v>45856</v>
      </c>
      <c r="R2231" s="5" t="n">
        <v>1106.94</v>
      </c>
      <c r="S2231" s="2" t="n">
        <v>1</v>
      </c>
      <c r="T2231" s="3" t="inlineStr">
        <is>
          <t>6B/2025/2S</t>
        </is>
      </c>
      <c r="U2231" s="87" t="n">
        <v>45873</v>
      </c>
      <c r="V2231" s="3" t="inlineStr">
        <is>
          <t>22</t>
        </is>
      </c>
      <c r="W2231" s="87" t="n">
        <v>45873</v>
      </c>
      <c r="X2231" s="4" t="inlineStr">
        <is>
          <t xml:space="preserve">Bin Humaid National Trading Co </t>
        </is>
      </c>
    </row>
    <row r="2232" ht="24" customHeight="1">
      <c r="A2232" s="2">
        <f>+D2232-S2232</f>
        <v/>
      </c>
      <c r="B2232" s="80" t="n">
        <v>3850</v>
      </c>
      <c r="C2232" s="66" t="n">
        <v>45863</v>
      </c>
      <c r="D2232" s="2" t="n">
        <v>1</v>
      </c>
      <c r="E2232" s="3" t="inlineStr">
        <is>
          <t>FUCILE SEMIAUTOMATICO</t>
        </is>
      </c>
      <c r="F2232" s="3" t="inlineStr">
        <is>
          <t>12</t>
        </is>
      </c>
      <c r="G2232" s="3" t="inlineStr">
        <is>
          <t>BENELLI</t>
        </is>
      </c>
      <c r="H2232" s="65" t="inlineStr">
        <is>
          <t>M2 SP 26"</t>
        </is>
      </c>
      <c r="I2232" s="65" t="inlineStr">
        <is>
          <t>M0197975H</t>
        </is>
      </c>
      <c r="J2232" s="65" t="inlineStr">
        <is>
          <t>C1683943A</t>
        </is>
      </c>
      <c r="K2232" s="65" t="inlineStr">
        <is>
          <t>N/D</t>
        </is>
      </c>
      <c r="L2232" s="127" t="inlineStr">
        <is>
          <t>BENELLI ARMI SPA</t>
        </is>
      </c>
      <c r="M2232" s="5" t="n">
        <v>971</v>
      </c>
      <c r="N2232" s="5" t="n"/>
      <c r="O2232" s="5">
        <f>+M2232+N2232</f>
        <v/>
      </c>
      <c r="P2232" s="4" t="n">
        <v>45863</v>
      </c>
      <c r="Q2232" s="87" t="n">
        <v>45856</v>
      </c>
      <c r="R2232" s="5" t="n">
        <v>1106.94</v>
      </c>
      <c r="S2232" s="2" t="n">
        <v>1</v>
      </c>
      <c r="T2232" s="3" t="inlineStr">
        <is>
          <t>6B/2025/2S</t>
        </is>
      </c>
      <c r="U2232" s="87" t="n">
        <v>45873</v>
      </c>
      <c r="V2232" s="3" t="inlineStr">
        <is>
          <t>22</t>
        </is>
      </c>
      <c r="W2232" s="87" t="n">
        <v>45873</v>
      </c>
      <c r="X2232" s="4" t="inlineStr">
        <is>
          <t xml:space="preserve">Bin Humaid National Trading Co </t>
        </is>
      </c>
    </row>
    <row r="2233" ht="24" customHeight="1">
      <c r="A2233" s="2">
        <f>+D2233-S2233</f>
        <v/>
      </c>
      <c r="B2233" s="80" t="n">
        <v>3851</v>
      </c>
      <c r="C2233" s="66" t="n">
        <v>45863</v>
      </c>
      <c r="D2233" s="2" t="n">
        <v>1</v>
      </c>
      <c r="E2233" s="3" t="inlineStr">
        <is>
          <t>FUCILE SEMIAUTOMATICO</t>
        </is>
      </c>
      <c r="F2233" s="3" t="inlineStr">
        <is>
          <t>12</t>
        </is>
      </c>
      <c r="G2233" s="3" t="inlineStr">
        <is>
          <t>BENELLI</t>
        </is>
      </c>
      <c r="H2233" s="65" t="inlineStr">
        <is>
          <t>M2 SP 26"</t>
        </is>
      </c>
      <c r="I2233" s="65" t="inlineStr">
        <is>
          <t>M0197976J</t>
        </is>
      </c>
      <c r="J2233" s="65" t="inlineStr">
        <is>
          <t>C1683945C</t>
        </is>
      </c>
      <c r="K2233" s="65" t="inlineStr">
        <is>
          <t>N/D</t>
        </is>
      </c>
      <c r="L2233" s="127" t="inlineStr">
        <is>
          <t>BENELLI ARMI SPA</t>
        </is>
      </c>
      <c r="M2233" s="5" t="n">
        <v>971</v>
      </c>
      <c r="N2233" s="5" t="n"/>
      <c r="O2233" s="5">
        <f>+M2233+N2233</f>
        <v/>
      </c>
      <c r="P2233" s="4" t="n">
        <v>45863</v>
      </c>
      <c r="Q2233" s="87" t="n">
        <v>45856</v>
      </c>
      <c r="R2233" s="5" t="n">
        <v>1106.94</v>
      </c>
      <c r="S2233" s="2" t="n">
        <v>1</v>
      </c>
      <c r="T2233" s="3" t="inlineStr">
        <is>
          <t>6B/2025/2S</t>
        </is>
      </c>
      <c r="U2233" s="87" t="n">
        <v>45873</v>
      </c>
      <c r="V2233" s="3" t="inlineStr">
        <is>
          <t>22</t>
        </is>
      </c>
      <c r="W2233" s="87" t="n">
        <v>45873</v>
      </c>
      <c r="X2233" s="4" t="inlineStr">
        <is>
          <t xml:space="preserve">Bin Humaid National Trading Co </t>
        </is>
      </c>
    </row>
    <row r="2234" ht="24" customHeight="1">
      <c r="A2234" s="2">
        <f>+D2234-S2234</f>
        <v/>
      </c>
      <c r="B2234" s="80" t="n">
        <v>3852</v>
      </c>
      <c r="C2234" s="66" t="n">
        <v>45863</v>
      </c>
      <c r="D2234" s="2" t="n">
        <v>1</v>
      </c>
      <c r="E2234" s="3" t="inlineStr">
        <is>
          <t>FUCILE SEMIAUTOMATICO</t>
        </is>
      </c>
      <c r="F2234" s="3" t="inlineStr">
        <is>
          <t>12</t>
        </is>
      </c>
      <c r="G2234" s="3" t="inlineStr">
        <is>
          <t>BENELLI</t>
        </is>
      </c>
      <c r="H2234" s="65" t="inlineStr">
        <is>
          <t>M2 SP 26"</t>
        </is>
      </c>
      <c r="I2234" s="65" t="inlineStr">
        <is>
          <t>M0198233R</t>
        </is>
      </c>
      <c r="J2234" s="65" t="inlineStr">
        <is>
          <t>C1684448C</t>
        </is>
      </c>
      <c r="K2234" s="65" t="inlineStr">
        <is>
          <t>N/D</t>
        </is>
      </c>
      <c r="L2234" s="127" t="inlineStr">
        <is>
          <t>BENELLI ARMI SPA</t>
        </is>
      </c>
      <c r="M2234" s="5" t="n">
        <v>971</v>
      </c>
      <c r="N2234" s="5" t="n"/>
      <c r="O2234" s="5">
        <f>+M2234+N2234</f>
        <v/>
      </c>
      <c r="P2234" s="4" t="n">
        <v>45863</v>
      </c>
      <c r="Q2234" s="87" t="n">
        <v>45856</v>
      </c>
      <c r="R2234" s="5" t="n">
        <v>1106.94</v>
      </c>
      <c r="S2234" s="2" t="n">
        <v>1</v>
      </c>
      <c r="T2234" s="3" t="inlineStr">
        <is>
          <t>6B/2025/2S</t>
        </is>
      </c>
      <c r="U2234" s="87" t="n">
        <v>45873</v>
      </c>
      <c r="V2234" s="3" t="inlineStr">
        <is>
          <t>22</t>
        </is>
      </c>
      <c r="W2234" s="87" t="n">
        <v>45873</v>
      </c>
      <c r="X2234" s="4" t="inlineStr">
        <is>
          <t xml:space="preserve">Bin Humaid National Trading Co </t>
        </is>
      </c>
    </row>
    <row r="2235" ht="24" customHeight="1">
      <c r="A2235" s="2">
        <f>+D2235-S2235</f>
        <v/>
      </c>
      <c r="B2235" s="80" t="n">
        <v>3853</v>
      </c>
      <c r="C2235" s="66" t="n">
        <v>45863</v>
      </c>
      <c r="D2235" s="2" t="n">
        <v>1</v>
      </c>
      <c r="E2235" s="3" t="inlineStr">
        <is>
          <t>FUCILE SEMIAUTOMATICO</t>
        </is>
      </c>
      <c r="F2235" s="3" t="inlineStr">
        <is>
          <t>12</t>
        </is>
      </c>
      <c r="G2235" s="3" t="inlineStr">
        <is>
          <t>BENELLI</t>
        </is>
      </c>
      <c r="H2235" s="65" t="inlineStr">
        <is>
          <t>M2 SP 26"</t>
        </is>
      </c>
      <c r="I2235" s="65" t="inlineStr">
        <is>
          <t>M0198220L</t>
        </is>
      </c>
      <c r="J2235" s="65" t="inlineStr">
        <is>
          <t>C1684450X</t>
        </is>
      </c>
      <c r="K2235" s="65" t="inlineStr">
        <is>
          <t>N/D</t>
        </is>
      </c>
      <c r="L2235" s="127" t="inlineStr">
        <is>
          <t>BENELLI ARMI SPA</t>
        </is>
      </c>
      <c r="M2235" s="5" t="n">
        <v>971</v>
      </c>
      <c r="N2235" s="5" t="n"/>
      <c r="O2235" s="5">
        <f>+M2235+N2235</f>
        <v/>
      </c>
      <c r="P2235" s="4" t="n">
        <v>45863</v>
      </c>
      <c r="Q2235" s="87" t="n">
        <v>45856</v>
      </c>
      <c r="R2235" s="5" t="n">
        <v>1106.94</v>
      </c>
      <c r="S2235" s="2" t="n">
        <v>1</v>
      </c>
      <c r="T2235" s="3" t="inlineStr">
        <is>
          <t>6B/2025/2S</t>
        </is>
      </c>
      <c r="U2235" s="87" t="n">
        <v>45873</v>
      </c>
      <c r="V2235" s="3" t="inlineStr">
        <is>
          <t>22</t>
        </is>
      </c>
      <c r="W2235" s="87" t="n">
        <v>45873</v>
      </c>
      <c r="X2235" s="4" t="inlineStr">
        <is>
          <t xml:space="preserve">Bin Humaid National Trading Co </t>
        </is>
      </c>
    </row>
    <row r="2236" ht="24" customHeight="1">
      <c r="A2236" s="2">
        <f>+D2236-S2236</f>
        <v/>
      </c>
      <c r="B2236" s="80" t="n">
        <v>3854</v>
      </c>
      <c r="C2236" s="66" t="n">
        <v>45863</v>
      </c>
      <c r="D2236" s="2" t="n">
        <v>1</v>
      </c>
      <c r="E2236" s="3" t="inlineStr">
        <is>
          <t>FUCILE SEMIAUTOMATICO</t>
        </is>
      </c>
      <c r="F2236" s="3" t="inlineStr">
        <is>
          <t>12</t>
        </is>
      </c>
      <c r="G2236" s="3" t="inlineStr">
        <is>
          <t>BENELLI</t>
        </is>
      </c>
      <c r="H2236" s="65" t="inlineStr">
        <is>
          <t>M2 SP 26"</t>
        </is>
      </c>
      <c r="I2236" s="65" t="inlineStr">
        <is>
          <t>M0198222N</t>
        </is>
      </c>
      <c r="J2236" s="65" t="inlineStr">
        <is>
          <t>C1684452Z</t>
        </is>
      </c>
      <c r="K2236" s="65" t="inlineStr">
        <is>
          <t>N/D</t>
        </is>
      </c>
      <c r="L2236" s="127" t="inlineStr">
        <is>
          <t>BENELLI ARMI SPA</t>
        </is>
      </c>
      <c r="M2236" s="5" t="n">
        <v>971</v>
      </c>
      <c r="N2236" s="5" t="n"/>
      <c r="O2236" s="5">
        <f>+M2236+N2236</f>
        <v/>
      </c>
      <c r="P2236" s="4" t="n">
        <v>45863</v>
      </c>
      <c r="Q2236" s="87" t="n">
        <v>45856</v>
      </c>
      <c r="R2236" s="5" t="n">
        <v>1106.94</v>
      </c>
      <c r="S2236" s="2" t="n">
        <v>1</v>
      </c>
      <c r="T2236" s="3" t="inlineStr">
        <is>
          <t>6B/2025/2S</t>
        </is>
      </c>
      <c r="U2236" s="87" t="n">
        <v>45873</v>
      </c>
      <c r="V2236" s="3" t="inlineStr">
        <is>
          <t>22</t>
        </is>
      </c>
      <c r="W2236" s="87" t="n">
        <v>45873</v>
      </c>
      <c r="X2236" s="4" t="inlineStr">
        <is>
          <t xml:space="preserve">Bin Humaid National Trading Co </t>
        </is>
      </c>
    </row>
    <row r="2237" ht="24" customHeight="1">
      <c r="A2237" s="2">
        <f>+D2237-S2237</f>
        <v/>
      </c>
      <c r="B2237" s="80" t="n">
        <v>3855</v>
      </c>
      <c r="C2237" s="66" t="n">
        <v>45863</v>
      </c>
      <c r="D2237" s="2" t="n">
        <v>1</v>
      </c>
      <c r="E2237" s="3" t="inlineStr">
        <is>
          <t>FUCILE SEMIAUTOMATICO</t>
        </is>
      </c>
      <c r="F2237" s="3" t="inlineStr">
        <is>
          <t>12</t>
        </is>
      </c>
      <c r="G2237" s="3" t="inlineStr">
        <is>
          <t>BENELLI</t>
        </is>
      </c>
      <c r="H2237" s="65" t="inlineStr">
        <is>
          <t>M2 SP 26"</t>
        </is>
      </c>
      <c r="I2237" s="65" t="inlineStr">
        <is>
          <t>M0198224Q</t>
        </is>
      </c>
      <c r="J2237" s="65" t="inlineStr">
        <is>
          <t>C1684454B</t>
        </is>
      </c>
      <c r="K2237" s="65" t="inlineStr">
        <is>
          <t>N/D</t>
        </is>
      </c>
      <c r="L2237" s="127" t="inlineStr">
        <is>
          <t>BENELLI ARMI SPA</t>
        </is>
      </c>
      <c r="M2237" s="5" t="n">
        <v>971</v>
      </c>
      <c r="N2237" s="5" t="n"/>
      <c r="O2237" s="5">
        <f>+M2237+N2237</f>
        <v/>
      </c>
      <c r="P2237" s="4" t="n">
        <v>45863</v>
      </c>
      <c r="Q2237" s="87" t="n">
        <v>45856</v>
      </c>
      <c r="R2237" s="5" t="n">
        <v>1106.94</v>
      </c>
      <c r="S2237" s="2" t="n">
        <v>1</v>
      </c>
      <c r="T2237" s="3" t="inlineStr">
        <is>
          <t>6B/2025/2S</t>
        </is>
      </c>
      <c r="U2237" s="87" t="n">
        <v>45873</v>
      </c>
      <c r="V2237" s="3" t="inlineStr">
        <is>
          <t>22</t>
        </is>
      </c>
      <c r="W2237" s="87" t="n">
        <v>45873</v>
      </c>
      <c r="X2237" s="4" t="inlineStr">
        <is>
          <t xml:space="preserve">Bin Humaid National Trading Co </t>
        </is>
      </c>
    </row>
    <row r="2238" ht="24" customHeight="1">
      <c r="A2238" s="2">
        <f>+D2238-S2238</f>
        <v/>
      </c>
      <c r="B2238" s="80" t="n">
        <v>3856</v>
      </c>
      <c r="C2238" s="66" t="n">
        <v>45863</v>
      </c>
      <c r="D2238" s="2" t="n">
        <v>1</v>
      </c>
      <c r="E2238" s="3" t="inlineStr">
        <is>
          <t>FUCILE SEMIAUTOMATICO</t>
        </is>
      </c>
      <c r="F2238" s="3" t="inlineStr">
        <is>
          <t>12</t>
        </is>
      </c>
      <c r="G2238" s="3" t="inlineStr">
        <is>
          <t>BENELLI</t>
        </is>
      </c>
      <c r="H2238" s="65" t="inlineStr">
        <is>
          <t>M2 SP 26"</t>
        </is>
      </c>
      <c r="I2238" s="65" t="inlineStr">
        <is>
          <t>M0198226S</t>
        </is>
      </c>
      <c r="J2238" s="65" t="inlineStr">
        <is>
          <t>C1684456D</t>
        </is>
      </c>
      <c r="K2238" s="65" t="inlineStr">
        <is>
          <t>N/D</t>
        </is>
      </c>
      <c r="L2238" s="127" t="inlineStr">
        <is>
          <t>BENELLI ARMI SPA</t>
        </is>
      </c>
      <c r="M2238" s="5" t="n">
        <v>971</v>
      </c>
      <c r="N2238" s="5" t="n"/>
      <c r="O2238" s="5">
        <f>+M2238+N2238</f>
        <v/>
      </c>
      <c r="P2238" s="4" t="n">
        <v>45863</v>
      </c>
      <c r="Q2238" s="87" t="n">
        <v>45856</v>
      </c>
      <c r="R2238" s="5" t="n">
        <v>1106.94</v>
      </c>
      <c r="S2238" s="2" t="n">
        <v>1</v>
      </c>
      <c r="T2238" s="3" t="inlineStr">
        <is>
          <t>6B/2025/2S</t>
        </is>
      </c>
      <c r="U2238" s="87" t="n">
        <v>45873</v>
      </c>
      <c r="V2238" s="3" t="inlineStr">
        <is>
          <t>22</t>
        </is>
      </c>
      <c r="W2238" s="87" t="n">
        <v>45873</v>
      </c>
      <c r="X2238" s="4" t="inlineStr">
        <is>
          <t xml:space="preserve">Bin Humaid National Trading Co </t>
        </is>
      </c>
    </row>
    <row r="2239" ht="24" customHeight="1">
      <c r="A2239" s="2">
        <f>+D2239-S2239</f>
        <v/>
      </c>
      <c r="B2239" s="80" t="n">
        <v>3857</v>
      </c>
      <c r="C2239" s="66" t="n">
        <v>45863</v>
      </c>
      <c r="D2239" s="2" t="n">
        <v>1</v>
      </c>
      <c r="E2239" s="3" t="inlineStr">
        <is>
          <t>FUCILE SEMIAUTOMATICO</t>
        </is>
      </c>
      <c r="F2239" s="3" t="inlineStr">
        <is>
          <t>12</t>
        </is>
      </c>
      <c r="G2239" s="3" t="inlineStr">
        <is>
          <t>BENELLI</t>
        </is>
      </c>
      <c r="H2239" s="65" t="inlineStr">
        <is>
          <t>M2 SP 26"</t>
        </is>
      </c>
      <c r="I2239" s="65" t="inlineStr">
        <is>
          <t>M0198228U</t>
        </is>
      </c>
      <c r="J2239" s="65" t="inlineStr">
        <is>
          <t>C1684459G</t>
        </is>
      </c>
      <c r="K2239" s="65" t="inlineStr">
        <is>
          <t>N/D</t>
        </is>
      </c>
      <c r="L2239" s="127" t="inlineStr">
        <is>
          <t>BENELLI ARMI SPA</t>
        </is>
      </c>
      <c r="M2239" s="5" t="n">
        <v>971</v>
      </c>
      <c r="N2239" s="5" t="n"/>
      <c r="O2239" s="5">
        <f>+M2239+N2239</f>
        <v/>
      </c>
      <c r="P2239" s="4" t="n">
        <v>45863</v>
      </c>
      <c r="Q2239" s="87" t="n">
        <v>45856</v>
      </c>
      <c r="R2239" s="5" t="n">
        <v>1106.94</v>
      </c>
      <c r="S2239" s="2" t="n">
        <v>1</v>
      </c>
      <c r="T2239" s="3" t="inlineStr">
        <is>
          <t>6B/2025/2S</t>
        </is>
      </c>
      <c r="U2239" s="87" t="n">
        <v>45873</v>
      </c>
      <c r="V2239" s="3" t="inlineStr">
        <is>
          <t>22</t>
        </is>
      </c>
      <c r="W2239" s="87" t="n">
        <v>45873</v>
      </c>
      <c r="X2239" s="4" t="inlineStr">
        <is>
          <t xml:space="preserve">Bin Humaid National Trading Co </t>
        </is>
      </c>
    </row>
    <row r="2240" ht="24" customHeight="1">
      <c r="A2240" s="2">
        <f>+D2240-S2240</f>
        <v/>
      </c>
      <c r="B2240" s="80" t="n">
        <v>3858</v>
      </c>
      <c r="C2240" s="66" t="n">
        <v>45863</v>
      </c>
      <c r="D2240" s="2" t="n">
        <v>1</v>
      </c>
      <c r="E2240" s="3" t="inlineStr">
        <is>
          <t>FUCILE SEMIAUTOMATICO</t>
        </is>
      </c>
      <c r="F2240" s="3" t="inlineStr">
        <is>
          <t>12</t>
        </is>
      </c>
      <c r="G2240" s="3" t="inlineStr">
        <is>
          <t>BENELLI</t>
        </is>
      </c>
      <c r="H2240" s="65" t="inlineStr">
        <is>
          <t>M2 SP 26"</t>
        </is>
      </c>
      <c r="I2240" s="65" t="inlineStr">
        <is>
          <t>M0198230N</t>
        </is>
      </c>
      <c r="J2240" s="65" t="inlineStr">
        <is>
          <t>C1684461A</t>
        </is>
      </c>
      <c r="K2240" s="65" t="inlineStr">
        <is>
          <t>N/D</t>
        </is>
      </c>
      <c r="L2240" s="127" t="inlineStr">
        <is>
          <t>BENELLI ARMI SPA</t>
        </is>
      </c>
      <c r="M2240" s="5" t="n">
        <v>971</v>
      </c>
      <c r="N2240" s="5" t="n"/>
      <c r="O2240" s="5">
        <f>+M2240+N2240</f>
        <v/>
      </c>
      <c r="P2240" s="4" t="n">
        <v>45863</v>
      </c>
      <c r="Q2240" s="87" t="n">
        <v>45856</v>
      </c>
      <c r="R2240" s="5" t="n">
        <v>1106.94</v>
      </c>
      <c r="S2240" s="2" t="n">
        <v>1</v>
      </c>
      <c r="T2240" s="3" t="inlineStr">
        <is>
          <t>6B/2025/2S</t>
        </is>
      </c>
      <c r="U2240" s="87" t="n">
        <v>45873</v>
      </c>
      <c r="V2240" s="3" t="inlineStr">
        <is>
          <t>22</t>
        </is>
      </c>
      <c r="W2240" s="87" t="n">
        <v>45873</v>
      </c>
      <c r="X2240" s="4" t="inlineStr">
        <is>
          <t xml:space="preserve">Bin Humaid National Trading Co </t>
        </is>
      </c>
    </row>
    <row r="2241" ht="24" customHeight="1">
      <c r="A2241" s="2">
        <f>+D2241-S2241</f>
        <v/>
      </c>
      <c r="B2241" s="80" t="n">
        <v>3859</v>
      </c>
      <c r="C2241" s="66" t="n">
        <v>45863</v>
      </c>
      <c r="D2241" s="2" t="n">
        <v>1</v>
      </c>
      <c r="E2241" s="3" t="inlineStr">
        <is>
          <t>FUCILE SEMIAUTOMATICO</t>
        </is>
      </c>
      <c r="F2241" s="3" t="inlineStr">
        <is>
          <t>12</t>
        </is>
      </c>
      <c r="G2241" s="3" t="inlineStr">
        <is>
          <t>BENELLI</t>
        </is>
      </c>
      <c r="H2241" s="65" t="inlineStr">
        <is>
          <t>M2 SP 26"</t>
        </is>
      </c>
      <c r="I2241" s="65" t="inlineStr">
        <is>
          <t>M0198232Q</t>
        </is>
      </c>
      <c r="J2241" s="65" t="inlineStr">
        <is>
          <t>C1684463C</t>
        </is>
      </c>
      <c r="K2241" s="65" t="inlineStr">
        <is>
          <t>N/D</t>
        </is>
      </c>
      <c r="L2241" s="127" t="inlineStr">
        <is>
          <t>BENELLI ARMI SPA</t>
        </is>
      </c>
      <c r="M2241" s="5" t="n">
        <v>971</v>
      </c>
      <c r="N2241" s="5" t="n"/>
      <c r="O2241" s="5">
        <f>+M2241+N2241</f>
        <v/>
      </c>
      <c r="P2241" s="4" t="n">
        <v>45863</v>
      </c>
      <c r="Q2241" s="87" t="n">
        <v>45856</v>
      </c>
      <c r="R2241" s="5" t="n">
        <v>1106.94</v>
      </c>
      <c r="S2241" s="2" t="n">
        <v>1</v>
      </c>
      <c r="T2241" s="3" t="inlineStr">
        <is>
          <t>6B/2025/2S</t>
        </is>
      </c>
      <c r="U2241" s="87" t="n">
        <v>45873</v>
      </c>
      <c r="V2241" s="3" t="inlineStr">
        <is>
          <t>22</t>
        </is>
      </c>
      <c r="W2241" s="87" t="n">
        <v>45873</v>
      </c>
      <c r="X2241" s="4" t="inlineStr">
        <is>
          <t xml:space="preserve">Bin Humaid National Trading Co </t>
        </is>
      </c>
    </row>
    <row r="2242" ht="24" customHeight="1">
      <c r="A2242" s="2">
        <f>+D2242-S2242</f>
        <v/>
      </c>
      <c r="B2242" s="80" t="n">
        <v>3860</v>
      </c>
      <c r="C2242" s="66" t="n">
        <v>45863</v>
      </c>
      <c r="D2242" s="2" t="n">
        <v>1</v>
      </c>
      <c r="E2242" s="3" t="inlineStr">
        <is>
          <t>FUCILE SEMIAUTOMATICO</t>
        </is>
      </c>
      <c r="F2242" s="3" t="inlineStr">
        <is>
          <t>12</t>
        </is>
      </c>
      <c r="G2242" s="3" t="inlineStr">
        <is>
          <t>BENELLI</t>
        </is>
      </c>
      <c r="H2242" s="65" t="inlineStr">
        <is>
          <t>M2 SP 26"</t>
        </is>
      </c>
      <c r="I2242" s="65" t="inlineStr">
        <is>
          <t>M0198235T</t>
        </is>
      </c>
      <c r="J2242" s="65" t="inlineStr">
        <is>
          <t>C1684465E</t>
        </is>
      </c>
      <c r="K2242" s="65" t="inlineStr">
        <is>
          <t>N/D</t>
        </is>
      </c>
      <c r="L2242" s="127" t="inlineStr">
        <is>
          <t>BENELLI ARMI SPA</t>
        </is>
      </c>
      <c r="M2242" s="5" t="n">
        <v>971</v>
      </c>
      <c r="N2242" s="5" t="n"/>
      <c r="O2242" s="5">
        <f>+M2242+N2242</f>
        <v/>
      </c>
      <c r="P2242" s="4" t="n">
        <v>45863</v>
      </c>
      <c r="Q2242" s="87" t="n">
        <v>45856</v>
      </c>
      <c r="R2242" s="5" t="n">
        <v>1106.94</v>
      </c>
      <c r="S2242" s="2" t="n">
        <v>1</v>
      </c>
      <c r="T2242" s="3" t="inlineStr">
        <is>
          <t>6B/2025/2S</t>
        </is>
      </c>
      <c r="U2242" s="87" t="n">
        <v>45873</v>
      </c>
      <c r="V2242" s="3" t="inlineStr">
        <is>
          <t>22</t>
        </is>
      </c>
      <c r="W2242" s="87" t="n">
        <v>45873</v>
      </c>
      <c r="X2242" s="4" t="inlineStr">
        <is>
          <t xml:space="preserve">Bin Humaid National Trading Co </t>
        </is>
      </c>
    </row>
    <row r="2243" ht="24" customHeight="1">
      <c r="A2243" s="2">
        <f>+D2243-S2243</f>
        <v/>
      </c>
      <c r="B2243" s="80" t="n">
        <v>3861</v>
      </c>
      <c r="C2243" s="66" t="n">
        <v>45863</v>
      </c>
      <c r="D2243" s="2" t="n">
        <v>1</v>
      </c>
      <c r="E2243" s="3" t="inlineStr">
        <is>
          <t>FUCILE SEMIAUTOMATICO</t>
        </is>
      </c>
      <c r="F2243" s="3" t="inlineStr">
        <is>
          <t>12</t>
        </is>
      </c>
      <c r="G2243" s="3" t="inlineStr">
        <is>
          <t>BENELLI</t>
        </is>
      </c>
      <c r="H2243" s="65" t="inlineStr">
        <is>
          <t>M2 SP 26"</t>
        </is>
      </c>
      <c r="I2243" s="65" t="inlineStr">
        <is>
          <t>M0198237V</t>
        </is>
      </c>
      <c r="J2243" s="65" t="inlineStr">
        <is>
          <t>C1684467G</t>
        </is>
      </c>
      <c r="K2243" s="65" t="inlineStr">
        <is>
          <t>N/D</t>
        </is>
      </c>
      <c r="L2243" s="127" t="inlineStr">
        <is>
          <t>BENELLI ARMI SPA</t>
        </is>
      </c>
      <c r="M2243" s="5" t="n">
        <v>971</v>
      </c>
      <c r="N2243" s="5" t="n"/>
      <c r="O2243" s="5">
        <f>+M2243+N2243</f>
        <v/>
      </c>
      <c r="P2243" s="4" t="n">
        <v>45863</v>
      </c>
      <c r="Q2243" s="87" t="n">
        <v>45856</v>
      </c>
      <c r="R2243" s="5" t="n">
        <v>1106.94</v>
      </c>
      <c r="S2243" s="2" t="n">
        <v>1</v>
      </c>
      <c r="T2243" s="3" t="inlineStr">
        <is>
          <t>6B/2025/2S</t>
        </is>
      </c>
      <c r="U2243" s="87" t="n">
        <v>45873</v>
      </c>
      <c r="V2243" s="3" t="inlineStr">
        <is>
          <t>22</t>
        </is>
      </c>
      <c r="W2243" s="87" t="n">
        <v>45873</v>
      </c>
      <c r="X2243" s="4" t="inlineStr">
        <is>
          <t xml:space="preserve">Bin Humaid National Trading Co </t>
        </is>
      </c>
    </row>
    <row r="2244" ht="24" customHeight="1">
      <c r="A2244" s="2">
        <f>+D2244-S2244</f>
        <v/>
      </c>
      <c r="B2244" s="80" t="n">
        <v>3862</v>
      </c>
      <c r="C2244" s="66" t="n">
        <v>45863</v>
      </c>
      <c r="D2244" s="2" t="n">
        <v>1</v>
      </c>
      <c r="E2244" s="3" t="inlineStr">
        <is>
          <t>FUCILE SEMIAUTOMATICO</t>
        </is>
      </c>
      <c r="F2244" s="3" t="inlineStr">
        <is>
          <t>12</t>
        </is>
      </c>
      <c r="G2244" s="3" t="inlineStr">
        <is>
          <t>BENELLI</t>
        </is>
      </c>
      <c r="H2244" s="65" t="inlineStr">
        <is>
          <t>M2 SP 26"</t>
        </is>
      </c>
      <c r="I2244" s="65" t="inlineStr">
        <is>
          <t>M0198239X</t>
        </is>
      </c>
      <c r="J2244" s="65" t="inlineStr">
        <is>
          <t>C1684469J</t>
        </is>
      </c>
      <c r="K2244" s="65" t="inlineStr">
        <is>
          <t>N/D</t>
        </is>
      </c>
      <c r="L2244" s="127" t="inlineStr">
        <is>
          <t>BENELLI ARMI SPA</t>
        </is>
      </c>
      <c r="M2244" s="5" t="n">
        <v>971</v>
      </c>
      <c r="N2244" s="5" t="n"/>
      <c r="O2244" s="5">
        <f>+M2244+N2244</f>
        <v/>
      </c>
      <c r="P2244" s="4" t="n">
        <v>45863</v>
      </c>
      <c r="Q2244" s="87" t="n">
        <v>45856</v>
      </c>
      <c r="R2244" s="5" t="n">
        <v>1106.94</v>
      </c>
      <c r="S2244" s="2" t="n">
        <v>1</v>
      </c>
      <c r="T2244" s="3" t="inlineStr">
        <is>
          <t>6B/2025/2S</t>
        </is>
      </c>
      <c r="U2244" s="87" t="n">
        <v>45873</v>
      </c>
      <c r="V2244" s="3" t="inlineStr">
        <is>
          <t>22</t>
        </is>
      </c>
      <c r="W2244" s="87" t="n">
        <v>45873</v>
      </c>
      <c r="X2244" s="4" t="inlineStr">
        <is>
          <t xml:space="preserve">Bin Humaid National Trading Co </t>
        </is>
      </c>
    </row>
    <row r="2245" ht="24" customHeight="1">
      <c r="A2245" s="2">
        <f>+D2245-S2245</f>
        <v/>
      </c>
      <c r="B2245" s="80" t="n">
        <v>3863</v>
      </c>
      <c r="C2245" s="66" t="n">
        <v>45863</v>
      </c>
      <c r="D2245" s="2" t="n">
        <v>1</v>
      </c>
      <c r="E2245" s="3" t="inlineStr">
        <is>
          <t>FUCILE SEMIAUTOMATICO</t>
        </is>
      </c>
      <c r="F2245" s="3" t="inlineStr">
        <is>
          <t>12</t>
        </is>
      </c>
      <c r="G2245" s="3" t="inlineStr">
        <is>
          <t>BENELLI</t>
        </is>
      </c>
      <c r="H2245" s="65" t="inlineStr">
        <is>
          <t>M2 SP 26"</t>
        </is>
      </c>
      <c r="I2245" s="65" t="inlineStr">
        <is>
          <t>M0198241R</t>
        </is>
      </c>
      <c r="J2245" s="65" t="inlineStr">
        <is>
          <t>C1684471C</t>
        </is>
      </c>
      <c r="K2245" s="65" t="inlineStr">
        <is>
          <t>N/D</t>
        </is>
      </c>
      <c r="L2245" s="127" t="inlineStr">
        <is>
          <t>BENELLI ARMI SPA</t>
        </is>
      </c>
      <c r="M2245" s="5" t="n">
        <v>971</v>
      </c>
      <c r="N2245" s="5" t="n"/>
      <c r="O2245" s="5">
        <f>+M2245+N2245</f>
        <v/>
      </c>
      <c r="P2245" s="4" t="n">
        <v>45863</v>
      </c>
      <c r="Q2245" s="87" t="n">
        <v>45856</v>
      </c>
      <c r="R2245" s="5" t="n">
        <v>1106.94</v>
      </c>
      <c r="S2245" s="2" t="n">
        <v>1</v>
      </c>
      <c r="T2245" s="3" t="inlineStr">
        <is>
          <t>6B/2025/2S</t>
        </is>
      </c>
      <c r="U2245" s="87" t="n">
        <v>45873</v>
      </c>
      <c r="V2245" s="3" t="inlineStr">
        <is>
          <t>22</t>
        </is>
      </c>
      <c r="W2245" s="87" t="n">
        <v>45873</v>
      </c>
      <c r="X2245" s="4" t="inlineStr">
        <is>
          <t xml:space="preserve">Bin Humaid National Trading Co </t>
        </is>
      </c>
    </row>
    <row r="2246" ht="24" customHeight="1">
      <c r="A2246" s="2">
        <f>+D2246-S2246</f>
        <v/>
      </c>
      <c r="B2246" s="80" t="n">
        <v>3864</v>
      </c>
      <c r="C2246" s="66" t="n">
        <v>45863</v>
      </c>
      <c r="D2246" s="2" t="n">
        <v>1</v>
      </c>
      <c r="E2246" s="3" t="inlineStr">
        <is>
          <t>FUCILE SEMIAUTOMATICO</t>
        </is>
      </c>
      <c r="F2246" s="3" t="inlineStr">
        <is>
          <t>12</t>
        </is>
      </c>
      <c r="G2246" s="3" t="inlineStr">
        <is>
          <t>BENELLI</t>
        </is>
      </c>
      <c r="H2246" s="65" t="inlineStr">
        <is>
          <t>M2 SP 26"</t>
        </is>
      </c>
      <c r="I2246" s="65" t="inlineStr">
        <is>
          <t>M0198243T</t>
        </is>
      </c>
      <c r="J2246" s="65" t="inlineStr">
        <is>
          <t>C1684457E</t>
        </is>
      </c>
      <c r="K2246" s="65" t="inlineStr">
        <is>
          <t>N/D</t>
        </is>
      </c>
      <c r="L2246" s="127" t="inlineStr">
        <is>
          <t>BENELLI ARMI SPA</t>
        </is>
      </c>
      <c r="M2246" s="5" t="n">
        <v>971</v>
      </c>
      <c r="N2246" s="5" t="n"/>
      <c r="O2246" s="5">
        <f>+M2246+N2246</f>
        <v/>
      </c>
      <c r="P2246" s="4" t="n">
        <v>45863</v>
      </c>
      <c r="Q2246" s="87" t="n">
        <v>45856</v>
      </c>
      <c r="R2246" s="5" t="n">
        <v>1106.94</v>
      </c>
      <c r="S2246" s="2" t="n">
        <v>1</v>
      </c>
      <c r="T2246" s="3" t="inlineStr">
        <is>
          <t>6B/2025/2S</t>
        </is>
      </c>
      <c r="U2246" s="87" t="n">
        <v>45873</v>
      </c>
      <c r="V2246" s="3" t="inlineStr">
        <is>
          <t>22</t>
        </is>
      </c>
      <c r="W2246" s="87" t="n">
        <v>45873</v>
      </c>
      <c r="X2246" s="4" t="inlineStr">
        <is>
          <t xml:space="preserve">Bin Humaid National Trading Co </t>
        </is>
      </c>
    </row>
    <row r="2247" ht="24" customHeight="1">
      <c r="A2247" s="2">
        <f>+D2247-S2247</f>
        <v/>
      </c>
      <c r="B2247" s="80" t="n">
        <v>3865</v>
      </c>
      <c r="C2247" s="66" t="n">
        <v>45863</v>
      </c>
      <c r="D2247" s="2" t="n">
        <v>1</v>
      </c>
      <c r="E2247" s="3" t="inlineStr">
        <is>
          <t>FUCILE SEMIAUTOMATICO</t>
        </is>
      </c>
      <c r="F2247" s="3" t="inlineStr">
        <is>
          <t>12</t>
        </is>
      </c>
      <c r="G2247" s="3" t="inlineStr">
        <is>
          <t>BENELLI</t>
        </is>
      </c>
      <c r="H2247" s="65" t="inlineStr">
        <is>
          <t>M2 SP 26"</t>
        </is>
      </c>
      <c r="I2247" s="65" t="inlineStr">
        <is>
          <t>M0198245V</t>
        </is>
      </c>
      <c r="J2247" s="65" t="inlineStr">
        <is>
          <t>C1684444Y</t>
        </is>
      </c>
      <c r="K2247" s="65" t="inlineStr">
        <is>
          <t>N/D</t>
        </is>
      </c>
      <c r="L2247" s="127" t="inlineStr">
        <is>
          <t>BENELLI ARMI SPA</t>
        </is>
      </c>
      <c r="M2247" s="5" t="n">
        <v>971</v>
      </c>
      <c r="N2247" s="5" t="n"/>
      <c r="O2247" s="5">
        <f>+M2247+N2247</f>
        <v/>
      </c>
      <c r="P2247" s="4" t="n">
        <v>45863</v>
      </c>
      <c r="Q2247" s="87" t="n">
        <v>45856</v>
      </c>
      <c r="R2247" s="5" t="n">
        <v>1106.94</v>
      </c>
      <c r="S2247" s="2" t="n">
        <v>1</v>
      </c>
      <c r="T2247" s="3" t="inlineStr">
        <is>
          <t>6B/2025/2S</t>
        </is>
      </c>
      <c r="U2247" s="87" t="n">
        <v>45873</v>
      </c>
      <c r="V2247" s="3" t="inlineStr">
        <is>
          <t>22</t>
        </is>
      </c>
      <c r="W2247" s="87" t="n">
        <v>45873</v>
      </c>
      <c r="X2247" s="4" t="inlineStr">
        <is>
          <t xml:space="preserve">Bin Humaid National Trading Co </t>
        </is>
      </c>
    </row>
    <row r="2248" ht="24" customHeight="1">
      <c r="A2248" s="2">
        <f>+D2248-S2248</f>
        <v/>
      </c>
      <c r="B2248" s="80" t="n">
        <v>3866</v>
      </c>
      <c r="C2248" s="66" t="n">
        <v>45863</v>
      </c>
      <c r="D2248" s="2" t="n">
        <v>1</v>
      </c>
      <c r="E2248" s="3" t="inlineStr">
        <is>
          <t>FUCILE SEMIAUTOMATICO</t>
        </is>
      </c>
      <c r="F2248" s="3" t="inlineStr">
        <is>
          <t>12</t>
        </is>
      </c>
      <c r="G2248" s="3" t="inlineStr">
        <is>
          <t>BENELLI</t>
        </is>
      </c>
      <c r="H2248" s="65" t="inlineStr">
        <is>
          <t>M2 SP 26"</t>
        </is>
      </c>
      <c r="I2248" s="65" t="inlineStr">
        <is>
          <t>M0198247X</t>
        </is>
      </c>
      <c r="J2248" s="65" t="inlineStr">
        <is>
          <t>C1684446A</t>
        </is>
      </c>
      <c r="K2248" s="65" t="inlineStr">
        <is>
          <t>N/D</t>
        </is>
      </c>
      <c r="L2248" s="127" t="inlineStr">
        <is>
          <t>BENELLI ARMI SPA</t>
        </is>
      </c>
      <c r="M2248" s="5" t="n">
        <v>971</v>
      </c>
      <c r="N2248" s="5" t="n"/>
      <c r="O2248" s="5">
        <f>+M2248+N2248</f>
        <v/>
      </c>
      <c r="P2248" s="4" t="n">
        <v>45863</v>
      </c>
      <c r="Q2248" s="87" t="n">
        <v>45856</v>
      </c>
      <c r="R2248" s="5" t="n">
        <v>1106.94</v>
      </c>
      <c r="S2248" s="2" t="n">
        <v>1</v>
      </c>
      <c r="T2248" s="3" t="inlineStr">
        <is>
          <t>6B/2025/2S</t>
        </is>
      </c>
      <c r="U2248" s="87" t="n">
        <v>45873</v>
      </c>
      <c r="V2248" s="3" t="inlineStr">
        <is>
          <t>22</t>
        </is>
      </c>
      <c r="W2248" s="87" t="n">
        <v>45873</v>
      </c>
      <c r="X2248" s="4" t="inlineStr">
        <is>
          <t xml:space="preserve">Bin Humaid National Trading Co </t>
        </is>
      </c>
    </row>
    <row r="2249" ht="24" customHeight="1">
      <c r="A2249" s="2">
        <f>+D2249-S2249</f>
        <v/>
      </c>
      <c r="B2249" s="80" t="n">
        <v>3867</v>
      </c>
      <c r="C2249" s="66" t="n">
        <v>45863</v>
      </c>
      <c r="D2249" s="2" t="n">
        <v>1</v>
      </c>
      <c r="E2249" s="3" t="inlineStr">
        <is>
          <t>FUCILE A POMPA</t>
        </is>
      </c>
      <c r="F2249" s="3" t="inlineStr">
        <is>
          <t>12</t>
        </is>
      </c>
      <c r="G2249" s="3" t="inlineStr">
        <is>
          <t>BENELLI</t>
        </is>
      </c>
      <c r="H2249" s="65" t="inlineStr">
        <is>
          <t>NOVA SPEED 26"</t>
        </is>
      </c>
      <c r="I2249" s="65" t="inlineStr">
        <is>
          <t>BU003123P</t>
        </is>
      </c>
      <c r="J2249" s="65" t="inlineStr">
        <is>
          <t>CU003147A</t>
        </is>
      </c>
      <c r="K2249" s="65" t="inlineStr">
        <is>
          <t>N/D</t>
        </is>
      </c>
      <c r="L2249" s="127" t="inlineStr">
        <is>
          <t>BENELLI ARMI SPA</t>
        </is>
      </c>
      <c r="M2249" s="5" t="n">
        <v>697</v>
      </c>
      <c r="N2249" s="5" t="n"/>
      <c r="O2249" s="5">
        <f>+M2249+N2249</f>
        <v/>
      </c>
      <c r="P2249" s="4" t="n">
        <v>45863</v>
      </c>
      <c r="Q2249" s="87" t="n">
        <v>45856</v>
      </c>
      <c r="R2249" s="5" t="n">
        <v>794.58</v>
      </c>
      <c r="S2249" s="2" t="n">
        <v>1</v>
      </c>
      <c r="T2249" s="3" t="inlineStr">
        <is>
          <t>6B/2025/2S</t>
        </is>
      </c>
      <c r="U2249" s="87" t="n">
        <v>45873</v>
      </c>
      <c r="V2249" s="3" t="inlineStr">
        <is>
          <t>22</t>
        </is>
      </c>
      <c r="W2249" s="87" t="n">
        <v>45873</v>
      </c>
      <c r="X2249" s="4" t="inlineStr">
        <is>
          <t xml:space="preserve">Bin Humaid National Trading Co </t>
        </is>
      </c>
    </row>
    <row r="2250" ht="24" customHeight="1">
      <c r="A2250" s="2">
        <f>+D2250-S2250</f>
        <v/>
      </c>
      <c r="B2250" s="80" t="n">
        <v>3868</v>
      </c>
      <c r="C2250" s="66" t="n">
        <v>45863</v>
      </c>
      <c r="D2250" s="2" t="n">
        <v>1</v>
      </c>
      <c r="E2250" s="3" t="inlineStr">
        <is>
          <t>FUCILE A POMPA</t>
        </is>
      </c>
      <c r="F2250" s="3" t="inlineStr">
        <is>
          <t>12</t>
        </is>
      </c>
      <c r="G2250" s="3" t="inlineStr">
        <is>
          <t>BENELLI</t>
        </is>
      </c>
      <c r="H2250" s="65" t="inlineStr">
        <is>
          <t>NOVA SPEED 26"</t>
        </is>
      </c>
      <c r="I2250" s="65" t="inlineStr">
        <is>
          <t>BU003270Q</t>
        </is>
      </c>
      <c r="J2250" s="65" t="inlineStr">
        <is>
          <t>CU003296F</t>
        </is>
      </c>
      <c r="K2250" s="65" t="inlineStr">
        <is>
          <t>N/D</t>
        </is>
      </c>
      <c r="L2250" s="127" t="inlineStr">
        <is>
          <t>BENELLI ARMI SPA</t>
        </is>
      </c>
      <c r="M2250" s="5" t="n">
        <v>697</v>
      </c>
      <c r="N2250" s="5" t="n"/>
      <c r="O2250" s="5">
        <f>+M2250+N2250</f>
        <v/>
      </c>
      <c r="P2250" s="4" t="n">
        <v>45863</v>
      </c>
      <c r="Q2250" s="87" t="n">
        <v>45856</v>
      </c>
      <c r="R2250" s="5" t="n">
        <v>794.58</v>
      </c>
      <c r="S2250" s="2" t="n">
        <v>1</v>
      </c>
      <c r="T2250" s="3" t="inlineStr">
        <is>
          <t>6B/2025/2S</t>
        </is>
      </c>
      <c r="U2250" s="87" t="n">
        <v>45873</v>
      </c>
      <c r="V2250" s="3" t="inlineStr">
        <is>
          <t>22</t>
        </is>
      </c>
      <c r="W2250" s="87" t="n">
        <v>45873</v>
      </c>
      <c r="X2250" s="4" t="inlineStr">
        <is>
          <t xml:space="preserve">Bin Humaid National Trading Co </t>
        </is>
      </c>
    </row>
    <row r="2251" ht="24" customHeight="1">
      <c r="A2251" s="2">
        <f>+D2251-S2251</f>
        <v/>
      </c>
      <c r="B2251" s="80" t="n">
        <v>3869</v>
      </c>
      <c r="C2251" s="66" t="n">
        <v>45863</v>
      </c>
      <c r="D2251" s="2" t="n">
        <v>1</v>
      </c>
      <c r="E2251" s="3" t="inlineStr">
        <is>
          <t>FUCILE A POMPA</t>
        </is>
      </c>
      <c r="F2251" s="3" t="inlineStr">
        <is>
          <t>12</t>
        </is>
      </c>
      <c r="G2251" s="3" t="inlineStr">
        <is>
          <t>BENELLI</t>
        </is>
      </c>
      <c r="H2251" s="65" t="inlineStr">
        <is>
          <t>NOVA SPEED 26"</t>
        </is>
      </c>
      <c r="I2251" s="65" t="inlineStr">
        <is>
          <t>BU003269J</t>
        </is>
      </c>
      <c r="J2251" s="65" t="inlineStr">
        <is>
          <t>CU003297H</t>
        </is>
      </c>
      <c r="K2251" s="65" t="inlineStr">
        <is>
          <t>N/D</t>
        </is>
      </c>
      <c r="L2251" s="127" t="inlineStr">
        <is>
          <t>BENELLI ARMI SPA</t>
        </is>
      </c>
      <c r="M2251" s="5" t="n">
        <v>697</v>
      </c>
      <c r="N2251" s="5" t="n"/>
      <c r="O2251" s="5">
        <f>+M2251+N2251</f>
        <v/>
      </c>
      <c r="P2251" s="4" t="n">
        <v>45863</v>
      </c>
      <c r="Q2251" s="87" t="n">
        <v>45856</v>
      </c>
      <c r="R2251" s="5" t="n">
        <v>794.58</v>
      </c>
      <c r="S2251" s="2" t="n">
        <v>1</v>
      </c>
      <c r="T2251" s="3" t="inlineStr">
        <is>
          <t>6B/2025/2S</t>
        </is>
      </c>
      <c r="U2251" s="87" t="n">
        <v>45873</v>
      </c>
      <c r="V2251" s="3" t="inlineStr">
        <is>
          <t>22</t>
        </is>
      </c>
      <c r="W2251" s="87" t="n">
        <v>45873</v>
      </c>
      <c r="X2251" s="4" t="inlineStr">
        <is>
          <t xml:space="preserve">Bin Humaid National Trading Co </t>
        </is>
      </c>
    </row>
    <row r="2252" ht="24" customHeight="1">
      <c r="A2252" s="2">
        <f>+D2252-S2252</f>
        <v/>
      </c>
      <c r="B2252" s="80" t="n">
        <v>3870</v>
      </c>
      <c r="C2252" s="66" t="n">
        <v>45863</v>
      </c>
      <c r="D2252" s="2" t="n">
        <v>1</v>
      </c>
      <c r="E2252" s="3" t="inlineStr">
        <is>
          <t>FUCILE A POMPA</t>
        </is>
      </c>
      <c r="F2252" s="3" t="inlineStr">
        <is>
          <t>12</t>
        </is>
      </c>
      <c r="G2252" s="3" t="inlineStr">
        <is>
          <t>BENELLI</t>
        </is>
      </c>
      <c r="H2252" s="65" t="inlineStr">
        <is>
          <t>NOVA SPEED 26"</t>
        </is>
      </c>
      <c r="I2252" s="65" t="inlineStr">
        <is>
          <t>BU003268G</t>
        </is>
      </c>
      <c r="J2252" s="65" t="inlineStr">
        <is>
          <t>CU003305W</t>
        </is>
      </c>
      <c r="K2252" s="65" t="inlineStr">
        <is>
          <t>N/D</t>
        </is>
      </c>
      <c r="L2252" s="127" t="inlineStr">
        <is>
          <t>BENELLI ARMI SPA</t>
        </is>
      </c>
      <c r="M2252" s="5" t="n">
        <v>697</v>
      </c>
      <c r="N2252" s="5" t="n"/>
      <c r="O2252" s="5">
        <f>+M2252+N2252</f>
        <v/>
      </c>
      <c r="P2252" s="4" t="n">
        <v>45863</v>
      </c>
      <c r="Q2252" s="87" t="n">
        <v>45856</v>
      </c>
      <c r="R2252" s="5" t="n">
        <v>794.58</v>
      </c>
      <c r="S2252" s="2" t="n">
        <v>1</v>
      </c>
      <c r="T2252" s="3" t="inlineStr">
        <is>
          <t>6B/2025/2S</t>
        </is>
      </c>
      <c r="U2252" s="87" t="n">
        <v>45873</v>
      </c>
      <c r="V2252" s="3" t="inlineStr">
        <is>
          <t>22</t>
        </is>
      </c>
      <c r="W2252" s="87" t="n">
        <v>45873</v>
      </c>
      <c r="X2252" s="4" t="inlineStr">
        <is>
          <t xml:space="preserve">Bin Humaid National Trading Co </t>
        </is>
      </c>
    </row>
    <row r="2253" ht="24" customHeight="1">
      <c r="A2253" s="2">
        <f>+D2253-S2253</f>
        <v/>
      </c>
      <c r="B2253" s="80" t="n">
        <v>3871</v>
      </c>
      <c r="C2253" s="66" t="n">
        <v>45863</v>
      </c>
      <c r="D2253" s="2" t="n">
        <v>1</v>
      </c>
      <c r="E2253" s="3" t="inlineStr">
        <is>
          <t>FUCILE A POMPA</t>
        </is>
      </c>
      <c r="F2253" s="3" t="inlineStr">
        <is>
          <t>12</t>
        </is>
      </c>
      <c r="G2253" s="3" t="inlineStr">
        <is>
          <t>BENELLI</t>
        </is>
      </c>
      <c r="H2253" s="65" t="inlineStr">
        <is>
          <t>NOVA SPEED 26"</t>
        </is>
      </c>
      <c r="I2253" s="65" t="inlineStr">
        <is>
          <t>BU003267E</t>
        </is>
      </c>
      <c r="J2253" s="65" t="inlineStr">
        <is>
          <t>CU003291U</t>
        </is>
      </c>
      <c r="K2253" s="65" t="inlineStr">
        <is>
          <t>N/D</t>
        </is>
      </c>
      <c r="L2253" s="127" t="inlineStr">
        <is>
          <t>BENELLI ARMI SPA</t>
        </is>
      </c>
      <c r="M2253" s="5" t="n">
        <v>697</v>
      </c>
      <c r="N2253" s="5" t="n"/>
      <c r="O2253" s="5">
        <f>+M2253+N2253</f>
        <v/>
      </c>
      <c r="P2253" s="4" t="n">
        <v>45863</v>
      </c>
      <c r="Q2253" s="87" t="n">
        <v>45856</v>
      </c>
      <c r="R2253" s="5" t="n">
        <v>794.58</v>
      </c>
      <c r="S2253" s="2" t="n">
        <v>1</v>
      </c>
      <c r="T2253" s="3" t="inlineStr">
        <is>
          <t>6B/2025/2S</t>
        </is>
      </c>
      <c r="U2253" s="87" t="n">
        <v>45873</v>
      </c>
      <c r="V2253" s="3" t="inlineStr">
        <is>
          <t>22</t>
        </is>
      </c>
      <c r="W2253" s="87" t="n">
        <v>45873</v>
      </c>
      <c r="X2253" s="4" t="inlineStr">
        <is>
          <t xml:space="preserve">Bin Humaid National Trading Co </t>
        </is>
      </c>
    </row>
    <row r="2254" ht="24" customHeight="1">
      <c r="A2254" s="2">
        <f>+D2254-S2254</f>
        <v/>
      </c>
      <c r="B2254" s="80" t="n">
        <v>3872</v>
      </c>
      <c r="C2254" s="66" t="n">
        <v>45863</v>
      </c>
      <c r="D2254" s="2" t="n">
        <v>1</v>
      </c>
      <c r="E2254" s="3" t="inlineStr">
        <is>
          <t>FUCILE A POMPA</t>
        </is>
      </c>
      <c r="F2254" s="3" t="inlineStr">
        <is>
          <t>12</t>
        </is>
      </c>
      <c r="G2254" s="3" t="inlineStr">
        <is>
          <t>BENELLI</t>
        </is>
      </c>
      <c r="H2254" s="65" t="inlineStr">
        <is>
          <t>NOVA SPEED 26"</t>
        </is>
      </c>
      <c r="I2254" s="65" t="inlineStr">
        <is>
          <t>BU003281T</t>
        </is>
      </c>
      <c r="J2254" s="65" t="inlineStr">
        <is>
          <t>CU003298K</t>
        </is>
      </c>
      <c r="K2254" s="65" t="inlineStr">
        <is>
          <t>N/D</t>
        </is>
      </c>
      <c r="L2254" s="127" t="inlineStr">
        <is>
          <t>BENELLI ARMI SPA</t>
        </is>
      </c>
      <c r="M2254" s="5" t="n">
        <v>697</v>
      </c>
      <c r="N2254" s="5" t="n"/>
      <c r="O2254" s="5">
        <f>+M2254+N2254</f>
        <v/>
      </c>
      <c r="P2254" s="4" t="n">
        <v>45863</v>
      </c>
      <c r="Q2254" s="87" t="n">
        <v>45856</v>
      </c>
      <c r="R2254" s="5" t="n">
        <v>794.58</v>
      </c>
      <c r="S2254" s="2" t="n">
        <v>1</v>
      </c>
      <c r="T2254" s="3" t="inlineStr">
        <is>
          <t>6B/2025/2S</t>
        </is>
      </c>
      <c r="U2254" s="87" t="n">
        <v>45873</v>
      </c>
      <c r="V2254" s="3" t="inlineStr">
        <is>
          <t>22</t>
        </is>
      </c>
      <c r="W2254" s="87" t="n">
        <v>45873</v>
      </c>
      <c r="X2254" s="4" t="inlineStr">
        <is>
          <t xml:space="preserve">Bin Humaid National Trading Co </t>
        </is>
      </c>
    </row>
    <row r="2255" ht="24" customHeight="1">
      <c r="A2255" s="2">
        <f>+D2255-S2255</f>
        <v/>
      </c>
      <c r="B2255" s="80" t="n">
        <v>3873</v>
      </c>
      <c r="C2255" s="66" t="n">
        <v>45863</v>
      </c>
      <c r="D2255" s="2" t="n">
        <v>1</v>
      </c>
      <c r="E2255" s="3" t="inlineStr">
        <is>
          <t>FUCILE A POMPA</t>
        </is>
      </c>
      <c r="F2255" s="3" t="inlineStr">
        <is>
          <t>12</t>
        </is>
      </c>
      <c r="G2255" s="3" t="inlineStr">
        <is>
          <t>BENELLI</t>
        </is>
      </c>
      <c r="H2255" s="65" t="inlineStr">
        <is>
          <t>NOVA SPEED 26"</t>
        </is>
      </c>
      <c r="I2255" s="65" t="inlineStr">
        <is>
          <t>BU003310L</t>
        </is>
      </c>
      <c r="J2255" s="65" t="inlineStr">
        <is>
          <t>CU003334W</t>
        </is>
      </c>
      <c r="K2255" s="65" t="inlineStr">
        <is>
          <t>N/D</t>
        </is>
      </c>
      <c r="L2255" s="127" t="inlineStr">
        <is>
          <t>BENELLI ARMI SPA</t>
        </is>
      </c>
      <c r="M2255" s="5" t="n">
        <v>697</v>
      </c>
      <c r="N2255" s="5" t="n"/>
      <c r="O2255" s="5">
        <f>+M2255+N2255</f>
        <v/>
      </c>
      <c r="P2255" s="4" t="n">
        <v>45863</v>
      </c>
      <c r="Q2255" s="87" t="n">
        <v>45856</v>
      </c>
      <c r="R2255" s="5" t="n">
        <v>794.58</v>
      </c>
      <c r="S2255" s="2" t="n">
        <v>1</v>
      </c>
      <c r="T2255" s="3" t="inlineStr">
        <is>
          <t>6B/2025/2S</t>
        </is>
      </c>
      <c r="U2255" s="87" t="n">
        <v>45873</v>
      </c>
      <c r="V2255" s="3" t="inlineStr">
        <is>
          <t>22</t>
        </is>
      </c>
      <c r="W2255" s="87" t="n">
        <v>45873</v>
      </c>
      <c r="X2255" s="4" t="inlineStr">
        <is>
          <t xml:space="preserve">Bin Humaid National Trading Co </t>
        </is>
      </c>
    </row>
    <row r="2256" ht="24" customHeight="1">
      <c r="A2256" s="2">
        <f>+D2256-S2256</f>
        <v/>
      </c>
      <c r="B2256" s="80" t="n">
        <v>3874</v>
      </c>
      <c r="C2256" s="66" t="n">
        <v>45863</v>
      </c>
      <c r="D2256" s="2" t="n">
        <v>1</v>
      </c>
      <c r="E2256" s="3" t="inlineStr">
        <is>
          <t>FUCILE A POMPA</t>
        </is>
      </c>
      <c r="F2256" s="3" t="inlineStr">
        <is>
          <t>12</t>
        </is>
      </c>
      <c r="G2256" s="3" t="inlineStr">
        <is>
          <t>BENELLI</t>
        </is>
      </c>
      <c r="H2256" s="65" t="inlineStr">
        <is>
          <t>NOVA SPEED 26"</t>
        </is>
      </c>
      <c r="I2256" s="65" t="inlineStr">
        <is>
          <t>BU003277F</t>
        </is>
      </c>
      <c r="J2256" s="65" t="inlineStr">
        <is>
          <t>CU003301M</t>
        </is>
      </c>
      <c r="K2256" s="65" t="inlineStr">
        <is>
          <t>N/D</t>
        </is>
      </c>
      <c r="L2256" s="127" t="inlineStr">
        <is>
          <t>BENELLI ARMI SPA</t>
        </is>
      </c>
      <c r="M2256" s="5" t="n">
        <v>697</v>
      </c>
      <c r="N2256" s="5" t="n"/>
      <c r="O2256" s="5">
        <f>+M2256+N2256</f>
        <v/>
      </c>
      <c r="P2256" s="4" t="n">
        <v>45863</v>
      </c>
      <c r="Q2256" s="87" t="n">
        <v>45856</v>
      </c>
      <c r="R2256" s="5" t="n">
        <v>794.58</v>
      </c>
      <c r="S2256" s="2" t="n">
        <v>1</v>
      </c>
      <c r="T2256" s="3" t="inlineStr">
        <is>
          <t>6B/2025/2S</t>
        </is>
      </c>
      <c r="U2256" s="87" t="n">
        <v>45873</v>
      </c>
      <c r="V2256" s="3" t="inlineStr">
        <is>
          <t>22</t>
        </is>
      </c>
      <c r="W2256" s="87" t="n">
        <v>45873</v>
      </c>
      <c r="X2256" s="4" t="inlineStr">
        <is>
          <t xml:space="preserve">Bin Humaid National Trading Co </t>
        </is>
      </c>
    </row>
    <row r="2257" ht="24" customHeight="1">
      <c r="A2257" s="2">
        <f>+D2257-S2257</f>
        <v/>
      </c>
      <c r="B2257" s="80" t="n">
        <v>3875</v>
      </c>
      <c r="C2257" s="66" t="n">
        <v>45863</v>
      </c>
      <c r="D2257" s="2" t="n">
        <v>1</v>
      </c>
      <c r="E2257" s="3" t="inlineStr">
        <is>
          <t>FUCILE A POMPA</t>
        </is>
      </c>
      <c r="F2257" s="3" t="inlineStr">
        <is>
          <t>12</t>
        </is>
      </c>
      <c r="G2257" s="3" t="inlineStr">
        <is>
          <t>BENELLI</t>
        </is>
      </c>
      <c r="H2257" s="65" t="inlineStr">
        <is>
          <t>NOVA SPEED 26"</t>
        </is>
      </c>
      <c r="I2257" s="65" t="inlineStr">
        <is>
          <t>BU003323T</t>
        </is>
      </c>
      <c r="J2257" s="65" t="inlineStr">
        <is>
          <t>CU003347E</t>
        </is>
      </c>
      <c r="K2257" s="65" t="inlineStr">
        <is>
          <t>N/D</t>
        </is>
      </c>
      <c r="L2257" s="127" t="inlineStr">
        <is>
          <t>BENELLI ARMI SPA</t>
        </is>
      </c>
      <c r="M2257" s="5" t="n">
        <v>697</v>
      </c>
      <c r="N2257" s="5" t="n"/>
      <c r="O2257" s="5">
        <f>+M2257+N2257</f>
        <v/>
      </c>
      <c r="P2257" s="4" t="n">
        <v>45863</v>
      </c>
      <c r="Q2257" s="87" t="n">
        <v>45856</v>
      </c>
      <c r="R2257" s="5" t="n">
        <v>794.58</v>
      </c>
      <c r="S2257" s="2" t="n">
        <v>1</v>
      </c>
      <c r="T2257" s="3" t="inlineStr">
        <is>
          <t>6B/2025/2S</t>
        </is>
      </c>
      <c r="U2257" s="87" t="n">
        <v>45873</v>
      </c>
      <c r="V2257" s="3" t="inlineStr">
        <is>
          <t>22</t>
        </is>
      </c>
      <c r="W2257" s="87" t="n">
        <v>45873</v>
      </c>
      <c r="X2257" s="4" t="inlineStr">
        <is>
          <t xml:space="preserve">Bin Humaid National Trading Co </t>
        </is>
      </c>
    </row>
    <row r="2258" ht="24" customHeight="1">
      <c r="A2258" s="2">
        <f>+D2258-S2258</f>
        <v/>
      </c>
      <c r="B2258" s="80" t="n">
        <v>3876</v>
      </c>
      <c r="C2258" s="66" t="n">
        <v>45863</v>
      </c>
      <c r="D2258" s="2" t="n">
        <v>1</v>
      </c>
      <c r="E2258" s="3" t="inlineStr">
        <is>
          <t>FUCILE A POMPA</t>
        </is>
      </c>
      <c r="F2258" s="3" t="inlineStr">
        <is>
          <t>12</t>
        </is>
      </c>
      <c r="G2258" s="3" t="inlineStr">
        <is>
          <t>BENELLI</t>
        </is>
      </c>
      <c r="H2258" s="65" t="inlineStr">
        <is>
          <t>NOVA SPEED 26"</t>
        </is>
      </c>
      <c r="I2258" s="65" t="inlineStr">
        <is>
          <t>BU003324V</t>
        </is>
      </c>
      <c r="J2258" s="65" t="inlineStr">
        <is>
          <t>CU003350Q</t>
        </is>
      </c>
      <c r="K2258" s="65" t="inlineStr">
        <is>
          <t>N/D</t>
        </is>
      </c>
      <c r="L2258" s="127" t="inlineStr">
        <is>
          <t>BENELLI ARMI SPA</t>
        </is>
      </c>
      <c r="M2258" s="5" t="n">
        <v>697</v>
      </c>
      <c r="N2258" s="5" t="n"/>
      <c r="O2258" s="5">
        <f>+M2258+N2258</f>
        <v/>
      </c>
      <c r="P2258" s="4" t="n">
        <v>45863</v>
      </c>
      <c r="Q2258" s="87" t="n">
        <v>45856</v>
      </c>
      <c r="R2258" s="5" t="n">
        <v>794.58</v>
      </c>
      <c r="S2258" s="2" t="n">
        <v>1</v>
      </c>
      <c r="T2258" s="3" t="inlineStr">
        <is>
          <t>6B/2025/2S</t>
        </is>
      </c>
      <c r="U2258" s="87" t="n">
        <v>45873</v>
      </c>
      <c r="V2258" s="3" t="inlineStr">
        <is>
          <t>22</t>
        </is>
      </c>
      <c r="W2258" s="87" t="n">
        <v>45873</v>
      </c>
      <c r="X2258" s="4" t="inlineStr">
        <is>
          <t xml:space="preserve">Bin Humaid National Trading Co </t>
        </is>
      </c>
    </row>
    <row r="2259" ht="24" customHeight="1">
      <c r="A2259" s="2">
        <f>+D2259-S2259</f>
        <v/>
      </c>
      <c r="B2259" s="80" t="n">
        <v>3877</v>
      </c>
      <c r="C2259" s="66" t="n">
        <v>45863</v>
      </c>
      <c r="D2259" s="2" t="n">
        <v>1</v>
      </c>
      <c r="E2259" s="3" t="inlineStr">
        <is>
          <t>FUCILE SEMIAUTOMATICO</t>
        </is>
      </c>
      <c r="F2259" s="3" t="inlineStr">
        <is>
          <t>12</t>
        </is>
      </c>
      <c r="G2259" s="3" t="inlineStr">
        <is>
          <t>BENELLI</t>
        </is>
      </c>
      <c r="H2259" s="65" t="inlineStr">
        <is>
          <t>BLACK EAGLE 30"</t>
        </is>
      </c>
      <c r="I2259" s="65" t="inlineStr">
        <is>
          <t>F450661N</t>
        </is>
      </c>
      <c r="J2259" s="65" t="inlineStr">
        <is>
          <t>C1683188G</t>
        </is>
      </c>
      <c r="K2259" s="65" t="inlineStr">
        <is>
          <t>N/D</t>
        </is>
      </c>
      <c r="L2259" s="127" t="inlineStr">
        <is>
          <t>BENELLI ARMI SPA</t>
        </is>
      </c>
      <c r="M2259" s="5" t="n">
        <v>1104</v>
      </c>
      <c r="N2259" s="5" t="n"/>
      <c r="O2259" s="5">
        <f>+M2259+N2259</f>
        <v/>
      </c>
      <c r="P2259" s="4" t="n">
        <v>45863</v>
      </c>
      <c r="Q2259" s="87" t="n">
        <v>45856</v>
      </c>
      <c r="R2259" s="5" t="n">
        <v>1258.56</v>
      </c>
      <c r="S2259" s="2" t="n">
        <v>1</v>
      </c>
      <c r="T2259" s="3" t="inlineStr">
        <is>
          <t>6B/2025/2S</t>
        </is>
      </c>
      <c r="U2259" s="87" t="n">
        <v>45873</v>
      </c>
      <c r="V2259" s="3" t="inlineStr">
        <is>
          <t>22</t>
        </is>
      </c>
      <c r="W2259" s="87" t="n">
        <v>45873</v>
      </c>
      <c r="X2259" s="4" t="inlineStr">
        <is>
          <t xml:space="preserve">Bin Humaid National Trading Co </t>
        </is>
      </c>
    </row>
    <row r="2260" ht="24" customHeight="1">
      <c r="A2260" s="2">
        <f>+D2260-S2260</f>
        <v/>
      </c>
      <c r="B2260" s="80" t="n">
        <v>3878</v>
      </c>
      <c r="C2260" s="66" t="n">
        <v>45863</v>
      </c>
      <c r="D2260" s="2" t="n">
        <v>1</v>
      </c>
      <c r="E2260" s="3" t="inlineStr">
        <is>
          <t>FUCILE SEMIAUTOMATICO</t>
        </is>
      </c>
      <c r="F2260" s="3" t="inlineStr">
        <is>
          <t>12</t>
        </is>
      </c>
      <c r="G2260" s="3" t="inlineStr">
        <is>
          <t>BENELLI</t>
        </is>
      </c>
      <c r="H2260" s="65" t="inlineStr">
        <is>
          <t>BLACK EAGLE 30"</t>
        </is>
      </c>
      <c r="I2260" s="65" t="inlineStr">
        <is>
          <t>F450653R</t>
        </is>
      </c>
      <c r="J2260" s="65" t="inlineStr">
        <is>
          <t>C1683191B</t>
        </is>
      </c>
      <c r="K2260" s="65" t="inlineStr">
        <is>
          <t>N/D</t>
        </is>
      </c>
      <c r="L2260" s="127" t="inlineStr">
        <is>
          <t>BENELLI ARMI SPA</t>
        </is>
      </c>
      <c r="M2260" s="5" t="n">
        <v>1104</v>
      </c>
      <c r="N2260" s="5" t="n"/>
      <c r="O2260" s="5">
        <f>+M2260+N2260</f>
        <v/>
      </c>
      <c r="P2260" s="4" t="n">
        <v>45863</v>
      </c>
      <c r="Q2260" s="87" t="n">
        <v>45856</v>
      </c>
      <c r="R2260" s="5" t="n">
        <v>1258.56</v>
      </c>
      <c r="S2260" s="2" t="n">
        <v>1</v>
      </c>
      <c r="T2260" s="3" t="inlineStr">
        <is>
          <t>6B/2025/2S</t>
        </is>
      </c>
      <c r="U2260" s="87" t="n">
        <v>45873</v>
      </c>
      <c r="V2260" s="3" t="inlineStr">
        <is>
          <t>22</t>
        </is>
      </c>
      <c r="W2260" s="87" t="n">
        <v>45873</v>
      </c>
      <c r="X2260" s="4" t="inlineStr">
        <is>
          <t xml:space="preserve">Bin Humaid National Trading Co </t>
        </is>
      </c>
    </row>
    <row r="2261" ht="24" customHeight="1">
      <c r="A2261" s="2">
        <f>+D2261-S2261</f>
        <v/>
      </c>
      <c r="B2261" s="80" t="n">
        <v>3879</v>
      </c>
      <c r="C2261" s="66" t="n">
        <v>45863</v>
      </c>
      <c r="D2261" s="2" t="n">
        <v>1</v>
      </c>
      <c r="E2261" s="3" t="inlineStr">
        <is>
          <t>FUCILE SEMIAUTOMATICO</t>
        </is>
      </c>
      <c r="F2261" s="3" t="inlineStr">
        <is>
          <t>12</t>
        </is>
      </c>
      <c r="G2261" s="3" t="inlineStr">
        <is>
          <t>BENELLI</t>
        </is>
      </c>
      <c r="H2261" s="65" t="inlineStr">
        <is>
          <t>BLACK EAGLE 30"</t>
        </is>
      </c>
      <c r="I2261" s="65" t="inlineStr">
        <is>
          <t>F450652P</t>
        </is>
      </c>
      <c r="J2261" s="65" t="inlineStr">
        <is>
          <t>C1683187F</t>
        </is>
      </c>
      <c r="K2261" s="65" t="inlineStr">
        <is>
          <t>N/D</t>
        </is>
      </c>
      <c r="L2261" s="127" t="inlineStr">
        <is>
          <t>BENELLI ARMI SPA</t>
        </is>
      </c>
      <c r="M2261" s="5" t="n">
        <v>1104</v>
      </c>
      <c r="N2261" s="5" t="n"/>
      <c r="O2261" s="5">
        <f>+M2261+N2261</f>
        <v/>
      </c>
      <c r="P2261" s="4" t="n">
        <v>45863</v>
      </c>
      <c r="Q2261" s="87" t="n">
        <v>45856</v>
      </c>
      <c r="R2261" s="5" t="n">
        <v>1258.56</v>
      </c>
      <c r="S2261" s="2" t="n">
        <v>1</v>
      </c>
      <c r="T2261" s="3" t="inlineStr">
        <is>
          <t>6B/2025/2S</t>
        </is>
      </c>
      <c r="U2261" s="87" t="n">
        <v>45873</v>
      </c>
      <c r="V2261" s="3" t="inlineStr">
        <is>
          <t>22</t>
        </is>
      </c>
      <c r="W2261" s="87" t="n">
        <v>45873</v>
      </c>
      <c r="X2261" s="4" t="inlineStr">
        <is>
          <t xml:space="preserve">Bin Humaid National Trading Co </t>
        </is>
      </c>
    </row>
    <row r="2262" ht="24" customHeight="1">
      <c r="A2262" s="2">
        <f>+D2262-S2262</f>
        <v/>
      </c>
      <c r="B2262" s="80" t="n">
        <v>3880</v>
      </c>
      <c r="C2262" s="66" t="n">
        <v>45863</v>
      </c>
      <c r="D2262" s="2" t="n">
        <v>1</v>
      </c>
      <c r="E2262" s="3" t="inlineStr">
        <is>
          <t>FUCILE SEMIAUTOMATICO</t>
        </is>
      </c>
      <c r="F2262" s="3" t="inlineStr">
        <is>
          <t>12</t>
        </is>
      </c>
      <c r="G2262" s="3" t="inlineStr">
        <is>
          <t>BENELLI</t>
        </is>
      </c>
      <c r="H2262" s="65" t="inlineStr">
        <is>
          <t>BLACK EAGLE 30"</t>
        </is>
      </c>
      <c r="I2262" s="65" t="inlineStr">
        <is>
          <t>F450657A</t>
        </is>
      </c>
      <c r="J2262" s="65" t="inlineStr">
        <is>
          <t>C1683189H</t>
        </is>
      </c>
      <c r="K2262" s="65" t="inlineStr">
        <is>
          <t>N/D</t>
        </is>
      </c>
      <c r="L2262" s="127" t="inlineStr">
        <is>
          <t>BENELLI ARMI SPA</t>
        </is>
      </c>
      <c r="M2262" s="5" t="n">
        <v>1104</v>
      </c>
      <c r="N2262" s="5" t="n"/>
      <c r="O2262" s="5">
        <f>+M2262+N2262</f>
        <v/>
      </c>
      <c r="P2262" s="4" t="n">
        <v>45863</v>
      </c>
      <c r="Q2262" s="87" t="n">
        <v>45856</v>
      </c>
      <c r="R2262" s="5" t="n">
        <v>1258.56</v>
      </c>
      <c r="S2262" s="2" t="n">
        <v>1</v>
      </c>
      <c r="T2262" s="3" t="inlineStr">
        <is>
          <t>6B/2025/2S</t>
        </is>
      </c>
      <c r="U2262" s="87" t="n">
        <v>45873</v>
      </c>
      <c r="V2262" s="3" t="inlineStr">
        <is>
          <t>22</t>
        </is>
      </c>
      <c r="W2262" s="87" t="n">
        <v>45873</v>
      </c>
      <c r="X2262" s="4" t="inlineStr">
        <is>
          <t xml:space="preserve">Bin Humaid National Trading Co </t>
        </is>
      </c>
    </row>
    <row r="2263" ht="24" customHeight="1">
      <c r="A2263" s="2">
        <f>+D2263-S2263</f>
        <v/>
      </c>
      <c r="B2263" s="80" t="n">
        <v>3881</v>
      </c>
      <c r="C2263" s="66" t="n">
        <v>45863</v>
      </c>
      <c r="D2263" s="2" t="n">
        <v>1</v>
      </c>
      <c r="E2263" s="3" t="inlineStr">
        <is>
          <t>FUCILE SEMIAUTOMATICO</t>
        </is>
      </c>
      <c r="F2263" s="3" t="inlineStr">
        <is>
          <t>12</t>
        </is>
      </c>
      <c r="G2263" s="3" t="inlineStr">
        <is>
          <t>BENELLI</t>
        </is>
      </c>
      <c r="H2263" s="65" t="inlineStr">
        <is>
          <t>BLACK EAGLE 30"</t>
        </is>
      </c>
      <c r="I2263" s="65" t="inlineStr">
        <is>
          <t>F450658C</t>
        </is>
      </c>
      <c r="J2263" s="65" t="inlineStr">
        <is>
          <t>C1683193D</t>
        </is>
      </c>
      <c r="K2263" s="65" t="inlineStr">
        <is>
          <t>N/D</t>
        </is>
      </c>
      <c r="L2263" s="127" t="inlineStr">
        <is>
          <t>BENELLI ARMI SPA</t>
        </is>
      </c>
      <c r="M2263" s="5" t="n">
        <v>1104</v>
      </c>
      <c r="N2263" s="5" t="n"/>
      <c r="O2263" s="5">
        <f>+M2263+N2263</f>
        <v/>
      </c>
      <c r="P2263" s="4" t="n">
        <v>45863</v>
      </c>
      <c r="Q2263" s="87" t="n">
        <v>45856</v>
      </c>
      <c r="R2263" s="5" t="n">
        <v>1258.56</v>
      </c>
      <c r="S2263" s="2" t="n">
        <v>1</v>
      </c>
      <c r="T2263" s="3" t="inlineStr">
        <is>
          <t>6B/2025/2S</t>
        </is>
      </c>
      <c r="U2263" s="87" t="n">
        <v>45873</v>
      </c>
      <c r="V2263" s="3" t="inlineStr">
        <is>
          <t>22</t>
        </is>
      </c>
      <c r="W2263" s="87" t="n">
        <v>45873</v>
      </c>
      <c r="X2263" s="4" t="inlineStr">
        <is>
          <t xml:space="preserve">Bin Humaid National Trading Co </t>
        </is>
      </c>
    </row>
    <row r="2264" ht="24" customHeight="1">
      <c r="A2264" s="2">
        <f>+D2264-S2264</f>
        <v/>
      </c>
      <c r="B2264" s="80" t="n">
        <v>3882</v>
      </c>
      <c r="C2264" s="66" t="n">
        <v>45863</v>
      </c>
      <c r="D2264" s="2" t="n">
        <v>1</v>
      </c>
      <c r="E2264" s="3" t="inlineStr">
        <is>
          <t>FUCILE SEMIAUTOMATICO</t>
        </is>
      </c>
      <c r="F2264" s="3" t="inlineStr">
        <is>
          <t>12</t>
        </is>
      </c>
      <c r="G2264" s="3" t="inlineStr">
        <is>
          <t>BENELLI</t>
        </is>
      </c>
      <c r="H2264" s="65" t="inlineStr">
        <is>
          <t>BLACK EAGLE 30"</t>
        </is>
      </c>
      <c r="I2264" s="65" t="inlineStr">
        <is>
          <t>F451540H</t>
        </is>
      </c>
      <c r="J2264" s="65" t="inlineStr">
        <is>
          <t>C1686004R</t>
        </is>
      </c>
      <c r="K2264" s="65" t="inlineStr">
        <is>
          <t>N/D</t>
        </is>
      </c>
      <c r="L2264" s="127" t="inlineStr">
        <is>
          <t>BENELLI ARMI SPA</t>
        </is>
      </c>
      <c r="M2264" s="5" t="n">
        <v>1104</v>
      </c>
      <c r="N2264" s="5" t="n"/>
      <c r="O2264" s="5">
        <f>+M2264+N2264</f>
        <v/>
      </c>
      <c r="P2264" s="4" t="n">
        <v>45863</v>
      </c>
      <c r="Q2264" s="87" t="n">
        <v>45856</v>
      </c>
      <c r="R2264" s="5" t="n">
        <v>1258.56</v>
      </c>
      <c r="S2264" s="2" t="n">
        <v>1</v>
      </c>
      <c r="T2264" s="3" t="inlineStr">
        <is>
          <t>6B/2025/2S</t>
        </is>
      </c>
      <c r="U2264" s="87" t="n">
        <v>45873</v>
      </c>
      <c r="V2264" s="3" t="inlineStr">
        <is>
          <t>22</t>
        </is>
      </c>
      <c r="W2264" s="87" t="n">
        <v>45873</v>
      </c>
      <c r="X2264" s="4" t="inlineStr">
        <is>
          <t xml:space="preserve">Bin Humaid National Trading Co </t>
        </is>
      </c>
    </row>
    <row r="2265" ht="24" customHeight="1">
      <c r="A2265" s="2">
        <f>+D2265-S2265</f>
        <v/>
      </c>
      <c r="B2265" s="80" t="n">
        <v>3883</v>
      </c>
      <c r="C2265" s="66" t="n">
        <v>45863</v>
      </c>
      <c r="D2265" s="2" t="n">
        <v>1</v>
      </c>
      <c r="E2265" s="3" t="inlineStr">
        <is>
          <t>FUCILE SEMIAUTOMATICO</t>
        </is>
      </c>
      <c r="F2265" s="3" t="inlineStr">
        <is>
          <t>12</t>
        </is>
      </c>
      <c r="G2265" s="3" t="inlineStr">
        <is>
          <t>BENELLI</t>
        </is>
      </c>
      <c r="H2265" s="65" t="inlineStr">
        <is>
          <t>SBE3 BE.S.T. 30"</t>
        </is>
      </c>
      <c r="I2265" s="65" t="inlineStr">
        <is>
          <t>U758250M</t>
        </is>
      </c>
      <c r="J2265" s="65" t="inlineStr">
        <is>
          <t>S796395L</t>
        </is>
      </c>
      <c r="K2265" s="65" t="inlineStr">
        <is>
          <t>N/D</t>
        </is>
      </c>
      <c r="L2265" s="127" t="inlineStr">
        <is>
          <t>BENELLI ARMI SPA</t>
        </is>
      </c>
      <c r="M2265" s="5" t="n">
        <v>1334</v>
      </c>
      <c r="N2265" s="5" t="n"/>
      <c r="O2265" s="5">
        <f>+M2265+N2265</f>
        <v/>
      </c>
      <c r="P2265" s="4" t="n">
        <v>45863</v>
      </c>
      <c r="Q2265" s="87" t="n">
        <v>45856</v>
      </c>
      <c r="R2265" s="5" t="n">
        <v>1520.76</v>
      </c>
      <c r="S2265" s="2" t="n">
        <v>1</v>
      </c>
      <c r="T2265" s="3" t="inlineStr">
        <is>
          <t>6B/2025/2S</t>
        </is>
      </c>
      <c r="U2265" s="87" t="n">
        <v>45873</v>
      </c>
      <c r="V2265" s="3" t="inlineStr">
        <is>
          <t>22</t>
        </is>
      </c>
      <c r="W2265" s="87" t="n">
        <v>45873</v>
      </c>
      <c r="X2265" s="4" t="inlineStr">
        <is>
          <t xml:space="preserve">Bin Humaid National Trading Co </t>
        </is>
      </c>
    </row>
    <row r="2266" ht="24" customHeight="1">
      <c r="A2266" s="2">
        <f>+D2266-S2266</f>
        <v/>
      </c>
      <c r="B2266" s="80" t="n">
        <v>3884</v>
      </c>
      <c r="C2266" s="66" t="n">
        <v>45863</v>
      </c>
      <c r="D2266" s="2" t="n">
        <v>1</v>
      </c>
      <c r="E2266" s="3" t="inlineStr">
        <is>
          <t>FUCILE SEMIAUTOMATICO</t>
        </is>
      </c>
      <c r="F2266" s="3" t="inlineStr">
        <is>
          <t>12</t>
        </is>
      </c>
      <c r="G2266" s="3" t="inlineStr">
        <is>
          <t>BENELLI</t>
        </is>
      </c>
      <c r="H2266" s="65" t="inlineStr">
        <is>
          <t>SBE3 BE.S.T. 30"</t>
        </is>
      </c>
      <c r="I2266" s="65" t="inlineStr">
        <is>
          <t>U758257C</t>
        </is>
      </c>
      <c r="J2266" s="65" t="inlineStr">
        <is>
          <t>S796402W</t>
        </is>
      </c>
      <c r="K2266" s="65" t="inlineStr">
        <is>
          <t>N/D</t>
        </is>
      </c>
      <c r="L2266" s="127" t="inlineStr">
        <is>
          <t>BENELLI ARMI SPA</t>
        </is>
      </c>
      <c r="M2266" s="5" t="n">
        <v>1334</v>
      </c>
      <c r="N2266" s="5" t="n"/>
      <c r="O2266" s="5">
        <f>+M2266+N2266</f>
        <v/>
      </c>
      <c r="P2266" s="4" t="n">
        <v>45863</v>
      </c>
      <c r="Q2266" s="87" t="n">
        <v>45856</v>
      </c>
      <c r="R2266" s="5" t="n">
        <v>1520.76</v>
      </c>
      <c r="S2266" s="2" t="n">
        <v>1</v>
      </c>
      <c r="T2266" s="3" t="inlineStr">
        <is>
          <t>6B/2025/2S</t>
        </is>
      </c>
      <c r="U2266" s="87" t="n">
        <v>45873</v>
      </c>
      <c r="V2266" s="3" t="inlineStr">
        <is>
          <t>22</t>
        </is>
      </c>
      <c r="W2266" s="87" t="n">
        <v>45873</v>
      </c>
      <c r="X2266" s="4" t="inlineStr">
        <is>
          <t xml:space="preserve">Bin Humaid National Trading Co </t>
        </is>
      </c>
    </row>
    <row r="2267" ht="24" customHeight="1">
      <c r="A2267" s="2">
        <f>+D2267-S2267</f>
        <v/>
      </c>
      <c r="B2267" s="80" t="n">
        <v>3885</v>
      </c>
      <c r="C2267" s="66" t="n">
        <v>45863</v>
      </c>
      <c r="D2267" s="2" t="n">
        <v>1</v>
      </c>
      <c r="E2267" s="3" t="inlineStr">
        <is>
          <t>FUCILE SEMIAUTOMATICO</t>
        </is>
      </c>
      <c r="F2267" s="3" t="inlineStr">
        <is>
          <t>12</t>
        </is>
      </c>
      <c r="G2267" s="3" t="inlineStr">
        <is>
          <t>BENELLI</t>
        </is>
      </c>
      <c r="H2267" s="65" t="inlineStr">
        <is>
          <t>SBE3 BE.S.T. 30"</t>
        </is>
      </c>
      <c r="I2267" s="65" t="inlineStr">
        <is>
          <t>U758255Y</t>
        </is>
      </c>
      <c r="J2267" s="65" t="inlineStr">
        <is>
          <t>S796400S</t>
        </is>
      </c>
      <c r="K2267" s="65" t="inlineStr">
        <is>
          <t>N/D</t>
        </is>
      </c>
      <c r="L2267" s="127" t="inlineStr">
        <is>
          <t>BENELLI ARMI SPA</t>
        </is>
      </c>
      <c r="M2267" s="5" t="n">
        <v>1334</v>
      </c>
      <c r="N2267" s="5" t="n"/>
      <c r="O2267" s="5">
        <f>+M2267+N2267</f>
        <v/>
      </c>
      <c r="P2267" s="4" t="n">
        <v>45863</v>
      </c>
      <c r="Q2267" s="87" t="n">
        <v>45856</v>
      </c>
      <c r="R2267" s="5" t="n">
        <v>1520.76</v>
      </c>
      <c r="S2267" s="2" t="n">
        <v>1</v>
      </c>
      <c r="T2267" s="3" t="inlineStr">
        <is>
          <t>6B/2025/2S</t>
        </is>
      </c>
      <c r="U2267" s="87" t="n">
        <v>45873</v>
      </c>
      <c r="V2267" s="3" t="inlineStr">
        <is>
          <t>22</t>
        </is>
      </c>
      <c r="W2267" s="87" t="n">
        <v>45873</v>
      </c>
      <c r="X2267" s="4" t="inlineStr">
        <is>
          <t xml:space="preserve">Bin Humaid National Trading Co </t>
        </is>
      </c>
    </row>
    <row r="2268" ht="24" customHeight="1">
      <c r="A2268" s="2">
        <f>+D2268-S2268</f>
        <v/>
      </c>
      <c r="B2268" s="80" t="n">
        <v>3886</v>
      </c>
      <c r="C2268" s="66" t="n">
        <v>45863</v>
      </c>
      <c r="D2268" s="2" t="n">
        <v>1</v>
      </c>
      <c r="E2268" s="3" t="inlineStr">
        <is>
          <t>FUCILE SEMIAUTOMATICO</t>
        </is>
      </c>
      <c r="F2268" s="3" t="inlineStr">
        <is>
          <t>12</t>
        </is>
      </c>
      <c r="G2268" s="3" t="inlineStr">
        <is>
          <t>BENELLI</t>
        </is>
      </c>
      <c r="H2268" s="65" t="inlineStr">
        <is>
          <t>SBE3 BE.S.T. 30"</t>
        </is>
      </c>
      <c r="I2268" s="65" t="inlineStr">
        <is>
          <t>U758256A</t>
        </is>
      </c>
      <c r="J2268" s="65" t="inlineStr">
        <is>
          <t>S796401U</t>
        </is>
      </c>
      <c r="K2268" s="65" t="inlineStr">
        <is>
          <t>N/D</t>
        </is>
      </c>
      <c r="L2268" s="127" t="inlineStr">
        <is>
          <t>BENELLI ARMI SPA</t>
        </is>
      </c>
      <c r="M2268" s="5" t="n">
        <v>1334</v>
      </c>
      <c r="N2268" s="5" t="n"/>
      <c r="O2268" s="5">
        <f>+M2268+N2268</f>
        <v/>
      </c>
      <c r="P2268" s="4" t="n">
        <v>45863</v>
      </c>
      <c r="Q2268" s="87" t="n">
        <v>45856</v>
      </c>
      <c r="R2268" s="5" t="n">
        <v>1520.76</v>
      </c>
      <c r="S2268" s="2" t="n">
        <v>1</v>
      </c>
      <c r="T2268" s="3" t="inlineStr">
        <is>
          <t>6B/2025/2S</t>
        </is>
      </c>
      <c r="U2268" s="87" t="n">
        <v>45873</v>
      </c>
      <c r="V2268" s="3" t="inlineStr">
        <is>
          <t>22</t>
        </is>
      </c>
      <c r="W2268" s="87" t="n">
        <v>45873</v>
      </c>
      <c r="X2268" s="4" t="inlineStr">
        <is>
          <t xml:space="preserve">Bin Humaid National Trading Co </t>
        </is>
      </c>
    </row>
    <row r="2269" ht="24" customHeight="1">
      <c r="A2269" s="2">
        <f>+D2269-S2269</f>
        <v/>
      </c>
      <c r="B2269" s="80" t="n">
        <v>3887</v>
      </c>
      <c r="C2269" s="66" t="n">
        <v>45863</v>
      </c>
      <c r="D2269" s="2" t="n">
        <v>1</v>
      </c>
      <c r="E2269" s="3" t="inlineStr">
        <is>
          <t>FUCILE SEMIAUTOMATICO</t>
        </is>
      </c>
      <c r="F2269" s="3" t="inlineStr">
        <is>
          <t>12</t>
        </is>
      </c>
      <c r="G2269" s="3" t="inlineStr">
        <is>
          <t>BENELLI</t>
        </is>
      </c>
      <c r="H2269" s="65" t="inlineStr">
        <is>
          <t>SBE3 BE.S.T. 30"</t>
        </is>
      </c>
      <c r="I2269" s="65" t="inlineStr">
        <is>
          <t>U758254V</t>
        </is>
      </c>
      <c r="J2269" s="65" t="inlineStr">
        <is>
          <t>S796399U</t>
        </is>
      </c>
      <c r="K2269" s="65" t="inlineStr">
        <is>
          <t>N/D</t>
        </is>
      </c>
      <c r="L2269" s="127" t="inlineStr">
        <is>
          <t>BENELLI ARMI SPA</t>
        </is>
      </c>
      <c r="M2269" s="5" t="n">
        <v>1334</v>
      </c>
      <c r="N2269" s="5" t="n"/>
      <c r="O2269" s="5">
        <f>+M2269+N2269</f>
        <v/>
      </c>
      <c r="P2269" s="4" t="n">
        <v>45863</v>
      </c>
      <c r="Q2269" s="87" t="n">
        <v>45856</v>
      </c>
      <c r="R2269" s="5" t="n">
        <v>1520.76</v>
      </c>
      <c r="S2269" s="2" t="n">
        <v>1</v>
      </c>
      <c r="T2269" s="3" t="inlineStr">
        <is>
          <t>6B/2025/2S</t>
        </is>
      </c>
      <c r="U2269" s="87" t="n">
        <v>45873</v>
      </c>
      <c r="V2269" s="3" t="inlineStr">
        <is>
          <t>22</t>
        </is>
      </c>
      <c r="W2269" s="87" t="n">
        <v>45873</v>
      </c>
      <c r="X2269" s="4" t="inlineStr">
        <is>
          <t xml:space="preserve">Bin Humaid National Trading Co </t>
        </is>
      </c>
    </row>
    <row r="2270" ht="24" customHeight="1">
      <c r="A2270" s="2">
        <f>+D2270-S2270</f>
        <v/>
      </c>
      <c r="B2270" s="80" t="n">
        <v>3888</v>
      </c>
      <c r="C2270" s="66" t="n">
        <v>45863</v>
      </c>
      <c r="D2270" s="2" t="n">
        <v>1</v>
      </c>
      <c r="E2270" s="3" t="inlineStr">
        <is>
          <t>FUCILE SEMIAUTOMATICO</t>
        </is>
      </c>
      <c r="F2270" s="3" t="inlineStr">
        <is>
          <t>12</t>
        </is>
      </c>
      <c r="G2270" s="3" t="inlineStr">
        <is>
          <t>BENELLI</t>
        </is>
      </c>
      <c r="H2270" s="65" t="inlineStr">
        <is>
          <t>SBE3 BE.S.T. 30"</t>
        </is>
      </c>
      <c r="I2270" s="65" t="inlineStr">
        <is>
          <t>U758252R</t>
        </is>
      </c>
      <c r="J2270" s="65" t="inlineStr">
        <is>
          <t>S796397Q</t>
        </is>
      </c>
      <c r="K2270" s="65" t="inlineStr">
        <is>
          <t>N/D</t>
        </is>
      </c>
      <c r="L2270" s="127" t="inlineStr">
        <is>
          <t>BENELLI ARMI SPA</t>
        </is>
      </c>
      <c r="M2270" s="5" t="n">
        <v>1334</v>
      </c>
      <c r="N2270" s="5" t="n"/>
      <c r="O2270" s="5">
        <f>+M2270+N2270</f>
        <v/>
      </c>
      <c r="P2270" s="4" t="n">
        <v>45863</v>
      </c>
      <c r="Q2270" s="87" t="n">
        <v>45856</v>
      </c>
      <c r="R2270" s="5" t="n">
        <v>1520.76</v>
      </c>
      <c r="S2270" s="2" t="n">
        <v>1</v>
      </c>
      <c r="T2270" s="3" t="inlineStr">
        <is>
          <t>6B/2025/2S</t>
        </is>
      </c>
      <c r="U2270" s="87" t="n">
        <v>45873</v>
      </c>
      <c r="V2270" s="3" t="inlineStr">
        <is>
          <t>22</t>
        </is>
      </c>
      <c r="W2270" s="87" t="n">
        <v>45873</v>
      </c>
      <c r="X2270" s="4" t="inlineStr">
        <is>
          <t xml:space="preserve">Bin Humaid National Trading Co </t>
        </is>
      </c>
    </row>
    <row r="2271" ht="24" customHeight="1">
      <c r="A2271" s="2">
        <f>+D2271-S2271</f>
        <v/>
      </c>
      <c r="B2271" s="80" t="n">
        <v>3889</v>
      </c>
      <c r="C2271" s="66" t="n">
        <v>45863</v>
      </c>
      <c r="D2271" s="2" t="n">
        <v>1</v>
      </c>
      <c r="E2271" s="3" t="inlineStr">
        <is>
          <t>FUCILE SEMIAUTOMATICO</t>
        </is>
      </c>
      <c r="F2271" s="3" t="inlineStr">
        <is>
          <t>12</t>
        </is>
      </c>
      <c r="G2271" s="3" t="inlineStr">
        <is>
          <t>BENELLI</t>
        </is>
      </c>
      <c r="H2271" s="65" t="inlineStr">
        <is>
          <t>SBE3 BE.S.T. 30"</t>
        </is>
      </c>
      <c r="I2271" s="65" t="inlineStr">
        <is>
          <t>U758249F</t>
        </is>
      </c>
      <c r="J2271" s="65" t="inlineStr">
        <is>
          <t>S796394H</t>
        </is>
      </c>
      <c r="K2271" s="65" t="inlineStr">
        <is>
          <t>N/D</t>
        </is>
      </c>
      <c r="L2271" s="127" t="inlineStr">
        <is>
          <t>BENELLI ARMI SPA</t>
        </is>
      </c>
      <c r="M2271" s="5" t="n">
        <v>1334</v>
      </c>
      <c r="N2271" s="5" t="n"/>
      <c r="O2271" s="5">
        <f>+M2271+N2271</f>
        <v/>
      </c>
      <c r="P2271" s="4" t="n">
        <v>45863</v>
      </c>
      <c r="Q2271" s="87" t="n">
        <v>45856</v>
      </c>
      <c r="R2271" s="5" t="n">
        <v>1520.76</v>
      </c>
      <c r="S2271" s="2" t="n">
        <v>1</v>
      </c>
      <c r="T2271" s="3" t="inlineStr">
        <is>
          <t>6B/2025/2S</t>
        </is>
      </c>
      <c r="U2271" s="87" t="n">
        <v>45873</v>
      </c>
      <c r="V2271" s="3" t="inlineStr">
        <is>
          <t>22</t>
        </is>
      </c>
      <c r="W2271" s="87" t="n">
        <v>45873</v>
      </c>
      <c r="X2271" s="4" t="inlineStr">
        <is>
          <t xml:space="preserve">Bin Humaid National Trading Co </t>
        </is>
      </c>
    </row>
    <row r="2272" ht="24" customHeight="1">
      <c r="A2272" s="2">
        <f>+D2272-S2272</f>
        <v/>
      </c>
      <c r="B2272" s="80" t="n">
        <v>3890</v>
      </c>
      <c r="C2272" s="66" t="n">
        <v>45863</v>
      </c>
      <c r="D2272" s="2" t="n">
        <v>1</v>
      </c>
      <c r="E2272" s="3" t="inlineStr">
        <is>
          <t>FUCILE SEMIAUTOMATICO</t>
        </is>
      </c>
      <c r="F2272" s="3" t="inlineStr">
        <is>
          <t>12</t>
        </is>
      </c>
      <c r="G2272" s="3" t="inlineStr">
        <is>
          <t>BENELLI</t>
        </is>
      </c>
      <c r="H2272" s="65" t="inlineStr">
        <is>
          <t>SBE3 BE.S.T. 30"</t>
        </is>
      </c>
      <c r="I2272" s="65" t="inlineStr">
        <is>
          <t>U758253T</t>
        </is>
      </c>
      <c r="J2272" s="65" t="inlineStr">
        <is>
          <t>S796398S</t>
        </is>
      </c>
      <c r="K2272" s="65" t="inlineStr">
        <is>
          <t>N/D</t>
        </is>
      </c>
      <c r="L2272" s="127" t="inlineStr">
        <is>
          <t>BENELLI ARMI SPA</t>
        </is>
      </c>
      <c r="M2272" s="5" t="n">
        <v>1334</v>
      </c>
      <c r="N2272" s="5" t="n"/>
      <c r="O2272" s="5">
        <f>+M2272+N2272</f>
        <v/>
      </c>
      <c r="P2272" s="4" t="n">
        <v>45863</v>
      </c>
      <c r="Q2272" s="87" t="n">
        <v>45856</v>
      </c>
      <c r="R2272" s="5" t="n">
        <v>1520.76</v>
      </c>
      <c r="S2272" s="2" t="n">
        <v>1</v>
      </c>
      <c r="T2272" s="3" t="inlineStr">
        <is>
          <t>6B/2025/2S</t>
        </is>
      </c>
      <c r="U2272" s="87" t="n">
        <v>45873</v>
      </c>
      <c r="V2272" s="3" t="inlineStr">
        <is>
          <t>22</t>
        </is>
      </c>
      <c r="W2272" s="87" t="n">
        <v>45873</v>
      </c>
      <c r="X2272" s="4" t="inlineStr">
        <is>
          <t xml:space="preserve">Bin Humaid National Trading Co </t>
        </is>
      </c>
    </row>
    <row r="2273" ht="24" customHeight="1">
      <c r="A2273" s="2">
        <f>+D2273-S2273</f>
        <v/>
      </c>
      <c r="B2273" s="80" t="n">
        <v>3891</v>
      </c>
      <c r="C2273" s="66" t="n">
        <v>45863</v>
      </c>
      <c r="D2273" s="2" t="n">
        <v>1</v>
      </c>
      <c r="E2273" s="3" t="inlineStr">
        <is>
          <t>FUCILE SEMIAUTOMATICO</t>
        </is>
      </c>
      <c r="F2273" s="3" t="inlineStr">
        <is>
          <t>12</t>
        </is>
      </c>
      <c r="G2273" s="3" t="inlineStr">
        <is>
          <t>BENELLI</t>
        </is>
      </c>
      <c r="H2273" s="65" t="inlineStr">
        <is>
          <t>SBE3 BE.S.T. 30"</t>
        </is>
      </c>
      <c r="I2273" s="65" t="inlineStr">
        <is>
          <t>U781891F</t>
        </is>
      </c>
      <c r="J2273" s="65" t="inlineStr">
        <is>
          <t>S820567W</t>
        </is>
      </c>
      <c r="K2273" s="65" t="inlineStr">
        <is>
          <t>N/D</t>
        </is>
      </c>
      <c r="L2273" s="127" t="inlineStr">
        <is>
          <t>BENELLI ARMI SPA</t>
        </is>
      </c>
      <c r="M2273" s="5" t="n">
        <v>1334</v>
      </c>
      <c r="N2273" s="5" t="n"/>
      <c r="O2273" s="5">
        <f>+M2273+N2273</f>
        <v/>
      </c>
      <c r="P2273" s="4" t="n">
        <v>45863</v>
      </c>
      <c r="Q2273" s="87" t="n">
        <v>45856</v>
      </c>
      <c r="R2273" s="5" t="n">
        <v>1520.76</v>
      </c>
      <c r="S2273" s="2" t="n">
        <v>1</v>
      </c>
      <c r="T2273" s="3" t="inlineStr">
        <is>
          <t>6B/2025/2S</t>
        </is>
      </c>
      <c r="U2273" s="87" t="n">
        <v>45873</v>
      </c>
      <c r="V2273" s="3" t="inlineStr">
        <is>
          <t>22</t>
        </is>
      </c>
      <c r="W2273" s="87" t="n">
        <v>45873</v>
      </c>
      <c r="X2273" s="4" t="inlineStr">
        <is>
          <t xml:space="preserve">Bin Humaid National Trading Co </t>
        </is>
      </c>
    </row>
    <row r="2274" ht="24" customHeight="1">
      <c r="A2274" s="2">
        <f>+D2274-S2274</f>
        <v/>
      </c>
      <c r="B2274" s="80" t="n">
        <v>3892</v>
      </c>
      <c r="C2274" s="66" t="n">
        <v>45863</v>
      </c>
      <c r="D2274" s="2" t="n">
        <v>1</v>
      </c>
      <c r="E2274" s="3" t="inlineStr">
        <is>
          <t>FUCILE SEMIAUTOMATICO</t>
        </is>
      </c>
      <c r="F2274" s="3" t="inlineStr">
        <is>
          <t>12</t>
        </is>
      </c>
      <c r="G2274" s="3" t="inlineStr">
        <is>
          <t>BENELLI</t>
        </is>
      </c>
      <c r="H2274" s="65" t="inlineStr">
        <is>
          <t>SBE3 BE.S.T. 30"</t>
        </is>
      </c>
      <c r="I2274" s="65" t="inlineStr">
        <is>
          <t>U781892H</t>
        </is>
      </c>
      <c r="J2274" s="65" t="inlineStr">
        <is>
          <t>S820568Y</t>
        </is>
      </c>
      <c r="K2274" s="65" t="inlineStr">
        <is>
          <t>N/D</t>
        </is>
      </c>
      <c r="L2274" s="127" t="inlineStr">
        <is>
          <t>BENELLI ARMI SPA</t>
        </is>
      </c>
      <c r="M2274" s="5" t="n">
        <v>1334</v>
      </c>
      <c r="N2274" s="5" t="n"/>
      <c r="O2274" s="5">
        <f>+M2274+N2274</f>
        <v/>
      </c>
      <c r="P2274" s="4" t="n">
        <v>45863</v>
      </c>
      <c r="Q2274" s="87" t="n">
        <v>45856</v>
      </c>
      <c r="R2274" s="5" t="n">
        <v>1520.76</v>
      </c>
      <c r="S2274" s="2" t="n">
        <v>1</v>
      </c>
      <c r="T2274" s="3" t="inlineStr">
        <is>
          <t>6B/2025/2S</t>
        </is>
      </c>
      <c r="U2274" s="87" t="n">
        <v>45873</v>
      </c>
      <c r="V2274" s="3" t="inlineStr">
        <is>
          <t>22</t>
        </is>
      </c>
      <c r="W2274" s="87" t="n">
        <v>45873</v>
      </c>
      <c r="X2274" s="4" t="inlineStr">
        <is>
          <t xml:space="preserve">Bin Humaid National Trading Co </t>
        </is>
      </c>
    </row>
    <row r="2275" ht="24" customHeight="1">
      <c r="A2275" s="2">
        <f>+D2275-S2275</f>
        <v/>
      </c>
      <c r="B2275" s="80" t="n">
        <v>3893</v>
      </c>
      <c r="C2275" s="66" t="n">
        <v>45863</v>
      </c>
      <c r="D2275" s="2" t="n">
        <v>1</v>
      </c>
      <c r="E2275" s="3" t="inlineStr">
        <is>
          <t>FUCILE SEMIAUTOMATICO</t>
        </is>
      </c>
      <c r="F2275" s="3" t="inlineStr">
        <is>
          <t>12</t>
        </is>
      </c>
      <c r="G2275" s="3" t="inlineStr">
        <is>
          <t>BENELLI</t>
        </is>
      </c>
      <c r="H2275" s="65" t="inlineStr">
        <is>
          <t>SBE3 BE.S.T. 30"</t>
        </is>
      </c>
      <c r="I2275" s="65" t="inlineStr">
        <is>
          <t>U775720W</t>
        </is>
      </c>
      <c r="J2275" s="65" t="inlineStr">
        <is>
          <t>S814257Q</t>
        </is>
      </c>
      <c r="K2275" s="65" t="inlineStr">
        <is>
          <t>N/D</t>
        </is>
      </c>
      <c r="L2275" s="127" t="inlineStr">
        <is>
          <t>BENELLI ARMI SPA</t>
        </is>
      </c>
      <c r="M2275" s="5" t="n">
        <v>1334</v>
      </c>
      <c r="N2275" s="5" t="n"/>
      <c r="O2275" s="5">
        <f>+M2275+N2275</f>
        <v/>
      </c>
      <c r="P2275" s="4" t="n">
        <v>45863</v>
      </c>
      <c r="Q2275" s="87" t="n">
        <v>45856</v>
      </c>
      <c r="R2275" s="5" t="n">
        <v>1520.76</v>
      </c>
      <c r="S2275" s="2" t="n">
        <v>1</v>
      </c>
      <c r="T2275" s="3" t="inlineStr">
        <is>
          <t>6B/2025/2S</t>
        </is>
      </c>
      <c r="U2275" s="87" t="n">
        <v>45873</v>
      </c>
      <c r="V2275" s="3" t="inlineStr">
        <is>
          <t>22</t>
        </is>
      </c>
      <c r="W2275" s="87" t="n">
        <v>45873</v>
      </c>
      <c r="X2275" s="4" t="inlineStr">
        <is>
          <t xml:space="preserve">Bin Humaid National Trading Co </t>
        </is>
      </c>
    </row>
    <row r="2276" ht="24" customHeight="1">
      <c r="A2276" s="2">
        <f>+D2276-S2276</f>
        <v/>
      </c>
      <c r="B2276" s="80" t="n">
        <v>3894</v>
      </c>
      <c r="C2276" s="66" t="n">
        <v>45863</v>
      </c>
      <c r="D2276" s="2" t="n">
        <v>1</v>
      </c>
      <c r="E2276" s="3" t="inlineStr">
        <is>
          <t>FUCILE SEMIAUTOMATICO</t>
        </is>
      </c>
      <c r="F2276" s="3" t="inlineStr">
        <is>
          <t>12</t>
        </is>
      </c>
      <c r="G2276" s="3" t="inlineStr">
        <is>
          <t>BENELLI</t>
        </is>
      </c>
      <c r="H2276" s="65" t="inlineStr">
        <is>
          <t>SBE3 BE.S.T. 30"</t>
        </is>
      </c>
      <c r="I2276" s="65" t="inlineStr">
        <is>
          <t>U784131M</t>
        </is>
      </c>
      <c r="J2276" s="65" t="inlineStr">
        <is>
          <t>S822895D</t>
        </is>
      </c>
      <c r="K2276" s="65" t="inlineStr">
        <is>
          <t>N/D</t>
        </is>
      </c>
      <c r="L2276" s="127" t="inlineStr">
        <is>
          <t>BENELLI ARMI SPA</t>
        </is>
      </c>
      <c r="M2276" s="5" t="n">
        <v>1334</v>
      </c>
      <c r="N2276" s="5" t="n"/>
      <c r="O2276" s="5">
        <f>+M2276+N2276</f>
        <v/>
      </c>
      <c r="P2276" s="4" t="n">
        <v>45863</v>
      </c>
      <c r="Q2276" s="87" t="n">
        <v>45856</v>
      </c>
      <c r="R2276" s="5" t="n">
        <v>1520.76</v>
      </c>
      <c r="S2276" s="2" t="n">
        <v>1</v>
      </c>
      <c r="T2276" s="3" t="inlineStr">
        <is>
          <t>6B/2025/2S</t>
        </is>
      </c>
      <c r="U2276" s="87" t="n">
        <v>45873</v>
      </c>
      <c r="V2276" s="3" t="inlineStr">
        <is>
          <t>22</t>
        </is>
      </c>
      <c r="W2276" s="87" t="n">
        <v>45873</v>
      </c>
      <c r="X2276" s="4" t="inlineStr">
        <is>
          <t xml:space="preserve">Bin Humaid National Trading Co </t>
        </is>
      </c>
    </row>
    <row r="2277" ht="24" customHeight="1">
      <c r="A2277" s="2">
        <f>+D2277-S2277</f>
        <v/>
      </c>
      <c r="B2277" s="80" t="n">
        <v>3895</v>
      </c>
      <c r="C2277" s="66" t="n">
        <v>45863</v>
      </c>
      <c r="D2277" s="2" t="n">
        <v>1</v>
      </c>
      <c r="E2277" s="3" t="inlineStr">
        <is>
          <t>FUCILE SEMIAUTOMATICO</t>
        </is>
      </c>
      <c r="F2277" s="3" t="inlineStr">
        <is>
          <t>12</t>
        </is>
      </c>
      <c r="G2277" s="3" t="inlineStr">
        <is>
          <t>BENELLI</t>
        </is>
      </c>
      <c r="H2277" s="65" t="inlineStr">
        <is>
          <t>SBE3 BE.S.T. 30"</t>
        </is>
      </c>
      <c r="I2277" s="65" t="inlineStr">
        <is>
          <t>U784150M</t>
        </is>
      </c>
      <c r="J2277" s="65" t="inlineStr">
        <is>
          <t>S822845Y</t>
        </is>
      </c>
      <c r="K2277" s="65" t="inlineStr">
        <is>
          <t>N/D</t>
        </is>
      </c>
      <c r="L2277" s="127" t="inlineStr">
        <is>
          <t>BENELLI ARMI SPA</t>
        </is>
      </c>
      <c r="M2277" s="5" t="n">
        <v>1334</v>
      </c>
      <c r="N2277" s="5" t="n"/>
      <c r="O2277" s="5">
        <f>+M2277+N2277</f>
        <v/>
      </c>
      <c r="P2277" s="4" t="n">
        <v>45863</v>
      </c>
      <c r="Q2277" s="87" t="n">
        <v>45856</v>
      </c>
      <c r="R2277" s="5" t="n">
        <v>1520.76</v>
      </c>
      <c r="S2277" s="2" t="n">
        <v>1</v>
      </c>
      <c r="T2277" s="3" t="inlineStr">
        <is>
          <t>6B/2025/2S</t>
        </is>
      </c>
      <c r="U2277" s="87" t="n">
        <v>45873</v>
      </c>
      <c r="V2277" s="3" t="inlineStr">
        <is>
          <t>22</t>
        </is>
      </c>
      <c r="W2277" s="87" t="n">
        <v>45873</v>
      </c>
      <c r="X2277" s="4" t="inlineStr">
        <is>
          <t xml:space="preserve">Bin Humaid National Trading Co </t>
        </is>
      </c>
    </row>
    <row r="2278" ht="24" customHeight="1">
      <c r="A2278" s="2">
        <f>+D2278-S2278</f>
        <v/>
      </c>
      <c r="B2278" s="80" t="n">
        <v>3896</v>
      </c>
      <c r="C2278" s="66" t="n">
        <v>45863</v>
      </c>
      <c r="D2278" s="2" t="n">
        <v>1</v>
      </c>
      <c r="E2278" s="3" t="inlineStr">
        <is>
          <t>FUCILE SOVRAPPOSTO</t>
        </is>
      </c>
      <c r="F2278" s="3" t="inlineStr">
        <is>
          <t>12</t>
        </is>
      </c>
      <c r="G2278" s="3" t="inlineStr">
        <is>
          <t>BENELLI</t>
        </is>
      </c>
      <c r="H2278" s="65" t="inlineStr">
        <is>
          <t>828U STEEL BE.S.T. BLACK AI 30"</t>
        </is>
      </c>
      <c r="I2278" s="65" t="inlineStr">
        <is>
          <t>BS059890Y</t>
        </is>
      </c>
      <c r="J2278" s="65" t="inlineStr">
        <is>
          <t>CS060579C</t>
        </is>
      </c>
      <c r="K2278" s="65" t="inlineStr">
        <is>
          <t>N/D</t>
        </is>
      </c>
      <c r="L2278" s="127" t="inlineStr">
        <is>
          <t>BENELLI ARMI SPA</t>
        </is>
      </c>
      <c r="M2278" s="5" t="n">
        <v>1824</v>
      </c>
      <c r="N2278" s="5" t="n"/>
      <c r="O2278" s="5">
        <f>+M2278+N2278</f>
        <v/>
      </c>
      <c r="P2278" s="4" t="n">
        <v>45863</v>
      </c>
      <c r="Q2278" s="87" t="n">
        <v>45856</v>
      </c>
      <c r="R2278" s="5" t="n">
        <v>2098</v>
      </c>
      <c r="S2278" s="2" t="n">
        <v>1</v>
      </c>
      <c r="T2278" s="3" t="inlineStr">
        <is>
          <t>6B/2025/2S</t>
        </is>
      </c>
      <c r="U2278" s="87" t="n">
        <v>45873</v>
      </c>
      <c r="V2278" s="3" t="inlineStr">
        <is>
          <t>22</t>
        </is>
      </c>
      <c r="W2278" s="87" t="n">
        <v>45873</v>
      </c>
      <c r="X2278" s="4" t="inlineStr">
        <is>
          <t xml:space="preserve">Bin Humaid National Trading Co </t>
        </is>
      </c>
    </row>
    <row r="2279" ht="24" customHeight="1">
      <c r="A2279" s="2">
        <f>+D2279-S2279</f>
        <v/>
      </c>
      <c r="B2279" s="80" t="n">
        <v>3897</v>
      </c>
      <c r="C2279" s="66" t="n">
        <v>45863</v>
      </c>
      <c r="D2279" s="2" t="n">
        <v>1</v>
      </c>
      <c r="E2279" s="3" t="inlineStr">
        <is>
          <t>FUCILE SEMIAUTOMATICO</t>
        </is>
      </c>
      <c r="F2279" s="3" t="inlineStr">
        <is>
          <t>12</t>
        </is>
      </c>
      <c r="G2279" s="3" t="inlineStr">
        <is>
          <t>BENELLI</t>
        </is>
      </c>
      <c r="H2279" s="65" t="inlineStr">
        <is>
          <t>M4 TPRO BROWN 18.5"</t>
        </is>
      </c>
      <c r="I2279" s="65" t="inlineStr">
        <is>
          <t>Y240527Q</t>
        </is>
      </c>
      <c r="J2279" s="65" t="inlineStr">
        <is>
          <t>TM157508Z</t>
        </is>
      </c>
      <c r="K2279" s="65" t="inlineStr">
        <is>
          <t>N/D</t>
        </is>
      </c>
      <c r="L2279" s="127" t="inlineStr">
        <is>
          <t>BENELLI ARMI SPA</t>
        </is>
      </c>
      <c r="M2279" s="5" t="n">
        <v>1484</v>
      </c>
      <c r="N2279" s="5" t="n"/>
      <c r="O2279" s="5">
        <f>+M2279+N2279</f>
        <v/>
      </c>
      <c r="P2279" s="4" t="n">
        <v>45863</v>
      </c>
      <c r="Q2279" s="87" t="n">
        <v>45856</v>
      </c>
      <c r="R2279" s="5" t="n">
        <v>1691.76</v>
      </c>
      <c r="S2279" s="2" t="n">
        <v>1</v>
      </c>
      <c r="T2279" s="3" t="inlineStr">
        <is>
          <t>6B/2025/2S</t>
        </is>
      </c>
      <c r="U2279" s="87" t="n">
        <v>45873</v>
      </c>
      <c r="V2279" s="3" t="inlineStr">
        <is>
          <t>22</t>
        </is>
      </c>
      <c r="W2279" s="87" t="n">
        <v>45873</v>
      </c>
      <c r="X2279" s="4" t="inlineStr">
        <is>
          <t xml:space="preserve">Bin Humaid National Trading Co </t>
        </is>
      </c>
    </row>
    <row r="2280" ht="24" customHeight="1">
      <c r="A2280" s="2">
        <f>+D2280-S2280</f>
        <v/>
      </c>
      <c r="B2280" s="80" t="n">
        <v>3898</v>
      </c>
      <c r="C2280" s="66" t="n">
        <v>45863</v>
      </c>
      <c r="D2280" s="2" t="n">
        <v>1</v>
      </c>
      <c r="E2280" s="3" t="inlineStr">
        <is>
          <t>FUCILE SEMIAUTOMATICO</t>
        </is>
      </c>
      <c r="F2280" s="3" t="inlineStr">
        <is>
          <t>12</t>
        </is>
      </c>
      <c r="G2280" s="3" t="inlineStr">
        <is>
          <t>BENELLI</t>
        </is>
      </c>
      <c r="H2280" s="65" t="inlineStr">
        <is>
          <t>M4 TPRO BROWN 18.5"</t>
        </is>
      </c>
      <c r="I2280" s="65" t="inlineStr">
        <is>
          <t>Y240524H</t>
        </is>
      </c>
      <c r="J2280" s="65" t="inlineStr">
        <is>
          <t>TM157505T</t>
        </is>
      </c>
      <c r="K2280" s="65" t="inlineStr">
        <is>
          <t>N/D</t>
        </is>
      </c>
      <c r="L2280" s="127" t="inlineStr">
        <is>
          <t>BENELLI ARMI SPA</t>
        </is>
      </c>
      <c r="M2280" s="5" t="n">
        <v>1484</v>
      </c>
      <c r="N2280" s="5" t="n"/>
      <c r="O2280" s="5">
        <f>+M2280+N2280</f>
        <v/>
      </c>
      <c r="P2280" s="4" t="n">
        <v>45863</v>
      </c>
      <c r="Q2280" s="87" t="n">
        <v>45856</v>
      </c>
      <c r="R2280" s="5" t="n">
        <v>1691.76</v>
      </c>
      <c r="S2280" s="2" t="n">
        <v>1</v>
      </c>
      <c r="T2280" s="3" t="inlineStr">
        <is>
          <t>6B/2025/2S</t>
        </is>
      </c>
      <c r="U2280" s="87" t="n">
        <v>45873</v>
      </c>
      <c r="V2280" s="3" t="inlineStr">
        <is>
          <t>22</t>
        </is>
      </c>
      <c r="W2280" s="87" t="n">
        <v>45873</v>
      </c>
      <c r="X2280" s="4" t="inlineStr">
        <is>
          <t xml:space="preserve">Bin Humaid National Trading Co </t>
        </is>
      </c>
    </row>
    <row r="2281" ht="24" customHeight="1">
      <c r="A2281" s="2">
        <f>+D2281-S2281</f>
        <v/>
      </c>
      <c r="B2281" s="80" t="n">
        <v>3899</v>
      </c>
      <c r="C2281" s="66" t="n">
        <v>45863</v>
      </c>
      <c r="D2281" s="2" t="n">
        <v>1</v>
      </c>
      <c r="E2281" s="3" t="inlineStr">
        <is>
          <t>FUCILE SEMIAUTOMATICO</t>
        </is>
      </c>
      <c r="F2281" s="3" t="inlineStr">
        <is>
          <t>12</t>
        </is>
      </c>
      <c r="G2281" s="3" t="inlineStr">
        <is>
          <t>BENELLI</t>
        </is>
      </c>
      <c r="H2281" s="65" t="inlineStr">
        <is>
          <t>M4 TPRO BROWN 18.5"</t>
        </is>
      </c>
      <c r="I2281" s="65" t="inlineStr">
        <is>
          <t>Y240526N</t>
        </is>
      </c>
      <c r="J2281" s="65" t="inlineStr">
        <is>
          <t>TM157507X</t>
        </is>
      </c>
      <c r="K2281" s="65" t="inlineStr">
        <is>
          <t>N/D</t>
        </is>
      </c>
      <c r="L2281" s="127" t="inlineStr">
        <is>
          <t>BENELLI ARMI SPA</t>
        </is>
      </c>
      <c r="M2281" s="5" t="n">
        <v>1484</v>
      </c>
      <c r="N2281" s="5" t="n"/>
      <c r="O2281" s="5">
        <f>+M2281+N2281</f>
        <v/>
      </c>
      <c r="P2281" s="4" t="n">
        <v>45863</v>
      </c>
      <c r="Q2281" s="87" t="n">
        <v>45856</v>
      </c>
      <c r="R2281" s="5" t="n">
        <v>1691.76</v>
      </c>
      <c r="S2281" s="2" t="n">
        <v>1</v>
      </c>
      <c r="T2281" s="3" t="inlineStr">
        <is>
          <t>6B/2025/2S</t>
        </is>
      </c>
      <c r="U2281" s="87" t="n">
        <v>45873</v>
      </c>
      <c r="V2281" s="3" t="inlineStr">
        <is>
          <t>22</t>
        </is>
      </c>
      <c r="W2281" s="87" t="n">
        <v>45873</v>
      </c>
      <c r="X2281" s="4" t="inlineStr">
        <is>
          <t xml:space="preserve">Bin Humaid National Trading Co </t>
        </is>
      </c>
    </row>
    <row r="2282" ht="24" customHeight="1">
      <c r="A2282" s="2">
        <f>+D2282-S2282</f>
        <v/>
      </c>
      <c r="B2282" s="80" t="n">
        <v>3900</v>
      </c>
      <c r="C2282" s="66" t="n">
        <v>45863</v>
      </c>
      <c r="D2282" s="2" t="n">
        <v>1</v>
      </c>
      <c r="E2282" s="3" t="inlineStr">
        <is>
          <t>FUCILE SEMIAUTOMATICO</t>
        </is>
      </c>
      <c r="F2282" s="3" t="inlineStr">
        <is>
          <t>12</t>
        </is>
      </c>
      <c r="G2282" s="3" t="inlineStr">
        <is>
          <t>BENELLI</t>
        </is>
      </c>
      <c r="H2282" s="65" t="inlineStr">
        <is>
          <t>M4 TPRO BROWN 18.5"</t>
        </is>
      </c>
      <c r="I2282" s="65" t="inlineStr">
        <is>
          <t>Y240525L</t>
        </is>
      </c>
      <c r="J2282" s="65" t="inlineStr">
        <is>
          <t>TM157506V</t>
        </is>
      </c>
      <c r="K2282" s="65" t="inlineStr">
        <is>
          <t>N/D</t>
        </is>
      </c>
      <c r="L2282" s="127" t="inlineStr">
        <is>
          <t>BENELLI ARMI SPA</t>
        </is>
      </c>
      <c r="M2282" s="5" t="n">
        <v>1484</v>
      </c>
      <c r="N2282" s="5" t="n"/>
      <c r="O2282" s="5">
        <f>+M2282+N2282</f>
        <v/>
      </c>
      <c r="P2282" s="4" t="n">
        <v>45863</v>
      </c>
      <c r="Q2282" s="87" t="n">
        <v>45856</v>
      </c>
      <c r="R2282" s="5" t="n">
        <v>1691.76</v>
      </c>
      <c r="S2282" s="2" t="n">
        <v>1</v>
      </c>
      <c r="T2282" s="3" t="inlineStr">
        <is>
          <t>6B/2025/2S</t>
        </is>
      </c>
      <c r="U2282" s="87" t="n">
        <v>45873</v>
      </c>
      <c r="V2282" s="3" t="inlineStr">
        <is>
          <t>22</t>
        </is>
      </c>
      <c r="W2282" s="87" t="n">
        <v>45873</v>
      </c>
      <c r="X2282" s="4" t="inlineStr">
        <is>
          <t xml:space="preserve">Bin Humaid National Trading Co </t>
        </is>
      </c>
    </row>
    <row r="2283" ht="24" customHeight="1">
      <c r="A2283" s="2">
        <f>+D2283-S2283</f>
        <v/>
      </c>
      <c r="B2283" s="80" t="n">
        <v>3901</v>
      </c>
      <c r="C2283" s="66" t="n">
        <v>45863</v>
      </c>
      <c r="D2283" s="2" t="n">
        <v>1</v>
      </c>
      <c r="E2283" s="3" t="inlineStr">
        <is>
          <t>FUCILE SEMIAUTOMATICO</t>
        </is>
      </c>
      <c r="F2283" s="3" t="inlineStr">
        <is>
          <t>12</t>
        </is>
      </c>
      <c r="G2283" s="3" t="inlineStr">
        <is>
          <t>BENELLI</t>
        </is>
      </c>
      <c r="H2283" s="65" t="inlineStr">
        <is>
          <t>M4 TPRO BROWN 18.5"</t>
        </is>
      </c>
      <c r="I2283" s="65" t="inlineStr">
        <is>
          <t>Y240521B</t>
        </is>
      </c>
      <c r="J2283" s="65" t="inlineStr">
        <is>
          <t>TM157502L</t>
        </is>
      </c>
      <c r="K2283" s="65" t="inlineStr">
        <is>
          <t>N/D</t>
        </is>
      </c>
      <c r="L2283" s="127" t="inlineStr">
        <is>
          <t>BENELLI ARMI SPA</t>
        </is>
      </c>
      <c r="M2283" s="5" t="n">
        <v>1484</v>
      </c>
      <c r="N2283" s="5" t="n"/>
      <c r="O2283" s="5">
        <f>+M2283+N2283</f>
        <v/>
      </c>
      <c r="P2283" s="4" t="n">
        <v>45863</v>
      </c>
      <c r="Q2283" s="87" t="n">
        <v>45856</v>
      </c>
      <c r="R2283" s="5" t="n">
        <v>1691.76</v>
      </c>
      <c r="S2283" s="2" t="n">
        <v>1</v>
      </c>
      <c r="T2283" s="3" t="inlineStr">
        <is>
          <t>6B/2025/2S</t>
        </is>
      </c>
      <c r="U2283" s="87" t="n">
        <v>45873</v>
      </c>
      <c r="V2283" s="3" t="inlineStr">
        <is>
          <t>22</t>
        </is>
      </c>
      <c r="W2283" s="87" t="n">
        <v>45873</v>
      </c>
      <c r="X2283" s="4" t="inlineStr">
        <is>
          <t xml:space="preserve">Bin Humaid National Trading Co </t>
        </is>
      </c>
    </row>
    <row r="2284" ht="24" customHeight="1">
      <c r="A2284" s="2">
        <f>+D2284-S2284</f>
        <v/>
      </c>
      <c r="B2284" s="80" t="n">
        <v>3902</v>
      </c>
      <c r="C2284" s="66" t="n">
        <v>45863</v>
      </c>
      <c r="D2284" s="2" t="n">
        <v>1</v>
      </c>
      <c r="E2284" s="3" t="inlineStr">
        <is>
          <t>FUCILE SEMIAUTOMATICO</t>
        </is>
      </c>
      <c r="F2284" s="3" t="inlineStr">
        <is>
          <t>12</t>
        </is>
      </c>
      <c r="G2284" s="3" t="inlineStr">
        <is>
          <t>BENELLI</t>
        </is>
      </c>
      <c r="H2284" s="65" t="inlineStr">
        <is>
          <t>MONTEFELTRO-22 SPORTING 30" ICK WOOD</t>
        </is>
      </c>
      <c r="I2284" s="65" t="inlineStr">
        <is>
          <t>M0197662Z</t>
        </is>
      </c>
      <c r="J2284" s="65" t="inlineStr">
        <is>
          <t>C1683453Y</t>
        </is>
      </c>
      <c r="K2284" s="65" t="inlineStr">
        <is>
          <t>N/D</t>
        </is>
      </c>
      <c r="L2284" s="127" t="inlineStr">
        <is>
          <t>BENELLI ARMI SPA</t>
        </is>
      </c>
      <c r="M2284" s="5" t="n">
        <v>907</v>
      </c>
      <c r="N2284" s="5" t="n"/>
      <c r="O2284" s="5">
        <f>+M2284+N2284</f>
        <v/>
      </c>
      <c r="P2284" s="4" t="n">
        <v>45863</v>
      </c>
      <c r="Q2284" s="87" t="n">
        <v>45856</v>
      </c>
      <c r="R2284" s="5" t="n">
        <v>907</v>
      </c>
      <c r="S2284" s="2" t="n">
        <v>1</v>
      </c>
      <c r="T2284" s="3" t="inlineStr">
        <is>
          <t>6B/2025/2S</t>
        </is>
      </c>
      <c r="U2284" s="87" t="n">
        <v>45873</v>
      </c>
      <c r="V2284" s="3" t="inlineStr">
        <is>
          <t>22</t>
        </is>
      </c>
      <c r="W2284" s="87" t="n">
        <v>45873</v>
      </c>
      <c r="X2284" s="4" t="inlineStr">
        <is>
          <t xml:space="preserve">Bin Humaid National Trading Co </t>
        </is>
      </c>
    </row>
    <row r="2285" ht="24" customHeight="1">
      <c r="A2285" s="2">
        <f>+D2285-S2285</f>
        <v/>
      </c>
      <c r="B2285" s="80" t="n">
        <v>3903</v>
      </c>
      <c r="C2285" s="66" t="n">
        <v>45863</v>
      </c>
      <c r="D2285" s="2" t="n">
        <v>1</v>
      </c>
      <c r="E2285" s="3" t="inlineStr">
        <is>
          <t>FUCILE SEMIAUTOMATICO</t>
        </is>
      </c>
      <c r="F2285" s="3" t="inlineStr">
        <is>
          <t>12</t>
        </is>
      </c>
      <c r="G2285" s="3" t="inlineStr">
        <is>
          <t>BENELLI</t>
        </is>
      </c>
      <c r="H2285" s="65" t="inlineStr">
        <is>
          <t>MONTEFELTRO-22 SPORTING 30" ICK WOOD</t>
        </is>
      </c>
      <c r="I2285" s="65" t="inlineStr">
        <is>
          <t>M0197685G</t>
        </is>
      </c>
      <c r="J2285" s="65" t="inlineStr">
        <is>
          <t>C1683476F</t>
        </is>
      </c>
      <c r="K2285" s="65" t="inlineStr">
        <is>
          <t>N/D</t>
        </is>
      </c>
      <c r="L2285" s="127" t="inlineStr">
        <is>
          <t>BENELLI ARMI SPA</t>
        </is>
      </c>
      <c r="M2285" s="5" t="n">
        <v>907</v>
      </c>
      <c r="N2285" s="5" t="n"/>
      <c r="O2285" s="5">
        <f>+M2285+N2285</f>
        <v/>
      </c>
      <c r="P2285" s="4" t="n">
        <v>45863</v>
      </c>
      <c r="Q2285" s="87" t="n">
        <v>45856</v>
      </c>
      <c r="R2285" s="5" t="n">
        <v>907</v>
      </c>
      <c r="S2285" s="2" t="n">
        <v>1</v>
      </c>
      <c r="T2285" s="3" t="inlineStr">
        <is>
          <t>6B/2025/2S</t>
        </is>
      </c>
      <c r="U2285" s="87" t="n">
        <v>45873</v>
      </c>
      <c r="V2285" s="3" t="inlineStr">
        <is>
          <t>22</t>
        </is>
      </c>
      <c r="W2285" s="87" t="n">
        <v>45873</v>
      </c>
      <c r="X2285" s="4" t="inlineStr">
        <is>
          <t xml:space="preserve">Bin Humaid National Trading Co </t>
        </is>
      </c>
    </row>
    <row r="2286" ht="24" customHeight="1">
      <c r="A2286" s="2">
        <f>+D2286-S2286</f>
        <v/>
      </c>
      <c r="B2286" s="80" t="n">
        <v>3904</v>
      </c>
      <c r="C2286" s="66" t="n">
        <v>45863</v>
      </c>
      <c r="D2286" s="2" t="n">
        <v>1</v>
      </c>
      <c r="E2286" s="3" t="inlineStr">
        <is>
          <t>FUCILE SEMIAUTOMATICO</t>
        </is>
      </c>
      <c r="F2286" s="3" t="inlineStr">
        <is>
          <t>12</t>
        </is>
      </c>
      <c r="G2286" s="3" t="inlineStr">
        <is>
          <t>BENELLI</t>
        </is>
      </c>
      <c r="H2286" s="65" t="inlineStr">
        <is>
          <t>MONTEFELTRO-22 SPORTING 30" ICK WOOD</t>
        </is>
      </c>
      <c r="I2286" s="65" t="inlineStr">
        <is>
          <t>M0200559F</t>
        </is>
      </c>
      <c r="J2286" s="65" t="inlineStr">
        <is>
          <t>C1689393U</t>
        </is>
      </c>
      <c r="K2286" s="65" t="inlineStr">
        <is>
          <t>N/D</t>
        </is>
      </c>
      <c r="L2286" s="127" t="inlineStr">
        <is>
          <t>BENELLI ARMI SPA</t>
        </is>
      </c>
      <c r="M2286" s="5" t="n">
        <v>907</v>
      </c>
      <c r="N2286" s="5" t="n"/>
      <c r="O2286" s="5">
        <f>+M2286+N2286</f>
        <v/>
      </c>
      <c r="P2286" s="4" t="n">
        <v>45863</v>
      </c>
      <c r="Q2286" s="87" t="n">
        <v>45856</v>
      </c>
      <c r="R2286" s="5" t="n">
        <v>907</v>
      </c>
      <c r="S2286" s="2" t="n">
        <v>1</v>
      </c>
      <c r="T2286" s="3" t="inlineStr">
        <is>
          <t>6B/2025/2S</t>
        </is>
      </c>
      <c r="U2286" s="87" t="n">
        <v>45873</v>
      </c>
      <c r="V2286" s="3" t="inlineStr">
        <is>
          <t>22</t>
        </is>
      </c>
      <c r="W2286" s="87" t="n">
        <v>45873</v>
      </c>
      <c r="X2286" s="4" t="inlineStr">
        <is>
          <t xml:space="preserve">Bin Humaid National Trading Co </t>
        </is>
      </c>
    </row>
    <row r="2287" ht="24" customHeight="1">
      <c r="A2287" s="2">
        <f>+D2287-S2287</f>
        <v/>
      </c>
      <c r="B2287" s="80" t="n">
        <v>3905</v>
      </c>
      <c r="C2287" s="66" t="n">
        <v>45863</v>
      </c>
      <c r="D2287" s="2" t="n">
        <v>1</v>
      </c>
      <c r="E2287" s="3" t="inlineStr">
        <is>
          <t>FUCILE SEMIAUTOMATICO</t>
        </is>
      </c>
      <c r="F2287" s="3" t="inlineStr">
        <is>
          <t>12</t>
        </is>
      </c>
      <c r="G2287" s="3" t="inlineStr">
        <is>
          <t>BENELLI</t>
        </is>
      </c>
      <c r="H2287" s="65" t="inlineStr">
        <is>
          <t>MONTEFELTRO-22 SPORTING 30" ICK WOOD</t>
        </is>
      </c>
      <c r="I2287" s="65" t="inlineStr">
        <is>
          <t>M0200561Z</t>
        </is>
      </c>
      <c r="J2287" s="65" t="inlineStr">
        <is>
          <t>C1689395W</t>
        </is>
      </c>
      <c r="K2287" s="65" t="inlineStr">
        <is>
          <t>N/D</t>
        </is>
      </c>
      <c r="L2287" s="127" t="inlineStr">
        <is>
          <t>BENELLI ARMI SPA</t>
        </is>
      </c>
      <c r="M2287" s="5" t="n">
        <v>907</v>
      </c>
      <c r="N2287" s="5" t="n"/>
      <c r="O2287" s="5">
        <f>+M2287+N2287</f>
        <v/>
      </c>
      <c r="P2287" s="4" t="n">
        <v>45863</v>
      </c>
      <c r="Q2287" s="87" t="n">
        <v>45856</v>
      </c>
      <c r="R2287" s="5" t="n">
        <v>907</v>
      </c>
      <c r="S2287" s="2" t="n">
        <v>1</v>
      </c>
      <c r="T2287" s="3" t="inlineStr">
        <is>
          <t>6B/2025/2S</t>
        </is>
      </c>
      <c r="U2287" s="87" t="n">
        <v>45873</v>
      </c>
      <c r="V2287" s="3" t="inlineStr">
        <is>
          <t>22</t>
        </is>
      </c>
      <c r="W2287" s="87" t="n">
        <v>45873</v>
      </c>
      <c r="X2287" s="4" t="inlineStr">
        <is>
          <t xml:space="preserve">Bin Humaid National Trading Co </t>
        </is>
      </c>
    </row>
    <row r="2288" ht="24" customHeight="1">
      <c r="A2288" s="2">
        <f>+D2288-S2288</f>
        <v/>
      </c>
      <c r="B2288" s="80" t="n">
        <v>3906</v>
      </c>
      <c r="C2288" s="66" t="n">
        <v>45863</v>
      </c>
      <c r="D2288" s="2" t="n">
        <v>1</v>
      </c>
      <c r="E2288" s="3" t="inlineStr">
        <is>
          <t>FUCILE SEMIAUTOMATICO</t>
        </is>
      </c>
      <c r="F2288" s="3" t="inlineStr">
        <is>
          <t>12</t>
        </is>
      </c>
      <c r="G2288" s="3" t="inlineStr">
        <is>
          <t>BENELLI</t>
        </is>
      </c>
      <c r="H2288" s="65" t="inlineStr">
        <is>
          <t>MONTEFELTRO-22 SPORTING 30" ICK WOOD</t>
        </is>
      </c>
      <c r="I2288" s="65" t="inlineStr">
        <is>
          <t>M0200564C</t>
        </is>
      </c>
      <c r="J2288" s="65" t="inlineStr">
        <is>
          <t>C1689398Z</t>
        </is>
      </c>
      <c r="K2288" s="65" t="inlineStr">
        <is>
          <t>N/D</t>
        </is>
      </c>
      <c r="L2288" s="127" t="inlineStr">
        <is>
          <t>BENELLI ARMI SPA</t>
        </is>
      </c>
      <c r="M2288" s="5" t="n">
        <v>907</v>
      </c>
      <c r="N2288" s="5" t="n"/>
      <c r="O2288" s="5">
        <f>+M2288+N2288</f>
        <v/>
      </c>
      <c r="P2288" s="4" t="n">
        <v>45863</v>
      </c>
      <c r="Q2288" s="87" t="n">
        <v>45856</v>
      </c>
      <c r="R2288" s="5" t="n">
        <v>907</v>
      </c>
      <c r="S2288" s="2" t="n">
        <v>1</v>
      </c>
      <c r="T2288" s="3" t="inlineStr">
        <is>
          <t>6B/2025/2S</t>
        </is>
      </c>
      <c r="U2288" s="87" t="n">
        <v>45873</v>
      </c>
      <c r="V2288" s="3" t="inlineStr">
        <is>
          <t>22</t>
        </is>
      </c>
      <c r="W2288" s="87" t="n">
        <v>45873</v>
      </c>
      <c r="X2288" s="4" t="inlineStr">
        <is>
          <t xml:space="preserve">Bin Humaid National Trading Co </t>
        </is>
      </c>
    </row>
    <row r="2289" ht="24" customHeight="1">
      <c r="A2289" s="2">
        <f>+D2289-S2289</f>
        <v/>
      </c>
      <c r="B2289" s="80" t="n">
        <v>3907</v>
      </c>
      <c r="C2289" s="66" t="n">
        <v>45863</v>
      </c>
      <c r="D2289" s="2" t="n">
        <v>1</v>
      </c>
      <c r="E2289" s="3" t="inlineStr">
        <is>
          <t>FUCILE SEMIAUTOMATICO</t>
        </is>
      </c>
      <c r="F2289" s="3" t="inlineStr">
        <is>
          <t>12</t>
        </is>
      </c>
      <c r="G2289" s="3" t="inlineStr">
        <is>
          <t>BENELLI</t>
        </is>
      </c>
      <c r="H2289" s="65" t="inlineStr">
        <is>
          <t>MONTEFELTRO-22 SPORTING 30" ICK WOOD</t>
        </is>
      </c>
      <c r="I2289" s="65" t="inlineStr">
        <is>
          <t>M0200565D</t>
        </is>
      </c>
      <c r="J2289" s="65" t="inlineStr">
        <is>
          <t>C1689400X</t>
        </is>
      </c>
      <c r="K2289" s="65" t="inlineStr">
        <is>
          <t>N/D</t>
        </is>
      </c>
      <c r="L2289" s="127" t="inlineStr">
        <is>
          <t>BENELLI ARMI SPA</t>
        </is>
      </c>
      <c r="M2289" s="5" t="n">
        <v>907</v>
      </c>
      <c r="N2289" s="5" t="n"/>
      <c r="O2289" s="5">
        <f>+M2289+N2289</f>
        <v/>
      </c>
      <c r="P2289" s="4" t="n">
        <v>45863</v>
      </c>
      <c r="Q2289" s="87" t="n">
        <v>45856</v>
      </c>
      <c r="R2289" s="5" t="n">
        <v>907</v>
      </c>
      <c r="S2289" s="2" t="n">
        <v>1</v>
      </c>
      <c r="T2289" s="3" t="inlineStr">
        <is>
          <t>6B/2025/2S</t>
        </is>
      </c>
      <c r="U2289" s="87" t="n">
        <v>45873</v>
      </c>
      <c r="V2289" s="3" t="inlineStr">
        <is>
          <t>22</t>
        </is>
      </c>
      <c r="W2289" s="87" t="n">
        <v>45873</v>
      </c>
      <c r="X2289" s="4" t="inlineStr">
        <is>
          <t xml:space="preserve">Bin Humaid National Trading Co </t>
        </is>
      </c>
    </row>
    <row r="2290" ht="24" customHeight="1">
      <c r="A2290" s="2">
        <f>+D2290-S2290</f>
        <v/>
      </c>
      <c r="B2290" s="80" t="n">
        <v>3908</v>
      </c>
      <c r="C2290" s="66" t="n">
        <v>45863</v>
      </c>
      <c r="D2290" s="2" t="n">
        <v>1</v>
      </c>
      <c r="E2290" s="3" t="inlineStr">
        <is>
          <t>FUCILE SEMIAUTOMATICO</t>
        </is>
      </c>
      <c r="F2290" s="3" t="inlineStr">
        <is>
          <t>12</t>
        </is>
      </c>
      <c r="G2290" s="3" t="inlineStr">
        <is>
          <t>BENELLI</t>
        </is>
      </c>
      <c r="H2290" s="65" t="inlineStr">
        <is>
          <t>MONTEFELTRO-22 SPORTING 30" ICK WOOD</t>
        </is>
      </c>
      <c r="I2290" s="65" t="inlineStr">
        <is>
          <t>M0200567F</t>
        </is>
      </c>
      <c r="J2290" s="65" t="inlineStr">
        <is>
          <t>C1689389Y</t>
        </is>
      </c>
      <c r="K2290" s="65" t="inlineStr">
        <is>
          <t>N/D</t>
        </is>
      </c>
      <c r="L2290" s="127" t="inlineStr">
        <is>
          <t>BENELLI ARMI SPA</t>
        </is>
      </c>
      <c r="M2290" s="5" t="n">
        <v>907</v>
      </c>
      <c r="N2290" s="5" t="n"/>
      <c r="O2290" s="5">
        <f>+M2290+N2290</f>
        <v/>
      </c>
      <c r="P2290" s="4" t="n">
        <v>45863</v>
      </c>
      <c r="Q2290" s="87" t="n">
        <v>45856</v>
      </c>
      <c r="R2290" s="5" t="n">
        <v>907</v>
      </c>
      <c r="S2290" s="2" t="n">
        <v>1</v>
      </c>
      <c r="T2290" s="3" t="inlineStr">
        <is>
          <t>6B/2025/2S</t>
        </is>
      </c>
      <c r="U2290" s="87" t="n">
        <v>45873</v>
      </c>
      <c r="V2290" s="3" t="inlineStr">
        <is>
          <t>22</t>
        </is>
      </c>
      <c r="W2290" s="87" t="n">
        <v>45873</v>
      </c>
      <c r="X2290" s="4" t="inlineStr">
        <is>
          <t xml:space="preserve">Bin Humaid National Trading Co </t>
        </is>
      </c>
    </row>
    <row r="2291" ht="24" customHeight="1">
      <c r="A2291" s="2">
        <f>+D2291-S2291</f>
        <v/>
      </c>
      <c r="B2291" s="80" t="n">
        <v>3909</v>
      </c>
      <c r="C2291" s="66" t="n">
        <v>45863</v>
      </c>
      <c r="D2291" s="2" t="n">
        <v>1</v>
      </c>
      <c r="E2291" s="3" t="inlineStr">
        <is>
          <t>FUCILE SEMIAUTOMATICO</t>
        </is>
      </c>
      <c r="F2291" s="3" t="inlineStr">
        <is>
          <t>12</t>
        </is>
      </c>
      <c r="G2291" s="3" t="inlineStr">
        <is>
          <t>BENELLI</t>
        </is>
      </c>
      <c r="H2291" s="65" t="inlineStr">
        <is>
          <t>MONTEFELTRO-22 SPORTING 30" ICK WOOD</t>
        </is>
      </c>
      <c r="I2291" s="65" t="inlineStr">
        <is>
          <t>M0200570A</t>
        </is>
      </c>
      <c r="J2291" s="65" t="inlineStr">
        <is>
          <t>C1689392T</t>
        </is>
      </c>
      <c r="K2291" s="65" t="inlineStr">
        <is>
          <t>N/D</t>
        </is>
      </c>
      <c r="L2291" s="127" t="inlineStr">
        <is>
          <t>BENELLI ARMI SPA</t>
        </is>
      </c>
      <c r="M2291" s="5" t="n">
        <v>907</v>
      </c>
      <c r="N2291" s="5" t="n"/>
      <c r="O2291" s="5">
        <f>+M2291+N2291</f>
        <v/>
      </c>
      <c r="P2291" s="4" t="n">
        <v>45863</v>
      </c>
      <c r="Q2291" s="87" t="n">
        <v>45856</v>
      </c>
      <c r="R2291" s="5" t="n">
        <v>907</v>
      </c>
      <c r="S2291" s="2" t="n">
        <v>1</v>
      </c>
      <c r="T2291" s="3" t="inlineStr">
        <is>
          <t>6B/2025/2S</t>
        </is>
      </c>
      <c r="U2291" s="87" t="n">
        <v>45873</v>
      </c>
      <c r="V2291" s="3" t="inlineStr">
        <is>
          <t>22</t>
        </is>
      </c>
      <c r="W2291" s="87" t="n">
        <v>45873</v>
      </c>
      <c r="X2291" s="4" t="inlineStr">
        <is>
          <t xml:space="preserve">Bin Humaid National Trading Co </t>
        </is>
      </c>
    </row>
    <row r="2292" ht="24" customHeight="1">
      <c r="A2292" s="2">
        <f>+D2292-S2292</f>
        <v/>
      </c>
      <c r="B2292" s="80" t="n">
        <v>3910</v>
      </c>
      <c r="C2292" s="66" t="n">
        <v>45863</v>
      </c>
      <c r="D2292" s="2" t="n">
        <v>1</v>
      </c>
      <c r="E2292" s="3" t="inlineStr">
        <is>
          <t>FUCILE SEMIAUTOMATICO</t>
        </is>
      </c>
      <c r="F2292" s="3" t="inlineStr">
        <is>
          <t>12</t>
        </is>
      </c>
      <c r="G2292" s="3" t="inlineStr">
        <is>
          <t>BENELLI</t>
        </is>
      </c>
      <c r="H2292" s="65" t="inlineStr">
        <is>
          <t>MONTEFELTRO-22 SPORTING 30" ICK WOOD</t>
        </is>
      </c>
      <c r="I2292" s="65" t="inlineStr">
        <is>
          <t>M0200572C</t>
        </is>
      </c>
      <c r="J2292" s="65" t="inlineStr">
        <is>
          <t>C1689386V</t>
        </is>
      </c>
      <c r="K2292" s="65" t="inlineStr">
        <is>
          <t>N/D</t>
        </is>
      </c>
      <c r="L2292" s="127" t="inlineStr">
        <is>
          <t>BENELLI ARMI SPA</t>
        </is>
      </c>
      <c r="M2292" s="5" t="n">
        <v>907</v>
      </c>
      <c r="N2292" s="5" t="n"/>
      <c r="O2292" s="5">
        <f>+M2292+N2292</f>
        <v/>
      </c>
      <c r="P2292" s="4" t="n">
        <v>45863</v>
      </c>
      <c r="Q2292" s="87" t="n">
        <v>45856</v>
      </c>
      <c r="R2292" s="5" t="n">
        <v>907</v>
      </c>
      <c r="S2292" s="2" t="n">
        <v>1</v>
      </c>
      <c r="T2292" s="3" t="inlineStr">
        <is>
          <t>6B/2025/2S</t>
        </is>
      </c>
      <c r="U2292" s="87" t="n">
        <v>45873</v>
      </c>
      <c r="V2292" s="3" t="inlineStr">
        <is>
          <t>22</t>
        </is>
      </c>
      <c r="W2292" s="87" t="n">
        <v>45873</v>
      </c>
      <c r="X2292" s="4" t="inlineStr">
        <is>
          <t xml:space="preserve">Bin Humaid National Trading Co </t>
        </is>
      </c>
    </row>
    <row r="2293" ht="24" customHeight="1">
      <c r="A2293" s="2">
        <f>+D2293-S2293</f>
        <v/>
      </c>
      <c r="B2293" s="80" t="n">
        <v>3911</v>
      </c>
      <c r="C2293" s="66" t="n">
        <v>45863</v>
      </c>
      <c r="D2293" s="2" t="n">
        <v>1</v>
      </c>
      <c r="E2293" s="3" t="inlineStr">
        <is>
          <t>FUCILE SEMIAUTOMATICO</t>
        </is>
      </c>
      <c r="F2293" s="3" t="inlineStr">
        <is>
          <t>12</t>
        </is>
      </c>
      <c r="G2293" s="3" t="inlineStr">
        <is>
          <t>BENELLI</t>
        </is>
      </c>
      <c r="H2293" s="65" t="inlineStr">
        <is>
          <t>MONTEFELTRO-22 SPORTING 30" ICK WOOD</t>
        </is>
      </c>
      <c r="I2293" s="65" t="inlineStr">
        <is>
          <t>M0200571B</t>
        </is>
      </c>
      <c r="J2293" s="65" t="inlineStr">
        <is>
          <t>C1689399A</t>
        </is>
      </c>
      <c r="K2293" s="65" t="inlineStr">
        <is>
          <t>N/D</t>
        </is>
      </c>
      <c r="L2293" s="127" t="inlineStr">
        <is>
          <t>BENELLI ARMI SPA</t>
        </is>
      </c>
      <c r="M2293" s="5" t="n">
        <v>907</v>
      </c>
      <c r="N2293" s="5" t="n"/>
      <c r="O2293" s="5">
        <f>+M2293+N2293</f>
        <v/>
      </c>
      <c r="P2293" s="4" t="n">
        <v>45863</v>
      </c>
      <c r="Q2293" s="87" t="n">
        <v>45856</v>
      </c>
      <c r="R2293" s="5" t="n">
        <v>907</v>
      </c>
      <c r="S2293" s="2" t="n">
        <v>1</v>
      </c>
      <c r="T2293" s="3" t="inlineStr">
        <is>
          <t>6B/2025/2S</t>
        </is>
      </c>
      <c r="U2293" s="87" t="n">
        <v>45873</v>
      </c>
      <c r="V2293" s="3" t="inlineStr">
        <is>
          <t>22</t>
        </is>
      </c>
      <c r="W2293" s="87" t="n">
        <v>45873</v>
      </c>
      <c r="X2293" s="4" t="inlineStr">
        <is>
          <t xml:space="preserve">Bin Humaid National Trading Co </t>
        </is>
      </c>
    </row>
    <row r="2294" ht="24" customHeight="1">
      <c r="A2294" s="2">
        <f>+D2294-S2294</f>
        <v/>
      </c>
      <c r="B2294" s="80" t="n">
        <v>3912</v>
      </c>
      <c r="C2294" s="66" t="n">
        <v>45863</v>
      </c>
      <c r="D2294" s="2" t="n">
        <v>1</v>
      </c>
      <c r="E2294" s="3" t="inlineStr">
        <is>
          <t>FUCILE SEMIAUTOMATICO</t>
        </is>
      </c>
      <c r="F2294" s="3" t="inlineStr">
        <is>
          <t>12</t>
        </is>
      </c>
      <c r="G2294" s="3" t="inlineStr">
        <is>
          <t>BENELLI</t>
        </is>
      </c>
      <c r="H2294" s="65" t="inlineStr">
        <is>
          <t>RAFFAELLO BEDIAMOND AI 30"</t>
        </is>
      </c>
      <c r="I2294" s="65" t="inlineStr">
        <is>
          <t>F450438V</t>
        </is>
      </c>
      <c r="J2294" s="65" t="inlineStr">
        <is>
          <t>C1682296F</t>
        </is>
      </c>
      <c r="K2294" s="65" t="inlineStr">
        <is>
          <t>N/D</t>
        </is>
      </c>
      <c r="L2294" s="127" t="inlineStr">
        <is>
          <t>BENELLI ARMI SPA</t>
        </is>
      </c>
      <c r="M2294" s="5" t="n">
        <v>1433</v>
      </c>
      <c r="N2294" s="5" t="n"/>
      <c r="O2294" s="5">
        <f>+M2294+N2294</f>
        <v/>
      </c>
      <c r="P2294" s="4" t="n">
        <v>45863</v>
      </c>
      <c r="Q2294" s="87" t="n">
        <v>45856</v>
      </c>
      <c r="R2294" s="5" t="n">
        <v>1633.62</v>
      </c>
      <c r="S2294" s="2" t="n">
        <v>1</v>
      </c>
      <c r="T2294" s="3" t="inlineStr">
        <is>
          <t>6B/2025/2S</t>
        </is>
      </c>
      <c r="U2294" s="87" t="n">
        <v>45873</v>
      </c>
      <c r="V2294" s="3" t="inlineStr">
        <is>
          <t>22</t>
        </is>
      </c>
      <c r="W2294" s="87" t="n">
        <v>45873</v>
      </c>
      <c r="X2294" s="4" t="inlineStr">
        <is>
          <t xml:space="preserve">Bin Humaid National Trading Co </t>
        </is>
      </c>
    </row>
    <row r="2295" ht="24" customHeight="1">
      <c r="A2295" s="2">
        <f>+D2295-S2295</f>
        <v/>
      </c>
      <c r="B2295" s="80" t="n">
        <v>3913</v>
      </c>
      <c r="C2295" s="66" t="n">
        <v>45863</v>
      </c>
      <c r="D2295" s="2" t="n">
        <v>1</v>
      </c>
      <c r="E2295" s="3" t="inlineStr">
        <is>
          <t>FUCILE SEMIAUTOMATICO</t>
        </is>
      </c>
      <c r="F2295" s="3" t="inlineStr">
        <is>
          <t>12</t>
        </is>
      </c>
      <c r="G2295" s="3" t="inlineStr">
        <is>
          <t>BENELLI</t>
        </is>
      </c>
      <c r="H2295" s="65" t="inlineStr">
        <is>
          <t>RAFFAELLO SILVER AI 30"</t>
        </is>
      </c>
      <c r="I2295" s="65" t="inlineStr">
        <is>
          <t>F440613J</t>
        </is>
      </c>
      <c r="J2295" s="65" t="inlineStr">
        <is>
          <t>C1664009P</t>
        </is>
      </c>
      <c r="K2295" s="65" t="inlineStr">
        <is>
          <t>N/D</t>
        </is>
      </c>
      <c r="L2295" s="127" t="inlineStr">
        <is>
          <t>BENELLI ARMI SPA</t>
        </is>
      </c>
      <c r="M2295" s="5" t="n">
        <v>1407</v>
      </c>
      <c r="N2295" s="5" t="n"/>
      <c r="O2295" s="5">
        <f>+M2295+N2295</f>
        <v/>
      </c>
      <c r="P2295" s="4" t="n">
        <v>45863</v>
      </c>
      <c r="Q2295" s="87" t="n">
        <v>45856</v>
      </c>
      <c r="R2295" s="5" t="n">
        <v>1603.98</v>
      </c>
      <c r="S2295" s="2" t="n">
        <v>1</v>
      </c>
      <c r="T2295" s="3" t="inlineStr">
        <is>
          <t>6B/2025/2S</t>
        </is>
      </c>
      <c r="U2295" s="87" t="n">
        <v>45873</v>
      </c>
      <c r="V2295" s="3" t="inlineStr">
        <is>
          <t>22</t>
        </is>
      </c>
      <c r="W2295" s="87" t="n">
        <v>45873</v>
      </c>
      <c r="X2295" s="4" t="inlineStr">
        <is>
          <t xml:space="preserve">Bin Humaid National Trading Co </t>
        </is>
      </c>
    </row>
    <row r="2296" ht="24" customHeight="1">
      <c r="A2296" s="2">
        <f>+D2296-S2296</f>
        <v/>
      </c>
      <c r="B2296" s="80" t="n">
        <v>3914</v>
      </c>
      <c r="C2296" s="66" t="n">
        <v>45863</v>
      </c>
      <c r="D2296" s="2" t="n">
        <v>1</v>
      </c>
      <c r="E2296" s="3" t="inlineStr">
        <is>
          <t>FUCILE SEMIAUTOMATICO</t>
        </is>
      </c>
      <c r="F2296" s="3" t="inlineStr">
        <is>
          <t>12</t>
        </is>
      </c>
      <c r="G2296" s="3" t="inlineStr">
        <is>
          <t>BENELLI</t>
        </is>
      </c>
      <c r="H2296" s="65" t="inlineStr">
        <is>
          <t>RAFFAELLO BLACK AI30"</t>
        </is>
      </c>
      <c r="I2296" s="65" t="inlineStr">
        <is>
          <t>F449169A</t>
        </is>
      </c>
      <c r="J2296" s="65" t="inlineStr">
        <is>
          <t>C1685240V</t>
        </is>
      </c>
      <c r="K2296" s="65" t="inlineStr">
        <is>
          <t>N/D</t>
        </is>
      </c>
      <c r="L2296" s="127" t="inlineStr">
        <is>
          <t>BENELLI ARMI SPA</t>
        </is>
      </c>
      <c r="M2296" s="5" t="n">
        <v>1152</v>
      </c>
      <c r="N2296" s="5" t="n"/>
      <c r="O2296" s="5">
        <f>+M2296+N2296</f>
        <v/>
      </c>
      <c r="P2296" s="4" t="n">
        <v>45863</v>
      </c>
      <c r="Q2296" s="87" t="n">
        <v>45856</v>
      </c>
      <c r="R2296" s="5" t="n">
        <v>1313.28</v>
      </c>
      <c r="S2296" s="2" t="n">
        <v>1</v>
      </c>
      <c r="T2296" s="3" t="inlineStr">
        <is>
          <t>6B/2025/2S</t>
        </is>
      </c>
      <c r="U2296" s="87" t="n">
        <v>45873</v>
      </c>
      <c r="V2296" s="3" t="inlineStr">
        <is>
          <t>22</t>
        </is>
      </c>
      <c r="W2296" s="87" t="n">
        <v>45873</v>
      </c>
      <c r="X2296" s="4" t="inlineStr">
        <is>
          <t xml:space="preserve">Bin Humaid National Trading Co </t>
        </is>
      </c>
    </row>
    <row r="2297" ht="24" customHeight="1">
      <c r="A2297" s="2">
        <f>+D2297-S2297</f>
        <v/>
      </c>
      <c r="B2297" s="80" t="n">
        <v>3915</v>
      </c>
      <c r="C2297" s="66" t="n">
        <v>45863</v>
      </c>
      <c r="D2297" s="2" t="n">
        <v>1</v>
      </c>
      <c r="E2297" s="3" t="inlineStr">
        <is>
          <t>FUCILE SEMIAUTOMATICO</t>
        </is>
      </c>
      <c r="F2297" s="3" t="inlineStr">
        <is>
          <t>12</t>
        </is>
      </c>
      <c r="G2297" s="3" t="inlineStr">
        <is>
          <t>BENELLI</t>
        </is>
      </c>
      <c r="H2297" s="65" t="inlineStr">
        <is>
          <t>RAFFAELLO DELUXE AI 30"</t>
        </is>
      </c>
      <c r="I2297" s="65" t="inlineStr">
        <is>
          <t>F449021B</t>
        </is>
      </c>
      <c r="J2297" s="65" t="inlineStr">
        <is>
          <t>C1676706Z</t>
        </is>
      </c>
      <c r="K2297" s="65" t="inlineStr">
        <is>
          <t>N/D</t>
        </is>
      </c>
      <c r="L2297" s="127" t="inlineStr">
        <is>
          <t>BENELLI ARMI SPA</t>
        </is>
      </c>
      <c r="M2297" s="5" t="n">
        <v>1540</v>
      </c>
      <c r="N2297" s="5" t="n"/>
      <c r="O2297" s="5">
        <f>+M2297+N2297</f>
        <v/>
      </c>
      <c r="P2297" s="4" t="n">
        <v>45863</v>
      </c>
      <c r="Q2297" s="87" t="n">
        <v>45856</v>
      </c>
      <c r="R2297" s="5" t="n">
        <v>1755.6</v>
      </c>
      <c r="S2297" s="2" t="n">
        <v>1</v>
      </c>
      <c r="T2297" s="3" t="inlineStr">
        <is>
          <t>6B/2025/2S</t>
        </is>
      </c>
      <c r="U2297" s="87" t="n">
        <v>45873</v>
      </c>
      <c r="V2297" s="3" t="inlineStr">
        <is>
          <t>22</t>
        </is>
      </c>
      <c r="W2297" s="87" t="n">
        <v>45873</v>
      </c>
      <c r="X2297" s="4" t="inlineStr">
        <is>
          <t xml:space="preserve">Bin Humaid National Trading Co </t>
        </is>
      </c>
    </row>
    <row r="2298" ht="24" customHeight="1">
      <c r="A2298" s="2">
        <f>+D2298-S2298</f>
        <v/>
      </c>
      <c r="B2298" s="80" t="n">
        <v>3916</v>
      </c>
      <c r="C2298" s="66" t="n">
        <v>45863</v>
      </c>
      <c r="D2298" s="2" t="n">
        <v>1</v>
      </c>
      <c r="E2298" s="3" t="inlineStr">
        <is>
          <t>FUCILE SEMIAUTOMATICO</t>
        </is>
      </c>
      <c r="F2298" s="3" t="inlineStr">
        <is>
          <t>12</t>
        </is>
      </c>
      <c r="G2298" s="3" t="inlineStr">
        <is>
          <t>BENELLI</t>
        </is>
      </c>
      <c r="H2298" s="65" t="inlineStr">
        <is>
          <t>RAFFAELLO DELUXE AI 30"</t>
        </is>
      </c>
      <c r="I2298" s="65" t="inlineStr">
        <is>
          <t>F452944A</t>
        </is>
      </c>
      <c r="J2298" s="65" t="inlineStr">
        <is>
          <t>C1689055K</t>
        </is>
      </c>
      <c r="K2298" s="65" t="inlineStr">
        <is>
          <t>N/D</t>
        </is>
      </c>
      <c r="L2298" s="127" t="inlineStr">
        <is>
          <t>BENELLI ARMI SPA</t>
        </is>
      </c>
      <c r="M2298" s="5" t="n">
        <v>1540</v>
      </c>
      <c r="N2298" s="5" t="n"/>
      <c r="O2298" s="5">
        <f>+M2298+N2298</f>
        <v/>
      </c>
      <c r="P2298" s="4" t="n">
        <v>45863</v>
      </c>
      <c r="Q2298" s="87" t="n">
        <v>45856</v>
      </c>
      <c r="R2298" s="5" t="n">
        <v>1755.6</v>
      </c>
      <c r="S2298" s="2" t="n">
        <v>1</v>
      </c>
      <c r="T2298" s="3" t="inlineStr">
        <is>
          <t>6B/2025/2S</t>
        </is>
      </c>
      <c r="U2298" s="87" t="n">
        <v>45873</v>
      </c>
      <c r="V2298" s="3" t="inlineStr">
        <is>
          <t>22</t>
        </is>
      </c>
      <c r="W2298" s="87" t="n">
        <v>45873</v>
      </c>
      <c r="X2298" s="4" t="inlineStr">
        <is>
          <t xml:space="preserve">Bin Humaid National Trading Co </t>
        </is>
      </c>
    </row>
    <row r="2299" ht="24" customHeight="1">
      <c r="A2299" s="2">
        <f>+D2299-S2299</f>
        <v/>
      </c>
      <c r="B2299" s="80" t="n">
        <v>3917</v>
      </c>
      <c r="C2299" s="66" t="n">
        <v>45863</v>
      </c>
      <c r="D2299" s="2" t="n">
        <v>1</v>
      </c>
      <c r="E2299" s="3" t="inlineStr">
        <is>
          <t>FUCILE SEMIAUTOMATICO</t>
        </is>
      </c>
      <c r="F2299" s="3" t="inlineStr">
        <is>
          <t>12</t>
        </is>
      </c>
      <c r="G2299" s="3" t="inlineStr">
        <is>
          <t>BENELLI</t>
        </is>
      </c>
      <c r="H2299" s="65" t="inlineStr">
        <is>
          <t>RAFFAELLO DELUXE AI 30"</t>
        </is>
      </c>
      <c r="I2299" s="65" t="inlineStr">
        <is>
          <t>F452945D</t>
        </is>
      </c>
      <c r="J2299" s="65" t="inlineStr">
        <is>
          <t>C1689056L</t>
        </is>
      </c>
      <c r="K2299" s="65" t="inlineStr">
        <is>
          <t>N/D</t>
        </is>
      </c>
      <c r="L2299" s="127" t="inlineStr">
        <is>
          <t>BENELLI ARMI SPA</t>
        </is>
      </c>
      <c r="M2299" s="5" t="n">
        <v>1540</v>
      </c>
      <c r="N2299" s="5" t="n"/>
      <c r="O2299" s="5">
        <f>+M2299+N2299</f>
        <v/>
      </c>
      <c r="P2299" s="4" t="n">
        <v>45863</v>
      </c>
      <c r="Q2299" s="87" t="n">
        <v>45856</v>
      </c>
      <c r="R2299" s="5" t="n">
        <v>1755.6</v>
      </c>
      <c r="S2299" s="2" t="n">
        <v>1</v>
      </c>
      <c r="T2299" s="3" t="inlineStr">
        <is>
          <t>6B/2025/2S</t>
        </is>
      </c>
      <c r="U2299" s="87" t="n">
        <v>45873</v>
      </c>
      <c r="V2299" s="3" t="inlineStr">
        <is>
          <t>22</t>
        </is>
      </c>
      <c r="W2299" s="87" t="n">
        <v>45873</v>
      </c>
      <c r="X2299" s="4" t="inlineStr">
        <is>
          <t xml:space="preserve">Bin Humaid National Trading Co </t>
        </is>
      </c>
    </row>
    <row r="2300" ht="24" customHeight="1">
      <c r="A2300" s="2">
        <f>+D2300-S2300</f>
        <v/>
      </c>
      <c r="B2300" s="80" t="n">
        <v>3918</v>
      </c>
      <c r="C2300" s="66" t="n">
        <v>45863</v>
      </c>
      <c r="D2300" s="2" t="n">
        <v>1</v>
      </c>
      <c r="E2300" s="3" t="inlineStr">
        <is>
          <t>FUCILE SEMIAUTOMATICO</t>
        </is>
      </c>
      <c r="F2300" s="3" t="inlineStr">
        <is>
          <t>12</t>
        </is>
      </c>
      <c r="G2300" s="3" t="inlineStr">
        <is>
          <t>BENELLI</t>
        </is>
      </c>
      <c r="H2300" s="65" t="inlineStr">
        <is>
          <t>RAFFAELLO DELUXE AI 30"</t>
        </is>
      </c>
      <c r="I2300" s="65" t="inlineStr">
        <is>
          <t>F452946F</t>
        </is>
      </c>
      <c r="J2300" s="65" t="inlineStr">
        <is>
          <t>C1689048K</t>
        </is>
      </c>
      <c r="K2300" s="65" t="inlineStr">
        <is>
          <t>N/D</t>
        </is>
      </c>
      <c r="L2300" s="127" t="inlineStr">
        <is>
          <t>BENELLI ARMI SPA</t>
        </is>
      </c>
      <c r="M2300" s="5" t="n">
        <v>1540</v>
      </c>
      <c r="N2300" s="5" t="n"/>
      <c r="O2300" s="5">
        <f>+M2300+N2300</f>
        <v/>
      </c>
      <c r="P2300" s="4" t="n">
        <v>45863</v>
      </c>
      <c r="Q2300" s="87" t="n">
        <v>45856</v>
      </c>
      <c r="R2300" s="5" t="n">
        <v>1755.6</v>
      </c>
      <c r="S2300" s="2" t="n">
        <v>1</v>
      </c>
      <c r="T2300" s="3" t="inlineStr">
        <is>
          <t>6B/2025/2S</t>
        </is>
      </c>
      <c r="U2300" s="87" t="n">
        <v>45873</v>
      </c>
      <c r="V2300" s="3" t="inlineStr">
        <is>
          <t>22</t>
        </is>
      </c>
      <c r="W2300" s="87" t="n">
        <v>45873</v>
      </c>
      <c r="X2300" s="4" t="inlineStr">
        <is>
          <t xml:space="preserve">Bin Humaid National Trading Co </t>
        </is>
      </c>
    </row>
    <row r="2301" ht="24" customHeight="1">
      <c r="A2301" s="2">
        <f>+D2301-S2301</f>
        <v/>
      </c>
      <c r="B2301" s="80" t="n">
        <v>3919</v>
      </c>
      <c r="C2301" s="66" t="n">
        <v>45863</v>
      </c>
      <c r="D2301" s="2" t="n">
        <v>1</v>
      </c>
      <c r="E2301" s="3" t="inlineStr">
        <is>
          <t>FUCILE SEMIAUTOMATICO</t>
        </is>
      </c>
      <c r="F2301" s="3" t="inlineStr">
        <is>
          <t>12</t>
        </is>
      </c>
      <c r="G2301" s="3" t="inlineStr">
        <is>
          <t>BENELLI</t>
        </is>
      </c>
      <c r="H2301" s="65" t="inlineStr">
        <is>
          <t>RAFFAELLO DELUXE AI 30"</t>
        </is>
      </c>
      <c r="I2301" s="65" t="inlineStr">
        <is>
          <t>F452947H</t>
        </is>
      </c>
      <c r="J2301" s="65" t="inlineStr">
        <is>
          <t>C1689045G</t>
        </is>
      </c>
      <c r="K2301" s="65" t="inlineStr">
        <is>
          <t>N/D</t>
        </is>
      </c>
      <c r="L2301" s="127" t="inlineStr">
        <is>
          <t>BENELLI ARMI SPA</t>
        </is>
      </c>
      <c r="M2301" s="5" t="n">
        <v>1540</v>
      </c>
      <c r="N2301" s="5" t="n"/>
      <c r="O2301" s="5">
        <f>+M2301+N2301</f>
        <v/>
      </c>
      <c r="P2301" s="4" t="n">
        <v>45863</v>
      </c>
      <c r="Q2301" s="87" t="n">
        <v>45856</v>
      </c>
      <c r="R2301" s="5" t="n">
        <v>1755.6</v>
      </c>
      <c r="S2301" s="2" t="n">
        <v>1</v>
      </c>
      <c r="T2301" s="3" t="inlineStr">
        <is>
          <t>6B/2025/2S</t>
        </is>
      </c>
      <c r="U2301" s="87" t="n">
        <v>45873</v>
      </c>
      <c r="V2301" s="3" t="inlineStr">
        <is>
          <t>22</t>
        </is>
      </c>
      <c r="W2301" s="87" t="n">
        <v>45873</v>
      </c>
      <c r="X2301" s="4" t="inlineStr">
        <is>
          <t xml:space="preserve">Bin Humaid National Trading Co </t>
        </is>
      </c>
    </row>
    <row r="2302" ht="24" customHeight="1">
      <c r="A2302" s="2">
        <f>+D2302-S2302</f>
        <v/>
      </c>
      <c r="B2302" s="80" t="n">
        <v>3920</v>
      </c>
      <c r="C2302" s="66" t="n">
        <v>45863</v>
      </c>
      <c r="D2302" s="2" t="n">
        <v>1</v>
      </c>
      <c r="E2302" s="3" t="inlineStr">
        <is>
          <t>FUCILE SOVRAPPOSTO</t>
        </is>
      </c>
      <c r="F2302" s="3" t="inlineStr">
        <is>
          <t>12</t>
        </is>
      </c>
      <c r="G2302" s="3" t="inlineStr">
        <is>
          <t>BENELLI</t>
        </is>
      </c>
      <c r="H2302" s="65" t="inlineStr">
        <is>
          <t>828S SILVER AI 30"</t>
        </is>
      </c>
      <c r="I2302" s="65" t="inlineStr">
        <is>
          <t>BS055567A</t>
        </is>
      </c>
      <c r="J2302" s="65" t="inlineStr">
        <is>
          <t>CS056244K</t>
        </is>
      </c>
      <c r="K2302" s="65" t="inlineStr">
        <is>
          <t>N/D</t>
        </is>
      </c>
      <c r="L2302" s="127" t="inlineStr">
        <is>
          <t>BENELLI ARMI SPA</t>
        </is>
      </c>
      <c r="M2302" s="5" t="n">
        <v>1824</v>
      </c>
      <c r="N2302" s="5" t="n"/>
      <c r="O2302" s="5">
        <f>+M2302+N2302</f>
        <v/>
      </c>
      <c r="P2302" s="4" t="n">
        <v>45863</v>
      </c>
      <c r="Q2302" s="87" t="n">
        <v>45856</v>
      </c>
      <c r="R2302" s="5" t="n">
        <v>2079.36</v>
      </c>
      <c r="S2302" s="2" t="n">
        <v>1</v>
      </c>
      <c r="T2302" s="3" t="inlineStr">
        <is>
          <t>6B/2025/2S</t>
        </is>
      </c>
      <c r="U2302" s="87" t="n">
        <v>45873</v>
      </c>
      <c r="V2302" s="3" t="inlineStr">
        <is>
          <t>22</t>
        </is>
      </c>
      <c r="W2302" s="87" t="n">
        <v>45873</v>
      </c>
      <c r="X2302" s="4" t="inlineStr">
        <is>
          <t xml:space="preserve">Bin Humaid National Trading Co </t>
        </is>
      </c>
    </row>
    <row r="2303" ht="24" customHeight="1">
      <c r="A2303" s="2">
        <f>+D2303-S2303</f>
        <v/>
      </c>
      <c r="B2303" s="80" t="n">
        <v>3921</v>
      </c>
      <c r="C2303" s="66" t="n">
        <v>45863</v>
      </c>
      <c r="D2303" s="2" t="n">
        <v>1</v>
      </c>
      <c r="E2303" s="3" t="inlineStr">
        <is>
          <t>FUCILE SEMIAUTOMATICO</t>
        </is>
      </c>
      <c r="F2303" s="3" t="inlineStr">
        <is>
          <t>12</t>
        </is>
      </c>
      <c r="G2303" s="3" t="inlineStr">
        <is>
          <t>0</t>
        </is>
      </c>
      <c r="H2303" s="65" t="inlineStr">
        <is>
          <t>DUCA DI MONTEFELTRO 2024 30"</t>
        </is>
      </c>
      <c r="I2303" s="65" t="inlineStr">
        <is>
          <t>M0200898R</t>
        </is>
      </c>
      <c r="J2303" s="65" t="inlineStr">
        <is>
          <t>C1689860Q</t>
        </is>
      </c>
      <c r="K2303" s="65" t="inlineStr">
        <is>
          <t>N/D</t>
        </is>
      </c>
      <c r="L2303" s="127" t="inlineStr">
        <is>
          <t>BENELLI ARMI SPA</t>
        </is>
      </c>
      <c r="M2303" s="5" t="n">
        <v>955</v>
      </c>
      <c r="N2303" s="5" t="n"/>
      <c r="O2303" s="5">
        <f>+M2303+N2303</f>
        <v/>
      </c>
      <c r="P2303" s="4" t="n">
        <v>45863</v>
      </c>
      <c r="Q2303" s="87" t="n">
        <v>45856</v>
      </c>
      <c r="R2303" s="5" t="n">
        <v>1088.7</v>
      </c>
      <c r="S2303" s="2" t="n">
        <v>1</v>
      </c>
      <c r="T2303" s="3" t="inlineStr">
        <is>
          <t>6B/2025/2S</t>
        </is>
      </c>
      <c r="U2303" s="87" t="n">
        <v>45873</v>
      </c>
      <c r="V2303" s="3" t="inlineStr">
        <is>
          <t>22</t>
        </is>
      </c>
      <c r="W2303" s="87" t="n">
        <v>45873</v>
      </c>
      <c r="X2303" s="4" t="inlineStr">
        <is>
          <t xml:space="preserve">Bin Humaid National Trading Co </t>
        </is>
      </c>
    </row>
    <row r="2304" ht="24" customHeight="1">
      <c r="A2304" s="2">
        <f>+D2304-S2304</f>
        <v/>
      </c>
      <c r="B2304" s="80" t="n">
        <v>3922</v>
      </c>
      <c r="C2304" s="66" t="n">
        <v>45863</v>
      </c>
      <c r="D2304" s="2" t="n">
        <v>1</v>
      </c>
      <c r="E2304" s="3" t="inlineStr">
        <is>
          <t>FUCILE SEMIAUTOMATICO</t>
        </is>
      </c>
      <c r="F2304" s="3" t="inlineStr">
        <is>
          <t>12</t>
        </is>
      </c>
      <c r="G2304" s="3" t="inlineStr">
        <is>
          <t>BENELLI</t>
        </is>
      </c>
      <c r="H2304" s="65" t="inlineStr">
        <is>
          <t>DUCA DI MONTEFELTRO 2024 30"</t>
        </is>
      </c>
      <c r="I2304" s="65" t="inlineStr">
        <is>
          <t>M0200901Q</t>
        </is>
      </c>
      <c r="J2304" s="65" t="inlineStr">
        <is>
          <t>C1689859X</t>
        </is>
      </c>
      <c r="K2304" s="65" t="inlineStr">
        <is>
          <t>N/D</t>
        </is>
      </c>
      <c r="L2304" s="127" t="inlineStr">
        <is>
          <t>BENELLI ARMI SPA</t>
        </is>
      </c>
      <c r="M2304" s="5" t="n">
        <v>955</v>
      </c>
      <c r="N2304" s="5" t="n"/>
      <c r="O2304" s="5">
        <f>+M2304+N2304</f>
        <v/>
      </c>
      <c r="P2304" s="4" t="n">
        <v>45863</v>
      </c>
      <c r="Q2304" s="87" t="n">
        <v>45856</v>
      </c>
      <c r="R2304" s="5" t="n">
        <v>1088.7</v>
      </c>
      <c r="S2304" s="2" t="n">
        <v>1</v>
      </c>
      <c r="T2304" s="3" t="inlineStr">
        <is>
          <t>6B/2025/2S</t>
        </is>
      </c>
      <c r="U2304" s="87" t="n">
        <v>45873</v>
      </c>
      <c r="V2304" s="3" t="inlineStr">
        <is>
          <t>22</t>
        </is>
      </c>
      <c r="W2304" s="87" t="n">
        <v>45873</v>
      </c>
      <c r="X2304" s="4" t="inlineStr">
        <is>
          <t xml:space="preserve">Bin Humaid National Trading Co </t>
        </is>
      </c>
    </row>
    <row r="2305" ht="24" customHeight="1">
      <c r="A2305" s="2">
        <f>+D2305-S2305</f>
        <v/>
      </c>
      <c r="B2305" s="80" t="n">
        <v>3923</v>
      </c>
      <c r="C2305" s="66" t="n">
        <v>45863</v>
      </c>
      <c r="D2305" s="2" t="n">
        <v>1</v>
      </c>
      <c r="E2305" s="3" t="inlineStr">
        <is>
          <t>FUCILE SEMIAUTOMATICO</t>
        </is>
      </c>
      <c r="F2305" s="3" t="inlineStr">
        <is>
          <t>12</t>
        </is>
      </c>
      <c r="G2305" s="3" t="inlineStr">
        <is>
          <t>BENELLI</t>
        </is>
      </c>
      <c r="H2305" s="65" t="inlineStr">
        <is>
          <t>DUCA DI MONTEFELTRO 2024 30"</t>
        </is>
      </c>
      <c r="I2305" s="65" t="inlineStr">
        <is>
          <t>M0200903S</t>
        </is>
      </c>
      <c r="J2305" s="65" t="inlineStr">
        <is>
          <t>C1689861R</t>
        </is>
      </c>
      <c r="K2305" s="65" t="inlineStr">
        <is>
          <t>N/D</t>
        </is>
      </c>
      <c r="L2305" s="127" t="inlineStr">
        <is>
          <t>BENELLI ARMI SPA</t>
        </is>
      </c>
      <c r="M2305" s="5" t="n">
        <v>955</v>
      </c>
      <c r="N2305" s="5" t="n"/>
      <c r="O2305" s="5">
        <f>+M2305+N2305</f>
        <v/>
      </c>
      <c r="P2305" s="4" t="n">
        <v>45863</v>
      </c>
      <c r="Q2305" s="87" t="n">
        <v>45856</v>
      </c>
      <c r="R2305" s="5" t="n">
        <v>1088.7</v>
      </c>
      <c r="S2305" s="2" t="n">
        <v>1</v>
      </c>
      <c r="T2305" s="3" t="inlineStr">
        <is>
          <t>6B/2025/2S</t>
        </is>
      </c>
      <c r="U2305" s="87" t="n">
        <v>45873</v>
      </c>
      <c r="V2305" s="3" t="inlineStr">
        <is>
          <t>22</t>
        </is>
      </c>
      <c r="W2305" s="87" t="n">
        <v>45873</v>
      </c>
      <c r="X2305" s="4" t="inlineStr">
        <is>
          <t xml:space="preserve">Bin Humaid National Trading Co </t>
        </is>
      </c>
    </row>
    <row r="2306" ht="24" customHeight="1">
      <c r="A2306" s="2">
        <f>+D2306-S2306</f>
        <v/>
      </c>
      <c r="B2306" s="80" t="n">
        <v>3924</v>
      </c>
      <c r="C2306" s="66" t="n">
        <v>45863</v>
      </c>
      <c r="D2306" s="2" t="n">
        <v>1</v>
      </c>
      <c r="E2306" s="3" t="inlineStr">
        <is>
          <t>FUCILE SEMIAUTOMATICO</t>
        </is>
      </c>
      <c r="F2306" s="3" t="inlineStr">
        <is>
          <t>12</t>
        </is>
      </c>
      <c r="G2306" s="3" t="inlineStr">
        <is>
          <t>BENELLI</t>
        </is>
      </c>
      <c r="H2306" s="65" t="inlineStr">
        <is>
          <t>DUCA DI MONTEFELTRO 2024 30"</t>
        </is>
      </c>
      <c r="I2306" s="65" t="inlineStr">
        <is>
          <t>M0200899S</t>
        </is>
      </c>
      <c r="J2306" s="65" t="inlineStr">
        <is>
          <t>C1689862S</t>
        </is>
      </c>
      <c r="K2306" s="65" t="inlineStr">
        <is>
          <t>N/D</t>
        </is>
      </c>
      <c r="L2306" s="127" t="inlineStr">
        <is>
          <t>BENELLI ARMI SPA</t>
        </is>
      </c>
      <c r="M2306" s="5" t="n">
        <v>955</v>
      </c>
      <c r="N2306" s="5" t="n"/>
      <c r="O2306" s="5">
        <f>+M2306+N2306</f>
        <v/>
      </c>
      <c r="P2306" s="4" t="n">
        <v>45863</v>
      </c>
      <c r="Q2306" s="87" t="n">
        <v>45856</v>
      </c>
      <c r="R2306" s="5" t="n">
        <v>1088.7</v>
      </c>
      <c r="S2306" s="2" t="n">
        <v>1</v>
      </c>
      <c r="T2306" s="3" t="inlineStr">
        <is>
          <t>6B/2025/2S</t>
        </is>
      </c>
      <c r="U2306" s="87" t="n">
        <v>45873</v>
      </c>
      <c r="V2306" s="3" t="inlineStr">
        <is>
          <t>22</t>
        </is>
      </c>
      <c r="W2306" s="87" t="n">
        <v>45873</v>
      </c>
      <c r="X2306" s="4" t="inlineStr">
        <is>
          <t xml:space="preserve">Bin Humaid National Trading Co </t>
        </is>
      </c>
    </row>
    <row r="2307" ht="24" customHeight="1">
      <c r="A2307" s="2">
        <f>+D2307-S2307</f>
        <v/>
      </c>
      <c r="B2307" s="80" t="n">
        <v>3925</v>
      </c>
      <c r="C2307" s="66" t="n">
        <v>45863</v>
      </c>
      <c r="D2307" s="2" t="n">
        <v>1</v>
      </c>
      <c r="E2307" s="3" t="inlineStr">
        <is>
          <t>FUCILE SEMIAUTOMATICO</t>
        </is>
      </c>
      <c r="F2307" s="3" t="inlineStr">
        <is>
          <t>12</t>
        </is>
      </c>
      <c r="G2307" s="3" t="inlineStr">
        <is>
          <t>BENELLI</t>
        </is>
      </c>
      <c r="H2307" s="65" t="inlineStr">
        <is>
          <t>DUCA DI MONTEFELTRO 2024 30"</t>
        </is>
      </c>
      <c r="I2307" s="65" t="inlineStr">
        <is>
          <t>M0200902R</t>
        </is>
      </c>
      <c r="J2307" s="65" t="inlineStr">
        <is>
          <t>C1689858W</t>
        </is>
      </c>
      <c r="K2307" s="65" t="inlineStr">
        <is>
          <t>N/D</t>
        </is>
      </c>
      <c r="L2307" s="127" t="inlineStr">
        <is>
          <t>BENELLI ARMI SPA</t>
        </is>
      </c>
      <c r="M2307" s="5" t="n">
        <v>955</v>
      </c>
      <c r="N2307" s="5" t="n"/>
      <c r="O2307" s="5">
        <f>+M2307+N2307</f>
        <v/>
      </c>
      <c r="P2307" s="4" t="n">
        <v>45863</v>
      </c>
      <c r="Q2307" s="87" t="n">
        <v>45856</v>
      </c>
      <c r="R2307" s="5" t="n">
        <v>1088.7</v>
      </c>
      <c r="S2307" s="2" t="n">
        <v>1</v>
      </c>
      <c r="T2307" s="3" t="inlineStr">
        <is>
          <t>6B/2025/2S</t>
        </is>
      </c>
      <c r="U2307" s="87" t="n">
        <v>45873</v>
      </c>
      <c r="V2307" s="3" t="inlineStr">
        <is>
          <t>22</t>
        </is>
      </c>
      <c r="W2307" s="87" t="n">
        <v>45873</v>
      </c>
      <c r="X2307" s="4" t="inlineStr">
        <is>
          <t xml:space="preserve">Bin Humaid National Trading Co </t>
        </is>
      </c>
    </row>
    <row r="2308" ht="24" customHeight="1">
      <c r="A2308" s="2">
        <f>+D2308-S2308</f>
        <v/>
      </c>
      <c r="B2308" s="80" t="n">
        <v>3926</v>
      </c>
      <c r="C2308" s="66" t="n">
        <v>45863</v>
      </c>
      <c r="D2308" s="2" t="n">
        <v>1</v>
      </c>
      <c r="E2308" s="3" t="inlineStr">
        <is>
          <t>FUCILE SEMIAUTOMATICO</t>
        </is>
      </c>
      <c r="F2308" s="3" t="inlineStr">
        <is>
          <t>12</t>
        </is>
      </c>
      <c r="G2308" s="3" t="inlineStr">
        <is>
          <t>BENELLI</t>
        </is>
      </c>
      <c r="H2308" s="65" t="inlineStr">
        <is>
          <t>RAFFAELLO ETHOS SPORT AI 30"</t>
        </is>
      </c>
      <c r="I2308" s="65" t="inlineStr">
        <is>
          <t>F450251C</t>
        </is>
      </c>
      <c r="J2308" s="65" t="inlineStr">
        <is>
          <t>C1681719U</t>
        </is>
      </c>
      <c r="K2308" s="65" t="inlineStr">
        <is>
          <t>N/D</t>
        </is>
      </c>
      <c r="L2308" s="127" t="inlineStr">
        <is>
          <t>BENELLI ARMI SPA</t>
        </is>
      </c>
      <c r="M2308" s="5" t="n">
        <v>1478</v>
      </c>
      <c r="N2308" s="5" t="n"/>
      <c r="O2308" s="5">
        <f>+M2308+N2308</f>
        <v/>
      </c>
      <c r="P2308" s="4" t="n">
        <v>45863</v>
      </c>
      <c r="Q2308" s="87" t="n">
        <v>45856</v>
      </c>
      <c r="R2308" s="5" t="n">
        <v>1684.92</v>
      </c>
      <c r="S2308" s="2" t="n">
        <v>1</v>
      </c>
      <c r="T2308" s="3" t="inlineStr">
        <is>
          <t>6B/2025/2S</t>
        </is>
      </c>
      <c r="U2308" s="87" t="n">
        <v>45873</v>
      </c>
      <c r="V2308" s="3" t="inlineStr">
        <is>
          <t>22</t>
        </is>
      </c>
      <c r="W2308" s="87" t="n">
        <v>45873</v>
      </c>
      <c r="X2308" s="4" t="inlineStr">
        <is>
          <t xml:space="preserve">Bin Humaid National Trading Co </t>
        </is>
      </c>
    </row>
    <row r="2309" ht="24" customHeight="1">
      <c r="A2309" s="2">
        <f>+D2309-S2309</f>
        <v/>
      </c>
      <c r="B2309" s="80" t="n">
        <v>3927</v>
      </c>
      <c r="C2309" s="66" t="n">
        <v>45863</v>
      </c>
      <c r="D2309" s="2" t="n">
        <v>1</v>
      </c>
      <c r="E2309" s="3" t="inlineStr">
        <is>
          <t>FUCILE SEMIAUTOMATICO</t>
        </is>
      </c>
      <c r="F2309" s="3" t="inlineStr">
        <is>
          <t>12</t>
        </is>
      </c>
      <c r="G2309" s="3" t="inlineStr">
        <is>
          <t>BENELLI</t>
        </is>
      </c>
      <c r="H2309" s="65" t="inlineStr">
        <is>
          <t>RAFFAELLO ETHOS SPORT AI 30"</t>
        </is>
      </c>
      <c r="I2309" s="65" t="inlineStr">
        <is>
          <t>F450253G</t>
        </is>
      </c>
      <c r="J2309" s="65" t="inlineStr">
        <is>
          <t>C1681723Q</t>
        </is>
      </c>
      <c r="K2309" s="65" t="inlineStr">
        <is>
          <t>N/D</t>
        </is>
      </c>
      <c r="L2309" s="127" t="inlineStr">
        <is>
          <t>BENELLI ARMI SPA</t>
        </is>
      </c>
      <c r="M2309" s="5" t="n">
        <v>1478</v>
      </c>
      <c r="N2309" s="5" t="n"/>
      <c r="O2309" s="5">
        <f>+M2309+N2309</f>
        <v/>
      </c>
      <c r="P2309" s="4" t="n">
        <v>45863</v>
      </c>
      <c r="Q2309" s="87" t="n">
        <v>45856</v>
      </c>
      <c r="R2309" s="5" t="n">
        <v>1684.92</v>
      </c>
      <c r="S2309" s="2" t="n">
        <v>1</v>
      </c>
      <c r="T2309" s="3" t="inlineStr">
        <is>
          <t>6B/2025/2S</t>
        </is>
      </c>
      <c r="U2309" s="87" t="n">
        <v>45873</v>
      </c>
      <c r="V2309" s="3" t="inlineStr">
        <is>
          <t>22</t>
        </is>
      </c>
      <c r="W2309" s="87" t="n">
        <v>45873</v>
      </c>
      <c r="X2309" s="4" t="inlineStr">
        <is>
          <t xml:space="preserve">Bin Humaid National Trading Co </t>
        </is>
      </c>
    </row>
    <row r="2310" ht="24" customHeight="1">
      <c r="A2310" s="2">
        <f>+D2310-S2310</f>
        <v/>
      </c>
      <c r="B2310" s="80" t="n">
        <v>3928</v>
      </c>
      <c r="C2310" s="66" t="n">
        <v>45863</v>
      </c>
      <c r="D2310" s="2" t="n">
        <v>1</v>
      </c>
      <c r="E2310" s="3" t="inlineStr">
        <is>
          <t>FUCILE SEMIAUTOMATICO</t>
        </is>
      </c>
      <c r="F2310" s="3" t="inlineStr">
        <is>
          <t>12</t>
        </is>
      </c>
      <c r="G2310" s="3" t="inlineStr">
        <is>
          <t>BENELLI</t>
        </is>
      </c>
      <c r="H2310" s="65" t="inlineStr">
        <is>
          <t>RAFFAELLO ETHOS SPORT AI 30"</t>
        </is>
      </c>
      <c r="I2310" s="65" t="inlineStr">
        <is>
          <t>F450255M</t>
        </is>
      </c>
      <c r="J2310" s="65" t="inlineStr">
        <is>
          <t>C1681721N</t>
        </is>
      </c>
      <c r="K2310" s="65" t="inlineStr">
        <is>
          <t>N/D</t>
        </is>
      </c>
      <c r="L2310" s="127" t="inlineStr">
        <is>
          <t>BENELLI ARMI SPA</t>
        </is>
      </c>
      <c r="M2310" s="5" t="n">
        <v>1478</v>
      </c>
      <c r="N2310" s="5" t="n"/>
      <c r="O2310" s="5">
        <f>+M2310+N2310</f>
        <v/>
      </c>
      <c r="P2310" s="4" t="n">
        <v>45863</v>
      </c>
      <c r="Q2310" s="87" t="n">
        <v>45856</v>
      </c>
      <c r="R2310" s="5" t="n">
        <v>1684.92</v>
      </c>
      <c r="S2310" s="2" t="n">
        <v>1</v>
      </c>
      <c r="T2310" s="3" t="inlineStr">
        <is>
          <t>6B/2025/2S</t>
        </is>
      </c>
      <c r="U2310" s="87" t="n">
        <v>45873</v>
      </c>
      <c r="V2310" s="3" t="inlineStr">
        <is>
          <t>22</t>
        </is>
      </c>
      <c r="W2310" s="87" t="n">
        <v>45873</v>
      </c>
      <c r="X2310" s="4" t="inlineStr">
        <is>
          <t xml:space="preserve">Bin Humaid National Trading Co </t>
        </is>
      </c>
    </row>
    <row r="2311" ht="24" customHeight="1">
      <c r="A2311" s="2">
        <f>+D2311-S2311</f>
        <v/>
      </c>
      <c r="B2311" s="80" t="n">
        <v>3929</v>
      </c>
      <c r="C2311" s="66" t="n">
        <v>45863</v>
      </c>
      <c r="D2311" s="2" t="n">
        <v>1</v>
      </c>
      <c r="E2311" s="3" t="inlineStr">
        <is>
          <t>FUCILE SEMIAUTOMATICO</t>
        </is>
      </c>
      <c r="F2311" s="3" t="inlineStr">
        <is>
          <t>12</t>
        </is>
      </c>
      <c r="G2311" s="3" t="inlineStr">
        <is>
          <t>BENELLI</t>
        </is>
      </c>
      <c r="H2311" s="65" t="inlineStr">
        <is>
          <t>RAFFAELLO ETHOS SPORT AI 30"</t>
        </is>
      </c>
      <c r="I2311" s="65" t="inlineStr">
        <is>
          <t>F450252E</t>
        </is>
      </c>
      <c r="J2311" s="65" t="inlineStr">
        <is>
          <t>C1682774E</t>
        </is>
      </c>
      <c r="K2311" s="65" t="inlineStr">
        <is>
          <t>N/D</t>
        </is>
      </c>
      <c r="L2311" s="127" t="inlineStr">
        <is>
          <t>BENELLI ARMI SPA</t>
        </is>
      </c>
      <c r="M2311" s="5" t="n">
        <v>1478</v>
      </c>
      <c r="N2311" s="5" t="n"/>
      <c r="O2311" s="5">
        <f>+M2311+N2311</f>
        <v/>
      </c>
      <c r="P2311" s="4" t="n">
        <v>45863</v>
      </c>
      <c r="Q2311" s="87" t="n">
        <v>45856</v>
      </c>
      <c r="R2311" s="5" t="n">
        <v>1684.92</v>
      </c>
      <c r="S2311" s="2" t="n">
        <v>1</v>
      </c>
      <c r="T2311" s="3" t="inlineStr">
        <is>
          <t>6B/2025/2S</t>
        </is>
      </c>
      <c r="U2311" s="87" t="n">
        <v>45873</v>
      </c>
      <c r="V2311" s="3" t="inlineStr">
        <is>
          <t>22</t>
        </is>
      </c>
      <c r="W2311" s="87" t="n">
        <v>45873</v>
      </c>
      <c r="X2311" s="4" t="inlineStr">
        <is>
          <t xml:space="preserve">Bin Humaid National Trading Co </t>
        </is>
      </c>
    </row>
    <row r="2312" ht="24" customHeight="1">
      <c r="A2312" s="2">
        <f>+D2312-S2312</f>
        <v/>
      </c>
      <c r="B2312" s="80" t="n">
        <v>3930</v>
      </c>
      <c r="C2312" s="66" t="n">
        <v>45863</v>
      </c>
      <c r="D2312" s="2" t="n">
        <v>1</v>
      </c>
      <c r="E2312" s="3" t="inlineStr">
        <is>
          <t>FUCILE SEMIAUTOMATICO</t>
        </is>
      </c>
      <c r="F2312" s="3" t="inlineStr">
        <is>
          <t>12</t>
        </is>
      </c>
      <c r="G2312" s="3" t="inlineStr">
        <is>
          <t>BENELLI</t>
        </is>
      </c>
      <c r="H2312" s="65" t="inlineStr">
        <is>
          <t>RAFFAELLO ETHOS SPORT AI 30"</t>
        </is>
      </c>
      <c r="I2312" s="65" t="inlineStr">
        <is>
          <t>F451264L</t>
        </is>
      </c>
      <c r="J2312" s="65" t="inlineStr">
        <is>
          <t>C1685278L</t>
        </is>
      </c>
      <c r="K2312" s="65" t="inlineStr">
        <is>
          <t>N/D</t>
        </is>
      </c>
      <c r="L2312" s="127" t="inlineStr">
        <is>
          <t>BENELLI ARMI SPA</t>
        </is>
      </c>
      <c r="M2312" s="5" t="n">
        <v>1478</v>
      </c>
      <c r="N2312" s="5" t="n"/>
      <c r="O2312" s="5">
        <f>+M2312+N2312</f>
        <v/>
      </c>
      <c r="P2312" s="4" t="n">
        <v>45863</v>
      </c>
      <c r="Q2312" s="87" t="n">
        <v>45856</v>
      </c>
      <c r="R2312" s="5" t="n">
        <v>1684.92</v>
      </c>
      <c r="S2312" s="2" t="n">
        <v>1</v>
      </c>
      <c r="T2312" s="3" t="inlineStr">
        <is>
          <t>6B/2025/2S</t>
        </is>
      </c>
      <c r="U2312" s="87" t="n">
        <v>45873</v>
      </c>
      <c r="V2312" s="3" t="inlineStr">
        <is>
          <t>22</t>
        </is>
      </c>
      <c r="W2312" s="87" t="n">
        <v>45873</v>
      </c>
      <c r="X2312" s="4" t="inlineStr">
        <is>
          <t xml:space="preserve">Bin Humaid National Trading Co </t>
        </is>
      </c>
    </row>
    <row r="2313" ht="24" customHeight="1">
      <c r="A2313" s="2">
        <f>+D2313-S2313</f>
        <v/>
      </c>
      <c r="B2313" s="80" t="n">
        <v>3931</v>
      </c>
      <c r="C2313" s="66" t="n">
        <v>45863</v>
      </c>
      <c r="D2313" s="2" t="n">
        <v>1</v>
      </c>
      <c r="E2313" s="3" t="inlineStr">
        <is>
          <t>FUCILE SEMIAUTOMATICO</t>
        </is>
      </c>
      <c r="F2313" s="3" t="inlineStr">
        <is>
          <t>12</t>
        </is>
      </c>
      <c r="G2313" s="3" t="inlineStr">
        <is>
          <t>BENELLI</t>
        </is>
      </c>
      <c r="H2313" s="65" t="inlineStr">
        <is>
          <t>M2PRO BLACK 30"</t>
        </is>
      </c>
      <c r="I2313" s="65" t="inlineStr">
        <is>
          <t>M0194731K</t>
        </is>
      </c>
      <c r="J2313" s="65" t="inlineStr">
        <is>
          <t>C1679260H</t>
        </is>
      </c>
      <c r="K2313" s="65" t="inlineStr">
        <is>
          <t>N/D</t>
        </is>
      </c>
      <c r="L2313" s="127" t="inlineStr">
        <is>
          <t>BENELLI ARMI SPA</t>
        </is>
      </c>
      <c r="M2313" s="5" t="n">
        <v>880</v>
      </c>
      <c r="N2313" s="5" t="n"/>
      <c r="O2313" s="5">
        <f>+M2313+N2313</f>
        <v/>
      </c>
      <c r="P2313" s="4" t="n">
        <v>45863</v>
      </c>
      <c r="Q2313" s="87" t="n">
        <v>45856</v>
      </c>
      <c r="R2313" s="5" t="n">
        <v>1012</v>
      </c>
      <c r="S2313" s="2" t="n">
        <v>1</v>
      </c>
      <c r="T2313" s="3" t="inlineStr">
        <is>
          <t>6B/2025/2S</t>
        </is>
      </c>
      <c r="U2313" s="87" t="n">
        <v>45873</v>
      </c>
      <c r="V2313" s="3" t="inlineStr">
        <is>
          <t>23</t>
        </is>
      </c>
      <c r="W2313" s="87" t="n">
        <v>45873</v>
      </c>
      <c r="X2313" s="4" t="inlineStr">
        <is>
          <t xml:space="preserve">Bin Humaid National Trading Co </t>
        </is>
      </c>
    </row>
    <row r="2314" ht="24" customHeight="1">
      <c r="A2314" s="2">
        <f>+D2314-S2314</f>
        <v/>
      </c>
      <c r="B2314" s="80" t="n">
        <v>3932</v>
      </c>
      <c r="C2314" s="66" t="n">
        <v>45863</v>
      </c>
      <c r="D2314" s="2" t="n">
        <v>1</v>
      </c>
      <c r="E2314" s="3" t="inlineStr">
        <is>
          <t>FUCILE SEMIAUTOMATICO</t>
        </is>
      </c>
      <c r="F2314" s="3" t="inlineStr">
        <is>
          <t>12</t>
        </is>
      </c>
      <c r="G2314" s="3" t="inlineStr">
        <is>
          <t>BENELLI</t>
        </is>
      </c>
      <c r="H2314" s="65" t="inlineStr">
        <is>
          <t>M2PRO BLACK 30"</t>
        </is>
      </c>
      <c r="I2314" s="65" t="inlineStr">
        <is>
          <t>M0194736Q</t>
        </is>
      </c>
      <c r="J2314" s="65" t="inlineStr">
        <is>
          <t>C1679275Q</t>
        </is>
      </c>
      <c r="K2314" s="65" t="inlineStr">
        <is>
          <t>N/D</t>
        </is>
      </c>
      <c r="L2314" s="127" t="inlineStr">
        <is>
          <t>BENELLI ARMI SPA</t>
        </is>
      </c>
      <c r="M2314" s="5" t="n">
        <v>880</v>
      </c>
      <c r="N2314" s="5" t="n"/>
      <c r="O2314" s="5">
        <f>+M2314+N2314</f>
        <v/>
      </c>
      <c r="P2314" s="4" t="n">
        <v>45863</v>
      </c>
      <c r="Q2314" s="87" t="n">
        <v>45856</v>
      </c>
      <c r="R2314" s="5" t="n">
        <v>1012</v>
      </c>
      <c r="S2314" s="2" t="n">
        <v>1</v>
      </c>
      <c r="T2314" s="3" t="inlineStr">
        <is>
          <t>6B/2025/2S</t>
        </is>
      </c>
      <c r="U2314" s="87" t="n">
        <v>45873</v>
      </c>
      <c r="V2314" s="3" t="inlineStr">
        <is>
          <t>23</t>
        </is>
      </c>
      <c r="W2314" s="87" t="n">
        <v>45873</v>
      </c>
      <c r="X2314" s="4" t="inlineStr">
        <is>
          <t xml:space="preserve">Bin Humaid National Trading Co </t>
        </is>
      </c>
    </row>
    <row r="2315" ht="24" customHeight="1">
      <c r="A2315" s="2">
        <f>+D2315-S2315</f>
        <v/>
      </c>
      <c r="B2315" s="80" t="n">
        <v>3933</v>
      </c>
      <c r="C2315" s="66" t="n">
        <v>45863</v>
      </c>
      <c r="D2315" s="2" t="n">
        <v>1</v>
      </c>
      <c r="E2315" s="3" t="inlineStr">
        <is>
          <t>FUCILE SEMIAUTOMATICO</t>
        </is>
      </c>
      <c r="F2315" s="3" t="inlineStr">
        <is>
          <t>12</t>
        </is>
      </c>
      <c r="G2315" s="3" t="inlineStr">
        <is>
          <t>BENELLI</t>
        </is>
      </c>
      <c r="H2315" s="65" t="inlineStr">
        <is>
          <t>M2PRO BLACK 30"</t>
        </is>
      </c>
      <c r="I2315" s="65" t="inlineStr">
        <is>
          <t>M0194735P</t>
        </is>
      </c>
      <c r="J2315" s="65" t="inlineStr">
        <is>
          <t>C1679272M</t>
        </is>
      </c>
      <c r="K2315" s="65" t="inlineStr">
        <is>
          <t>N/D</t>
        </is>
      </c>
      <c r="L2315" s="127" t="inlineStr">
        <is>
          <t>BENELLI ARMI SPA</t>
        </is>
      </c>
      <c r="M2315" s="5" t="n">
        <v>880</v>
      </c>
      <c r="N2315" s="5" t="n"/>
      <c r="O2315" s="5">
        <f>+M2315+N2315</f>
        <v/>
      </c>
      <c r="P2315" s="4" t="n">
        <v>45863</v>
      </c>
      <c r="Q2315" s="87" t="n">
        <v>45856</v>
      </c>
      <c r="R2315" s="5" t="n">
        <v>1012</v>
      </c>
      <c r="S2315" s="2" t="n">
        <v>1</v>
      </c>
      <c r="T2315" s="3" t="inlineStr">
        <is>
          <t>6B/2025/2S</t>
        </is>
      </c>
      <c r="U2315" s="87" t="n">
        <v>45873</v>
      </c>
      <c r="V2315" s="3" t="inlineStr">
        <is>
          <t>23</t>
        </is>
      </c>
      <c r="W2315" s="87" t="n">
        <v>45873</v>
      </c>
      <c r="X2315" s="4" t="inlineStr">
        <is>
          <t xml:space="preserve">Bin Humaid National Trading Co </t>
        </is>
      </c>
    </row>
    <row r="2316" ht="24" customHeight="1">
      <c r="A2316" s="2">
        <f>+D2316-S2316</f>
        <v/>
      </c>
      <c r="B2316" s="80" t="n">
        <v>3934</v>
      </c>
      <c r="C2316" s="66" t="n">
        <v>45863</v>
      </c>
      <c r="D2316" s="2" t="n">
        <v>1</v>
      </c>
      <c r="E2316" s="3" t="inlineStr">
        <is>
          <t>FUCILE SEMIAUTOMATICO</t>
        </is>
      </c>
      <c r="F2316" s="3" t="inlineStr">
        <is>
          <t>12</t>
        </is>
      </c>
      <c r="G2316" s="3" t="inlineStr">
        <is>
          <t>BENELLI</t>
        </is>
      </c>
      <c r="H2316" s="65" t="inlineStr">
        <is>
          <t>M2PRO BLACK 30"</t>
        </is>
      </c>
      <c r="I2316" s="65" t="inlineStr">
        <is>
          <t>M0194734N</t>
        </is>
      </c>
      <c r="J2316" s="65" t="inlineStr">
        <is>
          <t>C1679268R</t>
        </is>
      </c>
      <c r="K2316" s="65" t="inlineStr">
        <is>
          <t>N/D</t>
        </is>
      </c>
      <c r="L2316" s="127" t="inlineStr">
        <is>
          <t>BENELLI ARMI SPA</t>
        </is>
      </c>
      <c r="M2316" s="5" t="n">
        <v>880</v>
      </c>
      <c r="N2316" s="5" t="n"/>
      <c r="O2316" s="5">
        <f>+M2316+N2316</f>
        <v/>
      </c>
      <c r="P2316" s="4" t="n">
        <v>45863</v>
      </c>
      <c r="Q2316" s="87" t="n">
        <v>45856</v>
      </c>
      <c r="R2316" s="5" t="n">
        <v>1012</v>
      </c>
      <c r="S2316" s="2" t="n">
        <v>1</v>
      </c>
      <c r="T2316" s="3" t="inlineStr">
        <is>
          <t>6B/2025/2S</t>
        </is>
      </c>
      <c r="U2316" s="87" t="n">
        <v>45873</v>
      </c>
      <c r="V2316" s="3" t="inlineStr">
        <is>
          <t>23</t>
        </is>
      </c>
      <c r="W2316" s="87" t="n">
        <v>45873</v>
      </c>
      <c r="X2316" s="4" t="inlineStr">
        <is>
          <t xml:space="preserve">Bin Humaid National Trading Co </t>
        </is>
      </c>
    </row>
    <row r="2317" ht="24" customHeight="1">
      <c r="A2317" s="2">
        <f>+D2317-S2317</f>
        <v/>
      </c>
      <c r="B2317" s="80" t="n">
        <v>3935</v>
      </c>
      <c r="C2317" s="66" t="n">
        <v>45863</v>
      </c>
      <c r="D2317" s="2" t="n">
        <v>1</v>
      </c>
      <c r="E2317" s="3" t="inlineStr">
        <is>
          <t>FUCILE SEMIAUTOMATICO</t>
        </is>
      </c>
      <c r="F2317" s="3" t="inlineStr">
        <is>
          <t>12</t>
        </is>
      </c>
      <c r="G2317" s="3" t="inlineStr">
        <is>
          <t>BENELLI</t>
        </is>
      </c>
      <c r="H2317" s="65" t="inlineStr">
        <is>
          <t>M2PRO BLACK 30"</t>
        </is>
      </c>
      <c r="I2317" s="65" t="inlineStr">
        <is>
          <t>M0194733M</t>
        </is>
      </c>
      <c r="J2317" s="65" t="inlineStr">
        <is>
          <t>C1679273N</t>
        </is>
      </c>
      <c r="K2317" s="65" t="inlineStr">
        <is>
          <t>N/D</t>
        </is>
      </c>
      <c r="L2317" s="127" t="inlineStr">
        <is>
          <t>BENELLI ARMI SPA</t>
        </is>
      </c>
      <c r="M2317" s="5" t="n">
        <v>880</v>
      </c>
      <c r="N2317" s="5" t="n"/>
      <c r="O2317" s="5">
        <f>+M2317+N2317</f>
        <v/>
      </c>
      <c r="P2317" s="4" t="n">
        <v>45863</v>
      </c>
      <c r="Q2317" s="87" t="n">
        <v>45856</v>
      </c>
      <c r="R2317" s="5" t="n">
        <v>1012</v>
      </c>
      <c r="S2317" s="2" t="n">
        <v>1</v>
      </c>
      <c r="T2317" s="3" t="inlineStr">
        <is>
          <t>6B/2025/2S</t>
        </is>
      </c>
      <c r="U2317" s="87" t="n">
        <v>45873</v>
      </c>
      <c r="V2317" s="3" t="inlineStr">
        <is>
          <t>23</t>
        </is>
      </c>
      <c r="W2317" s="87" t="n">
        <v>45873</v>
      </c>
      <c r="X2317" s="4" t="inlineStr">
        <is>
          <t xml:space="preserve">Bin Humaid National Trading Co </t>
        </is>
      </c>
    </row>
    <row r="2318" ht="24" customHeight="1">
      <c r="A2318" s="2">
        <f>+D2318-S2318</f>
        <v/>
      </c>
      <c r="B2318" s="80" t="n">
        <v>3936</v>
      </c>
      <c r="C2318" s="66" t="n">
        <v>45863</v>
      </c>
      <c r="D2318" s="2" t="n">
        <v>1</v>
      </c>
      <c r="E2318" s="3" t="inlineStr">
        <is>
          <t>FUCILE SEMIAUTOMATICO</t>
        </is>
      </c>
      <c r="F2318" s="3" t="inlineStr">
        <is>
          <t>12</t>
        </is>
      </c>
      <c r="G2318" s="3" t="inlineStr">
        <is>
          <t>BENELLI</t>
        </is>
      </c>
      <c r="H2318" s="65" t="inlineStr">
        <is>
          <t>M2PRO BLACK 30"</t>
        </is>
      </c>
      <c r="I2318" s="65" t="inlineStr">
        <is>
          <t>M0194737R</t>
        </is>
      </c>
      <c r="J2318" s="65" t="inlineStr">
        <is>
          <t>C1679276R</t>
        </is>
      </c>
      <c r="K2318" s="65" t="inlineStr">
        <is>
          <t>N/D</t>
        </is>
      </c>
      <c r="L2318" s="127" t="inlineStr">
        <is>
          <t>BENELLI ARMI SPA</t>
        </is>
      </c>
      <c r="M2318" s="5" t="n">
        <v>880</v>
      </c>
      <c r="N2318" s="5" t="n"/>
      <c r="O2318" s="5">
        <f>+M2318+N2318</f>
        <v/>
      </c>
      <c r="P2318" s="4" t="n">
        <v>45863</v>
      </c>
      <c r="Q2318" s="87" t="n">
        <v>45856</v>
      </c>
      <c r="R2318" s="5" t="n">
        <v>1012</v>
      </c>
      <c r="S2318" s="2" t="n">
        <v>1</v>
      </c>
      <c r="T2318" s="3" t="inlineStr">
        <is>
          <t>6B/2025/2S</t>
        </is>
      </c>
      <c r="U2318" s="87" t="n">
        <v>45873</v>
      </c>
      <c r="V2318" s="3" t="inlineStr">
        <is>
          <t>23</t>
        </is>
      </c>
      <c r="W2318" s="87" t="n">
        <v>45873</v>
      </c>
      <c r="X2318" s="4" t="inlineStr">
        <is>
          <t xml:space="preserve">Bin Humaid National Trading Co </t>
        </is>
      </c>
    </row>
    <row r="2319" ht="24" customHeight="1">
      <c r="A2319" s="2">
        <f>+D2319-S2319</f>
        <v/>
      </c>
      <c r="B2319" s="80" t="n">
        <v>3937</v>
      </c>
      <c r="C2319" s="66" t="n">
        <v>45863</v>
      </c>
      <c r="D2319" s="2" t="n">
        <v>1</v>
      </c>
      <c r="E2319" s="3" t="inlineStr">
        <is>
          <t>FUCILE SEMIAUTOMATICO</t>
        </is>
      </c>
      <c r="F2319" s="3" t="inlineStr">
        <is>
          <t>12</t>
        </is>
      </c>
      <c r="G2319" s="3" t="inlineStr">
        <is>
          <t>BENELLI</t>
        </is>
      </c>
      <c r="H2319" s="65" t="inlineStr">
        <is>
          <t>M2PRO BLACK 30"</t>
        </is>
      </c>
      <c r="I2319" s="65" t="inlineStr">
        <is>
          <t>M0194732L</t>
        </is>
      </c>
      <c r="J2319" s="65" t="inlineStr">
        <is>
          <t>C1679269S</t>
        </is>
      </c>
      <c r="K2319" s="65" t="inlineStr">
        <is>
          <t>N/D</t>
        </is>
      </c>
      <c r="L2319" s="127" t="inlineStr">
        <is>
          <t>BENELLI ARMI SPA</t>
        </is>
      </c>
      <c r="M2319" s="5" t="n">
        <v>880</v>
      </c>
      <c r="N2319" s="5" t="n"/>
      <c r="O2319" s="5">
        <f>+M2319+N2319</f>
        <v/>
      </c>
      <c r="P2319" s="4" t="n">
        <v>45863</v>
      </c>
      <c r="Q2319" s="87" t="n">
        <v>45856</v>
      </c>
      <c r="R2319" s="5" t="n">
        <v>1012</v>
      </c>
      <c r="S2319" s="2" t="n">
        <v>1</v>
      </c>
      <c r="T2319" s="3" t="inlineStr">
        <is>
          <t>6B/2025/2S</t>
        </is>
      </c>
      <c r="U2319" s="87" t="n">
        <v>45873</v>
      </c>
      <c r="V2319" s="3" t="inlineStr">
        <is>
          <t>23</t>
        </is>
      </c>
      <c r="W2319" s="87" t="n">
        <v>45873</v>
      </c>
      <c r="X2319" s="4" t="inlineStr">
        <is>
          <t xml:space="preserve">Bin Humaid National Trading Co </t>
        </is>
      </c>
    </row>
    <row r="2320" ht="24" customHeight="1">
      <c r="A2320" s="2">
        <f>+D2320-S2320</f>
        <v/>
      </c>
      <c r="B2320" s="80" t="n">
        <v>3938</v>
      </c>
      <c r="C2320" s="66" t="n">
        <v>45863</v>
      </c>
      <c r="D2320" s="2" t="n">
        <v>1</v>
      </c>
      <c r="E2320" s="3" t="inlineStr">
        <is>
          <t>FUCILE SEMIAUTOMATICO</t>
        </is>
      </c>
      <c r="F2320" s="3" t="inlineStr">
        <is>
          <t>12</t>
        </is>
      </c>
      <c r="G2320" s="3" t="inlineStr">
        <is>
          <t>BENELLI</t>
        </is>
      </c>
      <c r="H2320" s="65" t="inlineStr">
        <is>
          <t>M2PRO BLACK 30"</t>
        </is>
      </c>
      <c r="I2320" s="65" t="inlineStr">
        <is>
          <t>M0194738S</t>
        </is>
      </c>
      <c r="J2320" s="65" t="inlineStr">
        <is>
          <t>C1679271L</t>
        </is>
      </c>
      <c r="K2320" s="65" t="inlineStr">
        <is>
          <t>N/D</t>
        </is>
      </c>
      <c r="L2320" s="127" t="inlineStr">
        <is>
          <t>BENELLI ARMI SPA</t>
        </is>
      </c>
      <c r="M2320" s="5" t="n">
        <v>880</v>
      </c>
      <c r="N2320" s="5" t="n"/>
      <c r="O2320" s="5">
        <f>+M2320+N2320</f>
        <v/>
      </c>
      <c r="P2320" s="4" t="n">
        <v>45863</v>
      </c>
      <c r="Q2320" s="87" t="n">
        <v>45856</v>
      </c>
      <c r="R2320" s="5" t="n">
        <v>1012</v>
      </c>
      <c r="S2320" s="2" t="n">
        <v>1</v>
      </c>
      <c r="T2320" s="3" t="inlineStr">
        <is>
          <t>6B/2025/2S</t>
        </is>
      </c>
      <c r="U2320" s="87" t="n">
        <v>45873</v>
      </c>
      <c r="V2320" s="3" t="inlineStr">
        <is>
          <t>23</t>
        </is>
      </c>
      <c r="W2320" s="87" t="n">
        <v>45873</v>
      </c>
      <c r="X2320" s="4" t="inlineStr">
        <is>
          <t xml:space="preserve">Bin Humaid National Trading Co </t>
        </is>
      </c>
    </row>
    <row r="2321" ht="24" customHeight="1">
      <c r="A2321" s="2">
        <f>+D2321-S2321</f>
        <v/>
      </c>
      <c r="B2321" s="80" t="n">
        <v>3939</v>
      </c>
      <c r="C2321" s="66" t="n">
        <v>45863</v>
      </c>
      <c r="D2321" s="2" t="n">
        <v>1</v>
      </c>
      <c r="E2321" s="3" t="inlineStr">
        <is>
          <t>FUCILE SEMIAUTOMATICO</t>
        </is>
      </c>
      <c r="F2321" s="3" t="inlineStr">
        <is>
          <t>12</t>
        </is>
      </c>
      <c r="G2321" s="3" t="inlineStr">
        <is>
          <t>BENELLI</t>
        </is>
      </c>
      <c r="H2321" s="65" t="inlineStr">
        <is>
          <t>M2PRO BLACK 30"</t>
        </is>
      </c>
      <c r="I2321" s="65" t="inlineStr">
        <is>
          <t>M0194739T</t>
        </is>
      </c>
      <c r="J2321" s="65" t="inlineStr">
        <is>
          <t>C1679267Q</t>
        </is>
      </c>
      <c r="K2321" s="65" t="inlineStr">
        <is>
          <t>N/D</t>
        </is>
      </c>
      <c r="L2321" s="127" t="inlineStr">
        <is>
          <t>BENELLI ARMI SPA</t>
        </is>
      </c>
      <c r="M2321" s="5" t="n">
        <v>880</v>
      </c>
      <c r="N2321" s="5" t="n"/>
      <c r="O2321" s="5">
        <f>+M2321+N2321</f>
        <v/>
      </c>
      <c r="P2321" s="4" t="n">
        <v>45863</v>
      </c>
      <c r="Q2321" s="87" t="n">
        <v>45856</v>
      </c>
      <c r="R2321" s="5" t="n">
        <v>1012</v>
      </c>
      <c r="S2321" s="2" t="n">
        <v>1</v>
      </c>
      <c r="T2321" s="3" t="inlineStr">
        <is>
          <t>6B/2025/2S</t>
        </is>
      </c>
      <c r="U2321" s="87" t="n">
        <v>45873</v>
      </c>
      <c r="V2321" s="3" t="inlineStr">
        <is>
          <t>23</t>
        </is>
      </c>
      <c r="W2321" s="87" t="n">
        <v>45873</v>
      </c>
      <c r="X2321" s="4" t="inlineStr">
        <is>
          <t xml:space="preserve">Bin Humaid National Trading Co </t>
        </is>
      </c>
    </row>
    <row r="2322" ht="24" customHeight="1">
      <c r="A2322" s="2">
        <f>+D2322-S2322</f>
        <v/>
      </c>
      <c r="B2322" s="80" t="n">
        <v>3940</v>
      </c>
      <c r="C2322" s="66" t="n">
        <v>45863</v>
      </c>
      <c r="D2322" s="2" t="n">
        <v>1</v>
      </c>
      <c r="E2322" s="3" t="inlineStr">
        <is>
          <t>FUCILE SEMIAUTOMATICO</t>
        </is>
      </c>
      <c r="F2322" s="3" t="inlineStr">
        <is>
          <t>12</t>
        </is>
      </c>
      <c r="G2322" s="3" t="inlineStr">
        <is>
          <t>BENELLI</t>
        </is>
      </c>
      <c r="H2322" s="65" t="inlineStr">
        <is>
          <t>M2PRO BLACK 30"</t>
        </is>
      </c>
      <c r="I2322" s="65" t="inlineStr">
        <is>
          <t>M0194740L</t>
        </is>
      </c>
      <c r="J2322" s="65" t="inlineStr">
        <is>
          <t>C1679266P</t>
        </is>
      </c>
      <c r="K2322" s="65" t="inlineStr">
        <is>
          <t>N/D</t>
        </is>
      </c>
      <c r="L2322" s="127" t="inlineStr">
        <is>
          <t>BENELLI ARMI SPA</t>
        </is>
      </c>
      <c r="M2322" s="5" t="n">
        <v>880</v>
      </c>
      <c r="N2322" s="5" t="n"/>
      <c r="O2322" s="5">
        <f>+M2322+N2322</f>
        <v/>
      </c>
      <c r="P2322" s="4" t="n">
        <v>45863</v>
      </c>
      <c r="Q2322" s="87" t="n">
        <v>45856</v>
      </c>
      <c r="R2322" s="5" t="n">
        <v>1012</v>
      </c>
      <c r="S2322" s="2" t="n">
        <v>1</v>
      </c>
      <c r="T2322" s="3" t="inlineStr">
        <is>
          <t>6B/2025/2S</t>
        </is>
      </c>
      <c r="U2322" s="87" t="n">
        <v>45873</v>
      </c>
      <c r="V2322" s="3" t="inlineStr">
        <is>
          <t>23</t>
        </is>
      </c>
      <c r="W2322" s="87" t="n">
        <v>45873</v>
      </c>
      <c r="X2322" s="4" t="inlineStr">
        <is>
          <t xml:space="preserve">Bin Humaid National Trading Co </t>
        </is>
      </c>
    </row>
    <row r="2323" ht="24" customHeight="1">
      <c r="A2323" s="2">
        <f>+D2323-S2323</f>
        <v/>
      </c>
      <c r="B2323" s="80" t="n">
        <v>3941</v>
      </c>
      <c r="C2323" s="66" t="n">
        <v>45863</v>
      </c>
      <c r="D2323" s="2" t="n">
        <v>1</v>
      </c>
      <c r="E2323" s="3" t="inlineStr">
        <is>
          <t>FUCILE SEMIAUTOMATICO</t>
        </is>
      </c>
      <c r="F2323" s="3" t="inlineStr">
        <is>
          <t>12</t>
        </is>
      </c>
      <c r="G2323" s="3" t="inlineStr">
        <is>
          <t>BENELLI</t>
        </is>
      </c>
      <c r="H2323" s="65" t="inlineStr">
        <is>
          <t>M2PRO BLACK 30"</t>
        </is>
      </c>
      <c r="I2323" s="65" t="inlineStr">
        <is>
          <t>M0200887N</t>
        </is>
      </c>
      <c r="J2323" s="65" t="inlineStr">
        <is>
          <t>C1689845Q</t>
        </is>
      </c>
      <c r="K2323" s="65" t="inlineStr">
        <is>
          <t>N/D</t>
        </is>
      </c>
      <c r="L2323" s="127" t="inlineStr">
        <is>
          <t>BENELLI ARMI SPA</t>
        </is>
      </c>
      <c r="M2323" s="5" t="n">
        <v>880</v>
      </c>
      <c r="N2323" s="5" t="n"/>
      <c r="O2323" s="5">
        <f>+M2323+N2323</f>
        <v/>
      </c>
      <c r="P2323" s="4" t="n">
        <v>45863</v>
      </c>
      <c r="Q2323" s="87" t="n">
        <v>45856</v>
      </c>
      <c r="R2323" s="5" t="n">
        <v>1012</v>
      </c>
      <c r="S2323" s="2" t="n">
        <v>1</v>
      </c>
      <c r="T2323" s="3" t="inlineStr">
        <is>
          <t>6B/2025/2S</t>
        </is>
      </c>
      <c r="U2323" s="87" t="n">
        <v>45873</v>
      </c>
      <c r="V2323" s="3" t="inlineStr">
        <is>
          <t>23</t>
        </is>
      </c>
      <c r="W2323" s="87" t="n">
        <v>45873</v>
      </c>
      <c r="X2323" s="4" t="inlineStr">
        <is>
          <t xml:space="preserve">Bin Humaid National Trading Co </t>
        </is>
      </c>
    </row>
    <row r="2324" ht="24" customHeight="1">
      <c r="A2324" s="2">
        <f>+D2324-S2324</f>
        <v/>
      </c>
      <c r="B2324" s="80" t="n">
        <v>3942</v>
      </c>
      <c r="C2324" s="66" t="n">
        <v>45863</v>
      </c>
      <c r="D2324" s="2" t="n">
        <v>1</v>
      </c>
      <c r="E2324" s="3" t="inlineStr">
        <is>
          <t>FUCILE SEMIAUTOMATICO</t>
        </is>
      </c>
      <c r="F2324" s="3" t="inlineStr">
        <is>
          <t>12</t>
        </is>
      </c>
      <c r="G2324" s="3" t="inlineStr">
        <is>
          <t>BENELLI</t>
        </is>
      </c>
      <c r="H2324" s="65" t="inlineStr">
        <is>
          <t>M2PRO BLACK 30"</t>
        </is>
      </c>
      <c r="I2324" s="65" t="inlineStr">
        <is>
          <t>M0200888P</t>
        </is>
      </c>
      <c r="J2324" s="65" t="inlineStr">
        <is>
          <t>C1689841L</t>
        </is>
      </c>
      <c r="K2324" s="65" t="inlineStr">
        <is>
          <t>N/D</t>
        </is>
      </c>
      <c r="L2324" s="127" t="inlineStr">
        <is>
          <t>BENELLI ARMI SPA</t>
        </is>
      </c>
      <c r="M2324" s="5" t="n">
        <v>880</v>
      </c>
      <c r="N2324" s="5" t="n"/>
      <c r="O2324" s="5">
        <f>+M2324+N2324</f>
        <v/>
      </c>
      <c r="P2324" s="4" t="n">
        <v>45863</v>
      </c>
      <c r="Q2324" s="87" t="n">
        <v>45856</v>
      </c>
      <c r="R2324" s="5" t="n">
        <v>1012</v>
      </c>
      <c r="S2324" s="2" t="n">
        <v>1</v>
      </c>
      <c r="T2324" s="3" t="inlineStr">
        <is>
          <t>6B/2025/2S</t>
        </is>
      </c>
      <c r="U2324" s="87" t="n">
        <v>45873</v>
      </c>
      <c r="V2324" s="3" t="inlineStr">
        <is>
          <t>23</t>
        </is>
      </c>
      <c r="W2324" s="87" t="n">
        <v>45873</v>
      </c>
      <c r="X2324" s="4" t="inlineStr">
        <is>
          <t xml:space="preserve">Bin Humaid National Trading Co </t>
        </is>
      </c>
    </row>
    <row r="2325" ht="24" customHeight="1">
      <c r="A2325" s="2">
        <f>+D2325-S2325</f>
        <v/>
      </c>
      <c r="B2325" s="80" t="n">
        <v>3943</v>
      </c>
      <c r="C2325" s="66" t="n">
        <v>45863</v>
      </c>
      <c r="D2325" s="2" t="n">
        <v>1</v>
      </c>
      <c r="E2325" s="3" t="inlineStr">
        <is>
          <t>FUCILE SEMIAUTOMATICO</t>
        </is>
      </c>
      <c r="F2325" s="3" t="inlineStr">
        <is>
          <t>12</t>
        </is>
      </c>
      <c r="G2325" s="3" t="inlineStr">
        <is>
          <t>BENELLI</t>
        </is>
      </c>
      <c r="H2325" s="65" t="inlineStr">
        <is>
          <t>M2PRO BLACK 30"</t>
        </is>
      </c>
      <c r="I2325" s="65" t="inlineStr">
        <is>
          <t>M0200885L</t>
        </is>
      </c>
      <c r="J2325" s="65" t="inlineStr">
        <is>
          <t>C1689843N</t>
        </is>
      </c>
      <c r="K2325" s="65" t="inlineStr">
        <is>
          <t>N/D</t>
        </is>
      </c>
      <c r="L2325" s="127" t="inlineStr">
        <is>
          <t>BENELLI ARMI SPA</t>
        </is>
      </c>
      <c r="M2325" s="5" t="n">
        <v>880</v>
      </c>
      <c r="N2325" s="5" t="n"/>
      <c r="O2325" s="5">
        <f>+M2325+N2325</f>
        <v/>
      </c>
      <c r="P2325" s="4" t="n">
        <v>45863</v>
      </c>
      <c r="Q2325" s="87" t="n">
        <v>45856</v>
      </c>
      <c r="R2325" s="5" t="n">
        <v>1012</v>
      </c>
      <c r="S2325" s="2" t="n">
        <v>1</v>
      </c>
      <c r="T2325" s="3" t="inlineStr">
        <is>
          <t>6B/2025/2S</t>
        </is>
      </c>
      <c r="U2325" s="87" t="n">
        <v>45873</v>
      </c>
      <c r="V2325" s="3" t="inlineStr">
        <is>
          <t>23</t>
        </is>
      </c>
      <c r="W2325" s="87" t="n">
        <v>45873</v>
      </c>
      <c r="X2325" s="4" t="inlineStr">
        <is>
          <t xml:space="preserve">Bin Humaid National Trading Co </t>
        </is>
      </c>
    </row>
    <row r="2326" ht="24" customHeight="1">
      <c r="A2326" s="2">
        <f>+D2326-S2326</f>
        <v/>
      </c>
      <c r="B2326" s="80" t="n">
        <v>3944</v>
      </c>
      <c r="C2326" s="66" t="n">
        <v>45863</v>
      </c>
      <c r="D2326" s="2" t="n">
        <v>1</v>
      </c>
      <c r="E2326" s="3" t="inlineStr">
        <is>
          <t>FUCILE SEMIAUTOMATICO</t>
        </is>
      </c>
      <c r="F2326" s="3" t="inlineStr">
        <is>
          <t>12</t>
        </is>
      </c>
      <c r="G2326" s="3" t="inlineStr">
        <is>
          <t>BENELLI</t>
        </is>
      </c>
      <c r="H2326" s="65" t="inlineStr">
        <is>
          <t>M2PRO BLACK 30"</t>
        </is>
      </c>
      <c r="I2326" s="65" t="inlineStr">
        <is>
          <t>M0200884K</t>
        </is>
      </c>
      <c r="J2326" s="65" t="inlineStr">
        <is>
          <t>C1689839S</t>
        </is>
      </c>
      <c r="K2326" s="65" t="inlineStr">
        <is>
          <t>N/D</t>
        </is>
      </c>
      <c r="L2326" s="127" t="inlineStr">
        <is>
          <t>BENELLI ARMI SPA</t>
        </is>
      </c>
      <c r="M2326" s="5" t="n">
        <v>880</v>
      </c>
      <c r="N2326" s="5" t="n"/>
      <c r="O2326" s="5">
        <f>+M2326+N2326</f>
        <v/>
      </c>
      <c r="P2326" s="4" t="n">
        <v>45863</v>
      </c>
      <c r="Q2326" s="87" t="n">
        <v>45856</v>
      </c>
      <c r="R2326" s="5" t="n">
        <v>1012</v>
      </c>
      <c r="S2326" s="2" t="n">
        <v>1</v>
      </c>
      <c r="T2326" s="3" t="inlineStr">
        <is>
          <t>6B/2025/2S</t>
        </is>
      </c>
      <c r="U2326" s="87" t="n">
        <v>45873</v>
      </c>
      <c r="V2326" s="3" t="inlineStr">
        <is>
          <t>23</t>
        </is>
      </c>
      <c r="W2326" s="87" t="n">
        <v>45873</v>
      </c>
      <c r="X2326" s="4" t="inlineStr">
        <is>
          <t xml:space="preserve">Bin Humaid National Trading Co </t>
        </is>
      </c>
    </row>
    <row r="2327" ht="24" customHeight="1">
      <c r="A2327" s="2">
        <f>+D2327-S2327</f>
        <v/>
      </c>
      <c r="B2327" s="80" t="n">
        <v>3945</v>
      </c>
      <c r="C2327" s="66" t="n">
        <v>45863</v>
      </c>
      <c r="D2327" s="2" t="n">
        <v>1</v>
      </c>
      <c r="E2327" s="3" t="inlineStr">
        <is>
          <t>FUCILE SEMIAUTOMATICO</t>
        </is>
      </c>
      <c r="F2327" s="3" t="inlineStr">
        <is>
          <t>12</t>
        </is>
      </c>
      <c r="G2327" s="3" t="inlineStr">
        <is>
          <t>BENELLI</t>
        </is>
      </c>
      <c r="H2327" s="65" t="inlineStr">
        <is>
          <t>M2PRO BLACK 30"</t>
        </is>
      </c>
      <c r="I2327" s="65" t="inlineStr">
        <is>
          <t>M0200883J</t>
        </is>
      </c>
      <c r="J2327" s="65" t="inlineStr">
        <is>
          <t>C1689844P</t>
        </is>
      </c>
      <c r="K2327" s="65" t="inlineStr">
        <is>
          <t>N/D</t>
        </is>
      </c>
      <c r="L2327" s="127" t="inlineStr">
        <is>
          <t>BENELLI ARMI SPA</t>
        </is>
      </c>
      <c r="M2327" s="5" t="n">
        <v>880</v>
      </c>
      <c r="N2327" s="5" t="n"/>
      <c r="O2327" s="5">
        <f>+M2327+N2327</f>
        <v/>
      </c>
      <c r="P2327" s="4" t="n">
        <v>45863</v>
      </c>
      <c r="Q2327" s="87" t="n">
        <v>45856</v>
      </c>
      <c r="R2327" s="5" t="n">
        <v>1012</v>
      </c>
      <c r="S2327" s="2" t="n">
        <v>1</v>
      </c>
      <c r="T2327" s="3" t="inlineStr">
        <is>
          <t>6B/2025/2S</t>
        </is>
      </c>
      <c r="U2327" s="87" t="n">
        <v>45873</v>
      </c>
      <c r="V2327" s="3" t="inlineStr">
        <is>
          <t>23</t>
        </is>
      </c>
      <c r="W2327" s="87" t="n">
        <v>45873</v>
      </c>
      <c r="X2327" s="4" t="inlineStr">
        <is>
          <t xml:space="preserve">Bin Humaid National Trading Co </t>
        </is>
      </c>
    </row>
    <row r="2328" ht="24" customHeight="1">
      <c r="A2328" s="2">
        <f>+D2328-S2328</f>
        <v/>
      </c>
      <c r="B2328" s="80" t="n">
        <v>3946</v>
      </c>
      <c r="C2328" s="66" t="n">
        <v>45863</v>
      </c>
      <c r="D2328" s="2" t="n">
        <v>1</v>
      </c>
      <c r="E2328" s="3" t="inlineStr">
        <is>
          <t>FUCILE SEMIAUTOMATICO</t>
        </is>
      </c>
      <c r="F2328" s="3" t="inlineStr">
        <is>
          <t>12</t>
        </is>
      </c>
      <c r="G2328" s="3" t="inlineStr">
        <is>
          <t>BENELLI</t>
        </is>
      </c>
      <c r="H2328" s="65" t="inlineStr">
        <is>
          <t>M2PRO BLACK 30"</t>
        </is>
      </c>
      <c r="I2328" s="65" t="inlineStr">
        <is>
          <t>M0200882H</t>
        </is>
      </c>
      <c r="J2328" s="65" t="inlineStr">
        <is>
          <t>C1689837Q</t>
        </is>
      </c>
      <c r="K2328" s="65" t="inlineStr">
        <is>
          <t>N/D</t>
        </is>
      </c>
      <c r="L2328" s="127" t="inlineStr">
        <is>
          <t>BENELLI ARMI SPA</t>
        </is>
      </c>
      <c r="M2328" s="5" t="n">
        <v>880</v>
      </c>
      <c r="N2328" s="5" t="n"/>
      <c r="O2328" s="5">
        <f>+M2328+N2328</f>
        <v/>
      </c>
      <c r="P2328" s="4" t="n">
        <v>45863</v>
      </c>
      <c r="Q2328" s="87" t="n">
        <v>45856</v>
      </c>
      <c r="R2328" s="5" t="n">
        <v>1012</v>
      </c>
      <c r="S2328" s="2" t="n">
        <v>1</v>
      </c>
      <c r="T2328" s="3" t="inlineStr">
        <is>
          <t>6B/2025/2S</t>
        </is>
      </c>
      <c r="U2328" s="87" t="n">
        <v>45873</v>
      </c>
      <c r="V2328" s="3" t="inlineStr">
        <is>
          <t>23</t>
        </is>
      </c>
      <c r="W2328" s="87" t="n">
        <v>45873</v>
      </c>
      <c r="X2328" s="4" t="inlineStr">
        <is>
          <t xml:space="preserve">Bin Humaid National Trading Co </t>
        </is>
      </c>
    </row>
    <row r="2329" ht="24" customHeight="1">
      <c r="A2329" s="2">
        <f>+D2329-S2329</f>
        <v/>
      </c>
      <c r="B2329" s="80" t="n">
        <v>3947</v>
      </c>
      <c r="C2329" s="66" t="n">
        <v>45863</v>
      </c>
      <c r="D2329" s="2" t="n">
        <v>1</v>
      </c>
      <c r="E2329" s="3" t="inlineStr">
        <is>
          <t>FUCILE SEMIAUTOMATICO</t>
        </is>
      </c>
      <c r="F2329" s="3" t="inlineStr">
        <is>
          <t>12</t>
        </is>
      </c>
      <c r="G2329" s="3" t="inlineStr">
        <is>
          <t>BENELLI</t>
        </is>
      </c>
      <c r="H2329" s="65" t="inlineStr">
        <is>
          <t>M2PRO BLACK 30"</t>
        </is>
      </c>
      <c r="I2329" s="65" t="inlineStr">
        <is>
          <t>M0200881G</t>
        </is>
      </c>
      <c r="J2329" s="65" t="inlineStr">
        <is>
          <t>C1689842M</t>
        </is>
      </c>
      <c r="K2329" s="65" t="inlineStr">
        <is>
          <t>N/D</t>
        </is>
      </c>
      <c r="L2329" s="127" t="inlineStr">
        <is>
          <t>BENELLI ARMI SPA</t>
        </is>
      </c>
      <c r="M2329" s="5" t="n">
        <v>880</v>
      </c>
      <c r="N2329" s="5" t="n"/>
      <c r="O2329" s="5">
        <f>+M2329+N2329</f>
        <v/>
      </c>
      <c r="P2329" s="4" t="n">
        <v>45863</v>
      </c>
      <c r="Q2329" s="87" t="n">
        <v>45856</v>
      </c>
      <c r="R2329" s="5" t="n">
        <v>1012</v>
      </c>
      <c r="S2329" s="2" t="n">
        <v>1</v>
      </c>
      <c r="T2329" s="3" t="inlineStr">
        <is>
          <t>6B/2025/2S</t>
        </is>
      </c>
      <c r="U2329" s="87" t="n">
        <v>45873</v>
      </c>
      <c r="V2329" s="3" t="inlineStr">
        <is>
          <t>23</t>
        </is>
      </c>
      <c r="W2329" s="87" t="n">
        <v>45873</v>
      </c>
      <c r="X2329" s="4" t="inlineStr">
        <is>
          <t xml:space="preserve">Bin Humaid National Trading Co </t>
        </is>
      </c>
    </row>
    <row r="2330" ht="24" customHeight="1">
      <c r="A2330" s="2">
        <f>+D2330-S2330</f>
        <v/>
      </c>
      <c r="B2330" s="80" t="n">
        <v>3948</v>
      </c>
      <c r="C2330" s="66" t="n">
        <v>45863</v>
      </c>
      <c r="D2330" s="2" t="n">
        <v>1</v>
      </c>
      <c r="E2330" s="3" t="inlineStr">
        <is>
          <t>FUCILE SEMIAUTOMATICO</t>
        </is>
      </c>
      <c r="F2330" s="3" t="inlineStr">
        <is>
          <t>12</t>
        </is>
      </c>
      <c r="G2330" s="3" t="inlineStr">
        <is>
          <t>BENELLI</t>
        </is>
      </c>
      <c r="H2330" s="65" t="inlineStr">
        <is>
          <t>M2PRO BLACK 30"</t>
        </is>
      </c>
      <c r="I2330" s="65" t="inlineStr">
        <is>
          <t>M0200880F</t>
        </is>
      </c>
      <c r="J2330" s="65" t="inlineStr">
        <is>
          <t>C1689840K</t>
        </is>
      </c>
      <c r="K2330" s="65" t="inlineStr">
        <is>
          <t>N/D</t>
        </is>
      </c>
      <c r="L2330" s="127" t="inlineStr">
        <is>
          <t>BENELLI ARMI SPA</t>
        </is>
      </c>
      <c r="M2330" s="5" t="n">
        <v>880</v>
      </c>
      <c r="N2330" s="5" t="n"/>
      <c r="O2330" s="5">
        <f>+M2330+N2330</f>
        <v/>
      </c>
      <c r="P2330" s="4" t="n">
        <v>45863</v>
      </c>
      <c r="Q2330" s="87" t="n">
        <v>45856</v>
      </c>
      <c r="R2330" s="5" t="n">
        <v>1012</v>
      </c>
      <c r="S2330" s="2" t="n">
        <v>1</v>
      </c>
      <c r="T2330" s="3" t="inlineStr">
        <is>
          <t>6B/2025/2S</t>
        </is>
      </c>
      <c r="U2330" s="87" t="n">
        <v>45873</v>
      </c>
      <c r="V2330" s="3" t="inlineStr">
        <is>
          <t>23</t>
        </is>
      </c>
      <c r="W2330" s="87" t="n">
        <v>45873</v>
      </c>
      <c r="X2330" s="4" t="inlineStr">
        <is>
          <t xml:space="preserve">Bin Humaid National Trading Co </t>
        </is>
      </c>
    </row>
    <row r="2331" ht="24" customHeight="1">
      <c r="A2331" s="2">
        <f>+D2331-S2331</f>
        <v/>
      </c>
      <c r="B2331" s="80" t="n">
        <v>3949</v>
      </c>
      <c r="C2331" s="66" t="n">
        <v>45863</v>
      </c>
      <c r="D2331" s="2" t="n">
        <v>1</v>
      </c>
      <c r="E2331" s="3" t="inlineStr">
        <is>
          <t>FUCILE SEMIAUTOMATICO</t>
        </is>
      </c>
      <c r="F2331" s="3" t="inlineStr">
        <is>
          <t>12</t>
        </is>
      </c>
      <c r="G2331" s="3" t="inlineStr">
        <is>
          <t>BENELLI</t>
        </is>
      </c>
      <c r="H2331" s="65" t="inlineStr">
        <is>
          <t>M2PRO BLACK 30"</t>
        </is>
      </c>
      <c r="I2331" s="65" t="inlineStr">
        <is>
          <t>M0200879N</t>
        </is>
      </c>
      <c r="J2331" s="65" t="inlineStr">
        <is>
          <t>C1689868Y</t>
        </is>
      </c>
      <c r="K2331" s="65" t="inlineStr">
        <is>
          <t>N/D</t>
        </is>
      </c>
      <c r="L2331" s="127" t="inlineStr">
        <is>
          <t>BENELLI ARMI SPA</t>
        </is>
      </c>
      <c r="M2331" s="5" t="n">
        <v>880</v>
      </c>
      <c r="N2331" s="5" t="n"/>
      <c r="O2331" s="5">
        <f>+M2331+N2331</f>
        <v/>
      </c>
      <c r="P2331" s="4" t="n">
        <v>45863</v>
      </c>
      <c r="Q2331" s="87" t="n">
        <v>45856</v>
      </c>
      <c r="R2331" s="5" t="n">
        <v>1012</v>
      </c>
      <c r="S2331" s="2" t="n">
        <v>1</v>
      </c>
      <c r="T2331" s="3" t="inlineStr">
        <is>
          <t>6B/2025/2S</t>
        </is>
      </c>
      <c r="U2331" s="87" t="n">
        <v>45873</v>
      </c>
      <c r="V2331" s="3" t="inlineStr">
        <is>
          <t>23</t>
        </is>
      </c>
      <c r="W2331" s="87" t="n">
        <v>45873</v>
      </c>
      <c r="X2331" s="4" t="inlineStr">
        <is>
          <t xml:space="preserve">Bin Humaid National Trading Co </t>
        </is>
      </c>
    </row>
    <row r="2332" ht="24" customHeight="1">
      <c r="A2332" s="2">
        <f>+D2332-S2332</f>
        <v/>
      </c>
      <c r="B2332" s="80" t="n">
        <v>3950</v>
      </c>
      <c r="C2332" s="66" t="n">
        <v>45863</v>
      </c>
      <c r="D2332" s="2" t="n">
        <v>1</v>
      </c>
      <c r="E2332" s="3" t="inlineStr">
        <is>
          <t>FUCILE SEMIAUTOMATICO</t>
        </is>
      </c>
      <c r="F2332" s="3" t="inlineStr">
        <is>
          <t>12</t>
        </is>
      </c>
      <c r="G2332" s="3" t="inlineStr">
        <is>
          <t>BENELLI</t>
        </is>
      </c>
      <c r="H2332" s="65" t="inlineStr">
        <is>
          <t>M2PRO BLACK 30"</t>
        </is>
      </c>
      <c r="I2332" s="65" t="inlineStr">
        <is>
          <t>M0200910R</t>
        </is>
      </c>
      <c r="J2332" s="65" t="inlineStr">
        <is>
          <t>C1689836P</t>
        </is>
      </c>
      <c r="K2332" s="65" t="inlineStr">
        <is>
          <t>N/D</t>
        </is>
      </c>
      <c r="L2332" s="127" t="inlineStr">
        <is>
          <t>BENELLI ARMI SPA</t>
        </is>
      </c>
      <c r="M2332" s="5" t="n">
        <v>880</v>
      </c>
      <c r="N2332" s="5" t="n"/>
      <c r="O2332" s="5">
        <f>+M2332+N2332</f>
        <v/>
      </c>
      <c r="P2332" s="4" t="n">
        <v>45863</v>
      </c>
      <c r="Q2332" s="87" t="n">
        <v>45856</v>
      </c>
      <c r="R2332" s="5" t="n">
        <v>1012</v>
      </c>
      <c r="S2332" s="2" t="n">
        <v>1</v>
      </c>
      <c r="T2332" s="3" t="inlineStr">
        <is>
          <t>6B/2025/2S</t>
        </is>
      </c>
      <c r="U2332" s="87" t="n">
        <v>45873</v>
      </c>
      <c r="V2332" s="3" t="inlineStr">
        <is>
          <t>23</t>
        </is>
      </c>
      <c r="W2332" s="87" t="n">
        <v>45873</v>
      </c>
      <c r="X2332" s="4" t="inlineStr">
        <is>
          <t xml:space="preserve">Bin Humaid National Trading Co </t>
        </is>
      </c>
    </row>
    <row r="2333" ht="24" customHeight="1">
      <c r="A2333" s="2">
        <f>+D2333-S2333</f>
        <v/>
      </c>
      <c r="B2333" s="80" t="n">
        <v>3951</v>
      </c>
      <c r="C2333" s="66" t="n">
        <v>45863</v>
      </c>
      <c r="D2333" s="2" t="n">
        <v>1</v>
      </c>
      <c r="E2333" s="3" t="inlineStr">
        <is>
          <t>FUCILE SEMIAUTOMATICO</t>
        </is>
      </c>
      <c r="F2333" s="3" t="inlineStr">
        <is>
          <t>12</t>
        </is>
      </c>
      <c r="G2333" s="3" t="inlineStr">
        <is>
          <t>BENELLI</t>
        </is>
      </c>
      <c r="H2333" s="65" t="inlineStr">
        <is>
          <t>RAFFAELLO LIM ED 2025 30"</t>
        </is>
      </c>
      <c r="I2333" s="65" t="inlineStr">
        <is>
          <t>F451799M</t>
        </is>
      </c>
      <c r="J2333" s="65" t="inlineStr">
        <is>
          <t>C1686525B</t>
        </is>
      </c>
      <c r="K2333" s="65" t="inlineStr">
        <is>
          <t>N/D</t>
        </is>
      </c>
      <c r="L2333" s="127" t="inlineStr">
        <is>
          <t>BENELLI ARMI SPA</t>
        </is>
      </c>
      <c r="M2333" s="5" t="n">
        <v>2112</v>
      </c>
      <c r="N2333" s="5" t="n"/>
      <c r="O2333" s="5">
        <f>+M2333+N2333</f>
        <v/>
      </c>
      <c r="P2333" s="4" t="n">
        <v>45863</v>
      </c>
      <c r="Q2333" s="87" t="n">
        <v>45856</v>
      </c>
      <c r="R2333" s="5" t="n">
        <v>2428</v>
      </c>
      <c r="S2333" s="2" t="n">
        <v>1</v>
      </c>
      <c r="T2333" s="3" t="inlineStr">
        <is>
          <t>6B/2025/2S</t>
        </is>
      </c>
      <c r="U2333" s="87" t="n">
        <v>45873</v>
      </c>
      <c r="V2333" s="3" t="inlineStr">
        <is>
          <t>23</t>
        </is>
      </c>
      <c r="W2333" s="87" t="n">
        <v>45873</v>
      </c>
      <c r="X2333" s="4" t="inlineStr">
        <is>
          <t xml:space="preserve">Bin Humaid National Trading Co </t>
        </is>
      </c>
    </row>
    <row r="2334" ht="24" customHeight="1">
      <c r="A2334" s="2">
        <f>+D2334-S2334</f>
        <v/>
      </c>
      <c r="B2334" s="80" t="n">
        <v>3952</v>
      </c>
      <c r="C2334" s="66" t="n">
        <v>45863</v>
      </c>
      <c r="D2334" s="2" t="n">
        <v>1</v>
      </c>
      <c r="E2334" s="3" t="inlineStr">
        <is>
          <t>FUCILE SEMIAUTOMATICO</t>
        </is>
      </c>
      <c r="F2334" s="3" t="inlineStr">
        <is>
          <t>12</t>
        </is>
      </c>
      <c r="G2334" s="3" t="inlineStr">
        <is>
          <t>BENELLI</t>
        </is>
      </c>
      <c r="H2334" s="65" t="inlineStr">
        <is>
          <t>RAFFAELLO POWERBORE 30"</t>
        </is>
      </c>
      <c r="I2334" s="65" t="inlineStr">
        <is>
          <t>F427661N</t>
        </is>
      </c>
      <c r="J2334" s="65" t="inlineStr">
        <is>
          <t>C1611469V</t>
        </is>
      </c>
      <c r="K2334" s="65" t="inlineStr">
        <is>
          <t>N/D</t>
        </is>
      </c>
      <c r="L2334" s="127" t="inlineStr">
        <is>
          <t>BENELLI ARMI SPA</t>
        </is>
      </c>
      <c r="M2334" s="5" t="n">
        <v>1315</v>
      </c>
      <c r="N2334" s="5" t="n"/>
      <c r="O2334" s="5">
        <f>+M2334+N2334</f>
        <v/>
      </c>
      <c r="P2334" s="4" t="n">
        <v>45863</v>
      </c>
      <c r="Q2334" s="87" t="n">
        <v>45856</v>
      </c>
      <c r="R2334" s="5" t="n">
        <v>1500</v>
      </c>
      <c r="S2334" s="2" t="n">
        <v>1</v>
      </c>
      <c r="T2334" s="3" t="inlineStr">
        <is>
          <t>6B/2025/2S</t>
        </is>
      </c>
      <c r="U2334" s="87" t="n">
        <v>45873</v>
      </c>
      <c r="V2334" s="3" t="inlineStr">
        <is>
          <t>23</t>
        </is>
      </c>
      <c r="W2334" s="87" t="n">
        <v>45873</v>
      </c>
      <c r="X2334" s="4" t="inlineStr">
        <is>
          <t xml:space="preserve">Bin Humaid National Trading Co </t>
        </is>
      </c>
    </row>
    <row r="2335" ht="24" customHeight="1">
      <c r="A2335" s="2">
        <f>+D2335-S2335</f>
        <v/>
      </c>
      <c r="B2335" s="80" t="n">
        <v>3953</v>
      </c>
      <c r="C2335" s="66" t="n">
        <v>45863</v>
      </c>
      <c r="D2335" s="2" t="n">
        <v>1</v>
      </c>
      <c r="E2335" s="3" t="inlineStr">
        <is>
          <t>FUCILE SEMIAUTOMATICO</t>
        </is>
      </c>
      <c r="F2335" s="3" t="inlineStr">
        <is>
          <t>12</t>
        </is>
      </c>
      <c r="G2335" s="3" t="inlineStr">
        <is>
          <t>BENELLI</t>
        </is>
      </c>
      <c r="H2335" s="65" t="inlineStr">
        <is>
          <t>RAFFAELLO POWERBORE 30"</t>
        </is>
      </c>
      <c r="I2335" s="65" t="inlineStr">
        <is>
          <t>F427659E</t>
        </is>
      </c>
      <c r="J2335" s="65" t="inlineStr">
        <is>
          <t>C1611462N</t>
        </is>
      </c>
      <c r="K2335" s="65" t="inlineStr">
        <is>
          <t>N/D</t>
        </is>
      </c>
      <c r="L2335" s="127" t="inlineStr">
        <is>
          <t>BENELLI ARMI SPA</t>
        </is>
      </c>
      <c r="M2335" s="5" t="n">
        <v>1315</v>
      </c>
      <c r="N2335" s="5" t="n"/>
      <c r="O2335" s="5">
        <f>+M2335+N2335</f>
        <v/>
      </c>
      <c r="P2335" s="4" t="n">
        <v>45863</v>
      </c>
      <c r="Q2335" s="87" t="n">
        <v>45856</v>
      </c>
      <c r="R2335" s="5" t="n">
        <v>1500</v>
      </c>
      <c r="S2335" s="2" t="n">
        <v>1</v>
      </c>
      <c r="T2335" s="3" t="inlineStr">
        <is>
          <t>6B/2025/2S</t>
        </is>
      </c>
      <c r="U2335" s="87" t="n">
        <v>45873</v>
      </c>
      <c r="V2335" s="3" t="inlineStr">
        <is>
          <t>23</t>
        </is>
      </c>
      <c r="W2335" s="87" t="n">
        <v>45873</v>
      </c>
      <c r="X2335" s="4" t="inlineStr">
        <is>
          <t xml:space="preserve">Bin Humaid National Trading Co </t>
        </is>
      </c>
    </row>
    <row r="2336" ht="24" customHeight="1">
      <c r="A2336" s="2">
        <f>+D2336-S2336</f>
        <v/>
      </c>
      <c r="B2336" s="80" t="n">
        <v>3954</v>
      </c>
      <c r="C2336" s="66" t="n">
        <v>45863</v>
      </c>
      <c r="D2336" s="2" t="n">
        <v>1</v>
      </c>
      <c r="E2336" s="3" t="inlineStr">
        <is>
          <t>FUCILE SEMIAUTOMATICO</t>
        </is>
      </c>
      <c r="F2336" s="3" t="inlineStr">
        <is>
          <t>12</t>
        </is>
      </c>
      <c r="G2336" s="3" t="inlineStr">
        <is>
          <t>BENELLI</t>
        </is>
      </c>
      <c r="H2336" s="65" t="inlineStr">
        <is>
          <t>RAFFAELLO POWERBORE 30"</t>
        </is>
      </c>
      <c r="I2336" s="65" t="inlineStr">
        <is>
          <t>F427657A</t>
        </is>
      </c>
      <c r="J2336" s="65" t="inlineStr">
        <is>
          <t>C1611468U</t>
        </is>
      </c>
      <c r="K2336" s="65" t="inlineStr">
        <is>
          <t>N/D</t>
        </is>
      </c>
      <c r="L2336" s="127" t="inlineStr">
        <is>
          <t>BENELLI ARMI SPA</t>
        </is>
      </c>
      <c r="M2336" s="5" t="n">
        <v>1315</v>
      </c>
      <c r="N2336" s="5" t="n"/>
      <c r="O2336" s="5">
        <f>+M2336+N2336</f>
        <v/>
      </c>
      <c r="P2336" s="4" t="n">
        <v>45863</v>
      </c>
      <c r="Q2336" s="87" t="n">
        <v>45856</v>
      </c>
      <c r="R2336" s="5" t="n">
        <v>1500</v>
      </c>
      <c r="S2336" s="2" t="n">
        <v>1</v>
      </c>
      <c r="T2336" s="3" t="inlineStr">
        <is>
          <t>6B/2025/2S</t>
        </is>
      </c>
      <c r="U2336" s="87" t="n">
        <v>45873</v>
      </c>
      <c r="V2336" s="3" t="inlineStr">
        <is>
          <t>23</t>
        </is>
      </c>
      <c r="W2336" s="87" t="n">
        <v>45873</v>
      </c>
      <c r="X2336" s="4" t="inlineStr">
        <is>
          <t xml:space="preserve">Bin Humaid National Trading Co </t>
        </is>
      </c>
    </row>
    <row r="2337" ht="24" customHeight="1">
      <c r="A2337" s="2">
        <f>+D2337-S2337</f>
        <v/>
      </c>
      <c r="B2337" s="80" t="n">
        <v>3955</v>
      </c>
      <c r="C2337" s="66" t="n">
        <v>45863</v>
      </c>
      <c r="D2337" s="2" t="n">
        <v>1</v>
      </c>
      <c r="E2337" s="3" t="inlineStr">
        <is>
          <t>FUCILE SEMIAUTOMATICO</t>
        </is>
      </c>
      <c r="F2337" s="3" t="inlineStr">
        <is>
          <t>12</t>
        </is>
      </c>
      <c r="G2337" s="3" t="inlineStr">
        <is>
          <t>BENELLI</t>
        </is>
      </c>
      <c r="H2337" s="65" t="inlineStr">
        <is>
          <t>RAFFAELLO POWERBORE 30"</t>
        </is>
      </c>
      <c r="I2337" s="65" t="inlineStr">
        <is>
          <t>F427660L</t>
        </is>
      </c>
      <c r="J2337" s="65" t="inlineStr">
        <is>
          <t>C1611464Q</t>
        </is>
      </c>
      <c r="K2337" s="65" t="inlineStr">
        <is>
          <t>N/D</t>
        </is>
      </c>
      <c r="L2337" s="127" t="inlineStr">
        <is>
          <t>BENELLI ARMI SPA</t>
        </is>
      </c>
      <c r="M2337" s="5" t="n">
        <v>1315</v>
      </c>
      <c r="N2337" s="5" t="n"/>
      <c r="O2337" s="5">
        <f>+M2337+N2337</f>
        <v/>
      </c>
      <c r="P2337" s="4" t="n">
        <v>45863</v>
      </c>
      <c r="Q2337" s="87" t="n">
        <v>45856</v>
      </c>
      <c r="R2337" s="5" t="n">
        <v>1500</v>
      </c>
      <c r="S2337" s="2" t="n">
        <v>1</v>
      </c>
      <c r="T2337" s="3" t="inlineStr">
        <is>
          <t>6B/2025/2S</t>
        </is>
      </c>
      <c r="U2337" s="87" t="n">
        <v>45873</v>
      </c>
      <c r="V2337" s="3" t="inlineStr">
        <is>
          <t>23</t>
        </is>
      </c>
      <c r="W2337" s="87" t="n">
        <v>45873</v>
      </c>
      <c r="X2337" s="4" t="inlineStr">
        <is>
          <t xml:space="preserve">Bin Humaid National Trading Co </t>
        </is>
      </c>
    </row>
    <row r="2338" ht="24" customHeight="1">
      <c r="A2338" s="2">
        <f>+D2338-S2338</f>
        <v/>
      </c>
      <c r="B2338" s="80" t="n">
        <v>3956</v>
      </c>
      <c r="C2338" s="66" t="n">
        <v>45863</v>
      </c>
      <c r="D2338" s="2" t="n">
        <v>1</v>
      </c>
      <c r="E2338" s="3" t="inlineStr">
        <is>
          <t>FUCILE SEMIAUTOMATICO</t>
        </is>
      </c>
      <c r="F2338" s="3" t="inlineStr">
        <is>
          <t>12</t>
        </is>
      </c>
      <c r="G2338" s="3" t="inlineStr">
        <is>
          <t>BENELLI</t>
        </is>
      </c>
      <c r="H2338" s="65" t="inlineStr">
        <is>
          <t>RAFFAELLO POWERBORE 30"</t>
        </is>
      </c>
      <c r="I2338" s="65" t="inlineStr">
        <is>
          <t>F435904U</t>
        </is>
      </c>
      <c r="J2338" s="65" t="inlineStr">
        <is>
          <t>C1639960L</t>
        </is>
      </c>
      <c r="K2338" s="65" t="inlineStr">
        <is>
          <t>N/D</t>
        </is>
      </c>
      <c r="L2338" s="127" t="inlineStr">
        <is>
          <t>BENELLI ARMI SPA</t>
        </is>
      </c>
      <c r="M2338" s="5" t="n">
        <v>1315</v>
      </c>
      <c r="N2338" s="5" t="n"/>
      <c r="O2338" s="5">
        <f>+M2338+N2338</f>
        <v/>
      </c>
      <c r="P2338" s="4" t="n">
        <v>45863</v>
      </c>
      <c r="Q2338" s="87" t="n">
        <v>45856</v>
      </c>
      <c r="R2338" s="5" t="n">
        <v>1500</v>
      </c>
      <c r="S2338" s="2" t="n">
        <v>1</v>
      </c>
      <c r="T2338" s="3" t="inlineStr">
        <is>
          <t>6B/2025/2S</t>
        </is>
      </c>
      <c r="U2338" s="87" t="n">
        <v>45873</v>
      </c>
      <c r="V2338" s="3" t="inlineStr">
        <is>
          <t>23</t>
        </is>
      </c>
      <c r="W2338" s="87" t="n">
        <v>45873</v>
      </c>
      <c r="X2338" s="4" t="inlineStr">
        <is>
          <t xml:space="preserve">Bin Humaid National Trading Co </t>
        </is>
      </c>
    </row>
    <row r="2339" ht="24" customHeight="1">
      <c r="A2339" s="2">
        <f>+D2339-S2339</f>
        <v/>
      </c>
      <c r="B2339" s="80" t="n">
        <v>3957</v>
      </c>
      <c r="C2339" s="66" t="n">
        <v>45863</v>
      </c>
      <c r="D2339" s="2" t="n">
        <v>1</v>
      </c>
      <c r="E2339" s="3" t="inlineStr">
        <is>
          <t>FUCILE SEMIAUTOMATICO</t>
        </is>
      </c>
      <c r="F2339" s="3" t="inlineStr">
        <is>
          <t>12</t>
        </is>
      </c>
      <c r="G2339" s="3" t="inlineStr">
        <is>
          <t>BENELLI</t>
        </is>
      </c>
      <c r="H2339" s="65" t="inlineStr">
        <is>
          <t>RAFFAELLO POWERBORE 30"</t>
        </is>
      </c>
      <c r="I2339" s="65" t="inlineStr">
        <is>
          <t>F435905X</t>
        </is>
      </c>
      <c r="J2339" s="65" t="inlineStr">
        <is>
          <t>C1639961M</t>
        </is>
      </c>
      <c r="K2339" s="65" t="inlineStr">
        <is>
          <t>N/D</t>
        </is>
      </c>
      <c r="L2339" s="127" t="inlineStr">
        <is>
          <t>BENELLI ARMI SPA</t>
        </is>
      </c>
      <c r="M2339" s="5" t="n">
        <v>1315</v>
      </c>
      <c r="N2339" s="5" t="n"/>
      <c r="O2339" s="5">
        <f>+M2339+N2339</f>
        <v/>
      </c>
      <c r="P2339" s="4" t="n">
        <v>45863</v>
      </c>
      <c r="Q2339" s="87" t="n">
        <v>45856</v>
      </c>
      <c r="R2339" s="5" t="n">
        <v>1500</v>
      </c>
      <c r="S2339" s="2" t="n">
        <v>1</v>
      </c>
      <c r="T2339" s="3" t="inlineStr">
        <is>
          <t>6B/2025/2S</t>
        </is>
      </c>
      <c r="U2339" s="87" t="n">
        <v>45873</v>
      </c>
      <c r="V2339" s="3" t="inlineStr">
        <is>
          <t>23</t>
        </is>
      </c>
      <c r="W2339" s="87" t="n">
        <v>45873</v>
      </c>
      <c r="X2339" s="4" t="inlineStr">
        <is>
          <t xml:space="preserve">Bin Humaid National Trading Co </t>
        </is>
      </c>
    </row>
    <row r="2340" ht="24" customHeight="1">
      <c r="A2340" s="2">
        <f>+D2340-S2340</f>
        <v/>
      </c>
      <c r="B2340" s="80" t="n">
        <v>3958</v>
      </c>
      <c r="C2340" s="66" t="n">
        <v>45863</v>
      </c>
      <c r="D2340" s="2" t="n">
        <v>1</v>
      </c>
      <c r="E2340" s="3" t="inlineStr">
        <is>
          <t>FUCILE SEMIAUTOMATICO</t>
        </is>
      </c>
      <c r="F2340" s="3" t="inlineStr">
        <is>
          <t>12</t>
        </is>
      </c>
      <c r="G2340" s="3" t="inlineStr">
        <is>
          <t>BENELLI</t>
        </is>
      </c>
      <c r="H2340" s="65" t="inlineStr">
        <is>
          <t>RAFFAELLO POWERBORE 30"</t>
        </is>
      </c>
      <c r="I2340" s="65" t="inlineStr">
        <is>
          <t>F435906Z</t>
        </is>
      </c>
      <c r="J2340" s="65" t="inlineStr">
        <is>
          <t>C1639962N</t>
        </is>
      </c>
      <c r="K2340" s="65" t="inlineStr">
        <is>
          <t>N/D</t>
        </is>
      </c>
      <c r="L2340" s="127" t="inlineStr">
        <is>
          <t>BENELLI ARMI SPA</t>
        </is>
      </c>
      <c r="M2340" s="5" t="n">
        <v>1315</v>
      </c>
      <c r="N2340" s="5" t="n"/>
      <c r="O2340" s="5">
        <f>+M2340+N2340</f>
        <v/>
      </c>
      <c r="P2340" s="4" t="n">
        <v>45863</v>
      </c>
      <c r="Q2340" s="87" t="n">
        <v>45856</v>
      </c>
      <c r="R2340" s="5" t="n">
        <v>1500</v>
      </c>
      <c r="S2340" s="2" t="n">
        <v>1</v>
      </c>
      <c r="T2340" s="3" t="inlineStr">
        <is>
          <t>6B/2025/2S</t>
        </is>
      </c>
      <c r="U2340" s="87" t="n">
        <v>45873</v>
      </c>
      <c r="V2340" s="3" t="inlineStr">
        <is>
          <t>23</t>
        </is>
      </c>
      <c r="W2340" s="87" t="n">
        <v>45873</v>
      </c>
      <c r="X2340" s="4" t="inlineStr">
        <is>
          <t xml:space="preserve">Bin Humaid National Trading Co </t>
        </is>
      </c>
    </row>
    <row r="2341" ht="24" customHeight="1">
      <c r="A2341" s="2">
        <f>+D2341-S2341</f>
        <v/>
      </c>
      <c r="B2341" s="80" t="n">
        <v>3959</v>
      </c>
      <c r="C2341" s="66" t="n">
        <v>45863</v>
      </c>
      <c r="D2341" s="2" t="n">
        <v>1</v>
      </c>
      <c r="E2341" s="3" t="inlineStr">
        <is>
          <t>FUCILE SEMIAUTOMATICO</t>
        </is>
      </c>
      <c r="F2341" s="3" t="inlineStr">
        <is>
          <t>12</t>
        </is>
      </c>
      <c r="G2341" s="3" t="inlineStr">
        <is>
          <t>BENELLI</t>
        </is>
      </c>
      <c r="H2341" s="65" t="inlineStr">
        <is>
          <t>RAFFAELLO POWERBORE 30"</t>
        </is>
      </c>
      <c r="I2341" s="65" t="inlineStr">
        <is>
          <t>F435907B</t>
        </is>
      </c>
      <c r="J2341" s="65" t="inlineStr">
        <is>
          <t>C1639963P</t>
        </is>
      </c>
      <c r="K2341" s="65" t="inlineStr">
        <is>
          <t>N/D</t>
        </is>
      </c>
      <c r="L2341" s="127" t="inlineStr">
        <is>
          <t>BENELLI ARMI SPA</t>
        </is>
      </c>
      <c r="M2341" s="5" t="n">
        <v>1315</v>
      </c>
      <c r="N2341" s="5" t="n"/>
      <c r="O2341" s="5">
        <f>+M2341+N2341</f>
        <v/>
      </c>
      <c r="P2341" s="4" t="n">
        <v>45863</v>
      </c>
      <c r="Q2341" s="87" t="n">
        <v>45856</v>
      </c>
      <c r="R2341" s="5" t="n">
        <v>1500</v>
      </c>
      <c r="S2341" s="2" t="n">
        <v>1</v>
      </c>
      <c r="T2341" s="3" t="inlineStr">
        <is>
          <t>6B/2025/2S</t>
        </is>
      </c>
      <c r="U2341" s="87" t="n">
        <v>45873</v>
      </c>
      <c r="V2341" s="3" t="inlineStr">
        <is>
          <t>23</t>
        </is>
      </c>
      <c r="W2341" s="87" t="n">
        <v>45873</v>
      </c>
      <c r="X2341" s="4" t="inlineStr">
        <is>
          <t xml:space="preserve">Bin Humaid National Trading Co </t>
        </is>
      </c>
    </row>
    <row r="2342" ht="24" customHeight="1">
      <c r="A2342" s="2">
        <f>+D2342-S2342</f>
        <v/>
      </c>
      <c r="B2342" s="80" t="n">
        <v>3960</v>
      </c>
      <c r="C2342" s="66" t="n">
        <v>45863</v>
      </c>
      <c r="D2342" s="2" t="n">
        <v>1</v>
      </c>
      <c r="E2342" s="3" t="inlineStr">
        <is>
          <t>FUCILE SEMIAUTOMATICO</t>
        </is>
      </c>
      <c r="F2342" s="3" t="inlineStr">
        <is>
          <t>12</t>
        </is>
      </c>
      <c r="G2342" s="3" t="inlineStr">
        <is>
          <t>BENELLI</t>
        </is>
      </c>
      <c r="H2342" s="65" t="inlineStr">
        <is>
          <t>M2 SP 26"</t>
        </is>
      </c>
      <c r="I2342" s="65" t="inlineStr">
        <is>
          <t>M0197563Z</t>
        </is>
      </c>
      <c r="J2342" s="65" t="inlineStr">
        <is>
          <t>C1683320M</t>
        </is>
      </c>
      <c r="K2342" s="65" t="inlineStr">
        <is>
          <t>N/D</t>
        </is>
      </c>
      <c r="L2342" s="127" t="inlineStr">
        <is>
          <t>BENELLI ARMI SPA</t>
        </is>
      </c>
      <c r="M2342" s="5" t="n">
        <v>971</v>
      </c>
      <c r="N2342" s="5" t="n"/>
      <c r="O2342" s="5">
        <f>+M2342+N2342</f>
        <v/>
      </c>
      <c r="P2342" s="4" t="n">
        <v>45863</v>
      </c>
      <c r="Q2342" s="87" t="n">
        <v>45856</v>
      </c>
      <c r="R2342" s="5" t="n">
        <v>1106.94</v>
      </c>
      <c r="S2342" s="2" t="n">
        <v>1</v>
      </c>
      <c r="T2342" s="3" t="inlineStr">
        <is>
          <t>6B/2025/2S</t>
        </is>
      </c>
      <c r="U2342" s="87" t="n">
        <v>45873</v>
      </c>
      <c r="V2342" s="3" t="inlineStr">
        <is>
          <t>23</t>
        </is>
      </c>
      <c r="W2342" s="87" t="n">
        <v>45873</v>
      </c>
      <c r="X2342" s="4" t="inlineStr">
        <is>
          <t xml:space="preserve">Bin Humaid National Trading Co </t>
        </is>
      </c>
    </row>
    <row r="2343" ht="24" customHeight="1">
      <c r="A2343" s="2">
        <f>+D2343-S2343</f>
        <v/>
      </c>
      <c r="B2343" s="80" t="n">
        <v>3961</v>
      </c>
      <c r="C2343" s="66" t="n">
        <v>45863</v>
      </c>
      <c r="D2343" s="2" t="n">
        <v>1</v>
      </c>
      <c r="E2343" s="3" t="inlineStr">
        <is>
          <t>FUCILE SEMIAUTOMATICO</t>
        </is>
      </c>
      <c r="F2343" s="3" t="inlineStr">
        <is>
          <t>12</t>
        </is>
      </c>
      <c r="G2343" s="3" t="inlineStr">
        <is>
          <t>BENELLI</t>
        </is>
      </c>
      <c r="H2343" s="65" t="inlineStr">
        <is>
          <t>M2 SP 26"</t>
        </is>
      </c>
      <c r="I2343" s="65" t="inlineStr">
        <is>
          <t>M0197566C</t>
        </is>
      </c>
      <c r="J2343" s="65" t="inlineStr">
        <is>
          <t>C1683303L</t>
        </is>
      </c>
      <c r="K2343" s="65" t="inlineStr">
        <is>
          <t>N/D</t>
        </is>
      </c>
      <c r="L2343" s="127" t="inlineStr">
        <is>
          <t>BENELLI ARMI SPA</t>
        </is>
      </c>
      <c r="M2343" s="5" t="n">
        <v>971</v>
      </c>
      <c r="N2343" s="5" t="n"/>
      <c r="O2343" s="5">
        <f>+M2343+N2343</f>
        <v/>
      </c>
      <c r="P2343" s="4" t="n">
        <v>45863</v>
      </c>
      <c r="Q2343" s="87" t="n">
        <v>45856</v>
      </c>
      <c r="R2343" s="5" t="n">
        <v>1106.94</v>
      </c>
      <c r="S2343" s="2" t="n">
        <v>1</v>
      </c>
      <c r="T2343" s="3" t="inlineStr">
        <is>
          <t>6B/2025/2S</t>
        </is>
      </c>
      <c r="U2343" s="87" t="n">
        <v>45873</v>
      </c>
      <c r="V2343" s="3" t="inlineStr">
        <is>
          <t>23</t>
        </is>
      </c>
      <c r="W2343" s="87" t="n">
        <v>45873</v>
      </c>
      <c r="X2343" s="4" t="inlineStr">
        <is>
          <t xml:space="preserve">Bin Humaid National Trading Co </t>
        </is>
      </c>
    </row>
    <row r="2344" ht="24" customHeight="1">
      <c r="A2344" s="2">
        <f>+D2344-S2344</f>
        <v/>
      </c>
      <c r="B2344" s="80" t="n">
        <v>3962</v>
      </c>
      <c r="C2344" s="66" t="n">
        <v>45863</v>
      </c>
      <c r="D2344" s="2" t="n">
        <v>1</v>
      </c>
      <c r="E2344" s="3" t="inlineStr">
        <is>
          <t>FUCILE SEMIAUTOMATICO</t>
        </is>
      </c>
      <c r="F2344" s="3" t="inlineStr">
        <is>
          <t>12</t>
        </is>
      </c>
      <c r="G2344" s="3" t="inlineStr">
        <is>
          <t>BENELLI</t>
        </is>
      </c>
      <c r="H2344" s="65" t="inlineStr">
        <is>
          <t>M2 SP 26"</t>
        </is>
      </c>
      <c r="I2344" s="65" t="inlineStr">
        <is>
          <t>M0197562Y</t>
        </is>
      </c>
      <c r="J2344" s="65" t="inlineStr">
        <is>
          <t>C1683319U</t>
        </is>
      </c>
      <c r="K2344" s="65" t="inlineStr">
        <is>
          <t>N/D</t>
        </is>
      </c>
      <c r="L2344" s="127" t="inlineStr">
        <is>
          <t>BENELLI ARMI SPA</t>
        </is>
      </c>
      <c r="M2344" s="5" t="n">
        <v>971</v>
      </c>
      <c r="N2344" s="5" t="n"/>
      <c r="O2344" s="5">
        <f>+M2344+N2344</f>
        <v/>
      </c>
      <c r="P2344" s="4" t="n">
        <v>45863</v>
      </c>
      <c r="Q2344" s="87" t="n">
        <v>45856</v>
      </c>
      <c r="R2344" s="5" t="n">
        <v>1106.94</v>
      </c>
      <c r="S2344" s="2" t="n">
        <v>1</v>
      </c>
      <c r="T2344" s="3" t="inlineStr">
        <is>
          <t>6B/2025/2S</t>
        </is>
      </c>
      <c r="U2344" s="87" t="n">
        <v>45873</v>
      </c>
      <c r="V2344" s="3" t="inlineStr">
        <is>
          <t>23</t>
        </is>
      </c>
      <c r="W2344" s="87" t="n">
        <v>45873</v>
      </c>
      <c r="X2344" s="4" t="inlineStr">
        <is>
          <t xml:space="preserve">Bin Humaid National Trading Co </t>
        </is>
      </c>
    </row>
    <row r="2345" ht="24" customHeight="1">
      <c r="A2345" s="2">
        <f>+D2345-S2345</f>
        <v/>
      </c>
      <c r="B2345" s="80" t="n">
        <v>3963</v>
      </c>
      <c r="C2345" s="66" t="n">
        <v>45863</v>
      </c>
      <c r="D2345" s="2" t="n">
        <v>1</v>
      </c>
      <c r="E2345" s="3" t="inlineStr">
        <is>
          <t>FUCILE SEMIAUTOMATICO</t>
        </is>
      </c>
      <c r="F2345" s="3" t="inlineStr">
        <is>
          <t>12</t>
        </is>
      </c>
      <c r="G2345" s="3" t="inlineStr">
        <is>
          <t>BENELLI</t>
        </is>
      </c>
      <c r="H2345" s="65" t="inlineStr">
        <is>
          <t>M2 SP 26"</t>
        </is>
      </c>
      <c r="I2345" s="65" t="inlineStr">
        <is>
          <t>M0197560W</t>
        </is>
      </c>
      <c r="J2345" s="65" t="inlineStr">
        <is>
          <t>C1683305N</t>
        </is>
      </c>
      <c r="K2345" s="65" t="inlineStr">
        <is>
          <t>N/D</t>
        </is>
      </c>
      <c r="L2345" s="127" t="inlineStr">
        <is>
          <t>BENELLI ARMI SPA</t>
        </is>
      </c>
      <c r="M2345" s="5" t="n">
        <v>971</v>
      </c>
      <c r="N2345" s="5" t="n"/>
      <c r="O2345" s="5">
        <f>+M2345+N2345</f>
        <v/>
      </c>
      <c r="P2345" s="4" t="n">
        <v>45863</v>
      </c>
      <c r="Q2345" s="87" t="n">
        <v>45856</v>
      </c>
      <c r="R2345" s="5" t="n">
        <v>1106.94</v>
      </c>
      <c r="S2345" s="2" t="n">
        <v>1</v>
      </c>
      <c r="T2345" s="3" t="inlineStr">
        <is>
          <t>6B/2025/2S</t>
        </is>
      </c>
      <c r="U2345" s="87" t="n">
        <v>45873</v>
      </c>
      <c r="V2345" s="3" t="inlineStr">
        <is>
          <t>23</t>
        </is>
      </c>
      <c r="W2345" s="87" t="n">
        <v>45873</v>
      </c>
      <c r="X2345" s="4" t="inlineStr">
        <is>
          <t xml:space="preserve">Bin Humaid National Trading Co </t>
        </is>
      </c>
    </row>
    <row r="2346" ht="24" customHeight="1">
      <c r="A2346" s="2">
        <f>+D2346-S2346</f>
        <v/>
      </c>
      <c r="B2346" s="80" t="n">
        <v>3964</v>
      </c>
      <c r="C2346" s="66" t="n">
        <v>45863</v>
      </c>
      <c r="D2346" s="2" t="n">
        <v>1</v>
      </c>
      <c r="E2346" s="3" t="inlineStr">
        <is>
          <t>FUCILE SEMIAUTOMATICO</t>
        </is>
      </c>
      <c r="F2346" s="3" t="inlineStr">
        <is>
          <t>12</t>
        </is>
      </c>
      <c r="G2346" s="3" t="inlineStr">
        <is>
          <t>BENELLI</t>
        </is>
      </c>
      <c r="H2346" s="65" t="inlineStr">
        <is>
          <t>M2 SP 26"</t>
        </is>
      </c>
      <c r="I2346" s="65" t="inlineStr">
        <is>
          <t>M0197561X</t>
        </is>
      </c>
      <c r="J2346" s="65" t="inlineStr">
        <is>
          <t>C1683322P</t>
        </is>
      </c>
      <c r="K2346" s="65" t="inlineStr">
        <is>
          <t>N/D</t>
        </is>
      </c>
      <c r="L2346" s="127" t="inlineStr">
        <is>
          <t>BENELLI ARMI SPA</t>
        </is>
      </c>
      <c r="M2346" s="5" t="n">
        <v>971</v>
      </c>
      <c r="N2346" s="5" t="n"/>
      <c r="O2346" s="5">
        <f>+M2346+N2346</f>
        <v/>
      </c>
      <c r="P2346" s="4" t="n">
        <v>45863</v>
      </c>
      <c r="Q2346" s="87" t="n">
        <v>45856</v>
      </c>
      <c r="R2346" s="5" t="n">
        <v>1106.94</v>
      </c>
      <c r="S2346" s="2" t="n">
        <v>1</v>
      </c>
      <c r="T2346" s="3" t="inlineStr">
        <is>
          <t>6B/2025/2S</t>
        </is>
      </c>
      <c r="U2346" s="87" t="n">
        <v>45873</v>
      </c>
      <c r="V2346" s="3" t="inlineStr">
        <is>
          <t>23</t>
        </is>
      </c>
      <c r="W2346" s="87" t="n">
        <v>45873</v>
      </c>
      <c r="X2346" s="4" t="inlineStr">
        <is>
          <t xml:space="preserve">Bin Humaid National Trading Co </t>
        </is>
      </c>
    </row>
    <row r="2347" ht="24" customHeight="1">
      <c r="A2347" s="2">
        <f>+D2347-S2347</f>
        <v/>
      </c>
      <c r="B2347" s="80" t="n">
        <v>3965</v>
      </c>
      <c r="C2347" s="66" t="n">
        <v>45863</v>
      </c>
      <c r="D2347" s="2" t="n">
        <v>1</v>
      </c>
      <c r="E2347" s="3" t="inlineStr">
        <is>
          <t>FUCILE SEMIAUTOMATICO</t>
        </is>
      </c>
      <c r="F2347" s="3" t="inlineStr">
        <is>
          <t>12</t>
        </is>
      </c>
      <c r="G2347" s="3" t="inlineStr">
        <is>
          <t>BENELLI</t>
        </is>
      </c>
      <c r="H2347" s="65" t="inlineStr">
        <is>
          <t>M2 SP 26"</t>
        </is>
      </c>
      <c r="I2347" s="65" t="inlineStr">
        <is>
          <t>M0198234S</t>
        </is>
      </c>
      <c r="J2347" s="65" t="inlineStr">
        <is>
          <t>C1684466F</t>
        </is>
      </c>
      <c r="K2347" s="65" t="inlineStr">
        <is>
          <t>N/D</t>
        </is>
      </c>
      <c r="L2347" s="127" t="inlineStr">
        <is>
          <t>BENELLI ARMI SPA</t>
        </is>
      </c>
      <c r="M2347" s="5" t="n">
        <v>971</v>
      </c>
      <c r="N2347" s="5" t="n"/>
      <c r="O2347" s="5">
        <f>+M2347+N2347</f>
        <v/>
      </c>
      <c r="P2347" s="4" t="n">
        <v>45863</v>
      </c>
      <c r="Q2347" s="87" t="n">
        <v>45856</v>
      </c>
      <c r="R2347" s="5" t="n">
        <v>1106.94</v>
      </c>
      <c r="S2347" s="2" t="n">
        <v>1</v>
      </c>
      <c r="T2347" s="3" t="inlineStr">
        <is>
          <t>6B/2025/2S</t>
        </is>
      </c>
      <c r="U2347" s="87" t="n">
        <v>45873</v>
      </c>
      <c r="V2347" s="3" t="inlineStr">
        <is>
          <t>23</t>
        </is>
      </c>
      <c r="W2347" s="87" t="n">
        <v>45873</v>
      </c>
      <c r="X2347" s="4" t="inlineStr">
        <is>
          <t xml:space="preserve">Bin Humaid National Trading Co </t>
        </is>
      </c>
    </row>
    <row r="2348" ht="24" customHeight="1">
      <c r="A2348" s="2">
        <f>+D2348-S2348</f>
        <v/>
      </c>
      <c r="B2348" s="80" t="n">
        <v>3966</v>
      </c>
      <c r="C2348" s="66" t="n">
        <v>45863</v>
      </c>
      <c r="D2348" s="2" t="n">
        <v>1</v>
      </c>
      <c r="E2348" s="3" t="inlineStr">
        <is>
          <t>FUCILE SEMIAUTOMATICO</t>
        </is>
      </c>
      <c r="F2348" s="3" t="inlineStr">
        <is>
          <t>12</t>
        </is>
      </c>
      <c r="G2348" s="3" t="inlineStr">
        <is>
          <t>BENELLI</t>
        </is>
      </c>
      <c r="H2348" s="65" t="inlineStr">
        <is>
          <t>M2 SP 26"</t>
        </is>
      </c>
      <c r="I2348" s="65" t="inlineStr">
        <is>
          <t>M0198236U</t>
        </is>
      </c>
      <c r="J2348" s="65" t="inlineStr">
        <is>
          <t>C1684464D</t>
        </is>
      </c>
      <c r="K2348" s="65" t="inlineStr">
        <is>
          <t>N/D</t>
        </is>
      </c>
      <c r="L2348" s="127" t="inlineStr">
        <is>
          <t>BENELLI ARMI SPA</t>
        </is>
      </c>
      <c r="M2348" s="5" t="n">
        <v>971</v>
      </c>
      <c r="N2348" s="5" t="n"/>
      <c r="O2348" s="5">
        <f>+M2348+N2348</f>
        <v/>
      </c>
      <c r="P2348" s="4" t="n">
        <v>45863</v>
      </c>
      <c r="Q2348" s="87" t="n">
        <v>45856</v>
      </c>
      <c r="R2348" s="5" t="n">
        <v>1106.94</v>
      </c>
      <c r="S2348" s="2" t="n">
        <v>1</v>
      </c>
      <c r="T2348" s="3" t="inlineStr">
        <is>
          <t>6B/2025/2S</t>
        </is>
      </c>
      <c r="U2348" s="87" t="n">
        <v>45873</v>
      </c>
      <c r="V2348" s="3" t="inlineStr">
        <is>
          <t>23</t>
        </is>
      </c>
      <c r="W2348" s="87" t="n">
        <v>45873</v>
      </c>
      <c r="X2348" s="4" t="inlineStr">
        <is>
          <t xml:space="preserve">Bin Humaid National Trading Co </t>
        </is>
      </c>
    </row>
    <row r="2349" ht="24" customHeight="1">
      <c r="A2349" s="2">
        <f>+D2349-S2349</f>
        <v/>
      </c>
      <c r="B2349" s="80" t="n">
        <v>3967</v>
      </c>
      <c r="C2349" s="66" t="n">
        <v>45863</v>
      </c>
      <c r="D2349" s="2" t="n">
        <v>1</v>
      </c>
      <c r="E2349" s="3" t="inlineStr">
        <is>
          <t>FUCILE SEMIAUTOMATICO</t>
        </is>
      </c>
      <c r="F2349" s="3" t="inlineStr">
        <is>
          <t>12</t>
        </is>
      </c>
      <c r="G2349" s="3" t="inlineStr">
        <is>
          <t>BENELLI</t>
        </is>
      </c>
      <c r="H2349" s="65" t="inlineStr">
        <is>
          <t>M2 SP 26"</t>
        </is>
      </c>
      <c r="I2349" s="65" t="inlineStr">
        <is>
          <t>M0198238W</t>
        </is>
      </c>
      <c r="J2349" s="65" t="inlineStr">
        <is>
          <t>C1684462B</t>
        </is>
      </c>
      <c r="K2349" s="65" t="inlineStr">
        <is>
          <t>N/D</t>
        </is>
      </c>
      <c r="L2349" s="127" t="inlineStr">
        <is>
          <t>BENELLI ARMI SPA</t>
        </is>
      </c>
      <c r="M2349" s="5" t="n">
        <v>971</v>
      </c>
      <c r="N2349" s="5" t="n"/>
      <c r="O2349" s="5">
        <f>+M2349+N2349</f>
        <v/>
      </c>
      <c r="P2349" s="4" t="n">
        <v>45863</v>
      </c>
      <c r="Q2349" s="87" t="n">
        <v>45856</v>
      </c>
      <c r="R2349" s="5" t="n">
        <v>1106.94</v>
      </c>
      <c r="S2349" s="2" t="n">
        <v>1</v>
      </c>
      <c r="T2349" s="3" t="inlineStr">
        <is>
          <t>6B/2025/2S</t>
        </is>
      </c>
      <c r="U2349" s="87" t="n">
        <v>45873</v>
      </c>
      <c r="V2349" s="3" t="inlineStr">
        <is>
          <t>23</t>
        </is>
      </c>
      <c r="W2349" s="87" t="n">
        <v>45873</v>
      </c>
      <c r="X2349" s="4" t="inlineStr">
        <is>
          <t xml:space="preserve">Bin Humaid National Trading Co </t>
        </is>
      </c>
    </row>
    <row r="2350" ht="24" customHeight="1">
      <c r="A2350" s="2">
        <f>+D2350-S2350</f>
        <v/>
      </c>
      <c r="B2350" s="80" t="n">
        <v>3968</v>
      </c>
      <c r="C2350" s="66" t="n">
        <v>45863</v>
      </c>
      <c r="D2350" s="2" t="n">
        <v>1</v>
      </c>
      <c r="E2350" s="3" t="inlineStr">
        <is>
          <t>FUCILE SEMIAUTOMATICO</t>
        </is>
      </c>
      <c r="F2350" s="3" t="inlineStr">
        <is>
          <t>12</t>
        </is>
      </c>
      <c r="G2350" s="3" t="inlineStr">
        <is>
          <t>BENELLI</t>
        </is>
      </c>
      <c r="H2350" s="65" t="inlineStr">
        <is>
          <t>M2 SP 26"</t>
        </is>
      </c>
      <c r="I2350" s="65" t="inlineStr">
        <is>
          <t>M0198240Q</t>
        </is>
      </c>
      <c r="J2350" s="65" t="inlineStr">
        <is>
          <t>C1684460Z</t>
        </is>
      </c>
      <c r="K2350" s="65" t="inlineStr">
        <is>
          <t>N/D</t>
        </is>
      </c>
      <c r="L2350" s="127" t="inlineStr">
        <is>
          <t>BENELLI ARMI SPA</t>
        </is>
      </c>
      <c r="M2350" s="5" t="n">
        <v>971</v>
      </c>
      <c r="N2350" s="5" t="n"/>
      <c r="O2350" s="5">
        <f>+M2350+N2350</f>
        <v/>
      </c>
      <c r="P2350" s="4" t="n">
        <v>45863</v>
      </c>
      <c r="Q2350" s="87" t="n">
        <v>45856</v>
      </c>
      <c r="R2350" s="5" t="n">
        <v>1106.94</v>
      </c>
      <c r="S2350" s="2" t="n">
        <v>1</v>
      </c>
      <c r="T2350" s="3" t="inlineStr">
        <is>
          <t>6B/2025/2S</t>
        </is>
      </c>
      <c r="U2350" s="87" t="n">
        <v>45873</v>
      </c>
      <c r="V2350" s="3" t="inlineStr">
        <is>
          <t>23</t>
        </is>
      </c>
      <c r="W2350" s="87" t="n">
        <v>45873</v>
      </c>
      <c r="X2350" s="4" t="inlineStr">
        <is>
          <t xml:space="preserve">Bin Humaid National Trading Co </t>
        </is>
      </c>
    </row>
    <row r="2351" ht="24" customHeight="1">
      <c r="A2351" s="2">
        <f>+D2351-S2351</f>
        <v/>
      </c>
      <c r="B2351" s="80" t="n">
        <v>3969</v>
      </c>
      <c r="C2351" s="66" t="n">
        <v>45863</v>
      </c>
      <c r="D2351" s="2" t="n">
        <v>1</v>
      </c>
      <c r="E2351" s="3" t="inlineStr">
        <is>
          <t>FUCILE SEMIAUTOMATICO</t>
        </is>
      </c>
      <c r="F2351" s="3" t="inlineStr">
        <is>
          <t>12</t>
        </is>
      </c>
      <c r="G2351" s="3" t="inlineStr">
        <is>
          <t>BENELLI</t>
        </is>
      </c>
      <c r="H2351" s="65" t="inlineStr">
        <is>
          <t>M2 SP 26"</t>
        </is>
      </c>
      <c r="I2351" s="65" t="inlineStr">
        <is>
          <t>M0198242S</t>
        </is>
      </c>
      <c r="J2351" s="65" t="inlineStr">
        <is>
          <t>C1684458F</t>
        </is>
      </c>
      <c r="K2351" s="65" t="inlineStr">
        <is>
          <t>N/D</t>
        </is>
      </c>
      <c r="L2351" s="127" t="inlineStr">
        <is>
          <t>BENELLI ARMI SPA</t>
        </is>
      </c>
      <c r="M2351" s="5" t="n">
        <v>971</v>
      </c>
      <c r="N2351" s="5" t="n"/>
      <c r="O2351" s="5">
        <f>+M2351+N2351</f>
        <v/>
      </c>
      <c r="P2351" s="4" t="n">
        <v>45863</v>
      </c>
      <c r="Q2351" s="87" t="n">
        <v>45856</v>
      </c>
      <c r="R2351" s="5" t="n">
        <v>1106.94</v>
      </c>
      <c r="S2351" s="2" t="n">
        <v>1</v>
      </c>
      <c r="T2351" s="3" t="inlineStr">
        <is>
          <t>6B/2025/2S</t>
        </is>
      </c>
      <c r="U2351" s="87" t="n">
        <v>45873</v>
      </c>
      <c r="V2351" s="3" t="inlineStr">
        <is>
          <t>23</t>
        </is>
      </c>
      <c r="W2351" s="87" t="n">
        <v>45873</v>
      </c>
      <c r="X2351" s="4" t="inlineStr">
        <is>
          <t xml:space="preserve">Bin Humaid National Trading Co </t>
        </is>
      </c>
    </row>
    <row r="2352" ht="24" customHeight="1">
      <c r="A2352" s="2">
        <f>+D2352-S2352</f>
        <v/>
      </c>
      <c r="B2352" s="80" t="n">
        <v>3970</v>
      </c>
      <c r="C2352" s="66" t="n">
        <v>45863</v>
      </c>
      <c r="D2352" s="2" t="n">
        <v>1</v>
      </c>
      <c r="E2352" s="3" t="inlineStr">
        <is>
          <t>FUCILE SEMIAUTOMATICO</t>
        </is>
      </c>
      <c r="F2352" s="3" t="inlineStr">
        <is>
          <t>12</t>
        </is>
      </c>
      <c r="G2352" s="3" t="inlineStr">
        <is>
          <t>BENELLI</t>
        </is>
      </c>
      <c r="H2352" s="65" t="inlineStr">
        <is>
          <t>M2 SP 26"</t>
        </is>
      </c>
      <c r="I2352" s="65" t="inlineStr">
        <is>
          <t>M0198244U</t>
        </is>
      </c>
      <c r="J2352" s="65" t="inlineStr">
        <is>
          <t>C1684472D</t>
        </is>
      </c>
      <c r="K2352" s="65" t="inlineStr">
        <is>
          <t>N/D</t>
        </is>
      </c>
      <c r="L2352" s="127" t="inlineStr">
        <is>
          <t>BENELLI ARMI SPA</t>
        </is>
      </c>
      <c r="M2352" s="5" t="n">
        <v>971</v>
      </c>
      <c r="N2352" s="5" t="n"/>
      <c r="O2352" s="5">
        <f>+M2352+N2352</f>
        <v/>
      </c>
      <c r="P2352" s="4" t="n">
        <v>45863</v>
      </c>
      <c r="Q2352" s="87" t="n">
        <v>45856</v>
      </c>
      <c r="R2352" s="5" t="n">
        <v>1106.94</v>
      </c>
      <c r="S2352" s="2" t="n">
        <v>1</v>
      </c>
      <c r="T2352" s="3" t="inlineStr">
        <is>
          <t>6B/2025/2S</t>
        </is>
      </c>
      <c r="U2352" s="87" t="n">
        <v>45873</v>
      </c>
      <c r="V2352" s="3" t="inlineStr">
        <is>
          <t>23</t>
        </is>
      </c>
      <c r="W2352" s="87" t="n">
        <v>45873</v>
      </c>
      <c r="X2352" s="4" t="inlineStr">
        <is>
          <t xml:space="preserve">Bin Humaid National Trading Co </t>
        </is>
      </c>
    </row>
    <row r="2353" ht="24" customHeight="1">
      <c r="A2353" s="2">
        <f>+D2353-S2353</f>
        <v/>
      </c>
      <c r="B2353" s="80" t="n">
        <v>3971</v>
      </c>
      <c r="C2353" s="66" t="n">
        <v>45863</v>
      </c>
      <c r="D2353" s="2" t="n">
        <v>1</v>
      </c>
      <c r="E2353" s="3" t="inlineStr">
        <is>
          <t>FUCILE SEMIAUTOMATICO</t>
        </is>
      </c>
      <c r="F2353" s="3" t="inlineStr">
        <is>
          <t>12</t>
        </is>
      </c>
      <c r="G2353" s="3" t="inlineStr">
        <is>
          <t>BENELLI</t>
        </is>
      </c>
      <c r="H2353" s="65" t="inlineStr">
        <is>
          <t>M2 SP 26"</t>
        </is>
      </c>
      <c r="I2353" s="65" t="inlineStr">
        <is>
          <t>M0198246W</t>
        </is>
      </c>
      <c r="J2353" s="65" t="inlineStr">
        <is>
          <t>C1684443X</t>
        </is>
      </c>
      <c r="K2353" s="65" t="inlineStr">
        <is>
          <t>N/D</t>
        </is>
      </c>
      <c r="L2353" s="127" t="inlineStr">
        <is>
          <t>BENELLI ARMI SPA</t>
        </is>
      </c>
      <c r="M2353" s="5" t="n">
        <v>971</v>
      </c>
      <c r="N2353" s="5" t="n"/>
      <c r="O2353" s="5">
        <f>+M2353+N2353</f>
        <v/>
      </c>
      <c r="P2353" s="4" t="n">
        <v>45863</v>
      </c>
      <c r="Q2353" s="87" t="n">
        <v>45856</v>
      </c>
      <c r="R2353" s="5" t="n">
        <v>1106.94</v>
      </c>
      <c r="S2353" s="2" t="n">
        <v>1</v>
      </c>
      <c r="T2353" s="3" t="inlineStr">
        <is>
          <t>6B/2025/2S</t>
        </is>
      </c>
      <c r="U2353" s="87" t="n">
        <v>45873</v>
      </c>
      <c r="V2353" s="3" t="inlineStr">
        <is>
          <t>23</t>
        </is>
      </c>
      <c r="W2353" s="87" t="n">
        <v>45873</v>
      </c>
      <c r="X2353" s="4" t="inlineStr">
        <is>
          <t xml:space="preserve">Bin Humaid National Trading Co </t>
        </is>
      </c>
    </row>
    <row r="2354" ht="24" customHeight="1">
      <c r="A2354" s="2">
        <f>+D2354-S2354</f>
        <v/>
      </c>
      <c r="B2354" s="80" t="n">
        <v>3972</v>
      </c>
      <c r="C2354" s="66" t="n">
        <v>45863</v>
      </c>
      <c r="D2354" s="2" t="n">
        <v>1</v>
      </c>
      <c r="E2354" s="3" t="inlineStr">
        <is>
          <t>FUCILE SEMIAUTOMATICO</t>
        </is>
      </c>
      <c r="F2354" s="3" t="inlineStr">
        <is>
          <t>12</t>
        </is>
      </c>
      <c r="G2354" s="3" t="inlineStr">
        <is>
          <t>BENELLI</t>
        </is>
      </c>
      <c r="H2354" s="65" t="inlineStr">
        <is>
          <t>M2 SP 26"</t>
        </is>
      </c>
      <c r="I2354" s="65" t="inlineStr">
        <is>
          <t>M0198248Y</t>
        </is>
      </c>
      <c r="J2354" s="65" t="inlineStr">
        <is>
          <t>C1684468H</t>
        </is>
      </c>
      <c r="K2354" s="65" t="inlineStr">
        <is>
          <t>N/D</t>
        </is>
      </c>
      <c r="L2354" s="127" t="inlineStr">
        <is>
          <t>BENELLI ARMI SPA</t>
        </is>
      </c>
      <c r="M2354" s="5" t="n">
        <v>971</v>
      </c>
      <c r="N2354" s="5" t="n"/>
      <c r="O2354" s="5">
        <f>+M2354+N2354</f>
        <v/>
      </c>
      <c r="P2354" s="4" t="n">
        <v>45863</v>
      </c>
      <c r="Q2354" s="87" t="n">
        <v>45856</v>
      </c>
      <c r="R2354" s="5" t="n">
        <v>1106.94</v>
      </c>
      <c r="S2354" s="2" t="n">
        <v>1</v>
      </c>
      <c r="T2354" s="3" t="inlineStr">
        <is>
          <t>6B/2025/2S</t>
        </is>
      </c>
      <c r="U2354" s="87" t="n">
        <v>45873</v>
      </c>
      <c r="V2354" s="3" t="inlineStr">
        <is>
          <t>23</t>
        </is>
      </c>
      <c r="W2354" s="87" t="n">
        <v>45873</v>
      </c>
      <c r="X2354" s="4" t="inlineStr">
        <is>
          <t xml:space="preserve">Bin Humaid National Trading Co </t>
        </is>
      </c>
    </row>
    <row r="2355" ht="24" customHeight="1">
      <c r="A2355" s="2">
        <f>+D2355-S2355</f>
        <v/>
      </c>
      <c r="B2355" s="80" t="n">
        <v>3973</v>
      </c>
      <c r="C2355" s="66" t="n">
        <v>45863</v>
      </c>
      <c r="D2355" s="2" t="n">
        <v>1</v>
      </c>
      <c r="E2355" s="3" t="inlineStr">
        <is>
          <t>FUCILE SEMIAUTOMATICO</t>
        </is>
      </c>
      <c r="F2355" s="3" t="inlineStr">
        <is>
          <t>12</t>
        </is>
      </c>
      <c r="G2355" s="3" t="inlineStr">
        <is>
          <t>BENELLI</t>
        </is>
      </c>
      <c r="H2355" s="65" t="inlineStr">
        <is>
          <t>M2 SP 26"</t>
        </is>
      </c>
      <c r="I2355" s="65" t="inlineStr">
        <is>
          <t>M0198219T</t>
        </is>
      </c>
      <c r="J2355" s="65" t="inlineStr">
        <is>
          <t>C1684445Z</t>
        </is>
      </c>
      <c r="K2355" s="65" t="inlineStr">
        <is>
          <t>N/D</t>
        </is>
      </c>
      <c r="L2355" s="127" t="inlineStr">
        <is>
          <t>BENELLI ARMI SPA</t>
        </is>
      </c>
      <c r="M2355" s="5" t="n">
        <v>971</v>
      </c>
      <c r="N2355" s="5" t="n"/>
      <c r="O2355" s="5">
        <f>+M2355+N2355</f>
        <v/>
      </c>
      <c r="P2355" s="4" t="n">
        <v>45863</v>
      </c>
      <c r="Q2355" s="87" t="n">
        <v>45856</v>
      </c>
      <c r="R2355" s="5" t="n">
        <v>1106.94</v>
      </c>
      <c r="S2355" s="2" t="n">
        <v>1</v>
      </c>
      <c r="T2355" s="3" t="inlineStr">
        <is>
          <t>6B/2025/2S</t>
        </is>
      </c>
      <c r="U2355" s="87" t="n">
        <v>45873</v>
      </c>
      <c r="V2355" s="3" t="inlineStr">
        <is>
          <t>23</t>
        </is>
      </c>
      <c r="W2355" s="87" t="n">
        <v>45873</v>
      </c>
      <c r="X2355" s="4" t="inlineStr">
        <is>
          <t xml:space="preserve">Bin Humaid National Trading Co </t>
        </is>
      </c>
    </row>
    <row r="2356" ht="24" customHeight="1">
      <c r="A2356" s="2">
        <f>+D2356-S2356</f>
        <v/>
      </c>
      <c r="B2356" s="80" t="n">
        <v>3974</v>
      </c>
      <c r="C2356" s="66" t="n">
        <v>45863</v>
      </c>
      <c r="D2356" s="2" t="n">
        <v>1</v>
      </c>
      <c r="E2356" s="3" t="inlineStr">
        <is>
          <t>FUCILE SEMIAUTOMATICO</t>
        </is>
      </c>
      <c r="F2356" s="3" t="inlineStr">
        <is>
          <t>12</t>
        </is>
      </c>
      <c r="G2356" s="3" t="inlineStr">
        <is>
          <t>BENELLI</t>
        </is>
      </c>
      <c r="H2356" s="65" t="inlineStr">
        <is>
          <t>M2 SP 26"</t>
        </is>
      </c>
      <c r="I2356" s="65" t="inlineStr">
        <is>
          <t>M0198221M</t>
        </is>
      </c>
      <c r="J2356" s="65" t="inlineStr">
        <is>
          <t>C1684447B</t>
        </is>
      </c>
      <c r="K2356" s="65" t="inlineStr">
        <is>
          <t>N/D</t>
        </is>
      </c>
      <c r="L2356" s="127" t="inlineStr">
        <is>
          <t>BENELLI ARMI SPA</t>
        </is>
      </c>
      <c r="M2356" s="5" t="n">
        <v>971</v>
      </c>
      <c r="N2356" s="5" t="n"/>
      <c r="O2356" s="5">
        <f>+M2356+N2356</f>
        <v/>
      </c>
      <c r="P2356" s="4" t="n">
        <v>45863</v>
      </c>
      <c r="Q2356" s="87" t="n">
        <v>45856</v>
      </c>
      <c r="R2356" s="5" t="n">
        <v>1106.94</v>
      </c>
      <c r="S2356" s="2" t="n">
        <v>1</v>
      </c>
      <c r="T2356" s="3" t="inlineStr">
        <is>
          <t>6B/2025/2S</t>
        </is>
      </c>
      <c r="U2356" s="87" t="n">
        <v>45873</v>
      </c>
      <c r="V2356" s="3" t="inlineStr">
        <is>
          <t>23</t>
        </is>
      </c>
      <c r="W2356" s="87" t="n">
        <v>45873</v>
      </c>
      <c r="X2356" s="4" t="inlineStr">
        <is>
          <t xml:space="preserve">Bin Humaid National Trading Co </t>
        </is>
      </c>
    </row>
    <row r="2357" ht="24" customHeight="1">
      <c r="A2357" s="2">
        <f>+D2357-S2357</f>
        <v/>
      </c>
      <c r="B2357" s="80" t="n">
        <v>3975</v>
      </c>
      <c r="C2357" s="66" t="n">
        <v>45863</v>
      </c>
      <c r="D2357" s="2" t="n">
        <v>1</v>
      </c>
      <c r="E2357" s="3" t="inlineStr">
        <is>
          <t>FUCILE SEMIAUTOMATICO</t>
        </is>
      </c>
      <c r="F2357" s="3" t="inlineStr">
        <is>
          <t>12</t>
        </is>
      </c>
      <c r="G2357" s="3" t="inlineStr">
        <is>
          <t>BENELLI</t>
        </is>
      </c>
      <c r="H2357" s="65" t="inlineStr">
        <is>
          <t>M2 SP 26"</t>
        </is>
      </c>
      <c r="I2357" s="65" t="inlineStr">
        <is>
          <t>M0198223P</t>
        </is>
      </c>
      <c r="J2357" s="65" t="inlineStr">
        <is>
          <t>C1684449D</t>
        </is>
      </c>
      <c r="K2357" s="65" t="inlineStr">
        <is>
          <t>N/D</t>
        </is>
      </c>
      <c r="L2357" s="127" t="inlineStr">
        <is>
          <t>BENELLI ARMI SPA</t>
        </is>
      </c>
      <c r="M2357" s="5" t="n">
        <v>971</v>
      </c>
      <c r="N2357" s="5" t="n"/>
      <c r="O2357" s="5">
        <f>+M2357+N2357</f>
        <v/>
      </c>
      <c r="P2357" s="4" t="n">
        <v>45863</v>
      </c>
      <c r="Q2357" s="87" t="n">
        <v>45856</v>
      </c>
      <c r="R2357" s="5" t="n">
        <v>1106.94</v>
      </c>
      <c r="S2357" s="2" t="n">
        <v>1</v>
      </c>
      <c r="T2357" s="3" t="inlineStr">
        <is>
          <t>6B/2025/2S</t>
        </is>
      </c>
      <c r="U2357" s="87" t="n">
        <v>45873</v>
      </c>
      <c r="V2357" s="3" t="inlineStr">
        <is>
          <t>23</t>
        </is>
      </c>
      <c r="W2357" s="87" t="n">
        <v>45873</v>
      </c>
      <c r="X2357" s="4" t="inlineStr">
        <is>
          <t xml:space="preserve">Bin Humaid National Trading Co </t>
        </is>
      </c>
    </row>
    <row r="2358" ht="24" customHeight="1">
      <c r="A2358" s="2">
        <f>+D2358-S2358</f>
        <v/>
      </c>
      <c r="B2358" s="80" t="n">
        <v>3976</v>
      </c>
      <c r="C2358" s="66" t="n">
        <v>45863</v>
      </c>
      <c r="D2358" s="2" t="n">
        <v>1</v>
      </c>
      <c r="E2358" s="3" t="inlineStr">
        <is>
          <t>FUCILE SEMIAUTOMATICO</t>
        </is>
      </c>
      <c r="F2358" s="3" t="inlineStr">
        <is>
          <t>12</t>
        </is>
      </c>
      <c r="G2358" s="3" t="inlineStr">
        <is>
          <t>BENELLI</t>
        </is>
      </c>
      <c r="H2358" s="65" t="inlineStr">
        <is>
          <t>M2 SP 26"</t>
        </is>
      </c>
      <c r="I2358" s="65" t="inlineStr">
        <is>
          <t>M0198225R</t>
        </is>
      </c>
      <c r="J2358" s="65" t="inlineStr">
        <is>
          <t>C1684451Y</t>
        </is>
      </c>
      <c r="K2358" s="65" t="inlineStr">
        <is>
          <t>N/D</t>
        </is>
      </c>
      <c r="L2358" s="127" t="inlineStr">
        <is>
          <t>BENELLI ARMI SPA</t>
        </is>
      </c>
      <c r="M2358" s="5" t="n">
        <v>971</v>
      </c>
      <c r="N2358" s="5" t="n"/>
      <c r="O2358" s="5">
        <f>+M2358+N2358</f>
        <v/>
      </c>
      <c r="P2358" s="4" t="n">
        <v>45863</v>
      </c>
      <c r="Q2358" s="87" t="n">
        <v>45856</v>
      </c>
      <c r="R2358" s="5" t="n">
        <v>1106.94</v>
      </c>
      <c r="S2358" s="2" t="n">
        <v>1</v>
      </c>
      <c r="T2358" s="3" t="inlineStr">
        <is>
          <t>6B/2025/2S</t>
        </is>
      </c>
      <c r="U2358" s="87" t="n">
        <v>45873</v>
      </c>
      <c r="V2358" s="3" t="inlineStr">
        <is>
          <t>23</t>
        </is>
      </c>
      <c r="W2358" s="87" t="n">
        <v>45873</v>
      </c>
      <c r="X2358" s="4" t="inlineStr">
        <is>
          <t xml:space="preserve">Bin Humaid National Trading Co </t>
        </is>
      </c>
    </row>
    <row r="2359" ht="24" customHeight="1">
      <c r="A2359" s="2">
        <f>+D2359-S2359</f>
        <v/>
      </c>
      <c r="B2359" s="80" t="n">
        <v>3977</v>
      </c>
      <c r="C2359" s="66" t="n">
        <v>45863</v>
      </c>
      <c r="D2359" s="2" t="n">
        <v>1</v>
      </c>
      <c r="E2359" s="3" t="inlineStr">
        <is>
          <t>FUCILE SEMIAUTOMATICO</t>
        </is>
      </c>
      <c r="F2359" s="3" t="inlineStr">
        <is>
          <t>12</t>
        </is>
      </c>
      <c r="G2359" s="3" t="inlineStr">
        <is>
          <t>BENELLI</t>
        </is>
      </c>
      <c r="H2359" s="65" t="inlineStr">
        <is>
          <t>M2 SP 26"</t>
        </is>
      </c>
      <c r="I2359" s="65" t="inlineStr">
        <is>
          <t>M0198227T</t>
        </is>
      </c>
      <c r="J2359" s="65" t="inlineStr">
        <is>
          <t>C1684453A</t>
        </is>
      </c>
      <c r="K2359" s="65" t="inlineStr">
        <is>
          <t>N/D</t>
        </is>
      </c>
      <c r="L2359" s="127" t="inlineStr">
        <is>
          <t>BENELLI ARMI SPA</t>
        </is>
      </c>
      <c r="M2359" s="5" t="n">
        <v>971</v>
      </c>
      <c r="N2359" s="5" t="n"/>
      <c r="O2359" s="5">
        <f>+M2359+N2359</f>
        <v/>
      </c>
      <c r="P2359" s="4" t="n">
        <v>45863</v>
      </c>
      <c r="Q2359" s="87" t="n">
        <v>45856</v>
      </c>
      <c r="R2359" s="5" t="n">
        <v>1106.94</v>
      </c>
      <c r="S2359" s="2" t="n">
        <v>1</v>
      </c>
      <c r="T2359" s="3" t="inlineStr">
        <is>
          <t>6B/2025/2S</t>
        </is>
      </c>
      <c r="U2359" s="87" t="n">
        <v>45873</v>
      </c>
      <c r="V2359" s="3" t="inlineStr">
        <is>
          <t>23</t>
        </is>
      </c>
      <c r="W2359" s="87" t="n">
        <v>45873</v>
      </c>
      <c r="X2359" s="4" t="inlineStr">
        <is>
          <t xml:space="preserve">Bin Humaid National Trading Co </t>
        </is>
      </c>
    </row>
    <row r="2360" ht="24" customHeight="1">
      <c r="A2360" s="2">
        <f>+D2360-S2360</f>
        <v/>
      </c>
      <c r="B2360" s="80" t="n">
        <v>3978</v>
      </c>
      <c r="C2360" s="66" t="n">
        <v>45863</v>
      </c>
      <c r="D2360" s="2" t="n">
        <v>1</v>
      </c>
      <c r="E2360" s="3" t="inlineStr">
        <is>
          <t>FUCILE SEMIAUTOMATICO</t>
        </is>
      </c>
      <c r="F2360" s="3" t="inlineStr">
        <is>
          <t>12</t>
        </is>
      </c>
      <c r="G2360" s="3" t="inlineStr">
        <is>
          <t>BENELLI</t>
        </is>
      </c>
      <c r="H2360" s="65" t="inlineStr">
        <is>
          <t>M2 SP 26"</t>
        </is>
      </c>
      <c r="I2360" s="65" t="inlineStr">
        <is>
          <t>M0198229V</t>
        </is>
      </c>
      <c r="J2360" s="65" t="inlineStr">
        <is>
          <t>C1684455C</t>
        </is>
      </c>
      <c r="K2360" s="65" t="inlineStr">
        <is>
          <t>N/D</t>
        </is>
      </c>
      <c r="L2360" s="127" t="inlineStr">
        <is>
          <t>BENELLI ARMI SPA</t>
        </is>
      </c>
      <c r="M2360" s="5" t="n">
        <v>971</v>
      </c>
      <c r="N2360" s="5" t="n"/>
      <c r="O2360" s="5">
        <f>+M2360+N2360</f>
        <v/>
      </c>
      <c r="P2360" s="4" t="n">
        <v>45863</v>
      </c>
      <c r="Q2360" s="87" t="n">
        <v>45856</v>
      </c>
      <c r="R2360" s="5" t="n">
        <v>1106.94</v>
      </c>
      <c r="S2360" s="2" t="n">
        <v>1</v>
      </c>
      <c r="T2360" s="3" t="inlineStr">
        <is>
          <t>6B/2025/2S</t>
        </is>
      </c>
      <c r="U2360" s="87" t="n">
        <v>45873</v>
      </c>
      <c r="V2360" s="3" t="inlineStr">
        <is>
          <t>23</t>
        </is>
      </c>
      <c r="W2360" s="87" t="n">
        <v>45873</v>
      </c>
      <c r="X2360" s="4" t="inlineStr">
        <is>
          <t xml:space="preserve">Bin Humaid National Trading Co </t>
        </is>
      </c>
    </row>
    <row r="2361" ht="24" customHeight="1">
      <c r="A2361" s="2">
        <f>+D2361-S2361</f>
        <v/>
      </c>
      <c r="B2361" s="80" t="n">
        <v>3979</v>
      </c>
      <c r="C2361" s="66" t="n">
        <v>45863</v>
      </c>
      <c r="D2361" s="2" t="n">
        <v>1</v>
      </c>
      <c r="E2361" s="3" t="inlineStr">
        <is>
          <t>FUCILE SEMIAUTOMATICO</t>
        </is>
      </c>
      <c r="F2361" s="3" t="inlineStr">
        <is>
          <t>12</t>
        </is>
      </c>
      <c r="G2361" s="3" t="inlineStr">
        <is>
          <t>BENELLI</t>
        </is>
      </c>
      <c r="H2361" s="65" t="inlineStr">
        <is>
          <t>M2 SP 26"</t>
        </is>
      </c>
      <c r="I2361" s="65" t="inlineStr">
        <is>
          <t>M0198231P</t>
        </is>
      </c>
      <c r="J2361" s="65" t="inlineStr">
        <is>
          <t>C1684470B</t>
        </is>
      </c>
      <c r="K2361" s="65" t="inlineStr">
        <is>
          <t>N/D</t>
        </is>
      </c>
      <c r="L2361" s="127" t="inlineStr">
        <is>
          <t>BENELLI ARMI SPA</t>
        </is>
      </c>
      <c r="M2361" s="5" t="n">
        <v>971</v>
      </c>
      <c r="N2361" s="5" t="n"/>
      <c r="O2361" s="5">
        <f>+M2361+N2361</f>
        <v/>
      </c>
      <c r="P2361" s="4" t="n">
        <v>45863</v>
      </c>
      <c r="Q2361" s="87" t="n">
        <v>45856</v>
      </c>
      <c r="R2361" s="5" t="n">
        <v>1106.94</v>
      </c>
      <c r="S2361" s="2" t="n">
        <v>1</v>
      </c>
      <c r="T2361" s="3" t="inlineStr">
        <is>
          <t>6B/2025/2S</t>
        </is>
      </c>
      <c r="U2361" s="87" t="n">
        <v>45873</v>
      </c>
      <c r="V2361" s="3" t="inlineStr">
        <is>
          <t>23</t>
        </is>
      </c>
      <c r="W2361" s="87" t="n">
        <v>45873</v>
      </c>
      <c r="X2361" s="4" t="inlineStr">
        <is>
          <t xml:space="preserve">Bin Humaid National Trading Co </t>
        </is>
      </c>
    </row>
    <row r="2362" ht="24" customHeight="1">
      <c r="A2362" s="2">
        <f>+D2362-S2362</f>
        <v/>
      </c>
      <c r="B2362" s="80" t="n">
        <v>3980</v>
      </c>
      <c r="C2362" s="66" t="n">
        <v>45863</v>
      </c>
      <c r="D2362" s="2" t="n">
        <v>1</v>
      </c>
      <c r="E2362" s="3" t="inlineStr">
        <is>
          <t>FUCILE SEMIAUTOMATICO</t>
        </is>
      </c>
      <c r="F2362" s="3" t="inlineStr">
        <is>
          <t>12</t>
        </is>
      </c>
      <c r="G2362" s="3" t="inlineStr">
        <is>
          <t>BENELLI</t>
        </is>
      </c>
      <c r="H2362" s="65" t="inlineStr">
        <is>
          <t>RAFFAELLO LORD 30"</t>
        </is>
      </c>
      <c r="I2362" s="65" t="inlineStr">
        <is>
          <t>F451467X</t>
        </is>
      </c>
      <c r="J2362" s="65" t="inlineStr">
        <is>
          <t>C1685529D</t>
        </is>
      </c>
      <c r="K2362" s="65" t="inlineStr">
        <is>
          <t>N/D</t>
        </is>
      </c>
      <c r="L2362" s="127" t="inlineStr">
        <is>
          <t>BENELLI ARMI SPA</t>
        </is>
      </c>
      <c r="M2362" s="5" t="n">
        <v>1702</v>
      </c>
      <c r="N2362" s="5" t="n"/>
      <c r="O2362" s="5">
        <f>+M2362+N2362</f>
        <v/>
      </c>
      <c r="P2362" s="4" t="n">
        <v>45863</v>
      </c>
      <c r="Q2362" s="87" t="n">
        <v>45856</v>
      </c>
      <c r="R2362" s="5" t="n">
        <v>1940.28</v>
      </c>
      <c r="S2362" s="2" t="n">
        <v>1</v>
      </c>
      <c r="T2362" s="3" t="inlineStr">
        <is>
          <t>6B/2025/2S</t>
        </is>
      </c>
      <c r="U2362" s="87" t="n">
        <v>45873</v>
      </c>
      <c r="V2362" s="3" t="inlineStr">
        <is>
          <t>23</t>
        </is>
      </c>
      <c r="W2362" s="87" t="n">
        <v>45873</v>
      </c>
      <c r="X2362" s="4" t="inlineStr">
        <is>
          <t xml:space="preserve">Bin Humaid National Trading Co </t>
        </is>
      </c>
    </row>
    <row r="2363" ht="24" customHeight="1">
      <c r="A2363" s="2">
        <f>+D2363-S2363</f>
        <v/>
      </c>
      <c r="B2363" s="80" t="n">
        <v>3981</v>
      </c>
      <c r="C2363" s="66" t="n">
        <v>45863</v>
      </c>
      <c r="D2363" s="2" t="n">
        <v>1</v>
      </c>
      <c r="E2363" s="3" t="inlineStr">
        <is>
          <t>FUCILE SEMIAUTOMATICO</t>
        </is>
      </c>
      <c r="F2363" s="3" t="inlineStr">
        <is>
          <t>12</t>
        </is>
      </c>
      <c r="G2363" s="3" t="inlineStr">
        <is>
          <t>BENELLI</t>
        </is>
      </c>
      <c r="H2363" s="65" t="inlineStr">
        <is>
          <t>RAFFAELLO LORD 30"</t>
        </is>
      </c>
      <c r="I2363" s="65" t="inlineStr">
        <is>
          <t>F451461J</t>
        </is>
      </c>
      <c r="J2363" s="65" t="inlineStr">
        <is>
          <t>C1685520U</t>
        </is>
      </c>
      <c r="K2363" s="65" t="inlineStr">
        <is>
          <t>N/D</t>
        </is>
      </c>
      <c r="L2363" s="127" t="inlineStr">
        <is>
          <t>BENELLI ARMI SPA</t>
        </is>
      </c>
      <c r="M2363" s="5" t="n">
        <v>1702</v>
      </c>
      <c r="N2363" s="5" t="n"/>
      <c r="O2363" s="5">
        <f>+M2363+N2363</f>
        <v/>
      </c>
      <c r="P2363" s="4" t="n">
        <v>45863</v>
      </c>
      <c r="Q2363" s="87" t="n">
        <v>45856</v>
      </c>
      <c r="R2363" s="5" t="n">
        <v>1940.28</v>
      </c>
      <c r="S2363" s="2" t="n">
        <v>1</v>
      </c>
      <c r="T2363" s="3" t="inlineStr">
        <is>
          <t>6B/2025/2S</t>
        </is>
      </c>
      <c r="U2363" s="87" t="n">
        <v>45873</v>
      </c>
      <c r="V2363" s="3" t="inlineStr">
        <is>
          <t>23</t>
        </is>
      </c>
      <c r="W2363" s="87" t="n">
        <v>45873</v>
      </c>
      <c r="X2363" s="4" t="inlineStr">
        <is>
          <t xml:space="preserve">Bin Humaid National Trading Co </t>
        </is>
      </c>
    </row>
    <row r="2364" ht="24" customHeight="1">
      <c r="A2364" s="2">
        <f>+D2364-S2364</f>
        <v/>
      </c>
      <c r="B2364" s="80" t="n">
        <v>3982</v>
      </c>
      <c r="C2364" s="66" t="n">
        <v>45863</v>
      </c>
      <c r="D2364" s="2" t="n">
        <v>1</v>
      </c>
      <c r="E2364" s="3" t="inlineStr">
        <is>
          <t>FUCILE SEMIAUTOMATICO</t>
        </is>
      </c>
      <c r="F2364" s="3" t="inlineStr">
        <is>
          <t>12</t>
        </is>
      </c>
      <c r="G2364" s="3" t="inlineStr">
        <is>
          <t>BENELLI</t>
        </is>
      </c>
      <c r="H2364" s="65" t="inlineStr">
        <is>
          <t>RAFFAELLO LORD 30"</t>
        </is>
      </c>
      <c r="I2364" s="65" t="inlineStr">
        <is>
          <t>F451462L</t>
        </is>
      </c>
      <c r="J2364" s="65" t="inlineStr">
        <is>
          <t>C1685526A</t>
        </is>
      </c>
      <c r="K2364" s="65" t="inlineStr">
        <is>
          <t>N/D</t>
        </is>
      </c>
      <c r="L2364" s="127" t="inlineStr">
        <is>
          <t>BENELLI ARMI SPA</t>
        </is>
      </c>
      <c r="M2364" s="5" t="n">
        <v>1702</v>
      </c>
      <c r="N2364" s="5" t="n"/>
      <c r="O2364" s="5">
        <f>+M2364+N2364</f>
        <v/>
      </c>
      <c r="P2364" s="4" t="n">
        <v>45863</v>
      </c>
      <c r="Q2364" s="87" t="n">
        <v>45856</v>
      </c>
      <c r="R2364" s="5" t="n">
        <v>1940.28</v>
      </c>
      <c r="S2364" s="2" t="n">
        <v>1</v>
      </c>
      <c r="T2364" s="3" t="inlineStr">
        <is>
          <t>6B/2025/2S</t>
        </is>
      </c>
      <c r="U2364" s="87" t="n">
        <v>45873</v>
      </c>
      <c r="V2364" s="3" t="inlineStr">
        <is>
          <t>23</t>
        </is>
      </c>
      <c r="W2364" s="87" t="n">
        <v>45873</v>
      </c>
      <c r="X2364" s="4" t="inlineStr">
        <is>
          <t xml:space="preserve">Bin Humaid National Trading Co </t>
        </is>
      </c>
    </row>
    <row r="2365" ht="24" customHeight="1">
      <c r="A2365" s="2">
        <f>+D2365-S2365</f>
        <v/>
      </c>
      <c r="B2365" s="80" t="n">
        <v>3983</v>
      </c>
      <c r="C2365" s="66" t="n">
        <v>45863</v>
      </c>
      <c r="D2365" s="2" t="n">
        <v>1</v>
      </c>
      <c r="E2365" s="3" t="inlineStr">
        <is>
          <t>FUCILE SEMIAUTOMATICO</t>
        </is>
      </c>
      <c r="F2365" s="3" t="inlineStr">
        <is>
          <t>12</t>
        </is>
      </c>
      <c r="G2365" s="3" t="inlineStr">
        <is>
          <t>BENELLI</t>
        </is>
      </c>
      <c r="H2365" s="65" t="inlineStr">
        <is>
          <t>BLACK EAGLE 30"</t>
        </is>
      </c>
      <c r="I2365" s="65" t="inlineStr">
        <is>
          <t>F450504L</t>
        </is>
      </c>
      <c r="J2365" s="65" t="inlineStr">
        <is>
          <t>C1682726V</t>
        </is>
      </c>
      <c r="K2365" s="65" t="inlineStr">
        <is>
          <t>N/D</t>
        </is>
      </c>
      <c r="L2365" s="127" t="inlineStr">
        <is>
          <t>BENELLI ARMI SPA</t>
        </is>
      </c>
      <c r="M2365" s="5" t="n">
        <v>1104</v>
      </c>
      <c r="N2365" s="5" t="n"/>
      <c r="O2365" s="5">
        <f>+M2365+N2365</f>
        <v/>
      </c>
      <c r="P2365" s="4" t="n">
        <v>45863</v>
      </c>
      <c r="Q2365" s="87" t="n">
        <v>45856</v>
      </c>
      <c r="R2365" s="5" t="n">
        <v>1258.56</v>
      </c>
      <c r="S2365" s="2" t="n">
        <v>1</v>
      </c>
      <c r="T2365" s="3" t="inlineStr">
        <is>
          <t>6B/2025/2S</t>
        </is>
      </c>
      <c r="U2365" s="87" t="n">
        <v>45873</v>
      </c>
      <c r="V2365" s="3" t="inlineStr">
        <is>
          <t>23</t>
        </is>
      </c>
      <c r="W2365" s="87" t="n">
        <v>45873</v>
      </c>
      <c r="X2365" s="4" t="inlineStr">
        <is>
          <t xml:space="preserve">Bin Humaid National Trading Co </t>
        </is>
      </c>
    </row>
    <row r="2366" ht="24" customHeight="1">
      <c r="A2366" s="2">
        <f>+D2366-S2366</f>
        <v/>
      </c>
      <c r="B2366" s="80" t="n">
        <v>3984</v>
      </c>
      <c r="C2366" s="66" t="n">
        <v>45863</v>
      </c>
      <c r="D2366" s="2" t="n">
        <v>1</v>
      </c>
      <c r="E2366" s="3" t="inlineStr">
        <is>
          <t>FUCILE SEMIAUTOMATICO</t>
        </is>
      </c>
      <c r="F2366" s="3" t="inlineStr">
        <is>
          <t>12</t>
        </is>
      </c>
      <c r="G2366" s="3" t="inlineStr">
        <is>
          <t>BENELLI</t>
        </is>
      </c>
      <c r="H2366" s="65" t="inlineStr">
        <is>
          <t>BLACK EAGLE 30"</t>
        </is>
      </c>
      <c r="I2366" s="65" t="inlineStr">
        <is>
          <t>F450502G</t>
        </is>
      </c>
      <c r="J2366" s="65" t="inlineStr">
        <is>
          <t>C1682728X</t>
        </is>
      </c>
      <c r="K2366" s="65" t="inlineStr">
        <is>
          <t>N/D</t>
        </is>
      </c>
      <c r="L2366" s="127" t="inlineStr">
        <is>
          <t>BENELLI ARMI SPA</t>
        </is>
      </c>
      <c r="M2366" s="5" t="n">
        <v>1104</v>
      </c>
      <c r="N2366" s="5" t="n"/>
      <c r="O2366" s="5">
        <f>+M2366+N2366</f>
        <v/>
      </c>
      <c r="P2366" s="4" t="n">
        <v>45863</v>
      </c>
      <c r="Q2366" s="87" t="n">
        <v>45856</v>
      </c>
      <c r="R2366" s="5" t="n">
        <v>1258.56</v>
      </c>
      <c r="S2366" s="2" t="n">
        <v>1</v>
      </c>
      <c r="T2366" s="3" t="inlineStr">
        <is>
          <t>6B/2025/2S</t>
        </is>
      </c>
      <c r="U2366" s="87" t="n">
        <v>45873</v>
      </c>
      <c r="V2366" s="3" t="inlineStr">
        <is>
          <t>23</t>
        </is>
      </c>
      <c r="W2366" s="87" t="n">
        <v>45873</v>
      </c>
      <c r="X2366" s="4" t="inlineStr">
        <is>
          <t xml:space="preserve">Bin Humaid National Trading Co </t>
        </is>
      </c>
    </row>
    <row r="2367" ht="24" customHeight="1">
      <c r="A2367" s="2">
        <f>+D2367-S2367</f>
        <v/>
      </c>
      <c r="B2367" s="80" t="n">
        <v>3985</v>
      </c>
      <c r="C2367" s="66" t="n">
        <v>45863</v>
      </c>
      <c r="D2367" s="2" t="n">
        <v>1</v>
      </c>
      <c r="E2367" s="3" t="inlineStr">
        <is>
          <t>FUCILE SEMIAUTOMATICO</t>
        </is>
      </c>
      <c r="F2367" s="3" t="inlineStr">
        <is>
          <t>12</t>
        </is>
      </c>
      <c r="G2367" s="3" t="inlineStr">
        <is>
          <t>BENELLI</t>
        </is>
      </c>
      <c r="H2367" s="65" t="inlineStr">
        <is>
          <t>BLACK EAGLE 30"</t>
        </is>
      </c>
      <c r="I2367" s="65" t="inlineStr">
        <is>
          <t>F450501E</t>
        </is>
      </c>
      <c r="J2367" s="65" t="inlineStr">
        <is>
          <t>C1682725U</t>
        </is>
      </c>
      <c r="K2367" s="65" t="inlineStr">
        <is>
          <t>N/D</t>
        </is>
      </c>
      <c r="L2367" s="127" t="inlineStr">
        <is>
          <t>BENELLI ARMI SPA</t>
        </is>
      </c>
      <c r="M2367" s="5" t="n">
        <v>1104</v>
      </c>
      <c r="N2367" s="5" t="n"/>
      <c r="O2367" s="5">
        <f>+M2367+N2367</f>
        <v/>
      </c>
      <c r="P2367" s="4" t="n">
        <v>45863</v>
      </c>
      <c r="Q2367" s="87" t="n">
        <v>45856</v>
      </c>
      <c r="R2367" s="5" t="n">
        <v>1258.56</v>
      </c>
      <c r="S2367" s="2" t="n">
        <v>1</v>
      </c>
      <c r="T2367" s="3" t="inlineStr">
        <is>
          <t>6B/2025/2S</t>
        </is>
      </c>
      <c r="U2367" s="87" t="n">
        <v>45873</v>
      </c>
      <c r="V2367" s="3" t="inlineStr">
        <is>
          <t>23</t>
        </is>
      </c>
      <c r="W2367" s="87" t="n">
        <v>45873</v>
      </c>
      <c r="X2367" s="4" t="inlineStr">
        <is>
          <t xml:space="preserve">Bin Humaid National Trading Co </t>
        </is>
      </c>
    </row>
    <row r="2368" ht="24" customHeight="1">
      <c r="A2368" s="2">
        <f>+D2368-S2368</f>
        <v/>
      </c>
      <c r="B2368" s="80" t="n">
        <v>3986</v>
      </c>
      <c r="C2368" s="66" t="n">
        <v>45863</v>
      </c>
      <c r="D2368" s="2" t="n">
        <v>1</v>
      </c>
      <c r="E2368" s="3" t="inlineStr">
        <is>
          <t>FUCILE SEMIAUTOMATICO</t>
        </is>
      </c>
      <c r="F2368" s="3" t="inlineStr">
        <is>
          <t>12</t>
        </is>
      </c>
      <c r="G2368" s="3" t="inlineStr">
        <is>
          <t>BENELLI</t>
        </is>
      </c>
      <c r="H2368" s="65" t="inlineStr">
        <is>
          <t>BLACK EAGLE 30"</t>
        </is>
      </c>
      <c r="I2368" s="65" t="inlineStr">
        <is>
          <t>F450499D</t>
        </is>
      </c>
      <c r="J2368" s="65" t="inlineStr">
        <is>
          <t>C1682721Q</t>
        </is>
      </c>
      <c r="K2368" s="65" t="inlineStr">
        <is>
          <t>N/D</t>
        </is>
      </c>
      <c r="L2368" s="127" t="inlineStr">
        <is>
          <t>BENELLI ARMI SPA</t>
        </is>
      </c>
      <c r="M2368" s="5" t="n">
        <v>1104</v>
      </c>
      <c r="N2368" s="5" t="n"/>
      <c r="O2368" s="5">
        <f>+M2368+N2368</f>
        <v/>
      </c>
      <c r="P2368" s="4" t="n">
        <v>45863</v>
      </c>
      <c r="Q2368" s="87" t="n">
        <v>45856</v>
      </c>
      <c r="R2368" s="5" t="n">
        <v>1258.56</v>
      </c>
      <c r="S2368" s="2" t="n">
        <v>1</v>
      </c>
      <c r="T2368" s="3" t="inlineStr">
        <is>
          <t>6B/2025/2S</t>
        </is>
      </c>
      <c r="U2368" s="87" t="n">
        <v>45873</v>
      </c>
      <c r="V2368" s="3" t="inlineStr">
        <is>
          <t>23</t>
        </is>
      </c>
      <c r="W2368" s="87" t="n">
        <v>45873</v>
      </c>
      <c r="X2368" s="4" t="inlineStr">
        <is>
          <t xml:space="preserve">Bin Humaid National Trading Co </t>
        </is>
      </c>
    </row>
    <row r="2369" ht="24" customHeight="1">
      <c r="A2369" s="2">
        <f>+D2369-S2369</f>
        <v/>
      </c>
      <c r="B2369" s="80" t="n">
        <v>3987</v>
      </c>
      <c r="C2369" s="66" t="n">
        <v>45863</v>
      </c>
      <c r="D2369" s="2" t="n">
        <v>1</v>
      </c>
      <c r="E2369" s="3" t="inlineStr">
        <is>
          <t>FUCILE SEMIAUTOMATICO</t>
        </is>
      </c>
      <c r="F2369" s="3" t="inlineStr">
        <is>
          <t>12</t>
        </is>
      </c>
      <c r="G2369" s="3" t="inlineStr">
        <is>
          <t>BENELLI</t>
        </is>
      </c>
      <c r="H2369" s="65" t="inlineStr">
        <is>
          <t>BLACK EAGLE 30"</t>
        </is>
      </c>
      <c r="I2369" s="65" t="inlineStr">
        <is>
          <t>F451667C</t>
        </is>
      </c>
      <c r="J2369" s="65" t="inlineStr">
        <is>
          <t>C1686275K</t>
        </is>
      </c>
      <c r="K2369" s="65" t="inlineStr">
        <is>
          <t>N/D</t>
        </is>
      </c>
      <c r="L2369" s="127" t="inlineStr">
        <is>
          <t>BENELLI ARMI SPA</t>
        </is>
      </c>
      <c r="M2369" s="5" t="n">
        <v>1104</v>
      </c>
      <c r="N2369" s="5" t="n"/>
      <c r="O2369" s="5">
        <f>+M2369+N2369</f>
        <v/>
      </c>
      <c r="P2369" s="4" t="n">
        <v>45863</v>
      </c>
      <c r="Q2369" s="87" t="n">
        <v>45856</v>
      </c>
      <c r="R2369" s="5" t="n">
        <v>1258.56</v>
      </c>
      <c r="S2369" s="2" t="n">
        <v>1</v>
      </c>
      <c r="T2369" s="3" t="inlineStr">
        <is>
          <t>6B/2025/2S</t>
        </is>
      </c>
      <c r="U2369" s="87" t="n">
        <v>45873</v>
      </c>
      <c r="V2369" s="3" t="inlineStr">
        <is>
          <t>23</t>
        </is>
      </c>
      <c r="W2369" s="87" t="n">
        <v>45873</v>
      </c>
      <c r="X2369" s="4" t="inlineStr">
        <is>
          <t xml:space="preserve">Bin Humaid National Trading Co </t>
        </is>
      </c>
    </row>
    <row r="2370" ht="24" customHeight="1">
      <c r="A2370" s="2">
        <f>+D2370-S2370</f>
        <v/>
      </c>
      <c r="B2370" s="80" t="n">
        <v>3988</v>
      </c>
      <c r="C2370" s="66" t="n">
        <v>45863</v>
      </c>
      <c r="D2370" s="2" t="n">
        <v>1</v>
      </c>
      <c r="E2370" s="3" t="inlineStr">
        <is>
          <t>FUCILE SEMIAUTOMATICO</t>
        </is>
      </c>
      <c r="F2370" s="3" t="inlineStr">
        <is>
          <t>12</t>
        </is>
      </c>
      <c r="G2370" s="3" t="inlineStr">
        <is>
          <t>BENELLI</t>
        </is>
      </c>
      <c r="H2370" s="65" t="inlineStr">
        <is>
          <t>BLACK EAGLE 30"</t>
        </is>
      </c>
      <c r="I2370" s="65" t="inlineStr">
        <is>
          <t>F451665Y</t>
        </is>
      </c>
      <c r="J2370" s="65" t="inlineStr">
        <is>
          <t>C1686282J</t>
        </is>
      </c>
      <c r="K2370" s="65" t="inlineStr">
        <is>
          <t>N/D</t>
        </is>
      </c>
      <c r="L2370" s="127" t="inlineStr">
        <is>
          <t>BENELLI ARMI SPA</t>
        </is>
      </c>
      <c r="M2370" s="5" t="n">
        <v>1104</v>
      </c>
      <c r="N2370" s="5" t="n"/>
      <c r="O2370" s="5">
        <f>+M2370+N2370</f>
        <v/>
      </c>
      <c r="P2370" s="4" t="n">
        <v>45863</v>
      </c>
      <c r="Q2370" s="87" t="n">
        <v>45856</v>
      </c>
      <c r="R2370" s="5" t="n">
        <v>1258.56</v>
      </c>
      <c r="S2370" s="2" t="n">
        <v>1</v>
      </c>
      <c r="T2370" s="3" t="inlineStr">
        <is>
          <t>6B/2025/2S</t>
        </is>
      </c>
      <c r="U2370" s="87" t="n">
        <v>45873</v>
      </c>
      <c r="V2370" s="3" t="inlineStr">
        <is>
          <t>23</t>
        </is>
      </c>
      <c r="W2370" s="87" t="n">
        <v>45873</v>
      </c>
      <c r="X2370" s="4" t="inlineStr">
        <is>
          <t xml:space="preserve">Bin Humaid National Trading Co </t>
        </is>
      </c>
    </row>
    <row r="2371" ht="24" customHeight="1">
      <c r="A2371" s="2">
        <f>+D2371-S2371</f>
        <v/>
      </c>
      <c r="B2371" s="80" t="n">
        <v>3989</v>
      </c>
      <c r="C2371" s="66" t="n">
        <v>45863</v>
      </c>
      <c r="D2371" s="2" t="n">
        <v>1</v>
      </c>
      <c r="E2371" s="3" t="inlineStr">
        <is>
          <t>FUCILE SEMIAUTOMATICO</t>
        </is>
      </c>
      <c r="F2371" s="3" t="inlineStr">
        <is>
          <t>12</t>
        </is>
      </c>
      <c r="G2371" s="3" t="inlineStr">
        <is>
          <t>BENELLI</t>
        </is>
      </c>
      <c r="H2371" s="65" t="inlineStr">
        <is>
          <t>BLACK EAGLE 30"</t>
        </is>
      </c>
      <c r="I2371" s="65" t="inlineStr">
        <is>
          <t>F451666A</t>
        </is>
      </c>
      <c r="J2371" s="65" t="inlineStr">
        <is>
          <t>C1686276L</t>
        </is>
      </c>
      <c r="K2371" s="65" t="inlineStr">
        <is>
          <t>N/D</t>
        </is>
      </c>
      <c r="L2371" s="127" t="inlineStr">
        <is>
          <t>BENELLI ARMI SPA</t>
        </is>
      </c>
      <c r="M2371" s="5" t="n">
        <v>1104</v>
      </c>
      <c r="N2371" s="5" t="n"/>
      <c r="O2371" s="5">
        <f>+M2371+N2371</f>
        <v/>
      </c>
      <c r="P2371" s="4" t="n">
        <v>45863</v>
      </c>
      <c r="Q2371" s="87" t="n">
        <v>45856</v>
      </c>
      <c r="R2371" s="5" t="n">
        <v>1258.56</v>
      </c>
      <c r="S2371" s="2" t="n">
        <v>1</v>
      </c>
      <c r="T2371" s="3" t="inlineStr">
        <is>
          <t>6B/2025/2S</t>
        </is>
      </c>
      <c r="U2371" s="87" t="n">
        <v>45873</v>
      </c>
      <c r="V2371" s="3" t="inlineStr">
        <is>
          <t>23</t>
        </is>
      </c>
      <c r="W2371" s="87" t="n">
        <v>45873</v>
      </c>
      <c r="X2371" s="4" t="inlineStr">
        <is>
          <t xml:space="preserve">Bin Humaid National Trading Co </t>
        </is>
      </c>
    </row>
    <row r="2372" ht="24" customHeight="1">
      <c r="A2372" s="2">
        <f>+D2372-S2372</f>
        <v/>
      </c>
      <c r="B2372" s="80" t="n">
        <v>3990</v>
      </c>
      <c r="C2372" s="66" t="n">
        <v>45863</v>
      </c>
      <c r="D2372" s="2" t="n">
        <v>1</v>
      </c>
      <c r="E2372" s="3" t="inlineStr">
        <is>
          <t>FUCILE SEMIAUTOMATICO</t>
        </is>
      </c>
      <c r="F2372" s="3" t="inlineStr">
        <is>
          <t>12</t>
        </is>
      </c>
      <c r="G2372" s="3" t="inlineStr">
        <is>
          <t>BENELLI</t>
        </is>
      </c>
      <c r="H2372" s="65" t="inlineStr">
        <is>
          <t>BLACK EAGLE 30"</t>
        </is>
      </c>
      <c r="I2372" s="65" t="inlineStr">
        <is>
          <t>F451668E</t>
        </is>
      </c>
      <c r="J2372" s="65" t="inlineStr">
        <is>
          <t>C1686283K</t>
        </is>
      </c>
      <c r="K2372" s="65" t="inlineStr">
        <is>
          <t>N/D</t>
        </is>
      </c>
      <c r="L2372" s="127" t="inlineStr">
        <is>
          <t>BENELLI ARMI SPA</t>
        </is>
      </c>
      <c r="M2372" s="5" t="n">
        <v>1104</v>
      </c>
      <c r="N2372" s="5" t="n"/>
      <c r="O2372" s="5">
        <f>+M2372+N2372</f>
        <v/>
      </c>
      <c r="P2372" s="4" t="n">
        <v>45863</v>
      </c>
      <c r="Q2372" s="87" t="n">
        <v>45856</v>
      </c>
      <c r="R2372" s="5" t="n">
        <v>1258.56</v>
      </c>
      <c r="S2372" s="2" t="n">
        <v>1</v>
      </c>
      <c r="T2372" s="3" t="inlineStr">
        <is>
          <t>6B/2025/2S</t>
        </is>
      </c>
      <c r="U2372" s="87" t="n">
        <v>45873</v>
      </c>
      <c r="V2372" s="3" t="inlineStr">
        <is>
          <t>23</t>
        </is>
      </c>
      <c r="W2372" s="87" t="n">
        <v>45873</v>
      </c>
      <c r="X2372" s="4" t="inlineStr">
        <is>
          <t xml:space="preserve">Bin Humaid National Trading Co </t>
        </is>
      </c>
    </row>
    <row r="2373" ht="24" customHeight="1">
      <c r="A2373" s="2">
        <f>+D2373-S2373</f>
        <v/>
      </c>
      <c r="B2373" s="80" t="n">
        <v>3991</v>
      </c>
      <c r="C2373" s="66" t="n">
        <v>45863</v>
      </c>
      <c r="D2373" s="2" t="n">
        <v>1</v>
      </c>
      <c r="E2373" s="3" t="inlineStr">
        <is>
          <t>FUCILE SEMIAUTOMATICO</t>
        </is>
      </c>
      <c r="F2373" s="3" t="inlineStr">
        <is>
          <t>12</t>
        </is>
      </c>
      <c r="G2373" s="3" t="inlineStr">
        <is>
          <t>BENELLI</t>
        </is>
      </c>
      <c r="H2373" s="65" t="inlineStr">
        <is>
          <t>BLACK EAGLE 30"</t>
        </is>
      </c>
      <c r="I2373" s="65" t="inlineStr">
        <is>
          <t>F452604Q</t>
        </is>
      </c>
      <c r="J2373" s="65" t="inlineStr">
        <is>
          <t>C1688045E</t>
        </is>
      </c>
      <c r="K2373" s="65" t="inlineStr">
        <is>
          <t>N/D</t>
        </is>
      </c>
      <c r="L2373" s="127" t="inlineStr">
        <is>
          <t>BENELLI ARMI SPA</t>
        </is>
      </c>
      <c r="M2373" s="5" t="n">
        <v>1104</v>
      </c>
      <c r="N2373" s="5" t="n"/>
      <c r="O2373" s="5">
        <f>+M2373+N2373</f>
        <v/>
      </c>
      <c r="P2373" s="4" t="n">
        <v>45863</v>
      </c>
      <c r="Q2373" s="87" t="n">
        <v>45856</v>
      </c>
      <c r="R2373" s="5" t="n">
        <v>1258.56</v>
      </c>
      <c r="S2373" s="2" t="n">
        <v>1</v>
      </c>
      <c r="T2373" s="3" t="inlineStr">
        <is>
          <t>6B/2025/2S</t>
        </is>
      </c>
      <c r="U2373" s="87" t="n">
        <v>45873</v>
      </c>
      <c r="V2373" s="3" t="inlineStr">
        <is>
          <t>23</t>
        </is>
      </c>
      <c r="W2373" s="87" t="n">
        <v>45873</v>
      </c>
      <c r="X2373" s="4" t="inlineStr">
        <is>
          <t xml:space="preserve">Bin Humaid National Trading Co </t>
        </is>
      </c>
    </row>
    <row r="2374" ht="24" customHeight="1">
      <c r="A2374" s="2">
        <f>+D2374-S2374</f>
        <v/>
      </c>
      <c r="B2374" s="80" t="n">
        <v>3992</v>
      </c>
      <c r="C2374" s="66" t="n">
        <v>45863</v>
      </c>
      <c r="D2374" s="2" t="n">
        <v>1</v>
      </c>
      <c r="E2374" s="3" t="inlineStr">
        <is>
          <t>FUCILE SEMIAUTOMATICO</t>
        </is>
      </c>
      <c r="F2374" s="3" t="inlineStr">
        <is>
          <t>12</t>
        </is>
      </c>
      <c r="G2374" s="3" t="inlineStr">
        <is>
          <t>BENELLI</t>
        </is>
      </c>
      <c r="H2374" s="65" t="inlineStr">
        <is>
          <t>SBE3 BE.S.T.30"</t>
        </is>
      </c>
      <c r="I2374" s="65" t="inlineStr">
        <is>
          <t>U773620S</t>
        </is>
      </c>
      <c r="J2374" s="65" t="inlineStr">
        <is>
          <t>S812191B</t>
        </is>
      </c>
      <c r="K2374" s="65" t="inlineStr">
        <is>
          <t>N/D</t>
        </is>
      </c>
      <c r="L2374" s="127" t="inlineStr">
        <is>
          <t>BENELLI ARMI SPA</t>
        </is>
      </c>
      <c r="M2374" s="5" t="n">
        <v>1334</v>
      </c>
      <c r="N2374" s="5" t="n"/>
      <c r="O2374" s="5">
        <f>+M2374+N2374</f>
        <v/>
      </c>
      <c r="P2374" s="4" t="n">
        <v>45863</v>
      </c>
      <c r="Q2374" s="87" t="n">
        <v>45856</v>
      </c>
      <c r="R2374" s="5" t="n">
        <v>1520.76</v>
      </c>
      <c r="S2374" s="2" t="n">
        <v>1</v>
      </c>
      <c r="T2374" s="3" t="inlineStr">
        <is>
          <t>6B/2025/2S</t>
        </is>
      </c>
      <c r="U2374" s="87" t="n">
        <v>45873</v>
      </c>
      <c r="V2374" s="3" t="inlineStr">
        <is>
          <t>23</t>
        </is>
      </c>
      <c r="W2374" s="87" t="n">
        <v>45873</v>
      </c>
      <c r="X2374" s="4" t="inlineStr">
        <is>
          <t xml:space="preserve">Bin Humaid National Trading Co </t>
        </is>
      </c>
    </row>
    <row r="2375" ht="24" customHeight="1">
      <c r="A2375" s="2">
        <f>+D2375-S2375</f>
        <v/>
      </c>
      <c r="B2375" s="80" t="n">
        <v>3993</v>
      </c>
      <c r="C2375" s="66" t="n">
        <v>45863</v>
      </c>
      <c r="D2375" s="2" t="n">
        <v>1</v>
      </c>
      <c r="E2375" s="3" t="inlineStr">
        <is>
          <t>FUCILE SEMIAUTOMATICO</t>
        </is>
      </c>
      <c r="F2375" s="3" t="inlineStr">
        <is>
          <t>12</t>
        </is>
      </c>
      <c r="G2375" s="3" t="inlineStr">
        <is>
          <t>BENELLI</t>
        </is>
      </c>
      <c r="H2375" s="65" t="inlineStr">
        <is>
          <t>SBE3 BE.S.T.30"</t>
        </is>
      </c>
      <c r="I2375" s="65" t="inlineStr">
        <is>
          <t>U773621U</t>
        </is>
      </c>
      <c r="J2375" s="65" t="inlineStr">
        <is>
          <t>S812214B</t>
        </is>
      </c>
      <c r="K2375" s="65" t="inlineStr">
        <is>
          <t>N/D</t>
        </is>
      </c>
      <c r="L2375" s="127" t="inlineStr">
        <is>
          <t>BENELLI ARMI SPA</t>
        </is>
      </c>
      <c r="M2375" s="5" t="n">
        <v>1334</v>
      </c>
      <c r="N2375" s="5" t="n"/>
      <c r="O2375" s="5">
        <f>+M2375+N2375</f>
        <v/>
      </c>
      <c r="P2375" s="4" t="n">
        <v>45863</v>
      </c>
      <c r="Q2375" s="87" t="n">
        <v>45856</v>
      </c>
      <c r="R2375" s="5" t="n">
        <v>1520.76</v>
      </c>
      <c r="S2375" s="2" t="n">
        <v>1</v>
      </c>
      <c r="T2375" s="3" t="inlineStr">
        <is>
          <t>6B/2025/2S</t>
        </is>
      </c>
      <c r="U2375" s="87" t="n">
        <v>45873</v>
      </c>
      <c r="V2375" s="3" t="inlineStr">
        <is>
          <t>23</t>
        </is>
      </c>
      <c r="W2375" s="87" t="n">
        <v>45873</v>
      </c>
      <c r="X2375" s="4" t="inlineStr">
        <is>
          <t xml:space="preserve">Bin Humaid National Trading Co </t>
        </is>
      </c>
    </row>
    <row r="2376" ht="24" customHeight="1">
      <c r="A2376" s="2">
        <f>+D2376-S2376</f>
        <v/>
      </c>
      <c r="B2376" s="80" t="n">
        <v>3994</v>
      </c>
      <c r="C2376" s="66" t="n">
        <v>45863</v>
      </c>
      <c r="D2376" s="2" t="n">
        <v>1</v>
      </c>
      <c r="E2376" s="3" t="inlineStr">
        <is>
          <t>FUCILE SEMIAUTOMATICO</t>
        </is>
      </c>
      <c r="F2376" s="3" t="inlineStr">
        <is>
          <t>12</t>
        </is>
      </c>
      <c r="G2376" s="3" t="inlineStr">
        <is>
          <t>BENELLI</t>
        </is>
      </c>
      <c r="H2376" s="65" t="inlineStr">
        <is>
          <t>SBE3 BE.S.T.30"</t>
        </is>
      </c>
      <c r="I2376" s="65" t="inlineStr">
        <is>
          <t>U773622W</t>
        </is>
      </c>
      <c r="J2376" s="65" t="inlineStr">
        <is>
          <t>S812217J</t>
        </is>
      </c>
      <c r="K2376" s="65" t="inlineStr">
        <is>
          <t>N/D</t>
        </is>
      </c>
      <c r="L2376" s="127" t="inlineStr">
        <is>
          <t>BENELLI ARMI SPA</t>
        </is>
      </c>
      <c r="M2376" s="5" t="n">
        <v>1334</v>
      </c>
      <c r="N2376" s="5" t="n"/>
      <c r="O2376" s="5">
        <f>+M2376+N2376</f>
        <v/>
      </c>
      <c r="P2376" s="4" t="n">
        <v>45863</v>
      </c>
      <c r="Q2376" s="87" t="n">
        <v>45856</v>
      </c>
      <c r="R2376" s="5" t="n">
        <v>1520.76</v>
      </c>
      <c r="S2376" s="2" t="n">
        <v>1</v>
      </c>
      <c r="T2376" s="3" t="inlineStr">
        <is>
          <t>6B/2025/2S</t>
        </is>
      </c>
      <c r="U2376" s="87" t="n">
        <v>45873</v>
      </c>
      <c r="V2376" s="3" t="inlineStr">
        <is>
          <t>23</t>
        </is>
      </c>
      <c r="W2376" s="87" t="n">
        <v>45873</v>
      </c>
      <c r="X2376" s="4" t="inlineStr">
        <is>
          <t xml:space="preserve">Bin Humaid National Trading Co </t>
        </is>
      </c>
    </row>
    <row r="2377" ht="24" customHeight="1">
      <c r="A2377" s="2">
        <f>+D2377-S2377</f>
        <v/>
      </c>
      <c r="B2377" s="80" t="n">
        <v>3995</v>
      </c>
      <c r="C2377" s="66" t="n">
        <v>45863</v>
      </c>
      <c r="D2377" s="2" t="n">
        <v>1</v>
      </c>
      <c r="E2377" s="3" t="inlineStr">
        <is>
          <t>FUCILE SEMIAUTOMATICO</t>
        </is>
      </c>
      <c r="F2377" s="3" t="inlineStr">
        <is>
          <t>12</t>
        </is>
      </c>
      <c r="G2377" s="3" t="inlineStr">
        <is>
          <t>BENELLI</t>
        </is>
      </c>
      <c r="H2377" s="65" t="inlineStr">
        <is>
          <t>SBE3 BE.S.T.30"</t>
        </is>
      </c>
      <c r="I2377" s="65" t="inlineStr">
        <is>
          <t>U773628K</t>
        </is>
      </c>
      <c r="J2377" s="65" t="inlineStr">
        <is>
          <t>S812190Z</t>
        </is>
      </c>
      <c r="K2377" s="65" t="inlineStr">
        <is>
          <t>N/D</t>
        </is>
      </c>
      <c r="L2377" s="127" t="inlineStr">
        <is>
          <t>BENELLI ARMI SPA</t>
        </is>
      </c>
      <c r="M2377" s="5" t="n">
        <v>1334</v>
      </c>
      <c r="N2377" s="5" t="n"/>
      <c r="O2377" s="5">
        <f>+M2377+N2377</f>
        <v/>
      </c>
      <c r="P2377" s="4" t="n">
        <v>45863</v>
      </c>
      <c r="Q2377" s="87" t="n">
        <v>45856</v>
      </c>
      <c r="R2377" s="5" t="n">
        <v>1520.76</v>
      </c>
      <c r="S2377" s="2" t="n">
        <v>1</v>
      </c>
      <c r="T2377" s="3" t="inlineStr">
        <is>
          <t>6B/2025/2S</t>
        </is>
      </c>
      <c r="U2377" s="87" t="n">
        <v>45873</v>
      </c>
      <c r="V2377" s="3" t="inlineStr">
        <is>
          <t>23</t>
        </is>
      </c>
      <c r="W2377" s="87" t="n">
        <v>45873</v>
      </c>
      <c r="X2377" s="4" t="inlineStr">
        <is>
          <t xml:space="preserve">Bin Humaid National Trading Co </t>
        </is>
      </c>
    </row>
    <row r="2378" ht="24" customHeight="1">
      <c r="A2378" s="2">
        <f>+D2378-S2378</f>
        <v/>
      </c>
      <c r="B2378" s="80" t="n">
        <v>3996</v>
      </c>
      <c r="C2378" s="66" t="n">
        <v>45863</v>
      </c>
      <c r="D2378" s="2" t="n">
        <v>1</v>
      </c>
      <c r="E2378" s="3" t="inlineStr">
        <is>
          <t>FUCILE SEMIAUTOMATICO</t>
        </is>
      </c>
      <c r="F2378" s="3" t="inlineStr">
        <is>
          <t>12</t>
        </is>
      </c>
      <c r="G2378" s="3" t="inlineStr">
        <is>
          <t>BENELLI</t>
        </is>
      </c>
      <c r="H2378" s="65" t="inlineStr">
        <is>
          <t>SBE3 BE.S.T.30"</t>
        </is>
      </c>
      <c r="I2378" s="65" t="inlineStr">
        <is>
          <t>U784144U</t>
        </is>
      </c>
      <c r="J2378" s="65" t="inlineStr">
        <is>
          <t>S822833S</t>
        </is>
      </c>
      <c r="K2378" s="65" t="inlineStr">
        <is>
          <t>N/D</t>
        </is>
      </c>
      <c r="L2378" s="127" t="inlineStr">
        <is>
          <t>BENELLI ARMI SPA</t>
        </is>
      </c>
      <c r="M2378" s="5" t="n">
        <v>1334</v>
      </c>
      <c r="N2378" s="5" t="n"/>
      <c r="O2378" s="5">
        <f>+M2378+N2378</f>
        <v/>
      </c>
      <c r="P2378" s="4" t="n">
        <v>45863</v>
      </c>
      <c r="Q2378" s="87" t="n">
        <v>45856</v>
      </c>
      <c r="R2378" s="5" t="n">
        <v>1520.76</v>
      </c>
      <c r="S2378" s="2" t="n">
        <v>1</v>
      </c>
      <c r="T2378" s="3" t="inlineStr">
        <is>
          <t>6B/2025/2S</t>
        </is>
      </c>
      <c r="U2378" s="87" t="n">
        <v>45873</v>
      </c>
      <c r="V2378" s="3" t="inlineStr">
        <is>
          <t>23</t>
        </is>
      </c>
      <c r="W2378" s="87" t="n">
        <v>45873</v>
      </c>
      <c r="X2378" s="4" t="inlineStr">
        <is>
          <t xml:space="preserve">Bin Humaid National Trading Co </t>
        </is>
      </c>
    </row>
    <row r="2379" ht="24" customHeight="1">
      <c r="A2379" s="2">
        <f>+D2379-S2379</f>
        <v/>
      </c>
      <c r="B2379" s="80" t="n">
        <v>3997</v>
      </c>
      <c r="C2379" s="66" t="n">
        <v>45863</v>
      </c>
      <c r="D2379" s="2" t="n">
        <v>1</v>
      </c>
      <c r="E2379" s="3" t="inlineStr">
        <is>
          <t>FUCILE SEMIAUTOMATICO</t>
        </is>
      </c>
      <c r="F2379" s="3" t="inlineStr">
        <is>
          <t>12</t>
        </is>
      </c>
      <c r="G2379" s="3" t="inlineStr">
        <is>
          <t>BENELLI</t>
        </is>
      </c>
      <c r="H2379" s="65" t="inlineStr">
        <is>
          <t>SBE3 BE.S.T.30"</t>
        </is>
      </c>
      <c r="I2379" s="65" t="inlineStr">
        <is>
          <t>U784146Z</t>
        </is>
      </c>
      <c r="J2379" s="65" t="inlineStr">
        <is>
          <t>S822856B</t>
        </is>
      </c>
      <c r="K2379" s="65" t="inlineStr">
        <is>
          <t>N/D</t>
        </is>
      </c>
      <c r="L2379" s="127" t="inlineStr">
        <is>
          <t>BENELLI ARMI SPA</t>
        </is>
      </c>
      <c r="M2379" s="5" t="n">
        <v>1334</v>
      </c>
      <c r="N2379" s="5" t="n"/>
      <c r="O2379" s="5">
        <f>+M2379+N2379</f>
        <v/>
      </c>
      <c r="P2379" s="4" t="n">
        <v>45863</v>
      </c>
      <c r="Q2379" s="87" t="n">
        <v>45856</v>
      </c>
      <c r="R2379" s="5" t="n">
        <v>1520.76</v>
      </c>
      <c r="S2379" s="2" t="n">
        <v>1</v>
      </c>
      <c r="T2379" s="3" t="inlineStr">
        <is>
          <t>6B/2025/2S</t>
        </is>
      </c>
      <c r="U2379" s="87" t="n">
        <v>45873</v>
      </c>
      <c r="V2379" s="3" t="inlineStr">
        <is>
          <t>23</t>
        </is>
      </c>
      <c r="W2379" s="87" t="n">
        <v>45873</v>
      </c>
      <c r="X2379" s="4" t="inlineStr">
        <is>
          <t xml:space="preserve">Bin Humaid National Trading Co </t>
        </is>
      </c>
    </row>
    <row r="2380" ht="24" customHeight="1">
      <c r="A2380" s="2">
        <f>+D2380-S2380</f>
        <v/>
      </c>
      <c r="B2380" s="80" t="n">
        <v>3998</v>
      </c>
      <c r="C2380" s="66" t="n">
        <v>45863</v>
      </c>
      <c r="D2380" s="2" t="n">
        <v>1</v>
      </c>
      <c r="E2380" s="3" t="inlineStr">
        <is>
          <t>FUCILE SEMIAUTOMATICO</t>
        </is>
      </c>
      <c r="F2380" s="3" t="inlineStr">
        <is>
          <t>12</t>
        </is>
      </c>
      <c r="G2380" s="3" t="inlineStr">
        <is>
          <t>BENELLI</t>
        </is>
      </c>
      <c r="H2380" s="65" t="inlineStr">
        <is>
          <t>SBE3 BE.S.T.30"</t>
        </is>
      </c>
      <c r="I2380" s="65" t="inlineStr">
        <is>
          <t>U784147B</t>
        </is>
      </c>
      <c r="J2380" s="65" t="inlineStr">
        <is>
          <t>S822842R</t>
        </is>
      </c>
      <c r="K2380" s="65" t="inlineStr">
        <is>
          <t>N/D</t>
        </is>
      </c>
      <c r="L2380" s="127" t="inlineStr">
        <is>
          <t>BENELLI ARMI SPA</t>
        </is>
      </c>
      <c r="M2380" s="5" t="n">
        <v>1334</v>
      </c>
      <c r="N2380" s="5" t="n"/>
      <c r="O2380" s="5">
        <f>+M2380+N2380</f>
        <v/>
      </c>
      <c r="P2380" s="4" t="n">
        <v>45863</v>
      </c>
      <c r="Q2380" s="87" t="n">
        <v>45856</v>
      </c>
      <c r="R2380" s="5" t="n">
        <v>1520.76</v>
      </c>
      <c r="S2380" s="2" t="n">
        <v>1</v>
      </c>
      <c r="T2380" s="3" t="inlineStr">
        <is>
          <t>6B/2025/2S</t>
        </is>
      </c>
      <c r="U2380" s="87" t="n">
        <v>45873</v>
      </c>
      <c r="V2380" s="3" t="inlineStr">
        <is>
          <t>23</t>
        </is>
      </c>
      <c r="W2380" s="87" t="n">
        <v>45873</v>
      </c>
      <c r="X2380" s="4" t="inlineStr">
        <is>
          <t xml:space="preserve">Bin Humaid National Trading Co </t>
        </is>
      </c>
    </row>
    <row r="2381" ht="24" customHeight="1">
      <c r="A2381" s="2">
        <f>+D2381-S2381</f>
        <v/>
      </c>
      <c r="B2381" s="80" t="n">
        <v>3999</v>
      </c>
      <c r="C2381" s="66" t="n">
        <v>45863</v>
      </c>
      <c r="D2381" s="2" t="n">
        <v>1</v>
      </c>
      <c r="E2381" s="3" t="inlineStr">
        <is>
          <t>FUCILE SEMIAUTOMATICO</t>
        </is>
      </c>
      <c r="F2381" s="3" t="inlineStr">
        <is>
          <t>12</t>
        </is>
      </c>
      <c r="G2381" s="3" t="inlineStr">
        <is>
          <t>BENELLI</t>
        </is>
      </c>
      <c r="H2381" s="65" t="inlineStr">
        <is>
          <t>SBE3 BE.S.T.30"</t>
        </is>
      </c>
      <c r="I2381" s="65" t="inlineStr">
        <is>
          <t>U784148D</t>
        </is>
      </c>
      <c r="J2381" s="65" t="inlineStr">
        <is>
          <t>S822869J</t>
        </is>
      </c>
      <c r="K2381" s="65" t="inlineStr">
        <is>
          <t>N/D</t>
        </is>
      </c>
      <c r="L2381" s="127" t="inlineStr">
        <is>
          <t>BENELLI ARMI SPA</t>
        </is>
      </c>
      <c r="M2381" s="5" t="n">
        <v>1334</v>
      </c>
      <c r="N2381" s="5" t="n"/>
      <c r="O2381" s="5">
        <f>+M2381+N2381</f>
        <v/>
      </c>
      <c r="P2381" s="4" t="n">
        <v>45863</v>
      </c>
      <c r="Q2381" s="87" t="n">
        <v>45856</v>
      </c>
      <c r="R2381" s="5" t="n">
        <v>1520.76</v>
      </c>
      <c r="S2381" s="2" t="n">
        <v>1</v>
      </c>
      <c r="T2381" s="3" t="inlineStr">
        <is>
          <t>6B/2025/2S</t>
        </is>
      </c>
      <c r="U2381" s="87" t="n">
        <v>45873</v>
      </c>
      <c r="V2381" s="3" t="inlineStr">
        <is>
          <t>23</t>
        </is>
      </c>
      <c r="W2381" s="87" t="n">
        <v>45873</v>
      </c>
      <c r="X2381" s="4" t="inlineStr">
        <is>
          <t xml:space="preserve">Bin Humaid National Trading Co </t>
        </is>
      </c>
    </row>
    <row r="2382" ht="24" customHeight="1">
      <c r="A2382" s="2">
        <f>+D2382-S2382</f>
        <v/>
      </c>
      <c r="B2382" s="80" t="n">
        <v>4000</v>
      </c>
      <c r="C2382" s="66" t="n">
        <v>45863</v>
      </c>
      <c r="D2382" s="2" t="n">
        <v>1</v>
      </c>
      <c r="E2382" s="3" t="inlineStr">
        <is>
          <t>FUCILE SEMIAUTOMATICO</t>
        </is>
      </c>
      <c r="F2382" s="3" t="inlineStr">
        <is>
          <t>12</t>
        </is>
      </c>
      <c r="G2382" s="3" t="inlineStr">
        <is>
          <t>BENELLI</t>
        </is>
      </c>
      <c r="H2382" s="65" t="inlineStr">
        <is>
          <t>MONTEFELTRO BLACK 30"</t>
        </is>
      </c>
      <c r="I2382" s="65" t="inlineStr">
        <is>
          <t>M0140888R</t>
        </is>
      </c>
      <c r="J2382" s="65" t="inlineStr">
        <is>
          <t>C1582275Y</t>
        </is>
      </c>
      <c r="K2382" s="65" t="inlineStr">
        <is>
          <t>N/D</t>
        </is>
      </c>
      <c r="L2382" s="127" t="inlineStr">
        <is>
          <t>BENELLI ARMI SPA</t>
        </is>
      </c>
      <c r="M2382" s="5" t="n">
        <v>751</v>
      </c>
      <c r="N2382" s="5" t="n"/>
      <c r="O2382" s="5">
        <f>+M2382+N2382</f>
        <v/>
      </c>
      <c r="P2382" s="4" t="n">
        <v>45863</v>
      </c>
      <c r="Q2382" s="87" t="n">
        <v>45856</v>
      </c>
      <c r="R2382" s="5" t="n">
        <v>856.14</v>
      </c>
      <c r="S2382" s="2" t="n">
        <v>1</v>
      </c>
      <c r="T2382" s="3" t="inlineStr">
        <is>
          <t>6B/2025/2S</t>
        </is>
      </c>
      <c r="U2382" s="87" t="n">
        <v>45873</v>
      </c>
      <c r="V2382" s="3" t="inlineStr">
        <is>
          <t>23</t>
        </is>
      </c>
      <c r="W2382" s="87" t="n">
        <v>45873</v>
      </c>
      <c r="X2382" s="4" t="inlineStr">
        <is>
          <t xml:space="preserve">Bin Humaid National Trading Co </t>
        </is>
      </c>
    </row>
    <row r="2383" ht="24" customHeight="1">
      <c r="A2383" s="2">
        <f>+D2383-S2383</f>
        <v/>
      </c>
      <c r="B2383" s="80" t="n">
        <v>4001</v>
      </c>
      <c r="C2383" s="66" t="n">
        <v>45863</v>
      </c>
      <c r="D2383" s="2" t="n">
        <v>1</v>
      </c>
      <c r="E2383" s="3" t="inlineStr">
        <is>
          <t>FUCILE SEMIAUTOMATICO</t>
        </is>
      </c>
      <c r="F2383" s="3" t="inlineStr">
        <is>
          <t>12</t>
        </is>
      </c>
      <c r="G2383" s="3" t="inlineStr">
        <is>
          <t>BENELLI</t>
        </is>
      </c>
      <c r="H2383" s="65" t="inlineStr">
        <is>
          <t>MONTEFELTRO BLACK 30"</t>
        </is>
      </c>
      <c r="I2383" s="65" t="inlineStr">
        <is>
          <t>M0140887Q</t>
        </is>
      </c>
      <c r="J2383" s="65" t="inlineStr">
        <is>
          <t>C1582282X</t>
        </is>
      </c>
      <c r="K2383" s="65" t="inlineStr">
        <is>
          <t>N/D</t>
        </is>
      </c>
      <c r="L2383" s="127" t="inlineStr">
        <is>
          <t>BENELLI ARMI SPA</t>
        </is>
      </c>
      <c r="M2383" s="5" t="n">
        <v>751</v>
      </c>
      <c r="N2383" s="5" t="n"/>
      <c r="O2383" s="5">
        <f>+M2383+N2383</f>
        <v/>
      </c>
      <c r="P2383" s="4" t="n">
        <v>45863</v>
      </c>
      <c r="Q2383" s="87" t="n">
        <v>45856</v>
      </c>
      <c r="R2383" s="5" t="n">
        <v>856.14</v>
      </c>
      <c r="S2383" s="2" t="n">
        <v>1</v>
      </c>
      <c r="T2383" s="3" t="inlineStr">
        <is>
          <t>6B/2025/2S</t>
        </is>
      </c>
      <c r="U2383" s="87" t="n">
        <v>45873</v>
      </c>
      <c r="V2383" s="3" t="inlineStr">
        <is>
          <t>23</t>
        </is>
      </c>
      <c r="W2383" s="87" t="n">
        <v>45873</v>
      </c>
      <c r="X2383" s="4" t="inlineStr">
        <is>
          <t xml:space="preserve">Bin Humaid National Trading Co </t>
        </is>
      </c>
    </row>
    <row r="2384" ht="24" customHeight="1">
      <c r="A2384" s="2">
        <f>+D2384-S2384</f>
        <v/>
      </c>
      <c r="B2384" s="80" t="n">
        <v>4002</v>
      </c>
      <c r="C2384" s="66" t="n">
        <v>45863</v>
      </c>
      <c r="D2384" s="2" t="n">
        <v>1</v>
      </c>
      <c r="E2384" s="3" t="inlineStr">
        <is>
          <t>FUCILE SEMIAUTOMATICO</t>
        </is>
      </c>
      <c r="F2384" s="3" t="inlineStr">
        <is>
          <t>12</t>
        </is>
      </c>
      <c r="G2384" s="3" t="inlineStr">
        <is>
          <t>BENELLI</t>
        </is>
      </c>
      <c r="H2384" s="65" t="inlineStr">
        <is>
          <t>MONTEFELTRO BLACK 30"</t>
        </is>
      </c>
      <c r="I2384" s="65" t="inlineStr">
        <is>
          <t>M0140885N</t>
        </is>
      </c>
      <c r="J2384" s="65" t="inlineStr">
        <is>
          <t>C1582268Z</t>
        </is>
      </c>
      <c r="K2384" s="65" t="inlineStr">
        <is>
          <t>N/D</t>
        </is>
      </c>
      <c r="L2384" s="127" t="inlineStr">
        <is>
          <t>BENELLI ARMI SPA</t>
        </is>
      </c>
      <c r="M2384" s="5" t="n">
        <v>751</v>
      </c>
      <c r="N2384" s="5" t="n"/>
      <c r="O2384" s="5">
        <f>+M2384+N2384</f>
        <v/>
      </c>
      <c r="P2384" s="4" t="n">
        <v>45863</v>
      </c>
      <c r="Q2384" s="87" t="n">
        <v>45856</v>
      </c>
      <c r="R2384" s="5" t="n">
        <v>856.14</v>
      </c>
      <c r="S2384" s="2" t="n">
        <v>1</v>
      </c>
      <c r="T2384" s="3" t="inlineStr">
        <is>
          <t>6B/2025/2S</t>
        </is>
      </c>
      <c r="U2384" s="87" t="n">
        <v>45873</v>
      </c>
      <c r="V2384" s="3" t="inlineStr">
        <is>
          <t>23</t>
        </is>
      </c>
      <c r="W2384" s="87" t="n">
        <v>45873</v>
      </c>
      <c r="X2384" s="4" t="inlineStr">
        <is>
          <t xml:space="preserve">Bin Humaid National Trading Co </t>
        </is>
      </c>
    </row>
    <row r="2385" ht="24" customHeight="1">
      <c r="A2385" s="2">
        <f>+D2385-S2385</f>
        <v/>
      </c>
      <c r="B2385" s="80" t="n">
        <v>4003</v>
      </c>
      <c r="C2385" s="66" t="n">
        <v>45863</v>
      </c>
      <c r="D2385" s="2" t="n">
        <v>1</v>
      </c>
      <c r="E2385" s="3" t="inlineStr">
        <is>
          <t>FUCILE SEMIAUTOMATICO</t>
        </is>
      </c>
      <c r="F2385" s="3" t="inlineStr">
        <is>
          <t>12</t>
        </is>
      </c>
      <c r="G2385" s="3" t="inlineStr">
        <is>
          <t>BENELLI</t>
        </is>
      </c>
      <c r="H2385" s="65" t="inlineStr">
        <is>
          <t>MONTEFELTRO BLACK 30"</t>
        </is>
      </c>
      <c r="I2385" s="65" t="inlineStr">
        <is>
          <t>M0140884M</t>
        </is>
      </c>
      <c r="J2385" s="65" t="inlineStr">
        <is>
          <t>C1582289E</t>
        </is>
      </c>
      <c r="K2385" s="65" t="inlineStr">
        <is>
          <t>N/D</t>
        </is>
      </c>
      <c r="L2385" s="127" t="inlineStr">
        <is>
          <t>BENELLI ARMI SPA</t>
        </is>
      </c>
      <c r="M2385" s="5" t="n">
        <v>751</v>
      </c>
      <c r="N2385" s="5" t="n"/>
      <c r="O2385" s="5">
        <f>+M2385+N2385</f>
        <v/>
      </c>
      <c r="P2385" s="4" t="n">
        <v>45863</v>
      </c>
      <c r="Q2385" s="87" t="n">
        <v>45856</v>
      </c>
      <c r="R2385" s="5" t="n">
        <v>856.14</v>
      </c>
      <c r="S2385" s="2" t="n">
        <v>1</v>
      </c>
      <c r="T2385" s="3" t="inlineStr">
        <is>
          <t>6B/2025/2S</t>
        </is>
      </c>
      <c r="U2385" s="87" t="n">
        <v>45873</v>
      </c>
      <c r="V2385" s="3" t="inlineStr">
        <is>
          <t>23</t>
        </is>
      </c>
      <c r="W2385" s="87" t="n">
        <v>45873</v>
      </c>
      <c r="X2385" s="4" t="inlineStr">
        <is>
          <t xml:space="preserve">Bin Humaid National Trading Co </t>
        </is>
      </c>
    </row>
    <row r="2386" ht="24" customHeight="1">
      <c r="A2386" s="2">
        <f>+D2386-S2386</f>
        <v/>
      </c>
      <c r="B2386" s="80" t="n">
        <v>4004</v>
      </c>
      <c r="C2386" s="66" t="n">
        <v>45863</v>
      </c>
      <c r="D2386" s="2" t="n">
        <v>1</v>
      </c>
      <c r="E2386" s="3" t="inlineStr">
        <is>
          <t>FUCILE SEMIAUTOMATICO</t>
        </is>
      </c>
      <c r="F2386" s="3" t="inlineStr">
        <is>
          <t>12</t>
        </is>
      </c>
      <c r="G2386" s="3" t="inlineStr">
        <is>
          <t>BENELLI</t>
        </is>
      </c>
      <c r="H2386" s="65" t="inlineStr">
        <is>
          <t>MONTEFELTRO BLACK 30"</t>
        </is>
      </c>
      <c r="I2386" s="65" t="inlineStr">
        <is>
          <t>M0140883L</t>
        </is>
      </c>
      <c r="J2386" s="65" t="inlineStr">
        <is>
          <t>C1582274X</t>
        </is>
      </c>
      <c r="K2386" s="65" t="inlineStr">
        <is>
          <t>N/D</t>
        </is>
      </c>
      <c r="L2386" s="127" t="inlineStr">
        <is>
          <t>BENELLI ARMI SPA</t>
        </is>
      </c>
      <c r="M2386" s="5" t="n">
        <v>751</v>
      </c>
      <c r="N2386" s="5" t="n"/>
      <c r="O2386" s="5">
        <f>+M2386+N2386</f>
        <v/>
      </c>
      <c r="P2386" s="4" t="n">
        <v>45863</v>
      </c>
      <c r="Q2386" s="87" t="n">
        <v>45856</v>
      </c>
      <c r="R2386" s="5" t="n">
        <v>856.14</v>
      </c>
      <c r="S2386" s="2" t="n">
        <v>1</v>
      </c>
      <c r="T2386" s="3" t="inlineStr">
        <is>
          <t>6B/2025/2S</t>
        </is>
      </c>
      <c r="U2386" s="87" t="n">
        <v>45873</v>
      </c>
      <c r="V2386" s="3" t="inlineStr">
        <is>
          <t>23</t>
        </is>
      </c>
      <c r="W2386" s="87" t="n">
        <v>45873</v>
      </c>
      <c r="X2386" s="4" t="inlineStr">
        <is>
          <t xml:space="preserve">Bin Humaid National Trading Co </t>
        </is>
      </c>
    </row>
    <row r="2387" ht="24" customHeight="1">
      <c r="A2387" s="2">
        <f>+D2387-S2387</f>
        <v/>
      </c>
      <c r="B2387" s="80" t="n">
        <v>4005</v>
      </c>
      <c r="C2387" s="66" t="n">
        <v>45863</v>
      </c>
      <c r="D2387" s="2" t="n">
        <v>1</v>
      </c>
      <c r="E2387" s="3" t="inlineStr">
        <is>
          <t>FUCILE SEMIAUTOMATICO</t>
        </is>
      </c>
      <c r="F2387" s="3" t="inlineStr">
        <is>
          <t>12</t>
        </is>
      </c>
      <c r="G2387" s="3" t="inlineStr">
        <is>
          <t>BENELLI</t>
        </is>
      </c>
      <c r="H2387" s="65" t="inlineStr">
        <is>
          <t>MONTEFELTRO BLACK 30"</t>
        </is>
      </c>
      <c r="I2387" s="65" t="inlineStr">
        <is>
          <t>M0148774B</t>
        </is>
      </c>
      <c r="J2387" s="65" t="inlineStr">
        <is>
          <t>C1593805S</t>
        </is>
      </c>
      <c r="K2387" s="65" t="inlineStr">
        <is>
          <t>N/D</t>
        </is>
      </c>
      <c r="L2387" s="127" t="inlineStr">
        <is>
          <t>BENELLI ARMI SPA</t>
        </is>
      </c>
      <c r="M2387" s="5" t="n">
        <v>751</v>
      </c>
      <c r="N2387" s="5" t="n"/>
      <c r="O2387" s="5">
        <f>+M2387+N2387</f>
        <v/>
      </c>
      <c r="P2387" s="4" t="n">
        <v>45863</v>
      </c>
      <c r="Q2387" s="87" t="n">
        <v>45856</v>
      </c>
      <c r="R2387" s="5" t="n">
        <v>856.14</v>
      </c>
      <c r="S2387" s="2" t="n">
        <v>1</v>
      </c>
      <c r="T2387" s="3" t="inlineStr">
        <is>
          <t>6B/2025/2S</t>
        </is>
      </c>
      <c r="U2387" s="87" t="n">
        <v>45873</v>
      </c>
      <c r="V2387" s="3" t="inlineStr">
        <is>
          <t>23</t>
        </is>
      </c>
      <c r="W2387" s="87" t="n">
        <v>45873</v>
      </c>
      <c r="X2387" s="4" t="inlineStr">
        <is>
          <t xml:space="preserve">Bin Humaid National Trading Co </t>
        </is>
      </c>
    </row>
    <row r="2388" ht="24" customHeight="1">
      <c r="A2388" s="2">
        <f>+D2388-S2388</f>
        <v/>
      </c>
      <c r="B2388" s="80" t="n">
        <v>4006</v>
      </c>
      <c r="C2388" s="66" t="n">
        <v>45863</v>
      </c>
      <c r="D2388" s="2" t="n">
        <v>1</v>
      </c>
      <c r="E2388" s="3" t="inlineStr">
        <is>
          <t>FUCILE SEMIAUTOMATICO</t>
        </is>
      </c>
      <c r="F2388" s="3" t="inlineStr">
        <is>
          <t>12</t>
        </is>
      </c>
      <c r="G2388" s="3" t="inlineStr">
        <is>
          <t>BENELLI</t>
        </is>
      </c>
      <c r="H2388" s="65" t="inlineStr">
        <is>
          <t>MONTEFELTRO BLACK 30"</t>
        </is>
      </c>
      <c r="I2388" s="65" t="inlineStr">
        <is>
          <t>M0148775C</t>
        </is>
      </c>
      <c r="J2388" s="65" t="inlineStr">
        <is>
          <t>C1593817W</t>
        </is>
      </c>
      <c r="K2388" s="65" t="inlineStr">
        <is>
          <t>N/D</t>
        </is>
      </c>
      <c r="L2388" s="127" t="inlineStr">
        <is>
          <t>BENELLI ARMI SPA</t>
        </is>
      </c>
      <c r="M2388" s="5" t="n">
        <v>751</v>
      </c>
      <c r="N2388" s="5" t="n"/>
      <c r="O2388" s="5">
        <f>+M2388+N2388</f>
        <v/>
      </c>
      <c r="P2388" s="4" t="n">
        <v>45863</v>
      </c>
      <c r="Q2388" s="87" t="n">
        <v>45856</v>
      </c>
      <c r="R2388" s="5" t="n">
        <v>856.14</v>
      </c>
      <c r="S2388" s="2" t="n">
        <v>1</v>
      </c>
      <c r="T2388" s="3" t="inlineStr">
        <is>
          <t>6B/2025/2S</t>
        </is>
      </c>
      <c r="U2388" s="87" t="n">
        <v>45873</v>
      </c>
      <c r="V2388" s="3" t="inlineStr">
        <is>
          <t>23</t>
        </is>
      </c>
      <c r="W2388" s="87" t="n">
        <v>45873</v>
      </c>
      <c r="X2388" s="4" t="inlineStr">
        <is>
          <t xml:space="preserve">Bin Humaid National Trading Co </t>
        </is>
      </c>
    </row>
    <row r="2389" ht="24" customHeight="1">
      <c r="A2389" s="2">
        <f>+D2389-S2389</f>
        <v/>
      </c>
      <c r="B2389" s="80" t="n">
        <v>4007</v>
      </c>
      <c r="C2389" s="66" t="n">
        <v>45863</v>
      </c>
      <c r="D2389" s="2" t="n">
        <v>1</v>
      </c>
      <c r="E2389" s="3" t="inlineStr">
        <is>
          <t>FUCILE SEMIAUTOMATICO</t>
        </is>
      </c>
      <c r="F2389" s="3" t="inlineStr">
        <is>
          <t>12</t>
        </is>
      </c>
      <c r="G2389" s="3" t="inlineStr">
        <is>
          <t>BENELLI</t>
        </is>
      </c>
      <c r="H2389" s="65" t="inlineStr">
        <is>
          <t>MONTEFELTRO BLACK 30"</t>
        </is>
      </c>
      <c r="I2389" s="65" t="inlineStr">
        <is>
          <t>M0148776D</t>
        </is>
      </c>
      <c r="J2389" s="65" t="inlineStr">
        <is>
          <t>C1593807U</t>
        </is>
      </c>
      <c r="K2389" s="65" t="inlineStr">
        <is>
          <t>N/D</t>
        </is>
      </c>
      <c r="L2389" s="127" t="inlineStr">
        <is>
          <t>BENELLI ARMI SPA</t>
        </is>
      </c>
      <c r="M2389" s="5" t="n">
        <v>751</v>
      </c>
      <c r="N2389" s="5" t="n"/>
      <c r="O2389" s="5">
        <f>+M2389+N2389</f>
        <v/>
      </c>
      <c r="P2389" s="4" t="n">
        <v>45863</v>
      </c>
      <c r="Q2389" s="87" t="n">
        <v>45856</v>
      </c>
      <c r="R2389" s="5" t="n">
        <v>856.14</v>
      </c>
      <c r="S2389" s="2" t="n">
        <v>1</v>
      </c>
      <c r="T2389" s="3" t="inlineStr">
        <is>
          <t>6B/2025/2S</t>
        </is>
      </c>
      <c r="U2389" s="87" t="n">
        <v>45873</v>
      </c>
      <c r="V2389" s="3" t="inlineStr">
        <is>
          <t>23</t>
        </is>
      </c>
      <c r="W2389" s="87" t="n">
        <v>45873</v>
      </c>
      <c r="X2389" s="4" t="inlineStr">
        <is>
          <t xml:space="preserve">Bin Humaid National Trading Co </t>
        </is>
      </c>
    </row>
    <row r="2390" ht="24" customHeight="1">
      <c r="A2390" s="2">
        <f>+D2390-S2390</f>
        <v/>
      </c>
      <c r="B2390" s="80" t="n">
        <v>4008</v>
      </c>
      <c r="C2390" s="66" t="n">
        <v>45863</v>
      </c>
      <c r="D2390" s="2" t="n">
        <v>1</v>
      </c>
      <c r="E2390" s="3" t="inlineStr">
        <is>
          <t>FUCILE SEMIAUTOMATICO</t>
        </is>
      </c>
      <c r="F2390" s="3" t="inlineStr">
        <is>
          <t>12</t>
        </is>
      </c>
      <c r="G2390" s="3" t="inlineStr">
        <is>
          <t>BENELLI</t>
        </is>
      </c>
      <c r="H2390" s="65" t="inlineStr">
        <is>
          <t>MONTEFELTRO BLACK 30"</t>
        </is>
      </c>
      <c r="I2390" s="65" t="inlineStr">
        <is>
          <t>M0148777E</t>
        </is>
      </c>
      <c r="J2390" s="65" t="inlineStr">
        <is>
          <t>C1593804R</t>
        </is>
      </c>
      <c r="K2390" s="65" t="inlineStr">
        <is>
          <t>N/D</t>
        </is>
      </c>
      <c r="L2390" s="127" t="inlineStr">
        <is>
          <t>BENELLI ARMI SPA</t>
        </is>
      </c>
      <c r="M2390" s="5" t="n">
        <v>751</v>
      </c>
      <c r="N2390" s="5" t="n"/>
      <c r="O2390" s="5">
        <f>+M2390+N2390</f>
        <v/>
      </c>
      <c r="P2390" s="4" t="n">
        <v>45863</v>
      </c>
      <c r="Q2390" s="87" t="n">
        <v>45856</v>
      </c>
      <c r="R2390" s="5" t="n">
        <v>856.14</v>
      </c>
      <c r="S2390" s="2" t="n">
        <v>1</v>
      </c>
      <c r="T2390" s="3" t="inlineStr">
        <is>
          <t>6B/2025/2S</t>
        </is>
      </c>
      <c r="U2390" s="87" t="n">
        <v>45873</v>
      </c>
      <c r="V2390" s="3" t="inlineStr">
        <is>
          <t>23</t>
        </is>
      </c>
      <c r="W2390" s="87" t="n">
        <v>45873</v>
      </c>
      <c r="X2390" s="4" t="inlineStr">
        <is>
          <t xml:space="preserve">Bin Humaid National Trading Co </t>
        </is>
      </c>
    </row>
    <row r="2391" ht="24" customHeight="1">
      <c r="A2391" s="2">
        <f>+D2391-S2391</f>
        <v/>
      </c>
      <c r="B2391" s="80" t="n">
        <v>4009</v>
      </c>
      <c r="C2391" s="66" t="n">
        <v>45863</v>
      </c>
      <c r="D2391" s="2" t="n">
        <v>1</v>
      </c>
      <c r="E2391" s="3" t="inlineStr">
        <is>
          <t>FUCILE SEMIAUTOMATICO</t>
        </is>
      </c>
      <c r="F2391" s="3" t="inlineStr">
        <is>
          <t>12</t>
        </is>
      </c>
      <c r="G2391" s="3" t="inlineStr">
        <is>
          <t>BENELLI</t>
        </is>
      </c>
      <c r="H2391" s="65" t="inlineStr">
        <is>
          <t>MONTEFELTRO BLACK 30"</t>
        </is>
      </c>
      <c r="I2391" s="65" t="inlineStr">
        <is>
          <t>M0148778F</t>
        </is>
      </c>
      <c r="J2391" s="65" t="inlineStr">
        <is>
          <t>C1593816V</t>
        </is>
      </c>
      <c r="K2391" s="65" t="inlineStr">
        <is>
          <t>N/D</t>
        </is>
      </c>
      <c r="L2391" s="127" t="inlineStr">
        <is>
          <t>BENELLI ARMI SPA</t>
        </is>
      </c>
      <c r="M2391" s="5" t="n">
        <v>751</v>
      </c>
      <c r="N2391" s="5" t="n"/>
      <c r="O2391" s="5">
        <f>+M2391+N2391</f>
        <v/>
      </c>
      <c r="P2391" s="4" t="n">
        <v>45863</v>
      </c>
      <c r="Q2391" s="87" t="n">
        <v>45856</v>
      </c>
      <c r="R2391" s="5" t="n">
        <v>856.14</v>
      </c>
      <c r="S2391" s="2" t="n">
        <v>1</v>
      </c>
      <c r="T2391" s="3" t="inlineStr">
        <is>
          <t>6B/2025/2S</t>
        </is>
      </c>
      <c r="U2391" s="87" t="n">
        <v>45873</v>
      </c>
      <c r="V2391" s="3" t="inlineStr">
        <is>
          <t>23</t>
        </is>
      </c>
      <c r="W2391" s="87" t="n">
        <v>45873</v>
      </c>
      <c r="X2391" s="4" t="inlineStr">
        <is>
          <t xml:space="preserve">Bin Humaid National Trading Co </t>
        </is>
      </c>
    </row>
    <row r="2392" ht="24" customHeight="1">
      <c r="A2392" s="2">
        <f>+D2392-S2392</f>
        <v/>
      </c>
      <c r="B2392" s="80" t="n">
        <v>4010</v>
      </c>
      <c r="C2392" s="66" t="n">
        <v>45863</v>
      </c>
      <c r="D2392" s="2" t="n">
        <v>1</v>
      </c>
      <c r="E2392" s="3" t="inlineStr">
        <is>
          <t>FUCILE SEMIAUTOMATICO</t>
        </is>
      </c>
      <c r="F2392" s="3" t="inlineStr">
        <is>
          <t>12</t>
        </is>
      </c>
      <c r="G2392" s="3" t="inlineStr">
        <is>
          <t>BENELLI</t>
        </is>
      </c>
      <c r="H2392" s="65" t="inlineStr">
        <is>
          <t>RAFFAELLO BEDIAMOND AI 30"</t>
        </is>
      </c>
      <c r="I2392" s="65" t="inlineStr">
        <is>
          <t>F451176Q</t>
        </is>
      </c>
      <c r="J2392" s="65" t="inlineStr">
        <is>
          <t>C1684846E</t>
        </is>
      </c>
      <c r="K2392" s="65" t="inlineStr">
        <is>
          <t>N/D</t>
        </is>
      </c>
      <c r="L2392" s="127" t="inlineStr">
        <is>
          <t>BENELLI ARMI SPA</t>
        </is>
      </c>
      <c r="M2392" s="5" t="n">
        <v>1433</v>
      </c>
      <c r="N2392" s="5" t="n"/>
      <c r="O2392" s="5">
        <f>+M2392+N2392</f>
        <v/>
      </c>
      <c r="P2392" s="4" t="n">
        <v>45863</v>
      </c>
      <c r="Q2392" s="87" t="n">
        <v>45856</v>
      </c>
      <c r="R2392" s="5" t="n">
        <v>1633.62</v>
      </c>
      <c r="S2392" s="2" t="n">
        <v>1</v>
      </c>
      <c r="T2392" s="3" t="inlineStr">
        <is>
          <t>6B/2025/2S</t>
        </is>
      </c>
      <c r="U2392" s="87" t="n">
        <v>45873</v>
      </c>
      <c r="V2392" s="3" t="inlineStr">
        <is>
          <t>23</t>
        </is>
      </c>
      <c r="W2392" s="87" t="n">
        <v>45873</v>
      </c>
      <c r="X2392" s="4" t="inlineStr">
        <is>
          <t xml:space="preserve">Bin Humaid National Trading Co </t>
        </is>
      </c>
    </row>
    <row r="2393" ht="24" customHeight="1">
      <c r="A2393" s="2">
        <f>+D2393-S2393</f>
        <v/>
      </c>
      <c r="B2393" s="80" t="n">
        <v>4011</v>
      </c>
      <c r="C2393" s="66" t="n">
        <v>45863</v>
      </c>
      <c r="D2393" s="2" t="n">
        <v>1</v>
      </c>
      <c r="E2393" s="3" t="inlineStr">
        <is>
          <t>FUCILE SEMIAUTOMATICO</t>
        </is>
      </c>
      <c r="F2393" s="3" t="inlineStr">
        <is>
          <t>12</t>
        </is>
      </c>
      <c r="G2393" s="3" t="inlineStr">
        <is>
          <t>BENELLI</t>
        </is>
      </c>
      <c r="H2393" s="65" t="inlineStr">
        <is>
          <t>RAFFAELLO BEDIAMOND AI 30"</t>
        </is>
      </c>
      <c r="I2393" s="65" t="inlineStr">
        <is>
          <t>F451175N</t>
        </is>
      </c>
      <c r="J2393" s="65" t="inlineStr">
        <is>
          <t>C1684845D</t>
        </is>
      </c>
      <c r="K2393" s="65" t="inlineStr">
        <is>
          <t>N/D</t>
        </is>
      </c>
      <c r="L2393" s="127" t="inlineStr">
        <is>
          <t>BENELLI ARMI SPA</t>
        </is>
      </c>
      <c r="M2393" s="5" t="n">
        <v>1433</v>
      </c>
      <c r="N2393" s="5" t="n"/>
      <c r="O2393" s="5">
        <f>+M2393+N2393</f>
        <v/>
      </c>
      <c r="P2393" s="4" t="n">
        <v>45863</v>
      </c>
      <c r="Q2393" s="87" t="n">
        <v>45856</v>
      </c>
      <c r="R2393" s="5" t="n">
        <v>1633.62</v>
      </c>
      <c r="S2393" s="2" t="n">
        <v>1</v>
      </c>
      <c r="T2393" s="3" t="inlineStr">
        <is>
          <t>6B/2025/2S</t>
        </is>
      </c>
      <c r="U2393" s="87" t="n">
        <v>45873</v>
      </c>
      <c r="V2393" s="3" t="inlineStr">
        <is>
          <t>23</t>
        </is>
      </c>
      <c r="W2393" s="87" t="n">
        <v>45873</v>
      </c>
      <c r="X2393" s="4" t="inlineStr">
        <is>
          <t xml:space="preserve">Bin Humaid National Trading Co </t>
        </is>
      </c>
    </row>
    <row r="2394" ht="24" customHeight="1">
      <c r="A2394" s="2">
        <f>+D2394-S2394</f>
        <v/>
      </c>
      <c r="B2394" s="80" t="n">
        <v>4012</v>
      </c>
      <c r="C2394" s="66" t="n">
        <v>45863</v>
      </c>
      <c r="D2394" s="2" t="n">
        <v>1</v>
      </c>
      <c r="E2394" s="3" t="inlineStr">
        <is>
          <t>FUCILE SEMIAUTOMATICO</t>
        </is>
      </c>
      <c r="F2394" s="3" t="inlineStr">
        <is>
          <t>12</t>
        </is>
      </c>
      <c r="G2394" s="3" t="inlineStr">
        <is>
          <t>BENELLI</t>
        </is>
      </c>
      <c r="H2394" s="65" t="inlineStr">
        <is>
          <t>RAFFAELLO BEDIAMOND AI 30"</t>
        </is>
      </c>
      <c r="I2394" s="65" t="inlineStr">
        <is>
          <t>F451181E</t>
        </is>
      </c>
      <c r="J2394" s="65" t="inlineStr">
        <is>
          <t>C1684850B</t>
        </is>
      </c>
      <c r="K2394" s="65" t="inlineStr">
        <is>
          <t>N/D</t>
        </is>
      </c>
      <c r="L2394" s="127" t="inlineStr">
        <is>
          <t>BENELLI ARMI SPA</t>
        </is>
      </c>
      <c r="M2394" s="5" t="n">
        <v>1433</v>
      </c>
      <c r="N2394" s="5" t="n"/>
      <c r="O2394" s="5">
        <f>+M2394+N2394</f>
        <v/>
      </c>
      <c r="P2394" s="4" t="n">
        <v>45863</v>
      </c>
      <c r="Q2394" s="87" t="n">
        <v>45856</v>
      </c>
      <c r="R2394" s="5" t="n">
        <v>1633.62</v>
      </c>
      <c r="S2394" s="2" t="n">
        <v>1</v>
      </c>
      <c r="T2394" s="3" t="inlineStr">
        <is>
          <t>6B/2025/2S</t>
        </is>
      </c>
      <c r="U2394" s="87" t="n">
        <v>45873</v>
      </c>
      <c r="V2394" s="3" t="inlineStr">
        <is>
          <t>23</t>
        </is>
      </c>
      <c r="W2394" s="87" t="n">
        <v>45873</v>
      </c>
      <c r="X2394" s="4" t="inlineStr">
        <is>
          <t xml:space="preserve">Bin Humaid National Trading Co </t>
        </is>
      </c>
    </row>
    <row r="2395" ht="24" customHeight="1">
      <c r="A2395" s="2">
        <f>+D2395-S2395</f>
        <v/>
      </c>
      <c r="B2395" s="80" t="n">
        <v>4013</v>
      </c>
      <c r="C2395" s="66" t="n">
        <v>45863</v>
      </c>
      <c r="D2395" s="2" t="n">
        <v>1</v>
      </c>
      <c r="E2395" s="3" t="inlineStr">
        <is>
          <t>FUCILE SEMIAUTOMATICO</t>
        </is>
      </c>
      <c r="F2395" s="3" t="inlineStr">
        <is>
          <t>12</t>
        </is>
      </c>
      <c r="G2395" s="3" t="inlineStr">
        <is>
          <t>BENELLI</t>
        </is>
      </c>
      <c r="H2395" s="65" t="inlineStr">
        <is>
          <t>RAFFAELLO BEDIAMOND AI 30"</t>
        </is>
      </c>
      <c r="I2395" s="65" t="inlineStr">
        <is>
          <t>F451180C</t>
        </is>
      </c>
      <c r="J2395" s="65" t="inlineStr">
        <is>
          <t>C1684849H</t>
        </is>
      </c>
      <c r="K2395" s="65" t="inlineStr">
        <is>
          <t>N/D</t>
        </is>
      </c>
      <c r="L2395" s="127" t="inlineStr">
        <is>
          <t>BENELLI ARMI SPA</t>
        </is>
      </c>
      <c r="M2395" s="5" t="n">
        <v>1433</v>
      </c>
      <c r="N2395" s="5" t="n"/>
      <c r="O2395" s="5">
        <f>+M2395+N2395</f>
        <v/>
      </c>
      <c r="P2395" s="4" t="n">
        <v>45863</v>
      </c>
      <c r="Q2395" s="87" t="n">
        <v>45856</v>
      </c>
      <c r="R2395" s="5" t="n">
        <v>1633.62</v>
      </c>
      <c r="S2395" s="2" t="n">
        <v>1</v>
      </c>
      <c r="T2395" s="3" t="inlineStr">
        <is>
          <t>6B/2025/2S</t>
        </is>
      </c>
      <c r="U2395" s="87" t="n">
        <v>45873</v>
      </c>
      <c r="V2395" s="3" t="inlineStr">
        <is>
          <t>23</t>
        </is>
      </c>
      <c r="W2395" s="87" t="n">
        <v>45873</v>
      </c>
      <c r="X2395" s="4" t="inlineStr">
        <is>
          <t xml:space="preserve">Bin Humaid National Trading Co </t>
        </is>
      </c>
    </row>
    <row r="2396" ht="24" customHeight="1">
      <c r="A2396" s="2">
        <f>+D2396-S2396</f>
        <v/>
      </c>
      <c r="B2396" s="80" t="n">
        <v>4014</v>
      </c>
      <c r="C2396" s="66" t="n">
        <v>45863</v>
      </c>
      <c r="D2396" s="2" t="n">
        <v>1</v>
      </c>
      <c r="E2396" s="3" t="inlineStr">
        <is>
          <t>FUCILE SEMIAUTOMATICO</t>
        </is>
      </c>
      <c r="F2396" s="3" t="inlineStr">
        <is>
          <t>12</t>
        </is>
      </c>
      <c r="G2396" s="3" t="inlineStr">
        <is>
          <t>BENELLI</t>
        </is>
      </c>
      <c r="H2396" s="65" t="inlineStr">
        <is>
          <t>RAFFAELLO SILVER AI 30''</t>
        </is>
      </c>
      <c r="I2396" s="65" t="inlineStr">
        <is>
          <t>F441867D</t>
        </is>
      </c>
      <c r="J2396" s="65" t="inlineStr">
        <is>
          <t>C1645157A</t>
        </is>
      </c>
      <c r="K2396" s="65" t="inlineStr">
        <is>
          <t>N/D</t>
        </is>
      </c>
      <c r="L2396" s="127" t="inlineStr">
        <is>
          <t>BENELLI ARMI SPA</t>
        </is>
      </c>
      <c r="M2396" s="5" t="n">
        <v>1407</v>
      </c>
      <c r="N2396" s="5" t="n"/>
      <c r="O2396" s="5">
        <f>+M2396+N2396</f>
        <v/>
      </c>
      <c r="P2396" s="4" t="n">
        <v>45863</v>
      </c>
      <c r="Q2396" s="87" t="n">
        <v>45856</v>
      </c>
      <c r="R2396" s="5" t="n">
        <v>1603.98</v>
      </c>
      <c r="S2396" s="2" t="n">
        <v>1</v>
      </c>
      <c r="T2396" s="3" t="inlineStr">
        <is>
          <t>6B/2025/2S</t>
        </is>
      </c>
      <c r="U2396" s="87" t="n">
        <v>45873</v>
      </c>
      <c r="V2396" s="3" t="inlineStr">
        <is>
          <t>23</t>
        </is>
      </c>
      <c r="W2396" s="87" t="n">
        <v>45873</v>
      </c>
      <c r="X2396" s="4" t="inlineStr">
        <is>
          <t xml:space="preserve">Bin Humaid National Trading Co </t>
        </is>
      </c>
    </row>
    <row r="2397" ht="24" customHeight="1">
      <c r="A2397" s="2">
        <f>+D2397-S2397</f>
        <v/>
      </c>
      <c r="B2397" s="80" t="n">
        <v>4015</v>
      </c>
      <c r="C2397" s="66" t="n">
        <v>45863</v>
      </c>
      <c r="D2397" s="2" t="n">
        <v>1</v>
      </c>
      <c r="E2397" s="3" t="inlineStr">
        <is>
          <t>FUCILE SEMIAUTOMATICO</t>
        </is>
      </c>
      <c r="F2397" s="3" t="inlineStr">
        <is>
          <t>12</t>
        </is>
      </c>
      <c r="G2397" s="3" t="inlineStr">
        <is>
          <t>BENELLI</t>
        </is>
      </c>
      <c r="H2397" s="65" t="inlineStr">
        <is>
          <t>RAFFAELLO SILVER AI 30''</t>
        </is>
      </c>
      <c r="I2397" s="65" t="inlineStr">
        <is>
          <t>F441868F</t>
        </is>
      </c>
      <c r="J2397" s="65" t="inlineStr">
        <is>
          <t>C1656992Q</t>
        </is>
      </c>
      <c r="K2397" s="65" t="inlineStr">
        <is>
          <t>N/D</t>
        </is>
      </c>
      <c r="L2397" s="127" t="inlineStr">
        <is>
          <t>BENELLI ARMI SPA</t>
        </is>
      </c>
      <c r="M2397" s="5" t="n">
        <v>1407</v>
      </c>
      <c r="N2397" s="5" t="n"/>
      <c r="O2397" s="5">
        <f>+M2397+N2397</f>
        <v/>
      </c>
      <c r="P2397" s="4" t="n">
        <v>45863</v>
      </c>
      <c r="Q2397" s="87" t="n">
        <v>45856</v>
      </c>
      <c r="R2397" s="5" t="n">
        <v>1603.98</v>
      </c>
      <c r="S2397" s="2" t="n">
        <v>1</v>
      </c>
      <c r="T2397" s="3" t="inlineStr">
        <is>
          <t>6B/2025/2S</t>
        </is>
      </c>
      <c r="U2397" s="87" t="n">
        <v>45873</v>
      </c>
      <c r="V2397" s="3" t="inlineStr">
        <is>
          <t>23</t>
        </is>
      </c>
      <c r="W2397" s="87" t="n">
        <v>45873</v>
      </c>
      <c r="X2397" s="4" t="inlineStr">
        <is>
          <t xml:space="preserve">Bin Humaid National Trading Co </t>
        </is>
      </c>
    </row>
    <row r="2398" ht="24" customHeight="1">
      <c r="A2398" s="2">
        <f>+D2398-S2398</f>
        <v/>
      </c>
      <c r="B2398" s="80" t="n">
        <v>4016</v>
      </c>
      <c r="C2398" s="66" t="n">
        <v>45863</v>
      </c>
      <c r="D2398" s="2" t="n">
        <v>1</v>
      </c>
      <c r="E2398" s="3" t="inlineStr">
        <is>
          <t>FUCILE SEMIAUTOMATICO</t>
        </is>
      </c>
      <c r="F2398" s="3" t="inlineStr">
        <is>
          <t>12</t>
        </is>
      </c>
      <c r="G2398" s="3" t="inlineStr">
        <is>
          <t>BENELLI</t>
        </is>
      </c>
      <c r="H2398" s="65" t="inlineStr">
        <is>
          <t>RAFFAELLO SILVER AI 30''</t>
        </is>
      </c>
      <c r="I2398" s="65" t="inlineStr">
        <is>
          <t>F441871R</t>
        </is>
      </c>
      <c r="J2398" s="65" t="inlineStr">
        <is>
          <t>C1656995T</t>
        </is>
      </c>
      <c r="K2398" s="65" t="inlineStr">
        <is>
          <t>N/D</t>
        </is>
      </c>
      <c r="L2398" s="127" t="inlineStr">
        <is>
          <t>BENELLI ARMI SPA</t>
        </is>
      </c>
      <c r="M2398" s="5" t="n">
        <v>1407</v>
      </c>
      <c r="N2398" s="5" t="n"/>
      <c r="O2398" s="5">
        <f>+M2398+N2398</f>
        <v/>
      </c>
      <c r="P2398" s="4" t="n">
        <v>45863</v>
      </c>
      <c r="Q2398" s="87" t="n">
        <v>45856</v>
      </c>
      <c r="R2398" s="5" t="n">
        <v>1603.98</v>
      </c>
      <c r="S2398" s="2" t="n">
        <v>1</v>
      </c>
      <c r="T2398" s="3" t="inlineStr">
        <is>
          <t>6B/2025/2S</t>
        </is>
      </c>
      <c r="U2398" s="87" t="n">
        <v>45873</v>
      </c>
      <c r="V2398" s="3" t="inlineStr">
        <is>
          <t>23</t>
        </is>
      </c>
      <c r="W2398" s="87" t="n">
        <v>45873</v>
      </c>
      <c r="X2398" s="4" t="inlineStr">
        <is>
          <t xml:space="preserve">Bin Humaid National Trading Co </t>
        </is>
      </c>
    </row>
    <row r="2399" ht="24" customHeight="1">
      <c r="A2399" s="2">
        <f>+D2399-S2399</f>
        <v/>
      </c>
      <c r="B2399" s="80" t="n">
        <v>4017</v>
      </c>
      <c r="C2399" s="66" t="n">
        <v>45863</v>
      </c>
      <c r="D2399" s="2" t="n">
        <v>1</v>
      </c>
      <c r="E2399" s="3" t="inlineStr">
        <is>
          <t>FUCILE SEMIAUTOMATICO</t>
        </is>
      </c>
      <c r="F2399" s="3" t="inlineStr">
        <is>
          <t>12</t>
        </is>
      </c>
      <c r="G2399" s="3" t="inlineStr">
        <is>
          <t>BENELLI</t>
        </is>
      </c>
      <c r="H2399" s="65" t="inlineStr">
        <is>
          <t>RAFFAELLO SILVER AI 30''</t>
        </is>
      </c>
      <c r="I2399" s="65" t="inlineStr">
        <is>
          <t>F441877E</t>
        </is>
      </c>
      <c r="J2399" s="65" t="inlineStr">
        <is>
          <t>C1656994S</t>
        </is>
      </c>
      <c r="K2399" s="65" t="inlineStr">
        <is>
          <t>N/D</t>
        </is>
      </c>
      <c r="L2399" s="127" t="inlineStr">
        <is>
          <t>BENELLI ARMI SPA</t>
        </is>
      </c>
      <c r="M2399" s="5" t="n">
        <v>1407</v>
      </c>
      <c r="N2399" s="5" t="n"/>
      <c r="O2399" s="5">
        <f>+M2399+N2399</f>
        <v/>
      </c>
      <c r="P2399" s="4" t="n">
        <v>45863</v>
      </c>
      <c r="Q2399" s="87" t="n">
        <v>45856</v>
      </c>
      <c r="R2399" s="5" t="n">
        <v>1603.98</v>
      </c>
      <c r="S2399" s="2" t="n">
        <v>1</v>
      </c>
      <c r="T2399" s="3" t="inlineStr">
        <is>
          <t>6B/2025/2S</t>
        </is>
      </c>
      <c r="U2399" s="87" t="n">
        <v>45873</v>
      </c>
      <c r="V2399" s="3" t="inlineStr">
        <is>
          <t>23</t>
        </is>
      </c>
      <c r="W2399" s="87" t="n">
        <v>45873</v>
      </c>
      <c r="X2399" s="4" t="inlineStr">
        <is>
          <t xml:space="preserve">Bin Humaid National Trading Co </t>
        </is>
      </c>
    </row>
    <row r="2400" ht="24" customHeight="1">
      <c r="A2400" s="2">
        <f>+D2400-S2400</f>
        <v/>
      </c>
      <c r="B2400" s="80" t="n">
        <v>4018</v>
      </c>
      <c r="C2400" s="66" t="n">
        <v>45863</v>
      </c>
      <c r="D2400" s="2" t="n">
        <v>1</v>
      </c>
      <c r="E2400" s="3" t="inlineStr">
        <is>
          <t>FUCILE SEMIAUTOMATICO</t>
        </is>
      </c>
      <c r="F2400" s="3" t="inlineStr">
        <is>
          <t>12</t>
        </is>
      </c>
      <c r="G2400" s="3" t="inlineStr">
        <is>
          <t>BENELLI</t>
        </is>
      </c>
      <c r="H2400" s="65" t="inlineStr">
        <is>
          <t>RAFFAELLO BLACK AI 30''</t>
        </is>
      </c>
      <c r="I2400" s="65" t="inlineStr">
        <is>
          <t>F449819L</t>
        </is>
      </c>
      <c r="J2400" s="65" t="inlineStr">
        <is>
          <t>C1679954S</t>
        </is>
      </c>
      <c r="K2400" s="65" t="inlineStr">
        <is>
          <t>N/D</t>
        </is>
      </c>
      <c r="L2400" s="127" t="inlineStr">
        <is>
          <t>BENELLI ARMI SPA</t>
        </is>
      </c>
      <c r="M2400" s="5" t="n">
        <v>1152</v>
      </c>
      <c r="N2400" s="5" t="n"/>
      <c r="O2400" s="5">
        <f>+M2400+N2400</f>
        <v/>
      </c>
      <c r="P2400" s="4" t="n">
        <v>45863</v>
      </c>
      <c r="Q2400" s="87" t="n">
        <v>45856</v>
      </c>
      <c r="R2400" s="5" t="n">
        <v>1313.28</v>
      </c>
      <c r="S2400" s="2" t="n">
        <v>1</v>
      </c>
      <c r="T2400" s="3" t="inlineStr">
        <is>
          <t>6B/2025/2S</t>
        </is>
      </c>
      <c r="U2400" s="87" t="n">
        <v>45873</v>
      </c>
      <c r="V2400" s="3" t="inlineStr">
        <is>
          <t>23</t>
        </is>
      </c>
      <c r="W2400" s="87" t="n">
        <v>45873</v>
      </c>
      <c r="X2400" s="4" t="inlineStr">
        <is>
          <t xml:space="preserve">Bin Humaid National Trading Co </t>
        </is>
      </c>
    </row>
    <row r="2401" ht="24" customHeight="1">
      <c r="A2401" s="2">
        <f>+D2401-S2401</f>
        <v/>
      </c>
      <c r="B2401" s="80" t="n">
        <v>4019</v>
      </c>
      <c r="C2401" s="66" t="n">
        <v>45863</v>
      </c>
      <c r="D2401" s="2" t="n">
        <v>1</v>
      </c>
      <c r="E2401" s="3" t="inlineStr">
        <is>
          <t>FUCILE SEMIAUTOMATICO</t>
        </is>
      </c>
      <c r="F2401" s="3" t="inlineStr">
        <is>
          <t>12</t>
        </is>
      </c>
      <c r="G2401" s="3" t="inlineStr">
        <is>
          <t>BENELLI</t>
        </is>
      </c>
      <c r="H2401" s="65" t="inlineStr">
        <is>
          <t>RAFFAELLO BLACK AI 30''</t>
        </is>
      </c>
      <c r="I2401" s="65" t="inlineStr">
        <is>
          <t>F449820S</t>
        </is>
      </c>
      <c r="J2401" s="65" t="inlineStr">
        <is>
          <t>C1679953R</t>
        </is>
      </c>
      <c r="K2401" s="65" t="inlineStr">
        <is>
          <t>N/D</t>
        </is>
      </c>
      <c r="L2401" s="127" t="inlineStr">
        <is>
          <t>BENELLI ARMI SPA</t>
        </is>
      </c>
      <c r="M2401" s="5" t="n">
        <v>1152</v>
      </c>
      <c r="N2401" s="5" t="n"/>
      <c r="O2401" s="5">
        <f>+M2401+N2401</f>
        <v/>
      </c>
      <c r="P2401" s="4" t="n">
        <v>45863</v>
      </c>
      <c r="Q2401" s="87" t="n">
        <v>45856</v>
      </c>
      <c r="R2401" s="5" t="n">
        <v>1313.28</v>
      </c>
      <c r="S2401" s="2" t="n">
        <v>1</v>
      </c>
      <c r="T2401" s="3" t="inlineStr">
        <is>
          <t>6B/2025/2S</t>
        </is>
      </c>
      <c r="U2401" s="87" t="n">
        <v>45873</v>
      </c>
      <c r="V2401" s="3" t="inlineStr">
        <is>
          <t>23</t>
        </is>
      </c>
      <c r="W2401" s="87" t="n">
        <v>45873</v>
      </c>
      <c r="X2401" s="4" t="inlineStr">
        <is>
          <t xml:space="preserve">Bin Humaid National Trading Co </t>
        </is>
      </c>
    </row>
    <row r="2402" ht="24" customHeight="1">
      <c r="A2402" s="2">
        <f>+D2402-S2402</f>
        <v/>
      </c>
      <c r="B2402" s="80" t="n">
        <v>4020</v>
      </c>
      <c r="C2402" s="66" t="n">
        <v>45863</v>
      </c>
      <c r="D2402" s="2" t="n">
        <v>1</v>
      </c>
      <c r="E2402" s="3" t="inlineStr">
        <is>
          <t>FUCILE SEMIAUTOMATICO</t>
        </is>
      </c>
      <c r="F2402" s="3" t="inlineStr">
        <is>
          <t>12</t>
        </is>
      </c>
      <c r="G2402" s="3" t="inlineStr">
        <is>
          <t>BENELLI</t>
        </is>
      </c>
      <c r="H2402" s="65" t="inlineStr">
        <is>
          <t>RAFFAELLO BLACK AI 30''</t>
        </is>
      </c>
      <c r="I2402" s="65" t="inlineStr">
        <is>
          <t>F449808H</t>
        </is>
      </c>
      <c r="J2402" s="65" t="inlineStr">
        <is>
          <t>C1679951P</t>
        </is>
      </c>
      <c r="K2402" s="65" t="inlineStr">
        <is>
          <t>N/D</t>
        </is>
      </c>
      <c r="L2402" s="127" t="inlineStr">
        <is>
          <t>BENELLI ARMI SPA</t>
        </is>
      </c>
      <c r="M2402" s="5" t="n">
        <v>1152</v>
      </c>
      <c r="N2402" s="5" t="n"/>
      <c r="O2402" s="5">
        <f>+M2402+N2402</f>
        <v/>
      </c>
      <c r="P2402" s="4" t="n">
        <v>45863</v>
      </c>
      <c r="Q2402" s="87" t="n">
        <v>45856</v>
      </c>
      <c r="R2402" s="5" t="n">
        <v>1313.28</v>
      </c>
      <c r="S2402" s="2" t="n">
        <v>1</v>
      </c>
      <c r="T2402" s="3" t="inlineStr">
        <is>
          <t>6B/2025/2S</t>
        </is>
      </c>
      <c r="U2402" s="87" t="n">
        <v>45873</v>
      </c>
      <c r="V2402" s="3" t="inlineStr">
        <is>
          <t>23</t>
        </is>
      </c>
      <c r="W2402" s="87" t="n">
        <v>45873</v>
      </c>
      <c r="X2402" s="4" t="inlineStr">
        <is>
          <t xml:space="preserve">Bin Humaid National Trading Co </t>
        </is>
      </c>
    </row>
    <row r="2403" ht="24" customHeight="1">
      <c r="A2403" s="2">
        <f>+D2403-S2403</f>
        <v/>
      </c>
      <c r="B2403" s="80" t="n">
        <v>4021</v>
      </c>
      <c r="C2403" s="66" t="n">
        <v>45863</v>
      </c>
      <c r="D2403" s="2" t="n">
        <v>1</v>
      </c>
      <c r="E2403" s="3" t="inlineStr">
        <is>
          <t>FUCILE SEMIAUTOMATICO</t>
        </is>
      </c>
      <c r="F2403" s="3" t="inlineStr">
        <is>
          <t>12</t>
        </is>
      </c>
      <c r="G2403" s="3" t="inlineStr">
        <is>
          <t>BENELLI</t>
        </is>
      </c>
      <c r="H2403" s="65" t="inlineStr">
        <is>
          <t>RAFFAELLO BLACK AI 30''</t>
        </is>
      </c>
      <c r="I2403" s="65" t="inlineStr">
        <is>
          <t>F449817G</t>
        </is>
      </c>
      <c r="J2403" s="65" t="inlineStr">
        <is>
          <t>C1679950N</t>
        </is>
      </c>
      <c r="K2403" s="65" t="inlineStr">
        <is>
          <t>N/D</t>
        </is>
      </c>
      <c r="L2403" s="127" t="inlineStr">
        <is>
          <t>BENELLI ARMI SPA</t>
        </is>
      </c>
      <c r="M2403" s="5" t="n">
        <v>1152</v>
      </c>
      <c r="N2403" s="5" t="n"/>
      <c r="O2403" s="5">
        <f>+M2403+N2403</f>
        <v/>
      </c>
      <c r="P2403" s="4" t="n">
        <v>45863</v>
      </c>
      <c r="Q2403" s="87" t="n">
        <v>45856</v>
      </c>
      <c r="R2403" s="5" t="n">
        <v>1313.28</v>
      </c>
      <c r="S2403" s="2" t="n">
        <v>1</v>
      </c>
      <c r="T2403" s="3" t="inlineStr">
        <is>
          <t>6B/2025/2S</t>
        </is>
      </c>
      <c r="U2403" s="87" t="n">
        <v>45873</v>
      </c>
      <c r="V2403" s="3" t="inlineStr">
        <is>
          <t>23</t>
        </is>
      </c>
      <c r="W2403" s="87" t="n">
        <v>45873</v>
      </c>
      <c r="X2403" s="4" t="inlineStr">
        <is>
          <t xml:space="preserve">Bin Humaid National Trading Co </t>
        </is>
      </c>
    </row>
    <row r="2404" ht="24" customHeight="1">
      <c r="A2404" s="2">
        <f>+D2404-S2404</f>
        <v/>
      </c>
      <c r="B2404" s="80" t="n">
        <v>4022</v>
      </c>
      <c r="C2404" s="66" t="n">
        <v>45863</v>
      </c>
      <c r="D2404" s="2" t="n">
        <v>1</v>
      </c>
      <c r="E2404" s="3" t="inlineStr">
        <is>
          <t>FUCILE SEMIAUTOMATICO</t>
        </is>
      </c>
      <c r="F2404" s="3" t="inlineStr">
        <is>
          <t>12</t>
        </is>
      </c>
      <c r="G2404" s="3" t="inlineStr">
        <is>
          <t>BENELLI</t>
        </is>
      </c>
      <c r="H2404" s="65" t="inlineStr">
        <is>
          <t>RAFFAELLO ETHOS CORDOBA BE.S.T. AI 30''</t>
        </is>
      </c>
      <c r="I2404" s="65" t="inlineStr">
        <is>
          <t>F450467W</t>
        </is>
      </c>
      <c r="J2404" s="65" t="inlineStr">
        <is>
          <t>C1682261U</t>
        </is>
      </c>
      <c r="K2404" s="65" t="inlineStr">
        <is>
          <t>N/D</t>
        </is>
      </c>
      <c r="L2404" s="127" t="inlineStr">
        <is>
          <t>BENELLI ARMI SPA</t>
        </is>
      </c>
      <c r="M2404" s="5" t="n">
        <v>1534</v>
      </c>
      <c r="N2404" s="5" t="n"/>
      <c r="O2404" s="5">
        <f>+M2404+N2404</f>
        <v/>
      </c>
      <c r="P2404" s="4" t="n">
        <v>45863</v>
      </c>
      <c r="Q2404" s="87" t="n">
        <v>45856</v>
      </c>
      <c r="R2404" s="5" t="n">
        <v>1748.76</v>
      </c>
      <c r="S2404" s="2" t="n">
        <v>1</v>
      </c>
      <c r="T2404" s="3" t="inlineStr">
        <is>
          <t>6B/2025/2S</t>
        </is>
      </c>
      <c r="U2404" s="87" t="n">
        <v>45873</v>
      </c>
      <c r="V2404" s="3" t="inlineStr">
        <is>
          <t>23</t>
        </is>
      </c>
      <c r="W2404" s="87" t="n">
        <v>45873</v>
      </c>
      <c r="X2404" s="4" t="inlineStr">
        <is>
          <t xml:space="preserve">Bin Humaid National Trading Co </t>
        </is>
      </c>
    </row>
    <row r="2405" ht="24" customHeight="1">
      <c r="A2405" s="2">
        <f>+D2405-S2405</f>
        <v/>
      </c>
      <c r="B2405" s="80" t="n">
        <v>4023</v>
      </c>
      <c r="C2405" s="66" t="n">
        <v>45863</v>
      </c>
      <c r="D2405" s="2" t="n">
        <v>1</v>
      </c>
      <c r="E2405" s="3" t="inlineStr">
        <is>
          <t>FUCILE SEMIAUTOMATICO</t>
        </is>
      </c>
      <c r="F2405" s="3" t="inlineStr">
        <is>
          <t>12</t>
        </is>
      </c>
      <c r="G2405" s="3" t="inlineStr">
        <is>
          <t>BENELLI</t>
        </is>
      </c>
      <c r="H2405" s="65" t="inlineStr">
        <is>
          <t>RAFFAELLO ETHOS CORDOBA BE.S.T. AI 30''</t>
        </is>
      </c>
      <c r="I2405" s="65" t="inlineStr">
        <is>
          <t>F450522J</t>
        </is>
      </c>
      <c r="J2405" s="65" t="inlineStr">
        <is>
          <t>C1682757D</t>
        </is>
      </c>
      <c r="K2405" s="65" t="inlineStr">
        <is>
          <t>N/D</t>
        </is>
      </c>
      <c r="L2405" s="127" t="inlineStr">
        <is>
          <t>BENELLI ARMI SPA</t>
        </is>
      </c>
      <c r="M2405" s="5" t="n">
        <v>1534</v>
      </c>
      <c r="N2405" s="5" t="n"/>
      <c r="O2405" s="5">
        <f>+M2405+N2405</f>
        <v/>
      </c>
      <c r="P2405" s="4" t="n">
        <v>45863</v>
      </c>
      <c r="Q2405" s="87" t="n">
        <v>45856</v>
      </c>
      <c r="R2405" s="5" t="n">
        <v>1748.76</v>
      </c>
      <c r="S2405" s="2" t="n">
        <v>1</v>
      </c>
      <c r="T2405" s="3" t="inlineStr">
        <is>
          <t>6B/2025/2S</t>
        </is>
      </c>
      <c r="U2405" s="87" t="n">
        <v>45873</v>
      </c>
      <c r="V2405" s="3" t="inlineStr">
        <is>
          <t>23</t>
        </is>
      </c>
      <c r="W2405" s="87" t="n">
        <v>45873</v>
      </c>
      <c r="X2405" s="4" t="inlineStr">
        <is>
          <t xml:space="preserve">Bin Humaid National Trading Co </t>
        </is>
      </c>
    </row>
    <row r="2406" ht="24" customHeight="1">
      <c r="A2406" s="2">
        <f>+D2406-S2406</f>
        <v/>
      </c>
      <c r="B2406" s="80" t="n">
        <v>4024</v>
      </c>
      <c r="C2406" s="66" t="n">
        <v>45863</v>
      </c>
      <c r="D2406" s="2" t="n">
        <v>1</v>
      </c>
      <c r="E2406" s="3" t="inlineStr">
        <is>
          <t>FUCILE SEMIAUTOMATICO</t>
        </is>
      </c>
      <c r="F2406" s="3" t="inlineStr">
        <is>
          <t>12</t>
        </is>
      </c>
      <c r="G2406" s="3" t="inlineStr">
        <is>
          <t>BENELLI</t>
        </is>
      </c>
      <c r="H2406" s="65" t="inlineStr">
        <is>
          <t>RAFFAELLO ETHOS CORDOBA BE.S.T. AI 30''</t>
        </is>
      </c>
      <c r="I2406" s="65" t="inlineStr">
        <is>
          <t>F450521G</t>
        </is>
      </c>
      <c r="J2406" s="65" t="inlineStr">
        <is>
          <t>C1682756C</t>
        </is>
      </c>
      <c r="K2406" s="65" t="inlineStr">
        <is>
          <t>N/D</t>
        </is>
      </c>
      <c r="L2406" s="127" t="inlineStr">
        <is>
          <t>BENELLI ARMI SPA</t>
        </is>
      </c>
      <c r="M2406" s="5" t="n">
        <v>1534</v>
      </c>
      <c r="N2406" s="5" t="n"/>
      <c r="O2406" s="5">
        <f>+M2406+N2406</f>
        <v/>
      </c>
      <c r="P2406" s="4" t="n">
        <v>45863</v>
      </c>
      <c r="Q2406" s="87" t="n">
        <v>45856</v>
      </c>
      <c r="R2406" s="5" t="n">
        <v>1748.76</v>
      </c>
      <c r="S2406" s="2" t="n">
        <v>1</v>
      </c>
      <c r="T2406" s="3" t="inlineStr">
        <is>
          <t>6B/2025/2S</t>
        </is>
      </c>
      <c r="U2406" s="87" t="n">
        <v>45873</v>
      </c>
      <c r="V2406" s="3" t="inlineStr">
        <is>
          <t>23</t>
        </is>
      </c>
      <c r="W2406" s="87" t="n">
        <v>45873</v>
      </c>
      <c r="X2406" s="4" t="inlineStr">
        <is>
          <t xml:space="preserve">Bin Humaid National Trading Co </t>
        </is>
      </c>
    </row>
    <row r="2407" ht="24" customHeight="1">
      <c r="A2407" s="2">
        <f>+D2407-S2407</f>
        <v/>
      </c>
      <c r="B2407" s="80" t="n">
        <v>4025</v>
      </c>
      <c r="C2407" s="66" t="n">
        <v>45863</v>
      </c>
      <c r="D2407" s="2" t="n">
        <v>1</v>
      </c>
      <c r="E2407" s="3" t="inlineStr">
        <is>
          <t>FUCILE SEMIAUTOMATICO</t>
        </is>
      </c>
      <c r="F2407" s="3" t="inlineStr">
        <is>
          <t>12</t>
        </is>
      </c>
      <c r="G2407" s="3" t="inlineStr">
        <is>
          <t>BENELLI</t>
        </is>
      </c>
      <c r="H2407" s="65" t="inlineStr">
        <is>
          <t>RAFFAELLO ETHOS CORDOBA BE.S.T. AI 30''</t>
        </is>
      </c>
      <c r="I2407" s="65" t="inlineStr">
        <is>
          <t>F450520E</t>
        </is>
      </c>
      <c r="J2407" s="65" t="inlineStr">
        <is>
          <t>C1682755B</t>
        </is>
      </c>
      <c r="K2407" s="65" t="inlineStr">
        <is>
          <t>N/D</t>
        </is>
      </c>
      <c r="L2407" s="127" t="inlineStr">
        <is>
          <t>BENELLI ARMI SPA</t>
        </is>
      </c>
      <c r="M2407" s="5" t="n">
        <v>1534</v>
      </c>
      <c r="N2407" s="5" t="n"/>
      <c r="O2407" s="5">
        <f>+M2407+N2407</f>
        <v/>
      </c>
      <c r="P2407" s="4" t="n">
        <v>45863</v>
      </c>
      <c r="Q2407" s="87" t="n">
        <v>45856</v>
      </c>
      <c r="R2407" s="5" t="n">
        <v>1748.76</v>
      </c>
      <c r="S2407" s="2" t="n">
        <v>1</v>
      </c>
      <c r="T2407" s="3" t="inlineStr">
        <is>
          <t>6B/2025/2S</t>
        </is>
      </c>
      <c r="U2407" s="87" t="n">
        <v>45873</v>
      </c>
      <c r="V2407" s="3" t="inlineStr">
        <is>
          <t>23</t>
        </is>
      </c>
      <c r="W2407" s="87" t="n">
        <v>45873</v>
      </c>
      <c r="X2407" s="4" t="inlineStr">
        <is>
          <t xml:space="preserve">Bin Humaid National Trading Co </t>
        </is>
      </c>
    </row>
    <row r="2408" ht="24" customHeight="1">
      <c r="A2408" s="2">
        <f>+D2408-S2408</f>
        <v/>
      </c>
      <c r="B2408" s="80" t="n">
        <v>4026</v>
      </c>
      <c r="C2408" s="66" t="n">
        <v>45863</v>
      </c>
      <c r="D2408" s="2" t="n">
        <v>1</v>
      </c>
      <c r="E2408" s="3" t="inlineStr">
        <is>
          <t>FUCILE SEMIAUTOMATICO</t>
        </is>
      </c>
      <c r="F2408" s="3" t="inlineStr">
        <is>
          <t>12</t>
        </is>
      </c>
      <c r="G2408" s="3" t="inlineStr">
        <is>
          <t>BENELLI</t>
        </is>
      </c>
      <c r="H2408" s="65" t="inlineStr">
        <is>
          <t>RAFFAELLO ETHOS CORDOBA BE.S.T. AI 30''</t>
        </is>
      </c>
      <c r="I2408" s="65" t="inlineStr">
        <is>
          <t>F450519Y</t>
        </is>
      </c>
      <c r="J2408" s="65" t="inlineStr">
        <is>
          <t>C1682754A</t>
        </is>
      </c>
      <c r="K2408" s="65" t="inlineStr">
        <is>
          <t>N/D</t>
        </is>
      </c>
      <c r="L2408" s="127" t="inlineStr">
        <is>
          <t>BENELLI ARMI SPA</t>
        </is>
      </c>
      <c r="M2408" s="5" t="n">
        <v>1534</v>
      </c>
      <c r="N2408" s="5" t="n"/>
      <c r="O2408" s="5">
        <f>+M2408+N2408</f>
        <v/>
      </c>
      <c r="P2408" s="4" t="n">
        <v>45863</v>
      </c>
      <c r="Q2408" s="87" t="n">
        <v>45856</v>
      </c>
      <c r="R2408" s="5" t="n">
        <v>1748.76</v>
      </c>
      <c r="S2408" s="2" t="n">
        <v>1</v>
      </c>
      <c r="T2408" s="3" t="inlineStr">
        <is>
          <t>6B/2025/2S</t>
        </is>
      </c>
      <c r="U2408" s="87" t="n">
        <v>45873</v>
      </c>
      <c r="V2408" s="3" t="inlineStr">
        <is>
          <t>23</t>
        </is>
      </c>
      <c r="W2408" s="87" t="n">
        <v>45873</v>
      </c>
      <c r="X2408" s="4" t="inlineStr">
        <is>
          <t xml:space="preserve">Bin Humaid National Trading Co </t>
        </is>
      </c>
    </row>
    <row r="2409" ht="24" customHeight="1">
      <c r="A2409" s="2">
        <f>+D2409-S2409</f>
        <v/>
      </c>
      <c r="B2409" s="80" t="n">
        <v>4027</v>
      </c>
      <c r="C2409" s="66" t="n">
        <v>45863</v>
      </c>
      <c r="D2409" s="2" t="n">
        <v>1</v>
      </c>
      <c r="E2409" s="3" t="inlineStr">
        <is>
          <t>FUCILE SEMIAUTOMATICO</t>
        </is>
      </c>
      <c r="F2409" s="3" t="inlineStr">
        <is>
          <t>12</t>
        </is>
      </c>
      <c r="G2409" s="3" t="inlineStr">
        <is>
          <t>BENELLI</t>
        </is>
      </c>
      <c r="H2409" s="65" t="inlineStr">
        <is>
          <t>RAFFAELLO ETHOS S.SPORT AI 30''</t>
        </is>
      </c>
      <c r="I2409" s="65" t="inlineStr">
        <is>
          <t>F451251D</t>
        </is>
      </c>
      <c r="J2409" s="65" t="inlineStr">
        <is>
          <t>C1685079K</t>
        </is>
      </c>
      <c r="K2409" s="65" t="inlineStr">
        <is>
          <t>N/D</t>
        </is>
      </c>
      <c r="L2409" s="127" t="inlineStr">
        <is>
          <t>BENELLI ARMI SPA</t>
        </is>
      </c>
      <c r="M2409" s="5" t="n">
        <v>1634</v>
      </c>
      <c r="N2409" s="5" t="n"/>
      <c r="O2409" s="5">
        <f>+M2409+N2409</f>
        <v/>
      </c>
      <c r="P2409" s="4" t="n">
        <v>45863</v>
      </c>
      <c r="Q2409" s="87" t="n">
        <v>45856</v>
      </c>
      <c r="R2409" s="5" t="n">
        <v>1862.76</v>
      </c>
      <c r="S2409" s="2" t="n">
        <v>1</v>
      </c>
      <c r="T2409" s="3" t="inlineStr">
        <is>
          <t>6B/2025/2S</t>
        </is>
      </c>
      <c r="U2409" s="87" t="n">
        <v>45873</v>
      </c>
      <c r="V2409" s="3" t="inlineStr">
        <is>
          <t>23</t>
        </is>
      </c>
      <c r="W2409" s="87" t="n">
        <v>45873</v>
      </c>
      <c r="X2409" s="4" t="inlineStr">
        <is>
          <t xml:space="preserve">Bin Humaid National Trading Co </t>
        </is>
      </c>
    </row>
    <row r="2410" ht="24" customHeight="1">
      <c r="A2410" s="2">
        <f>+D2410-S2410</f>
        <v/>
      </c>
      <c r="B2410" s="80" t="n">
        <v>4028</v>
      </c>
      <c r="C2410" s="66" t="n">
        <v>45863</v>
      </c>
      <c r="D2410" s="2" t="n">
        <v>1</v>
      </c>
      <c r="E2410" s="3" t="inlineStr">
        <is>
          <t>FUCILE SEMIAUTOMATICO</t>
        </is>
      </c>
      <c r="F2410" s="3" t="inlineStr">
        <is>
          <t>12</t>
        </is>
      </c>
      <c r="G2410" s="3" t="inlineStr">
        <is>
          <t>BENELLI</t>
        </is>
      </c>
      <c r="H2410" s="65" t="inlineStr">
        <is>
          <t>RAFFAELLO ETHOS S.SPORT AI 30''</t>
        </is>
      </c>
      <c r="I2410" s="65" t="inlineStr">
        <is>
          <t>F451246P</t>
        </is>
      </c>
      <c r="J2410" s="65" t="inlineStr">
        <is>
          <t>C1685074E</t>
        </is>
      </c>
      <c r="K2410" s="65" t="inlineStr">
        <is>
          <t>N/D</t>
        </is>
      </c>
      <c r="L2410" s="127" t="inlineStr">
        <is>
          <t>BENELLI ARMI SPA</t>
        </is>
      </c>
      <c r="M2410" s="5" t="n">
        <v>1634</v>
      </c>
      <c r="N2410" s="5" t="n"/>
      <c r="O2410" s="5">
        <f>+M2410+N2410</f>
        <v/>
      </c>
      <c r="P2410" s="4" t="n">
        <v>45863</v>
      </c>
      <c r="Q2410" s="87" t="n">
        <v>45856</v>
      </c>
      <c r="R2410" s="5" t="n">
        <v>1862.76</v>
      </c>
      <c r="S2410" s="2" t="n">
        <v>1</v>
      </c>
      <c r="T2410" s="3" t="inlineStr">
        <is>
          <t>6B/2025/2S</t>
        </is>
      </c>
      <c r="U2410" s="87" t="n">
        <v>45873</v>
      </c>
      <c r="V2410" s="3" t="inlineStr">
        <is>
          <t>23</t>
        </is>
      </c>
      <c r="W2410" s="87" t="n">
        <v>45873</v>
      </c>
      <c r="X2410" s="4" t="inlineStr">
        <is>
          <t xml:space="preserve">Bin Humaid National Trading Co </t>
        </is>
      </c>
    </row>
    <row r="2411" ht="24" customHeight="1">
      <c r="A2411" s="2">
        <f>+D2411-S2411</f>
        <v/>
      </c>
      <c r="B2411" s="80" t="n">
        <v>4029</v>
      </c>
      <c r="C2411" s="66" t="n">
        <v>45863</v>
      </c>
      <c r="D2411" s="2" t="n">
        <v>1</v>
      </c>
      <c r="E2411" s="3" t="inlineStr">
        <is>
          <t>FUCILE SEMIAUTOMATICO</t>
        </is>
      </c>
      <c r="F2411" s="3" t="inlineStr">
        <is>
          <t>12</t>
        </is>
      </c>
      <c r="G2411" s="3" t="inlineStr">
        <is>
          <t>BENELLI</t>
        </is>
      </c>
      <c r="H2411" s="65" t="inlineStr">
        <is>
          <t>RAFFAELLO ETHOS S.SPORT AI 30''</t>
        </is>
      </c>
      <c r="I2411" s="65" t="inlineStr">
        <is>
          <t>F451240A</t>
        </is>
      </c>
      <c r="J2411" s="65" t="inlineStr">
        <is>
          <t>C1685071B</t>
        </is>
      </c>
      <c r="K2411" s="65" t="inlineStr">
        <is>
          <t>N/D</t>
        </is>
      </c>
      <c r="L2411" s="127" t="inlineStr">
        <is>
          <t>BENELLI ARMI SPA</t>
        </is>
      </c>
      <c r="M2411" s="5" t="n">
        <v>1634</v>
      </c>
      <c r="N2411" s="5" t="n"/>
      <c r="O2411" s="5">
        <f>+M2411+N2411</f>
        <v/>
      </c>
      <c r="P2411" s="4" t="n">
        <v>45863</v>
      </c>
      <c r="Q2411" s="87" t="n">
        <v>45856</v>
      </c>
      <c r="R2411" s="5" t="n">
        <v>1862.76</v>
      </c>
      <c r="S2411" s="2" t="n">
        <v>1</v>
      </c>
      <c r="T2411" s="3" t="inlineStr">
        <is>
          <t>6B/2025/2S</t>
        </is>
      </c>
      <c r="U2411" s="87" t="n">
        <v>45873</v>
      </c>
      <c r="V2411" s="3" t="inlineStr">
        <is>
          <t>23</t>
        </is>
      </c>
      <c r="W2411" s="87" t="n">
        <v>45873</v>
      </c>
      <c r="X2411" s="4" t="inlineStr">
        <is>
          <t xml:space="preserve">Bin Humaid National Trading Co </t>
        </is>
      </c>
    </row>
    <row r="2412" ht="24" customHeight="1">
      <c r="A2412" s="2">
        <f>+D2412-S2412</f>
        <v/>
      </c>
      <c r="B2412" s="80" t="n">
        <v>4030</v>
      </c>
      <c r="C2412" s="66" t="n">
        <v>45863</v>
      </c>
      <c r="D2412" s="2" t="n">
        <v>1</v>
      </c>
      <c r="E2412" s="3" t="inlineStr">
        <is>
          <t>FUCILE SEMIAUTOMATICO</t>
        </is>
      </c>
      <c r="F2412" s="3" t="inlineStr">
        <is>
          <t>12</t>
        </is>
      </c>
      <c r="G2412" s="3" t="inlineStr">
        <is>
          <t>BENELLI</t>
        </is>
      </c>
      <c r="H2412" s="65" t="inlineStr">
        <is>
          <t>RAFFAELLO ETHOS S.SPORT AI 30''</t>
        </is>
      </c>
      <c r="I2412" s="65" t="inlineStr">
        <is>
          <t>F451244J</t>
        </is>
      </c>
      <c r="J2412" s="65" t="inlineStr">
        <is>
          <t>C1685072C</t>
        </is>
      </c>
      <c r="K2412" s="65" t="inlineStr">
        <is>
          <t>N/D</t>
        </is>
      </c>
      <c r="L2412" s="127" t="inlineStr">
        <is>
          <t>BENELLI ARMI SPA</t>
        </is>
      </c>
      <c r="M2412" s="5" t="n">
        <v>1634</v>
      </c>
      <c r="N2412" s="5" t="n"/>
      <c r="O2412" s="5">
        <f>+M2412+N2412</f>
        <v/>
      </c>
      <c r="P2412" s="4" t="n">
        <v>45863</v>
      </c>
      <c r="Q2412" s="87" t="n">
        <v>45856</v>
      </c>
      <c r="R2412" s="5" t="n">
        <v>1862.76</v>
      </c>
      <c r="S2412" s="2" t="n">
        <v>1</v>
      </c>
      <c r="T2412" s="3" t="inlineStr">
        <is>
          <t>6B/2025/2S</t>
        </is>
      </c>
      <c r="U2412" s="87" t="n">
        <v>45873</v>
      </c>
      <c r="V2412" s="3" t="inlineStr">
        <is>
          <t>23</t>
        </is>
      </c>
      <c r="W2412" s="87" t="n">
        <v>45873</v>
      </c>
      <c r="X2412" s="4" t="inlineStr">
        <is>
          <t xml:space="preserve">Bin Humaid National Trading Co </t>
        </is>
      </c>
    </row>
    <row r="2413" ht="24" customHeight="1">
      <c r="A2413" s="2">
        <f>+D2413-S2413</f>
        <v/>
      </c>
      <c r="B2413" s="80" t="n">
        <v>4031</v>
      </c>
      <c r="C2413" s="66" t="n">
        <v>45863</v>
      </c>
      <c r="D2413" s="2" t="n">
        <v>1</v>
      </c>
      <c r="E2413" s="3" t="inlineStr">
        <is>
          <t>FUCILE SEMIAUTOMATICO</t>
        </is>
      </c>
      <c r="F2413" s="3" t="inlineStr">
        <is>
          <t>12</t>
        </is>
      </c>
      <c r="G2413" s="3" t="inlineStr">
        <is>
          <t>BENELLI</t>
        </is>
      </c>
      <c r="H2413" s="65" t="inlineStr">
        <is>
          <t>RAFFAELLO ETHOS S.SPORT AI 30''</t>
        </is>
      </c>
      <c r="I2413" s="65" t="inlineStr">
        <is>
          <t>F451242E</t>
        </is>
      </c>
      <c r="J2413" s="65" t="inlineStr">
        <is>
          <t>C1685067F</t>
        </is>
      </c>
      <c r="K2413" s="65" t="inlineStr">
        <is>
          <t>N/D</t>
        </is>
      </c>
      <c r="L2413" s="127" t="inlineStr">
        <is>
          <t>BENELLI ARMI SPA</t>
        </is>
      </c>
      <c r="M2413" s="5" t="n">
        <v>1634</v>
      </c>
      <c r="N2413" s="5" t="n"/>
      <c r="O2413" s="5">
        <f>+M2413+N2413</f>
        <v/>
      </c>
      <c r="P2413" s="4" t="n">
        <v>45863</v>
      </c>
      <c r="Q2413" s="87" t="n">
        <v>45856</v>
      </c>
      <c r="R2413" s="5" t="n">
        <v>1862.76</v>
      </c>
      <c r="S2413" s="2" t="n">
        <v>1</v>
      </c>
      <c r="T2413" s="3" t="inlineStr">
        <is>
          <t>6B/2025/2S</t>
        </is>
      </c>
      <c r="U2413" s="87" t="n">
        <v>45873</v>
      </c>
      <c r="V2413" s="3" t="inlineStr">
        <is>
          <t>23</t>
        </is>
      </c>
      <c r="W2413" s="87" t="n">
        <v>45873</v>
      </c>
      <c r="X2413" s="4" t="inlineStr">
        <is>
          <t xml:space="preserve">Bin Humaid National Trading Co </t>
        </is>
      </c>
    </row>
    <row r="2414" ht="24" customHeight="1">
      <c r="A2414" s="2">
        <f>+D2414-S2414</f>
        <v/>
      </c>
      <c r="B2414" s="80" t="n">
        <v>4032</v>
      </c>
      <c r="C2414" s="66" t="n">
        <v>45863</v>
      </c>
      <c r="D2414" s="2" t="n">
        <v>1</v>
      </c>
      <c r="E2414" s="3" t="inlineStr">
        <is>
          <t>FUCILE SEMIAUTOMATICO</t>
        </is>
      </c>
      <c r="F2414" s="3" t="inlineStr">
        <is>
          <t>12</t>
        </is>
      </c>
      <c r="G2414" s="3" t="inlineStr">
        <is>
          <t>BENELLI</t>
        </is>
      </c>
      <c r="H2414" s="65" t="inlineStr">
        <is>
          <t>RAFFAELLO ETHOS S.SPORT AI 30''</t>
        </is>
      </c>
      <c r="I2414" s="65" t="inlineStr">
        <is>
          <t>F451247R</t>
        </is>
      </c>
      <c r="J2414" s="65" t="inlineStr">
        <is>
          <t>C1685075F</t>
        </is>
      </c>
      <c r="K2414" s="65" t="inlineStr">
        <is>
          <t>N/D</t>
        </is>
      </c>
      <c r="L2414" s="127" t="inlineStr">
        <is>
          <t>BENELLI ARMI SPA</t>
        </is>
      </c>
      <c r="M2414" s="5" t="n">
        <v>1634</v>
      </c>
      <c r="N2414" s="5" t="n"/>
      <c r="O2414" s="5">
        <f>+M2414+N2414</f>
        <v/>
      </c>
      <c r="P2414" s="4" t="n">
        <v>45863</v>
      </c>
      <c r="Q2414" s="87" t="n">
        <v>45856</v>
      </c>
      <c r="R2414" s="5" t="n">
        <v>1862.76</v>
      </c>
      <c r="S2414" s="2" t="n">
        <v>1</v>
      </c>
      <c r="T2414" s="3" t="inlineStr">
        <is>
          <t>6B/2025/2S</t>
        </is>
      </c>
      <c r="U2414" s="87" t="n">
        <v>45873</v>
      </c>
      <c r="V2414" s="3" t="inlineStr">
        <is>
          <t>23</t>
        </is>
      </c>
      <c r="W2414" s="87" t="n">
        <v>45873</v>
      </c>
      <c r="X2414" s="4" t="inlineStr">
        <is>
          <t xml:space="preserve">Bin Humaid National Trading Co </t>
        </is>
      </c>
    </row>
    <row r="2415" ht="24" customHeight="1">
      <c r="A2415" s="2">
        <f>+D2415-S2415</f>
        <v/>
      </c>
      <c r="B2415" s="80" t="n">
        <v>4033</v>
      </c>
      <c r="C2415" s="66" t="n">
        <v>45863</v>
      </c>
      <c r="D2415" s="2" t="n">
        <v>1</v>
      </c>
      <c r="E2415" s="3" t="inlineStr">
        <is>
          <t>FUCILE SEMIAUTOMATICO</t>
        </is>
      </c>
      <c r="F2415" s="3" t="inlineStr">
        <is>
          <t>12</t>
        </is>
      </c>
      <c r="G2415" s="3" t="inlineStr">
        <is>
          <t>BENELLI</t>
        </is>
      </c>
      <c r="H2415" s="65" t="inlineStr">
        <is>
          <t>RAFFAELLO ETHOS S.SPORT AI 30''</t>
        </is>
      </c>
      <c r="I2415" s="65" t="inlineStr">
        <is>
          <t>F451243G</t>
        </is>
      </c>
      <c r="J2415" s="65" t="inlineStr">
        <is>
          <t>C1685081D</t>
        </is>
      </c>
      <c r="K2415" s="65" t="inlineStr">
        <is>
          <t>N/D</t>
        </is>
      </c>
      <c r="L2415" s="127" t="inlineStr">
        <is>
          <t>BENELLI ARMI SPA</t>
        </is>
      </c>
      <c r="M2415" s="5" t="n">
        <v>1634</v>
      </c>
      <c r="N2415" s="5" t="n"/>
      <c r="O2415" s="5">
        <f>+M2415+N2415</f>
        <v/>
      </c>
      <c r="P2415" s="4" t="n">
        <v>45863</v>
      </c>
      <c r="Q2415" s="87" t="n">
        <v>45856</v>
      </c>
      <c r="R2415" s="5" t="n">
        <v>1862.76</v>
      </c>
      <c r="S2415" s="2" t="n">
        <v>1</v>
      </c>
      <c r="T2415" s="3" t="inlineStr">
        <is>
          <t>6B/2025/2S</t>
        </is>
      </c>
      <c r="U2415" s="87" t="n">
        <v>45873</v>
      </c>
      <c r="V2415" s="3" t="inlineStr">
        <is>
          <t>23</t>
        </is>
      </c>
      <c r="W2415" s="87" t="n">
        <v>45873</v>
      </c>
      <c r="X2415" s="4" t="inlineStr">
        <is>
          <t xml:space="preserve">Bin Humaid National Trading Co </t>
        </is>
      </c>
    </row>
    <row r="2416" ht="24" customHeight="1">
      <c r="A2416" s="2">
        <f>+D2416-S2416</f>
        <v/>
      </c>
      <c r="B2416" s="80" t="n">
        <v>4034</v>
      </c>
      <c r="C2416" s="66" t="n">
        <v>45863</v>
      </c>
      <c r="D2416" s="2" t="n">
        <v>1</v>
      </c>
      <c r="E2416" s="3" t="inlineStr">
        <is>
          <t>FUCILE SEMIAUTOMATICO</t>
        </is>
      </c>
      <c r="F2416" s="3" t="inlineStr">
        <is>
          <t>12</t>
        </is>
      </c>
      <c r="G2416" s="3" t="inlineStr">
        <is>
          <t>BENELLI</t>
        </is>
      </c>
      <c r="H2416" s="65" t="inlineStr">
        <is>
          <t>RAFFAELLO ETHOS S.SPORT AI 30''</t>
        </is>
      </c>
      <c r="I2416" s="65" t="inlineStr">
        <is>
          <t>F451252F</t>
        </is>
      </c>
      <c r="J2416" s="65" t="inlineStr">
        <is>
          <t>C1685084G</t>
        </is>
      </c>
      <c r="K2416" s="65" t="inlineStr">
        <is>
          <t>N/D</t>
        </is>
      </c>
      <c r="L2416" s="127" t="inlineStr">
        <is>
          <t>BENELLI ARMI SPA</t>
        </is>
      </c>
      <c r="M2416" s="5" t="n">
        <v>1634</v>
      </c>
      <c r="N2416" s="5" t="n"/>
      <c r="O2416" s="5">
        <f>+M2416+N2416</f>
        <v/>
      </c>
      <c r="P2416" s="4" t="n">
        <v>45863</v>
      </c>
      <c r="Q2416" s="87" t="n">
        <v>45856</v>
      </c>
      <c r="R2416" s="5" t="n">
        <v>1862.76</v>
      </c>
      <c r="S2416" s="2" t="n">
        <v>1</v>
      </c>
      <c r="T2416" s="3" t="inlineStr">
        <is>
          <t>6B/2025/2S</t>
        </is>
      </c>
      <c r="U2416" s="87" t="n">
        <v>45873</v>
      </c>
      <c r="V2416" s="3" t="inlineStr">
        <is>
          <t>23</t>
        </is>
      </c>
      <c r="W2416" s="87" t="n">
        <v>45873</v>
      </c>
      <c r="X2416" s="4" t="inlineStr">
        <is>
          <t xml:space="preserve">Bin Humaid National Trading Co </t>
        </is>
      </c>
    </row>
    <row r="2417" ht="24" customHeight="1">
      <c r="A2417" s="2">
        <f>+D2417-S2417</f>
        <v/>
      </c>
      <c r="B2417" s="80" t="n">
        <v>4035</v>
      </c>
      <c r="C2417" s="66" t="n">
        <v>45863</v>
      </c>
      <c r="D2417" s="2" t="n">
        <v>1</v>
      </c>
      <c r="E2417" s="3" t="inlineStr">
        <is>
          <t>FUCILE SEMIAUTOMATICO</t>
        </is>
      </c>
      <c r="F2417" s="3" t="inlineStr">
        <is>
          <t>12</t>
        </is>
      </c>
      <c r="G2417" s="3" t="inlineStr">
        <is>
          <t>BENELLI</t>
        </is>
      </c>
      <c r="H2417" s="65" t="inlineStr">
        <is>
          <t>RAFFAELLO ETHOS S.SPORT AI 30''</t>
        </is>
      </c>
      <c r="I2417" s="65" t="inlineStr">
        <is>
          <t>F451253H</t>
        </is>
      </c>
      <c r="J2417" s="65" t="inlineStr">
        <is>
          <t>C1685083F</t>
        </is>
      </c>
      <c r="K2417" s="65" t="inlineStr">
        <is>
          <t>N/D</t>
        </is>
      </c>
      <c r="L2417" s="127" t="inlineStr">
        <is>
          <t>BENELLI ARMI SPA</t>
        </is>
      </c>
      <c r="M2417" s="5" t="n">
        <v>1634</v>
      </c>
      <c r="N2417" s="5" t="n"/>
      <c r="O2417" s="5">
        <f>+M2417+N2417</f>
        <v/>
      </c>
      <c r="P2417" s="4" t="n">
        <v>45863</v>
      </c>
      <c r="Q2417" s="87" t="n">
        <v>45856</v>
      </c>
      <c r="R2417" s="5" t="n">
        <v>1862.76</v>
      </c>
      <c r="S2417" s="2" t="n">
        <v>1</v>
      </c>
      <c r="T2417" s="3" t="inlineStr">
        <is>
          <t>6B/2025/2S</t>
        </is>
      </c>
      <c r="U2417" s="87" t="n">
        <v>45873</v>
      </c>
      <c r="V2417" s="3" t="inlineStr">
        <is>
          <t>23</t>
        </is>
      </c>
      <c r="W2417" s="87" t="n">
        <v>45873</v>
      </c>
      <c r="X2417" s="4" t="inlineStr">
        <is>
          <t xml:space="preserve">Bin Humaid National Trading Co </t>
        </is>
      </c>
    </row>
    <row r="2418" ht="24" customHeight="1">
      <c r="A2418" s="2">
        <f>+D2418-S2418</f>
        <v/>
      </c>
      <c r="B2418" s="80" t="n">
        <v>4036</v>
      </c>
      <c r="C2418" s="66" t="n">
        <v>45863</v>
      </c>
      <c r="D2418" s="2" t="n">
        <v>1</v>
      </c>
      <c r="E2418" s="3" t="inlineStr">
        <is>
          <t>FUCILE SEMIAUTOMATICO</t>
        </is>
      </c>
      <c r="F2418" s="3" t="inlineStr">
        <is>
          <t>12</t>
        </is>
      </c>
      <c r="G2418" s="3" t="inlineStr">
        <is>
          <t>BENELLI</t>
        </is>
      </c>
      <c r="H2418" s="65" t="inlineStr">
        <is>
          <t>RAFFAELLO ETHOS S.SPORT AI 30''</t>
        </is>
      </c>
      <c r="I2418" s="65" t="inlineStr">
        <is>
          <t>F451254K</t>
        </is>
      </c>
      <c r="J2418" s="65" t="inlineStr">
        <is>
          <t>C1685092G</t>
        </is>
      </c>
      <c r="K2418" s="65" t="inlineStr">
        <is>
          <t>N/D</t>
        </is>
      </c>
      <c r="L2418" s="127" t="inlineStr">
        <is>
          <t>BENELLI ARMI SPA</t>
        </is>
      </c>
      <c r="M2418" s="5" t="n">
        <v>1634</v>
      </c>
      <c r="N2418" s="5" t="n"/>
      <c r="O2418" s="5">
        <f>+M2418+N2418</f>
        <v/>
      </c>
      <c r="P2418" s="4" t="n">
        <v>45863</v>
      </c>
      <c r="Q2418" s="87" t="n">
        <v>45856</v>
      </c>
      <c r="R2418" s="5" t="n">
        <v>1862.76</v>
      </c>
      <c r="S2418" s="2" t="n">
        <v>1</v>
      </c>
      <c r="T2418" s="3" t="inlineStr">
        <is>
          <t>6B/2025/2S</t>
        </is>
      </c>
      <c r="U2418" s="87" t="n">
        <v>45873</v>
      </c>
      <c r="V2418" s="3" t="inlineStr">
        <is>
          <t>23</t>
        </is>
      </c>
      <c r="W2418" s="87" t="n">
        <v>45873</v>
      </c>
      <c r="X2418" s="4" t="inlineStr">
        <is>
          <t xml:space="preserve">Bin Humaid National Trading Co </t>
        </is>
      </c>
    </row>
    <row r="2419" ht="24" customHeight="1">
      <c r="A2419" s="2">
        <f>+D2419-S2419</f>
        <v/>
      </c>
      <c r="B2419" s="80" t="n">
        <v>4037</v>
      </c>
      <c r="C2419" s="66" t="n">
        <v>45863</v>
      </c>
      <c r="D2419" s="2" t="n">
        <v>1</v>
      </c>
      <c r="E2419" s="3" t="inlineStr">
        <is>
          <t>FUCILE SEMIAUTOMATICO</t>
        </is>
      </c>
      <c r="F2419" s="3" t="inlineStr">
        <is>
          <t>12</t>
        </is>
      </c>
      <c r="G2419" s="3" t="inlineStr">
        <is>
          <t>BENELLI</t>
        </is>
      </c>
      <c r="H2419" s="65" t="inlineStr">
        <is>
          <t>RAFFAELLO ETHOS S.SPORT AI 30''</t>
        </is>
      </c>
      <c r="I2419" s="65" t="inlineStr">
        <is>
          <t>F451256Q</t>
        </is>
      </c>
      <c r="J2419" s="65" t="inlineStr">
        <is>
          <t>C1685091F</t>
        </is>
      </c>
      <c r="K2419" s="65" t="inlineStr">
        <is>
          <t>N/D</t>
        </is>
      </c>
      <c r="L2419" s="127" t="inlineStr">
        <is>
          <t>BENELLI ARMI SPA</t>
        </is>
      </c>
      <c r="M2419" s="5" t="n">
        <v>1634</v>
      </c>
      <c r="N2419" s="5" t="n"/>
      <c r="O2419" s="5">
        <f>+M2419+N2419</f>
        <v/>
      </c>
      <c r="P2419" s="4" t="n">
        <v>45863</v>
      </c>
      <c r="Q2419" s="87" t="n">
        <v>45856</v>
      </c>
      <c r="R2419" s="5" t="n">
        <v>1862.76</v>
      </c>
      <c r="S2419" s="2" t="n">
        <v>1</v>
      </c>
      <c r="T2419" s="3" t="inlineStr">
        <is>
          <t>6B/2025/2S</t>
        </is>
      </c>
      <c r="U2419" s="87" t="n">
        <v>45873</v>
      </c>
      <c r="V2419" s="3" t="inlineStr">
        <is>
          <t>23</t>
        </is>
      </c>
      <c r="W2419" s="87" t="n">
        <v>45873</v>
      </c>
      <c r="X2419" s="4" t="inlineStr">
        <is>
          <t xml:space="preserve">Bin Humaid National Trading Co </t>
        </is>
      </c>
    </row>
    <row r="2420" ht="24" customHeight="1">
      <c r="A2420" s="2">
        <f>+D2420-S2420</f>
        <v/>
      </c>
      <c r="B2420" s="80" t="n">
        <v>4038</v>
      </c>
      <c r="C2420" s="66" t="n">
        <v>45863</v>
      </c>
      <c r="D2420" s="2" t="n">
        <v>1</v>
      </c>
      <c r="E2420" s="3" t="inlineStr">
        <is>
          <t>FUCILE SEMIAUTOMATICO</t>
        </is>
      </c>
      <c r="F2420" s="3" t="inlineStr">
        <is>
          <t>12</t>
        </is>
      </c>
      <c r="G2420" s="3" t="inlineStr">
        <is>
          <t>BENELLI</t>
        </is>
      </c>
      <c r="H2420" s="65" t="inlineStr">
        <is>
          <t>RAFFAELLO ETHOS S.SPORT AI 30''</t>
        </is>
      </c>
      <c r="I2420" s="65" t="inlineStr">
        <is>
          <t>F451257S</t>
        </is>
      </c>
      <c r="J2420" s="65" t="inlineStr">
        <is>
          <t>C1685090E</t>
        </is>
      </c>
      <c r="K2420" s="65" t="inlineStr">
        <is>
          <t>N/D</t>
        </is>
      </c>
      <c r="L2420" s="127" t="inlineStr">
        <is>
          <t>BENELLI ARMI SPA</t>
        </is>
      </c>
      <c r="M2420" s="5" t="n">
        <v>1634</v>
      </c>
      <c r="N2420" s="5" t="n"/>
      <c r="O2420" s="5">
        <f>+M2420+N2420</f>
        <v/>
      </c>
      <c r="P2420" s="4" t="n">
        <v>45863</v>
      </c>
      <c r="Q2420" s="87" t="n">
        <v>45856</v>
      </c>
      <c r="R2420" s="5" t="n">
        <v>1862.76</v>
      </c>
      <c r="S2420" s="2" t="n">
        <v>1</v>
      </c>
      <c r="T2420" s="3" t="inlineStr">
        <is>
          <t>6B/2025/2S</t>
        </is>
      </c>
      <c r="U2420" s="87" t="n">
        <v>45873</v>
      </c>
      <c r="V2420" s="3" t="inlineStr">
        <is>
          <t>23</t>
        </is>
      </c>
      <c r="W2420" s="87" t="n">
        <v>45873</v>
      </c>
      <c r="X2420" s="4" t="inlineStr">
        <is>
          <t xml:space="preserve">Bin Humaid National Trading Co </t>
        </is>
      </c>
    </row>
    <row r="2421" ht="24" customHeight="1">
      <c r="A2421" s="2">
        <f>+D2421-S2421</f>
        <v/>
      </c>
      <c r="B2421" s="80" t="n">
        <v>4039</v>
      </c>
      <c r="C2421" s="66" t="n">
        <v>45863</v>
      </c>
      <c r="D2421" s="2" t="n">
        <v>1</v>
      </c>
      <c r="E2421" s="3" t="inlineStr">
        <is>
          <t>FUCILE SEMIAUTOMATICO</t>
        </is>
      </c>
      <c r="F2421" s="3" t="inlineStr">
        <is>
          <t>12</t>
        </is>
      </c>
      <c r="G2421" s="3" t="inlineStr">
        <is>
          <t>BENELLI</t>
        </is>
      </c>
      <c r="H2421" s="65" t="inlineStr">
        <is>
          <t>RAFFAELLO ETHOS S.SPORT AI 30''</t>
        </is>
      </c>
      <c r="I2421" s="65" t="inlineStr">
        <is>
          <t>F451259W</t>
        </is>
      </c>
      <c r="J2421" s="65" t="inlineStr">
        <is>
          <t>C1685087K</t>
        </is>
      </c>
      <c r="K2421" s="65" t="inlineStr">
        <is>
          <t>N/D</t>
        </is>
      </c>
      <c r="L2421" s="127" t="inlineStr">
        <is>
          <t>BENELLI ARMI SPA</t>
        </is>
      </c>
      <c r="M2421" s="5" t="n">
        <v>1634</v>
      </c>
      <c r="N2421" s="5" t="n"/>
      <c r="O2421" s="5">
        <f>+M2421+N2421</f>
        <v/>
      </c>
      <c r="P2421" s="4" t="n">
        <v>45863</v>
      </c>
      <c r="Q2421" s="87" t="n">
        <v>45856</v>
      </c>
      <c r="R2421" s="5" t="n">
        <v>1862.76</v>
      </c>
      <c r="S2421" s="2" t="n">
        <v>1</v>
      </c>
      <c r="T2421" s="3" t="inlineStr">
        <is>
          <t>6B/2025/2S</t>
        </is>
      </c>
      <c r="U2421" s="87" t="n">
        <v>45873</v>
      </c>
      <c r="V2421" s="3" t="inlineStr">
        <is>
          <t>23</t>
        </is>
      </c>
      <c r="W2421" s="87" t="n">
        <v>45873</v>
      </c>
      <c r="X2421" s="4" t="inlineStr">
        <is>
          <t xml:space="preserve">Bin Humaid National Trading Co </t>
        </is>
      </c>
    </row>
    <row r="2422" ht="24" customHeight="1">
      <c r="A2422" s="2">
        <f>+D2422-S2422</f>
        <v/>
      </c>
      <c r="B2422" s="80" t="n">
        <v>4040</v>
      </c>
      <c r="C2422" s="66" t="n">
        <v>45863</v>
      </c>
      <c r="D2422" s="2" t="n">
        <v>1</v>
      </c>
      <c r="E2422" s="3" t="inlineStr">
        <is>
          <t>FUCILE SEMIAUTOMATICO</t>
        </is>
      </c>
      <c r="F2422" s="3" t="inlineStr">
        <is>
          <t>12</t>
        </is>
      </c>
      <c r="G2422" s="3" t="inlineStr">
        <is>
          <t>BENELLI</t>
        </is>
      </c>
      <c r="H2422" s="65" t="inlineStr">
        <is>
          <t>RAFFAELLO ETHOS S.SPORT AI 30''</t>
        </is>
      </c>
      <c r="I2422" s="65" t="inlineStr">
        <is>
          <t>F451258U</t>
        </is>
      </c>
      <c r="J2422" s="65" t="inlineStr">
        <is>
          <t>C1685088L</t>
        </is>
      </c>
      <c r="K2422" s="65" t="inlineStr">
        <is>
          <t>N/D</t>
        </is>
      </c>
      <c r="L2422" s="127" t="inlineStr">
        <is>
          <t>BENELLI ARMI SPA</t>
        </is>
      </c>
      <c r="M2422" s="5" t="n">
        <v>1634</v>
      </c>
      <c r="N2422" s="5" t="n"/>
      <c r="O2422" s="5">
        <f>+M2422+N2422</f>
        <v/>
      </c>
      <c r="P2422" s="4" t="n">
        <v>45863</v>
      </c>
      <c r="Q2422" s="87" t="n">
        <v>45856</v>
      </c>
      <c r="R2422" s="5" t="n">
        <v>1862.76</v>
      </c>
      <c r="S2422" s="2" t="n">
        <v>1</v>
      </c>
      <c r="T2422" s="3" t="inlineStr">
        <is>
          <t>6B/2025/2S</t>
        </is>
      </c>
      <c r="U2422" s="87" t="n">
        <v>45873</v>
      </c>
      <c r="V2422" s="3" t="inlineStr">
        <is>
          <t>23</t>
        </is>
      </c>
      <c r="W2422" s="87" t="n">
        <v>45873</v>
      </c>
      <c r="X2422" s="4" t="inlineStr">
        <is>
          <t xml:space="preserve">Bin Humaid National Trading Co </t>
        </is>
      </c>
    </row>
    <row r="2423" ht="24" customHeight="1">
      <c r="A2423" s="2">
        <f>+D2423-S2423</f>
        <v/>
      </c>
      <c r="B2423" s="80" t="n">
        <v>4041</v>
      </c>
      <c r="C2423" s="66" t="n">
        <v>45863</v>
      </c>
      <c r="D2423" s="2" t="n">
        <v>1</v>
      </c>
      <c r="E2423" s="3" t="inlineStr">
        <is>
          <t>FUCILE SEMIAUTOMATICO</t>
        </is>
      </c>
      <c r="F2423" s="3" t="inlineStr">
        <is>
          <t>12</t>
        </is>
      </c>
      <c r="G2423" s="3" t="inlineStr">
        <is>
          <t>BENELLI</t>
        </is>
      </c>
      <c r="H2423" s="65" t="inlineStr">
        <is>
          <t>RAFFAELLO ETHOS S.SPORT AI 30''</t>
        </is>
      </c>
      <c r="I2423" s="65" t="inlineStr">
        <is>
          <t>F451241C</t>
        </is>
      </c>
      <c r="J2423" s="65" t="inlineStr">
        <is>
          <t>C1685077H</t>
        </is>
      </c>
      <c r="K2423" s="65" t="inlineStr">
        <is>
          <t>N/D</t>
        </is>
      </c>
      <c r="L2423" s="127" t="inlineStr">
        <is>
          <t>BENELLI ARMI SPA</t>
        </is>
      </c>
      <c r="M2423" s="5" t="n">
        <v>1634</v>
      </c>
      <c r="N2423" s="5" t="n"/>
      <c r="O2423" s="5">
        <f>+M2423+N2423</f>
        <v/>
      </c>
      <c r="P2423" s="4" t="n">
        <v>45863</v>
      </c>
      <c r="Q2423" s="87" t="n">
        <v>45856</v>
      </c>
      <c r="R2423" s="5" t="n">
        <v>1862.76</v>
      </c>
      <c r="S2423" s="2" t="n">
        <v>1</v>
      </c>
      <c r="T2423" s="3" t="inlineStr">
        <is>
          <t>6B/2025/2S</t>
        </is>
      </c>
      <c r="U2423" s="87" t="n">
        <v>45873</v>
      </c>
      <c r="V2423" s="3" t="inlineStr">
        <is>
          <t>23</t>
        </is>
      </c>
      <c r="W2423" s="87" t="n">
        <v>45873</v>
      </c>
      <c r="X2423" s="4" t="inlineStr">
        <is>
          <t xml:space="preserve">Bin Humaid National Trading Co </t>
        </is>
      </c>
    </row>
    <row r="2424" ht="24" customHeight="1">
      <c r="A2424" s="2">
        <f>+D2424-S2424</f>
        <v/>
      </c>
      <c r="B2424" s="80" t="n">
        <v>4042</v>
      </c>
      <c r="C2424" s="66" t="n">
        <v>45863</v>
      </c>
      <c r="D2424" s="2" t="n">
        <v>1</v>
      </c>
      <c r="E2424" s="3" t="inlineStr">
        <is>
          <t>FUCILE SEMIAUTOMATICO</t>
        </is>
      </c>
      <c r="F2424" s="3" t="inlineStr">
        <is>
          <t>12</t>
        </is>
      </c>
      <c r="G2424" s="3" t="inlineStr">
        <is>
          <t>BENELLI</t>
        </is>
      </c>
      <c r="H2424" s="65" t="inlineStr">
        <is>
          <t>RAFFAELLO LIM ED 2025 30''</t>
        </is>
      </c>
      <c r="I2424" s="65" t="inlineStr">
        <is>
          <t>F450738C</t>
        </is>
      </c>
      <c r="J2424" s="65" t="inlineStr">
        <is>
          <t>C1683667G</t>
        </is>
      </c>
      <c r="K2424" s="65" t="inlineStr">
        <is>
          <t>N/D</t>
        </is>
      </c>
      <c r="L2424" s="127" t="inlineStr">
        <is>
          <t>BENELLI ARMI SPA</t>
        </is>
      </c>
      <c r="M2424" s="5" t="n">
        <v>2112</v>
      </c>
      <c r="N2424" s="5" t="n"/>
      <c r="O2424" s="5">
        <f>+M2424+N2424</f>
        <v/>
      </c>
      <c r="P2424" s="4" t="n">
        <v>45863</v>
      </c>
      <c r="Q2424" s="87" t="n">
        <v>45856</v>
      </c>
      <c r="R2424" s="5" t="n">
        <v>2428</v>
      </c>
      <c r="S2424" s="2" t="n">
        <v>1</v>
      </c>
      <c r="T2424" s="3" t="inlineStr">
        <is>
          <t>6B/2025/2S</t>
        </is>
      </c>
      <c r="U2424" s="87" t="n">
        <v>45873</v>
      </c>
      <c r="V2424" s="3" t="inlineStr">
        <is>
          <t>23</t>
        </is>
      </c>
      <c r="W2424" s="87" t="n">
        <v>45873</v>
      </c>
      <c r="X2424" s="4" t="inlineStr">
        <is>
          <t xml:space="preserve">Bin Humaid National Trading Co </t>
        </is>
      </c>
    </row>
    <row r="2425" ht="24" customHeight="1">
      <c r="A2425" s="2">
        <f>+D2425-S2425</f>
        <v/>
      </c>
      <c r="B2425" s="80" t="n">
        <v>4043</v>
      </c>
      <c r="C2425" s="66" t="n">
        <v>45863</v>
      </c>
      <c r="D2425" s="2" t="n">
        <v>1</v>
      </c>
      <c r="E2425" s="3" t="inlineStr">
        <is>
          <t>FUCILE SEMIAUTOMATICO</t>
        </is>
      </c>
      <c r="F2425" s="3" t="inlineStr">
        <is>
          <t>12</t>
        </is>
      </c>
      <c r="G2425" s="3" t="inlineStr">
        <is>
          <t>BENELLI</t>
        </is>
      </c>
      <c r="H2425" s="65" t="inlineStr">
        <is>
          <t>RAFFAELLO LIM ED 2025 30''</t>
        </is>
      </c>
      <c r="I2425" s="65" t="inlineStr">
        <is>
          <t>F450737A</t>
        </is>
      </c>
      <c r="J2425" s="65" t="inlineStr">
        <is>
          <t>C1683670B</t>
        </is>
      </c>
      <c r="K2425" s="65" t="inlineStr">
        <is>
          <t>N/D</t>
        </is>
      </c>
      <c r="L2425" s="127" t="inlineStr">
        <is>
          <t>BENELLI ARMI SPA</t>
        </is>
      </c>
      <c r="M2425" s="5" t="n">
        <v>2112</v>
      </c>
      <c r="N2425" s="5" t="n"/>
      <c r="O2425" s="5">
        <f>+M2425+N2425</f>
        <v/>
      </c>
      <c r="P2425" s="4" t="n">
        <v>45863</v>
      </c>
      <c r="Q2425" s="87" t="n">
        <v>45856</v>
      </c>
      <c r="R2425" s="5" t="n">
        <v>2428</v>
      </c>
      <c r="S2425" s="2" t="n">
        <v>1</v>
      </c>
      <c r="T2425" s="3" t="inlineStr">
        <is>
          <t>6B/2025/2S</t>
        </is>
      </c>
      <c r="U2425" s="87" t="n">
        <v>45873</v>
      </c>
      <c r="V2425" s="3" t="inlineStr">
        <is>
          <t>23</t>
        </is>
      </c>
      <c r="W2425" s="87" t="n">
        <v>45873</v>
      </c>
      <c r="X2425" s="4" t="inlineStr">
        <is>
          <t xml:space="preserve">Bin Humaid National Trading Co </t>
        </is>
      </c>
    </row>
    <row r="2426" ht="24" customHeight="1">
      <c r="A2426" s="2">
        <f>+D2426-S2426</f>
        <v/>
      </c>
      <c r="B2426" s="80" t="n">
        <v>4044</v>
      </c>
      <c r="C2426" s="66" t="n">
        <v>45863</v>
      </c>
      <c r="D2426" s="2" t="n">
        <v>1</v>
      </c>
      <c r="E2426" s="3" t="inlineStr">
        <is>
          <t>FUCILE SEMIAUTOMATICO</t>
        </is>
      </c>
      <c r="F2426" s="3" t="inlineStr">
        <is>
          <t>12</t>
        </is>
      </c>
      <c r="G2426" s="3" t="inlineStr">
        <is>
          <t>BENELLI</t>
        </is>
      </c>
      <c r="H2426" s="65" t="inlineStr">
        <is>
          <t>RAFFAELLO LIM ED 2025 30''</t>
        </is>
      </c>
      <c r="I2426" s="65" t="inlineStr">
        <is>
          <t>F450736Y</t>
        </is>
      </c>
      <c r="J2426" s="65" t="inlineStr">
        <is>
          <t>C1683668H</t>
        </is>
      </c>
      <c r="K2426" s="65" t="inlineStr">
        <is>
          <t>N/D</t>
        </is>
      </c>
      <c r="L2426" s="127" t="inlineStr">
        <is>
          <t>BENELLI ARMI SPA</t>
        </is>
      </c>
      <c r="M2426" s="5" t="n">
        <v>2112</v>
      </c>
      <c r="N2426" s="5" t="n"/>
      <c r="O2426" s="5">
        <f>+M2426+N2426</f>
        <v/>
      </c>
      <c r="P2426" s="4" t="n">
        <v>45863</v>
      </c>
      <c r="Q2426" s="87" t="n">
        <v>45856</v>
      </c>
      <c r="R2426" s="5" t="n">
        <v>2428</v>
      </c>
      <c r="S2426" s="2" t="n">
        <v>1</v>
      </c>
      <c r="T2426" s="3" t="inlineStr">
        <is>
          <t>6B/2025/2S</t>
        </is>
      </c>
      <c r="U2426" s="87" t="n">
        <v>45873</v>
      </c>
      <c r="V2426" s="3" t="inlineStr">
        <is>
          <t>23</t>
        </is>
      </c>
      <c r="W2426" s="87" t="n">
        <v>45873</v>
      </c>
      <c r="X2426" s="4" t="inlineStr">
        <is>
          <t xml:space="preserve">Bin Humaid National Trading Co </t>
        </is>
      </c>
    </row>
    <row r="2427" ht="24" customHeight="1">
      <c r="A2427" s="2">
        <f>+D2427-S2427</f>
        <v/>
      </c>
      <c r="B2427" s="80" t="n">
        <v>4045</v>
      </c>
      <c r="C2427" s="66" t="n">
        <v>45863</v>
      </c>
      <c r="D2427" s="2" t="n">
        <v>1</v>
      </c>
      <c r="E2427" s="3" t="inlineStr">
        <is>
          <t>FUCILE SEMIAUTOMATICO</t>
        </is>
      </c>
      <c r="F2427" s="3" t="inlineStr">
        <is>
          <t>12</t>
        </is>
      </c>
      <c r="G2427" s="3" t="inlineStr">
        <is>
          <t>BENELLI</t>
        </is>
      </c>
      <c r="H2427" s="65" t="inlineStr">
        <is>
          <t>RAFFAELLO LIM ED 2025 30''</t>
        </is>
      </c>
      <c r="I2427" s="65" t="inlineStr">
        <is>
          <t>F450735W</t>
        </is>
      </c>
      <c r="J2427" s="65" t="inlineStr">
        <is>
          <t>C1683671C</t>
        </is>
      </c>
      <c r="K2427" s="65" t="inlineStr">
        <is>
          <t>N/D</t>
        </is>
      </c>
      <c r="L2427" s="127" t="inlineStr">
        <is>
          <t>BENELLI ARMI SPA</t>
        </is>
      </c>
      <c r="M2427" s="5" t="n">
        <v>2112</v>
      </c>
      <c r="N2427" s="5" t="n"/>
      <c r="O2427" s="5">
        <f>+M2427+N2427</f>
        <v/>
      </c>
      <c r="P2427" s="4" t="n">
        <v>45863</v>
      </c>
      <c r="Q2427" s="87" t="n">
        <v>45856</v>
      </c>
      <c r="R2427" s="5" t="n">
        <v>2428</v>
      </c>
      <c r="S2427" s="2" t="n">
        <v>1</v>
      </c>
      <c r="T2427" s="3" t="inlineStr">
        <is>
          <t>6B/2025/2S</t>
        </is>
      </c>
      <c r="U2427" s="87" t="n">
        <v>45873</v>
      </c>
      <c r="V2427" s="3" t="inlineStr">
        <is>
          <t>23</t>
        </is>
      </c>
      <c r="W2427" s="87" t="n">
        <v>45873</v>
      </c>
      <c r="X2427" s="4" t="inlineStr">
        <is>
          <t xml:space="preserve">Bin Humaid National Trading Co </t>
        </is>
      </c>
    </row>
    <row r="2428" ht="24" customHeight="1">
      <c r="A2428" s="2">
        <f>+D2428-S2428</f>
        <v/>
      </c>
      <c r="B2428" s="80" t="n">
        <v>4046</v>
      </c>
      <c r="C2428" s="66" t="n">
        <v>45863</v>
      </c>
      <c r="D2428" s="2" t="n">
        <v>1</v>
      </c>
      <c r="E2428" s="3" t="inlineStr">
        <is>
          <t>FUCILE SEMIAUTOMATICO</t>
        </is>
      </c>
      <c r="F2428" s="3" t="inlineStr">
        <is>
          <t>12</t>
        </is>
      </c>
      <c r="G2428" s="3" t="inlineStr">
        <is>
          <t>BENELLI</t>
        </is>
      </c>
      <c r="H2428" s="65" t="inlineStr">
        <is>
          <t>SBE3 LE BME 30"</t>
        </is>
      </c>
      <c r="I2428" s="65" t="inlineStr">
        <is>
          <t>U786789A</t>
        </is>
      </c>
      <c r="J2428" s="65" t="inlineStr">
        <is>
          <t>S825629D</t>
        </is>
      </c>
      <c r="K2428" s="65" t="inlineStr">
        <is>
          <t>N/D</t>
        </is>
      </c>
      <c r="L2428" s="127" t="inlineStr">
        <is>
          <t>BENELLI ARMI SPA</t>
        </is>
      </c>
      <c r="M2428" s="5" t="n">
        <v>2120</v>
      </c>
      <c r="N2428" s="5" t="n"/>
      <c r="O2428" s="5">
        <f>+M2428+N2428</f>
        <v/>
      </c>
      <c r="P2428" s="4" t="n">
        <v>45863</v>
      </c>
      <c r="Q2428" s="87" t="n">
        <v>45856</v>
      </c>
      <c r="R2428" s="5" t="n">
        <v>2438</v>
      </c>
      <c r="S2428" s="2" t="n">
        <v>1</v>
      </c>
      <c r="T2428" s="3" t="inlineStr">
        <is>
          <t>6B/2025/2S</t>
        </is>
      </c>
      <c r="U2428" s="87" t="n">
        <v>45873</v>
      </c>
      <c r="V2428" s="3" t="inlineStr">
        <is>
          <t>23</t>
        </is>
      </c>
      <c r="W2428" s="87" t="n">
        <v>45873</v>
      </c>
      <c r="X2428" s="4" t="inlineStr">
        <is>
          <t xml:space="preserve">Bin Humaid National Trading Co </t>
        </is>
      </c>
    </row>
    <row r="2429" ht="24" customHeight="1">
      <c r="A2429" s="2">
        <f>+D2429-S2429</f>
        <v/>
      </c>
      <c r="B2429" s="80" t="n">
        <v>4047</v>
      </c>
      <c r="C2429" s="66" t="n">
        <v>45863</v>
      </c>
      <c r="D2429" s="2" t="n">
        <v>1</v>
      </c>
      <c r="E2429" s="3" t="inlineStr">
        <is>
          <t>FUCILE SEMIAUTOMATICO</t>
        </is>
      </c>
      <c r="F2429" s="3" t="inlineStr">
        <is>
          <t>12</t>
        </is>
      </c>
      <c r="G2429" s="3" t="inlineStr">
        <is>
          <t>BENELLI</t>
        </is>
      </c>
      <c r="H2429" s="65" t="inlineStr">
        <is>
          <t>SBE3 LE BME 30"</t>
        </is>
      </c>
      <c r="I2429" s="65" t="inlineStr">
        <is>
          <t>U786790G</t>
        </is>
      </c>
      <c r="J2429" s="65" t="inlineStr">
        <is>
          <t>S825630K</t>
        </is>
      </c>
      <c r="K2429" s="65" t="inlineStr">
        <is>
          <t>N/D</t>
        </is>
      </c>
      <c r="L2429" s="127" t="inlineStr">
        <is>
          <t>BENELLI ARMI SPA</t>
        </is>
      </c>
      <c r="M2429" s="5" t="n">
        <v>2120</v>
      </c>
      <c r="N2429" s="5" t="n"/>
      <c r="O2429" s="5">
        <f>+M2429+N2429</f>
        <v/>
      </c>
      <c r="P2429" s="4" t="n">
        <v>45863</v>
      </c>
      <c r="Q2429" s="87" t="n">
        <v>45856</v>
      </c>
      <c r="R2429" s="5" t="n">
        <v>2438</v>
      </c>
      <c r="S2429" s="2" t="n">
        <v>1</v>
      </c>
      <c r="T2429" s="3" t="inlineStr">
        <is>
          <t>6B/2025/2S</t>
        </is>
      </c>
      <c r="U2429" s="87" t="n">
        <v>45873</v>
      </c>
      <c r="V2429" s="3" t="inlineStr">
        <is>
          <t>23</t>
        </is>
      </c>
      <c r="W2429" s="87" t="n">
        <v>45873</v>
      </c>
      <c r="X2429" s="4" t="inlineStr">
        <is>
          <t xml:space="preserve">Bin Humaid National Trading Co </t>
        </is>
      </c>
    </row>
    <row r="2430" ht="24" customHeight="1">
      <c r="A2430" s="2">
        <f>+D2430-S2430</f>
        <v/>
      </c>
      <c r="B2430" s="80" t="n"/>
      <c r="C2430" s="66" t="n">
        <v>45870</v>
      </c>
      <c r="D2430" s="2" t="n">
        <v>2</v>
      </c>
      <c r="E2430" s="3" t="inlineStr">
        <is>
          <t>ACCESSORI</t>
        </is>
      </c>
      <c r="F2430" s="3" t="inlineStr">
        <is>
          <t>7.62X39</t>
        </is>
      </c>
      <c r="G2430" s="3" t="inlineStr">
        <is>
          <t>N/D</t>
        </is>
      </c>
      <c r="H2430" s="65" t="inlineStr">
        <is>
          <t>AK/AKM CARICATORE 30CP</t>
        </is>
      </c>
      <c r="I2430" s="65" t="inlineStr">
        <is>
          <t>N/D</t>
        </is>
      </c>
      <c r="J2430" s="65" t="inlineStr">
        <is>
          <t>N/D</t>
        </is>
      </c>
      <c r="K2430" s="65" t="inlineStr">
        <is>
          <t>N/D</t>
        </is>
      </c>
      <c r="L2430" s="127" t="inlineStr">
        <is>
          <t>ERREDI TRADING SRL</t>
        </is>
      </c>
      <c r="M2430" s="5" t="n">
        <v>37</v>
      </c>
      <c r="N2430" s="5" t="n"/>
      <c r="O2430" s="5">
        <f>+M2430+N2430</f>
        <v/>
      </c>
      <c r="P2430" s="4" t="n">
        <v>45867</v>
      </c>
      <c r="Q2430" s="87" t="n">
        <v>45867</v>
      </c>
      <c r="R2430" s="5" t="n">
        <v>41</v>
      </c>
      <c r="S2430" s="2" t="n">
        <v>1</v>
      </c>
      <c r="T2430" s="3" t="inlineStr">
        <is>
          <t>CA04954OS</t>
        </is>
      </c>
      <c r="U2430" s="87" t="n">
        <v>45874</v>
      </c>
      <c r="V2430" s="3" t="inlineStr">
        <is>
          <t>25</t>
        </is>
      </c>
      <c r="W2430" s="4" t="n">
        <v>45874</v>
      </c>
      <c r="X2430" s="4" t="inlineStr">
        <is>
          <t>PHILIPPOS  CONSTANTINIDES
TRADING CO.LTD</t>
        </is>
      </c>
    </row>
    <row r="2431" ht="24" customHeight="1">
      <c r="A2431" s="2">
        <f>+D2431-S2431</f>
        <v/>
      </c>
      <c r="B2431" s="80" t="n"/>
      <c r="C2431" s="66" t="n">
        <v>45870</v>
      </c>
      <c r="D2431" s="2" t="n">
        <v>7</v>
      </c>
      <c r="E2431" s="3" t="inlineStr">
        <is>
          <t>ACCESSORI</t>
        </is>
      </c>
      <c r="F2431" s="3" t="inlineStr">
        <is>
          <t>N/D</t>
        </is>
      </c>
      <c r="G2431" s="3" t="inlineStr">
        <is>
          <t>N/D</t>
        </is>
      </c>
      <c r="H2431" s="65" t="inlineStr">
        <is>
          <t>CALCIO 6 POS.COMM.SPEC</t>
        </is>
      </c>
      <c r="I2431" s="65" t="inlineStr">
        <is>
          <t>N/D</t>
        </is>
      </c>
      <c r="J2431" s="65" t="inlineStr">
        <is>
          <t>N/D</t>
        </is>
      </c>
      <c r="K2431" s="65" t="inlineStr">
        <is>
          <t>N/D</t>
        </is>
      </c>
      <c r="L2431" s="127" t="inlineStr">
        <is>
          <t>ERREDI TRADING SRL</t>
        </is>
      </c>
      <c r="M2431" s="5" t="n">
        <v>277.2</v>
      </c>
      <c r="N2431" s="5" t="n"/>
      <c r="O2431" s="5">
        <f>+M2431+N2431</f>
        <v/>
      </c>
      <c r="P2431" s="4" t="n">
        <v>45861</v>
      </c>
      <c r="Q2431" s="87" t="n">
        <v>45861</v>
      </c>
      <c r="R2431" s="5" t="n">
        <v>338.8</v>
      </c>
      <c r="S2431" s="2" t="n">
        <v>1</v>
      </c>
      <c r="T2431" s="3" t="inlineStr">
        <is>
          <t>CA42796IR</t>
        </is>
      </c>
      <c r="U2431" s="87" t="n">
        <v>45887</v>
      </c>
      <c r="V2431" s="3" t="inlineStr">
        <is>
          <t>28</t>
        </is>
      </c>
      <c r="W2431" s="87" t="n">
        <v>45887</v>
      </c>
      <c r="X2431" s="4" t="inlineStr">
        <is>
          <t>PHILIPPOS  CONSTANTINIDES
TRADING CO.LTD</t>
        </is>
      </c>
    </row>
    <row r="2432" ht="24" customHeight="1">
      <c r="A2432" s="2">
        <f>+D2432-S2432</f>
        <v/>
      </c>
      <c r="B2432" s="80" t="n"/>
      <c r="C2432" s="66" t="n">
        <v>45870</v>
      </c>
      <c r="D2432" s="2" t="n">
        <v>10</v>
      </c>
      <c r="E2432" s="3" t="inlineStr">
        <is>
          <t>ACCESSORI</t>
        </is>
      </c>
      <c r="F2432" s="3" t="inlineStr">
        <is>
          <t>N/D</t>
        </is>
      </c>
      <c r="G2432" s="3" t="inlineStr">
        <is>
          <t>N/D</t>
        </is>
      </c>
      <c r="H2432" s="65" t="inlineStr">
        <is>
          <t>SLITTA PICATINNY PER BERGARA</t>
        </is>
      </c>
      <c r="I2432" s="65" t="inlineStr">
        <is>
          <t>N/D</t>
        </is>
      </c>
      <c r="J2432" s="65" t="inlineStr">
        <is>
          <t>N/D</t>
        </is>
      </c>
      <c r="K2432" s="65" t="inlineStr">
        <is>
          <t>N/D</t>
        </is>
      </c>
      <c r="L2432" s="127" t="inlineStr">
        <is>
          <t>CONTESSA SRL</t>
        </is>
      </c>
      <c r="M2432" s="5" t="n">
        <v>389.5</v>
      </c>
      <c r="N2432" s="5" t="n"/>
      <c r="O2432" s="5">
        <f>+M2432+N2432</f>
        <v/>
      </c>
      <c r="P2432" s="4" t="n">
        <v>45861</v>
      </c>
      <c r="Q2432" s="87" t="n">
        <v>45861</v>
      </c>
      <c r="R2432" s="5" t="n">
        <v>450</v>
      </c>
      <c r="S2432" s="2" t="n">
        <v>1</v>
      </c>
      <c r="T2432" s="3" t="inlineStr">
        <is>
          <t>CA04954OS</t>
        </is>
      </c>
      <c r="U2432" s="87" t="n">
        <v>45874</v>
      </c>
      <c r="V2432" s="3" t="inlineStr">
        <is>
          <t>26</t>
        </is>
      </c>
      <c r="W2432" s="4" t="n">
        <v>45874</v>
      </c>
      <c r="X2432" s="4" t="inlineStr">
        <is>
          <t>PHILIPPOS  CONSTANTINIDES
TRADING CO.LTD</t>
        </is>
      </c>
    </row>
    <row r="2433" ht="24" customHeight="1">
      <c r="A2433" s="2">
        <f>+D2433-S2433</f>
        <v/>
      </c>
      <c r="B2433" s="80" t="n"/>
      <c r="C2433" s="66" t="n">
        <v>45870</v>
      </c>
      <c r="D2433" s="2" t="n">
        <v>1</v>
      </c>
      <c r="E2433" s="3" t="inlineStr">
        <is>
          <t>ACCESSORI</t>
        </is>
      </c>
      <c r="F2433" s="3" t="inlineStr">
        <is>
          <t>N/D</t>
        </is>
      </c>
      <c r="G2433" s="3" t="inlineStr">
        <is>
          <t>N/D</t>
        </is>
      </c>
      <c r="H2433" s="65" t="inlineStr">
        <is>
          <t>ASTINA IN POLIMERO QUAD RAIL PER AK-47</t>
        </is>
      </c>
      <c r="I2433" s="65" t="inlineStr">
        <is>
          <t>N/D</t>
        </is>
      </c>
      <c r="J2433" s="65" t="inlineStr">
        <is>
          <t>N/D</t>
        </is>
      </c>
      <c r="K2433" s="65" t="inlineStr">
        <is>
          <t>N/D</t>
        </is>
      </c>
      <c r="L2433" s="127" t="inlineStr">
        <is>
          <t>TFC</t>
        </is>
      </c>
      <c r="M2433" s="5" t="n">
        <v>36.96</v>
      </c>
      <c r="N2433" s="5" t="n"/>
      <c r="O2433" s="5">
        <f>+M2433+N2433</f>
        <v/>
      </c>
      <c r="P2433" s="4" t="n">
        <v>45869</v>
      </c>
      <c r="Q2433" s="87" t="n">
        <v>45869</v>
      </c>
      <c r="R2433" s="5" t="n">
        <v>42</v>
      </c>
      <c r="S2433" s="2" t="n">
        <v>1</v>
      </c>
      <c r="T2433" s="3" t="inlineStr">
        <is>
          <t>CA04954OS</t>
        </is>
      </c>
      <c r="U2433" s="87" t="n">
        <v>45874</v>
      </c>
      <c r="V2433" s="3" t="inlineStr">
        <is>
          <t>26</t>
        </is>
      </c>
      <c r="W2433" s="4" t="n">
        <v>45874</v>
      </c>
      <c r="X2433" s="4" t="inlineStr">
        <is>
          <t>PHILIPPOS  CONSTANTINIDES
TRADING CO.LTD</t>
        </is>
      </c>
    </row>
    <row r="2434" ht="24" customHeight="1">
      <c r="A2434" s="2">
        <f>+D2434-S2434</f>
        <v/>
      </c>
      <c r="B2434" s="80" t="n"/>
      <c r="C2434" s="66" t="n">
        <v>45870</v>
      </c>
      <c r="D2434" s="2" t="n">
        <v>1</v>
      </c>
      <c r="E2434" s="3" t="inlineStr">
        <is>
          <t>ACCESSORI</t>
        </is>
      </c>
      <c r="F2434" s="3" t="inlineStr">
        <is>
          <t>N/D</t>
        </is>
      </c>
      <c r="G2434" s="3" t="inlineStr">
        <is>
          <t>N/D</t>
        </is>
      </c>
      <c r="H2434" s="65" t="inlineStr">
        <is>
          <t>IMPUGNATURA A PISTOLA PER AK (AG-47) SABBIA</t>
        </is>
      </c>
      <c r="I2434" s="65" t="inlineStr">
        <is>
          <t>N/D</t>
        </is>
      </c>
      <c r="J2434" s="65" t="inlineStr">
        <is>
          <t>N/D</t>
        </is>
      </c>
      <c r="K2434" s="65" t="inlineStr">
        <is>
          <t>N/D</t>
        </is>
      </c>
      <c r="L2434" s="127" t="inlineStr">
        <is>
          <t>TFC</t>
        </is>
      </c>
      <c r="M2434" s="5" t="n">
        <v>14.16</v>
      </c>
      <c r="N2434" s="5" t="n"/>
      <c r="O2434" s="5">
        <f>+M2434+N2434</f>
        <v/>
      </c>
      <c r="P2434" s="4" t="n">
        <v>45869</v>
      </c>
      <c r="Q2434" s="87" t="n">
        <v>45869</v>
      </c>
      <c r="R2434" s="5" t="n">
        <v>16.5</v>
      </c>
      <c r="S2434" s="2" t="n">
        <v>1</v>
      </c>
      <c r="T2434" s="3" t="inlineStr">
        <is>
          <t>CA04954OS</t>
        </is>
      </c>
      <c r="U2434" s="87" t="n">
        <v>45874</v>
      </c>
      <c r="V2434" s="3" t="inlineStr">
        <is>
          <t>26</t>
        </is>
      </c>
      <c r="W2434" s="4" t="n">
        <v>45874</v>
      </c>
      <c r="X2434" s="4" t="inlineStr">
        <is>
          <t>PHILIPPOS  CONSTANTINIDES
TRADING CO.LTD</t>
        </is>
      </c>
    </row>
    <row r="2435" ht="24" customHeight="1">
      <c r="A2435" s="2">
        <f>+D2435-S2435</f>
        <v/>
      </c>
      <c r="B2435" s="80" t="n"/>
      <c r="C2435" s="66" t="n">
        <v>45870</v>
      </c>
      <c r="D2435" s="2" t="n">
        <v>1</v>
      </c>
      <c r="E2435" s="3" t="inlineStr">
        <is>
          <t>ACCESSORI</t>
        </is>
      </c>
      <c r="F2435" s="3" t="inlineStr">
        <is>
          <t>N/D</t>
        </is>
      </c>
      <c r="G2435" s="3" t="inlineStr">
        <is>
          <t>N/D</t>
        </is>
      </c>
      <c r="H2435" s="65" t="inlineStr">
        <is>
          <t>CORSA COLLASSABILE AK</t>
        </is>
      </c>
      <c r="I2435" s="65" t="inlineStr">
        <is>
          <t>N/D</t>
        </is>
      </c>
      <c r="J2435" s="65" t="inlineStr">
        <is>
          <t>N/D</t>
        </is>
      </c>
      <c r="K2435" s="65" t="inlineStr">
        <is>
          <t>N/D</t>
        </is>
      </c>
      <c r="L2435" s="127" t="inlineStr">
        <is>
          <t>TFC</t>
        </is>
      </c>
      <c r="M2435" s="5" t="n">
        <v>34.11</v>
      </c>
      <c r="N2435" s="5" t="n"/>
      <c r="O2435" s="5">
        <f>+M2435+N2435</f>
        <v/>
      </c>
      <c r="P2435" s="4" t="n">
        <v>45869</v>
      </c>
      <c r="Q2435" s="87" t="n">
        <v>45869</v>
      </c>
      <c r="R2435" s="5" t="n">
        <v>34.1</v>
      </c>
      <c r="S2435" s="2" t="n">
        <v>1</v>
      </c>
      <c r="T2435" s="3" t="inlineStr">
        <is>
          <t>CA04954OS</t>
        </is>
      </c>
      <c r="U2435" s="87" t="n">
        <v>45874</v>
      </c>
      <c r="V2435" s="3" t="inlineStr">
        <is>
          <t>26</t>
        </is>
      </c>
      <c r="W2435" s="4" t="n">
        <v>45874</v>
      </c>
      <c r="X2435" s="4" t="inlineStr">
        <is>
          <t>PHILIPPOS  CONSTANTINIDES
TRADING CO.LTD</t>
        </is>
      </c>
    </row>
    <row r="2436" ht="24" customHeight="1">
      <c r="A2436" s="2">
        <f>+D2436-S2436</f>
        <v/>
      </c>
      <c r="B2436" s="80" t="n"/>
      <c r="C2436" s="66" t="n">
        <v>45870</v>
      </c>
      <c r="D2436" s="2" t="n">
        <v>1</v>
      </c>
      <c r="E2436" s="3" t="inlineStr">
        <is>
          <t>ACCESSORI</t>
        </is>
      </c>
      <c r="F2436" s="3" t="inlineStr">
        <is>
          <t>N/D</t>
        </is>
      </c>
      <c r="G2436" s="3" t="inlineStr">
        <is>
          <t>N/D</t>
        </is>
      </c>
      <c r="H2436" s="65" t="inlineStr">
        <is>
          <t>ADATTATORE PER CALCIO AK</t>
        </is>
      </c>
      <c r="I2436" s="65" t="inlineStr">
        <is>
          <t>N/D</t>
        </is>
      </c>
      <c r="J2436" s="65" t="inlineStr">
        <is>
          <t>N/D</t>
        </is>
      </c>
      <c r="K2436" s="65" t="inlineStr">
        <is>
          <t>N/D</t>
        </is>
      </c>
      <c r="L2436" s="127" t="inlineStr">
        <is>
          <t>TFC</t>
        </is>
      </c>
      <c r="M2436" s="5" t="n">
        <v>22.71</v>
      </c>
      <c r="N2436" s="5" t="n"/>
      <c r="O2436" s="5">
        <f>+M2436+N2436</f>
        <v/>
      </c>
      <c r="P2436" s="4" t="n">
        <v>45869</v>
      </c>
      <c r="Q2436" s="87" t="n">
        <v>45869</v>
      </c>
      <c r="R2436" s="5" t="n">
        <v>26.3</v>
      </c>
      <c r="S2436" s="2" t="n">
        <v>1</v>
      </c>
      <c r="T2436" s="3" t="inlineStr">
        <is>
          <t>CA04954OS</t>
        </is>
      </c>
      <c r="U2436" s="87" t="n">
        <v>45874</v>
      </c>
      <c r="V2436" s="3" t="inlineStr">
        <is>
          <t>26</t>
        </is>
      </c>
      <c r="W2436" s="4" t="n">
        <v>45874</v>
      </c>
      <c r="X2436" s="4" t="inlineStr">
        <is>
          <t>PHILIPPOS  CONSTANTINIDES
TRADING CO.LTD</t>
        </is>
      </c>
    </row>
    <row r="2437" ht="24" customHeight="1">
      <c r="A2437" s="2">
        <f>+D2437-S2437</f>
        <v/>
      </c>
      <c r="B2437" s="80" t="n"/>
      <c r="C2437" s="66" t="n">
        <v>45870</v>
      </c>
      <c r="D2437" s="2" t="n">
        <v>2</v>
      </c>
      <c r="E2437" s="3" t="inlineStr">
        <is>
          <t>ACCESSORI</t>
        </is>
      </c>
      <c r="F2437" s="3" t="inlineStr">
        <is>
          <t>N/D</t>
        </is>
      </c>
      <c r="G2437" s="3" t="inlineStr">
        <is>
          <t>N/D</t>
        </is>
      </c>
      <c r="H2437" s="65" t="inlineStr">
        <is>
          <t>VORTEX VIPER HD 5-25X50</t>
        </is>
      </c>
      <c r="I2437" s="65" t="inlineStr">
        <is>
          <t>N/D</t>
        </is>
      </c>
      <c r="J2437" s="65" t="inlineStr">
        <is>
          <t>N/D</t>
        </is>
      </c>
      <c r="K2437" s="65" t="inlineStr">
        <is>
          <t>N/D</t>
        </is>
      </c>
      <c r="L2437" s="127" t="inlineStr">
        <is>
          <t>ORIGIN STB SRL</t>
        </is>
      </c>
      <c r="M2437" s="5" t="n">
        <v>1101.6</v>
      </c>
      <c r="N2437" s="5" t="n"/>
      <c r="O2437" s="5" t="n">
        <v>1113.6</v>
      </c>
      <c r="P2437" s="4" t="n">
        <v>45869</v>
      </c>
      <c r="Q2437" s="87" t="n">
        <v>45869</v>
      </c>
      <c r="R2437" s="5" t="n">
        <v>1200</v>
      </c>
      <c r="S2437" s="2" t="n">
        <v>1</v>
      </c>
      <c r="T2437" s="3" t="inlineStr">
        <is>
          <t>CA04954OS</t>
        </is>
      </c>
      <c r="U2437" s="87" t="n">
        <v>45874</v>
      </c>
      <c r="V2437" s="3" t="inlineStr">
        <is>
          <t>26</t>
        </is>
      </c>
      <c r="W2437" s="4" t="n">
        <v>45874</v>
      </c>
      <c r="X2437" s="4" t="inlineStr">
        <is>
          <t>PHILIPPOS  CONSTANTINIDES
TRADING CO.LTD</t>
        </is>
      </c>
    </row>
    <row r="2438" ht="24" customHeight="1">
      <c r="A2438" s="2">
        <f>+D2438-S2438</f>
        <v/>
      </c>
      <c r="B2438" s="80" t="n"/>
      <c r="C2438" s="66" t="n">
        <v>45870</v>
      </c>
      <c r="D2438" s="2" t="n">
        <v>1</v>
      </c>
      <c r="E2438" s="3" t="inlineStr">
        <is>
          <t>ACCESSORI</t>
        </is>
      </c>
      <c r="F2438" s="3" t="inlineStr">
        <is>
          <t>N/D</t>
        </is>
      </c>
      <c r="G2438" s="3" t="inlineStr">
        <is>
          <t>N/D</t>
        </is>
      </c>
      <c r="H2438" s="65" t="inlineStr">
        <is>
          <t>HOLOSUN RED DOT SIGHT HS507C-X2</t>
        </is>
      </c>
      <c r="I2438" s="65" t="inlineStr">
        <is>
          <t>N/D</t>
        </is>
      </c>
      <c r="J2438" s="65" t="inlineStr">
        <is>
          <t>N/D</t>
        </is>
      </c>
      <c r="K2438" s="65" t="inlineStr">
        <is>
          <t>N/D</t>
        </is>
      </c>
      <c r="L2438" s="127" t="inlineStr">
        <is>
          <t>ORIGIN STB SRL</t>
        </is>
      </c>
      <c r="M2438" s="5" t="n">
        <v>293.96</v>
      </c>
      <c r="N2438" s="5" t="n"/>
      <c r="O2438" s="5" t="n">
        <v>295.96</v>
      </c>
      <c r="P2438" s="4" t="n">
        <v>45869</v>
      </c>
      <c r="Q2438" s="87" t="n">
        <v>45869</v>
      </c>
      <c r="R2438" s="5" t="n">
        <v>320</v>
      </c>
      <c r="S2438" s="2" t="n">
        <v>1</v>
      </c>
      <c r="T2438" s="3" t="inlineStr">
        <is>
          <t>CA04954OS</t>
        </is>
      </c>
      <c r="U2438" s="87" t="n">
        <v>45874</v>
      </c>
      <c r="V2438" s="3" t="inlineStr">
        <is>
          <t>26</t>
        </is>
      </c>
      <c r="W2438" s="4" t="n">
        <v>45874</v>
      </c>
      <c r="X2438" s="4" t="inlineStr">
        <is>
          <t>PHILIPPOS  CONSTANTINIDES
TRADING CO.LTD</t>
        </is>
      </c>
    </row>
    <row r="2439" ht="24" customHeight="1">
      <c r="A2439" s="2">
        <f>+D2439-S2439</f>
        <v/>
      </c>
      <c r="B2439" s="80" t="n"/>
      <c r="C2439" s="66" t="n">
        <v>45870</v>
      </c>
      <c r="D2439" s="2" t="n">
        <v>2</v>
      </c>
      <c r="E2439" s="3" t="inlineStr">
        <is>
          <t>ACCESSORI</t>
        </is>
      </c>
      <c r="F2439" s="3" t="inlineStr">
        <is>
          <t>308 WIN</t>
        </is>
      </c>
      <c r="G2439" s="3" t="inlineStr">
        <is>
          <t>N/D</t>
        </is>
      </c>
      <c r="H2439" s="65" t="inlineStr">
        <is>
          <t>MGZ ASSY DBM</t>
        </is>
      </c>
      <c r="I2439" s="65" t="inlineStr">
        <is>
          <t>N/D</t>
        </is>
      </c>
      <c r="J2439" s="65" t="inlineStr">
        <is>
          <t>N/D</t>
        </is>
      </c>
      <c r="K2439" s="65" t="inlineStr">
        <is>
          <t>N/D</t>
        </is>
      </c>
      <c r="L2439" s="127" t="inlineStr">
        <is>
          <t>B.W.M.I. SRL</t>
        </is>
      </c>
      <c r="M2439" s="5" t="n">
        <v>152</v>
      </c>
      <c r="N2439" s="5" t="n"/>
      <c r="O2439" s="5">
        <f>+M2439+N2439</f>
        <v/>
      </c>
      <c r="P2439" s="4" t="n">
        <v>45757</v>
      </c>
      <c r="Q2439" s="87" t="n">
        <v>45757</v>
      </c>
      <c r="R2439" s="5" t="n">
        <v>166</v>
      </c>
      <c r="S2439" s="2" t="n">
        <v>2</v>
      </c>
      <c r="T2439" s="3" t="inlineStr">
        <is>
          <t>CA04954OS</t>
        </is>
      </c>
      <c r="U2439" s="87" t="n">
        <v>45874</v>
      </c>
      <c r="V2439" s="3" t="inlineStr">
        <is>
          <t>26</t>
        </is>
      </c>
      <c r="W2439" s="4" t="n">
        <v>45874</v>
      </c>
      <c r="X2439" s="4" t="inlineStr">
        <is>
          <t>PHILIPPOS  CONSTANTINIDES
TRADING CO.LTD</t>
        </is>
      </c>
    </row>
    <row r="2440" ht="24" customHeight="1">
      <c r="A2440" s="2">
        <f>+D2440-S2440</f>
        <v/>
      </c>
      <c r="B2440" s="80" t="n"/>
      <c r="C2440" s="66" t="n">
        <v>45870</v>
      </c>
      <c r="D2440" s="2" t="n">
        <v>4</v>
      </c>
      <c r="E2440" s="3" t="inlineStr">
        <is>
          <t>ACCESSORI</t>
        </is>
      </c>
      <c r="F2440" s="3" t="inlineStr">
        <is>
          <t>300WM</t>
        </is>
      </c>
      <c r="G2440" s="3" t="inlineStr">
        <is>
          <t>BROWNING</t>
        </is>
      </c>
      <c r="H2440" s="65" t="inlineStr">
        <is>
          <t>MGZ ASSY BAR</t>
        </is>
      </c>
      <c r="I2440" s="65" t="inlineStr">
        <is>
          <t>N/D</t>
        </is>
      </c>
      <c r="J2440" s="65" t="inlineStr">
        <is>
          <t>N/D</t>
        </is>
      </c>
      <c r="K2440" s="65" t="inlineStr">
        <is>
          <t>N/D</t>
        </is>
      </c>
      <c r="L2440" s="127" t="inlineStr">
        <is>
          <t>B.W.M.I. SRL</t>
        </is>
      </c>
      <c r="M2440" s="5" t="n">
        <v>151.6</v>
      </c>
      <c r="N2440" s="5" t="n"/>
      <c r="O2440" s="5">
        <f>+M2440+N2440</f>
        <v/>
      </c>
      <c r="P2440" s="4" t="n">
        <v>45757</v>
      </c>
      <c r="Q2440" s="87" t="n">
        <v>45757</v>
      </c>
      <c r="R2440" s="5" t="n">
        <v>164</v>
      </c>
      <c r="S2440" s="2" t="n">
        <v>4</v>
      </c>
      <c r="T2440" s="3" t="inlineStr">
        <is>
          <t>CA04954OS</t>
        </is>
      </c>
      <c r="U2440" s="87" t="n">
        <v>45874</v>
      </c>
      <c r="V2440" s="3" t="inlineStr">
        <is>
          <t>26</t>
        </is>
      </c>
      <c r="W2440" s="4" t="n">
        <v>45874</v>
      </c>
      <c r="X2440" s="4" t="inlineStr">
        <is>
          <t>PHILIPPOS  CONSTANTINIDES
TRADING CO.LTD</t>
        </is>
      </c>
    </row>
    <row r="2441" ht="24" customHeight="1">
      <c r="A2441" s="2">
        <f>+D2441-S2441</f>
        <v/>
      </c>
      <c r="B2441" s="80" t="n"/>
      <c r="C2441" s="66" t="n">
        <v>45870</v>
      </c>
      <c r="D2441" s="2" t="n">
        <v>4</v>
      </c>
      <c r="E2441" s="3" t="inlineStr">
        <is>
          <t>ACCESSORI</t>
        </is>
      </c>
      <c r="F2441" s="3" t="n"/>
      <c r="G2441" s="3" t="inlineStr">
        <is>
          <t>BROWNING</t>
        </is>
      </c>
      <c r="H2441" s="65" t="inlineStr">
        <is>
          <t>MGZ DBM STD BAR 3</t>
        </is>
      </c>
      <c r="I2441" s="65" t="inlineStr">
        <is>
          <t>N/D</t>
        </is>
      </c>
      <c r="J2441" s="65" t="inlineStr">
        <is>
          <t>N/D</t>
        </is>
      </c>
      <c r="K2441" s="65" t="inlineStr">
        <is>
          <t>N/D</t>
        </is>
      </c>
      <c r="L2441" s="127" t="inlineStr">
        <is>
          <t>B.W.M.I. SRL</t>
        </is>
      </c>
      <c r="M2441" s="5" t="n">
        <v>60</v>
      </c>
      <c r="N2441" s="5" t="n"/>
      <c r="O2441" s="5">
        <f>+M2441+N2441</f>
        <v/>
      </c>
      <c r="P2441" s="4" t="n">
        <v>45757</v>
      </c>
      <c r="Q2441" s="87" t="n">
        <v>45757</v>
      </c>
      <c r="R2441" s="5" t="n"/>
      <c r="S2441" s="2" t="n">
        <v>4</v>
      </c>
      <c r="T2441" s="3" t="n"/>
      <c r="U2441" s="87" t="n"/>
      <c r="V2441" s="3" t="n"/>
      <c r="W2441" s="87" t="n"/>
      <c r="X2441" s="4" t="inlineStr">
        <is>
          <t>PHILIPPOS  CONSTANTINIDES
TRADING CO.LTD</t>
        </is>
      </c>
    </row>
    <row r="2442" ht="24" customHeight="1">
      <c r="A2442" s="2">
        <f>+D2442-S2442</f>
        <v/>
      </c>
      <c r="B2442" s="80" t="n">
        <v>4048</v>
      </c>
      <c r="C2442" s="66" t="n">
        <v>45870</v>
      </c>
      <c r="D2442" s="2" t="n">
        <v>1</v>
      </c>
      <c r="E2442" s="3" t="inlineStr">
        <is>
          <t>FUCILE SOVRAPPOSTO</t>
        </is>
      </c>
      <c r="F2442" s="3" t="inlineStr">
        <is>
          <t>410</t>
        </is>
      </c>
      <c r="G2442" s="3" t="inlineStr">
        <is>
          <t>BERETTA</t>
        </is>
      </c>
      <c r="H2442" s="65" t="inlineStr">
        <is>
          <t>686 SILVER PIGEON 1 SPORTING B FAST</t>
        </is>
      </c>
      <c r="I2442" s="65" t="inlineStr">
        <is>
          <t>F72540X</t>
        </is>
      </c>
      <c r="J2442" s="65" t="inlineStr">
        <is>
          <t>N/D</t>
        </is>
      </c>
      <c r="K2442" s="65" t="inlineStr">
        <is>
          <t>N/D</t>
        </is>
      </c>
      <c r="L2442" s="127" t="inlineStr">
        <is>
          <t>F.LLI MANCINI VITANTONIO E ANGELO S.N.C</t>
        </is>
      </c>
      <c r="M2442" s="5" t="n">
        <v>1257</v>
      </c>
      <c r="N2442" s="5" t="n"/>
      <c r="O2442" s="5">
        <f>+M2442+N2442</f>
        <v/>
      </c>
      <c r="P2442" s="87" t="n">
        <v>45854</v>
      </c>
      <c r="Q2442" s="87" t="n">
        <v>45854</v>
      </c>
      <c r="R2442" s="5" t="n">
        <v>1330</v>
      </c>
      <c r="S2442" s="2" t="n">
        <v>1</v>
      </c>
      <c r="T2442" s="3" t="inlineStr">
        <is>
          <t>CA42796IR</t>
        </is>
      </c>
      <c r="U2442" s="87" t="n">
        <v>45887</v>
      </c>
      <c r="V2442" s="3" t="inlineStr">
        <is>
          <t>28</t>
        </is>
      </c>
      <c r="W2442" s="108" t="n">
        <v>45887</v>
      </c>
      <c r="X2442" s="4" t="inlineStr">
        <is>
          <t>PHILIPPOS  CONSTANTINIDES
TRADING CO.LTD</t>
        </is>
      </c>
    </row>
    <row r="2443" ht="24" customHeight="1">
      <c r="A2443" s="2">
        <f>+D2443-S2443</f>
        <v/>
      </c>
      <c r="B2443" s="80" t="n">
        <v>4049</v>
      </c>
      <c r="C2443" s="66" t="n">
        <v>45870</v>
      </c>
      <c r="D2443" s="2" t="n">
        <v>1</v>
      </c>
      <c r="E2443" s="3" t="inlineStr">
        <is>
          <t>FUCILE SOVRAPPOSTO</t>
        </is>
      </c>
      <c r="F2443" s="3" t="inlineStr">
        <is>
          <t>410</t>
        </is>
      </c>
      <c r="G2443" s="3" t="inlineStr">
        <is>
          <t>BERETTA</t>
        </is>
      </c>
      <c r="H2443" s="65" t="inlineStr">
        <is>
          <t>686 SILVER PIGEON 1 SPORTING B FAST</t>
        </is>
      </c>
      <c r="I2443" s="65" t="inlineStr">
        <is>
          <t>F72546X</t>
        </is>
      </c>
      <c r="J2443" s="65" t="inlineStr">
        <is>
          <t>N/D</t>
        </is>
      </c>
      <c r="K2443" s="65" t="inlineStr">
        <is>
          <t>N/D</t>
        </is>
      </c>
      <c r="L2443" s="127" t="inlineStr">
        <is>
          <t>F.LLI MANCINI VITANTONIO E ANGELO S.N.C</t>
        </is>
      </c>
      <c r="M2443" s="5" t="n">
        <v>1257</v>
      </c>
      <c r="N2443" s="5" t="n"/>
      <c r="O2443" s="5">
        <f>+M2443+N2443</f>
        <v/>
      </c>
      <c r="P2443" s="87" t="n">
        <v>45854</v>
      </c>
      <c r="Q2443" s="87" t="n">
        <v>45854</v>
      </c>
      <c r="R2443" s="5" t="n">
        <v>1330</v>
      </c>
      <c r="S2443" s="2" t="n">
        <v>1</v>
      </c>
      <c r="T2443" s="3" t="inlineStr">
        <is>
          <t>CA42796IR</t>
        </is>
      </c>
      <c r="U2443" s="87" t="n">
        <v>45887</v>
      </c>
      <c r="V2443" s="3" t="inlineStr">
        <is>
          <t>28</t>
        </is>
      </c>
      <c r="W2443" s="108" t="n">
        <v>45887</v>
      </c>
      <c r="X2443" s="4" t="inlineStr">
        <is>
          <t>PHILIPPOS  CONSTANTINIDES
TRADING CO.LTD</t>
        </is>
      </c>
    </row>
    <row r="2444" ht="24" customHeight="1">
      <c r="A2444" s="2">
        <f>+D2444-S2444</f>
        <v/>
      </c>
      <c r="B2444" s="80" t="n">
        <v>4050</v>
      </c>
      <c r="C2444" s="66" t="n">
        <v>45870</v>
      </c>
      <c r="D2444" s="2" t="n">
        <v>1</v>
      </c>
      <c r="E2444" s="3" t="inlineStr">
        <is>
          <t>FUCILE SOVRAPPOSTO</t>
        </is>
      </c>
      <c r="F2444" s="3" t="inlineStr">
        <is>
          <t>410</t>
        </is>
      </c>
      <c r="G2444" s="3" t="inlineStr">
        <is>
          <t>BERETTA</t>
        </is>
      </c>
      <c r="H2444" s="65" t="inlineStr">
        <is>
          <t>686 SILVER PIGEON 1 SPORTING B FAST</t>
        </is>
      </c>
      <c r="I2444" s="65" t="inlineStr">
        <is>
          <t>F72548X</t>
        </is>
      </c>
      <c r="J2444" s="65" t="inlineStr">
        <is>
          <t>N/D</t>
        </is>
      </c>
      <c r="K2444" s="65" t="inlineStr">
        <is>
          <t>N/D</t>
        </is>
      </c>
      <c r="L2444" s="127" t="inlineStr">
        <is>
          <t>F.LLI MANCINI VITANTONIO E ANGELO S.N.C</t>
        </is>
      </c>
      <c r="M2444" s="5" t="n">
        <v>1257</v>
      </c>
      <c r="N2444" s="5" t="n"/>
      <c r="O2444" s="5">
        <f>+M2444+N2444</f>
        <v/>
      </c>
      <c r="P2444" s="87" t="n">
        <v>45854</v>
      </c>
      <c r="Q2444" s="87" t="n">
        <v>45854</v>
      </c>
      <c r="R2444" s="5" t="n">
        <v>1330</v>
      </c>
      <c r="S2444" s="2" t="n">
        <v>1</v>
      </c>
      <c r="T2444" s="3" t="inlineStr">
        <is>
          <t>CA42796IR</t>
        </is>
      </c>
      <c r="U2444" s="87" t="n">
        <v>45887</v>
      </c>
      <c r="V2444" s="3" t="inlineStr">
        <is>
          <t>28</t>
        </is>
      </c>
      <c r="W2444" s="108" t="n">
        <v>45887</v>
      </c>
      <c r="X2444" s="4" t="inlineStr">
        <is>
          <t>PHILIPPOS  CONSTANTINIDES
TRADING CO.LTD</t>
        </is>
      </c>
    </row>
    <row r="2445" ht="24" customHeight="1">
      <c r="A2445" s="2">
        <f>+D2445-S2445</f>
        <v/>
      </c>
      <c r="B2445" s="80" t="n">
        <v>4051</v>
      </c>
      <c r="C2445" s="66" t="n">
        <v>45870</v>
      </c>
      <c r="D2445" s="2" t="n">
        <v>1</v>
      </c>
      <c r="E2445" s="3" t="inlineStr">
        <is>
          <t>FUCILE SOVRAPPOSTO</t>
        </is>
      </c>
      <c r="F2445" s="3" t="inlineStr">
        <is>
          <t>410</t>
        </is>
      </c>
      <c r="G2445" s="3" t="inlineStr">
        <is>
          <t>BERETTA</t>
        </is>
      </c>
      <c r="H2445" s="65" t="inlineStr">
        <is>
          <t>686 SILVER PIGEON 1 SPORTING B FAST</t>
        </is>
      </c>
      <c r="I2445" s="65" t="inlineStr">
        <is>
          <t>F84902X</t>
        </is>
      </c>
      <c r="J2445" s="65" t="inlineStr">
        <is>
          <t>N/D</t>
        </is>
      </c>
      <c r="K2445" s="65" t="inlineStr">
        <is>
          <t>N/D</t>
        </is>
      </c>
      <c r="L2445" s="127" t="inlineStr">
        <is>
          <t>F.LLI MANCINI VITANTONIO E ANGELO S.N.C</t>
        </is>
      </c>
      <c r="M2445" s="5" t="n">
        <v>1257</v>
      </c>
      <c r="N2445" s="5" t="n"/>
      <c r="O2445" s="5">
        <f>+M2445+N2445</f>
        <v/>
      </c>
      <c r="P2445" s="87" t="n">
        <v>45854</v>
      </c>
      <c r="Q2445" s="87" t="n">
        <v>45854</v>
      </c>
      <c r="R2445" s="5" t="n">
        <v>1330</v>
      </c>
      <c r="S2445" s="2" t="n">
        <v>1</v>
      </c>
      <c r="T2445" s="3" t="inlineStr">
        <is>
          <t>CA42796IR</t>
        </is>
      </c>
      <c r="U2445" s="87" t="n">
        <v>45887</v>
      </c>
      <c r="V2445" s="3" t="inlineStr">
        <is>
          <t>28</t>
        </is>
      </c>
      <c r="W2445" s="108" t="n">
        <v>45887</v>
      </c>
      <c r="X2445" s="4" t="inlineStr">
        <is>
          <t>PHILIPPOS  CONSTANTINIDES
TRADING CO.LTD</t>
        </is>
      </c>
    </row>
    <row r="2446" ht="24" customHeight="1">
      <c r="A2446" s="2">
        <f>+D2446-S2446</f>
        <v/>
      </c>
      <c r="B2446" s="80" t="n">
        <v>4052</v>
      </c>
      <c r="C2446" s="66" t="n">
        <v>45870</v>
      </c>
      <c r="D2446" s="2" t="n">
        <v>1</v>
      </c>
      <c r="E2446" s="3" t="inlineStr">
        <is>
          <t>FUCILE SOVRAPPOSTO</t>
        </is>
      </c>
      <c r="F2446" s="3" t="inlineStr">
        <is>
          <t>410</t>
        </is>
      </c>
      <c r="G2446" s="3" t="inlineStr">
        <is>
          <t>BERETTA</t>
        </is>
      </c>
      <c r="H2446" s="65" t="inlineStr">
        <is>
          <t>686 SILVER PIGEON 1 SPORTING B FAST</t>
        </is>
      </c>
      <c r="I2446" s="65" t="inlineStr">
        <is>
          <t>F82267X</t>
        </is>
      </c>
      <c r="J2446" s="65" t="inlineStr">
        <is>
          <t>N/D</t>
        </is>
      </c>
      <c r="K2446" s="65" t="inlineStr">
        <is>
          <t>N/D</t>
        </is>
      </c>
      <c r="L2446" s="127" t="inlineStr">
        <is>
          <t>F.LLI MANCINI VITANTONIO E ANGELO S.N.C</t>
        </is>
      </c>
      <c r="M2446" s="5" t="n">
        <v>1257</v>
      </c>
      <c r="N2446" s="5" t="n"/>
      <c r="O2446" s="5">
        <f>+M2446+N2446</f>
        <v/>
      </c>
      <c r="P2446" s="87" t="n">
        <v>45854</v>
      </c>
      <c r="Q2446" s="87" t="n">
        <v>45854</v>
      </c>
      <c r="R2446" s="5" t="n">
        <v>1330</v>
      </c>
      <c r="S2446" s="2" t="n">
        <v>1</v>
      </c>
      <c r="T2446" s="3" t="inlineStr">
        <is>
          <t>CA42796IR</t>
        </is>
      </c>
      <c r="U2446" s="87" t="n">
        <v>45887</v>
      </c>
      <c r="V2446" s="3" t="inlineStr">
        <is>
          <t>28</t>
        </is>
      </c>
      <c r="W2446" s="108" t="n">
        <v>45887</v>
      </c>
      <c r="X2446" s="4" t="inlineStr">
        <is>
          <t>PHILIPPOS  CONSTANTINIDES
TRADING CO.LTD</t>
        </is>
      </c>
    </row>
    <row r="2447" ht="24" customHeight="1">
      <c r="A2447" s="2">
        <f>+D2447-S2447</f>
        <v/>
      </c>
      <c r="B2447" s="80" t="n">
        <v>4053</v>
      </c>
      <c r="C2447" s="66" t="n">
        <v>45870</v>
      </c>
      <c r="D2447" s="2" t="n">
        <v>1</v>
      </c>
      <c r="E2447" s="3" t="inlineStr">
        <is>
          <t>FUCILE SOVRAPPOSTO</t>
        </is>
      </c>
      <c r="F2447" s="3" t="inlineStr">
        <is>
          <t>410</t>
        </is>
      </c>
      <c r="G2447" s="3" t="inlineStr">
        <is>
          <t>BERETTA</t>
        </is>
      </c>
      <c r="H2447" s="65" t="inlineStr">
        <is>
          <t>686 SILVER PIGEON 1 SPORTING B FAST</t>
        </is>
      </c>
      <c r="I2447" s="65" t="inlineStr">
        <is>
          <t>F88280X</t>
        </is>
      </c>
      <c r="J2447" s="65" t="inlineStr">
        <is>
          <t>N/D</t>
        </is>
      </c>
      <c r="K2447" s="65" t="inlineStr">
        <is>
          <t>N/D</t>
        </is>
      </c>
      <c r="L2447" s="127" t="inlineStr">
        <is>
          <t>F.LLI MANCINI VITANTONIO E ANGELO S.N.C</t>
        </is>
      </c>
      <c r="M2447" s="5" t="n">
        <v>1257</v>
      </c>
      <c r="N2447" s="5" t="n"/>
      <c r="O2447" s="5">
        <f>+M2447+N2447</f>
        <v/>
      </c>
      <c r="P2447" s="87" t="n">
        <v>45854</v>
      </c>
      <c r="Q2447" s="87" t="n">
        <v>45854</v>
      </c>
      <c r="R2447" s="5" t="n">
        <v>1330</v>
      </c>
      <c r="S2447" s="2" t="n">
        <v>1</v>
      </c>
      <c r="T2447" s="3" t="inlineStr">
        <is>
          <t>CA42796IR</t>
        </is>
      </c>
      <c r="U2447" s="87" t="n">
        <v>45887</v>
      </c>
      <c r="V2447" s="3" t="inlineStr">
        <is>
          <t>28</t>
        </is>
      </c>
      <c r="W2447" s="108" t="n">
        <v>45887</v>
      </c>
      <c r="X2447" s="4" t="inlineStr">
        <is>
          <t>PHILIPPOS  CONSTANTINIDES
TRADING CO.LTD</t>
        </is>
      </c>
    </row>
    <row r="2448" ht="24" customHeight="1">
      <c r="A2448" s="2">
        <f>+D2448-S2448</f>
        <v/>
      </c>
      <c r="B2448" s="80" t="n">
        <v>4054</v>
      </c>
      <c r="C2448" s="66" t="n">
        <v>45870</v>
      </c>
      <c r="D2448" s="2" t="n">
        <v>1</v>
      </c>
      <c r="E2448" s="3" t="inlineStr">
        <is>
          <t>FUCILE SOVRAPPOSTO</t>
        </is>
      </c>
      <c r="F2448" s="3" t="inlineStr">
        <is>
          <t>410</t>
        </is>
      </c>
      <c r="G2448" s="3" t="inlineStr">
        <is>
          <t>BERETTA</t>
        </is>
      </c>
      <c r="H2448" s="65" t="inlineStr">
        <is>
          <t>686 SILVER PIGEON 1 SPORTING B FAST</t>
        </is>
      </c>
      <c r="I2448" s="65" t="inlineStr">
        <is>
          <t>F92372X</t>
        </is>
      </c>
      <c r="J2448" s="65" t="inlineStr">
        <is>
          <t>N/D</t>
        </is>
      </c>
      <c r="K2448" s="65" t="inlineStr">
        <is>
          <t>N/D</t>
        </is>
      </c>
      <c r="L2448" s="127" t="inlineStr">
        <is>
          <t>F.LLI MANCINI VITANTONIO E ANGELO S.N.C</t>
        </is>
      </c>
      <c r="M2448" s="5" t="n">
        <v>1257</v>
      </c>
      <c r="N2448" s="5" t="n"/>
      <c r="O2448" s="5">
        <f>+M2448+N2448</f>
        <v/>
      </c>
      <c r="P2448" s="87" t="n">
        <v>45854</v>
      </c>
      <c r="Q2448" s="87" t="n">
        <v>45854</v>
      </c>
      <c r="R2448" s="5" t="n">
        <v>1330</v>
      </c>
      <c r="S2448" s="2" t="n">
        <v>1</v>
      </c>
      <c r="T2448" s="3" t="inlineStr">
        <is>
          <t>CA42796IR</t>
        </is>
      </c>
      <c r="U2448" s="87" t="n">
        <v>45887</v>
      </c>
      <c r="V2448" s="3" t="inlineStr">
        <is>
          <t>28</t>
        </is>
      </c>
      <c r="W2448" s="108" t="n">
        <v>45887</v>
      </c>
      <c r="X2448" s="4" t="inlineStr">
        <is>
          <t>PHILIPPOS  CONSTANTINIDES
TRADING CO.LTD</t>
        </is>
      </c>
    </row>
    <row r="2449" ht="24" customHeight="1">
      <c r="A2449" s="2">
        <f>+D2449-S2449</f>
        <v/>
      </c>
      <c r="B2449" s="80" t="n">
        <v>4055</v>
      </c>
      <c r="C2449" s="66" t="n">
        <v>45870</v>
      </c>
      <c r="D2449" s="2" t="n">
        <v>1</v>
      </c>
      <c r="E2449" s="3" t="inlineStr">
        <is>
          <t>FUCILE SOVRAPPOSTO</t>
        </is>
      </c>
      <c r="F2449" s="3" t="inlineStr">
        <is>
          <t>410</t>
        </is>
      </c>
      <c r="G2449" s="3" t="inlineStr">
        <is>
          <t>BERETTA</t>
        </is>
      </c>
      <c r="H2449" s="65" t="inlineStr">
        <is>
          <t>686 SILVER PIGEON 1 SPORTING B FAST</t>
        </is>
      </c>
      <c r="I2449" s="65" t="inlineStr">
        <is>
          <t>F93487X</t>
        </is>
      </c>
      <c r="J2449" s="65" t="inlineStr">
        <is>
          <t>N/D</t>
        </is>
      </c>
      <c r="K2449" s="65" t="inlineStr">
        <is>
          <t>N/D</t>
        </is>
      </c>
      <c r="L2449" s="127" t="inlineStr">
        <is>
          <t>F.LLI MANCINI VITANTONIO E ANGELO S.N.C</t>
        </is>
      </c>
      <c r="M2449" s="5" t="n">
        <v>1257</v>
      </c>
      <c r="N2449" s="5" t="n"/>
      <c r="O2449" s="5">
        <f>+M2449+N2449</f>
        <v/>
      </c>
      <c r="P2449" s="87" t="n">
        <v>45854</v>
      </c>
      <c r="Q2449" s="87" t="n">
        <v>45854</v>
      </c>
      <c r="R2449" s="5" t="n">
        <v>1330</v>
      </c>
      <c r="S2449" s="2" t="n">
        <v>1</v>
      </c>
      <c r="T2449" s="3" t="inlineStr">
        <is>
          <t>CA42796IR</t>
        </is>
      </c>
      <c r="U2449" s="87" t="n">
        <v>45887</v>
      </c>
      <c r="V2449" s="3" t="inlineStr">
        <is>
          <t>28</t>
        </is>
      </c>
      <c r="W2449" s="108" t="n">
        <v>45887</v>
      </c>
      <c r="X2449" s="4" t="inlineStr">
        <is>
          <t>PHILIPPOS  CONSTANTINIDES
TRADING CO.LTD</t>
        </is>
      </c>
    </row>
    <row r="2450" ht="24" customHeight="1">
      <c r="A2450" s="2">
        <f>+D2450-S2450</f>
        <v/>
      </c>
      <c r="B2450" s="80" t="n">
        <v>4056</v>
      </c>
      <c r="C2450" s="66" t="n">
        <v>45870</v>
      </c>
      <c r="D2450" s="2" t="n">
        <v>1</v>
      </c>
      <c r="E2450" s="3" t="inlineStr">
        <is>
          <t>FUCILE SOVRAPPOSTO</t>
        </is>
      </c>
      <c r="F2450" s="3" t="inlineStr">
        <is>
          <t>410</t>
        </is>
      </c>
      <c r="G2450" s="3" t="inlineStr">
        <is>
          <t>BERETTA</t>
        </is>
      </c>
      <c r="H2450" s="65" t="inlineStr">
        <is>
          <t>686 SILVER PIGEON 1 SPORTING B FAST</t>
        </is>
      </c>
      <c r="I2450" s="65" t="inlineStr">
        <is>
          <t>F93490X</t>
        </is>
      </c>
      <c r="J2450" s="65" t="inlineStr">
        <is>
          <t>N/D</t>
        </is>
      </c>
      <c r="K2450" s="65" t="inlineStr">
        <is>
          <t>N/D</t>
        </is>
      </c>
      <c r="L2450" s="127" t="inlineStr">
        <is>
          <t>F.LLI MANCINI VITANTONIO E ANGELO S.N.C</t>
        </is>
      </c>
      <c r="M2450" s="5" t="n">
        <v>1257</v>
      </c>
      <c r="N2450" s="5" t="n"/>
      <c r="O2450" s="5">
        <f>+M2450+N2450</f>
        <v/>
      </c>
      <c r="P2450" s="87" t="n">
        <v>45854</v>
      </c>
      <c r="Q2450" s="87" t="n">
        <v>45854</v>
      </c>
      <c r="R2450" s="5" t="n">
        <v>1330</v>
      </c>
      <c r="S2450" s="2" t="n">
        <v>1</v>
      </c>
      <c r="T2450" s="3" t="inlineStr">
        <is>
          <t>CA42796IR</t>
        </is>
      </c>
      <c r="U2450" s="87" t="n">
        <v>45887</v>
      </c>
      <c r="V2450" s="3" t="inlineStr">
        <is>
          <t>28</t>
        </is>
      </c>
      <c r="W2450" s="108" t="n">
        <v>45887</v>
      </c>
      <c r="X2450" s="4" t="inlineStr">
        <is>
          <t>PHILIPPOS  CONSTANTINIDES
TRADING CO.LTD</t>
        </is>
      </c>
    </row>
    <row r="2451" ht="24" customHeight="1">
      <c r="A2451" s="2">
        <f>+D2451-S2451</f>
        <v/>
      </c>
      <c r="B2451" s="80" t="n">
        <v>4057</v>
      </c>
      <c r="C2451" s="66" t="n">
        <v>45870</v>
      </c>
      <c r="D2451" s="2" t="n">
        <v>1</v>
      </c>
      <c r="E2451" s="3" t="inlineStr">
        <is>
          <t>FUCILE SOVRAPPOSTO</t>
        </is>
      </c>
      <c r="F2451" s="3" t="inlineStr">
        <is>
          <t>410</t>
        </is>
      </c>
      <c r="G2451" s="3" t="inlineStr">
        <is>
          <t>BERETTA</t>
        </is>
      </c>
      <c r="H2451" s="65" t="inlineStr">
        <is>
          <t>686 SILVER PIGEON 1 SPORTING B FAST</t>
        </is>
      </c>
      <c r="I2451" s="65" t="inlineStr">
        <is>
          <t>F65475X</t>
        </is>
      </c>
      <c r="J2451" s="65" t="inlineStr">
        <is>
          <t>N/D</t>
        </is>
      </c>
      <c r="K2451" s="65" t="inlineStr">
        <is>
          <t>N/D</t>
        </is>
      </c>
      <c r="L2451" s="127" t="inlineStr">
        <is>
          <t>F.LLI MANCINI VITANTONIO E ANGELO S.N.C</t>
        </is>
      </c>
      <c r="M2451" s="5" t="n">
        <v>1257</v>
      </c>
      <c r="N2451" s="5" t="n"/>
      <c r="O2451" s="5">
        <f>+M2451+N2451</f>
        <v/>
      </c>
      <c r="P2451" s="87" t="n">
        <v>45854</v>
      </c>
      <c r="Q2451" s="87" t="n">
        <v>45854</v>
      </c>
      <c r="R2451" s="5" t="n">
        <v>1330</v>
      </c>
      <c r="S2451" s="2" t="n">
        <v>1</v>
      </c>
      <c r="T2451" s="3" t="inlineStr">
        <is>
          <t>CA42796IR</t>
        </is>
      </c>
      <c r="U2451" s="87" t="n">
        <v>45887</v>
      </c>
      <c r="V2451" s="3" t="inlineStr">
        <is>
          <t>28</t>
        </is>
      </c>
      <c r="W2451" s="108" t="n">
        <v>45887</v>
      </c>
      <c r="X2451" s="4" t="inlineStr">
        <is>
          <t>PHILIPPOS  CONSTANTINIDES
TRADING CO.LTD</t>
        </is>
      </c>
    </row>
    <row r="2452" ht="24" customHeight="1">
      <c r="A2452" s="2">
        <f>+D2452-S2452</f>
        <v/>
      </c>
      <c r="B2452" s="80" t="n">
        <v>4058</v>
      </c>
      <c r="C2452" s="122" t="n">
        <v>45873</v>
      </c>
      <c r="D2452" s="2" t="n">
        <v>1</v>
      </c>
      <c r="E2452" s="3" t="inlineStr">
        <is>
          <t>FUCILE SOVRAPPOSTO</t>
        </is>
      </c>
      <c r="F2452" s="3" t="inlineStr">
        <is>
          <t>12</t>
        </is>
      </c>
      <c r="G2452" s="3" t="inlineStr">
        <is>
          <t>CAESAR GUERINI</t>
        </is>
      </c>
      <c r="H2452" s="65" t="inlineStr">
        <is>
          <t>MAXUM</t>
        </is>
      </c>
      <c r="I2452" s="65" t="inlineStr">
        <is>
          <t>189946</t>
        </is>
      </c>
      <c r="J2452" s="65" t="inlineStr">
        <is>
          <t>N/D</t>
        </is>
      </c>
      <c r="K2452" s="65" t="inlineStr">
        <is>
          <t>N/D</t>
        </is>
      </c>
      <c r="L2452" s="127" t="inlineStr">
        <is>
          <t>FABBRICA DARMI CAESAR GUERINI SARL</t>
        </is>
      </c>
      <c r="M2452" s="5" t="n">
        <v>2464</v>
      </c>
      <c r="N2452" s="5" t="n"/>
      <c r="O2452" s="5">
        <f>+M2452+N2452</f>
        <v/>
      </c>
      <c r="P2452" s="4" t="n">
        <v>45712</v>
      </c>
      <c r="Q2452" s="87" t="n">
        <v>45877</v>
      </c>
      <c r="R2452" s="5" t="n">
        <v>2587</v>
      </c>
      <c r="S2452" s="2" t="n">
        <v>1</v>
      </c>
      <c r="T2452" s="3" t="inlineStr">
        <is>
          <t>CA04954OS</t>
        </is>
      </c>
      <c r="U2452" s="87" t="n">
        <v>45874</v>
      </c>
      <c r="V2452" s="3" t="inlineStr">
        <is>
          <t>25</t>
        </is>
      </c>
      <c r="W2452" s="4" t="n">
        <v>45874</v>
      </c>
      <c r="X2452" s="4" t="inlineStr">
        <is>
          <t>PHILIPPOS  CONSTANTINIDES
TRADING CO.LTD</t>
        </is>
      </c>
    </row>
    <row r="2453" ht="24" customHeight="1">
      <c r="A2453" s="2">
        <f>+D2453-S2453</f>
        <v/>
      </c>
      <c r="B2453" s="80" t="n">
        <v>4059</v>
      </c>
      <c r="C2453" s="122" t="n">
        <v>45873</v>
      </c>
      <c r="D2453" s="2" t="n">
        <v>1</v>
      </c>
      <c r="E2453" s="3" t="inlineStr">
        <is>
          <t>CANNA PER FUCILE SOVRAPPOSTO</t>
        </is>
      </c>
      <c r="F2453" s="3" t="inlineStr">
        <is>
          <t>12</t>
        </is>
      </c>
      <c r="G2453" s="3" t="inlineStr">
        <is>
          <t>CAESAR GUERINI</t>
        </is>
      </c>
      <c r="H2453" s="65" t="inlineStr">
        <is>
          <t>MAXUM</t>
        </is>
      </c>
      <c r="I2453" s="65" t="inlineStr">
        <is>
          <t>N/D</t>
        </is>
      </c>
      <c r="J2453" s="65" t="inlineStr">
        <is>
          <t>17532</t>
        </is>
      </c>
      <c r="K2453" s="65" t="inlineStr">
        <is>
          <t>N/D</t>
        </is>
      </c>
      <c r="L2453" s="127" t="inlineStr">
        <is>
          <t>FABBRICA DARMI CAESAR GUERINI SARL</t>
        </is>
      </c>
      <c r="M2453" s="5" t="n">
        <v>703</v>
      </c>
      <c r="N2453" s="5" t="n"/>
      <c r="O2453" s="5">
        <f>+M2453+N2453</f>
        <v/>
      </c>
      <c r="P2453" s="4" t="n">
        <v>45712</v>
      </c>
      <c r="Q2453" s="87" t="n">
        <v>45877</v>
      </c>
      <c r="R2453" s="5" t="n">
        <v>738</v>
      </c>
      <c r="S2453" s="2" t="n">
        <v>1</v>
      </c>
      <c r="T2453" s="3" t="inlineStr">
        <is>
          <t>CA04954OS</t>
        </is>
      </c>
      <c r="U2453" s="87" t="n">
        <v>45874</v>
      </c>
      <c r="V2453" s="3" t="inlineStr">
        <is>
          <t>25</t>
        </is>
      </c>
      <c r="W2453" s="4" t="n">
        <v>45874</v>
      </c>
      <c r="X2453" s="4" t="inlineStr">
        <is>
          <t>PHILIPPOS  CONSTANTINIDES
TRADING CO.LTD</t>
        </is>
      </c>
    </row>
    <row r="2454" ht="24" customHeight="1">
      <c r="A2454" s="2">
        <f>+D2454-S2454</f>
        <v/>
      </c>
      <c r="B2454" s="80" t="n">
        <v>4060</v>
      </c>
      <c r="C2454" s="122" t="n">
        <v>45873</v>
      </c>
      <c r="D2454" s="2" t="n">
        <v>1</v>
      </c>
      <c r="E2454" s="3" t="inlineStr">
        <is>
          <t>FUCILE SOVRAPPOSTO</t>
        </is>
      </c>
      <c r="F2454" s="3" t="inlineStr">
        <is>
          <t>36</t>
        </is>
      </c>
      <c r="G2454" s="3" t="inlineStr">
        <is>
          <t>CAESAR GUERINI</t>
        </is>
      </c>
      <c r="H2454" s="65" t="inlineStr">
        <is>
          <t xml:space="preserve">AVIAN LIGHT 76 </t>
        </is>
      </c>
      <c r="I2454" s="65" t="inlineStr">
        <is>
          <t>189773</t>
        </is>
      </c>
      <c r="J2454" s="65" t="inlineStr">
        <is>
          <t>N/D</t>
        </is>
      </c>
      <c r="K2454" s="65" t="inlineStr">
        <is>
          <t>N/D</t>
        </is>
      </c>
      <c r="L2454" s="127" t="inlineStr">
        <is>
          <t>FABBRICA DARMI CAESAR GUERINI SARL</t>
        </is>
      </c>
      <c r="M2454" s="5" t="n">
        <v>1855</v>
      </c>
      <c r="N2454" s="5" t="n"/>
      <c r="O2454" s="5">
        <f>+M2454+N2454</f>
        <v/>
      </c>
      <c r="P2454" s="4" t="n">
        <v>45712</v>
      </c>
      <c r="Q2454" s="87" t="n">
        <v>45877</v>
      </c>
      <c r="R2454" s="5" t="n">
        <v>1892.1</v>
      </c>
      <c r="S2454" s="2" t="n">
        <v>1</v>
      </c>
      <c r="T2454" s="3" t="inlineStr">
        <is>
          <t>CA42796IR</t>
        </is>
      </c>
      <c r="U2454" s="87" t="n">
        <v>45887</v>
      </c>
      <c r="V2454" s="3" t="inlineStr">
        <is>
          <t>28</t>
        </is>
      </c>
      <c r="W2454" s="87" t="n">
        <v>45887</v>
      </c>
      <c r="X2454" s="4" t="inlineStr">
        <is>
          <t>PHILIPPOS  CONSTANTINIDES
TRADING CO.LTD</t>
        </is>
      </c>
    </row>
    <row r="2455" ht="24" customHeight="1">
      <c r="A2455" s="2">
        <f>+D2455-S2455</f>
        <v/>
      </c>
      <c r="B2455" s="80" t="n">
        <v>4061</v>
      </c>
      <c r="C2455" s="122" t="n">
        <v>45873</v>
      </c>
      <c r="D2455" s="2" t="n">
        <v>1</v>
      </c>
      <c r="E2455" s="3" t="inlineStr">
        <is>
          <t>FUCILE SOVRAPPOSTO</t>
        </is>
      </c>
      <c r="F2455" s="3" t="inlineStr">
        <is>
          <t>28</t>
        </is>
      </c>
      <c r="G2455" s="3" t="inlineStr">
        <is>
          <t>CAESAR GUERINI</t>
        </is>
      </c>
      <c r="H2455" s="65" t="inlineStr">
        <is>
          <t>MAGNUS LIGHT 71</t>
        </is>
      </c>
      <c r="I2455" s="65" t="inlineStr">
        <is>
          <t>189962</t>
        </is>
      </c>
      <c r="J2455" s="65" t="inlineStr">
        <is>
          <t>N/D</t>
        </is>
      </c>
      <c r="K2455" s="65" t="inlineStr">
        <is>
          <t>N/D</t>
        </is>
      </c>
      <c r="L2455" s="127" t="inlineStr">
        <is>
          <t>FABBRICA DARMI CAESAR GUERINI SARL</t>
        </is>
      </c>
      <c r="M2455" s="5" t="n">
        <v>2141</v>
      </c>
      <c r="N2455" s="5" t="n"/>
      <c r="O2455" s="5">
        <f>+M2455+N2455</f>
        <v/>
      </c>
      <c r="P2455" s="4" t="n">
        <v>45712</v>
      </c>
      <c r="Q2455" s="87" t="n">
        <v>45877</v>
      </c>
      <c r="R2455" s="5" t="n">
        <v>2535</v>
      </c>
      <c r="S2455" s="2" t="n">
        <v>1</v>
      </c>
      <c r="T2455" s="3" t="inlineStr">
        <is>
          <t>CA04954OS</t>
        </is>
      </c>
      <c r="U2455" s="87" t="n">
        <v>45874</v>
      </c>
      <c r="V2455" s="3" t="inlineStr">
        <is>
          <t>25</t>
        </is>
      </c>
      <c r="W2455" s="4" t="n">
        <v>45874</v>
      </c>
      <c r="X2455" s="4" t="inlineStr">
        <is>
          <t>PHILIPPOS  CONSTANTINIDES
TRADING CO.LTD</t>
        </is>
      </c>
    </row>
    <row r="2456" ht="24" customHeight="1">
      <c r="A2456" s="2">
        <f>+D2456-S2456</f>
        <v/>
      </c>
      <c r="B2456" s="80" t="n">
        <v>4062</v>
      </c>
      <c r="C2456" s="122" t="n">
        <v>45873</v>
      </c>
      <c r="D2456" s="2" t="n">
        <v>1</v>
      </c>
      <c r="E2456" s="3" t="inlineStr">
        <is>
          <t>FUCILE SOVRAPPOSTO</t>
        </is>
      </c>
      <c r="F2456" s="3" t="inlineStr">
        <is>
          <t>36</t>
        </is>
      </c>
      <c r="G2456" s="3" t="inlineStr">
        <is>
          <t>CAESAR GUERINI</t>
        </is>
      </c>
      <c r="H2456" s="65" t="inlineStr">
        <is>
          <t>AVIAN 71</t>
        </is>
      </c>
      <c r="I2456" s="65" t="inlineStr">
        <is>
          <t>189763</t>
        </is>
      </c>
      <c r="J2456" s="65" t="inlineStr">
        <is>
          <t>N/D</t>
        </is>
      </c>
      <c r="K2456" s="65" t="inlineStr">
        <is>
          <t>N/D</t>
        </is>
      </c>
      <c r="L2456" s="127" t="inlineStr">
        <is>
          <t>FABBRICA DARMI CAESAR GUERINI SARL</t>
        </is>
      </c>
      <c r="M2456" s="5" t="n">
        <v>2281</v>
      </c>
      <c r="N2456" s="5" t="n"/>
      <c r="O2456" s="5">
        <f>+M2456+N2456</f>
        <v/>
      </c>
      <c r="P2456" s="4" t="n">
        <v>45712</v>
      </c>
      <c r="Q2456" s="87" t="n">
        <v>45877</v>
      </c>
      <c r="R2456" s="5" t="n">
        <v>2395</v>
      </c>
      <c r="S2456" s="2" t="n">
        <v>1</v>
      </c>
      <c r="T2456" s="3" t="inlineStr">
        <is>
          <t>CA04954OS</t>
        </is>
      </c>
      <c r="U2456" s="87" t="n">
        <v>45874</v>
      </c>
      <c r="V2456" s="3" t="inlineStr">
        <is>
          <t>25</t>
        </is>
      </c>
      <c r="W2456" s="4" t="n">
        <v>45874</v>
      </c>
      <c r="X2456" s="4" t="inlineStr">
        <is>
          <t>PHILIPPOS  CONSTANTINIDES
TRADING CO.LTD</t>
        </is>
      </c>
    </row>
    <row r="2457" ht="24" customHeight="1">
      <c r="A2457" s="2">
        <f>+D2457-S2457</f>
        <v/>
      </c>
      <c r="B2457" s="80" t="n">
        <v>4063</v>
      </c>
      <c r="C2457" s="122" t="n">
        <v>45873</v>
      </c>
      <c r="D2457" s="2" t="n">
        <v>1</v>
      </c>
      <c r="E2457" s="3" t="inlineStr">
        <is>
          <t>FUCILE SOVRAPPOSTO</t>
        </is>
      </c>
      <c r="F2457" s="3" t="inlineStr">
        <is>
          <t>12</t>
        </is>
      </c>
      <c r="G2457" s="3" t="inlineStr">
        <is>
          <t>CAESAR GUERINI</t>
        </is>
      </c>
      <c r="H2457" s="65" t="inlineStr">
        <is>
          <t xml:space="preserve">MAGNUS GOLD SPORTING </t>
        </is>
      </c>
      <c r="I2457" s="65" t="inlineStr">
        <is>
          <t>189940</t>
        </is>
      </c>
      <c r="J2457" s="65" t="inlineStr">
        <is>
          <t>N/D</t>
        </is>
      </c>
      <c r="K2457" s="65" t="inlineStr">
        <is>
          <t>N/D</t>
        </is>
      </c>
      <c r="L2457" s="127" t="inlineStr">
        <is>
          <t>FABBRICA DARMI CAESAR GUERINI SARL</t>
        </is>
      </c>
      <c r="M2457" s="5" t="n">
        <v>2385</v>
      </c>
      <c r="N2457" s="5" t="n"/>
      <c r="O2457" s="5">
        <f>+M2457+N2457</f>
        <v/>
      </c>
      <c r="P2457" s="4" t="n">
        <v>45712</v>
      </c>
      <c r="Q2457" s="87" t="n">
        <v>45877</v>
      </c>
      <c r="R2457" s="5" t="n">
        <v>2405.16</v>
      </c>
      <c r="S2457" s="2" t="n">
        <v>1</v>
      </c>
      <c r="T2457" s="3" t="inlineStr">
        <is>
          <t>CA42796IR</t>
        </is>
      </c>
      <c r="U2457" s="87" t="n">
        <v>45887</v>
      </c>
      <c r="V2457" s="3" t="inlineStr">
        <is>
          <t>28</t>
        </is>
      </c>
      <c r="W2457" s="87" t="n">
        <v>45887</v>
      </c>
      <c r="X2457" s="4" t="inlineStr">
        <is>
          <t>PHILIPPOS  CONSTANTINIDES
TRADING CO.LTD</t>
        </is>
      </c>
    </row>
    <row r="2458" ht="24" customHeight="1">
      <c r="A2458" s="2">
        <f>+D2458-S2458</f>
        <v/>
      </c>
      <c r="B2458" s="80" t="n">
        <v>4064</v>
      </c>
      <c r="C2458" s="122" t="n">
        <v>45873</v>
      </c>
      <c r="D2458" s="2" t="n">
        <v>1</v>
      </c>
      <c r="E2458" s="3" t="inlineStr">
        <is>
          <t>FUCILE SOVRAPPOSTO</t>
        </is>
      </c>
      <c r="F2458" s="3" t="inlineStr">
        <is>
          <t>12</t>
        </is>
      </c>
      <c r="G2458" s="3" t="inlineStr">
        <is>
          <t>CAESAR GUERINI</t>
        </is>
      </c>
      <c r="H2458" s="65" t="inlineStr">
        <is>
          <t xml:space="preserve">MAGNUS GOLD SPORTING </t>
        </is>
      </c>
      <c r="I2458" s="65" t="inlineStr">
        <is>
          <t>189941</t>
        </is>
      </c>
      <c r="J2458" s="65" t="inlineStr">
        <is>
          <t>N/D</t>
        </is>
      </c>
      <c r="K2458" s="65" t="inlineStr">
        <is>
          <t>N/D</t>
        </is>
      </c>
      <c r="L2458" s="127" t="inlineStr">
        <is>
          <t>FABBRICA DARMI CAESAR GUERINI SARL</t>
        </is>
      </c>
      <c r="M2458" s="5" t="n">
        <v>2385</v>
      </c>
      <c r="N2458" s="5" t="n"/>
      <c r="O2458" s="5">
        <f>+M2458+N2458</f>
        <v/>
      </c>
      <c r="P2458" s="4" t="n">
        <v>45712</v>
      </c>
      <c r="Q2458" s="87" t="n">
        <v>45877</v>
      </c>
      <c r="R2458" s="5" t="n">
        <v>2405.16</v>
      </c>
      <c r="S2458" s="2" t="n">
        <v>1</v>
      </c>
      <c r="T2458" s="3" t="inlineStr">
        <is>
          <t>CA42796IR</t>
        </is>
      </c>
      <c r="U2458" s="87" t="n">
        <v>45887</v>
      </c>
      <c r="V2458" s="3" t="inlineStr">
        <is>
          <t>28</t>
        </is>
      </c>
      <c r="W2458" s="87" t="n">
        <v>45887</v>
      </c>
      <c r="X2458" s="4" t="inlineStr">
        <is>
          <t>PHILIPPOS  CONSTANTINIDES
TRADING CO.LTD</t>
        </is>
      </c>
    </row>
    <row r="2459" ht="24" customHeight="1">
      <c r="A2459" s="2">
        <f>+D2459-S2459</f>
        <v/>
      </c>
      <c r="B2459" s="80" t="n">
        <v>4065</v>
      </c>
      <c r="C2459" s="122" t="n">
        <v>45873</v>
      </c>
      <c r="D2459" s="2" t="n">
        <v>1</v>
      </c>
      <c r="E2459" s="3" t="inlineStr">
        <is>
          <t>FUCILE SOVRAPPOSTO</t>
        </is>
      </c>
      <c r="F2459" s="3" t="inlineStr">
        <is>
          <t>12</t>
        </is>
      </c>
      <c r="G2459" s="3" t="inlineStr">
        <is>
          <t>CAESAR GUERINI</t>
        </is>
      </c>
      <c r="H2459" s="65" t="inlineStr">
        <is>
          <t xml:space="preserve">MAGNUS GOLD SPORTING </t>
        </is>
      </c>
      <c r="I2459" s="65" t="inlineStr">
        <is>
          <t>189942</t>
        </is>
      </c>
      <c r="J2459" s="65" t="inlineStr">
        <is>
          <t>N/D</t>
        </is>
      </c>
      <c r="K2459" s="65" t="inlineStr">
        <is>
          <t>N/D</t>
        </is>
      </c>
      <c r="L2459" s="127" t="inlineStr">
        <is>
          <t>FABBRICA DARMI CAESAR GUERINI SARL</t>
        </is>
      </c>
      <c r="M2459" s="5" t="n">
        <v>2385</v>
      </c>
      <c r="N2459" s="5" t="n"/>
      <c r="O2459" s="5">
        <f>+M2459+N2459</f>
        <v/>
      </c>
      <c r="P2459" s="4" t="n">
        <v>45712</v>
      </c>
      <c r="Q2459" s="87" t="n">
        <v>45877</v>
      </c>
      <c r="R2459" s="5" t="n">
        <v>2405.16</v>
      </c>
      <c r="S2459" s="2" t="n">
        <v>1</v>
      </c>
      <c r="T2459" s="3" t="inlineStr">
        <is>
          <t>CA42796IR</t>
        </is>
      </c>
      <c r="U2459" s="87" t="n">
        <v>45887</v>
      </c>
      <c r="V2459" s="3" t="inlineStr">
        <is>
          <t>28</t>
        </is>
      </c>
      <c r="W2459" s="87" t="n">
        <v>45887</v>
      </c>
      <c r="X2459" s="4" t="inlineStr">
        <is>
          <t>PHILIPPOS  CONSTANTINIDES
TRADING CO.LTD</t>
        </is>
      </c>
    </row>
    <row r="2460" ht="24" customHeight="1">
      <c r="A2460" s="2">
        <f>+D2460-S2460</f>
        <v/>
      </c>
      <c r="B2460" s="80" t="n">
        <v>4066</v>
      </c>
      <c r="C2460" s="122" t="n">
        <v>45873</v>
      </c>
      <c r="D2460" s="2" t="n">
        <v>1</v>
      </c>
      <c r="E2460" s="3" t="inlineStr">
        <is>
          <t>FUCILE SOVRAPPOSTO</t>
        </is>
      </c>
      <c r="F2460" s="3" t="inlineStr">
        <is>
          <t>12</t>
        </is>
      </c>
      <c r="G2460" s="3" t="inlineStr">
        <is>
          <t>CAESAR GUERINI</t>
        </is>
      </c>
      <c r="H2460" s="65" t="inlineStr">
        <is>
          <t>MAXUM SPORTING</t>
        </is>
      </c>
      <c r="I2460" s="65" t="inlineStr">
        <is>
          <t>189943</t>
        </is>
      </c>
      <c r="J2460" s="65" t="inlineStr">
        <is>
          <t>N/D</t>
        </is>
      </c>
      <c r="K2460" s="65" t="inlineStr">
        <is>
          <t>N/D</t>
        </is>
      </c>
      <c r="L2460" s="127" t="inlineStr">
        <is>
          <t>FABBRICA DARMI CAESAR GUERINI SARL</t>
        </is>
      </c>
      <c r="M2460" s="5" t="n">
        <v>2623</v>
      </c>
      <c r="N2460" s="5" t="n"/>
      <c r="O2460" s="5">
        <f>+M2460+N2460</f>
        <v/>
      </c>
      <c r="P2460" s="4" t="n">
        <v>45712</v>
      </c>
      <c r="Q2460" s="87" t="n">
        <v>45877</v>
      </c>
      <c r="R2460" s="5" t="n">
        <v>2675.46</v>
      </c>
      <c r="S2460" s="2" t="n">
        <v>1</v>
      </c>
      <c r="T2460" s="3" t="inlineStr">
        <is>
          <t>CA42796IR</t>
        </is>
      </c>
      <c r="U2460" s="87" t="n">
        <v>45887</v>
      </c>
      <c r="V2460" s="3" t="inlineStr">
        <is>
          <t>28</t>
        </is>
      </c>
      <c r="W2460" s="87" t="n">
        <v>45887</v>
      </c>
      <c r="X2460" s="4" t="inlineStr">
        <is>
          <t>PHILIPPOS  CONSTANTINIDES
TRADING CO.LTD</t>
        </is>
      </c>
    </row>
    <row r="2461" ht="24" customHeight="1">
      <c r="A2461" s="2">
        <f>+D2461-S2461</f>
        <v/>
      </c>
      <c r="B2461" s="80" t="n">
        <v>4067</v>
      </c>
      <c r="C2461" s="122" t="n">
        <v>45873</v>
      </c>
      <c r="D2461" s="2" t="n">
        <v>1</v>
      </c>
      <c r="E2461" s="3" t="inlineStr">
        <is>
          <t>FUCILE SOVRAPPOSTO</t>
        </is>
      </c>
      <c r="F2461" s="3" t="inlineStr">
        <is>
          <t>12</t>
        </is>
      </c>
      <c r="G2461" s="3" t="inlineStr">
        <is>
          <t>CAESAR GUERINI</t>
        </is>
      </c>
      <c r="H2461" s="65" t="inlineStr">
        <is>
          <t>MAXUM SPORTING</t>
        </is>
      </c>
      <c r="I2461" s="65" t="inlineStr">
        <is>
          <t>189944</t>
        </is>
      </c>
      <c r="J2461" s="65" t="inlineStr">
        <is>
          <t>N/D</t>
        </is>
      </c>
      <c r="K2461" s="65" t="inlineStr">
        <is>
          <t>N/D</t>
        </is>
      </c>
      <c r="L2461" s="127" t="inlineStr">
        <is>
          <t>FABBRICA DARMI CAESAR GUERINI SARL</t>
        </is>
      </c>
      <c r="M2461" s="5" t="n">
        <v>2623</v>
      </c>
      <c r="N2461" s="5" t="n"/>
      <c r="O2461" s="5">
        <f>+M2461+N2461</f>
        <v/>
      </c>
      <c r="P2461" s="4" t="n">
        <v>45712</v>
      </c>
      <c r="Q2461" s="87" t="n">
        <v>45877</v>
      </c>
      <c r="R2461" s="5" t="n">
        <v>2675.46</v>
      </c>
      <c r="S2461" s="2" t="n">
        <v>1</v>
      </c>
      <c r="T2461" s="3" t="inlineStr">
        <is>
          <t>CA42796IR</t>
        </is>
      </c>
      <c r="U2461" s="87" t="n">
        <v>45887</v>
      </c>
      <c r="V2461" s="3" t="inlineStr">
        <is>
          <t>28</t>
        </is>
      </c>
      <c r="W2461" s="87" t="n">
        <v>45887</v>
      </c>
      <c r="X2461" s="4" t="inlineStr">
        <is>
          <t>PHILIPPOS  CONSTANTINIDES
TRADING CO.LTD</t>
        </is>
      </c>
    </row>
    <row r="2462" ht="24" customHeight="1">
      <c r="A2462" s="2">
        <f>+D2462-S2462</f>
        <v/>
      </c>
      <c r="B2462" s="80" t="n">
        <v>4068</v>
      </c>
      <c r="C2462" s="122" t="n">
        <v>45873</v>
      </c>
      <c r="D2462" s="2" t="n">
        <v>1</v>
      </c>
      <c r="E2462" s="3" t="inlineStr">
        <is>
          <t>FUCILE SOVRAPPOSTO</t>
        </is>
      </c>
      <c r="F2462" s="3" t="inlineStr">
        <is>
          <t>12</t>
        </is>
      </c>
      <c r="G2462" s="3" t="inlineStr">
        <is>
          <t>CAESAR GUERINI</t>
        </is>
      </c>
      <c r="H2462" s="65" t="inlineStr">
        <is>
          <t>MAXUM SPORTING</t>
        </is>
      </c>
      <c r="I2462" s="65" t="inlineStr">
        <is>
          <t>189945</t>
        </is>
      </c>
      <c r="J2462" s="65" t="inlineStr">
        <is>
          <t>N/D</t>
        </is>
      </c>
      <c r="K2462" s="65" t="inlineStr">
        <is>
          <t>N/D</t>
        </is>
      </c>
      <c r="L2462" s="127" t="inlineStr">
        <is>
          <t>FABBRICA DARMI CAESAR GUERINI SARL</t>
        </is>
      </c>
      <c r="M2462" s="5" t="n">
        <v>2623</v>
      </c>
      <c r="N2462" s="5" t="n"/>
      <c r="O2462" s="5">
        <f>+M2462+N2462</f>
        <v/>
      </c>
      <c r="P2462" s="4" t="n">
        <v>45712</v>
      </c>
      <c r="Q2462" s="87" t="n">
        <v>45877</v>
      </c>
      <c r="R2462" s="5" t="n">
        <v>2675.46</v>
      </c>
      <c r="S2462" s="2" t="n">
        <v>1</v>
      </c>
      <c r="T2462" s="3" t="inlineStr">
        <is>
          <t>CA42796IR</t>
        </is>
      </c>
      <c r="U2462" s="87" t="n">
        <v>45887</v>
      </c>
      <c r="V2462" s="3" t="inlineStr">
        <is>
          <t>28</t>
        </is>
      </c>
      <c r="W2462" s="87" t="n">
        <v>45887</v>
      </c>
      <c r="X2462" s="4" t="inlineStr">
        <is>
          <t>PHILIPPOS  CONSTANTINIDES
TRADING CO.LTD</t>
        </is>
      </c>
    </row>
    <row r="2463" ht="24" customHeight="1">
      <c r="A2463" s="2">
        <f>+D2463-S2463</f>
        <v/>
      </c>
      <c r="B2463" s="80" t="n">
        <v>4069</v>
      </c>
      <c r="C2463" s="122" t="n">
        <v>45873</v>
      </c>
      <c r="D2463" s="2" t="n">
        <v>1</v>
      </c>
      <c r="E2463" s="3" t="inlineStr">
        <is>
          <t>FUCILE SOVRAPPOSTO</t>
        </is>
      </c>
      <c r="F2463" s="3" t="inlineStr">
        <is>
          <t>12</t>
        </is>
      </c>
      <c r="G2463" s="3" t="inlineStr">
        <is>
          <t>CAESAR GUERINI</t>
        </is>
      </c>
      <c r="H2463" s="65" t="inlineStr">
        <is>
          <t>INVICTUS II 76</t>
        </is>
      </c>
      <c r="I2463" s="65" t="inlineStr">
        <is>
          <t>189137</t>
        </is>
      </c>
      <c r="J2463" s="65" t="inlineStr">
        <is>
          <t>N/D</t>
        </is>
      </c>
      <c r="K2463" s="65" t="inlineStr">
        <is>
          <t>N/D</t>
        </is>
      </c>
      <c r="L2463" s="127" t="inlineStr">
        <is>
          <t>FABBRICA DARMI CAESAR GUERINI SARL</t>
        </is>
      </c>
      <c r="M2463" s="5" t="n">
        <v>2855</v>
      </c>
      <c r="N2463" s="5" t="n"/>
      <c r="O2463" s="5">
        <f>+M2463+N2463</f>
        <v/>
      </c>
      <c r="P2463" s="4" t="n">
        <v>45712</v>
      </c>
      <c r="Q2463" s="87" t="n">
        <v>45877</v>
      </c>
      <c r="R2463" s="5" t="n">
        <v>2912.1</v>
      </c>
      <c r="S2463" s="2" t="n">
        <v>1</v>
      </c>
      <c r="T2463" s="3" t="inlineStr">
        <is>
          <t>CA42796IR</t>
        </is>
      </c>
      <c r="U2463" s="87" t="n">
        <v>45887</v>
      </c>
      <c r="V2463" s="3" t="inlineStr">
        <is>
          <t>28</t>
        </is>
      </c>
      <c r="W2463" s="87" t="n">
        <v>45887</v>
      </c>
      <c r="X2463" s="4" t="inlineStr">
        <is>
          <t>PHILIPPOS  CONSTANTINIDES
TRADING CO.LTD</t>
        </is>
      </c>
    </row>
    <row r="2464" ht="24" customHeight="1">
      <c r="A2464" s="2">
        <f>+D2464-S2464</f>
        <v/>
      </c>
      <c r="B2464" s="80" t="n">
        <v>4070</v>
      </c>
      <c r="C2464" s="122" t="n">
        <v>45873</v>
      </c>
      <c r="D2464" s="2" t="n">
        <v>1</v>
      </c>
      <c r="E2464" s="3" t="inlineStr">
        <is>
          <t>FUCILE SOVRAPPOSTO</t>
        </is>
      </c>
      <c r="F2464" s="3" t="inlineStr">
        <is>
          <t>12</t>
        </is>
      </c>
      <c r="G2464" s="3" t="inlineStr">
        <is>
          <t>CAESAR GUERINI</t>
        </is>
      </c>
      <c r="H2464" s="65" t="inlineStr">
        <is>
          <t>INVICTUS II 76</t>
        </is>
      </c>
      <c r="I2464" s="65" t="inlineStr">
        <is>
          <t>189138</t>
        </is>
      </c>
      <c r="J2464" s="65" t="inlineStr">
        <is>
          <t>N/D</t>
        </is>
      </c>
      <c r="K2464" s="65" t="inlineStr">
        <is>
          <t>N/D</t>
        </is>
      </c>
      <c r="L2464" s="127" t="inlineStr">
        <is>
          <t>FABBRICA DARMI CAESAR GUERINI SARL</t>
        </is>
      </c>
      <c r="M2464" s="5" t="n">
        <v>2855</v>
      </c>
      <c r="N2464" s="5" t="n"/>
      <c r="O2464" s="5">
        <f>+M2464+N2464</f>
        <v/>
      </c>
      <c r="P2464" s="4" t="n">
        <v>45712</v>
      </c>
      <c r="Q2464" s="87" t="n">
        <v>45877</v>
      </c>
      <c r="R2464" s="5" t="n">
        <v>2912.1</v>
      </c>
      <c r="S2464" s="2" t="n">
        <v>1</v>
      </c>
      <c r="T2464" s="3" t="inlineStr">
        <is>
          <t>CA42796IR</t>
        </is>
      </c>
      <c r="U2464" s="87" t="n">
        <v>45887</v>
      </c>
      <c r="V2464" s="3" t="inlineStr">
        <is>
          <t>28</t>
        </is>
      </c>
      <c r="W2464" s="87" t="n">
        <v>45887</v>
      </c>
      <c r="X2464" s="4" t="inlineStr">
        <is>
          <t>PHILIPPOS  CONSTANTINIDES
TRADING CO.LTD</t>
        </is>
      </c>
    </row>
    <row r="2465" ht="24" customHeight="1">
      <c r="A2465" s="2">
        <f>+D2465-S2465</f>
        <v/>
      </c>
      <c r="B2465" s="80" t="n">
        <v>4071</v>
      </c>
      <c r="C2465" s="122" t="n">
        <v>45873</v>
      </c>
      <c r="D2465" s="2" t="n">
        <v>1</v>
      </c>
      <c r="E2465" s="3" t="inlineStr">
        <is>
          <t>FUCILE SOVRAPPOSTO</t>
        </is>
      </c>
      <c r="F2465" s="3" t="inlineStr">
        <is>
          <t>12</t>
        </is>
      </c>
      <c r="G2465" s="3" t="inlineStr">
        <is>
          <t>CAESAR GUERINI</t>
        </is>
      </c>
      <c r="H2465" s="65" t="inlineStr">
        <is>
          <t>INVICTUS II 76</t>
        </is>
      </c>
      <c r="I2465" s="65" t="inlineStr">
        <is>
          <t>189139</t>
        </is>
      </c>
      <c r="J2465" s="65" t="inlineStr">
        <is>
          <t>N/D</t>
        </is>
      </c>
      <c r="K2465" s="65" t="inlineStr">
        <is>
          <t>N/D</t>
        </is>
      </c>
      <c r="L2465" s="127" t="inlineStr">
        <is>
          <t>FABBRICA DARMI CAESAR GUERINI SARL</t>
        </is>
      </c>
      <c r="M2465" s="5" t="n">
        <v>2855</v>
      </c>
      <c r="N2465" s="5" t="n"/>
      <c r="O2465" s="5">
        <f>+M2465+N2465</f>
        <v/>
      </c>
      <c r="P2465" s="4" t="n">
        <v>45712</v>
      </c>
      <c r="Q2465" s="87" t="n">
        <v>45877</v>
      </c>
      <c r="R2465" s="5" t="n">
        <v>2998</v>
      </c>
      <c r="S2465" s="2" t="n">
        <v>1</v>
      </c>
      <c r="T2465" s="3" t="inlineStr">
        <is>
          <t>CA04954OS</t>
        </is>
      </c>
      <c r="U2465" s="87" t="n">
        <v>45874</v>
      </c>
      <c r="V2465" s="3" t="inlineStr">
        <is>
          <t>25</t>
        </is>
      </c>
      <c r="W2465" s="4" t="n">
        <v>45874</v>
      </c>
      <c r="X2465" s="4" t="inlineStr">
        <is>
          <t>PHILIPPOS  CONSTANTINIDES
TRADING CO.LTD</t>
        </is>
      </c>
    </row>
    <row r="2466" ht="24" customHeight="1">
      <c r="A2466" s="2">
        <f>+D2466-S2466</f>
        <v/>
      </c>
      <c r="B2466" s="80" t="n">
        <v>4072</v>
      </c>
      <c r="C2466" s="122" t="n">
        <v>45873</v>
      </c>
      <c r="D2466" s="2" t="n">
        <v>1</v>
      </c>
      <c r="E2466" s="3" t="inlineStr">
        <is>
          <t>FUCILE SOVRAPPOSTO</t>
        </is>
      </c>
      <c r="F2466" s="3" t="inlineStr">
        <is>
          <t>12</t>
        </is>
      </c>
      <c r="G2466" s="3" t="inlineStr">
        <is>
          <t>CAESAR GUERINI</t>
        </is>
      </c>
      <c r="H2466" s="65" t="inlineStr">
        <is>
          <t>INVICTUS ARTCO SPORTING 76</t>
        </is>
      </c>
      <c r="I2466" s="65" t="inlineStr">
        <is>
          <t>188896</t>
        </is>
      </c>
      <c r="J2466" s="65" t="inlineStr">
        <is>
          <t>N/D</t>
        </is>
      </c>
      <c r="K2466" s="65" t="inlineStr">
        <is>
          <t>N/D</t>
        </is>
      </c>
      <c r="L2466" s="127" t="inlineStr">
        <is>
          <t>FABBRICA DARMI CAESAR GUERINI SARL</t>
        </is>
      </c>
      <c r="M2466" s="5" t="n">
        <v>3196</v>
      </c>
      <c r="N2466" s="5" t="n"/>
      <c r="O2466" s="5">
        <f>+M2466+N2466</f>
        <v/>
      </c>
      <c r="P2466" s="4" t="n">
        <v>45712</v>
      </c>
      <c r="Q2466" s="87" t="n">
        <v>45877</v>
      </c>
      <c r="R2466" s="5" t="n">
        <v>3356</v>
      </c>
      <c r="S2466" s="2" t="n">
        <v>1</v>
      </c>
      <c r="T2466" s="3" t="inlineStr">
        <is>
          <t>CA04954OS</t>
        </is>
      </c>
      <c r="U2466" s="87" t="n">
        <v>45874</v>
      </c>
      <c r="V2466" s="3" t="inlineStr">
        <is>
          <t>25</t>
        </is>
      </c>
      <c r="W2466" s="4" t="n">
        <v>45874</v>
      </c>
      <c r="X2466" s="4" t="inlineStr">
        <is>
          <t>PHILIPPOS  CONSTANTINIDES
TRADING CO.LTD</t>
        </is>
      </c>
    </row>
    <row r="2467" ht="24" customHeight="1">
      <c r="A2467" s="2">
        <f>+D2467-S2467</f>
        <v/>
      </c>
      <c r="B2467" s="80" t="n">
        <v>4073</v>
      </c>
      <c r="C2467" s="122" t="n">
        <v>45873</v>
      </c>
      <c r="D2467" s="2" t="n">
        <v>1</v>
      </c>
      <c r="E2467" s="3" t="inlineStr">
        <is>
          <t>FUCILE SOVRAPPOSTO</t>
        </is>
      </c>
      <c r="F2467" s="3" t="inlineStr">
        <is>
          <t>12</t>
        </is>
      </c>
      <c r="G2467" s="3" t="inlineStr">
        <is>
          <t>CAESAR GUERINI</t>
        </is>
      </c>
      <c r="H2467" s="65" t="inlineStr">
        <is>
          <t>INVICTUS IX GS SPORTING 76</t>
        </is>
      </c>
      <c r="I2467" s="65" t="inlineStr">
        <is>
          <t>173594</t>
        </is>
      </c>
      <c r="J2467" s="65" t="inlineStr">
        <is>
          <t>N/D</t>
        </is>
      </c>
      <c r="K2467" s="65" t="inlineStr">
        <is>
          <t>N/D</t>
        </is>
      </c>
      <c r="L2467" s="127" t="inlineStr">
        <is>
          <t>FABBRICA DARMI CAESAR GUERINI SARL</t>
        </is>
      </c>
      <c r="M2467" s="5" t="n">
        <v>8370</v>
      </c>
      <c r="N2467" s="5" t="n"/>
      <c r="O2467" s="5">
        <f>+M2467+N2467</f>
        <v/>
      </c>
      <c r="P2467" s="4" t="n">
        <v>45712</v>
      </c>
      <c r="Q2467" s="87" t="n">
        <v>45877</v>
      </c>
      <c r="R2467" s="5" t="n">
        <v>8537</v>
      </c>
      <c r="S2467" s="2" t="n">
        <v>1</v>
      </c>
      <c r="T2467" s="3" t="inlineStr">
        <is>
          <t>CA42796IR</t>
        </is>
      </c>
      <c r="U2467" s="87" t="n">
        <v>45887</v>
      </c>
      <c r="V2467" s="3" t="inlineStr">
        <is>
          <t>28</t>
        </is>
      </c>
      <c r="W2467" s="87" t="n">
        <v>45887</v>
      </c>
      <c r="X2467" s="4" t="inlineStr">
        <is>
          <t>PHILIPPOS  CONSTANTINIDES
TRADING CO.LTD</t>
        </is>
      </c>
    </row>
    <row r="2468" ht="24" customHeight="1">
      <c r="A2468" s="2">
        <f>+D2468-S2468</f>
        <v/>
      </c>
      <c r="B2468" s="80" t="n">
        <v>4074</v>
      </c>
      <c r="C2468" s="122" t="n">
        <v>45873</v>
      </c>
      <c r="D2468" s="2" t="n">
        <v>1</v>
      </c>
      <c r="E2468" s="3" t="inlineStr">
        <is>
          <t>FUCILE SOVRAPPOSTO</t>
        </is>
      </c>
      <c r="F2468" s="3" t="inlineStr">
        <is>
          <t>20</t>
        </is>
      </c>
      <c r="G2468" s="3" t="inlineStr">
        <is>
          <t>CAESAR GUERINI</t>
        </is>
      </c>
      <c r="H2468" s="65" t="inlineStr">
        <is>
          <t>REVENANT 71</t>
        </is>
      </c>
      <c r="I2468" s="65" t="inlineStr">
        <is>
          <t>189947</t>
        </is>
      </c>
      <c r="J2468" s="65" t="inlineStr">
        <is>
          <t>N/D</t>
        </is>
      </c>
      <c r="K2468" s="65" t="inlineStr">
        <is>
          <t>N/D</t>
        </is>
      </c>
      <c r="L2468" s="127" t="inlineStr">
        <is>
          <t>FABBRICA DARMI CAESAR GUERINI SARL</t>
        </is>
      </c>
      <c r="M2468" s="5" t="n">
        <v>5451</v>
      </c>
      <c r="N2468" s="5" t="n"/>
      <c r="O2468" s="5">
        <f>+M2468+N2468</f>
        <v/>
      </c>
      <c r="P2468" s="4" t="n">
        <v>45712</v>
      </c>
      <c r="Q2468" s="87" t="n">
        <v>45877</v>
      </c>
      <c r="R2468" s="5" t="n">
        <v>5724</v>
      </c>
      <c r="S2468" s="2" t="n">
        <v>1</v>
      </c>
      <c r="T2468" s="3" t="inlineStr">
        <is>
          <t>CA04954OS</t>
        </is>
      </c>
      <c r="U2468" s="87" t="n">
        <v>45874</v>
      </c>
      <c r="V2468" s="3" t="inlineStr">
        <is>
          <t>25</t>
        </is>
      </c>
      <c r="W2468" s="4" t="n">
        <v>45874</v>
      </c>
      <c r="X2468" s="4" t="inlineStr">
        <is>
          <t>PHILIPPOS  CONSTANTINIDES
TRADING CO.LTD</t>
        </is>
      </c>
    </row>
    <row r="2469" ht="24" customHeight="1">
      <c r="A2469" s="2">
        <f>+D2469-S2469</f>
        <v/>
      </c>
      <c r="B2469" s="80" t="n">
        <v>4075</v>
      </c>
      <c r="C2469" s="122" t="n">
        <v>45873</v>
      </c>
      <c r="D2469" s="2" t="n">
        <v>1</v>
      </c>
      <c r="E2469" s="3" t="inlineStr">
        <is>
          <t>FUCILE SOVRAPPOSTO</t>
        </is>
      </c>
      <c r="F2469" s="3" t="inlineStr">
        <is>
          <t>20</t>
        </is>
      </c>
      <c r="G2469" s="3" t="inlineStr">
        <is>
          <t>CAESAR GUERINI</t>
        </is>
      </c>
      <c r="H2469" s="65" t="inlineStr">
        <is>
          <t>REVENANT 71</t>
        </is>
      </c>
      <c r="I2469" s="65" t="inlineStr">
        <is>
          <t>189948</t>
        </is>
      </c>
      <c r="J2469" s="65" t="inlineStr">
        <is>
          <t>N/D</t>
        </is>
      </c>
      <c r="K2469" s="65" t="inlineStr">
        <is>
          <t>N/D</t>
        </is>
      </c>
      <c r="L2469" s="127" t="inlineStr">
        <is>
          <t>FABBRICA DARMI CAESAR GUERINI SARL</t>
        </is>
      </c>
      <c r="M2469" s="5" t="n">
        <v>5451</v>
      </c>
      <c r="N2469" s="5" t="n"/>
      <c r="O2469" s="5">
        <f>+M2469+N2469</f>
        <v/>
      </c>
      <c r="P2469" s="4" t="n">
        <v>45712</v>
      </c>
      <c r="Q2469" s="87" t="n">
        <v>45877</v>
      </c>
      <c r="R2469" s="5" t="n">
        <v>5560.02</v>
      </c>
      <c r="S2469" s="2" t="n">
        <v>1</v>
      </c>
      <c r="T2469" s="3" t="inlineStr">
        <is>
          <t>CA42796IR</t>
        </is>
      </c>
      <c r="U2469" s="87" t="n">
        <v>46041</v>
      </c>
      <c r="V2469" s="3" t="inlineStr">
        <is>
          <t>2</t>
        </is>
      </c>
      <c r="W2469" s="108" t="n">
        <v>46041</v>
      </c>
      <c r="X2469" s="4" t="inlineStr">
        <is>
          <t>PHILIPPOS  CONSTANTINIDES
TRADING CO.LTD</t>
        </is>
      </c>
    </row>
    <row r="2470" ht="24" customHeight="1">
      <c r="A2470" s="2">
        <f>+D2470-S2470</f>
        <v/>
      </c>
      <c r="B2470" s="80" t="n">
        <v>4076</v>
      </c>
      <c r="C2470" s="122" t="n">
        <v>45873</v>
      </c>
      <c r="D2470" s="2" t="n">
        <v>1</v>
      </c>
      <c r="E2470" s="3" t="inlineStr">
        <is>
          <t>FUCILE SOVRAPPOSTO</t>
        </is>
      </c>
      <c r="F2470" s="3" t="inlineStr">
        <is>
          <t>12</t>
        </is>
      </c>
      <c r="G2470" s="3" t="inlineStr">
        <is>
          <t>CAESAR GUERINI</t>
        </is>
      </c>
      <c r="H2470" s="65" t="inlineStr">
        <is>
          <t>SUMMIT SPORTING</t>
        </is>
      </c>
      <c r="I2470" s="65" t="inlineStr">
        <is>
          <t>189432</t>
        </is>
      </c>
      <c r="J2470" s="65" t="inlineStr">
        <is>
          <t>N/D</t>
        </is>
      </c>
      <c r="K2470" s="65" t="inlineStr">
        <is>
          <t>N/D</t>
        </is>
      </c>
      <c r="L2470" s="127" t="inlineStr">
        <is>
          <t>FABBRICA DARMI CAESAR GUERINI SARL</t>
        </is>
      </c>
      <c r="M2470" s="5" t="n">
        <v>1829</v>
      </c>
      <c r="N2470" s="5" t="n"/>
      <c r="O2470" s="5">
        <f>+M2470+N2470</f>
        <v/>
      </c>
      <c r="P2470" s="4" t="n">
        <v>45712</v>
      </c>
      <c r="Q2470" s="87" t="n">
        <v>45877</v>
      </c>
      <c r="R2470" s="5" t="n">
        <v>1920</v>
      </c>
      <c r="S2470" s="2" t="n">
        <v>1</v>
      </c>
      <c r="T2470" s="3" t="inlineStr">
        <is>
          <t>CA04954OS</t>
        </is>
      </c>
      <c r="U2470" s="87" t="n">
        <v>45874</v>
      </c>
      <c r="V2470" s="3" t="inlineStr">
        <is>
          <t>25</t>
        </is>
      </c>
      <c r="W2470" s="4" t="n">
        <v>45874</v>
      </c>
      <c r="X2470" s="4" t="inlineStr">
        <is>
          <t>PHILIPPOS  CONSTANTINIDES
TRADING CO.LTD</t>
        </is>
      </c>
    </row>
    <row r="2471" ht="24" customHeight="1">
      <c r="A2471" s="2">
        <f>+D2471-S2471</f>
        <v/>
      </c>
      <c r="B2471" s="80" t="n">
        <v>4077</v>
      </c>
      <c r="C2471" s="122" t="n">
        <v>45873</v>
      </c>
      <c r="D2471" s="2" t="n">
        <v>1</v>
      </c>
      <c r="E2471" s="3" t="inlineStr">
        <is>
          <t>FUCILE SOVRAPPOSTO</t>
        </is>
      </c>
      <c r="F2471" s="3" t="inlineStr">
        <is>
          <t>12</t>
        </is>
      </c>
      <c r="G2471" s="3" t="inlineStr">
        <is>
          <t>CAESAR GUERINI</t>
        </is>
      </c>
      <c r="H2471" s="65" t="inlineStr">
        <is>
          <t>FIGURA LIGHT 71</t>
        </is>
      </c>
      <c r="I2471" s="65" t="inlineStr">
        <is>
          <t>189371</t>
        </is>
      </c>
      <c r="J2471" s="65" t="inlineStr">
        <is>
          <t>N/D</t>
        </is>
      </c>
      <c r="K2471" s="65" t="inlineStr">
        <is>
          <t>N/D</t>
        </is>
      </c>
      <c r="L2471" s="127" t="inlineStr">
        <is>
          <t>FABBRICA DARMI CAESAR GUERINI SARL</t>
        </is>
      </c>
      <c r="M2471" s="5" t="n">
        <v>1230</v>
      </c>
      <c r="N2471" s="5" t="n"/>
      <c r="O2471" s="5">
        <f>+M2471+N2471</f>
        <v/>
      </c>
      <c r="P2471" s="4" t="n">
        <v>45712</v>
      </c>
      <c r="Q2471" s="87" t="n">
        <v>45877</v>
      </c>
      <c r="R2471" s="5" t="n">
        <v>1292</v>
      </c>
      <c r="S2471" s="2" t="n">
        <v>1</v>
      </c>
      <c r="T2471" s="3" t="inlineStr">
        <is>
          <t>CA04954OS</t>
        </is>
      </c>
      <c r="U2471" s="87" t="n">
        <v>45874</v>
      </c>
      <c r="V2471" s="3" t="inlineStr">
        <is>
          <t>25</t>
        </is>
      </c>
      <c r="W2471" s="4" t="n">
        <v>45874</v>
      </c>
      <c r="X2471" s="4" t="inlineStr">
        <is>
          <t>PHILIPPOS  CONSTANTINIDES
TRADING CO.LTD</t>
        </is>
      </c>
    </row>
    <row r="2472" ht="24" customHeight="1">
      <c r="A2472" s="2">
        <f>+D2472-S2472</f>
        <v/>
      </c>
      <c r="B2472" s="80" t="n">
        <v>4078</v>
      </c>
      <c r="C2472" s="122" t="n">
        <v>45873</v>
      </c>
      <c r="D2472" s="2" t="n">
        <v>1</v>
      </c>
      <c r="E2472" s="3" t="inlineStr">
        <is>
          <t>FUCILE SOVRAPPOSTO</t>
        </is>
      </c>
      <c r="F2472" s="3" t="inlineStr">
        <is>
          <t>12</t>
        </is>
      </c>
      <c r="G2472" s="3" t="inlineStr">
        <is>
          <t>CAESAR GUERINI</t>
        </is>
      </c>
      <c r="H2472" s="65" t="inlineStr">
        <is>
          <t>FIGURA LIGHT 76</t>
        </is>
      </c>
      <c r="I2472" s="65" t="inlineStr">
        <is>
          <t>189439</t>
        </is>
      </c>
      <c r="J2472" s="65" t="inlineStr">
        <is>
          <t>N/D</t>
        </is>
      </c>
      <c r="K2472" s="65" t="inlineStr">
        <is>
          <t>N/D</t>
        </is>
      </c>
      <c r="L2472" s="127" t="inlineStr">
        <is>
          <t>FABBRICA DARMI CAESAR GUERINI SARL</t>
        </is>
      </c>
      <c r="M2472" s="5" t="n">
        <v>1230</v>
      </c>
      <c r="N2472" s="5" t="n"/>
      <c r="O2472" s="5">
        <f>+M2472+N2472</f>
        <v/>
      </c>
      <c r="P2472" s="4" t="n">
        <v>45712</v>
      </c>
      <c r="Q2472" s="87" t="n">
        <v>45877</v>
      </c>
      <c r="R2472" s="5" t="n">
        <v>1254.6</v>
      </c>
      <c r="S2472" s="2" t="n">
        <v>1</v>
      </c>
      <c r="T2472" s="3" t="inlineStr">
        <is>
          <t>CA42796IR</t>
        </is>
      </c>
      <c r="U2472" s="87" t="n">
        <v>46041</v>
      </c>
      <c r="V2472" s="3" t="inlineStr">
        <is>
          <t>2</t>
        </is>
      </c>
      <c r="W2472" s="108" t="n">
        <v>46041</v>
      </c>
      <c r="X2472" s="4" t="inlineStr">
        <is>
          <t>PHILIPPOS  CONSTANTINIDES
TRADING CO.LTD</t>
        </is>
      </c>
    </row>
    <row r="2473" ht="24" customHeight="1">
      <c r="A2473" s="2">
        <f>+D2473-S2473</f>
        <v/>
      </c>
      <c r="B2473" s="80" t="n">
        <v>4079</v>
      </c>
      <c r="C2473" s="122" t="n">
        <v>45873</v>
      </c>
      <c r="D2473" s="2" t="n">
        <v>1</v>
      </c>
      <c r="E2473" s="3" t="inlineStr">
        <is>
          <t>FUCILE SOVRAPPOSTO</t>
        </is>
      </c>
      <c r="F2473" s="3" t="inlineStr">
        <is>
          <t>12</t>
        </is>
      </c>
      <c r="G2473" s="3" t="inlineStr">
        <is>
          <t>CAESAR GUERINI</t>
        </is>
      </c>
      <c r="H2473" s="65" t="inlineStr">
        <is>
          <t>FIGURA LIGHT 76</t>
        </is>
      </c>
      <c r="I2473" s="65" t="inlineStr">
        <is>
          <t>189440</t>
        </is>
      </c>
      <c r="J2473" s="65" t="inlineStr">
        <is>
          <t>N/D</t>
        </is>
      </c>
      <c r="K2473" s="65" t="inlineStr">
        <is>
          <t>N/D</t>
        </is>
      </c>
      <c r="L2473" s="127" t="inlineStr">
        <is>
          <t>FABBRICA DARMI CAESAR GUERINI SARL</t>
        </is>
      </c>
      <c r="M2473" s="5" t="n">
        <v>1230</v>
      </c>
      <c r="N2473" s="5" t="n"/>
      <c r="O2473" s="5">
        <f>+M2473+N2473</f>
        <v/>
      </c>
      <c r="P2473" s="4" t="n">
        <v>45712</v>
      </c>
      <c r="Q2473" s="87" t="n">
        <v>45877</v>
      </c>
      <c r="R2473" s="5" t="n">
        <v>1254.6</v>
      </c>
      <c r="S2473" s="2" t="n">
        <v>1</v>
      </c>
      <c r="T2473" s="3" t="inlineStr">
        <is>
          <t>CA42796IR</t>
        </is>
      </c>
      <c r="U2473" s="87" t="n">
        <v>46041</v>
      </c>
      <c r="V2473" s="3" t="inlineStr">
        <is>
          <t>2</t>
        </is>
      </c>
      <c r="W2473" s="108" t="n">
        <v>46041</v>
      </c>
      <c r="X2473" s="4" t="inlineStr">
        <is>
          <t>PHILIPPOS  CONSTANTINIDES
TRADING CO.LTD</t>
        </is>
      </c>
    </row>
    <row r="2474" ht="24" customHeight="1">
      <c r="A2474" s="2">
        <f>+D2474-S2474</f>
        <v/>
      </c>
      <c r="B2474" s="80" t="n">
        <v>4080</v>
      </c>
      <c r="C2474" s="122" t="n">
        <v>45873</v>
      </c>
      <c r="D2474" s="2" t="n">
        <v>1</v>
      </c>
      <c r="E2474" s="3" t="inlineStr">
        <is>
          <t>FUCILE SOVRAPPOSTO</t>
        </is>
      </c>
      <c r="F2474" s="3" t="inlineStr">
        <is>
          <t>12</t>
        </is>
      </c>
      <c r="G2474" s="3" t="inlineStr">
        <is>
          <t>CAESAR GUERINI</t>
        </is>
      </c>
      <c r="H2474" s="65" t="inlineStr">
        <is>
          <t>FIGURA LIGHT 76</t>
        </is>
      </c>
      <c r="I2474" s="65" t="inlineStr">
        <is>
          <t>189441</t>
        </is>
      </c>
      <c r="J2474" s="65" t="inlineStr">
        <is>
          <t>N/D</t>
        </is>
      </c>
      <c r="K2474" s="65" t="inlineStr">
        <is>
          <t>N/D</t>
        </is>
      </c>
      <c r="L2474" s="127" t="inlineStr">
        <is>
          <t>FABBRICA DARMI CAESAR GUERINI SARL</t>
        </is>
      </c>
      <c r="M2474" s="5" t="n">
        <v>1230</v>
      </c>
      <c r="N2474" s="5" t="n"/>
      <c r="O2474" s="5">
        <f>+M2474+N2474</f>
        <v/>
      </c>
      <c r="P2474" s="4" t="n">
        <v>45712</v>
      </c>
      <c r="Q2474" s="87" t="n">
        <v>45877</v>
      </c>
      <c r="R2474" s="5" t="n">
        <v>1254.6</v>
      </c>
      <c r="S2474" s="2" t="n">
        <v>1</v>
      </c>
      <c r="T2474" s="3" t="inlineStr">
        <is>
          <t>CA42796IR</t>
        </is>
      </c>
      <c r="U2474" s="87" t="n">
        <v>46041</v>
      </c>
      <c r="V2474" s="3" t="inlineStr">
        <is>
          <t>2</t>
        </is>
      </c>
      <c r="W2474" s="108" t="n">
        <v>46041</v>
      </c>
      <c r="X2474" s="4" t="inlineStr">
        <is>
          <t>PHILIPPOS  CONSTANTINIDES
TRADING CO.LTD</t>
        </is>
      </c>
    </row>
    <row r="2475" ht="24" customHeight="1">
      <c r="A2475" s="2">
        <f>+D2475-S2475</f>
        <v/>
      </c>
      <c r="B2475" s="80" t="n">
        <v>4081</v>
      </c>
      <c r="C2475" s="122" t="n">
        <v>45873</v>
      </c>
      <c r="D2475" s="2" t="n">
        <v>1</v>
      </c>
      <c r="E2475" s="3" t="inlineStr">
        <is>
          <t>FUCILE SOVRAPPOSTO</t>
        </is>
      </c>
      <c r="F2475" s="3" t="inlineStr">
        <is>
          <t>12</t>
        </is>
      </c>
      <c r="G2475" s="3" t="inlineStr">
        <is>
          <t>CAESAR GUERINI</t>
        </is>
      </c>
      <c r="H2475" s="65" t="inlineStr">
        <is>
          <t>FIGURA 71</t>
        </is>
      </c>
      <c r="I2475" s="65" t="inlineStr">
        <is>
          <t>188880</t>
        </is>
      </c>
      <c r="J2475" s="65" t="inlineStr">
        <is>
          <t>N/D</t>
        </is>
      </c>
      <c r="K2475" s="65" t="inlineStr">
        <is>
          <t>N/D</t>
        </is>
      </c>
      <c r="L2475" s="127" t="inlineStr">
        <is>
          <t>FABBRICA DARMI CAESAR GUERINI SARL</t>
        </is>
      </c>
      <c r="M2475" s="5" t="n">
        <v>1230</v>
      </c>
      <c r="N2475" s="5" t="n"/>
      <c r="O2475" s="5">
        <f>+M2475+N2475</f>
        <v/>
      </c>
      <c r="P2475" s="4" t="n">
        <v>45712</v>
      </c>
      <c r="Q2475" s="87" t="n">
        <v>45877</v>
      </c>
      <c r="R2475" s="5" t="n">
        <v>1254.6</v>
      </c>
      <c r="S2475" s="2" t="n">
        <v>1</v>
      </c>
      <c r="T2475" s="3" t="inlineStr">
        <is>
          <t>CA42796IR</t>
        </is>
      </c>
      <c r="U2475" s="87" t="n">
        <v>46041</v>
      </c>
      <c r="V2475" s="3" t="inlineStr">
        <is>
          <t>2</t>
        </is>
      </c>
      <c r="W2475" s="108" t="n">
        <v>46041</v>
      </c>
      <c r="X2475" s="4" t="inlineStr">
        <is>
          <t>PHILIPPOS  CONSTANTINIDES
TRADING CO.LTD</t>
        </is>
      </c>
    </row>
    <row r="2476" ht="24" customHeight="1">
      <c r="A2476" s="2">
        <f>+D2476-S2476</f>
        <v/>
      </c>
      <c r="B2476" s="80" t="n">
        <v>4082</v>
      </c>
      <c r="C2476" s="122" t="n">
        <v>45873</v>
      </c>
      <c r="D2476" s="2" t="n">
        <v>1</v>
      </c>
      <c r="E2476" s="3" t="inlineStr">
        <is>
          <t>FUCILE SOVRAPPOSTO</t>
        </is>
      </c>
      <c r="F2476" s="3" t="inlineStr">
        <is>
          <t>12</t>
        </is>
      </c>
      <c r="G2476" s="3" t="inlineStr">
        <is>
          <t>CAESAR GUERINI</t>
        </is>
      </c>
      <c r="H2476" s="65" t="inlineStr">
        <is>
          <t>FIGURA 71</t>
        </is>
      </c>
      <c r="I2476" s="65" t="inlineStr">
        <is>
          <t>188881</t>
        </is>
      </c>
      <c r="J2476" s="65" t="inlineStr">
        <is>
          <t>N/D</t>
        </is>
      </c>
      <c r="K2476" s="65" t="inlineStr">
        <is>
          <t>N/D</t>
        </is>
      </c>
      <c r="L2476" s="127" t="inlineStr">
        <is>
          <t>FABBRICA DARMI CAESAR GUERINI SARL</t>
        </is>
      </c>
      <c r="M2476" s="5" t="n">
        <v>1230</v>
      </c>
      <c r="N2476" s="5" t="n"/>
      <c r="O2476" s="5">
        <f>+M2476+N2476</f>
        <v/>
      </c>
      <c r="P2476" s="4" t="n">
        <v>45712</v>
      </c>
      <c r="Q2476" s="87" t="n">
        <v>45877</v>
      </c>
      <c r="R2476" s="5" t="n">
        <v>1254.6</v>
      </c>
      <c r="S2476" s="2" t="n">
        <v>1</v>
      </c>
      <c r="T2476" s="3" t="inlineStr">
        <is>
          <t>CA42796IR</t>
        </is>
      </c>
      <c r="U2476" s="87" t="n">
        <v>46041</v>
      </c>
      <c r="V2476" s="3" t="inlineStr">
        <is>
          <t>2</t>
        </is>
      </c>
      <c r="W2476" s="108" t="n">
        <v>46041</v>
      </c>
      <c r="X2476" s="4" t="inlineStr">
        <is>
          <t>PHILIPPOS  CONSTANTINIDES
TRADING CO.LTD</t>
        </is>
      </c>
    </row>
    <row r="2477" ht="24" customHeight="1">
      <c r="A2477" s="2">
        <f>+D2477-S2477</f>
        <v/>
      </c>
      <c r="B2477" s="80" t="n">
        <v>4083</v>
      </c>
      <c r="C2477" s="122" t="n">
        <v>45873</v>
      </c>
      <c r="D2477" s="2" t="n">
        <v>1</v>
      </c>
      <c r="E2477" s="3" t="inlineStr">
        <is>
          <t>FUCILE SOVRAPPOSTO</t>
        </is>
      </c>
      <c r="F2477" s="3" t="inlineStr">
        <is>
          <t>36</t>
        </is>
      </c>
      <c r="G2477" s="3" t="inlineStr">
        <is>
          <t>CAESAR GUERINI</t>
        </is>
      </c>
      <c r="H2477" s="65" t="inlineStr">
        <is>
          <t>TEMPIO LIGHT 81</t>
        </is>
      </c>
      <c r="I2477" s="65" t="inlineStr">
        <is>
          <t>189673</t>
        </is>
      </c>
      <c r="J2477" s="65" t="inlineStr">
        <is>
          <t>N/D</t>
        </is>
      </c>
      <c r="K2477" s="65" t="inlineStr">
        <is>
          <t>N/D</t>
        </is>
      </c>
      <c r="L2477" s="127" t="inlineStr">
        <is>
          <t>FABBRICA DARMI CAESAR GUERINI SARL</t>
        </is>
      </c>
      <c r="M2477" s="5" t="n">
        <v>1734</v>
      </c>
      <c r="N2477" s="5" t="n"/>
      <c r="O2477" s="5">
        <f>+M2477+N2477</f>
        <v/>
      </c>
      <c r="P2477" s="4" t="n">
        <v>45712</v>
      </c>
      <c r="Q2477" s="87" t="n">
        <v>45877</v>
      </c>
      <c r="R2477" s="5" t="n">
        <v>1768.68</v>
      </c>
      <c r="S2477" s="2" t="n">
        <v>1</v>
      </c>
      <c r="T2477" s="3" t="inlineStr">
        <is>
          <t>CA42796IR</t>
        </is>
      </c>
      <c r="U2477" s="87" t="n">
        <v>45887</v>
      </c>
      <c r="V2477" s="3" t="inlineStr">
        <is>
          <t>28</t>
        </is>
      </c>
      <c r="W2477" s="87" t="n">
        <v>45887</v>
      </c>
      <c r="X2477" s="4" t="inlineStr">
        <is>
          <t>PHILIPPOS  CONSTANTINIDES
TRADING CO.LTD</t>
        </is>
      </c>
    </row>
    <row r="2478" ht="24" customHeight="1">
      <c r="A2478" s="2">
        <f>+D2478-S2478</f>
        <v/>
      </c>
      <c r="B2478" s="80" t="n">
        <v>4084</v>
      </c>
      <c r="C2478" s="122" t="n">
        <v>45873</v>
      </c>
      <c r="D2478" s="2" t="n">
        <v>1</v>
      </c>
      <c r="E2478" s="3" t="inlineStr">
        <is>
          <t>FUCILE SOVRAPPOSTO</t>
        </is>
      </c>
      <c r="F2478" s="3" t="inlineStr">
        <is>
          <t>36</t>
        </is>
      </c>
      <c r="G2478" s="3" t="inlineStr">
        <is>
          <t>CAESAR GUERINI</t>
        </is>
      </c>
      <c r="H2478" s="65" t="inlineStr">
        <is>
          <t>TEMPIO LIGHT 81</t>
        </is>
      </c>
      <c r="I2478" s="65" t="inlineStr">
        <is>
          <t>189674</t>
        </is>
      </c>
      <c r="J2478" s="65" t="inlineStr">
        <is>
          <t>N/D</t>
        </is>
      </c>
      <c r="K2478" s="65" t="inlineStr">
        <is>
          <t>N/D</t>
        </is>
      </c>
      <c r="L2478" s="127" t="inlineStr">
        <is>
          <t>FABBRICA DARMI CAESAR GUERINI SARL</t>
        </is>
      </c>
      <c r="M2478" s="5" t="n">
        <v>1734</v>
      </c>
      <c r="N2478" s="5" t="n"/>
      <c r="O2478" s="5">
        <f>+M2478+N2478</f>
        <v/>
      </c>
      <c r="P2478" s="4" t="n">
        <v>45712</v>
      </c>
      <c r="Q2478" s="87" t="n">
        <v>45877</v>
      </c>
      <c r="R2478" s="5" t="n">
        <v>1768.68</v>
      </c>
      <c r="S2478" s="2" t="n">
        <v>1</v>
      </c>
      <c r="T2478" s="3" t="inlineStr">
        <is>
          <t>CA42796IR</t>
        </is>
      </c>
      <c r="U2478" s="87" t="n">
        <v>45887</v>
      </c>
      <c r="V2478" s="3" t="inlineStr">
        <is>
          <t>28</t>
        </is>
      </c>
      <c r="W2478" s="87" t="n">
        <v>45887</v>
      </c>
      <c r="X2478" s="4" t="inlineStr">
        <is>
          <t>PHILIPPOS  CONSTANTINIDES
TRADING CO.LTD</t>
        </is>
      </c>
    </row>
    <row r="2479" ht="24" customHeight="1">
      <c r="A2479" s="2">
        <f>+D2479-S2479</f>
        <v/>
      </c>
      <c r="B2479" s="80" t="n">
        <v>4085</v>
      </c>
      <c r="C2479" s="122" t="n">
        <v>45873</v>
      </c>
      <c r="D2479" s="2" t="n">
        <v>1</v>
      </c>
      <c r="E2479" s="3" t="inlineStr">
        <is>
          <t>FUCILE SOVRAPPOSTO</t>
        </is>
      </c>
      <c r="F2479" s="3" t="inlineStr">
        <is>
          <t>36</t>
        </is>
      </c>
      <c r="G2479" s="3" t="inlineStr">
        <is>
          <t>CAESAR GUERINI</t>
        </is>
      </c>
      <c r="H2479" s="65" t="inlineStr">
        <is>
          <t>TEMPIO LIGHT 81</t>
        </is>
      </c>
      <c r="I2479" s="65" t="inlineStr">
        <is>
          <t>189675</t>
        </is>
      </c>
      <c r="J2479" s="65" t="inlineStr">
        <is>
          <t>N/D</t>
        </is>
      </c>
      <c r="K2479" s="65" t="inlineStr">
        <is>
          <t>N/D</t>
        </is>
      </c>
      <c r="L2479" s="127" t="inlineStr">
        <is>
          <t>FABBRICA DARMI CAESAR GUERINI SARL</t>
        </is>
      </c>
      <c r="M2479" s="5" t="n">
        <v>1734</v>
      </c>
      <c r="N2479" s="5" t="n"/>
      <c r="O2479" s="5">
        <f>+M2479+N2479</f>
        <v/>
      </c>
      <c r="P2479" s="4" t="n">
        <v>45712</v>
      </c>
      <c r="Q2479" s="87" t="n">
        <v>45877</v>
      </c>
      <c r="R2479" s="5" t="n">
        <v>1768.68</v>
      </c>
      <c r="S2479" s="2" t="n">
        <v>1</v>
      </c>
      <c r="T2479" s="3" t="inlineStr">
        <is>
          <t>CA42796IR</t>
        </is>
      </c>
      <c r="U2479" s="87" t="n">
        <v>45887</v>
      </c>
      <c r="V2479" s="3" t="inlineStr">
        <is>
          <t>28</t>
        </is>
      </c>
      <c r="W2479" s="87" t="n">
        <v>45887</v>
      </c>
      <c r="X2479" s="4" t="inlineStr">
        <is>
          <t>PHILIPPOS  CONSTANTINIDES
TRADING CO.LTD</t>
        </is>
      </c>
    </row>
    <row r="2480" ht="24" customHeight="1">
      <c r="A2480" s="2">
        <f>+D2480-S2480</f>
        <v/>
      </c>
      <c r="B2480" s="80" t="n">
        <v>4086</v>
      </c>
      <c r="C2480" s="122" t="n">
        <v>45873</v>
      </c>
      <c r="D2480" s="2" t="n">
        <v>1</v>
      </c>
      <c r="E2480" s="3" t="inlineStr">
        <is>
          <t>FUCILE SOVRAPPOSTO</t>
        </is>
      </c>
      <c r="F2480" s="3" t="inlineStr">
        <is>
          <t>36</t>
        </is>
      </c>
      <c r="G2480" s="3" t="inlineStr">
        <is>
          <t>CAESAR GUERINI</t>
        </is>
      </c>
      <c r="H2480" s="65" t="inlineStr">
        <is>
          <t>TEMPIO LIGHT 81</t>
        </is>
      </c>
      <c r="I2480" s="65" t="inlineStr">
        <is>
          <t>189676</t>
        </is>
      </c>
      <c r="J2480" s="65" t="inlineStr">
        <is>
          <t>N/D</t>
        </is>
      </c>
      <c r="K2480" s="65" t="inlineStr">
        <is>
          <t>N/D</t>
        </is>
      </c>
      <c r="L2480" s="127" t="inlineStr">
        <is>
          <t>FABBRICA DARMI CAESAR GUERINI SARL</t>
        </is>
      </c>
      <c r="M2480" s="5" t="n">
        <v>1734</v>
      </c>
      <c r="N2480" s="5" t="n"/>
      <c r="O2480" s="5">
        <f>+M2480+N2480</f>
        <v/>
      </c>
      <c r="P2480" s="4" t="n">
        <v>45712</v>
      </c>
      <c r="Q2480" s="87" t="n">
        <v>45877</v>
      </c>
      <c r="R2480" s="5" t="n">
        <v>1768.68</v>
      </c>
      <c r="S2480" s="2" t="n">
        <v>1</v>
      </c>
      <c r="T2480" s="3" t="inlineStr">
        <is>
          <t>CA42796IR</t>
        </is>
      </c>
      <c r="U2480" s="87" t="n">
        <v>45887</v>
      </c>
      <c r="V2480" s="3" t="inlineStr">
        <is>
          <t>28</t>
        </is>
      </c>
      <c r="W2480" s="87" t="n">
        <v>45887</v>
      </c>
      <c r="X2480" s="4" t="inlineStr">
        <is>
          <t>PHILIPPOS  CONSTANTINIDES
TRADING CO.LTD</t>
        </is>
      </c>
    </row>
    <row r="2481" ht="24" customHeight="1">
      <c r="A2481" s="2">
        <f>+D2481-S2481</f>
        <v/>
      </c>
      <c r="B2481" s="80" t="n">
        <v>4087</v>
      </c>
      <c r="C2481" s="122" t="n">
        <v>45873</v>
      </c>
      <c r="D2481" s="2" t="n">
        <v>1</v>
      </c>
      <c r="E2481" s="3" t="inlineStr">
        <is>
          <t>FUCILE SOVRAPPOSTO</t>
        </is>
      </c>
      <c r="F2481" s="3" t="inlineStr">
        <is>
          <t>36</t>
        </is>
      </c>
      <c r="G2481" s="3" t="inlineStr">
        <is>
          <t>CAESAR GUERINI</t>
        </is>
      </c>
      <c r="H2481" s="65" t="inlineStr">
        <is>
          <t>TEMPIO LIGHT 81</t>
        </is>
      </c>
      <c r="I2481" s="65" t="inlineStr">
        <is>
          <t>189677</t>
        </is>
      </c>
      <c r="J2481" s="65" t="inlineStr">
        <is>
          <t>N/D</t>
        </is>
      </c>
      <c r="K2481" s="65" t="inlineStr">
        <is>
          <t>N/D</t>
        </is>
      </c>
      <c r="L2481" s="127" t="inlineStr">
        <is>
          <t>FABBRICA DARMI CAESAR GUERINI SARL</t>
        </is>
      </c>
      <c r="M2481" s="5" t="n">
        <v>1734</v>
      </c>
      <c r="N2481" s="5" t="n"/>
      <c r="O2481" s="5">
        <f>+M2481+N2481</f>
        <v/>
      </c>
      <c r="P2481" s="4" t="n">
        <v>45712</v>
      </c>
      <c r="Q2481" s="87" t="n">
        <v>45877</v>
      </c>
      <c r="R2481" s="5" t="n">
        <v>1768.68</v>
      </c>
      <c r="S2481" s="2" t="n">
        <v>1</v>
      </c>
      <c r="T2481" s="3" t="inlineStr">
        <is>
          <t>CA42796IR</t>
        </is>
      </c>
      <c r="U2481" s="87" t="n">
        <v>45887</v>
      </c>
      <c r="V2481" s="3" t="inlineStr">
        <is>
          <t>28</t>
        </is>
      </c>
      <c r="W2481" s="87" t="n">
        <v>45887</v>
      </c>
      <c r="X2481" s="4" t="inlineStr">
        <is>
          <t>PHILIPPOS  CONSTANTINIDES
TRADING CO.LTD</t>
        </is>
      </c>
    </row>
    <row r="2482" ht="24" customHeight="1">
      <c r="A2482" s="2">
        <f>+D2482-S2482</f>
        <v/>
      </c>
      <c r="B2482" s="80" t="n">
        <v>4088</v>
      </c>
      <c r="C2482" s="122" t="n">
        <v>45873</v>
      </c>
      <c r="D2482" s="2" t="n">
        <v>1</v>
      </c>
      <c r="E2482" s="3" t="inlineStr">
        <is>
          <t>FUCILE SOVRAPPOSTO</t>
        </is>
      </c>
      <c r="F2482" s="3" t="inlineStr">
        <is>
          <t>20</t>
        </is>
      </c>
      <c r="G2482" s="3" t="inlineStr">
        <is>
          <t>CAESAR GUERINI</t>
        </is>
      </c>
      <c r="H2482" s="65" t="inlineStr">
        <is>
          <t>TEMPIO LIGHT 71</t>
        </is>
      </c>
      <c r="I2482" s="65" t="inlineStr">
        <is>
          <t>189672</t>
        </is>
      </c>
      <c r="J2482" s="65" t="inlineStr">
        <is>
          <t>N/D</t>
        </is>
      </c>
      <c r="K2482" s="65" t="inlineStr">
        <is>
          <t>N/D</t>
        </is>
      </c>
      <c r="L2482" s="127" t="inlineStr">
        <is>
          <t>FABBRICA DARMI CAESAR GUERINI SARL</t>
        </is>
      </c>
      <c r="M2482" s="5" t="n">
        <v>1540</v>
      </c>
      <c r="N2482" s="5" t="n"/>
      <c r="O2482" s="5">
        <f>+M2482+N2482</f>
        <v/>
      </c>
      <c r="P2482" s="4" t="n">
        <v>45712</v>
      </c>
      <c r="Q2482" s="87" t="n">
        <v>45877</v>
      </c>
      <c r="R2482" s="5" t="n">
        <v>1570.8</v>
      </c>
      <c r="S2482" s="2" t="n">
        <v>1</v>
      </c>
      <c r="T2482" s="3" t="inlineStr">
        <is>
          <t>CA42796IR</t>
        </is>
      </c>
      <c r="U2482" s="87" t="n">
        <v>46041</v>
      </c>
      <c r="V2482" s="3" t="inlineStr">
        <is>
          <t>2</t>
        </is>
      </c>
      <c r="W2482" s="108" t="n">
        <v>46041</v>
      </c>
      <c r="X2482" s="4" t="inlineStr">
        <is>
          <t>PHILIPPOS  CONSTANTINIDES
TRADING CO.LTD</t>
        </is>
      </c>
    </row>
    <row r="2483" ht="24" customHeight="1">
      <c r="A2483" s="2">
        <f>+D2483-S2483</f>
        <v/>
      </c>
      <c r="B2483" s="80" t="n">
        <v>4089</v>
      </c>
      <c r="C2483" s="122" t="n">
        <v>45873</v>
      </c>
      <c r="D2483" s="2" t="n">
        <v>1</v>
      </c>
      <c r="E2483" s="3" t="inlineStr">
        <is>
          <t>FUCILE SOVRAPPOSTO</t>
        </is>
      </c>
      <c r="F2483" s="3" t="inlineStr">
        <is>
          <t>28</t>
        </is>
      </c>
      <c r="G2483" s="3" t="inlineStr">
        <is>
          <t>CAESAR GUERINI</t>
        </is>
      </c>
      <c r="H2483" s="65" t="inlineStr">
        <is>
          <t>TEMPIO LIGHT 71</t>
        </is>
      </c>
      <c r="I2483" s="65" t="inlineStr">
        <is>
          <t>171353</t>
        </is>
      </c>
      <c r="J2483" s="65" t="inlineStr">
        <is>
          <t>N/D</t>
        </is>
      </c>
      <c r="K2483" s="65" t="inlineStr">
        <is>
          <t>N/D</t>
        </is>
      </c>
      <c r="L2483" s="127" t="inlineStr">
        <is>
          <t>FABBRICA DARMI CAESAR GUERINI SARL</t>
        </is>
      </c>
      <c r="M2483" s="5" t="n">
        <v>1540</v>
      </c>
      <c r="N2483" s="5" t="n"/>
      <c r="O2483" s="5">
        <f>+M2483+N2483</f>
        <v/>
      </c>
      <c r="P2483" s="4" t="n">
        <v>45712</v>
      </c>
      <c r="Q2483" s="87" t="n">
        <v>45877</v>
      </c>
      <c r="R2483" s="5" t="n">
        <v>1570.8</v>
      </c>
      <c r="S2483" s="2" t="n">
        <v>1</v>
      </c>
      <c r="T2483" s="3" t="inlineStr">
        <is>
          <t>CA42796IR</t>
        </is>
      </c>
      <c r="U2483" s="87" t="n">
        <v>46041</v>
      </c>
      <c r="V2483" s="3" t="inlineStr">
        <is>
          <t>2</t>
        </is>
      </c>
      <c r="W2483" s="108" t="n">
        <v>46041</v>
      </c>
      <c r="X2483" s="4" t="inlineStr">
        <is>
          <t>PHILIPPOS  CONSTANTINIDES
TRADING CO.LTD</t>
        </is>
      </c>
    </row>
    <row r="2484" ht="24" customHeight="1">
      <c r="A2484" s="2">
        <f>+D2484-S2484</f>
        <v/>
      </c>
      <c r="B2484" s="80" t="n">
        <v>4090</v>
      </c>
      <c r="C2484" s="122" t="n">
        <v>45873</v>
      </c>
      <c r="D2484" s="2" t="n">
        <v>1</v>
      </c>
      <c r="E2484" s="3" t="inlineStr">
        <is>
          <t>FUCILE SOVRAPPOSTO</t>
        </is>
      </c>
      <c r="F2484" s="3" t="inlineStr">
        <is>
          <t>28</t>
        </is>
      </c>
      <c r="G2484" s="3" t="inlineStr">
        <is>
          <t>CAESAR GUERINI</t>
        </is>
      </c>
      <c r="H2484" s="65" t="inlineStr">
        <is>
          <t>TEMPIO LIGHT 76</t>
        </is>
      </c>
      <c r="I2484" s="65" t="inlineStr">
        <is>
          <t>189671</t>
        </is>
      </c>
      <c r="J2484" s="65" t="inlineStr">
        <is>
          <t>N/D</t>
        </is>
      </c>
      <c r="K2484" s="65" t="inlineStr">
        <is>
          <t>N/D</t>
        </is>
      </c>
      <c r="L2484" s="127" t="inlineStr">
        <is>
          <t>FABBRICA DARMI CAESAR GUERINI SARL</t>
        </is>
      </c>
      <c r="M2484" s="5" t="n">
        <v>1540</v>
      </c>
      <c r="N2484" s="5" t="n"/>
      <c r="O2484" s="5">
        <f>+M2484+N2484</f>
        <v/>
      </c>
      <c r="P2484" s="4" t="n">
        <v>45712</v>
      </c>
      <c r="Q2484" s="87" t="n">
        <v>45877</v>
      </c>
      <c r="R2484" s="5" t="n">
        <v>1570.8</v>
      </c>
      <c r="S2484" s="2" t="n">
        <v>1</v>
      </c>
      <c r="T2484" s="3" t="inlineStr">
        <is>
          <t>CA42796IR</t>
        </is>
      </c>
      <c r="U2484" s="87" t="n">
        <v>46041</v>
      </c>
      <c r="V2484" s="3" t="inlineStr">
        <is>
          <t>2</t>
        </is>
      </c>
      <c r="W2484" s="108" t="n">
        <v>46041</v>
      </c>
      <c r="X2484" s="4" t="inlineStr">
        <is>
          <t>PHILIPPOS  CONSTANTINIDES
TRADING CO.LTD</t>
        </is>
      </c>
    </row>
    <row r="2485" ht="24" customHeight="1">
      <c r="A2485" s="2">
        <f>+D2485-S2485</f>
        <v/>
      </c>
      <c r="B2485" s="80" t="n">
        <v>4091</v>
      </c>
      <c r="C2485" s="122" t="n">
        <v>45873</v>
      </c>
      <c r="D2485" s="2" t="n">
        <v>1</v>
      </c>
      <c r="E2485" s="3" t="inlineStr">
        <is>
          <t>FUCILE SOVRAPPOSTO</t>
        </is>
      </c>
      <c r="F2485" s="3" t="inlineStr">
        <is>
          <t>36</t>
        </is>
      </c>
      <c r="G2485" s="3" t="inlineStr">
        <is>
          <t>CAESAR GUERINI</t>
        </is>
      </c>
      <c r="H2485" s="65" t="inlineStr">
        <is>
          <t>MAGNUS LIGHT 81</t>
        </is>
      </c>
      <c r="I2485" s="65" t="inlineStr">
        <is>
          <t>189949</t>
        </is>
      </c>
      <c r="J2485" s="65" t="inlineStr">
        <is>
          <t>N/D</t>
        </is>
      </c>
      <c r="K2485" s="65" t="inlineStr">
        <is>
          <t>N/D</t>
        </is>
      </c>
      <c r="L2485" s="127" t="inlineStr">
        <is>
          <t>FABBRICA DARMI CAESAR GUERINI SARL</t>
        </is>
      </c>
      <c r="M2485" s="5" t="n">
        <v>2031</v>
      </c>
      <c r="N2485" s="5" t="n"/>
      <c r="O2485" s="5">
        <f>+M2485+N2485</f>
        <v/>
      </c>
      <c r="P2485" s="4" t="n">
        <v>45712</v>
      </c>
      <c r="Q2485" s="87" t="n">
        <v>45877</v>
      </c>
      <c r="R2485" s="5" t="n">
        <v>2071.62</v>
      </c>
      <c r="S2485" s="2" t="n">
        <v>1</v>
      </c>
      <c r="T2485" s="3" t="inlineStr">
        <is>
          <t>CA42796IR</t>
        </is>
      </c>
      <c r="U2485" s="87" t="n">
        <v>45887</v>
      </c>
      <c r="V2485" s="3" t="inlineStr">
        <is>
          <t>28</t>
        </is>
      </c>
      <c r="W2485" s="87" t="n">
        <v>45887</v>
      </c>
      <c r="X2485" s="4" t="inlineStr">
        <is>
          <t>PHILIPPOS  CONSTANTINIDES
TRADING CO.LTD</t>
        </is>
      </c>
    </row>
    <row r="2486" ht="24" customHeight="1">
      <c r="A2486" s="2">
        <f>+D2486-S2486</f>
        <v/>
      </c>
      <c r="B2486" s="80" t="n">
        <v>4092</v>
      </c>
      <c r="C2486" s="122" t="n">
        <v>45873</v>
      </c>
      <c r="D2486" s="2" t="n">
        <v>1</v>
      </c>
      <c r="E2486" s="3" t="inlineStr">
        <is>
          <t>FUCILE SOVRAPPOSTO</t>
        </is>
      </c>
      <c r="F2486" s="3" t="inlineStr">
        <is>
          <t>36</t>
        </is>
      </c>
      <c r="G2486" s="3" t="inlineStr">
        <is>
          <t>CAESAR GUERINI</t>
        </is>
      </c>
      <c r="H2486" s="65" t="inlineStr">
        <is>
          <t>MAGNUS LIGHT 81</t>
        </is>
      </c>
      <c r="I2486" s="65" t="inlineStr">
        <is>
          <t>189950</t>
        </is>
      </c>
      <c r="J2486" s="65" t="inlineStr">
        <is>
          <t>N/D</t>
        </is>
      </c>
      <c r="K2486" s="65" t="inlineStr">
        <is>
          <t>N/D</t>
        </is>
      </c>
      <c r="L2486" s="127" t="inlineStr">
        <is>
          <t>FABBRICA DARMI CAESAR GUERINI SARL</t>
        </is>
      </c>
      <c r="M2486" s="5" t="n">
        <v>2031</v>
      </c>
      <c r="N2486" s="5" t="n"/>
      <c r="O2486" s="5">
        <f>+M2486+N2486</f>
        <v/>
      </c>
      <c r="P2486" s="4" t="n">
        <v>45712</v>
      </c>
      <c r="Q2486" s="87" t="n">
        <v>45877</v>
      </c>
      <c r="R2486" s="5" t="n">
        <v>2071.62</v>
      </c>
      <c r="S2486" s="2" t="n">
        <v>1</v>
      </c>
      <c r="T2486" s="3" t="inlineStr">
        <is>
          <t>CA42796IR</t>
        </is>
      </c>
      <c r="U2486" s="87" t="n">
        <v>45887</v>
      </c>
      <c r="V2486" s="3" t="inlineStr">
        <is>
          <t>28</t>
        </is>
      </c>
      <c r="W2486" s="87" t="n">
        <v>45887</v>
      </c>
      <c r="X2486" s="4" t="inlineStr">
        <is>
          <t>PHILIPPOS  CONSTANTINIDES
TRADING CO.LTD</t>
        </is>
      </c>
    </row>
    <row r="2487" ht="24" customHeight="1">
      <c r="A2487" s="2">
        <f>+D2487-S2487</f>
        <v/>
      </c>
      <c r="B2487" s="80" t="n">
        <v>4093</v>
      </c>
      <c r="C2487" s="122" t="n">
        <v>45873</v>
      </c>
      <c r="D2487" s="2" t="n">
        <v>1</v>
      </c>
      <c r="E2487" s="3" t="inlineStr">
        <is>
          <t>FUCILE SOVRAPPOSTO</t>
        </is>
      </c>
      <c r="F2487" s="3" t="inlineStr">
        <is>
          <t>36</t>
        </is>
      </c>
      <c r="G2487" s="3" t="inlineStr">
        <is>
          <t>CAESAR GUERINI</t>
        </is>
      </c>
      <c r="H2487" s="65" t="inlineStr">
        <is>
          <t>MAGNUS LIGHT 81</t>
        </is>
      </c>
      <c r="I2487" s="65" t="inlineStr">
        <is>
          <t>189951</t>
        </is>
      </c>
      <c r="J2487" s="65" t="inlineStr">
        <is>
          <t>N/D</t>
        </is>
      </c>
      <c r="K2487" s="65" t="inlineStr">
        <is>
          <t>N/D</t>
        </is>
      </c>
      <c r="L2487" s="127" t="inlineStr">
        <is>
          <t>FABBRICA DARMI CAESAR GUERINI SARL</t>
        </is>
      </c>
      <c r="M2487" s="5" t="n">
        <v>2031</v>
      </c>
      <c r="N2487" s="5" t="n"/>
      <c r="O2487" s="5">
        <f>+M2487+N2487</f>
        <v/>
      </c>
      <c r="P2487" s="4" t="n">
        <v>45712</v>
      </c>
      <c r="Q2487" s="87" t="n">
        <v>45877</v>
      </c>
      <c r="R2487" s="5" t="n">
        <v>2071.62</v>
      </c>
      <c r="S2487" s="2" t="n">
        <v>1</v>
      </c>
      <c r="T2487" s="3" t="inlineStr">
        <is>
          <t>CA42796IR</t>
        </is>
      </c>
      <c r="U2487" s="87" t="n">
        <v>45887</v>
      </c>
      <c r="V2487" s="3" t="inlineStr">
        <is>
          <t>28</t>
        </is>
      </c>
      <c r="W2487" s="87" t="n">
        <v>45887</v>
      </c>
      <c r="X2487" s="4" t="inlineStr">
        <is>
          <t>PHILIPPOS  CONSTANTINIDES
TRADING CO.LTD</t>
        </is>
      </c>
    </row>
    <row r="2488" ht="24" customHeight="1">
      <c r="A2488" s="2">
        <f>+D2488-S2488</f>
        <v/>
      </c>
      <c r="B2488" s="80" t="n">
        <v>4094</v>
      </c>
      <c r="C2488" s="122" t="n">
        <v>45873</v>
      </c>
      <c r="D2488" s="2" t="n">
        <v>1</v>
      </c>
      <c r="E2488" s="3" t="inlineStr">
        <is>
          <t>FUCILE SOVRAPPOSTO</t>
        </is>
      </c>
      <c r="F2488" s="3" t="inlineStr">
        <is>
          <t>36</t>
        </is>
      </c>
      <c r="G2488" s="3" t="inlineStr">
        <is>
          <t>CAESAR GUERINI</t>
        </is>
      </c>
      <c r="H2488" s="65" t="inlineStr">
        <is>
          <t>MAGNUS LIGHT 81</t>
        </is>
      </c>
      <c r="I2488" s="65" t="inlineStr">
        <is>
          <t>189952</t>
        </is>
      </c>
      <c r="J2488" s="65" t="inlineStr">
        <is>
          <t>N/D</t>
        </is>
      </c>
      <c r="K2488" s="65" t="inlineStr">
        <is>
          <t>N/D</t>
        </is>
      </c>
      <c r="L2488" s="127" t="inlineStr">
        <is>
          <t>FABBRICA DARMI CAESAR GUERINI SARL</t>
        </is>
      </c>
      <c r="M2488" s="5" t="n">
        <v>2031</v>
      </c>
      <c r="N2488" s="5" t="n"/>
      <c r="O2488" s="5">
        <f>+M2488+N2488</f>
        <v/>
      </c>
      <c r="P2488" s="4" t="n">
        <v>45712</v>
      </c>
      <c r="Q2488" s="87" t="n">
        <v>45877</v>
      </c>
      <c r="R2488" s="5" t="n">
        <v>2071.62</v>
      </c>
      <c r="S2488" s="2" t="n">
        <v>1</v>
      </c>
      <c r="T2488" s="3" t="inlineStr">
        <is>
          <t>CA42796IR</t>
        </is>
      </c>
      <c r="U2488" s="87" t="n">
        <v>45887</v>
      </c>
      <c r="V2488" s="3" t="inlineStr">
        <is>
          <t>28</t>
        </is>
      </c>
      <c r="W2488" s="87" t="n">
        <v>45887</v>
      </c>
      <c r="X2488" s="4" t="inlineStr">
        <is>
          <t>PHILIPPOS  CONSTANTINIDES
TRADING CO.LTD</t>
        </is>
      </c>
    </row>
    <row r="2489" ht="24" customHeight="1">
      <c r="A2489" s="2">
        <f>+D2489-S2489</f>
        <v/>
      </c>
      <c r="B2489" s="80" t="n">
        <v>4095</v>
      </c>
      <c r="C2489" s="122" t="n">
        <v>45873</v>
      </c>
      <c r="D2489" s="2" t="n">
        <v>1</v>
      </c>
      <c r="E2489" s="3" t="inlineStr">
        <is>
          <t>FUCILE SOVRAPPOSTO</t>
        </is>
      </c>
      <c r="F2489" s="3" t="inlineStr">
        <is>
          <t>36</t>
        </is>
      </c>
      <c r="G2489" s="3" t="inlineStr">
        <is>
          <t>CAESAR GUERINI</t>
        </is>
      </c>
      <c r="H2489" s="65" t="inlineStr">
        <is>
          <t>MAGNUS LIGHT 81</t>
        </is>
      </c>
      <c r="I2489" s="65" t="inlineStr">
        <is>
          <t>189953</t>
        </is>
      </c>
      <c r="J2489" s="65" t="inlineStr">
        <is>
          <t>N/D</t>
        </is>
      </c>
      <c r="K2489" s="65" t="inlineStr">
        <is>
          <t>N/D</t>
        </is>
      </c>
      <c r="L2489" s="127" t="inlineStr">
        <is>
          <t>FABBRICA DARMI CAESAR GUERINI SARL</t>
        </is>
      </c>
      <c r="M2489" s="5" t="n">
        <v>2031</v>
      </c>
      <c r="N2489" s="5" t="n"/>
      <c r="O2489" s="5">
        <f>+M2489+N2489</f>
        <v/>
      </c>
      <c r="P2489" s="4" t="n">
        <v>45712</v>
      </c>
      <c r="Q2489" s="87" t="n">
        <v>45877</v>
      </c>
      <c r="R2489" s="5" t="n">
        <v>2071.62</v>
      </c>
      <c r="S2489" s="2" t="n">
        <v>1</v>
      </c>
      <c r="T2489" s="3" t="inlineStr">
        <is>
          <t>CA42796IR</t>
        </is>
      </c>
      <c r="U2489" s="87" t="n">
        <v>45887</v>
      </c>
      <c r="V2489" s="3" t="inlineStr">
        <is>
          <t>28</t>
        </is>
      </c>
      <c r="W2489" s="87" t="n">
        <v>45887</v>
      </c>
      <c r="X2489" s="4" t="inlineStr">
        <is>
          <t>PHILIPPOS  CONSTANTINIDES
TRADING CO.LTD</t>
        </is>
      </c>
    </row>
    <row r="2490" ht="24" customHeight="1">
      <c r="A2490" s="2">
        <f>+D2490-S2490</f>
        <v/>
      </c>
      <c r="B2490" s="80" t="n">
        <v>4096</v>
      </c>
      <c r="C2490" s="122" t="n">
        <v>45873</v>
      </c>
      <c r="D2490" s="2" t="n">
        <v>1</v>
      </c>
      <c r="E2490" s="3" t="inlineStr">
        <is>
          <t>FUCILE SOVRAPPOSTO</t>
        </is>
      </c>
      <c r="F2490" s="3" t="inlineStr">
        <is>
          <t>36</t>
        </is>
      </c>
      <c r="G2490" s="3" t="inlineStr">
        <is>
          <t>CAESAR GUERINI</t>
        </is>
      </c>
      <c r="H2490" s="65" t="inlineStr">
        <is>
          <t>MAGNUS LIGHT 71</t>
        </is>
      </c>
      <c r="I2490" s="65" t="inlineStr">
        <is>
          <t>189954</t>
        </is>
      </c>
      <c r="J2490" s="65" t="inlineStr">
        <is>
          <t>N/D</t>
        </is>
      </c>
      <c r="K2490" s="65" t="inlineStr">
        <is>
          <t>N/D</t>
        </is>
      </c>
      <c r="L2490" s="127" t="inlineStr">
        <is>
          <t>FABBRICA DARMI CAESAR GUERINI SARL</t>
        </is>
      </c>
      <c r="M2490" s="5" t="n">
        <v>1914</v>
      </c>
      <c r="N2490" s="5" t="n"/>
      <c r="O2490" s="5">
        <f>+M2490+N2490</f>
        <v/>
      </c>
      <c r="P2490" s="4" t="n">
        <v>45712</v>
      </c>
      <c r="Q2490" s="87" t="n">
        <v>45877</v>
      </c>
      <c r="R2490" s="5" t="n">
        <v>2010</v>
      </c>
      <c r="S2490" s="2" t="n">
        <v>1</v>
      </c>
      <c r="T2490" s="3" t="inlineStr">
        <is>
          <t>CA04954OS</t>
        </is>
      </c>
      <c r="U2490" s="87" t="n">
        <v>45874</v>
      </c>
      <c r="V2490" s="3" t="inlineStr">
        <is>
          <t>25</t>
        </is>
      </c>
      <c r="W2490" s="4" t="n">
        <v>45874</v>
      </c>
      <c r="X2490" s="4" t="inlineStr">
        <is>
          <t>PHILIPPOS  CONSTANTINIDES
TRADING CO.LTD</t>
        </is>
      </c>
    </row>
    <row r="2491" ht="24" customHeight="1">
      <c r="A2491" s="2">
        <f>+D2491-S2491</f>
        <v/>
      </c>
      <c r="B2491" s="80" t="n">
        <v>4097</v>
      </c>
      <c r="C2491" s="122" t="n">
        <v>45873</v>
      </c>
      <c r="D2491" s="2" t="n">
        <v>1</v>
      </c>
      <c r="E2491" s="3" t="inlineStr">
        <is>
          <t>FUCILE SOVRAPPOSTO</t>
        </is>
      </c>
      <c r="F2491" s="3" t="inlineStr">
        <is>
          <t>36</t>
        </is>
      </c>
      <c r="G2491" s="3" t="inlineStr">
        <is>
          <t>CAESAR GUERINI</t>
        </is>
      </c>
      <c r="H2491" s="65" t="inlineStr">
        <is>
          <t>MAGNUS LIMITED 81</t>
        </is>
      </c>
      <c r="I2491" s="65" t="inlineStr">
        <is>
          <t>189777</t>
        </is>
      </c>
      <c r="J2491" s="65" t="inlineStr">
        <is>
          <t>N/D</t>
        </is>
      </c>
      <c r="K2491" s="65" t="inlineStr">
        <is>
          <t>N/D</t>
        </is>
      </c>
      <c r="L2491" s="127" t="inlineStr">
        <is>
          <t>FABBRICA DARMI CAESAR GUERINI SARL</t>
        </is>
      </c>
      <c r="M2491" s="5" t="n">
        <v>2031</v>
      </c>
      <c r="N2491" s="5" t="n"/>
      <c r="O2491" s="5">
        <f>+M2491+N2491</f>
        <v/>
      </c>
      <c r="P2491" s="4" t="n">
        <v>45712</v>
      </c>
      <c r="Q2491" s="87" t="n">
        <v>45877</v>
      </c>
      <c r="R2491" s="5" t="n">
        <v>2071.62</v>
      </c>
      <c r="S2491" s="2" t="n">
        <v>1</v>
      </c>
      <c r="T2491" s="3" t="inlineStr">
        <is>
          <t>CA42796IR</t>
        </is>
      </c>
      <c r="U2491" s="87" t="n">
        <v>45887</v>
      </c>
      <c r="V2491" s="3" t="inlineStr">
        <is>
          <t>28</t>
        </is>
      </c>
      <c r="W2491" s="87" t="n">
        <v>45887</v>
      </c>
      <c r="X2491" s="4" t="inlineStr">
        <is>
          <t>PHILIPPOS  CONSTANTINIDES
TRADING CO.LTD</t>
        </is>
      </c>
    </row>
    <row r="2492" ht="24" customHeight="1">
      <c r="A2492" s="2">
        <f>+D2492-S2492</f>
        <v/>
      </c>
      <c r="B2492" s="80" t="n">
        <v>4098</v>
      </c>
      <c r="C2492" s="122" t="n">
        <v>45873</v>
      </c>
      <c r="D2492" s="2" t="n">
        <v>1</v>
      </c>
      <c r="E2492" s="3" t="inlineStr">
        <is>
          <t>FUCILE SOVRAPPOSTO</t>
        </is>
      </c>
      <c r="F2492" s="3" t="inlineStr">
        <is>
          <t>36</t>
        </is>
      </c>
      <c r="G2492" s="3" t="inlineStr">
        <is>
          <t>CAESAR GUERINI</t>
        </is>
      </c>
      <c r="H2492" s="65" t="inlineStr">
        <is>
          <t>MAGNUS LIMITED 81</t>
        </is>
      </c>
      <c r="I2492" s="65" t="inlineStr">
        <is>
          <t>189778</t>
        </is>
      </c>
      <c r="J2492" s="65" t="inlineStr">
        <is>
          <t>N/D</t>
        </is>
      </c>
      <c r="K2492" s="65" t="inlineStr">
        <is>
          <t>N/D</t>
        </is>
      </c>
      <c r="L2492" s="127" t="inlineStr">
        <is>
          <t>FABBRICA DARMI CAESAR GUERINI SARL</t>
        </is>
      </c>
      <c r="M2492" s="5" t="n">
        <v>2031</v>
      </c>
      <c r="N2492" s="5" t="n"/>
      <c r="O2492" s="5">
        <f>+M2492+N2492</f>
        <v/>
      </c>
      <c r="P2492" s="4" t="n">
        <v>45712</v>
      </c>
      <c r="Q2492" s="87" t="n">
        <v>45877</v>
      </c>
      <c r="R2492" s="5" t="n">
        <v>2071.62</v>
      </c>
      <c r="S2492" s="2" t="n">
        <v>1</v>
      </c>
      <c r="T2492" s="3" t="inlineStr">
        <is>
          <t>CA42796IR</t>
        </is>
      </c>
      <c r="U2492" s="87" t="n">
        <v>45887</v>
      </c>
      <c r="V2492" s="3" t="inlineStr">
        <is>
          <t>28</t>
        </is>
      </c>
      <c r="W2492" s="87" t="n">
        <v>45887</v>
      </c>
      <c r="X2492" s="4" t="inlineStr">
        <is>
          <t>PHILIPPOS  CONSTANTINIDES
TRADING CO.LTD</t>
        </is>
      </c>
    </row>
    <row r="2493" ht="24" customHeight="1">
      <c r="A2493" s="2">
        <f>+D2493-S2493</f>
        <v/>
      </c>
      <c r="B2493" s="80" t="n">
        <v>4099</v>
      </c>
      <c r="C2493" s="122" t="n">
        <v>45873</v>
      </c>
      <c r="D2493" s="2" t="n">
        <v>1</v>
      </c>
      <c r="E2493" s="3" t="inlineStr">
        <is>
          <t>FUCILE SOVRAPPOSTO</t>
        </is>
      </c>
      <c r="F2493" s="3" t="inlineStr">
        <is>
          <t>36</t>
        </is>
      </c>
      <c r="G2493" s="3" t="inlineStr">
        <is>
          <t>CAESAR GUERINI</t>
        </is>
      </c>
      <c r="H2493" s="65" t="inlineStr">
        <is>
          <t>MAGNUS LIMITED 81</t>
        </is>
      </c>
      <c r="I2493" s="65" t="inlineStr">
        <is>
          <t>189779</t>
        </is>
      </c>
      <c r="J2493" s="65" t="inlineStr">
        <is>
          <t>N/D</t>
        </is>
      </c>
      <c r="K2493" s="65" t="inlineStr">
        <is>
          <t>N/D</t>
        </is>
      </c>
      <c r="L2493" s="127" t="inlineStr">
        <is>
          <t>FABBRICA DARMI CAESAR GUERINI SARL</t>
        </is>
      </c>
      <c r="M2493" s="5" t="n">
        <v>2031</v>
      </c>
      <c r="N2493" s="5" t="n"/>
      <c r="O2493" s="5">
        <f>+M2493+N2493</f>
        <v/>
      </c>
      <c r="P2493" s="4" t="n">
        <v>45712</v>
      </c>
      <c r="Q2493" s="87" t="n">
        <v>45877</v>
      </c>
      <c r="R2493" s="5" t="n">
        <v>2071.62</v>
      </c>
      <c r="S2493" s="2" t="n">
        <v>1</v>
      </c>
      <c r="T2493" s="3" t="inlineStr">
        <is>
          <t>CA42796IR</t>
        </is>
      </c>
      <c r="U2493" s="87" t="n">
        <v>45887</v>
      </c>
      <c r="V2493" s="3" t="inlineStr">
        <is>
          <t>28</t>
        </is>
      </c>
      <c r="W2493" s="87" t="n">
        <v>45887</v>
      </c>
      <c r="X2493" s="4" t="inlineStr">
        <is>
          <t>PHILIPPOS  CONSTANTINIDES
TRADING CO.LTD</t>
        </is>
      </c>
    </row>
    <row r="2494" ht="24" customHeight="1">
      <c r="A2494" s="2">
        <f>+D2494-S2494</f>
        <v/>
      </c>
      <c r="B2494" s="80" t="n">
        <v>4100</v>
      </c>
      <c r="C2494" s="122" t="n">
        <v>45873</v>
      </c>
      <c r="D2494" s="2" t="n">
        <v>1</v>
      </c>
      <c r="E2494" s="3" t="inlineStr">
        <is>
          <t>FUCILE SOVRAPPOSTO</t>
        </is>
      </c>
      <c r="F2494" s="3" t="inlineStr">
        <is>
          <t>36</t>
        </is>
      </c>
      <c r="G2494" s="3" t="inlineStr">
        <is>
          <t>CAESAR GUERINI</t>
        </is>
      </c>
      <c r="H2494" s="65" t="inlineStr">
        <is>
          <t>MAGNUS LIMITED 81</t>
        </is>
      </c>
      <c r="I2494" s="65" t="inlineStr">
        <is>
          <t>189780</t>
        </is>
      </c>
      <c r="J2494" s="65" t="inlineStr">
        <is>
          <t>N/D</t>
        </is>
      </c>
      <c r="K2494" s="65" t="inlineStr">
        <is>
          <t>N/D</t>
        </is>
      </c>
      <c r="L2494" s="127" t="inlineStr">
        <is>
          <t>FABBRICA DARMI CAESAR GUERINI SARL</t>
        </is>
      </c>
      <c r="M2494" s="5" t="n">
        <v>2031</v>
      </c>
      <c r="N2494" s="5" t="n"/>
      <c r="O2494" s="5">
        <f>+M2494+N2494</f>
        <v/>
      </c>
      <c r="P2494" s="4" t="n">
        <v>45712</v>
      </c>
      <c r="Q2494" s="87" t="n">
        <v>45877</v>
      </c>
      <c r="R2494" s="5" t="n">
        <v>2071.62</v>
      </c>
      <c r="S2494" s="2" t="n">
        <v>1</v>
      </c>
      <c r="T2494" s="3" t="inlineStr">
        <is>
          <t>CA42796IR</t>
        </is>
      </c>
      <c r="U2494" s="87" t="n">
        <v>45887</v>
      </c>
      <c r="V2494" s="3" t="inlineStr">
        <is>
          <t>28</t>
        </is>
      </c>
      <c r="W2494" s="87" t="n">
        <v>45887</v>
      </c>
      <c r="X2494" s="4" t="inlineStr">
        <is>
          <t>PHILIPPOS  CONSTANTINIDES
TRADING CO.LTD</t>
        </is>
      </c>
    </row>
    <row r="2495" ht="24" customHeight="1">
      <c r="A2495" s="2">
        <f>+D2495-S2495</f>
        <v/>
      </c>
      <c r="B2495" s="80" t="n">
        <v>4101</v>
      </c>
      <c r="C2495" s="122" t="n">
        <v>45873</v>
      </c>
      <c r="D2495" s="2" t="n">
        <v>1</v>
      </c>
      <c r="E2495" s="3" t="inlineStr">
        <is>
          <t>FUCILE SOVRAPPOSTO</t>
        </is>
      </c>
      <c r="F2495" s="3" t="inlineStr">
        <is>
          <t>36</t>
        </is>
      </c>
      <c r="G2495" s="3" t="inlineStr">
        <is>
          <t>CAESAR GUERINI</t>
        </is>
      </c>
      <c r="H2495" s="65" t="inlineStr">
        <is>
          <t>MAGNUS LIMITED 81</t>
        </is>
      </c>
      <c r="I2495" s="65" t="inlineStr">
        <is>
          <t>189781</t>
        </is>
      </c>
      <c r="J2495" s="65" t="inlineStr">
        <is>
          <t>N/D</t>
        </is>
      </c>
      <c r="K2495" s="65" t="inlineStr">
        <is>
          <t>N/D</t>
        </is>
      </c>
      <c r="L2495" s="127" t="inlineStr">
        <is>
          <t>FABBRICA DARMI CAESAR GUERINI SARL</t>
        </is>
      </c>
      <c r="M2495" s="5" t="n">
        <v>2031</v>
      </c>
      <c r="N2495" s="5" t="n"/>
      <c r="O2495" s="5">
        <f>+M2495+N2495</f>
        <v/>
      </c>
      <c r="P2495" s="4" t="n">
        <v>45712</v>
      </c>
      <c r="Q2495" s="87" t="n">
        <v>45877</v>
      </c>
      <c r="R2495" s="5" t="n">
        <v>2071.62</v>
      </c>
      <c r="S2495" s="2" t="n">
        <v>1</v>
      </c>
      <c r="T2495" s="3" t="inlineStr">
        <is>
          <t>CA42796IR</t>
        </is>
      </c>
      <c r="U2495" s="87" t="n">
        <v>45887</v>
      </c>
      <c r="V2495" s="3" t="inlineStr">
        <is>
          <t>28</t>
        </is>
      </c>
      <c r="W2495" s="87" t="n">
        <v>45887</v>
      </c>
      <c r="X2495" s="4" t="inlineStr">
        <is>
          <t>PHILIPPOS  CONSTANTINIDES
TRADING CO.LTD</t>
        </is>
      </c>
    </row>
    <row r="2496" ht="24" customHeight="1">
      <c r="A2496" s="2">
        <f>+D2496-S2496</f>
        <v/>
      </c>
      <c r="B2496" s="80" t="n">
        <v>4102</v>
      </c>
      <c r="C2496" s="122" t="n">
        <v>45873</v>
      </c>
      <c r="D2496" s="2" t="n">
        <v>1</v>
      </c>
      <c r="E2496" s="3" t="inlineStr">
        <is>
          <t>FUCILE SOVRAPPOSTO</t>
        </is>
      </c>
      <c r="F2496" s="3" t="inlineStr">
        <is>
          <t>12</t>
        </is>
      </c>
      <c r="G2496" s="3" t="inlineStr">
        <is>
          <t>CAESAR GUERINI</t>
        </is>
      </c>
      <c r="H2496" s="65" t="inlineStr">
        <is>
          <t>MAGNUS LIMITED 81</t>
        </is>
      </c>
      <c r="I2496" s="65" t="inlineStr">
        <is>
          <t>189828</t>
        </is>
      </c>
      <c r="J2496" s="65" t="inlineStr">
        <is>
          <t>N/D</t>
        </is>
      </c>
      <c r="K2496" s="65" t="inlineStr">
        <is>
          <t>N/D</t>
        </is>
      </c>
      <c r="L2496" s="127" t="inlineStr">
        <is>
          <t>FABBRICA DARMI CAESAR GUERINI SARL</t>
        </is>
      </c>
      <c r="M2496" s="5" t="n">
        <v>2075</v>
      </c>
      <c r="N2496" s="5" t="n"/>
      <c r="O2496" s="5">
        <f>+M2496+N2496</f>
        <v/>
      </c>
      <c r="P2496" s="4" t="n">
        <v>45712</v>
      </c>
      <c r="Q2496" s="87" t="n">
        <v>45877</v>
      </c>
      <c r="R2496" s="5" t="n">
        <v>2116.5</v>
      </c>
      <c r="S2496" s="2" t="n">
        <v>1</v>
      </c>
      <c r="T2496" s="3" t="inlineStr">
        <is>
          <t>CA42796IR</t>
        </is>
      </c>
      <c r="U2496" s="87" t="n">
        <v>45887</v>
      </c>
      <c r="V2496" s="3" t="inlineStr">
        <is>
          <t>28</t>
        </is>
      </c>
      <c r="W2496" s="87" t="n">
        <v>45887</v>
      </c>
      <c r="X2496" s="4" t="inlineStr">
        <is>
          <t>PHILIPPOS  CONSTANTINIDES
TRADING CO.LTD</t>
        </is>
      </c>
    </row>
    <row r="2497" ht="24" customHeight="1">
      <c r="A2497" s="2">
        <f>+D2497-S2497</f>
        <v/>
      </c>
      <c r="B2497" s="80" t="n">
        <v>4103</v>
      </c>
      <c r="C2497" s="122" t="n">
        <v>45873</v>
      </c>
      <c r="D2497" s="2" t="n">
        <v>1</v>
      </c>
      <c r="E2497" s="3" t="inlineStr">
        <is>
          <t>FUCILE SOVRAPPOSTO</t>
        </is>
      </c>
      <c r="F2497" s="3" t="inlineStr">
        <is>
          <t>12</t>
        </is>
      </c>
      <c r="G2497" s="3" t="inlineStr">
        <is>
          <t>CAESAR GUERINI</t>
        </is>
      </c>
      <c r="H2497" s="65" t="inlineStr">
        <is>
          <t>MAGNUS LIMITED 71</t>
        </is>
      </c>
      <c r="I2497" s="65" t="inlineStr">
        <is>
          <t>189822</t>
        </is>
      </c>
      <c r="J2497" s="65" t="inlineStr">
        <is>
          <t>N/D</t>
        </is>
      </c>
      <c r="K2497" s="65" t="inlineStr">
        <is>
          <t>N/D</t>
        </is>
      </c>
      <c r="L2497" s="127" t="inlineStr">
        <is>
          <t>FABBRICA DARMI CAESAR GUERINI SARL</t>
        </is>
      </c>
      <c r="M2497" s="5" t="n">
        <v>1823</v>
      </c>
      <c r="N2497" s="5" t="n"/>
      <c r="O2497" s="5">
        <f>+M2497+N2497</f>
        <v/>
      </c>
      <c r="P2497" s="4" t="n">
        <v>45712</v>
      </c>
      <c r="Q2497" s="87" t="n">
        <v>45877</v>
      </c>
      <c r="R2497" s="5" t="n">
        <v>1914</v>
      </c>
      <c r="S2497" s="2" t="n">
        <v>1</v>
      </c>
      <c r="T2497" s="3" t="inlineStr">
        <is>
          <t>CA04954OS</t>
        </is>
      </c>
      <c r="U2497" s="87" t="n">
        <v>45874</v>
      </c>
      <c r="V2497" s="3" t="inlineStr">
        <is>
          <t>25</t>
        </is>
      </c>
      <c r="W2497" s="4" t="n">
        <v>45874</v>
      </c>
      <c r="X2497" s="4" t="inlineStr">
        <is>
          <t>PHILIPPOS  CONSTANTINIDES
TRADING CO.LTD</t>
        </is>
      </c>
    </row>
    <row r="2498" ht="24" customHeight="1">
      <c r="A2498" s="2">
        <f>+D2498-S2498</f>
        <v/>
      </c>
      <c r="B2498" s="80" t="n">
        <v>4104</v>
      </c>
      <c r="C2498" s="122" t="n">
        <v>45873</v>
      </c>
      <c r="D2498" s="2" t="n">
        <v>1</v>
      </c>
      <c r="E2498" s="3" t="inlineStr">
        <is>
          <t>FUCILE SOVRAPPOSTO</t>
        </is>
      </c>
      <c r="F2498" s="3" t="inlineStr">
        <is>
          <t>36</t>
        </is>
      </c>
      <c r="G2498" s="3" t="inlineStr">
        <is>
          <t>CAESAR GUERINI</t>
        </is>
      </c>
      <c r="H2498" s="65" t="inlineStr">
        <is>
          <t>MAGNUS LIMITED 81</t>
        </is>
      </c>
      <c r="I2498" s="65" t="inlineStr">
        <is>
          <t>189955</t>
        </is>
      </c>
      <c r="J2498" s="65" t="inlineStr">
        <is>
          <t>N/D</t>
        </is>
      </c>
      <c r="K2498" s="65" t="inlineStr">
        <is>
          <t>N/D</t>
        </is>
      </c>
      <c r="L2498" s="127" t="inlineStr">
        <is>
          <t>FABBRICA DARMI CAESAR GUERINI SARL</t>
        </is>
      </c>
      <c r="M2498" s="5" t="n">
        <v>2702</v>
      </c>
      <c r="N2498" s="5" t="n"/>
      <c r="O2498" s="5">
        <f>+M2498+N2498</f>
        <v/>
      </c>
      <c r="P2498" s="4" t="n">
        <v>45712</v>
      </c>
      <c r="Q2498" s="87" t="n">
        <v>45877</v>
      </c>
      <c r="R2498" s="5" t="n">
        <v>2756.04</v>
      </c>
      <c r="S2498" s="2" t="n">
        <v>1</v>
      </c>
      <c r="T2498" s="3" t="inlineStr">
        <is>
          <t>CA42796IR</t>
        </is>
      </c>
      <c r="U2498" s="87" t="n">
        <v>45887</v>
      </c>
      <c r="V2498" s="3" t="inlineStr">
        <is>
          <t>28</t>
        </is>
      </c>
      <c r="W2498" s="87" t="n">
        <v>45887</v>
      </c>
      <c r="X2498" s="4" t="inlineStr">
        <is>
          <t>PHILIPPOS  CONSTANTINIDES
TRADING CO.LTD</t>
        </is>
      </c>
    </row>
    <row r="2499" ht="24" customHeight="1">
      <c r="A2499" s="2">
        <f>+D2499-S2499</f>
        <v/>
      </c>
      <c r="B2499" s="80" t="n">
        <v>4105</v>
      </c>
      <c r="C2499" s="122" t="n">
        <v>45873</v>
      </c>
      <c r="D2499" s="2" t="n">
        <v>1</v>
      </c>
      <c r="E2499" s="3" t="inlineStr">
        <is>
          <t>FUCILE SOVRAPPOSTO</t>
        </is>
      </c>
      <c r="F2499" s="3" t="inlineStr">
        <is>
          <t>36</t>
        </is>
      </c>
      <c r="G2499" s="3" t="inlineStr">
        <is>
          <t>CAESAR GUERINI</t>
        </is>
      </c>
      <c r="H2499" s="65" t="inlineStr">
        <is>
          <t>MAGNUS LIMITED 81</t>
        </is>
      </c>
      <c r="I2499" s="65" t="inlineStr">
        <is>
          <t>189956</t>
        </is>
      </c>
      <c r="J2499" s="65" t="inlineStr">
        <is>
          <t>N/D</t>
        </is>
      </c>
      <c r="K2499" s="65" t="inlineStr">
        <is>
          <t>N/D</t>
        </is>
      </c>
      <c r="L2499" s="127" t="inlineStr">
        <is>
          <t>FABBRICA DARMI CAESAR GUERINI SARL</t>
        </is>
      </c>
      <c r="M2499" s="5" t="n">
        <v>2702</v>
      </c>
      <c r="N2499" s="5" t="n"/>
      <c r="O2499" s="5">
        <f>+M2499+N2499</f>
        <v/>
      </c>
      <c r="P2499" s="4" t="n">
        <v>45712</v>
      </c>
      <c r="Q2499" s="87" t="n">
        <v>45877</v>
      </c>
      <c r="R2499" s="5" t="n">
        <v>2756.04</v>
      </c>
      <c r="S2499" s="2" t="n">
        <v>1</v>
      </c>
      <c r="T2499" s="3" t="inlineStr">
        <is>
          <t>CA42796IR</t>
        </is>
      </c>
      <c r="U2499" s="87" t="n">
        <v>45887</v>
      </c>
      <c r="V2499" s="3" t="inlineStr">
        <is>
          <t>28</t>
        </is>
      </c>
      <c r="W2499" s="87" t="n">
        <v>45887</v>
      </c>
      <c r="X2499" s="4" t="inlineStr">
        <is>
          <t>PHILIPPOS  CONSTANTINIDES
TRADING CO.LTD</t>
        </is>
      </c>
    </row>
    <row r="2500" ht="24" customHeight="1">
      <c r="A2500" s="2">
        <f>+D2500-S2500</f>
        <v/>
      </c>
      <c r="B2500" s="80" t="n">
        <v>4106</v>
      </c>
      <c r="C2500" s="122" t="n">
        <v>45873</v>
      </c>
      <c r="D2500" s="2" t="n">
        <v>1</v>
      </c>
      <c r="E2500" s="3" t="inlineStr">
        <is>
          <t>FUCILE SOVRAPPOSTO</t>
        </is>
      </c>
      <c r="F2500" s="3" t="inlineStr">
        <is>
          <t>36</t>
        </is>
      </c>
      <c r="G2500" s="3" t="inlineStr">
        <is>
          <t>CAESAR GUERINI</t>
        </is>
      </c>
      <c r="H2500" s="65" t="inlineStr">
        <is>
          <t>MAGNUS LIMITED 81</t>
        </is>
      </c>
      <c r="I2500" s="65" t="inlineStr">
        <is>
          <t>189957</t>
        </is>
      </c>
      <c r="J2500" s="65" t="inlineStr">
        <is>
          <t>N/D</t>
        </is>
      </c>
      <c r="K2500" s="65" t="inlineStr">
        <is>
          <t>N/D</t>
        </is>
      </c>
      <c r="L2500" s="127" t="inlineStr">
        <is>
          <t>FABBRICA DARMI CAESAR GUERINI SARL</t>
        </is>
      </c>
      <c r="M2500" s="5" t="n">
        <v>2702</v>
      </c>
      <c r="N2500" s="5" t="n"/>
      <c r="O2500" s="5">
        <f>+M2500+N2500</f>
        <v/>
      </c>
      <c r="P2500" s="4" t="n">
        <v>45712</v>
      </c>
      <c r="Q2500" s="87" t="n">
        <v>45877</v>
      </c>
      <c r="R2500" s="5" t="n">
        <v>2756.04</v>
      </c>
      <c r="S2500" s="2" t="n">
        <v>1</v>
      </c>
      <c r="T2500" s="3" t="inlineStr">
        <is>
          <t>CA42796IR</t>
        </is>
      </c>
      <c r="U2500" s="87" t="n">
        <v>45887</v>
      </c>
      <c r="V2500" s="3" t="inlineStr">
        <is>
          <t>28</t>
        </is>
      </c>
      <c r="W2500" s="87" t="n">
        <v>45887</v>
      </c>
      <c r="X2500" s="4" t="inlineStr">
        <is>
          <t>PHILIPPOS  CONSTANTINIDES
TRADING CO.LTD</t>
        </is>
      </c>
    </row>
    <row r="2501" ht="24" customHeight="1">
      <c r="A2501" s="2">
        <f>+D2501-S2501</f>
        <v/>
      </c>
      <c r="B2501" s="80" t="n">
        <v>4107</v>
      </c>
      <c r="C2501" s="122" t="n">
        <v>45873</v>
      </c>
      <c r="D2501" s="2" t="n">
        <v>1</v>
      </c>
      <c r="E2501" s="3" t="inlineStr">
        <is>
          <t>FUCILE SOVRAPPOSTO</t>
        </is>
      </c>
      <c r="F2501" s="3" t="inlineStr">
        <is>
          <t>36</t>
        </is>
      </c>
      <c r="G2501" s="3" t="inlineStr">
        <is>
          <t>CAESAR GUERINI</t>
        </is>
      </c>
      <c r="H2501" s="65" t="inlineStr">
        <is>
          <t>MAGNUS LIMITED 81</t>
        </is>
      </c>
      <c r="I2501" s="65" t="inlineStr">
        <is>
          <t>189958</t>
        </is>
      </c>
      <c r="J2501" s="65" t="inlineStr">
        <is>
          <t>N/D</t>
        </is>
      </c>
      <c r="K2501" s="65" t="inlineStr">
        <is>
          <t>N/D</t>
        </is>
      </c>
      <c r="L2501" s="127" t="inlineStr">
        <is>
          <t>FABBRICA DARMI CAESAR GUERINI SARL</t>
        </is>
      </c>
      <c r="M2501" s="5" t="n">
        <v>2702</v>
      </c>
      <c r="N2501" s="5" t="n"/>
      <c r="O2501" s="5">
        <f>+M2501+N2501</f>
        <v/>
      </c>
      <c r="P2501" s="4" t="n">
        <v>45712</v>
      </c>
      <c r="Q2501" s="87" t="n">
        <v>45877</v>
      </c>
      <c r="R2501" s="5" t="n">
        <v>2756.04</v>
      </c>
      <c r="S2501" s="2" t="n">
        <v>1</v>
      </c>
      <c r="T2501" s="3" t="inlineStr">
        <is>
          <t>CA42796IR</t>
        </is>
      </c>
      <c r="U2501" s="87" t="n">
        <v>45887</v>
      </c>
      <c r="V2501" s="3" t="inlineStr">
        <is>
          <t>28</t>
        </is>
      </c>
      <c r="W2501" s="87" t="n">
        <v>45887</v>
      </c>
      <c r="X2501" s="4" t="inlineStr">
        <is>
          <t>PHILIPPOS  CONSTANTINIDES
TRADING CO.LTD</t>
        </is>
      </c>
    </row>
    <row r="2502" ht="24" customHeight="1">
      <c r="A2502" s="2">
        <f>+D2502-S2502</f>
        <v/>
      </c>
      <c r="B2502" s="80" t="n">
        <v>4108</v>
      </c>
      <c r="C2502" s="122" t="n">
        <v>45873</v>
      </c>
      <c r="D2502" s="2" t="n">
        <v>1</v>
      </c>
      <c r="E2502" s="3" t="inlineStr">
        <is>
          <t>FUCILE SOVRAPPOSTO</t>
        </is>
      </c>
      <c r="F2502" s="3" t="inlineStr">
        <is>
          <t>36</t>
        </is>
      </c>
      <c r="G2502" s="3" t="inlineStr">
        <is>
          <t>CAESAR GUERINI</t>
        </is>
      </c>
      <c r="H2502" s="65" t="inlineStr">
        <is>
          <t>MAGNUS LIMITED 81</t>
        </is>
      </c>
      <c r="I2502" s="65" t="inlineStr">
        <is>
          <t>189959</t>
        </is>
      </c>
      <c r="J2502" s="65" t="inlineStr">
        <is>
          <t>N/D</t>
        </is>
      </c>
      <c r="K2502" s="65" t="inlineStr">
        <is>
          <t>N/D</t>
        </is>
      </c>
      <c r="L2502" s="127" t="inlineStr">
        <is>
          <t>FABBRICA DARMI CAESAR GUERINI SARL</t>
        </is>
      </c>
      <c r="M2502" s="5" t="n">
        <v>2702</v>
      </c>
      <c r="N2502" s="5" t="n"/>
      <c r="O2502" s="5">
        <f>+M2502+N2502</f>
        <v/>
      </c>
      <c r="P2502" s="4" t="n">
        <v>45712</v>
      </c>
      <c r="Q2502" s="87" t="n">
        <v>45877</v>
      </c>
      <c r="R2502" s="5" t="n">
        <v>2756.04</v>
      </c>
      <c r="S2502" s="2" t="n">
        <v>1</v>
      </c>
      <c r="T2502" s="3" t="inlineStr">
        <is>
          <t>CA42796IR</t>
        </is>
      </c>
      <c r="U2502" s="87" t="n">
        <v>45887</v>
      </c>
      <c r="V2502" s="3" t="inlineStr">
        <is>
          <t>28</t>
        </is>
      </c>
      <c r="W2502" s="87" t="n">
        <v>45887</v>
      </c>
      <c r="X2502" s="4" t="inlineStr">
        <is>
          <t>PHILIPPOS  CONSTANTINIDES
TRADING CO.LTD</t>
        </is>
      </c>
    </row>
    <row r="2503" ht="24" customHeight="1">
      <c r="A2503" s="2">
        <f>+D2503-S2503</f>
        <v/>
      </c>
      <c r="B2503" s="80" t="n">
        <v>4109</v>
      </c>
      <c r="C2503" s="122" t="n">
        <v>45873</v>
      </c>
      <c r="D2503" s="2" t="n">
        <v>1</v>
      </c>
      <c r="E2503" s="3" t="inlineStr">
        <is>
          <t>FUCILE SOVRAPPOSTO</t>
        </is>
      </c>
      <c r="F2503" s="3" t="inlineStr">
        <is>
          <t>12</t>
        </is>
      </c>
      <c r="G2503" s="3" t="inlineStr">
        <is>
          <t>CAESAR GUERINI</t>
        </is>
      </c>
      <c r="H2503" s="65" t="inlineStr">
        <is>
          <t>MAXUM</t>
        </is>
      </c>
      <c r="I2503" s="65" t="inlineStr">
        <is>
          <t>171679</t>
        </is>
      </c>
      <c r="J2503" s="65" t="inlineStr">
        <is>
          <t>N/D</t>
        </is>
      </c>
      <c r="K2503" s="65" t="inlineStr">
        <is>
          <t>N/D</t>
        </is>
      </c>
      <c r="L2503" s="127" t="inlineStr">
        <is>
          <t>FABBRICA DARMI CAESAR GUERINI SARL</t>
        </is>
      </c>
      <c r="M2503" s="5" t="n">
        <v>2343</v>
      </c>
      <c r="N2503" s="5" t="n"/>
      <c r="O2503" s="5">
        <f>+M2503+N2503</f>
        <v/>
      </c>
      <c r="P2503" s="4" t="n">
        <v>45712</v>
      </c>
      <c r="Q2503" s="87" t="n">
        <v>45877</v>
      </c>
      <c r="R2503" s="5" t="n">
        <v>2389.86</v>
      </c>
      <c r="S2503" s="2" t="n">
        <v>1</v>
      </c>
      <c r="T2503" s="3" t="inlineStr">
        <is>
          <t>CA42796IR</t>
        </is>
      </c>
      <c r="U2503" s="87" t="n">
        <v>46041</v>
      </c>
      <c r="V2503" s="3" t="inlineStr">
        <is>
          <t>2</t>
        </is>
      </c>
      <c r="W2503" s="108" t="n">
        <v>46041</v>
      </c>
      <c r="X2503" s="4" t="inlineStr">
        <is>
          <t>PHILIPPOS  CONSTANTINIDES
TRADING CO.LTD</t>
        </is>
      </c>
    </row>
    <row r="2504" ht="24" customHeight="1">
      <c r="A2504" s="2">
        <f>+D2504-S2504</f>
        <v/>
      </c>
      <c r="B2504" s="80" t="n">
        <v>4110</v>
      </c>
      <c r="C2504" s="122" t="n">
        <v>45873</v>
      </c>
      <c r="D2504" s="2" t="n">
        <v>1</v>
      </c>
      <c r="E2504" s="3" t="inlineStr">
        <is>
          <t>FUCILE SOVRAPPOSTO</t>
        </is>
      </c>
      <c r="F2504" s="3" t="inlineStr">
        <is>
          <t>20</t>
        </is>
      </c>
      <c r="G2504" s="3" t="inlineStr">
        <is>
          <t>CAESAR GUERINI</t>
        </is>
      </c>
      <c r="H2504" s="65" t="inlineStr">
        <is>
          <t>REVENANT C2C 71</t>
        </is>
      </c>
      <c r="I2504" s="65" t="inlineStr">
        <is>
          <t>189960</t>
        </is>
      </c>
      <c r="J2504" s="65" t="inlineStr">
        <is>
          <t>N/D</t>
        </is>
      </c>
      <c r="K2504" s="65" t="inlineStr">
        <is>
          <t>N/D</t>
        </is>
      </c>
      <c r="L2504" s="127" t="inlineStr">
        <is>
          <t>FABBRICA DARMI CAESAR GUERINI SARL</t>
        </is>
      </c>
      <c r="M2504" s="5" t="n">
        <v>5837</v>
      </c>
      <c r="N2504" s="5" t="n"/>
      <c r="O2504" s="5">
        <f>+M2504+N2504</f>
        <v/>
      </c>
      <c r="P2504" s="4" t="n">
        <v>45712</v>
      </c>
      <c r="Q2504" s="87" t="n">
        <v>45877</v>
      </c>
      <c r="R2504" s="5" t="n">
        <v>6129</v>
      </c>
      <c r="S2504" s="2" t="n">
        <v>1</v>
      </c>
      <c r="T2504" s="3" t="inlineStr">
        <is>
          <t>CA04954OS</t>
        </is>
      </c>
      <c r="U2504" s="87" t="n">
        <v>45874</v>
      </c>
      <c r="V2504" s="3" t="inlineStr">
        <is>
          <t>25</t>
        </is>
      </c>
      <c r="W2504" s="4" t="n">
        <v>45874</v>
      </c>
      <c r="X2504" s="4" t="inlineStr">
        <is>
          <t>PHILIPPOS  CONSTANTINIDES
TRADING CO.LTD</t>
        </is>
      </c>
    </row>
    <row r="2505" ht="24" customHeight="1">
      <c r="A2505" s="2">
        <f>+D2505-S2505</f>
        <v/>
      </c>
      <c r="B2505" s="80" t="n">
        <v>4111</v>
      </c>
      <c r="C2505" s="122" t="n">
        <v>45873</v>
      </c>
      <c r="D2505" s="2" t="n">
        <v>1</v>
      </c>
      <c r="E2505" s="3" t="inlineStr">
        <is>
          <t>FUCILE SOVRAPPOSTO</t>
        </is>
      </c>
      <c r="F2505" s="3" t="inlineStr">
        <is>
          <t>20</t>
        </is>
      </c>
      <c r="G2505" s="3" t="inlineStr">
        <is>
          <t>CAESAR GUERINI</t>
        </is>
      </c>
      <c r="H2505" s="65" t="inlineStr">
        <is>
          <t>REVENANT C2C 71</t>
        </is>
      </c>
      <c r="I2505" s="65" t="inlineStr">
        <is>
          <t>189961</t>
        </is>
      </c>
      <c r="J2505" s="65" t="inlineStr">
        <is>
          <t>N/D</t>
        </is>
      </c>
      <c r="K2505" s="65" t="inlineStr">
        <is>
          <t>N/D</t>
        </is>
      </c>
      <c r="L2505" s="127" t="inlineStr">
        <is>
          <t>FABBRICA DARMI CAESAR GUERINI SARL</t>
        </is>
      </c>
      <c r="M2505" s="5" t="n">
        <v>5837</v>
      </c>
      <c r="N2505" s="5" t="n"/>
      <c r="O2505" s="5">
        <f>+M2505+N2505</f>
        <v/>
      </c>
      <c r="P2505" s="4" t="n">
        <v>45712</v>
      </c>
      <c r="Q2505" s="87" t="n">
        <v>45877</v>
      </c>
      <c r="R2505" s="5" t="n">
        <v>5953.74</v>
      </c>
      <c r="S2505" s="2" t="n">
        <v>1</v>
      </c>
      <c r="T2505" s="3" t="inlineStr">
        <is>
          <t>CA42796IR</t>
        </is>
      </c>
      <c r="U2505" s="87" t="n">
        <v>46041</v>
      </c>
      <c r="V2505" s="3" t="inlineStr">
        <is>
          <t>2</t>
        </is>
      </c>
      <c r="W2505" s="108" t="n">
        <v>46041</v>
      </c>
      <c r="X2505" s="4" t="inlineStr">
        <is>
          <t>PHILIPPOS  CONSTANTINIDES
TRADING CO.LTD</t>
        </is>
      </c>
    </row>
    <row r="2506" ht="24" customHeight="1">
      <c r="A2506" s="2">
        <f>+D2506-S2506</f>
        <v/>
      </c>
      <c r="B2506" s="80" t="n">
        <v>4112</v>
      </c>
      <c r="C2506" s="122" t="n">
        <v>45873</v>
      </c>
      <c r="D2506" s="2" t="n">
        <v>1</v>
      </c>
      <c r="E2506" s="3" t="inlineStr">
        <is>
          <t>CANNA PER FUCILE SOVRAPPOSTO</t>
        </is>
      </c>
      <c r="F2506" s="3" t="inlineStr">
        <is>
          <t>28</t>
        </is>
      </c>
      <c r="G2506" s="3" t="inlineStr">
        <is>
          <t>CAESAR GUERINI</t>
        </is>
      </c>
      <c r="H2506" s="65" t="inlineStr">
        <is>
          <t>REVENANT C2C 71</t>
        </is>
      </c>
      <c r="I2506" s="65" t="inlineStr">
        <is>
          <t>N/D</t>
        </is>
      </c>
      <c r="J2506" s="65" t="inlineStr">
        <is>
          <t>17533</t>
        </is>
      </c>
      <c r="K2506" s="65" t="inlineStr">
        <is>
          <t>N/D</t>
        </is>
      </c>
      <c r="L2506" s="127" t="inlineStr">
        <is>
          <t>FABBRICA DARMI CAESAR GUERINI SARL</t>
        </is>
      </c>
      <c r="M2506" s="5" t="n">
        <v>873</v>
      </c>
      <c r="N2506" s="5" t="n"/>
      <c r="O2506" s="5">
        <f>+M2506+N2506</f>
        <v/>
      </c>
      <c r="P2506" s="4" t="n">
        <v>45712</v>
      </c>
      <c r="Q2506" s="87" t="n">
        <v>45877</v>
      </c>
      <c r="R2506" s="5" t="n">
        <v>917</v>
      </c>
      <c r="S2506" s="2" t="n">
        <v>1</v>
      </c>
      <c r="T2506" s="3" t="inlineStr">
        <is>
          <t>CA04954OS</t>
        </is>
      </c>
      <c r="U2506" s="87" t="n">
        <v>45874</v>
      </c>
      <c r="V2506" s="3" t="inlineStr">
        <is>
          <t>25</t>
        </is>
      </c>
      <c r="W2506" s="4" t="n">
        <v>45874</v>
      </c>
      <c r="X2506" s="4" t="inlineStr">
        <is>
          <t>PHILIPPOS  CONSTANTINIDES
TRADING CO.LTD</t>
        </is>
      </c>
    </row>
    <row r="2507" ht="24" customHeight="1">
      <c r="A2507" s="2">
        <f>+D2507-S2507</f>
        <v/>
      </c>
      <c r="B2507" s="80" t="n">
        <v>4113</v>
      </c>
      <c r="C2507" s="122" t="n">
        <v>45873</v>
      </c>
      <c r="D2507" s="2" t="n">
        <v>1</v>
      </c>
      <c r="E2507" s="3" t="inlineStr">
        <is>
          <t>CANNA PER FUCILE SOVRAPPOSTO</t>
        </is>
      </c>
      <c r="F2507" s="3" t="inlineStr">
        <is>
          <t>28</t>
        </is>
      </c>
      <c r="G2507" s="3" t="inlineStr">
        <is>
          <t>CAESAR GUERINI</t>
        </is>
      </c>
      <c r="H2507" s="65" t="inlineStr">
        <is>
          <t>REVENANT C2C 71</t>
        </is>
      </c>
      <c r="I2507" s="65" t="inlineStr">
        <is>
          <t>N/D</t>
        </is>
      </c>
      <c r="J2507" s="65" t="inlineStr">
        <is>
          <t>17534</t>
        </is>
      </c>
      <c r="K2507" s="65" t="inlineStr">
        <is>
          <t>N/D</t>
        </is>
      </c>
      <c r="L2507" s="127" t="inlineStr">
        <is>
          <t>FABBRICA DARMI CAESAR GUERINI SARL</t>
        </is>
      </c>
      <c r="M2507" s="5" t="n">
        <v>873</v>
      </c>
      <c r="N2507" s="5" t="n"/>
      <c r="O2507" s="5">
        <f>+M2507+N2507</f>
        <v/>
      </c>
      <c r="P2507" s="4" t="n">
        <v>45712</v>
      </c>
      <c r="Q2507" s="87" t="n">
        <v>45877</v>
      </c>
      <c r="R2507" s="5" t="n">
        <v>890.46</v>
      </c>
      <c r="S2507" s="2" t="n">
        <v>1</v>
      </c>
      <c r="T2507" s="3" t="inlineStr">
        <is>
          <t>CA42796IR</t>
        </is>
      </c>
      <c r="U2507" s="87" t="n">
        <v>46041</v>
      </c>
      <c r="V2507" s="3" t="inlineStr">
        <is>
          <t>2</t>
        </is>
      </c>
      <c r="W2507" s="108" t="n">
        <v>46041</v>
      </c>
      <c r="X2507" s="4" t="inlineStr">
        <is>
          <t>PHILIPPOS  CONSTANTINIDES
TRADING CO.LTD</t>
        </is>
      </c>
    </row>
    <row r="2508" ht="24" customHeight="1">
      <c r="A2508" s="2">
        <f>+D2508-S2508</f>
        <v/>
      </c>
      <c r="B2508" s="80" t="n">
        <v>4114</v>
      </c>
      <c r="C2508" s="122" t="n">
        <v>45873</v>
      </c>
      <c r="D2508" s="2" t="n">
        <v>1</v>
      </c>
      <c r="E2508" s="3" t="inlineStr">
        <is>
          <t>FUCILE SOVRAPPOSTO</t>
        </is>
      </c>
      <c r="F2508" s="3" t="inlineStr">
        <is>
          <t>20</t>
        </is>
      </c>
      <c r="G2508" s="3" t="inlineStr">
        <is>
          <t>CAESAR GUERINI</t>
        </is>
      </c>
      <c r="H2508" s="65" t="inlineStr">
        <is>
          <t>EVO LIGHT C2C 66</t>
        </is>
      </c>
      <c r="I2508" s="65" t="inlineStr">
        <is>
          <t>189883</t>
        </is>
      </c>
      <c r="J2508" s="65" t="inlineStr">
        <is>
          <t>N/D</t>
        </is>
      </c>
      <c r="K2508" s="65" t="inlineStr">
        <is>
          <t>N/D</t>
        </is>
      </c>
      <c r="L2508" s="127" t="inlineStr">
        <is>
          <t>FABBRICA DARMI CAESAR GUERINI SARL</t>
        </is>
      </c>
      <c r="M2508" s="5" t="n">
        <v>2464</v>
      </c>
      <c r="N2508" s="5" t="n"/>
      <c r="O2508" s="5">
        <f>+M2508+N2508</f>
        <v/>
      </c>
      <c r="P2508" s="4" t="n">
        <v>45712</v>
      </c>
      <c r="Q2508" s="87" t="n">
        <v>45877</v>
      </c>
      <c r="R2508" s="5" t="n">
        <v>2587</v>
      </c>
      <c r="S2508" s="2" t="n">
        <v>1</v>
      </c>
      <c r="T2508" s="3" t="inlineStr">
        <is>
          <t>CA04954OS</t>
        </is>
      </c>
      <c r="U2508" s="87" t="n">
        <v>45874</v>
      </c>
      <c r="V2508" s="3" t="inlineStr">
        <is>
          <t>25</t>
        </is>
      </c>
      <c r="W2508" s="4" t="n">
        <v>45874</v>
      </c>
      <c r="X2508" s="4" t="inlineStr">
        <is>
          <t>PHILIPPOS  CONSTANTINIDES
TRADING CO.LTD</t>
        </is>
      </c>
    </row>
    <row r="2509" ht="24" customHeight="1">
      <c r="A2509" s="2">
        <f>+D2509-S2509</f>
        <v/>
      </c>
      <c r="B2509" s="80" t="n">
        <v>4115</v>
      </c>
      <c r="C2509" s="122" t="n">
        <v>45873</v>
      </c>
      <c r="D2509" s="2" t="n">
        <v>1</v>
      </c>
      <c r="E2509" s="3" t="inlineStr">
        <is>
          <t>CANNA PER FUCILE SOVRAPPOSTO</t>
        </is>
      </c>
      <c r="F2509" s="3" t="inlineStr">
        <is>
          <t>28</t>
        </is>
      </c>
      <c r="G2509" s="3" t="inlineStr">
        <is>
          <t>CAESAR GUERINI</t>
        </is>
      </c>
      <c r="H2509" s="65" t="inlineStr">
        <is>
          <t>EVO LIGHT C2C 66</t>
        </is>
      </c>
      <c r="I2509" s="65" t="inlineStr">
        <is>
          <t>N/D</t>
        </is>
      </c>
      <c r="J2509" s="65" t="inlineStr">
        <is>
          <t>17520</t>
        </is>
      </c>
      <c r="K2509" s="65" t="inlineStr">
        <is>
          <t>N/D</t>
        </is>
      </c>
      <c r="L2509" s="127" t="inlineStr">
        <is>
          <t>FABBRICA DARMI CAESAR GUERINI SARL</t>
        </is>
      </c>
      <c r="M2509" s="5" t="n">
        <v>994</v>
      </c>
      <c r="N2509" s="5" t="n"/>
      <c r="O2509" s="5">
        <f>+M2509+N2509</f>
        <v/>
      </c>
      <c r="P2509" s="4" t="n">
        <v>45712</v>
      </c>
      <c r="Q2509" s="87" t="n">
        <v>45877</v>
      </c>
      <c r="R2509" s="5" t="n">
        <v>1044</v>
      </c>
      <c r="S2509" s="2" t="n">
        <v>1</v>
      </c>
      <c r="T2509" s="3" t="inlineStr">
        <is>
          <t>CA04954OS</t>
        </is>
      </c>
      <c r="U2509" s="87" t="n">
        <v>45874</v>
      </c>
      <c r="V2509" s="3" t="inlineStr">
        <is>
          <t>25</t>
        </is>
      </c>
      <c r="W2509" s="4" t="n">
        <v>45874</v>
      </c>
      <c r="X2509" s="4" t="inlineStr">
        <is>
          <t>PHILIPPOS  CONSTANTINIDES
TRADING CO.LTD</t>
        </is>
      </c>
    </row>
    <row r="2510" ht="24" customHeight="1">
      <c r="A2510" s="2">
        <f>+D2510-S2510</f>
        <v/>
      </c>
      <c r="B2510" s="80" t="n"/>
      <c r="C2510" s="122" t="n">
        <v>45873</v>
      </c>
      <c r="D2510" s="2" t="n">
        <v>4</v>
      </c>
      <c r="E2510" s="3" t="inlineStr">
        <is>
          <t>ACCESSORI</t>
        </is>
      </c>
      <c r="F2510" s="3" t="inlineStr">
        <is>
          <t>N/D</t>
        </is>
      </c>
      <c r="G2510" s="3" t="inlineStr">
        <is>
          <t>CAESAR GUERINI</t>
        </is>
      </c>
      <c r="H2510" s="65" t="inlineStr">
        <is>
          <t>DISPLAY MAT</t>
        </is>
      </c>
      <c r="I2510" s="65" t="inlineStr">
        <is>
          <t>N/D</t>
        </is>
      </c>
      <c r="J2510" s="65" t="inlineStr">
        <is>
          <t>N/D</t>
        </is>
      </c>
      <c r="K2510" s="65" t="inlineStr">
        <is>
          <t>N/D</t>
        </is>
      </c>
      <c r="L2510" s="127" t="inlineStr">
        <is>
          <t>FABBRICA DARMI CAESAR GUERINI SARL</t>
        </is>
      </c>
      <c r="M2510" s="5" t="n">
        <v>60</v>
      </c>
      <c r="N2510" s="5" t="n"/>
      <c r="O2510" s="5">
        <f>+M2510+N2510</f>
        <v/>
      </c>
      <c r="P2510" s="4" t="n">
        <v>45712</v>
      </c>
      <c r="Q2510" s="87" t="n">
        <v>45877</v>
      </c>
      <c r="R2510" s="5" t="n"/>
      <c r="S2510" s="2" t="n"/>
      <c r="T2510" s="3" t="n"/>
      <c r="U2510" s="87" t="n"/>
      <c r="V2510" s="3" t="n"/>
      <c r="W2510" s="108" t="n"/>
      <c r="X2510" s="4" t="n"/>
    </row>
    <row r="2511" ht="24" customHeight="1">
      <c r="A2511" s="2">
        <f>+D2511-S2511</f>
        <v/>
      </c>
      <c r="B2511" s="80" t="n"/>
      <c r="C2511" s="122" t="n">
        <v>45873</v>
      </c>
      <c r="D2511" s="2" t="n">
        <v>1</v>
      </c>
      <c r="E2511" s="3" t="inlineStr">
        <is>
          <t>ACCESSORI</t>
        </is>
      </c>
      <c r="F2511" s="3" t="inlineStr">
        <is>
          <t>N/D</t>
        </is>
      </c>
      <c r="G2511" s="3" t="inlineStr">
        <is>
          <t>CAESAR GUERINI</t>
        </is>
      </c>
      <c r="H2511" s="65" t="inlineStr">
        <is>
          <t>T-SHIRT BIANCA M VENI VIDI VICI</t>
        </is>
      </c>
      <c r="I2511" s="65" t="inlineStr">
        <is>
          <t>N/D</t>
        </is>
      </c>
      <c r="J2511" s="65" t="inlineStr">
        <is>
          <t>N/D</t>
        </is>
      </c>
      <c r="K2511" s="65" t="inlineStr">
        <is>
          <t>N/D</t>
        </is>
      </c>
      <c r="L2511" s="127" t="inlineStr">
        <is>
          <t>FABBRICA DARMI CAESAR GUERINI SARL</t>
        </is>
      </c>
      <c r="M2511" s="5" t="n">
        <v>14.9</v>
      </c>
      <c r="N2511" s="5" t="n"/>
      <c r="O2511" s="5">
        <f>+M2511+N2511</f>
        <v/>
      </c>
      <c r="P2511" s="4" t="n">
        <v>45712</v>
      </c>
      <c r="Q2511" s="87" t="n">
        <v>45877</v>
      </c>
      <c r="R2511" s="5" t="n"/>
      <c r="S2511" s="2" t="n"/>
      <c r="T2511" s="3" t="n"/>
      <c r="U2511" s="87" t="n"/>
      <c r="V2511" s="3" t="n"/>
      <c r="W2511" s="108" t="n"/>
      <c r="X2511" s="4" t="n"/>
    </row>
    <row r="2512" ht="24" customHeight="1">
      <c r="A2512" s="2">
        <f>+D2512-S2512</f>
        <v/>
      </c>
      <c r="B2512" s="80" t="n"/>
      <c r="C2512" s="122" t="n">
        <v>45873</v>
      </c>
      <c r="D2512" s="2" t="n">
        <v>3</v>
      </c>
      <c r="E2512" s="3" t="inlineStr">
        <is>
          <t>ACCESSORI</t>
        </is>
      </c>
      <c r="F2512" s="3" t="inlineStr">
        <is>
          <t>N/D</t>
        </is>
      </c>
      <c r="G2512" s="3" t="inlineStr">
        <is>
          <t>CAESAR GUERINI</t>
        </is>
      </c>
      <c r="H2512" s="65" t="inlineStr">
        <is>
          <t>T-SHIRT BIANCA L VENI VIDI VICI</t>
        </is>
      </c>
      <c r="I2512" s="65" t="inlineStr">
        <is>
          <t>N/D</t>
        </is>
      </c>
      <c r="J2512" s="65" t="inlineStr">
        <is>
          <t>N/D</t>
        </is>
      </c>
      <c r="K2512" s="65" t="inlineStr">
        <is>
          <t>N/D</t>
        </is>
      </c>
      <c r="L2512" s="127" t="inlineStr">
        <is>
          <t>FABBRICA DARMI CAESAR GUERINI SARL</t>
        </is>
      </c>
      <c r="M2512" s="5" t="n">
        <v>44.7</v>
      </c>
      <c r="N2512" s="5" t="n"/>
      <c r="O2512" s="5">
        <f>+M2512+N2512</f>
        <v/>
      </c>
      <c r="P2512" s="4" t="n">
        <v>45712</v>
      </c>
      <c r="Q2512" s="87" t="n">
        <v>45877</v>
      </c>
      <c r="R2512" s="5" t="n"/>
      <c r="S2512" s="2" t="n"/>
      <c r="T2512" s="3" t="n"/>
      <c r="U2512" s="87" t="n"/>
      <c r="V2512" s="3" t="n"/>
      <c r="W2512" s="108" t="n"/>
      <c r="X2512" s="4" t="n"/>
    </row>
    <row r="2513" ht="24" customHeight="1">
      <c r="A2513" s="2">
        <f>+D2513-S2513</f>
        <v/>
      </c>
      <c r="B2513" s="80" t="n"/>
      <c r="C2513" s="122" t="n">
        <v>45873</v>
      </c>
      <c r="D2513" s="2" t="n">
        <v>3</v>
      </c>
      <c r="E2513" s="3" t="inlineStr">
        <is>
          <t>ACCESSORI</t>
        </is>
      </c>
      <c r="F2513" s="3" t="inlineStr">
        <is>
          <t>N/D</t>
        </is>
      </c>
      <c r="G2513" s="3" t="inlineStr">
        <is>
          <t>CAESAR GUERINI</t>
        </is>
      </c>
      <c r="H2513" s="65" t="inlineStr">
        <is>
          <t>T-SHIRT BIANCA XL VENI VIDI VICI</t>
        </is>
      </c>
      <c r="I2513" s="65" t="inlineStr">
        <is>
          <t>N/D</t>
        </is>
      </c>
      <c r="J2513" s="65" t="inlineStr">
        <is>
          <t>N/D</t>
        </is>
      </c>
      <c r="K2513" s="65" t="inlineStr">
        <is>
          <t>N/D</t>
        </is>
      </c>
      <c r="L2513" s="127" t="inlineStr">
        <is>
          <t>FABBRICA DARMI CAESAR GUERINI SARL</t>
        </is>
      </c>
      <c r="M2513" s="5" t="n">
        <v>44.7</v>
      </c>
      <c r="N2513" s="5" t="n"/>
      <c r="O2513" s="5">
        <f>+M2513+N2513</f>
        <v/>
      </c>
      <c r="P2513" s="4" t="n">
        <v>45712</v>
      </c>
      <c r="Q2513" s="87" t="n">
        <v>45877</v>
      </c>
      <c r="R2513" s="5" t="n"/>
      <c r="S2513" s="2" t="n"/>
      <c r="T2513" s="3" t="n"/>
      <c r="U2513" s="87" t="n"/>
      <c r="V2513" s="3" t="n"/>
      <c r="W2513" s="108" t="n"/>
      <c r="X2513" s="4" t="n"/>
    </row>
    <row r="2514" ht="24" customHeight="1">
      <c r="A2514" s="2">
        <f>+D2514-S2514</f>
        <v/>
      </c>
      <c r="B2514" s="80" t="n"/>
      <c r="C2514" s="122" t="n">
        <v>45873</v>
      </c>
      <c r="D2514" s="2" t="n">
        <v>2</v>
      </c>
      <c r="E2514" s="3" t="inlineStr">
        <is>
          <t>ACCESSORI</t>
        </is>
      </c>
      <c r="F2514" s="3" t="inlineStr">
        <is>
          <t>N/D</t>
        </is>
      </c>
      <c r="G2514" s="3" t="inlineStr">
        <is>
          <t>CAESAR GUERINI</t>
        </is>
      </c>
      <c r="H2514" s="65" t="inlineStr">
        <is>
          <t>T-SHIRT BIANCA 2XL VENI VIDI VICI</t>
        </is>
      </c>
      <c r="I2514" s="65" t="inlineStr">
        <is>
          <t>N/D</t>
        </is>
      </c>
      <c r="J2514" s="65" t="inlineStr">
        <is>
          <t>N/D</t>
        </is>
      </c>
      <c r="K2514" s="65" t="inlineStr">
        <is>
          <t>N/D</t>
        </is>
      </c>
      <c r="L2514" s="127" t="inlineStr">
        <is>
          <t>FABBRICA DARMI CAESAR GUERINI SARL</t>
        </is>
      </c>
      <c r="M2514" s="5" t="n">
        <v>29.8</v>
      </c>
      <c r="N2514" s="5" t="n"/>
      <c r="O2514" s="5">
        <f>+M2514+N2514</f>
        <v/>
      </c>
      <c r="P2514" s="4" t="n">
        <v>45712</v>
      </c>
      <c r="Q2514" s="87" t="n">
        <v>45877</v>
      </c>
      <c r="R2514" s="5" t="n"/>
      <c r="S2514" s="2" t="n"/>
      <c r="T2514" s="3" t="n"/>
      <c r="U2514" s="87" t="n"/>
      <c r="V2514" s="3" t="n"/>
      <c r="W2514" s="108" t="n"/>
      <c r="X2514" s="4" t="n"/>
    </row>
    <row r="2515" ht="24" customHeight="1">
      <c r="A2515" s="2">
        <f>+D2515-S2515</f>
        <v/>
      </c>
      <c r="B2515" s="80" t="n"/>
      <c r="C2515" s="122" t="n">
        <v>45873</v>
      </c>
      <c r="D2515" s="2" t="n">
        <v>1</v>
      </c>
      <c r="E2515" s="3" t="inlineStr">
        <is>
          <t>ACCESSORI</t>
        </is>
      </c>
      <c r="F2515" s="3" t="inlineStr">
        <is>
          <t>N/D</t>
        </is>
      </c>
      <c r="G2515" s="3" t="inlineStr">
        <is>
          <t>CAESAR GUERINI</t>
        </is>
      </c>
      <c r="H2515" s="65" t="inlineStr">
        <is>
          <t>T-SHIRT NERA M VENI VIDI VICI</t>
        </is>
      </c>
      <c r="I2515" s="65" t="inlineStr">
        <is>
          <t>N/D</t>
        </is>
      </c>
      <c r="J2515" s="65" t="inlineStr">
        <is>
          <t>N/D</t>
        </is>
      </c>
      <c r="K2515" s="65" t="inlineStr">
        <is>
          <t>N/D</t>
        </is>
      </c>
      <c r="L2515" s="127" t="inlineStr">
        <is>
          <t>FABBRICA DARMI CAESAR GUERINI SARL</t>
        </is>
      </c>
      <c r="M2515" s="5" t="n">
        <v>14.9</v>
      </c>
      <c r="N2515" s="5" t="n"/>
      <c r="O2515" s="5">
        <f>+M2515+N2515</f>
        <v/>
      </c>
      <c r="P2515" s="4" t="n">
        <v>45712</v>
      </c>
      <c r="Q2515" s="87" t="n">
        <v>45877</v>
      </c>
      <c r="R2515" s="5" t="n"/>
      <c r="S2515" s="2" t="n"/>
      <c r="T2515" s="3" t="n"/>
      <c r="U2515" s="87" t="n"/>
      <c r="V2515" s="3" t="n"/>
      <c r="W2515" s="108" t="n"/>
      <c r="X2515" s="4" t="n"/>
    </row>
    <row r="2516" ht="24" customHeight="1">
      <c r="A2516" s="2">
        <f>+D2516-S2516</f>
        <v/>
      </c>
      <c r="B2516" s="80" t="n"/>
      <c r="C2516" s="122" t="n">
        <v>45873</v>
      </c>
      <c r="D2516" s="2" t="n">
        <v>1</v>
      </c>
      <c r="E2516" s="3" t="inlineStr">
        <is>
          <t>ACCESSORI</t>
        </is>
      </c>
      <c r="F2516" s="3" t="inlineStr">
        <is>
          <t>N/D</t>
        </is>
      </c>
      <c r="G2516" s="3" t="inlineStr">
        <is>
          <t>CAESAR GUERINI</t>
        </is>
      </c>
      <c r="H2516" s="65" t="inlineStr">
        <is>
          <t>T-SHIRT NERA L VENI VIDI VICI</t>
        </is>
      </c>
      <c r="I2516" s="65" t="inlineStr">
        <is>
          <t>N/D</t>
        </is>
      </c>
      <c r="J2516" s="65" t="inlineStr">
        <is>
          <t>N/D</t>
        </is>
      </c>
      <c r="K2516" s="65" t="inlineStr">
        <is>
          <t>N/D</t>
        </is>
      </c>
      <c r="L2516" s="127" t="inlineStr">
        <is>
          <t>FABBRICA DARMI CAESAR GUERINI SARL</t>
        </is>
      </c>
      <c r="M2516" s="5" t="n">
        <v>44.7</v>
      </c>
      <c r="N2516" s="5" t="n"/>
      <c r="O2516" s="5">
        <f>+M2516+N2516</f>
        <v/>
      </c>
      <c r="P2516" s="4" t="n">
        <v>45712</v>
      </c>
      <c r="Q2516" s="87" t="n">
        <v>45877</v>
      </c>
      <c r="R2516" s="5" t="n"/>
      <c r="S2516" s="2" t="n"/>
      <c r="T2516" s="3" t="n"/>
      <c r="U2516" s="87" t="n"/>
      <c r="V2516" s="3" t="n"/>
      <c r="W2516" s="108" t="n"/>
      <c r="X2516" s="4" t="n"/>
    </row>
    <row r="2517" ht="24" customHeight="1">
      <c r="A2517" s="2">
        <f>+D2517-S2517</f>
        <v/>
      </c>
      <c r="B2517" s="80" t="n"/>
      <c r="C2517" s="122" t="n">
        <v>45873</v>
      </c>
      <c r="D2517" s="2" t="n">
        <v>3</v>
      </c>
      <c r="E2517" s="3" t="inlineStr">
        <is>
          <t>ACCESSORI</t>
        </is>
      </c>
      <c r="F2517" s="3" t="inlineStr">
        <is>
          <t>N/D</t>
        </is>
      </c>
      <c r="G2517" s="3" t="inlineStr">
        <is>
          <t>CAESAR GUERINI</t>
        </is>
      </c>
      <c r="H2517" s="65" t="inlineStr">
        <is>
          <t>T-SHIRT NERA XL VENI VIDI VICI</t>
        </is>
      </c>
      <c r="I2517" s="65" t="inlineStr">
        <is>
          <t>N/D</t>
        </is>
      </c>
      <c r="J2517" s="65" t="inlineStr">
        <is>
          <t>N/D</t>
        </is>
      </c>
      <c r="K2517" s="65" t="inlineStr">
        <is>
          <t>N/D</t>
        </is>
      </c>
      <c r="L2517" s="127" t="inlineStr">
        <is>
          <t>FABBRICA DARMI CAESAR GUERINI SARL</t>
        </is>
      </c>
      <c r="M2517" s="5" t="n">
        <v>44.7</v>
      </c>
      <c r="N2517" s="5" t="n"/>
      <c r="O2517" s="5">
        <f>+M2517+N2517</f>
        <v/>
      </c>
      <c r="P2517" s="4" t="n">
        <v>45712</v>
      </c>
      <c r="Q2517" s="87" t="n">
        <v>45877</v>
      </c>
      <c r="R2517" s="5" t="n"/>
      <c r="S2517" s="2" t="n"/>
      <c r="T2517" s="3" t="n"/>
      <c r="U2517" s="87" t="n"/>
      <c r="V2517" s="3" t="n"/>
      <c r="W2517" s="108" t="n"/>
      <c r="X2517" s="4" t="n"/>
    </row>
    <row r="2518" ht="24" customHeight="1">
      <c r="A2518" s="2">
        <f>+D2518-S2518</f>
        <v/>
      </c>
      <c r="B2518" s="80" t="n"/>
      <c r="C2518" s="122" t="n">
        <v>45873</v>
      </c>
      <c r="D2518" s="2" t="n">
        <v>2</v>
      </c>
      <c r="E2518" s="3" t="inlineStr">
        <is>
          <t>ACCESSORI</t>
        </is>
      </c>
      <c r="F2518" s="3" t="inlineStr">
        <is>
          <t>N/D</t>
        </is>
      </c>
      <c r="G2518" s="3" t="inlineStr">
        <is>
          <t>CAESAR GUERINI</t>
        </is>
      </c>
      <c r="H2518" s="65" t="inlineStr">
        <is>
          <t>T-SHIRT NERA 2XL VENI VIDI VICI</t>
        </is>
      </c>
      <c r="I2518" s="65" t="inlineStr">
        <is>
          <t>N/D</t>
        </is>
      </c>
      <c r="J2518" s="65" t="inlineStr">
        <is>
          <t>N/D</t>
        </is>
      </c>
      <c r="K2518" s="65" t="inlineStr">
        <is>
          <t>N/D</t>
        </is>
      </c>
      <c r="L2518" s="127" t="inlineStr">
        <is>
          <t>FABBRICA DARMI CAESAR GUERINI SARL</t>
        </is>
      </c>
      <c r="M2518" s="5" t="n">
        <v>29.8</v>
      </c>
      <c r="N2518" s="5" t="n"/>
      <c r="O2518" s="5">
        <f>+M2518+N2518</f>
        <v/>
      </c>
      <c r="P2518" s="4" t="n">
        <v>45712</v>
      </c>
      <c r="Q2518" s="87" t="n">
        <v>45877</v>
      </c>
      <c r="R2518" s="5" t="n"/>
      <c r="S2518" s="2" t="n"/>
      <c r="T2518" s="3" t="n"/>
      <c r="U2518" s="87" t="n"/>
      <c r="V2518" s="3" t="n"/>
      <c r="W2518" s="108" t="n"/>
      <c r="X2518" s="4" t="n"/>
    </row>
    <row r="2519" ht="24" customHeight="1">
      <c r="A2519" s="2">
        <f>+D2519-S2519</f>
        <v/>
      </c>
      <c r="B2519" s="80" t="n"/>
      <c r="C2519" s="122" t="n">
        <v>45873</v>
      </c>
      <c r="D2519" s="2" t="n">
        <v>5</v>
      </c>
      <c r="E2519" s="3" t="inlineStr">
        <is>
          <t>ACCESSORI</t>
        </is>
      </c>
      <c r="F2519" s="3" t="inlineStr">
        <is>
          <t>N/D</t>
        </is>
      </c>
      <c r="G2519" s="3" t="inlineStr">
        <is>
          <t>CAESAR GUERINI</t>
        </is>
      </c>
      <c r="H2519" s="65" t="inlineStr">
        <is>
          <t>TASCA PORTA CATUCCENERA</t>
        </is>
      </c>
      <c r="I2519" s="65" t="inlineStr">
        <is>
          <t>N/D</t>
        </is>
      </c>
      <c r="J2519" s="65" t="inlineStr">
        <is>
          <t>N/D</t>
        </is>
      </c>
      <c r="K2519" s="65" t="inlineStr">
        <is>
          <t>N/D</t>
        </is>
      </c>
      <c r="L2519" s="127" t="inlineStr">
        <is>
          <t>FABBRICA DARMI CAESAR GUERINI SARL</t>
        </is>
      </c>
      <c r="M2519" s="5" t="n">
        <v>106.5</v>
      </c>
      <c r="N2519" s="5" t="n"/>
      <c r="O2519" s="5">
        <f>+M2519+N2519</f>
        <v/>
      </c>
      <c r="P2519" s="4" t="n">
        <v>45712</v>
      </c>
      <c r="Q2519" s="87" t="n">
        <v>45877</v>
      </c>
      <c r="R2519" s="5" t="n"/>
      <c r="S2519" s="2" t="n"/>
      <c r="T2519" s="3" t="n"/>
      <c r="U2519" s="87" t="n"/>
      <c r="V2519" s="3" t="n"/>
      <c r="W2519" s="108" t="n"/>
      <c r="X2519" s="4" t="n"/>
    </row>
    <row r="2520" ht="24" customHeight="1">
      <c r="A2520" s="2">
        <f>+D2520-S2520</f>
        <v/>
      </c>
      <c r="B2520" s="80" t="n"/>
      <c r="C2520" s="122" t="n">
        <v>45873</v>
      </c>
      <c r="D2520" s="2" t="n">
        <v>5</v>
      </c>
      <c r="E2520" s="3" t="inlineStr">
        <is>
          <t>ACCESSORI</t>
        </is>
      </c>
      <c r="F2520" s="3" t="inlineStr">
        <is>
          <t>N/D</t>
        </is>
      </c>
      <c r="G2520" s="3" t="inlineStr">
        <is>
          <t>CAESAR GUERINI</t>
        </is>
      </c>
      <c r="H2520" s="65" t="inlineStr">
        <is>
          <t>BORSA MULTITASCHE</t>
        </is>
      </c>
      <c r="I2520" s="65" t="inlineStr">
        <is>
          <t>N/D</t>
        </is>
      </c>
      <c r="J2520" s="65" t="inlineStr">
        <is>
          <t>N/D</t>
        </is>
      </c>
      <c r="K2520" s="65" t="inlineStr">
        <is>
          <t>N/D</t>
        </is>
      </c>
      <c r="L2520" s="127" t="inlineStr">
        <is>
          <t>FABBRICA DARMI CAESAR GUERINI SARL</t>
        </is>
      </c>
      <c r="M2520" s="5" t="n">
        <v>276</v>
      </c>
      <c r="N2520" s="5" t="n"/>
      <c r="O2520" s="5">
        <f>+M2520+N2520</f>
        <v/>
      </c>
      <c r="P2520" s="4" t="n">
        <v>45712</v>
      </c>
      <c r="Q2520" s="87" t="n">
        <v>45877</v>
      </c>
      <c r="R2520" s="5" t="n"/>
      <c r="S2520" s="2" t="n"/>
      <c r="T2520" s="3" t="n"/>
      <c r="U2520" s="87" t="n"/>
      <c r="V2520" s="3" t="n"/>
      <c r="W2520" s="108" t="n"/>
      <c r="X2520" s="4" t="n"/>
    </row>
    <row r="2521" ht="24" customHeight="1">
      <c r="A2521" s="2">
        <f>+D2521-S2521</f>
        <v/>
      </c>
      <c r="B2521" s="80" t="n"/>
      <c r="C2521" s="122" t="n">
        <v>45873</v>
      </c>
      <c r="D2521" s="2" t="n">
        <v>1</v>
      </c>
      <c r="E2521" s="3" t="inlineStr">
        <is>
          <t>ACCESSORI</t>
        </is>
      </c>
      <c r="F2521" s="3" t="inlineStr">
        <is>
          <t>N/D</t>
        </is>
      </c>
      <c r="G2521" s="3" t="inlineStr">
        <is>
          <t>CAESAR GUERINI</t>
        </is>
      </c>
      <c r="H2521" s="65" t="inlineStr">
        <is>
          <t>GILET TIRO SPORT L PELLE NERA EALSTAN NERO</t>
        </is>
      </c>
      <c r="I2521" s="65" t="inlineStr">
        <is>
          <t>N/D</t>
        </is>
      </c>
      <c r="J2521" s="65" t="inlineStr">
        <is>
          <t>N/D</t>
        </is>
      </c>
      <c r="K2521" s="65" t="inlineStr">
        <is>
          <t>N/D</t>
        </is>
      </c>
      <c r="L2521" s="127" t="inlineStr">
        <is>
          <t>FABBRICA DARMI CAESAR GUERINI SARL</t>
        </is>
      </c>
      <c r="M2521" s="5" t="n">
        <v>77.3</v>
      </c>
      <c r="N2521" s="5" t="n"/>
      <c r="O2521" s="5">
        <f>+M2521+N2521</f>
        <v/>
      </c>
      <c r="P2521" s="4" t="n">
        <v>45712</v>
      </c>
      <c r="Q2521" s="87" t="n">
        <v>45877</v>
      </c>
      <c r="R2521" s="5" t="n"/>
      <c r="S2521" s="2" t="n"/>
      <c r="T2521" s="3" t="n"/>
      <c r="U2521" s="87" t="n"/>
      <c r="V2521" s="3" t="n"/>
      <c r="W2521" s="108" t="n"/>
      <c r="X2521" s="4" t="n"/>
    </row>
    <row r="2522" ht="24" customHeight="1">
      <c r="A2522" s="2">
        <f>+D2522-S2522</f>
        <v/>
      </c>
      <c r="B2522" s="80" t="n"/>
      <c r="C2522" s="122" t="n">
        <v>45873</v>
      </c>
      <c r="D2522" s="2" t="n">
        <v>1</v>
      </c>
      <c r="E2522" s="3" t="inlineStr">
        <is>
          <t>ACCESSORI</t>
        </is>
      </c>
      <c r="F2522" s="3" t="inlineStr">
        <is>
          <t>N/D</t>
        </is>
      </c>
      <c r="G2522" s="3" t="inlineStr">
        <is>
          <t>CAESAR GUERINI</t>
        </is>
      </c>
      <c r="H2522" s="65" t="inlineStr">
        <is>
          <t>GILET TIRO SPORT XL PELLE NERA EALSTAN NERO</t>
        </is>
      </c>
      <c r="I2522" s="65" t="inlineStr">
        <is>
          <t>N/D</t>
        </is>
      </c>
      <c r="J2522" s="65" t="inlineStr">
        <is>
          <t>N/D</t>
        </is>
      </c>
      <c r="K2522" s="65" t="inlineStr">
        <is>
          <t>N/D</t>
        </is>
      </c>
      <c r="L2522" s="127" t="inlineStr">
        <is>
          <t>FABBRICA DARMI CAESAR GUERINI SARL</t>
        </is>
      </c>
      <c r="M2522" s="5" t="n">
        <v>77.3</v>
      </c>
      <c r="N2522" s="5" t="n"/>
      <c r="O2522" s="5">
        <f>+M2522+N2522</f>
        <v/>
      </c>
      <c r="P2522" s="4" t="n">
        <v>45712</v>
      </c>
      <c r="Q2522" s="87" t="n">
        <v>45877</v>
      </c>
      <c r="R2522" s="5" t="n"/>
      <c r="S2522" s="2" t="n"/>
      <c r="T2522" s="3" t="n"/>
      <c r="U2522" s="87" t="n"/>
      <c r="V2522" s="3" t="n"/>
      <c r="W2522" s="108" t="n"/>
      <c r="X2522" s="4" t="n"/>
    </row>
    <row r="2523" ht="24" customHeight="1">
      <c r="A2523" s="2">
        <f>+D2523-S2523</f>
        <v/>
      </c>
      <c r="B2523" s="80" t="n"/>
      <c r="C2523" s="122" t="n">
        <v>45873</v>
      </c>
      <c r="D2523" s="2" t="n">
        <v>1</v>
      </c>
      <c r="E2523" s="3" t="inlineStr">
        <is>
          <t>ACCESSORI</t>
        </is>
      </c>
      <c r="F2523" s="3" t="inlineStr">
        <is>
          <t>N/D</t>
        </is>
      </c>
      <c r="G2523" s="3" t="inlineStr">
        <is>
          <t>CAESAR GUERINI</t>
        </is>
      </c>
      <c r="H2523" s="65" t="inlineStr">
        <is>
          <t>GILET TIRO SPORT 2XL PELLE NERA EALSTAN NERO</t>
        </is>
      </c>
      <c r="I2523" s="65" t="inlineStr">
        <is>
          <t>N/D</t>
        </is>
      </c>
      <c r="J2523" s="65" t="inlineStr">
        <is>
          <t>N/D</t>
        </is>
      </c>
      <c r="K2523" s="65" t="inlineStr">
        <is>
          <t>N/D</t>
        </is>
      </c>
      <c r="L2523" s="127" t="inlineStr">
        <is>
          <t>FABBRICA DARMI CAESAR GUERINI SARL</t>
        </is>
      </c>
      <c r="M2523" s="5" t="n">
        <v>77.3</v>
      </c>
      <c r="N2523" s="5" t="n"/>
      <c r="O2523" s="5">
        <f>+M2523+N2523</f>
        <v/>
      </c>
      <c r="P2523" s="4" t="n">
        <v>45712</v>
      </c>
      <c r="Q2523" s="87" t="n">
        <v>45877</v>
      </c>
      <c r="R2523" s="5" t="n"/>
      <c r="S2523" s="2" t="n"/>
      <c r="T2523" s="3" t="n"/>
      <c r="U2523" s="87" t="n"/>
      <c r="V2523" s="3" t="n"/>
      <c r="W2523" s="108" t="n"/>
      <c r="X2523" s="4" t="n"/>
    </row>
    <row r="2524" ht="24" customHeight="1">
      <c r="A2524" s="2">
        <f>+D2524-S2524</f>
        <v/>
      </c>
      <c r="B2524" s="80" t="n">
        <v>4116</v>
      </c>
      <c r="C2524" s="66" t="n">
        <v>45903</v>
      </c>
      <c r="D2524" s="2" t="n">
        <v>1</v>
      </c>
      <c r="E2524" s="3" t="inlineStr">
        <is>
          <t>CARABINA SEMIAUTOMATICA</t>
        </is>
      </c>
      <c r="F2524" s="3" t="inlineStr">
        <is>
          <t>22LR</t>
        </is>
      </c>
      <c r="G2524" s="3" t="inlineStr">
        <is>
          <t>BROWNING</t>
        </is>
      </c>
      <c r="H2524" s="65" t="inlineStr">
        <is>
          <t>WILDCAT FDE SA A THR 18''</t>
        </is>
      </c>
      <c r="I2524" s="65" t="inlineStr">
        <is>
          <t>TF614-25M02447</t>
        </is>
      </c>
      <c r="J2524" s="65" t="inlineStr">
        <is>
          <t>N/D</t>
        </is>
      </c>
      <c r="K2524" s="65" t="inlineStr">
        <is>
          <t>N/D</t>
        </is>
      </c>
      <c r="L2524" s="127" t="inlineStr">
        <is>
          <t>BROWNING INTERNATIONAL SRL</t>
        </is>
      </c>
      <c r="M2524" s="5" t="n">
        <v>276.3</v>
      </c>
      <c r="N2524" s="5" t="n"/>
      <c r="O2524" s="5">
        <f>+M2524+N2524</f>
        <v/>
      </c>
      <c r="P2524" s="4" t="n">
        <v>45895</v>
      </c>
      <c r="Q2524" s="87" t="n">
        <v>45869</v>
      </c>
      <c r="R2524" s="5" t="n"/>
      <c r="S2524" s="2" t="n"/>
      <c r="T2524" s="3" t="n"/>
      <c r="U2524" s="87" t="n"/>
      <c r="V2524" s="3" t="n"/>
      <c r="W2524" s="108" t="n"/>
      <c r="X2524" s="4" t="n"/>
    </row>
    <row r="2525" ht="24" customHeight="1">
      <c r="A2525" s="2">
        <f>+D2525-S2525</f>
        <v/>
      </c>
      <c r="B2525" s="80" t="n">
        <v>4117</v>
      </c>
      <c r="C2525" s="66" t="n">
        <v>45903</v>
      </c>
      <c r="D2525" s="2" t="n">
        <v>1</v>
      </c>
      <c r="E2525" s="3" t="inlineStr">
        <is>
          <t>CARABINA SEMIAUTOMATICA</t>
        </is>
      </c>
      <c r="F2525" s="3" t="inlineStr">
        <is>
          <t>22LR</t>
        </is>
      </c>
      <c r="G2525" s="3" t="inlineStr">
        <is>
          <t>BROWNING</t>
        </is>
      </c>
      <c r="H2525" s="65" t="inlineStr">
        <is>
          <t>WILDCAT FDE SA A THR 18''</t>
        </is>
      </c>
      <c r="I2525" s="65" t="inlineStr">
        <is>
          <t>TF614-25M02448</t>
        </is>
      </c>
      <c r="J2525" s="65" t="inlineStr">
        <is>
          <t>N/D</t>
        </is>
      </c>
      <c r="K2525" s="65" t="inlineStr">
        <is>
          <t>N/D</t>
        </is>
      </c>
      <c r="L2525" s="127" t="inlineStr">
        <is>
          <t>BROWNING INTERNATIONAL SRL</t>
        </is>
      </c>
      <c r="M2525" s="5" t="n">
        <v>276.3</v>
      </c>
      <c r="N2525" s="5" t="n"/>
      <c r="O2525" s="5">
        <f>+M2525+N2525</f>
        <v/>
      </c>
      <c r="P2525" s="4" t="n">
        <v>45895</v>
      </c>
      <c r="Q2525" s="87" t="n">
        <v>45869</v>
      </c>
      <c r="R2525" s="5" t="n"/>
      <c r="S2525" s="2" t="n"/>
      <c r="T2525" s="3" t="n"/>
      <c r="U2525" s="87" t="n"/>
      <c r="V2525" s="3" t="n"/>
      <c r="W2525" s="108" t="n"/>
      <c r="X2525" s="4" t="n"/>
    </row>
    <row r="2526" ht="24" customHeight="1">
      <c r="A2526" s="2">
        <f>+D2526-S2526</f>
        <v/>
      </c>
      <c r="B2526" s="80" t="n">
        <v>4118</v>
      </c>
      <c r="C2526" s="66" t="n">
        <v>45903</v>
      </c>
      <c r="D2526" s="2" t="n">
        <v>1</v>
      </c>
      <c r="E2526" s="3" t="inlineStr">
        <is>
          <t>CARABINA SEMIAUTOMATICA</t>
        </is>
      </c>
      <c r="F2526" s="3" t="inlineStr">
        <is>
          <t>22LR</t>
        </is>
      </c>
      <c r="G2526" s="3" t="inlineStr">
        <is>
          <t>BROWNING</t>
        </is>
      </c>
      <c r="H2526" s="65" t="inlineStr">
        <is>
          <t>WILDCAT FDE SA A THR 18''</t>
        </is>
      </c>
      <c r="I2526" s="65" t="inlineStr">
        <is>
          <t>TF614-25M02449</t>
        </is>
      </c>
      <c r="J2526" s="65" t="inlineStr">
        <is>
          <t>N/D</t>
        </is>
      </c>
      <c r="K2526" s="65" t="inlineStr">
        <is>
          <t>N/D</t>
        </is>
      </c>
      <c r="L2526" s="127" t="inlineStr">
        <is>
          <t>BROWNING INTERNATIONAL SRL</t>
        </is>
      </c>
      <c r="M2526" s="5" t="n">
        <v>276.3</v>
      </c>
      <c r="N2526" s="5" t="n"/>
      <c r="O2526" s="5">
        <f>+M2526+N2526</f>
        <v/>
      </c>
      <c r="P2526" s="4" t="n">
        <v>45895</v>
      </c>
      <c r="Q2526" s="87" t="n">
        <v>45869</v>
      </c>
      <c r="R2526" s="5" t="n"/>
      <c r="S2526" s="2" t="n"/>
      <c r="T2526" s="3" t="n"/>
      <c r="U2526" s="87" t="n"/>
      <c r="V2526" s="3" t="n"/>
      <c r="W2526" s="108" t="n"/>
      <c r="X2526" s="4" t="n"/>
    </row>
    <row r="2527" ht="24" customHeight="1">
      <c r="A2527" s="2">
        <f>+D2527-S2527</f>
        <v/>
      </c>
      <c r="B2527" s="80" t="n">
        <v>4119</v>
      </c>
      <c r="C2527" s="66" t="n">
        <v>45903</v>
      </c>
      <c r="D2527" s="2" t="n">
        <v>1</v>
      </c>
      <c r="E2527" s="3" t="inlineStr">
        <is>
          <t>CARABINA SEMIAUTOMATICA</t>
        </is>
      </c>
      <c r="F2527" s="3" t="inlineStr">
        <is>
          <t>22LR</t>
        </is>
      </c>
      <c r="G2527" s="3" t="inlineStr">
        <is>
          <t>BROWNING</t>
        </is>
      </c>
      <c r="H2527" s="65" t="inlineStr">
        <is>
          <t>WILDCAT FDE SA A THR 18''</t>
        </is>
      </c>
      <c r="I2527" s="65" t="inlineStr">
        <is>
          <t>TF614-25M02450</t>
        </is>
      </c>
      <c r="J2527" s="65" t="inlineStr">
        <is>
          <t>N/D</t>
        </is>
      </c>
      <c r="K2527" s="65" t="inlineStr">
        <is>
          <t>N/D</t>
        </is>
      </c>
      <c r="L2527" s="127" t="inlineStr">
        <is>
          <t>BROWNING INTERNATIONAL SRL</t>
        </is>
      </c>
      <c r="M2527" s="5" t="n">
        <v>276.3</v>
      </c>
      <c r="N2527" s="5" t="n"/>
      <c r="O2527" s="5">
        <f>+M2527+N2527</f>
        <v/>
      </c>
      <c r="P2527" s="4" t="n">
        <v>45895</v>
      </c>
      <c r="Q2527" s="87" t="n">
        <v>45869</v>
      </c>
      <c r="R2527" s="5" t="n"/>
      <c r="S2527" s="2" t="n"/>
      <c r="T2527" s="3" t="n"/>
      <c r="U2527" s="87" t="n"/>
      <c r="V2527" s="3" t="n"/>
      <c r="W2527" s="108" t="n"/>
      <c r="X2527" s="4" t="n"/>
    </row>
    <row r="2528" ht="24" customHeight="1">
      <c r="A2528" s="2">
        <f>+D2528-S2528</f>
        <v/>
      </c>
      <c r="B2528" s="80" t="n">
        <v>4120</v>
      </c>
      <c r="C2528" s="66" t="n">
        <v>45903</v>
      </c>
      <c r="D2528" s="2" t="n">
        <v>1</v>
      </c>
      <c r="E2528" s="3" t="inlineStr">
        <is>
          <t>CARABINA SEMIAUTOMATICA</t>
        </is>
      </c>
      <c r="F2528" s="3" t="inlineStr">
        <is>
          <t>22LR</t>
        </is>
      </c>
      <c r="G2528" s="3" t="inlineStr">
        <is>
          <t>BROWNING</t>
        </is>
      </c>
      <c r="H2528" s="65" t="inlineStr">
        <is>
          <t>WILDCAT FDE SA A THR 18''</t>
        </is>
      </c>
      <c r="I2528" s="65" t="inlineStr">
        <is>
          <t>TF614-25M02451</t>
        </is>
      </c>
      <c r="J2528" s="65" t="inlineStr">
        <is>
          <t>N/D</t>
        </is>
      </c>
      <c r="K2528" s="65" t="inlineStr">
        <is>
          <t>N/D</t>
        </is>
      </c>
      <c r="L2528" s="127" t="inlineStr">
        <is>
          <t>BROWNING INTERNATIONAL SRL</t>
        </is>
      </c>
      <c r="M2528" s="5" t="n">
        <v>276.3</v>
      </c>
      <c r="N2528" s="5" t="n"/>
      <c r="O2528" s="5">
        <f>+M2528+N2528</f>
        <v/>
      </c>
      <c r="P2528" s="4" t="n">
        <v>45895</v>
      </c>
      <c r="Q2528" s="87" t="n">
        <v>45869</v>
      </c>
      <c r="R2528" s="5" t="n"/>
      <c r="S2528" s="2" t="n"/>
      <c r="T2528" s="3" t="n"/>
      <c r="U2528" s="87" t="n"/>
      <c r="V2528" s="3" t="n"/>
      <c r="W2528" s="108" t="n"/>
      <c r="X2528" s="4" t="n"/>
    </row>
    <row r="2529" ht="24" customHeight="1">
      <c r="A2529" s="2">
        <f>+D2529-S2529</f>
        <v/>
      </c>
      <c r="B2529" s="80" t="n">
        <v>4121</v>
      </c>
      <c r="C2529" s="66" t="n">
        <v>45903</v>
      </c>
      <c r="D2529" s="2" t="n">
        <v>1</v>
      </c>
      <c r="E2529" s="3" t="inlineStr">
        <is>
          <t>CARABINA SEMIAUTOMATICA</t>
        </is>
      </c>
      <c r="F2529" s="3" t="inlineStr">
        <is>
          <t>22LR</t>
        </is>
      </c>
      <c r="G2529" s="3" t="inlineStr">
        <is>
          <t>BROWNING</t>
        </is>
      </c>
      <c r="H2529" s="65" t="inlineStr">
        <is>
          <t>WILDCAT FDE SA A THR 18''</t>
        </is>
      </c>
      <c r="I2529" s="65" t="inlineStr">
        <is>
          <t>TF614-25M02452</t>
        </is>
      </c>
      <c r="J2529" s="65" t="inlineStr">
        <is>
          <t>N/D</t>
        </is>
      </c>
      <c r="K2529" s="65" t="inlineStr">
        <is>
          <t>N/D</t>
        </is>
      </c>
      <c r="L2529" s="127" t="inlineStr">
        <is>
          <t>BROWNING INTERNATIONAL SRL</t>
        </is>
      </c>
      <c r="M2529" s="5" t="n">
        <v>276.3</v>
      </c>
      <c r="N2529" s="5" t="n"/>
      <c r="O2529" s="5">
        <f>+M2529+N2529</f>
        <v/>
      </c>
      <c r="P2529" s="4" t="n">
        <v>45895</v>
      </c>
      <c r="Q2529" s="87" t="n">
        <v>45869</v>
      </c>
      <c r="R2529" s="5" t="n"/>
      <c r="S2529" s="2" t="n"/>
      <c r="T2529" s="3" t="n"/>
      <c r="U2529" s="87" t="n"/>
      <c r="V2529" s="3" t="n"/>
      <c r="W2529" s="108" t="n"/>
      <c r="X2529" s="4" t="n"/>
    </row>
    <row r="2530" ht="24" customHeight="1">
      <c r="A2530" s="2">
        <f>+D2530-S2530</f>
        <v/>
      </c>
      <c r="B2530" s="80" t="n">
        <v>4122</v>
      </c>
      <c r="C2530" s="66" t="n">
        <v>45903</v>
      </c>
      <c r="D2530" s="2" t="n">
        <v>1</v>
      </c>
      <c r="E2530" s="3" t="inlineStr">
        <is>
          <t>CARABINA SEMIAUTOMATICA</t>
        </is>
      </c>
      <c r="F2530" s="3" t="inlineStr">
        <is>
          <t>22LR</t>
        </is>
      </c>
      <c r="G2530" s="3" t="inlineStr">
        <is>
          <t>BROWNING</t>
        </is>
      </c>
      <c r="H2530" s="65" t="inlineStr">
        <is>
          <t>WILDCAT FDE SA A THR 18''</t>
        </is>
      </c>
      <c r="I2530" s="65" t="inlineStr">
        <is>
          <t>TF614-25M02453</t>
        </is>
      </c>
      <c r="J2530" s="65" t="inlineStr">
        <is>
          <t>N/D</t>
        </is>
      </c>
      <c r="K2530" s="65" t="inlineStr">
        <is>
          <t>N/D</t>
        </is>
      </c>
      <c r="L2530" s="127" t="inlineStr">
        <is>
          <t>BROWNING INTERNATIONAL SRL</t>
        </is>
      </c>
      <c r="M2530" s="5" t="n">
        <v>276.3</v>
      </c>
      <c r="N2530" s="5" t="n"/>
      <c r="O2530" s="5">
        <f>+M2530+N2530</f>
        <v/>
      </c>
      <c r="P2530" s="4" t="n">
        <v>45895</v>
      </c>
      <c r="Q2530" s="87" t="n">
        <v>45869</v>
      </c>
      <c r="R2530" s="5" t="n"/>
      <c r="S2530" s="2" t="n"/>
      <c r="T2530" s="3" t="n"/>
      <c r="U2530" s="87" t="n"/>
      <c r="V2530" s="3" t="n"/>
      <c r="W2530" s="108" t="n"/>
      <c r="X2530" s="4" t="n"/>
    </row>
    <row r="2531" ht="24" customHeight="1">
      <c r="A2531" s="2">
        <f>+D2531-S2531</f>
        <v/>
      </c>
      <c r="B2531" s="80" t="n">
        <v>4123</v>
      </c>
      <c r="C2531" s="66" t="n">
        <v>45903</v>
      </c>
      <c r="D2531" s="2" t="n">
        <v>1</v>
      </c>
      <c r="E2531" s="3" t="inlineStr">
        <is>
          <t>CARABINA SEMIAUTOMATICA</t>
        </is>
      </c>
      <c r="F2531" s="3" t="inlineStr">
        <is>
          <t>22LR</t>
        </is>
      </c>
      <c r="G2531" s="3" t="inlineStr">
        <is>
          <t>BROWNING</t>
        </is>
      </c>
      <c r="H2531" s="65" t="inlineStr">
        <is>
          <t>WILDCAT FDE SA A THR 18''</t>
        </is>
      </c>
      <c r="I2531" s="65" t="inlineStr">
        <is>
          <t>TF614-25M02454</t>
        </is>
      </c>
      <c r="J2531" s="65" t="inlineStr">
        <is>
          <t>N/D</t>
        </is>
      </c>
      <c r="K2531" s="65" t="inlineStr">
        <is>
          <t>N/D</t>
        </is>
      </c>
      <c r="L2531" s="127" t="inlineStr">
        <is>
          <t>BROWNING INTERNATIONAL SRL</t>
        </is>
      </c>
      <c r="M2531" s="5" t="n">
        <v>276.3</v>
      </c>
      <c r="N2531" s="5" t="n"/>
      <c r="O2531" s="5">
        <f>+M2531+N2531</f>
        <v/>
      </c>
      <c r="P2531" s="4" t="n">
        <v>45895</v>
      </c>
      <c r="Q2531" s="87" t="n">
        <v>45869</v>
      </c>
      <c r="R2531" s="5" t="n"/>
      <c r="S2531" s="2" t="n"/>
      <c r="T2531" s="3" t="n"/>
      <c r="U2531" s="87" t="n"/>
      <c r="V2531" s="3" t="n"/>
      <c r="W2531" s="108" t="n"/>
      <c r="X2531" s="4" t="n"/>
    </row>
    <row r="2532" ht="24" customHeight="1">
      <c r="A2532" s="2">
        <f>+D2532-S2532</f>
        <v/>
      </c>
      <c r="B2532" s="80" t="n">
        <v>4124</v>
      </c>
      <c r="C2532" s="66" t="n">
        <v>45903</v>
      </c>
      <c r="D2532" s="2" t="n">
        <v>1</v>
      </c>
      <c r="E2532" s="3" t="inlineStr">
        <is>
          <t>CARABINA SEMIAUTOMATICA</t>
        </is>
      </c>
      <c r="F2532" s="3" t="inlineStr">
        <is>
          <t>22LR</t>
        </is>
      </c>
      <c r="G2532" s="3" t="inlineStr">
        <is>
          <t>BROWNING</t>
        </is>
      </c>
      <c r="H2532" s="65" t="inlineStr">
        <is>
          <t>WILDCAT FDE SA A THR 18''</t>
        </is>
      </c>
      <c r="I2532" s="65" t="inlineStr">
        <is>
          <t>TF614-25M02457</t>
        </is>
      </c>
      <c r="J2532" s="65" t="inlineStr">
        <is>
          <t>N/D</t>
        </is>
      </c>
      <c r="K2532" s="65" t="inlineStr">
        <is>
          <t>N/D</t>
        </is>
      </c>
      <c r="L2532" s="127" t="inlineStr">
        <is>
          <t>BROWNING INTERNATIONAL SRL</t>
        </is>
      </c>
      <c r="M2532" s="5" t="n">
        <v>276.3</v>
      </c>
      <c r="N2532" s="5" t="n"/>
      <c r="O2532" s="5">
        <f>+M2532+N2532</f>
        <v/>
      </c>
      <c r="P2532" s="4" t="n">
        <v>45895</v>
      </c>
      <c r="Q2532" s="87" t="n">
        <v>45869</v>
      </c>
      <c r="R2532" s="5" t="n"/>
      <c r="S2532" s="2" t="n"/>
      <c r="T2532" s="3" t="n"/>
      <c r="U2532" s="87" t="n"/>
      <c r="V2532" s="3" t="n"/>
      <c r="W2532" s="108" t="n"/>
      <c r="X2532" s="4" t="n"/>
    </row>
    <row r="2533" ht="24" customHeight="1">
      <c r="A2533" s="2">
        <f>+D2533-S2533</f>
        <v/>
      </c>
      <c r="B2533" s="80" t="n">
        <v>4125</v>
      </c>
      <c r="C2533" s="66" t="n">
        <v>45903</v>
      </c>
      <c r="D2533" s="2" t="n">
        <v>1</v>
      </c>
      <c r="E2533" s="3" t="inlineStr">
        <is>
          <t>CARABINA SEMIAUTOMATICA</t>
        </is>
      </c>
      <c r="F2533" s="3" t="inlineStr">
        <is>
          <t>22LR</t>
        </is>
      </c>
      <c r="G2533" s="3" t="inlineStr">
        <is>
          <t>BROWNING</t>
        </is>
      </c>
      <c r="H2533" s="65" t="inlineStr">
        <is>
          <t>WILDCAT FDE SA A THR 18''</t>
        </is>
      </c>
      <c r="I2533" s="65" t="inlineStr">
        <is>
          <t>TF614-25M02458</t>
        </is>
      </c>
      <c r="J2533" s="65" t="inlineStr">
        <is>
          <t>N/D</t>
        </is>
      </c>
      <c r="K2533" s="65" t="inlineStr">
        <is>
          <t>N/D</t>
        </is>
      </c>
      <c r="L2533" s="127" t="inlineStr">
        <is>
          <t>BROWNING INTERNATIONAL SRL</t>
        </is>
      </c>
      <c r="M2533" s="5" t="n">
        <v>276.3</v>
      </c>
      <c r="N2533" s="5" t="n"/>
      <c r="O2533" s="5">
        <f>+M2533+N2533</f>
        <v/>
      </c>
      <c r="P2533" s="4" t="n">
        <v>45895</v>
      </c>
      <c r="Q2533" s="87" t="n">
        <v>45869</v>
      </c>
      <c r="R2533" s="5" t="n"/>
      <c r="S2533" s="2" t="n"/>
      <c r="T2533" s="3" t="n"/>
      <c r="U2533" s="87" t="n"/>
      <c r="V2533" s="3" t="n"/>
      <c r="W2533" s="108" t="n"/>
      <c r="X2533" s="4" t="n"/>
    </row>
    <row r="2534" ht="24" customHeight="1">
      <c r="A2534" s="2">
        <f>+D2534-S2534</f>
        <v/>
      </c>
      <c r="B2534" s="80" t="n">
        <v>4126</v>
      </c>
      <c r="C2534" s="66" t="n">
        <v>45903</v>
      </c>
      <c r="D2534" s="2" t="n">
        <v>1</v>
      </c>
      <c r="E2534" s="3" t="inlineStr">
        <is>
          <t>CARABINA SEMIAUTOMATICA</t>
        </is>
      </c>
      <c r="F2534" s="3" t="inlineStr">
        <is>
          <t>22LR</t>
        </is>
      </c>
      <c r="G2534" s="3" t="inlineStr">
        <is>
          <t>BROWNING</t>
        </is>
      </c>
      <c r="H2534" s="65" t="inlineStr">
        <is>
          <t>WILDCAT FDE SA A THR 18''</t>
        </is>
      </c>
      <c r="I2534" s="65" t="inlineStr">
        <is>
          <t>TF614-25M02459</t>
        </is>
      </c>
      <c r="J2534" s="65" t="inlineStr">
        <is>
          <t>N/D</t>
        </is>
      </c>
      <c r="K2534" s="65" t="inlineStr">
        <is>
          <t>N/D</t>
        </is>
      </c>
      <c r="L2534" s="127" t="inlineStr">
        <is>
          <t>BROWNING INTERNATIONAL SRL</t>
        </is>
      </c>
      <c r="M2534" s="5" t="n">
        <v>276.3</v>
      </c>
      <c r="N2534" s="5" t="n"/>
      <c r="O2534" s="5">
        <f>+M2534+N2534</f>
        <v/>
      </c>
      <c r="P2534" s="4" t="n">
        <v>45895</v>
      </c>
      <c r="Q2534" s="87" t="n">
        <v>45869</v>
      </c>
      <c r="R2534" s="5" t="n"/>
      <c r="S2534" s="2" t="n"/>
      <c r="T2534" s="3" t="n"/>
      <c r="U2534" s="87" t="n"/>
      <c r="V2534" s="3" t="n"/>
      <c r="W2534" s="108" t="n"/>
      <c r="X2534" s="4" t="n"/>
    </row>
    <row r="2535" ht="24" customHeight="1">
      <c r="A2535" s="2">
        <f>+D2535-S2535</f>
        <v/>
      </c>
      <c r="B2535" s="80" t="n">
        <v>4127</v>
      </c>
      <c r="C2535" s="66" t="n">
        <v>45903</v>
      </c>
      <c r="D2535" s="2" t="n">
        <v>1</v>
      </c>
      <c r="E2535" s="3" t="inlineStr">
        <is>
          <t>CARABINA SEMIAUTOMATICA</t>
        </is>
      </c>
      <c r="F2535" s="3" t="inlineStr">
        <is>
          <t>22LR</t>
        </is>
      </c>
      <c r="G2535" s="3" t="inlineStr">
        <is>
          <t>BROWNING</t>
        </is>
      </c>
      <c r="H2535" s="65" t="inlineStr">
        <is>
          <t>WILDCAT FDE SA A THR 18''</t>
        </is>
      </c>
      <c r="I2535" s="65" t="inlineStr">
        <is>
          <t>TF614-25M02460</t>
        </is>
      </c>
      <c r="J2535" s="65" t="inlineStr">
        <is>
          <t>N/D</t>
        </is>
      </c>
      <c r="K2535" s="65" t="inlineStr">
        <is>
          <t>N/D</t>
        </is>
      </c>
      <c r="L2535" s="127" t="inlineStr">
        <is>
          <t>BROWNING INTERNATIONAL SRL</t>
        </is>
      </c>
      <c r="M2535" s="5" t="n">
        <v>276.3</v>
      </c>
      <c r="N2535" s="5" t="n"/>
      <c r="O2535" s="5">
        <f>+M2535+N2535</f>
        <v/>
      </c>
      <c r="P2535" s="4" t="n">
        <v>45895</v>
      </c>
      <c r="Q2535" s="87" t="n">
        <v>45869</v>
      </c>
      <c r="R2535" s="5" t="n"/>
      <c r="S2535" s="2" t="n"/>
      <c r="T2535" s="3" t="n"/>
      <c r="U2535" s="87" t="n"/>
      <c r="V2535" s="3" t="n"/>
      <c r="W2535" s="108" t="n"/>
      <c r="X2535" s="4" t="n"/>
    </row>
    <row r="2536" ht="24" customHeight="1">
      <c r="A2536" s="2">
        <f>+D2536-S2536</f>
        <v/>
      </c>
      <c r="B2536" s="80" t="n">
        <v>4128</v>
      </c>
      <c r="C2536" s="66" t="n">
        <v>45903</v>
      </c>
      <c r="D2536" s="2" t="n">
        <v>1</v>
      </c>
      <c r="E2536" s="3" t="inlineStr">
        <is>
          <t>CARABINA SEMIAUTOMATICA</t>
        </is>
      </c>
      <c r="F2536" s="3" t="inlineStr">
        <is>
          <t>22LR</t>
        </is>
      </c>
      <c r="G2536" s="3" t="inlineStr">
        <is>
          <t>BROWNING</t>
        </is>
      </c>
      <c r="H2536" s="65" t="inlineStr">
        <is>
          <t>WILDCAT FDE SA A THR 18''</t>
        </is>
      </c>
      <c r="I2536" s="65" t="inlineStr">
        <is>
          <t>TF614-25M02461</t>
        </is>
      </c>
      <c r="J2536" s="65" t="inlineStr">
        <is>
          <t>N/D</t>
        </is>
      </c>
      <c r="K2536" s="65" t="inlineStr">
        <is>
          <t>N/D</t>
        </is>
      </c>
      <c r="L2536" s="127" t="inlineStr">
        <is>
          <t>BROWNING INTERNATIONAL SRL</t>
        </is>
      </c>
      <c r="M2536" s="5" t="n">
        <v>276.3</v>
      </c>
      <c r="N2536" s="5" t="n"/>
      <c r="O2536" s="5">
        <f>+M2536+N2536</f>
        <v/>
      </c>
      <c r="P2536" s="4" t="n">
        <v>45895</v>
      </c>
      <c r="Q2536" s="87" t="n">
        <v>45869</v>
      </c>
      <c r="R2536" s="5" t="n"/>
      <c r="S2536" s="2" t="n"/>
      <c r="T2536" s="3" t="n"/>
      <c r="U2536" s="87" t="n"/>
      <c r="V2536" s="3" t="n"/>
      <c r="W2536" s="108" t="n"/>
      <c r="X2536" s="4" t="n"/>
    </row>
    <row r="2537" ht="24" customHeight="1">
      <c r="A2537" s="2">
        <f>+D2537-S2537</f>
        <v/>
      </c>
      <c r="B2537" s="80" t="n">
        <v>4129</v>
      </c>
      <c r="C2537" s="66" t="n">
        <v>45903</v>
      </c>
      <c r="D2537" s="2" t="n">
        <v>1</v>
      </c>
      <c r="E2537" s="3" t="inlineStr">
        <is>
          <t>CARABINA SEMIAUTOMATICA</t>
        </is>
      </c>
      <c r="F2537" s="3" t="inlineStr">
        <is>
          <t>22LR</t>
        </is>
      </c>
      <c r="G2537" s="3" t="inlineStr">
        <is>
          <t>BROWNING</t>
        </is>
      </c>
      <c r="H2537" s="65" t="inlineStr">
        <is>
          <t>WILDCAT FDE SA A THR 18''</t>
        </is>
      </c>
      <c r="I2537" s="65" t="inlineStr">
        <is>
          <t>TF614-25M02462</t>
        </is>
      </c>
      <c r="J2537" s="65" t="inlineStr">
        <is>
          <t>N/D</t>
        </is>
      </c>
      <c r="K2537" s="65" t="inlineStr">
        <is>
          <t>N/D</t>
        </is>
      </c>
      <c r="L2537" s="127" t="inlineStr">
        <is>
          <t>BROWNING INTERNATIONAL SRL</t>
        </is>
      </c>
      <c r="M2537" s="5" t="n">
        <v>276.3</v>
      </c>
      <c r="N2537" s="5" t="n"/>
      <c r="O2537" s="5">
        <f>+M2537+N2537</f>
        <v/>
      </c>
      <c r="P2537" s="4" t="n">
        <v>45895</v>
      </c>
      <c r="Q2537" s="87" t="n">
        <v>45869</v>
      </c>
      <c r="R2537" s="5" t="n"/>
      <c r="S2537" s="2" t="n"/>
      <c r="T2537" s="3" t="n"/>
      <c r="U2537" s="87" t="n"/>
      <c r="V2537" s="3" t="n"/>
      <c r="W2537" s="108" t="n"/>
      <c r="X2537" s="4" t="n"/>
    </row>
    <row r="2538" ht="24" customHeight="1">
      <c r="A2538" s="2">
        <f>+D2538-S2538</f>
        <v/>
      </c>
      <c r="B2538" s="80" t="n">
        <v>4130</v>
      </c>
      <c r="C2538" s="66" t="n">
        <v>45903</v>
      </c>
      <c r="D2538" s="2" t="n">
        <v>1</v>
      </c>
      <c r="E2538" s="3" t="inlineStr">
        <is>
          <t>CARABINA SEMIAUTOMATICA</t>
        </is>
      </c>
      <c r="F2538" s="3" t="inlineStr">
        <is>
          <t>22LR</t>
        </is>
      </c>
      <c r="G2538" s="3" t="inlineStr">
        <is>
          <t>BROWNING</t>
        </is>
      </c>
      <c r="H2538" s="65" t="inlineStr">
        <is>
          <t>WILDCAT FDE SA A THR 18''</t>
        </is>
      </c>
      <c r="I2538" s="65" t="inlineStr">
        <is>
          <t>TF614-25M02463</t>
        </is>
      </c>
      <c r="J2538" s="65" t="inlineStr">
        <is>
          <t>N/D</t>
        </is>
      </c>
      <c r="K2538" s="65" t="inlineStr">
        <is>
          <t>N/D</t>
        </is>
      </c>
      <c r="L2538" s="127" t="inlineStr">
        <is>
          <t>BROWNING INTERNATIONAL SRL</t>
        </is>
      </c>
      <c r="M2538" s="5" t="n">
        <v>276.3</v>
      </c>
      <c r="N2538" s="5" t="n"/>
      <c r="O2538" s="5">
        <f>+M2538+N2538</f>
        <v/>
      </c>
      <c r="P2538" s="4" t="n">
        <v>45895</v>
      </c>
      <c r="Q2538" s="87" t="n">
        <v>45869</v>
      </c>
      <c r="R2538" s="5" t="n"/>
      <c r="S2538" s="2" t="n"/>
      <c r="T2538" s="3" t="n"/>
      <c r="U2538" s="87" t="n"/>
      <c r="V2538" s="3" t="n"/>
      <c r="W2538" s="108" t="n"/>
      <c r="X2538" s="4" t="n"/>
    </row>
    <row r="2539" ht="24" customHeight="1">
      <c r="A2539" s="2">
        <f>+D2539-S2539</f>
        <v/>
      </c>
      <c r="B2539" s="80" t="n">
        <v>4131</v>
      </c>
      <c r="C2539" s="66" t="n">
        <v>45903</v>
      </c>
      <c r="D2539" s="2" t="n">
        <v>1</v>
      </c>
      <c r="E2539" s="3" t="inlineStr">
        <is>
          <t>CARABINA SEMIAUTOMATICA</t>
        </is>
      </c>
      <c r="F2539" s="3" t="inlineStr">
        <is>
          <t>22LR</t>
        </is>
      </c>
      <c r="G2539" s="3" t="inlineStr">
        <is>
          <t>BROWNING</t>
        </is>
      </c>
      <c r="H2539" s="65" t="inlineStr">
        <is>
          <t>WILDCAT FDE SA A THR 18''</t>
        </is>
      </c>
      <c r="I2539" s="65" t="inlineStr">
        <is>
          <t>TF614-25M02464</t>
        </is>
      </c>
      <c r="J2539" s="65" t="inlineStr">
        <is>
          <t>N/D</t>
        </is>
      </c>
      <c r="K2539" s="65" t="inlineStr">
        <is>
          <t>N/D</t>
        </is>
      </c>
      <c r="L2539" s="127" t="inlineStr">
        <is>
          <t>BROWNING INTERNATIONAL SRL</t>
        </is>
      </c>
      <c r="M2539" s="5" t="n">
        <v>276.3</v>
      </c>
      <c r="N2539" s="5" t="n"/>
      <c r="O2539" s="5">
        <f>+M2539+N2539</f>
        <v/>
      </c>
      <c r="P2539" s="4" t="n">
        <v>45895</v>
      </c>
      <c r="Q2539" s="87" t="n">
        <v>45869</v>
      </c>
      <c r="R2539" s="5" t="n"/>
      <c r="S2539" s="2" t="n"/>
      <c r="T2539" s="3" t="n"/>
      <c r="U2539" s="87" t="n"/>
      <c r="V2539" s="3" t="n"/>
      <c r="W2539" s="108" t="n"/>
      <c r="X2539" s="4" t="n"/>
    </row>
    <row r="2540" ht="24" customHeight="1">
      <c r="A2540" s="2">
        <f>+D2540-S2540</f>
        <v/>
      </c>
      <c r="B2540" s="80" t="n">
        <v>4132</v>
      </c>
      <c r="C2540" s="66" t="n">
        <v>45903</v>
      </c>
      <c r="D2540" s="2" t="n">
        <v>1</v>
      </c>
      <c r="E2540" s="3" t="inlineStr">
        <is>
          <t>CARABINA SEMIAUTOMATICA</t>
        </is>
      </c>
      <c r="F2540" s="3" t="inlineStr">
        <is>
          <t>22LR</t>
        </is>
      </c>
      <c r="G2540" s="3" t="inlineStr">
        <is>
          <t>BROWNING</t>
        </is>
      </c>
      <c r="H2540" s="65" t="inlineStr">
        <is>
          <t>WILDCAT FDE SA A THR 18''</t>
        </is>
      </c>
      <c r="I2540" s="65" t="inlineStr">
        <is>
          <t>TF614-25M02465</t>
        </is>
      </c>
      <c r="J2540" s="65" t="inlineStr">
        <is>
          <t>N/D</t>
        </is>
      </c>
      <c r="K2540" s="65" t="inlineStr">
        <is>
          <t>N/D</t>
        </is>
      </c>
      <c r="L2540" s="127" t="inlineStr">
        <is>
          <t>BROWNING INTERNATIONAL SRL</t>
        </is>
      </c>
      <c r="M2540" s="5" t="n">
        <v>276.3</v>
      </c>
      <c r="N2540" s="5" t="n"/>
      <c r="O2540" s="5">
        <f>+M2540+N2540</f>
        <v/>
      </c>
      <c r="P2540" s="4" t="n">
        <v>45895</v>
      </c>
      <c r="Q2540" s="87" t="n">
        <v>45869</v>
      </c>
      <c r="R2540" s="5" t="n"/>
      <c r="S2540" s="2" t="n"/>
      <c r="T2540" s="3" t="n"/>
      <c r="U2540" s="87" t="n"/>
      <c r="V2540" s="3" t="n"/>
      <c r="W2540" s="108" t="n"/>
      <c r="X2540" s="4" t="n"/>
    </row>
    <row r="2541" ht="24" customHeight="1">
      <c r="A2541" s="2">
        <f>+D2541-S2541</f>
        <v/>
      </c>
      <c r="B2541" s="80" t="n">
        <v>4133</v>
      </c>
      <c r="C2541" s="66" t="n">
        <v>45903</v>
      </c>
      <c r="D2541" s="2" t="n">
        <v>1</v>
      </c>
      <c r="E2541" s="3" t="inlineStr">
        <is>
          <t>CARABINA SEMIAUTOMATICA</t>
        </is>
      </c>
      <c r="F2541" s="3" t="inlineStr">
        <is>
          <t>22LR</t>
        </is>
      </c>
      <c r="G2541" s="3" t="inlineStr">
        <is>
          <t>BROWNING</t>
        </is>
      </c>
      <c r="H2541" s="65" t="inlineStr">
        <is>
          <t>WILDCAT FDE SA A THR 18''</t>
        </is>
      </c>
      <c r="I2541" s="65" t="inlineStr">
        <is>
          <t>TF614-25M02466</t>
        </is>
      </c>
      <c r="J2541" s="65" t="inlineStr">
        <is>
          <t>N/D</t>
        </is>
      </c>
      <c r="K2541" s="65" t="inlineStr">
        <is>
          <t>N/D</t>
        </is>
      </c>
      <c r="L2541" s="127" t="inlineStr">
        <is>
          <t>BROWNING INTERNATIONAL SRL</t>
        </is>
      </c>
      <c r="M2541" s="5" t="n">
        <v>276.3</v>
      </c>
      <c r="N2541" s="5" t="n"/>
      <c r="O2541" s="5">
        <f>+M2541+N2541</f>
        <v/>
      </c>
      <c r="P2541" s="4" t="n">
        <v>45895</v>
      </c>
      <c r="Q2541" s="87" t="n">
        <v>45869</v>
      </c>
      <c r="R2541" s="5" t="n"/>
      <c r="S2541" s="2" t="n"/>
      <c r="T2541" s="3" t="n"/>
      <c r="U2541" s="87" t="n"/>
      <c r="V2541" s="3" t="n"/>
      <c r="W2541" s="108" t="n"/>
      <c r="X2541" s="4" t="n"/>
    </row>
    <row r="2542" ht="24" customHeight="1">
      <c r="A2542" s="2">
        <f>+D2542-S2542</f>
        <v/>
      </c>
      <c r="B2542" s="80" t="n">
        <v>4134</v>
      </c>
      <c r="C2542" s="66" t="n">
        <v>45903</v>
      </c>
      <c r="D2542" s="2" t="n">
        <v>1</v>
      </c>
      <c r="E2542" s="3" t="inlineStr">
        <is>
          <t>CARABINA SEMIAUTOMATICA</t>
        </is>
      </c>
      <c r="F2542" s="3" t="inlineStr">
        <is>
          <t>22LR</t>
        </is>
      </c>
      <c r="G2542" s="3" t="inlineStr">
        <is>
          <t>BROWNING</t>
        </is>
      </c>
      <c r="H2542" s="65" t="inlineStr">
        <is>
          <t>WILDCAT FDE SA A THR 18''</t>
        </is>
      </c>
      <c r="I2542" s="65" t="inlineStr">
        <is>
          <t>TF614-25M02467</t>
        </is>
      </c>
      <c r="J2542" s="65" t="inlineStr">
        <is>
          <t>N/D</t>
        </is>
      </c>
      <c r="K2542" s="65" t="inlineStr">
        <is>
          <t>N/D</t>
        </is>
      </c>
      <c r="L2542" s="127" t="inlineStr">
        <is>
          <t>BROWNING INTERNATIONAL SRL</t>
        </is>
      </c>
      <c r="M2542" s="5" t="n">
        <v>276.3</v>
      </c>
      <c r="N2542" s="5" t="n"/>
      <c r="O2542" s="5">
        <f>+M2542+N2542</f>
        <v/>
      </c>
      <c r="P2542" s="4" t="n">
        <v>45895</v>
      </c>
      <c r="Q2542" s="87" t="n">
        <v>45869</v>
      </c>
      <c r="R2542" s="5" t="n"/>
      <c r="S2542" s="2" t="n"/>
      <c r="T2542" s="3" t="n"/>
      <c r="U2542" s="87" t="n"/>
      <c r="V2542" s="3" t="n"/>
      <c r="W2542" s="108" t="n"/>
      <c r="X2542" s="4" t="n"/>
    </row>
    <row r="2543" ht="24" customHeight="1">
      <c r="A2543" s="2">
        <f>+D2543-S2543</f>
        <v/>
      </c>
      <c r="B2543" s="80" t="n">
        <v>4135</v>
      </c>
      <c r="C2543" s="66" t="n">
        <v>45903</v>
      </c>
      <c r="D2543" s="2" t="n">
        <v>1</v>
      </c>
      <c r="E2543" s="3" t="inlineStr">
        <is>
          <t>CARABINA SEMIAUTOMATICA</t>
        </is>
      </c>
      <c r="F2543" s="3" t="inlineStr">
        <is>
          <t>22LR</t>
        </is>
      </c>
      <c r="G2543" s="3" t="inlineStr">
        <is>
          <t>BROWNING</t>
        </is>
      </c>
      <c r="H2543" s="65" t="inlineStr">
        <is>
          <t>WILDCAT FDE SA A THR 18''</t>
        </is>
      </c>
      <c r="I2543" s="65" t="inlineStr">
        <is>
          <t>TF614-25M02468</t>
        </is>
      </c>
      <c r="J2543" s="65" t="inlineStr">
        <is>
          <t>N/D</t>
        </is>
      </c>
      <c r="K2543" s="65" t="inlineStr">
        <is>
          <t>N/D</t>
        </is>
      </c>
      <c r="L2543" s="127" t="inlineStr">
        <is>
          <t>BROWNING INTERNATIONAL SRL</t>
        </is>
      </c>
      <c r="M2543" s="5" t="n">
        <v>276.3</v>
      </c>
      <c r="N2543" s="5" t="n"/>
      <c r="O2543" s="5">
        <f>+M2543+N2543</f>
        <v/>
      </c>
      <c r="P2543" s="4" t="n">
        <v>45895</v>
      </c>
      <c r="Q2543" s="87" t="n">
        <v>45869</v>
      </c>
      <c r="R2543" s="5" t="n"/>
      <c r="S2543" s="2" t="n"/>
      <c r="T2543" s="3" t="n"/>
      <c r="U2543" s="87" t="n"/>
      <c r="V2543" s="3" t="n"/>
      <c r="W2543" s="108" t="n"/>
      <c r="X2543" s="4" t="n"/>
    </row>
    <row r="2544" ht="24" customHeight="1">
      <c r="A2544" s="2">
        <f>+D2544-S2544</f>
        <v/>
      </c>
      <c r="B2544" s="80" t="n">
        <v>4136</v>
      </c>
      <c r="C2544" s="66" t="n">
        <v>45903</v>
      </c>
      <c r="D2544" s="2" t="n">
        <v>1</v>
      </c>
      <c r="E2544" s="3" t="inlineStr">
        <is>
          <t>CARABINA SEMIAUTOMATICA</t>
        </is>
      </c>
      <c r="F2544" s="3" t="inlineStr">
        <is>
          <t>22LR</t>
        </is>
      </c>
      <c r="G2544" s="3" t="inlineStr">
        <is>
          <t>BROWNING</t>
        </is>
      </c>
      <c r="H2544" s="65" t="inlineStr">
        <is>
          <t>WILDCAT FDE SA A THR 18''</t>
        </is>
      </c>
      <c r="I2544" s="65" t="inlineStr">
        <is>
          <t>TF614-25M02469</t>
        </is>
      </c>
      <c r="J2544" s="65" t="inlineStr">
        <is>
          <t>N/D</t>
        </is>
      </c>
      <c r="K2544" s="65" t="inlineStr">
        <is>
          <t>N/D</t>
        </is>
      </c>
      <c r="L2544" s="127" t="inlineStr">
        <is>
          <t>BROWNING INTERNATIONAL SRL</t>
        </is>
      </c>
      <c r="M2544" s="5" t="n">
        <v>276.3</v>
      </c>
      <c r="N2544" s="5" t="n"/>
      <c r="O2544" s="5">
        <f>+M2544+N2544</f>
        <v/>
      </c>
      <c r="P2544" s="4" t="n">
        <v>45895</v>
      </c>
      <c r="Q2544" s="87" t="n">
        <v>45869</v>
      </c>
      <c r="R2544" s="5" t="n"/>
      <c r="S2544" s="2" t="n"/>
      <c r="T2544" s="3" t="n"/>
      <c r="U2544" s="87" t="n"/>
      <c r="V2544" s="3" t="n"/>
      <c r="W2544" s="108" t="n"/>
      <c r="X2544" s="4" t="n"/>
    </row>
    <row r="2545" ht="24" customHeight="1">
      <c r="A2545" s="2">
        <f>+D2545-S2545</f>
        <v/>
      </c>
      <c r="B2545" s="80" t="n">
        <v>4137</v>
      </c>
      <c r="C2545" s="66" t="n">
        <v>45903</v>
      </c>
      <c r="D2545" s="2" t="n">
        <v>1</v>
      </c>
      <c r="E2545" s="3" t="inlineStr">
        <is>
          <t>CARABINA SEMIAUTOMATICA</t>
        </is>
      </c>
      <c r="F2545" s="3" t="inlineStr">
        <is>
          <t>22LR</t>
        </is>
      </c>
      <c r="G2545" s="3" t="inlineStr">
        <is>
          <t>BROWNING</t>
        </is>
      </c>
      <c r="H2545" s="65" t="inlineStr">
        <is>
          <t>WILDCAT FDE SA A THR 18''</t>
        </is>
      </c>
      <c r="I2545" s="65" t="inlineStr">
        <is>
          <t>TF614-25M02470</t>
        </is>
      </c>
      <c r="J2545" s="65" t="inlineStr">
        <is>
          <t>N/D</t>
        </is>
      </c>
      <c r="K2545" s="65" t="inlineStr">
        <is>
          <t>N/D</t>
        </is>
      </c>
      <c r="L2545" s="127" t="inlineStr">
        <is>
          <t>BROWNING INTERNATIONAL SRL</t>
        </is>
      </c>
      <c r="M2545" s="5" t="n">
        <v>276.3</v>
      </c>
      <c r="N2545" s="5" t="n"/>
      <c r="O2545" s="5">
        <f>+M2545+N2545</f>
        <v/>
      </c>
      <c r="P2545" s="4" t="n">
        <v>45895</v>
      </c>
      <c r="Q2545" s="87" t="n">
        <v>45869</v>
      </c>
      <c r="R2545" s="5" t="n"/>
      <c r="S2545" s="2" t="n"/>
      <c r="T2545" s="3" t="n"/>
      <c r="U2545" s="87" t="n"/>
      <c r="V2545" s="3" t="n"/>
      <c r="W2545" s="108" t="n"/>
      <c r="X2545" s="4" t="n"/>
    </row>
    <row r="2546" ht="24" customHeight="1">
      <c r="A2546" s="2">
        <f>+D2546-S2546</f>
        <v/>
      </c>
      <c r="B2546" s="80" t="n">
        <v>4138</v>
      </c>
      <c r="C2546" s="66" t="n">
        <v>45903</v>
      </c>
      <c r="D2546" s="2" t="n">
        <v>1</v>
      </c>
      <c r="E2546" s="3" t="inlineStr">
        <is>
          <t>CARABINA SEMIAUTOMATICA</t>
        </is>
      </c>
      <c r="F2546" s="3" t="inlineStr">
        <is>
          <t>22LR</t>
        </is>
      </c>
      <c r="G2546" s="3" t="inlineStr">
        <is>
          <t>BROWNING</t>
        </is>
      </c>
      <c r="H2546" s="65" t="inlineStr">
        <is>
          <t>WILDCAT FDE SA A THR 18''</t>
        </is>
      </c>
      <c r="I2546" s="65" t="inlineStr">
        <is>
          <t>TF614-25M02471</t>
        </is>
      </c>
      <c r="J2546" s="65" t="inlineStr">
        <is>
          <t>N/D</t>
        </is>
      </c>
      <c r="K2546" s="65" t="inlineStr">
        <is>
          <t>N/D</t>
        </is>
      </c>
      <c r="L2546" s="127" t="inlineStr">
        <is>
          <t>BROWNING INTERNATIONAL SRL</t>
        </is>
      </c>
      <c r="M2546" s="5" t="n">
        <v>276.3</v>
      </c>
      <c r="N2546" s="5" t="n"/>
      <c r="O2546" s="5">
        <f>+M2546+N2546</f>
        <v/>
      </c>
      <c r="P2546" s="4" t="n">
        <v>45895</v>
      </c>
      <c r="Q2546" s="87" t="n">
        <v>45869</v>
      </c>
      <c r="R2546" s="5" t="n"/>
      <c r="S2546" s="2" t="n"/>
      <c r="T2546" s="3" t="n"/>
      <c r="U2546" s="87" t="n"/>
      <c r="V2546" s="3" t="n"/>
      <c r="W2546" s="108" t="n"/>
      <c r="X2546" s="4" t="n"/>
    </row>
    <row r="2547" ht="24" customHeight="1">
      <c r="A2547" s="2">
        <f>+D2547-S2547</f>
        <v/>
      </c>
      <c r="B2547" s="80" t="n">
        <v>4139</v>
      </c>
      <c r="C2547" s="66" t="n">
        <v>45903</v>
      </c>
      <c r="D2547" s="2" t="n">
        <v>1</v>
      </c>
      <c r="E2547" s="3" t="inlineStr">
        <is>
          <t>CARABINA SEMIAUTOMATICA</t>
        </is>
      </c>
      <c r="F2547" s="3" t="inlineStr">
        <is>
          <t>22LR</t>
        </is>
      </c>
      <c r="G2547" s="3" t="inlineStr">
        <is>
          <t>BROWNING</t>
        </is>
      </c>
      <c r="H2547" s="65" t="inlineStr">
        <is>
          <t>WILDCAT FDE SA A THR 18''</t>
        </is>
      </c>
      <c r="I2547" s="65" t="inlineStr">
        <is>
          <t>TF614-25M02472</t>
        </is>
      </c>
      <c r="J2547" s="65" t="inlineStr">
        <is>
          <t>N/D</t>
        </is>
      </c>
      <c r="K2547" s="65" t="inlineStr">
        <is>
          <t>N/D</t>
        </is>
      </c>
      <c r="L2547" s="127" t="inlineStr">
        <is>
          <t>BROWNING INTERNATIONAL SRL</t>
        </is>
      </c>
      <c r="M2547" s="5" t="n">
        <v>276.3</v>
      </c>
      <c r="N2547" s="5" t="n"/>
      <c r="O2547" s="5">
        <f>+M2547+N2547</f>
        <v/>
      </c>
      <c r="P2547" s="4" t="n">
        <v>45895</v>
      </c>
      <c r="Q2547" s="87" t="n">
        <v>45869</v>
      </c>
      <c r="R2547" s="5" t="n"/>
      <c r="S2547" s="2" t="n"/>
      <c r="T2547" s="3" t="n"/>
      <c r="U2547" s="87" t="n"/>
      <c r="V2547" s="3" t="n"/>
      <c r="W2547" s="108" t="n"/>
      <c r="X2547" s="4" t="n"/>
    </row>
    <row r="2548" ht="24" customHeight="1">
      <c r="A2548" s="2">
        <f>+D2548-S2548</f>
        <v/>
      </c>
      <c r="B2548" s="80" t="n">
        <v>4140</v>
      </c>
      <c r="C2548" s="66" t="n">
        <v>45903</v>
      </c>
      <c r="D2548" s="2" t="n">
        <v>1</v>
      </c>
      <c r="E2548" s="3" t="inlineStr">
        <is>
          <t>CARABINA SEMIAUTOMATICA</t>
        </is>
      </c>
      <c r="F2548" s="3" t="inlineStr">
        <is>
          <t>22LR</t>
        </is>
      </c>
      <c r="G2548" s="3" t="inlineStr">
        <is>
          <t>BROWNING</t>
        </is>
      </c>
      <c r="H2548" s="65" t="inlineStr">
        <is>
          <t>WILDCAT FDE SA A THR 18''</t>
        </is>
      </c>
      <c r="I2548" s="65" t="inlineStr">
        <is>
          <t>TF614-25M02473</t>
        </is>
      </c>
      <c r="J2548" s="65" t="inlineStr">
        <is>
          <t>N/D</t>
        </is>
      </c>
      <c r="K2548" s="65" t="inlineStr">
        <is>
          <t>N/D</t>
        </is>
      </c>
      <c r="L2548" s="127" t="inlineStr">
        <is>
          <t>BROWNING INTERNATIONAL SRL</t>
        </is>
      </c>
      <c r="M2548" s="5" t="n">
        <v>276.3</v>
      </c>
      <c r="N2548" s="5" t="n"/>
      <c r="O2548" s="5">
        <f>+M2548+N2548</f>
        <v/>
      </c>
      <c r="P2548" s="4" t="n">
        <v>45895</v>
      </c>
      <c r="Q2548" s="87" t="n">
        <v>45869</v>
      </c>
      <c r="R2548" s="5" t="n"/>
      <c r="S2548" s="2" t="n"/>
      <c r="T2548" s="3" t="n"/>
      <c r="U2548" s="87" t="n"/>
      <c r="V2548" s="3" t="n"/>
      <c r="W2548" s="108" t="n"/>
      <c r="X2548" s="4" t="n"/>
    </row>
    <row r="2549" ht="24" customHeight="1">
      <c r="A2549" s="2">
        <f>+D2549-S2549</f>
        <v/>
      </c>
      <c r="B2549" s="80" t="n">
        <v>4141</v>
      </c>
      <c r="C2549" s="66" t="n">
        <v>45903</v>
      </c>
      <c r="D2549" s="2" t="n">
        <v>1</v>
      </c>
      <c r="E2549" s="3" t="inlineStr">
        <is>
          <t>CARABINA SEMIAUTOMATICA</t>
        </is>
      </c>
      <c r="F2549" s="3" t="inlineStr">
        <is>
          <t>22LR</t>
        </is>
      </c>
      <c r="G2549" s="3" t="inlineStr">
        <is>
          <t>BROWNING</t>
        </is>
      </c>
      <c r="H2549" s="65" t="inlineStr">
        <is>
          <t>WILDCAT FDE SA A THR 18''</t>
        </is>
      </c>
      <c r="I2549" s="65" t="inlineStr">
        <is>
          <t>TF614-25M02474</t>
        </is>
      </c>
      <c r="J2549" s="65" t="inlineStr">
        <is>
          <t>N/D</t>
        </is>
      </c>
      <c r="K2549" s="65" t="inlineStr">
        <is>
          <t>N/D</t>
        </is>
      </c>
      <c r="L2549" s="127" t="inlineStr">
        <is>
          <t>BROWNING INTERNATIONAL SRL</t>
        </is>
      </c>
      <c r="M2549" s="5" t="n">
        <v>276.3</v>
      </c>
      <c r="N2549" s="5" t="n"/>
      <c r="O2549" s="5">
        <f>+M2549+N2549</f>
        <v/>
      </c>
      <c r="P2549" s="4" t="n">
        <v>45895</v>
      </c>
      <c r="Q2549" s="87" t="n">
        <v>45869</v>
      </c>
      <c r="R2549" s="5" t="n"/>
      <c r="S2549" s="2" t="n"/>
      <c r="T2549" s="3" t="n"/>
      <c r="U2549" s="87" t="n"/>
      <c r="V2549" s="3" t="n"/>
      <c r="W2549" s="108" t="n"/>
      <c r="X2549" s="4" t="n"/>
    </row>
    <row r="2550" ht="24" customHeight="1">
      <c r="A2550" s="2">
        <f>+D2550-S2550</f>
        <v/>
      </c>
      <c r="B2550" s="80" t="n">
        <v>4142</v>
      </c>
      <c r="C2550" s="66" t="n">
        <v>45903</v>
      </c>
      <c r="D2550" s="2" t="n">
        <v>1</v>
      </c>
      <c r="E2550" s="3" t="inlineStr">
        <is>
          <t>CARABINA SEMIAUTOMATICA</t>
        </is>
      </c>
      <c r="F2550" s="3" t="inlineStr">
        <is>
          <t>22LR</t>
        </is>
      </c>
      <c r="G2550" s="3" t="inlineStr">
        <is>
          <t>BROWNING</t>
        </is>
      </c>
      <c r="H2550" s="65" t="inlineStr">
        <is>
          <t>WILDCAT FDE SA A THR 18''</t>
        </is>
      </c>
      <c r="I2550" s="65" t="inlineStr">
        <is>
          <t>TF614-25M02475</t>
        </is>
      </c>
      <c r="J2550" s="65" t="inlineStr">
        <is>
          <t>N/D</t>
        </is>
      </c>
      <c r="K2550" s="65" t="inlineStr">
        <is>
          <t>N/D</t>
        </is>
      </c>
      <c r="L2550" s="127" t="inlineStr">
        <is>
          <t>BROWNING INTERNATIONAL SRL</t>
        </is>
      </c>
      <c r="M2550" s="5" t="n">
        <v>276.3</v>
      </c>
      <c r="N2550" s="5" t="n"/>
      <c r="O2550" s="5">
        <f>+M2550+N2550</f>
        <v/>
      </c>
      <c r="P2550" s="4" t="n">
        <v>45895</v>
      </c>
      <c r="Q2550" s="87" t="n">
        <v>45869</v>
      </c>
      <c r="R2550" s="5" t="n"/>
      <c r="S2550" s="2" t="n"/>
      <c r="T2550" s="3" t="n"/>
      <c r="U2550" s="87" t="n"/>
      <c r="V2550" s="3" t="n"/>
      <c r="W2550" s="108" t="n"/>
      <c r="X2550" s="4" t="n"/>
    </row>
    <row r="2551" ht="24" customHeight="1">
      <c r="A2551" s="2">
        <f>+D2551-S2551</f>
        <v/>
      </c>
      <c r="B2551" s="80" t="n">
        <v>4143</v>
      </c>
      <c r="C2551" s="66" t="n">
        <v>45903</v>
      </c>
      <c r="D2551" s="2" t="n">
        <v>1</v>
      </c>
      <c r="E2551" s="3" t="inlineStr">
        <is>
          <t>CARABINA SEMIAUTOMATICA</t>
        </is>
      </c>
      <c r="F2551" s="3" t="inlineStr">
        <is>
          <t>22LR</t>
        </is>
      </c>
      <c r="G2551" s="3" t="inlineStr">
        <is>
          <t>BROWNING</t>
        </is>
      </c>
      <c r="H2551" s="65" t="inlineStr">
        <is>
          <t>WILDCAT FDE SA A THR 18''</t>
        </is>
      </c>
      <c r="I2551" s="65" t="inlineStr">
        <is>
          <t>TF614-25M02476</t>
        </is>
      </c>
      <c r="J2551" s="65" t="inlineStr">
        <is>
          <t>N/D</t>
        </is>
      </c>
      <c r="K2551" s="65" t="inlineStr">
        <is>
          <t>N/D</t>
        </is>
      </c>
      <c r="L2551" s="127" t="inlineStr">
        <is>
          <t>BROWNING INTERNATIONAL SRL</t>
        </is>
      </c>
      <c r="M2551" s="5" t="n">
        <v>276.3</v>
      </c>
      <c r="N2551" s="5" t="n"/>
      <c r="O2551" s="5">
        <f>+M2551+N2551</f>
        <v/>
      </c>
      <c r="P2551" s="4" t="n">
        <v>45895</v>
      </c>
      <c r="Q2551" s="87" t="n">
        <v>45869</v>
      </c>
      <c r="R2551" s="5" t="n"/>
      <c r="S2551" s="2" t="n"/>
      <c r="T2551" s="3" t="n"/>
      <c r="U2551" s="87" t="n"/>
      <c r="V2551" s="3" t="n"/>
      <c r="W2551" s="108" t="n"/>
      <c r="X2551" s="4" t="n"/>
    </row>
    <row r="2552" ht="24" customHeight="1">
      <c r="A2552" s="2">
        <f>+D2552-S2552</f>
        <v/>
      </c>
      <c r="B2552" s="80" t="n">
        <v>4144</v>
      </c>
      <c r="C2552" s="66" t="n">
        <v>45903</v>
      </c>
      <c r="D2552" s="2" t="n">
        <v>1</v>
      </c>
      <c r="E2552" s="3" t="inlineStr">
        <is>
          <t>CARABINA SEMIAUTOMATICA</t>
        </is>
      </c>
      <c r="F2552" s="3" t="inlineStr">
        <is>
          <t>22LR</t>
        </is>
      </c>
      <c r="G2552" s="3" t="inlineStr">
        <is>
          <t>BROWNING</t>
        </is>
      </c>
      <c r="H2552" s="65" t="inlineStr">
        <is>
          <t>WILDCAT FDE SA A THR 18''</t>
        </is>
      </c>
      <c r="I2552" s="65" t="inlineStr">
        <is>
          <t>TF614-25M02477</t>
        </is>
      </c>
      <c r="J2552" s="65" t="inlineStr">
        <is>
          <t>N/D</t>
        </is>
      </c>
      <c r="K2552" s="65" t="inlineStr">
        <is>
          <t>N/D</t>
        </is>
      </c>
      <c r="L2552" s="127" t="inlineStr">
        <is>
          <t>BROWNING INTERNATIONAL SRL</t>
        </is>
      </c>
      <c r="M2552" s="5" t="n">
        <v>276.3</v>
      </c>
      <c r="N2552" s="5" t="n"/>
      <c r="O2552" s="5">
        <f>+M2552+N2552</f>
        <v/>
      </c>
      <c r="P2552" s="4" t="n">
        <v>45895</v>
      </c>
      <c r="Q2552" s="87" t="n">
        <v>45869</v>
      </c>
      <c r="R2552" s="5" t="n"/>
      <c r="S2552" s="2" t="n"/>
      <c r="T2552" s="3" t="n"/>
      <c r="U2552" s="87" t="n"/>
      <c r="V2552" s="3" t="n"/>
      <c r="W2552" s="108" t="n"/>
      <c r="X2552" s="4" t="n"/>
    </row>
    <row r="2553" ht="24" customHeight="1">
      <c r="A2553" s="2">
        <f>+D2553-S2553</f>
        <v/>
      </c>
      <c r="B2553" s="80" t="n">
        <v>4145</v>
      </c>
      <c r="C2553" s="66" t="n">
        <v>45903</v>
      </c>
      <c r="D2553" s="2" t="n">
        <v>1</v>
      </c>
      <c r="E2553" s="3" t="inlineStr">
        <is>
          <t>CARABINA SEMIAUTOMATICA</t>
        </is>
      </c>
      <c r="F2553" s="3" t="inlineStr">
        <is>
          <t>22LR</t>
        </is>
      </c>
      <c r="G2553" s="3" t="inlineStr">
        <is>
          <t>BROWNING</t>
        </is>
      </c>
      <c r="H2553" s="65" t="inlineStr">
        <is>
          <t>WILDCAT FDE SA A THR 18''</t>
        </is>
      </c>
      <c r="I2553" s="65" t="inlineStr">
        <is>
          <t>TF614-25M02478</t>
        </is>
      </c>
      <c r="J2553" s="65" t="inlineStr">
        <is>
          <t>N/D</t>
        </is>
      </c>
      <c r="K2553" s="65" t="inlineStr">
        <is>
          <t>N/D</t>
        </is>
      </c>
      <c r="L2553" s="127" t="inlineStr">
        <is>
          <t>BROWNING INTERNATIONAL SRL</t>
        </is>
      </c>
      <c r="M2553" s="5" t="n">
        <v>276.3</v>
      </c>
      <c r="N2553" s="5" t="n"/>
      <c r="O2553" s="5">
        <f>+M2553+N2553</f>
        <v/>
      </c>
      <c r="P2553" s="4" t="n">
        <v>45895</v>
      </c>
      <c r="Q2553" s="87" t="n">
        <v>45869</v>
      </c>
      <c r="R2553" s="5" t="n"/>
      <c r="S2553" s="2" t="n"/>
      <c r="T2553" s="3" t="n"/>
      <c r="U2553" s="87" t="n"/>
      <c r="V2553" s="3" t="n"/>
      <c r="W2553" s="108" t="n"/>
      <c r="X2553" s="4" t="n"/>
    </row>
    <row r="2554" ht="24" customHeight="1">
      <c r="A2554" s="2">
        <f>+D2554-S2554</f>
        <v/>
      </c>
      <c r="B2554" s="80" t="n">
        <v>4146</v>
      </c>
      <c r="C2554" s="66" t="n">
        <v>45903</v>
      </c>
      <c r="D2554" s="2" t="n">
        <v>1</v>
      </c>
      <c r="E2554" s="3" t="inlineStr">
        <is>
          <t>CARABINA SEMIAUTOMATICA</t>
        </is>
      </c>
      <c r="F2554" s="3" t="inlineStr">
        <is>
          <t>22LR</t>
        </is>
      </c>
      <c r="G2554" s="3" t="inlineStr">
        <is>
          <t>BROWNING</t>
        </is>
      </c>
      <c r="H2554" s="65" t="inlineStr">
        <is>
          <t>WILDCAT FDE SA A THR 18''</t>
        </is>
      </c>
      <c r="I2554" s="65" t="inlineStr">
        <is>
          <t>TF614-25M02479</t>
        </is>
      </c>
      <c r="J2554" s="65" t="inlineStr">
        <is>
          <t>N/D</t>
        </is>
      </c>
      <c r="K2554" s="65" t="inlineStr">
        <is>
          <t>N/D</t>
        </is>
      </c>
      <c r="L2554" s="127" t="inlineStr">
        <is>
          <t>BROWNING INTERNATIONAL SRL</t>
        </is>
      </c>
      <c r="M2554" s="5" t="n">
        <v>276.3</v>
      </c>
      <c r="N2554" s="5" t="n"/>
      <c r="O2554" s="5">
        <f>+M2554+N2554</f>
        <v/>
      </c>
      <c r="P2554" s="4" t="n">
        <v>45895</v>
      </c>
      <c r="Q2554" s="87" t="n">
        <v>45869</v>
      </c>
      <c r="R2554" s="5" t="n"/>
      <c r="S2554" s="2" t="n"/>
      <c r="T2554" s="3" t="n"/>
      <c r="U2554" s="87" t="n"/>
      <c r="V2554" s="3" t="n"/>
      <c r="W2554" s="108" t="n"/>
      <c r="X2554" s="4" t="n"/>
    </row>
    <row r="2555" ht="24" customHeight="1">
      <c r="A2555" s="2">
        <f>+D2555-S2555</f>
        <v/>
      </c>
      <c r="B2555" s="80" t="n">
        <v>4147</v>
      </c>
      <c r="C2555" s="66" t="n">
        <v>45903</v>
      </c>
      <c r="D2555" s="2" t="n">
        <v>1</v>
      </c>
      <c r="E2555" s="3" t="inlineStr">
        <is>
          <t>CARABINA SEMIAUTOMATICA</t>
        </is>
      </c>
      <c r="F2555" s="3" t="inlineStr">
        <is>
          <t>22LR</t>
        </is>
      </c>
      <c r="G2555" s="3" t="inlineStr">
        <is>
          <t>BROWNING</t>
        </is>
      </c>
      <c r="H2555" s="65" t="inlineStr">
        <is>
          <t>WILDCAT FDE SA A THR 18''</t>
        </is>
      </c>
      <c r="I2555" s="65" t="inlineStr">
        <is>
          <t>TF614-25M02480</t>
        </is>
      </c>
      <c r="J2555" s="65" t="inlineStr">
        <is>
          <t>N/D</t>
        </is>
      </c>
      <c r="K2555" s="65" t="inlineStr">
        <is>
          <t>N/D</t>
        </is>
      </c>
      <c r="L2555" s="127" t="inlineStr">
        <is>
          <t>BROWNING INTERNATIONAL SRL</t>
        </is>
      </c>
      <c r="M2555" s="5" t="n">
        <v>276.3</v>
      </c>
      <c r="N2555" s="5" t="n"/>
      <c r="O2555" s="5">
        <f>+M2555+N2555</f>
        <v/>
      </c>
      <c r="P2555" s="4" t="n">
        <v>45895</v>
      </c>
      <c r="Q2555" s="87" t="n">
        <v>45869</v>
      </c>
      <c r="R2555" s="5" t="n"/>
      <c r="S2555" s="2" t="n"/>
      <c r="T2555" s="3" t="n"/>
      <c r="U2555" s="87" t="n"/>
      <c r="V2555" s="3" t="n"/>
      <c r="W2555" s="108" t="n"/>
      <c r="X2555" s="4" t="n"/>
    </row>
    <row r="2556" ht="24" customHeight="1">
      <c r="A2556" s="2">
        <f>+D2556-S2556</f>
        <v/>
      </c>
      <c r="B2556" s="80" t="n">
        <v>4148</v>
      </c>
      <c r="C2556" s="66" t="n">
        <v>45903</v>
      </c>
      <c r="D2556" s="2" t="n">
        <v>1</v>
      </c>
      <c r="E2556" s="3" t="inlineStr">
        <is>
          <t>CARABINA SEMIAUTOMATICA</t>
        </is>
      </c>
      <c r="F2556" s="3" t="inlineStr">
        <is>
          <t>22LR</t>
        </is>
      </c>
      <c r="G2556" s="3" t="inlineStr">
        <is>
          <t>BROWNING</t>
        </is>
      </c>
      <c r="H2556" s="65" t="inlineStr">
        <is>
          <t>WILDCAT FDE SA A THR 18''</t>
        </is>
      </c>
      <c r="I2556" s="65" t="inlineStr">
        <is>
          <t>TF614-25M02481</t>
        </is>
      </c>
      <c r="J2556" s="65" t="inlineStr">
        <is>
          <t>N/D</t>
        </is>
      </c>
      <c r="K2556" s="65" t="inlineStr">
        <is>
          <t>N/D</t>
        </is>
      </c>
      <c r="L2556" s="127" t="inlineStr">
        <is>
          <t>BROWNING INTERNATIONAL SRL</t>
        </is>
      </c>
      <c r="M2556" s="5" t="n">
        <v>276.3</v>
      </c>
      <c r="N2556" s="5" t="n"/>
      <c r="O2556" s="5">
        <f>+M2556+N2556</f>
        <v/>
      </c>
      <c r="P2556" s="4" t="n">
        <v>45895</v>
      </c>
      <c r="Q2556" s="87" t="n">
        <v>45869</v>
      </c>
      <c r="R2556" s="5" t="n"/>
      <c r="S2556" s="2" t="n"/>
      <c r="T2556" s="3" t="n"/>
      <c r="U2556" s="87" t="n"/>
      <c r="V2556" s="3" t="n"/>
      <c r="W2556" s="108" t="n"/>
      <c r="X2556" s="4" t="n"/>
    </row>
    <row r="2557" ht="24" customHeight="1">
      <c r="A2557" s="2">
        <f>+D2557-S2557</f>
        <v/>
      </c>
      <c r="B2557" s="80" t="n">
        <v>4149</v>
      </c>
      <c r="C2557" s="66" t="n">
        <v>45903</v>
      </c>
      <c r="D2557" s="2" t="n">
        <v>1</v>
      </c>
      <c r="E2557" s="3" t="inlineStr">
        <is>
          <t>CARABINA SEMIAUTOMATICA</t>
        </is>
      </c>
      <c r="F2557" s="3" t="inlineStr">
        <is>
          <t>22LR</t>
        </is>
      </c>
      <c r="G2557" s="3" t="inlineStr">
        <is>
          <t>BROWNING</t>
        </is>
      </c>
      <c r="H2557" s="65" t="inlineStr">
        <is>
          <t>WILDCAT FDE SA A THR 18''</t>
        </is>
      </c>
      <c r="I2557" s="65" t="inlineStr">
        <is>
          <t>TF614-25M02482</t>
        </is>
      </c>
      <c r="J2557" s="65" t="inlineStr">
        <is>
          <t>N/D</t>
        </is>
      </c>
      <c r="K2557" s="65" t="inlineStr">
        <is>
          <t>N/D</t>
        </is>
      </c>
      <c r="L2557" s="127" t="inlineStr">
        <is>
          <t>BROWNING INTERNATIONAL SRL</t>
        </is>
      </c>
      <c r="M2557" s="5" t="n">
        <v>276.3</v>
      </c>
      <c r="N2557" s="5" t="n"/>
      <c r="O2557" s="5">
        <f>+M2557+N2557</f>
        <v/>
      </c>
      <c r="P2557" s="4" t="n">
        <v>45895</v>
      </c>
      <c r="Q2557" s="87" t="n">
        <v>45869</v>
      </c>
      <c r="R2557" s="5" t="n"/>
      <c r="S2557" s="2" t="n"/>
      <c r="T2557" s="3" t="n"/>
      <c r="U2557" s="87" t="n"/>
      <c r="V2557" s="3" t="n"/>
      <c r="W2557" s="108" t="n"/>
      <c r="X2557" s="4" t="n"/>
    </row>
    <row r="2558" ht="24" customHeight="1">
      <c r="A2558" s="2">
        <f>+D2558-S2558</f>
        <v/>
      </c>
      <c r="B2558" s="80" t="n">
        <v>4150</v>
      </c>
      <c r="C2558" s="66" t="n">
        <v>45903</v>
      </c>
      <c r="D2558" s="2" t="n">
        <v>1</v>
      </c>
      <c r="E2558" s="3" t="inlineStr">
        <is>
          <t>CARABINA SEMIAUTOMATICA</t>
        </is>
      </c>
      <c r="F2558" s="3" t="inlineStr">
        <is>
          <t>22LR</t>
        </is>
      </c>
      <c r="G2558" s="3" t="inlineStr">
        <is>
          <t>BROWNING</t>
        </is>
      </c>
      <c r="H2558" s="65" t="inlineStr">
        <is>
          <t>WILDCAT FDE SA A THR 18''</t>
        </is>
      </c>
      <c r="I2558" s="65" t="inlineStr">
        <is>
          <t>TF614-25M02483</t>
        </is>
      </c>
      <c r="J2558" s="65" t="inlineStr">
        <is>
          <t>N/D</t>
        </is>
      </c>
      <c r="K2558" s="65" t="inlineStr">
        <is>
          <t>N/D</t>
        </is>
      </c>
      <c r="L2558" s="127" t="inlineStr">
        <is>
          <t>BROWNING INTERNATIONAL SRL</t>
        </is>
      </c>
      <c r="M2558" s="5" t="n">
        <v>276.3</v>
      </c>
      <c r="N2558" s="5" t="n"/>
      <c r="O2558" s="5">
        <f>+M2558+N2558</f>
        <v/>
      </c>
      <c r="P2558" s="4" t="n">
        <v>45895</v>
      </c>
      <c r="Q2558" s="87" t="n">
        <v>45869</v>
      </c>
      <c r="R2558" s="5" t="n"/>
      <c r="S2558" s="2" t="n"/>
      <c r="T2558" s="3" t="n"/>
      <c r="U2558" s="87" t="n"/>
      <c r="V2558" s="3" t="n"/>
      <c r="W2558" s="108" t="n"/>
      <c r="X2558" s="4" t="n"/>
    </row>
    <row r="2559" ht="24" customHeight="1">
      <c r="A2559" s="2">
        <f>+D2559-S2559</f>
        <v/>
      </c>
      <c r="B2559" s="80" t="n">
        <v>4151</v>
      </c>
      <c r="C2559" s="66" t="n">
        <v>45903</v>
      </c>
      <c r="D2559" s="2" t="n">
        <v>1</v>
      </c>
      <c r="E2559" s="3" t="inlineStr">
        <is>
          <t>CARABINA SEMIAUTOMATICA</t>
        </is>
      </c>
      <c r="F2559" s="3" t="inlineStr">
        <is>
          <t>22LR</t>
        </is>
      </c>
      <c r="G2559" s="3" t="inlineStr">
        <is>
          <t>BROWNING</t>
        </is>
      </c>
      <c r="H2559" s="65" t="inlineStr">
        <is>
          <t>WILDCAT FDE SA A THR 18''</t>
        </is>
      </c>
      <c r="I2559" s="65" t="inlineStr">
        <is>
          <t>TF614-25M02484</t>
        </is>
      </c>
      <c r="J2559" s="65" t="inlineStr">
        <is>
          <t>N/D</t>
        </is>
      </c>
      <c r="K2559" s="65" t="inlineStr">
        <is>
          <t>N/D</t>
        </is>
      </c>
      <c r="L2559" s="127" t="inlineStr">
        <is>
          <t>BROWNING INTERNATIONAL SRL</t>
        </is>
      </c>
      <c r="M2559" s="5" t="n">
        <v>276.3</v>
      </c>
      <c r="N2559" s="5" t="n"/>
      <c r="O2559" s="5">
        <f>+M2559+N2559</f>
        <v/>
      </c>
      <c r="P2559" s="4" t="n">
        <v>45895</v>
      </c>
      <c r="Q2559" s="87" t="n">
        <v>45869</v>
      </c>
      <c r="R2559" s="5" t="n"/>
      <c r="S2559" s="2" t="n"/>
      <c r="T2559" s="3" t="n"/>
      <c r="U2559" s="87" t="n"/>
      <c r="V2559" s="3" t="n"/>
      <c r="W2559" s="108" t="n"/>
      <c r="X2559" s="4" t="n"/>
    </row>
    <row r="2560" ht="24" customHeight="1">
      <c r="A2560" s="2">
        <f>+D2560-S2560</f>
        <v/>
      </c>
      <c r="B2560" s="80" t="n">
        <v>4152</v>
      </c>
      <c r="C2560" s="66" t="n">
        <v>45903</v>
      </c>
      <c r="D2560" s="2" t="n">
        <v>1</v>
      </c>
      <c r="E2560" s="3" t="inlineStr">
        <is>
          <t>CARABINA SEMIAUTOMATICA</t>
        </is>
      </c>
      <c r="F2560" s="3" t="inlineStr">
        <is>
          <t>22LR</t>
        </is>
      </c>
      <c r="G2560" s="3" t="inlineStr">
        <is>
          <t>BROWNING</t>
        </is>
      </c>
      <c r="H2560" s="65" t="inlineStr">
        <is>
          <t>WILDCAT FDE SA A THR 18''</t>
        </is>
      </c>
      <c r="I2560" s="65" t="inlineStr">
        <is>
          <t>TF614-25M02485</t>
        </is>
      </c>
      <c r="J2560" s="65" t="inlineStr">
        <is>
          <t>N/D</t>
        </is>
      </c>
      <c r="K2560" s="65" t="inlineStr">
        <is>
          <t>N/D</t>
        </is>
      </c>
      <c r="L2560" s="127" t="inlineStr">
        <is>
          <t>BROWNING INTERNATIONAL SRL</t>
        </is>
      </c>
      <c r="M2560" s="5" t="n">
        <v>276.3</v>
      </c>
      <c r="N2560" s="5" t="n"/>
      <c r="O2560" s="5">
        <f>+M2560+N2560</f>
        <v/>
      </c>
      <c r="P2560" s="4" t="n">
        <v>45895</v>
      </c>
      <c r="Q2560" s="87" t="n">
        <v>45869</v>
      </c>
      <c r="R2560" s="5" t="n"/>
      <c r="S2560" s="2" t="n"/>
      <c r="T2560" s="3" t="n"/>
      <c r="U2560" s="87" t="n"/>
      <c r="V2560" s="3" t="n"/>
      <c r="W2560" s="108" t="n"/>
      <c r="X2560" s="4" t="n"/>
    </row>
    <row r="2561" ht="24" customHeight="1">
      <c r="A2561" s="2">
        <f>+D2561-S2561</f>
        <v/>
      </c>
      <c r="B2561" s="80" t="n">
        <v>4153</v>
      </c>
      <c r="C2561" s="66" t="n">
        <v>45903</v>
      </c>
      <c r="D2561" s="2" t="n">
        <v>1</v>
      </c>
      <c r="E2561" s="3" t="inlineStr">
        <is>
          <t>CARABINA SEMIAUTOMATICA</t>
        </is>
      </c>
      <c r="F2561" s="3" t="inlineStr">
        <is>
          <t>22LR</t>
        </is>
      </c>
      <c r="G2561" s="3" t="inlineStr">
        <is>
          <t>BROWNING</t>
        </is>
      </c>
      <c r="H2561" s="65" t="inlineStr">
        <is>
          <t>WILDCAT FDE SA A THR 18''</t>
        </is>
      </c>
      <c r="I2561" s="65" t="inlineStr">
        <is>
          <t>TF614-25M02486</t>
        </is>
      </c>
      <c r="J2561" s="65" t="inlineStr">
        <is>
          <t>N/D</t>
        </is>
      </c>
      <c r="K2561" s="65" t="inlineStr">
        <is>
          <t>N/D</t>
        </is>
      </c>
      <c r="L2561" s="127" t="inlineStr">
        <is>
          <t>BROWNING INTERNATIONAL SRL</t>
        </is>
      </c>
      <c r="M2561" s="5" t="n">
        <v>276.3</v>
      </c>
      <c r="N2561" s="5" t="n"/>
      <c r="O2561" s="5">
        <f>+M2561+N2561</f>
        <v/>
      </c>
      <c r="P2561" s="4" t="n">
        <v>45895</v>
      </c>
      <c r="Q2561" s="87" t="n">
        <v>45869</v>
      </c>
      <c r="R2561" s="5" t="n"/>
      <c r="S2561" s="2" t="n"/>
      <c r="T2561" s="3" t="n"/>
      <c r="U2561" s="87" t="n"/>
      <c r="V2561" s="3" t="n"/>
      <c r="W2561" s="108" t="n"/>
      <c r="X2561" s="4" t="n"/>
    </row>
    <row r="2562" ht="24" customHeight="1">
      <c r="A2562" s="2">
        <f>+D2562-S2562</f>
        <v/>
      </c>
      <c r="B2562" s="80" t="n">
        <v>4154</v>
      </c>
      <c r="C2562" s="66" t="n">
        <v>45903</v>
      </c>
      <c r="D2562" s="2" t="n">
        <v>1</v>
      </c>
      <c r="E2562" s="3" t="inlineStr">
        <is>
          <t>CARABINA SEMIAUTOMATICA</t>
        </is>
      </c>
      <c r="F2562" s="3" t="inlineStr">
        <is>
          <t>22LR</t>
        </is>
      </c>
      <c r="G2562" s="3" t="inlineStr">
        <is>
          <t>BROWNING</t>
        </is>
      </c>
      <c r="H2562" s="65" t="inlineStr">
        <is>
          <t>WILDCAT FDE SA A THR 18''</t>
        </is>
      </c>
      <c r="I2562" s="65" t="inlineStr">
        <is>
          <t>TF614-25M02487</t>
        </is>
      </c>
      <c r="J2562" s="65" t="inlineStr">
        <is>
          <t>N/D</t>
        </is>
      </c>
      <c r="K2562" s="65" t="inlineStr">
        <is>
          <t>N/D</t>
        </is>
      </c>
      <c r="L2562" s="127" t="inlineStr">
        <is>
          <t>BROWNING INTERNATIONAL SRL</t>
        </is>
      </c>
      <c r="M2562" s="5" t="n">
        <v>276.3</v>
      </c>
      <c r="N2562" s="5" t="n"/>
      <c r="O2562" s="5">
        <f>+M2562+N2562</f>
        <v/>
      </c>
      <c r="P2562" s="4" t="n">
        <v>45895</v>
      </c>
      <c r="Q2562" s="87" t="n">
        <v>45869</v>
      </c>
      <c r="R2562" s="5" t="n"/>
      <c r="S2562" s="2" t="n"/>
      <c r="T2562" s="3" t="n"/>
      <c r="U2562" s="87" t="n"/>
      <c r="V2562" s="3" t="n"/>
      <c r="W2562" s="108" t="n"/>
      <c r="X2562" s="4" t="n"/>
    </row>
    <row r="2563" ht="24" customHeight="1">
      <c r="A2563" s="2">
        <f>+D2563-S2563</f>
        <v/>
      </c>
      <c r="B2563" s="80" t="n">
        <v>4155</v>
      </c>
      <c r="C2563" s="66" t="n">
        <v>45903</v>
      </c>
      <c r="D2563" s="2" t="n">
        <v>1</v>
      </c>
      <c r="E2563" s="3" t="inlineStr">
        <is>
          <t>CARABINA SEMIAUTOMATICA</t>
        </is>
      </c>
      <c r="F2563" s="3" t="inlineStr">
        <is>
          <t>22LR</t>
        </is>
      </c>
      <c r="G2563" s="3" t="inlineStr">
        <is>
          <t>BROWNING</t>
        </is>
      </c>
      <c r="H2563" s="65" t="inlineStr">
        <is>
          <t>WILDCAT FDE SA A THR 18''</t>
        </is>
      </c>
      <c r="I2563" s="65" t="inlineStr">
        <is>
          <t>TF614-25M02488</t>
        </is>
      </c>
      <c r="J2563" s="65" t="inlineStr">
        <is>
          <t>N/D</t>
        </is>
      </c>
      <c r="K2563" s="65" t="inlineStr">
        <is>
          <t>N/D</t>
        </is>
      </c>
      <c r="L2563" s="127" t="inlineStr">
        <is>
          <t>BROWNING INTERNATIONAL SRL</t>
        </is>
      </c>
      <c r="M2563" s="5" t="n">
        <v>276.3</v>
      </c>
      <c r="N2563" s="5" t="n"/>
      <c r="O2563" s="5">
        <f>+M2563+N2563</f>
        <v/>
      </c>
      <c r="P2563" s="4" t="n">
        <v>45895</v>
      </c>
      <c r="Q2563" s="87" t="n">
        <v>45869</v>
      </c>
      <c r="R2563" s="5" t="n"/>
      <c r="S2563" s="2" t="n"/>
      <c r="T2563" s="3" t="n"/>
      <c r="U2563" s="87" t="n"/>
      <c r="V2563" s="3" t="n"/>
      <c r="W2563" s="108" t="n"/>
      <c r="X2563" s="4" t="n"/>
    </row>
    <row r="2564" ht="24" customHeight="1">
      <c r="A2564" s="2">
        <f>+D2564-S2564</f>
        <v/>
      </c>
      <c r="B2564" s="80" t="n">
        <v>4156</v>
      </c>
      <c r="C2564" s="66" t="n">
        <v>45903</v>
      </c>
      <c r="D2564" s="2" t="n">
        <v>1</v>
      </c>
      <c r="E2564" s="3" t="inlineStr">
        <is>
          <t>CARABINA SEMIAUTOMATICA</t>
        </is>
      </c>
      <c r="F2564" s="3" t="inlineStr">
        <is>
          <t>22LR</t>
        </is>
      </c>
      <c r="G2564" s="3" t="inlineStr">
        <is>
          <t>BROWNING</t>
        </is>
      </c>
      <c r="H2564" s="65" t="inlineStr">
        <is>
          <t>WILDCAT FDE SA A THR 18''</t>
        </is>
      </c>
      <c r="I2564" s="65" t="inlineStr">
        <is>
          <t>TF614-25M02489</t>
        </is>
      </c>
      <c r="J2564" s="65" t="inlineStr">
        <is>
          <t>N/D</t>
        </is>
      </c>
      <c r="K2564" s="65" t="inlineStr">
        <is>
          <t>N/D</t>
        </is>
      </c>
      <c r="L2564" s="127" t="inlineStr">
        <is>
          <t>BROWNING INTERNATIONAL SRL</t>
        </is>
      </c>
      <c r="M2564" s="5" t="n">
        <v>276.3</v>
      </c>
      <c r="N2564" s="5" t="n"/>
      <c r="O2564" s="5">
        <f>+M2564+N2564</f>
        <v/>
      </c>
      <c r="P2564" s="4" t="n">
        <v>45895</v>
      </c>
      <c r="Q2564" s="87" t="n">
        <v>45869</v>
      </c>
      <c r="R2564" s="5" t="n"/>
      <c r="S2564" s="2" t="n"/>
      <c r="T2564" s="3" t="n"/>
      <c r="U2564" s="87" t="n"/>
      <c r="V2564" s="3" t="n"/>
      <c r="W2564" s="108" t="n"/>
      <c r="X2564" s="4" t="n"/>
    </row>
    <row r="2565" ht="24" customHeight="1">
      <c r="A2565" s="2">
        <f>+D2565-S2565</f>
        <v/>
      </c>
      <c r="B2565" s="80" t="n">
        <v>4157</v>
      </c>
      <c r="C2565" s="66" t="n">
        <v>45903</v>
      </c>
      <c r="D2565" s="2" t="n">
        <v>1</v>
      </c>
      <c r="E2565" s="3" t="inlineStr">
        <is>
          <t>CARABINA SEMIAUTOMATICA</t>
        </is>
      </c>
      <c r="F2565" s="3" t="inlineStr">
        <is>
          <t>22LR</t>
        </is>
      </c>
      <c r="G2565" s="3" t="inlineStr">
        <is>
          <t>BROWNING</t>
        </is>
      </c>
      <c r="H2565" s="65" t="inlineStr">
        <is>
          <t>WILDCAT FDE SA A THR 18''</t>
        </is>
      </c>
      <c r="I2565" s="65" t="inlineStr">
        <is>
          <t>TF614-25M02490</t>
        </is>
      </c>
      <c r="J2565" s="65" t="inlineStr">
        <is>
          <t>N/D</t>
        </is>
      </c>
      <c r="K2565" s="65" t="inlineStr">
        <is>
          <t>N/D</t>
        </is>
      </c>
      <c r="L2565" s="127" t="inlineStr">
        <is>
          <t>BROWNING INTERNATIONAL SRL</t>
        </is>
      </c>
      <c r="M2565" s="5" t="n">
        <v>276.3</v>
      </c>
      <c r="N2565" s="5" t="n"/>
      <c r="O2565" s="5">
        <f>+M2565+N2565</f>
        <v/>
      </c>
      <c r="P2565" s="4" t="n">
        <v>45895</v>
      </c>
      <c r="Q2565" s="87" t="n">
        <v>45869</v>
      </c>
      <c r="R2565" s="5" t="n"/>
      <c r="S2565" s="2" t="n"/>
      <c r="T2565" s="3" t="n"/>
      <c r="U2565" s="87" t="n"/>
      <c r="V2565" s="3" t="n"/>
      <c r="W2565" s="108" t="n"/>
      <c r="X2565" s="4" t="n"/>
    </row>
    <row r="2566" ht="24" customHeight="1">
      <c r="A2566" s="2">
        <f>+D2566-S2566</f>
        <v/>
      </c>
      <c r="B2566" s="80" t="n">
        <v>4158</v>
      </c>
      <c r="C2566" s="66" t="n">
        <v>45903</v>
      </c>
      <c r="D2566" s="2" t="n">
        <v>1</v>
      </c>
      <c r="E2566" s="3" t="inlineStr">
        <is>
          <t>CARABINA SEMIAUTOMATICA</t>
        </is>
      </c>
      <c r="F2566" s="3" t="inlineStr">
        <is>
          <t>22LR</t>
        </is>
      </c>
      <c r="G2566" s="3" t="inlineStr">
        <is>
          <t>BROWNING</t>
        </is>
      </c>
      <c r="H2566" s="65" t="inlineStr">
        <is>
          <t>WILDCAT FDE SA A THR 18''</t>
        </is>
      </c>
      <c r="I2566" s="65" t="inlineStr">
        <is>
          <t>TF614-25M02491</t>
        </is>
      </c>
      <c r="J2566" s="65" t="inlineStr">
        <is>
          <t>N/D</t>
        </is>
      </c>
      <c r="K2566" s="65" t="inlineStr">
        <is>
          <t>N/D</t>
        </is>
      </c>
      <c r="L2566" s="127" t="inlineStr">
        <is>
          <t>BROWNING INTERNATIONAL SRL</t>
        </is>
      </c>
      <c r="M2566" s="5" t="n">
        <v>276.3</v>
      </c>
      <c r="N2566" s="5" t="n"/>
      <c r="O2566" s="5">
        <f>+M2566+N2566</f>
        <v/>
      </c>
      <c r="P2566" s="4" t="n">
        <v>45895</v>
      </c>
      <c r="Q2566" s="87" t="n">
        <v>45869</v>
      </c>
      <c r="R2566" s="5" t="n"/>
      <c r="S2566" s="2" t="n"/>
      <c r="T2566" s="3" t="n"/>
      <c r="U2566" s="87" t="n"/>
      <c r="V2566" s="3" t="n"/>
      <c r="W2566" s="108" t="n"/>
      <c r="X2566" s="4" t="n"/>
    </row>
    <row r="2567" ht="24" customHeight="1">
      <c r="A2567" s="2">
        <f>+D2567-S2567</f>
        <v/>
      </c>
      <c r="B2567" s="80" t="n">
        <v>4159</v>
      </c>
      <c r="C2567" s="66" t="n">
        <v>45903</v>
      </c>
      <c r="D2567" s="2" t="n">
        <v>1</v>
      </c>
      <c r="E2567" s="3" t="inlineStr">
        <is>
          <t>CARABINA SEMIAUTOMATICA</t>
        </is>
      </c>
      <c r="F2567" s="3" t="inlineStr">
        <is>
          <t>22LR</t>
        </is>
      </c>
      <c r="G2567" s="3" t="inlineStr">
        <is>
          <t>BROWNING</t>
        </is>
      </c>
      <c r="H2567" s="65" t="inlineStr">
        <is>
          <t>WILDCAT FDE SA A THR 18''</t>
        </is>
      </c>
      <c r="I2567" s="65" t="inlineStr">
        <is>
          <t>TF614-25M02492</t>
        </is>
      </c>
      <c r="J2567" s="65" t="inlineStr">
        <is>
          <t>N/D</t>
        </is>
      </c>
      <c r="K2567" s="65" t="inlineStr">
        <is>
          <t>N/D</t>
        </is>
      </c>
      <c r="L2567" s="127" t="inlineStr">
        <is>
          <t>BROWNING INTERNATIONAL SRL</t>
        </is>
      </c>
      <c r="M2567" s="5" t="n">
        <v>276.3</v>
      </c>
      <c r="N2567" s="5" t="n"/>
      <c r="O2567" s="5">
        <f>+M2567+N2567</f>
        <v/>
      </c>
      <c r="P2567" s="4" t="n">
        <v>45895</v>
      </c>
      <c r="Q2567" s="87" t="n">
        <v>45869</v>
      </c>
      <c r="R2567" s="5" t="n"/>
      <c r="S2567" s="2" t="n"/>
      <c r="T2567" s="3" t="n"/>
      <c r="U2567" s="87" t="n"/>
      <c r="V2567" s="3" t="n"/>
      <c r="W2567" s="108" t="n"/>
      <c r="X2567" s="4" t="n"/>
    </row>
    <row r="2568" ht="24" customHeight="1">
      <c r="A2568" s="2">
        <f>+D2568-S2568</f>
        <v/>
      </c>
      <c r="B2568" s="80" t="n">
        <v>4160</v>
      </c>
      <c r="C2568" s="66" t="n">
        <v>45903</v>
      </c>
      <c r="D2568" s="2" t="n">
        <v>1</v>
      </c>
      <c r="E2568" s="3" t="inlineStr">
        <is>
          <t>CARABINA SEMIAUTOMATICA</t>
        </is>
      </c>
      <c r="F2568" s="3" t="inlineStr">
        <is>
          <t>22LR</t>
        </is>
      </c>
      <c r="G2568" s="3" t="inlineStr">
        <is>
          <t>BROWNING</t>
        </is>
      </c>
      <c r="H2568" s="65" t="inlineStr">
        <is>
          <t>WILDCAT FDE SA A THR 18''</t>
        </is>
      </c>
      <c r="I2568" s="65" t="inlineStr">
        <is>
          <t>TF614-25M02493</t>
        </is>
      </c>
      <c r="J2568" s="65" t="inlineStr">
        <is>
          <t>N/D</t>
        </is>
      </c>
      <c r="K2568" s="65" t="inlineStr">
        <is>
          <t>N/D</t>
        </is>
      </c>
      <c r="L2568" s="127" t="inlineStr">
        <is>
          <t>BROWNING INTERNATIONAL SRL</t>
        </is>
      </c>
      <c r="M2568" s="5" t="n">
        <v>276.3</v>
      </c>
      <c r="N2568" s="5" t="n"/>
      <c r="O2568" s="5">
        <f>+M2568+N2568</f>
        <v/>
      </c>
      <c r="P2568" s="4" t="n">
        <v>45895</v>
      </c>
      <c r="Q2568" s="87" t="n">
        <v>45869</v>
      </c>
      <c r="R2568" s="5" t="n"/>
      <c r="S2568" s="2" t="n"/>
      <c r="T2568" s="3" t="n"/>
      <c r="U2568" s="87" t="n"/>
      <c r="V2568" s="3" t="n"/>
      <c r="W2568" s="108" t="n"/>
      <c r="X2568" s="4" t="n"/>
    </row>
    <row r="2569" ht="24" customHeight="1">
      <c r="A2569" s="2">
        <f>+D2569-S2569</f>
        <v/>
      </c>
      <c r="B2569" s="80" t="n">
        <v>4161</v>
      </c>
      <c r="C2569" s="66" t="n">
        <v>45903</v>
      </c>
      <c r="D2569" s="2" t="n">
        <v>1</v>
      </c>
      <c r="E2569" s="3" t="inlineStr">
        <is>
          <t>CARABINA SEMIAUTOMATICA</t>
        </is>
      </c>
      <c r="F2569" s="3" t="inlineStr">
        <is>
          <t>22LR</t>
        </is>
      </c>
      <c r="G2569" s="3" t="inlineStr">
        <is>
          <t>BROWNING</t>
        </is>
      </c>
      <c r="H2569" s="65" t="inlineStr">
        <is>
          <t>WILDCAT FDE SA A THR 18''</t>
        </is>
      </c>
      <c r="I2569" s="65" t="inlineStr">
        <is>
          <t>TF614-25M02495</t>
        </is>
      </c>
      <c r="J2569" s="65" t="inlineStr">
        <is>
          <t>N/D</t>
        </is>
      </c>
      <c r="K2569" s="65" t="inlineStr">
        <is>
          <t>N/D</t>
        </is>
      </c>
      <c r="L2569" s="127" t="inlineStr">
        <is>
          <t>BROWNING INTERNATIONAL SRL</t>
        </is>
      </c>
      <c r="M2569" s="5" t="n">
        <v>276.3</v>
      </c>
      <c r="N2569" s="5" t="n"/>
      <c r="O2569" s="5">
        <f>+M2569+N2569</f>
        <v/>
      </c>
      <c r="P2569" s="4" t="n">
        <v>45895</v>
      </c>
      <c r="Q2569" s="87" t="n">
        <v>45869</v>
      </c>
      <c r="R2569" s="5" t="n"/>
      <c r="S2569" s="2" t="n"/>
      <c r="T2569" s="3" t="n"/>
      <c r="U2569" s="87" t="n"/>
      <c r="V2569" s="3" t="n"/>
      <c r="W2569" s="108" t="n"/>
      <c r="X2569" s="4" t="n"/>
    </row>
    <row r="2570" ht="24" customHeight="1">
      <c r="A2570" s="2">
        <f>+D2570-S2570</f>
        <v/>
      </c>
      <c r="B2570" s="80" t="n">
        <v>4162</v>
      </c>
      <c r="C2570" s="66" t="n">
        <v>45903</v>
      </c>
      <c r="D2570" s="2" t="n">
        <v>1</v>
      </c>
      <c r="E2570" s="3" t="inlineStr">
        <is>
          <t>CARABINA SEMIAUTOMATICA</t>
        </is>
      </c>
      <c r="F2570" s="3" t="inlineStr">
        <is>
          <t>22LR</t>
        </is>
      </c>
      <c r="G2570" s="3" t="inlineStr">
        <is>
          <t>BROWNING</t>
        </is>
      </c>
      <c r="H2570" s="65" t="inlineStr">
        <is>
          <t>WILDCAT FDE SA A THR 18''</t>
        </is>
      </c>
      <c r="I2570" s="65" t="inlineStr">
        <is>
          <t>TF614-25M02496</t>
        </is>
      </c>
      <c r="J2570" s="65" t="inlineStr">
        <is>
          <t>N/D</t>
        </is>
      </c>
      <c r="K2570" s="65" t="inlineStr">
        <is>
          <t>N/D</t>
        </is>
      </c>
      <c r="L2570" s="127" t="inlineStr">
        <is>
          <t>BROWNING INTERNATIONAL SRL</t>
        </is>
      </c>
      <c r="M2570" s="5" t="n">
        <v>276.3</v>
      </c>
      <c r="N2570" s="5" t="n"/>
      <c r="O2570" s="5">
        <f>+M2570+N2570</f>
        <v/>
      </c>
      <c r="P2570" s="4" t="n">
        <v>45895</v>
      </c>
      <c r="Q2570" s="87" t="n">
        <v>45869</v>
      </c>
      <c r="R2570" s="5" t="n"/>
      <c r="S2570" s="2" t="n"/>
      <c r="T2570" s="3" t="n"/>
      <c r="U2570" s="87" t="n"/>
      <c r="V2570" s="3" t="n"/>
      <c r="W2570" s="108" t="n"/>
      <c r="X2570" s="4" t="n"/>
    </row>
    <row r="2571" ht="24" customHeight="1">
      <c r="A2571" s="2">
        <f>+D2571-S2571</f>
        <v/>
      </c>
      <c r="B2571" s="80" t="n">
        <v>4163</v>
      </c>
      <c r="C2571" s="66" t="n">
        <v>45903</v>
      </c>
      <c r="D2571" s="2" t="n">
        <v>1</v>
      </c>
      <c r="E2571" s="3" t="inlineStr">
        <is>
          <t>CARABINA SEMIAUTOMATICA</t>
        </is>
      </c>
      <c r="F2571" s="3" t="inlineStr">
        <is>
          <t>22LR</t>
        </is>
      </c>
      <c r="G2571" s="3" t="inlineStr">
        <is>
          <t>BROWNING</t>
        </is>
      </c>
      <c r="H2571" s="65" t="inlineStr">
        <is>
          <t>WILDCAT FDE SA A THR 18''</t>
        </is>
      </c>
      <c r="I2571" s="65" t="inlineStr">
        <is>
          <t>TF614-25M02498</t>
        </is>
      </c>
      <c r="J2571" s="65" t="inlineStr">
        <is>
          <t>N/D</t>
        </is>
      </c>
      <c r="K2571" s="65" t="inlineStr">
        <is>
          <t>N/D</t>
        </is>
      </c>
      <c r="L2571" s="127" t="inlineStr">
        <is>
          <t>BROWNING INTERNATIONAL SRL</t>
        </is>
      </c>
      <c r="M2571" s="5" t="n">
        <v>276.3</v>
      </c>
      <c r="N2571" s="5" t="n"/>
      <c r="O2571" s="5">
        <f>+M2571+N2571</f>
        <v/>
      </c>
      <c r="P2571" s="4" t="n">
        <v>45895</v>
      </c>
      <c r="Q2571" s="87" t="n">
        <v>45869</v>
      </c>
      <c r="R2571" s="5" t="n"/>
      <c r="S2571" s="2" t="n"/>
      <c r="T2571" s="3" t="n"/>
      <c r="U2571" s="87" t="n"/>
      <c r="V2571" s="3" t="n"/>
      <c r="W2571" s="108" t="n"/>
      <c r="X2571" s="4" t="n"/>
    </row>
    <row r="2572" ht="24" customHeight="1">
      <c r="A2572" s="2">
        <f>+D2572-S2572</f>
        <v/>
      </c>
      <c r="B2572" s="80" t="n">
        <v>4164</v>
      </c>
      <c r="C2572" s="66" t="n">
        <v>45903</v>
      </c>
      <c r="D2572" s="2" t="n">
        <v>1</v>
      </c>
      <c r="E2572" s="3" t="inlineStr">
        <is>
          <t>CARABINA SEMIAUTOMATICA</t>
        </is>
      </c>
      <c r="F2572" s="3" t="inlineStr">
        <is>
          <t>22LR</t>
        </is>
      </c>
      <c r="G2572" s="3" t="inlineStr">
        <is>
          <t>BROWNING</t>
        </is>
      </c>
      <c r="H2572" s="65" t="inlineStr">
        <is>
          <t>WILDCAT FDE SA A THR 18''</t>
        </is>
      </c>
      <c r="I2572" s="65" t="inlineStr">
        <is>
          <t>TF614-25M02499</t>
        </is>
      </c>
      <c r="J2572" s="65" t="inlineStr">
        <is>
          <t>N/D</t>
        </is>
      </c>
      <c r="K2572" s="65" t="inlineStr">
        <is>
          <t>N/D</t>
        </is>
      </c>
      <c r="L2572" s="127" t="inlineStr">
        <is>
          <t>BROWNING INTERNATIONAL SRL</t>
        </is>
      </c>
      <c r="M2572" s="5" t="n">
        <v>276.3</v>
      </c>
      <c r="N2572" s="5" t="n"/>
      <c r="O2572" s="5">
        <f>+M2572+N2572</f>
        <v/>
      </c>
      <c r="P2572" s="4" t="n">
        <v>45895</v>
      </c>
      <c r="Q2572" s="87" t="n">
        <v>45869</v>
      </c>
      <c r="R2572" s="5" t="n"/>
      <c r="S2572" s="2" t="n"/>
      <c r="T2572" s="3" t="n"/>
      <c r="U2572" s="87" t="n"/>
      <c r="V2572" s="3" t="n"/>
      <c r="W2572" s="108" t="n"/>
      <c r="X2572" s="4" t="n"/>
    </row>
    <row r="2573" ht="24" customHeight="1">
      <c r="A2573" s="2">
        <f>+D2573-S2573</f>
        <v/>
      </c>
      <c r="B2573" s="80" t="n">
        <v>4165</v>
      </c>
      <c r="C2573" s="66" t="n">
        <v>45903</v>
      </c>
      <c r="D2573" s="2" t="n">
        <v>1</v>
      </c>
      <c r="E2573" s="3" t="inlineStr">
        <is>
          <t>CARABINA SEMIAUTOMATICA</t>
        </is>
      </c>
      <c r="F2573" s="3" t="inlineStr">
        <is>
          <t>22LR</t>
        </is>
      </c>
      <c r="G2573" s="3" t="inlineStr">
        <is>
          <t>BROWNING</t>
        </is>
      </c>
      <c r="H2573" s="65" t="inlineStr">
        <is>
          <t>WILDCAT FDE SA A THR 18''</t>
        </is>
      </c>
      <c r="I2573" s="65" t="inlineStr">
        <is>
          <t>TF614-25M02500</t>
        </is>
      </c>
      <c r="J2573" s="65" t="inlineStr">
        <is>
          <t>N/D</t>
        </is>
      </c>
      <c r="K2573" s="65" t="inlineStr">
        <is>
          <t>N/D</t>
        </is>
      </c>
      <c r="L2573" s="127" t="inlineStr">
        <is>
          <t>BROWNING INTERNATIONAL SRL</t>
        </is>
      </c>
      <c r="M2573" s="5" t="n">
        <v>276.3</v>
      </c>
      <c r="N2573" s="5" t="n"/>
      <c r="O2573" s="5">
        <f>+M2573+N2573</f>
        <v/>
      </c>
      <c r="P2573" s="4" t="n">
        <v>45895</v>
      </c>
      <c r="Q2573" s="87" t="n">
        <v>45869</v>
      </c>
      <c r="R2573" s="5" t="n"/>
      <c r="S2573" s="2" t="n"/>
      <c r="T2573" s="3" t="n"/>
      <c r="U2573" s="87" t="n"/>
      <c r="V2573" s="3" t="n"/>
      <c r="W2573" s="108" t="n"/>
      <c r="X2573" s="4" t="n"/>
    </row>
    <row r="2574" ht="24" customHeight="1">
      <c r="A2574" s="2">
        <f>+D2574-S2574</f>
        <v/>
      </c>
      <c r="B2574" s="80" t="n">
        <v>4166</v>
      </c>
      <c r="C2574" s="66" t="n">
        <v>45903</v>
      </c>
      <c r="D2574" s="2" t="n">
        <v>1</v>
      </c>
      <c r="E2574" s="3" t="inlineStr">
        <is>
          <t>CARABINA SEMIAUTOMATICA</t>
        </is>
      </c>
      <c r="F2574" s="3" t="inlineStr">
        <is>
          <t>22LR</t>
        </is>
      </c>
      <c r="G2574" s="3" t="inlineStr">
        <is>
          <t>BROWNING</t>
        </is>
      </c>
      <c r="H2574" s="65" t="inlineStr">
        <is>
          <t>WILDCAT FDE SA A THR 18''</t>
        </is>
      </c>
      <c r="I2574" s="65" t="inlineStr">
        <is>
          <t>TF614-25M02501</t>
        </is>
      </c>
      <c r="J2574" s="65" t="inlineStr">
        <is>
          <t>N/D</t>
        </is>
      </c>
      <c r="K2574" s="65" t="inlineStr">
        <is>
          <t>N/D</t>
        </is>
      </c>
      <c r="L2574" s="127" t="inlineStr">
        <is>
          <t>BROWNING INTERNATIONAL SRL</t>
        </is>
      </c>
      <c r="M2574" s="5" t="n">
        <v>276.3</v>
      </c>
      <c r="N2574" s="5" t="n"/>
      <c r="O2574" s="5">
        <f>+M2574+N2574</f>
        <v/>
      </c>
      <c r="P2574" s="4" t="n">
        <v>45895</v>
      </c>
      <c r="Q2574" s="87" t="n">
        <v>45869</v>
      </c>
      <c r="R2574" s="5" t="n"/>
      <c r="S2574" s="2" t="n"/>
      <c r="T2574" s="3" t="n"/>
      <c r="U2574" s="87" t="n"/>
      <c r="V2574" s="3" t="n"/>
      <c r="W2574" s="108" t="n"/>
      <c r="X2574" s="4" t="n"/>
    </row>
    <row r="2575" ht="24" customHeight="1">
      <c r="A2575" s="2">
        <f>+D2575-S2575</f>
        <v/>
      </c>
      <c r="B2575" s="80" t="n">
        <v>4167</v>
      </c>
      <c r="C2575" s="66" t="n">
        <v>45903</v>
      </c>
      <c r="D2575" s="2" t="n">
        <v>1</v>
      </c>
      <c r="E2575" s="3" t="inlineStr">
        <is>
          <t>CARABINA SEMIAUTOMATICA</t>
        </is>
      </c>
      <c r="F2575" s="3" t="inlineStr">
        <is>
          <t>22LR</t>
        </is>
      </c>
      <c r="G2575" s="3" t="inlineStr">
        <is>
          <t>BROWNING</t>
        </is>
      </c>
      <c r="H2575" s="65" t="inlineStr">
        <is>
          <t>WILDCAT FDE SA A THR 18''</t>
        </is>
      </c>
      <c r="I2575" s="65" t="inlineStr">
        <is>
          <t>TF614-25M02502</t>
        </is>
      </c>
      <c r="J2575" s="65" t="inlineStr">
        <is>
          <t>N/D</t>
        </is>
      </c>
      <c r="K2575" s="65" t="inlineStr">
        <is>
          <t>N/D</t>
        </is>
      </c>
      <c r="L2575" s="127" t="inlineStr">
        <is>
          <t>BROWNING INTERNATIONAL SRL</t>
        </is>
      </c>
      <c r="M2575" s="5" t="n">
        <v>276.3</v>
      </c>
      <c r="N2575" s="5" t="n"/>
      <c r="O2575" s="5">
        <f>+M2575+N2575</f>
        <v/>
      </c>
      <c r="P2575" s="4" t="n">
        <v>45895</v>
      </c>
      <c r="Q2575" s="87" t="n">
        <v>45869</v>
      </c>
      <c r="R2575" s="5" t="n"/>
      <c r="S2575" s="2" t="n"/>
      <c r="T2575" s="3" t="n"/>
      <c r="U2575" s="87" t="n"/>
      <c r="V2575" s="3" t="n"/>
      <c r="W2575" s="108" t="n"/>
      <c r="X2575" s="4" t="n"/>
    </row>
    <row r="2576" ht="24" customHeight="1">
      <c r="A2576" s="2">
        <f>+D2576-S2576</f>
        <v/>
      </c>
      <c r="B2576" s="80" t="n">
        <v>4168</v>
      </c>
      <c r="C2576" s="66" t="n">
        <v>45903</v>
      </c>
      <c r="D2576" s="2" t="n">
        <v>1</v>
      </c>
      <c r="E2576" s="3" t="inlineStr">
        <is>
          <t>CARABINA SEMIAUTOMATICA</t>
        </is>
      </c>
      <c r="F2576" s="3" t="inlineStr">
        <is>
          <t>22LR</t>
        </is>
      </c>
      <c r="G2576" s="3" t="inlineStr">
        <is>
          <t>BROWNING</t>
        </is>
      </c>
      <c r="H2576" s="65" t="inlineStr">
        <is>
          <t>WILDCAT FDE SA A THR 18''</t>
        </is>
      </c>
      <c r="I2576" s="65" t="inlineStr">
        <is>
          <t>TF614-25M02503</t>
        </is>
      </c>
      <c r="J2576" s="65" t="inlineStr">
        <is>
          <t>N/D</t>
        </is>
      </c>
      <c r="K2576" s="65" t="inlineStr">
        <is>
          <t>N/D</t>
        </is>
      </c>
      <c r="L2576" s="127" t="inlineStr">
        <is>
          <t>BROWNING INTERNATIONAL SRL</t>
        </is>
      </c>
      <c r="M2576" s="5" t="n">
        <v>276.3</v>
      </c>
      <c r="N2576" s="5" t="n"/>
      <c r="O2576" s="5">
        <f>+M2576+N2576</f>
        <v/>
      </c>
      <c r="P2576" s="4" t="n">
        <v>45895</v>
      </c>
      <c r="Q2576" s="87" t="n">
        <v>45869</v>
      </c>
      <c r="R2576" s="5" t="n"/>
      <c r="S2576" s="2" t="n"/>
      <c r="T2576" s="3" t="n"/>
      <c r="U2576" s="87" t="n"/>
      <c r="V2576" s="3" t="n"/>
      <c r="W2576" s="108" t="n"/>
      <c r="X2576" s="4" t="n"/>
    </row>
    <row r="2577" ht="24" customHeight="1">
      <c r="A2577" s="2">
        <f>+D2577-S2577</f>
        <v/>
      </c>
      <c r="B2577" s="80" t="n">
        <v>4169</v>
      </c>
      <c r="C2577" s="66" t="n">
        <v>45903</v>
      </c>
      <c r="D2577" s="2" t="n">
        <v>1</v>
      </c>
      <c r="E2577" s="3" t="inlineStr">
        <is>
          <t>CARABINA SEMIAUTOMATICA</t>
        </is>
      </c>
      <c r="F2577" s="3" t="inlineStr">
        <is>
          <t>22LR</t>
        </is>
      </c>
      <c r="G2577" s="3" t="inlineStr">
        <is>
          <t>BROWNING</t>
        </is>
      </c>
      <c r="H2577" s="65" t="inlineStr">
        <is>
          <t>WILDCAT FDE SA A THR 18''</t>
        </is>
      </c>
      <c r="I2577" s="65" t="inlineStr">
        <is>
          <t>TF614-25M02505</t>
        </is>
      </c>
      <c r="J2577" s="65" t="inlineStr">
        <is>
          <t>N/D</t>
        </is>
      </c>
      <c r="K2577" s="65" t="inlineStr">
        <is>
          <t>N/D</t>
        </is>
      </c>
      <c r="L2577" s="127" t="inlineStr">
        <is>
          <t>BROWNING INTERNATIONAL SRL</t>
        </is>
      </c>
      <c r="M2577" s="5" t="n">
        <v>276.3</v>
      </c>
      <c r="N2577" s="5" t="n"/>
      <c r="O2577" s="5">
        <f>+M2577+N2577</f>
        <v/>
      </c>
      <c r="P2577" s="4" t="n">
        <v>45895</v>
      </c>
      <c r="Q2577" s="87" t="n">
        <v>45869</v>
      </c>
      <c r="R2577" s="5" t="n"/>
      <c r="S2577" s="2" t="n"/>
      <c r="T2577" s="3" t="n"/>
      <c r="U2577" s="87" t="n"/>
      <c r="V2577" s="3" t="n"/>
      <c r="W2577" s="108" t="n"/>
      <c r="X2577" s="4" t="n"/>
    </row>
    <row r="2578" ht="24" customHeight="1">
      <c r="A2578" s="2">
        <f>+D2578-S2578</f>
        <v/>
      </c>
      <c r="B2578" s="80" t="n">
        <v>4170</v>
      </c>
      <c r="C2578" s="66" t="n">
        <v>45903</v>
      </c>
      <c r="D2578" s="2" t="n">
        <v>1</v>
      </c>
      <c r="E2578" s="3" t="inlineStr">
        <is>
          <t>CARABINA SEMIAUTOMATICA</t>
        </is>
      </c>
      <c r="F2578" s="3" t="inlineStr">
        <is>
          <t>22LR</t>
        </is>
      </c>
      <c r="G2578" s="3" t="inlineStr">
        <is>
          <t>BROWNING</t>
        </is>
      </c>
      <c r="H2578" s="65" t="inlineStr">
        <is>
          <t>WILDCAT FDE SA A THR 18''</t>
        </is>
      </c>
      <c r="I2578" s="65" t="inlineStr">
        <is>
          <t>TF614-25M02506</t>
        </is>
      </c>
      <c r="J2578" s="65" t="inlineStr">
        <is>
          <t>N/D</t>
        </is>
      </c>
      <c r="K2578" s="65" t="inlineStr">
        <is>
          <t>N/D</t>
        </is>
      </c>
      <c r="L2578" s="127" t="inlineStr">
        <is>
          <t>BROWNING INTERNATIONAL SRL</t>
        </is>
      </c>
      <c r="M2578" s="5" t="n">
        <v>276.3</v>
      </c>
      <c r="N2578" s="5" t="n"/>
      <c r="O2578" s="5">
        <f>+M2578+N2578</f>
        <v/>
      </c>
      <c r="P2578" s="4" t="n">
        <v>45895</v>
      </c>
      <c r="Q2578" s="87" t="n">
        <v>45869</v>
      </c>
      <c r="R2578" s="5" t="n"/>
      <c r="S2578" s="2" t="n"/>
      <c r="T2578" s="3" t="n"/>
      <c r="U2578" s="87" t="n"/>
      <c r="V2578" s="3" t="n"/>
      <c r="W2578" s="108" t="n"/>
      <c r="X2578" s="4" t="n"/>
    </row>
    <row r="2579" ht="24" customHeight="1">
      <c r="A2579" s="2">
        <f>+D2579-S2579</f>
        <v/>
      </c>
      <c r="B2579" s="80" t="n">
        <v>4171</v>
      </c>
      <c r="C2579" s="66" t="n">
        <v>45903</v>
      </c>
      <c r="D2579" s="2" t="n">
        <v>1</v>
      </c>
      <c r="E2579" s="3" t="inlineStr">
        <is>
          <t>CARABINA SEMIAUTOMATICA</t>
        </is>
      </c>
      <c r="F2579" s="3" t="inlineStr">
        <is>
          <t>22LR</t>
        </is>
      </c>
      <c r="G2579" s="3" t="inlineStr">
        <is>
          <t>BROWNING</t>
        </is>
      </c>
      <c r="H2579" s="65" t="inlineStr">
        <is>
          <t>WILDCAT FDE SA A THR 18''</t>
        </is>
      </c>
      <c r="I2579" s="65" t="inlineStr">
        <is>
          <t>TF614-25M02508</t>
        </is>
      </c>
      <c r="J2579" s="65" t="inlineStr">
        <is>
          <t>N/D</t>
        </is>
      </c>
      <c r="K2579" s="65" t="inlineStr">
        <is>
          <t>N/D</t>
        </is>
      </c>
      <c r="L2579" s="127" t="inlineStr">
        <is>
          <t>BROWNING INTERNATIONAL SRL</t>
        </is>
      </c>
      <c r="M2579" s="5" t="n">
        <v>276.3</v>
      </c>
      <c r="N2579" s="5" t="n"/>
      <c r="O2579" s="5">
        <f>+M2579+N2579</f>
        <v/>
      </c>
      <c r="P2579" s="4" t="n">
        <v>45895</v>
      </c>
      <c r="Q2579" s="87" t="n">
        <v>45869</v>
      </c>
      <c r="R2579" s="5" t="n"/>
      <c r="S2579" s="2" t="n"/>
      <c r="T2579" s="3" t="n"/>
      <c r="U2579" s="87" t="n"/>
      <c r="V2579" s="3" t="n"/>
      <c r="W2579" s="108" t="n"/>
      <c r="X2579" s="4" t="n"/>
    </row>
    <row r="2580" ht="24" customHeight="1">
      <c r="A2580" s="2">
        <f>+D2580-S2580</f>
        <v/>
      </c>
      <c r="B2580" s="80" t="n">
        <v>4172</v>
      </c>
      <c r="C2580" s="66" t="n">
        <v>45903</v>
      </c>
      <c r="D2580" s="2" t="n">
        <v>1</v>
      </c>
      <c r="E2580" s="3" t="inlineStr">
        <is>
          <t>CARABINA SEMIAUTOMATICA</t>
        </is>
      </c>
      <c r="F2580" s="3" t="inlineStr">
        <is>
          <t>22LR</t>
        </is>
      </c>
      <c r="G2580" s="3" t="inlineStr">
        <is>
          <t>BROWNING</t>
        </is>
      </c>
      <c r="H2580" s="65" t="inlineStr">
        <is>
          <t>WILDCAT FDE SA A THR 18''</t>
        </is>
      </c>
      <c r="I2580" s="65" t="inlineStr">
        <is>
          <t>TF614-25M02509</t>
        </is>
      </c>
      <c r="J2580" s="65" t="inlineStr">
        <is>
          <t>N/D</t>
        </is>
      </c>
      <c r="K2580" s="65" t="inlineStr">
        <is>
          <t>N/D</t>
        </is>
      </c>
      <c r="L2580" s="127" t="inlineStr">
        <is>
          <t>BROWNING INTERNATIONAL SRL</t>
        </is>
      </c>
      <c r="M2580" s="5" t="n">
        <v>276.3</v>
      </c>
      <c r="N2580" s="5" t="n"/>
      <c r="O2580" s="5">
        <f>+M2580+N2580</f>
        <v/>
      </c>
      <c r="P2580" s="4" t="n">
        <v>45895</v>
      </c>
      <c r="Q2580" s="87" t="n">
        <v>45869</v>
      </c>
      <c r="R2580" s="5" t="n"/>
      <c r="S2580" s="2" t="n"/>
      <c r="T2580" s="3" t="n"/>
      <c r="U2580" s="87" t="n"/>
      <c r="V2580" s="3" t="n"/>
      <c r="W2580" s="108" t="n"/>
      <c r="X2580" s="4" t="n"/>
    </row>
    <row r="2581" ht="24" customHeight="1">
      <c r="A2581" s="2">
        <f>+D2581-S2581</f>
        <v/>
      </c>
      <c r="B2581" s="80" t="n">
        <v>4173</v>
      </c>
      <c r="C2581" s="66" t="n">
        <v>45903</v>
      </c>
      <c r="D2581" s="2" t="n">
        <v>1</v>
      </c>
      <c r="E2581" s="3" t="inlineStr">
        <is>
          <t>CARABINA SEMIAUTOMATICA</t>
        </is>
      </c>
      <c r="F2581" s="3" t="inlineStr">
        <is>
          <t>22LR</t>
        </is>
      </c>
      <c r="G2581" s="3" t="inlineStr">
        <is>
          <t>BROWNING</t>
        </is>
      </c>
      <c r="H2581" s="65" t="inlineStr">
        <is>
          <t>WILDCAT FDE SA A THR 18''</t>
        </is>
      </c>
      <c r="I2581" s="65" t="inlineStr">
        <is>
          <t>TF614-25M02510</t>
        </is>
      </c>
      <c r="J2581" s="65" t="inlineStr">
        <is>
          <t>N/D</t>
        </is>
      </c>
      <c r="K2581" s="65" t="inlineStr">
        <is>
          <t>N/D</t>
        </is>
      </c>
      <c r="L2581" s="127" t="inlineStr">
        <is>
          <t>BROWNING INTERNATIONAL SRL</t>
        </is>
      </c>
      <c r="M2581" s="5" t="n">
        <v>276.3</v>
      </c>
      <c r="N2581" s="5" t="n"/>
      <c r="O2581" s="5">
        <f>+M2581+N2581</f>
        <v/>
      </c>
      <c r="P2581" s="4" t="n">
        <v>45895</v>
      </c>
      <c r="Q2581" s="87" t="n">
        <v>45869</v>
      </c>
      <c r="R2581" s="5" t="n"/>
      <c r="S2581" s="2" t="n"/>
      <c r="T2581" s="3" t="n"/>
      <c r="U2581" s="87" t="n"/>
      <c r="V2581" s="3" t="n"/>
      <c r="W2581" s="108" t="n"/>
      <c r="X2581" s="4" t="n"/>
    </row>
    <row r="2582" ht="24" customHeight="1">
      <c r="A2582" s="2">
        <f>+D2582-S2582</f>
        <v/>
      </c>
      <c r="B2582" s="80" t="n">
        <v>4174</v>
      </c>
      <c r="C2582" s="66" t="n">
        <v>45903</v>
      </c>
      <c r="D2582" s="2" t="n">
        <v>1</v>
      </c>
      <c r="E2582" s="3" t="inlineStr">
        <is>
          <t>CARABINA SEMIAUTOMATICA</t>
        </is>
      </c>
      <c r="F2582" s="3" t="inlineStr">
        <is>
          <t>22LR</t>
        </is>
      </c>
      <c r="G2582" s="3" t="inlineStr">
        <is>
          <t>BROWNING</t>
        </is>
      </c>
      <c r="H2582" s="65" t="inlineStr">
        <is>
          <t>WILDCAT FDE SA A THR 18''</t>
        </is>
      </c>
      <c r="I2582" s="65" t="inlineStr">
        <is>
          <t>TF614-25M02511</t>
        </is>
      </c>
      <c r="J2582" s="65" t="inlineStr">
        <is>
          <t>N/D</t>
        </is>
      </c>
      <c r="K2582" s="65" t="inlineStr">
        <is>
          <t>N/D</t>
        </is>
      </c>
      <c r="L2582" s="127" t="inlineStr">
        <is>
          <t>BROWNING INTERNATIONAL SRL</t>
        </is>
      </c>
      <c r="M2582" s="5" t="n">
        <v>276.3</v>
      </c>
      <c r="N2582" s="5" t="n"/>
      <c r="O2582" s="5">
        <f>+M2582+N2582</f>
        <v/>
      </c>
      <c r="P2582" s="4" t="n">
        <v>45895</v>
      </c>
      <c r="Q2582" s="87" t="n">
        <v>45869</v>
      </c>
      <c r="R2582" s="5" t="n"/>
      <c r="S2582" s="2" t="n"/>
      <c r="T2582" s="3" t="n"/>
      <c r="U2582" s="87" t="n"/>
      <c r="V2582" s="3" t="n"/>
      <c r="W2582" s="108" t="n"/>
      <c r="X2582" s="4" t="n"/>
    </row>
    <row r="2583" ht="24" customHeight="1">
      <c r="A2583" s="2">
        <f>+D2583-S2583</f>
        <v/>
      </c>
      <c r="B2583" s="80" t="n">
        <v>4175</v>
      </c>
      <c r="C2583" s="66" t="n">
        <v>45903</v>
      </c>
      <c r="D2583" s="2" t="n">
        <v>1</v>
      </c>
      <c r="E2583" s="3" t="inlineStr">
        <is>
          <t>CARABINA SEMIAUTOMATICA</t>
        </is>
      </c>
      <c r="F2583" s="3" t="inlineStr">
        <is>
          <t>22LR</t>
        </is>
      </c>
      <c r="G2583" s="3" t="inlineStr">
        <is>
          <t>BROWNING</t>
        </is>
      </c>
      <c r="H2583" s="65" t="inlineStr">
        <is>
          <t>WILDCAT FDE SA A THR 18''</t>
        </is>
      </c>
      <c r="I2583" s="65" t="inlineStr">
        <is>
          <t>TF614-25M02512</t>
        </is>
      </c>
      <c r="J2583" s="65" t="inlineStr">
        <is>
          <t>N/D</t>
        </is>
      </c>
      <c r="K2583" s="65" t="inlineStr">
        <is>
          <t>N/D</t>
        </is>
      </c>
      <c r="L2583" s="127" t="inlineStr">
        <is>
          <t>BROWNING INTERNATIONAL SRL</t>
        </is>
      </c>
      <c r="M2583" s="5" t="n">
        <v>276.3</v>
      </c>
      <c r="N2583" s="5" t="n"/>
      <c r="O2583" s="5">
        <f>+M2583+N2583</f>
        <v/>
      </c>
      <c r="P2583" s="4" t="n">
        <v>45895</v>
      </c>
      <c r="Q2583" s="87" t="n">
        <v>45869</v>
      </c>
      <c r="R2583" s="5" t="n"/>
      <c r="S2583" s="2" t="n"/>
      <c r="T2583" s="3" t="n"/>
      <c r="U2583" s="87" t="n"/>
      <c r="V2583" s="3" t="n"/>
      <c r="W2583" s="108" t="n"/>
      <c r="X2583" s="4" t="n"/>
    </row>
    <row r="2584" ht="24" customHeight="1">
      <c r="A2584" s="2">
        <f>+D2584-S2584</f>
        <v/>
      </c>
      <c r="B2584" s="80" t="n">
        <v>4176</v>
      </c>
      <c r="C2584" s="66" t="n">
        <v>45903</v>
      </c>
      <c r="D2584" s="2" t="n">
        <v>1</v>
      </c>
      <c r="E2584" s="3" t="inlineStr">
        <is>
          <t>CARABINA SEMIAUTOMATICA</t>
        </is>
      </c>
      <c r="F2584" s="3" t="inlineStr">
        <is>
          <t>22LR</t>
        </is>
      </c>
      <c r="G2584" s="3" t="inlineStr">
        <is>
          <t>BROWNING</t>
        </is>
      </c>
      <c r="H2584" s="65" t="inlineStr">
        <is>
          <t>WILDCAT FDE SA A THR 18''</t>
        </is>
      </c>
      <c r="I2584" s="65" t="inlineStr">
        <is>
          <t>TF614-25M02513</t>
        </is>
      </c>
      <c r="J2584" s="65" t="inlineStr">
        <is>
          <t>N/D</t>
        </is>
      </c>
      <c r="K2584" s="65" t="inlineStr">
        <is>
          <t>N/D</t>
        </is>
      </c>
      <c r="L2584" s="127" t="inlineStr">
        <is>
          <t>BROWNING INTERNATIONAL SRL</t>
        </is>
      </c>
      <c r="M2584" s="5" t="n">
        <v>276.3</v>
      </c>
      <c r="N2584" s="5" t="n"/>
      <c r="O2584" s="5">
        <f>+M2584+N2584</f>
        <v/>
      </c>
      <c r="P2584" s="4" t="n">
        <v>45895</v>
      </c>
      <c r="Q2584" s="87" t="n">
        <v>45869</v>
      </c>
      <c r="R2584" s="5" t="n"/>
      <c r="S2584" s="2" t="n"/>
      <c r="T2584" s="3" t="n"/>
      <c r="U2584" s="87" t="n"/>
      <c r="V2584" s="3" t="n"/>
      <c r="W2584" s="108" t="n"/>
      <c r="X2584" s="4" t="n"/>
    </row>
    <row r="2585" ht="24" customHeight="1">
      <c r="A2585" s="2">
        <f>+D2585-S2585</f>
        <v/>
      </c>
      <c r="B2585" s="80" t="n">
        <v>4177</v>
      </c>
      <c r="C2585" s="66" t="n">
        <v>45903</v>
      </c>
      <c r="D2585" s="2" t="n">
        <v>1</v>
      </c>
      <c r="E2585" s="3" t="inlineStr">
        <is>
          <t>CARABINA SEMIAUTOMATICA</t>
        </is>
      </c>
      <c r="F2585" s="3" t="inlineStr">
        <is>
          <t>22LR</t>
        </is>
      </c>
      <c r="G2585" s="3" t="inlineStr">
        <is>
          <t>BROWNING</t>
        </is>
      </c>
      <c r="H2585" s="65" t="inlineStr">
        <is>
          <t>WILDCAT FDE SA A THR 18''</t>
        </is>
      </c>
      <c r="I2585" s="65" t="inlineStr">
        <is>
          <t>TF614-25M02515</t>
        </is>
      </c>
      <c r="J2585" s="65" t="inlineStr">
        <is>
          <t>N/D</t>
        </is>
      </c>
      <c r="K2585" s="65" t="inlineStr">
        <is>
          <t>N/D</t>
        </is>
      </c>
      <c r="L2585" s="127" t="inlineStr">
        <is>
          <t>BROWNING INTERNATIONAL SRL</t>
        </is>
      </c>
      <c r="M2585" s="5" t="n">
        <v>276.3</v>
      </c>
      <c r="N2585" s="5" t="n"/>
      <c r="O2585" s="5">
        <f>+M2585+N2585</f>
        <v/>
      </c>
      <c r="P2585" s="4" t="n">
        <v>45895</v>
      </c>
      <c r="Q2585" s="87" t="n">
        <v>45869</v>
      </c>
      <c r="R2585" s="5" t="n"/>
      <c r="S2585" s="2" t="n"/>
      <c r="T2585" s="3" t="n"/>
      <c r="U2585" s="87" t="n"/>
      <c r="V2585" s="3" t="n"/>
      <c r="W2585" s="108" t="n"/>
      <c r="X2585" s="4" t="n"/>
    </row>
    <row r="2586" ht="24" customHeight="1">
      <c r="A2586" s="2">
        <f>+D2586-S2586</f>
        <v/>
      </c>
      <c r="B2586" s="80" t="n">
        <v>4178</v>
      </c>
      <c r="C2586" s="66" t="n">
        <v>45903</v>
      </c>
      <c r="D2586" s="2" t="n">
        <v>1</v>
      </c>
      <c r="E2586" s="3" t="inlineStr">
        <is>
          <t>CARABINA SEMIAUTOMATICA</t>
        </is>
      </c>
      <c r="F2586" s="3" t="inlineStr">
        <is>
          <t>22LR</t>
        </is>
      </c>
      <c r="G2586" s="3" t="inlineStr">
        <is>
          <t>BROWNING</t>
        </is>
      </c>
      <c r="H2586" s="65" t="inlineStr">
        <is>
          <t>WILDCAT FDE SA A THR 18''</t>
        </is>
      </c>
      <c r="I2586" s="65" t="inlineStr">
        <is>
          <t>TF614-25M02516</t>
        </is>
      </c>
      <c r="J2586" s="65" t="inlineStr">
        <is>
          <t>N/D</t>
        </is>
      </c>
      <c r="K2586" s="65" t="inlineStr">
        <is>
          <t>N/D</t>
        </is>
      </c>
      <c r="L2586" s="127" t="inlineStr">
        <is>
          <t>BROWNING INTERNATIONAL SRL</t>
        </is>
      </c>
      <c r="M2586" s="5" t="n">
        <v>276.3</v>
      </c>
      <c r="N2586" s="5" t="n"/>
      <c r="O2586" s="5">
        <f>+M2586+N2586</f>
        <v/>
      </c>
      <c r="P2586" s="4" t="n">
        <v>45895</v>
      </c>
      <c r="Q2586" s="87" t="n">
        <v>45869</v>
      </c>
      <c r="R2586" s="5" t="n"/>
      <c r="S2586" s="2" t="n"/>
      <c r="T2586" s="3" t="n"/>
      <c r="U2586" s="87" t="n"/>
      <c r="V2586" s="3" t="n"/>
      <c r="W2586" s="108" t="n"/>
      <c r="X2586" s="4" t="n"/>
    </row>
    <row r="2587" ht="24" customHeight="1">
      <c r="A2587" s="2">
        <f>+D2587-S2587</f>
        <v/>
      </c>
      <c r="B2587" s="80" t="n">
        <v>4179</v>
      </c>
      <c r="C2587" s="66" t="n">
        <v>45903</v>
      </c>
      <c r="D2587" s="2" t="n">
        <v>1</v>
      </c>
      <c r="E2587" s="3" t="inlineStr">
        <is>
          <t>CARABINA SEMIAUTOMATICA</t>
        </is>
      </c>
      <c r="F2587" s="3" t="inlineStr">
        <is>
          <t>22LR</t>
        </is>
      </c>
      <c r="G2587" s="3" t="inlineStr">
        <is>
          <t>BROWNING</t>
        </is>
      </c>
      <c r="H2587" s="65" t="inlineStr">
        <is>
          <t>WILDCAT FDE SA A THR 18''</t>
        </is>
      </c>
      <c r="I2587" s="65" t="inlineStr">
        <is>
          <t>TF614-25M02519</t>
        </is>
      </c>
      <c r="J2587" s="65" t="inlineStr">
        <is>
          <t>N/D</t>
        </is>
      </c>
      <c r="K2587" s="65" t="inlineStr">
        <is>
          <t>N/D</t>
        </is>
      </c>
      <c r="L2587" s="127" t="inlineStr">
        <is>
          <t>BROWNING INTERNATIONAL SRL</t>
        </is>
      </c>
      <c r="M2587" s="5" t="n">
        <v>276.3</v>
      </c>
      <c r="N2587" s="5" t="n"/>
      <c r="O2587" s="5">
        <f>+M2587+N2587</f>
        <v/>
      </c>
      <c r="P2587" s="4" t="n">
        <v>45895</v>
      </c>
      <c r="Q2587" s="87" t="n">
        <v>45869</v>
      </c>
      <c r="R2587" s="5" t="n"/>
      <c r="S2587" s="2" t="n"/>
      <c r="T2587" s="3" t="n"/>
      <c r="U2587" s="87" t="n"/>
      <c r="V2587" s="3" t="n"/>
      <c r="W2587" s="108" t="n"/>
      <c r="X2587" s="4" t="n"/>
    </row>
    <row r="2588" ht="24" customHeight="1">
      <c r="A2588" s="2">
        <f>+D2588-S2588</f>
        <v/>
      </c>
      <c r="B2588" s="80" t="n">
        <v>4180</v>
      </c>
      <c r="C2588" s="66" t="n">
        <v>45903</v>
      </c>
      <c r="D2588" s="2" t="n">
        <v>1</v>
      </c>
      <c r="E2588" s="3" t="inlineStr">
        <is>
          <t>CARABINA SEMIAUTOMATICA</t>
        </is>
      </c>
      <c r="F2588" s="3" t="inlineStr">
        <is>
          <t>22LR</t>
        </is>
      </c>
      <c r="G2588" s="3" t="inlineStr">
        <is>
          <t>BROWNING</t>
        </is>
      </c>
      <c r="H2588" s="65" t="inlineStr">
        <is>
          <t>WILDCAT FDE SA A THR 18''</t>
        </is>
      </c>
      <c r="I2588" s="65" t="inlineStr">
        <is>
          <t>TF614-25M02520</t>
        </is>
      </c>
      <c r="J2588" s="65" t="inlineStr">
        <is>
          <t>N/D</t>
        </is>
      </c>
      <c r="K2588" s="65" t="inlineStr">
        <is>
          <t>N/D</t>
        </is>
      </c>
      <c r="L2588" s="127" t="inlineStr">
        <is>
          <t>BROWNING INTERNATIONAL SRL</t>
        </is>
      </c>
      <c r="M2588" s="5" t="n">
        <v>276.3</v>
      </c>
      <c r="N2588" s="5" t="n"/>
      <c r="O2588" s="5">
        <f>+M2588+N2588</f>
        <v/>
      </c>
      <c r="P2588" s="4" t="n">
        <v>45895</v>
      </c>
      <c r="Q2588" s="87" t="n">
        <v>45869</v>
      </c>
      <c r="R2588" s="5" t="n"/>
      <c r="S2588" s="2" t="n"/>
      <c r="T2588" s="3" t="n"/>
      <c r="U2588" s="87" t="n"/>
      <c r="V2588" s="3" t="n"/>
      <c r="W2588" s="108" t="n"/>
      <c r="X2588" s="4" t="n"/>
    </row>
    <row r="2589" ht="24" customHeight="1">
      <c r="A2589" s="2">
        <f>+D2589-S2589</f>
        <v/>
      </c>
      <c r="B2589" s="80" t="n">
        <v>4181</v>
      </c>
      <c r="C2589" s="66" t="n">
        <v>45903</v>
      </c>
      <c r="D2589" s="2" t="n">
        <v>1</v>
      </c>
      <c r="E2589" s="3" t="inlineStr">
        <is>
          <t>CARABINA</t>
        </is>
      </c>
      <c r="F2589" s="3" t="inlineStr">
        <is>
          <t>22LR</t>
        </is>
      </c>
      <c r="G2589" s="3" t="inlineStr">
        <is>
          <t>BROWNING</t>
        </is>
      </c>
      <c r="H2589" s="65" t="inlineStr">
        <is>
          <t>EXPERT FDE THR 18''</t>
        </is>
      </c>
      <c r="I2589" s="65" t="inlineStr">
        <is>
          <t>TF614-25AB01766</t>
        </is>
      </c>
      <c r="J2589" s="65" t="inlineStr">
        <is>
          <t>N/D</t>
        </is>
      </c>
      <c r="K2589" s="65" t="inlineStr">
        <is>
          <t>N/D</t>
        </is>
      </c>
      <c r="L2589" s="127" t="inlineStr">
        <is>
          <t>BROWNING INTERNATIONAL SRL</t>
        </is>
      </c>
      <c r="M2589" s="5" t="n">
        <v>279</v>
      </c>
      <c r="N2589" s="5" t="n"/>
      <c r="O2589" s="5">
        <f>+M2589+N2589</f>
        <v/>
      </c>
      <c r="P2589" s="4" t="n">
        <v>45895</v>
      </c>
      <c r="Q2589" s="87" t="n">
        <v>45869</v>
      </c>
      <c r="R2589" s="5" t="n"/>
      <c r="S2589" s="2" t="n"/>
      <c r="T2589" s="3" t="n"/>
      <c r="U2589" s="87" t="n"/>
      <c r="V2589" s="3" t="n"/>
      <c r="W2589" s="108" t="n"/>
      <c r="X2589" s="4" t="n"/>
    </row>
    <row r="2590" ht="24" customHeight="1">
      <c r="A2590" s="2">
        <f>+D2590-S2590</f>
        <v/>
      </c>
      <c r="B2590" s="80" t="n">
        <v>4182</v>
      </c>
      <c r="C2590" s="66" t="n">
        <v>45903</v>
      </c>
      <c r="D2590" s="2" t="n">
        <v>1</v>
      </c>
      <c r="E2590" s="3" t="inlineStr">
        <is>
          <t>CARABINA</t>
        </is>
      </c>
      <c r="F2590" s="3" t="inlineStr">
        <is>
          <t>22LR</t>
        </is>
      </c>
      <c r="G2590" s="3" t="inlineStr">
        <is>
          <t>BROWNING</t>
        </is>
      </c>
      <c r="H2590" s="65" t="inlineStr">
        <is>
          <t>EXPERT FDE THR 18''</t>
        </is>
      </c>
      <c r="I2590" s="65" t="inlineStr">
        <is>
          <t>TF614-25AB01782</t>
        </is>
      </c>
      <c r="J2590" s="65" t="inlineStr">
        <is>
          <t>N/D</t>
        </is>
      </c>
      <c r="K2590" s="65" t="inlineStr">
        <is>
          <t>N/D</t>
        </is>
      </c>
      <c r="L2590" s="127" t="inlineStr">
        <is>
          <t>BROWNING INTERNATIONAL SRL</t>
        </is>
      </c>
      <c r="M2590" s="5" t="n">
        <v>279</v>
      </c>
      <c r="N2590" s="5" t="n"/>
      <c r="O2590" s="5">
        <f>+M2590+N2590</f>
        <v/>
      </c>
      <c r="P2590" s="4" t="n">
        <v>45895</v>
      </c>
      <c r="Q2590" s="87" t="n">
        <v>45869</v>
      </c>
      <c r="R2590" s="5" t="n"/>
      <c r="S2590" s="2" t="n"/>
      <c r="T2590" s="3" t="n"/>
      <c r="U2590" s="87" t="n"/>
      <c r="V2590" s="3" t="n"/>
      <c r="W2590" s="108" t="n"/>
      <c r="X2590" s="4" t="n"/>
    </row>
    <row r="2591" ht="24" customHeight="1">
      <c r="A2591" s="2">
        <f>+D2591-S2591</f>
        <v/>
      </c>
      <c r="B2591" s="80" t="n">
        <v>4183</v>
      </c>
      <c r="C2591" s="66" t="n">
        <v>45903</v>
      </c>
      <c r="D2591" s="2" t="n">
        <v>1</v>
      </c>
      <c r="E2591" s="3" t="inlineStr">
        <is>
          <t>CARABINA SEMIAUTOMATICA</t>
        </is>
      </c>
      <c r="F2591" s="3" t="inlineStr">
        <is>
          <t>22LR</t>
        </is>
      </c>
      <c r="G2591" s="3" t="inlineStr">
        <is>
          <t>BROWNING</t>
        </is>
      </c>
      <c r="H2591" s="65" t="inlineStr">
        <is>
          <t>WILDCAT STRATA SA S THR 18''</t>
        </is>
      </c>
      <c r="I2591" s="65" t="inlineStr">
        <is>
          <t>TF614-23M07877</t>
        </is>
      </c>
      <c r="J2591" s="65" t="inlineStr">
        <is>
          <t>N/D</t>
        </is>
      </c>
      <c r="K2591" s="65" t="inlineStr">
        <is>
          <t>N/D</t>
        </is>
      </c>
      <c r="L2591" s="127" t="inlineStr">
        <is>
          <t>BROWNING INTERNATIONAL SRL</t>
        </is>
      </c>
      <c r="M2591" s="5" t="n">
        <v>270</v>
      </c>
      <c r="N2591" s="5" t="n"/>
      <c r="O2591" s="5">
        <f>+M2591+N2591</f>
        <v/>
      </c>
      <c r="P2591" s="4" t="n">
        <v>45895</v>
      </c>
      <c r="Q2591" s="87" t="n">
        <v>45869</v>
      </c>
      <c r="R2591" s="5" t="n"/>
      <c r="S2591" s="2" t="n"/>
      <c r="T2591" s="3" t="n"/>
      <c r="U2591" s="87" t="n"/>
      <c r="V2591" s="3" t="n"/>
      <c r="W2591" s="108" t="n"/>
      <c r="X2591" s="4" t="n"/>
    </row>
    <row r="2592" ht="24" customHeight="1">
      <c r="A2592" s="2">
        <f>+D2592-S2592</f>
        <v/>
      </c>
      <c r="B2592" s="80" t="n">
        <v>4184</v>
      </c>
      <c r="C2592" s="66" t="n">
        <v>45903</v>
      </c>
      <c r="D2592" s="2" t="n">
        <v>1</v>
      </c>
      <c r="E2592" s="3" t="inlineStr">
        <is>
          <t>CARABINA SEMIAUTOMATICA</t>
        </is>
      </c>
      <c r="F2592" s="3" t="inlineStr">
        <is>
          <t>22LR</t>
        </is>
      </c>
      <c r="G2592" s="3" t="inlineStr">
        <is>
          <t>BROWNING</t>
        </is>
      </c>
      <c r="H2592" s="65" t="inlineStr">
        <is>
          <t>WILDCAT STRATA SA S THR 18''</t>
        </is>
      </c>
      <c r="I2592" s="65" t="inlineStr">
        <is>
          <t>TF614-23M07878</t>
        </is>
      </c>
      <c r="J2592" s="65" t="inlineStr">
        <is>
          <t>N/D</t>
        </is>
      </c>
      <c r="K2592" s="65" t="inlineStr">
        <is>
          <t>N/D</t>
        </is>
      </c>
      <c r="L2592" s="127" t="inlineStr">
        <is>
          <t>BROWNING INTERNATIONAL SRL</t>
        </is>
      </c>
      <c r="M2592" s="5" t="n">
        <v>270</v>
      </c>
      <c r="N2592" s="5" t="n"/>
      <c r="O2592" s="5">
        <f>+M2592+N2592</f>
        <v/>
      </c>
      <c r="P2592" s="4" t="n">
        <v>45895</v>
      </c>
      <c r="Q2592" s="87" t="n">
        <v>45869</v>
      </c>
      <c r="R2592" s="5" t="n"/>
      <c r="S2592" s="2" t="n"/>
      <c r="T2592" s="3" t="n"/>
      <c r="U2592" s="87" t="n"/>
      <c r="V2592" s="3" t="n"/>
      <c r="W2592" s="108" t="n"/>
      <c r="X2592" s="4" t="n"/>
    </row>
    <row r="2593" ht="24" customHeight="1">
      <c r="A2593" s="2">
        <f>+D2593-S2593</f>
        <v/>
      </c>
      <c r="B2593" s="80" t="n">
        <v>4185</v>
      </c>
      <c r="C2593" s="66" t="n">
        <v>45903</v>
      </c>
      <c r="D2593" s="2" t="n">
        <v>1</v>
      </c>
      <c r="E2593" s="3" t="inlineStr">
        <is>
          <t>CARABINA SEMIAUTOMATICA</t>
        </is>
      </c>
      <c r="F2593" s="3" t="inlineStr">
        <is>
          <t>22LR</t>
        </is>
      </c>
      <c r="G2593" s="3" t="inlineStr">
        <is>
          <t>BROWNING</t>
        </is>
      </c>
      <c r="H2593" s="65" t="inlineStr">
        <is>
          <t>WILDCAT STRATA SA S THR 18''</t>
        </is>
      </c>
      <c r="I2593" s="65" t="inlineStr">
        <is>
          <t>TF614-23M07879</t>
        </is>
      </c>
      <c r="J2593" s="65" t="inlineStr">
        <is>
          <t>N/D</t>
        </is>
      </c>
      <c r="K2593" s="65" t="inlineStr">
        <is>
          <t>N/D</t>
        </is>
      </c>
      <c r="L2593" s="127" t="inlineStr">
        <is>
          <t>BROWNING INTERNATIONAL SRL</t>
        </is>
      </c>
      <c r="M2593" s="5" t="n">
        <v>270</v>
      </c>
      <c r="N2593" s="5" t="n"/>
      <c r="O2593" s="5">
        <f>+M2593+N2593</f>
        <v/>
      </c>
      <c r="P2593" s="4" t="n">
        <v>45895</v>
      </c>
      <c r="Q2593" s="87" t="n">
        <v>45869</v>
      </c>
      <c r="R2593" s="5" t="n"/>
      <c r="S2593" s="2" t="n"/>
      <c r="T2593" s="3" t="n"/>
      <c r="U2593" s="87" t="n"/>
      <c r="V2593" s="3" t="n"/>
      <c r="W2593" s="108" t="n"/>
      <c r="X2593" s="4" t="n"/>
    </row>
    <row r="2594" ht="24" customHeight="1">
      <c r="A2594" s="2">
        <f>+D2594-S2594</f>
        <v/>
      </c>
      <c r="B2594" s="80" t="n">
        <v>4186</v>
      </c>
      <c r="C2594" s="66" t="n">
        <v>45903</v>
      </c>
      <c r="D2594" s="2" t="n">
        <v>1</v>
      </c>
      <c r="E2594" s="3" t="inlineStr">
        <is>
          <t>CARABINA SEMIAUTOMATICA</t>
        </is>
      </c>
      <c r="F2594" s="3" t="inlineStr">
        <is>
          <t>22LR</t>
        </is>
      </c>
      <c r="G2594" s="3" t="inlineStr">
        <is>
          <t>BROWNING</t>
        </is>
      </c>
      <c r="H2594" s="65" t="inlineStr">
        <is>
          <t>WILDCAT STRATA SA S THR 18''</t>
        </is>
      </c>
      <c r="I2594" s="65" t="inlineStr">
        <is>
          <t>TF614-23M07880</t>
        </is>
      </c>
      <c r="J2594" s="65" t="inlineStr">
        <is>
          <t>N/D</t>
        </is>
      </c>
      <c r="K2594" s="65" t="inlineStr">
        <is>
          <t>N/D</t>
        </is>
      </c>
      <c r="L2594" s="127" t="inlineStr">
        <is>
          <t>BROWNING INTERNATIONAL SRL</t>
        </is>
      </c>
      <c r="M2594" s="5" t="n">
        <v>270</v>
      </c>
      <c r="N2594" s="5" t="n"/>
      <c r="O2594" s="5">
        <f>+M2594+N2594</f>
        <v/>
      </c>
      <c r="P2594" s="4" t="n">
        <v>45895</v>
      </c>
      <c r="Q2594" s="87" t="n">
        <v>45869</v>
      </c>
      <c r="R2594" s="5" t="n"/>
      <c r="S2594" s="2" t="n"/>
      <c r="T2594" s="3" t="n"/>
      <c r="U2594" s="87" t="n"/>
      <c r="V2594" s="3" t="n"/>
      <c r="W2594" s="108" t="n"/>
      <c r="X2594" s="4" t="n"/>
    </row>
    <row r="2595" ht="24" customHeight="1">
      <c r="A2595" s="2">
        <f>+D2595-S2595</f>
        <v/>
      </c>
      <c r="B2595" s="80" t="n">
        <v>4187</v>
      </c>
      <c r="C2595" s="66" t="n">
        <v>45903</v>
      </c>
      <c r="D2595" s="2" t="n">
        <v>1</v>
      </c>
      <c r="E2595" s="3" t="inlineStr">
        <is>
          <t>CARABINA SEMIAUTOMATICA</t>
        </is>
      </c>
      <c r="F2595" s="3" t="inlineStr">
        <is>
          <t>22LR</t>
        </is>
      </c>
      <c r="G2595" s="3" t="inlineStr">
        <is>
          <t>BROWNING</t>
        </is>
      </c>
      <c r="H2595" s="65" t="inlineStr">
        <is>
          <t>WILDCAT STRATA SA S THR 18''</t>
        </is>
      </c>
      <c r="I2595" s="65" t="inlineStr">
        <is>
          <t>TF614-23M07925</t>
        </is>
      </c>
      <c r="J2595" s="65" t="inlineStr">
        <is>
          <t>N/D</t>
        </is>
      </c>
      <c r="K2595" s="65" t="inlineStr">
        <is>
          <t>N/D</t>
        </is>
      </c>
      <c r="L2595" s="127" t="inlineStr">
        <is>
          <t>BROWNING INTERNATIONAL SRL</t>
        </is>
      </c>
      <c r="M2595" s="5" t="n">
        <v>270</v>
      </c>
      <c r="N2595" s="5" t="n"/>
      <c r="O2595" s="5">
        <f>+M2595+N2595</f>
        <v/>
      </c>
      <c r="P2595" s="4" t="n">
        <v>45895</v>
      </c>
      <c r="Q2595" s="87" t="n">
        <v>45869</v>
      </c>
      <c r="R2595" s="5" t="n"/>
      <c r="S2595" s="2" t="n"/>
      <c r="T2595" s="3" t="n"/>
      <c r="U2595" s="87" t="n"/>
      <c r="V2595" s="3" t="n"/>
      <c r="W2595" s="108" t="n"/>
      <c r="X2595" s="4" t="n"/>
    </row>
    <row r="2596" ht="24" customHeight="1">
      <c r="A2596" s="2">
        <f>+D2596-S2596</f>
        <v/>
      </c>
      <c r="B2596" s="80" t="n">
        <v>4188</v>
      </c>
      <c r="C2596" s="66" t="n">
        <v>45903</v>
      </c>
      <c r="D2596" s="2" t="n">
        <v>1</v>
      </c>
      <c r="E2596" s="3" t="inlineStr">
        <is>
          <t>CARABINA SEMIAUTOMATICA</t>
        </is>
      </c>
      <c r="F2596" s="3" t="inlineStr">
        <is>
          <t>22LR</t>
        </is>
      </c>
      <c r="G2596" s="3" t="inlineStr">
        <is>
          <t>BROWNING</t>
        </is>
      </c>
      <c r="H2596" s="65" t="inlineStr">
        <is>
          <t>WILDCAT STRATA SA S THR 18''</t>
        </is>
      </c>
      <c r="I2596" s="65" t="inlineStr">
        <is>
          <t>TF614-23M07983</t>
        </is>
      </c>
      <c r="J2596" s="65" t="inlineStr">
        <is>
          <t>N/D</t>
        </is>
      </c>
      <c r="K2596" s="65" t="inlineStr">
        <is>
          <t>N/D</t>
        </is>
      </c>
      <c r="L2596" s="127" t="inlineStr">
        <is>
          <t>BROWNING INTERNATIONAL SRL</t>
        </is>
      </c>
      <c r="M2596" s="5" t="n">
        <v>270</v>
      </c>
      <c r="N2596" s="5" t="n"/>
      <c r="O2596" s="5">
        <f>+M2596+N2596</f>
        <v/>
      </c>
      <c r="P2596" s="4" t="n">
        <v>45895</v>
      </c>
      <c r="Q2596" s="87" t="n">
        <v>45869</v>
      </c>
      <c r="R2596" s="5" t="n"/>
      <c r="S2596" s="2" t="n"/>
      <c r="T2596" s="3" t="n"/>
      <c r="U2596" s="87" t="n"/>
      <c r="V2596" s="3" t="n"/>
      <c r="W2596" s="108" t="n"/>
      <c r="X2596" s="4" t="n"/>
    </row>
    <row r="2597" ht="24" customHeight="1">
      <c r="A2597" s="2">
        <f>+D2597-S2597</f>
        <v/>
      </c>
      <c r="B2597" s="80" t="n">
        <v>4189</v>
      </c>
      <c r="C2597" s="66" t="n">
        <v>45903</v>
      </c>
      <c r="D2597" s="2" t="n">
        <v>1</v>
      </c>
      <c r="E2597" s="3" t="inlineStr">
        <is>
          <t>CARABINA SEMIAUTOMATICA</t>
        </is>
      </c>
      <c r="F2597" s="3" t="inlineStr">
        <is>
          <t>22LR</t>
        </is>
      </c>
      <c r="G2597" s="3" t="inlineStr">
        <is>
          <t>BROWNING</t>
        </is>
      </c>
      <c r="H2597" s="65" t="inlineStr">
        <is>
          <t>WILDCAT STRATA SA S THR 18''</t>
        </is>
      </c>
      <c r="I2597" s="65" t="inlineStr">
        <is>
          <t>TF614-23M07986</t>
        </is>
      </c>
      <c r="J2597" s="65" t="inlineStr">
        <is>
          <t>N/D</t>
        </is>
      </c>
      <c r="K2597" s="65" t="inlineStr">
        <is>
          <t>N/D</t>
        </is>
      </c>
      <c r="L2597" s="127" t="inlineStr">
        <is>
          <t>BROWNING INTERNATIONAL SRL</t>
        </is>
      </c>
      <c r="M2597" s="5" t="n">
        <v>270</v>
      </c>
      <c r="N2597" s="5" t="n"/>
      <c r="O2597" s="5">
        <f>+M2597+N2597</f>
        <v/>
      </c>
      <c r="P2597" s="4" t="n">
        <v>45895</v>
      </c>
      <c r="Q2597" s="87" t="n">
        <v>45869</v>
      </c>
      <c r="R2597" s="5" t="n"/>
      <c r="S2597" s="2" t="n"/>
      <c r="T2597" s="3" t="n"/>
      <c r="U2597" s="87" t="n"/>
      <c r="V2597" s="3" t="n"/>
      <c r="W2597" s="108" t="n"/>
      <c r="X2597" s="4" t="n"/>
    </row>
    <row r="2598" ht="24" customHeight="1">
      <c r="A2598" s="2">
        <f>+D2598-S2598</f>
        <v/>
      </c>
      <c r="B2598" s="80" t="n">
        <v>4190</v>
      </c>
      <c r="C2598" s="66" t="n">
        <v>45903</v>
      </c>
      <c r="D2598" s="2" t="n">
        <v>1</v>
      </c>
      <c r="E2598" s="3" t="inlineStr">
        <is>
          <t>CARABINA SEMIAUTOMATICA</t>
        </is>
      </c>
      <c r="F2598" s="3" t="inlineStr">
        <is>
          <t>22LR</t>
        </is>
      </c>
      <c r="G2598" s="3" t="inlineStr">
        <is>
          <t>BROWNING</t>
        </is>
      </c>
      <c r="H2598" s="65" t="inlineStr">
        <is>
          <t>WILDCAT STRATA SA S THR 18''</t>
        </is>
      </c>
      <c r="I2598" s="65" t="inlineStr">
        <is>
          <t>TF614-23M07988</t>
        </is>
      </c>
      <c r="J2598" s="65" t="inlineStr">
        <is>
          <t>N/D</t>
        </is>
      </c>
      <c r="K2598" s="65" t="inlineStr">
        <is>
          <t>N/D</t>
        </is>
      </c>
      <c r="L2598" s="127" t="inlineStr">
        <is>
          <t>BROWNING INTERNATIONAL SRL</t>
        </is>
      </c>
      <c r="M2598" s="5" t="n">
        <v>270</v>
      </c>
      <c r="N2598" s="5" t="n"/>
      <c r="O2598" s="5">
        <f>+M2598+N2598</f>
        <v/>
      </c>
      <c r="P2598" s="4" t="n">
        <v>45895</v>
      </c>
      <c r="Q2598" s="87" t="n">
        <v>45869</v>
      </c>
      <c r="R2598" s="5" t="n"/>
      <c r="S2598" s="2" t="n"/>
      <c r="T2598" s="3" t="n"/>
      <c r="U2598" s="87" t="n"/>
      <c r="V2598" s="3" t="n"/>
      <c r="W2598" s="108" t="n"/>
      <c r="X2598" s="4" t="n"/>
    </row>
    <row r="2599" ht="24" customHeight="1">
      <c r="A2599" s="2">
        <f>+D2599-S2599</f>
        <v/>
      </c>
      <c r="B2599" s="80" t="n">
        <v>4191</v>
      </c>
      <c r="C2599" s="66" t="n">
        <v>45903</v>
      </c>
      <c r="D2599" s="2" t="n">
        <v>1</v>
      </c>
      <c r="E2599" s="3" t="inlineStr">
        <is>
          <t>CARABINA SEMIAUTOMATICA</t>
        </is>
      </c>
      <c r="F2599" s="3" t="inlineStr">
        <is>
          <t>22LR</t>
        </is>
      </c>
      <c r="G2599" s="3" t="inlineStr">
        <is>
          <t>BROWNING</t>
        </is>
      </c>
      <c r="H2599" s="65" t="inlineStr">
        <is>
          <t>WILDCAT STRATA SA S THR 18''</t>
        </is>
      </c>
      <c r="I2599" s="65" t="inlineStr">
        <is>
          <t>TF614-23M07989</t>
        </is>
      </c>
      <c r="J2599" s="65" t="inlineStr">
        <is>
          <t>N/D</t>
        </is>
      </c>
      <c r="K2599" s="65" t="inlineStr">
        <is>
          <t>N/D</t>
        </is>
      </c>
      <c r="L2599" s="127" t="inlineStr">
        <is>
          <t>BROWNING INTERNATIONAL SRL</t>
        </is>
      </c>
      <c r="M2599" s="5" t="n">
        <v>270</v>
      </c>
      <c r="N2599" s="5" t="n"/>
      <c r="O2599" s="5">
        <f>+M2599+N2599</f>
        <v/>
      </c>
      <c r="P2599" s="4" t="n">
        <v>45895</v>
      </c>
      <c r="Q2599" s="87" t="n">
        <v>45869</v>
      </c>
      <c r="R2599" s="5" t="n"/>
      <c r="S2599" s="2" t="n"/>
      <c r="T2599" s="3" t="n"/>
      <c r="U2599" s="87" t="n"/>
      <c r="V2599" s="3" t="n"/>
      <c r="W2599" s="108" t="n"/>
      <c r="X2599" s="4" t="n"/>
    </row>
    <row r="2600" ht="24" customHeight="1">
      <c r="A2600" s="2">
        <f>+D2600-S2600</f>
        <v/>
      </c>
      <c r="B2600" s="80" t="n">
        <v>4192</v>
      </c>
      <c r="C2600" s="66" t="n">
        <v>45903</v>
      </c>
      <c r="D2600" s="2" t="n">
        <v>1</v>
      </c>
      <c r="E2600" s="3" t="inlineStr">
        <is>
          <t>CARABINA SEMIAUTOMATICA</t>
        </is>
      </c>
      <c r="F2600" s="3" t="inlineStr">
        <is>
          <t>22LR</t>
        </is>
      </c>
      <c r="G2600" s="3" t="inlineStr">
        <is>
          <t>BROWNING</t>
        </is>
      </c>
      <c r="H2600" s="65" t="inlineStr">
        <is>
          <t>WILDCAT SA S THR 18''</t>
        </is>
      </c>
      <c r="I2600" s="65" t="inlineStr">
        <is>
          <t>TF614-23M07797</t>
        </is>
      </c>
      <c r="J2600" s="65" t="inlineStr">
        <is>
          <t>N/D</t>
        </is>
      </c>
      <c r="K2600" s="65" t="inlineStr">
        <is>
          <t>N/D</t>
        </is>
      </c>
      <c r="L2600" s="127" t="inlineStr">
        <is>
          <t>BROWNING INTERNATIONAL SRL</t>
        </is>
      </c>
      <c r="M2600" s="5" t="n">
        <v>244.8</v>
      </c>
      <c r="N2600" s="5" t="n"/>
      <c r="O2600" s="5">
        <f>+M2600+N2600</f>
        <v/>
      </c>
      <c r="P2600" s="4" t="n">
        <v>45895</v>
      </c>
      <c r="Q2600" s="87" t="n">
        <v>45869</v>
      </c>
      <c r="R2600" s="5" t="n"/>
      <c r="S2600" s="2" t="n"/>
      <c r="T2600" s="3" t="n"/>
      <c r="U2600" s="87" t="n"/>
      <c r="V2600" s="3" t="n"/>
      <c r="W2600" s="108" t="n"/>
      <c r="X2600" s="4" t="n"/>
    </row>
    <row r="2601" ht="24" customHeight="1">
      <c r="A2601" s="2">
        <f>+D2601-S2601</f>
        <v/>
      </c>
      <c r="B2601" s="80" t="n">
        <v>4193</v>
      </c>
      <c r="C2601" s="66" t="n">
        <v>45903</v>
      </c>
      <c r="D2601" s="2" t="n">
        <v>1</v>
      </c>
      <c r="E2601" s="3" t="inlineStr">
        <is>
          <t>CARABINA SEMIAUTOMATICA</t>
        </is>
      </c>
      <c r="F2601" s="3" t="inlineStr">
        <is>
          <t>22LR</t>
        </is>
      </c>
      <c r="G2601" s="3" t="inlineStr">
        <is>
          <t>BROWNING</t>
        </is>
      </c>
      <c r="H2601" s="65" t="inlineStr">
        <is>
          <t>WILDCAT SA S THR 18''</t>
        </is>
      </c>
      <c r="I2601" s="65" t="inlineStr">
        <is>
          <t>TF614-23M07798</t>
        </is>
      </c>
      <c r="J2601" s="65" t="inlineStr">
        <is>
          <t>N/D</t>
        </is>
      </c>
      <c r="K2601" s="65" t="inlineStr">
        <is>
          <t>N/D</t>
        </is>
      </c>
      <c r="L2601" s="127" t="inlineStr">
        <is>
          <t>BROWNING INTERNATIONAL SRL</t>
        </is>
      </c>
      <c r="M2601" s="5" t="n">
        <v>0</v>
      </c>
      <c r="N2601" s="5" t="n"/>
      <c r="O2601" s="5">
        <f>+M2601+N2601</f>
        <v/>
      </c>
      <c r="P2601" s="4" t="n">
        <v>45895</v>
      </c>
      <c r="Q2601" s="87" t="n">
        <v>45869</v>
      </c>
      <c r="R2601" s="5" t="n"/>
      <c r="S2601" s="2" t="n"/>
      <c r="T2601" s="3" t="n"/>
      <c r="U2601" s="87" t="n"/>
      <c r="V2601" s="3" t="n"/>
      <c r="W2601" s="108" t="n"/>
      <c r="X2601" s="4" t="n"/>
    </row>
    <row r="2602" ht="24" customHeight="1">
      <c r="A2602" s="2">
        <f>+D2602-S2602</f>
        <v/>
      </c>
      <c r="B2602" s="80" t="n">
        <v>4194</v>
      </c>
      <c r="C2602" s="66" t="n">
        <v>45903</v>
      </c>
      <c r="D2602" s="2" t="n">
        <v>1</v>
      </c>
      <c r="E2602" s="3" t="inlineStr">
        <is>
          <t>CARABINA SEMIAUTOMATICA</t>
        </is>
      </c>
      <c r="F2602" s="3" t="inlineStr">
        <is>
          <t>22LR</t>
        </is>
      </c>
      <c r="G2602" s="3" t="inlineStr">
        <is>
          <t>BROWNING</t>
        </is>
      </c>
      <c r="H2602" s="65" t="inlineStr">
        <is>
          <t>WILDCAT SA S THR 18''</t>
        </is>
      </c>
      <c r="I2602" s="65" t="inlineStr">
        <is>
          <t>TF614-23M07804</t>
        </is>
      </c>
      <c r="J2602" s="65" t="inlineStr">
        <is>
          <t>N/D</t>
        </is>
      </c>
      <c r="K2602" s="65" t="inlineStr">
        <is>
          <t>N/D</t>
        </is>
      </c>
      <c r="L2602" s="127" t="inlineStr">
        <is>
          <t>BROWNING INTERNATIONAL SRL</t>
        </is>
      </c>
      <c r="M2602" s="5" t="n">
        <v>244.8</v>
      </c>
      <c r="N2602" s="5" t="n"/>
      <c r="O2602" s="5">
        <f>+M2602+N2602</f>
        <v/>
      </c>
      <c r="P2602" s="4" t="n">
        <v>45895</v>
      </c>
      <c r="Q2602" s="87" t="n">
        <v>45869</v>
      </c>
      <c r="R2602" s="5" t="n"/>
      <c r="S2602" s="2" t="n"/>
      <c r="T2602" s="3" t="n"/>
      <c r="U2602" s="87" t="n"/>
      <c r="V2602" s="3" t="n"/>
      <c r="W2602" s="108" t="n"/>
      <c r="X2602" s="4" t="n"/>
    </row>
    <row r="2603" ht="24" customHeight="1">
      <c r="A2603" s="2">
        <f>+D2603-S2603</f>
        <v/>
      </c>
      <c r="B2603" s="80" t="n">
        <v>4195</v>
      </c>
      <c r="C2603" s="66" t="n">
        <v>45903</v>
      </c>
      <c r="D2603" s="2" t="n">
        <v>1</v>
      </c>
      <c r="E2603" s="3" t="inlineStr">
        <is>
          <t>CARABINA SEMIAUTOMATICA</t>
        </is>
      </c>
      <c r="F2603" s="3" t="inlineStr">
        <is>
          <t>22LR</t>
        </is>
      </c>
      <c r="G2603" s="3" t="inlineStr">
        <is>
          <t>BROWNING</t>
        </is>
      </c>
      <c r="H2603" s="65" t="inlineStr">
        <is>
          <t>WILDCAT SA S THR 18''</t>
        </is>
      </c>
      <c r="I2603" s="65" t="inlineStr">
        <is>
          <t>TF614-23M07811</t>
        </is>
      </c>
      <c r="J2603" s="65" t="inlineStr">
        <is>
          <t>N/D</t>
        </is>
      </c>
      <c r="K2603" s="65" t="inlineStr">
        <is>
          <t>N/D</t>
        </is>
      </c>
      <c r="L2603" s="127" t="inlineStr">
        <is>
          <t>BROWNING INTERNATIONAL SRL</t>
        </is>
      </c>
      <c r="M2603" s="5" t="n">
        <v>0</v>
      </c>
      <c r="N2603" s="5" t="n"/>
      <c r="O2603" s="5">
        <f>+M2603+N2603</f>
        <v/>
      </c>
      <c r="P2603" s="4" t="n">
        <v>45895</v>
      </c>
      <c r="Q2603" s="87" t="n">
        <v>45869</v>
      </c>
      <c r="R2603" s="5" t="n"/>
      <c r="S2603" s="2" t="n"/>
      <c r="T2603" s="3" t="n"/>
      <c r="U2603" s="87" t="n"/>
      <c r="V2603" s="3" t="n"/>
      <c r="W2603" s="108" t="n"/>
      <c r="X2603" s="4" t="n"/>
    </row>
    <row r="2604" ht="24" customHeight="1">
      <c r="A2604" s="2">
        <f>+D2604-S2604</f>
        <v/>
      </c>
      <c r="B2604" s="80" t="n">
        <v>4196</v>
      </c>
      <c r="C2604" s="66" t="n">
        <v>45903</v>
      </c>
      <c r="D2604" s="2" t="n">
        <v>1</v>
      </c>
      <c r="E2604" s="3" t="inlineStr">
        <is>
          <t>CARABINA SEMIAUTOMATICA</t>
        </is>
      </c>
      <c r="F2604" s="3" t="inlineStr">
        <is>
          <t>22LR</t>
        </is>
      </c>
      <c r="G2604" s="3" t="inlineStr">
        <is>
          <t>BROWNING</t>
        </is>
      </c>
      <c r="H2604" s="65" t="inlineStr">
        <is>
          <t>WILDCAT SA S THR 18''</t>
        </is>
      </c>
      <c r="I2604" s="65" t="inlineStr">
        <is>
          <t>TF614-23M07816</t>
        </is>
      </c>
      <c r="J2604" s="65" t="inlineStr">
        <is>
          <t>N/D</t>
        </is>
      </c>
      <c r="K2604" s="65" t="inlineStr">
        <is>
          <t>N/D</t>
        </is>
      </c>
      <c r="L2604" s="127" t="inlineStr">
        <is>
          <t>BROWNING INTERNATIONAL SRL</t>
        </is>
      </c>
      <c r="M2604" s="5" t="n">
        <v>244.8</v>
      </c>
      <c r="N2604" s="5" t="n"/>
      <c r="O2604" s="5">
        <f>+M2604+N2604</f>
        <v/>
      </c>
      <c r="P2604" s="4" t="n">
        <v>45895</v>
      </c>
      <c r="Q2604" s="87" t="n">
        <v>45869</v>
      </c>
      <c r="R2604" s="5" t="n"/>
      <c r="S2604" s="2" t="n"/>
      <c r="T2604" s="3" t="n"/>
      <c r="U2604" s="87" t="n"/>
      <c r="V2604" s="3" t="n"/>
      <c r="W2604" s="108" t="n"/>
      <c r="X2604" s="4" t="n"/>
    </row>
    <row r="2605" ht="24" customHeight="1">
      <c r="A2605" s="2">
        <f>+D2605-S2605</f>
        <v/>
      </c>
      <c r="B2605" s="80" t="n">
        <v>4197</v>
      </c>
      <c r="C2605" s="66" t="n">
        <v>45903</v>
      </c>
      <c r="D2605" s="2" t="n">
        <v>1</v>
      </c>
      <c r="E2605" s="3" t="inlineStr">
        <is>
          <t>CARABINA SEMIAUTOMATICA</t>
        </is>
      </c>
      <c r="F2605" s="3" t="inlineStr">
        <is>
          <t>22LR</t>
        </is>
      </c>
      <c r="G2605" s="3" t="inlineStr">
        <is>
          <t>BROWNING</t>
        </is>
      </c>
      <c r="H2605" s="65" t="inlineStr">
        <is>
          <t>WILDCAT SA S THR 18''</t>
        </is>
      </c>
      <c r="I2605" s="65" t="inlineStr">
        <is>
          <t>TF614-23M07817</t>
        </is>
      </c>
      <c r="J2605" s="65" t="inlineStr">
        <is>
          <t>N/D</t>
        </is>
      </c>
      <c r="K2605" s="65" t="inlineStr">
        <is>
          <t>N/D</t>
        </is>
      </c>
      <c r="L2605" s="127" t="inlineStr">
        <is>
          <t>BROWNING INTERNATIONAL SRL</t>
        </is>
      </c>
      <c r="M2605" s="5" t="n">
        <v>244.8</v>
      </c>
      <c r="N2605" s="5" t="n"/>
      <c r="O2605" s="5">
        <f>+M2605+N2605</f>
        <v/>
      </c>
      <c r="P2605" s="4" t="n">
        <v>45895</v>
      </c>
      <c r="Q2605" s="87" t="n">
        <v>45869</v>
      </c>
      <c r="R2605" s="5" t="n"/>
      <c r="S2605" s="2" t="n"/>
      <c r="T2605" s="3" t="n"/>
      <c r="U2605" s="87" t="n"/>
      <c r="V2605" s="3" t="n"/>
      <c r="W2605" s="108" t="n"/>
      <c r="X2605" s="4" t="n"/>
    </row>
    <row r="2606" ht="24" customHeight="1">
      <c r="A2606" s="2">
        <f>+D2606-S2606</f>
        <v/>
      </c>
      <c r="B2606" s="80" t="n">
        <v>4198</v>
      </c>
      <c r="C2606" s="66" t="n">
        <v>45903</v>
      </c>
      <c r="D2606" s="2" t="n">
        <v>1</v>
      </c>
      <c r="E2606" s="3" t="inlineStr">
        <is>
          <t>CARABINA SEMIAUTOMATICA</t>
        </is>
      </c>
      <c r="F2606" s="3" t="inlineStr">
        <is>
          <t>22LR</t>
        </is>
      </c>
      <c r="G2606" s="3" t="inlineStr">
        <is>
          <t>BROWNING</t>
        </is>
      </c>
      <c r="H2606" s="65" t="inlineStr">
        <is>
          <t>WILDCAT SA S THR 18''</t>
        </is>
      </c>
      <c r="I2606" s="65" t="inlineStr">
        <is>
          <t>TF614-23M07818</t>
        </is>
      </c>
      <c r="J2606" s="65" t="inlineStr">
        <is>
          <t>N/D</t>
        </is>
      </c>
      <c r="K2606" s="65" t="inlineStr">
        <is>
          <t>N/D</t>
        </is>
      </c>
      <c r="L2606" s="127" t="inlineStr">
        <is>
          <t>BROWNING INTERNATIONAL SRL</t>
        </is>
      </c>
      <c r="M2606" s="5" t="n">
        <v>0</v>
      </c>
      <c r="N2606" s="5" t="n"/>
      <c r="O2606" s="5">
        <f>+M2606+N2606</f>
        <v/>
      </c>
      <c r="P2606" s="4" t="n">
        <v>45895</v>
      </c>
      <c r="Q2606" s="87" t="n">
        <v>45869</v>
      </c>
      <c r="R2606" s="5" t="n"/>
      <c r="S2606" s="2" t="n"/>
      <c r="T2606" s="3" t="n"/>
      <c r="U2606" s="87" t="n"/>
      <c r="V2606" s="3" t="n"/>
      <c r="W2606" s="108" t="n"/>
      <c r="X2606" s="4" t="n"/>
    </row>
    <row r="2607" ht="24" customHeight="1">
      <c r="A2607" s="2">
        <f>+D2607-S2607</f>
        <v/>
      </c>
      <c r="B2607" s="80" t="n">
        <v>4199</v>
      </c>
      <c r="C2607" s="66" t="n">
        <v>45903</v>
      </c>
      <c r="D2607" s="2" t="n">
        <v>1</v>
      </c>
      <c r="E2607" s="3" t="inlineStr">
        <is>
          <t>CARABINA SEMIAUTOMATICA</t>
        </is>
      </c>
      <c r="F2607" s="3" t="inlineStr">
        <is>
          <t>22LR</t>
        </is>
      </c>
      <c r="G2607" s="3" t="inlineStr">
        <is>
          <t>BROWNING</t>
        </is>
      </c>
      <c r="H2607" s="65" t="inlineStr">
        <is>
          <t>WILDCAT SA S THR 18''</t>
        </is>
      </c>
      <c r="I2607" s="65" t="inlineStr">
        <is>
          <t>TF614-23M07819</t>
        </is>
      </c>
      <c r="J2607" s="65" t="inlineStr">
        <is>
          <t>N/D</t>
        </is>
      </c>
      <c r="K2607" s="65" t="inlineStr">
        <is>
          <t>N/D</t>
        </is>
      </c>
      <c r="L2607" s="127" t="inlineStr">
        <is>
          <t>BROWNING INTERNATIONAL SRL</t>
        </is>
      </c>
      <c r="M2607" s="5" t="n">
        <v>0</v>
      </c>
      <c r="N2607" s="5" t="n"/>
      <c r="O2607" s="5">
        <f>+M2607+N2607</f>
        <v/>
      </c>
      <c r="P2607" s="4" t="n">
        <v>45895</v>
      </c>
      <c r="Q2607" s="87" t="n">
        <v>45869</v>
      </c>
      <c r="R2607" s="5" t="n"/>
      <c r="S2607" s="2" t="n"/>
      <c r="T2607" s="3" t="n"/>
      <c r="U2607" s="87" t="n"/>
      <c r="V2607" s="3" t="n"/>
      <c r="W2607" s="108" t="n"/>
      <c r="X2607" s="4" t="n"/>
    </row>
    <row r="2608" ht="24" customHeight="1">
      <c r="A2608" s="2">
        <f>+D2608-S2608</f>
        <v/>
      </c>
      <c r="B2608" s="80" t="n">
        <v>4200</v>
      </c>
      <c r="C2608" s="66" t="n">
        <v>45903</v>
      </c>
      <c r="D2608" s="2" t="n">
        <v>1</v>
      </c>
      <c r="E2608" s="3" t="inlineStr">
        <is>
          <t>CARABINA SEMIAUTOMATICA</t>
        </is>
      </c>
      <c r="F2608" s="3" t="inlineStr">
        <is>
          <t>22LR</t>
        </is>
      </c>
      <c r="G2608" s="3" t="inlineStr">
        <is>
          <t>BROWNING</t>
        </is>
      </c>
      <c r="H2608" s="65" t="inlineStr">
        <is>
          <t>WILDCAT SA S THR 18''</t>
        </is>
      </c>
      <c r="I2608" s="65" t="inlineStr">
        <is>
          <t>TF614-23M07820</t>
        </is>
      </c>
      <c r="J2608" s="65" t="inlineStr">
        <is>
          <t>N/D</t>
        </is>
      </c>
      <c r="K2608" s="65" t="inlineStr">
        <is>
          <t>N/D</t>
        </is>
      </c>
      <c r="L2608" s="127" t="inlineStr">
        <is>
          <t>BROWNING INTERNATIONAL SRL</t>
        </is>
      </c>
      <c r="M2608" s="5" t="n">
        <v>0</v>
      </c>
      <c r="N2608" s="5" t="n"/>
      <c r="O2608" s="5">
        <f>+M2608+N2608</f>
        <v/>
      </c>
      <c r="P2608" s="4" t="n">
        <v>45895</v>
      </c>
      <c r="Q2608" s="87" t="n">
        <v>45869</v>
      </c>
      <c r="R2608" s="5" t="n"/>
      <c r="S2608" s="2" t="n"/>
      <c r="T2608" s="3" t="n"/>
      <c r="U2608" s="87" t="n"/>
      <c r="V2608" s="3" t="n"/>
      <c r="W2608" s="108" t="n"/>
      <c r="X2608" s="4" t="n"/>
    </row>
    <row r="2609" ht="24" customHeight="1">
      <c r="A2609" s="2">
        <f>+D2609-S2609</f>
        <v/>
      </c>
      <c r="B2609" s="80" t="n">
        <v>4201</v>
      </c>
      <c r="C2609" s="66" t="n">
        <v>45916</v>
      </c>
      <c r="D2609" s="2" t="n">
        <v>1</v>
      </c>
      <c r="E2609" s="3" t="inlineStr">
        <is>
          <t>PISTOLA SEMIAUTOMATICA</t>
        </is>
      </c>
      <c r="F2609" s="3" t="inlineStr">
        <is>
          <t>22LR</t>
        </is>
      </c>
      <c r="G2609" s="3" t="inlineStr">
        <is>
          <t>BROWNING</t>
        </is>
      </c>
      <c r="H2609" s="65" t="inlineStr">
        <is>
          <t>BUCKMARK CONTOUR PRO+ COMPS 5.9 G10</t>
        </is>
      </c>
      <c r="I2609" s="65" t="inlineStr">
        <is>
          <t>US515YV09332</t>
        </is>
      </c>
      <c r="J2609" s="65" t="inlineStr">
        <is>
          <t>N/D</t>
        </is>
      </c>
      <c r="K2609" s="65" t="inlineStr">
        <is>
          <t>N/D</t>
        </is>
      </c>
      <c r="L2609" s="127" t="inlineStr">
        <is>
          <t>BROWNING INTERNATIONAL SRL</t>
        </is>
      </c>
      <c r="M2609" s="5" t="n">
        <v>581.17</v>
      </c>
      <c r="N2609" s="5" t="n"/>
      <c r="O2609" s="5">
        <f>+M2609+N2609</f>
        <v/>
      </c>
      <c r="P2609" s="4" t="n">
        <v>45910</v>
      </c>
      <c r="Q2609" s="87" t="n">
        <v>45905</v>
      </c>
      <c r="R2609" s="5" t="n"/>
      <c r="S2609" s="2" t="n"/>
      <c r="T2609" s="3" t="n"/>
      <c r="U2609" s="87" t="n"/>
      <c r="V2609" s="3" t="n"/>
      <c r="W2609" s="108" t="n"/>
      <c r="X2609" s="4" t="n"/>
    </row>
    <row r="2610" ht="24" customHeight="1">
      <c r="A2610" s="2">
        <f>+D2610-S2610</f>
        <v/>
      </c>
      <c r="B2610" s="80" t="n">
        <v>4202</v>
      </c>
      <c r="C2610" s="66" t="n">
        <v>45916</v>
      </c>
      <c r="D2610" s="2" t="n">
        <v>1</v>
      </c>
      <c r="E2610" s="3" t="inlineStr">
        <is>
          <t>PISTOLA SEMIAUTOMATICA</t>
        </is>
      </c>
      <c r="F2610" s="3" t="inlineStr">
        <is>
          <t>22LR</t>
        </is>
      </c>
      <c r="G2610" s="3" t="inlineStr">
        <is>
          <t>BROWNING</t>
        </is>
      </c>
      <c r="H2610" s="65" t="inlineStr">
        <is>
          <t>BUCKMARK CONTOUR PRO+ COMPS 5.9 G10</t>
        </is>
      </c>
      <c r="I2610" s="65" t="inlineStr">
        <is>
          <t>US515YV09334</t>
        </is>
      </c>
      <c r="J2610" s="65" t="inlineStr">
        <is>
          <t>N/D</t>
        </is>
      </c>
      <c r="K2610" s="65" t="inlineStr">
        <is>
          <t>N/D</t>
        </is>
      </c>
      <c r="L2610" s="127" t="inlineStr">
        <is>
          <t>BROWNING INTERNATIONAL SRL</t>
        </is>
      </c>
      <c r="M2610" s="5" t="n">
        <v>581.17</v>
      </c>
      <c r="N2610" s="5" t="n"/>
      <c r="O2610" s="5">
        <f>+M2610+N2610</f>
        <v/>
      </c>
      <c r="P2610" s="4" t="n">
        <v>45910</v>
      </c>
      <c r="Q2610" s="87" t="n">
        <v>45905</v>
      </c>
      <c r="R2610" s="5" t="n"/>
      <c r="S2610" s="2" t="n"/>
      <c r="T2610" s="3" t="n"/>
      <c r="U2610" s="87" t="n"/>
      <c r="V2610" s="3" t="n"/>
      <c r="W2610" s="108" t="n"/>
      <c r="X2610" s="4" t="n"/>
    </row>
    <row r="2611" ht="24" customHeight="1">
      <c r="A2611" s="2">
        <f>+D2611-S2611</f>
        <v/>
      </c>
      <c r="B2611" s="80" t="n">
        <v>4203</v>
      </c>
      <c r="C2611" s="66" t="n">
        <v>45926</v>
      </c>
      <c r="D2611" s="2" t="n">
        <v>1</v>
      </c>
      <c r="E2611" s="3" t="inlineStr">
        <is>
          <t>FUCILE SEMIAUTOMATICO</t>
        </is>
      </c>
      <c r="F2611" s="3" t="n">
        <v>12</v>
      </c>
      <c r="G2611" s="3" t="inlineStr">
        <is>
          <t>BERETTA</t>
        </is>
      </c>
      <c r="H2611" s="65" t="inlineStr">
        <is>
          <t>N/D</t>
        </is>
      </c>
      <c r="I2611" s="65" t="inlineStr">
        <is>
          <t>B54235E</t>
        </is>
      </c>
      <c r="J2611" s="65" t="inlineStr">
        <is>
          <t>C33540F</t>
        </is>
      </c>
      <c r="K2611" s="65" t="inlineStr">
        <is>
          <t>N/D</t>
        </is>
      </c>
      <c r="L2611" s="127" t="inlineStr">
        <is>
          <t>ARMERIA LENZERINI S.A.S</t>
        </is>
      </c>
      <c r="M2611" s="5" t="n">
        <v>110</v>
      </c>
      <c r="N2611" s="5" t="n"/>
      <c r="O2611" s="5">
        <f>+M2611+N2611</f>
        <v/>
      </c>
      <c r="P2611" s="4" t="n">
        <v>45920</v>
      </c>
      <c r="Q2611" s="87" t="n">
        <v>45916</v>
      </c>
      <c r="R2611" s="5" t="n">
        <v>141.44</v>
      </c>
      <c r="S2611" s="2" t="n">
        <v>1</v>
      </c>
      <c r="T2611" s="3" t="inlineStr">
        <is>
          <t>CA42796IR</t>
        </is>
      </c>
      <c r="U2611" s="87" t="n">
        <v>46097</v>
      </c>
      <c r="V2611" s="3" t="inlineStr">
        <is>
          <t>4</t>
        </is>
      </c>
      <c r="W2611" s="108" t="n">
        <v>46097</v>
      </c>
      <c r="X2611" s="4" t="inlineStr">
        <is>
          <t>PHILIPPOS  CONSTANTINIDES
TRADING CO.LTD</t>
        </is>
      </c>
    </row>
    <row r="2612" ht="24" customHeight="1">
      <c r="A2612" s="2">
        <f>+D2612-S2612</f>
        <v/>
      </c>
      <c r="B2612" s="80" t="n">
        <v>4204</v>
      </c>
      <c r="C2612" s="66" t="n">
        <v>45926</v>
      </c>
      <c r="D2612" s="2" t="n">
        <v>1</v>
      </c>
      <c r="E2612" s="3" t="inlineStr">
        <is>
          <t>FUCILE SEMIAUTOMATICO</t>
        </is>
      </c>
      <c r="F2612" s="3" t="n">
        <v>12</v>
      </c>
      <c r="G2612" s="3" t="inlineStr">
        <is>
          <t>BERETTA</t>
        </is>
      </c>
      <c r="H2612" s="65" t="inlineStr">
        <is>
          <t>N/D</t>
        </is>
      </c>
      <c r="I2612" s="65" t="inlineStr">
        <is>
          <t>G28488</t>
        </is>
      </c>
      <c r="J2612" s="65" t="inlineStr">
        <is>
          <t>014287</t>
        </is>
      </c>
      <c r="K2612" s="65" t="inlineStr">
        <is>
          <t>N/D</t>
        </is>
      </c>
      <c r="L2612" s="127" t="inlineStr">
        <is>
          <t>ARMERIA LENZERINI S.A.S</t>
        </is>
      </c>
      <c r="M2612" s="5" t="n">
        <v>110</v>
      </c>
      <c r="N2612" s="5" t="n"/>
      <c r="O2612" s="5">
        <f>+M2612+N2612</f>
        <v/>
      </c>
      <c r="P2612" s="4" t="n">
        <v>45920</v>
      </c>
      <c r="Q2612" s="87" t="n">
        <v>45916</v>
      </c>
      <c r="R2612" s="5" t="n">
        <v>141.44</v>
      </c>
      <c r="S2612" s="2" t="n">
        <v>1</v>
      </c>
      <c r="T2612" s="3" t="inlineStr">
        <is>
          <t>CA42796IR</t>
        </is>
      </c>
      <c r="U2612" s="87" t="n">
        <v>46097</v>
      </c>
      <c r="V2612" s="3" t="inlineStr">
        <is>
          <t>4</t>
        </is>
      </c>
      <c r="W2612" s="108" t="n">
        <v>46097</v>
      </c>
      <c r="X2612" s="4" t="inlineStr">
        <is>
          <t>PHILIPPOS  CONSTANTINIDES
TRADING CO.LTD</t>
        </is>
      </c>
    </row>
    <row r="2613" ht="24" customHeight="1">
      <c r="A2613" s="2">
        <f>+D2613-S2613</f>
        <v/>
      </c>
      <c r="B2613" s="80" t="n">
        <v>4205</v>
      </c>
      <c r="C2613" s="66" t="n">
        <v>45926</v>
      </c>
      <c r="D2613" s="2" t="n">
        <v>1</v>
      </c>
      <c r="E2613" s="3" t="inlineStr">
        <is>
          <t>FUCILE SEMIAUTOMATICO</t>
        </is>
      </c>
      <c r="F2613" s="3" t="n">
        <v>12</v>
      </c>
      <c r="G2613" s="3" t="inlineStr">
        <is>
          <t>BERETTA</t>
        </is>
      </c>
      <c r="H2613" s="65" t="inlineStr">
        <is>
          <t>N/D</t>
        </is>
      </c>
      <c r="I2613" s="65" t="inlineStr">
        <is>
          <t>C48718E</t>
        </is>
      </c>
      <c r="J2613" s="65" t="inlineStr">
        <is>
          <t>E06711F</t>
        </is>
      </c>
      <c r="K2613" s="65" t="inlineStr">
        <is>
          <t>N/D</t>
        </is>
      </c>
      <c r="L2613" s="127" t="inlineStr">
        <is>
          <t>ARMERIA LENZERINI S.A.S</t>
        </is>
      </c>
      <c r="M2613" s="5" t="n">
        <v>120</v>
      </c>
      <c r="N2613" s="5" t="n"/>
      <c r="O2613" s="5">
        <f>+M2613+N2613</f>
        <v/>
      </c>
      <c r="P2613" s="4" t="n">
        <v>45920</v>
      </c>
      <c r="Q2613" s="87" t="n">
        <v>45916</v>
      </c>
      <c r="R2613" s="5" t="n">
        <v>153.85</v>
      </c>
      <c r="S2613" s="2" t="n">
        <v>1</v>
      </c>
      <c r="T2613" s="3" t="inlineStr">
        <is>
          <t>CA42796IR</t>
        </is>
      </c>
      <c r="U2613" s="87" t="n">
        <v>46097</v>
      </c>
      <c r="V2613" s="3" t="inlineStr">
        <is>
          <t>4</t>
        </is>
      </c>
      <c r="W2613" s="108" t="n">
        <v>46097</v>
      </c>
      <c r="X2613" s="4" t="inlineStr">
        <is>
          <t>PHILIPPOS  CONSTANTINIDES
TRADING CO.LTD</t>
        </is>
      </c>
    </row>
    <row r="2614" ht="24" customHeight="1">
      <c r="A2614" s="2">
        <f>+D2614-S2614</f>
        <v/>
      </c>
      <c r="B2614" s="80" t="n">
        <v>4206</v>
      </c>
      <c r="C2614" s="66" t="n">
        <v>45926</v>
      </c>
      <c r="D2614" s="2" t="n">
        <v>1</v>
      </c>
      <c r="E2614" s="3" t="inlineStr">
        <is>
          <t>FUCILE SEMIAUTOMATICO</t>
        </is>
      </c>
      <c r="F2614" s="3" t="n">
        <v>12</v>
      </c>
      <c r="G2614" s="3" t="inlineStr">
        <is>
          <t>BERETTA</t>
        </is>
      </c>
      <c r="H2614" s="65" t="inlineStr">
        <is>
          <t>N/D</t>
        </is>
      </c>
      <c r="I2614" s="65" t="inlineStr">
        <is>
          <t>F85060E</t>
        </is>
      </c>
      <c r="J2614" s="65" t="inlineStr">
        <is>
          <t>H34630F</t>
        </is>
      </c>
      <c r="K2614" s="65" t="inlineStr">
        <is>
          <t>N/D</t>
        </is>
      </c>
      <c r="L2614" s="127" t="inlineStr">
        <is>
          <t>ARMERIA LENZERINI S.A.S</t>
        </is>
      </c>
      <c r="M2614" s="5" t="n">
        <v>110</v>
      </c>
      <c r="N2614" s="5" t="n"/>
      <c r="O2614" s="5">
        <f>+M2614+N2614</f>
        <v/>
      </c>
      <c r="P2614" s="4" t="n">
        <v>45920</v>
      </c>
      <c r="Q2614" s="87" t="n">
        <v>45916</v>
      </c>
      <c r="R2614" s="5" t="n">
        <v>141.44</v>
      </c>
      <c r="S2614" s="2" t="n">
        <v>1</v>
      </c>
      <c r="T2614" s="3" t="inlineStr">
        <is>
          <t>CA42796IR</t>
        </is>
      </c>
      <c r="U2614" s="87" t="n">
        <v>46097</v>
      </c>
      <c r="V2614" s="3" t="inlineStr">
        <is>
          <t>4</t>
        </is>
      </c>
      <c r="W2614" s="108" t="n">
        <v>46097</v>
      </c>
      <c r="X2614" s="4" t="inlineStr">
        <is>
          <t>PHILIPPOS  CONSTANTINIDES
TRADING CO.LTD</t>
        </is>
      </c>
    </row>
    <row r="2615" ht="24" customHeight="1">
      <c r="A2615" s="2">
        <f>+D2615-S2615</f>
        <v/>
      </c>
      <c r="B2615" s="80" t="n">
        <v>4207</v>
      </c>
      <c r="C2615" s="66" t="n">
        <v>45926</v>
      </c>
      <c r="D2615" s="2" t="n">
        <v>1</v>
      </c>
      <c r="E2615" s="3" t="inlineStr">
        <is>
          <t>FUCILE SEMIAUTOMATICO</t>
        </is>
      </c>
      <c r="F2615" s="3" t="n">
        <v>12</v>
      </c>
      <c r="G2615" s="3" t="inlineStr">
        <is>
          <t>BERETTA</t>
        </is>
      </c>
      <c r="H2615" s="65" t="inlineStr">
        <is>
          <t>N/D</t>
        </is>
      </c>
      <c r="I2615" s="65" t="inlineStr">
        <is>
          <t>E62340E</t>
        </is>
      </c>
      <c r="J2615" s="65" t="inlineStr">
        <is>
          <t>G00818F</t>
        </is>
      </c>
      <c r="K2615" s="65" t="inlineStr">
        <is>
          <t>N/D</t>
        </is>
      </c>
      <c r="L2615" s="127" t="inlineStr">
        <is>
          <t>ARMERIA LENZERINI S.A.S</t>
        </is>
      </c>
      <c r="M2615" s="5" t="n">
        <v>120</v>
      </c>
      <c r="N2615" s="5" t="n"/>
      <c r="O2615" s="5">
        <f>+M2615+N2615</f>
        <v/>
      </c>
      <c r="P2615" s="4" t="n">
        <v>45920</v>
      </c>
      <c r="Q2615" s="87" t="n">
        <v>45916</v>
      </c>
      <c r="R2615" s="5" t="n">
        <v>153.85</v>
      </c>
      <c r="S2615" s="2" t="n">
        <v>1</v>
      </c>
      <c r="T2615" s="3" t="inlineStr">
        <is>
          <t>CA42796IR</t>
        </is>
      </c>
      <c r="U2615" s="87" t="n">
        <v>46097</v>
      </c>
      <c r="V2615" s="3" t="inlineStr">
        <is>
          <t>4</t>
        </is>
      </c>
      <c r="W2615" s="108" t="n">
        <v>46097</v>
      </c>
      <c r="X2615" s="4" t="inlineStr">
        <is>
          <t>PHILIPPOS  CONSTANTINIDES
TRADING CO.LTD</t>
        </is>
      </c>
    </row>
    <row r="2616" ht="24" customHeight="1">
      <c r="A2616" s="2">
        <f>+D2616-S2616</f>
        <v/>
      </c>
      <c r="B2616" s="80" t="n">
        <v>4208</v>
      </c>
      <c r="C2616" s="66" t="n">
        <v>45926</v>
      </c>
      <c r="D2616" s="2" t="n">
        <v>1</v>
      </c>
      <c r="E2616" s="3" t="inlineStr">
        <is>
          <t>FUCILE SEMIAUTOMATICO</t>
        </is>
      </c>
      <c r="F2616" s="3" t="n">
        <v>12</v>
      </c>
      <c r="G2616" s="3" t="inlineStr">
        <is>
          <t>BENELLI</t>
        </is>
      </c>
      <c r="H2616" s="65" t="inlineStr">
        <is>
          <t>N/D</t>
        </is>
      </c>
      <c r="I2616" s="65" t="inlineStr">
        <is>
          <t>M482041</t>
        </is>
      </c>
      <c r="J2616" s="65" t="inlineStr">
        <is>
          <t>C679682</t>
        </is>
      </c>
      <c r="K2616" s="65" t="inlineStr">
        <is>
          <t>N/D</t>
        </is>
      </c>
      <c r="L2616" s="127" t="inlineStr">
        <is>
          <t>ARMERIA LENZERINI S.A.S</t>
        </is>
      </c>
      <c r="M2616" s="5" t="n">
        <v>250</v>
      </c>
      <c r="N2616" s="5" t="n"/>
      <c r="O2616" s="5">
        <f>+M2616+N2616</f>
        <v/>
      </c>
      <c r="P2616" s="4" t="n">
        <v>45920</v>
      </c>
      <c r="Q2616" s="87" t="n">
        <v>45916</v>
      </c>
      <c r="R2616" s="5" t="n">
        <v>315.1</v>
      </c>
      <c r="S2616" s="2" t="n">
        <v>1</v>
      </c>
      <c r="T2616" s="3" t="inlineStr">
        <is>
          <t>CA42796IR</t>
        </is>
      </c>
      <c r="U2616" s="87" t="n">
        <v>46097</v>
      </c>
      <c r="V2616" s="3" t="inlineStr">
        <is>
          <t>4</t>
        </is>
      </c>
      <c r="W2616" s="108" t="n">
        <v>46097</v>
      </c>
      <c r="X2616" s="4" t="inlineStr">
        <is>
          <t>PHILIPPOS  CONSTANTINIDES
TRADING CO.LTD</t>
        </is>
      </c>
    </row>
    <row r="2617" ht="24" customHeight="1">
      <c r="A2617" s="2">
        <f>+D2617-S2617</f>
        <v/>
      </c>
      <c r="B2617" s="80" t="n">
        <v>4209</v>
      </c>
      <c r="C2617" s="66" t="n">
        <v>45926</v>
      </c>
      <c r="D2617" s="2" t="n">
        <v>1</v>
      </c>
      <c r="E2617" s="3" t="inlineStr">
        <is>
          <t>FUCILE SEMIAUTOMATICO</t>
        </is>
      </c>
      <c r="F2617" s="3" t="n">
        <v>12</v>
      </c>
      <c r="G2617" s="3" t="inlineStr">
        <is>
          <t>BERETTA</t>
        </is>
      </c>
      <c r="H2617" s="65" t="inlineStr">
        <is>
          <t>N/D</t>
        </is>
      </c>
      <c r="I2617" s="65" t="inlineStr">
        <is>
          <t>B08969E</t>
        </is>
      </c>
      <c r="J2617" s="65" t="inlineStr">
        <is>
          <t>646228</t>
        </is>
      </c>
      <c r="K2617" s="65" t="inlineStr">
        <is>
          <t>N/D</t>
        </is>
      </c>
      <c r="L2617" s="127" t="inlineStr">
        <is>
          <t>ARMERIA LENZERINI S.A.S</t>
        </is>
      </c>
      <c r="M2617" s="5" t="n">
        <v>50</v>
      </c>
      <c r="N2617" s="5" t="n"/>
      <c r="O2617" s="5">
        <f>+M2617+N2617</f>
        <v/>
      </c>
      <c r="P2617" s="4" t="n">
        <v>45920</v>
      </c>
      <c r="Q2617" s="87" t="n">
        <v>45916</v>
      </c>
      <c r="R2617" s="5" t="n">
        <v>67.02</v>
      </c>
      <c r="S2617" s="2" t="n">
        <v>1</v>
      </c>
      <c r="T2617" s="3" t="inlineStr">
        <is>
          <t>CA42796IR</t>
        </is>
      </c>
      <c r="U2617" s="87" t="n">
        <v>46097</v>
      </c>
      <c r="V2617" s="3" t="inlineStr">
        <is>
          <t>4</t>
        </is>
      </c>
      <c r="W2617" s="108" t="n">
        <v>46097</v>
      </c>
      <c r="X2617" s="4" t="inlineStr">
        <is>
          <t>PHILIPPOS  CONSTANTINIDES
TRADING CO.LTD</t>
        </is>
      </c>
    </row>
    <row r="2618" ht="24" customHeight="1">
      <c r="A2618" s="2">
        <f>+D2618-S2618</f>
        <v/>
      </c>
      <c r="B2618" s="80" t="n">
        <v>4210</v>
      </c>
      <c r="C2618" s="66" t="n">
        <v>45926</v>
      </c>
      <c r="D2618" s="2" t="n">
        <v>1</v>
      </c>
      <c r="E2618" s="3" t="inlineStr">
        <is>
          <t>FUCILE SEMIAUTOMATICO</t>
        </is>
      </c>
      <c r="F2618" s="3" t="n">
        <v>12</v>
      </c>
      <c r="G2618" s="3" t="inlineStr">
        <is>
          <t>BERETTA</t>
        </is>
      </c>
      <c r="H2618" s="65" t="inlineStr">
        <is>
          <t>N/D</t>
        </is>
      </c>
      <c r="I2618" s="65" t="inlineStr">
        <is>
          <t>A71135E</t>
        </is>
      </c>
      <c r="J2618" s="65" t="inlineStr">
        <is>
          <t>B29800F</t>
        </is>
      </c>
      <c r="K2618" s="65" t="inlineStr">
        <is>
          <t>N/D</t>
        </is>
      </c>
      <c r="L2618" s="127" t="inlineStr">
        <is>
          <t>ARMERIA LENZERINI S.A.S</t>
        </is>
      </c>
      <c r="M2618" s="5" t="n">
        <v>110</v>
      </c>
      <c r="N2618" s="5" t="n"/>
      <c r="O2618" s="5">
        <f>+M2618+N2618</f>
        <v/>
      </c>
      <c r="P2618" s="4" t="n">
        <v>45920</v>
      </c>
      <c r="Q2618" s="87" t="n">
        <v>45916</v>
      </c>
      <c r="R2618" s="5" t="n">
        <v>141.44</v>
      </c>
      <c r="S2618" s="2" t="n">
        <v>1</v>
      </c>
      <c r="T2618" s="3" t="inlineStr">
        <is>
          <t>CA42796IR</t>
        </is>
      </c>
      <c r="U2618" s="87" t="n">
        <v>46097</v>
      </c>
      <c r="V2618" s="3" t="inlineStr">
        <is>
          <t>4</t>
        </is>
      </c>
      <c r="W2618" s="108" t="n">
        <v>46097</v>
      </c>
      <c r="X2618" s="4" t="inlineStr">
        <is>
          <t>PHILIPPOS  CONSTANTINIDES
TRADING CO.LTD</t>
        </is>
      </c>
    </row>
    <row r="2619" ht="24" customHeight="1">
      <c r="A2619" s="2">
        <f>+D2619-S2619</f>
        <v/>
      </c>
      <c r="B2619" s="80" t="n">
        <v>4211</v>
      </c>
      <c r="C2619" s="66" t="n">
        <v>45926</v>
      </c>
      <c r="D2619" s="2" t="n">
        <v>1</v>
      </c>
      <c r="E2619" s="3" t="inlineStr">
        <is>
          <t>FUCILE SEMIAUTOMATICO</t>
        </is>
      </c>
      <c r="F2619" s="3" t="n">
        <v>12</v>
      </c>
      <c r="G2619" s="3" t="inlineStr">
        <is>
          <t>BERETTA</t>
        </is>
      </c>
      <c r="H2619" s="65" t="inlineStr">
        <is>
          <t>N/D</t>
        </is>
      </c>
      <c r="I2619" s="65" t="inlineStr">
        <is>
          <t>B31222E</t>
        </is>
      </c>
      <c r="J2619" s="65" t="inlineStr">
        <is>
          <t>C83972F</t>
        </is>
      </c>
      <c r="K2619" s="65" t="inlineStr">
        <is>
          <t>N/D</t>
        </is>
      </c>
      <c r="L2619" s="127" t="inlineStr">
        <is>
          <t>ARMERIA LENZERINI S.A.S</t>
        </is>
      </c>
      <c r="M2619" s="5" t="n">
        <v>110</v>
      </c>
      <c r="N2619" s="5" t="n"/>
      <c r="O2619" s="5">
        <f>+M2619+N2619</f>
        <v/>
      </c>
      <c r="P2619" s="4" t="n">
        <v>45920</v>
      </c>
      <c r="Q2619" s="87" t="n">
        <v>45916</v>
      </c>
      <c r="R2619" s="5" t="n">
        <v>141.44</v>
      </c>
      <c r="S2619" s="2" t="n">
        <v>1</v>
      </c>
      <c r="T2619" s="3" t="inlineStr">
        <is>
          <t>CA42796IR</t>
        </is>
      </c>
      <c r="U2619" s="87" t="n">
        <v>46097</v>
      </c>
      <c r="V2619" s="3" t="inlineStr">
        <is>
          <t>4</t>
        </is>
      </c>
      <c r="W2619" s="108" t="n">
        <v>46097</v>
      </c>
      <c r="X2619" s="4" t="inlineStr">
        <is>
          <t>PHILIPPOS  CONSTANTINIDES
TRADING CO.LTD</t>
        </is>
      </c>
    </row>
    <row r="2620" ht="24" customHeight="1">
      <c r="A2620" s="2">
        <f>+D2620-S2620</f>
        <v/>
      </c>
      <c r="B2620" s="80" t="n">
        <v>4212</v>
      </c>
      <c r="C2620" s="66" t="n">
        <v>45926</v>
      </c>
      <c r="D2620" s="2" t="n">
        <v>1</v>
      </c>
      <c r="E2620" s="3" t="inlineStr">
        <is>
          <t>FUCILE SEMIAUTOMATICO</t>
        </is>
      </c>
      <c r="F2620" s="3" t="n">
        <v>12</v>
      </c>
      <c r="G2620" s="3" t="inlineStr">
        <is>
          <t>BERETTA</t>
        </is>
      </c>
      <c r="H2620" s="65" t="inlineStr">
        <is>
          <t>N/D</t>
        </is>
      </c>
      <c r="I2620" s="65" t="inlineStr">
        <is>
          <t>G06721</t>
        </is>
      </c>
      <c r="J2620" s="65" t="inlineStr">
        <is>
          <t>C69616</t>
        </is>
      </c>
      <c r="K2620" s="65" t="inlineStr">
        <is>
          <t>N/D</t>
        </is>
      </c>
      <c r="L2620" s="127" t="inlineStr">
        <is>
          <t>ARMERIA LENZERINI S.A.S</t>
        </is>
      </c>
      <c r="M2620" s="5" t="n">
        <v>120</v>
      </c>
      <c r="N2620" s="5" t="n"/>
      <c r="O2620" s="5">
        <f>+M2620+N2620</f>
        <v/>
      </c>
      <c r="P2620" s="4" t="n">
        <v>45920</v>
      </c>
      <c r="Q2620" s="87" t="n">
        <v>45916</v>
      </c>
      <c r="R2620" s="5" t="n">
        <v>153.85</v>
      </c>
      <c r="S2620" s="2" t="n">
        <v>1</v>
      </c>
      <c r="T2620" s="3" t="inlineStr">
        <is>
          <t>CA42796IR</t>
        </is>
      </c>
      <c r="U2620" s="87" t="n">
        <v>46097</v>
      </c>
      <c r="V2620" s="3" t="inlineStr">
        <is>
          <t>4</t>
        </is>
      </c>
      <c r="W2620" s="108" t="n">
        <v>46097</v>
      </c>
      <c r="X2620" s="4" t="inlineStr">
        <is>
          <t>PHILIPPOS  CONSTANTINIDES
TRADING CO.LTD</t>
        </is>
      </c>
    </row>
    <row r="2621" ht="24" customHeight="1">
      <c r="A2621" s="2">
        <f>+D2621-S2621</f>
        <v/>
      </c>
      <c r="B2621" s="80" t="n">
        <v>4213</v>
      </c>
      <c r="C2621" s="66" t="n">
        <v>45926</v>
      </c>
      <c r="D2621" s="2" t="n">
        <v>1</v>
      </c>
      <c r="E2621" s="3" t="inlineStr">
        <is>
          <t>FUCILE SEMIAUTOMATICO</t>
        </is>
      </c>
      <c r="F2621" s="3" t="n">
        <v>12</v>
      </c>
      <c r="G2621" s="3" t="inlineStr">
        <is>
          <t>BENELLI</t>
        </is>
      </c>
      <c r="H2621" s="65" t="inlineStr">
        <is>
          <t>N/D</t>
        </is>
      </c>
      <c r="I2621" s="65" t="inlineStr">
        <is>
          <t>F012921</t>
        </is>
      </c>
      <c r="J2621" s="65" t="inlineStr">
        <is>
          <t>C081570</t>
        </is>
      </c>
      <c r="K2621" s="65" t="inlineStr">
        <is>
          <t>N/D</t>
        </is>
      </c>
      <c r="L2621" s="127" t="inlineStr">
        <is>
          <t>ARMERIA LENZERINI S.A.S</t>
        </is>
      </c>
      <c r="M2621" s="5" t="n">
        <v>550</v>
      </c>
      <c r="N2621" s="5" t="n"/>
      <c r="O2621" s="5">
        <f>+M2621+N2621</f>
        <v/>
      </c>
      <c r="P2621" s="4" t="n">
        <v>45920</v>
      </c>
      <c r="Q2621" s="87" t="n">
        <v>45916</v>
      </c>
      <c r="R2621" s="5" t="n">
        <v>687.22</v>
      </c>
      <c r="S2621" s="2" t="n">
        <v>1</v>
      </c>
      <c r="T2621" s="3" t="inlineStr">
        <is>
          <t>CA42796IR</t>
        </is>
      </c>
      <c r="U2621" s="87" t="n">
        <v>46097</v>
      </c>
      <c r="V2621" s="3" t="inlineStr">
        <is>
          <t>4</t>
        </is>
      </c>
      <c r="W2621" s="108" t="n">
        <v>46097</v>
      </c>
      <c r="X2621" s="4" t="inlineStr">
        <is>
          <t>PHILIPPOS  CONSTANTINIDES
TRADING CO.LTD</t>
        </is>
      </c>
    </row>
    <row r="2622" ht="24" customHeight="1">
      <c r="A2622" s="2">
        <f>+D2622-S2622</f>
        <v/>
      </c>
      <c r="B2622" s="80" t="n">
        <v>4214</v>
      </c>
      <c r="C2622" s="66" t="n">
        <v>45926</v>
      </c>
      <c r="D2622" s="2" t="n">
        <v>1</v>
      </c>
      <c r="E2622" s="3" t="inlineStr">
        <is>
          <t>FUCILE SEMIAUTOMATICO</t>
        </is>
      </c>
      <c r="F2622" s="3" t="n">
        <v>12</v>
      </c>
      <c r="G2622" s="3" t="inlineStr">
        <is>
          <t>BERETTA</t>
        </is>
      </c>
      <c r="H2622" s="65" t="inlineStr">
        <is>
          <t>N/D</t>
        </is>
      </c>
      <c r="I2622" s="65" t="inlineStr">
        <is>
          <t>A64620E</t>
        </is>
      </c>
      <c r="J2622" s="65" t="inlineStr">
        <is>
          <t>B22995F</t>
        </is>
      </c>
      <c r="K2622" s="65" t="inlineStr">
        <is>
          <t>N/D</t>
        </is>
      </c>
      <c r="L2622" s="127" t="inlineStr">
        <is>
          <t>ARMERIA LENZERINI S.A.S</t>
        </is>
      </c>
      <c r="M2622" s="5" t="n">
        <v>120</v>
      </c>
      <c r="N2622" s="5" t="n"/>
      <c r="O2622" s="5">
        <f>+M2622+N2622</f>
        <v/>
      </c>
      <c r="P2622" s="4" t="n">
        <v>45920</v>
      </c>
      <c r="Q2622" s="87" t="n">
        <v>45916</v>
      </c>
      <c r="R2622" s="5" t="n">
        <v>153.85</v>
      </c>
      <c r="S2622" s="2" t="n">
        <v>1</v>
      </c>
      <c r="T2622" s="3" t="inlineStr">
        <is>
          <t>CA42796IR</t>
        </is>
      </c>
      <c r="U2622" s="87" t="n">
        <v>46097</v>
      </c>
      <c r="V2622" s="3" t="inlineStr">
        <is>
          <t>4</t>
        </is>
      </c>
      <c r="W2622" s="108" t="n">
        <v>46097</v>
      </c>
      <c r="X2622" s="4" t="inlineStr">
        <is>
          <t>PHILIPPOS  CONSTANTINIDES
TRADING CO.LTD</t>
        </is>
      </c>
    </row>
    <row r="2623" ht="24" customHeight="1">
      <c r="A2623" s="2">
        <f>+D2623-S2623</f>
        <v/>
      </c>
      <c r="B2623" s="80" t="n">
        <v>4215</v>
      </c>
      <c r="C2623" s="66" t="n">
        <v>45926</v>
      </c>
      <c r="D2623" s="2" t="n">
        <v>1</v>
      </c>
      <c r="E2623" s="3" t="inlineStr">
        <is>
          <t>FUCILE SEMIAUTOMATICO</t>
        </is>
      </c>
      <c r="F2623" s="3" t="n">
        <v>20</v>
      </c>
      <c r="G2623" s="3" t="inlineStr">
        <is>
          <t>BERETTA</t>
        </is>
      </c>
      <c r="H2623" s="65" t="inlineStr">
        <is>
          <t>N/D</t>
        </is>
      </c>
      <c r="I2623" s="65" t="inlineStr">
        <is>
          <t>V91862E</t>
        </is>
      </c>
      <c r="J2623" s="65" t="inlineStr">
        <is>
          <t>V23351F</t>
        </is>
      </c>
      <c r="K2623" s="65" t="inlineStr">
        <is>
          <t>N/D</t>
        </is>
      </c>
      <c r="L2623" s="127" t="inlineStr">
        <is>
          <t>ARMERIA LENZERINI S.A.S</t>
        </is>
      </c>
      <c r="M2623" s="5" t="n">
        <v>550</v>
      </c>
      <c r="N2623" s="5" t="n"/>
      <c r="O2623" s="5">
        <f>+M2623+N2623</f>
        <v/>
      </c>
      <c r="P2623" s="4" t="n">
        <v>45920</v>
      </c>
      <c r="Q2623" s="87" t="n">
        <v>45916</v>
      </c>
      <c r="R2623" s="5" t="n">
        <v>687.22</v>
      </c>
      <c r="S2623" s="2" t="n">
        <v>1</v>
      </c>
      <c r="T2623" s="3" t="inlineStr">
        <is>
          <t>CA42796IR</t>
        </is>
      </c>
      <c r="U2623" s="87" t="n">
        <v>46097</v>
      </c>
      <c r="V2623" s="3" t="inlineStr">
        <is>
          <t>4</t>
        </is>
      </c>
      <c r="W2623" s="108" t="n">
        <v>46097</v>
      </c>
      <c r="X2623" s="4" t="inlineStr">
        <is>
          <t>PHILIPPOS  CONSTANTINIDES
TRADING CO.LTD</t>
        </is>
      </c>
    </row>
    <row r="2624" ht="24" customHeight="1">
      <c r="A2624" s="2">
        <f>+D2624-S2624</f>
        <v/>
      </c>
      <c r="B2624" s="80" t="n">
        <v>4216</v>
      </c>
      <c r="C2624" s="66" t="n">
        <v>45926</v>
      </c>
      <c r="D2624" s="2" t="n">
        <v>1</v>
      </c>
      <c r="E2624" s="3" t="inlineStr">
        <is>
          <t>FUCILE SOVRAPPOSTO</t>
        </is>
      </c>
      <c r="F2624" s="3" t="n">
        <v>12</v>
      </c>
      <c r="G2624" s="3" t="inlineStr">
        <is>
          <t>BERETTA</t>
        </is>
      </c>
      <c r="H2624" s="65" t="inlineStr">
        <is>
          <t>N/D</t>
        </is>
      </c>
      <c r="I2624" s="65" t="inlineStr">
        <is>
          <t>R83955S</t>
        </is>
      </c>
      <c r="J2624" s="65" t="inlineStr">
        <is>
          <t>N/D</t>
        </is>
      </c>
      <c r="K2624" s="65" t="inlineStr">
        <is>
          <t>N/D</t>
        </is>
      </c>
      <c r="L2624" s="127" t="inlineStr">
        <is>
          <t>ARMERIA LENZERINI S.A.S</t>
        </is>
      </c>
      <c r="M2624" s="5" t="n">
        <v>700</v>
      </c>
      <c r="N2624" s="5" t="n"/>
      <c r="O2624" s="5">
        <f>+M2624+N2624</f>
        <v/>
      </c>
      <c r="P2624" s="4" t="n">
        <v>45920</v>
      </c>
      <c r="Q2624" s="87" t="n">
        <v>45916</v>
      </c>
      <c r="R2624" s="5" t="n">
        <v>873.27</v>
      </c>
      <c r="S2624" s="2" t="n">
        <v>1</v>
      </c>
      <c r="T2624" s="3" t="inlineStr">
        <is>
          <t>CA42796IR</t>
        </is>
      </c>
      <c r="U2624" s="87" t="n">
        <v>46097</v>
      </c>
      <c r="V2624" s="3" t="inlineStr">
        <is>
          <t>4</t>
        </is>
      </c>
      <c r="W2624" s="108" t="n">
        <v>46097</v>
      </c>
      <c r="X2624" s="4" t="inlineStr">
        <is>
          <t>PHILIPPOS  CONSTANTINIDES
TRADING CO.LTD</t>
        </is>
      </c>
    </row>
    <row r="2625" ht="24" customHeight="1">
      <c r="A2625" s="2">
        <f>+D2625-S2625</f>
        <v/>
      </c>
      <c r="B2625" s="80" t="n">
        <v>4217</v>
      </c>
      <c r="C2625" s="66" t="n">
        <v>45926</v>
      </c>
      <c r="D2625" s="2" t="n">
        <v>1</v>
      </c>
      <c r="E2625" s="3" t="inlineStr">
        <is>
          <t>FUCILE SOVRAPPOSTO</t>
        </is>
      </c>
      <c r="F2625" s="3" t="n">
        <v>12</v>
      </c>
      <c r="G2625" s="3" t="inlineStr">
        <is>
          <t>BERETTA</t>
        </is>
      </c>
      <c r="H2625" s="65" t="inlineStr">
        <is>
          <t>N/D</t>
        </is>
      </c>
      <c r="I2625" s="65" t="inlineStr">
        <is>
          <t>B46935B</t>
        </is>
      </c>
      <c r="J2625" s="65" t="inlineStr">
        <is>
          <t>N/D</t>
        </is>
      </c>
      <c r="K2625" s="65" t="inlineStr">
        <is>
          <t>N/D</t>
        </is>
      </c>
      <c r="L2625" s="127" t="inlineStr">
        <is>
          <t>ARMERIA LENZERINI S.A.S</t>
        </is>
      </c>
      <c r="M2625" s="5" t="n">
        <v>220</v>
      </c>
      <c r="N2625" s="5" t="n"/>
      <c r="O2625" s="5">
        <f>+M2625+N2625</f>
        <v/>
      </c>
      <c r="P2625" s="4" t="n">
        <v>45920</v>
      </c>
      <c r="Q2625" s="87" t="n">
        <v>45916</v>
      </c>
      <c r="R2625" s="5" t="n">
        <v>277.89</v>
      </c>
      <c r="S2625" s="2" t="n">
        <v>1</v>
      </c>
      <c r="T2625" s="3" t="inlineStr">
        <is>
          <t>CA42796IR</t>
        </is>
      </c>
      <c r="U2625" s="87" t="n">
        <v>46097</v>
      </c>
      <c r="V2625" s="3" t="inlineStr">
        <is>
          <t>4</t>
        </is>
      </c>
      <c r="W2625" s="108" t="n">
        <v>46097</v>
      </c>
      <c r="X2625" s="4" t="inlineStr">
        <is>
          <t>PHILIPPOS  CONSTANTINIDES
TRADING CO.LTD</t>
        </is>
      </c>
    </row>
    <row r="2626" ht="24" customHeight="1">
      <c r="A2626" s="2">
        <f>+D2626-S2626</f>
        <v/>
      </c>
      <c r="B2626" s="80" t="n">
        <v>4218</v>
      </c>
      <c r="C2626" s="66" t="n">
        <v>45926</v>
      </c>
      <c r="D2626" s="2" t="n">
        <v>1</v>
      </c>
      <c r="E2626" s="3" t="inlineStr">
        <is>
          <t>FUCILE SOVRAPPOSTO</t>
        </is>
      </c>
      <c r="F2626" s="3" t="n">
        <v>12</v>
      </c>
      <c r="G2626" s="3" t="inlineStr">
        <is>
          <t>ZOLI</t>
        </is>
      </c>
      <c r="H2626" s="65" t="inlineStr">
        <is>
          <t>N/D</t>
        </is>
      </c>
      <c r="I2626" s="65" t="inlineStr">
        <is>
          <t>52286</t>
        </is>
      </c>
      <c r="J2626" s="65" t="inlineStr">
        <is>
          <t>N/D</t>
        </is>
      </c>
      <c r="K2626" s="65" t="inlineStr">
        <is>
          <t>N/D</t>
        </is>
      </c>
      <c r="L2626" s="127" t="inlineStr">
        <is>
          <t>ARMERIA LENZERINI S.A.S</t>
        </is>
      </c>
      <c r="M2626" s="5" t="n">
        <v>100</v>
      </c>
      <c r="N2626" s="5" t="n"/>
      <c r="O2626" s="5">
        <f>+M2626+N2626</f>
        <v/>
      </c>
      <c r="P2626" s="4" t="n">
        <v>45920</v>
      </c>
      <c r="Q2626" s="87" t="n">
        <v>45916</v>
      </c>
      <c r="R2626" s="5" t="n">
        <v>129.04</v>
      </c>
      <c r="S2626" s="2" t="n">
        <v>1</v>
      </c>
      <c r="T2626" s="3" t="inlineStr">
        <is>
          <t>CA42796IR</t>
        </is>
      </c>
      <c r="U2626" s="87" t="n">
        <v>46097</v>
      </c>
      <c r="V2626" s="3" t="inlineStr">
        <is>
          <t>4</t>
        </is>
      </c>
      <c r="W2626" s="108" t="n">
        <v>46097</v>
      </c>
      <c r="X2626" s="4" t="inlineStr">
        <is>
          <t>PHILIPPOS  CONSTANTINIDES
TRADING CO.LTD</t>
        </is>
      </c>
    </row>
    <row r="2627" ht="24" customHeight="1">
      <c r="A2627" s="2">
        <f>+D2627-S2627</f>
        <v/>
      </c>
      <c r="B2627" s="80" t="n">
        <v>4219</v>
      </c>
      <c r="C2627" s="66" t="n">
        <v>45926</v>
      </c>
      <c r="D2627" s="2" t="n">
        <v>1</v>
      </c>
      <c r="E2627" s="3" t="inlineStr">
        <is>
          <t>FUCILE SOVRAPPOSTO</t>
        </is>
      </c>
      <c r="F2627" s="3" t="n">
        <v>12</v>
      </c>
      <c r="G2627" s="3" t="inlineStr">
        <is>
          <t>MASQUELIER</t>
        </is>
      </c>
      <c r="H2627" s="65" t="inlineStr">
        <is>
          <t>N/D</t>
        </is>
      </c>
      <c r="I2627" s="65" t="inlineStr">
        <is>
          <t>52961</t>
        </is>
      </c>
      <c r="J2627" s="65" t="inlineStr">
        <is>
          <t>N/D</t>
        </is>
      </c>
      <c r="K2627" s="65" t="inlineStr">
        <is>
          <t>N/D</t>
        </is>
      </c>
      <c r="L2627" s="127" t="inlineStr">
        <is>
          <t>ARMERIA LENZERINI S.A.S</t>
        </is>
      </c>
      <c r="M2627" s="5" t="n">
        <v>200</v>
      </c>
      <c r="N2627" s="5" t="n"/>
      <c r="O2627" s="5">
        <f>+M2627+N2627</f>
        <v/>
      </c>
      <c r="P2627" s="4" t="n">
        <v>45920</v>
      </c>
      <c r="Q2627" s="87" t="n">
        <v>45916</v>
      </c>
      <c r="R2627" s="5" t="n">
        <v>253.08</v>
      </c>
      <c r="S2627" s="2" t="n">
        <v>1</v>
      </c>
      <c r="T2627" s="3" t="inlineStr">
        <is>
          <t>CA42796IR</t>
        </is>
      </c>
      <c r="U2627" s="87" t="n">
        <v>46097</v>
      </c>
      <c r="V2627" s="3" t="inlineStr">
        <is>
          <t>4</t>
        </is>
      </c>
      <c r="W2627" s="108" t="n">
        <v>46097</v>
      </c>
      <c r="X2627" s="4" t="inlineStr">
        <is>
          <t>PHILIPPOS  CONSTANTINIDES
TRADING CO.LTD</t>
        </is>
      </c>
    </row>
    <row r="2628" ht="24" customHeight="1">
      <c r="A2628" s="2">
        <f>+D2628-S2628</f>
        <v/>
      </c>
      <c r="B2628" s="80" t="n">
        <v>4220</v>
      </c>
      <c r="C2628" s="66" t="n">
        <v>45926</v>
      </c>
      <c r="D2628" s="2" t="n">
        <v>1</v>
      </c>
      <c r="E2628" s="3" t="inlineStr">
        <is>
          <t>FUCILE SOVRAPPOSTO</t>
        </is>
      </c>
      <c r="F2628" s="3" t="n">
        <v>12</v>
      </c>
      <c r="G2628" s="3" t="inlineStr">
        <is>
          <t>SABATTI</t>
        </is>
      </c>
      <c r="H2628" s="65" t="inlineStr">
        <is>
          <t>N/D</t>
        </is>
      </c>
      <c r="I2628" s="65" t="inlineStr">
        <is>
          <t>95843</t>
        </is>
      </c>
      <c r="J2628" s="65" t="inlineStr">
        <is>
          <t>N/D</t>
        </is>
      </c>
      <c r="K2628" s="65" t="inlineStr">
        <is>
          <t>N/D</t>
        </is>
      </c>
      <c r="L2628" s="127" t="inlineStr">
        <is>
          <t>ARMERIA LENZERINI S.A.S</t>
        </is>
      </c>
      <c r="M2628" s="5" t="n">
        <v>150</v>
      </c>
      <c r="N2628" s="5" t="n"/>
      <c r="O2628" s="5">
        <f>+M2628+N2628</f>
        <v/>
      </c>
      <c r="P2628" s="4" t="n">
        <v>45920</v>
      </c>
      <c r="Q2628" s="87" t="n">
        <v>45916</v>
      </c>
      <c r="R2628" s="5" t="n">
        <v>191.06</v>
      </c>
      <c r="S2628" s="2" t="n">
        <v>1</v>
      </c>
      <c r="T2628" s="3" t="inlineStr">
        <is>
          <t>CA42796IR</t>
        </is>
      </c>
      <c r="U2628" s="87" t="n">
        <v>46097</v>
      </c>
      <c r="V2628" s="3" t="inlineStr">
        <is>
          <t>4</t>
        </is>
      </c>
      <c r="W2628" s="108" t="n">
        <v>46097</v>
      </c>
      <c r="X2628" s="4" t="inlineStr">
        <is>
          <t>PHILIPPOS  CONSTANTINIDES
TRADING CO.LTD</t>
        </is>
      </c>
    </row>
    <row r="2629" ht="24" customHeight="1">
      <c r="A2629" s="2">
        <f>+D2629-S2629</f>
        <v/>
      </c>
      <c r="B2629" s="80" t="n">
        <v>4221</v>
      </c>
      <c r="C2629" s="66" t="n">
        <v>45926</v>
      </c>
      <c r="D2629" s="2" t="n">
        <v>1</v>
      </c>
      <c r="E2629" s="3" t="inlineStr">
        <is>
          <t>FUCILE SOVRAPPOSTO</t>
        </is>
      </c>
      <c r="F2629" s="3" t="n">
        <v>12</v>
      </c>
      <c r="G2629" s="3" t="inlineStr">
        <is>
          <t>LORENZOTTI</t>
        </is>
      </c>
      <c r="H2629" s="65" t="inlineStr">
        <is>
          <t>N/D</t>
        </is>
      </c>
      <c r="I2629" s="65" t="inlineStr">
        <is>
          <t>355</t>
        </is>
      </c>
      <c r="J2629" s="65" t="inlineStr">
        <is>
          <t>N/D</t>
        </is>
      </c>
      <c r="K2629" s="65" t="inlineStr">
        <is>
          <t>N/D</t>
        </is>
      </c>
      <c r="L2629" s="127" t="inlineStr">
        <is>
          <t>ARMERIA LENZERINI S.A.S</t>
        </is>
      </c>
      <c r="M2629" s="5" t="n">
        <v>200</v>
      </c>
      <c r="N2629" s="5" t="n"/>
      <c r="O2629" s="5">
        <f>+M2629+N2629</f>
        <v/>
      </c>
      <c r="P2629" s="4" t="n">
        <v>45920</v>
      </c>
      <c r="Q2629" s="87" t="n">
        <v>45916</v>
      </c>
      <c r="R2629" s="5" t="n">
        <v>253.08</v>
      </c>
      <c r="S2629" s="2" t="n">
        <v>1</v>
      </c>
      <c r="T2629" s="3" t="inlineStr">
        <is>
          <t>CA42796IR</t>
        </is>
      </c>
      <c r="U2629" s="87" t="n">
        <v>46097</v>
      </c>
      <c r="V2629" s="3" t="inlineStr">
        <is>
          <t>4</t>
        </is>
      </c>
      <c r="W2629" s="108" t="n">
        <v>46097</v>
      </c>
      <c r="X2629" s="4" t="inlineStr">
        <is>
          <t>PHILIPPOS  CONSTANTINIDES
TRADING CO.LTD</t>
        </is>
      </c>
    </row>
    <row r="2630" ht="24" customHeight="1">
      <c r="A2630" s="2">
        <f>+D2630-S2630</f>
        <v/>
      </c>
      <c r="B2630" s="80" t="n">
        <v>4222</v>
      </c>
      <c r="C2630" s="66" t="n">
        <v>45926</v>
      </c>
      <c r="D2630" s="2" t="n">
        <v>1</v>
      </c>
      <c r="E2630" s="3" t="inlineStr">
        <is>
          <t>FUCILE SOVRAPPOSTO</t>
        </is>
      </c>
      <c r="F2630" s="3" t="n">
        <v>12</v>
      </c>
      <c r="G2630" s="3" t="inlineStr">
        <is>
          <t>LIEGE</t>
        </is>
      </c>
      <c r="H2630" s="65" t="inlineStr">
        <is>
          <t>N/D</t>
        </is>
      </c>
      <c r="I2630" s="65" t="inlineStr">
        <is>
          <t>49788</t>
        </is>
      </c>
      <c r="J2630" s="65" t="inlineStr">
        <is>
          <t>N/D</t>
        </is>
      </c>
      <c r="K2630" s="65" t="inlineStr">
        <is>
          <t>N/D</t>
        </is>
      </c>
      <c r="L2630" s="127" t="inlineStr">
        <is>
          <t>ARMERIA LENZERINI S.A.S</t>
        </is>
      </c>
      <c r="M2630" s="5" t="n">
        <v>700</v>
      </c>
      <c r="N2630" s="5" t="n"/>
      <c r="O2630" s="5">
        <f>+M2630+N2630</f>
        <v/>
      </c>
      <c r="P2630" s="4" t="n">
        <v>45920</v>
      </c>
      <c r="Q2630" s="87" t="n">
        <v>45916</v>
      </c>
      <c r="R2630" s="5" t="n">
        <v>873.27</v>
      </c>
      <c r="S2630" s="2" t="n">
        <v>1</v>
      </c>
      <c r="T2630" s="3" t="inlineStr">
        <is>
          <t>CA42796IR</t>
        </is>
      </c>
      <c r="U2630" s="87" t="n">
        <v>46097</v>
      </c>
      <c r="V2630" s="3" t="inlineStr">
        <is>
          <t>4</t>
        </is>
      </c>
      <c r="W2630" s="108" t="n">
        <v>46097</v>
      </c>
      <c r="X2630" s="4" t="inlineStr">
        <is>
          <t>PHILIPPOS  CONSTANTINIDES
TRADING CO.LTD</t>
        </is>
      </c>
    </row>
    <row r="2631" ht="24" customHeight="1">
      <c r="A2631" s="2">
        <f>+D2631-S2631</f>
        <v/>
      </c>
      <c r="B2631" s="80" t="n">
        <v>4223</v>
      </c>
      <c r="C2631" s="66" t="n">
        <v>45926</v>
      </c>
      <c r="D2631" s="2" t="n">
        <v>1</v>
      </c>
      <c r="E2631" s="3" t="inlineStr">
        <is>
          <t>FUCILE SOVRAPPOSTO</t>
        </is>
      </c>
      <c r="F2631" s="3" t="n">
        <v>12</v>
      </c>
      <c r="G2631" s="3" t="inlineStr">
        <is>
          <t>BERETTA</t>
        </is>
      </c>
      <c r="H2631" s="65" t="inlineStr">
        <is>
          <t>N/D</t>
        </is>
      </c>
      <c r="I2631" s="65" t="inlineStr">
        <is>
          <t>B00392B</t>
        </is>
      </c>
      <c r="J2631" s="65" t="inlineStr">
        <is>
          <t>N/D</t>
        </is>
      </c>
      <c r="K2631" s="65" t="inlineStr">
        <is>
          <t>N/D</t>
        </is>
      </c>
      <c r="L2631" s="127" t="inlineStr">
        <is>
          <t>ARMERIA LENZERINI S.A.S</t>
        </is>
      </c>
      <c r="M2631" s="5" t="n">
        <v>150</v>
      </c>
      <c r="N2631" s="5" t="n"/>
      <c r="O2631" s="5">
        <f>+M2631+N2631</f>
        <v/>
      </c>
      <c r="P2631" s="4" t="n">
        <v>45920</v>
      </c>
      <c r="Q2631" s="87" t="n">
        <v>45916</v>
      </c>
      <c r="R2631" s="5" t="n">
        <v>191.06</v>
      </c>
      <c r="S2631" s="2" t="n">
        <v>1</v>
      </c>
      <c r="T2631" s="3" t="inlineStr">
        <is>
          <t>CA42796IR</t>
        </is>
      </c>
      <c r="U2631" s="87" t="n">
        <v>46097</v>
      </c>
      <c r="V2631" s="3" t="inlineStr">
        <is>
          <t>4</t>
        </is>
      </c>
      <c r="W2631" s="108" t="n">
        <v>46097</v>
      </c>
      <c r="X2631" s="4" t="inlineStr">
        <is>
          <t>PHILIPPOS  CONSTANTINIDES
TRADING CO.LTD</t>
        </is>
      </c>
    </row>
    <row r="2632" ht="24" customHeight="1">
      <c r="A2632" s="2">
        <f>+D2632-S2632</f>
        <v/>
      </c>
      <c r="B2632" s="80" t="n">
        <v>4224</v>
      </c>
      <c r="C2632" s="66" t="n">
        <v>45926</v>
      </c>
      <c r="D2632" s="2" t="n">
        <v>1</v>
      </c>
      <c r="E2632" s="3" t="inlineStr">
        <is>
          <t>FUCILE SOVRAPPOSTO</t>
        </is>
      </c>
      <c r="F2632" s="3" t="n">
        <v>12</v>
      </c>
      <c r="G2632" s="3" t="inlineStr">
        <is>
          <t>BERETTA</t>
        </is>
      </c>
      <c r="H2632" s="65" t="inlineStr">
        <is>
          <t>N/D</t>
        </is>
      </c>
      <c r="I2632" s="65" t="inlineStr">
        <is>
          <t>B89006B</t>
        </is>
      </c>
      <c r="J2632" s="65" t="inlineStr">
        <is>
          <t>N/D</t>
        </is>
      </c>
      <c r="K2632" s="65" t="inlineStr">
        <is>
          <t>N/D</t>
        </is>
      </c>
      <c r="L2632" s="127" t="inlineStr">
        <is>
          <t>ARMERIA LENZERINI S.A.S</t>
        </is>
      </c>
      <c r="M2632" s="5" t="n">
        <v>50</v>
      </c>
      <c r="N2632" s="5" t="n"/>
      <c r="O2632" s="5">
        <f>+M2632+N2632</f>
        <v/>
      </c>
      <c r="P2632" s="4" t="n">
        <v>45920</v>
      </c>
      <c r="Q2632" s="87" t="n">
        <v>45916</v>
      </c>
      <c r="R2632" s="5" t="n">
        <v>67.02</v>
      </c>
      <c r="S2632" s="2" t="n">
        <v>1</v>
      </c>
      <c r="T2632" s="3" t="inlineStr">
        <is>
          <t>CA42796IR</t>
        </is>
      </c>
      <c r="U2632" s="87" t="n">
        <v>46097</v>
      </c>
      <c r="V2632" s="3" t="inlineStr">
        <is>
          <t>4</t>
        </is>
      </c>
      <c r="W2632" s="108" t="n">
        <v>46097</v>
      </c>
      <c r="X2632" s="4" t="inlineStr">
        <is>
          <t>PHILIPPOS  CONSTANTINIDES
TRADING CO.LTD</t>
        </is>
      </c>
    </row>
    <row r="2633" ht="24" customHeight="1">
      <c r="A2633" s="2">
        <f>+D2633-S2633</f>
        <v/>
      </c>
      <c r="B2633" s="80" t="n">
        <v>4225</v>
      </c>
      <c r="C2633" s="66" t="n">
        <v>45926</v>
      </c>
      <c r="D2633" s="2" t="n">
        <v>1</v>
      </c>
      <c r="E2633" s="3" t="inlineStr">
        <is>
          <t>FUCILE SOVRAPPOSTO</t>
        </is>
      </c>
      <c r="F2633" s="3" t="n">
        <v>12</v>
      </c>
      <c r="G2633" s="3" t="inlineStr">
        <is>
          <t>BERETTA</t>
        </is>
      </c>
      <c r="H2633" s="65" t="inlineStr">
        <is>
          <t>N/D</t>
        </is>
      </c>
      <c r="I2633" s="65" t="inlineStr">
        <is>
          <t>36684</t>
        </is>
      </c>
      <c r="J2633" s="65" t="inlineStr">
        <is>
          <t>N/D</t>
        </is>
      </c>
      <c r="K2633" s="65" t="inlineStr">
        <is>
          <t>N/D</t>
        </is>
      </c>
      <c r="L2633" s="127" t="inlineStr">
        <is>
          <t>ARMERIA LENZERINI S.A.S</t>
        </is>
      </c>
      <c r="M2633" s="5" t="n">
        <v>250</v>
      </c>
      <c r="N2633" s="5" t="n"/>
      <c r="O2633" s="5">
        <f>+M2633+N2633</f>
        <v/>
      </c>
      <c r="P2633" s="4" t="n">
        <v>45920</v>
      </c>
      <c r="Q2633" s="87" t="n">
        <v>45916</v>
      </c>
      <c r="R2633" s="5" t="n">
        <v>67.02</v>
      </c>
      <c r="S2633" s="2" t="n">
        <v>1</v>
      </c>
      <c r="T2633" s="3" t="inlineStr">
        <is>
          <t>CA42796IR</t>
        </is>
      </c>
      <c r="U2633" s="87" t="n">
        <v>46097</v>
      </c>
      <c r="V2633" s="3" t="inlineStr">
        <is>
          <t>4</t>
        </is>
      </c>
      <c r="W2633" s="108" t="n">
        <v>46097</v>
      </c>
      <c r="X2633" s="4" t="inlineStr">
        <is>
          <t>PHILIPPOS  CONSTANTINIDES
TRADING CO.LTD</t>
        </is>
      </c>
    </row>
    <row r="2634" ht="24" customHeight="1">
      <c r="A2634" s="2">
        <f>+D2634-S2634</f>
        <v/>
      </c>
      <c r="B2634" s="80" t="n">
        <v>4226</v>
      </c>
      <c r="C2634" s="66" t="n">
        <v>45926</v>
      </c>
      <c r="D2634" s="2" t="n">
        <v>1</v>
      </c>
      <c r="E2634" s="3" t="inlineStr">
        <is>
          <t>FUCILE SOVRAPPOSTO</t>
        </is>
      </c>
      <c r="F2634" s="3" t="n">
        <v>12</v>
      </c>
      <c r="G2634" s="3" t="inlineStr">
        <is>
          <t>BERETTA</t>
        </is>
      </c>
      <c r="H2634" s="65" t="inlineStr">
        <is>
          <t>N/D</t>
        </is>
      </c>
      <c r="I2634" s="65" t="inlineStr">
        <is>
          <t>B88905B</t>
        </is>
      </c>
      <c r="J2634" s="65" t="inlineStr">
        <is>
          <t>N/D</t>
        </is>
      </c>
      <c r="K2634" s="65" t="inlineStr">
        <is>
          <t>N/D</t>
        </is>
      </c>
      <c r="L2634" s="127" t="inlineStr">
        <is>
          <t>ARMERIA LENZERINI S.A.S</t>
        </is>
      </c>
      <c r="M2634" s="5" t="n">
        <v>200</v>
      </c>
      <c r="N2634" s="5" t="n"/>
      <c r="O2634" s="5">
        <f>+M2634+N2634</f>
        <v/>
      </c>
      <c r="P2634" s="4" t="n">
        <v>45920</v>
      </c>
      <c r="Q2634" s="87" t="n">
        <v>45916</v>
      </c>
      <c r="R2634" s="5" t="n">
        <v>253.08</v>
      </c>
      <c r="S2634" s="2" t="n">
        <v>1</v>
      </c>
      <c r="T2634" s="3" t="inlineStr">
        <is>
          <t>CA42796IR</t>
        </is>
      </c>
      <c r="U2634" s="87" t="n">
        <v>46097</v>
      </c>
      <c r="V2634" s="3" t="inlineStr">
        <is>
          <t>4</t>
        </is>
      </c>
      <c r="W2634" s="108" t="n">
        <v>46097</v>
      </c>
      <c r="X2634" s="4" t="inlineStr">
        <is>
          <t>PHILIPPOS  CONSTANTINIDES
TRADING CO.LTD</t>
        </is>
      </c>
    </row>
    <row r="2635" ht="24" customHeight="1">
      <c r="A2635" s="2">
        <f>+D2635-S2635</f>
        <v/>
      </c>
      <c r="B2635" s="80" t="n">
        <v>4227</v>
      </c>
      <c r="C2635" s="66" t="n">
        <v>45926</v>
      </c>
      <c r="D2635" s="2" t="n">
        <v>1</v>
      </c>
      <c r="E2635" s="3" t="inlineStr">
        <is>
          <t>FUCILE SOVRAPPOSTO</t>
        </is>
      </c>
      <c r="F2635" s="3" t="n">
        <v>12</v>
      </c>
      <c r="G2635" s="3" t="inlineStr">
        <is>
          <t>GRANINI</t>
        </is>
      </c>
      <c r="H2635" s="65" t="inlineStr">
        <is>
          <t>N/D</t>
        </is>
      </c>
      <c r="I2635" s="65" t="inlineStr">
        <is>
          <t>311</t>
        </is>
      </c>
      <c r="J2635" s="65" t="inlineStr">
        <is>
          <t>N/D</t>
        </is>
      </c>
      <c r="K2635" s="65" t="inlineStr">
        <is>
          <t>N/D</t>
        </is>
      </c>
      <c r="L2635" s="127" t="inlineStr">
        <is>
          <t>ARMERIA LENZERINI S.A.S</t>
        </is>
      </c>
      <c r="M2635" s="5" t="n">
        <v>100</v>
      </c>
      <c r="N2635" s="5" t="n"/>
      <c r="O2635" s="5">
        <f>+M2635+N2635</f>
        <v/>
      </c>
      <c r="P2635" s="4" t="n">
        <v>45920</v>
      </c>
      <c r="Q2635" s="87" t="n">
        <v>45916</v>
      </c>
      <c r="R2635" s="5" t="n">
        <v>129.04</v>
      </c>
      <c r="S2635" s="2" t="n">
        <v>1</v>
      </c>
      <c r="T2635" s="3" t="inlineStr">
        <is>
          <t>CA42796IR</t>
        </is>
      </c>
      <c r="U2635" s="87" t="n">
        <v>46097</v>
      </c>
      <c r="V2635" s="3" t="inlineStr">
        <is>
          <t>4</t>
        </is>
      </c>
      <c r="W2635" s="108" t="n">
        <v>46097</v>
      </c>
      <c r="X2635" s="4" t="inlineStr">
        <is>
          <t>PHILIPPOS  CONSTANTINIDES
TRADING CO.LTD</t>
        </is>
      </c>
    </row>
    <row r="2636" ht="24" customHeight="1">
      <c r="A2636" s="2">
        <f>+D2636-S2636</f>
        <v/>
      </c>
      <c r="B2636" s="80" t="n">
        <v>4228</v>
      </c>
      <c r="C2636" s="66" t="n">
        <v>45926</v>
      </c>
      <c r="D2636" s="2" t="n">
        <v>1</v>
      </c>
      <c r="E2636" s="3" t="inlineStr">
        <is>
          <t>FUCILE SOVRAPPOSTO</t>
        </is>
      </c>
      <c r="F2636" s="3" t="n">
        <v>12</v>
      </c>
      <c r="G2636" s="3" t="inlineStr">
        <is>
          <t>BERETTA</t>
        </is>
      </c>
      <c r="H2636" s="65" t="inlineStr">
        <is>
          <t>N/D</t>
        </is>
      </c>
      <c r="I2636" s="65" t="inlineStr">
        <is>
          <t>D64914B</t>
        </is>
      </c>
      <c r="J2636" s="65" t="inlineStr">
        <is>
          <t>N/D</t>
        </is>
      </c>
      <c r="K2636" s="65" t="inlineStr">
        <is>
          <t>N/D</t>
        </is>
      </c>
      <c r="L2636" s="127" t="inlineStr">
        <is>
          <t>ARMERIA LENZERINI S.A.S</t>
        </is>
      </c>
      <c r="M2636" s="5" t="n">
        <v>420</v>
      </c>
      <c r="N2636" s="5" t="n"/>
      <c r="O2636" s="5">
        <f>+M2636+N2636</f>
        <v/>
      </c>
      <c r="P2636" s="4" t="n">
        <v>45920</v>
      </c>
      <c r="Q2636" s="87" t="n">
        <v>45916</v>
      </c>
      <c r="R2636" s="5" t="n">
        <v>525.96</v>
      </c>
      <c r="S2636" s="2" t="n">
        <v>1</v>
      </c>
      <c r="T2636" s="3" t="inlineStr">
        <is>
          <t>CA42796IR</t>
        </is>
      </c>
      <c r="U2636" s="87" t="n">
        <v>46097</v>
      </c>
      <c r="V2636" s="3" t="inlineStr">
        <is>
          <t>4</t>
        </is>
      </c>
      <c r="W2636" s="108" t="n">
        <v>46097</v>
      </c>
      <c r="X2636" s="4" t="inlineStr">
        <is>
          <t>PHILIPPOS  CONSTANTINIDES
TRADING CO.LTD</t>
        </is>
      </c>
    </row>
    <row r="2637" ht="24" customHeight="1">
      <c r="A2637" s="2">
        <f>+D2637-S2637</f>
        <v/>
      </c>
      <c r="B2637" s="80" t="n">
        <v>4229</v>
      </c>
      <c r="C2637" s="66" t="n">
        <v>45926</v>
      </c>
      <c r="D2637" s="2" t="n">
        <v>1</v>
      </c>
      <c r="E2637" s="3" t="inlineStr">
        <is>
          <t>FUCILE SOVRAPPOSTO</t>
        </is>
      </c>
      <c r="F2637" s="3" t="n">
        <v>12</v>
      </c>
      <c r="G2637" s="3" t="inlineStr">
        <is>
          <t>BERETTA</t>
        </is>
      </c>
      <c r="H2637" s="65" t="inlineStr">
        <is>
          <t>N/D</t>
        </is>
      </c>
      <c r="I2637" s="65" t="inlineStr">
        <is>
          <t>103971</t>
        </is>
      </c>
      <c r="J2637" s="65" t="inlineStr">
        <is>
          <t>N/D</t>
        </is>
      </c>
      <c r="K2637" s="65" t="inlineStr">
        <is>
          <t>N/D</t>
        </is>
      </c>
      <c r="L2637" s="127" t="inlineStr">
        <is>
          <t>ARMERIA LENZERINI S.A.S</t>
        </is>
      </c>
      <c r="M2637" s="5" t="n">
        <v>130</v>
      </c>
      <c r="N2637" s="5" t="n"/>
      <c r="O2637" s="5">
        <f>+M2637+N2637</f>
        <v/>
      </c>
      <c r="P2637" s="4" t="n">
        <v>45920</v>
      </c>
      <c r="Q2637" s="87" t="n">
        <v>45916</v>
      </c>
      <c r="R2637" s="5" t="n">
        <v>166.25</v>
      </c>
      <c r="S2637" s="2" t="n">
        <v>1</v>
      </c>
      <c r="T2637" s="3" t="inlineStr">
        <is>
          <t>CA42796IR</t>
        </is>
      </c>
      <c r="U2637" s="87" t="n">
        <v>46097</v>
      </c>
      <c r="V2637" s="3" t="inlineStr">
        <is>
          <t>4</t>
        </is>
      </c>
      <c r="W2637" s="108" t="n">
        <v>46097</v>
      </c>
      <c r="X2637" s="4" t="inlineStr">
        <is>
          <t>PHILIPPOS  CONSTANTINIDES
TRADING CO.LTD</t>
        </is>
      </c>
    </row>
    <row r="2638" ht="24" customHeight="1">
      <c r="A2638" s="2">
        <f>+D2638-S2638</f>
        <v/>
      </c>
      <c r="B2638" s="80" t="n">
        <v>4230</v>
      </c>
      <c r="C2638" s="66" t="n">
        <v>45926</v>
      </c>
      <c r="D2638" s="2" t="n">
        <v>1</v>
      </c>
      <c r="E2638" s="3" t="inlineStr">
        <is>
          <t>FUCILE SOVRAPPOSTO</t>
        </is>
      </c>
      <c r="F2638" s="3" t="n">
        <v>12</v>
      </c>
      <c r="G2638" s="3" t="inlineStr">
        <is>
          <t>BERETTA</t>
        </is>
      </c>
      <c r="H2638" s="65" t="inlineStr">
        <is>
          <t>N/D</t>
        </is>
      </c>
      <c r="I2638" s="65" t="inlineStr">
        <is>
          <t>B55265B</t>
        </is>
      </c>
      <c r="J2638" s="65" t="inlineStr">
        <is>
          <t>N/D</t>
        </is>
      </c>
      <c r="K2638" s="65" t="inlineStr">
        <is>
          <t>N/D</t>
        </is>
      </c>
      <c r="L2638" s="127" t="inlineStr">
        <is>
          <t>ARMERIA LENZERINI S.A.S</t>
        </is>
      </c>
      <c r="M2638" s="5" t="n">
        <v>150</v>
      </c>
      <c r="N2638" s="5" t="n"/>
      <c r="O2638" s="5">
        <f>+M2638+N2638</f>
        <v/>
      </c>
      <c r="P2638" s="4" t="n">
        <v>45920</v>
      </c>
      <c r="Q2638" s="87" t="n">
        <v>45916</v>
      </c>
      <c r="R2638" s="5" t="n">
        <v>191.06</v>
      </c>
      <c r="S2638" s="2" t="n">
        <v>1</v>
      </c>
      <c r="T2638" s="3" t="inlineStr">
        <is>
          <t>CA42796IR</t>
        </is>
      </c>
      <c r="U2638" s="87" t="n">
        <v>46097</v>
      </c>
      <c r="V2638" s="3" t="inlineStr">
        <is>
          <t>4</t>
        </is>
      </c>
      <c r="W2638" s="108" t="n">
        <v>46097</v>
      </c>
      <c r="X2638" s="4" t="inlineStr">
        <is>
          <t>PHILIPPOS  CONSTANTINIDES
TRADING CO.LTD</t>
        </is>
      </c>
    </row>
    <row r="2639" ht="24" customHeight="1">
      <c r="A2639" s="2">
        <f>+D2639-S2639</f>
        <v/>
      </c>
      <c r="B2639" s="80" t="n">
        <v>4231</v>
      </c>
      <c r="C2639" s="66" t="n">
        <v>45926</v>
      </c>
      <c r="D2639" s="2" t="n">
        <v>1</v>
      </c>
      <c r="E2639" s="3" t="inlineStr">
        <is>
          <t>FUCILE SOVRAPPOSTO</t>
        </is>
      </c>
      <c r="F2639" s="3" t="n">
        <v>12</v>
      </c>
      <c r="G2639" s="3" t="inlineStr">
        <is>
          <t>BREDA</t>
        </is>
      </c>
      <c r="H2639" s="65" t="inlineStr">
        <is>
          <t>N/D</t>
        </is>
      </c>
      <c r="I2639" s="65" t="inlineStr">
        <is>
          <t>753653</t>
        </is>
      </c>
      <c r="J2639" s="65" t="inlineStr">
        <is>
          <t>N/D</t>
        </is>
      </c>
      <c r="K2639" s="65" t="inlineStr">
        <is>
          <t>N/D</t>
        </is>
      </c>
      <c r="L2639" s="127" t="inlineStr">
        <is>
          <t>ARMERIA LENZERINI S.A.S</t>
        </is>
      </c>
      <c r="M2639" s="5" t="n">
        <v>200</v>
      </c>
      <c r="N2639" s="5" t="n"/>
      <c r="O2639" s="5">
        <f>+M2639+N2639</f>
        <v/>
      </c>
      <c r="P2639" s="4" t="n">
        <v>45920</v>
      </c>
      <c r="Q2639" s="87" t="n">
        <v>45916</v>
      </c>
      <c r="R2639" s="5" t="n">
        <v>253.08</v>
      </c>
      <c r="S2639" s="2" t="n">
        <v>1</v>
      </c>
      <c r="T2639" s="3" t="inlineStr">
        <is>
          <t>CA42796IR</t>
        </is>
      </c>
      <c r="U2639" s="87" t="n">
        <v>46097</v>
      </c>
      <c r="V2639" s="3" t="inlineStr">
        <is>
          <t>4</t>
        </is>
      </c>
      <c r="W2639" s="108" t="n">
        <v>46097</v>
      </c>
      <c r="X2639" s="4" t="inlineStr">
        <is>
          <t>PHILIPPOS  CONSTANTINIDES
TRADING CO.LTD</t>
        </is>
      </c>
    </row>
    <row r="2640" ht="24" customHeight="1">
      <c r="A2640" s="2">
        <f>+D2640-S2640</f>
        <v/>
      </c>
      <c r="B2640" s="80" t="n">
        <v>4232</v>
      </c>
      <c r="C2640" s="66" t="n">
        <v>45926</v>
      </c>
      <c r="D2640" s="2" t="n">
        <v>1</v>
      </c>
      <c r="E2640" s="3" t="inlineStr">
        <is>
          <t>FUCILE SOVRAPPOSTO</t>
        </is>
      </c>
      <c r="F2640" s="3" t="n">
        <v>12</v>
      </c>
      <c r="G2640" s="3" t="inlineStr">
        <is>
          <t>BERETTA</t>
        </is>
      </c>
      <c r="H2640" s="65" t="inlineStr">
        <is>
          <t>N/D</t>
        </is>
      </c>
      <c r="I2640" s="65" t="inlineStr">
        <is>
          <t>D20381B</t>
        </is>
      </c>
      <c r="J2640" s="65" t="inlineStr">
        <is>
          <t>N/D</t>
        </is>
      </c>
      <c r="K2640" s="65" t="inlineStr">
        <is>
          <t>N/D</t>
        </is>
      </c>
      <c r="L2640" s="127" t="inlineStr">
        <is>
          <t>ARMERIA LENZERINI S.A.S</t>
        </is>
      </c>
      <c r="M2640" s="5" t="n">
        <v>400</v>
      </c>
      <c r="N2640" s="5" t="n"/>
      <c r="O2640" s="5">
        <f>+M2640+N2640</f>
        <v/>
      </c>
      <c r="P2640" s="4" t="n">
        <v>45920</v>
      </c>
      <c r="Q2640" s="87" t="n">
        <v>45916</v>
      </c>
      <c r="R2640" s="5" t="n">
        <v>501.16</v>
      </c>
      <c r="S2640" s="2" t="n">
        <v>1</v>
      </c>
      <c r="T2640" s="3" t="inlineStr">
        <is>
          <t>CA42796IR</t>
        </is>
      </c>
      <c r="U2640" s="87" t="n">
        <v>46097</v>
      </c>
      <c r="V2640" s="3" t="inlineStr">
        <is>
          <t>4</t>
        </is>
      </c>
      <c r="W2640" s="108" t="n">
        <v>46097</v>
      </c>
      <c r="X2640" s="4" t="inlineStr">
        <is>
          <t>PHILIPPOS  CONSTANTINIDES
TRADING CO.LTD</t>
        </is>
      </c>
    </row>
    <row r="2641" ht="24" customHeight="1">
      <c r="A2641" s="2">
        <f>+D2641-S2641</f>
        <v/>
      </c>
      <c r="B2641" s="80" t="n">
        <v>4233</v>
      </c>
      <c r="C2641" s="66" t="n">
        <v>45926</v>
      </c>
      <c r="D2641" s="2" t="n">
        <v>1</v>
      </c>
      <c r="E2641" s="3" t="inlineStr">
        <is>
          <t>FUCILE SOVRAPPOSTO</t>
        </is>
      </c>
      <c r="F2641" s="3" t="n">
        <v>12</v>
      </c>
      <c r="G2641" s="3" t="inlineStr">
        <is>
          <t>BERETTA</t>
        </is>
      </c>
      <c r="H2641" s="65" t="inlineStr">
        <is>
          <t>N/D</t>
        </is>
      </c>
      <c r="I2641" s="65" t="inlineStr">
        <is>
          <t>P92221B</t>
        </is>
      </c>
      <c r="J2641" s="65" t="inlineStr">
        <is>
          <t>N/D</t>
        </is>
      </c>
      <c r="K2641" s="65" t="inlineStr">
        <is>
          <t>N/D</t>
        </is>
      </c>
      <c r="L2641" s="127" t="inlineStr">
        <is>
          <t>ARMERIA LENZERINI S.A.S</t>
        </is>
      </c>
      <c r="M2641" s="5" t="n">
        <v>680</v>
      </c>
      <c r="N2641" s="5" t="n"/>
      <c r="O2641" s="5">
        <f>+M2641+N2641</f>
        <v/>
      </c>
      <c r="P2641" s="4" t="n">
        <v>45920</v>
      </c>
      <c r="Q2641" s="87" t="n">
        <v>45916</v>
      </c>
      <c r="R2641" s="5" t="n">
        <v>848.47</v>
      </c>
      <c r="S2641" s="2" t="n">
        <v>1</v>
      </c>
      <c r="T2641" s="3" t="inlineStr">
        <is>
          <t>CA42796IR</t>
        </is>
      </c>
      <c r="U2641" s="87" t="n">
        <v>46097</v>
      </c>
      <c r="V2641" s="3" t="inlineStr">
        <is>
          <t>4</t>
        </is>
      </c>
      <c r="W2641" s="108" t="n">
        <v>46097</v>
      </c>
      <c r="X2641" s="4" t="inlineStr">
        <is>
          <t>PHILIPPOS  CONSTANTINIDES
TRADING CO.LTD</t>
        </is>
      </c>
    </row>
    <row r="2642" ht="24" customHeight="1">
      <c r="A2642" s="2">
        <f>+D2642-S2642</f>
        <v/>
      </c>
      <c r="B2642" s="80" t="n">
        <v>4234</v>
      </c>
      <c r="C2642" s="66" t="n">
        <v>45926</v>
      </c>
      <c r="D2642" s="2" t="n">
        <v>1</v>
      </c>
      <c r="E2642" s="3" t="inlineStr">
        <is>
          <t>FUCILE SOVRAPPOSTO</t>
        </is>
      </c>
      <c r="F2642" s="3" t="n">
        <v>12</v>
      </c>
      <c r="G2642" s="3" t="inlineStr">
        <is>
          <t>FRANCHI</t>
        </is>
      </c>
      <c r="H2642" s="65" t="inlineStr">
        <is>
          <t>N/D</t>
        </is>
      </c>
      <c r="I2642" s="65" t="inlineStr">
        <is>
          <t>10427</t>
        </is>
      </c>
      <c r="J2642" s="65" t="inlineStr">
        <is>
          <t>N/D</t>
        </is>
      </c>
      <c r="K2642" s="65" t="inlineStr">
        <is>
          <t>N/D</t>
        </is>
      </c>
      <c r="L2642" s="127" t="inlineStr">
        <is>
          <t>ARMERIA LENZERINI S.A.S</t>
        </is>
      </c>
      <c r="M2642" s="5" t="n">
        <v>120</v>
      </c>
      <c r="N2642" s="5" t="n"/>
      <c r="O2642" s="5">
        <f>+M2642+N2642</f>
        <v/>
      </c>
      <c r="P2642" s="4" t="n">
        <v>45920</v>
      </c>
      <c r="Q2642" s="87" t="n">
        <v>45916</v>
      </c>
      <c r="R2642" s="5" t="n">
        <v>153.85</v>
      </c>
      <c r="S2642" s="2" t="n">
        <v>1</v>
      </c>
      <c r="T2642" s="3" t="inlineStr">
        <is>
          <t>CA42796IR</t>
        </is>
      </c>
      <c r="U2642" s="87" t="n">
        <v>46097</v>
      </c>
      <c r="V2642" s="3" t="inlineStr">
        <is>
          <t>4</t>
        </is>
      </c>
      <c r="W2642" s="108" t="n">
        <v>46097</v>
      </c>
      <c r="X2642" s="4" t="inlineStr">
        <is>
          <t>PHILIPPOS  CONSTANTINIDES
TRADING CO.LTD</t>
        </is>
      </c>
    </row>
    <row r="2643" ht="24" customHeight="1">
      <c r="A2643" s="2">
        <f>+D2643-S2643</f>
        <v/>
      </c>
      <c r="B2643" s="80" t="n">
        <v>4235</v>
      </c>
      <c r="C2643" s="66" t="n">
        <v>45926</v>
      </c>
      <c r="D2643" s="2" t="n">
        <v>1</v>
      </c>
      <c r="E2643" s="3" t="inlineStr">
        <is>
          <t>FUCILE SOVRAPPOSTO</t>
        </is>
      </c>
      <c r="F2643" s="3" t="n">
        <v>20</v>
      </c>
      <c r="G2643" s="3" t="inlineStr">
        <is>
          <t>BERETTA</t>
        </is>
      </c>
      <c r="H2643" s="65" t="inlineStr">
        <is>
          <t>N/D</t>
        </is>
      </c>
      <c r="I2643" s="65" t="inlineStr">
        <is>
          <t>V10648</t>
        </is>
      </c>
      <c r="J2643" s="65" t="inlineStr">
        <is>
          <t>N/D</t>
        </is>
      </c>
      <c r="K2643" s="65" t="inlineStr">
        <is>
          <t>N/D</t>
        </is>
      </c>
      <c r="L2643" s="127" t="inlineStr">
        <is>
          <t>ARMERIA LENZERINI S.A.S</t>
        </is>
      </c>
      <c r="M2643" s="5" t="n">
        <v>260</v>
      </c>
      <c r="N2643" s="5" t="n"/>
      <c r="O2643" s="5">
        <f>+M2643+N2643</f>
        <v/>
      </c>
      <c r="P2643" s="4" t="n">
        <v>45920</v>
      </c>
      <c r="Q2643" s="87" t="n">
        <v>45916</v>
      </c>
      <c r="R2643" s="5" t="n">
        <v>327.5</v>
      </c>
      <c r="S2643" s="2" t="n">
        <v>1</v>
      </c>
      <c r="T2643" s="3" t="inlineStr">
        <is>
          <t>CA42796IR</t>
        </is>
      </c>
      <c r="U2643" s="87" t="n">
        <v>46097</v>
      </c>
      <c r="V2643" s="3" t="inlineStr">
        <is>
          <t>4</t>
        </is>
      </c>
      <c r="W2643" s="108" t="n">
        <v>46097</v>
      </c>
      <c r="X2643" s="4" t="inlineStr">
        <is>
          <t>PHILIPPOS  CONSTANTINIDES
TRADING CO.LTD</t>
        </is>
      </c>
    </row>
    <row r="2644" ht="24" customHeight="1">
      <c r="A2644" s="2">
        <f>+D2644-S2644</f>
        <v/>
      </c>
      <c r="B2644" s="80" t="n">
        <v>4236</v>
      </c>
      <c r="C2644" s="66" t="n">
        <v>45926</v>
      </c>
      <c r="D2644" s="2" t="n">
        <v>1</v>
      </c>
      <c r="E2644" s="3" t="inlineStr">
        <is>
          <t>FUCILE DOPPIETTA</t>
        </is>
      </c>
      <c r="F2644" s="3" t="n">
        <v>410</v>
      </c>
      <c r="G2644" s="3" t="inlineStr">
        <is>
          <t>EL CHIMBO</t>
        </is>
      </c>
      <c r="H2644" s="65" t="inlineStr">
        <is>
          <t>N/D</t>
        </is>
      </c>
      <c r="I2644" s="65" t="inlineStr">
        <is>
          <t>85590</t>
        </is>
      </c>
      <c r="J2644" s="65" t="inlineStr">
        <is>
          <t>N/D</t>
        </is>
      </c>
      <c r="K2644" s="65" t="inlineStr">
        <is>
          <t>N/D</t>
        </is>
      </c>
      <c r="L2644" s="127" t="inlineStr">
        <is>
          <t>ARMERIA LENZERINI S.A.S</t>
        </is>
      </c>
      <c r="M2644" s="5" t="n">
        <v>100</v>
      </c>
      <c r="N2644" s="5" t="n"/>
      <c r="O2644" s="5">
        <f>+M2644+N2644</f>
        <v/>
      </c>
      <c r="P2644" s="4" t="n">
        <v>45920</v>
      </c>
      <c r="Q2644" s="87" t="n">
        <v>45916</v>
      </c>
      <c r="R2644" s="5" t="n">
        <v>129.04</v>
      </c>
      <c r="S2644" s="2" t="n">
        <v>1</v>
      </c>
      <c r="T2644" s="3" t="inlineStr">
        <is>
          <t>CA42796IR</t>
        </is>
      </c>
      <c r="U2644" s="87" t="n">
        <v>46097</v>
      </c>
      <c r="V2644" s="3" t="inlineStr">
        <is>
          <t>4</t>
        </is>
      </c>
      <c r="W2644" s="108" t="n">
        <v>46097</v>
      </c>
      <c r="X2644" s="4" t="inlineStr">
        <is>
          <t>PHILIPPOS  CONSTANTINIDES
TRADING CO.LTD</t>
        </is>
      </c>
    </row>
    <row r="2645" ht="24" customHeight="1">
      <c r="A2645" s="2">
        <f>+D2645-S2645</f>
        <v/>
      </c>
      <c r="B2645" s="80" t="n">
        <v>4237</v>
      </c>
      <c r="C2645" s="66" t="n">
        <v>45926</v>
      </c>
      <c r="D2645" s="2" t="n">
        <v>1</v>
      </c>
      <c r="E2645" s="3" t="inlineStr">
        <is>
          <t>FUCILE DOPPIETTA</t>
        </is>
      </c>
      <c r="F2645" s="3" t="n">
        <v>12</v>
      </c>
      <c r="G2645" s="3" t="inlineStr">
        <is>
          <t>ST.ETIENNE</t>
        </is>
      </c>
      <c r="H2645" s="65" t="inlineStr">
        <is>
          <t>N/D</t>
        </is>
      </c>
      <c r="I2645" s="65" t="inlineStr">
        <is>
          <t>17298</t>
        </is>
      </c>
      <c r="J2645" s="65" t="inlineStr">
        <is>
          <t>N/D</t>
        </is>
      </c>
      <c r="K2645" s="65" t="inlineStr">
        <is>
          <t>N/D</t>
        </is>
      </c>
      <c r="L2645" s="127" t="inlineStr">
        <is>
          <t>ARMERIA LENZERINI S.A.S</t>
        </is>
      </c>
      <c r="M2645" s="5" t="n">
        <v>250</v>
      </c>
      <c r="N2645" s="5" t="n"/>
      <c r="O2645" s="5">
        <f>+M2645+N2645</f>
        <v/>
      </c>
      <c r="P2645" s="4" t="n">
        <v>45920</v>
      </c>
      <c r="Q2645" s="87" t="n">
        <v>45916</v>
      </c>
      <c r="R2645" s="5" t="n">
        <v>315.1</v>
      </c>
      <c r="S2645" s="2" t="n">
        <v>1</v>
      </c>
      <c r="T2645" s="3" t="inlineStr">
        <is>
          <t>CA42796IR</t>
        </is>
      </c>
      <c r="U2645" s="87" t="n">
        <v>46097</v>
      </c>
      <c r="V2645" s="3" t="inlineStr">
        <is>
          <t>4</t>
        </is>
      </c>
      <c r="W2645" s="108" t="n">
        <v>46097</v>
      </c>
      <c r="X2645" s="4" t="inlineStr">
        <is>
          <t>PHILIPPOS  CONSTANTINIDES
TRADING CO.LTD</t>
        </is>
      </c>
    </row>
    <row r="2646" ht="24" customHeight="1">
      <c r="A2646" s="2">
        <f>+D2646-S2646</f>
        <v/>
      </c>
      <c r="B2646" s="80" t="n">
        <v>4238</v>
      </c>
      <c r="C2646" s="66" t="n">
        <v>45926</v>
      </c>
      <c r="D2646" s="2" t="n">
        <v>1</v>
      </c>
      <c r="E2646" s="3" t="inlineStr">
        <is>
          <t>CARABINA AD ARIA COMPRESSA</t>
        </is>
      </c>
      <c r="F2646" s="3" t="n">
        <v>4.5</v>
      </c>
      <c r="G2646" s="3" t="inlineStr">
        <is>
          <t>BAVARIA</t>
        </is>
      </c>
      <c r="H2646" s="65" t="inlineStr">
        <is>
          <t>N/D</t>
        </is>
      </c>
      <c r="I2646" s="65" t="inlineStr">
        <is>
          <t>7506</t>
        </is>
      </c>
      <c r="J2646" s="65" t="inlineStr">
        <is>
          <t>N/D</t>
        </is>
      </c>
      <c r="K2646" s="65" t="inlineStr">
        <is>
          <t>N/D</t>
        </is>
      </c>
      <c r="L2646" s="127" t="inlineStr">
        <is>
          <t>ARMERIA LENZERINI S.A.S</t>
        </is>
      </c>
      <c r="M2646" s="5" t="n">
        <v>15</v>
      </c>
      <c r="N2646" s="5" t="n"/>
      <c r="O2646" s="5">
        <f>+M2646+N2646</f>
        <v/>
      </c>
      <c r="P2646" s="4" t="n">
        <v>45920</v>
      </c>
      <c r="Q2646" s="87" t="n">
        <v>45916</v>
      </c>
      <c r="R2646" s="5" t="n">
        <v>23.61</v>
      </c>
      <c r="S2646" s="2" t="n">
        <v>1</v>
      </c>
      <c r="T2646" s="3" t="inlineStr">
        <is>
          <t>CA42796IR</t>
        </is>
      </c>
      <c r="U2646" s="87" t="n">
        <v>46097</v>
      </c>
      <c r="V2646" s="3" t="inlineStr">
        <is>
          <t>4</t>
        </is>
      </c>
      <c r="W2646" s="108" t="n">
        <v>46097</v>
      </c>
      <c r="X2646" s="4" t="inlineStr">
        <is>
          <t>PHILIPPOS  CONSTANTINIDES
TRADING CO.LTD</t>
        </is>
      </c>
    </row>
    <row r="2647" ht="24" customHeight="1">
      <c r="A2647" s="2">
        <f>+D2647-S2647</f>
        <v/>
      </c>
      <c r="B2647" s="80" t="n">
        <v>4239</v>
      </c>
      <c r="C2647" s="66" t="n">
        <v>45926</v>
      </c>
      <c r="D2647" s="2" t="n">
        <v>1</v>
      </c>
      <c r="E2647" s="3" t="inlineStr">
        <is>
          <t>CARABINA AD ARIA COMPRESSA</t>
        </is>
      </c>
      <c r="F2647" s="3" t="n">
        <v>4.5</v>
      </c>
      <c r="G2647" s="3" t="inlineStr">
        <is>
          <t>FRANCHI</t>
        </is>
      </c>
      <c r="H2647" s="65" t="inlineStr">
        <is>
          <t>N/D</t>
        </is>
      </c>
      <c r="I2647" s="65" t="inlineStr">
        <is>
          <t>SE20771</t>
        </is>
      </c>
      <c r="J2647" s="65" t="inlineStr">
        <is>
          <t>N/D</t>
        </is>
      </c>
      <c r="K2647" s="65" t="inlineStr">
        <is>
          <t>N/D</t>
        </is>
      </c>
      <c r="L2647" s="127" t="inlineStr">
        <is>
          <t>ARMERIA LENZERINI S.A.S</t>
        </is>
      </c>
      <c r="M2647" s="5" t="n">
        <v>15</v>
      </c>
      <c r="N2647" s="5" t="n"/>
      <c r="O2647" s="5">
        <f>+M2647+N2647</f>
        <v/>
      </c>
      <c r="P2647" s="4" t="n">
        <v>45920</v>
      </c>
      <c r="Q2647" s="87" t="n">
        <v>45916</v>
      </c>
      <c r="R2647" s="5" t="n">
        <v>23.61</v>
      </c>
      <c r="S2647" s="2" t="n">
        <v>1</v>
      </c>
      <c r="T2647" s="3" t="inlineStr">
        <is>
          <t>CA42796IR</t>
        </is>
      </c>
      <c r="U2647" s="87" t="n">
        <v>46097</v>
      </c>
      <c r="V2647" s="3" t="inlineStr">
        <is>
          <t>4</t>
        </is>
      </c>
      <c r="W2647" s="108" t="n">
        <v>46097</v>
      </c>
      <c r="X2647" s="4" t="inlineStr">
        <is>
          <t>PHILIPPOS  CONSTANTINIDES
TRADING CO.LTD</t>
        </is>
      </c>
    </row>
    <row r="2648" ht="24" customHeight="1">
      <c r="A2648" s="2">
        <f>+D2648-S2648</f>
        <v/>
      </c>
      <c r="B2648" s="80" t="n">
        <v>4240</v>
      </c>
      <c r="C2648" s="66" t="n">
        <v>45926</v>
      </c>
      <c r="D2648" s="2" t="n">
        <v>1</v>
      </c>
      <c r="E2648" s="3" t="inlineStr">
        <is>
          <t>CARABINA AD ARIA COMPRESSA</t>
        </is>
      </c>
      <c r="F2648" s="3" t="n">
        <v>4.5</v>
      </c>
      <c r="G2648" s="3" t="inlineStr">
        <is>
          <t>SHANGAY</t>
        </is>
      </c>
      <c r="H2648" s="65" t="inlineStr">
        <is>
          <t>N/D</t>
        </is>
      </c>
      <c r="I2648" s="65" t="inlineStr">
        <is>
          <t>044437</t>
        </is>
      </c>
      <c r="J2648" s="65" t="inlineStr">
        <is>
          <t>N/D</t>
        </is>
      </c>
      <c r="K2648" s="65" t="inlineStr">
        <is>
          <t>N/D</t>
        </is>
      </c>
      <c r="L2648" s="127" t="inlineStr">
        <is>
          <t>ARMERIA LENZERINI S.A.S</t>
        </is>
      </c>
      <c r="M2648" s="5" t="n">
        <v>15</v>
      </c>
      <c r="N2648" s="5" t="n"/>
      <c r="O2648" s="5">
        <f>+M2648+N2648</f>
        <v/>
      </c>
      <c r="P2648" s="4" t="n">
        <v>45920</v>
      </c>
      <c r="Q2648" s="87" t="n">
        <v>45916</v>
      </c>
      <c r="R2648" s="5" t="n">
        <v>23.61</v>
      </c>
      <c r="S2648" s="2" t="n">
        <v>1</v>
      </c>
      <c r="T2648" s="3" t="inlineStr">
        <is>
          <t>CA42796IR</t>
        </is>
      </c>
      <c r="U2648" s="87" t="n">
        <v>46097</v>
      </c>
      <c r="V2648" s="3" t="inlineStr">
        <is>
          <t>4</t>
        </is>
      </c>
      <c r="W2648" s="108" t="n">
        <v>46097</v>
      </c>
      <c r="X2648" s="4" t="inlineStr">
        <is>
          <t>PHILIPPOS  CONSTANTINIDES
TRADING CO.LTD</t>
        </is>
      </c>
    </row>
    <row r="2649" ht="24" customHeight="1">
      <c r="A2649" s="2">
        <f>+D2649-S2649</f>
        <v/>
      </c>
      <c r="B2649" s="80" t="n">
        <v>4241</v>
      </c>
      <c r="C2649" s="66" t="n">
        <v>45926</v>
      </c>
      <c r="D2649" s="2" t="n">
        <v>1</v>
      </c>
      <c r="E2649" s="3" t="inlineStr">
        <is>
          <t>CARABINA AD ARIA COMPRESSA</t>
        </is>
      </c>
      <c r="F2649" s="3" t="n">
        <v>4.5</v>
      </c>
      <c r="G2649" s="3" t="inlineStr">
        <is>
          <t>DIANA</t>
        </is>
      </c>
      <c r="H2649" s="65" t="inlineStr">
        <is>
          <t>N/D</t>
        </is>
      </c>
      <c r="I2649" s="65" t="inlineStr">
        <is>
          <t>0B71</t>
        </is>
      </c>
      <c r="J2649" s="65" t="inlineStr">
        <is>
          <t>N/D</t>
        </is>
      </c>
      <c r="K2649" s="65" t="inlineStr">
        <is>
          <t>N/D</t>
        </is>
      </c>
      <c r="L2649" s="127" t="inlineStr">
        <is>
          <t>ARMERIA LENZERINI S.A.S</t>
        </is>
      </c>
      <c r="M2649" s="5" t="n">
        <v>15</v>
      </c>
      <c r="N2649" s="5" t="n"/>
      <c r="O2649" s="5">
        <f>+M2649+N2649</f>
        <v/>
      </c>
      <c r="P2649" s="4" t="n">
        <v>45920</v>
      </c>
      <c r="Q2649" s="87" t="n">
        <v>45916</v>
      </c>
      <c r="R2649" s="5" t="n">
        <v>23.61</v>
      </c>
      <c r="S2649" s="2" t="n">
        <v>1</v>
      </c>
      <c r="T2649" s="3" t="inlineStr">
        <is>
          <t>CA42796IR</t>
        </is>
      </c>
      <c r="U2649" s="87" t="n">
        <v>46097</v>
      </c>
      <c r="V2649" s="3" t="inlineStr">
        <is>
          <t>4</t>
        </is>
      </c>
      <c r="W2649" s="108" t="n">
        <v>46097</v>
      </c>
      <c r="X2649" s="4" t="inlineStr">
        <is>
          <t>PHILIPPOS  CONSTANTINIDES
TRADING CO.LTD</t>
        </is>
      </c>
    </row>
    <row r="2650" ht="24" customHeight="1">
      <c r="A2650" s="2">
        <f>+D2650-S2650</f>
        <v/>
      </c>
      <c r="B2650" s="80" t="n">
        <v>4242</v>
      </c>
      <c r="C2650" s="66" t="n">
        <v>45926</v>
      </c>
      <c r="D2650" s="2" t="n">
        <v>1</v>
      </c>
      <c r="E2650" s="3" t="inlineStr">
        <is>
          <t>CARABINA AD ARIA COMPRESSA</t>
        </is>
      </c>
      <c r="F2650" s="3" t="n">
        <v>4.5</v>
      </c>
      <c r="G2650" s="3" t="inlineStr">
        <is>
          <t>SLAVIA</t>
        </is>
      </c>
      <c r="H2650" s="65" t="inlineStr">
        <is>
          <t>N/D</t>
        </is>
      </c>
      <c r="I2650" s="65" t="inlineStr">
        <is>
          <t>162762</t>
        </is>
      </c>
      <c r="J2650" s="65" t="inlineStr">
        <is>
          <t>N/D</t>
        </is>
      </c>
      <c r="K2650" s="65" t="inlineStr">
        <is>
          <t>N/D</t>
        </is>
      </c>
      <c r="L2650" s="127" t="inlineStr">
        <is>
          <t>ARMERIA LENZERINI S.A.S</t>
        </is>
      </c>
      <c r="M2650" s="5" t="n">
        <v>15</v>
      </c>
      <c r="N2650" s="5" t="n"/>
      <c r="O2650" s="5">
        <f>+M2650+N2650</f>
        <v/>
      </c>
      <c r="P2650" s="4" t="n">
        <v>45920</v>
      </c>
      <c r="Q2650" s="87" t="n">
        <v>45916</v>
      </c>
      <c r="R2650" s="5" t="n">
        <v>23.61</v>
      </c>
      <c r="S2650" s="2" t="n">
        <v>1</v>
      </c>
      <c r="T2650" s="3" t="inlineStr">
        <is>
          <t>CA42796IR</t>
        </is>
      </c>
      <c r="U2650" s="87" t="n">
        <v>46097</v>
      </c>
      <c r="V2650" s="3" t="inlineStr">
        <is>
          <t>4</t>
        </is>
      </c>
      <c r="W2650" s="108" t="n">
        <v>46097</v>
      </c>
      <c r="X2650" s="4" t="inlineStr">
        <is>
          <t>PHILIPPOS  CONSTANTINIDES
TRADING CO.LTD</t>
        </is>
      </c>
    </row>
    <row r="2651" ht="24" customHeight="1">
      <c r="A2651" s="2">
        <f>+D2651-S2651</f>
        <v/>
      </c>
      <c r="B2651" s="80" t="n">
        <v>4243</v>
      </c>
      <c r="C2651" s="66" t="n">
        <v>45926</v>
      </c>
      <c r="D2651" s="2" t="n">
        <v>1</v>
      </c>
      <c r="E2651" s="3" t="inlineStr">
        <is>
          <t>CARABINA AD ARIA COMPRESSA</t>
        </is>
      </c>
      <c r="F2651" s="3" t="n">
        <v>4.5</v>
      </c>
      <c r="G2651" s="3" t="inlineStr">
        <is>
          <t>DIANA</t>
        </is>
      </c>
      <c r="H2651" s="65" t="inlineStr">
        <is>
          <t>N/D</t>
        </is>
      </c>
      <c r="I2651" s="65" t="inlineStr">
        <is>
          <t>25807</t>
        </is>
      </c>
      <c r="J2651" s="65" t="inlineStr">
        <is>
          <t>N/D</t>
        </is>
      </c>
      <c r="K2651" s="65" t="inlineStr">
        <is>
          <t>N/D</t>
        </is>
      </c>
      <c r="L2651" s="127" t="inlineStr">
        <is>
          <t>ARMERIA LENZERINI S.A.S</t>
        </is>
      </c>
      <c r="M2651" s="5" t="n">
        <v>15</v>
      </c>
      <c r="N2651" s="5" t="n"/>
      <c r="O2651" s="5">
        <f>+M2651+N2651</f>
        <v/>
      </c>
      <c r="P2651" s="4" t="n">
        <v>45920</v>
      </c>
      <c r="Q2651" s="87" t="n">
        <v>45916</v>
      </c>
      <c r="R2651" s="5" t="n">
        <v>23.61</v>
      </c>
      <c r="S2651" s="2" t="n">
        <v>1</v>
      </c>
      <c r="T2651" s="3" t="inlineStr">
        <is>
          <t>CA42796IR</t>
        </is>
      </c>
      <c r="U2651" s="87" t="n">
        <v>46097</v>
      </c>
      <c r="V2651" s="3" t="inlineStr">
        <is>
          <t>4</t>
        </is>
      </c>
      <c r="W2651" s="108" t="n">
        <v>46097</v>
      </c>
      <c r="X2651" s="4" t="inlineStr">
        <is>
          <t>PHILIPPOS  CONSTANTINIDES
TRADING CO.LTD</t>
        </is>
      </c>
    </row>
    <row r="2652" ht="24" customHeight="1">
      <c r="A2652" s="2">
        <f>+D2652-S2652</f>
        <v/>
      </c>
      <c r="B2652" s="80" t="n">
        <v>4244</v>
      </c>
      <c r="C2652" s="66" t="n">
        <v>45926</v>
      </c>
      <c r="D2652" s="2" t="n">
        <v>1</v>
      </c>
      <c r="E2652" s="3" t="inlineStr">
        <is>
          <t>CARABINA AD ARIA COMPRESSA</t>
        </is>
      </c>
      <c r="F2652" s="3" t="n">
        <v>4.5</v>
      </c>
      <c r="G2652" s="3" t="inlineStr">
        <is>
          <t>DIANA</t>
        </is>
      </c>
      <c r="H2652" s="65" t="inlineStr">
        <is>
          <t>N/D</t>
        </is>
      </c>
      <c r="I2652" s="65" t="inlineStr">
        <is>
          <t>70181975</t>
        </is>
      </c>
      <c r="J2652" s="65" t="inlineStr">
        <is>
          <t>N/D</t>
        </is>
      </c>
      <c r="K2652" s="65" t="inlineStr">
        <is>
          <t>N/D</t>
        </is>
      </c>
      <c r="L2652" s="127" t="inlineStr">
        <is>
          <t>ARMERIA LENZERINI S.A.S</t>
        </is>
      </c>
      <c r="M2652" s="5" t="n">
        <v>15</v>
      </c>
      <c r="N2652" s="5" t="n"/>
      <c r="O2652" s="5">
        <f>+M2652+N2652</f>
        <v/>
      </c>
      <c r="P2652" s="4" t="n">
        <v>45920</v>
      </c>
      <c r="Q2652" s="87" t="n">
        <v>45916</v>
      </c>
      <c r="R2652" s="5" t="n">
        <v>23.61</v>
      </c>
      <c r="S2652" s="2" t="n">
        <v>1</v>
      </c>
      <c r="T2652" s="3" t="inlineStr">
        <is>
          <t>CA42796IR</t>
        </is>
      </c>
      <c r="U2652" s="87" t="n">
        <v>46097</v>
      </c>
      <c r="V2652" s="3" t="inlineStr">
        <is>
          <t>4</t>
        </is>
      </c>
      <c r="W2652" s="108" t="n">
        <v>46097</v>
      </c>
      <c r="X2652" s="4" t="inlineStr">
        <is>
          <t>PHILIPPOS  CONSTANTINIDES
TRADING CO.LTD</t>
        </is>
      </c>
    </row>
    <row r="2653" ht="24" customHeight="1">
      <c r="A2653" s="2">
        <f>+D2653-S2653</f>
        <v/>
      </c>
      <c r="B2653" s="80" t="n">
        <v>4245</v>
      </c>
      <c r="C2653" s="66" t="n">
        <v>45926</v>
      </c>
      <c r="D2653" s="2" t="n">
        <v>1</v>
      </c>
      <c r="E2653" s="3" t="inlineStr">
        <is>
          <t>CARABINA AD ARIA COMPRESSA</t>
        </is>
      </c>
      <c r="F2653" s="3" t="n">
        <v>4.5</v>
      </c>
      <c r="G2653" s="3" t="inlineStr">
        <is>
          <t>FRANCHI</t>
        </is>
      </c>
      <c r="H2653" s="65" t="inlineStr">
        <is>
          <t>N/D</t>
        </is>
      </c>
      <c r="I2653" s="65" t="inlineStr">
        <is>
          <t>CC22010</t>
        </is>
      </c>
      <c r="J2653" s="65" t="inlineStr">
        <is>
          <t>N/D</t>
        </is>
      </c>
      <c r="K2653" s="65" t="inlineStr">
        <is>
          <t>N/D</t>
        </is>
      </c>
      <c r="L2653" s="127" t="inlineStr">
        <is>
          <t>ARMERIA LENZERINI S.A.S</t>
        </is>
      </c>
      <c r="M2653" s="5" t="n">
        <v>15</v>
      </c>
      <c r="N2653" s="5" t="n"/>
      <c r="O2653" s="5">
        <f>+M2653+N2653</f>
        <v/>
      </c>
      <c r="P2653" s="4" t="n">
        <v>45920</v>
      </c>
      <c r="Q2653" s="87" t="n">
        <v>45916</v>
      </c>
      <c r="R2653" s="5" t="n">
        <v>23.61</v>
      </c>
      <c r="S2653" s="2" t="n">
        <v>1</v>
      </c>
      <c r="T2653" s="3" t="inlineStr">
        <is>
          <t>CA42796IR</t>
        </is>
      </c>
      <c r="U2653" s="87" t="n">
        <v>46097</v>
      </c>
      <c r="V2653" s="3" t="inlineStr">
        <is>
          <t>4</t>
        </is>
      </c>
      <c r="W2653" s="108" t="n">
        <v>46097</v>
      </c>
      <c r="X2653" s="4" t="inlineStr">
        <is>
          <t>PHILIPPOS  CONSTANTINIDES
TRADING CO.LTD</t>
        </is>
      </c>
    </row>
    <row r="2654" ht="24" customHeight="1">
      <c r="A2654" s="2">
        <f>+D2654-S2654</f>
        <v/>
      </c>
      <c r="B2654" s="80" t="n">
        <v>4246</v>
      </c>
      <c r="C2654" s="66" t="n">
        <v>45926</v>
      </c>
      <c r="D2654" s="2" t="n">
        <v>1</v>
      </c>
      <c r="E2654" s="3" t="inlineStr">
        <is>
          <t>CARABINA AD ARIA COMPRESSA</t>
        </is>
      </c>
      <c r="F2654" s="3" t="n">
        <v>4.5</v>
      </c>
      <c r="G2654" s="3" t="inlineStr">
        <is>
          <t>DIANA</t>
        </is>
      </c>
      <c r="H2654" s="65" t="inlineStr">
        <is>
          <t>N/D</t>
        </is>
      </c>
      <c r="I2654" s="65" t="inlineStr">
        <is>
          <t>11262230</t>
        </is>
      </c>
      <c r="J2654" s="65" t="inlineStr">
        <is>
          <t>N/D</t>
        </is>
      </c>
      <c r="K2654" s="65" t="inlineStr">
        <is>
          <t>N/D</t>
        </is>
      </c>
      <c r="L2654" s="127" t="inlineStr">
        <is>
          <t>ARMERIA LENZERINI S.A.S</t>
        </is>
      </c>
      <c r="M2654" s="5" t="n">
        <v>15</v>
      </c>
      <c r="N2654" s="5" t="n"/>
      <c r="O2654" s="5">
        <f>+M2654+N2654</f>
        <v/>
      </c>
      <c r="P2654" s="4" t="n">
        <v>45920</v>
      </c>
      <c r="Q2654" s="87" t="n">
        <v>45916</v>
      </c>
      <c r="R2654" s="5" t="n">
        <v>23.61</v>
      </c>
      <c r="S2654" s="2" t="n">
        <v>1</v>
      </c>
      <c r="T2654" s="3" t="inlineStr">
        <is>
          <t>CA42796IR</t>
        </is>
      </c>
      <c r="U2654" s="87" t="n">
        <v>46097</v>
      </c>
      <c r="V2654" s="3" t="inlineStr">
        <is>
          <t>4</t>
        </is>
      </c>
      <c r="W2654" s="108" t="n">
        <v>46097</v>
      </c>
      <c r="X2654" s="4" t="inlineStr">
        <is>
          <t>PHILIPPOS  CONSTANTINIDES
TRADING CO.LTD</t>
        </is>
      </c>
    </row>
    <row r="2655" ht="24" customHeight="1">
      <c r="A2655" s="2">
        <f>+D2655-S2655</f>
        <v/>
      </c>
      <c r="B2655" s="80" t="n">
        <v>4247</v>
      </c>
      <c r="C2655" s="66" t="n">
        <v>45926</v>
      </c>
      <c r="D2655" s="2" t="n">
        <v>1</v>
      </c>
      <c r="E2655" s="3" t="inlineStr">
        <is>
          <t>CARABINA AD ARIA COMPRESSA</t>
        </is>
      </c>
      <c r="F2655" s="3" t="n">
        <v>4.5</v>
      </c>
      <c r="G2655" s="3" t="inlineStr">
        <is>
          <t>DIANA</t>
        </is>
      </c>
      <c r="H2655" s="65" t="inlineStr">
        <is>
          <t>N/D</t>
        </is>
      </c>
      <c r="I2655" s="65" t="inlineStr">
        <is>
          <t>041538</t>
        </is>
      </c>
      <c r="J2655" s="65" t="inlineStr">
        <is>
          <t>N/D</t>
        </is>
      </c>
      <c r="K2655" s="65" t="inlineStr">
        <is>
          <t>N/D</t>
        </is>
      </c>
      <c r="L2655" s="127" t="inlineStr">
        <is>
          <t>ARMERIA LENZERINI S.A.S</t>
        </is>
      </c>
      <c r="M2655" s="5" t="n">
        <v>15</v>
      </c>
      <c r="N2655" s="5" t="n"/>
      <c r="O2655" s="5">
        <f>+M2655+N2655</f>
        <v/>
      </c>
      <c r="P2655" s="4" t="n">
        <v>45920</v>
      </c>
      <c r="Q2655" s="87" t="n">
        <v>45916</v>
      </c>
      <c r="R2655" s="5" t="n">
        <v>23.61</v>
      </c>
      <c r="S2655" s="2" t="n">
        <v>1</v>
      </c>
      <c r="T2655" s="3" t="inlineStr">
        <is>
          <t>CA42796IR</t>
        </is>
      </c>
      <c r="U2655" s="87" t="n">
        <v>46097</v>
      </c>
      <c r="V2655" s="3" t="inlineStr">
        <is>
          <t>4</t>
        </is>
      </c>
      <c r="W2655" s="108" t="n">
        <v>46097</v>
      </c>
      <c r="X2655" s="4" t="inlineStr">
        <is>
          <t>PHILIPPOS  CONSTANTINIDES
TRADING CO.LTD</t>
        </is>
      </c>
    </row>
    <row r="2656" ht="24" customHeight="1">
      <c r="A2656" s="2">
        <f>+D2656-S2656</f>
        <v/>
      </c>
      <c r="B2656" s="80" t="n">
        <v>4248</v>
      </c>
      <c r="C2656" s="66" t="n">
        <v>45926</v>
      </c>
      <c r="D2656" s="2" t="n">
        <v>1</v>
      </c>
      <c r="E2656" s="3" t="inlineStr">
        <is>
          <t>CARABINA AD ARIA COMPRESSA</t>
        </is>
      </c>
      <c r="F2656" s="3" t="n">
        <v>4.5</v>
      </c>
      <c r="G2656" s="3" t="inlineStr">
        <is>
          <t>DIANA</t>
        </is>
      </c>
      <c r="H2656" s="65" t="inlineStr">
        <is>
          <t>N/D</t>
        </is>
      </c>
      <c r="I2656" s="65" t="inlineStr">
        <is>
          <t>71261774</t>
        </is>
      </c>
      <c r="J2656" s="65" t="inlineStr">
        <is>
          <t>N/D</t>
        </is>
      </c>
      <c r="K2656" s="65" t="inlineStr">
        <is>
          <t>N/D</t>
        </is>
      </c>
      <c r="L2656" s="127" t="inlineStr">
        <is>
          <t>ARMERIA LENZERINI S.A.S</t>
        </is>
      </c>
      <c r="M2656" s="5" t="n">
        <v>15</v>
      </c>
      <c r="N2656" s="5" t="n"/>
      <c r="O2656" s="5">
        <f>+M2656+N2656</f>
        <v/>
      </c>
      <c r="P2656" s="4" t="n">
        <v>45920</v>
      </c>
      <c r="Q2656" s="87" t="n">
        <v>45916</v>
      </c>
      <c r="R2656" s="5" t="n">
        <v>23.61</v>
      </c>
      <c r="S2656" s="2" t="n">
        <v>1</v>
      </c>
      <c r="T2656" s="3" t="inlineStr">
        <is>
          <t>CA42796IR</t>
        </is>
      </c>
      <c r="U2656" s="87" t="n">
        <v>46097</v>
      </c>
      <c r="V2656" s="3" t="inlineStr">
        <is>
          <t>4</t>
        </is>
      </c>
      <c r="W2656" s="108" t="n">
        <v>46097</v>
      </c>
      <c r="X2656" s="4" t="inlineStr">
        <is>
          <t>PHILIPPOS  CONSTANTINIDES
TRADING CO.LTD</t>
        </is>
      </c>
    </row>
    <row r="2657" ht="24" customHeight="1">
      <c r="A2657" s="2">
        <f>+D2657-S2657</f>
        <v/>
      </c>
      <c r="B2657" s="80" t="n">
        <v>4249</v>
      </c>
      <c r="C2657" s="66" t="n">
        <v>45926</v>
      </c>
      <c r="D2657" s="2" t="n">
        <v>1</v>
      </c>
      <c r="E2657" s="3" t="inlineStr">
        <is>
          <t>FUCILE SOVRAPPOSTO</t>
        </is>
      </c>
      <c r="F2657" s="3" t="n">
        <v>12</v>
      </c>
      <c r="G2657" s="3" t="inlineStr">
        <is>
          <t>BERETTA</t>
        </is>
      </c>
      <c r="H2657" s="65" t="inlineStr">
        <is>
          <t>N/D</t>
        </is>
      </c>
      <c r="I2657" s="65" t="inlineStr">
        <is>
          <t>C99152B</t>
        </is>
      </c>
      <c r="J2657" s="65" t="inlineStr">
        <is>
          <t>N/D</t>
        </is>
      </c>
      <c r="K2657" s="65" t="inlineStr">
        <is>
          <t>N/D</t>
        </is>
      </c>
      <c r="L2657" s="127" t="inlineStr">
        <is>
          <t>ARMERIA LENZERINI S.A.S</t>
        </is>
      </c>
      <c r="M2657" s="5" t="n">
        <v>1350</v>
      </c>
      <c r="N2657" s="5" t="n"/>
      <c r="O2657" s="5">
        <f>+M2657+N2657</f>
        <v/>
      </c>
      <c r="P2657" s="4" t="n">
        <v>45920</v>
      </c>
      <c r="Q2657" s="87" t="n">
        <v>45916</v>
      </c>
      <c r="R2657" s="5" t="n">
        <v>1679.53</v>
      </c>
      <c r="S2657" s="2" t="n">
        <v>1</v>
      </c>
      <c r="T2657" s="3" t="inlineStr">
        <is>
          <t>CA42796IR</t>
        </is>
      </c>
      <c r="U2657" s="87" t="n">
        <v>46097</v>
      </c>
      <c r="V2657" s="3" t="inlineStr">
        <is>
          <t>4</t>
        </is>
      </c>
      <c r="W2657" s="108" t="n">
        <v>46097</v>
      </c>
      <c r="X2657" s="4" t="inlineStr">
        <is>
          <t>PHILIPPOS  CONSTANTINIDES
TRADING CO.LTD</t>
        </is>
      </c>
    </row>
    <row r="2658" ht="24" customHeight="1">
      <c r="A2658" s="2">
        <f>+D2658-S2658</f>
        <v/>
      </c>
      <c r="B2658" s="80" t="n">
        <v>4250</v>
      </c>
      <c r="C2658" s="66" t="n">
        <v>45931</v>
      </c>
      <c r="D2658" s="2" t="n">
        <v>1</v>
      </c>
      <c r="E2658" s="3" t="inlineStr">
        <is>
          <t>REVOLVER</t>
        </is>
      </c>
      <c r="F2658" s="3" t="inlineStr">
        <is>
          <t>38SPECIAL</t>
        </is>
      </c>
      <c r="G2658" s="3" t="inlineStr">
        <is>
          <t>CHIAPPA</t>
        </is>
      </c>
      <c r="H2658" s="65" t="inlineStr">
        <is>
          <t>RHINO MATCH MASTER 6''</t>
        </is>
      </c>
      <c r="I2658" s="65" t="inlineStr">
        <is>
          <t>CFIT24N02215</t>
        </is>
      </c>
      <c r="J2658" s="65" t="inlineStr">
        <is>
          <t>N/D</t>
        </is>
      </c>
      <c r="K2658" s="65" t="inlineStr">
        <is>
          <t>N/D</t>
        </is>
      </c>
      <c r="L2658" s="127" t="inlineStr">
        <is>
          <t>CHIAPPA FIREARMS SRL</t>
        </is>
      </c>
      <c r="M2658" s="5" t="n">
        <v>1399.5</v>
      </c>
      <c r="N2658" s="5" t="n"/>
      <c r="O2658" s="5">
        <f>+M2658+N2658</f>
        <v/>
      </c>
      <c r="P2658" s="4" t="n">
        <v>45931</v>
      </c>
      <c r="Q2658" s="87" t="n">
        <v>45931</v>
      </c>
      <c r="R2658" s="5" t="n">
        <v>2146</v>
      </c>
      <c r="S2658" s="2" t="n">
        <v>1</v>
      </c>
      <c r="T2658" s="3" t="inlineStr">
        <is>
          <t>6B/2025/5D</t>
        </is>
      </c>
      <c r="U2658" s="87" t="n">
        <v>45932</v>
      </c>
      <c r="V2658" s="3" t="inlineStr">
        <is>
          <t>30</t>
        </is>
      </c>
      <c r="W2658" s="108" t="n">
        <v>45932</v>
      </c>
      <c r="X2658" s="4" t="inlineStr">
        <is>
          <t xml:space="preserve">Bin Humaid National Trading Co </t>
        </is>
      </c>
    </row>
    <row r="2659" ht="24" customHeight="1">
      <c r="A2659" s="2">
        <f>+D2659-S2659</f>
        <v/>
      </c>
      <c r="B2659" s="80" t="n">
        <v>4251</v>
      </c>
      <c r="C2659" s="66" t="n">
        <v>45931</v>
      </c>
      <c r="D2659" s="2" t="n">
        <v>1</v>
      </c>
      <c r="E2659" s="3" t="inlineStr">
        <is>
          <t>REVOLVER</t>
        </is>
      </c>
      <c r="F2659" s="3" t="inlineStr">
        <is>
          <t>38SPECIAL</t>
        </is>
      </c>
      <c r="G2659" s="3" t="inlineStr">
        <is>
          <t>CHIAPPA</t>
        </is>
      </c>
      <c r="H2659" s="65" t="inlineStr">
        <is>
          <t>RHINO MATCH MASTER 6''</t>
        </is>
      </c>
      <c r="I2659" s="65" t="inlineStr">
        <is>
          <t>CFIT24N02216</t>
        </is>
      </c>
      <c r="J2659" s="65" t="inlineStr">
        <is>
          <t>N/D</t>
        </is>
      </c>
      <c r="K2659" s="65" t="inlineStr">
        <is>
          <t>N/D</t>
        </is>
      </c>
      <c r="L2659" s="127" t="inlineStr">
        <is>
          <t>CHIAPPA FIREARMS SRL</t>
        </is>
      </c>
      <c r="M2659" s="5" t="n">
        <v>1399.5</v>
      </c>
      <c r="N2659" s="5" t="n"/>
      <c r="O2659" s="5">
        <f>+M2659+N2659</f>
        <v/>
      </c>
      <c r="P2659" s="4" t="n">
        <v>45931</v>
      </c>
      <c r="Q2659" s="87" t="n">
        <v>45931</v>
      </c>
      <c r="R2659" s="5" t="n">
        <v>2146</v>
      </c>
      <c r="S2659" s="2" t="n">
        <v>1</v>
      </c>
      <c r="T2659" s="3" t="inlineStr">
        <is>
          <t>6B/2025/5D</t>
        </is>
      </c>
      <c r="U2659" s="87" t="n">
        <v>45932</v>
      </c>
      <c r="V2659" s="3" t="inlineStr">
        <is>
          <t>30</t>
        </is>
      </c>
      <c r="W2659" s="108" t="n">
        <v>45932</v>
      </c>
      <c r="X2659" s="4" t="inlineStr">
        <is>
          <t xml:space="preserve">Bin Humaid National Trading Co </t>
        </is>
      </c>
    </row>
    <row r="2660" ht="24" customHeight="1">
      <c r="A2660" s="2">
        <f>+D2660-S2660</f>
        <v/>
      </c>
      <c r="B2660" s="80" t="n">
        <v>4252</v>
      </c>
      <c r="C2660" s="66" t="n">
        <v>45931</v>
      </c>
      <c r="D2660" s="2" t="n">
        <v>1</v>
      </c>
      <c r="E2660" s="3" t="inlineStr">
        <is>
          <t>REVOLVER</t>
        </is>
      </c>
      <c r="F2660" s="3" t="inlineStr">
        <is>
          <t>38SPECIAL</t>
        </is>
      </c>
      <c r="G2660" s="3" t="inlineStr">
        <is>
          <t>CHIAPPA</t>
        </is>
      </c>
      <c r="H2660" s="65" t="inlineStr">
        <is>
          <t>RHINO MATCH MASTER 6''</t>
        </is>
      </c>
      <c r="I2660" s="65" t="inlineStr">
        <is>
          <t>CFIT24N02217</t>
        </is>
      </c>
      <c r="J2660" s="65" t="inlineStr">
        <is>
          <t>N/D</t>
        </is>
      </c>
      <c r="K2660" s="65" t="inlineStr">
        <is>
          <t>N/D</t>
        </is>
      </c>
      <c r="L2660" s="127" t="inlineStr">
        <is>
          <t>CHIAPPA FIREARMS SRL</t>
        </is>
      </c>
      <c r="M2660" s="5" t="n">
        <v>1399.5</v>
      </c>
      <c r="N2660" s="5" t="n"/>
      <c r="O2660" s="5">
        <f>+M2660+N2660</f>
        <v/>
      </c>
      <c r="P2660" s="4" t="n">
        <v>45931</v>
      </c>
      <c r="Q2660" s="87" t="n">
        <v>45931</v>
      </c>
      <c r="R2660" s="5" t="n">
        <v>2146</v>
      </c>
      <c r="S2660" s="2" t="n">
        <v>1</v>
      </c>
      <c r="T2660" s="3" t="inlineStr">
        <is>
          <t>6B/2025/5D</t>
        </is>
      </c>
      <c r="U2660" s="87" t="n">
        <v>45932</v>
      </c>
      <c r="V2660" s="3" t="inlineStr">
        <is>
          <t>30</t>
        </is>
      </c>
      <c r="W2660" s="108" t="n">
        <v>45932</v>
      </c>
      <c r="X2660" s="4" t="inlineStr">
        <is>
          <t xml:space="preserve">Bin Humaid National Trading Co </t>
        </is>
      </c>
    </row>
    <row r="2661" ht="24" customHeight="1">
      <c r="A2661" s="2">
        <f>+D2661-S2661</f>
        <v/>
      </c>
      <c r="B2661" s="80" t="n">
        <v>4253</v>
      </c>
      <c r="C2661" s="66" t="n">
        <v>45931</v>
      </c>
      <c r="D2661" s="2" t="n">
        <v>1</v>
      </c>
      <c r="E2661" s="3" t="inlineStr">
        <is>
          <t>REVOLVER</t>
        </is>
      </c>
      <c r="F2661" s="3" t="inlineStr">
        <is>
          <t>38SPECIAL</t>
        </is>
      </c>
      <c r="G2661" s="3" t="inlineStr">
        <is>
          <t>CHIAPPA</t>
        </is>
      </c>
      <c r="H2661" s="65" t="inlineStr">
        <is>
          <t>RHINO MATCH MASTER 6''</t>
        </is>
      </c>
      <c r="I2661" s="65" t="inlineStr">
        <is>
          <t>CFIT24N02218</t>
        </is>
      </c>
      <c r="J2661" s="65" t="inlineStr">
        <is>
          <t>N/D</t>
        </is>
      </c>
      <c r="K2661" s="65" t="inlineStr">
        <is>
          <t>N/D</t>
        </is>
      </c>
      <c r="L2661" s="127" t="inlineStr">
        <is>
          <t>CHIAPPA FIREARMS SRL</t>
        </is>
      </c>
      <c r="M2661" s="5" t="n">
        <v>1399.5</v>
      </c>
      <c r="N2661" s="5" t="n"/>
      <c r="O2661" s="5">
        <f>+M2661+N2661</f>
        <v/>
      </c>
      <c r="P2661" s="4" t="n">
        <v>45931</v>
      </c>
      <c r="Q2661" s="87" t="n">
        <v>45931</v>
      </c>
      <c r="R2661" s="5" t="n">
        <v>2146</v>
      </c>
      <c r="S2661" s="2" t="n">
        <v>1</v>
      </c>
      <c r="T2661" s="3" t="inlineStr">
        <is>
          <t>6B/2025/5D</t>
        </is>
      </c>
      <c r="U2661" s="87" t="n">
        <v>45932</v>
      </c>
      <c r="V2661" s="3" t="inlineStr">
        <is>
          <t>30</t>
        </is>
      </c>
      <c r="W2661" s="108" t="n">
        <v>45932</v>
      </c>
      <c r="X2661" s="4" t="inlineStr">
        <is>
          <t xml:space="preserve">Bin Humaid National Trading Co </t>
        </is>
      </c>
    </row>
    <row r="2662" ht="24" customHeight="1">
      <c r="A2662" s="2">
        <f>+D2662-S2662</f>
        <v/>
      </c>
      <c r="B2662" s="80" t="n">
        <v>4254</v>
      </c>
      <c r="C2662" s="66" t="n">
        <v>45931</v>
      </c>
      <c r="D2662" s="2" t="n">
        <v>1</v>
      </c>
      <c r="E2662" s="3" t="inlineStr">
        <is>
          <t>REVOLVER</t>
        </is>
      </c>
      <c r="F2662" s="3" t="inlineStr">
        <is>
          <t>38SPECIAL</t>
        </is>
      </c>
      <c r="G2662" s="3" t="inlineStr">
        <is>
          <t>CHIAPPA</t>
        </is>
      </c>
      <c r="H2662" s="65" t="inlineStr">
        <is>
          <t>RHINO MATCH MASTER 6''</t>
        </is>
      </c>
      <c r="I2662" s="65" t="inlineStr">
        <is>
          <t>CFIT24N02219</t>
        </is>
      </c>
      <c r="J2662" s="65" t="inlineStr">
        <is>
          <t>N/D</t>
        </is>
      </c>
      <c r="K2662" s="65" t="inlineStr">
        <is>
          <t>N/D</t>
        </is>
      </c>
      <c r="L2662" s="127" t="inlineStr">
        <is>
          <t>CHIAPPA FIREARMS SRL</t>
        </is>
      </c>
      <c r="M2662" s="5" t="n">
        <v>1399.5</v>
      </c>
      <c r="N2662" s="5" t="n"/>
      <c r="O2662" s="5">
        <f>+M2662+N2662</f>
        <v/>
      </c>
      <c r="P2662" s="4" t="n">
        <v>45931</v>
      </c>
      <c r="Q2662" s="87" t="n">
        <v>45931</v>
      </c>
      <c r="R2662" s="5" t="n">
        <v>2146</v>
      </c>
      <c r="S2662" s="2" t="n">
        <v>1</v>
      </c>
      <c r="T2662" s="3" t="inlineStr">
        <is>
          <t>6B/2025/5D</t>
        </is>
      </c>
      <c r="U2662" s="87" t="n">
        <v>45932</v>
      </c>
      <c r="V2662" s="3" t="inlineStr">
        <is>
          <t>30</t>
        </is>
      </c>
      <c r="W2662" s="108" t="n">
        <v>45932</v>
      </c>
      <c r="X2662" s="4" t="inlineStr">
        <is>
          <t xml:space="preserve">Bin Humaid National Trading Co </t>
        </is>
      </c>
    </row>
    <row r="2663" ht="24" customHeight="1">
      <c r="A2663" s="2">
        <f>+D2663-S2663</f>
        <v/>
      </c>
      <c r="B2663" s="80" t="n">
        <v>4255</v>
      </c>
      <c r="C2663" s="66" t="n">
        <v>45931</v>
      </c>
      <c r="D2663" s="2" t="n">
        <v>1</v>
      </c>
      <c r="E2663" s="3" t="inlineStr">
        <is>
          <t>REVOLVER</t>
        </is>
      </c>
      <c r="F2663" s="3" t="inlineStr">
        <is>
          <t>38SPECIAL</t>
        </is>
      </c>
      <c r="G2663" s="3" t="inlineStr">
        <is>
          <t>CHIAPPA</t>
        </is>
      </c>
      <c r="H2663" s="65" t="inlineStr">
        <is>
          <t>RHINO 40 DS 4''</t>
        </is>
      </c>
      <c r="I2663" s="65" t="inlineStr">
        <is>
          <t>CFIT25R13036</t>
        </is>
      </c>
      <c r="J2663" s="65" t="inlineStr">
        <is>
          <t>N/D</t>
        </is>
      </c>
      <c r="K2663" s="65" t="inlineStr">
        <is>
          <t>N/D</t>
        </is>
      </c>
      <c r="L2663" s="127" t="inlineStr">
        <is>
          <t>CHIAPPA FIREARMS SRL</t>
        </is>
      </c>
      <c r="M2663" s="5" t="n">
        <v>579</v>
      </c>
      <c r="N2663" s="5" t="n"/>
      <c r="O2663" s="5">
        <f>+M2663+N2663</f>
        <v/>
      </c>
      <c r="P2663" s="4" t="n">
        <v>45931</v>
      </c>
      <c r="Q2663" s="87" t="n">
        <v>45931</v>
      </c>
      <c r="R2663" s="5" t="n">
        <v>887.8</v>
      </c>
      <c r="S2663" s="2" t="n">
        <v>1</v>
      </c>
      <c r="T2663" s="3" t="inlineStr">
        <is>
          <t>6B/2025/5D</t>
        </is>
      </c>
      <c r="U2663" s="87" t="n">
        <v>45932</v>
      </c>
      <c r="V2663" s="3" t="inlineStr">
        <is>
          <t>30</t>
        </is>
      </c>
      <c r="W2663" s="108" t="n">
        <v>45932</v>
      </c>
      <c r="X2663" s="4" t="inlineStr">
        <is>
          <t xml:space="preserve">Bin Humaid National Trading Co </t>
        </is>
      </c>
    </row>
    <row r="2664" ht="24" customHeight="1">
      <c r="A2664" s="2">
        <f>+D2664-S2664</f>
        <v/>
      </c>
      <c r="B2664" s="80" t="n">
        <v>4256</v>
      </c>
      <c r="C2664" s="66" t="n">
        <v>45931</v>
      </c>
      <c r="D2664" s="2" t="n">
        <v>1</v>
      </c>
      <c r="E2664" s="3" t="inlineStr">
        <is>
          <t>REVOLVER</t>
        </is>
      </c>
      <c r="F2664" s="3" t="inlineStr">
        <is>
          <t>38SPECIAL</t>
        </is>
      </c>
      <c r="G2664" s="3" t="inlineStr">
        <is>
          <t>CHIAPPA</t>
        </is>
      </c>
      <c r="H2664" s="65" t="inlineStr">
        <is>
          <t>RHINO 40 DS 4''</t>
        </is>
      </c>
      <c r="I2664" s="65" t="inlineStr">
        <is>
          <t>CFIT25R13037</t>
        </is>
      </c>
      <c r="J2664" s="65" t="inlineStr">
        <is>
          <t>N/D</t>
        </is>
      </c>
      <c r="K2664" s="65" t="inlineStr">
        <is>
          <t>N/D</t>
        </is>
      </c>
      <c r="L2664" s="127" t="inlineStr">
        <is>
          <t>CHIAPPA FIREARMS SRL</t>
        </is>
      </c>
      <c r="M2664" s="5" t="n">
        <v>579</v>
      </c>
      <c r="N2664" s="5" t="n"/>
      <c r="O2664" s="5">
        <f>+M2664+N2664</f>
        <v/>
      </c>
      <c r="P2664" s="4" t="n">
        <v>45931</v>
      </c>
      <c r="Q2664" s="87" t="n">
        <v>45931</v>
      </c>
      <c r="R2664" s="5" t="n">
        <v>887.8</v>
      </c>
      <c r="S2664" s="2" t="n">
        <v>1</v>
      </c>
      <c r="T2664" s="3" t="inlineStr">
        <is>
          <t>6B/2025/5D</t>
        </is>
      </c>
      <c r="U2664" s="87" t="n">
        <v>45932</v>
      </c>
      <c r="V2664" s="3" t="inlineStr">
        <is>
          <t>30</t>
        </is>
      </c>
      <c r="W2664" s="108" t="n">
        <v>45932</v>
      </c>
      <c r="X2664" s="4" t="inlineStr">
        <is>
          <t xml:space="preserve">Bin Humaid National Trading Co </t>
        </is>
      </c>
    </row>
    <row r="2665" ht="24" customHeight="1">
      <c r="A2665" s="2">
        <f>+D2665-S2665</f>
        <v/>
      </c>
      <c r="B2665" s="80" t="n">
        <v>4257</v>
      </c>
      <c r="C2665" s="66" t="n">
        <v>45931</v>
      </c>
      <c r="D2665" s="2" t="n">
        <v>1</v>
      </c>
      <c r="E2665" s="3" t="inlineStr">
        <is>
          <t>REVOLVER</t>
        </is>
      </c>
      <c r="F2665" s="3" t="inlineStr">
        <is>
          <t>38SPECIAL</t>
        </is>
      </c>
      <c r="G2665" s="3" t="inlineStr">
        <is>
          <t>CHIAPPA</t>
        </is>
      </c>
      <c r="H2665" s="65" t="inlineStr">
        <is>
          <t>RHINO 40 DS 4''</t>
        </is>
      </c>
      <c r="I2665" s="65" t="inlineStr">
        <is>
          <t>CFIT25R13038</t>
        </is>
      </c>
      <c r="J2665" s="65" t="inlineStr">
        <is>
          <t>N/D</t>
        </is>
      </c>
      <c r="K2665" s="65" t="inlineStr">
        <is>
          <t>N/D</t>
        </is>
      </c>
      <c r="L2665" s="127" t="inlineStr">
        <is>
          <t>CHIAPPA FIREARMS SRL</t>
        </is>
      </c>
      <c r="M2665" s="5" t="n">
        <v>579</v>
      </c>
      <c r="N2665" s="5" t="n"/>
      <c r="O2665" s="5">
        <f>+M2665+N2665</f>
        <v/>
      </c>
      <c r="P2665" s="4" t="n">
        <v>45931</v>
      </c>
      <c r="Q2665" s="87" t="n">
        <v>45931</v>
      </c>
      <c r="R2665" s="5" t="n">
        <v>887.8</v>
      </c>
      <c r="S2665" s="2" t="n">
        <v>1</v>
      </c>
      <c r="T2665" s="3" t="inlineStr">
        <is>
          <t>6B/2025/5D</t>
        </is>
      </c>
      <c r="U2665" s="87" t="n">
        <v>45932</v>
      </c>
      <c r="V2665" s="3" t="inlineStr">
        <is>
          <t>30</t>
        </is>
      </c>
      <c r="W2665" s="108" t="n">
        <v>45932</v>
      </c>
      <c r="X2665" s="4" t="inlineStr">
        <is>
          <t xml:space="preserve">Bin Humaid National Trading Co </t>
        </is>
      </c>
    </row>
    <row r="2666" ht="24" customHeight="1">
      <c r="A2666" s="2">
        <f>+D2666-S2666</f>
        <v/>
      </c>
      <c r="B2666" s="80" t="n">
        <v>4258</v>
      </c>
      <c r="C2666" s="66" t="n">
        <v>45931</v>
      </c>
      <c r="D2666" s="2" t="n">
        <v>1</v>
      </c>
      <c r="E2666" s="3" t="inlineStr">
        <is>
          <t>REVOLVER</t>
        </is>
      </c>
      <c r="F2666" s="3" t="inlineStr">
        <is>
          <t>38SPECIAL</t>
        </is>
      </c>
      <c r="G2666" s="3" t="inlineStr">
        <is>
          <t>CHIAPPA</t>
        </is>
      </c>
      <c r="H2666" s="65" t="inlineStr">
        <is>
          <t>RHINO 40 DS 4''</t>
        </is>
      </c>
      <c r="I2666" s="65" t="inlineStr">
        <is>
          <t>CFIT25R13039</t>
        </is>
      </c>
      <c r="J2666" s="65" t="inlineStr">
        <is>
          <t>N/D</t>
        </is>
      </c>
      <c r="K2666" s="65" t="inlineStr">
        <is>
          <t>N/D</t>
        </is>
      </c>
      <c r="L2666" s="127" t="inlineStr">
        <is>
          <t>CHIAPPA FIREARMS SRL</t>
        </is>
      </c>
      <c r="M2666" s="5" t="n">
        <v>579</v>
      </c>
      <c r="N2666" s="5" t="n"/>
      <c r="O2666" s="5">
        <f>+M2666+N2666</f>
        <v/>
      </c>
      <c r="P2666" s="4" t="n">
        <v>45931</v>
      </c>
      <c r="Q2666" s="87" t="n">
        <v>45931</v>
      </c>
      <c r="R2666" s="5" t="n">
        <v>887.8</v>
      </c>
      <c r="S2666" s="2" t="n">
        <v>1</v>
      </c>
      <c r="T2666" s="3" t="inlineStr">
        <is>
          <t>6B/2025/5D</t>
        </is>
      </c>
      <c r="U2666" s="87" t="n">
        <v>45932</v>
      </c>
      <c r="V2666" s="3" t="inlineStr">
        <is>
          <t>30</t>
        </is>
      </c>
      <c r="W2666" s="108" t="n">
        <v>45932</v>
      </c>
      <c r="X2666" s="4" t="inlineStr">
        <is>
          <t xml:space="preserve">Bin Humaid National Trading Co </t>
        </is>
      </c>
    </row>
    <row r="2667" ht="24" customHeight="1">
      <c r="A2667" s="2">
        <f>+D2667-S2667</f>
        <v/>
      </c>
      <c r="B2667" s="80" t="n">
        <v>4259</v>
      </c>
      <c r="C2667" s="66" t="n">
        <v>45931</v>
      </c>
      <c r="D2667" s="2" t="n">
        <v>1</v>
      </c>
      <c r="E2667" s="3" t="inlineStr">
        <is>
          <t>REVOLVER</t>
        </is>
      </c>
      <c r="F2667" s="3" t="inlineStr">
        <is>
          <t>38SPECIAL</t>
        </is>
      </c>
      <c r="G2667" s="3" t="inlineStr">
        <is>
          <t>CHIAPPA</t>
        </is>
      </c>
      <c r="H2667" s="65" t="inlineStr">
        <is>
          <t>RHINO 40 DS 4''</t>
        </is>
      </c>
      <c r="I2667" s="65" t="inlineStr">
        <is>
          <t>CFIT25R13040</t>
        </is>
      </c>
      <c r="J2667" s="65" t="inlineStr">
        <is>
          <t>N/D</t>
        </is>
      </c>
      <c r="K2667" s="65" t="inlineStr">
        <is>
          <t>N/D</t>
        </is>
      </c>
      <c r="L2667" s="127" t="inlineStr">
        <is>
          <t>CHIAPPA FIREARMS SRL</t>
        </is>
      </c>
      <c r="M2667" s="5" t="n">
        <v>579</v>
      </c>
      <c r="N2667" s="5" t="n"/>
      <c r="O2667" s="5">
        <f>+M2667+N2667</f>
        <v/>
      </c>
      <c r="P2667" s="4" t="n">
        <v>45931</v>
      </c>
      <c r="Q2667" s="87" t="n">
        <v>45931</v>
      </c>
      <c r="R2667" s="5" t="n">
        <v>887.8</v>
      </c>
      <c r="S2667" s="2" t="n">
        <v>1</v>
      </c>
      <c r="T2667" s="3" t="inlineStr">
        <is>
          <t>6B/2025/5D</t>
        </is>
      </c>
      <c r="U2667" s="87" t="n">
        <v>45932</v>
      </c>
      <c r="V2667" s="3" t="inlineStr">
        <is>
          <t>30</t>
        </is>
      </c>
      <c r="W2667" s="108" t="n">
        <v>45932</v>
      </c>
      <c r="X2667" s="4" t="inlineStr">
        <is>
          <t xml:space="preserve">Bin Humaid National Trading Co </t>
        </is>
      </c>
    </row>
    <row r="2668" ht="24" customHeight="1">
      <c r="A2668" s="2">
        <f>+D2668-S2668</f>
        <v/>
      </c>
      <c r="B2668" s="80" t="n">
        <v>4260</v>
      </c>
      <c r="C2668" s="66" t="n">
        <v>45931</v>
      </c>
      <c r="D2668" s="2" t="n">
        <v>1</v>
      </c>
      <c r="E2668" s="3" t="inlineStr">
        <is>
          <t>REVOLVER</t>
        </is>
      </c>
      <c r="F2668" s="3" t="inlineStr">
        <is>
          <t>38SPECIAL</t>
        </is>
      </c>
      <c r="G2668" s="3" t="inlineStr">
        <is>
          <t>CHIAPPA</t>
        </is>
      </c>
      <c r="H2668" s="65" t="inlineStr">
        <is>
          <t>RHINO 40 DS 4''</t>
        </is>
      </c>
      <c r="I2668" s="65" t="inlineStr">
        <is>
          <t>CFIT25R13041</t>
        </is>
      </c>
      <c r="J2668" s="65" t="inlineStr">
        <is>
          <t>N/D</t>
        </is>
      </c>
      <c r="K2668" s="65" t="inlineStr">
        <is>
          <t>N/D</t>
        </is>
      </c>
      <c r="L2668" s="127" t="inlineStr">
        <is>
          <t>CHIAPPA FIREARMS SRL</t>
        </is>
      </c>
      <c r="M2668" s="5" t="n">
        <v>579</v>
      </c>
      <c r="N2668" s="5" t="n"/>
      <c r="O2668" s="5">
        <f>+M2668+N2668</f>
        <v/>
      </c>
      <c r="P2668" s="4" t="n">
        <v>45931</v>
      </c>
      <c r="Q2668" s="87" t="n">
        <v>45931</v>
      </c>
      <c r="R2668" s="5" t="n">
        <v>887.8</v>
      </c>
      <c r="S2668" s="2" t="n">
        <v>1</v>
      </c>
      <c r="T2668" s="3" t="inlineStr">
        <is>
          <t>6B/2025/5D</t>
        </is>
      </c>
      <c r="U2668" s="87" t="n">
        <v>45932</v>
      </c>
      <c r="V2668" s="3" t="inlineStr">
        <is>
          <t>30</t>
        </is>
      </c>
      <c r="W2668" s="108" t="n">
        <v>45932</v>
      </c>
      <c r="X2668" s="4" t="inlineStr">
        <is>
          <t xml:space="preserve">Bin Humaid National Trading Co </t>
        </is>
      </c>
    </row>
    <row r="2669" ht="24" customHeight="1">
      <c r="A2669" s="2">
        <f>+D2669-S2669</f>
        <v/>
      </c>
      <c r="B2669" s="80" t="n">
        <v>4261</v>
      </c>
      <c r="C2669" s="66" t="n">
        <v>45931</v>
      </c>
      <c r="D2669" s="2" t="n">
        <v>1</v>
      </c>
      <c r="E2669" s="3" t="inlineStr">
        <is>
          <t>REVOLVER</t>
        </is>
      </c>
      <c r="F2669" s="3" t="inlineStr">
        <is>
          <t>38SPECIAL</t>
        </is>
      </c>
      <c r="G2669" s="3" t="inlineStr">
        <is>
          <t>CHIAPPA</t>
        </is>
      </c>
      <c r="H2669" s="65" t="inlineStr">
        <is>
          <t>RHINO 40 DS 4''</t>
        </is>
      </c>
      <c r="I2669" s="65" t="inlineStr">
        <is>
          <t>CFIT25R13042</t>
        </is>
      </c>
      <c r="J2669" s="65" t="inlineStr">
        <is>
          <t>N/D</t>
        </is>
      </c>
      <c r="K2669" s="65" t="inlineStr">
        <is>
          <t>N/D</t>
        </is>
      </c>
      <c r="L2669" s="127" t="inlineStr">
        <is>
          <t>CHIAPPA FIREARMS SRL</t>
        </is>
      </c>
      <c r="M2669" s="5" t="n">
        <v>579</v>
      </c>
      <c r="N2669" s="5" t="n"/>
      <c r="O2669" s="5">
        <f>+M2669+N2669</f>
        <v/>
      </c>
      <c r="P2669" s="4" t="n">
        <v>45931</v>
      </c>
      <c r="Q2669" s="87" t="n">
        <v>45931</v>
      </c>
      <c r="R2669" s="5" t="n">
        <v>887.8</v>
      </c>
      <c r="S2669" s="2" t="n">
        <v>1</v>
      </c>
      <c r="T2669" s="3" t="inlineStr">
        <is>
          <t>6B/2025/5D</t>
        </is>
      </c>
      <c r="U2669" s="87" t="n">
        <v>45932</v>
      </c>
      <c r="V2669" s="3" t="inlineStr">
        <is>
          <t>30</t>
        </is>
      </c>
      <c r="W2669" s="108" t="n">
        <v>45932</v>
      </c>
      <c r="X2669" s="4" t="inlineStr">
        <is>
          <t xml:space="preserve">Bin Humaid National Trading Co </t>
        </is>
      </c>
    </row>
    <row r="2670" ht="24" customHeight="1">
      <c r="A2670" s="2">
        <f>+D2670-S2670</f>
        <v/>
      </c>
      <c r="B2670" s="80" t="n">
        <v>4262</v>
      </c>
      <c r="C2670" s="66" t="n">
        <v>45931</v>
      </c>
      <c r="D2670" s="2" t="n">
        <v>1</v>
      </c>
      <c r="E2670" s="3" t="inlineStr">
        <is>
          <t>REVOLVER</t>
        </is>
      </c>
      <c r="F2670" s="3" t="inlineStr">
        <is>
          <t>38SPECIAL</t>
        </is>
      </c>
      <c r="G2670" s="3" t="inlineStr">
        <is>
          <t>CHIAPPA</t>
        </is>
      </c>
      <c r="H2670" s="65" t="inlineStr">
        <is>
          <t>RHINO 40 DS 4''</t>
        </is>
      </c>
      <c r="I2670" s="65" t="inlineStr">
        <is>
          <t>CFIT25R13043</t>
        </is>
      </c>
      <c r="J2670" s="65" t="inlineStr">
        <is>
          <t>N/D</t>
        </is>
      </c>
      <c r="K2670" s="65" t="inlineStr">
        <is>
          <t>N/D</t>
        </is>
      </c>
      <c r="L2670" s="127" t="inlineStr">
        <is>
          <t>CHIAPPA FIREARMS SRL</t>
        </is>
      </c>
      <c r="M2670" s="5" t="n">
        <v>579</v>
      </c>
      <c r="N2670" s="5" t="n"/>
      <c r="O2670" s="5">
        <f>+M2670+N2670</f>
        <v/>
      </c>
      <c r="P2670" s="4" t="n">
        <v>45931</v>
      </c>
      <c r="Q2670" s="87" t="n">
        <v>45931</v>
      </c>
      <c r="R2670" s="5" t="n">
        <v>887.8</v>
      </c>
      <c r="S2670" s="2" t="n">
        <v>1</v>
      </c>
      <c r="T2670" s="3" t="inlineStr">
        <is>
          <t>6B/2025/5D</t>
        </is>
      </c>
      <c r="U2670" s="87" t="n">
        <v>45932</v>
      </c>
      <c r="V2670" s="3" t="inlineStr">
        <is>
          <t>30</t>
        </is>
      </c>
      <c r="W2670" s="108" t="n">
        <v>45932</v>
      </c>
      <c r="X2670" s="4" t="inlineStr">
        <is>
          <t xml:space="preserve">Bin Humaid National Trading Co </t>
        </is>
      </c>
    </row>
    <row r="2671" ht="24" customHeight="1">
      <c r="A2671" s="2">
        <f>+D2671-S2671</f>
        <v/>
      </c>
      <c r="B2671" s="80" t="n">
        <v>4263</v>
      </c>
      <c r="C2671" s="66" t="n">
        <v>45931</v>
      </c>
      <c r="D2671" s="2" t="n">
        <v>1</v>
      </c>
      <c r="E2671" s="3" t="inlineStr">
        <is>
          <t>REVOLVER</t>
        </is>
      </c>
      <c r="F2671" s="3" t="inlineStr">
        <is>
          <t>38SPECIAL</t>
        </is>
      </c>
      <c r="G2671" s="3" t="inlineStr">
        <is>
          <t>CHIAPPA</t>
        </is>
      </c>
      <c r="H2671" s="65" t="inlineStr">
        <is>
          <t>RHINO 40 DS 4''</t>
        </is>
      </c>
      <c r="I2671" s="65" t="inlineStr">
        <is>
          <t>CFIT25R13044</t>
        </is>
      </c>
      <c r="J2671" s="65" t="inlineStr">
        <is>
          <t>N/D</t>
        </is>
      </c>
      <c r="K2671" s="65" t="inlineStr">
        <is>
          <t>N/D</t>
        </is>
      </c>
      <c r="L2671" s="127" t="inlineStr">
        <is>
          <t>CHIAPPA FIREARMS SRL</t>
        </is>
      </c>
      <c r="M2671" s="5" t="n">
        <v>579</v>
      </c>
      <c r="N2671" s="5" t="n"/>
      <c r="O2671" s="5">
        <f>+M2671+N2671</f>
        <v/>
      </c>
      <c r="P2671" s="4" t="n">
        <v>45931</v>
      </c>
      <c r="Q2671" s="87" t="n">
        <v>45931</v>
      </c>
      <c r="R2671" s="5" t="n">
        <v>887.8</v>
      </c>
      <c r="S2671" s="2" t="n">
        <v>1</v>
      </c>
      <c r="T2671" s="3" t="inlineStr">
        <is>
          <t>6B/2025/5D</t>
        </is>
      </c>
      <c r="U2671" s="87" t="n">
        <v>45932</v>
      </c>
      <c r="V2671" s="3" t="inlineStr">
        <is>
          <t>30</t>
        </is>
      </c>
      <c r="W2671" s="108" t="n">
        <v>45932</v>
      </c>
      <c r="X2671" s="4" t="inlineStr">
        <is>
          <t xml:space="preserve">Bin Humaid National Trading Co </t>
        </is>
      </c>
    </row>
    <row r="2672" ht="24" customHeight="1">
      <c r="A2672" s="2">
        <f>+D2672-S2672</f>
        <v/>
      </c>
      <c r="B2672" s="80" t="n">
        <v>4264</v>
      </c>
      <c r="C2672" s="66" t="n">
        <v>45931</v>
      </c>
      <c r="D2672" s="2" t="n">
        <v>1</v>
      </c>
      <c r="E2672" s="3" t="inlineStr">
        <is>
          <t>REVOLVER</t>
        </is>
      </c>
      <c r="F2672" s="3" t="inlineStr">
        <is>
          <t>38SPECIAL</t>
        </is>
      </c>
      <c r="G2672" s="3" t="inlineStr">
        <is>
          <t>CHIAPPA</t>
        </is>
      </c>
      <c r="H2672" s="65" t="inlineStr">
        <is>
          <t>RHINO 40 DS 4''</t>
        </is>
      </c>
      <c r="I2672" s="65" t="inlineStr">
        <is>
          <t>CFIT25R13045</t>
        </is>
      </c>
      <c r="J2672" s="65" t="inlineStr">
        <is>
          <t>N/D</t>
        </is>
      </c>
      <c r="K2672" s="65" t="inlineStr">
        <is>
          <t>N/D</t>
        </is>
      </c>
      <c r="L2672" s="127" t="inlineStr">
        <is>
          <t>CHIAPPA FIREARMS SRL</t>
        </is>
      </c>
      <c r="M2672" s="5" t="n">
        <v>579</v>
      </c>
      <c r="N2672" s="5" t="n"/>
      <c r="O2672" s="5">
        <f>+M2672+N2672</f>
        <v/>
      </c>
      <c r="P2672" s="4" t="n">
        <v>45931</v>
      </c>
      <c r="Q2672" s="87" t="n">
        <v>45931</v>
      </c>
      <c r="R2672" s="5" t="n">
        <v>887.8</v>
      </c>
      <c r="S2672" s="2" t="n">
        <v>1</v>
      </c>
      <c r="T2672" s="3" t="inlineStr">
        <is>
          <t>6B/2025/5D</t>
        </is>
      </c>
      <c r="U2672" s="87" t="n">
        <v>45932</v>
      </c>
      <c r="V2672" s="3" t="inlineStr">
        <is>
          <t>30</t>
        </is>
      </c>
      <c r="W2672" s="108" t="n">
        <v>45932</v>
      </c>
      <c r="X2672" s="4" t="inlineStr">
        <is>
          <t xml:space="preserve">Bin Humaid National Trading Co </t>
        </is>
      </c>
    </row>
    <row r="2673" ht="24" customHeight="1">
      <c r="A2673" s="2">
        <f>+D2673-S2673</f>
        <v/>
      </c>
      <c r="B2673" s="80" t="n">
        <v>4265</v>
      </c>
      <c r="C2673" s="66" t="n">
        <v>45931</v>
      </c>
      <c r="D2673" s="2" t="n">
        <v>1</v>
      </c>
      <c r="E2673" s="3" t="inlineStr">
        <is>
          <t>REVOLVER</t>
        </is>
      </c>
      <c r="F2673" s="3" t="inlineStr">
        <is>
          <t>38SPECIAL</t>
        </is>
      </c>
      <c r="G2673" s="3" t="inlineStr">
        <is>
          <t>CHIAPPA</t>
        </is>
      </c>
      <c r="H2673" s="65" t="inlineStr">
        <is>
          <t>RHINO 50 DS 5''</t>
        </is>
      </c>
      <c r="I2673" s="65" t="inlineStr">
        <is>
          <t>CFIT25R13046</t>
        </is>
      </c>
      <c r="J2673" s="65" t="inlineStr">
        <is>
          <t>N/D</t>
        </is>
      </c>
      <c r="K2673" s="65" t="inlineStr">
        <is>
          <t>N/D</t>
        </is>
      </c>
      <c r="L2673" s="127" t="inlineStr">
        <is>
          <t>CHIAPPA FIREARMS SRL</t>
        </is>
      </c>
      <c r="M2673" s="5" t="n">
        <v>625.5</v>
      </c>
      <c r="N2673" s="5" t="n"/>
      <c r="O2673" s="5">
        <f>+M2673+N2673</f>
        <v/>
      </c>
      <c r="P2673" s="4" t="n">
        <v>45931</v>
      </c>
      <c r="Q2673" s="87" t="n">
        <v>45931</v>
      </c>
      <c r="R2673" s="5" t="n">
        <v>1240</v>
      </c>
      <c r="S2673" s="2" t="n">
        <v>1</v>
      </c>
      <c r="T2673" s="3" t="inlineStr">
        <is>
          <t>6B/2025/5D</t>
        </is>
      </c>
      <c r="U2673" s="87" t="n">
        <v>45932</v>
      </c>
      <c r="V2673" s="3" t="inlineStr">
        <is>
          <t>30</t>
        </is>
      </c>
      <c r="W2673" s="108" t="n">
        <v>45932</v>
      </c>
      <c r="X2673" s="4" t="inlineStr">
        <is>
          <t xml:space="preserve">Bin Humaid National Trading Co </t>
        </is>
      </c>
    </row>
    <row r="2674" ht="24" customHeight="1">
      <c r="A2674" s="2">
        <f>+D2674-S2674</f>
        <v/>
      </c>
      <c r="B2674" s="80" t="n">
        <v>4266</v>
      </c>
      <c r="C2674" s="66" t="n">
        <v>45931</v>
      </c>
      <c r="D2674" s="2" t="n">
        <v>1</v>
      </c>
      <c r="E2674" s="3" t="inlineStr">
        <is>
          <t>REVOLVER</t>
        </is>
      </c>
      <c r="F2674" s="3" t="inlineStr">
        <is>
          <t>38SPECIAL</t>
        </is>
      </c>
      <c r="G2674" s="3" t="inlineStr">
        <is>
          <t>CHIAPPA</t>
        </is>
      </c>
      <c r="H2674" s="65" t="inlineStr">
        <is>
          <t>RHINO 50 DS 5''</t>
        </is>
      </c>
      <c r="I2674" s="65" t="inlineStr">
        <is>
          <t>CFIT25R13047</t>
        </is>
      </c>
      <c r="J2674" s="65" t="inlineStr">
        <is>
          <t>N/D</t>
        </is>
      </c>
      <c r="K2674" s="65" t="inlineStr">
        <is>
          <t>N/D</t>
        </is>
      </c>
      <c r="L2674" s="127" t="inlineStr">
        <is>
          <t>CHIAPPA FIREARMS SRL</t>
        </is>
      </c>
      <c r="M2674" s="5" t="n">
        <v>625.5</v>
      </c>
      <c r="N2674" s="5" t="n"/>
      <c r="O2674" s="5">
        <f>+M2674+N2674</f>
        <v/>
      </c>
      <c r="P2674" s="4" t="n">
        <v>45931</v>
      </c>
      <c r="Q2674" s="87" t="n">
        <v>45931</v>
      </c>
      <c r="R2674" s="5" t="n">
        <v>1240</v>
      </c>
      <c r="S2674" s="2" t="n">
        <v>1</v>
      </c>
      <c r="T2674" s="3" t="inlineStr">
        <is>
          <t>6B/2025/5D</t>
        </is>
      </c>
      <c r="U2674" s="87" t="n">
        <v>45932</v>
      </c>
      <c r="V2674" s="3" t="inlineStr">
        <is>
          <t>30</t>
        </is>
      </c>
      <c r="W2674" s="108" t="n">
        <v>45932</v>
      </c>
      <c r="X2674" s="4" t="inlineStr">
        <is>
          <t xml:space="preserve">Bin Humaid National Trading Co </t>
        </is>
      </c>
    </row>
    <row r="2675" ht="24" customHeight="1">
      <c r="A2675" s="2">
        <f>+D2675-S2675</f>
        <v/>
      </c>
      <c r="B2675" s="80" t="n">
        <v>4267</v>
      </c>
      <c r="C2675" s="66" t="n">
        <v>45931</v>
      </c>
      <c r="D2675" s="2" t="n">
        <v>1</v>
      </c>
      <c r="E2675" s="3" t="inlineStr">
        <is>
          <t>REVOLVER</t>
        </is>
      </c>
      <c r="F2675" s="3" t="inlineStr">
        <is>
          <t>38SPECIAL</t>
        </is>
      </c>
      <c r="G2675" s="3" t="inlineStr">
        <is>
          <t>CHIAPPA</t>
        </is>
      </c>
      <c r="H2675" s="65" t="inlineStr">
        <is>
          <t>RHINO 50 DS 5''</t>
        </is>
      </c>
      <c r="I2675" s="65" t="inlineStr">
        <is>
          <t>CFIT25R13048</t>
        </is>
      </c>
      <c r="J2675" s="65" t="inlineStr">
        <is>
          <t>N/D</t>
        </is>
      </c>
      <c r="K2675" s="65" t="inlineStr">
        <is>
          <t>N/D</t>
        </is>
      </c>
      <c r="L2675" s="127" t="inlineStr">
        <is>
          <t>CHIAPPA FIREARMS SRL</t>
        </is>
      </c>
      <c r="M2675" s="5" t="n">
        <v>625.5</v>
      </c>
      <c r="N2675" s="5" t="n"/>
      <c r="O2675" s="5">
        <f>+M2675+N2675</f>
        <v/>
      </c>
      <c r="P2675" s="4" t="n">
        <v>45931</v>
      </c>
      <c r="Q2675" s="87" t="n">
        <v>45931</v>
      </c>
      <c r="R2675" s="5" t="n">
        <v>1240</v>
      </c>
      <c r="S2675" s="2" t="n">
        <v>1</v>
      </c>
      <c r="T2675" s="3" t="inlineStr">
        <is>
          <t>6B/2025/5D</t>
        </is>
      </c>
      <c r="U2675" s="87" t="n">
        <v>45932</v>
      </c>
      <c r="V2675" s="3" t="inlineStr">
        <is>
          <t>30</t>
        </is>
      </c>
      <c r="W2675" s="108" t="n">
        <v>45932</v>
      </c>
      <c r="X2675" s="4" t="inlineStr">
        <is>
          <t xml:space="preserve">Bin Humaid National Trading Co </t>
        </is>
      </c>
    </row>
    <row r="2676" ht="24" customHeight="1">
      <c r="A2676" s="2">
        <f>+D2676-S2676</f>
        <v/>
      </c>
      <c r="B2676" s="80" t="n">
        <v>4268</v>
      </c>
      <c r="C2676" s="66" t="n">
        <v>45931</v>
      </c>
      <c r="D2676" s="2" t="n">
        <v>1</v>
      </c>
      <c r="E2676" s="3" t="inlineStr">
        <is>
          <t>REVOLVER</t>
        </is>
      </c>
      <c r="F2676" s="3" t="inlineStr">
        <is>
          <t>38SPECIAL</t>
        </is>
      </c>
      <c r="G2676" s="3" t="inlineStr">
        <is>
          <t>CHIAPPA</t>
        </is>
      </c>
      <c r="H2676" s="65" t="inlineStr">
        <is>
          <t>RHINO 50 DS 5''</t>
        </is>
      </c>
      <c r="I2676" s="65" t="inlineStr">
        <is>
          <t>CFIT25R13049</t>
        </is>
      </c>
      <c r="J2676" s="65" t="inlineStr">
        <is>
          <t>N/D</t>
        </is>
      </c>
      <c r="K2676" s="65" t="inlineStr">
        <is>
          <t>N/D</t>
        </is>
      </c>
      <c r="L2676" s="127" t="inlineStr">
        <is>
          <t>CHIAPPA FIREARMS SRL</t>
        </is>
      </c>
      <c r="M2676" s="5" t="n">
        <v>625.5</v>
      </c>
      <c r="N2676" s="5" t="n"/>
      <c r="O2676" s="5">
        <f>+M2676+N2676</f>
        <v/>
      </c>
      <c r="P2676" s="4" t="n">
        <v>45931</v>
      </c>
      <c r="Q2676" s="87" t="n">
        <v>45931</v>
      </c>
      <c r="R2676" s="5" t="n">
        <v>1240</v>
      </c>
      <c r="S2676" s="2" t="n">
        <v>1</v>
      </c>
      <c r="T2676" s="3" t="inlineStr">
        <is>
          <t>6B/2025/5D</t>
        </is>
      </c>
      <c r="U2676" s="87" t="n">
        <v>45932</v>
      </c>
      <c r="V2676" s="3" t="inlineStr">
        <is>
          <t>30</t>
        </is>
      </c>
      <c r="W2676" s="108" t="n">
        <v>45932</v>
      </c>
      <c r="X2676" s="4" t="inlineStr">
        <is>
          <t xml:space="preserve">Bin Humaid National Trading Co </t>
        </is>
      </c>
    </row>
    <row r="2677" ht="24" customHeight="1">
      <c r="A2677" s="2">
        <f>+D2677-S2677</f>
        <v/>
      </c>
      <c r="B2677" s="80" t="n">
        <v>4269</v>
      </c>
      <c r="C2677" s="66" t="n">
        <v>45931</v>
      </c>
      <c r="D2677" s="2" t="n">
        <v>1</v>
      </c>
      <c r="E2677" s="3" t="inlineStr">
        <is>
          <t>REVOLVER</t>
        </is>
      </c>
      <c r="F2677" s="3" t="inlineStr">
        <is>
          <t>38SPECIAL</t>
        </is>
      </c>
      <c r="G2677" s="3" t="inlineStr">
        <is>
          <t>CHIAPPA</t>
        </is>
      </c>
      <c r="H2677" s="65" t="inlineStr">
        <is>
          <t>RHINO 50 DS 5''</t>
        </is>
      </c>
      <c r="I2677" s="65" t="inlineStr">
        <is>
          <t>CFIT25R13050</t>
        </is>
      </c>
      <c r="J2677" s="65" t="inlineStr">
        <is>
          <t>N/D</t>
        </is>
      </c>
      <c r="K2677" s="65" t="inlineStr">
        <is>
          <t>N/D</t>
        </is>
      </c>
      <c r="L2677" s="127" t="inlineStr">
        <is>
          <t>CHIAPPA FIREARMS SRL</t>
        </is>
      </c>
      <c r="M2677" s="5" t="n">
        <v>625.5</v>
      </c>
      <c r="N2677" s="5" t="n"/>
      <c r="O2677" s="5">
        <f>+M2677+N2677</f>
        <v/>
      </c>
      <c r="P2677" s="4" t="n">
        <v>45931</v>
      </c>
      <c r="Q2677" s="87" t="n">
        <v>45931</v>
      </c>
      <c r="R2677" s="5" t="n">
        <v>1240</v>
      </c>
      <c r="S2677" s="2" t="n">
        <v>1</v>
      </c>
      <c r="T2677" s="3" t="inlineStr">
        <is>
          <t>6B/2025/5D</t>
        </is>
      </c>
      <c r="U2677" s="87" t="n">
        <v>45932</v>
      </c>
      <c r="V2677" s="3" t="inlineStr">
        <is>
          <t>30</t>
        </is>
      </c>
      <c r="W2677" s="108" t="n">
        <v>45932</v>
      </c>
      <c r="X2677" s="4" t="inlineStr">
        <is>
          <t xml:space="preserve">Bin Humaid National Trading Co </t>
        </is>
      </c>
    </row>
    <row r="2678" ht="24" customHeight="1">
      <c r="A2678" s="2">
        <f>+D2678-S2678</f>
        <v/>
      </c>
      <c r="B2678" s="80" t="n">
        <v>4270</v>
      </c>
      <c r="C2678" s="66" t="n">
        <v>45931</v>
      </c>
      <c r="D2678" s="2" t="n">
        <v>1</v>
      </c>
      <c r="E2678" s="3" t="inlineStr">
        <is>
          <t>REVOLVER</t>
        </is>
      </c>
      <c r="F2678" s="3" t="inlineStr">
        <is>
          <t>38SPECIAL</t>
        </is>
      </c>
      <c r="G2678" s="3" t="inlineStr">
        <is>
          <t>CHIAPPA</t>
        </is>
      </c>
      <c r="H2678" s="65" t="inlineStr">
        <is>
          <t>RHINO 50 DS 5''</t>
        </is>
      </c>
      <c r="I2678" s="65" t="inlineStr">
        <is>
          <t>CFIT25R13051</t>
        </is>
      </c>
      <c r="J2678" s="65" t="inlineStr">
        <is>
          <t>N/D</t>
        </is>
      </c>
      <c r="K2678" s="65" t="inlineStr">
        <is>
          <t>N/D</t>
        </is>
      </c>
      <c r="L2678" s="127" t="inlineStr">
        <is>
          <t>CHIAPPA FIREARMS SRL</t>
        </is>
      </c>
      <c r="M2678" s="5" t="n">
        <v>625.5</v>
      </c>
      <c r="N2678" s="5" t="n"/>
      <c r="O2678" s="5">
        <f>+M2678+N2678</f>
        <v/>
      </c>
      <c r="P2678" s="4" t="n">
        <v>45931</v>
      </c>
      <c r="Q2678" s="87" t="n">
        <v>45931</v>
      </c>
      <c r="R2678" s="5" t="n">
        <v>1240</v>
      </c>
      <c r="S2678" s="2" t="n">
        <v>1</v>
      </c>
      <c r="T2678" s="3" t="inlineStr">
        <is>
          <t>6B/2025/5D</t>
        </is>
      </c>
      <c r="U2678" s="87" t="n">
        <v>45932</v>
      </c>
      <c r="V2678" s="3" t="inlineStr">
        <is>
          <t>30</t>
        </is>
      </c>
      <c r="W2678" s="108" t="n">
        <v>45932</v>
      </c>
      <c r="X2678" s="4" t="inlineStr">
        <is>
          <t xml:space="preserve">Bin Humaid National Trading Co </t>
        </is>
      </c>
    </row>
    <row r="2679" ht="24" customHeight="1">
      <c r="A2679" s="2">
        <f>+D2679-S2679</f>
        <v/>
      </c>
      <c r="B2679" s="80" t="n">
        <v>4271</v>
      </c>
      <c r="C2679" s="66" t="n">
        <v>45931</v>
      </c>
      <c r="D2679" s="2" t="n">
        <v>1</v>
      </c>
      <c r="E2679" s="3" t="inlineStr">
        <is>
          <t>REVOLVER</t>
        </is>
      </c>
      <c r="F2679" s="3" t="inlineStr">
        <is>
          <t>38SPECIAL</t>
        </is>
      </c>
      <c r="G2679" s="3" t="inlineStr">
        <is>
          <t>CHIAPPA</t>
        </is>
      </c>
      <c r="H2679" s="65" t="inlineStr">
        <is>
          <t>RHINO 50 DS 5''</t>
        </is>
      </c>
      <c r="I2679" s="65" t="inlineStr">
        <is>
          <t>CFIT25R13052</t>
        </is>
      </c>
      <c r="J2679" s="65" t="inlineStr">
        <is>
          <t>N/D</t>
        </is>
      </c>
      <c r="K2679" s="65" t="inlineStr">
        <is>
          <t>N/D</t>
        </is>
      </c>
      <c r="L2679" s="127" t="inlineStr">
        <is>
          <t>CHIAPPA FIREARMS SRL</t>
        </is>
      </c>
      <c r="M2679" s="5" t="n">
        <v>625.5</v>
      </c>
      <c r="N2679" s="5" t="n"/>
      <c r="O2679" s="5">
        <f>+M2679+N2679</f>
        <v/>
      </c>
      <c r="P2679" s="4" t="n">
        <v>45931</v>
      </c>
      <c r="Q2679" s="87" t="n">
        <v>45931</v>
      </c>
      <c r="R2679" s="5" t="n">
        <v>1240</v>
      </c>
      <c r="S2679" s="2" t="n">
        <v>1</v>
      </c>
      <c r="T2679" s="3" t="inlineStr">
        <is>
          <t>6B/2025/5D</t>
        </is>
      </c>
      <c r="U2679" s="87" t="n">
        <v>45932</v>
      </c>
      <c r="V2679" s="3" t="inlineStr">
        <is>
          <t>30</t>
        </is>
      </c>
      <c r="W2679" s="108" t="n">
        <v>45932</v>
      </c>
      <c r="X2679" s="4" t="inlineStr">
        <is>
          <t xml:space="preserve">Bin Humaid National Trading Co </t>
        </is>
      </c>
    </row>
    <row r="2680" ht="24" customHeight="1">
      <c r="A2680" s="2">
        <f>+D2680-S2680</f>
        <v/>
      </c>
      <c r="B2680" s="80" t="n">
        <v>4272</v>
      </c>
      <c r="C2680" s="66" t="n">
        <v>45931</v>
      </c>
      <c r="D2680" s="2" t="n">
        <v>1</v>
      </c>
      <c r="E2680" s="3" t="inlineStr">
        <is>
          <t>REVOLVER</t>
        </is>
      </c>
      <c r="F2680" s="3" t="inlineStr">
        <is>
          <t>38SPECIAL</t>
        </is>
      </c>
      <c r="G2680" s="3" t="inlineStr">
        <is>
          <t>CHIAPPA</t>
        </is>
      </c>
      <c r="H2680" s="65" t="inlineStr">
        <is>
          <t>RHINO 50 DS 5''</t>
        </is>
      </c>
      <c r="I2680" s="65" t="inlineStr">
        <is>
          <t>CFIT25R13053</t>
        </is>
      </c>
      <c r="J2680" s="65" t="inlineStr">
        <is>
          <t>N/D</t>
        </is>
      </c>
      <c r="K2680" s="65" t="inlineStr">
        <is>
          <t>N/D</t>
        </is>
      </c>
      <c r="L2680" s="127" t="inlineStr">
        <is>
          <t>CHIAPPA FIREARMS SRL</t>
        </is>
      </c>
      <c r="M2680" s="5" t="n">
        <v>625.5</v>
      </c>
      <c r="N2680" s="5" t="n"/>
      <c r="O2680" s="5">
        <f>+M2680+N2680</f>
        <v/>
      </c>
      <c r="P2680" s="4" t="n">
        <v>45931</v>
      </c>
      <c r="Q2680" s="87" t="n">
        <v>45931</v>
      </c>
      <c r="R2680" s="5" t="n">
        <v>1240</v>
      </c>
      <c r="S2680" s="2" t="n">
        <v>1</v>
      </c>
      <c r="T2680" s="3" t="inlineStr">
        <is>
          <t>6B/2025/5D</t>
        </is>
      </c>
      <c r="U2680" s="87" t="n">
        <v>45932</v>
      </c>
      <c r="V2680" s="3" t="inlineStr">
        <is>
          <t>30</t>
        </is>
      </c>
      <c r="W2680" s="108" t="n">
        <v>45932</v>
      </c>
      <c r="X2680" s="4" t="inlineStr">
        <is>
          <t xml:space="preserve">Bin Humaid National Trading Co </t>
        </is>
      </c>
    </row>
    <row r="2681" ht="24" customHeight="1">
      <c r="A2681" s="2">
        <f>+D2681-S2681</f>
        <v/>
      </c>
      <c r="B2681" s="80" t="n">
        <v>4273</v>
      </c>
      <c r="C2681" s="66" t="n">
        <v>45931</v>
      </c>
      <c r="D2681" s="2" t="n">
        <v>1</v>
      </c>
      <c r="E2681" s="3" t="inlineStr">
        <is>
          <t>REVOLVER</t>
        </is>
      </c>
      <c r="F2681" s="3" t="inlineStr">
        <is>
          <t>38SPECIAL</t>
        </is>
      </c>
      <c r="G2681" s="3" t="inlineStr">
        <is>
          <t>CHIAPPA</t>
        </is>
      </c>
      <c r="H2681" s="65" t="inlineStr">
        <is>
          <t>RHINO 60 DS NEBULA 6''</t>
        </is>
      </c>
      <c r="I2681" s="65" t="inlineStr">
        <is>
          <t>CFIT25D04644</t>
        </is>
      </c>
      <c r="J2681" s="65" t="inlineStr">
        <is>
          <t>N/D</t>
        </is>
      </c>
      <c r="K2681" s="65" t="inlineStr">
        <is>
          <t>N/D</t>
        </is>
      </c>
      <c r="L2681" s="127" t="inlineStr">
        <is>
          <t>CHIAPPA FIREARMS SRL</t>
        </is>
      </c>
      <c r="M2681" s="5" t="n">
        <v>809.25</v>
      </c>
      <c r="N2681" s="5" t="n"/>
      <c r="O2681" s="5">
        <f>+M2681+N2681</f>
        <v/>
      </c>
      <c r="P2681" s="4" t="n">
        <v>45931</v>
      </c>
      <c r="Q2681" s="87" t="n">
        <v>45931</v>
      </c>
      <c r="R2681" s="5" t="n">
        <v>1240</v>
      </c>
      <c r="S2681" s="2" t="n">
        <v>1</v>
      </c>
      <c r="T2681" s="3" t="inlineStr">
        <is>
          <t>6B/2025/5D</t>
        </is>
      </c>
      <c r="U2681" s="87" t="n">
        <v>45932</v>
      </c>
      <c r="V2681" s="3" t="inlineStr">
        <is>
          <t>30</t>
        </is>
      </c>
      <c r="W2681" s="108" t="n">
        <v>45932</v>
      </c>
      <c r="X2681" s="4" t="inlineStr">
        <is>
          <t xml:space="preserve">Bin Humaid National Trading Co </t>
        </is>
      </c>
    </row>
    <row r="2682" ht="24" customHeight="1">
      <c r="A2682" s="2">
        <f>+D2682-S2682</f>
        <v/>
      </c>
      <c r="B2682" s="80" t="n">
        <v>4274</v>
      </c>
      <c r="C2682" s="66" t="n">
        <v>45931</v>
      </c>
      <c r="D2682" s="2" t="n">
        <v>1</v>
      </c>
      <c r="E2682" s="3" t="inlineStr">
        <is>
          <t>REVOLVER</t>
        </is>
      </c>
      <c r="F2682" s="3" t="inlineStr">
        <is>
          <t>38SPECIAL</t>
        </is>
      </c>
      <c r="G2682" s="3" t="inlineStr">
        <is>
          <t>CHIAPPA</t>
        </is>
      </c>
      <c r="H2682" s="65" t="inlineStr">
        <is>
          <t>RHINO 60 DS NEBULA 6''</t>
        </is>
      </c>
      <c r="I2682" s="65" t="inlineStr">
        <is>
          <t>CFIT25D04645</t>
        </is>
      </c>
      <c r="J2682" s="65" t="inlineStr">
        <is>
          <t>N/D</t>
        </is>
      </c>
      <c r="K2682" s="65" t="inlineStr">
        <is>
          <t>N/D</t>
        </is>
      </c>
      <c r="L2682" s="127" t="inlineStr">
        <is>
          <t>CHIAPPA FIREARMS SRL</t>
        </is>
      </c>
      <c r="M2682" s="5" t="n">
        <v>809.25</v>
      </c>
      <c r="N2682" s="5" t="n"/>
      <c r="O2682" s="5">
        <f>+M2682+N2682</f>
        <v/>
      </c>
      <c r="P2682" s="4" t="n">
        <v>45931</v>
      </c>
      <c r="Q2682" s="87" t="n">
        <v>45931</v>
      </c>
      <c r="R2682" s="5" t="n">
        <v>1240</v>
      </c>
      <c r="S2682" s="2" t="n">
        <v>1</v>
      </c>
      <c r="T2682" s="3" t="inlineStr">
        <is>
          <t>6B/2025/5D</t>
        </is>
      </c>
      <c r="U2682" s="87" t="n">
        <v>45932</v>
      </c>
      <c r="V2682" s="3" t="inlineStr">
        <is>
          <t>30</t>
        </is>
      </c>
      <c r="W2682" s="108" t="n">
        <v>45932</v>
      </c>
      <c r="X2682" s="4" t="inlineStr">
        <is>
          <t xml:space="preserve">Bin Humaid National Trading Co </t>
        </is>
      </c>
    </row>
    <row r="2683" ht="24" customHeight="1">
      <c r="A2683" s="2">
        <f>+D2683-S2683</f>
        <v/>
      </c>
      <c r="B2683" s="80" t="n">
        <v>4275</v>
      </c>
      <c r="C2683" s="66" t="n">
        <v>45931</v>
      </c>
      <c r="D2683" s="2" t="n">
        <v>1</v>
      </c>
      <c r="E2683" s="3" t="inlineStr">
        <is>
          <t>REVOLVER</t>
        </is>
      </c>
      <c r="F2683" s="3" t="inlineStr">
        <is>
          <t>38SPECIAL</t>
        </is>
      </c>
      <c r="G2683" s="3" t="inlineStr">
        <is>
          <t>CHIAPPA</t>
        </is>
      </c>
      <c r="H2683" s="65" t="inlineStr">
        <is>
          <t>RHINO 60 DS NEBULA 6''</t>
        </is>
      </c>
      <c r="I2683" s="65" t="inlineStr">
        <is>
          <t>CFIT25D04646</t>
        </is>
      </c>
      <c r="J2683" s="65" t="inlineStr">
        <is>
          <t>N/D</t>
        </is>
      </c>
      <c r="K2683" s="65" t="inlineStr">
        <is>
          <t>N/D</t>
        </is>
      </c>
      <c r="L2683" s="127" t="inlineStr">
        <is>
          <t>CHIAPPA FIREARMS SRL</t>
        </is>
      </c>
      <c r="M2683" s="5" t="n">
        <v>809.25</v>
      </c>
      <c r="N2683" s="5" t="n"/>
      <c r="O2683" s="5">
        <f>+M2683+N2683</f>
        <v/>
      </c>
      <c r="P2683" s="4" t="n">
        <v>45931</v>
      </c>
      <c r="Q2683" s="87" t="n">
        <v>45931</v>
      </c>
      <c r="R2683" s="5" t="n">
        <v>1240</v>
      </c>
      <c r="S2683" s="2" t="n">
        <v>1</v>
      </c>
      <c r="T2683" s="3" t="inlineStr">
        <is>
          <t>6B/2025/5D</t>
        </is>
      </c>
      <c r="U2683" s="87" t="n">
        <v>45932</v>
      </c>
      <c r="V2683" s="3" t="inlineStr">
        <is>
          <t>30</t>
        </is>
      </c>
      <c r="W2683" s="108" t="n">
        <v>45932</v>
      </c>
      <c r="X2683" s="4" t="inlineStr">
        <is>
          <t xml:space="preserve">Bin Humaid National Trading Co </t>
        </is>
      </c>
    </row>
    <row r="2684" ht="24" customHeight="1">
      <c r="A2684" s="2">
        <f>+D2684-S2684</f>
        <v/>
      </c>
      <c r="B2684" s="80" t="n">
        <v>4276</v>
      </c>
      <c r="C2684" s="66" t="n">
        <v>45931</v>
      </c>
      <c r="D2684" s="2" t="n">
        <v>1</v>
      </c>
      <c r="E2684" s="3" t="inlineStr">
        <is>
          <t>REVOLVER</t>
        </is>
      </c>
      <c r="F2684" s="3" t="inlineStr">
        <is>
          <t>38SPECIAL</t>
        </is>
      </c>
      <c r="G2684" s="3" t="inlineStr">
        <is>
          <t>CHIAPPA</t>
        </is>
      </c>
      <c r="H2684" s="65" t="inlineStr">
        <is>
          <t>RHINO 60 DS NEBULA 6''</t>
        </is>
      </c>
      <c r="I2684" s="65" t="inlineStr">
        <is>
          <t>CFIT25D04647</t>
        </is>
      </c>
      <c r="J2684" s="65" t="inlineStr">
        <is>
          <t>N/D</t>
        </is>
      </c>
      <c r="K2684" s="65" t="inlineStr">
        <is>
          <t>N/D</t>
        </is>
      </c>
      <c r="L2684" s="127" t="inlineStr">
        <is>
          <t>CHIAPPA FIREARMS SRL</t>
        </is>
      </c>
      <c r="M2684" s="5" t="n">
        <v>809.25</v>
      </c>
      <c r="N2684" s="5" t="n"/>
      <c r="O2684" s="5">
        <f>+M2684+N2684</f>
        <v/>
      </c>
      <c r="P2684" s="4" t="n">
        <v>45931</v>
      </c>
      <c r="Q2684" s="87" t="n">
        <v>45931</v>
      </c>
      <c r="R2684" s="5" t="n">
        <v>1240</v>
      </c>
      <c r="S2684" s="2" t="n">
        <v>1</v>
      </c>
      <c r="T2684" s="3" t="inlineStr">
        <is>
          <t>6B/2025/5D</t>
        </is>
      </c>
      <c r="U2684" s="87" t="n">
        <v>45932</v>
      </c>
      <c r="V2684" s="3" t="inlineStr">
        <is>
          <t>30</t>
        </is>
      </c>
      <c r="W2684" s="108" t="n">
        <v>45932</v>
      </c>
      <c r="X2684" s="4" t="inlineStr">
        <is>
          <t xml:space="preserve">Bin Humaid National Trading Co </t>
        </is>
      </c>
    </row>
    <row r="2685" ht="24" customHeight="1">
      <c r="A2685" s="2">
        <f>+D2685-S2685</f>
        <v/>
      </c>
      <c r="B2685" s="80" t="n">
        <v>4277</v>
      </c>
      <c r="C2685" s="66" t="n">
        <v>45931</v>
      </c>
      <c r="D2685" s="2" t="n">
        <v>1</v>
      </c>
      <c r="E2685" s="3" t="inlineStr">
        <is>
          <t>REVOLVER</t>
        </is>
      </c>
      <c r="F2685" s="3" t="inlineStr">
        <is>
          <t>38SPECIAL</t>
        </is>
      </c>
      <c r="G2685" s="3" t="inlineStr">
        <is>
          <t>CHIAPPA</t>
        </is>
      </c>
      <c r="H2685" s="65" t="inlineStr">
        <is>
          <t>RHINO 60 DS NEBULA 6''</t>
        </is>
      </c>
      <c r="I2685" s="65" t="inlineStr">
        <is>
          <t>CFIT25D04648</t>
        </is>
      </c>
      <c r="J2685" s="65" t="inlineStr">
        <is>
          <t>N/D</t>
        </is>
      </c>
      <c r="K2685" s="65" t="inlineStr">
        <is>
          <t>N/D</t>
        </is>
      </c>
      <c r="L2685" s="127" t="inlineStr">
        <is>
          <t>CHIAPPA FIREARMS SRL</t>
        </is>
      </c>
      <c r="M2685" s="5" t="n">
        <v>809.25</v>
      </c>
      <c r="N2685" s="5" t="n"/>
      <c r="O2685" s="5">
        <f>+M2685+N2685</f>
        <v/>
      </c>
      <c r="P2685" s="4" t="n">
        <v>45931</v>
      </c>
      <c r="Q2685" s="87" t="n">
        <v>45931</v>
      </c>
      <c r="R2685" s="5" t="n">
        <v>1240</v>
      </c>
      <c r="S2685" s="2" t="n">
        <v>1</v>
      </c>
      <c r="T2685" s="3" t="inlineStr">
        <is>
          <t>6B/2025/5D</t>
        </is>
      </c>
      <c r="U2685" s="87" t="n">
        <v>45932</v>
      </c>
      <c r="V2685" s="3" t="inlineStr">
        <is>
          <t>30</t>
        </is>
      </c>
      <c r="W2685" s="108" t="n">
        <v>45932</v>
      </c>
      <c r="X2685" s="4" t="inlineStr">
        <is>
          <t xml:space="preserve">Bin Humaid National Trading Co </t>
        </is>
      </c>
    </row>
    <row r="2686" ht="24" customHeight="1">
      <c r="A2686" s="2">
        <f>+D2686-S2686</f>
        <v/>
      </c>
      <c r="B2686" s="80" t="n">
        <v>4278</v>
      </c>
      <c r="C2686" s="66" t="n">
        <v>45931</v>
      </c>
      <c r="D2686" s="2" t="n">
        <v>1</v>
      </c>
      <c r="E2686" s="3" t="inlineStr">
        <is>
          <t>REVOLVER</t>
        </is>
      </c>
      <c r="F2686" s="3" t="inlineStr">
        <is>
          <t>38SPECIAL</t>
        </is>
      </c>
      <c r="G2686" s="3" t="inlineStr">
        <is>
          <t>CHIAPPA</t>
        </is>
      </c>
      <c r="H2686" s="65" t="inlineStr">
        <is>
          <t>RHINO 20 DS 2''</t>
        </is>
      </c>
      <c r="I2686" s="65" t="inlineStr">
        <is>
          <t>CFIT25R13054</t>
        </is>
      </c>
      <c r="J2686" s="65" t="inlineStr">
        <is>
          <t>N/D</t>
        </is>
      </c>
      <c r="K2686" s="65" t="inlineStr">
        <is>
          <t>N/D</t>
        </is>
      </c>
      <c r="L2686" s="127" t="inlineStr">
        <is>
          <t>CHIAPPA FIREARMS SRL</t>
        </is>
      </c>
      <c r="M2686" s="5" t="n">
        <v>555</v>
      </c>
      <c r="N2686" s="5" t="n"/>
      <c r="O2686" s="5">
        <f>+M2686+N2686</f>
        <v/>
      </c>
      <c r="P2686" s="4" t="n">
        <v>45931</v>
      </c>
      <c r="Q2686" s="87" t="n">
        <v>45931</v>
      </c>
      <c r="R2686" s="5" t="n">
        <v>851</v>
      </c>
      <c r="S2686" s="2" t="n">
        <v>1</v>
      </c>
      <c r="T2686" s="3" t="inlineStr">
        <is>
          <t>6B/2025/5D</t>
        </is>
      </c>
      <c r="U2686" s="87" t="n">
        <v>45932</v>
      </c>
      <c r="V2686" s="3" t="inlineStr">
        <is>
          <t>30</t>
        </is>
      </c>
      <c r="W2686" s="108" t="n">
        <v>45932</v>
      </c>
      <c r="X2686" s="4" t="inlineStr">
        <is>
          <t xml:space="preserve">Bin Humaid National Trading Co </t>
        </is>
      </c>
    </row>
    <row r="2687" ht="24" customHeight="1">
      <c r="A2687" s="2">
        <f>+D2687-S2687</f>
        <v/>
      </c>
      <c r="B2687" s="80" t="n">
        <v>4279</v>
      </c>
      <c r="C2687" s="66" t="n">
        <v>45931</v>
      </c>
      <c r="D2687" s="2" t="n">
        <v>1</v>
      </c>
      <c r="E2687" s="3" t="inlineStr">
        <is>
          <t>REVOLVER</t>
        </is>
      </c>
      <c r="F2687" s="3" t="inlineStr">
        <is>
          <t>38SPECIAL</t>
        </is>
      </c>
      <c r="G2687" s="3" t="inlineStr">
        <is>
          <t>CHIAPPA</t>
        </is>
      </c>
      <c r="H2687" s="65" t="inlineStr">
        <is>
          <t>RHINO 20 DS 2''</t>
        </is>
      </c>
      <c r="I2687" s="65" t="inlineStr">
        <is>
          <t>CFIT25R13055</t>
        </is>
      </c>
      <c r="J2687" s="65" t="inlineStr">
        <is>
          <t>N/D</t>
        </is>
      </c>
      <c r="K2687" s="65" t="inlineStr">
        <is>
          <t>N/D</t>
        </is>
      </c>
      <c r="L2687" s="127" t="inlineStr">
        <is>
          <t>CHIAPPA FIREARMS SRL</t>
        </is>
      </c>
      <c r="M2687" s="5" t="n">
        <v>555</v>
      </c>
      <c r="N2687" s="5" t="n"/>
      <c r="O2687" s="5">
        <f>+M2687+N2687</f>
        <v/>
      </c>
      <c r="P2687" s="4" t="n">
        <v>45931</v>
      </c>
      <c r="Q2687" s="87" t="n">
        <v>45931</v>
      </c>
      <c r="R2687" s="5" t="n">
        <v>851</v>
      </c>
      <c r="S2687" s="2" t="n">
        <v>1</v>
      </c>
      <c r="T2687" s="3" t="inlineStr">
        <is>
          <t>6B/2025/5D</t>
        </is>
      </c>
      <c r="U2687" s="87" t="n">
        <v>45932</v>
      </c>
      <c r="V2687" s="3" t="inlineStr">
        <is>
          <t>30</t>
        </is>
      </c>
      <c r="W2687" s="108" t="n">
        <v>45932</v>
      </c>
      <c r="X2687" s="4" t="inlineStr">
        <is>
          <t xml:space="preserve">Bin Humaid National Trading Co </t>
        </is>
      </c>
    </row>
    <row r="2688" ht="24" customHeight="1">
      <c r="A2688" s="2">
        <f>+D2688-S2688</f>
        <v/>
      </c>
      <c r="B2688" s="80" t="n">
        <v>4280</v>
      </c>
      <c r="C2688" s="66" t="n">
        <v>45932</v>
      </c>
      <c r="D2688" s="2" t="n">
        <v>1</v>
      </c>
      <c r="E2688" s="3" t="inlineStr">
        <is>
          <t>PISTOLA SEMIAUTOMATICA</t>
        </is>
      </c>
      <c r="F2688" s="3" t="inlineStr">
        <is>
          <t xml:space="preserve">9 </t>
        </is>
      </c>
      <c r="G2688" s="3" t="inlineStr">
        <is>
          <t>WALTHER</t>
        </is>
      </c>
      <c r="H2688" s="65" t="inlineStr">
        <is>
          <t>PDP F SERIES LUGER 4''</t>
        </is>
      </c>
      <c r="I2688" s="65" t="inlineStr">
        <is>
          <t>34987GB</t>
        </is>
      </c>
      <c r="J2688" s="65" t="inlineStr">
        <is>
          <t>N/D</t>
        </is>
      </c>
      <c r="K2688" s="65" t="inlineStr">
        <is>
          <t>N/D</t>
        </is>
      </c>
      <c r="L2688" s="127" t="inlineStr">
        <is>
          <t>BIGNAMI SPA</t>
        </is>
      </c>
      <c r="M2688" s="5" t="n">
        <v>583.64</v>
      </c>
      <c r="N2688" s="5" t="n"/>
      <c r="O2688" s="5">
        <f>+M2688+N2688</f>
        <v/>
      </c>
      <c r="P2688" s="4" t="n">
        <v>45932</v>
      </c>
      <c r="Q2688" s="87" t="n">
        <v>45932</v>
      </c>
      <c r="R2688" s="5" t="n"/>
      <c r="S2688" s="2" t="n"/>
      <c r="T2688" s="3" t="n"/>
      <c r="U2688" s="87" t="n"/>
      <c r="V2688" s="3" t="n"/>
      <c r="W2688" s="108" t="n"/>
      <c r="X2688" s="4" t="n"/>
    </row>
    <row r="2689" ht="24" customHeight="1">
      <c r="A2689" s="2">
        <f>+D2689-S2689</f>
        <v/>
      </c>
      <c r="B2689" s="80" t="n">
        <v>4281</v>
      </c>
      <c r="C2689" s="66" t="n">
        <v>45932</v>
      </c>
      <c r="D2689" s="2" t="n">
        <v>1</v>
      </c>
      <c r="E2689" s="3" t="inlineStr">
        <is>
          <t>PISTOLA SEMIAUTOMATICA</t>
        </is>
      </c>
      <c r="F2689" s="3" t="inlineStr">
        <is>
          <t xml:space="preserve">9 </t>
        </is>
      </c>
      <c r="G2689" s="3" t="inlineStr">
        <is>
          <t>WALTHER</t>
        </is>
      </c>
      <c r="H2689" s="65" t="inlineStr">
        <is>
          <t>PDP F SERIES LUGER 4''</t>
        </is>
      </c>
      <c r="I2689" s="65" t="inlineStr">
        <is>
          <t>35056GB</t>
        </is>
      </c>
      <c r="J2689" s="65" t="inlineStr">
        <is>
          <t>N/D</t>
        </is>
      </c>
      <c r="K2689" s="65" t="inlineStr">
        <is>
          <t>N/D</t>
        </is>
      </c>
      <c r="L2689" s="127" t="inlineStr">
        <is>
          <t>BIGNAMI SPA</t>
        </is>
      </c>
      <c r="M2689" s="5" t="n">
        <v>583.64</v>
      </c>
      <c r="N2689" s="5" t="n"/>
      <c r="O2689" s="5">
        <f>+M2689+N2689</f>
        <v/>
      </c>
      <c r="P2689" s="4" t="n">
        <v>45932</v>
      </c>
      <c r="Q2689" s="87" t="n">
        <v>45932</v>
      </c>
      <c r="R2689" s="5" t="n"/>
      <c r="S2689" s="2" t="n"/>
      <c r="T2689" s="3" t="n"/>
      <c r="U2689" s="87" t="n"/>
      <c r="V2689" s="3" t="n"/>
      <c r="W2689" s="108" t="n"/>
      <c r="X2689" s="4" t="n"/>
    </row>
    <row r="2690" ht="24" customHeight="1">
      <c r="A2690" s="2">
        <f>+D2690-S2690</f>
        <v/>
      </c>
      <c r="B2690" s="80" t="n">
        <v>4282</v>
      </c>
      <c r="C2690" s="66" t="n">
        <v>45932</v>
      </c>
      <c r="D2690" s="2" t="n">
        <v>1</v>
      </c>
      <c r="E2690" s="3" t="inlineStr">
        <is>
          <t>PISTOLA SEMIAUTOMATICA</t>
        </is>
      </c>
      <c r="F2690" s="3" t="inlineStr">
        <is>
          <t xml:space="preserve">9 </t>
        </is>
      </c>
      <c r="G2690" s="3" t="inlineStr">
        <is>
          <t>WALTHER</t>
        </is>
      </c>
      <c r="H2690" s="65" t="inlineStr">
        <is>
          <t>PDP F SERIES LUGER 4''</t>
        </is>
      </c>
      <c r="I2690" s="65" t="inlineStr">
        <is>
          <t>35057GB</t>
        </is>
      </c>
      <c r="J2690" s="65" t="inlineStr">
        <is>
          <t>N/D</t>
        </is>
      </c>
      <c r="K2690" s="65" t="inlineStr">
        <is>
          <t>N/D</t>
        </is>
      </c>
      <c r="L2690" s="127" t="inlineStr">
        <is>
          <t>BIGNAMI SPA</t>
        </is>
      </c>
      <c r="M2690" s="5" t="n">
        <v>583.64</v>
      </c>
      <c r="N2690" s="5" t="n"/>
      <c r="O2690" s="5">
        <f>+M2690+N2690</f>
        <v/>
      </c>
      <c r="P2690" s="4" t="n">
        <v>45932</v>
      </c>
      <c r="Q2690" s="87" t="n">
        <v>45932</v>
      </c>
      <c r="R2690" s="5" t="n"/>
      <c r="S2690" s="2" t="n"/>
      <c r="T2690" s="3" t="n"/>
      <c r="U2690" s="87" t="n"/>
      <c r="V2690" s="3" t="n"/>
      <c r="W2690" s="108" t="n"/>
      <c r="X2690" s="4" t="n"/>
    </row>
    <row r="2691" ht="24" customHeight="1">
      <c r="A2691" s="2">
        <f>+D2691-S2691</f>
        <v/>
      </c>
      <c r="B2691" s="80" t="n">
        <v>4283</v>
      </c>
      <c r="C2691" s="66" t="n">
        <v>45932</v>
      </c>
      <c r="D2691" s="2" t="n">
        <v>1</v>
      </c>
      <c r="E2691" s="3" t="inlineStr">
        <is>
          <t>PISTOLA SEMIAUTOMATICA</t>
        </is>
      </c>
      <c r="F2691" s="3" t="inlineStr">
        <is>
          <t xml:space="preserve">9 </t>
        </is>
      </c>
      <c r="G2691" s="3" t="inlineStr">
        <is>
          <t>WALTHER</t>
        </is>
      </c>
      <c r="H2691" s="65" t="inlineStr">
        <is>
          <t>PDP F SERIES LUGER 4''</t>
        </is>
      </c>
      <c r="I2691" s="65" t="inlineStr">
        <is>
          <t>34985GB</t>
        </is>
      </c>
      <c r="J2691" s="65" t="inlineStr">
        <is>
          <t>N/D</t>
        </is>
      </c>
      <c r="K2691" s="65" t="inlineStr">
        <is>
          <t>N/D</t>
        </is>
      </c>
      <c r="L2691" s="127" t="inlineStr">
        <is>
          <t>BIGNAMI SPA</t>
        </is>
      </c>
      <c r="M2691" s="5" t="n">
        <v>583.64</v>
      </c>
      <c r="N2691" s="5" t="n"/>
      <c r="O2691" s="5">
        <f>+M2691+N2691</f>
        <v/>
      </c>
      <c r="P2691" s="4" t="n">
        <v>45932</v>
      </c>
      <c r="Q2691" s="87" t="n">
        <v>45932</v>
      </c>
      <c r="R2691" s="5" t="n"/>
      <c r="S2691" s="2" t="n"/>
      <c r="T2691" s="3" t="n"/>
      <c r="U2691" s="87" t="n"/>
      <c r="V2691" s="3" t="n"/>
      <c r="W2691" s="108" t="n"/>
      <c r="X2691" s="4" t="n"/>
    </row>
    <row r="2692" ht="24" customHeight="1">
      <c r="A2692" s="2">
        <f>+D2692-S2692</f>
        <v/>
      </c>
      <c r="B2692" s="80" t="n">
        <v>4284</v>
      </c>
      <c r="C2692" s="66" t="n">
        <v>45932</v>
      </c>
      <c r="D2692" s="2" t="n">
        <v>1</v>
      </c>
      <c r="E2692" s="3" t="inlineStr">
        <is>
          <t>PISTOLA SEMIAUTOMATICA</t>
        </is>
      </c>
      <c r="F2692" s="3" t="inlineStr">
        <is>
          <t xml:space="preserve">9 </t>
        </is>
      </c>
      <c r="G2692" s="3" t="inlineStr">
        <is>
          <t>WALTHER</t>
        </is>
      </c>
      <c r="H2692" s="65" t="inlineStr">
        <is>
          <t>PDP COMPACT  LUGER 4''</t>
        </is>
      </c>
      <c r="I2692" s="65" t="inlineStr">
        <is>
          <t>FEH2098</t>
        </is>
      </c>
      <c r="J2692" s="65" t="inlineStr">
        <is>
          <t>N/D</t>
        </is>
      </c>
      <c r="K2692" s="65" t="inlineStr">
        <is>
          <t>N/D</t>
        </is>
      </c>
      <c r="L2692" s="127" t="inlineStr">
        <is>
          <t>BIGNAMI SPA</t>
        </is>
      </c>
      <c r="M2692" s="5" t="n">
        <v>583.64</v>
      </c>
      <c r="N2692" s="5" t="n"/>
      <c r="O2692" s="5">
        <f>+M2692+N2692</f>
        <v/>
      </c>
      <c r="P2692" s="4" t="n">
        <v>45932</v>
      </c>
      <c r="Q2692" s="87" t="n">
        <v>45932</v>
      </c>
      <c r="R2692" s="5" t="n">
        <v>701.11</v>
      </c>
      <c r="S2692" s="2" t="n">
        <v>1</v>
      </c>
      <c r="T2692" s="3" t="inlineStr">
        <is>
          <t>6B/2025/6D</t>
        </is>
      </c>
      <c r="U2692" s="87" t="n">
        <v>45932</v>
      </c>
      <c r="V2692" s="3" t="inlineStr">
        <is>
          <t>30</t>
        </is>
      </c>
      <c r="W2692" s="108" t="n">
        <v>45932</v>
      </c>
      <c r="X2692" s="4" t="inlineStr">
        <is>
          <t xml:space="preserve">Bin Humaid National Trading Co </t>
        </is>
      </c>
    </row>
    <row r="2693" ht="24" customHeight="1">
      <c r="A2693" s="2">
        <f>+D2693-S2693</f>
        <v/>
      </c>
      <c r="B2693" s="80" t="n">
        <v>4285</v>
      </c>
      <c r="C2693" s="66" t="n">
        <v>45932</v>
      </c>
      <c r="D2693" s="2" t="n">
        <v>1</v>
      </c>
      <c r="E2693" s="3" t="inlineStr">
        <is>
          <t>PISTOLA SEMIAUTOMATICA</t>
        </is>
      </c>
      <c r="F2693" s="3" t="inlineStr">
        <is>
          <t xml:space="preserve">9 </t>
        </is>
      </c>
      <c r="G2693" s="3" t="inlineStr">
        <is>
          <t>WALTHER</t>
        </is>
      </c>
      <c r="H2693" s="65" t="inlineStr">
        <is>
          <t>PDP COMPACT  LUGER 4''</t>
        </is>
      </c>
      <c r="I2693" s="65" t="inlineStr">
        <is>
          <t>FEH2099</t>
        </is>
      </c>
      <c r="J2693" s="65" t="inlineStr">
        <is>
          <t>N/D</t>
        </is>
      </c>
      <c r="K2693" s="65" t="inlineStr">
        <is>
          <t>N/D</t>
        </is>
      </c>
      <c r="L2693" s="127" t="inlineStr">
        <is>
          <t>BIGNAMI SPA</t>
        </is>
      </c>
      <c r="M2693" s="5" t="n">
        <v>583.64</v>
      </c>
      <c r="N2693" s="5" t="n"/>
      <c r="O2693" s="5">
        <f>+M2693+N2693</f>
        <v/>
      </c>
      <c r="P2693" s="4" t="n">
        <v>45932</v>
      </c>
      <c r="Q2693" s="87" t="n">
        <v>45932</v>
      </c>
      <c r="R2693" s="5" t="n">
        <v>701.11</v>
      </c>
      <c r="S2693" s="2" t="n">
        <v>1</v>
      </c>
      <c r="T2693" s="3" t="inlineStr">
        <is>
          <t>6B/2025/6D</t>
        </is>
      </c>
      <c r="U2693" s="87" t="n">
        <v>45932</v>
      </c>
      <c r="V2693" s="3" t="inlineStr">
        <is>
          <t>30</t>
        </is>
      </c>
      <c r="W2693" s="108" t="n">
        <v>45932</v>
      </c>
      <c r="X2693" s="4" t="inlineStr">
        <is>
          <t xml:space="preserve">Bin Humaid National Trading Co </t>
        </is>
      </c>
    </row>
    <row r="2694" ht="24" customHeight="1">
      <c r="A2694" s="2">
        <f>+D2694-S2694</f>
        <v/>
      </c>
      <c r="B2694" s="80" t="n">
        <v>4286</v>
      </c>
      <c r="C2694" s="66" t="n">
        <v>45932</v>
      </c>
      <c r="D2694" s="2" t="n">
        <v>1</v>
      </c>
      <c r="E2694" s="3" t="inlineStr">
        <is>
          <t>PISTOLA SEMIAUTOMATICA</t>
        </is>
      </c>
      <c r="F2694" s="3" t="inlineStr">
        <is>
          <t xml:space="preserve">9 </t>
        </is>
      </c>
      <c r="G2694" s="3" t="inlineStr">
        <is>
          <t>WALTHER</t>
        </is>
      </c>
      <c r="H2694" s="65" t="inlineStr">
        <is>
          <t>PDP COMPACT  LUGER 4''</t>
        </is>
      </c>
      <c r="I2694" s="65" t="inlineStr">
        <is>
          <t>FEH2106</t>
        </is>
      </c>
      <c r="J2694" s="65" t="inlineStr">
        <is>
          <t>N/D</t>
        </is>
      </c>
      <c r="K2694" s="65" t="inlineStr">
        <is>
          <t>N/D</t>
        </is>
      </c>
      <c r="L2694" s="127" t="inlineStr">
        <is>
          <t>BIGNAMI SPA</t>
        </is>
      </c>
      <c r="M2694" s="5" t="n">
        <v>583.64</v>
      </c>
      <c r="N2694" s="5" t="n"/>
      <c r="O2694" s="5">
        <f>+M2694+N2694</f>
        <v/>
      </c>
      <c r="P2694" s="4" t="n">
        <v>45932</v>
      </c>
      <c r="Q2694" s="87" t="n">
        <v>45932</v>
      </c>
      <c r="R2694" s="5" t="n">
        <v>701.11</v>
      </c>
      <c r="S2694" s="2" t="n">
        <v>1</v>
      </c>
      <c r="T2694" s="3" t="inlineStr">
        <is>
          <t>6B/2025/6D</t>
        </is>
      </c>
      <c r="U2694" s="87" t="n">
        <v>45932</v>
      </c>
      <c r="V2694" s="3" t="inlineStr">
        <is>
          <t>30</t>
        </is>
      </c>
      <c r="W2694" s="108" t="n">
        <v>45932</v>
      </c>
      <c r="X2694" s="4" t="inlineStr">
        <is>
          <t xml:space="preserve">Bin Humaid National Trading Co </t>
        </is>
      </c>
    </row>
    <row r="2695" ht="24" customHeight="1">
      <c r="A2695" s="2">
        <f>+D2695-S2695</f>
        <v/>
      </c>
      <c r="B2695" s="80" t="n">
        <v>4287</v>
      </c>
      <c r="C2695" s="66" t="n">
        <v>45932</v>
      </c>
      <c r="D2695" s="2" t="n">
        <v>1</v>
      </c>
      <c r="E2695" s="3" t="inlineStr">
        <is>
          <t>PISTOLA SEMIAUTOMATICA</t>
        </is>
      </c>
      <c r="F2695" s="3" t="inlineStr">
        <is>
          <t xml:space="preserve">9 </t>
        </is>
      </c>
      <c r="G2695" s="3" t="inlineStr">
        <is>
          <t>WALTHER</t>
        </is>
      </c>
      <c r="H2695" s="65" t="inlineStr">
        <is>
          <t>PDP COMPACT  LUGER 4''</t>
        </is>
      </c>
      <c r="I2695" s="65" t="inlineStr">
        <is>
          <t>FEH2095</t>
        </is>
      </c>
      <c r="J2695" s="65" t="inlineStr">
        <is>
          <t>N/D</t>
        </is>
      </c>
      <c r="K2695" s="65" t="inlineStr">
        <is>
          <t>N/D</t>
        </is>
      </c>
      <c r="L2695" s="127" t="inlineStr">
        <is>
          <t>BIGNAMI SPA</t>
        </is>
      </c>
      <c r="M2695" s="5" t="n">
        <v>583.64</v>
      </c>
      <c r="N2695" s="5" t="n"/>
      <c r="O2695" s="5">
        <f>+M2695+N2695</f>
        <v/>
      </c>
      <c r="P2695" s="4" t="n">
        <v>45932</v>
      </c>
      <c r="Q2695" s="87" t="n">
        <v>45932</v>
      </c>
      <c r="R2695" s="5" t="n">
        <v>701.11</v>
      </c>
      <c r="S2695" s="2" t="n">
        <v>1</v>
      </c>
      <c r="T2695" s="3" t="inlineStr">
        <is>
          <t>6B/2025/6D</t>
        </is>
      </c>
      <c r="U2695" s="87" t="n">
        <v>45932</v>
      </c>
      <c r="V2695" s="3" t="inlineStr">
        <is>
          <t>30</t>
        </is>
      </c>
      <c r="W2695" s="108" t="n">
        <v>45932</v>
      </c>
      <c r="X2695" s="4" t="inlineStr">
        <is>
          <t xml:space="preserve">Bin Humaid National Trading Co </t>
        </is>
      </c>
    </row>
    <row r="2696" ht="24" customHeight="1">
      <c r="A2696" s="2">
        <f>+D2696-S2696</f>
        <v/>
      </c>
      <c r="B2696" s="80" t="n">
        <v>4288</v>
      </c>
      <c r="C2696" s="66" t="n">
        <v>45932</v>
      </c>
      <c r="D2696" s="2" t="n">
        <v>1</v>
      </c>
      <c r="E2696" s="3" t="inlineStr">
        <is>
          <t>PISTOLA SEMIAUTOMATICA</t>
        </is>
      </c>
      <c r="F2696" s="3" t="inlineStr">
        <is>
          <t xml:space="preserve">9 </t>
        </is>
      </c>
      <c r="G2696" s="3" t="inlineStr">
        <is>
          <t>WALTHER</t>
        </is>
      </c>
      <c r="H2696" s="65" t="inlineStr">
        <is>
          <t>PDP COMPACT  LUGER 4''</t>
        </is>
      </c>
      <c r="I2696" s="65" t="inlineStr">
        <is>
          <t>FEH2109</t>
        </is>
      </c>
      <c r="J2696" s="65" t="inlineStr">
        <is>
          <t>N/D</t>
        </is>
      </c>
      <c r="K2696" s="65" t="inlineStr">
        <is>
          <t>N/D</t>
        </is>
      </c>
      <c r="L2696" s="127" t="inlineStr">
        <is>
          <t>BIGNAMI SPA</t>
        </is>
      </c>
      <c r="M2696" s="5" t="n">
        <v>583.64</v>
      </c>
      <c r="N2696" s="5" t="n"/>
      <c r="O2696" s="5">
        <f>+M2696+N2696</f>
        <v/>
      </c>
      <c r="P2696" s="4" t="n">
        <v>45932</v>
      </c>
      <c r="Q2696" s="87" t="n">
        <v>45932</v>
      </c>
      <c r="R2696" s="5" t="n">
        <v>701.11</v>
      </c>
      <c r="S2696" s="2" t="n">
        <v>1</v>
      </c>
      <c r="T2696" s="3" t="inlineStr">
        <is>
          <t>6B/2025/6D</t>
        </is>
      </c>
      <c r="U2696" s="87" t="n">
        <v>45932</v>
      </c>
      <c r="V2696" s="3" t="inlineStr">
        <is>
          <t>30</t>
        </is>
      </c>
      <c r="W2696" s="108" t="n">
        <v>45932</v>
      </c>
      <c r="X2696" s="4" t="inlineStr">
        <is>
          <t xml:space="preserve">Bin Humaid National Trading Co </t>
        </is>
      </c>
    </row>
    <row r="2697" ht="24" customHeight="1">
      <c r="A2697" s="2">
        <f>+D2697-S2697</f>
        <v/>
      </c>
      <c r="B2697" s="80" t="n">
        <v>4289</v>
      </c>
      <c r="C2697" s="66" t="n">
        <v>45932</v>
      </c>
      <c r="D2697" s="2" t="n">
        <v>1</v>
      </c>
      <c r="E2697" s="3" t="inlineStr">
        <is>
          <t>PISTOLA SEMIAUTOMATICA</t>
        </is>
      </c>
      <c r="F2697" s="3" t="inlineStr">
        <is>
          <t xml:space="preserve">9 </t>
        </is>
      </c>
      <c r="G2697" s="3" t="inlineStr">
        <is>
          <t>WALTHER</t>
        </is>
      </c>
      <c r="H2697" s="65" t="inlineStr">
        <is>
          <t>PDP COMPACT  LUGER 4''</t>
        </is>
      </c>
      <c r="I2697" s="65" t="inlineStr">
        <is>
          <t>FEH2090</t>
        </is>
      </c>
      <c r="J2697" s="65" t="inlineStr">
        <is>
          <t>N/D</t>
        </is>
      </c>
      <c r="K2697" s="65" t="inlineStr">
        <is>
          <t>N/D</t>
        </is>
      </c>
      <c r="L2697" s="127" t="inlineStr">
        <is>
          <t>BIGNAMI SPA</t>
        </is>
      </c>
      <c r="M2697" s="5" t="n">
        <v>583.64</v>
      </c>
      <c r="N2697" s="5" t="n"/>
      <c r="O2697" s="5">
        <f>+M2697+N2697</f>
        <v/>
      </c>
      <c r="P2697" s="4" t="n">
        <v>45932</v>
      </c>
      <c r="Q2697" s="87" t="n">
        <v>45932</v>
      </c>
      <c r="R2697" s="5" t="n"/>
      <c r="S2697" s="2" t="n"/>
      <c r="T2697" s="3" t="n"/>
      <c r="U2697" s="87" t="n"/>
      <c r="V2697" s="3" t="n"/>
      <c r="W2697" s="108" t="n"/>
      <c r="X2697" s="4" t="n"/>
    </row>
    <row r="2698" ht="24" customHeight="1">
      <c r="A2698" s="2">
        <f>+D2698-S2698</f>
        <v/>
      </c>
      <c r="B2698" s="80" t="n">
        <v>4290</v>
      </c>
      <c r="C2698" s="66" t="n">
        <v>45932</v>
      </c>
      <c r="D2698" s="2" t="n">
        <v>1</v>
      </c>
      <c r="E2698" s="3" t="inlineStr">
        <is>
          <t>PISTOLA SEMIAUTOMATICA</t>
        </is>
      </c>
      <c r="F2698" s="3" t="inlineStr">
        <is>
          <t xml:space="preserve">9 </t>
        </is>
      </c>
      <c r="G2698" s="3" t="inlineStr">
        <is>
          <t>WALTHER</t>
        </is>
      </c>
      <c r="H2698" s="65" t="inlineStr">
        <is>
          <t>PDP COMPACT  LUGER 4''</t>
        </is>
      </c>
      <c r="I2698" s="65" t="inlineStr">
        <is>
          <t>FEH2096</t>
        </is>
      </c>
      <c r="J2698" s="65" t="inlineStr">
        <is>
          <t>N/D</t>
        </is>
      </c>
      <c r="K2698" s="65" t="inlineStr">
        <is>
          <t>N/D</t>
        </is>
      </c>
      <c r="L2698" s="127" t="inlineStr">
        <is>
          <t>BIGNAMI SPA</t>
        </is>
      </c>
      <c r="M2698" s="5" t="n">
        <v>583.64</v>
      </c>
      <c r="N2698" s="5" t="n"/>
      <c r="O2698" s="5">
        <f>+M2698+N2698</f>
        <v/>
      </c>
      <c r="P2698" s="4" t="n">
        <v>45932</v>
      </c>
      <c r="Q2698" s="87" t="n">
        <v>45932</v>
      </c>
      <c r="R2698" s="5" t="n"/>
      <c r="S2698" s="2" t="n"/>
      <c r="T2698" s="3" t="n"/>
      <c r="U2698" s="87" t="n"/>
      <c r="V2698" s="3" t="n"/>
      <c r="W2698" s="108" t="n"/>
      <c r="X2698" s="4" t="n"/>
    </row>
    <row r="2699" ht="24" customHeight="1">
      <c r="A2699" s="2">
        <f>+D2699-S2699</f>
        <v/>
      </c>
      <c r="B2699" s="80" t="n">
        <v>4291</v>
      </c>
      <c r="C2699" s="66" t="n">
        <v>45932</v>
      </c>
      <c r="D2699" s="2" t="n">
        <v>1</v>
      </c>
      <c r="E2699" s="3" t="inlineStr">
        <is>
          <t>PISTOLA SEMIAUTOMATICA</t>
        </is>
      </c>
      <c r="F2699" s="3" t="inlineStr">
        <is>
          <t xml:space="preserve">9 </t>
        </is>
      </c>
      <c r="G2699" s="3" t="inlineStr">
        <is>
          <t>WALTHER</t>
        </is>
      </c>
      <c r="H2699" s="65" t="inlineStr">
        <is>
          <t>PDP COMPACT  LUGER 4''</t>
        </is>
      </c>
      <c r="I2699" s="65" t="inlineStr">
        <is>
          <t>FEH2071</t>
        </is>
      </c>
      <c r="J2699" s="65" t="inlineStr">
        <is>
          <t>N/D</t>
        </is>
      </c>
      <c r="K2699" s="65" t="inlineStr">
        <is>
          <t>N/D</t>
        </is>
      </c>
      <c r="L2699" s="127" t="inlineStr">
        <is>
          <t>BIGNAMI SPA</t>
        </is>
      </c>
      <c r="M2699" s="5" t="n">
        <v>583.64</v>
      </c>
      <c r="N2699" s="5" t="n"/>
      <c r="O2699" s="5">
        <f>+M2699+N2699</f>
        <v/>
      </c>
      <c r="P2699" s="4" t="n">
        <v>45932</v>
      </c>
      <c r="Q2699" s="87" t="n">
        <v>45932</v>
      </c>
      <c r="R2699" s="5" t="n"/>
      <c r="S2699" s="2" t="n"/>
      <c r="T2699" s="3" t="n"/>
      <c r="U2699" s="87" t="n"/>
      <c r="V2699" s="3" t="n"/>
      <c r="W2699" s="108" t="n"/>
      <c r="X2699" s="4" t="n"/>
    </row>
    <row r="2700" ht="24" customHeight="1">
      <c r="A2700" s="2">
        <f>+D2700-S2700</f>
        <v/>
      </c>
      <c r="B2700" s="80" t="n">
        <v>4292</v>
      </c>
      <c r="C2700" s="66" t="n">
        <v>45932</v>
      </c>
      <c r="D2700" s="2" t="n">
        <v>1</v>
      </c>
      <c r="E2700" s="3" t="inlineStr">
        <is>
          <t>PISTOLA SEMIAUTOMATICA</t>
        </is>
      </c>
      <c r="F2700" s="3" t="inlineStr">
        <is>
          <t xml:space="preserve">9 </t>
        </is>
      </c>
      <c r="G2700" s="3" t="inlineStr">
        <is>
          <t>WALTHER</t>
        </is>
      </c>
      <c r="H2700" s="65" t="inlineStr">
        <is>
          <t>PDP COMPACT  LUGER 4''</t>
        </is>
      </c>
      <c r="I2700" s="65" t="inlineStr">
        <is>
          <t>FEH2107</t>
        </is>
      </c>
      <c r="J2700" s="65" t="inlineStr">
        <is>
          <t>N/D</t>
        </is>
      </c>
      <c r="K2700" s="65" t="inlineStr">
        <is>
          <t>N/D</t>
        </is>
      </c>
      <c r="L2700" s="127" t="inlineStr">
        <is>
          <t>BIGNAMI SPA</t>
        </is>
      </c>
      <c r="M2700" s="5" t="n">
        <v>583.64</v>
      </c>
      <c r="N2700" s="5" t="n"/>
      <c r="O2700" s="5">
        <f>+M2700+N2700</f>
        <v/>
      </c>
      <c r="P2700" s="4" t="n">
        <v>45932</v>
      </c>
      <c r="Q2700" s="87" t="n">
        <v>45932</v>
      </c>
      <c r="R2700" s="5" t="n"/>
      <c r="S2700" s="2" t="n"/>
      <c r="T2700" s="3" t="n"/>
      <c r="U2700" s="87" t="n"/>
      <c r="V2700" s="3" t="n"/>
      <c r="W2700" s="108" t="n"/>
      <c r="X2700" s="4" t="n"/>
    </row>
    <row r="2701" ht="24" customHeight="1">
      <c r="A2701" s="2">
        <f>+D2701-S2701</f>
        <v/>
      </c>
      <c r="B2701" s="80" t="n">
        <v>4293</v>
      </c>
      <c r="C2701" s="66" t="n">
        <v>45932</v>
      </c>
      <c r="D2701" s="2" t="n">
        <v>1</v>
      </c>
      <c r="E2701" s="3" t="inlineStr">
        <is>
          <t>PISTOLA SEMIAUTOMATICA</t>
        </is>
      </c>
      <c r="F2701" s="3" t="inlineStr">
        <is>
          <t xml:space="preserve">9 </t>
        </is>
      </c>
      <c r="G2701" s="3" t="inlineStr">
        <is>
          <t>WALTHER</t>
        </is>
      </c>
      <c r="H2701" s="65" t="inlineStr">
        <is>
          <t>PDP FS LUGER 4.5''</t>
        </is>
      </c>
      <c r="I2701" s="65" t="inlineStr">
        <is>
          <t>FEJ2990</t>
        </is>
      </c>
      <c r="J2701" s="65" t="inlineStr">
        <is>
          <t>N/D</t>
        </is>
      </c>
      <c r="K2701" s="65" t="inlineStr">
        <is>
          <t>N/D</t>
        </is>
      </c>
      <c r="L2701" s="127" t="inlineStr">
        <is>
          <t>BIGNAMI SPA</t>
        </is>
      </c>
      <c r="M2701" s="5" t="n">
        <v>583.64</v>
      </c>
      <c r="N2701" s="5" t="n"/>
      <c r="O2701" s="5">
        <f>+M2701+N2701</f>
        <v/>
      </c>
      <c r="P2701" s="4" t="n">
        <v>45932</v>
      </c>
      <c r="Q2701" s="87" t="n">
        <v>45932</v>
      </c>
      <c r="R2701" s="5" t="n"/>
      <c r="S2701" s="2" t="n"/>
      <c r="T2701" s="3" t="n"/>
      <c r="U2701" s="87" t="n"/>
      <c r="V2701" s="3" t="n"/>
      <c r="W2701" s="108" t="n"/>
      <c r="X2701" s="4" t="n"/>
    </row>
    <row r="2702" ht="24" customHeight="1">
      <c r="A2702" s="2">
        <f>+D2702-S2702</f>
        <v/>
      </c>
      <c r="B2702" s="80" t="n">
        <v>4294</v>
      </c>
      <c r="C2702" s="66" t="n">
        <v>45932</v>
      </c>
      <c r="D2702" s="2" t="n">
        <v>1</v>
      </c>
      <c r="E2702" s="3" t="inlineStr">
        <is>
          <t>PISTOLA SEMIAUTOMATICA</t>
        </is>
      </c>
      <c r="F2702" s="3" t="inlineStr">
        <is>
          <t xml:space="preserve">9 </t>
        </is>
      </c>
      <c r="G2702" s="3" t="inlineStr">
        <is>
          <t>WALTHER</t>
        </is>
      </c>
      <c r="H2702" s="65" t="inlineStr">
        <is>
          <t>PDP FS LUGER 4.5''</t>
        </is>
      </c>
      <c r="I2702" s="65" t="inlineStr">
        <is>
          <t>FEI9419</t>
        </is>
      </c>
      <c r="J2702" s="65" t="inlineStr">
        <is>
          <t>N/D</t>
        </is>
      </c>
      <c r="K2702" s="65" t="inlineStr">
        <is>
          <t>N/D</t>
        </is>
      </c>
      <c r="L2702" s="127" t="inlineStr">
        <is>
          <t>BIGNAMI SPA</t>
        </is>
      </c>
      <c r="M2702" s="5" t="n">
        <v>583.64</v>
      </c>
      <c r="N2702" s="5" t="n"/>
      <c r="O2702" s="5">
        <f>+M2702+N2702</f>
        <v/>
      </c>
      <c r="P2702" s="4" t="n">
        <v>45932</v>
      </c>
      <c r="Q2702" s="87" t="n">
        <v>45932</v>
      </c>
      <c r="R2702" s="5" t="n">
        <v>701.11</v>
      </c>
      <c r="S2702" s="2" t="n">
        <v>1</v>
      </c>
      <c r="T2702" s="3" t="inlineStr">
        <is>
          <t>6B/2025/6D</t>
        </is>
      </c>
      <c r="U2702" s="87" t="n">
        <v>45932</v>
      </c>
      <c r="V2702" s="3" t="inlineStr">
        <is>
          <t>30</t>
        </is>
      </c>
      <c r="W2702" s="108" t="n">
        <v>45932</v>
      </c>
      <c r="X2702" s="4" t="inlineStr">
        <is>
          <t xml:space="preserve">Bin Humaid National Trading Co </t>
        </is>
      </c>
    </row>
    <row r="2703" ht="24" customHeight="1">
      <c r="A2703" s="2">
        <f>+D2703-S2703</f>
        <v/>
      </c>
      <c r="B2703" s="80" t="n">
        <v>4295</v>
      </c>
      <c r="C2703" s="66" t="n">
        <v>45932</v>
      </c>
      <c r="D2703" s="2" t="n">
        <v>1</v>
      </c>
      <c r="E2703" s="3" t="inlineStr">
        <is>
          <t>PISTOLA SEMIAUTOMATICA</t>
        </is>
      </c>
      <c r="F2703" s="3" t="inlineStr">
        <is>
          <t xml:space="preserve">9 </t>
        </is>
      </c>
      <c r="G2703" s="3" t="inlineStr">
        <is>
          <t>WALTHER</t>
        </is>
      </c>
      <c r="H2703" s="65" t="inlineStr">
        <is>
          <t>PDP FS LUGER 4.5''</t>
        </is>
      </c>
      <c r="I2703" s="65" t="inlineStr">
        <is>
          <t>FEI9421</t>
        </is>
      </c>
      <c r="J2703" s="65" t="inlineStr">
        <is>
          <t>N/D</t>
        </is>
      </c>
      <c r="K2703" s="65" t="inlineStr">
        <is>
          <t>N/D</t>
        </is>
      </c>
      <c r="L2703" s="127" t="inlineStr">
        <is>
          <t>BIGNAMI SPA</t>
        </is>
      </c>
      <c r="M2703" s="5" t="n">
        <v>583.64</v>
      </c>
      <c r="N2703" s="5" t="n"/>
      <c r="O2703" s="5">
        <f>+M2703+N2703</f>
        <v/>
      </c>
      <c r="P2703" s="4" t="n">
        <v>45932</v>
      </c>
      <c r="Q2703" s="87" t="n">
        <v>45932</v>
      </c>
      <c r="R2703" s="5" t="n">
        <v>701.11</v>
      </c>
      <c r="S2703" s="2" t="n">
        <v>1</v>
      </c>
      <c r="T2703" s="3" t="inlineStr">
        <is>
          <t>6B/2025/6D</t>
        </is>
      </c>
      <c r="U2703" s="87" t="n">
        <v>45932</v>
      </c>
      <c r="V2703" s="3" t="inlineStr">
        <is>
          <t>30</t>
        </is>
      </c>
      <c r="W2703" s="108" t="n">
        <v>45932</v>
      </c>
      <c r="X2703" s="4" t="inlineStr">
        <is>
          <t xml:space="preserve">Bin Humaid National Trading Co </t>
        </is>
      </c>
    </row>
    <row r="2704" ht="24" customHeight="1">
      <c r="A2704" s="2">
        <f>+D2704-S2704</f>
        <v/>
      </c>
      <c r="B2704" s="80" t="n">
        <v>4296</v>
      </c>
      <c r="C2704" s="66" t="n">
        <v>45932</v>
      </c>
      <c r="D2704" s="2" t="n">
        <v>1</v>
      </c>
      <c r="E2704" s="3" t="inlineStr">
        <is>
          <t>PISTOLA SEMIAUTOMATICA</t>
        </is>
      </c>
      <c r="F2704" s="3" t="inlineStr">
        <is>
          <t xml:space="preserve">9 </t>
        </is>
      </c>
      <c r="G2704" s="3" t="inlineStr">
        <is>
          <t>WALTHER</t>
        </is>
      </c>
      <c r="H2704" s="65" t="inlineStr">
        <is>
          <t>PDP FS LUGER 4.5''</t>
        </is>
      </c>
      <c r="I2704" s="65" t="inlineStr">
        <is>
          <t>FEI9414</t>
        </is>
      </c>
      <c r="J2704" s="65" t="inlineStr">
        <is>
          <t>N/D</t>
        </is>
      </c>
      <c r="K2704" s="65" t="inlineStr">
        <is>
          <t>N/D</t>
        </is>
      </c>
      <c r="L2704" s="127" t="inlineStr">
        <is>
          <t>BIGNAMI SPA</t>
        </is>
      </c>
      <c r="M2704" s="5" t="n">
        <v>583.64</v>
      </c>
      <c r="N2704" s="5" t="n"/>
      <c r="O2704" s="5">
        <f>+M2704+N2704</f>
        <v/>
      </c>
      <c r="P2704" s="4" t="n">
        <v>45932</v>
      </c>
      <c r="Q2704" s="87" t="n">
        <v>45932</v>
      </c>
      <c r="R2704" s="5" t="n">
        <v>701.11</v>
      </c>
      <c r="S2704" s="2" t="n">
        <v>1</v>
      </c>
      <c r="T2704" s="3" t="inlineStr">
        <is>
          <t>6B/2025/6D</t>
        </is>
      </c>
      <c r="U2704" s="87" t="n">
        <v>45932</v>
      </c>
      <c r="V2704" s="3" t="inlineStr">
        <is>
          <t>30</t>
        </is>
      </c>
      <c r="W2704" s="108" t="n">
        <v>45932</v>
      </c>
      <c r="X2704" s="4" t="inlineStr">
        <is>
          <t xml:space="preserve">Bin Humaid National Trading Co </t>
        </is>
      </c>
    </row>
    <row r="2705" ht="24" customHeight="1">
      <c r="A2705" s="2">
        <f>+D2705-S2705</f>
        <v/>
      </c>
      <c r="B2705" s="80" t="n">
        <v>4297</v>
      </c>
      <c r="C2705" s="66" t="n">
        <v>45932</v>
      </c>
      <c r="D2705" s="2" t="n">
        <v>1</v>
      </c>
      <c r="E2705" s="3" t="inlineStr">
        <is>
          <t>PISTOLA SEMIAUTOMATICA</t>
        </is>
      </c>
      <c r="F2705" s="3" t="inlineStr">
        <is>
          <t xml:space="preserve">9 </t>
        </is>
      </c>
      <c r="G2705" s="3" t="inlineStr">
        <is>
          <t>WALTHER</t>
        </is>
      </c>
      <c r="H2705" s="65" t="inlineStr">
        <is>
          <t>PDP FS LUGER 4.5''</t>
        </is>
      </c>
      <c r="I2705" s="65" t="inlineStr">
        <is>
          <t>FEI9415</t>
        </is>
      </c>
      <c r="J2705" s="65" t="inlineStr">
        <is>
          <t>N/D</t>
        </is>
      </c>
      <c r="K2705" s="65" t="inlineStr">
        <is>
          <t>N/D</t>
        </is>
      </c>
      <c r="L2705" s="127" t="inlineStr">
        <is>
          <t>BIGNAMI SPA</t>
        </is>
      </c>
      <c r="M2705" s="5" t="n">
        <v>583.64</v>
      </c>
      <c r="N2705" s="5" t="n"/>
      <c r="O2705" s="5">
        <f>+M2705+N2705</f>
        <v/>
      </c>
      <c r="P2705" s="4" t="n">
        <v>45932</v>
      </c>
      <c r="Q2705" s="87" t="n">
        <v>45932</v>
      </c>
      <c r="R2705" s="5" t="n">
        <v>701.11</v>
      </c>
      <c r="S2705" s="2" t="n">
        <v>1</v>
      </c>
      <c r="T2705" s="3" t="inlineStr">
        <is>
          <t>6B/2025/6D</t>
        </is>
      </c>
      <c r="U2705" s="87" t="n">
        <v>45932</v>
      </c>
      <c r="V2705" s="3" t="inlineStr">
        <is>
          <t>30</t>
        </is>
      </c>
      <c r="W2705" s="108" t="n">
        <v>45932</v>
      </c>
      <c r="X2705" s="4" t="inlineStr">
        <is>
          <t xml:space="preserve">Bin Humaid National Trading Co </t>
        </is>
      </c>
    </row>
    <row r="2706" ht="24" customHeight="1">
      <c r="A2706" s="2">
        <f>+D2706-S2706</f>
        <v/>
      </c>
      <c r="B2706" s="80" t="n">
        <v>4298</v>
      </c>
      <c r="C2706" s="66" t="n">
        <v>45932</v>
      </c>
      <c r="D2706" s="2" t="n">
        <v>1</v>
      </c>
      <c r="E2706" s="3" t="inlineStr">
        <is>
          <t>PISTOLA SEMIAUTOMATICA</t>
        </is>
      </c>
      <c r="F2706" s="3" t="inlineStr">
        <is>
          <t xml:space="preserve">9 </t>
        </is>
      </c>
      <c r="G2706" s="3" t="inlineStr">
        <is>
          <t>WALTHER</t>
        </is>
      </c>
      <c r="H2706" s="65" t="inlineStr">
        <is>
          <t>PDP FS LUGER 4.5''</t>
        </is>
      </c>
      <c r="I2706" s="65" t="inlineStr">
        <is>
          <t>FEI9418</t>
        </is>
      </c>
      <c r="J2706" s="65" t="inlineStr">
        <is>
          <t>N/D</t>
        </is>
      </c>
      <c r="K2706" s="65" t="inlineStr">
        <is>
          <t>N/D</t>
        </is>
      </c>
      <c r="L2706" s="127" t="inlineStr">
        <is>
          <t>BIGNAMI SPA</t>
        </is>
      </c>
      <c r="M2706" s="5" t="n">
        <v>583.64</v>
      </c>
      <c r="N2706" s="5" t="n"/>
      <c r="O2706" s="5">
        <f>+M2706+N2706</f>
        <v/>
      </c>
      <c r="P2706" s="4" t="n">
        <v>45932</v>
      </c>
      <c r="Q2706" s="87" t="n">
        <v>45932</v>
      </c>
      <c r="R2706" s="5" t="n">
        <v>701.11</v>
      </c>
      <c r="S2706" s="2" t="n">
        <v>1</v>
      </c>
      <c r="T2706" s="3" t="inlineStr">
        <is>
          <t>6B/2025/6D</t>
        </is>
      </c>
      <c r="U2706" s="87" t="n">
        <v>45932</v>
      </c>
      <c r="V2706" s="3" t="inlineStr">
        <is>
          <t>30</t>
        </is>
      </c>
      <c r="W2706" s="108" t="n">
        <v>45932</v>
      </c>
      <c r="X2706" s="4" t="inlineStr">
        <is>
          <t xml:space="preserve">Bin Humaid National Trading Co </t>
        </is>
      </c>
    </row>
    <row r="2707" ht="24" customHeight="1">
      <c r="A2707" s="2">
        <f>+D2707-S2707</f>
        <v/>
      </c>
      <c r="B2707" s="80" t="n">
        <v>4299</v>
      </c>
      <c r="C2707" s="66" t="n">
        <v>45932</v>
      </c>
      <c r="D2707" s="2" t="n">
        <v>1</v>
      </c>
      <c r="E2707" s="3" t="inlineStr">
        <is>
          <t>PISTOLA SEMIAUTOMATICA</t>
        </is>
      </c>
      <c r="F2707" s="3" t="inlineStr">
        <is>
          <t xml:space="preserve">9 </t>
        </is>
      </c>
      <c r="G2707" s="3" t="inlineStr">
        <is>
          <t>WALTHER</t>
        </is>
      </c>
      <c r="H2707" s="65" t="inlineStr">
        <is>
          <t>PDP FS LUGER 4.5''</t>
        </is>
      </c>
      <c r="I2707" s="65" t="inlineStr">
        <is>
          <t>FEI9440</t>
        </is>
      </c>
      <c r="J2707" s="65" t="inlineStr">
        <is>
          <t>N/D</t>
        </is>
      </c>
      <c r="K2707" s="65" t="inlineStr">
        <is>
          <t>N/D</t>
        </is>
      </c>
      <c r="L2707" s="127" t="inlineStr">
        <is>
          <t>BIGNAMI SPA</t>
        </is>
      </c>
      <c r="M2707" s="5" t="n">
        <v>583.64</v>
      </c>
      <c r="N2707" s="5" t="n"/>
      <c r="O2707" s="5">
        <f>+M2707+N2707</f>
        <v/>
      </c>
      <c r="P2707" s="4" t="n">
        <v>45932</v>
      </c>
      <c r="Q2707" s="87" t="n">
        <v>45932</v>
      </c>
      <c r="R2707" s="5" t="n">
        <v>701.11</v>
      </c>
      <c r="S2707" s="2" t="n">
        <v>1</v>
      </c>
      <c r="T2707" s="3" t="inlineStr">
        <is>
          <t>6B/2025/6D</t>
        </is>
      </c>
      <c r="U2707" s="87" t="n">
        <v>45932</v>
      </c>
      <c r="V2707" s="3" t="inlineStr">
        <is>
          <t>30</t>
        </is>
      </c>
      <c r="W2707" s="108" t="n">
        <v>45932</v>
      </c>
      <c r="X2707" s="4" t="inlineStr">
        <is>
          <t xml:space="preserve">Bin Humaid National Trading Co </t>
        </is>
      </c>
    </row>
    <row r="2708" ht="24" customHeight="1">
      <c r="A2708" s="2">
        <f>+D2708-S2708</f>
        <v/>
      </c>
      <c r="B2708" s="80" t="n">
        <v>4300</v>
      </c>
      <c r="C2708" s="66" t="n">
        <v>45932</v>
      </c>
      <c r="D2708" s="2" t="n">
        <v>1</v>
      </c>
      <c r="E2708" s="3" t="inlineStr">
        <is>
          <t>PISTOLA SEMIAUTOMATICA</t>
        </is>
      </c>
      <c r="F2708" s="3" t="inlineStr">
        <is>
          <t xml:space="preserve">9 </t>
        </is>
      </c>
      <c r="G2708" s="3" t="inlineStr">
        <is>
          <t>WALTHER</t>
        </is>
      </c>
      <c r="H2708" s="65" t="inlineStr">
        <is>
          <t>PDP FS LUGER 4.5''</t>
        </is>
      </c>
      <c r="I2708" s="65" t="inlineStr">
        <is>
          <t>FEI9417</t>
        </is>
      </c>
      <c r="J2708" s="65" t="inlineStr">
        <is>
          <t>N/D</t>
        </is>
      </c>
      <c r="K2708" s="65" t="inlineStr">
        <is>
          <t>N/D</t>
        </is>
      </c>
      <c r="L2708" s="127" t="inlineStr">
        <is>
          <t>BIGNAMI SPA</t>
        </is>
      </c>
      <c r="M2708" s="5" t="n">
        <v>583.64</v>
      </c>
      <c r="N2708" s="5" t="n"/>
      <c r="O2708" s="5">
        <f>+M2708+N2708</f>
        <v/>
      </c>
      <c r="P2708" s="4" t="n">
        <v>45932</v>
      </c>
      <c r="Q2708" s="87" t="n">
        <v>45932</v>
      </c>
      <c r="R2708" s="5" t="n">
        <v>701.11</v>
      </c>
      <c r="S2708" s="2" t="n">
        <v>1</v>
      </c>
      <c r="T2708" s="3" t="inlineStr">
        <is>
          <t>6B/2025/6D</t>
        </is>
      </c>
      <c r="U2708" s="87" t="n">
        <v>45932</v>
      </c>
      <c r="V2708" s="3" t="inlineStr">
        <is>
          <t>30</t>
        </is>
      </c>
      <c r="W2708" s="108" t="n">
        <v>45932</v>
      </c>
      <c r="X2708" s="4" t="inlineStr">
        <is>
          <t xml:space="preserve">Bin Humaid National Trading Co </t>
        </is>
      </c>
    </row>
    <row r="2709" ht="24" customHeight="1">
      <c r="A2709" s="2">
        <f>+D2709-S2709</f>
        <v/>
      </c>
      <c r="B2709" s="80" t="n">
        <v>4301</v>
      </c>
      <c r="C2709" s="66" t="n">
        <v>45932</v>
      </c>
      <c r="D2709" s="2" t="n">
        <v>1</v>
      </c>
      <c r="E2709" s="3" t="inlineStr">
        <is>
          <t>PISTOLA SEMIAUTOMATICA</t>
        </is>
      </c>
      <c r="F2709" s="3" t="inlineStr">
        <is>
          <t xml:space="preserve">9 </t>
        </is>
      </c>
      <c r="G2709" s="3" t="inlineStr">
        <is>
          <t>WALTHER</t>
        </is>
      </c>
      <c r="H2709" s="65" t="inlineStr">
        <is>
          <t>PDP FS LUGER 4.5''</t>
        </is>
      </c>
      <c r="I2709" s="65" t="inlineStr">
        <is>
          <t>FEI9438</t>
        </is>
      </c>
      <c r="J2709" s="65" t="inlineStr">
        <is>
          <t>N/D</t>
        </is>
      </c>
      <c r="K2709" s="65" t="inlineStr">
        <is>
          <t>N/D</t>
        </is>
      </c>
      <c r="L2709" s="127" t="inlineStr">
        <is>
          <t>BIGNAMI SPA</t>
        </is>
      </c>
      <c r="M2709" s="5" t="n">
        <v>583.64</v>
      </c>
      <c r="N2709" s="5" t="n"/>
      <c r="O2709" s="5">
        <f>+M2709+N2709</f>
        <v/>
      </c>
      <c r="P2709" s="4" t="n">
        <v>45932</v>
      </c>
      <c r="Q2709" s="87" t="n">
        <v>45932</v>
      </c>
      <c r="R2709" s="5" t="n">
        <v>701.11</v>
      </c>
      <c r="S2709" s="2" t="n">
        <v>1</v>
      </c>
      <c r="T2709" s="3" t="inlineStr">
        <is>
          <t>6B/2025/6D</t>
        </is>
      </c>
      <c r="U2709" s="87" t="n">
        <v>45932</v>
      </c>
      <c r="V2709" s="3" t="inlineStr">
        <is>
          <t>30</t>
        </is>
      </c>
      <c r="W2709" s="108" t="n">
        <v>45932</v>
      </c>
      <c r="X2709" s="4" t="inlineStr">
        <is>
          <t xml:space="preserve">Bin Humaid National Trading Co </t>
        </is>
      </c>
    </row>
    <row r="2710" ht="24" customHeight="1">
      <c r="A2710" s="2">
        <f>+D2710-S2710</f>
        <v/>
      </c>
      <c r="B2710" s="80" t="n">
        <v>4302</v>
      </c>
      <c r="C2710" s="66" t="n">
        <v>45932</v>
      </c>
      <c r="D2710" s="2" t="n">
        <v>1</v>
      </c>
      <c r="E2710" s="3" t="inlineStr">
        <is>
          <t>PISTOLA SEMIAUTOMATICA</t>
        </is>
      </c>
      <c r="F2710" s="3" t="inlineStr">
        <is>
          <t xml:space="preserve">9 </t>
        </is>
      </c>
      <c r="G2710" s="3" t="inlineStr">
        <is>
          <t>WALTHER</t>
        </is>
      </c>
      <c r="H2710" s="65" t="inlineStr">
        <is>
          <t>PDP FS LUGER 4.5''</t>
        </is>
      </c>
      <c r="I2710" s="65" t="inlineStr">
        <is>
          <t>FEI9439</t>
        </is>
      </c>
      <c r="J2710" s="65" t="inlineStr">
        <is>
          <t>N/D</t>
        </is>
      </c>
      <c r="K2710" s="65" t="inlineStr">
        <is>
          <t>N/D</t>
        </is>
      </c>
      <c r="L2710" s="127" t="inlineStr">
        <is>
          <t>BIGNAMI SPA</t>
        </is>
      </c>
      <c r="M2710" s="5" t="n">
        <v>583.64</v>
      </c>
      <c r="N2710" s="5" t="n"/>
      <c r="O2710" s="5">
        <f>+M2710+N2710</f>
        <v/>
      </c>
      <c r="P2710" s="4" t="n">
        <v>45932</v>
      </c>
      <c r="Q2710" s="87" t="n">
        <v>45932</v>
      </c>
      <c r="R2710" s="5" t="n">
        <v>701.11</v>
      </c>
      <c r="S2710" s="2" t="n">
        <v>1</v>
      </c>
      <c r="T2710" s="3" t="inlineStr">
        <is>
          <t>6B/2025/6D</t>
        </is>
      </c>
      <c r="U2710" s="87" t="n">
        <v>45932</v>
      </c>
      <c r="V2710" s="3" t="inlineStr">
        <is>
          <t>30</t>
        </is>
      </c>
      <c r="W2710" s="108" t="n">
        <v>45932</v>
      </c>
      <c r="X2710" s="4" t="inlineStr">
        <is>
          <t xml:space="preserve">Bin Humaid National Trading Co </t>
        </is>
      </c>
    </row>
    <row r="2711" ht="24" customHeight="1">
      <c r="A2711" s="2">
        <f>+D2711-S2711</f>
        <v/>
      </c>
      <c r="B2711" s="80" t="n">
        <v>4303</v>
      </c>
      <c r="C2711" s="66" t="n">
        <v>45932</v>
      </c>
      <c r="D2711" s="2" t="n">
        <v>1</v>
      </c>
      <c r="E2711" s="3" t="inlineStr">
        <is>
          <t>PISTOLA SEMIAUTOMATICA</t>
        </is>
      </c>
      <c r="F2711" s="3" t="inlineStr">
        <is>
          <t xml:space="preserve">9 </t>
        </is>
      </c>
      <c r="G2711" s="3" t="inlineStr">
        <is>
          <t>WALTHER</t>
        </is>
      </c>
      <c r="H2711" s="65" t="inlineStr">
        <is>
          <t>PDP FS LUGER 4.5''</t>
        </is>
      </c>
      <c r="I2711" s="65" t="inlineStr">
        <is>
          <t>FEI9412</t>
        </is>
      </c>
      <c r="J2711" s="65" t="inlineStr">
        <is>
          <t>N/D</t>
        </is>
      </c>
      <c r="K2711" s="65" t="inlineStr">
        <is>
          <t>N/D</t>
        </is>
      </c>
      <c r="L2711" s="127" t="inlineStr">
        <is>
          <t>BIGNAMI SPA</t>
        </is>
      </c>
      <c r="M2711" s="5" t="n">
        <v>583.64</v>
      </c>
      <c r="N2711" s="5" t="n"/>
      <c r="O2711" s="5">
        <f>+M2711+N2711</f>
        <v/>
      </c>
      <c r="P2711" s="4" t="n">
        <v>45932</v>
      </c>
      <c r="Q2711" s="87" t="n">
        <v>45932</v>
      </c>
      <c r="R2711" s="5" t="n">
        <v>701.11</v>
      </c>
      <c r="S2711" s="2" t="n">
        <v>1</v>
      </c>
      <c r="T2711" s="3" t="inlineStr">
        <is>
          <t>6B/2025/6D</t>
        </is>
      </c>
      <c r="U2711" s="87" t="n">
        <v>45932</v>
      </c>
      <c r="V2711" s="3" t="inlineStr">
        <is>
          <t>30</t>
        </is>
      </c>
      <c r="W2711" s="108" t="n">
        <v>45932</v>
      </c>
      <c r="X2711" s="4" t="inlineStr">
        <is>
          <t xml:space="preserve">Bin Humaid National Trading Co </t>
        </is>
      </c>
    </row>
    <row r="2712" ht="24" customHeight="1">
      <c r="A2712" s="2">
        <f>+D2712-S2712</f>
        <v/>
      </c>
      <c r="B2712" s="80" t="n">
        <v>4304</v>
      </c>
      <c r="C2712" s="66" t="n">
        <v>45932</v>
      </c>
      <c r="D2712" s="2" t="n">
        <v>1</v>
      </c>
      <c r="E2712" s="3" t="inlineStr">
        <is>
          <t>PISTOLA SEMIAUTOMATICA</t>
        </is>
      </c>
      <c r="F2712" s="3" t="inlineStr">
        <is>
          <t xml:space="preserve">9 </t>
        </is>
      </c>
      <c r="G2712" s="3" t="inlineStr">
        <is>
          <t>WALTHER</t>
        </is>
      </c>
      <c r="H2712" s="65" t="inlineStr">
        <is>
          <t>PDP FS LUGER 4.5''</t>
        </is>
      </c>
      <c r="I2712" s="65" t="inlineStr">
        <is>
          <t>FEI9416</t>
        </is>
      </c>
      <c r="J2712" s="65" t="inlineStr">
        <is>
          <t>N/D</t>
        </is>
      </c>
      <c r="K2712" s="65" t="inlineStr">
        <is>
          <t>N/D</t>
        </is>
      </c>
      <c r="L2712" s="127" t="inlineStr">
        <is>
          <t>BIGNAMI SPA</t>
        </is>
      </c>
      <c r="M2712" s="5" t="n">
        <v>583.64</v>
      </c>
      <c r="N2712" s="5" t="n"/>
      <c r="O2712" s="5">
        <f>+M2712+N2712</f>
        <v/>
      </c>
      <c r="P2712" s="4" t="n">
        <v>45932</v>
      </c>
      <c r="Q2712" s="87" t="n">
        <v>45932</v>
      </c>
      <c r="R2712" s="5" t="n"/>
      <c r="S2712" s="2" t="n"/>
      <c r="T2712" s="3" t="n"/>
      <c r="U2712" s="87" t="n"/>
      <c r="V2712" s="3" t="n"/>
      <c r="W2712" s="108" t="n"/>
      <c r="X2712" s="4" t="n"/>
    </row>
    <row r="2713" ht="24" customHeight="1">
      <c r="A2713" s="2">
        <f>+D2713-S2713</f>
        <v/>
      </c>
      <c r="B2713" s="80" t="n">
        <v>4305</v>
      </c>
      <c r="C2713" s="66" t="n">
        <v>45932</v>
      </c>
      <c r="D2713" s="2" t="n">
        <v>1</v>
      </c>
      <c r="E2713" s="3" t="inlineStr">
        <is>
          <t>PISTOLA SEMIAUTOMATICA</t>
        </is>
      </c>
      <c r="F2713" s="3" t="inlineStr">
        <is>
          <t xml:space="preserve">9 </t>
        </is>
      </c>
      <c r="G2713" s="3" t="inlineStr">
        <is>
          <t>WALTHER</t>
        </is>
      </c>
      <c r="H2713" s="65" t="inlineStr">
        <is>
          <t>PDP MATCH SF LUGER 5''</t>
        </is>
      </c>
      <c r="I2713" s="65" t="inlineStr">
        <is>
          <t>FEH3965</t>
        </is>
      </c>
      <c r="J2713" s="65" t="inlineStr">
        <is>
          <t>N/D</t>
        </is>
      </c>
      <c r="K2713" s="65" t="inlineStr">
        <is>
          <t>N/D</t>
        </is>
      </c>
      <c r="L2713" s="127" t="inlineStr">
        <is>
          <t>BIGNAMI SPA</t>
        </is>
      </c>
      <c r="M2713" s="5" t="n">
        <v>1381.03</v>
      </c>
      <c r="N2713" s="5" t="n"/>
      <c r="O2713" s="5">
        <f>+M2713+N2713</f>
        <v/>
      </c>
      <c r="P2713" s="4" t="n">
        <v>45932</v>
      </c>
      <c r="Q2713" s="87" t="n">
        <v>45932</v>
      </c>
      <c r="R2713" s="5" t="n">
        <v>1533.11</v>
      </c>
      <c r="S2713" s="2" t="n">
        <v>1</v>
      </c>
      <c r="T2713" s="3" t="inlineStr">
        <is>
          <t>6B/2025/6D</t>
        </is>
      </c>
      <c r="U2713" s="87" t="n">
        <v>45932</v>
      </c>
      <c r="V2713" s="3" t="inlineStr">
        <is>
          <t>30</t>
        </is>
      </c>
      <c r="W2713" s="108" t="n">
        <v>45932</v>
      </c>
      <c r="X2713" s="4" t="inlineStr">
        <is>
          <t xml:space="preserve">Bin Humaid National Trading Co </t>
        </is>
      </c>
    </row>
    <row r="2714" ht="24" customHeight="1">
      <c r="A2714" s="2">
        <f>+D2714-S2714</f>
        <v/>
      </c>
      <c r="B2714" s="80" t="n">
        <v>4306</v>
      </c>
      <c r="C2714" s="66" t="n">
        <v>45932</v>
      </c>
      <c r="D2714" s="2" t="n">
        <v>1</v>
      </c>
      <c r="E2714" s="3" t="inlineStr">
        <is>
          <t>PISTOLA SEMIAUTOMATICA</t>
        </is>
      </c>
      <c r="F2714" s="3" t="inlineStr">
        <is>
          <t xml:space="preserve">9 </t>
        </is>
      </c>
      <c r="G2714" s="3" t="inlineStr">
        <is>
          <t>WALTHER</t>
        </is>
      </c>
      <c r="H2714" s="65" t="inlineStr">
        <is>
          <t>PDP MATCH SF LUGER 5''</t>
        </is>
      </c>
      <c r="I2714" s="65" t="inlineStr">
        <is>
          <t>FEH3989</t>
        </is>
      </c>
      <c r="J2714" s="65" t="inlineStr">
        <is>
          <t>N/D</t>
        </is>
      </c>
      <c r="K2714" s="65" t="inlineStr">
        <is>
          <t>N/D</t>
        </is>
      </c>
      <c r="L2714" s="127" t="inlineStr">
        <is>
          <t>BIGNAMI SPA</t>
        </is>
      </c>
      <c r="M2714" s="5" t="n">
        <v>1381.03</v>
      </c>
      <c r="N2714" s="5" t="n"/>
      <c r="O2714" s="5">
        <f>+M2714+N2714</f>
        <v/>
      </c>
      <c r="P2714" s="4" t="n">
        <v>45932</v>
      </c>
      <c r="Q2714" s="87" t="n">
        <v>45932</v>
      </c>
      <c r="R2714" s="5" t="n">
        <v>1533.11</v>
      </c>
      <c r="S2714" s="2" t="n">
        <v>1</v>
      </c>
      <c r="T2714" s="3" t="inlineStr">
        <is>
          <t>6B/2025/6D</t>
        </is>
      </c>
      <c r="U2714" s="87" t="n">
        <v>45932</v>
      </c>
      <c r="V2714" s="3" t="inlineStr">
        <is>
          <t>30</t>
        </is>
      </c>
      <c r="W2714" s="108" t="n">
        <v>45932</v>
      </c>
      <c r="X2714" s="4" t="inlineStr">
        <is>
          <t xml:space="preserve">Bin Humaid National Trading Co </t>
        </is>
      </c>
    </row>
    <row r="2715" ht="24" customHeight="1">
      <c r="A2715" s="2">
        <f>+D2715-S2715</f>
        <v/>
      </c>
      <c r="B2715" s="80" t="n">
        <v>4307</v>
      </c>
      <c r="C2715" s="66" t="n">
        <v>45932</v>
      </c>
      <c r="D2715" s="2" t="n">
        <v>1</v>
      </c>
      <c r="E2715" s="3" t="inlineStr">
        <is>
          <t>PISTOLA SEMIAUTOMATICA</t>
        </is>
      </c>
      <c r="F2715" s="3" t="inlineStr">
        <is>
          <t xml:space="preserve">9 </t>
        </is>
      </c>
      <c r="G2715" s="3" t="inlineStr">
        <is>
          <t>WALTHER</t>
        </is>
      </c>
      <c r="H2715" s="65" t="inlineStr">
        <is>
          <t>PDP MATCH SF LUGER 5''</t>
        </is>
      </c>
      <c r="I2715" s="65" t="inlineStr">
        <is>
          <t>FEH3942</t>
        </is>
      </c>
      <c r="J2715" s="65" t="inlineStr">
        <is>
          <t>N/D</t>
        </is>
      </c>
      <c r="K2715" s="65" t="inlineStr">
        <is>
          <t>N/D</t>
        </is>
      </c>
      <c r="L2715" s="127" t="inlineStr">
        <is>
          <t>BIGNAMI SPA</t>
        </is>
      </c>
      <c r="M2715" s="5" t="n">
        <v>1381.03</v>
      </c>
      <c r="N2715" s="5" t="n"/>
      <c r="O2715" s="5">
        <f>+M2715+N2715</f>
        <v/>
      </c>
      <c r="P2715" s="4" t="n">
        <v>45932</v>
      </c>
      <c r="Q2715" s="87" t="n">
        <v>45932</v>
      </c>
      <c r="R2715" s="5" t="n">
        <v>1533.11</v>
      </c>
      <c r="S2715" s="2" t="n">
        <v>1</v>
      </c>
      <c r="T2715" s="3" t="inlineStr">
        <is>
          <t>6B/2025/6D</t>
        </is>
      </c>
      <c r="U2715" s="87" t="n">
        <v>45932</v>
      </c>
      <c r="V2715" s="3" t="inlineStr">
        <is>
          <t>30</t>
        </is>
      </c>
      <c r="W2715" s="108" t="n">
        <v>45932</v>
      </c>
      <c r="X2715" s="4" t="inlineStr">
        <is>
          <t xml:space="preserve">Bin Humaid National Trading Co </t>
        </is>
      </c>
    </row>
    <row r="2716" ht="24" customHeight="1">
      <c r="A2716" s="2">
        <f>+D2716-S2716</f>
        <v/>
      </c>
      <c r="B2716" s="80" t="n">
        <v>4308</v>
      </c>
      <c r="C2716" s="66" t="n">
        <v>45932</v>
      </c>
      <c r="D2716" s="2" t="n">
        <v>1</v>
      </c>
      <c r="E2716" s="3" t="inlineStr">
        <is>
          <t>PISTOLA SEMIAUTOMATICA</t>
        </is>
      </c>
      <c r="F2716" s="3" t="inlineStr">
        <is>
          <t xml:space="preserve">9 </t>
        </is>
      </c>
      <c r="G2716" s="3" t="inlineStr">
        <is>
          <t>WALTHER</t>
        </is>
      </c>
      <c r="H2716" s="65" t="inlineStr">
        <is>
          <t>PDP MATCH SF LUGER 5''</t>
        </is>
      </c>
      <c r="I2716" s="65" t="inlineStr">
        <is>
          <t>FEH3940</t>
        </is>
      </c>
      <c r="J2716" s="65" t="inlineStr">
        <is>
          <t>N/D</t>
        </is>
      </c>
      <c r="K2716" s="65" t="inlineStr">
        <is>
          <t>N/D</t>
        </is>
      </c>
      <c r="L2716" s="127" t="inlineStr">
        <is>
          <t>BIGNAMI SPA</t>
        </is>
      </c>
      <c r="M2716" s="5" t="n">
        <v>1381.03</v>
      </c>
      <c r="N2716" s="5" t="n"/>
      <c r="O2716" s="5">
        <f>+M2716+N2716</f>
        <v/>
      </c>
      <c r="P2716" s="4" t="n">
        <v>45932</v>
      </c>
      <c r="Q2716" s="87" t="n">
        <v>45932</v>
      </c>
      <c r="R2716" s="5" t="n">
        <v>1533.11</v>
      </c>
      <c r="S2716" s="2" t="n">
        <v>1</v>
      </c>
      <c r="T2716" s="3" t="inlineStr">
        <is>
          <t>6B/2025/6D</t>
        </is>
      </c>
      <c r="U2716" s="87" t="n">
        <v>45932</v>
      </c>
      <c r="V2716" s="3" t="inlineStr">
        <is>
          <t>30</t>
        </is>
      </c>
      <c r="W2716" s="108" t="n">
        <v>45932</v>
      </c>
      <c r="X2716" s="4" t="inlineStr">
        <is>
          <t xml:space="preserve">Bin Humaid National Trading Co </t>
        </is>
      </c>
    </row>
    <row r="2717" ht="24" customHeight="1">
      <c r="A2717" s="2">
        <f>+D2717-S2717</f>
        <v/>
      </c>
      <c r="B2717" s="80" t="n">
        <v>4309</v>
      </c>
      <c r="C2717" s="66" t="n">
        <v>45932</v>
      </c>
      <c r="D2717" s="2" t="n">
        <v>1</v>
      </c>
      <c r="E2717" s="3" t="inlineStr">
        <is>
          <t>PISTOLA SEMIAUTOMATICA</t>
        </is>
      </c>
      <c r="F2717" s="3" t="inlineStr">
        <is>
          <t xml:space="preserve">9 </t>
        </is>
      </c>
      <c r="G2717" s="3" t="inlineStr">
        <is>
          <t>WALTHER</t>
        </is>
      </c>
      <c r="H2717" s="65" t="inlineStr">
        <is>
          <t>PDP MATCH SF LUGER 5''</t>
        </is>
      </c>
      <c r="I2717" s="65" t="inlineStr">
        <is>
          <t>FEH3947</t>
        </is>
      </c>
      <c r="J2717" s="65" t="inlineStr">
        <is>
          <t>N/D</t>
        </is>
      </c>
      <c r="K2717" s="65" t="inlineStr">
        <is>
          <t>N/D</t>
        </is>
      </c>
      <c r="L2717" s="127" t="inlineStr">
        <is>
          <t>BIGNAMI SPA</t>
        </is>
      </c>
      <c r="M2717" s="5" t="n">
        <v>1381.03</v>
      </c>
      <c r="N2717" s="5" t="n"/>
      <c r="O2717" s="5">
        <f>+M2717+N2717</f>
        <v/>
      </c>
      <c r="P2717" s="4" t="n">
        <v>45932</v>
      </c>
      <c r="Q2717" s="87" t="n">
        <v>45932</v>
      </c>
      <c r="R2717" s="5" t="n">
        <v>1533.11</v>
      </c>
      <c r="S2717" s="2" t="n">
        <v>1</v>
      </c>
      <c r="T2717" s="3" t="inlineStr">
        <is>
          <t>6B/2025/6D</t>
        </is>
      </c>
      <c r="U2717" s="87" t="n">
        <v>45932</v>
      </c>
      <c r="V2717" s="3" t="inlineStr">
        <is>
          <t>30</t>
        </is>
      </c>
      <c r="W2717" s="108" t="n">
        <v>45932</v>
      </c>
      <c r="X2717" s="4" t="inlineStr">
        <is>
          <t xml:space="preserve">Bin Humaid National Trading Co </t>
        </is>
      </c>
    </row>
    <row r="2718" ht="24" customHeight="1">
      <c r="A2718" s="2">
        <f>+D2718-S2718</f>
        <v/>
      </c>
      <c r="B2718" s="80" t="n">
        <v>4310</v>
      </c>
      <c r="C2718" s="66" t="n">
        <v>45932</v>
      </c>
      <c r="D2718" s="2" t="n">
        <v>1</v>
      </c>
      <c r="E2718" s="3" t="inlineStr">
        <is>
          <t>PISTOLA SEMIAUTOMATICA</t>
        </is>
      </c>
      <c r="F2718" s="3" t="inlineStr">
        <is>
          <t xml:space="preserve">9 </t>
        </is>
      </c>
      <c r="G2718" s="3" t="inlineStr">
        <is>
          <t>WALTHER</t>
        </is>
      </c>
      <c r="H2718" s="65" t="inlineStr">
        <is>
          <t>PDP MATCH SF LUGER 5''</t>
        </is>
      </c>
      <c r="I2718" s="65" t="inlineStr">
        <is>
          <t>FEH3975</t>
        </is>
      </c>
      <c r="J2718" s="65" t="inlineStr">
        <is>
          <t>N/D</t>
        </is>
      </c>
      <c r="K2718" s="65" t="inlineStr">
        <is>
          <t>N/D</t>
        </is>
      </c>
      <c r="L2718" s="127" t="inlineStr">
        <is>
          <t>BIGNAMI SPA</t>
        </is>
      </c>
      <c r="M2718" s="5" t="n">
        <v>1381.03</v>
      </c>
      <c r="N2718" s="5" t="n"/>
      <c r="O2718" s="5">
        <f>+M2718+N2718</f>
        <v/>
      </c>
      <c r="P2718" s="4" t="n">
        <v>45932</v>
      </c>
      <c r="Q2718" s="87" t="n">
        <v>45932</v>
      </c>
      <c r="R2718" s="5" t="n">
        <v>1533.11</v>
      </c>
      <c r="S2718" s="2" t="n">
        <v>1</v>
      </c>
      <c r="T2718" s="3" t="inlineStr">
        <is>
          <t>6B/2025/6D</t>
        </is>
      </c>
      <c r="U2718" s="87" t="n">
        <v>45932</v>
      </c>
      <c r="V2718" s="3" t="inlineStr">
        <is>
          <t>30</t>
        </is>
      </c>
      <c r="W2718" s="108" t="n">
        <v>45932</v>
      </c>
      <c r="X2718" s="4" t="inlineStr">
        <is>
          <t xml:space="preserve">Bin Humaid National Trading Co </t>
        </is>
      </c>
    </row>
    <row r="2719" ht="24" customHeight="1">
      <c r="A2719" s="2">
        <f>+D2719-S2719</f>
        <v/>
      </c>
      <c r="B2719" s="80" t="n">
        <v>4311</v>
      </c>
      <c r="C2719" s="66" t="n">
        <v>45932</v>
      </c>
      <c r="D2719" s="2" t="n">
        <v>1</v>
      </c>
      <c r="E2719" s="3" t="inlineStr">
        <is>
          <t>PISTOLA SEMIAUTOMATICA</t>
        </is>
      </c>
      <c r="F2719" s="3" t="inlineStr">
        <is>
          <t xml:space="preserve">9 </t>
        </is>
      </c>
      <c r="G2719" s="3" t="inlineStr">
        <is>
          <t>WALTHER</t>
        </is>
      </c>
      <c r="H2719" s="65" t="inlineStr">
        <is>
          <t>PDP MATCH SF LUGER 5''</t>
        </is>
      </c>
      <c r="I2719" s="65" t="inlineStr">
        <is>
          <t>FEH3972</t>
        </is>
      </c>
      <c r="J2719" s="65" t="inlineStr">
        <is>
          <t>N/D</t>
        </is>
      </c>
      <c r="K2719" s="65" t="inlineStr">
        <is>
          <t>N/D</t>
        </is>
      </c>
      <c r="L2719" s="127" t="inlineStr">
        <is>
          <t>BIGNAMI SPA</t>
        </is>
      </c>
      <c r="M2719" s="5" t="n">
        <v>1381.03</v>
      </c>
      <c r="N2719" s="5" t="n"/>
      <c r="O2719" s="5">
        <f>+M2719+N2719</f>
        <v/>
      </c>
      <c r="P2719" s="4" t="n">
        <v>45932</v>
      </c>
      <c r="Q2719" s="87" t="n">
        <v>45932</v>
      </c>
      <c r="R2719" s="5" t="n">
        <v>1533.11</v>
      </c>
      <c r="S2719" s="2" t="n">
        <v>1</v>
      </c>
      <c r="T2719" s="3" t="inlineStr">
        <is>
          <t>6B/2025/6D</t>
        </is>
      </c>
      <c r="U2719" s="87" t="n">
        <v>45932</v>
      </c>
      <c r="V2719" s="3" t="inlineStr">
        <is>
          <t>30</t>
        </is>
      </c>
      <c r="W2719" s="108" t="n">
        <v>45932</v>
      </c>
      <c r="X2719" s="4" t="inlineStr">
        <is>
          <t xml:space="preserve">Bin Humaid National Trading Co </t>
        </is>
      </c>
    </row>
    <row r="2720" ht="24" customHeight="1">
      <c r="A2720" s="2">
        <f>+D2720-S2720</f>
        <v/>
      </c>
      <c r="B2720" s="80" t="n">
        <v>4312</v>
      </c>
      <c r="C2720" s="66" t="n">
        <v>45932</v>
      </c>
      <c r="D2720" s="2" t="n">
        <v>1</v>
      </c>
      <c r="E2720" s="3" t="inlineStr">
        <is>
          <t>PISTOLA SEMIAUTOMATICA</t>
        </is>
      </c>
      <c r="F2720" s="3" t="inlineStr">
        <is>
          <t xml:space="preserve">9 </t>
        </is>
      </c>
      <c r="G2720" s="3" t="inlineStr">
        <is>
          <t>WALTHER</t>
        </is>
      </c>
      <c r="H2720" s="65" t="inlineStr">
        <is>
          <t>PDP MATCH SF LUGER 5''</t>
        </is>
      </c>
      <c r="I2720" s="65" t="inlineStr">
        <is>
          <t>FEI3452</t>
        </is>
      </c>
      <c r="J2720" s="65" t="inlineStr">
        <is>
          <t>N/D</t>
        </is>
      </c>
      <c r="K2720" s="65" t="inlineStr">
        <is>
          <t>N/D</t>
        </is>
      </c>
      <c r="L2720" s="127" t="inlineStr">
        <is>
          <t>BIGNAMI SPA</t>
        </is>
      </c>
      <c r="M2720" s="5" t="n">
        <v>1381.03</v>
      </c>
      <c r="N2720" s="5" t="n"/>
      <c r="O2720" s="5">
        <f>+M2720+N2720</f>
        <v/>
      </c>
      <c r="P2720" s="4" t="n">
        <v>45932</v>
      </c>
      <c r="Q2720" s="87" t="n">
        <v>45932</v>
      </c>
      <c r="R2720" s="5" t="n">
        <v>1533.11</v>
      </c>
      <c r="S2720" s="2" t="n">
        <v>1</v>
      </c>
      <c r="T2720" s="3" t="inlineStr">
        <is>
          <t>6B/2025/6D</t>
        </is>
      </c>
      <c r="U2720" s="87" t="n">
        <v>45932</v>
      </c>
      <c r="V2720" s="3" t="inlineStr">
        <is>
          <t>30</t>
        </is>
      </c>
      <c r="W2720" s="108" t="n">
        <v>45932</v>
      </c>
      <c r="X2720" s="4" t="inlineStr">
        <is>
          <t xml:space="preserve">Bin Humaid National Trading Co </t>
        </is>
      </c>
    </row>
    <row r="2721" ht="24" customHeight="1">
      <c r="A2721" s="2">
        <f>+D2721-S2721</f>
        <v/>
      </c>
      <c r="B2721" s="80" t="n">
        <v>4313</v>
      </c>
      <c r="C2721" s="66" t="n">
        <v>45932</v>
      </c>
      <c r="D2721" s="2" t="n">
        <v>1</v>
      </c>
      <c r="E2721" s="3" t="inlineStr">
        <is>
          <t>PISTOLA SEMIAUTOMATICA</t>
        </is>
      </c>
      <c r="F2721" s="3" t="inlineStr">
        <is>
          <t xml:space="preserve">9 </t>
        </is>
      </c>
      <c r="G2721" s="3" t="inlineStr">
        <is>
          <t>WALTHER</t>
        </is>
      </c>
      <c r="H2721" s="65" t="inlineStr">
        <is>
          <t>PDP MATCH SF LUGER 5''</t>
        </is>
      </c>
      <c r="I2721" s="65" t="inlineStr">
        <is>
          <t>FEH3971</t>
        </is>
      </c>
      <c r="J2721" s="65" t="inlineStr">
        <is>
          <t>N/D</t>
        </is>
      </c>
      <c r="K2721" s="65" t="inlineStr">
        <is>
          <t>N/D</t>
        </is>
      </c>
      <c r="L2721" s="127" t="inlineStr">
        <is>
          <t>BIGNAMI SPA</t>
        </is>
      </c>
      <c r="M2721" s="5" t="n">
        <v>1381.03</v>
      </c>
      <c r="N2721" s="5" t="n"/>
      <c r="O2721" s="5">
        <f>+M2721+N2721</f>
        <v/>
      </c>
      <c r="P2721" s="4" t="n">
        <v>45932</v>
      </c>
      <c r="Q2721" s="87" t="n">
        <v>45932</v>
      </c>
      <c r="R2721" s="5" t="n">
        <v>1533.11</v>
      </c>
      <c r="S2721" s="2" t="n">
        <v>1</v>
      </c>
      <c r="T2721" s="3" t="inlineStr">
        <is>
          <t>6B/2025/6D</t>
        </is>
      </c>
      <c r="U2721" s="87" t="n">
        <v>45932</v>
      </c>
      <c r="V2721" s="3" t="inlineStr">
        <is>
          <t>30</t>
        </is>
      </c>
      <c r="W2721" s="108" t="n">
        <v>45932</v>
      </c>
      <c r="X2721" s="4" t="inlineStr">
        <is>
          <t xml:space="preserve">Bin Humaid National Trading Co </t>
        </is>
      </c>
    </row>
    <row r="2722" ht="24" customHeight="1">
      <c r="A2722" s="2">
        <f>+D2722-S2722</f>
        <v/>
      </c>
      <c r="B2722" s="80" t="n">
        <v>4314</v>
      </c>
      <c r="C2722" s="66" t="n">
        <v>45932</v>
      </c>
      <c r="D2722" s="2" t="n">
        <v>1</v>
      </c>
      <c r="E2722" s="3" t="inlineStr">
        <is>
          <t>PISTOLA SEMIAUTOMATICA</t>
        </is>
      </c>
      <c r="F2722" s="3" t="inlineStr">
        <is>
          <t xml:space="preserve">9 </t>
        </is>
      </c>
      <c r="G2722" s="3" t="inlineStr">
        <is>
          <t>WALTHER</t>
        </is>
      </c>
      <c r="H2722" s="65" t="inlineStr">
        <is>
          <t>PDP MATCH SF LUGER 5''</t>
        </is>
      </c>
      <c r="I2722" s="65" t="inlineStr">
        <is>
          <t>FEH3953</t>
        </is>
      </c>
      <c r="J2722" s="65" t="inlineStr">
        <is>
          <t>N/D</t>
        </is>
      </c>
      <c r="K2722" s="65" t="inlineStr">
        <is>
          <t>N/D</t>
        </is>
      </c>
      <c r="L2722" s="127" t="inlineStr">
        <is>
          <t>BIGNAMI SPA</t>
        </is>
      </c>
      <c r="M2722" s="5" t="n">
        <v>1381.03</v>
      </c>
      <c r="N2722" s="5" t="n"/>
      <c r="O2722" s="5">
        <f>+M2722+N2722</f>
        <v/>
      </c>
      <c r="P2722" s="4" t="n">
        <v>45932</v>
      </c>
      <c r="Q2722" s="87" t="n">
        <v>45932</v>
      </c>
      <c r="R2722" s="5" t="n">
        <v>1533.11</v>
      </c>
      <c r="S2722" s="2" t="n">
        <v>1</v>
      </c>
      <c r="T2722" s="3" t="inlineStr">
        <is>
          <t>6B/2025/6D</t>
        </is>
      </c>
      <c r="U2722" s="87" t="n">
        <v>45932</v>
      </c>
      <c r="V2722" s="3" t="inlineStr">
        <is>
          <t>30</t>
        </is>
      </c>
      <c r="W2722" s="108" t="n">
        <v>45932</v>
      </c>
      <c r="X2722" s="4" t="inlineStr">
        <is>
          <t xml:space="preserve">Bin Humaid National Trading Co </t>
        </is>
      </c>
    </row>
    <row r="2723" ht="24" customHeight="1">
      <c r="A2723" s="2">
        <f>+D2723-S2723</f>
        <v/>
      </c>
      <c r="B2723" s="80" t="n">
        <v>4315</v>
      </c>
      <c r="C2723" s="66" t="n">
        <v>45932</v>
      </c>
      <c r="D2723" s="2" t="n">
        <v>1</v>
      </c>
      <c r="E2723" s="3" t="inlineStr">
        <is>
          <t>PISTOLA SEMIAUTOMATICA</t>
        </is>
      </c>
      <c r="F2723" s="3" t="inlineStr">
        <is>
          <t xml:space="preserve">9 </t>
        </is>
      </c>
      <c r="G2723" s="3" t="inlineStr">
        <is>
          <t>WALTHER</t>
        </is>
      </c>
      <c r="H2723" s="65" t="inlineStr">
        <is>
          <t>PDP MATCH SF LUGER 5''</t>
        </is>
      </c>
      <c r="I2723" s="65" t="inlineStr">
        <is>
          <t>FEH3985</t>
        </is>
      </c>
      <c r="J2723" s="65" t="inlineStr">
        <is>
          <t>N/D</t>
        </is>
      </c>
      <c r="K2723" s="65" t="inlineStr">
        <is>
          <t>N/D</t>
        </is>
      </c>
      <c r="L2723" s="127" t="inlineStr">
        <is>
          <t>BIGNAMI SPA</t>
        </is>
      </c>
      <c r="M2723" s="5" t="n">
        <v>1381.03</v>
      </c>
      <c r="N2723" s="5" t="n"/>
      <c r="O2723" s="5">
        <f>+M2723+N2723</f>
        <v/>
      </c>
      <c r="P2723" s="4" t="n">
        <v>45932</v>
      </c>
      <c r="Q2723" s="87" t="n">
        <v>45932</v>
      </c>
      <c r="R2723" s="5" t="n">
        <v>1533.11</v>
      </c>
      <c r="S2723" s="2" t="n">
        <v>1</v>
      </c>
      <c r="T2723" s="3" t="inlineStr">
        <is>
          <t>6B/2025/6D</t>
        </is>
      </c>
      <c r="U2723" s="87" t="n">
        <v>45932</v>
      </c>
      <c r="V2723" s="3" t="inlineStr">
        <is>
          <t>30</t>
        </is>
      </c>
      <c r="W2723" s="108" t="n">
        <v>45932</v>
      </c>
      <c r="X2723" s="4" t="inlineStr">
        <is>
          <t xml:space="preserve">Bin Humaid National Trading Co </t>
        </is>
      </c>
    </row>
    <row r="2724" ht="24" customHeight="1">
      <c r="A2724" s="2">
        <f>+D2724-S2724</f>
        <v/>
      </c>
      <c r="B2724" s="80" t="n">
        <v>4316</v>
      </c>
      <c r="C2724" s="66" t="n">
        <v>45932</v>
      </c>
      <c r="D2724" s="2" t="n">
        <v>1</v>
      </c>
      <c r="E2724" s="3" t="inlineStr">
        <is>
          <t>PISTOLA SEMIAUTOMATICA</t>
        </is>
      </c>
      <c r="F2724" s="3" t="inlineStr">
        <is>
          <t xml:space="preserve">9 </t>
        </is>
      </c>
      <c r="G2724" s="3" t="inlineStr">
        <is>
          <t>WALTHER</t>
        </is>
      </c>
      <c r="H2724" s="65" t="inlineStr">
        <is>
          <t>PDP MATCH SF LUGER 5''</t>
        </is>
      </c>
      <c r="I2724" s="65" t="inlineStr">
        <is>
          <t>FEH3986</t>
        </is>
      </c>
      <c r="J2724" s="65" t="inlineStr">
        <is>
          <t>N/D</t>
        </is>
      </c>
      <c r="K2724" s="65" t="inlineStr">
        <is>
          <t>N/D</t>
        </is>
      </c>
      <c r="L2724" s="127" t="inlineStr">
        <is>
          <t>BIGNAMI SPA</t>
        </is>
      </c>
      <c r="M2724" s="5" t="n">
        <v>1381.03</v>
      </c>
      <c r="N2724" s="5" t="n"/>
      <c r="O2724" s="5">
        <f>+M2724+N2724</f>
        <v/>
      </c>
      <c r="P2724" s="4" t="n">
        <v>45932</v>
      </c>
      <c r="Q2724" s="87" t="n">
        <v>45932</v>
      </c>
      <c r="R2724" s="5" t="n">
        <v>1533.11</v>
      </c>
      <c r="S2724" s="2" t="n">
        <v>1</v>
      </c>
      <c r="T2724" s="3" t="inlineStr">
        <is>
          <t>6B/2025/6D</t>
        </is>
      </c>
      <c r="U2724" s="87" t="n">
        <v>45932</v>
      </c>
      <c r="V2724" s="3" t="inlineStr">
        <is>
          <t>30</t>
        </is>
      </c>
      <c r="W2724" s="108" t="n">
        <v>45932</v>
      </c>
      <c r="X2724" s="4" t="inlineStr">
        <is>
          <t xml:space="preserve">Bin Humaid National Trading Co </t>
        </is>
      </c>
    </row>
    <row r="2725" ht="24" customHeight="1">
      <c r="A2725" s="2">
        <f>+D2725-S2725</f>
        <v/>
      </c>
      <c r="B2725" s="80" t="n">
        <v>4317</v>
      </c>
      <c r="C2725" s="66" t="n">
        <v>45932</v>
      </c>
      <c r="D2725" s="2" t="n">
        <v>1</v>
      </c>
      <c r="E2725" s="3" t="inlineStr">
        <is>
          <t>PISTOLA SEMIAUTOMATICA</t>
        </is>
      </c>
      <c r="F2725" s="3" t="inlineStr">
        <is>
          <t xml:space="preserve">9 </t>
        </is>
      </c>
      <c r="G2725" s="3" t="inlineStr">
        <is>
          <t>WALTHER</t>
        </is>
      </c>
      <c r="H2725" s="65" t="inlineStr">
        <is>
          <t>PDP MATCH SF LUGER 5''</t>
        </is>
      </c>
      <c r="I2725" s="65" t="inlineStr">
        <is>
          <t>FEH3984</t>
        </is>
      </c>
      <c r="J2725" s="65" t="inlineStr">
        <is>
          <t>N/D</t>
        </is>
      </c>
      <c r="K2725" s="65" t="inlineStr">
        <is>
          <t>N/D</t>
        </is>
      </c>
      <c r="L2725" s="127" t="inlineStr">
        <is>
          <t>BIGNAMI SPA</t>
        </is>
      </c>
      <c r="M2725" s="5" t="n">
        <v>1381.03</v>
      </c>
      <c r="N2725" s="5" t="n"/>
      <c r="O2725" s="5">
        <f>+M2725+N2725</f>
        <v/>
      </c>
      <c r="P2725" s="4" t="n">
        <v>45932</v>
      </c>
      <c r="Q2725" s="87" t="n">
        <v>45932</v>
      </c>
      <c r="R2725" s="5" t="n">
        <v>1533.11</v>
      </c>
      <c r="S2725" s="2" t="n">
        <v>1</v>
      </c>
      <c r="T2725" s="3" t="inlineStr">
        <is>
          <t>6B/2025/6D</t>
        </is>
      </c>
      <c r="U2725" s="87" t="n">
        <v>45932</v>
      </c>
      <c r="V2725" s="3" t="inlineStr">
        <is>
          <t>30</t>
        </is>
      </c>
      <c r="W2725" s="108" t="n">
        <v>45932</v>
      </c>
      <c r="X2725" s="4" t="inlineStr">
        <is>
          <t xml:space="preserve">Bin Humaid National Trading Co </t>
        </is>
      </c>
    </row>
    <row r="2726" ht="24" customHeight="1">
      <c r="A2726" s="2">
        <f>+D2726-S2726</f>
        <v/>
      </c>
      <c r="B2726" s="80" t="n">
        <v>4318</v>
      </c>
      <c r="C2726" s="66" t="n">
        <v>45932</v>
      </c>
      <c r="D2726" s="2" t="n">
        <v>1</v>
      </c>
      <c r="E2726" s="3" t="inlineStr">
        <is>
          <t>PISTOLA SEMIAUTOMATICA</t>
        </is>
      </c>
      <c r="F2726" s="3" t="inlineStr">
        <is>
          <t xml:space="preserve">9 </t>
        </is>
      </c>
      <c r="G2726" s="3" t="inlineStr">
        <is>
          <t>WALTHER</t>
        </is>
      </c>
      <c r="H2726" s="65" t="inlineStr">
        <is>
          <t>PDP MATCH SF LUGER 5''</t>
        </is>
      </c>
      <c r="I2726" s="65" t="inlineStr">
        <is>
          <t>FEH3955</t>
        </is>
      </c>
      <c r="J2726" s="65" t="inlineStr">
        <is>
          <t>N/D</t>
        </is>
      </c>
      <c r="K2726" s="65" t="inlineStr">
        <is>
          <t>N/D</t>
        </is>
      </c>
      <c r="L2726" s="127" t="inlineStr">
        <is>
          <t>BIGNAMI SPA</t>
        </is>
      </c>
      <c r="M2726" s="5" t="n">
        <v>1381.03</v>
      </c>
      <c r="N2726" s="5" t="n"/>
      <c r="O2726" s="5">
        <f>+M2726+N2726</f>
        <v/>
      </c>
      <c r="P2726" s="4" t="n">
        <v>45932</v>
      </c>
      <c r="Q2726" s="87" t="n">
        <v>45932</v>
      </c>
      <c r="R2726" s="5" t="n">
        <v>1533.11</v>
      </c>
      <c r="S2726" s="2" t="n">
        <v>1</v>
      </c>
      <c r="T2726" s="3" t="inlineStr">
        <is>
          <t>6B/2025/6D</t>
        </is>
      </c>
      <c r="U2726" s="87" t="n">
        <v>45932</v>
      </c>
      <c r="V2726" s="3" t="inlineStr">
        <is>
          <t>30</t>
        </is>
      </c>
      <c r="W2726" s="108" t="n">
        <v>45932</v>
      </c>
      <c r="X2726" s="4" t="inlineStr">
        <is>
          <t xml:space="preserve">Bin Humaid National Trading Co </t>
        </is>
      </c>
    </row>
    <row r="2727" ht="24" customHeight="1">
      <c r="A2727" s="2">
        <f>+D2727-S2727</f>
        <v/>
      </c>
      <c r="B2727" s="80" t="n">
        <v>4319</v>
      </c>
      <c r="C2727" s="66" t="n">
        <v>45932</v>
      </c>
      <c r="D2727" s="2" t="n">
        <v>1</v>
      </c>
      <c r="E2727" s="3" t="inlineStr">
        <is>
          <t>PISTOLA SEMIAUTOMATICA</t>
        </is>
      </c>
      <c r="F2727" s="3" t="inlineStr">
        <is>
          <t xml:space="preserve">9 </t>
        </is>
      </c>
      <c r="G2727" s="3" t="inlineStr">
        <is>
          <t>WALTHER</t>
        </is>
      </c>
      <c r="H2727" s="65" t="inlineStr">
        <is>
          <t>PDP MATCH SF LUGER 5''</t>
        </is>
      </c>
      <c r="I2727" s="65" t="inlineStr">
        <is>
          <t>FEH3950</t>
        </is>
      </c>
      <c r="J2727" s="65" t="inlineStr">
        <is>
          <t>N/D</t>
        </is>
      </c>
      <c r="K2727" s="65" t="inlineStr">
        <is>
          <t>N/D</t>
        </is>
      </c>
      <c r="L2727" s="127" t="inlineStr">
        <is>
          <t>BIGNAMI SPA</t>
        </is>
      </c>
      <c r="M2727" s="5" t="n">
        <v>1381.03</v>
      </c>
      <c r="N2727" s="5" t="n"/>
      <c r="O2727" s="5">
        <f>+M2727+N2727</f>
        <v/>
      </c>
      <c r="P2727" s="4" t="n">
        <v>45932</v>
      </c>
      <c r="Q2727" s="87" t="n">
        <v>45932</v>
      </c>
      <c r="R2727" s="5" t="n">
        <v>1533.11</v>
      </c>
      <c r="S2727" s="2" t="n">
        <v>1</v>
      </c>
      <c r="T2727" s="3" t="inlineStr">
        <is>
          <t>6B/2025/6D</t>
        </is>
      </c>
      <c r="U2727" s="87" t="n">
        <v>45932</v>
      </c>
      <c r="V2727" s="3" t="inlineStr">
        <is>
          <t>30</t>
        </is>
      </c>
      <c r="W2727" s="108" t="n">
        <v>45932</v>
      </c>
      <c r="X2727" s="4" t="inlineStr">
        <is>
          <t xml:space="preserve">Bin Humaid National Trading Co </t>
        </is>
      </c>
    </row>
    <row r="2728" ht="24" customHeight="1">
      <c r="A2728" s="2">
        <f>+D2728-S2728</f>
        <v/>
      </c>
      <c r="B2728" s="80" t="n">
        <v>4320</v>
      </c>
      <c r="C2728" s="66" t="n">
        <v>45946</v>
      </c>
      <c r="D2728" s="2" t="n">
        <v>1</v>
      </c>
      <c r="E2728" s="3" t="inlineStr">
        <is>
          <t>CARABINA</t>
        </is>
      </c>
      <c r="F2728" s="3" t="inlineStr">
        <is>
          <t>223 REM</t>
        </is>
      </c>
      <c r="G2728" s="3" t="inlineStr">
        <is>
          <t>BENELLI</t>
        </is>
      </c>
      <c r="H2728" s="65" t="inlineStr">
        <is>
          <t>LUPO BE­S.T. 24"</t>
        </is>
      </c>
      <c r="I2728" s="65" t="inlineStr">
        <is>
          <t>AR040948A</t>
        </is>
      </c>
      <c r="J2728" s="65" t="inlineStr">
        <is>
          <t>N/D</t>
        </is>
      </c>
      <c r="K2728" s="65" t="inlineStr">
        <is>
          <t>N/D</t>
        </is>
      </c>
      <c r="L2728" s="127" t="inlineStr">
        <is>
          <t>BENELLI SPA</t>
        </is>
      </c>
      <c r="M2728" s="5" t="n">
        <v>903</v>
      </c>
      <c r="N2728" s="5" t="n"/>
      <c r="O2728" s="5">
        <f>+M2728+N2728</f>
        <v/>
      </c>
      <c r="P2728" s="4" t="n">
        <v>45932</v>
      </c>
      <c r="Q2728" s="87" t="n">
        <v>45932</v>
      </c>
      <c r="R2728" s="5" t="n">
        <v>1029.42</v>
      </c>
      <c r="S2728" s="2" t="n">
        <v>1</v>
      </c>
      <c r="T2728" s="3" t="inlineStr">
        <is>
          <t>6B/2025/5S</t>
        </is>
      </c>
      <c r="U2728" s="87" t="n">
        <v>45963</v>
      </c>
      <c r="V2728" s="3" t="inlineStr">
        <is>
          <t>32</t>
        </is>
      </c>
      <c r="W2728" s="108" t="n">
        <v>45963</v>
      </c>
      <c r="X2728" s="4" t="inlineStr">
        <is>
          <t>BIN HUMAID NATIONAL TRADING CO</t>
        </is>
      </c>
    </row>
    <row r="2729" ht="24" customHeight="1">
      <c r="A2729" s="2">
        <f>+D2729-S2729</f>
        <v/>
      </c>
      <c r="B2729" s="80" t="n">
        <v>4321</v>
      </c>
      <c r="C2729" s="66" t="n">
        <v>45946</v>
      </c>
      <c r="D2729" s="2" t="n">
        <v>1</v>
      </c>
      <c r="E2729" s="3" t="inlineStr">
        <is>
          <t>CARABINA</t>
        </is>
      </c>
      <c r="F2729" s="3" t="inlineStr">
        <is>
          <t>223 REM</t>
        </is>
      </c>
      <c r="G2729" s="3" t="inlineStr">
        <is>
          <t>BENELLI</t>
        </is>
      </c>
      <c r="H2729" s="65" t="inlineStr">
        <is>
          <t>LUPO BE­S.T. 24"</t>
        </is>
      </c>
      <c r="I2729" s="65" t="inlineStr">
        <is>
          <t>AR043522E</t>
        </is>
      </c>
      <c r="J2729" s="65" t="inlineStr">
        <is>
          <t>N/D</t>
        </is>
      </c>
      <c r="K2729" s="65" t="inlineStr">
        <is>
          <t>N/D</t>
        </is>
      </c>
      <c r="L2729" s="127" t="inlineStr">
        <is>
          <t>BENELLI SPA</t>
        </is>
      </c>
      <c r="M2729" s="5" t="n">
        <v>903</v>
      </c>
      <c r="N2729" s="5" t="n"/>
      <c r="O2729" s="5">
        <f>+M2729+N2729</f>
        <v/>
      </c>
      <c r="P2729" s="4" t="n">
        <v>45932</v>
      </c>
      <c r="Q2729" s="87" t="n">
        <v>45932</v>
      </c>
      <c r="R2729" s="5" t="n">
        <v>1029.42</v>
      </c>
      <c r="S2729" s="2" t="n">
        <v>1</v>
      </c>
      <c r="T2729" s="3" t="inlineStr">
        <is>
          <t>6B/2025/5S</t>
        </is>
      </c>
      <c r="U2729" s="87" t="n">
        <v>45963</v>
      </c>
      <c r="V2729" s="3" t="inlineStr">
        <is>
          <t>32</t>
        </is>
      </c>
      <c r="W2729" s="108" t="n">
        <v>45963</v>
      </c>
      <c r="X2729" s="4" t="inlineStr">
        <is>
          <t>BIN HUMAID NATIONAL TRADING CO</t>
        </is>
      </c>
    </row>
    <row r="2730" ht="24" customHeight="1">
      <c r="A2730" s="2">
        <f>+D2730-S2730</f>
        <v/>
      </c>
      <c r="B2730" s="80" t="n">
        <v>4322</v>
      </c>
      <c r="C2730" s="66" t="n">
        <v>45946</v>
      </c>
      <c r="D2730" s="2" t="n">
        <v>1</v>
      </c>
      <c r="E2730" s="3" t="inlineStr">
        <is>
          <t>CARABINA</t>
        </is>
      </c>
      <c r="F2730" s="3" t="inlineStr">
        <is>
          <t>223 REM</t>
        </is>
      </c>
      <c r="G2730" s="3" t="inlineStr">
        <is>
          <t>BENELLI</t>
        </is>
      </c>
      <c r="H2730" s="65" t="inlineStr">
        <is>
          <t>LUPO BE­S.T. 24"</t>
        </is>
      </c>
      <c r="I2730" s="65" t="inlineStr">
        <is>
          <t>AR042583M</t>
        </is>
      </c>
      <c r="J2730" s="65" t="inlineStr">
        <is>
          <t>N/D</t>
        </is>
      </c>
      <c r="K2730" s="65" t="inlineStr">
        <is>
          <t>N/D</t>
        </is>
      </c>
      <c r="L2730" s="127" t="inlineStr">
        <is>
          <t>BENELLI SPA</t>
        </is>
      </c>
      <c r="M2730" s="5" t="n">
        <v>972</v>
      </c>
      <c r="N2730" s="5" t="n"/>
      <c r="O2730" s="5">
        <f>+M2730+N2730</f>
        <v/>
      </c>
      <c r="P2730" s="4" t="n">
        <v>45932</v>
      </c>
      <c r="Q2730" s="87" t="n">
        <v>45932</v>
      </c>
      <c r="R2730" s="5" t="n">
        <v>1108</v>
      </c>
      <c r="S2730" s="2" t="n">
        <v>1</v>
      </c>
      <c r="T2730" s="3" t="inlineStr">
        <is>
          <t>6B/2025/5S</t>
        </is>
      </c>
      <c r="U2730" s="87" t="n">
        <v>45963</v>
      </c>
      <c r="V2730" s="3" t="inlineStr">
        <is>
          <t>32</t>
        </is>
      </c>
      <c r="W2730" s="108" t="n">
        <v>45963</v>
      </c>
      <c r="X2730" s="4" t="inlineStr">
        <is>
          <t>BIN HUMAID NATIONAL TRADING CO</t>
        </is>
      </c>
    </row>
    <row r="2731" ht="24" customHeight="1">
      <c r="A2731" s="2">
        <f>+D2731-S2731</f>
        <v/>
      </c>
      <c r="B2731" s="80" t="n">
        <v>4323</v>
      </c>
      <c r="C2731" s="66" t="n">
        <v>45946</v>
      </c>
      <c r="D2731" s="2" t="n">
        <v>1</v>
      </c>
      <c r="E2731" s="3" t="inlineStr">
        <is>
          <t>CARABINA</t>
        </is>
      </c>
      <c r="F2731" s="3" t="inlineStr">
        <is>
          <t>223 REM</t>
        </is>
      </c>
      <c r="G2731" s="3" t="inlineStr">
        <is>
          <t>BENELLI</t>
        </is>
      </c>
      <c r="H2731" s="65" t="inlineStr">
        <is>
          <t>LUPO BE­S.T. 24"</t>
        </is>
      </c>
      <c r="I2731" s="65" t="inlineStr">
        <is>
          <t>AR042586U</t>
        </is>
      </c>
      <c r="J2731" s="65" t="inlineStr">
        <is>
          <t>N/D</t>
        </is>
      </c>
      <c r="K2731" s="65" t="inlineStr">
        <is>
          <t>N/D</t>
        </is>
      </c>
      <c r="L2731" s="127" t="inlineStr">
        <is>
          <t>BENELLI SPA</t>
        </is>
      </c>
      <c r="M2731" s="5" t="n">
        <v>972</v>
      </c>
      <c r="N2731" s="5" t="n"/>
      <c r="O2731" s="5">
        <f>+M2731+N2731</f>
        <v/>
      </c>
      <c r="P2731" s="4" t="n">
        <v>45932</v>
      </c>
      <c r="Q2731" s="87" t="n">
        <v>45932</v>
      </c>
      <c r="R2731" s="5" t="n">
        <v>1108</v>
      </c>
      <c r="S2731" s="2" t="n">
        <v>1</v>
      </c>
      <c r="T2731" s="3" t="inlineStr">
        <is>
          <t>6B/2025/5S</t>
        </is>
      </c>
      <c r="U2731" s="87" t="n">
        <v>45963</v>
      </c>
      <c r="V2731" s="3" t="inlineStr">
        <is>
          <t>32</t>
        </is>
      </c>
      <c r="W2731" s="108" t="n">
        <v>45963</v>
      </c>
      <c r="X2731" s="4" t="inlineStr">
        <is>
          <t>BIN HUMAID NATIONAL TRADING CO</t>
        </is>
      </c>
    </row>
    <row r="2732" ht="24" customHeight="1">
      <c r="A2732" s="2">
        <f>+D2732-S2732</f>
        <v/>
      </c>
      <c r="B2732" s="80" t="n">
        <v>4324</v>
      </c>
      <c r="C2732" s="66" t="n">
        <v>45946</v>
      </c>
      <c r="D2732" s="2" t="n">
        <v>1</v>
      </c>
      <c r="E2732" s="3" t="inlineStr">
        <is>
          <t>CARABINA</t>
        </is>
      </c>
      <c r="F2732" s="3" t="inlineStr">
        <is>
          <t>223 REM</t>
        </is>
      </c>
      <c r="G2732" s="3" t="inlineStr">
        <is>
          <t>BENELLI</t>
        </is>
      </c>
      <c r="H2732" s="65" t="inlineStr">
        <is>
          <t>LUPO BE­S.T. 24"</t>
        </is>
      </c>
      <c r="I2732" s="65" t="inlineStr">
        <is>
          <t>AR042600Z</t>
        </is>
      </c>
      <c r="J2732" s="65" t="inlineStr">
        <is>
          <t>N/D</t>
        </is>
      </c>
      <c r="K2732" s="65" t="inlineStr">
        <is>
          <t>N/D</t>
        </is>
      </c>
      <c r="L2732" s="127" t="inlineStr">
        <is>
          <t>BENELLI SPA</t>
        </is>
      </c>
      <c r="M2732" s="5" t="n">
        <v>972</v>
      </c>
      <c r="N2732" s="5" t="n"/>
      <c r="O2732" s="5">
        <f>+M2732+N2732</f>
        <v/>
      </c>
      <c r="P2732" s="4" t="n">
        <v>45932</v>
      </c>
      <c r="Q2732" s="87" t="n">
        <v>45932</v>
      </c>
      <c r="R2732" s="5" t="n">
        <v>1108</v>
      </c>
      <c r="S2732" s="2" t="n">
        <v>1</v>
      </c>
      <c r="T2732" s="3" t="inlineStr">
        <is>
          <t>6B/2025/5S</t>
        </is>
      </c>
      <c r="U2732" s="87" t="n">
        <v>45963</v>
      </c>
      <c r="V2732" s="3" t="inlineStr">
        <is>
          <t>32</t>
        </is>
      </c>
      <c r="W2732" s="108" t="n">
        <v>45963</v>
      </c>
      <c r="X2732" s="4" t="inlineStr">
        <is>
          <t>BIN HUMAID NATIONAL TRADING CO</t>
        </is>
      </c>
    </row>
    <row r="2733" ht="24" customHeight="1">
      <c r="A2733" s="2">
        <f>+D2733-S2733</f>
        <v/>
      </c>
      <c r="B2733" s="80" t="n">
        <v>4325</v>
      </c>
      <c r="C2733" s="66" t="n">
        <v>45946</v>
      </c>
      <c r="D2733" s="2" t="n">
        <v>1</v>
      </c>
      <c r="E2733" s="3" t="inlineStr">
        <is>
          <t>CARABINA</t>
        </is>
      </c>
      <c r="F2733" s="3" t="inlineStr">
        <is>
          <t>223 REM</t>
        </is>
      </c>
      <c r="G2733" s="3" t="inlineStr">
        <is>
          <t>BENELLI</t>
        </is>
      </c>
      <c r="H2733" s="65" t="inlineStr">
        <is>
          <t>LUPO BE­S.T. 24"</t>
        </is>
      </c>
      <c r="I2733" s="65" t="inlineStr">
        <is>
          <t>AR040871L</t>
        </is>
      </c>
      <c r="J2733" s="65" t="inlineStr">
        <is>
          <t>N/D</t>
        </is>
      </c>
      <c r="K2733" s="65" t="inlineStr">
        <is>
          <t>N/D</t>
        </is>
      </c>
      <c r="L2733" s="127" t="inlineStr">
        <is>
          <t>BENELLI SPA</t>
        </is>
      </c>
      <c r="M2733" s="5" t="n">
        <v>903</v>
      </c>
      <c r="N2733" s="5" t="n"/>
      <c r="O2733" s="5">
        <f>+M2733+N2733</f>
        <v/>
      </c>
      <c r="P2733" s="4" t="n">
        <v>45932</v>
      </c>
      <c r="Q2733" s="87" t="n">
        <v>45932</v>
      </c>
      <c r="R2733" s="5" t="n">
        <v>1029.42</v>
      </c>
      <c r="S2733" s="2" t="n">
        <v>1</v>
      </c>
      <c r="T2733" s="3" t="inlineStr">
        <is>
          <t>6B/2025/5S</t>
        </is>
      </c>
      <c r="U2733" s="87" t="n">
        <v>45963</v>
      </c>
      <c r="V2733" s="3" t="inlineStr">
        <is>
          <t>32</t>
        </is>
      </c>
      <c r="W2733" s="108" t="n">
        <v>45963</v>
      </c>
      <c r="X2733" s="4" t="inlineStr">
        <is>
          <t>BIN HUMAID NATIONAL TRADING CO</t>
        </is>
      </c>
    </row>
    <row r="2734" ht="24" customHeight="1">
      <c r="A2734" s="2">
        <f>+D2734-S2734</f>
        <v/>
      </c>
      <c r="B2734" s="80" t="n">
        <v>4326</v>
      </c>
      <c r="C2734" s="66" t="n">
        <v>45946</v>
      </c>
      <c r="D2734" s="2" t="n">
        <v>1</v>
      </c>
      <c r="E2734" s="3" t="inlineStr">
        <is>
          <t>CARABINA</t>
        </is>
      </c>
      <c r="F2734" s="3" t="inlineStr">
        <is>
          <t>223 REM</t>
        </is>
      </c>
      <c r="G2734" s="3" t="inlineStr">
        <is>
          <t>BENELLI</t>
        </is>
      </c>
      <c r="H2734" s="65" t="inlineStr">
        <is>
          <t>LUPO BE­S.T. 24"</t>
        </is>
      </c>
      <c r="I2734" s="65" t="inlineStr">
        <is>
          <t>AR040877Z</t>
        </is>
      </c>
      <c r="J2734" s="65" t="inlineStr">
        <is>
          <t>N/D</t>
        </is>
      </c>
      <c r="K2734" s="65" t="inlineStr">
        <is>
          <t>N/D</t>
        </is>
      </c>
      <c r="L2734" s="127" t="inlineStr">
        <is>
          <t>BENELLI SPA</t>
        </is>
      </c>
      <c r="M2734" s="5" t="n">
        <v>903</v>
      </c>
      <c r="N2734" s="5" t="n"/>
      <c r="O2734" s="5">
        <f>+M2734+N2734</f>
        <v/>
      </c>
      <c r="P2734" s="4" t="n">
        <v>45932</v>
      </c>
      <c r="Q2734" s="87" t="n">
        <v>45932</v>
      </c>
      <c r="R2734" s="5" t="n">
        <v>1029.42</v>
      </c>
      <c r="S2734" s="2" t="n">
        <v>1</v>
      </c>
      <c r="T2734" s="3" t="inlineStr">
        <is>
          <t>6B/2025/5S</t>
        </is>
      </c>
      <c r="U2734" s="87" t="n">
        <v>45963</v>
      </c>
      <c r="V2734" s="3" t="inlineStr">
        <is>
          <t>32</t>
        </is>
      </c>
      <c r="W2734" s="108" t="n">
        <v>45963</v>
      </c>
      <c r="X2734" s="4" t="inlineStr">
        <is>
          <t>BIN HUMAID NATIONAL TRADING CO</t>
        </is>
      </c>
    </row>
    <row r="2735" ht="24" customHeight="1">
      <c r="A2735" s="2">
        <f>+D2735-S2735</f>
        <v/>
      </c>
      <c r="B2735" s="80" t="n">
        <v>4327</v>
      </c>
      <c r="C2735" s="66" t="n">
        <v>45946</v>
      </c>
      <c r="D2735" s="2" t="n">
        <v>1</v>
      </c>
      <c r="E2735" s="3" t="inlineStr">
        <is>
          <t>CARABINA</t>
        </is>
      </c>
      <c r="F2735" s="3" t="inlineStr">
        <is>
          <t>223 REM</t>
        </is>
      </c>
      <c r="G2735" s="3" t="inlineStr">
        <is>
          <t>BENELLI</t>
        </is>
      </c>
      <c r="H2735" s="65" t="inlineStr">
        <is>
          <t>LUPO BE­S.T. 24"</t>
        </is>
      </c>
      <c r="I2735" s="65" t="inlineStr">
        <is>
          <t>AR040883R</t>
        </is>
      </c>
      <c r="J2735" s="65" t="inlineStr">
        <is>
          <t>N/D</t>
        </is>
      </c>
      <c r="K2735" s="65" t="inlineStr">
        <is>
          <t>N/D</t>
        </is>
      </c>
      <c r="L2735" s="127" t="inlineStr">
        <is>
          <t>BENELLI SPA</t>
        </is>
      </c>
      <c r="M2735" s="5" t="n">
        <v>903</v>
      </c>
      <c r="N2735" s="5" t="n"/>
      <c r="O2735" s="5">
        <f>+M2735+N2735</f>
        <v/>
      </c>
      <c r="P2735" s="4" t="n">
        <v>45932</v>
      </c>
      <c r="Q2735" s="87" t="n">
        <v>45932</v>
      </c>
      <c r="R2735" s="5" t="n">
        <v>1029.42</v>
      </c>
      <c r="S2735" s="2" t="n">
        <v>1</v>
      </c>
      <c r="T2735" s="3" t="inlineStr">
        <is>
          <t>6B/2025/5S</t>
        </is>
      </c>
      <c r="U2735" s="87" t="n">
        <v>45963</v>
      </c>
      <c r="V2735" s="3" t="inlineStr">
        <is>
          <t>32</t>
        </is>
      </c>
      <c r="W2735" s="108" t="n">
        <v>45963</v>
      </c>
      <c r="X2735" s="4" t="inlineStr">
        <is>
          <t>BIN HUMAID NATIONAL TRADING CO</t>
        </is>
      </c>
    </row>
    <row r="2736" ht="24" customHeight="1">
      <c r="A2736" s="2">
        <f>+D2736-S2736</f>
        <v/>
      </c>
      <c r="B2736" s="80" t="n">
        <v>4328</v>
      </c>
      <c r="C2736" s="66" t="n">
        <v>45946</v>
      </c>
      <c r="D2736" s="2" t="n">
        <v>1</v>
      </c>
      <c r="E2736" s="3" t="inlineStr">
        <is>
          <t>CARABINA</t>
        </is>
      </c>
      <c r="F2736" s="3" t="inlineStr">
        <is>
          <t>223 REM</t>
        </is>
      </c>
      <c r="G2736" s="3" t="inlineStr">
        <is>
          <t>BENELLI</t>
        </is>
      </c>
      <c r="H2736" s="65" t="inlineStr">
        <is>
          <t>LUPO BE­S.T. 24"</t>
        </is>
      </c>
      <c r="I2736" s="65" t="inlineStr">
        <is>
          <t>AR040910E</t>
        </is>
      </c>
      <c r="J2736" s="65" t="inlineStr">
        <is>
          <t>N/D</t>
        </is>
      </c>
      <c r="K2736" s="65" t="inlineStr">
        <is>
          <t>N/D</t>
        </is>
      </c>
      <c r="L2736" s="127" t="inlineStr">
        <is>
          <t>BENELLI SPA</t>
        </is>
      </c>
      <c r="M2736" s="5" t="n">
        <v>903</v>
      </c>
      <c r="N2736" s="5" t="n"/>
      <c r="O2736" s="5">
        <f>+M2736+N2736</f>
        <v/>
      </c>
      <c r="P2736" s="4" t="n">
        <v>45932</v>
      </c>
      <c r="Q2736" s="87" t="n">
        <v>45932</v>
      </c>
      <c r="R2736" s="5" t="n">
        <v>1029.42</v>
      </c>
      <c r="S2736" s="2" t="n">
        <v>1</v>
      </c>
      <c r="T2736" s="3" t="inlineStr">
        <is>
          <t>6B/2025/5S</t>
        </is>
      </c>
      <c r="U2736" s="87" t="n">
        <v>45963</v>
      </c>
      <c r="V2736" s="3" t="inlineStr">
        <is>
          <t>32</t>
        </is>
      </c>
      <c r="W2736" s="108" t="n">
        <v>45963</v>
      </c>
      <c r="X2736" s="4" t="inlineStr">
        <is>
          <t>BIN HUMAID NATIONAL TRADING CO</t>
        </is>
      </c>
    </row>
    <row r="2737" ht="24" customHeight="1">
      <c r="A2737" s="2">
        <f>+D2737-S2737</f>
        <v/>
      </c>
      <c r="B2737" s="80" t="n">
        <v>4329</v>
      </c>
      <c r="C2737" s="66" t="n">
        <v>45946</v>
      </c>
      <c r="D2737" s="2" t="n">
        <v>1</v>
      </c>
      <c r="E2737" s="3" t="inlineStr">
        <is>
          <t>CARABINA</t>
        </is>
      </c>
      <c r="F2737" s="3" t="inlineStr">
        <is>
          <t>223 REM</t>
        </is>
      </c>
      <c r="G2737" s="3" t="inlineStr">
        <is>
          <t>BENELLI</t>
        </is>
      </c>
      <c r="H2737" s="65" t="inlineStr">
        <is>
          <t>LUPO BE­S.T. 24"</t>
        </is>
      </c>
      <c r="I2737" s="65" t="inlineStr">
        <is>
          <t>AR040963R</t>
        </is>
      </c>
      <c r="J2737" s="65" t="inlineStr">
        <is>
          <t>N/D</t>
        </is>
      </c>
      <c r="K2737" s="65" t="inlineStr">
        <is>
          <t>N/D</t>
        </is>
      </c>
      <c r="L2737" s="127" t="inlineStr">
        <is>
          <t>BENELLI SPA</t>
        </is>
      </c>
      <c r="M2737" s="5" t="n">
        <v>903</v>
      </c>
      <c r="N2737" s="5" t="n"/>
      <c r="O2737" s="5">
        <f>+M2737+N2737</f>
        <v/>
      </c>
      <c r="P2737" s="4" t="n">
        <v>45932</v>
      </c>
      <c r="Q2737" s="87" t="n">
        <v>45932</v>
      </c>
      <c r="R2737" s="5" t="n">
        <v>1029.42</v>
      </c>
      <c r="S2737" s="2" t="n">
        <v>1</v>
      </c>
      <c r="T2737" s="3" t="inlineStr">
        <is>
          <t>6B/2025/5S</t>
        </is>
      </c>
      <c r="U2737" s="87" t="n">
        <v>45963</v>
      </c>
      <c r="V2737" s="3" t="inlineStr">
        <is>
          <t>32</t>
        </is>
      </c>
      <c r="W2737" s="108" t="n">
        <v>45963</v>
      </c>
      <c r="X2737" s="4" t="inlineStr">
        <is>
          <t>BIN HUMAID NATIONAL TRADING CO</t>
        </is>
      </c>
    </row>
    <row r="2738" ht="24" customHeight="1">
      <c r="A2738" s="2">
        <f>+D2738-S2738</f>
        <v/>
      </c>
      <c r="B2738" s="80" t="n">
        <v>4330</v>
      </c>
      <c r="C2738" s="66" t="n">
        <v>45946</v>
      </c>
      <c r="D2738" s="2" t="n">
        <v>1</v>
      </c>
      <c r="E2738" s="3" t="inlineStr">
        <is>
          <t>CARABINA</t>
        </is>
      </c>
      <c r="F2738" s="3" t="inlineStr">
        <is>
          <t>223 REM</t>
        </is>
      </c>
      <c r="G2738" s="3" t="inlineStr">
        <is>
          <t>BENELLI</t>
        </is>
      </c>
      <c r="H2738" s="65" t="inlineStr">
        <is>
          <t>LUPO BE­S.T. 24"</t>
        </is>
      </c>
      <c r="I2738" s="65" t="inlineStr">
        <is>
          <t>AR040869C</t>
        </is>
      </c>
      <c r="J2738" s="65" t="inlineStr">
        <is>
          <t>N/D</t>
        </is>
      </c>
      <c r="K2738" s="65" t="inlineStr">
        <is>
          <t>N/D</t>
        </is>
      </c>
      <c r="L2738" s="127" t="inlineStr">
        <is>
          <t>BENELLI SPA</t>
        </is>
      </c>
      <c r="M2738" s="5" t="n">
        <v>903</v>
      </c>
      <c r="N2738" s="5" t="n"/>
      <c r="O2738" s="5">
        <f>+M2738+N2738</f>
        <v/>
      </c>
      <c r="P2738" s="4" t="n">
        <v>45932</v>
      </c>
      <c r="Q2738" s="87" t="n">
        <v>45932</v>
      </c>
      <c r="R2738" s="5" t="n">
        <v>1029.42</v>
      </c>
      <c r="S2738" s="2" t="n">
        <v>1</v>
      </c>
      <c r="T2738" s="3" t="inlineStr">
        <is>
          <t>6B/2025/5S</t>
        </is>
      </c>
      <c r="U2738" s="87" t="n">
        <v>45963</v>
      </c>
      <c r="V2738" s="3" t="inlineStr">
        <is>
          <t>32</t>
        </is>
      </c>
      <c r="W2738" s="108" t="n">
        <v>45963</v>
      </c>
      <c r="X2738" s="4" t="inlineStr">
        <is>
          <t>BIN HUMAID NATIONAL TRADING CO</t>
        </is>
      </c>
    </row>
    <row r="2739" ht="24" customHeight="1">
      <c r="A2739" s="2">
        <f>+D2739-S2739</f>
        <v/>
      </c>
      <c r="B2739" s="80" t="n">
        <v>4331</v>
      </c>
      <c r="C2739" s="66" t="n">
        <v>45946</v>
      </c>
      <c r="D2739" s="2" t="n">
        <v>1</v>
      </c>
      <c r="E2739" s="3" t="inlineStr">
        <is>
          <t>CARABINA</t>
        </is>
      </c>
      <c r="F2739" s="3" t="inlineStr">
        <is>
          <t>223 REM</t>
        </is>
      </c>
      <c r="G2739" s="3" t="inlineStr">
        <is>
          <t>BENELLI</t>
        </is>
      </c>
      <c r="H2739" s="65" t="inlineStr">
        <is>
          <t>LUPO BE­S.T. 24"</t>
        </is>
      </c>
      <c r="I2739" s="65" t="inlineStr">
        <is>
          <t>AR040887A</t>
        </is>
      </c>
      <c r="J2739" s="65" t="inlineStr">
        <is>
          <t>N/D</t>
        </is>
      </c>
      <c r="K2739" s="65" t="inlineStr">
        <is>
          <t>N/D</t>
        </is>
      </c>
      <c r="L2739" s="127" t="inlineStr">
        <is>
          <t>BENELLI SPA</t>
        </is>
      </c>
      <c r="M2739" s="5" t="n">
        <v>903</v>
      </c>
      <c r="N2739" s="5" t="n"/>
      <c r="O2739" s="5">
        <f>+M2739+N2739</f>
        <v/>
      </c>
      <c r="P2739" s="4" t="n">
        <v>45932</v>
      </c>
      <c r="Q2739" s="87" t="n">
        <v>45932</v>
      </c>
      <c r="R2739" s="5" t="n">
        <v>1029.42</v>
      </c>
      <c r="S2739" s="2" t="n">
        <v>1</v>
      </c>
      <c r="T2739" s="3" t="inlineStr">
        <is>
          <t>6B/2025/5S</t>
        </is>
      </c>
      <c r="U2739" s="87" t="n">
        <v>45963</v>
      </c>
      <c r="V2739" s="3" t="inlineStr">
        <is>
          <t>32</t>
        </is>
      </c>
      <c r="W2739" s="108" t="n">
        <v>45963</v>
      </c>
      <c r="X2739" s="4" t="inlineStr">
        <is>
          <t>BIN HUMAID NATIONAL TRADING CO</t>
        </is>
      </c>
    </row>
    <row r="2740" ht="24" customHeight="1">
      <c r="A2740" s="2">
        <f>+D2740-S2740</f>
        <v/>
      </c>
      <c r="B2740" s="80" t="n">
        <v>4332</v>
      </c>
      <c r="C2740" s="66" t="n">
        <v>45946</v>
      </c>
      <c r="D2740" s="2" t="n">
        <v>1</v>
      </c>
      <c r="E2740" s="3" t="inlineStr">
        <is>
          <t>CARABINA</t>
        </is>
      </c>
      <c r="F2740" s="3" t="inlineStr">
        <is>
          <t>223 REM</t>
        </is>
      </c>
      <c r="G2740" s="3" t="inlineStr">
        <is>
          <t>BENELLI</t>
        </is>
      </c>
      <c r="H2740" s="65" t="inlineStr">
        <is>
          <t>LUPO BE­S.T. 24"</t>
        </is>
      </c>
      <c r="I2740" s="65" t="inlineStr">
        <is>
          <t>AR040906S</t>
        </is>
      </c>
      <c r="J2740" s="65" t="inlineStr">
        <is>
          <t>N/D</t>
        </is>
      </c>
      <c r="K2740" s="65" t="inlineStr">
        <is>
          <t>N/D</t>
        </is>
      </c>
      <c r="L2740" s="127" t="inlineStr">
        <is>
          <t>BENELLI SPA</t>
        </is>
      </c>
      <c r="M2740" s="5" t="n">
        <v>903</v>
      </c>
      <c r="N2740" s="5" t="n"/>
      <c r="O2740" s="5">
        <f>+M2740+N2740</f>
        <v/>
      </c>
      <c r="P2740" s="4" t="n">
        <v>45932</v>
      </c>
      <c r="Q2740" s="87" t="n">
        <v>45932</v>
      </c>
      <c r="R2740" s="5" t="n">
        <v>1029.42</v>
      </c>
      <c r="S2740" s="2" t="n">
        <v>1</v>
      </c>
      <c r="T2740" s="3" t="inlineStr">
        <is>
          <t>6B/2025/5S</t>
        </is>
      </c>
      <c r="U2740" s="87" t="n">
        <v>45963</v>
      </c>
      <c r="V2740" s="3" t="inlineStr">
        <is>
          <t>32</t>
        </is>
      </c>
      <c r="W2740" s="108" t="n">
        <v>45963</v>
      </c>
      <c r="X2740" s="4" t="inlineStr">
        <is>
          <t>BIN HUMAID NATIONAL TRADING CO</t>
        </is>
      </c>
    </row>
    <row r="2741" ht="24" customHeight="1">
      <c r="A2741" s="2">
        <f>+D2741-S2741</f>
        <v/>
      </c>
      <c r="B2741" s="80" t="n">
        <v>4333</v>
      </c>
      <c r="C2741" s="66" t="n">
        <v>45946</v>
      </c>
      <c r="D2741" s="2" t="n">
        <v>1</v>
      </c>
      <c r="E2741" s="3" t="inlineStr">
        <is>
          <t>CARABINA</t>
        </is>
      </c>
      <c r="F2741" s="3" t="inlineStr">
        <is>
          <t>223 REM</t>
        </is>
      </c>
      <c r="G2741" s="3" t="inlineStr">
        <is>
          <t>BENELLI</t>
        </is>
      </c>
      <c r="H2741" s="65" t="inlineStr">
        <is>
          <t>LUPO BE­S.T. 24"</t>
        </is>
      </c>
      <c r="I2741" s="65" t="inlineStr">
        <is>
          <t>AR040943P</t>
        </is>
      </c>
      <c r="J2741" s="65" t="inlineStr">
        <is>
          <t>N/D</t>
        </is>
      </c>
      <c r="K2741" s="65" t="inlineStr">
        <is>
          <t>N/D</t>
        </is>
      </c>
      <c r="L2741" s="127" t="inlineStr">
        <is>
          <t>BENELLI SPA</t>
        </is>
      </c>
      <c r="M2741" s="5" t="n">
        <v>903</v>
      </c>
      <c r="N2741" s="5" t="n"/>
      <c r="O2741" s="5">
        <f>+M2741+N2741</f>
        <v/>
      </c>
      <c r="P2741" s="4" t="n">
        <v>45932</v>
      </c>
      <c r="Q2741" s="87" t="n">
        <v>45932</v>
      </c>
      <c r="R2741" s="5" t="n">
        <v>1029.42</v>
      </c>
      <c r="S2741" s="2" t="n">
        <v>1</v>
      </c>
      <c r="T2741" s="3" t="inlineStr">
        <is>
          <t>6B/2025/5S</t>
        </is>
      </c>
      <c r="U2741" s="87" t="n">
        <v>45963</v>
      </c>
      <c r="V2741" s="3" t="inlineStr">
        <is>
          <t>32</t>
        </is>
      </c>
      <c r="W2741" s="108" t="n">
        <v>45963</v>
      </c>
      <c r="X2741" s="4" t="inlineStr">
        <is>
          <t>BIN HUMAID NATIONAL TRADING CO</t>
        </is>
      </c>
    </row>
    <row r="2742" ht="24" customHeight="1">
      <c r="A2742" s="2">
        <f>+D2742-S2742</f>
        <v/>
      </c>
      <c r="B2742" s="80" t="n">
        <v>4334</v>
      </c>
      <c r="C2742" s="66" t="n">
        <v>45946</v>
      </c>
      <c r="D2742" s="2" t="n">
        <v>1</v>
      </c>
      <c r="E2742" s="3" t="inlineStr">
        <is>
          <t>CARABINA</t>
        </is>
      </c>
      <c r="F2742" s="3" t="inlineStr">
        <is>
          <t>223 REM</t>
        </is>
      </c>
      <c r="G2742" s="3" t="inlineStr">
        <is>
          <t>BENELLI</t>
        </is>
      </c>
      <c r="H2742" s="65" t="inlineStr">
        <is>
          <t>LUPO BE­S.T. 24"</t>
        </is>
      </c>
      <c r="I2742" s="65" t="inlineStr">
        <is>
          <t>AR043514H</t>
        </is>
      </c>
      <c r="J2742" s="65" t="inlineStr">
        <is>
          <t>N/D</t>
        </is>
      </c>
      <c r="K2742" s="65" t="inlineStr">
        <is>
          <t>N/D</t>
        </is>
      </c>
      <c r="L2742" s="127" t="inlineStr">
        <is>
          <t>BENELLI SPA</t>
        </is>
      </c>
      <c r="M2742" s="5" t="n">
        <v>903</v>
      </c>
      <c r="N2742" s="5" t="n"/>
      <c r="O2742" s="5">
        <f>+M2742+N2742</f>
        <v/>
      </c>
      <c r="P2742" s="4" t="n">
        <v>45932</v>
      </c>
      <c r="Q2742" s="87" t="n">
        <v>45932</v>
      </c>
      <c r="R2742" s="5" t="n">
        <v>1029.42</v>
      </c>
      <c r="S2742" s="2" t="n">
        <v>1</v>
      </c>
      <c r="T2742" s="3" t="inlineStr">
        <is>
          <t>6B/2025/5S</t>
        </is>
      </c>
      <c r="U2742" s="87" t="n">
        <v>45963</v>
      </c>
      <c r="V2742" s="3" t="inlineStr">
        <is>
          <t>32</t>
        </is>
      </c>
      <c r="W2742" s="108" t="n">
        <v>45963</v>
      </c>
      <c r="X2742" s="4" t="inlineStr">
        <is>
          <t>BIN HUMAID NATIONAL TRADING CO</t>
        </is>
      </c>
    </row>
    <row r="2743" ht="24" customHeight="1">
      <c r="A2743" s="2">
        <f>+D2743-S2743</f>
        <v/>
      </c>
      <c r="B2743" s="80" t="n">
        <v>4335</v>
      </c>
      <c r="C2743" s="66" t="n">
        <v>45946</v>
      </c>
      <c r="D2743" s="2" t="n">
        <v>1</v>
      </c>
      <c r="E2743" s="3" t="inlineStr">
        <is>
          <t>CARABINA</t>
        </is>
      </c>
      <c r="F2743" s="3" t="inlineStr">
        <is>
          <t>223 REM</t>
        </is>
      </c>
      <c r="G2743" s="3" t="inlineStr">
        <is>
          <t>BENELLI</t>
        </is>
      </c>
      <c r="H2743" s="65" t="inlineStr">
        <is>
          <t>LUPO BE­S.T. 24"</t>
        </is>
      </c>
      <c r="I2743" s="65" t="inlineStr">
        <is>
          <t>AR040890L</t>
        </is>
      </c>
      <c r="J2743" s="65" t="inlineStr">
        <is>
          <t>N/D</t>
        </is>
      </c>
      <c r="K2743" s="65" t="inlineStr">
        <is>
          <t>N/D</t>
        </is>
      </c>
      <c r="L2743" s="127" t="inlineStr">
        <is>
          <t>BENELLI SPA</t>
        </is>
      </c>
      <c r="M2743" s="5" t="n">
        <v>903</v>
      </c>
      <c r="N2743" s="5" t="n"/>
      <c r="O2743" s="5">
        <f>+M2743+N2743</f>
        <v/>
      </c>
      <c r="P2743" s="4" t="n">
        <v>45932</v>
      </c>
      <c r="Q2743" s="87" t="n">
        <v>45932</v>
      </c>
      <c r="R2743" s="5" t="n">
        <v>1029.42</v>
      </c>
      <c r="S2743" s="2" t="n">
        <v>1</v>
      </c>
      <c r="T2743" s="3" t="inlineStr">
        <is>
          <t>6B/2025/5S</t>
        </is>
      </c>
      <c r="U2743" s="87" t="n">
        <v>45963</v>
      </c>
      <c r="V2743" s="3" t="inlineStr">
        <is>
          <t>32</t>
        </is>
      </c>
      <c r="W2743" s="108" t="n">
        <v>45963</v>
      </c>
      <c r="X2743" s="4" t="inlineStr">
        <is>
          <t>BIN HUMAID NATIONAL TRADING CO</t>
        </is>
      </c>
    </row>
    <row r="2744" ht="24" customHeight="1">
      <c r="A2744" s="2">
        <f>+D2744-S2744</f>
        <v/>
      </c>
      <c r="B2744" s="80" t="n">
        <v>4336</v>
      </c>
      <c r="C2744" s="66" t="n">
        <v>45946</v>
      </c>
      <c r="D2744" s="2" t="n">
        <v>1</v>
      </c>
      <c r="E2744" s="3" t="inlineStr">
        <is>
          <t>CARABINA</t>
        </is>
      </c>
      <c r="F2744" s="3" t="inlineStr">
        <is>
          <t>223 REM</t>
        </is>
      </c>
      <c r="G2744" s="3" t="inlineStr">
        <is>
          <t>BENELLI</t>
        </is>
      </c>
      <c r="H2744" s="65" t="inlineStr">
        <is>
          <t>LUPO BE­S.T. 24"</t>
        </is>
      </c>
      <c r="I2744" s="65" t="inlineStr">
        <is>
          <t>AR040891N</t>
        </is>
      </c>
      <c r="J2744" s="65" t="inlineStr">
        <is>
          <t>N/D</t>
        </is>
      </c>
      <c r="K2744" s="65" t="inlineStr">
        <is>
          <t>N/D</t>
        </is>
      </c>
      <c r="L2744" s="127" t="inlineStr">
        <is>
          <t>BENELLI SPA</t>
        </is>
      </c>
      <c r="M2744" s="5" t="n">
        <v>903</v>
      </c>
      <c r="N2744" s="5" t="n"/>
      <c r="O2744" s="5">
        <f>+M2744+N2744</f>
        <v/>
      </c>
      <c r="P2744" s="4" t="n">
        <v>45932</v>
      </c>
      <c r="Q2744" s="87" t="n">
        <v>45932</v>
      </c>
      <c r="R2744" s="5" t="n">
        <v>1029.42</v>
      </c>
      <c r="S2744" s="2" t="n">
        <v>1</v>
      </c>
      <c r="T2744" s="3" t="inlineStr">
        <is>
          <t>6B/2025/5S</t>
        </is>
      </c>
      <c r="U2744" s="87" t="n">
        <v>45963</v>
      </c>
      <c r="V2744" s="3" t="inlineStr">
        <is>
          <t>32</t>
        </is>
      </c>
      <c r="W2744" s="108" t="n">
        <v>45963</v>
      </c>
      <c r="X2744" s="4" t="inlineStr">
        <is>
          <t>BIN HUMAID NATIONAL TRADING CO</t>
        </is>
      </c>
    </row>
    <row r="2745" ht="24" customHeight="1">
      <c r="A2745" s="2">
        <f>+D2745-S2745</f>
        <v/>
      </c>
      <c r="B2745" s="80" t="n">
        <v>4337</v>
      </c>
      <c r="C2745" s="66" t="n">
        <v>45946</v>
      </c>
      <c r="D2745" s="2" t="n">
        <v>1</v>
      </c>
      <c r="E2745" s="3" t="inlineStr">
        <is>
          <t>CARABINA</t>
        </is>
      </c>
      <c r="F2745" s="3" t="inlineStr">
        <is>
          <t>223 REM</t>
        </is>
      </c>
      <c r="G2745" s="3" t="inlineStr">
        <is>
          <t>BENELLI</t>
        </is>
      </c>
      <c r="H2745" s="65" t="inlineStr">
        <is>
          <t>LUPO BE­S.T. 24"</t>
        </is>
      </c>
      <c r="I2745" s="65" t="inlineStr">
        <is>
          <t>AR040892Q</t>
        </is>
      </c>
      <c r="J2745" s="65" t="inlineStr">
        <is>
          <t>N/D</t>
        </is>
      </c>
      <c r="K2745" s="65" t="inlineStr">
        <is>
          <t>N/D</t>
        </is>
      </c>
      <c r="L2745" s="127" t="inlineStr">
        <is>
          <t>BENELLI SPA</t>
        </is>
      </c>
      <c r="M2745" s="5" t="n">
        <v>903</v>
      </c>
      <c r="N2745" s="5" t="n"/>
      <c r="O2745" s="5">
        <f>+M2745+N2745</f>
        <v/>
      </c>
      <c r="P2745" s="4" t="n">
        <v>45932</v>
      </c>
      <c r="Q2745" s="87" t="n">
        <v>45932</v>
      </c>
      <c r="R2745" s="5" t="n">
        <v>1029.42</v>
      </c>
      <c r="S2745" s="2" t="n">
        <v>1</v>
      </c>
      <c r="T2745" s="3" t="inlineStr">
        <is>
          <t>6B/2025/5S</t>
        </is>
      </c>
      <c r="U2745" s="87" t="n">
        <v>45963</v>
      </c>
      <c r="V2745" s="3" t="inlineStr">
        <is>
          <t>32</t>
        </is>
      </c>
      <c r="W2745" s="108" t="n">
        <v>45963</v>
      </c>
      <c r="X2745" s="4" t="inlineStr">
        <is>
          <t>BIN HUMAID NATIONAL TRADING CO</t>
        </is>
      </c>
    </row>
    <row r="2746" ht="24" customHeight="1">
      <c r="A2746" s="2">
        <f>+D2746-S2746</f>
        <v/>
      </c>
      <c r="B2746" s="80" t="n">
        <v>4338</v>
      </c>
      <c r="C2746" s="66" t="n">
        <v>45946</v>
      </c>
      <c r="D2746" s="2" t="n">
        <v>1</v>
      </c>
      <c r="E2746" s="3" t="inlineStr">
        <is>
          <t>CARABINA</t>
        </is>
      </c>
      <c r="F2746" s="3" t="inlineStr">
        <is>
          <t>223 REM</t>
        </is>
      </c>
      <c r="G2746" s="3" t="inlineStr">
        <is>
          <t>BENELLI</t>
        </is>
      </c>
      <c r="H2746" s="65" t="inlineStr">
        <is>
          <t>LUPO BE­S.T. 24"</t>
        </is>
      </c>
      <c r="I2746" s="65" t="inlineStr">
        <is>
          <t>AR040911G</t>
        </is>
      </c>
      <c r="J2746" s="65" t="inlineStr">
        <is>
          <t>N/D</t>
        </is>
      </c>
      <c r="K2746" s="65" t="inlineStr">
        <is>
          <t>N/D</t>
        </is>
      </c>
      <c r="L2746" s="127" t="inlineStr">
        <is>
          <t>BENELLI SPA</t>
        </is>
      </c>
      <c r="M2746" s="5" t="n">
        <v>903</v>
      </c>
      <c r="N2746" s="5" t="n"/>
      <c r="O2746" s="5">
        <f>+M2746+N2746</f>
        <v/>
      </c>
      <c r="P2746" s="4" t="n">
        <v>45932</v>
      </c>
      <c r="Q2746" s="87" t="n">
        <v>45932</v>
      </c>
      <c r="R2746" s="5" t="n">
        <v>1029.42</v>
      </c>
      <c r="S2746" s="2" t="n">
        <v>1</v>
      </c>
      <c r="T2746" s="3" t="inlineStr">
        <is>
          <t>6B/2025/5S</t>
        </is>
      </c>
      <c r="U2746" s="87" t="n">
        <v>45963</v>
      </c>
      <c r="V2746" s="3" t="inlineStr">
        <is>
          <t>32</t>
        </is>
      </c>
      <c r="W2746" s="108" t="n">
        <v>45963</v>
      </c>
      <c r="X2746" s="4" t="inlineStr">
        <is>
          <t>BIN HUMAID NATIONAL TRADING CO</t>
        </is>
      </c>
    </row>
    <row r="2747" ht="24" customHeight="1">
      <c r="A2747" s="2">
        <f>+D2747-S2747</f>
        <v/>
      </c>
      <c r="B2747" s="80" t="n">
        <v>4339</v>
      </c>
      <c r="C2747" s="66" t="n">
        <v>45946</v>
      </c>
      <c r="D2747" s="2" t="n">
        <v>1</v>
      </c>
      <c r="E2747" s="3" t="inlineStr">
        <is>
          <t>CARABINA</t>
        </is>
      </c>
      <c r="F2747" s="3" t="inlineStr">
        <is>
          <t>223 REM</t>
        </is>
      </c>
      <c r="G2747" s="3" t="inlineStr">
        <is>
          <t>BENELLI</t>
        </is>
      </c>
      <c r="H2747" s="65" t="inlineStr">
        <is>
          <t>LUPO BE­S.T. 24"</t>
        </is>
      </c>
      <c r="I2747" s="65" t="inlineStr">
        <is>
          <t>AR043511B</t>
        </is>
      </c>
      <c r="J2747" s="65" t="inlineStr">
        <is>
          <t>N/D</t>
        </is>
      </c>
      <c r="K2747" s="65" t="inlineStr">
        <is>
          <t>N/D</t>
        </is>
      </c>
      <c r="L2747" s="127" t="inlineStr">
        <is>
          <t>BENELLI SPA</t>
        </is>
      </c>
      <c r="M2747" s="5" t="n">
        <v>903</v>
      </c>
      <c r="N2747" s="5" t="n"/>
      <c r="O2747" s="5">
        <f>+M2747+N2747</f>
        <v/>
      </c>
      <c r="P2747" s="4" t="n">
        <v>45932</v>
      </c>
      <c r="Q2747" s="87" t="n">
        <v>45932</v>
      </c>
      <c r="R2747" s="5" t="n">
        <v>1029.42</v>
      </c>
      <c r="S2747" s="2" t="n">
        <v>1</v>
      </c>
      <c r="T2747" s="3" t="inlineStr">
        <is>
          <t>6B/2025/5S</t>
        </is>
      </c>
      <c r="U2747" s="87" t="n">
        <v>45963</v>
      </c>
      <c r="V2747" s="3" t="inlineStr">
        <is>
          <t>32</t>
        </is>
      </c>
      <c r="W2747" s="108" t="n">
        <v>45963</v>
      </c>
      <c r="X2747" s="4" t="inlineStr">
        <is>
          <t>BIN HUMAID NATIONAL TRADING CO</t>
        </is>
      </c>
    </row>
    <row r="2748" ht="24" customHeight="1">
      <c r="A2748" s="2">
        <f>+D2748-S2748</f>
        <v/>
      </c>
      <c r="B2748" s="80" t="n">
        <v>4340</v>
      </c>
      <c r="C2748" s="66" t="n">
        <v>45946</v>
      </c>
      <c r="D2748" s="2" t="n">
        <v>1</v>
      </c>
      <c r="E2748" s="3" t="inlineStr">
        <is>
          <t>CARABINA</t>
        </is>
      </c>
      <c r="F2748" s="3" t="inlineStr">
        <is>
          <t>223 REM</t>
        </is>
      </c>
      <c r="G2748" s="3" t="inlineStr">
        <is>
          <t>BENELLI</t>
        </is>
      </c>
      <c r="H2748" s="65" t="inlineStr">
        <is>
          <t>LUPO BE­S.T. 24"</t>
        </is>
      </c>
      <c r="I2748" s="65" t="inlineStr">
        <is>
          <t>AR040885W</t>
        </is>
      </c>
      <c r="J2748" s="65" t="inlineStr">
        <is>
          <t>N/D</t>
        </is>
      </c>
      <c r="K2748" s="65" t="inlineStr">
        <is>
          <t>N/D</t>
        </is>
      </c>
      <c r="L2748" s="127" t="inlineStr">
        <is>
          <t>BENELLI SPA</t>
        </is>
      </c>
      <c r="M2748" s="5" t="n">
        <v>903</v>
      </c>
      <c r="N2748" s="5" t="n"/>
      <c r="O2748" s="5">
        <f>+M2748+N2748</f>
        <v/>
      </c>
      <c r="P2748" s="4" t="n">
        <v>45932</v>
      </c>
      <c r="Q2748" s="87" t="n">
        <v>45932</v>
      </c>
      <c r="R2748" s="5" t="n">
        <v>1029.42</v>
      </c>
      <c r="S2748" s="2" t="n">
        <v>1</v>
      </c>
      <c r="T2748" s="3" t="inlineStr">
        <is>
          <t>6B/2025/5S</t>
        </is>
      </c>
      <c r="U2748" s="87" t="n">
        <v>45963</v>
      </c>
      <c r="V2748" s="3" t="inlineStr">
        <is>
          <t>32</t>
        </is>
      </c>
      <c r="W2748" s="108" t="n">
        <v>45963</v>
      </c>
      <c r="X2748" s="4" t="inlineStr">
        <is>
          <t>BIN HUMAID NATIONAL TRADING CO</t>
        </is>
      </c>
    </row>
    <row r="2749" ht="24" customHeight="1">
      <c r="A2749" s="2">
        <f>+D2749-S2749</f>
        <v/>
      </c>
      <c r="B2749" s="80" t="n">
        <v>4341</v>
      </c>
      <c r="C2749" s="66" t="n">
        <v>45946</v>
      </c>
      <c r="D2749" s="2" t="n">
        <v>1</v>
      </c>
      <c r="E2749" s="3" t="inlineStr">
        <is>
          <t>CARABINA</t>
        </is>
      </c>
      <c r="F2749" s="3" t="inlineStr">
        <is>
          <t>223 REM</t>
        </is>
      </c>
      <c r="G2749" s="3" t="inlineStr">
        <is>
          <t>BENELLI</t>
        </is>
      </c>
      <c r="H2749" s="65" t="inlineStr">
        <is>
          <t>LUPO BE­S.T. 24"</t>
        </is>
      </c>
      <c r="I2749" s="65" t="inlineStr">
        <is>
          <t>AR040899F</t>
        </is>
      </c>
      <c r="J2749" s="65" t="inlineStr">
        <is>
          <t>N/D</t>
        </is>
      </c>
      <c r="K2749" s="65" t="inlineStr">
        <is>
          <t>N/D</t>
        </is>
      </c>
      <c r="L2749" s="127" t="inlineStr">
        <is>
          <t>BENELLI SPA</t>
        </is>
      </c>
      <c r="M2749" s="5" t="n">
        <v>903</v>
      </c>
      <c r="N2749" s="5" t="n"/>
      <c r="O2749" s="5">
        <f>+M2749+N2749</f>
        <v/>
      </c>
      <c r="P2749" s="4" t="n">
        <v>45932</v>
      </c>
      <c r="Q2749" s="87" t="n">
        <v>45932</v>
      </c>
      <c r="R2749" s="5" t="n">
        <v>1029.42</v>
      </c>
      <c r="S2749" s="2" t="n">
        <v>1</v>
      </c>
      <c r="T2749" s="3" t="inlineStr">
        <is>
          <t>6B/2025/5S</t>
        </is>
      </c>
      <c r="U2749" s="87" t="n">
        <v>45963</v>
      </c>
      <c r="V2749" s="3" t="inlineStr">
        <is>
          <t>32</t>
        </is>
      </c>
      <c r="W2749" s="108" t="n">
        <v>45963</v>
      </c>
      <c r="X2749" s="4" t="inlineStr">
        <is>
          <t>BIN HUMAID NATIONAL TRADING CO</t>
        </is>
      </c>
    </row>
    <row r="2750" ht="24" customHeight="1">
      <c r="A2750" s="2">
        <f>+D2750-S2750</f>
        <v/>
      </c>
      <c r="B2750" s="80" t="n">
        <v>4342</v>
      </c>
      <c r="C2750" s="66" t="n">
        <v>45946</v>
      </c>
      <c r="D2750" s="2" t="n">
        <v>1</v>
      </c>
      <c r="E2750" s="3" t="inlineStr">
        <is>
          <t>CARABINA</t>
        </is>
      </c>
      <c r="F2750" s="3" t="inlineStr">
        <is>
          <t>223 REM</t>
        </is>
      </c>
      <c r="G2750" s="3" t="inlineStr">
        <is>
          <t>BENELLI</t>
        </is>
      </c>
      <c r="H2750" s="65" t="inlineStr">
        <is>
          <t>LUPO BE­S.T. 24"</t>
        </is>
      </c>
      <c r="I2750" s="65" t="inlineStr">
        <is>
          <t>AR040912J</t>
        </is>
      </c>
      <c r="J2750" s="65" t="inlineStr">
        <is>
          <t>N/D</t>
        </is>
      </c>
      <c r="K2750" s="65" t="inlineStr">
        <is>
          <t>N/D</t>
        </is>
      </c>
      <c r="L2750" s="127" t="inlineStr">
        <is>
          <t>BENELLI SPA</t>
        </is>
      </c>
      <c r="M2750" s="5" t="n">
        <v>903</v>
      </c>
      <c r="N2750" s="5" t="n"/>
      <c r="O2750" s="5">
        <f>+M2750+N2750</f>
        <v/>
      </c>
      <c r="P2750" s="4" t="n">
        <v>45932</v>
      </c>
      <c r="Q2750" s="87" t="n">
        <v>45932</v>
      </c>
      <c r="R2750" s="5" t="n">
        <v>1029.42</v>
      </c>
      <c r="S2750" s="2" t="n">
        <v>1</v>
      </c>
      <c r="T2750" s="3" t="inlineStr">
        <is>
          <t>6B/2025/5S</t>
        </is>
      </c>
      <c r="U2750" s="87" t="n">
        <v>45963</v>
      </c>
      <c r="V2750" s="3" t="inlineStr">
        <is>
          <t>32</t>
        </is>
      </c>
      <c r="W2750" s="108" t="n">
        <v>45963</v>
      </c>
      <c r="X2750" s="4" t="inlineStr">
        <is>
          <t>BIN HUMAID NATIONAL TRADING CO</t>
        </is>
      </c>
    </row>
    <row r="2751" ht="24" customHeight="1">
      <c r="A2751" s="2">
        <f>+D2751-S2751</f>
        <v/>
      </c>
      <c r="B2751" s="80" t="n">
        <v>4343</v>
      </c>
      <c r="C2751" s="66" t="n">
        <v>45946</v>
      </c>
      <c r="D2751" s="2" t="n">
        <v>1</v>
      </c>
      <c r="E2751" s="3" t="inlineStr">
        <is>
          <t>CARABINA</t>
        </is>
      </c>
      <c r="F2751" s="3" t="inlineStr">
        <is>
          <t>223 REM</t>
        </is>
      </c>
      <c r="G2751" s="3" t="inlineStr">
        <is>
          <t>BENELLI</t>
        </is>
      </c>
      <c r="H2751" s="65" t="inlineStr">
        <is>
          <t>LUPO BE­S.T. 24"</t>
        </is>
      </c>
      <c r="I2751" s="65" t="inlineStr">
        <is>
          <t>AR040932L</t>
        </is>
      </c>
      <c r="J2751" s="65" t="inlineStr">
        <is>
          <t>N/D</t>
        </is>
      </c>
      <c r="K2751" s="65" t="inlineStr">
        <is>
          <t>N/D</t>
        </is>
      </c>
      <c r="L2751" s="127" t="inlineStr">
        <is>
          <t>BENELLI SPA</t>
        </is>
      </c>
      <c r="M2751" s="5" t="n">
        <v>903</v>
      </c>
      <c r="N2751" s="5" t="n"/>
      <c r="O2751" s="5">
        <f>+M2751+N2751</f>
        <v/>
      </c>
      <c r="P2751" s="4" t="n">
        <v>45932</v>
      </c>
      <c r="Q2751" s="87" t="n">
        <v>45932</v>
      </c>
      <c r="R2751" s="5" t="n">
        <v>1029.42</v>
      </c>
      <c r="S2751" s="2" t="n">
        <v>1</v>
      </c>
      <c r="T2751" s="3" t="inlineStr">
        <is>
          <t>6B/2025/5S</t>
        </is>
      </c>
      <c r="U2751" s="87" t="n">
        <v>45963</v>
      </c>
      <c r="V2751" s="3" t="inlineStr">
        <is>
          <t>32</t>
        </is>
      </c>
      <c r="W2751" s="108" t="n">
        <v>45963</v>
      </c>
      <c r="X2751" s="4" t="inlineStr">
        <is>
          <t>BIN HUMAID NATIONAL TRADING CO</t>
        </is>
      </c>
    </row>
    <row r="2752" ht="24" customHeight="1">
      <c r="A2752" s="2">
        <f>+D2752-S2752</f>
        <v/>
      </c>
      <c r="B2752" s="80" t="n">
        <v>4344</v>
      </c>
      <c r="C2752" s="66" t="n">
        <v>45946</v>
      </c>
      <c r="D2752" s="2" t="n">
        <v>1</v>
      </c>
      <c r="E2752" s="3" t="inlineStr">
        <is>
          <t>CARABINA</t>
        </is>
      </c>
      <c r="F2752" s="3" t="inlineStr">
        <is>
          <t>223 REM</t>
        </is>
      </c>
      <c r="G2752" s="3" t="inlineStr">
        <is>
          <t>BENELLI</t>
        </is>
      </c>
      <c r="H2752" s="65" t="inlineStr">
        <is>
          <t>LUPO BE­S.T. 24"</t>
        </is>
      </c>
      <c r="I2752" s="65" t="inlineStr">
        <is>
          <t>AR040957Z</t>
        </is>
      </c>
      <c r="J2752" s="65" t="inlineStr">
        <is>
          <t>N/D</t>
        </is>
      </c>
      <c r="K2752" s="65" t="inlineStr">
        <is>
          <t>N/D</t>
        </is>
      </c>
      <c r="L2752" s="127" t="inlineStr">
        <is>
          <t>BENELLI SPA</t>
        </is>
      </c>
      <c r="M2752" s="5" t="n">
        <v>903</v>
      </c>
      <c r="N2752" s="5" t="n"/>
      <c r="O2752" s="5">
        <f>+M2752+N2752</f>
        <v/>
      </c>
      <c r="P2752" s="4" t="n">
        <v>45932</v>
      </c>
      <c r="Q2752" s="87" t="n">
        <v>45932</v>
      </c>
      <c r="R2752" s="5" t="n">
        <v>1029.42</v>
      </c>
      <c r="S2752" s="2" t="n">
        <v>1</v>
      </c>
      <c r="T2752" s="3" t="inlineStr">
        <is>
          <t>6B/2025/5S</t>
        </is>
      </c>
      <c r="U2752" s="87" t="n">
        <v>45963</v>
      </c>
      <c r="V2752" s="3" t="inlineStr">
        <is>
          <t>32</t>
        </is>
      </c>
      <c r="W2752" s="108" t="n">
        <v>45963</v>
      </c>
      <c r="X2752" s="4" t="inlineStr">
        <is>
          <t>BIN HUMAID NATIONAL TRADING CO</t>
        </is>
      </c>
    </row>
    <row r="2753" ht="24" customHeight="1">
      <c r="A2753" s="2">
        <f>+D2753-S2753</f>
        <v/>
      </c>
      <c r="B2753" s="80" t="n">
        <v>4345</v>
      </c>
      <c r="C2753" s="66" t="n">
        <v>45946</v>
      </c>
      <c r="D2753" s="2" t="n">
        <v>1</v>
      </c>
      <c r="E2753" s="3" t="inlineStr">
        <is>
          <t>CARABINA</t>
        </is>
      </c>
      <c r="F2753" s="3" t="inlineStr">
        <is>
          <t>223 REM</t>
        </is>
      </c>
      <c r="G2753" s="3" t="inlineStr">
        <is>
          <t>BENELLI</t>
        </is>
      </c>
      <c r="H2753" s="65" t="inlineStr">
        <is>
          <t>LUPO BE­S.T. 24"</t>
        </is>
      </c>
      <c r="I2753" s="65" t="inlineStr">
        <is>
          <t>AR043490E</t>
        </is>
      </c>
      <c r="J2753" s="65" t="inlineStr">
        <is>
          <t>N/D</t>
        </is>
      </c>
      <c r="K2753" s="65" t="inlineStr">
        <is>
          <t>N/D</t>
        </is>
      </c>
      <c r="L2753" s="127" t="inlineStr">
        <is>
          <t>BENELLI SPA</t>
        </is>
      </c>
      <c r="M2753" s="5" t="n">
        <v>903</v>
      </c>
      <c r="N2753" s="5" t="n"/>
      <c r="O2753" s="5">
        <f>+M2753+N2753</f>
        <v/>
      </c>
      <c r="P2753" s="4" t="n">
        <v>45932</v>
      </c>
      <c r="Q2753" s="87" t="n">
        <v>45932</v>
      </c>
      <c r="R2753" s="5" t="n">
        <v>1029.42</v>
      </c>
      <c r="S2753" s="2" t="n">
        <v>1</v>
      </c>
      <c r="T2753" s="3" t="inlineStr">
        <is>
          <t>6B/2025/5S</t>
        </is>
      </c>
      <c r="U2753" s="87" t="n">
        <v>45963</v>
      </c>
      <c r="V2753" s="3" t="inlineStr">
        <is>
          <t>32</t>
        </is>
      </c>
      <c r="W2753" s="108" t="n">
        <v>45963</v>
      </c>
      <c r="X2753" s="4" t="inlineStr">
        <is>
          <t>BIN HUMAID NATIONAL TRADING CO</t>
        </is>
      </c>
    </row>
    <row r="2754" ht="24" customHeight="1">
      <c r="A2754" s="2">
        <f>+D2754-S2754</f>
        <v/>
      </c>
      <c r="B2754" s="80" t="n">
        <v>4346</v>
      </c>
      <c r="C2754" s="66" t="n">
        <v>45946</v>
      </c>
      <c r="D2754" s="2" t="n">
        <v>1</v>
      </c>
      <c r="E2754" s="3" t="inlineStr">
        <is>
          <t>CARABINA</t>
        </is>
      </c>
      <c r="F2754" s="3" t="inlineStr">
        <is>
          <t>223 REM</t>
        </is>
      </c>
      <c r="G2754" s="3" t="inlineStr">
        <is>
          <t>BENELLI</t>
        </is>
      </c>
      <c r="H2754" s="65" t="inlineStr">
        <is>
          <t>LUPO BE­S.T. 24"</t>
        </is>
      </c>
      <c r="I2754" s="65" t="inlineStr">
        <is>
          <t>AR036696Z</t>
        </is>
      </c>
      <c r="J2754" s="65" t="inlineStr">
        <is>
          <t>N/D</t>
        </is>
      </c>
      <c r="K2754" s="65" t="inlineStr">
        <is>
          <t>N/D</t>
        </is>
      </c>
      <c r="L2754" s="127" t="inlineStr">
        <is>
          <t>BENELLI SPA</t>
        </is>
      </c>
      <c r="M2754" s="5" t="n">
        <v>972</v>
      </c>
      <c r="N2754" s="5" t="n"/>
      <c r="O2754" s="5">
        <f>+M2754+N2754</f>
        <v/>
      </c>
      <c r="P2754" s="4" t="n">
        <v>45932</v>
      </c>
      <c r="Q2754" s="87" t="n">
        <v>45932</v>
      </c>
      <c r="R2754" s="5" t="n">
        <v>1108</v>
      </c>
      <c r="S2754" s="2" t="n">
        <v>1</v>
      </c>
      <c r="T2754" s="3" t="inlineStr">
        <is>
          <t>6B/2025/5S</t>
        </is>
      </c>
      <c r="U2754" s="87" t="n">
        <v>45963</v>
      </c>
      <c r="V2754" s="3" t="inlineStr">
        <is>
          <t>32</t>
        </is>
      </c>
      <c r="W2754" s="108" t="n">
        <v>45963</v>
      </c>
      <c r="X2754" s="4" t="inlineStr">
        <is>
          <t>BIN HUMAID NATIONAL TRADING CO</t>
        </is>
      </c>
    </row>
    <row r="2755" ht="24" customHeight="1">
      <c r="A2755" s="2">
        <f>+D2755-S2755</f>
        <v/>
      </c>
      <c r="B2755" s="80" t="n">
        <v>4347</v>
      </c>
      <c r="C2755" s="66" t="n">
        <v>45946</v>
      </c>
      <c r="D2755" s="2" t="n">
        <v>1</v>
      </c>
      <c r="E2755" s="3" t="inlineStr">
        <is>
          <t>CARABINA</t>
        </is>
      </c>
      <c r="F2755" s="3" t="inlineStr">
        <is>
          <t>223 REM</t>
        </is>
      </c>
      <c r="G2755" s="3" t="inlineStr">
        <is>
          <t>BENELLI</t>
        </is>
      </c>
      <c r="H2755" s="65" t="inlineStr">
        <is>
          <t>LUPO BE­S.T. 24"</t>
        </is>
      </c>
      <c r="I2755" s="65" t="inlineStr">
        <is>
          <t>AR042584P</t>
        </is>
      </c>
      <c r="J2755" s="65" t="inlineStr">
        <is>
          <t>N/D</t>
        </is>
      </c>
      <c r="K2755" s="65" t="inlineStr">
        <is>
          <t>N/D</t>
        </is>
      </c>
      <c r="L2755" s="127" t="inlineStr">
        <is>
          <t>BENELLI SPA</t>
        </is>
      </c>
      <c r="M2755" s="5" t="n">
        <v>972</v>
      </c>
      <c r="N2755" s="5" t="n"/>
      <c r="O2755" s="5">
        <f>+M2755+N2755</f>
        <v/>
      </c>
      <c r="P2755" s="4" t="n">
        <v>45932</v>
      </c>
      <c r="Q2755" s="87" t="n">
        <v>45932</v>
      </c>
      <c r="R2755" s="5" t="n">
        <v>1108</v>
      </c>
      <c r="S2755" s="2" t="n">
        <v>1</v>
      </c>
      <c r="T2755" s="3" t="inlineStr">
        <is>
          <t>6B/2025/5S</t>
        </is>
      </c>
      <c r="U2755" s="87" t="n">
        <v>45963</v>
      </c>
      <c r="V2755" s="3" t="inlineStr">
        <is>
          <t>32</t>
        </is>
      </c>
      <c r="W2755" s="108" t="n">
        <v>45963</v>
      </c>
      <c r="X2755" s="4" t="inlineStr">
        <is>
          <t>BIN HUMAID NATIONAL TRADING CO</t>
        </is>
      </c>
    </row>
    <row r="2756" ht="24" customHeight="1">
      <c r="A2756" s="2">
        <f>+D2756-S2756</f>
        <v/>
      </c>
      <c r="B2756" s="80" t="n">
        <v>4348</v>
      </c>
      <c r="C2756" s="66" t="n">
        <v>45946</v>
      </c>
      <c r="D2756" s="2" t="n">
        <v>1</v>
      </c>
      <c r="E2756" s="3" t="inlineStr">
        <is>
          <t>CARABINA</t>
        </is>
      </c>
      <c r="F2756" s="3" t="inlineStr">
        <is>
          <t>223 REM</t>
        </is>
      </c>
      <c r="G2756" s="3" t="inlineStr">
        <is>
          <t>BENELLI</t>
        </is>
      </c>
      <c r="H2756" s="65" t="inlineStr">
        <is>
          <t>LUPO BE­S.T. 24"</t>
        </is>
      </c>
      <c r="I2756" s="65" t="inlineStr">
        <is>
          <t>AR042589A</t>
        </is>
      </c>
      <c r="J2756" s="65" t="inlineStr">
        <is>
          <t>N/D</t>
        </is>
      </c>
      <c r="K2756" s="65" t="inlineStr">
        <is>
          <t>N/D</t>
        </is>
      </c>
      <c r="L2756" s="127" t="inlineStr">
        <is>
          <t>BENELLI SPA</t>
        </is>
      </c>
      <c r="M2756" s="5" t="n">
        <v>972</v>
      </c>
      <c r="N2756" s="5" t="n"/>
      <c r="O2756" s="5">
        <f>+M2756+N2756</f>
        <v/>
      </c>
      <c r="P2756" s="4" t="n">
        <v>45932</v>
      </c>
      <c r="Q2756" s="87" t="n">
        <v>45932</v>
      </c>
      <c r="R2756" s="5" t="n">
        <v>1108</v>
      </c>
      <c r="S2756" s="2" t="n">
        <v>1</v>
      </c>
      <c r="T2756" s="3" t="inlineStr">
        <is>
          <t>6B/2025/5S</t>
        </is>
      </c>
      <c r="U2756" s="87" t="n">
        <v>45963</v>
      </c>
      <c r="V2756" s="3" t="inlineStr">
        <is>
          <t>32</t>
        </is>
      </c>
      <c r="W2756" s="108" t="n">
        <v>45963</v>
      </c>
      <c r="X2756" s="4" t="inlineStr">
        <is>
          <t>BIN HUMAID NATIONAL TRADING CO</t>
        </is>
      </c>
    </row>
    <row r="2757" ht="24" customHeight="1">
      <c r="A2757" s="2">
        <f>+D2757-S2757</f>
        <v/>
      </c>
      <c r="B2757" s="80" t="n">
        <v>4349</v>
      </c>
      <c r="C2757" s="66" t="n">
        <v>45946</v>
      </c>
      <c r="D2757" s="2" t="n">
        <v>1</v>
      </c>
      <c r="E2757" s="3" t="inlineStr">
        <is>
          <t>CARABINA</t>
        </is>
      </c>
      <c r="F2757" s="3" t="inlineStr">
        <is>
          <t>223 REM</t>
        </is>
      </c>
      <c r="G2757" s="3" t="inlineStr">
        <is>
          <t>BENELLI</t>
        </is>
      </c>
      <c r="H2757" s="65" t="inlineStr">
        <is>
          <t>LUPO BE­S.T. 24"</t>
        </is>
      </c>
      <c r="I2757" s="65" t="inlineStr">
        <is>
          <t>AR042592L</t>
        </is>
      </c>
      <c r="J2757" s="65" t="inlineStr">
        <is>
          <t>N/D</t>
        </is>
      </c>
      <c r="K2757" s="65" t="inlineStr">
        <is>
          <t>N/D</t>
        </is>
      </c>
      <c r="L2757" s="127" t="inlineStr">
        <is>
          <t>BENELLI SPA</t>
        </is>
      </c>
      <c r="M2757" s="5" t="n">
        <v>972</v>
      </c>
      <c r="N2757" s="5" t="n"/>
      <c r="O2757" s="5">
        <f>+M2757+N2757</f>
        <v/>
      </c>
      <c r="P2757" s="4" t="n">
        <v>45932</v>
      </c>
      <c r="Q2757" s="87" t="n">
        <v>45932</v>
      </c>
      <c r="R2757" s="5" t="n">
        <v>1108</v>
      </c>
      <c r="S2757" s="2" t="n">
        <v>1</v>
      </c>
      <c r="T2757" s="3" t="inlineStr">
        <is>
          <t>6B/2025/5S</t>
        </is>
      </c>
      <c r="U2757" s="87" t="n">
        <v>45963</v>
      </c>
      <c r="V2757" s="3" t="inlineStr">
        <is>
          <t>32</t>
        </is>
      </c>
      <c r="W2757" s="108" t="n">
        <v>45963</v>
      </c>
      <c r="X2757" s="4" t="inlineStr">
        <is>
          <t>BIN HUMAID NATIONAL TRADING CO</t>
        </is>
      </c>
    </row>
    <row r="2758" ht="24" customHeight="1">
      <c r="A2758" s="2">
        <f>+D2758-S2758</f>
        <v/>
      </c>
      <c r="B2758" s="80" t="n">
        <v>4350</v>
      </c>
      <c r="C2758" s="66" t="n">
        <v>45946</v>
      </c>
      <c r="D2758" s="2" t="n">
        <v>1</v>
      </c>
      <c r="E2758" s="3" t="inlineStr">
        <is>
          <t>CARABINA</t>
        </is>
      </c>
      <c r="F2758" s="3" t="inlineStr">
        <is>
          <t>223 REM</t>
        </is>
      </c>
      <c r="G2758" s="3" t="inlineStr">
        <is>
          <t>BENELLI</t>
        </is>
      </c>
      <c r="H2758" s="65" t="inlineStr">
        <is>
          <t>LUPO BE­S.T. 24"</t>
        </is>
      </c>
      <c r="I2758" s="65" t="inlineStr">
        <is>
          <t>AR040888C</t>
        </is>
      </c>
      <c r="J2758" s="65" t="inlineStr">
        <is>
          <t>N/D</t>
        </is>
      </c>
      <c r="K2758" s="65" t="inlineStr">
        <is>
          <t>N/D</t>
        </is>
      </c>
      <c r="L2758" s="127" t="inlineStr">
        <is>
          <t>BENELLI SPA</t>
        </is>
      </c>
      <c r="M2758" s="5" t="n">
        <v>903</v>
      </c>
      <c r="N2758" s="5" t="n"/>
      <c r="O2758" s="5">
        <f>+M2758+N2758</f>
        <v/>
      </c>
      <c r="P2758" s="4" t="n">
        <v>45932</v>
      </c>
      <c r="Q2758" s="87" t="n">
        <v>45932</v>
      </c>
      <c r="R2758" s="5" t="n">
        <v>1029.42</v>
      </c>
      <c r="S2758" s="2" t="n">
        <v>1</v>
      </c>
      <c r="T2758" s="3" t="inlineStr">
        <is>
          <t>6B/2025/5S</t>
        </is>
      </c>
      <c r="U2758" s="87" t="n">
        <v>45963</v>
      </c>
      <c r="V2758" s="3" t="inlineStr">
        <is>
          <t>32</t>
        </is>
      </c>
      <c r="W2758" s="108" t="n">
        <v>45963</v>
      </c>
      <c r="X2758" s="4" t="inlineStr">
        <is>
          <t>BIN HUMAID NATIONAL TRADING CO</t>
        </is>
      </c>
    </row>
    <row r="2759" ht="24" customHeight="1">
      <c r="A2759" s="2">
        <f>+D2759-S2759</f>
        <v/>
      </c>
      <c r="B2759" s="80" t="n">
        <v>4351</v>
      </c>
      <c r="C2759" s="66" t="n">
        <v>45946</v>
      </c>
      <c r="D2759" s="2" t="n">
        <v>1</v>
      </c>
      <c r="E2759" s="3" t="inlineStr">
        <is>
          <t>CARABINA</t>
        </is>
      </c>
      <c r="F2759" s="3" t="inlineStr">
        <is>
          <t>223 REM</t>
        </is>
      </c>
      <c r="G2759" s="3" t="inlineStr">
        <is>
          <t>BENELLI</t>
        </is>
      </c>
      <c r="H2759" s="65" t="inlineStr">
        <is>
          <t>LUPO BE­S.T. 24"</t>
        </is>
      </c>
      <c r="I2759" s="65" t="inlineStr">
        <is>
          <t>AR040914N</t>
        </is>
      </c>
      <c r="J2759" s="65" t="inlineStr">
        <is>
          <t>N/D</t>
        </is>
      </c>
      <c r="K2759" s="65" t="inlineStr">
        <is>
          <t>N/D</t>
        </is>
      </c>
      <c r="L2759" s="127" t="inlineStr">
        <is>
          <t>BENELLI SPA</t>
        </is>
      </c>
      <c r="M2759" s="5" t="n">
        <v>903</v>
      </c>
      <c r="N2759" s="5" t="n"/>
      <c r="O2759" s="5">
        <f>+M2759+N2759</f>
        <v/>
      </c>
      <c r="P2759" s="4" t="n">
        <v>45932</v>
      </c>
      <c r="Q2759" s="87" t="n">
        <v>45932</v>
      </c>
      <c r="R2759" s="5" t="n">
        <v>1029.42</v>
      </c>
      <c r="S2759" s="2" t="n">
        <v>1</v>
      </c>
      <c r="T2759" s="3" t="inlineStr">
        <is>
          <t>6B/2025/5S</t>
        </is>
      </c>
      <c r="U2759" s="87" t="n">
        <v>45963</v>
      </c>
      <c r="V2759" s="3" t="inlineStr">
        <is>
          <t>32</t>
        </is>
      </c>
      <c r="W2759" s="108" t="n">
        <v>45963</v>
      </c>
      <c r="X2759" s="4" t="inlineStr">
        <is>
          <t>BIN HUMAID NATIONAL TRADING CO</t>
        </is>
      </c>
    </row>
    <row r="2760" ht="24" customHeight="1">
      <c r="A2760" s="2">
        <f>+D2760-S2760</f>
        <v/>
      </c>
      <c r="B2760" s="80" t="n">
        <v>4352</v>
      </c>
      <c r="C2760" s="66" t="n">
        <v>45946</v>
      </c>
      <c r="D2760" s="2" t="n">
        <v>1</v>
      </c>
      <c r="E2760" s="3" t="inlineStr">
        <is>
          <t>CARABINA</t>
        </is>
      </c>
      <c r="F2760" s="3" t="inlineStr">
        <is>
          <t>223 REM</t>
        </is>
      </c>
      <c r="G2760" s="3" t="inlineStr">
        <is>
          <t>BENELLI</t>
        </is>
      </c>
      <c r="H2760" s="65" t="inlineStr">
        <is>
          <t>LUPO BE­S.T. 24"</t>
        </is>
      </c>
      <c r="I2760" s="65" t="inlineStr">
        <is>
          <t>AR042588Y</t>
        </is>
      </c>
      <c r="J2760" s="65" t="inlineStr">
        <is>
          <t>N/D</t>
        </is>
      </c>
      <c r="K2760" s="65" t="inlineStr">
        <is>
          <t>N/D</t>
        </is>
      </c>
      <c r="L2760" s="127" t="inlineStr">
        <is>
          <t>BENELLI SPA</t>
        </is>
      </c>
      <c r="M2760" s="5" t="n">
        <v>972</v>
      </c>
      <c r="N2760" s="5" t="n"/>
      <c r="O2760" s="5">
        <f>+M2760+N2760</f>
        <v/>
      </c>
      <c r="P2760" s="4" t="n">
        <v>45932</v>
      </c>
      <c r="Q2760" s="87" t="n">
        <v>45932</v>
      </c>
      <c r="R2760" s="5" t="n">
        <v>1108</v>
      </c>
      <c r="S2760" s="2" t="n">
        <v>1</v>
      </c>
      <c r="T2760" s="3" t="inlineStr">
        <is>
          <t>6B/2025/5S</t>
        </is>
      </c>
      <c r="U2760" s="87" t="n">
        <v>45963</v>
      </c>
      <c r="V2760" s="3" t="inlineStr">
        <is>
          <t>32</t>
        </is>
      </c>
      <c r="W2760" s="108" t="n">
        <v>45963</v>
      </c>
      <c r="X2760" s="4" t="inlineStr">
        <is>
          <t>BIN HUMAID NATIONAL TRADING CO</t>
        </is>
      </c>
    </row>
    <row r="2761" ht="24" customHeight="1">
      <c r="A2761" s="2">
        <f>+D2761-S2761</f>
        <v/>
      </c>
      <c r="B2761" s="80" t="n">
        <v>4353</v>
      </c>
      <c r="C2761" s="66" t="n">
        <v>45946</v>
      </c>
      <c r="D2761" s="2" t="n">
        <v>1</v>
      </c>
      <c r="E2761" s="3" t="inlineStr">
        <is>
          <t>CARABINA</t>
        </is>
      </c>
      <c r="F2761" s="3" t="inlineStr">
        <is>
          <t>223 REM</t>
        </is>
      </c>
      <c r="G2761" s="3" t="inlineStr">
        <is>
          <t>BENELLI</t>
        </is>
      </c>
      <c r="H2761" s="65" t="inlineStr">
        <is>
          <t>LUPO BE­S.T. 24"</t>
        </is>
      </c>
      <c r="I2761" s="65" t="inlineStr">
        <is>
          <t>AR042594Q</t>
        </is>
      </c>
      <c r="J2761" s="65" t="inlineStr">
        <is>
          <t>N/D</t>
        </is>
      </c>
      <c r="K2761" s="65" t="inlineStr">
        <is>
          <t>N/D</t>
        </is>
      </c>
      <c r="L2761" s="127" t="inlineStr">
        <is>
          <t>BENELLI SPA</t>
        </is>
      </c>
      <c r="M2761" s="5" t="n">
        <v>972</v>
      </c>
      <c r="N2761" s="5" t="n"/>
      <c r="O2761" s="5">
        <f>+M2761+N2761</f>
        <v/>
      </c>
      <c r="P2761" s="4" t="n">
        <v>45932</v>
      </c>
      <c r="Q2761" s="87" t="n">
        <v>45932</v>
      </c>
      <c r="R2761" s="5" t="n">
        <v>1108</v>
      </c>
      <c r="S2761" s="2" t="n">
        <v>1</v>
      </c>
      <c r="T2761" s="3" t="inlineStr">
        <is>
          <t>6B/2025/5S</t>
        </is>
      </c>
      <c r="U2761" s="87" t="n">
        <v>45963</v>
      </c>
      <c r="V2761" s="3" t="inlineStr">
        <is>
          <t>32</t>
        </is>
      </c>
      <c r="W2761" s="108" t="n">
        <v>45963</v>
      </c>
      <c r="X2761" s="4" t="inlineStr">
        <is>
          <t>BIN HUMAID NATIONAL TRADING CO</t>
        </is>
      </c>
    </row>
    <row r="2762" ht="24" customHeight="1">
      <c r="A2762" s="2">
        <f>+D2762-S2762</f>
        <v/>
      </c>
      <c r="B2762" s="80" t="n">
        <v>4354</v>
      </c>
      <c r="C2762" s="66" t="n">
        <v>45946</v>
      </c>
      <c r="D2762" s="2" t="n">
        <v>1</v>
      </c>
      <c r="E2762" s="3" t="inlineStr">
        <is>
          <t>CARABINA</t>
        </is>
      </c>
      <c r="F2762" s="3" t="inlineStr">
        <is>
          <t>223 REM</t>
        </is>
      </c>
      <c r="G2762" s="3" t="inlineStr">
        <is>
          <t>BENELLI</t>
        </is>
      </c>
      <c r="H2762" s="65" t="inlineStr">
        <is>
          <t>LUPO BE­S.T. 24"</t>
        </is>
      </c>
      <c r="I2762" s="65" t="inlineStr">
        <is>
          <t>AR042598Z</t>
        </is>
      </c>
      <c r="J2762" s="65" t="inlineStr">
        <is>
          <t>N/D</t>
        </is>
      </c>
      <c r="K2762" s="65" t="inlineStr">
        <is>
          <t>N/D</t>
        </is>
      </c>
      <c r="L2762" s="127" t="inlineStr">
        <is>
          <t>BENELLI SPA</t>
        </is>
      </c>
      <c r="M2762" s="5" t="n">
        <v>972</v>
      </c>
      <c r="N2762" s="5" t="n"/>
      <c r="O2762" s="5">
        <f>+M2762+N2762</f>
        <v/>
      </c>
      <c r="P2762" s="4" t="n">
        <v>45932</v>
      </c>
      <c r="Q2762" s="87" t="n">
        <v>45932</v>
      </c>
      <c r="R2762" s="5" t="n">
        <v>1108</v>
      </c>
      <c r="S2762" s="2" t="n">
        <v>1</v>
      </c>
      <c r="T2762" s="3" t="inlineStr">
        <is>
          <t>6B/2025/5S</t>
        </is>
      </c>
      <c r="U2762" s="87" t="n">
        <v>45963</v>
      </c>
      <c r="V2762" s="3" t="inlineStr">
        <is>
          <t>32</t>
        </is>
      </c>
      <c r="W2762" s="108" t="n">
        <v>45963</v>
      </c>
      <c r="X2762" s="4" t="inlineStr">
        <is>
          <t>BIN HUMAID NATIONAL TRADING CO</t>
        </is>
      </c>
    </row>
    <row r="2763" ht="24" customHeight="1">
      <c r="A2763" s="2">
        <f>+D2763-S2763</f>
        <v/>
      </c>
      <c r="B2763" s="80" t="n">
        <v>4355</v>
      </c>
      <c r="C2763" s="66" t="n">
        <v>45946</v>
      </c>
      <c r="D2763" s="2" t="n">
        <v>1</v>
      </c>
      <c r="E2763" s="3" t="inlineStr">
        <is>
          <t>CARABINA</t>
        </is>
      </c>
      <c r="F2763" s="3" t="inlineStr">
        <is>
          <t>223 REM</t>
        </is>
      </c>
      <c r="G2763" s="3" t="inlineStr">
        <is>
          <t>BENELLI</t>
        </is>
      </c>
      <c r="H2763" s="65" t="inlineStr">
        <is>
          <t>LUPO BE­S.T. 24"</t>
        </is>
      </c>
      <c r="I2763" s="65" t="inlineStr">
        <is>
          <t>AR040881M</t>
        </is>
      </c>
      <c r="J2763" s="65" t="inlineStr">
        <is>
          <t>N/D</t>
        </is>
      </c>
      <c r="K2763" s="65" t="inlineStr">
        <is>
          <t>N/D</t>
        </is>
      </c>
      <c r="L2763" s="127" t="inlineStr">
        <is>
          <t>BENELLI SPA</t>
        </is>
      </c>
      <c r="M2763" s="5" t="n">
        <v>903</v>
      </c>
      <c r="N2763" s="5" t="n"/>
      <c r="O2763" s="5">
        <f>+M2763+N2763</f>
        <v/>
      </c>
      <c r="P2763" s="4" t="n">
        <v>45932</v>
      </c>
      <c r="Q2763" s="87" t="n">
        <v>45932</v>
      </c>
      <c r="R2763" s="5" t="n">
        <v>1029.42</v>
      </c>
      <c r="S2763" s="2" t="n">
        <v>1</v>
      </c>
      <c r="T2763" s="3" t="inlineStr">
        <is>
          <t>6B/2025/5S</t>
        </is>
      </c>
      <c r="U2763" s="87" t="n">
        <v>45963</v>
      </c>
      <c r="V2763" s="3" t="inlineStr">
        <is>
          <t>32</t>
        </is>
      </c>
      <c r="W2763" s="108" t="n">
        <v>45963</v>
      </c>
      <c r="X2763" s="4" t="inlineStr">
        <is>
          <t>BIN HUMAID NATIONAL TRADING CO</t>
        </is>
      </c>
    </row>
    <row r="2764" ht="24" customHeight="1">
      <c r="A2764" s="2">
        <f>+D2764-S2764</f>
        <v/>
      </c>
      <c r="B2764" s="80" t="n">
        <v>4356</v>
      </c>
      <c r="C2764" s="66" t="n">
        <v>45946</v>
      </c>
      <c r="D2764" s="2" t="n">
        <v>1</v>
      </c>
      <c r="E2764" s="3" t="inlineStr">
        <is>
          <t>CARABINA</t>
        </is>
      </c>
      <c r="F2764" s="3" t="inlineStr">
        <is>
          <t>223 REM</t>
        </is>
      </c>
      <c r="G2764" s="3" t="inlineStr">
        <is>
          <t>BENELLI</t>
        </is>
      </c>
      <c r="H2764" s="65" t="inlineStr">
        <is>
          <t>LUPO BE­S.T. 24"</t>
        </is>
      </c>
      <c r="I2764" s="65" t="inlineStr">
        <is>
          <t>AR040900D</t>
        </is>
      </c>
      <c r="J2764" s="65" t="inlineStr">
        <is>
          <t>N/D</t>
        </is>
      </c>
      <c r="K2764" s="65" t="inlineStr">
        <is>
          <t>N/D</t>
        </is>
      </c>
      <c r="L2764" s="127" t="inlineStr">
        <is>
          <t>BENELLI SPA</t>
        </is>
      </c>
      <c r="M2764" s="5" t="n">
        <v>903</v>
      </c>
      <c r="N2764" s="5" t="n"/>
      <c r="O2764" s="5">
        <f>+M2764+N2764</f>
        <v/>
      </c>
      <c r="P2764" s="4" t="n">
        <v>45932</v>
      </c>
      <c r="Q2764" s="87" t="n">
        <v>45932</v>
      </c>
      <c r="R2764" s="5" t="n">
        <v>1029.42</v>
      </c>
      <c r="S2764" s="2" t="n">
        <v>1</v>
      </c>
      <c r="T2764" s="3" t="inlineStr">
        <is>
          <t>6B/2025/5S</t>
        </is>
      </c>
      <c r="U2764" s="87" t="n">
        <v>45963</v>
      </c>
      <c r="V2764" s="3" t="inlineStr">
        <is>
          <t>32</t>
        </is>
      </c>
      <c r="W2764" s="108" t="n">
        <v>45963</v>
      </c>
      <c r="X2764" s="4" t="inlineStr">
        <is>
          <t>BIN HUMAID NATIONAL TRADING CO</t>
        </is>
      </c>
    </row>
    <row r="2765" ht="24" customHeight="1">
      <c r="A2765" s="2">
        <f>+D2765-S2765</f>
        <v/>
      </c>
      <c r="B2765" s="80" t="n">
        <v>4357</v>
      </c>
      <c r="C2765" s="66" t="n">
        <v>45946</v>
      </c>
      <c r="D2765" s="2" t="n">
        <v>1</v>
      </c>
      <c r="E2765" s="3" t="inlineStr">
        <is>
          <t>CARABINA</t>
        </is>
      </c>
      <c r="F2765" s="3" t="inlineStr">
        <is>
          <t>223 REM</t>
        </is>
      </c>
      <c r="G2765" s="3" t="inlineStr">
        <is>
          <t>BENELLI</t>
        </is>
      </c>
      <c r="H2765" s="65" t="inlineStr">
        <is>
          <t>LUPO BE­S.T. 24"</t>
        </is>
      </c>
      <c r="I2765" s="65" t="inlineStr">
        <is>
          <t>AR040933N</t>
        </is>
      </c>
      <c r="J2765" s="65" t="inlineStr">
        <is>
          <t>N/D</t>
        </is>
      </c>
      <c r="K2765" s="65" t="inlineStr">
        <is>
          <t>N/D</t>
        </is>
      </c>
      <c r="L2765" s="127" t="inlineStr">
        <is>
          <t>BENELLI SPA</t>
        </is>
      </c>
      <c r="M2765" s="5" t="n">
        <v>903</v>
      </c>
      <c r="N2765" s="5" t="n"/>
      <c r="O2765" s="5">
        <f>+M2765+N2765</f>
        <v/>
      </c>
      <c r="P2765" s="4" t="n">
        <v>45932</v>
      </c>
      <c r="Q2765" s="87" t="n">
        <v>45932</v>
      </c>
      <c r="R2765" s="5" t="n">
        <v>1029.42</v>
      </c>
      <c r="S2765" s="2" t="n">
        <v>1</v>
      </c>
      <c r="T2765" s="3" t="inlineStr">
        <is>
          <t>6B/2025/5S</t>
        </is>
      </c>
      <c r="U2765" s="87" t="n">
        <v>45963</v>
      </c>
      <c r="V2765" s="3" t="inlineStr">
        <is>
          <t>32</t>
        </is>
      </c>
      <c r="W2765" s="108" t="n">
        <v>45963</v>
      </c>
      <c r="X2765" s="4" t="inlineStr">
        <is>
          <t>BIN HUMAID NATIONAL TRADING CO</t>
        </is>
      </c>
    </row>
    <row r="2766" ht="24" customHeight="1">
      <c r="A2766" s="2">
        <f>+D2766-S2766</f>
        <v/>
      </c>
      <c r="B2766" s="80" t="n">
        <v>4358</v>
      </c>
      <c r="C2766" s="66" t="n">
        <v>45946</v>
      </c>
      <c r="D2766" s="2" t="n">
        <v>1</v>
      </c>
      <c r="E2766" s="3" t="inlineStr">
        <is>
          <t>CARABINA</t>
        </is>
      </c>
      <c r="F2766" s="3" t="inlineStr">
        <is>
          <t>223 REM</t>
        </is>
      </c>
      <c r="G2766" s="3" t="inlineStr">
        <is>
          <t>BENELLI</t>
        </is>
      </c>
      <c r="H2766" s="65" t="inlineStr">
        <is>
          <t>LUPO BE­S.T. 24"</t>
        </is>
      </c>
      <c r="I2766" s="65" t="inlineStr">
        <is>
          <t>AR040934Q</t>
        </is>
      </c>
      <c r="J2766" s="65" t="inlineStr">
        <is>
          <t>N/D</t>
        </is>
      </c>
      <c r="K2766" s="65" t="inlineStr">
        <is>
          <t>N/D</t>
        </is>
      </c>
      <c r="L2766" s="127" t="inlineStr">
        <is>
          <t>BENELLI SPA</t>
        </is>
      </c>
      <c r="M2766" s="5" t="n">
        <v>903</v>
      </c>
      <c r="N2766" s="5" t="n"/>
      <c r="O2766" s="5">
        <f>+M2766+N2766</f>
        <v/>
      </c>
      <c r="P2766" s="4" t="n">
        <v>45932</v>
      </c>
      <c r="Q2766" s="87" t="n">
        <v>45932</v>
      </c>
      <c r="R2766" s="5" t="n">
        <v>1029.42</v>
      </c>
      <c r="S2766" s="2" t="n">
        <v>1</v>
      </c>
      <c r="T2766" s="3" t="inlineStr">
        <is>
          <t>6B/2025/5S</t>
        </is>
      </c>
      <c r="U2766" s="87" t="n">
        <v>45963</v>
      </c>
      <c r="V2766" s="3" t="inlineStr">
        <is>
          <t>32</t>
        </is>
      </c>
      <c r="W2766" s="108" t="n">
        <v>45963</v>
      </c>
      <c r="X2766" s="4" t="inlineStr">
        <is>
          <t>BIN HUMAID NATIONAL TRADING CO</t>
        </is>
      </c>
    </row>
    <row r="2767" ht="24" customHeight="1">
      <c r="A2767" s="2">
        <f>+D2767-S2767</f>
        <v/>
      </c>
      <c r="B2767" s="80" t="n">
        <v>4359</v>
      </c>
      <c r="C2767" s="66" t="n">
        <v>45946</v>
      </c>
      <c r="D2767" s="2" t="n">
        <v>1</v>
      </c>
      <c r="E2767" s="3" t="inlineStr">
        <is>
          <t>CARABINA</t>
        </is>
      </c>
      <c r="F2767" s="3" t="inlineStr">
        <is>
          <t>223 REM</t>
        </is>
      </c>
      <c r="G2767" s="3" t="inlineStr">
        <is>
          <t>BENELLI</t>
        </is>
      </c>
      <c r="H2767" s="65" t="inlineStr">
        <is>
          <t>LUPO BE­S.T. 24"</t>
        </is>
      </c>
      <c r="I2767" s="65" t="inlineStr">
        <is>
          <t>AR043530B</t>
        </is>
      </c>
      <c r="J2767" s="65" t="inlineStr">
        <is>
          <t>N/D</t>
        </is>
      </c>
      <c r="K2767" s="65" t="inlineStr">
        <is>
          <t>N/D</t>
        </is>
      </c>
      <c r="L2767" s="127" t="inlineStr">
        <is>
          <t>BENELLI SPA</t>
        </is>
      </c>
      <c r="M2767" s="5" t="n">
        <v>903</v>
      </c>
      <c r="N2767" s="5" t="n"/>
      <c r="O2767" s="5">
        <f>+M2767+N2767</f>
        <v/>
      </c>
      <c r="P2767" s="4" t="n">
        <v>45932</v>
      </c>
      <c r="Q2767" s="87" t="n">
        <v>45932</v>
      </c>
      <c r="R2767" s="5" t="n">
        <v>1029.42</v>
      </c>
      <c r="S2767" s="2" t="n">
        <v>1</v>
      </c>
      <c r="T2767" s="3" t="inlineStr">
        <is>
          <t>6B/2025/5S</t>
        </is>
      </c>
      <c r="U2767" s="87" t="n">
        <v>45963</v>
      </c>
      <c r="V2767" s="3" t="inlineStr">
        <is>
          <t>32</t>
        </is>
      </c>
      <c r="W2767" s="108" t="n">
        <v>45963</v>
      </c>
      <c r="X2767" s="4" t="inlineStr">
        <is>
          <t>BIN HUMAID NATIONAL TRADING CO</t>
        </is>
      </c>
    </row>
    <row r="2768" ht="24" customHeight="1">
      <c r="A2768" s="2">
        <f>+D2768-S2768</f>
        <v/>
      </c>
      <c r="B2768" s="80" t="n">
        <v>4360</v>
      </c>
      <c r="C2768" s="66" t="n">
        <v>45946</v>
      </c>
      <c r="D2768" s="2" t="n">
        <v>1</v>
      </c>
      <c r="E2768" s="3" t="inlineStr">
        <is>
          <t>CARABINA</t>
        </is>
      </c>
      <c r="F2768" s="3" t="inlineStr">
        <is>
          <t>223 REM</t>
        </is>
      </c>
      <c r="G2768" s="3" t="inlineStr">
        <is>
          <t>BENELLI</t>
        </is>
      </c>
      <c r="H2768" s="65" t="inlineStr">
        <is>
          <t>LUPO BE­S.T. 24"</t>
        </is>
      </c>
      <c r="I2768" s="65" t="inlineStr">
        <is>
          <t>AR040884T</t>
        </is>
      </c>
      <c r="J2768" s="65" t="inlineStr">
        <is>
          <t>N/D</t>
        </is>
      </c>
      <c r="K2768" s="65" t="inlineStr">
        <is>
          <t>N/D</t>
        </is>
      </c>
      <c r="L2768" s="127" t="inlineStr">
        <is>
          <t>BENELLI SPA</t>
        </is>
      </c>
      <c r="M2768" s="5" t="n">
        <v>903</v>
      </c>
      <c r="N2768" s="5" t="n"/>
      <c r="O2768" s="5">
        <f>+M2768+N2768</f>
        <v/>
      </c>
      <c r="P2768" s="4" t="n">
        <v>45932</v>
      </c>
      <c r="Q2768" s="87" t="n">
        <v>45932</v>
      </c>
      <c r="R2768" s="5" t="n">
        <v>1029.42</v>
      </c>
      <c r="S2768" s="2" t="n">
        <v>1</v>
      </c>
      <c r="T2768" s="3" t="inlineStr">
        <is>
          <t>6B/2025/5S</t>
        </is>
      </c>
      <c r="U2768" s="87" t="n">
        <v>45963</v>
      </c>
      <c r="V2768" s="3" t="inlineStr">
        <is>
          <t>32</t>
        </is>
      </c>
      <c r="W2768" s="108" t="n">
        <v>45963</v>
      </c>
      <c r="X2768" s="4" t="inlineStr">
        <is>
          <t>BIN HUMAID NATIONAL TRADING CO</t>
        </is>
      </c>
    </row>
    <row r="2769" ht="24" customHeight="1">
      <c r="A2769" s="2">
        <f>+D2769-S2769</f>
        <v/>
      </c>
      <c r="B2769" s="80" t="n">
        <v>4361</v>
      </c>
      <c r="C2769" s="66" t="n">
        <v>45946</v>
      </c>
      <c r="D2769" s="2" t="n">
        <v>1</v>
      </c>
      <c r="E2769" s="3" t="inlineStr">
        <is>
          <t>CARABINA</t>
        </is>
      </c>
      <c r="F2769" s="3" t="inlineStr">
        <is>
          <t>223 REM</t>
        </is>
      </c>
      <c r="G2769" s="3" t="inlineStr">
        <is>
          <t>BENELLI</t>
        </is>
      </c>
      <c r="H2769" s="65" t="inlineStr">
        <is>
          <t>LUPO BE­S.T. 24"</t>
        </is>
      </c>
      <c r="I2769" s="65" t="inlineStr">
        <is>
          <t>AR040886Y</t>
        </is>
      </c>
      <c r="J2769" s="65" t="inlineStr">
        <is>
          <t>N/D</t>
        </is>
      </c>
      <c r="K2769" s="65" t="inlineStr">
        <is>
          <t>N/D</t>
        </is>
      </c>
      <c r="L2769" s="127" t="inlineStr">
        <is>
          <t>BENELLI SPA</t>
        </is>
      </c>
      <c r="M2769" s="5" t="n">
        <v>903</v>
      </c>
      <c r="N2769" s="5" t="n"/>
      <c r="O2769" s="5">
        <f>+M2769+N2769</f>
        <v/>
      </c>
      <c r="P2769" s="4" t="n">
        <v>45932</v>
      </c>
      <c r="Q2769" s="87" t="n">
        <v>45932</v>
      </c>
      <c r="R2769" s="5" t="n">
        <v>1029.42</v>
      </c>
      <c r="S2769" s="2" t="n">
        <v>1</v>
      </c>
      <c r="T2769" s="3" t="inlineStr">
        <is>
          <t>6B/2025/5S</t>
        </is>
      </c>
      <c r="U2769" s="87" t="n">
        <v>45963</v>
      </c>
      <c r="V2769" s="3" t="inlineStr">
        <is>
          <t>32</t>
        </is>
      </c>
      <c r="W2769" s="108" t="n">
        <v>45963</v>
      </c>
      <c r="X2769" s="4" t="inlineStr">
        <is>
          <t>BIN HUMAID NATIONAL TRADING CO</t>
        </is>
      </c>
    </row>
    <row r="2770" ht="24" customHeight="1">
      <c r="A2770" s="2">
        <f>+D2770-S2770</f>
        <v/>
      </c>
      <c r="B2770" s="80" t="n">
        <v>4362</v>
      </c>
      <c r="C2770" s="66" t="n">
        <v>45946</v>
      </c>
      <c r="D2770" s="2" t="n">
        <v>1</v>
      </c>
      <c r="E2770" s="3" t="inlineStr">
        <is>
          <t>CARABINA</t>
        </is>
      </c>
      <c r="F2770" s="3" t="inlineStr">
        <is>
          <t>223 REM</t>
        </is>
      </c>
      <c r="G2770" s="3" t="inlineStr">
        <is>
          <t>BENELLI</t>
        </is>
      </c>
      <c r="H2770" s="65" t="inlineStr">
        <is>
          <t>LUPO BE­S.T. 24"</t>
        </is>
      </c>
      <c r="I2770" s="65" t="inlineStr">
        <is>
          <t>AR040895X</t>
        </is>
      </c>
      <c r="J2770" s="65" t="inlineStr">
        <is>
          <t>N/D</t>
        </is>
      </c>
      <c r="K2770" s="65" t="inlineStr">
        <is>
          <t>N/D</t>
        </is>
      </c>
      <c r="L2770" s="127" t="inlineStr">
        <is>
          <t>BENELLI SPA</t>
        </is>
      </c>
      <c r="M2770" s="5" t="n">
        <v>903</v>
      </c>
      <c r="N2770" s="5" t="n"/>
      <c r="O2770" s="5">
        <f>+M2770+N2770</f>
        <v/>
      </c>
      <c r="P2770" s="4" t="n">
        <v>45932</v>
      </c>
      <c r="Q2770" s="87" t="n">
        <v>45932</v>
      </c>
      <c r="R2770" s="5" t="n">
        <v>1029.42</v>
      </c>
      <c r="S2770" s="2" t="n">
        <v>1</v>
      </c>
      <c r="T2770" s="3" t="inlineStr">
        <is>
          <t>6B/2025/5S</t>
        </is>
      </c>
      <c r="U2770" s="87" t="n">
        <v>45963</v>
      </c>
      <c r="V2770" s="3" t="inlineStr">
        <is>
          <t>32</t>
        </is>
      </c>
      <c r="W2770" s="108" t="n">
        <v>45963</v>
      </c>
      <c r="X2770" s="4" t="inlineStr">
        <is>
          <t>BIN HUMAID NATIONAL TRADING CO</t>
        </is>
      </c>
    </row>
    <row r="2771" ht="24" customHeight="1">
      <c r="A2771" s="2">
        <f>+D2771-S2771</f>
        <v/>
      </c>
      <c r="B2771" s="80" t="n">
        <v>4363</v>
      </c>
      <c r="C2771" s="66" t="n">
        <v>45946</v>
      </c>
      <c r="D2771" s="2" t="n">
        <v>1</v>
      </c>
      <c r="E2771" s="3" t="inlineStr">
        <is>
          <t>CARABINA</t>
        </is>
      </c>
      <c r="F2771" s="3" t="inlineStr">
        <is>
          <t>223 REM</t>
        </is>
      </c>
      <c r="G2771" s="3" t="inlineStr">
        <is>
          <t>BENELLI</t>
        </is>
      </c>
      <c r="H2771" s="65" t="inlineStr">
        <is>
          <t>LUPO BE­S.T. 24"</t>
        </is>
      </c>
      <c r="I2771" s="65" t="inlineStr">
        <is>
          <t>AR043497V</t>
        </is>
      </c>
      <c r="J2771" s="65" t="inlineStr">
        <is>
          <t>N/D</t>
        </is>
      </c>
      <c r="K2771" s="65" t="inlineStr">
        <is>
          <t>N/D</t>
        </is>
      </c>
      <c r="L2771" s="127" t="inlineStr">
        <is>
          <t>BENELLI SPA</t>
        </is>
      </c>
      <c r="M2771" s="5" t="n">
        <v>903</v>
      </c>
      <c r="N2771" s="5" t="n"/>
      <c r="O2771" s="5">
        <f>+M2771+N2771</f>
        <v/>
      </c>
      <c r="P2771" s="4" t="n">
        <v>45932</v>
      </c>
      <c r="Q2771" s="87" t="n">
        <v>45932</v>
      </c>
      <c r="R2771" s="5" t="n">
        <v>1029.42</v>
      </c>
      <c r="S2771" s="2" t="n">
        <v>1</v>
      </c>
      <c r="T2771" s="3" t="inlineStr">
        <is>
          <t>6B/2025/5S</t>
        </is>
      </c>
      <c r="U2771" s="87" t="n">
        <v>45963</v>
      </c>
      <c r="V2771" s="3" t="inlineStr">
        <is>
          <t>32</t>
        </is>
      </c>
      <c r="W2771" s="108" t="n">
        <v>45963</v>
      </c>
      <c r="X2771" s="4" t="inlineStr">
        <is>
          <t>BIN HUMAID NATIONAL TRADING CO</t>
        </is>
      </c>
    </row>
    <row r="2772" ht="24" customHeight="1">
      <c r="A2772" s="2">
        <f>+D2772-S2772</f>
        <v/>
      </c>
      <c r="B2772" s="80" t="n">
        <v>4364</v>
      </c>
      <c r="C2772" s="66" t="n">
        <v>45946</v>
      </c>
      <c r="D2772" s="2" t="n">
        <v>1</v>
      </c>
      <c r="E2772" s="3" t="inlineStr">
        <is>
          <t>CARABINA</t>
        </is>
      </c>
      <c r="F2772" s="3" t="inlineStr">
        <is>
          <t>223 REM</t>
        </is>
      </c>
      <c r="G2772" s="3" t="inlineStr">
        <is>
          <t>BENELLI</t>
        </is>
      </c>
      <c r="H2772" s="65" t="inlineStr">
        <is>
          <t>LUPO BE­S.T. 24"</t>
        </is>
      </c>
      <c r="I2772" s="65" t="inlineStr">
        <is>
          <t>AR043520A</t>
        </is>
      </c>
      <c r="J2772" s="65" t="inlineStr">
        <is>
          <t>N/D</t>
        </is>
      </c>
      <c r="K2772" s="65" t="inlineStr">
        <is>
          <t>N/D</t>
        </is>
      </c>
      <c r="L2772" s="127" t="inlineStr">
        <is>
          <t>BENELLI SPA</t>
        </is>
      </c>
      <c r="M2772" s="5" t="n">
        <v>903</v>
      </c>
      <c r="N2772" s="5" t="n"/>
      <c r="O2772" s="5">
        <f>+M2772+N2772</f>
        <v/>
      </c>
      <c r="P2772" s="4" t="n">
        <v>45932</v>
      </c>
      <c r="Q2772" s="87" t="n">
        <v>45932</v>
      </c>
      <c r="R2772" s="5" t="n">
        <v>1029.42</v>
      </c>
      <c r="S2772" s="2" t="n">
        <v>1</v>
      </c>
      <c r="T2772" s="3" t="inlineStr">
        <is>
          <t>6B/2025/5S</t>
        </is>
      </c>
      <c r="U2772" s="87" t="n">
        <v>45963</v>
      </c>
      <c r="V2772" s="3" t="inlineStr">
        <is>
          <t>32</t>
        </is>
      </c>
      <c r="W2772" s="108" t="n">
        <v>45963</v>
      </c>
      <c r="X2772" s="4" t="inlineStr">
        <is>
          <t>BIN HUMAID NATIONAL TRADING CO</t>
        </is>
      </c>
    </row>
    <row r="2773" ht="24" customHeight="1">
      <c r="A2773" s="2">
        <f>+D2773-S2773</f>
        <v/>
      </c>
      <c r="B2773" s="80" t="n">
        <v>4365</v>
      </c>
      <c r="C2773" s="66" t="n">
        <v>45946</v>
      </c>
      <c r="D2773" s="2" t="n">
        <v>1</v>
      </c>
      <c r="E2773" s="3" t="inlineStr">
        <is>
          <t>CARABINA</t>
        </is>
      </c>
      <c r="F2773" s="3" t="inlineStr">
        <is>
          <t>223 REM</t>
        </is>
      </c>
      <c r="G2773" s="3" t="inlineStr">
        <is>
          <t>BENELLI</t>
        </is>
      </c>
      <c r="H2773" s="65" t="inlineStr">
        <is>
          <t>LUPO BE­S.T. 24"</t>
        </is>
      </c>
      <c r="I2773" s="65" t="inlineStr">
        <is>
          <t>AR040904M</t>
        </is>
      </c>
      <c r="J2773" s="65" t="inlineStr">
        <is>
          <t>N/D</t>
        </is>
      </c>
      <c r="K2773" s="65" t="inlineStr">
        <is>
          <t>N/D</t>
        </is>
      </c>
      <c r="L2773" s="127" t="inlineStr">
        <is>
          <t>BENELLI SPA</t>
        </is>
      </c>
      <c r="M2773" s="5" t="n">
        <v>903</v>
      </c>
      <c r="N2773" s="5" t="n"/>
      <c r="O2773" s="5">
        <f>+M2773+N2773</f>
        <v/>
      </c>
      <c r="P2773" s="4" t="n">
        <v>45932</v>
      </c>
      <c r="Q2773" s="87" t="n">
        <v>45932</v>
      </c>
      <c r="R2773" s="5" t="n">
        <v>1029.42</v>
      </c>
      <c r="S2773" s="2" t="n">
        <v>1</v>
      </c>
      <c r="T2773" s="3" t="inlineStr">
        <is>
          <t>6B/2025/5S</t>
        </is>
      </c>
      <c r="U2773" s="87" t="n">
        <v>45963</v>
      </c>
      <c r="V2773" s="3" t="inlineStr">
        <is>
          <t>32</t>
        </is>
      </c>
      <c r="W2773" s="108" t="n">
        <v>45963</v>
      </c>
      <c r="X2773" s="4" t="inlineStr">
        <is>
          <t>BIN HUMAID NATIONAL TRADING CO</t>
        </is>
      </c>
    </row>
    <row r="2774" ht="24" customHeight="1">
      <c r="A2774" s="2">
        <f>+D2774-S2774</f>
        <v/>
      </c>
      <c r="B2774" s="80" t="n">
        <v>4366</v>
      </c>
      <c r="C2774" s="66" t="n">
        <v>45946</v>
      </c>
      <c r="D2774" s="2" t="n">
        <v>1</v>
      </c>
      <c r="E2774" s="3" t="inlineStr">
        <is>
          <t>CARABINA</t>
        </is>
      </c>
      <c r="F2774" s="3" t="inlineStr">
        <is>
          <t>223 REM</t>
        </is>
      </c>
      <c r="G2774" s="3" t="inlineStr">
        <is>
          <t>BENELLI</t>
        </is>
      </c>
      <c r="H2774" s="65" t="inlineStr">
        <is>
          <t>LUPO BE­S.T. 24"</t>
        </is>
      </c>
      <c r="I2774" s="65" t="inlineStr">
        <is>
          <t>AR040907U</t>
        </is>
      </c>
      <c r="J2774" s="65" t="inlineStr">
        <is>
          <t>N/D</t>
        </is>
      </c>
      <c r="K2774" s="65" t="inlineStr">
        <is>
          <t>N/D</t>
        </is>
      </c>
      <c r="L2774" s="127" t="inlineStr">
        <is>
          <t>BENELLI SPA</t>
        </is>
      </c>
      <c r="M2774" s="5" t="n">
        <v>903</v>
      </c>
      <c r="N2774" s="5" t="n"/>
      <c r="O2774" s="5">
        <f>+M2774+N2774</f>
        <v/>
      </c>
      <c r="P2774" s="4" t="n">
        <v>45932</v>
      </c>
      <c r="Q2774" s="87" t="n">
        <v>45932</v>
      </c>
      <c r="R2774" s="5" t="n">
        <v>1029.42</v>
      </c>
      <c r="S2774" s="2" t="n">
        <v>1</v>
      </c>
      <c r="T2774" s="3" t="inlineStr">
        <is>
          <t>6B/2025/5S</t>
        </is>
      </c>
      <c r="U2774" s="87" t="n">
        <v>45963</v>
      </c>
      <c r="V2774" s="3" t="inlineStr">
        <is>
          <t>32</t>
        </is>
      </c>
      <c r="W2774" s="108" t="n">
        <v>45963</v>
      </c>
      <c r="X2774" s="4" t="inlineStr">
        <is>
          <t>BIN HUMAID NATIONAL TRADING CO</t>
        </is>
      </c>
    </row>
    <row r="2775" ht="24" customHeight="1">
      <c r="A2775" s="2">
        <f>+D2775-S2775</f>
        <v/>
      </c>
      <c r="B2775" s="80" t="n">
        <v>4367</v>
      </c>
      <c r="C2775" s="66" t="n">
        <v>45946</v>
      </c>
      <c r="D2775" s="2" t="n">
        <v>1</v>
      </c>
      <c r="E2775" s="3" t="inlineStr">
        <is>
          <t>CARABINA</t>
        </is>
      </c>
      <c r="F2775" s="3" t="inlineStr">
        <is>
          <t>223 REM</t>
        </is>
      </c>
      <c r="G2775" s="3" t="inlineStr">
        <is>
          <t>BENELLI</t>
        </is>
      </c>
      <c r="H2775" s="65" t="inlineStr">
        <is>
          <t>LUPO BE­S.T. 24"</t>
        </is>
      </c>
      <c r="I2775" s="65" t="inlineStr">
        <is>
          <t>AR040937X</t>
        </is>
      </c>
      <c r="J2775" s="65" t="inlineStr">
        <is>
          <t>N/D</t>
        </is>
      </c>
      <c r="K2775" s="65" t="inlineStr">
        <is>
          <t>N/D</t>
        </is>
      </c>
      <c r="L2775" s="127" t="inlineStr">
        <is>
          <t>BENELLI SPA</t>
        </is>
      </c>
      <c r="M2775" s="5" t="n">
        <v>903</v>
      </c>
      <c r="N2775" s="5" t="n"/>
      <c r="O2775" s="5">
        <f>+M2775+N2775</f>
        <v/>
      </c>
      <c r="P2775" s="4" t="n">
        <v>45932</v>
      </c>
      <c r="Q2775" s="87" t="n">
        <v>45932</v>
      </c>
      <c r="R2775" s="5" t="n">
        <v>1029.42</v>
      </c>
      <c r="S2775" s="2" t="n">
        <v>1</v>
      </c>
      <c r="T2775" s="3" t="inlineStr">
        <is>
          <t>6B/2025/5S</t>
        </is>
      </c>
      <c r="U2775" s="87" t="n">
        <v>45963</v>
      </c>
      <c r="V2775" s="3" t="inlineStr">
        <is>
          <t>32</t>
        </is>
      </c>
      <c r="W2775" s="108" t="n">
        <v>45963</v>
      </c>
      <c r="X2775" s="4" t="inlineStr">
        <is>
          <t>BIN HUMAID NATIONAL TRADING CO</t>
        </is>
      </c>
    </row>
    <row r="2776" ht="24" customHeight="1">
      <c r="A2776" s="2">
        <f>+D2776-S2776</f>
        <v/>
      </c>
      <c r="B2776" s="80" t="n">
        <v>4368</v>
      </c>
      <c r="C2776" s="66" t="n">
        <v>45946</v>
      </c>
      <c r="D2776" s="2" t="n">
        <v>1</v>
      </c>
      <c r="E2776" s="3" t="inlineStr">
        <is>
          <t>CARABINA</t>
        </is>
      </c>
      <c r="F2776" s="3" t="inlineStr">
        <is>
          <t>223 REM</t>
        </is>
      </c>
      <c r="G2776" s="3" t="inlineStr">
        <is>
          <t>BENELLI</t>
        </is>
      </c>
      <c r="H2776" s="65" t="inlineStr">
        <is>
          <t>LUPO BE­S.T. 24"</t>
        </is>
      </c>
      <c r="I2776" s="65" t="inlineStr">
        <is>
          <t>AR043517Q</t>
        </is>
      </c>
      <c r="J2776" s="65" t="inlineStr">
        <is>
          <t>N/D</t>
        </is>
      </c>
      <c r="K2776" s="65" t="inlineStr">
        <is>
          <t>N/D</t>
        </is>
      </c>
      <c r="L2776" s="127" t="inlineStr">
        <is>
          <t>BENELLI SPA</t>
        </is>
      </c>
      <c r="M2776" s="5" t="n">
        <v>903</v>
      </c>
      <c r="N2776" s="5" t="n"/>
      <c r="O2776" s="5">
        <f>+M2776+N2776</f>
        <v/>
      </c>
      <c r="P2776" s="4" t="n">
        <v>45932</v>
      </c>
      <c r="Q2776" s="87" t="n">
        <v>45932</v>
      </c>
      <c r="R2776" s="5" t="n">
        <v>1029.42</v>
      </c>
      <c r="S2776" s="2" t="n">
        <v>1</v>
      </c>
      <c r="T2776" s="3" t="inlineStr">
        <is>
          <t>6B/2025/5S</t>
        </is>
      </c>
      <c r="U2776" s="87" t="n">
        <v>45963</v>
      </c>
      <c r="V2776" s="3" t="inlineStr">
        <is>
          <t>32</t>
        </is>
      </c>
      <c r="W2776" s="108" t="n">
        <v>45963</v>
      </c>
      <c r="X2776" s="4" t="inlineStr">
        <is>
          <t>BIN HUMAID NATIONAL TRADING CO</t>
        </is>
      </c>
    </row>
    <row r="2777" ht="24" customHeight="1">
      <c r="A2777" s="2">
        <f>+D2777-S2777</f>
        <v/>
      </c>
      <c r="B2777" s="80" t="n">
        <v>4369</v>
      </c>
      <c r="C2777" s="66" t="n">
        <v>45946</v>
      </c>
      <c r="D2777" s="2" t="n">
        <v>1</v>
      </c>
      <c r="E2777" s="3" t="inlineStr">
        <is>
          <t>CARABINA</t>
        </is>
      </c>
      <c r="F2777" s="3" t="inlineStr">
        <is>
          <t>223 REM</t>
        </is>
      </c>
      <c r="G2777" s="3" t="inlineStr">
        <is>
          <t>BENELLI</t>
        </is>
      </c>
      <c r="H2777" s="65" t="inlineStr">
        <is>
          <t>LUPO BE­S.T. 24"</t>
        </is>
      </c>
      <c r="I2777" s="65" t="inlineStr">
        <is>
          <t>AR043537S</t>
        </is>
      </c>
      <c r="J2777" s="65" t="inlineStr">
        <is>
          <t>N/D</t>
        </is>
      </c>
      <c r="K2777" s="65" t="inlineStr">
        <is>
          <t>N/D</t>
        </is>
      </c>
      <c r="L2777" s="127" t="inlineStr">
        <is>
          <t>BENELLI SPA</t>
        </is>
      </c>
      <c r="M2777" s="5" t="n">
        <v>903</v>
      </c>
      <c r="N2777" s="5" t="n"/>
      <c r="O2777" s="5">
        <f>+M2777+N2777</f>
        <v/>
      </c>
      <c r="P2777" s="4" t="n">
        <v>45932</v>
      </c>
      <c r="Q2777" s="87" t="n">
        <v>45932</v>
      </c>
      <c r="R2777" s="5" t="n">
        <v>1029.42</v>
      </c>
      <c r="S2777" s="2" t="n">
        <v>1</v>
      </c>
      <c r="T2777" s="3" t="inlineStr">
        <is>
          <t>6B/2025/5S</t>
        </is>
      </c>
      <c r="U2777" s="87" t="n">
        <v>45963</v>
      </c>
      <c r="V2777" s="3" t="inlineStr">
        <is>
          <t>32</t>
        </is>
      </c>
      <c r="W2777" s="108" t="n">
        <v>45963</v>
      </c>
      <c r="X2777" s="4" t="inlineStr">
        <is>
          <t>BIN HUMAID NATIONAL TRADING CO</t>
        </is>
      </c>
    </row>
    <row r="2778" ht="24" customHeight="1">
      <c r="A2778" s="2">
        <f>+D2778-S2778</f>
        <v/>
      </c>
      <c r="B2778" s="80" t="n">
        <v>4370</v>
      </c>
      <c r="C2778" s="66" t="n">
        <v>45946</v>
      </c>
      <c r="D2778" s="2" t="n">
        <v>1</v>
      </c>
      <c r="E2778" s="3" t="inlineStr">
        <is>
          <t>CARABINA</t>
        </is>
      </c>
      <c r="F2778" s="3" t="inlineStr">
        <is>
          <t>223 REM</t>
        </is>
      </c>
      <c r="G2778" s="3" t="inlineStr">
        <is>
          <t>BENELLI</t>
        </is>
      </c>
      <c r="H2778" s="65" t="inlineStr">
        <is>
          <t>LUPO BE­S.T. 24"</t>
        </is>
      </c>
      <c r="I2778" s="65" t="inlineStr">
        <is>
          <t>AR040896Z</t>
        </is>
      </c>
      <c r="J2778" s="65" t="inlineStr">
        <is>
          <t>N/D</t>
        </is>
      </c>
      <c r="K2778" s="65" t="inlineStr">
        <is>
          <t>N/D</t>
        </is>
      </c>
      <c r="L2778" s="127" t="inlineStr">
        <is>
          <t>BENELLI SPA</t>
        </is>
      </c>
      <c r="M2778" s="5" t="n">
        <v>903</v>
      </c>
      <c r="N2778" s="5" t="n"/>
      <c r="O2778" s="5">
        <f>+M2778+N2778</f>
        <v/>
      </c>
      <c r="P2778" s="4" t="n">
        <v>45932</v>
      </c>
      <c r="Q2778" s="87" t="n">
        <v>45932</v>
      </c>
      <c r="R2778" s="5" t="n">
        <v>1029.42</v>
      </c>
      <c r="S2778" s="2" t="n">
        <v>1</v>
      </c>
      <c r="T2778" s="3" t="inlineStr">
        <is>
          <t>6B/2025/5S</t>
        </is>
      </c>
      <c r="U2778" s="87" t="n">
        <v>45963</v>
      </c>
      <c r="V2778" s="3" t="inlineStr">
        <is>
          <t>32</t>
        </is>
      </c>
      <c r="W2778" s="108" t="n">
        <v>45963</v>
      </c>
      <c r="X2778" s="4" t="inlineStr">
        <is>
          <t>BIN HUMAID NATIONAL TRADING CO</t>
        </is>
      </c>
    </row>
    <row r="2779" ht="24" customHeight="1">
      <c r="A2779" s="2">
        <f>+D2779-S2779</f>
        <v/>
      </c>
      <c r="B2779" s="80" t="n">
        <v>4371</v>
      </c>
      <c r="C2779" s="66" t="n">
        <v>45946</v>
      </c>
      <c r="D2779" s="2" t="n">
        <v>1</v>
      </c>
      <c r="E2779" s="3" t="inlineStr">
        <is>
          <t>CARABINA</t>
        </is>
      </c>
      <c r="F2779" s="3" t="inlineStr">
        <is>
          <t>223 REM</t>
        </is>
      </c>
      <c r="G2779" s="3" t="inlineStr">
        <is>
          <t>BENELLI</t>
        </is>
      </c>
      <c r="H2779" s="65" t="inlineStr">
        <is>
          <t>LUPO BE­S.T. 24"</t>
        </is>
      </c>
      <c r="I2779" s="65" t="inlineStr">
        <is>
          <t>AR040915R</t>
        </is>
      </c>
      <c r="J2779" s="65" t="inlineStr">
        <is>
          <t>N/D</t>
        </is>
      </c>
      <c r="K2779" s="65" t="inlineStr">
        <is>
          <t>N/D</t>
        </is>
      </c>
      <c r="L2779" s="127" t="inlineStr">
        <is>
          <t>BENELLI SPA</t>
        </is>
      </c>
      <c r="M2779" s="5" t="n">
        <v>903</v>
      </c>
      <c r="N2779" s="5" t="n"/>
      <c r="O2779" s="5">
        <f>+M2779+N2779</f>
        <v/>
      </c>
      <c r="P2779" s="4" t="n">
        <v>45932</v>
      </c>
      <c r="Q2779" s="87" t="n">
        <v>45932</v>
      </c>
      <c r="R2779" s="5" t="n">
        <v>1029.42</v>
      </c>
      <c r="S2779" s="2" t="n">
        <v>1</v>
      </c>
      <c r="T2779" s="3" t="inlineStr">
        <is>
          <t>6B/2025/5S</t>
        </is>
      </c>
      <c r="U2779" s="87" t="n">
        <v>45963</v>
      </c>
      <c r="V2779" s="3" t="inlineStr">
        <is>
          <t>32</t>
        </is>
      </c>
      <c r="W2779" s="108" t="n">
        <v>45963</v>
      </c>
      <c r="X2779" s="4" t="inlineStr">
        <is>
          <t>BIN HUMAID NATIONAL TRADING CO</t>
        </is>
      </c>
    </row>
    <row r="2780" ht="24" customHeight="1">
      <c r="A2780" s="2">
        <f>+D2780-S2780</f>
        <v/>
      </c>
      <c r="B2780" s="80" t="n">
        <v>4372</v>
      </c>
      <c r="C2780" s="66" t="n">
        <v>45946</v>
      </c>
      <c r="D2780" s="2" t="n">
        <v>1</v>
      </c>
      <c r="E2780" s="3" t="inlineStr">
        <is>
          <t>CARABINA</t>
        </is>
      </c>
      <c r="F2780" s="3" t="inlineStr">
        <is>
          <t>223 REM</t>
        </is>
      </c>
      <c r="G2780" s="3" t="inlineStr">
        <is>
          <t>BENELLI</t>
        </is>
      </c>
      <c r="H2780" s="65" t="inlineStr">
        <is>
          <t>LUPO BE­S.T. 24"</t>
        </is>
      </c>
      <c r="I2780" s="65" t="inlineStr">
        <is>
          <t>AR040959D</t>
        </is>
      </c>
      <c r="J2780" s="65" t="inlineStr">
        <is>
          <t>N/D</t>
        </is>
      </c>
      <c r="K2780" s="65" t="inlineStr">
        <is>
          <t>N/D</t>
        </is>
      </c>
      <c r="L2780" s="127" t="inlineStr">
        <is>
          <t>BENELLI SPA</t>
        </is>
      </c>
      <c r="M2780" s="5" t="n">
        <v>903</v>
      </c>
      <c r="N2780" s="5" t="n"/>
      <c r="O2780" s="5">
        <f>+M2780+N2780</f>
        <v/>
      </c>
      <c r="P2780" s="4" t="n">
        <v>45932</v>
      </c>
      <c r="Q2780" s="87" t="n">
        <v>45932</v>
      </c>
      <c r="R2780" s="5" t="n">
        <v>1029.42</v>
      </c>
      <c r="S2780" s="2" t="n">
        <v>1</v>
      </c>
      <c r="T2780" s="3" t="inlineStr">
        <is>
          <t>6B/2025/5S</t>
        </is>
      </c>
      <c r="U2780" s="87" t="n">
        <v>45963</v>
      </c>
      <c r="V2780" s="3" t="inlineStr">
        <is>
          <t>32</t>
        </is>
      </c>
      <c r="W2780" s="108" t="n">
        <v>45963</v>
      </c>
      <c r="X2780" s="4" t="inlineStr">
        <is>
          <t>BIN HUMAID NATIONAL TRADING CO</t>
        </is>
      </c>
    </row>
    <row r="2781" ht="24" customHeight="1">
      <c r="A2781" s="2">
        <f>+D2781-S2781</f>
        <v/>
      </c>
      <c r="B2781" s="80" t="n">
        <v>4373</v>
      </c>
      <c r="C2781" s="66" t="n">
        <v>45946</v>
      </c>
      <c r="D2781" s="2" t="n">
        <v>1</v>
      </c>
      <c r="E2781" s="3" t="inlineStr">
        <is>
          <t>CARABINA</t>
        </is>
      </c>
      <c r="F2781" s="3" t="inlineStr">
        <is>
          <t>223 REM</t>
        </is>
      </c>
      <c r="G2781" s="3" t="inlineStr">
        <is>
          <t>BENELLI</t>
        </is>
      </c>
      <c r="H2781" s="65" t="inlineStr">
        <is>
          <t>LUPO BE­S.T. 24"</t>
        </is>
      </c>
      <c r="I2781" s="65" t="inlineStr">
        <is>
          <t>AR042591J</t>
        </is>
      </c>
      <c r="J2781" s="65" t="inlineStr">
        <is>
          <t>N/D</t>
        </is>
      </c>
      <c r="K2781" s="65" t="inlineStr">
        <is>
          <t>N/D</t>
        </is>
      </c>
      <c r="L2781" s="127" t="inlineStr">
        <is>
          <t>BENELLI SPA</t>
        </is>
      </c>
      <c r="M2781" s="5" t="n">
        <v>903</v>
      </c>
      <c r="N2781" s="5" t="n"/>
      <c r="O2781" s="5">
        <f>+M2781+N2781</f>
        <v/>
      </c>
      <c r="P2781" s="4" t="n">
        <v>45932</v>
      </c>
      <c r="Q2781" s="87" t="n">
        <v>45932</v>
      </c>
      <c r="R2781" s="5" t="n">
        <v>1029.42</v>
      </c>
      <c r="S2781" s="2" t="n">
        <v>1</v>
      </c>
      <c r="T2781" s="3" t="inlineStr">
        <is>
          <t>6B/2025/5S</t>
        </is>
      </c>
      <c r="U2781" s="87" t="n">
        <v>45963</v>
      </c>
      <c r="V2781" s="3" t="inlineStr">
        <is>
          <t>32</t>
        </is>
      </c>
      <c r="W2781" s="108" t="n">
        <v>45963</v>
      </c>
      <c r="X2781" s="4" t="inlineStr">
        <is>
          <t>BIN HUMAID NATIONAL TRADING CO</t>
        </is>
      </c>
    </row>
    <row r="2782" ht="24" customHeight="1">
      <c r="A2782" s="2">
        <f>+D2782-S2782</f>
        <v/>
      </c>
      <c r="B2782" s="80" t="n">
        <v>4374</v>
      </c>
      <c r="C2782" s="66" t="n">
        <v>45946</v>
      </c>
      <c r="D2782" s="2" t="n">
        <v>1</v>
      </c>
      <c r="E2782" s="3" t="inlineStr">
        <is>
          <t>CARABINA</t>
        </is>
      </c>
      <c r="F2782" s="3" t="inlineStr">
        <is>
          <t>223 REM</t>
        </is>
      </c>
      <c r="G2782" s="3" t="inlineStr">
        <is>
          <t>BENELLI</t>
        </is>
      </c>
      <c r="H2782" s="65" t="inlineStr">
        <is>
          <t>LUPO BE­S.T. 24"</t>
        </is>
      </c>
      <c r="I2782" s="65" t="inlineStr">
        <is>
          <t>AR043506M</t>
        </is>
      </c>
      <c r="J2782" s="65" t="inlineStr">
        <is>
          <t>N/D</t>
        </is>
      </c>
      <c r="K2782" s="65" t="inlineStr">
        <is>
          <t>N/D</t>
        </is>
      </c>
      <c r="L2782" s="127" t="inlineStr">
        <is>
          <t>BENELLI SPA</t>
        </is>
      </c>
      <c r="M2782" s="5" t="n">
        <v>903</v>
      </c>
      <c r="N2782" s="5" t="n"/>
      <c r="O2782" s="5">
        <f>+M2782+N2782</f>
        <v/>
      </c>
      <c r="P2782" s="4" t="n">
        <v>45932</v>
      </c>
      <c r="Q2782" s="87" t="n">
        <v>45932</v>
      </c>
      <c r="R2782" s="5" t="n">
        <v>1029.42</v>
      </c>
      <c r="S2782" s="2" t="n">
        <v>1</v>
      </c>
      <c r="T2782" s="3" t="inlineStr">
        <is>
          <t>6B/2025/5S</t>
        </is>
      </c>
      <c r="U2782" s="87" t="n">
        <v>45963</v>
      </c>
      <c r="V2782" s="3" t="inlineStr">
        <is>
          <t>32</t>
        </is>
      </c>
      <c r="W2782" s="108" t="n">
        <v>45963</v>
      </c>
      <c r="X2782" s="4" t="inlineStr">
        <is>
          <t>BIN HUMAID NATIONAL TRADING CO</t>
        </is>
      </c>
    </row>
    <row r="2783" ht="24" customHeight="1">
      <c r="A2783" s="2">
        <f>+D2783-S2783</f>
        <v/>
      </c>
      <c r="B2783" s="80" t="n">
        <v>4375</v>
      </c>
      <c r="C2783" s="66" t="n">
        <v>45946</v>
      </c>
      <c r="D2783" s="2" t="n">
        <v>1</v>
      </c>
      <c r="E2783" s="3" t="inlineStr">
        <is>
          <t>FUCILE SEMIAUTOMATICO</t>
        </is>
      </c>
      <c r="F2783" s="3" t="inlineStr">
        <is>
          <t>12</t>
        </is>
      </c>
      <c r="G2783" s="3" t="inlineStr">
        <is>
          <t>BENELLI</t>
        </is>
      </c>
      <c r="H2783" s="65" t="inlineStr">
        <is>
          <t>SBE3 BE­S.T. 30"</t>
        </is>
      </c>
      <c r="I2783" s="65" t="inlineStr">
        <is>
          <t>U784115U</t>
        </is>
      </c>
      <c r="J2783" s="65" t="inlineStr">
        <is>
          <t>S822857D</t>
        </is>
      </c>
      <c r="K2783" s="65" t="inlineStr">
        <is>
          <t>N/D</t>
        </is>
      </c>
      <c r="L2783" s="127" t="inlineStr">
        <is>
          <t>BENELLI SPA</t>
        </is>
      </c>
      <c r="M2783" s="5" t="n">
        <v>1334</v>
      </c>
      <c r="N2783" s="5" t="n"/>
      <c r="O2783" s="5">
        <f>+M2783+N2783</f>
        <v/>
      </c>
      <c r="P2783" s="4" t="n">
        <v>45932</v>
      </c>
      <c r="Q2783" s="87" t="n">
        <v>45932</v>
      </c>
      <c r="R2783" s="5" t="n">
        <v>1520.76</v>
      </c>
      <c r="S2783" s="2" t="n">
        <v>1</v>
      </c>
      <c r="T2783" s="3" t="inlineStr">
        <is>
          <t>6B/2025/5S</t>
        </is>
      </c>
      <c r="U2783" s="87" t="n">
        <v>45963</v>
      </c>
      <c r="V2783" s="3" t="inlineStr">
        <is>
          <t>32</t>
        </is>
      </c>
      <c r="W2783" s="108" t="n">
        <v>45963</v>
      </c>
      <c r="X2783" s="4" t="inlineStr">
        <is>
          <t>BIN HUMAID NATIONAL TRADING CO</t>
        </is>
      </c>
    </row>
    <row r="2784" ht="24" customHeight="1">
      <c r="A2784" s="2">
        <f>+D2784-S2784</f>
        <v/>
      </c>
      <c r="B2784" s="80" t="n">
        <v>4376</v>
      </c>
      <c r="C2784" s="66" t="n">
        <v>45946</v>
      </c>
      <c r="D2784" s="2" t="n">
        <v>1</v>
      </c>
      <c r="E2784" s="3" t="inlineStr">
        <is>
          <t>FUCILE SEMIAUTOMATICO</t>
        </is>
      </c>
      <c r="F2784" s="3" t="inlineStr">
        <is>
          <t>12</t>
        </is>
      </c>
      <c r="G2784" s="3" t="inlineStr">
        <is>
          <t>BENELLI</t>
        </is>
      </c>
      <c r="H2784" s="65" t="inlineStr">
        <is>
          <t>SBE3 BE­S.T. 30"</t>
        </is>
      </c>
      <c r="I2784" s="65" t="inlineStr">
        <is>
          <t>U784152R</t>
        </is>
      </c>
      <c r="J2784" s="65" t="inlineStr">
        <is>
          <t>S822864X</t>
        </is>
      </c>
      <c r="K2784" s="65" t="inlineStr">
        <is>
          <t>N/D</t>
        </is>
      </c>
      <c r="L2784" s="127" t="inlineStr">
        <is>
          <t>BENELLI SPA</t>
        </is>
      </c>
      <c r="M2784" s="5" t="n">
        <v>1334</v>
      </c>
      <c r="N2784" s="5" t="n"/>
      <c r="O2784" s="5">
        <f>+M2784+N2784</f>
        <v/>
      </c>
      <c r="P2784" s="4" t="n">
        <v>45932</v>
      </c>
      <c r="Q2784" s="87" t="n">
        <v>45932</v>
      </c>
      <c r="R2784" s="5" t="n">
        <v>1520.76</v>
      </c>
      <c r="S2784" s="2" t="n">
        <v>1</v>
      </c>
      <c r="T2784" s="3" t="inlineStr">
        <is>
          <t>6B/2025/5S</t>
        </is>
      </c>
      <c r="U2784" s="87" t="n">
        <v>45963</v>
      </c>
      <c r="V2784" s="3" t="inlineStr">
        <is>
          <t>32</t>
        </is>
      </c>
      <c r="W2784" s="108" t="n">
        <v>45963</v>
      </c>
      <c r="X2784" s="4" t="inlineStr">
        <is>
          <t>BIN HUMAID NATIONAL TRADING CO</t>
        </is>
      </c>
    </row>
    <row r="2785" ht="24" customHeight="1">
      <c r="A2785" s="2">
        <f>+D2785-S2785</f>
        <v/>
      </c>
      <c r="B2785" s="80" t="n">
        <v>4377</v>
      </c>
      <c r="C2785" s="66" t="n">
        <v>45946</v>
      </c>
      <c r="D2785" s="2" t="n">
        <v>1</v>
      </c>
      <c r="E2785" s="3" t="inlineStr">
        <is>
          <t>FUCILE SEMIAUTOMATICO</t>
        </is>
      </c>
      <c r="F2785" s="3" t="inlineStr">
        <is>
          <t>12</t>
        </is>
      </c>
      <c r="G2785" s="3" t="inlineStr">
        <is>
          <t>BENELLI</t>
        </is>
      </c>
      <c r="H2785" s="65" t="inlineStr">
        <is>
          <t>SBE3 BE­S.T. 30"</t>
        </is>
      </c>
      <c r="I2785" s="65" t="inlineStr">
        <is>
          <t>U776025T</t>
        </is>
      </c>
      <c r="J2785" s="65" t="inlineStr">
        <is>
          <t>S822849G</t>
        </is>
      </c>
      <c r="K2785" s="65" t="inlineStr">
        <is>
          <t>N/D</t>
        </is>
      </c>
      <c r="L2785" s="127" t="inlineStr">
        <is>
          <t>BENELLI SPA</t>
        </is>
      </c>
      <c r="M2785" s="5" t="n">
        <v>1334</v>
      </c>
      <c r="N2785" s="5" t="n"/>
      <c r="O2785" s="5">
        <f>+M2785+N2785</f>
        <v/>
      </c>
      <c r="P2785" s="4" t="n">
        <v>45932</v>
      </c>
      <c r="Q2785" s="87" t="n">
        <v>45932</v>
      </c>
      <c r="R2785" s="5" t="n">
        <v>1520.76</v>
      </c>
      <c r="S2785" s="2" t="n">
        <v>1</v>
      </c>
      <c r="T2785" s="3" t="inlineStr">
        <is>
          <t>6B/2025/5S</t>
        </is>
      </c>
      <c r="U2785" s="87" t="n">
        <v>45963</v>
      </c>
      <c r="V2785" s="3" t="inlineStr">
        <is>
          <t>32</t>
        </is>
      </c>
      <c r="W2785" s="108" t="n">
        <v>45963</v>
      </c>
      <c r="X2785" s="4" t="inlineStr">
        <is>
          <t>BIN HUMAID NATIONAL TRADING CO</t>
        </is>
      </c>
    </row>
    <row r="2786" ht="24" customHeight="1">
      <c r="A2786" s="2">
        <f>+D2786-S2786</f>
        <v/>
      </c>
      <c r="B2786" s="80" t="n">
        <v>4378</v>
      </c>
      <c r="C2786" s="66" t="n">
        <v>45946</v>
      </c>
      <c r="D2786" s="2" t="n">
        <v>1</v>
      </c>
      <c r="E2786" s="3" t="inlineStr">
        <is>
          <t>FUCILE SEMIAUTOMATICO</t>
        </is>
      </c>
      <c r="F2786" s="3" t="inlineStr">
        <is>
          <t>12</t>
        </is>
      </c>
      <c r="G2786" s="3" t="inlineStr">
        <is>
          <t>BENELLI</t>
        </is>
      </c>
      <c r="H2786" s="65" t="inlineStr">
        <is>
          <t>ETHOS SUPER SPORT AI 30"</t>
        </is>
      </c>
      <c r="I2786" s="65" t="inlineStr">
        <is>
          <t>F454812T</t>
        </is>
      </c>
      <c r="J2786" s="65" t="inlineStr">
        <is>
          <t>C1693649E</t>
        </is>
      </c>
      <c r="K2786" s="65" t="inlineStr">
        <is>
          <t>N/D</t>
        </is>
      </c>
      <c r="L2786" s="127" t="inlineStr">
        <is>
          <t>BENELLI SPA</t>
        </is>
      </c>
      <c r="M2786" s="5" t="n">
        <v>1634</v>
      </c>
      <c r="N2786" s="5" t="n"/>
      <c r="O2786" s="5">
        <f>+M2786+N2786</f>
        <v/>
      </c>
      <c r="P2786" s="4" t="n">
        <v>45932</v>
      </c>
      <c r="Q2786" s="87" t="n">
        <v>45932</v>
      </c>
      <c r="R2786" s="5" t="n">
        <v>1862.76</v>
      </c>
      <c r="S2786" s="2" t="n">
        <v>1</v>
      </c>
      <c r="T2786" s="3" t="inlineStr">
        <is>
          <t>6B/2025/5S</t>
        </is>
      </c>
      <c r="U2786" s="87" t="n">
        <v>45963</v>
      </c>
      <c r="V2786" s="3" t="inlineStr">
        <is>
          <t>32</t>
        </is>
      </c>
      <c r="W2786" s="108" t="n">
        <v>45963</v>
      </c>
      <c r="X2786" s="4" t="inlineStr">
        <is>
          <t>BIN HUMAID NATIONAL TRADING CO</t>
        </is>
      </c>
    </row>
    <row r="2787" ht="24" customHeight="1">
      <c r="A2787" s="2">
        <f>+D2787-S2787</f>
        <v/>
      </c>
      <c r="B2787" s="80" t="n">
        <v>4379</v>
      </c>
      <c r="C2787" s="66" t="n">
        <v>45946</v>
      </c>
      <c r="D2787" s="2" t="n">
        <v>1</v>
      </c>
      <c r="E2787" s="3" t="inlineStr">
        <is>
          <t>FUCILE SEMIAUTOMATICO</t>
        </is>
      </c>
      <c r="F2787" s="3" t="inlineStr">
        <is>
          <t>12</t>
        </is>
      </c>
      <c r="G2787" s="3" t="inlineStr">
        <is>
          <t>BENELLI</t>
        </is>
      </c>
      <c r="H2787" s="65" t="inlineStr">
        <is>
          <t>BLACK EAGLE 30"</t>
        </is>
      </c>
      <c r="I2787" s="65" t="inlineStr">
        <is>
          <t>F453711N</t>
        </is>
      </c>
      <c r="J2787" s="65" t="inlineStr">
        <is>
          <t>C1691265X</t>
        </is>
      </c>
      <c r="K2787" s="65" t="inlineStr">
        <is>
          <t>N/D</t>
        </is>
      </c>
      <c r="L2787" s="127" t="inlineStr">
        <is>
          <t>BENELLI SPA</t>
        </is>
      </c>
      <c r="M2787" s="5" t="n">
        <v>1104</v>
      </c>
      <c r="N2787" s="5" t="n"/>
      <c r="O2787" s="5">
        <f>+M2787+N2787</f>
        <v/>
      </c>
      <c r="P2787" s="4" t="n">
        <v>45932</v>
      </c>
      <c r="Q2787" s="87" t="n">
        <v>45932</v>
      </c>
      <c r="R2787" s="5" t="n">
        <v>1862.76</v>
      </c>
      <c r="S2787" s="2" t="n">
        <v>1</v>
      </c>
      <c r="T2787" s="3" t="inlineStr">
        <is>
          <t>6B/2025/5S</t>
        </is>
      </c>
      <c r="U2787" s="87" t="n">
        <v>45963</v>
      </c>
      <c r="V2787" s="3" t="inlineStr">
        <is>
          <t>32</t>
        </is>
      </c>
      <c r="W2787" s="108" t="n">
        <v>45963</v>
      </c>
      <c r="X2787" s="4" t="inlineStr">
        <is>
          <t>BIN HUMAID NATIONAL TRADING CO</t>
        </is>
      </c>
    </row>
    <row r="2788" ht="24" customHeight="1">
      <c r="A2788" s="2">
        <f>+D2788-S2788</f>
        <v/>
      </c>
      <c r="B2788" s="80" t="n">
        <v>4380</v>
      </c>
      <c r="C2788" s="66" t="n">
        <v>45946</v>
      </c>
      <c r="D2788" s="2" t="n">
        <v>1</v>
      </c>
      <c r="E2788" s="3" t="inlineStr">
        <is>
          <t>FUCILE SEMIAUTOMATICO</t>
        </is>
      </c>
      <c r="F2788" s="3" t="inlineStr">
        <is>
          <t>12</t>
        </is>
      </c>
      <c r="G2788" s="3" t="inlineStr">
        <is>
          <t>BENELLI</t>
        </is>
      </c>
      <c r="H2788" s="65" t="inlineStr">
        <is>
          <t>SBE3 BE­S.T. 30"</t>
        </is>
      </c>
      <c r="I2788" s="65" t="inlineStr">
        <is>
          <t>U784149F</t>
        </is>
      </c>
      <c r="J2788" s="65" t="inlineStr">
        <is>
          <t>S822871S</t>
        </is>
      </c>
      <c r="K2788" s="65" t="inlineStr">
        <is>
          <t>N/D</t>
        </is>
      </c>
      <c r="L2788" s="127" t="inlineStr">
        <is>
          <t>BENELLI SPA</t>
        </is>
      </c>
      <c r="M2788" s="5" t="n">
        <v>1334</v>
      </c>
      <c r="N2788" s="5" t="n"/>
      <c r="O2788" s="5">
        <f>+M2788+N2788</f>
        <v/>
      </c>
      <c r="P2788" s="4" t="n">
        <v>45932</v>
      </c>
      <c r="Q2788" s="87" t="n">
        <v>45932</v>
      </c>
      <c r="R2788" s="5" t="n">
        <v>1520.76</v>
      </c>
      <c r="S2788" s="2" t="n">
        <v>1</v>
      </c>
      <c r="T2788" s="3" t="inlineStr">
        <is>
          <t>6B/2025/5S</t>
        </is>
      </c>
      <c r="U2788" s="87" t="n">
        <v>45963</v>
      </c>
      <c r="V2788" s="3" t="inlineStr">
        <is>
          <t>32</t>
        </is>
      </c>
      <c r="W2788" s="108" t="n">
        <v>45963</v>
      </c>
      <c r="X2788" s="4" t="inlineStr">
        <is>
          <t>BIN HUMAID NATIONAL TRADING CO</t>
        </is>
      </c>
    </row>
    <row r="2789" ht="24" customHeight="1">
      <c r="A2789" s="2">
        <f>+D2789-S2789</f>
        <v/>
      </c>
      <c r="B2789" s="80" t="n">
        <v>4381</v>
      </c>
      <c r="C2789" s="66" t="n">
        <v>45946</v>
      </c>
      <c r="D2789" s="2" t="n">
        <v>1</v>
      </c>
      <c r="E2789" s="3" t="inlineStr">
        <is>
          <t>FUCILE SEMIAUTOMATICO</t>
        </is>
      </c>
      <c r="F2789" s="3" t="inlineStr">
        <is>
          <t>12</t>
        </is>
      </c>
      <c r="G2789" s="3" t="inlineStr">
        <is>
          <t>BENELLI</t>
        </is>
      </c>
      <c r="H2789" s="65" t="inlineStr">
        <is>
          <t>SBE3 BE­S.T. 30"</t>
        </is>
      </c>
      <c r="I2789" s="65" t="inlineStr">
        <is>
          <t>U784130K</t>
        </is>
      </c>
      <c r="J2789" s="65" t="inlineStr">
        <is>
          <t>S822873W</t>
        </is>
      </c>
      <c r="K2789" s="65" t="inlineStr">
        <is>
          <t>N/D</t>
        </is>
      </c>
      <c r="L2789" s="127" t="inlineStr">
        <is>
          <t>BENELLI SPA</t>
        </is>
      </c>
      <c r="M2789" s="5" t="n">
        <v>1334</v>
      </c>
      <c r="N2789" s="5" t="n"/>
      <c r="O2789" s="5">
        <f>+M2789+N2789</f>
        <v/>
      </c>
      <c r="P2789" s="4" t="n">
        <v>45932</v>
      </c>
      <c r="Q2789" s="87" t="n">
        <v>45932</v>
      </c>
      <c r="R2789" s="5" t="n">
        <v>1520.76</v>
      </c>
      <c r="S2789" s="2" t="n">
        <v>1</v>
      </c>
      <c r="T2789" s="3" t="inlineStr">
        <is>
          <t>6B/2025/5S</t>
        </is>
      </c>
      <c r="U2789" s="87" t="n">
        <v>45963</v>
      </c>
      <c r="V2789" s="3" t="inlineStr">
        <is>
          <t>32</t>
        </is>
      </c>
      <c r="W2789" s="108" t="n">
        <v>45963</v>
      </c>
      <c r="X2789" s="4" t="inlineStr">
        <is>
          <t>BIN HUMAID NATIONAL TRADING CO</t>
        </is>
      </c>
    </row>
    <row r="2790" ht="24" customHeight="1">
      <c r="A2790" s="2">
        <f>+D2790-S2790</f>
        <v/>
      </c>
      <c r="B2790" s="80" t="n">
        <v>4382</v>
      </c>
      <c r="C2790" s="66" t="n">
        <v>45946</v>
      </c>
      <c r="D2790" s="2" t="n">
        <v>1</v>
      </c>
      <c r="E2790" s="3" t="inlineStr">
        <is>
          <t>FUCILE SEMIAUTOMATICO</t>
        </is>
      </c>
      <c r="F2790" s="3" t="inlineStr">
        <is>
          <t>12</t>
        </is>
      </c>
      <c r="G2790" s="3" t="inlineStr">
        <is>
          <t>BENELLI</t>
        </is>
      </c>
      <c r="H2790" s="65" t="inlineStr">
        <is>
          <t>ETHOS SPORT AI 30"</t>
        </is>
      </c>
      <c r="I2790" s="65" t="inlineStr">
        <is>
          <t>F452847F</t>
        </is>
      </c>
      <c r="J2790" s="65" t="inlineStr">
        <is>
          <t>C1688895Z</t>
        </is>
      </c>
      <c r="K2790" s="65" t="inlineStr">
        <is>
          <t>N/D</t>
        </is>
      </c>
      <c r="L2790" s="127" t="inlineStr">
        <is>
          <t>BENELLI SPA</t>
        </is>
      </c>
      <c r="M2790" s="5" t="n">
        <v>1478</v>
      </c>
      <c r="N2790" s="5" t="n"/>
      <c r="O2790" s="5">
        <f>+M2790+N2790</f>
        <v/>
      </c>
      <c r="P2790" s="4" t="n">
        <v>45932</v>
      </c>
      <c r="Q2790" s="87" t="n">
        <v>45932</v>
      </c>
      <c r="R2790" s="5" t="n">
        <v>1684.92</v>
      </c>
      <c r="S2790" s="2" t="n">
        <v>1</v>
      </c>
      <c r="T2790" s="3" t="inlineStr">
        <is>
          <t>6B/2025/5S</t>
        </is>
      </c>
      <c r="U2790" s="87" t="n">
        <v>45963</v>
      </c>
      <c r="V2790" s="3" t="inlineStr">
        <is>
          <t>32</t>
        </is>
      </c>
      <c r="W2790" s="108" t="n">
        <v>45963</v>
      </c>
      <c r="X2790" s="4" t="inlineStr">
        <is>
          <t>BIN HUMAID NATIONAL TRADING CO</t>
        </is>
      </c>
    </row>
    <row r="2791" ht="24" customHeight="1">
      <c r="A2791" s="2">
        <f>+D2791-S2791</f>
        <v/>
      </c>
      <c r="B2791" s="80" t="n">
        <v>4383</v>
      </c>
      <c r="C2791" s="66" t="n">
        <v>45946</v>
      </c>
      <c r="D2791" s="2" t="n">
        <v>1</v>
      </c>
      <c r="E2791" s="3" t="inlineStr">
        <is>
          <t>FUCILE SEMIAUTOMATICO</t>
        </is>
      </c>
      <c r="F2791" s="3" t="inlineStr">
        <is>
          <t>12</t>
        </is>
      </c>
      <c r="G2791" s="3" t="inlineStr">
        <is>
          <t>BENELLI</t>
        </is>
      </c>
      <c r="H2791" s="65" t="inlineStr">
        <is>
          <t>SBE3 BE­S.T. 30"</t>
        </is>
      </c>
      <c r="I2791" s="65" t="inlineStr">
        <is>
          <t>U784134T</t>
        </is>
      </c>
      <c r="J2791" s="65" t="inlineStr">
        <is>
          <t>S822851Q</t>
        </is>
      </c>
      <c r="K2791" s="65" t="inlineStr">
        <is>
          <t>N/D</t>
        </is>
      </c>
      <c r="L2791" s="127" t="inlineStr">
        <is>
          <t>BENELLI SPA</t>
        </is>
      </c>
      <c r="M2791" s="5" t="n">
        <v>1334</v>
      </c>
      <c r="N2791" s="5" t="n"/>
      <c r="O2791" s="5">
        <f>+M2791+N2791</f>
        <v/>
      </c>
      <c r="P2791" s="4" t="n">
        <v>45932</v>
      </c>
      <c r="Q2791" s="87" t="n">
        <v>45932</v>
      </c>
      <c r="R2791" s="5" t="n">
        <v>1520.76</v>
      </c>
      <c r="S2791" s="2" t="n">
        <v>1</v>
      </c>
      <c r="T2791" s="3" t="inlineStr">
        <is>
          <t>6B/2025/5S</t>
        </is>
      </c>
      <c r="U2791" s="87" t="n">
        <v>45963</v>
      </c>
      <c r="V2791" s="3" t="inlineStr">
        <is>
          <t>32</t>
        </is>
      </c>
      <c r="W2791" s="108" t="n">
        <v>45963</v>
      </c>
      <c r="X2791" s="4" t="inlineStr">
        <is>
          <t>BIN HUMAID NATIONAL TRADING CO</t>
        </is>
      </c>
    </row>
    <row r="2792" ht="24" customHeight="1">
      <c r="A2792" s="2">
        <f>+D2792-S2792</f>
        <v/>
      </c>
      <c r="B2792" s="80" t="n">
        <v>4384</v>
      </c>
      <c r="C2792" s="66" t="n">
        <v>45946</v>
      </c>
      <c r="D2792" s="2" t="n">
        <v>1</v>
      </c>
      <c r="E2792" s="3" t="inlineStr">
        <is>
          <t>FUCILE SEMIAUTOMATICO</t>
        </is>
      </c>
      <c r="F2792" s="3" t="inlineStr">
        <is>
          <t>12</t>
        </is>
      </c>
      <c r="G2792" s="3" t="inlineStr">
        <is>
          <t>BENELLI</t>
        </is>
      </c>
      <c r="H2792" s="65" t="inlineStr">
        <is>
          <t>SBE3 BE­S.T. 30"</t>
        </is>
      </c>
      <c r="I2792" s="65" t="inlineStr">
        <is>
          <t>U784119C</t>
        </is>
      </c>
      <c r="J2792" s="65" t="inlineStr">
        <is>
          <t>S822887G</t>
        </is>
      </c>
      <c r="K2792" s="65" t="inlineStr">
        <is>
          <t>N/D</t>
        </is>
      </c>
      <c r="L2792" s="127" t="inlineStr">
        <is>
          <t>BENELLI SPA</t>
        </is>
      </c>
      <c r="M2792" s="5" t="n">
        <v>1334</v>
      </c>
      <c r="N2792" s="5" t="n"/>
      <c r="O2792" s="5">
        <f>+M2792+N2792</f>
        <v/>
      </c>
      <c r="P2792" s="4" t="n">
        <v>45932</v>
      </c>
      <c r="Q2792" s="87" t="n">
        <v>45932</v>
      </c>
      <c r="R2792" s="5" t="n">
        <v>1520.76</v>
      </c>
      <c r="S2792" s="2" t="n">
        <v>1</v>
      </c>
      <c r="T2792" s="3" t="inlineStr">
        <is>
          <t>6B/2025/5S</t>
        </is>
      </c>
      <c r="U2792" s="87" t="n">
        <v>45963</v>
      </c>
      <c r="V2792" s="3" t="inlineStr">
        <is>
          <t>32</t>
        </is>
      </c>
      <c r="W2792" s="108" t="n">
        <v>45963</v>
      </c>
      <c r="X2792" s="4" t="inlineStr">
        <is>
          <t>BIN HUMAID NATIONAL TRADING CO</t>
        </is>
      </c>
    </row>
    <row r="2793" ht="24" customHeight="1">
      <c r="A2793" s="2">
        <f>+D2793-S2793</f>
        <v/>
      </c>
      <c r="B2793" s="80" t="n">
        <v>4385</v>
      </c>
      <c r="C2793" s="66" t="n">
        <v>45946</v>
      </c>
      <c r="D2793" s="2" t="n">
        <v>1</v>
      </c>
      <c r="E2793" s="3" t="inlineStr">
        <is>
          <t>FUCILE SEMIAUTOMATICO</t>
        </is>
      </c>
      <c r="F2793" s="3" t="inlineStr">
        <is>
          <t>12</t>
        </is>
      </c>
      <c r="G2793" s="3" t="inlineStr">
        <is>
          <t>BENELLI</t>
        </is>
      </c>
      <c r="H2793" s="65" t="inlineStr">
        <is>
          <t>BE-DIAMOND AI 30''</t>
        </is>
      </c>
      <c r="I2793" s="65" t="inlineStr">
        <is>
          <t>F450716W</t>
        </is>
      </c>
      <c r="J2793" s="65" t="inlineStr">
        <is>
          <t>C1682260T</t>
        </is>
      </c>
      <c r="K2793" s="65" t="inlineStr">
        <is>
          <t>N/D</t>
        </is>
      </c>
      <c r="L2793" s="127" t="inlineStr">
        <is>
          <t>BENELLI SPA</t>
        </is>
      </c>
      <c r="M2793" s="5" t="n">
        <v>1433</v>
      </c>
      <c r="N2793" s="5" t="n"/>
      <c r="O2793" s="5">
        <f>+M2793+N2793</f>
        <v/>
      </c>
      <c r="P2793" s="4" t="n">
        <v>45932</v>
      </c>
      <c r="Q2793" s="87" t="n">
        <v>45932</v>
      </c>
      <c r="R2793" s="5" t="n">
        <v>1633.62</v>
      </c>
      <c r="S2793" s="2" t="n">
        <v>1</v>
      </c>
      <c r="T2793" s="3" t="inlineStr">
        <is>
          <t>6B/2025/5S</t>
        </is>
      </c>
      <c r="U2793" s="87" t="n">
        <v>45963</v>
      </c>
      <c r="V2793" s="3" t="inlineStr">
        <is>
          <t>32</t>
        </is>
      </c>
      <c r="W2793" s="108" t="n">
        <v>45963</v>
      </c>
      <c r="X2793" s="4" t="inlineStr">
        <is>
          <t>BIN HUMAID NATIONAL TRADING CO</t>
        </is>
      </c>
    </row>
    <row r="2794" ht="24" customHeight="1">
      <c r="A2794" s="2">
        <f>+D2794-S2794</f>
        <v/>
      </c>
      <c r="B2794" s="80" t="n">
        <v>4386</v>
      </c>
      <c r="C2794" s="66" t="n">
        <v>45946</v>
      </c>
      <c r="D2794" s="2" t="n">
        <v>1</v>
      </c>
      <c r="E2794" s="3" t="inlineStr">
        <is>
          <t>FUCILE SEMIAUTOMATICO</t>
        </is>
      </c>
      <c r="F2794" s="3" t="inlineStr">
        <is>
          <t>12</t>
        </is>
      </c>
      <c r="G2794" s="3" t="inlineStr">
        <is>
          <t>BENELLI</t>
        </is>
      </c>
      <c r="H2794" s="65" t="inlineStr">
        <is>
          <t>RAFFAELLO LIMITED EDITION 2025 30''</t>
        </is>
      </c>
      <c r="I2794" s="65" t="inlineStr">
        <is>
          <t>F455102C</t>
        </is>
      </c>
      <c r="J2794" s="65" t="inlineStr">
        <is>
          <t>C1683620Q</t>
        </is>
      </c>
      <c r="K2794" s="65" t="inlineStr">
        <is>
          <t>N/D</t>
        </is>
      </c>
      <c r="L2794" s="127" t="inlineStr">
        <is>
          <t>BENELLI SPA</t>
        </is>
      </c>
      <c r="M2794" s="5" t="n">
        <v>2112</v>
      </c>
      <c r="N2794" s="5" t="n"/>
      <c r="O2794" s="5">
        <f>+M2794+N2794</f>
        <v/>
      </c>
      <c r="P2794" s="4" t="n">
        <v>45932</v>
      </c>
      <c r="Q2794" s="87" t="n">
        <v>45932</v>
      </c>
      <c r="R2794" s="5" t="n">
        <v>2428</v>
      </c>
      <c r="S2794" s="2" t="n">
        <v>1</v>
      </c>
      <c r="T2794" s="3" t="inlineStr">
        <is>
          <t>6B/2025/5S</t>
        </is>
      </c>
      <c r="U2794" s="87" t="n">
        <v>45963</v>
      </c>
      <c r="V2794" s="3" t="inlineStr">
        <is>
          <t>32</t>
        </is>
      </c>
      <c r="W2794" s="108" t="n">
        <v>45963</v>
      </c>
      <c r="X2794" s="4" t="inlineStr">
        <is>
          <t>BIN HUMAID NATIONAL TRADING CO</t>
        </is>
      </c>
    </row>
    <row r="2795" ht="24" customHeight="1">
      <c r="A2795" s="2">
        <f>+D2795-S2795</f>
        <v/>
      </c>
      <c r="B2795" s="80" t="n">
        <v>4387</v>
      </c>
      <c r="C2795" s="66" t="n">
        <v>45946</v>
      </c>
      <c r="D2795" s="2" t="n">
        <v>1</v>
      </c>
      <c r="E2795" s="3" t="inlineStr">
        <is>
          <t>FUCILE SEMIAUTOMATICO</t>
        </is>
      </c>
      <c r="F2795" s="3" t="inlineStr">
        <is>
          <t>12</t>
        </is>
      </c>
      <c r="G2795" s="3" t="inlineStr">
        <is>
          <t>BENELLI</t>
        </is>
      </c>
      <c r="H2795" s="65" t="inlineStr">
        <is>
          <t>BLACK EAGLE 30"</t>
        </is>
      </c>
      <c r="I2795" s="65" t="inlineStr">
        <is>
          <t>F451539B</t>
        </is>
      </c>
      <c r="J2795" s="65" t="inlineStr">
        <is>
          <t>C1687173J</t>
        </is>
      </c>
      <c r="K2795" s="65" t="inlineStr">
        <is>
          <t>N/D</t>
        </is>
      </c>
      <c r="L2795" s="127" t="inlineStr">
        <is>
          <t>BENELLI SPA</t>
        </is>
      </c>
      <c r="M2795" s="5" t="n">
        <v>1104</v>
      </c>
      <c r="N2795" s="5" t="n"/>
      <c r="O2795" s="5">
        <f>+M2795+N2795</f>
        <v/>
      </c>
      <c r="P2795" s="4" t="n">
        <v>45932</v>
      </c>
      <c r="Q2795" s="87" t="n">
        <v>45932</v>
      </c>
      <c r="R2795" s="5" t="n">
        <v>1862.76</v>
      </c>
      <c r="S2795" s="2" t="n">
        <v>1</v>
      </c>
      <c r="T2795" s="3" t="inlineStr">
        <is>
          <t>6B/2025/5S</t>
        </is>
      </c>
      <c r="U2795" s="87" t="n">
        <v>45963</v>
      </c>
      <c r="V2795" s="3" t="inlineStr">
        <is>
          <t>32</t>
        </is>
      </c>
      <c r="W2795" s="108" t="n">
        <v>45963</v>
      </c>
      <c r="X2795" s="4" t="inlineStr">
        <is>
          <t>BIN HUMAID NATIONAL TRADING CO</t>
        </is>
      </c>
    </row>
    <row r="2796" ht="24" customHeight="1">
      <c r="A2796" s="2">
        <f>+D2796-S2796</f>
        <v/>
      </c>
      <c r="B2796" s="80" t="n">
        <v>4388</v>
      </c>
      <c r="C2796" s="66" t="n">
        <v>45946</v>
      </c>
      <c r="D2796" s="2" t="n">
        <v>1</v>
      </c>
      <c r="E2796" s="3" t="inlineStr">
        <is>
          <t>FUCILE SEMIAUTOMATICO</t>
        </is>
      </c>
      <c r="F2796" s="3" t="inlineStr">
        <is>
          <t>12</t>
        </is>
      </c>
      <c r="G2796" s="3" t="inlineStr">
        <is>
          <t>BENELLI</t>
        </is>
      </c>
      <c r="H2796" s="65" t="inlineStr">
        <is>
          <t xml:space="preserve">BLACK EAGLE MAX7 30" </t>
        </is>
      </c>
      <c r="I2796" s="65" t="inlineStr">
        <is>
          <t>F450810K</t>
        </is>
      </c>
      <c r="J2796" s="65" t="inlineStr">
        <is>
          <t>C1683776J</t>
        </is>
      </c>
      <c r="K2796" s="65" t="inlineStr">
        <is>
          <t>N/D</t>
        </is>
      </c>
      <c r="L2796" s="127" t="inlineStr">
        <is>
          <t>BENELLI SPA</t>
        </is>
      </c>
      <c r="M2796" s="5" t="n">
        <v>1218</v>
      </c>
      <c r="N2796" s="5" t="n"/>
      <c r="O2796" s="5">
        <f>+M2796+N2796</f>
        <v/>
      </c>
      <c r="P2796" s="4" t="n">
        <v>45932</v>
      </c>
      <c r="Q2796" s="87" t="n">
        <v>45932</v>
      </c>
      <c r="R2796" s="5" t="n">
        <v>1389</v>
      </c>
      <c r="S2796" s="2" t="n">
        <v>1</v>
      </c>
      <c r="T2796" s="3" t="inlineStr">
        <is>
          <t>6B/2025/5S</t>
        </is>
      </c>
      <c r="U2796" s="87" t="n">
        <v>45963</v>
      </c>
      <c r="V2796" s="3" t="inlineStr">
        <is>
          <t>32</t>
        </is>
      </c>
      <c r="W2796" s="108" t="n">
        <v>45963</v>
      </c>
      <c r="X2796" s="4" t="inlineStr">
        <is>
          <t>BIN HUMAID NATIONAL TRADING CO</t>
        </is>
      </c>
    </row>
    <row r="2797" ht="24" customHeight="1">
      <c r="A2797" s="2">
        <f>+D2797-S2797</f>
        <v/>
      </c>
      <c r="B2797" s="80" t="n">
        <v>4389</v>
      </c>
      <c r="C2797" s="66" t="n">
        <v>45946</v>
      </c>
      <c r="D2797" s="2" t="n">
        <v>1</v>
      </c>
      <c r="E2797" s="3" t="inlineStr">
        <is>
          <t>FUCILE SEMIAUTOMATICO</t>
        </is>
      </c>
      <c r="F2797" s="3" t="inlineStr">
        <is>
          <t>12</t>
        </is>
      </c>
      <c r="G2797" s="3" t="inlineStr">
        <is>
          <t>BENELLI</t>
        </is>
      </c>
      <c r="H2797" s="65" t="inlineStr">
        <is>
          <t>DELUXE-13 AI 30''</t>
        </is>
      </c>
      <c r="I2797" s="65" t="inlineStr">
        <is>
          <t>F451518X</t>
        </is>
      </c>
      <c r="J2797" s="65" t="inlineStr">
        <is>
          <t>C1685791N</t>
        </is>
      </c>
      <c r="K2797" s="65" t="inlineStr">
        <is>
          <t>N/D</t>
        </is>
      </c>
      <c r="L2797" s="127" t="inlineStr">
        <is>
          <t>BENELLI SPA</t>
        </is>
      </c>
      <c r="M2797" s="5" t="n">
        <v>1540</v>
      </c>
      <c r="N2797" s="5" t="n"/>
      <c r="O2797" s="5">
        <f>+M2797+N2797</f>
        <v/>
      </c>
      <c r="P2797" s="4" t="n">
        <v>45932</v>
      </c>
      <c r="Q2797" s="87" t="n">
        <v>45932</v>
      </c>
      <c r="R2797" s="5" t="n">
        <v>1755.6</v>
      </c>
      <c r="S2797" s="2" t="n">
        <v>1</v>
      </c>
      <c r="T2797" s="3" t="inlineStr">
        <is>
          <t>6B/2025/5S</t>
        </is>
      </c>
      <c r="U2797" s="87" t="n">
        <v>45963</v>
      </c>
      <c r="V2797" s="3" t="inlineStr">
        <is>
          <t>32</t>
        </is>
      </c>
      <c r="W2797" s="108" t="n">
        <v>45963</v>
      </c>
      <c r="X2797" s="4" t="inlineStr">
        <is>
          <t>BIN HUMAID NATIONAL TRADING CO</t>
        </is>
      </c>
    </row>
    <row r="2798" ht="24" customHeight="1">
      <c r="A2798" s="2">
        <f>+D2798-S2798</f>
        <v/>
      </c>
      <c r="B2798" s="80" t="n">
        <v>4390</v>
      </c>
      <c r="C2798" s="66" t="n">
        <v>45946</v>
      </c>
      <c r="D2798" s="2" t="n">
        <v>1</v>
      </c>
      <c r="E2798" s="3" t="inlineStr">
        <is>
          <t>FUCILE SEMIAUTOMATICO</t>
        </is>
      </c>
      <c r="F2798" s="3" t="inlineStr">
        <is>
          <t>12</t>
        </is>
      </c>
      <c r="G2798" s="3" t="inlineStr">
        <is>
          <t>BENELLI</t>
        </is>
      </c>
      <c r="H2798" s="65" t="inlineStr">
        <is>
          <t>BE-DIAMOND AI 30''</t>
        </is>
      </c>
      <c r="I2798" s="65" t="inlineStr">
        <is>
          <t>F450368W</t>
        </is>
      </c>
      <c r="J2798" s="65" t="inlineStr">
        <is>
          <t>C1682297G</t>
        </is>
      </c>
      <c r="K2798" s="65" t="inlineStr">
        <is>
          <t>N/D</t>
        </is>
      </c>
      <c r="L2798" s="127" t="inlineStr">
        <is>
          <t>BENELLI SPA</t>
        </is>
      </c>
      <c r="M2798" s="5" t="n">
        <v>1433</v>
      </c>
      <c r="N2798" s="5" t="n"/>
      <c r="O2798" s="5">
        <f>+M2798+N2798</f>
        <v/>
      </c>
      <c r="P2798" s="4" t="n">
        <v>45932</v>
      </c>
      <c r="Q2798" s="87" t="n">
        <v>45932</v>
      </c>
      <c r="R2798" s="5" t="n">
        <v>1633.62</v>
      </c>
      <c r="S2798" s="2" t="n">
        <v>1</v>
      </c>
      <c r="T2798" s="3" t="inlineStr">
        <is>
          <t>6B/2025/5S</t>
        </is>
      </c>
      <c r="U2798" s="87" t="n">
        <v>45963</v>
      </c>
      <c r="V2798" s="3" t="inlineStr">
        <is>
          <t>32</t>
        </is>
      </c>
      <c r="W2798" s="108" t="n">
        <v>45963</v>
      </c>
      <c r="X2798" s="4" t="inlineStr">
        <is>
          <t>BIN HUMAID NATIONAL TRADING CO</t>
        </is>
      </c>
    </row>
    <row r="2799" ht="24" customHeight="1">
      <c r="A2799" s="2">
        <f>+D2799-S2799</f>
        <v/>
      </c>
      <c r="B2799" s="80" t="n">
        <v>4391</v>
      </c>
      <c r="C2799" s="66" t="n">
        <v>45946</v>
      </c>
      <c r="D2799" s="2" t="n">
        <v>1</v>
      </c>
      <c r="E2799" s="3" t="inlineStr">
        <is>
          <t>FUCILE SEMIAUTOMATICO</t>
        </is>
      </c>
      <c r="F2799" s="3" t="inlineStr">
        <is>
          <t>12</t>
        </is>
      </c>
      <c r="G2799" s="3" t="inlineStr">
        <is>
          <t>BENELLI</t>
        </is>
      </c>
      <c r="H2799" s="65" t="inlineStr">
        <is>
          <t>BE-DIAMOND AI 30''</t>
        </is>
      </c>
      <c r="I2799" s="65" t="inlineStr">
        <is>
          <t>F450428U</t>
        </is>
      </c>
      <c r="J2799" s="65" t="inlineStr">
        <is>
          <t>C1682302H</t>
        </is>
      </c>
      <c r="K2799" s="65" t="inlineStr">
        <is>
          <t>N/D</t>
        </is>
      </c>
      <c r="L2799" s="127" t="inlineStr">
        <is>
          <t>BENELLI SPA</t>
        </is>
      </c>
      <c r="M2799" s="5" t="n">
        <v>1433</v>
      </c>
      <c r="N2799" s="5" t="n"/>
      <c r="O2799" s="5">
        <f>+M2799+N2799</f>
        <v/>
      </c>
      <c r="P2799" s="4" t="n">
        <v>45932</v>
      </c>
      <c r="Q2799" s="87" t="n">
        <v>45932</v>
      </c>
      <c r="R2799" s="5" t="n">
        <v>1633.62</v>
      </c>
      <c r="S2799" s="2" t="n">
        <v>1</v>
      </c>
      <c r="T2799" s="3" t="inlineStr">
        <is>
          <t>6B/2025/5S</t>
        </is>
      </c>
      <c r="U2799" s="87" t="n">
        <v>45963</v>
      </c>
      <c r="V2799" s="3" t="inlineStr">
        <is>
          <t>32</t>
        </is>
      </c>
      <c r="W2799" s="108" t="n">
        <v>45963</v>
      </c>
      <c r="X2799" s="4" t="inlineStr">
        <is>
          <t>BIN HUMAID NATIONAL TRADING CO</t>
        </is>
      </c>
    </row>
    <row r="2800" ht="24" customHeight="1">
      <c r="A2800" s="2">
        <f>+D2800-S2800</f>
        <v/>
      </c>
      <c r="B2800" s="80" t="n">
        <v>4392</v>
      </c>
      <c r="C2800" s="66" t="n">
        <v>45946</v>
      </c>
      <c r="D2800" s="2" t="n">
        <v>1</v>
      </c>
      <c r="E2800" s="3" t="inlineStr">
        <is>
          <t>FUCILE SEMIAUTOMATICO</t>
        </is>
      </c>
      <c r="F2800" s="3" t="inlineStr">
        <is>
          <t>12</t>
        </is>
      </c>
      <c r="G2800" s="3" t="inlineStr">
        <is>
          <t>BENELLI</t>
        </is>
      </c>
      <c r="H2800" s="65" t="inlineStr">
        <is>
          <t>BE-DIAMOND AI 30''</t>
        </is>
      </c>
      <c r="I2800" s="65" t="inlineStr">
        <is>
          <t>F450429W</t>
        </is>
      </c>
      <c r="J2800" s="65" t="inlineStr">
        <is>
          <t>C1682292B</t>
        </is>
      </c>
      <c r="K2800" s="65" t="inlineStr">
        <is>
          <t>N/D</t>
        </is>
      </c>
      <c r="L2800" s="127" t="inlineStr">
        <is>
          <t>BENELLI SPA</t>
        </is>
      </c>
      <c r="M2800" s="5" t="n">
        <v>1433</v>
      </c>
      <c r="N2800" s="5" t="n"/>
      <c r="O2800" s="5">
        <f>+M2800+N2800</f>
        <v/>
      </c>
      <c r="P2800" s="4" t="n">
        <v>45932</v>
      </c>
      <c r="Q2800" s="87" t="n">
        <v>45932</v>
      </c>
      <c r="R2800" s="5" t="n">
        <v>1633.62</v>
      </c>
      <c r="S2800" s="2" t="n">
        <v>1</v>
      </c>
      <c r="T2800" s="3" t="inlineStr">
        <is>
          <t>6B/2025/5S</t>
        </is>
      </c>
      <c r="U2800" s="87" t="n">
        <v>45963</v>
      </c>
      <c r="V2800" s="3" t="inlineStr">
        <is>
          <t>32</t>
        </is>
      </c>
      <c r="W2800" s="108" t="n">
        <v>45963</v>
      </c>
      <c r="X2800" s="4" t="inlineStr">
        <is>
          <t>BIN HUMAID NATIONAL TRADING CO</t>
        </is>
      </c>
    </row>
    <row r="2801" ht="24" customHeight="1">
      <c r="A2801" s="2">
        <f>+D2801-S2801</f>
        <v/>
      </c>
      <c r="B2801" s="80" t="n">
        <v>4393</v>
      </c>
      <c r="C2801" s="66" t="n">
        <v>45946</v>
      </c>
      <c r="D2801" s="2" t="n">
        <v>1</v>
      </c>
      <c r="E2801" s="3" t="inlineStr">
        <is>
          <t>FUCILE SEMIAUTOMATICO</t>
        </is>
      </c>
      <c r="F2801" s="3" t="inlineStr">
        <is>
          <t>12</t>
        </is>
      </c>
      <c r="G2801" s="3" t="inlineStr">
        <is>
          <t>BENELLI</t>
        </is>
      </c>
      <c r="H2801" s="65" t="inlineStr">
        <is>
          <t>BE-DIAMOND AI 30''</t>
        </is>
      </c>
      <c r="I2801" s="65" t="inlineStr">
        <is>
          <t>F450427S</t>
        </is>
      </c>
      <c r="J2801" s="65" t="inlineStr">
        <is>
          <t>C1682303J</t>
        </is>
      </c>
      <c r="K2801" s="65" t="inlineStr">
        <is>
          <t>N/D</t>
        </is>
      </c>
      <c r="L2801" s="127" t="inlineStr">
        <is>
          <t>BENELLI SPA</t>
        </is>
      </c>
      <c r="M2801" s="5" t="n">
        <v>1433</v>
      </c>
      <c r="N2801" s="5" t="n"/>
      <c r="O2801" s="5">
        <f>+M2801+N2801</f>
        <v/>
      </c>
      <c r="P2801" s="4" t="n">
        <v>45932</v>
      </c>
      <c r="Q2801" s="87" t="n">
        <v>45932</v>
      </c>
      <c r="R2801" s="5" t="n">
        <v>1633.62</v>
      </c>
      <c r="S2801" s="2" t="n">
        <v>1</v>
      </c>
      <c r="T2801" s="3" t="inlineStr">
        <is>
          <t>6B/2025/5S</t>
        </is>
      </c>
      <c r="U2801" s="87" t="n">
        <v>45963</v>
      </c>
      <c r="V2801" s="3" t="inlineStr">
        <is>
          <t>32</t>
        </is>
      </c>
      <c r="W2801" s="108" t="n">
        <v>45963</v>
      </c>
      <c r="X2801" s="4" t="inlineStr">
        <is>
          <t>BIN HUMAID NATIONAL TRADING CO</t>
        </is>
      </c>
    </row>
    <row r="2802" ht="24" customHeight="1">
      <c r="A2802" s="2">
        <f>+D2802-S2802</f>
        <v/>
      </c>
      <c r="B2802" s="80" t="n">
        <v>4394</v>
      </c>
      <c r="C2802" s="66" t="n">
        <v>45946</v>
      </c>
      <c r="D2802" s="2" t="n">
        <v>1</v>
      </c>
      <c r="E2802" s="3" t="inlineStr">
        <is>
          <t>FUCILE SEMIAUTOMATICO</t>
        </is>
      </c>
      <c r="F2802" s="3" t="inlineStr">
        <is>
          <t>12</t>
        </is>
      </c>
      <c r="G2802" s="3" t="inlineStr">
        <is>
          <t>BENELLI</t>
        </is>
      </c>
      <c r="H2802" s="65" t="inlineStr">
        <is>
          <t>ETHOS SPORT AI 30''</t>
        </is>
      </c>
      <c r="I2802" s="65" t="inlineStr">
        <is>
          <t>F451900M</t>
        </is>
      </c>
      <c r="J2802" s="65" t="inlineStr">
        <is>
          <t>C1686796V</t>
        </is>
      </c>
      <c r="K2802" s="65" t="inlineStr">
        <is>
          <t>N/D</t>
        </is>
      </c>
      <c r="L2802" s="127" t="inlineStr">
        <is>
          <t>BENELLI SPA</t>
        </is>
      </c>
      <c r="M2802" s="5" t="n">
        <v>1478</v>
      </c>
      <c r="N2802" s="5" t="n"/>
      <c r="O2802" s="5">
        <f>+M2802+N2802</f>
        <v/>
      </c>
      <c r="P2802" s="4" t="n">
        <v>45932</v>
      </c>
      <c r="Q2802" s="87" t="n">
        <v>45932</v>
      </c>
      <c r="R2802" s="5" t="n">
        <v>1684.92</v>
      </c>
      <c r="S2802" s="2" t="n">
        <v>1</v>
      </c>
      <c r="T2802" s="3" t="inlineStr">
        <is>
          <t>6B/2025/5S</t>
        </is>
      </c>
      <c r="U2802" s="87" t="n">
        <v>45963</v>
      </c>
      <c r="V2802" s="3" t="inlineStr">
        <is>
          <t>32</t>
        </is>
      </c>
      <c r="W2802" s="108" t="n">
        <v>45963</v>
      </c>
      <c r="X2802" s="4" t="inlineStr">
        <is>
          <t>BIN HUMAID NATIONAL TRADING CO</t>
        </is>
      </c>
    </row>
    <row r="2803" ht="24" customHeight="1">
      <c r="A2803" s="2">
        <f>+D2803-S2803</f>
        <v/>
      </c>
      <c r="B2803" s="80" t="n">
        <v>4395</v>
      </c>
      <c r="C2803" s="66" t="n">
        <v>45946</v>
      </c>
      <c r="D2803" s="2" t="n">
        <v>1</v>
      </c>
      <c r="E2803" s="3" t="inlineStr">
        <is>
          <t>FUCILE SEMIAUTOMATICO</t>
        </is>
      </c>
      <c r="F2803" s="3" t="inlineStr">
        <is>
          <t>12</t>
        </is>
      </c>
      <c r="G2803" s="3" t="inlineStr">
        <is>
          <t>BENELLI</t>
        </is>
      </c>
      <c r="H2803" s="65" t="inlineStr">
        <is>
          <t>ETHOS SPORT AI 30''</t>
        </is>
      </c>
      <c r="I2803" s="65" t="inlineStr">
        <is>
          <t>F451902R</t>
        </is>
      </c>
      <c r="J2803" s="65" t="inlineStr">
        <is>
          <t>C1686795U</t>
        </is>
      </c>
      <c r="K2803" s="65" t="inlineStr">
        <is>
          <t>N/D</t>
        </is>
      </c>
      <c r="L2803" s="127" t="inlineStr">
        <is>
          <t>BENELLI SPA</t>
        </is>
      </c>
      <c r="M2803" s="5" t="n">
        <v>1478</v>
      </c>
      <c r="N2803" s="5" t="n"/>
      <c r="O2803" s="5">
        <f>+M2803+N2803</f>
        <v/>
      </c>
      <c r="P2803" s="4" t="n">
        <v>45932</v>
      </c>
      <c r="Q2803" s="87" t="n">
        <v>45932</v>
      </c>
      <c r="R2803" s="5" t="n">
        <v>1684.92</v>
      </c>
      <c r="S2803" s="2" t="n">
        <v>1</v>
      </c>
      <c r="T2803" s="3" t="inlineStr">
        <is>
          <t>6B/2025/5S</t>
        </is>
      </c>
      <c r="U2803" s="87" t="n">
        <v>45963</v>
      </c>
      <c r="V2803" s="3" t="inlineStr">
        <is>
          <t>32</t>
        </is>
      </c>
      <c r="W2803" s="108" t="n">
        <v>45963</v>
      </c>
      <c r="X2803" s="4" t="inlineStr">
        <is>
          <t>BIN HUMAID NATIONAL TRADING CO</t>
        </is>
      </c>
    </row>
    <row r="2804" ht="24" customHeight="1">
      <c r="A2804" s="2">
        <f>+D2804-S2804</f>
        <v/>
      </c>
      <c r="B2804" s="80" t="n">
        <v>4396</v>
      </c>
      <c r="C2804" s="66" t="n">
        <v>45946</v>
      </c>
      <c r="D2804" s="2" t="n">
        <v>1</v>
      </c>
      <c r="E2804" s="3" t="inlineStr">
        <is>
          <t>FUCILE SEMIAUTOMATICO</t>
        </is>
      </c>
      <c r="F2804" s="3" t="inlineStr">
        <is>
          <t>12</t>
        </is>
      </c>
      <c r="G2804" s="3" t="inlineStr">
        <is>
          <t>BENELLI</t>
        </is>
      </c>
      <c r="H2804" s="65" t="inlineStr">
        <is>
          <t>ETHOS SPORT AI 30''</t>
        </is>
      </c>
      <c r="I2804" s="65" t="inlineStr">
        <is>
          <t>F451901P</t>
        </is>
      </c>
      <c r="J2804" s="65" t="inlineStr">
        <is>
          <t>C1686792R</t>
        </is>
      </c>
      <c r="K2804" s="65" t="inlineStr">
        <is>
          <t>N/D</t>
        </is>
      </c>
      <c r="L2804" s="127" t="inlineStr">
        <is>
          <t>BENELLI SPA</t>
        </is>
      </c>
      <c r="M2804" s="5" t="n">
        <v>1478</v>
      </c>
      <c r="N2804" s="5" t="n"/>
      <c r="O2804" s="5">
        <f>+M2804+N2804</f>
        <v/>
      </c>
      <c r="P2804" s="4" t="n">
        <v>45932</v>
      </c>
      <c r="Q2804" s="87" t="n">
        <v>45932</v>
      </c>
      <c r="R2804" s="5" t="n">
        <v>1684.92</v>
      </c>
      <c r="S2804" s="2" t="n">
        <v>1</v>
      </c>
      <c r="T2804" s="3" t="inlineStr">
        <is>
          <t>6B/2025/5S</t>
        </is>
      </c>
      <c r="U2804" s="87" t="n">
        <v>45963</v>
      </c>
      <c r="V2804" s="3" t="inlineStr">
        <is>
          <t>32</t>
        </is>
      </c>
      <c r="W2804" s="108" t="n">
        <v>45963</v>
      </c>
      <c r="X2804" s="4" t="inlineStr">
        <is>
          <t>BIN HUMAID NATIONAL TRADING CO</t>
        </is>
      </c>
    </row>
    <row r="2805" ht="24" customHeight="1">
      <c r="A2805" s="2">
        <f>+D2805-S2805</f>
        <v/>
      </c>
      <c r="B2805" s="80" t="n">
        <v>4397</v>
      </c>
      <c r="C2805" s="66" t="n">
        <v>45946</v>
      </c>
      <c r="D2805" s="2" t="n">
        <v>1</v>
      </c>
      <c r="E2805" s="3" t="inlineStr">
        <is>
          <t>FUCILE SEMIAUTOMATICO</t>
        </is>
      </c>
      <c r="F2805" s="3" t="inlineStr">
        <is>
          <t>12</t>
        </is>
      </c>
      <c r="G2805" s="3" t="inlineStr">
        <is>
          <t>BENELLI</t>
        </is>
      </c>
      <c r="H2805" s="65" t="inlineStr">
        <is>
          <t>ETHOS SPORT AI 30''</t>
        </is>
      </c>
      <c r="I2805" s="65" t="inlineStr">
        <is>
          <t>F451904V</t>
        </is>
      </c>
      <c r="J2805" s="65" t="inlineStr">
        <is>
          <t>C1686797W</t>
        </is>
      </c>
      <c r="K2805" s="65" t="inlineStr">
        <is>
          <t>N/D</t>
        </is>
      </c>
      <c r="L2805" s="127" t="inlineStr">
        <is>
          <t>BENELLI SPA</t>
        </is>
      </c>
      <c r="M2805" s="5" t="n">
        <v>1478</v>
      </c>
      <c r="N2805" s="5" t="n"/>
      <c r="O2805" s="5">
        <f>+M2805+N2805</f>
        <v/>
      </c>
      <c r="P2805" s="4" t="n">
        <v>45932</v>
      </c>
      <c r="Q2805" s="87" t="n">
        <v>45932</v>
      </c>
      <c r="R2805" s="5" t="n">
        <v>1684.92</v>
      </c>
      <c r="S2805" s="2" t="n">
        <v>1</v>
      </c>
      <c r="T2805" s="3" t="inlineStr">
        <is>
          <t>6B/2025/5S</t>
        </is>
      </c>
      <c r="U2805" s="87" t="n">
        <v>45963</v>
      </c>
      <c r="V2805" s="3" t="inlineStr">
        <is>
          <t>32</t>
        </is>
      </c>
      <c r="W2805" s="108" t="n">
        <v>45963</v>
      </c>
      <c r="X2805" s="4" t="inlineStr">
        <is>
          <t>BIN HUMAID NATIONAL TRADING CO</t>
        </is>
      </c>
    </row>
    <row r="2806" ht="24" customHeight="1">
      <c r="A2806" s="2">
        <f>+D2806-S2806</f>
        <v/>
      </c>
      <c r="B2806" s="80" t="n">
        <v>4398</v>
      </c>
      <c r="C2806" s="66" t="n">
        <v>45946</v>
      </c>
      <c r="D2806" s="2" t="n">
        <v>1</v>
      </c>
      <c r="E2806" s="3" t="inlineStr">
        <is>
          <t>FUCILE SEMIAUTOMATICO</t>
        </is>
      </c>
      <c r="F2806" s="3" t="inlineStr">
        <is>
          <t>12</t>
        </is>
      </c>
      <c r="G2806" s="3" t="inlineStr">
        <is>
          <t>BENELLI</t>
        </is>
      </c>
      <c r="H2806" s="65" t="inlineStr">
        <is>
          <t>RAFFAELLO LIMITED EDITION 2025 30''</t>
        </is>
      </c>
      <c r="I2806" s="65" t="inlineStr">
        <is>
          <t>F454445U</t>
        </is>
      </c>
      <c r="J2806" s="65" t="inlineStr">
        <is>
          <t>C1692863D</t>
        </is>
      </c>
      <c r="K2806" s="65" t="inlineStr">
        <is>
          <t>N/D</t>
        </is>
      </c>
      <c r="L2806" s="127" t="inlineStr">
        <is>
          <t>BENELLI SPA</t>
        </is>
      </c>
      <c r="M2806" s="5" t="n">
        <v>2112</v>
      </c>
      <c r="N2806" s="5" t="n"/>
      <c r="O2806" s="5">
        <f>+M2806+N2806</f>
        <v/>
      </c>
      <c r="P2806" s="4" t="n">
        <v>45932</v>
      </c>
      <c r="Q2806" s="87" t="n">
        <v>45932</v>
      </c>
      <c r="R2806" s="5" t="n">
        <v>2428</v>
      </c>
      <c r="S2806" s="2" t="n">
        <v>1</v>
      </c>
      <c r="T2806" s="3" t="inlineStr">
        <is>
          <t>6B/2025/5S</t>
        </is>
      </c>
      <c r="U2806" s="87" t="n">
        <v>45963</v>
      </c>
      <c r="V2806" s="3" t="inlineStr">
        <is>
          <t>32</t>
        </is>
      </c>
      <c r="W2806" s="108" t="n">
        <v>45963</v>
      </c>
      <c r="X2806" s="4" t="inlineStr">
        <is>
          <t>BIN HUMAID NATIONAL TRADING CO</t>
        </is>
      </c>
    </row>
    <row r="2807" ht="24" customHeight="1">
      <c r="A2807" s="2">
        <f>+D2807-S2807</f>
        <v/>
      </c>
      <c r="B2807" s="80" t="n">
        <v>4399</v>
      </c>
      <c r="C2807" s="66" t="n">
        <v>45946</v>
      </c>
      <c r="D2807" s="2" t="n">
        <v>1</v>
      </c>
      <c r="E2807" s="3" t="inlineStr">
        <is>
          <t>FUCILE SEMIAUTOMATICO</t>
        </is>
      </c>
      <c r="F2807" s="3" t="inlineStr">
        <is>
          <t>12</t>
        </is>
      </c>
      <c r="G2807" s="3" t="inlineStr">
        <is>
          <t>BENELLI</t>
        </is>
      </c>
      <c r="H2807" s="65" t="inlineStr">
        <is>
          <t>RAFFAELLO LIMITED EDITION 2025 30''</t>
        </is>
      </c>
      <c r="I2807" s="65" t="inlineStr">
        <is>
          <t>F454447Y</t>
        </is>
      </c>
      <c r="J2807" s="65" t="inlineStr">
        <is>
          <t>C1692814T</t>
        </is>
      </c>
      <c r="K2807" s="65" t="inlineStr">
        <is>
          <t>N/D</t>
        </is>
      </c>
      <c r="L2807" s="127" t="inlineStr">
        <is>
          <t>BENELLI SPA</t>
        </is>
      </c>
      <c r="M2807" s="5" t="n">
        <v>2112</v>
      </c>
      <c r="N2807" s="5" t="n"/>
      <c r="O2807" s="5">
        <f>+M2807+N2807</f>
        <v/>
      </c>
      <c r="P2807" s="4" t="n">
        <v>45932</v>
      </c>
      <c r="Q2807" s="87" t="n">
        <v>45932</v>
      </c>
      <c r="R2807" s="5" t="n">
        <v>2428</v>
      </c>
      <c r="S2807" s="2" t="n">
        <v>1</v>
      </c>
      <c r="T2807" s="3" t="inlineStr">
        <is>
          <t>6B/2025/5S</t>
        </is>
      </c>
      <c r="U2807" s="87" t="n">
        <v>45963</v>
      </c>
      <c r="V2807" s="3" t="inlineStr">
        <is>
          <t>32</t>
        </is>
      </c>
      <c r="W2807" s="108" t="n">
        <v>45963</v>
      </c>
      <c r="X2807" s="4" t="inlineStr">
        <is>
          <t>BIN HUMAID NATIONAL TRADING CO</t>
        </is>
      </c>
    </row>
    <row r="2808" ht="24" customHeight="1">
      <c r="A2808" s="2">
        <f>+D2808-S2808</f>
        <v/>
      </c>
      <c r="B2808" s="80" t="n">
        <v>4400</v>
      </c>
      <c r="C2808" s="66" t="n">
        <v>45946</v>
      </c>
      <c r="D2808" s="2" t="n">
        <v>1</v>
      </c>
      <c r="E2808" s="3" t="inlineStr">
        <is>
          <t>FUCILE SEMIAUTOMATICO</t>
        </is>
      </c>
      <c r="F2808" s="3" t="inlineStr">
        <is>
          <t>12</t>
        </is>
      </c>
      <c r="G2808" s="3" t="inlineStr">
        <is>
          <t>BENELLI</t>
        </is>
      </c>
      <c r="H2808" s="65" t="inlineStr">
        <is>
          <t>RAFFAELLO LIMITED EDITION 2025 30''</t>
        </is>
      </c>
      <c r="I2808" s="65" t="inlineStr">
        <is>
          <t>F454417V</t>
        </is>
      </c>
      <c r="J2808" s="65" t="inlineStr">
        <is>
          <t>C1692813S</t>
        </is>
      </c>
      <c r="K2808" s="65" t="inlineStr">
        <is>
          <t>N/D</t>
        </is>
      </c>
      <c r="L2808" s="127" t="inlineStr">
        <is>
          <t>BENELLI SPA</t>
        </is>
      </c>
      <c r="M2808" s="5" t="n">
        <v>2112</v>
      </c>
      <c r="N2808" s="5" t="n"/>
      <c r="O2808" s="5">
        <f>+M2808+N2808</f>
        <v/>
      </c>
      <c r="P2808" s="4" t="n">
        <v>45932</v>
      </c>
      <c r="Q2808" s="87" t="n">
        <v>45932</v>
      </c>
      <c r="R2808" s="5" t="n">
        <v>2428</v>
      </c>
      <c r="S2808" s="2" t="n">
        <v>1</v>
      </c>
      <c r="T2808" s="3" t="inlineStr">
        <is>
          <t>6B/2025/5S</t>
        </is>
      </c>
      <c r="U2808" s="87" t="n">
        <v>45963</v>
      </c>
      <c r="V2808" s="3" t="inlineStr">
        <is>
          <t>32</t>
        </is>
      </c>
      <c r="W2808" s="108" t="n">
        <v>45963</v>
      </c>
      <c r="X2808" s="4" t="inlineStr">
        <is>
          <t>BIN HUMAID NATIONAL TRADING CO</t>
        </is>
      </c>
    </row>
    <row r="2809" ht="24" customHeight="1">
      <c r="A2809" s="2">
        <f>+D2809-S2809</f>
        <v/>
      </c>
      <c r="B2809" s="80" t="n">
        <v>4401</v>
      </c>
      <c r="C2809" s="66" t="n">
        <v>45946</v>
      </c>
      <c r="D2809" s="2" t="n">
        <v>1</v>
      </c>
      <c r="E2809" s="3" t="inlineStr">
        <is>
          <t>FUCILE SEMIAUTOMATICO</t>
        </is>
      </c>
      <c r="F2809" s="3" t="inlineStr">
        <is>
          <t>12</t>
        </is>
      </c>
      <c r="G2809" s="3" t="inlineStr">
        <is>
          <t>BENELLI</t>
        </is>
      </c>
      <c r="H2809" s="65" t="inlineStr">
        <is>
          <t>RAFFAELLO LIMITED EDITION 2025 30''</t>
        </is>
      </c>
      <c r="I2809" s="65" t="inlineStr">
        <is>
          <t>F454396Z</t>
        </is>
      </c>
      <c r="J2809" s="65" t="inlineStr">
        <is>
          <t>C1692811Q</t>
        </is>
      </c>
      <c r="K2809" s="65" t="inlineStr">
        <is>
          <t>N/D</t>
        </is>
      </c>
      <c r="L2809" s="127" t="inlineStr">
        <is>
          <t>BENELLI SPA</t>
        </is>
      </c>
      <c r="M2809" s="5" t="n">
        <v>2112</v>
      </c>
      <c r="N2809" s="5" t="n"/>
      <c r="O2809" s="5">
        <f>+M2809+N2809</f>
        <v/>
      </c>
      <c r="P2809" s="4" t="n">
        <v>45932</v>
      </c>
      <c r="Q2809" s="87" t="n">
        <v>45932</v>
      </c>
      <c r="R2809" s="5" t="n">
        <v>2428</v>
      </c>
      <c r="S2809" s="2" t="n">
        <v>1</v>
      </c>
      <c r="T2809" s="3" t="inlineStr">
        <is>
          <t>6B/2025/5S</t>
        </is>
      </c>
      <c r="U2809" s="87" t="n">
        <v>45963</v>
      </c>
      <c r="V2809" s="3" t="inlineStr">
        <is>
          <t>32</t>
        </is>
      </c>
      <c r="W2809" s="108" t="n">
        <v>45963</v>
      </c>
      <c r="X2809" s="4" t="inlineStr">
        <is>
          <t>BIN HUMAID NATIONAL TRADING CO</t>
        </is>
      </c>
    </row>
    <row r="2810" ht="24" customHeight="1">
      <c r="A2810" s="2">
        <f>+D2810-S2810</f>
        <v/>
      </c>
      <c r="B2810" s="80" t="n">
        <v>4402</v>
      </c>
      <c r="C2810" s="66" t="n">
        <v>45946</v>
      </c>
      <c r="D2810" s="2" t="n">
        <v>1</v>
      </c>
      <c r="E2810" s="3" t="inlineStr">
        <is>
          <t>FUCILE SEMIAUTOMATICO</t>
        </is>
      </c>
      <c r="F2810" s="3" t="inlineStr">
        <is>
          <t>12</t>
        </is>
      </c>
      <c r="G2810" s="3" t="inlineStr">
        <is>
          <t>BENELLI</t>
        </is>
      </c>
      <c r="H2810" s="65" t="inlineStr">
        <is>
          <t>SBE3 BE­S.T. 30"</t>
        </is>
      </c>
      <c r="I2810" s="65" t="inlineStr">
        <is>
          <t>U784126X</t>
        </is>
      </c>
      <c r="J2810" s="65" t="inlineStr">
        <is>
          <t>S822874Y</t>
        </is>
      </c>
      <c r="K2810" s="65" t="inlineStr">
        <is>
          <t>N/D</t>
        </is>
      </c>
      <c r="L2810" s="127" t="inlineStr">
        <is>
          <t>BENELLI SPA</t>
        </is>
      </c>
      <c r="M2810" s="5" t="n">
        <v>1334</v>
      </c>
      <c r="N2810" s="5" t="n"/>
      <c r="O2810" s="5">
        <f>+M2810+N2810</f>
        <v/>
      </c>
      <c r="P2810" s="4" t="n">
        <v>45932</v>
      </c>
      <c r="Q2810" s="87" t="n">
        <v>45932</v>
      </c>
      <c r="R2810" s="5" t="n">
        <v>1520.76</v>
      </c>
      <c r="S2810" s="2" t="n">
        <v>1</v>
      </c>
      <c r="T2810" s="3" t="inlineStr">
        <is>
          <t>6B/2025/5S</t>
        </is>
      </c>
      <c r="U2810" s="87" t="n">
        <v>45963</v>
      </c>
      <c r="V2810" s="3" t="inlineStr">
        <is>
          <t>32</t>
        </is>
      </c>
      <c r="W2810" s="108" t="n">
        <v>45963</v>
      </c>
      <c r="X2810" s="4" t="inlineStr">
        <is>
          <t>BIN HUMAID NATIONAL TRADING CO</t>
        </is>
      </c>
    </row>
    <row r="2811" ht="24" customHeight="1">
      <c r="A2811" s="2">
        <f>+D2811-S2811</f>
        <v/>
      </c>
      <c r="B2811" s="80" t="n">
        <v>4403</v>
      </c>
      <c r="C2811" s="66" t="n">
        <v>45946</v>
      </c>
      <c r="D2811" s="2" t="n">
        <v>1</v>
      </c>
      <c r="E2811" s="3" t="inlineStr">
        <is>
          <t>FUCILE SEMIAUTOMATICO</t>
        </is>
      </c>
      <c r="F2811" s="3" t="inlineStr">
        <is>
          <t>12</t>
        </is>
      </c>
      <c r="G2811" s="3" t="inlineStr">
        <is>
          <t>BENELLI</t>
        </is>
      </c>
      <c r="H2811" s="65" t="inlineStr">
        <is>
          <t>SBE3 BE­S.T. 30"</t>
        </is>
      </c>
      <c r="I2811" s="65" t="inlineStr">
        <is>
          <t>U784110H</t>
        </is>
      </c>
      <c r="J2811" s="65" t="inlineStr">
        <is>
          <t>S822870Q</t>
        </is>
      </c>
      <c r="K2811" s="65" t="inlineStr">
        <is>
          <t>N/D</t>
        </is>
      </c>
      <c r="L2811" s="127" t="inlineStr">
        <is>
          <t>BENELLI SPA</t>
        </is>
      </c>
      <c r="M2811" s="5" t="n">
        <v>1334</v>
      </c>
      <c r="N2811" s="5" t="n"/>
      <c r="O2811" s="5">
        <f>+M2811+N2811</f>
        <v/>
      </c>
      <c r="P2811" s="4" t="n">
        <v>45932</v>
      </c>
      <c r="Q2811" s="87" t="n">
        <v>45932</v>
      </c>
      <c r="R2811" s="5" t="n">
        <v>1520.76</v>
      </c>
      <c r="S2811" s="2" t="n">
        <v>1</v>
      </c>
      <c r="T2811" s="3" t="inlineStr">
        <is>
          <t>6B/2025/5S</t>
        </is>
      </c>
      <c r="U2811" s="87" t="n">
        <v>45963</v>
      </c>
      <c r="V2811" s="3" t="inlineStr">
        <is>
          <t>32</t>
        </is>
      </c>
      <c r="W2811" s="108" t="n">
        <v>45963</v>
      </c>
      <c r="X2811" s="4" t="inlineStr">
        <is>
          <t>BIN HUMAID NATIONAL TRADING CO</t>
        </is>
      </c>
    </row>
    <row r="2812" ht="24" customHeight="1">
      <c r="A2812" s="2">
        <f>+D2812-S2812</f>
        <v/>
      </c>
      <c r="B2812" s="80" t="n">
        <v>4404</v>
      </c>
      <c r="C2812" s="66" t="n">
        <v>45946</v>
      </c>
      <c r="D2812" s="2" t="n">
        <v>1</v>
      </c>
      <c r="E2812" s="3" t="inlineStr">
        <is>
          <t>FUCILE SEMIAUTOMATICO</t>
        </is>
      </c>
      <c r="F2812" s="3" t="inlineStr">
        <is>
          <t>12</t>
        </is>
      </c>
      <c r="G2812" s="3" t="inlineStr">
        <is>
          <t>BENELLI</t>
        </is>
      </c>
      <c r="H2812" s="65" t="inlineStr">
        <is>
          <t>SBE3 BE­S.T. 30"</t>
        </is>
      </c>
      <c r="I2812" s="65" t="inlineStr">
        <is>
          <t>U784111K</t>
        </is>
      </c>
      <c r="J2812" s="65" t="inlineStr">
        <is>
          <t>S822861R</t>
        </is>
      </c>
      <c r="K2812" s="65" t="inlineStr">
        <is>
          <t>N/D</t>
        </is>
      </c>
      <c r="L2812" s="127" t="inlineStr">
        <is>
          <t>BENELLI SPA</t>
        </is>
      </c>
      <c r="M2812" s="5" t="n">
        <v>1334</v>
      </c>
      <c r="N2812" s="5" t="n"/>
      <c r="O2812" s="5">
        <f>+M2812+N2812</f>
        <v/>
      </c>
      <c r="P2812" s="4" t="n">
        <v>45932</v>
      </c>
      <c r="Q2812" s="87" t="n">
        <v>45932</v>
      </c>
      <c r="R2812" s="5" t="n">
        <v>1520.76</v>
      </c>
      <c r="S2812" s="2" t="n">
        <v>1</v>
      </c>
      <c r="T2812" s="3" t="inlineStr">
        <is>
          <t>6B/2025/5S</t>
        </is>
      </c>
      <c r="U2812" s="87" t="n">
        <v>45963</v>
      </c>
      <c r="V2812" s="3" t="inlineStr">
        <is>
          <t>32</t>
        </is>
      </c>
      <c r="W2812" s="108" t="n">
        <v>45963</v>
      </c>
      <c r="X2812" s="4" t="inlineStr">
        <is>
          <t>BIN HUMAID NATIONAL TRADING CO</t>
        </is>
      </c>
    </row>
    <row r="2813" ht="24" customHeight="1">
      <c r="A2813" s="2">
        <f>+D2813-S2813</f>
        <v/>
      </c>
      <c r="B2813" s="80" t="n">
        <v>4405</v>
      </c>
      <c r="C2813" s="66" t="n">
        <v>45946</v>
      </c>
      <c r="D2813" s="2" t="n">
        <v>1</v>
      </c>
      <c r="E2813" s="3" t="inlineStr">
        <is>
          <t>FUCILE SEMIAUTOMATICO</t>
        </is>
      </c>
      <c r="F2813" s="3" t="inlineStr">
        <is>
          <t>12</t>
        </is>
      </c>
      <c r="G2813" s="3" t="inlineStr">
        <is>
          <t>BENELLI</t>
        </is>
      </c>
      <c r="H2813" s="65" t="inlineStr">
        <is>
          <t>SBE3 BE­S.T. 30"</t>
        </is>
      </c>
      <c r="I2813" s="65" t="inlineStr">
        <is>
          <t>U784112M</t>
        </is>
      </c>
      <c r="J2813" s="65" t="inlineStr">
        <is>
          <t>S822867E</t>
        </is>
      </c>
      <c r="K2813" s="65" t="inlineStr">
        <is>
          <t>N/D</t>
        </is>
      </c>
      <c r="L2813" s="127" t="inlineStr">
        <is>
          <t>BENELLI SPA</t>
        </is>
      </c>
      <c r="M2813" s="5" t="n">
        <v>1334</v>
      </c>
      <c r="N2813" s="5" t="n"/>
      <c r="O2813" s="5">
        <f>+M2813+N2813</f>
        <v/>
      </c>
      <c r="P2813" s="4" t="n">
        <v>45932</v>
      </c>
      <c r="Q2813" s="87" t="n">
        <v>45932</v>
      </c>
      <c r="R2813" s="5" t="n">
        <v>1520.76</v>
      </c>
      <c r="S2813" s="2" t="n">
        <v>1</v>
      </c>
      <c r="T2813" s="3" t="inlineStr">
        <is>
          <t>6B/2025/5S</t>
        </is>
      </c>
      <c r="U2813" s="87" t="n">
        <v>45963</v>
      </c>
      <c r="V2813" s="3" t="inlineStr">
        <is>
          <t>32</t>
        </is>
      </c>
      <c r="W2813" s="108" t="n">
        <v>45963</v>
      </c>
      <c r="X2813" s="4" t="inlineStr">
        <is>
          <t>BIN HUMAID NATIONAL TRADING CO</t>
        </is>
      </c>
    </row>
    <row r="2814" ht="24" customHeight="1">
      <c r="A2814" s="2">
        <f>+D2814-S2814</f>
        <v/>
      </c>
      <c r="B2814" s="80" t="n">
        <v>4406</v>
      </c>
      <c r="C2814" s="66" t="n">
        <v>45946</v>
      </c>
      <c r="D2814" s="2" t="n">
        <v>1</v>
      </c>
      <c r="E2814" s="3" t="inlineStr">
        <is>
          <t>FUCILE SEMIAUTOMATICO</t>
        </is>
      </c>
      <c r="F2814" s="3" t="inlineStr">
        <is>
          <t>12</t>
        </is>
      </c>
      <c r="G2814" s="3" t="inlineStr">
        <is>
          <t>BENELLI</t>
        </is>
      </c>
      <c r="H2814" s="65" t="inlineStr">
        <is>
          <t>SBE3 BE­S.T. 30"</t>
        </is>
      </c>
      <c r="I2814" s="65" t="inlineStr">
        <is>
          <t>U784113P</t>
        </is>
      </c>
      <c r="J2814" s="65" t="inlineStr">
        <is>
          <t>S822860P</t>
        </is>
      </c>
      <c r="K2814" s="65" t="inlineStr">
        <is>
          <t>N/D</t>
        </is>
      </c>
      <c r="L2814" s="127" t="inlineStr">
        <is>
          <t>BENELLI SPA</t>
        </is>
      </c>
      <c r="M2814" s="5" t="n">
        <v>1334</v>
      </c>
      <c r="N2814" s="5" t="n"/>
      <c r="O2814" s="5">
        <f>+M2814+N2814</f>
        <v/>
      </c>
      <c r="P2814" s="4" t="n">
        <v>45932</v>
      </c>
      <c r="Q2814" s="87" t="n">
        <v>45932</v>
      </c>
      <c r="R2814" s="5" t="n">
        <v>1520.76</v>
      </c>
      <c r="S2814" s="2" t="n">
        <v>1</v>
      </c>
      <c r="T2814" s="3" t="inlineStr">
        <is>
          <t>6B/2025/5S</t>
        </is>
      </c>
      <c r="U2814" s="87" t="n">
        <v>45963</v>
      </c>
      <c r="V2814" s="3" t="inlineStr">
        <is>
          <t>32</t>
        </is>
      </c>
      <c r="W2814" s="108" t="n">
        <v>45963</v>
      </c>
      <c r="X2814" s="4" t="inlineStr">
        <is>
          <t>BIN HUMAID NATIONAL TRADING CO</t>
        </is>
      </c>
    </row>
    <row r="2815" ht="24" customHeight="1">
      <c r="A2815" s="2">
        <f>+D2815-S2815</f>
        <v/>
      </c>
      <c r="B2815" s="80" t="n">
        <v>4407</v>
      </c>
      <c r="C2815" s="66" t="n">
        <v>45946</v>
      </c>
      <c r="D2815" s="2" t="n">
        <v>1</v>
      </c>
      <c r="E2815" s="3" t="inlineStr">
        <is>
          <t>FUCILE SEMIAUTOMATICO</t>
        </is>
      </c>
      <c r="F2815" s="3" t="inlineStr">
        <is>
          <t>12</t>
        </is>
      </c>
      <c r="G2815" s="3" t="inlineStr">
        <is>
          <t>BENELLI</t>
        </is>
      </c>
      <c r="H2815" s="65" t="inlineStr">
        <is>
          <t>SBE3 BE­S.T. 30"</t>
        </is>
      </c>
      <c r="I2815" s="65" t="inlineStr">
        <is>
          <t>U784114R</t>
        </is>
      </c>
      <c r="J2815" s="65" t="inlineStr">
        <is>
          <t>S822866C</t>
        </is>
      </c>
      <c r="K2815" s="65" t="inlineStr">
        <is>
          <t>N/D</t>
        </is>
      </c>
      <c r="L2815" s="127" t="inlineStr">
        <is>
          <t>BENELLI SPA</t>
        </is>
      </c>
      <c r="M2815" s="5" t="n">
        <v>1334</v>
      </c>
      <c r="N2815" s="5" t="n"/>
      <c r="O2815" s="5">
        <f>+M2815+N2815</f>
        <v/>
      </c>
      <c r="P2815" s="4" t="n">
        <v>45932</v>
      </c>
      <c r="Q2815" s="87" t="n">
        <v>45932</v>
      </c>
      <c r="R2815" s="5" t="n">
        <v>1520.76</v>
      </c>
      <c r="S2815" s="2" t="n">
        <v>1</v>
      </c>
      <c r="T2815" s="3" t="inlineStr">
        <is>
          <t>6B/2025/5S</t>
        </is>
      </c>
      <c r="U2815" s="87" t="n">
        <v>45963</v>
      </c>
      <c r="V2815" s="3" t="inlineStr">
        <is>
          <t>32</t>
        </is>
      </c>
      <c r="W2815" s="108" t="n">
        <v>45963</v>
      </c>
      <c r="X2815" s="4" t="inlineStr">
        <is>
          <t>BIN HUMAID NATIONAL TRADING CO</t>
        </is>
      </c>
    </row>
    <row r="2816" ht="24" customHeight="1">
      <c r="A2816" s="2">
        <f>+D2816-S2816</f>
        <v/>
      </c>
      <c r="B2816" s="80" t="n">
        <v>4408</v>
      </c>
      <c r="C2816" s="66" t="n">
        <v>45946</v>
      </c>
      <c r="D2816" s="2" t="n">
        <v>1</v>
      </c>
      <c r="E2816" s="3" t="inlineStr">
        <is>
          <t>FUCILE SEMIAUTOMATICO</t>
        </is>
      </c>
      <c r="F2816" s="3" t="inlineStr">
        <is>
          <t>12</t>
        </is>
      </c>
      <c r="G2816" s="3" t="inlineStr">
        <is>
          <t>BENELLI</t>
        </is>
      </c>
      <c r="H2816" s="65" t="inlineStr">
        <is>
          <t>SBE3 BE­S.T. 30"</t>
        </is>
      </c>
      <c r="I2816" s="65" t="inlineStr">
        <is>
          <t>U784120J</t>
        </is>
      </c>
      <c r="J2816" s="65" t="inlineStr">
        <is>
          <t>S822827A</t>
        </is>
      </c>
      <c r="K2816" s="65" t="inlineStr">
        <is>
          <t>N/D</t>
        </is>
      </c>
      <c r="L2816" s="127" t="inlineStr">
        <is>
          <t>BENELLI SPA</t>
        </is>
      </c>
      <c r="M2816" s="5" t="n">
        <v>1334</v>
      </c>
      <c r="N2816" s="5" t="n"/>
      <c r="O2816" s="5">
        <f>+M2816+N2816</f>
        <v/>
      </c>
      <c r="P2816" s="4" t="n">
        <v>45932</v>
      </c>
      <c r="Q2816" s="87" t="n">
        <v>45932</v>
      </c>
      <c r="R2816" s="5" t="n">
        <v>1520.76</v>
      </c>
      <c r="S2816" s="2" t="n">
        <v>1</v>
      </c>
      <c r="T2816" s="3" t="inlineStr">
        <is>
          <t>6B/2025/5S</t>
        </is>
      </c>
      <c r="U2816" s="87" t="n">
        <v>45963</v>
      </c>
      <c r="V2816" s="3" t="inlineStr">
        <is>
          <t>32</t>
        </is>
      </c>
      <c r="W2816" s="108" t="n">
        <v>45963</v>
      </c>
      <c r="X2816" s="4" t="inlineStr">
        <is>
          <t>BIN HUMAID NATIONAL TRADING CO</t>
        </is>
      </c>
    </row>
    <row r="2817" ht="24" customHeight="1">
      <c r="A2817" s="2">
        <f>+D2817-S2817</f>
        <v/>
      </c>
      <c r="B2817" s="80" t="n">
        <v>4409</v>
      </c>
      <c r="C2817" s="66" t="n">
        <v>45946</v>
      </c>
      <c r="D2817" s="2" t="n">
        <v>1</v>
      </c>
      <c r="E2817" s="3" t="inlineStr">
        <is>
          <t>FUCILE SEMIAUTOMATICO</t>
        </is>
      </c>
      <c r="F2817" s="3" t="inlineStr">
        <is>
          <t>12</t>
        </is>
      </c>
      <c r="G2817" s="3" t="inlineStr">
        <is>
          <t>BENELLI</t>
        </is>
      </c>
      <c r="H2817" s="65" t="inlineStr">
        <is>
          <t>SBE3 BE­S.T. 30"</t>
        </is>
      </c>
      <c r="I2817" s="65" t="inlineStr">
        <is>
          <t>U784121L</t>
        </is>
      </c>
      <c r="J2817" s="65" t="inlineStr">
        <is>
          <t>S822844V</t>
        </is>
      </c>
      <c r="K2817" s="65" t="inlineStr">
        <is>
          <t>N/D</t>
        </is>
      </c>
      <c r="L2817" s="127" t="inlineStr">
        <is>
          <t>BENELLI SPA</t>
        </is>
      </c>
      <c r="M2817" s="5" t="n">
        <v>1334</v>
      </c>
      <c r="N2817" s="5" t="n"/>
      <c r="O2817" s="5">
        <f>+M2817+N2817</f>
        <v/>
      </c>
      <c r="P2817" s="4" t="n">
        <v>45932</v>
      </c>
      <c r="Q2817" s="87" t="n">
        <v>45932</v>
      </c>
      <c r="R2817" s="5" t="n">
        <v>1520.76</v>
      </c>
      <c r="S2817" s="2" t="n">
        <v>1</v>
      </c>
      <c r="T2817" s="3" t="inlineStr">
        <is>
          <t>6B/2025/5S</t>
        </is>
      </c>
      <c r="U2817" s="87" t="n">
        <v>45963</v>
      </c>
      <c r="V2817" s="3" t="inlineStr">
        <is>
          <t>32</t>
        </is>
      </c>
      <c r="W2817" s="108" t="n">
        <v>45963</v>
      </c>
      <c r="X2817" s="4" t="inlineStr">
        <is>
          <t>BIN HUMAID NATIONAL TRADING CO</t>
        </is>
      </c>
    </row>
    <row r="2818" ht="24" customHeight="1">
      <c r="A2818" s="2">
        <f>+D2818-S2818</f>
        <v/>
      </c>
      <c r="B2818" s="80" t="n">
        <v>4410</v>
      </c>
      <c r="C2818" s="66" t="n">
        <v>45946</v>
      </c>
      <c r="D2818" s="2" t="n">
        <v>1</v>
      </c>
      <c r="E2818" s="3" t="inlineStr">
        <is>
          <t>FUCILE SEMIAUTOMATICO</t>
        </is>
      </c>
      <c r="F2818" s="3" t="inlineStr">
        <is>
          <t>12</t>
        </is>
      </c>
      <c r="G2818" s="3" t="inlineStr">
        <is>
          <t>BENELLI</t>
        </is>
      </c>
      <c r="H2818" s="65" t="inlineStr">
        <is>
          <t>BLACK EAGLE 30"</t>
        </is>
      </c>
      <c r="I2818" s="65" t="inlineStr">
        <is>
          <t>F451669G</t>
        </is>
      </c>
      <c r="J2818" s="65" t="inlineStr">
        <is>
          <t>C1686284L</t>
        </is>
      </c>
      <c r="K2818" s="65" t="inlineStr">
        <is>
          <t>N/D</t>
        </is>
      </c>
      <c r="L2818" s="127" t="inlineStr">
        <is>
          <t>BENELLI SPA</t>
        </is>
      </c>
      <c r="M2818" s="5" t="n">
        <v>1104</v>
      </c>
      <c r="N2818" s="5" t="n"/>
      <c r="O2818" s="5">
        <f>+M2818+N2818</f>
        <v/>
      </c>
      <c r="P2818" s="4" t="n">
        <v>45932</v>
      </c>
      <c r="Q2818" s="87" t="n">
        <v>45932</v>
      </c>
      <c r="R2818" s="5" t="n">
        <v>1862.76</v>
      </c>
      <c r="S2818" s="2" t="n">
        <v>1</v>
      </c>
      <c r="T2818" s="3" t="inlineStr">
        <is>
          <t>6B/2025/5S</t>
        </is>
      </c>
      <c r="U2818" s="87" t="n">
        <v>45963</v>
      </c>
      <c r="V2818" s="3" t="inlineStr">
        <is>
          <t>32</t>
        </is>
      </c>
      <c r="W2818" s="108" t="n">
        <v>45963</v>
      </c>
      <c r="X2818" s="4" t="inlineStr">
        <is>
          <t>BIN HUMAID NATIONAL TRADING CO</t>
        </is>
      </c>
    </row>
    <row r="2819" ht="24" customHeight="1">
      <c r="A2819" s="2">
        <f>+D2819-S2819</f>
        <v/>
      </c>
      <c r="B2819" s="80" t="n">
        <v>4411</v>
      </c>
      <c r="C2819" s="66" t="n">
        <v>45946</v>
      </c>
      <c r="D2819" s="2" t="n">
        <v>1</v>
      </c>
      <c r="E2819" s="3" t="inlineStr">
        <is>
          <t>FUCILE SEMIAUTOMATICO</t>
        </is>
      </c>
      <c r="F2819" s="3" t="inlineStr">
        <is>
          <t>12</t>
        </is>
      </c>
      <c r="G2819" s="3" t="inlineStr">
        <is>
          <t>BENELLI</t>
        </is>
      </c>
      <c r="H2819" s="65" t="inlineStr">
        <is>
          <t>BLACK EAGLE 30"</t>
        </is>
      </c>
      <c r="I2819" s="65" t="inlineStr">
        <is>
          <t>F451661P</t>
        </is>
      </c>
      <c r="J2819" s="65" t="inlineStr">
        <is>
          <t>C1686277M</t>
        </is>
      </c>
      <c r="K2819" s="65" t="inlineStr">
        <is>
          <t>N/D</t>
        </is>
      </c>
      <c r="L2819" s="127" t="inlineStr">
        <is>
          <t>BENELLI SPA</t>
        </is>
      </c>
      <c r="M2819" s="5" t="n">
        <v>1104</v>
      </c>
      <c r="N2819" s="5" t="n"/>
      <c r="O2819" s="5">
        <f>+M2819+N2819</f>
        <v/>
      </c>
      <c r="P2819" s="4" t="n">
        <v>45932</v>
      </c>
      <c r="Q2819" s="87" t="n">
        <v>45932</v>
      </c>
      <c r="R2819" s="5" t="n">
        <v>1862.76</v>
      </c>
      <c r="S2819" s="2" t="n">
        <v>1</v>
      </c>
      <c r="T2819" s="3" t="inlineStr">
        <is>
          <t>6B/2025/5S</t>
        </is>
      </c>
      <c r="U2819" s="87" t="n">
        <v>45963</v>
      </c>
      <c r="V2819" s="3" t="inlineStr">
        <is>
          <t>32</t>
        </is>
      </c>
      <c r="W2819" s="108" t="n">
        <v>45963</v>
      </c>
      <c r="X2819" s="4" t="inlineStr">
        <is>
          <t>BIN HUMAID NATIONAL TRADING CO</t>
        </is>
      </c>
    </row>
    <row r="2820" ht="24" customHeight="1">
      <c r="A2820" s="2">
        <f>+D2820-S2820</f>
        <v/>
      </c>
      <c r="B2820" s="80" t="n">
        <v>4412</v>
      </c>
      <c r="C2820" s="66" t="n">
        <v>45946</v>
      </c>
      <c r="D2820" s="2" t="n">
        <v>1</v>
      </c>
      <c r="E2820" s="3" t="inlineStr">
        <is>
          <t>FUCILE SEMIAUTOMATICO</t>
        </is>
      </c>
      <c r="F2820" s="3" t="inlineStr">
        <is>
          <t>12</t>
        </is>
      </c>
      <c r="G2820" s="3" t="inlineStr">
        <is>
          <t>BENELLI</t>
        </is>
      </c>
      <c r="H2820" s="65" t="inlineStr">
        <is>
          <t>BLACK EAGLE 30"</t>
        </is>
      </c>
      <c r="I2820" s="65" t="inlineStr">
        <is>
          <t>F451663T</t>
        </is>
      </c>
      <c r="J2820" s="65" t="inlineStr">
        <is>
          <t>C1686285M</t>
        </is>
      </c>
      <c r="K2820" s="65" t="inlineStr">
        <is>
          <t>N/D</t>
        </is>
      </c>
      <c r="L2820" s="127" t="inlineStr">
        <is>
          <t>BENELLI SPA</t>
        </is>
      </c>
      <c r="M2820" s="5" t="n">
        <v>1104</v>
      </c>
      <c r="N2820" s="5" t="n"/>
      <c r="O2820" s="5">
        <f>+M2820+N2820</f>
        <v/>
      </c>
      <c r="P2820" s="4" t="n">
        <v>45932</v>
      </c>
      <c r="Q2820" s="87" t="n">
        <v>45932</v>
      </c>
      <c r="R2820" s="5" t="n">
        <v>1862.76</v>
      </c>
      <c r="S2820" s="2" t="n">
        <v>1</v>
      </c>
      <c r="T2820" s="3" t="inlineStr">
        <is>
          <t>6B/2025/5S</t>
        </is>
      </c>
      <c r="U2820" s="87" t="n">
        <v>45963</v>
      </c>
      <c r="V2820" s="3" t="inlineStr">
        <is>
          <t>32</t>
        </is>
      </c>
      <c r="W2820" s="108" t="n">
        <v>45963</v>
      </c>
      <c r="X2820" s="4" t="inlineStr">
        <is>
          <t>BIN HUMAID NATIONAL TRADING CO</t>
        </is>
      </c>
    </row>
    <row r="2821" ht="24" customHeight="1">
      <c r="A2821" s="2">
        <f>+D2821-S2821</f>
        <v/>
      </c>
      <c r="B2821" s="80" t="n">
        <v>4413</v>
      </c>
      <c r="C2821" s="66" t="n">
        <v>45946</v>
      </c>
      <c r="D2821" s="2" t="n">
        <v>1</v>
      </c>
      <c r="E2821" s="3" t="inlineStr">
        <is>
          <t>FUCILE SEMIAUTOMATICO</t>
        </is>
      </c>
      <c r="F2821" s="3" t="inlineStr">
        <is>
          <t>12</t>
        </is>
      </c>
      <c r="G2821" s="3" t="inlineStr">
        <is>
          <t>BENELLI</t>
        </is>
      </c>
      <c r="H2821" s="65" t="inlineStr">
        <is>
          <t>BLACK EAGLE 30"</t>
        </is>
      </c>
      <c r="I2821" s="65" t="inlineStr">
        <is>
          <t>F451662R</t>
        </is>
      </c>
      <c r="J2821" s="65" t="inlineStr">
        <is>
          <t>C1686278N</t>
        </is>
      </c>
      <c r="K2821" s="65" t="inlineStr">
        <is>
          <t>N/D</t>
        </is>
      </c>
      <c r="L2821" s="127" t="inlineStr">
        <is>
          <t>BENELLI SPA</t>
        </is>
      </c>
      <c r="M2821" s="5" t="n">
        <v>1104</v>
      </c>
      <c r="N2821" s="5" t="n"/>
      <c r="O2821" s="5">
        <f>+M2821+N2821</f>
        <v/>
      </c>
      <c r="P2821" s="4" t="n">
        <v>45932</v>
      </c>
      <c r="Q2821" s="87" t="n">
        <v>45932</v>
      </c>
      <c r="R2821" s="5" t="n">
        <v>1862.76</v>
      </c>
      <c r="S2821" s="2" t="n">
        <v>1</v>
      </c>
      <c r="T2821" s="3" t="inlineStr">
        <is>
          <t>6B/2025/5S</t>
        </is>
      </c>
      <c r="U2821" s="87" t="n">
        <v>45963</v>
      </c>
      <c r="V2821" s="3" t="inlineStr">
        <is>
          <t>32</t>
        </is>
      </c>
      <c r="W2821" s="108" t="n">
        <v>45963</v>
      </c>
      <c r="X2821" s="4" t="inlineStr">
        <is>
          <t>BIN HUMAID NATIONAL TRADING CO</t>
        </is>
      </c>
    </row>
    <row r="2822" ht="24" customHeight="1">
      <c r="A2822" s="2">
        <f>+D2822-S2822</f>
        <v/>
      </c>
      <c r="B2822" s="80" t="n">
        <v>4414</v>
      </c>
      <c r="C2822" s="66" t="n">
        <v>45946</v>
      </c>
      <c r="D2822" s="2" t="n">
        <v>1</v>
      </c>
      <c r="E2822" s="3" t="inlineStr">
        <is>
          <t>FUCILE SEMIAUTOMATICO</t>
        </is>
      </c>
      <c r="F2822" s="3" t="inlineStr">
        <is>
          <t>12</t>
        </is>
      </c>
      <c r="G2822" s="3" t="inlineStr">
        <is>
          <t>BENELLI</t>
        </is>
      </c>
      <c r="H2822" s="65" t="inlineStr">
        <is>
          <t xml:space="preserve">BLACK EAGLE MAX7 30" </t>
        </is>
      </c>
      <c r="I2822" s="65" t="inlineStr">
        <is>
          <t>F451678F</t>
        </is>
      </c>
      <c r="J2822" s="65" t="inlineStr">
        <is>
          <t>C1686295P</t>
        </is>
      </c>
      <c r="K2822" s="65" t="inlineStr">
        <is>
          <t>N/D</t>
        </is>
      </c>
      <c r="L2822" s="127" t="inlineStr">
        <is>
          <t>BENELLI SPA</t>
        </is>
      </c>
      <c r="M2822" s="5" t="n">
        <v>1218</v>
      </c>
      <c r="N2822" s="5" t="n"/>
      <c r="O2822" s="5">
        <f>+M2822+N2822</f>
        <v/>
      </c>
      <c r="P2822" s="4" t="n">
        <v>45932</v>
      </c>
      <c r="Q2822" s="87" t="n">
        <v>45932</v>
      </c>
      <c r="R2822" s="5" t="n">
        <v>1389</v>
      </c>
      <c r="S2822" s="2" t="n">
        <v>1</v>
      </c>
      <c r="T2822" s="3" t="inlineStr">
        <is>
          <t>6B/2025/5S</t>
        </is>
      </c>
      <c r="U2822" s="87" t="n">
        <v>45963</v>
      </c>
      <c r="V2822" s="3" t="inlineStr">
        <is>
          <t>32</t>
        </is>
      </c>
      <c r="W2822" s="108" t="n">
        <v>45963</v>
      </c>
      <c r="X2822" s="4" t="inlineStr">
        <is>
          <t>BIN HUMAID NATIONAL TRADING CO</t>
        </is>
      </c>
    </row>
    <row r="2823" ht="24" customHeight="1">
      <c r="A2823" s="2">
        <f>+D2823-S2823</f>
        <v/>
      </c>
      <c r="B2823" s="80" t="n">
        <v>4415</v>
      </c>
      <c r="C2823" s="66" t="n">
        <v>45946</v>
      </c>
      <c r="D2823" s="2" t="n">
        <v>1</v>
      </c>
      <c r="E2823" s="3" t="inlineStr">
        <is>
          <t>FUCILE SEMIAUTOMATICO</t>
        </is>
      </c>
      <c r="F2823" s="3" t="inlineStr">
        <is>
          <t>12</t>
        </is>
      </c>
      <c r="G2823" s="3" t="inlineStr">
        <is>
          <t>BENELLI</t>
        </is>
      </c>
      <c r="H2823" s="65" t="inlineStr">
        <is>
          <t xml:space="preserve">BLACK EAGLE MAX7 30" </t>
        </is>
      </c>
      <c r="I2823" s="65" t="inlineStr">
        <is>
          <t>F451677D</t>
        </is>
      </c>
      <c r="J2823" s="65" t="inlineStr">
        <is>
          <t>C1686305V</t>
        </is>
      </c>
      <c r="K2823" s="65" t="inlineStr">
        <is>
          <t>N/D</t>
        </is>
      </c>
      <c r="L2823" s="127" t="inlineStr">
        <is>
          <t>BENELLI SPA</t>
        </is>
      </c>
      <c r="M2823" s="5" t="n">
        <v>1218</v>
      </c>
      <c r="N2823" s="5" t="n"/>
      <c r="O2823" s="5">
        <f>+M2823+N2823</f>
        <v/>
      </c>
      <c r="P2823" s="4" t="n">
        <v>45932</v>
      </c>
      <c r="Q2823" s="87" t="n">
        <v>45932</v>
      </c>
      <c r="R2823" s="5" t="n">
        <v>1389</v>
      </c>
      <c r="S2823" s="2" t="n">
        <v>1</v>
      </c>
      <c r="T2823" s="3" t="inlineStr">
        <is>
          <t>6B/2025/5S</t>
        </is>
      </c>
      <c r="U2823" s="87" t="n">
        <v>45963</v>
      </c>
      <c r="V2823" s="3" t="inlineStr">
        <is>
          <t>32</t>
        </is>
      </c>
      <c r="W2823" s="108" t="n">
        <v>45963</v>
      </c>
      <c r="X2823" s="4" t="inlineStr">
        <is>
          <t>BIN HUMAID NATIONAL TRADING CO</t>
        </is>
      </c>
    </row>
    <row r="2824" ht="24" customHeight="1">
      <c r="A2824" s="2">
        <f>+D2824-S2824</f>
        <v/>
      </c>
      <c r="B2824" s="80" t="n">
        <v>4416</v>
      </c>
      <c r="C2824" s="66" t="n">
        <v>45946</v>
      </c>
      <c r="D2824" s="2" t="n">
        <v>1</v>
      </c>
      <c r="E2824" s="3" t="inlineStr">
        <is>
          <t>FUCILE SEMIAUTOMATICO</t>
        </is>
      </c>
      <c r="F2824" s="3" t="inlineStr">
        <is>
          <t>12</t>
        </is>
      </c>
      <c r="G2824" s="3" t="inlineStr">
        <is>
          <t>BENELLI</t>
        </is>
      </c>
      <c r="H2824" s="65" t="inlineStr">
        <is>
          <t xml:space="preserve">BLACK EAGLE MAX7 30" </t>
        </is>
      </c>
      <c r="I2824" s="65" t="inlineStr">
        <is>
          <t>F451675Z</t>
        </is>
      </c>
      <c r="J2824" s="65" t="inlineStr">
        <is>
          <t>C1686302S</t>
        </is>
      </c>
      <c r="K2824" s="65" t="inlineStr">
        <is>
          <t>N/D</t>
        </is>
      </c>
      <c r="L2824" s="127" t="inlineStr">
        <is>
          <t>BENELLI SPA</t>
        </is>
      </c>
      <c r="M2824" s="5" t="n">
        <v>1218</v>
      </c>
      <c r="N2824" s="5" t="n"/>
      <c r="O2824" s="5">
        <f>+M2824+N2824</f>
        <v/>
      </c>
      <c r="P2824" s="4" t="n">
        <v>45932</v>
      </c>
      <c r="Q2824" s="87" t="n">
        <v>45932</v>
      </c>
      <c r="R2824" s="5" t="n">
        <v>1389</v>
      </c>
      <c r="S2824" s="2" t="n">
        <v>1</v>
      </c>
      <c r="T2824" s="3" t="inlineStr">
        <is>
          <t>6B/2025/5S</t>
        </is>
      </c>
      <c r="U2824" s="87" t="n">
        <v>45963</v>
      </c>
      <c r="V2824" s="3" t="inlineStr">
        <is>
          <t>32</t>
        </is>
      </c>
      <c r="W2824" s="108" t="n">
        <v>45963</v>
      </c>
      <c r="X2824" s="4" t="inlineStr">
        <is>
          <t>BIN HUMAID NATIONAL TRADING CO</t>
        </is>
      </c>
    </row>
    <row r="2825" ht="24" customHeight="1">
      <c r="A2825" s="2">
        <f>+D2825-S2825</f>
        <v/>
      </c>
      <c r="B2825" s="80" t="n">
        <v>4417</v>
      </c>
      <c r="C2825" s="66" t="n">
        <v>45946</v>
      </c>
      <c r="D2825" s="2" t="n">
        <v>1</v>
      </c>
      <c r="E2825" s="3" t="inlineStr">
        <is>
          <t>FUCILE SEMIAUTOMATICO</t>
        </is>
      </c>
      <c r="F2825" s="3" t="inlineStr">
        <is>
          <t>12</t>
        </is>
      </c>
      <c r="G2825" s="3" t="inlineStr">
        <is>
          <t>BENELLI</t>
        </is>
      </c>
      <c r="H2825" s="65" t="inlineStr">
        <is>
          <t xml:space="preserve">BLACK EAGLE MAX7 30" </t>
        </is>
      </c>
      <c r="I2825" s="65" t="inlineStr">
        <is>
          <t>F451674W</t>
        </is>
      </c>
      <c r="J2825" s="65" t="inlineStr">
        <is>
          <t>C1686303T</t>
        </is>
      </c>
      <c r="K2825" s="65" t="inlineStr">
        <is>
          <t>N/D</t>
        </is>
      </c>
      <c r="L2825" s="127" t="inlineStr">
        <is>
          <t>BENELLI SPA</t>
        </is>
      </c>
      <c r="M2825" s="5" t="n">
        <v>1218</v>
      </c>
      <c r="N2825" s="5" t="n"/>
      <c r="O2825" s="5">
        <f>+M2825+N2825</f>
        <v/>
      </c>
      <c r="P2825" s="4" t="n">
        <v>45932</v>
      </c>
      <c r="Q2825" s="87" t="n">
        <v>45932</v>
      </c>
      <c r="R2825" s="5" t="n">
        <v>1389</v>
      </c>
      <c r="S2825" s="2" t="n">
        <v>1</v>
      </c>
      <c r="T2825" s="3" t="inlineStr">
        <is>
          <t>6B/2025/5S</t>
        </is>
      </c>
      <c r="U2825" s="87" t="n">
        <v>45963</v>
      </c>
      <c r="V2825" s="3" t="inlineStr">
        <is>
          <t>32</t>
        </is>
      </c>
      <c r="W2825" s="108" t="n">
        <v>45963</v>
      </c>
      <c r="X2825" s="4" t="inlineStr">
        <is>
          <t>BIN HUMAID NATIONAL TRADING CO</t>
        </is>
      </c>
    </row>
    <row r="2826" ht="24" customHeight="1">
      <c r="A2826" s="2">
        <f>+D2826-S2826</f>
        <v/>
      </c>
      <c r="B2826" s="80" t="n">
        <v>4418</v>
      </c>
      <c r="C2826" s="66" t="n">
        <v>45946</v>
      </c>
      <c r="D2826" s="2" t="n">
        <v>1</v>
      </c>
      <c r="E2826" s="3" t="inlineStr">
        <is>
          <t>FUCILE SEMIAUTOMATICO</t>
        </is>
      </c>
      <c r="F2826" s="3" t="inlineStr">
        <is>
          <t>12</t>
        </is>
      </c>
      <c r="G2826" s="3" t="inlineStr">
        <is>
          <t>BENELLI</t>
        </is>
      </c>
      <c r="H2826" s="65" t="inlineStr">
        <is>
          <t xml:space="preserve">BLACK EAGLE MAX7 30" </t>
        </is>
      </c>
      <c r="I2826" s="65" t="inlineStr">
        <is>
          <t>F453145M</t>
        </is>
      </c>
      <c r="J2826" s="65" t="inlineStr">
        <is>
          <t>C1689496Y</t>
        </is>
      </c>
      <c r="K2826" s="65" t="inlineStr">
        <is>
          <t>N/D</t>
        </is>
      </c>
      <c r="L2826" s="127" t="inlineStr">
        <is>
          <t>BENELLI SPA</t>
        </is>
      </c>
      <c r="M2826" s="5" t="n">
        <v>1218</v>
      </c>
      <c r="N2826" s="5" t="n"/>
      <c r="O2826" s="5">
        <f>+M2826+N2826</f>
        <v/>
      </c>
      <c r="P2826" s="4" t="n">
        <v>45932</v>
      </c>
      <c r="Q2826" s="87" t="n">
        <v>45932</v>
      </c>
      <c r="R2826" s="5" t="n">
        <v>1389</v>
      </c>
      <c r="S2826" s="2" t="n">
        <v>1</v>
      </c>
      <c r="T2826" s="3" t="inlineStr">
        <is>
          <t>6B/2025/5S</t>
        </is>
      </c>
      <c r="U2826" s="87" t="n">
        <v>45963</v>
      </c>
      <c r="V2826" s="3" t="inlineStr">
        <is>
          <t>32</t>
        </is>
      </c>
      <c r="W2826" s="108" t="n">
        <v>45963</v>
      </c>
      <c r="X2826" s="4" t="inlineStr">
        <is>
          <t>BIN HUMAID NATIONAL TRADING CO</t>
        </is>
      </c>
    </row>
    <row r="2827" ht="24" customHeight="1">
      <c r="A2827" s="2">
        <f>+D2827-S2827</f>
        <v/>
      </c>
      <c r="B2827" s="80" t="n">
        <v>4419</v>
      </c>
      <c r="C2827" s="66" t="n">
        <v>45946</v>
      </c>
      <c r="D2827" s="2" t="n">
        <v>1</v>
      </c>
      <c r="E2827" s="3" t="inlineStr">
        <is>
          <t>FUCILE SEMIAUTOMATICO</t>
        </is>
      </c>
      <c r="F2827" s="3" t="inlineStr">
        <is>
          <t>12</t>
        </is>
      </c>
      <c r="G2827" s="3" t="inlineStr">
        <is>
          <t>BENELLI</t>
        </is>
      </c>
      <c r="H2827" s="65" t="inlineStr">
        <is>
          <t xml:space="preserve">BLACK EAGLE MAX7 30" </t>
        </is>
      </c>
      <c r="I2827" s="65" t="inlineStr">
        <is>
          <t>F453144J</t>
        </is>
      </c>
      <c r="J2827" s="65" t="inlineStr">
        <is>
          <t>C1689481R</t>
        </is>
      </c>
      <c r="K2827" s="65" t="inlineStr">
        <is>
          <t>N/D</t>
        </is>
      </c>
      <c r="L2827" s="127" t="inlineStr">
        <is>
          <t>BENELLI SPA</t>
        </is>
      </c>
      <c r="M2827" s="5" t="n">
        <v>1218</v>
      </c>
      <c r="N2827" s="5" t="n"/>
      <c r="O2827" s="5">
        <f>+M2827+N2827</f>
        <v/>
      </c>
      <c r="P2827" s="4" t="n">
        <v>45932</v>
      </c>
      <c r="Q2827" s="87" t="n">
        <v>45932</v>
      </c>
      <c r="R2827" s="5" t="n">
        <v>1389</v>
      </c>
      <c r="S2827" s="2" t="n">
        <v>1</v>
      </c>
      <c r="T2827" s="3" t="inlineStr">
        <is>
          <t>6B/2025/5S</t>
        </is>
      </c>
      <c r="U2827" s="87" t="n">
        <v>45963</v>
      </c>
      <c r="V2827" s="3" t="inlineStr">
        <is>
          <t>32</t>
        </is>
      </c>
      <c r="W2827" s="108" t="n">
        <v>45963</v>
      </c>
      <c r="X2827" s="4" t="inlineStr">
        <is>
          <t>BIN HUMAID NATIONAL TRADING CO</t>
        </is>
      </c>
    </row>
    <row r="2828" ht="24" customHeight="1">
      <c r="A2828" s="2">
        <f>+D2828-S2828</f>
        <v/>
      </c>
      <c r="B2828" s="80" t="n">
        <v>4420</v>
      </c>
      <c r="C2828" s="66" t="n">
        <v>45946</v>
      </c>
      <c r="D2828" s="2" t="n">
        <v>1</v>
      </c>
      <c r="E2828" s="3" t="inlineStr">
        <is>
          <t>FUCILE SEMIAUTOMATICO</t>
        </is>
      </c>
      <c r="F2828" s="3" t="inlineStr">
        <is>
          <t>12</t>
        </is>
      </c>
      <c r="G2828" s="3" t="inlineStr">
        <is>
          <t>BENELLI</t>
        </is>
      </c>
      <c r="H2828" s="65" t="inlineStr">
        <is>
          <t xml:space="preserve">BLACK EAGLE MAX7 30" </t>
        </is>
      </c>
      <c r="I2828" s="65" t="inlineStr">
        <is>
          <t>F453143G</t>
        </is>
      </c>
      <c r="J2828" s="65" t="inlineStr">
        <is>
          <t>C1689491T</t>
        </is>
      </c>
      <c r="K2828" s="65" t="inlineStr">
        <is>
          <t>N/D</t>
        </is>
      </c>
      <c r="L2828" s="127" t="inlineStr">
        <is>
          <t>BENELLI SPA</t>
        </is>
      </c>
      <c r="M2828" s="5" t="n">
        <v>1218</v>
      </c>
      <c r="N2828" s="5" t="n"/>
      <c r="O2828" s="5">
        <f>+M2828+N2828</f>
        <v/>
      </c>
      <c r="P2828" s="4" t="n">
        <v>45932</v>
      </c>
      <c r="Q2828" s="87" t="n">
        <v>45932</v>
      </c>
      <c r="R2828" s="5" t="n">
        <v>1389</v>
      </c>
      <c r="S2828" s="2" t="n">
        <v>1</v>
      </c>
      <c r="T2828" s="3" t="inlineStr">
        <is>
          <t>6B/2025/5S</t>
        </is>
      </c>
      <c r="U2828" s="87" t="n">
        <v>45963</v>
      </c>
      <c r="V2828" s="3" t="inlineStr">
        <is>
          <t>32</t>
        </is>
      </c>
      <c r="W2828" s="108" t="n">
        <v>45963</v>
      </c>
      <c r="X2828" s="4" t="inlineStr">
        <is>
          <t>BIN HUMAID NATIONAL TRADING CO</t>
        </is>
      </c>
    </row>
    <row r="2829" ht="24" customHeight="1">
      <c r="A2829" s="2">
        <f>+D2829-S2829</f>
        <v/>
      </c>
      <c r="B2829" s="80" t="n">
        <v>4421</v>
      </c>
      <c r="C2829" s="66" t="n">
        <v>45946</v>
      </c>
      <c r="D2829" s="2" t="n">
        <v>1</v>
      </c>
      <c r="E2829" s="3" t="inlineStr">
        <is>
          <t>FUCILE SEMIAUTOMATICO</t>
        </is>
      </c>
      <c r="F2829" s="3" t="inlineStr">
        <is>
          <t>12</t>
        </is>
      </c>
      <c r="G2829" s="3" t="inlineStr">
        <is>
          <t>BENELLI</t>
        </is>
      </c>
      <c r="H2829" s="65" t="inlineStr">
        <is>
          <t xml:space="preserve">BLACK EAGLE MAX7 30" </t>
        </is>
      </c>
      <c r="I2829" s="65" t="inlineStr">
        <is>
          <t>F453142E</t>
        </is>
      </c>
      <c r="J2829" s="65" t="inlineStr">
        <is>
          <t>C1689495X</t>
        </is>
      </c>
      <c r="K2829" s="65" t="inlineStr">
        <is>
          <t>N/D</t>
        </is>
      </c>
      <c r="L2829" s="127" t="inlineStr">
        <is>
          <t>BENELLI SPA</t>
        </is>
      </c>
      <c r="M2829" s="5" t="n">
        <v>1218</v>
      </c>
      <c r="N2829" s="5" t="n"/>
      <c r="O2829" s="5">
        <f>+M2829+N2829</f>
        <v/>
      </c>
      <c r="P2829" s="4" t="n">
        <v>45932</v>
      </c>
      <c r="Q2829" s="87" t="n">
        <v>45932</v>
      </c>
      <c r="R2829" s="5" t="n">
        <v>1389</v>
      </c>
      <c r="S2829" s="2" t="n">
        <v>1</v>
      </c>
      <c r="T2829" s="3" t="inlineStr">
        <is>
          <t>6B/2025/5S</t>
        </is>
      </c>
      <c r="U2829" s="87" t="n">
        <v>45963</v>
      </c>
      <c r="V2829" s="3" t="inlineStr">
        <is>
          <t>32</t>
        </is>
      </c>
      <c r="W2829" s="108" t="n">
        <v>45963</v>
      </c>
      <c r="X2829" s="4" t="inlineStr">
        <is>
          <t>BIN HUMAID NATIONAL TRADING CO</t>
        </is>
      </c>
    </row>
    <row r="2830" ht="24" customHeight="1">
      <c r="A2830" s="2">
        <f>+D2830-S2830</f>
        <v/>
      </c>
      <c r="B2830" s="80" t="n">
        <v>4422</v>
      </c>
      <c r="C2830" s="66" t="n">
        <v>45946</v>
      </c>
      <c r="D2830" s="2" t="n">
        <v>1</v>
      </c>
      <c r="E2830" s="3" t="inlineStr">
        <is>
          <t>FUCILE SEMIAUTOMATICO</t>
        </is>
      </c>
      <c r="F2830" s="3" t="inlineStr">
        <is>
          <t>12</t>
        </is>
      </c>
      <c r="G2830" s="3" t="inlineStr">
        <is>
          <t>BENELLI</t>
        </is>
      </c>
      <c r="H2830" s="65" t="inlineStr">
        <is>
          <t>SBE3 BE­S.T. 30"</t>
        </is>
      </c>
      <c r="I2830" s="65" t="inlineStr">
        <is>
          <t>U784109B</t>
        </is>
      </c>
      <c r="J2830" s="65" t="inlineStr">
        <is>
          <t>S822832Q</t>
        </is>
      </c>
      <c r="K2830" s="65" t="inlineStr">
        <is>
          <t>N/D</t>
        </is>
      </c>
      <c r="L2830" s="127" t="inlineStr">
        <is>
          <t>BENELLI SPA</t>
        </is>
      </c>
      <c r="M2830" s="5" t="n">
        <v>1334</v>
      </c>
      <c r="N2830" s="5" t="n"/>
      <c r="O2830" s="5">
        <f>+M2830+N2830</f>
        <v/>
      </c>
      <c r="P2830" s="4" t="n">
        <v>45932</v>
      </c>
      <c r="Q2830" s="87" t="n">
        <v>45932</v>
      </c>
      <c r="R2830" s="5" t="n">
        <v>1520.76</v>
      </c>
      <c r="S2830" s="2" t="n">
        <v>1</v>
      </c>
      <c r="T2830" s="3" t="inlineStr">
        <is>
          <t>6B/2025/5S</t>
        </is>
      </c>
      <c r="U2830" s="87" t="n">
        <v>45963</v>
      </c>
      <c r="V2830" s="3" t="inlineStr">
        <is>
          <t>32</t>
        </is>
      </c>
      <c r="W2830" s="108" t="n">
        <v>45963</v>
      </c>
      <c r="X2830" s="4" t="inlineStr">
        <is>
          <t>BIN HUMAID NATIONAL TRADING CO</t>
        </is>
      </c>
    </row>
    <row r="2831" ht="24" customHeight="1">
      <c r="A2831" s="2">
        <f>+D2831-S2831</f>
        <v/>
      </c>
      <c r="B2831" s="80" t="n">
        <v>4423</v>
      </c>
      <c r="C2831" s="66" t="n">
        <v>45946</v>
      </c>
      <c r="D2831" s="2" t="n">
        <v>1</v>
      </c>
      <c r="E2831" s="3" t="inlineStr">
        <is>
          <t>FUCILE SEMIAUTOMATICO</t>
        </is>
      </c>
      <c r="F2831" s="3" t="inlineStr">
        <is>
          <t>12</t>
        </is>
      </c>
      <c r="G2831" s="3" t="inlineStr">
        <is>
          <t>BENELLI</t>
        </is>
      </c>
      <c r="H2831" s="65" t="inlineStr">
        <is>
          <t>SBE3 BE­S.T. 30"</t>
        </is>
      </c>
      <c r="I2831" s="65" t="inlineStr">
        <is>
          <t>U784125V</t>
        </is>
      </c>
      <c r="J2831" s="65" t="inlineStr">
        <is>
          <t>S822847C</t>
        </is>
      </c>
      <c r="K2831" s="65" t="inlineStr">
        <is>
          <t>N/D</t>
        </is>
      </c>
      <c r="L2831" s="127" t="inlineStr">
        <is>
          <t>BENELLI SPA</t>
        </is>
      </c>
      <c r="M2831" s="5" t="n">
        <v>1334</v>
      </c>
      <c r="N2831" s="5" t="n"/>
      <c r="O2831" s="5">
        <f>+M2831+N2831</f>
        <v/>
      </c>
      <c r="P2831" s="4" t="n">
        <v>45932</v>
      </c>
      <c r="Q2831" s="87" t="n">
        <v>45932</v>
      </c>
      <c r="R2831" s="5" t="n">
        <v>1520.76</v>
      </c>
      <c r="S2831" s="2" t="n">
        <v>1</v>
      </c>
      <c r="T2831" s="3" t="inlineStr">
        <is>
          <t>6B/2025/5S</t>
        </is>
      </c>
      <c r="U2831" s="87" t="n">
        <v>45963</v>
      </c>
      <c r="V2831" s="3" t="inlineStr">
        <is>
          <t>32</t>
        </is>
      </c>
      <c r="W2831" s="108" t="n">
        <v>45963</v>
      </c>
      <c r="X2831" s="4" t="inlineStr">
        <is>
          <t>BIN HUMAID NATIONAL TRADING CO</t>
        </is>
      </c>
    </row>
    <row r="2832" ht="24" customHeight="1">
      <c r="A2832" s="2">
        <f>+D2832-S2832</f>
        <v/>
      </c>
      <c r="B2832" s="80" t="n">
        <v>4424</v>
      </c>
      <c r="C2832" s="66" t="n">
        <v>45946</v>
      </c>
      <c r="D2832" s="2" t="n">
        <v>1</v>
      </c>
      <c r="E2832" s="3" t="inlineStr">
        <is>
          <t>FUCILE SEMIAUTOMATICO</t>
        </is>
      </c>
      <c r="F2832" s="3" t="inlineStr">
        <is>
          <t>12</t>
        </is>
      </c>
      <c r="G2832" s="3" t="inlineStr">
        <is>
          <t>BENELLI</t>
        </is>
      </c>
      <c r="H2832" s="65" t="inlineStr">
        <is>
          <t>SBE3 BE­S.T. 30"</t>
        </is>
      </c>
      <c r="I2832" s="65" t="inlineStr">
        <is>
          <t>U784124S</t>
        </is>
      </c>
      <c r="J2832" s="65" t="inlineStr">
        <is>
          <t>S822853U</t>
        </is>
      </c>
      <c r="K2832" s="65" t="inlineStr">
        <is>
          <t>N/D</t>
        </is>
      </c>
      <c r="L2832" s="127" t="inlineStr">
        <is>
          <t>BENELLI SPA</t>
        </is>
      </c>
      <c r="M2832" s="5" t="n">
        <v>1334</v>
      </c>
      <c r="N2832" s="5" t="n"/>
      <c r="O2832" s="5">
        <f>+M2832+N2832</f>
        <v/>
      </c>
      <c r="P2832" s="4" t="n">
        <v>45932</v>
      </c>
      <c r="Q2832" s="87" t="n">
        <v>45932</v>
      </c>
      <c r="R2832" s="5" t="n">
        <v>1520.76</v>
      </c>
      <c r="S2832" s="2" t="n">
        <v>1</v>
      </c>
      <c r="T2832" s="3" t="inlineStr">
        <is>
          <t>6B/2025/5S</t>
        </is>
      </c>
      <c r="U2832" s="87" t="n">
        <v>45963</v>
      </c>
      <c r="V2832" s="3" t="inlineStr">
        <is>
          <t>32</t>
        </is>
      </c>
      <c r="W2832" s="108" t="n">
        <v>45963</v>
      </c>
      <c r="X2832" s="4" t="inlineStr">
        <is>
          <t>BIN HUMAID NATIONAL TRADING CO</t>
        </is>
      </c>
    </row>
    <row r="2833" ht="24" customHeight="1">
      <c r="A2833" s="2">
        <f>+D2833-S2833</f>
        <v/>
      </c>
      <c r="B2833" s="80" t="n">
        <v>4425</v>
      </c>
      <c r="C2833" s="66" t="n">
        <v>45946</v>
      </c>
      <c r="D2833" s="2" t="n">
        <v>1</v>
      </c>
      <c r="E2833" s="3" t="inlineStr">
        <is>
          <t>FUCILE SEMIAUTOMATICO</t>
        </is>
      </c>
      <c r="F2833" s="3" t="inlineStr">
        <is>
          <t>12</t>
        </is>
      </c>
      <c r="G2833" s="3" t="inlineStr">
        <is>
          <t>BENELLI</t>
        </is>
      </c>
      <c r="H2833" s="65" t="inlineStr">
        <is>
          <t>SBE3 BE­S.T. 30"</t>
        </is>
      </c>
      <c r="I2833" s="65" t="inlineStr">
        <is>
          <t>U784155Y</t>
        </is>
      </c>
      <c r="J2833" s="65" t="inlineStr">
        <is>
          <t>S822840M</t>
        </is>
      </c>
      <c r="K2833" s="65" t="inlineStr">
        <is>
          <t>N/D</t>
        </is>
      </c>
      <c r="L2833" s="127" t="inlineStr">
        <is>
          <t>BENELLI SPA</t>
        </is>
      </c>
      <c r="M2833" s="5" t="n">
        <v>1334</v>
      </c>
      <c r="N2833" s="5" t="n"/>
      <c r="O2833" s="5">
        <f>+M2833+N2833</f>
        <v/>
      </c>
      <c r="P2833" s="4" t="n">
        <v>45932</v>
      </c>
      <c r="Q2833" s="87" t="n">
        <v>45932</v>
      </c>
      <c r="R2833" s="5" t="n">
        <v>1520.76</v>
      </c>
      <c r="S2833" s="2" t="n">
        <v>1</v>
      </c>
      <c r="T2833" s="3" t="inlineStr">
        <is>
          <t>6B/2025/5S</t>
        </is>
      </c>
      <c r="U2833" s="87" t="n">
        <v>45963</v>
      </c>
      <c r="V2833" s="3" t="inlineStr">
        <is>
          <t>32</t>
        </is>
      </c>
      <c r="W2833" s="108" t="n">
        <v>45963</v>
      </c>
      <c r="X2833" s="4" t="inlineStr">
        <is>
          <t>BIN HUMAID NATIONAL TRADING CO</t>
        </is>
      </c>
    </row>
    <row r="2834" ht="24" customHeight="1">
      <c r="A2834" s="2">
        <f>+D2834-S2834</f>
        <v/>
      </c>
      <c r="B2834" s="80" t="n">
        <v>4426</v>
      </c>
      <c r="C2834" s="66" t="n">
        <v>45946</v>
      </c>
      <c r="D2834" s="2" t="n">
        <v>1</v>
      </c>
      <c r="E2834" s="3" t="inlineStr">
        <is>
          <t>FUCILE SEMIAUTOMATICO</t>
        </is>
      </c>
      <c r="F2834" s="3" t="inlineStr">
        <is>
          <t>12</t>
        </is>
      </c>
      <c r="G2834" s="3" t="inlineStr">
        <is>
          <t>BENELLI</t>
        </is>
      </c>
      <c r="H2834" s="65" t="inlineStr">
        <is>
          <t>DELUXE AI 30''</t>
        </is>
      </c>
      <c r="I2834" s="65" t="inlineStr">
        <is>
          <t>F453608A</t>
        </is>
      </c>
      <c r="J2834" s="65" t="inlineStr">
        <is>
          <t>C1691036P</t>
        </is>
      </c>
      <c r="K2834" s="65" t="inlineStr">
        <is>
          <t>N/D</t>
        </is>
      </c>
      <c r="L2834" s="127" t="inlineStr">
        <is>
          <t>BENELLI SPA</t>
        </is>
      </c>
      <c r="M2834" s="5" t="n">
        <v>1540</v>
      </c>
      <c r="N2834" s="5" t="n"/>
      <c r="O2834" s="5">
        <f>+M2834+N2834</f>
        <v/>
      </c>
      <c r="P2834" s="4" t="n">
        <v>45932</v>
      </c>
      <c r="Q2834" s="87" t="n">
        <v>45932</v>
      </c>
      <c r="R2834" s="5" t="n">
        <v>1755.6</v>
      </c>
      <c r="S2834" s="2" t="n">
        <v>1</v>
      </c>
      <c r="T2834" s="3" t="inlineStr">
        <is>
          <t>6B/2025/5S</t>
        </is>
      </c>
      <c r="U2834" s="87" t="n">
        <v>45963</v>
      </c>
      <c r="V2834" s="3" t="inlineStr">
        <is>
          <t>32</t>
        </is>
      </c>
      <c r="W2834" s="108" t="n">
        <v>45963</v>
      </c>
      <c r="X2834" s="4" t="inlineStr">
        <is>
          <t>BIN HUMAID NATIONAL TRADING CO</t>
        </is>
      </c>
    </row>
    <row r="2835" ht="24" customHeight="1">
      <c r="A2835" s="2">
        <f>+D2835-S2835</f>
        <v/>
      </c>
      <c r="B2835" s="80" t="n">
        <v>4427</v>
      </c>
      <c r="C2835" s="66" t="n">
        <v>45946</v>
      </c>
      <c r="D2835" s="2" t="n">
        <v>1</v>
      </c>
      <c r="E2835" s="3" t="inlineStr">
        <is>
          <t>FUCILE SEMIAUTOMATICO</t>
        </is>
      </c>
      <c r="F2835" s="3" t="inlineStr">
        <is>
          <t>12</t>
        </is>
      </c>
      <c r="G2835" s="3" t="inlineStr">
        <is>
          <t>BENELLI</t>
        </is>
      </c>
      <c r="H2835" s="65" t="inlineStr">
        <is>
          <t>DELUXE AI 30''</t>
        </is>
      </c>
      <c r="I2835" s="65" t="inlineStr">
        <is>
          <t>F453613Q</t>
        </is>
      </c>
      <c r="J2835" s="65" t="inlineStr">
        <is>
          <t>C1691035N</t>
        </is>
      </c>
      <c r="K2835" s="65" t="inlineStr">
        <is>
          <t>N/D</t>
        </is>
      </c>
      <c r="L2835" s="127" t="inlineStr">
        <is>
          <t>BENELLI SPA</t>
        </is>
      </c>
      <c r="M2835" s="5" t="n">
        <v>1540</v>
      </c>
      <c r="N2835" s="5" t="n"/>
      <c r="O2835" s="5">
        <f>+M2835+N2835</f>
        <v/>
      </c>
      <c r="P2835" s="4" t="n">
        <v>45932</v>
      </c>
      <c r="Q2835" s="87" t="n">
        <v>45932</v>
      </c>
      <c r="R2835" s="5" t="n">
        <v>1755.6</v>
      </c>
      <c r="S2835" s="2" t="n">
        <v>1</v>
      </c>
      <c r="T2835" s="3" t="inlineStr">
        <is>
          <t>6B/2025/5S</t>
        </is>
      </c>
      <c r="U2835" s="87" t="n">
        <v>45963</v>
      </c>
      <c r="V2835" s="3" t="inlineStr">
        <is>
          <t>32</t>
        </is>
      </c>
      <c r="W2835" s="108" t="n">
        <v>45963</v>
      </c>
      <c r="X2835" s="4" t="inlineStr">
        <is>
          <t>BIN HUMAID NATIONAL TRADING CO</t>
        </is>
      </c>
    </row>
    <row r="2836" ht="24" customHeight="1">
      <c r="A2836" s="2">
        <f>+D2836-S2836</f>
        <v/>
      </c>
      <c r="B2836" s="80" t="n">
        <v>4428</v>
      </c>
      <c r="C2836" s="66" t="n">
        <v>45946</v>
      </c>
      <c r="D2836" s="2" t="n">
        <v>1</v>
      </c>
      <c r="E2836" s="3" t="inlineStr">
        <is>
          <t>FUCILE SEMIAUTOMATICO</t>
        </is>
      </c>
      <c r="F2836" s="3" t="inlineStr">
        <is>
          <t>12</t>
        </is>
      </c>
      <c r="G2836" s="3" t="inlineStr">
        <is>
          <t>BENELLI</t>
        </is>
      </c>
      <c r="H2836" s="65" t="inlineStr">
        <is>
          <t>DELUXE AI 30''</t>
        </is>
      </c>
      <c r="I2836" s="65" t="inlineStr">
        <is>
          <t>F453611L</t>
        </is>
      </c>
      <c r="J2836" s="65" t="inlineStr">
        <is>
          <t>C1691037Q</t>
        </is>
      </c>
      <c r="K2836" s="65" t="inlineStr">
        <is>
          <t>N/D</t>
        </is>
      </c>
      <c r="L2836" s="127" t="inlineStr">
        <is>
          <t>BENELLI SPA</t>
        </is>
      </c>
      <c r="M2836" s="5" t="n">
        <v>1540</v>
      </c>
      <c r="N2836" s="5" t="n"/>
      <c r="O2836" s="5">
        <f>+M2836+N2836</f>
        <v/>
      </c>
      <c r="P2836" s="4" t="n">
        <v>45932</v>
      </c>
      <c r="Q2836" s="87" t="n">
        <v>45932</v>
      </c>
      <c r="R2836" s="5" t="n">
        <v>1755.6</v>
      </c>
      <c r="S2836" s="2" t="n">
        <v>1</v>
      </c>
      <c r="T2836" s="3" t="inlineStr">
        <is>
          <t>6B/2025/5S</t>
        </is>
      </c>
      <c r="U2836" s="87" t="n">
        <v>45963</v>
      </c>
      <c r="V2836" s="3" t="inlineStr">
        <is>
          <t>32</t>
        </is>
      </c>
      <c r="W2836" s="108" t="n">
        <v>45963</v>
      </c>
      <c r="X2836" s="4" t="inlineStr">
        <is>
          <t>BIN HUMAID NATIONAL TRADING CO</t>
        </is>
      </c>
    </row>
    <row r="2837" ht="24" customHeight="1">
      <c r="A2837" s="2">
        <f>+D2837-S2837</f>
        <v/>
      </c>
      <c r="B2837" s="80" t="n">
        <v>4429</v>
      </c>
      <c r="C2837" s="66" t="n">
        <v>45946</v>
      </c>
      <c r="D2837" s="2" t="n">
        <v>1</v>
      </c>
      <c r="E2837" s="3" t="inlineStr">
        <is>
          <t>FUCILE SEMIAUTOMATICO</t>
        </is>
      </c>
      <c r="F2837" s="3" t="inlineStr">
        <is>
          <t>12</t>
        </is>
      </c>
      <c r="G2837" s="3" t="inlineStr">
        <is>
          <t>BENELLI</t>
        </is>
      </c>
      <c r="H2837" s="65" t="inlineStr">
        <is>
          <t>DELUXE AI 30''</t>
        </is>
      </c>
      <c r="I2837" s="65" t="inlineStr">
        <is>
          <t>F453612N</t>
        </is>
      </c>
      <c r="J2837" s="65" t="inlineStr">
        <is>
          <t>C1691032K</t>
        </is>
      </c>
      <c r="K2837" s="65" t="inlineStr">
        <is>
          <t>N/D</t>
        </is>
      </c>
      <c r="L2837" s="127" t="inlineStr">
        <is>
          <t>BENELLI SPA</t>
        </is>
      </c>
      <c r="M2837" s="5" t="n">
        <v>1540</v>
      </c>
      <c r="N2837" s="5" t="n"/>
      <c r="O2837" s="5">
        <f>+M2837+N2837</f>
        <v/>
      </c>
      <c r="P2837" s="4" t="n">
        <v>45932</v>
      </c>
      <c r="Q2837" s="87" t="n">
        <v>45932</v>
      </c>
      <c r="R2837" s="5" t="n">
        <v>1755.6</v>
      </c>
      <c r="S2837" s="2" t="n">
        <v>1</v>
      </c>
      <c r="T2837" s="3" t="inlineStr">
        <is>
          <t>6B/2025/5S</t>
        </is>
      </c>
      <c r="U2837" s="87" t="n">
        <v>45963</v>
      </c>
      <c r="V2837" s="3" t="inlineStr">
        <is>
          <t>32</t>
        </is>
      </c>
      <c r="W2837" s="108" t="n">
        <v>45963</v>
      </c>
      <c r="X2837" s="4" t="inlineStr">
        <is>
          <t>BIN HUMAID NATIONAL TRADING CO</t>
        </is>
      </c>
    </row>
    <row r="2838" ht="24" customHeight="1">
      <c r="A2838" s="2">
        <f>+D2838-S2838</f>
        <v/>
      </c>
      <c r="B2838" s="80" t="n">
        <v>4430</v>
      </c>
      <c r="C2838" s="66" t="n">
        <v>45946</v>
      </c>
      <c r="D2838" s="2" t="n">
        <v>1</v>
      </c>
      <c r="E2838" s="3" t="inlineStr">
        <is>
          <t>FUCILE SEMIAUTOMATICO</t>
        </is>
      </c>
      <c r="F2838" s="3" t="inlineStr">
        <is>
          <t>12</t>
        </is>
      </c>
      <c r="G2838" s="3" t="inlineStr">
        <is>
          <t>BENELLI</t>
        </is>
      </c>
      <c r="H2838" s="65" t="inlineStr">
        <is>
          <t xml:space="preserve">DUCA DI MONTEFELTRO 2024 30'' </t>
        </is>
      </c>
      <c r="I2838" s="65" t="inlineStr">
        <is>
          <t>M0201483G</t>
        </is>
      </c>
      <c r="J2838" s="65" t="inlineStr">
        <is>
          <t>C1690776D</t>
        </is>
      </c>
      <c r="K2838" s="65" t="inlineStr">
        <is>
          <t>N/D</t>
        </is>
      </c>
      <c r="L2838" s="127" t="inlineStr">
        <is>
          <t>BENELLI SPA</t>
        </is>
      </c>
      <c r="M2838" s="5" t="n">
        <v>955</v>
      </c>
      <c r="N2838" s="5" t="n"/>
      <c r="O2838" s="5">
        <f>+M2838+N2838</f>
        <v/>
      </c>
      <c r="P2838" s="4" t="n">
        <v>45932</v>
      </c>
      <c r="Q2838" s="87" t="n">
        <v>45932</v>
      </c>
      <c r="R2838" s="5" t="n">
        <v>1088.7</v>
      </c>
      <c r="S2838" s="2" t="n">
        <v>1</v>
      </c>
      <c r="T2838" s="3" t="inlineStr">
        <is>
          <t>6B/2025/5S</t>
        </is>
      </c>
      <c r="U2838" s="87" t="n">
        <v>45963</v>
      </c>
      <c r="V2838" s="3" t="inlineStr">
        <is>
          <t>32</t>
        </is>
      </c>
      <c r="W2838" s="108" t="n">
        <v>45963</v>
      </c>
      <c r="X2838" s="4" t="inlineStr">
        <is>
          <t>BIN HUMAID NATIONAL TRADING CO</t>
        </is>
      </c>
    </row>
    <row r="2839" ht="24" customHeight="1">
      <c r="A2839" s="2">
        <f>+D2839-S2839</f>
        <v/>
      </c>
      <c r="B2839" s="80" t="n">
        <v>4431</v>
      </c>
      <c r="C2839" s="66" t="n">
        <v>45946</v>
      </c>
      <c r="D2839" s="2" t="n">
        <v>1</v>
      </c>
      <c r="E2839" s="3" t="inlineStr">
        <is>
          <t>FUCILE SEMIAUTOMATICO</t>
        </is>
      </c>
      <c r="F2839" s="3" t="inlineStr">
        <is>
          <t>12</t>
        </is>
      </c>
      <c r="G2839" s="3" t="inlineStr">
        <is>
          <t>BENELLI</t>
        </is>
      </c>
      <c r="H2839" s="65" t="inlineStr">
        <is>
          <t xml:space="preserve">DUCA DI MONTEFELTRO 2024 30'' </t>
        </is>
      </c>
      <c r="I2839" s="65" t="inlineStr">
        <is>
          <t>M0201484H</t>
        </is>
      </c>
      <c r="J2839" s="65" t="inlineStr">
        <is>
          <t>C1690772Z</t>
        </is>
      </c>
      <c r="K2839" s="65" t="inlineStr">
        <is>
          <t>N/D</t>
        </is>
      </c>
      <c r="L2839" s="127" t="inlineStr">
        <is>
          <t>BENELLI SPA</t>
        </is>
      </c>
      <c r="M2839" s="5" t="n">
        <v>955</v>
      </c>
      <c r="N2839" s="5" t="n"/>
      <c r="O2839" s="5">
        <f>+M2839+N2839</f>
        <v/>
      </c>
      <c r="P2839" s="4" t="n">
        <v>45932</v>
      </c>
      <c r="Q2839" s="87" t="n">
        <v>45932</v>
      </c>
      <c r="R2839" s="5" t="n">
        <v>1088.7</v>
      </c>
      <c r="S2839" s="2" t="n">
        <v>1</v>
      </c>
      <c r="T2839" s="3" t="inlineStr">
        <is>
          <t>6B/2025/5S</t>
        </is>
      </c>
      <c r="U2839" s="87" t="n">
        <v>45963</v>
      </c>
      <c r="V2839" s="3" t="inlineStr">
        <is>
          <t>32</t>
        </is>
      </c>
      <c r="W2839" s="108" t="n">
        <v>45963</v>
      </c>
      <c r="X2839" s="4" t="inlineStr">
        <is>
          <t>BIN HUMAID NATIONAL TRADING CO</t>
        </is>
      </c>
    </row>
    <row r="2840" ht="24" customHeight="1">
      <c r="A2840" s="2">
        <f>+D2840-S2840</f>
        <v/>
      </c>
      <c r="B2840" s="80" t="n">
        <v>4432</v>
      </c>
      <c r="C2840" s="66" t="n">
        <v>45946</v>
      </c>
      <c r="D2840" s="2" t="n">
        <v>1</v>
      </c>
      <c r="E2840" s="3" t="inlineStr">
        <is>
          <t>FUCILE SEMIAUTOMATICO</t>
        </is>
      </c>
      <c r="F2840" s="3" t="inlineStr">
        <is>
          <t>12</t>
        </is>
      </c>
      <c r="G2840" s="3" t="inlineStr">
        <is>
          <t>BENELLI</t>
        </is>
      </c>
      <c r="H2840" s="65" t="inlineStr">
        <is>
          <t xml:space="preserve">DUCA DI MONTEFELTRO 2024 30'' </t>
        </is>
      </c>
      <c r="I2840" s="65" t="inlineStr">
        <is>
          <t>M0201462B</t>
        </is>
      </c>
      <c r="J2840" s="65" t="inlineStr">
        <is>
          <t>C1690773A</t>
        </is>
      </c>
      <c r="K2840" s="65" t="inlineStr">
        <is>
          <t>N/D</t>
        </is>
      </c>
      <c r="L2840" s="127" t="inlineStr">
        <is>
          <t>BENELLI SPA</t>
        </is>
      </c>
      <c r="M2840" s="5" t="n">
        <v>955</v>
      </c>
      <c r="N2840" s="5" t="n"/>
      <c r="O2840" s="5">
        <f>+M2840+N2840</f>
        <v/>
      </c>
      <c r="P2840" s="4" t="n">
        <v>45932</v>
      </c>
      <c r="Q2840" s="87" t="n">
        <v>45932</v>
      </c>
      <c r="R2840" s="5" t="n">
        <v>1088.7</v>
      </c>
      <c r="S2840" s="2" t="n">
        <v>1</v>
      </c>
      <c r="T2840" s="3" t="inlineStr">
        <is>
          <t>6B/2025/5S</t>
        </is>
      </c>
      <c r="U2840" s="87" t="n">
        <v>45963</v>
      </c>
      <c r="V2840" s="3" t="inlineStr">
        <is>
          <t>32</t>
        </is>
      </c>
      <c r="W2840" s="108" t="n">
        <v>45963</v>
      </c>
      <c r="X2840" s="4" t="inlineStr">
        <is>
          <t>BIN HUMAID NATIONAL TRADING CO</t>
        </is>
      </c>
    </row>
    <row r="2841" ht="24" customHeight="1">
      <c r="A2841" s="2">
        <f>+D2841-S2841</f>
        <v/>
      </c>
      <c r="B2841" s="80" t="n">
        <v>4433</v>
      </c>
      <c r="C2841" s="66" t="n">
        <v>45946</v>
      </c>
      <c r="D2841" s="2" t="n">
        <v>1</v>
      </c>
      <c r="E2841" s="3" t="inlineStr">
        <is>
          <t>FUCILE SEMIAUTOMATICO</t>
        </is>
      </c>
      <c r="F2841" s="3" t="inlineStr">
        <is>
          <t>12</t>
        </is>
      </c>
      <c r="G2841" s="3" t="inlineStr">
        <is>
          <t>BENELLI</t>
        </is>
      </c>
      <c r="H2841" s="65" t="inlineStr">
        <is>
          <t xml:space="preserve">DUCA DI MONTEFELTRO 2024 30'' </t>
        </is>
      </c>
      <c r="I2841" s="65" t="inlineStr">
        <is>
          <t>M0201467G</t>
        </is>
      </c>
      <c r="J2841" s="65" t="inlineStr">
        <is>
          <t>C1690777E</t>
        </is>
      </c>
      <c r="K2841" s="65" t="inlineStr">
        <is>
          <t>N/D</t>
        </is>
      </c>
      <c r="L2841" s="127" t="inlineStr">
        <is>
          <t>BENELLI SPA</t>
        </is>
      </c>
      <c r="M2841" s="5" t="n">
        <v>955</v>
      </c>
      <c r="N2841" s="5" t="n"/>
      <c r="O2841" s="5">
        <f>+M2841+N2841</f>
        <v/>
      </c>
      <c r="P2841" s="4" t="n">
        <v>45932</v>
      </c>
      <c r="Q2841" s="87" t="n">
        <v>45932</v>
      </c>
      <c r="R2841" s="5" t="n">
        <v>1088.7</v>
      </c>
      <c r="S2841" s="2" t="n">
        <v>1</v>
      </c>
      <c r="T2841" s="3" t="inlineStr">
        <is>
          <t>6B/2025/5S</t>
        </is>
      </c>
      <c r="U2841" s="87" t="n">
        <v>45963</v>
      </c>
      <c r="V2841" s="3" t="inlineStr">
        <is>
          <t>32</t>
        </is>
      </c>
      <c r="W2841" s="108" t="n">
        <v>45963</v>
      </c>
      <c r="X2841" s="4" t="inlineStr">
        <is>
          <t>BIN HUMAID NATIONAL TRADING CO</t>
        </is>
      </c>
    </row>
    <row r="2842" ht="24" customHeight="1">
      <c r="A2842" s="2">
        <f>+D2842-S2842</f>
        <v/>
      </c>
      <c r="B2842" s="80" t="n">
        <v>4434</v>
      </c>
      <c r="C2842" s="66" t="n">
        <v>45946</v>
      </c>
      <c r="D2842" s="2" t="n">
        <v>1</v>
      </c>
      <c r="E2842" s="3" t="inlineStr">
        <is>
          <t>FUCILE SEMIAUTOMATICO</t>
        </is>
      </c>
      <c r="F2842" s="3" t="inlineStr">
        <is>
          <t>12</t>
        </is>
      </c>
      <c r="G2842" s="3" t="inlineStr">
        <is>
          <t>BENELLI</t>
        </is>
      </c>
      <c r="H2842" s="65" t="inlineStr">
        <is>
          <t xml:space="preserve">DUCA DI MONTEFELTRO 2024 30'' </t>
        </is>
      </c>
      <c r="I2842" s="65" t="inlineStr">
        <is>
          <t>M0201480D</t>
        </is>
      </c>
      <c r="J2842" s="65" t="inlineStr">
        <is>
          <t>C1690771Y</t>
        </is>
      </c>
      <c r="K2842" s="65" t="inlineStr">
        <is>
          <t>N/D</t>
        </is>
      </c>
      <c r="L2842" s="127" t="inlineStr">
        <is>
          <t>BENELLI SPA</t>
        </is>
      </c>
      <c r="M2842" s="5" t="n">
        <v>955</v>
      </c>
      <c r="N2842" s="5" t="n"/>
      <c r="O2842" s="5">
        <f>+M2842+N2842</f>
        <v/>
      </c>
      <c r="P2842" s="4" t="n">
        <v>45932</v>
      </c>
      <c r="Q2842" s="87" t="n">
        <v>45932</v>
      </c>
      <c r="R2842" s="5" t="n">
        <v>1088.7</v>
      </c>
      <c r="S2842" s="2" t="n">
        <v>1</v>
      </c>
      <c r="T2842" s="3" t="inlineStr">
        <is>
          <t>6B/2025/5S</t>
        </is>
      </c>
      <c r="U2842" s="87" t="n">
        <v>45963</v>
      </c>
      <c r="V2842" s="3" t="inlineStr">
        <is>
          <t>32</t>
        </is>
      </c>
      <c r="W2842" s="108" t="n">
        <v>45963</v>
      </c>
      <c r="X2842" s="4" t="inlineStr">
        <is>
          <t>BIN HUMAID NATIONAL TRADING CO</t>
        </is>
      </c>
    </row>
    <row r="2843" ht="24" customHeight="1">
      <c r="A2843" s="2">
        <f>+D2843-S2843</f>
        <v/>
      </c>
      <c r="B2843" s="80" t="n">
        <v>4435</v>
      </c>
      <c r="C2843" s="66" t="n">
        <v>45946</v>
      </c>
      <c r="D2843" s="2" t="n">
        <v>1</v>
      </c>
      <c r="E2843" s="3" t="inlineStr">
        <is>
          <t>FUCILE SEMIAUTOMATICO</t>
        </is>
      </c>
      <c r="F2843" s="3" t="inlineStr">
        <is>
          <t>12</t>
        </is>
      </c>
      <c r="G2843" s="3" t="inlineStr">
        <is>
          <t>BENELLI</t>
        </is>
      </c>
      <c r="H2843" s="65" t="inlineStr">
        <is>
          <t>BLACK EAGLE 30"</t>
        </is>
      </c>
      <c r="I2843" s="65" t="inlineStr">
        <is>
          <t>F453712Q</t>
        </is>
      </c>
      <c r="J2843" s="65" t="inlineStr">
        <is>
          <t>C1691274Y</t>
        </is>
      </c>
      <c r="K2843" s="65" t="inlineStr">
        <is>
          <t>N/D</t>
        </is>
      </c>
      <c r="L2843" s="127" t="inlineStr">
        <is>
          <t>BENELLI SPA</t>
        </is>
      </c>
      <c r="M2843" s="5" t="n">
        <v>1104</v>
      </c>
      <c r="N2843" s="5" t="n"/>
      <c r="O2843" s="5">
        <f>+M2843+N2843</f>
        <v/>
      </c>
      <c r="P2843" s="4" t="n">
        <v>45932</v>
      </c>
      <c r="Q2843" s="87" t="n">
        <v>45932</v>
      </c>
      <c r="R2843" s="5" t="n">
        <v>1862.76</v>
      </c>
      <c r="S2843" s="2" t="n">
        <v>1</v>
      </c>
      <c r="T2843" s="3" t="inlineStr">
        <is>
          <t>6B/2025/5S</t>
        </is>
      </c>
      <c r="U2843" s="87" t="n">
        <v>45963</v>
      </c>
      <c r="V2843" s="3" t="inlineStr">
        <is>
          <t>32</t>
        </is>
      </c>
      <c r="W2843" s="108" t="n">
        <v>45963</v>
      </c>
      <c r="X2843" s="4" t="inlineStr">
        <is>
          <t>BIN HUMAID NATIONAL TRADING CO</t>
        </is>
      </c>
    </row>
    <row r="2844" ht="24" customHeight="1">
      <c r="A2844" s="2">
        <f>+D2844-S2844</f>
        <v/>
      </c>
      <c r="B2844" s="80" t="n">
        <v>4436</v>
      </c>
      <c r="C2844" s="66" t="n">
        <v>45946</v>
      </c>
      <c r="D2844" s="2" t="n">
        <v>1</v>
      </c>
      <c r="E2844" s="3" t="inlineStr">
        <is>
          <t>FUCILE SEMIAUTOMATICO</t>
        </is>
      </c>
      <c r="F2844" s="3" t="inlineStr">
        <is>
          <t>12</t>
        </is>
      </c>
      <c r="G2844" s="3" t="inlineStr">
        <is>
          <t>BENELLI</t>
        </is>
      </c>
      <c r="H2844" s="65" t="inlineStr">
        <is>
          <t>BLACK EAGLE 30"</t>
        </is>
      </c>
      <c r="I2844" s="65" t="inlineStr">
        <is>
          <t>F453713S</t>
        </is>
      </c>
      <c r="J2844" s="65" t="inlineStr">
        <is>
          <t>C1691263V</t>
        </is>
      </c>
      <c r="K2844" s="65" t="inlineStr">
        <is>
          <t>N/D</t>
        </is>
      </c>
      <c r="L2844" s="127" t="inlineStr">
        <is>
          <t>BENELLI SPA</t>
        </is>
      </c>
      <c r="M2844" s="5" t="n">
        <v>1104</v>
      </c>
      <c r="N2844" s="5" t="n"/>
      <c r="O2844" s="5">
        <f>+M2844+N2844</f>
        <v/>
      </c>
      <c r="P2844" s="4" t="n">
        <v>45932</v>
      </c>
      <c r="Q2844" s="87" t="n">
        <v>45932</v>
      </c>
      <c r="R2844" s="5" t="n">
        <v>1862.76</v>
      </c>
      <c r="S2844" s="2" t="n">
        <v>1</v>
      </c>
      <c r="T2844" s="3" t="inlineStr">
        <is>
          <t>6B/2025/5S</t>
        </is>
      </c>
      <c r="U2844" s="87" t="n">
        <v>45963</v>
      </c>
      <c r="V2844" s="3" t="inlineStr">
        <is>
          <t>32</t>
        </is>
      </c>
      <c r="W2844" s="108" t="n">
        <v>45963</v>
      </c>
      <c r="X2844" s="4" t="inlineStr">
        <is>
          <t>BIN HUMAID NATIONAL TRADING CO</t>
        </is>
      </c>
    </row>
    <row r="2845" ht="24" customHeight="1">
      <c r="A2845" s="2">
        <f>+D2845-S2845</f>
        <v/>
      </c>
      <c r="B2845" s="80" t="n">
        <v>4437</v>
      </c>
      <c r="C2845" s="66" t="n">
        <v>45946</v>
      </c>
      <c r="D2845" s="2" t="n">
        <v>1</v>
      </c>
      <c r="E2845" s="3" t="inlineStr">
        <is>
          <t>FUCILE SEMIAUTOMATICO</t>
        </is>
      </c>
      <c r="F2845" s="3" t="inlineStr">
        <is>
          <t>12</t>
        </is>
      </c>
      <c r="G2845" s="3" t="inlineStr">
        <is>
          <t>BENELLI</t>
        </is>
      </c>
      <c r="H2845" s="65" t="inlineStr">
        <is>
          <t>BLACK EAGLE 30"</t>
        </is>
      </c>
      <c r="I2845" s="65" t="inlineStr">
        <is>
          <t>F453718D</t>
        </is>
      </c>
      <c r="J2845" s="65" t="inlineStr">
        <is>
          <t>C1691272W</t>
        </is>
      </c>
      <c r="K2845" s="65" t="inlineStr">
        <is>
          <t>N/D</t>
        </is>
      </c>
      <c r="L2845" s="127" t="inlineStr">
        <is>
          <t>BENELLI SPA</t>
        </is>
      </c>
      <c r="M2845" s="5" t="n">
        <v>1104</v>
      </c>
      <c r="N2845" s="5" t="n"/>
      <c r="O2845" s="5">
        <f>+M2845+N2845</f>
        <v/>
      </c>
      <c r="P2845" s="4" t="n">
        <v>45932</v>
      </c>
      <c r="Q2845" s="87" t="n">
        <v>45932</v>
      </c>
      <c r="R2845" s="5" t="n">
        <v>1862.76</v>
      </c>
      <c r="S2845" s="2" t="n">
        <v>1</v>
      </c>
      <c r="T2845" s="3" t="inlineStr">
        <is>
          <t>6B/2025/5S</t>
        </is>
      </c>
      <c r="U2845" s="87" t="n">
        <v>45963</v>
      </c>
      <c r="V2845" s="3" t="inlineStr">
        <is>
          <t>32</t>
        </is>
      </c>
      <c r="W2845" s="108" t="n">
        <v>45963</v>
      </c>
      <c r="X2845" s="4" t="inlineStr">
        <is>
          <t>BIN HUMAID NATIONAL TRADING CO</t>
        </is>
      </c>
    </row>
    <row r="2846" ht="24" customHeight="1">
      <c r="A2846" s="2">
        <f>+D2846-S2846</f>
        <v/>
      </c>
      <c r="B2846" s="80" t="n">
        <v>4438</v>
      </c>
      <c r="C2846" s="66" t="n">
        <v>45946</v>
      </c>
      <c r="D2846" s="2" t="n">
        <v>1</v>
      </c>
      <c r="E2846" s="3" t="inlineStr">
        <is>
          <t>FUCILE SEMIAUTOMATICO</t>
        </is>
      </c>
      <c r="F2846" s="3" t="inlineStr">
        <is>
          <t>12</t>
        </is>
      </c>
      <c r="G2846" s="3" t="inlineStr">
        <is>
          <t>BENELLI</t>
        </is>
      </c>
      <c r="H2846" s="65" t="inlineStr">
        <is>
          <t>BLACK EAGLE 30"</t>
        </is>
      </c>
      <c r="I2846" s="65" t="inlineStr">
        <is>
          <t>F453715X</t>
        </is>
      </c>
      <c r="J2846" s="65" t="inlineStr">
        <is>
          <t>C1691262U</t>
        </is>
      </c>
      <c r="K2846" s="65" t="inlineStr">
        <is>
          <t>N/D</t>
        </is>
      </c>
      <c r="L2846" s="127" t="inlineStr">
        <is>
          <t>BENELLI SPA</t>
        </is>
      </c>
      <c r="M2846" s="5" t="n">
        <v>1104</v>
      </c>
      <c r="N2846" s="5" t="n"/>
      <c r="O2846" s="5">
        <f>+M2846+N2846</f>
        <v/>
      </c>
      <c r="P2846" s="4" t="n">
        <v>45932</v>
      </c>
      <c r="Q2846" s="87" t="n">
        <v>45932</v>
      </c>
      <c r="R2846" s="5" t="n">
        <v>1862.76</v>
      </c>
      <c r="S2846" s="2" t="n">
        <v>1</v>
      </c>
      <c r="T2846" s="3" t="inlineStr">
        <is>
          <t>6B/2025/5S</t>
        </is>
      </c>
      <c r="U2846" s="87" t="n">
        <v>45963</v>
      </c>
      <c r="V2846" s="3" t="inlineStr">
        <is>
          <t>32</t>
        </is>
      </c>
      <c r="W2846" s="108" t="n">
        <v>45963</v>
      </c>
      <c r="X2846" s="4" t="inlineStr">
        <is>
          <t>BIN HUMAID NATIONAL TRADING CO</t>
        </is>
      </c>
    </row>
    <row r="2847" ht="24" customHeight="1">
      <c r="A2847" s="2">
        <f>+D2847-S2847</f>
        <v/>
      </c>
      <c r="B2847" s="80" t="n">
        <v>4439</v>
      </c>
      <c r="C2847" s="66" t="n">
        <v>45946</v>
      </c>
      <c r="D2847" s="2" t="n">
        <v>1</v>
      </c>
      <c r="E2847" s="3" t="inlineStr">
        <is>
          <t>FUCILE SEMIAUTOMATICO</t>
        </is>
      </c>
      <c r="F2847" s="3" t="inlineStr">
        <is>
          <t>12</t>
        </is>
      </c>
      <c r="G2847" s="3" t="inlineStr">
        <is>
          <t>BENELLI</t>
        </is>
      </c>
      <c r="H2847" s="65" t="inlineStr">
        <is>
          <t>ETHOS SUPER SPORT AI 30"</t>
        </is>
      </c>
      <c r="I2847" s="65" t="inlineStr">
        <is>
          <t>F451355Q</t>
        </is>
      </c>
      <c r="J2847" s="65" t="inlineStr">
        <is>
          <t>C1685279M</t>
        </is>
      </c>
      <c r="K2847" s="65" t="inlineStr">
        <is>
          <t>N/D</t>
        </is>
      </c>
      <c r="L2847" s="127" t="inlineStr">
        <is>
          <t>BENELLI SPA</t>
        </is>
      </c>
      <c r="M2847" s="5" t="n">
        <v>1634</v>
      </c>
      <c r="N2847" s="5" t="n"/>
      <c r="O2847" s="5">
        <f>+M2847+N2847</f>
        <v/>
      </c>
      <c r="P2847" s="4" t="n">
        <v>45932</v>
      </c>
      <c r="Q2847" s="87" t="n">
        <v>45932</v>
      </c>
      <c r="R2847" s="5" t="n">
        <v>1862.76</v>
      </c>
      <c r="S2847" s="2" t="n">
        <v>1</v>
      </c>
      <c r="T2847" s="3" t="inlineStr">
        <is>
          <t>6B/2025/5S</t>
        </is>
      </c>
      <c r="U2847" s="87" t="n">
        <v>45963</v>
      </c>
      <c r="V2847" s="3" t="inlineStr">
        <is>
          <t>32</t>
        </is>
      </c>
      <c r="W2847" s="108" t="n">
        <v>45963</v>
      </c>
      <c r="X2847" s="4" t="inlineStr">
        <is>
          <t>BIN HUMAID NATIONAL TRADING CO</t>
        </is>
      </c>
    </row>
    <row r="2848" ht="24" customHeight="1">
      <c r="A2848" s="2">
        <f>+D2848-S2848</f>
        <v/>
      </c>
      <c r="B2848" s="80" t="n">
        <v>4440</v>
      </c>
      <c r="C2848" s="66" t="n">
        <v>45946</v>
      </c>
      <c r="D2848" s="2" t="n">
        <v>1</v>
      </c>
      <c r="E2848" s="3" t="inlineStr">
        <is>
          <t>FUCILE SEMIAUTOMATICO</t>
        </is>
      </c>
      <c r="F2848" s="3" t="inlineStr">
        <is>
          <t>12</t>
        </is>
      </c>
      <c r="G2848" s="3" t="inlineStr">
        <is>
          <t>BENELLI</t>
        </is>
      </c>
      <c r="H2848" s="65" t="inlineStr">
        <is>
          <t>ETHOS SUPER SPORT AI 30"</t>
        </is>
      </c>
      <c r="I2848" s="65" t="inlineStr">
        <is>
          <t>F451356S</t>
        </is>
      </c>
      <c r="J2848" s="65" t="inlineStr">
        <is>
          <t>C1685280E</t>
        </is>
      </c>
      <c r="K2848" s="65" t="inlineStr">
        <is>
          <t>N/D</t>
        </is>
      </c>
      <c r="L2848" s="127" t="inlineStr">
        <is>
          <t>BENELLI SPA</t>
        </is>
      </c>
      <c r="M2848" s="5" t="n">
        <v>1634</v>
      </c>
      <c r="N2848" s="5" t="n"/>
      <c r="O2848" s="5">
        <f>+M2848+N2848</f>
        <v/>
      </c>
      <c r="P2848" s="4" t="n">
        <v>45932</v>
      </c>
      <c r="Q2848" s="87" t="n">
        <v>45932</v>
      </c>
      <c r="R2848" s="5" t="n">
        <v>1862.76</v>
      </c>
      <c r="S2848" s="2" t="n">
        <v>1</v>
      </c>
      <c r="T2848" s="3" t="inlineStr">
        <is>
          <t>6B/2025/5S</t>
        </is>
      </c>
      <c r="U2848" s="87" t="n">
        <v>45963</v>
      </c>
      <c r="V2848" s="3" t="inlineStr">
        <is>
          <t>32</t>
        </is>
      </c>
      <c r="W2848" s="108" t="n">
        <v>45963</v>
      </c>
      <c r="X2848" s="4" t="inlineStr">
        <is>
          <t>BIN HUMAID NATIONAL TRADING CO</t>
        </is>
      </c>
    </row>
    <row r="2849" ht="24" customHeight="1">
      <c r="A2849" s="2">
        <f>+D2849-S2849</f>
        <v/>
      </c>
      <c r="B2849" s="80" t="n">
        <v>4441</v>
      </c>
      <c r="C2849" s="66" t="n">
        <v>45946</v>
      </c>
      <c r="D2849" s="2" t="n">
        <v>1</v>
      </c>
      <c r="E2849" s="3" t="inlineStr">
        <is>
          <t>FUCILE SEMIAUTOMATICO</t>
        </is>
      </c>
      <c r="F2849" s="3" t="inlineStr">
        <is>
          <t>12</t>
        </is>
      </c>
      <c r="G2849" s="3" t="inlineStr">
        <is>
          <t>BENELLI</t>
        </is>
      </c>
      <c r="H2849" s="65" t="inlineStr">
        <is>
          <t>ETHOS SUPER SPORT AI 30"</t>
        </is>
      </c>
      <c r="I2849" s="65" t="inlineStr">
        <is>
          <t>F451365R</t>
        </is>
      </c>
      <c r="J2849" s="65" t="inlineStr">
        <is>
          <t>C1685289P</t>
        </is>
      </c>
      <c r="K2849" s="65" t="inlineStr">
        <is>
          <t>N/D</t>
        </is>
      </c>
      <c r="L2849" s="127" t="inlineStr">
        <is>
          <t>BENELLI SPA</t>
        </is>
      </c>
      <c r="M2849" s="5" t="n">
        <v>1634</v>
      </c>
      <c r="N2849" s="5" t="n"/>
      <c r="O2849" s="5">
        <f>+M2849+N2849</f>
        <v/>
      </c>
      <c r="P2849" s="4" t="n">
        <v>45932</v>
      </c>
      <c r="Q2849" s="87" t="n">
        <v>45932</v>
      </c>
      <c r="R2849" s="5" t="n">
        <v>1862.76</v>
      </c>
      <c r="S2849" s="2" t="n">
        <v>1</v>
      </c>
      <c r="T2849" s="3" t="inlineStr">
        <is>
          <t>6B/2025/5S</t>
        </is>
      </c>
      <c r="U2849" s="87" t="n">
        <v>45963</v>
      </c>
      <c r="V2849" s="3" t="inlineStr">
        <is>
          <t>32</t>
        </is>
      </c>
      <c r="W2849" s="108" t="n">
        <v>45963</v>
      </c>
      <c r="X2849" s="4" t="inlineStr">
        <is>
          <t>BIN HUMAID NATIONAL TRADING CO</t>
        </is>
      </c>
    </row>
    <row r="2850" ht="24" customHeight="1">
      <c r="A2850" s="2">
        <f>+D2850-S2850</f>
        <v/>
      </c>
      <c r="B2850" s="80" t="n">
        <v>4442</v>
      </c>
      <c r="C2850" s="66" t="n">
        <v>45946</v>
      </c>
      <c r="D2850" s="2" t="n">
        <v>1</v>
      </c>
      <c r="E2850" s="3" t="inlineStr">
        <is>
          <t>FUCILE SEMIAUTOMATICO</t>
        </is>
      </c>
      <c r="F2850" s="3" t="inlineStr">
        <is>
          <t>12</t>
        </is>
      </c>
      <c r="G2850" s="3" t="inlineStr">
        <is>
          <t>BENELLI</t>
        </is>
      </c>
      <c r="H2850" s="65" t="inlineStr">
        <is>
          <t>ETHOS SUPER SPORT AI 30"</t>
        </is>
      </c>
      <c r="I2850" s="65" t="inlineStr">
        <is>
          <t>F451364N</t>
        </is>
      </c>
      <c r="J2850" s="65" t="inlineStr">
        <is>
          <t>C1685288N</t>
        </is>
      </c>
      <c r="K2850" s="65" t="inlineStr">
        <is>
          <t>N/D</t>
        </is>
      </c>
      <c r="L2850" s="127" t="inlineStr">
        <is>
          <t>BENELLI SPA</t>
        </is>
      </c>
      <c r="M2850" s="5" t="n">
        <v>1634</v>
      </c>
      <c r="N2850" s="5" t="n"/>
      <c r="O2850" s="5">
        <f>+M2850+N2850</f>
        <v/>
      </c>
      <c r="P2850" s="4" t="n">
        <v>45932</v>
      </c>
      <c r="Q2850" s="87" t="n">
        <v>45932</v>
      </c>
      <c r="R2850" s="5" t="n">
        <v>1862.76</v>
      </c>
      <c r="S2850" s="2" t="n">
        <v>1</v>
      </c>
      <c r="T2850" s="3" t="inlineStr">
        <is>
          <t>6B/2025/5S</t>
        </is>
      </c>
      <c r="U2850" s="87" t="n">
        <v>45963</v>
      </c>
      <c r="V2850" s="3" t="inlineStr">
        <is>
          <t>32</t>
        </is>
      </c>
      <c r="W2850" s="108" t="n">
        <v>45963</v>
      </c>
      <c r="X2850" s="4" t="inlineStr">
        <is>
          <t>BIN HUMAID NATIONAL TRADING CO</t>
        </is>
      </c>
    </row>
    <row r="2851" ht="24" customHeight="1">
      <c r="A2851" s="2">
        <f>+D2851-S2851</f>
        <v/>
      </c>
      <c r="B2851" s="80" t="n">
        <v>4443</v>
      </c>
      <c r="C2851" s="66" t="n">
        <v>45946</v>
      </c>
      <c r="D2851" s="2" t="n">
        <v>1</v>
      </c>
      <c r="E2851" s="3" t="inlineStr">
        <is>
          <t>FUCILE SEMIAUTOMATICO</t>
        </is>
      </c>
      <c r="F2851" s="3" t="inlineStr">
        <is>
          <t>12</t>
        </is>
      </c>
      <c r="G2851" s="3" t="inlineStr">
        <is>
          <t>BENELLI</t>
        </is>
      </c>
      <c r="H2851" s="65" t="inlineStr">
        <is>
          <t>ETHOS SUPER SPORT AI 30"</t>
        </is>
      </c>
      <c r="I2851" s="65" t="inlineStr">
        <is>
          <t>F454817E</t>
        </is>
      </c>
      <c r="J2851" s="65" t="inlineStr">
        <is>
          <t>C1693654C</t>
        </is>
      </c>
      <c r="K2851" s="65" t="inlineStr">
        <is>
          <t>N/D</t>
        </is>
      </c>
      <c r="L2851" s="127" t="inlineStr">
        <is>
          <t>BENELLI SPA</t>
        </is>
      </c>
      <c r="M2851" s="5" t="n">
        <v>1634</v>
      </c>
      <c r="N2851" s="5" t="n"/>
      <c r="O2851" s="5">
        <f>+M2851+N2851</f>
        <v/>
      </c>
      <c r="P2851" s="4" t="n">
        <v>45932</v>
      </c>
      <c r="Q2851" s="87" t="n">
        <v>45932</v>
      </c>
      <c r="R2851" s="5" t="n">
        <v>1862.76</v>
      </c>
      <c r="S2851" s="2" t="n">
        <v>1</v>
      </c>
      <c r="T2851" s="3" t="inlineStr">
        <is>
          <t>6B/2025/5S</t>
        </is>
      </c>
      <c r="U2851" s="87" t="n">
        <v>45963</v>
      </c>
      <c r="V2851" s="3" t="inlineStr">
        <is>
          <t>32</t>
        </is>
      </c>
      <c r="W2851" s="108" t="n">
        <v>45963</v>
      </c>
      <c r="X2851" s="4" t="inlineStr">
        <is>
          <t>BIN HUMAID NATIONAL TRADING CO</t>
        </is>
      </c>
    </row>
    <row r="2852" ht="24" customHeight="1">
      <c r="A2852" s="2">
        <f>+D2852-S2852</f>
        <v/>
      </c>
      <c r="B2852" s="80" t="n">
        <v>4444</v>
      </c>
      <c r="C2852" s="66" t="n">
        <v>45946</v>
      </c>
      <c r="D2852" s="2" t="n">
        <v>1</v>
      </c>
      <c r="E2852" s="3" t="inlineStr">
        <is>
          <t>FUCILE SEMIAUTOMATICO</t>
        </is>
      </c>
      <c r="F2852" s="3" t="inlineStr">
        <is>
          <t>12</t>
        </is>
      </c>
      <c r="G2852" s="3" t="inlineStr">
        <is>
          <t>BENELLI</t>
        </is>
      </c>
      <c r="H2852" s="65" t="inlineStr">
        <is>
          <t>ETHOS SUPER SPORT AI 30"</t>
        </is>
      </c>
      <c r="I2852" s="65" t="inlineStr">
        <is>
          <t>F454800N</t>
        </is>
      </c>
      <c r="J2852" s="65" t="inlineStr">
        <is>
          <t>C1693637A</t>
        </is>
      </c>
      <c r="K2852" s="65" t="inlineStr">
        <is>
          <t>N/D</t>
        </is>
      </c>
      <c r="L2852" s="127" t="inlineStr">
        <is>
          <t>BENELLI SPA</t>
        </is>
      </c>
      <c r="M2852" s="5" t="n">
        <v>1634</v>
      </c>
      <c r="N2852" s="5" t="n"/>
      <c r="O2852" s="5">
        <f>+M2852+N2852</f>
        <v/>
      </c>
      <c r="P2852" s="4" t="n">
        <v>45932</v>
      </c>
      <c r="Q2852" s="87" t="n">
        <v>45932</v>
      </c>
      <c r="R2852" s="5" t="n">
        <v>1862.76</v>
      </c>
      <c r="S2852" s="2" t="n">
        <v>1</v>
      </c>
      <c r="T2852" s="3" t="inlineStr">
        <is>
          <t>6B/2025/5S</t>
        </is>
      </c>
      <c r="U2852" s="87" t="n">
        <v>45963</v>
      </c>
      <c r="V2852" s="3" t="inlineStr">
        <is>
          <t>32</t>
        </is>
      </c>
      <c r="W2852" s="108" t="n">
        <v>45963</v>
      </c>
      <c r="X2852" s="4" t="inlineStr">
        <is>
          <t>BIN HUMAID NATIONAL TRADING CO</t>
        </is>
      </c>
    </row>
    <row r="2853" ht="24" customHeight="1">
      <c r="A2853" s="2">
        <f>+D2853-S2853</f>
        <v/>
      </c>
      <c r="B2853" s="80" t="n">
        <v>4445</v>
      </c>
      <c r="C2853" s="66" t="n">
        <v>45946</v>
      </c>
      <c r="D2853" s="2" t="n">
        <v>1</v>
      </c>
      <c r="E2853" s="3" t="inlineStr">
        <is>
          <t>FUCILE SEMIAUTOMATICO</t>
        </is>
      </c>
      <c r="F2853" s="3" t="inlineStr">
        <is>
          <t>12</t>
        </is>
      </c>
      <c r="G2853" s="3" t="inlineStr">
        <is>
          <t>BENELLI</t>
        </is>
      </c>
      <c r="H2853" s="65" t="inlineStr">
        <is>
          <t>ETHOS SUPER SPORT AI 30"</t>
        </is>
      </c>
      <c r="I2853" s="65" t="inlineStr">
        <is>
          <t>F454809H</t>
        </is>
      </c>
      <c r="J2853" s="65" t="inlineStr">
        <is>
          <t>C1693646B</t>
        </is>
      </c>
      <c r="K2853" s="65" t="inlineStr">
        <is>
          <t>N/D</t>
        </is>
      </c>
      <c r="L2853" s="127" t="inlineStr">
        <is>
          <t>BENELLI SPA</t>
        </is>
      </c>
      <c r="M2853" s="5" t="n">
        <v>1634</v>
      </c>
      <c r="N2853" s="5" t="n"/>
      <c r="O2853" s="5">
        <f>+M2853+N2853</f>
        <v/>
      </c>
      <c r="P2853" s="4" t="n">
        <v>45932</v>
      </c>
      <c r="Q2853" s="87" t="n">
        <v>45932</v>
      </c>
      <c r="R2853" s="5" t="n">
        <v>1862.76</v>
      </c>
      <c r="S2853" s="2" t="n">
        <v>1</v>
      </c>
      <c r="T2853" s="3" t="inlineStr">
        <is>
          <t>6B/2025/5S</t>
        </is>
      </c>
      <c r="U2853" s="87" t="n">
        <v>45963</v>
      </c>
      <c r="V2853" s="3" t="inlineStr">
        <is>
          <t>32</t>
        </is>
      </c>
      <c r="W2853" s="108" t="n">
        <v>45963</v>
      </c>
      <c r="X2853" s="4" t="inlineStr">
        <is>
          <t>BIN HUMAID NATIONAL TRADING CO</t>
        </is>
      </c>
    </row>
    <row r="2854" ht="24" customHeight="1">
      <c r="A2854" s="2">
        <f>+D2854-S2854</f>
        <v/>
      </c>
      <c r="B2854" s="80" t="n">
        <v>4446</v>
      </c>
      <c r="C2854" s="66" t="n">
        <v>45946</v>
      </c>
      <c r="D2854" s="2" t="n">
        <v>1</v>
      </c>
      <c r="E2854" s="3" t="inlineStr">
        <is>
          <t>FUCILE SEMIAUTOMATICO</t>
        </is>
      </c>
      <c r="F2854" s="3" t="inlineStr">
        <is>
          <t>12</t>
        </is>
      </c>
      <c r="G2854" s="3" t="inlineStr">
        <is>
          <t>BENELLI</t>
        </is>
      </c>
      <c r="H2854" s="65" t="inlineStr">
        <is>
          <t>ETHOS SUPER SPORT AI 30"</t>
        </is>
      </c>
      <c r="I2854" s="65" t="inlineStr">
        <is>
          <t>F452897L</t>
        </is>
      </c>
      <c r="J2854" s="65" t="inlineStr">
        <is>
          <t>C1693641W</t>
        </is>
      </c>
      <c r="K2854" s="65" t="inlineStr">
        <is>
          <t>N/D</t>
        </is>
      </c>
      <c r="L2854" s="127" t="inlineStr">
        <is>
          <t>BENELLI SPA</t>
        </is>
      </c>
      <c r="M2854" s="5" t="n">
        <v>1634</v>
      </c>
      <c r="N2854" s="5" t="n"/>
      <c r="O2854" s="5">
        <f>+M2854+N2854</f>
        <v/>
      </c>
      <c r="P2854" s="4" t="n">
        <v>45932</v>
      </c>
      <c r="Q2854" s="87" t="n">
        <v>45932</v>
      </c>
      <c r="R2854" s="5" t="n">
        <v>1862.76</v>
      </c>
      <c r="S2854" s="2" t="n">
        <v>1</v>
      </c>
      <c r="T2854" s="3" t="inlineStr">
        <is>
          <t>6B/2025/5S</t>
        </is>
      </c>
      <c r="U2854" s="87" t="n">
        <v>45963</v>
      </c>
      <c r="V2854" s="3" t="inlineStr">
        <is>
          <t>32</t>
        </is>
      </c>
      <c r="W2854" s="108" t="n">
        <v>45963</v>
      </c>
      <c r="X2854" s="4" t="inlineStr">
        <is>
          <t>BIN HUMAID NATIONAL TRADING CO</t>
        </is>
      </c>
    </row>
    <row r="2855" ht="24" customHeight="1">
      <c r="A2855" s="2">
        <f>+D2855-S2855</f>
        <v/>
      </c>
      <c r="B2855" s="80" t="n">
        <v>4447</v>
      </c>
      <c r="C2855" s="66" t="n">
        <v>45946</v>
      </c>
      <c r="D2855" s="2" t="n">
        <v>1</v>
      </c>
      <c r="E2855" s="3" t="inlineStr">
        <is>
          <t>FUCILE SEMIAUTOMATICO</t>
        </is>
      </c>
      <c r="F2855" s="3" t="inlineStr">
        <is>
          <t>12</t>
        </is>
      </c>
      <c r="G2855" s="3" t="inlineStr">
        <is>
          <t>BENELLI</t>
        </is>
      </c>
      <c r="H2855" s="65" t="inlineStr">
        <is>
          <t xml:space="preserve">BLACK EAGLE MAX7 30" </t>
        </is>
      </c>
      <c r="I2855" s="65" t="inlineStr">
        <is>
          <t>F449360K</t>
        </is>
      </c>
      <c r="J2855" s="65" t="inlineStr">
        <is>
          <t>C1678206Y</t>
        </is>
      </c>
      <c r="K2855" s="65" t="inlineStr">
        <is>
          <t>N/D</t>
        </is>
      </c>
      <c r="L2855" s="127" t="inlineStr">
        <is>
          <t>BENELLI SPA</t>
        </is>
      </c>
      <c r="M2855" s="5" t="n">
        <v>1218</v>
      </c>
      <c r="N2855" s="5" t="n"/>
      <c r="O2855" s="5">
        <f>+M2855+N2855</f>
        <v/>
      </c>
      <c r="P2855" s="4" t="n">
        <v>45932</v>
      </c>
      <c r="Q2855" s="87" t="n">
        <v>45932</v>
      </c>
      <c r="R2855" s="5" t="n">
        <v>1389</v>
      </c>
      <c r="S2855" s="2" t="n">
        <v>1</v>
      </c>
      <c r="T2855" s="3" t="inlineStr">
        <is>
          <t>6B/2025/5S</t>
        </is>
      </c>
      <c r="U2855" s="87" t="n">
        <v>45963</v>
      </c>
      <c r="V2855" s="3" t="inlineStr">
        <is>
          <t>32</t>
        </is>
      </c>
      <c r="W2855" s="108" t="n">
        <v>45963</v>
      </c>
      <c r="X2855" s="4" t="inlineStr">
        <is>
          <t>BIN HUMAID NATIONAL TRADING CO</t>
        </is>
      </c>
    </row>
    <row r="2856" ht="24" customHeight="1">
      <c r="A2856" s="2">
        <f>+D2856-S2856</f>
        <v/>
      </c>
      <c r="B2856" s="80" t="n">
        <v>4448</v>
      </c>
      <c r="C2856" s="66" t="n">
        <v>45946</v>
      </c>
      <c r="D2856" s="2" t="n">
        <v>1</v>
      </c>
      <c r="E2856" s="3" t="inlineStr">
        <is>
          <t>FUCILE SEMIAUTOMATICO</t>
        </is>
      </c>
      <c r="F2856" s="3" t="inlineStr">
        <is>
          <t>12</t>
        </is>
      </c>
      <c r="G2856" s="3" t="inlineStr">
        <is>
          <t>BENELLI</t>
        </is>
      </c>
      <c r="H2856" s="65" t="inlineStr">
        <is>
          <t xml:space="preserve">BLACK EAGLE MAX7 30" </t>
        </is>
      </c>
      <c r="I2856" s="65" t="inlineStr">
        <is>
          <t>F451680P</t>
        </is>
      </c>
      <c r="J2856" s="65" t="inlineStr">
        <is>
          <t>C1686299T</t>
        </is>
      </c>
      <c r="K2856" s="65" t="inlineStr">
        <is>
          <t>N/D</t>
        </is>
      </c>
      <c r="L2856" s="127" t="inlineStr">
        <is>
          <t>BENELLI SPA</t>
        </is>
      </c>
      <c r="M2856" s="5" t="n">
        <v>1218</v>
      </c>
      <c r="N2856" s="5" t="n"/>
      <c r="O2856" s="5">
        <f>+M2856+N2856</f>
        <v/>
      </c>
      <c r="P2856" s="4" t="n">
        <v>45932</v>
      </c>
      <c r="Q2856" s="87" t="n">
        <v>45932</v>
      </c>
      <c r="R2856" s="5" t="n">
        <v>1389</v>
      </c>
      <c r="S2856" s="2" t="n">
        <v>1</v>
      </c>
      <c r="T2856" s="3" t="inlineStr">
        <is>
          <t>6B/2025/5S</t>
        </is>
      </c>
      <c r="U2856" s="87" t="n">
        <v>45963</v>
      </c>
      <c r="V2856" s="3" t="inlineStr">
        <is>
          <t>32</t>
        </is>
      </c>
      <c r="W2856" s="108" t="n">
        <v>45963</v>
      </c>
      <c r="X2856" s="4" t="inlineStr">
        <is>
          <t>BIN HUMAID NATIONAL TRADING CO</t>
        </is>
      </c>
    </row>
    <row r="2857" ht="24" customHeight="1">
      <c r="A2857" s="2">
        <f>+D2857-S2857</f>
        <v/>
      </c>
      <c r="B2857" s="80" t="n">
        <v>4449</v>
      </c>
      <c r="C2857" s="66" t="n">
        <v>45946</v>
      </c>
      <c r="D2857" s="2" t="n">
        <v>1</v>
      </c>
      <c r="E2857" s="3" t="inlineStr">
        <is>
          <t>FUCILE SEMIAUTOMATICO</t>
        </is>
      </c>
      <c r="F2857" s="3" t="inlineStr">
        <is>
          <t>12</t>
        </is>
      </c>
      <c r="G2857" s="3" t="inlineStr">
        <is>
          <t>BENELLI</t>
        </is>
      </c>
      <c r="H2857" s="65" t="inlineStr">
        <is>
          <t>ETHOS SUPER SPORT AI 30"</t>
        </is>
      </c>
      <c r="I2857" s="65" t="inlineStr">
        <is>
          <t>F454815A</t>
        </is>
      </c>
      <c r="J2857" s="65" t="inlineStr">
        <is>
          <t>C1693652A</t>
        </is>
      </c>
      <c r="K2857" s="65" t="inlineStr">
        <is>
          <t>N/D</t>
        </is>
      </c>
      <c r="L2857" s="127" t="inlineStr">
        <is>
          <t>BENELLI SPA</t>
        </is>
      </c>
      <c r="M2857" s="5" t="n">
        <v>1634</v>
      </c>
      <c r="N2857" s="5" t="n"/>
      <c r="O2857" s="5">
        <f>+M2857+N2857</f>
        <v/>
      </c>
      <c r="P2857" s="4" t="n">
        <v>45932</v>
      </c>
      <c r="Q2857" s="87" t="n">
        <v>45932</v>
      </c>
      <c r="R2857" s="5" t="n">
        <v>1862.76</v>
      </c>
      <c r="S2857" s="2" t="n">
        <v>1</v>
      </c>
      <c r="T2857" s="3" t="inlineStr">
        <is>
          <t>6B/2025/5S</t>
        </is>
      </c>
      <c r="U2857" s="87" t="n">
        <v>45963</v>
      </c>
      <c r="V2857" s="3" t="inlineStr">
        <is>
          <t>32</t>
        </is>
      </c>
      <c r="W2857" s="108" t="n">
        <v>45963</v>
      </c>
      <c r="X2857" s="4" t="inlineStr">
        <is>
          <t>BIN HUMAID NATIONAL TRADING CO</t>
        </is>
      </c>
    </row>
    <row r="2858" ht="24" customHeight="1">
      <c r="A2858" s="2">
        <f>+D2858-S2858</f>
        <v/>
      </c>
      <c r="B2858" s="80" t="n">
        <v>4450</v>
      </c>
      <c r="C2858" s="66" t="n">
        <v>45946</v>
      </c>
      <c r="D2858" s="2" t="n">
        <v>1</v>
      </c>
      <c r="E2858" s="3" t="inlineStr">
        <is>
          <t>FUCILE SEMIAUTOMATICO</t>
        </is>
      </c>
      <c r="F2858" s="3" t="inlineStr">
        <is>
          <t>12</t>
        </is>
      </c>
      <c r="G2858" s="3" t="inlineStr">
        <is>
          <t>BENELLI</t>
        </is>
      </c>
      <c r="H2858" s="65" t="inlineStr">
        <is>
          <t>M2-PRO MAX7 30''</t>
        </is>
      </c>
      <c r="I2858" s="65" t="inlineStr">
        <is>
          <t>M0195450P</t>
        </is>
      </c>
      <c r="J2858" s="65" t="inlineStr">
        <is>
          <t>C1680321G</t>
        </is>
      </c>
      <c r="K2858" s="65" t="inlineStr">
        <is>
          <t>N/D</t>
        </is>
      </c>
      <c r="L2858" s="127" t="inlineStr">
        <is>
          <t>BENELLI SPA</t>
        </is>
      </c>
      <c r="M2858" s="5" t="n">
        <v>985</v>
      </c>
      <c r="N2858" s="5" t="n"/>
      <c r="O2858" s="5">
        <f>+M2858+N2858</f>
        <v/>
      </c>
      <c r="P2858" s="4" t="n">
        <v>45932</v>
      </c>
      <c r="Q2858" s="87" t="n">
        <v>45932</v>
      </c>
      <c r="R2858" s="5" t="n">
        <v>1133</v>
      </c>
      <c r="S2858" s="2" t="n">
        <v>1</v>
      </c>
      <c r="T2858" s="3" t="inlineStr">
        <is>
          <t>6B/2025/5S</t>
        </is>
      </c>
      <c r="U2858" s="87" t="n">
        <v>45963</v>
      </c>
      <c r="V2858" s="3" t="inlineStr">
        <is>
          <t>32</t>
        </is>
      </c>
      <c r="W2858" s="108" t="n">
        <v>45963</v>
      </c>
      <c r="X2858" s="4" t="inlineStr">
        <is>
          <t>BIN HUMAID NATIONAL TRADING CO</t>
        </is>
      </c>
    </row>
    <row r="2859" ht="24" customHeight="1">
      <c r="A2859" s="2">
        <f>+D2859-S2859</f>
        <v/>
      </c>
      <c r="B2859" s="80" t="n">
        <v>4451</v>
      </c>
      <c r="C2859" s="66" t="n">
        <v>45946</v>
      </c>
      <c r="D2859" s="2" t="n">
        <v>1</v>
      </c>
      <c r="E2859" s="3" t="inlineStr">
        <is>
          <t>FUCILE SEMIAUTOMATICO</t>
        </is>
      </c>
      <c r="F2859" s="3" t="inlineStr">
        <is>
          <t>12</t>
        </is>
      </c>
      <c r="G2859" s="3" t="inlineStr">
        <is>
          <t>BENELLI</t>
        </is>
      </c>
      <c r="H2859" s="65" t="inlineStr">
        <is>
          <t>M2-PRO MAX7 30''</t>
        </is>
      </c>
      <c r="I2859" s="65" t="inlineStr">
        <is>
          <t>M0195449V</t>
        </is>
      </c>
      <c r="J2859" s="65" t="inlineStr">
        <is>
          <t>C1680320F</t>
        </is>
      </c>
      <c r="K2859" s="65" t="inlineStr">
        <is>
          <t>N/D</t>
        </is>
      </c>
      <c r="L2859" s="127" t="inlineStr">
        <is>
          <t>BENELLI SPA</t>
        </is>
      </c>
      <c r="M2859" s="5" t="n">
        <v>985</v>
      </c>
      <c r="N2859" s="5" t="n"/>
      <c r="O2859" s="5">
        <f>+M2859+N2859</f>
        <v/>
      </c>
      <c r="P2859" s="4" t="n">
        <v>45932</v>
      </c>
      <c r="Q2859" s="87" t="n">
        <v>45932</v>
      </c>
      <c r="R2859" s="5" t="n">
        <v>1133</v>
      </c>
      <c r="S2859" s="2" t="n">
        <v>1</v>
      </c>
      <c r="T2859" s="3" t="inlineStr">
        <is>
          <t>6B/2025/5S</t>
        </is>
      </c>
      <c r="U2859" s="87" t="n">
        <v>45963</v>
      </c>
      <c r="V2859" s="3" t="inlineStr">
        <is>
          <t>32</t>
        </is>
      </c>
      <c r="W2859" s="108" t="n">
        <v>45963</v>
      </c>
      <c r="X2859" s="4" t="inlineStr">
        <is>
          <t>BIN HUMAID NATIONAL TRADING CO</t>
        </is>
      </c>
    </row>
    <row r="2860" ht="24" customHeight="1">
      <c r="A2860" s="2">
        <f>+D2860-S2860</f>
        <v/>
      </c>
      <c r="B2860" s="80" t="n">
        <v>4452</v>
      </c>
      <c r="C2860" s="66" t="n">
        <v>45946</v>
      </c>
      <c r="D2860" s="2" t="n">
        <v>1</v>
      </c>
      <c r="E2860" s="3" t="inlineStr">
        <is>
          <t>FUCILE SEMIAUTOMATICO</t>
        </is>
      </c>
      <c r="F2860" s="3" t="inlineStr">
        <is>
          <t>12</t>
        </is>
      </c>
      <c r="G2860" s="3" t="inlineStr">
        <is>
          <t>BENELLI</t>
        </is>
      </c>
      <c r="H2860" s="65" t="inlineStr">
        <is>
          <t>M2-PRO MAX7 30''</t>
        </is>
      </c>
      <c r="I2860" s="65" t="inlineStr">
        <is>
          <t>M0195441M</t>
        </is>
      </c>
      <c r="J2860" s="65" t="inlineStr">
        <is>
          <t>C1680319N</t>
        </is>
      </c>
      <c r="K2860" s="65" t="inlineStr">
        <is>
          <t>N/D</t>
        </is>
      </c>
      <c r="L2860" s="127" t="inlineStr">
        <is>
          <t>BENELLI SPA</t>
        </is>
      </c>
      <c r="M2860" s="5" t="n">
        <v>985</v>
      </c>
      <c r="N2860" s="5" t="n"/>
      <c r="O2860" s="5">
        <f>+M2860+N2860</f>
        <v/>
      </c>
      <c r="P2860" s="4" t="n">
        <v>45932</v>
      </c>
      <c r="Q2860" s="87" t="n">
        <v>45932</v>
      </c>
      <c r="R2860" s="5" t="n">
        <v>1133</v>
      </c>
      <c r="S2860" s="2" t="n">
        <v>1</v>
      </c>
      <c r="T2860" s="3" t="inlineStr">
        <is>
          <t>6B/2025/5S</t>
        </is>
      </c>
      <c r="U2860" s="87" t="n">
        <v>45963</v>
      </c>
      <c r="V2860" s="3" t="inlineStr">
        <is>
          <t>32</t>
        </is>
      </c>
      <c r="W2860" s="108" t="n">
        <v>45963</v>
      </c>
      <c r="X2860" s="4" t="inlineStr">
        <is>
          <t>BIN HUMAID NATIONAL TRADING CO</t>
        </is>
      </c>
    </row>
    <row r="2861" ht="24" customHeight="1">
      <c r="A2861" s="2">
        <f>+D2861-S2861</f>
        <v/>
      </c>
      <c r="B2861" s="80" t="n">
        <v>4453</v>
      </c>
      <c r="C2861" s="66" t="n">
        <v>45946</v>
      </c>
      <c r="D2861" s="2" t="n">
        <v>1</v>
      </c>
      <c r="E2861" s="3" t="inlineStr">
        <is>
          <t>FUCILE SEMIAUTOMATICO</t>
        </is>
      </c>
      <c r="F2861" s="3" t="inlineStr">
        <is>
          <t>12</t>
        </is>
      </c>
      <c r="G2861" s="3" t="inlineStr">
        <is>
          <t>BENELLI</t>
        </is>
      </c>
      <c r="H2861" s="65" t="inlineStr">
        <is>
          <t>M2-PRO MAX7 30''</t>
        </is>
      </c>
      <c r="I2861" s="65" t="inlineStr">
        <is>
          <t>M0195442N</t>
        </is>
      </c>
      <c r="J2861" s="65" t="inlineStr">
        <is>
          <t>C1680318M</t>
        </is>
      </c>
      <c r="K2861" s="65" t="inlineStr">
        <is>
          <t>N/D</t>
        </is>
      </c>
      <c r="L2861" s="127" t="inlineStr">
        <is>
          <t>BENELLI SPA</t>
        </is>
      </c>
      <c r="M2861" s="5" t="n">
        <v>985</v>
      </c>
      <c r="N2861" s="5" t="n"/>
      <c r="O2861" s="5">
        <f>+M2861+N2861</f>
        <v/>
      </c>
      <c r="P2861" s="4" t="n">
        <v>45932</v>
      </c>
      <c r="Q2861" s="87" t="n">
        <v>45932</v>
      </c>
      <c r="R2861" s="5" t="n">
        <v>1133</v>
      </c>
      <c r="S2861" s="2" t="n">
        <v>1</v>
      </c>
      <c r="T2861" s="3" t="inlineStr">
        <is>
          <t>6B/2025/5S</t>
        </is>
      </c>
      <c r="U2861" s="87" t="n">
        <v>45963</v>
      </c>
      <c r="V2861" s="3" t="inlineStr">
        <is>
          <t>32</t>
        </is>
      </c>
      <c r="W2861" s="108" t="n">
        <v>45963</v>
      </c>
      <c r="X2861" s="4" t="inlineStr">
        <is>
          <t>BIN HUMAID NATIONAL TRADING CO</t>
        </is>
      </c>
    </row>
    <row r="2862" ht="24" customHeight="1">
      <c r="A2862" s="2">
        <f>+D2862-S2862</f>
        <v/>
      </c>
      <c r="B2862" s="80" t="n">
        <v>4454</v>
      </c>
      <c r="C2862" s="66" t="n">
        <v>45946</v>
      </c>
      <c r="D2862" s="2" t="n">
        <v>1</v>
      </c>
      <c r="E2862" s="3" t="inlineStr">
        <is>
          <t>FUCILE SEMIAUTOMATICO</t>
        </is>
      </c>
      <c r="F2862" s="3" t="inlineStr">
        <is>
          <t>12</t>
        </is>
      </c>
      <c r="G2862" s="3" t="inlineStr">
        <is>
          <t>BENELLI</t>
        </is>
      </c>
      <c r="H2862" s="65" t="inlineStr">
        <is>
          <t>M2-PRO MAX7 30''</t>
        </is>
      </c>
      <c r="I2862" s="65" t="inlineStr">
        <is>
          <t>M0195443P</t>
        </is>
      </c>
      <c r="J2862" s="65" t="inlineStr">
        <is>
          <t>C1680338R</t>
        </is>
      </c>
      <c r="K2862" s="65" t="inlineStr">
        <is>
          <t>N/D</t>
        </is>
      </c>
      <c r="L2862" s="127" t="inlineStr">
        <is>
          <t>BENELLI SPA</t>
        </is>
      </c>
      <c r="M2862" s="5" t="n">
        <v>985</v>
      </c>
      <c r="N2862" s="5" t="n"/>
      <c r="O2862" s="5">
        <f>+M2862+N2862</f>
        <v/>
      </c>
      <c r="P2862" s="4" t="n">
        <v>45932</v>
      </c>
      <c r="Q2862" s="87" t="n">
        <v>45932</v>
      </c>
      <c r="R2862" s="5" t="n">
        <v>1133</v>
      </c>
      <c r="S2862" s="2" t="n">
        <v>1</v>
      </c>
      <c r="T2862" s="3" t="inlineStr">
        <is>
          <t>6B/2025/5S</t>
        </is>
      </c>
      <c r="U2862" s="87" t="n">
        <v>45963</v>
      </c>
      <c r="V2862" s="3" t="inlineStr">
        <is>
          <t>32</t>
        </is>
      </c>
      <c r="W2862" s="108" t="n">
        <v>45963</v>
      </c>
      <c r="X2862" s="4" t="inlineStr">
        <is>
          <t>BIN HUMAID NATIONAL TRADING CO</t>
        </is>
      </c>
    </row>
    <row r="2863" ht="24" customHeight="1">
      <c r="A2863" s="2">
        <f>+D2863-S2863</f>
        <v/>
      </c>
      <c r="B2863" s="80" t="n">
        <v>4455</v>
      </c>
      <c r="C2863" s="66" t="n">
        <v>45946</v>
      </c>
      <c r="D2863" s="2" t="n">
        <v>1</v>
      </c>
      <c r="E2863" s="3" t="inlineStr">
        <is>
          <t>FUCILE SEMIAUTOMATICO</t>
        </is>
      </c>
      <c r="F2863" s="3" t="inlineStr">
        <is>
          <t>12</t>
        </is>
      </c>
      <c r="G2863" s="3" t="inlineStr">
        <is>
          <t>BENELLI</t>
        </is>
      </c>
      <c r="H2863" s="65" t="inlineStr">
        <is>
          <t>M2 BLACK 2023 30''</t>
        </is>
      </c>
      <c r="I2863" s="65" t="inlineStr">
        <is>
          <t>M0199181B</t>
        </is>
      </c>
      <c r="J2863" s="65" t="inlineStr">
        <is>
          <t>C1686240X</t>
        </is>
      </c>
      <c r="K2863" s="65" t="inlineStr">
        <is>
          <t>N/D</t>
        </is>
      </c>
      <c r="L2863" s="127" t="inlineStr">
        <is>
          <t>BENELLI SPA</t>
        </is>
      </c>
      <c r="M2863" s="5" t="n">
        <v>683</v>
      </c>
      <c r="N2863" s="5" t="n"/>
      <c r="O2863" s="5">
        <f>+M2863+N2863</f>
        <v/>
      </c>
      <c r="P2863" s="4" t="n">
        <v>45932</v>
      </c>
      <c r="Q2863" s="87" t="n">
        <v>45932</v>
      </c>
      <c r="R2863" s="5" t="n">
        <v>997.5</v>
      </c>
      <c r="S2863" s="2" t="n">
        <v>1</v>
      </c>
      <c r="T2863" s="3" t="inlineStr">
        <is>
          <t>6B/2025/5S</t>
        </is>
      </c>
      <c r="U2863" s="87" t="n">
        <v>45963</v>
      </c>
      <c r="V2863" s="3" t="inlineStr">
        <is>
          <t>32</t>
        </is>
      </c>
      <c r="W2863" s="108" t="n">
        <v>45963</v>
      </c>
      <c r="X2863" s="4" t="inlineStr">
        <is>
          <t>BIN HUMAID NATIONAL TRADING CO</t>
        </is>
      </c>
    </row>
    <row r="2864" ht="24" customHeight="1">
      <c r="A2864" s="2">
        <f>+D2864-S2864</f>
        <v/>
      </c>
      <c r="B2864" s="80" t="n">
        <v>4456</v>
      </c>
      <c r="C2864" s="66" t="n">
        <v>45946</v>
      </c>
      <c r="D2864" s="2" t="n">
        <v>1</v>
      </c>
      <c r="E2864" s="3" t="inlineStr">
        <is>
          <t>FUCILE SEMIAUTOMATICO</t>
        </is>
      </c>
      <c r="F2864" s="3" t="inlineStr">
        <is>
          <t>12</t>
        </is>
      </c>
      <c r="G2864" s="3" t="inlineStr">
        <is>
          <t>BENELLI</t>
        </is>
      </c>
      <c r="H2864" s="65" t="inlineStr">
        <is>
          <t>M2 BLACK 2023 30''</t>
        </is>
      </c>
      <c r="I2864" s="65" t="inlineStr">
        <is>
          <t>M0199180A</t>
        </is>
      </c>
      <c r="J2864" s="65" t="inlineStr">
        <is>
          <t>C1686244B</t>
        </is>
      </c>
      <c r="K2864" s="65" t="inlineStr">
        <is>
          <t>N/D</t>
        </is>
      </c>
      <c r="L2864" s="127" t="inlineStr">
        <is>
          <t>BENELLI SPA</t>
        </is>
      </c>
      <c r="M2864" s="5" t="n">
        <v>683</v>
      </c>
      <c r="N2864" s="5" t="n"/>
      <c r="O2864" s="5">
        <f>+M2864+N2864</f>
        <v/>
      </c>
      <c r="P2864" s="4" t="n">
        <v>45932</v>
      </c>
      <c r="Q2864" s="87" t="n">
        <v>45932</v>
      </c>
      <c r="R2864" s="5" t="n">
        <v>997.5</v>
      </c>
      <c r="S2864" s="2" t="n">
        <v>1</v>
      </c>
      <c r="T2864" s="3" t="inlineStr">
        <is>
          <t>6B/2025/5S</t>
        </is>
      </c>
      <c r="U2864" s="87" t="n">
        <v>45963</v>
      </c>
      <c r="V2864" s="3" t="inlineStr">
        <is>
          <t>32</t>
        </is>
      </c>
      <c r="W2864" s="108" t="n">
        <v>45963</v>
      </c>
      <c r="X2864" s="4" t="inlineStr">
        <is>
          <t>BIN HUMAID NATIONAL TRADING CO</t>
        </is>
      </c>
    </row>
    <row r="2865" ht="24" customHeight="1">
      <c r="A2865" s="2">
        <f>+D2865-S2865</f>
        <v/>
      </c>
      <c r="B2865" s="80" t="n">
        <v>4457</v>
      </c>
      <c r="C2865" s="66" t="n">
        <v>45946</v>
      </c>
      <c r="D2865" s="2" t="n">
        <v>1</v>
      </c>
      <c r="E2865" s="3" t="inlineStr">
        <is>
          <t>FUCILE SEMIAUTOMATICO</t>
        </is>
      </c>
      <c r="F2865" s="3" t="inlineStr">
        <is>
          <t>12</t>
        </is>
      </c>
      <c r="G2865" s="3" t="inlineStr">
        <is>
          <t>BENELLI</t>
        </is>
      </c>
      <c r="H2865" s="65" t="inlineStr">
        <is>
          <t>M2 BLACK 2023 30''</t>
        </is>
      </c>
      <c r="I2865" s="65" t="inlineStr">
        <is>
          <t>M0199186G</t>
        </is>
      </c>
      <c r="J2865" s="65" t="inlineStr">
        <is>
          <t>C1686242Z</t>
        </is>
      </c>
      <c r="K2865" s="65" t="inlineStr">
        <is>
          <t>N/D</t>
        </is>
      </c>
      <c r="L2865" s="127" t="inlineStr">
        <is>
          <t>BENELLI SPA</t>
        </is>
      </c>
      <c r="M2865" s="5" t="n">
        <v>683</v>
      </c>
      <c r="N2865" s="5" t="n"/>
      <c r="O2865" s="5">
        <f>+M2865+N2865</f>
        <v/>
      </c>
      <c r="P2865" s="4" t="n">
        <v>45932</v>
      </c>
      <c r="Q2865" s="87" t="n">
        <v>45932</v>
      </c>
      <c r="R2865" s="5" t="n">
        <v>997.5</v>
      </c>
      <c r="S2865" s="2" t="n">
        <v>1</v>
      </c>
      <c r="T2865" s="3" t="inlineStr">
        <is>
          <t>6B/2025/5S</t>
        </is>
      </c>
      <c r="U2865" s="87" t="n">
        <v>45963</v>
      </c>
      <c r="V2865" s="3" t="inlineStr">
        <is>
          <t>32</t>
        </is>
      </c>
      <c r="W2865" s="108" t="n">
        <v>45963</v>
      </c>
      <c r="X2865" s="4" t="inlineStr">
        <is>
          <t>BIN HUMAID NATIONAL TRADING CO</t>
        </is>
      </c>
    </row>
    <row r="2866" ht="24" customHeight="1">
      <c r="A2866" s="2">
        <f>+D2866-S2866</f>
        <v/>
      </c>
      <c r="B2866" s="80" t="n">
        <v>4458</v>
      </c>
      <c r="C2866" s="66" t="n">
        <v>45946</v>
      </c>
      <c r="D2866" s="2" t="n">
        <v>1</v>
      </c>
      <c r="E2866" s="3" t="inlineStr">
        <is>
          <t>FUCILE SEMIAUTOMATICO</t>
        </is>
      </c>
      <c r="F2866" s="3" t="inlineStr">
        <is>
          <t>12</t>
        </is>
      </c>
      <c r="G2866" s="3" t="inlineStr">
        <is>
          <t>BENELLI</t>
        </is>
      </c>
      <c r="H2866" s="65" t="inlineStr">
        <is>
          <t>M2 BLACK 2023 30''</t>
        </is>
      </c>
      <c r="I2866" s="65" t="inlineStr">
        <is>
          <t>M0199185F</t>
        </is>
      </c>
      <c r="J2866" s="65" t="inlineStr">
        <is>
          <t>C1686232X</t>
        </is>
      </c>
      <c r="K2866" s="65" t="inlineStr">
        <is>
          <t>N/D</t>
        </is>
      </c>
      <c r="L2866" s="127" t="inlineStr">
        <is>
          <t>BENELLI SPA</t>
        </is>
      </c>
      <c r="M2866" s="5" t="n">
        <v>683</v>
      </c>
      <c r="N2866" s="5" t="n"/>
      <c r="O2866" s="5">
        <f>+M2866+N2866</f>
        <v/>
      </c>
      <c r="P2866" s="4" t="n">
        <v>45932</v>
      </c>
      <c r="Q2866" s="87" t="n">
        <v>45932</v>
      </c>
      <c r="R2866" s="5" t="n">
        <v>997.5</v>
      </c>
      <c r="S2866" s="2" t="n">
        <v>1</v>
      </c>
      <c r="T2866" s="3" t="inlineStr">
        <is>
          <t>6B/2025/5S</t>
        </is>
      </c>
      <c r="U2866" s="87" t="n">
        <v>45963</v>
      </c>
      <c r="V2866" s="3" t="inlineStr">
        <is>
          <t>32</t>
        </is>
      </c>
      <c r="W2866" s="108" t="n">
        <v>45963</v>
      </c>
      <c r="X2866" s="4" t="inlineStr">
        <is>
          <t>BIN HUMAID NATIONAL TRADING CO</t>
        </is>
      </c>
    </row>
    <row r="2867" ht="24" customHeight="1">
      <c r="A2867" s="2">
        <f>+D2867-S2867</f>
        <v/>
      </c>
      <c r="B2867" s="80" t="n">
        <v>4459</v>
      </c>
      <c r="C2867" s="66" t="n">
        <v>45946</v>
      </c>
      <c r="D2867" s="2" t="n">
        <v>1</v>
      </c>
      <c r="E2867" s="3" t="inlineStr">
        <is>
          <t>FUCILE SEMIAUTOMATICO</t>
        </is>
      </c>
      <c r="F2867" s="3" t="inlineStr">
        <is>
          <t>12</t>
        </is>
      </c>
      <c r="G2867" s="3" t="inlineStr">
        <is>
          <t>BENELLI</t>
        </is>
      </c>
      <c r="H2867" s="65" t="inlineStr">
        <is>
          <t>M2 BLACK 2023 30''</t>
        </is>
      </c>
      <c r="I2867" s="65" t="inlineStr">
        <is>
          <t>M0199190C</t>
        </is>
      </c>
      <c r="J2867" s="65" t="inlineStr">
        <is>
          <t>C1686237C</t>
        </is>
      </c>
      <c r="K2867" s="65" t="inlineStr">
        <is>
          <t>N/D</t>
        </is>
      </c>
      <c r="L2867" s="127" t="inlineStr">
        <is>
          <t>BENELLI SPA</t>
        </is>
      </c>
      <c r="M2867" s="5" t="n">
        <v>683</v>
      </c>
      <c r="N2867" s="5" t="n"/>
      <c r="O2867" s="5">
        <f>+M2867+N2867</f>
        <v/>
      </c>
      <c r="P2867" s="4" t="n">
        <v>45932</v>
      </c>
      <c r="Q2867" s="87" t="n">
        <v>45932</v>
      </c>
      <c r="R2867" s="5" t="n">
        <v>997.5</v>
      </c>
      <c r="S2867" s="2" t="n">
        <v>1</v>
      </c>
      <c r="T2867" s="3" t="inlineStr">
        <is>
          <t>6B/2025/5S</t>
        </is>
      </c>
      <c r="U2867" s="87" t="n">
        <v>45963</v>
      </c>
      <c r="V2867" s="3" t="inlineStr">
        <is>
          <t>32</t>
        </is>
      </c>
      <c r="W2867" s="108" t="n">
        <v>45963</v>
      </c>
      <c r="X2867" s="4" t="inlineStr">
        <is>
          <t>BIN HUMAID NATIONAL TRADING CO</t>
        </is>
      </c>
    </row>
    <row r="2868" ht="24" customHeight="1">
      <c r="A2868" s="2">
        <f>+D2868-S2868</f>
        <v/>
      </c>
      <c r="B2868" s="80" t="n">
        <v>4460</v>
      </c>
      <c r="C2868" s="66" t="n">
        <v>45946</v>
      </c>
      <c r="D2868" s="2" t="n">
        <v>1</v>
      </c>
      <c r="E2868" s="3" t="inlineStr">
        <is>
          <t>FUCILE SEMIAUTOMATICO</t>
        </is>
      </c>
      <c r="F2868" s="3" t="inlineStr">
        <is>
          <t>12</t>
        </is>
      </c>
      <c r="G2868" s="3" t="inlineStr">
        <is>
          <t>BENELLI</t>
        </is>
      </c>
      <c r="H2868" s="65" t="inlineStr">
        <is>
          <t>M2 SPEED 26''</t>
        </is>
      </c>
      <c r="I2868" s="65" t="inlineStr">
        <is>
          <t>M0176505J</t>
        </is>
      </c>
      <c r="J2868" s="65" t="inlineStr">
        <is>
          <t>C1645955G</t>
        </is>
      </c>
      <c r="K2868" s="65" t="inlineStr">
        <is>
          <t>N/D</t>
        </is>
      </c>
      <c r="L2868" s="127" t="inlineStr">
        <is>
          <t>BENELLI SPA</t>
        </is>
      </c>
      <c r="M2868" s="5" t="n">
        <v>1047</v>
      </c>
      <c r="N2868" s="5" t="n"/>
      <c r="O2868" s="5">
        <f>+M2868+N2868</f>
        <v/>
      </c>
      <c r="P2868" s="4" t="n">
        <v>45932</v>
      </c>
      <c r="Q2868" s="87" t="n">
        <v>45932</v>
      </c>
      <c r="R2868" s="5" t="n">
        <v>1193.58</v>
      </c>
      <c r="S2868" s="2" t="n">
        <v>1</v>
      </c>
      <c r="T2868" s="3" t="inlineStr">
        <is>
          <t>6B/2025/5S</t>
        </is>
      </c>
      <c r="U2868" s="87" t="n">
        <v>45963</v>
      </c>
      <c r="V2868" s="3" t="inlineStr">
        <is>
          <t>32</t>
        </is>
      </c>
      <c r="W2868" s="108" t="n">
        <v>45963</v>
      </c>
      <c r="X2868" s="4" t="inlineStr">
        <is>
          <t>BIN HUMAID NATIONAL TRADING CO</t>
        </is>
      </c>
    </row>
    <row r="2869" ht="24" customHeight="1">
      <c r="A2869" s="2">
        <f>+D2869-S2869</f>
        <v/>
      </c>
      <c r="B2869" s="80" t="n">
        <v>4461</v>
      </c>
      <c r="C2869" s="66" t="n">
        <v>45946</v>
      </c>
      <c r="D2869" s="2" t="n">
        <v>1</v>
      </c>
      <c r="E2869" s="3" t="inlineStr">
        <is>
          <t>FUCILE SEMIAUTOMATICO</t>
        </is>
      </c>
      <c r="F2869" s="3" t="inlineStr">
        <is>
          <t>12</t>
        </is>
      </c>
      <c r="G2869" s="3" t="inlineStr">
        <is>
          <t>BENELLI</t>
        </is>
      </c>
      <c r="H2869" s="65" t="inlineStr">
        <is>
          <t>M2 SPEED 26''</t>
        </is>
      </c>
      <c r="I2869" s="65" t="inlineStr">
        <is>
          <t>M0176506K</t>
        </is>
      </c>
      <c r="J2869" s="65" t="inlineStr">
        <is>
          <t>C1645933Z</t>
        </is>
      </c>
      <c r="K2869" s="65" t="inlineStr">
        <is>
          <t>N/D</t>
        </is>
      </c>
      <c r="L2869" s="127" t="inlineStr">
        <is>
          <t>BENELLI SPA</t>
        </is>
      </c>
      <c r="M2869" s="5" t="n">
        <v>1047</v>
      </c>
      <c r="N2869" s="5" t="n"/>
      <c r="O2869" s="5">
        <f>+M2869+N2869</f>
        <v/>
      </c>
      <c r="P2869" s="4" t="n">
        <v>45932</v>
      </c>
      <c r="Q2869" s="87" t="n">
        <v>45932</v>
      </c>
      <c r="R2869" s="5" t="n">
        <v>1193.58</v>
      </c>
      <c r="S2869" s="2" t="n">
        <v>1</v>
      </c>
      <c r="T2869" s="3" t="inlineStr">
        <is>
          <t>6B/2025/5S</t>
        </is>
      </c>
      <c r="U2869" s="87" t="n">
        <v>45963</v>
      </c>
      <c r="V2869" s="3" t="inlineStr">
        <is>
          <t>32</t>
        </is>
      </c>
      <c r="W2869" s="108" t="n">
        <v>45963</v>
      </c>
      <c r="X2869" s="4" t="inlineStr">
        <is>
          <t>BIN HUMAID NATIONAL TRADING CO</t>
        </is>
      </c>
    </row>
    <row r="2870" ht="24" customHeight="1">
      <c r="A2870" s="2">
        <f>+D2870-S2870</f>
        <v/>
      </c>
      <c r="B2870" s="80" t="n">
        <v>4462</v>
      </c>
      <c r="C2870" s="66" t="n">
        <v>45946</v>
      </c>
      <c r="D2870" s="2" t="n">
        <v>1</v>
      </c>
      <c r="E2870" s="3" t="inlineStr">
        <is>
          <t>FUCILE SEMIAUTOMATICO</t>
        </is>
      </c>
      <c r="F2870" s="3" t="inlineStr">
        <is>
          <t>12</t>
        </is>
      </c>
      <c r="G2870" s="3" t="inlineStr">
        <is>
          <t>BENELLI</t>
        </is>
      </c>
      <c r="H2870" s="65" t="inlineStr">
        <is>
          <t>M2 SPEED 26''</t>
        </is>
      </c>
      <c r="I2870" s="65" t="inlineStr">
        <is>
          <t>M0176497E</t>
        </is>
      </c>
      <c r="J2870" s="65" t="inlineStr">
        <is>
          <t>C1645950B</t>
        </is>
      </c>
      <c r="K2870" s="65" t="inlineStr">
        <is>
          <t>N/D</t>
        </is>
      </c>
      <c r="L2870" s="127" t="inlineStr">
        <is>
          <t>BENELLI SPA</t>
        </is>
      </c>
      <c r="M2870" s="5" t="n">
        <v>1047</v>
      </c>
      <c r="N2870" s="5" t="n"/>
      <c r="O2870" s="5">
        <f>+M2870+N2870</f>
        <v/>
      </c>
      <c r="P2870" s="4" t="n">
        <v>45932</v>
      </c>
      <c r="Q2870" s="87" t="n">
        <v>45932</v>
      </c>
      <c r="R2870" s="5" t="n">
        <v>1193.58</v>
      </c>
      <c r="S2870" s="2" t="n">
        <v>1</v>
      </c>
      <c r="T2870" s="3" t="inlineStr">
        <is>
          <t>6B/2025/5S</t>
        </is>
      </c>
      <c r="U2870" s="87" t="n">
        <v>45963</v>
      </c>
      <c r="V2870" s="3" t="inlineStr">
        <is>
          <t>32</t>
        </is>
      </c>
      <c r="W2870" s="108" t="n">
        <v>45963</v>
      </c>
      <c r="X2870" s="4" t="inlineStr">
        <is>
          <t>BIN HUMAID NATIONAL TRADING CO</t>
        </is>
      </c>
    </row>
    <row r="2871" ht="24" customHeight="1">
      <c r="A2871" s="2">
        <f>+D2871-S2871</f>
        <v/>
      </c>
      <c r="B2871" s="80" t="n">
        <v>4463</v>
      </c>
      <c r="C2871" s="66" t="n">
        <v>45946</v>
      </c>
      <c r="D2871" s="2" t="n">
        <v>1</v>
      </c>
      <c r="E2871" s="3" t="inlineStr">
        <is>
          <t>FUCILE SEMIAUTOMATICO</t>
        </is>
      </c>
      <c r="F2871" s="3" t="inlineStr">
        <is>
          <t>12</t>
        </is>
      </c>
      <c r="G2871" s="3" t="inlineStr">
        <is>
          <t>BENELLI</t>
        </is>
      </c>
      <c r="H2871" s="65" t="inlineStr">
        <is>
          <t>M2 SPEED 26''</t>
        </is>
      </c>
      <c r="I2871" s="65" t="inlineStr">
        <is>
          <t>M0176502F</t>
        </is>
      </c>
      <c r="J2871" s="65" t="inlineStr">
        <is>
          <t>C1645928C</t>
        </is>
      </c>
      <c r="K2871" s="65" t="inlineStr">
        <is>
          <t>N/D</t>
        </is>
      </c>
      <c r="L2871" s="127" t="inlineStr">
        <is>
          <t>BENELLI SPA</t>
        </is>
      </c>
      <c r="M2871" s="5" t="n">
        <v>1047</v>
      </c>
      <c r="N2871" s="5" t="n"/>
      <c r="O2871" s="5">
        <f>+M2871+N2871</f>
        <v/>
      </c>
      <c r="P2871" s="4" t="n">
        <v>45932</v>
      </c>
      <c r="Q2871" s="87" t="n">
        <v>45932</v>
      </c>
      <c r="R2871" s="5" t="n">
        <v>1193.58</v>
      </c>
      <c r="S2871" s="2" t="n">
        <v>1</v>
      </c>
      <c r="T2871" s="3" t="inlineStr">
        <is>
          <t>6B/2025/5S</t>
        </is>
      </c>
      <c r="U2871" s="87" t="n">
        <v>45963</v>
      </c>
      <c r="V2871" s="3" t="inlineStr">
        <is>
          <t>32</t>
        </is>
      </c>
      <c r="W2871" s="108" t="n">
        <v>45963</v>
      </c>
      <c r="X2871" s="4" t="inlineStr">
        <is>
          <t>BIN HUMAID NATIONAL TRADING CO</t>
        </is>
      </c>
    </row>
    <row r="2872" ht="24" customHeight="1">
      <c r="A2872" s="2">
        <f>+D2872-S2872</f>
        <v/>
      </c>
      <c r="B2872" s="80" t="n">
        <v>4464</v>
      </c>
      <c r="C2872" s="66" t="n">
        <v>45946</v>
      </c>
      <c r="D2872" s="2" t="n">
        <v>1</v>
      </c>
      <c r="E2872" s="3" t="inlineStr">
        <is>
          <t>FUCILE SEMIAUTOMATICO</t>
        </is>
      </c>
      <c r="F2872" s="3" t="inlineStr">
        <is>
          <t>12</t>
        </is>
      </c>
      <c r="G2872" s="3" t="inlineStr">
        <is>
          <t>BENELLI</t>
        </is>
      </c>
      <c r="H2872" s="65" t="inlineStr">
        <is>
          <t>M2 SPEED 26''</t>
        </is>
      </c>
      <c r="I2872" s="65" t="inlineStr">
        <is>
          <t>M0176499G</t>
        </is>
      </c>
      <c r="J2872" s="65" t="inlineStr">
        <is>
          <t>C1645953E</t>
        </is>
      </c>
      <c r="K2872" s="65" t="inlineStr">
        <is>
          <t>N/D</t>
        </is>
      </c>
      <c r="L2872" s="127" t="inlineStr">
        <is>
          <t>BENELLI SPA</t>
        </is>
      </c>
      <c r="M2872" s="5" t="n">
        <v>1047</v>
      </c>
      <c r="N2872" s="5" t="n"/>
      <c r="O2872" s="5">
        <f>+M2872+N2872</f>
        <v/>
      </c>
      <c r="P2872" s="4" t="n">
        <v>45932</v>
      </c>
      <c r="Q2872" s="87" t="n">
        <v>45932</v>
      </c>
      <c r="R2872" s="5" t="n">
        <v>1193.58</v>
      </c>
      <c r="S2872" s="2" t="n">
        <v>1</v>
      </c>
      <c r="T2872" s="3" t="inlineStr">
        <is>
          <t>6B/2025/5S</t>
        </is>
      </c>
      <c r="U2872" s="87" t="n">
        <v>45963</v>
      </c>
      <c r="V2872" s="3" t="inlineStr">
        <is>
          <t>32</t>
        </is>
      </c>
      <c r="W2872" s="108" t="n">
        <v>45963</v>
      </c>
      <c r="X2872" s="4" t="inlineStr">
        <is>
          <t>BIN HUMAID NATIONAL TRADING CO</t>
        </is>
      </c>
    </row>
    <row r="2873" ht="24" customHeight="1">
      <c r="A2873" s="2">
        <f>+D2873-S2873</f>
        <v/>
      </c>
      <c r="B2873" s="80" t="n">
        <v>4465</v>
      </c>
      <c r="C2873" s="66" t="n">
        <v>45946</v>
      </c>
      <c r="D2873" s="2" t="n">
        <v>1</v>
      </c>
      <c r="E2873" s="3" t="inlineStr">
        <is>
          <t>FUCILE SEMIAUTOMATICO</t>
        </is>
      </c>
      <c r="F2873" s="3" t="inlineStr">
        <is>
          <t>12</t>
        </is>
      </c>
      <c r="G2873" s="3" t="inlineStr">
        <is>
          <t>BENELLI</t>
        </is>
      </c>
      <c r="H2873" s="65" t="inlineStr">
        <is>
          <t>M2-PRO MAX7 30''</t>
        </is>
      </c>
      <c r="I2873" s="65" t="inlineStr">
        <is>
          <t>M0195437R</t>
        </is>
      </c>
      <c r="J2873" s="65" t="inlineStr">
        <is>
          <t>C1680333L</t>
        </is>
      </c>
      <c r="K2873" s="65" t="inlineStr">
        <is>
          <t>N/D</t>
        </is>
      </c>
      <c r="L2873" s="127" t="inlineStr">
        <is>
          <t>BENELLI SPA</t>
        </is>
      </c>
      <c r="M2873" s="5" t="n">
        <v>985</v>
      </c>
      <c r="N2873" s="5" t="n"/>
      <c r="O2873" s="5">
        <f>+M2873+N2873</f>
        <v/>
      </c>
      <c r="P2873" s="4" t="n">
        <v>45932</v>
      </c>
      <c r="Q2873" s="87" t="n">
        <v>45932</v>
      </c>
      <c r="R2873" s="5" t="n">
        <v>1133</v>
      </c>
      <c r="S2873" s="2" t="n">
        <v>1</v>
      </c>
      <c r="T2873" s="3" t="inlineStr">
        <is>
          <t>6B/2025/5S</t>
        </is>
      </c>
      <c r="U2873" s="87" t="n">
        <v>45963</v>
      </c>
      <c r="V2873" s="3" t="inlineStr">
        <is>
          <t>32</t>
        </is>
      </c>
      <c r="W2873" s="108" t="n">
        <v>45963</v>
      </c>
      <c r="X2873" s="4" t="inlineStr">
        <is>
          <t>BIN HUMAID NATIONAL TRADING CO</t>
        </is>
      </c>
    </row>
    <row r="2874" ht="24" customHeight="1">
      <c r="A2874" s="2">
        <f>+D2874-S2874</f>
        <v/>
      </c>
      <c r="B2874" s="80" t="n">
        <v>4466</v>
      </c>
      <c r="C2874" s="66" t="n">
        <v>45946</v>
      </c>
      <c r="D2874" s="2" t="n">
        <v>1</v>
      </c>
      <c r="E2874" s="3" t="inlineStr">
        <is>
          <t>FUCILE SEMIAUTOMATICO</t>
        </is>
      </c>
      <c r="F2874" s="3" t="inlineStr">
        <is>
          <t>12</t>
        </is>
      </c>
      <c r="G2874" s="3" t="inlineStr">
        <is>
          <t>BENELLI</t>
        </is>
      </c>
      <c r="H2874" s="65" t="inlineStr">
        <is>
          <t>M2-PRO MAX7 30''</t>
        </is>
      </c>
      <c r="I2874" s="65" t="inlineStr">
        <is>
          <t>M0195438S</t>
        </is>
      </c>
      <c r="J2874" s="65" t="inlineStr">
        <is>
          <t>C1680330H</t>
        </is>
      </c>
      <c r="K2874" s="65" t="inlineStr">
        <is>
          <t>N/D</t>
        </is>
      </c>
      <c r="L2874" s="127" t="inlineStr">
        <is>
          <t>BENELLI SPA</t>
        </is>
      </c>
      <c r="M2874" s="5" t="n">
        <v>985</v>
      </c>
      <c r="N2874" s="5" t="n"/>
      <c r="O2874" s="5">
        <f>+M2874+N2874</f>
        <v/>
      </c>
      <c r="P2874" s="4" t="n">
        <v>45932</v>
      </c>
      <c r="Q2874" s="87" t="n">
        <v>45932</v>
      </c>
      <c r="R2874" s="5" t="n">
        <v>1133</v>
      </c>
      <c r="S2874" s="2" t="n">
        <v>1</v>
      </c>
      <c r="T2874" s="3" t="inlineStr">
        <is>
          <t>6B/2025/5S</t>
        </is>
      </c>
      <c r="U2874" s="87" t="n">
        <v>45963</v>
      </c>
      <c r="V2874" s="3" t="inlineStr">
        <is>
          <t>32</t>
        </is>
      </c>
      <c r="W2874" s="108" t="n">
        <v>45963</v>
      </c>
      <c r="X2874" s="4" t="inlineStr">
        <is>
          <t>BIN HUMAID NATIONAL TRADING CO</t>
        </is>
      </c>
    </row>
    <row r="2875" ht="24" customHeight="1">
      <c r="A2875" s="2">
        <f>+D2875-S2875</f>
        <v/>
      </c>
      <c r="B2875" s="80" t="n">
        <v>4467</v>
      </c>
      <c r="C2875" s="66" t="n">
        <v>45946</v>
      </c>
      <c r="D2875" s="2" t="n">
        <v>1</v>
      </c>
      <c r="E2875" s="3" t="inlineStr">
        <is>
          <t>FUCILE SEMIAUTOMATICO</t>
        </is>
      </c>
      <c r="F2875" s="3" t="inlineStr">
        <is>
          <t>12</t>
        </is>
      </c>
      <c r="G2875" s="3" t="inlineStr">
        <is>
          <t>BENELLI</t>
        </is>
      </c>
      <c r="H2875" s="65" t="inlineStr">
        <is>
          <t>M2-PRO MAX7 30''</t>
        </is>
      </c>
      <c r="I2875" s="65" t="inlineStr">
        <is>
          <t>M0195439T</t>
        </is>
      </c>
      <c r="J2875" s="65" t="inlineStr">
        <is>
          <t>C1680343N</t>
        </is>
      </c>
      <c r="K2875" s="65" t="inlineStr">
        <is>
          <t>N/D</t>
        </is>
      </c>
      <c r="L2875" s="127" t="inlineStr">
        <is>
          <t>BENELLI SPA</t>
        </is>
      </c>
      <c r="M2875" s="5" t="n">
        <v>985</v>
      </c>
      <c r="N2875" s="5" t="n"/>
      <c r="O2875" s="5">
        <f>+M2875+N2875</f>
        <v/>
      </c>
      <c r="P2875" s="4" t="n">
        <v>45932</v>
      </c>
      <c r="Q2875" s="87" t="n">
        <v>45932</v>
      </c>
      <c r="R2875" s="5" t="n">
        <v>1133</v>
      </c>
      <c r="S2875" s="2" t="n">
        <v>1</v>
      </c>
      <c r="T2875" s="3" t="inlineStr">
        <is>
          <t>6B/2025/5S</t>
        </is>
      </c>
      <c r="U2875" s="87" t="n">
        <v>45963</v>
      </c>
      <c r="V2875" s="3" t="inlineStr">
        <is>
          <t>32</t>
        </is>
      </c>
      <c r="W2875" s="108" t="n">
        <v>45963</v>
      </c>
      <c r="X2875" s="4" t="inlineStr">
        <is>
          <t>BIN HUMAID NATIONAL TRADING CO</t>
        </is>
      </c>
    </row>
    <row r="2876" ht="24" customHeight="1">
      <c r="A2876" s="2">
        <f>+D2876-S2876</f>
        <v/>
      </c>
      <c r="B2876" s="80" t="n">
        <v>4468</v>
      </c>
      <c r="C2876" s="66" t="n">
        <v>45946</v>
      </c>
      <c r="D2876" s="2" t="n">
        <v>1</v>
      </c>
      <c r="E2876" s="3" t="inlineStr">
        <is>
          <t>FUCILE SEMIAUTOMATICO</t>
        </is>
      </c>
      <c r="F2876" s="3" t="inlineStr">
        <is>
          <t>12</t>
        </is>
      </c>
      <c r="G2876" s="3" t="inlineStr">
        <is>
          <t>BENELLI</t>
        </is>
      </c>
      <c r="H2876" s="65" t="inlineStr">
        <is>
          <t>M2-PRO MAX7 30''</t>
        </is>
      </c>
      <c r="I2876" s="65" t="inlineStr">
        <is>
          <t>M0195440L</t>
        </is>
      </c>
      <c r="J2876" s="65" t="inlineStr">
        <is>
          <t>C1680332K</t>
        </is>
      </c>
      <c r="K2876" s="65" t="inlineStr">
        <is>
          <t>N/D</t>
        </is>
      </c>
      <c r="L2876" s="127" t="inlineStr">
        <is>
          <t>BENELLI SPA</t>
        </is>
      </c>
      <c r="M2876" s="5" t="n">
        <v>985</v>
      </c>
      <c r="N2876" s="5" t="n"/>
      <c r="O2876" s="5">
        <f>+M2876+N2876</f>
        <v/>
      </c>
      <c r="P2876" s="4" t="n">
        <v>45932</v>
      </c>
      <c r="Q2876" s="87" t="n">
        <v>45932</v>
      </c>
      <c r="R2876" s="5" t="n">
        <v>1133</v>
      </c>
      <c r="S2876" s="2" t="n">
        <v>1</v>
      </c>
      <c r="T2876" s="3" t="inlineStr">
        <is>
          <t>6B/2025/5S</t>
        </is>
      </c>
      <c r="U2876" s="87" t="n">
        <v>45963</v>
      </c>
      <c r="V2876" s="3" t="inlineStr">
        <is>
          <t>32</t>
        </is>
      </c>
      <c r="W2876" s="108" t="n">
        <v>45963</v>
      </c>
      <c r="X2876" s="4" t="inlineStr">
        <is>
          <t>BIN HUMAID NATIONAL TRADING CO</t>
        </is>
      </c>
    </row>
    <row r="2877" ht="24" customHeight="1">
      <c r="A2877" s="2">
        <f>+D2877-S2877</f>
        <v/>
      </c>
      <c r="B2877" s="80" t="n">
        <v>4469</v>
      </c>
      <c r="C2877" s="66" t="n">
        <v>45946</v>
      </c>
      <c r="D2877" s="2" t="n">
        <v>1</v>
      </c>
      <c r="E2877" s="3" t="inlineStr">
        <is>
          <t>FUCILE SEMIAUTOMATICO</t>
        </is>
      </c>
      <c r="F2877" s="3" t="inlineStr">
        <is>
          <t>12</t>
        </is>
      </c>
      <c r="G2877" s="3" t="inlineStr">
        <is>
          <t>BENELLI</t>
        </is>
      </c>
      <c r="H2877" s="65" t="inlineStr">
        <is>
          <t>M2-PRO MAX7 30''</t>
        </is>
      </c>
      <c r="I2877" s="65" t="inlineStr">
        <is>
          <t>M0195461S</t>
        </is>
      </c>
      <c r="J2877" s="65" t="inlineStr">
        <is>
          <t>C1680329Q</t>
        </is>
      </c>
      <c r="K2877" s="65" t="inlineStr">
        <is>
          <t>N/D</t>
        </is>
      </c>
      <c r="L2877" s="127" t="inlineStr">
        <is>
          <t>BENELLI SPA</t>
        </is>
      </c>
      <c r="M2877" s="5" t="n">
        <v>985</v>
      </c>
      <c r="N2877" s="5" t="n"/>
      <c r="O2877" s="5">
        <f>+M2877+N2877</f>
        <v/>
      </c>
      <c r="P2877" s="4" t="n">
        <v>45932</v>
      </c>
      <c r="Q2877" s="87" t="n">
        <v>45932</v>
      </c>
      <c r="R2877" s="5" t="n">
        <v>1133</v>
      </c>
      <c r="S2877" s="2" t="n">
        <v>1</v>
      </c>
      <c r="T2877" s="3" t="inlineStr">
        <is>
          <t>6B/2025/5S</t>
        </is>
      </c>
      <c r="U2877" s="87" t="n">
        <v>45963</v>
      </c>
      <c r="V2877" s="3" t="inlineStr">
        <is>
          <t>32</t>
        </is>
      </c>
      <c r="W2877" s="108" t="n">
        <v>45963</v>
      </c>
      <c r="X2877" s="4" t="inlineStr">
        <is>
          <t>BIN HUMAID NATIONAL TRADING CO</t>
        </is>
      </c>
    </row>
    <row r="2878" ht="24" customHeight="1">
      <c r="A2878" s="2">
        <f>+D2878-S2878</f>
        <v/>
      </c>
      <c r="B2878" s="80" t="n">
        <v>4470</v>
      </c>
      <c r="C2878" s="66" t="n">
        <v>45946</v>
      </c>
      <c r="D2878" s="2" t="n">
        <v>1</v>
      </c>
      <c r="E2878" s="3" t="inlineStr">
        <is>
          <t>FUCILE SEMIAUTOMATICO</t>
        </is>
      </c>
      <c r="F2878" s="3" t="inlineStr">
        <is>
          <t>12</t>
        </is>
      </c>
      <c r="G2878" s="3" t="inlineStr">
        <is>
          <t>BENELLI</t>
        </is>
      </c>
      <c r="H2878" s="65" t="inlineStr">
        <is>
          <t>M2 BLACK 2023 30''</t>
        </is>
      </c>
      <c r="I2878" s="65" t="inlineStr">
        <is>
          <t>M0192231A</t>
        </is>
      </c>
      <c r="J2878" s="65" t="inlineStr">
        <is>
          <t>C1675017T</t>
        </is>
      </c>
      <c r="K2878" s="65" t="inlineStr">
        <is>
          <t>N/D</t>
        </is>
      </c>
      <c r="L2878" s="127" t="inlineStr">
        <is>
          <t>BENELLI SPA</t>
        </is>
      </c>
      <c r="M2878" s="5" t="n">
        <v>683</v>
      </c>
      <c r="N2878" s="5" t="n"/>
      <c r="O2878" s="5">
        <f>+M2878+N2878</f>
        <v/>
      </c>
      <c r="P2878" s="4" t="n">
        <v>45932</v>
      </c>
      <c r="Q2878" s="87" t="n">
        <v>45932</v>
      </c>
      <c r="R2878" s="5" t="n">
        <v>997.5</v>
      </c>
      <c r="S2878" s="2" t="n">
        <v>1</v>
      </c>
      <c r="T2878" s="3" t="inlineStr">
        <is>
          <t>6B/2025/5S</t>
        </is>
      </c>
      <c r="U2878" s="87" t="n">
        <v>45963</v>
      </c>
      <c r="V2878" s="3" t="inlineStr">
        <is>
          <t>32</t>
        </is>
      </c>
      <c r="W2878" s="108" t="n">
        <v>45963</v>
      </c>
      <c r="X2878" s="4" t="inlineStr">
        <is>
          <t>BIN HUMAID NATIONAL TRADING CO</t>
        </is>
      </c>
    </row>
    <row r="2879" ht="24" customHeight="1">
      <c r="A2879" s="2">
        <f>+D2879-S2879</f>
        <v/>
      </c>
      <c r="B2879" s="80" t="n">
        <v>4471</v>
      </c>
      <c r="C2879" s="66" t="n">
        <v>45946</v>
      </c>
      <c r="D2879" s="2" t="n">
        <v>1</v>
      </c>
      <c r="E2879" s="3" t="inlineStr">
        <is>
          <t>FUCILE SEMIAUTOMATICO</t>
        </is>
      </c>
      <c r="F2879" s="3" t="inlineStr">
        <is>
          <t>12</t>
        </is>
      </c>
      <c r="G2879" s="3" t="inlineStr">
        <is>
          <t>BENELLI</t>
        </is>
      </c>
      <c r="H2879" s="65" t="inlineStr">
        <is>
          <t>M2 BLACK 2023 30''</t>
        </is>
      </c>
      <c r="I2879" s="65" t="inlineStr">
        <is>
          <t>M0197229T</t>
        </is>
      </c>
      <c r="J2879" s="65" t="inlineStr">
        <is>
          <t>C1682827X</t>
        </is>
      </c>
      <c r="K2879" s="65" t="inlineStr">
        <is>
          <t>N/D</t>
        </is>
      </c>
      <c r="L2879" s="127" t="inlineStr">
        <is>
          <t>BENELLI SPA</t>
        </is>
      </c>
      <c r="M2879" s="5" t="n">
        <v>683</v>
      </c>
      <c r="N2879" s="5" t="n"/>
      <c r="O2879" s="5">
        <f>+M2879+N2879</f>
        <v/>
      </c>
      <c r="P2879" s="4" t="n">
        <v>45932</v>
      </c>
      <c r="Q2879" s="87" t="n">
        <v>45932</v>
      </c>
      <c r="R2879" s="5" t="n">
        <v>997.5</v>
      </c>
      <c r="S2879" s="2" t="n">
        <v>1</v>
      </c>
      <c r="T2879" s="3" t="inlineStr">
        <is>
          <t>6B/2025/5S</t>
        </is>
      </c>
      <c r="U2879" s="87" t="n">
        <v>45963</v>
      </c>
      <c r="V2879" s="3" t="inlineStr">
        <is>
          <t>32</t>
        </is>
      </c>
      <c r="W2879" s="108" t="n">
        <v>45963</v>
      </c>
      <c r="X2879" s="4" t="inlineStr">
        <is>
          <t>BIN HUMAID NATIONAL TRADING CO</t>
        </is>
      </c>
    </row>
    <row r="2880" ht="24" customHeight="1">
      <c r="A2880" s="2">
        <f>+D2880-S2880</f>
        <v/>
      </c>
      <c r="B2880" s="80" t="n">
        <v>4472</v>
      </c>
      <c r="C2880" s="66" t="n">
        <v>45946</v>
      </c>
      <c r="D2880" s="2" t="n">
        <v>1</v>
      </c>
      <c r="E2880" s="3" t="inlineStr">
        <is>
          <t>FUCILE SEMIAUTOMATICO</t>
        </is>
      </c>
      <c r="F2880" s="3" t="inlineStr">
        <is>
          <t>12</t>
        </is>
      </c>
      <c r="G2880" s="3" t="inlineStr">
        <is>
          <t>BENELLI</t>
        </is>
      </c>
      <c r="H2880" s="65" t="inlineStr">
        <is>
          <t>M2 BLACK 2023 30''</t>
        </is>
      </c>
      <c r="I2880" s="65" t="inlineStr">
        <is>
          <t>M0197348X</t>
        </is>
      </c>
      <c r="J2880" s="65" t="inlineStr">
        <is>
          <t>C1682973F</t>
        </is>
      </c>
      <c r="K2880" s="65" t="inlineStr">
        <is>
          <t>N/D</t>
        </is>
      </c>
      <c r="L2880" s="127" t="inlineStr">
        <is>
          <t>BENELLI SPA</t>
        </is>
      </c>
      <c r="M2880" s="5" t="n">
        <v>683</v>
      </c>
      <c r="N2880" s="5" t="n"/>
      <c r="O2880" s="5">
        <f>+M2880+N2880</f>
        <v/>
      </c>
      <c r="P2880" s="4" t="n">
        <v>45932</v>
      </c>
      <c r="Q2880" s="87" t="n">
        <v>45932</v>
      </c>
      <c r="R2880" s="5" t="n">
        <v>997.5</v>
      </c>
      <c r="S2880" s="2" t="n">
        <v>1</v>
      </c>
      <c r="T2880" s="3" t="inlineStr">
        <is>
          <t>6B/2025/5S</t>
        </is>
      </c>
      <c r="U2880" s="87" t="n">
        <v>45963</v>
      </c>
      <c r="V2880" s="3" t="inlineStr">
        <is>
          <t>32</t>
        </is>
      </c>
      <c r="W2880" s="108" t="n">
        <v>45963</v>
      </c>
      <c r="X2880" s="4" t="inlineStr">
        <is>
          <t>BIN HUMAID NATIONAL TRADING CO</t>
        </is>
      </c>
    </row>
    <row r="2881" ht="24" customHeight="1">
      <c r="A2881" s="2">
        <f>+D2881-S2881</f>
        <v/>
      </c>
      <c r="B2881" s="80" t="n">
        <v>4473</v>
      </c>
      <c r="C2881" s="66" t="n">
        <v>45946</v>
      </c>
      <c r="D2881" s="2" t="n">
        <v>1</v>
      </c>
      <c r="E2881" s="3" t="inlineStr">
        <is>
          <t>FUCILE SEMIAUTOMATICO</t>
        </is>
      </c>
      <c r="F2881" s="3" t="inlineStr">
        <is>
          <t>12</t>
        </is>
      </c>
      <c r="G2881" s="3" t="inlineStr">
        <is>
          <t>BENELLI</t>
        </is>
      </c>
      <c r="H2881" s="65" t="inlineStr">
        <is>
          <t>M2 BLACK 2023 30''</t>
        </is>
      </c>
      <c r="I2881" s="65" t="inlineStr">
        <is>
          <t>M0199286H</t>
        </is>
      </c>
      <c r="J2881" s="65" t="inlineStr">
        <is>
          <t>C1686494Q</t>
        </is>
      </c>
      <c r="K2881" s="65" t="inlineStr">
        <is>
          <t>N/D</t>
        </is>
      </c>
      <c r="L2881" s="127" t="inlineStr">
        <is>
          <t>BENELLI SPA</t>
        </is>
      </c>
      <c r="M2881" s="5" t="n">
        <v>683</v>
      </c>
      <c r="N2881" s="5" t="n"/>
      <c r="O2881" s="5">
        <f>+M2881+N2881</f>
        <v/>
      </c>
      <c r="P2881" s="4" t="n">
        <v>45932</v>
      </c>
      <c r="Q2881" s="87" t="n">
        <v>45932</v>
      </c>
      <c r="R2881" s="5" t="n">
        <v>997.5</v>
      </c>
      <c r="S2881" s="2" t="n">
        <v>1</v>
      </c>
      <c r="T2881" s="3" t="inlineStr">
        <is>
          <t>6B/2025/5S</t>
        </is>
      </c>
      <c r="U2881" s="87" t="n">
        <v>45963</v>
      </c>
      <c r="V2881" s="3" t="inlineStr">
        <is>
          <t>32</t>
        </is>
      </c>
      <c r="W2881" s="108" t="n">
        <v>45963</v>
      </c>
      <c r="X2881" s="4" t="inlineStr">
        <is>
          <t>BIN HUMAID NATIONAL TRADING CO</t>
        </is>
      </c>
    </row>
    <row r="2882" ht="24" customHeight="1">
      <c r="A2882" s="2">
        <f>+D2882-S2882</f>
        <v/>
      </c>
      <c r="B2882" s="80" t="n">
        <v>4474</v>
      </c>
      <c r="C2882" s="66" t="n">
        <v>45946</v>
      </c>
      <c r="D2882" s="2" t="n">
        <v>1</v>
      </c>
      <c r="E2882" s="3" t="inlineStr">
        <is>
          <t>FUCILE SEMIAUTOMATICO</t>
        </is>
      </c>
      <c r="F2882" s="3" t="inlineStr">
        <is>
          <t>12</t>
        </is>
      </c>
      <c r="G2882" s="3" t="inlineStr">
        <is>
          <t>BENELLI</t>
        </is>
      </c>
      <c r="H2882" s="65" t="inlineStr">
        <is>
          <t>M2 BLACK 2023 30''</t>
        </is>
      </c>
      <c r="I2882" s="65" t="inlineStr">
        <is>
          <t>M0201345Y</t>
        </is>
      </c>
      <c r="J2882" s="65" t="inlineStr">
        <is>
          <t>C1690403G</t>
        </is>
      </c>
      <c r="K2882" s="65" t="inlineStr">
        <is>
          <t>N/D</t>
        </is>
      </c>
      <c r="L2882" s="127" t="inlineStr">
        <is>
          <t>BENELLI SPA</t>
        </is>
      </c>
      <c r="M2882" s="5" t="n">
        <v>683</v>
      </c>
      <c r="N2882" s="5" t="n"/>
      <c r="O2882" s="5">
        <f>+M2882+N2882</f>
        <v/>
      </c>
      <c r="P2882" s="4" t="n">
        <v>45932</v>
      </c>
      <c r="Q2882" s="87" t="n">
        <v>45932</v>
      </c>
      <c r="R2882" s="5" t="n">
        <v>997.5</v>
      </c>
      <c r="S2882" s="2" t="n">
        <v>1</v>
      </c>
      <c r="T2882" s="3" t="inlineStr">
        <is>
          <t>6B/2025/5S</t>
        </is>
      </c>
      <c r="U2882" s="87" t="n">
        <v>45963</v>
      </c>
      <c r="V2882" s="3" t="inlineStr">
        <is>
          <t>32</t>
        </is>
      </c>
      <c r="W2882" s="108" t="n">
        <v>45963</v>
      </c>
      <c r="X2882" s="4" t="inlineStr">
        <is>
          <t>BIN HUMAID NATIONAL TRADING CO</t>
        </is>
      </c>
    </row>
    <row r="2883" ht="24" customHeight="1">
      <c r="A2883" s="2">
        <f>+D2883-S2883</f>
        <v/>
      </c>
      <c r="B2883" s="80" t="n">
        <v>4475</v>
      </c>
      <c r="C2883" s="66" t="n">
        <v>45946</v>
      </c>
      <c r="D2883" s="2" t="n">
        <v>1</v>
      </c>
      <c r="E2883" s="3" t="inlineStr">
        <is>
          <t>FUCILE SEMIAUTOMATICO</t>
        </is>
      </c>
      <c r="F2883" s="3" t="inlineStr">
        <is>
          <t>12</t>
        </is>
      </c>
      <c r="G2883" s="3" t="inlineStr">
        <is>
          <t>BENELLI</t>
        </is>
      </c>
      <c r="H2883" s="65" t="inlineStr">
        <is>
          <t>M2-PRO MAX7 30''</t>
        </is>
      </c>
      <c r="I2883" s="65" t="inlineStr">
        <is>
          <t>M0201424U</t>
        </is>
      </c>
      <c r="J2883" s="65" t="inlineStr">
        <is>
          <t>C1690631N</t>
        </is>
      </c>
      <c r="K2883" s="65" t="inlineStr">
        <is>
          <t>N/D</t>
        </is>
      </c>
      <c r="L2883" s="127" t="inlineStr">
        <is>
          <t>BENELLI SPA</t>
        </is>
      </c>
      <c r="M2883" s="5" t="n">
        <v>985</v>
      </c>
      <c r="N2883" s="5" t="n"/>
      <c r="O2883" s="5">
        <f>+M2883+N2883</f>
        <v/>
      </c>
      <c r="P2883" s="4" t="n">
        <v>45932</v>
      </c>
      <c r="Q2883" s="87" t="n">
        <v>45932</v>
      </c>
      <c r="R2883" s="5" t="n">
        <v>1133</v>
      </c>
      <c r="S2883" s="2" t="n">
        <v>1</v>
      </c>
      <c r="T2883" s="3" t="inlineStr">
        <is>
          <t>6B/2025/5S</t>
        </is>
      </c>
      <c r="U2883" s="87" t="n">
        <v>45963</v>
      </c>
      <c r="V2883" s="3" t="inlineStr">
        <is>
          <t>32</t>
        </is>
      </c>
      <c r="W2883" s="108" t="n">
        <v>45963</v>
      </c>
      <c r="X2883" s="4" t="inlineStr">
        <is>
          <t>BIN HUMAID NATIONAL TRADING CO</t>
        </is>
      </c>
    </row>
    <row r="2884" ht="24" customHeight="1">
      <c r="A2884" s="2">
        <f>+D2884-S2884</f>
        <v/>
      </c>
      <c r="B2884" s="80" t="n">
        <v>4476</v>
      </c>
      <c r="C2884" s="66" t="n">
        <v>45946</v>
      </c>
      <c r="D2884" s="2" t="n">
        <v>1</v>
      </c>
      <c r="E2884" s="3" t="inlineStr">
        <is>
          <t>FUCILE SEMIAUTOMATICO</t>
        </is>
      </c>
      <c r="F2884" s="3" t="inlineStr">
        <is>
          <t>12</t>
        </is>
      </c>
      <c r="G2884" s="3" t="inlineStr">
        <is>
          <t>BENELLI</t>
        </is>
      </c>
      <c r="H2884" s="65" t="inlineStr">
        <is>
          <t>M2-PRO MAX7 30''</t>
        </is>
      </c>
      <c r="I2884" s="65" t="inlineStr">
        <is>
          <t>M0201423T</t>
        </is>
      </c>
      <c r="J2884" s="65" t="inlineStr">
        <is>
          <t>C1690620K</t>
        </is>
      </c>
      <c r="K2884" s="65" t="inlineStr">
        <is>
          <t>N/D</t>
        </is>
      </c>
      <c r="L2884" s="127" t="inlineStr">
        <is>
          <t>BENELLI SPA</t>
        </is>
      </c>
      <c r="M2884" s="5" t="n">
        <v>985</v>
      </c>
      <c r="N2884" s="5" t="n"/>
      <c r="O2884" s="5">
        <f>+M2884+N2884</f>
        <v/>
      </c>
      <c r="P2884" s="4" t="n">
        <v>45932</v>
      </c>
      <c r="Q2884" s="87" t="n">
        <v>45932</v>
      </c>
      <c r="R2884" s="5" t="n">
        <v>1133</v>
      </c>
      <c r="S2884" s="2" t="n">
        <v>1</v>
      </c>
      <c r="T2884" s="3" t="inlineStr">
        <is>
          <t>6B/2025/5S</t>
        </is>
      </c>
      <c r="U2884" s="87" t="n">
        <v>45963</v>
      </c>
      <c r="V2884" s="3" t="inlineStr">
        <is>
          <t>32</t>
        </is>
      </c>
      <c r="W2884" s="108" t="n">
        <v>45963</v>
      </c>
      <c r="X2884" s="4" t="inlineStr">
        <is>
          <t>BIN HUMAID NATIONAL TRADING CO</t>
        </is>
      </c>
    </row>
    <row r="2885" ht="24" customHeight="1">
      <c r="A2885" s="2">
        <f>+D2885-S2885</f>
        <v/>
      </c>
      <c r="B2885" s="80" t="n">
        <v>4477</v>
      </c>
      <c r="C2885" s="66" t="n">
        <v>45946</v>
      </c>
      <c r="D2885" s="2" t="n">
        <v>1</v>
      </c>
      <c r="E2885" s="3" t="inlineStr">
        <is>
          <t>FUCILE SEMIAUTOMATICO</t>
        </is>
      </c>
      <c r="F2885" s="3" t="inlineStr">
        <is>
          <t>12</t>
        </is>
      </c>
      <c r="G2885" s="3" t="inlineStr">
        <is>
          <t>BENELLI</t>
        </is>
      </c>
      <c r="H2885" s="65" t="inlineStr">
        <is>
          <t>M2-PRO MAX7 30''</t>
        </is>
      </c>
      <c r="I2885" s="65" t="inlineStr">
        <is>
          <t>M0201416U</t>
        </is>
      </c>
      <c r="J2885" s="65" t="inlineStr">
        <is>
          <t>C1690613L</t>
        </is>
      </c>
      <c r="K2885" s="65" t="inlineStr">
        <is>
          <t>N/D</t>
        </is>
      </c>
      <c r="L2885" s="127" t="inlineStr">
        <is>
          <t>BENELLI SPA</t>
        </is>
      </c>
      <c r="M2885" s="5" t="n">
        <v>985</v>
      </c>
      <c r="N2885" s="5" t="n"/>
      <c r="O2885" s="5">
        <f>+M2885+N2885</f>
        <v/>
      </c>
      <c r="P2885" s="4" t="n">
        <v>45932</v>
      </c>
      <c r="Q2885" s="87" t="n">
        <v>45932</v>
      </c>
      <c r="R2885" s="5" t="n">
        <v>1133</v>
      </c>
      <c r="S2885" s="2" t="n">
        <v>1</v>
      </c>
      <c r="T2885" s="3" t="inlineStr">
        <is>
          <t>6B/2025/5S</t>
        </is>
      </c>
      <c r="U2885" s="87" t="n">
        <v>45963</v>
      </c>
      <c r="V2885" s="3" t="inlineStr">
        <is>
          <t>32</t>
        </is>
      </c>
      <c r="W2885" s="108" t="n">
        <v>45963</v>
      </c>
      <c r="X2885" s="4" t="inlineStr">
        <is>
          <t>BIN HUMAID NATIONAL TRADING CO</t>
        </is>
      </c>
    </row>
    <row r="2886" ht="24" customHeight="1">
      <c r="A2886" s="2">
        <f>+D2886-S2886</f>
        <v/>
      </c>
      <c r="B2886" s="80" t="n">
        <v>4478</v>
      </c>
      <c r="C2886" s="66" t="n">
        <v>45946</v>
      </c>
      <c r="D2886" s="2" t="n">
        <v>1</v>
      </c>
      <c r="E2886" s="3" t="inlineStr">
        <is>
          <t>FUCILE SEMIAUTOMATICO</t>
        </is>
      </c>
      <c r="F2886" s="3" t="inlineStr">
        <is>
          <t>12</t>
        </is>
      </c>
      <c r="G2886" s="3" t="inlineStr">
        <is>
          <t>BENELLI</t>
        </is>
      </c>
      <c r="H2886" s="65" t="inlineStr">
        <is>
          <t>M2-PRO MAX7 30''</t>
        </is>
      </c>
      <c r="I2886" s="65" t="inlineStr">
        <is>
          <t>M0201414S</t>
        </is>
      </c>
      <c r="J2886" s="65" t="inlineStr">
        <is>
          <t>C1690626R</t>
        </is>
      </c>
      <c r="K2886" s="65" t="inlineStr">
        <is>
          <t>N/D</t>
        </is>
      </c>
      <c r="L2886" s="127" t="inlineStr">
        <is>
          <t>BENELLI SPA</t>
        </is>
      </c>
      <c r="M2886" s="5" t="n">
        <v>985</v>
      </c>
      <c r="N2886" s="5" t="n"/>
      <c r="O2886" s="5">
        <f>+M2886+N2886</f>
        <v/>
      </c>
      <c r="P2886" s="4" t="n">
        <v>45932</v>
      </c>
      <c r="Q2886" s="87" t="n">
        <v>45932</v>
      </c>
      <c r="R2886" s="5" t="n">
        <v>1133</v>
      </c>
      <c r="S2886" s="2" t="n">
        <v>1</v>
      </c>
      <c r="T2886" s="3" t="inlineStr">
        <is>
          <t>6B/2025/5S</t>
        </is>
      </c>
      <c r="U2886" s="87" t="n">
        <v>45963</v>
      </c>
      <c r="V2886" s="3" t="inlineStr">
        <is>
          <t>32</t>
        </is>
      </c>
      <c r="W2886" s="108" t="n">
        <v>45963</v>
      </c>
      <c r="X2886" s="4" t="inlineStr">
        <is>
          <t>BIN HUMAID NATIONAL TRADING CO</t>
        </is>
      </c>
    </row>
    <row r="2887" ht="24" customHeight="1">
      <c r="A2887" s="2">
        <f>+D2887-S2887</f>
        <v/>
      </c>
      <c r="B2887" s="80" t="n">
        <v>4479</v>
      </c>
      <c r="C2887" s="66" t="n">
        <v>45946</v>
      </c>
      <c r="D2887" s="2" t="n">
        <v>1</v>
      </c>
      <c r="E2887" s="3" t="inlineStr">
        <is>
          <t>FUCILE SEMIAUTOMATICO</t>
        </is>
      </c>
      <c r="F2887" s="3" t="inlineStr">
        <is>
          <t>12</t>
        </is>
      </c>
      <c r="G2887" s="3" t="inlineStr">
        <is>
          <t>BENELLI</t>
        </is>
      </c>
      <c r="H2887" s="65" t="inlineStr">
        <is>
          <t>M2-PRO MAX7 30''</t>
        </is>
      </c>
      <c r="I2887" s="65" t="inlineStr">
        <is>
          <t>M0201413R</t>
        </is>
      </c>
      <c r="J2887" s="65" t="inlineStr">
        <is>
          <t>C1690619S</t>
        </is>
      </c>
      <c r="K2887" s="65" t="inlineStr">
        <is>
          <t>N/D</t>
        </is>
      </c>
      <c r="L2887" s="127" t="inlineStr">
        <is>
          <t>BENELLI SPA</t>
        </is>
      </c>
      <c r="M2887" s="5" t="n">
        <v>985</v>
      </c>
      <c r="N2887" s="5" t="n"/>
      <c r="O2887" s="5">
        <f>+M2887+N2887</f>
        <v/>
      </c>
      <c r="P2887" s="4" t="n">
        <v>45932</v>
      </c>
      <c r="Q2887" s="87" t="n">
        <v>45932</v>
      </c>
      <c r="R2887" s="5" t="n">
        <v>1133</v>
      </c>
      <c r="S2887" s="2" t="n">
        <v>1</v>
      </c>
      <c r="T2887" s="3" t="inlineStr">
        <is>
          <t>6B/2025/5S</t>
        </is>
      </c>
      <c r="U2887" s="87" t="n">
        <v>45963</v>
      </c>
      <c r="V2887" s="3" t="inlineStr">
        <is>
          <t>32</t>
        </is>
      </c>
      <c r="W2887" s="108" t="n">
        <v>45963</v>
      </c>
      <c r="X2887" s="4" t="inlineStr">
        <is>
          <t>BIN HUMAID NATIONAL TRADING CO</t>
        </is>
      </c>
    </row>
    <row r="2888" ht="24" customHeight="1">
      <c r="A2888" s="2">
        <f>+D2888-S2888</f>
        <v/>
      </c>
      <c r="B2888" s="80" t="n">
        <v>4480</v>
      </c>
      <c r="C2888" s="66" t="n">
        <v>45946</v>
      </c>
      <c r="D2888" s="2" t="n">
        <v>1</v>
      </c>
      <c r="E2888" s="3" t="inlineStr">
        <is>
          <t>FUCILE SEMIAUTOMATICO</t>
        </is>
      </c>
      <c r="F2888" s="3" t="inlineStr">
        <is>
          <t>12</t>
        </is>
      </c>
      <c r="G2888" s="3" t="inlineStr">
        <is>
          <t>BENELLI</t>
        </is>
      </c>
      <c r="H2888" s="65" t="inlineStr">
        <is>
          <t>M2-PRO MAX7 30''</t>
        </is>
      </c>
      <c r="I2888" s="65" t="inlineStr">
        <is>
          <t>M0201420Q</t>
        </is>
      </c>
      <c r="J2888" s="65" t="inlineStr">
        <is>
          <t>C1690623N</t>
        </is>
      </c>
      <c r="K2888" s="65" t="inlineStr">
        <is>
          <t>N/D</t>
        </is>
      </c>
      <c r="L2888" s="127" t="inlineStr">
        <is>
          <t>BENELLI SPA</t>
        </is>
      </c>
      <c r="M2888" s="5" t="n">
        <v>985</v>
      </c>
      <c r="N2888" s="5" t="n"/>
      <c r="O2888" s="5">
        <f>+M2888+N2888</f>
        <v/>
      </c>
      <c r="P2888" s="4" t="n">
        <v>45932</v>
      </c>
      <c r="Q2888" s="87" t="n">
        <v>45932</v>
      </c>
      <c r="R2888" s="5" t="n">
        <v>1133</v>
      </c>
      <c r="S2888" s="2" t="n">
        <v>1</v>
      </c>
      <c r="T2888" s="3" t="inlineStr">
        <is>
          <t>6B/2025/5S</t>
        </is>
      </c>
      <c r="U2888" s="87" t="n">
        <v>45963</v>
      </c>
      <c r="V2888" s="3" t="inlineStr">
        <is>
          <t>32</t>
        </is>
      </c>
      <c r="W2888" s="108" t="n">
        <v>45963</v>
      </c>
      <c r="X2888" s="4" t="inlineStr">
        <is>
          <t>BIN HUMAID NATIONAL TRADING CO</t>
        </is>
      </c>
    </row>
    <row r="2889" ht="24" customHeight="1">
      <c r="A2889" s="2">
        <f>+D2889-S2889</f>
        <v/>
      </c>
      <c r="B2889" s="80" t="n">
        <v>4481</v>
      </c>
      <c r="C2889" s="66" t="n">
        <v>45946</v>
      </c>
      <c r="D2889" s="2" t="n">
        <v>1</v>
      </c>
      <c r="E2889" s="3" t="inlineStr">
        <is>
          <t>FUCILE SEMIAUTOMATICO</t>
        </is>
      </c>
      <c r="F2889" s="3" t="inlineStr">
        <is>
          <t>12</t>
        </is>
      </c>
      <c r="G2889" s="3" t="inlineStr">
        <is>
          <t>BENELLI</t>
        </is>
      </c>
      <c r="H2889" s="65" t="inlineStr">
        <is>
          <t>M2-PRO MAX7 30''</t>
        </is>
      </c>
      <c r="I2889" s="65" t="inlineStr">
        <is>
          <t>M0201422S</t>
        </is>
      </c>
      <c r="J2889" s="65" t="inlineStr">
        <is>
          <t>C1690615N</t>
        </is>
      </c>
      <c r="K2889" s="65" t="inlineStr">
        <is>
          <t>N/D</t>
        </is>
      </c>
      <c r="L2889" s="127" t="inlineStr">
        <is>
          <t>BENELLI SPA</t>
        </is>
      </c>
      <c r="M2889" s="5" t="n">
        <v>985</v>
      </c>
      <c r="N2889" s="5" t="n"/>
      <c r="O2889" s="5">
        <f>+M2889+N2889</f>
        <v/>
      </c>
      <c r="P2889" s="4" t="n">
        <v>45932</v>
      </c>
      <c r="Q2889" s="87" t="n">
        <v>45932</v>
      </c>
      <c r="R2889" s="5" t="n">
        <v>1133</v>
      </c>
      <c r="S2889" s="2" t="n">
        <v>1</v>
      </c>
      <c r="T2889" s="3" t="inlineStr">
        <is>
          <t>6B/2025/5S</t>
        </is>
      </c>
      <c r="U2889" s="87" t="n">
        <v>45963</v>
      </c>
      <c r="V2889" s="3" t="inlineStr">
        <is>
          <t>32</t>
        </is>
      </c>
      <c r="W2889" s="108" t="n">
        <v>45963</v>
      </c>
      <c r="X2889" s="4" t="inlineStr">
        <is>
          <t>BIN HUMAID NATIONAL TRADING CO</t>
        </is>
      </c>
    </row>
    <row r="2890" ht="24" customHeight="1">
      <c r="A2890" s="2">
        <f>+D2890-S2890</f>
        <v/>
      </c>
      <c r="B2890" s="80" t="n">
        <v>4482</v>
      </c>
      <c r="C2890" s="66" t="n">
        <v>45946</v>
      </c>
      <c r="D2890" s="2" t="n">
        <v>1</v>
      </c>
      <c r="E2890" s="3" t="inlineStr">
        <is>
          <t>FUCILE SEMIAUTOMATICO</t>
        </is>
      </c>
      <c r="F2890" s="3" t="inlineStr">
        <is>
          <t>12</t>
        </is>
      </c>
      <c r="G2890" s="3" t="inlineStr">
        <is>
          <t>BENELLI</t>
        </is>
      </c>
      <c r="H2890" s="65" t="inlineStr">
        <is>
          <t>M2-PRO MAX7 30''</t>
        </is>
      </c>
      <c r="I2890" s="65" t="inlineStr">
        <is>
          <t>M0201419X</t>
        </is>
      </c>
      <c r="J2890" s="65" t="inlineStr">
        <is>
          <t>C1690630M</t>
        </is>
      </c>
      <c r="K2890" s="65" t="inlineStr">
        <is>
          <t>N/D</t>
        </is>
      </c>
      <c r="L2890" s="127" t="inlineStr">
        <is>
          <t>BENELLI SPA</t>
        </is>
      </c>
      <c r="M2890" s="5" t="n">
        <v>985</v>
      </c>
      <c r="N2890" s="5" t="n"/>
      <c r="O2890" s="5">
        <f>+M2890+N2890</f>
        <v/>
      </c>
      <c r="P2890" s="4" t="n">
        <v>45932</v>
      </c>
      <c r="Q2890" s="87" t="n">
        <v>45932</v>
      </c>
      <c r="R2890" s="5" t="n">
        <v>1133</v>
      </c>
      <c r="S2890" s="2" t="n">
        <v>1</v>
      </c>
      <c r="T2890" s="3" t="inlineStr">
        <is>
          <t>6B/2025/5S</t>
        </is>
      </c>
      <c r="U2890" s="87" t="n">
        <v>45963</v>
      </c>
      <c r="V2890" s="3" t="inlineStr">
        <is>
          <t>32</t>
        </is>
      </c>
      <c r="W2890" s="108" t="n">
        <v>45963</v>
      </c>
      <c r="X2890" s="4" t="inlineStr">
        <is>
          <t>BIN HUMAID NATIONAL TRADING CO</t>
        </is>
      </c>
    </row>
    <row r="2891" ht="24" customHeight="1">
      <c r="A2891" s="2">
        <f>+D2891-S2891</f>
        <v/>
      </c>
      <c r="B2891" s="80" t="n">
        <v>4483</v>
      </c>
      <c r="C2891" s="66" t="n">
        <v>45946</v>
      </c>
      <c r="D2891" s="2" t="n">
        <v>1</v>
      </c>
      <c r="E2891" s="3" t="inlineStr">
        <is>
          <t>FUCILE SEMIAUTOMATICO</t>
        </is>
      </c>
      <c r="F2891" s="3" t="inlineStr">
        <is>
          <t>12</t>
        </is>
      </c>
      <c r="G2891" s="3" t="inlineStr">
        <is>
          <t>BENELLI</t>
        </is>
      </c>
      <c r="H2891" s="65" t="inlineStr">
        <is>
          <t>M2-PRO MAX7 30''</t>
        </is>
      </c>
      <c r="I2891" s="65" t="inlineStr">
        <is>
          <t>M0201418W</t>
        </is>
      </c>
      <c r="J2891" s="65" t="inlineStr">
        <is>
          <t>C1690621L</t>
        </is>
      </c>
      <c r="K2891" s="65" t="inlineStr">
        <is>
          <t>N/D</t>
        </is>
      </c>
      <c r="L2891" s="127" t="inlineStr">
        <is>
          <t>BENELLI SPA</t>
        </is>
      </c>
      <c r="M2891" s="5" t="n">
        <v>985</v>
      </c>
      <c r="N2891" s="5" t="n"/>
      <c r="O2891" s="5">
        <f>+M2891+N2891</f>
        <v/>
      </c>
      <c r="P2891" s="4" t="n">
        <v>45932</v>
      </c>
      <c r="Q2891" s="87" t="n">
        <v>45932</v>
      </c>
      <c r="R2891" s="5" t="n">
        <v>1133</v>
      </c>
      <c r="S2891" s="2" t="n">
        <v>1</v>
      </c>
      <c r="T2891" s="3" t="inlineStr">
        <is>
          <t>6B/2025/5S</t>
        </is>
      </c>
      <c r="U2891" s="87" t="n">
        <v>45963</v>
      </c>
      <c r="V2891" s="3" t="inlineStr">
        <is>
          <t>32</t>
        </is>
      </c>
      <c r="W2891" s="108" t="n">
        <v>45963</v>
      </c>
      <c r="X2891" s="4" t="inlineStr">
        <is>
          <t>BIN HUMAID NATIONAL TRADING CO</t>
        </is>
      </c>
    </row>
    <row r="2892" ht="24" customHeight="1">
      <c r="A2892" s="2">
        <f>+D2892-S2892</f>
        <v/>
      </c>
      <c r="B2892" s="80" t="n">
        <v>4484</v>
      </c>
      <c r="C2892" s="66" t="n">
        <v>45946</v>
      </c>
      <c r="D2892" s="2" t="n">
        <v>1</v>
      </c>
      <c r="E2892" s="3" t="inlineStr">
        <is>
          <t>FUCILE SEMIAUTOMATICO</t>
        </is>
      </c>
      <c r="F2892" s="3" t="inlineStr">
        <is>
          <t>12</t>
        </is>
      </c>
      <c r="G2892" s="3" t="inlineStr">
        <is>
          <t>BENELLI</t>
        </is>
      </c>
      <c r="H2892" s="65" t="inlineStr">
        <is>
          <t>M2-PRO MAX7 30''</t>
        </is>
      </c>
      <c r="I2892" s="65" t="inlineStr">
        <is>
          <t>M0201417V</t>
        </is>
      </c>
      <c r="J2892" s="65" t="inlineStr">
        <is>
          <t>C1690614M</t>
        </is>
      </c>
      <c r="K2892" s="65" t="inlineStr">
        <is>
          <t>N/D</t>
        </is>
      </c>
      <c r="L2892" s="127" t="inlineStr">
        <is>
          <t>BENELLI SPA</t>
        </is>
      </c>
      <c r="M2892" s="5" t="n">
        <v>985</v>
      </c>
      <c r="N2892" s="5" t="n"/>
      <c r="O2892" s="5">
        <f>+M2892+N2892</f>
        <v/>
      </c>
      <c r="P2892" s="4" t="n">
        <v>45932</v>
      </c>
      <c r="Q2892" s="87" t="n">
        <v>45932</v>
      </c>
      <c r="R2892" s="5" t="n">
        <v>1133</v>
      </c>
      <c r="S2892" s="2" t="n">
        <v>1</v>
      </c>
      <c r="T2892" s="3" t="inlineStr">
        <is>
          <t>6B/2025/5S</t>
        </is>
      </c>
      <c r="U2892" s="87" t="n">
        <v>45963</v>
      </c>
      <c r="V2892" s="3" t="inlineStr">
        <is>
          <t>32</t>
        </is>
      </c>
      <c r="W2892" s="108" t="n">
        <v>45963</v>
      </c>
      <c r="X2892" s="4" t="inlineStr">
        <is>
          <t>BIN HUMAID NATIONAL TRADING CO</t>
        </is>
      </c>
    </row>
    <row r="2893" ht="24" customHeight="1">
      <c r="A2893" s="2">
        <f>+D2893-S2893</f>
        <v/>
      </c>
      <c r="B2893" s="80" t="n">
        <v>4485</v>
      </c>
      <c r="C2893" s="66" t="n">
        <v>45946</v>
      </c>
      <c r="D2893" s="2" t="n">
        <v>1</v>
      </c>
      <c r="E2893" s="3" t="inlineStr">
        <is>
          <t>FUCILE SEMIAUTOMATICO</t>
        </is>
      </c>
      <c r="F2893" s="3" t="inlineStr">
        <is>
          <t>12</t>
        </is>
      </c>
      <c r="G2893" s="3" t="inlineStr">
        <is>
          <t>BENELLI</t>
        </is>
      </c>
      <c r="H2893" s="65" t="inlineStr">
        <is>
          <t>M2 SPEED 26''</t>
        </is>
      </c>
      <c r="I2893" s="65" t="inlineStr">
        <is>
          <t>M0176492Z</t>
        </is>
      </c>
      <c r="J2893" s="65" t="inlineStr">
        <is>
          <t>C1645934A</t>
        </is>
      </c>
      <c r="K2893" s="65" t="inlineStr">
        <is>
          <t>N/D</t>
        </is>
      </c>
      <c r="L2893" s="127" t="inlineStr">
        <is>
          <t>BENELLI SPA</t>
        </is>
      </c>
      <c r="M2893" s="5" t="n">
        <v>1047</v>
      </c>
      <c r="N2893" s="5" t="n"/>
      <c r="O2893" s="5">
        <f>+M2893+N2893</f>
        <v/>
      </c>
      <c r="P2893" s="4" t="n">
        <v>45932</v>
      </c>
      <c r="Q2893" s="87" t="n">
        <v>45932</v>
      </c>
      <c r="R2893" s="5" t="n">
        <v>1193.58</v>
      </c>
      <c r="S2893" s="2" t="n">
        <v>1</v>
      </c>
      <c r="T2893" s="3" t="inlineStr">
        <is>
          <t>6B/2025/5S</t>
        </is>
      </c>
      <c r="U2893" s="87" t="n">
        <v>45963</v>
      </c>
      <c r="V2893" s="3" t="inlineStr">
        <is>
          <t>32</t>
        </is>
      </c>
      <c r="W2893" s="108" t="n">
        <v>45963</v>
      </c>
      <c r="X2893" s="4" t="inlineStr">
        <is>
          <t>BIN HUMAID NATIONAL TRADING CO</t>
        </is>
      </c>
    </row>
    <row r="2894" ht="24" customHeight="1">
      <c r="A2894" s="2">
        <f>+D2894-S2894</f>
        <v/>
      </c>
      <c r="B2894" s="80" t="n">
        <v>4486</v>
      </c>
      <c r="C2894" s="66" t="n">
        <v>45946</v>
      </c>
      <c r="D2894" s="2" t="n">
        <v>1</v>
      </c>
      <c r="E2894" s="3" t="inlineStr">
        <is>
          <t>FUCILE SEMIAUTOMATICO</t>
        </is>
      </c>
      <c r="F2894" s="3" t="inlineStr">
        <is>
          <t>12</t>
        </is>
      </c>
      <c r="G2894" s="3" t="inlineStr">
        <is>
          <t>BENELLI</t>
        </is>
      </c>
      <c r="H2894" s="65" t="inlineStr">
        <is>
          <t>M2 SPEED 26''</t>
        </is>
      </c>
      <c r="I2894" s="65" t="inlineStr">
        <is>
          <t>M0176490X</t>
        </is>
      </c>
      <c r="J2894" s="65" t="inlineStr">
        <is>
          <t>C1645935B</t>
        </is>
      </c>
      <c r="K2894" s="65" t="inlineStr">
        <is>
          <t>N/D</t>
        </is>
      </c>
      <c r="L2894" s="127" t="inlineStr">
        <is>
          <t>BENELLI SPA</t>
        </is>
      </c>
      <c r="M2894" s="5" t="n">
        <v>1047</v>
      </c>
      <c r="N2894" s="5" t="n"/>
      <c r="O2894" s="5">
        <f>+M2894+N2894</f>
        <v/>
      </c>
      <c r="P2894" s="4" t="n">
        <v>45932</v>
      </c>
      <c r="Q2894" s="87" t="n">
        <v>45932</v>
      </c>
      <c r="R2894" s="5" t="n">
        <v>1193.58</v>
      </c>
      <c r="S2894" s="2" t="n">
        <v>1</v>
      </c>
      <c r="T2894" s="3" t="inlineStr">
        <is>
          <t>6B/2025/5S</t>
        </is>
      </c>
      <c r="U2894" s="87" t="n">
        <v>45963</v>
      </c>
      <c r="V2894" s="3" t="inlineStr">
        <is>
          <t>32</t>
        </is>
      </c>
      <c r="W2894" s="108" t="n">
        <v>45963</v>
      </c>
      <c r="X2894" s="4" t="inlineStr">
        <is>
          <t>BIN HUMAID NATIONAL TRADING CO</t>
        </is>
      </c>
    </row>
    <row r="2895" ht="24" customHeight="1">
      <c r="A2895" s="2">
        <f>+D2895-S2895</f>
        <v/>
      </c>
      <c r="B2895" s="80" t="n">
        <v>4487</v>
      </c>
      <c r="C2895" s="66" t="n">
        <v>45946</v>
      </c>
      <c r="D2895" s="2" t="n">
        <v>1</v>
      </c>
      <c r="E2895" s="3" t="inlineStr">
        <is>
          <t>FUCILE SEMIAUTOMATICO</t>
        </is>
      </c>
      <c r="F2895" s="3" t="inlineStr">
        <is>
          <t>12</t>
        </is>
      </c>
      <c r="G2895" s="3" t="inlineStr">
        <is>
          <t>BENELLI</t>
        </is>
      </c>
      <c r="H2895" s="65" t="inlineStr">
        <is>
          <t>M2 SPEED 26''</t>
        </is>
      </c>
      <c r="I2895" s="65" t="inlineStr">
        <is>
          <t>M0176489E</t>
        </is>
      </c>
      <c r="J2895" s="65" t="inlineStr">
        <is>
          <t>C1645947F</t>
        </is>
      </c>
      <c r="K2895" s="65" t="inlineStr">
        <is>
          <t>N/D</t>
        </is>
      </c>
      <c r="L2895" s="127" t="inlineStr">
        <is>
          <t>BENELLI SPA</t>
        </is>
      </c>
      <c r="M2895" s="5" t="n">
        <v>1047</v>
      </c>
      <c r="N2895" s="5" t="n"/>
      <c r="O2895" s="5">
        <f>+M2895+N2895</f>
        <v/>
      </c>
      <c r="P2895" s="4" t="n">
        <v>45932</v>
      </c>
      <c r="Q2895" s="87" t="n">
        <v>45932</v>
      </c>
      <c r="R2895" s="5" t="n">
        <v>1193.58</v>
      </c>
      <c r="S2895" s="2" t="n">
        <v>1</v>
      </c>
      <c r="T2895" s="3" t="inlineStr">
        <is>
          <t>6B/2025/5S</t>
        </is>
      </c>
      <c r="U2895" s="87" t="n">
        <v>45963</v>
      </c>
      <c r="V2895" s="3" t="inlineStr">
        <is>
          <t>32</t>
        </is>
      </c>
      <c r="W2895" s="108" t="n">
        <v>45963</v>
      </c>
      <c r="X2895" s="4" t="inlineStr">
        <is>
          <t>BIN HUMAID NATIONAL TRADING CO</t>
        </is>
      </c>
    </row>
    <row r="2896" ht="24" customHeight="1">
      <c r="A2896" s="2">
        <f>+D2896-S2896</f>
        <v/>
      </c>
      <c r="B2896" s="80" t="n">
        <v>4488</v>
      </c>
      <c r="C2896" s="66" t="n">
        <v>45946</v>
      </c>
      <c r="D2896" s="2" t="n">
        <v>1</v>
      </c>
      <c r="E2896" s="3" t="inlineStr">
        <is>
          <t>FUCILE SEMIAUTOMATICO</t>
        </is>
      </c>
      <c r="F2896" s="3" t="inlineStr">
        <is>
          <t>12</t>
        </is>
      </c>
      <c r="G2896" s="3" t="inlineStr">
        <is>
          <t>BENELLI</t>
        </is>
      </c>
      <c r="H2896" s="65" t="inlineStr">
        <is>
          <t>M2 SPEED 26''</t>
        </is>
      </c>
      <c r="I2896" s="65" t="inlineStr">
        <is>
          <t>M0176493A</t>
        </is>
      </c>
      <c r="J2896" s="65" t="inlineStr">
        <is>
          <t>C1645957J</t>
        </is>
      </c>
      <c r="K2896" s="65" t="inlineStr">
        <is>
          <t>N/D</t>
        </is>
      </c>
      <c r="L2896" s="127" t="inlineStr">
        <is>
          <t>BENELLI SPA</t>
        </is>
      </c>
      <c r="M2896" s="5" t="n">
        <v>1047</v>
      </c>
      <c r="N2896" s="5" t="n"/>
      <c r="O2896" s="5">
        <f>+M2896+N2896</f>
        <v/>
      </c>
      <c r="P2896" s="4" t="n">
        <v>45932</v>
      </c>
      <c r="Q2896" s="87" t="n">
        <v>45932</v>
      </c>
      <c r="R2896" s="5" t="n">
        <v>1193.58</v>
      </c>
      <c r="S2896" s="2" t="n">
        <v>1</v>
      </c>
      <c r="T2896" s="3" t="inlineStr">
        <is>
          <t>6B/2025/5S</t>
        </is>
      </c>
      <c r="U2896" s="87" t="n">
        <v>45963</v>
      </c>
      <c r="V2896" s="3" t="inlineStr">
        <is>
          <t>32</t>
        </is>
      </c>
      <c r="W2896" s="108" t="n">
        <v>45963</v>
      </c>
      <c r="X2896" s="4" t="inlineStr">
        <is>
          <t>BIN HUMAID NATIONAL TRADING CO</t>
        </is>
      </c>
    </row>
    <row r="2897" ht="24" customHeight="1">
      <c r="A2897" s="2">
        <f>+D2897-S2897</f>
        <v/>
      </c>
      <c r="B2897" s="80" t="n">
        <v>4489</v>
      </c>
      <c r="C2897" s="66" t="n">
        <v>45946</v>
      </c>
      <c r="D2897" s="2" t="n">
        <v>1</v>
      </c>
      <c r="E2897" s="3" t="inlineStr">
        <is>
          <t>FUCILE SEMIAUTOMATICO</t>
        </is>
      </c>
      <c r="F2897" s="3" t="inlineStr">
        <is>
          <t>12</t>
        </is>
      </c>
      <c r="G2897" s="3" t="inlineStr">
        <is>
          <t>BENELLI</t>
        </is>
      </c>
      <c r="H2897" s="65" t="inlineStr">
        <is>
          <t>M2 SPEED 26''</t>
        </is>
      </c>
      <c r="I2897" s="65" t="inlineStr">
        <is>
          <t>M0176494B</t>
        </is>
      </c>
      <c r="J2897" s="65" t="inlineStr">
        <is>
          <t>C1645936C</t>
        </is>
      </c>
      <c r="K2897" s="65" t="inlineStr">
        <is>
          <t>N/D</t>
        </is>
      </c>
      <c r="L2897" s="127" t="inlineStr">
        <is>
          <t>BENELLI SPA</t>
        </is>
      </c>
      <c r="M2897" s="5" t="n">
        <v>1047</v>
      </c>
      <c r="N2897" s="5" t="n"/>
      <c r="O2897" s="5">
        <f>+M2897+N2897</f>
        <v/>
      </c>
      <c r="P2897" s="4" t="n">
        <v>45932</v>
      </c>
      <c r="Q2897" s="87" t="n">
        <v>45932</v>
      </c>
      <c r="R2897" s="5" t="n">
        <v>1193.58</v>
      </c>
      <c r="S2897" s="2" t="n">
        <v>1</v>
      </c>
      <c r="T2897" s="3" t="inlineStr">
        <is>
          <t>6B/2025/5S</t>
        </is>
      </c>
      <c r="U2897" s="87" t="n">
        <v>45963</v>
      </c>
      <c r="V2897" s="3" t="inlineStr">
        <is>
          <t>32</t>
        </is>
      </c>
      <c r="W2897" s="108" t="n">
        <v>45963</v>
      </c>
      <c r="X2897" s="4" t="inlineStr">
        <is>
          <t>BIN HUMAID NATIONAL TRADING CO</t>
        </is>
      </c>
    </row>
    <row r="2898" ht="24" customHeight="1">
      <c r="A2898" s="2">
        <f>+D2898-S2898</f>
        <v/>
      </c>
      <c r="B2898" s="80" t="n">
        <v>4490</v>
      </c>
      <c r="C2898" s="66" t="n">
        <v>45946</v>
      </c>
      <c r="D2898" s="2" t="n">
        <v>1</v>
      </c>
      <c r="E2898" s="3" t="inlineStr">
        <is>
          <t>FUCILE SEMIAUTOMATICO</t>
        </is>
      </c>
      <c r="F2898" s="3" t="inlineStr">
        <is>
          <t>12</t>
        </is>
      </c>
      <c r="G2898" s="3" t="inlineStr">
        <is>
          <t>BENELLI</t>
        </is>
      </c>
      <c r="H2898" s="65" t="inlineStr">
        <is>
          <t>M2 BLACK 2023 30''</t>
        </is>
      </c>
      <c r="I2898" s="65" t="inlineStr">
        <is>
          <t>M0199195H</t>
        </is>
      </c>
      <c r="J2898" s="65" t="inlineStr">
        <is>
          <t>C1686229C</t>
        </is>
      </c>
      <c r="K2898" s="65" t="inlineStr">
        <is>
          <t>N/D</t>
        </is>
      </c>
      <c r="L2898" s="127" t="inlineStr">
        <is>
          <t>BENELLI SPA</t>
        </is>
      </c>
      <c r="M2898" s="5" t="n">
        <v>683</v>
      </c>
      <c r="N2898" s="5" t="n"/>
      <c r="O2898" s="5">
        <f>+M2898+N2898</f>
        <v/>
      </c>
      <c r="P2898" s="4" t="n">
        <v>45932</v>
      </c>
      <c r="Q2898" s="87" t="n">
        <v>45932</v>
      </c>
      <c r="R2898" s="5" t="n">
        <v>997.5</v>
      </c>
      <c r="S2898" s="2" t="n">
        <v>1</v>
      </c>
      <c r="T2898" s="3" t="inlineStr">
        <is>
          <t>6B/2025/5S</t>
        </is>
      </c>
      <c r="U2898" s="87" t="n">
        <v>45963</v>
      </c>
      <c r="V2898" s="3" t="inlineStr">
        <is>
          <t>32</t>
        </is>
      </c>
      <c r="W2898" s="108" t="n">
        <v>45963</v>
      </c>
      <c r="X2898" s="4" t="inlineStr">
        <is>
          <t>BIN HUMAID NATIONAL TRADING CO</t>
        </is>
      </c>
    </row>
    <row r="2899" ht="24" customHeight="1">
      <c r="A2899" s="2">
        <f>+D2899-S2899</f>
        <v/>
      </c>
      <c r="B2899" s="80" t="n">
        <v>4491</v>
      </c>
      <c r="C2899" s="66" t="n">
        <v>45946</v>
      </c>
      <c r="D2899" s="2" t="n">
        <v>1</v>
      </c>
      <c r="E2899" s="3" t="inlineStr">
        <is>
          <t>FUCILE SEMIAUTOMATICO</t>
        </is>
      </c>
      <c r="F2899" s="3" t="inlineStr">
        <is>
          <t>12</t>
        </is>
      </c>
      <c r="G2899" s="3" t="inlineStr">
        <is>
          <t>BENELLI</t>
        </is>
      </c>
      <c r="H2899" s="65" t="inlineStr">
        <is>
          <t>M2 BLACK 2023 30''</t>
        </is>
      </c>
      <c r="I2899" s="65" t="inlineStr">
        <is>
          <t>M0199191D</t>
        </is>
      </c>
      <c r="J2899" s="65" t="inlineStr">
        <is>
          <t>C1686228B</t>
        </is>
      </c>
      <c r="K2899" s="65" t="inlineStr">
        <is>
          <t>N/D</t>
        </is>
      </c>
      <c r="L2899" s="127" t="inlineStr">
        <is>
          <t>BENELLI SPA</t>
        </is>
      </c>
      <c r="M2899" s="5" t="n">
        <v>683</v>
      </c>
      <c r="N2899" s="5" t="n"/>
      <c r="O2899" s="5">
        <f>+M2899+N2899</f>
        <v/>
      </c>
      <c r="P2899" s="4" t="n">
        <v>45932</v>
      </c>
      <c r="Q2899" s="87" t="n">
        <v>45932</v>
      </c>
      <c r="R2899" s="5" t="n">
        <v>997.5</v>
      </c>
      <c r="S2899" s="2" t="n">
        <v>1</v>
      </c>
      <c r="T2899" s="3" t="inlineStr">
        <is>
          <t>6B/2025/5S</t>
        </is>
      </c>
      <c r="U2899" s="87" t="n">
        <v>45963</v>
      </c>
      <c r="V2899" s="3" t="inlineStr">
        <is>
          <t>32</t>
        </is>
      </c>
      <c r="W2899" s="108" t="n">
        <v>45963</v>
      </c>
      <c r="X2899" s="4" t="inlineStr">
        <is>
          <t>BIN HUMAID NATIONAL TRADING CO</t>
        </is>
      </c>
    </row>
    <row r="2900" ht="24" customHeight="1">
      <c r="A2900" s="2">
        <f>+D2900-S2900</f>
        <v/>
      </c>
      <c r="B2900" s="80" t="n">
        <v>4492</v>
      </c>
      <c r="C2900" s="66" t="n">
        <v>45946</v>
      </c>
      <c r="D2900" s="2" t="n">
        <v>1</v>
      </c>
      <c r="E2900" s="3" t="inlineStr">
        <is>
          <t>FUCILE SEMIAUTOMATICO</t>
        </is>
      </c>
      <c r="F2900" s="3" t="inlineStr">
        <is>
          <t>12</t>
        </is>
      </c>
      <c r="G2900" s="3" t="inlineStr">
        <is>
          <t>BENELLI</t>
        </is>
      </c>
      <c r="H2900" s="65" t="inlineStr">
        <is>
          <t>M2 BLACK 2023 30''</t>
        </is>
      </c>
      <c r="I2900" s="65" t="inlineStr">
        <is>
          <t>M0199196J</t>
        </is>
      </c>
      <c r="J2900" s="65" t="inlineStr">
        <is>
          <t>C1686234Z</t>
        </is>
      </c>
      <c r="K2900" s="65" t="inlineStr">
        <is>
          <t>N/D</t>
        </is>
      </c>
      <c r="L2900" s="127" t="inlineStr">
        <is>
          <t>BENELLI SPA</t>
        </is>
      </c>
      <c r="M2900" s="5" t="n">
        <v>683</v>
      </c>
      <c r="N2900" s="5" t="n"/>
      <c r="O2900" s="5">
        <f>+M2900+N2900</f>
        <v/>
      </c>
      <c r="P2900" s="4" t="n">
        <v>45932</v>
      </c>
      <c r="Q2900" s="87" t="n">
        <v>45932</v>
      </c>
      <c r="R2900" s="5" t="n">
        <v>997.5</v>
      </c>
      <c r="S2900" s="2" t="n">
        <v>1</v>
      </c>
      <c r="T2900" s="3" t="inlineStr">
        <is>
          <t>6B/2025/5S</t>
        </is>
      </c>
      <c r="U2900" s="87" t="n">
        <v>45963</v>
      </c>
      <c r="V2900" s="3" t="inlineStr">
        <is>
          <t>32</t>
        </is>
      </c>
      <c r="W2900" s="108" t="n">
        <v>45963</v>
      </c>
      <c r="X2900" s="4" t="inlineStr">
        <is>
          <t>BIN HUMAID NATIONAL TRADING CO</t>
        </is>
      </c>
    </row>
    <row r="2901" ht="24" customHeight="1">
      <c r="A2901" s="2">
        <f>+D2901-S2901</f>
        <v/>
      </c>
      <c r="B2901" s="80" t="n">
        <v>4493</v>
      </c>
      <c r="C2901" s="66" t="n">
        <v>45946</v>
      </c>
      <c r="D2901" s="2" t="n">
        <v>1</v>
      </c>
      <c r="E2901" s="3" t="inlineStr">
        <is>
          <t>FUCILE SEMIAUTOMATICO</t>
        </is>
      </c>
      <c r="F2901" s="3" t="inlineStr">
        <is>
          <t>12</t>
        </is>
      </c>
      <c r="G2901" s="3" t="inlineStr">
        <is>
          <t>BENELLI</t>
        </is>
      </c>
      <c r="H2901" s="65" t="inlineStr">
        <is>
          <t>M2 BLACK 2023 30''</t>
        </is>
      </c>
      <c r="I2901" s="65" t="inlineStr">
        <is>
          <t>M0199175D</t>
        </is>
      </c>
      <c r="J2901" s="65" t="inlineStr">
        <is>
          <t>C1686233Y</t>
        </is>
      </c>
      <c r="K2901" s="65" t="inlineStr">
        <is>
          <t>N/D</t>
        </is>
      </c>
      <c r="L2901" s="127" t="inlineStr">
        <is>
          <t>BENELLI SPA</t>
        </is>
      </c>
      <c r="M2901" s="5" t="n">
        <v>683</v>
      </c>
      <c r="N2901" s="5" t="n"/>
      <c r="O2901" s="5">
        <f>+M2901+N2901</f>
        <v/>
      </c>
      <c r="P2901" s="4" t="n">
        <v>45932</v>
      </c>
      <c r="Q2901" s="87" t="n">
        <v>45932</v>
      </c>
      <c r="R2901" s="5" t="n">
        <v>997.5</v>
      </c>
      <c r="S2901" s="2" t="n">
        <v>1</v>
      </c>
      <c r="T2901" s="3" t="inlineStr">
        <is>
          <t>6B/2025/5S</t>
        </is>
      </c>
      <c r="U2901" s="87" t="n">
        <v>45963</v>
      </c>
      <c r="V2901" s="3" t="inlineStr">
        <is>
          <t>32</t>
        </is>
      </c>
      <c r="W2901" s="108" t="n">
        <v>45963</v>
      </c>
      <c r="X2901" s="4" t="inlineStr">
        <is>
          <t>BIN HUMAID NATIONAL TRADING CO</t>
        </is>
      </c>
    </row>
    <row r="2902" ht="24" customHeight="1">
      <c r="A2902" s="2">
        <f>+D2902-S2902</f>
        <v/>
      </c>
      <c r="B2902" s="80" t="n">
        <v>4494</v>
      </c>
      <c r="C2902" s="66" t="n">
        <v>45946</v>
      </c>
      <c r="D2902" s="2" t="n">
        <v>1</v>
      </c>
      <c r="E2902" s="3" t="inlineStr">
        <is>
          <t>FUCILE SEMIAUTOMATICO</t>
        </is>
      </c>
      <c r="F2902" s="3" t="inlineStr">
        <is>
          <t>12</t>
        </is>
      </c>
      <c r="G2902" s="3" t="inlineStr">
        <is>
          <t>BENELLI</t>
        </is>
      </c>
      <c r="H2902" s="65" t="inlineStr">
        <is>
          <t>M2 BLACK 2023 30''</t>
        </is>
      </c>
      <c r="I2902" s="65" t="inlineStr">
        <is>
          <t>M0199176E</t>
        </is>
      </c>
      <c r="J2902" s="65" t="inlineStr">
        <is>
          <t>C1686238D</t>
        </is>
      </c>
      <c r="K2902" s="65" t="inlineStr">
        <is>
          <t>N/D</t>
        </is>
      </c>
      <c r="L2902" s="127" t="inlineStr">
        <is>
          <t>BENELLI SPA</t>
        </is>
      </c>
      <c r="M2902" s="5" t="n">
        <v>683</v>
      </c>
      <c r="N2902" s="5" t="n"/>
      <c r="O2902" s="5">
        <f>+M2902+N2902</f>
        <v/>
      </c>
      <c r="P2902" s="4" t="n">
        <v>45932</v>
      </c>
      <c r="Q2902" s="87" t="n">
        <v>45932</v>
      </c>
      <c r="R2902" s="5" t="n">
        <v>997.5</v>
      </c>
      <c r="S2902" s="2" t="n">
        <v>1</v>
      </c>
      <c r="T2902" s="3" t="inlineStr">
        <is>
          <t>6B/2025/5S</t>
        </is>
      </c>
      <c r="U2902" s="87" t="n">
        <v>45963</v>
      </c>
      <c r="V2902" s="3" t="inlineStr">
        <is>
          <t>32</t>
        </is>
      </c>
      <c r="W2902" s="108" t="n">
        <v>45963</v>
      </c>
      <c r="X2902" s="4" t="inlineStr">
        <is>
          <t>BIN HUMAID NATIONAL TRADING CO</t>
        </is>
      </c>
    </row>
    <row r="2903" ht="24" customHeight="1">
      <c r="A2903" s="2">
        <f>+D2903-S2903</f>
        <v/>
      </c>
      <c r="B2903" s="80" t="n">
        <v>4495</v>
      </c>
      <c r="C2903" s="66" t="n">
        <v>45946</v>
      </c>
      <c r="D2903" s="2" t="n">
        <v>1</v>
      </c>
      <c r="E2903" s="3" t="inlineStr">
        <is>
          <t>FUCILE SEMIAUTOMATICO</t>
        </is>
      </c>
      <c r="F2903" s="3" t="inlineStr">
        <is>
          <t>12</t>
        </is>
      </c>
      <c r="G2903" s="3" t="inlineStr">
        <is>
          <t>BENELLI</t>
        </is>
      </c>
      <c r="H2903" s="65" t="inlineStr">
        <is>
          <t>M2 SPEED 26''</t>
        </is>
      </c>
      <c r="I2903" s="65" t="inlineStr">
        <is>
          <t>M0195062P</t>
        </is>
      </c>
      <c r="J2903" s="65" t="inlineStr">
        <is>
          <t>C1679685W</t>
        </is>
      </c>
      <c r="K2903" s="65" t="inlineStr">
        <is>
          <t>N/D</t>
        </is>
      </c>
      <c r="L2903" s="127" t="inlineStr">
        <is>
          <t>BENELLI SPA</t>
        </is>
      </c>
      <c r="M2903" s="5" t="n">
        <v>1047</v>
      </c>
      <c r="N2903" s="5" t="n"/>
      <c r="O2903" s="5">
        <f>+M2903+N2903</f>
        <v/>
      </c>
      <c r="P2903" s="4" t="n">
        <v>45932</v>
      </c>
      <c r="Q2903" s="87" t="n">
        <v>45932</v>
      </c>
      <c r="R2903" s="5" t="n">
        <v>1193.58</v>
      </c>
      <c r="S2903" s="2" t="n">
        <v>1</v>
      </c>
      <c r="T2903" s="3" t="inlineStr">
        <is>
          <t>6B/2025/5S</t>
        </is>
      </c>
      <c r="U2903" s="87" t="n">
        <v>45963</v>
      </c>
      <c r="V2903" s="3" t="inlineStr">
        <is>
          <t>32</t>
        </is>
      </c>
      <c r="W2903" s="108" t="n">
        <v>45963</v>
      </c>
      <c r="X2903" s="4" t="inlineStr">
        <is>
          <t>BIN HUMAID NATIONAL TRADING CO</t>
        </is>
      </c>
    </row>
    <row r="2904" ht="24" customHeight="1">
      <c r="A2904" s="2">
        <f>+D2904-S2904</f>
        <v/>
      </c>
      <c r="B2904" s="80" t="n">
        <v>4496</v>
      </c>
      <c r="C2904" s="66" t="n">
        <v>45946</v>
      </c>
      <c r="D2904" s="2" t="n">
        <v>1</v>
      </c>
      <c r="E2904" s="3" t="inlineStr">
        <is>
          <t>FUCILE SEMIAUTOMATICO</t>
        </is>
      </c>
      <c r="F2904" s="3" t="inlineStr">
        <is>
          <t>12</t>
        </is>
      </c>
      <c r="G2904" s="3" t="inlineStr">
        <is>
          <t>BENELLI</t>
        </is>
      </c>
      <c r="H2904" s="65" t="inlineStr">
        <is>
          <t>M2 SPEED 26''</t>
        </is>
      </c>
      <c r="I2904" s="65" t="inlineStr">
        <is>
          <t>M0195061N</t>
        </is>
      </c>
      <c r="J2904" s="65" t="inlineStr">
        <is>
          <t>C1679679Y</t>
        </is>
      </c>
      <c r="K2904" s="65" t="inlineStr">
        <is>
          <t>N/D</t>
        </is>
      </c>
      <c r="L2904" s="127" t="inlineStr">
        <is>
          <t>BENELLI SPA</t>
        </is>
      </c>
      <c r="M2904" s="5" t="n">
        <v>1047</v>
      </c>
      <c r="N2904" s="5" t="n"/>
      <c r="O2904" s="5">
        <f>+M2904+N2904</f>
        <v/>
      </c>
      <c r="P2904" s="4" t="n">
        <v>45932</v>
      </c>
      <c r="Q2904" s="87" t="n">
        <v>45932</v>
      </c>
      <c r="R2904" s="5" t="n">
        <v>1193.58</v>
      </c>
      <c r="S2904" s="2" t="n">
        <v>1</v>
      </c>
      <c r="T2904" s="3" t="inlineStr">
        <is>
          <t>6B/2025/5S</t>
        </is>
      </c>
      <c r="U2904" s="87" t="n">
        <v>45963</v>
      </c>
      <c r="V2904" s="3" t="inlineStr">
        <is>
          <t>32</t>
        </is>
      </c>
      <c r="W2904" s="108" t="n">
        <v>45963</v>
      </c>
      <c r="X2904" s="4" t="inlineStr">
        <is>
          <t>BIN HUMAID NATIONAL TRADING CO</t>
        </is>
      </c>
    </row>
    <row r="2905" ht="24" customHeight="1">
      <c r="A2905" s="2">
        <f>+D2905-S2905</f>
        <v/>
      </c>
      <c r="B2905" s="80" t="n">
        <v>4497</v>
      </c>
      <c r="C2905" s="66" t="n">
        <v>45946</v>
      </c>
      <c r="D2905" s="2" t="n">
        <v>1</v>
      </c>
      <c r="E2905" s="3" t="inlineStr">
        <is>
          <t>FUCILE SEMIAUTOMATICO</t>
        </is>
      </c>
      <c r="F2905" s="3" t="inlineStr">
        <is>
          <t>12</t>
        </is>
      </c>
      <c r="G2905" s="3" t="inlineStr">
        <is>
          <t>BENELLI</t>
        </is>
      </c>
      <c r="H2905" s="65" t="inlineStr">
        <is>
          <t>M2 SPEED 26''</t>
        </is>
      </c>
      <c r="I2905" s="65" t="inlineStr">
        <is>
          <t>M0195060M</t>
        </is>
      </c>
      <c r="J2905" s="65" t="inlineStr">
        <is>
          <t>C1679688Z</t>
        </is>
      </c>
      <c r="K2905" s="65" t="inlineStr">
        <is>
          <t>N/D</t>
        </is>
      </c>
      <c r="L2905" s="127" t="inlineStr">
        <is>
          <t>BENELLI SPA</t>
        </is>
      </c>
      <c r="M2905" s="5" t="n">
        <v>1047</v>
      </c>
      <c r="N2905" s="5" t="n"/>
      <c r="O2905" s="5">
        <f>+M2905+N2905</f>
        <v/>
      </c>
      <c r="P2905" s="4" t="n">
        <v>45932</v>
      </c>
      <c r="Q2905" s="87" t="n">
        <v>45932</v>
      </c>
      <c r="R2905" s="5" t="n">
        <v>1193.58</v>
      </c>
      <c r="S2905" s="2" t="n">
        <v>1</v>
      </c>
      <c r="T2905" s="3" t="inlineStr">
        <is>
          <t>6B/2025/5S</t>
        </is>
      </c>
      <c r="U2905" s="87" t="n">
        <v>45963</v>
      </c>
      <c r="V2905" s="3" t="inlineStr">
        <is>
          <t>32</t>
        </is>
      </c>
      <c r="W2905" s="108" t="n">
        <v>45963</v>
      </c>
      <c r="X2905" s="4" t="inlineStr">
        <is>
          <t>BIN HUMAID NATIONAL TRADING CO</t>
        </is>
      </c>
    </row>
    <row r="2906" ht="24" customHeight="1">
      <c r="A2906" s="2">
        <f>+D2906-S2906</f>
        <v/>
      </c>
      <c r="B2906" s="80" t="n">
        <v>4498</v>
      </c>
      <c r="C2906" s="66" t="n">
        <v>45946</v>
      </c>
      <c r="D2906" s="2" t="n">
        <v>1</v>
      </c>
      <c r="E2906" s="3" t="inlineStr">
        <is>
          <t>FUCILE SEMIAUTOMATICO</t>
        </is>
      </c>
      <c r="F2906" s="3" t="inlineStr">
        <is>
          <t>12</t>
        </is>
      </c>
      <c r="G2906" s="3" t="inlineStr">
        <is>
          <t>BENELLI</t>
        </is>
      </c>
      <c r="H2906" s="65" t="inlineStr">
        <is>
          <t>M2 SPEED 26''</t>
        </is>
      </c>
      <c r="I2906" s="65" t="inlineStr">
        <is>
          <t>M0195059U</t>
        </is>
      </c>
      <c r="J2906" s="65" t="inlineStr">
        <is>
          <t>C1679676V</t>
        </is>
      </c>
      <c r="K2906" s="65" t="inlineStr">
        <is>
          <t>N/D</t>
        </is>
      </c>
      <c r="L2906" s="127" t="inlineStr">
        <is>
          <t>BENELLI SPA</t>
        </is>
      </c>
      <c r="M2906" s="5" t="n">
        <v>1047</v>
      </c>
      <c r="N2906" s="5" t="n"/>
      <c r="O2906" s="5">
        <f>+M2906+N2906</f>
        <v/>
      </c>
      <c r="P2906" s="4" t="n">
        <v>45932</v>
      </c>
      <c r="Q2906" s="87" t="n">
        <v>45932</v>
      </c>
      <c r="R2906" s="5" t="n">
        <v>1193.58</v>
      </c>
      <c r="S2906" s="2" t="n">
        <v>1</v>
      </c>
      <c r="T2906" s="3" t="inlineStr">
        <is>
          <t>6B/2025/5S</t>
        </is>
      </c>
      <c r="U2906" s="87" t="n">
        <v>45963</v>
      </c>
      <c r="V2906" s="3" t="inlineStr">
        <is>
          <t>32</t>
        </is>
      </c>
      <c r="W2906" s="108" t="n">
        <v>45963</v>
      </c>
      <c r="X2906" s="4" t="inlineStr">
        <is>
          <t>BIN HUMAID NATIONAL TRADING CO</t>
        </is>
      </c>
    </row>
    <row r="2907" ht="24" customHeight="1">
      <c r="A2907" s="2">
        <f>+D2907-S2907</f>
        <v/>
      </c>
      <c r="B2907" s="80" t="n">
        <v>4499</v>
      </c>
      <c r="C2907" s="66" t="n">
        <v>45946</v>
      </c>
      <c r="D2907" s="2" t="n">
        <v>1</v>
      </c>
      <c r="E2907" s="3" t="inlineStr">
        <is>
          <t>FUCILE SEMIAUTOMATICO</t>
        </is>
      </c>
      <c r="F2907" s="3" t="inlineStr">
        <is>
          <t>12</t>
        </is>
      </c>
      <c r="G2907" s="3" t="inlineStr">
        <is>
          <t>BENELLI</t>
        </is>
      </c>
      <c r="H2907" s="65" t="inlineStr">
        <is>
          <t>M2 SPEED 26''</t>
        </is>
      </c>
      <c r="I2907" s="65" t="inlineStr">
        <is>
          <t>M0195058T</t>
        </is>
      </c>
      <c r="J2907" s="65" t="inlineStr">
        <is>
          <t>C1679687Y</t>
        </is>
      </c>
      <c r="K2907" s="65" t="inlineStr">
        <is>
          <t>N/D</t>
        </is>
      </c>
      <c r="L2907" s="127" t="inlineStr">
        <is>
          <t>BENELLI SPA</t>
        </is>
      </c>
      <c r="M2907" s="5" t="n">
        <v>1047</v>
      </c>
      <c r="N2907" s="5" t="n"/>
      <c r="O2907" s="5">
        <f>+M2907+N2907</f>
        <v/>
      </c>
      <c r="P2907" s="4" t="n">
        <v>45932</v>
      </c>
      <c r="Q2907" s="87" t="n">
        <v>45932</v>
      </c>
      <c r="R2907" s="5" t="n">
        <v>1193.58</v>
      </c>
      <c r="S2907" s="2" t="n">
        <v>1</v>
      </c>
      <c r="T2907" s="3" t="inlineStr">
        <is>
          <t>6B/2025/5S</t>
        </is>
      </c>
      <c r="U2907" s="87" t="n">
        <v>45963</v>
      </c>
      <c r="V2907" s="3" t="inlineStr">
        <is>
          <t>32</t>
        </is>
      </c>
      <c r="W2907" s="108" t="n">
        <v>45963</v>
      </c>
      <c r="X2907" s="4" t="inlineStr">
        <is>
          <t>BIN HUMAID NATIONAL TRADING CO</t>
        </is>
      </c>
    </row>
    <row r="2908" ht="24" customHeight="1">
      <c r="A2908" s="2">
        <f>+D2908-S2908</f>
        <v/>
      </c>
      <c r="B2908" s="80" t="n">
        <v>4500</v>
      </c>
      <c r="C2908" s="66" t="n">
        <v>45946</v>
      </c>
      <c r="D2908" s="2" t="n">
        <v>1</v>
      </c>
      <c r="E2908" s="3" t="inlineStr">
        <is>
          <t>FUCILE SEMIAUTOMATICO</t>
        </is>
      </c>
      <c r="F2908" s="3" t="inlineStr">
        <is>
          <t>12</t>
        </is>
      </c>
      <c r="G2908" s="3" t="inlineStr">
        <is>
          <t>BENELLI</t>
        </is>
      </c>
      <c r="H2908" s="65" t="inlineStr">
        <is>
          <t>M2 SPEED 26''</t>
        </is>
      </c>
      <c r="I2908" s="65" t="inlineStr">
        <is>
          <t>M0195069W</t>
        </is>
      </c>
      <c r="J2908" s="65" t="inlineStr">
        <is>
          <t>C1679670P</t>
        </is>
      </c>
      <c r="K2908" s="65" t="inlineStr">
        <is>
          <t>N/D</t>
        </is>
      </c>
      <c r="L2908" s="127" t="inlineStr">
        <is>
          <t>BENELLI SPA</t>
        </is>
      </c>
      <c r="M2908" s="5" t="n">
        <v>1047</v>
      </c>
      <c r="N2908" s="5" t="n"/>
      <c r="O2908" s="5">
        <f>+M2908+N2908</f>
        <v/>
      </c>
      <c r="P2908" s="4" t="n">
        <v>45932</v>
      </c>
      <c r="Q2908" s="87" t="n">
        <v>45932</v>
      </c>
      <c r="R2908" s="5" t="n">
        <v>1193.58</v>
      </c>
      <c r="S2908" s="2" t="n">
        <v>1</v>
      </c>
      <c r="T2908" s="3" t="inlineStr">
        <is>
          <t>6B/2025/5S</t>
        </is>
      </c>
      <c r="U2908" s="87" t="n">
        <v>45963</v>
      </c>
      <c r="V2908" s="3" t="inlineStr">
        <is>
          <t>32</t>
        </is>
      </c>
      <c r="W2908" s="108" t="n">
        <v>45963</v>
      </c>
      <c r="X2908" s="4" t="inlineStr">
        <is>
          <t>BIN HUMAID NATIONAL TRADING CO</t>
        </is>
      </c>
    </row>
    <row r="2909" ht="24" customHeight="1">
      <c r="A2909" s="2">
        <f>+D2909-S2909</f>
        <v/>
      </c>
      <c r="B2909" s="80" t="n">
        <v>4501</v>
      </c>
      <c r="C2909" s="66" t="n">
        <v>45946</v>
      </c>
      <c r="D2909" s="2" t="n">
        <v>1</v>
      </c>
      <c r="E2909" s="3" t="inlineStr">
        <is>
          <t>FUCILE SEMIAUTOMATICO</t>
        </is>
      </c>
      <c r="F2909" s="3" t="inlineStr">
        <is>
          <t>12</t>
        </is>
      </c>
      <c r="G2909" s="3" t="inlineStr">
        <is>
          <t>BENELLI</t>
        </is>
      </c>
      <c r="H2909" s="65" t="inlineStr">
        <is>
          <t>M2 SPEED 26''</t>
        </is>
      </c>
      <c r="I2909" s="65" t="inlineStr">
        <is>
          <t>M0195068V</t>
        </is>
      </c>
      <c r="J2909" s="65" t="inlineStr">
        <is>
          <t>C1679673S</t>
        </is>
      </c>
      <c r="K2909" s="65" t="inlineStr">
        <is>
          <t>N/D</t>
        </is>
      </c>
      <c r="L2909" s="127" t="inlineStr">
        <is>
          <t>BENELLI SPA</t>
        </is>
      </c>
      <c r="M2909" s="5" t="n">
        <v>1047</v>
      </c>
      <c r="N2909" s="5" t="n"/>
      <c r="O2909" s="5">
        <f>+M2909+N2909</f>
        <v/>
      </c>
      <c r="P2909" s="4" t="n">
        <v>45932</v>
      </c>
      <c r="Q2909" s="87" t="n">
        <v>45932</v>
      </c>
      <c r="R2909" s="5" t="n">
        <v>1193.58</v>
      </c>
      <c r="S2909" s="2" t="n">
        <v>1</v>
      </c>
      <c r="T2909" s="3" t="inlineStr">
        <is>
          <t>6B/2025/5S</t>
        </is>
      </c>
      <c r="U2909" s="87" t="n">
        <v>45963</v>
      </c>
      <c r="V2909" s="3" t="inlineStr">
        <is>
          <t>32</t>
        </is>
      </c>
      <c r="W2909" s="108" t="n">
        <v>45963</v>
      </c>
      <c r="X2909" s="4" t="inlineStr">
        <is>
          <t>BIN HUMAID NATIONAL TRADING CO</t>
        </is>
      </c>
    </row>
    <row r="2910" ht="24" customHeight="1">
      <c r="A2910" s="2">
        <f>+D2910-S2910</f>
        <v/>
      </c>
      <c r="B2910" s="80" t="n">
        <v>4502</v>
      </c>
      <c r="C2910" s="66" t="n">
        <v>45946</v>
      </c>
      <c r="D2910" s="2" t="n">
        <v>1</v>
      </c>
      <c r="E2910" s="3" t="inlineStr">
        <is>
          <t>FUCILE SEMIAUTOMATICO</t>
        </is>
      </c>
      <c r="F2910" s="3" t="inlineStr">
        <is>
          <t>12</t>
        </is>
      </c>
      <c r="G2910" s="3" t="inlineStr">
        <is>
          <t>BENELLI</t>
        </is>
      </c>
      <c r="H2910" s="65" t="inlineStr">
        <is>
          <t>M2 SPEED 26''</t>
        </is>
      </c>
      <c r="I2910" s="65" t="inlineStr">
        <is>
          <t>M0195067U</t>
        </is>
      </c>
      <c r="J2910" s="65" t="inlineStr">
        <is>
          <t>C1679671Q</t>
        </is>
      </c>
      <c r="K2910" s="65" t="inlineStr">
        <is>
          <t>N/D</t>
        </is>
      </c>
      <c r="L2910" s="127" t="inlineStr">
        <is>
          <t>BENELLI SPA</t>
        </is>
      </c>
      <c r="M2910" s="5" t="n">
        <v>1047</v>
      </c>
      <c r="N2910" s="5" t="n"/>
      <c r="O2910" s="5">
        <f>+M2910+N2910</f>
        <v/>
      </c>
      <c r="P2910" s="4" t="n">
        <v>45932</v>
      </c>
      <c r="Q2910" s="87" t="n">
        <v>45932</v>
      </c>
      <c r="R2910" s="5" t="n">
        <v>1193.58</v>
      </c>
      <c r="S2910" s="2" t="n">
        <v>1</v>
      </c>
      <c r="T2910" s="3" t="inlineStr">
        <is>
          <t>6B/2025/5S</t>
        </is>
      </c>
      <c r="U2910" s="87" t="n">
        <v>45963</v>
      </c>
      <c r="V2910" s="3" t="inlineStr">
        <is>
          <t>32</t>
        </is>
      </c>
      <c r="W2910" s="108" t="n">
        <v>45963</v>
      </c>
      <c r="X2910" s="4" t="inlineStr">
        <is>
          <t>BIN HUMAID NATIONAL TRADING CO</t>
        </is>
      </c>
    </row>
    <row r="2911" ht="24" customHeight="1">
      <c r="A2911" s="2">
        <f>+D2911-S2911</f>
        <v/>
      </c>
      <c r="B2911" s="80" t="n">
        <v>4503</v>
      </c>
      <c r="C2911" s="66" t="n">
        <v>45946</v>
      </c>
      <c r="D2911" s="2" t="n">
        <v>1</v>
      </c>
      <c r="E2911" s="3" t="inlineStr">
        <is>
          <t>FUCILE SEMIAUTOMATICO</t>
        </is>
      </c>
      <c r="F2911" s="3" t="inlineStr">
        <is>
          <t>12</t>
        </is>
      </c>
      <c r="G2911" s="3" t="inlineStr">
        <is>
          <t>BENELLI</t>
        </is>
      </c>
      <c r="H2911" s="65" t="inlineStr">
        <is>
          <t>M2 SPEED 26''</t>
        </is>
      </c>
      <c r="I2911" s="65" t="inlineStr">
        <is>
          <t>M0195052M</t>
        </is>
      </c>
      <c r="J2911" s="65" t="inlineStr">
        <is>
          <t>C1679675U</t>
        </is>
      </c>
      <c r="K2911" s="65" t="inlineStr">
        <is>
          <t>N/D</t>
        </is>
      </c>
      <c r="L2911" s="127" t="inlineStr">
        <is>
          <t>BENELLI SPA</t>
        </is>
      </c>
      <c r="M2911" s="5" t="n">
        <v>1047</v>
      </c>
      <c r="N2911" s="5" t="n"/>
      <c r="O2911" s="5">
        <f>+M2911+N2911</f>
        <v/>
      </c>
      <c r="P2911" s="4" t="n">
        <v>45932</v>
      </c>
      <c r="Q2911" s="87" t="n">
        <v>45932</v>
      </c>
      <c r="R2911" s="5" t="n">
        <v>1193.58</v>
      </c>
      <c r="S2911" s="2" t="n">
        <v>1</v>
      </c>
      <c r="T2911" s="3" t="inlineStr">
        <is>
          <t>6B/2025/5S</t>
        </is>
      </c>
      <c r="U2911" s="87" t="n">
        <v>45963</v>
      </c>
      <c r="V2911" s="3" t="inlineStr">
        <is>
          <t>32</t>
        </is>
      </c>
      <c r="W2911" s="108" t="n">
        <v>45963</v>
      </c>
      <c r="X2911" s="4" t="inlineStr">
        <is>
          <t>BIN HUMAID NATIONAL TRADING CO</t>
        </is>
      </c>
    </row>
    <row r="2912" ht="24" customHeight="1">
      <c r="A2912" s="2">
        <f>+D2912-S2912</f>
        <v/>
      </c>
      <c r="B2912" s="80" t="n">
        <v>4504</v>
      </c>
      <c r="C2912" s="66" t="n">
        <v>45946</v>
      </c>
      <c r="D2912" s="2" t="n">
        <v>1</v>
      </c>
      <c r="E2912" s="3" t="inlineStr">
        <is>
          <t>FUCILE SEMIAUTOMATICO</t>
        </is>
      </c>
      <c r="F2912" s="3" t="inlineStr">
        <is>
          <t>12</t>
        </is>
      </c>
      <c r="G2912" s="3" t="inlineStr">
        <is>
          <t>BENELLI</t>
        </is>
      </c>
      <c r="H2912" s="65" t="inlineStr">
        <is>
          <t>M2 SPEED 26''</t>
        </is>
      </c>
      <c r="I2912" s="65" t="inlineStr">
        <is>
          <t>M0195053N</t>
        </is>
      </c>
      <c r="J2912" s="65" t="inlineStr">
        <is>
          <t>C1679684V</t>
        </is>
      </c>
      <c r="K2912" s="65" t="inlineStr">
        <is>
          <t>N/D</t>
        </is>
      </c>
      <c r="L2912" s="127" t="inlineStr">
        <is>
          <t>BENELLI SPA</t>
        </is>
      </c>
      <c r="M2912" s="5" t="n">
        <v>1047</v>
      </c>
      <c r="N2912" s="5" t="n"/>
      <c r="O2912" s="5">
        <f>+M2912+N2912</f>
        <v/>
      </c>
      <c r="P2912" s="4" t="n">
        <v>45932</v>
      </c>
      <c r="Q2912" s="87" t="n">
        <v>45932</v>
      </c>
      <c r="R2912" s="5" t="n">
        <v>1193.58</v>
      </c>
      <c r="S2912" s="2" t="n">
        <v>1</v>
      </c>
      <c r="T2912" s="3" t="inlineStr">
        <is>
          <t>6B/2025/5S</t>
        </is>
      </c>
      <c r="U2912" s="87" t="n">
        <v>45963</v>
      </c>
      <c r="V2912" s="3" t="inlineStr">
        <is>
          <t>32</t>
        </is>
      </c>
      <c r="W2912" s="108" t="n">
        <v>45963</v>
      </c>
      <c r="X2912" s="4" t="inlineStr">
        <is>
          <t>BIN HUMAID NATIONAL TRADING CO</t>
        </is>
      </c>
    </row>
    <row r="2913" ht="24" customHeight="1">
      <c r="A2913" s="2">
        <f>+D2913-S2913</f>
        <v/>
      </c>
      <c r="B2913" s="80" t="n">
        <v>4505</v>
      </c>
      <c r="C2913" s="66" t="n">
        <v>45946</v>
      </c>
      <c r="D2913" s="2" t="n">
        <v>1</v>
      </c>
      <c r="E2913" s="3" t="inlineStr">
        <is>
          <t>FUCILE SEMIAUTOMATICO</t>
        </is>
      </c>
      <c r="F2913" s="3" t="inlineStr">
        <is>
          <t>12</t>
        </is>
      </c>
      <c r="G2913" s="3" t="inlineStr">
        <is>
          <t>BENELLI</t>
        </is>
      </c>
      <c r="H2913" s="65" t="inlineStr">
        <is>
          <t>M2 SPEED 26''</t>
        </is>
      </c>
      <c r="I2913" s="65" t="inlineStr">
        <is>
          <t>M0176495C</t>
        </is>
      </c>
      <c r="J2913" s="65" t="inlineStr">
        <is>
          <t>C1645939F</t>
        </is>
      </c>
      <c r="K2913" s="65" t="inlineStr">
        <is>
          <t>N/D</t>
        </is>
      </c>
      <c r="L2913" s="127" t="inlineStr">
        <is>
          <t>BENELLI SPA</t>
        </is>
      </c>
      <c r="M2913" s="5" t="n">
        <v>1047</v>
      </c>
      <c r="N2913" s="5" t="n"/>
      <c r="O2913" s="5">
        <f>+M2913+N2913</f>
        <v/>
      </c>
      <c r="P2913" s="4" t="n">
        <v>45932</v>
      </c>
      <c r="Q2913" s="87" t="n">
        <v>45932</v>
      </c>
      <c r="R2913" s="5" t="n">
        <v>1193.58</v>
      </c>
      <c r="S2913" s="2" t="n">
        <v>1</v>
      </c>
      <c r="T2913" s="3" t="inlineStr">
        <is>
          <t>6B/2025/5S</t>
        </is>
      </c>
      <c r="U2913" s="87" t="n">
        <v>45963</v>
      </c>
      <c r="V2913" s="3" t="inlineStr">
        <is>
          <t>32</t>
        </is>
      </c>
      <c r="W2913" s="108" t="n">
        <v>45963</v>
      </c>
      <c r="X2913" s="4" t="inlineStr">
        <is>
          <t>BIN HUMAID NATIONAL TRADING CO</t>
        </is>
      </c>
    </row>
    <row r="2914" ht="24" customHeight="1">
      <c r="A2914" s="2">
        <f>+D2914-S2914</f>
        <v/>
      </c>
      <c r="B2914" s="80" t="n">
        <v>4506</v>
      </c>
      <c r="C2914" s="66" t="n">
        <v>45946</v>
      </c>
      <c r="D2914" s="2" t="n">
        <v>1</v>
      </c>
      <c r="E2914" s="3" t="inlineStr">
        <is>
          <t>FUCILE SEMIAUTOMATICO</t>
        </is>
      </c>
      <c r="F2914" s="3" t="inlineStr">
        <is>
          <t>12</t>
        </is>
      </c>
      <c r="G2914" s="3" t="inlineStr">
        <is>
          <t>BENELLI</t>
        </is>
      </c>
      <c r="H2914" s="65" t="inlineStr">
        <is>
          <t>M2 SPEED 26''</t>
        </is>
      </c>
      <c r="I2914" s="65" t="inlineStr">
        <is>
          <t>M0176496D</t>
        </is>
      </c>
      <c r="J2914" s="65" t="inlineStr">
        <is>
          <t>C1645941Z</t>
        </is>
      </c>
      <c r="K2914" s="65" t="inlineStr">
        <is>
          <t>N/D</t>
        </is>
      </c>
      <c r="L2914" s="127" t="inlineStr">
        <is>
          <t>BENELLI SPA</t>
        </is>
      </c>
      <c r="M2914" s="5" t="n">
        <v>1047</v>
      </c>
      <c r="N2914" s="5" t="n"/>
      <c r="O2914" s="5">
        <f>+M2914+N2914</f>
        <v/>
      </c>
      <c r="P2914" s="4" t="n">
        <v>45932</v>
      </c>
      <c r="Q2914" s="87" t="n">
        <v>45932</v>
      </c>
      <c r="R2914" s="5" t="n">
        <v>1193.58</v>
      </c>
      <c r="S2914" s="2" t="n">
        <v>1</v>
      </c>
      <c r="T2914" s="3" t="inlineStr">
        <is>
          <t>6B/2025/5S</t>
        </is>
      </c>
      <c r="U2914" s="87" t="n">
        <v>45963</v>
      </c>
      <c r="V2914" s="3" t="inlineStr">
        <is>
          <t>32</t>
        </is>
      </c>
      <c r="W2914" s="108" t="n">
        <v>45963</v>
      </c>
      <c r="X2914" s="4" t="inlineStr">
        <is>
          <t>BIN HUMAID NATIONAL TRADING CO</t>
        </is>
      </c>
    </row>
    <row r="2915" ht="24" customHeight="1">
      <c r="A2915" s="2">
        <f>+D2915-S2915</f>
        <v/>
      </c>
      <c r="B2915" s="80" t="n">
        <v>4507</v>
      </c>
      <c r="C2915" s="66" t="n">
        <v>45946</v>
      </c>
      <c r="D2915" s="2" t="n">
        <v>1</v>
      </c>
      <c r="E2915" s="3" t="inlineStr">
        <is>
          <t>FUCILE SEMIAUTOMATICO</t>
        </is>
      </c>
      <c r="F2915" s="3" t="inlineStr">
        <is>
          <t>12</t>
        </is>
      </c>
      <c r="G2915" s="3" t="inlineStr">
        <is>
          <t>BENELLI</t>
        </is>
      </c>
      <c r="H2915" s="65" t="inlineStr">
        <is>
          <t>M2 SPEED 26''</t>
        </is>
      </c>
      <c r="I2915" s="65" t="inlineStr">
        <is>
          <t>M0176491Y</t>
        </is>
      </c>
      <c r="J2915" s="65" t="inlineStr">
        <is>
          <t>C1645940Y</t>
        </is>
      </c>
      <c r="K2915" s="65" t="inlineStr">
        <is>
          <t>N/D</t>
        </is>
      </c>
      <c r="L2915" s="127" t="inlineStr">
        <is>
          <t>BENELLI SPA</t>
        </is>
      </c>
      <c r="M2915" s="5" t="n">
        <v>1047</v>
      </c>
      <c r="N2915" s="5" t="n"/>
      <c r="O2915" s="5">
        <f>+M2915+N2915</f>
        <v/>
      </c>
      <c r="P2915" s="4" t="n">
        <v>45932</v>
      </c>
      <c r="Q2915" s="87" t="n">
        <v>45932</v>
      </c>
      <c r="R2915" s="5" t="n">
        <v>1193.58</v>
      </c>
      <c r="S2915" s="2" t="n">
        <v>1</v>
      </c>
      <c r="T2915" s="3" t="inlineStr">
        <is>
          <t>6B/2025/5S</t>
        </is>
      </c>
      <c r="U2915" s="87" t="n">
        <v>45963</v>
      </c>
      <c r="V2915" s="3" t="inlineStr">
        <is>
          <t>32</t>
        </is>
      </c>
      <c r="W2915" s="108" t="n">
        <v>45963</v>
      </c>
      <c r="X2915" s="4" t="inlineStr">
        <is>
          <t>BIN HUMAID NATIONAL TRADING CO</t>
        </is>
      </c>
    </row>
    <row r="2916" ht="24" customHeight="1">
      <c r="A2916" s="2">
        <f>+D2916-S2916</f>
        <v/>
      </c>
      <c r="B2916" s="80" t="n">
        <v>4508</v>
      </c>
      <c r="C2916" s="66" t="n">
        <v>45946</v>
      </c>
      <c r="D2916" s="2" t="n">
        <v>1</v>
      </c>
      <c r="E2916" s="3" t="inlineStr">
        <is>
          <t>FUCILE SEMIAUTOMATICO</t>
        </is>
      </c>
      <c r="F2916" s="3" t="inlineStr">
        <is>
          <t>12</t>
        </is>
      </c>
      <c r="G2916" s="3" t="inlineStr">
        <is>
          <t>BENELLI</t>
        </is>
      </c>
      <c r="H2916" s="65" t="inlineStr">
        <is>
          <t>M2 SPEED 26''</t>
        </is>
      </c>
      <c r="I2916" s="65" t="inlineStr">
        <is>
          <t>M0176488D</t>
        </is>
      </c>
      <c r="J2916" s="65" t="inlineStr">
        <is>
          <t>C1645937D</t>
        </is>
      </c>
      <c r="K2916" s="65" t="inlineStr">
        <is>
          <t>N/D</t>
        </is>
      </c>
      <c r="L2916" s="127" t="inlineStr">
        <is>
          <t>BENELLI SPA</t>
        </is>
      </c>
      <c r="M2916" s="5" t="n">
        <v>1047</v>
      </c>
      <c r="N2916" s="5" t="n"/>
      <c r="O2916" s="5">
        <f>+M2916+N2916</f>
        <v/>
      </c>
      <c r="P2916" s="4" t="n">
        <v>45932</v>
      </c>
      <c r="Q2916" s="87" t="n">
        <v>45932</v>
      </c>
      <c r="R2916" s="5" t="n">
        <v>1193.58</v>
      </c>
      <c r="S2916" s="2" t="n">
        <v>1</v>
      </c>
      <c r="T2916" s="3" t="inlineStr">
        <is>
          <t>6B/2025/5S</t>
        </is>
      </c>
      <c r="U2916" s="87" t="n">
        <v>45963</v>
      </c>
      <c r="V2916" s="3" t="inlineStr">
        <is>
          <t>32</t>
        </is>
      </c>
      <c r="W2916" s="108" t="n">
        <v>45963</v>
      </c>
      <c r="X2916" s="4" t="inlineStr">
        <is>
          <t>BIN HUMAID NATIONAL TRADING CO</t>
        </is>
      </c>
    </row>
    <row r="2917" ht="24" customHeight="1">
      <c r="A2917" s="2">
        <f>+D2917-S2917</f>
        <v/>
      </c>
      <c r="B2917" s="80" t="n">
        <v>4509</v>
      </c>
      <c r="C2917" s="66" t="n">
        <v>45946</v>
      </c>
      <c r="D2917" s="2" t="n">
        <v>1</v>
      </c>
      <c r="E2917" s="3" t="inlineStr">
        <is>
          <t>FUCILE SEMIAUTOMATICO</t>
        </is>
      </c>
      <c r="F2917" s="3" t="inlineStr">
        <is>
          <t>12</t>
        </is>
      </c>
      <c r="G2917" s="3" t="inlineStr">
        <is>
          <t>BENELLI</t>
        </is>
      </c>
      <c r="H2917" s="65" t="inlineStr">
        <is>
          <t>M2 SPEED 26''</t>
        </is>
      </c>
      <c r="I2917" s="65" t="inlineStr">
        <is>
          <t>M0176487C</t>
        </is>
      </c>
      <c r="J2917" s="65" t="inlineStr">
        <is>
          <t>C1645927B</t>
        </is>
      </c>
      <c r="K2917" s="65" t="inlineStr">
        <is>
          <t>N/D</t>
        </is>
      </c>
      <c r="L2917" s="127" t="inlineStr">
        <is>
          <t>BENELLI SPA</t>
        </is>
      </c>
      <c r="M2917" s="5" t="n">
        <v>1047</v>
      </c>
      <c r="N2917" s="5" t="n"/>
      <c r="O2917" s="5">
        <f>+M2917+N2917</f>
        <v/>
      </c>
      <c r="P2917" s="4" t="n">
        <v>45932</v>
      </c>
      <c r="Q2917" s="87" t="n">
        <v>45932</v>
      </c>
      <c r="R2917" s="5" t="n">
        <v>1193.58</v>
      </c>
      <c r="S2917" s="2" t="n">
        <v>1</v>
      </c>
      <c r="T2917" s="3" t="inlineStr">
        <is>
          <t>6B/2025/5S</t>
        </is>
      </c>
      <c r="U2917" s="87" t="n">
        <v>45963</v>
      </c>
      <c r="V2917" s="3" t="inlineStr">
        <is>
          <t>32</t>
        </is>
      </c>
      <c r="W2917" s="108" t="n">
        <v>45963</v>
      </c>
      <c r="X2917" s="4" t="inlineStr">
        <is>
          <t>BIN HUMAID NATIONAL TRADING CO</t>
        </is>
      </c>
    </row>
    <row r="2918" ht="24" customHeight="1">
      <c r="A2918" s="2">
        <f>+D2918-S2918</f>
        <v/>
      </c>
      <c r="B2918" s="80" t="n">
        <v>4510</v>
      </c>
      <c r="C2918" s="66" t="n">
        <v>45946</v>
      </c>
      <c r="D2918" s="2" t="n">
        <v>1</v>
      </c>
      <c r="E2918" s="3" t="inlineStr">
        <is>
          <t>FUCILE SEMIAUTOMATICO</t>
        </is>
      </c>
      <c r="F2918" s="3" t="inlineStr">
        <is>
          <t>12</t>
        </is>
      </c>
      <c r="G2918" s="3" t="inlineStr">
        <is>
          <t>BENELLI</t>
        </is>
      </c>
      <c r="H2918" s="65" t="inlineStr">
        <is>
          <t>M2 BLACK 2023 30''</t>
        </is>
      </c>
      <c r="I2918" s="65" t="inlineStr">
        <is>
          <t>M0201168E</t>
        </is>
      </c>
      <c r="J2918" s="65" t="inlineStr">
        <is>
          <t>C1690177Y</t>
        </is>
      </c>
      <c r="K2918" s="65" t="inlineStr">
        <is>
          <t>N/D</t>
        </is>
      </c>
      <c r="L2918" s="127" t="inlineStr">
        <is>
          <t>BENELLI SPA</t>
        </is>
      </c>
      <c r="M2918" s="5" t="n">
        <v>683</v>
      </c>
      <c r="N2918" s="5" t="n"/>
      <c r="O2918" s="5">
        <f>+M2918+N2918</f>
        <v/>
      </c>
      <c r="P2918" s="4" t="n">
        <v>45932</v>
      </c>
      <c r="Q2918" s="87" t="n">
        <v>45932</v>
      </c>
      <c r="R2918" s="5" t="n">
        <v>997.5</v>
      </c>
      <c r="S2918" s="2" t="n">
        <v>1</v>
      </c>
      <c r="T2918" s="3" t="inlineStr">
        <is>
          <t>6B/2025/5S</t>
        </is>
      </c>
      <c r="U2918" s="87" t="n">
        <v>45963</v>
      </c>
      <c r="V2918" s="3" t="inlineStr">
        <is>
          <t>32</t>
        </is>
      </c>
      <c r="W2918" s="108" t="n">
        <v>45963</v>
      </c>
      <c r="X2918" s="4" t="inlineStr">
        <is>
          <t>BIN HUMAID NATIONAL TRADING CO</t>
        </is>
      </c>
    </row>
    <row r="2919" ht="24" customHeight="1">
      <c r="A2919" s="2">
        <f>+D2919-S2919</f>
        <v/>
      </c>
      <c r="B2919" s="80" t="n">
        <v>4511</v>
      </c>
      <c r="C2919" s="66" t="n">
        <v>45946</v>
      </c>
      <c r="D2919" s="2" t="n">
        <v>1</v>
      </c>
      <c r="E2919" s="3" t="inlineStr">
        <is>
          <t>FUCILE SEMIAUTOMATICO</t>
        </is>
      </c>
      <c r="F2919" s="3" t="inlineStr">
        <is>
          <t>12</t>
        </is>
      </c>
      <c r="G2919" s="3" t="inlineStr">
        <is>
          <t>BENELLI</t>
        </is>
      </c>
      <c r="H2919" s="65" t="inlineStr">
        <is>
          <t>M2 BLACK 2023 30''</t>
        </is>
      </c>
      <c r="I2919" s="65" t="inlineStr">
        <is>
          <t>M0201167D</t>
        </is>
      </c>
      <c r="J2919" s="65" t="inlineStr">
        <is>
          <t>C1690173U</t>
        </is>
      </c>
      <c r="K2919" s="65" t="inlineStr">
        <is>
          <t>N/D</t>
        </is>
      </c>
      <c r="L2919" s="127" t="inlineStr">
        <is>
          <t>BENELLI SPA</t>
        </is>
      </c>
      <c r="M2919" s="5" t="n">
        <v>683</v>
      </c>
      <c r="N2919" s="5" t="n"/>
      <c r="O2919" s="5">
        <f>+M2919+N2919</f>
        <v/>
      </c>
      <c r="P2919" s="4" t="n">
        <v>45932</v>
      </c>
      <c r="Q2919" s="87" t="n">
        <v>45932</v>
      </c>
      <c r="R2919" s="5" t="n">
        <v>997.5</v>
      </c>
      <c r="S2919" s="2" t="n">
        <v>1</v>
      </c>
      <c r="T2919" s="3" t="inlineStr">
        <is>
          <t>6B/2025/5S</t>
        </is>
      </c>
      <c r="U2919" s="87" t="n">
        <v>45963</v>
      </c>
      <c r="V2919" s="3" t="inlineStr">
        <is>
          <t>32</t>
        </is>
      </c>
      <c r="W2919" s="108" t="n">
        <v>45963</v>
      </c>
      <c r="X2919" s="4" t="inlineStr">
        <is>
          <t>BIN HUMAID NATIONAL TRADING CO</t>
        </is>
      </c>
    </row>
    <row r="2920" ht="24" customHeight="1">
      <c r="A2920" s="2">
        <f>+D2920-S2920</f>
        <v/>
      </c>
      <c r="B2920" s="80" t="n">
        <v>4512</v>
      </c>
      <c r="C2920" s="66" t="n">
        <v>45946</v>
      </c>
      <c r="D2920" s="2" t="n">
        <v>1</v>
      </c>
      <c r="E2920" s="3" t="inlineStr">
        <is>
          <t>FUCILE SEMIAUTOMATICO</t>
        </is>
      </c>
      <c r="F2920" s="3" t="inlineStr">
        <is>
          <t>12</t>
        </is>
      </c>
      <c r="G2920" s="3" t="inlineStr">
        <is>
          <t>BENELLI</t>
        </is>
      </c>
      <c r="H2920" s="65" t="inlineStr">
        <is>
          <t>M2 BLACK 2023 30''</t>
        </is>
      </c>
      <c r="I2920" s="65" t="inlineStr">
        <is>
          <t>M0201171Z</t>
        </is>
      </c>
      <c r="J2920" s="65" t="inlineStr">
        <is>
          <t>C1690174V</t>
        </is>
      </c>
      <c r="K2920" s="65" t="inlineStr">
        <is>
          <t>N/D</t>
        </is>
      </c>
      <c r="L2920" s="127" t="inlineStr">
        <is>
          <t>BENELLI SPA</t>
        </is>
      </c>
      <c r="M2920" s="5" t="n">
        <v>683</v>
      </c>
      <c r="N2920" s="5" t="n"/>
      <c r="O2920" s="5">
        <f>+M2920+N2920</f>
        <v/>
      </c>
      <c r="P2920" s="4" t="n">
        <v>45932</v>
      </c>
      <c r="Q2920" s="87" t="n">
        <v>45932</v>
      </c>
      <c r="R2920" s="5" t="n">
        <v>997.5</v>
      </c>
      <c r="S2920" s="2" t="n">
        <v>1</v>
      </c>
      <c r="T2920" s="3" t="inlineStr">
        <is>
          <t>6B/2025/5S</t>
        </is>
      </c>
      <c r="U2920" s="87" t="n">
        <v>45963</v>
      </c>
      <c r="V2920" s="3" t="inlineStr">
        <is>
          <t>32</t>
        </is>
      </c>
      <c r="W2920" s="108" t="n">
        <v>45963</v>
      </c>
      <c r="X2920" s="4" t="inlineStr">
        <is>
          <t>BIN HUMAID NATIONAL TRADING CO</t>
        </is>
      </c>
    </row>
    <row r="2921" ht="24" customHeight="1">
      <c r="A2921" s="2">
        <f>+D2921-S2921</f>
        <v/>
      </c>
      <c r="B2921" s="80" t="n">
        <v>4513</v>
      </c>
      <c r="C2921" s="66" t="n">
        <v>45946</v>
      </c>
      <c r="D2921" s="2" t="n">
        <v>1</v>
      </c>
      <c r="E2921" s="3" t="inlineStr">
        <is>
          <t>FUCILE SEMIAUTOMATICO</t>
        </is>
      </c>
      <c r="F2921" s="3" t="inlineStr">
        <is>
          <t>12</t>
        </is>
      </c>
      <c r="G2921" s="3" t="inlineStr">
        <is>
          <t>BENELLI</t>
        </is>
      </c>
      <c r="H2921" s="65" t="inlineStr">
        <is>
          <t>M2 BLACK 2023 30''</t>
        </is>
      </c>
      <c r="I2921" s="65" t="inlineStr">
        <is>
          <t>M0201170Y</t>
        </is>
      </c>
      <c r="J2921" s="65" t="inlineStr">
        <is>
          <t>C1690175W</t>
        </is>
      </c>
      <c r="K2921" s="65" t="inlineStr">
        <is>
          <t>N/D</t>
        </is>
      </c>
      <c r="L2921" s="127" t="inlineStr">
        <is>
          <t>BENELLI SPA</t>
        </is>
      </c>
      <c r="M2921" s="5" t="n">
        <v>683</v>
      </c>
      <c r="N2921" s="5" t="n"/>
      <c r="O2921" s="5">
        <f>+M2921+N2921</f>
        <v/>
      </c>
      <c r="P2921" s="4" t="n">
        <v>45932</v>
      </c>
      <c r="Q2921" s="87" t="n">
        <v>45932</v>
      </c>
      <c r="R2921" s="5" t="n">
        <v>997.5</v>
      </c>
      <c r="S2921" s="2" t="n">
        <v>1</v>
      </c>
      <c r="T2921" s="3" t="inlineStr">
        <is>
          <t>6B/2025/5S</t>
        </is>
      </c>
      <c r="U2921" s="87" t="n">
        <v>45963</v>
      </c>
      <c r="V2921" s="3" t="inlineStr">
        <is>
          <t>32</t>
        </is>
      </c>
      <c r="W2921" s="108" t="n">
        <v>45963</v>
      </c>
      <c r="X2921" s="4" t="inlineStr">
        <is>
          <t>BIN HUMAID NATIONAL TRADING CO</t>
        </is>
      </c>
    </row>
    <row r="2922" ht="24" customHeight="1">
      <c r="A2922" s="2">
        <f>+D2922-S2922</f>
        <v/>
      </c>
      <c r="B2922" s="80" t="n">
        <v>4514</v>
      </c>
      <c r="C2922" s="66" t="n">
        <v>45946</v>
      </c>
      <c r="D2922" s="2" t="n">
        <v>1</v>
      </c>
      <c r="E2922" s="3" t="inlineStr">
        <is>
          <t>FUCILE SEMIAUTOMATICO</t>
        </is>
      </c>
      <c r="F2922" s="3" t="inlineStr">
        <is>
          <t>12</t>
        </is>
      </c>
      <c r="G2922" s="3" t="inlineStr">
        <is>
          <t>BENELLI</t>
        </is>
      </c>
      <c r="H2922" s="65" t="inlineStr">
        <is>
          <t>M2 BLACK 2023 30''</t>
        </is>
      </c>
      <c r="I2922" s="65" t="inlineStr">
        <is>
          <t>M0201169F</t>
        </is>
      </c>
      <c r="J2922" s="65" t="inlineStr">
        <is>
          <t>C1690176X</t>
        </is>
      </c>
      <c r="K2922" s="65" t="inlineStr">
        <is>
          <t>N/D</t>
        </is>
      </c>
      <c r="L2922" s="127" t="inlineStr">
        <is>
          <t>BENELLI SPA</t>
        </is>
      </c>
      <c r="M2922" s="5" t="n">
        <v>683</v>
      </c>
      <c r="N2922" s="5" t="n"/>
      <c r="O2922" s="5">
        <f>+M2922+N2922</f>
        <v/>
      </c>
      <c r="P2922" s="4" t="n">
        <v>45932</v>
      </c>
      <c r="Q2922" s="87" t="n">
        <v>45932</v>
      </c>
      <c r="R2922" s="5" t="n">
        <v>997.5</v>
      </c>
      <c r="S2922" s="2" t="n">
        <v>1</v>
      </c>
      <c r="T2922" s="3" t="inlineStr">
        <is>
          <t>6B/2025/5S</t>
        </is>
      </c>
      <c r="U2922" s="87" t="n">
        <v>45963</v>
      </c>
      <c r="V2922" s="3" t="inlineStr">
        <is>
          <t>32</t>
        </is>
      </c>
      <c r="W2922" s="108" t="n">
        <v>45963</v>
      </c>
      <c r="X2922" s="4" t="inlineStr">
        <is>
          <t>BIN HUMAID NATIONAL TRADING CO</t>
        </is>
      </c>
    </row>
    <row r="2923" ht="24" customHeight="1">
      <c r="A2923" s="2">
        <f>+D2923-S2923</f>
        <v/>
      </c>
      <c r="B2923" s="80" t="n">
        <v>4515</v>
      </c>
      <c r="C2923" s="66" t="n">
        <v>45946</v>
      </c>
      <c r="D2923" s="2" t="n">
        <v>1</v>
      </c>
      <c r="E2923" s="3" t="inlineStr">
        <is>
          <t>FUCILE SEMIAUTOMATICO</t>
        </is>
      </c>
      <c r="F2923" s="3" t="inlineStr">
        <is>
          <t>12</t>
        </is>
      </c>
      <c r="G2923" s="3" t="inlineStr">
        <is>
          <t>BENELLI</t>
        </is>
      </c>
      <c r="H2923" s="65" t="inlineStr">
        <is>
          <t>M2 SPEED 26''</t>
        </is>
      </c>
      <c r="I2923" s="65" t="inlineStr">
        <is>
          <t>M0177306K</t>
        </is>
      </c>
      <c r="J2923" s="65" t="inlineStr">
        <is>
          <t>C1647462E</t>
        </is>
      </c>
      <c r="K2923" s="65" t="inlineStr">
        <is>
          <t>N/D</t>
        </is>
      </c>
      <c r="L2923" s="127" t="inlineStr">
        <is>
          <t>BENELLI SPA</t>
        </is>
      </c>
      <c r="M2923" s="5" t="n">
        <v>1047</v>
      </c>
      <c r="N2923" s="5" t="n"/>
      <c r="O2923" s="5">
        <f>+M2923+N2923</f>
        <v/>
      </c>
      <c r="P2923" s="4" t="n">
        <v>45932</v>
      </c>
      <c r="Q2923" s="87" t="n">
        <v>45932</v>
      </c>
      <c r="R2923" s="5" t="n">
        <v>1193.58</v>
      </c>
      <c r="S2923" s="2" t="n">
        <v>1</v>
      </c>
      <c r="T2923" s="3" t="inlineStr">
        <is>
          <t>6B/2025/5S</t>
        </is>
      </c>
      <c r="U2923" s="87" t="n">
        <v>45963</v>
      </c>
      <c r="V2923" s="3" t="inlineStr">
        <is>
          <t>32</t>
        </is>
      </c>
      <c r="W2923" s="108" t="n">
        <v>45963</v>
      </c>
      <c r="X2923" s="4" t="inlineStr">
        <is>
          <t>BIN HUMAID NATIONAL TRADING CO</t>
        </is>
      </c>
    </row>
    <row r="2924" ht="24" customHeight="1">
      <c r="A2924" s="2">
        <f>+D2924-S2924</f>
        <v/>
      </c>
      <c r="B2924" s="80" t="n">
        <v>4516</v>
      </c>
      <c r="C2924" s="66" t="n">
        <v>45946</v>
      </c>
      <c r="D2924" s="2" t="n">
        <v>1</v>
      </c>
      <c r="E2924" s="3" t="inlineStr">
        <is>
          <t>FUCILE SEMIAUTOMATICO</t>
        </is>
      </c>
      <c r="F2924" s="3" t="inlineStr">
        <is>
          <t>12</t>
        </is>
      </c>
      <c r="G2924" s="3" t="inlineStr">
        <is>
          <t>BENELLI</t>
        </is>
      </c>
      <c r="H2924" s="65" t="inlineStr">
        <is>
          <t>M2 SPEED 26''</t>
        </is>
      </c>
      <c r="I2924" s="65" t="inlineStr">
        <is>
          <t>M0177305J</t>
        </is>
      </c>
      <c r="J2924" s="65" t="inlineStr">
        <is>
          <t>C1647538E</t>
        </is>
      </c>
      <c r="K2924" s="65" t="inlineStr">
        <is>
          <t>N/D</t>
        </is>
      </c>
      <c r="L2924" s="127" t="inlineStr">
        <is>
          <t>BENELLI SPA</t>
        </is>
      </c>
      <c r="M2924" s="5" t="n">
        <v>1047</v>
      </c>
      <c r="N2924" s="5" t="n"/>
      <c r="O2924" s="5">
        <f>+M2924+N2924</f>
        <v/>
      </c>
      <c r="P2924" s="4" t="n">
        <v>45932</v>
      </c>
      <c r="Q2924" s="87" t="n">
        <v>45932</v>
      </c>
      <c r="R2924" s="5" t="n">
        <v>1193.58</v>
      </c>
      <c r="S2924" s="2" t="n">
        <v>1</v>
      </c>
      <c r="T2924" s="3" t="inlineStr">
        <is>
          <t>6B/2025/5S</t>
        </is>
      </c>
      <c r="U2924" s="87" t="n">
        <v>45963</v>
      </c>
      <c r="V2924" s="3" t="inlineStr">
        <is>
          <t>32</t>
        </is>
      </c>
      <c r="W2924" s="108" t="n">
        <v>45963</v>
      </c>
      <c r="X2924" s="4" t="inlineStr">
        <is>
          <t>BIN HUMAID NATIONAL TRADING CO</t>
        </is>
      </c>
    </row>
    <row r="2925" ht="24" customHeight="1">
      <c r="A2925" s="2">
        <f>+D2925-S2925</f>
        <v/>
      </c>
      <c r="B2925" s="80" t="n">
        <v>4517</v>
      </c>
      <c r="C2925" s="66" t="n">
        <v>45946</v>
      </c>
      <c r="D2925" s="2" t="n">
        <v>1</v>
      </c>
      <c r="E2925" s="3" t="inlineStr">
        <is>
          <t>FUCILE SEMIAUTOMATICO</t>
        </is>
      </c>
      <c r="F2925" s="3" t="inlineStr">
        <is>
          <t>12</t>
        </is>
      </c>
      <c r="G2925" s="3" t="inlineStr">
        <is>
          <t>BENELLI</t>
        </is>
      </c>
      <c r="H2925" s="65" t="inlineStr">
        <is>
          <t>M2 SPEED 26''</t>
        </is>
      </c>
      <c r="I2925" s="65" t="inlineStr">
        <is>
          <t>M0177302F</t>
        </is>
      </c>
      <c r="J2925" s="65" t="inlineStr">
        <is>
          <t>C1647531X</t>
        </is>
      </c>
      <c r="K2925" s="65" t="inlineStr">
        <is>
          <t>N/D</t>
        </is>
      </c>
      <c r="L2925" s="127" t="inlineStr">
        <is>
          <t>BENELLI SPA</t>
        </is>
      </c>
      <c r="M2925" s="5" t="n">
        <v>1047</v>
      </c>
      <c r="N2925" s="5" t="n"/>
      <c r="O2925" s="5">
        <f>+M2925+N2925</f>
        <v/>
      </c>
      <c r="P2925" s="4" t="n">
        <v>45932</v>
      </c>
      <c r="Q2925" s="87" t="n">
        <v>45932</v>
      </c>
      <c r="R2925" s="5" t="n">
        <v>1193.58</v>
      </c>
      <c r="S2925" s="2" t="n">
        <v>1</v>
      </c>
      <c r="T2925" s="3" t="inlineStr">
        <is>
          <t>6B/2025/5S</t>
        </is>
      </c>
      <c r="U2925" s="87" t="n">
        <v>45963</v>
      </c>
      <c r="V2925" s="3" t="inlineStr">
        <is>
          <t>32</t>
        </is>
      </c>
      <c r="W2925" s="108" t="n">
        <v>45963</v>
      </c>
      <c r="X2925" s="4" t="inlineStr">
        <is>
          <t>BIN HUMAID NATIONAL TRADING CO</t>
        </is>
      </c>
    </row>
    <row r="2926" ht="24" customHeight="1">
      <c r="A2926" s="2">
        <f>+D2926-S2926</f>
        <v/>
      </c>
      <c r="B2926" s="80" t="n">
        <v>4518</v>
      </c>
      <c r="C2926" s="66" t="n">
        <v>45946</v>
      </c>
      <c r="D2926" s="2" t="n">
        <v>1</v>
      </c>
      <c r="E2926" s="3" t="inlineStr">
        <is>
          <t>FUCILE SEMIAUTOMATICO</t>
        </is>
      </c>
      <c r="F2926" s="3" t="inlineStr">
        <is>
          <t>12</t>
        </is>
      </c>
      <c r="G2926" s="3" t="inlineStr">
        <is>
          <t>BENELLI</t>
        </is>
      </c>
      <c r="H2926" s="65" t="inlineStr">
        <is>
          <t>M2 SPEED 26''</t>
        </is>
      </c>
      <c r="I2926" s="65" t="inlineStr">
        <is>
          <t>M0177303G</t>
        </is>
      </c>
      <c r="J2926" s="65" t="inlineStr">
        <is>
          <t>C1647542A</t>
        </is>
      </c>
      <c r="K2926" s="65" t="inlineStr">
        <is>
          <t>N/D</t>
        </is>
      </c>
      <c r="L2926" s="127" t="inlineStr">
        <is>
          <t>BENELLI SPA</t>
        </is>
      </c>
      <c r="M2926" s="5" t="n">
        <v>1047</v>
      </c>
      <c r="N2926" s="5" t="n"/>
      <c r="O2926" s="5">
        <f>+M2926+N2926</f>
        <v/>
      </c>
      <c r="P2926" s="4" t="n">
        <v>45932</v>
      </c>
      <c r="Q2926" s="87" t="n">
        <v>45932</v>
      </c>
      <c r="R2926" s="5" t="n">
        <v>1193.58</v>
      </c>
      <c r="S2926" s="2" t="n">
        <v>1</v>
      </c>
      <c r="T2926" s="3" t="inlineStr">
        <is>
          <t>6B/2025/5S</t>
        </is>
      </c>
      <c r="U2926" s="87" t="n">
        <v>45963</v>
      </c>
      <c r="V2926" s="3" t="inlineStr">
        <is>
          <t>32</t>
        </is>
      </c>
      <c r="W2926" s="108" t="n">
        <v>45963</v>
      </c>
      <c r="X2926" s="4" t="inlineStr">
        <is>
          <t>BIN HUMAID NATIONAL TRADING CO</t>
        </is>
      </c>
    </row>
    <row r="2927" ht="24" customHeight="1">
      <c r="A2927" s="2">
        <f>+D2927-S2927</f>
        <v/>
      </c>
      <c r="B2927" s="80" t="n">
        <v>4519</v>
      </c>
      <c r="C2927" s="66" t="n">
        <v>45946</v>
      </c>
      <c r="D2927" s="2" t="n">
        <v>1</v>
      </c>
      <c r="E2927" s="3" t="inlineStr">
        <is>
          <t>FUCILE SEMIAUTOMATICO</t>
        </is>
      </c>
      <c r="F2927" s="3" t="inlineStr">
        <is>
          <t>12</t>
        </is>
      </c>
      <c r="G2927" s="3" t="inlineStr">
        <is>
          <t>BENELLI</t>
        </is>
      </c>
      <c r="H2927" s="65" t="inlineStr">
        <is>
          <t>M2 SPEED 26''</t>
        </is>
      </c>
      <c r="I2927" s="65" t="inlineStr">
        <is>
          <t>M0177304H</t>
        </is>
      </c>
      <c r="J2927" s="65" t="inlineStr">
        <is>
          <t>C1647461D</t>
        </is>
      </c>
      <c r="K2927" s="65" t="inlineStr">
        <is>
          <t>N/D</t>
        </is>
      </c>
      <c r="L2927" s="127" t="inlineStr">
        <is>
          <t>BENELLI SPA</t>
        </is>
      </c>
      <c r="M2927" s="5" t="n">
        <v>1047</v>
      </c>
      <c r="N2927" s="5" t="n"/>
      <c r="O2927" s="5">
        <f>+M2927+N2927</f>
        <v/>
      </c>
      <c r="P2927" s="4" t="n">
        <v>45932</v>
      </c>
      <c r="Q2927" s="87" t="n">
        <v>45932</v>
      </c>
      <c r="R2927" s="5" t="n">
        <v>1193.58</v>
      </c>
      <c r="S2927" s="2" t="n">
        <v>1</v>
      </c>
      <c r="T2927" s="3" t="inlineStr">
        <is>
          <t>6B/2025/5S</t>
        </is>
      </c>
      <c r="U2927" s="87" t="n">
        <v>45963</v>
      </c>
      <c r="V2927" s="3" t="inlineStr">
        <is>
          <t>32</t>
        </is>
      </c>
      <c r="W2927" s="108" t="n">
        <v>45963</v>
      </c>
      <c r="X2927" s="4" t="inlineStr">
        <is>
          <t>BIN HUMAID NATIONAL TRADING CO</t>
        </is>
      </c>
    </row>
    <row r="2928" ht="24" customHeight="1">
      <c r="A2928" s="2">
        <f>+D2928-S2928</f>
        <v/>
      </c>
      <c r="B2928" s="80" t="n">
        <v>4520</v>
      </c>
      <c r="C2928" s="66" t="n">
        <v>45946</v>
      </c>
      <c r="D2928" s="2" t="n">
        <v>1</v>
      </c>
      <c r="E2928" s="3" t="inlineStr">
        <is>
          <t>FUCILE SEMIAUTOMATICO</t>
        </is>
      </c>
      <c r="F2928" s="3" t="inlineStr">
        <is>
          <t>12</t>
        </is>
      </c>
      <c r="G2928" s="3" t="inlineStr">
        <is>
          <t>BENELLI</t>
        </is>
      </c>
      <c r="H2928" s="65" t="inlineStr">
        <is>
          <t>M2 BLACK 2023 30''</t>
        </is>
      </c>
      <c r="I2928" s="65" t="inlineStr">
        <is>
          <t>M0197226Q</t>
        </is>
      </c>
      <c r="J2928" s="65" t="inlineStr">
        <is>
          <t>C1682831T</t>
        </is>
      </c>
      <c r="K2928" s="65" t="inlineStr">
        <is>
          <t>N/D</t>
        </is>
      </c>
      <c r="L2928" s="127" t="inlineStr">
        <is>
          <t>BENELLI SPA</t>
        </is>
      </c>
      <c r="M2928" s="5" t="n">
        <v>683</v>
      </c>
      <c r="N2928" s="5" t="n"/>
      <c r="O2928" s="5">
        <f>+M2928+N2928</f>
        <v/>
      </c>
      <c r="P2928" s="4" t="n">
        <v>45932</v>
      </c>
      <c r="Q2928" s="87" t="n">
        <v>45932</v>
      </c>
      <c r="R2928" s="5" t="n">
        <v>997.5</v>
      </c>
      <c r="S2928" s="2" t="n">
        <v>1</v>
      </c>
      <c r="T2928" s="3" t="inlineStr">
        <is>
          <t>6B/2025/5S</t>
        </is>
      </c>
      <c r="U2928" s="87" t="n">
        <v>45963</v>
      </c>
      <c r="V2928" s="3" t="inlineStr">
        <is>
          <t>32</t>
        </is>
      </c>
      <c r="W2928" s="108" t="n">
        <v>45963</v>
      </c>
      <c r="X2928" s="4" t="inlineStr">
        <is>
          <t>BIN HUMAID NATIONAL TRADING CO</t>
        </is>
      </c>
    </row>
    <row r="2929" ht="24" customHeight="1">
      <c r="A2929" s="2">
        <f>+D2929-S2929</f>
        <v/>
      </c>
      <c r="B2929" s="80" t="n">
        <v>4521</v>
      </c>
      <c r="C2929" s="66" t="n">
        <v>45946</v>
      </c>
      <c r="D2929" s="2" t="n">
        <v>1</v>
      </c>
      <c r="E2929" s="3" t="inlineStr">
        <is>
          <t>FUCILE SEMIAUTOMATICO</t>
        </is>
      </c>
      <c r="F2929" s="3" t="inlineStr">
        <is>
          <t>12</t>
        </is>
      </c>
      <c r="G2929" s="3" t="inlineStr">
        <is>
          <t>BENELLI</t>
        </is>
      </c>
      <c r="H2929" s="65" t="inlineStr">
        <is>
          <t>M2 BLACK 2023 30''</t>
        </is>
      </c>
      <c r="I2929" s="65" t="inlineStr">
        <is>
          <t>M0197225P</t>
        </is>
      </c>
      <c r="J2929" s="65" t="inlineStr">
        <is>
          <t>C1682829Z</t>
        </is>
      </c>
      <c r="K2929" s="65" t="inlineStr">
        <is>
          <t>N/D</t>
        </is>
      </c>
      <c r="L2929" s="127" t="inlineStr">
        <is>
          <t>BENELLI SPA</t>
        </is>
      </c>
      <c r="M2929" s="5" t="n">
        <v>683</v>
      </c>
      <c r="N2929" s="5" t="n"/>
      <c r="O2929" s="5">
        <f>+M2929+N2929</f>
        <v/>
      </c>
      <c r="P2929" s="4" t="n">
        <v>45932</v>
      </c>
      <c r="Q2929" s="87" t="n">
        <v>45932</v>
      </c>
      <c r="R2929" s="5" t="n">
        <v>997.5</v>
      </c>
      <c r="S2929" s="2" t="n">
        <v>1</v>
      </c>
      <c r="T2929" s="3" t="inlineStr">
        <is>
          <t>6B/2025/5S</t>
        </is>
      </c>
      <c r="U2929" s="87" t="n">
        <v>45963</v>
      </c>
      <c r="V2929" s="3" t="inlineStr">
        <is>
          <t>32</t>
        </is>
      </c>
      <c r="W2929" s="108" t="n">
        <v>45963</v>
      </c>
      <c r="X2929" s="4" t="inlineStr">
        <is>
          <t>BIN HUMAID NATIONAL TRADING CO</t>
        </is>
      </c>
    </row>
    <row r="2930" ht="24" customHeight="1">
      <c r="A2930" s="2">
        <f>+D2930-S2930</f>
        <v/>
      </c>
      <c r="B2930" s="80" t="n">
        <v>4522</v>
      </c>
      <c r="C2930" s="66" t="n">
        <v>45946</v>
      </c>
      <c r="D2930" s="2" t="n">
        <v>1</v>
      </c>
      <c r="E2930" s="3" t="inlineStr">
        <is>
          <t>FUCILE SEMIAUTOMATICO</t>
        </is>
      </c>
      <c r="F2930" s="3" t="inlineStr">
        <is>
          <t>12</t>
        </is>
      </c>
      <c r="G2930" s="3" t="inlineStr">
        <is>
          <t>BENELLI</t>
        </is>
      </c>
      <c r="H2930" s="65" t="inlineStr">
        <is>
          <t>M2 BLACK 2023 30''</t>
        </is>
      </c>
      <c r="I2930" s="65" t="inlineStr">
        <is>
          <t>M0197227R</t>
        </is>
      </c>
      <c r="J2930" s="65" t="inlineStr">
        <is>
          <t>C1682836Y</t>
        </is>
      </c>
      <c r="K2930" s="65" t="inlineStr">
        <is>
          <t>N/D</t>
        </is>
      </c>
      <c r="L2930" s="127" t="inlineStr">
        <is>
          <t>BENELLI SPA</t>
        </is>
      </c>
      <c r="M2930" s="5" t="n">
        <v>683</v>
      </c>
      <c r="N2930" s="5" t="n"/>
      <c r="O2930" s="5">
        <f>+M2930+N2930</f>
        <v/>
      </c>
      <c r="P2930" s="4" t="n">
        <v>45932</v>
      </c>
      <c r="Q2930" s="87" t="n">
        <v>45932</v>
      </c>
      <c r="R2930" s="5" t="n">
        <v>997.5</v>
      </c>
      <c r="S2930" s="2" t="n">
        <v>1</v>
      </c>
      <c r="T2930" s="3" t="inlineStr">
        <is>
          <t>6B/2025/5S</t>
        </is>
      </c>
      <c r="U2930" s="87" t="n">
        <v>45963</v>
      </c>
      <c r="V2930" s="3" t="inlineStr">
        <is>
          <t>32</t>
        </is>
      </c>
      <c r="W2930" s="108" t="n">
        <v>45963</v>
      </c>
      <c r="X2930" s="4" t="inlineStr">
        <is>
          <t>BIN HUMAID NATIONAL TRADING CO</t>
        </is>
      </c>
    </row>
    <row r="2931" ht="24" customHeight="1">
      <c r="A2931" s="2">
        <f>+D2931-S2931</f>
        <v/>
      </c>
      <c r="B2931" s="80" t="n">
        <v>4523</v>
      </c>
      <c r="C2931" s="66" t="n">
        <v>45946</v>
      </c>
      <c r="D2931" s="2" t="n">
        <v>1</v>
      </c>
      <c r="E2931" s="3" t="inlineStr">
        <is>
          <t>FUCILE SEMIAUTOMATICO</t>
        </is>
      </c>
      <c r="F2931" s="3" t="inlineStr">
        <is>
          <t>12</t>
        </is>
      </c>
      <c r="G2931" s="3" t="inlineStr">
        <is>
          <t>BENELLI</t>
        </is>
      </c>
      <c r="H2931" s="65" t="inlineStr">
        <is>
          <t>M2 BLACK 2023 30''</t>
        </is>
      </c>
      <c r="I2931" s="65" t="inlineStr">
        <is>
          <t>M0197228S</t>
        </is>
      </c>
      <c r="J2931" s="65" t="inlineStr">
        <is>
          <t>C1682838A</t>
        </is>
      </c>
      <c r="K2931" s="65" t="inlineStr">
        <is>
          <t>N/D</t>
        </is>
      </c>
      <c r="L2931" s="127" t="inlineStr">
        <is>
          <t>BENELLI SPA</t>
        </is>
      </c>
      <c r="M2931" s="5" t="n">
        <v>683</v>
      </c>
      <c r="N2931" s="5" t="n"/>
      <c r="O2931" s="5">
        <f>+M2931+N2931</f>
        <v/>
      </c>
      <c r="P2931" s="4" t="n">
        <v>45932</v>
      </c>
      <c r="Q2931" s="87" t="n">
        <v>45932</v>
      </c>
      <c r="R2931" s="5" t="n">
        <v>997.5</v>
      </c>
      <c r="S2931" s="2" t="n">
        <v>1</v>
      </c>
      <c r="T2931" s="3" t="inlineStr">
        <is>
          <t>6B/2025/5S</t>
        </is>
      </c>
      <c r="U2931" s="87" t="n">
        <v>45963</v>
      </c>
      <c r="V2931" s="3" t="inlineStr">
        <is>
          <t>32</t>
        </is>
      </c>
      <c r="W2931" s="108" t="n">
        <v>45963</v>
      </c>
      <c r="X2931" s="4" t="inlineStr">
        <is>
          <t>BIN HUMAID NATIONAL TRADING CO</t>
        </is>
      </c>
    </row>
    <row r="2932" ht="24" customHeight="1">
      <c r="A2932" s="2">
        <f>+D2932-S2932</f>
        <v/>
      </c>
      <c r="B2932" s="80" t="n">
        <v>4524</v>
      </c>
      <c r="C2932" s="66" t="n">
        <v>45946</v>
      </c>
      <c r="D2932" s="2" t="n">
        <v>1</v>
      </c>
      <c r="E2932" s="3" t="inlineStr">
        <is>
          <t>FUCILE SEMIAUTOMATICO</t>
        </is>
      </c>
      <c r="F2932" s="3" t="inlineStr">
        <is>
          <t>12</t>
        </is>
      </c>
      <c r="G2932" s="3" t="inlineStr">
        <is>
          <t>BENELLI</t>
        </is>
      </c>
      <c r="H2932" s="65" t="inlineStr">
        <is>
          <t>M2 BLACK 2023 30''</t>
        </is>
      </c>
      <c r="I2932" s="65" t="inlineStr">
        <is>
          <t>M0197231M</t>
        </is>
      </c>
      <c r="J2932" s="65" t="inlineStr">
        <is>
          <t>C1682833V</t>
        </is>
      </c>
      <c r="K2932" s="65" t="inlineStr">
        <is>
          <t>N/D</t>
        </is>
      </c>
      <c r="L2932" s="127" t="inlineStr">
        <is>
          <t>BENELLI SPA</t>
        </is>
      </c>
      <c r="M2932" s="5" t="n">
        <v>683</v>
      </c>
      <c r="N2932" s="5" t="n"/>
      <c r="O2932" s="5">
        <f>+M2932+N2932</f>
        <v/>
      </c>
      <c r="P2932" s="4" t="n">
        <v>45932</v>
      </c>
      <c r="Q2932" s="87" t="n">
        <v>45932</v>
      </c>
      <c r="R2932" s="5" t="n">
        <v>997.5</v>
      </c>
      <c r="S2932" s="2" t="n">
        <v>1</v>
      </c>
      <c r="T2932" s="3" t="inlineStr">
        <is>
          <t>6B/2025/5S</t>
        </is>
      </c>
      <c r="U2932" s="87" t="n">
        <v>45963</v>
      </c>
      <c r="V2932" s="3" t="inlineStr">
        <is>
          <t>32</t>
        </is>
      </c>
      <c r="W2932" s="108" t="n">
        <v>45963</v>
      </c>
      <c r="X2932" s="4" t="inlineStr">
        <is>
          <t>BIN HUMAID NATIONAL TRADING CO</t>
        </is>
      </c>
    </row>
    <row r="2933" ht="24" customHeight="1">
      <c r="A2933" s="2">
        <f>+D2933-S2933</f>
        <v/>
      </c>
      <c r="B2933" s="80" t="n">
        <v>4525</v>
      </c>
      <c r="C2933" s="66" t="n">
        <v>45946</v>
      </c>
      <c r="D2933" s="2" t="n">
        <v>1</v>
      </c>
      <c r="E2933" s="3" t="inlineStr">
        <is>
          <t>CARABINA</t>
        </is>
      </c>
      <c r="F2933" s="3" t="inlineStr">
        <is>
          <t>12</t>
        </is>
      </c>
      <c r="G2933" s="3" t="inlineStr">
        <is>
          <t>BENELLI</t>
        </is>
      </c>
      <c r="H2933" s="65" t="inlineStr">
        <is>
          <t>FRANCHI HORIZON 22''</t>
        </is>
      </c>
      <c r="I2933" s="65" t="inlineStr">
        <is>
          <t>FB090555Y</t>
        </is>
      </c>
      <c r="J2933" s="65" t="inlineStr">
        <is>
          <t>N/D</t>
        </is>
      </c>
      <c r="K2933" s="65" t="inlineStr">
        <is>
          <t>N/D</t>
        </is>
      </c>
      <c r="L2933" s="127" t="inlineStr">
        <is>
          <t>BENELLI SPA</t>
        </is>
      </c>
      <c r="M2933" s="5" t="n">
        <v>405</v>
      </c>
      <c r="N2933" s="5" t="n"/>
      <c r="O2933" s="5">
        <f>+M2933+N2933</f>
        <v/>
      </c>
      <c r="P2933" s="4" t="n">
        <v>45932</v>
      </c>
      <c r="Q2933" s="87" t="n">
        <v>45932</v>
      </c>
      <c r="R2933" s="5" t="n">
        <v>549.489</v>
      </c>
      <c r="S2933" s="2" t="n">
        <v>1</v>
      </c>
      <c r="T2933" s="3" t="inlineStr">
        <is>
          <t>6B/2025/5S</t>
        </is>
      </c>
      <c r="U2933" s="87" t="n">
        <v>45963</v>
      </c>
      <c r="V2933" s="3" t="inlineStr">
        <is>
          <t>32</t>
        </is>
      </c>
      <c r="W2933" s="108" t="n">
        <v>45963</v>
      </c>
      <c r="X2933" s="4" t="inlineStr">
        <is>
          <t>BIN HUMAID NATIONAL TRADING CO</t>
        </is>
      </c>
    </row>
    <row r="2934" ht="24" customHeight="1">
      <c r="A2934" s="2">
        <f>+D2934-S2934</f>
        <v/>
      </c>
      <c r="B2934" s="80" t="n">
        <v>4526</v>
      </c>
      <c r="C2934" s="66" t="n">
        <v>45946</v>
      </c>
      <c r="D2934" s="2" t="n">
        <v>1</v>
      </c>
      <c r="E2934" s="3" t="inlineStr">
        <is>
          <t>CARABINA</t>
        </is>
      </c>
      <c r="F2934" s="3" t="inlineStr">
        <is>
          <t>12</t>
        </is>
      </c>
      <c r="G2934" s="3" t="inlineStr">
        <is>
          <t>BENELLI</t>
        </is>
      </c>
      <c r="H2934" s="65" t="inlineStr">
        <is>
          <t>FRANCHI HORIZON 22''</t>
        </is>
      </c>
      <c r="I2934" s="65" t="inlineStr">
        <is>
          <t>FB090558E</t>
        </is>
      </c>
      <c r="J2934" s="65" t="inlineStr">
        <is>
          <t>N/D</t>
        </is>
      </c>
      <c r="K2934" s="65" t="inlineStr">
        <is>
          <t>N/D</t>
        </is>
      </c>
      <c r="L2934" s="127" t="inlineStr">
        <is>
          <t>BENELLI SPA</t>
        </is>
      </c>
      <c r="M2934" s="5" t="n">
        <v>405</v>
      </c>
      <c r="N2934" s="5" t="n"/>
      <c r="O2934" s="5">
        <f>+M2934+N2934</f>
        <v/>
      </c>
      <c r="P2934" s="4" t="n">
        <v>45932</v>
      </c>
      <c r="Q2934" s="87" t="n">
        <v>45932</v>
      </c>
      <c r="R2934" s="5" t="n">
        <v>549.489</v>
      </c>
      <c r="S2934" s="2" t="n">
        <v>1</v>
      </c>
      <c r="T2934" s="3" t="inlineStr">
        <is>
          <t>6B/2025/5S</t>
        </is>
      </c>
      <c r="U2934" s="87" t="n">
        <v>45963</v>
      </c>
      <c r="V2934" s="3" t="inlineStr">
        <is>
          <t>32</t>
        </is>
      </c>
      <c r="W2934" s="108" t="n">
        <v>45963</v>
      </c>
      <c r="X2934" s="4" t="inlineStr">
        <is>
          <t>BIN HUMAID NATIONAL TRADING CO</t>
        </is>
      </c>
    </row>
    <row r="2935" ht="24" customHeight="1">
      <c r="A2935" s="2">
        <f>+D2935-S2935</f>
        <v/>
      </c>
      <c r="B2935" s="80" t="n">
        <v>4527</v>
      </c>
      <c r="C2935" s="66" t="n">
        <v>45946</v>
      </c>
      <c r="D2935" s="2" t="n">
        <v>1</v>
      </c>
      <c r="E2935" s="3" t="inlineStr">
        <is>
          <t>CARABINA</t>
        </is>
      </c>
      <c r="F2935" s="3" t="inlineStr">
        <is>
          <t>12</t>
        </is>
      </c>
      <c r="G2935" s="3" t="inlineStr">
        <is>
          <t>BENELLI</t>
        </is>
      </c>
      <c r="H2935" s="65" t="inlineStr">
        <is>
          <t>FRANCHI HORIZON 22''</t>
        </is>
      </c>
      <c r="I2935" s="65" t="inlineStr">
        <is>
          <t>FB090561Q</t>
        </is>
      </c>
      <c r="J2935" s="65" t="inlineStr">
        <is>
          <t>N/D</t>
        </is>
      </c>
      <c r="K2935" s="65" t="inlineStr">
        <is>
          <t>N/D</t>
        </is>
      </c>
      <c r="L2935" s="127" t="inlineStr">
        <is>
          <t>BENELLI SPA</t>
        </is>
      </c>
      <c r="M2935" s="5" t="n">
        <v>405</v>
      </c>
      <c r="N2935" s="5" t="n"/>
      <c r="O2935" s="5">
        <f>+M2935+N2935</f>
        <v/>
      </c>
      <c r="P2935" s="4" t="n">
        <v>45932</v>
      </c>
      <c r="Q2935" s="87" t="n">
        <v>45932</v>
      </c>
      <c r="R2935" s="5" t="n">
        <v>549.489</v>
      </c>
      <c r="S2935" s="2" t="n">
        <v>1</v>
      </c>
      <c r="T2935" s="3" t="inlineStr">
        <is>
          <t>6B/2025/5S</t>
        </is>
      </c>
      <c r="U2935" s="87" t="n">
        <v>45963</v>
      </c>
      <c r="V2935" s="3" t="inlineStr">
        <is>
          <t>32</t>
        </is>
      </c>
      <c r="W2935" s="108" t="n">
        <v>45963</v>
      </c>
      <c r="X2935" s="4" t="inlineStr">
        <is>
          <t>BIN HUMAID NATIONAL TRADING CO</t>
        </is>
      </c>
    </row>
    <row r="2936" ht="24" customHeight="1">
      <c r="A2936" s="2">
        <f>+D2936-S2936</f>
        <v/>
      </c>
      <c r="B2936" s="80" t="n">
        <v>4528</v>
      </c>
      <c r="C2936" s="66" t="n">
        <v>45946</v>
      </c>
      <c r="D2936" s="2" t="n">
        <v>1</v>
      </c>
      <c r="E2936" s="3" t="inlineStr">
        <is>
          <t>CARABINA</t>
        </is>
      </c>
      <c r="F2936" s="3" t="inlineStr">
        <is>
          <t>12</t>
        </is>
      </c>
      <c r="G2936" s="3" t="inlineStr">
        <is>
          <t>BENELLI</t>
        </is>
      </c>
      <c r="H2936" s="65" t="inlineStr">
        <is>
          <t>FRANCHI HORIZON 22''</t>
        </is>
      </c>
      <c r="I2936" s="65" t="inlineStr">
        <is>
          <t>FB090564W</t>
        </is>
      </c>
      <c r="J2936" s="65" t="inlineStr">
        <is>
          <t>N/D</t>
        </is>
      </c>
      <c r="K2936" s="65" t="inlineStr">
        <is>
          <t>N/D</t>
        </is>
      </c>
      <c r="L2936" s="127" t="inlineStr">
        <is>
          <t>BENELLI SPA</t>
        </is>
      </c>
      <c r="M2936" s="5" t="n">
        <v>405</v>
      </c>
      <c r="N2936" s="5" t="n"/>
      <c r="O2936" s="5">
        <f>+M2936+N2936</f>
        <v/>
      </c>
      <c r="P2936" s="4" t="n">
        <v>45932</v>
      </c>
      <c r="Q2936" s="87" t="n">
        <v>45932</v>
      </c>
      <c r="R2936" s="5" t="n">
        <v>549.489</v>
      </c>
      <c r="S2936" s="2" t="n">
        <v>1</v>
      </c>
      <c r="T2936" s="3" t="inlineStr">
        <is>
          <t>6B/2025/5S</t>
        </is>
      </c>
      <c r="U2936" s="87" t="n">
        <v>45963</v>
      </c>
      <c r="V2936" s="3" t="inlineStr">
        <is>
          <t>32</t>
        </is>
      </c>
      <c r="W2936" s="108" t="n">
        <v>45963</v>
      </c>
      <c r="X2936" s="4" t="inlineStr">
        <is>
          <t>BIN HUMAID NATIONAL TRADING CO</t>
        </is>
      </c>
    </row>
    <row r="2937" ht="24" customHeight="1">
      <c r="A2937" s="2">
        <f>+D2937-S2937</f>
        <v/>
      </c>
      <c r="B2937" s="80" t="n">
        <v>4529</v>
      </c>
      <c r="C2937" s="66" t="n">
        <v>45946</v>
      </c>
      <c r="D2937" s="2" t="n">
        <v>1</v>
      </c>
      <c r="E2937" s="3" t="inlineStr">
        <is>
          <t>CARABINA</t>
        </is>
      </c>
      <c r="F2937" s="3" t="inlineStr">
        <is>
          <t>12</t>
        </is>
      </c>
      <c r="G2937" s="3" t="inlineStr">
        <is>
          <t>BENELLI</t>
        </is>
      </c>
      <c r="H2937" s="65" t="inlineStr">
        <is>
          <t>FRANCHI HORIZON 22''</t>
        </is>
      </c>
      <c r="I2937" s="65" t="inlineStr">
        <is>
          <t>FB090567D</t>
        </is>
      </c>
      <c r="J2937" s="65" t="inlineStr">
        <is>
          <t>N/D</t>
        </is>
      </c>
      <c r="K2937" s="65" t="inlineStr">
        <is>
          <t>N/D</t>
        </is>
      </c>
      <c r="L2937" s="127" t="inlineStr">
        <is>
          <t>BENELLI SPA</t>
        </is>
      </c>
      <c r="M2937" s="5" t="n">
        <v>405</v>
      </c>
      <c r="N2937" s="5" t="n"/>
      <c r="O2937" s="5">
        <f>+M2937+N2937</f>
        <v/>
      </c>
      <c r="P2937" s="4" t="n">
        <v>45932</v>
      </c>
      <c r="Q2937" s="87" t="n">
        <v>45932</v>
      </c>
      <c r="R2937" s="5" t="n">
        <v>549.489</v>
      </c>
      <c r="S2937" s="2" t="n">
        <v>1</v>
      </c>
      <c r="T2937" s="3" t="inlineStr">
        <is>
          <t>6B/2025/5S</t>
        </is>
      </c>
      <c r="U2937" s="87" t="n">
        <v>45963</v>
      </c>
      <c r="V2937" s="3" t="inlineStr">
        <is>
          <t>32</t>
        </is>
      </c>
      <c r="W2937" s="108" t="n">
        <v>45963</v>
      </c>
      <c r="X2937" s="4" t="inlineStr">
        <is>
          <t>BIN HUMAID NATIONAL TRADING CO</t>
        </is>
      </c>
    </row>
    <row r="2938" ht="24" customHeight="1">
      <c r="A2938" s="2">
        <f>+D2938-S2938</f>
        <v/>
      </c>
      <c r="B2938" s="80" t="n">
        <v>4530</v>
      </c>
      <c r="C2938" s="66" t="n">
        <v>45946</v>
      </c>
      <c r="D2938" s="2" t="n">
        <v>1</v>
      </c>
      <c r="E2938" s="3" t="inlineStr">
        <is>
          <t>CARABINA</t>
        </is>
      </c>
      <c r="F2938" s="3" t="inlineStr">
        <is>
          <t>12</t>
        </is>
      </c>
      <c r="G2938" s="3" t="inlineStr">
        <is>
          <t>BENELLI</t>
        </is>
      </c>
      <c r="H2938" s="65" t="inlineStr">
        <is>
          <t>FRANCHI HORIZON VARMINT 22''</t>
        </is>
      </c>
      <c r="I2938" s="65" t="inlineStr">
        <is>
          <t>FB047916A</t>
        </is>
      </c>
      <c r="J2938" s="65" t="inlineStr">
        <is>
          <t>N/D</t>
        </is>
      </c>
      <c r="K2938" s="65" t="inlineStr">
        <is>
          <t>N/D</t>
        </is>
      </c>
      <c r="L2938" s="127" t="inlineStr">
        <is>
          <t>BENELLI SPA</t>
        </is>
      </c>
      <c r="M2938" s="5" t="n">
        <v>556</v>
      </c>
      <c r="N2938" s="5" t="n"/>
      <c r="O2938" s="5">
        <f>+M2938+N2938</f>
        <v/>
      </c>
      <c r="P2938" s="4" t="n">
        <v>45932</v>
      </c>
      <c r="Q2938" s="87" t="n">
        <v>45932</v>
      </c>
      <c r="R2938" s="5" t="n">
        <v>633.84</v>
      </c>
      <c r="S2938" s="2" t="n">
        <v>1</v>
      </c>
      <c r="T2938" s="3" t="inlineStr">
        <is>
          <t>6B/2025/5S</t>
        </is>
      </c>
      <c r="U2938" s="87" t="n">
        <v>45963</v>
      </c>
      <c r="V2938" s="3" t="inlineStr">
        <is>
          <t>32</t>
        </is>
      </c>
      <c r="W2938" s="108" t="n">
        <v>45963</v>
      </c>
      <c r="X2938" s="4" t="inlineStr">
        <is>
          <t>BIN HUMAID NATIONAL TRADING CO</t>
        </is>
      </c>
    </row>
    <row r="2939" ht="24" customHeight="1">
      <c r="A2939" s="2">
        <f>+D2939-S2939</f>
        <v/>
      </c>
      <c r="B2939" s="80" t="n">
        <v>4531</v>
      </c>
      <c r="C2939" s="66" t="n">
        <v>45946</v>
      </c>
      <c r="D2939" s="2" t="n">
        <v>1</v>
      </c>
      <c r="E2939" s="3" t="inlineStr">
        <is>
          <t>CARABINA</t>
        </is>
      </c>
      <c r="F2939" s="3" t="inlineStr">
        <is>
          <t>12</t>
        </is>
      </c>
      <c r="G2939" s="3" t="inlineStr">
        <is>
          <t>BENELLI</t>
        </is>
      </c>
      <c r="H2939" s="65" t="inlineStr">
        <is>
          <t>FRANCHI HORIZON VARMINT 22''</t>
        </is>
      </c>
      <c r="I2939" s="65" t="inlineStr">
        <is>
          <t>FB047923U</t>
        </is>
      </c>
      <c r="J2939" s="65" t="inlineStr">
        <is>
          <t>N/D</t>
        </is>
      </c>
      <c r="K2939" s="65" t="inlineStr">
        <is>
          <t>N/D</t>
        </is>
      </c>
      <c r="L2939" s="127" t="inlineStr">
        <is>
          <t>BENELLI SPA</t>
        </is>
      </c>
      <c r="M2939" s="5" t="n">
        <v>556</v>
      </c>
      <c r="N2939" s="5" t="n"/>
      <c r="O2939" s="5">
        <f>+M2939+N2939</f>
        <v/>
      </c>
      <c r="P2939" s="4" t="n">
        <v>45932</v>
      </c>
      <c r="Q2939" s="87" t="n">
        <v>45932</v>
      </c>
      <c r="R2939" s="5" t="n">
        <v>633.84</v>
      </c>
      <c r="S2939" s="2" t="n">
        <v>1</v>
      </c>
      <c r="T2939" s="3" t="inlineStr">
        <is>
          <t>6B/2025/5S</t>
        </is>
      </c>
      <c r="U2939" s="87" t="n">
        <v>45963</v>
      </c>
      <c r="V2939" s="3" t="inlineStr">
        <is>
          <t>32</t>
        </is>
      </c>
      <c r="W2939" s="108" t="n">
        <v>45963</v>
      </c>
      <c r="X2939" s="4" t="inlineStr">
        <is>
          <t>BIN HUMAID NATIONAL TRADING CO</t>
        </is>
      </c>
    </row>
    <row r="2940" ht="24" customHeight="1">
      <c r="A2940" s="2">
        <f>+D2940-S2940</f>
        <v/>
      </c>
      <c r="B2940" s="80" t="n">
        <v>4532</v>
      </c>
      <c r="C2940" s="66" t="n">
        <v>45953</v>
      </c>
      <c r="D2940" s="2" t="n">
        <v>1</v>
      </c>
      <c r="E2940" s="3" t="inlineStr">
        <is>
          <t>CARABINA</t>
        </is>
      </c>
      <c r="F2940" s="3" t="inlineStr">
        <is>
          <t>308 MATCH</t>
        </is>
      </c>
      <c r="G2940" s="3" t="inlineStr">
        <is>
          <t>VICTRIX</t>
        </is>
      </c>
      <c r="H2940" s="65" t="inlineStr">
        <is>
          <t>TARGET V MKII 30'' RAZOR GREY</t>
        </is>
      </c>
      <c r="I2940" s="65" t="inlineStr">
        <is>
          <t>VSV251166</t>
        </is>
      </c>
      <c r="J2940" s="65" t="inlineStr">
        <is>
          <t>N/D</t>
        </is>
      </c>
      <c r="K2940" s="65" t="inlineStr">
        <is>
          <t>N/D</t>
        </is>
      </c>
      <c r="L2940" s="127" t="inlineStr">
        <is>
          <t>VICTRIX SRL</t>
        </is>
      </c>
      <c r="M2940" s="5" t="n">
        <v>3668</v>
      </c>
      <c r="N2940" s="5" t="n"/>
      <c r="O2940" s="5">
        <f>+M2940+N2940</f>
        <v/>
      </c>
      <c r="P2940" s="4" t="n">
        <v>45932</v>
      </c>
      <c r="Q2940" s="87" t="n">
        <v>45932</v>
      </c>
      <c r="R2940" s="5" t="n"/>
      <c r="S2940" s="2" t="n"/>
      <c r="T2940" s="3" t="n"/>
      <c r="U2940" s="87" t="n"/>
      <c r="V2940" s="3" t="n"/>
      <c r="W2940" s="108" t="n"/>
      <c r="X2940" s="4" t="n"/>
    </row>
    <row r="2941" ht="24" customHeight="1">
      <c r="A2941" s="2">
        <f>+D2941-S2941</f>
        <v/>
      </c>
      <c r="B2941" s="80" t="n">
        <v>4533</v>
      </c>
      <c r="C2941" s="66" t="n">
        <v>45958</v>
      </c>
      <c r="D2941" s="2" t="n">
        <v>1</v>
      </c>
      <c r="E2941" s="3" t="inlineStr">
        <is>
          <t>FUCILE DOPPIETTA</t>
        </is>
      </c>
      <c r="F2941" s="3" t="inlineStr">
        <is>
          <t>12</t>
        </is>
      </c>
      <c r="G2941" s="3" t="inlineStr">
        <is>
          <t>DARNE</t>
        </is>
      </c>
      <c r="H2941" s="65" t="inlineStr">
        <is>
          <t>N/A</t>
        </is>
      </c>
      <c r="I2941" s="65" t="inlineStr">
        <is>
          <t>8B551</t>
        </is>
      </c>
      <c r="J2941" s="65" t="inlineStr">
        <is>
          <t>N/D</t>
        </is>
      </c>
      <c r="K2941" s="65" t="inlineStr">
        <is>
          <t>N/D</t>
        </is>
      </c>
      <c r="L2941" s="127" t="inlineStr">
        <is>
          <t>ARMERIA LENZERINI SAS</t>
        </is>
      </c>
      <c r="M2941" s="5" t="n">
        <v>350</v>
      </c>
      <c r="N2941" s="5" t="n"/>
      <c r="O2941" s="5">
        <f>+M2941+N2941</f>
        <v/>
      </c>
      <c r="P2941" s="4" t="n">
        <v>45932</v>
      </c>
      <c r="Q2941" s="87" t="n">
        <v>45932</v>
      </c>
      <c r="R2941" s="5" t="n">
        <v>439.14</v>
      </c>
      <c r="S2941" s="2" t="n">
        <v>1</v>
      </c>
      <c r="T2941" s="3" t="inlineStr">
        <is>
          <t>CA42796IR</t>
        </is>
      </c>
      <c r="U2941" s="87" t="n">
        <v>46097</v>
      </c>
      <c r="V2941" s="3" t="inlineStr">
        <is>
          <t>4</t>
        </is>
      </c>
      <c r="W2941" s="108" t="n">
        <v>46097</v>
      </c>
      <c r="X2941" s="4" t="inlineStr">
        <is>
          <t>PHILIPPOS  CONSTANTINIDES
TRADING CO.LTD</t>
        </is>
      </c>
    </row>
    <row r="2942" ht="24" customHeight="1">
      <c r="A2942" s="2">
        <f>+D2942-S2942</f>
        <v/>
      </c>
      <c r="B2942" s="80" t="n">
        <v>4534</v>
      </c>
      <c r="C2942" s="66" t="n">
        <v>45958</v>
      </c>
      <c r="D2942" s="2" t="n">
        <v>1</v>
      </c>
      <c r="E2942" s="3" t="inlineStr">
        <is>
          <t>FUCILE DOPPIETTA</t>
        </is>
      </c>
      <c r="F2942" s="3" t="inlineStr">
        <is>
          <t>12</t>
        </is>
      </c>
      <c r="G2942" s="3" t="inlineStr">
        <is>
          <t>DARNE</t>
        </is>
      </c>
      <c r="H2942" s="65" t="inlineStr">
        <is>
          <t>N/A</t>
        </is>
      </c>
      <c r="I2942" s="65" t="inlineStr">
        <is>
          <t>8B557</t>
        </is>
      </c>
      <c r="J2942" s="65" t="inlineStr">
        <is>
          <t>N/D</t>
        </is>
      </c>
      <c r="K2942" s="65" t="inlineStr">
        <is>
          <t>N/D</t>
        </is>
      </c>
      <c r="L2942" s="127" t="inlineStr">
        <is>
          <t>ARMERIA LENZERINI SAS</t>
        </is>
      </c>
      <c r="M2942" s="5" t="n">
        <v>350</v>
      </c>
      <c r="N2942" s="5" t="n"/>
      <c r="O2942" s="5">
        <f>+M2942+N2942</f>
        <v/>
      </c>
      <c r="P2942" s="4" t="n">
        <v>45932</v>
      </c>
      <c r="Q2942" s="87" t="n">
        <v>45932</v>
      </c>
      <c r="R2942" s="5" t="n">
        <v>439.14</v>
      </c>
      <c r="S2942" s="2" t="n">
        <v>1</v>
      </c>
      <c r="T2942" s="3" t="inlineStr">
        <is>
          <t>CA42796IR</t>
        </is>
      </c>
      <c r="U2942" s="87" t="n">
        <v>46097</v>
      </c>
      <c r="V2942" s="3" t="inlineStr">
        <is>
          <t>4</t>
        </is>
      </c>
      <c r="W2942" s="108" t="n">
        <v>46097</v>
      </c>
      <c r="X2942" s="4" t="inlineStr">
        <is>
          <t>PHILIPPOS  CONSTANTINIDES
TRADING CO.LTD</t>
        </is>
      </c>
    </row>
    <row r="2943" ht="24" customHeight="1">
      <c r="A2943" s="2">
        <f>+D2943-S2943</f>
        <v/>
      </c>
      <c r="B2943" s="80" t="n">
        <v>4535</v>
      </c>
      <c r="C2943" s="66" t="n">
        <v>45958</v>
      </c>
      <c r="D2943" s="2" t="n">
        <v>1</v>
      </c>
      <c r="E2943" s="3" t="inlineStr">
        <is>
          <t>FUCILE SEMIAUTOMATICO</t>
        </is>
      </c>
      <c r="F2943" s="3" t="inlineStr">
        <is>
          <t>12</t>
        </is>
      </c>
      <c r="G2943" s="1" t="inlineStr">
        <is>
          <t>MAROCCHI</t>
        </is>
      </c>
      <c r="H2943" s="65" t="inlineStr">
        <is>
          <t>SG12</t>
        </is>
      </c>
      <c r="I2943" s="65" t="inlineStr">
        <is>
          <t>R02348</t>
        </is>
      </c>
      <c r="J2943" s="65" t="inlineStr">
        <is>
          <t>BR02348</t>
        </is>
      </c>
      <c r="K2943" s="65" t="inlineStr">
        <is>
          <t>N/D</t>
        </is>
      </c>
      <c r="L2943" s="127" t="inlineStr">
        <is>
          <t>CD EUROPE SRL</t>
        </is>
      </c>
      <c r="M2943" s="5" t="n"/>
      <c r="N2943" s="5" t="n"/>
      <c r="O2943" s="5" t="n">
        <v>0</v>
      </c>
      <c r="P2943" s="4" t="n"/>
      <c r="Q2943" s="87" t="n"/>
      <c r="R2943" s="5" t="n"/>
      <c r="S2943" s="2" t="n"/>
      <c r="T2943" s="3" t="n"/>
      <c r="U2943" s="87" t="n"/>
      <c r="V2943" s="3" t="n"/>
      <c r="W2943" s="108" t="n"/>
      <c r="X2943" s="4" t="n"/>
    </row>
    <row r="2944" ht="24" customHeight="1">
      <c r="A2944" s="2">
        <f>+D2944-S2944</f>
        <v/>
      </c>
      <c r="B2944" s="80" t="n">
        <v>4536</v>
      </c>
      <c r="C2944" s="66" t="n">
        <v>45958</v>
      </c>
      <c r="D2944" s="2" t="n">
        <v>1</v>
      </c>
      <c r="E2944" s="3" t="inlineStr">
        <is>
          <t>FUCILE SEMIAUTOMATICO</t>
        </is>
      </c>
      <c r="F2944" s="3" t="inlineStr">
        <is>
          <t>12</t>
        </is>
      </c>
      <c r="G2944" s="3" t="inlineStr">
        <is>
          <t>BREDA</t>
        </is>
      </c>
      <c r="H2944" s="65" t="inlineStr">
        <is>
          <t xml:space="preserve">ALTAIR </t>
        </is>
      </c>
      <c r="I2944" s="65" t="inlineStr">
        <is>
          <t>R00243</t>
        </is>
      </c>
      <c r="J2944" s="65" t="inlineStr">
        <is>
          <t>BR01542</t>
        </is>
      </c>
      <c r="K2944" s="65" t="inlineStr">
        <is>
          <t>N/D</t>
        </is>
      </c>
      <c r="L2944" s="127" t="inlineStr">
        <is>
          <t>CD EUROPE SRL</t>
        </is>
      </c>
      <c r="M2944" s="5" t="n"/>
      <c r="N2944" s="5" t="n"/>
      <c r="O2944" s="5" t="n">
        <v>0</v>
      </c>
      <c r="P2944" s="4" t="n"/>
      <c r="Q2944" s="87" t="n"/>
      <c r="R2944" s="5" t="n"/>
      <c r="S2944" s="2" t="n"/>
      <c r="T2944" s="3" t="n"/>
      <c r="U2944" s="87" t="n"/>
      <c r="V2944" s="3" t="n"/>
      <c r="W2944" s="108" t="n"/>
      <c r="X2944" s="4" t="n"/>
    </row>
    <row r="2945" ht="24" customHeight="1">
      <c r="A2945" s="2">
        <f>+D2945-S2945</f>
        <v/>
      </c>
      <c r="B2945" s="80" t="n">
        <v>4537</v>
      </c>
      <c r="C2945" s="66" t="n">
        <v>45965</v>
      </c>
      <c r="D2945" s="2" t="n">
        <v>1</v>
      </c>
      <c r="E2945" s="3" t="inlineStr">
        <is>
          <t>FUCILE SEMIAUTOMATICO</t>
        </is>
      </c>
      <c r="F2945" s="3" t="inlineStr">
        <is>
          <t>12</t>
        </is>
      </c>
      <c r="G2945" s="3" t="inlineStr">
        <is>
          <t>MAROCCHI</t>
        </is>
      </c>
      <c r="H2945" s="65" t="inlineStr">
        <is>
          <t>SG12</t>
        </is>
      </c>
      <c r="I2945" s="65" t="inlineStr">
        <is>
          <t>R01991</t>
        </is>
      </c>
      <c r="J2945" s="65" t="inlineStr">
        <is>
          <t>BR01991</t>
        </is>
      </c>
      <c r="K2945" s="65" t="inlineStr">
        <is>
          <t>N/D</t>
        </is>
      </c>
      <c r="L2945" s="127" t="inlineStr">
        <is>
          <t>CD EUROPE SRL</t>
        </is>
      </c>
      <c r="M2945" s="5" t="n"/>
      <c r="N2945" s="5" t="n"/>
      <c r="O2945" s="5">
        <f>+M2945+N2945</f>
        <v/>
      </c>
      <c r="P2945" s="4" t="n"/>
      <c r="Q2945" s="87" t="n"/>
      <c r="R2945" s="5" t="n">
        <v>143</v>
      </c>
      <c r="S2945" s="2" t="n">
        <v>1</v>
      </c>
      <c r="T2945" s="3" t="inlineStr">
        <is>
          <t>CA42796IR</t>
        </is>
      </c>
      <c r="U2945" s="87" t="n">
        <v>46041</v>
      </c>
      <c r="V2945" s="3" t="inlineStr">
        <is>
          <t>2</t>
        </is>
      </c>
      <c r="W2945" s="108" t="n">
        <v>46041</v>
      </c>
      <c r="X2945" s="4" t="inlineStr">
        <is>
          <t>PHILIPPOS  CONSTANTINIDES
TRADING CO.LTD</t>
        </is>
      </c>
    </row>
    <row r="2946" ht="24" customHeight="1">
      <c r="A2946" s="2">
        <f>+D2946-S2946</f>
        <v/>
      </c>
      <c r="B2946" s="80" t="n">
        <v>4538</v>
      </c>
      <c r="C2946" s="66" t="n">
        <v>45968</v>
      </c>
      <c r="D2946" s="2" t="n">
        <v>1</v>
      </c>
      <c r="E2946" s="3" t="inlineStr">
        <is>
          <t>FUCILE SEMIAUTOMATICO</t>
        </is>
      </c>
      <c r="F2946" s="3" t="inlineStr">
        <is>
          <t>12</t>
        </is>
      </c>
      <c r="G2946" s="3" t="inlineStr">
        <is>
          <t>MAROCCHI</t>
        </is>
      </c>
      <c r="H2946" s="65" t="inlineStr">
        <is>
          <t>SG12</t>
        </is>
      </c>
      <c r="I2946" s="65" t="inlineStr">
        <is>
          <t>R02455</t>
        </is>
      </c>
      <c r="J2946" s="65" t="inlineStr">
        <is>
          <t>BR02455</t>
        </is>
      </c>
      <c r="K2946" s="65" t="inlineStr">
        <is>
          <t>N/D</t>
        </is>
      </c>
      <c r="L2946" s="127" t="inlineStr">
        <is>
          <t>CD EUROPE SRL</t>
        </is>
      </c>
      <c r="M2946" s="5" t="n">
        <v>120</v>
      </c>
      <c r="N2946" s="5" t="n"/>
      <c r="O2946" s="5">
        <f>+M2946+N2946</f>
        <v/>
      </c>
      <c r="P2946" s="4" t="n"/>
      <c r="Q2946" s="87" t="n"/>
      <c r="R2946" s="5" t="n">
        <v>143</v>
      </c>
      <c r="S2946" s="2" t="n">
        <v>1</v>
      </c>
      <c r="T2946" s="3" t="inlineStr">
        <is>
          <t>CA42796IR</t>
        </is>
      </c>
      <c r="U2946" s="87" t="n">
        <v>46041</v>
      </c>
      <c r="V2946" s="3" t="inlineStr">
        <is>
          <t>2</t>
        </is>
      </c>
      <c r="W2946" s="108" t="n">
        <v>46041</v>
      </c>
      <c r="X2946" s="4" t="inlineStr">
        <is>
          <t>PHILIPPOS  CONSTANTINIDES
TRADING CO.LTD</t>
        </is>
      </c>
    </row>
    <row r="2947" ht="24" customHeight="1">
      <c r="A2947" s="2">
        <f>+D2947-S2947</f>
        <v/>
      </c>
      <c r="B2947" s="80" t="n">
        <v>4539</v>
      </c>
      <c r="C2947" s="66" t="n">
        <v>45968</v>
      </c>
      <c r="D2947" s="2" t="n">
        <v>1</v>
      </c>
      <c r="E2947" s="3" t="inlineStr">
        <is>
          <t>FUCILE SEMIAUTOMATICO</t>
        </is>
      </c>
      <c r="F2947" s="3" t="inlineStr">
        <is>
          <t>12</t>
        </is>
      </c>
      <c r="G2947" s="3" t="inlineStr">
        <is>
          <t>MAROCCHI</t>
        </is>
      </c>
      <c r="H2947" s="65" t="inlineStr">
        <is>
          <t>SG12</t>
        </is>
      </c>
      <c r="I2947" s="65" t="inlineStr">
        <is>
          <t>R02681</t>
        </is>
      </c>
      <c r="J2947" s="65" t="inlineStr">
        <is>
          <t>BR02681</t>
        </is>
      </c>
      <c r="K2947" s="65" t="inlineStr">
        <is>
          <t>N/D</t>
        </is>
      </c>
      <c r="L2947" s="127" t="inlineStr">
        <is>
          <t>CD EUROPE SRL</t>
        </is>
      </c>
      <c r="M2947" s="5" t="n">
        <v>120</v>
      </c>
      <c r="N2947" s="5" t="n"/>
      <c r="O2947" s="5">
        <f>+M2947+N2947</f>
        <v/>
      </c>
      <c r="P2947" s="4" t="n"/>
      <c r="Q2947" s="87" t="n"/>
      <c r="R2947" s="5" t="n">
        <v>143</v>
      </c>
      <c r="S2947" s="2" t="n">
        <v>1</v>
      </c>
      <c r="T2947" s="3" t="inlineStr">
        <is>
          <t>CA42796IR</t>
        </is>
      </c>
      <c r="U2947" s="87" t="n">
        <v>46041</v>
      </c>
      <c r="V2947" s="3" t="inlineStr">
        <is>
          <t>2</t>
        </is>
      </c>
      <c r="W2947" s="108" t="n">
        <v>46041</v>
      </c>
      <c r="X2947" s="4" t="inlineStr">
        <is>
          <t>PHILIPPOS  CONSTANTINIDES
TRADING CO.LTD</t>
        </is>
      </c>
    </row>
    <row r="2948" ht="24" customHeight="1">
      <c r="A2948" s="2">
        <f>+D2948-S2948</f>
        <v/>
      </c>
      <c r="B2948" s="80" t="n">
        <v>4540</v>
      </c>
      <c r="C2948" s="66" t="n">
        <v>45968</v>
      </c>
      <c r="D2948" s="2" t="n">
        <v>1</v>
      </c>
      <c r="E2948" s="3" t="inlineStr">
        <is>
          <t>FUCILE SEMIAUTOMATICO</t>
        </is>
      </c>
      <c r="F2948" s="3" t="inlineStr">
        <is>
          <t>12</t>
        </is>
      </c>
      <c r="G2948" s="3" t="inlineStr">
        <is>
          <t>BREDA</t>
        </is>
      </c>
      <c r="H2948" s="65" t="inlineStr">
        <is>
          <t xml:space="preserve">ALTAIR </t>
        </is>
      </c>
      <c r="I2948" s="65" t="inlineStr">
        <is>
          <t>R01139</t>
        </is>
      </c>
      <c r="J2948" s="65" t="inlineStr">
        <is>
          <t>BR01561</t>
        </is>
      </c>
      <c r="K2948" s="65" t="inlineStr">
        <is>
          <t>N/D</t>
        </is>
      </c>
      <c r="L2948" s="127" t="inlineStr">
        <is>
          <t>CD EUROPE SRL</t>
        </is>
      </c>
      <c r="M2948" s="5" t="n">
        <v>120</v>
      </c>
      <c r="N2948" s="5" t="n"/>
      <c r="O2948" s="5">
        <f>+M2948+N2948</f>
        <v/>
      </c>
      <c r="P2948" s="4" t="n"/>
      <c r="Q2948" s="87" t="n"/>
      <c r="R2948" s="5" t="n">
        <v>143</v>
      </c>
      <c r="S2948" s="2" t="n">
        <v>1</v>
      </c>
      <c r="T2948" s="3" t="inlineStr">
        <is>
          <t>CA42796IR</t>
        </is>
      </c>
      <c r="U2948" s="87" t="n">
        <v>46041</v>
      </c>
      <c r="V2948" s="3" t="inlineStr">
        <is>
          <t>2</t>
        </is>
      </c>
      <c r="W2948" s="108" t="n">
        <v>46041</v>
      </c>
      <c r="X2948" s="4" t="inlineStr">
        <is>
          <t>PHILIPPOS  CONSTANTINIDES
TRADING CO.LTD</t>
        </is>
      </c>
    </row>
    <row r="2949" ht="24" customHeight="1">
      <c r="A2949" s="2">
        <f>+D2949-S2949</f>
        <v/>
      </c>
      <c r="B2949" s="80" t="n">
        <v>4541</v>
      </c>
      <c r="C2949" s="66" t="n">
        <v>45994</v>
      </c>
      <c r="D2949" s="2" t="n">
        <v>1</v>
      </c>
      <c r="E2949" s="3" t="inlineStr">
        <is>
          <t>FUCILE MONOCANNA</t>
        </is>
      </c>
      <c r="F2949" s="3" t="inlineStr">
        <is>
          <t>22LR</t>
        </is>
      </c>
      <c r="G2949" s="3" t="inlineStr">
        <is>
          <t>CHIAPPA</t>
        </is>
      </c>
      <c r="H2949" s="65" t="inlineStr">
        <is>
          <t>LITTLE BADGER ADAMANTIUM</t>
        </is>
      </c>
      <c r="I2949" s="65" t="inlineStr">
        <is>
          <t>CFIT25R13873</t>
        </is>
      </c>
      <c r="J2949" s="65" t="inlineStr">
        <is>
          <t>N/D</t>
        </is>
      </c>
      <c r="K2949" s="65" t="inlineStr">
        <is>
          <t>N/D</t>
        </is>
      </c>
      <c r="L2949" s="127" t="inlineStr">
        <is>
          <t>CHIAPPA FIREARMS SRL</t>
        </is>
      </c>
      <c r="M2949" s="5" t="n">
        <v>147</v>
      </c>
      <c r="N2949" s="5" t="n"/>
      <c r="O2949" s="5">
        <f>+M2949+N2949</f>
        <v/>
      </c>
      <c r="P2949" s="4" t="n">
        <v>45989</v>
      </c>
      <c r="Q2949" s="87" t="n">
        <v>45989</v>
      </c>
      <c r="R2949" s="5" t="n">
        <v>225.4</v>
      </c>
      <c r="S2949" s="2" t="n">
        <v>1</v>
      </c>
      <c r="T2949" s="3" t="inlineStr">
        <is>
          <t>6B/2025/7M</t>
        </is>
      </c>
      <c r="U2949" s="87" t="n">
        <v>46003</v>
      </c>
      <c r="V2949" s="3" t="inlineStr">
        <is>
          <t>35</t>
        </is>
      </c>
      <c r="W2949" s="108" t="n">
        <v>46003</v>
      </c>
      <c r="X2949" s="4" t="inlineStr">
        <is>
          <t>BIN HUMAID NATIONAL TRADING CO</t>
        </is>
      </c>
    </row>
    <row r="2950" ht="24" customHeight="1">
      <c r="A2950" s="2">
        <f>+D2950-S2950</f>
        <v/>
      </c>
      <c r="B2950" s="80" t="n">
        <v>4542</v>
      </c>
      <c r="C2950" s="66" t="n">
        <v>45994</v>
      </c>
      <c r="D2950" s="2" t="n">
        <v>1</v>
      </c>
      <c r="E2950" s="3" t="inlineStr">
        <is>
          <t>FUCILE MONOCANNA</t>
        </is>
      </c>
      <c r="F2950" s="3" t="inlineStr">
        <is>
          <t>22LR</t>
        </is>
      </c>
      <c r="G2950" s="3" t="inlineStr">
        <is>
          <t>CHIAPPA</t>
        </is>
      </c>
      <c r="H2950" s="65" t="inlineStr">
        <is>
          <t>LITTLE BADGER ADAMANTIUM</t>
        </is>
      </c>
      <c r="I2950" s="65" t="inlineStr">
        <is>
          <t>CFIT25R13874</t>
        </is>
      </c>
      <c r="J2950" s="65" t="inlineStr">
        <is>
          <t>N/D</t>
        </is>
      </c>
      <c r="K2950" s="65" t="inlineStr">
        <is>
          <t>N/D</t>
        </is>
      </c>
      <c r="L2950" s="127" t="inlineStr">
        <is>
          <t>CHIAPPA FIREARMS SRL</t>
        </is>
      </c>
      <c r="M2950" s="5" t="n">
        <v>147</v>
      </c>
      <c r="N2950" s="5" t="n"/>
      <c r="O2950" s="5">
        <f>+M2950+N2950</f>
        <v/>
      </c>
      <c r="P2950" s="4" t="n">
        <v>45989</v>
      </c>
      <c r="Q2950" s="87" t="n">
        <v>45989</v>
      </c>
      <c r="R2950" s="5" t="n">
        <v>225.4</v>
      </c>
      <c r="S2950" s="2" t="n">
        <v>1</v>
      </c>
      <c r="T2950" s="3" t="inlineStr">
        <is>
          <t>6B/2025/7M</t>
        </is>
      </c>
      <c r="U2950" s="87" t="n">
        <v>46003</v>
      </c>
      <c r="V2950" s="3" t="inlineStr">
        <is>
          <t>35</t>
        </is>
      </c>
      <c r="W2950" s="108" t="n">
        <v>46003</v>
      </c>
      <c r="X2950" s="4" t="inlineStr">
        <is>
          <t>BIN HUMAID NATIONAL TRADING CO</t>
        </is>
      </c>
    </row>
    <row r="2951" ht="24" customHeight="1">
      <c r="A2951" s="2">
        <f>+D2951-S2951</f>
        <v/>
      </c>
      <c r="B2951" s="80" t="n">
        <v>4543</v>
      </c>
      <c r="C2951" s="66" t="n">
        <v>45994</v>
      </c>
      <c r="D2951" s="2" t="n">
        <v>1</v>
      </c>
      <c r="E2951" s="3" t="inlineStr">
        <is>
          <t>FUCILE MONOCANNA</t>
        </is>
      </c>
      <c r="F2951" s="3" t="inlineStr">
        <is>
          <t>22LR</t>
        </is>
      </c>
      <c r="G2951" s="3" t="inlineStr">
        <is>
          <t>CHIAPPA</t>
        </is>
      </c>
      <c r="H2951" s="65" t="inlineStr">
        <is>
          <t>LITTLE BADGER ADAMANTIUM</t>
        </is>
      </c>
      <c r="I2951" s="65" t="inlineStr">
        <is>
          <t>CFIT25R13875</t>
        </is>
      </c>
      <c r="J2951" s="65" t="inlineStr">
        <is>
          <t>N/D</t>
        </is>
      </c>
      <c r="K2951" s="65" t="inlineStr">
        <is>
          <t>N/D</t>
        </is>
      </c>
      <c r="L2951" s="127" t="inlineStr">
        <is>
          <t>CHIAPPA FIREARMS SRL</t>
        </is>
      </c>
      <c r="M2951" s="5" t="n">
        <v>147</v>
      </c>
      <c r="N2951" s="5" t="n"/>
      <c r="O2951" s="5">
        <f>+M2951+N2951</f>
        <v/>
      </c>
      <c r="P2951" s="4" t="n">
        <v>45989</v>
      </c>
      <c r="Q2951" s="87" t="n">
        <v>45989</v>
      </c>
      <c r="R2951" s="5" t="n">
        <v>225.4</v>
      </c>
      <c r="S2951" s="2" t="n">
        <v>1</v>
      </c>
      <c r="T2951" s="3" t="inlineStr">
        <is>
          <t>6B/2025/7M</t>
        </is>
      </c>
      <c r="U2951" s="87" t="n">
        <v>46003</v>
      </c>
      <c r="V2951" s="3" t="inlineStr">
        <is>
          <t>35</t>
        </is>
      </c>
      <c r="W2951" s="108" t="n">
        <v>46003</v>
      </c>
      <c r="X2951" s="4" t="inlineStr">
        <is>
          <t>BIN HUMAID NATIONAL TRADING CO</t>
        </is>
      </c>
    </row>
    <row r="2952" ht="24" customHeight="1">
      <c r="A2952" s="2">
        <f>+D2952-S2952</f>
        <v/>
      </c>
      <c r="B2952" s="80" t="n">
        <v>4544</v>
      </c>
      <c r="C2952" s="66" t="n">
        <v>45994</v>
      </c>
      <c r="D2952" s="2" t="n">
        <v>1</v>
      </c>
      <c r="E2952" s="3" t="inlineStr">
        <is>
          <t>FUCILE MONOCANNA</t>
        </is>
      </c>
      <c r="F2952" s="3" t="inlineStr">
        <is>
          <t>22LR</t>
        </is>
      </c>
      <c r="G2952" s="3" t="inlineStr">
        <is>
          <t>CHIAPPA</t>
        </is>
      </c>
      <c r="H2952" s="65" t="inlineStr">
        <is>
          <t>LITTLE BADGER ADAMANTIUM</t>
        </is>
      </c>
      <c r="I2952" s="65" t="inlineStr">
        <is>
          <t>CFIT25R13876</t>
        </is>
      </c>
      <c r="J2952" s="65" t="inlineStr">
        <is>
          <t>N/D</t>
        </is>
      </c>
      <c r="K2952" s="65" t="inlineStr">
        <is>
          <t>N/D</t>
        </is>
      </c>
      <c r="L2952" s="127" t="inlineStr">
        <is>
          <t>CHIAPPA FIREARMS SRL</t>
        </is>
      </c>
      <c r="M2952" s="5" t="n">
        <v>147</v>
      </c>
      <c r="N2952" s="5" t="n"/>
      <c r="O2952" s="5">
        <f>+M2952+N2952</f>
        <v/>
      </c>
      <c r="P2952" s="4" t="n">
        <v>45989</v>
      </c>
      <c r="Q2952" s="87" t="n">
        <v>45989</v>
      </c>
      <c r="R2952" s="5" t="n">
        <v>225.4</v>
      </c>
      <c r="S2952" s="2" t="n">
        <v>1</v>
      </c>
      <c r="T2952" s="3" t="inlineStr">
        <is>
          <t>6B/2025/7M</t>
        </is>
      </c>
      <c r="U2952" s="87" t="n">
        <v>46003</v>
      </c>
      <c r="V2952" s="3" t="inlineStr">
        <is>
          <t>35</t>
        </is>
      </c>
      <c r="W2952" s="108" t="n">
        <v>46003</v>
      </c>
      <c r="X2952" s="4" t="inlineStr">
        <is>
          <t>BIN HUMAID NATIONAL TRADING CO</t>
        </is>
      </c>
    </row>
    <row r="2953" ht="24" customHeight="1">
      <c r="A2953" s="2">
        <f>+D2953-S2953</f>
        <v/>
      </c>
      <c r="B2953" s="80" t="n">
        <v>4545</v>
      </c>
      <c r="C2953" s="66" t="n">
        <v>45994</v>
      </c>
      <c r="D2953" s="2" t="n">
        <v>1</v>
      </c>
      <c r="E2953" s="3" t="inlineStr">
        <is>
          <t>FUCILE MONOCANNA</t>
        </is>
      </c>
      <c r="F2953" s="3" t="inlineStr">
        <is>
          <t>22LR</t>
        </is>
      </c>
      <c r="G2953" s="3" t="inlineStr">
        <is>
          <t>CHIAPPA</t>
        </is>
      </c>
      <c r="H2953" s="65" t="inlineStr">
        <is>
          <t>LITTLE BADGER ADAMANTIUM</t>
        </is>
      </c>
      <c r="I2953" s="65" t="inlineStr">
        <is>
          <t>CFIT25R13877</t>
        </is>
      </c>
      <c r="J2953" s="65" t="inlineStr">
        <is>
          <t>N/D</t>
        </is>
      </c>
      <c r="K2953" s="65" t="inlineStr">
        <is>
          <t>N/D</t>
        </is>
      </c>
      <c r="L2953" s="127" t="inlineStr">
        <is>
          <t>CHIAPPA FIREARMS SRL</t>
        </is>
      </c>
      <c r="M2953" s="5" t="n">
        <v>147</v>
      </c>
      <c r="N2953" s="5" t="n"/>
      <c r="O2953" s="5">
        <f>+M2953+N2953</f>
        <v/>
      </c>
      <c r="P2953" s="4" t="n">
        <v>45989</v>
      </c>
      <c r="Q2953" s="87" t="n">
        <v>45989</v>
      </c>
      <c r="R2953" s="5" t="n">
        <v>225.4</v>
      </c>
      <c r="S2953" s="2" t="n">
        <v>1</v>
      </c>
      <c r="T2953" s="3" t="inlineStr">
        <is>
          <t>6B/2025/7M</t>
        </is>
      </c>
      <c r="U2953" s="87" t="n">
        <v>46003</v>
      </c>
      <c r="V2953" s="3" t="inlineStr">
        <is>
          <t>35</t>
        </is>
      </c>
      <c r="W2953" s="108" t="n">
        <v>46003</v>
      </c>
      <c r="X2953" s="4" t="inlineStr">
        <is>
          <t>BIN HUMAID NATIONAL TRADING CO</t>
        </is>
      </c>
    </row>
    <row r="2954" ht="24" customHeight="1">
      <c r="A2954" s="2">
        <f>+D2954-S2954</f>
        <v/>
      </c>
      <c r="B2954" s="80" t="n">
        <v>4546</v>
      </c>
      <c r="C2954" s="66" t="n">
        <v>45994</v>
      </c>
      <c r="D2954" s="2" t="n">
        <v>1</v>
      </c>
      <c r="E2954" s="3" t="inlineStr">
        <is>
          <t>FUCILE MONOCANNA</t>
        </is>
      </c>
      <c r="F2954" s="3" t="inlineStr">
        <is>
          <t>22LR</t>
        </is>
      </c>
      <c r="G2954" s="3" t="inlineStr">
        <is>
          <t>CHIAPPA</t>
        </is>
      </c>
      <c r="H2954" s="65" t="inlineStr">
        <is>
          <t>LITTLE BADGER ADAMANTIUM</t>
        </is>
      </c>
      <c r="I2954" s="65" t="inlineStr">
        <is>
          <t>CFIT25R13878</t>
        </is>
      </c>
      <c r="J2954" s="65" t="inlineStr">
        <is>
          <t>N/D</t>
        </is>
      </c>
      <c r="K2954" s="65" t="inlineStr">
        <is>
          <t>N/D</t>
        </is>
      </c>
      <c r="L2954" s="127" t="inlineStr">
        <is>
          <t>CHIAPPA FIREARMS SRL</t>
        </is>
      </c>
      <c r="M2954" s="5" t="n">
        <v>147</v>
      </c>
      <c r="N2954" s="5" t="n"/>
      <c r="O2954" s="5">
        <f>+M2954+N2954</f>
        <v/>
      </c>
      <c r="P2954" s="4" t="n">
        <v>45989</v>
      </c>
      <c r="Q2954" s="87" t="n">
        <v>45989</v>
      </c>
      <c r="R2954" s="5" t="n">
        <v>225.4</v>
      </c>
      <c r="S2954" s="2" t="n">
        <v>1</v>
      </c>
      <c r="T2954" s="3" t="inlineStr">
        <is>
          <t>6B/2025/7M</t>
        </is>
      </c>
      <c r="U2954" s="87" t="n">
        <v>46003</v>
      </c>
      <c r="V2954" s="3" t="inlineStr">
        <is>
          <t>35</t>
        </is>
      </c>
      <c r="W2954" s="108" t="n">
        <v>46003</v>
      </c>
      <c r="X2954" s="4" t="inlineStr">
        <is>
          <t>BIN HUMAID NATIONAL TRADING CO</t>
        </is>
      </c>
    </row>
    <row r="2955" ht="24" customHeight="1">
      <c r="A2955" s="2">
        <f>+D2955-S2955</f>
        <v/>
      </c>
      <c r="B2955" s="80" t="n">
        <v>4547</v>
      </c>
      <c r="C2955" s="66" t="n">
        <v>45994</v>
      </c>
      <c r="D2955" s="2" t="n">
        <v>1</v>
      </c>
      <c r="E2955" s="3" t="inlineStr">
        <is>
          <t>FUCILE MONOCANNA</t>
        </is>
      </c>
      <c r="F2955" s="3" t="inlineStr">
        <is>
          <t>22LR</t>
        </is>
      </c>
      <c r="G2955" s="3" t="inlineStr">
        <is>
          <t>CHIAPPA</t>
        </is>
      </c>
      <c r="H2955" s="65" t="inlineStr">
        <is>
          <t>LITTLE BADGER ADAMANTIUM</t>
        </is>
      </c>
      <c r="I2955" s="65" t="inlineStr">
        <is>
          <t>CFIT25R13879</t>
        </is>
      </c>
      <c r="J2955" s="65" t="inlineStr">
        <is>
          <t>N/D</t>
        </is>
      </c>
      <c r="K2955" s="65" t="inlineStr">
        <is>
          <t>N/D</t>
        </is>
      </c>
      <c r="L2955" s="127" t="inlineStr">
        <is>
          <t>CHIAPPA FIREARMS SRL</t>
        </is>
      </c>
      <c r="M2955" s="5" t="n">
        <v>147</v>
      </c>
      <c r="N2955" s="5" t="n"/>
      <c r="O2955" s="5">
        <f>+M2955+N2955</f>
        <v/>
      </c>
      <c r="P2955" s="4" t="n">
        <v>45989</v>
      </c>
      <c r="Q2955" s="87" t="n">
        <v>45989</v>
      </c>
      <c r="R2955" s="5" t="n">
        <v>225.4</v>
      </c>
      <c r="S2955" s="2" t="n">
        <v>1</v>
      </c>
      <c r="T2955" s="3" t="inlineStr">
        <is>
          <t>6B/2025/7M</t>
        </is>
      </c>
      <c r="U2955" s="87" t="n">
        <v>46003</v>
      </c>
      <c r="V2955" s="3" t="inlineStr">
        <is>
          <t>35</t>
        </is>
      </c>
      <c r="W2955" s="108" t="n">
        <v>46003</v>
      </c>
      <c r="X2955" s="4" t="inlineStr">
        <is>
          <t>BIN HUMAID NATIONAL TRADING CO</t>
        </is>
      </c>
    </row>
    <row r="2956" ht="24" customHeight="1">
      <c r="A2956" s="2">
        <f>+D2956-S2956</f>
        <v/>
      </c>
      <c r="B2956" s="80" t="n">
        <v>4548</v>
      </c>
      <c r="C2956" s="66" t="n">
        <v>45994</v>
      </c>
      <c r="D2956" s="2" t="n">
        <v>1</v>
      </c>
      <c r="E2956" s="3" t="inlineStr">
        <is>
          <t>FUCILE MONOCANNA</t>
        </is>
      </c>
      <c r="F2956" s="3" t="inlineStr">
        <is>
          <t>22LR</t>
        </is>
      </c>
      <c r="G2956" s="3" t="inlineStr">
        <is>
          <t>CHIAPPA</t>
        </is>
      </c>
      <c r="H2956" s="65" t="inlineStr">
        <is>
          <t>LITTLE BADGER ADAMANTIUM</t>
        </is>
      </c>
      <c r="I2956" s="65" t="inlineStr">
        <is>
          <t>CFIT25R13880</t>
        </is>
      </c>
      <c r="J2956" s="65" t="inlineStr">
        <is>
          <t>N/D</t>
        </is>
      </c>
      <c r="K2956" s="65" t="inlineStr">
        <is>
          <t>N/D</t>
        </is>
      </c>
      <c r="L2956" s="127" t="inlineStr">
        <is>
          <t>CHIAPPA FIREARMS SRL</t>
        </is>
      </c>
      <c r="M2956" s="5" t="n">
        <v>147</v>
      </c>
      <c r="N2956" s="5" t="n"/>
      <c r="O2956" s="5">
        <f>+M2956+N2956</f>
        <v/>
      </c>
      <c r="P2956" s="4" t="n">
        <v>45989</v>
      </c>
      <c r="Q2956" s="87" t="n">
        <v>45989</v>
      </c>
      <c r="R2956" s="5" t="n">
        <v>225.4</v>
      </c>
      <c r="S2956" s="2" t="n">
        <v>1</v>
      </c>
      <c r="T2956" s="3" t="inlineStr">
        <is>
          <t>6B/2025/7M</t>
        </is>
      </c>
      <c r="U2956" s="87" t="n">
        <v>46003</v>
      </c>
      <c r="V2956" s="3" t="inlineStr">
        <is>
          <t>35</t>
        </is>
      </c>
      <c r="W2956" s="108" t="n">
        <v>46003</v>
      </c>
      <c r="X2956" s="4" t="inlineStr">
        <is>
          <t>BIN HUMAID NATIONAL TRADING CO</t>
        </is>
      </c>
    </row>
    <row r="2957" ht="24" customHeight="1">
      <c r="A2957" s="2">
        <f>+D2957-S2957</f>
        <v/>
      </c>
      <c r="B2957" s="80" t="n">
        <v>4549</v>
      </c>
      <c r="C2957" s="66" t="n">
        <v>45994</v>
      </c>
      <c r="D2957" s="2" t="n">
        <v>1</v>
      </c>
      <c r="E2957" s="3" t="inlineStr">
        <is>
          <t>FUCILE MONOCANNA</t>
        </is>
      </c>
      <c r="F2957" s="3" t="inlineStr">
        <is>
          <t>22LR</t>
        </is>
      </c>
      <c r="G2957" s="3" t="inlineStr">
        <is>
          <t>CHIAPPA</t>
        </is>
      </c>
      <c r="H2957" s="65" t="inlineStr">
        <is>
          <t>LITTLE BADGER ADAMANTIUM</t>
        </is>
      </c>
      <c r="I2957" s="65" t="inlineStr">
        <is>
          <t>CFIT25R13881</t>
        </is>
      </c>
      <c r="J2957" s="65" t="inlineStr">
        <is>
          <t>N/D</t>
        </is>
      </c>
      <c r="K2957" s="65" t="inlineStr">
        <is>
          <t>N/D</t>
        </is>
      </c>
      <c r="L2957" s="127" t="inlineStr">
        <is>
          <t>CHIAPPA FIREARMS SRL</t>
        </is>
      </c>
      <c r="M2957" s="5" t="n">
        <v>147</v>
      </c>
      <c r="N2957" s="5" t="n"/>
      <c r="O2957" s="5">
        <f>+M2957+N2957</f>
        <v/>
      </c>
      <c r="P2957" s="4" t="n">
        <v>45989</v>
      </c>
      <c r="Q2957" s="87" t="n">
        <v>45989</v>
      </c>
      <c r="R2957" s="5" t="n">
        <v>225.4</v>
      </c>
      <c r="S2957" s="2" t="n">
        <v>1</v>
      </c>
      <c r="T2957" s="3" t="inlineStr">
        <is>
          <t>6B/2025/7M</t>
        </is>
      </c>
      <c r="U2957" s="87" t="n">
        <v>46003</v>
      </c>
      <c r="V2957" s="3" t="inlineStr">
        <is>
          <t>35</t>
        </is>
      </c>
      <c r="W2957" s="108" t="n">
        <v>46003</v>
      </c>
      <c r="X2957" s="4" t="inlineStr">
        <is>
          <t>BIN HUMAID NATIONAL TRADING CO</t>
        </is>
      </c>
    </row>
    <row r="2958" ht="24" customHeight="1">
      <c r="A2958" s="2">
        <f>+D2958-S2958</f>
        <v/>
      </c>
      <c r="B2958" s="80" t="n">
        <v>4550</v>
      </c>
      <c r="C2958" s="66" t="n">
        <v>45994</v>
      </c>
      <c r="D2958" s="2" t="n">
        <v>1</v>
      </c>
      <c r="E2958" s="3" t="inlineStr">
        <is>
          <t>FUCILE MONOCANNA</t>
        </is>
      </c>
      <c r="F2958" s="3" t="inlineStr">
        <is>
          <t>22LR</t>
        </is>
      </c>
      <c r="G2958" s="3" t="inlineStr">
        <is>
          <t>CHIAPPA</t>
        </is>
      </c>
      <c r="H2958" s="65" t="inlineStr">
        <is>
          <t>LITTLE BADGER ADAMANTIUM</t>
        </is>
      </c>
      <c r="I2958" s="65" t="inlineStr">
        <is>
          <t>CFIT25R13882</t>
        </is>
      </c>
      <c r="J2958" s="65" t="inlineStr">
        <is>
          <t>N/D</t>
        </is>
      </c>
      <c r="K2958" s="65" t="inlineStr">
        <is>
          <t>N/D</t>
        </is>
      </c>
      <c r="L2958" s="127" t="inlineStr">
        <is>
          <t>CHIAPPA FIREARMS SRL</t>
        </is>
      </c>
      <c r="M2958" s="5" t="n">
        <v>147</v>
      </c>
      <c r="N2958" s="5" t="n"/>
      <c r="O2958" s="5">
        <f>+M2958+N2958</f>
        <v/>
      </c>
      <c r="P2958" s="4" t="n">
        <v>45989</v>
      </c>
      <c r="Q2958" s="87" t="n">
        <v>45989</v>
      </c>
      <c r="R2958" s="5" t="n">
        <v>225.4</v>
      </c>
      <c r="S2958" s="2" t="n">
        <v>1</v>
      </c>
      <c r="T2958" s="3" t="inlineStr">
        <is>
          <t>6B/2025/7M</t>
        </is>
      </c>
      <c r="U2958" s="87" t="n">
        <v>46003</v>
      </c>
      <c r="V2958" s="3" t="inlineStr">
        <is>
          <t>35</t>
        </is>
      </c>
      <c r="W2958" s="108" t="n">
        <v>46003</v>
      </c>
      <c r="X2958" s="4" t="inlineStr">
        <is>
          <t>BIN HUMAID NATIONAL TRADING CO</t>
        </is>
      </c>
    </row>
    <row r="2959" ht="24" customHeight="1">
      <c r="A2959" s="2">
        <f>+D2959-S2959</f>
        <v/>
      </c>
      <c r="B2959" s="80" t="n">
        <v>4551</v>
      </c>
      <c r="C2959" s="66" t="n">
        <v>45994</v>
      </c>
      <c r="D2959" s="2" t="n">
        <v>1</v>
      </c>
      <c r="E2959" s="3" t="inlineStr">
        <is>
          <t>FUCILE MONOCANNA</t>
        </is>
      </c>
      <c r="F2959" s="3" t="inlineStr">
        <is>
          <t>22LR</t>
        </is>
      </c>
      <c r="G2959" s="3" t="inlineStr">
        <is>
          <t>CHIAPPA</t>
        </is>
      </c>
      <c r="H2959" s="65" t="inlineStr">
        <is>
          <t>LITTLE BADGER ADAMANTIUM</t>
        </is>
      </c>
      <c r="I2959" s="65" t="inlineStr">
        <is>
          <t>CFIT25R13883</t>
        </is>
      </c>
      <c r="J2959" s="65" t="inlineStr">
        <is>
          <t>N/D</t>
        </is>
      </c>
      <c r="K2959" s="65" t="inlineStr">
        <is>
          <t>N/D</t>
        </is>
      </c>
      <c r="L2959" s="127" t="inlineStr">
        <is>
          <t>CHIAPPA FIREARMS SRL</t>
        </is>
      </c>
      <c r="M2959" s="5" t="n">
        <v>147</v>
      </c>
      <c r="N2959" s="5" t="n"/>
      <c r="O2959" s="5">
        <f>+M2959+N2959</f>
        <v/>
      </c>
      <c r="P2959" s="4" t="n">
        <v>45989</v>
      </c>
      <c r="Q2959" s="87" t="n">
        <v>45989</v>
      </c>
      <c r="R2959" s="5" t="n"/>
      <c r="S2959" s="2" t="n"/>
      <c r="T2959" s="3" t="n"/>
      <c r="U2959" s="87" t="n"/>
      <c r="V2959" s="3" t="n"/>
      <c r="W2959" s="108" t="n"/>
      <c r="X2959" s="4" t="n"/>
    </row>
    <row r="2960" ht="24" customHeight="1">
      <c r="A2960" s="2">
        <f>+D2960-S2960</f>
        <v/>
      </c>
      <c r="B2960" s="80" t="n">
        <v>4552</v>
      </c>
      <c r="C2960" s="66" t="n">
        <v>45994</v>
      </c>
      <c r="D2960" s="2" t="n">
        <v>1</v>
      </c>
      <c r="E2960" s="3" t="inlineStr">
        <is>
          <t>FUCILE MONOCANNA</t>
        </is>
      </c>
      <c r="F2960" s="3" t="inlineStr">
        <is>
          <t>22LR</t>
        </is>
      </c>
      <c r="G2960" s="3" t="inlineStr">
        <is>
          <t>CHIAPPA</t>
        </is>
      </c>
      <c r="H2960" s="65" t="inlineStr">
        <is>
          <t>LITTLE BADGER ADAMANTIUM</t>
        </is>
      </c>
      <c r="I2960" s="65" t="inlineStr">
        <is>
          <t>CFIT25R13884</t>
        </is>
      </c>
      <c r="J2960" s="65" t="inlineStr">
        <is>
          <t>N/D</t>
        </is>
      </c>
      <c r="K2960" s="65" t="inlineStr">
        <is>
          <t>N/D</t>
        </is>
      </c>
      <c r="L2960" s="127" t="inlineStr">
        <is>
          <t>CHIAPPA FIREARMS SRL</t>
        </is>
      </c>
      <c r="M2960" s="5" t="n">
        <v>147</v>
      </c>
      <c r="N2960" s="5" t="n"/>
      <c r="O2960" s="5">
        <f>+M2960+N2960</f>
        <v/>
      </c>
      <c r="P2960" s="4" t="n">
        <v>45989</v>
      </c>
      <c r="Q2960" s="87" t="n">
        <v>45989</v>
      </c>
      <c r="R2960" s="5" t="n"/>
      <c r="S2960" s="2" t="n"/>
      <c r="T2960" s="3" t="n"/>
      <c r="U2960" s="87" t="n"/>
      <c r="V2960" s="3" t="n"/>
      <c r="W2960" s="108" t="n"/>
      <c r="X2960" s="4" t="n"/>
    </row>
    <row r="2961" ht="24" customHeight="1">
      <c r="A2961" s="2">
        <f>+D2961-S2961</f>
        <v/>
      </c>
      <c r="B2961" s="80" t="n">
        <v>4553</v>
      </c>
      <c r="C2961" s="66" t="n">
        <v>45994</v>
      </c>
      <c r="D2961" s="2" t="n">
        <v>1</v>
      </c>
      <c r="E2961" s="3" t="inlineStr">
        <is>
          <t>FUCILE MONOCANNA</t>
        </is>
      </c>
      <c r="F2961" s="3" t="inlineStr">
        <is>
          <t>22LR</t>
        </is>
      </c>
      <c r="G2961" s="3" t="inlineStr">
        <is>
          <t>CHIAPPA</t>
        </is>
      </c>
      <c r="H2961" s="65" t="inlineStr">
        <is>
          <t>LITTLE BADGER ADAMANTIUM</t>
        </is>
      </c>
      <c r="I2961" s="65" t="inlineStr">
        <is>
          <t>CFIT25R13885</t>
        </is>
      </c>
      <c r="J2961" s="65" t="inlineStr">
        <is>
          <t>N/D</t>
        </is>
      </c>
      <c r="K2961" s="65" t="inlineStr">
        <is>
          <t>N/D</t>
        </is>
      </c>
      <c r="L2961" s="127" t="inlineStr">
        <is>
          <t>CHIAPPA FIREARMS SRL</t>
        </is>
      </c>
      <c r="M2961" s="5" t="n">
        <v>147</v>
      </c>
      <c r="N2961" s="5" t="n"/>
      <c r="O2961" s="5">
        <f>+M2961+N2961</f>
        <v/>
      </c>
      <c r="P2961" s="4" t="n">
        <v>45989</v>
      </c>
      <c r="Q2961" s="87" t="n">
        <v>45989</v>
      </c>
      <c r="R2961" s="5" t="n"/>
      <c r="S2961" s="2" t="n"/>
      <c r="T2961" s="3" t="n"/>
      <c r="U2961" s="87" t="n"/>
      <c r="V2961" s="3" t="n"/>
      <c r="W2961" s="108" t="n"/>
      <c r="X2961" s="4" t="n"/>
    </row>
    <row r="2962" ht="24" customHeight="1">
      <c r="A2962" s="2">
        <f>+D2962-S2962</f>
        <v/>
      </c>
      <c r="B2962" s="80" t="n">
        <v>4554</v>
      </c>
      <c r="C2962" s="66" t="n">
        <v>45994</v>
      </c>
      <c r="D2962" s="2" t="n">
        <v>1</v>
      </c>
      <c r="E2962" s="3" t="inlineStr">
        <is>
          <t>FUCILE MONOCANNA</t>
        </is>
      </c>
      <c r="F2962" s="3" t="inlineStr">
        <is>
          <t>22LR</t>
        </is>
      </c>
      <c r="G2962" s="3" t="inlineStr">
        <is>
          <t>CHIAPPA</t>
        </is>
      </c>
      <c r="H2962" s="65" t="inlineStr">
        <is>
          <t>LITTLE BADGER ADAMANTIUM</t>
        </is>
      </c>
      <c r="I2962" s="65" t="inlineStr">
        <is>
          <t>CFIT25R13886</t>
        </is>
      </c>
      <c r="J2962" s="65" t="inlineStr">
        <is>
          <t>N/D</t>
        </is>
      </c>
      <c r="K2962" s="65" t="inlineStr">
        <is>
          <t>N/D</t>
        </is>
      </c>
      <c r="L2962" s="127" t="inlineStr">
        <is>
          <t>CHIAPPA FIREARMS SRL</t>
        </is>
      </c>
      <c r="M2962" s="5" t="n">
        <v>147</v>
      </c>
      <c r="N2962" s="5" t="n"/>
      <c r="O2962" s="5">
        <f>+M2962+N2962</f>
        <v/>
      </c>
      <c r="P2962" s="4" t="n">
        <v>45989</v>
      </c>
      <c r="Q2962" s="87" t="n">
        <v>45989</v>
      </c>
      <c r="R2962" s="5" t="n"/>
      <c r="S2962" s="2" t="n"/>
      <c r="T2962" s="3" t="n"/>
      <c r="U2962" s="87" t="n"/>
      <c r="V2962" s="3" t="n"/>
      <c r="W2962" s="108" t="n"/>
      <c r="X2962" s="4" t="n"/>
    </row>
    <row r="2963" ht="24" customHeight="1">
      <c r="A2963" s="2">
        <f>+D2963-S2963</f>
        <v/>
      </c>
      <c r="B2963" s="80" t="n">
        <v>4555</v>
      </c>
      <c r="C2963" s="66" t="n">
        <v>45994</v>
      </c>
      <c r="D2963" s="2" t="n">
        <v>1</v>
      </c>
      <c r="E2963" s="3" t="inlineStr">
        <is>
          <t>FUCILE MONOCANNA</t>
        </is>
      </c>
      <c r="F2963" s="3" t="inlineStr">
        <is>
          <t>22LR</t>
        </is>
      </c>
      <c r="G2963" s="3" t="inlineStr">
        <is>
          <t>CHIAPPA</t>
        </is>
      </c>
      <c r="H2963" s="65" t="inlineStr">
        <is>
          <t>LITTLE BADGER ADAMANTIUM</t>
        </is>
      </c>
      <c r="I2963" s="65" t="inlineStr">
        <is>
          <t>CFIT25R13887</t>
        </is>
      </c>
      <c r="J2963" s="65" t="inlineStr">
        <is>
          <t>N/D</t>
        </is>
      </c>
      <c r="K2963" s="65" t="inlineStr">
        <is>
          <t>N/D</t>
        </is>
      </c>
      <c r="L2963" s="127" t="inlineStr">
        <is>
          <t>CHIAPPA FIREARMS SRL</t>
        </is>
      </c>
      <c r="M2963" s="5" t="n">
        <v>147</v>
      </c>
      <c r="N2963" s="5" t="n"/>
      <c r="O2963" s="5">
        <f>+M2963+N2963</f>
        <v/>
      </c>
      <c r="P2963" s="4" t="n">
        <v>45989</v>
      </c>
      <c r="Q2963" s="87" t="n">
        <v>45989</v>
      </c>
      <c r="R2963" s="5" t="n"/>
      <c r="S2963" s="2" t="n"/>
      <c r="T2963" s="3" t="n"/>
      <c r="U2963" s="87" t="n"/>
      <c r="V2963" s="3" t="n"/>
      <c r="W2963" s="108" t="n"/>
      <c r="X2963" s="4" t="n"/>
    </row>
    <row r="2964" ht="24" customHeight="1">
      <c r="A2964" s="2">
        <f>+D2964-S2964</f>
        <v/>
      </c>
      <c r="B2964" s="80" t="n">
        <v>4556</v>
      </c>
      <c r="C2964" s="66" t="n">
        <v>45994</v>
      </c>
      <c r="D2964" s="2" t="n">
        <v>1</v>
      </c>
      <c r="E2964" s="3" t="inlineStr">
        <is>
          <t>FUCILE MONOCANNA</t>
        </is>
      </c>
      <c r="F2964" s="3" t="inlineStr">
        <is>
          <t>22LR</t>
        </is>
      </c>
      <c r="G2964" s="3" t="inlineStr">
        <is>
          <t>CHIAPPA</t>
        </is>
      </c>
      <c r="H2964" s="65" t="inlineStr">
        <is>
          <t>LITTLE BADGER ADAMANTIUM</t>
        </is>
      </c>
      <c r="I2964" s="65" t="inlineStr">
        <is>
          <t>CFIT25R13888</t>
        </is>
      </c>
      <c r="J2964" s="65" t="inlineStr">
        <is>
          <t>N/D</t>
        </is>
      </c>
      <c r="K2964" s="65" t="inlineStr">
        <is>
          <t>N/D</t>
        </is>
      </c>
      <c r="L2964" s="127" t="inlineStr">
        <is>
          <t>CHIAPPA FIREARMS SRL</t>
        </is>
      </c>
      <c r="M2964" s="5" t="n">
        <v>147</v>
      </c>
      <c r="N2964" s="5" t="n"/>
      <c r="O2964" s="5">
        <f>+M2964+N2964</f>
        <v/>
      </c>
      <c r="P2964" s="4" t="n">
        <v>45989</v>
      </c>
      <c r="Q2964" s="87" t="n">
        <v>45989</v>
      </c>
      <c r="R2964" s="5" t="n"/>
      <c r="S2964" s="2" t="n"/>
      <c r="T2964" s="3" t="n"/>
      <c r="U2964" s="87" t="n"/>
      <c r="V2964" s="3" t="n"/>
      <c r="W2964" s="108" t="n"/>
      <c r="X2964" s="4" t="n"/>
    </row>
    <row r="2965" ht="24" customHeight="1">
      <c r="A2965" s="2">
        <f>+D2965-S2965</f>
        <v/>
      </c>
      <c r="B2965" s="80" t="n">
        <v>4557</v>
      </c>
      <c r="C2965" s="66" t="n">
        <v>45994</v>
      </c>
      <c r="D2965" s="2" t="n">
        <v>1</v>
      </c>
      <c r="E2965" s="3" t="inlineStr">
        <is>
          <t>FUCILE MONOCANNA</t>
        </is>
      </c>
      <c r="F2965" s="3" t="inlineStr">
        <is>
          <t>22LR</t>
        </is>
      </c>
      <c r="G2965" s="3" t="inlineStr">
        <is>
          <t>CHIAPPA</t>
        </is>
      </c>
      <c r="H2965" s="65" t="inlineStr">
        <is>
          <t>LITTLE BADGER ADAMANTIUM</t>
        </is>
      </c>
      <c r="I2965" s="65" t="inlineStr">
        <is>
          <t>CFIT25R13889</t>
        </is>
      </c>
      <c r="J2965" s="65" t="inlineStr">
        <is>
          <t>N/D</t>
        </is>
      </c>
      <c r="K2965" s="65" t="inlineStr">
        <is>
          <t>N/D</t>
        </is>
      </c>
      <c r="L2965" s="127" t="inlineStr">
        <is>
          <t>CHIAPPA FIREARMS SRL</t>
        </is>
      </c>
      <c r="M2965" s="5" t="n">
        <v>147</v>
      </c>
      <c r="N2965" s="5" t="n"/>
      <c r="O2965" s="5">
        <f>+M2965+N2965</f>
        <v/>
      </c>
      <c r="P2965" s="4" t="n">
        <v>45989</v>
      </c>
      <c r="Q2965" s="87" t="n">
        <v>45989</v>
      </c>
      <c r="R2965" s="5" t="n"/>
      <c r="S2965" s="2" t="n"/>
      <c r="T2965" s="3" t="n"/>
      <c r="U2965" s="87" t="n"/>
      <c r="V2965" s="3" t="n"/>
      <c r="W2965" s="108" t="n"/>
      <c r="X2965" s="4" t="n"/>
    </row>
    <row r="2966" ht="24" customHeight="1">
      <c r="A2966" s="2">
        <f>+D2966-S2966</f>
        <v/>
      </c>
      <c r="B2966" s="80" t="n">
        <v>4558</v>
      </c>
      <c r="C2966" s="66" t="n">
        <v>45994</v>
      </c>
      <c r="D2966" s="2" t="n">
        <v>1</v>
      </c>
      <c r="E2966" s="3" t="inlineStr">
        <is>
          <t>FUCILE MONOCANNA</t>
        </is>
      </c>
      <c r="F2966" s="3" t="inlineStr">
        <is>
          <t>22LR</t>
        </is>
      </c>
      <c r="G2966" s="3" t="inlineStr">
        <is>
          <t>CHIAPPA</t>
        </is>
      </c>
      <c r="H2966" s="65" t="inlineStr">
        <is>
          <t>LITTLE BADGER ADAMANTIUM</t>
        </is>
      </c>
      <c r="I2966" s="65" t="inlineStr">
        <is>
          <t>CFIT25R13890</t>
        </is>
      </c>
      <c r="J2966" s="65" t="inlineStr">
        <is>
          <t>N/D</t>
        </is>
      </c>
      <c r="K2966" s="65" t="inlineStr">
        <is>
          <t>N/D</t>
        </is>
      </c>
      <c r="L2966" s="127" t="inlineStr">
        <is>
          <t>CHIAPPA FIREARMS SRL</t>
        </is>
      </c>
      <c r="M2966" s="5" t="n">
        <v>147</v>
      </c>
      <c r="N2966" s="5" t="n"/>
      <c r="O2966" s="5">
        <f>+M2966+N2966</f>
        <v/>
      </c>
      <c r="P2966" s="4" t="n">
        <v>45989</v>
      </c>
      <c r="Q2966" s="87" t="n">
        <v>45989</v>
      </c>
      <c r="R2966" s="5" t="n"/>
      <c r="S2966" s="2" t="n"/>
      <c r="T2966" s="3" t="n"/>
      <c r="U2966" s="87" t="n"/>
      <c r="V2966" s="3" t="n"/>
      <c r="W2966" s="108" t="n"/>
      <c r="X2966" s="4" t="n"/>
    </row>
    <row r="2967" ht="24" customHeight="1">
      <c r="A2967" s="2">
        <f>+D2967-S2967</f>
        <v/>
      </c>
      <c r="B2967" s="80" t="n">
        <v>4559</v>
      </c>
      <c r="C2967" s="66" t="n">
        <v>45994</v>
      </c>
      <c r="D2967" s="2" t="n">
        <v>1</v>
      </c>
      <c r="E2967" s="3" t="inlineStr">
        <is>
          <t>FUCILE MONOCANNA</t>
        </is>
      </c>
      <c r="F2967" s="3" t="inlineStr">
        <is>
          <t>22LR</t>
        </is>
      </c>
      <c r="G2967" s="3" t="inlineStr">
        <is>
          <t>CHIAPPA</t>
        </is>
      </c>
      <c r="H2967" s="65" t="inlineStr">
        <is>
          <t>LITTLE BADGER ADAMANTIUM</t>
        </is>
      </c>
      <c r="I2967" s="65" t="inlineStr">
        <is>
          <t>CFIT25R13891</t>
        </is>
      </c>
      <c r="J2967" s="65" t="inlineStr">
        <is>
          <t>N/D</t>
        </is>
      </c>
      <c r="K2967" s="65" t="inlineStr">
        <is>
          <t>N/D</t>
        </is>
      </c>
      <c r="L2967" s="127" t="inlineStr">
        <is>
          <t>CHIAPPA FIREARMS SRL</t>
        </is>
      </c>
      <c r="M2967" s="5" t="n">
        <v>147</v>
      </c>
      <c r="N2967" s="5" t="n"/>
      <c r="O2967" s="5">
        <f>+M2967+N2967</f>
        <v/>
      </c>
      <c r="P2967" s="4" t="n">
        <v>45989</v>
      </c>
      <c r="Q2967" s="87" t="n">
        <v>45989</v>
      </c>
      <c r="R2967" s="5" t="n"/>
      <c r="S2967" s="2" t="n"/>
      <c r="T2967" s="3" t="n"/>
      <c r="U2967" s="87" t="n"/>
      <c r="V2967" s="3" t="n"/>
      <c r="W2967" s="108" t="n"/>
      <c r="X2967" s="4" t="n"/>
    </row>
    <row r="2968" ht="24" customHeight="1">
      <c r="A2968" s="2">
        <f>+D2968-S2968</f>
        <v/>
      </c>
      <c r="B2968" s="80" t="n">
        <v>4560</v>
      </c>
      <c r="C2968" s="66" t="n">
        <v>45994</v>
      </c>
      <c r="D2968" s="2" t="n">
        <v>1</v>
      </c>
      <c r="E2968" s="3" t="inlineStr">
        <is>
          <t>FUCILE MONOCANNA</t>
        </is>
      </c>
      <c r="F2968" s="3" t="inlineStr">
        <is>
          <t>22LR</t>
        </is>
      </c>
      <c r="G2968" s="3" t="inlineStr">
        <is>
          <t>CHIAPPA</t>
        </is>
      </c>
      <c r="H2968" s="65" t="inlineStr">
        <is>
          <t>LITTLE BADGER ADAMANTIUM</t>
        </is>
      </c>
      <c r="I2968" s="65" t="inlineStr">
        <is>
          <t>CFIT25R13892</t>
        </is>
      </c>
      <c r="J2968" s="65" t="inlineStr">
        <is>
          <t>N/D</t>
        </is>
      </c>
      <c r="K2968" s="65" t="inlineStr">
        <is>
          <t>N/D</t>
        </is>
      </c>
      <c r="L2968" s="127" t="inlineStr">
        <is>
          <t>CHIAPPA FIREARMS SRL</t>
        </is>
      </c>
      <c r="M2968" s="5" t="n">
        <v>147</v>
      </c>
      <c r="N2968" s="5" t="n"/>
      <c r="O2968" s="5">
        <f>+M2968+N2968</f>
        <v/>
      </c>
      <c r="P2968" s="4" t="n">
        <v>45989</v>
      </c>
      <c r="Q2968" s="87" t="n">
        <v>45989</v>
      </c>
      <c r="R2968" s="5" t="n"/>
      <c r="S2968" s="2" t="n"/>
      <c r="T2968" s="3" t="n"/>
      <c r="U2968" s="87" t="n"/>
      <c r="V2968" s="3" t="n"/>
      <c r="W2968" s="108" t="n"/>
      <c r="X2968" s="4" t="n"/>
    </row>
    <row r="2969" ht="24" customHeight="1">
      <c r="A2969" s="2">
        <f>+D2969-S2969</f>
        <v/>
      </c>
      <c r="B2969" s="80" t="n">
        <v>4561</v>
      </c>
      <c r="C2969" s="66" t="n">
        <v>45994</v>
      </c>
      <c r="D2969" s="2" t="n">
        <v>1</v>
      </c>
      <c r="E2969" s="3" t="inlineStr">
        <is>
          <t>FUCILE MONOCANNA</t>
        </is>
      </c>
      <c r="F2969" s="3" t="inlineStr">
        <is>
          <t>22LR</t>
        </is>
      </c>
      <c r="G2969" s="3" t="inlineStr">
        <is>
          <t>CHIAPPA</t>
        </is>
      </c>
      <c r="H2969" s="65" t="inlineStr">
        <is>
          <t>LITTLE BADGER ADAMANTIUM</t>
        </is>
      </c>
      <c r="I2969" s="65" t="inlineStr">
        <is>
          <t>CFIT25R13893</t>
        </is>
      </c>
      <c r="J2969" s="65" t="inlineStr">
        <is>
          <t>N/D</t>
        </is>
      </c>
      <c r="K2969" s="65" t="inlineStr">
        <is>
          <t>N/D</t>
        </is>
      </c>
      <c r="L2969" s="127" t="inlineStr">
        <is>
          <t>CHIAPPA FIREARMS SRL</t>
        </is>
      </c>
      <c r="M2969" s="5" t="n">
        <v>147</v>
      </c>
      <c r="N2969" s="5" t="n"/>
      <c r="O2969" s="5">
        <f>+M2969+N2969</f>
        <v/>
      </c>
      <c r="P2969" s="4" t="n">
        <v>45989</v>
      </c>
      <c r="Q2969" s="87" t="n">
        <v>45989</v>
      </c>
      <c r="R2969" s="5" t="n"/>
      <c r="S2969" s="2" t="n"/>
      <c r="T2969" s="3" t="n"/>
      <c r="U2969" s="87" t="n"/>
      <c r="V2969" s="3" t="n"/>
      <c r="W2969" s="108" t="n"/>
      <c r="X2969" s="4" t="n"/>
    </row>
    <row r="2970" ht="24" customHeight="1">
      <c r="A2970" s="2">
        <f>+D2970-S2970</f>
        <v/>
      </c>
      <c r="B2970" s="80" t="n">
        <v>4562</v>
      </c>
      <c r="C2970" s="66" t="n">
        <v>45994</v>
      </c>
      <c r="D2970" s="2" t="n">
        <v>1</v>
      </c>
      <c r="E2970" s="3" t="inlineStr">
        <is>
          <t>FUCILE MONOCANNA</t>
        </is>
      </c>
      <c r="F2970" s="3" t="inlineStr">
        <is>
          <t>22LR</t>
        </is>
      </c>
      <c r="G2970" s="3" t="inlineStr">
        <is>
          <t>CHIAPPA</t>
        </is>
      </c>
      <c r="H2970" s="65" t="inlineStr">
        <is>
          <t>LITTLE BADGER ADAMANTIUM</t>
        </is>
      </c>
      <c r="I2970" s="65" t="inlineStr">
        <is>
          <t>CFIT25R13894</t>
        </is>
      </c>
      <c r="J2970" s="65" t="inlineStr">
        <is>
          <t>N/D</t>
        </is>
      </c>
      <c r="K2970" s="65" t="inlineStr">
        <is>
          <t>N/D</t>
        </is>
      </c>
      <c r="L2970" s="127" t="inlineStr">
        <is>
          <t>CHIAPPA FIREARMS SRL</t>
        </is>
      </c>
      <c r="M2970" s="5" t="n">
        <v>147</v>
      </c>
      <c r="N2970" s="5" t="n"/>
      <c r="O2970" s="5">
        <f>+M2970+N2970</f>
        <v/>
      </c>
      <c r="P2970" s="4" t="n">
        <v>45989</v>
      </c>
      <c r="Q2970" s="87" t="n">
        <v>45989</v>
      </c>
      <c r="R2970" s="5" t="n"/>
      <c r="S2970" s="2" t="n"/>
      <c r="T2970" s="3" t="n"/>
      <c r="U2970" s="87" t="n"/>
      <c r="V2970" s="3" t="n"/>
      <c r="W2970" s="108" t="n"/>
      <c r="X2970" s="4" t="n"/>
    </row>
    <row r="2971" ht="24" customHeight="1">
      <c r="A2971" s="2">
        <f>+D2971-S2971</f>
        <v/>
      </c>
      <c r="B2971" s="80" t="n">
        <v>4563</v>
      </c>
      <c r="C2971" s="66" t="n">
        <v>45994</v>
      </c>
      <c r="D2971" s="2" t="n">
        <v>1</v>
      </c>
      <c r="E2971" s="3" t="inlineStr">
        <is>
          <t>FUCILE MONOCANNA</t>
        </is>
      </c>
      <c r="F2971" s="3" t="inlineStr">
        <is>
          <t>22LR</t>
        </is>
      </c>
      <c r="G2971" s="3" t="inlineStr">
        <is>
          <t>CHIAPPA</t>
        </is>
      </c>
      <c r="H2971" s="65" t="inlineStr">
        <is>
          <t>LITTLE BADGER ADAMANTIUM</t>
        </is>
      </c>
      <c r="I2971" s="65" t="inlineStr">
        <is>
          <t>CFIT25R13895</t>
        </is>
      </c>
      <c r="J2971" s="65" t="inlineStr">
        <is>
          <t>N/D</t>
        </is>
      </c>
      <c r="K2971" s="65" t="inlineStr">
        <is>
          <t>N/D</t>
        </is>
      </c>
      <c r="L2971" s="127" t="inlineStr">
        <is>
          <t>CHIAPPA FIREARMS SRL</t>
        </is>
      </c>
      <c r="M2971" s="5" t="n">
        <v>147</v>
      </c>
      <c r="N2971" s="5" t="n"/>
      <c r="O2971" s="5">
        <f>+M2971+N2971</f>
        <v/>
      </c>
      <c r="P2971" s="4" t="n">
        <v>45989</v>
      </c>
      <c r="Q2971" s="87" t="n">
        <v>45989</v>
      </c>
      <c r="R2971" s="5" t="n"/>
      <c r="S2971" s="2" t="n"/>
      <c r="T2971" s="3" t="n"/>
      <c r="U2971" s="87" t="n"/>
      <c r="V2971" s="3" t="n"/>
      <c r="W2971" s="108" t="n"/>
      <c r="X2971" s="4" t="n"/>
    </row>
    <row r="2972" ht="24" customHeight="1">
      <c r="A2972" s="2">
        <f>+D2972-S2972</f>
        <v/>
      </c>
      <c r="B2972" s="80" t="n">
        <v>4564</v>
      </c>
      <c r="C2972" s="66" t="n">
        <v>45994</v>
      </c>
      <c r="D2972" s="2" t="n">
        <v>1</v>
      </c>
      <c r="E2972" s="3" t="inlineStr">
        <is>
          <t>FUCILE MONOCANNA</t>
        </is>
      </c>
      <c r="F2972" s="3" t="inlineStr">
        <is>
          <t>22LR</t>
        </is>
      </c>
      <c r="G2972" s="3" t="inlineStr">
        <is>
          <t>CHIAPPA</t>
        </is>
      </c>
      <c r="H2972" s="65" t="inlineStr">
        <is>
          <t>LITTLE BADGER ADAMANTIUM</t>
        </is>
      </c>
      <c r="I2972" s="65" t="inlineStr">
        <is>
          <t>CFIT25R13896</t>
        </is>
      </c>
      <c r="J2972" s="65" t="inlineStr">
        <is>
          <t>N/D</t>
        </is>
      </c>
      <c r="K2972" s="65" t="inlineStr">
        <is>
          <t>N/D</t>
        </is>
      </c>
      <c r="L2972" s="127" t="inlineStr">
        <is>
          <t>CHIAPPA FIREARMS SRL</t>
        </is>
      </c>
      <c r="M2972" s="5" t="n">
        <v>147</v>
      </c>
      <c r="N2972" s="5" t="n"/>
      <c r="O2972" s="5">
        <f>+M2972+N2972</f>
        <v/>
      </c>
      <c r="P2972" s="4" t="n">
        <v>45989</v>
      </c>
      <c r="Q2972" s="87" t="n">
        <v>45989</v>
      </c>
      <c r="R2972" s="5" t="n"/>
      <c r="S2972" s="2" t="n"/>
      <c r="T2972" s="3" t="n"/>
      <c r="U2972" s="87" t="n"/>
      <c r="V2972" s="3" t="n"/>
      <c r="W2972" s="108" t="n"/>
      <c r="X2972" s="4" t="n"/>
    </row>
    <row r="2973" ht="24" customHeight="1">
      <c r="A2973" s="2">
        <f>+D2973-S2973</f>
        <v/>
      </c>
      <c r="B2973" s="80" t="n">
        <v>4565</v>
      </c>
      <c r="C2973" s="66" t="n">
        <v>45994</v>
      </c>
      <c r="D2973" s="2" t="n">
        <v>1</v>
      </c>
      <c r="E2973" s="3" t="inlineStr">
        <is>
          <t>FUCILE MONOCANNA</t>
        </is>
      </c>
      <c r="F2973" s="3" t="inlineStr">
        <is>
          <t>22LR</t>
        </is>
      </c>
      <c r="G2973" s="3" t="inlineStr">
        <is>
          <t>CHIAPPA</t>
        </is>
      </c>
      <c r="H2973" s="65" t="inlineStr">
        <is>
          <t>LITTLE BADGER ADAMANTIUM</t>
        </is>
      </c>
      <c r="I2973" s="65" t="inlineStr">
        <is>
          <t>CFIT25R13897</t>
        </is>
      </c>
      <c r="J2973" s="65" t="inlineStr">
        <is>
          <t>N/D</t>
        </is>
      </c>
      <c r="K2973" s="65" t="inlineStr">
        <is>
          <t>N/D</t>
        </is>
      </c>
      <c r="L2973" s="127" t="inlineStr">
        <is>
          <t>CHIAPPA FIREARMS SRL</t>
        </is>
      </c>
      <c r="M2973" s="5" t="n">
        <v>147</v>
      </c>
      <c r="N2973" s="5" t="n"/>
      <c r="O2973" s="5">
        <f>+M2973+N2973</f>
        <v/>
      </c>
      <c r="P2973" s="4" t="n">
        <v>45989</v>
      </c>
      <c r="Q2973" s="87" t="n">
        <v>45989</v>
      </c>
      <c r="R2973" s="5" t="n"/>
      <c r="S2973" s="2" t="n"/>
      <c r="T2973" s="3" t="n"/>
      <c r="U2973" s="87" t="n"/>
      <c r="V2973" s="3" t="n"/>
      <c r="W2973" s="108" t="n"/>
      <c r="X2973" s="4" t="n"/>
    </row>
    <row r="2974" ht="24" customHeight="1">
      <c r="A2974" s="2">
        <f>+D2974-S2974</f>
        <v/>
      </c>
      <c r="B2974" s="80" t="n">
        <v>4566</v>
      </c>
      <c r="C2974" s="66" t="n">
        <v>45994</v>
      </c>
      <c r="D2974" s="2" t="n">
        <v>1</v>
      </c>
      <c r="E2974" s="3" t="inlineStr">
        <is>
          <t>FUCILE MONOCANNA</t>
        </is>
      </c>
      <c r="F2974" s="3" t="inlineStr">
        <is>
          <t>22LR</t>
        </is>
      </c>
      <c r="G2974" s="3" t="inlineStr">
        <is>
          <t>CHIAPPA</t>
        </is>
      </c>
      <c r="H2974" s="65" t="inlineStr">
        <is>
          <t>LITTLE BADGER ADAMANTIUM</t>
        </is>
      </c>
      <c r="I2974" s="65" t="inlineStr">
        <is>
          <t>CFIT25R13898</t>
        </is>
      </c>
      <c r="J2974" s="65" t="inlineStr">
        <is>
          <t>N/D</t>
        </is>
      </c>
      <c r="K2974" s="65" t="inlineStr">
        <is>
          <t>N/D</t>
        </is>
      </c>
      <c r="L2974" s="127" t="inlineStr">
        <is>
          <t>CHIAPPA FIREARMS SRL</t>
        </is>
      </c>
      <c r="M2974" s="5" t="n">
        <v>147</v>
      </c>
      <c r="N2974" s="5" t="n"/>
      <c r="O2974" s="5">
        <f>+M2974+N2974</f>
        <v/>
      </c>
      <c r="P2974" s="4" t="n">
        <v>45989</v>
      </c>
      <c r="Q2974" s="87" t="n">
        <v>45989</v>
      </c>
      <c r="R2974" s="5" t="n"/>
      <c r="S2974" s="2" t="n"/>
      <c r="T2974" s="3" t="n"/>
      <c r="U2974" s="87" t="n"/>
      <c r="V2974" s="3" t="n"/>
      <c r="W2974" s="108" t="n"/>
      <c r="X2974" s="4" t="n"/>
    </row>
    <row r="2975" ht="24" customHeight="1">
      <c r="A2975" s="2">
        <f>+D2975-S2975</f>
        <v/>
      </c>
      <c r="B2975" s="80" t="n">
        <v>4567</v>
      </c>
      <c r="C2975" s="66" t="n">
        <v>45994</v>
      </c>
      <c r="D2975" s="2" t="n">
        <v>1</v>
      </c>
      <c r="E2975" s="3" t="inlineStr">
        <is>
          <t>FUCILE MONOCANNA</t>
        </is>
      </c>
      <c r="F2975" s="3" t="inlineStr">
        <is>
          <t>22LR</t>
        </is>
      </c>
      <c r="G2975" s="3" t="inlineStr">
        <is>
          <t>CHIAPPA</t>
        </is>
      </c>
      <c r="H2975" s="65" t="inlineStr">
        <is>
          <t>LITTLE BADGER ADAMANTIUM</t>
        </is>
      </c>
      <c r="I2975" s="65" t="inlineStr">
        <is>
          <t>CFIT25R13899</t>
        </is>
      </c>
      <c r="J2975" s="65" t="inlineStr">
        <is>
          <t>N/D</t>
        </is>
      </c>
      <c r="K2975" s="65" t="inlineStr">
        <is>
          <t>N/D</t>
        </is>
      </c>
      <c r="L2975" s="127" t="inlineStr">
        <is>
          <t>CHIAPPA FIREARMS SRL</t>
        </is>
      </c>
      <c r="M2975" s="5" t="n">
        <v>147</v>
      </c>
      <c r="N2975" s="5" t="n"/>
      <c r="O2975" s="5">
        <f>+M2975+N2975</f>
        <v/>
      </c>
      <c r="P2975" s="4" t="n">
        <v>45989</v>
      </c>
      <c r="Q2975" s="87" t="n">
        <v>45989</v>
      </c>
      <c r="R2975" s="5" t="n"/>
      <c r="S2975" s="2" t="n"/>
      <c r="T2975" s="3" t="n"/>
      <c r="U2975" s="87" t="n"/>
      <c r="V2975" s="3" t="n"/>
      <c r="W2975" s="108" t="n"/>
      <c r="X2975" s="4" t="n"/>
    </row>
    <row r="2976" ht="24" customHeight="1">
      <c r="A2976" s="2">
        <f>+D2976-S2976</f>
        <v/>
      </c>
      <c r="B2976" s="80" t="n">
        <v>4568</v>
      </c>
      <c r="C2976" s="66" t="n">
        <v>45994</v>
      </c>
      <c r="D2976" s="2" t="n">
        <v>1</v>
      </c>
      <c r="E2976" s="3" t="inlineStr">
        <is>
          <t>FUCILE MONOCANNA</t>
        </is>
      </c>
      <c r="F2976" s="3" t="inlineStr">
        <is>
          <t>22LR</t>
        </is>
      </c>
      <c r="G2976" s="3" t="inlineStr">
        <is>
          <t>CHIAPPA</t>
        </is>
      </c>
      <c r="H2976" s="65" t="inlineStr">
        <is>
          <t>LITTLE BADGER ADAMANTIUM</t>
        </is>
      </c>
      <c r="I2976" s="65" t="inlineStr">
        <is>
          <t>CFIT25R13900</t>
        </is>
      </c>
      <c r="J2976" s="65" t="inlineStr">
        <is>
          <t>N/D</t>
        </is>
      </c>
      <c r="K2976" s="65" t="inlineStr">
        <is>
          <t>N/D</t>
        </is>
      </c>
      <c r="L2976" s="127" t="inlineStr">
        <is>
          <t>CHIAPPA FIREARMS SRL</t>
        </is>
      </c>
      <c r="M2976" s="5" t="n">
        <v>147</v>
      </c>
      <c r="N2976" s="5" t="n"/>
      <c r="O2976" s="5">
        <f>+M2976+N2976</f>
        <v/>
      </c>
      <c r="P2976" s="4" t="n">
        <v>45989</v>
      </c>
      <c r="Q2976" s="87" t="n">
        <v>45989</v>
      </c>
      <c r="R2976" s="5" t="n"/>
      <c r="S2976" s="2" t="n"/>
      <c r="T2976" s="3" t="n"/>
      <c r="U2976" s="87" t="n"/>
      <c r="V2976" s="3" t="n"/>
      <c r="W2976" s="108" t="n"/>
      <c r="X2976" s="4" t="n"/>
    </row>
    <row r="2977" ht="24" customHeight="1">
      <c r="A2977" s="2">
        <f>+D2977-S2977</f>
        <v/>
      </c>
      <c r="B2977" s="80" t="n">
        <v>4569</v>
      </c>
      <c r="C2977" s="66" t="n">
        <v>45994</v>
      </c>
      <c r="D2977" s="2" t="n">
        <v>1</v>
      </c>
      <c r="E2977" s="3" t="inlineStr">
        <is>
          <t>FUCILE MONOCANNA</t>
        </is>
      </c>
      <c r="F2977" s="3" t="inlineStr">
        <is>
          <t>22LR</t>
        </is>
      </c>
      <c r="G2977" s="3" t="inlineStr">
        <is>
          <t>CHIAPPA</t>
        </is>
      </c>
      <c r="H2977" s="65" t="inlineStr">
        <is>
          <t>LITTLE BADGER ADAMANTIUM</t>
        </is>
      </c>
      <c r="I2977" s="65" t="inlineStr">
        <is>
          <t>CFIT25R13901</t>
        </is>
      </c>
      <c r="J2977" s="65" t="inlineStr">
        <is>
          <t>N/D</t>
        </is>
      </c>
      <c r="K2977" s="65" t="inlineStr">
        <is>
          <t>N/D</t>
        </is>
      </c>
      <c r="L2977" s="127" t="inlineStr">
        <is>
          <t>CHIAPPA FIREARMS SRL</t>
        </is>
      </c>
      <c r="M2977" s="5" t="n">
        <v>147</v>
      </c>
      <c r="N2977" s="5" t="n"/>
      <c r="O2977" s="5">
        <f>+M2977+N2977</f>
        <v/>
      </c>
      <c r="P2977" s="4" t="n">
        <v>45989</v>
      </c>
      <c r="Q2977" s="87" t="n">
        <v>45989</v>
      </c>
      <c r="R2977" s="5" t="n"/>
      <c r="S2977" s="2" t="n"/>
      <c r="T2977" s="3" t="n"/>
      <c r="U2977" s="87" t="n"/>
      <c r="V2977" s="3" t="n"/>
      <c r="W2977" s="108" t="n"/>
      <c r="X2977" s="4" t="n"/>
    </row>
    <row r="2978" ht="24" customHeight="1">
      <c r="A2978" s="2">
        <f>+D2978-S2978</f>
        <v/>
      </c>
      <c r="B2978" s="80" t="n">
        <v>4570</v>
      </c>
      <c r="C2978" s="66" t="n">
        <v>45994</v>
      </c>
      <c r="D2978" s="2" t="n">
        <v>1</v>
      </c>
      <c r="E2978" s="3" t="inlineStr">
        <is>
          <t>FUCILE MONOCANNA</t>
        </is>
      </c>
      <c r="F2978" s="3" t="inlineStr">
        <is>
          <t>22LR</t>
        </is>
      </c>
      <c r="G2978" s="3" t="inlineStr">
        <is>
          <t>CHIAPPA</t>
        </is>
      </c>
      <c r="H2978" s="65" t="inlineStr">
        <is>
          <t>LITTLE BADGER ADAMANTIUM</t>
        </is>
      </c>
      <c r="I2978" s="65" t="inlineStr">
        <is>
          <t>CFIT25R13902</t>
        </is>
      </c>
      <c r="J2978" s="65" t="inlineStr">
        <is>
          <t>N/D</t>
        </is>
      </c>
      <c r="K2978" s="65" t="inlineStr">
        <is>
          <t>N/D</t>
        </is>
      </c>
      <c r="L2978" s="127" t="inlineStr">
        <is>
          <t>CHIAPPA FIREARMS SRL</t>
        </is>
      </c>
      <c r="M2978" s="5" t="n">
        <v>147</v>
      </c>
      <c r="N2978" s="5" t="n"/>
      <c r="O2978" s="5">
        <f>+M2978+N2978</f>
        <v/>
      </c>
      <c r="P2978" s="4" t="n">
        <v>45989</v>
      </c>
      <c r="Q2978" s="87" t="n">
        <v>45989</v>
      </c>
      <c r="R2978" s="5" t="n"/>
      <c r="S2978" s="2" t="n"/>
      <c r="T2978" s="3" t="n"/>
      <c r="U2978" s="87" t="n"/>
      <c r="V2978" s="3" t="n"/>
      <c r="W2978" s="108" t="n"/>
      <c r="X2978" s="4" t="n"/>
    </row>
    <row r="2979" ht="24" customHeight="1">
      <c r="A2979" s="2">
        <f>+D2979-S2979</f>
        <v/>
      </c>
      <c r="B2979" s="80" t="n">
        <v>4571</v>
      </c>
      <c r="C2979" s="66" t="n">
        <v>45994</v>
      </c>
      <c r="D2979" s="2" t="n">
        <v>1</v>
      </c>
      <c r="E2979" s="3" t="inlineStr">
        <is>
          <t>FUCILE MONOCANNA</t>
        </is>
      </c>
      <c r="F2979" s="3" t="inlineStr">
        <is>
          <t>22LR</t>
        </is>
      </c>
      <c r="G2979" s="3" t="inlineStr">
        <is>
          <t>CHIAPPA</t>
        </is>
      </c>
      <c r="H2979" s="65" t="inlineStr">
        <is>
          <t>LITTLE BADGER ADAMANTIUM</t>
        </is>
      </c>
      <c r="I2979" s="65" t="inlineStr">
        <is>
          <t>CFIT25R13903</t>
        </is>
      </c>
      <c r="J2979" s="65" t="inlineStr">
        <is>
          <t>N/D</t>
        </is>
      </c>
      <c r="K2979" s="65" t="inlineStr">
        <is>
          <t>N/D</t>
        </is>
      </c>
      <c r="L2979" s="127" t="inlineStr">
        <is>
          <t>CHIAPPA FIREARMS SRL</t>
        </is>
      </c>
      <c r="M2979" s="5" t="n">
        <v>147</v>
      </c>
      <c r="N2979" s="5" t="n"/>
      <c r="O2979" s="5">
        <f>+M2979+N2979</f>
        <v/>
      </c>
      <c r="P2979" s="4" t="n">
        <v>45989</v>
      </c>
      <c r="Q2979" s="87" t="n">
        <v>45989</v>
      </c>
      <c r="R2979" s="5" t="n"/>
      <c r="S2979" s="2" t="n"/>
      <c r="T2979" s="3" t="n"/>
      <c r="U2979" s="87" t="n"/>
      <c r="V2979" s="3" t="n"/>
      <c r="W2979" s="108" t="n"/>
      <c r="X2979" s="4" t="n"/>
    </row>
    <row r="2980" ht="24" customHeight="1">
      <c r="A2980" s="2">
        <f>+D2980-S2980</f>
        <v/>
      </c>
      <c r="B2980" s="80" t="n">
        <v>4572</v>
      </c>
      <c r="C2980" s="66" t="n">
        <v>45994</v>
      </c>
      <c r="D2980" s="2" t="n">
        <v>1</v>
      </c>
      <c r="E2980" s="3" t="inlineStr">
        <is>
          <t>FUCILE MONOCANNA</t>
        </is>
      </c>
      <c r="F2980" s="3" t="inlineStr">
        <is>
          <t>22LR</t>
        </is>
      </c>
      <c r="G2980" s="3" t="inlineStr">
        <is>
          <t>CHIAPPA</t>
        </is>
      </c>
      <c r="H2980" s="65" t="inlineStr">
        <is>
          <t>LITTLE BADGER ADAMANTIUM</t>
        </is>
      </c>
      <c r="I2980" s="65" t="inlineStr">
        <is>
          <t>CFIT25R13904</t>
        </is>
      </c>
      <c r="J2980" s="65" t="inlineStr">
        <is>
          <t>N/D</t>
        </is>
      </c>
      <c r="K2980" s="65" t="inlineStr">
        <is>
          <t>N/D</t>
        </is>
      </c>
      <c r="L2980" s="127" t="inlineStr">
        <is>
          <t>CHIAPPA FIREARMS SRL</t>
        </is>
      </c>
      <c r="M2980" s="5" t="n">
        <v>147</v>
      </c>
      <c r="N2980" s="5" t="n"/>
      <c r="O2980" s="5">
        <f>+M2980+N2980</f>
        <v/>
      </c>
      <c r="P2980" s="4" t="n">
        <v>45989</v>
      </c>
      <c r="Q2980" s="87" t="n">
        <v>45989</v>
      </c>
      <c r="R2980" s="5" t="n"/>
      <c r="S2980" s="2" t="n"/>
      <c r="T2980" s="3" t="n"/>
      <c r="U2980" s="87" t="n"/>
      <c r="V2980" s="3" t="n"/>
      <c r="W2980" s="108" t="n"/>
      <c r="X2980" s="4" t="n"/>
    </row>
    <row r="2981" ht="24" customHeight="1">
      <c r="A2981" s="2">
        <f>+D2981-S2981</f>
        <v/>
      </c>
      <c r="B2981" s="80" t="n">
        <v>4573</v>
      </c>
      <c r="C2981" s="66" t="n">
        <v>45994</v>
      </c>
      <c r="D2981" s="2" t="n">
        <v>1</v>
      </c>
      <c r="E2981" s="3" t="inlineStr">
        <is>
          <t>FUCILE MONOCANNA</t>
        </is>
      </c>
      <c r="F2981" s="3" t="inlineStr">
        <is>
          <t>22LR</t>
        </is>
      </c>
      <c r="G2981" s="3" t="inlineStr">
        <is>
          <t>CHIAPPA</t>
        </is>
      </c>
      <c r="H2981" s="65" t="inlineStr">
        <is>
          <t>LITTLE BADGER ADAMANTIUM</t>
        </is>
      </c>
      <c r="I2981" s="65" t="inlineStr">
        <is>
          <t>CFIT25R13905</t>
        </is>
      </c>
      <c r="J2981" s="65" t="inlineStr">
        <is>
          <t>N/D</t>
        </is>
      </c>
      <c r="K2981" s="65" t="inlineStr">
        <is>
          <t>N/D</t>
        </is>
      </c>
      <c r="L2981" s="127" t="inlineStr">
        <is>
          <t>CHIAPPA FIREARMS SRL</t>
        </is>
      </c>
      <c r="M2981" s="5" t="n">
        <v>147</v>
      </c>
      <c r="N2981" s="5" t="n"/>
      <c r="O2981" s="5">
        <f>+M2981+N2981</f>
        <v/>
      </c>
      <c r="P2981" s="4" t="n">
        <v>45989</v>
      </c>
      <c r="Q2981" s="87" t="n">
        <v>45989</v>
      </c>
      <c r="R2981" s="5" t="n"/>
      <c r="S2981" s="2" t="n"/>
      <c r="T2981" s="3" t="n"/>
      <c r="U2981" s="87" t="n"/>
      <c r="V2981" s="3" t="n"/>
      <c r="W2981" s="108" t="n"/>
      <c r="X2981" s="4" t="n"/>
    </row>
    <row r="2982" ht="24" customHeight="1">
      <c r="A2982" s="2">
        <f>+D2982-S2982</f>
        <v/>
      </c>
      <c r="B2982" s="80" t="n">
        <v>4574</v>
      </c>
      <c r="C2982" s="66" t="n">
        <v>45994</v>
      </c>
      <c r="D2982" s="2" t="n">
        <v>1</v>
      </c>
      <c r="E2982" s="3" t="inlineStr">
        <is>
          <t>FUCILE MONOCANNA</t>
        </is>
      </c>
      <c r="F2982" s="3" t="inlineStr">
        <is>
          <t>22LR</t>
        </is>
      </c>
      <c r="G2982" s="3" t="inlineStr">
        <is>
          <t>CHIAPPA</t>
        </is>
      </c>
      <c r="H2982" s="65" t="inlineStr">
        <is>
          <t>LITTLE BADGER ADAMANTIUM</t>
        </is>
      </c>
      <c r="I2982" s="65" t="inlineStr">
        <is>
          <t>CFIT25R13906</t>
        </is>
      </c>
      <c r="J2982" s="65" t="inlineStr">
        <is>
          <t>N/D</t>
        </is>
      </c>
      <c r="K2982" s="65" t="inlineStr">
        <is>
          <t>N/D</t>
        </is>
      </c>
      <c r="L2982" s="127" t="inlineStr">
        <is>
          <t>CHIAPPA FIREARMS SRL</t>
        </is>
      </c>
      <c r="M2982" s="5" t="n">
        <v>147</v>
      </c>
      <c r="N2982" s="5" t="n"/>
      <c r="O2982" s="5">
        <f>+M2982+N2982</f>
        <v/>
      </c>
      <c r="P2982" s="4" t="n">
        <v>45989</v>
      </c>
      <c r="Q2982" s="87" t="n">
        <v>45989</v>
      </c>
      <c r="R2982" s="5" t="n"/>
      <c r="S2982" s="2" t="n"/>
      <c r="T2982" s="3" t="n"/>
      <c r="U2982" s="87" t="n"/>
      <c r="V2982" s="3" t="n"/>
      <c r="W2982" s="108" t="n"/>
      <c r="X2982" s="4" t="n"/>
    </row>
    <row r="2983" ht="24" customHeight="1">
      <c r="A2983" s="2">
        <f>+D2983-S2983</f>
        <v/>
      </c>
      <c r="B2983" s="80" t="n">
        <v>4575</v>
      </c>
      <c r="C2983" s="66" t="n">
        <v>45994</v>
      </c>
      <c r="D2983" s="2" t="n">
        <v>1</v>
      </c>
      <c r="E2983" s="3" t="inlineStr">
        <is>
          <t>FUCILE MONOCANNA</t>
        </is>
      </c>
      <c r="F2983" s="3" t="inlineStr">
        <is>
          <t>22LR</t>
        </is>
      </c>
      <c r="G2983" s="3" t="inlineStr">
        <is>
          <t>CHIAPPA</t>
        </is>
      </c>
      <c r="H2983" s="65" t="inlineStr">
        <is>
          <t>LITTLE BADGER ADAMANTIUM</t>
        </is>
      </c>
      <c r="I2983" s="65" t="inlineStr">
        <is>
          <t>CFIT25R13907</t>
        </is>
      </c>
      <c r="J2983" s="65" t="inlineStr">
        <is>
          <t>N/D</t>
        </is>
      </c>
      <c r="K2983" s="65" t="inlineStr">
        <is>
          <t>N/D</t>
        </is>
      </c>
      <c r="L2983" s="127" t="inlineStr">
        <is>
          <t>CHIAPPA FIREARMS SRL</t>
        </is>
      </c>
      <c r="M2983" s="5" t="n">
        <v>147</v>
      </c>
      <c r="N2983" s="5" t="n"/>
      <c r="O2983" s="5">
        <f>+M2983+N2983</f>
        <v/>
      </c>
      <c r="P2983" s="4" t="n">
        <v>45989</v>
      </c>
      <c r="Q2983" s="87" t="n">
        <v>45989</v>
      </c>
      <c r="R2983" s="5" t="n"/>
      <c r="S2983" s="2" t="n"/>
      <c r="T2983" s="3" t="n"/>
      <c r="U2983" s="87" t="n"/>
      <c r="V2983" s="3" t="n"/>
      <c r="W2983" s="108" t="n"/>
      <c r="X2983" s="4" t="n"/>
    </row>
    <row r="2984" ht="24" customHeight="1">
      <c r="A2984" s="2">
        <f>+D2984-S2984</f>
        <v/>
      </c>
      <c r="B2984" s="80" t="n">
        <v>4576</v>
      </c>
      <c r="C2984" s="66" t="n">
        <v>45994</v>
      </c>
      <c r="D2984" s="2" t="n">
        <v>1</v>
      </c>
      <c r="E2984" s="3" t="inlineStr">
        <is>
          <t>FUCILE MONOCANNA</t>
        </is>
      </c>
      <c r="F2984" s="3" t="inlineStr">
        <is>
          <t>22LR</t>
        </is>
      </c>
      <c r="G2984" s="3" t="inlineStr">
        <is>
          <t>CHIAPPA</t>
        </is>
      </c>
      <c r="H2984" s="65" t="inlineStr">
        <is>
          <t>LITTLE BADGER ADAMANTIUM</t>
        </is>
      </c>
      <c r="I2984" s="65" t="inlineStr">
        <is>
          <t>CFIT25R13908</t>
        </is>
      </c>
      <c r="J2984" s="65" t="inlineStr">
        <is>
          <t>N/D</t>
        </is>
      </c>
      <c r="K2984" s="65" t="inlineStr">
        <is>
          <t>N/D</t>
        </is>
      </c>
      <c r="L2984" s="127" t="inlineStr">
        <is>
          <t>CHIAPPA FIREARMS SRL</t>
        </is>
      </c>
      <c r="M2984" s="5" t="n">
        <v>147</v>
      </c>
      <c r="N2984" s="5" t="n"/>
      <c r="O2984" s="5">
        <f>+M2984+N2984</f>
        <v/>
      </c>
      <c r="P2984" s="4" t="n">
        <v>45989</v>
      </c>
      <c r="Q2984" s="87" t="n">
        <v>45989</v>
      </c>
      <c r="R2984" s="5" t="n"/>
      <c r="S2984" s="2" t="n"/>
      <c r="T2984" s="3" t="n"/>
      <c r="U2984" s="87" t="n"/>
      <c r="V2984" s="3" t="n"/>
      <c r="W2984" s="108" t="n"/>
      <c r="X2984" s="4" t="n"/>
    </row>
    <row r="2985" ht="24" customHeight="1">
      <c r="A2985" s="2">
        <f>+D2985-S2985</f>
        <v/>
      </c>
      <c r="B2985" s="80" t="n">
        <v>4577</v>
      </c>
      <c r="C2985" s="66" t="n">
        <v>45994</v>
      </c>
      <c r="D2985" s="2" t="n">
        <v>1</v>
      </c>
      <c r="E2985" s="3" t="inlineStr">
        <is>
          <t>FUCILE MONOCANNA</t>
        </is>
      </c>
      <c r="F2985" s="3" t="inlineStr">
        <is>
          <t>22LR</t>
        </is>
      </c>
      <c r="G2985" s="3" t="inlineStr">
        <is>
          <t>CHIAPPA</t>
        </is>
      </c>
      <c r="H2985" s="65" t="inlineStr">
        <is>
          <t>LITTLE BADGER ADAMANTIUM</t>
        </is>
      </c>
      <c r="I2985" s="65" t="inlineStr">
        <is>
          <t>CFIT25R13909</t>
        </is>
      </c>
      <c r="J2985" s="65" t="inlineStr">
        <is>
          <t>N/D</t>
        </is>
      </c>
      <c r="K2985" s="65" t="inlineStr">
        <is>
          <t>N/D</t>
        </is>
      </c>
      <c r="L2985" s="127" t="inlineStr">
        <is>
          <t>CHIAPPA FIREARMS SRL</t>
        </is>
      </c>
      <c r="M2985" s="5" t="n">
        <v>147</v>
      </c>
      <c r="N2985" s="5" t="n"/>
      <c r="O2985" s="5">
        <f>+M2985+N2985</f>
        <v/>
      </c>
      <c r="P2985" s="4" t="n">
        <v>45989</v>
      </c>
      <c r="Q2985" s="87" t="n">
        <v>45989</v>
      </c>
      <c r="R2985" s="5" t="n"/>
      <c r="S2985" s="2" t="n"/>
      <c r="T2985" s="3" t="n"/>
      <c r="U2985" s="87" t="n"/>
      <c r="V2985" s="3" t="n"/>
      <c r="W2985" s="108" t="n"/>
      <c r="X2985" s="4" t="n"/>
    </row>
    <row r="2986" ht="24" customHeight="1">
      <c r="A2986" s="2">
        <f>+D2986-S2986</f>
        <v/>
      </c>
      <c r="B2986" s="80" t="n">
        <v>4578</v>
      </c>
      <c r="C2986" s="66" t="n">
        <v>45994</v>
      </c>
      <c r="D2986" s="2" t="n">
        <v>1</v>
      </c>
      <c r="E2986" s="3" t="inlineStr">
        <is>
          <t>FUCILE MONOCANNA</t>
        </is>
      </c>
      <c r="F2986" s="3" t="inlineStr">
        <is>
          <t>22LR</t>
        </is>
      </c>
      <c r="G2986" s="3" t="inlineStr">
        <is>
          <t>CHIAPPA</t>
        </is>
      </c>
      <c r="H2986" s="65" t="inlineStr">
        <is>
          <t>LITTLE BADGER ADAMANTIUM</t>
        </is>
      </c>
      <c r="I2986" s="65" t="inlineStr">
        <is>
          <t>CFIT25R13910</t>
        </is>
      </c>
      <c r="J2986" s="65" t="inlineStr">
        <is>
          <t>N/D</t>
        </is>
      </c>
      <c r="K2986" s="65" t="inlineStr">
        <is>
          <t>N/D</t>
        </is>
      </c>
      <c r="L2986" s="127" t="inlineStr">
        <is>
          <t>CHIAPPA FIREARMS SRL</t>
        </is>
      </c>
      <c r="M2986" s="5" t="n">
        <v>147</v>
      </c>
      <c r="N2986" s="5" t="n"/>
      <c r="O2986" s="5">
        <f>+M2986+N2986</f>
        <v/>
      </c>
      <c r="P2986" s="4" t="n">
        <v>45989</v>
      </c>
      <c r="Q2986" s="87" t="n">
        <v>45989</v>
      </c>
      <c r="R2986" s="5" t="n"/>
      <c r="S2986" s="2" t="n"/>
      <c r="T2986" s="3" t="n"/>
      <c r="U2986" s="87" t="n"/>
      <c r="V2986" s="3" t="n"/>
      <c r="W2986" s="108" t="n"/>
      <c r="X2986" s="4" t="n"/>
    </row>
    <row r="2987" ht="24" customHeight="1">
      <c r="A2987" s="2">
        <f>+D2987-S2987</f>
        <v/>
      </c>
      <c r="B2987" s="80" t="n">
        <v>4579</v>
      </c>
      <c r="C2987" s="66" t="n">
        <v>45994</v>
      </c>
      <c r="D2987" s="2" t="n">
        <v>1</v>
      </c>
      <c r="E2987" s="3" t="inlineStr">
        <is>
          <t>FUCILE MONOCANNA</t>
        </is>
      </c>
      <c r="F2987" s="3" t="inlineStr">
        <is>
          <t>22LR</t>
        </is>
      </c>
      <c r="G2987" s="3" t="inlineStr">
        <is>
          <t>CHIAPPA</t>
        </is>
      </c>
      <c r="H2987" s="65" t="inlineStr">
        <is>
          <t>LITTLE BADGER ADAMANTIUM</t>
        </is>
      </c>
      <c r="I2987" s="65" t="inlineStr">
        <is>
          <t>CFIT25R13911</t>
        </is>
      </c>
      <c r="J2987" s="65" t="inlineStr">
        <is>
          <t>N/D</t>
        </is>
      </c>
      <c r="K2987" s="65" t="inlineStr">
        <is>
          <t>N/D</t>
        </is>
      </c>
      <c r="L2987" s="127" t="inlineStr">
        <is>
          <t>CHIAPPA FIREARMS SRL</t>
        </is>
      </c>
      <c r="M2987" s="5" t="n">
        <v>147</v>
      </c>
      <c r="N2987" s="5" t="n"/>
      <c r="O2987" s="5">
        <f>+M2987+N2987</f>
        <v/>
      </c>
      <c r="P2987" s="4" t="n">
        <v>45989</v>
      </c>
      <c r="Q2987" s="87" t="n">
        <v>45989</v>
      </c>
      <c r="R2987" s="5" t="n"/>
      <c r="S2987" s="2" t="n"/>
      <c r="T2987" s="3" t="n"/>
      <c r="U2987" s="87" t="n"/>
      <c r="V2987" s="3" t="n"/>
      <c r="W2987" s="108" t="n"/>
      <c r="X2987" s="4" t="n"/>
    </row>
    <row r="2988" ht="24" customHeight="1">
      <c r="A2988" s="2">
        <f>+D2988-S2988</f>
        <v/>
      </c>
      <c r="B2988" s="80" t="n">
        <v>4580</v>
      </c>
      <c r="C2988" s="66" t="n">
        <v>45994</v>
      </c>
      <c r="D2988" s="2" t="n">
        <v>1</v>
      </c>
      <c r="E2988" s="3" t="inlineStr">
        <is>
          <t>FUCILE MONOCANNA</t>
        </is>
      </c>
      <c r="F2988" s="3" t="inlineStr">
        <is>
          <t>22LR</t>
        </is>
      </c>
      <c r="G2988" s="3" t="inlineStr">
        <is>
          <t>CHIAPPA</t>
        </is>
      </c>
      <c r="H2988" s="65" t="inlineStr">
        <is>
          <t>LITTLE BADGER ADAMANTIUM</t>
        </is>
      </c>
      <c r="I2988" s="65" t="inlineStr">
        <is>
          <t>CFIT25R13912</t>
        </is>
      </c>
      <c r="J2988" s="65" t="inlineStr">
        <is>
          <t>N/D</t>
        </is>
      </c>
      <c r="K2988" s="65" t="inlineStr">
        <is>
          <t>N/D</t>
        </is>
      </c>
      <c r="L2988" s="127" t="inlineStr">
        <is>
          <t>CHIAPPA FIREARMS SRL</t>
        </is>
      </c>
      <c r="M2988" s="5" t="n">
        <v>147</v>
      </c>
      <c r="N2988" s="5" t="n"/>
      <c r="O2988" s="5">
        <f>+M2988+N2988</f>
        <v/>
      </c>
      <c r="P2988" s="4" t="n">
        <v>45989</v>
      </c>
      <c r="Q2988" s="87" t="n">
        <v>45989</v>
      </c>
      <c r="R2988" s="5" t="n"/>
      <c r="S2988" s="2" t="n"/>
      <c r="T2988" s="3" t="n"/>
      <c r="U2988" s="87" t="n"/>
      <c r="V2988" s="3" t="n"/>
      <c r="W2988" s="108" t="n"/>
      <c r="X2988" s="4" t="n"/>
    </row>
    <row r="2989" ht="24" customHeight="1">
      <c r="A2989" s="2">
        <f>+D2989-S2989</f>
        <v/>
      </c>
      <c r="B2989" s="80" t="n">
        <v>4581</v>
      </c>
      <c r="C2989" s="66" t="n">
        <v>45994</v>
      </c>
      <c r="D2989" s="2" t="n">
        <v>1</v>
      </c>
      <c r="E2989" s="3" t="inlineStr">
        <is>
          <t>FUCILE MONOCANNA</t>
        </is>
      </c>
      <c r="F2989" s="3" t="inlineStr">
        <is>
          <t>22LR</t>
        </is>
      </c>
      <c r="G2989" s="3" t="inlineStr">
        <is>
          <t>CHIAPPA</t>
        </is>
      </c>
      <c r="H2989" s="65" t="inlineStr">
        <is>
          <t>LITTLE BADGER ADAMANTIUM</t>
        </is>
      </c>
      <c r="I2989" s="65" t="inlineStr">
        <is>
          <t>CFIT25R13913</t>
        </is>
      </c>
      <c r="J2989" s="65" t="inlineStr">
        <is>
          <t>N/D</t>
        </is>
      </c>
      <c r="K2989" s="65" t="inlineStr">
        <is>
          <t>N/D</t>
        </is>
      </c>
      <c r="L2989" s="127" t="inlineStr">
        <is>
          <t>CHIAPPA FIREARMS SRL</t>
        </is>
      </c>
      <c r="M2989" s="5" t="n">
        <v>147</v>
      </c>
      <c r="N2989" s="5" t="n"/>
      <c r="O2989" s="5">
        <f>+M2989+N2989</f>
        <v/>
      </c>
      <c r="P2989" s="4" t="n">
        <v>45989</v>
      </c>
      <c r="Q2989" s="87" t="n">
        <v>45989</v>
      </c>
      <c r="R2989" s="5" t="n"/>
      <c r="S2989" s="2" t="n"/>
      <c r="T2989" s="3" t="n"/>
      <c r="U2989" s="87" t="n"/>
      <c r="V2989" s="3" t="n"/>
      <c r="W2989" s="108" t="n"/>
      <c r="X2989" s="4" t="n"/>
    </row>
    <row r="2990" ht="24" customHeight="1">
      <c r="A2990" s="2">
        <f>+D2990-S2990</f>
        <v/>
      </c>
      <c r="B2990" s="80" t="n">
        <v>4582</v>
      </c>
      <c r="C2990" s="66" t="n">
        <v>45994</v>
      </c>
      <c r="D2990" s="2" t="n">
        <v>1</v>
      </c>
      <c r="E2990" s="3" t="inlineStr">
        <is>
          <t>FUCILE MONOCANNA</t>
        </is>
      </c>
      <c r="F2990" s="3" t="inlineStr">
        <is>
          <t>22LR</t>
        </is>
      </c>
      <c r="G2990" s="3" t="inlineStr">
        <is>
          <t>CHIAPPA</t>
        </is>
      </c>
      <c r="H2990" s="65" t="inlineStr">
        <is>
          <t>LITTLE BADGER ADAMANTIUM</t>
        </is>
      </c>
      <c r="I2990" s="65" t="inlineStr">
        <is>
          <t>CFIT25R13914</t>
        </is>
      </c>
      <c r="J2990" s="65" t="inlineStr">
        <is>
          <t>N/D</t>
        </is>
      </c>
      <c r="K2990" s="65" t="inlineStr">
        <is>
          <t>N/D</t>
        </is>
      </c>
      <c r="L2990" s="127" t="inlineStr">
        <is>
          <t>CHIAPPA FIREARMS SRL</t>
        </is>
      </c>
      <c r="M2990" s="5" t="n">
        <v>147</v>
      </c>
      <c r="N2990" s="5" t="n"/>
      <c r="O2990" s="5">
        <f>+M2990+N2990</f>
        <v/>
      </c>
      <c r="P2990" s="4" t="n">
        <v>45989</v>
      </c>
      <c r="Q2990" s="87" t="n">
        <v>45989</v>
      </c>
      <c r="R2990" s="5" t="n"/>
      <c r="S2990" s="2" t="n"/>
      <c r="T2990" s="3" t="n"/>
      <c r="U2990" s="87" t="n"/>
      <c r="V2990" s="3" t="n"/>
      <c r="W2990" s="108" t="n"/>
      <c r="X2990" s="4" t="n"/>
    </row>
    <row r="2991" ht="24" customHeight="1">
      <c r="A2991" s="2">
        <f>+D2991-S2991</f>
        <v/>
      </c>
      <c r="B2991" s="80" t="n">
        <v>4583</v>
      </c>
      <c r="C2991" s="66" t="n">
        <v>45994</v>
      </c>
      <c r="D2991" s="2" t="n">
        <v>1</v>
      </c>
      <c r="E2991" s="3" t="inlineStr">
        <is>
          <t>FUCILE MONOCANNA</t>
        </is>
      </c>
      <c r="F2991" s="3" t="inlineStr">
        <is>
          <t>22LR</t>
        </is>
      </c>
      <c r="G2991" s="3" t="inlineStr">
        <is>
          <t>CHIAPPA</t>
        </is>
      </c>
      <c r="H2991" s="65" t="inlineStr">
        <is>
          <t>LITTLE BADGER ADAMANTIUM</t>
        </is>
      </c>
      <c r="I2991" s="65" t="inlineStr">
        <is>
          <t>CFIT25R13915</t>
        </is>
      </c>
      <c r="J2991" s="65" t="inlineStr">
        <is>
          <t>N/D</t>
        </is>
      </c>
      <c r="K2991" s="65" t="inlineStr">
        <is>
          <t>N/D</t>
        </is>
      </c>
      <c r="L2991" s="127" t="inlineStr">
        <is>
          <t>CHIAPPA FIREARMS SRL</t>
        </is>
      </c>
      <c r="M2991" s="5" t="n">
        <v>147</v>
      </c>
      <c r="N2991" s="5" t="n"/>
      <c r="O2991" s="5">
        <f>+M2991+N2991</f>
        <v/>
      </c>
      <c r="P2991" s="4" t="n">
        <v>45989</v>
      </c>
      <c r="Q2991" s="87" t="n">
        <v>45989</v>
      </c>
      <c r="R2991" s="5" t="n"/>
      <c r="S2991" s="2" t="n"/>
      <c r="T2991" s="3" t="n"/>
      <c r="U2991" s="87" t="n"/>
      <c r="V2991" s="3" t="n"/>
      <c r="W2991" s="108" t="n"/>
      <c r="X2991" s="4" t="n"/>
    </row>
    <row r="2992" ht="24" customHeight="1">
      <c r="A2992" s="2">
        <f>+D2992-S2992</f>
        <v/>
      </c>
      <c r="B2992" s="80" t="n">
        <v>4584</v>
      </c>
      <c r="C2992" s="66" t="n">
        <v>45994</v>
      </c>
      <c r="D2992" s="2" t="n">
        <v>1</v>
      </c>
      <c r="E2992" s="3" t="inlineStr">
        <is>
          <t>FUCILE MONOCANNA</t>
        </is>
      </c>
      <c r="F2992" s="3" t="inlineStr">
        <is>
          <t>22LR</t>
        </is>
      </c>
      <c r="G2992" s="3" t="inlineStr">
        <is>
          <t>CHIAPPA</t>
        </is>
      </c>
      <c r="H2992" s="65" t="inlineStr">
        <is>
          <t>LITTLE BADGER ADAMANTIUM</t>
        </is>
      </c>
      <c r="I2992" s="65" t="inlineStr">
        <is>
          <t>CFIT25R13916</t>
        </is>
      </c>
      <c r="J2992" s="65" t="inlineStr">
        <is>
          <t>N/D</t>
        </is>
      </c>
      <c r="K2992" s="65" t="inlineStr">
        <is>
          <t>N/D</t>
        </is>
      </c>
      <c r="L2992" s="127" t="inlineStr">
        <is>
          <t>CHIAPPA FIREARMS SRL</t>
        </is>
      </c>
      <c r="M2992" s="5" t="n">
        <v>147</v>
      </c>
      <c r="N2992" s="5" t="n"/>
      <c r="O2992" s="5">
        <f>+M2992+N2992</f>
        <v/>
      </c>
      <c r="P2992" s="4" t="n">
        <v>45989</v>
      </c>
      <c r="Q2992" s="87" t="n">
        <v>45989</v>
      </c>
      <c r="R2992" s="5" t="n"/>
      <c r="S2992" s="2" t="n"/>
      <c r="T2992" s="3" t="n"/>
      <c r="U2992" s="87" t="n"/>
      <c r="V2992" s="3" t="n"/>
      <c r="W2992" s="108" t="n"/>
      <c r="X2992" s="4" t="n"/>
    </row>
    <row r="2993" ht="24" customHeight="1">
      <c r="A2993" s="2">
        <f>+D2993-S2993</f>
        <v/>
      </c>
      <c r="B2993" s="80" t="n">
        <v>4585</v>
      </c>
      <c r="C2993" s="66" t="n">
        <v>45994</v>
      </c>
      <c r="D2993" s="2" t="n">
        <v>1</v>
      </c>
      <c r="E2993" s="3" t="inlineStr">
        <is>
          <t>FUCILE MONOCANNA</t>
        </is>
      </c>
      <c r="F2993" s="3" t="inlineStr">
        <is>
          <t>22LR</t>
        </is>
      </c>
      <c r="G2993" s="3" t="inlineStr">
        <is>
          <t>CHIAPPA</t>
        </is>
      </c>
      <c r="H2993" s="65" t="inlineStr">
        <is>
          <t>LITTLE BADGER ADAMANTIUM</t>
        </is>
      </c>
      <c r="I2993" s="65" t="inlineStr">
        <is>
          <t>CFIT25R13917</t>
        </is>
      </c>
      <c r="J2993" s="65" t="inlineStr">
        <is>
          <t>N/D</t>
        </is>
      </c>
      <c r="K2993" s="65" t="inlineStr">
        <is>
          <t>N/D</t>
        </is>
      </c>
      <c r="L2993" s="127" t="inlineStr">
        <is>
          <t>CHIAPPA FIREARMS SRL</t>
        </is>
      </c>
      <c r="M2993" s="5" t="n">
        <v>147</v>
      </c>
      <c r="N2993" s="5" t="n"/>
      <c r="O2993" s="5">
        <f>+M2993+N2993</f>
        <v/>
      </c>
      <c r="P2993" s="4" t="n">
        <v>45989</v>
      </c>
      <c r="Q2993" s="87" t="n">
        <v>45989</v>
      </c>
      <c r="R2993" s="5" t="n"/>
      <c r="S2993" s="2" t="n"/>
      <c r="T2993" s="3" t="n"/>
      <c r="U2993" s="87" t="n"/>
      <c r="V2993" s="3" t="n"/>
      <c r="W2993" s="108" t="n"/>
      <c r="X2993" s="4" t="n"/>
    </row>
    <row r="2994" ht="24" customHeight="1">
      <c r="A2994" s="2">
        <f>+D2994-S2994</f>
        <v/>
      </c>
      <c r="B2994" s="80" t="n">
        <v>4586</v>
      </c>
      <c r="C2994" s="66" t="n">
        <v>45994</v>
      </c>
      <c r="D2994" s="2" t="n">
        <v>1</v>
      </c>
      <c r="E2994" s="3" t="inlineStr">
        <is>
          <t>FUCILE MONOCANNA</t>
        </is>
      </c>
      <c r="F2994" s="3" t="inlineStr">
        <is>
          <t>22LR</t>
        </is>
      </c>
      <c r="G2994" s="3" t="inlineStr">
        <is>
          <t>CHIAPPA</t>
        </is>
      </c>
      <c r="H2994" s="65" t="inlineStr">
        <is>
          <t>LITTLE BADGER ADAMANTIUM</t>
        </is>
      </c>
      <c r="I2994" s="65" t="inlineStr">
        <is>
          <t>CFIT25R13918</t>
        </is>
      </c>
      <c r="J2994" s="65" t="inlineStr">
        <is>
          <t>N/D</t>
        </is>
      </c>
      <c r="K2994" s="65" t="inlineStr">
        <is>
          <t>N/D</t>
        </is>
      </c>
      <c r="L2994" s="127" t="inlineStr">
        <is>
          <t>CHIAPPA FIREARMS SRL</t>
        </is>
      </c>
      <c r="M2994" s="5" t="n">
        <v>147</v>
      </c>
      <c r="N2994" s="5" t="n"/>
      <c r="O2994" s="5">
        <f>+M2994+N2994</f>
        <v/>
      </c>
      <c r="P2994" s="4" t="n">
        <v>45989</v>
      </c>
      <c r="Q2994" s="87" t="n">
        <v>45989</v>
      </c>
      <c r="R2994" s="5" t="n"/>
      <c r="S2994" s="2" t="n"/>
      <c r="T2994" s="3" t="n"/>
      <c r="U2994" s="87" t="n"/>
      <c r="V2994" s="3" t="n"/>
      <c r="W2994" s="108" t="n"/>
      <c r="X2994" s="4" t="n"/>
    </row>
    <row r="2995" ht="24" customHeight="1">
      <c r="A2995" s="2">
        <f>+D2995-S2995</f>
        <v/>
      </c>
      <c r="B2995" s="80" t="n">
        <v>4587</v>
      </c>
      <c r="C2995" s="66" t="n">
        <v>45994</v>
      </c>
      <c r="D2995" s="2" t="n">
        <v>1</v>
      </c>
      <c r="E2995" s="3" t="inlineStr">
        <is>
          <t>FUCILE MONOCANNA</t>
        </is>
      </c>
      <c r="F2995" s="3" t="inlineStr">
        <is>
          <t>22LR</t>
        </is>
      </c>
      <c r="G2995" s="3" t="inlineStr">
        <is>
          <t>CHIAPPA</t>
        </is>
      </c>
      <c r="H2995" s="65" t="inlineStr">
        <is>
          <t>LITTLE BADGER ADAMANTIUM</t>
        </is>
      </c>
      <c r="I2995" s="65" t="inlineStr">
        <is>
          <t>CFIT25R13919</t>
        </is>
      </c>
      <c r="J2995" s="65" t="inlineStr">
        <is>
          <t>N/D</t>
        </is>
      </c>
      <c r="K2995" s="65" t="inlineStr">
        <is>
          <t>N/D</t>
        </is>
      </c>
      <c r="L2995" s="127" t="inlineStr">
        <is>
          <t>CHIAPPA FIREARMS SRL</t>
        </is>
      </c>
      <c r="M2995" s="5" t="n">
        <v>147</v>
      </c>
      <c r="N2995" s="5" t="n"/>
      <c r="O2995" s="5">
        <f>+M2995+N2995</f>
        <v/>
      </c>
      <c r="P2995" s="4" t="n">
        <v>45989</v>
      </c>
      <c r="Q2995" s="87" t="n">
        <v>45989</v>
      </c>
      <c r="R2995" s="5" t="n"/>
      <c r="S2995" s="2" t="n"/>
      <c r="T2995" s="3" t="n"/>
      <c r="U2995" s="87" t="n"/>
      <c r="V2995" s="3" t="n"/>
      <c r="W2995" s="108" t="n"/>
      <c r="X2995" s="4" t="n"/>
    </row>
    <row r="2996" ht="24" customHeight="1">
      <c r="A2996" s="2">
        <f>+D2996-S2996</f>
        <v/>
      </c>
      <c r="B2996" s="80" t="n">
        <v>4588</v>
      </c>
      <c r="C2996" s="66" t="n">
        <v>45994</v>
      </c>
      <c r="D2996" s="2" t="n">
        <v>1</v>
      </c>
      <c r="E2996" s="3" t="inlineStr">
        <is>
          <t>FUCILE MONOCANNA</t>
        </is>
      </c>
      <c r="F2996" s="3" t="inlineStr">
        <is>
          <t>22LR</t>
        </is>
      </c>
      <c r="G2996" s="3" t="inlineStr">
        <is>
          <t>CHIAPPA</t>
        </is>
      </c>
      <c r="H2996" s="65" t="inlineStr">
        <is>
          <t>LITTLE BADGER ADAMANTIUM</t>
        </is>
      </c>
      <c r="I2996" s="65" t="inlineStr">
        <is>
          <t>CFIT25R13920</t>
        </is>
      </c>
      <c r="J2996" s="65" t="inlineStr">
        <is>
          <t>N/D</t>
        </is>
      </c>
      <c r="K2996" s="65" t="inlineStr">
        <is>
          <t>N/D</t>
        </is>
      </c>
      <c r="L2996" s="127" t="inlineStr">
        <is>
          <t>CHIAPPA FIREARMS SRL</t>
        </is>
      </c>
      <c r="M2996" s="5" t="n">
        <v>147</v>
      </c>
      <c r="N2996" s="5" t="n"/>
      <c r="O2996" s="5">
        <f>+M2996+N2996</f>
        <v/>
      </c>
      <c r="P2996" s="4" t="n">
        <v>45989</v>
      </c>
      <c r="Q2996" s="87" t="n">
        <v>45989</v>
      </c>
      <c r="R2996" s="5" t="n"/>
      <c r="S2996" s="2" t="n"/>
      <c r="T2996" s="3" t="n"/>
      <c r="U2996" s="87" t="n"/>
      <c r="V2996" s="3" t="n"/>
      <c r="W2996" s="108" t="n"/>
      <c r="X2996" s="4" t="n"/>
    </row>
    <row r="2997" ht="24" customHeight="1">
      <c r="A2997" s="2">
        <f>+D2997-S2997</f>
        <v/>
      </c>
      <c r="B2997" s="80" t="n">
        <v>4589</v>
      </c>
      <c r="C2997" s="66" t="n">
        <v>45994</v>
      </c>
      <c r="D2997" s="2" t="n">
        <v>1</v>
      </c>
      <c r="E2997" s="3" t="inlineStr">
        <is>
          <t>FUCILE MONOCANNA</t>
        </is>
      </c>
      <c r="F2997" s="3" t="inlineStr">
        <is>
          <t>22LR</t>
        </is>
      </c>
      <c r="G2997" s="3" t="inlineStr">
        <is>
          <t>CHIAPPA</t>
        </is>
      </c>
      <c r="H2997" s="65" t="inlineStr">
        <is>
          <t>LITTLE BADGER ADAMANTIUM</t>
        </is>
      </c>
      <c r="I2997" s="65" t="inlineStr">
        <is>
          <t>CFIT25R13921</t>
        </is>
      </c>
      <c r="J2997" s="65" t="inlineStr">
        <is>
          <t>N/D</t>
        </is>
      </c>
      <c r="K2997" s="65" t="inlineStr">
        <is>
          <t>N/D</t>
        </is>
      </c>
      <c r="L2997" s="127" t="inlineStr">
        <is>
          <t>CHIAPPA FIREARMS SRL</t>
        </is>
      </c>
      <c r="M2997" s="5" t="n">
        <v>147</v>
      </c>
      <c r="N2997" s="5" t="n"/>
      <c r="O2997" s="5">
        <f>+M2997+N2997</f>
        <v/>
      </c>
      <c r="P2997" s="4" t="n">
        <v>45989</v>
      </c>
      <c r="Q2997" s="87" t="n">
        <v>45989</v>
      </c>
      <c r="R2997" s="5" t="n"/>
      <c r="S2997" s="2" t="n"/>
      <c r="T2997" s="3" t="n"/>
      <c r="U2997" s="87" t="n"/>
      <c r="V2997" s="3" t="n"/>
      <c r="W2997" s="108" t="n"/>
      <c r="X2997" s="4" t="n"/>
    </row>
    <row r="2998" ht="24" customHeight="1">
      <c r="A2998" s="2">
        <f>+D2998-S2998</f>
        <v/>
      </c>
      <c r="B2998" s="80" t="n">
        <v>4590</v>
      </c>
      <c r="C2998" s="66" t="n">
        <v>45994</v>
      </c>
      <c r="D2998" s="2" t="n">
        <v>1</v>
      </c>
      <c r="E2998" s="3" t="inlineStr">
        <is>
          <t>FUCILE MONOCANNA</t>
        </is>
      </c>
      <c r="F2998" s="3" t="inlineStr">
        <is>
          <t>22LR</t>
        </is>
      </c>
      <c r="G2998" s="3" t="inlineStr">
        <is>
          <t>CHIAPPA</t>
        </is>
      </c>
      <c r="H2998" s="65" t="inlineStr">
        <is>
          <t>LITTLE BADGER ADAMANTIUM</t>
        </is>
      </c>
      <c r="I2998" s="65" t="inlineStr">
        <is>
          <t>CFIT25R13922</t>
        </is>
      </c>
      <c r="J2998" s="65" t="inlineStr">
        <is>
          <t>N/D</t>
        </is>
      </c>
      <c r="K2998" s="65" t="inlineStr">
        <is>
          <t>N/D</t>
        </is>
      </c>
      <c r="L2998" s="127" t="inlineStr">
        <is>
          <t>CHIAPPA FIREARMS SRL</t>
        </is>
      </c>
      <c r="M2998" s="5" t="n">
        <v>147</v>
      </c>
      <c r="N2998" s="5" t="n"/>
      <c r="O2998" s="5">
        <f>+M2998+N2998</f>
        <v/>
      </c>
      <c r="P2998" s="4" t="n">
        <v>45989</v>
      </c>
      <c r="Q2998" s="87" t="n">
        <v>45989</v>
      </c>
      <c r="R2998" s="5" t="n"/>
      <c r="S2998" s="2" t="n"/>
      <c r="T2998" s="3" t="n"/>
      <c r="U2998" s="87" t="n"/>
      <c r="V2998" s="3" t="n"/>
      <c r="W2998" s="108" t="n"/>
      <c r="X2998" s="4" t="n"/>
    </row>
    <row r="2999" ht="24" customHeight="1">
      <c r="A2999" s="2">
        <f>+D2999-S2999</f>
        <v/>
      </c>
      <c r="B2999" s="80" t="n">
        <v>4591</v>
      </c>
      <c r="C2999" s="66" t="n">
        <v>45994</v>
      </c>
      <c r="D2999" s="2" t="n">
        <v>1</v>
      </c>
      <c r="E2999" s="3" t="inlineStr">
        <is>
          <t>FUCILE MONOCANNA</t>
        </is>
      </c>
      <c r="F2999" s="3" t="inlineStr">
        <is>
          <t>22LR</t>
        </is>
      </c>
      <c r="G2999" s="3" t="inlineStr">
        <is>
          <t>CHIAPPA</t>
        </is>
      </c>
      <c r="H2999" s="65" t="inlineStr">
        <is>
          <t>LITTLE BADGER TDX ADAMANTIUM</t>
        </is>
      </c>
      <c r="I2999" s="65" t="inlineStr">
        <is>
          <t>CFIT25R14173</t>
        </is>
      </c>
      <c r="J2999" s="65" t="inlineStr">
        <is>
          <t>N/D</t>
        </is>
      </c>
      <c r="K2999" s="65" t="inlineStr">
        <is>
          <t>N/D</t>
        </is>
      </c>
      <c r="L2999" s="127" t="inlineStr">
        <is>
          <t>CHIAPPA FIREARMS SRL</t>
        </is>
      </c>
      <c r="M2999" s="5" t="n">
        <v>175.5</v>
      </c>
      <c r="N2999" s="5" t="n"/>
      <c r="O2999" s="5">
        <f>+M2999+N2999</f>
        <v/>
      </c>
      <c r="P2999" s="4" t="n">
        <v>45989</v>
      </c>
      <c r="Q2999" s="87" t="n">
        <v>45989</v>
      </c>
      <c r="R2999" s="5" t="n"/>
      <c r="S2999" s="2" t="n"/>
      <c r="T2999" s="3" t="n"/>
      <c r="U2999" s="87" t="n"/>
      <c r="V2999" s="3" t="n"/>
      <c r="W2999" s="108" t="n"/>
      <c r="X2999" s="4" t="n"/>
    </row>
    <row r="3000" ht="24" customHeight="1">
      <c r="A3000" s="2">
        <f>+D3000-S3000</f>
        <v/>
      </c>
      <c r="B3000" s="80" t="n">
        <v>4592</v>
      </c>
      <c r="C3000" s="66" t="n">
        <v>45994</v>
      </c>
      <c r="D3000" s="2" t="n">
        <v>1</v>
      </c>
      <c r="E3000" s="3" t="inlineStr">
        <is>
          <t>FUCILE MONOCANNA</t>
        </is>
      </c>
      <c r="F3000" s="3" t="inlineStr">
        <is>
          <t>22LR</t>
        </is>
      </c>
      <c r="G3000" s="3" t="inlineStr">
        <is>
          <t>CHIAPPA</t>
        </is>
      </c>
      <c r="H3000" s="65" t="inlineStr">
        <is>
          <t>LITTLE BADGER TDX ADAMANTIUM</t>
        </is>
      </c>
      <c r="I3000" s="65" t="inlineStr">
        <is>
          <t>CFIT25R14174</t>
        </is>
      </c>
      <c r="J3000" s="65" t="inlineStr">
        <is>
          <t>N/D</t>
        </is>
      </c>
      <c r="K3000" s="65" t="inlineStr">
        <is>
          <t>N/D</t>
        </is>
      </c>
      <c r="L3000" s="127" t="inlineStr">
        <is>
          <t>CHIAPPA FIREARMS SRL</t>
        </is>
      </c>
      <c r="M3000" s="5" t="n">
        <v>175.5</v>
      </c>
      <c r="N3000" s="5" t="n"/>
      <c r="O3000" s="5">
        <f>+M3000+N3000</f>
        <v/>
      </c>
      <c r="P3000" s="4" t="n">
        <v>45989</v>
      </c>
      <c r="Q3000" s="87" t="n">
        <v>45989</v>
      </c>
      <c r="R3000" s="5" t="n"/>
      <c r="S3000" s="2" t="n"/>
      <c r="T3000" s="3" t="n"/>
      <c r="U3000" s="87" t="n"/>
      <c r="V3000" s="3" t="n"/>
      <c r="W3000" s="108" t="n"/>
      <c r="X3000" s="4" t="n"/>
    </row>
    <row r="3001" ht="24" customHeight="1">
      <c r="A3001" s="2">
        <f>+D3001-S3001</f>
        <v/>
      </c>
      <c r="B3001" s="80" t="n">
        <v>4593</v>
      </c>
      <c r="C3001" s="66" t="n">
        <v>45994</v>
      </c>
      <c r="D3001" s="2" t="n">
        <v>1</v>
      </c>
      <c r="E3001" s="3" t="inlineStr">
        <is>
          <t>FUCILE MONOCANNA</t>
        </is>
      </c>
      <c r="F3001" s="3" t="inlineStr">
        <is>
          <t>22LR</t>
        </is>
      </c>
      <c r="G3001" s="3" t="inlineStr">
        <is>
          <t>CHIAPPA</t>
        </is>
      </c>
      <c r="H3001" s="65" t="inlineStr">
        <is>
          <t>LITTLE BADGER TDX ADAMANTIUM</t>
        </is>
      </c>
      <c r="I3001" s="65" t="inlineStr">
        <is>
          <t>CFIT25R14175</t>
        </is>
      </c>
      <c r="J3001" s="65" t="inlineStr">
        <is>
          <t>N/D</t>
        </is>
      </c>
      <c r="K3001" s="65" t="inlineStr">
        <is>
          <t>N/D</t>
        </is>
      </c>
      <c r="L3001" s="127" t="inlineStr">
        <is>
          <t>CHIAPPA FIREARMS SRL</t>
        </is>
      </c>
      <c r="M3001" s="5" t="n">
        <v>175.5</v>
      </c>
      <c r="N3001" s="5" t="n"/>
      <c r="O3001" s="5">
        <f>+M3001+N3001</f>
        <v/>
      </c>
      <c r="P3001" s="4" t="n">
        <v>45989</v>
      </c>
      <c r="Q3001" s="87" t="n">
        <v>45989</v>
      </c>
      <c r="R3001" s="5" t="n"/>
      <c r="S3001" s="2" t="n"/>
      <c r="T3001" s="3" t="n"/>
      <c r="U3001" s="87" t="n"/>
      <c r="V3001" s="3" t="n"/>
      <c r="W3001" s="108" t="n"/>
      <c r="X3001" s="4" t="n"/>
    </row>
    <row r="3002" ht="24" customHeight="1">
      <c r="A3002" s="2">
        <f>+D3002-S3002</f>
        <v/>
      </c>
      <c r="B3002" s="80" t="n">
        <v>4594</v>
      </c>
      <c r="C3002" s="66" t="n">
        <v>45994</v>
      </c>
      <c r="D3002" s="2" t="n">
        <v>1</v>
      </c>
      <c r="E3002" s="3" t="inlineStr">
        <is>
          <t>FUCILE MONOCANNA</t>
        </is>
      </c>
      <c r="F3002" s="3" t="inlineStr">
        <is>
          <t>22LR</t>
        </is>
      </c>
      <c r="G3002" s="3" t="inlineStr">
        <is>
          <t>CHIAPPA</t>
        </is>
      </c>
      <c r="H3002" s="65" t="inlineStr">
        <is>
          <t>LITTLE BADGER TDX ADAMANTIUM</t>
        </is>
      </c>
      <c r="I3002" s="65" t="inlineStr">
        <is>
          <t>CFIT25R14176</t>
        </is>
      </c>
      <c r="J3002" s="65" t="inlineStr">
        <is>
          <t>N/D</t>
        </is>
      </c>
      <c r="K3002" s="65" t="inlineStr">
        <is>
          <t>N/D</t>
        </is>
      </c>
      <c r="L3002" s="127" t="inlineStr">
        <is>
          <t>CHIAPPA FIREARMS SRL</t>
        </is>
      </c>
      <c r="M3002" s="5" t="n">
        <v>175.5</v>
      </c>
      <c r="N3002" s="5" t="n"/>
      <c r="O3002" s="5">
        <f>+M3002+N3002</f>
        <v/>
      </c>
      <c r="P3002" s="4" t="n">
        <v>45989</v>
      </c>
      <c r="Q3002" s="87" t="n">
        <v>45989</v>
      </c>
      <c r="R3002" s="5" t="n"/>
      <c r="S3002" s="2" t="n"/>
      <c r="T3002" s="3" t="n"/>
      <c r="U3002" s="87" t="n"/>
      <c r="V3002" s="3" t="n"/>
      <c r="W3002" s="108" t="n"/>
      <c r="X3002" s="4" t="n"/>
    </row>
    <row r="3003" ht="24" customHeight="1">
      <c r="A3003" s="2">
        <f>+D3003-S3003</f>
        <v/>
      </c>
      <c r="B3003" s="80" t="n">
        <v>4595</v>
      </c>
      <c r="C3003" s="66" t="n">
        <v>45994</v>
      </c>
      <c r="D3003" s="2" t="n">
        <v>1</v>
      </c>
      <c r="E3003" s="3" t="inlineStr">
        <is>
          <t>FUCILE MONOCANNA</t>
        </is>
      </c>
      <c r="F3003" s="3" t="inlineStr">
        <is>
          <t>22LR</t>
        </is>
      </c>
      <c r="G3003" s="3" t="inlineStr">
        <is>
          <t>CHIAPPA</t>
        </is>
      </c>
      <c r="H3003" s="65" t="inlineStr">
        <is>
          <t>LITTLE BADGER TDX ADAMANTIUM</t>
        </is>
      </c>
      <c r="I3003" s="65" t="inlineStr">
        <is>
          <t>CFIT25R14177</t>
        </is>
      </c>
      <c r="J3003" s="65" t="inlineStr">
        <is>
          <t>N/D</t>
        </is>
      </c>
      <c r="K3003" s="65" t="inlineStr">
        <is>
          <t>N/D</t>
        </is>
      </c>
      <c r="L3003" s="127" t="inlineStr">
        <is>
          <t>CHIAPPA FIREARMS SRL</t>
        </is>
      </c>
      <c r="M3003" s="5" t="n">
        <v>175.5</v>
      </c>
      <c r="N3003" s="5" t="n"/>
      <c r="O3003" s="5">
        <f>+M3003+N3003</f>
        <v/>
      </c>
      <c r="P3003" s="4" t="n">
        <v>45989</v>
      </c>
      <c r="Q3003" s="87" t="n">
        <v>45989</v>
      </c>
      <c r="R3003" s="5" t="n"/>
      <c r="S3003" s="2" t="n"/>
      <c r="T3003" s="3" t="n"/>
      <c r="U3003" s="87" t="n"/>
      <c r="V3003" s="3" t="n"/>
      <c r="W3003" s="108" t="n"/>
      <c r="X3003" s="4" t="n"/>
    </row>
    <row r="3004" ht="24" customHeight="1">
      <c r="A3004" s="2">
        <f>+D3004-S3004</f>
        <v/>
      </c>
      <c r="B3004" s="80" t="n">
        <v>4596</v>
      </c>
      <c r="C3004" s="66" t="n">
        <v>45994</v>
      </c>
      <c r="D3004" s="2" t="n">
        <v>1</v>
      </c>
      <c r="E3004" s="3" t="inlineStr">
        <is>
          <t>FUCILE MONOCANNA</t>
        </is>
      </c>
      <c r="F3004" s="3" t="inlineStr">
        <is>
          <t>22LR</t>
        </is>
      </c>
      <c r="G3004" s="3" t="inlineStr">
        <is>
          <t>CHIAPPA</t>
        </is>
      </c>
      <c r="H3004" s="65" t="inlineStr">
        <is>
          <t>LITTLE BADGER TDX ADAMANTIUM</t>
        </is>
      </c>
      <c r="I3004" s="65" t="inlineStr">
        <is>
          <t>CFIT25R14178</t>
        </is>
      </c>
      <c r="J3004" s="65" t="inlineStr">
        <is>
          <t>N/D</t>
        </is>
      </c>
      <c r="K3004" s="65" t="inlineStr">
        <is>
          <t>N/D</t>
        </is>
      </c>
      <c r="L3004" s="127" t="inlineStr">
        <is>
          <t>CHIAPPA FIREARMS SRL</t>
        </is>
      </c>
      <c r="M3004" s="5" t="n">
        <v>175.5</v>
      </c>
      <c r="N3004" s="5" t="n"/>
      <c r="O3004" s="5">
        <f>+M3004+N3004</f>
        <v/>
      </c>
      <c r="P3004" s="4" t="n">
        <v>45989</v>
      </c>
      <c r="Q3004" s="87" t="n">
        <v>45989</v>
      </c>
      <c r="R3004" s="5" t="n"/>
      <c r="S3004" s="2" t="n"/>
      <c r="T3004" s="3" t="n"/>
      <c r="U3004" s="87" t="n"/>
      <c r="V3004" s="3" t="n"/>
      <c r="W3004" s="108" t="n"/>
      <c r="X3004" s="4" t="n"/>
    </row>
    <row r="3005" ht="24" customHeight="1">
      <c r="A3005" s="2">
        <f>+D3005-S3005</f>
        <v/>
      </c>
      <c r="B3005" s="80" t="n">
        <v>4597</v>
      </c>
      <c r="C3005" s="66" t="n">
        <v>45994</v>
      </c>
      <c r="D3005" s="2" t="n">
        <v>1</v>
      </c>
      <c r="E3005" s="3" t="inlineStr">
        <is>
          <t>FUCILE MONOCANNA</t>
        </is>
      </c>
      <c r="F3005" s="3" t="inlineStr">
        <is>
          <t>22LR</t>
        </is>
      </c>
      <c r="G3005" s="3" t="inlineStr">
        <is>
          <t>CHIAPPA</t>
        </is>
      </c>
      <c r="H3005" s="65" t="inlineStr">
        <is>
          <t>LITTLE BADGER TDX ADAMANTIUM</t>
        </is>
      </c>
      <c r="I3005" s="65" t="inlineStr">
        <is>
          <t>CFIT25R14179</t>
        </is>
      </c>
      <c r="J3005" s="65" t="inlineStr">
        <is>
          <t>N/D</t>
        </is>
      </c>
      <c r="K3005" s="65" t="inlineStr">
        <is>
          <t>N/D</t>
        </is>
      </c>
      <c r="L3005" s="127" t="inlineStr">
        <is>
          <t>CHIAPPA FIREARMS SRL</t>
        </is>
      </c>
      <c r="M3005" s="5" t="n">
        <v>175.5</v>
      </c>
      <c r="N3005" s="5" t="n"/>
      <c r="O3005" s="5">
        <f>+M3005+N3005</f>
        <v/>
      </c>
      <c r="P3005" s="4" t="n">
        <v>45989</v>
      </c>
      <c r="Q3005" s="87" t="n">
        <v>45989</v>
      </c>
      <c r="R3005" s="5" t="n"/>
      <c r="S3005" s="2" t="n"/>
      <c r="T3005" s="3" t="n"/>
      <c r="U3005" s="87" t="n"/>
      <c r="V3005" s="3" t="n"/>
      <c r="W3005" s="108" t="n"/>
      <c r="X3005" s="4" t="n"/>
    </row>
    <row r="3006" ht="24" customHeight="1">
      <c r="A3006" s="2">
        <f>+D3006-S3006</f>
        <v/>
      </c>
      <c r="B3006" s="80" t="n">
        <v>4598</v>
      </c>
      <c r="C3006" s="66" t="n">
        <v>45994</v>
      </c>
      <c r="D3006" s="2" t="n">
        <v>1</v>
      </c>
      <c r="E3006" s="3" t="inlineStr">
        <is>
          <t>FUCILE MONOCANNA</t>
        </is>
      </c>
      <c r="F3006" s="3" t="inlineStr">
        <is>
          <t>22LR</t>
        </is>
      </c>
      <c r="G3006" s="3" t="inlineStr">
        <is>
          <t>CHIAPPA</t>
        </is>
      </c>
      <c r="H3006" s="65" t="inlineStr">
        <is>
          <t>LITTLE BADGER TDX ADAMANTIUM</t>
        </is>
      </c>
      <c r="I3006" s="65" t="inlineStr">
        <is>
          <t>CFIT25R14180</t>
        </is>
      </c>
      <c r="J3006" s="65" t="inlineStr">
        <is>
          <t>N/D</t>
        </is>
      </c>
      <c r="K3006" s="65" t="inlineStr">
        <is>
          <t>N/D</t>
        </is>
      </c>
      <c r="L3006" s="127" t="inlineStr">
        <is>
          <t>CHIAPPA FIREARMS SRL</t>
        </is>
      </c>
      <c r="M3006" s="5" t="n">
        <v>175.5</v>
      </c>
      <c r="N3006" s="5" t="n"/>
      <c r="O3006" s="5">
        <f>+M3006+N3006</f>
        <v/>
      </c>
      <c r="P3006" s="4" t="n">
        <v>45989</v>
      </c>
      <c r="Q3006" s="87" t="n">
        <v>45989</v>
      </c>
      <c r="R3006" s="5" t="n"/>
      <c r="S3006" s="2" t="n"/>
      <c r="T3006" s="3" t="n"/>
      <c r="U3006" s="87" t="n"/>
      <c r="V3006" s="3" t="n"/>
      <c r="W3006" s="108" t="n"/>
      <c r="X3006" s="4" t="n"/>
    </row>
    <row r="3007" ht="24" customHeight="1">
      <c r="A3007" s="2">
        <f>+D3007-S3007</f>
        <v/>
      </c>
      <c r="B3007" s="80" t="n">
        <v>4599</v>
      </c>
      <c r="C3007" s="66" t="n">
        <v>45994</v>
      </c>
      <c r="D3007" s="2" t="n">
        <v>1</v>
      </c>
      <c r="E3007" s="3" t="inlineStr">
        <is>
          <t>FUCILE MONOCANNA</t>
        </is>
      </c>
      <c r="F3007" s="3" t="inlineStr">
        <is>
          <t>22LR</t>
        </is>
      </c>
      <c r="G3007" s="3" t="inlineStr">
        <is>
          <t>CHIAPPA</t>
        </is>
      </c>
      <c r="H3007" s="65" t="inlineStr">
        <is>
          <t>LITTLE BADGER TDX ADAMANTIUM</t>
        </is>
      </c>
      <c r="I3007" s="65" t="inlineStr">
        <is>
          <t>CFIT25R14181</t>
        </is>
      </c>
      <c r="J3007" s="65" t="inlineStr">
        <is>
          <t>N/D</t>
        </is>
      </c>
      <c r="K3007" s="65" t="inlineStr">
        <is>
          <t>N/D</t>
        </is>
      </c>
      <c r="L3007" s="127" t="inlineStr">
        <is>
          <t>CHIAPPA FIREARMS SRL</t>
        </is>
      </c>
      <c r="M3007" s="5" t="n">
        <v>175.5</v>
      </c>
      <c r="N3007" s="5" t="n"/>
      <c r="O3007" s="5">
        <f>+M3007+N3007</f>
        <v/>
      </c>
      <c r="P3007" s="4" t="n">
        <v>45989</v>
      </c>
      <c r="Q3007" s="87" t="n">
        <v>45989</v>
      </c>
      <c r="R3007" s="5" t="n"/>
      <c r="S3007" s="2" t="n"/>
      <c r="T3007" s="3" t="n"/>
      <c r="U3007" s="87" t="n"/>
      <c r="V3007" s="3" t="n"/>
      <c r="W3007" s="108" t="n"/>
      <c r="X3007" s="4" t="n"/>
    </row>
    <row r="3008" ht="24" customHeight="1">
      <c r="A3008" s="2">
        <f>+D3008-S3008</f>
        <v/>
      </c>
      <c r="B3008" s="80" t="n">
        <v>4600</v>
      </c>
      <c r="C3008" s="66" t="n">
        <v>45994</v>
      </c>
      <c r="D3008" s="2" t="n">
        <v>1</v>
      </c>
      <c r="E3008" s="3" t="inlineStr">
        <is>
          <t>FUCILE MONOCANNA</t>
        </is>
      </c>
      <c r="F3008" s="3" t="inlineStr">
        <is>
          <t>22LR</t>
        </is>
      </c>
      <c r="G3008" s="3" t="inlineStr">
        <is>
          <t>CHIAPPA</t>
        </is>
      </c>
      <c r="H3008" s="65" t="inlineStr">
        <is>
          <t>LITTLE BADGER TDX ADAMANTIUM</t>
        </is>
      </c>
      <c r="I3008" s="65" t="inlineStr">
        <is>
          <t>CFIT25R14182</t>
        </is>
      </c>
      <c r="J3008" s="65" t="inlineStr">
        <is>
          <t>N/D</t>
        </is>
      </c>
      <c r="K3008" s="65" t="inlineStr">
        <is>
          <t>N/D</t>
        </is>
      </c>
      <c r="L3008" s="127" t="inlineStr">
        <is>
          <t>CHIAPPA FIREARMS SRL</t>
        </is>
      </c>
      <c r="M3008" s="5" t="n">
        <v>175.5</v>
      </c>
      <c r="N3008" s="5" t="n"/>
      <c r="O3008" s="5">
        <f>+M3008+N3008</f>
        <v/>
      </c>
      <c r="P3008" s="4" t="n">
        <v>45989</v>
      </c>
      <c r="Q3008" s="87" t="n">
        <v>45989</v>
      </c>
      <c r="R3008" s="5" t="n"/>
      <c r="S3008" s="2" t="n"/>
      <c r="T3008" s="3" t="n"/>
      <c r="U3008" s="87" t="n"/>
      <c r="V3008" s="3" t="n"/>
      <c r="W3008" s="108" t="n"/>
      <c r="X3008" s="4" t="n"/>
    </row>
    <row r="3009" ht="24" customHeight="1">
      <c r="A3009" s="2">
        <f>+D3009-S3009</f>
        <v/>
      </c>
      <c r="B3009" s="80" t="n">
        <v>4601</v>
      </c>
      <c r="C3009" s="66" t="n">
        <v>45994</v>
      </c>
      <c r="D3009" s="2" t="n">
        <v>1</v>
      </c>
      <c r="E3009" s="3" t="inlineStr">
        <is>
          <t>FUCILE MONOCANNA</t>
        </is>
      </c>
      <c r="F3009" s="3" t="inlineStr">
        <is>
          <t>22LR</t>
        </is>
      </c>
      <c r="G3009" s="3" t="inlineStr">
        <is>
          <t>CHIAPPA</t>
        </is>
      </c>
      <c r="H3009" s="65" t="inlineStr">
        <is>
          <t>LITTLE BADGER TDX ADAMANTIUM</t>
        </is>
      </c>
      <c r="I3009" s="65" t="inlineStr">
        <is>
          <t>CFIT25R14183</t>
        </is>
      </c>
      <c r="J3009" s="65" t="inlineStr">
        <is>
          <t>N/D</t>
        </is>
      </c>
      <c r="K3009" s="65" t="inlineStr">
        <is>
          <t>N/D</t>
        </is>
      </c>
      <c r="L3009" s="127" t="inlineStr">
        <is>
          <t>CHIAPPA FIREARMS SRL</t>
        </is>
      </c>
      <c r="M3009" s="5" t="n">
        <v>175.5</v>
      </c>
      <c r="N3009" s="5" t="n"/>
      <c r="O3009" s="5">
        <f>+M3009+N3009</f>
        <v/>
      </c>
      <c r="P3009" s="4" t="n">
        <v>45989</v>
      </c>
      <c r="Q3009" s="87" t="n">
        <v>45989</v>
      </c>
      <c r="R3009" s="5" t="n"/>
      <c r="S3009" s="2" t="n"/>
      <c r="T3009" s="3" t="n"/>
      <c r="U3009" s="87" t="n"/>
      <c r="V3009" s="3" t="n"/>
      <c r="W3009" s="108" t="n"/>
      <c r="X3009" s="4" t="n"/>
    </row>
    <row r="3010" ht="24" customHeight="1">
      <c r="A3010" s="2">
        <f>+D3010-S3010</f>
        <v/>
      </c>
      <c r="B3010" s="80" t="n">
        <v>4602</v>
      </c>
      <c r="C3010" s="66" t="n">
        <v>45994</v>
      </c>
      <c r="D3010" s="2" t="n">
        <v>1</v>
      </c>
      <c r="E3010" s="3" t="inlineStr">
        <is>
          <t>FUCILE MONOCANNA</t>
        </is>
      </c>
      <c r="F3010" s="3" t="inlineStr">
        <is>
          <t>22LR</t>
        </is>
      </c>
      <c r="G3010" s="3" t="inlineStr">
        <is>
          <t>CHIAPPA</t>
        </is>
      </c>
      <c r="H3010" s="65" t="inlineStr">
        <is>
          <t>LITTLE BADGER TDX ADAMANTIUM</t>
        </is>
      </c>
      <c r="I3010" s="65" t="inlineStr">
        <is>
          <t>CFIT25R14184</t>
        </is>
      </c>
      <c r="J3010" s="65" t="inlineStr">
        <is>
          <t>N/D</t>
        </is>
      </c>
      <c r="K3010" s="65" t="inlineStr">
        <is>
          <t>N/D</t>
        </is>
      </c>
      <c r="L3010" s="127" t="inlineStr">
        <is>
          <t>CHIAPPA FIREARMS SRL</t>
        </is>
      </c>
      <c r="M3010" s="5" t="n">
        <v>175.5</v>
      </c>
      <c r="N3010" s="5" t="n"/>
      <c r="O3010" s="5">
        <f>+M3010+N3010</f>
        <v/>
      </c>
      <c r="P3010" s="4" t="n">
        <v>45989</v>
      </c>
      <c r="Q3010" s="87" t="n">
        <v>45989</v>
      </c>
      <c r="R3010" s="5" t="n"/>
      <c r="S3010" s="2" t="n"/>
      <c r="T3010" s="3" t="n"/>
      <c r="U3010" s="87" t="n"/>
      <c r="V3010" s="3" t="n"/>
      <c r="W3010" s="108" t="n"/>
      <c r="X3010" s="4" t="n"/>
    </row>
    <row r="3011" ht="24" customHeight="1">
      <c r="A3011" s="2">
        <f>+D3011-S3011</f>
        <v/>
      </c>
      <c r="B3011" s="80" t="n">
        <v>4603</v>
      </c>
      <c r="C3011" s="66" t="n">
        <v>45994</v>
      </c>
      <c r="D3011" s="2" t="n">
        <v>1</v>
      </c>
      <c r="E3011" s="3" t="inlineStr">
        <is>
          <t>FUCILE MONOCANNA</t>
        </is>
      </c>
      <c r="F3011" s="3" t="inlineStr">
        <is>
          <t>22LR</t>
        </is>
      </c>
      <c r="G3011" s="3" t="inlineStr">
        <is>
          <t>CHIAPPA</t>
        </is>
      </c>
      <c r="H3011" s="65" t="inlineStr">
        <is>
          <t>LITTLE BADGER TDX ADAMANTIUM</t>
        </is>
      </c>
      <c r="I3011" s="65" t="inlineStr">
        <is>
          <t>CFIT25R14185</t>
        </is>
      </c>
      <c r="J3011" s="65" t="inlineStr">
        <is>
          <t>N/D</t>
        </is>
      </c>
      <c r="K3011" s="65" t="inlineStr">
        <is>
          <t>N/D</t>
        </is>
      </c>
      <c r="L3011" s="127" t="inlineStr">
        <is>
          <t>CHIAPPA FIREARMS SRL</t>
        </is>
      </c>
      <c r="M3011" s="5" t="n">
        <v>175.5</v>
      </c>
      <c r="N3011" s="5" t="n"/>
      <c r="O3011" s="5">
        <f>+M3011+N3011</f>
        <v/>
      </c>
      <c r="P3011" s="4" t="n">
        <v>45989</v>
      </c>
      <c r="Q3011" s="87" t="n">
        <v>45989</v>
      </c>
      <c r="R3011" s="5" t="n"/>
      <c r="S3011" s="2" t="n"/>
      <c r="T3011" s="3" t="n"/>
      <c r="U3011" s="87" t="n"/>
      <c r="V3011" s="3" t="n"/>
      <c r="W3011" s="108" t="n"/>
      <c r="X3011" s="4" t="n"/>
    </row>
    <row r="3012" ht="24" customHeight="1">
      <c r="A3012" s="2">
        <f>+D3012-S3012</f>
        <v/>
      </c>
      <c r="B3012" s="80" t="n">
        <v>4604</v>
      </c>
      <c r="C3012" s="66" t="n">
        <v>45994</v>
      </c>
      <c r="D3012" s="2" t="n">
        <v>1</v>
      </c>
      <c r="E3012" s="3" t="inlineStr">
        <is>
          <t>FUCILE MONOCANNA</t>
        </is>
      </c>
      <c r="F3012" s="3" t="inlineStr">
        <is>
          <t>22LR</t>
        </is>
      </c>
      <c r="G3012" s="3" t="inlineStr">
        <is>
          <t>CHIAPPA</t>
        </is>
      </c>
      <c r="H3012" s="65" t="inlineStr">
        <is>
          <t>LITTLE BADGER TDX ADAMANTIUM</t>
        </is>
      </c>
      <c r="I3012" s="65" t="inlineStr">
        <is>
          <t>CFIT25R14186</t>
        </is>
      </c>
      <c r="J3012" s="65" t="inlineStr">
        <is>
          <t>N/D</t>
        </is>
      </c>
      <c r="K3012" s="65" t="inlineStr">
        <is>
          <t>N/D</t>
        </is>
      </c>
      <c r="L3012" s="127" t="inlineStr">
        <is>
          <t>CHIAPPA FIREARMS SRL</t>
        </is>
      </c>
      <c r="M3012" s="5" t="n">
        <v>175.5</v>
      </c>
      <c r="N3012" s="5" t="n"/>
      <c r="O3012" s="5">
        <f>+M3012+N3012</f>
        <v/>
      </c>
      <c r="P3012" s="4" t="n">
        <v>45989</v>
      </c>
      <c r="Q3012" s="87" t="n">
        <v>45989</v>
      </c>
      <c r="R3012" s="5" t="n"/>
      <c r="S3012" s="2" t="n"/>
      <c r="T3012" s="3" t="n"/>
      <c r="U3012" s="87" t="n"/>
      <c r="V3012" s="3" t="n"/>
      <c r="W3012" s="108" t="n"/>
      <c r="X3012" s="4" t="n"/>
    </row>
    <row r="3013" ht="24" customHeight="1">
      <c r="A3013" s="2">
        <f>+D3013-S3013</f>
        <v/>
      </c>
      <c r="B3013" s="80" t="n">
        <v>4605</v>
      </c>
      <c r="C3013" s="66" t="n">
        <v>45994</v>
      </c>
      <c r="D3013" s="2" t="n">
        <v>1</v>
      </c>
      <c r="E3013" s="3" t="inlineStr">
        <is>
          <t>FUCILE MONOCANNA</t>
        </is>
      </c>
      <c r="F3013" s="3" t="inlineStr">
        <is>
          <t>22LR</t>
        </is>
      </c>
      <c r="G3013" s="3" t="inlineStr">
        <is>
          <t>CHIAPPA</t>
        </is>
      </c>
      <c r="H3013" s="65" t="inlineStr">
        <is>
          <t>LITTLE BADGER TDX ADAMANTIUM</t>
        </is>
      </c>
      <c r="I3013" s="65" t="inlineStr">
        <is>
          <t>CFIT25R14187</t>
        </is>
      </c>
      <c r="J3013" s="65" t="inlineStr">
        <is>
          <t>N/D</t>
        </is>
      </c>
      <c r="K3013" s="65" t="inlineStr">
        <is>
          <t>N/D</t>
        </is>
      </c>
      <c r="L3013" s="127" t="inlineStr">
        <is>
          <t>CHIAPPA FIREARMS SRL</t>
        </is>
      </c>
      <c r="M3013" s="5" t="n">
        <v>175.5</v>
      </c>
      <c r="N3013" s="5" t="n"/>
      <c r="O3013" s="5">
        <f>+M3013+N3013</f>
        <v/>
      </c>
      <c r="P3013" s="4" t="n">
        <v>45989</v>
      </c>
      <c r="Q3013" s="87" t="n">
        <v>45989</v>
      </c>
      <c r="R3013" s="5" t="n"/>
      <c r="S3013" s="2" t="n"/>
      <c r="T3013" s="3" t="n"/>
      <c r="U3013" s="87" t="n"/>
      <c r="V3013" s="3" t="n"/>
      <c r="W3013" s="108" t="n"/>
      <c r="X3013" s="4" t="n"/>
    </row>
    <row r="3014" ht="24" customHeight="1">
      <c r="A3014" s="2">
        <f>+D3014-S3014</f>
        <v/>
      </c>
      <c r="B3014" s="80" t="n">
        <v>4606</v>
      </c>
      <c r="C3014" s="66" t="n">
        <v>45994</v>
      </c>
      <c r="D3014" s="2" t="n">
        <v>1</v>
      </c>
      <c r="E3014" s="3" t="inlineStr">
        <is>
          <t>FUCILE MONOCANNA</t>
        </is>
      </c>
      <c r="F3014" s="3" t="inlineStr">
        <is>
          <t>22LR</t>
        </is>
      </c>
      <c r="G3014" s="3" t="inlineStr">
        <is>
          <t>CHIAPPA</t>
        </is>
      </c>
      <c r="H3014" s="65" t="inlineStr">
        <is>
          <t>LITTLE BADGER TDX ADAMANTIUM</t>
        </is>
      </c>
      <c r="I3014" s="65" t="inlineStr">
        <is>
          <t>CFIT25R14188</t>
        </is>
      </c>
      <c r="J3014" s="65" t="inlineStr">
        <is>
          <t>N/D</t>
        </is>
      </c>
      <c r="K3014" s="65" t="inlineStr">
        <is>
          <t>N/D</t>
        </is>
      </c>
      <c r="L3014" s="127" t="inlineStr">
        <is>
          <t>CHIAPPA FIREARMS SRL</t>
        </is>
      </c>
      <c r="M3014" s="5" t="n">
        <v>175.5</v>
      </c>
      <c r="N3014" s="5" t="n"/>
      <c r="O3014" s="5">
        <f>+M3014+N3014</f>
        <v/>
      </c>
      <c r="P3014" s="4" t="n">
        <v>45989</v>
      </c>
      <c r="Q3014" s="87" t="n">
        <v>45989</v>
      </c>
      <c r="R3014" s="5" t="n"/>
      <c r="S3014" s="2" t="n"/>
      <c r="T3014" s="3" t="n"/>
      <c r="U3014" s="87" t="n"/>
      <c r="V3014" s="3" t="n"/>
      <c r="W3014" s="108" t="n"/>
      <c r="X3014" s="4" t="n"/>
    </row>
    <row r="3015" ht="24" customHeight="1">
      <c r="A3015" s="2">
        <f>+D3015-S3015</f>
        <v/>
      </c>
      <c r="B3015" s="80" t="n">
        <v>4607</v>
      </c>
      <c r="C3015" s="66" t="n">
        <v>45994</v>
      </c>
      <c r="D3015" s="2" t="n">
        <v>1</v>
      </c>
      <c r="E3015" s="3" t="inlineStr">
        <is>
          <t>FUCILE MONOCANNA</t>
        </is>
      </c>
      <c r="F3015" s="3" t="inlineStr">
        <is>
          <t>22LR</t>
        </is>
      </c>
      <c r="G3015" s="3" t="inlineStr">
        <is>
          <t>CHIAPPA</t>
        </is>
      </c>
      <c r="H3015" s="65" t="inlineStr">
        <is>
          <t>LITTLE BADGER TDX ADAMANTIUM</t>
        </is>
      </c>
      <c r="I3015" s="65" t="inlineStr">
        <is>
          <t>CFIT25R14189</t>
        </is>
      </c>
      <c r="J3015" s="65" t="inlineStr">
        <is>
          <t>N/D</t>
        </is>
      </c>
      <c r="K3015" s="65" t="inlineStr">
        <is>
          <t>N/D</t>
        </is>
      </c>
      <c r="L3015" s="127" t="inlineStr">
        <is>
          <t>CHIAPPA FIREARMS SRL</t>
        </is>
      </c>
      <c r="M3015" s="5" t="n">
        <v>175.5</v>
      </c>
      <c r="N3015" s="5" t="n"/>
      <c r="O3015" s="5">
        <f>+M3015+N3015</f>
        <v/>
      </c>
      <c r="P3015" s="4" t="n">
        <v>45989</v>
      </c>
      <c r="Q3015" s="87" t="n">
        <v>45989</v>
      </c>
      <c r="R3015" s="5" t="n"/>
      <c r="S3015" s="2" t="n"/>
      <c r="T3015" s="3" t="n"/>
      <c r="U3015" s="87" t="n"/>
      <c r="V3015" s="3" t="n"/>
      <c r="W3015" s="108" t="n"/>
      <c r="X3015" s="4" t="n"/>
    </row>
    <row r="3016" ht="24" customHeight="1">
      <c r="A3016" s="2">
        <f>+D3016-S3016</f>
        <v/>
      </c>
      <c r="B3016" s="80" t="n">
        <v>4608</v>
      </c>
      <c r="C3016" s="66" t="n">
        <v>45994</v>
      </c>
      <c r="D3016" s="2" t="n">
        <v>1</v>
      </c>
      <c r="E3016" s="3" t="inlineStr">
        <is>
          <t>FUCILE MONOCANNA</t>
        </is>
      </c>
      <c r="F3016" s="3" t="inlineStr">
        <is>
          <t>22LR</t>
        </is>
      </c>
      <c r="G3016" s="3" t="inlineStr">
        <is>
          <t>CHIAPPA</t>
        </is>
      </c>
      <c r="H3016" s="65" t="inlineStr">
        <is>
          <t>LITTLE BADGER TDX ADAMANTIUM</t>
        </is>
      </c>
      <c r="I3016" s="65" t="inlineStr">
        <is>
          <t>CFIT25R14190</t>
        </is>
      </c>
      <c r="J3016" s="65" t="inlineStr">
        <is>
          <t>N/D</t>
        </is>
      </c>
      <c r="K3016" s="65" t="inlineStr">
        <is>
          <t>N/D</t>
        </is>
      </c>
      <c r="L3016" s="127" t="inlineStr">
        <is>
          <t>CHIAPPA FIREARMS SRL</t>
        </is>
      </c>
      <c r="M3016" s="5" t="n">
        <v>175.5</v>
      </c>
      <c r="N3016" s="5" t="n"/>
      <c r="O3016" s="5">
        <f>+M3016+N3016</f>
        <v/>
      </c>
      <c r="P3016" s="4" t="n">
        <v>45989</v>
      </c>
      <c r="Q3016" s="87" t="n">
        <v>45989</v>
      </c>
      <c r="R3016" s="5" t="n"/>
      <c r="S3016" s="2" t="n"/>
      <c r="T3016" s="3" t="n"/>
      <c r="U3016" s="87" t="n"/>
      <c r="V3016" s="3" t="n"/>
      <c r="W3016" s="108" t="n"/>
      <c r="X3016" s="4" t="n"/>
    </row>
    <row r="3017" ht="24" customHeight="1">
      <c r="A3017" s="2">
        <f>+D3017-S3017</f>
        <v/>
      </c>
      <c r="B3017" s="80" t="n">
        <v>4609</v>
      </c>
      <c r="C3017" s="66" t="n">
        <v>45994</v>
      </c>
      <c r="D3017" s="2" t="n">
        <v>1</v>
      </c>
      <c r="E3017" s="3" t="inlineStr">
        <is>
          <t>FUCILE MONOCANNA</t>
        </is>
      </c>
      <c r="F3017" s="3" t="inlineStr">
        <is>
          <t>22LR</t>
        </is>
      </c>
      <c r="G3017" s="3" t="inlineStr">
        <is>
          <t>CHIAPPA</t>
        </is>
      </c>
      <c r="H3017" s="65" t="inlineStr">
        <is>
          <t>LITTLE BADGER TDX ADAMANTIUM</t>
        </is>
      </c>
      <c r="I3017" s="65" t="inlineStr">
        <is>
          <t>CFIT25R14191</t>
        </is>
      </c>
      <c r="J3017" s="65" t="inlineStr">
        <is>
          <t>N/D</t>
        </is>
      </c>
      <c r="K3017" s="65" t="inlineStr">
        <is>
          <t>N/D</t>
        </is>
      </c>
      <c r="L3017" s="127" t="inlineStr">
        <is>
          <t>CHIAPPA FIREARMS SRL</t>
        </is>
      </c>
      <c r="M3017" s="5" t="n">
        <v>175.5</v>
      </c>
      <c r="N3017" s="5" t="n"/>
      <c r="O3017" s="5">
        <f>+M3017+N3017</f>
        <v/>
      </c>
      <c r="P3017" s="4" t="n">
        <v>45989</v>
      </c>
      <c r="Q3017" s="87" t="n">
        <v>45989</v>
      </c>
      <c r="R3017" s="5" t="n"/>
      <c r="S3017" s="2" t="n"/>
      <c r="T3017" s="3" t="n"/>
      <c r="U3017" s="87" t="n"/>
      <c r="V3017" s="3" t="n"/>
      <c r="W3017" s="108" t="n"/>
      <c r="X3017" s="4" t="n"/>
    </row>
    <row r="3018" ht="24" customHeight="1">
      <c r="A3018" s="2">
        <f>+D3018-S3018</f>
        <v/>
      </c>
      <c r="B3018" s="80" t="n">
        <v>4610</v>
      </c>
      <c r="C3018" s="66" t="n">
        <v>45994</v>
      </c>
      <c r="D3018" s="2" t="n">
        <v>1</v>
      </c>
      <c r="E3018" s="3" t="inlineStr">
        <is>
          <t>FUCILE MONOCANNA</t>
        </is>
      </c>
      <c r="F3018" s="3" t="inlineStr">
        <is>
          <t>22LR</t>
        </is>
      </c>
      <c r="G3018" s="3" t="inlineStr">
        <is>
          <t>CHIAPPA</t>
        </is>
      </c>
      <c r="H3018" s="65" t="inlineStr">
        <is>
          <t>LITTLE BADGER TDX ADAMANTIUM</t>
        </is>
      </c>
      <c r="I3018" s="65" t="inlineStr">
        <is>
          <t>CFIT25R14192</t>
        </is>
      </c>
      <c r="J3018" s="65" t="inlineStr">
        <is>
          <t>N/D</t>
        </is>
      </c>
      <c r="K3018" s="65" t="inlineStr">
        <is>
          <t>N/D</t>
        </is>
      </c>
      <c r="L3018" s="127" t="inlineStr">
        <is>
          <t>CHIAPPA FIREARMS SRL</t>
        </is>
      </c>
      <c r="M3018" s="5" t="n">
        <v>175.5</v>
      </c>
      <c r="N3018" s="5" t="n"/>
      <c r="O3018" s="5">
        <f>+M3018+N3018</f>
        <v/>
      </c>
      <c r="P3018" s="4" t="n">
        <v>45989</v>
      </c>
      <c r="Q3018" s="87" t="n">
        <v>45989</v>
      </c>
      <c r="R3018" s="5" t="n"/>
      <c r="S3018" s="2" t="n"/>
      <c r="T3018" s="3" t="n"/>
      <c r="U3018" s="87" t="n"/>
      <c r="V3018" s="3" t="n"/>
      <c r="W3018" s="108" t="n"/>
      <c r="X3018" s="4" t="n"/>
    </row>
    <row r="3019" ht="24" customHeight="1">
      <c r="A3019" s="2">
        <f>+D3019-S3019</f>
        <v/>
      </c>
      <c r="B3019" s="80" t="n">
        <v>4611</v>
      </c>
      <c r="C3019" s="66" t="n">
        <v>45994</v>
      </c>
      <c r="D3019" s="2" t="n">
        <v>1</v>
      </c>
      <c r="E3019" s="3" t="inlineStr">
        <is>
          <t>FUCILE MONOCANNA</t>
        </is>
      </c>
      <c r="F3019" s="3" t="inlineStr">
        <is>
          <t>22LR</t>
        </is>
      </c>
      <c r="G3019" s="3" t="inlineStr">
        <is>
          <t>CHIAPPA</t>
        </is>
      </c>
      <c r="H3019" s="65" t="inlineStr">
        <is>
          <t>LITTLE BADGER TDX ADAMANTIUM</t>
        </is>
      </c>
      <c r="I3019" s="65" t="inlineStr">
        <is>
          <t>CFIT25R14193</t>
        </is>
      </c>
      <c r="J3019" s="65" t="inlineStr">
        <is>
          <t>N/D</t>
        </is>
      </c>
      <c r="K3019" s="65" t="inlineStr">
        <is>
          <t>N/D</t>
        </is>
      </c>
      <c r="L3019" s="127" t="inlineStr">
        <is>
          <t>CHIAPPA FIREARMS SRL</t>
        </is>
      </c>
      <c r="M3019" s="5" t="n">
        <v>175.5</v>
      </c>
      <c r="N3019" s="5" t="n"/>
      <c r="O3019" s="5">
        <f>+M3019+N3019</f>
        <v/>
      </c>
      <c r="P3019" s="4" t="n">
        <v>45989</v>
      </c>
      <c r="Q3019" s="87" t="n">
        <v>45989</v>
      </c>
      <c r="R3019" s="5" t="n">
        <v>265</v>
      </c>
      <c r="S3019" s="2" t="n">
        <v>1</v>
      </c>
      <c r="T3019" s="3" t="inlineStr">
        <is>
          <t>6B/2025/7M</t>
        </is>
      </c>
      <c r="U3019" s="87" t="n">
        <v>46003</v>
      </c>
      <c r="V3019" s="3" t="inlineStr">
        <is>
          <t>35</t>
        </is>
      </c>
      <c r="W3019" s="108" t="n">
        <v>46003</v>
      </c>
      <c r="X3019" s="4" t="inlineStr">
        <is>
          <t>BIN HUMAID NATIONAL TRADING CO</t>
        </is>
      </c>
    </row>
    <row r="3020" ht="24" customHeight="1">
      <c r="A3020" s="2">
        <f>+D3020-S3020</f>
        <v/>
      </c>
      <c r="B3020" s="80" t="n">
        <v>4612</v>
      </c>
      <c r="C3020" s="66" t="n">
        <v>45994</v>
      </c>
      <c r="D3020" s="2" t="n">
        <v>1</v>
      </c>
      <c r="E3020" s="3" t="inlineStr">
        <is>
          <t>FUCILE MONOCANNA</t>
        </is>
      </c>
      <c r="F3020" s="3" t="inlineStr">
        <is>
          <t>22LR</t>
        </is>
      </c>
      <c r="G3020" s="3" t="inlineStr">
        <is>
          <t>CHIAPPA</t>
        </is>
      </c>
      <c r="H3020" s="65" t="inlineStr">
        <is>
          <t>LITTLE BADGER TDX ADAMANTIUM</t>
        </is>
      </c>
      <c r="I3020" s="65" t="inlineStr">
        <is>
          <t>CFIT25R14194</t>
        </is>
      </c>
      <c r="J3020" s="65" t="inlineStr">
        <is>
          <t>N/D</t>
        </is>
      </c>
      <c r="K3020" s="65" t="inlineStr">
        <is>
          <t>N/D</t>
        </is>
      </c>
      <c r="L3020" s="127" t="inlineStr">
        <is>
          <t>CHIAPPA FIREARMS SRL</t>
        </is>
      </c>
      <c r="M3020" s="5" t="n">
        <v>175.5</v>
      </c>
      <c r="N3020" s="5" t="n"/>
      <c r="O3020" s="5">
        <f>+M3020+N3020</f>
        <v/>
      </c>
      <c r="P3020" s="4" t="n">
        <v>45989</v>
      </c>
      <c r="Q3020" s="87" t="n">
        <v>45989</v>
      </c>
      <c r="R3020" s="5" t="n">
        <v>265</v>
      </c>
      <c r="S3020" s="2" t="n">
        <v>1</v>
      </c>
      <c r="T3020" s="3" t="inlineStr">
        <is>
          <t>6B/2025/7M</t>
        </is>
      </c>
      <c r="U3020" s="87" t="n">
        <v>46003</v>
      </c>
      <c r="V3020" s="3" t="inlineStr">
        <is>
          <t>35</t>
        </is>
      </c>
      <c r="W3020" s="108" t="n">
        <v>46003</v>
      </c>
      <c r="X3020" s="4" t="inlineStr">
        <is>
          <t>BIN HUMAID NATIONAL TRADING CO</t>
        </is>
      </c>
    </row>
    <row r="3021" ht="24" customHeight="1">
      <c r="A3021" s="2">
        <f>+D3021-S3021</f>
        <v/>
      </c>
      <c r="B3021" s="80" t="n">
        <v>4613</v>
      </c>
      <c r="C3021" s="66" t="n">
        <v>45994</v>
      </c>
      <c r="D3021" s="2" t="n">
        <v>1</v>
      </c>
      <c r="E3021" s="3" t="inlineStr">
        <is>
          <t>FUCILE MONOCANNA</t>
        </is>
      </c>
      <c r="F3021" s="3" t="inlineStr">
        <is>
          <t>22LR</t>
        </is>
      </c>
      <c r="G3021" s="3" t="inlineStr">
        <is>
          <t>CHIAPPA</t>
        </is>
      </c>
      <c r="H3021" s="65" t="inlineStr">
        <is>
          <t>LITTLE BADGER TDX ADAMANTIUM</t>
        </is>
      </c>
      <c r="I3021" s="65" t="inlineStr">
        <is>
          <t>CFIT25R14195</t>
        </is>
      </c>
      <c r="J3021" s="65" t="inlineStr">
        <is>
          <t>N/D</t>
        </is>
      </c>
      <c r="K3021" s="65" t="inlineStr">
        <is>
          <t>N/D</t>
        </is>
      </c>
      <c r="L3021" s="127" t="inlineStr">
        <is>
          <t>CHIAPPA FIREARMS SRL</t>
        </is>
      </c>
      <c r="M3021" s="5" t="n">
        <v>175.5</v>
      </c>
      <c r="N3021" s="5" t="n"/>
      <c r="O3021" s="5">
        <f>+M3021+N3021</f>
        <v/>
      </c>
      <c r="P3021" s="4" t="n">
        <v>45989</v>
      </c>
      <c r="Q3021" s="87" t="n">
        <v>45989</v>
      </c>
      <c r="R3021" s="5" t="n">
        <v>265</v>
      </c>
      <c r="S3021" s="2" t="n">
        <v>1</v>
      </c>
      <c r="T3021" s="3" t="inlineStr">
        <is>
          <t>6B/2025/7M</t>
        </is>
      </c>
      <c r="U3021" s="87" t="n">
        <v>46003</v>
      </c>
      <c r="V3021" s="3" t="inlineStr">
        <is>
          <t>35</t>
        </is>
      </c>
      <c r="W3021" s="108" t="n">
        <v>46003</v>
      </c>
      <c r="X3021" s="4" t="inlineStr">
        <is>
          <t>BIN HUMAID NATIONAL TRADING CO</t>
        </is>
      </c>
    </row>
    <row r="3022" ht="24" customHeight="1">
      <c r="A3022" s="2">
        <f>+D3022-S3022</f>
        <v/>
      </c>
      <c r="B3022" s="80" t="n">
        <v>4614</v>
      </c>
      <c r="C3022" s="66" t="n">
        <v>45994</v>
      </c>
      <c r="D3022" s="2" t="n">
        <v>1</v>
      </c>
      <c r="E3022" s="3" t="inlineStr">
        <is>
          <t>FUCILE MONOCANNA</t>
        </is>
      </c>
      <c r="F3022" s="3" t="inlineStr">
        <is>
          <t>22LR</t>
        </is>
      </c>
      <c r="G3022" s="3" t="inlineStr">
        <is>
          <t>CHIAPPA</t>
        </is>
      </c>
      <c r="H3022" s="65" t="inlineStr">
        <is>
          <t>LITTLE BADGER TDX ADAMANTIUM</t>
        </is>
      </c>
      <c r="I3022" s="65" t="inlineStr">
        <is>
          <t>CFIT25R14196</t>
        </is>
      </c>
      <c r="J3022" s="65" t="inlineStr">
        <is>
          <t>N/D</t>
        </is>
      </c>
      <c r="K3022" s="65" t="inlineStr">
        <is>
          <t>N/D</t>
        </is>
      </c>
      <c r="L3022" s="127" t="inlineStr">
        <is>
          <t>CHIAPPA FIREARMS SRL</t>
        </is>
      </c>
      <c r="M3022" s="5" t="n">
        <v>175.5</v>
      </c>
      <c r="N3022" s="5" t="n"/>
      <c r="O3022" s="5">
        <f>+M3022+N3022</f>
        <v/>
      </c>
      <c r="P3022" s="4" t="n">
        <v>45989</v>
      </c>
      <c r="Q3022" s="87" t="n">
        <v>45989</v>
      </c>
      <c r="R3022" s="5" t="n">
        <v>265</v>
      </c>
      <c r="S3022" s="2" t="n">
        <v>1</v>
      </c>
      <c r="T3022" s="3" t="inlineStr">
        <is>
          <t>6B/2025/7M</t>
        </is>
      </c>
      <c r="U3022" s="87" t="n">
        <v>46003</v>
      </c>
      <c r="V3022" s="3" t="inlineStr">
        <is>
          <t>35</t>
        </is>
      </c>
      <c r="W3022" s="108" t="n">
        <v>46003</v>
      </c>
      <c r="X3022" s="4" t="inlineStr">
        <is>
          <t>BIN HUMAID NATIONAL TRADING CO</t>
        </is>
      </c>
    </row>
    <row r="3023" ht="24" customHeight="1">
      <c r="A3023" s="2">
        <f>+D3023-S3023</f>
        <v/>
      </c>
      <c r="B3023" s="80" t="n">
        <v>4615</v>
      </c>
      <c r="C3023" s="66" t="n">
        <v>45994</v>
      </c>
      <c r="D3023" s="2" t="n">
        <v>1</v>
      </c>
      <c r="E3023" s="3" t="inlineStr">
        <is>
          <t>FUCILE MONOCANNA</t>
        </is>
      </c>
      <c r="F3023" s="3" t="inlineStr">
        <is>
          <t>22LR</t>
        </is>
      </c>
      <c r="G3023" s="3" t="inlineStr">
        <is>
          <t>CHIAPPA</t>
        </is>
      </c>
      <c r="H3023" s="65" t="inlineStr">
        <is>
          <t>LITTLE BADGER TDX ADAMANTIUM</t>
        </is>
      </c>
      <c r="I3023" s="65" t="inlineStr">
        <is>
          <t>CFIT25R14197</t>
        </is>
      </c>
      <c r="J3023" s="65" t="inlineStr">
        <is>
          <t>N/D</t>
        </is>
      </c>
      <c r="K3023" s="65" t="inlineStr">
        <is>
          <t>N/D</t>
        </is>
      </c>
      <c r="L3023" s="127" t="inlineStr">
        <is>
          <t>CHIAPPA FIREARMS SRL</t>
        </is>
      </c>
      <c r="M3023" s="5" t="n">
        <v>175.5</v>
      </c>
      <c r="N3023" s="5" t="n"/>
      <c r="O3023" s="5">
        <f>+M3023+N3023</f>
        <v/>
      </c>
      <c r="P3023" s="4" t="n">
        <v>45989</v>
      </c>
      <c r="Q3023" s="87" t="n">
        <v>45989</v>
      </c>
      <c r="R3023" s="5" t="n">
        <v>265</v>
      </c>
      <c r="S3023" s="2" t="n">
        <v>1</v>
      </c>
      <c r="T3023" s="3" t="inlineStr">
        <is>
          <t>6B/2025/7M</t>
        </is>
      </c>
      <c r="U3023" s="87" t="n">
        <v>46003</v>
      </c>
      <c r="V3023" s="3" t="inlineStr">
        <is>
          <t>35</t>
        </is>
      </c>
      <c r="W3023" s="108" t="n">
        <v>46003</v>
      </c>
      <c r="X3023" s="4" t="inlineStr">
        <is>
          <t>BIN HUMAID NATIONAL TRADING CO</t>
        </is>
      </c>
    </row>
    <row r="3024" ht="24" customHeight="1">
      <c r="A3024" s="2">
        <f>+D3024-S3024</f>
        <v/>
      </c>
      <c r="B3024" s="80" t="n">
        <v>4616</v>
      </c>
      <c r="C3024" s="66" t="n">
        <v>45994</v>
      </c>
      <c r="D3024" s="2" t="n">
        <v>1</v>
      </c>
      <c r="E3024" s="3" t="inlineStr">
        <is>
          <t>FUCILE MONOCANNA</t>
        </is>
      </c>
      <c r="F3024" s="3" t="inlineStr">
        <is>
          <t>22LR</t>
        </is>
      </c>
      <c r="G3024" s="3" t="inlineStr">
        <is>
          <t>CHIAPPA</t>
        </is>
      </c>
      <c r="H3024" s="65" t="inlineStr">
        <is>
          <t>LITTLE BADGER TDX ADAMANTIUM</t>
        </is>
      </c>
      <c r="I3024" s="65" t="inlineStr">
        <is>
          <t>CFIT25R14198</t>
        </is>
      </c>
      <c r="J3024" s="65" t="inlineStr">
        <is>
          <t>N/D</t>
        </is>
      </c>
      <c r="K3024" s="65" t="inlineStr">
        <is>
          <t>N/D</t>
        </is>
      </c>
      <c r="L3024" s="127" t="inlineStr">
        <is>
          <t>CHIAPPA FIREARMS SRL</t>
        </is>
      </c>
      <c r="M3024" s="5" t="n">
        <v>175.5</v>
      </c>
      <c r="N3024" s="5" t="n"/>
      <c r="O3024" s="5">
        <f>+M3024+N3024</f>
        <v/>
      </c>
      <c r="P3024" s="4" t="n">
        <v>45989</v>
      </c>
      <c r="Q3024" s="87" t="n">
        <v>45989</v>
      </c>
      <c r="R3024" s="5" t="n">
        <v>265</v>
      </c>
      <c r="S3024" s="2" t="n">
        <v>1</v>
      </c>
      <c r="T3024" s="3" t="inlineStr">
        <is>
          <t>6B/2025/7M</t>
        </is>
      </c>
      <c r="U3024" s="87" t="n">
        <v>46003</v>
      </c>
      <c r="V3024" s="3" t="inlineStr">
        <is>
          <t>35</t>
        </is>
      </c>
      <c r="W3024" s="108" t="n">
        <v>46003</v>
      </c>
      <c r="X3024" s="4" t="inlineStr">
        <is>
          <t>BIN HUMAID NATIONAL TRADING CO</t>
        </is>
      </c>
    </row>
    <row r="3025" ht="24" customHeight="1">
      <c r="A3025" s="2">
        <f>+D3025-S3025</f>
        <v/>
      </c>
      <c r="B3025" s="80" t="n">
        <v>4617</v>
      </c>
      <c r="C3025" s="66" t="n">
        <v>45994</v>
      </c>
      <c r="D3025" s="2" t="n">
        <v>1</v>
      </c>
      <c r="E3025" s="3" t="inlineStr">
        <is>
          <t>FUCILE MONOCANNA</t>
        </is>
      </c>
      <c r="F3025" s="3" t="inlineStr">
        <is>
          <t>22LR</t>
        </is>
      </c>
      <c r="G3025" s="3" t="inlineStr">
        <is>
          <t>CHIAPPA</t>
        </is>
      </c>
      <c r="H3025" s="65" t="inlineStr">
        <is>
          <t>LITTLE BADGER TDX ADAMANTIUM</t>
        </is>
      </c>
      <c r="I3025" s="65" t="inlineStr">
        <is>
          <t>CFIT25R14199</t>
        </is>
      </c>
      <c r="J3025" s="65" t="inlineStr">
        <is>
          <t>N/D</t>
        </is>
      </c>
      <c r="K3025" s="65" t="inlineStr">
        <is>
          <t>N/D</t>
        </is>
      </c>
      <c r="L3025" s="127" t="inlineStr">
        <is>
          <t>CHIAPPA FIREARMS SRL</t>
        </is>
      </c>
      <c r="M3025" s="5" t="n">
        <v>175.5</v>
      </c>
      <c r="N3025" s="5" t="n"/>
      <c r="O3025" s="5">
        <f>+M3025+N3025</f>
        <v/>
      </c>
      <c r="P3025" s="4" t="n">
        <v>45989</v>
      </c>
      <c r="Q3025" s="87" t="n">
        <v>45989</v>
      </c>
      <c r="R3025" s="5" t="n">
        <v>265</v>
      </c>
      <c r="S3025" s="2" t="n">
        <v>1</v>
      </c>
      <c r="T3025" s="3" t="inlineStr">
        <is>
          <t>6B/2025/7M</t>
        </is>
      </c>
      <c r="U3025" s="87" t="n">
        <v>46003</v>
      </c>
      <c r="V3025" s="3" t="inlineStr">
        <is>
          <t>35</t>
        </is>
      </c>
      <c r="W3025" s="108" t="n">
        <v>46003</v>
      </c>
      <c r="X3025" s="4" t="inlineStr">
        <is>
          <t>BIN HUMAID NATIONAL TRADING CO</t>
        </is>
      </c>
    </row>
    <row r="3026" ht="24" customHeight="1">
      <c r="A3026" s="2">
        <f>+D3026-S3026</f>
        <v/>
      </c>
      <c r="B3026" s="80" t="n">
        <v>4618</v>
      </c>
      <c r="C3026" s="66" t="n">
        <v>45994</v>
      </c>
      <c r="D3026" s="2" t="n">
        <v>1</v>
      </c>
      <c r="E3026" s="3" t="inlineStr">
        <is>
          <t>FUCILE MONOCANNA</t>
        </is>
      </c>
      <c r="F3026" s="3" t="inlineStr">
        <is>
          <t>22LR</t>
        </is>
      </c>
      <c r="G3026" s="3" t="inlineStr">
        <is>
          <t>CHIAPPA</t>
        </is>
      </c>
      <c r="H3026" s="65" t="inlineStr">
        <is>
          <t>LITTLE BADGER TDX ADAMANTIUM</t>
        </is>
      </c>
      <c r="I3026" s="65" t="inlineStr">
        <is>
          <t>CFIT25R14200</t>
        </is>
      </c>
      <c r="J3026" s="65" t="inlineStr">
        <is>
          <t>N/D</t>
        </is>
      </c>
      <c r="K3026" s="65" t="inlineStr">
        <is>
          <t>N/D</t>
        </is>
      </c>
      <c r="L3026" s="127" t="inlineStr">
        <is>
          <t>CHIAPPA FIREARMS SRL</t>
        </is>
      </c>
      <c r="M3026" s="5" t="n">
        <v>175.5</v>
      </c>
      <c r="N3026" s="5" t="n"/>
      <c r="O3026" s="5">
        <f>+M3026+N3026</f>
        <v/>
      </c>
      <c r="P3026" s="4" t="n">
        <v>45989</v>
      </c>
      <c r="Q3026" s="87" t="n">
        <v>45989</v>
      </c>
      <c r="R3026" s="5" t="n">
        <v>265</v>
      </c>
      <c r="S3026" s="2" t="n">
        <v>1</v>
      </c>
      <c r="T3026" s="3" t="inlineStr">
        <is>
          <t>6B/2025/7M</t>
        </is>
      </c>
      <c r="U3026" s="87" t="n">
        <v>46003</v>
      </c>
      <c r="V3026" s="3" t="inlineStr">
        <is>
          <t>35</t>
        </is>
      </c>
      <c r="W3026" s="108" t="n">
        <v>46003</v>
      </c>
      <c r="X3026" s="4" t="inlineStr">
        <is>
          <t>BIN HUMAID NATIONAL TRADING CO</t>
        </is>
      </c>
    </row>
    <row r="3027" ht="24" customHeight="1">
      <c r="A3027" s="2">
        <f>+D3027-S3027</f>
        <v/>
      </c>
      <c r="B3027" s="80" t="n">
        <v>4619</v>
      </c>
      <c r="C3027" s="66" t="n">
        <v>45994</v>
      </c>
      <c r="D3027" s="2" t="n">
        <v>1</v>
      </c>
      <c r="E3027" s="3" t="inlineStr">
        <is>
          <t>FUCILE MONOCANNA</t>
        </is>
      </c>
      <c r="F3027" s="3" t="inlineStr">
        <is>
          <t>22LR</t>
        </is>
      </c>
      <c r="G3027" s="3" t="inlineStr">
        <is>
          <t>CHIAPPA</t>
        </is>
      </c>
      <c r="H3027" s="65" t="inlineStr">
        <is>
          <t>LITTLE BADGER TDX ADAMANTIUM</t>
        </is>
      </c>
      <c r="I3027" s="65" t="inlineStr">
        <is>
          <t>CFIT25R14201</t>
        </is>
      </c>
      <c r="J3027" s="65" t="inlineStr">
        <is>
          <t>N/D</t>
        </is>
      </c>
      <c r="K3027" s="65" t="inlineStr">
        <is>
          <t>N/D</t>
        </is>
      </c>
      <c r="L3027" s="127" t="inlineStr">
        <is>
          <t>CHIAPPA FIREARMS SRL</t>
        </is>
      </c>
      <c r="M3027" s="5" t="n">
        <v>175.5</v>
      </c>
      <c r="N3027" s="5" t="n"/>
      <c r="O3027" s="5">
        <f>+M3027+N3027</f>
        <v/>
      </c>
      <c r="P3027" s="4" t="n">
        <v>45989</v>
      </c>
      <c r="Q3027" s="87" t="n">
        <v>45989</v>
      </c>
      <c r="R3027" s="5" t="n">
        <v>265</v>
      </c>
      <c r="S3027" s="2" t="n">
        <v>1</v>
      </c>
      <c r="T3027" s="3" t="inlineStr">
        <is>
          <t>6B/2025/7M</t>
        </is>
      </c>
      <c r="U3027" s="87" t="n">
        <v>46003</v>
      </c>
      <c r="V3027" s="3" t="inlineStr">
        <is>
          <t>35</t>
        </is>
      </c>
      <c r="W3027" s="108" t="n">
        <v>46003</v>
      </c>
      <c r="X3027" s="4" t="inlineStr">
        <is>
          <t>BIN HUMAID NATIONAL TRADING CO</t>
        </is>
      </c>
    </row>
    <row r="3028" ht="24" customHeight="1">
      <c r="A3028" s="2">
        <f>+D3028-S3028</f>
        <v/>
      </c>
      <c r="B3028" s="80" t="n">
        <v>4620</v>
      </c>
      <c r="C3028" s="66" t="n">
        <v>45994</v>
      </c>
      <c r="D3028" s="2" t="n">
        <v>1</v>
      </c>
      <c r="E3028" s="3" t="inlineStr">
        <is>
          <t>FUCILE MONOCANNA</t>
        </is>
      </c>
      <c r="F3028" s="3" t="inlineStr">
        <is>
          <t>22LR</t>
        </is>
      </c>
      <c r="G3028" s="3" t="inlineStr">
        <is>
          <t>CHIAPPA</t>
        </is>
      </c>
      <c r="H3028" s="65" t="inlineStr">
        <is>
          <t>LITTLE BADGER TDX ADAMANTIUM</t>
        </is>
      </c>
      <c r="I3028" s="65" t="inlineStr">
        <is>
          <t>CFIT25R14202</t>
        </is>
      </c>
      <c r="J3028" s="65" t="inlineStr">
        <is>
          <t>N/D</t>
        </is>
      </c>
      <c r="K3028" s="65" t="inlineStr">
        <is>
          <t>N/D</t>
        </is>
      </c>
      <c r="L3028" s="127" t="inlineStr">
        <is>
          <t>CHIAPPA FIREARMS SRL</t>
        </is>
      </c>
      <c r="M3028" s="5" t="n">
        <v>175.5</v>
      </c>
      <c r="N3028" s="5" t="n"/>
      <c r="O3028" s="5">
        <f>+M3028+N3028</f>
        <v/>
      </c>
      <c r="P3028" s="4" t="n">
        <v>45989</v>
      </c>
      <c r="Q3028" s="87" t="n">
        <v>45989</v>
      </c>
      <c r="R3028" s="5" t="n">
        <v>265</v>
      </c>
      <c r="S3028" s="2" t="n">
        <v>1</v>
      </c>
      <c r="T3028" s="3" t="inlineStr">
        <is>
          <t>6B/2025/7M</t>
        </is>
      </c>
      <c r="U3028" s="87" t="n">
        <v>46003</v>
      </c>
      <c r="V3028" s="3" t="inlineStr">
        <is>
          <t>35</t>
        </is>
      </c>
      <c r="W3028" s="108" t="n">
        <v>46003</v>
      </c>
      <c r="X3028" s="4" t="inlineStr">
        <is>
          <t>BIN HUMAID NATIONAL TRADING CO</t>
        </is>
      </c>
    </row>
    <row r="3029" ht="24" customHeight="1">
      <c r="A3029" s="2">
        <f>+D3029-S3029</f>
        <v/>
      </c>
      <c r="B3029" s="80" t="n">
        <v>4621</v>
      </c>
      <c r="C3029" s="66" t="n">
        <v>45994</v>
      </c>
      <c r="D3029" s="2" t="n">
        <v>1</v>
      </c>
      <c r="E3029" s="3" t="inlineStr">
        <is>
          <t>FUCILE MONOCANNA</t>
        </is>
      </c>
      <c r="F3029" s="3" t="inlineStr">
        <is>
          <t>22LR</t>
        </is>
      </c>
      <c r="G3029" s="3" t="inlineStr">
        <is>
          <t>CHIAPPA</t>
        </is>
      </c>
      <c r="H3029" s="65" t="inlineStr">
        <is>
          <t>LITTLE BADGER TDX ADAMANTIUM</t>
        </is>
      </c>
      <c r="I3029" s="65" t="inlineStr">
        <is>
          <t>CFIT25R14203</t>
        </is>
      </c>
      <c r="J3029" s="65" t="inlineStr">
        <is>
          <t>N/D</t>
        </is>
      </c>
      <c r="K3029" s="65" t="inlineStr">
        <is>
          <t>N/D</t>
        </is>
      </c>
      <c r="L3029" s="127" t="inlineStr">
        <is>
          <t>CHIAPPA FIREARMS SRL</t>
        </is>
      </c>
      <c r="M3029" s="5" t="n">
        <v>175.5</v>
      </c>
      <c r="N3029" s="5" t="n"/>
      <c r="O3029" s="5">
        <f>+M3029+N3029</f>
        <v/>
      </c>
      <c r="P3029" s="4" t="n">
        <v>45989</v>
      </c>
      <c r="Q3029" s="87" t="n">
        <v>45989</v>
      </c>
      <c r="R3029" s="5" t="n"/>
      <c r="S3029" s="2" t="n"/>
      <c r="T3029" s="3" t="n"/>
      <c r="U3029" s="87" t="n"/>
      <c r="V3029" s="3" t="n"/>
      <c r="W3029" s="108" t="n"/>
      <c r="X3029" s="4" t="n"/>
    </row>
    <row r="3030" ht="24" customHeight="1">
      <c r="A3030" s="2">
        <f>+D3030-S3030</f>
        <v/>
      </c>
      <c r="B3030" s="80" t="n">
        <v>4622</v>
      </c>
      <c r="C3030" s="66" t="n">
        <v>45994</v>
      </c>
      <c r="D3030" s="2" t="n">
        <v>1</v>
      </c>
      <c r="E3030" s="3" t="inlineStr">
        <is>
          <t>FUCILE MONOCANNA</t>
        </is>
      </c>
      <c r="F3030" s="3" t="inlineStr">
        <is>
          <t>22LR</t>
        </is>
      </c>
      <c r="G3030" s="3" t="inlineStr">
        <is>
          <t>CHIAPPA</t>
        </is>
      </c>
      <c r="H3030" s="65" t="inlineStr">
        <is>
          <t>LITTLE BADGER TDX ADAMANTIUM</t>
        </is>
      </c>
      <c r="I3030" s="65" t="inlineStr">
        <is>
          <t>CFIT25R14204</t>
        </is>
      </c>
      <c r="J3030" s="65" t="inlineStr">
        <is>
          <t>N/D</t>
        </is>
      </c>
      <c r="K3030" s="65" t="inlineStr">
        <is>
          <t>N/D</t>
        </is>
      </c>
      <c r="L3030" s="127" t="inlineStr">
        <is>
          <t>CHIAPPA FIREARMS SRL</t>
        </is>
      </c>
      <c r="M3030" s="5" t="n">
        <v>175.5</v>
      </c>
      <c r="N3030" s="5" t="n"/>
      <c r="O3030" s="5">
        <f>+M3030+N3030</f>
        <v/>
      </c>
      <c r="P3030" s="4" t="n">
        <v>45989</v>
      </c>
      <c r="Q3030" s="87" t="n">
        <v>45989</v>
      </c>
      <c r="R3030" s="5" t="n"/>
      <c r="S3030" s="2" t="n"/>
      <c r="T3030" s="3" t="n"/>
      <c r="U3030" s="87" t="n"/>
      <c r="V3030" s="3" t="n"/>
      <c r="W3030" s="108" t="n"/>
      <c r="X3030" s="4" t="n"/>
    </row>
    <row r="3031" ht="24" customHeight="1">
      <c r="A3031" s="2">
        <f>+D3031-S3031</f>
        <v/>
      </c>
      <c r="B3031" s="80" t="n">
        <v>4623</v>
      </c>
      <c r="C3031" s="66" t="n">
        <v>45994</v>
      </c>
      <c r="D3031" s="2" t="n">
        <v>1</v>
      </c>
      <c r="E3031" s="3" t="inlineStr">
        <is>
          <t>FUCILE MONOCANNA</t>
        </is>
      </c>
      <c r="F3031" s="3" t="inlineStr">
        <is>
          <t>22LR</t>
        </is>
      </c>
      <c r="G3031" s="3" t="inlineStr">
        <is>
          <t>CHIAPPA</t>
        </is>
      </c>
      <c r="H3031" s="65" t="inlineStr">
        <is>
          <t>LITTLE BADGER TDX ADAMANTIUM</t>
        </is>
      </c>
      <c r="I3031" s="65" t="inlineStr">
        <is>
          <t>CFIT25R14205</t>
        </is>
      </c>
      <c r="J3031" s="65" t="inlineStr">
        <is>
          <t>N/D</t>
        </is>
      </c>
      <c r="K3031" s="65" t="inlineStr">
        <is>
          <t>N/D</t>
        </is>
      </c>
      <c r="L3031" s="127" t="inlineStr">
        <is>
          <t>CHIAPPA FIREARMS SRL</t>
        </is>
      </c>
      <c r="M3031" s="5" t="n">
        <v>175.5</v>
      </c>
      <c r="N3031" s="5" t="n"/>
      <c r="O3031" s="5">
        <f>+M3031+N3031</f>
        <v/>
      </c>
      <c r="P3031" s="4" t="n">
        <v>45989</v>
      </c>
      <c r="Q3031" s="87" t="n">
        <v>45989</v>
      </c>
      <c r="R3031" s="5" t="n"/>
      <c r="S3031" s="2" t="n"/>
      <c r="T3031" s="3" t="n"/>
      <c r="U3031" s="87" t="n"/>
      <c r="V3031" s="3" t="n"/>
      <c r="W3031" s="108" t="n"/>
      <c r="X3031" s="4" t="n"/>
    </row>
    <row r="3032" ht="24" customHeight="1">
      <c r="A3032" s="2">
        <f>+D3032-S3032</f>
        <v/>
      </c>
      <c r="B3032" s="80" t="n">
        <v>4624</v>
      </c>
      <c r="C3032" s="66" t="n">
        <v>45994</v>
      </c>
      <c r="D3032" s="2" t="n">
        <v>1</v>
      </c>
      <c r="E3032" s="3" t="inlineStr">
        <is>
          <t>FUCILE MONOCANNA</t>
        </is>
      </c>
      <c r="F3032" s="3" t="inlineStr">
        <is>
          <t>22LR</t>
        </is>
      </c>
      <c r="G3032" s="3" t="inlineStr">
        <is>
          <t>CHIAPPA</t>
        </is>
      </c>
      <c r="H3032" s="65" t="inlineStr">
        <is>
          <t>LITTLE BADGER TDX ADAMANTIUM</t>
        </is>
      </c>
      <c r="I3032" s="65" t="inlineStr">
        <is>
          <t>CFIT25R14206</t>
        </is>
      </c>
      <c r="J3032" s="65" t="inlineStr">
        <is>
          <t>N/D</t>
        </is>
      </c>
      <c r="K3032" s="65" t="inlineStr">
        <is>
          <t>N/D</t>
        </is>
      </c>
      <c r="L3032" s="127" t="inlineStr">
        <is>
          <t>CHIAPPA FIREARMS SRL</t>
        </is>
      </c>
      <c r="M3032" s="5" t="n">
        <v>175.5</v>
      </c>
      <c r="N3032" s="5" t="n"/>
      <c r="O3032" s="5">
        <f>+M3032+N3032</f>
        <v/>
      </c>
      <c r="P3032" s="4" t="n">
        <v>45989</v>
      </c>
      <c r="Q3032" s="87" t="n">
        <v>45989</v>
      </c>
      <c r="R3032" s="5" t="n"/>
      <c r="S3032" s="2" t="n"/>
      <c r="T3032" s="3" t="n"/>
      <c r="U3032" s="87" t="n"/>
      <c r="V3032" s="3" t="n"/>
      <c r="W3032" s="108" t="n"/>
      <c r="X3032" s="4" t="n"/>
    </row>
    <row r="3033" ht="24" customHeight="1">
      <c r="A3033" s="2">
        <f>+D3033-S3033</f>
        <v/>
      </c>
      <c r="B3033" s="80" t="n">
        <v>4625</v>
      </c>
      <c r="C3033" s="66" t="n">
        <v>45994</v>
      </c>
      <c r="D3033" s="2" t="n">
        <v>1</v>
      </c>
      <c r="E3033" s="3" t="inlineStr">
        <is>
          <t>FUCILE MONOCANNA</t>
        </is>
      </c>
      <c r="F3033" s="3" t="inlineStr">
        <is>
          <t>22LR</t>
        </is>
      </c>
      <c r="G3033" s="3" t="inlineStr">
        <is>
          <t>CHIAPPA</t>
        </is>
      </c>
      <c r="H3033" s="65" t="inlineStr">
        <is>
          <t>LITTLE BADGER TDX ADAMANTIUM</t>
        </is>
      </c>
      <c r="I3033" s="65" t="inlineStr">
        <is>
          <t>CFIT25R14207</t>
        </is>
      </c>
      <c r="J3033" s="65" t="inlineStr">
        <is>
          <t>N/D</t>
        </is>
      </c>
      <c r="K3033" s="65" t="inlineStr">
        <is>
          <t>N/D</t>
        </is>
      </c>
      <c r="L3033" s="127" t="inlineStr">
        <is>
          <t>CHIAPPA FIREARMS SRL</t>
        </is>
      </c>
      <c r="M3033" s="5" t="n">
        <v>175.5</v>
      </c>
      <c r="N3033" s="5" t="n"/>
      <c r="O3033" s="5">
        <f>+M3033+N3033</f>
        <v/>
      </c>
      <c r="P3033" s="4" t="n">
        <v>45989</v>
      </c>
      <c r="Q3033" s="87" t="n">
        <v>45989</v>
      </c>
      <c r="R3033" s="5" t="n"/>
      <c r="S3033" s="2" t="n"/>
      <c r="T3033" s="3" t="n"/>
      <c r="U3033" s="87" t="n"/>
      <c r="V3033" s="3" t="n"/>
      <c r="W3033" s="108" t="n"/>
      <c r="X3033" s="4" t="n"/>
    </row>
    <row r="3034" ht="24" customHeight="1">
      <c r="A3034" s="2">
        <f>+D3034-S3034</f>
        <v/>
      </c>
      <c r="B3034" s="80" t="n">
        <v>4626</v>
      </c>
      <c r="C3034" s="66" t="n">
        <v>45994</v>
      </c>
      <c r="D3034" s="2" t="n">
        <v>1</v>
      </c>
      <c r="E3034" s="3" t="inlineStr">
        <is>
          <t>FUCILE MONOCANNA</t>
        </is>
      </c>
      <c r="F3034" s="3" t="inlineStr">
        <is>
          <t>22LR</t>
        </is>
      </c>
      <c r="G3034" s="3" t="inlineStr">
        <is>
          <t>CHIAPPA</t>
        </is>
      </c>
      <c r="H3034" s="65" t="inlineStr">
        <is>
          <t>LITTLE BADGER TDX ADAMANTIUM</t>
        </is>
      </c>
      <c r="I3034" s="65" t="inlineStr">
        <is>
          <t>CFIT25R14208</t>
        </is>
      </c>
      <c r="J3034" s="65" t="inlineStr">
        <is>
          <t>N/D</t>
        </is>
      </c>
      <c r="K3034" s="65" t="inlineStr">
        <is>
          <t>N/D</t>
        </is>
      </c>
      <c r="L3034" s="127" t="inlineStr">
        <is>
          <t>CHIAPPA FIREARMS SRL</t>
        </is>
      </c>
      <c r="M3034" s="5" t="n">
        <v>175.5</v>
      </c>
      <c r="N3034" s="5" t="n"/>
      <c r="O3034" s="5">
        <f>+M3034+N3034</f>
        <v/>
      </c>
      <c r="P3034" s="4" t="n">
        <v>45989</v>
      </c>
      <c r="Q3034" s="87" t="n">
        <v>45989</v>
      </c>
      <c r="R3034" s="5" t="n"/>
      <c r="S3034" s="2" t="n"/>
      <c r="T3034" s="3" t="n"/>
      <c r="U3034" s="87" t="n"/>
      <c r="V3034" s="3" t="n"/>
      <c r="W3034" s="108" t="n"/>
      <c r="X3034" s="4" t="n"/>
    </row>
    <row r="3035" ht="24" customHeight="1">
      <c r="A3035" s="2">
        <f>+D3035-S3035</f>
        <v/>
      </c>
      <c r="B3035" s="80" t="n">
        <v>4627</v>
      </c>
      <c r="C3035" s="66" t="n">
        <v>45994</v>
      </c>
      <c r="D3035" s="2" t="n">
        <v>1</v>
      </c>
      <c r="E3035" s="3" t="inlineStr">
        <is>
          <t>FUCILE MONOCANNA</t>
        </is>
      </c>
      <c r="F3035" s="3" t="inlineStr">
        <is>
          <t>22LR</t>
        </is>
      </c>
      <c r="G3035" s="3" t="inlineStr">
        <is>
          <t>CHIAPPA</t>
        </is>
      </c>
      <c r="H3035" s="65" t="inlineStr">
        <is>
          <t>LITTLE BADGER TDX ADAMANTIUM</t>
        </is>
      </c>
      <c r="I3035" s="65" t="inlineStr">
        <is>
          <t>CFIT25R14209</t>
        </is>
      </c>
      <c r="J3035" s="65" t="inlineStr">
        <is>
          <t>N/D</t>
        </is>
      </c>
      <c r="K3035" s="65" t="inlineStr">
        <is>
          <t>N/D</t>
        </is>
      </c>
      <c r="L3035" s="127" t="inlineStr">
        <is>
          <t>CHIAPPA FIREARMS SRL</t>
        </is>
      </c>
      <c r="M3035" s="5" t="n">
        <v>175.5</v>
      </c>
      <c r="N3035" s="5" t="n"/>
      <c r="O3035" s="5">
        <f>+M3035+N3035</f>
        <v/>
      </c>
      <c r="P3035" s="4" t="n">
        <v>45989</v>
      </c>
      <c r="Q3035" s="87" t="n">
        <v>45989</v>
      </c>
      <c r="R3035" s="5" t="n"/>
      <c r="S3035" s="2" t="n"/>
      <c r="T3035" s="3" t="n"/>
      <c r="U3035" s="87" t="n"/>
      <c r="V3035" s="3" t="n"/>
      <c r="W3035" s="108" t="n"/>
      <c r="X3035" s="4" t="n"/>
    </row>
    <row r="3036" ht="24" customHeight="1">
      <c r="A3036" s="2">
        <f>+D3036-S3036</f>
        <v/>
      </c>
      <c r="B3036" s="80" t="n">
        <v>4628</v>
      </c>
      <c r="C3036" s="66" t="n">
        <v>45994</v>
      </c>
      <c r="D3036" s="2" t="n">
        <v>1</v>
      </c>
      <c r="E3036" s="3" t="inlineStr">
        <is>
          <t>FUCILE MONOCANNA</t>
        </is>
      </c>
      <c r="F3036" s="3" t="inlineStr">
        <is>
          <t>22LR</t>
        </is>
      </c>
      <c r="G3036" s="3" t="inlineStr">
        <is>
          <t>CHIAPPA</t>
        </is>
      </c>
      <c r="H3036" s="65" t="inlineStr">
        <is>
          <t>LITTLE BADGER TDX ADAMANTIUM</t>
        </is>
      </c>
      <c r="I3036" s="65" t="inlineStr">
        <is>
          <t>CFIT25R14210</t>
        </is>
      </c>
      <c r="J3036" s="65" t="inlineStr">
        <is>
          <t>N/D</t>
        </is>
      </c>
      <c r="K3036" s="65" t="inlineStr">
        <is>
          <t>N/D</t>
        </is>
      </c>
      <c r="L3036" s="127" t="inlineStr">
        <is>
          <t>CHIAPPA FIREARMS SRL</t>
        </is>
      </c>
      <c r="M3036" s="5" t="n">
        <v>175.5</v>
      </c>
      <c r="N3036" s="5" t="n"/>
      <c r="O3036" s="5">
        <f>+M3036+N3036</f>
        <v/>
      </c>
      <c r="P3036" s="4" t="n">
        <v>45989</v>
      </c>
      <c r="Q3036" s="87" t="n">
        <v>45989</v>
      </c>
      <c r="R3036" s="5" t="n"/>
      <c r="S3036" s="2" t="n"/>
      <c r="T3036" s="3" t="n"/>
      <c r="U3036" s="87" t="n"/>
      <c r="V3036" s="3" t="n"/>
      <c r="W3036" s="108" t="n"/>
      <c r="X3036" s="4" t="n"/>
    </row>
    <row r="3037" ht="24" customHeight="1">
      <c r="A3037" s="2">
        <f>+D3037-S3037</f>
        <v/>
      </c>
      <c r="B3037" s="80" t="n">
        <v>4629</v>
      </c>
      <c r="C3037" s="66" t="n">
        <v>45994</v>
      </c>
      <c r="D3037" s="2" t="n">
        <v>1</v>
      </c>
      <c r="E3037" s="3" t="inlineStr">
        <is>
          <t>FUCILE MONOCANNA</t>
        </is>
      </c>
      <c r="F3037" s="3" t="inlineStr">
        <is>
          <t>22LR</t>
        </is>
      </c>
      <c r="G3037" s="3" t="inlineStr">
        <is>
          <t>CHIAPPA</t>
        </is>
      </c>
      <c r="H3037" s="65" t="inlineStr">
        <is>
          <t>LITTLE BADGER TDX ADAMANTIUM</t>
        </is>
      </c>
      <c r="I3037" s="65" t="inlineStr">
        <is>
          <t>CFIT25R14211</t>
        </is>
      </c>
      <c r="J3037" s="65" t="inlineStr">
        <is>
          <t>N/D</t>
        </is>
      </c>
      <c r="K3037" s="65" t="inlineStr">
        <is>
          <t>N/D</t>
        </is>
      </c>
      <c r="L3037" s="127" t="inlineStr">
        <is>
          <t>CHIAPPA FIREARMS SRL</t>
        </is>
      </c>
      <c r="M3037" s="5" t="n">
        <v>175.5</v>
      </c>
      <c r="N3037" s="5" t="n"/>
      <c r="O3037" s="5">
        <f>+M3037+N3037</f>
        <v/>
      </c>
      <c r="P3037" s="4" t="n">
        <v>45989</v>
      </c>
      <c r="Q3037" s="87" t="n">
        <v>45989</v>
      </c>
      <c r="R3037" s="5" t="n"/>
      <c r="S3037" s="2" t="n"/>
      <c r="T3037" s="3" t="n"/>
      <c r="U3037" s="87" t="n"/>
      <c r="V3037" s="3" t="n"/>
      <c r="W3037" s="108" t="n"/>
      <c r="X3037" s="4" t="n"/>
    </row>
    <row r="3038" ht="24" customHeight="1">
      <c r="A3038" s="2">
        <f>+D3038-S3038</f>
        <v/>
      </c>
      <c r="B3038" s="80" t="n">
        <v>4630</v>
      </c>
      <c r="C3038" s="66" t="n">
        <v>45994</v>
      </c>
      <c r="D3038" s="2" t="n">
        <v>1</v>
      </c>
      <c r="E3038" s="3" t="inlineStr">
        <is>
          <t>FUCILE MONOCANNA</t>
        </is>
      </c>
      <c r="F3038" s="3" t="inlineStr">
        <is>
          <t>22LR</t>
        </is>
      </c>
      <c r="G3038" s="3" t="inlineStr">
        <is>
          <t>CHIAPPA</t>
        </is>
      </c>
      <c r="H3038" s="65" t="inlineStr">
        <is>
          <t>LITTLE BADGER TDX ADAMANTIUM</t>
        </is>
      </c>
      <c r="I3038" s="65" t="inlineStr">
        <is>
          <t>CFIT25R14212</t>
        </is>
      </c>
      <c r="J3038" s="65" t="inlineStr">
        <is>
          <t>N/D</t>
        </is>
      </c>
      <c r="K3038" s="65" t="inlineStr">
        <is>
          <t>N/D</t>
        </is>
      </c>
      <c r="L3038" s="127" t="inlineStr">
        <is>
          <t>CHIAPPA FIREARMS SRL</t>
        </is>
      </c>
      <c r="M3038" s="5" t="n">
        <v>175.5</v>
      </c>
      <c r="N3038" s="5" t="n"/>
      <c r="O3038" s="5">
        <f>+M3038+N3038</f>
        <v/>
      </c>
      <c r="P3038" s="4" t="n">
        <v>45989</v>
      </c>
      <c r="Q3038" s="87" t="n">
        <v>45989</v>
      </c>
      <c r="R3038" s="5" t="n"/>
      <c r="S3038" s="2" t="n"/>
      <c r="T3038" s="3" t="n"/>
      <c r="U3038" s="87" t="n"/>
      <c r="V3038" s="3" t="n"/>
      <c r="W3038" s="108" t="n"/>
      <c r="X3038" s="4" t="n"/>
    </row>
    <row r="3039" ht="24" customHeight="1">
      <c r="A3039" s="2">
        <f>+D3039-S3039</f>
        <v/>
      </c>
      <c r="B3039" s="80" t="n">
        <v>4631</v>
      </c>
      <c r="C3039" s="66" t="n">
        <v>45994</v>
      </c>
      <c r="D3039" s="2" t="n">
        <v>1</v>
      </c>
      <c r="E3039" s="3" t="inlineStr">
        <is>
          <t>FUCILE MONOCANNA</t>
        </is>
      </c>
      <c r="F3039" s="3" t="inlineStr">
        <is>
          <t>22LR</t>
        </is>
      </c>
      <c r="G3039" s="3" t="inlineStr">
        <is>
          <t>CHIAPPA</t>
        </is>
      </c>
      <c r="H3039" s="65" t="inlineStr">
        <is>
          <t>LITTLE BADGER TDX ADAMANTIUM</t>
        </is>
      </c>
      <c r="I3039" s="65" t="inlineStr">
        <is>
          <t>CFIT25R14213</t>
        </is>
      </c>
      <c r="J3039" s="65" t="inlineStr">
        <is>
          <t>N/D</t>
        </is>
      </c>
      <c r="K3039" s="65" t="inlineStr">
        <is>
          <t>N/D</t>
        </is>
      </c>
      <c r="L3039" s="127" t="inlineStr">
        <is>
          <t>CHIAPPA FIREARMS SRL</t>
        </is>
      </c>
      <c r="M3039" s="5" t="n">
        <v>175.5</v>
      </c>
      <c r="N3039" s="5" t="n"/>
      <c r="O3039" s="5">
        <f>+M3039+N3039</f>
        <v/>
      </c>
      <c r="P3039" s="4" t="n">
        <v>45989</v>
      </c>
      <c r="Q3039" s="87" t="n">
        <v>45989</v>
      </c>
      <c r="R3039" s="5" t="n"/>
      <c r="S3039" s="2" t="n"/>
      <c r="T3039" s="3" t="n"/>
      <c r="U3039" s="87" t="n"/>
      <c r="V3039" s="3" t="n"/>
      <c r="W3039" s="108" t="n"/>
      <c r="X3039" s="4" t="n"/>
    </row>
    <row r="3040" ht="24" customHeight="1">
      <c r="A3040" s="2">
        <f>+D3040-S3040</f>
        <v/>
      </c>
      <c r="B3040" s="80" t="n">
        <v>4632</v>
      </c>
      <c r="C3040" s="66" t="n">
        <v>45994</v>
      </c>
      <c r="D3040" s="2" t="n">
        <v>1</v>
      </c>
      <c r="E3040" s="3" t="inlineStr">
        <is>
          <t>FUCILE MONOCANNA</t>
        </is>
      </c>
      <c r="F3040" s="3" t="inlineStr">
        <is>
          <t>22LR</t>
        </is>
      </c>
      <c r="G3040" s="3" t="inlineStr">
        <is>
          <t>CHIAPPA</t>
        </is>
      </c>
      <c r="H3040" s="65" t="inlineStr">
        <is>
          <t>LITTLE BADGER TDX ADAMANTIUM</t>
        </is>
      </c>
      <c r="I3040" s="65" t="inlineStr">
        <is>
          <t>CFIT25R14214</t>
        </is>
      </c>
      <c r="J3040" s="65" t="inlineStr">
        <is>
          <t>N/D</t>
        </is>
      </c>
      <c r="K3040" s="65" t="inlineStr">
        <is>
          <t>N/D</t>
        </is>
      </c>
      <c r="L3040" s="127" t="inlineStr">
        <is>
          <t>CHIAPPA FIREARMS SRL</t>
        </is>
      </c>
      <c r="M3040" s="5" t="n">
        <v>175.5</v>
      </c>
      <c r="N3040" s="5" t="n"/>
      <c r="O3040" s="5">
        <f>+M3040+N3040</f>
        <v/>
      </c>
      <c r="P3040" s="4" t="n">
        <v>45989</v>
      </c>
      <c r="Q3040" s="87" t="n">
        <v>45989</v>
      </c>
      <c r="R3040" s="5" t="n"/>
      <c r="S3040" s="2" t="n"/>
      <c r="T3040" s="3" t="n"/>
      <c r="U3040" s="87" t="n"/>
      <c r="V3040" s="3" t="n"/>
      <c r="W3040" s="108" t="n"/>
      <c r="X3040" s="4" t="n"/>
    </row>
    <row r="3041" ht="24" customHeight="1">
      <c r="A3041" s="2">
        <f>+D3041-S3041</f>
        <v/>
      </c>
      <c r="B3041" s="80" t="n">
        <v>4633</v>
      </c>
      <c r="C3041" s="66" t="n">
        <v>45994</v>
      </c>
      <c r="D3041" s="2" t="n">
        <v>1</v>
      </c>
      <c r="E3041" s="3" t="inlineStr">
        <is>
          <t>FUCILE MONOCANNA</t>
        </is>
      </c>
      <c r="F3041" s="3" t="inlineStr">
        <is>
          <t>22LR</t>
        </is>
      </c>
      <c r="G3041" s="3" t="inlineStr">
        <is>
          <t>CHIAPPA</t>
        </is>
      </c>
      <c r="H3041" s="65" t="inlineStr">
        <is>
          <t>LITTLE BADGER TDX ADAMANTIUM</t>
        </is>
      </c>
      <c r="I3041" s="65" t="inlineStr">
        <is>
          <t>CFIT25R14215</t>
        </is>
      </c>
      <c r="J3041" s="65" t="inlineStr">
        <is>
          <t>N/D</t>
        </is>
      </c>
      <c r="K3041" s="65" t="inlineStr">
        <is>
          <t>N/D</t>
        </is>
      </c>
      <c r="L3041" s="127" t="inlineStr">
        <is>
          <t>CHIAPPA FIREARMS SRL</t>
        </is>
      </c>
      <c r="M3041" s="5" t="n">
        <v>175.5</v>
      </c>
      <c r="N3041" s="5" t="n"/>
      <c r="O3041" s="5">
        <f>+M3041+N3041</f>
        <v/>
      </c>
      <c r="P3041" s="4" t="n">
        <v>45989</v>
      </c>
      <c r="Q3041" s="87" t="n">
        <v>45989</v>
      </c>
      <c r="R3041" s="5" t="n"/>
      <c r="S3041" s="2" t="n"/>
      <c r="T3041" s="3" t="n"/>
      <c r="U3041" s="87" t="n"/>
      <c r="V3041" s="3" t="n"/>
      <c r="W3041" s="108" t="n"/>
      <c r="X3041" s="4" t="n"/>
    </row>
    <row r="3042" ht="24" customHeight="1">
      <c r="A3042" s="2">
        <f>+D3042-S3042</f>
        <v/>
      </c>
      <c r="B3042" s="80" t="n">
        <v>4634</v>
      </c>
      <c r="C3042" s="66" t="n">
        <v>45994</v>
      </c>
      <c r="D3042" s="2" t="n">
        <v>1</v>
      </c>
      <c r="E3042" s="3" t="inlineStr">
        <is>
          <t>FUCILE MONOCANNA</t>
        </is>
      </c>
      <c r="F3042" s="3" t="inlineStr">
        <is>
          <t>22LR</t>
        </is>
      </c>
      <c r="G3042" s="3" t="inlineStr">
        <is>
          <t>CHIAPPA</t>
        </is>
      </c>
      <c r="H3042" s="65" t="inlineStr">
        <is>
          <t>LITTLE BADGER TDX ADAMANTIUM</t>
        </is>
      </c>
      <c r="I3042" s="65" t="inlineStr">
        <is>
          <t>CFIT25R14216</t>
        </is>
      </c>
      <c r="J3042" s="65" t="inlineStr">
        <is>
          <t>N/D</t>
        </is>
      </c>
      <c r="K3042" s="65" t="inlineStr">
        <is>
          <t>N/D</t>
        </is>
      </c>
      <c r="L3042" s="127" t="inlineStr">
        <is>
          <t>CHIAPPA FIREARMS SRL</t>
        </is>
      </c>
      <c r="M3042" s="5" t="n">
        <v>175.5</v>
      </c>
      <c r="N3042" s="5" t="n"/>
      <c r="O3042" s="5">
        <f>+M3042+N3042</f>
        <v/>
      </c>
      <c r="P3042" s="4" t="n">
        <v>45989</v>
      </c>
      <c r="Q3042" s="87" t="n">
        <v>45989</v>
      </c>
      <c r="R3042" s="5" t="n"/>
      <c r="S3042" s="2" t="n"/>
      <c r="T3042" s="3" t="n"/>
      <c r="U3042" s="87" t="n"/>
      <c r="V3042" s="3" t="n"/>
      <c r="W3042" s="108" t="n"/>
      <c r="X3042" s="4" t="n"/>
    </row>
    <row r="3043" ht="24" customHeight="1">
      <c r="A3043" s="2">
        <f>+D3043-S3043</f>
        <v/>
      </c>
      <c r="B3043" s="80" t="n">
        <v>4635</v>
      </c>
      <c r="C3043" s="66" t="n">
        <v>45994</v>
      </c>
      <c r="D3043" s="2" t="n">
        <v>1</v>
      </c>
      <c r="E3043" s="3" t="inlineStr">
        <is>
          <t>FUCILE MONOCANNA</t>
        </is>
      </c>
      <c r="F3043" s="3" t="inlineStr">
        <is>
          <t>22LR</t>
        </is>
      </c>
      <c r="G3043" s="3" t="inlineStr">
        <is>
          <t>CHIAPPA</t>
        </is>
      </c>
      <c r="H3043" s="65" t="inlineStr">
        <is>
          <t>LITTLE BADGER TDX ADAMANTIUM</t>
        </is>
      </c>
      <c r="I3043" s="65" t="inlineStr">
        <is>
          <t>CFIT25R14217</t>
        </is>
      </c>
      <c r="J3043" s="65" t="inlineStr">
        <is>
          <t>N/D</t>
        </is>
      </c>
      <c r="K3043" s="65" t="inlineStr">
        <is>
          <t>N/D</t>
        </is>
      </c>
      <c r="L3043" s="127" t="inlineStr">
        <is>
          <t>CHIAPPA FIREARMS SRL</t>
        </is>
      </c>
      <c r="M3043" s="5" t="n">
        <v>175.5</v>
      </c>
      <c r="N3043" s="5" t="n"/>
      <c r="O3043" s="5">
        <f>+M3043+N3043</f>
        <v/>
      </c>
      <c r="P3043" s="4" t="n">
        <v>45989</v>
      </c>
      <c r="Q3043" s="87" t="n">
        <v>45989</v>
      </c>
      <c r="R3043" s="5" t="n"/>
      <c r="S3043" s="2" t="n"/>
      <c r="T3043" s="3" t="n"/>
      <c r="U3043" s="87" t="n"/>
      <c r="V3043" s="3" t="n"/>
      <c r="W3043" s="108" t="n"/>
      <c r="X3043" s="4" t="n"/>
    </row>
    <row r="3044" ht="24" customHeight="1">
      <c r="A3044" s="2">
        <f>+D3044-S3044</f>
        <v/>
      </c>
      <c r="B3044" s="80" t="n">
        <v>4636</v>
      </c>
      <c r="C3044" s="66" t="n">
        <v>45994</v>
      </c>
      <c r="D3044" s="2" t="n">
        <v>1</v>
      </c>
      <c r="E3044" s="3" t="inlineStr">
        <is>
          <t>FUCILE MONOCANNA</t>
        </is>
      </c>
      <c r="F3044" s="3" t="inlineStr">
        <is>
          <t>22LR</t>
        </is>
      </c>
      <c r="G3044" s="3" t="inlineStr">
        <is>
          <t>CHIAPPA</t>
        </is>
      </c>
      <c r="H3044" s="65" t="inlineStr">
        <is>
          <t>LITTLE BADGER TDX ADAMANTIUM</t>
        </is>
      </c>
      <c r="I3044" s="65" t="inlineStr">
        <is>
          <t>CFIT25R14218</t>
        </is>
      </c>
      <c r="J3044" s="65" t="inlineStr">
        <is>
          <t>N/D</t>
        </is>
      </c>
      <c r="K3044" s="65" t="inlineStr">
        <is>
          <t>N/D</t>
        </is>
      </c>
      <c r="L3044" s="127" t="inlineStr">
        <is>
          <t>CHIAPPA FIREARMS SRL</t>
        </is>
      </c>
      <c r="M3044" s="5" t="n">
        <v>175.5</v>
      </c>
      <c r="N3044" s="5" t="n"/>
      <c r="O3044" s="5">
        <f>+M3044+N3044</f>
        <v/>
      </c>
      <c r="P3044" s="4" t="n">
        <v>45989</v>
      </c>
      <c r="Q3044" s="87" t="n">
        <v>45989</v>
      </c>
      <c r="R3044" s="5" t="n"/>
      <c r="S3044" s="2" t="n"/>
      <c r="T3044" s="3" t="n"/>
      <c r="U3044" s="87" t="n"/>
      <c r="V3044" s="3" t="n"/>
      <c r="W3044" s="108" t="n"/>
      <c r="X3044" s="4" t="n"/>
    </row>
    <row r="3045" ht="24" customHeight="1">
      <c r="A3045" s="2">
        <f>+D3045-S3045</f>
        <v/>
      </c>
      <c r="B3045" s="80" t="n">
        <v>4637</v>
      </c>
      <c r="C3045" s="66" t="n">
        <v>45994</v>
      </c>
      <c r="D3045" s="2" t="n">
        <v>1</v>
      </c>
      <c r="E3045" s="3" t="inlineStr">
        <is>
          <t>FUCILE MONOCANNA</t>
        </is>
      </c>
      <c r="F3045" s="3" t="inlineStr">
        <is>
          <t>22LR</t>
        </is>
      </c>
      <c r="G3045" s="3" t="inlineStr">
        <is>
          <t>CHIAPPA</t>
        </is>
      </c>
      <c r="H3045" s="65" t="inlineStr">
        <is>
          <t>LITTLE BADGER TDX ADAMANTIUM</t>
        </is>
      </c>
      <c r="I3045" s="65" t="inlineStr">
        <is>
          <t>CFIT25R14219</t>
        </is>
      </c>
      <c r="J3045" s="65" t="inlineStr">
        <is>
          <t>N/D</t>
        </is>
      </c>
      <c r="K3045" s="65" t="inlineStr">
        <is>
          <t>N/D</t>
        </is>
      </c>
      <c r="L3045" s="127" t="inlineStr">
        <is>
          <t>CHIAPPA FIREARMS SRL</t>
        </is>
      </c>
      <c r="M3045" s="5" t="n">
        <v>175.5</v>
      </c>
      <c r="N3045" s="5" t="n"/>
      <c r="O3045" s="5">
        <f>+M3045+N3045</f>
        <v/>
      </c>
      <c r="P3045" s="4" t="n">
        <v>45989</v>
      </c>
      <c r="Q3045" s="87" t="n">
        <v>45989</v>
      </c>
      <c r="R3045" s="5" t="n"/>
      <c r="S3045" s="2" t="n"/>
      <c r="T3045" s="3" t="n"/>
      <c r="U3045" s="87" t="n"/>
      <c r="V3045" s="3" t="n"/>
      <c r="W3045" s="108" t="n"/>
      <c r="X3045" s="4" t="n"/>
    </row>
    <row r="3046" ht="24" customHeight="1">
      <c r="A3046" s="2">
        <f>+D3046-S3046</f>
        <v/>
      </c>
      <c r="B3046" s="80" t="n">
        <v>4638</v>
      </c>
      <c r="C3046" s="66" t="n">
        <v>45994</v>
      </c>
      <c r="D3046" s="2" t="n">
        <v>1</v>
      </c>
      <c r="E3046" s="3" t="inlineStr">
        <is>
          <t>FUCILE MONOCANNA</t>
        </is>
      </c>
      <c r="F3046" s="3" t="inlineStr">
        <is>
          <t>22LR</t>
        </is>
      </c>
      <c r="G3046" s="3" t="inlineStr">
        <is>
          <t>CHIAPPA</t>
        </is>
      </c>
      <c r="H3046" s="65" t="inlineStr">
        <is>
          <t>LITTLE BADGER TDX ADAMANTIUM</t>
        </is>
      </c>
      <c r="I3046" s="65" t="inlineStr">
        <is>
          <t>CFIT25R14220</t>
        </is>
      </c>
      <c r="J3046" s="65" t="inlineStr">
        <is>
          <t>N/D</t>
        </is>
      </c>
      <c r="K3046" s="65" t="inlineStr">
        <is>
          <t>N/D</t>
        </is>
      </c>
      <c r="L3046" s="127" t="inlineStr">
        <is>
          <t>CHIAPPA FIREARMS SRL</t>
        </is>
      </c>
      <c r="M3046" s="5" t="n">
        <v>175.5</v>
      </c>
      <c r="N3046" s="5" t="n"/>
      <c r="O3046" s="5">
        <f>+M3046+N3046</f>
        <v/>
      </c>
      <c r="P3046" s="4" t="n">
        <v>45989</v>
      </c>
      <c r="Q3046" s="87" t="n">
        <v>45989</v>
      </c>
      <c r="R3046" s="5" t="n"/>
      <c r="S3046" s="2" t="n"/>
      <c r="T3046" s="3" t="n"/>
      <c r="U3046" s="87" t="n"/>
      <c r="V3046" s="3" t="n"/>
      <c r="W3046" s="108" t="n"/>
      <c r="X3046" s="4" t="n"/>
    </row>
    <row r="3047" ht="24" customHeight="1">
      <c r="A3047" s="2">
        <f>+D3047-S3047</f>
        <v/>
      </c>
      <c r="B3047" s="80" t="n">
        <v>4639</v>
      </c>
      <c r="C3047" s="66" t="n">
        <v>45994</v>
      </c>
      <c r="D3047" s="2" t="n">
        <v>1</v>
      </c>
      <c r="E3047" s="3" t="inlineStr">
        <is>
          <t>FUCILE MONOCANNA</t>
        </is>
      </c>
      <c r="F3047" s="3" t="inlineStr">
        <is>
          <t>22LR</t>
        </is>
      </c>
      <c r="G3047" s="3" t="inlineStr">
        <is>
          <t>CHIAPPA</t>
        </is>
      </c>
      <c r="H3047" s="65" t="inlineStr">
        <is>
          <t>LITTLE BADGER TDX ADAMANTIUM</t>
        </is>
      </c>
      <c r="I3047" s="65" t="inlineStr">
        <is>
          <t>CFIT25R14221</t>
        </is>
      </c>
      <c r="J3047" s="65" t="inlineStr">
        <is>
          <t>N/D</t>
        </is>
      </c>
      <c r="K3047" s="65" t="inlineStr">
        <is>
          <t>N/D</t>
        </is>
      </c>
      <c r="L3047" s="127" t="inlineStr">
        <is>
          <t>CHIAPPA FIREARMS SRL</t>
        </is>
      </c>
      <c r="M3047" s="5" t="n">
        <v>175.5</v>
      </c>
      <c r="N3047" s="5" t="n"/>
      <c r="O3047" s="5">
        <f>+M3047+N3047</f>
        <v/>
      </c>
      <c r="P3047" s="4" t="n">
        <v>45989</v>
      </c>
      <c r="Q3047" s="87" t="n">
        <v>45989</v>
      </c>
      <c r="R3047" s="5" t="n"/>
      <c r="S3047" s="2" t="n"/>
      <c r="T3047" s="3" t="n"/>
      <c r="U3047" s="87" t="n"/>
      <c r="V3047" s="3" t="n"/>
      <c r="W3047" s="108" t="n"/>
      <c r="X3047" s="4" t="n"/>
    </row>
    <row r="3048" ht="24" customHeight="1">
      <c r="A3048" s="2">
        <f>+D3048-S3048</f>
        <v/>
      </c>
      <c r="B3048" s="80" t="n">
        <v>4640</v>
      </c>
      <c r="C3048" s="66" t="n">
        <v>45994</v>
      </c>
      <c r="D3048" s="2" t="n">
        <v>1</v>
      </c>
      <c r="E3048" s="3" t="inlineStr">
        <is>
          <t>FUCILE MONOCANNA</t>
        </is>
      </c>
      <c r="F3048" s="3" t="inlineStr">
        <is>
          <t>22LR</t>
        </is>
      </c>
      <c r="G3048" s="3" t="inlineStr">
        <is>
          <t>CHIAPPA</t>
        </is>
      </c>
      <c r="H3048" s="65" t="inlineStr">
        <is>
          <t>LITTLE BADGER TDX ADAMANTIUM</t>
        </is>
      </c>
      <c r="I3048" s="65" t="inlineStr">
        <is>
          <t>CFIT25R14222</t>
        </is>
      </c>
      <c r="J3048" s="65" t="inlineStr">
        <is>
          <t>N/D</t>
        </is>
      </c>
      <c r="K3048" s="65" t="inlineStr">
        <is>
          <t>N/D</t>
        </is>
      </c>
      <c r="L3048" s="127" t="inlineStr">
        <is>
          <t>CHIAPPA FIREARMS SRL</t>
        </is>
      </c>
      <c r="M3048" s="5" t="n">
        <v>175.5</v>
      </c>
      <c r="N3048" s="5" t="n"/>
      <c r="O3048" s="5">
        <f>+M3048+N3048</f>
        <v/>
      </c>
      <c r="P3048" s="4" t="n">
        <v>45989</v>
      </c>
      <c r="Q3048" s="87" t="n">
        <v>45989</v>
      </c>
      <c r="R3048" s="5" t="n"/>
      <c r="S3048" s="2" t="n"/>
      <c r="T3048" s="3" t="n"/>
      <c r="U3048" s="87" t="n"/>
      <c r="V3048" s="3" t="n"/>
      <c r="W3048" s="108" t="n"/>
      <c r="X3048" s="4" t="n"/>
    </row>
    <row r="3049" ht="24" customHeight="1">
      <c r="A3049" s="2">
        <f>+D3049-S3049</f>
        <v/>
      </c>
      <c r="B3049" s="80" t="n">
        <v>4641</v>
      </c>
      <c r="C3049" s="66" t="n">
        <v>45994</v>
      </c>
      <c r="D3049" s="2" t="n">
        <v>1</v>
      </c>
      <c r="E3049" s="3" t="inlineStr">
        <is>
          <t>FUCILE MONOCANNA</t>
        </is>
      </c>
      <c r="F3049" s="3" t="inlineStr">
        <is>
          <t>22LR</t>
        </is>
      </c>
      <c r="G3049" s="3" t="inlineStr">
        <is>
          <t>CHIAPPA</t>
        </is>
      </c>
      <c r="H3049" s="65" t="inlineStr">
        <is>
          <t>LITTLE BADGER 16.5''</t>
        </is>
      </c>
      <c r="I3049" s="65" t="inlineStr">
        <is>
          <t>CFIT25R13425</t>
        </is>
      </c>
      <c r="J3049" s="65" t="inlineStr">
        <is>
          <t>N/D</t>
        </is>
      </c>
      <c r="K3049" s="65" t="inlineStr">
        <is>
          <t>N/D</t>
        </is>
      </c>
      <c r="L3049" s="127" t="inlineStr">
        <is>
          <t>CHIAPPA FIREARMS SRL</t>
        </is>
      </c>
      <c r="M3049" s="5" t="n">
        <v>91.5</v>
      </c>
      <c r="N3049" s="5" t="n"/>
      <c r="O3049" s="5">
        <f>+M3049+N3049</f>
        <v/>
      </c>
      <c r="P3049" s="4" t="n">
        <v>45989</v>
      </c>
      <c r="Q3049" s="87" t="n">
        <v>45989</v>
      </c>
      <c r="R3049" s="5" t="n">
        <v>140.3</v>
      </c>
      <c r="S3049" s="2" t="n">
        <v>1</v>
      </c>
      <c r="T3049" s="3" t="inlineStr">
        <is>
          <t>6B/2025/7M</t>
        </is>
      </c>
      <c r="U3049" s="87" t="n">
        <v>46003</v>
      </c>
      <c r="V3049" s="3" t="inlineStr">
        <is>
          <t>35</t>
        </is>
      </c>
      <c r="W3049" s="108" t="n">
        <v>46003</v>
      </c>
      <c r="X3049" s="4" t="inlineStr">
        <is>
          <t>BIN HUMAID NATIONAL TRADING CO</t>
        </is>
      </c>
    </row>
    <row r="3050" ht="24" customHeight="1">
      <c r="A3050" s="2">
        <f>+D3050-S3050</f>
        <v/>
      </c>
      <c r="B3050" s="80" t="n">
        <v>4642</v>
      </c>
      <c r="C3050" s="66" t="n">
        <v>45994</v>
      </c>
      <c r="D3050" s="2" t="n">
        <v>1</v>
      </c>
      <c r="E3050" s="3" t="inlineStr">
        <is>
          <t>FUCILE MONOCANNA</t>
        </is>
      </c>
      <c r="F3050" s="3" t="inlineStr">
        <is>
          <t>22LR</t>
        </is>
      </c>
      <c r="G3050" s="3" t="inlineStr">
        <is>
          <t>CHIAPPA</t>
        </is>
      </c>
      <c r="H3050" s="65" t="inlineStr">
        <is>
          <t>LITTLE BADGER 16.5''</t>
        </is>
      </c>
      <c r="I3050" s="65" t="inlineStr">
        <is>
          <t>CFIT25R13426</t>
        </is>
      </c>
      <c r="J3050" s="65" t="inlineStr">
        <is>
          <t>N/D</t>
        </is>
      </c>
      <c r="K3050" s="65" t="inlineStr">
        <is>
          <t>N/D</t>
        </is>
      </c>
      <c r="L3050" s="127" t="inlineStr">
        <is>
          <t>CHIAPPA FIREARMS SRL</t>
        </is>
      </c>
      <c r="M3050" s="5" t="n">
        <v>91.5</v>
      </c>
      <c r="N3050" s="5" t="n"/>
      <c r="O3050" s="5">
        <f>+M3050+N3050</f>
        <v/>
      </c>
      <c r="P3050" s="4" t="n">
        <v>45989</v>
      </c>
      <c r="Q3050" s="87" t="n">
        <v>45989</v>
      </c>
      <c r="R3050" s="5" t="n">
        <v>140.3</v>
      </c>
      <c r="S3050" s="2" t="n">
        <v>1</v>
      </c>
      <c r="T3050" s="3" t="inlineStr">
        <is>
          <t>6B/2025/7M</t>
        </is>
      </c>
      <c r="U3050" s="87" t="n">
        <v>46003</v>
      </c>
      <c r="V3050" s="3" t="inlineStr">
        <is>
          <t>35</t>
        </is>
      </c>
      <c r="W3050" s="108" t="n">
        <v>46003</v>
      </c>
      <c r="X3050" s="4" t="inlineStr">
        <is>
          <t>BIN HUMAID NATIONAL TRADING CO</t>
        </is>
      </c>
    </row>
    <row r="3051" ht="24" customHeight="1">
      <c r="A3051" s="2">
        <f>+D3051-S3051</f>
        <v/>
      </c>
      <c r="B3051" s="80" t="n">
        <v>4643</v>
      </c>
      <c r="C3051" s="66" t="n">
        <v>45994</v>
      </c>
      <c r="D3051" s="2" t="n">
        <v>1</v>
      </c>
      <c r="E3051" s="3" t="inlineStr">
        <is>
          <t>FUCILE MONOCANNA</t>
        </is>
      </c>
      <c r="F3051" s="3" t="inlineStr">
        <is>
          <t>22LR</t>
        </is>
      </c>
      <c r="G3051" s="3" t="inlineStr">
        <is>
          <t>CHIAPPA</t>
        </is>
      </c>
      <c r="H3051" s="65" t="inlineStr">
        <is>
          <t>LITTLE BADGER 16.5''</t>
        </is>
      </c>
      <c r="I3051" s="65" t="inlineStr">
        <is>
          <t>CFIT25R13427</t>
        </is>
      </c>
      <c r="J3051" s="65" t="inlineStr">
        <is>
          <t>N/D</t>
        </is>
      </c>
      <c r="K3051" s="65" t="inlineStr">
        <is>
          <t>N/D</t>
        </is>
      </c>
      <c r="L3051" s="127" t="inlineStr">
        <is>
          <t>CHIAPPA FIREARMS SRL</t>
        </is>
      </c>
      <c r="M3051" s="5" t="n">
        <v>91.5</v>
      </c>
      <c r="N3051" s="5" t="n"/>
      <c r="O3051" s="5">
        <f>+M3051+N3051</f>
        <v/>
      </c>
      <c r="P3051" s="4" t="n">
        <v>45989</v>
      </c>
      <c r="Q3051" s="87" t="n">
        <v>45989</v>
      </c>
      <c r="R3051" s="5" t="n">
        <v>140.3</v>
      </c>
      <c r="S3051" s="2" t="n">
        <v>1</v>
      </c>
      <c r="T3051" s="3" t="inlineStr">
        <is>
          <t>6B/2025/7M</t>
        </is>
      </c>
      <c r="U3051" s="87" t="n">
        <v>46003</v>
      </c>
      <c r="V3051" s="3" t="inlineStr">
        <is>
          <t>35</t>
        </is>
      </c>
      <c r="W3051" s="108" t="n">
        <v>46003</v>
      </c>
      <c r="X3051" s="4" t="inlineStr">
        <is>
          <t>BIN HUMAID NATIONAL TRADING CO</t>
        </is>
      </c>
    </row>
    <row r="3052" ht="24" customHeight="1">
      <c r="A3052" s="2">
        <f>+D3052-S3052</f>
        <v/>
      </c>
      <c r="B3052" s="80" t="n">
        <v>4644</v>
      </c>
      <c r="C3052" s="66" t="n">
        <v>45994</v>
      </c>
      <c r="D3052" s="2" t="n">
        <v>1</v>
      </c>
      <c r="E3052" s="3" t="inlineStr">
        <is>
          <t>FUCILE MONOCANNA</t>
        </is>
      </c>
      <c r="F3052" s="3" t="inlineStr">
        <is>
          <t>22LR</t>
        </is>
      </c>
      <c r="G3052" s="3" t="inlineStr">
        <is>
          <t>CHIAPPA</t>
        </is>
      </c>
      <c r="H3052" s="65" t="inlineStr">
        <is>
          <t>LITTLE BADGER 16.5''</t>
        </is>
      </c>
      <c r="I3052" s="65" t="inlineStr">
        <is>
          <t>CFIT25R13428</t>
        </is>
      </c>
      <c r="J3052" s="65" t="inlineStr">
        <is>
          <t>N/D</t>
        </is>
      </c>
      <c r="K3052" s="65" t="inlineStr">
        <is>
          <t>N/D</t>
        </is>
      </c>
      <c r="L3052" s="127" t="inlineStr">
        <is>
          <t>CHIAPPA FIREARMS SRL</t>
        </is>
      </c>
      <c r="M3052" s="5" t="n">
        <v>91.5</v>
      </c>
      <c r="N3052" s="5" t="n"/>
      <c r="O3052" s="5">
        <f>+M3052+N3052</f>
        <v/>
      </c>
      <c r="P3052" s="4" t="n">
        <v>45989</v>
      </c>
      <c r="Q3052" s="87" t="n">
        <v>45989</v>
      </c>
      <c r="R3052" s="5" t="n">
        <v>140.3</v>
      </c>
      <c r="S3052" s="2" t="n">
        <v>1</v>
      </c>
      <c r="T3052" s="3" t="inlineStr">
        <is>
          <t>6B/2025/7M</t>
        </is>
      </c>
      <c r="U3052" s="87" t="n">
        <v>46003</v>
      </c>
      <c r="V3052" s="3" t="inlineStr">
        <is>
          <t>35</t>
        </is>
      </c>
      <c r="W3052" s="108" t="n">
        <v>46003</v>
      </c>
      <c r="X3052" s="4" t="inlineStr">
        <is>
          <t>BIN HUMAID NATIONAL TRADING CO</t>
        </is>
      </c>
    </row>
    <row r="3053" ht="24" customHeight="1">
      <c r="A3053" s="2">
        <f>+D3053-S3053</f>
        <v/>
      </c>
      <c r="B3053" s="80" t="n">
        <v>4645</v>
      </c>
      <c r="C3053" s="66" t="n">
        <v>45994</v>
      </c>
      <c r="D3053" s="2" t="n">
        <v>1</v>
      </c>
      <c r="E3053" s="3" t="inlineStr">
        <is>
          <t>FUCILE MONOCANNA</t>
        </is>
      </c>
      <c r="F3053" s="3" t="inlineStr">
        <is>
          <t>22LR</t>
        </is>
      </c>
      <c r="G3053" s="3" t="inlineStr">
        <is>
          <t>CHIAPPA</t>
        </is>
      </c>
      <c r="H3053" s="65" t="inlineStr">
        <is>
          <t>LITTLE BADGER 16.5''</t>
        </is>
      </c>
      <c r="I3053" s="65" t="inlineStr">
        <is>
          <t>CFIT25R13429</t>
        </is>
      </c>
      <c r="J3053" s="65" t="inlineStr">
        <is>
          <t>N/D</t>
        </is>
      </c>
      <c r="K3053" s="65" t="inlineStr">
        <is>
          <t>N/D</t>
        </is>
      </c>
      <c r="L3053" s="127" t="inlineStr">
        <is>
          <t>CHIAPPA FIREARMS SRL</t>
        </is>
      </c>
      <c r="M3053" s="5" t="n">
        <v>91.5</v>
      </c>
      <c r="N3053" s="5" t="n"/>
      <c r="O3053" s="5">
        <f>+M3053+N3053</f>
        <v/>
      </c>
      <c r="P3053" s="4" t="n">
        <v>45989</v>
      </c>
      <c r="Q3053" s="87" t="n">
        <v>45989</v>
      </c>
      <c r="R3053" s="5" t="n">
        <v>140.3</v>
      </c>
      <c r="S3053" s="2" t="n">
        <v>1</v>
      </c>
      <c r="T3053" s="3" t="inlineStr">
        <is>
          <t>6B/2025/7M</t>
        </is>
      </c>
      <c r="U3053" s="87" t="n">
        <v>46003</v>
      </c>
      <c r="V3053" s="3" t="inlineStr">
        <is>
          <t>35</t>
        </is>
      </c>
      <c r="W3053" s="108" t="n">
        <v>46003</v>
      </c>
      <c r="X3053" s="4" t="inlineStr">
        <is>
          <t>BIN HUMAID NATIONAL TRADING CO</t>
        </is>
      </c>
    </row>
    <row r="3054" ht="24" customHeight="1">
      <c r="A3054" s="2">
        <f>+D3054-S3054</f>
        <v/>
      </c>
      <c r="B3054" s="80" t="n">
        <v>4646</v>
      </c>
      <c r="C3054" s="66" t="n">
        <v>45994</v>
      </c>
      <c r="D3054" s="2" t="n">
        <v>1</v>
      </c>
      <c r="E3054" s="3" t="inlineStr">
        <is>
          <t>FUCILE MONOCANNA</t>
        </is>
      </c>
      <c r="F3054" s="3" t="inlineStr">
        <is>
          <t>22LR</t>
        </is>
      </c>
      <c r="G3054" s="3" t="inlineStr">
        <is>
          <t>CHIAPPA</t>
        </is>
      </c>
      <c r="H3054" s="65" t="inlineStr">
        <is>
          <t>LITTLE BADGER 16.5''</t>
        </is>
      </c>
      <c r="I3054" s="65" t="inlineStr">
        <is>
          <t>CFIT25R13430</t>
        </is>
      </c>
      <c r="J3054" s="65" t="inlineStr">
        <is>
          <t>N/D</t>
        </is>
      </c>
      <c r="K3054" s="65" t="inlineStr">
        <is>
          <t>N/D</t>
        </is>
      </c>
      <c r="L3054" s="127" t="inlineStr">
        <is>
          <t>CHIAPPA FIREARMS SRL</t>
        </is>
      </c>
      <c r="M3054" s="5" t="n">
        <v>91.5</v>
      </c>
      <c r="N3054" s="5" t="n"/>
      <c r="O3054" s="5">
        <f>+M3054+N3054</f>
        <v/>
      </c>
      <c r="P3054" s="4" t="n">
        <v>45989</v>
      </c>
      <c r="Q3054" s="87" t="n">
        <v>45989</v>
      </c>
      <c r="R3054" s="5" t="n">
        <v>140.3</v>
      </c>
      <c r="S3054" s="2" t="n">
        <v>1</v>
      </c>
      <c r="T3054" s="3" t="inlineStr">
        <is>
          <t>6B/2025/7M</t>
        </is>
      </c>
      <c r="U3054" s="87" t="n">
        <v>46003</v>
      </c>
      <c r="V3054" s="3" t="inlineStr">
        <is>
          <t>35</t>
        </is>
      </c>
      <c r="W3054" s="108" t="n">
        <v>46003</v>
      </c>
      <c r="X3054" s="4" t="inlineStr">
        <is>
          <t>BIN HUMAID NATIONAL TRADING CO</t>
        </is>
      </c>
    </row>
    <row r="3055" ht="24" customHeight="1">
      <c r="A3055" s="2">
        <f>+D3055-S3055</f>
        <v/>
      </c>
      <c r="B3055" s="80" t="n">
        <v>4647</v>
      </c>
      <c r="C3055" s="66" t="n">
        <v>45994</v>
      </c>
      <c r="D3055" s="2" t="n">
        <v>1</v>
      </c>
      <c r="E3055" s="3" t="inlineStr">
        <is>
          <t>FUCILE MONOCANNA</t>
        </is>
      </c>
      <c r="F3055" s="3" t="inlineStr">
        <is>
          <t>22LR</t>
        </is>
      </c>
      <c r="G3055" s="3" t="inlineStr">
        <is>
          <t>CHIAPPA</t>
        </is>
      </c>
      <c r="H3055" s="65" t="inlineStr">
        <is>
          <t>LITTLE BADGER 16.5''</t>
        </is>
      </c>
      <c r="I3055" s="65" t="inlineStr">
        <is>
          <t>CFIT25R13431</t>
        </is>
      </c>
      <c r="J3055" s="65" t="inlineStr">
        <is>
          <t>N/D</t>
        </is>
      </c>
      <c r="K3055" s="65" t="inlineStr">
        <is>
          <t>N/D</t>
        </is>
      </c>
      <c r="L3055" s="127" t="inlineStr">
        <is>
          <t>CHIAPPA FIREARMS SRL</t>
        </is>
      </c>
      <c r="M3055" s="5" t="n">
        <v>91.5</v>
      </c>
      <c r="N3055" s="5" t="n"/>
      <c r="O3055" s="5">
        <f>+M3055+N3055</f>
        <v/>
      </c>
      <c r="P3055" s="4" t="n">
        <v>45989</v>
      </c>
      <c r="Q3055" s="87" t="n">
        <v>45989</v>
      </c>
      <c r="R3055" s="5" t="n">
        <v>140.3</v>
      </c>
      <c r="S3055" s="2" t="n">
        <v>1</v>
      </c>
      <c r="T3055" s="3" t="inlineStr">
        <is>
          <t>6B/2025/7M</t>
        </is>
      </c>
      <c r="U3055" s="87" t="n">
        <v>46003</v>
      </c>
      <c r="V3055" s="3" t="inlineStr">
        <is>
          <t>35</t>
        </is>
      </c>
      <c r="W3055" s="108" t="n">
        <v>46003</v>
      </c>
      <c r="X3055" s="4" t="inlineStr">
        <is>
          <t>BIN HUMAID NATIONAL TRADING CO</t>
        </is>
      </c>
    </row>
    <row r="3056" ht="24" customHeight="1">
      <c r="A3056" s="2">
        <f>+D3056-S3056</f>
        <v/>
      </c>
      <c r="B3056" s="80" t="n">
        <v>4648</v>
      </c>
      <c r="C3056" s="66" t="n">
        <v>45994</v>
      </c>
      <c r="D3056" s="2" t="n">
        <v>1</v>
      </c>
      <c r="E3056" s="3" t="inlineStr">
        <is>
          <t>FUCILE MONOCANNA</t>
        </is>
      </c>
      <c r="F3056" s="3" t="inlineStr">
        <is>
          <t>22LR</t>
        </is>
      </c>
      <c r="G3056" s="3" t="inlineStr">
        <is>
          <t>CHIAPPA</t>
        </is>
      </c>
      <c r="H3056" s="65" t="inlineStr">
        <is>
          <t>LITTLE BADGER 16.5''</t>
        </is>
      </c>
      <c r="I3056" s="65" t="inlineStr">
        <is>
          <t>CFIT25R13432</t>
        </is>
      </c>
      <c r="J3056" s="65" t="inlineStr">
        <is>
          <t>N/D</t>
        </is>
      </c>
      <c r="K3056" s="65" t="inlineStr">
        <is>
          <t>N/D</t>
        </is>
      </c>
      <c r="L3056" s="127" t="inlineStr">
        <is>
          <t>CHIAPPA FIREARMS SRL</t>
        </is>
      </c>
      <c r="M3056" s="5" t="n">
        <v>91.5</v>
      </c>
      <c r="N3056" s="5" t="n"/>
      <c r="O3056" s="5">
        <f>+M3056+N3056</f>
        <v/>
      </c>
      <c r="P3056" s="4" t="n">
        <v>45989</v>
      </c>
      <c r="Q3056" s="87" t="n">
        <v>45989</v>
      </c>
      <c r="R3056" s="5" t="n">
        <v>140.3</v>
      </c>
      <c r="S3056" s="2" t="n">
        <v>1</v>
      </c>
      <c r="T3056" s="3" t="inlineStr">
        <is>
          <t>6B/2025/7M</t>
        </is>
      </c>
      <c r="U3056" s="87" t="n">
        <v>46003</v>
      </c>
      <c r="V3056" s="3" t="inlineStr">
        <is>
          <t>35</t>
        </is>
      </c>
      <c r="W3056" s="108" t="n">
        <v>46003</v>
      </c>
      <c r="X3056" s="4" t="inlineStr">
        <is>
          <t>BIN HUMAID NATIONAL TRADING CO</t>
        </is>
      </c>
    </row>
    <row r="3057" ht="24" customHeight="1">
      <c r="A3057" s="2">
        <f>+D3057-S3057</f>
        <v/>
      </c>
      <c r="B3057" s="80" t="n">
        <v>4649</v>
      </c>
      <c r="C3057" s="66" t="n">
        <v>45994</v>
      </c>
      <c r="D3057" s="2" t="n">
        <v>1</v>
      </c>
      <c r="E3057" s="3" t="inlineStr">
        <is>
          <t>FUCILE MONOCANNA</t>
        </is>
      </c>
      <c r="F3057" s="3" t="inlineStr">
        <is>
          <t>22LR</t>
        </is>
      </c>
      <c r="G3057" s="3" t="inlineStr">
        <is>
          <t>CHIAPPA</t>
        </is>
      </c>
      <c r="H3057" s="65" t="inlineStr">
        <is>
          <t>LITTLE BADGER 16.5''</t>
        </is>
      </c>
      <c r="I3057" s="65" t="inlineStr">
        <is>
          <t>CFIT25R13433</t>
        </is>
      </c>
      <c r="J3057" s="65" t="inlineStr">
        <is>
          <t>N/D</t>
        </is>
      </c>
      <c r="K3057" s="65" t="inlineStr">
        <is>
          <t>N/D</t>
        </is>
      </c>
      <c r="L3057" s="127" t="inlineStr">
        <is>
          <t>CHIAPPA FIREARMS SRL</t>
        </is>
      </c>
      <c r="M3057" s="5" t="n">
        <v>91.5</v>
      </c>
      <c r="N3057" s="5" t="n"/>
      <c r="O3057" s="5">
        <f>+M3057+N3057</f>
        <v/>
      </c>
      <c r="P3057" s="4" t="n">
        <v>45989</v>
      </c>
      <c r="Q3057" s="87" t="n">
        <v>45989</v>
      </c>
      <c r="R3057" s="5" t="n">
        <v>140.3</v>
      </c>
      <c r="S3057" s="2" t="n">
        <v>1</v>
      </c>
      <c r="T3057" s="3" t="inlineStr">
        <is>
          <t>6B/2025/7M</t>
        </is>
      </c>
      <c r="U3057" s="87" t="n">
        <v>46003</v>
      </c>
      <c r="V3057" s="3" t="inlineStr">
        <is>
          <t>35</t>
        </is>
      </c>
      <c r="W3057" s="108" t="n">
        <v>46003</v>
      </c>
      <c r="X3057" s="4" t="inlineStr">
        <is>
          <t>BIN HUMAID NATIONAL TRADING CO</t>
        </is>
      </c>
    </row>
    <row r="3058" ht="24" customHeight="1">
      <c r="A3058" s="2">
        <f>+D3058-S3058</f>
        <v/>
      </c>
      <c r="B3058" s="80" t="n">
        <v>4650</v>
      </c>
      <c r="C3058" s="66" t="n">
        <v>45994</v>
      </c>
      <c r="D3058" s="2" t="n">
        <v>1</v>
      </c>
      <c r="E3058" s="3" t="inlineStr">
        <is>
          <t>FUCILE MONOCANNA</t>
        </is>
      </c>
      <c r="F3058" s="3" t="inlineStr">
        <is>
          <t>22LR</t>
        </is>
      </c>
      <c r="G3058" s="3" t="inlineStr">
        <is>
          <t>CHIAPPA</t>
        </is>
      </c>
      <c r="H3058" s="65" t="inlineStr">
        <is>
          <t>LITTLE BADGER 16.5''</t>
        </is>
      </c>
      <c r="I3058" s="65" t="inlineStr">
        <is>
          <t>CFIT25R13434</t>
        </is>
      </c>
      <c r="J3058" s="65" t="inlineStr">
        <is>
          <t>N/D</t>
        </is>
      </c>
      <c r="K3058" s="65" t="inlineStr">
        <is>
          <t>N/D</t>
        </is>
      </c>
      <c r="L3058" s="127" t="inlineStr">
        <is>
          <t>CHIAPPA FIREARMS SRL</t>
        </is>
      </c>
      <c r="M3058" s="5" t="n">
        <v>91.5</v>
      </c>
      <c r="N3058" s="5" t="n"/>
      <c r="O3058" s="5">
        <f>+M3058+N3058</f>
        <v/>
      </c>
      <c r="P3058" s="4" t="n">
        <v>45989</v>
      </c>
      <c r="Q3058" s="87" t="n">
        <v>45989</v>
      </c>
      <c r="R3058" s="5" t="n">
        <v>140.3</v>
      </c>
      <c r="S3058" s="2" t="n">
        <v>1</v>
      </c>
      <c r="T3058" s="3" t="inlineStr">
        <is>
          <t>6B/2025/7M</t>
        </is>
      </c>
      <c r="U3058" s="87" t="n">
        <v>46003</v>
      </c>
      <c r="V3058" s="3" t="inlineStr">
        <is>
          <t>35</t>
        </is>
      </c>
      <c r="W3058" s="108" t="n">
        <v>46003</v>
      </c>
      <c r="X3058" s="4" t="inlineStr">
        <is>
          <t>BIN HUMAID NATIONAL TRADING CO</t>
        </is>
      </c>
    </row>
    <row r="3059" ht="24" customHeight="1">
      <c r="A3059" s="2">
        <f>+D3059-S3059</f>
        <v/>
      </c>
      <c r="B3059" s="80" t="n">
        <v>4651</v>
      </c>
      <c r="C3059" s="66" t="n">
        <v>45994</v>
      </c>
      <c r="D3059" s="2" t="n">
        <v>1</v>
      </c>
      <c r="E3059" s="3" t="inlineStr">
        <is>
          <t>FUCILE MONOCANNA</t>
        </is>
      </c>
      <c r="F3059" s="3" t="inlineStr">
        <is>
          <t>22LR</t>
        </is>
      </c>
      <c r="G3059" s="3" t="inlineStr">
        <is>
          <t>CHIAPPA</t>
        </is>
      </c>
      <c r="H3059" s="65" t="inlineStr">
        <is>
          <t>LITTLE BADGER 16.5''</t>
        </is>
      </c>
      <c r="I3059" s="65" t="inlineStr">
        <is>
          <t>CFIT25R13435</t>
        </is>
      </c>
      <c r="J3059" s="65" t="inlineStr">
        <is>
          <t>N/D</t>
        </is>
      </c>
      <c r="K3059" s="65" t="inlineStr">
        <is>
          <t>N/D</t>
        </is>
      </c>
      <c r="L3059" s="127" t="inlineStr">
        <is>
          <t>CHIAPPA FIREARMS SRL</t>
        </is>
      </c>
      <c r="M3059" s="5" t="n">
        <v>91.5</v>
      </c>
      <c r="N3059" s="5" t="n"/>
      <c r="O3059" s="5">
        <f>+M3059+N3059</f>
        <v/>
      </c>
      <c r="P3059" s="4" t="n">
        <v>45989</v>
      </c>
      <c r="Q3059" s="87" t="n">
        <v>45989</v>
      </c>
      <c r="R3059" s="5" t="n">
        <v>140.3</v>
      </c>
      <c r="S3059" s="2" t="n">
        <v>1</v>
      </c>
      <c r="T3059" s="3" t="inlineStr">
        <is>
          <t>6B/2025/7M</t>
        </is>
      </c>
      <c r="U3059" s="87" t="n">
        <v>46003</v>
      </c>
      <c r="V3059" s="3" t="inlineStr">
        <is>
          <t>35</t>
        </is>
      </c>
      <c r="W3059" s="108" t="n">
        <v>46003</v>
      </c>
      <c r="X3059" s="4" t="inlineStr">
        <is>
          <t>BIN HUMAID NATIONAL TRADING CO</t>
        </is>
      </c>
    </row>
    <row r="3060" ht="24" customHeight="1">
      <c r="A3060" s="2">
        <f>+D3060-S3060</f>
        <v/>
      </c>
      <c r="B3060" s="80" t="n">
        <v>4652</v>
      </c>
      <c r="C3060" s="66" t="n">
        <v>45994</v>
      </c>
      <c r="D3060" s="2" t="n">
        <v>1</v>
      </c>
      <c r="E3060" s="3" t="inlineStr">
        <is>
          <t>FUCILE MONOCANNA</t>
        </is>
      </c>
      <c r="F3060" s="3" t="inlineStr">
        <is>
          <t>22LR</t>
        </is>
      </c>
      <c r="G3060" s="3" t="inlineStr">
        <is>
          <t>CHIAPPA</t>
        </is>
      </c>
      <c r="H3060" s="65" t="inlineStr">
        <is>
          <t>LITTLE BADGER 16.5''</t>
        </is>
      </c>
      <c r="I3060" s="65" t="inlineStr">
        <is>
          <t>CFIT25R13436</t>
        </is>
      </c>
      <c r="J3060" s="65" t="inlineStr">
        <is>
          <t>N/D</t>
        </is>
      </c>
      <c r="K3060" s="65" t="inlineStr">
        <is>
          <t>N/D</t>
        </is>
      </c>
      <c r="L3060" s="127" t="inlineStr">
        <is>
          <t>CHIAPPA FIREARMS SRL</t>
        </is>
      </c>
      <c r="M3060" s="5" t="n">
        <v>91.5</v>
      </c>
      <c r="N3060" s="5" t="n"/>
      <c r="O3060" s="5">
        <f>+M3060+N3060</f>
        <v/>
      </c>
      <c r="P3060" s="4" t="n">
        <v>45989</v>
      </c>
      <c r="Q3060" s="87" t="n">
        <v>45989</v>
      </c>
      <c r="R3060" s="5" t="n">
        <v>140.3</v>
      </c>
      <c r="S3060" s="2" t="n">
        <v>1</v>
      </c>
      <c r="T3060" s="3" t="inlineStr">
        <is>
          <t>6B/2025/7M</t>
        </is>
      </c>
      <c r="U3060" s="87" t="n">
        <v>46003</v>
      </c>
      <c r="V3060" s="3" t="inlineStr">
        <is>
          <t>35</t>
        </is>
      </c>
      <c r="W3060" s="108" t="n">
        <v>46003</v>
      </c>
      <c r="X3060" s="4" t="inlineStr">
        <is>
          <t>BIN HUMAID NATIONAL TRADING CO</t>
        </is>
      </c>
    </row>
    <row r="3061" ht="24" customHeight="1">
      <c r="A3061" s="2">
        <f>+D3061-S3061</f>
        <v/>
      </c>
      <c r="B3061" s="80" t="n">
        <v>4653</v>
      </c>
      <c r="C3061" s="66" t="n">
        <v>45994</v>
      </c>
      <c r="D3061" s="2" t="n">
        <v>1</v>
      </c>
      <c r="E3061" s="3" t="inlineStr">
        <is>
          <t>FUCILE MONOCANNA</t>
        </is>
      </c>
      <c r="F3061" s="3" t="inlineStr">
        <is>
          <t>22LR</t>
        </is>
      </c>
      <c r="G3061" s="3" t="inlineStr">
        <is>
          <t>CHIAPPA</t>
        </is>
      </c>
      <c r="H3061" s="65" t="inlineStr">
        <is>
          <t>LITTLE BADGER 16.5''</t>
        </is>
      </c>
      <c r="I3061" s="65" t="inlineStr">
        <is>
          <t>CFIT25R13437</t>
        </is>
      </c>
      <c r="J3061" s="65" t="inlineStr">
        <is>
          <t>N/D</t>
        </is>
      </c>
      <c r="K3061" s="65" t="inlineStr">
        <is>
          <t>N/D</t>
        </is>
      </c>
      <c r="L3061" s="127" t="inlineStr">
        <is>
          <t>CHIAPPA FIREARMS SRL</t>
        </is>
      </c>
      <c r="M3061" s="5" t="n">
        <v>91.5</v>
      </c>
      <c r="N3061" s="5" t="n"/>
      <c r="O3061" s="5">
        <f>+M3061+N3061</f>
        <v/>
      </c>
      <c r="P3061" s="4" t="n">
        <v>45989</v>
      </c>
      <c r="Q3061" s="87" t="n">
        <v>45989</v>
      </c>
      <c r="R3061" s="5" t="n">
        <v>140.3</v>
      </c>
      <c r="S3061" s="2" t="n">
        <v>1</v>
      </c>
      <c r="T3061" s="3" t="inlineStr">
        <is>
          <t>6B/2025/7M</t>
        </is>
      </c>
      <c r="U3061" s="87" t="n">
        <v>46003</v>
      </c>
      <c r="V3061" s="3" t="inlineStr">
        <is>
          <t>35</t>
        </is>
      </c>
      <c r="W3061" s="108" t="n">
        <v>46003</v>
      </c>
      <c r="X3061" s="4" t="inlineStr">
        <is>
          <t>BIN HUMAID NATIONAL TRADING CO</t>
        </is>
      </c>
    </row>
    <row r="3062" ht="24" customHeight="1">
      <c r="A3062" s="2">
        <f>+D3062-S3062</f>
        <v/>
      </c>
      <c r="B3062" s="80" t="n">
        <v>4654</v>
      </c>
      <c r="C3062" s="66" t="n">
        <v>45994</v>
      </c>
      <c r="D3062" s="2" t="n">
        <v>1</v>
      </c>
      <c r="E3062" s="3" t="inlineStr">
        <is>
          <t>FUCILE MONOCANNA</t>
        </is>
      </c>
      <c r="F3062" s="3" t="inlineStr">
        <is>
          <t>22LR</t>
        </is>
      </c>
      <c r="G3062" s="3" t="inlineStr">
        <is>
          <t>CHIAPPA</t>
        </is>
      </c>
      <c r="H3062" s="65" t="inlineStr">
        <is>
          <t>LITTLE BADGER 16.5''</t>
        </is>
      </c>
      <c r="I3062" s="65" t="inlineStr">
        <is>
          <t>CFIT25R13438</t>
        </is>
      </c>
      <c r="J3062" s="65" t="inlineStr">
        <is>
          <t>N/D</t>
        </is>
      </c>
      <c r="K3062" s="65" t="inlineStr">
        <is>
          <t>N/D</t>
        </is>
      </c>
      <c r="L3062" s="127" t="inlineStr">
        <is>
          <t>CHIAPPA FIREARMS SRL</t>
        </is>
      </c>
      <c r="M3062" s="5" t="n">
        <v>91.5</v>
      </c>
      <c r="N3062" s="5" t="n"/>
      <c r="O3062" s="5">
        <f>+M3062+N3062</f>
        <v/>
      </c>
      <c r="P3062" s="4" t="n">
        <v>45989</v>
      </c>
      <c r="Q3062" s="87" t="n">
        <v>45989</v>
      </c>
      <c r="R3062" s="5" t="n">
        <v>140.3</v>
      </c>
      <c r="S3062" s="2" t="n">
        <v>1</v>
      </c>
      <c r="T3062" s="3" t="inlineStr">
        <is>
          <t>6B/2025/7M</t>
        </is>
      </c>
      <c r="U3062" s="87" t="n">
        <v>46003</v>
      </c>
      <c r="V3062" s="3" t="inlineStr">
        <is>
          <t>35</t>
        </is>
      </c>
      <c r="W3062" s="108" t="n">
        <v>46003</v>
      </c>
      <c r="X3062" s="4" t="inlineStr">
        <is>
          <t>BIN HUMAID NATIONAL TRADING CO</t>
        </is>
      </c>
    </row>
    <row r="3063" ht="24" customHeight="1">
      <c r="A3063" s="2">
        <f>+D3063-S3063</f>
        <v/>
      </c>
      <c r="B3063" s="80" t="n">
        <v>4655</v>
      </c>
      <c r="C3063" s="66" t="n">
        <v>45994</v>
      </c>
      <c r="D3063" s="2" t="n">
        <v>1</v>
      </c>
      <c r="E3063" s="3" t="inlineStr">
        <is>
          <t>FUCILE MONOCANNA</t>
        </is>
      </c>
      <c r="F3063" s="3" t="inlineStr">
        <is>
          <t>22LR</t>
        </is>
      </c>
      <c r="G3063" s="3" t="inlineStr">
        <is>
          <t>CHIAPPA</t>
        </is>
      </c>
      <c r="H3063" s="65" t="inlineStr">
        <is>
          <t>LITTLE BADGER 16.5''</t>
        </is>
      </c>
      <c r="I3063" s="65" t="inlineStr">
        <is>
          <t>CFIT25R13439</t>
        </is>
      </c>
      <c r="J3063" s="65" t="inlineStr">
        <is>
          <t>N/D</t>
        </is>
      </c>
      <c r="K3063" s="65" t="inlineStr">
        <is>
          <t>N/D</t>
        </is>
      </c>
      <c r="L3063" s="127" t="inlineStr">
        <is>
          <t>CHIAPPA FIREARMS SRL</t>
        </is>
      </c>
      <c r="M3063" s="5" t="n">
        <v>91.5</v>
      </c>
      <c r="N3063" s="5" t="n"/>
      <c r="O3063" s="5">
        <f>+M3063+N3063</f>
        <v/>
      </c>
      <c r="P3063" s="4" t="n">
        <v>45989</v>
      </c>
      <c r="Q3063" s="87" t="n">
        <v>45989</v>
      </c>
      <c r="R3063" s="5" t="n">
        <v>140.3</v>
      </c>
      <c r="S3063" s="2" t="n">
        <v>1</v>
      </c>
      <c r="T3063" s="3" t="inlineStr">
        <is>
          <t>6B/2025/7M</t>
        </is>
      </c>
      <c r="U3063" s="87" t="n">
        <v>46003</v>
      </c>
      <c r="V3063" s="3" t="inlineStr">
        <is>
          <t>35</t>
        </is>
      </c>
      <c r="W3063" s="108" t="n">
        <v>46003</v>
      </c>
      <c r="X3063" s="4" t="inlineStr">
        <is>
          <t>BIN HUMAID NATIONAL TRADING CO</t>
        </is>
      </c>
    </row>
    <row r="3064" ht="24" customHeight="1">
      <c r="A3064" s="2">
        <f>+D3064-S3064</f>
        <v/>
      </c>
      <c r="B3064" s="80" t="n">
        <v>4656</v>
      </c>
      <c r="C3064" s="66" t="n">
        <v>45994</v>
      </c>
      <c r="D3064" s="2" t="n">
        <v>1</v>
      </c>
      <c r="E3064" s="3" t="inlineStr">
        <is>
          <t>FUCILE MONOCANNA</t>
        </is>
      </c>
      <c r="F3064" s="3" t="inlineStr">
        <is>
          <t>22LR</t>
        </is>
      </c>
      <c r="G3064" s="3" t="inlineStr">
        <is>
          <t>CHIAPPA</t>
        </is>
      </c>
      <c r="H3064" s="65" t="inlineStr">
        <is>
          <t>LITTLE BADGER 16.5''</t>
        </is>
      </c>
      <c r="I3064" s="65" t="inlineStr">
        <is>
          <t>CFIT25R13440</t>
        </is>
      </c>
      <c r="J3064" s="65" t="inlineStr">
        <is>
          <t>N/D</t>
        </is>
      </c>
      <c r="K3064" s="65" t="inlineStr">
        <is>
          <t>N/D</t>
        </is>
      </c>
      <c r="L3064" s="127" t="inlineStr">
        <is>
          <t>CHIAPPA FIREARMS SRL</t>
        </is>
      </c>
      <c r="M3064" s="5" t="n">
        <v>91.5</v>
      </c>
      <c r="N3064" s="5" t="n"/>
      <c r="O3064" s="5">
        <f>+M3064+N3064</f>
        <v/>
      </c>
      <c r="P3064" s="4" t="n">
        <v>45989</v>
      </c>
      <c r="Q3064" s="87" t="n">
        <v>45989</v>
      </c>
      <c r="R3064" s="5" t="n">
        <v>140.3</v>
      </c>
      <c r="S3064" s="2" t="n">
        <v>1</v>
      </c>
      <c r="T3064" s="3" t="inlineStr">
        <is>
          <t>6B/2025/7M</t>
        </is>
      </c>
      <c r="U3064" s="87" t="n">
        <v>46003</v>
      </c>
      <c r="V3064" s="3" t="inlineStr">
        <is>
          <t>35</t>
        </is>
      </c>
      <c r="W3064" s="108" t="n">
        <v>46003</v>
      </c>
      <c r="X3064" s="4" t="inlineStr">
        <is>
          <t>BIN HUMAID NATIONAL TRADING CO</t>
        </is>
      </c>
    </row>
    <row r="3065" ht="24" customHeight="1">
      <c r="A3065" s="2">
        <f>+D3065-S3065</f>
        <v/>
      </c>
      <c r="B3065" s="80" t="n">
        <v>4657</v>
      </c>
      <c r="C3065" s="66" t="n">
        <v>45994</v>
      </c>
      <c r="D3065" s="2" t="n">
        <v>1</v>
      </c>
      <c r="E3065" s="3" t="inlineStr">
        <is>
          <t>FUCILE MONOCANNA</t>
        </is>
      </c>
      <c r="F3065" s="3" t="inlineStr">
        <is>
          <t>22LR</t>
        </is>
      </c>
      <c r="G3065" s="3" t="inlineStr">
        <is>
          <t>CHIAPPA</t>
        </is>
      </c>
      <c r="H3065" s="65" t="inlineStr">
        <is>
          <t>LITTLE BADGER 16.5''</t>
        </is>
      </c>
      <c r="I3065" s="65" t="inlineStr">
        <is>
          <t>CFIT25R13441</t>
        </is>
      </c>
      <c r="J3065" s="65" t="inlineStr">
        <is>
          <t>N/D</t>
        </is>
      </c>
      <c r="K3065" s="65" t="inlineStr">
        <is>
          <t>N/D</t>
        </is>
      </c>
      <c r="L3065" s="127" t="inlineStr">
        <is>
          <t>CHIAPPA FIREARMS SRL</t>
        </is>
      </c>
      <c r="M3065" s="5" t="n">
        <v>91.5</v>
      </c>
      <c r="N3065" s="5" t="n"/>
      <c r="O3065" s="5">
        <f>+M3065+N3065</f>
        <v/>
      </c>
      <c r="P3065" s="4" t="n">
        <v>45989</v>
      </c>
      <c r="Q3065" s="87" t="n">
        <v>45989</v>
      </c>
      <c r="R3065" s="5" t="n">
        <v>140.3</v>
      </c>
      <c r="S3065" s="2" t="n">
        <v>1</v>
      </c>
      <c r="T3065" s="3" t="inlineStr">
        <is>
          <t>6B/2025/7M</t>
        </is>
      </c>
      <c r="U3065" s="87" t="n">
        <v>46003</v>
      </c>
      <c r="V3065" s="3" t="inlineStr">
        <is>
          <t>35</t>
        </is>
      </c>
      <c r="W3065" s="108" t="n">
        <v>46003</v>
      </c>
      <c r="X3065" s="4" t="inlineStr">
        <is>
          <t>BIN HUMAID NATIONAL TRADING CO</t>
        </is>
      </c>
    </row>
    <row r="3066" ht="24" customHeight="1">
      <c r="A3066" s="2">
        <f>+D3066-S3066</f>
        <v/>
      </c>
      <c r="B3066" s="80" t="n">
        <v>4658</v>
      </c>
      <c r="C3066" s="66" t="n">
        <v>45994</v>
      </c>
      <c r="D3066" s="2" t="n">
        <v>1</v>
      </c>
      <c r="E3066" s="3" t="inlineStr">
        <is>
          <t>FUCILE MONOCANNA</t>
        </is>
      </c>
      <c r="F3066" s="3" t="inlineStr">
        <is>
          <t>22LR</t>
        </is>
      </c>
      <c r="G3066" s="3" t="inlineStr">
        <is>
          <t>CHIAPPA</t>
        </is>
      </c>
      <c r="H3066" s="65" t="inlineStr">
        <is>
          <t>LITTLE BADGER 16.5''</t>
        </is>
      </c>
      <c r="I3066" s="65" t="inlineStr">
        <is>
          <t>CFIT25R13442</t>
        </is>
      </c>
      <c r="J3066" s="65" t="inlineStr">
        <is>
          <t>N/D</t>
        </is>
      </c>
      <c r="K3066" s="65" t="inlineStr">
        <is>
          <t>N/D</t>
        </is>
      </c>
      <c r="L3066" s="127" t="inlineStr">
        <is>
          <t>CHIAPPA FIREARMS SRL</t>
        </is>
      </c>
      <c r="M3066" s="5" t="n">
        <v>91.5</v>
      </c>
      <c r="N3066" s="5" t="n"/>
      <c r="O3066" s="5">
        <f>+M3066+N3066</f>
        <v/>
      </c>
      <c r="P3066" s="4" t="n">
        <v>45989</v>
      </c>
      <c r="Q3066" s="87" t="n">
        <v>45989</v>
      </c>
      <c r="R3066" s="5" t="n">
        <v>140.3</v>
      </c>
      <c r="S3066" s="2" t="n">
        <v>1</v>
      </c>
      <c r="T3066" s="3" t="inlineStr">
        <is>
          <t>6B/2025/7M</t>
        </is>
      </c>
      <c r="U3066" s="87" t="n">
        <v>46003</v>
      </c>
      <c r="V3066" s="3" t="inlineStr">
        <is>
          <t>35</t>
        </is>
      </c>
      <c r="W3066" s="108" t="n">
        <v>46003</v>
      </c>
      <c r="X3066" s="4" t="inlineStr">
        <is>
          <t>BIN HUMAID NATIONAL TRADING CO</t>
        </is>
      </c>
    </row>
    <row r="3067" ht="24" customHeight="1">
      <c r="A3067" s="2">
        <f>+D3067-S3067</f>
        <v/>
      </c>
      <c r="B3067" s="80" t="n">
        <v>4659</v>
      </c>
      <c r="C3067" s="66" t="n">
        <v>45994</v>
      </c>
      <c r="D3067" s="2" t="n">
        <v>1</v>
      </c>
      <c r="E3067" s="3" t="inlineStr">
        <is>
          <t>FUCILE MONOCANNA</t>
        </is>
      </c>
      <c r="F3067" s="3" t="inlineStr">
        <is>
          <t>22LR</t>
        </is>
      </c>
      <c r="G3067" s="3" t="inlineStr">
        <is>
          <t>CHIAPPA</t>
        </is>
      </c>
      <c r="H3067" s="65" t="inlineStr">
        <is>
          <t>LITTLE BADGER 16.5''</t>
        </is>
      </c>
      <c r="I3067" s="65" t="inlineStr">
        <is>
          <t>CFIT25R13443</t>
        </is>
      </c>
      <c r="J3067" s="65" t="inlineStr">
        <is>
          <t>N/D</t>
        </is>
      </c>
      <c r="K3067" s="65" t="inlineStr">
        <is>
          <t>N/D</t>
        </is>
      </c>
      <c r="L3067" s="127" t="inlineStr">
        <is>
          <t>CHIAPPA FIREARMS SRL</t>
        </is>
      </c>
      <c r="M3067" s="5" t="n">
        <v>91.5</v>
      </c>
      <c r="N3067" s="5" t="n"/>
      <c r="O3067" s="5">
        <f>+M3067+N3067</f>
        <v/>
      </c>
      <c r="P3067" s="4" t="n">
        <v>45989</v>
      </c>
      <c r="Q3067" s="87" t="n">
        <v>45989</v>
      </c>
      <c r="R3067" s="5" t="n">
        <v>140.3</v>
      </c>
      <c r="S3067" s="2" t="n">
        <v>1</v>
      </c>
      <c r="T3067" s="3" t="inlineStr">
        <is>
          <t>6B/2025/7M</t>
        </is>
      </c>
      <c r="U3067" s="87" t="n">
        <v>46003</v>
      </c>
      <c r="V3067" s="3" t="inlineStr">
        <is>
          <t>35</t>
        </is>
      </c>
      <c r="W3067" s="108" t="n">
        <v>46003</v>
      </c>
      <c r="X3067" s="4" t="inlineStr">
        <is>
          <t>BIN HUMAID NATIONAL TRADING CO</t>
        </is>
      </c>
    </row>
    <row r="3068" ht="24" customHeight="1">
      <c r="A3068" s="2">
        <f>+D3068-S3068</f>
        <v/>
      </c>
      <c r="B3068" s="80" t="n">
        <v>4660</v>
      </c>
      <c r="C3068" s="66" t="n">
        <v>45994</v>
      </c>
      <c r="D3068" s="2" t="n">
        <v>1</v>
      </c>
      <c r="E3068" s="3" t="inlineStr">
        <is>
          <t>FUCILE MONOCANNA</t>
        </is>
      </c>
      <c r="F3068" s="3" t="inlineStr">
        <is>
          <t>22LR</t>
        </is>
      </c>
      <c r="G3068" s="3" t="inlineStr">
        <is>
          <t>CHIAPPA</t>
        </is>
      </c>
      <c r="H3068" s="65" t="inlineStr">
        <is>
          <t>LITTLE BADGER 16.5''</t>
        </is>
      </c>
      <c r="I3068" s="65" t="inlineStr">
        <is>
          <t>CFIT25R13444</t>
        </is>
      </c>
      <c r="J3068" s="65" t="inlineStr">
        <is>
          <t>N/D</t>
        </is>
      </c>
      <c r="K3068" s="65" t="inlineStr">
        <is>
          <t>N/D</t>
        </is>
      </c>
      <c r="L3068" s="127" t="inlineStr">
        <is>
          <t>CHIAPPA FIREARMS SRL</t>
        </is>
      </c>
      <c r="M3068" s="5" t="n">
        <v>91.5</v>
      </c>
      <c r="N3068" s="5" t="n"/>
      <c r="O3068" s="5">
        <f>+M3068+N3068</f>
        <v/>
      </c>
      <c r="P3068" s="4" t="n">
        <v>45989</v>
      </c>
      <c r="Q3068" s="87" t="n">
        <v>45989</v>
      </c>
      <c r="R3068" s="5" t="n">
        <v>140.3</v>
      </c>
      <c r="S3068" s="2" t="n">
        <v>1</v>
      </c>
      <c r="T3068" s="3" t="inlineStr">
        <is>
          <t>6B/2025/7M</t>
        </is>
      </c>
      <c r="U3068" s="87" t="n">
        <v>46003</v>
      </c>
      <c r="V3068" s="3" t="inlineStr">
        <is>
          <t>35</t>
        </is>
      </c>
      <c r="W3068" s="108" t="n">
        <v>46003</v>
      </c>
      <c r="X3068" s="4" t="inlineStr">
        <is>
          <t>BIN HUMAID NATIONAL TRADING CO</t>
        </is>
      </c>
    </row>
    <row r="3069" ht="24" customHeight="1">
      <c r="A3069" s="2">
        <f>+D3069-S3069</f>
        <v/>
      </c>
      <c r="B3069" s="80" t="n">
        <v>4661</v>
      </c>
      <c r="C3069" s="66" t="n">
        <v>45994</v>
      </c>
      <c r="D3069" s="2" t="n">
        <v>1</v>
      </c>
      <c r="E3069" s="3" t="inlineStr">
        <is>
          <t>FUCILE MONOCANNA</t>
        </is>
      </c>
      <c r="F3069" s="3" t="inlineStr">
        <is>
          <t>22LR</t>
        </is>
      </c>
      <c r="G3069" s="3" t="inlineStr">
        <is>
          <t>CHIAPPA</t>
        </is>
      </c>
      <c r="H3069" s="65" t="inlineStr">
        <is>
          <t>LITTLE BADGER 16.5''</t>
        </is>
      </c>
      <c r="I3069" s="65" t="inlineStr">
        <is>
          <t>CFIT25R13445</t>
        </is>
      </c>
      <c r="J3069" s="65" t="inlineStr">
        <is>
          <t>N/D</t>
        </is>
      </c>
      <c r="K3069" s="65" t="inlineStr">
        <is>
          <t>N/D</t>
        </is>
      </c>
      <c r="L3069" s="127" t="inlineStr">
        <is>
          <t>CHIAPPA FIREARMS SRL</t>
        </is>
      </c>
      <c r="M3069" s="5" t="n">
        <v>91.5</v>
      </c>
      <c r="N3069" s="5" t="n"/>
      <c r="O3069" s="5">
        <f>+M3069+N3069</f>
        <v/>
      </c>
      <c r="P3069" s="4" t="n">
        <v>45989</v>
      </c>
      <c r="Q3069" s="87" t="n">
        <v>45989</v>
      </c>
      <c r="R3069" s="5" t="n">
        <v>140.3</v>
      </c>
      <c r="S3069" s="2" t="n">
        <v>1</v>
      </c>
      <c r="T3069" s="3" t="inlineStr">
        <is>
          <t>6B/2025/7M</t>
        </is>
      </c>
      <c r="U3069" s="87" t="n">
        <v>46003</v>
      </c>
      <c r="V3069" s="3" t="inlineStr">
        <is>
          <t>35</t>
        </is>
      </c>
      <c r="W3069" s="108" t="n">
        <v>46003</v>
      </c>
      <c r="X3069" s="4" t="inlineStr">
        <is>
          <t>BIN HUMAID NATIONAL TRADING CO</t>
        </is>
      </c>
    </row>
    <row r="3070" ht="24" customHeight="1">
      <c r="A3070" s="2">
        <f>+D3070-S3070</f>
        <v/>
      </c>
      <c r="B3070" s="80" t="n">
        <v>4662</v>
      </c>
      <c r="C3070" s="66" t="n">
        <v>45994</v>
      </c>
      <c r="D3070" s="2" t="n">
        <v>1</v>
      </c>
      <c r="E3070" s="3" t="inlineStr">
        <is>
          <t>FUCILE MONOCANNA</t>
        </is>
      </c>
      <c r="F3070" s="3" t="inlineStr">
        <is>
          <t>22LR</t>
        </is>
      </c>
      <c r="G3070" s="3" t="inlineStr">
        <is>
          <t>CHIAPPA</t>
        </is>
      </c>
      <c r="H3070" s="65" t="inlineStr">
        <is>
          <t>LITTLE BADGER 16.5''</t>
        </is>
      </c>
      <c r="I3070" s="65" t="inlineStr">
        <is>
          <t>CFIT25R13446</t>
        </is>
      </c>
      <c r="J3070" s="65" t="inlineStr">
        <is>
          <t>N/D</t>
        </is>
      </c>
      <c r="K3070" s="65" t="inlineStr">
        <is>
          <t>N/D</t>
        </is>
      </c>
      <c r="L3070" s="127" t="inlineStr">
        <is>
          <t>CHIAPPA FIREARMS SRL</t>
        </is>
      </c>
      <c r="M3070" s="5" t="n">
        <v>91.5</v>
      </c>
      <c r="N3070" s="5" t="n"/>
      <c r="O3070" s="5">
        <f>+M3070+N3070</f>
        <v/>
      </c>
      <c r="P3070" s="4" t="n">
        <v>45989</v>
      </c>
      <c r="Q3070" s="87" t="n">
        <v>45989</v>
      </c>
      <c r="R3070" s="5" t="n">
        <v>140.3</v>
      </c>
      <c r="S3070" s="2" t="n">
        <v>1</v>
      </c>
      <c r="T3070" s="3" t="inlineStr">
        <is>
          <t>6B/2025/7M</t>
        </is>
      </c>
      <c r="U3070" s="87" t="n">
        <v>46003</v>
      </c>
      <c r="V3070" s="3" t="inlineStr">
        <is>
          <t>35</t>
        </is>
      </c>
      <c r="W3070" s="108" t="n">
        <v>46003</v>
      </c>
      <c r="X3070" s="4" t="inlineStr">
        <is>
          <t>BIN HUMAID NATIONAL TRADING CO</t>
        </is>
      </c>
    </row>
    <row r="3071" ht="24" customHeight="1">
      <c r="A3071" s="2">
        <f>+D3071-S3071</f>
        <v/>
      </c>
      <c r="B3071" s="80" t="n">
        <v>4663</v>
      </c>
      <c r="C3071" s="66" t="n">
        <v>45994</v>
      </c>
      <c r="D3071" s="2" t="n">
        <v>1</v>
      </c>
      <c r="E3071" s="3" t="inlineStr">
        <is>
          <t>FUCILE MONOCANNA</t>
        </is>
      </c>
      <c r="F3071" s="3" t="inlineStr">
        <is>
          <t>22LR</t>
        </is>
      </c>
      <c r="G3071" s="3" t="inlineStr">
        <is>
          <t>CHIAPPA</t>
        </is>
      </c>
      <c r="H3071" s="65" t="inlineStr">
        <is>
          <t>LITTLE BADGER 16.5''</t>
        </is>
      </c>
      <c r="I3071" s="65" t="inlineStr">
        <is>
          <t>CFIT25R13447</t>
        </is>
      </c>
      <c r="J3071" s="65" t="inlineStr">
        <is>
          <t>N/D</t>
        </is>
      </c>
      <c r="K3071" s="65" t="inlineStr">
        <is>
          <t>N/D</t>
        </is>
      </c>
      <c r="L3071" s="127" t="inlineStr">
        <is>
          <t>CHIAPPA FIREARMS SRL</t>
        </is>
      </c>
      <c r="M3071" s="5" t="n">
        <v>91.5</v>
      </c>
      <c r="N3071" s="5" t="n"/>
      <c r="O3071" s="5">
        <f>+M3071+N3071</f>
        <v/>
      </c>
      <c r="P3071" s="4" t="n">
        <v>45989</v>
      </c>
      <c r="Q3071" s="87" t="n">
        <v>45989</v>
      </c>
      <c r="R3071" s="5" t="n">
        <v>140.3</v>
      </c>
      <c r="S3071" s="2" t="n">
        <v>1</v>
      </c>
      <c r="T3071" s="3" t="inlineStr">
        <is>
          <t>6B/2025/7M</t>
        </is>
      </c>
      <c r="U3071" s="87" t="n">
        <v>46003</v>
      </c>
      <c r="V3071" s="3" t="inlineStr">
        <is>
          <t>35</t>
        </is>
      </c>
      <c r="W3071" s="108" t="n">
        <v>46003</v>
      </c>
      <c r="X3071" s="4" t="inlineStr">
        <is>
          <t>BIN HUMAID NATIONAL TRADING CO</t>
        </is>
      </c>
    </row>
    <row r="3072" ht="24" customHeight="1">
      <c r="A3072" s="2">
        <f>+D3072-S3072</f>
        <v/>
      </c>
      <c r="B3072" s="80" t="n">
        <v>4664</v>
      </c>
      <c r="C3072" s="66" t="n">
        <v>45994</v>
      </c>
      <c r="D3072" s="2" t="n">
        <v>1</v>
      </c>
      <c r="E3072" s="3" t="inlineStr">
        <is>
          <t>FUCILE MONOCANNA</t>
        </is>
      </c>
      <c r="F3072" s="3" t="inlineStr">
        <is>
          <t>22LR</t>
        </is>
      </c>
      <c r="G3072" s="3" t="inlineStr">
        <is>
          <t>CHIAPPA</t>
        </is>
      </c>
      <c r="H3072" s="65" t="inlineStr">
        <is>
          <t>LITTLE BADGER 16.5''</t>
        </is>
      </c>
      <c r="I3072" s="65" t="inlineStr">
        <is>
          <t>CFIT25R13448</t>
        </is>
      </c>
      <c r="J3072" s="65" t="inlineStr">
        <is>
          <t>N/D</t>
        </is>
      </c>
      <c r="K3072" s="65" t="inlineStr">
        <is>
          <t>N/D</t>
        </is>
      </c>
      <c r="L3072" s="127" t="inlineStr">
        <is>
          <t>CHIAPPA FIREARMS SRL</t>
        </is>
      </c>
      <c r="M3072" s="5" t="n">
        <v>91.5</v>
      </c>
      <c r="N3072" s="5" t="n"/>
      <c r="O3072" s="5">
        <f>+M3072+N3072</f>
        <v/>
      </c>
      <c r="P3072" s="4" t="n">
        <v>45989</v>
      </c>
      <c r="Q3072" s="87" t="n">
        <v>45989</v>
      </c>
      <c r="R3072" s="5" t="n">
        <v>140.3</v>
      </c>
      <c r="S3072" s="2" t="n">
        <v>1</v>
      </c>
      <c r="T3072" s="3" t="inlineStr">
        <is>
          <t>6B/2025/7M</t>
        </is>
      </c>
      <c r="U3072" s="87" t="n">
        <v>46003</v>
      </c>
      <c r="V3072" s="3" t="inlineStr">
        <is>
          <t>35</t>
        </is>
      </c>
      <c r="W3072" s="108" t="n">
        <v>46003</v>
      </c>
      <c r="X3072" s="4" t="inlineStr">
        <is>
          <t>BIN HUMAID NATIONAL TRADING CO</t>
        </is>
      </c>
    </row>
    <row r="3073" ht="24" customHeight="1">
      <c r="A3073" s="2">
        <f>+D3073-S3073</f>
        <v/>
      </c>
      <c r="B3073" s="80" t="n">
        <v>4665</v>
      </c>
      <c r="C3073" s="66" t="n">
        <v>45994</v>
      </c>
      <c r="D3073" s="2" t="n">
        <v>1</v>
      </c>
      <c r="E3073" s="3" t="inlineStr">
        <is>
          <t>FUCILE MONOCANNA</t>
        </is>
      </c>
      <c r="F3073" s="3" t="inlineStr">
        <is>
          <t>22LR</t>
        </is>
      </c>
      <c r="G3073" s="3" t="inlineStr">
        <is>
          <t>CHIAPPA</t>
        </is>
      </c>
      <c r="H3073" s="65" t="inlineStr">
        <is>
          <t>LITTLE BADGER 16.5''</t>
        </is>
      </c>
      <c r="I3073" s="65" t="inlineStr">
        <is>
          <t>CFIT25R13449</t>
        </is>
      </c>
      <c r="J3073" s="65" t="inlineStr">
        <is>
          <t>N/D</t>
        </is>
      </c>
      <c r="K3073" s="65" t="inlineStr">
        <is>
          <t>N/D</t>
        </is>
      </c>
      <c r="L3073" s="127" t="inlineStr">
        <is>
          <t>CHIAPPA FIREARMS SRL</t>
        </is>
      </c>
      <c r="M3073" s="5" t="n">
        <v>91.5</v>
      </c>
      <c r="N3073" s="5" t="n"/>
      <c r="O3073" s="5">
        <f>+M3073+N3073</f>
        <v/>
      </c>
      <c r="P3073" s="4" t="n">
        <v>45989</v>
      </c>
      <c r="Q3073" s="87" t="n">
        <v>45989</v>
      </c>
      <c r="R3073" s="5" t="n">
        <v>140.3</v>
      </c>
      <c r="S3073" s="2" t="n">
        <v>1</v>
      </c>
      <c r="T3073" s="3" t="inlineStr">
        <is>
          <t>6B/2025/7M</t>
        </is>
      </c>
      <c r="U3073" s="87" t="n">
        <v>46003</v>
      </c>
      <c r="V3073" s="3" t="inlineStr">
        <is>
          <t>35</t>
        </is>
      </c>
      <c r="W3073" s="108" t="n">
        <v>46003</v>
      </c>
      <c r="X3073" s="4" t="inlineStr">
        <is>
          <t>BIN HUMAID NATIONAL TRADING CO</t>
        </is>
      </c>
    </row>
    <row r="3074" ht="24" customHeight="1">
      <c r="A3074" s="2">
        <f>+D3074-S3074</f>
        <v/>
      </c>
      <c r="B3074" s="80" t="n">
        <v>4666</v>
      </c>
      <c r="C3074" s="66" t="n">
        <v>45994</v>
      </c>
      <c r="D3074" s="2" t="n">
        <v>1</v>
      </c>
      <c r="E3074" s="3" t="inlineStr">
        <is>
          <t>FUCILE MONOCANNA</t>
        </is>
      </c>
      <c r="F3074" s="3" t="inlineStr">
        <is>
          <t>22LR</t>
        </is>
      </c>
      <c r="G3074" s="3" t="inlineStr">
        <is>
          <t>CHIAPPA</t>
        </is>
      </c>
      <c r="H3074" s="65" t="inlineStr">
        <is>
          <t>LITTLE BADGER 16.5''</t>
        </is>
      </c>
      <c r="I3074" s="65" t="inlineStr">
        <is>
          <t>CFIT25R13450</t>
        </is>
      </c>
      <c r="J3074" s="65" t="inlineStr">
        <is>
          <t>N/D</t>
        </is>
      </c>
      <c r="K3074" s="65" t="inlineStr">
        <is>
          <t>N/D</t>
        </is>
      </c>
      <c r="L3074" s="127" t="inlineStr">
        <is>
          <t>CHIAPPA FIREARMS SRL</t>
        </is>
      </c>
      <c r="M3074" s="5" t="n">
        <v>91.5</v>
      </c>
      <c r="N3074" s="5" t="n"/>
      <c r="O3074" s="5">
        <f>+M3074+N3074</f>
        <v/>
      </c>
      <c r="P3074" s="4" t="n">
        <v>45989</v>
      </c>
      <c r="Q3074" s="87" t="n">
        <v>45989</v>
      </c>
      <c r="R3074" s="5" t="n">
        <v>140.3</v>
      </c>
      <c r="S3074" s="2" t="n">
        <v>1</v>
      </c>
      <c r="T3074" s="3" t="inlineStr">
        <is>
          <t>6B/2025/7M</t>
        </is>
      </c>
      <c r="U3074" s="87" t="n">
        <v>46003</v>
      </c>
      <c r="V3074" s="3" t="inlineStr">
        <is>
          <t>35</t>
        </is>
      </c>
      <c r="W3074" s="108" t="n">
        <v>46003</v>
      </c>
      <c r="X3074" s="4" t="inlineStr">
        <is>
          <t>BIN HUMAID NATIONAL TRADING CO</t>
        </is>
      </c>
    </row>
    <row r="3075" ht="24" customHeight="1">
      <c r="A3075" s="2">
        <f>+D3075-S3075</f>
        <v/>
      </c>
      <c r="B3075" s="80" t="n">
        <v>4667</v>
      </c>
      <c r="C3075" s="66" t="n">
        <v>45994</v>
      </c>
      <c r="D3075" s="2" t="n">
        <v>1</v>
      </c>
      <c r="E3075" s="3" t="inlineStr">
        <is>
          <t>FUCILE MONOCANNA</t>
        </is>
      </c>
      <c r="F3075" s="3" t="inlineStr">
        <is>
          <t>22LR</t>
        </is>
      </c>
      <c r="G3075" s="3" t="inlineStr">
        <is>
          <t>CHIAPPA</t>
        </is>
      </c>
      <c r="H3075" s="65" t="inlineStr">
        <is>
          <t>LITTLE BADGER 16.5''</t>
        </is>
      </c>
      <c r="I3075" s="65" t="inlineStr">
        <is>
          <t>CFIT25R13451</t>
        </is>
      </c>
      <c r="J3075" s="65" t="inlineStr">
        <is>
          <t>N/D</t>
        </is>
      </c>
      <c r="K3075" s="65" t="inlineStr">
        <is>
          <t>N/D</t>
        </is>
      </c>
      <c r="L3075" s="127" t="inlineStr">
        <is>
          <t>CHIAPPA FIREARMS SRL</t>
        </is>
      </c>
      <c r="M3075" s="5" t="n">
        <v>91.5</v>
      </c>
      <c r="N3075" s="5" t="n"/>
      <c r="O3075" s="5">
        <f>+M3075+N3075</f>
        <v/>
      </c>
      <c r="P3075" s="4" t="n">
        <v>45989</v>
      </c>
      <c r="Q3075" s="87" t="n">
        <v>45989</v>
      </c>
      <c r="R3075" s="5" t="n">
        <v>140.3</v>
      </c>
      <c r="S3075" s="2" t="n">
        <v>1</v>
      </c>
      <c r="T3075" s="3" t="inlineStr">
        <is>
          <t>6B/2025/7M</t>
        </is>
      </c>
      <c r="U3075" s="87" t="n">
        <v>46003</v>
      </c>
      <c r="V3075" s="3" t="inlineStr">
        <is>
          <t>35</t>
        </is>
      </c>
      <c r="W3075" s="108" t="n">
        <v>46003</v>
      </c>
      <c r="X3075" s="4" t="inlineStr">
        <is>
          <t>BIN HUMAID NATIONAL TRADING CO</t>
        </is>
      </c>
    </row>
    <row r="3076" ht="24" customHeight="1">
      <c r="A3076" s="2">
        <f>+D3076-S3076</f>
        <v/>
      </c>
      <c r="B3076" s="80" t="n">
        <v>4668</v>
      </c>
      <c r="C3076" s="66" t="n">
        <v>45994</v>
      </c>
      <c r="D3076" s="2" t="n">
        <v>1</v>
      </c>
      <c r="E3076" s="3" t="inlineStr">
        <is>
          <t>FUCILE MONOCANNA</t>
        </is>
      </c>
      <c r="F3076" s="3" t="inlineStr">
        <is>
          <t>22LR</t>
        </is>
      </c>
      <c r="G3076" s="3" t="inlineStr">
        <is>
          <t>CHIAPPA</t>
        </is>
      </c>
      <c r="H3076" s="65" t="inlineStr">
        <is>
          <t>LITTLE BADGER 16.5''</t>
        </is>
      </c>
      <c r="I3076" s="65" t="inlineStr">
        <is>
          <t>CFIT25R13452</t>
        </is>
      </c>
      <c r="J3076" s="65" t="inlineStr">
        <is>
          <t>N/D</t>
        </is>
      </c>
      <c r="K3076" s="65" t="inlineStr">
        <is>
          <t>N/D</t>
        </is>
      </c>
      <c r="L3076" s="127" t="inlineStr">
        <is>
          <t>CHIAPPA FIREARMS SRL</t>
        </is>
      </c>
      <c r="M3076" s="5" t="n">
        <v>91.5</v>
      </c>
      <c r="N3076" s="5" t="n"/>
      <c r="O3076" s="5">
        <f>+M3076+N3076</f>
        <v/>
      </c>
      <c r="P3076" s="4" t="n">
        <v>45989</v>
      </c>
      <c r="Q3076" s="87" t="n">
        <v>45989</v>
      </c>
      <c r="R3076" s="5" t="n">
        <v>140.3</v>
      </c>
      <c r="S3076" s="2" t="n">
        <v>1</v>
      </c>
      <c r="T3076" s="3" t="inlineStr">
        <is>
          <t>6B/2025/7M</t>
        </is>
      </c>
      <c r="U3076" s="87" t="n">
        <v>46003</v>
      </c>
      <c r="V3076" s="3" t="inlineStr">
        <is>
          <t>35</t>
        </is>
      </c>
      <c r="W3076" s="108" t="n">
        <v>46003</v>
      </c>
      <c r="X3076" s="4" t="inlineStr">
        <is>
          <t>BIN HUMAID NATIONAL TRADING CO</t>
        </is>
      </c>
    </row>
    <row r="3077" ht="24" customHeight="1">
      <c r="A3077" s="2">
        <f>+D3077-S3077</f>
        <v/>
      </c>
      <c r="B3077" s="80" t="n">
        <v>4669</v>
      </c>
      <c r="C3077" s="66" t="n">
        <v>45994</v>
      </c>
      <c r="D3077" s="2" t="n">
        <v>1</v>
      </c>
      <c r="E3077" s="3" t="inlineStr">
        <is>
          <t>FUCILE MONOCANNA</t>
        </is>
      </c>
      <c r="F3077" s="3" t="inlineStr">
        <is>
          <t>22LR</t>
        </is>
      </c>
      <c r="G3077" s="3" t="inlineStr">
        <is>
          <t>CHIAPPA</t>
        </is>
      </c>
      <c r="H3077" s="65" t="inlineStr">
        <is>
          <t>LITTLE BADGER 16.5''</t>
        </is>
      </c>
      <c r="I3077" s="65" t="inlineStr">
        <is>
          <t>CFIT25R13453</t>
        </is>
      </c>
      <c r="J3077" s="65" t="inlineStr">
        <is>
          <t>N/D</t>
        </is>
      </c>
      <c r="K3077" s="65" t="inlineStr">
        <is>
          <t>N/D</t>
        </is>
      </c>
      <c r="L3077" s="127" t="inlineStr">
        <is>
          <t>CHIAPPA FIREARMS SRL</t>
        </is>
      </c>
      <c r="M3077" s="5" t="n">
        <v>91.5</v>
      </c>
      <c r="N3077" s="5" t="n"/>
      <c r="O3077" s="5">
        <f>+M3077+N3077</f>
        <v/>
      </c>
      <c r="P3077" s="4" t="n">
        <v>45989</v>
      </c>
      <c r="Q3077" s="87" t="n">
        <v>45989</v>
      </c>
      <c r="R3077" s="5" t="n">
        <v>140.3</v>
      </c>
      <c r="S3077" s="2" t="n">
        <v>1</v>
      </c>
      <c r="T3077" s="3" t="inlineStr">
        <is>
          <t>6B/2025/7M</t>
        </is>
      </c>
      <c r="U3077" s="87" t="n">
        <v>46003</v>
      </c>
      <c r="V3077" s="3" t="inlineStr">
        <is>
          <t>35</t>
        </is>
      </c>
      <c r="W3077" s="108" t="n">
        <v>46003</v>
      </c>
      <c r="X3077" s="4" t="inlineStr">
        <is>
          <t>BIN HUMAID NATIONAL TRADING CO</t>
        </is>
      </c>
    </row>
    <row r="3078" ht="24" customHeight="1">
      <c r="A3078" s="2">
        <f>+D3078-S3078</f>
        <v/>
      </c>
      <c r="B3078" s="80" t="n">
        <v>4670</v>
      </c>
      <c r="C3078" s="66" t="n">
        <v>45994</v>
      </c>
      <c r="D3078" s="2" t="n">
        <v>1</v>
      </c>
      <c r="E3078" s="3" t="inlineStr">
        <is>
          <t>FUCILE MONOCANNA</t>
        </is>
      </c>
      <c r="F3078" s="3" t="inlineStr">
        <is>
          <t>22LR</t>
        </is>
      </c>
      <c r="G3078" s="3" t="inlineStr">
        <is>
          <t>CHIAPPA</t>
        </is>
      </c>
      <c r="H3078" s="65" t="inlineStr">
        <is>
          <t>LITTLE BADGER 16.5''</t>
        </is>
      </c>
      <c r="I3078" s="65" t="inlineStr">
        <is>
          <t>CFIT25R13454</t>
        </is>
      </c>
      <c r="J3078" s="65" t="inlineStr">
        <is>
          <t>N/D</t>
        </is>
      </c>
      <c r="K3078" s="65" t="inlineStr">
        <is>
          <t>N/D</t>
        </is>
      </c>
      <c r="L3078" s="127" t="inlineStr">
        <is>
          <t>CHIAPPA FIREARMS SRL</t>
        </is>
      </c>
      <c r="M3078" s="5" t="n">
        <v>91.5</v>
      </c>
      <c r="N3078" s="5" t="n"/>
      <c r="O3078" s="5">
        <f>+M3078+N3078</f>
        <v/>
      </c>
      <c r="P3078" s="4" t="n">
        <v>45989</v>
      </c>
      <c r="Q3078" s="87" t="n">
        <v>45989</v>
      </c>
      <c r="R3078" s="5" t="n">
        <v>140.3</v>
      </c>
      <c r="S3078" s="2" t="n">
        <v>1</v>
      </c>
      <c r="T3078" s="3" t="inlineStr">
        <is>
          <t>6B/2025/7M</t>
        </is>
      </c>
      <c r="U3078" s="87" t="n">
        <v>46003</v>
      </c>
      <c r="V3078" s="3" t="inlineStr">
        <is>
          <t>35</t>
        </is>
      </c>
      <c r="W3078" s="108" t="n">
        <v>46003</v>
      </c>
      <c r="X3078" s="4" t="inlineStr">
        <is>
          <t>BIN HUMAID NATIONAL TRADING CO</t>
        </is>
      </c>
    </row>
    <row r="3079" ht="24" customHeight="1">
      <c r="A3079" s="2">
        <f>+D3079-S3079</f>
        <v/>
      </c>
      <c r="B3079" s="80" t="n">
        <v>4671</v>
      </c>
      <c r="C3079" s="66" t="n">
        <v>45994</v>
      </c>
      <c r="D3079" s="2" t="n">
        <v>1</v>
      </c>
      <c r="E3079" s="3" t="inlineStr">
        <is>
          <t>FUCILE MONOCANNA</t>
        </is>
      </c>
      <c r="F3079" s="3" t="inlineStr">
        <is>
          <t>22LR</t>
        </is>
      </c>
      <c r="G3079" s="3" t="inlineStr">
        <is>
          <t>CHIAPPA</t>
        </is>
      </c>
      <c r="H3079" s="65" t="inlineStr">
        <is>
          <t>LITTLE BADGER 16.5''</t>
        </is>
      </c>
      <c r="I3079" s="65" t="inlineStr">
        <is>
          <t>CFIT25R13455</t>
        </is>
      </c>
      <c r="J3079" s="65" t="inlineStr">
        <is>
          <t>N/D</t>
        </is>
      </c>
      <c r="K3079" s="65" t="inlineStr">
        <is>
          <t>N/D</t>
        </is>
      </c>
      <c r="L3079" s="127" t="inlineStr">
        <is>
          <t>CHIAPPA FIREARMS SRL</t>
        </is>
      </c>
      <c r="M3079" s="5" t="n">
        <v>91.5</v>
      </c>
      <c r="N3079" s="5" t="n"/>
      <c r="O3079" s="5">
        <f>+M3079+N3079</f>
        <v/>
      </c>
      <c r="P3079" s="4" t="n">
        <v>45989</v>
      </c>
      <c r="Q3079" s="87" t="n">
        <v>45989</v>
      </c>
      <c r="R3079" s="5" t="n">
        <v>140.3</v>
      </c>
      <c r="S3079" s="2" t="n">
        <v>1</v>
      </c>
      <c r="T3079" s="3" t="inlineStr">
        <is>
          <t>6B/2025/7M</t>
        </is>
      </c>
      <c r="U3079" s="87" t="n">
        <v>46003</v>
      </c>
      <c r="V3079" s="3" t="inlineStr">
        <is>
          <t>35</t>
        </is>
      </c>
      <c r="W3079" s="108" t="n">
        <v>46003</v>
      </c>
      <c r="X3079" s="4" t="inlineStr">
        <is>
          <t>BIN HUMAID NATIONAL TRADING CO</t>
        </is>
      </c>
    </row>
    <row r="3080" ht="24" customHeight="1">
      <c r="A3080" s="2">
        <f>+D3080-S3080</f>
        <v/>
      </c>
      <c r="B3080" s="80" t="n">
        <v>4672</v>
      </c>
      <c r="C3080" s="66" t="n">
        <v>45994</v>
      </c>
      <c r="D3080" s="2" t="n">
        <v>1</v>
      </c>
      <c r="E3080" s="3" t="inlineStr">
        <is>
          <t>FUCILE MONOCANNA</t>
        </is>
      </c>
      <c r="F3080" s="3" t="inlineStr">
        <is>
          <t>22LR</t>
        </is>
      </c>
      <c r="G3080" s="3" t="inlineStr">
        <is>
          <t>CHIAPPA</t>
        </is>
      </c>
      <c r="H3080" s="65" t="inlineStr">
        <is>
          <t>LITTLE BADGER 16.5''</t>
        </is>
      </c>
      <c r="I3080" s="65" t="inlineStr">
        <is>
          <t>CFIT25R13456</t>
        </is>
      </c>
      <c r="J3080" s="65" t="inlineStr">
        <is>
          <t>N/D</t>
        </is>
      </c>
      <c r="K3080" s="65" t="inlineStr">
        <is>
          <t>N/D</t>
        </is>
      </c>
      <c r="L3080" s="127" t="inlineStr">
        <is>
          <t>CHIAPPA FIREARMS SRL</t>
        </is>
      </c>
      <c r="M3080" s="5" t="n">
        <v>91.5</v>
      </c>
      <c r="N3080" s="5" t="n"/>
      <c r="O3080" s="5">
        <f>+M3080+N3080</f>
        <v/>
      </c>
      <c r="P3080" s="4" t="n">
        <v>45989</v>
      </c>
      <c r="Q3080" s="87" t="n">
        <v>45989</v>
      </c>
      <c r="R3080" s="5" t="n">
        <v>140.3</v>
      </c>
      <c r="S3080" s="2" t="n">
        <v>1</v>
      </c>
      <c r="T3080" s="3" t="inlineStr">
        <is>
          <t>6B/2025/7M</t>
        </is>
      </c>
      <c r="U3080" s="87" t="n">
        <v>46003</v>
      </c>
      <c r="V3080" s="3" t="inlineStr">
        <is>
          <t>35</t>
        </is>
      </c>
      <c r="W3080" s="108" t="n">
        <v>46003</v>
      </c>
      <c r="X3080" s="4" t="inlineStr">
        <is>
          <t>BIN HUMAID NATIONAL TRADING CO</t>
        </is>
      </c>
    </row>
    <row r="3081" ht="24" customHeight="1">
      <c r="A3081" s="2">
        <f>+D3081-S3081</f>
        <v/>
      </c>
      <c r="B3081" s="80" t="n">
        <v>4673</v>
      </c>
      <c r="C3081" s="66" t="n">
        <v>45994</v>
      </c>
      <c r="D3081" s="2" t="n">
        <v>1</v>
      </c>
      <c r="E3081" s="3" t="inlineStr">
        <is>
          <t>FUCILE MONOCANNA</t>
        </is>
      </c>
      <c r="F3081" s="3" t="inlineStr">
        <is>
          <t>22LR</t>
        </is>
      </c>
      <c r="G3081" s="3" t="inlineStr">
        <is>
          <t>CHIAPPA</t>
        </is>
      </c>
      <c r="H3081" s="65" t="inlineStr">
        <is>
          <t>LITTLE BADGER 16.5''</t>
        </is>
      </c>
      <c r="I3081" s="65" t="inlineStr">
        <is>
          <t>CFIT25R13457</t>
        </is>
      </c>
      <c r="J3081" s="65" t="inlineStr">
        <is>
          <t>N/D</t>
        </is>
      </c>
      <c r="K3081" s="65" t="inlineStr">
        <is>
          <t>N/D</t>
        </is>
      </c>
      <c r="L3081" s="127" t="inlineStr">
        <is>
          <t>CHIAPPA FIREARMS SRL</t>
        </is>
      </c>
      <c r="M3081" s="5" t="n">
        <v>91.5</v>
      </c>
      <c r="N3081" s="5" t="n"/>
      <c r="O3081" s="5">
        <f>+M3081+N3081</f>
        <v/>
      </c>
      <c r="P3081" s="4" t="n">
        <v>45989</v>
      </c>
      <c r="Q3081" s="87" t="n">
        <v>45989</v>
      </c>
      <c r="R3081" s="5" t="n">
        <v>140.3</v>
      </c>
      <c r="S3081" s="2" t="n">
        <v>1</v>
      </c>
      <c r="T3081" s="3" t="inlineStr">
        <is>
          <t>6B/2025/7M</t>
        </is>
      </c>
      <c r="U3081" s="87" t="n">
        <v>46003</v>
      </c>
      <c r="V3081" s="3" t="inlineStr">
        <is>
          <t>35</t>
        </is>
      </c>
      <c r="W3081" s="108" t="n">
        <v>46003</v>
      </c>
      <c r="X3081" s="4" t="inlineStr">
        <is>
          <t>BIN HUMAID NATIONAL TRADING CO</t>
        </is>
      </c>
    </row>
    <row r="3082" ht="24" customHeight="1">
      <c r="A3082" s="2">
        <f>+D3082-S3082</f>
        <v/>
      </c>
      <c r="B3082" s="80" t="n">
        <v>4674</v>
      </c>
      <c r="C3082" s="66" t="n">
        <v>45994</v>
      </c>
      <c r="D3082" s="2" t="n">
        <v>1</v>
      </c>
      <c r="E3082" s="3" t="inlineStr">
        <is>
          <t>FUCILE MONOCANNA</t>
        </is>
      </c>
      <c r="F3082" s="3" t="inlineStr">
        <is>
          <t>22LR</t>
        </is>
      </c>
      <c r="G3082" s="3" t="inlineStr">
        <is>
          <t>CHIAPPA</t>
        </is>
      </c>
      <c r="H3082" s="65" t="inlineStr">
        <is>
          <t>LITTLE BADGER 16.5''</t>
        </is>
      </c>
      <c r="I3082" s="65" t="inlineStr">
        <is>
          <t>CFIT25R13458</t>
        </is>
      </c>
      <c r="J3082" s="65" t="inlineStr">
        <is>
          <t>N/D</t>
        </is>
      </c>
      <c r="K3082" s="65" t="inlineStr">
        <is>
          <t>N/D</t>
        </is>
      </c>
      <c r="L3082" s="127" t="inlineStr">
        <is>
          <t>CHIAPPA FIREARMS SRL</t>
        </is>
      </c>
      <c r="M3082" s="5" t="n">
        <v>91.5</v>
      </c>
      <c r="N3082" s="5" t="n"/>
      <c r="O3082" s="5">
        <f>+M3082+N3082</f>
        <v/>
      </c>
      <c r="P3082" s="4" t="n">
        <v>45989</v>
      </c>
      <c r="Q3082" s="87" t="n">
        <v>45989</v>
      </c>
      <c r="R3082" s="5" t="n">
        <v>140.3</v>
      </c>
      <c r="S3082" s="2" t="n">
        <v>1</v>
      </c>
      <c r="T3082" s="3" t="inlineStr">
        <is>
          <t>6B/2025/7M</t>
        </is>
      </c>
      <c r="U3082" s="87" t="n">
        <v>46003</v>
      </c>
      <c r="V3082" s="3" t="inlineStr">
        <is>
          <t>35</t>
        </is>
      </c>
      <c r="W3082" s="108" t="n">
        <v>46003</v>
      </c>
      <c r="X3082" s="4" t="inlineStr">
        <is>
          <t>BIN HUMAID NATIONAL TRADING CO</t>
        </is>
      </c>
    </row>
    <row r="3083" ht="24" customHeight="1">
      <c r="A3083" s="2">
        <f>+D3083-S3083</f>
        <v/>
      </c>
      <c r="B3083" s="80" t="n">
        <v>4675</v>
      </c>
      <c r="C3083" s="66" t="n">
        <v>45994</v>
      </c>
      <c r="D3083" s="2" t="n">
        <v>1</v>
      </c>
      <c r="E3083" s="3" t="inlineStr">
        <is>
          <t>FUCILE MONOCANNA</t>
        </is>
      </c>
      <c r="F3083" s="3" t="inlineStr">
        <is>
          <t>22LR</t>
        </is>
      </c>
      <c r="G3083" s="3" t="inlineStr">
        <is>
          <t>CHIAPPA</t>
        </is>
      </c>
      <c r="H3083" s="65" t="inlineStr">
        <is>
          <t>LITTLE BADGER 16.5''</t>
        </is>
      </c>
      <c r="I3083" s="65" t="inlineStr">
        <is>
          <t>CFIT25R13459</t>
        </is>
      </c>
      <c r="J3083" s="65" t="inlineStr">
        <is>
          <t>N/D</t>
        </is>
      </c>
      <c r="K3083" s="65" t="inlineStr">
        <is>
          <t>N/D</t>
        </is>
      </c>
      <c r="L3083" s="127" t="inlineStr">
        <is>
          <t>CHIAPPA FIREARMS SRL</t>
        </is>
      </c>
      <c r="M3083" s="5" t="n">
        <v>91.5</v>
      </c>
      <c r="N3083" s="5" t="n"/>
      <c r="O3083" s="5">
        <f>+M3083+N3083</f>
        <v/>
      </c>
      <c r="P3083" s="4" t="n">
        <v>45989</v>
      </c>
      <c r="Q3083" s="87" t="n">
        <v>45989</v>
      </c>
      <c r="R3083" s="5" t="n">
        <v>140.3</v>
      </c>
      <c r="S3083" s="2" t="n">
        <v>1</v>
      </c>
      <c r="T3083" s="3" t="inlineStr">
        <is>
          <t>6B/2025/7M</t>
        </is>
      </c>
      <c r="U3083" s="87" t="n">
        <v>46003</v>
      </c>
      <c r="V3083" s="3" t="inlineStr">
        <is>
          <t>35</t>
        </is>
      </c>
      <c r="W3083" s="108" t="n">
        <v>46003</v>
      </c>
      <c r="X3083" s="4" t="inlineStr">
        <is>
          <t>BIN HUMAID NATIONAL TRADING CO</t>
        </is>
      </c>
    </row>
    <row r="3084" ht="24" customHeight="1">
      <c r="A3084" s="2">
        <f>+D3084-S3084</f>
        <v/>
      </c>
      <c r="B3084" s="80" t="n">
        <v>4676</v>
      </c>
      <c r="C3084" s="66" t="n">
        <v>45994</v>
      </c>
      <c r="D3084" s="2" t="n">
        <v>1</v>
      </c>
      <c r="E3084" s="3" t="inlineStr">
        <is>
          <t>FUCILE MONOCANNA</t>
        </is>
      </c>
      <c r="F3084" s="3" t="inlineStr">
        <is>
          <t>22LR</t>
        </is>
      </c>
      <c r="G3084" s="3" t="inlineStr">
        <is>
          <t>CHIAPPA</t>
        </is>
      </c>
      <c r="H3084" s="65" t="inlineStr">
        <is>
          <t>LITTLE BADGER 16.5''</t>
        </is>
      </c>
      <c r="I3084" s="65" t="inlineStr">
        <is>
          <t>CFIT25R13460</t>
        </is>
      </c>
      <c r="J3084" s="65" t="inlineStr">
        <is>
          <t>N/D</t>
        </is>
      </c>
      <c r="K3084" s="65" t="inlineStr">
        <is>
          <t>N/D</t>
        </is>
      </c>
      <c r="L3084" s="127" t="inlineStr">
        <is>
          <t>CHIAPPA FIREARMS SRL</t>
        </is>
      </c>
      <c r="M3084" s="5" t="n">
        <v>91.5</v>
      </c>
      <c r="N3084" s="5" t="n"/>
      <c r="O3084" s="5">
        <f>+M3084+N3084</f>
        <v/>
      </c>
      <c r="P3084" s="4" t="n">
        <v>45989</v>
      </c>
      <c r="Q3084" s="87" t="n">
        <v>45989</v>
      </c>
      <c r="R3084" s="5" t="n">
        <v>140.3</v>
      </c>
      <c r="S3084" s="2" t="n">
        <v>1</v>
      </c>
      <c r="T3084" s="3" t="inlineStr">
        <is>
          <t>6B/2025/7M</t>
        </is>
      </c>
      <c r="U3084" s="87" t="n">
        <v>46003</v>
      </c>
      <c r="V3084" s="3" t="inlineStr">
        <is>
          <t>35</t>
        </is>
      </c>
      <c r="W3084" s="108" t="n">
        <v>46003</v>
      </c>
      <c r="X3084" s="4" t="inlineStr">
        <is>
          <t>BIN HUMAID NATIONAL TRADING CO</t>
        </is>
      </c>
    </row>
    <row r="3085" ht="24" customHeight="1">
      <c r="A3085" s="2">
        <f>+D3085-S3085</f>
        <v/>
      </c>
      <c r="B3085" s="80" t="n">
        <v>4677</v>
      </c>
      <c r="C3085" s="66" t="n">
        <v>45994</v>
      </c>
      <c r="D3085" s="2" t="n">
        <v>1</v>
      </c>
      <c r="E3085" s="3" t="inlineStr">
        <is>
          <t>FUCILE MONOCANNA</t>
        </is>
      </c>
      <c r="F3085" s="3" t="inlineStr">
        <is>
          <t>22LR</t>
        </is>
      </c>
      <c r="G3085" s="3" t="inlineStr">
        <is>
          <t>CHIAPPA</t>
        </is>
      </c>
      <c r="H3085" s="65" t="inlineStr">
        <is>
          <t>LITTLE BADGER 16.5''</t>
        </is>
      </c>
      <c r="I3085" s="65" t="inlineStr">
        <is>
          <t>CFIT25R13461</t>
        </is>
      </c>
      <c r="J3085" s="65" t="inlineStr">
        <is>
          <t>N/D</t>
        </is>
      </c>
      <c r="K3085" s="65" t="inlineStr">
        <is>
          <t>N/D</t>
        </is>
      </c>
      <c r="L3085" s="127" t="inlineStr">
        <is>
          <t>CHIAPPA FIREARMS SRL</t>
        </is>
      </c>
      <c r="M3085" s="5" t="n">
        <v>91.5</v>
      </c>
      <c r="N3085" s="5" t="n"/>
      <c r="O3085" s="5">
        <f>+M3085+N3085</f>
        <v/>
      </c>
      <c r="P3085" s="4" t="n">
        <v>45989</v>
      </c>
      <c r="Q3085" s="87" t="n">
        <v>45989</v>
      </c>
      <c r="R3085" s="5" t="n">
        <v>140.3</v>
      </c>
      <c r="S3085" s="2" t="n">
        <v>1</v>
      </c>
      <c r="T3085" s="3" t="inlineStr">
        <is>
          <t>6B/2025/7M</t>
        </is>
      </c>
      <c r="U3085" s="87" t="n">
        <v>46003</v>
      </c>
      <c r="V3085" s="3" t="inlineStr">
        <is>
          <t>35</t>
        </is>
      </c>
      <c r="W3085" s="108" t="n">
        <v>46003</v>
      </c>
      <c r="X3085" s="4" t="inlineStr">
        <is>
          <t>BIN HUMAID NATIONAL TRADING CO</t>
        </is>
      </c>
    </row>
    <row r="3086" ht="24" customHeight="1">
      <c r="A3086" s="2">
        <f>+D3086-S3086</f>
        <v/>
      </c>
      <c r="B3086" s="80" t="n">
        <v>4678</v>
      </c>
      <c r="C3086" s="66" t="n">
        <v>45994</v>
      </c>
      <c r="D3086" s="2" t="n">
        <v>1</v>
      </c>
      <c r="E3086" s="3" t="inlineStr">
        <is>
          <t>FUCILE MONOCANNA</t>
        </is>
      </c>
      <c r="F3086" s="3" t="inlineStr">
        <is>
          <t>22LR</t>
        </is>
      </c>
      <c r="G3086" s="3" t="inlineStr">
        <is>
          <t>CHIAPPA</t>
        </is>
      </c>
      <c r="H3086" s="65" t="inlineStr">
        <is>
          <t>LITTLE BADGER 16.5''</t>
        </is>
      </c>
      <c r="I3086" s="65" t="inlineStr">
        <is>
          <t>CFIT25R13462</t>
        </is>
      </c>
      <c r="J3086" s="65" t="inlineStr">
        <is>
          <t>N/D</t>
        </is>
      </c>
      <c r="K3086" s="65" t="inlineStr">
        <is>
          <t>N/D</t>
        </is>
      </c>
      <c r="L3086" s="127" t="inlineStr">
        <is>
          <t>CHIAPPA FIREARMS SRL</t>
        </is>
      </c>
      <c r="M3086" s="5" t="n">
        <v>91.5</v>
      </c>
      <c r="N3086" s="5" t="n"/>
      <c r="O3086" s="5">
        <f>+M3086+N3086</f>
        <v/>
      </c>
      <c r="P3086" s="4" t="n">
        <v>45989</v>
      </c>
      <c r="Q3086" s="87" t="n">
        <v>45989</v>
      </c>
      <c r="R3086" s="5" t="n">
        <v>140.3</v>
      </c>
      <c r="S3086" s="2" t="n">
        <v>1</v>
      </c>
      <c r="T3086" s="3" t="inlineStr">
        <is>
          <t>6B/2025/7M</t>
        </is>
      </c>
      <c r="U3086" s="87" t="n">
        <v>46003</v>
      </c>
      <c r="V3086" s="3" t="inlineStr">
        <is>
          <t>35</t>
        </is>
      </c>
      <c r="W3086" s="108" t="n">
        <v>46003</v>
      </c>
      <c r="X3086" s="4" t="inlineStr">
        <is>
          <t>BIN HUMAID NATIONAL TRADING CO</t>
        </is>
      </c>
    </row>
    <row r="3087" ht="24" customHeight="1">
      <c r="A3087" s="2">
        <f>+D3087-S3087</f>
        <v/>
      </c>
      <c r="B3087" s="80" t="n">
        <v>4679</v>
      </c>
      <c r="C3087" s="66" t="n">
        <v>45994</v>
      </c>
      <c r="D3087" s="2" t="n">
        <v>1</v>
      </c>
      <c r="E3087" s="3" t="inlineStr">
        <is>
          <t>FUCILE MONOCANNA</t>
        </is>
      </c>
      <c r="F3087" s="3" t="inlineStr">
        <is>
          <t>22LR</t>
        </is>
      </c>
      <c r="G3087" s="3" t="inlineStr">
        <is>
          <t>CHIAPPA</t>
        </is>
      </c>
      <c r="H3087" s="65" t="inlineStr">
        <is>
          <t>LITTLE BADGER 16.5''</t>
        </is>
      </c>
      <c r="I3087" s="65" t="inlineStr">
        <is>
          <t>CFIT25R13463</t>
        </is>
      </c>
      <c r="J3087" s="65" t="inlineStr">
        <is>
          <t>N/D</t>
        </is>
      </c>
      <c r="K3087" s="65" t="inlineStr">
        <is>
          <t>N/D</t>
        </is>
      </c>
      <c r="L3087" s="127" t="inlineStr">
        <is>
          <t>CHIAPPA FIREARMS SRL</t>
        </is>
      </c>
      <c r="M3087" s="5" t="n">
        <v>91.5</v>
      </c>
      <c r="N3087" s="5" t="n"/>
      <c r="O3087" s="5">
        <f>+M3087+N3087</f>
        <v/>
      </c>
      <c r="P3087" s="4" t="n">
        <v>45989</v>
      </c>
      <c r="Q3087" s="87" t="n">
        <v>45989</v>
      </c>
      <c r="R3087" s="5" t="n">
        <v>140.3</v>
      </c>
      <c r="S3087" s="2" t="n">
        <v>1</v>
      </c>
      <c r="T3087" s="3" t="inlineStr">
        <is>
          <t>6B/2025/7M</t>
        </is>
      </c>
      <c r="U3087" s="87" t="n">
        <v>46003</v>
      </c>
      <c r="V3087" s="3" t="inlineStr">
        <is>
          <t>35</t>
        </is>
      </c>
      <c r="W3087" s="108" t="n">
        <v>46003</v>
      </c>
      <c r="X3087" s="4" t="inlineStr">
        <is>
          <t>BIN HUMAID NATIONAL TRADING CO</t>
        </is>
      </c>
    </row>
    <row r="3088" ht="24" customHeight="1">
      <c r="A3088" s="2">
        <f>+D3088-S3088</f>
        <v/>
      </c>
      <c r="B3088" s="80" t="n">
        <v>4680</v>
      </c>
      <c r="C3088" s="66" t="n">
        <v>45994</v>
      </c>
      <c r="D3088" s="2" t="n">
        <v>1</v>
      </c>
      <c r="E3088" s="3" t="inlineStr">
        <is>
          <t>FUCILE MONOCANNA</t>
        </is>
      </c>
      <c r="F3088" s="3" t="inlineStr">
        <is>
          <t>22LR</t>
        </is>
      </c>
      <c r="G3088" s="3" t="inlineStr">
        <is>
          <t>CHIAPPA</t>
        </is>
      </c>
      <c r="H3088" s="65" t="inlineStr">
        <is>
          <t>LITTLE BADGER 16.5''</t>
        </is>
      </c>
      <c r="I3088" s="65" t="inlineStr">
        <is>
          <t>CFIT25R13464</t>
        </is>
      </c>
      <c r="J3088" s="65" t="inlineStr">
        <is>
          <t>N/D</t>
        </is>
      </c>
      <c r="K3088" s="65" t="inlineStr">
        <is>
          <t>N/D</t>
        </is>
      </c>
      <c r="L3088" s="127" t="inlineStr">
        <is>
          <t>CHIAPPA FIREARMS SRL</t>
        </is>
      </c>
      <c r="M3088" s="5" t="n">
        <v>91.5</v>
      </c>
      <c r="N3088" s="5" t="n"/>
      <c r="O3088" s="5">
        <f>+M3088+N3088</f>
        <v/>
      </c>
      <c r="P3088" s="4" t="n">
        <v>45989</v>
      </c>
      <c r="Q3088" s="87" t="n">
        <v>45989</v>
      </c>
      <c r="R3088" s="5" t="n">
        <v>140.3</v>
      </c>
      <c r="S3088" s="2" t="n">
        <v>1</v>
      </c>
      <c r="T3088" s="3" t="inlineStr">
        <is>
          <t>6B/2025/7M</t>
        </is>
      </c>
      <c r="U3088" s="87" t="n">
        <v>46003</v>
      </c>
      <c r="V3088" s="3" t="inlineStr">
        <is>
          <t>35</t>
        </is>
      </c>
      <c r="W3088" s="108" t="n">
        <v>46003</v>
      </c>
      <c r="X3088" s="4" t="inlineStr">
        <is>
          <t>BIN HUMAID NATIONAL TRADING CO</t>
        </is>
      </c>
    </row>
    <row r="3089" ht="24" customHeight="1">
      <c r="A3089" s="2">
        <f>+D3089-S3089</f>
        <v/>
      </c>
      <c r="B3089" s="80" t="n">
        <v>4681</v>
      </c>
      <c r="C3089" s="66" t="n">
        <v>45994</v>
      </c>
      <c r="D3089" s="2" t="n">
        <v>1</v>
      </c>
      <c r="E3089" s="3" t="inlineStr">
        <is>
          <t>FUCILE MONOCANNA</t>
        </is>
      </c>
      <c r="F3089" s="3" t="inlineStr">
        <is>
          <t>22LR</t>
        </is>
      </c>
      <c r="G3089" s="3" t="inlineStr">
        <is>
          <t>CHIAPPA</t>
        </is>
      </c>
      <c r="H3089" s="65" t="inlineStr">
        <is>
          <t>LITTLE BADGER 16.5''</t>
        </is>
      </c>
      <c r="I3089" s="65" t="inlineStr">
        <is>
          <t>CFIT25R13465</t>
        </is>
      </c>
      <c r="J3089" s="65" t="inlineStr">
        <is>
          <t>N/D</t>
        </is>
      </c>
      <c r="K3089" s="65" t="inlineStr">
        <is>
          <t>N/D</t>
        </is>
      </c>
      <c r="L3089" s="127" t="inlineStr">
        <is>
          <t>CHIAPPA FIREARMS SRL</t>
        </is>
      </c>
      <c r="M3089" s="5" t="n">
        <v>91.5</v>
      </c>
      <c r="N3089" s="5" t="n"/>
      <c r="O3089" s="5">
        <f>+M3089+N3089</f>
        <v/>
      </c>
      <c r="P3089" s="4" t="n">
        <v>45989</v>
      </c>
      <c r="Q3089" s="87" t="n">
        <v>45989</v>
      </c>
      <c r="R3089" s="5" t="n">
        <v>140.3</v>
      </c>
      <c r="S3089" s="2" t="n">
        <v>1</v>
      </c>
      <c r="T3089" s="3" t="inlineStr">
        <is>
          <t>6B/2025/7M</t>
        </is>
      </c>
      <c r="U3089" s="87" t="n">
        <v>46003</v>
      </c>
      <c r="V3089" s="3" t="inlineStr">
        <is>
          <t>35</t>
        </is>
      </c>
      <c r="W3089" s="108" t="n">
        <v>46003</v>
      </c>
      <c r="X3089" s="4" t="inlineStr">
        <is>
          <t>BIN HUMAID NATIONAL TRADING CO</t>
        </is>
      </c>
    </row>
    <row r="3090" ht="24" customHeight="1">
      <c r="A3090" s="2">
        <f>+D3090-S3090</f>
        <v/>
      </c>
      <c r="B3090" s="80" t="n">
        <v>4682</v>
      </c>
      <c r="C3090" s="66" t="n">
        <v>45994</v>
      </c>
      <c r="D3090" s="2" t="n">
        <v>1</v>
      </c>
      <c r="E3090" s="3" t="inlineStr">
        <is>
          <t>FUCILE MONOCANNA</t>
        </is>
      </c>
      <c r="F3090" s="3" t="inlineStr">
        <is>
          <t>22LR</t>
        </is>
      </c>
      <c r="G3090" s="3" t="inlineStr">
        <is>
          <t>CHIAPPA</t>
        </is>
      </c>
      <c r="H3090" s="65" t="inlineStr">
        <is>
          <t>LITTLE BADGER 16.5''</t>
        </is>
      </c>
      <c r="I3090" s="65" t="inlineStr">
        <is>
          <t>CFIT25R13466</t>
        </is>
      </c>
      <c r="J3090" s="65" t="inlineStr">
        <is>
          <t>N/D</t>
        </is>
      </c>
      <c r="K3090" s="65" t="inlineStr">
        <is>
          <t>N/D</t>
        </is>
      </c>
      <c r="L3090" s="127" t="inlineStr">
        <is>
          <t>CHIAPPA FIREARMS SRL</t>
        </is>
      </c>
      <c r="M3090" s="5" t="n">
        <v>91.5</v>
      </c>
      <c r="N3090" s="5" t="n"/>
      <c r="O3090" s="5">
        <f>+M3090+N3090</f>
        <v/>
      </c>
      <c r="P3090" s="4" t="n">
        <v>45989</v>
      </c>
      <c r="Q3090" s="87" t="n">
        <v>45989</v>
      </c>
      <c r="R3090" s="5" t="n">
        <v>140.3</v>
      </c>
      <c r="S3090" s="2" t="n">
        <v>1</v>
      </c>
      <c r="T3090" s="3" t="inlineStr">
        <is>
          <t>6B/2025/7M</t>
        </is>
      </c>
      <c r="U3090" s="87" t="n">
        <v>46003</v>
      </c>
      <c r="V3090" s="3" t="inlineStr">
        <is>
          <t>35</t>
        </is>
      </c>
      <c r="W3090" s="108" t="n">
        <v>46003</v>
      </c>
      <c r="X3090" s="4" t="inlineStr">
        <is>
          <t>BIN HUMAID NATIONAL TRADING CO</t>
        </is>
      </c>
    </row>
    <row r="3091" ht="24" customHeight="1">
      <c r="A3091" s="2">
        <f>+D3091-S3091</f>
        <v/>
      </c>
      <c r="B3091" s="80" t="n">
        <v>4683</v>
      </c>
      <c r="C3091" s="66" t="n">
        <v>45994</v>
      </c>
      <c r="D3091" s="2" t="n">
        <v>1</v>
      </c>
      <c r="E3091" s="3" t="inlineStr">
        <is>
          <t>FUCILE MONOCANNA</t>
        </is>
      </c>
      <c r="F3091" s="3" t="inlineStr">
        <is>
          <t>22LR</t>
        </is>
      </c>
      <c r="G3091" s="3" t="inlineStr">
        <is>
          <t>CHIAPPA</t>
        </is>
      </c>
      <c r="H3091" s="65" t="inlineStr">
        <is>
          <t>LITTLE BADGER 16.5''</t>
        </is>
      </c>
      <c r="I3091" s="65" t="inlineStr">
        <is>
          <t>CFIT25R13467</t>
        </is>
      </c>
      <c r="J3091" s="65" t="inlineStr">
        <is>
          <t>N/D</t>
        </is>
      </c>
      <c r="K3091" s="65" t="inlineStr">
        <is>
          <t>N/D</t>
        </is>
      </c>
      <c r="L3091" s="127" t="inlineStr">
        <is>
          <t>CHIAPPA FIREARMS SRL</t>
        </is>
      </c>
      <c r="M3091" s="5" t="n">
        <v>91.5</v>
      </c>
      <c r="N3091" s="5" t="n"/>
      <c r="O3091" s="5">
        <f>+M3091+N3091</f>
        <v/>
      </c>
      <c r="P3091" s="4" t="n">
        <v>45989</v>
      </c>
      <c r="Q3091" s="87" t="n">
        <v>45989</v>
      </c>
      <c r="R3091" s="5" t="n">
        <v>140.3</v>
      </c>
      <c r="S3091" s="2" t="n">
        <v>1</v>
      </c>
      <c r="T3091" s="3" t="inlineStr">
        <is>
          <t>6B/2025/7M</t>
        </is>
      </c>
      <c r="U3091" s="87" t="n">
        <v>46003</v>
      </c>
      <c r="V3091" s="3" t="inlineStr">
        <is>
          <t>35</t>
        </is>
      </c>
      <c r="W3091" s="108" t="n">
        <v>46003</v>
      </c>
      <c r="X3091" s="4" t="inlineStr">
        <is>
          <t>BIN HUMAID NATIONAL TRADING CO</t>
        </is>
      </c>
    </row>
    <row r="3092" ht="24" customHeight="1">
      <c r="A3092" s="2">
        <f>+D3092-S3092</f>
        <v/>
      </c>
      <c r="B3092" s="80" t="n">
        <v>4684</v>
      </c>
      <c r="C3092" s="66" t="n">
        <v>45994</v>
      </c>
      <c r="D3092" s="2" t="n">
        <v>1</v>
      </c>
      <c r="E3092" s="3" t="inlineStr">
        <is>
          <t>FUCILE MONOCANNA</t>
        </is>
      </c>
      <c r="F3092" s="3" t="inlineStr">
        <is>
          <t>22LR</t>
        </is>
      </c>
      <c r="G3092" s="3" t="inlineStr">
        <is>
          <t>CHIAPPA</t>
        </is>
      </c>
      <c r="H3092" s="65" t="inlineStr">
        <is>
          <t>LITTLE BADGER 16.5''</t>
        </is>
      </c>
      <c r="I3092" s="65" t="inlineStr">
        <is>
          <t>CFIT25R13468</t>
        </is>
      </c>
      <c r="J3092" s="65" t="inlineStr">
        <is>
          <t>N/D</t>
        </is>
      </c>
      <c r="K3092" s="65" t="inlineStr">
        <is>
          <t>N/D</t>
        </is>
      </c>
      <c r="L3092" s="127" t="inlineStr">
        <is>
          <t>CHIAPPA FIREARMS SRL</t>
        </is>
      </c>
      <c r="M3092" s="5" t="n">
        <v>91.5</v>
      </c>
      <c r="N3092" s="5" t="n"/>
      <c r="O3092" s="5">
        <f>+M3092+N3092</f>
        <v/>
      </c>
      <c r="P3092" s="4" t="n">
        <v>45989</v>
      </c>
      <c r="Q3092" s="87" t="n">
        <v>45989</v>
      </c>
      <c r="R3092" s="5" t="n">
        <v>140.3</v>
      </c>
      <c r="S3092" s="2" t="n">
        <v>1</v>
      </c>
      <c r="T3092" s="3" t="inlineStr">
        <is>
          <t>6B/2025/7M</t>
        </is>
      </c>
      <c r="U3092" s="87" t="n">
        <v>46003</v>
      </c>
      <c r="V3092" s="3" t="inlineStr">
        <is>
          <t>35</t>
        </is>
      </c>
      <c r="W3092" s="108" t="n">
        <v>46003</v>
      </c>
      <c r="X3092" s="4" t="inlineStr">
        <is>
          <t>BIN HUMAID NATIONAL TRADING CO</t>
        </is>
      </c>
    </row>
    <row r="3093" ht="24" customHeight="1">
      <c r="A3093" s="2">
        <f>+D3093-S3093</f>
        <v/>
      </c>
      <c r="B3093" s="80" t="n">
        <v>4685</v>
      </c>
      <c r="C3093" s="66" t="n">
        <v>45994</v>
      </c>
      <c r="D3093" s="2" t="n">
        <v>1</v>
      </c>
      <c r="E3093" s="3" t="inlineStr">
        <is>
          <t>FUCILE MONOCANNA</t>
        </is>
      </c>
      <c r="F3093" s="3" t="inlineStr">
        <is>
          <t>22LR</t>
        </is>
      </c>
      <c r="G3093" s="3" t="inlineStr">
        <is>
          <t>CHIAPPA</t>
        </is>
      </c>
      <c r="H3093" s="65" t="inlineStr">
        <is>
          <t>LITTLE BADGER 16.5''</t>
        </is>
      </c>
      <c r="I3093" s="65" t="inlineStr">
        <is>
          <t>CFIT25R13469</t>
        </is>
      </c>
      <c r="J3093" s="65" t="inlineStr">
        <is>
          <t>N/D</t>
        </is>
      </c>
      <c r="K3093" s="65" t="inlineStr">
        <is>
          <t>N/D</t>
        </is>
      </c>
      <c r="L3093" s="127" t="inlineStr">
        <is>
          <t>CHIAPPA FIREARMS SRL</t>
        </is>
      </c>
      <c r="M3093" s="5" t="n">
        <v>91.5</v>
      </c>
      <c r="N3093" s="5" t="n"/>
      <c r="O3093" s="5">
        <f>+M3093+N3093</f>
        <v/>
      </c>
      <c r="P3093" s="4" t="n">
        <v>45989</v>
      </c>
      <c r="Q3093" s="87" t="n">
        <v>45989</v>
      </c>
      <c r="R3093" s="5" t="n">
        <v>140.3</v>
      </c>
      <c r="S3093" s="2" t="n">
        <v>1</v>
      </c>
      <c r="T3093" s="3" t="inlineStr">
        <is>
          <t>6B/2025/7M</t>
        </is>
      </c>
      <c r="U3093" s="87" t="n">
        <v>46003</v>
      </c>
      <c r="V3093" s="3" t="inlineStr">
        <is>
          <t>35</t>
        </is>
      </c>
      <c r="W3093" s="108" t="n">
        <v>46003</v>
      </c>
      <c r="X3093" s="4" t="inlineStr">
        <is>
          <t>BIN HUMAID NATIONAL TRADING CO</t>
        </is>
      </c>
    </row>
    <row r="3094" ht="24" customHeight="1">
      <c r="A3094" s="2">
        <f>+D3094-S3094</f>
        <v/>
      </c>
      <c r="B3094" s="80" t="n">
        <v>4686</v>
      </c>
      <c r="C3094" s="66" t="n">
        <v>45994</v>
      </c>
      <c r="D3094" s="2" t="n">
        <v>1</v>
      </c>
      <c r="E3094" s="3" t="inlineStr">
        <is>
          <t>FUCILE MONOCANNA</t>
        </is>
      </c>
      <c r="F3094" s="3" t="inlineStr">
        <is>
          <t>22LR</t>
        </is>
      </c>
      <c r="G3094" s="3" t="inlineStr">
        <is>
          <t>CHIAPPA</t>
        </is>
      </c>
      <c r="H3094" s="65" t="inlineStr">
        <is>
          <t>LITTLE BADGER 16.5''</t>
        </is>
      </c>
      <c r="I3094" s="65" t="inlineStr">
        <is>
          <t>CFIT25R13470</t>
        </is>
      </c>
      <c r="J3094" s="65" t="inlineStr">
        <is>
          <t>N/D</t>
        </is>
      </c>
      <c r="K3094" s="65" t="inlineStr">
        <is>
          <t>N/D</t>
        </is>
      </c>
      <c r="L3094" s="127" t="inlineStr">
        <is>
          <t>CHIAPPA FIREARMS SRL</t>
        </is>
      </c>
      <c r="M3094" s="5" t="n">
        <v>91.5</v>
      </c>
      <c r="N3094" s="5" t="n"/>
      <c r="O3094" s="5">
        <f>+M3094+N3094</f>
        <v/>
      </c>
      <c r="P3094" s="4" t="n">
        <v>45989</v>
      </c>
      <c r="Q3094" s="87" t="n">
        <v>45989</v>
      </c>
      <c r="R3094" s="5" t="n">
        <v>140.3</v>
      </c>
      <c r="S3094" s="2" t="n">
        <v>1</v>
      </c>
      <c r="T3094" s="3" t="inlineStr">
        <is>
          <t>6B/2025/7M</t>
        </is>
      </c>
      <c r="U3094" s="87" t="n">
        <v>46003</v>
      </c>
      <c r="V3094" s="3" t="inlineStr">
        <is>
          <t>35</t>
        </is>
      </c>
      <c r="W3094" s="108" t="n">
        <v>46003</v>
      </c>
      <c r="X3094" s="4" t="inlineStr">
        <is>
          <t>BIN HUMAID NATIONAL TRADING CO</t>
        </is>
      </c>
    </row>
    <row r="3095" ht="24" customHeight="1">
      <c r="A3095" s="2">
        <f>+D3095-S3095</f>
        <v/>
      </c>
      <c r="B3095" s="80" t="n">
        <v>4687</v>
      </c>
      <c r="C3095" s="66" t="n">
        <v>45994</v>
      </c>
      <c r="D3095" s="2" t="n">
        <v>1</v>
      </c>
      <c r="E3095" s="3" t="inlineStr">
        <is>
          <t>FUCILE MONOCANNA</t>
        </is>
      </c>
      <c r="F3095" s="3" t="inlineStr">
        <is>
          <t>22LR</t>
        </is>
      </c>
      <c r="G3095" s="3" t="inlineStr">
        <is>
          <t>CHIAPPA</t>
        </is>
      </c>
      <c r="H3095" s="65" t="inlineStr">
        <is>
          <t>LITTLE BADGER 16.5''</t>
        </is>
      </c>
      <c r="I3095" s="65" t="inlineStr">
        <is>
          <t>CFIT25R13471</t>
        </is>
      </c>
      <c r="J3095" s="65" t="inlineStr">
        <is>
          <t>N/D</t>
        </is>
      </c>
      <c r="K3095" s="65" t="inlineStr">
        <is>
          <t>N/D</t>
        </is>
      </c>
      <c r="L3095" s="127" t="inlineStr">
        <is>
          <t>CHIAPPA FIREARMS SRL</t>
        </is>
      </c>
      <c r="M3095" s="5" t="n">
        <v>91.5</v>
      </c>
      <c r="N3095" s="5" t="n"/>
      <c r="O3095" s="5">
        <f>+M3095+N3095</f>
        <v/>
      </c>
      <c r="P3095" s="4" t="n">
        <v>45989</v>
      </c>
      <c r="Q3095" s="87" t="n">
        <v>45989</v>
      </c>
      <c r="R3095" s="5" t="n">
        <v>140.3</v>
      </c>
      <c r="S3095" s="2" t="n">
        <v>1</v>
      </c>
      <c r="T3095" s="3" t="inlineStr">
        <is>
          <t>6B/2025/7M</t>
        </is>
      </c>
      <c r="U3095" s="87" t="n">
        <v>46003</v>
      </c>
      <c r="V3095" s="3" t="inlineStr">
        <is>
          <t>35</t>
        </is>
      </c>
      <c r="W3095" s="108" t="n">
        <v>46003</v>
      </c>
      <c r="X3095" s="4" t="inlineStr">
        <is>
          <t>BIN HUMAID NATIONAL TRADING CO</t>
        </is>
      </c>
    </row>
    <row r="3096" ht="24" customHeight="1">
      <c r="A3096" s="2">
        <f>+D3096-S3096</f>
        <v/>
      </c>
      <c r="B3096" s="80" t="n">
        <v>4688</v>
      </c>
      <c r="C3096" s="66" t="n">
        <v>45994</v>
      </c>
      <c r="D3096" s="2" t="n">
        <v>1</v>
      </c>
      <c r="E3096" s="3" t="inlineStr">
        <is>
          <t>FUCILE MONOCANNA</t>
        </is>
      </c>
      <c r="F3096" s="3" t="inlineStr">
        <is>
          <t>22LR</t>
        </is>
      </c>
      <c r="G3096" s="3" t="inlineStr">
        <is>
          <t>CHIAPPA</t>
        </is>
      </c>
      <c r="H3096" s="65" t="inlineStr">
        <is>
          <t>LITTLE BADGER 16.5''</t>
        </is>
      </c>
      <c r="I3096" s="65" t="inlineStr">
        <is>
          <t>CFIT25R13472</t>
        </is>
      </c>
      <c r="J3096" s="65" t="inlineStr">
        <is>
          <t>N/D</t>
        </is>
      </c>
      <c r="K3096" s="65" t="inlineStr">
        <is>
          <t>N/D</t>
        </is>
      </c>
      <c r="L3096" s="127" t="inlineStr">
        <is>
          <t>CHIAPPA FIREARMS SRL</t>
        </is>
      </c>
      <c r="M3096" s="5" t="n">
        <v>91.5</v>
      </c>
      <c r="N3096" s="5" t="n"/>
      <c r="O3096" s="5">
        <f>+M3096+N3096</f>
        <v/>
      </c>
      <c r="P3096" s="4" t="n">
        <v>45989</v>
      </c>
      <c r="Q3096" s="87" t="n">
        <v>45989</v>
      </c>
      <c r="R3096" s="5" t="n">
        <v>140.3</v>
      </c>
      <c r="S3096" s="2" t="n">
        <v>1</v>
      </c>
      <c r="T3096" s="3" t="inlineStr">
        <is>
          <t>6B/2025/7M</t>
        </is>
      </c>
      <c r="U3096" s="87" t="n">
        <v>46003</v>
      </c>
      <c r="V3096" s="3" t="inlineStr">
        <is>
          <t>35</t>
        </is>
      </c>
      <c r="W3096" s="108" t="n">
        <v>46003</v>
      </c>
      <c r="X3096" s="4" t="inlineStr">
        <is>
          <t>BIN HUMAID NATIONAL TRADING CO</t>
        </is>
      </c>
    </row>
    <row r="3097" ht="24" customHeight="1">
      <c r="A3097" s="2">
        <f>+D3097-S3097</f>
        <v/>
      </c>
      <c r="B3097" s="80" t="n">
        <v>4689</v>
      </c>
      <c r="C3097" s="66" t="n">
        <v>45994</v>
      </c>
      <c r="D3097" s="2" t="n">
        <v>1</v>
      </c>
      <c r="E3097" s="3" t="inlineStr">
        <is>
          <t>FUCILE MONOCANNA</t>
        </is>
      </c>
      <c r="F3097" s="3" t="inlineStr">
        <is>
          <t>22LR</t>
        </is>
      </c>
      <c r="G3097" s="3" t="inlineStr">
        <is>
          <t>CHIAPPA</t>
        </is>
      </c>
      <c r="H3097" s="65" t="inlineStr">
        <is>
          <t>LITTLE BADGER 16.5''</t>
        </is>
      </c>
      <c r="I3097" s="65" t="inlineStr">
        <is>
          <t>CFIT25R13473</t>
        </is>
      </c>
      <c r="J3097" s="65" t="inlineStr">
        <is>
          <t>N/D</t>
        </is>
      </c>
      <c r="K3097" s="65" t="inlineStr">
        <is>
          <t>N/D</t>
        </is>
      </c>
      <c r="L3097" s="127" t="inlineStr">
        <is>
          <t>CHIAPPA FIREARMS SRL</t>
        </is>
      </c>
      <c r="M3097" s="5" t="n">
        <v>91.5</v>
      </c>
      <c r="N3097" s="5" t="n"/>
      <c r="O3097" s="5">
        <f>+M3097+N3097</f>
        <v/>
      </c>
      <c r="P3097" s="4" t="n">
        <v>45989</v>
      </c>
      <c r="Q3097" s="87" t="n">
        <v>45989</v>
      </c>
      <c r="R3097" s="5" t="n">
        <v>140.3</v>
      </c>
      <c r="S3097" s="2" t="n">
        <v>1</v>
      </c>
      <c r="T3097" s="3" t="inlineStr">
        <is>
          <t>6B/2025/7M</t>
        </is>
      </c>
      <c r="U3097" s="87" t="n">
        <v>46003</v>
      </c>
      <c r="V3097" s="3" t="inlineStr">
        <is>
          <t>35</t>
        </is>
      </c>
      <c r="W3097" s="108" t="n">
        <v>46003</v>
      </c>
      <c r="X3097" s="4" t="inlineStr">
        <is>
          <t>BIN HUMAID NATIONAL TRADING CO</t>
        </is>
      </c>
    </row>
    <row r="3098" ht="24" customHeight="1">
      <c r="A3098" s="2">
        <f>+D3098-S3098</f>
        <v/>
      </c>
      <c r="B3098" s="80" t="n">
        <v>4690</v>
      </c>
      <c r="C3098" s="66" t="n">
        <v>45994</v>
      </c>
      <c r="D3098" s="2" t="n">
        <v>1</v>
      </c>
      <c r="E3098" s="3" t="inlineStr">
        <is>
          <t>FUCILE MONOCANNA</t>
        </is>
      </c>
      <c r="F3098" s="3" t="inlineStr">
        <is>
          <t>22LR</t>
        </is>
      </c>
      <c r="G3098" s="3" t="inlineStr">
        <is>
          <t>CHIAPPA</t>
        </is>
      </c>
      <c r="H3098" s="65" t="inlineStr">
        <is>
          <t>LITTLE BADGER 16.5''</t>
        </is>
      </c>
      <c r="I3098" s="65" t="inlineStr">
        <is>
          <t>CFIT25R13474</t>
        </is>
      </c>
      <c r="J3098" s="65" t="inlineStr">
        <is>
          <t>N/D</t>
        </is>
      </c>
      <c r="K3098" s="65" t="inlineStr">
        <is>
          <t>N/D</t>
        </is>
      </c>
      <c r="L3098" s="127" t="inlineStr">
        <is>
          <t>CHIAPPA FIREARMS SRL</t>
        </is>
      </c>
      <c r="M3098" s="5" t="n">
        <v>91.5</v>
      </c>
      <c r="N3098" s="5" t="n"/>
      <c r="O3098" s="5">
        <f>+M3098+N3098</f>
        <v/>
      </c>
      <c r="P3098" s="4" t="n">
        <v>45989</v>
      </c>
      <c r="Q3098" s="87" t="n">
        <v>45989</v>
      </c>
      <c r="R3098" s="5" t="n">
        <v>140.3</v>
      </c>
      <c r="S3098" s="2" t="n">
        <v>1</v>
      </c>
      <c r="T3098" s="3" t="inlineStr">
        <is>
          <t>6B/2025/7M</t>
        </is>
      </c>
      <c r="U3098" s="87" t="n">
        <v>46003</v>
      </c>
      <c r="V3098" s="3" t="inlineStr">
        <is>
          <t>35</t>
        </is>
      </c>
      <c r="W3098" s="108" t="n">
        <v>46003</v>
      </c>
      <c r="X3098" s="4" t="inlineStr">
        <is>
          <t>BIN HUMAID NATIONAL TRADING CO</t>
        </is>
      </c>
    </row>
    <row r="3099" ht="24" customHeight="1">
      <c r="A3099" s="2">
        <f>+D3099-S3099</f>
        <v/>
      </c>
      <c r="B3099" s="80" t="n">
        <v>4691</v>
      </c>
      <c r="C3099" s="66" t="n">
        <v>45994</v>
      </c>
      <c r="D3099" s="2" t="n">
        <v>1</v>
      </c>
      <c r="E3099" s="3" t="inlineStr">
        <is>
          <t>FUCILE MONOCANNA</t>
        </is>
      </c>
      <c r="F3099" s="3" t="inlineStr">
        <is>
          <t>22LR</t>
        </is>
      </c>
      <c r="G3099" s="3" t="inlineStr">
        <is>
          <t>CHIAPPA</t>
        </is>
      </c>
      <c r="H3099" s="65" t="inlineStr">
        <is>
          <t>LITTLE BADGER 16.5''</t>
        </is>
      </c>
      <c r="I3099" s="65" t="inlineStr">
        <is>
          <t>CFIT25R13475</t>
        </is>
      </c>
      <c r="J3099" s="65" t="inlineStr">
        <is>
          <t>N/D</t>
        </is>
      </c>
      <c r="K3099" s="65" t="inlineStr">
        <is>
          <t>N/D</t>
        </is>
      </c>
      <c r="L3099" s="127" t="inlineStr">
        <is>
          <t>CHIAPPA FIREARMS SRL</t>
        </is>
      </c>
      <c r="M3099" s="5" t="n">
        <v>91.5</v>
      </c>
      <c r="N3099" s="5" t="n"/>
      <c r="O3099" s="5">
        <f>+M3099+N3099</f>
        <v/>
      </c>
      <c r="P3099" s="4" t="n">
        <v>45989</v>
      </c>
      <c r="Q3099" s="87" t="n">
        <v>45989</v>
      </c>
      <c r="R3099" s="5" t="n">
        <v>140.3</v>
      </c>
      <c r="S3099" s="2" t="n">
        <v>1</v>
      </c>
      <c r="T3099" s="3" t="inlineStr">
        <is>
          <t>6B/2025/7M</t>
        </is>
      </c>
      <c r="U3099" s="87" t="n">
        <v>46003</v>
      </c>
      <c r="V3099" s="3" t="inlineStr">
        <is>
          <t>35</t>
        </is>
      </c>
      <c r="W3099" s="108" t="n">
        <v>46003</v>
      </c>
      <c r="X3099" s="4" t="inlineStr">
        <is>
          <t>BIN HUMAID NATIONAL TRADING CO</t>
        </is>
      </c>
    </row>
    <row r="3100" ht="24" customHeight="1">
      <c r="A3100" s="2">
        <f>+D3100-S3100</f>
        <v/>
      </c>
      <c r="B3100" s="80" t="n">
        <v>4692</v>
      </c>
      <c r="C3100" s="66" t="n">
        <v>45994</v>
      </c>
      <c r="D3100" s="2" t="n">
        <v>1</v>
      </c>
      <c r="E3100" s="3" t="inlineStr">
        <is>
          <t>FUCILE MONOCANNA</t>
        </is>
      </c>
      <c r="F3100" s="3" t="inlineStr">
        <is>
          <t>22LR</t>
        </is>
      </c>
      <c r="G3100" s="3" t="inlineStr">
        <is>
          <t>CHIAPPA</t>
        </is>
      </c>
      <c r="H3100" s="65" t="inlineStr">
        <is>
          <t>LITTLE BADGER 16.5''</t>
        </is>
      </c>
      <c r="I3100" s="65" t="inlineStr">
        <is>
          <t>CFIT25R13476</t>
        </is>
      </c>
      <c r="J3100" s="65" t="inlineStr">
        <is>
          <t>N/D</t>
        </is>
      </c>
      <c r="K3100" s="65" t="inlineStr">
        <is>
          <t>N/D</t>
        </is>
      </c>
      <c r="L3100" s="127" t="inlineStr">
        <is>
          <t>CHIAPPA FIREARMS SRL</t>
        </is>
      </c>
      <c r="M3100" s="5" t="n">
        <v>91.5</v>
      </c>
      <c r="N3100" s="5" t="n"/>
      <c r="O3100" s="5">
        <f>+M3100+N3100</f>
        <v/>
      </c>
      <c r="P3100" s="4" t="n">
        <v>45989</v>
      </c>
      <c r="Q3100" s="87" t="n">
        <v>45989</v>
      </c>
      <c r="R3100" s="5" t="n">
        <v>140.3</v>
      </c>
      <c r="S3100" s="2" t="n">
        <v>1</v>
      </c>
      <c r="T3100" s="3" t="inlineStr">
        <is>
          <t>6B/2025/7M</t>
        </is>
      </c>
      <c r="U3100" s="87" t="n">
        <v>46003</v>
      </c>
      <c r="V3100" s="3" t="inlineStr">
        <is>
          <t>35</t>
        </is>
      </c>
      <c r="W3100" s="108" t="n">
        <v>46003</v>
      </c>
      <c r="X3100" s="4" t="inlineStr">
        <is>
          <t>BIN HUMAID NATIONAL TRADING CO</t>
        </is>
      </c>
    </row>
    <row r="3101" ht="24" customHeight="1">
      <c r="A3101" s="2">
        <f>+D3101-S3101</f>
        <v/>
      </c>
      <c r="B3101" s="80" t="n">
        <v>4693</v>
      </c>
      <c r="C3101" s="66" t="n">
        <v>45994</v>
      </c>
      <c r="D3101" s="2" t="n">
        <v>1</v>
      </c>
      <c r="E3101" s="3" t="inlineStr">
        <is>
          <t>FUCILE MONOCANNA</t>
        </is>
      </c>
      <c r="F3101" s="3" t="inlineStr">
        <is>
          <t>22LR</t>
        </is>
      </c>
      <c r="G3101" s="3" t="inlineStr">
        <is>
          <t>CHIAPPA</t>
        </is>
      </c>
      <c r="H3101" s="65" t="inlineStr">
        <is>
          <t>LITTLE BADGER 16.5''</t>
        </is>
      </c>
      <c r="I3101" s="65" t="inlineStr">
        <is>
          <t>CFIT25R13477</t>
        </is>
      </c>
      <c r="J3101" s="65" t="inlineStr">
        <is>
          <t>N/D</t>
        </is>
      </c>
      <c r="K3101" s="65" t="inlineStr">
        <is>
          <t>N/D</t>
        </is>
      </c>
      <c r="L3101" s="127" t="inlineStr">
        <is>
          <t>CHIAPPA FIREARMS SRL</t>
        </is>
      </c>
      <c r="M3101" s="5" t="n">
        <v>91.5</v>
      </c>
      <c r="N3101" s="5" t="n"/>
      <c r="O3101" s="5">
        <f>+M3101+N3101</f>
        <v/>
      </c>
      <c r="P3101" s="4" t="n">
        <v>45989</v>
      </c>
      <c r="Q3101" s="87" t="n">
        <v>45989</v>
      </c>
      <c r="R3101" s="5" t="n">
        <v>140.3</v>
      </c>
      <c r="S3101" s="2" t="n">
        <v>1</v>
      </c>
      <c r="T3101" s="3" t="inlineStr">
        <is>
          <t>6B/2025/7M</t>
        </is>
      </c>
      <c r="U3101" s="87" t="n">
        <v>46003</v>
      </c>
      <c r="V3101" s="3" t="inlineStr">
        <is>
          <t>35</t>
        </is>
      </c>
      <c r="W3101" s="108" t="n">
        <v>46003</v>
      </c>
      <c r="X3101" s="4" t="inlineStr">
        <is>
          <t>BIN HUMAID NATIONAL TRADING CO</t>
        </is>
      </c>
    </row>
    <row r="3102" ht="24" customHeight="1">
      <c r="A3102" s="2">
        <f>+D3102-S3102</f>
        <v/>
      </c>
      <c r="B3102" s="80" t="n">
        <v>4694</v>
      </c>
      <c r="C3102" s="66" t="n">
        <v>45994</v>
      </c>
      <c r="D3102" s="2" t="n">
        <v>1</v>
      </c>
      <c r="E3102" s="3" t="inlineStr">
        <is>
          <t>FUCILE MONOCANNA</t>
        </is>
      </c>
      <c r="F3102" s="3" t="inlineStr">
        <is>
          <t>22LR</t>
        </is>
      </c>
      <c r="G3102" s="3" t="inlineStr">
        <is>
          <t>CHIAPPA</t>
        </is>
      </c>
      <c r="H3102" s="65" t="inlineStr">
        <is>
          <t>LITTLE BADGER 16.5''</t>
        </is>
      </c>
      <c r="I3102" s="65" t="inlineStr">
        <is>
          <t>CFIT25R13478</t>
        </is>
      </c>
      <c r="J3102" s="65" t="inlineStr">
        <is>
          <t>N/D</t>
        </is>
      </c>
      <c r="K3102" s="65" t="inlineStr">
        <is>
          <t>N/D</t>
        </is>
      </c>
      <c r="L3102" s="127" t="inlineStr">
        <is>
          <t>CHIAPPA FIREARMS SRL</t>
        </is>
      </c>
      <c r="M3102" s="5" t="n">
        <v>91.5</v>
      </c>
      <c r="N3102" s="5" t="n"/>
      <c r="O3102" s="5">
        <f>+M3102+N3102</f>
        <v/>
      </c>
      <c r="P3102" s="4" t="n">
        <v>45989</v>
      </c>
      <c r="Q3102" s="87" t="n">
        <v>45989</v>
      </c>
      <c r="R3102" s="5" t="n">
        <v>140.3</v>
      </c>
      <c r="S3102" s="2" t="n">
        <v>1</v>
      </c>
      <c r="T3102" s="3" t="inlineStr">
        <is>
          <t>6B/2025/7M</t>
        </is>
      </c>
      <c r="U3102" s="87" t="n">
        <v>46003</v>
      </c>
      <c r="V3102" s="3" t="inlineStr">
        <is>
          <t>35</t>
        </is>
      </c>
      <c r="W3102" s="108" t="n">
        <v>46003</v>
      </c>
      <c r="X3102" s="4" t="inlineStr">
        <is>
          <t>BIN HUMAID NATIONAL TRADING CO</t>
        </is>
      </c>
    </row>
    <row r="3103" ht="24" customHeight="1">
      <c r="A3103" s="2">
        <f>+D3103-S3103</f>
        <v/>
      </c>
      <c r="B3103" s="80" t="n">
        <v>4695</v>
      </c>
      <c r="C3103" s="66" t="n">
        <v>45994</v>
      </c>
      <c r="D3103" s="2" t="n">
        <v>1</v>
      </c>
      <c r="E3103" s="3" t="inlineStr">
        <is>
          <t>FUCILE MONOCANNA</t>
        </is>
      </c>
      <c r="F3103" s="3" t="inlineStr">
        <is>
          <t>22LR</t>
        </is>
      </c>
      <c r="G3103" s="3" t="inlineStr">
        <is>
          <t>CHIAPPA</t>
        </is>
      </c>
      <c r="H3103" s="65" t="inlineStr">
        <is>
          <t>LITTLE BADGER 16.5''</t>
        </is>
      </c>
      <c r="I3103" s="65" t="inlineStr">
        <is>
          <t>CFIT25R13479</t>
        </is>
      </c>
      <c r="J3103" s="65" t="inlineStr">
        <is>
          <t>N/D</t>
        </is>
      </c>
      <c r="K3103" s="65" t="inlineStr">
        <is>
          <t>N/D</t>
        </is>
      </c>
      <c r="L3103" s="127" t="inlineStr">
        <is>
          <t>CHIAPPA FIREARMS SRL</t>
        </is>
      </c>
      <c r="M3103" s="5" t="n">
        <v>91.5</v>
      </c>
      <c r="N3103" s="5" t="n"/>
      <c r="O3103" s="5">
        <f>+M3103+N3103</f>
        <v/>
      </c>
      <c r="P3103" s="4" t="n">
        <v>45989</v>
      </c>
      <c r="Q3103" s="87" t="n">
        <v>45989</v>
      </c>
      <c r="R3103" s="5" t="n">
        <v>140.3</v>
      </c>
      <c r="S3103" s="2" t="n">
        <v>1</v>
      </c>
      <c r="T3103" s="3" t="inlineStr">
        <is>
          <t>6B/2025/7M</t>
        </is>
      </c>
      <c r="U3103" s="87" t="n">
        <v>46003</v>
      </c>
      <c r="V3103" s="3" t="inlineStr">
        <is>
          <t>35</t>
        </is>
      </c>
      <c r="W3103" s="108" t="n">
        <v>46003</v>
      </c>
      <c r="X3103" s="4" t="inlineStr">
        <is>
          <t>BIN HUMAID NATIONAL TRADING CO</t>
        </is>
      </c>
    </row>
    <row r="3104" ht="24" customHeight="1">
      <c r="A3104" s="2">
        <f>+D3104-S3104</f>
        <v/>
      </c>
      <c r="B3104" s="80" t="n">
        <v>4696</v>
      </c>
      <c r="C3104" s="66" t="n">
        <v>45994</v>
      </c>
      <c r="D3104" s="2" t="n">
        <v>1</v>
      </c>
      <c r="E3104" s="3" t="inlineStr">
        <is>
          <t>FUCILE MONOCANNA</t>
        </is>
      </c>
      <c r="F3104" s="3" t="inlineStr">
        <is>
          <t>22LR</t>
        </is>
      </c>
      <c r="G3104" s="3" t="inlineStr">
        <is>
          <t>CHIAPPA</t>
        </is>
      </c>
      <c r="H3104" s="65" t="inlineStr">
        <is>
          <t>LITTLE BADGER 16.5''</t>
        </is>
      </c>
      <c r="I3104" s="65" t="inlineStr">
        <is>
          <t>CFIT25R13480</t>
        </is>
      </c>
      <c r="J3104" s="65" t="inlineStr">
        <is>
          <t>N/D</t>
        </is>
      </c>
      <c r="K3104" s="65" t="inlineStr">
        <is>
          <t>N/D</t>
        </is>
      </c>
      <c r="L3104" s="127" t="inlineStr">
        <is>
          <t>CHIAPPA FIREARMS SRL</t>
        </is>
      </c>
      <c r="M3104" s="5" t="n">
        <v>91.5</v>
      </c>
      <c r="N3104" s="5" t="n"/>
      <c r="O3104" s="5">
        <f>+M3104+N3104</f>
        <v/>
      </c>
      <c r="P3104" s="4" t="n">
        <v>45989</v>
      </c>
      <c r="Q3104" s="87" t="n">
        <v>45989</v>
      </c>
      <c r="R3104" s="5" t="n">
        <v>140.3</v>
      </c>
      <c r="S3104" s="2" t="n">
        <v>1</v>
      </c>
      <c r="T3104" s="3" t="inlineStr">
        <is>
          <t>6B/2025/7M</t>
        </is>
      </c>
      <c r="U3104" s="87" t="n">
        <v>46003</v>
      </c>
      <c r="V3104" s="3" t="inlineStr">
        <is>
          <t>35</t>
        </is>
      </c>
      <c r="W3104" s="108" t="n">
        <v>46003</v>
      </c>
      <c r="X3104" s="4" t="inlineStr">
        <is>
          <t>BIN HUMAID NATIONAL TRADING CO</t>
        </is>
      </c>
    </row>
    <row r="3105" ht="24" customHeight="1">
      <c r="A3105" s="2">
        <f>+D3105-S3105</f>
        <v/>
      </c>
      <c r="B3105" s="80" t="n">
        <v>4697</v>
      </c>
      <c r="C3105" s="66" t="n">
        <v>45994</v>
      </c>
      <c r="D3105" s="2" t="n">
        <v>1</v>
      </c>
      <c r="E3105" s="3" t="inlineStr">
        <is>
          <t>FUCILE MONOCANNA</t>
        </is>
      </c>
      <c r="F3105" s="3" t="inlineStr">
        <is>
          <t>22LR</t>
        </is>
      </c>
      <c r="G3105" s="3" t="inlineStr">
        <is>
          <t>CHIAPPA</t>
        </is>
      </c>
      <c r="H3105" s="65" t="inlineStr">
        <is>
          <t>LITTLE BADGER 16.5''</t>
        </is>
      </c>
      <c r="I3105" s="65" t="inlineStr">
        <is>
          <t>CFIT25R13481</t>
        </is>
      </c>
      <c r="J3105" s="65" t="inlineStr">
        <is>
          <t>N/D</t>
        </is>
      </c>
      <c r="K3105" s="65" t="inlineStr">
        <is>
          <t>N/D</t>
        </is>
      </c>
      <c r="L3105" s="127" t="inlineStr">
        <is>
          <t>CHIAPPA FIREARMS SRL</t>
        </is>
      </c>
      <c r="M3105" s="5" t="n">
        <v>91.5</v>
      </c>
      <c r="N3105" s="5" t="n"/>
      <c r="O3105" s="5">
        <f>+M3105+N3105</f>
        <v/>
      </c>
      <c r="P3105" s="4" t="n">
        <v>45989</v>
      </c>
      <c r="Q3105" s="87" t="n">
        <v>45989</v>
      </c>
      <c r="R3105" s="5" t="n">
        <v>140.3</v>
      </c>
      <c r="S3105" s="2" t="n">
        <v>1</v>
      </c>
      <c r="T3105" s="3" t="inlineStr">
        <is>
          <t>6B/2025/7M</t>
        </is>
      </c>
      <c r="U3105" s="87" t="n">
        <v>46003</v>
      </c>
      <c r="V3105" s="3" t="inlineStr">
        <is>
          <t>35</t>
        </is>
      </c>
      <c r="W3105" s="108" t="n">
        <v>46003</v>
      </c>
      <c r="X3105" s="4" t="inlineStr">
        <is>
          <t>BIN HUMAID NATIONAL TRADING CO</t>
        </is>
      </c>
    </row>
    <row r="3106" ht="24" customHeight="1">
      <c r="A3106" s="2">
        <f>+D3106-S3106</f>
        <v/>
      </c>
      <c r="B3106" s="80" t="n">
        <v>4698</v>
      </c>
      <c r="C3106" s="66" t="n">
        <v>45994</v>
      </c>
      <c r="D3106" s="2" t="n">
        <v>1</v>
      </c>
      <c r="E3106" s="3" t="inlineStr">
        <is>
          <t>FUCILE MONOCANNA</t>
        </is>
      </c>
      <c r="F3106" s="3" t="inlineStr">
        <is>
          <t>22LR</t>
        </is>
      </c>
      <c r="G3106" s="3" t="inlineStr">
        <is>
          <t>CHIAPPA</t>
        </is>
      </c>
      <c r="H3106" s="65" t="inlineStr">
        <is>
          <t>LITTLE BADGER 16.5''</t>
        </is>
      </c>
      <c r="I3106" s="65" t="inlineStr">
        <is>
          <t>CFIT25R13482</t>
        </is>
      </c>
      <c r="J3106" s="65" t="inlineStr">
        <is>
          <t>N/D</t>
        </is>
      </c>
      <c r="K3106" s="65" t="inlineStr">
        <is>
          <t>N/D</t>
        </is>
      </c>
      <c r="L3106" s="127" t="inlineStr">
        <is>
          <t>CHIAPPA FIREARMS SRL</t>
        </is>
      </c>
      <c r="M3106" s="5" t="n">
        <v>91.5</v>
      </c>
      <c r="N3106" s="5" t="n"/>
      <c r="O3106" s="5">
        <f>+M3106+N3106</f>
        <v/>
      </c>
      <c r="P3106" s="4" t="n">
        <v>45989</v>
      </c>
      <c r="Q3106" s="87" t="n">
        <v>45989</v>
      </c>
      <c r="R3106" s="5" t="n">
        <v>140.3</v>
      </c>
      <c r="S3106" s="2" t="n">
        <v>1</v>
      </c>
      <c r="T3106" s="3" t="inlineStr">
        <is>
          <t>6B/2025/7M</t>
        </is>
      </c>
      <c r="U3106" s="87" t="n">
        <v>46003</v>
      </c>
      <c r="V3106" s="3" t="inlineStr">
        <is>
          <t>35</t>
        </is>
      </c>
      <c r="W3106" s="108" t="n">
        <v>46003</v>
      </c>
      <c r="X3106" s="4" t="inlineStr">
        <is>
          <t>BIN HUMAID NATIONAL TRADING CO</t>
        </is>
      </c>
    </row>
    <row r="3107" ht="24" customHeight="1">
      <c r="A3107" s="2">
        <f>+D3107-S3107</f>
        <v/>
      </c>
      <c r="B3107" s="80" t="n">
        <v>4699</v>
      </c>
      <c r="C3107" s="66" t="n">
        <v>45994</v>
      </c>
      <c r="D3107" s="2" t="n">
        <v>1</v>
      </c>
      <c r="E3107" s="3" t="inlineStr">
        <is>
          <t>FUCILE MONOCANNA</t>
        </is>
      </c>
      <c r="F3107" s="3" t="inlineStr">
        <is>
          <t>22LR</t>
        </is>
      </c>
      <c r="G3107" s="3" t="inlineStr">
        <is>
          <t>CHIAPPA</t>
        </is>
      </c>
      <c r="H3107" s="65" t="inlineStr">
        <is>
          <t>LITTLE BADGER 16.5''</t>
        </is>
      </c>
      <c r="I3107" s="65" t="inlineStr">
        <is>
          <t>CFIT25R13483</t>
        </is>
      </c>
      <c r="J3107" s="65" t="inlineStr">
        <is>
          <t>N/D</t>
        </is>
      </c>
      <c r="K3107" s="65" t="inlineStr">
        <is>
          <t>N/D</t>
        </is>
      </c>
      <c r="L3107" s="127" t="inlineStr">
        <is>
          <t>CHIAPPA FIREARMS SRL</t>
        </is>
      </c>
      <c r="M3107" s="5" t="n">
        <v>91.5</v>
      </c>
      <c r="N3107" s="5" t="n"/>
      <c r="O3107" s="5">
        <f>+M3107+N3107</f>
        <v/>
      </c>
      <c r="P3107" s="4" t="n">
        <v>45989</v>
      </c>
      <c r="Q3107" s="87" t="n">
        <v>45989</v>
      </c>
      <c r="R3107" s="5" t="n">
        <v>140.3</v>
      </c>
      <c r="S3107" s="2" t="n">
        <v>1</v>
      </c>
      <c r="T3107" s="3" t="inlineStr">
        <is>
          <t>6B/2025/7M</t>
        </is>
      </c>
      <c r="U3107" s="87" t="n">
        <v>46003</v>
      </c>
      <c r="V3107" s="3" t="inlineStr">
        <is>
          <t>35</t>
        </is>
      </c>
      <c r="W3107" s="108" t="n">
        <v>46003</v>
      </c>
      <c r="X3107" s="4" t="inlineStr">
        <is>
          <t>BIN HUMAID NATIONAL TRADING CO</t>
        </is>
      </c>
    </row>
    <row r="3108" ht="24" customHeight="1">
      <c r="A3108" s="2">
        <f>+D3108-S3108</f>
        <v/>
      </c>
      <c r="B3108" s="80" t="n">
        <v>4700</v>
      </c>
      <c r="C3108" s="66" t="n">
        <v>45994</v>
      </c>
      <c r="D3108" s="2" t="n">
        <v>1</v>
      </c>
      <c r="E3108" s="3" t="inlineStr">
        <is>
          <t>FUCILE MONOCANNA</t>
        </is>
      </c>
      <c r="F3108" s="3" t="inlineStr">
        <is>
          <t>22LR</t>
        </is>
      </c>
      <c r="G3108" s="3" t="inlineStr">
        <is>
          <t>CHIAPPA</t>
        </is>
      </c>
      <c r="H3108" s="65" t="inlineStr">
        <is>
          <t>LITTLE BADGER 16.5''</t>
        </is>
      </c>
      <c r="I3108" s="65" t="inlineStr">
        <is>
          <t>CFIT25R13484</t>
        </is>
      </c>
      <c r="J3108" s="65" t="inlineStr">
        <is>
          <t>N/D</t>
        </is>
      </c>
      <c r="K3108" s="65" t="inlineStr">
        <is>
          <t>N/D</t>
        </is>
      </c>
      <c r="L3108" s="127" t="inlineStr">
        <is>
          <t>CHIAPPA FIREARMS SRL</t>
        </is>
      </c>
      <c r="M3108" s="5" t="n">
        <v>91.5</v>
      </c>
      <c r="N3108" s="5" t="n"/>
      <c r="O3108" s="5">
        <f>+M3108+N3108</f>
        <v/>
      </c>
      <c r="P3108" s="4" t="n">
        <v>45989</v>
      </c>
      <c r="Q3108" s="87" t="n">
        <v>45989</v>
      </c>
      <c r="R3108" s="5" t="n">
        <v>140.3</v>
      </c>
      <c r="S3108" s="2" t="n">
        <v>1</v>
      </c>
      <c r="T3108" s="3" t="inlineStr">
        <is>
          <t>6B/2025/7M</t>
        </is>
      </c>
      <c r="U3108" s="87" t="n">
        <v>46003</v>
      </c>
      <c r="V3108" s="3" t="inlineStr">
        <is>
          <t>35</t>
        </is>
      </c>
      <c r="W3108" s="108" t="n">
        <v>46003</v>
      </c>
      <c r="X3108" s="4" t="inlineStr">
        <is>
          <t>BIN HUMAID NATIONAL TRADING CO</t>
        </is>
      </c>
    </row>
    <row r="3109" ht="24" customHeight="1">
      <c r="A3109" s="2">
        <f>+D3109-S3109</f>
        <v/>
      </c>
      <c r="B3109" s="80" t="n">
        <v>4701</v>
      </c>
      <c r="C3109" s="66" t="n">
        <v>45994</v>
      </c>
      <c r="D3109" s="2" t="n">
        <v>1</v>
      </c>
      <c r="E3109" s="3" t="inlineStr">
        <is>
          <t>FUCILE MONOCANNA</t>
        </is>
      </c>
      <c r="F3109" s="3" t="inlineStr">
        <is>
          <t>22LR</t>
        </is>
      </c>
      <c r="G3109" s="3" t="inlineStr">
        <is>
          <t>CHIAPPA</t>
        </is>
      </c>
      <c r="H3109" s="65" t="inlineStr">
        <is>
          <t>LITTLE BADGER 16.5''</t>
        </is>
      </c>
      <c r="I3109" s="65" t="inlineStr">
        <is>
          <t>CFIT25R13485</t>
        </is>
      </c>
      <c r="J3109" s="65" t="inlineStr">
        <is>
          <t>N/D</t>
        </is>
      </c>
      <c r="K3109" s="65" t="inlineStr">
        <is>
          <t>N/D</t>
        </is>
      </c>
      <c r="L3109" s="127" t="inlineStr">
        <is>
          <t>CHIAPPA FIREARMS SRL</t>
        </is>
      </c>
      <c r="M3109" s="5" t="n">
        <v>91.5</v>
      </c>
      <c r="N3109" s="5" t="n"/>
      <c r="O3109" s="5">
        <f>+M3109+N3109</f>
        <v/>
      </c>
      <c r="P3109" s="4" t="n">
        <v>45989</v>
      </c>
      <c r="Q3109" s="87" t="n">
        <v>45989</v>
      </c>
      <c r="R3109" s="5" t="n">
        <v>140.3</v>
      </c>
      <c r="S3109" s="2" t="n">
        <v>1</v>
      </c>
      <c r="T3109" s="3" t="inlineStr">
        <is>
          <t>6B/2025/7M</t>
        </is>
      </c>
      <c r="U3109" s="87" t="n">
        <v>46003</v>
      </c>
      <c r="V3109" s="3" t="inlineStr">
        <is>
          <t>35</t>
        </is>
      </c>
      <c r="W3109" s="108" t="n">
        <v>46003</v>
      </c>
      <c r="X3109" s="4" t="inlineStr">
        <is>
          <t>BIN HUMAID NATIONAL TRADING CO</t>
        </is>
      </c>
    </row>
    <row r="3110" ht="24" customHeight="1">
      <c r="A3110" s="2">
        <f>+D3110-S3110</f>
        <v/>
      </c>
      <c r="B3110" s="80" t="n">
        <v>4702</v>
      </c>
      <c r="C3110" s="66" t="n">
        <v>45994</v>
      </c>
      <c r="D3110" s="2" t="n">
        <v>1</v>
      </c>
      <c r="E3110" s="3" t="inlineStr">
        <is>
          <t>FUCILE MONOCANNA</t>
        </is>
      </c>
      <c r="F3110" s="3" t="inlineStr">
        <is>
          <t>22LR</t>
        </is>
      </c>
      <c r="G3110" s="3" t="inlineStr">
        <is>
          <t>CHIAPPA</t>
        </is>
      </c>
      <c r="H3110" s="65" t="inlineStr">
        <is>
          <t>LITTLE BADGER 16.5''</t>
        </is>
      </c>
      <c r="I3110" s="65" t="inlineStr">
        <is>
          <t>CFIT25R13486</t>
        </is>
      </c>
      <c r="J3110" s="65" t="inlineStr">
        <is>
          <t>N/D</t>
        </is>
      </c>
      <c r="K3110" s="65" t="inlineStr">
        <is>
          <t>N/D</t>
        </is>
      </c>
      <c r="L3110" s="127" t="inlineStr">
        <is>
          <t>CHIAPPA FIREARMS SRL</t>
        </is>
      </c>
      <c r="M3110" s="5" t="n">
        <v>91.5</v>
      </c>
      <c r="N3110" s="5" t="n"/>
      <c r="O3110" s="5">
        <f>+M3110+N3110</f>
        <v/>
      </c>
      <c r="P3110" s="4" t="n">
        <v>45989</v>
      </c>
      <c r="Q3110" s="87" t="n">
        <v>45989</v>
      </c>
      <c r="R3110" s="5" t="n">
        <v>140.3</v>
      </c>
      <c r="S3110" s="2" t="n">
        <v>1</v>
      </c>
      <c r="T3110" s="3" t="inlineStr">
        <is>
          <t>6B/2025/7M</t>
        </is>
      </c>
      <c r="U3110" s="87" t="n">
        <v>46003</v>
      </c>
      <c r="V3110" s="3" t="inlineStr">
        <is>
          <t>35</t>
        </is>
      </c>
      <c r="W3110" s="108" t="n">
        <v>46003</v>
      </c>
      <c r="X3110" s="4" t="inlineStr">
        <is>
          <t>BIN HUMAID NATIONAL TRADING CO</t>
        </is>
      </c>
    </row>
    <row r="3111" ht="24" customHeight="1">
      <c r="A3111" s="2">
        <f>+D3111-S3111</f>
        <v/>
      </c>
      <c r="B3111" s="80" t="n">
        <v>4703</v>
      </c>
      <c r="C3111" s="66" t="n">
        <v>45994</v>
      </c>
      <c r="D3111" s="2" t="n">
        <v>1</v>
      </c>
      <c r="E3111" s="3" t="inlineStr">
        <is>
          <t>FUCILE MONOCANNA</t>
        </is>
      </c>
      <c r="F3111" s="3" t="inlineStr">
        <is>
          <t>22LR</t>
        </is>
      </c>
      <c r="G3111" s="3" t="inlineStr">
        <is>
          <t>CHIAPPA</t>
        </is>
      </c>
      <c r="H3111" s="65" t="inlineStr">
        <is>
          <t>LITTLE BADGER 16.5''</t>
        </is>
      </c>
      <c r="I3111" s="65" t="inlineStr">
        <is>
          <t>CFIT25R13487</t>
        </is>
      </c>
      <c r="J3111" s="65" t="inlineStr">
        <is>
          <t>N/D</t>
        </is>
      </c>
      <c r="K3111" s="65" t="inlineStr">
        <is>
          <t>N/D</t>
        </is>
      </c>
      <c r="L3111" s="127" t="inlineStr">
        <is>
          <t>CHIAPPA FIREARMS SRL</t>
        </is>
      </c>
      <c r="M3111" s="5" t="n">
        <v>91.5</v>
      </c>
      <c r="N3111" s="5" t="n"/>
      <c r="O3111" s="5">
        <f>+M3111+N3111</f>
        <v/>
      </c>
      <c r="P3111" s="4" t="n">
        <v>45989</v>
      </c>
      <c r="Q3111" s="87" t="n">
        <v>45989</v>
      </c>
      <c r="R3111" s="5" t="n">
        <v>140.3</v>
      </c>
      <c r="S3111" s="2" t="n">
        <v>1</v>
      </c>
      <c r="T3111" s="3" t="inlineStr">
        <is>
          <t>6B/2025/7M</t>
        </is>
      </c>
      <c r="U3111" s="87" t="n">
        <v>46003</v>
      </c>
      <c r="V3111" s="3" t="inlineStr">
        <is>
          <t>35</t>
        </is>
      </c>
      <c r="W3111" s="108" t="n">
        <v>46003</v>
      </c>
      <c r="X3111" s="4" t="inlineStr">
        <is>
          <t>BIN HUMAID NATIONAL TRADING CO</t>
        </is>
      </c>
    </row>
    <row r="3112" ht="24" customHeight="1">
      <c r="A3112" s="2">
        <f>+D3112-S3112</f>
        <v/>
      </c>
      <c r="B3112" s="80" t="n">
        <v>4704</v>
      </c>
      <c r="C3112" s="66" t="n">
        <v>45994</v>
      </c>
      <c r="D3112" s="2" t="n">
        <v>1</v>
      </c>
      <c r="E3112" s="3" t="inlineStr">
        <is>
          <t>FUCILE MONOCANNA</t>
        </is>
      </c>
      <c r="F3112" s="3" t="inlineStr">
        <is>
          <t>22LR</t>
        </is>
      </c>
      <c r="G3112" s="3" t="inlineStr">
        <is>
          <t>CHIAPPA</t>
        </is>
      </c>
      <c r="H3112" s="65" t="inlineStr">
        <is>
          <t>LITTLE BADGER 16.5''</t>
        </is>
      </c>
      <c r="I3112" s="65" t="inlineStr">
        <is>
          <t>CFIT25R13488</t>
        </is>
      </c>
      <c r="J3112" s="65" t="inlineStr">
        <is>
          <t>N/D</t>
        </is>
      </c>
      <c r="K3112" s="65" t="inlineStr">
        <is>
          <t>N/D</t>
        </is>
      </c>
      <c r="L3112" s="127" t="inlineStr">
        <is>
          <t>CHIAPPA FIREARMS SRL</t>
        </is>
      </c>
      <c r="M3112" s="5" t="n">
        <v>91.5</v>
      </c>
      <c r="N3112" s="5" t="n"/>
      <c r="O3112" s="5">
        <f>+M3112+N3112</f>
        <v/>
      </c>
      <c r="P3112" s="4" t="n">
        <v>45989</v>
      </c>
      <c r="Q3112" s="87" t="n">
        <v>45989</v>
      </c>
      <c r="R3112" s="5" t="n">
        <v>140.3</v>
      </c>
      <c r="S3112" s="2" t="n">
        <v>1</v>
      </c>
      <c r="T3112" s="3" t="inlineStr">
        <is>
          <t>6B/2025/7M</t>
        </is>
      </c>
      <c r="U3112" s="87" t="n">
        <v>46003</v>
      </c>
      <c r="V3112" s="3" t="inlineStr">
        <is>
          <t>35</t>
        </is>
      </c>
      <c r="W3112" s="108" t="n">
        <v>46003</v>
      </c>
      <c r="X3112" s="4" t="inlineStr">
        <is>
          <t>BIN HUMAID NATIONAL TRADING CO</t>
        </is>
      </c>
    </row>
    <row r="3113" ht="24" customHeight="1">
      <c r="A3113" s="2">
        <f>+D3113-S3113</f>
        <v/>
      </c>
      <c r="B3113" s="80" t="n">
        <v>4705</v>
      </c>
      <c r="C3113" s="66" t="n">
        <v>45994</v>
      </c>
      <c r="D3113" s="2" t="n">
        <v>1</v>
      </c>
      <c r="E3113" s="3" t="inlineStr">
        <is>
          <t>FUCILE MONOCANNA</t>
        </is>
      </c>
      <c r="F3113" s="3" t="inlineStr">
        <is>
          <t>22LR</t>
        </is>
      </c>
      <c r="G3113" s="3" t="inlineStr">
        <is>
          <t>CHIAPPA</t>
        </is>
      </c>
      <c r="H3113" s="65" t="inlineStr">
        <is>
          <t>LITTLE BADGER 16.5''</t>
        </is>
      </c>
      <c r="I3113" s="65" t="inlineStr">
        <is>
          <t>CFIT25R13489</t>
        </is>
      </c>
      <c r="J3113" s="65" t="inlineStr">
        <is>
          <t>N/D</t>
        </is>
      </c>
      <c r="K3113" s="65" t="inlineStr">
        <is>
          <t>N/D</t>
        </is>
      </c>
      <c r="L3113" s="127" t="inlineStr">
        <is>
          <t>CHIAPPA FIREARMS SRL</t>
        </is>
      </c>
      <c r="M3113" s="5" t="n">
        <v>91.5</v>
      </c>
      <c r="N3113" s="5" t="n"/>
      <c r="O3113" s="5">
        <f>+M3113+N3113</f>
        <v/>
      </c>
      <c r="P3113" s="4" t="n">
        <v>45989</v>
      </c>
      <c r="Q3113" s="87" t="n">
        <v>45989</v>
      </c>
      <c r="R3113" s="5" t="n">
        <v>140.3</v>
      </c>
      <c r="S3113" s="2" t="n">
        <v>1</v>
      </c>
      <c r="T3113" s="3" t="inlineStr">
        <is>
          <t>6B/2025/7M</t>
        </is>
      </c>
      <c r="U3113" s="87" t="n">
        <v>46003</v>
      </c>
      <c r="V3113" s="3" t="inlineStr">
        <is>
          <t>35</t>
        </is>
      </c>
      <c r="W3113" s="108" t="n">
        <v>46003</v>
      </c>
      <c r="X3113" s="4" t="inlineStr">
        <is>
          <t>BIN HUMAID NATIONAL TRADING CO</t>
        </is>
      </c>
    </row>
    <row r="3114" ht="24" customHeight="1">
      <c r="A3114" s="2">
        <f>+D3114-S3114</f>
        <v/>
      </c>
      <c r="B3114" s="80" t="n">
        <v>4706</v>
      </c>
      <c r="C3114" s="66" t="n">
        <v>45994</v>
      </c>
      <c r="D3114" s="2" t="n">
        <v>1</v>
      </c>
      <c r="E3114" s="3" t="inlineStr">
        <is>
          <t>FUCILE MONOCANNA</t>
        </is>
      </c>
      <c r="F3114" s="3" t="inlineStr">
        <is>
          <t>22LR</t>
        </is>
      </c>
      <c r="G3114" s="3" t="inlineStr">
        <is>
          <t>CHIAPPA</t>
        </is>
      </c>
      <c r="H3114" s="65" t="inlineStr">
        <is>
          <t>LITTLE BADGER 16.5''</t>
        </is>
      </c>
      <c r="I3114" s="65" t="inlineStr">
        <is>
          <t>CFIT25R13490</t>
        </is>
      </c>
      <c r="J3114" s="65" t="inlineStr">
        <is>
          <t>N/D</t>
        </is>
      </c>
      <c r="K3114" s="65" t="inlineStr">
        <is>
          <t>N/D</t>
        </is>
      </c>
      <c r="L3114" s="127" t="inlineStr">
        <is>
          <t>CHIAPPA FIREARMS SRL</t>
        </is>
      </c>
      <c r="M3114" s="5" t="n">
        <v>91.5</v>
      </c>
      <c r="N3114" s="5" t="n"/>
      <c r="O3114" s="5">
        <f>+M3114+N3114</f>
        <v/>
      </c>
      <c r="P3114" s="4" t="n">
        <v>45989</v>
      </c>
      <c r="Q3114" s="87" t="n">
        <v>45989</v>
      </c>
      <c r="R3114" s="5" t="n">
        <v>140.3</v>
      </c>
      <c r="S3114" s="2" t="n">
        <v>1</v>
      </c>
      <c r="T3114" s="3" t="inlineStr">
        <is>
          <t>6B/2025/7M</t>
        </is>
      </c>
      <c r="U3114" s="87" t="n">
        <v>46003</v>
      </c>
      <c r="V3114" s="3" t="inlineStr">
        <is>
          <t>35</t>
        </is>
      </c>
      <c r="W3114" s="108" t="n">
        <v>46003</v>
      </c>
      <c r="X3114" s="4" t="inlineStr">
        <is>
          <t>BIN HUMAID NATIONAL TRADING CO</t>
        </is>
      </c>
    </row>
    <row r="3115" ht="24" customHeight="1">
      <c r="A3115" s="2">
        <f>+D3115-S3115</f>
        <v/>
      </c>
      <c r="B3115" s="80" t="n">
        <v>4707</v>
      </c>
      <c r="C3115" s="66" t="n">
        <v>45994</v>
      </c>
      <c r="D3115" s="2" t="n">
        <v>1</v>
      </c>
      <c r="E3115" s="3" t="inlineStr">
        <is>
          <t>FUCILE MONOCANNA</t>
        </is>
      </c>
      <c r="F3115" s="3" t="inlineStr">
        <is>
          <t>22LR</t>
        </is>
      </c>
      <c r="G3115" s="3" t="inlineStr">
        <is>
          <t>CHIAPPA</t>
        </is>
      </c>
      <c r="H3115" s="65" t="inlineStr">
        <is>
          <t>LITTLE BADGER 16.5''</t>
        </is>
      </c>
      <c r="I3115" s="65" t="inlineStr">
        <is>
          <t>CFIT25R13491</t>
        </is>
      </c>
      <c r="J3115" s="65" t="inlineStr">
        <is>
          <t>N/D</t>
        </is>
      </c>
      <c r="K3115" s="65" t="inlineStr">
        <is>
          <t>N/D</t>
        </is>
      </c>
      <c r="L3115" s="127" t="inlineStr">
        <is>
          <t>CHIAPPA FIREARMS SRL</t>
        </is>
      </c>
      <c r="M3115" s="5" t="n">
        <v>91.5</v>
      </c>
      <c r="N3115" s="5" t="n"/>
      <c r="O3115" s="5">
        <f>+M3115+N3115</f>
        <v/>
      </c>
      <c r="P3115" s="4" t="n">
        <v>45989</v>
      </c>
      <c r="Q3115" s="87" t="n">
        <v>45989</v>
      </c>
      <c r="R3115" s="5" t="n">
        <v>140.3</v>
      </c>
      <c r="S3115" s="2" t="n">
        <v>1</v>
      </c>
      <c r="T3115" s="3" t="inlineStr">
        <is>
          <t>6B/2025/7M</t>
        </is>
      </c>
      <c r="U3115" s="87" t="n">
        <v>46003</v>
      </c>
      <c r="V3115" s="3" t="inlineStr">
        <is>
          <t>35</t>
        </is>
      </c>
      <c r="W3115" s="108" t="n">
        <v>46003</v>
      </c>
      <c r="X3115" s="4" t="inlineStr">
        <is>
          <t>BIN HUMAID NATIONAL TRADING CO</t>
        </is>
      </c>
    </row>
    <row r="3116" ht="24" customHeight="1">
      <c r="A3116" s="2">
        <f>+D3116-S3116</f>
        <v/>
      </c>
      <c r="B3116" s="80" t="n">
        <v>4708</v>
      </c>
      <c r="C3116" s="66" t="n">
        <v>45994</v>
      </c>
      <c r="D3116" s="2" t="n">
        <v>1</v>
      </c>
      <c r="E3116" s="3" t="inlineStr">
        <is>
          <t>FUCILE MONOCANNA</t>
        </is>
      </c>
      <c r="F3116" s="3" t="inlineStr">
        <is>
          <t>22LR</t>
        </is>
      </c>
      <c r="G3116" s="3" t="inlineStr">
        <is>
          <t>CHIAPPA</t>
        </is>
      </c>
      <c r="H3116" s="65" t="inlineStr">
        <is>
          <t>LITTLE BADGER 16.5''</t>
        </is>
      </c>
      <c r="I3116" s="65" t="inlineStr">
        <is>
          <t>CFIT25R13492</t>
        </is>
      </c>
      <c r="J3116" s="65" t="inlineStr">
        <is>
          <t>N/D</t>
        </is>
      </c>
      <c r="K3116" s="65" t="inlineStr">
        <is>
          <t>N/D</t>
        </is>
      </c>
      <c r="L3116" s="127" t="inlineStr">
        <is>
          <t>CHIAPPA FIREARMS SRL</t>
        </is>
      </c>
      <c r="M3116" s="5" t="n">
        <v>91.5</v>
      </c>
      <c r="N3116" s="5" t="n"/>
      <c r="O3116" s="5">
        <f>+M3116+N3116</f>
        <v/>
      </c>
      <c r="P3116" s="4" t="n">
        <v>45989</v>
      </c>
      <c r="Q3116" s="87" t="n">
        <v>45989</v>
      </c>
      <c r="R3116" s="5" t="n">
        <v>140.3</v>
      </c>
      <c r="S3116" s="2" t="n">
        <v>1</v>
      </c>
      <c r="T3116" s="3" t="inlineStr">
        <is>
          <t>6B/2025/7M</t>
        </is>
      </c>
      <c r="U3116" s="87" t="n">
        <v>46003</v>
      </c>
      <c r="V3116" s="3" t="inlineStr">
        <is>
          <t>35</t>
        </is>
      </c>
      <c r="W3116" s="108" t="n">
        <v>46003</v>
      </c>
      <c r="X3116" s="4" t="inlineStr">
        <is>
          <t>BIN HUMAID NATIONAL TRADING CO</t>
        </is>
      </c>
    </row>
    <row r="3117" ht="24" customHeight="1">
      <c r="A3117" s="2">
        <f>+D3117-S3117</f>
        <v/>
      </c>
      <c r="B3117" s="80" t="n">
        <v>4709</v>
      </c>
      <c r="C3117" s="66" t="n">
        <v>45994</v>
      </c>
      <c r="D3117" s="2" t="n">
        <v>1</v>
      </c>
      <c r="E3117" s="3" t="inlineStr">
        <is>
          <t>FUCILE MONOCANNA</t>
        </is>
      </c>
      <c r="F3117" s="3" t="inlineStr">
        <is>
          <t>22LR</t>
        </is>
      </c>
      <c r="G3117" s="3" t="inlineStr">
        <is>
          <t>CHIAPPA</t>
        </is>
      </c>
      <c r="H3117" s="65" t="inlineStr">
        <is>
          <t>LITTLE BADGER 16.5''</t>
        </is>
      </c>
      <c r="I3117" s="65" t="inlineStr">
        <is>
          <t>CFIT25R13493</t>
        </is>
      </c>
      <c r="J3117" s="65" t="inlineStr">
        <is>
          <t>N/D</t>
        </is>
      </c>
      <c r="K3117" s="65" t="inlineStr">
        <is>
          <t>N/D</t>
        </is>
      </c>
      <c r="L3117" s="127" t="inlineStr">
        <is>
          <t>CHIAPPA FIREARMS SRL</t>
        </is>
      </c>
      <c r="M3117" s="5" t="n">
        <v>91.5</v>
      </c>
      <c r="N3117" s="5" t="n"/>
      <c r="O3117" s="5">
        <f>+M3117+N3117</f>
        <v/>
      </c>
      <c r="P3117" s="4" t="n">
        <v>45989</v>
      </c>
      <c r="Q3117" s="87" t="n">
        <v>45989</v>
      </c>
      <c r="R3117" s="5" t="n">
        <v>140.3</v>
      </c>
      <c r="S3117" s="2" t="n">
        <v>1</v>
      </c>
      <c r="T3117" s="3" t="inlineStr">
        <is>
          <t>6B/2025/7M</t>
        </is>
      </c>
      <c r="U3117" s="87" t="n">
        <v>46003</v>
      </c>
      <c r="V3117" s="3" t="inlineStr">
        <is>
          <t>35</t>
        </is>
      </c>
      <c r="W3117" s="108" t="n">
        <v>46003</v>
      </c>
      <c r="X3117" s="4" t="inlineStr">
        <is>
          <t>BIN HUMAID NATIONAL TRADING CO</t>
        </is>
      </c>
    </row>
    <row r="3118" ht="24" customHeight="1">
      <c r="A3118" s="2">
        <f>+D3118-S3118</f>
        <v/>
      </c>
      <c r="B3118" s="80" t="n">
        <v>4710</v>
      </c>
      <c r="C3118" s="66" t="n">
        <v>45994</v>
      </c>
      <c r="D3118" s="2" t="n">
        <v>1</v>
      </c>
      <c r="E3118" s="3" t="inlineStr">
        <is>
          <t>FUCILE MONOCANNA</t>
        </is>
      </c>
      <c r="F3118" s="3" t="inlineStr">
        <is>
          <t>22LR</t>
        </is>
      </c>
      <c r="G3118" s="3" t="inlineStr">
        <is>
          <t>CHIAPPA</t>
        </is>
      </c>
      <c r="H3118" s="65" t="inlineStr">
        <is>
          <t>LITTLE BADGER 16.5''</t>
        </is>
      </c>
      <c r="I3118" s="65" t="inlineStr">
        <is>
          <t>CFIT25R13494</t>
        </is>
      </c>
      <c r="J3118" s="65" t="inlineStr">
        <is>
          <t>N/D</t>
        </is>
      </c>
      <c r="K3118" s="65" t="inlineStr">
        <is>
          <t>N/D</t>
        </is>
      </c>
      <c r="L3118" s="127" t="inlineStr">
        <is>
          <t>CHIAPPA FIREARMS SRL</t>
        </is>
      </c>
      <c r="M3118" s="5" t="n">
        <v>91.5</v>
      </c>
      <c r="N3118" s="5" t="n"/>
      <c r="O3118" s="5">
        <f>+M3118+N3118</f>
        <v/>
      </c>
      <c r="P3118" s="4" t="n">
        <v>45989</v>
      </c>
      <c r="Q3118" s="87" t="n">
        <v>45989</v>
      </c>
      <c r="R3118" s="5" t="n">
        <v>140.3</v>
      </c>
      <c r="S3118" s="2" t="n">
        <v>1</v>
      </c>
      <c r="T3118" s="3" t="inlineStr">
        <is>
          <t>6B/2025/7M</t>
        </is>
      </c>
      <c r="U3118" s="87" t="n">
        <v>46003</v>
      </c>
      <c r="V3118" s="3" t="inlineStr">
        <is>
          <t>35</t>
        </is>
      </c>
      <c r="W3118" s="108" t="n">
        <v>46003</v>
      </c>
      <c r="X3118" s="4" t="inlineStr">
        <is>
          <t>BIN HUMAID NATIONAL TRADING CO</t>
        </is>
      </c>
    </row>
    <row r="3119" ht="24" customHeight="1">
      <c r="A3119" s="2">
        <f>+D3119-S3119</f>
        <v/>
      </c>
      <c r="B3119" s="80" t="n">
        <v>4711</v>
      </c>
      <c r="C3119" s="66" t="n">
        <v>45994</v>
      </c>
      <c r="D3119" s="2" t="n">
        <v>1</v>
      </c>
      <c r="E3119" s="3" t="inlineStr">
        <is>
          <t>FUCILE MONOCANNA</t>
        </is>
      </c>
      <c r="F3119" s="3" t="inlineStr">
        <is>
          <t>22LR</t>
        </is>
      </c>
      <c r="G3119" s="3" t="inlineStr">
        <is>
          <t>CHIAPPA</t>
        </is>
      </c>
      <c r="H3119" s="65" t="inlineStr">
        <is>
          <t>LITTLE BADGER 16.5''</t>
        </is>
      </c>
      <c r="I3119" s="65" t="inlineStr">
        <is>
          <t>CFIT25R13495</t>
        </is>
      </c>
      <c r="J3119" s="65" t="inlineStr">
        <is>
          <t>N/D</t>
        </is>
      </c>
      <c r="K3119" s="65" t="inlineStr">
        <is>
          <t>N/D</t>
        </is>
      </c>
      <c r="L3119" s="127" t="inlineStr">
        <is>
          <t>CHIAPPA FIREARMS SRL</t>
        </is>
      </c>
      <c r="M3119" s="5" t="n">
        <v>91.5</v>
      </c>
      <c r="N3119" s="5" t="n"/>
      <c r="O3119" s="5">
        <f>+M3119+N3119</f>
        <v/>
      </c>
      <c r="P3119" s="4" t="n">
        <v>45989</v>
      </c>
      <c r="Q3119" s="87" t="n">
        <v>45989</v>
      </c>
      <c r="R3119" s="5" t="n">
        <v>140.3</v>
      </c>
      <c r="S3119" s="2" t="n">
        <v>1</v>
      </c>
      <c r="T3119" s="3" t="inlineStr">
        <is>
          <t>6B/2025/7M</t>
        </is>
      </c>
      <c r="U3119" s="87" t="n">
        <v>46003</v>
      </c>
      <c r="V3119" s="3" t="inlineStr">
        <is>
          <t>35</t>
        </is>
      </c>
      <c r="W3119" s="108" t="n">
        <v>46003</v>
      </c>
      <c r="X3119" s="4" t="inlineStr">
        <is>
          <t>BIN HUMAID NATIONAL TRADING CO</t>
        </is>
      </c>
    </row>
    <row r="3120" ht="24" customHeight="1">
      <c r="A3120" s="2">
        <f>+D3120-S3120</f>
        <v/>
      </c>
      <c r="B3120" s="80" t="n">
        <v>4712</v>
      </c>
      <c r="C3120" s="66" t="n">
        <v>45994</v>
      </c>
      <c r="D3120" s="2" t="n">
        <v>1</v>
      </c>
      <c r="E3120" s="3" t="inlineStr">
        <is>
          <t>FUCILE MONOCANNA</t>
        </is>
      </c>
      <c r="F3120" s="3" t="inlineStr">
        <is>
          <t>22LR</t>
        </is>
      </c>
      <c r="G3120" s="3" t="inlineStr">
        <is>
          <t>CHIAPPA</t>
        </is>
      </c>
      <c r="H3120" s="65" t="inlineStr">
        <is>
          <t>LITTLE BADGER 16.5''</t>
        </is>
      </c>
      <c r="I3120" s="65" t="inlineStr">
        <is>
          <t>CFIT25R13496</t>
        </is>
      </c>
      <c r="J3120" s="65" t="inlineStr">
        <is>
          <t>N/D</t>
        </is>
      </c>
      <c r="K3120" s="65" t="inlineStr">
        <is>
          <t>N/D</t>
        </is>
      </c>
      <c r="L3120" s="127" t="inlineStr">
        <is>
          <t>CHIAPPA FIREARMS SRL</t>
        </is>
      </c>
      <c r="M3120" s="5" t="n">
        <v>91.5</v>
      </c>
      <c r="N3120" s="5" t="n"/>
      <c r="O3120" s="5">
        <f>+M3120+N3120</f>
        <v/>
      </c>
      <c r="P3120" s="4" t="n">
        <v>45989</v>
      </c>
      <c r="Q3120" s="87" t="n">
        <v>45989</v>
      </c>
      <c r="R3120" s="5" t="n">
        <v>140.3</v>
      </c>
      <c r="S3120" s="2" t="n">
        <v>1</v>
      </c>
      <c r="T3120" s="3" t="inlineStr">
        <is>
          <t>6B/2025/7M</t>
        </is>
      </c>
      <c r="U3120" s="87" t="n">
        <v>46003</v>
      </c>
      <c r="V3120" s="3" t="inlineStr">
        <is>
          <t>35</t>
        </is>
      </c>
      <c r="W3120" s="108" t="n">
        <v>46003</v>
      </c>
      <c r="X3120" s="4" t="inlineStr">
        <is>
          <t>BIN HUMAID NATIONAL TRADING CO</t>
        </is>
      </c>
    </row>
    <row r="3121" ht="24" customHeight="1">
      <c r="A3121" s="2">
        <f>+D3121-S3121</f>
        <v/>
      </c>
      <c r="B3121" s="80" t="n">
        <v>4713</v>
      </c>
      <c r="C3121" s="66" t="n">
        <v>45994</v>
      </c>
      <c r="D3121" s="2" t="n">
        <v>1</v>
      </c>
      <c r="E3121" s="3" t="inlineStr">
        <is>
          <t>FUCILE MONOCANNA</t>
        </is>
      </c>
      <c r="F3121" s="3" t="inlineStr">
        <is>
          <t>22LR</t>
        </is>
      </c>
      <c r="G3121" s="3" t="inlineStr">
        <is>
          <t>CHIAPPA</t>
        </is>
      </c>
      <c r="H3121" s="65" t="inlineStr">
        <is>
          <t>LITTLE BADGER 16.5''</t>
        </is>
      </c>
      <c r="I3121" s="65" t="inlineStr">
        <is>
          <t>CFIT25R13497</t>
        </is>
      </c>
      <c r="J3121" s="65" t="inlineStr">
        <is>
          <t>N/D</t>
        </is>
      </c>
      <c r="K3121" s="65" t="inlineStr">
        <is>
          <t>N/D</t>
        </is>
      </c>
      <c r="L3121" s="127" t="inlineStr">
        <is>
          <t>CHIAPPA FIREARMS SRL</t>
        </is>
      </c>
      <c r="M3121" s="5" t="n">
        <v>91.5</v>
      </c>
      <c r="N3121" s="5" t="n"/>
      <c r="O3121" s="5">
        <f>+M3121+N3121</f>
        <v/>
      </c>
      <c r="P3121" s="4" t="n">
        <v>45989</v>
      </c>
      <c r="Q3121" s="87" t="n">
        <v>45989</v>
      </c>
      <c r="R3121" s="5" t="n">
        <v>140.3</v>
      </c>
      <c r="S3121" s="2" t="n">
        <v>1</v>
      </c>
      <c r="T3121" s="3" t="inlineStr">
        <is>
          <t>6B/2025/7M</t>
        </is>
      </c>
      <c r="U3121" s="87" t="n">
        <v>46003</v>
      </c>
      <c r="V3121" s="3" t="inlineStr">
        <is>
          <t>35</t>
        </is>
      </c>
      <c r="W3121" s="108" t="n">
        <v>46003</v>
      </c>
      <c r="X3121" s="4" t="inlineStr">
        <is>
          <t>BIN HUMAID NATIONAL TRADING CO</t>
        </is>
      </c>
    </row>
    <row r="3122" ht="24" customHeight="1">
      <c r="A3122" s="2">
        <f>+D3122-S3122</f>
        <v/>
      </c>
      <c r="B3122" s="80" t="n">
        <v>4714</v>
      </c>
      <c r="C3122" s="66" t="n">
        <v>45994</v>
      </c>
      <c r="D3122" s="2" t="n">
        <v>1</v>
      </c>
      <c r="E3122" s="3" t="inlineStr">
        <is>
          <t>FUCILE MONOCANNA</t>
        </is>
      </c>
      <c r="F3122" s="3" t="inlineStr">
        <is>
          <t>22LR</t>
        </is>
      </c>
      <c r="G3122" s="3" t="inlineStr">
        <is>
          <t>CHIAPPA</t>
        </is>
      </c>
      <c r="H3122" s="65" t="inlineStr">
        <is>
          <t>LITTLE BADGER 16.5''</t>
        </is>
      </c>
      <c r="I3122" s="65" t="inlineStr">
        <is>
          <t>CFIT25R13498</t>
        </is>
      </c>
      <c r="J3122" s="65" t="inlineStr">
        <is>
          <t>N/D</t>
        </is>
      </c>
      <c r="K3122" s="65" t="inlineStr">
        <is>
          <t>N/D</t>
        </is>
      </c>
      <c r="L3122" s="127" t="inlineStr">
        <is>
          <t>CHIAPPA FIREARMS SRL</t>
        </is>
      </c>
      <c r="M3122" s="5" t="n">
        <v>91.5</v>
      </c>
      <c r="N3122" s="5" t="n"/>
      <c r="O3122" s="5">
        <f>+M3122+N3122</f>
        <v/>
      </c>
      <c r="P3122" s="4" t="n">
        <v>45989</v>
      </c>
      <c r="Q3122" s="87" t="n">
        <v>45989</v>
      </c>
      <c r="R3122" s="5" t="n">
        <v>140.3</v>
      </c>
      <c r="S3122" s="2" t="n">
        <v>1</v>
      </c>
      <c r="T3122" s="3" t="inlineStr">
        <is>
          <t>6B/2025/7M</t>
        </is>
      </c>
      <c r="U3122" s="87" t="n">
        <v>46003</v>
      </c>
      <c r="V3122" s="3" t="inlineStr">
        <is>
          <t>35</t>
        </is>
      </c>
      <c r="W3122" s="108" t="n">
        <v>46003</v>
      </c>
      <c r="X3122" s="4" t="inlineStr">
        <is>
          <t>BIN HUMAID NATIONAL TRADING CO</t>
        </is>
      </c>
    </row>
    <row r="3123" ht="24" customHeight="1">
      <c r="A3123" s="2">
        <f>+D3123-S3123</f>
        <v/>
      </c>
      <c r="B3123" s="80" t="n">
        <v>4715</v>
      </c>
      <c r="C3123" s="66" t="n">
        <v>45994</v>
      </c>
      <c r="D3123" s="2" t="n">
        <v>1</v>
      </c>
      <c r="E3123" s="3" t="inlineStr">
        <is>
          <t>FUCILE MONOCANNA</t>
        </is>
      </c>
      <c r="F3123" s="3" t="inlineStr">
        <is>
          <t>22LR</t>
        </is>
      </c>
      <c r="G3123" s="3" t="inlineStr">
        <is>
          <t>CHIAPPA</t>
        </is>
      </c>
      <c r="H3123" s="65" t="inlineStr">
        <is>
          <t>LITTLE BADGER 16.5''</t>
        </is>
      </c>
      <c r="I3123" s="65" t="inlineStr">
        <is>
          <t>CFIT25R13499</t>
        </is>
      </c>
      <c r="J3123" s="65" t="inlineStr">
        <is>
          <t>N/D</t>
        </is>
      </c>
      <c r="K3123" s="65" t="inlineStr">
        <is>
          <t>N/D</t>
        </is>
      </c>
      <c r="L3123" s="127" t="inlineStr">
        <is>
          <t>CHIAPPA FIREARMS SRL</t>
        </is>
      </c>
      <c r="M3123" s="5" t="n">
        <v>91.5</v>
      </c>
      <c r="N3123" s="5" t="n"/>
      <c r="O3123" s="5">
        <f>+M3123+N3123</f>
        <v/>
      </c>
      <c r="P3123" s="4" t="n">
        <v>45989</v>
      </c>
      <c r="Q3123" s="87" t="n">
        <v>45989</v>
      </c>
      <c r="R3123" s="5" t="n">
        <v>140.3</v>
      </c>
      <c r="S3123" s="2" t="n">
        <v>1</v>
      </c>
      <c r="T3123" s="3" t="inlineStr">
        <is>
          <t>6B/2025/7M</t>
        </is>
      </c>
      <c r="U3123" s="87" t="n">
        <v>46003</v>
      </c>
      <c r="V3123" s="3" t="inlineStr">
        <is>
          <t>35</t>
        </is>
      </c>
      <c r="W3123" s="108" t="n">
        <v>46003</v>
      </c>
      <c r="X3123" s="4" t="inlineStr">
        <is>
          <t>BIN HUMAID NATIONAL TRADING CO</t>
        </is>
      </c>
    </row>
    <row r="3124" ht="24" customHeight="1">
      <c r="A3124" s="2">
        <f>+D3124-S3124</f>
        <v/>
      </c>
      <c r="B3124" s="80" t="n">
        <v>4716</v>
      </c>
      <c r="C3124" s="66" t="n">
        <v>45994</v>
      </c>
      <c r="D3124" s="2" t="n">
        <v>1</v>
      </c>
      <c r="E3124" s="3" t="inlineStr">
        <is>
          <t>FUCILE MONOCANNA</t>
        </is>
      </c>
      <c r="F3124" s="3" t="inlineStr">
        <is>
          <t>22LR</t>
        </is>
      </c>
      <c r="G3124" s="3" t="inlineStr">
        <is>
          <t>CHIAPPA</t>
        </is>
      </c>
      <c r="H3124" s="65" t="inlineStr">
        <is>
          <t>LITTLE BADGER 16.5''</t>
        </is>
      </c>
      <c r="I3124" s="65" t="inlineStr">
        <is>
          <t>CFIT25R13500</t>
        </is>
      </c>
      <c r="J3124" s="65" t="inlineStr">
        <is>
          <t>N/D</t>
        </is>
      </c>
      <c r="K3124" s="65" t="inlineStr">
        <is>
          <t>N/D</t>
        </is>
      </c>
      <c r="L3124" s="127" t="inlineStr">
        <is>
          <t>CHIAPPA FIREARMS SRL</t>
        </is>
      </c>
      <c r="M3124" s="5" t="n">
        <v>91.5</v>
      </c>
      <c r="N3124" s="5" t="n"/>
      <c r="O3124" s="5">
        <f>+M3124+N3124</f>
        <v/>
      </c>
      <c r="P3124" s="4" t="n">
        <v>45989</v>
      </c>
      <c r="Q3124" s="87" t="n">
        <v>45989</v>
      </c>
      <c r="R3124" s="5" t="n">
        <v>140.3</v>
      </c>
      <c r="S3124" s="2" t="n">
        <v>1</v>
      </c>
      <c r="T3124" s="3" t="inlineStr">
        <is>
          <t>6B/2025/7M</t>
        </is>
      </c>
      <c r="U3124" s="87" t="n">
        <v>46003</v>
      </c>
      <c r="V3124" s="3" t="inlineStr">
        <is>
          <t>35</t>
        </is>
      </c>
      <c r="W3124" s="108" t="n">
        <v>46003</v>
      </c>
      <c r="X3124" s="4" t="inlineStr">
        <is>
          <t>BIN HUMAID NATIONAL TRADING CO</t>
        </is>
      </c>
    </row>
    <row r="3125" ht="24" customHeight="1">
      <c r="A3125" s="2">
        <f>+D3125-S3125</f>
        <v/>
      </c>
      <c r="B3125" s="80" t="n">
        <v>4717</v>
      </c>
      <c r="C3125" s="66" t="n">
        <v>45994</v>
      </c>
      <c r="D3125" s="2" t="n">
        <v>1</v>
      </c>
      <c r="E3125" s="3" t="inlineStr">
        <is>
          <t>FUCILE MONOCANNA</t>
        </is>
      </c>
      <c r="F3125" s="3" t="inlineStr">
        <is>
          <t>22LR</t>
        </is>
      </c>
      <c r="G3125" s="3" t="inlineStr">
        <is>
          <t>CHIAPPA</t>
        </is>
      </c>
      <c r="H3125" s="65" t="inlineStr">
        <is>
          <t>LITTLE BADGER 16.5''</t>
        </is>
      </c>
      <c r="I3125" s="65" t="inlineStr">
        <is>
          <t>CFIT25R13501</t>
        </is>
      </c>
      <c r="J3125" s="65" t="inlineStr">
        <is>
          <t>N/D</t>
        </is>
      </c>
      <c r="K3125" s="65" t="inlineStr">
        <is>
          <t>N/D</t>
        </is>
      </c>
      <c r="L3125" s="127" t="inlineStr">
        <is>
          <t>CHIAPPA FIREARMS SRL</t>
        </is>
      </c>
      <c r="M3125" s="5" t="n">
        <v>91.5</v>
      </c>
      <c r="N3125" s="5" t="n"/>
      <c r="O3125" s="5">
        <f>+M3125+N3125</f>
        <v/>
      </c>
      <c r="P3125" s="4" t="n">
        <v>45989</v>
      </c>
      <c r="Q3125" s="87" t="n">
        <v>45989</v>
      </c>
      <c r="R3125" s="5" t="n">
        <v>140.3</v>
      </c>
      <c r="S3125" s="2" t="n">
        <v>1</v>
      </c>
      <c r="T3125" s="3" t="inlineStr">
        <is>
          <t>6B/2025/7M</t>
        </is>
      </c>
      <c r="U3125" s="87" t="n">
        <v>46003</v>
      </c>
      <c r="V3125" s="3" t="inlineStr">
        <is>
          <t>35</t>
        </is>
      </c>
      <c r="W3125" s="108" t="n">
        <v>46003</v>
      </c>
      <c r="X3125" s="4" t="inlineStr">
        <is>
          <t>BIN HUMAID NATIONAL TRADING CO</t>
        </is>
      </c>
    </row>
    <row r="3126" ht="24" customHeight="1">
      <c r="A3126" s="2">
        <f>+D3126-S3126</f>
        <v/>
      </c>
      <c r="B3126" s="80" t="n">
        <v>4718</v>
      </c>
      <c r="C3126" s="66" t="n">
        <v>45994</v>
      </c>
      <c r="D3126" s="2" t="n">
        <v>1</v>
      </c>
      <c r="E3126" s="3" t="inlineStr">
        <is>
          <t>FUCILE MONOCANNA</t>
        </is>
      </c>
      <c r="F3126" s="3" t="inlineStr">
        <is>
          <t>22LR</t>
        </is>
      </c>
      <c r="G3126" s="3" t="inlineStr">
        <is>
          <t>CHIAPPA</t>
        </is>
      </c>
      <c r="H3126" s="65" t="inlineStr">
        <is>
          <t>LITTLE BADGER 16.5''</t>
        </is>
      </c>
      <c r="I3126" s="65" t="inlineStr">
        <is>
          <t>CFIT25R13502</t>
        </is>
      </c>
      <c r="J3126" s="65" t="inlineStr">
        <is>
          <t>N/D</t>
        </is>
      </c>
      <c r="K3126" s="65" t="inlineStr">
        <is>
          <t>N/D</t>
        </is>
      </c>
      <c r="L3126" s="127" t="inlineStr">
        <is>
          <t>CHIAPPA FIREARMS SRL</t>
        </is>
      </c>
      <c r="M3126" s="5" t="n">
        <v>91.5</v>
      </c>
      <c r="N3126" s="5" t="n"/>
      <c r="O3126" s="5">
        <f>+M3126+N3126</f>
        <v/>
      </c>
      <c r="P3126" s="4" t="n">
        <v>45989</v>
      </c>
      <c r="Q3126" s="87" t="n">
        <v>45989</v>
      </c>
      <c r="R3126" s="5" t="n">
        <v>140.3</v>
      </c>
      <c r="S3126" s="2" t="n">
        <v>1</v>
      </c>
      <c r="T3126" s="3" t="inlineStr">
        <is>
          <t>6B/2025/7M</t>
        </is>
      </c>
      <c r="U3126" s="87" t="n">
        <v>46003</v>
      </c>
      <c r="V3126" s="3" t="inlineStr">
        <is>
          <t>35</t>
        </is>
      </c>
      <c r="W3126" s="108" t="n">
        <v>46003</v>
      </c>
      <c r="X3126" s="4" t="inlineStr">
        <is>
          <t>BIN HUMAID NATIONAL TRADING CO</t>
        </is>
      </c>
    </row>
    <row r="3127" ht="24" customHeight="1">
      <c r="A3127" s="2">
        <f>+D3127-S3127</f>
        <v/>
      </c>
      <c r="B3127" s="80" t="n">
        <v>4719</v>
      </c>
      <c r="C3127" s="66" t="n">
        <v>45994</v>
      </c>
      <c r="D3127" s="2" t="n">
        <v>1</v>
      </c>
      <c r="E3127" s="3" t="inlineStr">
        <is>
          <t>FUCILE MONOCANNA</t>
        </is>
      </c>
      <c r="F3127" s="3" t="inlineStr">
        <is>
          <t>22LR</t>
        </is>
      </c>
      <c r="G3127" s="3" t="inlineStr">
        <is>
          <t>CHIAPPA</t>
        </is>
      </c>
      <c r="H3127" s="65" t="inlineStr">
        <is>
          <t>LITTLE BADGER 16.5''</t>
        </is>
      </c>
      <c r="I3127" s="65" t="inlineStr">
        <is>
          <t>CFIT25R13503</t>
        </is>
      </c>
      <c r="J3127" s="65" t="inlineStr">
        <is>
          <t>N/D</t>
        </is>
      </c>
      <c r="K3127" s="65" t="inlineStr">
        <is>
          <t>N/D</t>
        </is>
      </c>
      <c r="L3127" s="127" t="inlineStr">
        <is>
          <t>CHIAPPA FIREARMS SRL</t>
        </is>
      </c>
      <c r="M3127" s="5" t="n">
        <v>91.5</v>
      </c>
      <c r="N3127" s="5" t="n"/>
      <c r="O3127" s="5">
        <f>+M3127+N3127</f>
        <v/>
      </c>
      <c r="P3127" s="4" t="n">
        <v>45989</v>
      </c>
      <c r="Q3127" s="87" t="n">
        <v>45989</v>
      </c>
      <c r="R3127" s="5" t="n">
        <v>140.3</v>
      </c>
      <c r="S3127" s="2" t="n">
        <v>1</v>
      </c>
      <c r="T3127" s="3" t="inlineStr">
        <is>
          <t>6B/2025/7M</t>
        </is>
      </c>
      <c r="U3127" s="87" t="n">
        <v>46003</v>
      </c>
      <c r="V3127" s="3" t="inlineStr">
        <is>
          <t>35</t>
        </is>
      </c>
      <c r="W3127" s="108" t="n">
        <v>46003</v>
      </c>
      <c r="X3127" s="4" t="inlineStr">
        <is>
          <t>BIN HUMAID NATIONAL TRADING CO</t>
        </is>
      </c>
    </row>
    <row r="3128" ht="24" customHeight="1">
      <c r="A3128" s="2">
        <f>+D3128-S3128</f>
        <v/>
      </c>
      <c r="B3128" s="80" t="n">
        <v>4720</v>
      </c>
      <c r="C3128" s="66" t="n">
        <v>45994</v>
      </c>
      <c r="D3128" s="2" t="n">
        <v>1</v>
      </c>
      <c r="E3128" s="3" t="inlineStr">
        <is>
          <t>FUCILE MONOCANNA</t>
        </is>
      </c>
      <c r="F3128" s="3" t="inlineStr">
        <is>
          <t>22LR</t>
        </is>
      </c>
      <c r="G3128" s="3" t="inlineStr">
        <is>
          <t>CHIAPPA</t>
        </is>
      </c>
      <c r="H3128" s="65" t="inlineStr">
        <is>
          <t>LITTLE BADGER 16.5''</t>
        </is>
      </c>
      <c r="I3128" s="65" t="inlineStr">
        <is>
          <t>CFIT25R13504</t>
        </is>
      </c>
      <c r="J3128" s="65" t="inlineStr">
        <is>
          <t>N/D</t>
        </is>
      </c>
      <c r="K3128" s="65" t="inlineStr">
        <is>
          <t>N/D</t>
        </is>
      </c>
      <c r="L3128" s="127" t="inlineStr">
        <is>
          <t>CHIAPPA FIREARMS SRL</t>
        </is>
      </c>
      <c r="M3128" s="5" t="n">
        <v>91.5</v>
      </c>
      <c r="N3128" s="5" t="n"/>
      <c r="O3128" s="5">
        <f>+M3128+N3128</f>
        <v/>
      </c>
      <c r="P3128" s="4" t="n">
        <v>45989</v>
      </c>
      <c r="Q3128" s="87" t="n">
        <v>45989</v>
      </c>
      <c r="R3128" s="5" t="n">
        <v>140.3</v>
      </c>
      <c r="S3128" s="2" t="n">
        <v>1</v>
      </c>
      <c r="T3128" s="3" t="inlineStr">
        <is>
          <t>6B/2025/7M</t>
        </is>
      </c>
      <c r="U3128" s="87" t="n">
        <v>46003</v>
      </c>
      <c r="V3128" s="3" t="inlineStr">
        <is>
          <t>35</t>
        </is>
      </c>
      <c r="W3128" s="108" t="n">
        <v>46003</v>
      </c>
      <c r="X3128" s="4" t="inlineStr">
        <is>
          <t>BIN HUMAID NATIONAL TRADING CO</t>
        </is>
      </c>
    </row>
    <row r="3129" ht="24" customHeight="1">
      <c r="A3129" s="2">
        <f>+D3129-S3129</f>
        <v/>
      </c>
      <c r="B3129" s="80" t="n">
        <v>4721</v>
      </c>
      <c r="C3129" s="66" t="n">
        <v>45994</v>
      </c>
      <c r="D3129" s="2" t="n">
        <v>1</v>
      </c>
      <c r="E3129" s="3" t="inlineStr">
        <is>
          <t>FUCILE MONOCANNA</t>
        </is>
      </c>
      <c r="F3129" s="3" t="inlineStr">
        <is>
          <t>22LR</t>
        </is>
      </c>
      <c r="G3129" s="3" t="inlineStr">
        <is>
          <t>CHIAPPA</t>
        </is>
      </c>
      <c r="H3129" s="65" t="inlineStr">
        <is>
          <t>LITTLE BADGER 16.5''</t>
        </is>
      </c>
      <c r="I3129" s="65" t="inlineStr">
        <is>
          <t>CFIT25R13505</t>
        </is>
      </c>
      <c r="J3129" s="65" t="inlineStr">
        <is>
          <t>N/D</t>
        </is>
      </c>
      <c r="K3129" s="65" t="inlineStr">
        <is>
          <t>N/D</t>
        </is>
      </c>
      <c r="L3129" s="127" t="inlineStr">
        <is>
          <t>CHIAPPA FIREARMS SRL</t>
        </is>
      </c>
      <c r="M3129" s="5" t="n">
        <v>91.5</v>
      </c>
      <c r="N3129" s="5" t="n"/>
      <c r="O3129" s="5">
        <f>+M3129+N3129</f>
        <v/>
      </c>
      <c r="P3129" s="4" t="n">
        <v>45989</v>
      </c>
      <c r="Q3129" s="87" t="n">
        <v>45989</v>
      </c>
      <c r="R3129" s="5" t="n">
        <v>140.3</v>
      </c>
      <c r="S3129" s="2" t="n">
        <v>1</v>
      </c>
      <c r="T3129" s="3" t="inlineStr">
        <is>
          <t>6B/2025/7M</t>
        </is>
      </c>
      <c r="U3129" s="87" t="n">
        <v>46003</v>
      </c>
      <c r="V3129" s="3" t="inlineStr">
        <is>
          <t>35</t>
        </is>
      </c>
      <c r="W3129" s="108" t="n">
        <v>46003</v>
      </c>
      <c r="X3129" s="4" t="inlineStr">
        <is>
          <t>BIN HUMAID NATIONAL TRADING CO</t>
        </is>
      </c>
    </row>
    <row r="3130" ht="24" customHeight="1">
      <c r="A3130" s="2">
        <f>+D3130-S3130</f>
        <v/>
      </c>
      <c r="B3130" s="80" t="n">
        <v>4722</v>
      </c>
      <c r="C3130" s="66" t="n">
        <v>45994</v>
      </c>
      <c r="D3130" s="2" t="n">
        <v>1</v>
      </c>
      <c r="E3130" s="3" t="inlineStr">
        <is>
          <t>FUCILE MONOCANNA</t>
        </is>
      </c>
      <c r="F3130" s="3" t="inlineStr">
        <is>
          <t>22LR</t>
        </is>
      </c>
      <c r="G3130" s="3" t="inlineStr">
        <is>
          <t>CHIAPPA</t>
        </is>
      </c>
      <c r="H3130" s="65" t="inlineStr">
        <is>
          <t>LITTLE BADGER 16.5''</t>
        </is>
      </c>
      <c r="I3130" s="65" t="inlineStr">
        <is>
          <t>CFIT25R13506</t>
        </is>
      </c>
      <c r="J3130" s="65" t="inlineStr">
        <is>
          <t>N/D</t>
        </is>
      </c>
      <c r="K3130" s="65" t="inlineStr">
        <is>
          <t>N/D</t>
        </is>
      </c>
      <c r="L3130" s="127" t="inlineStr">
        <is>
          <t>CHIAPPA FIREARMS SRL</t>
        </is>
      </c>
      <c r="M3130" s="5" t="n">
        <v>91.5</v>
      </c>
      <c r="N3130" s="5" t="n"/>
      <c r="O3130" s="5">
        <f>+M3130+N3130</f>
        <v/>
      </c>
      <c r="P3130" s="4" t="n">
        <v>45989</v>
      </c>
      <c r="Q3130" s="87" t="n">
        <v>45989</v>
      </c>
      <c r="R3130" s="5" t="n">
        <v>140.3</v>
      </c>
      <c r="S3130" s="2" t="n">
        <v>1</v>
      </c>
      <c r="T3130" s="3" t="inlineStr">
        <is>
          <t>6B/2025/7M</t>
        </is>
      </c>
      <c r="U3130" s="87" t="n">
        <v>46003</v>
      </c>
      <c r="V3130" s="3" t="inlineStr">
        <is>
          <t>35</t>
        </is>
      </c>
      <c r="W3130" s="108" t="n">
        <v>46003</v>
      </c>
      <c r="X3130" s="4" t="inlineStr">
        <is>
          <t>BIN HUMAID NATIONAL TRADING CO</t>
        </is>
      </c>
    </row>
    <row r="3131" ht="24" customHeight="1">
      <c r="A3131" s="2">
        <f>+D3131-S3131</f>
        <v/>
      </c>
      <c r="B3131" s="80" t="n">
        <v>4723</v>
      </c>
      <c r="C3131" s="66" t="n">
        <v>45994</v>
      </c>
      <c r="D3131" s="2" t="n">
        <v>1</v>
      </c>
      <c r="E3131" s="3" t="inlineStr">
        <is>
          <t>FUCILE MONOCANNA</t>
        </is>
      </c>
      <c r="F3131" s="3" t="inlineStr">
        <is>
          <t>22LR</t>
        </is>
      </c>
      <c r="G3131" s="3" t="inlineStr">
        <is>
          <t>CHIAPPA</t>
        </is>
      </c>
      <c r="H3131" s="65" t="inlineStr">
        <is>
          <t>LITTLE BADGER 16.5''</t>
        </is>
      </c>
      <c r="I3131" s="65" t="inlineStr">
        <is>
          <t>CFIT25R13507</t>
        </is>
      </c>
      <c r="J3131" s="65" t="inlineStr">
        <is>
          <t>N/D</t>
        </is>
      </c>
      <c r="K3131" s="65" t="inlineStr">
        <is>
          <t>N/D</t>
        </is>
      </c>
      <c r="L3131" s="127" t="inlineStr">
        <is>
          <t>CHIAPPA FIREARMS SRL</t>
        </is>
      </c>
      <c r="M3131" s="5" t="n">
        <v>91.5</v>
      </c>
      <c r="N3131" s="5" t="n"/>
      <c r="O3131" s="5">
        <f>+M3131+N3131</f>
        <v/>
      </c>
      <c r="P3131" s="4" t="n">
        <v>45989</v>
      </c>
      <c r="Q3131" s="87" t="n">
        <v>45989</v>
      </c>
      <c r="R3131" s="5" t="n">
        <v>140.3</v>
      </c>
      <c r="S3131" s="2" t="n">
        <v>1</v>
      </c>
      <c r="T3131" s="3" t="inlineStr">
        <is>
          <t>6B/2025/7M</t>
        </is>
      </c>
      <c r="U3131" s="87" t="n">
        <v>46003</v>
      </c>
      <c r="V3131" s="3" t="inlineStr">
        <is>
          <t>35</t>
        </is>
      </c>
      <c r="W3131" s="108" t="n">
        <v>46003</v>
      </c>
      <c r="X3131" s="4" t="inlineStr">
        <is>
          <t>BIN HUMAID NATIONAL TRADING CO</t>
        </is>
      </c>
    </row>
    <row r="3132" ht="24" customHeight="1">
      <c r="A3132" s="2">
        <f>+D3132-S3132</f>
        <v/>
      </c>
      <c r="B3132" s="80" t="n">
        <v>4724</v>
      </c>
      <c r="C3132" s="66" t="n">
        <v>45994</v>
      </c>
      <c r="D3132" s="2" t="n">
        <v>1</v>
      </c>
      <c r="E3132" s="3" t="inlineStr">
        <is>
          <t>FUCILE MONOCANNA</t>
        </is>
      </c>
      <c r="F3132" s="3" t="inlineStr">
        <is>
          <t>22LR</t>
        </is>
      </c>
      <c r="G3132" s="3" t="inlineStr">
        <is>
          <t>CHIAPPA</t>
        </is>
      </c>
      <c r="H3132" s="65" t="inlineStr">
        <is>
          <t>LITTLE BADGER 16.5''</t>
        </is>
      </c>
      <c r="I3132" s="65" t="inlineStr">
        <is>
          <t>CFIT25R13508</t>
        </is>
      </c>
      <c r="J3132" s="65" t="inlineStr">
        <is>
          <t>N/D</t>
        </is>
      </c>
      <c r="K3132" s="65" t="inlineStr">
        <is>
          <t>N/D</t>
        </is>
      </c>
      <c r="L3132" s="127" t="inlineStr">
        <is>
          <t>CHIAPPA FIREARMS SRL</t>
        </is>
      </c>
      <c r="M3132" s="5" t="n">
        <v>91.5</v>
      </c>
      <c r="N3132" s="5" t="n"/>
      <c r="O3132" s="5">
        <f>+M3132+N3132</f>
        <v/>
      </c>
      <c r="P3132" s="4" t="n">
        <v>45989</v>
      </c>
      <c r="Q3132" s="87" t="n">
        <v>45989</v>
      </c>
      <c r="R3132" s="5" t="n">
        <v>140.3</v>
      </c>
      <c r="S3132" s="2" t="n">
        <v>1</v>
      </c>
      <c r="T3132" s="3" t="inlineStr">
        <is>
          <t>6B/2025/7M</t>
        </is>
      </c>
      <c r="U3132" s="87" t="n">
        <v>46003</v>
      </c>
      <c r="V3132" s="3" t="inlineStr">
        <is>
          <t>35</t>
        </is>
      </c>
      <c r="W3132" s="108" t="n">
        <v>46003</v>
      </c>
      <c r="X3132" s="4" t="inlineStr">
        <is>
          <t>BIN HUMAID NATIONAL TRADING CO</t>
        </is>
      </c>
    </row>
    <row r="3133" ht="24" customHeight="1">
      <c r="A3133" s="2">
        <f>+D3133-S3133</f>
        <v/>
      </c>
      <c r="B3133" s="80" t="n">
        <v>4725</v>
      </c>
      <c r="C3133" s="66" t="n">
        <v>45994</v>
      </c>
      <c r="D3133" s="2" t="n">
        <v>1</v>
      </c>
      <c r="E3133" s="3" t="inlineStr">
        <is>
          <t>FUCILE MONOCANNA</t>
        </is>
      </c>
      <c r="F3133" s="3" t="inlineStr">
        <is>
          <t>22LR</t>
        </is>
      </c>
      <c r="G3133" s="3" t="inlineStr">
        <is>
          <t>CHIAPPA</t>
        </is>
      </c>
      <c r="H3133" s="65" t="inlineStr">
        <is>
          <t>LITTLE BADGER 16.5''</t>
        </is>
      </c>
      <c r="I3133" s="65" t="inlineStr">
        <is>
          <t>CFIT25R13509</t>
        </is>
      </c>
      <c r="J3133" s="65" t="inlineStr">
        <is>
          <t>N/D</t>
        </is>
      </c>
      <c r="K3133" s="65" t="inlineStr">
        <is>
          <t>N/D</t>
        </is>
      </c>
      <c r="L3133" s="127" t="inlineStr">
        <is>
          <t>CHIAPPA FIREARMS SRL</t>
        </is>
      </c>
      <c r="M3133" s="5" t="n">
        <v>91.5</v>
      </c>
      <c r="N3133" s="5" t="n"/>
      <c r="O3133" s="5">
        <f>+M3133+N3133</f>
        <v/>
      </c>
      <c r="P3133" s="4" t="n">
        <v>45989</v>
      </c>
      <c r="Q3133" s="87" t="n">
        <v>45989</v>
      </c>
      <c r="R3133" s="5" t="n">
        <v>140.3</v>
      </c>
      <c r="S3133" s="2" t="n">
        <v>1</v>
      </c>
      <c r="T3133" s="3" t="inlineStr">
        <is>
          <t>6B/2025/7M</t>
        </is>
      </c>
      <c r="U3133" s="87" t="n">
        <v>46003</v>
      </c>
      <c r="V3133" s="3" t="inlineStr">
        <is>
          <t>35</t>
        </is>
      </c>
      <c r="W3133" s="108" t="n">
        <v>46003</v>
      </c>
      <c r="X3133" s="4" t="inlineStr">
        <is>
          <t>BIN HUMAID NATIONAL TRADING CO</t>
        </is>
      </c>
    </row>
    <row r="3134" ht="24" customHeight="1">
      <c r="A3134" s="2">
        <f>+D3134-S3134</f>
        <v/>
      </c>
      <c r="B3134" s="80" t="n">
        <v>4726</v>
      </c>
      <c r="C3134" s="66" t="n">
        <v>45994</v>
      </c>
      <c r="D3134" s="2" t="n">
        <v>1</v>
      </c>
      <c r="E3134" s="3" t="inlineStr">
        <is>
          <t>FUCILE MONOCANNA</t>
        </is>
      </c>
      <c r="F3134" s="3" t="inlineStr">
        <is>
          <t>22LR</t>
        </is>
      </c>
      <c r="G3134" s="3" t="inlineStr">
        <is>
          <t>CHIAPPA</t>
        </is>
      </c>
      <c r="H3134" s="65" t="inlineStr">
        <is>
          <t>LITTLE BADGER 16.5''</t>
        </is>
      </c>
      <c r="I3134" s="65" t="inlineStr">
        <is>
          <t>CFIT25R13510</t>
        </is>
      </c>
      <c r="J3134" s="65" t="inlineStr">
        <is>
          <t>N/D</t>
        </is>
      </c>
      <c r="K3134" s="65" t="inlineStr">
        <is>
          <t>N/D</t>
        </is>
      </c>
      <c r="L3134" s="127" t="inlineStr">
        <is>
          <t>CHIAPPA FIREARMS SRL</t>
        </is>
      </c>
      <c r="M3134" s="5" t="n">
        <v>91.5</v>
      </c>
      <c r="N3134" s="5" t="n"/>
      <c r="O3134" s="5">
        <f>+M3134+N3134</f>
        <v/>
      </c>
      <c r="P3134" s="4" t="n">
        <v>45989</v>
      </c>
      <c r="Q3134" s="87" t="n">
        <v>45989</v>
      </c>
      <c r="R3134" s="5" t="n">
        <v>140.3</v>
      </c>
      <c r="S3134" s="2" t="n">
        <v>1</v>
      </c>
      <c r="T3134" s="3" t="inlineStr">
        <is>
          <t>6B/2025/7M</t>
        </is>
      </c>
      <c r="U3134" s="87" t="n">
        <v>46003</v>
      </c>
      <c r="V3134" s="3" t="inlineStr">
        <is>
          <t>35</t>
        </is>
      </c>
      <c r="W3134" s="108" t="n">
        <v>46003</v>
      </c>
      <c r="X3134" s="4" t="inlineStr">
        <is>
          <t>BIN HUMAID NATIONAL TRADING CO</t>
        </is>
      </c>
    </row>
    <row r="3135" ht="24" customHeight="1">
      <c r="A3135" s="2">
        <f>+D3135-S3135</f>
        <v/>
      </c>
      <c r="B3135" s="80" t="n">
        <v>4727</v>
      </c>
      <c r="C3135" s="66" t="n">
        <v>45994</v>
      </c>
      <c r="D3135" s="2" t="n">
        <v>1</v>
      </c>
      <c r="E3135" s="3" t="inlineStr">
        <is>
          <t>FUCILE MONOCANNA</t>
        </is>
      </c>
      <c r="F3135" s="3" t="inlineStr">
        <is>
          <t>22LR</t>
        </is>
      </c>
      <c r="G3135" s="3" t="inlineStr">
        <is>
          <t>CHIAPPA</t>
        </is>
      </c>
      <c r="H3135" s="65" t="inlineStr">
        <is>
          <t>LITTLE BADGER 16.5''</t>
        </is>
      </c>
      <c r="I3135" s="65" t="inlineStr">
        <is>
          <t>CFIT25R13511</t>
        </is>
      </c>
      <c r="J3135" s="65" t="inlineStr">
        <is>
          <t>N/D</t>
        </is>
      </c>
      <c r="K3135" s="65" t="inlineStr">
        <is>
          <t>N/D</t>
        </is>
      </c>
      <c r="L3135" s="127" t="inlineStr">
        <is>
          <t>CHIAPPA FIREARMS SRL</t>
        </is>
      </c>
      <c r="M3135" s="5" t="n">
        <v>91.5</v>
      </c>
      <c r="N3135" s="5" t="n"/>
      <c r="O3135" s="5">
        <f>+M3135+N3135</f>
        <v/>
      </c>
      <c r="P3135" s="4" t="n">
        <v>45989</v>
      </c>
      <c r="Q3135" s="87" t="n">
        <v>45989</v>
      </c>
      <c r="R3135" s="5" t="n">
        <v>140.3</v>
      </c>
      <c r="S3135" s="2" t="n">
        <v>1</v>
      </c>
      <c r="T3135" s="3" t="inlineStr">
        <is>
          <t>6B/2025/7M</t>
        </is>
      </c>
      <c r="U3135" s="87" t="n">
        <v>46003</v>
      </c>
      <c r="V3135" s="3" t="inlineStr">
        <is>
          <t>35</t>
        </is>
      </c>
      <c r="W3135" s="108" t="n">
        <v>46003</v>
      </c>
      <c r="X3135" s="4" t="inlineStr">
        <is>
          <t>BIN HUMAID NATIONAL TRADING CO</t>
        </is>
      </c>
    </row>
    <row r="3136" ht="24" customHeight="1">
      <c r="A3136" s="2">
        <f>+D3136-S3136</f>
        <v/>
      </c>
      <c r="B3136" s="80" t="n">
        <v>4728</v>
      </c>
      <c r="C3136" s="66" t="n">
        <v>45994</v>
      </c>
      <c r="D3136" s="2" t="n">
        <v>1</v>
      </c>
      <c r="E3136" s="3" t="inlineStr">
        <is>
          <t>FUCILE MONOCANNA</t>
        </is>
      </c>
      <c r="F3136" s="3" t="inlineStr">
        <is>
          <t>22LR</t>
        </is>
      </c>
      <c r="G3136" s="3" t="inlineStr">
        <is>
          <t>CHIAPPA</t>
        </is>
      </c>
      <c r="H3136" s="65" t="inlineStr">
        <is>
          <t>LITTLE BADGER 16.5''</t>
        </is>
      </c>
      <c r="I3136" s="65" t="inlineStr">
        <is>
          <t>CFIT25R13512</t>
        </is>
      </c>
      <c r="J3136" s="65" t="inlineStr">
        <is>
          <t>N/D</t>
        </is>
      </c>
      <c r="K3136" s="65" t="inlineStr">
        <is>
          <t>N/D</t>
        </is>
      </c>
      <c r="L3136" s="127" t="inlineStr">
        <is>
          <t>CHIAPPA FIREARMS SRL</t>
        </is>
      </c>
      <c r="M3136" s="5" t="n">
        <v>91.5</v>
      </c>
      <c r="N3136" s="5" t="n"/>
      <c r="O3136" s="5">
        <f>+M3136+N3136</f>
        <v/>
      </c>
      <c r="P3136" s="4" t="n">
        <v>45989</v>
      </c>
      <c r="Q3136" s="87" t="n">
        <v>45989</v>
      </c>
      <c r="R3136" s="5" t="n">
        <v>140.3</v>
      </c>
      <c r="S3136" s="2" t="n">
        <v>1</v>
      </c>
      <c r="T3136" s="3" t="inlineStr">
        <is>
          <t>6B/2025/7M</t>
        </is>
      </c>
      <c r="U3136" s="87" t="n">
        <v>46003</v>
      </c>
      <c r="V3136" s="3" t="inlineStr">
        <is>
          <t>35</t>
        </is>
      </c>
      <c r="W3136" s="108" t="n">
        <v>46003</v>
      </c>
      <c r="X3136" s="4" t="inlineStr">
        <is>
          <t>BIN HUMAID NATIONAL TRADING CO</t>
        </is>
      </c>
    </row>
    <row r="3137" ht="24" customHeight="1">
      <c r="A3137" s="2">
        <f>+D3137-S3137</f>
        <v/>
      </c>
      <c r="B3137" s="80" t="n">
        <v>4729</v>
      </c>
      <c r="C3137" s="66" t="n">
        <v>45994</v>
      </c>
      <c r="D3137" s="2" t="n">
        <v>1</v>
      </c>
      <c r="E3137" s="3" t="inlineStr">
        <is>
          <t>FUCILE MONOCANNA</t>
        </is>
      </c>
      <c r="F3137" s="3" t="inlineStr">
        <is>
          <t>22LR</t>
        </is>
      </c>
      <c r="G3137" s="3" t="inlineStr">
        <is>
          <t>CHIAPPA</t>
        </is>
      </c>
      <c r="H3137" s="65" t="inlineStr">
        <is>
          <t>LITTLE BADGER 16.5''</t>
        </is>
      </c>
      <c r="I3137" s="65" t="inlineStr">
        <is>
          <t>CFIT25R13513</t>
        </is>
      </c>
      <c r="J3137" s="65" t="inlineStr">
        <is>
          <t>N/D</t>
        </is>
      </c>
      <c r="K3137" s="65" t="inlineStr">
        <is>
          <t>N/D</t>
        </is>
      </c>
      <c r="L3137" s="127" t="inlineStr">
        <is>
          <t>CHIAPPA FIREARMS SRL</t>
        </is>
      </c>
      <c r="M3137" s="5" t="n">
        <v>91.5</v>
      </c>
      <c r="N3137" s="5" t="n"/>
      <c r="O3137" s="5">
        <f>+M3137+N3137</f>
        <v/>
      </c>
      <c r="P3137" s="4" t="n">
        <v>45989</v>
      </c>
      <c r="Q3137" s="87" t="n">
        <v>45989</v>
      </c>
      <c r="R3137" s="5" t="n">
        <v>140.3</v>
      </c>
      <c r="S3137" s="2" t="n">
        <v>1</v>
      </c>
      <c r="T3137" s="3" t="inlineStr">
        <is>
          <t>6B/2025/7M</t>
        </is>
      </c>
      <c r="U3137" s="87" t="n">
        <v>46003</v>
      </c>
      <c r="V3137" s="3" t="inlineStr">
        <is>
          <t>35</t>
        </is>
      </c>
      <c r="W3137" s="108" t="n">
        <v>46003</v>
      </c>
      <c r="X3137" s="4" t="inlineStr">
        <is>
          <t>BIN HUMAID NATIONAL TRADING CO</t>
        </is>
      </c>
    </row>
    <row r="3138" ht="24" customHeight="1">
      <c r="A3138" s="2">
        <f>+D3138-S3138</f>
        <v/>
      </c>
      <c r="B3138" s="80" t="n">
        <v>4730</v>
      </c>
      <c r="C3138" s="66" t="n">
        <v>45994</v>
      </c>
      <c r="D3138" s="2" t="n">
        <v>1</v>
      </c>
      <c r="E3138" s="3" t="inlineStr">
        <is>
          <t>FUCILE MONOCANNA</t>
        </is>
      </c>
      <c r="F3138" s="3" t="inlineStr">
        <is>
          <t>22LR</t>
        </is>
      </c>
      <c r="G3138" s="3" t="inlineStr">
        <is>
          <t>CHIAPPA</t>
        </is>
      </c>
      <c r="H3138" s="65" t="inlineStr">
        <is>
          <t>LITTLE BADGER 16.5''</t>
        </is>
      </c>
      <c r="I3138" s="65" t="inlineStr">
        <is>
          <t>CFIT25R13514</t>
        </is>
      </c>
      <c r="J3138" s="65" t="inlineStr">
        <is>
          <t>N/D</t>
        </is>
      </c>
      <c r="K3138" s="65" t="inlineStr">
        <is>
          <t>N/D</t>
        </is>
      </c>
      <c r="L3138" s="127" t="inlineStr">
        <is>
          <t>CHIAPPA FIREARMS SRL</t>
        </is>
      </c>
      <c r="M3138" s="5" t="n">
        <v>91.5</v>
      </c>
      <c r="N3138" s="5" t="n"/>
      <c r="O3138" s="5">
        <f>+M3138+N3138</f>
        <v/>
      </c>
      <c r="P3138" s="4" t="n">
        <v>45989</v>
      </c>
      <c r="Q3138" s="87" t="n">
        <v>45989</v>
      </c>
      <c r="R3138" s="5" t="n">
        <v>140.3</v>
      </c>
      <c r="S3138" s="2" t="n">
        <v>1</v>
      </c>
      <c r="T3138" s="3" t="inlineStr">
        <is>
          <t>6B/2025/7M</t>
        </is>
      </c>
      <c r="U3138" s="87" t="n">
        <v>46003</v>
      </c>
      <c r="V3138" s="3" t="inlineStr">
        <is>
          <t>35</t>
        </is>
      </c>
      <c r="W3138" s="108" t="n">
        <v>46003</v>
      </c>
      <c r="X3138" s="4" t="inlineStr">
        <is>
          <t>BIN HUMAID NATIONAL TRADING CO</t>
        </is>
      </c>
    </row>
    <row r="3139" ht="24" customHeight="1">
      <c r="A3139" s="2">
        <f>+D3139-S3139</f>
        <v/>
      </c>
      <c r="B3139" s="80" t="n">
        <v>4731</v>
      </c>
      <c r="C3139" s="66" t="n">
        <v>45994</v>
      </c>
      <c r="D3139" s="2" t="n">
        <v>1</v>
      </c>
      <c r="E3139" s="3" t="inlineStr">
        <is>
          <t>FUCILE MONOCANNA</t>
        </is>
      </c>
      <c r="F3139" s="3" t="inlineStr">
        <is>
          <t>22LR</t>
        </is>
      </c>
      <c r="G3139" s="3" t="inlineStr">
        <is>
          <t>CHIAPPA</t>
        </is>
      </c>
      <c r="H3139" s="65" t="inlineStr">
        <is>
          <t>LITTLE BADGER 16.5''</t>
        </is>
      </c>
      <c r="I3139" s="65" t="inlineStr">
        <is>
          <t>CFIT25R13515</t>
        </is>
      </c>
      <c r="J3139" s="65" t="inlineStr">
        <is>
          <t>N/D</t>
        </is>
      </c>
      <c r="K3139" s="65" t="inlineStr">
        <is>
          <t>N/D</t>
        </is>
      </c>
      <c r="L3139" s="127" t="inlineStr">
        <is>
          <t>CHIAPPA FIREARMS SRL</t>
        </is>
      </c>
      <c r="M3139" s="5" t="n">
        <v>91.5</v>
      </c>
      <c r="N3139" s="5" t="n"/>
      <c r="O3139" s="5">
        <f>+M3139+N3139</f>
        <v/>
      </c>
      <c r="P3139" s="4" t="n">
        <v>45989</v>
      </c>
      <c r="Q3139" s="87" t="n">
        <v>45989</v>
      </c>
      <c r="R3139" s="5" t="n">
        <v>140.3</v>
      </c>
      <c r="S3139" s="2" t="n">
        <v>1</v>
      </c>
      <c r="T3139" s="3" t="inlineStr">
        <is>
          <t>6B/2025/7M</t>
        </is>
      </c>
      <c r="U3139" s="87" t="n">
        <v>46003</v>
      </c>
      <c r="V3139" s="3" t="inlineStr">
        <is>
          <t>35</t>
        </is>
      </c>
      <c r="W3139" s="108" t="n">
        <v>46003</v>
      </c>
      <c r="X3139" s="4" t="inlineStr">
        <is>
          <t>BIN HUMAID NATIONAL TRADING CO</t>
        </is>
      </c>
    </row>
    <row r="3140" ht="24" customHeight="1">
      <c r="A3140" s="2">
        <f>+D3140-S3140</f>
        <v/>
      </c>
      <c r="B3140" s="80" t="n">
        <v>4732</v>
      </c>
      <c r="C3140" s="66" t="n">
        <v>45994</v>
      </c>
      <c r="D3140" s="2" t="n">
        <v>1</v>
      </c>
      <c r="E3140" s="3" t="inlineStr">
        <is>
          <t>FUCILE MONOCANNA</t>
        </is>
      </c>
      <c r="F3140" s="3" t="inlineStr">
        <is>
          <t>22LR</t>
        </is>
      </c>
      <c r="G3140" s="3" t="inlineStr">
        <is>
          <t>CHIAPPA</t>
        </is>
      </c>
      <c r="H3140" s="65" t="inlineStr">
        <is>
          <t>LITTLE BADGER 16.5''</t>
        </is>
      </c>
      <c r="I3140" s="65" t="inlineStr">
        <is>
          <t>CFIT25R13516</t>
        </is>
      </c>
      <c r="J3140" s="65" t="inlineStr">
        <is>
          <t>N/D</t>
        </is>
      </c>
      <c r="K3140" s="65" t="inlineStr">
        <is>
          <t>N/D</t>
        </is>
      </c>
      <c r="L3140" s="127" t="inlineStr">
        <is>
          <t>CHIAPPA FIREARMS SRL</t>
        </is>
      </c>
      <c r="M3140" s="5" t="n">
        <v>91.5</v>
      </c>
      <c r="N3140" s="5" t="n"/>
      <c r="O3140" s="5">
        <f>+M3140+N3140</f>
        <v/>
      </c>
      <c r="P3140" s="4" t="n">
        <v>45989</v>
      </c>
      <c r="Q3140" s="87" t="n">
        <v>45989</v>
      </c>
      <c r="R3140" s="5" t="n">
        <v>140.3</v>
      </c>
      <c r="S3140" s="2" t="n">
        <v>1</v>
      </c>
      <c r="T3140" s="3" t="inlineStr">
        <is>
          <t>6B/2025/7M</t>
        </is>
      </c>
      <c r="U3140" s="87" t="n">
        <v>46003</v>
      </c>
      <c r="V3140" s="3" t="inlineStr">
        <is>
          <t>35</t>
        </is>
      </c>
      <c r="W3140" s="108" t="n">
        <v>46003</v>
      </c>
      <c r="X3140" s="4" t="inlineStr">
        <is>
          <t>BIN HUMAID NATIONAL TRADING CO</t>
        </is>
      </c>
    </row>
    <row r="3141" ht="24" customHeight="1">
      <c r="A3141" s="2">
        <f>+D3141-S3141</f>
        <v/>
      </c>
      <c r="B3141" s="80" t="n">
        <v>4733</v>
      </c>
      <c r="C3141" s="66" t="n">
        <v>45994</v>
      </c>
      <c r="D3141" s="2" t="n">
        <v>1</v>
      </c>
      <c r="E3141" s="3" t="inlineStr">
        <is>
          <t>FUCILE MONOCANNA</t>
        </is>
      </c>
      <c r="F3141" s="3" t="inlineStr">
        <is>
          <t>22LR</t>
        </is>
      </c>
      <c r="G3141" s="3" t="inlineStr">
        <is>
          <t>CHIAPPA</t>
        </is>
      </c>
      <c r="H3141" s="65" t="inlineStr">
        <is>
          <t>LITTLE BADGER 16.5''</t>
        </is>
      </c>
      <c r="I3141" s="65" t="inlineStr">
        <is>
          <t>CFIT25R13517</t>
        </is>
      </c>
      <c r="J3141" s="65" t="inlineStr">
        <is>
          <t>N/D</t>
        </is>
      </c>
      <c r="K3141" s="65" t="inlineStr">
        <is>
          <t>N/D</t>
        </is>
      </c>
      <c r="L3141" s="127" t="inlineStr">
        <is>
          <t>CHIAPPA FIREARMS SRL</t>
        </is>
      </c>
      <c r="M3141" s="5" t="n">
        <v>91.5</v>
      </c>
      <c r="N3141" s="5" t="n"/>
      <c r="O3141" s="5">
        <f>+M3141+N3141</f>
        <v/>
      </c>
      <c r="P3141" s="4" t="n">
        <v>45989</v>
      </c>
      <c r="Q3141" s="87" t="n">
        <v>45989</v>
      </c>
      <c r="R3141" s="5" t="n">
        <v>140.3</v>
      </c>
      <c r="S3141" s="2" t="n">
        <v>1</v>
      </c>
      <c r="T3141" s="3" t="inlineStr">
        <is>
          <t>6B/2025/7M</t>
        </is>
      </c>
      <c r="U3141" s="87" t="n">
        <v>46003</v>
      </c>
      <c r="V3141" s="3" t="inlineStr">
        <is>
          <t>35</t>
        </is>
      </c>
      <c r="W3141" s="108" t="n">
        <v>46003</v>
      </c>
      <c r="X3141" s="4" t="inlineStr">
        <is>
          <t>BIN HUMAID NATIONAL TRADING CO</t>
        </is>
      </c>
    </row>
    <row r="3142" ht="24" customHeight="1">
      <c r="A3142" s="2">
        <f>+D3142-S3142</f>
        <v/>
      </c>
      <c r="B3142" s="80" t="n">
        <v>4734</v>
      </c>
      <c r="C3142" s="66" t="n">
        <v>45994</v>
      </c>
      <c r="D3142" s="2" t="n">
        <v>1</v>
      </c>
      <c r="E3142" s="3" t="inlineStr">
        <is>
          <t>FUCILE MONOCANNA</t>
        </is>
      </c>
      <c r="F3142" s="3" t="inlineStr">
        <is>
          <t>22LR</t>
        </is>
      </c>
      <c r="G3142" s="3" t="inlineStr">
        <is>
          <t>CHIAPPA</t>
        </is>
      </c>
      <c r="H3142" s="65" t="inlineStr">
        <is>
          <t>LITTLE BADGER 16.5''</t>
        </is>
      </c>
      <c r="I3142" s="65" t="inlineStr">
        <is>
          <t>CFIT25R13518</t>
        </is>
      </c>
      <c r="J3142" s="65" t="inlineStr">
        <is>
          <t>N/D</t>
        </is>
      </c>
      <c r="K3142" s="65" t="inlineStr">
        <is>
          <t>N/D</t>
        </is>
      </c>
      <c r="L3142" s="127" t="inlineStr">
        <is>
          <t>CHIAPPA FIREARMS SRL</t>
        </is>
      </c>
      <c r="M3142" s="5" t="n">
        <v>91.5</v>
      </c>
      <c r="N3142" s="5" t="n"/>
      <c r="O3142" s="5">
        <f>+M3142+N3142</f>
        <v/>
      </c>
      <c r="P3142" s="4" t="n">
        <v>45989</v>
      </c>
      <c r="Q3142" s="87" t="n">
        <v>45989</v>
      </c>
      <c r="R3142" s="5" t="n">
        <v>140.3</v>
      </c>
      <c r="S3142" s="2" t="n">
        <v>1</v>
      </c>
      <c r="T3142" s="3" t="inlineStr">
        <is>
          <t>6B/2025/7M</t>
        </is>
      </c>
      <c r="U3142" s="87" t="n">
        <v>46003</v>
      </c>
      <c r="V3142" s="3" t="inlineStr">
        <is>
          <t>35</t>
        </is>
      </c>
      <c r="W3142" s="108" t="n">
        <v>46003</v>
      </c>
      <c r="X3142" s="4" t="inlineStr">
        <is>
          <t>BIN HUMAID NATIONAL TRADING CO</t>
        </is>
      </c>
    </row>
    <row r="3143" ht="24" customHeight="1">
      <c r="A3143" s="2">
        <f>+D3143-S3143</f>
        <v/>
      </c>
      <c r="B3143" s="80" t="n">
        <v>4735</v>
      </c>
      <c r="C3143" s="66" t="n">
        <v>45994</v>
      </c>
      <c r="D3143" s="2" t="n">
        <v>1</v>
      </c>
      <c r="E3143" s="3" t="inlineStr">
        <is>
          <t>FUCILE MONOCANNA</t>
        </is>
      </c>
      <c r="F3143" s="3" t="inlineStr">
        <is>
          <t>22LR</t>
        </is>
      </c>
      <c r="G3143" s="3" t="inlineStr">
        <is>
          <t>CHIAPPA</t>
        </is>
      </c>
      <c r="H3143" s="65" t="inlineStr">
        <is>
          <t>LITTLE BADGER 16.5''</t>
        </is>
      </c>
      <c r="I3143" s="65" t="inlineStr">
        <is>
          <t>CFIT25R13519</t>
        </is>
      </c>
      <c r="J3143" s="65" t="inlineStr">
        <is>
          <t>N/D</t>
        </is>
      </c>
      <c r="K3143" s="65" t="inlineStr">
        <is>
          <t>N/D</t>
        </is>
      </c>
      <c r="L3143" s="127" t="inlineStr">
        <is>
          <t>CHIAPPA FIREARMS SRL</t>
        </is>
      </c>
      <c r="M3143" s="5" t="n">
        <v>91.5</v>
      </c>
      <c r="N3143" s="5" t="n"/>
      <c r="O3143" s="5">
        <f>+M3143+N3143</f>
        <v/>
      </c>
      <c r="P3143" s="4" t="n">
        <v>45989</v>
      </c>
      <c r="Q3143" s="87" t="n">
        <v>45989</v>
      </c>
      <c r="R3143" s="5" t="n">
        <v>140.3</v>
      </c>
      <c r="S3143" s="2" t="n">
        <v>1</v>
      </c>
      <c r="T3143" s="3" t="inlineStr">
        <is>
          <t>6B/2025/7M</t>
        </is>
      </c>
      <c r="U3143" s="87" t="n">
        <v>46003</v>
      </c>
      <c r="V3143" s="3" t="inlineStr">
        <is>
          <t>35</t>
        </is>
      </c>
      <c r="W3143" s="108" t="n">
        <v>46003</v>
      </c>
      <c r="X3143" s="4" t="inlineStr">
        <is>
          <t>BIN HUMAID NATIONAL TRADING CO</t>
        </is>
      </c>
    </row>
    <row r="3144" ht="24" customHeight="1">
      <c r="A3144" s="2">
        <f>+D3144-S3144</f>
        <v/>
      </c>
      <c r="B3144" s="80" t="n">
        <v>4736</v>
      </c>
      <c r="C3144" s="66" t="n">
        <v>45994</v>
      </c>
      <c r="D3144" s="2" t="n">
        <v>1</v>
      </c>
      <c r="E3144" s="3" t="inlineStr">
        <is>
          <t>FUCILE MONOCANNA</t>
        </is>
      </c>
      <c r="F3144" s="3" t="inlineStr">
        <is>
          <t>22LR</t>
        </is>
      </c>
      <c r="G3144" s="3" t="inlineStr">
        <is>
          <t>CHIAPPA</t>
        </is>
      </c>
      <c r="H3144" s="65" t="inlineStr">
        <is>
          <t>LITTLE BADGER 16.5''</t>
        </is>
      </c>
      <c r="I3144" s="65" t="inlineStr">
        <is>
          <t>CFIT25R13520</t>
        </is>
      </c>
      <c r="J3144" s="65" t="inlineStr">
        <is>
          <t>N/D</t>
        </is>
      </c>
      <c r="K3144" s="65" t="inlineStr">
        <is>
          <t>N/D</t>
        </is>
      </c>
      <c r="L3144" s="127" t="inlineStr">
        <is>
          <t>CHIAPPA FIREARMS SRL</t>
        </is>
      </c>
      <c r="M3144" s="5" t="n">
        <v>91.5</v>
      </c>
      <c r="N3144" s="5" t="n"/>
      <c r="O3144" s="5">
        <f>+M3144+N3144</f>
        <v/>
      </c>
      <c r="P3144" s="4" t="n">
        <v>45989</v>
      </c>
      <c r="Q3144" s="87" t="n">
        <v>45989</v>
      </c>
      <c r="R3144" s="5" t="n">
        <v>140.3</v>
      </c>
      <c r="S3144" s="2" t="n">
        <v>1</v>
      </c>
      <c r="T3144" s="3" t="inlineStr">
        <is>
          <t>6B/2025/7M</t>
        </is>
      </c>
      <c r="U3144" s="87" t="n">
        <v>46003</v>
      </c>
      <c r="V3144" s="3" t="inlineStr">
        <is>
          <t>35</t>
        </is>
      </c>
      <c r="W3144" s="108" t="n">
        <v>46003</v>
      </c>
      <c r="X3144" s="4" t="inlineStr">
        <is>
          <t>BIN HUMAID NATIONAL TRADING CO</t>
        </is>
      </c>
    </row>
    <row r="3145" ht="24" customHeight="1">
      <c r="A3145" s="2">
        <f>+D3145-S3145</f>
        <v/>
      </c>
      <c r="B3145" s="80" t="n">
        <v>4737</v>
      </c>
      <c r="C3145" s="66" t="n">
        <v>45994</v>
      </c>
      <c r="D3145" s="2" t="n">
        <v>1</v>
      </c>
      <c r="E3145" s="3" t="inlineStr">
        <is>
          <t>FUCILE MONOCANNA</t>
        </is>
      </c>
      <c r="F3145" s="3" t="inlineStr">
        <is>
          <t>22LR</t>
        </is>
      </c>
      <c r="G3145" s="3" t="inlineStr">
        <is>
          <t>CHIAPPA</t>
        </is>
      </c>
      <c r="H3145" s="65" t="inlineStr">
        <is>
          <t>LITTLE BADGER 16.5''</t>
        </is>
      </c>
      <c r="I3145" s="65" t="inlineStr">
        <is>
          <t>CFIT25R13521</t>
        </is>
      </c>
      <c r="J3145" s="65" t="inlineStr">
        <is>
          <t>N/D</t>
        </is>
      </c>
      <c r="K3145" s="65" t="inlineStr">
        <is>
          <t>N/D</t>
        </is>
      </c>
      <c r="L3145" s="127" t="inlineStr">
        <is>
          <t>CHIAPPA FIREARMS SRL</t>
        </is>
      </c>
      <c r="M3145" s="5" t="n">
        <v>91.5</v>
      </c>
      <c r="N3145" s="5" t="n"/>
      <c r="O3145" s="5">
        <f>+M3145+N3145</f>
        <v/>
      </c>
      <c r="P3145" s="4" t="n">
        <v>45989</v>
      </c>
      <c r="Q3145" s="87" t="n">
        <v>45989</v>
      </c>
      <c r="R3145" s="5" t="n">
        <v>140.3</v>
      </c>
      <c r="S3145" s="2" t="n">
        <v>1</v>
      </c>
      <c r="T3145" s="3" t="inlineStr">
        <is>
          <t>6B/2025/7M</t>
        </is>
      </c>
      <c r="U3145" s="87" t="n">
        <v>46003</v>
      </c>
      <c r="V3145" s="3" t="inlineStr">
        <is>
          <t>35</t>
        </is>
      </c>
      <c r="W3145" s="108" t="n">
        <v>46003</v>
      </c>
      <c r="X3145" s="4" t="inlineStr">
        <is>
          <t>BIN HUMAID NATIONAL TRADING CO</t>
        </is>
      </c>
    </row>
    <row r="3146" ht="24" customHeight="1">
      <c r="A3146" s="2">
        <f>+D3146-S3146</f>
        <v/>
      </c>
      <c r="B3146" s="80" t="n">
        <v>4738</v>
      </c>
      <c r="C3146" s="66" t="n">
        <v>45994</v>
      </c>
      <c r="D3146" s="2" t="n">
        <v>1</v>
      </c>
      <c r="E3146" s="3" t="inlineStr">
        <is>
          <t>FUCILE MONOCANNA</t>
        </is>
      </c>
      <c r="F3146" s="3" t="inlineStr">
        <is>
          <t>22LR</t>
        </is>
      </c>
      <c r="G3146" s="3" t="inlineStr">
        <is>
          <t>CHIAPPA</t>
        </is>
      </c>
      <c r="H3146" s="65" t="inlineStr">
        <is>
          <t>LITTLE BADGER 16.5''</t>
        </is>
      </c>
      <c r="I3146" s="65" t="inlineStr">
        <is>
          <t>CFIT25R13522</t>
        </is>
      </c>
      <c r="J3146" s="65" t="inlineStr">
        <is>
          <t>N/D</t>
        </is>
      </c>
      <c r="K3146" s="65" t="inlineStr">
        <is>
          <t>N/D</t>
        </is>
      </c>
      <c r="L3146" s="127" t="inlineStr">
        <is>
          <t>CHIAPPA FIREARMS SRL</t>
        </is>
      </c>
      <c r="M3146" s="5" t="n">
        <v>91.5</v>
      </c>
      <c r="N3146" s="5" t="n"/>
      <c r="O3146" s="5">
        <f>+M3146+N3146</f>
        <v/>
      </c>
      <c r="P3146" s="4" t="n">
        <v>45989</v>
      </c>
      <c r="Q3146" s="87" t="n">
        <v>45989</v>
      </c>
      <c r="R3146" s="5" t="n">
        <v>140.3</v>
      </c>
      <c r="S3146" s="2" t="n">
        <v>1</v>
      </c>
      <c r="T3146" s="3" t="inlineStr">
        <is>
          <t>6B/2025/7M</t>
        </is>
      </c>
      <c r="U3146" s="87" t="n">
        <v>46003</v>
      </c>
      <c r="V3146" s="3" t="inlineStr">
        <is>
          <t>35</t>
        </is>
      </c>
      <c r="W3146" s="108" t="n">
        <v>46003</v>
      </c>
      <c r="X3146" s="4" t="inlineStr">
        <is>
          <t>BIN HUMAID NATIONAL TRADING CO</t>
        </is>
      </c>
    </row>
    <row r="3147" ht="24" customHeight="1">
      <c r="A3147" s="2">
        <f>+D3147-S3147</f>
        <v/>
      </c>
      <c r="B3147" s="80" t="n">
        <v>4739</v>
      </c>
      <c r="C3147" s="66" t="n">
        <v>45994</v>
      </c>
      <c r="D3147" s="2" t="n">
        <v>1</v>
      </c>
      <c r="E3147" s="3" t="inlineStr">
        <is>
          <t>FUCILE MONOCANNA</t>
        </is>
      </c>
      <c r="F3147" s="3" t="inlineStr">
        <is>
          <t>22LR</t>
        </is>
      </c>
      <c r="G3147" s="3" t="inlineStr">
        <is>
          <t>CHIAPPA</t>
        </is>
      </c>
      <c r="H3147" s="65" t="inlineStr">
        <is>
          <t>LITTLE BADGER 16.5''</t>
        </is>
      </c>
      <c r="I3147" s="65" t="inlineStr">
        <is>
          <t>CFIT25R13523</t>
        </is>
      </c>
      <c r="J3147" s="65" t="inlineStr">
        <is>
          <t>N/D</t>
        </is>
      </c>
      <c r="K3147" s="65" t="inlineStr">
        <is>
          <t>N/D</t>
        </is>
      </c>
      <c r="L3147" s="127" t="inlineStr">
        <is>
          <t>CHIAPPA FIREARMS SRL</t>
        </is>
      </c>
      <c r="M3147" s="5" t="n">
        <v>91.5</v>
      </c>
      <c r="N3147" s="5" t="n"/>
      <c r="O3147" s="5">
        <f>+M3147+N3147</f>
        <v/>
      </c>
      <c r="P3147" s="4" t="n">
        <v>45989</v>
      </c>
      <c r="Q3147" s="87" t="n">
        <v>45989</v>
      </c>
      <c r="R3147" s="5" t="n">
        <v>140.3</v>
      </c>
      <c r="S3147" s="2" t="n">
        <v>1</v>
      </c>
      <c r="T3147" s="3" t="inlineStr">
        <is>
          <t>6B/2025/7M</t>
        </is>
      </c>
      <c r="U3147" s="87" t="n">
        <v>46003</v>
      </c>
      <c r="V3147" s="3" t="inlineStr">
        <is>
          <t>35</t>
        </is>
      </c>
      <c r="W3147" s="108" t="n">
        <v>46003</v>
      </c>
      <c r="X3147" s="4" t="inlineStr">
        <is>
          <t>BIN HUMAID NATIONAL TRADING CO</t>
        </is>
      </c>
    </row>
    <row r="3148" ht="24" customHeight="1">
      <c r="A3148" s="2">
        <f>+D3148-S3148</f>
        <v/>
      </c>
      <c r="B3148" s="80" t="n">
        <v>4740</v>
      </c>
      <c r="C3148" s="66" t="n">
        <v>45994</v>
      </c>
      <c r="D3148" s="2" t="n">
        <v>1</v>
      </c>
      <c r="E3148" s="3" t="inlineStr">
        <is>
          <t>FUCILE MONOCANNA</t>
        </is>
      </c>
      <c r="F3148" s="3" t="inlineStr">
        <is>
          <t>22LR</t>
        </is>
      </c>
      <c r="G3148" s="3" t="inlineStr">
        <is>
          <t>CHIAPPA</t>
        </is>
      </c>
      <c r="H3148" s="65" t="inlineStr">
        <is>
          <t>LITTLE BADGER 16.5''</t>
        </is>
      </c>
      <c r="I3148" s="65" t="inlineStr">
        <is>
          <t>CFIT25R13524</t>
        </is>
      </c>
      <c r="J3148" s="65" t="inlineStr">
        <is>
          <t>N/D</t>
        </is>
      </c>
      <c r="K3148" s="65" t="inlineStr">
        <is>
          <t>N/D</t>
        </is>
      </c>
      <c r="L3148" s="127" t="inlineStr">
        <is>
          <t>CHIAPPA FIREARMS SRL</t>
        </is>
      </c>
      <c r="M3148" s="5" t="n">
        <v>91.5</v>
      </c>
      <c r="N3148" s="5" t="n"/>
      <c r="O3148" s="5">
        <f>+M3148+N3148</f>
        <v/>
      </c>
      <c r="P3148" s="4" t="n">
        <v>45989</v>
      </c>
      <c r="Q3148" s="87" t="n">
        <v>45989</v>
      </c>
      <c r="R3148" s="5" t="n">
        <v>140.3</v>
      </c>
      <c r="S3148" s="2" t="n">
        <v>1</v>
      </c>
      <c r="T3148" s="3" t="inlineStr">
        <is>
          <t>6B/2025/7M</t>
        </is>
      </c>
      <c r="U3148" s="87" t="n">
        <v>46003</v>
      </c>
      <c r="V3148" s="3" t="inlineStr">
        <is>
          <t>35</t>
        </is>
      </c>
      <c r="W3148" s="108" t="n">
        <v>46003</v>
      </c>
      <c r="X3148" s="4" t="inlineStr">
        <is>
          <t>BIN HUMAID NATIONAL TRADING CO</t>
        </is>
      </c>
    </row>
    <row r="3149" ht="24" customHeight="1">
      <c r="A3149" s="2">
        <f>+D3149-S3149</f>
        <v/>
      </c>
      <c r="B3149" s="80" t="n">
        <v>4741</v>
      </c>
      <c r="C3149" s="66" t="n">
        <v>45994</v>
      </c>
      <c r="D3149" s="2" t="n">
        <v>1</v>
      </c>
      <c r="E3149" s="3" t="inlineStr">
        <is>
          <t>FUCILE SEMIAUTOMATICO</t>
        </is>
      </c>
      <c r="F3149" s="3" t="inlineStr">
        <is>
          <t>22LR</t>
        </is>
      </c>
      <c r="G3149" s="3" t="inlineStr">
        <is>
          <t>CHIAPPA</t>
        </is>
      </c>
      <c r="H3149" s="65" t="inlineStr">
        <is>
          <t>RAK-22</t>
        </is>
      </c>
      <c r="I3149" s="65" t="inlineStr">
        <is>
          <t>CFIT25R13021</t>
        </is>
      </c>
      <c r="J3149" s="65" t="inlineStr">
        <is>
          <t>N/D</t>
        </is>
      </c>
      <c r="K3149" s="65" t="inlineStr">
        <is>
          <t>N/D</t>
        </is>
      </c>
      <c r="L3149" s="127" t="inlineStr">
        <is>
          <t>CHIAPPA FIREARMS SRL</t>
        </is>
      </c>
      <c r="M3149" s="5" t="n">
        <v>409.5</v>
      </c>
      <c r="N3149" s="5" t="n"/>
      <c r="O3149" s="5">
        <f>+M3149+N3149</f>
        <v/>
      </c>
      <c r="P3149" s="4" t="n">
        <v>45989</v>
      </c>
      <c r="Q3149" s="87" t="n">
        <v>45989</v>
      </c>
      <c r="R3149" s="5" t="n">
        <v>625</v>
      </c>
      <c r="S3149" s="2" t="n">
        <v>1</v>
      </c>
      <c r="T3149" s="3" t="inlineStr">
        <is>
          <t>6B/2025/7M</t>
        </is>
      </c>
      <c r="U3149" s="87" t="n">
        <v>46003</v>
      </c>
      <c r="V3149" s="3" t="inlineStr">
        <is>
          <t>35</t>
        </is>
      </c>
      <c r="W3149" s="108" t="n">
        <v>46003</v>
      </c>
      <c r="X3149" s="4" t="inlineStr">
        <is>
          <t>BIN HUMAID NATIONAL TRADING CO</t>
        </is>
      </c>
    </row>
    <row r="3150" ht="24" customHeight="1">
      <c r="A3150" s="2">
        <f>+D3150-S3150</f>
        <v/>
      </c>
      <c r="B3150" s="80" t="n">
        <v>4742</v>
      </c>
      <c r="C3150" s="66" t="n">
        <v>45994</v>
      </c>
      <c r="D3150" s="2" t="n">
        <v>1</v>
      </c>
      <c r="E3150" s="3" t="inlineStr">
        <is>
          <t>FUCILE SEMIAUTOMATICO</t>
        </is>
      </c>
      <c r="F3150" s="3" t="inlineStr">
        <is>
          <t>22LR</t>
        </is>
      </c>
      <c r="G3150" s="3" t="inlineStr">
        <is>
          <t>CHIAPPA</t>
        </is>
      </c>
      <c r="H3150" s="65" t="inlineStr">
        <is>
          <t>RAK-22</t>
        </is>
      </c>
      <c r="I3150" s="65" t="inlineStr">
        <is>
          <t>CFIT25R13023</t>
        </is>
      </c>
      <c r="J3150" s="65" t="inlineStr">
        <is>
          <t>N/D</t>
        </is>
      </c>
      <c r="K3150" s="65" t="inlineStr">
        <is>
          <t>N/D</t>
        </is>
      </c>
      <c r="L3150" s="127" t="inlineStr">
        <is>
          <t>CHIAPPA FIREARMS SRL</t>
        </is>
      </c>
      <c r="M3150" s="5" t="n">
        <v>409.5</v>
      </c>
      <c r="N3150" s="5" t="n"/>
      <c r="O3150" s="5">
        <f>+M3150+N3150</f>
        <v/>
      </c>
      <c r="P3150" s="4" t="n">
        <v>45989</v>
      </c>
      <c r="Q3150" s="87" t="n">
        <v>45989</v>
      </c>
      <c r="R3150" s="5" t="n">
        <v>140.3</v>
      </c>
      <c r="S3150" s="2" t="n">
        <v>1</v>
      </c>
      <c r="T3150" s="3" t="inlineStr">
        <is>
          <t>6B/2025/7M</t>
        </is>
      </c>
      <c r="U3150" s="87" t="n">
        <v>46003</v>
      </c>
      <c r="V3150" s="3" t="inlineStr">
        <is>
          <t>35</t>
        </is>
      </c>
      <c r="W3150" s="108" t="n">
        <v>46003</v>
      </c>
      <c r="X3150" s="4" t="inlineStr">
        <is>
          <t>BIN HUMAID NATIONAL TRADING CO</t>
        </is>
      </c>
    </row>
    <row r="3151" ht="24" customHeight="1">
      <c r="A3151" s="2">
        <f>+D3151-S3151</f>
        <v/>
      </c>
      <c r="B3151" s="80" t="n">
        <v>4743</v>
      </c>
      <c r="C3151" s="66" t="n">
        <v>45994</v>
      </c>
      <c r="D3151" s="2" t="n">
        <v>1</v>
      </c>
      <c r="E3151" s="3" t="inlineStr">
        <is>
          <t>FUCILE SEMIAUTOMATICO</t>
        </is>
      </c>
      <c r="F3151" s="3" t="inlineStr">
        <is>
          <t>22LR</t>
        </is>
      </c>
      <c r="G3151" s="3" t="inlineStr">
        <is>
          <t>CHIAPPA</t>
        </is>
      </c>
      <c r="H3151" s="65" t="inlineStr">
        <is>
          <t>RAK-22</t>
        </is>
      </c>
      <c r="I3151" s="65" t="inlineStr">
        <is>
          <t>CFIT25R13024</t>
        </is>
      </c>
      <c r="J3151" s="65" t="inlineStr">
        <is>
          <t>N/D</t>
        </is>
      </c>
      <c r="K3151" s="65" t="inlineStr">
        <is>
          <t>N/D</t>
        </is>
      </c>
      <c r="L3151" s="127" t="inlineStr">
        <is>
          <t>CHIAPPA FIREARMS SRL</t>
        </is>
      </c>
      <c r="M3151" s="5" t="n">
        <v>409.5</v>
      </c>
      <c r="N3151" s="5" t="n"/>
      <c r="O3151" s="5">
        <f>+M3151+N3151</f>
        <v/>
      </c>
      <c r="P3151" s="4" t="n">
        <v>45989</v>
      </c>
      <c r="Q3151" s="87" t="n">
        <v>45989</v>
      </c>
      <c r="R3151" s="5" t="n">
        <v>625</v>
      </c>
      <c r="S3151" s="2" t="n">
        <v>1</v>
      </c>
      <c r="T3151" s="3" t="inlineStr">
        <is>
          <t>6B/2025/7M</t>
        </is>
      </c>
      <c r="U3151" s="87" t="n">
        <v>46003</v>
      </c>
      <c r="V3151" s="3" t="inlineStr">
        <is>
          <t>35</t>
        </is>
      </c>
      <c r="W3151" s="108" t="n">
        <v>46003</v>
      </c>
      <c r="X3151" s="4" t="inlineStr">
        <is>
          <t>BIN HUMAID NATIONAL TRADING CO</t>
        </is>
      </c>
    </row>
    <row r="3152" ht="24" customHeight="1">
      <c r="A3152" s="2">
        <f>+D3152-S3152</f>
        <v/>
      </c>
      <c r="B3152" s="80" t="n">
        <v>4744</v>
      </c>
      <c r="C3152" s="66" t="n">
        <v>45994</v>
      </c>
      <c r="D3152" s="2" t="n">
        <v>1</v>
      </c>
      <c r="E3152" s="3" t="inlineStr">
        <is>
          <t>FUCILE SEMIAUTOMATICO</t>
        </is>
      </c>
      <c r="F3152" s="3" t="inlineStr">
        <is>
          <t>22LR</t>
        </is>
      </c>
      <c r="G3152" s="3" t="inlineStr">
        <is>
          <t>CHIAPPA</t>
        </is>
      </c>
      <c r="H3152" s="65" t="inlineStr">
        <is>
          <t>RAK-22</t>
        </is>
      </c>
      <c r="I3152" s="65" t="inlineStr">
        <is>
          <t>CFIT25R13025</t>
        </is>
      </c>
      <c r="J3152" s="65" t="inlineStr">
        <is>
          <t>N/D</t>
        </is>
      </c>
      <c r="K3152" s="65" t="inlineStr">
        <is>
          <t>N/D</t>
        </is>
      </c>
      <c r="L3152" s="127" t="inlineStr">
        <is>
          <t>CHIAPPA FIREARMS SRL</t>
        </is>
      </c>
      <c r="M3152" s="5" t="n">
        <v>409.5</v>
      </c>
      <c r="N3152" s="5" t="n"/>
      <c r="O3152" s="5">
        <f>+M3152+N3152</f>
        <v/>
      </c>
      <c r="P3152" s="4" t="n">
        <v>45989</v>
      </c>
      <c r="Q3152" s="87" t="n">
        <v>45989</v>
      </c>
      <c r="R3152" s="5" t="n">
        <v>625</v>
      </c>
      <c r="S3152" s="2" t="n">
        <v>1</v>
      </c>
      <c r="T3152" s="3" t="inlineStr">
        <is>
          <t>6B/2025/7M</t>
        </is>
      </c>
      <c r="U3152" s="87" t="n">
        <v>46003</v>
      </c>
      <c r="V3152" s="3" t="inlineStr">
        <is>
          <t>35</t>
        </is>
      </c>
      <c r="W3152" s="108" t="n">
        <v>46003</v>
      </c>
      <c r="X3152" s="4" t="inlineStr">
        <is>
          <t>BIN HUMAID NATIONAL TRADING CO</t>
        </is>
      </c>
    </row>
    <row r="3153" ht="24" customHeight="1">
      <c r="A3153" s="2">
        <f>+D3153-S3153</f>
        <v/>
      </c>
      <c r="B3153" s="80" t="n">
        <v>4745</v>
      </c>
      <c r="C3153" s="66" t="n">
        <v>45994</v>
      </c>
      <c r="D3153" s="2" t="n">
        <v>1</v>
      </c>
      <c r="E3153" s="3" t="inlineStr">
        <is>
          <t>FUCILE SEMIAUTOMATICO</t>
        </is>
      </c>
      <c r="F3153" s="3" t="inlineStr">
        <is>
          <t>22LR</t>
        </is>
      </c>
      <c r="G3153" s="3" t="inlineStr">
        <is>
          <t>CHIAPPA</t>
        </is>
      </c>
      <c r="H3153" s="65" t="inlineStr">
        <is>
          <t>RAK-22</t>
        </is>
      </c>
      <c r="I3153" s="65" t="inlineStr">
        <is>
          <t>CFIT25R13026</t>
        </is>
      </c>
      <c r="J3153" s="65" t="inlineStr">
        <is>
          <t>N/D</t>
        </is>
      </c>
      <c r="K3153" s="65" t="inlineStr">
        <is>
          <t>N/D</t>
        </is>
      </c>
      <c r="L3153" s="127" t="inlineStr">
        <is>
          <t>CHIAPPA FIREARMS SRL</t>
        </is>
      </c>
      <c r="M3153" s="5" t="n">
        <v>409.5</v>
      </c>
      <c r="N3153" s="5" t="n"/>
      <c r="O3153" s="5">
        <f>+M3153+N3153</f>
        <v/>
      </c>
      <c r="P3153" s="4" t="n">
        <v>45989</v>
      </c>
      <c r="Q3153" s="87" t="n">
        <v>45989</v>
      </c>
      <c r="R3153" s="5" t="n">
        <v>625</v>
      </c>
      <c r="S3153" s="2" t="n">
        <v>1</v>
      </c>
      <c r="T3153" s="3" t="inlineStr">
        <is>
          <t>6B/2025/7M</t>
        </is>
      </c>
      <c r="U3153" s="87" t="n">
        <v>46003</v>
      </c>
      <c r="V3153" s="3" t="inlineStr">
        <is>
          <t>35</t>
        </is>
      </c>
      <c r="W3153" s="108" t="n">
        <v>46003</v>
      </c>
      <c r="X3153" s="4" t="inlineStr">
        <is>
          <t>BIN HUMAID NATIONAL TRADING CO</t>
        </is>
      </c>
    </row>
    <row r="3154" ht="24" customHeight="1">
      <c r="A3154" s="2">
        <f>+D3154-S3154</f>
        <v/>
      </c>
      <c r="B3154" s="80" t="n">
        <v>4746</v>
      </c>
      <c r="C3154" s="66" t="n">
        <v>45994</v>
      </c>
      <c r="D3154" s="2" t="n">
        <v>1</v>
      </c>
      <c r="E3154" s="3" t="inlineStr">
        <is>
          <t>FUCILE SEMIAUTOMATICO</t>
        </is>
      </c>
      <c r="F3154" s="3" t="inlineStr">
        <is>
          <t>22LR</t>
        </is>
      </c>
      <c r="G3154" s="3" t="inlineStr">
        <is>
          <t>CHIAPPA</t>
        </is>
      </c>
      <c r="H3154" s="65" t="inlineStr">
        <is>
          <t>RAK-22</t>
        </is>
      </c>
      <c r="I3154" s="65" t="inlineStr">
        <is>
          <t>CFIT25R13027</t>
        </is>
      </c>
      <c r="J3154" s="65" t="inlineStr">
        <is>
          <t>N/D</t>
        </is>
      </c>
      <c r="K3154" s="65" t="inlineStr">
        <is>
          <t>N/D</t>
        </is>
      </c>
      <c r="L3154" s="127" t="inlineStr">
        <is>
          <t>CHIAPPA FIREARMS SRL</t>
        </is>
      </c>
      <c r="M3154" s="5" t="n">
        <v>409.5</v>
      </c>
      <c r="N3154" s="5" t="n"/>
      <c r="O3154" s="5">
        <f>+M3154+N3154</f>
        <v/>
      </c>
      <c r="P3154" s="4" t="n">
        <v>45989</v>
      </c>
      <c r="Q3154" s="87" t="n">
        <v>45989</v>
      </c>
      <c r="R3154" s="5" t="n">
        <v>625</v>
      </c>
      <c r="S3154" s="2" t="n">
        <v>1</v>
      </c>
      <c r="T3154" s="3" t="inlineStr">
        <is>
          <t>6B/2025/7M</t>
        </is>
      </c>
      <c r="U3154" s="87" t="n">
        <v>46003</v>
      </c>
      <c r="V3154" s="3" t="inlineStr">
        <is>
          <t>35</t>
        </is>
      </c>
      <c r="W3154" s="108" t="n">
        <v>46003</v>
      </c>
      <c r="X3154" s="4" t="inlineStr">
        <is>
          <t>BIN HUMAID NATIONAL TRADING CO</t>
        </is>
      </c>
    </row>
    <row r="3155" ht="24" customHeight="1">
      <c r="A3155" s="2">
        <f>+D3155-S3155</f>
        <v/>
      </c>
      <c r="B3155" s="80" t="n">
        <v>4747</v>
      </c>
      <c r="C3155" s="66" t="n">
        <v>45994</v>
      </c>
      <c r="D3155" s="2" t="n">
        <v>1</v>
      </c>
      <c r="E3155" s="3" t="inlineStr">
        <is>
          <t>FUCILE SEMIAUTOMATICO</t>
        </is>
      </c>
      <c r="F3155" s="3" t="inlineStr">
        <is>
          <t>22LR</t>
        </is>
      </c>
      <c r="G3155" s="3" t="inlineStr">
        <is>
          <t>CHIAPPA</t>
        </is>
      </c>
      <c r="H3155" s="65" t="inlineStr">
        <is>
          <t>RAK-22</t>
        </is>
      </c>
      <c r="I3155" s="65" t="inlineStr">
        <is>
          <t>CFIT25R13028</t>
        </is>
      </c>
      <c r="J3155" s="65" t="inlineStr">
        <is>
          <t>N/D</t>
        </is>
      </c>
      <c r="K3155" s="65" t="inlineStr">
        <is>
          <t>N/D</t>
        </is>
      </c>
      <c r="L3155" s="127" t="inlineStr">
        <is>
          <t>CHIAPPA FIREARMS SRL</t>
        </is>
      </c>
      <c r="M3155" s="5" t="n">
        <v>409.5</v>
      </c>
      <c r="N3155" s="5" t="n"/>
      <c r="O3155" s="5">
        <f>+M3155+N3155</f>
        <v/>
      </c>
      <c r="P3155" s="4" t="n">
        <v>45989</v>
      </c>
      <c r="Q3155" s="87" t="n">
        <v>45989</v>
      </c>
      <c r="R3155" s="5" t="n">
        <v>625</v>
      </c>
      <c r="S3155" s="2" t="n">
        <v>1</v>
      </c>
      <c r="T3155" s="3" t="inlineStr">
        <is>
          <t>6B/2025/7M</t>
        </is>
      </c>
      <c r="U3155" s="87" t="n">
        <v>46003</v>
      </c>
      <c r="V3155" s="3" t="inlineStr">
        <is>
          <t>35</t>
        </is>
      </c>
      <c r="W3155" s="108" t="n">
        <v>46003</v>
      </c>
      <c r="X3155" s="4" t="inlineStr">
        <is>
          <t>BIN HUMAID NATIONAL TRADING CO</t>
        </is>
      </c>
    </row>
    <row r="3156" ht="24" customHeight="1">
      <c r="A3156" s="2">
        <f>+D3156-S3156</f>
        <v/>
      </c>
      <c r="B3156" s="80" t="n">
        <v>4748</v>
      </c>
      <c r="C3156" s="66" t="n">
        <v>45994</v>
      </c>
      <c r="D3156" s="2" t="n">
        <v>1</v>
      </c>
      <c r="E3156" s="3" t="inlineStr">
        <is>
          <t>FUCILE SEMIAUTOMATICO</t>
        </is>
      </c>
      <c r="F3156" s="3" t="inlineStr">
        <is>
          <t>22LR</t>
        </is>
      </c>
      <c r="G3156" s="3" t="inlineStr">
        <is>
          <t>CHIAPPA</t>
        </is>
      </c>
      <c r="H3156" s="65" t="inlineStr">
        <is>
          <t>RAK-22</t>
        </is>
      </c>
      <c r="I3156" s="65" t="inlineStr">
        <is>
          <t>CFIT25R13029</t>
        </is>
      </c>
      <c r="J3156" s="65" t="inlineStr">
        <is>
          <t>N/D</t>
        </is>
      </c>
      <c r="K3156" s="65" t="inlineStr">
        <is>
          <t>N/D</t>
        </is>
      </c>
      <c r="L3156" s="127" t="inlineStr">
        <is>
          <t>CHIAPPA FIREARMS SRL</t>
        </is>
      </c>
      <c r="M3156" s="5" t="n">
        <v>409.5</v>
      </c>
      <c r="N3156" s="5" t="n"/>
      <c r="O3156" s="5">
        <f>+M3156+N3156</f>
        <v/>
      </c>
      <c r="P3156" s="4" t="n">
        <v>45989</v>
      </c>
      <c r="Q3156" s="87" t="n">
        <v>45989</v>
      </c>
      <c r="R3156" s="5" t="n">
        <v>625</v>
      </c>
      <c r="S3156" s="2" t="n">
        <v>1</v>
      </c>
      <c r="T3156" s="3" t="inlineStr">
        <is>
          <t>6B/2025/7M</t>
        </is>
      </c>
      <c r="U3156" s="87" t="n">
        <v>46003</v>
      </c>
      <c r="V3156" s="3" t="inlineStr">
        <is>
          <t>35</t>
        </is>
      </c>
      <c r="W3156" s="108" t="n">
        <v>46003</v>
      </c>
      <c r="X3156" s="4" t="inlineStr">
        <is>
          <t>BIN HUMAID NATIONAL TRADING CO</t>
        </is>
      </c>
    </row>
    <row r="3157" ht="24" customHeight="1">
      <c r="A3157" s="2">
        <f>+D3157-S3157</f>
        <v/>
      </c>
      <c r="B3157" s="80" t="n">
        <v>4749</v>
      </c>
      <c r="C3157" s="66" t="n">
        <v>45994</v>
      </c>
      <c r="D3157" s="2" t="n">
        <v>1</v>
      </c>
      <c r="E3157" s="3" t="inlineStr">
        <is>
          <t>FUCILE SEMIAUTOMATICO</t>
        </is>
      </c>
      <c r="F3157" s="3" t="inlineStr">
        <is>
          <t>22LR</t>
        </is>
      </c>
      <c r="G3157" s="3" t="inlineStr">
        <is>
          <t>CHIAPPA</t>
        </is>
      </c>
      <c r="H3157" s="65" t="inlineStr">
        <is>
          <t>RAK-22</t>
        </is>
      </c>
      <c r="I3157" s="65" t="inlineStr">
        <is>
          <t>CFIT25R13030</t>
        </is>
      </c>
      <c r="J3157" s="65" t="inlineStr">
        <is>
          <t>N/D</t>
        </is>
      </c>
      <c r="K3157" s="65" t="inlineStr">
        <is>
          <t>N/D</t>
        </is>
      </c>
      <c r="L3157" s="127" t="inlineStr">
        <is>
          <t>CHIAPPA FIREARMS SRL</t>
        </is>
      </c>
      <c r="M3157" s="5" t="n">
        <v>409.5</v>
      </c>
      <c r="N3157" s="5" t="n"/>
      <c r="O3157" s="5">
        <f>+M3157+N3157</f>
        <v/>
      </c>
      <c r="P3157" s="4" t="n">
        <v>45989</v>
      </c>
      <c r="Q3157" s="87" t="n">
        <v>45989</v>
      </c>
      <c r="R3157" s="5" t="n">
        <v>625</v>
      </c>
      <c r="S3157" s="2" t="n">
        <v>1</v>
      </c>
      <c r="T3157" s="3" t="inlineStr">
        <is>
          <t>6B/2025/7M</t>
        </is>
      </c>
      <c r="U3157" s="87" t="n">
        <v>46003</v>
      </c>
      <c r="V3157" s="3" t="inlineStr">
        <is>
          <t>35</t>
        </is>
      </c>
      <c r="W3157" s="108" t="n">
        <v>46003</v>
      </c>
      <c r="X3157" s="4" t="inlineStr">
        <is>
          <t>BIN HUMAID NATIONAL TRADING CO</t>
        </is>
      </c>
    </row>
    <row r="3158" ht="24" customHeight="1">
      <c r="A3158" s="2">
        <f>+D3158-S3158</f>
        <v/>
      </c>
      <c r="B3158" s="80" t="n">
        <v>4750</v>
      </c>
      <c r="C3158" s="66" t="n">
        <v>45994</v>
      </c>
      <c r="D3158" s="2" t="n">
        <v>1</v>
      </c>
      <c r="E3158" s="3" t="inlineStr">
        <is>
          <t>FUCILE SEMIAUTOMATICO</t>
        </is>
      </c>
      <c r="F3158" s="3" t="inlineStr">
        <is>
          <t>22LR</t>
        </is>
      </c>
      <c r="G3158" s="3" t="inlineStr">
        <is>
          <t>CHIAPPA</t>
        </is>
      </c>
      <c r="H3158" s="65" t="inlineStr">
        <is>
          <t>RAK-22</t>
        </is>
      </c>
      <c r="I3158" s="65" t="inlineStr">
        <is>
          <t>CFIT25R13031</t>
        </is>
      </c>
      <c r="J3158" s="65" t="inlineStr">
        <is>
          <t>N/D</t>
        </is>
      </c>
      <c r="K3158" s="65" t="inlineStr">
        <is>
          <t>N/D</t>
        </is>
      </c>
      <c r="L3158" s="127" t="inlineStr">
        <is>
          <t>CHIAPPA FIREARMS SRL</t>
        </is>
      </c>
      <c r="M3158" s="5" t="n">
        <v>409.5</v>
      </c>
      <c r="N3158" s="5" t="n"/>
      <c r="O3158" s="5">
        <f>+M3158+N3158</f>
        <v/>
      </c>
      <c r="P3158" s="4" t="n">
        <v>45989</v>
      </c>
      <c r="Q3158" s="87" t="n">
        <v>45989</v>
      </c>
      <c r="R3158" s="5" t="n">
        <v>625</v>
      </c>
      <c r="S3158" s="2" t="n">
        <v>1</v>
      </c>
      <c r="T3158" s="3" t="inlineStr">
        <is>
          <t>6B/2025/7M</t>
        </is>
      </c>
      <c r="U3158" s="87" t="n">
        <v>46003</v>
      </c>
      <c r="V3158" s="3" t="inlineStr">
        <is>
          <t>35</t>
        </is>
      </c>
      <c r="W3158" s="108" t="n">
        <v>46003</v>
      </c>
      <c r="X3158" s="4" t="inlineStr">
        <is>
          <t>BIN HUMAID NATIONAL TRADING CO</t>
        </is>
      </c>
    </row>
    <row r="3159" ht="24" customHeight="1">
      <c r="A3159" s="2">
        <f>+D3159-S3159</f>
        <v/>
      </c>
      <c r="B3159" s="80" t="n">
        <v>4751</v>
      </c>
      <c r="C3159" s="66" t="n">
        <v>45994</v>
      </c>
      <c r="D3159" s="2" t="n">
        <v>1</v>
      </c>
      <c r="E3159" s="3" t="inlineStr">
        <is>
          <t>FUCILE SEMIAUTOMATICO</t>
        </is>
      </c>
      <c r="F3159" s="3" t="inlineStr">
        <is>
          <t>22LR</t>
        </is>
      </c>
      <c r="G3159" s="3" t="inlineStr">
        <is>
          <t>CHIAPPA</t>
        </is>
      </c>
      <c r="H3159" s="65" t="inlineStr">
        <is>
          <t>RAK-22</t>
        </is>
      </c>
      <c r="I3159" s="65" t="inlineStr">
        <is>
          <t>CFIT25R13032</t>
        </is>
      </c>
      <c r="J3159" s="65" t="inlineStr">
        <is>
          <t>N/D</t>
        </is>
      </c>
      <c r="K3159" s="65" t="inlineStr">
        <is>
          <t>N/D</t>
        </is>
      </c>
      <c r="L3159" s="127" t="inlineStr">
        <is>
          <t>CHIAPPA FIREARMS SRL</t>
        </is>
      </c>
      <c r="M3159" s="5" t="n">
        <v>409.5</v>
      </c>
      <c r="N3159" s="5" t="n"/>
      <c r="O3159" s="5">
        <f>+M3159+N3159</f>
        <v/>
      </c>
      <c r="P3159" s="4" t="n">
        <v>45989</v>
      </c>
      <c r="Q3159" s="87" t="n">
        <v>45989</v>
      </c>
      <c r="R3159" s="5" t="n">
        <v>625</v>
      </c>
      <c r="S3159" s="2" t="n">
        <v>1</v>
      </c>
      <c r="T3159" s="3" t="inlineStr">
        <is>
          <t>6B/2025/7M</t>
        </is>
      </c>
      <c r="U3159" s="87" t="n">
        <v>46003</v>
      </c>
      <c r="V3159" s="3" t="inlineStr">
        <is>
          <t>35</t>
        </is>
      </c>
      <c r="W3159" s="108" t="n">
        <v>46003</v>
      </c>
      <c r="X3159" s="4" t="inlineStr">
        <is>
          <t>BIN HUMAID NATIONAL TRADING CO</t>
        </is>
      </c>
    </row>
    <row r="3160" ht="24" customHeight="1">
      <c r="A3160" s="2">
        <f>+D3160-S3160</f>
        <v/>
      </c>
      <c r="B3160" s="80" t="n"/>
      <c r="C3160" s="66" t="n">
        <v>45994</v>
      </c>
      <c r="D3160" s="2" t="n">
        <v>100</v>
      </c>
      <c r="E3160" s="3" t="inlineStr">
        <is>
          <t>ACCESSORI</t>
        </is>
      </c>
      <c r="F3160" s="3" t="inlineStr">
        <is>
          <t>N/A</t>
        </is>
      </c>
      <c r="G3160" s="3" t="inlineStr">
        <is>
          <t>CHIAPPA</t>
        </is>
      </c>
      <c r="H3160" s="65" t="inlineStr">
        <is>
          <t>TUBO IN CARBONIO LB ADAMANTIUM</t>
        </is>
      </c>
      <c r="I3160" s="65" t="inlineStr">
        <is>
          <t>N/D</t>
        </is>
      </c>
      <c r="J3160" s="65" t="inlineStr">
        <is>
          <t>N/D</t>
        </is>
      </c>
      <c r="K3160" s="65" t="inlineStr">
        <is>
          <t>N/D</t>
        </is>
      </c>
      <c r="L3160" s="127" t="inlineStr">
        <is>
          <t>CHIAPPA FIREARMS SRL</t>
        </is>
      </c>
      <c r="M3160" s="5" t="n">
        <v>0</v>
      </c>
      <c r="N3160" s="5" t="n"/>
      <c r="O3160" s="5">
        <f>+M3160+N3160</f>
        <v/>
      </c>
      <c r="P3160" s="4" t="n">
        <v>45989</v>
      </c>
      <c r="Q3160" s="87" t="n">
        <v>45989</v>
      </c>
      <c r="R3160" s="5" t="n"/>
      <c r="S3160" s="2" t="n"/>
      <c r="T3160" s="3" t="n"/>
      <c r="U3160" s="87" t="n"/>
      <c r="V3160" s="3" t="n"/>
      <c r="W3160" s="108" t="n"/>
      <c r="X3160" s="4" t="n"/>
    </row>
    <row r="3161" ht="24" customHeight="1">
      <c r="A3161" s="2">
        <f>+D3161-S3161</f>
        <v/>
      </c>
      <c r="B3161" s="80" t="n"/>
      <c r="C3161" s="66" t="n">
        <v>45994</v>
      </c>
      <c r="D3161" s="2" t="n">
        <v>100</v>
      </c>
      <c r="E3161" s="3" t="inlineStr">
        <is>
          <t>ACCESSORI</t>
        </is>
      </c>
      <c r="F3161" s="3" t="inlineStr">
        <is>
          <t>N/A</t>
        </is>
      </c>
      <c r="G3161" s="3" t="inlineStr">
        <is>
          <t>CHIAPPA</t>
        </is>
      </c>
      <c r="H3161" s="65" t="inlineStr">
        <is>
          <t>GHIERA ANTERIORE LB ADAMANTIUM</t>
        </is>
      </c>
      <c r="I3161" s="65" t="inlineStr">
        <is>
          <t>N/D</t>
        </is>
      </c>
      <c r="J3161" s="65" t="inlineStr">
        <is>
          <t>N/D</t>
        </is>
      </c>
      <c r="K3161" s="65" t="inlineStr">
        <is>
          <t>N/D</t>
        </is>
      </c>
      <c r="L3161" s="127" t="inlineStr">
        <is>
          <t>CHIAPPA FIREARMS SRL</t>
        </is>
      </c>
      <c r="M3161" s="5" t="n">
        <v>0</v>
      </c>
      <c r="N3161" s="5" t="n"/>
      <c r="O3161" s="5">
        <f>+M3161+N3161</f>
        <v/>
      </c>
      <c r="P3161" s="4" t="n">
        <v>45989</v>
      </c>
      <c r="Q3161" s="87" t="n">
        <v>45989</v>
      </c>
      <c r="R3161" s="5" t="n"/>
      <c r="S3161" s="2" t="n"/>
      <c r="T3161" s="3" t="n"/>
      <c r="U3161" s="87" t="n"/>
      <c r="V3161" s="3" t="n"/>
      <c r="W3161" s="108" t="n"/>
      <c r="X3161" s="4" t="n"/>
    </row>
    <row r="3162" ht="24" customHeight="1">
      <c r="A3162" s="2">
        <f>+D3162-S3162</f>
        <v/>
      </c>
      <c r="B3162" s="80" t="n">
        <v>4752</v>
      </c>
      <c r="C3162" s="66" t="n">
        <v>45994</v>
      </c>
      <c r="D3162" s="2" t="n">
        <v>1</v>
      </c>
      <c r="E3162" s="3" t="inlineStr">
        <is>
          <t>FUCILE SEMIAUTOMATICO</t>
        </is>
      </c>
      <c r="F3162" s="3" t="n">
        <v>12</v>
      </c>
      <c r="G3162" s="3" t="inlineStr">
        <is>
          <t>FRANCHI</t>
        </is>
      </c>
      <c r="H3162" s="65" t="inlineStr">
        <is>
          <t>N/A</t>
        </is>
      </c>
      <c r="I3162" s="65" t="inlineStr">
        <is>
          <t>01556A</t>
        </is>
      </c>
      <c r="J3162" s="65" t="inlineStr">
        <is>
          <t>ZNF4055</t>
        </is>
      </c>
      <c r="K3162" s="65" t="inlineStr">
        <is>
          <t>N/D</t>
        </is>
      </c>
      <c r="L3162" s="127" t="inlineStr">
        <is>
          <t>Eredi Safari Sport Severi Gino di Armilli M. Teresa.</t>
        </is>
      </c>
      <c r="M3162" s="5" t="n">
        <v>100</v>
      </c>
      <c r="N3162" s="5" t="n"/>
      <c r="O3162" s="5">
        <f>+M3162+N3162</f>
        <v/>
      </c>
      <c r="P3162" s="4" t="n"/>
      <c r="Q3162" s="87" t="n"/>
      <c r="R3162" s="5" t="n">
        <v>124.04</v>
      </c>
      <c r="S3162" s="2" t="n">
        <v>1</v>
      </c>
      <c r="T3162" s="3" t="inlineStr">
        <is>
          <t>CA42796IR</t>
        </is>
      </c>
      <c r="U3162" s="87" t="n">
        <v>46097</v>
      </c>
      <c r="V3162" s="3" t="inlineStr">
        <is>
          <t>4</t>
        </is>
      </c>
      <c r="W3162" s="108" t="n">
        <v>46097</v>
      </c>
      <c r="X3162" s="4" t="inlineStr">
        <is>
          <t>PHILIPPOS  CONSTANTINIDES
TRADING CO.LTD</t>
        </is>
      </c>
    </row>
    <row r="3163" ht="24" customHeight="1">
      <c r="A3163" s="2">
        <f>+D3163-S3163</f>
        <v/>
      </c>
      <c r="B3163" s="80" t="n">
        <v>4753</v>
      </c>
      <c r="C3163" s="66" t="n">
        <v>45994</v>
      </c>
      <c r="D3163" s="2" t="n">
        <v>1</v>
      </c>
      <c r="E3163" s="3" t="inlineStr">
        <is>
          <t>FUCILE DOPPIETTA</t>
        </is>
      </c>
      <c r="F3163" s="3" t="n">
        <v>12</v>
      </c>
      <c r="G3163" s="3" t="inlineStr">
        <is>
          <t>RIZZINI</t>
        </is>
      </c>
      <c r="H3163" s="65" t="inlineStr">
        <is>
          <t>N/A</t>
        </is>
      </c>
      <c r="I3163" s="65" t="inlineStr">
        <is>
          <t>1513</t>
        </is>
      </c>
      <c r="J3163" s="65" t="inlineStr">
        <is>
          <t>N/A</t>
        </is>
      </c>
      <c r="K3163" s="65" t="inlineStr">
        <is>
          <t>N/D</t>
        </is>
      </c>
      <c r="L3163" s="127" t="inlineStr">
        <is>
          <t>Eredi Safari Sport Severi Gino di Armilli M. Teresa.</t>
        </is>
      </c>
      <c r="M3163" s="5" t="n">
        <v>100</v>
      </c>
      <c r="N3163" s="5" t="n"/>
      <c r="O3163" s="5">
        <f>+M3163+N3163</f>
        <v/>
      </c>
      <c r="P3163" s="4" t="n"/>
      <c r="Q3163" s="87" t="n"/>
      <c r="R3163" s="5" t="n">
        <v>124.04</v>
      </c>
      <c r="S3163" s="2" t="n">
        <v>1</v>
      </c>
      <c r="T3163" s="3" t="inlineStr">
        <is>
          <t>CA42796IR</t>
        </is>
      </c>
      <c r="U3163" s="87" t="n">
        <v>46097</v>
      </c>
      <c r="V3163" s="3" t="inlineStr">
        <is>
          <t>4</t>
        </is>
      </c>
      <c r="W3163" s="108" t="n">
        <v>46097</v>
      </c>
      <c r="X3163" s="4" t="inlineStr">
        <is>
          <t>PHILIPPOS  CONSTANTINIDES
TRADING CO.LTD</t>
        </is>
      </c>
    </row>
    <row r="3164" ht="24" customHeight="1">
      <c r="A3164" s="2">
        <f>+D3164-S3164</f>
        <v/>
      </c>
      <c r="B3164" s="80" t="n">
        <v>4754</v>
      </c>
      <c r="C3164" s="66" t="n">
        <v>45994</v>
      </c>
      <c r="D3164" s="2" t="n">
        <v>1</v>
      </c>
      <c r="E3164" s="3" t="inlineStr">
        <is>
          <t>FUCILE DOPPIETTA</t>
        </is>
      </c>
      <c r="F3164" s="3" t="n">
        <v>12</v>
      </c>
      <c r="G3164" s="3" t="inlineStr">
        <is>
          <t>PURDEY</t>
        </is>
      </c>
      <c r="H3164" s="65" t="inlineStr">
        <is>
          <t>N/A</t>
        </is>
      </c>
      <c r="I3164" s="65" t="inlineStr">
        <is>
          <t>8242</t>
        </is>
      </c>
      <c r="J3164" s="65" t="inlineStr">
        <is>
          <t>N/A</t>
        </is>
      </c>
      <c r="K3164" s="65" t="inlineStr">
        <is>
          <t>N/D</t>
        </is>
      </c>
      <c r="L3164" s="127" t="inlineStr">
        <is>
          <t>Eredi Safari Sport Severi Gino di Armilli M. Teresa.</t>
        </is>
      </c>
      <c r="M3164" s="5" t="n">
        <v>100</v>
      </c>
      <c r="N3164" s="5" t="n"/>
      <c r="O3164" s="5">
        <f>+M3164+N3164</f>
        <v/>
      </c>
      <c r="P3164" s="4" t="n"/>
      <c r="Q3164" s="87" t="n"/>
      <c r="R3164" s="5" t="n">
        <v>124.04</v>
      </c>
      <c r="S3164" s="2" t="n">
        <v>1</v>
      </c>
      <c r="T3164" s="3" t="inlineStr">
        <is>
          <t>CA42796IR</t>
        </is>
      </c>
      <c r="U3164" s="87" t="n">
        <v>46097</v>
      </c>
      <c r="V3164" s="3" t="inlineStr">
        <is>
          <t>4</t>
        </is>
      </c>
      <c r="W3164" s="108" t="n">
        <v>46097</v>
      </c>
      <c r="X3164" s="4" t="inlineStr">
        <is>
          <t>PHILIPPOS  CONSTANTINIDES
TRADING CO.LTD</t>
        </is>
      </c>
    </row>
    <row r="3165" ht="24" customHeight="1">
      <c r="A3165" s="2">
        <f>+D3165-S3165</f>
        <v/>
      </c>
      <c r="B3165" s="80" t="n">
        <v>4755</v>
      </c>
      <c r="C3165" s="66" t="n">
        <v>45994</v>
      </c>
      <c r="D3165" s="2" t="n">
        <v>1</v>
      </c>
      <c r="E3165" s="3" t="inlineStr">
        <is>
          <t>FUCILE SOVRAPPOSTO</t>
        </is>
      </c>
      <c r="F3165" s="3" t="n">
        <v>12</v>
      </c>
      <c r="G3165" s="3" t="inlineStr">
        <is>
          <t>BERETTA</t>
        </is>
      </c>
      <c r="H3165" s="65" t="inlineStr">
        <is>
          <t>N/A</t>
        </is>
      </c>
      <c r="I3165" s="65" t="inlineStr">
        <is>
          <t>20215</t>
        </is>
      </c>
      <c r="J3165" s="65" t="inlineStr">
        <is>
          <t>N/A</t>
        </is>
      </c>
      <c r="K3165" s="65" t="inlineStr">
        <is>
          <t>N/D</t>
        </is>
      </c>
      <c r="L3165" s="127" t="inlineStr">
        <is>
          <t>Eredi Safari Sport Severi Gino di Armilli M. Teresa.</t>
        </is>
      </c>
      <c r="M3165" s="5" t="n">
        <v>100</v>
      </c>
      <c r="N3165" s="5" t="n"/>
      <c r="O3165" s="5">
        <f>+M3165+N3165</f>
        <v/>
      </c>
      <c r="P3165" s="4" t="n"/>
      <c r="Q3165" s="87" t="n"/>
      <c r="R3165" s="5" t="n">
        <v>124.04</v>
      </c>
      <c r="S3165" s="2" t="n">
        <v>1</v>
      </c>
      <c r="T3165" s="3" t="inlineStr">
        <is>
          <t>CA42796IR</t>
        </is>
      </c>
      <c r="U3165" s="87" t="n">
        <v>46097</v>
      </c>
      <c r="V3165" s="3" t="inlineStr">
        <is>
          <t>4</t>
        </is>
      </c>
      <c r="W3165" s="108" t="n">
        <v>46097</v>
      </c>
      <c r="X3165" s="4" t="inlineStr">
        <is>
          <t>PHILIPPOS  CONSTANTINIDES
TRADING CO.LTD</t>
        </is>
      </c>
    </row>
    <row r="3166" ht="24" customHeight="1">
      <c r="A3166" s="2">
        <f>+D3166-S3166</f>
        <v/>
      </c>
      <c r="B3166" s="80" t="n">
        <v>4756</v>
      </c>
      <c r="C3166" s="66" t="n">
        <v>45994</v>
      </c>
      <c r="D3166" s="2" t="n">
        <v>1</v>
      </c>
      <c r="E3166" s="3" t="inlineStr">
        <is>
          <t>FUCILE SOVRAPPOSTO</t>
        </is>
      </c>
      <c r="F3166" s="3" t="n">
        <v>12</v>
      </c>
      <c r="G3166" s="3" t="inlineStr">
        <is>
          <t>BERETTA</t>
        </is>
      </c>
      <c r="H3166" s="65" t="inlineStr">
        <is>
          <t>N/A</t>
        </is>
      </c>
      <c r="I3166" s="65" t="inlineStr">
        <is>
          <t>M31207B</t>
        </is>
      </c>
      <c r="J3166" s="65" t="inlineStr">
        <is>
          <t>N/A</t>
        </is>
      </c>
      <c r="K3166" s="65" t="inlineStr">
        <is>
          <t>N/D</t>
        </is>
      </c>
      <c r="L3166" s="127" t="inlineStr">
        <is>
          <t>Eredi Safari Sport Severi Gino di Armilli M. Teresa.</t>
        </is>
      </c>
      <c r="M3166" s="5" t="n">
        <v>100</v>
      </c>
      <c r="N3166" s="5" t="n"/>
      <c r="O3166" s="5">
        <f>+M3166+N3166</f>
        <v/>
      </c>
      <c r="P3166" s="4" t="n"/>
      <c r="Q3166" s="87" t="n"/>
      <c r="R3166" s="5" t="n">
        <v>124.04</v>
      </c>
      <c r="S3166" s="2" t="n">
        <v>1</v>
      </c>
      <c r="T3166" s="3" t="inlineStr">
        <is>
          <t>CA42796IR</t>
        </is>
      </c>
      <c r="U3166" s="87" t="n">
        <v>46097</v>
      </c>
      <c r="V3166" s="3" t="inlineStr">
        <is>
          <t>4</t>
        </is>
      </c>
      <c r="W3166" s="108" t="n">
        <v>46097</v>
      </c>
      <c r="X3166" s="4" t="inlineStr">
        <is>
          <t>PHILIPPOS  CONSTANTINIDES
TRADING CO.LTD</t>
        </is>
      </c>
    </row>
    <row r="3167" ht="24" customHeight="1">
      <c r="A3167" s="2">
        <f>+D3167-S3167</f>
        <v/>
      </c>
      <c r="B3167" s="80" t="n">
        <v>4757</v>
      </c>
      <c r="C3167" s="66" t="n">
        <v>45994</v>
      </c>
      <c r="D3167" s="2" t="n">
        <v>1</v>
      </c>
      <c r="E3167" s="3" t="inlineStr">
        <is>
          <t>FUCILE SOVRAPPOSTO</t>
        </is>
      </c>
      <c r="F3167" s="3" t="n">
        <v>12</v>
      </c>
      <c r="G3167" s="3" t="inlineStr">
        <is>
          <t>BERETTA</t>
        </is>
      </c>
      <c r="H3167" s="65" t="inlineStr">
        <is>
          <t>N/A</t>
        </is>
      </c>
      <c r="I3167" s="65" t="inlineStr">
        <is>
          <t>A03425B</t>
        </is>
      </c>
      <c r="J3167" s="65" t="inlineStr">
        <is>
          <t>N/A</t>
        </is>
      </c>
      <c r="K3167" s="65" t="inlineStr">
        <is>
          <t>N/D</t>
        </is>
      </c>
      <c r="L3167" s="127" t="inlineStr">
        <is>
          <t>Eredi Safari Sport Severi Gino di Armilli M. Teresa.</t>
        </is>
      </c>
      <c r="M3167" s="5" t="n">
        <v>100</v>
      </c>
      <c r="N3167" s="5" t="n"/>
      <c r="O3167" s="5">
        <f>+M3167+N3167</f>
        <v/>
      </c>
      <c r="P3167" s="4" t="n"/>
      <c r="Q3167" s="87" t="n"/>
      <c r="R3167" s="5" t="n">
        <v>124.04</v>
      </c>
      <c r="S3167" s="2" t="n">
        <v>1</v>
      </c>
      <c r="T3167" s="3" t="inlineStr">
        <is>
          <t>CA42796IR</t>
        </is>
      </c>
      <c r="U3167" s="87" t="n">
        <v>46097</v>
      </c>
      <c r="V3167" s="3" t="inlineStr">
        <is>
          <t>4</t>
        </is>
      </c>
      <c r="W3167" s="108" t="n">
        <v>46097</v>
      </c>
      <c r="X3167" s="4" t="inlineStr">
        <is>
          <t>PHILIPPOS  CONSTANTINIDES
TRADING CO.LTD</t>
        </is>
      </c>
    </row>
    <row r="3168" ht="24" customHeight="1">
      <c r="A3168" s="2">
        <f>+D3168-S3168</f>
        <v/>
      </c>
      <c r="B3168" s="80" t="n">
        <v>4758</v>
      </c>
      <c r="C3168" s="66" t="n">
        <v>45994</v>
      </c>
      <c r="D3168" s="2" t="n">
        <v>1</v>
      </c>
      <c r="E3168" s="3" t="inlineStr">
        <is>
          <t>FUCILE SOVRAPPOSTO</t>
        </is>
      </c>
      <c r="F3168" s="3" t="n">
        <v>12</v>
      </c>
      <c r="G3168" s="3" t="inlineStr">
        <is>
          <t>BERETTA</t>
        </is>
      </c>
      <c r="H3168" s="65" t="inlineStr">
        <is>
          <t>N/A</t>
        </is>
      </c>
      <c r="I3168" s="65" t="inlineStr">
        <is>
          <t>38677</t>
        </is>
      </c>
      <c r="J3168" s="65" t="inlineStr">
        <is>
          <t>N/A</t>
        </is>
      </c>
      <c r="K3168" s="65" t="inlineStr">
        <is>
          <t>N/D</t>
        </is>
      </c>
      <c r="L3168" s="127" t="inlineStr">
        <is>
          <t>Eredi Safari Sport Severi Gino di Armilli M. Teresa.</t>
        </is>
      </c>
      <c r="M3168" s="5" t="n">
        <v>100</v>
      </c>
      <c r="N3168" s="5" t="n"/>
      <c r="O3168" s="5">
        <f>+M3168+N3168</f>
        <v/>
      </c>
      <c r="P3168" s="4" t="n"/>
      <c r="Q3168" s="87" t="n"/>
      <c r="R3168" s="5" t="n">
        <v>124.04</v>
      </c>
      <c r="S3168" s="2" t="n">
        <v>1</v>
      </c>
      <c r="T3168" s="3" t="inlineStr">
        <is>
          <t>CA42796IR</t>
        </is>
      </c>
      <c r="U3168" s="87" t="n">
        <v>46097</v>
      </c>
      <c r="V3168" s="3" t="inlineStr">
        <is>
          <t>4</t>
        </is>
      </c>
      <c r="W3168" s="108" t="n">
        <v>46097</v>
      </c>
      <c r="X3168" s="4" t="inlineStr">
        <is>
          <t>PHILIPPOS  CONSTANTINIDES
TRADING CO.LTD</t>
        </is>
      </c>
    </row>
    <row r="3169" ht="24" customHeight="1">
      <c r="A3169" s="2">
        <f>+D3169-S3169</f>
        <v/>
      </c>
      <c r="B3169" s="80" t="n">
        <v>4759</v>
      </c>
      <c r="C3169" s="66" t="n">
        <v>45994</v>
      </c>
      <c r="D3169" s="2" t="n">
        <v>1</v>
      </c>
      <c r="E3169" s="3" t="inlineStr">
        <is>
          <t>FUCILE SOVRAPPOSTO</t>
        </is>
      </c>
      <c r="F3169" s="3" t="n">
        <v>12</v>
      </c>
      <c r="G3169" s="3" t="inlineStr">
        <is>
          <t>BERETTA</t>
        </is>
      </c>
      <c r="H3169" s="65" t="inlineStr">
        <is>
          <t>N/A</t>
        </is>
      </c>
      <c r="I3169" s="65" t="inlineStr">
        <is>
          <t>11124</t>
        </is>
      </c>
      <c r="J3169" s="65" t="inlineStr">
        <is>
          <t>N/A</t>
        </is>
      </c>
      <c r="K3169" s="65" t="inlineStr">
        <is>
          <t>N/D</t>
        </is>
      </c>
      <c r="L3169" s="127" t="inlineStr">
        <is>
          <t>Eredi Safari Sport Severi Gino di Armilli M. Teresa.</t>
        </is>
      </c>
      <c r="M3169" s="5" t="n">
        <v>100</v>
      </c>
      <c r="N3169" s="5" t="n"/>
      <c r="O3169" s="5">
        <f>+M3169+N3169</f>
        <v/>
      </c>
      <c r="P3169" s="4" t="n"/>
      <c r="Q3169" s="87" t="n"/>
      <c r="R3169" s="5" t="n">
        <v>124.04</v>
      </c>
      <c r="S3169" s="2" t="n">
        <v>1</v>
      </c>
      <c r="T3169" s="3" t="inlineStr">
        <is>
          <t>CA42796IR</t>
        </is>
      </c>
      <c r="U3169" s="87" t="n">
        <v>46097</v>
      </c>
      <c r="V3169" s="3" t="inlineStr">
        <is>
          <t>4</t>
        </is>
      </c>
      <c r="W3169" s="108" t="n">
        <v>46097</v>
      </c>
      <c r="X3169" s="4" t="inlineStr">
        <is>
          <t>PHILIPPOS  CONSTANTINIDES
TRADING CO.LTD</t>
        </is>
      </c>
    </row>
    <row r="3170" ht="24" customHeight="1">
      <c r="A3170" s="2">
        <f>+D3170-S3170</f>
        <v/>
      </c>
      <c r="B3170" s="80" t="n">
        <v>4760</v>
      </c>
      <c r="C3170" s="66" t="n">
        <v>45994</v>
      </c>
      <c r="D3170" s="2" t="n">
        <v>1</v>
      </c>
      <c r="E3170" s="3" t="inlineStr">
        <is>
          <t>FUCILE SOVRAPPOSTO</t>
        </is>
      </c>
      <c r="F3170" s="3" t="n">
        <v>12</v>
      </c>
      <c r="G3170" s="3" t="inlineStr">
        <is>
          <t>BERETTA</t>
        </is>
      </c>
      <c r="H3170" s="65" t="inlineStr">
        <is>
          <t>N/A</t>
        </is>
      </c>
      <c r="I3170" s="65" t="inlineStr">
        <is>
          <t>17569</t>
        </is>
      </c>
      <c r="J3170" s="65" t="inlineStr">
        <is>
          <t>N/A</t>
        </is>
      </c>
      <c r="K3170" s="65" t="inlineStr">
        <is>
          <t>N/D</t>
        </is>
      </c>
      <c r="L3170" s="127" t="inlineStr">
        <is>
          <t>Eredi Safari Sport Severi Gino di Armilli M. Teresa.</t>
        </is>
      </c>
      <c r="M3170" s="5" t="n">
        <v>100</v>
      </c>
      <c r="N3170" s="5" t="n"/>
      <c r="O3170" s="5">
        <f>+M3170+N3170</f>
        <v/>
      </c>
      <c r="P3170" s="4" t="n"/>
      <c r="Q3170" s="87" t="n"/>
      <c r="R3170" s="5" t="n">
        <v>124.04</v>
      </c>
      <c r="S3170" s="2" t="n">
        <v>1</v>
      </c>
      <c r="T3170" s="3" t="inlineStr">
        <is>
          <t>CA42796IR</t>
        </is>
      </c>
      <c r="U3170" s="87" t="n">
        <v>46097</v>
      </c>
      <c r="V3170" s="3" t="inlineStr">
        <is>
          <t>4</t>
        </is>
      </c>
      <c r="W3170" s="108" t="n">
        <v>46097</v>
      </c>
      <c r="X3170" s="4" t="inlineStr">
        <is>
          <t>PHILIPPOS  CONSTANTINIDES
TRADING CO.LTD</t>
        </is>
      </c>
    </row>
    <row r="3171" ht="24" customHeight="1">
      <c r="A3171" s="2">
        <f>+D3171-S3171</f>
        <v/>
      </c>
      <c r="B3171" s="80" t="n">
        <v>4761</v>
      </c>
      <c r="C3171" s="66" t="n">
        <v>45994</v>
      </c>
      <c r="D3171" s="2" t="n">
        <v>1</v>
      </c>
      <c r="E3171" s="3" t="inlineStr">
        <is>
          <t>FUCILE SOVRAPPOSTO</t>
        </is>
      </c>
      <c r="F3171" s="3" t="n">
        <v>12</v>
      </c>
      <c r="G3171" s="3" t="inlineStr">
        <is>
          <t>BERETTA</t>
        </is>
      </c>
      <c r="H3171" s="65" t="inlineStr">
        <is>
          <t>N/A</t>
        </is>
      </c>
      <c r="I3171" s="65" t="inlineStr">
        <is>
          <t>6286</t>
        </is>
      </c>
      <c r="J3171" s="65" t="inlineStr">
        <is>
          <t>N/A</t>
        </is>
      </c>
      <c r="K3171" s="65" t="inlineStr">
        <is>
          <t>N/D</t>
        </is>
      </c>
      <c r="L3171" s="127" t="inlineStr">
        <is>
          <t>Eredi Safari Sport Severi Gino di Armilli M. Teresa.</t>
        </is>
      </c>
      <c r="M3171" s="5" t="n">
        <v>100</v>
      </c>
      <c r="N3171" s="5" t="n"/>
      <c r="O3171" s="5">
        <f>+M3171+N3171</f>
        <v/>
      </c>
      <c r="P3171" s="4" t="n"/>
      <c r="Q3171" s="87" t="n"/>
      <c r="R3171" s="5" t="n">
        <v>124.04</v>
      </c>
      <c r="S3171" s="2" t="n">
        <v>1</v>
      </c>
      <c r="T3171" s="3" t="inlineStr">
        <is>
          <t>CA42796IR</t>
        </is>
      </c>
      <c r="U3171" s="87" t="n">
        <v>46097</v>
      </c>
      <c r="V3171" s="3" t="inlineStr">
        <is>
          <t>4</t>
        </is>
      </c>
      <c r="W3171" s="108" t="n">
        <v>46097</v>
      </c>
      <c r="X3171" s="4" t="inlineStr">
        <is>
          <t>PHILIPPOS  CONSTANTINIDES
TRADING CO.LTD</t>
        </is>
      </c>
    </row>
    <row r="3172" ht="24" customHeight="1">
      <c r="A3172" s="2">
        <f>+D3172-S3172</f>
        <v/>
      </c>
      <c r="B3172" s="80" t="n">
        <v>4762</v>
      </c>
      <c r="C3172" s="66" t="n">
        <v>45994</v>
      </c>
      <c r="D3172" s="2" t="n">
        <v>1</v>
      </c>
      <c r="E3172" s="3" t="inlineStr">
        <is>
          <t>FUCILE SOVRAPPOSTO</t>
        </is>
      </c>
      <c r="F3172" s="3" t="n">
        <v>12</v>
      </c>
      <c r="G3172" s="3" t="inlineStr">
        <is>
          <t>BERETTA</t>
        </is>
      </c>
      <c r="H3172" s="65" t="inlineStr">
        <is>
          <t>N/A</t>
        </is>
      </c>
      <c r="I3172" s="65" t="inlineStr">
        <is>
          <t>15342</t>
        </is>
      </c>
      <c r="J3172" s="65" t="inlineStr">
        <is>
          <t>N/A</t>
        </is>
      </c>
      <c r="K3172" s="65" t="inlineStr">
        <is>
          <t>N/D</t>
        </is>
      </c>
      <c r="L3172" s="127" t="inlineStr">
        <is>
          <t>Eredi Safari Sport Severi Gino di Armilli M. Teresa.</t>
        </is>
      </c>
      <c r="M3172" s="5" t="n">
        <v>100</v>
      </c>
      <c r="N3172" s="5" t="n"/>
      <c r="O3172" s="5">
        <f>+M3172+N3172</f>
        <v/>
      </c>
      <c r="P3172" s="4" t="n"/>
      <c r="Q3172" s="87" t="n"/>
      <c r="R3172" s="5" t="n">
        <v>124.04</v>
      </c>
      <c r="S3172" s="2" t="n">
        <v>1</v>
      </c>
      <c r="T3172" s="3" t="inlineStr">
        <is>
          <t>CA42796IR</t>
        </is>
      </c>
      <c r="U3172" s="87" t="n">
        <v>46097</v>
      </c>
      <c r="V3172" s="3" t="inlineStr">
        <is>
          <t>4</t>
        </is>
      </c>
      <c r="W3172" s="108" t="n">
        <v>46097</v>
      </c>
      <c r="X3172" s="4" t="inlineStr">
        <is>
          <t>PHILIPPOS  CONSTANTINIDES
TRADING CO.LTD</t>
        </is>
      </c>
    </row>
    <row r="3173" ht="24" customHeight="1">
      <c r="A3173" s="2">
        <f>+D3173-S3173</f>
        <v/>
      </c>
      <c r="B3173" s="80" t="n">
        <v>4763</v>
      </c>
      <c r="C3173" s="66" t="n">
        <v>45994</v>
      </c>
      <c r="D3173" s="2" t="n">
        <v>1</v>
      </c>
      <c r="E3173" s="3" t="inlineStr">
        <is>
          <t>FUCILE SOVRAPPOSTO</t>
        </is>
      </c>
      <c r="F3173" s="3" t="n">
        <v>12</v>
      </c>
      <c r="G3173" s="3" t="inlineStr">
        <is>
          <t>BERETTA</t>
        </is>
      </c>
      <c r="H3173" s="65" t="inlineStr">
        <is>
          <t>N/A</t>
        </is>
      </c>
      <c r="I3173" s="65" t="inlineStr">
        <is>
          <t>12555</t>
        </is>
      </c>
      <c r="J3173" s="65" t="inlineStr">
        <is>
          <t>N/A</t>
        </is>
      </c>
      <c r="K3173" s="65" t="inlineStr">
        <is>
          <t>N/D</t>
        </is>
      </c>
      <c r="L3173" s="127" t="inlineStr">
        <is>
          <t>Eredi Safari Sport Severi Gino di Armilli M. Teresa.</t>
        </is>
      </c>
      <c r="M3173" s="5" t="n">
        <v>100</v>
      </c>
      <c r="N3173" s="5" t="n"/>
      <c r="O3173" s="5">
        <f>+M3173+N3173</f>
        <v/>
      </c>
      <c r="P3173" s="4" t="n"/>
      <c r="Q3173" s="87" t="n"/>
      <c r="R3173" s="5" t="n">
        <v>124.04</v>
      </c>
      <c r="S3173" s="2" t="n">
        <v>1</v>
      </c>
      <c r="T3173" s="3" t="inlineStr">
        <is>
          <t>CA42796IR</t>
        </is>
      </c>
      <c r="U3173" s="87" t="n">
        <v>46097</v>
      </c>
      <c r="V3173" s="3" t="inlineStr">
        <is>
          <t>4</t>
        </is>
      </c>
      <c r="W3173" s="108" t="n">
        <v>46097</v>
      </c>
      <c r="X3173" s="4" t="inlineStr">
        <is>
          <t>PHILIPPOS  CONSTANTINIDES
TRADING CO.LTD</t>
        </is>
      </c>
    </row>
    <row r="3174" ht="24" customHeight="1">
      <c r="A3174" s="2">
        <f>+D3174-S3174</f>
        <v/>
      </c>
      <c r="B3174" s="80" t="n">
        <v>4764</v>
      </c>
      <c r="C3174" s="66" t="n">
        <v>45994</v>
      </c>
      <c r="D3174" s="2" t="n">
        <v>1</v>
      </c>
      <c r="E3174" s="3" t="inlineStr">
        <is>
          <t>FUCILE SOVRAPPOSTO</t>
        </is>
      </c>
      <c r="F3174" s="3" t="n">
        <v>12</v>
      </c>
      <c r="G3174" s="3" t="inlineStr">
        <is>
          <t>BERETTA</t>
        </is>
      </c>
      <c r="H3174" s="65" t="inlineStr">
        <is>
          <t>N/A</t>
        </is>
      </c>
      <c r="I3174" s="65" t="inlineStr">
        <is>
          <t>30310</t>
        </is>
      </c>
      <c r="J3174" s="65" t="inlineStr">
        <is>
          <t>N/A</t>
        </is>
      </c>
      <c r="K3174" s="65" t="inlineStr">
        <is>
          <t>N/D</t>
        </is>
      </c>
      <c r="L3174" s="127" t="inlineStr">
        <is>
          <t>Eredi Safari Sport Severi Gino di Armilli M. Teresa.</t>
        </is>
      </c>
      <c r="M3174" s="5" t="n">
        <v>100</v>
      </c>
      <c r="N3174" s="5" t="n"/>
      <c r="O3174" s="5">
        <f>+M3174+N3174</f>
        <v/>
      </c>
      <c r="P3174" s="4" t="n"/>
      <c r="Q3174" s="87" t="n"/>
      <c r="R3174" s="5" t="n">
        <v>124.04</v>
      </c>
      <c r="S3174" s="2" t="n">
        <v>1</v>
      </c>
      <c r="T3174" s="3" t="inlineStr">
        <is>
          <t>CA42796IR</t>
        </is>
      </c>
      <c r="U3174" s="87" t="n">
        <v>46097</v>
      </c>
      <c r="V3174" s="3" t="inlineStr">
        <is>
          <t>4</t>
        </is>
      </c>
      <c r="W3174" s="108" t="n">
        <v>46097</v>
      </c>
      <c r="X3174" s="4" t="inlineStr">
        <is>
          <t>PHILIPPOS  CONSTANTINIDES
TRADING CO.LTD</t>
        </is>
      </c>
    </row>
    <row r="3175" ht="24" customHeight="1">
      <c r="A3175" s="2">
        <f>+D3175-S3175</f>
        <v/>
      </c>
      <c r="B3175" s="80" t="n">
        <v>4765</v>
      </c>
      <c r="C3175" s="66" t="n">
        <v>45994</v>
      </c>
      <c r="D3175" s="2" t="n">
        <v>1</v>
      </c>
      <c r="E3175" s="3" t="inlineStr">
        <is>
          <t>CARABINA AD OTTURATORE</t>
        </is>
      </c>
      <c r="F3175" s="3" t="inlineStr">
        <is>
          <t>270 WIN</t>
        </is>
      </c>
      <c r="G3175" s="3" t="inlineStr">
        <is>
          <t>BROWNING</t>
        </is>
      </c>
      <c r="H3175" s="65" t="inlineStr">
        <is>
          <t>N/A</t>
        </is>
      </c>
      <c r="I3175" s="65" t="inlineStr">
        <is>
          <t>44463</t>
        </is>
      </c>
      <c r="J3175" s="65" t="inlineStr">
        <is>
          <t>N/A</t>
        </is>
      </c>
      <c r="K3175" s="65" t="inlineStr">
        <is>
          <t>N/D</t>
        </is>
      </c>
      <c r="L3175" s="127" t="inlineStr">
        <is>
          <t>Eredi Safari Sport Severi Gino di Armilli M. Teresa.</t>
        </is>
      </c>
      <c r="M3175" s="5" t="n">
        <v>100</v>
      </c>
      <c r="N3175" s="5" t="n"/>
      <c r="O3175" s="5">
        <f>+M3175+N3175</f>
        <v/>
      </c>
      <c r="P3175" s="4" t="n"/>
      <c r="Q3175" s="87" t="n"/>
      <c r="R3175" s="5" t="n"/>
      <c r="S3175" s="2" t="n"/>
      <c r="T3175" s="3" t="n"/>
      <c r="U3175" s="87" t="n"/>
      <c r="V3175" s="3" t="n"/>
      <c r="W3175" s="108" t="n"/>
      <c r="X3175" s="4" t="n"/>
    </row>
    <row r="3176" ht="24" customHeight="1">
      <c r="A3176" s="2">
        <f>+D3176-S3176</f>
        <v/>
      </c>
      <c r="B3176" s="80" t="n">
        <v>4766</v>
      </c>
      <c r="C3176" s="66" t="n">
        <v>45994</v>
      </c>
      <c r="D3176" s="2" t="n">
        <v>1</v>
      </c>
      <c r="E3176" s="3" t="inlineStr">
        <is>
          <t>FUCILE DOPPIETTA</t>
        </is>
      </c>
      <c r="F3176" s="3" t="n">
        <v>20</v>
      </c>
      <c r="G3176" s="3" t="inlineStr">
        <is>
          <t>RIZZINI</t>
        </is>
      </c>
      <c r="H3176" s="65" t="inlineStr">
        <is>
          <t>N/A</t>
        </is>
      </c>
      <c r="I3176" s="65" t="inlineStr">
        <is>
          <t>M6137</t>
        </is>
      </c>
      <c r="J3176" s="65" t="inlineStr">
        <is>
          <t>N/A</t>
        </is>
      </c>
      <c r="K3176" s="65" t="inlineStr">
        <is>
          <t>N/D</t>
        </is>
      </c>
      <c r="L3176" s="127" t="inlineStr">
        <is>
          <t>Eredi Safari Sport Severi Gino di Armilli M. Teresa.</t>
        </is>
      </c>
      <c r="M3176" s="5" t="n">
        <v>100</v>
      </c>
      <c r="N3176" s="5" t="n"/>
      <c r="O3176" s="5">
        <f>+M3176+N3176</f>
        <v/>
      </c>
      <c r="P3176" s="4" t="n"/>
      <c r="Q3176" s="87" t="n"/>
      <c r="R3176" s="5" t="n">
        <v>124.04</v>
      </c>
      <c r="S3176" s="2" t="n">
        <v>1</v>
      </c>
      <c r="T3176" s="3" t="inlineStr">
        <is>
          <t>CA42796IR</t>
        </is>
      </c>
      <c r="U3176" s="87" t="n">
        <v>46097</v>
      </c>
      <c r="V3176" s="3" t="inlineStr">
        <is>
          <t>4</t>
        </is>
      </c>
      <c r="W3176" s="108" t="n">
        <v>46097</v>
      </c>
      <c r="X3176" s="4" t="inlineStr">
        <is>
          <t>PHILIPPOS  CONSTANTINIDES
TRADING CO.LTD</t>
        </is>
      </c>
    </row>
    <row r="3177" ht="24" customHeight="1">
      <c r="A3177" s="2">
        <f>+D3177-S3177</f>
        <v/>
      </c>
      <c r="B3177" s="80" t="n">
        <v>4767</v>
      </c>
      <c r="C3177" s="66" t="n">
        <v>45994</v>
      </c>
      <c r="D3177" s="2" t="n">
        <v>1</v>
      </c>
      <c r="E3177" s="3" t="inlineStr">
        <is>
          <t>FUCILE DOPPIETTA</t>
        </is>
      </c>
      <c r="F3177" s="3" t="n">
        <v>12</v>
      </c>
      <c r="G3177" s="3" t="inlineStr">
        <is>
          <t>ARMY &amp; NAVI</t>
        </is>
      </c>
      <c r="H3177" s="65" t="inlineStr">
        <is>
          <t>N/A</t>
        </is>
      </c>
      <c r="I3177" s="65" t="inlineStr">
        <is>
          <t>44427</t>
        </is>
      </c>
      <c r="J3177" s="65" t="inlineStr">
        <is>
          <t>N/A</t>
        </is>
      </c>
      <c r="K3177" s="65" t="inlineStr">
        <is>
          <t>N/D</t>
        </is>
      </c>
      <c r="L3177" s="127" t="inlineStr">
        <is>
          <t>Eredi Safari Sport Severi Gino di Armilli M. Teresa.</t>
        </is>
      </c>
      <c r="M3177" s="5" t="n">
        <v>100</v>
      </c>
      <c r="N3177" s="5" t="n"/>
      <c r="O3177" s="5">
        <f>+M3177+N3177</f>
        <v/>
      </c>
      <c r="P3177" s="4" t="n"/>
      <c r="Q3177" s="87" t="n"/>
      <c r="R3177" s="5" t="n">
        <v>124.04</v>
      </c>
      <c r="S3177" s="2" t="n">
        <v>1</v>
      </c>
      <c r="T3177" s="3" t="inlineStr">
        <is>
          <t>CA42796IR</t>
        </is>
      </c>
      <c r="U3177" s="87" t="n">
        <v>46097</v>
      </c>
      <c r="V3177" s="3" t="inlineStr">
        <is>
          <t>4</t>
        </is>
      </c>
      <c r="W3177" s="108" t="n">
        <v>46097</v>
      </c>
      <c r="X3177" s="4" t="inlineStr">
        <is>
          <t>PHILIPPOS  CONSTANTINIDES
TRADING CO.LTD</t>
        </is>
      </c>
    </row>
    <row r="3178" ht="24" customHeight="1">
      <c r="A3178" s="2">
        <f>+D3178-S3178</f>
        <v/>
      </c>
      <c r="B3178" s="80" t="n">
        <v>4768</v>
      </c>
      <c r="C3178" s="66" t="n">
        <v>45994</v>
      </c>
      <c r="D3178" s="2" t="n">
        <v>1</v>
      </c>
      <c r="E3178" s="3" t="inlineStr">
        <is>
          <t>FUCILE AD OTTURATORE</t>
        </is>
      </c>
      <c r="F3178" s="3" t="inlineStr">
        <is>
          <t>416 RIGBY</t>
        </is>
      </c>
      <c r="G3178" s="3" t="inlineStr">
        <is>
          <t>DUMOULIN</t>
        </is>
      </c>
      <c r="H3178" s="65" t="inlineStr">
        <is>
          <t>N/A</t>
        </is>
      </c>
      <c r="I3178" s="65" t="inlineStr">
        <is>
          <t>11565</t>
        </is>
      </c>
      <c r="J3178" s="65" t="inlineStr">
        <is>
          <t>N/A</t>
        </is>
      </c>
      <c r="K3178" s="65" t="inlineStr">
        <is>
          <t>N/D</t>
        </is>
      </c>
      <c r="L3178" s="127" t="inlineStr">
        <is>
          <t>Eredi Safari Sport Severi Gino di Armilli M. Teresa.</t>
        </is>
      </c>
      <c r="M3178" s="5" t="n">
        <v>100</v>
      </c>
      <c r="N3178" s="5" t="n"/>
      <c r="O3178" s="5">
        <f>+M3178+N3178</f>
        <v/>
      </c>
      <c r="P3178" s="4" t="n"/>
      <c r="Q3178" s="87" t="n"/>
      <c r="R3178" s="5" t="n"/>
      <c r="S3178" s="2" t="n"/>
      <c r="T3178" s="3" t="n"/>
      <c r="U3178" s="87" t="n"/>
      <c r="V3178" s="3" t="n"/>
      <c r="W3178" s="108" t="n"/>
      <c r="X3178" s="4" t="n"/>
    </row>
    <row r="3179" ht="24" customHeight="1">
      <c r="A3179" s="2">
        <f>+D3179-S3179</f>
        <v/>
      </c>
      <c r="B3179" s="80" t="n">
        <v>4769</v>
      </c>
      <c r="C3179" s="66" t="n">
        <v>45994</v>
      </c>
      <c r="D3179" s="2" t="n">
        <v>1</v>
      </c>
      <c r="E3179" s="3" t="inlineStr">
        <is>
          <t>CARABINA AD OTTURATORE</t>
        </is>
      </c>
      <c r="F3179" s="3" t="inlineStr">
        <is>
          <t>7X64</t>
        </is>
      </c>
      <c r="G3179" s="3" t="inlineStr">
        <is>
          <t>STEYR</t>
        </is>
      </c>
      <c r="H3179" s="65" t="inlineStr">
        <is>
          <t>N/A</t>
        </is>
      </c>
      <c r="I3179" s="65" t="inlineStr">
        <is>
          <t>54056</t>
        </is>
      </c>
      <c r="J3179" s="65" t="inlineStr">
        <is>
          <t>N/A</t>
        </is>
      </c>
      <c r="K3179" s="65" t="inlineStr">
        <is>
          <t>N/D</t>
        </is>
      </c>
      <c r="L3179" s="127" t="inlineStr">
        <is>
          <t>Eredi Safari Sport Severi Gino di Armilli M. Teresa.</t>
        </is>
      </c>
      <c r="M3179" s="5" t="n">
        <v>100</v>
      </c>
      <c r="N3179" s="5" t="n"/>
      <c r="O3179" s="5">
        <f>+M3179+N3179</f>
        <v/>
      </c>
      <c r="P3179" s="4" t="n"/>
      <c r="Q3179" s="87" t="n"/>
      <c r="R3179" s="5" t="n"/>
      <c r="S3179" s="2" t="n"/>
      <c r="T3179" s="3" t="n"/>
      <c r="U3179" s="87" t="n"/>
      <c r="V3179" s="3" t="n"/>
      <c r="W3179" s="108" t="n"/>
      <c r="X3179" s="4" t="n"/>
    </row>
    <row r="3180" ht="24" customHeight="1">
      <c r="A3180" s="2">
        <f>+D3180-S3180</f>
        <v/>
      </c>
      <c r="B3180" s="80" t="n">
        <v>4770</v>
      </c>
      <c r="C3180" s="66" t="n">
        <v>45994</v>
      </c>
      <c r="D3180" s="2" t="n">
        <v>1</v>
      </c>
      <c r="E3180" s="3" t="inlineStr">
        <is>
          <t>CARABINA AD OTTURATORE</t>
        </is>
      </c>
      <c r="F3180" s="3" t="inlineStr">
        <is>
          <t>460 WBY</t>
        </is>
      </c>
      <c r="G3180" s="3" t="inlineStr">
        <is>
          <t>WEATHERBY</t>
        </is>
      </c>
      <c r="H3180" s="65" t="inlineStr">
        <is>
          <t>N/A</t>
        </is>
      </c>
      <c r="I3180" s="65" t="inlineStr">
        <is>
          <t>H105928</t>
        </is>
      </c>
      <c r="J3180" s="65" t="inlineStr">
        <is>
          <t>N/A</t>
        </is>
      </c>
      <c r="K3180" s="65" t="inlineStr">
        <is>
          <t>N/D</t>
        </is>
      </c>
      <c r="L3180" s="127" t="inlineStr">
        <is>
          <t>Eredi Safari Sport Severi Gino di Armilli M. Teresa.</t>
        </is>
      </c>
      <c r="M3180" s="5" t="n">
        <v>100</v>
      </c>
      <c r="N3180" s="5" t="n"/>
      <c r="O3180" s="5">
        <f>+M3180+N3180</f>
        <v/>
      </c>
      <c r="P3180" s="4" t="n"/>
      <c r="Q3180" s="87" t="n"/>
      <c r="R3180" s="5" t="n"/>
      <c r="S3180" s="2" t="n"/>
      <c r="T3180" s="3" t="n"/>
      <c r="U3180" s="87" t="n"/>
      <c r="V3180" s="3" t="n"/>
      <c r="W3180" s="108" t="n"/>
      <c r="X3180" s="4" t="n"/>
    </row>
    <row r="3181" ht="24" customHeight="1">
      <c r="A3181" s="2">
        <f>+D3181-S3181</f>
        <v/>
      </c>
      <c r="B3181" s="80" t="n">
        <v>4771</v>
      </c>
      <c r="C3181" s="66" t="n">
        <v>45994</v>
      </c>
      <c r="D3181" s="2" t="n">
        <v>1</v>
      </c>
      <c r="E3181" s="3" t="inlineStr">
        <is>
          <t>CARABINA AD OTTURATORE</t>
        </is>
      </c>
      <c r="F3181" s="3" t="n">
        <v>308</v>
      </c>
      <c r="G3181" s="3" t="inlineStr">
        <is>
          <t>REMINGTON</t>
        </is>
      </c>
      <c r="H3181" s="65" t="inlineStr">
        <is>
          <t>N/A</t>
        </is>
      </c>
      <c r="I3181" s="65" t="inlineStr">
        <is>
          <t>S6795014</t>
        </is>
      </c>
      <c r="J3181" s="65" t="inlineStr">
        <is>
          <t>CS035C</t>
        </is>
      </c>
      <c r="K3181" s="65" t="inlineStr">
        <is>
          <t>N/D</t>
        </is>
      </c>
      <c r="L3181" s="127" t="inlineStr">
        <is>
          <t>Eredi Safari Sport Severi Gino di Armilli M. Teresa.</t>
        </is>
      </c>
      <c r="M3181" s="5" t="n">
        <v>100</v>
      </c>
      <c r="N3181" s="5" t="n"/>
      <c r="O3181" s="5">
        <f>+M3181+N3181</f>
        <v/>
      </c>
      <c r="P3181" s="4" t="n"/>
      <c r="Q3181" s="87" t="n"/>
      <c r="R3181" s="5" t="n"/>
      <c r="S3181" s="2" t="n"/>
      <c r="T3181" s="3" t="n"/>
      <c r="U3181" s="87" t="n"/>
      <c r="V3181" s="3" t="n"/>
      <c r="W3181" s="108" t="n"/>
      <c r="X3181" s="4" t="n"/>
    </row>
    <row r="3182" ht="24" customHeight="1">
      <c r="A3182" s="2">
        <f>+D3182-S3182</f>
        <v/>
      </c>
      <c r="B3182" s="80" t="n">
        <v>4772</v>
      </c>
      <c r="C3182" s="66" t="n">
        <v>45994</v>
      </c>
      <c r="D3182" s="2" t="n">
        <v>1</v>
      </c>
      <c r="E3182" s="3" t="inlineStr">
        <is>
          <t>FUCILE SOVRAPPOSTO</t>
        </is>
      </c>
      <c r="F3182" s="3" t="n">
        <v>12</v>
      </c>
      <c r="G3182" s="3" t="inlineStr">
        <is>
          <t>BERETTA</t>
        </is>
      </c>
      <c r="H3182" s="65" t="inlineStr">
        <is>
          <t>N/A</t>
        </is>
      </c>
      <c r="I3182" s="65" t="inlineStr">
        <is>
          <t>B16271B</t>
        </is>
      </c>
      <c r="J3182" s="65" t="inlineStr">
        <is>
          <t>N/A</t>
        </is>
      </c>
      <c r="K3182" s="65" t="inlineStr">
        <is>
          <t>N/D</t>
        </is>
      </c>
      <c r="L3182" s="127" t="inlineStr">
        <is>
          <t>Eredi Safari Sport Severi Gino di Armilli M. Teresa.</t>
        </is>
      </c>
      <c r="M3182" s="5" t="n">
        <v>100</v>
      </c>
      <c r="N3182" s="5" t="n"/>
      <c r="O3182" s="5">
        <f>+M3182+N3182</f>
        <v/>
      </c>
      <c r="P3182" s="4" t="n"/>
      <c r="Q3182" s="87" t="n"/>
      <c r="R3182" s="5" t="n">
        <v>124.04</v>
      </c>
      <c r="S3182" s="2" t="n">
        <v>1</v>
      </c>
      <c r="T3182" s="3" t="inlineStr">
        <is>
          <t>CA42796IR</t>
        </is>
      </c>
      <c r="U3182" s="87" t="n">
        <v>46097</v>
      </c>
      <c r="V3182" s="3" t="inlineStr">
        <is>
          <t>4</t>
        </is>
      </c>
      <c r="W3182" s="108" t="n">
        <v>46097</v>
      </c>
      <c r="X3182" s="4" t="inlineStr">
        <is>
          <t>PHILIPPOS  CONSTANTINIDES
TRADING CO.LTD</t>
        </is>
      </c>
    </row>
    <row r="3183" ht="24" customHeight="1">
      <c r="A3183" s="2">
        <f>+D3183-S3183</f>
        <v/>
      </c>
      <c r="B3183" s="80" t="n">
        <v>4773</v>
      </c>
      <c r="C3183" s="66" t="n">
        <v>45994</v>
      </c>
      <c r="D3183" s="2" t="n">
        <v>1</v>
      </c>
      <c r="E3183" s="3" t="inlineStr">
        <is>
          <t>CARABINA SEMIAUTOMATICA</t>
        </is>
      </c>
      <c r="F3183" s="3" t="inlineStr">
        <is>
          <t>30-06</t>
        </is>
      </c>
      <c r="G3183" s="3" t="inlineStr">
        <is>
          <t>BENELLI</t>
        </is>
      </c>
      <c r="H3183" s="65" t="inlineStr">
        <is>
          <t>N/A</t>
        </is>
      </c>
      <c r="I3183" s="65" t="inlineStr">
        <is>
          <t>BB13382C15</t>
        </is>
      </c>
      <c r="J3183" s="65" t="inlineStr">
        <is>
          <t>CB133282C15</t>
        </is>
      </c>
      <c r="K3183" s="65" t="inlineStr">
        <is>
          <t>N/D</t>
        </is>
      </c>
      <c r="L3183" s="127" t="inlineStr">
        <is>
          <t>Eredi Safari Sport Severi Gino di Armilli M. Teresa.</t>
        </is>
      </c>
      <c r="M3183" s="5" t="n">
        <v>100</v>
      </c>
      <c r="N3183" s="5" t="n"/>
      <c r="O3183" s="5">
        <f>+M3183+N3183</f>
        <v/>
      </c>
      <c r="P3183" s="4" t="n"/>
      <c r="Q3183" s="87" t="n"/>
      <c r="R3183" s="5" t="n"/>
      <c r="S3183" s="2" t="n"/>
      <c r="T3183" s="3" t="n"/>
      <c r="U3183" s="87" t="n"/>
      <c r="V3183" s="3" t="n"/>
      <c r="W3183" s="108" t="n"/>
      <c r="X3183" s="4" t="n"/>
    </row>
    <row r="3184" ht="24" customHeight="1">
      <c r="A3184" s="2">
        <f>+D3184-S3184</f>
        <v/>
      </c>
      <c r="B3184" s="80" t="n">
        <v>4774</v>
      </c>
      <c r="C3184" s="66" t="n">
        <v>45994</v>
      </c>
      <c r="D3184" s="2" t="n">
        <v>1</v>
      </c>
      <c r="E3184" s="3" t="inlineStr">
        <is>
          <t>CARABINA SEMIAUTOMATICA</t>
        </is>
      </c>
      <c r="F3184" s="3" t="inlineStr">
        <is>
          <t>30-06</t>
        </is>
      </c>
      <c r="G3184" s="3" t="inlineStr">
        <is>
          <t>BENELLI</t>
        </is>
      </c>
      <c r="H3184" s="65" t="inlineStr">
        <is>
          <t>N/A</t>
        </is>
      </c>
      <c r="I3184" s="65" t="inlineStr">
        <is>
          <t>BB143431B17</t>
        </is>
      </c>
      <c r="J3184" s="65" t="inlineStr">
        <is>
          <t>CB143431B17</t>
        </is>
      </c>
      <c r="K3184" s="65" t="inlineStr">
        <is>
          <t>N/D</t>
        </is>
      </c>
      <c r="L3184" s="127" t="inlineStr">
        <is>
          <t>Eredi Safari Sport Severi Gino di Armilli M. Teresa.</t>
        </is>
      </c>
      <c r="M3184" s="5" t="n">
        <v>100</v>
      </c>
      <c r="N3184" s="5" t="n"/>
      <c r="O3184" s="5">
        <f>+M3184+N3184</f>
        <v/>
      </c>
      <c r="P3184" s="4" t="n"/>
      <c r="Q3184" s="87" t="n"/>
      <c r="R3184" s="5" t="n"/>
      <c r="S3184" s="2" t="n"/>
      <c r="T3184" s="3" t="n"/>
      <c r="U3184" s="87" t="n"/>
      <c r="V3184" s="3" t="n"/>
      <c r="W3184" s="108" t="n"/>
      <c r="X3184" s="4" t="n"/>
    </row>
    <row r="3185" ht="24" customHeight="1">
      <c r="A3185" s="2">
        <f>+D3185-S3185</f>
        <v/>
      </c>
      <c r="B3185" s="80" t="n">
        <v>4775</v>
      </c>
      <c r="C3185" s="66" t="n">
        <v>45994</v>
      </c>
      <c r="D3185" s="2" t="n">
        <v>1</v>
      </c>
      <c r="E3185" s="3" t="n"/>
      <c r="F3185" s="3" t="inlineStr">
        <is>
          <t>8X68</t>
        </is>
      </c>
      <c r="G3185" s="3" t="inlineStr">
        <is>
          <t>MAHILLON</t>
        </is>
      </c>
      <c r="H3185" s="65" t="inlineStr">
        <is>
          <t>N/A</t>
        </is>
      </c>
      <c r="I3185" s="65" t="inlineStr">
        <is>
          <t>11090</t>
        </is>
      </c>
      <c r="J3185" s="65" t="inlineStr">
        <is>
          <t>N/A</t>
        </is>
      </c>
      <c r="K3185" s="65" t="inlineStr">
        <is>
          <t>N/D</t>
        </is>
      </c>
      <c r="L3185" s="127" t="inlineStr">
        <is>
          <t>Eredi Safari Sport Severi Gino di Armilli M. Teresa.</t>
        </is>
      </c>
      <c r="M3185" s="5" t="n">
        <v>100</v>
      </c>
      <c r="N3185" s="5" t="n"/>
      <c r="O3185" s="5">
        <f>+M3185+N3185</f>
        <v/>
      </c>
      <c r="P3185" s="4" t="n"/>
      <c r="Q3185" s="87" t="n"/>
      <c r="R3185" s="5" t="n"/>
      <c r="S3185" s="2" t="n"/>
      <c r="T3185" s="3" t="n"/>
      <c r="U3185" s="87" t="n"/>
      <c r="V3185" s="3" t="n"/>
      <c r="W3185" s="108" t="n"/>
      <c r="X3185" s="4" t="n"/>
    </row>
    <row r="3186" ht="24" customHeight="1">
      <c r="A3186" s="2">
        <f>+D3186-S3186</f>
        <v/>
      </c>
      <c r="B3186" s="80" t="n">
        <v>4776</v>
      </c>
      <c r="C3186" s="66" t="n">
        <v>45994</v>
      </c>
      <c r="D3186" s="2" t="n">
        <v>1</v>
      </c>
      <c r="E3186" s="3" t="inlineStr">
        <is>
          <t>FUCILE DOPPIETTA</t>
        </is>
      </c>
      <c r="F3186" s="3" t="n">
        <v>20</v>
      </c>
      <c r="G3186" s="3" t="inlineStr">
        <is>
          <t>RIZZINI</t>
        </is>
      </c>
      <c r="H3186" s="65" t="inlineStr">
        <is>
          <t>N/A</t>
        </is>
      </c>
      <c r="I3186" s="65" t="inlineStr">
        <is>
          <t>77862</t>
        </is>
      </c>
      <c r="J3186" s="65" t="inlineStr">
        <is>
          <t>N/A</t>
        </is>
      </c>
      <c r="K3186" s="65" t="inlineStr">
        <is>
          <t>N/D</t>
        </is>
      </c>
      <c r="L3186" s="127" t="inlineStr">
        <is>
          <t>Eredi Safari Sport Severi Gino di Armilli M. Teresa.</t>
        </is>
      </c>
      <c r="M3186" s="5" t="n">
        <v>100</v>
      </c>
      <c r="N3186" s="5" t="n"/>
      <c r="O3186" s="5">
        <f>+M3186+N3186</f>
        <v/>
      </c>
      <c r="P3186" s="4" t="n"/>
      <c r="Q3186" s="87" t="n"/>
      <c r="R3186" s="5" t="n">
        <v>124.04</v>
      </c>
      <c r="S3186" s="2" t="n">
        <v>1</v>
      </c>
      <c r="T3186" s="3" t="inlineStr">
        <is>
          <t>CA42796IR</t>
        </is>
      </c>
      <c r="U3186" s="87" t="n">
        <v>46097</v>
      </c>
      <c r="V3186" s="3" t="inlineStr">
        <is>
          <t>4</t>
        </is>
      </c>
      <c r="W3186" s="108" t="n">
        <v>46097</v>
      </c>
      <c r="X3186" s="4" t="inlineStr">
        <is>
          <t>PHILIPPOS  CONSTANTINIDES
TRADING CO.LTD</t>
        </is>
      </c>
    </row>
    <row r="3187" ht="24" customHeight="1">
      <c r="A3187" s="2">
        <f>+D3187-S3187</f>
        <v/>
      </c>
      <c r="B3187" s="80" t="n">
        <v>4777</v>
      </c>
      <c r="C3187" s="66" t="n">
        <v>45994</v>
      </c>
      <c r="D3187" s="2" t="n">
        <v>1</v>
      </c>
      <c r="E3187" s="3" t="inlineStr">
        <is>
          <t>CARABINA SEMIAUTOMATICA</t>
        </is>
      </c>
      <c r="F3187" s="3" t="inlineStr">
        <is>
          <t>308 Win</t>
        </is>
      </c>
      <c r="G3187" s="3" t="inlineStr">
        <is>
          <t>HECKLER &amp; KOCH</t>
        </is>
      </c>
      <c r="H3187" s="65" t="inlineStr">
        <is>
          <t>N/A</t>
        </is>
      </c>
      <c r="I3187" s="65" t="inlineStr">
        <is>
          <t>04123</t>
        </is>
      </c>
      <c r="J3187" s="65" t="inlineStr">
        <is>
          <t>N/A</t>
        </is>
      </c>
      <c r="K3187" s="65" t="inlineStr">
        <is>
          <t>N/D</t>
        </is>
      </c>
      <c r="L3187" s="127" t="inlineStr">
        <is>
          <t>Eredi Safari Sport Severi Gino di Armilli M. Teresa.</t>
        </is>
      </c>
      <c r="M3187" s="5" t="n">
        <v>100</v>
      </c>
      <c r="N3187" s="5" t="n"/>
      <c r="O3187" s="5">
        <f>+M3187+N3187</f>
        <v/>
      </c>
      <c r="P3187" s="4" t="n"/>
      <c r="Q3187" s="87" t="n"/>
      <c r="R3187" s="5" t="n"/>
      <c r="S3187" s="2" t="n"/>
      <c r="T3187" s="3" t="n"/>
      <c r="U3187" s="87" t="n"/>
      <c r="V3187" s="3" t="n"/>
      <c r="W3187" s="108" t="n"/>
      <c r="X3187" s="4" t="n"/>
    </row>
    <row r="3188" ht="24" customHeight="1">
      <c r="A3188" s="2">
        <f>+D3188-S3188</f>
        <v/>
      </c>
      <c r="B3188" s="80" t="n">
        <v>4778</v>
      </c>
      <c r="C3188" s="66" t="n">
        <v>45994</v>
      </c>
      <c r="D3188" s="2" t="n">
        <v>1</v>
      </c>
      <c r="E3188" s="3" t="inlineStr">
        <is>
          <t>CARABINA SEMIAUTOMATICA</t>
        </is>
      </c>
      <c r="F3188" s="3" t="inlineStr">
        <is>
          <t>30-06</t>
        </is>
      </c>
      <c r="G3188" s="3" t="inlineStr">
        <is>
          <t>HECKLER &amp; KOCH</t>
        </is>
      </c>
      <c r="H3188" s="65" t="inlineStr">
        <is>
          <t>N/A</t>
        </is>
      </c>
      <c r="I3188" s="65" t="inlineStr">
        <is>
          <t>00654</t>
        </is>
      </c>
      <c r="J3188" s="65" t="inlineStr">
        <is>
          <t>N/A</t>
        </is>
      </c>
      <c r="K3188" s="65" t="inlineStr">
        <is>
          <t>N/D</t>
        </is>
      </c>
      <c r="L3188" s="127" t="inlineStr">
        <is>
          <t>Eredi Safari Sport Severi Gino di Armilli M. Teresa.</t>
        </is>
      </c>
      <c r="M3188" s="5" t="n">
        <v>100</v>
      </c>
      <c r="N3188" s="5" t="n"/>
      <c r="O3188" s="5">
        <f>+M3188+N3188</f>
        <v/>
      </c>
      <c r="P3188" s="4" t="n"/>
      <c r="Q3188" s="87" t="n"/>
      <c r="R3188" s="5" t="n"/>
      <c r="S3188" s="2" t="n"/>
      <c r="T3188" s="3" t="n"/>
      <c r="U3188" s="87" t="n"/>
      <c r="V3188" s="3" t="n"/>
      <c r="W3188" s="108" t="n"/>
      <c r="X3188" s="4" t="n"/>
    </row>
    <row r="3189" ht="24" customHeight="1">
      <c r="A3189" s="2">
        <f>+D3189-S3189</f>
        <v/>
      </c>
      <c r="B3189" s="80" t="n">
        <v>4779</v>
      </c>
      <c r="C3189" s="66" t="n">
        <v>45994</v>
      </c>
      <c r="D3189" s="2" t="n">
        <v>1</v>
      </c>
      <c r="E3189" s="3" t="inlineStr">
        <is>
          <t>CARABINA SEMIAUTOMATICA</t>
        </is>
      </c>
      <c r="F3189" s="3" t="inlineStr">
        <is>
          <t>308 Win</t>
        </is>
      </c>
      <c r="G3189" s="3" t="inlineStr">
        <is>
          <t>HECKLER &amp; KOCH</t>
        </is>
      </c>
      <c r="H3189" s="65" t="inlineStr">
        <is>
          <t>N/A</t>
        </is>
      </c>
      <c r="I3189" s="65" t="inlineStr">
        <is>
          <t>03072</t>
        </is>
      </c>
      <c r="J3189" s="65" t="inlineStr">
        <is>
          <t>N/A</t>
        </is>
      </c>
      <c r="K3189" s="65" t="inlineStr">
        <is>
          <t>N/D</t>
        </is>
      </c>
      <c r="L3189" s="127" t="inlineStr">
        <is>
          <t>Eredi Safari Sport Severi Gino di Armilli M. Teresa.</t>
        </is>
      </c>
      <c r="M3189" s="5" t="n">
        <v>100</v>
      </c>
      <c r="N3189" s="5" t="n"/>
      <c r="O3189" s="5">
        <f>+M3189+N3189</f>
        <v/>
      </c>
      <c r="P3189" s="4" t="n"/>
      <c r="Q3189" s="87" t="n"/>
      <c r="R3189" s="5" t="n"/>
      <c r="S3189" s="2" t="n"/>
      <c r="T3189" s="3" t="n"/>
      <c r="U3189" s="87" t="n"/>
      <c r="V3189" s="3" t="n"/>
      <c r="W3189" s="108" t="n"/>
      <c r="X3189" s="4" t="n"/>
    </row>
    <row r="3190" ht="24" customHeight="1">
      <c r="A3190" s="2">
        <f>+D3190-S3190</f>
        <v/>
      </c>
      <c r="B3190" s="80" t="n">
        <v>4780</v>
      </c>
      <c r="C3190" s="66" t="n">
        <v>45994</v>
      </c>
      <c r="D3190" s="2" t="n">
        <v>1</v>
      </c>
      <c r="E3190" s="3" t="inlineStr">
        <is>
          <t>CARABINA AD OTTURATORE</t>
        </is>
      </c>
      <c r="F3190" s="3" t="inlineStr">
        <is>
          <t>7X64</t>
        </is>
      </c>
      <c r="G3190" s="3" t="inlineStr">
        <is>
          <t>BRNO</t>
        </is>
      </c>
      <c r="H3190" s="65" t="inlineStr">
        <is>
          <t>N/A</t>
        </is>
      </c>
      <c r="I3190" s="65" t="n">
        <v>3742</v>
      </c>
      <c r="J3190" s="65" t="inlineStr">
        <is>
          <t>N/A</t>
        </is>
      </c>
      <c r="K3190" s="65" t="inlineStr">
        <is>
          <t>N/D</t>
        </is>
      </c>
      <c r="L3190" s="127" t="inlineStr">
        <is>
          <t>Eredi Safari Sport Severi Gino di Armilli M. Teresa.</t>
        </is>
      </c>
      <c r="M3190" s="5" t="n">
        <v>100</v>
      </c>
      <c r="N3190" s="5" t="n"/>
      <c r="O3190" s="5">
        <f>+M3190+N3190</f>
        <v/>
      </c>
      <c r="P3190" s="4" t="n"/>
      <c r="Q3190" s="87" t="n"/>
      <c r="R3190" s="5" t="n"/>
      <c r="S3190" s="2" t="n"/>
      <c r="T3190" s="3" t="n"/>
      <c r="U3190" s="87" t="n"/>
      <c r="V3190" s="3" t="n"/>
      <c r="W3190" s="108" t="n"/>
      <c r="X3190" s="4" t="n"/>
    </row>
    <row r="3191" ht="24" customHeight="1">
      <c r="A3191" s="2">
        <f>+D3191-S3191</f>
        <v/>
      </c>
      <c r="B3191" s="80" t="n">
        <v>4781</v>
      </c>
      <c r="C3191" s="66" t="n">
        <v>45994</v>
      </c>
      <c r="D3191" s="2" t="n">
        <v>1</v>
      </c>
      <c r="E3191" s="3" t="inlineStr">
        <is>
          <t>CARABINA AD OTTURATORE</t>
        </is>
      </c>
      <c r="F3191" s="3" t="inlineStr">
        <is>
          <t>8X57</t>
        </is>
      </c>
      <c r="G3191" s="3" t="inlineStr">
        <is>
          <t>MAUSER</t>
        </is>
      </c>
      <c r="H3191" s="65" t="inlineStr">
        <is>
          <t>N/A</t>
        </is>
      </c>
      <c r="I3191" s="65" t="inlineStr">
        <is>
          <t>35127L</t>
        </is>
      </c>
      <c r="J3191" s="65" t="inlineStr">
        <is>
          <t>N/A</t>
        </is>
      </c>
      <c r="K3191" s="65" t="inlineStr">
        <is>
          <t>N/D</t>
        </is>
      </c>
      <c r="L3191" s="127" t="inlineStr">
        <is>
          <t>Eredi Safari Sport Severi Gino di Armilli M. Teresa.</t>
        </is>
      </c>
      <c r="M3191" s="5" t="n">
        <v>100</v>
      </c>
      <c r="N3191" s="5" t="n"/>
      <c r="O3191" s="5">
        <f>+M3191+N3191</f>
        <v/>
      </c>
      <c r="P3191" s="4" t="n"/>
      <c r="Q3191" s="87" t="n"/>
      <c r="R3191" s="5" t="n"/>
      <c r="S3191" s="2" t="n"/>
      <c r="T3191" s="3" t="n"/>
      <c r="U3191" s="87" t="n"/>
      <c r="V3191" s="3" t="n"/>
      <c r="W3191" s="108" t="n"/>
      <c r="X3191" s="4" t="n"/>
    </row>
    <row r="3192" ht="24" customHeight="1">
      <c r="A3192" s="2">
        <f>+D3192-S3192</f>
        <v/>
      </c>
      <c r="B3192" s="80" t="n">
        <v>4782</v>
      </c>
      <c r="C3192" s="66" t="n">
        <v>45994</v>
      </c>
      <c r="D3192" s="2" t="n">
        <v>1</v>
      </c>
      <c r="E3192" s="3" t="inlineStr">
        <is>
          <t>CARABINA AD OTTURATORE</t>
        </is>
      </c>
      <c r="F3192" s="3" t="inlineStr">
        <is>
          <t>8X57</t>
        </is>
      </c>
      <c r="G3192" s="3" t="inlineStr">
        <is>
          <t>MAUSER</t>
        </is>
      </c>
      <c r="H3192" s="65" t="inlineStr">
        <is>
          <t>N/A</t>
        </is>
      </c>
      <c r="I3192" s="65" t="n">
        <v>10989</v>
      </c>
      <c r="J3192" s="65" t="inlineStr">
        <is>
          <t>N/A</t>
        </is>
      </c>
      <c r="K3192" s="65" t="inlineStr">
        <is>
          <t>N/D</t>
        </is>
      </c>
      <c r="L3192" s="127" t="inlineStr">
        <is>
          <t>Eredi Safari Sport Severi Gino di Armilli M. Teresa.</t>
        </is>
      </c>
      <c r="M3192" s="5" t="n">
        <v>100</v>
      </c>
      <c r="N3192" s="5" t="n"/>
      <c r="O3192" s="5">
        <f>+M3192+N3192</f>
        <v/>
      </c>
      <c r="P3192" s="4" t="n"/>
      <c r="Q3192" s="87" t="n"/>
      <c r="R3192" s="5" t="n"/>
      <c r="S3192" s="2" t="n"/>
      <c r="T3192" s="3" t="n"/>
      <c r="U3192" s="87" t="n"/>
      <c r="V3192" s="3" t="n"/>
      <c r="W3192" s="108" t="n"/>
      <c r="X3192" s="4" t="n"/>
    </row>
    <row r="3193" ht="24" customHeight="1">
      <c r="A3193" s="2">
        <f>+D3193-S3193</f>
        <v/>
      </c>
      <c r="B3193" s="80" t="n">
        <v>4783</v>
      </c>
      <c r="C3193" s="66" t="n">
        <v>45994</v>
      </c>
      <c r="D3193" s="2" t="n">
        <v>1</v>
      </c>
      <c r="E3193" s="3" t="inlineStr">
        <is>
          <t>CARABINA AD OTTURATORE</t>
        </is>
      </c>
      <c r="F3193" s="3" t="inlineStr">
        <is>
          <t>30-06</t>
        </is>
      </c>
      <c r="G3193" s="3" t="inlineStr">
        <is>
          <t>WINCHESTER</t>
        </is>
      </c>
      <c r="H3193" s="65" t="inlineStr">
        <is>
          <t>N/A</t>
        </is>
      </c>
      <c r="I3193" s="65" t="n">
        <v>1254625</v>
      </c>
      <c r="J3193" s="65" t="inlineStr">
        <is>
          <t>N/A</t>
        </is>
      </c>
      <c r="K3193" s="65" t="inlineStr">
        <is>
          <t>N/D</t>
        </is>
      </c>
      <c r="L3193" s="127" t="inlineStr">
        <is>
          <t>Eredi Safari Sport Severi Gino di Armilli M. Teresa.</t>
        </is>
      </c>
      <c r="M3193" s="5" t="n">
        <v>100</v>
      </c>
      <c r="N3193" s="5" t="n"/>
      <c r="O3193" s="5">
        <f>+M3193+N3193</f>
        <v/>
      </c>
      <c r="P3193" s="4" t="n"/>
      <c r="Q3193" s="87" t="n"/>
      <c r="R3193" s="5" t="n"/>
      <c r="S3193" s="2" t="n"/>
      <c r="T3193" s="3" t="n"/>
      <c r="U3193" s="87" t="n"/>
      <c r="V3193" s="3" t="n"/>
      <c r="W3193" s="108" t="n"/>
      <c r="X3193" s="4" t="n"/>
    </row>
    <row r="3194" ht="24" customHeight="1">
      <c r="A3194" s="2">
        <f>+D3194-S3194</f>
        <v/>
      </c>
      <c r="B3194" s="80" t="n">
        <v>4784</v>
      </c>
      <c r="C3194" s="66" t="n">
        <v>45994</v>
      </c>
      <c r="D3194" s="2" t="n">
        <v>1</v>
      </c>
      <c r="E3194" s="3" t="inlineStr">
        <is>
          <t>CARABINA SEMIAUTOMATICA</t>
        </is>
      </c>
      <c r="F3194" s="3" t="inlineStr">
        <is>
          <t>6.5X55</t>
        </is>
      </c>
      <c r="G3194" s="3" t="inlineStr">
        <is>
          <t>GUSTAV</t>
        </is>
      </c>
      <c r="H3194" s="65" t="inlineStr">
        <is>
          <t>N/A</t>
        </is>
      </c>
      <c r="I3194" s="65" t="n">
        <v>15770</v>
      </c>
      <c r="J3194" s="65" t="inlineStr">
        <is>
          <t>N/A</t>
        </is>
      </c>
      <c r="K3194" s="65" t="inlineStr">
        <is>
          <t>N/D</t>
        </is>
      </c>
      <c r="L3194" s="127" t="inlineStr">
        <is>
          <t>Eredi Safari Sport Severi Gino di Armilli M. Teresa.</t>
        </is>
      </c>
      <c r="M3194" s="5" t="n">
        <v>100</v>
      </c>
      <c r="N3194" s="5" t="n"/>
      <c r="O3194" s="5">
        <f>+M3194+N3194</f>
        <v/>
      </c>
      <c r="P3194" s="4" t="n"/>
      <c r="Q3194" s="87" t="n"/>
      <c r="R3194" s="5" t="n"/>
      <c r="S3194" s="2" t="n"/>
      <c r="T3194" s="3" t="n"/>
      <c r="U3194" s="87" t="n"/>
      <c r="V3194" s="3" t="n"/>
      <c r="W3194" s="108" t="n"/>
      <c r="X3194" s="4" t="n"/>
    </row>
    <row r="3195" ht="24" customHeight="1">
      <c r="A3195" s="2">
        <f>+D3195-S3195</f>
        <v/>
      </c>
      <c r="B3195" s="80" t="n">
        <v>4785</v>
      </c>
      <c r="C3195" s="66" t="n">
        <v>45994</v>
      </c>
      <c r="D3195" s="2" t="n">
        <v>1</v>
      </c>
      <c r="E3195" s="3" t="inlineStr">
        <is>
          <t>CARABINA AD OTTURATORE</t>
        </is>
      </c>
      <c r="F3195" s="3" t="inlineStr">
        <is>
          <t>8X57 JS</t>
        </is>
      </c>
      <c r="G3195" s="3" t="inlineStr">
        <is>
          <t>MAUSER</t>
        </is>
      </c>
      <c r="H3195" s="65" t="inlineStr">
        <is>
          <t>N/A</t>
        </is>
      </c>
      <c r="I3195" s="65" t="n">
        <v>19980226</v>
      </c>
      <c r="J3195" s="65" t="inlineStr">
        <is>
          <t>N/A</t>
        </is>
      </c>
      <c r="K3195" s="65" t="inlineStr">
        <is>
          <t>N/D</t>
        </is>
      </c>
      <c r="L3195" s="127" t="inlineStr">
        <is>
          <t>Eredi Safari Sport Severi Gino di Armilli M. Teresa.</t>
        </is>
      </c>
      <c r="M3195" s="5" t="n">
        <v>100</v>
      </c>
      <c r="N3195" s="5" t="n"/>
      <c r="O3195" s="5">
        <f>+M3195+N3195</f>
        <v/>
      </c>
      <c r="P3195" s="4" t="n"/>
      <c r="Q3195" s="87" t="n"/>
      <c r="R3195" s="5" t="n"/>
      <c r="S3195" s="2" t="n"/>
      <c r="T3195" s="3" t="n"/>
      <c r="U3195" s="87" t="n"/>
      <c r="V3195" s="3" t="n"/>
      <c r="W3195" s="108" t="n"/>
      <c r="X3195" s="4" t="n"/>
    </row>
    <row r="3196" ht="24" customHeight="1">
      <c r="A3196" s="2">
        <f>+D3196-S3196</f>
        <v/>
      </c>
      <c r="B3196" s="80" t="n">
        <v>4786</v>
      </c>
      <c r="C3196" s="66" t="n">
        <v>45994</v>
      </c>
      <c r="D3196" s="2" t="n">
        <v>1</v>
      </c>
      <c r="E3196" s="3" t="inlineStr">
        <is>
          <t>REVOLVER</t>
        </is>
      </c>
      <c r="F3196" s="3" t="inlineStr">
        <is>
          <t>38 SP</t>
        </is>
      </c>
      <c r="G3196" s="3" t="inlineStr">
        <is>
          <t>S&amp;W</t>
        </is>
      </c>
      <c r="H3196" s="65" t="inlineStr">
        <is>
          <t>N/A</t>
        </is>
      </c>
      <c r="I3196" s="65" t="inlineStr">
        <is>
          <t>J579903</t>
        </is>
      </c>
      <c r="J3196" s="65" t="inlineStr">
        <is>
          <t>N/A</t>
        </is>
      </c>
      <c r="K3196" s="65" t="inlineStr">
        <is>
          <t>N/D</t>
        </is>
      </c>
      <c r="L3196" s="127" t="inlineStr">
        <is>
          <t>Eredi Safari Sport Severi Gino di Armilli M. Teresa.</t>
        </is>
      </c>
      <c r="M3196" s="5" t="n">
        <v>100</v>
      </c>
      <c r="N3196" s="5" t="n"/>
      <c r="O3196" s="5">
        <f>+M3196+N3196</f>
        <v/>
      </c>
      <c r="P3196" s="4" t="n"/>
      <c r="Q3196" s="87" t="n"/>
      <c r="R3196" s="5" t="n"/>
      <c r="S3196" s="2" t="n"/>
      <c r="T3196" s="3" t="n"/>
      <c r="U3196" s="87" t="n"/>
      <c r="V3196" s="3" t="n"/>
      <c r="W3196" s="108" t="n"/>
      <c r="X3196" s="4" t="n"/>
    </row>
    <row r="3197" ht="24" customHeight="1">
      <c r="A3197" s="2">
        <f>+D3197-S3197</f>
        <v/>
      </c>
      <c r="B3197" s="80" t="n">
        <v>4787</v>
      </c>
      <c r="C3197" s="66" t="n">
        <v>45994</v>
      </c>
      <c r="D3197" s="2" t="n">
        <v>1</v>
      </c>
      <c r="E3197" s="3" t="inlineStr">
        <is>
          <t>PISTOLA SEMIAUTOMATICA</t>
        </is>
      </c>
      <c r="F3197" s="3" t="inlineStr">
        <is>
          <t>9X21</t>
        </is>
      </c>
      <c r="G3197" s="3" t="inlineStr">
        <is>
          <t>GLOCK</t>
        </is>
      </c>
      <c r="H3197" s="65" t="inlineStr">
        <is>
          <t>N/A</t>
        </is>
      </c>
      <c r="I3197" s="65" t="inlineStr">
        <is>
          <t>BFVN681</t>
        </is>
      </c>
      <c r="J3197" s="65" t="inlineStr">
        <is>
          <t>N/A</t>
        </is>
      </c>
      <c r="K3197" s="65" t="inlineStr">
        <is>
          <t>N/D</t>
        </is>
      </c>
      <c r="L3197" s="127" t="inlineStr">
        <is>
          <t>Eredi Safari Sport Severi Gino di Armilli M. Teresa.</t>
        </is>
      </c>
      <c r="M3197" s="5" t="n">
        <v>50</v>
      </c>
      <c r="N3197" s="5" t="n"/>
      <c r="O3197" s="5">
        <f>+M3197+N3197</f>
        <v/>
      </c>
      <c r="P3197" s="4" t="n"/>
      <c r="Q3197" s="87" t="n"/>
      <c r="R3197" s="5" t="n"/>
      <c r="S3197" s="2" t="n"/>
      <c r="T3197" s="3" t="n"/>
      <c r="U3197" s="87" t="n"/>
      <c r="V3197" s="3" t="n"/>
      <c r="W3197" s="108" t="n"/>
      <c r="X3197" s="4" t="n"/>
    </row>
    <row r="3198" ht="24" customHeight="1">
      <c r="A3198" s="2">
        <f>+D3198-S3198</f>
        <v/>
      </c>
      <c r="B3198" s="80" t="n">
        <v>4788</v>
      </c>
      <c r="C3198" s="66" t="n">
        <v>45994</v>
      </c>
      <c r="D3198" s="2" t="n">
        <v>1</v>
      </c>
      <c r="E3198" s="3" t="inlineStr">
        <is>
          <t>PISTOLA SEMIAUTOMATICA</t>
        </is>
      </c>
      <c r="F3198" s="3" t="inlineStr">
        <is>
          <t>9X21</t>
        </is>
      </c>
      <c r="G3198" s="3" t="inlineStr">
        <is>
          <t>BERETTA</t>
        </is>
      </c>
      <c r="H3198" s="65" t="inlineStr">
        <is>
          <t>N/A</t>
        </is>
      </c>
      <c r="I3198" s="65" t="inlineStr">
        <is>
          <t>F14827P</t>
        </is>
      </c>
      <c r="J3198" s="65" t="inlineStr">
        <is>
          <t>N/A</t>
        </is>
      </c>
      <c r="K3198" s="65" t="inlineStr">
        <is>
          <t>N/D</t>
        </is>
      </c>
      <c r="L3198" s="127" t="inlineStr">
        <is>
          <t>Eredi Safari Sport Severi Gino di Armilli M. Teresa.</t>
        </is>
      </c>
      <c r="M3198" s="5" t="n">
        <v>50</v>
      </c>
      <c r="N3198" s="5" t="n"/>
      <c r="O3198" s="5">
        <f>+M3198+N3198</f>
        <v/>
      </c>
      <c r="P3198" s="4" t="n"/>
      <c r="Q3198" s="87" t="n"/>
      <c r="R3198" s="5" t="n"/>
      <c r="S3198" s="2" t="n"/>
      <c r="T3198" s="3" t="n"/>
      <c r="U3198" s="87" t="n"/>
      <c r="V3198" s="3" t="n"/>
      <c r="W3198" s="108" t="n"/>
      <c r="X3198" s="4" t="n"/>
    </row>
    <row r="3199" ht="24" customHeight="1">
      <c r="A3199" s="2">
        <f>+D3199-S3199</f>
        <v/>
      </c>
      <c r="B3199" s="80" t="n">
        <v>4789</v>
      </c>
      <c r="C3199" s="66" t="n">
        <v>45994</v>
      </c>
      <c r="D3199" s="2" t="n">
        <v>1</v>
      </c>
      <c r="E3199" s="3" t="inlineStr">
        <is>
          <t>PISTOLA SEMIAUTOMATICA</t>
        </is>
      </c>
      <c r="F3199" s="3" t="inlineStr">
        <is>
          <t>9X21</t>
        </is>
      </c>
      <c r="G3199" s="3" t="inlineStr">
        <is>
          <t>TANFOGLIO</t>
        </is>
      </c>
      <c r="H3199" s="65" t="inlineStr">
        <is>
          <t>N/A</t>
        </is>
      </c>
      <c r="I3199" s="65" t="inlineStr">
        <is>
          <t>N11600</t>
        </is>
      </c>
      <c r="J3199" s="65" t="inlineStr">
        <is>
          <t>N/A</t>
        </is>
      </c>
      <c r="K3199" s="65" t="inlineStr">
        <is>
          <t>N/D</t>
        </is>
      </c>
      <c r="L3199" s="127" t="inlineStr">
        <is>
          <t>Eredi Safari Sport Severi Gino di Armilli M. Teresa.</t>
        </is>
      </c>
      <c r="M3199" s="5" t="n">
        <v>50</v>
      </c>
      <c r="N3199" s="5" t="n"/>
      <c r="O3199" s="5">
        <f>+M3199+N3199</f>
        <v/>
      </c>
      <c r="P3199" s="4" t="n"/>
      <c r="Q3199" s="87" t="n"/>
      <c r="R3199" s="5" t="n"/>
      <c r="S3199" s="2" t="n"/>
      <c r="T3199" s="3" t="n"/>
      <c r="U3199" s="87" t="n"/>
      <c r="V3199" s="3" t="n"/>
      <c r="W3199" s="108" t="n"/>
      <c r="X3199" s="4" t="n"/>
    </row>
    <row r="3200" ht="24" customHeight="1">
      <c r="A3200" s="2">
        <f>+D3200-S3200</f>
        <v/>
      </c>
      <c r="B3200" s="80" t="n">
        <v>4790</v>
      </c>
      <c r="C3200" s="66" t="n">
        <v>45994</v>
      </c>
      <c r="D3200" s="2" t="n">
        <v>1</v>
      </c>
      <c r="E3200" s="3" t="inlineStr">
        <is>
          <t>PISTOLA SEMIAUTOMATICA</t>
        </is>
      </c>
      <c r="F3200" s="3" t="inlineStr">
        <is>
          <t>9X21</t>
        </is>
      </c>
      <c r="G3200" s="3" t="inlineStr">
        <is>
          <t>BERETTA</t>
        </is>
      </c>
      <c r="H3200" s="65" t="inlineStr">
        <is>
          <t>N/A</t>
        </is>
      </c>
      <c r="I3200" s="65" t="inlineStr">
        <is>
          <t>E15278P</t>
        </is>
      </c>
      <c r="J3200" s="65" t="inlineStr">
        <is>
          <t>N/A</t>
        </is>
      </c>
      <c r="K3200" s="65" t="inlineStr">
        <is>
          <t>N/D</t>
        </is>
      </c>
      <c r="L3200" s="127" t="inlineStr">
        <is>
          <t>Eredi Safari Sport Severi Gino di Armilli M. Teresa.</t>
        </is>
      </c>
      <c r="M3200" s="5" t="n">
        <v>50</v>
      </c>
      <c r="N3200" s="5" t="n"/>
      <c r="O3200" s="5">
        <f>+M3200+N3200</f>
        <v/>
      </c>
      <c r="P3200" s="4" t="n"/>
      <c r="Q3200" s="87" t="n"/>
      <c r="R3200" s="5" t="n"/>
      <c r="S3200" s="2" t="n"/>
      <c r="T3200" s="3" t="n"/>
      <c r="U3200" s="87" t="n"/>
      <c r="V3200" s="3" t="n"/>
      <c r="W3200" s="108" t="n"/>
      <c r="X3200" s="4" t="n"/>
    </row>
    <row r="3201" ht="24" customHeight="1">
      <c r="A3201" s="2">
        <f>+D3201-S3201</f>
        <v/>
      </c>
      <c r="B3201" s="80" t="n">
        <v>4791</v>
      </c>
      <c r="C3201" s="66" t="n">
        <v>45994</v>
      </c>
      <c r="D3201" s="2" t="n">
        <v>1</v>
      </c>
      <c r="E3201" s="3" t="inlineStr">
        <is>
          <t>PISTOLA SEMIAUTOMATICA</t>
        </is>
      </c>
      <c r="F3201" s="3" t="inlineStr">
        <is>
          <t>9X21</t>
        </is>
      </c>
      <c r="G3201" s="3" t="inlineStr">
        <is>
          <t>GLOCK</t>
        </is>
      </c>
      <c r="H3201" s="65" t="inlineStr">
        <is>
          <t>N/A</t>
        </is>
      </c>
      <c r="I3201" s="65" t="inlineStr">
        <is>
          <t>BGEE680</t>
        </is>
      </c>
      <c r="J3201" s="65" t="inlineStr">
        <is>
          <t>N/A</t>
        </is>
      </c>
      <c r="K3201" s="65" t="inlineStr">
        <is>
          <t>N/D</t>
        </is>
      </c>
      <c r="L3201" s="127" t="inlineStr">
        <is>
          <t>Eredi Safari Sport Severi Gino di Armilli M. Teresa.</t>
        </is>
      </c>
      <c r="M3201" s="5" t="n">
        <v>50</v>
      </c>
      <c r="N3201" s="5" t="n"/>
      <c r="O3201" s="5">
        <f>+M3201+N3201</f>
        <v/>
      </c>
      <c r="P3201" s="4" t="n"/>
      <c r="Q3201" s="87" t="n"/>
      <c r="R3201" s="5" t="n"/>
      <c r="S3201" s="2" t="n"/>
      <c r="T3201" s="3" t="n"/>
      <c r="U3201" s="87" t="n"/>
      <c r="V3201" s="3" t="n"/>
      <c r="W3201" s="108" t="n"/>
      <c r="X3201" s="4" t="n"/>
    </row>
    <row r="3202" ht="24" customHeight="1">
      <c r="A3202" s="2">
        <f>+D3202-S3202</f>
        <v/>
      </c>
      <c r="B3202" s="80" t="n">
        <v>4792</v>
      </c>
      <c r="C3202" s="66" t="n">
        <v>45994</v>
      </c>
      <c r="D3202" s="2" t="n">
        <v>1</v>
      </c>
      <c r="E3202" s="3" t="inlineStr">
        <is>
          <t>PISTOLA SEMIAUTOMATICA</t>
        </is>
      </c>
      <c r="F3202" s="3" t="inlineStr">
        <is>
          <t>9X21</t>
        </is>
      </c>
      <c r="G3202" s="3" t="inlineStr">
        <is>
          <t>GLOCK</t>
        </is>
      </c>
      <c r="H3202" s="65" t="inlineStr">
        <is>
          <t>N/A</t>
        </is>
      </c>
      <c r="I3202" s="65" t="inlineStr">
        <is>
          <t>BHFT805</t>
        </is>
      </c>
      <c r="J3202" s="65" t="inlineStr">
        <is>
          <t>N/A</t>
        </is>
      </c>
      <c r="K3202" s="65" t="inlineStr">
        <is>
          <t>N/D</t>
        </is>
      </c>
      <c r="L3202" s="127" t="inlineStr">
        <is>
          <t>Eredi Safari Sport Severi Gino di Armilli M. Teresa.</t>
        </is>
      </c>
      <c r="M3202" s="5" t="n">
        <v>50</v>
      </c>
      <c r="N3202" s="5" t="n"/>
      <c r="O3202" s="5">
        <f>+M3202+N3202</f>
        <v/>
      </c>
      <c r="P3202" s="4" t="n"/>
      <c r="Q3202" s="87" t="n"/>
      <c r="R3202" s="5" t="n"/>
      <c r="S3202" s="2" t="n"/>
      <c r="T3202" s="3" t="n"/>
      <c r="U3202" s="87" t="n"/>
      <c r="V3202" s="3" t="n"/>
      <c r="W3202" s="108" t="n"/>
      <c r="X3202" s="4" t="n"/>
    </row>
    <row r="3203" ht="24" customHeight="1">
      <c r="A3203" s="2">
        <f>+D3203-S3203</f>
        <v/>
      </c>
      <c r="B3203" s="80" t="n">
        <v>4793</v>
      </c>
      <c r="C3203" s="66" t="n">
        <v>45994</v>
      </c>
      <c r="D3203" s="2" t="n">
        <v>1</v>
      </c>
      <c r="E3203" s="3" t="inlineStr">
        <is>
          <t>PISTOLA SEMIAUTOMATICA</t>
        </is>
      </c>
      <c r="F3203" s="3" t="inlineStr">
        <is>
          <t>9X21</t>
        </is>
      </c>
      <c r="G3203" s="3" t="inlineStr">
        <is>
          <t>HECKLER &amp; KOCH</t>
        </is>
      </c>
      <c r="H3203" s="65" t="inlineStr">
        <is>
          <t>N/A</t>
        </is>
      </c>
      <c r="I3203" s="65" t="inlineStr">
        <is>
          <t>226-001194</t>
        </is>
      </c>
      <c r="J3203" s="65" t="inlineStr">
        <is>
          <t>N/A</t>
        </is>
      </c>
      <c r="K3203" s="65" t="inlineStr">
        <is>
          <t>N/D</t>
        </is>
      </c>
      <c r="L3203" s="127" t="inlineStr">
        <is>
          <t>Eredi Safari Sport Severi Gino di Armilli M. Teresa.</t>
        </is>
      </c>
      <c r="M3203" s="5" t="n">
        <v>50</v>
      </c>
      <c r="N3203" s="5" t="n"/>
      <c r="O3203" s="5">
        <f>+M3203+N3203</f>
        <v/>
      </c>
      <c r="P3203" s="4" t="n"/>
      <c r="Q3203" s="87" t="n"/>
      <c r="R3203" s="5" t="n"/>
      <c r="S3203" s="2" t="n"/>
      <c r="T3203" s="3" t="n"/>
      <c r="U3203" s="87" t="n"/>
      <c r="V3203" s="3" t="n"/>
      <c r="W3203" s="108" t="n"/>
      <c r="X3203" s="4" t="n"/>
    </row>
    <row r="3204" ht="24" customHeight="1">
      <c r="A3204" s="2">
        <f>+D3204-S3204</f>
        <v/>
      </c>
      <c r="B3204" s="80" t="n">
        <v>4794</v>
      </c>
      <c r="C3204" s="66" t="n">
        <v>45994</v>
      </c>
      <c r="D3204" s="2" t="n">
        <v>1</v>
      </c>
      <c r="E3204" s="3" t="inlineStr">
        <is>
          <t>PISTOLA SEMIAUTOMATICA</t>
        </is>
      </c>
      <c r="F3204" s="3" t="inlineStr">
        <is>
          <t>9X21</t>
        </is>
      </c>
      <c r="G3204" s="3" t="inlineStr">
        <is>
          <t>BERETTA</t>
        </is>
      </c>
      <c r="H3204" s="65" t="inlineStr">
        <is>
          <t>N/A</t>
        </is>
      </c>
      <c r="I3204" s="65" t="inlineStr">
        <is>
          <t>SP001037</t>
        </is>
      </c>
      <c r="J3204" s="65" t="inlineStr">
        <is>
          <t>N/A</t>
        </is>
      </c>
      <c r="K3204" s="65" t="inlineStr">
        <is>
          <t>N/D</t>
        </is>
      </c>
      <c r="L3204" s="127" t="inlineStr">
        <is>
          <t>Eredi Safari Sport Severi Gino di Armilli M. Teresa.</t>
        </is>
      </c>
      <c r="M3204" s="5" t="n">
        <v>50</v>
      </c>
      <c r="N3204" s="5" t="n"/>
      <c r="O3204" s="5">
        <f>+M3204+N3204</f>
        <v/>
      </c>
      <c r="P3204" s="4" t="n"/>
      <c r="Q3204" s="87" t="n"/>
      <c r="R3204" s="5" t="n"/>
      <c r="S3204" s="2" t="n"/>
      <c r="T3204" s="3" t="n"/>
      <c r="U3204" s="87" t="n"/>
      <c r="V3204" s="3" t="n"/>
      <c r="W3204" s="108" t="n"/>
      <c r="X3204" s="4" t="n"/>
    </row>
    <row r="3205" ht="24" customHeight="1">
      <c r="A3205" s="2">
        <f>+D3205-S3205</f>
        <v/>
      </c>
      <c r="B3205" s="80" t="n">
        <v>4795</v>
      </c>
      <c r="C3205" s="66" t="n">
        <v>45994</v>
      </c>
      <c r="D3205" s="2" t="n">
        <v>1</v>
      </c>
      <c r="E3205" s="3" t="inlineStr">
        <is>
          <t>PISTOLA SEMIAUTOMATICA</t>
        </is>
      </c>
      <c r="F3205" s="3" t="inlineStr">
        <is>
          <t>9X21</t>
        </is>
      </c>
      <c r="G3205" s="3" t="inlineStr">
        <is>
          <t>BERETTA</t>
        </is>
      </c>
      <c r="H3205" s="65" t="inlineStr">
        <is>
          <t>N/A</t>
        </is>
      </c>
      <c r="I3205" s="65" t="inlineStr">
        <is>
          <t>E13066P</t>
        </is>
      </c>
      <c r="J3205" s="65" t="inlineStr">
        <is>
          <t>N/A</t>
        </is>
      </c>
      <c r="K3205" s="65" t="inlineStr">
        <is>
          <t>N/D</t>
        </is>
      </c>
      <c r="L3205" s="127" t="inlineStr">
        <is>
          <t>Eredi Safari Sport Severi Gino di Armilli M. Teresa.</t>
        </is>
      </c>
      <c r="M3205" s="5" t="n">
        <v>50</v>
      </c>
      <c r="N3205" s="5" t="n"/>
      <c r="O3205" s="5">
        <f>+M3205+N3205</f>
        <v/>
      </c>
      <c r="P3205" s="4" t="n"/>
      <c r="Q3205" s="87" t="n"/>
      <c r="R3205" s="5" t="n"/>
      <c r="S3205" s="2" t="n"/>
      <c r="T3205" s="3" t="n"/>
      <c r="U3205" s="87" t="n"/>
      <c r="V3205" s="3" t="n"/>
      <c r="W3205" s="108" t="n"/>
      <c r="X3205" s="4" t="n"/>
    </row>
    <row r="3206" ht="24" customHeight="1">
      <c r="A3206" s="2">
        <f>+D3206-S3206</f>
        <v/>
      </c>
      <c r="B3206" s="80" t="n">
        <v>4796</v>
      </c>
      <c r="C3206" s="66" t="n">
        <v>45994</v>
      </c>
      <c r="D3206" s="2" t="n">
        <v>1</v>
      </c>
      <c r="E3206" s="3" t="inlineStr">
        <is>
          <t>PISTOLA SEMIAUTOMATICA</t>
        </is>
      </c>
      <c r="F3206" s="3" t="inlineStr">
        <is>
          <t>9X21</t>
        </is>
      </c>
      <c r="G3206" s="3" t="inlineStr">
        <is>
          <t>TANFOGLIO</t>
        </is>
      </c>
      <c r="H3206" s="65" t="inlineStr">
        <is>
          <t>N/A</t>
        </is>
      </c>
      <c r="I3206" s="65" t="inlineStr">
        <is>
          <t>N9930400</t>
        </is>
      </c>
      <c r="J3206" s="65" t="inlineStr">
        <is>
          <t>N/A</t>
        </is>
      </c>
      <c r="K3206" s="65" t="inlineStr">
        <is>
          <t>N/D</t>
        </is>
      </c>
      <c r="L3206" s="127" t="inlineStr">
        <is>
          <t>Eredi Safari Sport Severi Gino di Armilli M. Teresa.</t>
        </is>
      </c>
      <c r="M3206" s="5" t="n">
        <v>50</v>
      </c>
      <c r="N3206" s="5" t="n"/>
      <c r="O3206" s="5">
        <f>+M3206+N3206</f>
        <v/>
      </c>
      <c r="P3206" s="4" t="n"/>
      <c r="Q3206" s="87" t="n"/>
      <c r="R3206" s="5" t="n"/>
      <c r="S3206" s="2" t="n"/>
      <c r="T3206" s="3" t="n"/>
      <c r="U3206" s="87" t="n"/>
      <c r="V3206" s="3" t="n"/>
      <c r="W3206" s="108" t="n"/>
      <c r="X3206" s="4" t="n"/>
    </row>
    <row r="3207" ht="24" customHeight="1">
      <c r="A3207" s="2">
        <f>+D3207-S3207</f>
        <v/>
      </c>
      <c r="B3207" s="80" t="n">
        <v>4797</v>
      </c>
      <c r="C3207" s="66" t="n">
        <v>45994</v>
      </c>
      <c r="D3207" s="2" t="n">
        <v>1</v>
      </c>
      <c r="E3207" s="3" t="inlineStr">
        <is>
          <t>PISTOLA SEMIAUTOMATICA</t>
        </is>
      </c>
      <c r="F3207" s="3" t="inlineStr">
        <is>
          <t>9X21</t>
        </is>
      </c>
      <c r="G3207" s="3" t="inlineStr">
        <is>
          <t>GLOCK</t>
        </is>
      </c>
      <c r="H3207" s="65" t="inlineStr">
        <is>
          <t>N/A</t>
        </is>
      </c>
      <c r="I3207" s="65" t="inlineStr">
        <is>
          <t>FMM404</t>
        </is>
      </c>
      <c r="J3207" s="65" t="inlineStr">
        <is>
          <t>N/A</t>
        </is>
      </c>
      <c r="K3207" s="65" t="inlineStr">
        <is>
          <t>N/D</t>
        </is>
      </c>
      <c r="L3207" s="127" t="inlineStr">
        <is>
          <t>Eredi Safari Sport Severi Gino di Armilli M. Teresa.</t>
        </is>
      </c>
      <c r="M3207" s="5" t="n">
        <v>50</v>
      </c>
      <c r="N3207" s="5" t="n"/>
      <c r="O3207" s="5">
        <f>+M3207+N3207</f>
        <v/>
      </c>
      <c r="P3207" s="4" t="n"/>
      <c r="Q3207" s="87" t="n"/>
      <c r="R3207" s="5" t="n"/>
      <c r="S3207" s="2" t="n"/>
      <c r="T3207" s="3" t="n"/>
      <c r="U3207" s="87" t="n"/>
      <c r="V3207" s="3" t="n"/>
      <c r="W3207" s="108" t="n"/>
      <c r="X3207" s="4" t="n"/>
    </row>
    <row r="3208" ht="24" customHeight="1">
      <c r="A3208" s="2">
        <f>+D3208-S3208</f>
        <v/>
      </c>
      <c r="B3208" s="80" t="n">
        <v>4798</v>
      </c>
      <c r="C3208" s="66" t="n">
        <v>45994</v>
      </c>
      <c r="D3208" s="2" t="n">
        <v>1</v>
      </c>
      <c r="E3208" s="3" t="inlineStr">
        <is>
          <t>PISTOLA SEMIAUTOMATICA</t>
        </is>
      </c>
      <c r="F3208" s="3" t="inlineStr">
        <is>
          <t>9X21</t>
        </is>
      </c>
      <c r="G3208" s="3" t="inlineStr">
        <is>
          <t>BERETTA</t>
        </is>
      </c>
      <c r="H3208" s="65" t="inlineStr">
        <is>
          <t>N/A</t>
        </is>
      </c>
      <c r="I3208" s="65" t="inlineStr">
        <is>
          <t>E60901P</t>
        </is>
      </c>
      <c r="J3208" s="65" t="inlineStr">
        <is>
          <t>N/A</t>
        </is>
      </c>
      <c r="K3208" s="65" t="inlineStr">
        <is>
          <t>N/D</t>
        </is>
      </c>
      <c r="L3208" s="127" t="inlineStr">
        <is>
          <t>Eredi Safari Sport Severi Gino di Armilli M. Teresa.</t>
        </is>
      </c>
      <c r="M3208" s="5" t="n">
        <v>50</v>
      </c>
      <c r="N3208" s="5" t="n"/>
      <c r="O3208" s="5">
        <f>+M3208+N3208</f>
        <v/>
      </c>
      <c r="P3208" s="4" t="n"/>
      <c r="Q3208" s="87" t="n"/>
      <c r="R3208" s="5" t="n"/>
      <c r="S3208" s="2" t="n"/>
      <c r="T3208" s="3" t="n"/>
      <c r="U3208" s="87" t="n"/>
      <c r="V3208" s="3" t="n"/>
      <c r="W3208" s="108" t="n"/>
      <c r="X3208" s="4" t="n"/>
    </row>
    <row r="3209" ht="24" customHeight="1">
      <c r="A3209" s="2">
        <f>+D3209-S3209</f>
        <v/>
      </c>
      <c r="B3209" s="80" t="n">
        <v>4799</v>
      </c>
      <c r="C3209" s="66" t="n">
        <v>45994</v>
      </c>
      <c r="D3209" s="2" t="n">
        <v>1</v>
      </c>
      <c r="E3209" s="3" t="inlineStr">
        <is>
          <t>PISTOLA SEMIAUTOMATICA</t>
        </is>
      </c>
      <c r="F3209" s="3" t="inlineStr">
        <is>
          <t>9X21</t>
        </is>
      </c>
      <c r="G3209" s="3" t="inlineStr">
        <is>
          <t>BERETTA</t>
        </is>
      </c>
      <c r="H3209" s="65" t="inlineStr">
        <is>
          <t>N/A</t>
        </is>
      </c>
      <c r="I3209" s="65" t="inlineStr">
        <is>
          <t>F15064P</t>
        </is>
      </c>
      <c r="J3209" s="65" t="inlineStr">
        <is>
          <t>N/A</t>
        </is>
      </c>
      <c r="K3209" s="65" t="inlineStr">
        <is>
          <t>N/D</t>
        </is>
      </c>
      <c r="L3209" s="127" t="inlineStr">
        <is>
          <t>Eredi Safari Sport Severi Gino di Armilli M. Teresa.</t>
        </is>
      </c>
      <c r="M3209" s="5" t="n">
        <v>50</v>
      </c>
      <c r="N3209" s="5" t="n"/>
      <c r="O3209" s="5">
        <f>+M3209+N3209</f>
        <v/>
      </c>
      <c r="P3209" s="4" t="n"/>
      <c r="Q3209" s="87" t="n"/>
      <c r="R3209" s="5" t="n"/>
      <c r="S3209" s="2" t="n"/>
      <c r="T3209" s="3" t="n"/>
      <c r="U3209" s="87" t="n"/>
      <c r="V3209" s="3" t="n"/>
      <c r="W3209" s="108" t="n"/>
      <c r="X3209" s="4" t="n"/>
    </row>
    <row r="3210" ht="24" customHeight="1">
      <c r="A3210" s="2">
        <f>+D3210-S3210</f>
        <v/>
      </c>
      <c r="B3210" s="80" t="n">
        <v>4800</v>
      </c>
      <c r="C3210" s="66" t="n">
        <v>45994</v>
      </c>
      <c r="D3210" s="2" t="n">
        <v>1</v>
      </c>
      <c r="E3210" s="3" t="inlineStr">
        <is>
          <t>REVOLVER</t>
        </is>
      </c>
      <c r="F3210" s="3" t="inlineStr">
        <is>
          <t>357 Mag</t>
        </is>
      </c>
      <c r="G3210" s="3" t="inlineStr">
        <is>
          <t>ASTRA</t>
        </is>
      </c>
      <c r="H3210" s="65" t="inlineStr">
        <is>
          <t>N/A</t>
        </is>
      </c>
      <c r="I3210" s="65" t="inlineStr">
        <is>
          <t>R185521</t>
        </is>
      </c>
      <c r="J3210" s="65" t="inlineStr">
        <is>
          <t>N/A</t>
        </is>
      </c>
      <c r="K3210" s="65" t="inlineStr">
        <is>
          <t>N/D</t>
        </is>
      </c>
      <c r="L3210" s="127" t="inlineStr">
        <is>
          <t>Eredi Safari Sport Severi Gino di Armilli M. Teresa.</t>
        </is>
      </c>
      <c r="M3210" s="5" t="n">
        <v>50</v>
      </c>
      <c r="N3210" s="5" t="n"/>
      <c r="O3210" s="5">
        <f>+M3210+N3210</f>
        <v/>
      </c>
      <c r="P3210" s="4" t="n"/>
      <c r="Q3210" s="87" t="n"/>
      <c r="R3210" s="5" t="n"/>
      <c r="S3210" s="2" t="n"/>
      <c r="T3210" s="3" t="n"/>
      <c r="U3210" s="87" t="n"/>
      <c r="V3210" s="3" t="n"/>
      <c r="W3210" s="108" t="n"/>
      <c r="X3210" s="4" t="n"/>
    </row>
    <row r="3211" ht="24" customHeight="1">
      <c r="A3211" s="2">
        <f>+D3211-S3211</f>
        <v/>
      </c>
      <c r="B3211" s="80" t="n">
        <v>4801</v>
      </c>
      <c r="C3211" s="66" t="n">
        <v>45994</v>
      </c>
      <c r="D3211" s="2" t="n">
        <v>1</v>
      </c>
      <c r="E3211" s="3" t="inlineStr">
        <is>
          <t>PISTOLA SEMIAUTOMATICA</t>
        </is>
      </c>
      <c r="F3211" s="3" t="inlineStr">
        <is>
          <t>7.65</t>
        </is>
      </c>
      <c r="G3211" s="3" t="inlineStr">
        <is>
          <t>BERETTA</t>
        </is>
      </c>
      <c r="H3211" s="65" t="inlineStr">
        <is>
          <t>N/A</t>
        </is>
      </c>
      <c r="I3211" s="65" t="inlineStr">
        <is>
          <t>D21058W</t>
        </is>
      </c>
      <c r="J3211" s="65" t="inlineStr">
        <is>
          <t>N/A</t>
        </is>
      </c>
      <c r="K3211" s="65" t="inlineStr">
        <is>
          <t>N/D</t>
        </is>
      </c>
      <c r="L3211" s="127" t="inlineStr">
        <is>
          <t>Eredi Safari Sport Severi Gino di Armilli M. Teresa.</t>
        </is>
      </c>
      <c r="M3211" s="5" t="n">
        <v>50</v>
      </c>
      <c r="N3211" s="5" t="n"/>
      <c r="O3211" s="5">
        <f>+M3211+N3211</f>
        <v/>
      </c>
      <c r="P3211" s="4" t="n"/>
      <c r="Q3211" s="87" t="n"/>
      <c r="R3211" s="5" t="n"/>
      <c r="S3211" s="2" t="n"/>
      <c r="T3211" s="3" t="n"/>
      <c r="U3211" s="87" t="n"/>
      <c r="V3211" s="3" t="n"/>
      <c r="W3211" s="108" t="n"/>
      <c r="X3211" s="4" t="n"/>
    </row>
    <row r="3212" ht="24" customHeight="1">
      <c r="A3212" s="2">
        <f>+D3212-S3212</f>
        <v/>
      </c>
      <c r="B3212" s="80" t="n">
        <v>4802</v>
      </c>
      <c r="C3212" s="66" t="n">
        <v>45994</v>
      </c>
      <c r="D3212" s="2" t="n">
        <v>1</v>
      </c>
      <c r="E3212" s="3" t="inlineStr">
        <is>
          <t>PISTOLA SEMIAUTOMATICA</t>
        </is>
      </c>
      <c r="F3212" s="3" t="inlineStr">
        <is>
          <t>7.65</t>
        </is>
      </c>
      <c r="G3212" s="3" t="inlineStr">
        <is>
          <t>BERETTA</t>
        </is>
      </c>
      <c r="H3212" s="65" t="inlineStr">
        <is>
          <t>N/A</t>
        </is>
      </c>
      <c r="I3212" s="65" t="inlineStr">
        <is>
          <t>L24517</t>
        </is>
      </c>
      <c r="J3212" s="65" t="inlineStr">
        <is>
          <t>N/A</t>
        </is>
      </c>
      <c r="K3212" s="65" t="inlineStr">
        <is>
          <t>N/D</t>
        </is>
      </c>
      <c r="L3212" s="127" t="inlineStr">
        <is>
          <t>Eredi Safari Sport Severi Gino di Armilli M. Teresa.</t>
        </is>
      </c>
      <c r="M3212" s="5" t="n">
        <v>50</v>
      </c>
      <c r="N3212" s="5" t="n"/>
      <c r="O3212" s="5">
        <f>+M3212+N3212</f>
        <v/>
      </c>
      <c r="P3212" s="4" t="n"/>
      <c r="Q3212" s="87" t="n"/>
      <c r="R3212" s="5" t="n"/>
      <c r="S3212" s="2" t="n"/>
      <c r="T3212" s="3" t="n"/>
      <c r="U3212" s="87" t="n"/>
      <c r="V3212" s="3" t="n"/>
      <c r="W3212" s="108" t="n"/>
      <c r="X3212" s="4" t="n"/>
    </row>
    <row r="3213" ht="24" customHeight="1">
      <c r="A3213" s="2">
        <f>+D3213-S3213</f>
        <v/>
      </c>
      <c r="B3213" s="80" t="n">
        <v>4803</v>
      </c>
      <c r="C3213" s="66" t="n">
        <v>45994</v>
      </c>
      <c r="D3213" s="2" t="n">
        <v>1</v>
      </c>
      <c r="E3213" s="3" t="inlineStr">
        <is>
          <t>REVOLVER</t>
        </is>
      </c>
      <c r="F3213" s="3" t="inlineStr">
        <is>
          <t>38 SP</t>
        </is>
      </c>
      <c r="G3213" s="3" t="inlineStr">
        <is>
          <t>COLT</t>
        </is>
      </c>
      <c r="H3213" s="65" t="inlineStr">
        <is>
          <t>N/A</t>
        </is>
      </c>
      <c r="I3213" s="65" t="inlineStr">
        <is>
          <t>M63421</t>
        </is>
      </c>
      <c r="J3213" s="65" t="inlineStr">
        <is>
          <t>N/A</t>
        </is>
      </c>
      <c r="K3213" s="65" t="inlineStr">
        <is>
          <t>N/D</t>
        </is>
      </c>
      <c r="L3213" s="127" t="inlineStr">
        <is>
          <t>Eredi Safari Sport Severi Gino di Armilli M. Teresa.</t>
        </is>
      </c>
      <c r="M3213" s="5" t="n">
        <v>50</v>
      </c>
      <c r="N3213" s="5" t="n"/>
      <c r="O3213" s="5">
        <f>+M3213+N3213</f>
        <v/>
      </c>
      <c r="P3213" s="4" t="n"/>
      <c r="Q3213" s="87" t="n"/>
      <c r="R3213" s="5" t="n"/>
      <c r="S3213" s="2" t="n"/>
      <c r="T3213" s="3" t="n"/>
      <c r="U3213" s="87" t="n"/>
      <c r="V3213" s="3" t="n"/>
      <c r="W3213" s="108" t="n"/>
      <c r="X3213" s="4" t="n"/>
    </row>
    <row r="3214" ht="24" customHeight="1">
      <c r="A3214" s="2">
        <f>+D3214-S3214</f>
        <v/>
      </c>
      <c r="B3214" s="80" t="n">
        <v>4804</v>
      </c>
      <c r="C3214" s="66" t="n">
        <v>45994</v>
      </c>
      <c r="D3214" s="2" t="n">
        <v>1</v>
      </c>
      <c r="E3214" s="3" t="inlineStr">
        <is>
          <t>PISTOLA SEMIAUTOMATICA</t>
        </is>
      </c>
      <c r="F3214" s="3" t="inlineStr">
        <is>
          <t>9X21</t>
        </is>
      </c>
      <c r="G3214" s="3" t="inlineStr">
        <is>
          <t>WALTHER</t>
        </is>
      </c>
      <c r="H3214" s="65" t="inlineStr">
        <is>
          <t>N/A</t>
        </is>
      </c>
      <c r="I3214" s="65" t="inlineStr">
        <is>
          <t>024805W689</t>
        </is>
      </c>
      <c r="J3214" s="65" t="inlineStr">
        <is>
          <t>N/A</t>
        </is>
      </c>
      <c r="K3214" s="65" t="inlineStr">
        <is>
          <t>N/D</t>
        </is>
      </c>
      <c r="L3214" s="127" t="inlineStr">
        <is>
          <t>Eredi Safari Sport Severi Gino di Armilli M. Teresa.</t>
        </is>
      </c>
      <c r="M3214" s="5" t="n">
        <v>50</v>
      </c>
      <c r="N3214" s="5" t="n"/>
      <c r="O3214" s="5">
        <f>+M3214+N3214</f>
        <v/>
      </c>
      <c r="P3214" s="4" t="n"/>
      <c r="Q3214" s="87" t="n"/>
      <c r="R3214" s="5" t="n"/>
      <c r="S3214" s="2" t="n"/>
      <c r="T3214" s="3" t="n"/>
      <c r="U3214" s="87" t="n"/>
      <c r="V3214" s="3" t="n"/>
      <c r="W3214" s="108" t="n"/>
      <c r="X3214" s="4" t="n"/>
    </row>
    <row r="3215" ht="24" customHeight="1">
      <c r="A3215" s="2">
        <f>+D3215-S3215</f>
        <v/>
      </c>
      <c r="B3215" s="80" t="n">
        <v>4805</v>
      </c>
      <c r="C3215" s="66" t="n">
        <v>45994</v>
      </c>
      <c r="D3215" s="2" t="n">
        <v>1</v>
      </c>
      <c r="E3215" s="3" t="inlineStr">
        <is>
          <t>PISTOLA SEMIAUTOMATICA</t>
        </is>
      </c>
      <c r="F3215" s="3" t="inlineStr">
        <is>
          <t>6.35</t>
        </is>
      </c>
      <c r="G3215" s="3" t="inlineStr">
        <is>
          <t>BROWNING</t>
        </is>
      </c>
      <c r="H3215" s="65" t="inlineStr">
        <is>
          <t>N/A</t>
        </is>
      </c>
      <c r="I3215" s="65" t="n">
        <v>305449</v>
      </c>
      <c r="J3215" s="65" t="inlineStr">
        <is>
          <t>N/A</t>
        </is>
      </c>
      <c r="K3215" s="65" t="inlineStr">
        <is>
          <t>N/D</t>
        </is>
      </c>
      <c r="L3215" s="127" t="inlineStr">
        <is>
          <t>Eredi Safari Sport Severi Gino di Armilli M. Teresa.</t>
        </is>
      </c>
      <c r="M3215" s="5" t="n">
        <v>50</v>
      </c>
      <c r="N3215" s="5" t="n"/>
      <c r="O3215" s="5">
        <f>+M3215+N3215</f>
        <v/>
      </c>
      <c r="P3215" s="4" t="n"/>
      <c r="Q3215" s="87" t="n"/>
      <c r="R3215" s="5" t="n"/>
      <c r="S3215" s="2" t="n"/>
      <c r="T3215" s="3" t="n"/>
      <c r="U3215" s="87" t="n"/>
      <c r="V3215" s="3" t="n"/>
      <c r="W3215" s="108" t="n"/>
      <c r="X3215" s="4" t="n"/>
    </row>
    <row r="3216" ht="24" customHeight="1">
      <c r="A3216" s="2">
        <f>+D3216-S3216</f>
        <v/>
      </c>
      <c r="B3216" s="80" t="n">
        <v>4806</v>
      </c>
      <c r="C3216" s="66" t="n">
        <v>45994</v>
      </c>
      <c r="D3216" s="2" t="n">
        <v>1</v>
      </c>
      <c r="E3216" s="3" t="inlineStr">
        <is>
          <t>PISTOLA SEMIAUTOMATICA</t>
        </is>
      </c>
      <c r="F3216" s="3" t="inlineStr">
        <is>
          <t>9X21</t>
        </is>
      </c>
      <c r="G3216" s="3" t="inlineStr">
        <is>
          <t>GLOCK</t>
        </is>
      </c>
      <c r="H3216" s="65" t="inlineStr">
        <is>
          <t>N/A</t>
        </is>
      </c>
      <c r="I3216" s="65" t="inlineStr">
        <is>
          <t>BBUZ332</t>
        </is>
      </c>
      <c r="J3216" s="65" t="inlineStr">
        <is>
          <t>N/A</t>
        </is>
      </c>
      <c r="K3216" s="65" t="inlineStr">
        <is>
          <t>N/D</t>
        </is>
      </c>
      <c r="L3216" s="127" t="inlineStr">
        <is>
          <t>Eredi Safari Sport Severi Gino di Armilli M. Teresa.</t>
        </is>
      </c>
      <c r="M3216" s="5" t="n">
        <v>50</v>
      </c>
      <c r="N3216" s="5" t="n"/>
      <c r="O3216" s="5">
        <f>+M3216+N3216</f>
        <v/>
      </c>
      <c r="P3216" s="4" t="n"/>
      <c r="Q3216" s="87" t="n"/>
      <c r="R3216" s="5" t="n"/>
      <c r="S3216" s="2" t="n"/>
      <c r="T3216" s="3" t="n"/>
      <c r="U3216" s="87" t="n"/>
      <c r="V3216" s="3" t="n"/>
      <c r="W3216" s="108" t="n"/>
      <c r="X3216" s="4" t="n"/>
    </row>
    <row r="3217" ht="24" customHeight="1">
      <c r="A3217" s="2">
        <f>+D3217-S3217</f>
        <v/>
      </c>
      <c r="B3217" s="80" t="n">
        <v>4807</v>
      </c>
      <c r="C3217" s="66" t="n">
        <v>45994</v>
      </c>
      <c r="D3217" s="2" t="n">
        <v>1</v>
      </c>
      <c r="E3217" s="3" t="inlineStr">
        <is>
          <t>PISTOLA SEMIAUTOMATICA</t>
        </is>
      </c>
      <c r="F3217" s="3" t="inlineStr">
        <is>
          <t>9X21</t>
        </is>
      </c>
      <c r="G3217" s="3" t="inlineStr">
        <is>
          <t>BERETTA</t>
        </is>
      </c>
      <c r="H3217" s="65" t="inlineStr">
        <is>
          <t>N/A</t>
        </is>
      </c>
      <c r="I3217" s="65" t="inlineStr">
        <is>
          <t>SP002935</t>
        </is>
      </c>
      <c r="J3217" s="65" t="inlineStr">
        <is>
          <t>N/A</t>
        </is>
      </c>
      <c r="K3217" s="65" t="inlineStr">
        <is>
          <t>N/D</t>
        </is>
      </c>
      <c r="L3217" s="127" t="inlineStr">
        <is>
          <t>Eredi Safari Sport Severi Gino di Armilli M. Teresa.</t>
        </is>
      </c>
      <c r="M3217" s="5" t="n">
        <v>50</v>
      </c>
      <c r="N3217" s="5" t="n"/>
      <c r="O3217" s="5">
        <f>+M3217+N3217</f>
        <v/>
      </c>
      <c r="P3217" s="4" t="n"/>
      <c r="Q3217" s="87" t="n"/>
      <c r="R3217" s="5" t="n"/>
      <c r="S3217" s="2" t="n"/>
      <c r="T3217" s="3" t="n"/>
      <c r="U3217" s="87" t="n"/>
      <c r="V3217" s="3" t="n"/>
      <c r="W3217" s="108" t="n"/>
      <c r="X3217" s="4" t="n"/>
    </row>
    <row r="3218" ht="24" customHeight="1">
      <c r="A3218" s="2">
        <f>+D3218-S3218</f>
        <v/>
      </c>
      <c r="B3218" s="80" t="n">
        <v>4808</v>
      </c>
      <c r="C3218" s="66" t="n">
        <v>45994</v>
      </c>
      <c r="D3218" s="2" t="n">
        <v>1</v>
      </c>
      <c r="E3218" s="3" t="inlineStr">
        <is>
          <t>PISTOLA SEMIAUTOMATICA</t>
        </is>
      </c>
      <c r="F3218" s="3" t="inlineStr">
        <is>
          <t>9X21</t>
        </is>
      </c>
      <c r="G3218" s="3" t="inlineStr">
        <is>
          <t>GLOCK</t>
        </is>
      </c>
      <c r="H3218" s="65" t="inlineStr">
        <is>
          <t>N/A</t>
        </is>
      </c>
      <c r="I3218" s="65" t="inlineStr">
        <is>
          <t>BGEE679</t>
        </is>
      </c>
      <c r="J3218" s="65" t="inlineStr">
        <is>
          <t>N/A</t>
        </is>
      </c>
      <c r="K3218" s="65" t="inlineStr">
        <is>
          <t>N/D</t>
        </is>
      </c>
      <c r="L3218" s="127" t="inlineStr">
        <is>
          <t>Eredi Safari Sport Severi Gino di Armilli M. Teresa.</t>
        </is>
      </c>
      <c r="M3218" s="5" t="n">
        <v>100</v>
      </c>
      <c r="N3218" s="5" t="n"/>
      <c r="O3218" s="5">
        <f>+M3218+N3218</f>
        <v/>
      </c>
      <c r="P3218" s="4" t="n"/>
      <c r="Q3218" s="87" t="n"/>
      <c r="R3218" s="5" t="n"/>
      <c r="S3218" s="2" t="n"/>
      <c r="T3218" s="3" t="n"/>
      <c r="U3218" s="87" t="n"/>
      <c r="V3218" s="3" t="n"/>
      <c r="W3218" s="108" t="n"/>
      <c r="X3218" s="4" t="n"/>
    </row>
    <row r="3219" ht="24" customHeight="1">
      <c r="A3219" s="2">
        <f>+D3219-S3219</f>
        <v/>
      </c>
      <c r="B3219" s="80" t="n">
        <v>4809</v>
      </c>
      <c r="C3219" s="66" t="n">
        <v>45994</v>
      </c>
      <c r="D3219" s="2" t="n">
        <v>1</v>
      </c>
      <c r="E3219" s="3" t="inlineStr">
        <is>
          <t>PISTOLA SEMIAUTOMATICA</t>
        </is>
      </c>
      <c r="F3219" s="3" t="inlineStr">
        <is>
          <t>9X21</t>
        </is>
      </c>
      <c r="G3219" s="3" t="inlineStr">
        <is>
          <t>WALTHER</t>
        </is>
      </c>
      <c r="H3219" s="65" t="inlineStr">
        <is>
          <t>N/A</t>
        </is>
      </c>
      <c r="I3219" s="65" t="inlineStr">
        <is>
          <t>FBB6968</t>
        </is>
      </c>
      <c r="J3219" s="65" t="inlineStr">
        <is>
          <t>N/A</t>
        </is>
      </c>
      <c r="K3219" s="65" t="inlineStr">
        <is>
          <t>N/D</t>
        </is>
      </c>
      <c r="L3219" s="127" t="inlineStr">
        <is>
          <t>Eredi Safari Sport Severi Gino di Armilli M. Teresa.</t>
        </is>
      </c>
      <c r="M3219" s="5" t="n">
        <v>100</v>
      </c>
      <c r="N3219" s="5" t="n"/>
      <c r="O3219" s="5">
        <f>+M3219+N3219</f>
        <v/>
      </c>
      <c r="P3219" s="4" t="n"/>
      <c r="Q3219" s="87" t="n"/>
      <c r="R3219" s="5" t="n"/>
      <c r="S3219" s="2" t="n"/>
      <c r="T3219" s="3" t="n"/>
      <c r="U3219" s="87" t="n"/>
      <c r="V3219" s="3" t="n"/>
      <c r="W3219" s="108" t="n"/>
      <c r="X3219" s="4" t="n"/>
    </row>
    <row r="3220" ht="24" customHeight="1">
      <c r="A3220" s="2">
        <f>+D3220-S3220</f>
        <v/>
      </c>
      <c r="B3220" s="80" t="n">
        <v>4810</v>
      </c>
      <c r="C3220" s="66" t="n">
        <v>45994</v>
      </c>
      <c r="D3220" s="2" t="n">
        <v>1</v>
      </c>
      <c r="E3220" s="3" t="inlineStr">
        <is>
          <t>PISTOLA SEMIAUTOMATICA</t>
        </is>
      </c>
      <c r="F3220" s="3" t="inlineStr">
        <is>
          <t>9X21</t>
        </is>
      </c>
      <c r="G3220" s="3" t="inlineStr">
        <is>
          <t>GLOCK</t>
        </is>
      </c>
      <c r="H3220" s="65" t="inlineStr">
        <is>
          <t>N/A</t>
        </is>
      </c>
      <c r="I3220" s="65" t="inlineStr">
        <is>
          <t>DTN750</t>
        </is>
      </c>
      <c r="J3220" s="65" t="inlineStr">
        <is>
          <t>N/A</t>
        </is>
      </c>
      <c r="K3220" s="65" t="inlineStr">
        <is>
          <t>N/D</t>
        </is>
      </c>
      <c r="L3220" s="127" t="inlineStr">
        <is>
          <t>Eredi Safari Sport Severi Gino di Armilli M. Teresa.</t>
        </is>
      </c>
      <c r="M3220" s="5" t="n">
        <v>50</v>
      </c>
      <c r="N3220" s="5" t="n"/>
      <c r="O3220" s="5">
        <f>+M3220+N3220</f>
        <v/>
      </c>
      <c r="P3220" s="4" t="n"/>
      <c r="Q3220" s="87" t="n"/>
      <c r="R3220" s="5" t="n"/>
      <c r="S3220" s="2" t="n"/>
      <c r="T3220" s="3" t="n"/>
      <c r="U3220" s="87" t="n"/>
      <c r="V3220" s="3" t="n"/>
      <c r="W3220" s="108" t="n"/>
      <c r="X3220" s="4" t="n"/>
    </row>
    <row r="3221" ht="24" customHeight="1">
      <c r="A3221" s="2">
        <f>+D3221-S3221</f>
        <v/>
      </c>
      <c r="B3221" s="80" t="n">
        <v>4811</v>
      </c>
      <c r="C3221" s="66" t="n">
        <v>45994</v>
      </c>
      <c r="D3221" s="2" t="n">
        <v>1</v>
      </c>
      <c r="E3221" s="3" t="inlineStr">
        <is>
          <t>PISTOLA SEMIAUTOMATICA</t>
        </is>
      </c>
      <c r="F3221" s="3" t="inlineStr">
        <is>
          <t>7.65</t>
        </is>
      </c>
      <c r="G3221" s="3" t="inlineStr">
        <is>
          <t>GAMBA</t>
        </is>
      </c>
      <c r="H3221" s="65" t="inlineStr">
        <is>
          <t>N/A</t>
        </is>
      </c>
      <c r="I3221" s="65" t="inlineStr">
        <is>
          <t>C10241</t>
        </is>
      </c>
      <c r="J3221" s="65" t="inlineStr">
        <is>
          <t>N/A</t>
        </is>
      </c>
      <c r="K3221" s="65" t="inlineStr">
        <is>
          <t>N/D</t>
        </is>
      </c>
      <c r="L3221" s="127" t="inlineStr">
        <is>
          <t>Eredi Safari Sport Severi Gino di Armilli M. Teresa.</t>
        </is>
      </c>
      <c r="M3221" s="5" t="n">
        <v>50</v>
      </c>
      <c r="N3221" s="5" t="n"/>
      <c r="O3221" s="5">
        <f>+M3221+N3221</f>
        <v/>
      </c>
      <c r="P3221" s="4" t="n"/>
      <c r="Q3221" s="87" t="n"/>
      <c r="R3221" s="5" t="n"/>
      <c r="S3221" s="2" t="n"/>
      <c r="T3221" s="3" t="n"/>
      <c r="U3221" s="87" t="n"/>
      <c r="V3221" s="3" t="n"/>
      <c r="W3221" s="108" t="n"/>
      <c r="X3221" s="4" t="n"/>
    </row>
    <row r="3222" ht="24" customHeight="1">
      <c r="A3222" s="2">
        <f>+D3222-S3222</f>
        <v/>
      </c>
      <c r="B3222" s="80" t="n">
        <v>4812</v>
      </c>
      <c r="C3222" s="66" t="n">
        <v>45994</v>
      </c>
      <c r="D3222" s="2" t="n">
        <v>1</v>
      </c>
      <c r="E3222" s="3" t="inlineStr">
        <is>
          <t>PISTOLA SEMIAUTOMATICA</t>
        </is>
      </c>
      <c r="F3222" s="3" t="inlineStr">
        <is>
          <t>6</t>
        </is>
      </c>
      <c r="G3222" s="3" t="inlineStr">
        <is>
          <t>MAYER</t>
        </is>
      </c>
      <c r="H3222" s="65" t="inlineStr">
        <is>
          <t>N/A</t>
        </is>
      </c>
      <c r="I3222" s="65" t="inlineStr">
        <is>
          <t>720626-733</t>
        </is>
      </c>
      <c r="J3222" s="65" t="inlineStr">
        <is>
          <t>N/A</t>
        </is>
      </c>
      <c r="K3222" s="65" t="inlineStr">
        <is>
          <t>N/D</t>
        </is>
      </c>
      <c r="L3222" s="127" t="inlineStr">
        <is>
          <t>Eredi Safari Sport Severi Gino di Armilli M. Teresa.</t>
        </is>
      </c>
      <c r="M3222" s="5" t="n">
        <v>50</v>
      </c>
      <c r="N3222" s="5" t="n"/>
      <c r="O3222" s="5">
        <f>+M3222+N3222</f>
        <v/>
      </c>
      <c r="P3222" s="4" t="n"/>
      <c r="Q3222" s="87" t="n"/>
      <c r="R3222" s="5" t="n"/>
      <c r="S3222" s="2" t="n"/>
      <c r="T3222" s="3" t="n"/>
      <c r="U3222" s="87" t="n"/>
      <c r="V3222" s="3" t="n"/>
      <c r="W3222" s="108" t="n"/>
      <c r="X3222" s="4" t="n"/>
    </row>
    <row r="3223" ht="24" customHeight="1">
      <c r="A3223" s="2">
        <f>+D3223-S3223</f>
        <v/>
      </c>
      <c r="B3223" s="80" t="n">
        <v>4813</v>
      </c>
      <c r="C3223" s="66" t="n">
        <v>45994</v>
      </c>
      <c r="D3223" s="2" t="n">
        <v>1</v>
      </c>
      <c r="E3223" s="3" t="inlineStr">
        <is>
          <t>REVOLVER</t>
        </is>
      </c>
      <c r="F3223" s="3" t="inlineStr">
        <is>
          <t>32 S&amp;W</t>
        </is>
      </c>
      <c r="G3223" s="3" t="inlineStr">
        <is>
          <t>TF</t>
        </is>
      </c>
      <c r="H3223" s="65" t="inlineStr">
        <is>
          <t>N/A</t>
        </is>
      </c>
      <c r="I3223" s="65" t="n">
        <v>99</v>
      </c>
      <c r="J3223" s="65" t="inlineStr">
        <is>
          <t>N/A</t>
        </is>
      </c>
      <c r="K3223" s="65" t="inlineStr">
        <is>
          <t>N/D</t>
        </is>
      </c>
      <c r="L3223" s="127" t="inlineStr">
        <is>
          <t>Eredi Safari Sport Severi Gino di Armilli M. Teresa.</t>
        </is>
      </c>
      <c r="M3223" s="5" t="n">
        <v>50</v>
      </c>
      <c r="N3223" s="5" t="n"/>
      <c r="O3223" s="5">
        <f>+M3223+N3223</f>
        <v/>
      </c>
      <c r="P3223" s="4" t="n"/>
      <c r="Q3223" s="87" t="n"/>
      <c r="R3223" s="5" t="n"/>
      <c r="S3223" s="2" t="n"/>
      <c r="T3223" s="3" t="n"/>
      <c r="U3223" s="87" t="n"/>
      <c r="V3223" s="3" t="n"/>
      <c r="W3223" s="108" t="n"/>
      <c r="X3223" s="4" t="n"/>
    </row>
    <row r="3224" ht="24" customHeight="1">
      <c r="A3224" s="2">
        <f>+D3224-S3224</f>
        <v/>
      </c>
      <c r="B3224" s="80" t="n">
        <v>4814</v>
      </c>
      <c r="C3224" s="66" t="n">
        <v>45994</v>
      </c>
      <c r="D3224" s="2" t="n">
        <v>1</v>
      </c>
      <c r="E3224" s="3" t="inlineStr">
        <is>
          <t>ACCESSORI</t>
        </is>
      </c>
      <c r="F3224" s="3" t="inlineStr">
        <is>
          <t>22LR</t>
        </is>
      </c>
      <c r="G3224" s="3" t="inlineStr">
        <is>
          <t>J.A.C.</t>
        </is>
      </c>
      <c r="H3224" s="65" t="inlineStr">
        <is>
          <t>N/A</t>
        </is>
      </c>
      <c r="I3224" s="65" t="n">
        <v>11708972</v>
      </c>
      <c r="J3224" s="65" t="inlineStr">
        <is>
          <t>N/A</t>
        </is>
      </c>
      <c r="K3224" s="65" t="inlineStr">
        <is>
          <t>N/D</t>
        </is>
      </c>
      <c r="L3224" s="127" t="inlineStr">
        <is>
          <t>Eredi Safari Sport Severi Gino di Armilli M. Teresa.</t>
        </is>
      </c>
      <c r="M3224" s="5" t="n">
        <v>50</v>
      </c>
      <c r="N3224" s="5" t="n"/>
      <c r="O3224" s="5">
        <f>+M3224+N3224</f>
        <v/>
      </c>
      <c r="P3224" s="4" t="n"/>
      <c r="Q3224" s="87" t="n"/>
      <c r="R3224" s="5" t="n"/>
      <c r="S3224" s="2" t="n"/>
      <c r="T3224" s="3" t="n"/>
      <c r="U3224" s="87" t="n"/>
      <c r="V3224" s="3" t="n"/>
      <c r="W3224" s="108" t="n"/>
      <c r="X3224" s="4" t="n"/>
    </row>
    <row r="3225" ht="24" customHeight="1">
      <c r="A3225" s="2">
        <f>+D3225-S3225</f>
        <v/>
      </c>
      <c r="B3225" s="80" t="n">
        <v>4815</v>
      </c>
      <c r="C3225" s="66" t="n">
        <v>45994</v>
      </c>
      <c r="D3225" s="2" t="n">
        <v>1</v>
      </c>
      <c r="E3225" s="3" t="inlineStr">
        <is>
          <t>PISTOLA SEMIAUTOMATICA</t>
        </is>
      </c>
      <c r="F3225" s="3" t="inlineStr">
        <is>
          <t>380 ACP</t>
        </is>
      </c>
      <c r="G3225" s="3" t="inlineStr">
        <is>
          <t>WALTHER PPK</t>
        </is>
      </c>
      <c r="H3225" s="65" t="inlineStr">
        <is>
          <t>N/A</t>
        </is>
      </c>
      <c r="I3225" s="65" t="inlineStr">
        <is>
          <t>022963</t>
        </is>
      </c>
      <c r="J3225" s="65" t="inlineStr">
        <is>
          <t>N/A</t>
        </is>
      </c>
      <c r="K3225" s="65" t="inlineStr">
        <is>
          <t>N/D</t>
        </is>
      </c>
      <c r="L3225" s="127" t="inlineStr">
        <is>
          <t>Eredi Safari Sport Severi Gino di Armilli M. Teresa.</t>
        </is>
      </c>
      <c r="M3225" s="5" t="n">
        <v>50</v>
      </c>
      <c r="N3225" s="5" t="n"/>
      <c r="O3225" s="5">
        <f>+M3225+N3225</f>
        <v/>
      </c>
      <c r="P3225" s="4" t="n"/>
      <c r="Q3225" s="87" t="n"/>
      <c r="R3225" s="5" t="n"/>
      <c r="S3225" s="2" t="n"/>
      <c r="T3225" s="3" t="n"/>
      <c r="U3225" s="87" t="n"/>
      <c r="V3225" s="3" t="n"/>
      <c r="W3225" s="108" t="n"/>
      <c r="X3225" s="4" t="n"/>
    </row>
    <row r="3226" ht="24" customHeight="1">
      <c r="A3226" s="2">
        <f>+D3226-S3226</f>
        <v/>
      </c>
      <c r="B3226" s="80" t="n">
        <v>4816</v>
      </c>
      <c r="C3226" s="66" t="n">
        <v>45994</v>
      </c>
      <c r="D3226" s="2" t="n">
        <v>1</v>
      </c>
      <c r="E3226" s="3" t="inlineStr">
        <is>
          <t>PISTOLA SEMIAUTOMATICA</t>
        </is>
      </c>
      <c r="F3226" s="3" t="inlineStr">
        <is>
          <t>7.65</t>
        </is>
      </c>
      <c r="G3226" s="3" t="inlineStr">
        <is>
          <t>BERETTA</t>
        </is>
      </c>
      <c r="H3226" s="65" t="inlineStr">
        <is>
          <t>N/A</t>
        </is>
      </c>
      <c r="I3226" s="65" t="inlineStr">
        <is>
          <t>L58597</t>
        </is>
      </c>
      <c r="J3226" s="65" t="inlineStr">
        <is>
          <t>N/A</t>
        </is>
      </c>
      <c r="K3226" s="65" t="inlineStr">
        <is>
          <t>N/D</t>
        </is>
      </c>
      <c r="L3226" s="127" t="inlineStr">
        <is>
          <t>Eredi Safari Sport Severi Gino di Armilli M. Teresa.</t>
        </is>
      </c>
      <c r="M3226" s="5" t="n">
        <v>50</v>
      </c>
      <c r="N3226" s="5" t="n"/>
      <c r="O3226" s="5">
        <f>+M3226+N3226</f>
        <v/>
      </c>
      <c r="P3226" s="4" t="n"/>
      <c r="Q3226" s="87" t="n"/>
      <c r="R3226" s="5" t="n"/>
      <c r="S3226" s="2" t="n"/>
      <c r="T3226" s="3" t="n"/>
      <c r="U3226" s="87" t="n"/>
      <c r="V3226" s="3" t="n"/>
      <c r="W3226" s="108" t="n"/>
      <c r="X3226" s="4" t="n"/>
    </row>
    <row r="3227" ht="24" customHeight="1">
      <c r="A3227" s="2">
        <f>+D3227-S3227</f>
        <v/>
      </c>
      <c r="B3227" s="80" t="n">
        <v>4817</v>
      </c>
      <c r="C3227" s="66" t="n">
        <v>45994</v>
      </c>
      <c r="D3227" s="2" t="n">
        <v>1</v>
      </c>
      <c r="E3227" s="3" t="inlineStr">
        <is>
          <t>REVOLVER</t>
        </is>
      </c>
      <c r="F3227" s="3" t="inlineStr">
        <is>
          <t>357 Mag</t>
        </is>
      </c>
      <c r="G3227" s="3" t="inlineStr">
        <is>
          <t>S&amp;W</t>
        </is>
      </c>
      <c r="H3227" s="65" t="inlineStr">
        <is>
          <t>N/A</t>
        </is>
      </c>
      <c r="I3227" s="65" t="inlineStr">
        <is>
          <t>N421412</t>
        </is>
      </c>
      <c r="J3227" s="65" t="inlineStr">
        <is>
          <t>N/A</t>
        </is>
      </c>
      <c r="K3227" s="65" t="inlineStr">
        <is>
          <t>N/D</t>
        </is>
      </c>
      <c r="L3227" s="127" t="inlineStr">
        <is>
          <t>Eredi Safari Sport Severi Gino di Armilli M. Teresa.</t>
        </is>
      </c>
      <c r="M3227" s="5" t="n">
        <v>100</v>
      </c>
      <c r="N3227" s="5" t="n"/>
      <c r="O3227" s="5">
        <f>+M3227+N3227</f>
        <v/>
      </c>
      <c r="P3227" s="4" t="n"/>
      <c r="Q3227" s="87" t="n"/>
      <c r="R3227" s="5" t="n"/>
      <c r="S3227" s="2" t="n"/>
      <c r="T3227" s="3" t="n"/>
      <c r="U3227" s="87" t="n"/>
      <c r="V3227" s="3" t="n"/>
      <c r="W3227" s="108" t="n"/>
      <c r="X3227" s="4" t="n"/>
    </row>
    <row r="3228" ht="24" customHeight="1">
      <c r="A3228" s="2">
        <f>+D3228-S3228</f>
        <v/>
      </c>
      <c r="B3228" s="80" t="n">
        <v>4818</v>
      </c>
      <c r="C3228" s="66" t="n">
        <v>45994</v>
      </c>
      <c r="D3228" s="2" t="n">
        <v>1</v>
      </c>
      <c r="E3228" s="3" t="inlineStr">
        <is>
          <t>REVOLVER</t>
        </is>
      </c>
      <c r="F3228" s="3" t="inlineStr">
        <is>
          <t>357</t>
        </is>
      </c>
      <c r="G3228" s="3" t="inlineStr">
        <is>
          <t>KORTH</t>
        </is>
      </c>
      <c r="H3228" s="65" t="inlineStr">
        <is>
          <t>N/A</t>
        </is>
      </c>
      <c r="I3228" s="65" t="n">
        <v>21686</v>
      </c>
      <c r="J3228" s="65" t="inlineStr">
        <is>
          <t>N/A</t>
        </is>
      </c>
      <c r="K3228" s="65" t="inlineStr">
        <is>
          <t>N/D</t>
        </is>
      </c>
      <c r="L3228" s="127" t="inlineStr">
        <is>
          <t>Eredi Safari Sport Severi Gino di Armilli M. Teresa.</t>
        </is>
      </c>
      <c r="M3228" s="5" t="n">
        <v>200</v>
      </c>
      <c r="N3228" s="5" t="n"/>
      <c r="O3228" s="5">
        <f>+M3228+N3228</f>
        <v/>
      </c>
      <c r="P3228" s="4" t="n"/>
      <c r="Q3228" s="87" t="n"/>
      <c r="R3228" s="5" t="n"/>
      <c r="S3228" s="2" t="n"/>
      <c r="T3228" s="3" t="n"/>
      <c r="U3228" s="87" t="n"/>
      <c r="V3228" s="3" t="n"/>
      <c r="W3228" s="108" t="n"/>
      <c r="X3228" s="4" t="n"/>
    </row>
    <row r="3229" ht="24" customHeight="1">
      <c r="A3229" s="2">
        <f>+D3229-S3229</f>
        <v/>
      </c>
      <c r="B3229" s="80" t="n">
        <v>4819</v>
      </c>
      <c r="C3229" s="66" t="n">
        <v>45994</v>
      </c>
      <c r="D3229" s="2" t="n">
        <v>1</v>
      </c>
      <c r="E3229" s="3" t="inlineStr">
        <is>
          <t>REVOLVER</t>
        </is>
      </c>
      <c r="F3229" s="3" t="inlineStr">
        <is>
          <t>38 SP</t>
        </is>
      </c>
      <c r="G3229" s="3" t="inlineStr">
        <is>
          <t>COLT</t>
        </is>
      </c>
      <c r="H3229" s="65" t="inlineStr">
        <is>
          <t>N/A</t>
        </is>
      </c>
      <c r="I3229" s="65" t="inlineStr">
        <is>
          <t>30198R</t>
        </is>
      </c>
      <c r="J3229" s="65" t="inlineStr">
        <is>
          <t>N/A</t>
        </is>
      </c>
      <c r="K3229" s="65" t="inlineStr">
        <is>
          <t>N/D</t>
        </is>
      </c>
      <c r="L3229" s="127" t="inlineStr">
        <is>
          <t>Eredi Safari Sport Severi Gino di Armilli M. Teresa.</t>
        </is>
      </c>
      <c r="M3229" s="5" t="n">
        <v>100</v>
      </c>
      <c r="N3229" s="5" t="n"/>
      <c r="O3229" s="5">
        <f>+M3229+N3229</f>
        <v/>
      </c>
      <c r="P3229" s="4" t="n"/>
      <c r="Q3229" s="87" t="n"/>
      <c r="R3229" s="5" t="n"/>
      <c r="S3229" s="2" t="n"/>
      <c r="T3229" s="3" t="n"/>
      <c r="U3229" s="87" t="n"/>
      <c r="V3229" s="3" t="n"/>
      <c r="W3229" s="108" t="n"/>
      <c r="X3229" s="4" t="n"/>
    </row>
    <row r="3230" ht="24" customHeight="1">
      <c r="A3230" s="2">
        <f>+D3230-S3230</f>
        <v/>
      </c>
      <c r="B3230" s="80" t="n">
        <v>4820</v>
      </c>
      <c r="C3230" s="66" t="n">
        <v>45994</v>
      </c>
      <c r="D3230" s="2" t="n">
        <v>1</v>
      </c>
      <c r="E3230" s="3" t="inlineStr">
        <is>
          <t>REVOLVER</t>
        </is>
      </c>
      <c r="F3230" s="3" t="inlineStr">
        <is>
          <t>38 SP</t>
        </is>
      </c>
      <c r="G3230" s="3" t="inlineStr">
        <is>
          <t>S&amp;W</t>
        </is>
      </c>
      <c r="H3230" s="65" t="inlineStr">
        <is>
          <t>N/A</t>
        </is>
      </c>
      <c r="I3230" s="65" t="inlineStr">
        <is>
          <t>352J40</t>
        </is>
      </c>
      <c r="J3230" s="65" t="inlineStr">
        <is>
          <t>N/A</t>
        </is>
      </c>
      <c r="K3230" s="65" t="inlineStr">
        <is>
          <t>N/D</t>
        </is>
      </c>
      <c r="L3230" s="127" t="inlineStr">
        <is>
          <t>Eredi Safari Sport Severi Gino di Armilli M. Teresa.</t>
        </is>
      </c>
      <c r="M3230" s="5" t="n">
        <v>20</v>
      </c>
      <c r="N3230" s="5" t="n"/>
      <c r="O3230" s="5">
        <f>+M3230+N3230</f>
        <v/>
      </c>
      <c r="P3230" s="4" t="n"/>
      <c r="Q3230" s="87" t="n"/>
      <c r="R3230" s="5" t="n"/>
      <c r="S3230" s="2" t="n"/>
      <c r="T3230" s="3" t="n"/>
      <c r="U3230" s="87" t="n"/>
      <c r="V3230" s="3" t="n"/>
      <c r="W3230" s="108" t="n"/>
      <c r="X3230" s="4" t="n"/>
    </row>
    <row r="3231" ht="24" customHeight="1">
      <c r="A3231" s="2">
        <f>+D3231-S3231</f>
        <v/>
      </c>
      <c r="B3231" s="80" t="n">
        <v>4821</v>
      </c>
      <c r="C3231" s="66" t="n">
        <v>45994</v>
      </c>
      <c r="D3231" s="2" t="n">
        <v>1</v>
      </c>
      <c r="E3231" s="3" t="inlineStr">
        <is>
          <t>REVOLVER</t>
        </is>
      </c>
      <c r="F3231" s="3" t="inlineStr">
        <is>
          <t>38 SP</t>
        </is>
      </c>
      <c r="G3231" s="3" t="inlineStr">
        <is>
          <t>S&amp;W</t>
        </is>
      </c>
      <c r="H3231" s="65" t="inlineStr">
        <is>
          <t>N/A</t>
        </is>
      </c>
      <c r="I3231" s="65" t="inlineStr">
        <is>
          <t>R216063</t>
        </is>
      </c>
      <c r="J3231" s="65" t="inlineStr">
        <is>
          <t>N/A</t>
        </is>
      </c>
      <c r="K3231" s="65" t="inlineStr">
        <is>
          <t>N/D</t>
        </is>
      </c>
      <c r="L3231" s="127" t="inlineStr">
        <is>
          <t>Eredi Safari Sport Severi Gino di Armilli M. Teresa.</t>
        </is>
      </c>
      <c r="M3231" s="5" t="n">
        <v>20</v>
      </c>
      <c r="N3231" s="5" t="n"/>
      <c r="O3231" s="5">
        <f>+M3231+N3231</f>
        <v/>
      </c>
      <c r="P3231" s="4" t="n"/>
      <c r="Q3231" s="87" t="n"/>
      <c r="R3231" s="5" t="n"/>
      <c r="S3231" s="2" t="n"/>
      <c r="T3231" s="3" t="n"/>
      <c r="U3231" s="87" t="n"/>
      <c r="V3231" s="3" t="n"/>
      <c r="W3231" s="108" t="n"/>
      <c r="X3231" s="4" t="n"/>
    </row>
    <row r="3232" ht="24" customHeight="1">
      <c r="A3232" s="2">
        <f>+D3232-S3232</f>
        <v/>
      </c>
      <c r="B3232" s="80" t="n">
        <v>4822</v>
      </c>
      <c r="C3232" s="66" t="n">
        <v>45994</v>
      </c>
      <c r="D3232" s="2" t="n">
        <v>1</v>
      </c>
      <c r="E3232" s="3" t="inlineStr">
        <is>
          <t>REVOLVER</t>
        </is>
      </c>
      <c r="F3232" s="3" t="inlineStr">
        <is>
          <t>38 SP</t>
        </is>
      </c>
      <c r="G3232" s="3" t="inlineStr">
        <is>
          <t>S&amp;W</t>
        </is>
      </c>
      <c r="H3232" s="65" t="inlineStr">
        <is>
          <t>N/A</t>
        </is>
      </c>
      <c r="I3232" s="65" t="inlineStr">
        <is>
          <t>54J452</t>
        </is>
      </c>
      <c r="J3232" s="65" t="inlineStr">
        <is>
          <t>N/A</t>
        </is>
      </c>
      <c r="K3232" s="65" t="inlineStr">
        <is>
          <t>N/D</t>
        </is>
      </c>
      <c r="L3232" s="127" t="inlineStr">
        <is>
          <t>Eredi Safari Sport Severi Gino di Armilli M. Teresa.</t>
        </is>
      </c>
      <c r="M3232" s="5" t="n">
        <v>20</v>
      </c>
      <c r="N3232" s="5" t="n"/>
      <c r="O3232" s="5">
        <f>+M3232+N3232</f>
        <v/>
      </c>
      <c r="P3232" s="4" t="n"/>
      <c r="Q3232" s="87" t="n"/>
      <c r="R3232" s="5" t="n"/>
      <c r="S3232" s="2" t="n"/>
      <c r="T3232" s="3" t="n"/>
      <c r="U3232" s="87" t="n"/>
      <c r="V3232" s="3" t="n"/>
      <c r="W3232" s="108" t="n"/>
      <c r="X3232" s="4" t="n"/>
    </row>
    <row r="3233" ht="24" customHeight="1">
      <c r="A3233" s="2">
        <f>+D3233-S3233</f>
        <v/>
      </c>
      <c r="B3233" s="80" t="n">
        <v>4823</v>
      </c>
      <c r="C3233" s="66" t="n">
        <v>45994</v>
      </c>
      <c r="D3233" s="2" t="n">
        <v>1</v>
      </c>
      <c r="E3233" s="3" t="inlineStr">
        <is>
          <t>REVOLVER</t>
        </is>
      </c>
      <c r="F3233" s="3" t="inlineStr">
        <is>
          <t>38 SP</t>
        </is>
      </c>
      <c r="G3233" s="3" t="inlineStr">
        <is>
          <t>S&amp;W</t>
        </is>
      </c>
      <c r="H3233" s="65" t="inlineStr">
        <is>
          <t>N/A</t>
        </is>
      </c>
      <c r="I3233" s="65" t="inlineStr">
        <is>
          <t>301J21</t>
        </is>
      </c>
      <c r="J3233" s="65" t="inlineStr">
        <is>
          <t>N/A</t>
        </is>
      </c>
      <c r="K3233" s="65" t="inlineStr">
        <is>
          <t>N/D</t>
        </is>
      </c>
      <c r="L3233" s="127" t="inlineStr">
        <is>
          <t>Eredi Safari Sport Severi Gino di Armilli M. Teresa.</t>
        </is>
      </c>
      <c r="M3233" s="5" t="n">
        <v>20</v>
      </c>
      <c r="N3233" s="5" t="n"/>
      <c r="O3233" s="5">
        <f>+M3233+N3233</f>
        <v/>
      </c>
      <c r="P3233" s="4" t="n"/>
      <c r="Q3233" s="87" t="n"/>
      <c r="R3233" s="5" t="n"/>
      <c r="S3233" s="2" t="n"/>
      <c r="T3233" s="3" t="n"/>
      <c r="U3233" s="87" t="n"/>
      <c r="V3233" s="3" t="n"/>
      <c r="W3233" s="108" t="n"/>
      <c r="X3233" s="4" t="n"/>
    </row>
    <row r="3234" ht="24" customHeight="1">
      <c r="A3234" s="2">
        <f>+D3234-S3234</f>
        <v/>
      </c>
      <c r="B3234" s="80" t="n">
        <v>4824</v>
      </c>
      <c r="C3234" s="66" t="n">
        <v>45994</v>
      </c>
      <c r="D3234" s="2" t="n">
        <v>1</v>
      </c>
      <c r="E3234" s="3" t="inlineStr">
        <is>
          <t>REVOLVER</t>
        </is>
      </c>
      <c r="F3234" s="3" t="inlineStr">
        <is>
          <t>38 SP</t>
        </is>
      </c>
      <c r="G3234" s="3" t="inlineStr">
        <is>
          <t>S&amp;W</t>
        </is>
      </c>
      <c r="H3234" s="65" t="inlineStr">
        <is>
          <t>N/A</t>
        </is>
      </c>
      <c r="I3234" s="65" t="inlineStr">
        <is>
          <t>R91139</t>
        </is>
      </c>
      <c r="J3234" s="65" t="inlineStr">
        <is>
          <t>N/A</t>
        </is>
      </c>
      <c r="K3234" s="65" t="inlineStr">
        <is>
          <t>N/D</t>
        </is>
      </c>
      <c r="L3234" s="127" t="inlineStr">
        <is>
          <t>Eredi Safari Sport Severi Gino di Armilli M. Teresa.</t>
        </is>
      </c>
      <c r="M3234" s="5" t="n">
        <v>20</v>
      </c>
      <c r="N3234" s="5" t="n"/>
      <c r="O3234" s="5">
        <f>+M3234+N3234</f>
        <v/>
      </c>
      <c r="P3234" s="4" t="n"/>
      <c r="Q3234" s="87" t="n"/>
      <c r="R3234" s="5" t="n"/>
      <c r="S3234" s="2" t="n"/>
      <c r="T3234" s="3" t="n"/>
      <c r="U3234" s="87" t="n"/>
      <c r="V3234" s="3" t="n"/>
      <c r="W3234" s="108" t="n"/>
      <c r="X3234" s="4" t="n"/>
    </row>
    <row r="3235" ht="24" customHeight="1">
      <c r="A3235" s="2">
        <f>+D3235-S3235</f>
        <v/>
      </c>
      <c r="B3235" s="80" t="n">
        <v>4825</v>
      </c>
      <c r="C3235" s="66" t="n">
        <v>45994</v>
      </c>
      <c r="D3235" s="2" t="n">
        <v>1</v>
      </c>
      <c r="E3235" s="3" t="inlineStr">
        <is>
          <t>REVOLVER</t>
        </is>
      </c>
      <c r="F3235" s="3" t="inlineStr">
        <is>
          <t>38 SP</t>
        </is>
      </c>
      <c r="G3235" s="3" t="inlineStr">
        <is>
          <t>S&amp;W</t>
        </is>
      </c>
      <c r="H3235" s="65" t="inlineStr">
        <is>
          <t>N/A</t>
        </is>
      </c>
      <c r="I3235" s="65" t="inlineStr">
        <is>
          <t>64J835</t>
        </is>
      </c>
      <c r="J3235" s="65" t="inlineStr">
        <is>
          <t>N/A</t>
        </is>
      </c>
      <c r="K3235" s="65" t="inlineStr">
        <is>
          <t>N/D</t>
        </is>
      </c>
      <c r="L3235" s="127" t="inlineStr">
        <is>
          <t>Eredi Safari Sport Severi Gino di Armilli M. Teresa.</t>
        </is>
      </c>
      <c r="M3235" s="5" t="n">
        <v>20</v>
      </c>
      <c r="N3235" s="5" t="n"/>
      <c r="O3235" s="5">
        <f>+M3235+N3235</f>
        <v/>
      </c>
      <c r="P3235" s="4" t="n"/>
      <c r="Q3235" s="87" t="n"/>
      <c r="R3235" s="5" t="n"/>
      <c r="S3235" s="2" t="n"/>
      <c r="T3235" s="3" t="n"/>
      <c r="U3235" s="87" t="n"/>
      <c r="V3235" s="3" t="n"/>
      <c r="W3235" s="108" t="n"/>
      <c r="X3235" s="4" t="n"/>
    </row>
    <row r="3236" ht="24" customHeight="1">
      <c r="A3236" s="2">
        <f>+D3236-S3236</f>
        <v/>
      </c>
      <c r="B3236" s="80" t="n">
        <v>4826</v>
      </c>
      <c r="C3236" s="66" t="n">
        <v>45994</v>
      </c>
      <c r="D3236" s="2" t="n">
        <v>1</v>
      </c>
      <c r="E3236" s="3" t="inlineStr">
        <is>
          <t>PISTOLA SEMIAUTOMATICA</t>
        </is>
      </c>
      <c r="F3236" s="3" t="inlineStr">
        <is>
          <t>9x21</t>
        </is>
      </c>
      <c r="G3236" s="3" t="inlineStr">
        <is>
          <t>BERETTA</t>
        </is>
      </c>
      <c r="H3236" s="65" t="inlineStr">
        <is>
          <t>N/A</t>
        </is>
      </c>
      <c r="I3236" s="65" t="inlineStr">
        <is>
          <t>H20071P</t>
        </is>
      </c>
      <c r="J3236" s="65" t="inlineStr">
        <is>
          <t>N/A</t>
        </is>
      </c>
      <c r="K3236" s="65" t="inlineStr">
        <is>
          <t>N/D</t>
        </is>
      </c>
      <c r="L3236" s="127" t="inlineStr">
        <is>
          <t>Eredi Safari Sport Severi Gino di Armilli M. Teresa.</t>
        </is>
      </c>
      <c r="M3236" s="5" t="n">
        <v>150</v>
      </c>
      <c r="N3236" s="5" t="n"/>
      <c r="O3236" s="5">
        <f>+M3236+N3236</f>
        <v/>
      </c>
      <c r="P3236" s="4" t="n"/>
      <c r="Q3236" s="87" t="n"/>
      <c r="R3236" s="5" t="n"/>
      <c r="S3236" s="2" t="n"/>
      <c r="T3236" s="3" t="n"/>
      <c r="U3236" s="87" t="n"/>
      <c r="V3236" s="3" t="n"/>
      <c r="W3236" s="108" t="n"/>
      <c r="X3236" s="4" t="n"/>
    </row>
    <row r="3237" ht="24" customHeight="1">
      <c r="A3237" s="2">
        <f>+D3237-S3237</f>
        <v/>
      </c>
      <c r="B3237" s="80" t="n">
        <v>4827</v>
      </c>
      <c r="C3237" s="66" t="n">
        <v>45994</v>
      </c>
      <c r="D3237" s="2" t="n">
        <v>1</v>
      </c>
      <c r="E3237" s="3" t="inlineStr">
        <is>
          <t>REVOLVER</t>
        </is>
      </c>
      <c r="F3237" s="3" t="inlineStr">
        <is>
          <t>38 SP</t>
        </is>
      </c>
      <c r="G3237" s="3" t="inlineStr">
        <is>
          <t>S&amp;W</t>
        </is>
      </c>
      <c r="H3237" s="65" t="inlineStr">
        <is>
          <t>N/A</t>
        </is>
      </c>
      <c r="I3237" s="65" t="inlineStr">
        <is>
          <t>1J32391</t>
        </is>
      </c>
      <c r="J3237" s="65" t="inlineStr">
        <is>
          <t>N/A</t>
        </is>
      </c>
      <c r="K3237" s="65" t="inlineStr">
        <is>
          <t>N/D</t>
        </is>
      </c>
      <c r="L3237" s="127" t="inlineStr">
        <is>
          <t>Eredi Safari Sport Severi Gino di Armilli M. Teresa.</t>
        </is>
      </c>
      <c r="M3237" s="5" t="n">
        <v>20</v>
      </c>
      <c r="N3237" s="5" t="n"/>
      <c r="O3237" s="5">
        <f>+M3237+N3237</f>
        <v/>
      </c>
      <c r="P3237" s="4" t="n"/>
      <c r="Q3237" s="87" t="n"/>
      <c r="R3237" s="5" t="n"/>
      <c r="S3237" s="2" t="n"/>
      <c r="T3237" s="3" t="n"/>
      <c r="U3237" s="87" t="n"/>
      <c r="V3237" s="3" t="n"/>
      <c r="W3237" s="108" t="n"/>
      <c r="X3237" s="4" t="n"/>
    </row>
    <row r="3238" ht="24" customHeight="1">
      <c r="A3238" s="2">
        <f>+D3238-S3238</f>
        <v/>
      </c>
      <c r="B3238" s="80" t="n">
        <v>4828</v>
      </c>
      <c r="C3238" s="66" t="n">
        <v>45994</v>
      </c>
      <c r="D3238" s="2" t="n">
        <v>1</v>
      </c>
      <c r="E3238" s="3" t="inlineStr">
        <is>
          <t>REVOLVER</t>
        </is>
      </c>
      <c r="F3238" s="3" t="n">
        <v>38</v>
      </c>
      <c r="G3238" s="3" t="inlineStr">
        <is>
          <t>S&amp;W</t>
        </is>
      </c>
      <c r="H3238" s="65" t="inlineStr">
        <is>
          <t>N/A</t>
        </is>
      </c>
      <c r="I3238" s="65" t="n">
        <v>701468</v>
      </c>
      <c r="J3238" s="65" t="inlineStr">
        <is>
          <t>N/A</t>
        </is>
      </c>
      <c r="K3238" s="65" t="inlineStr">
        <is>
          <t>N/D</t>
        </is>
      </c>
      <c r="L3238" s="127" t="inlineStr">
        <is>
          <t>Eredi Safari Sport Severi Gino di Armilli M. Teresa.</t>
        </is>
      </c>
      <c r="M3238" s="5" t="n">
        <v>20</v>
      </c>
      <c r="N3238" s="5" t="n"/>
      <c r="O3238" s="5">
        <f>+M3238+N3238</f>
        <v/>
      </c>
      <c r="P3238" s="4" t="n"/>
      <c r="Q3238" s="87" t="n"/>
      <c r="R3238" s="5" t="n"/>
      <c r="S3238" s="2" t="n"/>
      <c r="T3238" s="3" t="n"/>
      <c r="U3238" s="87" t="n"/>
      <c r="V3238" s="3" t="n"/>
      <c r="W3238" s="108" t="n"/>
      <c r="X3238" s="4" t="n"/>
    </row>
    <row r="3239" ht="24" customHeight="1">
      <c r="A3239" s="2">
        <f>+D3239-S3239</f>
        <v/>
      </c>
      <c r="B3239" s="80" t="n">
        <v>4829</v>
      </c>
      <c r="C3239" s="66" t="n">
        <v>45994</v>
      </c>
      <c r="D3239" s="2" t="n">
        <v>1</v>
      </c>
      <c r="E3239" s="3" t="inlineStr">
        <is>
          <t>PISTOLA SEMIAUTOMATICA</t>
        </is>
      </c>
      <c r="F3239" s="3" t="inlineStr">
        <is>
          <t>9x21</t>
        </is>
      </c>
      <c r="G3239" s="3" t="inlineStr">
        <is>
          <t>CZ</t>
        </is>
      </c>
      <c r="H3239" s="65" t="inlineStr">
        <is>
          <t>N/A</t>
        </is>
      </c>
      <c r="I3239" s="65" t="inlineStr">
        <is>
          <t>C2086</t>
        </is>
      </c>
      <c r="J3239" s="65" t="inlineStr">
        <is>
          <t>N/A</t>
        </is>
      </c>
      <c r="K3239" s="65" t="inlineStr">
        <is>
          <t>N/D</t>
        </is>
      </c>
      <c r="L3239" s="127" t="inlineStr">
        <is>
          <t>Eredi Safari Sport Severi Gino di Armilli M. Teresa.</t>
        </is>
      </c>
      <c r="M3239" s="5" t="n">
        <v>100</v>
      </c>
      <c r="N3239" s="5" t="n"/>
      <c r="O3239" s="5">
        <f>+M3239+N3239</f>
        <v/>
      </c>
      <c r="P3239" s="4" t="n"/>
      <c r="Q3239" s="87" t="n"/>
      <c r="R3239" s="5" t="n"/>
      <c r="S3239" s="2" t="n"/>
      <c r="T3239" s="3" t="n"/>
      <c r="U3239" s="87" t="n"/>
      <c r="V3239" s="3" t="n"/>
      <c r="W3239" s="108" t="n"/>
      <c r="X3239" s="4" t="n"/>
    </row>
    <row r="3240" ht="24" customHeight="1">
      <c r="A3240" s="2">
        <f>+D3240-S3240</f>
        <v/>
      </c>
      <c r="B3240" s="80" t="n">
        <v>4830</v>
      </c>
      <c r="C3240" s="66" t="n">
        <v>45994</v>
      </c>
      <c r="D3240" s="2" t="n">
        <v>1</v>
      </c>
      <c r="E3240" s="3" t="inlineStr">
        <is>
          <t>PISTOLA SEMIAUTOMATICA</t>
        </is>
      </c>
      <c r="F3240" s="3" t="inlineStr">
        <is>
          <t>9x21</t>
        </is>
      </c>
      <c r="G3240" s="3" t="inlineStr">
        <is>
          <t>BERETTA</t>
        </is>
      </c>
      <c r="H3240" s="65" t="inlineStr">
        <is>
          <t>N/A</t>
        </is>
      </c>
      <c r="I3240" s="65" t="inlineStr">
        <is>
          <t>H20056P</t>
        </is>
      </c>
      <c r="J3240" s="65" t="inlineStr">
        <is>
          <t>N/A</t>
        </is>
      </c>
      <c r="K3240" s="65" t="inlineStr">
        <is>
          <t>N/D</t>
        </is>
      </c>
      <c r="L3240" s="127" t="inlineStr">
        <is>
          <t>Eredi Safari Sport Severi Gino di Armilli M. Teresa.</t>
        </is>
      </c>
      <c r="M3240" s="5" t="n">
        <v>150</v>
      </c>
      <c r="N3240" s="5" t="n"/>
      <c r="O3240" s="5">
        <f>+M3240+N3240</f>
        <v/>
      </c>
      <c r="P3240" s="4" t="n"/>
      <c r="Q3240" s="87" t="n"/>
      <c r="R3240" s="5" t="n"/>
      <c r="S3240" s="2" t="n"/>
      <c r="T3240" s="3" t="n"/>
      <c r="U3240" s="87" t="n"/>
      <c r="V3240" s="3" t="n"/>
      <c r="W3240" s="108" t="n"/>
      <c r="X3240" s="4" t="n"/>
    </row>
    <row r="3241" ht="24" customHeight="1">
      <c r="A3241" s="2">
        <f>+D3241-S3241</f>
        <v/>
      </c>
      <c r="B3241" s="80" t="n">
        <v>4831</v>
      </c>
      <c r="C3241" s="66" t="n">
        <v>45994</v>
      </c>
      <c r="D3241" s="2" t="n">
        <v>1</v>
      </c>
      <c r="E3241" s="3" t="inlineStr">
        <is>
          <t>PISTOLA SEMIAUTOMATICA</t>
        </is>
      </c>
      <c r="F3241" s="3" t="inlineStr">
        <is>
          <t>9x21</t>
        </is>
      </c>
      <c r="G3241" s="3" t="inlineStr">
        <is>
          <t>BERETTA</t>
        </is>
      </c>
      <c r="H3241" s="65" t="inlineStr">
        <is>
          <t>N/A</t>
        </is>
      </c>
      <c r="I3241" s="65" t="inlineStr">
        <is>
          <t>F17788P</t>
        </is>
      </c>
      <c r="J3241" s="65" t="inlineStr">
        <is>
          <t>N/A</t>
        </is>
      </c>
      <c r="K3241" s="65" t="inlineStr">
        <is>
          <t>N/D</t>
        </is>
      </c>
      <c r="L3241" s="127" t="inlineStr">
        <is>
          <t>Eredi Safari Sport Severi Gino di Armilli M. Teresa.</t>
        </is>
      </c>
      <c r="M3241" s="5" t="n">
        <v>150</v>
      </c>
      <c r="N3241" s="5" t="n"/>
      <c r="O3241" s="5">
        <f>+M3241+N3241</f>
        <v/>
      </c>
      <c r="P3241" s="4" t="n"/>
      <c r="Q3241" s="87" t="n"/>
      <c r="R3241" s="5" t="n"/>
      <c r="S3241" s="2" t="n"/>
      <c r="T3241" s="3" t="n"/>
      <c r="U3241" s="87" t="n"/>
      <c r="V3241" s="3" t="n"/>
      <c r="W3241" s="108" t="n"/>
      <c r="X3241" s="4" t="n"/>
    </row>
    <row r="3242" ht="24" customHeight="1">
      <c r="A3242" s="2">
        <f>+D3242-S3242</f>
        <v/>
      </c>
      <c r="B3242" s="80" t="n">
        <v>4832</v>
      </c>
      <c r="C3242" s="66" t="n">
        <v>45994</v>
      </c>
      <c r="D3242" s="2" t="n">
        <v>1</v>
      </c>
      <c r="E3242" s="3" t="inlineStr">
        <is>
          <t>FUCILE AVANCARICA</t>
        </is>
      </c>
      <c r="F3242" s="3" t="inlineStr">
        <is>
          <t>54</t>
        </is>
      </c>
      <c r="G3242" s="3" t="inlineStr">
        <is>
          <t>SHARPS</t>
        </is>
      </c>
      <c r="H3242" s="65" t="inlineStr">
        <is>
          <t>N/A</t>
        </is>
      </c>
      <c r="I3242" s="65" t="inlineStr">
        <is>
          <t>26718</t>
        </is>
      </c>
      <c r="J3242" s="65" t="inlineStr">
        <is>
          <t>N/A</t>
        </is>
      </c>
      <c r="K3242" s="65" t="inlineStr">
        <is>
          <t>N/D</t>
        </is>
      </c>
      <c r="L3242" s="127" t="inlineStr">
        <is>
          <t>Eredi Safari Sport Severi Gino di Armilli M. Teresa.</t>
        </is>
      </c>
      <c r="M3242" s="5" t="n">
        <v>100</v>
      </c>
      <c r="N3242" s="5" t="n"/>
      <c r="O3242" s="5">
        <f>+M3242+N3242</f>
        <v/>
      </c>
      <c r="P3242" s="4" t="n"/>
      <c r="Q3242" s="87" t="n"/>
      <c r="R3242" s="5" t="n"/>
      <c r="S3242" s="2" t="n"/>
      <c r="T3242" s="3" t="n"/>
      <c r="U3242" s="87" t="n"/>
      <c r="V3242" s="3" t="n"/>
      <c r="W3242" s="108" t="n"/>
      <c r="X3242" s="4" t="n"/>
    </row>
    <row r="3243" ht="24" customHeight="1">
      <c r="A3243" s="2">
        <f>+D3243-S3243</f>
        <v/>
      </c>
      <c r="B3243" s="80" t="n">
        <v>4833</v>
      </c>
      <c r="C3243" s="66" t="n">
        <v>45994</v>
      </c>
      <c r="D3243" s="2" t="n">
        <v>1</v>
      </c>
      <c r="E3243" s="3" t="inlineStr">
        <is>
          <t>FUCILE SEMIAUTOMATICO</t>
        </is>
      </c>
      <c r="F3243" s="3" t="inlineStr">
        <is>
          <t>12</t>
        </is>
      </c>
      <c r="G3243" s="3" t="inlineStr">
        <is>
          <t>BENELLI</t>
        </is>
      </c>
      <c r="H3243" s="65" t="inlineStr">
        <is>
          <t>N/A</t>
        </is>
      </c>
      <c r="I3243" s="65" t="inlineStr">
        <is>
          <t>A249050</t>
        </is>
      </c>
      <c r="J3243" s="65" t="inlineStr">
        <is>
          <t>D276012</t>
        </is>
      </c>
      <c r="K3243" s="65" t="inlineStr">
        <is>
          <t>N/D</t>
        </is>
      </c>
      <c r="L3243" s="127" t="inlineStr">
        <is>
          <t>Eredi Safari Sport Severi Gino di Armilli M. Teresa.</t>
        </is>
      </c>
      <c r="M3243" s="5" t="n">
        <v>50</v>
      </c>
      <c r="N3243" s="5" t="n"/>
      <c r="O3243" s="5">
        <f>+M3243+N3243</f>
        <v/>
      </c>
      <c r="P3243" s="4" t="n"/>
      <c r="Q3243" s="87" t="n"/>
      <c r="R3243" s="5" t="n">
        <v>62.02</v>
      </c>
      <c r="S3243" s="2" t="n">
        <v>1</v>
      </c>
      <c r="T3243" s="3" t="inlineStr">
        <is>
          <t>CA42796IR</t>
        </is>
      </c>
      <c r="U3243" s="87" t="n">
        <v>46097</v>
      </c>
      <c r="V3243" s="3" t="inlineStr">
        <is>
          <t>4</t>
        </is>
      </c>
      <c r="W3243" s="108" t="n">
        <v>46097</v>
      </c>
      <c r="X3243" s="4" t="inlineStr">
        <is>
          <t>PHILIPPOS  CONSTANTINIDES
TRADING CO.LTD</t>
        </is>
      </c>
    </row>
    <row r="3244" ht="24" customHeight="1">
      <c r="A3244" s="2">
        <f>+D3244-S3244</f>
        <v/>
      </c>
      <c r="B3244" s="80" t="n">
        <v>4834</v>
      </c>
      <c r="C3244" s="66" t="n">
        <v>45994</v>
      </c>
      <c r="D3244" s="2" t="n">
        <v>1</v>
      </c>
      <c r="E3244" s="3" t="inlineStr">
        <is>
          <t>FUCILE SEMIAUTOMATICO</t>
        </is>
      </c>
      <c r="F3244" s="3" t="inlineStr">
        <is>
          <t>20</t>
        </is>
      </c>
      <c r="G3244" s="3" t="inlineStr">
        <is>
          <t>FRANCHI</t>
        </is>
      </c>
      <c r="H3244" s="65" t="inlineStr">
        <is>
          <t>N/A</t>
        </is>
      </c>
      <c r="I3244" s="65" t="inlineStr">
        <is>
          <t>L26750</t>
        </is>
      </c>
      <c r="J3244" s="65" t="inlineStr">
        <is>
          <t>FL02057</t>
        </is>
      </c>
      <c r="K3244" s="65" t="inlineStr">
        <is>
          <t>N/D</t>
        </is>
      </c>
      <c r="L3244" s="127" t="inlineStr">
        <is>
          <t>Eredi Safari Sport Severi Gino di Armilli M. Teresa.</t>
        </is>
      </c>
      <c r="M3244" s="5" t="n">
        <v>50</v>
      </c>
      <c r="N3244" s="5" t="n"/>
      <c r="O3244" s="5">
        <f>+M3244+N3244</f>
        <v/>
      </c>
      <c r="P3244" s="4" t="n"/>
      <c r="Q3244" s="87" t="n"/>
      <c r="R3244" s="5" t="n">
        <v>62.02</v>
      </c>
      <c r="S3244" s="2" t="n">
        <v>1</v>
      </c>
      <c r="T3244" s="3" t="inlineStr">
        <is>
          <t>CA42796IR</t>
        </is>
      </c>
      <c r="U3244" s="87" t="n">
        <v>46097</v>
      </c>
      <c r="V3244" s="3" t="inlineStr">
        <is>
          <t>4</t>
        </is>
      </c>
      <c r="W3244" s="108" t="n">
        <v>46097</v>
      </c>
      <c r="X3244" s="4" t="inlineStr">
        <is>
          <t>PHILIPPOS  CONSTANTINIDES
TRADING CO.LTD</t>
        </is>
      </c>
    </row>
    <row r="3245" ht="24" customHeight="1">
      <c r="A3245" s="2">
        <f>+D3245-S3245</f>
        <v/>
      </c>
      <c r="B3245" s="80" t="n">
        <v>4835</v>
      </c>
      <c r="C3245" s="66" t="n">
        <v>45994</v>
      </c>
      <c r="D3245" s="2" t="n">
        <v>1</v>
      </c>
      <c r="E3245" s="3" t="inlineStr">
        <is>
          <t>FUCILE SEMIAUTOMATICO</t>
        </is>
      </c>
      <c r="F3245" s="3" t="inlineStr">
        <is>
          <t>12</t>
        </is>
      </c>
      <c r="G3245" s="3" t="inlineStr">
        <is>
          <t>BREDA</t>
        </is>
      </c>
      <c r="H3245" s="65" t="inlineStr">
        <is>
          <t>N/A</t>
        </is>
      </c>
      <c r="I3245" s="65" t="inlineStr">
        <is>
          <t>25161</t>
        </is>
      </c>
      <c r="J3245" s="65" t="inlineStr">
        <is>
          <t>BV197998</t>
        </is>
      </c>
      <c r="K3245" s="65" t="inlineStr">
        <is>
          <t>N/D</t>
        </is>
      </c>
      <c r="L3245" s="127" t="inlineStr">
        <is>
          <t>Eredi Safari Sport Severi Gino di Armilli M. Teresa.</t>
        </is>
      </c>
      <c r="M3245" s="5" t="n">
        <v>30</v>
      </c>
      <c r="N3245" s="5" t="n"/>
      <c r="O3245" s="5">
        <f>+M3245+N3245</f>
        <v/>
      </c>
      <c r="P3245" s="4" t="n"/>
      <c r="Q3245" s="87" t="n"/>
      <c r="R3245" s="5" t="n">
        <v>37.21</v>
      </c>
      <c r="S3245" s="2" t="n">
        <v>1</v>
      </c>
      <c r="T3245" s="3" t="inlineStr">
        <is>
          <t>CA42796IR</t>
        </is>
      </c>
      <c r="U3245" s="87" t="n">
        <v>46097</v>
      </c>
      <c r="V3245" s="3" t="inlineStr">
        <is>
          <t>4</t>
        </is>
      </c>
      <c r="W3245" s="108" t="n">
        <v>46097</v>
      </c>
      <c r="X3245" s="4" t="inlineStr">
        <is>
          <t>PHILIPPOS  CONSTANTINIDES
TRADING CO.LTD</t>
        </is>
      </c>
    </row>
    <row r="3246" ht="24" customHeight="1">
      <c r="A3246" s="2">
        <f>+D3246-S3246</f>
        <v/>
      </c>
      <c r="B3246" s="80" t="n">
        <v>4836</v>
      </c>
      <c r="C3246" s="66" t="n">
        <v>45994</v>
      </c>
      <c r="D3246" s="2" t="n">
        <v>1</v>
      </c>
      <c r="E3246" s="3" t="inlineStr">
        <is>
          <t>FUCILE DOPPIETTA</t>
        </is>
      </c>
      <c r="F3246" s="3" t="n">
        <v>12</v>
      </c>
      <c r="G3246" s="3" t="inlineStr">
        <is>
          <t>FEG</t>
        </is>
      </c>
      <c r="H3246" s="65" t="inlineStr">
        <is>
          <t>N/A</t>
        </is>
      </c>
      <c r="I3246" s="65" t="inlineStr">
        <is>
          <t>G8394</t>
        </is>
      </c>
      <c r="J3246" s="65" t="inlineStr">
        <is>
          <t>N/A</t>
        </is>
      </c>
      <c r="K3246" s="65" t="inlineStr">
        <is>
          <t>N/D</t>
        </is>
      </c>
      <c r="L3246" s="127" t="inlineStr">
        <is>
          <t>Eredi Safari Sport Severi Gino di Armilli M. Teresa.</t>
        </is>
      </c>
      <c r="M3246" s="5" t="n">
        <v>50</v>
      </c>
      <c r="N3246" s="5" t="n"/>
      <c r="O3246" s="5">
        <f>+M3246+N3246</f>
        <v/>
      </c>
      <c r="P3246" s="4" t="n"/>
      <c r="Q3246" s="87" t="n"/>
      <c r="R3246" s="5" t="n">
        <v>62.02</v>
      </c>
      <c r="S3246" s="2" t="n">
        <v>1</v>
      </c>
      <c r="T3246" s="3" t="inlineStr">
        <is>
          <t>CA42796IR</t>
        </is>
      </c>
      <c r="U3246" s="87" t="n">
        <v>46097</v>
      </c>
      <c r="V3246" s="3" t="inlineStr">
        <is>
          <t>4</t>
        </is>
      </c>
      <c r="W3246" s="108" t="n">
        <v>46097</v>
      </c>
      <c r="X3246" s="4" t="inlineStr">
        <is>
          <t>PHILIPPOS  CONSTANTINIDES
TRADING CO.LTD</t>
        </is>
      </c>
    </row>
    <row r="3247" ht="24" customHeight="1">
      <c r="A3247" s="2">
        <f>+D3247-S3247</f>
        <v/>
      </c>
      <c r="B3247" s="80" t="n">
        <v>4837</v>
      </c>
      <c r="C3247" s="66" t="n">
        <v>45994</v>
      </c>
      <c r="D3247" s="2" t="n">
        <v>1</v>
      </c>
      <c r="E3247" s="3" t="inlineStr">
        <is>
          <t>FUCILE DOPPIETTA</t>
        </is>
      </c>
      <c r="F3247" s="3" t="n">
        <v>12</v>
      </c>
      <c r="G3247" s="3" t="inlineStr">
        <is>
          <t>FEG</t>
        </is>
      </c>
      <c r="H3247" s="65" t="inlineStr">
        <is>
          <t>N/A</t>
        </is>
      </c>
      <c r="I3247" s="65" t="inlineStr">
        <is>
          <t>G8444</t>
        </is>
      </c>
      <c r="J3247" s="65" t="inlineStr">
        <is>
          <t>N/A</t>
        </is>
      </c>
      <c r="K3247" s="65" t="inlineStr">
        <is>
          <t>N/D</t>
        </is>
      </c>
      <c r="L3247" s="127" t="inlineStr">
        <is>
          <t>Eredi Safari Sport Severi Gino di Armilli M. Teresa.</t>
        </is>
      </c>
      <c r="M3247" s="5" t="n">
        <v>50</v>
      </c>
      <c r="N3247" s="5" t="n"/>
      <c r="O3247" s="5">
        <f>+M3247+N3247</f>
        <v/>
      </c>
      <c r="P3247" s="4" t="n"/>
      <c r="Q3247" s="87" t="n"/>
      <c r="R3247" s="5" t="n">
        <v>62.02</v>
      </c>
      <c r="S3247" s="2" t="n">
        <v>1</v>
      </c>
      <c r="T3247" s="3" t="inlineStr">
        <is>
          <t>CA42796IR</t>
        </is>
      </c>
      <c r="U3247" s="87" t="n">
        <v>46097</v>
      </c>
      <c r="V3247" s="3" t="inlineStr">
        <is>
          <t>4</t>
        </is>
      </c>
      <c r="W3247" s="108" t="n">
        <v>46097</v>
      </c>
      <c r="X3247" s="4" t="inlineStr">
        <is>
          <t>PHILIPPOS  CONSTANTINIDES
TRADING CO.LTD</t>
        </is>
      </c>
    </row>
    <row r="3248" ht="24" customHeight="1">
      <c r="A3248" s="2">
        <f>+D3248-S3248</f>
        <v/>
      </c>
      <c r="B3248" s="80" t="n">
        <v>4838</v>
      </c>
      <c r="C3248" s="66" t="n">
        <v>45994</v>
      </c>
      <c r="D3248" s="2" t="n">
        <v>1</v>
      </c>
      <c r="E3248" s="3" t="inlineStr">
        <is>
          <t>FUCILE DOPPIETTA</t>
        </is>
      </c>
      <c r="F3248" s="3" t="n">
        <v>12</v>
      </c>
      <c r="G3248" s="3" t="inlineStr">
        <is>
          <t>FEG</t>
        </is>
      </c>
      <c r="H3248" s="65" t="inlineStr">
        <is>
          <t>N/A</t>
        </is>
      </c>
      <c r="I3248" s="65" t="inlineStr">
        <is>
          <t>G8528</t>
        </is>
      </c>
      <c r="J3248" s="65" t="inlineStr">
        <is>
          <t>N/A</t>
        </is>
      </c>
      <c r="K3248" s="65" t="inlineStr">
        <is>
          <t>N/D</t>
        </is>
      </c>
      <c r="L3248" s="127" t="inlineStr">
        <is>
          <t>Eredi Safari Sport Severi Gino di Armilli M. Teresa.</t>
        </is>
      </c>
      <c r="M3248" s="5" t="n">
        <v>50</v>
      </c>
      <c r="N3248" s="5" t="n"/>
      <c r="O3248" s="5">
        <f>+M3248+N3248</f>
        <v/>
      </c>
      <c r="P3248" s="4" t="n"/>
      <c r="Q3248" s="87" t="n"/>
      <c r="R3248" s="5" t="n">
        <v>62.02</v>
      </c>
      <c r="S3248" s="2" t="n">
        <v>1</v>
      </c>
      <c r="T3248" s="3" t="inlineStr">
        <is>
          <t>CA42796IR</t>
        </is>
      </c>
      <c r="U3248" s="87" t="n">
        <v>46097</v>
      </c>
      <c r="V3248" s="3" t="inlineStr">
        <is>
          <t>4</t>
        </is>
      </c>
      <c r="W3248" s="108" t="n">
        <v>46097</v>
      </c>
      <c r="X3248" s="4" t="inlineStr">
        <is>
          <t>PHILIPPOS  CONSTANTINIDES
TRADING CO.LTD</t>
        </is>
      </c>
    </row>
    <row r="3249" ht="24" customHeight="1">
      <c r="A3249" s="2">
        <f>+D3249-S3249</f>
        <v/>
      </c>
      <c r="B3249" s="80" t="n">
        <v>4839</v>
      </c>
      <c r="C3249" s="66" t="n">
        <v>45994</v>
      </c>
      <c r="D3249" s="2" t="n">
        <v>1</v>
      </c>
      <c r="E3249" s="3" t="inlineStr">
        <is>
          <t>FUCILE DOPPIETTA</t>
        </is>
      </c>
      <c r="F3249" s="3" t="n">
        <v>12</v>
      </c>
      <c r="G3249" s="3" t="inlineStr">
        <is>
          <t>FEG</t>
        </is>
      </c>
      <c r="H3249" s="65" t="inlineStr">
        <is>
          <t>N/A</t>
        </is>
      </c>
      <c r="I3249" s="65" t="inlineStr">
        <is>
          <t>H2833</t>
        </is>
      </c>
      <c r="J3249" s="65" t="inlineStr">
        <is>
          <t>N/A</t>
        </is>
      </c>
      <c r="K3249" s="65" t="inlineStr">
        <is>
          <t>N/D</t>
        </is>
      </c>
      <c r="L3249" s="127" t="inlineStr">
        <is>
          <t>Eredi Safari Sport Severi Gino di Armilli M. Teresa.</t>
        </is>
      </c>
      <c r="M3249" s="5" t="n">
        <v>50</v>
      </c>
      <c r="N3249" s="5" t="n"/>
      <c r="O3249" s="5">
        <f>+M3249+N3249</f>
        <v/>
      </c>
      <c r="P3249" s="4" t="n"/>
      <c r="Q3249" s="87" t="n"/>
      <c r="R3249" s="5" t="n">
        <v>62.02</v>
      </c>
      <c r="S3249" s="2" t="n">
        <v>1</v>
      </c>
      <c r="T3249" s="3" t="inlineStr">
        <is>
          <t>CA42796IR</t>
        </is>
      </c>
      <c r="U3249" s="87" t="n">
        <v>46097</v>
      </c>
      <c r="V3249" s="3" t="inlineStr">
        <is>
          <t>4</t>
        </is>
      </c>
      <c r="W3249" s="108" t="n">
        <v>46097</v>
      </c>
      <c r="X3249" s="4" t="inlineStr">
        <is>
          <t>PHILIPPOS  CONSTANTINIDES
TRADING CO.LTD</t>
        </is>
      </c>
    </row>
    <row r="3250" ht="24" customHeight="1">
      <c r="A3250" s="2">
        <f>+D3250-S3250</f>
        <v/>
      </c>
      <c r="B3250" s="80" t="n">
        <v>4840</v>
      </c>
      <c r="C3250" s="66" t="n">
        <v>45994</v>
      </c>
      <c r="D3250" s="2" t="n">
        <v>1</v>
      </c>
      <c r="E3250" s="3" t="inlineStr">
        <is>
          <t>FUCILE DOPPIETTA</t>
        </is>
      </c>
      <c r="F3250" s="3" t="n">
        <v>12</v>
      </c>
      <c r="G3250" s="3" t="inlineStr">
        <is>
          <t>FEG</t>
        </is>
      </c>
      <c r="H3250" s="65" t="inlineStr">
        <is>
          <t>N/A</t>
        </is>
      </c>
      <c r="I3250" s="65" t="inlineStr">
        <is>
          <t>H2046</t>
        </is>
      </c>
      <c r="J3250" s="65" t="inlineStr">
        <is>
          <t>N/A</t>
        </is>
      </c>
      <c r="K3250" s="65" t="inlineStr">
        <is>
          <t>N/D</t>
        </is>
      </c>
      <c r="L3250" s="127" t="inlineStr">
        <is>
          <t>Eredi Safari Sport Severi Gino di Armilli M. Teresa.</t>
        </is>
      </c>
      <c r="M3250" s="5" t="n">
        <v>50</v>
      </c>
      <c r="N3250" s="5" t="n"/>
      <c r="O3250" s="5">
        <f>+M3250+N3250</f>
        <v/>
      </c>
      <c r="P3250" s="4" t="n"/>
      <c r="Q3250" s="87" t="n"/>
      <c r="R3250" s="5" t="n">
        <v>62.02</v>
      </c>
      <c r="S3250" s="2" t="n">
        <v>1</v>
      </c>
      <c r="T3250" s="3" t="inlineStr">
        <is>
          <t>CA42796IR</t>
        </is>
      </c>
      <c r="U3250" s="87" t="n">
        <v>46097</v>
      </c>
      <c r="V3250" s="3" t="inlineStr">
        <is>
          <t>4</t>
        </is>
      </c>
      <c r="W3250" s="108" t="n">
        <v>46097</v>
      </c>
      <c r="X3250" s="4" t="inlineStr">
        <is>
          <t>PHILIPPOS  CONSTANTINIDES
TRADING CO.LTD</t>
        </is>
      </c>
    </row>
    <row r="3251" ht="24" customHeight="1">
      <c r="A3251" s="2">
        <f>+D3251-S3251</f>
        <v/>
      </c>
      <c r="B3251" s="80" t="n">
        <v>4841</v>
      </c>
      <c r="C3251" s="66" t="n">
        <v>45994</v>
      </c>
      <c r="D3251" s="2" t="n">
        <v>1</v>
      </c>
      <c r="E3251" s="3" t="inlineStr">
        <is>
          <t>FUCILE DOPPIETTA</t>
        </is>
      </c>
      <c r="F3251" s="3" t="n">
        <v>12</v>
      </c>
      <c r="G3251" s="3" t="inlineStr">
        <is>
          <t>FEG</t>
        </is>
      </c>
      <c r="H3251" s="65" t="inlineStr">
        <is>
          <t>N/A</t>
        </is>
      </c>
      <c r="I3251" s="65" t="inlineStr">
        <is>
          <t>G8436</t>
        </is>
      </c>
      <c r="J3251" s="65" t="inlineStr">
        <is>
          <t>N/A</t>
        </is>
      </c>
      <c r="K3251" s="65" t="inlineStr">
        <is>
          <t>N/D</t>
        </is>
      </c>
      <c r="L3251" s="127" t="inlineStr">
        <is>
          <t>Eredi Safari Sport Severi Gino di Armilli M. Teresa.</t>
        </is>
      </c>
      <c r="M3251" s="5" t="n">
        <v>50</v>
      </c>
      <c r="N3251" s="5" t="n"/>
      <c r="O3251" s="5">
        <f>+M3251+N3251</f>
        <v/>
      </c>
      <c r="P3251" s="4" t="n"/>
      <c r="Q3251" s="87" t="n"/>
      <c r="R3251" s="5" t="n">
        <v>62.02</v>
      </c>
      <c r="S3251" s="2" t="n">
        <v>1</v>
      </c>
      <c r="T3251" s="3" t="inlineStr">
        <is>
          <t>CA42796IR</t>
        </is>
      </c>
      <c r="U3251" s="87" t="n">
        <v>46097</v>
      </c>
      <c r="V3251" s="3" t="inlineStr">
        <is>
          <t>4</t>
        </is>
      </c>
      <c r="W3251" s="108" t="n">
        <v>46097</v>
      </c>
      <c r="X3251" s="4" t="inlineStr">
        <is>
          <t>PHILIPPOS  CONSTANTINIDES
TRADING CO.LTD</t>
        </is>
      </c>
    </row>
    <row r="3252" ht="24" customHeight="1">
      <c r="A3252" s="2">
        <f>+D3252-S3252</f>
        <v/>
      </c>
      <c r="B3252" s="80" t="n">
        <v>4842</v>
      </c>
      <c r="C3252" s="66" t="n">
        <v>45994</v>
      </c>
      <c r="D3252" s="2" t="n">
        <v>1</v>
      </c>
      <c r="E3252" s="3" t="inlineStr">
        <is>
          <t>FUCILE DOPPIETTA</t>
        </is>
      </c>
      <c r="F3252" s="3" t="n">
        <v>12</v>
      </c>
      <c r="G3252" s="3" t="inlineStr">
        <is>
          <t>FEG</t>
        </is>
      </c>
      <c r="H3252" s="65" t="inlineStr">
        <is>
          <t>N/A</t>
        </is>
      </c>
      <c r="I3252" s="65" t="inlineStr">
        <is>
          <t>H2198</t>
        </is>
      </c>
      <c r="J3252" s="65" t="inlineStr">
        <is>
          <t>N/A</t>
        </is>
      </c>
      <c r="K3252" s="65" t="inlineStr">
        <is>
          <t>N/D</t>
        </is>
      </c>
      <c r="L3252" s="127" t="inlineStr">
        <is>
          <t>Eredi Safari Sport Severi Gino di Armilli M. Teresa.</t>
        </is>
      </c>
      <c r="M3252" s="5" t="n">
        <v>50</v>
      </c>
      <c r="N3252" s="5" t="n"/>
      <c r="O3252" s="5">
        <f>+M3252+N3252</f>
        <v/>
      </c>
      <c r="P3252" s="4" t="n"/>
      <c r="Q3252" s="87" t="n"/>
      <c r="R3252" s="5" t="n">
        <v>62.02</v>
      </c>
      <c r="S3252" s="2" t="n">
        <v>1</v>
      </c>
      <c r="T3252" s="3" t="inlineStr">
        <is>
          <t>CA42796IR</t>
        </is>
      </c>
      <c r="U3252" s="87" t="n">
        <v>46097</v>
      </c>
      <c r="V3252" s="3" t="inlineStr">
        <is>
          <t>4</t>
        </is>
      </c>
      <c r="W3252" s="108" t="n">
        <v>46097</v>
      </c>
      <c r="X3252" s="4" t="inlineStr">
        <is>
          <t>PHILIPPOS  CONSTANTINIDES
TRADING CO.LTD</t>
        </is>
      </c>
    </row>
    <row r="3253" ht="24" customHeight="1">
      <c r="A3253" s="2">
        <f>+D3253-S3253</f>
        <v/>
      </c>
      <c r="B3253" s="80" t="n">
        <v>4843</v>
      </c>
      <c r="C3253" s="66" t="n">
        <v>45994</v>
      </c>
      <c r="D3253" s="2" t="n">
        <v>1</v>
      </c>
      <c r="E3253" s="3" t="inlineStr">
        <is>
          <t>FUCILE DOPPIETTA</t>
        </is>
      </c>
      <c r="F3253" s="3" t="n">
        <v>12</v>
      </c>
      <c r="G3253" s="3" t="inlineStr">
        <is>
          <t>FEG</t>
        </is>
      </c>
      <c r="H3253" s="65" t="inlineStr">
        <is>
          <t>N/A</t>
        </is>
      </c>
      <c r="I3253" s="65" t="inlineStr">
        <is>
          <t>H2195</t>
        </is>
      </c>
      <c r="J3253" s="65" t="inlineStr">
        <is>
          <t>N/A</t>
        </is>
      </c>
      <c r="K3253" s="65" t="inlineStr">
        <is>
          <t>N/D</t>
        </is>
      </c>
      <c r="L3253" s="127" t="inlineStr">
        <is>
          <t>Eredi Safari Sport Severi Gino di Armilli M. Teresa.</t>
        </is>
      </c>
      <c r="M3253" s="5" t="n">
        <v>50</v>
      </c>
      <c r="N3253" s="5" t="n"/>
      <c r="O3253" s="5">
        <f>+M3253+N3253</f>
        <v/>
      </c>
      <c r="P3253" s="4" t="n"/>
      <c r="Q3253" s="87" t="n"/>
      <c r="R3253" s="5" t="n">
        <v>62.02</v>
      </c>
      <c r="S3253" s="2" t="n">
        <v>1</v>
      </c>
      <c r="T3253" s="3" t="inlineStr">
        <is>
          <t>CA42796IR</t>
        </is>
      </c>
      <c r="U3253" s="87" t="n">
        <v>46097</v>
      </c>
      <c r="V3253" s="3" t="inlineStr">
        <is>
          <t>4</t>
        </is>
      </c>
      <c r="W3253" s="108" t="n">
        <v>46097</v>
      </c>
      <c r="X3253" s="4" t="inlineStr">
        <is>
          <t>PHILIPPOS  CONSTANTINIDES
TRADING CO.LTD</t>
        </is>
      </c>
    </row>
    <row r="3254" ht="24" customHeight="1">
      <c r="A3254" s="2">
        <f>+D3254-S3254</f>
        <v/>
      </c>
      <c r="B3254" s="80" t="n">
        <v>4844</v>
      </c>
      <c r="C3254" s="66" t="n">
        <v>45994</v>
      </c>
      <c r="D3254" s="2" t="n">
        <v>1</v>
      </c>
      <c r="E3254" s="3" t="inlineStr">
        <is>
          <t>FUCILE DOPPIETTA</t>
        </is>
      </c>
      <c r="F3254" s="3" t="n">
        <v>12</v>
      </c>
      <c r="G3254" s="3" t="inlineStr">
        <is>
          <t>FEG</t>
        </is>
      </c>
      <c r="H3254" s="65" t="inlineStr">
        <is>
          <t>N/A</t>
        </is>
      </c>
      <c r="I3254" s="65" t="inlineStr">
        <is>
          <t>G8380</t>
        </is>
      </c>
      <c r="J3254" s="65" t="inlineStr">
        <is>
          <t>N/A</t>
        </is>
      </c>
      <c r="K3254" s="65" t="inlineStr">
        <is>
          <t>N/D</t>
        </is>
      </c>
      <c r="L3254" s="127" t="inlineStr">
        <is>
          <t>Eredi Safari Sport Severi Gino di Armilli M. Teresa.</t>
        </is>
      </c>
      <c r="M3254" s="5" t="n">
        <v>50</v>
      </c>
      <c r="N3254" s="5" t="n"/>
      <c r="O3254" s="5">
        <f>+M3254+N3254</f>
        <v/>
      </c>
      <c r="P3254" s="4" t="n"/>
      <c r="Q3254" s="87" t="n"/>
      <c r="R3254" s="5" t="n">
        <v>62.02</v>
      </c>
      <c r="S3254" s="2" t="n">
        <v>1</v>
      </c>
      <c r="T3254" s="3" t="inlineStr">
        <is>
          <t>CA42796IR</t>
        </is>
      </c>
      <c r="U3254" s="87" t="n">
        <v>46097</v>
      </c>
      <c r="V3254" s="3" t="inlineStr">
        <is>
          <t>4</t>
        </is>
      </c>
      <c r="W3254" s="108" t="n">
        <v>46097</v>
      </c>
      <c r="X3254" s="4" t="inlineStr">
        <is>
          <t>PHILIPPOS  CONSTANTINIDES
TRADING CO.LTD</t>
        </is>
      </c>
    </row>
    <row r="3255" ht="24" customHeight="1">
      <c r="A3255" s="2">
        <f>+D3255-S3255</f>
        <v/>
      </c>
      <c r="B3255" s="80" t="n">
        <v>4845</v>
      </c>
      <c r="C3255" s="66" t="n">
        <v>45994</v>
      </c>
      <c r="D3255" s="2" t="n">
        <v>1</v>
      </c>
      <c r="E3255" s="3" t="inlineStr">
        <is>
          <t>CARABINA SEMIAUTOMATICA</t>
        </is>
      </c>
      <c r="F3255" s="3" t="inlineStr">
        <is>
          <t>256 FERRET</t>
        </is>
      </c>
      <c r="G3255" s="3" t="inlineStr">
        <is>
          <t>FERRET</t>
        </is>
      </c>
      <c r="H3255" s="65" t="inlineStr">
        <is>
          <t>N/A</t>
        </is>
      </c>
      <c r="I3255" s="65" t="inlineStr">
        <is>
          <t>58937</t>
        </is>
      </c>
      <c r="J3255" s="65" t="inlineStr">
        <is>
          <t>N/A</t>
        </is>
      </c>
      <c r="K3255" s="65" t="inlineStr">
        <is>
          <t>N/D</t>
        </is>
      </c>
      <c r="L3255" s="127" t="inlineStr">
        <is>
          <t>Eredi Safari Sport Severi Gino di Armilli M. Teresa.</t>
        </is>
      </c>
      <c r="M3255" s="5" t="n">
        <v>50</v>
      </c>
      <c r="N3255" s="5" t="n"/>
      <c r="O3255" s="5">
        <f>+M3255+N3255</f>
        <v/>
      </c>
      <c r="P3255" s="4" t="n"/>
      <c r="Q3255" s="87" t="n"/>
      <c r="R3255" s="5" t="n"/>
      <c r="S3255" s="2" t="n"/>
      <c r="T3255" s="3" t="n"/>
      <c r="U3255" s="87" t="n"/>
      <c r="V3255" s="3" t="n"/>
      <c r="W3255" s="108" t="n"/>
      <c r="X3255" s="4" t="n"/>
    </row>
    <row r="3256" ht="24" customHeight="1">
      <c r="A3256" s="2">
        <f>+D3256-S3256</f>
        <v/>
      </c>
      <c r="B3256" s="80" t="n">
        <v>4846</v>
      </c>
      <c r="C3256" s="66" t="n">
        <v>45994</v>
      </c>
      <c r="D3256" s="2" t="n">
        <v>1</v>
      </c>
      <c r="E3256" s="3" t="inlineStr">
        <is>
          <t>FUCILE SOVRAPPOSTO</t>
        </is>
      </c>
      <c r="F3256" s="3" t="inlineStr">
        <is>
          <t>12</t>
        </is>
      </c>
      <c r="G3256" s="3" t="inlineStr">
        <is>
          <t>FABARM</t>
        </is>
      </c>
      <c r="H3256" s="65" t="inlineStr">
        <is>
          <t>N/A</t>
        </is>
      </c>
      <c r="I3256" s="65" t="n">
        <v>15345</v>
      </c>
      <c r="J3256" s="65" t="inlineStr">
        <is>
          <t>N/A</t>
        </is>
      </c>
      <c r="K3256" s="65" t="inlineStr">
        <is>
          <t>N/D</t>
        </is>
      </c>
      <c r="L3256" s="127" t="inlineStr">
        <is>
          <t>Eredi Safari Sport Severi Gino di Armilli M. Teresa.</t>
        </is>
      </c>
      <c r="M3256" s="5" t="n">
        <v>100</v>
      </c>
      <c r="N3256" s="5" t="n"/>
      <c r="O3256" s="5">
        <f>+M3256+N3256</f>
        <v/>
      </c>
      <c r="P3256" s="4" t="n"/>
      <c r="Q3256" s="87" t="n"/>
      <c r="R3256" s="5" t="n">
        <v>124.04</v>
      </c>
      <c r="S3256" s="2" t="n">
        <v>1</v>
      </c>
      <c r="T3256" s="3" t="inlineStr">
        <is>
          <t>CA42796IR</t>
        </is>
      </c>
      <c r="U3256" s="87" t="n">
        <v>46097</v>
      </c>
      <c r="V3256" s="3" t="inlineStr">
        <is>
          <t>4</t>
        </is>
      </c>
      <c r="W3256" s="108" t="n">
        <v>46097</v>
      </c>
      <c r="X3256" s="4" t="inlineStr">
        <is>
          <t>PHILIPPOS  CONSTANTINIDES
TRADING CO.LTD</t>
        </is>
      </c>
    </row>
    <row r="3257" ht="24" customHeight="1">
      <c r="A3257" s="2">
        <f>+D3257-S3257</f>
        <v/>
      </c>
      <c r="B3257" s="80" t="n">
        <v>4847</v>
      </c>
      <c r="C3257" s="66" t="n">
        <v>45994</v>
      </c>
      <c r="D3257" s="2" t="n">
        <v>1</v>
      </c>
      <c r="E3257" s="3" t="inlineStr">
        <is>
          <t>FUCILE SOVRAPPOSTO</t>
        </is>
      </c>
      <c r="F3257" s="3" t="inlineStr">
        <is>
          <t>12</t>
        </is>
      </c>
      <c r="G3257" s="3" t="inlineStr">
        <is>
          <t>BERETTA</t>
        </is>
      </c>
      <c r="H3257" s="65" t="inlineStr">
        <is>
          <t>N/A</t>
        </is>
      </c>
      <c r="I3257" s="65" t="inlineStr">
        <is>
          <t>A4494</t>
        </is>
      </c>
      <c r="J3257" s="65" t="inlineStr">
        <is>
          <t>N/A</t>
        </is>
      </c>
      <c r="K3257" s="65" t="inlineStr">
        <is>
          <t>N/D</t>
        </is>
      </c>
      <c r="L3257" s="127" t="inlineStr">
        <is>
          <t>Eredi Safari Sport Severi Gino di Armilli M. Teresa.</t>
        </is>
      </c>
      <c r="M3257" s="5" t="n">
        <v>90</v>
      </c>
      <c r="N3257" s="5" t="n"/>
      <c r="O3257" s="5">
        <f>+M3257+N3257</f>
        <v/>
      </c>
      <c r="P3257" s="4" t="n"/>
      <c r="Q3257" s="87" t="n"/>
      <c r="R3257" s="5" t="n">
        <v>62.02</v>
      </c>
      <c r="S3257" s="2" t="n">
        <v>1</v>
      </c>
      <c r="T3257" s="3" t="inlineStr">
        <is>
          <t>CA42796IR</t>
        </is>
      </c>
      <c r="U3257" s="87" t="n">
        <v>46097</v>
      </c>
      <c r="V3257" s="3" t="inlineStr">
        <is>
          <t>4</t>
        </is>
      </c>
      <c r="W3257" s="108" t="n">
        <v>46097</v>
      </c>
      <c r="X3257" s="4" t="inlineStr">
        <is>
          <t>PHILIPPOS  CONSTANTINIDES
TRADING CO.LTD</t>
        </is>
      </c>
    </row>
    <row r="3258" ht="24" customHeight="1">
      <c r="A3258" s="2">
        <f>+D3258-S3258</f>
        <v/>
      </c>
      <c r="B3258" s="80" t="n">
        <v>4848</v>
      </c>
      <c r="C3258" s="66" t="n">
        <v>45994</v>
      </c>
      <c r="D3258" s="2" t="n">
        <v>1</v>
      </c>
      <c r="E3258" s="3" t="inlineStr">
        <is>
          <t>FUCILE DOPPIETTA</t>
        </is>
      </c>
      <c r="F3258" s="3" t="inlineStr">
        <is>
          <t>12</t>
        </is>
      </c>
      <c r="G3258" s="3" t="inlineStr">
        <is>
          <t>ARTIGIANALE</t>
        </is>
      </c>
      <c r="H3258" s="65" t="inlineStr">
        <is>
          <t>N/A</t>
        </is>
      </c>
      <c r="I3258" s="65" t="inlineStr">
        <is>
          <t>962</t>
        </is>
      </c>
      <c r="J3258" s="65" t="inlineStr">
        <is>
          <t>N/A</t>
        </is>
      </c>
      <c r="K3258" s="65" t="inlineStr">
        <is>
          <t>N/D</t>
        </is>
      </c>
      <c r="L3258" s="127" t="inlineStr">
        <is>
          <t>Eredi Safari Sport Severi Gino di Armilli M. Teresa.</t>
        </is>
      </c>
      <c r="M3258" s="5" t="n">
        <v>50</v>
      </c>
      <c r="N3258" s="5" t="n"/>
      <c r="O3258" s="5">
        <f>+M3258+N3258</f>
        <v/>
      </c>
      <c r="P3258" s="4" t="n"/>
      <c r="Q3258" s="87" t="n"/>
      <c r="R3258" s="5" t="n">
        <v>62.02</v>
      </c>
      <c r="S3258" s="2" t="n">
        <v>1</v>
      </c>
      <c r="T3258" s="3" t="inlineStr">
        <is>
          <t>CA42796IR</t>
        </is>
      </c>
      <c r="U3258" s="87" t="n">
        <v>46097</v>
      </c>
      <c r="V3258" s="3" t="inlineStr">
        <is>
          <t>4</t>
        </is>
      </c>
      <c r="W3258" s="108" t="n">
        <v>46097</v>
      </c>
      <c r="X3258" s="4" t="inlineStr">
        <is>
          <t>PHILIPPOS  CONSTANTINIDES
TRADING CO.LTD</t>
        </is>
      </c>
    </row>
    <row r="3259" ht="24" customHeight="1">
      <c r="A3259" s="2">
        <f>+D3259-S3259</f>
        <v/>
      </c>
      <c r="B3259" s="80" t="n">
        <v>4849</v>
      </c>
      <c r="C3259" s="66" t="n">
        <v>45994</v>
      </c>
      <c r="D3259" s="2" t="n">
        <v>1</v>
      </c>
      <c r="E3259" s="3" t="inlineStr">
        <is>
          <t>FUCILE DOPPIETTA</t>
        </is>
      </c>
      <c r="F3259" s="3" t="inlineStr">
        <is>
          <t>12</t>
        </is>
      </c>
      <c r="G3259" s="3" t="inlineStr">
        <is>
          <t>BENARDELLI</t>
        </is>
      </c>
      <c r="H3259" s="65" t="inlineStr">
        <is>
          <t>N/A</t>
        </is>
      </c>
      <c r="I3259" s="65" t="inlineStr">
        <is>
          <t>3795</t>
        </is>
      </c>
      <c r="J3259" s="65" t="inlineStr">
        <is>
          <t>N/A</t>
        </is>
      </c>
      <c r="K3259" s="65" t="inlineStr">
        <is>
          <t>N/D</t>
        </is>
      </c>
      <c r="L3259" s="127" t="inlineStr">
        <is>
          <t>Eredi Safari Sport Severi Gino di Armilli M. Teresa.</t>
        </is>
      </c>
      <c r="M3259" s="5" t="n">
        <v>50</v>
      </c>
      <c r="N3259" s="5" t="n"/>
      <c r="O3259" s="5">
        <f>+M3259+N3259</f>
        <v/>
      </c>
      <c r="P3259" s="4" t="n"/>
      <c r="Q3259" s="87" t="n"/>
      <c r="R3259" s="5" t="n">
        <v>62.02</v>
      </c>
      <c r="S3259" s="2" t="n">
        <v>1</v>
      </c>
      <c r="T3259" s="3" t="inlineStr">
        <is>
          <t>CA42796IR</t>
        </is>
      </c>
      <c r="U3259" s="87" t="n">
        <v>46097</v>
      </c>
      <c r="V3259" s="3" t="inlineStr">
        <is>
          <t>4</t>
        </is>
      </c>
      <c r="W3259" s="108" t="n">
        <v>46097</v>
      </c>
      <c r="X3259" s="4" t="inlineStr">
        <is>
          <t>PHILIPPOS  CONSTANTINIDES
TRADING CO.LTD</t>
        </is>
      </c>
    </row>
    <row r="3260" ht="24" customHeight="1">
      <c r="A3260" s="2">
        <f>+D3260-S3260</f>
        <v/>
      </c>
      <c r="B3260" s="80" t="n">
        <v>4850</v>
      </c>
      <c r="C3260" s="66" t="n">
        <v>45994</v>
      </c>
      <c r="D3260" s="2" t="n">
        <v>1</v>
      </c>
      <c r="E3260" s="3" t="inlineStr">
        <is>
          <t>FUCILE SOVRAPPOSTO</t>
        </is>
      </c>
      <c r="F3260" s="3" t="inlineStr">
        <is>
          <t>12</t>
        </is>
      </c>
      <c r="G3260" s="3" t="inlineStr">
        <is>
          <t>BERETTA</t>
        </is>
      </c>
      <c r="H3260" s="65" t="inlineStr">
        <is>
          <t>N/A</t>
        </is>
      </c>
      <c r="I3260" s="65" t="inlineStr">
        <is>
          <t>A10239</t>
        </is>
      </c>
      <c r="J3260" s="65" t="inlineStr">
        <is>
          <t>N/A</t>
        </is>
      </c>
      <c r="K3260" s="65" t="inlineStr">
        <is>
          <t>N/D</t>
        </is>
      </c>
      <c r="L3260" s="127" t="inlineStr">
        <is>
          <t>Eredi Safari Sport Severi Gino di Armilli M. Teresa.</t>
        </is>
      </c>
      <c r="M3260" s="5" t="n">
        <v>50</v>
      </c>
      <c r="N3260" s="5" t="n"/>
      <c r="O3260" s="5">
        <f>+M3260+N3260</f>
        <v/>
      </c>
      <c r="P3260" s="4" t="n"/>
      <c r="Q3260" s="87" t="n"/>
      <c r="R3260" s="5" t="n">
        <v>62.02</v>
      </c>
      <c r="S3260" s="2" t="n">
        <v>1</v>
      </c>
      <c r="T3260" s="3" t="inlineStr">
        <is>
          <t>CA42796IR</t>
        </is>
      </c>
      <c r="U3260" s="87" t="n">
        <v>46097</v>
      </c>
      <c r="V3260" s="3" t="inlineStr">
        <is>
          <t>4</t>
        </is>
      </c>
      <c r="W3260" s="108" t="n">
        <v>46097</v>
      </c>
      <c r="X3260" s="4" t="inlineStr">
        <is>
          <t>PHILIPPOS  CONSTANTINIDES
TRADING CO.LTD</t>
        </is>
      </c>
    </row>
    <row r="3261" ht="24" customHeight="1">
      <c r="A3261" s="2">
        <f>+D3261-S3261</f>
        <v/>
      </c>
      <c r="B3261" s="80" t="n">
        <v>4851</v>
      </c>
      <c r="C3261" s="66" t="n">
        <v>45994</v>
      </c>
      <c r="D3261" s="2" t="n">
        <v>1</v>
      </c>
      <c r="E3261" s="3" t="inlineStr">
        <is>
          <t>CARABINA AD OTTURATORE</t>
        </is>
      </c>
      <c r="F3261" s="3" t="inlineStr">
        <is>
          <t>308</t>
        </is>
      </c>
      <c r="G3261" s="3" t="inlineStr">
        <is>
          <t>WINCHESTER</t>
        </is>
      </c>
      <c r="H3261" s="65" t="inlineStr">
        <is>
          <t>N/A</t>
        </is>
      </c>
      <c r="I3261" s="65" t="inlineStr">
        <is>
          <t>G2570740</t>
        </is>
      </c>
      <c r="J3261" s="65" t="inlineStr">
        <is>
          <t>N/A</t>
        </is>
      </c>
      <c r="K3261" s="65" t="inlineStr">
        <is>
          <t>N/D</t>
        </is>
      </c>
      <c r="L3261" s="127" t="inlineStr">
        <is>
          <t>Eredi Safari Sport Severi Gino di Armilli M. Teresa.</t>
        </is>
      </c>
      <c r="M3261" s="5" t="n">
        <v>50</v>
      </c>
      <c r="N3261" s="5" t="n"/>
      <c r="O3261" s="5">
        <f>+M3261+N3261</f>
        <v/>
      </c>
      <c r="P3261" s="4" t="n"/>
      <c r="Q3261" s="87" t="n"/>
      <c r="R3261" s="5" t="n"/>
      <c r="S3261" s="2" t="n"/>
      <c r="T3261" s="3" t="n"/>
      <c r="U3261" s="87" t="n"/>
      <c r="V3261" s="3" t="n"/>
      <c r="W3261" s="108" t="n"/>
      <c r="X3261" s="4" t="n"/>
    </row>
    <row r="3262" ht="24" customHeight="1">
      <c r="A3262" s="2">
        <f>+D3262-S3262</f>
        <v/>
      </c>
      <c r="B3262" s="80" t="n">
        <v>4852</v>
      </c>
      <c r="C3262" s="66" t="n">
        <v>45994</v>
      </c>
      <c r="D3262" s="2" t="n">
        <v>1</v>
      </c>
      <c r="E3262" s="3" t="inlineStr">
        <is>
          <t>CARABINA SEMIAUTOMATICA</t>
        </is>
      </c>
      <c r="F3262" s="3" t="inlineStr">
        <is>
          <t xml:space="preserve"> 30-06</t>
        </is>
      </c>
      <c r="G3262" s="3" t="inlineStr">
        <is>
          <t>REMINGTON</t>
        </is>
      </c>
      <c r="H3262" s="65" t="inlineStr">
        <is>
          <t>N/A</t>
        </is>
      </c>
      <c r="I3262" s="65" t="n">
        <v>8034420</v>
      </c>
      <c r="J3262" s="65" t="inlineStr">
        <is>
          <t>N/A</t>
        </is>
      </c>
      <c r="K3262" s="65" t="inlineStr">
        <is>
          <t>N/D</t>
        </is>
      </c>
      <c r="L3262" s="127" t="inlineStr">
        <is>
          <t>Eredi Safari Sport Severi Gino di Armilli M. Teresa.</t>
        </is>
      </c>
      <c r="M3262" s="5" t="n">
        <v>100</v>
      </c>
      <c r="N3262" s="5" t="n"/>
      <c r="O3262" s="5">
        <f>+M3262+N3262</f>
        <v/>
      </c>
      <c r="P3262" s="4" t="n"/>
      <c r="Q3262" s="87" t="n"/>
      <c r="R3262" s="5" t="n"/>
      <c r="S3262" s="2" t="n"/>
      <c r="T3262" s="3" t="n"/>
      <c r="U3262" s="87" t="n"/>
      <c r="V3262" s="3" t="n"/>
      <c r="W3262" s="108" t="n"/>
      <c r="X3262" s="4" t="n"/>
    </row>
    <row r="3263" ht="24" customHeight="1">
      <c r="A3263" s="2">
        <f>+D3263-S3263</f>
        <v/>
      </c>
      <c r="B3263" s="80" t="n">
        <v>4853</v>
      </c>
      <c r="C3263" s="66" t="n">
        <v>45994</v>
      </c>
      <c r="D3263" s="2" t="n">
        <v>1</v>
      </c>
      <c r="E3263" s="3" t="inlineStr">
        <is>
          <t>CARABINA AD OTTURATORE</t>
        </is>
      </c>
      <c r="F3263" s="3" t="inlineStr">
        <is>
          <t>7x64</t>
        </is>
      </c>
      <c r="G3263" s="3" t="inlineStr">
        <is>
          <t>STEYR</t>
        </is>
      </c>
      <c r="H3263" s="65" t="inlineStr">
        <is>
          <t>N/A</t>
        </is>
      </c>
      <c r="I3263" s="65" t="inlineStr">
        <is>
          <t>2142</t>
        </is>
      </c>
      <c r="J3263" s="65" t="inlineStr">
        <is>
          <t>N/A</t>
        </is>
      </c>
      <c r="K3263" s="65" t="inlineStr">
        <is>
          <t>N/D</t>
        </is>
      </c>
      <c r="L3263" s="127" t="inlineStr">
        <is>
          <t>Eredi Safari Sport Severi Gino di Armilli M. Teresa.</t>
        </is>
      </c>
      <c r="M3263" s="5" t="n">
        <v>100</v>
      </c>
      <c r="N3263" s="5" t="n"/>
      <c r="O3263" s="5">
        <f>+M3263+N3263</f>
        <v/>
      </c>
      <c r="P3263" s="4" t="n"/>
      <c r="Q3263" s="87" t="n"/>
      <c r="R3263" s="5" t="n"/>
      <c r="S3263" s="2" t="n"/>
      <c r="T3263" s="3" t="n"/>
      <c r="U3263" s="87" t="n"/>
      <c r="V3263" s="3" t="n"/>
      <c r="W3263" s="108" t="n"/>
      <c r="X3263" s="4" t="n"/>
    </row>
    <row r="3264" ht="24" customHeight="1">
      <c r="A3264" s="2">
        <f>+D3264-S3264</f>
        <v/>
      </c>
      <c r="B3264" s="80" t="n">
        <v>4854</v>
      </c>
      <c r="C3264" s="66" t="n">
        <v>45994</v>
      </c>
      <c r="D3264" s="2" t="n">
        <v>1</v>
      </c>
      <c r="E3264" s="3" t="inlineStr">
        <is>
          <t>CARABINA AD OTTURATORE</t>
        </is>
      </c>
      <c r="F3264" s="3" t="inlineStr">
        <is>
          <t>7x64</t>
        </is>
      </c>
      <c r="G3264" s="3" t="inlineStr">
        <is>
          <t>STEYR</t>
        </is>
      </c>
      <c r="H3264" s="65" t="inlineStr">
        <is>
          <t>N/A</t>
        </is>
      </c>
      <c r="I3264" s="65" t="n">
        <v>43193</v>
      </c>
      <c r="J3264" s="65" t="inlineStr">
        <is>
          <t>N/A</t>
        </is>
      </c>
      <c r="K3264" s="65" t="inlineStr">
        <is>
          <t>N/D</t>
        </is>
      </c>
      <c r="L3264" s="127" t="inlineStr">
        <is>
          <t>Eredi Safari Sport Severi Gino di Armilli M. Teresa.</t>
        </is>
      </c>
      <c r="M3264" s="5" t="n">
        <v>100</v>
      </c>
      <c r="N3264" s="5" t="n"/>
      <c r="O3264" s="5">
        <f>+M3264+N3264</f>
        <v/>
      </c>
      <c r="P3264" s="4" t="n"/>
      <c r="Q3264" s="87" t="n"/>
      <c r="R3264" s="5" t="n"/>
      <c r="S3264" s="2" t="n"/>
      <c r="T3264" s="3" t="n"/>
      <c r="U3264" s="87" t="n"/>
      <c r="V3264" s="3" t="n"/>
      <c r="W3264" s="108" t="n"/>
      <c r="X3264" s="4" t="n"/>
    </row>
    <row r="3265" ht="24" customHeight="1">
      <c r="A3265" s="2">
        <f>+D3265-S3265</f>
        <v/>
      </c>
      <c r="B3265" s="80" t="n">
        <v>4855</v>
      </c>
      <c r="C3265" s="66" t="n">
        <v>45994</v>
      </c>
      <c r="D3265" s="2" t="n">
        <v>1</v>
      </c>
      <c r="E3265" s="3" t="inlineStr">
        <is>
          <t>CARABINA AD OTTURATORE</t>
        </is>
      </c>
      <c r="F3265" s="3" t="inlineStr">
        <is>
          <t>257 WBY</t>
        </is>
      </c>
      <c r="G3265" s="3" t="inlineStr">
        <is>
          <t>WEATHERBY</t>
        </is>
      </c>
      <c r="H3265" s="65" t="inlineStr">
        <is>
          <t>N/A</t>
        </is>
      </c>
      <c r="I3265" s="65" t="inlineStr">
        <is>
          <t>SS06509</t>
        </is>
      </c>
      <c r="J3265" s="65" t="inlineStr">
        <is>
          <t>N/A</t>
        </is>
      </c>
      <c r="K3265" s="65" t="inlineStr">
        <is>
          <t>N/D</t>
        </is>
      </c>
      <c r="L3265" s="127" t="inlineStr">
        <is>
          <t>Eredi Safari Sport Severi Gino di Armilli M. Teresa.</t>
        </is>
      </c>
      <c r="M3265" s="5" t="n">
        <v>200</v>
      </c>
      <c r="N3265" s="5" t="n"/>
      <c r="O3265" s="5">
        <f>+M3265+N3265</f>
        <v/>
      </c>
      <c r="P3265" s="4" t="n"/>
      <c r="Q3265" s="87" t="n"/>
      <c r="R3265" s="5" t="n"/>
      <c r="S3265" s="2" t="n"/>
      <c r="T3265" s="3" t="n"/>
      <c r="U3265" s="87" t="n"/>
      <c r="V3265" s="3" t="n"/>
      <c r="W3265" s="108" t="n"/>
      <c r="X3265" s="4" t="n"/>
    </row>
    <row r="3266" ht="24" customHeight="1">
      <c r="A3266" s="2">
        <f>+D3266-S3266</f>
        <v/>
      </c>
      <c r="B3266" s="80" t="n">
        <v>4856</v>
      </c>
      <c r="C3266" s="66" t="n">
        <v>45994</v>
      </c>
      <c r="D3266" s="2" t="n">
        <v>1</v>
      </c>
      <c r="E3266" s="3" t="inlineStr">
        <is>
          <t>CARABINA AD OTTURATORE</t>
        </is>
      </c>
      <c r="F3266" s="3" t="inlineStr">
        <is>
          <t>30-06</t>
        </is>
      </c>
      <c r="G3266" s="3" t="inlineStr">
        <is>
          <t>HUSQVARNA</t>
        </is>
      </c>
      <c r="H3266" s="65" t="inlineStr">
        <is>
          <t>N/A</t>
        </is>
      </c>
      <c r="I3266" s="65" t="inlineStr">
        <is>
          <t>280540</t>
        </is>
      </c>
      <c r="J3266" s="65" t="inlineStr">
        <is>
          <t>N/A</t>
        </is>
      </c>
      <c r="K3266" s="65" t="inlineStr">
        <is>
          <t>N/D</t>
        </is>
      </c>
      <c r="L3266" s="127" t="inlineStr">
        <is>
          <t>Eredi Safari Sport Severi Gino di Armilli M. Teresa.</t>
        </is>
      </c>
      <c r="M3266" s="5" t="n">
        <v>100</v>
      </c>
      <c r="N3266" s="5" t="n"/>
      <c r="O3266" s="5">
        <f>+M3266+N3266</f>
        <v/>
      </c>
      <c r="P3266" s="4" t="n"/>
      <c r="Q3266" s="87" t="n"/>
      <c r="R3266" s="5" t="n"/>
      <c r="S3266" s="2" t="n"/>
      <c r="T3266" s="3" t="n"/>
      <c r="U3266" s="87" t="n"/>
      <c r="V3266" s="3" t="n"/>
      <c r="W3266" s="108" t="n"/>
      <c r="X3266" s="4" t="n"/>
    </row>
    <row r="3267" ht="24" customHeight="1">
      <c r="A3267" s="2">
        <f>+D3267-S3267</f>
        <v/>
      </c>
      <c r="B3267" s="80" t="n">
        <v>4857</v>
      </c>
      <c r="C3267" s="66" t="n">
        <v>45994</v>
      </c>
      <c r="D3267" s="2" t="n">
        <v>1</v>
      </c>
      <c r="E3267" s="3" t="inlineStr">
        <is>
          <t>CARABINA AD OTTURATORE</t>
        </is>
      </c>
      <c r="F3267" s="3" t="inlineStr">
        <is>
          <t>7x64</t>
        </is>
      </c>
      <c r="G3267" s="3" t="inlineStr">
        <is>
          <t>STEYR</t>
        </is>
      </c>
      <c r="H3267" s="65" t="inlineStr">
        <is>
          <t>N/A</t>
        </is>
      </c>
      <c r="I3267" s="65" t="n">
        <v>51136</v>
      </c>
      <c r="J3267" s="65" t="inlineStr">
        <is>
          <t>N/A</t>
        </is>
      </c>
      <c r="K3267" s="65" t="inlineStr">
        <is>
          <t>N/D</t>
        </is>
      </c>
      <c r="L3267" s="127" t="inlineStr">
        <is>
          <t>Eredi Safari Sport Severi Gino di Armilli M. Teresa.</t>
        </is>
      </c>
      <c r="M3267" s="5" t="n">
        <v>100</v>
      </c>
      <c r="N3267" s="5" t="n"/>
      <c r="O3267" s="5">
        <f>+M3267+N3267</f>
        <v/>
      </c>
      <c r="P3267" s="4" t="n"/>
      <c r="Q3267" s="87" t="n"/>
      <c r="R3267" s="5" t="n"/>
      <c r="S3267" s="2" t="n"/>
      <c r="T3267" s="3" t="n"/>
      <c r="U3267" s="87" t="n"/>
      <c r="V3267" s="3" t="n"/>
      <c r="W3267" s="108" t="n"/>
      <c r="X3267" s="4" t="n"/>
    </row>
    <row r="3268" ht="24" customHeight="1">
      <c r="A3268" s="2">
        <f>+D3268-S3268</f>
        <v/>
      </c>
      <c r="B3268" s="80" t="n">
        <v>4858</v>
      </c>
      <c r="C3268" s="66" t="n">
        <v>45994</v>
      </c>
      <c r="D3268" s="2" t="n">
        <v>1</v>
      </c>
      <c r="E3268" s="3" t="inlineStr">
        <is>
          <t>CARABINA MONOCOLPO</t>
        </is>
      </c>
      <c r="F3268" s="3" t="inlineStr">
        <is>
          <t>6.5x57R</t>
        </is>
      </c>
      <c r="G3268" s="3" t="inlineStr">
        <is>
          <t>HEYM</t>
        </is>
      </c>
      <c r="H3268" s="65" t="inlineStr">
        <is>
          <t>N/A</t>
        </is>
      </c>
      <c r="I3268" s="65" t="inlineStr">
        <is>
          <t>132-23337</t>
        </is>
      </c>
      <c r="J3268" s="65" t="inlineStr">
        <is>
          <t>N/A</t>
        </is>
      </c>
      <c r="K3268" s="65" t="inlineStr">
        <is>
          <t>N/D</t>
        </is>
      </c>
      <c r="L3268" s="127" t="inlineStr">
        <is>
          <t>Eredi Safari Sport Severi Gino di Armilli M. Teresa.</t>
        </is>
      </c>
      <c r="M3268" s="5" t="n">
        <v>100</v>
      </c>
      <c r="N3268" s="5" t="n"/>
      <c r="O3268" s="5">
        <f>+M3268+N3268</f>
        <v/>
      </c>
      <c r="P3268" s="4" t="n"/>
      <c r="Q3268" s="87" t="n"/>
      <c r="R3268" s="5" t="n"/>
      <c r="S3268" s="2" t="n"/>
      <c r="T3268" s="3" t="n"/>
      <c r="U3268" s="87" t="n"/>
      <c r="V3268" s="3" t="n"/>
      <c r="W3268" s="108" t="n"/>
      <c r="X3268" s="4" t="n"/>
    </row>
    <row r="3269" ht="24" customHeight="1">
      <c r="A3269" s="2">
        <f>+D3269-S3269</f>
        <v/>
      </c>
      <c r="B3269" s="80" t="n">
        <v>4859</v>
      </c>
      <c r="C3269" s="66" t="n">
        <v>45994</v>
      </c>
      <c r="D3269" s="2" t="n">
        <v>1</v>
      </c>
      <c r="E3269" s="3" t="inlineStr">
        <is>
          <t>CARABINA AD ARIA COMPRESSA</t>
        </is>
      </c>
      <c r="F3269" s="3" t="inlineStr">
        <is>
          <t>5.5</t>
        </is>
      </c>
      <c r="G3269" s="3" t="inlineStr">
        <is>
          <t>STOEGER</t>
        </is>
      </c>
      <c r="H3269" s="65" t="inlineStr">
        <is>
          <t>N/A</t>
        </is>
      </c>
      <c r="I3269" s="65" t="inlineStr">
        <is>
          <t>SAG1901957P</t>
        </is>
      </c>
      <c r="J3269" s="65" t="inlineStr">
        <is>
          <t>N/A</t>
        </is>
      </c>
      <c r="K3269" s="65" t="inlineStr">
        <is>
          <t>N/D</t>
        </is>
      </c>
      <c r="L3269" s="127" t="inlineStr">
        <is>
          <t>Eredi Safari Sport Severi Gino di Armilli M. Teresa.</t>
        </is>
      </c>
      <c r="M3269" s="5" t="n">
        <v>50</v>
      </c>
      <c r="N3269" s="5" t="n"/>
      <c r="O3269" s="5">
        <f>+M3269+N3269</f>
        <v/>
      </c>
      <c r="P3269" s="4" t="n"/>
      <c r="Q3269" s="87" t="n"/>
      <c r="R3269" s="5" t="n">
        <v>62.02</v>
      </c>
      <c r="S3269" s="2" t="n">
        <v>1</v>
      </c>
      <c r="T3269" s="3" t="inlineStr">
        <is>
          <t>CA42796IR</t>
        </is>
      </c>
      <c r="U3269" s="87" t="n">
        <v>46097</v>
      </c>
      <c r="V3269" s="3" t="inlineStr">
        <is>
          <t>4</t>
        </is>
      </c>
      <c r="W3269" s="108" t="n">
        <v>46097</v>
      </c>
      <c r="X3269" s="4" t="inlineStr">
        <is>
          <t>PHILIPPOS  CONSTANTINIDES
TRADING CO.LTD</t>
        </is>
      </c>
    </row>
    <row r="3270" ht="24" customHeight="1">
      <c r="A3270" s="2">
        <f>+D3270-S3270</f>
        <v/>
      </c>
      <c r="B3270" s="80" t="n">
        <v>4860</v>
      </c>
      <c r="C3270" s="66" t="n">
        <v>45994</v>
      </c>
      <c r="D3270" s="2" t="n">
        <v>1</v>
      </c>
      <c r="E3270" s="3" t="inlineStr">
        <is>
          <t>CARABINA AD ARIA COMPRESSA</t>
        </is>
      </c>
      <c r="F3270" s="3" t="n">
        <v>4.5</v>
      </c>
      <c r="G3270" s="3" t="inlineStr">
        <is>
          <t>STOEGER</t>
        </is>
      </c>
      <c r="H3270" s="65" t="inlineStr">
        <is>
          <t>N/A</t>
        </is>
      </c>
      <c r="I3270" s="65" t="inlineStr">
        <is>
          <t>STG1951334</t>
        </is>
      </c>
      <c r="J3270" s="65" t="inlineStr">
        <is>
          <t>N/A</t>
        </is>
      </c>
      <c r="K3270" s="65" t="inlineStr">
        <is>
          <t>N/D</t>
        </is>
      </c>
      <c r="L3270" s="127" t="inlineStr">
        <is>
          <t>Eredi Safari Sport Severi Gino di Armilli M. Teresa.</t>
        </is>
      </c>
      <c r="M3270" s="5" t="n">
        <v>50</v>
      </c>
      <c r="N3270" s="5" t="n"/>
      <c r="O3270" s="5">
        <f>+M3270+N3270</f>
        <v/>
      </c>
      <c r="P3270" s="4" t="n"/>
      <c r="Q3270" s="87" t="n"/>
      <c r="R3270" s="5" t="n">
        <v>62.02</v>
      </c>
      <c r="S3270" s="2" t="n">
        <v>1</v>
      </c>
      <c r="T3270" s="3" t="inlineStr">
        <is>
          <t>CA42796IR</t>
        </is>
      </c>
      <c r="U3270" s="87" t="n">
        <v>46097</v>
      </c>
      <c r="V3270" s="3" t="inlineStr">
        <is>
          <t>4</t>
        </is>
      </c>
      <c r="W3270" s="108" t="n">
        <v>46097</v>
      </c>
      <c r="X3270" s="4" t="inlineStr">
        <is>
          <t>PHILIPPOS  CONSTANTINIDES
TRADING CO.LTD</t>
        </is>
      </c>
    </row>
    <row r="3271" ht="24" customHeight="1">
      <c r="A3271" s="2">
        <f>+D3271-S3271</f>
        <v/>
      </c>
      <c r="B3271" s="80" t="n">
        <v>4861</v>
      </c>
      <c r="C3271" s="66" t="n">
        <v>45994</v>
      </c>
      <c r="D3271" s="2" t="n">
        <v>1</v>
      </c>
      <c r="E3271" s="3" t="inlineStr">
        <is>
          <t>CARABINA SEMIAUTOMATICA</t>
        </is>
      </c>
      <c r="F3271" s="3" t="inlineStr">
        <is>
          <t>270 WBY</t>
        </is>
      </c>
      <c r="G3271" s="3" t="inlineStr">
        <is>
          <t>SAUER</t>
        </is>
      </c>
      <c r="H3271" s="65" t="inlineStr">
        <is>
          <t>N/A</t>
        </is>
      </c>
      <c r="I3271" s="65" t="inlineStr">
        <is>
          <t>K40181</t>
        </is>
      </c>
      <c r="J3271" s="65" t="inlineStr">
        <is>
          <t>N/A</t>
        </is>
      </c>
      <c r="K3271" s="65" t="inlineStr">
        <is>
          <t>N/D</t>
        </is>
      </c>
      <c r="L3271" s="127" t="inlineStr">
        <is>
          <t>Eredi Safari Sport Severi Gino di Armilli M. Teresa.</t>
        </is>
      </c>
      <c r="M3271" s="5" t="n">
        <v>500</v>
      </c>
      <c r="N3271" s="5" t="n"/>
      <c r="O3271" s="5">
        <f>+M3271+N3271</f>
        <v/>
      </c>
      <c r="P3271" s="4" t="n"/>
      <c r="Q3271" s="87" t="n"/>
      <c r="R3271" s="5" t="n"/>
      <c r="S3271" s="2" t="n"/>
      <c r="T3271" s="3" t="n"/>
      <c r="U3271" s="87" t="n"/>
      <c r="V3271" s="3" t="n"/>
      <c r="W3271" s="108" t="n"/>
      <c r="X3271" s="4" t="n"/>
    </row>
    <row r="3272" ht="24" customHeight="1">
      <c r="A3272" s="2">
        <f>+D3272-S3272</f>
        <v/>
      </c>
      <c r="B3272" s="80" t="n">
        <v>4862</v>
      </c>
      <c r="C3272" s="66" t="n">
        <v>45994</v>
      </c>
      <c r="D3272" s="2" t="n">
        <v>1</v>
      </c>
      <c r="E3272" s="3" t="inlineStr">
        <is>
          <t>CARABINA AD OTTURATORE</t>
        </is>
      </c>
      <c r="F3272" s="3" t="inlineStr">
        <is>
          <t>243 WIN</t>
        </is>
      </c>
      <c r="G3272" s="3" t="inlineStr">
        <is>
          <t>SAUER</t>
        </is>
      </c>
      <c r="H3272" s="65" t="inlineStr">
        <is>
          <t>N/A</t>
        </is>
      </c>
      <c r="I3272" s="65" t="inlineStr">
        <is>
          <t>N39578</t>
        </is>
      </c>
      <c r="J3272" s="65" t="inlineStr">
        <is>
          <t>N/A</t>
        </is>
      </c>
      <c r="K3272" s="65" t="inlineStr">
        <is>
          <t>N/D</t>
        </is>
      </c>
      <c r="L3272" s="127" t="inlineStr">
        <is>
          <t>Eredi Safari Sport Severi Gino di Armilli M. Teresa.</t>
        </is>
      </c>
      <c r="M3272" s="5" t="n">
        <v>500</v>
      </c>
      <c r="N3272" s="5" t="n"/>
      <c r="O3272" s="5">
        <f>+M3272+N3272</f>
        <v/>
      </c>
      <c r="P3272" s="4" t="n"/>
      <c r="Q3272" s="87" t="n"/>
      <c r="R3272" s="5" t="n"/>
      <c r="S3272" s="2" t="n"/>
      <c r="T3272" s="3" t="n"/>
      <c r="U3272" s="87" t="n"/>
      <c r="V3272" s="3" t="n"/>
      <c r="W3272" s="108" t="n"/>
      <c r="X3272" s="4" t="n"/>
    </row>
    <row r="3273" ht="24" customHeight="1">
      <c r="A3273" s="2">
        <f>+D3273-S3273</f>
        <v/>
      </c>
      <c r="B3273" s="80" t="n">
        <v>4863</v>
      </c>
      <c r="C3273" s="66" t="n">
        <v>45994</v>
      </c>
      <c r="D3273" s="2" t="n">
        <v>1</v>
      </c>
      <c r="E3273" s="3" t="inlineStr">
        <is>
          <t>CARABINA AD ARIA COMPRESSA</t>
        </is>
      </c>
      <c r="F3273" s="3" t="inlineStr">
        <is>
          <t>4.5</t>
        </is>
      </c>
      <c r="G3273" s="3" t="inlineStr">
        <is>
          <t>WEIRAUCH</t>
        </is>
      </c>
      <c r="H3273" s="65" t="inlineStr">
        <is>
          <t>N/A</t>
        </is>
      </c>
      <c r="I3273" s="65" t="inlineStr">
        <is>
          <t>2368465</t>
        </is>
      </c>
      <c r="J3273" s="65" t="inlineStr">
        <is>
          <t>N/A</t>
        </is>
      </c>
      <c r="K3273" s="65" t="inlineStr">
        <is>
          <t>N/D</t>
        </is>
      </c>
      <c r="L3273" s="127" t="inlineStr">
        <is>
          <t>Eredi Safari Sport Severi Gino di Armilli M. Teresa.</t>
        </is>
      </c>
      <c r="M3273" s="5" t="n">
        <v>100</v>
      </c>
      <c r="N3273" s="5" t="n"/>
      <c r="O3273" s="5">
        <f>+M3273+N3273</f>
        <v/>
      </c>
      <c r="P3273" s="4" t="n"/>
      <c r="Q3273" s="87" t="n"/>
      <c r="R3273" s="5" t="n">
        <v>124.04</v>
      </c>
      <c r="S3273" s="2" t="n">
        <v>1</v>
      </c>
      <c r="T3273" s="3" t="inlineStr">
        <is>
          <t>CA42796IR</t>
        </is>
      </c>
      <c r="U3273" s="87" t="n">
        <v>46097</v>
      </c>
      <c r="V3273" s="3" t="inlineStr">
        <is>
          <t>4</t>
        </is>
      </c>
      <c r="W3273" s="108" t="n">
        <v>46097</v>
      </c>
      <c r="X3273" s="4" t="inlineStr">
        <is>
          <t>PHILIPPOS  CONSTANTINIDES
TRADING CO.LTD</t>
        </is>
      </c>
    </row>
    <row r="3274" ht="24" customHeight="1">
      <c r="A3274" s="2">
        <f>+D3274-S3274</f>
        <v/>
      </c>
      <c r="B3274" s="80" t="n">
        <v>4864</v>
      </c>
      <c r="C3274" s="66" t="n">
        <v>45994</v>
      </c>
      <c r="D3274" s="2" t="n">
        <v>1</v>
      </c>
      <c r="E3274" s="3" t="inlineStr">
        <is>
          <t>CARABINA SEMIAUTOMATICA</t>
        </is>
      </c>
      <c r="F3274" s="3" t="inlineStr">
        <is>
          <t>30-06</t>
        </is>
      </c>
      <c r="G3274" s="3" t="inlineStr">
        <is>
          <t>BROWNING</t>
        </is>
      </c>
      <c r="H3274" s="65" t="inlineStr">
        <is>
          <t>N/A</t>
        </is>
      </c>
      <c r="I3274" s="65" t="inlineStr">
        <is>
          <t>311ZN05102</t>
        </is>
      </c>
      <c r="J3274" s="65" t="inlineStr">
        <is>
          <t>N/A</t>
        </is>
      </c>
      <c r="K3274" s="65" t="inlineStr">
        <is>
          <t>N/D</t>
        </is>
      </c>
      <c r="L3274" s="127" t="inlineStr">
        <is>
          <t>Eredi Safari Sport Severi Gino di Armilli M. Teresa.</t>
        </is>
      </c>
      <c r="M3274" s="5" t="n">
        <v>500</v>
      </c>
      <c r="N3274" s="5" t="n"/>
      <c r="O3274" s="5">
        <f>+M3274+N3274</f>
        <v/>
      </c>
      <c r="P3274" s="4" t="n"/>
      <c r="Q3274" s="87" t="n"/>
      <c r="R3274" s="5" t="n"/>
      <c r="S3274" s="2" t="n"/>
      <c r="T3274" s="3" t="n"/>
      <c r="U3274" s="87" t="n"/>
      <c r="V3274" s="3" t="n"/>
      <c r="W3274" s="108" t="n"/>
      <c r="X3274" s="4" t="n"/>
    </row>
    <row r="3275" ht="24" customHeight="1">
      <c r="A3275" s="2">
        <f>+D3275-S3275</f>
        <v/>
      </c>
      <c r="B3275" s="80" t="n">
        <v>4865</v>
      </c>
      <c r="C3275" s="66" t="n">
        <v>45994</v>
      </c>
      <c r="D3275" s="2" t="n">
        <v>1</v>
      </c>
      <c r="E3275" s="3" t="inlineStr">
        <is>
          <t>CARABINA AD OTTURATORE</t>
        </is>
      </c>
      <c r="F3275" s="3" t="inlineStr">
        <is>
          <t>7x64</t>
        </is>
      </c>
      <c r="G3275" s="3" t="inlineStr">
        <is>
          <t>SAUER</t>
        </is>
      </c>
      <c r="H3275" s="65" t="inlineStr">
        <is>
          <t>N/A</t>
        </is>
      </c>
      <c r="I3275" s="65" t="inlineStr">
        <is>
          <t>N49523</t>
        </is>
      </c>
      <c r="J3275" s="65" t="inlineStr">
        <is>
          <t>N/A</t>
        </is>
      </c>
      <c r="K3275" s="65" t="inlineStr">
        <is>
          <t>N/D</t>
        </is>
      </c>
      <c r="L3275" s="127" t="inlineStr">
        <is>
          <t>Eredi Safari Sport Severi Gino di Armilli M. Teresa.</t>
        </is>
      </c>
      <c r="M3275" s="5" t="n">
        <v>500</v>
      </c>
      <c r="N3275" s="5" t="n"/>
      <c r="O3275" s="5">
        <f>+M3275+N3275</f>
        <v/>
      </c>
      <c r="P3275" s="4" t="n"/>
      <c r="Q3275" s="87" t="n"/>
      <c r="R3275" s="5" t="n"/>
      <c r="S3275" s="2" t="n"/>
      <c r="T3275" s="3" t="n"/>
      <c r="U3275" s="87" t="n"/>
      <c r="V3275" s="3" t="n"/>
      <c r="W3275" s="108" t="n"/>
      <c r="X3275" s="4" t="n"/>
    </row>
    <row r="3276" ht="24" customHeight="1">
      <c r="A3276" s="2">
        <f>+D3276-S3276</f>
        <v/>
      </c>
      <c r="B3276" s="80" t="n">
        <v>4866</v>
      </c>
      <c r="C3276" s="66" t="n">
        <v>45994</v>
      </c>
      <c r="D3276" s="2" t="n">
        <v>1</v>
      </c>
      <c r="E3276" s="3" t="inlineStr">
        <is>
          <t>CARABINA AD OTTURATORE</t>
        </is>
      </c>
      <c r="F3276" s="3" t="inlineStr">
        <is>
          <t>22 LR</t>
        </is>
      </c>
      <c r="G3276" s="3" t="inlineStr">
        <is>
          <t>CZ</t>
        </is>
      </c>
      <c r="H3276" s="65" t="inlineStr">
        <is>
          <t>N/A</t>
        </is>
      </c>
      <c r="I3276" s="65" t="inlineStr">
        <is>
          <t>F359840</t>
        </is>
      </c>
      <c r="J3276" s="65" t="inlineStr">
        <is>
          <t>N/A</t>
        </is>
      </c>
      <c r="K3276" s="65" t="inlineStr">
        <is>
          <t>N/D</t>
        </is>
      </c>
      <c r="L3276" s="127" t="inlineStr">
        <is>
          <t>Eredi Safari Sport Severi Gino di Armilli M. Teresa.</t>
        </is>
      </c>
      <c r="M3276" s="5" t="n">
        <v>200</v>
      </c>
      <c r="N3276" s="5" t="n"/>
      <c r="O3276" s="5">
        <f>+M3276+N3276</f>
        <v/>
      </c>
      <c r="P3276" s="4" t="n"/>
      <c r="Q3276" s="87" t="n"/>
      <c r="R3276" s="5" t="n"/>
      <c r="S3276" s="2" t="n"/>
      <c r="T3276" s="3" t="n"/>
      <c r="U3276" s="87" t="n"/>
      <c r="V3276" s="3" t="n"/>
      <c r="W3276" s="108" t="n"/>
      <c r="X3276" s="4" t="n"/>
    </row>
    <row r="3277" ht="24" customHeight="1">
      <c r="A3277" s="2">
        <f>+D3277-S3277</f>
        <v/>
      </c>
      <c r="B3277" s="80" t="n">
        <v>4867</v>
      </c>
      <c r="C3277" s="66" t="n">
        <v>45994</v>
      </c>
      <c r="D3277" s="2" t="n">
        <v>1</v>
      </c>
      <c r="E3277" s="3" t="inlineStr">
        <is>
          <t>CARABINA AD OTTURATORE</t>
        </is>
      </c>
      <c r="F3277" s="3" t="inlineStr">
        <is>
          <t>240 WBY</t>
        </is>
      </c>
      <c r="G3277" s="3" t="inlineStr">
        <is>
          <t>WEATHERBY</t>
        </is>
      </c>
      <c r="H3277" s="65" t="inlineStr">
        <is>
          <t>N/A</t>
        </is>
      </c>
      <c r="I3277" s="65" t="inlineStr">
        <is>
          <t>BP026261</t>
        </is>
      </c>
      <c r="J3277" s="65" t="inlineStr">
        <is>
          <t>N/A</t>
        </is>
      </c>
      <c r="K3277" s="65" t="inlineStr">
        <is>
          <t>N/D</t>
        </is>
      </c>
      <c r="L3277" s="127" t="inlineStr">
        <is>
          <t>Eredi Safari Sport Severi Gino di Armilli M. Teresa.</t>
        </is>
      </c>
      <c r="M3277" s="5" t="n">
        <v>250</v>
      </c>
      <c r="N3277" s="5" t="n"/>
      <c r="O3277" s="5">
        <f>+M3277+N3277</f>
        <v/>
      </c>
      <c r="P3277" s="4" t="n"/>
      <c r="Q3277" s="87" t="n"/>
      <c r="R3277" s="5" t="n"/>
      <c r="S3277" s="2" t="n"/>
      <c r="T3277" s="3" t="n"/>
      <c r="U3277" s="87" t="n"/>
      <c r="V3277" s="3" t="n"/>
      <c r="W3277" s="108" t="n"/>
      <c r="X3277" s="4" t="n"/>
    </row>
    <row r="3278" ht="24" customHeight="1">
      <c r="A3278" s="2">
        <f>+D3278-S3278</f>
        <v/>
      </c>
      <c r="B3278" s="80" t="n">
        <v>4868</v>
      </c>
      <c r="C3278" s="66" t="n">
        <v>45994</v>
      </c>
      <c r="D3278" s="2" t="n">
        <v>1</v>
      </c>
      <c r="E3278" s="3" t="inlineStr">
        <is>
          <t>CARABINA AD OTTURATORE</t>
        </is>
      </c>
      <c r="F3278" s="3" t="inlineStr">
        <is>
          <t>243 WIN</t>
        </is>
      </c>
      <c r="G3278" s="3" t="inlineStr">
        <is>
          <t>WEATHERBY</t>
        </is>
      </c>
      <c r="H3278" s="65" t="inlineStr">
        <is>
          <t>N/A</t>
        </is>
      </c>
      <c r="I3278" s="65" t="inlineStr">
        <is>
          <t>VS363795</t>
        </is>
      </c>
      <c r="J3278" s="65" t="inlineStr">
        <is>
          <t>N/A</t>
        </is>
      </c>
      <c r="K3278" s="65" t="inlineStr">
        <is>
          <t>N/D</t>
        </is>
      </c>
      <c r="L3278" s="127" t="inlineStr">
        <is>
          <t>Eredi Safari Sport Severi Gino di Armilli M. Teresa.</t>
        </is>
      </c>
      <c r="M3278" s="5" t="n">
        <v>250</v>
      </c>
      <c r="N3278" s="5" t="n"/>
      <c r="O3278" s="5">
        <f>+M3278+N3278</f>
        <v/>
      </c>
      <c r="P3278" s="4" t="n"/>
      <c r="Q3278" s="87" t="n"/>
      <c r="R3278" s="5" t="n"/>
      <c r="S3278" s="2" t="n"/>
      <c r="T3278" s="3" t="n"/>
      <c r="U3278" s="87" t="n"/>
      <c r="V3278" s="3" t="n"/>
      <c r="W3278" s="108" t="n"/>
      <c r="X3278" s="4" t="n"/>
    </row>
    <row r="3279" ht="24" customHeight="1">
      <c r="A3279" s="2">
        <f>+D3279-S3279</f>
        <v/>
      </c>
      <c r="B3279" s="80" t="n">
        <v>4869</v>
      </c>
      <c r="C3279" s="66" t="n">
        <v>45994</v>
      </c>
      <c r="D3279" s="2" t="n">
        <v>1</v>
      </c>
      <c r="E3279" s="3" t="inlineStr">
        <is>
          <t>CARABINA AD OTTURATORE</t>
        </is>
      </c>
      <c r="F3279" s="3" t="inlineStr">
        <is>
          <t>7mm REM</t>
        </is>
      </c>
      <c r="G3279" s="3" t="inlineStr">
        <is>
          <t>SAUER</t>
        </is>
      </c>
      <c r="H3279" s="65" t="inlineStr">
        <is>
          <t>N/A</t>
        </is>
      </c>
      <c r="I3279" s="65" t="inlineStr">
        <is>
          <t>A007580</t>
        </is>
      </c>
      <c r="J3279" s="65" t="inlineStr">
        <is>
          <t>N/A</t>
        </is>
      </c>
      <c r="K3279" s="65" t="inlineStr">
        <is>
          <t>N/D</t>
        </is>
      </c>
      <c r="L3279" s="127" t="inlineStr">
        <is>
          <t>Eredi Safari Sport Severi Gino di Armilli M. Teresa.</t>
        </is>
      </c>
      <c r="M3279" s="5" t="n">
        <v>500</v>
      </c>
      <c r="N3279" s="5" t="n"/>
      <c r="O3279" s="5">
        <f>+M3279+N3279</f>
        <v/>
      </c>
      <c r="P3279" s="4" t="n"/>
      <c r="Q3279" s="87" t="n"/>
      <c r="R3279" s="5" t="n"/>
      <c r="S3279" s="2" t="n"/>
      <c r="T3279" s="3" t="n"/>
      <c r="U3279" s="87" t="n"/>
      <c r="V3279" s="3" t="n"/>
      <c r="W3279" s="108" t="n"/>
      <c r="X3279" s="4" t="n"/>
    </row>
    <row r="3280" ht="24" customHeight="1">
      <c r="A3280" s="2">
        <f>+D3280-S3280</f>
        <v/>
      </c>
      <c r="B3280" s="80" t="n">
        <v>4870</v>
      </c>
      <c r="C3280" s="66" t="n">
        <v>45994</v>
      </c>
      <c r="D3280" s="2" t="n">
        <v>1</v>
      </c>
      <c r="E3280" s="3" t="inlineStr">
        <is>
          <t>FUCILE SEMIAUTOMATICO</t>
        </is>
      </c>
      <c r="F3280" s="3" t="inlineStr">
        <is>
          <t>12</t>
        </is>
      </c>
      <c r="G3280" s="3" t="inlineStr">
        <is>
          <t>BENELLI</t>
        </is>
      </c>
      <c r="H3280" s="65" t="inlineStr">
        <is>
          <t>N/A</t>
        </is>
      </c>
      <c r="I3280" s="65" t="inlineStr">
        <is>
          <t>U580587J18</t>
        </is>
      </c>
      <c r="J3280" s="65" t="inlineStr">
        <is>
          <t>S611376M18</t>
        </is>
      </c>
      <c r="K3280" s="65" t="inlineStr">
        <is>
          <t>N/D</t>
        </is>
      </c>
      <c r="L3280" s="127" t="inlineStr">
        <is>
          <t>Eredi Safari Sport Severi Gino di Armilli M. Teresa.</t>
        </is>
      </c>
      <c r="M3280" s="5" t="n">
        <v>500</v>
      </c>
      <c r="N3280" s="5" t="n"/>
      <c r="O3280" s="5">
        <f>+M3280+N3280</f>
        <v/>
      </c>
      <c r="P3280" s="4" t="n"/>
      <c r="Q3280" s="87" t="n"/>
      <c r="R3280" s="5" t="n">
        <v>620.2</v>
      </c>
      <c r="S3280" s="2" t="n">
        <v>1</v>
      </c>
      <c r="T3280" s="3" t="inlineStr">
        <is>
          <t>CA42796IR</t>
        </is>
      </c>
      <c r="U3280" s="87" t="n">
        <v>46097</v>
      </c>
      <c r="V3280" s="3" t="inlineStr">
        <is>
          <t>4</t>
        </is>
      </c>
      <c r="W3280" s="108" t="n">
        <v>46097</v>
      </c>
      <c r="X3280" s="4" t="inlineStr">
        <is>
          <t>PHILIPPOS  CONSTANTINIDES
TRADING CO.LTD</t>
        </is>
      </c>
    </row>
    <row r="3281" ht="24" customHeight="1">
      <c r="A3281" s="2">
        <f>+D3281-S3281</f>
        <v/>
      </c>
      <c r="B3281" s="80" t="n">
        <v>4871</v>
      </c>
      <c r="C3281" s="66" t="n">
        <v>45994</v>
      </c>
      <c r="D3281" s="2" t="n">
        <v>1</v>
      </c>
      <c r="E3281" s="3" t="inlineStr">
        <is>
          <t>CARABINA AD OTTURATORE</t>
        </is>
      </c>
      <c r="F3281" s="3" t="inlineStr">
        <is>
          <t>243</t>
        </is>
      </c>
      <c r="G3281" s="3" t="inlineStr">
        <is>
          <t>SAUER</t>
        </is>
      </c>
      <c r="H3281" s="65" t="inlineStr">
        <is>
          <t>N/A</t>
        </is>
      </c>
      <c r="I3281" s="65" t="inlineStr">
        <is>
          <t>N39581</t>
        </is>
      </c>
      <c r="J3281" s="65" t="inlineStr">
        <is>
          <t>N/A</t>
        </is>
      </c>
      <c r="K3281" s="65" t="inlineStr">
        <is>
          <t>N/D</t>
        </is>
      </c>
      <c r="L3281" s="127" t="inlineStr">
        <is>
          <t>Eredi Safari Sport Severi Gino di Armilli M. Teresa.</t>
        </is>
      </c>
      <c r="M3281" s="5" t="n">
        <v>500</v>
      </c>
      <c r="N3281" s="5" t="n"/>
      <c r="O3281" s="5">
        <f>+M3281+N3281</f>
        <v/>
      </c>
      <c r="P3281" s="4" t="n"/>
      <c r="Q3281" s="87" t="n"/>
      <c r="R3281" s="5" t="n"/>
      <c r="S3281" s="2" t="n"/>
      <c r="T3281" s="3" t="n"/>
      <c r="U3281" s="87" t="n"/>
      <c r="V3281" s="3" t="n"/>
      <c r="W3281" s="108" t="n"/>
      <c r="X3281" s="4" t="n"/>
    </row>
    <row r="3282" ht="24" customHeight="1">
      <c r="A3282" s="2">
        <f>+D3282-S3282</f>
        <v/>
      </c>
      <c r="B3282" s="80" t="n">
        <v>4872</v>
      </c>
      <c r="C3282" s="66" t="n">
        <v>45994</v>
      </c>
      <c r="D3282" s="2" t="n">
        <v>1</v>
      </c>
      <c r="E3282" s="3" t="inlineStr">
        <is>
          <t>CARABINA AD OTTURATORE</t>
        </is>
      </c>
      <c r="F3282" s="3" t="inlineStr">
        <is>
          <t>25-06</t>
        </is>
      </c>
      <c r="G3282" s="3" t="inlineStr">
        <is>
          <t>SAUER</t>
        </is>
      </c>
      <c r="H3282" s="65" t="inlineStr">
        <is>
          <t>N/A</t>
        </is>
      </c>
      <c r="I3282" s="65" t="inlineStr">
        <is>
          <t>K40084</t>
        </is>
      </c>
      <c r="J3282" s="65" t="inlineStr">
        <is>
          <t>N/A</t>
        </is>
      </c>
      <c r="K3282" s="65" t="inlineStr">
        <is>
          <t>N/D</t>
        </is>
      </c>
      <c r="L3282" s="127" t="inlineStr">
        <is>
          <t>Eredi Safari Sport Severi Gino di Armilli M. Teresa.</t>
        </is>
      </c>
      <c r="M3282" s="5" t="n">
        <v>500</v>
      </c>
      <c r="N3282" s="5" t="n"/>
      <c r="O3282" s="5">
        <f>+M3282+N3282</f>
        <v/>
      </c>
      <c r="P3282" s="4" t="n"/>
      <c r="Q3282" s="87" t="n"/>
      <c r="R3282" s="5" t="n"/>
      <c r="S3282" s="2" t="n"/>
      <c r="T3282" s="3" t="n"/>
      <c r="U3282" s="87" t="n"/>
      <c r="V3282" s="3" t="n"/>
      <c r="W3282" s="108" t="n"/>
      <c r="X3282" s="4" t="n"/>
    </row>
    <row r="3283" ht="24" customHeight="1">
      <c r="A3283" s="2">
        <f>+D3283-S3283</f>
        <v/>
      </c>
      <c r="B3283" s="80" t="n">
        <v>4873</v>
      </c>
      <c r="C3283" s="66" t="n">
        <v>45994</v>
      </c>
      <c r="D3283" s="2" t="n">
        <v>1</v>
      </c>
      <c r="E3283" s="3" t="inlineStr">
        <is>
          <t>FUCILE SEMIAUTOMATICO</t>
        </is>
      </c>
      <c r="F3283" s="3" t="n">
        <v>12</v>
      </c>
      <c r="G3283" s="3" t="inlineStr">
        <is>
          <t>OPTIMA</t>
        </is>
      </c>
      <c r="H3283" s="65" t="inlineStr">
        <is>
          <t>N/A</t>
        </is>
      </c>
      <c r="I3283" s="65" t="inlineStr">
        <is>
          <t>629451</t>
        </is>
      </c>
      <c r="J3283" s="65" t="inlineStr">
        <is>
          <t>629451</t>
        </is>
      </c>
      <c r="K3283" s="65" t="inlineStr">
        <is>
          <t>N/D</t>
        </is>
      </c>
      <c r="L3283" s="127" t="inlineStr">
        <is>
          <t>Eredi Safari Sport Severi Gino di Armilli M. Teresa.</t>
        </is>
      </c>
      <c r="M3283" s="5" t="n">
        <v>50</v>
      </c>
      <c r="N3283" s="5" t="n"/>
      <c r="O3283" s="5">
        <f>+M3283+N3283</f>
        <v/>
      </c>
      <c r="P3283" s="4" t="n"/>
      <c r="Q3283" s="87" t="n"/>
      <c r="R3283" s="5" t="n">
        <v>62.02</v>
      </c>
      <c r="S3283" s="2" t="n">
        <v>1</v>
      </c>
      <c r="T3283" s="3" t="inlineStr">
        <is>
          <t>CA42796IR</t>
        </is>
      </c>
      <c r="U3283" s="87" t="n">
        <v>46097</v>
      </c>
      <c r="V3283" s="3" t="inlineStr">
        <is>
          <t>4</t>
        </is>
      </c>
      <c r="W3283" s="108" t="n">
        <v>46097</v>
      </c>
      <c r="X3283" s="4" t="inlineStr">
        <is>
          <t>PHILIPPOS  CONSTANTINIDES
TRADING CO.LTD</t>
        </is>
      </c>
    </row>
    <row r="3284" ht="24" customHeight="1">
      <c r="A3284" s="2">
        <f>+D3284-S3284</f>
        <v/>
      </c>
      <c r="B3284" s="80" t="n">
        <v>4874</v>
      </c>
      <c r="C3284" s="66" t="n">
        <v>45994</v>
      </c>
      <c r="D3284" s="2" t="n">
        <v>1</v>
      </c>
      <c r="E3284" s="3" t="inlineStr">
        <is>
          <t>CARABINA AD OTTURATORE</t>
        </is>
      </c>
      <c r="F3284" s="3" t="inlineStr">
        <is>
          <t>270</t>
        </is>
      </c>
      <c r="G3284" s="3" t="inlineStr">
        <is>
          <t>WEATHERBY</t>
        </is>
      </c>
      <c r="H3284" s="65" t="inlineStr">
        <is>
          <t>N/A</t>
        </is>
      </c>
      <c r="I3284" s="65" t="inlineStr">
        <is>
          <t>VS366001</t>
        </is>
      </c>
      <c r="J3284" s="65" t="inlineStr">
        <is>
          <t>N/A</t>
        </is>
      </c>
      <c r="K3284" s="65" t="inlineStr">
        <is>
          <t>N/D</t>
        </is>
      </c>
      <c r="L3284" s="127" t="inlineStr">
        <is>
          <t>Eredi Safari Sport Severi Gino di Armilli M. Teresa.</t>
        </is>
      </c>
      <c r="M3284" s="5" t="n">
        <v>200</v>
      </c>
      <c r="N3284" s="5" t="n"/>
      <c r="O3284" s="5">
        <f>+M3284+N3284</f>
        <v/>
      </c>
      <c r="P3284" s="4" t="n"/>
      <c r="Q3284" s="87" t="n"/>
      <c r="R3284" s="5" t="n"/>
      <c r="S3284" s="2" t="n"/>
      <c r="T3284" s="3" t="n"/>
      <c r="U3284" s="87" t="n"/>
      <c r="V3284" s="3" t="n"/>
      <c r="W3284" s="108" t="n"/>
      <c r="X3284" s="4" t="n"/>
    </row>
    <row r="3285" ht="24" customHeight="1">
      <c r="A3285" s="2">
        <f>+D3285-S3285</f>
        <v/>
      </c>
      <c r="B3285" s="80" t="n">
        <v>4875</v>
      </c>
      <c r="C3285" s="66" t="n">
        <v>45994</v>
      </c>
      <c r="D3285" s="2" t="n">
        <v>1</v>
      </c>
      <c r="E3285" s="3" t="inlineStr">
        <is>
          <t>FUCILE DOPPIETTA</t>
        </is>
      </c>
      <c r="F3285" s="3" t="inlineStr">
        <is>
          <t>12</t>
        </is>
      </c>
      <c r="G3285" s="3" t="inlineStr">
        <is>
          <t>FORGERON</t>
        </is>
      </c>
      <c r="H3285" s="65" t="inlineStr">
        <is>
          <t>N/A</t>
        </is>
      </c>
      <c r="I3285" s="65" t="n">
        <v>39213</v>
      </c>
      <c r="J3285" s="65" t="inlineStr">
        <is>
          <t>N/A</t>
        </is>
      </c>
      <c r="K3285" s="65" t="inlineStr">
        <is>
          <t>N/D</t>
        </is>
      </c>
      <c r="L3285" s="127" t="inlineStr">
        <is>
          <t>Eredi Safari Sport Severi Gino di Armilli M. Teresa.</t>
        </is>
      </c>
      <c r="M3285" s="5" t="n">
        <v>1000</v>
      </c>
      <c r="N3285" s="5" t="n"/>
      <c r="O3285" s="5">
        <f>+M3285+N3285</f>
        <v/>
      </c>
      <c r="P3285" s="4" t="n"/>
      <c r="Q3285" s="87" t="n"/>
      <c r="R3285" s="5" t="n">
        <v>1240.39</v>
      </c>
      <c r="S3285" s="2" t="n">
        <v>1</v>
      </c>
      <c r="T3285" s="3" t="inlineStr">
        <is>
          <t>CA42796IR</t>
        </is>
      </c>
      <c r="U3285" s="87" t="n">
        <v>46097</v>
      </c>
      <c r="V3285" s="3" t="inlineStr">
        <is>
          <t>4</t>
        </is>
      </c>
      <c r="W3285" s="108" t="n">
        <v>46097</v>
      </c>
      <c r="X3285" s="4" t="inlineStr">
        <is>
          <t>PHILIPPOS  CONSTANTINIDES
TRADING CO.LTD</t>
        </is>
      </c>
    </row>
    <row r="3286" ht="24" customHeight="1">
      <c r="A3286" s="2">
        <f>+D3286-S3287</f>
        <v/>
      </c>
      <c r="B3286" s="80" t="n">
        <v>4876</v>
      </c>
      <c r="C3286" s="66" t="n">
        <v>45994</v>
      </c>
      <c r="D3286" s="2" t="n">
        <v>1</v>
      </c>
      <c r="E3286" s="3" t="inlineStr">
        <is>
          <t>FUCILE DOPPIETTA</t>
        </is>
      </c>
      <c r="F3286" s="3" t="inlineStr">
        <is>
          <t>12</t>
        </is>
      </c>
      <c r="G3286" s="3" t="inlineStr">
        <is>
          <t>E.J.CHURCHILL</t>
        </is>
      </c>
      <c r="H3286" s="65" t="inlineStr">
        <is>
          <t>N/A</t>
        </is>
      </c>
      <c r="I3286" s="65" t="inlineStr">
        <is>
          <t>3048</t>
        </is>
      </c>
      <c r="J3286" s="65" t="inlineStr">
        <is>
          <t>N/A</t>
        </is>
      </c>
      <c r="K3286" s="65" t="inlineStr">
        <is>
          <t>N/D</t>
        </is>
      </c>
      <c r="L3286" s="127" t="inlineStr">
        <is>
          <t>Eredi Safari Sport Severi Gino di Armilli M. Teresa.</t>
        </is>
      </c>
      <c r="M3286" s="5" t="n">
        <v>1000</v>
      </c>
      <c r="N3286" s="5" t="n"/>
      <c r="O3286" s="5">
        <f>+M3286+N3286</f>
        <v/>
      </c>
      <c r="P3286" s="4" t="n"/>
      <c r="Q3286" s="87" t="n"/>
      <c r="R3286" s="5" t="n">
        <v>1240.39</v>
      </c>
      <c r="S3286" s="2" t="n">
        <v>1</v>
      </c>
      <c r="T3286" s="3" t="inlineStr">
        <is>
          <t>CA42796IR</t>
        </is>
      </c>
      <c r="U3286" s="87" t="n">
        <v>46097</v>
      </c>
      <c r="V3286" s="3" t="inlineStr">
        <is>
          <t>4</t>
        </is>
      </c>
      <c r="W3286" s="108" t="n">
        <v>46097</v>
      </c>
      <c r="X3286" s="4" t="inlineStr">
        <is>
          <t>PHILIPPOS  CONSTANTINIDES
TRADING CO.LTD</t>
        </is>
      </c>
    </row>
    <row r="3287" ht="24" customHeight="1">
      <c r="A3287" s="2">
        <f>+D3287-#REF!</f>
        <v/>
      </c>
      <c r="B3287" s="80" t="n">
        <v>4877</v>
      </c>
      <c r="C3287" s="66" t="n">
        <v>45994</v>
      </c>
      <c r="D3287" s="2" t="n">
        <v>1</v>
      </c>
      <c r="E3287" s="3" t="inlineStr">
        <is>
          <t>FUCILE DOPPIETTA</t>
        </is>
      </c>
      <c r="F3287" s="3" t="inlineStr">
        <is>
          <t>12</t>
        </is>
      </c>
      <c r="G3287" s="3" t="inlineStr">
        <is>
          <t>H&amp;H</t>
        </is>
      </c>
      <c r="H3287" s="65" t="inlineStr">
        <is>
          <t>N/A</t>
        </is>
      </c>
      <c r="I3287" s="65" t="inlineStr">
        <is>
          <t>24576</t>
        </is>
      </c>
      <c r="J3287" s="65" t="inlineStr">
        <is>
          <t>N/A</t>
        </is>
      </c>
      <c r="K3287" s="65" t="inlineStr">
        <is>
          <t>N/D</t>
        </is>
      </c>
      <c r="L3287" s="127" t="inlineStr">
        <is>
          <t>Eredi Safari Sport Severi Gino di Armilli M. Teresa.</t>
        </is>
      </c>
      <c r="M3287" s="5" t="n">
        <v>1000</v>
      </c>
      <c r="N3287" s="5" t="n"/>
      <c r="O3287" s="5">
        <f>+M3287+N3287</f>
        <v/>
      </c>
      <c r="P3287" s="4" t="n"/>
      <c r="Q3287" s="87" t="n"/>
      <c r="R3287" s="5" t="n">
        <v>1240.39</v>
      </c>
      <c r="S3287" s="2" t="n">
        <v>1</v>
      </c>
      <c r="T3287" s="3" t="inlineStr">
        <is>
          <t>CA42796IR</t>
        </is>
      </c>
      <c r="U3287" s="87" t="n">
        <v>46097</v>
      </c>
      <c r="V3287" s="3" t="inlineStr">
        <is>
          <t>4</t>
        </is>
      </c>
      <c r="W3287" s="108" t="n">
        <v>46097</v>
      </c>
      <c r="X3287" s="4" t="inlineStr">
        <is>
          <t>PHILIPPOS  CONSTANTINIDES
TRADING CO.LTD</t>
        </is>
      </c>
    </row>
    <row r="3288" ht="24" customHeight="1">
      <c r="A3288" s="2">
        <f>+D3288-S3288</f>
        <v/>
      </c>
      <c r="B3288" s="80" t="n">
        <v>4878</v>
      </c>
      <c r="C3288" s="66" t="n">
        <v>45994</v>
      </c>
      <c r="D3288" s="2" t="n">
        <v>1</v>
      </c>
      <c r="E3288" s="3" t="inlineStr">
        <is>
          <t>FUCILE DOPPIETTA</t>
        </is>
      </c>
      <c r="F3288" s="3" t="inlineStr">
        <is>
          <t>12</t>
        </is>
      </c>
      <c r="G3288" s="3" t="inlineStr">
        <is>
          <t>Westeley richards</t>
        </is>
      </c>
      <c r="H3288" s="65" t="inlineStr">
        <is>
          <t>N/A</t>
        </is>
      </c>
      <c r="I3288" s="65" t="n">
        <v>13960</v>
      </c>
      <c r="J3288" s="65" t="inlineStr">
        <is>
          <t>N/A</t>
        </is>
      </c>
      <c r="K3288" s="65" t="inlineStr">
        <is>
          <t>N/D</t>
        </is>
      </c>
      <c r="L3288" s="127" t="inlineStr">
        <is>
          <t>Eredi Safari Sport Severi Gino di Armilli M. Teresa.</t>
        </is>
      </c>
      <c r="M3288" s="5" t="n">
        <v>800</v>
      </c>
      <c r="N3288" s="5" t="n"/>
      <c r="O3288" s="5">
        <f>+M3288+N3288</f>
        <v/>
      </c>
      <c r="P3288" s="4" t="n"/>
      <c r="Q3288" s="87" t="n"/>
      <c r="R3288" s="5" t="n">
        <v>992.3099999999999</v>
      </c>
      <c r="S3288" s="2" t="n">
        <v>1</v>
      </c>
      <c r="T3288" s="3" t="inlineStr">
        <is>
          <t>CA42796IR</t>
        </is>
      </c>
      <c r="U3288" s="87" t="n">
        <v>46097</v>
      </c>
      <c r="V3288" s="3" t="inlineStr">
        <is>
          <t>4</t>
        </is>
      </c>
      <c r="W3288" s="108" t="n">
        <v>46097</v>
      </c>
      <c r="X3288" s="4" t="inlineStr">
        <is>
          <t>PHILIPPOS  CONSTANTINIDES
TRADING CO.LTD</t>
        </is>
      </c>
    </row>
    <row r="3289" ht="24" customHeight="1">
      <c r="A3289" s="2">
        <f>+D3289-S3289</f>
        <v/>
      </c>
      <c r="B3289" s="80" t="n">
        <v>4879</v>
      </c>
      <c r="C3289" s="66" t="n">
        <v>45994</v>
      </c>
      <c r="D3289" s="2" t="n">
        <v>1</v>
      </c>
      <c r="E3289" s="3" t="inlineStr">
        <is>
          <t>FUCILE DOPPIETTA</t>
        </is>
      </c>
      <c r="F3289" s="3" t="inlineStr">
        <is>
          <t>12</t>
        </is>
      </c>
      <c r="G3289" s="3" t="inlineStr">
        <is>
          <t>Cogswell &amp; H</t>
        </is>
      </c>
      <c r="H3289" s="65" t="inlineStr">
        <is>
          <t>N/A</t>
        </is>
      </c>
      <c r="I3289" s="65" t="n">
        <v>41695</v>
      </c>
      <c r="J3289" s="65" t="inlineStr">
        <is>
          <t>N/A</t>
        </is>
      </c>
      <c r="K3289" s="65" t="inlineStr">
        <is>
          <t>N/D</t>
        </is>
      </c>
      <c r="L3289" s="127" t="inlineStr">
        <is>
          <t>Eredi Safari Sport Severi Gino di Armilli M. Teresa.</t>
        </is>
      </c>
      <c r="M3289" s="5" t="n">
        <v>800</v>
      </c>
      <c r="N3289" s="5" t="n"/>
      <c r="O3289" s="5">
        <f>+M3289+N3289</f>
        <v/>
      </c>
      <c r="P3289" s="4" t="n"/>
      <c r="Q3289" s="87" t="n"/>
      <c r="R3289" s="5" t="n">
        <v>992.3099999999999</v>
      </c>
      <c r="S3289" s="2" t="n">
        <v>1</v>
      </c>
      <c r="T3289" s="3" t="inlineStr">
        <is>
          <t>CA42796IR</t>
        </is>
      </c>
      <c r="U3289" s="87" t="n">
        <v>46097</v>
      </c>
      <c r="V3289" s="3" t="inlineStr">
        <is>
          <t>4</t>
        </is>
      </c>
      <c r="W3289" s="108" t="n">
        <v>46097</v>
      </c>
      <c r="X3289" s="4" t="inlineStr">
        <is>
          <t>PHILIPPOS  CONSTANTINIDES
TRADING CO.LTD</t>
        </is>
      </c>
    </row>
    <row r="3290" ht="24" customHeight="1">
      <c r="A3290" s="2">
        <f>+D3290-S3290</f>
        <v/>
      </c>
      <c r="B3290" s="80" t="n">
        <v>4880</v>
      </c>
      <c r="C3290" s="66" t="n">
        <v>45994</v>
      </c>
      <c r="D3290" s="2" t="n">
        <v>1</v>
      </c>
      <c r="E3290" s="3" t="inlineStr">
        <is>
          <t>FUCILE DOPPIETTA</t>
        </is>
      </c>
      <c r="F3290" s="3" t="n">
        <v>12</v>
      </c>
      <c r="G3290" s="3" t="inlineStr">
        <is>
          <t>F.THIRSFAYS</t>
        </is>
      </c>
      <c r="H3290" s="65" t="inlineStr">
        <is>
          <t>N/A</t>
        </is>
      </c>
      <c r="I3290" s="65" t="inlineStr">
        <is>
          <t>1636</t>
        </is>
      </c>
      <c r="J3290" s="65" t="inlineStr">
        <is>
          <t>N/A</t>
        </is>
      </c>
      <c r="K3290" s="65" t="inlineStr">
        <is>
          <t>N/D</t>
        </is>
      </c>
      <c r="L3290" s="127" t="inlineStr">
        <is>
          <t>Eredi Safari Sport Severi Gino di Armilli M. Teresa.</t>
        </is>
      </c>
      <c r="M3290" s="5" t="n">
        <v>800</v>
      </c>
      <c r="N3290" s="5" t="n"/>
      <c r="O3290" s="5">
        <f>+M3290+N3290</f>
        <v/>
      </c>
      <c r="P3290" s="4" t="n"/>
      <c r="Q3290" s="87" t="n"/>
      <c r="R3290" s="5" t="n">
        <v>992.3099999999999</v>
      </c>
      <c r="S3290" s="2" t="n">
        <v>1</v>
      </c>
      <c r="T3290" s="3" t="inlineStr">
        <is>
          <t>CA42796IR</t>
        </is>
      </c>
      <c r="U3290" s="87" t="n">
        <v>46097</v>
      </c>
      <c r="V3290" s="3" t="inlineStr">
        <is>
          <t>4</t>
        </is>
      </c>
      <c r="W3290" s="108" t="n">
        <v>46097</v>
      </c>
      <c r="X3290" s="4" t="inlineStr">
        <is>
          <t>PHILIPPOS  CONSTANTINIDES
TRADING CO.LTD</t>
        </is>
      </c>
    </row>
    <row r="3291" ht="24" customHeight="1">
      <c r="A3291" s="2">
        <f>+D3291-S3291</f>
        <v/>
      </c>
      <c r="B3291" s="80" t="n">
        <v>4881</v>
      </c>
      <c r="C3291" s="66" t="n">
        <v>45994</v>
      </c>
      <c r="D3291" s="2" t="n">
        <v>1</v>
      </c>
      <c r="E3291" s="3" t="inlineStr">
        <is>
          <t>FUCILE DOPPIETTA</t>
        </is>
      </c>
      <c r="F3291" s="3" t="inlineStr">
        <is>
          <t>12</t>
        </is>
      </c>
      <c r="G3291" s="3" t="inlineStr">
        <is>
          <t>FRANCHI</t>
        </is>
      </c>
      <c r="H3291" s="65" t="inlineStr">
        <is>
          <t>N/A</t>
        </is>
      </c>
      <c r="I3291" s="65" t="inlineStr">
        <is>
          <t>6111-1111</t>
        </is>
      </c>
      <c r="J3291" s="65" t="inlineStr">
        <is>
          <t>N/A</t>
        </is>
      </c>
      <c r="K3291" s="65" t="inlineStr">
        <is>
          <t>N/D</t>
        </is>
      </c>
      <c r="L3291" s="127" t="inlineStr">
        <is>
          <t>Eredi Safari Sport Severi Gino di Armilli M. Teresa.</t>
        </is>
      </c>
      <c r="M3291" s="5" t="n">
        <v>650</v>
      </c>
      <c r="N3291" s="5" t="n"/>
      <c r="O3291" s="5">
        <f>+M3291+N3291</f>
        <v/>
      </c>
      <c r="P3291" s="4" t="n"/>
      <c r="Q3291" s="87" t="n"/>
      <c r="R3291" s="5" t="n">
        <v>806.25</v>
      </c>
      <c r="S3291" s="2" t="n">
        <v>1</v>
      </c>
      <c r="T3291" s="3" t="inlineStr">
        <is>
          <t>CA42796IR</t>
        </is>
      </c>
      <c r="U3291" s="87" t="n">
        <v>46097</v>
      </c>
      <c r="V3291" s="3" t="inlineStr">
        <is>
          <t>4</t>
        </is>
      </c>
      <c r="W3291" s="108" t="n">
        <v>46097</v>
      </c>
      <c r="X3291" s="4" t="inlineStr">
        <is>
          <t>PHILIPPOS  CONSTANTINIDES
TRADING CO.LTD</t>
        </is>
      </c>
    </row>
    <row r="3292" ht="24" customHeight="1">
      <c r="A3292" s="2">
        <f>+D3292-S3292</f>
        <v/>
      </c>
      <c r="B3292" s="80" t="n">
        <v>4882</v>
      </c>
      <c r="C3292" s="66" t="n">
        <v>45994</v>
      </c>
      <c r="D3292" s="2" t="n">
        <v>1</v>
      </c>
      <c r="E3292" s="3" t="inlineStr">
        <is>
          <t>FUCILE DOPPIETTA</t>
        </is>
      </c>
      <c r="F3292" s="3" t="inlineStr">
        <is>
          <t>16</t>
        </is>
      </c>
      <c r="G3292" s="3" t="inlineStr">
        <is>
          <t>Anton &amp; Sodia</t>
        </is>
      </c>
      <c r="H3292" s="65" t="inlineStr">
        <is>
          <t>N/A</t>
        </is>
      </c>
      <c r="I3292" s="65" t="inlineStr">
        <is>
          <t>32-154</t>
        </is>
      </c>
      <c r="J3292" s="65" t="inlineStr">
        <is>
          <t>N/A</t>
        </is>
      </c>
      <c r="K3292" s="65" t="inlineStr">
        <is>
          <t>N/D</t>
        </is>
      </c>
      <c r="L3292" s="127" t="inlineStr">
        <is>
          <t>Eredi Safari Sport Severi Gino di Armilli M. Teresa.</t>
        </is>
      </c>
      <c r="M3292" s="5" t="n">
        <v>650</v>
      </c>
      <c r="N3292" s="5" t="n"/>
      <c r="O3292" s="5">
        <f>+M3292+N3292</f>
        <v/>
      </c>
      <c r="P3292" s="4" t="n"/>
      <c r="Q3292" s="87" t="n"/>
      <c r="R3292" s="5" t="n">
        <v>806.25</v>
      </c>
      <c r="S3292" s="2" t="n">
        <v>1</v>
      </c>
      <c r="T3292" s="3" t="inlineStr">
        <is>
          <t>CA42796IR</t>
        </is>
      </c>
      <c r="U3292" s="87" t="n">
        <v>46097</v>
      </c>
      <c r="V3292" s="3" t="inlineStr">
        <is>
          <t>4</t>
        </is>
      </c>
      <c r="W3292" s="108" t="n">
        <v>46097</v>
      </c>
      <c r="X3292" s="4" t="inlineStr">
        <is>
          <t>PHILIPPOS  CONSTANTINIDES
TRADING CO.LTD</t>
        </is>
      </c>
    </row>
    <row r="3293" ht="24" customHeight="1">
      <c r="A3293" s="2">
        <f>+D3293-S3293</f>
        <v/>
      </c>
      <c r="B3293" s="80" t="n">
        <v>4883</v>
      </c>
      <c r="C3293" s="66" t="n">
        <v>45994</v>
      </c>
      <c r="D3293" s="2" t="n">
        <v>1</v>
      </c>
      <c r="E3293" s="3" t="inlineStr">
        <is>
          <t>FUCILE DOPPIETTA</t>
        </is>
      </c>
      <c r="F3293" s="3" t="inlineStr">
        <is>
          <t>12</t>
        </is>
      </c>
      <c r="G3293" s="3" t="inlineStr">
        <is>
          <t>C.DIXON</t>
        </is>
      </c>
      <c r="H3293" s="65" t="inlineStr">
        <is>
          <t>N/A</t>
        </is>
      </c>
      <c r="I3293" s="65" t="n">
        <v>271143</v>
      </c>
      <c r="J3293" s="65" t="inlineStr">
        <is>
          <t>N/A</t>
        </is>
      </c>
      <c r="K3293" s="65" t="inlineStr">
        <is>
          <t>N/D</t>
        </is>
      </c>
      <c r="L3293" s="127" t="inlineStr">
        <is>
          <t>Eredi Safari Sport Severi Gino di Armilli M. Teresa.</t>
        </is>
      </c>
      <c r="M3293" s="5" t="n">
        <v>650</v>
      </c>
      <c r="N3293" s="5" t="n"/>
      <c r="O3293" s="5">
        <f>+M3293+N3293</f>
        <v/>
      </c>
      <c r="P3293" s="4" t="n"/>
      <c r="Q3293" s="87" t="n"/>
      <c r="R3293" s="5" t="n">
        <v>806.25</v>
      </c>
      <c r="S3293" s="2" t="n">
        <v>1</v>
      </c>
      <c r="T3293" s="3" t="inlineStr">
        <is>
          <t>CA42796IR</t>
        </is>
      </c>
      <c r="U3293" s="87" t="n">
        <v>46097</v>
      </c>
      <c r="V3293" s="3" t="inlineStr">
        <is>
          <t>4</t>
        </is>
      </c>
      <c r="W3293" s="108" t="n">
        <v>46097</v>
      </c>
      <c r="X3293" s="4" t="inlineStr">
        <is>
          <t>PHILIPPOS  CONSTANTINIDES
TRADING CO.LTD</t>
        </is>
      </c>
    </row>
    <row r="3294" ht="24" customHeight="1">
      <c r="A3294" s="2">
        <f>+D3294-S3294</f>
        <v/>
      </c>
      <c r="B3294" s="80" t="n">
        <v>4884</v>
      </c>
      <c r="C3294" s="66" t="n">
        <v>45994</v>
      </c>
      <c r="D3294" s="2" t="n">
        <v>1</v>
      </c>
      <c r="E3294" s="3" t="inlineStr">
        <is>
          <t>FUCILE DOPPIETTA</t>
        </is>
      </c>
      <c r="F3294" s="3" t="inlineStr">
        <is>
          <t>12</t>
        </is>
      </c>
      <c r="G3294" s="3" t="inlineStr">
        <is>
          <t>THOMAS&amp;BLAND</t>
        </is>
      </c>
      <c r="H3294" s="65" t="inlineStr">
        <is>
          <t>N/A</t>
        </is>
      </c>
      <c r="I3294" s="65" t="inlineStr">
        <is>
          <t>18554</t>
        </is>
      </c>
      <c r="J3294" s="65" t="inlineStr">
        <is>
          <t>N/A</t>
        </is>
      </c>
      <c r="K3294" s="65" t="inlineStr">
        <is>
          <t>N/D</t>
        </is>
      </c>
      <c r="L3294" s="127" t="inlineStr">
        <is>
          <t>Eredi Safari Sport Severi Gino di Armilli M. Teresa.</t>
        </is>
      </c>
      <c r="M3294" s="5" t="n">
        <v>650</v>
      </c>
      <c r="N3294" s="5" t="n"/>
      <c r="O3294" s="5">
        <f>+M3294+N3294</f>
        <v/>
      </c>
      <c r="P3294" s="4" t="n"/>
      <c r="Q3294" s="87" t="n"/>
      <c r="R3294" s="5" t="n">
        <v>806.25</v>
      </c>
      <c r="S3294" s="2" t="n">
        <v>1</v>
      </c>
      <c r="T3294" s="3" t="inlineStr">
        <is>
          <t>CA42796IR</t>
        </is>
      </c>
      <c r="U3294" s="87" t="n">
        <v>46097</v>
      </c>
      <c r="V3294" s="3" t="inlineStr">
        <is>
          <t>4</t>
        </is>
      </c>
      <c r="W3294" s="108" t="n">
        <v>46097</v>
      </c>
      <c r="X3294" s="4" t="inlineStr">
        <is>
          <t>PHILIPPOS  CONSTANTINIDES
TRADING CO.LTD</t>
        </is>
      </c>
    </row>
    <row r="3295" ht="24" customHeight="1">
      <c r="A3295" s="2">
        <f>+D3295-S3295</f>
        <v/>
      </c>
      <c r="B3295" s="80" t="n">
        <v>4885</v>
      </c>
      <c r="C3295" s="66" t="n">
        <v>45994</v>
      </c>
      <c r="D3295" s="2" t="n">
        <v>1</v>
      </c>
      <c r="E3295" s="3" t="inlineStr">
        <is>
          <t>FUCILE DOPPIETTA</t>
        </is>
      </c>
      <c r="F3295" s="3" t="inlineStr">
        <is>
          <t>12</t>
        </is>
      </c>
      <c r="G3295" s="3" t="inlineStr">
        <is>
          <t>THOMAS&amp;BLAND</t>
        </is>
      </c>
      <c r="H3295" s="65" t="inlineStr">
        <is>
          <t>N/A</t>
        </is>
      </c>
      <c r="I3295" s="65" t="inlineStr">
        <is>
          <t>18555</t>
        </is>
      </c>
      <c r="J3295" s="65" t="inlineStr">
        <is>
          <t>N/A</t>
        </is>
      </c>
      <c r="K3295" s="65" t="inlineStr">
        <is>
          <t>N/D</t>
        </is>
      </c>
      <c r="L3295" s="127" t="inlineStr">
        <is>
          <t>Eredi Safari Sport Severi Gino di Armilli M. Teresa.</t>
        </is>
      </c>
      <c r="M3295" s="5" t="n">
        <v>650</v>
      </c>
      <c r="N3295" s="5" t="n"/>
      <c r="O3295" s="5">
        <f>+M3295+N3295</f>
        <v/>
      </c>
      <c r="P3295" s="4" t="n"/>
      <c r="Q3295" s="87" t="n"/>
      <c r="R3295" s="5" t="n">
        <v>806.25</v>
      </c>
      <c r="S3295" s="2" t="n">
        <v>1</v>
      </c>
      <c r="T3295" s="3" t="inlineStr">
        <is>
          <t>CA42796IR</t>
        </is>
      </c>
      <c r="U3295" s="87" t="n">
        <v>46097</v>
      </c>
      <c r="V3295" s="3" t="inlineStr">
        <is>
          <t>4</t>
        </is>
      </c>
      <c r="W3295" s="108" t="n">
        <v>46097</v>
      </c>
      <c r="X3295" s="4" t="inlineStr">
        <is>
          <t>PHILIPPOS  CONSTANTINIDES
TRADING CO.LTD</t>
        </is>
      </c>
    </row>
    <row r="3296" ht="24" customHeight="1">
      <c r="A3296" s="2">
        <f>+D3296-S3296</f>
        <v/>
      </c>
      <c r="B3296" s="80" t="n">
        <v>4886</v>
      </c>
      <c r="C3296" s="66" t="n">
        <v>45994</v>
      </c>
      <c r="D3296" s="2" t="n">
        <v>1</v>
      </c>
      <c r="E3296" s="3" t="inlineStr">
        <is>
          <t>FUCILE DOPPIETTA</t>
        </is>
      </c>
      <c r="F3296" s="3" t="inlineStr">
        <is>
          <t>12</t>
        </is>
      </c>
      <c r="G3296" s="3" t="inlineStr">
        <is>
          <t>LAJOT &amp; JONIET</t>
        </is>
      </c>
      <c r="H3296" s="65" t="inlineStr">
        <is>
          <t>N/A</t>
        </is>
      </c>
      <c r="I3296" s="65" t="n">
        <v>7858</v>
      </c>
      <c r="J3296" s="65" t="inlineStr">
        <is>
          <t>N/A</t>
        </is>
      </c>
      <c r="K3296" s="65" t="inlineStr">
        <is>
          <t>N/D</t>
        </is>
      </c>
      <c r="L3296" s="127" t="inlineStr">
        <is>
          <t>Eredi Safari Sport Severi Gino di Armilli M. Teresa.</t>
        </is>
      </c>
      <c r="M3296" s="5" t="n">
        <v>650</v>
      </c>
      <c r="N3296" s="5" t="n"/>
      <c r="O3296" s="5">
        <f>+M3296+N3296</f>
        <v/>
      </c>
      <c r="P3296" s="4" t="n"/>
      <c r="Q3296" s="87" t="n"/>
      <c r="R3296" s="5" t="n">
        <v>806.25</v>
      </c>
      <c r="S3296" s="2" t="n">
        <v>1</v>
      </c>
      <c r="T3296" s="3" t="inlineStr">
        <is>
          <t>CA42796IR</t>
        </is>
      </c>
      <c r="U3296" s="87" t="n">
        <v>46097</v>
      </c>
      <c r="V3296" s="3" t="inlineStr">
        <is>
          <t>4</t>
        </is>
      </c>
      <c r="W3296" s="108" t="n">
        <v>46097</v>
      </c>
      <c r="X3296" s="4" t="inlineStr">
        <is>
          <t>PHILIPPOS  CONSTANTINIDES
TRADING CO.LTD</t>
        </is>
      </c>
    </row>
    <row r="3297" ht="24" customHeight="1">
      <c r="A3297" s="2">
        <f>+D3297-S3297</f>
        <v/>
      </c>
      <c r="B3297" s="80" t="n">
        <v>4887</v>
      </c>
      <c r="C3297" s="66" t="n">
        <v>45994</v>
      </c>
      <c r="D3297" s="2" t="n">
        <v>1</v>
      </c>
      <c r="E3297" s="3" t="inlineStr">
        <is>
          <t>CARABINA AD OTTURATORE</t>
        </is>
      </c>
      <c r="F3297" s="3" t="inlineStr">
        <is>
          <t>7x57</t>
        </is>
      </c>
      <c r="G3297" s="3" t="inlineStr">
        <is>
          <t>STEYR</t>
        </is>
      </c>
      <c r="H3297" s="65" t="inlineStr">
        <is>
          <t>N/A</t>
        </is>
      </c>
      <c r="I3297" s="65" t="inlineStr">
        <is>
          <t>250-51</t>
        </is>
      </c>
      <c r="J3297" s="65" t="inlineStr">
        <is>
          <t>N/A</t>
        </is>
      </c>
      <c r="K3297" s="65" t="inlineStr">
        <is>
          <t>N/D</t>
        </is>
      </c>
      <c r="L3297" s="127" t="inlineStr">
        <is>
          <t>Eredi Safari Sport Severi Gino di Armilli M. Teresa.</t>
        </is>
      </c>
      <c r="M3297" s="5" t="n">
        <v>100</v>
      </c>
      <c r="N3297" s="5" t="n"/>
      <c r="O3297" s="5">
        <f>+M3297+N3297</f>
        <v/>
      </c>
      <c r="P3297" s="4" t="n"/>
      <c r="Q3297" s="87" t="n"/>
      <c r="R3297" s="5" t="n">
        <v>806.25</v>
      </c>
      <c r="S3297" s="2" t="n">
        <v>1</v>
      </c>
      <c r="T3297" s="3" t="inlineStr">
        <is>
          <t>CA42796IR</t>
        </is>
      </c>
      <c r="U3297" s="87" t="n">
        <v>46097</v>
      </c>
      <c r="V3297" s="3" t="inlineStr">
        <is>
          <t>4</t>
        </is>
      </c>
      <c r="W3297" s="108" t="n">
        <v>46097</v>
      </c>
      <c r="X3297" s="4" t="inlineStr">
        <is>
          <t>PHILIPPOS  CONSTANTINIDES
TRADING CO.LTD</t>
        </is>
      </c>
    </row>
    <row r="3298" ht="24" customHeight="1">
      <c r="A3298" s="2">
        <f>+D3298-S3298</f>
        <v/>
      </c>
      <c r="B3298" s="80" t="n">
        <v>4888</v>
      </c>
      <c r="C3298" s="66" t="n">
        <v>45994</v>
      </c>
      <c r="D3298" s="2" t="n">
        <v>1</v>
      </c>
      <c r="E3298" s="3" t="inlineStr">
        <is>
          <t>CARABINA AD OTTURATORE</t>
        </is>
      </c>
      <c r="F3298" s="3" t="inlineStr">
        <is>
          <t>7x64</t>
        </is>
      </c>
      <c r="G3298" s="3" t="inlineStr">
        <is>
          <t>STEYR</t>
        </is>
      </c>
      <c r="H3298" s="65" t="inlineStr">
        <is>
          <t>N/A</t>
        </is>
      </c>
      <c r="I3298" s="65" t="inlineStr">
        <is>
          <t>10473</t>
        </is>
      </c>
      <c r="J3298" s="65" t="inlineStr">
        <is>
          <t>N/A</t>
        </is>
      </c>
      <c r="K3298" s="65" t="inlineStr">
        <is>
          <t>N/D</t>
        </is>
      </c>
      <c r="L3298" s="127" t="inlineStr">
        <is>
          <t>Eredi Safari Sport Severi Gino di Armilli M. Teresa.</t>
        </is>
      </c>
      <c r="M3298" s="5" t="n">
        <v>100</v>
      </c>
      <c r="N3298" s="5" t="n"/>
      <c r="O3298" s="5">
        <f>+M3298+N3298</f>
        <v/>
      </c>
      <c r="P3298" s="4" t="n"/>
      <c r="Q3298" s="87" t="n"/>
      <c r="R3298" s="5" t="n"/>
      <c r="S3298" s="2" t="n"/>
      <c r="T3298" s="3" t="n"/>
      <c r="U3298" s="87" t="n"/>
      <c r="V3298" s="3" t="n"/>
      <c r="W3298" s="108" t="n"/>
      <c r="X3298" s="4" t="n"/>
    </row>
    <row r="3299" ht="24" customHeight="1">
      <c r="A3299" s="2">
        <f>+D3299-S3299</f>
        <v/>
      </c>
      <c r="B3299" s="80" t="n">
        <v>4889</v>
      </c>
      <c r="C3299" s="66" t="n">
        <v>45994</v>
      </c>
      <c r="D3299" s="2" t="n">
        <v>1</v>
      </c>
      <c r="E3299" s="3" t="inlineStr">
        <is>
          <t>CARABINA AD OTTURATORE</t>
        </is>
      </c>
      <c r="F3299" s="3" t="inlineStr">
        <is>
          <t>240 WBY</t>
        </is>
      </c>
      <c r="G3299" s="3" t="inlineStr">
        <is>
          <t>WEATHERBY</t>
        </is>
      </c>
      <c r="H3299" s="65" t="inlineStr">
        <is>
          <t>N/A</t>
        </is>
      </c>
      <c r="I3299" s="65" t="inlineStr">
        <is>
          <t>BP007931</t>
        </is>
      </c>
      <c r="J3299" s="65" t="inlineStr">
        <is>
          <t>N/A</t>
        </is>
      </c>
      <c r="K3299" s="65" t="inlineStr">
        <is>
          <t>N/D</t>
        </is>
      </c>
      <c r="L3299" s="127" t="inlineStr">
        <is>
          <t>Eredi Safari Sport Severi Gino di Armilli M. Teresa.</t>
        </is>
      </c>
      <c r="M3299" s="5" t="n">
        <v>200</v>
      </c>
      <c r="N3299" s="5" t="n"/>
      <c r="O3299" s="5">
        <f>+M3299+N3299</f>
        <v/>
      </c>
      <c r="P3299" s="4" t="n"/>
      <c r="Q3299" s="87" t="n"/>
      <c r="R3299" s="5" t="n"/>
      <c r="S3299" s="2" t="n"/>
      <c r="T3299" s="3" t="n"/>
      <c r="U3299" s="87" t="n"/>
      <c r="V3299" s="3" t="n"/>
      <c r="W3299" s="108" t="n"/>
      <c r="X3299" s="4" t="n"/>
    </row>
    <row r="3300" ht="24" customHeight="1">
      <c r="A3300" s="2">
        <f>+D3300-S3300</f>
        <v/>
      </c>
      <c r="B3300" s="80" t="n">
        <v>4890</v>
      </c>
      <c r="C3300" s="66" t="n">
        <v>45994</v>
      </c>
      <c r="D3300" s="2" t="n">
        <v>1</v>
      </c>
      <c r="E3300" s="3" t="inlineStr">
        <is>
          <t>CARABINA AD OTTURATORE</t>
        </is>
      </c>
      <c r="F3300" s="3" t="inlineStr">
        <is>
          <t>300 WBY</t>
        </is>
      </c>
      <c r="G3300" s="3" t="inlineStr">
        <is>
          <t>WEATHERBY</t>
        </is>
      </c>
      <c r="H3300" s="65" t="inlineStr">
        <is>
          <t>N/A</t>
        </is>
      </c>
      <c r="I3300" s="65" t="inlineStr">
        <is>
          <t>P27571</t>
        </is>
      </c>
      <c r="J3300" s="65" t="inlineStr">
        <is>
          <t>N/A</t>
        </is>
      </c>
      <c r="K3300" s="65" t="inlineStr">
        <is>
          <t>N/D</t>
        </is>
      </c>
      <c r="L3300" s="127" t="inlineStr">
        <is>
          <t>Eredi Safari Sport Severi Gino di Armilli M. Teresa.</t>
        </is>
      </c>
      <c r="M3300" s="5" t="n">
        <v>250</v>
      </c>
      <c r="N3300" s="5" t="n"/>
      <c r="O3300" s="5">
        <f>+M3300+N3300</f>
        <v/>
      </c>
      <c r="P3300" s="4" t="n"/>
      <c r="Q3300" s="87" t="n"/>
      <c r="R3300" s="5" t="n"/>
      <c r="S3300" s="2" t="n"/>
      <c r="T3300" s="3" t="n"/>
      <c r="U3300" s="87" t="n"/>
      <c r="V3300" s="3" t="n"/>
      <c r="W3300" s="108" t="n"/>
      <c r="X3300" s="4" t="n"/>
    </row>
    <row r="3301" ht="24" customHeight="1">
      <c r="A3301" s="2">
        <f>+D3301-S3301</f>
        <v/>
      </c>
      <c r="B3301" s="80" t="n">
        <v>4891</v>
      </c>
      <c r="C3301" s="66" t="n">
        <v>45994</v>
      </c>
      <c r="D3301" s="2" t="n">
        <v>1</v>
      </c>
      <c r="E3301" s="3" t="inlineStr">
        <is>
          <t>CARABINA AD OTTURATORE</t>
        </is>
      </c>
      <c r="F3301" s="3" t="inlineStr">
        <is>
          <t>7x64</t>
        </is>
      </c>
      <c r="G3301" s="3" t="inlineStr">
        <is>
          <t>STEYR</t>
        </is>
      </c>
      <c r="H3301" s="65" t="inlineStr">
        <is>
          <t>N/A</t>
        </is>
      </c>
      <c r="I3301" s="65" t="inlineStr">
        <is>
          <t>28078</t>
        </is>
      </c>
      <c r="J3301" s="65" t="inlineStr">
        <is>
          <t>N/A</t>
        </is>
      </c>
      <c r="K3301" s="65" t="inlineStr">
        <is>
          <t>N/D</t>
        </is>
      </c>
      <c r="L3301" s="127" t="inlineStr">
        <is>
          <t>Eredi Safari Sport Severi Gino di Armilli M. Teresa.</t>
        </is>
      </c>
      <c r="M3301" s="5" t="n">
        <v>100</v>
      </c>
      <c r="N3301" s="5" t="n"/>
      <c r="O3301" s="5">
        <f>+M3301+N3301</f>
        <v/>
      </c>
      <c r="P3301" s="4" t="n"/>
      <c r="Q3301" s="87" t="n"/>
      <c r="R3301" s="5" t="n"/>
      <c r="S3301" s="2" t="n"/>
      <c r="T3301" s="3" t="n"/>
      <c r="U3301" s="87" t="n"/>
      <c r="V3301" s="3" t="n"/>
      <c r="W3301" s="108" t="n"/>
      <c r="X3301" s="4" t="n"/>
    </row>
    <row r="3302" ht="24" customHeight="1">
      <c r="A3302" s="2">
        <f>+D3302-S3302</f>
        <v/>
      </c>
      <c r="B3302" s="80" t="n">
        <v>4892</v>
      </c>
      <c r="C3302" s="66" t="n">
        <v>45994</v>
      </c>
      <c r="D3302" s="2" t="n">
        <v>1</v>
      </c>
      <c r="E3302" s="3" t="inlineStr">
        <is>
          <t>CARABINA AD OTTURATORE</t>
        </is>
      </c>
      <c r="F3302" s="3" t="inlineStr">
        <is>
          <t>243</t>
        </is>
      </c>
      <c r="G3302" s="3" t="inlineStr">
        <is>
          <t>WINCHESTER</t>
        </is>
      </c>
      <c r="H3302" s="65" t="inlineStr">
        <is>
          <t>N/A</t>
        </is>
      </c>
      <c r="I3302" s="65" t="inlineStr">
        <is>
          <t>G946680</t>
        </is>
      </c>
      <c r="J3302" s="65" t="inlineStr">
        <is>
          <t>N/A</t>
        </is>
      </c>
      <c r="K3302" s="65" t="inlineStr">
        <is>
          <t>N/D</t>
        </is>
      </c>
      <c r="L3302" s="127" t="inlineStr">
        <is>
          <t>Eredi Safari Sport Severi Gino di Armilli M. Teresa.</t>
        </is>
      </c>
      <c r="M3302" s="5" t="n">
        <v>100</v>
      </c>
      <c r="N3302" s="5" t="n"/>
      <c r="O3302" s="5">
        <f>+M3302+N3302</f>
        <v/>
      </c>
      <c r="P3302" s="4" t="n"/>
      <c r="Q3302" s="87" t="n"/>
      <c r="R3302" s="5" t="n"/>
      <c r="S3302" s="2" t="n"/>
      <c r="T3302" s="3" t="n"/>
      <c r="U3302" s="87" t="n"/>
      <c r="V3302" s="3" t="n"/>
      <c r="W3302" s="108" t="n"/>
      <c r="X3302" s="4" t="n"/>
    </row>
    <row r="3303" ht="24" customHeight="1">
      <c r="A3303" s="2">
        <f>+D3303-S3303</f>
        <v/>
      </c>
      <c r="B3303" s="80" t="n">
        <v>4893</v>
      </c>
      <c r="C3303" s="66" t="n">
        <v>45994</v>
      </c>
      <c r="D3303" s="2" t="n">
        <v>1</v>
      </c>
      <c r="E3303" s="3" t="inlineStr">
        <is>
          <t>CARABINA AD OTTURATORE</t>
        </is>
      </c>
      <c r="F3303" s="3" t="inlineStr">
        <is>
          <t>300 WBY</t>
        </is>
      </c>
      <c r="G3303" s="3" t="inlineStr">
        <is>
          <t>SAUER</t>
        </is>
      </c>
      <c r="H3303" s="65" t="inlineStr">
        <is>
          <t>N/A</t>
        </is>
      </c>
      <c r="I3303" s="65" t="inlineStr">
        <is>
          <t>H32739</t>
        </is>
      </c>
      <c r="J3303" s="65" t="inlineStr">
        <is>
          <t>N/A</t>
        </is>
      </c>
      <c r="K3303" s="65" t="inlineStr">
        <is>
          <t>N/D</t>
        </is>
      </c>
      <c r="L3303" s="127" t="inlineStr">
        <is>
          <t>Eredi Safari Sport Severi Gino di Armilli M. Teresa.</t>
        </is>
      </c>
      <c r="M3303" s="5" t="n">
        <v>600</v>
      </c>
      <c r="N3303" s="5" t="n"/>
      <c r="O3303" s="5">
        <f>+M3303+N3303</f>
        <v/>
      </c>
      <c r="P3303" s="4" t="n"/>
      <c r="Q3303" s="87" t="n"/>
      <c r="R3303" s="5" t="n"/>
      <c r="S3303" s="2" t="n"/>
      <c r="T3303" s="3" t="n"/>
      <c r="U3303" s="87" t="n"/>
      <c r="V3303" s="3" t="n"/>
      <c r="W3303" s="108" t="n"/>
      <c r="X3303" s="4" t="n"/>
    </row>
    <row r="3304" ht="24" customHeight="1">
      <c r="A3304" s="2">
        <f>+D3304-S3304</f>
        <v/>
      </c>
      <c r="B3304" s="80" t="n">
        <v>4894</v>
      </c>
      <c r="C3304" s="66" t="n">
        <v>45994</v>
      </c>
      <c r="D3304" s="2" t="n">
        <v>1</v>
      </c>
      <c r="E3304" s="3" t="inlineStr">
        <is>
          <t>CARABINA AD OTTURATORE</t>
        </is>
      </c>
      <c r="F3304" s="3" t="inlineStr">
        <is>
          <t>6.5-284N</t>
        </is>
      </c>
      <c r="G3304" s="3" t="inlineStr">
        <is>
          <t>SAUER</t>
        </is>
      </c>
      <c r="H3304" s="65" t="inlineStr">
        <is>
          <t>N/A</t>
        </is>
      </c>
      <c r="I3304" s="65" t="inlineStr">
        <is>
          <t>K40141</t>
        </is>
      </c>
      <c r="J3304" s="65" t="inlineStr">
        <is>
          <t>N/A</t>
        </is>
      </c>
      <c r="K3304" s="65" t="inlineStr">
        <is>
          <t>N/D</t>
        </is>
      </c>
      <c r="L3304" s="127" t="inlineStr">
        <is>
          <t>Eredi Safari Sport Severi Gino di Armilli M. Teresa.</t>
        </is>
      </c>
      <c r="M3304" s="5" t="n">
        <v>250</v>
      </c>
      <c r="N3304" s="5" t="n"/>
      <c r="O3304" s="5">
        <f>+M3304+N3304</f>
        <v/>
      </c>
      <c r="P3304" s="4" t="n"/>
      <c r="Q3304" s="87" t="n"/>
      <c r="R3304" s="5" t="n"/>
      <c r="S3304" s="2" t="n"/>
      <c r="T3304" s="3" t="n"/>
      <c r="U3304" s="87" t="n"/>
      <c r="V3304" s="3" t="n"/>
      <c r="W3304" s="108" t="n"/>
      <c r="X3304" s="4" t="n"/>
    </row>
    <row r="3305" ht="24" customHeight="1">
      <c r="A3305" s="2">
        <f>+D3305-S3305</f>
        <v/>
      </c>
      <c r="B3305" s="80" t="n">
        <v>4895</v>
      </c>
      <c r="C3305" s="66" t="n">
        <v>45994</v>
      </c>
      <c r="D3305" s="2" t="n">
        <v>1</v>
      </c>
      <c r="E3305" s="3" t="inlineStr">
        <is>
          <t>CARABINA AD OTTURATORE</t>
        </is>
      </c>
      <c r="F3305" s="3" t="inlineStr">
        <is>
          <t>7x64</t>
        </is>
      </c>
      <c r="G3305" s="3" t="inlineStr">
        <is>
          <t>MERKEL</t>
        </is>
      </c>
      <c r="H3305" s="65" t="inlineStr">
        <is>
          <t>N/A</t>
        </is>
      </c>
      <c r="I3305" s="65" t="inlineStr">
        <is>
          <t>RX008614</t>
        </is>
      </c>
      <c r="J3305" s="65" t="inlineStr">
        <is>
          <t>N/A</t>
        </is>
      </c>
      <c r="K3305" s="65" t="inlineStr">
        <is>
          <t>N/D</t>
        </is>
      </c>
      <c r="L3305" s="127" t="inlineStr">
        <is>
          <t>Eredi Safari Sport Severi Gino di Armilli M. Teresa.</t>
        </is>
      </c>
      <c r="M3305" s="5" t="n">
        <v>500</v>
      </c>
      <c r="N3305" s="5" t="n"/>
      <c r="O3305" s="5">
        <f>+M3305+N3305</f>
        <v/>
      </c>
      <c r="P3305" s="4" t="n"/>
      <c r="Q3305" s="87" t="n"/>
      <c r="R3305" s="5" t="n"/>
      <c r="S3305" s="2" t="n"/>
      <c r="T3305" s="3" t="n"/>
      <c r="U3305" s="87" t="n"/>
      <c r="V3305" s="3" t="n"/>
      <c r="W3305" s="108" t="n"/>
      <c r="X3305" s="4" t="n"/>
    </row>
    <row r="3306" ht="24" customHeight="1">
      <c r="A3306" s="2">
        <f>+D3306-S3306</f>
        <v/>
      </c>
      <c r="B3306" s="80" t="n">
        <v>4896</v>
      </c>
      <c r="C3306" s="66" t="n">
        <v>45994</v>
      </c>
      <c r="D3306" s="2" t="n">
        <v>1</v>
      </c>
      <c r="E3306" s="3" t="inlineStr">
        <is>
          <t>CARABINA AD OTTURATORE</t>
        </is>
      </c>
      <c r="F3306" s="3" t="inlineStr">
        <is>
          <t>7x64</t>
        </is>
      </c>
      <c r="G3306" s="3" t="inlineStr">
        <is>
          <t>SAKO</t>
        </is>
      </c>
      <c r="H3306" s="65" t="inlineStr">
        <is>
          <t>N/A</t>
        </is>
      </c>
      <c r="I3306" s="65" t="inlineStr">
        <is>
          <t>F82389</t>
        </is>
      </c>
      <c r="J3306" s="65" t="inlineStr">
        <is>
          <t>N/A</t>
        </is>
      </c>
      <c r="K3306" s="65" t="inlineStr">
        <is>
          <t>N/D</t>
        </is>
      </c>
      <c r="L3306" s="127" t="inlineStr">
        <is>
          <t>Eredi Safari Sport Severi Gino di Armilli M. Teresa.</t>
        </is>
      </c>
      <c r="M3306" s="5" t="n">
        <v>300</v>
      </c>
      <c r="N3306" s="5" t="n"/>
      <c r="O3306" s="5">
        <f>+M3306+N3306</f>
        <v/>
      </c>
      <c r="P3306" s="4" t="n"/>
      <c r="Q3306" s="87" t="n"/>
      <c r="R3306" s="5" t="n"/>
      <c r="S3306" s="2" t="n"/>
      <c r="T3306" s="3" t="n"/>
      <c r="U3306" s="87" t="n"/>
      <c r="V3306" s="3" t="n"/>
      <c r="W3306" s="108" t="n"/>
      <c r="X3306" s="4" t="n"/>
    </row>
    <row r="3307" ht="24" customHeight="1">
      <c r="A3307" s="2">
        <f>+D3307-S3307</f>
        <v/>
      </c>
      <c r="B3307" s="80" t="n">
        <v>4897</v>
      </c>
      <c r="C3307" s="66" t="n">
        <v>45994</v>
      </c>
      <c r="D3307" s="2" t="n">
        <v>1</v>
      </c>
      <c r="E3307" s="3" t="inlineStr">
        <is>
          <t>CARABINA AD OTTURATORE</t>
        </is>
      </c>
      <c r="F3307" s="3" t="inlineStr">
        <is>
          <t>7x64</t>
        </is>
      </c>
      <c r="G3307" s="3" t="inlineStr">
        <is>
          <t>SAUER &amp; SOHN</t>
        </is>
      </c>
      <c r="H3307" s="65" t="inlineStr">
        <is>
          <t>N/A</t>
        </is>
      </c>
      <c r="I3307" s="65" t="inlineStr">
        <is>
          <t>N50202</t>
        </is>
      </c>
      <c r="J3307" s="65" t="inlineStr">
        <is>
          <t>N/A</t>
        </is>
      </c>
      <c r="K3307" s="65" t="inlineStr">
        <is>
          <t>N/D</t>
        </is>
      </c>
      <c r="L3307" s="127" t="inlineStr">
        <is>
          <t>Eredi Safari Sport Severi Gino di Armilli M. Teresa.</t>
        </is>
      </c>
      <c r="M3307" s="5" t="n">
        <v>300</v>
      </c>
      <c r="N3307" s="5" t="n"/>
      <c r="O3307" s="5">
        <f>+M3307+N3307</f>
        <v/>
      </c>
      <c r="P3307" s="4" t="n"/>
      <c r="Q3307" s="87" t="n"/>
      <c r="R3307" s="5" t="n"/>
      <c r="S3307" s="2" t="n"/>
      <c r="T3307" s="3" t="n"/>
      <c r="U3307" s="87" t="n"/>
      <c r="V3307" s="3" t="n"/>
      <c r="W3307" s="108" t="n"/>
      <c r="X3307" s="4" t="n"/>
    </row>
    <row r="3308" ht="24" customHeight="1">
      <c r="A3308" s="2">
        <f>+D3308-S3308</f>
        <v/>
      </c>
      <c r="B3308" s="80" t="n">
        <v>4898</v>
      </c>
      <c r="C3308" s="66" t="n">
        <v>45994</v>
      </c>
      <c r="D3308" s="2" t="n">
        <v>1</v>
      </c>
      <c r="E3308" s="3" t="inlineStr">
        <is>
          <t>CARABINA AD OTTURATORE</t>
        </is>
      </c>
      <c r="F3308" s="3" t="inlineStr">
        <is>
          <t>270 WIN</t>
        </is>
      </c>
      <c r="G3308" s="3" t="inlineStr">
        <is>
          <t>CASARTELLI</t>
        </is>
      </c>
      <c r="H3308" s="65" t="inlineStr">
        <is>
          <t>N/A</t>
        </is>
      </c>
      <c r="I3308" s="65" t="n">
        <v>953</v>
      </c>
      <c r="J3308" s="65" t="inlineStr">
        <is>
          <t>N/A</t>
        </is>
      </c>
      <c r="K3308" s="65" t="inlineStr">
        <is>
          <t>N/D</t>
        </is>
      </c>
      <c r="L3308" s="127" t="inlineStr">
        <is>
          <t>Eredi Safari Sport Severi Gino di Armilli M. Teresa.</t>
        </is>
      </c>
      <c r="M3308" s="5" t="n">
        <v>100</v>
      </c>
      <c r="N3308" s="5" t="n"/>
      <c r="O3308" s="5">
        <f>+M3308+N3308</f>
        <v/>
      </c>
      <c r="P3308" s="4" t="n"/>
      <c r="Q3308" s="87" t="n"/>
      <c r="R3308" s="5" t="n"/>
      <c r="S3308" s="2" t="n"/>
      <c r="T3308" s="3" t="n"/>
      <c r="U3308" s="87" t="n"/>
      <c r="V3308" s="3" t="n"/>
      <c r="W3308" s="108" t="n"/>
      <c r="X3308" s="4" t="n"/>
    </row>
    <row r="3309" ht="24" customHeight="1">
      <c r="A3309" s="2">
        <f>+D3309-S3309</f>
        <v/>
      </c>
      <c r="B3309" s="80" t="n">
        <v>4899</v>
      </c>
      <c r="C3309" s="66" t="n">
        <v>45994</v>
      </c>
      <c r="D3309" s="2" t="n">
        <v>1</v>
      </c>
      <c r="E3309" s="3" t="inlineStr">
        <is>
          <t>CARABINA AD OTTURATORE</t>
        </is>
      </c>
      <c r="F3309" s="3" t="inlineStr">
        <is>
          <t>25-06</t>
        </is>
      </c>
      <c r="G3309" s="3" t="inlineStr">
        <is>
          <t>TIKKA</t>
        </is>
      </c>
      <c r="H3309" s="65" t="inlineStr">
        <is>
          <t>N/A</t>
        </is>
      </c>
      <c r="I3309" s="65" t="n">
        <v>273561</v>
      </c>
      <c r="J3309" s="65" t="inlineStr">
        <is>
          <t>N/A</t>
        </is>
      </c>
      <c r="K3309" s="65" t="inlineStr">
        <is>
          <t>N/D</t>
        </is>
      </c>
      <c r="L3309" s="127" t="inlineStr">
        <is>
          <t>Eredi Safari Sport Severi Gino di Armilli M. Teresa.</t>
        </is>
      </c>
      <c r="M3309" s="5" t="n">
        <v>150</v>
      </c>
      <c r="N3309" s="5" t="n"/>
      <c r="O3309" s="5">
        <f>+M3309+N3309</f>
        <v/>
      </c>
      <c r="P3309" s="4" t="n"/>
      <c r="Q3309" s="87" t="n"/>
      <c r="R3309" s="5" t="n"/>
      <c r="S3309" s="2" t="n"/>
      <c r="T3309" s="3" t="n"/>
      <c r="U3309" s="87" t="n"/>
      <c r="V3309" s="3" t="n"/>
      <c r="W3309" s="108" t="n"/>
      <c r="X3309" s="4" t="n"/>
    </row>
    <row r="3310" ht="24" customHeight="1">
      <c r="A3310" s="2">
        <f>+D3310-S3310</f>
        <v/>
      </c>
      <c r="B3310" s="80" t="n">
        <v>4900</v>
      </c>
      <c r="C3310" s="66" t="n">
        <v>45994</v>
      </c>
      <c r="D3310" s="2" t="n">
        <v>1</v>
      </c>
      <c r="E3310" s="3" t="inlineStr">
        <is>
          <t>CARABINA AD OTTURATORE</t>
        </is>
      </c>
      <c r="F3310" s="3" t="inlineStr">
        <is>
          <t>243</t>
        </is>
      </c>
      <c r="G3310" s="3" t="inlineStr">
        <is>
          <t>STEYR</t>
        </is>
      </c>
      <c r="H3310" s="65" t="inlineStr">
        <is>
          <t>N/A</t>
        </is>
      </c>
      <c r="I3310" s="65" t="n">
        <v>1019893</v>
      </c>
      <c r="J3310" s="65" t="inlineStr">
        <is>
          <t>N/A</t>
        </is>
      </c>
      <c r="K3310" s="65" t="inlineStr">
        <is>
          <t>N/D</t>
        </is>
      </c>
      <c r="L3310" s="127" t="inlineStr">
        <is>
          <t>Eredi Safari Sport Severi Gino di Armilli M. Teresa.</t>
        </is>
      </c>
      <c r="M3310" s="5" t="n">
        <v>150</v>
      </c>
      <c r="N3310" s="5" t="n"/>
      <c r="O3310" s="5">
        <f>+M3310+N3310</f>
        <v/>
      </c>
      <c r="P3310" s="4" t="n"/>
      <c r="Q3310" s="87" t="n"/>
      <c r="R3310" s="5" t="n"/>
      <c r="S3310" s="2" t="n"/>
      <c r="T3310" s="3" t="n"/>
      <c r="U3310" s="87" t="n"/>
      <c r="V3310" s="3" t="n"/>
      <c r="W3310" s="108" t="n"/>
      <c r="X3310" s="4" t="n"/>
    </row>
    <row r="3311" ht="24" customHeight="1">
      <c r="A3311" s="2">
        <f>+D3311-S3311</f>
        <v/>
      </c>
      <c r="B3311" s="80" t="n">
        <v>4901</v>
      </c>
      <c r="C3311" s="66" t="n">
        <v>45994</v>
      </c>
      <c r="D3311" s="2" t="n">
        <v>1</v>
      </c>
      <c r="E3311" s="3" t="inlineStr">
        <is>
          <t>CARABINA SEMIAUTOMATICA</t>
        </is>
      </c>
      <c r="F3311" s="3" t="inlineStr">
        <is>
          <t>7.5x55</t>
        </is>
      </c>
      <c r="G3311" s="3" t="inlineStr">
        <is>
          <t>SIG</t>
        </is>
      </c>
      <c r="H3311" s="65" t="inlineStr">
        <is>
          <t>N/A</t>
        </is>
      </c>
      <c r="I3311" s="65" t="inlineStr">
        <is>
          <t>A699400D</t>
        </is>
      </c>
      <c r="J3311" s="65" t="inlineStr">
        <is>
          <t>N/A</t>
        </is>
      </c>
      <c r="K3311" s="65" t="inlineStr">
        <is>
          <t>N/D</t>
        </is>
      </c>
      <c r="L3311" s="127" t="inlineStr">
        <is>
          <t>Eredi Safari Sport Severi Gino di Armilli M. Teresa.</t>
        </is>
      </c>
      <c r="M3311" s="5" t="n">
        <v>150</v>
      </c>
      <c r="N3311" s="5" t="n"/>
      <c r="O3311" s="5">
        <f>+M3311+N3311</f>
        <v/>
      </c>
      <c r="P3311" s="4" t="n"/>
      <c r="Q3311" s="87" t="n"/>
      <c r="R3311" s="5" t="n"/>
      <c r="S3311" s="2" t="n"/>
      <c r="T3311" s="3" t="n"/>
      <c r="U3311" s="87" t="n"/>
      <c r="V3311" s="3" t="n"/>
      <c r="W3311" s="108" t="n"/>
      <c r="X3311" s="4" t="n"/>
    </row>
    <row r="3312" ht="24" customHeight="1">
      <c r="A3312" s="2">
        <f>+D3312-S3312</f>
        <v/>
      </c>
      <c r="B3312" s="80" t="n">
        <v>4902</v>
      </c>
      <c r="C3312" s="66" t="n">
        <v>45994</v>
      </c>
      <c r="D3312" s="2" t="n">
        <v>1</v>
      </c>
      <c r="E3312" s="3" t="inlineStr">
        <is>
          <t>CARABINA AD OTTURATORE</t>
        </is>
      </c>
      <c r="F3312" s="3" t="inlineStr">
        <is>
          <t>243</t>
        </is>
      </c>
      <c r="G3312" s="3" t="inlineStr">
        <is>
          <t>CZ</t>
        </is>
      </c>
      <c r="H3312" s="65" t="inlineStr">
        <is>
          <t>N/A</t>
        </is>
      </c>
      <c r="I3312" s="65" t="inlineStr">
        <is>
          <t>E9507</t>
        </is>
      </c>
      <c r="J3312" s="65" t="inlineStr">
        <is>
          <t>N/A</t>
        </is>
      </c>
      <c r="K3312" s="65" t="inlineStr">
        <is>
          <t>N/D</t>
        </is>
      </c>
      <c r="L3312" s="127" t="inlineStr">
        <is>
          <t>Eredi Safari Sport Severi Gino di Armilli M. Teresa.</t>
        </is>
      </c>
      <c r="M3312" s="5" t="n">
        <v>100</v>
      </c>
      <c r="N3312" s="5" t="n"/>
      <c r="O3312" s="5">
        <f>+M3312+N3312</f>
        <v/>
      </c>
      <c r="P3312" s="4" t="n"/>
      <c r="Q3312" s="87" t="n"/>
      <c r="R3312" s="5" t="n"/>
      <c r="S3312" s="2" t="n"/>
      <c r="T3312" s="3" t="n"/>
      <c r="U3312" s="87" t="n"/>
      <c r="V3312" s="3" t="n"/>
      <c r="W3312" s="108" t="n"/>
      <c r="X3312" s="4" t="n"/>
    </row>
    <row r="3313" ht="24" customHeight="1">
      <c r="A3313" s="2">
        <f>+D3313-S3313</f>
        <v/>
      </c>
      <c r="B3313" s="80" t="n">
        <v>4903</v>
      </c>
      <c r="C3313" s="66" t="n">
        <v>45994</v>
      </c>
      <c r="D3313" s="2" t="n">
        <v>1</v>
      </c>
      <c r="E3313" s="3" t="inlineStr">
        <is>
          <t>CARABINA AD OTTURATORE</t>
        </is>
      </c>
      <c r="F3313" s="3" t="inlineStr">
        <is>
          <t>30-06</t>
        </is>
      </c>
      <c r="G3313" s="3" t="inlineStr">
        <is>
          <t>CZ</t>
        </is>
      </c>
      <c r="H3313" s="65" t="inlineStr">
        <is>
          <t>N/A</t>
        </is>
      </c>
      <c r="I3313" s="65" t="inlineStr">
        <is>
          <t>C3571</t>
        </is>
      </c>
      <c r="J3313" s="65" t="inlineStr">
        <is>
          <t>N/A</t>
        </is>
      </c>
      <c r="K3313" s="65" t="inlineStr">
        <is>
          <t>N/D</t>
        </is>
      </c>
      <c r="L3313" s="127" t="inlineStr">
        <is>
          <t>Eredi Safari Sport Severi Gino di Armilli M. Teresa.</t>
        </is>
      </c>
      <c r="M3313" s="5" t="n">
        <v>100</v>
      </c>
      <c r="N3313" s="5" t="n"/>
      <c r="O3313" s="5">
        <f>+M3313+N3313</f>
        <v/>
      </c>
      <c r="P3313" s="4" t="n"/>
      <c r="Q3313" s="87" t="n"/>
      <c r="R3313" s="5" t="n"/>
      <c r="S3313" s="2" t="n"/>
      <c r="T3313" s="3" t="n"/>
      <c r="U3313" s="87" t="n"/>
      <c r="V3313" s="3" t="n"/>
      <c r="W3313" s="108" t="n"/>
      <c r="X3313" s="4" t="n"/>
    </row>
    <row r="3314" ht="24" customHeight="1">
      <c r="A3314" s="2">
        <f>+D3314-S3314</f>
        <v/>
      </c>
      <c r="B3314" s="80" t="n">
        <v>4904</v>
      </c>
      <c r="C3314" s="66" t="n">
        <v>45994</v>
      </c>
      <c r="D3314" s="2" t="n">
        <v>1</v>
      </c>
      <c r="E3314" s="3" t="inlineStr">
        <is>
          <t>CARABINA AD OTTURATORE</t>
        </is>
      </c>
      <c r="F3314" s="3" t="inlineStr">
        <is>
          <t>30-06</t>
        </is>
      </c>
      <c r="G3314" s="3" t="inlineStr">
        <is>
          <t>CZ</t>
        </is>
      </c>
      <c r="H3314" s="65" t="inlineStr">
        <is>
          <t>N/A</t>
        </is>
      </c>
      <c r="I3314" s="65" t="inlineStr">
        <is>
          <t>E9030</t>
        </is>
      </c>
      <c r="J3314" s="65" t="inlineStr">
        <is>
          <t>N/A</t>
        </is>
      </c>
      <c r="K3314" s="65" t="inlineStr">
        <is>
          <t>N/D</t>
        </is>
      </c>
      <c r="L3314" s="127" t="inlineStr">
        <is>
          <t>Eredi Safari Sport Severi Gino di Armilli M. Teresa.</t>
        </is>
      </c>
      <c r="M3314" s="5" t="n">
        <v>100</v>
      </c>
      <c r="N3314" s="5" t="n"/>
      <c r="O3314" s="5">
        <f>+M3314+N3314</f>
        <v/>
      </c>
      <c r="P3314" s="4" t="n"/>
      <c r="Q3314" s="87" t="n"/>
      <c r="R3314" s="5" t="n"/>
      <c r="S3314" s="2" t="n"/>
      <c r="T3314" s="3" t="n"/>
      <c r="U3314" s="87" t="n"/>
      <c r="V3314" s="3" t="n"/>
      <c r="W3314" s="108" t="n"/>
      <c r="X3314" s="4" t="n"/>
    </row>
    <row r="3315" ht="24" customHeight="1">
      <c r="A3315" s="2">
        <f>+D3315-S3315</f>
        <v/>
      </c>
      <c r="B3315" s="80" t="n">
        <v>4905</v>
      </c>
      <c r="C3315" s="66" t="n">
        <v>45994</v>
      </c>
      <c r="D3315" s="2" t="n">
        <v>1</v>
      </c>
      <c r="E3315" s="3" t="inlineStr">
        <is>
          <t>CARABINA AD OTTURATORE</t>
        </is>
      </c>
      <c r="F3315" s="3" t="inlineStr">
        <is>
          <t>243</t>
        </is>
      </c>
      <c r="G3315" s="3" t="inlineStr">
        <is>
          <t>CZ</t>
        </is>
      </c>
      <c r="H3315" s="65" t="inlineStr">
        <is>
          <t>N/A</t>
        </is>
      </c>
      <c r="I3315" s="65" t="inlineStr">
        <is>
          <t>C1384</t>
        </is>
      </c>
      <c r="J3315" s="65" t="inlineStr">
        <is>
          <t>N/A</t>
        </is>
      </c>
      <c r="K3315" s="65" t="inlineStr">
        <is>
          <t>N/D</t>
        </is>
      </c>
      <c r="L3315" s="127" t="inlineStr">
        <is>
          <t>Eredi Safari Sport Severi Gino di Armilli M. Teresa.</t>
        </is>
      </c>
      <c r="M3315" s="5" t="n">
        <v>100</v>
      </c>
      <c r="N3315" s="5" t="n"/>
      <c r="O3315" s="5">
        <f>+M3315+N3315</f>
        <v/>
      </c>
      <c r="P3315" s="4" t="n"/>
      <c r="Q3315" s="87" t="n"/>
      <c r="R3315" s="5" t="n"/>
      <c r="S3315" s="2" t="n"/>
      <c r="T3315" s="3" t="n"/>
      <c r="U3315" s="87" t="n"/>
      <c r="V3315" s="3" t="n"/>
      <c r="W3315" s="108" t="n"/>
      <c r="X3315" s="4" t="n"/>
    </row>
    <row r="3316" ht="24" customHeight="1">
      <c r="A3316" s="2">
        <f>+D3316-S3316</f>
        <v/>
      </c>
      <c r="B3316" s="80" t="n">
        <v>4906</v>
      </c>
      <c r="C3316" s="66" t="n">
        <v>45994</v>
      </c>
      <c r="D3316" s="2" t="n">
        <v>1</v>
      </c>
      <c r="E3316" s="3" t="inlineStr">
        <is>
          <t>FUCILE SOVRAPPOSTO</t>
        </is>
      </c>
      <c r="F3316" s="3" t="inlineStr">
        <is>
          <t>20/30-30</t>
        </is>
      </c>
      <c r="G3316" s="3" t="inlineStr">
        <is>
          <t>SAVAGE</t>
        </is>
      </c>
      <c r="H3316" s="65" t="inlineStr">
        <is>
          <t>N/A</t>
        </is>
      </c>
      <c r="I3316" s="65" t="inlineStr">
        <is>
          <t>F088634</t>
        </is>
      </c>
      <c r="J3316" s="65" t="inlineStr">
        <is>
          <t>N/A</t>
        </is>
      </c>
      <c r="K3316" s="65" t="inlineStr">
        <is>
          <t>N/D</t>
        </is>
      </c>
      <c r="L3316" s="127" t="inlineStr">
        <is>
          <t>Eredi Safari Sport Severi Gino di Armilli M. Teresa.</t>
        </is>
      </c>
      <c r="M3316" s="5" t="n">
        <v>50</v>
      </c>
      <c r="N3316" s="5" t="n"/>
      <c r="O3316" s="5">
        <f>+M3316+N3316</f>
        <v/>
      </c>
      <c r="P3316" s="4" t="n"/>
      <c r="Q3316" s="87" t="n"/>
      <c r="R3316" s="5" t="n"/>
      <c r="S3316" s="2" t="n"/>
      <c r="T3316" s="3" t="n"/>
      <c r="U3316" s="87" t="n"/>
      <c r="V3316" s="3" t="n"/>
      <c r="W3316" s="108" t="n"/>
      <c r="X3316" s="4" t="n"/>
    </row>
    <row r="3317" ht="24" customHeight="1">
      <c r="A3317" s="2">
        <f>+D3317-S3317</f>
        <v/>
      </c>
      <c r="B3317" s="80" t="n">
        <v>4907</v>
      </c>
      <c r="C3317" s="66" t="n">
        <v>45994</v>
      </c>
      <c r="D3317" s="2" t="n">
        <v>1</v>
      </c>
      <c r="E3317" s="3" t="inlineStr">
        <is>
          <t>CARABINA AD OTTURATORE</t>
        </is>
      </c>
      <c r="F3317" s="3" t="inlineStr">
        <is>
          <t>6.5x55</t>
        </is>
      </c>
      <c r="G3317" s="3" t="inlineStr">
        <is>
          <t>C. GUSTAF</t>
        </is>
      </c>
      <c r="H3317" s="65" t="inlineStr">
        <is>
          <t>N/A</t>
        </is>
      </c>
      <c r="I3317" s="65" t="n">
        <v>614390</v>
      </c>
      <c r="J3317" s="65" t="inlineStr">
        <is>
          <t>N/A</t>
        </is>
      </c>
      <c r="K3317" s="65" t="inlineStr">
        <is>
          <t>N/D</t>
        </is>
      </c>
      <c r="L3317" s="127" t="inlineStr">
        <is>
          <t>Eredi Safari Sport Severi Gino di Armilli M. Teresa.</t>
        </is>
      </c>
      <c r="M3317" s="5" t="n">
        <v>50</v>
      </c>
      <c r="N3317" s="5" t="n"/>
      <c r="O3317" s="5">
        <f>+M3317+N3317</f>
        <v/>
      </c>
      <c r="P3317" s="4" t="n"/>
      <c r="Q3317" s="87" t="n"/>
      <c r="R3317" s="5" t="n"/>
      <c r="S3317" s="2" t="n"/>
      <c r="T3317" s="3" t="n"/>
      <c r="U3317" s="87" t="n"/>
      <c r="V3317" s="3" t="n"/>
      <c r="W3317" s="108" t="n"/>
      <c r="X3317" s="4" t="n"/>
    </row>
    <row r="3318" ht="24" customHeight="1">
      <c r="A3318" s="2">
        <f>+D3318-S3318</f>
        <v/>
      </c>
      <c r="B3318" s="80" t="n">
        <v>4908</v>
      </c>
      <c r="C3318" s="66" t="n">
        <v>45994</v>
      </c>
      <c r="D3318" s="2" t="n">
        <v>1</v>
      </c>
      <c r="E3318" s="3" t="inlineStr">
        <is>
          <t>PISTOLA SEMIAUTOMATICA</t>
        </is>
      </c>
      <c r="F3318" s="3" t="inlineStr">
        <is>
          <t>22 LR</t>
        </is>
      </c>
      <c r="G3318" s="3" t="inlineStr">
        <is>
          <t>S&amp;W</t>
        </is>
      </c>
      <c r="H3318" s="65" t="inlineStr">
        <is>
          <t>N/A</t>
        </is>
      </c>
      <c r="I3318" s="65" t="inlineStr">
        <is>
          <t>UBJ2984</t>
        </is>
      </c>
      <c r="J3318" s="65" t="inlineStr">
        <is>
          <t>N/A</t>
        </is>
      </c>
      <c r="K3318" s="65" t="inlineStr">
        <is>
          <t>N/D</t>
        </is>
      </c>
      <c r="L3318" s="127" t="inlineStr">
        <is>
          <t>Eredi Safari Sport Severi Gino di Armilli M. Teresa.</t>
        </is>
      </c>
      <c r="M3318" s="5" t="n">
        <v>100</v>
      </c>
      <c r="N3318" s="5" t="n"/>
      <c r="O3318" s="5">
        <f>+M3318+N3318</f>
        <v/>
      </c>
      <c r="P3318" s="4" t="n"/>
      <c r="Q3318" s="87" t="n"/>
      <c r="R3318" s="5" t="n"/>
      <c r="S3318" s="2" t="n"/>
      <c r="T3318" s="3" t="n"/>
      <c r="U3318" s="87" t="n"/>
      <c r="V3318" s="3" t="n"/>
      <c r="W3318" s="108" t="n"/>
      <c r="X3318" s="4" t="n"/>
    </row>
    <row r="3319" ht="24" customHeight="1">
      <c r="A3319" s="2">
        <f>+D3319-S3319</f>
        <v/>
      </c>
      <c r="B3319" s="80" t="n">
        <v>4909</v>
      </c>
      <c r="C3319" s="66" t="n">
        <v>45994</v>
      </c>
      <c r="D3319" s="2" t="n">
        <v>1</v>
      </c>
      <c r="E3319" s="3" t="inlineStr">
        <is>
          <t>PISTOLA SEMIAUTOMATICA</t>
        </is>
      </c>
      <c r="F3319" s="3" t="inlineStr">
        <is>
          <t>40</t>
        </is>
      </c>
      <c r="G3319" s="3" t="inlineStr">
        <is>
          <t>GLOCK</t>
        </is>
      </c>
      <c r="H3319" s="65" t="inlineStr">
        <is>
          <t>N/A</t>
        </is>
      </c>
      <c r="I3319" s="65" t="inlineStr">
        <is>
          <t>DCH466</t>
        </is>
      </c>
      <c r="J3319" s="65" t="inlineStr">
        <is>
          <t>N/A</t>
        </is>
      </c>
      <c r="K3319" s="65" t="inlineStr">
        <is>
          <t>N/D</t>
        </is>
      </c>
      <c r="L3319" s="127" t="inlineStr">
        <is>
          <t>Eredi Safari Sport Severi Gino di Armilli M. Teresa.</t>
        </is>
      </c>
      <c r="M3319" s="5" t="n">
        <v>150</v>
      </c>
      <c r="N3319" s="5" t="n"/>
      <c r="O3319" s="5">
        <f>+M3319+N3319</f>
        <v/>
      </c>
      <c r="P3319" s="4" t="n"/>
      <c r="Q3319" s="87" t="n"/>
      <c r="R3319" s="5" t="n"/>
      <c r="S3319" s="2" t="n"/>
      <c r="T3319" s="3" t="n"/>
      <c r="U3319" s="87" t="n"/>
      <c r="V3319" s="3" t="n"/>
      <c r="W3319" s="108" t="n"/>
      <c r="X3319" s="4" t="n"/>
    </row>
    <row r="3320" ht="24" customHeight="1">
      <c r="A3320" s="2">
        <f>+D3320-S3320</f>
        <v/>
      </c>
      <c r="B3320" s="80" t="n">
        <v>4910</v>
      </c>
      <c r="C3320" s="66" t="n">
        <v>45994</v>
      </c>
      <c r="D3320" s="2" t="n">
        <v>1</v>
      </c>
      <c r="E3320" s="3" t="inlineStr">
        <is>
          <t>REVOLVER</t>
        </is>
      </c>
      <c r="F3320" s="3" t="inlineStr">
        <is>
          <t>38 SP</t>
        </is>
      </c>
      <c r="G3320" s="3" t="inlineStr">
        <is>
          <t>S&amp;W</t>
        </is>
      </c>
      <c r="H3320" s="65" t="inlineStr">
        <is>
          <t>N/A</t>
        </is>
      </c>
      <c r="I3320" s="65" t="n">
        <v>481894</v>
      </c>
      <c r="J3320" s="65" t="inlineStr">
        <is>
          <t>N/A</t>
        </is>
      </c>
      <c r="K3320" s="65" t="inlineStr">
        <is>
          <t>N/D</t>
        </is>
      </c>
      <c r="L3320" s="127" t="inlineStr">
        <is>
          <t>Eredi Safari Sport Severi Gino di Armilli M. Teresa.</t>
        </is>
      </c>
      <c r="M3320" s="5" t="n">
        <v>20</v>
      </c>
      <c r="N3320" s="5" t="n"/>
      <c r="O3320" s="5">
        <f>+M3320+N3320</f>
        <v/>
      </c>
      <c r="P3320" s="4" t="n"/>
      <c r="Q3320" s="87" t="n"/>
      <c r="R3320" s="5" t="n"/>
      <c r="S3320" s="2" t="n"/>
      <c r="T3320" s="3" t="n"/>
      <c r="U3320" s="87" t="n"/>
      <c r="V3320" s="3" t="n"/>
      <c r="W3320" s="108" t="n"/>
      <c r="X3320" s="4" t="n"/>
    </row>
    <row r="3321" ht="24" customHeight="1">
      <c r="A3321" s="2">
        <f>+D3321-S3321</f>
        <v/>
      </c>
      <c r="B3321" s="80" t="n">
        <v>4911</v>
      </c>
      <c r="C3321" s="66" t="n">
        <v>45994</v>
      </c>
      <c r="D3321" s="2" t="n">
        <v>1</v>
      </c>
      <c r="E3321" s="3" t="inlineStr">
        <is>
          <t>REVOLVER</t>
        </is>
      </c>
      <c r="F3321" s="3" t="inlineStr">
        <is>
          <t>38 SP</t>
        </is>
      </c>
      <c r="G3321" s="3" t="inlineStr">
        <is>
          <t>S&amp;W</t>
        </is>
      </c>
      <c r="H3321" s="65" t="inlineStr">
        <is>
          <t>N/A</t>
        </is>
      </c>
      <c r="I3321" s="65" t="inlineStr">
        <is>
          <t>J422770</t>
        </is>
      </c>
      <c r="J3321" s="65" t="inlineStr">
        <is>
          <t>N/A</t>
        </is>
      </c>
      <c r="K3321" s="65" t="inlineStr">
        <is>
          <t>N/D</t>
        </is>
      </c>
      <c r="L3321" s="127" t="inlineStr">
        <is>
          <t>Eredi Safari Sport Severi Gino di Armilli M. Teresa.</t>
        </is>
      </c>
      <c r="M3321" s="5" t="n">
        <v>20</v>
      </c>
      <c r="N3321" s="5" t="n"/>
      <c r="O3321" s="5">
        <f>+M3321+N3321</f>
        <v/>
      </c>
      <c r="P3321" s="4" t="n"/>
      <c r="Q3321" s="87" t="n"/>
      <c r="R3321" s="5" t="n"/>
      <c r="S3321" s="2" t="n"/>
      <c r="T3321" s="3" t="n"/>
      <c r="U3321" s="87" t="n"/>
      <c r="V3321" s="3" t="n"/>
      <c r="W3321" s="108" t="n"/>
      <c r="X3321" s="4" t="n"/>
    </row>
    <row r="3322" ht="24" customHeight="1">
      <c r="A3322" s="2">
        <f>+D3322-S3322</f>
        <v/>
      </c>
      <c r="B3322" s="80" t="n">
        <v>4912</v>
      </c>
      <c r="C3322" s="66" t="n">
        <v>45994</v>
      </c>
      <c r="D3322" s="2" t="n">
        <v>1</v>
      </c>
      <c r="E3322" s="3" t="inlineStr">
        <is>
          <t>REVOLVER</t>
        </is>
      </c>
      <c r="F3322" s="3" t="inlineStr">
        <is>
          <t>38 SP</t>
        </is>
      </c>
      <c r="G3322" s="3" t="inlineStr">
        <is>
          <t>S&amp;W</t>
        </is>
      </c>
      <c r="H3322" s="65" t="inlineStr">
        <is>
          <t>N/A</t>
        </is>
      </c>
      <c r="I3322" s="65" t="inlineStr">
        <is>
          <t>R70933</t>
        </is>
      </c>
      <c r="J3322" s="65" t="inlineStr">
        <is>
          <t>N/A</t>
        </is>
      </c>
      <c r="K3322" s="65" t="inlineStr">
        <is>
          <t>N/D</t>
        </is>
      </c>
      <c r="L3322" s="127" t="inlineStr">
        <is>
          <t>Eredi Safari Sport Severi Gino di Armilli M. Teresa.</t>
        </is>
      </c>
      <c r="M3322" s="5" t="n">
        <v>20</v>
      </c>
      <c r="N3322" s="5" t="n"/>
      <c r="O3322" s="5">
        <f>+M3322+N3322</f>
        <v/>
      </c>
      <c r="P3322" s="4" t="n"/>
      <c r="Q3322" s="87" t="n"/>
      <c r="R3322" s="5" t="n"/>
      <c r="S3322" s="2" t="n"/>
      <c r="T3322" s="3" t="n"/>
      <c r="U3322" s="87" t="n"/>
      <c r="V3322" s="3" t="n"/>
      <c r="W3322" s="108" t="n"/>
      <c r="X3322" s="4" t="n"/>
    </row>
    <row r="3323" ht="24" customHeight="1">
      <c r="A3323" s="2">
        <f>+D3323-S3323</f>
        <v/>
      </c>
      <c r="B3323" s="80" t="n">
        <v>4913</v>
      </c>
      <c r="C3323" s="66" t="n">
        <v>45994</v>
      </c>
      <c r="D3323" s="2" t="n">
        <v>1</v>
      </c>
      <c r="E3323" s="3" t="inlineStr">
        <is>
          <t>REVOLVER</t>
        </is>
      </c>
      <c r="F3323" s="3" t="inlineStr">
        <is>
          <t>38 SP</t>
        </is>
      </c>
      <c r="G3323" s="3" t="inlineStr">
        <is>
          <t>S&amp;W</t>
        </is>
      </c>
      <c r="H3323" s="65" t="inlineStr">
        <is>
          <t>N/A</t>
        </is>
      </c>
      <c r="I3323" s="65" t="inlineStr">
        <is>
          <t>BKF3957</t>
        </is>
      </c>
      <c r="J3323" s="65" t="inlineStr">
        <is>
          <t>N/A</t>
        </is>
      </c>
      <c r="K3323" s="65" t="inlineStr">
        <is>
          <t>N/D</t>
        </is>
      </c>
      <c r="L3323" s="127" t="inlineStr">
        <is>
          <t>Eredi Safari Sport Severi Gino di Armilli M. Teresa.</t>
        </is>
      </c>
      <c r="M3323" s="5" t="n">
        <v>20</v>
      </c>
      <c r="N3323" s="5" t="n"/>
      <c r="O3323" s="5">
        <f>+M3323+N3323</f>
        <v/>
      </c>
      <c r="P3323" s="4" t="n"/>
      <c r="Q3323" s="87" t="n"/>
      <c r="R3323" s="5" t="n"/>
      <c r="S3323" s="2" t="n"/>
      <c r="T3323" s="3" t="n"/>
      <c r="U3323" s="87" t="n"/>
      <c r="V3323" s="3" t="n"/>
      <c r="W3323" s="108" t="n"/>
      <c r="X3323" s="4" t="n"/>
    </row>
    <row r="3324" ht="24" customHeight="1">
      <c r="A3324" s="2">
        <f>+D3324-S3324</f>
        <v/>
      </c>
      <c r="B3324" s="80" t="n">
        <v>4914</v>
      </c>
      <c r="C3324" s="66" t="n">
        <v>45994</v>
      </c>
      <c r="D3324" s="2" t="n">
        <v>1</v>
      </c>
      <c r="E3324" s="3" t="inlineStr">
        <is>
          <t>REVOLVER</t>
        </is>
      </c>
      <c r="F3324" s="3" t="inlineStr">
        <is>
          <t>38 SP</t>
        </is>
      </c>
      <c r="G3324" s="3" t="inlineStr">
        <is>
          <t>COLT</t>
        </is>
      </c>
      <c r="H3324" s="65" t="inlineStr">
        <is>
          <t>N/A</t>
        </is>
      </c>
      <c r="I3324" s="65" t="inlineStr">
        <is>
          <t>H59480</t>
        </is>
      </c>
      <c r="J3324" s="65" t="inlineStr">
        <is>
          <t>N/A</t>
        </is>
      </c>
      <c r="K3324" s="65" t="inlineStr">
        <is>
          <t>N/D</t>
        </is>
      </c>
      <c r="L3324" s="127" t="inlineStr">
        <is>
          <t>Eredi Safari Sport Severi Gino di Armilli M. Teresa.</t>
        </is>
      </c>
      <c r="M3324" s="5" t="n">
        <v>20</v>
      </c>
      <c r="N3324" s="5" t="n"/>
      <c r="O3324" s="5">
        <f>+M3324+N3324</f>
        <v/>
      </c>
      <c r="P3324" s="4" t="n"/>
      <c r="Q3324" s="87" t="n"/>
      <c r="R3324" s="5" t="n"/>
      <c r="S3324" s="2" t="n"/>
      <c r="T3324" s="3" t="n"/>
      <c r="U3324" s="87" t="n"/>
      <c r="V3324" s="3" t="n"/>
      <c r="W3324" s="108" t="n"/>
      <c r="X3324" s="4" t="n"/>
    </row>
    <row r="3325" ht="24" customHeight="1">
      <c r="A3325" s="2">
        <f>+D3325-S3325</f>
        <v/>
      </c>
      <c r="B3325" s="80" t="n">
        <v>4915</v>
      </c>
      <c r="C3325" s="66" t="n">
        <v>45994</v>
      </c>
      <c r="D3325" s="2" t="n">
        <v>1</v>
      </c>
      <c r="E3325" s="3" t="inlineStr">
        <is>
          <t>PISTOLA SEMIAUTOMATICA</t>
        </is>
      </c>
      <c r="F3325" s="3" t="inlineStr">
        <is>
          <t>45 ACP</t>
        </is>
      </c>
      <c r="G3325" s="3" t="inlineStr">
        <is>
          <t>COLT</t>
        </is>
      </c>
      <c r="H3325" s="65" t="inlineStr">
        <is>
          <t>N/A</t>
        </is>
      </c>
      <c r="I3325" s="65" t="inlineStr">
        <is>
          <t>SS16156</t>
        </is>
      </c>
      <c r="J3325" s="65" t="inlineStr">
        <is>
          <t>N/A</t>
        </is>
      </c>
      <c r="K3325" s="65" t="inlineStr">
        <is>
          <t>N/D</t>
        </is>
      </c>
      <c r="L3325" s="127" t="inlineStr">
        <is>
          <t>Eredi Safari Sport Severi Gino di Armilli M. Teresa.</t>
        </is>
      </c>
      <c r="M3325" s="5" t="n">
        <v>100</v>
      </c>
      <c r="N3325" s="5" t="n"/>
      <c r="O3325" s="5">
        <f>+M3325+N3325</f>
        <v/>
      </c>
      <c r="P3325" s="4" t="n"/>
      <c r="Q3325" s="87" t="n"/>
      <c r="R3325" s="5" t="n"/>
      <c r="S3325" s="2" t="n"/>
      <c r="T3325" s="3" t="n"/>
      <c r="U3325" s="87" t="n"/>
      <c r="V3325" s="3" t="n"/>
      <c r="W3325" s="108" t="n"/>
      <c r="X3325" s="4" t="n"/>
    </row>
    <row r="3326" ht="24" customHeight="1">
      <c r="A3326" s="2">
        <f>+D3326-S3326</f>
        <v/>
      </c>
      <c r="B3326" s="80" t="n">
        <v>4916</v>
      </c>
      <c r="C3326" s="66" t="n">
        <v>45994</v>
      </c>
      <c r="D3326" s="2" t="n">
        <v>1</v>
      </c>
      <c r="E3326" s="3" t="inlineStr">
        <is>
          <t>PISTOLA SEMIAUTOMATICA</t>
        </is>
      </c>
      <c r="F3326" s="3" t="inlineStr">
        <is>
          <t>9x21</t>
        </is>
      </c>
      <c r="G3326" s="3" t="inlineStr">
        <is>
          <t>BERETTA</t>
        </is>
      </c>
      <c r="H3326" s="65" t="inlineStr">
        <is>
          <t>N/A</t>
        </is>
      </c>
      <c r="I3326" s="65" t="inlineStr">
        <is>
          <t>E64672P</t>
        </is>
      </c>
      <c r="J3326" s="65" t="inlineStr">
        <is>
          <t>N/A</t>
        </is>
      </c>
      <c r="K3326" s="65" t="inlineStr">
        <is>
          <t>N/D</t>
        </is>
      </c>
      <c r="L3326" s="127" t="inlineStr">
        <is>
          <t>Eredi Safari Sport Severi Gino di Armilli M. Teresa.</t>
        </is>
      </c>
      <c r="M3326" s="5" t="n">
        <v>100</v>
      </c>
      <c r="N3326" s="5" t="n"/>
      <c r="O3326" s="5">
        <f>+M3326+N3326</f>
        <v/>
      </c>
      <c r="P3326" s="4" t="n"/>
      <c r="Q3326" s="87" t="n"/>
      <c r="R3326" s="5" t="n"/>
      <c r="S3326" s="2" t="n"/>
      <c r="T3326" s="3" t="n"/>
      <c r="U3326" s="87" t="n"/>
      <c r="V3326" s="3" t="n"/>
      <c r="W3326" s="108" t="n"/>
      <c r="X3326" s="4" t="n"/>
    </row>
    <row r="3327" ht="24" customHeight="1">
      <c r="A3327" s="2">
        <f>+D3327-S3327</f>
        <v/>
      </c>
      <c r="B3327" s="80" t="n">
        <v>4917</v>
      </c>
      <c r="C3327" s="66" t="n">
        <v>45994</v>
      </c>
      <c r="D3327" s="2" t="n">
        <v>1</v>
      </c>
      <c r="E3327" s="3" t="inlineStr">
        <is>
          <t>PISTOLA SEMIAUTOMATICA</t>
        </is>
      </c>
      <c r="F3327" s="3" t="inlineStr">
        <is>
          <t>380 ACP</t>
        </is>
      </c>
      <c r="G3327" s="3" t="inlineStr">
        <is>
          <t>RUGER</t>
        </is>
      </c>
      <c r="H3327" s="65" t="inlineStr">
        <is>
          <t>N/A</t>
        </is>
      </c>
      <c r="I3327" s="65" t="inlineStr">
        <is>
          <t>375-18802</t>
        </is>
      </c>
      <c r="J3327" s="65" t="inlineStr">
        <is>
          <t>N/A</t>
        </is>
      </c>
      <c r="K3327" s="65" t="inlineStr">
        <is>
          <t>N/D</t>
        </is>
      </c>
      <c r="L3327" s="127" t="inlineStr">
        <is>
          <t>Eredi Safari Sport Severi Gino di Armilli M. Teresa.</t>
        </is>
      </c>
      <c r="M3327" s="5" t="n">
        <v>50</v>
      </c>
      <c r="N3327" s="5" t="n"/>
      <c r="O3327" s="5">
        <f>+M3327+N3327</f>
        <v/>
      </c>
      <c r="P3327" s="4" t="n"/>
      <c r="Q3327" s="87" t="n"/>
      <c r="R3327" s="5" t="n"/>
      <c r="S3327" s="2" t="n"/>
      <c r="T3327" s="3" t="n"/>
      <c r="U3327" s="87" t="n"/>
      <c r="V3327" s="3" t="n"/>
      <c r="W3327" s="108" t="n"/>
      <c r="X3327" s="4" t="n"/>
    </row>
    <row r="3328" ht="24" customHeight="1">
      <c r="A3328" s="2">
        <f>+D3328-S3328</f>
        <v/>
      </c>
      <c r="B3328" s="80" t="n">
        <v>4918</v>
      </c>
      <c r="C3328" s="66" t="n">
        <v>45994</v>
      </c>
      <c r="D3328" s="2" t="n">
        <v>1</v>
      </c>
      <c r="E3328" s="3" t="inlineStr">
        <is>
          <t>REVOLVER</t>
        </is>
      </c>
      <c r="F3328" s="3" t="inlineStr">
        <is>
          <t>38 SP</t>
        </is>
      </c>
      <c r="G3328" s="3" t="inlineStr">
        <is>
          <t>S&amp;W</t>
        </is>
      </c>
      <c r="H3328" s="65" t="inlineStr">
        <is>
          <t>N/A</t>
        </is>
      </c>
      <c r="I3328" s="65" t="inlineStr">
        <is>
          <t>606J63</t>
        </is>
      </c>
      <c r="J3328" s="65" t="inlineStr">
        <is>
          <t>N/A</t>
        </is>
      </c>
      <c r="K3328" s="65" t="inlineStr">
        <is>
          <t>N/D</t>
        </is>
      </c>
      <c r="L3328" s="127" t="inlineStr">
        <is>
          <t>Eredi Safari Sport Severi Gino di Armilli M. Teresa.</t>
        </is>
      </c>
      <c r="M3328" s="5" t="n">
        <v>20</v>
      </c>
      <c r="N3328" s="5" t="n"/>
      <c r="O3328" s="5">
        <f>+M3328+N3328</f>
        <v/>
      </c>
      <c r="P3328" s="4" t="n"/>
      <c r="Q3328" s="87" t="n"/>
      <c r="R3328" s="5" t="n"/>
      <c r="S3328" s="2" t="n"/>
      <c r="T3328" s="3" t="n"/>
      <c r="U3328" s="87" t="n"/>
      <c r="V3328" s="3" t="n"/>
      <c r="W3328" s="108" t="n"/>
      <c r="X3328" s="4" t="n"/>
    </row>
    <row r="3329" ht="24" customHeight="1">
      <c r="A3329" s="2">
        <f>+D3329-S3329</f>
        <v/>
      </c>
      <c r="B3329" s="80" t="n">
        <v>4919</v>
      </c>
      <c r="C3329" s="66" t="n">
        <v>45994</v>
      </c>
      <c r="D3329" s="2" t="n">
        <v>1</v>
      </c>
      <c r="E3329" s="3" t="inlineStr">
        <is>
          <t>REVOLVER</t>
        </is>
      </c>
      <c r="F3329" s="3" t="inlineStr">
        <is>
          <t>38 SP</t>
        </is>
      </c>
      <c r="G3329" s="3" t="inlineStr">
        <is>
          <t>S&amp;W</t>
        </is>
      </c>
      <c r="H3329" s="65" t="inlineStr">
        <is>
          <t>N/A</t>
        </is>
      </c>
      <c r="I3329" s="65" t="inlineStr">
        <is>
          <t>J956489</t>
        </is>
      </c>
      <c r="J3329" s="65" t="inlineStr">
        <is>
          <t>N/A</t>
        </is>
      </c>
      <c r="K3329" s="65" t="inlineStr">
        <is>
          <t>N/D</t>
        </is>
      </c>
      <c r="L3329" s="127" t="inlineStr">
        <is>
          <t>Eredi Safari Sport Severi Gino di Armilli M. Teresa.</t>
        </is>
      </c>
      <c r="M3329" s="5" t="n">
        <v>20</v>
      </c>
      <c r="N3329" s="5" t="n"/>
      <c r="O3329" s="5">
        <f>+M3329+N3329</f>
        <v/>
      </c>
      <c r="P3329" s="4" t="n"/>
      <c r="Q3329" s="87" t="n"/>
      <c r="R3329" s="5" t="n"/>
      <c r="S3329" s="2" t="n"/>
      <c r="T3329" s="3" t="n"/>
      <c r="U3329" s="87" t="n"/>
      <c r="V3329" s="3" t="n"/>
      <c r="W3329" s="108" t="n"/>
      <c r="X3329" s="4" t="n"/>
    </row>
    <row r="3330" ht="24" customHeight="1">
      <c r="A3330" s="2">
        <f>+D3330-S3330</f>
        <v/>
      </c>
      <c r="B3330" s="80" t="n">
        <v>4920</v>
      </c>
      <c r="C3330" s="66" t="n">
        <v>45994</v>
      </c>
      <c r="D3330" s="2" t="n">
        <v>1</v>
      </c>
      <c r="E3330" s="3" t="inlineStr">
        <is>
          <t>PISTOLA SEMIAUTOMATICA</t>
        </is>
      </c>
      <c r="F3330" s="3" t="inlineStr">
        <is>
          <t>9x21</t>
        </is>
      </c>
      <c r="G3330" s="3" t="inlineStr">
        <is>
          <t>BERETTA</t>
        </is>
      </c>
      <c r="H3330" s="65" t="inlineStr">
        <is>
          <t>N/A</t>
        </is>
      </c>
      <c r="I3330" s="65" t="inlineStr">
        <is>
          <t>A002804J</t>
        </is>
      </c>
      <c r="J3330" s="65" t="inlineStr">
        <is>
          <t>N/A</t>
        </is>
      </c>
      <c r="K3330" s="65" t="inlineStr">
        <is>
          <t>N/D</t>
        </is>
      </c>
      <c r="L3330" s="127" t="inlineStr">
        <is>
          <t>Eredi Safari Sport Severi Gino di Armilli M. Teresa.</t>
        </is>
      </c>
      <c r="M3330" s="5" t="n">
        <v>100</v>
      </c>
      <c r="N3330" s="5" t="n"/>
      <c r="O3330" s="5">
        <f>+M3330+N3330</f>
        <v/>
      </c>
      <c r="P3330" s="4" t="n"/>
      <c r="Q3330" s="87" t="n"/>
      <c r="R3330" s="5" t="n"/>
      <c r="S3330" s="2" t="n"/>
      <c r="T3330" s="3" t="n"/>
      <c r="U3330" s="87" t="n"/>
      <c r="V3330" s="3" t="n"/>
      <c r="W3330" s="108" t="n"/>
      <c r="X3330" s="4" t="n"/>
    </row>
    <row r="3331" ht="24" customHeight="1">
      <c r="A3331" s="2">
        <f>+D3331-S3331</f>
        <v/>
      </c>
      <c r="B3331" s="80" t="n">
        <v>4921</v>
      </c>
      <c r="C3331" s="66" t="n">
        <v>45994</v>
      </c>
      <c r="D3331" s="2" t="n">
        <v>1</v>
      </c>
      <c r="E3331" s="3" t="inlineStr">
        <is>
          <t>PISTOLA SEMIAUTOMATICA</t>
        </is>
      </c>
      <c r="F3331" s="3" t="n">
        <v>7.65</v>
      </c>
      <c r="G3331" s="3" t="inlineStr">
        <is>
          <t>BROWNING</t>
        </is>
      </c>
      <c r="H3331" s="65" t="inlineStr">
        <is>
          <t>N/A</t>
        </is>
      </c>
      <c r="I3331" s="65" t="n">
        <v>5000</v>
      </c>
      <c r="J3331" s="65" t="inlineStr">
        <is>
          <t>N/A</t>
        </is>
      </c>
      <c r="K3331" s="65" t="inlineStr">
        <is>
          <t>N/D</t>
        </is>
      </c>
      <c r="L3331" s="127" t="inlineStr">
        <is>
          <t>Eredi Safari Sport Severi Gino di Armilli M. Teresa.</t>
        </is>
      </c>
      <c r="M3331" s="5" t="n">
        <v>400</v>
      </c>
      <c r="N3331" s="5" t="n"/>
      <c r="O3331" s="5">
        <f>+M3331+N3331</f>
        <v/>
      </c>
      <c r="P3331" s="4" t="n"/>
      <c r="Q3331" s="87" t="n"/>
      <c r="R3331" s="5" t="n"/>
      <c r="S3331" s="2" t="n"/>
      <c r="T3331" s="3" t="n"/>
      <c r="U3331" s="87" t="n"/>
      <c r="V3331" s="3" t="n"/>
      <c r="W3331" s="108" t="n"/>
      <c r="X3331" s="4" t="n"/>
    </row>
    <row r="3332" ht="24" customHeight="1">
      <c r="A3332" s="2">
        <f>+D3332-S3332</f>
        <v/>
      </c>
      <c r="B3332" s="80" t="n">
        <v>4922</v>
      </c>
      <c r="C3332" s="66" t="n">
        <v>45994</v>
      </c>
      <c r="D3332" s="2" t="n">
        <v>1</v>
      </c>
      <c r="E3332" s="3" t="inlineStr">
        <is>
          <t>PISTOLA SEMIAUTOMATICA</t>
        </is>
      </c>
      <c r="F3332" s="3" t="inlineStr">
        <is>
          <t>7.65</t>
        </is>
      </c>
      <c r="G3332" s="3" t="inlineStr">
        <is>
          <t>BERNARDELLI</t>
        </is>
      </c>
      <c r="H3332" s="65" t="inlineStr">
        <is>
          <t>N/A</t>
        </is>
      </c>
      <c r="I3332" s="65" t="n">
        <v>103180</v>
      </c>
      <c r="J3332" s="65" t="inlineStr">
        <is>
          <t>N/A</t>
        </is>
      </c>
      <c r="K3332" s="65" t="inlineStr">
        <is>
          <t>N/D</t>
        </is>
      </c>
      <c r="L3332" s="127" t="inlineStr">
        <is>
          <t>Eredi Safari Sport Severi Gino di Armilli M. Teresa.</t>
        </is>
      </c>
      <c r="M3332" s="5" t="n">
        <v>50</v>
      </c>
      <c r="N3332" s="5" t="n"/>
      <c r="O3332" s="5">
        <f>+M3332+N3332</f>
        <v/>
      </c>
      <c r="P3332" s="4" t="n"/>
      <c r="Q3332" s="87" t="n"/>
      <c r="R3332" s="5" t="n"/>
      <c r="S3332" s="2" t="n"/>
      <c r="T3332" s="3" t="n"/>
      <c r="U3332" s="87" t="n"/>
      <c r="V3332" s="3" t="n"/>
      <c r="W3332" s="108" t="n"/>
      <c r="X3332" s="4" t="n"/>
    </row>
    <row r="3333" ht="24" customHeight="1">
      <c r="A3333" s="2">
        <f>+D3333-S3333</f>
        <v/>
      </c>
      <c r="B3333" s="80" t="n">
        <v>4923</v>
      </c>
      <c r="C3333" s="66" t="n">
        <v>45994</v>
      </c>
      <c r="D3333" s="2" t="n">
        <v>1</v>
      </c>
      <c r="E3333" s="3" t="inlineStr">
        <is>
          <t>PISTOLA SEMIAUTOMATICA</t>
        </is>
      </c>
      <c r="F3333" s="3" t="inlineStr">
        <is>
          <t>7.65</t>
        </is>
      </c>
      <c r="G3333" s="3" t="inlineStr">
        <is>
          <t>BERETTA</t>
        </is>
      </c>
      <c r="H3333" s="65" t="inlineStr">
        <is>
          <t>N/A</t>
        </is>
      </c>
      <c r="I3333" s="65" t="inlineStr">
        <is>
          <t>A03108X</t>
        </is>
      </c>
      <c r="J3333" s="65" t="inlineStr">
        <is>
          <t>N/A</t>
        </is>
      </c>
      <c r="K3333" s="65" t="inlineStr">
        <is>
          <t>N/D</t>
        </is>
      </c>
      <c r="L3333" s="127" t="inlineStr">
        <is>
          <t>Eredi Safari Sport Severi Gino di Armilli M. Teresa.</t>
        </is>
      </c>
      <c r="M3333" s="5" t="n">
        <v>50</v>
      </c>
      <c r="N3333" s="5" t="n"/>
      <c r="O3333" s="5">
        <f>+M3333+N3333</f>
        <v/>
      </c>
      <c r="P3333" s="4" t="n"/>
      <c r="Q3333" s="87" t="n"/>
      <c r="R3333" s="5" t="n"/>
      <c r="S3333" s="2" t="n"/>
      <c r="T3333" s="3" t="n"/>
      <c r="U3333" s="87" t="n"/>
      <c r="V3333" s="3" t="n"/>
      <c r="W3333" s="108" t="n"/>
      <c r="X3333" s="4" t="n"/>
    </row>
    <row r="3334" ht="24" customHeight="1">
      <c r="A3334" s="2">
        <f>+D3334-S3334</f>
        <v/>
      </c>
      <c r="B3334" s="80" t="n">
        <v>4924</v>
      </c>
      <c r="C3334" s="66" t="n">
        <v>45994</v>
      </c>
      <c r="D3334" s="2" t="n">
        <v>1</v>
      </c>
      <c r="E3334" s="3" t="inlineStr">
        <is>
          <t>PISTOLA SEMIAUTOMATICA</t>
        </is>
      </c>
      <c r="F3334" s="3" t="inlineStr">
        <is>
          <t>7.65</t>
        </is>
      </c>
      <c r="G3334" s="3" t="inlineStr">
        <is>
          <t>WALTHER</t>
        </is>
      </c>
      <c r="H3334" s="65" t="inlineStr">
        <is>
          <t>N/A</t>
        </is>
      </c>
      <c r="I3334" s="65" t="n">
        <v>360999</v>
      </c>
      <c r="J3334" s="65" t="inlineStr">
        <is>
          <t>N/A</t>
        </is>
      </c>
      <c r="K3334" s="65" t="inlineStr">
        <is>
          <t>N/D</t>
        </is>
      </c>
      <c r="L3334" s="127" t="inlineStr">
        <is>
          <t>Eredi Safari Sport Severi Gino di Armilli M. Teresa.</t>
        </is>
      </c>
      <c r="M3334" s="5" t="n">
        <v>50</v>
      </c>
      <c r="N3334" s="5" t="n"/>
      <c r="O3334" s="5">
        <f>+M3334+N3334</f>
        <v/>
      </c>
      <c r="P3334" s="4" t="n"/>
      <c r="Q3334" s="87" t="n"/>
      <c r="R3334" s="5" t="n"/>
      <c r="S3334" s="2" t="n"/>
      <c r="T3334" s="3" t="n"/>
      <c r="U3334" s="87" t="n"/>
      <c r="V3334" s="3" t="n"/>
      <c r="W3334" s="108" t="n"/>
      <c r="X3334" s="4" t="n"/>
    </row>
    <row r="3335" ht="24" customHeight="1">
      <c r="A3335" s="2">
        <f>+D3335-S3335</f>
        <v/>
      </c>
      <c r="B3335" s="80" t="n">
        <v>4925</v>
      </c>
      <c r="C3335" s="66" t="n">
        <v>45994</v>
      </c>
      <c r="D3335" s="2" t="n">
        <v>1</v>
      </c>
      <c r="E3335" s="3" t="inlineStr">
        <is>
          <t>PISTOLA SEMIAUTOMATICA</t>
        </is>
      </c>
      <c r="F3335" s="3" t="inlineStr">
        <is>
          <t>9x21</t>
        </is>
      </c>
      <c r="G3335" s="3" t="inlineStr">
        <is>
          <t>WALTHER</t>
        </is>
      </c>
      <c r="H3335" s="65" t="inlineStr">
        <is>
          <t>N/A</t>
        </is>
      </c>
      <c r="I3335" s="65" t="inlineStr">
        <is>
          <t>457907</t>
        </is>
      </c>
      <c r="J3335" s="65" t="inlineStr">
        <is>
          <t>N/A</t>
        </is>
      </c>
      <c r="K3335" s="65" t="inlineStr">
        <is>
          <t>N/D</t>
        </is>
      </c>
      <c r="L3335" s="127" t="inlineStr">
        <is>
          <t>Eredi Safari Sport Severi Gino di Armilli M. Teresa.</t>
        </is>
      </c>
      <c r="M3335" s="5" t="n">
        <v>50</v>
      </c>
      <c r="N3335" s="5" t="n"/>
      <c r="O3335" s="5">
        <f>+M3335+N3335</f>
        <v/>
      </c>
      <c r="P3335" s="4" t="n"/>
      <c r="Q3335" s="87" t="n"/>
      <c r="R3335" s="5" t="n"/>
      <c r="S3335" s="2" t="n"/>
      <c r="T3335" s="3" t="n"/>
      <c r="U3335" s="87" t="n"/>
      <c r="V3335" s="3" t="n"/>
      <c r="W3335" s="108" t="n"/>
      <c r="X3335" s="4" t="n"/>
    </row>
    <row r="3336" ht="24" customHeight="1">
      <c r="A3336" s="2">
        <f>+D3336-S3336</f>
        <v/>
      </c>
      <c r="B3336" s="80" t="n">
        <v>4926</v>
      </c>
      <c r="C3336" s="66" t="n">
        <v>45994</v>
      </c>
      <c r="D3336" s="2" t="n">
        <v>1</v>
      </c>
      <c r="E3336" s="3" t="inlineStr">
        <is>
          <t>PISTOLA SEMIAUTOMATICA</t>
        </is>
      </c>
      <c r="F3336" s="3" t="inlineStr">
        <is>
          <t>22 LR</t>
        </is>
      </c>
      <c r="G3336" s="3" t="inlineStr">
        <is>
          <t>HAMMERLI</t>
        </is>
      </c>
      <c r="H3336" s="65" t="inlineStr">
        <is>
          <t>N/A</t>
        </is>
      </c>
      <c r="I3336" s="65" t="inlineStr">
        <is>
          <t>G21303</t>
        </is>
      </c>
      <c r="J3336" s="65" t="inlineStr">
        <is>
          <t>N/A</t>
        </is>
      </c>
      <c r="K3336" s="65" t="inlineStr">
        <is>
          <t>N/D</t>
        </is>
      </c>
      <c r="L3336" s="127" t="inlineStr">
        <is>
          <t>Eredi Safari Sport Severi Gino di Armilli M. Teresa.</t>
        </is>
      </c>
      <c r="M3336" s="5" t="n">
        <v>50</v>
      </c>
      <c r="N3336" s="5" t="n"/>
      <c r="O3336" s="5">
        <f>+M3336+N3336</f>
        <v/>
      </c>
      <c r="P3336" s="4" t="n"/>
      <c r="Q3336" s="87" t="n"/>
      <c r="R3336" s="5" t="n"/>
      <c r="S3336" s="2" t="n"/>
      <c r="T3336" s="3" t="n"/>
      <c r="U3336" s="87" t="n"/>
      <c r="V3336" s="3" t="n"/>
      <c r="W3336" s="108" t="n"/>
      <c r="X3336" s="4" t="n"/>
    </row>
    <row r="3337" ht="24" customHeight="1">
      <c r="A3337" s="2">
        <f>+D3337-S3337</f>
        <v/>
      </c>
      <c r="B3337" s="80" t="n">
        <v>4927</v>
      </c>
      <c r="C3337" s="66" t="n">
        <v>45994</v>
      </c>
      <c r="D3337" s="2" t="n">
        <v>1</v>
      </c>
      <c r="E3337" s="3" t="inlineStr">
        <is>
          <t>PISTOLA SEMIAUTOMATICA</t>
        </is>
      </c>
      <c r="F3337" s="3" t="inlineStr">
        <is>
          <t>32 S&amp;W</t>
        </is>
      </c>
      <c r="G3337" s="3" t="inlineStr">
        <is>
          <t>S&amp;W</t>
        </is>
      </c>
      <c r="H3337" s="65" t="inlineStr">
        <is>
          <t>N/A</t>
        </is>
      </c>
      <c r="I3337" s="65" t="inlineStr">
        <is>
          <t>527054</t>
        </is>
      </c>
      <c r="J3337" s="65" t="inlineStr">
        <is>
          <t>N/A</t>
        </is>
      </c>
      <c r="K3337" s="65" t="inlineStr">
        <is>
          <t>N/D</t>
        </is>
      </c>
      <c r="L3337" s="127" t="inlineStr">
        <is>
          <t>Eredi Safari Sport Severi Gino di Armilli M. Teresa.</t>
        </is>
      </c>
      <c r="M3337" s="5" t="n">
        <v>20</v>
      </c>
      <c r="N3337" s="5" t="n"/>
      <c r="O3337" s="5">
        <f>+M3337+N3337</f>
        <v/>
      </c>
      <c r="P3337" s="4" t="n"/>
      <c r="Q3337" s="87" t="n"/>
      <c r="R3337" s="5" t="n"/>
      <c r="S3337" s="2" t="n"/>
      <c r="T3337" s="3" t="n"/>
      <c r="U3337" s="87" t="n"/>
      <c r="V3337" s="3" t="n"/>
      <c r="W3337" s="108" t="n"/>
      <c r="X3337" s="4" t="n"/>
    </row>
    <row r="3338" ht="24" customHeight="1">
      <c r="A3338" s="2">
        <f>+D3338-S3338</f>
        <v/>
      </c>
      <c r="B3338" s="80" t="n">
        <v>4928</v>
      </c>
      <c r="C3338" s="66" t="n">
        <v>45994</v>
      </c>
      <c r="D3338" s="2" t="n">
        <v>1</v>
      </c>
      <c r="E3338" s="3" t="inlineStr">
        <is>
          <t>PISTOLA SEMIAUTOMATICA</t>
        </is>
      </c>
      <c r="F3338" s="3" t="inlineStr">
        <is>
          <t>9x21</t>
        </is>
      </c>
      <c r="G3338" s="3" t="inlineStr">
        <is>
          <t>BROWNING</t>
        </is>
      </c>
      <c r="H3338" s="65" t="inlineStr">
        <is>
          <t>N/A</t>
        </is>
      </c>
      <c r="I3338" s="65" t="inlineStr">
        <is>
          <t>74924</t>
        </is>
      </c>
      <c r="J3338" s="65" t="inlineStr">
        <is>
          <t>N/A</t>
        </is>
      </c>
      <c r="K3338" s="65" t="inlineStr">
        <is>
          <t>N/D</t>
        </is>
      </c>
      <c r="L3338" s="127" t="inlineStr">
        <is>
          <t>Eredi Safari Sport Severi Gino di Armilli M. Teresa.</t>
        </is>
      </c>
      <c r="M3338" s="5" t="n">
        <v>100</v>
      </c>
      <c r="N3338" s="5" t="n"/>
      <c r="O3338" s="5">
        <f>+M3338+N3338</f>
        <v/>
      </c>
      <c r="P3338" s="4" t="n"/>
      <c r="Q3338" s="87" t="n"/>
      <c r="R3338" s="5" t="n"/>
      <c r="S3338" s="2" t="n"/>
      <c r="T3338" s="3" t="n"/>
      <c r="U3338" s="87" t="n"/>
      <c r="V3338" s="3" t="n"/>
      <c r="W3338" s="108" t="n"/>
      <c r="X3338" s="4" t="n"/>
    </row>
    <row r="3339" ht="24" customHeight="1">
      <c r="A3339" s="2">
        <f>+D3339-S3339</f>
        <v/>
      </c>
      <c r="B3339" s="80" t="n">
        <v>4929</v>
      </c>
      <c r="C3339" s="66" t="n">
        <v>45994</v>
      </c>
      <c r="D3339" s="2" t="n">
        <v>1</v>
      </c>
      <c r="E3339" s="3" t="inlineStr">
        <is>
          <t>PISTOLA SEMIAUTOMATICA</t>
        </is>
      </c>
      <c r="F3339" s="3" t="inlineStr">
        <is>
          <t>22 LR</t>
        </is>
      </c>
      <c r="G3339" s="3" t="inlineStr">
        <is>
          <t>WALTHER</t>
        </is>
      </c>
      <c r="H3339" s="65" t="inlineStr">
        <is>
          <t>N/A</t>
        </is>
      </c>
      <c r="I3339" s="65" t="n">
        <v>72774</v>
      </c>
      <c r="J3339" s="65" t="inlineStr">
        <is>
          <t>N/A</t>
        </is>
      </c>
      <c r="K3339" s="65" t="inlineStr">
        <is>
          <t>N/D</t>
        </is>
      </c>
      <c r="L3339" s="127" t="inlineStr">
        <is>
          <t>Eredi Safari Sport Severi Gino di Armilli M. Teresa.</t>
        </is>
      </c>
      <c r="M3339" s="5" t="n">
        <v>50</v>
      </c>
      <c r="N3339" s="5" t="n"/>
      <c r="O3339" s="5">
        <f>+M3339+N3339</f>
        <v/>
      </c>
      <c r="P3339" s="4" t="n"/>
      <c r="Q3339" s="87" t="n"/>
      <c r="R3339" s="5" t="n"/>
      <c r="S3339" s="2" t="n"/>
      <c r="T3339" s="3" t="n"/>
      <c r="U3339" s="87" t="n"/>
      <c r="V3339" s="3" t="n"/>
      <c r="W3339" s="108" t="n"/>
      <c r="X3339" s="4" t="n"/>
    </row>
    <row r="3340" ht="24" customHeight="1">
      <c r="A3340" s="2">
        <f>+D3340-S3340</f>
        <v/>
      </c>
      <c r="B3340" s="80" t="n">
        <v>4930</v>
      </c>
      <c r="C3340" s="66" t="n">
        <v>45994</v>
      </c>
      <c r="D3340" s="2" t="n">
        <v>1</v>
      </c>
      <c r="E3340" s="3" t="inlineStr">
        <is>
          <t>PISTOLA SEMIAUTOMATICA</t>
        </is>
      </c>
      <c r="F3340" s="3" t="inlineStr">
        <is>
          <t>7.65</t>
        </is>
      </c>
      <c r="G3340" s="3" t="inlineStr">
        <is>
          <t>PP</t>
        </is>
      </c>
      <c r="H3340" s="65" t="inlineStr">
        <is>
          <t>N/A</t>
        </is>
      </c>
      <c r="I3340" s="65" t="inlineStr">
        <is>
          <t>336044</t>
        </is>
      </c>
      <c r="J3340" s="65" t="inlineStr">
        <is>
          <t>N/A</t>
        </is>
      </c>
      <c r="K3340" s="65" t="inlineStr">
        <is>
          <t>N/D</t>
        </is>
      </c>
      <c r="L3340" s="127" t="inlineStr">
        <is>
          <t>Eredi Safari Sport Severi Gino di Armilli M. Teresa.</t>
        </is>
      </c>
      <c r="M3340" s="5" t="n">
        <v>50</v>
      </c>
      <c r="N3340" s="5" t="n"/>
      <c r="O3340" s="5">
        <f>+M3340+N3340</f>
        <v/>
      </c>
      <c r="P3340" s="4" t="n"/>
      <c r="Q3340" s="87" t="n"/>
      <c r="R3340" s="5" t="n"/>
      <c r="S3340" s="2" t="n"/>
      <c r="T3340" s="3" t="n"/>
      <c r="U3340" s="87" t="n"/>
      <c r="V3340" s="3" t="n"/>
      <c r="W3340" s="108" t="n"/>
      <c r="X3340" s="4" t="n"/>
    </row>
    <row r="3341" ht="24" customHeight="1">
      <c r="A3341" s="2">
        <f>+D3341-S3341</f>
        <v/>
      </c>
      <c r="B3341" s="80" t="n">
        <v>4931</v>
      </c>
      <c r="C3341" s="66" t="n">
        <v>45994</v>
      </c>
      <c r="D3341" s="2" t="n">
        <v>1</v>
      </c>
      <c r="E3341" s="3" t="inlineStr">
        <is>
          <t>REVOLVER</t>
        </is>
      </c>
      <c r="F3341" s="3" t="inlineStr">
        <is>
          <t>38</t>
        </is>
      </c>
      <c r="G3341" s="3" t="inlineStr">
        <is>
          <t>S&amp;W</t>
        </is>
      </c>
      <c r="H3341" s="65" t="inlineStr">
        <is>
          <t>N/A</t>
        </is>
      </c>
      <c r="I3341" s="65" t="inlineStr">
        <is>
          <t>BRN1926</t>
        </is>
      </c>
      <c r="J3341" s="65" t="inlineStr">
        <is>
          <t>N/A</t>
        </is>
      </c>
      <c r="K3341" s="65" t="inlineStr">
        <is>
          <t>N/D</t>
        </is>
      </c>
      <c r="L3341" s="127" t="inlineStr">
        <is>
          <t>Eredi Safari Sport Severi Gino di Armilli M. Teresa.</t>
        </is>
      </c>
      <c r="M3341" s="5" t="n">
        <v>20</v>
      </c>
      <c r="N3341" s="5" t="n"/>
      <c r="O3341" s="5">
        <f>+M3341+N3341</f>
        <v/>
      </c>
      <c r="P3341" s="4" t="n"/>
      <c r="Q3341" s="87" t="n"/>
      <c r="R3341" s="5" t="n"/>
      <c r="S3341" s="2" t="n"/>
      <c r="T3341" s="3" t="n"/>
      <c r="U3341" s="87" t="n"/>
      <c r="V3341" s="3" t="n"/>
      <c r="W3341" s="108" t="n"/>
      <c r="X3341" s="4" t="n"/>
    </row>
    <row r="3342" ht="24" customHeight="1">
      <c r="A3342" s="2">
        <f>+D3342-S3342</f>
        <v/>
      </c>
      <c r="B3342" s="80" t="n">
        <v>4932</v>
      </c>
      <c r="C3342" s="66" t="n">
        <v>45994</v>
      </c>
      <c r="D3342" s="2" t="n">
        <v>1</v>
      </c>
      <c r="E3342" s="3" t="inlineStr">
        <is>
          <t>REVOLVER</t>
        </is>
      </c>
      <c r="F3342" s="3" t="inlineStr">
        <is>
          <t>38</t>
        </is>
      </c>
      <c r="G3342" s="3" t="inlineStr">
        <is>
          <t>S&amp;W</t>
        </is>
      </c>
      <c r="H3342" s="65" t="inlineStr">
        <is>
          <t>N/A</t>
        </is>
      </c>
      <c r="I3342" s="65" t="inlineStr">
        <is>
          <t>BAB0043</t>
        </is>
      </c>
      <c r="J3342" s="65" t="inlineStr">
        <is>
          <t>N/A</t>
        </is>
      </c>
      <c r="K3342" s="65" t="inlineStr">
        <is>
          <t>N/D</t>
        </is>
      </c>
      <c r="L3342" s="127" t="inlineStr">
        <is>
          <t>Eredi Safari Sport Severi Gino di Armilli M. Teresa.</t>
        </is>
      </c>
      <c r="M3342" s="5" t="n">
        <v>20</v>
      </c>
      <c r="N3342" s="5" t="n"/>
      <c r="O3342" s="5">
        <f>+M3342+N3342</f>
        <v/>
      </c>
      <c r="P3342" s="4" t="n"/>
      <c r="Q3342" s="87" t="n"/>
      <c r="R3342" s="5" t="n"/>
      <c r="S3342" s="2" t="n"/>
      <c r="T3342" s="3" t="n"/>
      <c r="U3342" s="87" t="n"/>
      <c r="V3342" s="3" t="n"/>
      <c r="W3342" s="108" t="n"/>
      <c r="X3342" s="4" t="n"/>
    </row>
    <row r="3343" ht="24" customHeight="1">
      <c r="A3343" s="2">
        <f>+D3343-S3343</f>
        <v/>
      </c>
      <c r="B3343" s="80" t="n">
        <v>4933</v>
      </c>
      <c r="C3343" s="66" t="n">
        <v>45994</v>
      </c>
      <c r="D3343" s="2" t="n">
        <v>1</v>
      </c>
      <c r="E3343" s="3" t="inlineStr">
        <is>
          <t>REVOLVER</t>
        </is>
      </c>
      <c r="F3343" s="3" t="inlineStr">
        <is>
          <t>38</t>
        </is>
      </c>
      <c r="G3343" s="3" t="inlineStr">
        <is>
          <t>COLT</t>
        </is>
      </c>
      <c r="H3343" s="65" t="inlineStr">
        <is>
          <t>N/A</t>
        </is>
      </c>
      <c r="I3343" s="65" t="inlineStr">
        <is>
          <t>872356</t>
        </is>
      </c>
      <c r="J3343" s="65" t="inlineStr">
        <is>
          <t>N/A</t>
        </is>
      </c>
      <c r="K3343" s="65" t="inlineStr">
        <is>
          <t>N/D</t>
        </is>
      </c>
      <c r="L3343" s="127" t="inlineStr">
        <is>
          <t>Eredi Safari Sport Severi Gino di Armilli M. Teresa.</t>
        </is>
      </c>
      <c r="M3343" s="5" t="n">
        <v>20</v>
      </c>
      <c r="N3343" s="5" t="n"/>
      <c r="O3343" s="5">
        <f>+M3343+N3343</f>
        <v/>
      </c>
      <c r="P3343" s="4" t="n"/>
      <c r="Q3343" s="87" t="n"/>
      <c r="R3343" s="5" t="n"/>
      <c r="S3343" s="2" t="n"/>
      <c r="T3343" s="3" t="n"/>
      <c r="U3343" s="87" t="n"/>
      <c r="V3343" s="3" t="n"/>
      <c r="W3343" s="108" t="n"/>
      <c r="X3343" s="4" t="n"/>
    </row>
    <row r="3344" ht="24" customHeight="1">
      <c r="A3344" s="2">
        <f>+D3344-S3344</f>
        <v/>
      </c>
      <c r="B3344" s="80" t="n">
        <v>4934</v>
      </c>
      <c r="C3344" s="66" t="n">
        <v>45994</v>
      </c>
      <c r="D3344" s="2" t="n">
        <v>1</v>
      </c>
      <c r="E3344" s="3" t="inlineStr">
        <is>
          <t>REVOLVER</t>
        </is>
      </c>
      <c r="F3344" s="3" t="inlineStr">
        <is>
          <t>38</t>
        </is>
      </c>
      <c r="G3344" s="3" t="inlineStr">
        <is>
          <t>COLT</t>
        </is>
      </c>
      <c r="H3344" s="65" t="inlineStr">
        <is>
          <t>N/A</t>
        </is>
      </c>
      <c r="I3344" s="65" t="inlineStr">
        <is>
          <t>C07565</t>
        </is>
      </c>
      <c r="J3344" s="65" t="inlineStr">
        <is>
          <t>N/A</t>
        </is>
      </c>
      <c r="K3344" s="65" t="inlineStr">
        <is>
          <t>N/D</t>
        </is>
      </c>
      <c r="L3344" s="127" t="inlineStr">
        <is>
          <t>Eredi Safari Sport Severi Gino di Armilli M. Teresa.</t>
        </is>
      </c>
      <c r="M3344" s="5" t="n">
        <v>20</v>
      </c>
      <c r="N3344" s="5" t="n"/>
      <c r="O3344" s="5">
        <f>+M3344+N3344</f>
        <v/>
      </c>
      <c r="P3344" s="4" t="n"/>
      <c r="Q3344" s="87" t="n"/>
      <c r="R3344" s="5" t="n"/>
      <c r="S3344" s="2" t="n"/>
      <c r="T3344" s="3" t="n"/>
      <c r="U3344" s="87" t="n"/>
      <c r="V3344" s="3" t="n"/>
      <c r="W3344" s="108" t="n"/>
      <c r="X3344" s="4" t="n"/>
    </row>
    <row r="3345" ht="24" customHeight="1">
      <c r="A3345" s="2">
        <f>+D3345-S3345</f>
        <v/>
      </c>
      <c r="B3345" s="80" t="n">
        <v>4935</v>
      </c>
      <c r="C3345" s="66" t="n">
        <v>45994</v>
      </c>
      <c r="D3345" s="2" t="n">
        <v>1</v>
      </c>
      <c r="E3345" s="3" t="inlineStr">
        <is>
          <t>REVOLVER</t>
        </is>
      </c>
      <c r="F3345" s="3" t="inlineStr">
        <is>
          <t>38</t>
        </is>
      </c>
      <c r="G3345" s="3" t="inlineStr">
        <is>
          <t>S&amp;W</t>
        </is>
      </c>
      <c r="H3345" s="65" t="inlineStr">
        <is>
          <t>N/A</t>
        </is>
      </c>
      <c r="I3345" s="65" t="inlineStr">
        <is>
          <t>626283</t>
        </is>
      </c>
      <c r="J3345" s="65" t="inlineStr">
        <is>
          <t>N/A</t>
        </is>
      </c>
      <c r="K3345" s="65" t="inlineStr">
        <is>
          <t>N/D</t>
        </is>
      </c>
      <c r="L3345" s="127" t="inlineStr">
        <is>
          <t>Eredi Safari Sport Severi Gino di Armilli M. Teresa.</t>
        </is>
      </c>
      <c r="M3345" s="5" t="n">
        <v>20</v>
      </c>
      <c r="N3345" s="5" t="n"/>
      <c r="O3345" s="5">
        <f>+M3345+N3345</f>
        <v/>
      </c>
      <c r="P3345" s="4" t="n"/>
      <c r="Q3345" s="87" t="n"/>
      <c r="R3345" s="5" t="n"/>
      <c r="S3345" s="2" t="n"/>
      <c r="T3345" s="3" t="n"/>
      <c r="U3345" s="87" t="n"/>
      <c r="V3345" s="3" t="n"/>
      <c r="W3345" s="108" t="n"/>
      <c r="X3345" s="4" t="n"/>
    </row>
    <row r="3346" ht="24" customHeight="1">
      <c r="A3346" s="2">
        <f>+D3346-S3346</f>
        <v/>
      </c>
      <c r="B3346" s="80" t="n">
        <v>4936</v>
      </c>
      <c r="C3346" s="66" t="n">
        <v>45994</v>
      </c>
      <c r="D3346" s="2" t="n">
        <v>1</v>
      </c>
      <c r="E3346" s="3" t="inlineStr">
        <is>
          <t>REVOLVER</t>
        </is>
      </c>
      <c r="F3346" s="3" t="inlineStr">
        <is>
          <t>38 SP</t>
        </is>
      </c>
      <c r="G3346" s="3" t="inlineStr">
        <is>
          <t>COLT</t>
        </is>
      </c>
      <c r="H3346" s="65" t="inlineStr">
        <is>
          <t>N/A</t>
        </is>
      </c>
      <c r="I3346" s="65" t="inlineStr">
        <is>
          <t>214520</t>
        </is>
      </c>
      <c r="J3346" s="65" t="inlineStr">
        <is>
          <t>N/A</t>
        </is>
      </c>
      <c r="K3346" s="65" t="inlineStr">
        <is>
          <t>N/D</t>
        </is>
      </c>
      <c r="L3346" s="127" t="inlineStr">
        <is>
          <t>Eredi Safari Sport Severi Gino di Armilli M. Teresa.</t>
        </is>
      </c>
      <c r="M3346" s="5" t="n">
        <v>60</v>
      </c>
      <c r="N3346" s="5" t="n"/>
      <c r="O3346" s="5">
        <f>+M3346+N3346</f>
        <v/>
      </c>
      <c r="P3346" s="4" t="n"/>
      <c r="Q3346" s="87" t="n"/>
      <c r="R3346" s="5" t="n"/>
      <c r="S3346" s="2" t="n"/>
      <c r="T3346" s="3" t="n"/>
      <c r="U3346" s="87" t="n"/>
      <c r="V3346" s="3" t="n"/>
      <c r="W3346" s="108" t="n"/>
      <c r="X3346" s="4" t="n"/>
    </row>
    <row r="3347" ht="24" customHeight="1">
      <c r="A3347" s="2">
        <f>+D3347-S3347</f>
        <v/>
      </c>
      <c r="B3347" s="80" t="n">
        <v>4937</v>
      </c>
      <c r="C3347" s="66" t="n">
        <v>45994</v>
      </c>
      <c r="D3347" s="2" t="n">
        <v>1</v>
      </c>
      <c r="E3347" s="3" t="inlineStr">
        <is>
          <t>REVOLVER</t>
        </is>
      </c>
      <c r="F3347" s="3" t="inlineStr">
        <is>
          <t>38</t>
        </is>
      </c>
      <c r="G3347" s="3" t="inlineStr">
        <is>
          <t>WEIHRAUCH</t>
        </is>
      </c>
      <c r="H3347" s="65" t="inlineStr">
        <is>
          <t>N/A</t>
        </is>
      </c>
      <c r="I3347" s="65" t="n">
        <v>1545754</v>
      </c>
      <c r="J3347" s="65" t="inlineStr">
        <is>
          <t>N/A</t>
        </is>
      </c>
      <c r="K3347" s="65" t="inlineStr">
        <is>
          <t>N/D</t>
        </is>
      </c>
      <c r="L3347" s="127" t="inlineStr">
        <is>
          <t>Eredi Safari Sport Severi Gino di Armilli M. Teresa.</t>
        </is>
      </c>
      <c r="M3347" s="5" t="n">
        <v>60</v>
      </c>
      <c r="N3347" s="5" t="n"/>
      <c r="O3347" s="5">
        <f>+M3347+N3347</f>
        <v/>
      </c>
      <c r="P3347" s="4" t="n"/>
      <c r="Q3347" s="87" t="n"/>
      <c r="R3347" s="5" t="n"/>
      <c r="S3347" s="2" t="n"/>
      <c r="T3347" s="3" t="n"/>
      <c r="U3347" s="87" t="n"/>
      <c r="V3347" s="3" t="n"/>
      <c r="W3347" s="108" t="n"/>
      <c r="X3347" s="4" t="n"/>
    </row>
    <row r="3348" ht="24" customHeight="1">
      <c r="A3348" s="2">
        <f>+D3348-S3348</f>
        <v/>
      </c>
      <c r="B3348" s="80" t="n">
        <v>4938</v>
      </c>
      <c r="C3348" s="66" t="n">
        <v>45994</v>
      </c>
      <c r="D3348" s="2" t="n">
        <v>1</v>
      </c>
      <c r="E3348" s="3" t="inlineStr">
        <is>
          <t>REVOLVER</t>
        </is>
      </c>
      <c r="F3348" s="3" t="inlineStr">
        <is>
          <t>38</t>
        </is>
      </c>
      <c r="G3348" s="3" t="inlineStr">
        <is>
          <t>TAURUS</t>
        </is>
      </c>
      <c r="H3348" s="65" t="inlineStr">
        <is>
          <t>N/A</t>
        </is>
      </c>
      <c r="I3348" s="65" t="inlineStr">
        <is>
          <t>VE64064</t>
        </is>
      </c>
      <c r="J3348" s="65" t="inlineStr">
        <is>
          <t>N/A</t>
        </is>
      </c>
      <c r="K3348" s="65" t="inlineStr">
        <is>
          <t>N/D</t>
        </is>
      </c>
      <c r="L3348" s="127" t="inlineStr">
        <is>
          <t>Eredi Safari Sport Severi Gino di Armilli M. Teresa.</t>
        </is>
      </c>
      <c r="M3348" s="5" t="n">
        <v>60</v>
      </c>
      <c r="N3348" s="5" t="n"/>
      <c r="O3348" s="5">
        <f>+M3348+N3348</f>
        <v/>
      </c>
      <c r="P3348" s="4" t="n"/>
      <c r="Q3348" s="87" t="n"/>
      <c r="R3348" s="5" t="n"/>
      <c r="S3348" s="2" t="n"/>
      <c r="T3348" s="3" t="n"/>
      <c r="U3348" s="87" t="n"/>
      <c r="V3348" s="3" t="n"/>
      <c r="W3348" s="108" t="n"/>
      <c r="X3348" s="4" t="n"/>
    </row>
    <row r="3349" ht="24" customHeight="1">
      <c r="A3349" s="2">
        <f>+D3349-S3349</f>
        <v/>
      </c>
      <c r="B3349" s="80" t="n">
        <v>4939</v>
      </c>
      <c r="C3349" s="66" t="n">
        <v>45994</v>
      </c>
      <c r="D3349" s="2" t="n">
        <v>1</v>
      </c>
      <c r="E3349" s="3" t="inlineStr">
        <is>
          <t>REVOLVER</t>
        </is>
      </c>
      <c r="F3349" s="3" t="inlineStr">
        <is>
          <t>38</t>
        </is>
      </c>
      <c r="G3349" s="3" t="inlineStr">
        <is>
          <t>COLT</t>
        </is>
      </c>
      <c r="H3349" s="65" t="inlineStr">
        <is>
          <t>N/A</t>
        </is>
      </c>
      <c r="I3349" s="65" t="inlineStr">
        <is>
          <t>H51205</t>
        </is>
      </c>
      <c r="J3349" s="65" t="inlineStr">
        <is>
          <t>N/A</t>
        </is>
      </c>
      <c r="K3349" s="65" t="inlineStr">
        <is>
          <t>N/D</t>
        </is>
      </c>
      <c r="L3349" s="127" t="inlineStr">
        <is>
          <t>Eredi Safari Sport Severi Gino di Armilli M. Teresa.</t>
        </is>
      </c>
      <c r="M3349" s="5" t="n">
        <v>60</v>
      </c>
      <c r="N3349" s="5" t="n"/>
      <c r="O3349" s="5">
        <f>+M3349+N3349</f>
        <v/>
      </c>
      <c r="P3349" s="4" t="n"/>
      <c r="Q3349" s="87" t="n"/>
      <c r="R3349" s="5" t="n"/>
      <c r="S3349" s="2" t="n"/>
      <c r="T3349" s="3" t="n"/>
      <c r="U3349" s="87" t="n"/>
      <c r="V3349" s="3" t="n"/>
      <c r="W3349" s="108" t="n"/>
      <c r="X3349" s="4" t="n"/>
    </row>
    <row r="3350" ht="24" customHeight="1">
      <c r="A3350" s="2">
        <f>+D3350-S3350</f>
        <v/>
      </c>
      <c r="B3350" s="80" t="n">
        <v>4940</v>
      </c>
      <c r="C3350" s="66" t="n">
        <v>45994</v>
      </c>
      <c r="D3350" s="2" t="n">
        <v>1</v>
      </c>
      <c r="E3350" s="3" t="inlineStr">
        <is>
          <t>REVOLVER</t>
        </is>
      </c>
      <c r="F3350" s="3" t="inlineStr">
        <is>
          <t>38</t>
        </is>
      </c>
      <c r="G3350" s="3" t="inlineStr">
        <is>
          <t>S&amp;W</t>
        </is>
      </c>
      <c r="H3350" s="65" t="inlineStr">
        <is>
          <t>N/A</t>
        </is>
      </c>
      <c r="I3350" s="65" t="inlineStr">
        <is>
          <t>BSU8434</t>
        </is>
      </c>
      <c r="J3350" s="65" t="inlineStr">
        <is>
          <t>N/A</t>
        </is>
      </c>
      <c r="K3350" s="65" t="inlineStr">
        <is>
          <t>N/D</t>
        </is>
      </c>
      <c r="L3350" s="127" t="inlineStr">
        <is>
          <t>Eredi Safari Sport Severi Gino di Armilli M. Teresa.</t>
        </is>
      </c>
      <c r="M3350" s="5" t="n">
        <v>60</v>
      </c>
      <c r="N3350" s="5" t="n"/>
      <c r="O3350" s="5">
        <f>+M3350+N3350</f>
        <v/>
      </c>
      <c r="P3350" s="4" t="n"/>
      <c r="Q3350" s="87" t="n"/>
      <c r="R3350" s="5" t="n"/>
      <c r="S3350" s="2" t="n"/>
      <c r="T3350" s="3" t="n"/>
      <c r="U3350" s="87" t="n"/>
      <c r="V3350" s="3" t="n"/>
      <c r="W3350" s="108" t="n"/>
      <c r="X3350" s="4" t="n"/>
    </row>
    <row r="3351" ht="24" customHeight="1">
      <c r="A3351" s="2">
        <f>+D3351-S3351</f>
        <v/>
      </c>
      <c r="B3351" s="80" t="n">
        <v>4941</v>
      </c>
      <c r="C3351" s="66" t="n">
        <v>45994</v>
      </c>
      <c r="D3351" s="2" t="n">
        <v>1</v>
      </c>
      <c r="E3351" s="3" t="inlineStr">
        <is>
          <t>REVOLVER</t>
        </is>
      </c>
      <c r="F3351" s="3" t="inlineStr">
        <is>
          <t>38</t>
        </is>
      </c>
      <c r="G3351" s="3" t="inlineStr">
        <is>
          <t>S&amp;W</t>
        </is>
      </c>
      <c r="H3351" s="65" t="inlineStr">
        <is>
          <t>N/A</t>
        </is>
      </c>
      <c r="I3351" s="65" t="inlineStr">
        <is>
          <t>7J5964</t>
        </is>
      </c>
      <c r="J3351" s="65" t="inlineStr">
        <is>
          <t>N/A</t>
        </is>
      </c>
      <c r="K3351" s="65" t="inlineStr">
        <is>
          <t>N/D</t>
        </is>
      </c>
      <c r="L3351" s="127" t="inlineStr">
        <is>
          <t>Eredi Safari Sport Severi Gino di Armilli M. Teresa.</t>
        </is>
      </c>
      <c r="M3351" s="5" t="n">
        <v>60</v>
      </c>
      <c r="N3351" s="5" t="n"/>
      <c r="O3351" s="5">
        <f>+M3351+N3351</f>
        <v/>
      </c>
      <c r="P3351" s="4" t="n"/>
      <c r="Q3351" s="87" t="n"/>
      <c r="R3351" s="5" t="n"/>
      <c r="S3351" s="2" t="n"/>
      <c r="T3351" s="3" t="n"/>
      <c r="U3351" s="87" t="n"/>
      <c r="V3351" s="3" t="n"/>
      <c r="W3351" s="108" t="n"/>
      <c r="X3351" s="4" t="n"/>
    </row>
    <row r="3352" ht="24" customHeight="1">
      <c r="A3352" s="2">
        <f>+D3352-S3352</f>
        <v/>
      </c>
      <c r="B3352" s="80" t="n">
        <v>4942</v>
      </c>
      <c r="C3352" s="66" t="n">
        <v>45994</v>
      </c>
      <c r="D3352" s="2" t="n">
        <v>1</v>
      </c>
      <c r="E3352" s="3" t="inlineStr">
        <is>
          <t>REVOLVER</t>
        </is>
      </c>
      <c r="F3352" s="3" t="inlineStr">
        <is>
          <t>38</t>
        </is>
      </c>
      <c r="G3352" s="3" t="inlineStr">
        <is>
          <t>S&amp;W</t>
        </is>
      </c>
      <c r="H3352" s="65" t="inlineStr">
        <is>
          <t>N/A</t>
        </is>
      </c>
      <c r="I3352" s="65" t="inlineStr">
        <is>
          <t>BFN3478</t>
        </is>
      </c>
      <c r="J3352" s="65" t="inlineStr">
        <is>
          <t>N/A</t>
        </is>
      </c>
      <c r="K3352" s="65" t="inlineStr">
        <is>
          <t>N/D</t>
        </is>
      </c>
      <c r="L3352" s="127" t="inlineStr">
        <is>
          <t>Eredi Safari Sport Severi Gino di Armilli M. Teresa.</t>
        </is>
      </c>
      <c r="M3352" s="5" t="n">
        <v>60</v>
      </c>
      <c r="N3352" s="5" t="n"/>
      <c r="O3352" s="5">
        <f>+M3352+N3352</f>
        <v/>
      </c>
      <c r="P3352" s="4" t="n"/>
      <c r="Q3352" s="87" t="n"/>
      <c r="R3352" s="5" t="n"/>
      <c r="S3352" s="2" t="n"/>
      <c r="T3352" s="3" t="n"/>
      <c r="U3352" s="87" t="n"/>
      <c r="V3352" s="3" t="n"/>
      <c r="W3352" s="108" t="n"/>
      <c r="X3352" s="4" t="n"/>
    </row>
    <row r="3353" ht="24" customHeight="1">
      <c r="A3353" s="2">
        <f>+D3353-S3353</f>
        <v/>
      </c>
      <c r="B3353" s="80" t="n">
        <v>4943</v>
      </c>
      <c r="C3353" s="66" t="n">
        <v>45994</v>
      </c>
      <c r="D3353" s="2" t="n">
        <v>1</v>
      </c>
      <c r="E3353" s="3" t="inlineStr">
        <is>
          <t>REVOLVER</t>
        </is>
      </c>
      <c r="F3353" s="3" t="inlineStr">
        <is>
          <t>38</t>
        </is>
      </c>
      <c r="G3353" s="3" t="inlineStr">
        <is>
          <t>RENATO G</t>
        </is>
      </c>
      <c r="H3353" s="65" t="inlineStr">
        <is>
          <t>N/A</t>
        </is>
      </c>
      <c r="I3353" s="65" t="inlineStr">
        <is>
          <t>06044</t>
        </is>
      </c>
      <c r="J3353" s="65" t="inlineStr">
        <is>
          <t>N/A</t>
        </is>
      </c>
      <c r="K3353" s="65" t="inlineStr">
        <is>
          <t>N/D</t>
        </is>
      </c>
      <c r="L3353" s="127" t="inlineStr">
        <is>
          <t>Eredi Safari Sport Severi Gino di Armilli M. Teresa.</t>
        </is>
      </c>
      <c r="M3353" s="5" t="n">
        <v>60</v>
      </c>
      <c r="N3353" s="5" t="n"/>
      <c r="O3353" s="5">
        <f>+M3353+N3353</f>
        <v/>
      </c>
      <c r="P3353" s="4" t="n"/>
      <c r="Q3353" s="87" t="n"/>
      <c r="R3353" s="5" t="n"/>
      <c r="S3353" s="2" t="n"/>
      <c r="T3353" s="3" t="n"/>
      <c r="U3353" s="87" t="n"/>
      <c r="V3353" s="3" t="n"/>
      <c r="W3353" s="108" t="n"/>
      <c r="X3353" s="4" t="n"/>
    </row>
    <row r="3354" ht="24" customHeight="1">
      <c r="A3354" s="2">
        <f>+D3354-S3354</f>
        <v/>
      </c>
      <c r="B3354" s="80" t="n">
        <v>4944</v>
      </c>
      <c r="C3354" s="66" t="n">
        <v>45994</v>
      </c>
      <c r="D3354" s="2" t="n">
        <v>1</v>
      </c>
      <c r="E3354" s="3" t="inlineStr">
        <is>
          <t>REVOLVER</t>
        </is>
      </c>
      <c r="F3354" s="3" t="inlineStr">
        <is>
          <t>38</t>
        </is>
      </c>
      <c r="G3354" s="3" t="inlineStr">
        <is>
          <t>COLT</t>
        </is>
      </c>
      <c r="H3354" s="65" t="inlineStr">
        <is>
          <t>N/A</t>
        </is>
      </c>
      <c r="I3354" s="65" t="inlineStr">
        <is>
          <t>H61732</t>
        </is>
      </c>
      <c r="J3354" s="65" t="inlineStr">
        <is>
          <t>N/A</t>
        </is>
      </c>
      <c r="K3354" s="65" t="inlineStr">
        <is>
          <t>N/D</t>
        </is>
      </c>
      <c r="L3354" s="127" t="inlineStr">
        <is>
          <t>Eredi Safari Sport Severi Gino di Armilli M. Teresa.</t>
        </is>
      </c>
      <c r="M3354" s="5" t="n">
        <v>60</v>
      </c>
      <c r="N3354" s="5" t="n"/>
      <c r="O3354" s="5">
        <f>+M3354+N3354</f>
        <v/>
      </c>
      <c r="P3354" s="4" t="n"/>
      <c r="Q3354" s="87" t="n"/>
      <c r="R3354" s="5" t="n"/>
      <c r="S3354" s="2" t="n"/>
      <c r="T3354" s="3" t="n"/>
      <c r="U3354" s="87" t="n"/>
      <c r="V3354" s="3" t="n"/>
      <c r="W3354" s="108" t="n"/>
      <c r="X3354" s="4" t="n"/>
    </row>
    <row r="3355" ht="24" customHeight="1">
      <c r="A3355" s="2">
        <f>+D3355-S3355</f>
        <v/>
      </c>
      <c r="B3355" s="80" t="n">
        <v>4945</v>
      </c>
      <c r="C3355" s="66" t="n">
        <v>45994</v>
      </c>
      <c r="D3355" s="2" t="n">
        <v>1</v>
      </c>
      <c r="E3355" s="3" t="inlineStr">
        <is>
          <t>REVOLVER</t>
        </is>
      </c>
      <c r="F3355" s="3" t="inlineStr">
        <is>
          <t>38</t>
        </is>
      </c>
      <c r="G3355" s="3" t="inlineStr">
        <is>
          <t>S&amp;W</t>
        </is>
      </c>
      <c r="H3355" s="65" t="inlineStr">
        <is>
          <t>N/A</t>
        </is>
      </c>
      <c r="I3355" s="65" t="inlineStr">
        <is>
          <t>R18855</t>
        </is>
      </c>
      <c r="J3355" s="65" t="inlineStr">
        <is>
          <t>N/A</t>
        </is>
      </c>
      <c r="K3355" s="65" t="inlineStr">
        <is>
          <t>N/D</t>
        </is>
      </c>
      <c r="L3355" s="127" t="inlineStr">
        <is>
          <t>Eredi Safari Sport Severi Gino di Armilli M. Teresa.</t>
        </is>
      </c>
      <c r="M3355" s="5" t="n">
        <v>60</v>
      </c>
      <c r="N3355" s="5" t="n"/>
      <c r="O3355" s="5">
        <f>+M3355+N3355</f>
        <v/>
      </c>
      <c r="P3355" s="4" t="n"/>
      <c r="Q3355" s="87" t="n"/>
      <c r="R3355" s="5" t="n"/>
      <c r="S3355" s="2" t="n"/>
      <c r="T3355" s="3" t="n"/>
      <c r="U3355" s="87" t="n"/>
      <c r="V3355" s="3" t="n"/>
      <c r="W3355" s="108" t="n"/>
      <c r="X3355" s="4" t="n"/>
    </row>
    <row r="3356" ht="24" customHeight="1">
      <c r="A3356" s="2">
        <f>+D3356-S3356</f>
        <v/>
      </c>
      <c r="B3356" s="80" t="n">
        <v>4946</v>
      </c>
      <c r="C3356" s="66" t="n">
        <v>45994</v>
      </c>
      <c r="D3356" s="2" t="n">
        <v>1</v>
      </c>
      <c r="E3356" s="3" t="inlineStr">
        <is>
          <t>REVOLVER</t>
        </is>
      </c>
      <c r="F3356" s="3" t="inlineStr">
        <is>
          <t>38</t>
        </is>
      </c>
      <c r="G3356" s="3" t="inlineStr">
        <is>
          <t>COLT</t>
        </is>
      </c>
      <c r="H3356" s="65" t="inlineStr">
        <is>
          <t>N/A</t>
        </is>
      </c>
      <c r="I3356" s="65" t="inlineStr">
        <is>
          <t>552038</t>
        </is>
      </c>
      <c r="J3356" s="65" t="inlineStr">
        <is>
          <t>N/A</t>
        </is>
      </c>
      <c r="K3356" s="65" t="inlineStr">
        <is>
          <t>N/D</t>
        </is>
      </c>
      <c r="L3356" s="127" t="inlineStr">
        <is>
          <t>Eredi Safari Sport Severi Gino di Armilli M. Teresa.</t>
        </is>
      </c>
      <c r="M3356" s="5" t="n">
        <v>60</v>
      </c>
      <c r="N3356" s="5" t="n"/>
      <c r="O3356" s="5">
        <f>+M3356+N3356</f>
        <v/>
      </c>
      <c r="P3356" s="4" t="n"/>
      <c r="Q3356" s="87" t="n"/>
      <c r="R3356" s="5" t="n"/>
      <c r="S3356" s="2" t="n"/>
      <c r="T3356" s="3" t="n"/>
      <c r="U3356" s="87" t="n"/>
      <c r="V3356" s="3" t="n"/>
      <c r="W3356" s="108" t="n"/>
      <c r="X3356" s="4" t="n"/>
    </row>
    <row r="3357" ht="24" customHeight="1">
      <c r="A3357" s="2">
        <f>+D3357-S3357</f>
        <v/>
      </c>
      <c r="B3357" s="80" t="n">
        <v>4947</v>
      </c>
      <c r="C3357" s="66" t="n">
        <v>45994</v>
      </c>
      <c r="D3357" s="2" t="n">
        <v>1</v>
      </c>
      <c r="E3357" s="3" t="inlineStr">
        <is>
          <t>REVOLVER</t>
        </is>
      </c>
      <c r="F3357" s="3" t="inlineStr">
        <is>
          <t>38</t>
        </is>
      </c>
      <c r="G3357" s="3" t="inlineStr">
        <is>
          <t>S&amp;W</t>
        </is>
      </c>
      <c r="H3357" s="65" t="inlineStr">
        <is>
          <t>N/A</t>
        </is>
      </c>
      <c r="I3357" s="65" t="inlineStr">
        <is>
          <t>K527150</t>
        </is>
      </c>
      <c r="J3357" s="65" t="inlineStr">
        <is>
          <t>N/A</t>
        </is>
      </c>
      <c r="K3357" s="65" t="inlineStr">
        <is>
          <t>N/D</t>
        </is>
      </c>
      <c r="L3357" s="127" t="inlineStr">
        <is>
          <t>Eredi Safari Sport Severi Gino di Armilli M. Teresa.</t>
        </is>
      </c>
      <c r="M3357" s="5" t="n">
        <v>60</v>
      </c>
      <c r="N3357" s="5" t="n"/>
      <c r="O3357" s="5">
        <f>+M3357+N3357</f>
        <v/>
      </c>
      <c r="P3357" s="4" t="n"/>
      <c r="Q3357" s="87" t="n"/>
      <c r="R3357" s="5" t="n"/>
      <c r="S3357" s="2" t="n"/>
      <c r="T3357" s="3" t="n"/>
      <c r="U3357" s="87" t="n"/>
      <c r="V3357" s="3" t="n"/>
      <c r="W3357" s="108" t="n"/>
      <c r="X3357" s="4" t="n"/>
    </row>
    <row r="3358" ht="24" customHeight="1">
      <c r="A3358" s="2">
        <f>+D3358-S3358</f>
        <v/>
      </c>
      <c r="B3358" s="80" t="n">
        <v>4948</v>
      </c>
      <c r="C3358" s="66" t="n">
        <v>45994</v>
      </c>
      <c r="D3358" s="2" t="n">
        <v>1</v>
      </c>
      <c r="E3358" s="3" t="inlineStr">
        <is>
          <t>REVOLVER</t>
        </is>
      </c>
      <c r="F3358" s="3" t="inlineStr">
        <is>
          <t>22LR</t>
        </is>
      </c>
      <c r="G3358" s="3" t="inlineStr">
        <is>
          <t>S&amp;W</t>
        </is>
      </c>
      <c r="H3358" s="65" t="inlineStr">
        <is>
          <t>N/A</t>
        </is>
      </c>
      <c r="I3358" s="65" t="inlineStr">
        <is>
          <t>K554129</t>
        </is>
      </c>
      <c r="J3358" s="65" t="inlineStr">
        <is>
          <t>N/A</t>
        </is>
      </c>
      <c r="K3358" s="65" t="inlineStr">
        <is>
          <t>N/D</t>
        </is>
      </c>
      <c r="L3358" s="127" t="inlineStr">
        <is>
          <t>Eredi Safari Sport Severi Gino di Armilli M. Teresa.</t>
        </is>
      </c>
      <c r="M3358" s="5" t="n">
        <v>60</v>
      </c>
      <c r="N3358" s="5" t="n"/>
      <c r="O3358" s="5">
        <f>+M3358+N3358</f>
        <v/>
      </c>
      <c r="P3358" s="4" t="n"/>
      <c r="Q3358" s="87" t="n"/>
      <c r="R3358" s="5" t="n"/>
      <c r="S3358" s="2" t="n"/>
      <c r="T3358" s="3" t="n"/>
      <c r="U3358" s="87" t="n"/>
      <c r="V3358" s="3" t="n"/>
      <c r="W3358" s="108" t="n"/>
      <c r="X3358" s="4" t="n"/>
    </row>
    <row r="3359" ht="24" customHeight="1">
      <c r="A3359" s="2">
        <f>+D3359-S3359</f>
        <v/>
      </c>
      <c r="B3359" s="80" t="n">
        <v>4949</v>
      </c>
      <c r="C3359" s="66" t="n">
        <v>45994</v>
      </c>
      <c r="D3359" s="2" t="n">
        <v>1</v>
      </c>
      <c r="E3359" s="3" t="inlineStr">
        <is>
          <t>REVOLVER</t>
        </is>
      </c>
      <c r="F3359" s="3" t="inlineStr">
        <is>
          <t>357</t>
        </is>
      </c>
      <c r="G3359" s="3" t="inlineStr">
        <is>
          <t>ASTRA</t>
        </is>
      </c>
      <c r="H3359" s="65" t="inlineStr">
        <is>
          <t>N/A</t>
        </is>
      </c>
      <c r="I3359" s="65" t="inlineStr">
        <is>
          <t>R169840</t>
        </is>
      </c>
      <c r="J3359" s="65" t="inlineStr">
        <is>
          <t>N/A</t>
        </is>
      </c>
      <c r="K3359" s="65" t="inlineStr">
        <is>
          <t>N/D</t>
        </is>
      </c>
      <c r="L3359" s="127" t="inlineStr">
        <is>
          <t>Eredi Safari Sport Severi Gino di Armilli M. Teresa.</t>
        </is>
      </c>
      <c r="M3359" s="5" t="n">
        <v>60</v>
      </c>
      <c r="N3359" s="5" t="n"/>
      <c r="O3359" s="5">
        <f>+M3359+N3359</f>
        <v/>
      </c>
      <c r="P3359" s="4" t="n"/>
      <c r="Q3359" s="87" t="n"/>
      <c r="R3359" s="5" t="n"/>
      <c r="S3359" s="2" t="n"/>
      <c r="T3359" s="3" t="n"/>
      <c r="U3359" s="87" t="n"/>
      <c r="V3359" s="3" t="n"/>
      <c r="W3359" s="108" t="n"/>
      <c r="X3359" s="4" t="n"/>
    </row>
    <row r="3360" ht="24" customHeight="1">
      <c r="A3360" s="2">
        <f>+D3360-S3360</f>
        <v/>
      </c>
      <c r="B3360" s="80" t="n">
        <v>4950</v>
      </c>
      <c r="C3360" s="66" t="n">
        <v>45994</v>
      </c>
      <c r="D3360" s="2" t="n">
        <v>1</v>
      </c>
      <c r="E3360" s="3" t="inlineStr">
        <is>
          <t>REVOLVER</t>
        </is>
      </c>
      <c r="F3360" s="3" t="inlineStr">
        <is>
          <t>357</t>
        </is>
      </c>
      <c r="G3360" s="3" t="inlineStr">
        <is>
          <t>ASTRA</t>
        </is>
      </c>
      <c r="H3360" s="65" t="inlineStr">
        <is>
          <t>N/A</t>
        </is>
      </c>
      <c r="I3360" s="65" t="inlineStr">
        <is>
          <t>154825</t>
        </is>
      </c>
      <c r="J3360" s="65" t="inlineStr">
        <is>
          <t>N/A</t>
        </is>
      </c>
      <c r="K3360" s="65" t="inlineStr">
        <is>
          <t>N/D</t>
        </is>
      </c>
      <c r="L3360" s="127" t="inlineStr">
        <is>
          <t>Eredi Safari Sport Severi Gino di Armilli M. Teresa.</t>
        </is>
      </c>
      <c r="M3360" s="5" t="n">
        <v>60</v>
      </c>
      <c r="N3360" s="5" t="n"/>
      <c r="O3360" s="5">
        <f>+M3360+N3360</f>
        <v/>
      </c>
      <c r="P3360" s="4" t="n"/>
      <c r="Q3360" s="87" t="n"/>
      <c r="R3360" s="5" t="n"/>
      <c r="S3360" s="2" t="n"/>
      <c r="T3360" s="3" t="n"/>
      <c r="U3360" s="87" t="n"/>
      <c r="V3360" s="3" t="n"/>
      <c r="W3360" s="108" t="n"/>
      <c r="X3360" s="4" t="n"/>
    </row>
    <row r="3361" ht="24" customHeight="1">
      <c r="A3361" s="2">
        <f>+D3361-S3361</f>
        <v/>
      </c>
      <c r="B3361" s="80" t="n">
        <v>4951</v>
      </c>
      <c r="C3361" s="66" t="n">
        <v>45994</v>
      </c>
      <c r="D3361" s="2" t="n">
        <v>1</v>
      </c>
      <c r="E3361" s="3" t="inlineStr">
        <is>
          <t>REVOLVER</t>
        </is>
      </c>
      <c r="F3361" s="3" t="inlineStr">
        <is>
          <t>357</t>
        </is>
      </c>
      <c r="G3361" s="3" t="inlineStr">
        <is>
          <t>COLT</t>
        </is>
      </c>
      <c r="H3361" s="65" t="inlineStr">
        <is>
          <t>N/A</t>
        </is>
      </c>
      <c r="I3361" s="65" t="inlineStr">
        <is>
          <t>E5121</t>
        </is>
      </c>
      <c r="J3361" s="65" t="inlineStr">
        <is>
          <t>N/A</t>
        </is>
      </c>
      <c r="K3361" s="65" t="inlineStr">
        <is>
          <t>N/D</t>
        </is>
      </c>
      <c r="L3361" s="127" t="inlineStr">
        <is>
          <t>Eredi Safari Sport Severi Gino di Armilli M. Teresa.</t>
        </is>
      </c>
      <c r="M3361" s="5" t="n">
        <v>100</v>
      </c>
      <c r="N3361" s="5" t="n"/>
      <c r="O3361" s="5">
        <f>+M3361+N3361</f>
        <v/>
      </c>
      <c r="P3361" s="4" t="n"/>
      <c r="Q3361" s="87" t="n"/>
      <c r="R3361" s="5" t="n"/>
      <c r="S3361" s="2" t="n"/>
      <c r="T3361" s="3" t="n"/>
      <c r="U3361" s="87" t="n"/>
      <c r="V3361" s="3" t="n"/>
      <c r="W3361" s="108" t="n"/>
      <c r="X3361" s="4" t="n"/>
    </row>
    <row r="3362" ht="24" customHeight="1">
      <c r="A3362" s="2">
        <f>+D3362-S3362</f>
        <v/>
      </c>
      <c r="B3362" s="80" t="n">
        <v>4952</v>
      </c>
      <c r="C3362" s="66" t="n">
        <v>45994</v>
      </c>
      <c r="D3362" s="2" t="n">
        <v>1</v>
      </c>
      <c r="E3362" s="3" t="inlineStr">
        <is>
          <t>REVOLVER</t>
        </is>
      </c>
      <c r="F3362" s="3" t="inlineStr">
        <is>
          <t>357</t>
        </is>
      </c>
      <c r="G3362" s="3" t="inlineStr">
        <is>
          <t>S&amp;W</t>
        </is>
      </c>
      <c r="H3362" s="65" t="inlineStr">
        <is>
          <t>N/A</t>
        </is>
      </c>
      <c r="I3362" s="65" t="inlineStr">
        <is>
          <t>N655099</t>
        </is>
      </c>
      <c r="J3362" s="65" t="inlineStr">
        <is>
          <t>N/A</t>
        </is>
      </c>
      <c r="K3362" s="65" t="inlineStr">
        <is>
          <t>N/D</t>
        </is>
      </c>
      <c r="L3362" s="127" t="inlineStr">
        <is>
          <t>Eredi Safari Sport Severi Gino di Armilli M. Teresa.</t>
        </is>
      </c>
      <c r="M3362" s="5" t="n">
        <v>75</v>
      </c>
      <c r="N3362" s="5" t="n"/>
      <c r="O3362" s="5">
        <f>+M3362+N3362</f>
        <v/>
      </c>
      <c r="P3362" s="4" t="n"/>
      <c r="Q3362" s="87" t="n"/>
      <c r="R3362" s="5" t="n"/>
      <c r="S3362" s="2" t="n"/>
      <c r="T3362" s="3" t="n"/>
      <c r="U3362" s="87" t="n"/>
      <c r="V3362" s="3" t="n"/>
      <c r="W3362" s="108" t="n"/>
      <c r="X3362" s="4" t="n"/>
    </row>
    <row r="3363" ht="24" customHeight="1">
      <c r="A3363" s="2">
        <f>+D3363-S3363</f>
        <v/>
      </c>
      <c r="B3363" s="80" t="n">
        <v>4953</v>
      </c>
      <c r="C3363" s="66" t="n">
        <v>45994</v>
      </c>
      <c r="D3363" s="2" t="n">
        <v>1</v>
      </c>
      <c r="E3363" s="3" t="inlineStr">
        <is>
          <t>REVOLVER</t>
        </is>
      </c>
      <c r="F3363" s="3" t="inlineStr">
        <is>
          <t>357</t>
        </is>
      </c>
      <c r="G3363" s="3" t="inlineStr">
        <is>
          <t>S&amp;W</t>
        </is>
      </c>
      <c r="H3363" s="65" t="inlineStr">
        <is>
          <t>N/A</t>
        </is>
      </c>
      <c r="I3363" s="65" t="inlineStr">
        <is>
          <t>N762097</t>
        </is>
      </c>
      <c r="J3363" s="65" t="inlineStr">
        <is>
          <t>N/A</t>
        </is>
      </c>
      <c r="K3363" s="65" t="inlineStr">
        <is>
          <t>N/D</t>
        </is>
      </c>
      <c r="L3363" s="127" t="inlineStr">
        <is>
          <t>Eredi Safari Sport Severi Gino di Armilli M. Teresa.</t>
        </is>
      </c>
      <c r="M3363" s="5" t="n">
        <v>60</v>
      </c>
      <c r="N3363" s="5" t="n"/>
      <c r="O3363" s="5">
        <f>+M3363+N3363</f>
        <v/>
      </c>
      <c r="P3363" s="4" t="n"/>
      <c r="Q3363" s="87" t="n"/>
      <c r="R3363" s="5" t="n"/>
      <c r="S3363" s="2" t="n"/>
      <c r="T3363" s="3" t="n"/>
      <c r="U3363" s="87" t="n"/>
      <c r="V3363" s="3" t="n"/>
      <c r="W3363" s="108" t="n"/>
      <c r="X3363" s="4" t="n"/>
    </row>
    <row r="3364" ht="24" customHeight="1">
      <c r="A3364" s="2">
        <f>+D3364-S3364</f>
        <v/>
      </c>
      <c r="B3364" s="80" t="n">
        <v>4954</v>
      </c>
      <c r="C3364" s="66" t="n">
        <v>45994</v>
      </c>
      <c r="D3364" s="2" t="n">
        <v>1</v>
      </c>
      <c r="E3364" s="3" t="inlineStr">
        <is>
          <t>REVOLVER</t>
        </is>
      </c>
      <c r="F3364" s="3" t="inlineStr">
        <is>
          <t>357</t>
        </is>
      </c>
      <c r="G3364" s="3" t="inlineStr">
        <is>
          <t>Korth</t>
        </is>
      </c>
      <c r="H3364" s="65" t="inlineStr">
        <is>
          <t>N/A</t>
        </is>
      </c>
      <c r="I3364" s="65" t="inlineStr">
        <is>
          <t>21746</t>
        </is>
      </c>
      <c r="J3364" s="65" t="inlineStr">
        <is>
          <t>N/A</t>
        </is>
      </c>
      <c r="K3364" s="65" t="inlineStr">
        <is>
          <t>N/D</t>
        </is>
      </c>
      <c r="L3364" s="127" t="inlineStr">
        <is>
          <t>Eredi Safari Sport Severi Gino di Armilli M. Teresa.</t>
        </is>
      </c>
      <c r="M3364" s="5" t="n">
        <v>200</v>
      </c>
      <c r="N3364" s="5" t="n"/>
      <c r="O3364" s="5">
        <f>+M3364+N3364</f>
        <v/>
      </c>
      <c r="P3364" s="4" t="n"/>
      <c r="Q3364" s="87" t="n"/>
      <c r="R3364" s="5" t="n"/>
      <c r="S3364" s="2" t="n"/>
      <c r="T3364" s="3" t="n"/>
      <c r="U3364" s="87" t="n"/>
      <c r="V3364" s="3" t="n"/>
      <c r="W3364" s="108" t="n"/>
      <c r="X3364" s="4" t="n"/>
    </row>
    <row r="3365" ht="24" customHeight="1">
      <c r="A3365" s="2">
        <f>+D3365-S3365</f>
        <v/>
      </c>
      <c r="B3365" s="80" t="n">
        <v>4955</v>
      </c>
      <c r="C3365" s="66" t="n">
        <v>45994</v>
      </c>
      <c r="D3365" s="2" t="n">
        <v>1</v>
      </c>
      <c r="E3365" s="3" t="inlineStr">
        <is>
          <t>FUCILE DOPPIETTA</t>
        </is>
      </c>
      <c r="F3365" s="3" t="inlineStr">
        <is>
          <t>12</t>
        </is>
      </c>
      <c r="G3365" s="3" t="inlineStr">
        <is>
          <t>ARTIGIANALE</t>
        </is>
      </c>
      <c r="H3365" s="65" t="inlineStr">
        <is>
          <t>N/A</t>
        </is>
      </c>
      <c r="I3365" s="65" t="inlineStr">
        <is>
          <t>662</t>
        </is>
      </c>
      <c r="J3365" s="65" t="inlineStr">
        <is>
          <t>N/A</t>
        </is>
      </c>
      <c r="K3365" s="65" t="inlineStr">
        <is>
          <t>N/D</t>
        </is>
      </c>
      <c r="L3365" s="127" t="inlineStr">
        <is>
          <t>Eredi Safari Sport Severi Gino di Armilli M. Teresa.</t>
        </is>
      </c>
      <c r="M3365" s="5" t="n">
        <v>50</v>
      </c>
      <c r="N3365" s="5" t="n"/>
      <c r="O3365" s="5">
        <f>+M3365+N3365</f>
        <v/>
      </c>
      <c r="P3365" s="4" t="n"/>
      <c r="Q3365" s="87" t="n"/>
      <c r="R3365" s="5" t="n">
        <v>62.02</v>
      </c>
      <c r="S3365" s="2" t="n">
        <v>1</v>
      </c>
      <c r="T3365" s="3" t="inlineStr">
        <is>
          <t>CA42796IR</t>
        </is>
      </c>
      <c r="U3365" s="87" t="n">
        <v>46097</v>
      </c>
      <c r="V3365" s="3" t="inlineStr">
        <is>
          <t>4</t>
        </is>
      </c>
      <c r="W3365" s="108" t="n">
        <v>46097</v>
      </c>
      <c r="X3365" s="4" t="inlineStr">
        <is>
          <t>PHILIPPOS  CONSTANTINIDES
TRADING CO.LTD</t>
        </is>
      </c>
    </row>
    <row r="3366" ht="24" customHeight="1">
      <c r="A3366" s="2">
        <f>+D3366-S3366</f>
        <v/>
      </c>
      <c r="B3366" s="80" t="n">
        <v>4956</v>
      </c>
      <c r="C3366" s="66" t="n">
        <v>45994</v>
      </c>
      <c r="D3366" s="2" t="n">
        <v>1</v>
      </c>
      <c r="E3366" s="3" t="inlineStr">
        <is>
          <t>FUCILE SOVRAPPOSTO</t>
        </is>
      </c>
      <c r="F3366" s="3" t="inlineStr">
        <is>
          <t>12</t>
        </is>
      </c>
      <c r="G3366" s="3" t="inlineStr">
        <is>
          <t>BERETTA</t>
        </is>
      </c>
      <c r="H3366" s="65" t="inlineStr">
        <is>
          <t>N/A</t>
        </is>
      </c>
      <c r="I3366" s="65" t="inlineStr">
        <is>
          <t>05107</t>
        </is>
      </c>
      <c r="J3366" s="65" t="inlineStr">
        <is>
          <t>N/A</t>
        </is>
      </c>
      <c r="K3366" s="65" t="inlineStr">
        <is>
          <t>N/D</t>
        </is>
      </c>
      <c r="L3366" s="127" t="inlineStr">
        <is>
          <t>Eredi Safari Sport Severi Gino di Armilli M. Teresa.</t>
        </is>
      </c>
      <c r="M3366" s="5" t="n">
        <v>50</v>
      </c>
      <c r="N3366" s="5" t="n"/>
      <c r="O3366" s="5">
        <f>+M3366+N3366</f>
        <v/>
      </c>
      <c r="P3366" s="4" t="n"/>
      <c r="Q3366" s="87" t="n"/>
      <c r="R3366" s="5" t="n">
        <v>62.02</v>
      </c>
      <c r="S3366" s="2" t="n">
        <v>1</v>
      </c>
      <c r="T3366" s="3" t="inlineStr">
        <is>
          <t>CA42796IR</t>
        </is>
      </c>
      <c r="U3366" s="87" t="n">
        <v>46097</v>
      </c>
      <c r="V3366" s="3" t="inlineStr">
        <is>
          <t>4</t>
        </is>
      </c>
      <c r="W3366" s="108" t="n">
        <v>46097</v>
      </c>
      <c r="X3366" s="4" t="inlineStr">
        <is>
          <t>PHILIPPOS  CONSTANTINIDES
TRADING CO.LTD</t>
        </is>
      </c>
    </row>
    <row r="3367" ht="24" customHeight="1">
      <c r="A3367" s="2">
        <f>+D3367-S3367</f>
        <v/>
      </c>
      <c r="B3367" s="80" t="n">
        <v>4957</v>
      </c>
      <c r="C3367" s="66" t="n">
        <v>45994</v>
      </c>
      <c r="D3367" s="2" t="n">
        <v>1</v>
      </c>
      <c r="E3367" s="3" t="inlineStr">
        <is>
          <t>FUCILE DOPPIETTA</t>
        </is>
      </c>
      <c r="F3367" s="3" t="inlineStr">
        <is>
          <t>12</t>
        </is>
      </c>
      <c r="G3367" s="3" t="inlineStr">
        <is>
          <t>BERNARD</t>
        </is>
      </c>
      <c r="H3367" s="65" t="inlineStr">
        <is>
          <t>N/A</t>
        </is>
      </c>
      <c r="I3367" s="65" t="inlineStr">
        <is>
          <t>88800</t>
        </is>
      </c>
      <c r="J3367" s="65" t="inlineStr">
        <is>
          <t>N/A</t>
        </is>
      </c>
      <c r="K3367" s="65" t="inlineStr">
        <is>
          <t>N/D</t>
        </is>
      </c>
      <c r="L3367" s="127" t="inlineStr">
        <is>
          <t>Eredi Safari Sport Severi Gino di Armilli M. Teresa.</t>
        </is>
      </c>
      <c r="M3367" s="5" t="n">
        <v>50</v>
      </c>
      <c r="N3367" s="5" t="n"/>
      <c r="O3367" s="5">
        <f>+M3367+N3367</f>
        <v/>
      </c>
      <c r="P3367" s="4" t="n"/>
      <c r="Q3367" s="87" t="n"/>
      <c r="R3367" s="5" t="n">
        <v>62.02</v>
      </c>
      <c r="S3367" s="2" t="n">
        <v>1</v>
      </c>
      <c r="T3367" s="3" t="inlineStr">
        <is>
          <t>CA42796IR</t>
        </is>
      </c>
      <c r="U3367" s="87" t="n">
        <v>46097</v>
      </c>
      <c r="V3367" s="3" t="inlineStr">
        <is>
          <t>4</t>
        </is>
      </c>
      <c r="W3367" s="108" t="n">
        <v>46097</v>
      </c>
      <c r="X3367" s="4" t="inlineStr">
        <is>
          <t>PHILIPPOS  CONSTANTINIDES
TRADING CO.LTD</t>
        </is>
      </c>
    </row>
    <row r="3368" ht="24" customHeight="1">
      <c r="A3368" s="2">
        <f>+D3368-S3368</f>
        <v/>
      </c>
      <c r="B3368" s="80" t="n">
        <v>4958</v>
      </c>
      <c r="C3368" s="66" t="n">
        <v>45994</v>
      </c>
      <c r="D3368" s="2" t="n">
        <v>1</v>
      </c>
      <c r="E3368" s="3" t="inlineStr">
        <is>
          <t>FUCILE DOPPIETTA</t>
        </is>
      </c>
      <c r="F3368" s="3" t="inlineStr">
        <is>
          <t>12</t>
        </is>
      </c>
      <c r="G3368" s="3" t="inlineStr">
        <is>
          <t>BERETTA</t>
        </is>
      </c>
      <c r="H3368" s="65" t="inlineStr">
        <is>
          <t>N/A</t>
        </is>
      </c>
      <c r="I3368" s="65" t="n">
        <v>92230</v>
      </c>
      <c r="J3368" s="65" t="inlineStr">
        <is>
          <t>N/A</t>
        </is>
      </c>
      <c r="K3368" s="65" t="inlineStr">
        <is>
          <t>N/D</t>
        </is>
      </c>
      <c r="L3368" s="127" t="inlineStr">
        <is>
          <t>Eredi Safari Sport Severi Gino di Armilli M. Teresa.</t>
        </is>
      </c>
      <c r="M3368" s="5" t="n">
        <v>50</v>
      </c>
      <c r="N3368" s="5" t="n"/>
      <c r="O3368" s="5">
        <f>+M3368+N3368</f>
        <v/>
      </c>
      <c r="P3368" s="4" t="n"/>
      <c r="Q3368" s="87" t="n"/>
      <c r="R3368" s="5" t="n">
        <v>62.02</v>
      </c>
      <c r="S3368" s="2" t="n">
        <v>1</v>
      </c>
      <c r="T3368" s="3" t="inlineStr">
        <is>
          <t>CA42796IR</t>
        </is>
      </c>
      <c r="U3368" s="87" t="n">
        <v>46097</v>
      </c>
      <c r="V3368" s="3" t="inlineStr">
        <is>
          <t>4</t>
        </is>
      </c>
      <c r="W3368" s="108" t="n">
        <v>46097</v>
      </c>
      <c r="X3368" s="4" t="inlineStr">
        <is>
          <t>PHILIPPOS  CONSTANTINIDES
TRADING CO.LTD</t>
        </is>
      </c>
    </row>
    <row r="3369" ht="24" customHeight="1">
      <c r="A3369" s="2">
        <f>+D3369-S3369</f>
        <v/>
      </c>
      <c r="B3369" s="80" t="n">
        <v>4959</v>
      </c>
      <c r="C3369" s="66" t="n">
        <v>45994</v>
      </c>
      <c r="D3369" s="2" t="n">
        <v>1</v>
      </c>
      <c r="E3369" s="3" t="inlineStr">
        <is>
          <t>FUCILE SEMI AUTO</t>
        </is>
      </c>
      <c r="F3369" s="3" t="inlineStr">
        <is>
          <t>12</t>
        </is>
      </c>
      <c r="G3369" s="3" t="inlineStr">
        <is>
          <t>FN B80</t>
        </is>
      </c>
      <c r="H3369" s="65" t="inlineStr">
        <is>
          <t>N/A</t>
        </is>
      </c>
      <c r="I3369" s="65" t="inlineStr">
        <is>
          <t>421PZ05107</t>
        </is>
      </c>
      <c r="J3369" s="65" t="inlineStr">
        <is>
          <t>411PZ02392</t>
        </is>
      </c>
      <c r="K3369" s="65" t="inlineStr">
        <is>
          <t>N/D</t>
        </is>
      </c>
      <c r="L3369" s="127" t="inlineStr">
        <is>
          <t>Eredi Safari Sport Severi Gino di Armilli M. Teresa.</t>
        </is>
      </c>
      <c r="M3369" s="5" t="n">
        <v>50</v>
      </c>
      <c r="N3369" s="5" t="n"/>
      <c r="O3369" s="5">
        <f>+M3369+N3369</f>
        <v/>
      </c>
      <c r="P3369" s="4" t="n"/>
      <c r="Q3369" s="87" t="n"/>
      <c r="R3369" s="5" t="n">
        <v>62.02</v>
      </c>
      <c r="S3369" s="2" t="n">
        <v>1</v>
      </c>
      <c r="T3369" s="3" t="inlineStr">
        <is>
          <t>CA42796IR</t>
        </is>
      </c>
      <c r="U3369" s="87" t="n">
        <v>46097</v>
      </c>
      <c r="V3369" s="3" t="inlineStr">
        <is>
          <t>4</t>
        </is>
      </c>
      <c r="W3369" s="108" t="n">
        <v>46097</v>
      </c>
      <c r="X3369" s="4" t="inlineStr">
        <is>
          <t>PHILIPPOS  CONSTANTINIDES
TRADING CO.LTD</t>
        </is>
      </c>
    </row>
    <row r="3370" ht="24" customHeight="1">
      <c r="A3370" s="2">
        <f>+D3370-S3370</f>
        <v/>
      </c>
      <c r="B3370" s="80" t="n">
        <v>4960</v>
      </c>
      <c r="C3370" s="66" t="n">
        <v>45994</v>
      </c>
      <c r="D3370" s="2" t="n">
        <v>1</v>
      </c>
      <c r="E3370" s="3" t="inlineStr">
        <is>
          <t>CARABINA SEMIAUTOMATICA</t>
        </is>
      </c>
      <c r="F3370" s="3" t="inlineStr">
        <is>
          <t>7.62x39</t>
        </is>
      </c>
      <c r="G3370" s="3" t="inlineStr">
        <is>
          <t>AK</t>
        </is>
      </c>
      <c r="H3370" s="65" t="inlineStr">
        <is>
          <t>N/A</t>
        </is>
      </c>
      <c r="I3370" s="65" t="inlineStr">
        <is>
          <t>AD257715</t>
        </is>
      </c>
      <c r="J3370" s="65" t="inlineStr">
        <is>
          <t>N/A</t>
        </is>
      </c>
      <c r="K3370" s="65" t="inlineStr">
        <is>
          <t>N/D</t>
        </is>
      </c>
      <c r="L3370" s="127" t="inlineStr">
        <is>
          <t>Eredi Safari Sport Severi Gino di Armilli M. Teresa.</t>
        </is>
      </c>
      <c r="M3370" s="5" t="n">
        <v>500</v>
      </c>
      <c r="N3370" s="5" t="n"/>
      <c r="O3370" s="5">
        <f>+M3370+N3370</f>
        <v/>
      </c>
      <c r="P3370" s="4" t="n"/>
      <c r="Q3370" s="87" t="n"/>
      <c r="R3370" s="5" t="n"/>
      <c r="S3370" s="2" t="n"/>
      <c r="T3370" s="3" t="n"/>
      <c r="U3370" s="87" t="n"/>
      <c r="V3370" s="3" t="n"/>
      <c r="W3370" s="108" t="n"/>
      <c r="X3370" s="4" t="n"/>
    </row>
    <row r="3371" ht="24" customHeight="1">
      <c r="A3371" s="2">
        <f>+D3371-S3371</f>
        <v/>
      </c>
      <c r="B3371" s="80" t="n">
        <v>4961</v>
      </c>
      <c r="C3371" s="66" t="n">
        <v>45994</v>
      </c>
      <c r="D3371" s="2" t="n">
        <v>1</v>
      </c>
      <c r="E3371" s="3" t="inlineStr">
        <is>
          <t>CARABINA SEMIAUTOMATICA</t>
        </is>
      </c>
      <c r="F3371" s="3" t="inlineStr">
        <is>
          <t>22 LR</t>
        </is>
      </c>
      <c r="G3371" s="3" t="inlineStr">
        <is>
          <t>RUGER</t>
        </is>
      </c>
      <c r="H3371" s="65" t="inlineStr">
        <is>
          <t>N/A</t>
        </is>
      </c>
      <c r="I3371" s="65" t="inlineStr">
        <is>
          <t>828-70436</t>
        </is>
      </c>
      <c r="J3371" s="65" t="inlineStr">
        <is>
          <t>N/A</t>
        </is>
      </c>
      <c r="K3371" s="65" t="inlineStr">
        <is>
          <t>N/D</t>
        </is>
      </c>
      <c r="L3371" s="127" t="inlineStr">
        <is>
          <t>Eredi Safari Sport Severi Gino di Armilli M. Teresa.</t>
        </is>
      </c>
      <c r="M3371" s="5" t="n">
        <v>50</v>
      </c>
      <c r="N3371" s="5" t="n"/>
      <c r="O3371" s="5">
        <f>+M3371+N3371</f>
        <v/>
      </c>
      <c r="P3371" s="4" t="n"/>
      <c r="Q3371" s="87" t="n"/>
      <c r="R3371" s="5" t="n"/>
      <c r="S3371" s="2" t="n"/>
      <c r="T3371" s="3" t="n"/>
      <c r="U3371" s="87" t="n"/>
      <c r="V3371" s="3" t="n"/>
      <c r="W3371" s="108" t="n"/>
      <c r="X3371" s="4" t="n"/>
    </row>
    <row r="3372" ht="24" customHeight="1">
      <c r="A3372" s="2">
        <f>+D3372-S3372</f>
        <v/>
      </c>
      <c r="B3372" s="80" t="n">
        <v>4962</v>
      </c>
      <c r="C3372" s="66" t="n">
        <v>45994</v>
      </c>
      <c r="D3372" s="2" t="n">
        <v>1</v>
      </c>
      <c r="E3372" s="3" t="inlineStr">
        <is>
          <t>FUCILE SEMIAUTOMATICO</t>
        </is>
      </c>
      <c r="F3372" s="3" t="inlineStr">
        <is>
          <t>20-20/6.5X57R.</t>
        </is>
      </c>
      <c r="G3372" s="3" t="inlineStr">
        <is>
          <t>MERKEL</t>
        </is>
      </c>
      <c r="H3372" s="65" t="inlineStr">
        <is>
          <t>N/A</t>
        </is>
      </c>
      <c r="I3372" s="65" t="inlineStr">
        <is>
          <t>275602</t>
        </is>
      </c>
      <c r="J3372" s="65" t="inlineStr">
        <is>
          <t>N/A</t>
        </is>
      </c>
      <c r="K3372" s="65" t="inlineStr">
        <is>
          <t>N/D</t>
        </is>
      </c>
      <c r="L3372" s="127" t="inlineStr">
        <is>
          <t>Eredi Safari Sport Severi Gino di Armilli M. Teresa.</t>
        </is>
      </c>
      <c r="M3372" s="5" t="n">
        <v>200</v>
      </c>
      <c r="N3372" s="5" t="n"/>
      <c r="O3372" s="5">
        <f>+M3372+N3372</f>
        <v/>
      </c>
      <c r="P3372" s="4" t="n"/>
      <c r="Q3372" s="87" t="n"/>
      <c r="R3372" s="5" t="n"/>
      <c r="S3372" s="2" t="n"/>
      <c r="T3372" s="3" t="n"/>
      <c r="U3372" s="87" t="n"/>
      <c r="V3372" s="3" t="n"/>
      <c r="W3372" s="108" t="n"/>
      <c r="X3372" s="4" t="n"/>
    </row>
    <row r="3373" ht="24" customHeight="1">
      <c r="A3373" s="2">
        <f>+D3373-S3373</f>
        <v/>
      </c>
      <c r="B3373" s="80" t="n">
        <v>4963</v>
      </c>
      <c r="C3373" s="66" t="n">
        <v>45994</v>
      </c>
      <c r="D3373" s="2" t="n">
        <v>1</v>
      </c>
      <c r="E3373" s="3" t="inlineStr">
        <is>
          <t>CARABINA AD OTTURATORE</t>
        </is>
      </c>
      <c r="F3373" s="3" t="inlineStr">
        <is>
          <t>30-06</t>
        </is>
      </c>
      <c r="G3373" s="3" t="inlineStr">
        <is>
          <t>SAUER</t>
        </is>
      </c>
      <c r="H3373" s="65" t="inlineStr">
        <is>
          <t>N/A</t>
        </is>
      </c>
      <c r="I3373" s="65" t="inlineStr">
        <is>
          <t>H32230</t>
        </is>
      </c>
      <c r="J3373" s="65" t="inlineStr">
        <is>
          <t>N/A</t>
        </is>
      </c>
      <c r="K3373" s="65" t="inlineStr">
        <is>
          <t>N/D</t>
        </is>
      </c>
      <c r="L3373" s="127" t="inlineStr">
        <is>
          <t>Eredi Safari Sport Severi Gino di Armilli M. Teresa.</t>
        </is>
      </c>
      <c r="M3373" s="5" t="n">
        <v>800</v>
      </c>
      <c r="N3373" s="5" t="n"/>
      <c r="O3373" s="5">
        <f>+M3373+N3373</f>
        <v/>
      </c>
      <c r="P3373" s="4" t="n"/>
      <c r="Q3373" s="87" t="n"/>
      <c r="R3373" s="5" t="n"/>
      <c r="S3373" s="2" t="n"/>
      <c r="T3373" s="3" t="n"/>
      <c r="U3373" s="87" t="n"/>
      <c r="V3373" s="3" t="n"/>
      <c r="W3373" s="108" t="n"/>
      <c r="X3373" s="4" t="n"/>
    </row>
    <row r="3374" ht="24" customHeight="1">
      <c r="A3374" s="2">
        <f>+D3374-S3374</f>
        <v/>
      </c>
      <c r="B3374" s="80" t="n">
        <v>4964</v>
      </c>
      <c r="C3374" s="66" t="n">
        <v>45994</v>
      </c>
      <c r="D3374" s="2" t="n">
        <v>1</v>
      </c>
      <c r="E3374" s="3" t="inlineStr">
        <is>
          <t>CARABINA AD OTTURATORE</t>
        </is>
      </c>
      <c r="F3374" s="3" t="inlineStr">
        <is>
          <t>270 W</t>
        </is>
      </c>
      <c r="G3374" s="3" t="inlineStr">
        <is>
          <t>MERKEL</t>
        </is>
      </c>
      <c r="H3374" s="65" t="inlineStr">
        <is>
          <t>N/A</t>
        </is>
      </c>
      <c r="I3374" s="65" t="inlineStr">
        <is>
          <t>RX001504</t>
        </is>
      </c>
      <c r="J3374" s="65" t="inlineStr">
        <is>
          <t>00661</t>
        </is>
      </c>
      <c r="K3374" s="65" t="inlineStr">
        <is>
          <t>N/D</t>
        </is>
      </c>
      <c r="L3374" s="127" t="inlineStr">
        <is>
          <t>Eredi Safari Sport Severi Gino di Armilli M. Teresa.</t>
        </is>
      </c>
      <c r="M3374" s="5" t="n">
        <v>600</v>
      </c>
      <c r="N3374" s="5" t="n"/>
      <c r="O3374" s="5">
        <f>+M3374+N3374</f>
        <v/>
      </c>
      <c r="P3374" s="4" t="n"/>
      <c r="Q3374" s="87" t="n"/>
      <c r="R3374" s="5" t="n"/>
      <c r="S3374" s="2" t="n"/>
      <c r="T3374" s="3" t="n"/>
      <c r="U3374" s="87" t="n"/>
      <c r="V3374" s="3" t="n"/>
      <c r="W3374" s="108" t="n"/>
      <c r="X3374" s="4" t="n"/>
    </row>
    <row r="3375" ht="24" customHeight="1">
      <c r="A3375" s="2">
        <f>+D3375-S3375</f>
        <v/>
      </c>
      <c r="B3375" s="80" t="n">
        <v>4965</v>
      </c>
      <c r="C3375" s="66" t="n">
        <v>45994</v>
      </c>
      <c r="D3375" s="2" t="n">
        <v>1</v>
      </c>
      <c r="E3375" s="3" t="inlineStr">
        <is>
          <t>CARABINA AD OTTURATORE</t>
        </is>
      </c>
      <c r="F3375" s="3" t="inlineStr">
        <is>
          <t>7 MM</t>
        </is>
      </c>
      <c r="G3375" s="3" t="inlineStr">
        <is>
          <t>REMINGTON</t>
        </is>
      </c>
      <c r="H3375" s="65" t="inlineStr">
        <is>
          <t>N/A</t>
        </is>
      </c>
      <c r="I3375" s="65" t="inlineStr">
        <is>
          <t>F6243784</t>
        </is>
      </c>
      <c r="J3375" s="65" t="inlineStr">
        <is>
          <t>N/A</t>
        </is>
      </c>
      <c r="K3375" s="65" t="inlineStr">
        <is>
          <t>N/D</t>
        </is>
      </c>
      <c r="L3375" s="127" t="inlineStr">
        <is>
          <t>Eredi Safari Sport Severi Gino di Armilli M. Teresa.</t>
        </is>
      </c>
      <c r="M3375" s="5" t="n">
        <v>150</v>
      </c>
      <c r="N3375" s="5" t="n"/>
      <c r="O3375" s="5">
        <f>+M3375+N3375</f>
        <v/>
      </c>
      <c r="P3375" s="4" t="n"/>
      <c r="Q3375" s="87" t="n"/>
      <c r="R3375" s="5" t="n"/>
      <c r="S3375" s="2" t="n"/>
      <c r="T3375" s="3" t="n"/>
      <c r="U3375" s="87" t="n"/>
      <c r="V3375" s="3" t="n"/>
      <c r="W3375" s="108" t="n"/>
      <c r="X3375" s="4" t="n"/>
    </row>
    <row r="3376" ht="24" customHeight="1">
      <c r="A3376" s="2">
        <f>+D3376-S3376</f>
        <v/>
      </c>
      <c r="B3376" s="80" t="n">
        <v>4966</v>
      </c>
      <c r="C3376" s="66" t="n">
        <v>45994</v>
      </c>
      <c r="D3376" s="2" t="n">
        <v>1</v>
      </c>
      <c r="E3376" s="3" t="inlineStr">
        <is>
          <t>CARABINA AD OTTURATORE</t>
        </is>
      </c>
      <c r="F3376" s="3" t="inlineStr">
        <is>
          <t>270 WIN</t>
        </is>
      </c>
      <c r="G3376" s="3" t="inlineStr">
        <is>
          <t>REMINGTON</t>
        </is>
      </c>
      <c r="H3376" s="65" t="inlineStr">
        <is>
          <t>N/A</t>
        </is>
      </c>
      <c r="I3376" s="65" t="n">
        <v>71039314</v>
      </c>
      <c r="J3376" s="65" t="inlineStr">
        <is>
          <t>N/A</t>
        </is>
      </c>
      <c r="K3376" s="65" t="inlineStr">
        <is>
          <t>N/D</t>
        </is>
      </c>
      <c r="L3376" s="127" t="inlineStr">
        <is>
          <t>Eredi Safari Sport Severi Gino di Armilli M. Teresa.</t>
        </is>
      </c>
      <c r="M3376" s="5" t="n">
        <v>150</v>
      </c>
      <c r="N3376" s="5" t="n"/>
      <c r="O3376" s="5">
        <f>+M3376+N3376</f>
        <v/>
      </c>
      <c r="P3376" s="4" t="n"/>
      <c r="Q3376" s="87" t="n"/>
      <c r="R3376" s="5" t="n"/>
      <c r="S3376" s="2" t="n"/>
      <c r="T3376" s="3" t="n"/>
      <c r="U3376" s="87" t="n"/>
      <c r="V3376" s="3" t="n"/>
      <c r="W3376" s="108" t="n"/>
      <c r="X3376" s="4" t="n"/>
    </row>
    <row r="3377" ht="24" customHeight="1">
      <c r="A3377" s="2">
        <f>+D3377-S3377</f>
        <v/>
      </c>
      <c r="B3377" s="80" t="n">
        <v>4967</v>
      </c>
      <c r="C3377" s="66" t="n">
        <v>45994</v>
      </c>
      <c r="D3377" s="2" t="n">
        <v>1</v>
      </c>
      <c r="E3377" s="3" t="inlineStr">
        <is>
          <t>CARABINA AD OTTURATORE</t>
        </is>
      </c>
      <c r="F3377" s="3" t="inlineStr">
        <is>
          <t>270</t>
        </is>
      </c>
      <c r="G3377" s="3" t="inlineStr">
        <is>
          <t>REMINGTON</t>
        </is>
      </c>
      <c r="H3377" s="65" t="inlineStr">
        <is>
          <t>N/A</t>
        </is>
      </c>
      <c r="I3377" s="65" t="inlineStr">
        <is>
          <t>E6406094</t>
        </is>
      </c>
      <c r="J3377" s="65" t="inlineStr">
        <is>
          <t>N/A</t>
        </is>
      </c>
      <c r="K3377" s="65" t="inlineStr">
        <is>
          <t>N/D</t>
        </is>
      </c>
      <c r="L3377" s="127" t="inlineStr">
        <is>
          <t>Eredi Safari Sport Severi Gino di Armilli M. Teresa.</t>
        </is>
      </c>
      <c r="M3377" s="5" t="n">
        <v>150</v>
      </c>
      <c r="N3377" s="5" t="n"/>
      <c r="O3377" s="5">
        <f>+M3377+N3377</f>
        <v/>
      </c>
      <c r="P3377" s="4" t="n"/>
      <c r="Q3377" s="87" t="n"/>
      <c r="R3377" s="5" t="n"/>
      <c r="S3377" s="2" t="n"/>
      <c r="T3377" s="3" t="n"/>
      <c r="U3377" s="87" t="n"/>
      <c r="V3377" s="3" t="n"/>
      <c r="W3377" s="108" t="n"/>
      <c r="X3377" s="4" t="n"/>
    </row>
    <row r="3378" ht="24" customHeight="1">
      <c r="A3378" s="2">
        <f>+D3378-S3378</f>
        <v/>
      </c>
      <c r="B3378" s="80" t="n">
        <v>4968</v>
      </c>
      <c r="C3378" s="66" t="n">
        <v>45994</v>
      </c>
      <c r="D3378" s="2" t="n">
        <v>1</v>
      </c>
      <c r="E3378" s="3" t="inlineStr">
        <is>
          <t>CARABINA SEMIAUTOMATICA</t>
        </is>
      </c>
      <c r="F3378" s="3" t="inlineStr">
        <is>
          <t>300 AAC Blackout</t>
        </is>
      </c>
      <c r="G3378" s="3" t="inlineStr">
        <is>
          <t>SMITH &amp; WESSON</t>
        </is>
      </c>
      <c r="H3378" s="65" t="inlineStr">
        <is>
          <t>N/A</t>
        </is>
      </c>
      <c r="I3378" s="65" t="inlineStr">
        <is>
          <t>SX41165</t>
        </is>
      </c>
      <c r="J3378" s="65" t="inlineStr">
        <is>
          <t>N/A</t>
        </is>
      </c>
      <c r="K3378" s="65" t="inlineStr">
        <is>
          <t>N/D</t>
        </is>
      </c>
      <c r="L3378" s="127" t="inlineStr">
        <is>
          <t>Eredi Safari Sport Severi Gino di Armilli M. Teresa.</t>
        </is>
      </c>
      <c r="M3378" s="5" t="n">
        <v>125</v>
      </c>
      <c r="N3378" s="5" t="n"/>
      <c r="O3378" s="5">
        <f>+M3378+N3378</f>
        <v/>
      </c>
      <c r="P3378" s="4" t="n"/>
      <c r="Q3378" s="87" t="n"/>
      <c r="R3378" s="5" t="n"/>
      <c r="S3378" s="2" t="n"/>
      <c r="T3378" s="3" t="n"/>
      <c r="U3378" s="87" t="n"/>
      <c r="V3378" s="3" t="n"/>
      <c r="W3378" s="108" t="n"/>
      <c r="X3378" s="4" t="n"/>
    </row>
    <row r="3379" ht="24" customHeight="1">
      <c r="A3379" s="2">
        <f>+D3379-S3379</f>
        <v/>
      </c>
      <c r="B3379" s="80" t="n">
        <v>4969</v>
      </c>
      <c r="C3379" s="66" t="n">
        <v>45994</v>
      </c>
      <c r="D3379" s="2" t="n">
        <v>1</v>
      </c>
      <c r="E3379" s="3" t="inlineStr">
        <is>
          <t>CARABINA SEMIAUTOMATICA</t>
        </is>
      </c>
      <c r="F3379" s="3" t="inlineStr">
        <is>
          <t>223</t>
        </is>
      </c>
      <c r="G3379" s="3" t="inlineStr">
        <is>
          <t>COLT</t>
        </is>
      </c>
      <c r="H3379" s="65" t="inlineStr">
        <is>
          <t>N/A</t>
        </is>
      </c>
      <c r="I3379" s="65" t="inlineStr">
        <is>
          <t>NJA0039</t>
        </is>
      </c>
      <c r="J3379" s="65" t="inlineStr">
        <is>
          <t>N/A</t>
        </is>
      </c>
      <c r="K3379" s="65" t="inlineStr">
        <is>
          <t>N/D</t>
        </is>
      </c>
      <c r="L3379" s="127" t="inlineStr">
        <is>
          <t>Eredi Safari Sport Severi Gino di Armilli M. Teresa.</t>
        </is>
      </c>
      <c r="M3379" s="5" t="n">
        <v>50</v>
      </c>
      <c r="N3379" s="5" t="n"/>
      <c r="O3379" s="5">
        <f>+M3379+N3379</f>
        <v/>
      </c>
      <c r="P3379" s="4" t="n"/>
      <c r="Q3379" s="87" t="n"/>
      <c r="R3379" s="5" t="n"/>
      <c r="S3379" s="2" t="n"/>
      <c r="T3379" s="3" t="n"/>
      <c r="U3379" s="87" t="n"/>
      <c r="V3379" s="3" t="n"/>
      <c r="W3379" s="108" t="n"/>
      <c r="X3379" s="4" t="n"/>
    </row>
    <row r="3380" ht="24" customHeight="1">
      <c r="A3380" s="2">
        <f>+D3380-S3380</f>
        <v/>
      </c>
      <c r="B3380" s="80" t="n">
        <v>4970</v>
      </c>
      <c r="C3380" s="66" t="n">
        <v>45994</v>
      </c>
      <c r="D3380" s="2" t="n">
        <v>1</v>
      </c>
      <c r="E3380" s="3" t="inlineStr">
        <is>
          <t>CARABINA AD OTTURATORE</t>
        </is>
      </c>
      <c r="F3380" s="3" t="n">
        <v>270</v>
      </c>
      <c r="G3380" s="3" t="inlineStr">
        <is>
          <t>FN</t>
        </is>
      </c>
      <c r="H3380" s="65" t="inlineStr">
        <is>
          <t>N/A</t>
        </is>
      </c>
      <c r="I3380" s="65" t="inlineStr">
        <is>
          <t>66530MV354</t>
        </is>
      </c>
      <c r="J3380" s="65" t="inlineStr">
        <is>
          <t>N/A</t>
        </is>
      </c>
      <c r="K3380" s="65" t="inlineStr">
        <is>
          <t>N/D</t>
        </is>
      </c>
      <c r="L3380" s="127" t="inlineStr">
        <is>
          <t>Eredi Safari Sport Severi Gino di Armilli M. Teresa.</t>
        </is>
      </c>
      <c r="M3380" s="5" t="n">
        <v>100</v>
      </c>
      <c r="N3380" s="5" t="n"/>
      <c r="O3380" s="5">
        <f>+M3380+N3380</f>
        <v/>
      </c>
      <c r="P3380" s="4" t="n"/>
      <c r="Q3380" s="87" t="n"/>
      <c r="R3380" s="5" t="n"/>
      <c r="S3380" s="2" t="n"/>
      <c r="T3380" s="3" t="n"/>
      <c r="U3380" s="87" t="n"/>
      <c r="V3380" s="3" t="n"/>
      <c r="W3380" s="108" t="n"/>
      <c r="X3380" s="4" t="n"/>
    </row>
    <row r="3381" ht="24" customHeight="1">
      <c r="A3381" s="2">
        <f>+D3381-S3381</f>
        <v/>
      </c>
      <c r="B3381" s="80" t="n">
        <v>4971</v>
      </c>
      <c r="C3381" s="66" t="n">
        <v>45994</v>
      </c>
      <c r="D3381" s="2" t="n">
        <v>1</v>
      </c>
      <c r="E3381" s="3" t="inlineStr">
        <is>
          <t>CARABINA AD OTTURATORE</t>
        </is>
      </c>
      <c r="F3381" s="3" t="inlineStr">
        <is>
          <t>22 LR</t>
        </is>
      </c>
      <c r="G3381" s="3" t="inlineStr">
        <is>
          <t>ENFIELD</t>
        </is>
      </c>
      <c r="H3381" s="65" t="inlineStr">
        <is>
          <t>N/A</t>
        </is>
      </c>
      <c r="I3381" s="65" t="inlineStr">
        <is>
          <t>BS1640</t>
        </is>
      </c>
      <c r="J3381" s="65" t="inlineStr">
        <is>
          <t>N/A</t>
        </is>
      </c>
      <c r="K3381" s="65" t="inlineStr">
        <is>
          <t>N/D</t>
        </is>
      </c>
      <c r="L3381" s="127" t="inlineStr">
        <is>
          <t>Eredi Safari Sport Severi Gino di Armilli M. Teresa.</t>
        </is>
      </c>
      <c r="M3381" s="5" t="n">
        <v>150</v>
      </c>
      <c r="N3381" s="5" t="n"/>
      <c r="O3381" s="5">
        <f>+M3381+N3381</f>
        <v/>
      </c>
      <c r="P3381" s="4" t="n"/>
      <c r="Q3381" s="87" t="n"/>
      <c r="R3381" s="5" t="n"/>
      <c r="S3381" s="2" t="n"/>
      <c r="T3381" s="3" t="n"/>
      <c r="U3381" s="87" t="n"/>
      <c r="V3381" s="3" t="n"/>
      <c r="W3381" s="108" t="n"/>
      <c r="X3381" s="4" t="n"/>
    </row>
    <row r="3382" ht="24" customHeight="1">
      <c r="A3382" s="2">
        <f>+D3382-S3382</f>
        <v/>
      </c>
      <c r="B3382" s="80" t="n">
        <v>4972</v>
      </c>
      <c r="C3382" s="66" t="n">
        <v>45994</v>
      </c>
      <c r="D3382" s="2" t="n">
        <v>1</v>
      </c>
      <c r="E3382" s="3" t="inlineStr">
        <is>
          <t>PISTOLA SEMIAUTOMATICA</t>
        </is>
      </c>
      <c r="F3382" s="3" t="n">
        <v>40</v>
      </c>
      <c r="G3382" s="3" t="inlineStr">
        <is>
          <t>GLOCK</t>
        </is>
      </c>
      <c r="H3382" s="65" t="inlineStr">
        <is>
          <t>N/A</t>
        </is>
      </c>
      <c r="I3382" s="65" t="inlineStr">
        <is>
          <t>DTN041</t>
        </is>
      </c>
      <c r="J3382" s="65" t="inlineStr">
        <is>
          <t>N/A</t>
        </is>
      </c>
      <c r="K3382" s="65" t="inlineStr">
        <is>
          <t>N/D</t>
        </is>
      </c>
      <c r="L3382" s="127" t="inlineStr">
        <is>
          <t>Eredi Safari Sport Severi Gino di Armilli M. Teresa.</t>
        </is>
      </c>
      <c r="M3382" s="5" t="n">
        <v>150</v>
      </c>
      <c r="N3382" s="5" t="n"/>
      <c r="O3382" s="5">
        <f>+M3382+N3382</f>
        <v/>
      </c>
      <c r="P3382" s="4" t="n"/>
      <c r="Q3382" s="87" t="n"/>
      <c r="R3382" s="5" t="n"/>
      <c r="S3382" s="2" t="n"/>
      <c r="T3382" s="3" t="n"/>
      <c r="U3382" s="87" t="n"/>
      <c r="V3382" s="3" t="n"/>
      <c r="W3382" s="108" t="n"/>
      <c r="X3382" s="4" t="n"/>
    </row>
    <row r="3383" ht="24" customHeight="1">
      <c r="A3383" s="2">
        <f>+D3383-S3383</f>
        <v/>
      </c>
      <c r="B3383" s="80" t="n">
        <v>4973</v>
      </c>
      <c r="C3383" s="66" t="n">
        <v>45994</v>
      </c>
      <c r="D3383" s="2" t="n">
        <v>1</v>
      </c>
      <c r="E3383" s="3" t="inlineStr">
        <is>
          <t>PISTOLA SEMIAUTOMATICA</t>
        </is>
      </c>
      <c r="F3383" s="3" t="n">
        <v>40</v>
      </c>
      <c r="G3383" s="3" t="inlineStr">
        <is>
          <t>GLOCK</t>
        </is>
      </c>
      <c r="H3383" s="65" t="inlineStr">
        <is>
          <t>N/A</t>
        </is>
      </c>
      <c r="I3383" s="65" t="inlineStr">
        <is>
          <t>DCH467</t>
        </is>
      </c>
      <c r="J3383" s="65" t="inlineStr">
        <is>
          <t>N/A</t>
        </is>
      </c>
      <c r="K3383" s="65" t="inlineStr">
        <is>
          <t>N/D</t>
        </is>
      </c>
      <c r="L3383" s="127" t="inlineStr">
        <is>
          <t>Eredi Safari Sport Severi Gino di Armilli M. Teresa.</t>
        </is>
      </c>
      <c r="M3383" s="5" t="n">
        <v>150</v>
      </c>
      <c r="N3383" s="5" t="n"/>
      <c r="O3383" s="5">
        <f>+M3383+N3383</f>
        <v/>
      </c>
      <c r="P3383" s="4" t="n"/>
      <c r="Q3383" s="87" t="n"/>
      <c r="R3383" s="5" t="n"/>
      <c r="S3383" s="2" t="n"/>
      <c r="T3383" s="3" t="n"/>
      <c r="U3383" s="87" t="n"/>
      <c r="V3383" s="3" t="n"/>
      <c r="W3383" s="108" t="n"/>
      <c r="X3383" s="4" t="n"/>
    </row>
    <row r="3384" ht="24" customHeight="1">
      <c r="A3384" s="2">
        <f>+D3384-S3384</f>
        <v/>
      </c>
      <c r="B3384" s="80" t="n">
        <v>4974</v>
      </c>
      <c r="C3384" s="66" t="n">
        <v>45994</v>
      </c>
      <c r="D3384" s="2" t="n">
        <v>1</v>
      </c>
      <c r="E3384" s="3" t="inlineStr">
        <is>
          <t>PISTOLA SEMIAUTOMATICA</t>
        </is>
      </c>
      <c r="F3384" s="3" t="inlineStr">
        <is>
          <t>45 AUTO</t>
        </is>
      </c>
      <c r="G3384" s="3" t="inlineStr">
        <is>
          <t>GLOCK</t>
        </is>
      </c>
      <c r="H3384" s="65" t="inlineStr">
        <is>
          <t>N/A</t>
        </is>
      </c>
      <c r="I3384" s="65" t="inlineStr">
        <is>
          <t>DVX740</t>
        </is>
      </c>
      <c r="J3384" s="65" t="inlineStr">
        <is>
          <t>N/A</t>
        </is>
      </c>
      <c r="K3384" s="65" t="inlineStr">
        <is>
          <t>N/D</t>
        </is>
      </c>
      <c r="L3384" s="127" t="inlineStr">
        <is>
          <t>Eredi Safari Sport Severi Gino di Armilli M. Teresa.</t>
        </is>
      </c>
      <c r="M3384" s="5" t="n">
        <v>150</v>
      </c>
      <c r="N3384" s="5" t="n"/>
      <c r="O3384" s="5">
        <f>+M3384+N3384</f>
        <v/>
      </c>
      <c r="P3384" s="4" t="n"/>
      <c r="Q3384" s="87" t="n"/>
      <c r="R3384" s="5" t="n"/>
      <c r="S3384" s="2" t="n"/>
      <c r="T3384" s="3" t="n"/>
      <c r="U3384" s="87" t="n"/>
      <c r="V3384" s="3" t="n"/>
      <c r="W3384" s="108" t="n"/>
      <c r="X3384" s="4" t="n"/>
    </row>
    <row r="3385" ht="24" customHeight="1">
      <c r="A3385" s="2">
        <f>+D3385-S3385</f>
        <v/>
      </c>
      <c r="B3385" s="80" t="n">
        <v>4975</v>
      </c>
      <c r="C3385" s="66" t="n">
        <v>45994</v>
      </c>
      <c r="D3385" s="2" t="n">
        <v>1</v>
      </c>
      <c r="E3385" s="3" t="inlineStr">
        <is>
          <t>PISTOLA SEMIAUTOMATICA</t>
        </is>
      </c>
      <c r="F3385" s="3" t="inlineStr">
        <is>
          <t>7.65</t>
        </is>
      </c>
      <c r="G3385" s="3" t="inlineStr">
        <is>
          <t>WALTHER PPK</t>
        </is>
      </c>
      <c r="H3385" s="65" t="inlineStr">
        <is>
          <t>N/A</t>
        </is>
      </c>
      <c r="I3385" s="65" t="n">
        <v>393931</v>
      </c>
      <c r="J3385" s="65" t="inlineStr">
        <is>
          <t>N/A</t>
        </is>
      </c>
      <c r="K3385" s="65" t="inlineStr">
        <is>
          <t>N/D</t>
        </is>
      </c>
      <c r="L3385" s="127" t="inlineStr">
        <is>
          <t>Eredi Safari Sport Severi Gino di Armilli M. Teresa.</t>
        </is>
      </c>
      <c r="M3385" s="5" t="n">
        <v>100</v>
      </c>
      <c r="N3385" s="5" t="n"/>
      <c r="O3385" s="5">
        <f>+M3385+N3385</f>
        <v/>
      </c>
      <c r="P3385" s="4" t="n"/>
      <c r="Q3385" s="87" t="n"/>
      <c r="R3385" s="5" t="n"/>
      <c r="S3385" s="2" t="n"/>
      <c r="T3385" s="3" t="n"/>
      <c r="U3385" s="87" t="n"/>
      <c r="V3385" s="3" t="n"/>
      <c r="W3385" s="108" t="n"/>
      <c r="X3385" s="4" t="n"/>
    </row>
    <row r="3386" ht="24" customHeight="1">
      <c r="A3386" s="2">
        <f>+D3386-S3386</f>
        <v/>
      </c>
      <c r="B3386" s="80" t="n">
        <v>4976</v>
      </c>
      <c r="C3386" s="66" t="n">
        <v>45994</v>
      </c>
      <c r="D3386" s="2" t="n">
        <v>1</v>
      </c>
      <c r="E3386" s="3" t="inlineStr">
        <is>
          <t>PISTOLA SEMIAUTOMATICA</t>
        </is>
      </c>
      <c r="F3386" s="3" t="inlineStr">
        <is>
          <t>380</t>
        </is>
      </c>
      <c r="G3386" s="3" t="inlineStr">
        <is>
          <t>BERSA</t>
        </is>
      </c>
      <c r="H3386" s="65" t="inlineStr">
        <is>
          <t>N/A</t>
        </is>
      </c>
      <c r="I3386" s="65" t="n">
        <v>239649</v>
      </c>
      <c r="J3386" s="65" t="inlineStr">
        <is>
          <t>N/A</t>
        </is>
      </c>
      <c r="K3386" s="65" t="inlineStr">
        <is>
          <t>N/D</t>
        </is>
      </c>
      <c r="L3386" s="127" t="inlineStr">
        <is>
          <t>Eredi Safari Sport Severi Gino di Armilli M. Teresa.</t>
        </is>
      </c>
      <c r="M3386" s="5" t="n">
        <v>250</v>
      </c>
      <c r="N3386" s="5" t="n"/>
      <c r="O3386" s="5">
        <f>+M3386+N3386</f>
        <v/>
      </c>
      <c r="P3386" s="4" t="n"/>
      <c r="Q3386" s="87" t="n"/>
      <c r="R3386" s="5" t="n"/>
      <c r="S3386" s="2" t="n"/>
      <c r="T3386" s="3" t="n"/>
      <c r="U3386" s="87" t="n"/>
      <c r="V3386" s="3" t="n"/>
      <c r="W3386" s="108" t="n"/>
      <c r="X3386" s="4" t="n"/>
    </row>
    <row r="3387" ht="24" customHeight="1">
      <c r="A3387" s="2">
        <f>+D3387-S3387</f>
        <v/>
      </c>
      <c r="B3387" s="80" t="n">
        <v>4977</v>
      </c>
      <c r="C3387" s="66" t="n">
        <v>45994</v>
      </c>
      <c r="D3387" s="2" t="n">
        <v>1</v>
      </c>
      <c r="E3387" s="3" t="inlineStr">
        <is>
          <t>PISTOLA SEMIAUTOMATICA</t>
        </is>
      </c>
      <c r="F3387" s="3" t="inlineStr">
        <is>
          <t>7.65</t>
        </is>
      </c>
      <c r="G3387" s="3" t="inlineStr">
        <is>
          <t>BERETTA</t>
        </is>
      </c>
      <c r="H3387" s="65" t="inlineStr">
        <is>
          <t>N/A</t>
        </is>
      </c>
      <c r="I3387" s="65" t="inlineStr">
        <is>
          <t>F40191W</t>
        </is>
      </c>
      <c r="J3387" s="65" t="inlineStr">
        <is>
          <t>N/A</t>
        </is>
      </c>
      <c r="K3387" s="65" t="inlineStr">
        <is>
          <t>N/D</t>
        </is>
      </c>
      <c r="L3387" s="127" t="inlineStr">
        <is>
          <t>Eredi Safari Sport Severi Gino di Armilli M. Teresa.</t>
        </is>
      </c>
      <c r="M3387" s="5" t="n">
        <v>175</v>
      </c>
      <c r="N3387" s="5" t="n"/>
      <c r="O3387" s="5">
        <f>+M3387+N3387</f>
        <v/>
      </c>
      <c r="P3387" s="4" t="n"/>
      <c r="Q3387" s="87" t="n"/>
      <c r="R3387" s="5" t="n"/>
      <c r="S3387" s="2" t="n"/>
      <c r="T3387" s="3" t="n"/>
      <c r="U3387" s="87" t="n"/>
      <c r="V3387" s="3" t="n"/>
      <c r="W3387" s="108" t="n"/>
      <c r="X3387" s="4" t="n"/>
    </row>
    <row r="3388" ht="24" customHeight="1">
      <c r="A3388" s="2">
        <f>+D3388-S3388</f>
        <v/>
      </c>
      <c r="B3388" s="80" t="n">
        <v>4978</v>
      </c>
      <c r="C3388" s="66" t="n">
        <v>45994</v>
      </c>
      <c r="D3388" s="2" t="n">
        <v>1</v>
      </c>
      <c r="E3388" s="3" t="inlineStr">
        <is>
          <t>PISTOLA SEMIAUTOMATICA</t>
        </is>
      </c>
      <c r="F3388" s="3" t="inlineStr">
        <is>
          <t>7.65</t>
        </is>
      </c>
      <c r="G3388" s="3" t="inlineStr">
        <is>
          <t>BERETTA</t>
        </is>
      </c>
      <c r="H3388" s="65" t="inlineStr">
        <is>
          <t>N/A</t>
        </is>
      </c>
      <c r="I3388" s="65" t="inlineStr">
        <is>
          <t>D94937W</t>
        </is>
      </c>
      <c r="J3388" s="65" t="inlineStr">
        <is>
          <t>N/A</t>
        </is>
      </c>
      <c r="K3388" s="65" t="inlineStr">
        <is>
          <t>N/D</t>
        </is>
      </c>
      <c r="L3388" s="127" t="inlineStr">
        <is>
          <t>Eredi Safari Sport Severi Gino di Armilli M. Teresa.</t>
        </is>
      </c>
      <c r="M3388" s="5" t="n">
        <v>25</v>
      </c>
      <c r="N3388" s="5" t="n"/>
      <c r="O3388" s="5">
        <f>+M3388+N3388</f>
        <v/>
      </c>
      <c r="P3388" s="4" t="n"/>
      <c r="Q3388" s="87" t="n"/>
      <c r="R3388" s="5" t="n"/>
      <c r="S3388" s="2" t="n"/>
      <c r="T3388" s="3" t="n"/>
      <c r="U3388" s="87" t="n"/>
      <c r="V3388" s="3" t="n"/>
      <c r="W3388" s="108" t="n"/>
      <c r="X3388" s="4" t="n"/>
    </row>
    <row r="3389" ht="24" customHeight="1">
      <c r="A3389" s="2">
        <f>+D3389-S3389</f>
        <v/>
      </c>
      <c r="B3389" s="80" t="n">
        <v>4979</v>
      </c>
      <c r="C3389" s="66" t="n">
        <v>45994</v>
      </c>
      <c r="D3389" s="2" t="n">
        <v>1</v>
      </c>
      <c r="E3389" s="3" t="inlineStr">
        <is>
          <t>PISTOLA SEMIAUTOMATICA</t>
        </is>
      </c>
      <c r="F3389" s="3" t="inlineStr">
        <is>
          <t>45 ACP</t>
        </is>
      </c>
      <c r="G3389" s="3" t="inlineStr">
        <is>
          <t>PARA ORDONANCE</t>
        </is>
      </c>
      <c r="H3389" s="65" t="inlineStr">
        <is>
          <t>N/A</t>
        </is>
      </c>
      <c r="I3389" s="65" t="inlineStr">
        <is>
          <t>P110245</t>
        </is>
      </c>
      <c r="J3389" s="65" t="inlineStr">
        <is>
          <t>N/A</t>
        </is>
      </c>
      <c r="K3389" s="65" t="inlineStr">
        <is>
          <t>N/D</t>
        </is>
      </c>
      <c r="L3389" s="127" t="inlineStr">
        <is>
          <t>Eredi Safari Sport Severi Gino di Armilli M. Teresa.</t>
        </is>
      </c>
      <c r="M3389" s="5" t="n">
        <v>100</v>
      </c>
      <c r="N3389" s="5" t="n"/>
      <c r="O3389" s="5">
        <f>+M3389+N3389</f>
        <v/>
      </c>
      <c r="P3389" s="4" t="n"/>
      <c r="Q3389" s="87" t="n"/>
      <c r="R3389" s="5" t="n"/>
      <c r="S3389" s="2" t="n"/>
      <c r="T3389" s="3" t="n"/>
      <c r="U3389" s="87" t="n"/>
      <c r="V3389" s="3" t="n"/>
      <c r="W3389" s="108" t="n"/>
      <c r="X3389" s="4" t="n"/>
    </row>
    <row r="3390" ht="24" customHeight="1">
      <c r="A3390" s="2">
        <f>+D3390-S3390</f>
        <v/>
      </c>
      <c r="B3390" s="80" t="n">
        <v>4980</v>
      </c>
      <c r="C3390" s="66" t="n">
        <v>45994</v>
      </c>
      <c r="D3390" s="2" t="n">
        <v>1</v>
      </c>
      <c r="E3390" s="3" t="inlineStr">
        <is>
          <t>PISTOLA SEMIAUTOMATICA</t>
        </is>
      </c>
      <c r="F3390" s="3" t="inlineStr">
        <is>
          <t>45 AUTO</t>
        </is>
      </c>
      <c r="G3390" s="3" t="inlineStr">
        <is>
          <t>COLT</t>
        </is>
      </c>
      <c r="H3390" s="65" t="inlineStr">
        <is>
          <t>N/A</t>
        </is>
      </c>
      <c r="I3390" s="65" t="inlineStr">
        <is>
          <t>GCT09173</t>
        </is>
      </c>
      <c r="J3390" s="65" t="inlineStr">
        <is>
          <t>N/A</t>
        </is>
      </c>
      <c r="K3390" s="65" t="inlineStr">
        <is>
          <t>N/D</t>
        </is>
      </c>
      <c r="L3390" s="127" t="inlineStr">
        <is>
          <t>Eredi Safari Sport Severi Gino di Armilli M. Teresa.</t>
        </is>
      </c>
      <c r="M3390" s="5" t="n">
        <v>200</v>
      </c>
      <c r="N3390" s="5" t="n"/>
      <c r="O3390" s="5">
        <f>+M3390+N3390</f>
        <v/>
      </c>
      <c r="P3390" s="4" t="n"/>
      <c r="Q3390" s="87" t="n"/>
      <c r="R3390" s="5" t="n"/>
      <c r="S3390" s="2" t="n"/>
      <c r="T3390" s="3" t="n"/>
      <c r="U3390" s="87" t="n"/>
      <c r="V3390" s="3" t="n"/>
      <c r="W3390" s="108" t="n"/>
      <c r="X3390" s="4" t="n"/>
    </row>
    <row r="3391" ht="24" customHeight="1">
      <c r="A3391" s="2">
        <f>+D3391-S3391</f>
        <v/>
      </c>
      <c r="B3391" s="80" t="n">
        <v>4981</v>
      </c>
      <c r="C3391" s="66" t="n">
        <v>45994</v>
      </c>
      <c r="D3391" s="2" t="n">
        <v>1</v>
      </c>
      <c r="E3391" s="3" t="inlineStr">
        <is>
          <t>PISTOLA SEMIAUTOMATICA</t>
        </is>
      </c>
      <c r="F3391" s="3" t="inlineStr">
        <is>
          <t>45</t>
        </is>
      </c>
      <c r="G3391" s="3" t="inlineStr">
        <is>
          <t>COLT</t>
        </is>
      </c>
      <c r="H3391" s="65" t="inlineStr">
        <is>
          <t>N/A</t>
        </is>
      </c>
      <c r="I3391" s="65" t="inlineStr">
        <is>
          <t>FC27032E</t>
        </is>
      </c>
      <c r="J3391" s="65" t="inlineStr">
        <is>
          <t>N/A</t>
        </is>
      </c>
      <c r="K3391" s="65" t="inlineStr">
        <is>
          <t>N/D</t>
        </is>
      </c>
      <c r="L3391" s="127" t="inlineStr">
        <is>
          <t>Eredi Safari Sport Severi Gino di Armilli M. Teresa.</t>
        </is>
      </c>
      <c r="M3391" s="5" t="n">
        <v>100</v>
      </c>
      <c r="N3391" s="5" t="n"/>
      <c r="O3391" s="5">
        <f>+M3391+N3391</f>
        <v/>
      </c>
      <c r="P3391" s="4" t="n"/>
      <c r="Q3391" s="87" t="n"/>
      <c r="R3391" s="5" t="n"/>
      <c r="S3391" s="2" t="n"/>
      <c r="T3391" s="3" t="n"/>
      <c r="U3391" s="87" t="n"/>
      <c r="V3391" s="3" t="n"/>
      <c r="W3391" s="108" t="n"/>
      <c r="X3391" s="4" t="n"/>
    </row>
    <row r="3392" ht="24" customHeight="1">
      <c r="A3392" s="2">
        <f>+D3392-S3392</f>
        <v/>
      </c>
      <c r="B3392" s="80" t="n">
        <v>4982</v>
      </c>
      <c r="C3392" s="66" t="n">
        <v>45994</v>
      </c>
      <c r="D3392" s="2" t="n">
        <v>1</v>
      </c>
      <c r="E3392" s="3" t="inlineStr">
        <is>
          <t>PISTOLA SEMIAUTOMATICA</t>
        </is>
      </c>
      <c r="F3392" s="3" t="inlineStr">
        <is>
          <t>45 ACP</t>
        </is>
      </c>
      <c r="G3392" s="3" t="inlineStr">
        <is>
          <t>COLT</t>
        </is>
      </c>
      <c r="H3392" s="65" t="inlineStr">
        <is>
          <t>N/A</t>
        </is>
      </c>
      <c r="I3392" s="65" t="inlineStr">
        <is>
          <t>1050160</t>
        </is>
      </c>
      <c r="J3392" s="65" t="inlineStr">
        <is>
          <t>N/A</t>
        </is>
      </c>
      <c r="K3392" s="65" t="inlineStr">
        <is>
          <t>N/D</t>
        </is>
      </c>
      <c r="L3392" s="127" t="inlineStr">
        <is>
          <t>Eredi Safari Sport Severi Gino di Armilli M. Teresa.</t>
        </is>
      </c>
      <c r="M3392" s="5" t="n">
        <v>100</v>
      </c>
      <c r="N3392" s="5" t="n"/>
      <c r="O3392" s="5">
        <f>+M3392+N3392</f>
        <v/>
      </c>
      <c r="P3392" s="4" t="n"/>
      <c r="Q3392" s="87" t="n"/>
      <c r="R3392" s="5" t="n"/>
      <c r="S3392" s="2" t="n"/>
      <c r="T3392" s="3" t="n"/>
      <c r="U3392" s="87" t="n"/>
      <c r="V3392" s="3" t="n"/>
      <c r="W3392" s="108" t="n"/>
      <c r="X3392" s="4" t="n"/>
    </row>
    <row r="3393" ht="24" customHeight="1">
      <c r="A3393" s="2">
        <f>+D3393-S3393</f>
        <v/>
      </c>
      <c r="B3393" s="80" t="n">
        <v>4983</v>
      </c>
      <c r="C3393" s="66" t="n">
        <v>45994</v>
      </c>
      <c r="D3393" s="2" t="n">
        <v>1</v>
      </c>
      <c r="E3393" s="3" t="inlineStr">
        <is>
          <t>PISTOLA SEMIAUTOMATICA</t>
        </is>
      </c>
      <c r="F3393" s="3" t="inlineStr">
        <is>
          <t>38 SP</t>
        </is>
      </c>
      <c r="G3393" s="3" t="inlineStr">
        <is>
          <t>S&amp;W</t>
        </is>
      </c>
      <c r="H3393" s="65" t="inlineStr">
        <is>
          <t>N/A</t>
        </is>
      </c>
      <c r="I3393" s="65" t="n">
        <v>50921</v>
      </c>
      <c r="J3393" s="65" t="inlineStr">
        <is>
          <t>N/A</t>
        </is>
      </c>
      <c r="K3393" s="65" t="inlineStr">
        <is>
          <t>N/D</t>
        </is>
      </c>
      <c r="L3393" s="127" t="inlineStr">
        <is>
          <t>Eredi Safari Sport Severi Gino di Armilli M. Teresa.</t>
        </is>
      </c>
      <c r="M3393" s="5" t="n">
        <v>100</v>
      </c>
      <c r="N3393" s="5" t="n"/>
      <c r="O3393" s="5">
        <f>+M3393+N3393</f>
        <v/>
      </c>
      <c r="P3393" s="4" t="n"/>
      <c r="Q3393" s="87" t="n"/>
      <c r="R3393" s="5" t="n"/>
      <c r="S3393" s="2" t="n"/>
      <c r="T3393" s="3" t="n"/>
      <c r="U3393" s="87" t="n"/>
      <c r="V3393" s="3" t="n"/>
      <c r="W3393" s="108" t="n"/>
      <c r="X3393" s="4" t="n"/>
    </row>
    <row r="3394" ht="24" customHeight="1">
      <c r="A3394" s="2">
        <f>+D3394-S3394</f>
        <v/>
      </c>
      <c r="B3394" s="80" t="n">
        <v>4984</v>
      </c>
      <c r="C3394" s="66" t="n">
        <v>45994</v>
      </c>
      <c r="D3394" s="2" t="n">
        <v>1</v>
      </c>
      <c r="E3394" s="3" t="inlineStr">
        <is>
          <t>PISTOLA SEMIAUTOMATICA</t>
        </is>
      </c>
      <c r="F3394" s="3" t="inlineStr">
        <is>
          <t>40 S&amp;W</t>
        </is>
      </c>
      <c r="G3394" s="3" t="inlineStr">
        <is>
          <t>WALTHER</t>
        </is>
      </c>
      <c r="H3394" s="65" t="inlineStr">
        <is>
          <t>N/A</t>
        </is>
      </c>
      <c r="I3394" s="65" t="n">
        <v>411414</v>
      </c>
      <c r="J3394" s="65" t="inlineStr">
        <is>
          <t>N/A</t>
        </is>
      </c>
      <c r="K3394" s="65" t="inlineStr">
        <is>
          <t>N/D</t>
        </is>
      </c>
      <c r="L3394" s="127" t="inlineStr">
        <is>
          <t>Eredi Safari Sport Severi Gino di Armilli M. Teresa.</t>
        </is>
      </c>
      <c r="M3394" s="5" t="n">
        <v>50</v>
      </c>
      <c r="N3394" s="5" t="n"/>
      <c r="O3394" s="5">
        <f>+M3394+N3394</f>
        <v/>
      </c>
      <c r="P3394" s="4" t="n"/>
      <c r="Q3394" s="87" t="n"/>
      <c r="R3394" s="5" t="n"/>
      <c r="S3394" s="2" t="n"/>
      <c r="T3394" s="3" t="n"/>
      <c r="U3394" s="87" t="n"/>
      <c r="V3394" s="3" t="n"/>
      <c r="W3394" s="108" t="n"/>
      <c r="X3394" s="4" t="n"/>
    </row>
    <row r="3395" ht="24" customHeight="1">
      <c r="A3395" s="2">
        <f>+D3395-S3395</f>
        <v/>
      </c>
      <c r="B3395" s="80" t="n">
        <v>4985</v>
      </c>
      <c r="C3395" s="66" t="n">
        <v>45994</v>
      </c>
      <c r="D3395" s="2" t="n">
        <v>1</v>
      </c>
      <c r="E3395" s="3" t="inlineStr">
        <is>
          <t>PISTOLA SEMIAUTOMATICA</t>
        </is>
      </c>
      <c r="F3395" s="3" t="inlineStr">
        <is>
          <t>40 S&amp;W</t>
        </is>
      </c>
      <c r="G3395" s="3" t="inlineStr">
        <is>
          <t>CZ</t>
        </is>
      </c>
      <c r="H3395" s="65" t="inlineStr">
        <is>
          <t>N/A</t>
        </is>
      </c>
      <c r="I3395" s="65" t="inlineStr">
        <is>
          <t>C1339</t>
        </is>
      </c>
      <c r="J3395" s="65" t="inlineStr">
        <is>
          <t>N/A</t>
        </is>
      </c>
      <c r="K3395" s="65" t="inlineStr">
        <is>
          <t>N/D</t>
        </is>
      </c>
      <c r="L3395" s="127" t="inlineStr">
        <is>
          <t>Eredi Safari Sport Severi Gino di Armilli M. Teresa.</t>
        </is>
      </c>
      <c r="M3395" s="5" t="n">
        <v>50</v>
      </c>
      <c r="N3395" s="5" t="n"/>
      <c r="O3395" s="5">
        <f>+M3395+N3395</f>
        <v/>
      </c>
      <c r="P3395" s="4" t="n"/>
      <c r="Q3395" s="87" t="n"/>
      <c r="R3395" s="5" t="n"/>
      <c r="S3395" s="2" t="n"/>
      <c r="T3395" s="3" t="n"/>
      <c r="U3395" s="87" t="n"/>
      <c r="V3395" s="3" t="n"/>
      <c r="W3395" s="108" t="n"/>
      <c r="X3395" s="4" t="n"/>
    </row>
    <row r="3396" ht="24" customHeight="1">
      <c r="A3396" s="2">
        <f>+D3396-S3396</f>
        <v/>
      </c>
      <c r="B3396" s="80" t="n">
        <v>4986</v>
      </c>
      <c r="C3396" s="66" t="n">
        <v>45994</v>
      </c>
      <c r="D3396" s="2" t="n">
        <v>1</v>
      </c>
      <c r="E3396" s="3" t="inlineStr">
        <is>
          <t>PISTOLA SEMIAUTOMATICA</t>
        </is>
      </c>
      <c r="F3396" s="3" t="inlineStr">
        <is>
          <t>9 Steyer</t>
        </is>
      </c>
      <c r="G3396" s="3" t="inlineStr">
        <is>
          <t>SIG</t>
        </is>
      </c>
      <c r="H3396" s="65" t="inlineStr">
        <is>
          <t>N/A</t>
        </is>
      </c>
      <c r="I3396" s="65" t="inlineStr">
        <is>
          <t>G133923</t>
        </is>
      </c>
      <c r="J3396" s="65" t="inlineStr">
        <is>
          <t>N/A</t>
        </is>
      </c>
      <c r="K3396" s="65" t="inlineStr">
        <is>
          <t>N/D</t>
        </is>
      </c>
      <c r="L3396" s="127" t="inlineStr">
        <is>
          <t>Eredi Safari Sport Severi Gino di Armilli M. Teresa.</t>
        </is>
      </c>
      <c r="M3396" s="5" t="n">
        <v>100</v>
      </c>
      <c r="N3396" s="5" t="n"/>
      <c r="O3396" s="5">
        <f>+M3396+N3396</f>
        <v/>
      </c>
      <c r="P3396" s="4" t="n"/>
      <c r="Q3396" s="87" t="n"/>
      <c r="R3396" s="5" t="n"/>
      <c r="S3396" s="2" t="n"/>
      <c r="T3396" s="3" t="n"/>
      <c r="U3396" s="87" t="n"/>
      <c r="V3396" s="3" t="n"/>
      <c r="W3396" s="108" t="n"/>
      <c r="X3396" s="4" t="n"/>
    </row>
    <row r="3397" ht="24" customHeight="1">
      <c r="A3397" s="2">
        <f>+D3397-S3397</f>
        <v/>
      </c>
      <c r="B3397" s="80" t="n">
        <v>4987</v>
      </c>
      <c r="C3397" s="66" t="n">
        <v>45994</v>
      </c>
      <c r="D3397" s="2" t="n">
        <v>1</v>
      </c>
      <c r="E3397" s="3" t="inlineStr">
        <is>
          <t>PISTOLA SEMIAUTOMATICA</t>
        </is>
      </c>
      <c r="F3397" s="3" t="inlineStr">
        <is>
          <t>22 LR</t>
        </is>
      </c>
      <c r="G3397" s="3" t="inlineStr">
        <is>
          <t>BERETTA</t>
        </is>
      </c>
      <c r="H3397" s="65" t="inlineStr">
        <is>
          <t>N/A</t>
        </is>
      </c>
      <c r="I3397" s="65" t="inlineStr">
        <is>
          <t>M14360</t>
        </is>
      </c>
      <c r="J3397" s="65" t="inlineStr">
        <is>
          <t>N/A</t>
        </is>
      </c>
      <c r="K3397" s="65" t="inlineStr">
        <is>
          <t>N/D</t>
        </is>
      </c>
      <c r="L3397" s="127" t="inlineStr">
        <is>
          <t>Eredi Safari Sport Severi Gino di Armilli M. Teresa.</t>
        </is>
      </c>
      <c r="M3397" s="5" t="n">
        <v>50</v>
      </c>
      <c r="N3397" s="5" t="n"/>
      <c r="O3397" s="5">
        <f>+M3397+N3397</f>
        <v/>
      </c>
      <c r="P3397" s="4" t="n"/>
      <c r="Q3397" s="87" t="n"/>
      <c r="R3397" s="5" t="n"/>
      <c r="S3397" s="2" t="n"/>
      <c r="T3397" s="3" t="n"/>
      <c r="U3397" s="87" t="n"/>
      <c r="V3397" s="3" t="n"/>
      <c r="W3397" s="108" t="n"/>
      <c r="X3397" s="4" t="n"/>
    </row>
    <row r="3398" ht="24" customHeight="1">
      <c r="A3398" s="2">
        <f>+D3398-S3398</f>
        <v/>
      </c>
      <c r="B3398" s="80" t="n">
        <v>4988</v>
      </c>
      <c r="C3398" s="66" t="n">
        <v>45994</v>
      </c>
      <c r="D3398" s="2" t="n">
        <v>1</v>
      </c>
      <c r="E3398" s="3" t="inlineStr">
        <is>
          <t>PISTOLA SEMIAUTOMATICA</t>
        </is>
      </c>
      <c r="F3398" s="3" t="inlineStr">
        <is>
          <t>7.63 MAUSER</t>
        </is>
      </c>
      <c r="G3398" s="84" t="inlineStr">
        <is>
          <t>MAUSER</t>
        </is>
      </c>
      <c r="H3398" s="65" t="inlineStr">
        <is>
          <t>N/A</t>
        </is>
      </c>
      <c r="I3398" s="107" t="inlineStr">
        <is>
          <t>387063</t>
        </is>
      </c>
      <c r="J3398" s="107" t="inlineStr">
        <is>
          <t>N/A</t>
        </is>
      </c>
      <c r="K3398" s="65" t="inlineStr">
        <is>
          <t>N/D</t>
        </is>
      </c>
      <c r="L3398" s="127" t="inlineStr">
        <is>
          <t>Eredi Safari Sport Severi Gino di Armilli M. Teresa.</t>
        </is>
      </c>
      <c r="M3398" s="5" t="n">
        <v>350</v>
      </c>
      <c r="N3398" s="5" t="n"/>
      <c r="O3398" s="5">
        <f>+M3398+N3398</f>
        <v/>
      </c>
      <c r="P3398" s="4" t="n"/>
      <c r="Q3398" s="87" t="n"/>
      <c r="R3398" s="5" t="n"/>
      <c r="S3398" s="2" t="n"/>
      <c r="T3398" s="3" t="n"/>
      <c r="U3398" s="87" t="n"/>
      <c r="V3398" s="3" t="n"/>
      <c r="W3398" s="108" t="n"/>
      <c r="X3398" s="4" t="n"/>
    </row>
    <row r="3399" ht="24" customHeight="1">
      <c r="A3399" s="2">
        <f>+D3399-S3399</f>
        <v/>
      </c>
      <c r="B3399" s="80" t="n">
        <v>4989</v>
      </c>
      <c r="C3399" s="66" t="n">
        <v>45994</v>
      </c>
      <c r="D3399" s="2" t="n">
        <v>1</v>
      </c>
      <c r="E3399" s="3" t="inlineStr">
        <is>
          <t>PISTOLA SEMIAUTOMATICA</t>
        </is>
      </c>
      <c r="F3399" s="3" t="inlineStr">
        <is>
          <t>7.65</t>
        </is>
      </c>
      <c r="G3399" s="84" t="inlineStr">
        <is>
          <t>WALTHER</t>
        </is>
      </c>
      <c r="H3399" s="65" t="inlineStr">
        <is>
          <t>N/A</t>
        </is>
      </c>
      <c r="I3399" s="107" t="n">
        <v>329287</v>
      </c>
      <c r="J3399" s="107" t="inlineStr">
        <is>
          <t>N/A</t>
        </is>
      </c>
      <c r="K3399" s="65" t="inlineStr">
        <is>
          <t>N/D</t>
        </is>
      </c>
      <c r="L3399" s="127" t="inlineStr">
        <is>
          <t>Eredi Safari Sport Severi Gino di Armilli M. Teresa.</t>
        </is>
      </c>
      <c r="M3399" s="5" t="n">
        <v>50</v>
      </c>
      <c r="N3399" s="5" t="n"/>
      <c r="O3399" s="5">
        <f>+M3399+N3399</f>
        <v/>
      </c>
      <c r="P3399" s="4" t="n"/>
      <c r="Q3399" s="87" t="n"/>
      <c r="R3399" s="5" t="n"/>
      <c r="S3399" s="2" t="n"/>
      <c r="T3399" s="3" t="n"/>
      <c r="U3399" s="87" t="n"/>
      <c r="V3399" s="3" t="n"/>
      <c r="W3399" s="108" t="n"/>
      <c r="X3399" s="4" t="n"/>
    </row>
    <row r="3400" ht="24" customHeight="1">
      <c r="A3400" s="2">
        <f>+D3400-S3400</f>
        <v/>
      </c>
      <c r="B3400" s="80" t="n">
        <v>4990</v>
      </c>
      <c r="C3400" s="66" t="n">
        <v>45995</v>
      </c>
      <c r="D3400" s="2" t="n">
        <v>1</v>
      </c>
      <c r="E3400" s="3" t="inlineStr">
        <is>
          <t>CARABINA SEMIAUTOMATICA</t>
        </is>
      </c>
      <c r="F3400" s="3" t="inlineStr">
        <is>
          <t>308 WIN</t>
        </is>
      </c>
      <c r="G3400" s="84" t="inlineStr">
        <is>
          <t>H&amp;K</t>
        </is>
      </c>
      <c r="H3400" s="107" t="inlineStr">
        <is>
          <t>MR308 13''</t>
        </is>
      </c>
      <c r="I3400" s="107" t="inlineStr">
        <is>
          <t>144-016570</t>
        </is>
      </c>
      <c r="J3400" s="107" t="inlineStr">
        <is>
          <t>N/A</t>
        </is>
      </c>
      <c r="K3400" s="65" t="inlineStr">
        <is>
          <t>N/D</t>
        </is>
      </c>
      <c r="L3400" s="127" t="inlineStr">
        <is>
          <t>TFC</t>
        </is>
      </c>
      <c r="M3400" s="5" t="n">
        <v>2567</v>
      </c>
      <c r="N3400" s="5" t="n"/>
      <c r="O3400" s="5">
        <f>+M3400+N3400</f>
        <v/>
      </c>
      <c r="P3400" s="4" t="n"/>
      <c r="Q3400" s="87" t="n"/>
      <c r="R3400" s="5" t="n"/>
      <c r="S3400" s="2" t="n"/>
      <c r="T3400" s="3" t="n"/>
      <c r="U3400" s="87" t="n"/>
      <c r="V3400" s="3" t="n"/>
      <c r="W3400" s="108" t="n"/>
      <c r="X3400" s="4" t="n"/>
    </row>
    <row r="3401" ht="24" customHeight="1">
      <c r="A3401" s="2">
        <f>+D3401-S3401</f>
        <v/>
      </c>
      <c r="B3401" s="80" t="n">
        <v>4991</v>
      </c>
      <c r="C3401" s="66" t="n">
        <v>45995</v>
      </c>
      <c r="D3401" s="2" t="n">
        <v>1</v>
      </c>
      <c r="E3401" s="3" t="inlineStr">
        <is>
          <t>CARABINA SEMIAUTOMATICA</t>
        </is>
      </c>
      <c r="F3401" s="3" t="inlineStr">
        <is>
          <t>308 WIN</t>
        </is>
      </c>
      <c r="G3401" s="84" t="inlineStr">
        <is>
          <t>H&amp;K</t>
        </is>
      </c>
      <c r="H3401" s="107" t="inlineStr">
        <is>
          <t>G28-Z</t>
        </is>
      </c>
      <c r="I3401" s="107" t="inlineStr">
        <is>
          <t>244-002967</t>
        </is>
      </c>
      <c r="J3401" s="107" t="inlineStr">
        <is>
          <t>N/A</t>
        </is>
      </c>
      <c r="K3401" s="65" t="inlineStr">
        <is>
          <t>N/D</t>
        </is>
      </c>
      <c r="L3401" s="127" t="inlineStr">
        <is>
          <t>TFC</t>
        </is>
      </c>
      <c r="M3401" s="5" t="n">
        <v>4026</v>
      </c>
      <c r="N3401" s="5" t="n"/>
      <c r="O3401" s="5">
        <f>+M3401+N3401</f>
        <v/>
      </c>
      <c r="P3401" s="4" t="n"/>
      <c r="Q3401" s="87" t="n"/>
      <c r="R3401" s="5" t="n"/>
      <c r="S3401" s="2" t="n"/>
      <c r="T3401" s="3" t="n"/>
      <c r="U3401" s="87" t="n"/>
      <c r="V3401" s="3" t="n"/>
      <c r="W3401" s="108" t="n"/>
      <c r="X3401" s="4" t="n"/>
    </row>
    <row r="3402" ht="24" customHeight="1">
      <c r="A3402" s="2">
        <f>+D3402-S3402</f>
        <v/>
      </c>
      <c r="B3402" s="80" t="n">
        <v>4992</v>
      </c>
      <c r="C3402" s="66" t="n">
        <v>45995</v>
      </c>
      <c r="D3402" s="2" t="n">
        <v>1</v>
      </c>
      <c r="E3402" s="3" t="inlineStr">
        <is>
          <t>PISTOLA SEMIAUTOMATICA</t>
        </is>
      </c>
      <c r="F3402" s="3" t="inlineStr">
        <is>
          <t>9MM</t>
        </is>
      </c>
      <c r="G3402" s="84" t="inlineStr">
        <is>
          <t>H&amp;K</t>
        </is>
      </c>
      <c r="H3402" s="107" t="inlineStr">
        <is>
          <t>P-30 NERA</t>
        </is>
      </c>
      <c r="I3402" s="107" t="inlineStr">
        <is>
          <t>129-144602</t>
        </is>
      </c>
      <c r="J3402" s="107" t="inlineStr">
        <is>
          <t>N/A</t>
        </is>
      </c>
      <c r="K3402" s="65" t="inlineStr">
        <is>
          <t>N/D</t>
        </is>
      </c>
      <c r="L3402" s="127" t="inlineStr">
        <is>
          <t>TFC</t>
        </is>
      </c>
      <c r="M3402" s="5" t="n">
        <v>585</v>
      </c>
      <c r="N3402" s="5" t="n"/>
      <c r="O3402" s="5">
        <f>+M3402+N3402</f>
        <v/>
      </c>
      <c r="P3402" s="4" t="n"/>
      <c r="Q3402" s="87" t="n"/>
      <c r="R3402" s="5" t="n"/>
      <c r="S3402" s="2" t="n"/>
      <c r="T3402" s="3" t="n"/>
      <c r="U3402" s="87" t="n"/>
      <c r="V3402" s="3" t="n"/>
      <c r="W3402" s="108" t="n"/>
      <c r="X3402" s="4" t="n"/>
    </row>
    <row r="3403" ht="24" customHeight="1">
      <c r="A3403" s="2">
        <f>+D3403-S3403</f>
        <v/>
      </c>
      <c r="B3403" s="80" t="n">
        <v>4993</v>
      </c>
      <c r="C3403" s="66" t="n">
        <v>45995</v>
      </c>
      <c r="D3403" s="2" t="n">
        <v>1</v>
      </c>
      <c r="E3403" s="3" t="inlineStr">
        <is>
          <t>PISTOLA SEMIAUTOMATICA</t>
        </is>
      </c>
      <c r="F3403" s="3" t="inlineStr">
        <is>
          <t>9MM</t>
        </is>
      </c>
      <c r="G3403" s="84" t="inlineStr">
        <is>
          <t>H&amp;K</t>
        </is>
      </c>
      <c r="H3403" s="107" t="inlineStr">
        <is>
          <t>P-30 NERA</t>
        </is>
      </c>
      <c r="I3403" s="107" t="inlineStr">
        <is>
          <t>129-144603</t>
        </is>
      </c>
      <c r="J3403" s="107" t="inlineStr">
        <is>
          <t>N/A</t>
        </is>
      </c>
      <c r="K3403" s="65" t="inlineStr">
        <is>
          <t>N/D</t>
        </is>
      </c>
      <c r="L3403" s="127" t="inlineStr">
        <is>
          <t>TFC</t>
        </is>
      </c>
      <c r="M3403" s="5" t="n">
        <v>585</v>
      </c>
      <c r="N3403" s="5" t="n"/>
      <c r="O3403" s="5">
        <f>+M3403+N3403</f>
        <v/>
      </c>
      <c r="P3403" s="4" t="n"/>
      <c r="Q3403" s="87" t="n"/>
      <c r="R3403" s="5" t="n"/>
      <c r="S3403" s="2" t="n"/>
      <c r="T3403" s="3" t="n"/>
      <c r="U3403" s="87" t="n"/>
      <c r="V3403" s="3" t="n"/>
      <c r="W3403" s="108" t="n"/>
      <c r="X3403" s="4" t="n"/>
    </row>
    <row r="3404" ht="24" customHeight="1">
      <c r="A3404" s="2">
        <f>+D3404-S3404</f>
        <v/>
      </c>
      <c r="B3404" s="80" t="n">
        <v>4994</v>
      </c>
      <c r="C3404" s="66" t="n">
        <v>45995</v>
      </c>
      <c r="D3404" s="2" t="n">
        <v>1</v>
      </c>
      <c r="E3404" s="3" t="inlineStr">
        <is>
          <t>PISTOLA SEMIAUTOMATICA</t>
        </is>
      </c>
      <c r="F3404" s="3" t="inlineStr">
        <is>
          <t>9MM</t>
        </is>
      </c>
      <c r="G3404" s="84" t="inlineStr">
        <is>
          <t>H&amp;K</t>
        </is>
      </c>
      <c r="H3404" s="107" t="inlineStr">
        <is>
          <t>P-30 NERA</t>
        </is>
      </c>
      <c r="I3404" s="107" t="inlineStr">
        <is>
          <t>129-144604</t>
        </is>
      </c>
      <c r="J3404" s="107" t="inlineStr">
        <is>
          <t>N/A</t>
        </is>
      </c>
      <c r="K3404" s="65" t="inlineStr">
        <is>
          <t>N/D</t>
        </is>
      </c>
      <c r="L3404" s="127" t="inlineStr">
        <is>
          <t>TFC</t>
        </is>
      </c>
      <c r="M3404" s="5" t="n">
        <v>585</v>
      </c>
      <c r="N3404" s="5" t="n"/>
      <c r="O3404" s="5">
        <f>+M3404+N3404</f>
        <v/>
      </c>
      <c r="P3404" s="4" t="n"/>
      <c r="Q3404" s="87" t="n"/>
      <c r="R3404" s="5" t="n"/>
      <c r="S3404" s="2" t="n"/>
      <c r="T3404" s="3" t="n"/>
      <c r="U3404" s="87" t="n"/>
      <c r="V3404" s="3" t="n"/>
      <c r="W3404" s="108" t="n"/>
      <c r="X3404" s="4" t="n"/>
    </row>
    <row r="3405" ht="24" customHeight="1">
      <c r="A3405" s="2">
        <f>+D3405-S3405</f>
        <v/>
      </c>
      <c r="B3405" s="80" t="n">
        <v>4995</v>
      </c>
      <c r="C3405" s="66" t="n">
        <v>45995</v>
      </c>
      <c r="D3405" s="2" t="n">
        <v>1</v>
      </c>
      <c r="E3405" s="3" t="inlineStr">
        <is>
          <t>PISTOLA SEMIAUTOMATICA</t>
        </is>
      </c>
      <c r="F3405" s="3" t="inlineStr">
        <is>
          <t>9MM</t>
        </is>
      </c>
      <c r="G3405" s="84" t="inlineStr">
        <is>
          <t>H&amp;K</t>
        </is>
      </c>
      <c r="H3405" s="107" t="inlineStr">
        <is>
          <t>P-30 NERA</t>
        </is>
      </c>
      <c r="I3405" s="107" t="inlineStr">
        <is>
          <t>129-144605</t>
        </is>
      </c>
      <c r="J3405" s="107" t="inlineStr">
        <is>
          <t>N/A</t>
        </is>
      </c>
      <c r="K3405" s="65" t="inlineStr">
        <is>
          <t>N/D</t>
        </is>
      </c>
      <c r="L3405" s="127" t="inlineStr">
        <is>
          <t>TFC</t>
        </is>
      </c>
      <c r="M3405" s="5" t="n">
        <v>585</v>
      </c>
      <c r="N3405" s="5" t="n"/>
      <c r="O3405" s="5">
        <f>+M3405+N3405</f>
        <v/>
      </c>
      <c r="P3405" s="4" t="n"/>
      <c r="Q3405" s="87" t="n"/>
      <c r="R3405" s="5" t="n"/>
      <c r="S3405" s="2" t="n"/>
      <c r="T3405" s="3" t="n"/>
      <c r="U3405" s="87" t="n"/>
      <c r="V3405" s="3" t="n"/>
      <c r="W3405" s="108" t="n"/>
      <c r="X3405" s="4" t="n"/>
    </row>
    <row r="3406" ht="24" customHeight="1">
      <c r="A3406" s="2">
        <f>+D3406-S3406</f>
        <v/>
      </c>
      <c r="B3406" s="80" t="n">
        <v>4996</v>
      </c>
      <c r="C3406" s="66" t="n">
        <v>45995</v>
      </c>
      <c r="D3406" s="2" t="n">
        <v>1</v>
      </c>
      <c r="E3406" s="3" t="inlineStr">
        <is>
          <t>PISTOLA SEMIAUTOMATICA</t>
        </is>
      </c>
      <c r="F3406" s="3" t="inlineStr">
        <is>
          <t>9MM</t>
        </is>
      </c>
      <c r="G3406" s="84" t="inlineStr">
        <is>
          <t>H&amp;K</t>
        </is>
      </c>
      <c r="H3406" s="107" t="inlineStr">
        <is>
          <t>P-30 NERA</t>
        </is>
      </c>
      <c r="I3406" s="107" t="inlineStr">
        <is>
          <t>129-144606</t>
        </is>
      </c>
      <c r="J3406" s="107" t="inlineStr">
        <is>
          <t>N/A</t>
        </is>
      </c>
      <c r="K3406" s="65" t="inlineStr">
        <is>
          <t>N/D</t>
        </is>
      </c>
      <c r="L3406" s="127" t="inlineStr">
        <is>
          <t>TFC</t>
        </is>
      </c>
      <c r="M3406" s="5" t="n">
        <v>585</v>
      </c>
      <c r="N3406" s="5" t="n"/>
      <c r="O3406" s="5">
        <f>+M3406+N3406</f>
        <v/>
      </c>
      <c r="P3406" s="4" t="n"/>
      <c r="Q3406" s="87" t="n"/>
      <c r="R3406" s="5" t="n"/>
      <c r="S3406" s="2" t="n"/>
      <c r="T3406" s="3" t="n"/>
      <c r="U3406" s="87" t="n"/>
      <c r="V3406" s="3" t="n"/>
      <c r="W3406" s="108" t="n"/>
      <c r="X3406" s="4" t="n"/>
    </row>
    <row r="3407" ht="24" customHeight="1">
      <c r="A3407" s="2">
        <f>+D3407-S3407</f>
        <v/>
      </c>
      <c r="B3407" s="80" t="n">
        <v>4997</v>
      </c>
      <c r="C3407" s="66" t="n">
        <v>45995</v>
      </c>
      <c r="D3407" s="2" t="n">
        <v>1</v>
      </c>
      <c r="E3407" s="3" t="inlineStr">
        <is>
          <t>PISTOLA SEMIAUTOMATICA</t>
        </is>
      </c>
      <c r="F3407" s="3" t="inlineStr">
        <is>
          <t>9MM</t>
        </is>
      </c>
      <c r="G3407" s="84" t="inlineStr">
        <is>
          <t>H&amp;K</t>
        </is>
      </c>
      <c r="H3407" s="107" t="inlineStr">
        <is>
          <t>P-30 NERA</t>
        </is>
      </c>
      <c r="I3407" s="107" t="inlineStr">
        <is>
          <t>129-144607</t>
        </is>
      </c>
      <c r="J3407" s="107" t="inlineStr">
        <is>
          <t>N/A</t>
        </is>
      </c>
      <c r="K3407" s="65" t="inlineStr">
        <is>
          <t>N/D</t>
        </is>
      </c>
      <c r="L3407" s="127" t="inlineStr">
        <is>
          <t>TFC</t>
        </is>
      </c>
      <c r="M3407" s="5" t="n">
        <v>585</v>
      </c>
      <c r="N3407" s="5" t="n"/>
      <c r="O3407" s="5">
        <f>+M3407+N3407</f>
        <v/>
      </c>
      <c r="P3407" s="4" t="n"/>
      <c r="Q3407" s="87" t="n"/>
      <c r="R3407" s="5" t="n"/>
      <c r="S3407" s="2" t="n"/>
      <c r="T3407" s="3" t="n"/>
      <c r="U3407" s="87" t="n"/>
      <c r="V3407" s="3" t="n"/>
      <c r="W3407" s="108" t="n"/>
      <c r="X3407" s="4" t="n"/>
    </row>
    <row r="3408" ht="24" customHeight="1">
      <c r="A3408" s="2">
        <f>+D3408-S3408</f>
        <v/>
      </c>
      <c r="B3408" s="80" t="n">
        <v>4998</v>
      </c>
      <c r="C3408" s="66" t="n">
        <v>45995</v>
      </c>
      <c r="D3408" s="2" t="n">
        <v>1</v>
      </c>
      <c r="E3408" s="3" t="inlineStr">
        <is>
          <t>PISTOLA SEMIAUTOMATICA</t>
        </is>
      </c>
      <c r="F3408" s="3" t="inlineStr">
        <is>
          <t>9MM</t>
        </is>
      </c>
      <c r="G3408" s="84" t="inlineStr">
        <is>
          <t>H&amp;K</t>
        </is>
      </c>
      <c r="H3408" s="107" t="inlineStr">
        <is>
          <t>P-30 NERA</t>
        </is>
      </c>
      <c r="I3408" s="107" t="inlineStr">
        <is>
          <t>129-144608</t>
        </is>
      </c>
      <c r="J3408" s="107" t="inlineStr">
        <is>
          <t>N/A</t>
        </is>
      </c>
      <c r="K3408" s="65" t="inlineStr">
        <is>
          <t>N/D</t>
        </is>
      </c>
      <c r="L3408" s="127" t="inlineStr">
        <is>
          <t>TFC</t>
        </is>
      </c>
      <c r="M3408" s="5" t="n">
        <v>585</v>
      </c>
      <c r="N3408" s="5" t="n"/>
      <c r="O3408" s="5">
        <f>+M3408+N3408</f>
        <v/>
      </c>
      <c r="P3408" s="4" t="n"/>
      <c r="Q3408" s="87" t="n"/>
      <c r="R3408" s="5" t="n"/>
      <c r="S3408" s="2" t="n"/>
      <c r="T3408" s="3" t="n"/>
      <c r="U3408" s="87" t="n"/>
      <c r="V3408" s="3" t="n"/>
      <c r="W3408" s="108" t="n"/>
      <c r="X3408" s="4" t="n"/>
    </row>
    <row r="3409" ht="24" customHeight="1">
      <c r="A3409" s="2">
        <f>+D3409-S3409</f>
        <v/>
      </c>
      <c r="B3409" s="80" t="n">
        <v>4999</v>
      </c>
      <c r="C3409" s="66" t="n">
        <v>45995</v>
      </c>
      <c r="D3409" s="2" t="n">
        <v>1</v>
      </c>
      <c r="E3409" s="3" t="inlineStr">
        <is>
          <t>PISTOLA SEMIAUTOMATICA</t>
        </is>
      </c>
      <c r="F3409" s="3" t="inlineStr">
        <is>
          <t>9MM</t>
        </is>
      </c>
      <c r="G3409" s="84" t="inlineStr">
        <is>
          <t>H&amp;K</t>
        </is>
      </c>
      <c r="H3409" s="107" t="inlineStr">
        <is>
          <t>P-30 NERA</t>
        </is>
      </c>
      <c r="I3409" s="107" t="inlineStr">
        <is>
          <t>129-144609</t>
        </is>
      </c>
      <c r="J3409" s="107" t="inlineStr">
        <is>
          <t>N/A</t>
        </is>
      </c>
      <c r="K3409" s="65" t="inlineStr">
        <is>
          <t>N/D</t>
        </is>
      </c>
      <c r="L3409" s="127" t="inlineStr">
        <is>
          <t>TFC</t>
        </is>
      </c>
      <c r="M3409" s="5" t="n">
        <v>585</v>
      </c>
      <c r="N3409" s="5" t="n"/>
      <c r="O3409" s="5">
        <f>+M3409+N3409</f>
        <v/>
      </c>
      <c r="P3409" s="4" t="n"/>
      <c r="Q3409" s="87" t="n"/>
      <c r="R3409" s="5" t="n"/>
      <c r="S3409" s="2" t="n"/>
      <c r="T3409" s="3" t="n"/>
      <c r="U3409" s="87" t="n"/>
      <c r="V3409" s="3" t="n"/>
      <c r="W3409" s="108" t="n"/>
      <c r="X3409" s="4" t="n"/>
    </row>
    <row r="3410" ht="24" customHeight="1">
      <c r="A3410" s="2">
        <f>+D3410-S3410</f>
        <v/>
      </c>
      <c r="B3410" s="80" t="n">
        <v>5000</v>
      </c>
      <c r="C3410" s="66" t="n">
        <v>45995</v>
      </c>
      <c r="D3410" s="2" t="n">
        <v>1</v>
      </c>
      <c r="E3410" s="3" t="inlineStr">
        <is>
          <t>PISTOLA SEMIAUTOMATICA</t>
        </is>
      </c>
      <c r="F3410" s="3" t="inlineStr">
        <is>
          <t>9MM</t>
        </is>
      </c>
      <c r="G3410" s="84" t="inlineStr">
        <is>
          <t>H&amp;K</t>
        </is>
      </c>
      <c r="H3410" s="107" t="inlineStr">
        <is>
          <t>P-30 NERA</t>
        </is>
      </c>
      <c r="I3410" s="107" t="inlineStr">
        <is>
          <t>129-144610</t>
        </is>
      </c>
      <c r="J3410" s="107" t="inlineStr">
        <is>
          <t>N/A</t>
        </is>
      </c>
      <c r="K3410" s="65" t="inlineStr">
        <is>
          <t>N/D</t>
        </is>
      </c>
      <c r="L3410" s="127" t="inlineStr">
        <is>
          <t>TFC</t>
        </is>
      </c>
      <c r="M3410" s="5" t="n">
        <v>585</v>
      </c>
      <c r="N3410" s="5" t="n"/>
      <c r="O3410" s="5">
        <f>+M3410+N3410</f>
        <v/>
      </c>
      <c r="P3410" s="4" t="n"/>
      <c r="Q3410" s="87" t="n"/>
      <c r="R3410" s="5" t="n"/>
      <c r="S3410" s="2" t="n"/>
      <c r="T3410" s="3" t="n"/>
      <c r="U3410" s="87" t="n"/>
      <c r="V3410" s="3" t="n"/>
      <c r="W3410" s="108" t="n"/>
      <c r="X3410" s="4" t="n"/>
    </row>
    <row r="3411" ht="24" customHeight="1">
      <c r="A3411" s="2">
        <f>+D3411-S3411</f>
        <v/>
      </c>
      <c r="B3411" s="80" t="n">
        <v>5001</v>
      </c>
      <c r="C3411" s="66" t="n">
        <v>45995</v>
      </c>
      <c r="D3411" s="2" t="n">
        <v>1</v>
      </c>
      <c r="E3411" s="3" t="inlineStr">
        <is>
          <t>PISTOLA SEMIAUTOMATICA</t>
        </is>
      </c>
      <c r="F3411" s="3" t="inlineStr">
        <is>
          <t>9MM</t>
        </is>
      </c>
      <c r="G3411" s="84" t="inlineStr">
        <is>
          <t>H&amp;K</t>
        </is>
      </c>
      <c r="H3411" s="107" t="inlineStr">
        <is>
          <t>P-30 NERA</t>
        </is>
      </c>
      <c r="I3411" s="107" t="inlineStr">
        <is>
          <t>129-144611</t>
        </is>
      </c>
      <c r="J3411" s="107" t="inlineStr">
        <is>
          <t>N/A</t>
        </is>
      </c>
      <c r="K3411" s="65" t="inlineStr">
        <is>
          <t>N/D</t>
        </is>
      </c>
      <c r="L3411" s="127" t="inlineStr">
        <is>
          <t>TFC</t>
        </is>
      </c>
      <c r="M3411" s="5" t="n">
        <v>585</v>
      </c>
      <c r="N3411" s="5" t="n"/>
      <c r="O3411" s="5">
        <f>+M3411+N3411</f>
        <v/>
      </c>
      <c r="P3411" s="4" t="n"/>
      <c r="Q3411" s="87" t="n"/>
      <c r="R3411" s="5" t="n"/>
      <c r="S3411" s="2" t="n"/>
      <c r="T3411" s="3" t="n"/>
      <c r="U3411" s="87" t="n"/>
      <c r="V3411" s="3" t="n"/>
      <c r="W3411" s="108" t="n"/>
      <c r="X3411" s="4" t="n"/>
    </row>
    <row r="3412" ht="24" customHeight="1">
      <c r="A3412" s="2">
        <f>+D3412-S3412</f>
        <v/>
      </c>
      <c r="B3412" s="80" t="n">
        <v>5002</v>
      </c>
      <c r="C3412" s="66" t="n">
        <v>45995</v>
      </c>
      <c r="D3412" s="2" t="n">
        <v>1</v>
      </c>
      <c r="E3412" s="3" t="inlineStr">
        <is>
          <t>PISTOLA SEMIAUTOMATICA</t>
        </is>
      </c>
      <c r="F3412" s="3" t="inlineStr">
        <is>
          <t>9MM</t>
        </is>
      </c>
      <c r="G3412" s="84" t="inlineStr">
        <is>
          <t>H&amp;K</t>
        </is>
      </c>
      <c r="H3412" s="107" t="inlineStr">
        <is>
          <t>P-30 NERA</t>
        </is>
      </c>
      <c r="I3412" s="107" t="inlineStr">
        <is>
          <t>129-144612</t>
        </is>
      </c>
      <c r="J3412" s="107" t="inlineStr">
        <is>
          <t>N/A</t>
        </is>
      </c>
      <c r="K3412" s="65" t="inlineStr">
        <is>
          <t>N/D</t>
        </is>
      </c>
      <c r="L3412" s="127" t="inlineStr">
        <is>
          <t>TFC</t>
        </is>
      </c>
      <c r="M3412" s="5" t="n">
        <v>585</v>
      </c>
      <c r="N3412" s="5" t="n"/>
      <c r="O3412" s="5">
        <f>+M3412+N3412</f>
        <v/>
      </c>
      <c r="P3412" s="4" t="n"/>
      <c r="Q3412" s="87" t="n"/>
      <c r="R3412" s="5" t="n"/>
      <c r="S3412" s="2" t="n"/>
      <c r="T3412" s="3" t="n"/>
      <c r="U3412" s="87" t="n"/>
      <c r="V3412" s="3" t="n"/>
      <c r="W3412" s="108" t="n"/>
      <c r="X3412" s="4" t="n"/>
    </row>
    <row r="3413" ht="24" customHeight="1">
      <c r="A3413" s="2">
        <f>+D3413-S3413</f>
        <v/>
      </c>
      <c r="B3413" s="80" t="n">
        <v>5003</v>
      </c>
      <c r="C3413" s="66" t="n">
        <v>45995</v>
      </c>
      <c r="D3413" s="2" t="n">
        <v>1</v>
      </c>
      <c r="E3413" s="3" t="inlineStr">
        <is>
          <t>PISTOLA SEMIAUTOMATICA</t>
        </is>
      </c>
      <c r="F3413" s="3" t="inlineStr">
        <is>
          <t>9MM</t>
        </is>
      </c>
      <c r="G3413" s="84" t="inlineStr">
        <is>
          <t>H&amp;K</t>
        </is>
      </c>
      <c r="H3413" s="107" t="inlineStr">
        <is>
          <t>P-30 NERA</t>
        </is>
      </c>
      <c r="I3413" s="107" t="inlineStr">
        <is>
          <t>129-144613</t>
        </is>
      </c>
      <c r="J3413" s="107" t="inlineStr">
        <is>
          <t>N/A</t>
        </is>
      </c>
      <c r="K3413" s="65" t="inlineStr">
        <is>
          <t>N/D</t>
        </is>
      </c>
      <c r="L3413" s="127" t="inlineStr">
        <is>
          <t>TFC</t>
        </is>
      </c>
      <c r="M3413" s="5" t="n">
        <v>585</v>
      </c>
      <c r="N3413" s="5" t="n"/>
      <c r="O3413" s="5">
        <f>+M3413+N3413</f>
        <v/>
      </c>
      <c r="P3413" s="4" t="n"/>
      <c r="Q3413" s="87" t="n"/>
      <c r="R3413" s="5" t="n"/>
      <c r="S3413" s="2" t="n"/>
      <c r="T3413" s="3" t="n"/>
      <c r="U3413" s="87" t="n"/>
      <c r="V3413" s="3" t="n"/>
      <c r="W3413" s="108" t="n"/>
      <c r="X3413" s="4" t="n"/>
    </row>
    <row r="3414" ht="24" customHeight="1">
      <c r="A3414" s="2">
        <f>+D3414-S3414</f>
        <v/>
      </c>
      <c r="B3414" s="80" t="n">
        <v>5004</v>
      </c>
      <c r="C3414" s="66" t="n">
        <v>45995</v>
      </c>
      <c r="D3414" s="2" t="n">
        <v>1</v>
      </c>
      <c r="E3414" s="3" t="inlineStr">
        <is>
          <t>PISTOLA SEMIAUTOMATICA</t>
        </is>
      </c>
      <c r="F3414" s="3" t="inlineStr">
        <is>
          <t>9MM</t>
        </is>
      </c>
      <c r="G3414" s="84" t="inlineStr">
        <is>
          <t>H&amp;K</t>
        </is>
      </c>
      <c r="H3414" s="107" t="inlineStr">
        <is>
          <t>SFP9L-OR PB NERA</t>
        </is>
      </c>
      <c r="I3414" s="107" t="inlineStr">
        <is>
          <t>239-006982</t>
        </is>
      </c>
      <c r="J3414" s="107" t="inlineStr">
        <is>
          <t>N/A</t>
        </is>
      </c>
      <c r="K3414" s="65" t="inlineStr">
        <is>
          <t>N/D</t>
        </is>
      </c>
      <c r="L3414" s="127" t="inlineStr">
        <is>
          <t>TFC</t>
        </is>
      </c>
      <c r="M3414" s="5" t="n">
        <v>675</v>
      </c>
      <c r="N3414" s="5" t="n"/>
      <c r="O3414" s="5">
        <f>+M3414+N3414</f>
        <v/>
      </c>
      <c r="P3414" s="4" t="n"/>
      <c r="Q3414" s="87" t="n"/>
      <c r="R3414" s="5" t="n"/>
      <c r="S3414" s="2" t="n"/>
      <c r="T3414" s="3" t="n"/>
      <c r="U3414" s="87" t="n"/>
      <c r="V3414" s="3" t="n"/>
      <c r="W3414" s="108" t="n"/>
      <c r="X3414" s="4" t="n"/>
    </row>
    <row r="3415" ht="24" customHeight="1">
      <c r="A3415" s="2">
        <f>+D3415-S3415</f>
        <v/>
      </c>
      <c r="B3415" s="80" t="n">
        <v>5005</v>
      </c>
      <c r="C3415" s="66" t="n">
        <v>45995</v>
      </c>
      <c r="D3415" s="2" t="n">
        <v>1</v>
      </c>
      <c r="E3415" s="3" t="inlineStr">
        <is>
          <t>PISTOLA SEMIAUTOMATICA</t>
        </is>
      </c>
      <c r="F3415" s="3" t="inlineStr">
        <is>
          <t>9MM</t>
        </is>
      </c>
      <c r="G3415" s="84" t="inlineStr">
        <is>
          <t>H&amp;K</t>
        </is>
      </c>
      <c r="H3415" s="107" t="inlineStr">
        <is>
          <t>SFP9L-OR PB NERA</t>
        </is>
      </c>
      <c r="I3415" s="107" t="inlineStr">
        <is>
          <t>239-006983</t>
        </is>
      </c>
      <c r="J3415" s="107" t="inlineStr">
        <is>
          <t>N/A</t>
        </is>
      </c>
      <c r="K3415" s="65" t="inlineStr">
        <is>
          <t>N/D</t>
        </is>
      </c>
      <c r="L3415" s="127" t="inlineStr">
        <is>
          <t>TFC</t>
        </is>
      </c>
      <c r="M3415" s="5" t="n">
        <v>675</v>
      </c>
      <c r="N3415" s="5" t="n"/>
      <c r="O3415" s="5">
        <f>+M3415+N3415</f>
        <v/>
      </c>
      <c r="P3415" s="4" t="n"/>
      <c r="Q3415" s="87" t="n"/>
      <c r="R3415" s="5" t="n"/>
      <c r="S3415" s="2" t="n"/>
      <c r="T3415" s="3" t="n"/>
      <c r="U3415" s="87" t="n"/>
      <c r="V3415" s="3" t="n"/>
      <c r="W3415" s="108" t="n"/>
      <c r="X3415" s="4" t="n"/>
    </row>
    <row r="3416" ht="24" customHeight="1">
      <c r="A3416" s="2">
        <f>+D3416-S3416</f>
        <v/>
      </c>
      <c r="B3416" s="80" t="n">
        <v>5006</v>
      </c>
      <c r="C3416" s="66" t="n">
        <v>45995</v>
      </c>
      <c r="D3416" s="2" t="n">
        <v>1</v>
      </c>
      <c r="E3416" s="3" t="inlineStr">
        <is>
          <t>PISTOLA SEMIAUTOMATICA</t>
        </is>
      </c>
      <c r="F3416" s="3" t="inlineStr">
        <is>
          <t>9MM</t>
        </is>
      </c>
      <c r="G3416" s="84" t="inlineStr">
        <is>
          <t>H&amp;K</t>
        </is>
      </c>
      <c r="H3416" s="107" t="inlineStr">
        <is>
          <t>SFP9L-OR PB NERA</t>
        </is>
      </c>
      <c r="I3416" s="107" t="inlineStr">
        <is>
          <t>239-006985</t>
        </is>
      </c>
      <c r="J3416" s="107" t="inlineStr">
        <is>
          <t>N/A</t>
        </is>
      </c>
      <c r="K3416" s="65" t="inlineStr">
        <is>
          <t>N/D</t>
        </is>
      </c>
      <c r="L3416" s="127" t="inlineStr">
        <is>
          <t>TFC</t>
        </is>
      </c>
      <c r="M3416" s="5" t="n">
        <v>675</v>
      </c>
      <c r="N3416" s="5" t="n"/>
      <c r="O3416" s="5">
        <f>+M3416+N3416</f>
        <v/>
      </c>
      <c r="P3416" s="4" t="n"/>
      <c r="Q3416" s="87" t="n"/>
      <c r="R3416" s="5" t="n"/>
      <c r="S3416" s="2" t="n"/>
      <c r="T3416" s="3" t="n"/>
      <c r="U3416" s="87" t="n"/>
      <c r="V3416" s="3" t="n"/>
      <c r="W3416" s="108" t="n"/>
      <c r="X3416" s="4" t="n"/>
    </row>
    <row r="3417" ht="24" customHeight="1">
      <c r="A3417" s="2">
        <f>+D3417-S3417</f>
        <v/>
      </c>
      <c r="B3417" s="80" t="n">
        <v>5007</v>
      </c>
      <c r="C3417" s="66" t="n">
        <v>45995</v>
      </c>
      <c r="D3417" s="2" t="n">
        <v>1</v>
      </c>
      <c r="E3417" s="3" t="inlineStr">
        <is>
          <t>PISTOLA SEMIAUTOMATICA</t>
        </is>
      </c>
      <c r="F3417" s="3" t="inlineStr">
        <is>
          <t>9MM</t>
        </is>
      </c>
      <c r="G3417" s="84" t="inlineStr">
        <is>
          <t>H&amp;K</t>
        </is>
      </c>
      <c r="H3417" s="107" t="inlineStr">
        <is>
          <t>SFP9L-OR PB NERA</t>
        </is>
      </c>
      <c r="I3417" s="107" t="inlineStr">
        <is>
          <t>239-006986</t>
        </is>
      </c>
      <c r="J3417" s="107" t="inlineStr">
        <is>
          <t>N/A</t>
        </is>
      </c>
      <c r="K3417" s="65" t="inlineStr">
        <is>
          <t>N/D</t>
        </is>
      </c>
      <c r="L3417" s="127" t="inlineStr">
        <is>
          <t>TFC</t>
        </is>
      </c>
      <c r="M3417" s="5" t="n">
        <v>675</v>
      </c>
      <c r="N3417" s="5" t="n"/>
      <c r="O3417" s="5">
        <f>+M3417+N3417</f>
        <v/>
      </c>
      <c r="P3417" s="4" t="n"/>
      <c r="Q3417" s="87" t="n"/>
      <c r="R3417" s="5" t="n"/>
      <c r="S3417" s="2" t="n"/>
      <c r="T3417" s="3" t="n"/>
      <c r="U3417" s="87" t="n"/>
      <c r="V3417" s="3" t="n"/>
      <c r="W3417" s="108" t="n"/>
      <c r="X3417" s="4" t="n"/>
    </row>
    <row r="3418" ht="24" customHeight="1">
      <c r="A3418" s="2">
        <f>+D3418-S3418</f>
        <v/>
      </c>
      <c r="B3418" s="80" t="n">
        <v>5008</v>
      </c>
      <c r="C3418" s="66" t="n">
        <v>45995</v>
      </c>
      <c r="D3418" s="2" t="n">
        <v>1</v>
      </c>
      <c r="E3418" s="3" t="inlineStr">
        <is>
          <t>PISTOLA SEMIAUTOMATICA</t>
        </is>
      </c>
      <c r="F3418" s="3" t="inlineStr">
        <is>
          <t>9MM</t>
        </is>
      </c>
      <c r="G3418" s="84" t="inlineStr">
        <is>
          <t>H&amp;K</t>
        </is>
      </c>
      <c r="H3418" s="107" t="inlineStr">
        <is>
          <t>SFP9L-OR PB NERA</t>
        </is>
      </c>
      <c r="I3418" s="107" t="inlineStr">
        <is>
          <t>239-006987</t>
        </is>
      </c>
      <c r="J3418" s="107" t="inlineStr">
        <is>
          <t>N/A</t>
        </is>
      </c>
      <c r="K3418" s="65" t="inlineStr">
        <is>
          <t>N/D</t>
        </is>
      </c>
      <c r="L3418" s="127" t="inlineStr">
        <is>
          <t>TFC</t>
        </is>
      </c>
      <c r="M3418" s="5" t="n">
        <v>675</v>
      </c>
      <c r="N3418" s="5" t="n"/>
      <c r="O3418" s="5">
        <f>+M3418+N3418</f>
        <v/>
      </c>
      <c r="P3418" s="4" t="n"/>
      <c r="Q3418" s="87" t="n"/>
      <c r="R3418" s="5" t="n"/>
      <c r="S3418" s="2" t="n"/>
      <c r="T3418" s="3" t="n"/>
      <c r="U3418" s="87" t="n"/>
      <c r="V3418" s="3" t="n"/>
      <c r="W3418" s="108" t="n"/>
      <c r="X3418" s="4" t="n"/>
    </row>
    <row r="3419" ht="24" customHeight="1">
      <c r="A3419" s="2">
        <f>+D3419-S3419</f>
        <v/>
      </c>
      <c r="B3419" s="80" t="n">
        <v>5009</v>
      </c>
      <c r="C3419" s="66" t="n">
        <v>45995</v>
      </c>
      <c r="D3419" s="2" t="n">
        <v>1</v>
      </c>
      <c r="E3419" s="3" t="inlineStr">
        <is>
          <t>PISTOLA SEMIAUTOMATICA</t>
        </is>
      </c>
      <c r="F3419" s="3" t="inlineStr">
        <is>
          <t>9MM</t>
        </is>
      </c>
      <c r="G3419" s="84" t="inlineStr">
        <is>
          <t>H&amp;K</t>
        </is>
      </c>
      <c r="H3419" s="107" t="inlineStr">
        <is>
          <t>SFP9L-OR PB NERA</t>
        </is>
      </c>
      <c r="I3419" s="107" t="inlineStr">
        <is>
          <t>239-006988</t>
        </is>
      </c>
      <c r="J3419" s="107" t="inlineStr">
        <is>
          <t>N/A</t>
        </is>
      </c>
      <c r="K3419" s="65" t="inlineStr">
        <is>
          <t>N/D</t>
        </is>
      </c>
      <c r="L3419" s="127" t="inlineStr">
        <is>
          <t>TFC</t>
        </is>
      </c>
      <c r="M3419" s="5" t="n">
        <v>675</v>
      </c>
      <c r="N3419" s="5" t="n"/>
      <c r="O3419" s="5">
        <f>+M3419+N3419</f>
        <v/>
      </c>
      <c r="P3419" s="4" t="n"/>
      <c r="Q3419" s="87" t="n"/>
      <c r="R3419" s="5" t="n"/>
      <c r="S3419" s="2" t="n"/>
      <c r="T3419" s="3" t="n"/>
      <c r="U3419" s="87" t="n"/>
      <c r="V3419" s="3" t="n"/>
      <c r="W3419" s="108" t="n"/>
      <c r="X3419" s="4" t="n"/>
    </row>
    <row r="3420" ht="24" customHeight="1">
      <c r="A3420" s="2">
        <f>+D3420-S3420</f>
        <v/>
      </c>
      <c r="B3420" s="80" t="n">
        <v>5010</v>
      </c>
      <c r="C3420" s="66" t="n">
        <v>45995</v>
      </c>
      <c r="D3420" s="2" t="n">
        <v>1</v>
      </c>
      <c r="E3420" s="3" t="inlineStr">
        <is>
          <t>PISTOLA SEMIAUTOMATICA</t>
        </is>
      </c>
      <c r="F3420" s="3" t="inlineStr">
        <is>
          <t>9MM</t>
        </is>
      </c>
      <c r="G3420" s="84" t="inlineStr">
        <is>
          <t>H&amp;K</t>
        </is>
      </c>
      <c r="H3420" s="107" t="inlineStr">
        <is>
          <t>SFP9L-OR PB NERA</t>
        </is>
      </c>
      <c r="I3420" s="107" t="inlineStr">
        <is>
          <t>239-006978</t>
        </is>
      </c>
      <c r="J3420" s="107" t="inlineStr">
        <is>
          <t>N/A</t>
        </is>
      </c>
      <c r="K3420" s="65" t="inlineStr">
        <is>
          <t>N/D</t>
        </is>
      </c>
      <c r="L3420" s="127" t="inlineStr">
        <is>
          <t>TFC</t>
        </is>
      </c>
      <c r="M3420" s="5" t="n">
        <v>675</v>
      </c>
      <c r="N3420" s="5" t="n"/>
      <c r="O3420" s="5">
        <f>+M3420+N3420</f>
        <v/>
      </c>
      <c r="P3420" s="4" t="n"/>
      <c r="Q3420" s="87" t="n"/>
      <c r="R3420" s="5" t="n"/>
      <c r="S3420" s="2" t="n"/>
      <c r="T3420" s="3" t="n"/>
      <c r="U3420" s="87" t="n"/>
      <c r="V3420" s="3" t="n"/>
      <c r="W3420" s="108" t="n"/>
      <c r="X3420" s="4" t="n"/>
    </row>
    <row r="3421" ht="24" customHeight="1">
      <c r="A3421" s="2">
        <f>+D3421-S3421</f>
        <v/>
      </c>
      <c r="B3421" s="80" t="n">
        <v>5011</v>
      </c>
      <c r="C3421" s="66" t="n">
        <v>46002</v>
      </c>
      <c r="D3421" s="2" t="n">
        <v>1</v>
      </c>
      <c r="E3421" s="3" t="inlineStr">
        <is>
          <t>CARABINA</t>
        </is>
      </c>
      <c r="F3421" s="3" t="inlineStr">
        <is>
          <t>223 REM</t>
        </is>
      </c>
      <c r="G3421" s="84" t="inlineStr">
        <is>
          <t>SAUER</t>
        </is>
      </c>
      <c r="H3421" s="107" t="inlineStr">
        <is>
          <t>N/D</t>
        </is>
      </c>
      <c r="I3421" s="103" t="inlineStr">
        <is>
          <t>B035890</t>
        </is>
      </c>
      <c r="J3421" s="107" t="inlineStr">
        <is>
          <t>CG009548</t>
        </is>
      </c>
      <c r="K3421" s="65" t="inlineStr">
        <is>
          <t>CK009390</t>
        </is>
      </c>
      <c r="L3421" s="127" t="inlineStr">
        <is>
          <t>ARMERIA BRIGNOLI SILVIO</t>
        </is>
      </c>
      <c r="M3421" s="5" t="n">
        <v>2907.11</v>
      </c>
      <c r="N3421" s="5" t="n"/>
      <c r="O3421" s="5">
        <f>+M3421+N3421</f>
        <v/>
      </c>
      <c r="P3421" s="4" t="n"/>
      <c r="Q3421" s="87" t="n"/>
      <c r="R3421" s="5" t="n"/>
      <c r="S3421" s="2" t="n"/>
      <c r="T3421" s="3" t="n"/>
      <c r="U3421" s="87" t="n"/>
      <c r="V3421" s="3" t="n"/>
      <c r="W3421" s="108" t="n"/>
      <c r="X3421" s="4" t="n"/>
    </row>
    <row r="3422" ht="24" customHeight="1">
      <c r="A3422" s="2">
        <f>+D3422-S3422</f>
        <v/>
      </c>
      <c r="B3422" s="80" t="n">
        <v>5012</v>
      </c>
      <c r="C3422" s="66" t="n">
        <v>46002</v>
      </c>
      <c r="D3422" s="2" t="n">
        <v>1</v>
      </c>
      <c r="E3422" s="3" t="inlineStr">
        <is>
          <t>CARABINA</t>
        </is>
      </c>
      <c r="F3422" s="3" t="inlineStr">
        <is>
          <t>308 WIN</t>
        </is>
      </c>
      <c r="G3422" s="84" t="inlineStr">
        <is>
          <t>SAUER</t>
        </is>
      </c>
      <c r="H3422" s="107" t="inlineStr">
        <is>
          <t>N/D</t>
        </is>
      </c>
      <c r="I3422" s="107" t="inlineStr">
        <is>
          <t>A038275</t>
        </is>
      </c>
      <c r="J3422" s="107" t="inlineStr">
        <is>
          <t>N/A</t>
        </is>
      </c>
      <c r="K3422" s="65" t="inlineStr">
        <is>
          <t>N/D</t>
        </is>
      </c>
      <c r="L3422" s="127" t="inlineStr">
        <is>
          <t>ARMERIA BRIGNOLI SILVIO</t>
        </is>
      </c>
      <c r="M3422" s="5" t="n">
        <v>2095.63</v>
      </c>
      <c r="N3422" s="5" t="n"/>
      <c r="O3422" s="5">
        <f>+M3422+N3422</f>
        <v/>
      </c>
      <c r="P3422" s="4" t="n"/>
      <c r="Q3422" s="87" t="n"/>
      <c r="R3422" s="5" t="n"/>
      <c r="S3422" s="2" t="n"/>
      <c r="T3422" s="3" t="n"/>
      <c r="U3422" s="87" t="n"/>
      <c r="V3422" s="3" t="n"/>
      <c r="W3422" s="108" t="n"/>
      <c r="X3422" s="4" t="n"/>
    </row>
    <row r="3423" ht="24" customHeight="1">
      <c r="A3423" s="2">
        <f>+D3423-S3423</f>
        <v/>
      </c>
      <c r="B3423" s="80" t="n">
        <v>5013</v>
      </c>
      <c r="C3423" s="66" t="n">
        <v>46002</v>
      </c>
      <c r="D3423" s="2" t="n">
        <v>1</v>
      </c>
      <c r="E3423" s="3" t="inlineStr">
        <is>
          <t>CARABINA</t>
        </is>
      </c>
      <c r="F3423" s="3" t="inlineStr">
        <is>
          <t>223 REM</t>
        </is>
      </c>
      <c r="G3423" s="84" t="inlineStr">
        <is>
          <t>MAUSER</t>
        </is>
      </c>
      <c r="H3423" s="107" t="inlineStr">
        <is>
          <t>N/D</t>
        </is>
      </c>
      <c r="I3423" s="107" t="inlineStr">
        <is>
          <t>LC065093</t>
        </is>
      </c>
      <c r="J3423" s="107" t="inlineStr">
        <is>
          <t>N/A</t>
        </is>
      </c>
      <c r="K3423" s="65" t="inlineStr">
        <is>
          <t>N/D</t>
        </is>
      </c>
      <c r="L3423" s="127" t="inlineStr">
        <is>
          <t>ARMERIA BRIGNOLI SILVIO</t>
        </is>
      </c>
      <c r="M3423" s="5" t="n">
        <v>1138.19</v>
      </c>
      <c r="N3423" s="5" t="n"/>
      <c r="O3423" s="5">
        <f>+M3423+N3423</f>
        <v/>
      </c>
      <c r="P3423" s="4" t="n"/>
      <c r="Q3423" s="87" t="n"/>
      <c r="R3423" s="5" t="n"/>
      <c r="S3423" s="2" t="n"/>
      <c r="T3423" s="3" t="n"/>
      <c r="U3423" s="87" t="n"/>
      <c r="V3423" s="3" t="n"/>
      <c r="W3423" s="108" t="n"/>
      <c r="X3423" s="4" t="n"/>
    </row>
    <row r="3424" ht="24" customHeight="1">
      <c r="A3424" s="2">
        <f>+D3424-S3424</f>
        <v/>
      </c>
      <c r="B3424" s="80" t="n">
        <v>5014</v>
      </c>
      <c r="C3424" s="66" t="n">
        <v>46002</v>
      </c>
      <c r="D3424" s="2" t="n">
        <v>1</v>
      </c>
      <c r="E3424" s="3" t="inlineStr">
        <is>
          <t>CARABINA</t>
        </is>
      </c>
      <c r="F3424" s="3" t="inlineStr">
        <is>
          <t>223 REM</t>
        </is>
      </c>
      <c r="G3424" s="84" t="inlineStr">
        <is>
          <t>MAUSER</t>
        </is>
      </c>
      <c r="H3424" s="107" t="inlineStr">
        <is>
          <t>N/D</t>
        </is>
      </c>
      <c r="I3424" s="107" t="inlineStr">
        <is>
          <t>LC065092</t>
        </is>
      </c>
      <c r="J3424" s="107" t="inlineStr">
        <is>
          <t>N/A</t>
        </is>
      </c>
      <c r="K3424" s="65" t="inlineStr">
        <is>
          <t>N/D</t>
        </is>
      </c>
      <c r="L3424" s="127" t="inlineStr">
        <is>
          <t>ARMERIA BRIGNOLI SILVIO</t>
        </is>
      </c>
      <c r="M3424" s="5" t="n">
        <v>1138.19</v>
      </c>
      <c r="N3424" s="5" t="n"/>
      <c r="O3424" s="5">
        <f>+M3424+N3424</f>
        <v/>
      </c>
      <c r="P3424" s="4" t="n"/>
      <c r="Q3424" s="87" t="n"/>
      <c r="R3424" s="5" t="n"/>
      <c r="S3424" s="2" t="n"/>
      <c r="T3424" s="3" t="n"/>
      <c r="U3424" s="87" t="n"/>
      <c r="V3424" s="3" t="n"/>
      <c r="W3424" s="108" t="n"/>
      <c r="X3424" s="4" t="n"/>
    </row>
    <row r="3425" ht="24" customHeight="1">
      <c r="A3425" s="2">
        <f>+D3425-S3425</f>
        <v/>
      </c>
      <c r="B3425" s="80" t="n">
        <v>5015</v>
      </c>
      <c r="C3425" s="66" t="n">
        <v>46002</v>
      </c>
      <c r="D3425" s="2" t="n">
        <v>1</v>
      </c>
      <c r="E3425" s="3" t="inlineStr">
        <is>
          <t>CARABINA</t>
        </is>
      </c>
      <c r="F3425" s="3" t="inlineStr">
        <is>
          <t>223 REM</t>
        </is>
      </c>
      <c r="G3425" s="84" t="inlineStr">
        <is>
          <t>MAUSER</t>
        </is>
      </c>
      <c r="H3425" s="107" t="inlineStr">
        <is>
          <t>N/D</t>
        </is>
      </c>
      <c r="I3425" s="107" t="inlineStr">
        <is>
          <t>LC063984</t>
        </is>
      </c>
      <c r="J3425" s="107" t="inlineStr">
        <is>
          <t>N/A</t>
        </is>
      </c>
      <c r="K3425" s="65" t="inlineStr">
        <is>
          <t>N/D</t>
        </is>
      </c>
      <c r="L3425" s="127" t="inlineStr">
        <is>
          <t>ARMERIA BRIGNOLI SILVIO</t>
        </is>
      </c>
      <c r="M3425" s="5" t="n">
        <v>1023.13</v>
      </c>
      <c r="N3425" s="5" t="n"/>
      <c r="O3425" s="5">
        <f>+M3425+N3425</f>
        <v/>
      </c>
      <c r="P3425" s="4" t="n"/>
      <c r="Q3425" s="87" t="n"/>
      <c r="R3425" s="5" t="n"/>
      <c r="S3425" s="2" t="n"/>
      <c r="T3425" s="3" t="n"/>
      <c r="U3425" s="87" t="n"/>
      <c r="V3425" s="3" t="n"/>
      <c r="W3425" s="108" t="n"/>
      <c r="X3425" s="4" t="n"/>
    </row>
    <row r="3426" ht="24" customHeight="1">
      <c r="A3426" s="2">
        <f>+D3426-S3426</f>
        <v/>
      </c>
      <c r="B3426" s="80" t="n">
        <v>5016</v>
      </c>
      <c r="C3426" s="66" t="n">
        <v>46002</v>
      </c>
      <c r="D3426" s="2" t="n">
        <v>1</v>
      </c>
      <c r="E3426" s="3" t="inlineStr">
        <is>
          <t>CARABINA</t>
        </is>
      </c>
      <c r="F3426" s="3" t="inlineStr">
        <is>
          <t>223 REM</t>
        </is>
      </c>
      <c r="G3426" s="84" t="inlineStr">
        <is>
          <t>MAUSER</t>
        </is>
      </c>
      <c r="H3426" s="107" t="inlineStr">
        <is>
          <t>N/D</t>
        </is>
      </c>
      <c r="I3426" s="107" t="inlineStr">
        <is>
          <t>LC063983</t>
        </is>
      </c>
      <c r="J3426" s="107" t="inlineStr">
        <is>
          <t>N/A</t>
        </is>
      </c>
      <c r="K3426" s="65" t="inlineStr">
        <is>
          <t>N/D</t>
        </is>
      </c>
      <c r="L3426" s="127" t="inlineStr">
        <is>
          <t>ARMERIA BRIGNOLI SILVIO</t>
        </is>
      </c>
      <c r="M3426" s="5" t="n">
        <v>1023.13</v>
      </c>
      <c r="N3426" s="5" t="n"/>
      <c r="O3426" s="5">
        <f>+M3426+N3426</f>
        <v/>
      </c>
      <c r="P3426" s="4" t="n"/>
      <c r="Q3426" s="87" t="n"/>
      <c r="R3426" s="5" t="n"/>
      <c r="S3426" s="2" t="n"/>
      <c r="T3426" s="3" t="n"/>
      <c r="U3426" s="87" t="n"/>
      <c r="V3426" s="3" t="n"/>
      <c r="W3426" s="108" t="n"/>
      <c r="X3426" s="4" t="n"/>
    </row>
    <row r="3427" ht="24" customHeight="1">
      <c r="A3427" s="2">
        <f>+D3427-S3427</f>
        <v/>
      </c>
      <c r="B3427" s="80" t="n">
        <v>5017</v>
      </c>
      <c r="C3427" s="66" t="n">
        <v>46002</v>
      </c>
      <c r="D3427" s="2" t="n">
        <v>1</v>
      </c>
      <c r="E3427" s="3" t="inlineStr">
        <is>
          <t>CARABINA</t>
        </is>
      </c>
      <c r="F3427" s="3" t="inlineStr">
        <is>
          <t>223 REM</t>
        </is>
      </c>
      <c r="G3427" s="84" t="inlineStr">
        <is>
          <t>MAUSER</t>
        </is>
      </c>
      <c r="H3427" s="107" t="inlineStr">
        <is>
          <t>N/D</t>
        </is>
      </c>
      <c r="I3427" s="107" t="inlineStr">
        <is>
          <t>LC064332</t>
        </is>
      </c>
      <c r="J3427" s="107" t="inlineStr">
        <is>
          <t>N/A</t>
        </is>
      </c>
      <c r="K3427" s="65" t="inlineStr">
        <is>
          <t>N/D</t>
        </is>
      </c>
      <c r="L3427" s="127" t="inlineStr">
        <is>
          <t>ARMERIA BRIGNOLI SILVIO</t>
        </is>
      </c>
      <c r="M3427" s="5" t="n">
        <v>1340.96</v>
      </c>
      <c r="N3427" s="5" t="n"/>
      <c r="O3427" s="5">
        <f>+M3427+N3427</f>
        <v/>
      </c>
      <c r="P3427" s="4" t="n"/>
      <c r="Q3427" s="87" t="n"/>
      <c r="R3427" s="5" t="n"/>
      <c r="S3427" s="2" t="n"/>
      <c r="T3427" s="3" t="n"/>
      <c r="U3427" s="87" t="n"/>
      <c r="V3427" s="3" t="n"/>
      <c r="W3427" s="108" t="n"/>
      <c r="X3427" s="4" t="n"/>
    </row>
    <row r="3428" ht="24" customHeight="1">
      <c r="A3428" s="2">
        <f>+D3428-S3428</f>
        <v/>
      </c>
      <c r="B3428" s="80" t="n">
        <v>5018</v>
      </c>
      <c r="C3428" s="66" t="n">
        <v>46003</v>
      </c>
      <c r="D3428" s="2" t="n">
        <v>1</v>
      </c>
      <c r="E3428" s="3" t="inlineStr">
        <is>
          <t>FUCILE SEMIAUTOMATICO</t>
        </is>
      </c>
      <c r="F3428" s="3" t="inlineStr">
        <is>
          <t>12</t>
        </is>
      </c>
      <c r="G3428" s="84" t="inlineStr">
        <is>
          <t>BENELLI</t>
        </is>
      </c>
      <c r="H3428" s="107" t="inlineStr">
        <is>
          <t>RAFFAELLO ETHOS S.SPORT AI 30''</t>
        </is>
      </c>
      <c r="I3428" s="107" t="inlineStr">
        <is>
          <t>F455289D</t>
        </is>
      </c>
      <c r="J3428" s="107" t="inlineStr">
        <is>
          <t>C1694597Q</t>
        </is>
      </c>
      <c r="K3428" s="65" t="inlineStr">
        <is>
          <t>N/D</t>
        </is>
      </c>
      <c r="L3428" s="127" t="inlineStr">
        <is>
          <t>BENELLI ARMI SPA</t>
        </is>
      </c>
      <c r="M3428" s="5" t="n">
        <v>1634</v>
      </c>
      <c r="N3428" s="5" t="n"/>
      <c r="O3428" s="5">
        <f>+M3428+N3428</f>
        <v/>
      </c>
      <c r="P3428" s="4" t="n">
        <v>46002</v>
      </c>
      <c r="Q3428" s="87" t="n">
        <v>46002</v>
      </c>
      <c r="R3428" s="5" t="n"/>
      <c r="S3428" s="2" t="n"/>
      <c r="T3428" s="3" t="n"/>
      <c r="U3428" s="87" t="n"/>
      <c r="V3428" s="3" t="n"/>
      <c r="W3428" s="108" t="n"/>
      <c r="X3428" s="4" t="n"/>
    </row>
    <row r="3429" ht="24" customHeight="1">
      <c r="A3429" s="2">
        <f>+D3429-S3429</f>
        <v/>
      </c>
      <c r="B3429" s="80" t="n">
        <v>5019</v>
      </c>
      <c r="C3429" s="66" t="n">
        <v>46003</v>
      </c>
      <c r="D3429" s="2" t="n">
        <v>1</v>
      </c>
      <c r="E3429" s="3" t="inlineStr">
        <is>
          <t>FUCILE SEMIAUTOMATICO</t>
        </is>
      </c>
      <c r="F3429" s="3" t="inlineStr">
        <is>
          <t>12</t>
        </is>
      </c>
      <c r="G3429" s="84" t="inlineStr">
        <is>
          <t>BENELLI</t>
        </is>
      </c>
      <c r="H3429" s="107" t="inlineStr">
        <is>
          <t>RAFFAELLO ETHOS S.SPORT AI 30''</t>
        </is>
      </c>
      <c r="I3429" s="107" t="inlineStr">
        <is>
          <t>F455290K</t>
        </is>
      </c>
      <c r="J3429" s="107" t="inlineStr">
        <is>
          <t>C1694596P</t>
        </is>
      </c>
      <c r="K3429" s="65" t="inlineStr">
        <is>
          <t>N/D</t>
        </is>
      </c>
      <c r="L3429" s="127" t="inlineStr">
        <is>
          <t>BENELLI ARMI SPA</t>
        </is>
      </c>
      <c r="M3429" s="5" t="n">
        <v>1634</v>
      </c>
      <c r="N3429" s="5" t="n"/>
      <c r="O3429" s="5">
        <f>+M3429+N3429</f>
        <v/>
      </c>
      <c r="P3429" s="4" t="n">
        <v>46002</v>
      </c>
      <c r="Q3429" s="87" t="n">
        <v>46002</v>
      </c>
      <c r="R3429" s="5" t="n"/>
      <c r="S3429" s="2" t="n"/>
      <c r="T3429" s="3" t="n"/>
      <c r="U3429" s="87" t="n"/>
      <c r="V3429" s="3" t="n"/>
      <c r="W3429" s="108" t="n"/>
      <c r="X3429" s="4" t="n"/>
    </row>
    <row r="3430" ht="24" customHeight="1">
      <c r="A3430" s="2">
        <f>+D3430-S3430</f>
        <v/>
      </c>
      <c r="B3430" s="80" t="n">
        <v>5020</v>
      </c>
      <c r="C3430" s="66" t="n">
        <v>46003</v>
      </c>
      <c r="D3430" s="2" t="n">
        <v>1</v>
      </c>
      <c r="E3430" s="3" t="inlineStr">
        <is>
          <t>FUCILE SEMIAUTOMATICO</t>
        </is>
      </c>
      <c r="F3430" s="3" t="inlineStr">
        <is>
          <t>12</t>
        </is>
      </c>
      <c r="G3430" s="84" t="inlineStr">
        <is>
          <t>BENELLI</t>
        </is>
      </c>
      <c r="H3430" s="107" t="inlineStr">
        <is>
          <t>RAFFAELLO ETHOS S.SPORT AI 30''</t>
        </is>
      </c>
      <c r="I3430" s="107" t="inlineStr">
        <is>
          <t>F455292P</t>
        </is>
      </c>
      <c r="J3430" s="107" t="inlineStr">
        <is>
          <t>C1694599S</t>
        </is>
      </c>
      <c r="K3430" s="65" t="inlineStr">
        <is>
          <t>N/D</t>
        </is>
      </c>
      <c r="L3430" s="127" t="inlineStr">
        <is>
          <t>BENELLI ARMI SPA</t>
        </is>
      </c>
      <c r="M3430" s="5" t="n">
        <v>1634</v>
      </c>
      <c r="N3430" s="5" t="n"/>
      <c r="O3430" s="5">
        <f>+M3430+N3430</f>
        <v/>
      </c>
      <c r="P3430" s="4" t="n">
        <v>46002</v>
      </c>
      <c r="Q3430" s="87" t="n">
        <v>46002</v>
      </c>
      <c r="R3430" s="5" t="n"/>
      <c r="S3430" s="2" t="n"/>
      <c r="T3430" s="3" t="n"/>
      <c r="U3430" s="87" t="n"/>
      <c r="V3430" s="3" t="n"/>
      <c r="W3430" s="108" t="n"/>
      <c r="X3430" s="4" t="n"/>
    </row>
    <row r="3431" ht="24" customHeight="1">
      <c r="A3431" s="2">
        <f>+D3431-S3431</f>
        <v/>
      </c>
      <c r="B3431" s="80" t="n">
        <v>5021</v>
      </c>
      <c r="C3431" s="66" t="n">
        <v>46003</v>
      </c>
      <c r="D3431" s="2" t="n">
        <v>1</v>
      </c>
      <c r="E3431" s="3" t="inlineStr">
        <is>
          <t>FUCILE SEMIAUTOMATICO</t>
        </is>
      </c>
      <c r="F3431" s="3" t="inlineStr">
        <is>
          <t>12</t>
        </is>
      </c>
      <c r="G3431" s="84" t="inlineStr">
        <is>
          <t>BENELLI</t>
        </is>
      </c>
      <c r="H3431" s="107" t="inlineStr">
        <is>
          <t>RAFFAELLO ETHOS S.SPORT AI 30''</t>
        </is>
      </c>
      <c r="I3431" s="107" t="inlineStr">
        <is>
          <t>F455291M</t>
        </is>
      </c>
      <c r="J3431" s="107" t="inlineStr">
        <is>
          <t>C1694598R</t>
        </is>
      </c>
      <c r="K3431" s="65" t="inlineStr">
        <is>
          <t>N/D</t>
        </is>
      </c>
      <c r="L3431" s="127" t="inlineStr">
        <is>
          <t>BENELLI ARMI SPA</t>
        </is>
      </c>
      <c r="M3431" s="5" t="n">
        <v>1634</v>
      </c>
      <c r="N3431" s="5" t="n"/>
      <c r="O3431" s="5">
        <f>+M3431+N3431</f>
        <v/>
      </c>
      <c r="P3431" s="4" t="n">
        <v>46002</v>
      </c>
      <c r="Q3431" s="87" t="n">
        <v>46002</v>
      </c>
      <c r="R3431" s="5" t="n"/>
      <c r="S3431" s="2" t="n"/>
      <c r="T3431" s="3" t="n"/>
      <c r="U3431" s="87" t="n"/>
      <c r="V3431" s="3" t="n"/>
      <c r="W3431" s="108" t="n"/>
      <c r="X3431" s="4" t="n"/>
    </row>
    <row r="3432" ht="24" customHeight="1">
      <c r="A3432" s="2">
        <f>+D3432-S3432</f>
        <v/>
      </c>
      <c r="B3432" s="80" t="n">
        <v>5022</v>
      </c>
      <c r="C3432" s="66" t="n">
        <v>46003</v>
      </c>
      <c r="D3432" s="2" t="n">
        <v>1</v>
      </c>
      <c r="E3432" s="3" t="inlineStr">
        <is>
          <t>FUCILE SEMIAUTOMATICO</t>
        </is>
      </c>
      <c r="F3432" s="3" t="inlineStr">
        <is>
          <t>12</t>
        </is>
      </c>
      <c r="G3432" s="84" t="inlineStr">
        <is>
          <t>BENELLI</t>
        </is>
      </c>
      <c r="H3432" s="107" t="inlineStr">
        <is>
          <t>RAFFAELLO BLACK AI 30''</t>
        </is>
      </c>
      <c r="I3432" s="107" t="inlineStr">
        <is>
          <t>F456292Q</t>
        </is>
      </c>
      <c r="J3432" s="107" t="inlineStr">
        <is>
          <t>C1697197T</t>
        </is>
      </c>
      <c r="K3432" s="65" t="inlineStr">
        <is>
          <t>N/D</t>
        </is>
      </c>
      <c r="L3432" s="127" t="inlineStr">
        <is>
          <t>BENELLI ARMI SPA</t>
        </is>
      </c>
      <c r="M3432" s="5" t="n">
        <v>1152</v>
      </c>
      <c r="N3432" s="5" t="n"/>
      <c r="O3432" s="5">
        <f>+M3432+N3432</f>
        <v/>
      </c>
      <c r="P3432" s="4" t="n">
        <v>46002</v>
      </c>
      <c r="Q3432" s="87" t="n">
        <v>46002</v>
      </c>
      <c r="R3432" s="5" t="n"/>
      <c r="S3432" s="2" t="n"/>
      <c r="T3432" s="3" t="n"/>
      <c r="U3432" s="87" t="n"/>
      <c r="V3432" s="3" t="n"/>
      <c r="W3432" s="108" t="n"/>
      <c r="X3432" s="4" t="n"/>
    </row>
    <row r="3433" ht="24" customHeight="1">
      <c r="A3433" s="2">
        <f>+D3433-S3433</f>
        <v/>
      </c>
      <c r="B3433" s="80" t="n">
        <v>5023</v>
      </c>
      <c r="C3433" s="66" t="n">
        <v>46003</v>
      </c>
      <c r="D3433" s="2" t="n">
        <v>1</v>
      </c>
      <c r="E3433" s="3" t="inlineStr">
        <is>
          <t>FUCILE SEMIAUTOMATICO</t>
        </is>
      </c>
      <c r="F3433" s="3" t="inlineStr">
        <is>
          <t>12</t>
        </is>
      </c>
      <c r="G3433" s="84" t="inlineStr">
        <is>
          <t>BENELLI</t>
        </is>
      </c>
      <c r="H3433" s="107" t="inlineStr">
        <is>
          <t>RAFFAELLO BLACK AI 30''</t>
        </is>
      </c>
      <c r="I3433" s="107" t="inlineStr">
        <is>
          <t>F456293S</t>
        </is>
      </c>
      <c r="J3433" s="107" t="inlineStr">
        <is>
          <t>C1697201T</t>
        </is>
      </c>
      <c r="K3433" s="65" t="inlineStr">
        <is>
          <t>N/D</t>
        </is>
      </c>
      <c r="L3433" s="127" t="inlineStr">
        <is>
          <t>BENELLI ARMI SPA</t>
        </is>
      </c>
      <c r="M3433" s="5" t="n">
        <v>1152</v>
      </c>
      <c r="N3433" s="5" t="n"/>
      <c r="O3433" s="5">
        <f>+M3433+N3433</f>
        <v/>
      </c>
      <c r="P3433" s="4" t="n">
        <v>46002</v>
      </c>
      <c r="Q3433" s="87" t="n">
        <v>46002</v>
      </c>
      <c r="R3433" s="5" t="n"/>
      <c r="S3433" s="2" t="n"/>
      <c r="T3433" s="3" t="n"/>
      <c r="U3433" s="87" t="n"/>
      <c r="V3433" s="3" t="n"/>
      <c r="W3433" s="108" t="n"/>
      <c r="X3433" s="4" t="n"/>
    </row>
    <row r="3434" ht="24" customHeight="1">
      <c r="A3434" s="2">
        <f>+D3434-S3434</f>
        <v/>
      </c>
      <c r="B3434" s="80" t="n">
        <v>5024</v>
      </c>
      <c r="C3434" s="66" t="n">
        <v>46003</v>
      </c>
      <c r="D3434" s="2" t="n">
        <v>1</v>
      </c>
      <c r="E3434" s="3" t="inlineStr">
        <is>
          <t>FUCILE SEMIAUTOMATICO</t>
        </is>
      </c>
      <c r="F3434" s="3" t="inlineStr">
        <is>
          <t>12</t>
        </is>
      </c>
      <c r="G3434" s="84" t="inlineStr">
        <is>
          <t>BENELLI</t>
        </is>
      </c>
      <c r="H3434" s="107" t="inlineStr">
        <is>
          <t>RAFFAELLO BLACK AI 30''</t>
        </is>
      </c>
      <c r="I3434" s="107" t="inlineStr">
        <is>
          <t>F456291N</t>
        </is>
      </c>
      <c r="J3434" s="107" t="inlineStr">
        <is>
          <t>C1697199V</t>
        </is>
      </c>
      <c r="K3434" s="65" t="inlineStr">
        <is>
          <t>N/D</t>
        </is>
      </c>
      <c r="L3434" s="127" t="inlineStr">
        <is>
          <t>BENELLI ARMI SPA</t>
        </is>
      </c>
      <c r="M3434" s="5" t="n">
        <v>1152</v>
      </c>
      <c r="N3434" s="5" t="n"/>
      <c r="O3434" s="5">
        <f>+M3434+N3434</f>
        <v/>
      </c>
      <c r="P3434" s="4" t="n">
        <v>46002</v>
      </c>
      <c r="Q3434" s="87" t="n">
        <v>46002</v>
      </c>
      <c r="R3434" s="5" t="n"/>
      <c r="S3434" s="2" t="n"/>
      <c r="T3434" s="3" t="n"/>
      <c r="U3434" s="87" t="n"/>
      <c r="V3434" s="3" t="n"/>
      <c r="W3434" s="108" t="n"/>
      <c r="X3434" s="4" t="n"/>
    </row>
    <row r="3435" ht="24" customHeight="1">
      <c r="A3435" s="2">
        <f>+D3435-S3435</f>
        <v/>
      </c>
      <c r="B3435" s="80" t="n">
        <v>5025</v>
      </c>
      <c r="C3435" s="66" t="n">
        <v>46003</v>
      </c>
      <c r="D3435" s="2" t="n">
        <v>1</v>
      </c>
      <c r="E3435" s="3" t="inlineStr">
        <is>
          <t>FUCILE SEMIAUTOMATICO</t>
        </is>
      </c>
      <c r="F3435" s="3" t="inlineStr">
        <is>
          <t>12</t>
        </is>
      </c>
      <c r="G3435" s="84" t="inlineStr">
        <is>
          <t>BENELLI</t>
        </is>
      </c>
      <c r="H3435" s="107" t="inlineStr">
        <is>
          <t>RAFFAELLO BLACK AI 30''</t>
        </is>
      </c>
      <c r="I3435" s="107" t="inlineStr">
        <is>
          <t>F456294U</t>
        </is>
      </c>
      <c r="J3435" s="107" t="inlineStr">
        <is>
          <t>C1697202U</t>
        </is>
      </c>
      <c r="K3435" s="65" t="inlineStr">
        <is>
          <t>N/D</t>
        </is>
      </c>
      <c r="L3435" s="127" t="inlineStr">
        <is>
          <t>BENELLI ARMI SPA</t>
        </is>
      </c>
      <c r="M3435" s="5" t="n">
        <v>1152</v>
      </c>
      <c r="N3435" s="5" t="n"/>
      <c r="O3435" s="5">
        <f>+M3435+N3435</f>
        <v/>
      </c>
      <c r="P3435" s="4" t="n">
        <v>46002</v>
      </c>
      <c r="Q3435" s="87" t="n">
        <v>46002</v>
      </c>
      <c r="R3435" s="5" t="n"/>
      <c r="S3435" s="2" t="n"/>
      <c r="T3435" s="3" t="n"/>
      <c r="U3435" s="87" t="n"/>
      <c r="V3435" s="3" t="n"/>
      <c r="W3435" s="108" t="n"/>
      <c r="X3435" s="4" t="n"/>
    </row>
    <row r="3436" ht="24" customHeight="1">
      <c r="A3436" s="2">
        <f>+D3436-S3436</f>
        <v/>
      </c>
      <c r="B3436" s="80" t="n">
        <v>5026</v>
      </c>
      <c r="C3436" s="66" t="n">
        <v>46003</v>
      </c>
      <c r="D3436" s="2" t="n">
        <v>1</v>
      </c>
      <c r="E3436" s="3" t="inlineStr">
        <is>
          <t>FUCILE SEMIAUTOMATICO</t>
        </is>
      </c>
      <c r="F3436" s="3" t="inlineStr">
        <is>
          <t>12</t>
        </is>
      </c>
      <c r="G3436" s="84" t="inlineStr">
        <is>
          <t>BENELLI</t>
        </is>
      </c>
      <c r="H3436" s="107" t="inlineStr">
        <is>
          <t>RAFFAELLO DELUXE AI 30''</t>
        </is>
      </c>
      <c r="I3436" s="107" t="inlineStr">
        <is>
          <t>F456658J</t>
        </is>
      </c>
      <c r="J3436" s="107" t="inlineStr">
        <is>
          <t>C1697923G</t>
        </is>
      </c>
      <c r="K3436" s="65" t="inlineStr">
        <is>
          <t>N/D</t>
        </is>
      </c>
      <c r="L3436" s="127" t="inlineStr">
        <is>
          <t>BENELLI ARMI SPA</t>
        </is>
      </c>
      <c r="M3436" s="5" t="n">
        <v>1540</v>
      </c>
      <c r="N3436" s="5" t="n"/>
      <c r="O3436" s="5">
        <f>+M3436+N3436</f>
        <v/>
      </c>
      <c r="P3436" s="4" t="n">
        <v>46002</v>
      </c>
      <c r="Q3436" s="87" t="n">
        <v>46002</v>
      </c>
      <c r="R3436" s="5" t="n"/>
      <c r="S3436" s="2" t="n"/>
      <c r="T3436" s="3" t="n"/>
      <c r="U3436" s="87" t="n"/>
      <c r="V3436" s="3" t="n"/>
      <c r="W3436" s="108" t="n"/>
      <c r="X3436" s="4" t="n"/>
    </row>
    <row r="3437" ht="24" customHeight="1">
      <c r="A3437" s="2">
        <f>+D3437-S3437</f>
        <v/>
      </c>
      <c r="B3437" s="80" t="n">
        <v>5027</v>
      </c>
      <c r="C3437" s="66" t="n">
        <v>46003</v>
      </c>
      <c r="D3437" s="2" t="n">
        <v>1</v>
      </c>
      <c r="E3437" s="3" t="inlineStr">
        <is>
          <t>FUCILE SEMIAUTOMATICO</t>
        </is>
      </c>
      <c r="F3437" s="3" t="inlineStr">
        <is>
          <t>12</t>
        </is>
      </c>
      <c r="G3437" s="84" t="inlineStr">
        <is>
          <t>BENELLI</t>
        </is>
      </c>
      <c r="H3437" s="107" t="inlineStr">
        <is>
          <t>RAFFAELLO DELUXE AI 30''</t>
        </is>
      </c>
      <c r="I3437" s="107" t="inlineStr">
        <is>
          <t>F456657G</t>
        </is>
      </c>
      <c r="J3437" s="107" t="inlineStr">
        <is>
          <t>C1697925J</t>
        </is>
      </c>
      <c r="K3437" s="65" t="inlineStr">
        <is>
          <t>N/D</t>
        </is>
      </c>
      <c r="L3437" s="127" t="inlineStr">
        <is>
          <t>BENELLI ARMI SPA</t>
        </is>
      </c>
      <c r="M3437" s="5" t="n">
        <v>1540</v>
      </c>
      <c r="N3437" s="5" t="n"/>
      <c r="O3437" s="5">
        <f>+M3437+N3437</f>
        <v/>
      </c>
      <c r="P3437" s="4" t="n">
        <v>46002</v>
      </c>
      <c r="Q3437" s="87" t="n">
        <v>46002</v>
      </c>
      <c r="R3437" s="5" t="n"/>
      <c r="S3437" s="2" t="n"/>
      <c r="T3437" s="3" t="n"/>
      <c r="U3437" s="87" t="n"/>
      <c r="V3437" s="3" t="n"/>
      <c r="W3437" s="108" t="n"/>
      <c r="X3437" s="4" t="n"/>
    </row>
    <row r="3438" ht="24" customHeight="1">
      <c r="A3438" s="2">
        <f>+D3438-S3438</f>
        <v/>
      </c>
      <c r="B3438" s="80" t="n">
        <v>5028</v>
      </c>
      <c r="C3438" s="66" t="n">
        <v>46003</v>
      </c>
      <c r="D3438" s="2" t="n">
        <v>1</v>
      </c>
      <c r="E3438" s="3" t="inlineStr">
        <is>
          <t>FUCILE SEMIAUTOMATICO</t>
        </is>
      </c>
      <c r="F3438" s="3" t="inlineStr">
        <is>
          <t>12</t>
        </is>
      </c>
      <c r="G3438" s="84" t="inlineStr">
        <is>
          <t>BENELLI</t>
        </is>
      </c>
      <c r="H3438" s="107" t="inlineStr">
        <is>
          <t>RAFFAELLO DELUXE AI 30''</t>
        </is>
      </c>
      <c r="I3438" s="107" t="inlineStr">
        <is>
          <t>F456656E</t>
        </is>
      </c>
      <c r="J3438" s="107" t="inlineStr">
        <is>
          <t>C1697924H</t>
        </is>
      </c>
      <c r="K3438" s="65" t="inlineStr">
        <is>
          <t>N/D</t>
        </is>
      </c>
      <c r="L3438" s="127" t="inlineStr">
        <is>
          <t>BENELLI ARMI SPA</t>
        </is>
      </c>
      <c r="M3438" s="5" t="n">
        <v>1540</v>
      </c>
      <c r="N3438" s="5" t="n"/>
      <c r="O3438" s="5">
        <f>+M3438+N3438</f>
        <v/>
      </c>
      <c r="P3438" s="4" t="n">
        <v>46002</v>
      </c>
      <c r="Q3438" s="87" t="n">
        <v>46002</v>
      </c>
      <c r="R3438" s="5" t="n"/>
      <c r="S3438" s="2" t="n"/>
      <c r="T3438" s="3" t="n"/>
      <c r="U3438" s="87" t="n"/>
      <c r="V3438" s="3" t="n"/>
      <c r="W3438" s="108" t="n"/>
      <c r="X3438" s="4" t="n"/>
    </row>
    <row r="3439" ht="24" customHeight="1">
      <c r="A3439" s="2">
        <f>+D3439-S3439</f>
        <v/>
      </c>
      <c r="B3439" s="80" t="n">
        <v>5029</v>
      </c>
      <c r="C3439" s="66" t="n">
        <v>46003</v>
      </c>
      <c r="D3439" s="2" t="n">
        <v>1</v>
      </c>
      <c r="E3439" s="3" t="inlineStr">
        <is>
          <t>FUCILE SEMIAUTOMATICO</t>
        </is>
      </c>
      <c r="F3439" s="3" t="inlineStr">
        <is>
          <t>12</t>
        </is>
      </c>
      <c r="G3439" s="84" t="inlineStr">
        <is>
          <t>BENELLI</t>
        </is>
      </c>
      <c r="H3439" s="107" t="inlineStr">
        <is>
          <t>RAFFAELLO DELUXE AI 30''</t>
        </is>
      </c>
      <c r="I3439" s="107" t="inlineStr">
        <is>
          <t>F456663Y</t>
        </is>
      </c>
      <c r="J3439" s="107" t="inlineStr">
        <is>
          <t>C1697930F</t>
        </is>
      </c>
      <c r="K3439" s="65" t="inlineStr">
        <is>
          <t>N/D</t>
        </is>
      </c>
      <c r="L3439" s="127" t="inlineStr">
        <is>
          <t>BENELLI ARMI SPA</t>
        </is>
      </c>
      <c r="M3439" s="5" t="n">
        <v>1540</v>
      </c>
      <c r="N3439" s="5" t="n"/>
      <c r="O3439" s="5">
        <f>+M3439+N3439</f>
        <v/>
      </c>
      <c r="P3439" s="4" t="n">
        <v>46002</v>
      </c>
      <c r="Q3439" s="87" t="n">
        <v>46002</v>
      </c>
      <c r="R3439" s="5" t="n"/>
      <c r="S3439" s="2" t="n"/>
      <c r="T3439" s="3" t="n"/>
      <c r="U3439" s="87" t="n"/>
      <c r="V3439" s="3" t="n"/>
      <c r="W3439" s="108" t="n"/>
      <c r="X3439" s="4" t="n"/>
    </row>
    <row r="3440" ht="24" customHeight="1">
      <c r="A3440" s="2">
        <f>+D3440-S3440</f>
        <v/>
      </c>
      <c r="B3440" s="80" t="n">
        <v>5030</v>
      </c>
      <c r="C3440" s="66" t="n">
        <v>46003</v>
      </c>
      <c r="D3440" s="2" t="n">
        <v>1</v>
      </c>
      <c r="E3440" s="3" t="inlineStr">
        <is>
          <t>FUCILE SEMIAUTOMATICO</t>
        </is>
      </c>
      <c r="F3440" s="3" t="inlineStr">
        <is>
          <t>12</t>
        </is>
      </c>
      <c r="G3440" s="84" t="inlineStr">
        <is>
          <t>BENELLI</t>
        </is>
      </c>
      <c r="H3440" s="107" t="inlineStr">
        <is>
          <t>RAFFAELLO ETHOS CORDOBA BE.S.T. 30''</t>
        </is>
      </c>
      <c r="I3440" s="107" t="inlineStr">
        <is>
          <t>F451428V</t>
        </is>
      </c>
      <c r="J3440" s="107" t="inlineStr">
        <is>
          <t>C1685434Z</t>
        </is>
      </c>
      <c r="K3440" s="65" t="inlineStr">
        <is>
          <t>N/D</t>
        </is>
      </c>
      <c r="L3440" s="127" t="inlineStr">
        <is>
          <t>BENELLI ARMI SPA</t>
        </is>
      </c>
      <c r="M3440" s="5" t="n">
        <v>1312</v>
      </c>
      <c r="N3440" s="5" t="n"/>
      <c r="O3440" s="5">
        <f>+M3440+N3440</f>
        <v/>
      </c>
      <c r="P3440" s="4" t="n">
        <v>46002</v>
      </c>
      <c r="Q3440" s="87" t="n">
        <v>46002</v>
      </c>
      <c r="R3440" s="5" t="n"/>
      <c r="S3440" s="2" t="n"/>
      <c r="T3440" s="3" t="n"/>
      <c r="U3440" s="87" t="n"/>
      <c r="V3440" s="3" t="n"/>
      <c r="W3440" s="108" t="n"/>
      <c r="X3440" s="4" t="n"/>
    </row>
    <row r="3441" ht="24" customHeight="1">
      <c r="A3441" s="2">
        <f>+D3441-S3441</f>
        <v/>
      </c>
      <c r="B3441" s="80" t="n">
        <v>5031</v>
      </c>
      <c r="C3441" s="66" t="n">
        <v>46003</v>
      </c>
      <c r="D3441" s="2" t="n">
        <v>1</v>
      </c>
      <c r="E3441" s="3" t="inlineStr">
        <is>
          <t>FUCILE SEMIAUTOMATICO</t>
        </is>
      </c>
      <c r="F3441" s="3" t="inlineStr">
        <is>
          <t>12</t>
        </is>
      </c>
      <c r="G3441" s="84" t="inlineStr">
        <is>
          <t>BENELLI</t>
        </is>
      </c>
      <c r="H3441" s="107" t="inlineStr">
        <is>
          <t>RAFFAELLO ETHOS CORDOBA BE.S.T. 30''</t>
        </is>
      </c>
      <c r="I3441" s="107" t="inlineStr">
        <is>
          <t>F451427T</t>
        </is>
      </c>
      <c r="J3441" s="107" t="inlineStr">
        <is>
          <t>C1685437C</t>
        </is>
      </c>
      <c r="K3441" s="65" t="inlineStr">
        <is>
          <t>N/D</t>
        </is>
      </c>
      <c r="L3441" s="127" t="inlineStr">
        <is>
          <t>BENELLI ARMI SPA</t>
        </is>
      </c>
      <c r="M3441" s="5" t="n">
        <v>1312</v>
      </c>
      <c r="N3441" s="5" t="n"/>
      <c r="O3441" s="5">
        <f>+M3441+N3441</f>
        <v/>
      </c>
      <c r="P3441" s="4" t="n">
        <v>46002</v>
      </c>
      <c r="Q3441" s="87" t="n">
        <v>46002</v>
      </c>
      <c r="R3441" s="5" t="n"/>
      <c r="S3441" s="2" t="n"/>
      <c r="T3441" s="3" t="n"/>
      <c r="U3441" s="87" t="n"/>
      <c r="V3441" s="3" t="n"/>
      <c r="W3441" s="108" t="n"/>
      <c r="X3441" s="4" t="n"/>
    </row>
    <row r="3442" ht="24" customHeight="1">
      <c r="A3442" s="2">
        <f>+D3442-S3442</f>
        <v/>
      </c>
      <c r="B3442" s="80" t="n">
        <v>5032</v>
      </c>
      <c r="C3442" s="66" t="n">
        <v>46003</v>
      </c>
      <c r="D3442" s="2" t="n">
        <v>1</v>
      </c>
      <c r="E3442" s="3" t="inlineStr">
        <is>
          <t>FUCILE SEMIAUTOMATICO</t>
        </is>
      </c>
      <c r="F3442" s="3" t="inlineStr">
        <is>
          <t>12</t>
        </is>
      </c>
      <c r="G3442" s="84" t="inlineStr">
        <is>
          <t>BENELLI</t>
        </is>
      </c>
      <c r="H3442" s="107" t="inlineStr">
        <is>
          <t>RAFFAELLO ETHOS CORDOBA BE.S.T. 30''</t>
        </is>
      </c>
      <c r="I3442" s="107" t="inlineStr">
        <is>
          <t>F451426R</t>
        </is>
      </c>
      <c r="J3442" s="107" t="inlineStr">
        <is>
          <t>C1685435A</t>
        </is>
      </c>
      <c r="K3442" s="65" t="inlineStr">
        <is>
          <t>N/D</t>
        </is>
      </c>
      <c r="L3442" s="127" t="inlineStr">
        <is>
          <t>BENELLI ARMI SPA</t>
        </is>
      </c>
      <c r="M3442" s="5" t="n">
        <v>1312</v>
      </c>
      <c r="N3442" s="5" t="n"/>
      <c r="O3442" s="5">
        <f>+M3442+N3442</f>
        <v/>
      </c>
      <c r="P3442" s="4" t="n">
        <v>46002</v>
      </c>
      <c r="Q3442" s="87" t="n">
        <v>46002</v>
      </c>
      <c r="R3442" s="5" t="n"/>
      <c r="S3442" s="2" t="n"/>
      <c r="T3442" s="3" t="n"/>
      <c r="U3442" s="87" t="n"/>
      <c r="V3442" s="3" t="n"/>
      <c r="W3442" s="108" t="n"/>
      <c r="X3442" s="4" t="n"/>
    </row>
    <row r="3443" ht="24" customHeight="1">
      <c r="A3443" s="2">
        <f>+D3443-S3443</f>
        <v/>
      </c>
      <c r="B3443" s="80" t="n">
        <v>5033</v>
      </c>
      <c r="C3443" s="66" t="n">
        <v>46003</v>
      </c>
      <c r="D3443" s="2" t="n">
        <v>1</v>
      </c>
      <c r="E3443" s="3" t="inlineStr">
        <is>
          <t>FUCILE SEMIAUTOMATICO</t>
        </is>
      </c>
      <c r="F3443" s="3" t="inlineStr">
        <is>
          <t>12</t>
        </is>
      </c>
      <c r="G3443" s="84" t="inlineStr">
        <is>
          <t>BENELLI</t>
        </is>
      </c>
      <c r="H3443" s="107" t="inlineStr">
        <is>
          <t>RAFFAELLO ETHOS CORDOBA BE.S.T. 30''</t>
        </is>
      </c>
      <c r="I3443" s="107" t="inlineStr">
        <is>
          <t>F451433K</t>
        </is>
      </c>
      <c r="J3443" s="107" t="inlineStr">
        <is>
          <t>C1685430V</t>
        </is>
      </c>
      <c r="K3443" s="65" t="inlineStr">
        <is>
          <t>N/D</t>
        </is>
      </c>
      <c r="L3443" s="127" t="inlineStr">
        <is>
          <t>BENELLI ARMI SPA</t>
        </is>
      </c>
      <c r="M3443" s="5" t="n">
        <v>1312</v>
      </c>
      <c r="N3443" s="5" t="n"/>
      <c r="O3443" s="5">
        <f>+M3443+N3443</f>
        <v/>
      </c>
      <c r="P3443" s="4" t="n">
        <v>46002</v>
      </c>
      <c r="Q3443" s="87" t="n">
        <v>46002</v>
      </c>
      <c r="R3443" s="5" t="n"/>
      <c r="S3443" s="2" t="n"/>
      <c r="T3443" s="3" t="n"/>
      <c r="U3443" s="87" t="n"/>
      <c r="V3443" s="3" t="n"/>
      <c r="W3443" s="108" t="n"/>
      <c r="X3443" s="4" t="n"/>
    </row>
    <row r="3444" ht="24" customHeight="1">
      <c r="A3444" s="2">
        <f>+D3444-S3444</f>
        <v/>
      </c>
      <c r="B3444" s="80" t="n">
        <v>5034</v>
      </c>
      <c r="C3444" s="66" t="n">
        <v>46003</v>
      </c>
      <c r="D3444" s="2" t="n">
        <v>1</v>
      </c>
      <c r="E3444" s="3" t="inlineStr">
        <is>
          <t>FUCILE SEMIAUTOMATICO</t>
        </is>
      </c>
      <c r="F3444" s="3" t="inlineStr">
        <is>
          <t>12</t>
        </is>
      </c>
      <c r="G3444" s="84" t="inlineStr">
        <is>
          <t>BENELLI</t>
        </is>
      </c>
      <c r="H3444" s="107" t="inlineStr">
        <is>
          <t>BLACK EAGLE 30''</t>
        </is>
      </c>
      <c r="I3444" s="107" t="inlineStr">
        <is>
          <t>F451654U</t>
        </is>
      </c>
      <c r="J3444" s="107" t="inlineStr">
        <is>
          <t>C1686294N</t>
        </is>
      </c>
      <c r="K3444" s="65" t="inlineStr">
        <is>
          <t>N/D</t>
        </is>
      </c>
      <c r="L3444" s="127" t="inlineStr">
        <is>
          <t>BENELLI ARMI SPA</t>
        </is>
      </c>
      <c r="M3444" s="5" t="n">
        <v>1104</v>
      </c>
      <c r="N3444" s="5" t="n"/>
      <c r="O3444" s="5">
        <f>+M3444+N3444</f>
        <v/>
      </c>
      <c r="P3444" s="4" t="n">
        <v>46002</v>
      </c>
      <c r="Q3444" s="87" t="n">
        <v>46002</v>
      </c>
      <c r="R3444" s="5" t="n"/>
      <c r="S3444" s="2" t="n"/>
      <c r="T3444" s="3" t="n"/>
      <c r="U3444" s="87" t="n"/>
      <c r="V3444" s="3" t="n"/>
      <c r="W3444" s="108" t="n"/>
      <c r="X3444" s="4" t="n"/>
    </row>
    <row r="3445" ht="24" customHeight="1">
      <c r="A3445" s="2">
        <f>+D3445-S3445</f>
        <v/>
      </c>
      <c r="B3445" s="80" t="n">
        <v>5035</v>
      </c>
      <c r="C3445" s="66" t="n">
        <v>46003</v>
      </c>
      <c r="D3445" s="2" t="n">
        <v>1</v>
      </c>
      <c r="E3445" s="3" t="inlineStr">
        <is>
          <t>FUCILE SEMIAUTOMATICO</t>
        </is>
      </c>
      <c r="F3445" s="3" t="inlineStr">
        <is>
          <t>12</t>
        </is>
      </c>
      <c r="G3445" s="84" t="inlineStr">
        <is>
          <t>BENELLI</t>
        </is>
      </c>
      <c r="H3445" s="107" t="inlineStr">
        <is>
          <t>BLACK EAGLE 30''</t>
        </is>
      </c>
      <c r="I3445" s="107" t="inlineStr">
        <is>
          <t>F451655X</t>
        </is>
      </c>
      <c r="J3445" s="107" t="inlineStr">
        <is>
          <t>C1686293M</t>
        </is>
      </c>
      <c r="K3445" s="65" t="inlineStr">
        <is>
          <t>N/D</t>
        </is>
      </c>
      <c r="L3445" s="127" t="inlineStr">
        <is>
          <t>BENELLI ARMI SPA</t>
        </is>
      </c>
      <c r="M3445" s="5" t="n">
        <v>1104</v>
      </c>
      <c r="N3445" s="5" t="n"/>
      <c r="O3445" s="5">
        <f>+M3445+N3445</f>
        <v/>
      </c>
      <c r="P3445" s="4" t="n">
        <v>46002</v>
      </c>
      <c r="Q3445" s="87" t="n">
        <v>46002</v>
      </c>
      <c r="R3445" s="5" t="n"/>
      <c r="S3445" s="2" t="n"/>
      <c r="T3445" s="3" t="n"/>
      <c r="U3445" s="87" t="n"/>
      <c r="V3445" s="3" t="n"/>
      <c r="W3445" s="108" t="n"/>
      <c r="X3445" s="4" t="n"/>
    </row>
    <row r="3446" ht="24" customHeight="1">
      <c r="A3446" s="2">
        <f>+D3446-S3446</f>
        <v/>
      </c>
      <c r="B3446" s="80" t="n">
        <v>5036</v>
      </c>
      <c r="C3446" s="66" t="n">
        <v>46003</v>
      </c>
      <c r="D3446" s="2" t="n">
        <v>1</v>
      </c>
      <c r="E3446" s="3" t="inlineStr">
        <is>
          <t>FUCILE SEMIAUTOMATICO</t>
        </is>
      </c>
      <c r="F3446" s="3" t="inlineStr">
        <is>
          <t>12</t>
        </is>
      </c>
      <c r="G3446" s="84" t="inlineStr">
        <is>
          <t>BENELLI</t>
        </is>
      </c>
      <c r="H3446" s="107" t="inlineStr">
        <is>
          <t>BLACK EAGLE 30''</t>
        </is>
      </c>
      <c r="I3446" s="107" t="inlineStr">
        <is>
          <t>F451656Z</t>
        </is>
      </c>
      <c r="J3446" s="107" t="inlineStr">
        <is>
          <t>C1686292L</t>
        </is>
      </c>
      <c r="K3446" s="65" t="inlineStr">
        <is>
          <t>N/D</t>
        </is>
      </c>
      <c r="L3446" s="127" t="inlineStr">
        <is>
          <t>BENELLI ARMI SPA</t>
        </is>
      </c>
      <c r="M3446" s="5" t="n">
        <v>1104</v>
      </c>
      <c r="N3446" s="5" t="n"/>
      <c r="O3446" s="5">
        <f>+M3446+N3446</f>
        <v/>
      </c>
      <c r="P3446" s="4" t="n">
        <v>46002</v>
      </c>
      <c r="Q3446" s="87" t="n">
        <v>46002</v>
      </c>
      <c r="R3446" s="5" t="n"/>
      <c r="S3446" s="2" t="n"/>
      <c r="T3446" s="3" t="n"/>
      <c r="U3446" s="87" t="n"/>
      <c r="V3446" s="3" t="n"/>
      <c r="W3446" s="108" t="n"/>
      <c r="X3446" s="4" t="n"/>
    </row>
    <row r="3447" ht="24" customHeight="1">
      <c r="A3447" s="2">
        <f>+D3447-S3447</f>
        <v/>
      </c>
      <c r="B3447" s="80" t="n">
        <v>5037</v>
      </c>
      <c r="C3447" s="66" t="n">
        <v>46003</v>
      </c>
      <c r="D3447" s="2" t="n">
        <v>1</v>
      </c>
      <c r="E3447" s="3" t="inlineStr">
        <is>
          <t>FUCILE SEMIAUTOMATICO</t>
        </is>
      </c>
      <c r="F3447" s="3" t="inlineStr">
        <is>
          <t>12</t>
        </is>
      </c>
      <c r="G3447" s="84" t="inlineStr">
        <is>
          <t>BENELLI</t>
        </is>
      </c>
      <c r="H3447" s="107" t="inlineStr">
        <is>
          <t>BLACK EAGLE 30''</t>
        </is>
      </c>
      <c r="I3447" s="107" t="inlineStr">
        <is>
          <t>F451657B</t>
        </is>
      </c>
      <c r="J3447" s="107" t="inlineStr">
        <is>
          <t>C1686273H</t>
        </is>
      </c>
      <c r="K3447" s="65" t="inlineStr">
        <is>
          <t>N/D</t>
        </is>
      </c>
      <c r="L3447" s="127" t="inlineStr">
        <is>
          <t>BENELLI ARMI SPA</t>
        </is>
      </c>
      <c r="M3447" s="5" t="n">
        <v>1104</v>
      </c>
      <c r="N3447" s="5" t="n"/>
      <c r="O3447" s="5">
        <f>+M3447+N3447</f>
        <v/>
      </c>
      <c r="P3447" s="4" t="n">
        <v>46002</v>
      </c>
      <c r="Q3447" s="87" t="n">
        <v>46002</v>
      </c>
      <c r="R3447" s="5" t="n"/>
      <c r="S3447" s="2" t="n"/>
      <c r="T3447" s="3" t="n"/>
      <c r="U3447" s="87" t="n"/>
      <c r="V3447" s="3" t="n"/>
      <c r="W3447" s="108" t="n"/>
      <c r="X3447" s="4" t="n"/>
    </row>
    <row r="3448" ht="24" customHeight="1">
      <c r="A3448" s="2">
        <f>+D3448-S3448</f>
        <v/>
      </c>
      <c r="B3448" s="80" t="n">
        <v>5038</v>
      </c>
      <c r="C3448" s="66" t="n">
        <v>46003</v>
      </c>
      <c r="D3448" s="2" t="n">
        <v>1</v>
      </c>
      <c r="E3448" s="3" t="inlineStr">
        <is>
          <t>FUCILE SEMIAUTOMATICO</t>
        </is>
      </c>
      <c r="F3448" s="3" t="inlineStr">
        <is>
          <t>12</t>
        </is>
      </c>
      <c r="G3448" s="84" t="inlineStr">
        <is>
          <t>BENELLI</t>
        </is>
      </c>
      <c r="H3448" s="107" t="inlineStr">
        <is>
          <t>RAFFAELLO ETHOS SPORT AI 30''</t>
        </is>
      </c>
      <c r="I3448" s="107" t="inlineStr">
        <is>
          <t>F452834X</t>
        </is>
      </c>
      <c r="J3448" s="107" t="inlineStr">
        <is>
          <t>C1688912E</t>
        </is>
      </c>
      <c r="K3448" s="65" t="inlineStr">
        <is>
          <t>N/D</t>
        </is>
      </c>
      <c r="L3448" s="127" t="inlineStr">
        <is>
          <t>BENELLI ARMI SPA</t>
        </is>
      </c>
      <c r="M3448" s="5" t="n">
        <v>1478</v>
      </c>
      <c r="N3448" s="5" t="n"/>
      <c r="O3448" s="5">
        <f>+M3448+N3448</f>
        <v/>
      </c>
      <c r="P3448" s="4" t="n">
        <v>46002</v>
      </c>
      <c r="Q3448" s="87" t="n">
        <v>46002</v>
      </c>
      <c r="R3448" s="5" t="n"/>
      <c r="S3448" s="2" t="n"/>
      <c r="T3448" s="3" t="n"/>
      <c r="U3448" s="87" t="n"/>
      <c r="V3448" s="3" t="n"/>
      <c r="W3448" s="108" t="n"/>
      <c r="X3448" s="4" t="n"/>
    </row>
    <row r="3449" ht="24" customHeight="1">
      <c r="A3449" s="2">
        <f>+D3449-S3449</f>
        <v/>
      </c>
      <c r="B3449" s="80" t="n">
        <v>5039</v>
      </c>
      <c r="C3449" s="66" t="n">
        <v>46003</v>
      </c>
      <c r="D3449" s="2" t="n">
        <v>1</v>
      </c>
      <c r="E3449" s="3" t="inlineStr">
        <is>
          <t>FUCILE SEMIAUTOMATICO</t>
        </is>
      </c>
      <c r="F3449" s="3" t="inlineStr">
        <is>
          <t>12</t>
        </is>
      </c>
      <c r="G3449" s="84" t="inlineStr">
        <is>
          <t>BENELLI</t>
        </is>
      </c>
      <c r="H3449" s="107" t="inlineStr">
        <is>
          <t>RAFFAELLO ETHOS SPORT AI 30''</t>
        </is>
      </c>
      <c r="I3449" s="107" t="inlineStr">
        <is>
          <t>F452836C</t>
        </is>
      </c>
      <c r="J3449" s="107" t="inlineStr">
        <is>
          <t>C1688924J</t>
        </is>
      </c>
      <c r="K3449" s="65" t="inlineStr">
        <is>
          <t>N/D</t>
        </is>
      </c>
      <c r="L3449" s="127" t="inlineStr">
        <is>
          <t>BENELLI ARMI SPA</t>
        </is>
      </c>
      <c r="M3449" s="5" t="n">
        <v>1478</v>
      </c>
      <c r="N3449" s="5" t="n"/>
      <c r="O3449" s="5">
        <f>+M3449+N3449</f>
        <v/>
      </c>
      <c r="P3449" s="4" t="n">
        <v>46002</v>
      </c>
      <c r="Q3449" s="87" t="n">
        <v>46002</v>
      </c>
      <c r="R3449" s="5" t="n"/>
      <c r="S3449" s="2" t="n"/>
      <c r="T3449" s="3" t="n"/>
      <c r="U3449" s="87" t="n"/>
      <c r="V3449" s="3" t="n"/>
      <c r="W3449" s="108" t="n"/>
      <c r="X3449" s="4" t="n"/>
    </row>
    <row r="3450" ht="24" customHeight="1">
      <c r="A3450" s="2">
        <f>+D3450-S3450</f>
        <v/>
      </c>
      <c r="B3450" s="80" t="n">
        <v>5040</v>
      </c>
      <c r="C3450" s="66" t="n">
        <v>46003</v>
      </c>
      <c r="D3450" s="2" t="n">
        <v>1</v>
      </c>
      <c r="E3450" s="3" t="inlineStr">
        <is>
          <t>FUCILE SEMIAUTOMATICO</t>
        </is>
      </c>
      <c r="F3450" s="3" t="inlineStr">
        <is>
          <t>12</t>
        </is>
      </c>
      <c r="G3450" s="84" t="inlineStr">
        <is>
          <t>BENELLI</t>
        </is>
      </c>
      <c r="H3450" s="107" t="inlineStr">
        <is>
          <t>RAFFAELLO ETHOS SPORT AI 30''</t>
        </is>
      </c>
      <c r="I3450" s="107" t="inlineStr">
        <is>
          <t>F452841S</t>
        </is>
      </c>
      <c r="J3450" s="107" t="inlineStr">
        <is>
          <t>C1688911D</t>
        </is>
      </c>
      <c r="K3450" s="65" t="inlineStr">
        <is>
          <t>N/D</t>
        </is>
      </c>
      <c r="L3450" s="127" t="inlineStr">
        <is>
          <t>BENELLI ARMI SPA</t>
        </is>
      </c>
      <c r="M3450" s="5" t="n">
        <v>1478</v>
      </c>
      <c r="N3450" s="5" t="n"/>
      <c r="O3450" s="5">
        <f>+M3450+N3450</f>
        <v/>
      </c>
      <c r="P3450" s="4" t="n">
        <v>46002</v>
      </c>
      <c r="Q3450" s="87" t="n">
        <v>46002</v>
      </c>
      <c r="R3450" s="5" t="n"/>
      <c r="S3450" s="2" t="n"/>
      <c r="T3450" s="3" t="n"/>
      <c r="U3450" s="87" t="n"/>
      <c r="V3450" s="3" t="n"/>
      <c r="W3450" s="108" t="n"/>
      <c r="X3450" s="4" t="n"/>
    </row>
    <row r="3451" ht="24" customHeight="1">
      <c r="A3451" s="2">
        <f>+D3451-S3451</f>
        <v/>
      </c>
      <c r="B3451" s="80" t="n">
        <v>5041</v>
      </c>
      <c r="C3451" s="66" t="n">
        <v>46003</v>
      </c>
      <c r="D3451" s="2" t="n">
        <v>1</v>
      </c>
      <c r="E3451" s="3" t="inlineStr">
        <is>
          <t>FUCILE SEMIAUTOMATICO</t>
        </is>
      </c>
      <c r="F3451" s="3" t="inlineStr">
        <is>
          <t>12</t>
        </is>
      </c>
      <c r="G3451" s="84" t="inlineStr">
        <is>
          <t>BENELLI</t>
        </is>
      </c>
      <c r="H3451" s="107" t="inlineStr">
        <is>
          <t>RAFFAELLO ETHOS SPORT AI 30''</t>
        </is>
      </c>
      <c r="I3451" s="107" t="inlineStr">
        <is>
          <t>F452842U</t>
        </is>
      </c>
      <c r="J3451" s="107" t="inlineStr">
        <is>
          <t>C1688919M</t>
        </is>
      </c>
      <c r="K3451" s="65" t="inlineStr">
        <is>
          <t>N/D</t>
        </is>
      </c>
      <c r="L3451" s="127" t="inlineStr">
        <is>
          <t>BENELLI ARMI SPA</t>
        </is>
      </c>
      <c r="M3451" s="5" t="n">
        <v>1478</v>
      </c>
      <c r="N3451" s="5" t="n"/>
      <c r="O3451" s="5">
        <f>+M3451+N3451</f>
        <v/>
      </c>
      <c r="P3451" s="4" t="n">
        <v>46002</v>
      </c>
      <c r="Q3451" s="87" t="n">
        <v>46002</v>
      </c>
      <c r="R3451" s="5" t="n"/>
      <c r="S3451" s="2" t="n"/>
      <c r="T3451" s="3" t="n"/>
      <c r="U3451" s="87" t="n"/>
      <c r="V3451" s="3" t="n"/>
      <c r="W3451" s="108" t="n"/>
      <c r="X3451" s="4" t="n"/>
    </row>
    <row r="3452" ht="24" customHeight="1">
      <c r="A3452" s="2">
        <f>+D3452-S3452</f>
        <v/>
      </c>
      <c r="B3452" s="80" t="n">
        <v>5042</v>
      </c>
      <c r="C3452" s="66" t="n">
        <v>46003</v>
      </c>
      <c r="D3452" s="2" t="n">
        <v>1</v>
      </c>
      <c r="E3452" s="3" t="inlineStr">
        <is>
          <t>FUCILE SEMIAUTOMATICO</t>
        </is>
      </c>
      <c r="F3452" s="3" t="inlineStr">
        <is>
          <t>12</t>
        </is>
      </c>
      <c r="G3452" s="84" t="inlineStr">
        <is>
          <t>BENELLI</t>
        </is>
      </c>
      <c r="H3452" s="107" t="inlineStr">
        <is>
          <t>BLACK EAGLE 30''</t>
        </is>
      </c>
      <c r="I3452" s="107" t="inlineStr">
        <is>
          <t>F451664V</t>
        </is>
      </c>
      <c r="J3452" s="107" t="inlineStr">
        <is>
          <t>C1686279P</t>
        </is>
      </c>
      <c r="K3452" s="65" t="inlineStr">
        <is>
          <t>N/D</t>
        </is>
      </c>
      <c r="L3452" s="127" t="inlineStr">
        <is>
          <t>BENELLI ARMI SPA</t>
        </is>
      </c>
      <c r="M3452" s="5" t="n">
        <v>1104</v>
      </c>
      <c r="N3452" s="5" t="n"/>
      <c r="O3452" s="5">
        <f>+M3452+N3452</f>
        <v/>
      </c>
      <c r="P3452" s="4" t="n">
        <v>46002</v>
      </c>
      <c r="Q3452" s="87" t="n">
        <v>46002</v>
      </c>
      <c r="R3452" s="5" t="n"/>
      <c r="S3452" s="2" t="n"/>
      <c r="T3452" s="3" t="n"/>
      <c r="U3452" s="87" t="n"/>
      <c r="V3452" s="3" t="n"/>
      <c r="W3452" s="108" t="n"/>
      <c r="X3452" s="4" t="n"/>
    </row>
    <row r="3453" ht="24" customHeight="1">
      <c r="A3453" s="2">
        <f>+D3453-S3453</f>
        <v/>
      </c>
      <c r="B3453" s="80" t="n">
        <v>5043</v>
      </c>
      <c r="C3453" s="66" t="n">
        <v>46003</v>
      </c>
      <c r="D3453" s="2" t="n">
        <v>1</v>
      </c>
      <c r="E3453" s="3" t="inlineStr">
        <is>
          <t>FUCILE SEMIAUTOMATICO</t>
        </is>
      </c>
      <c r="F3453" s="3" t="inlineStr">
        <is>
          <t>12</t>
        </is>
      </c>
      <c r="G3453" s="84" t="inlineStr">
        <is>
          <t>BENELLI</t>
        </is>
      </c>
      <c r="H3453" s="107" t="inlineStr">
        <is>
          <t>BLACK EAGLE 30''</t>
        </is>
      </c>
      <c r="I3453" s="107" t="inlineStr">
        <is>
          <t>F451660M</t>
        </is>
      </c>
      <c r="J3453" s="107" t="inlineStr">
        <is>
          <t>C1686280G</t>
        </is>
      </c>
      <c r="K3453" s="65" t="inlineStr">
        <is>
          <t>N/D</t>
        </is>
      </c>
      <c r="L3453" s="127" t="inlineStr">
        <is>
          <t>BENELLI ARMI SPA</t>
        </is>
      </c>
      <c r="M3453" s="5" t="n">
        <v>1104</v>
      </c>
      <c r="N3453" s="5" t="n"/>
      <c r="O3453" s="5">
        <f>+M3453+N3453</f>
        <v/>
      </c>
      <c r="P3453" s="4" t="n">
        <v>46002</v>
      </c>
      <c r="Q3453" s="87" t="n">
        <v>46002</v>
      </c>
      <c r="R3453" s="5" t="n"/>
      <c r="S3453" s="2" t="n"/>
      <c r="T3453" s="3" t="n"/>
      <c r="U3453" s="87" t="n"/>
      <c r="V3453" s="3" t="n"/>
      <c r="W3453" s="108" t="n"/>
      <c r="X3453" s="4" t="n"/>
    </row>
    <row r="3454" ht="24" customHeight="1">
      <c r="A3454" s="2">
        <f>+D3454-S3454</f>
        <v/>
      </c>
      <c r="B3454" s="80" t="n">
        <v>5044</v>
      </c>
      <c r="C3454" s="66" t="n">
        <v>46003</v>
      </c>
      <c r="D3454" s="2" t="n">
        <v>1</v>
      </c>
      <c r="E3454" s="3" t="inlineStr">
        <is>
          <t>FUCILE SEMIAUTOMATICO</t>
        </is>
      </c>
      <c r="F3454" s="3" t="inlineStr">
        <is>
          <t>12</t>
        </is>
      </c>
      <c r="G3454" s="84" t="inlineStr">
        <is>
          <t>BENELLI</t>
        </is>
      </c>
      <c r="H3454" s="107" t="inlineStr">
        <is>
          <t>BLACK EAGLE 30''</t>
        </is>
      </c>
      <c r="I3454" s="107" t="inlineStr">
        <is>
          <t>F451659F</t>
        </is>
      </c>
      <c r="J3454" s="107" t="inlineStr">
        <is>
          <t>C1686281H</t>
        </is>
      </c>
      <c r="K3454" s="65" t="inlineStr">
        <is>
          <t>N/D</t>
        </is>
      </c>
      <c r="L3454" s="127" t="inlineStr">
        <is>
          <t>BENELLI ARMI SPA</t>
        </is>
      </c>
      <c r="M3454" s="5" t="n">
        <v>1104</v>
      </c>
      <c r="N3454" s="5" t="n"/>
      <c r="O3454" s="5">
        <f>+M3454+N3454</f>
        <v/>
      </c>
      <c r="P3454" s="4" t="n">
        <v>46002</v>
      </c>
      <c r="Q3454" s="87" t="n">
        <v>46002</v>
      </c>
      <c r="R3454" s="5" t="n"/>
      <c r="S3454" s="2" t="n"/>
      <c r="T3454" s="3" t="n"/>
      <c r="U3454" s="87" t="n"/>
      <c r="V3454" s="3" t="n"/>
      <c r="W3454" s="108" t="n"/>
      <c r="X3454" s="4" t="n"/>
    </row>
    <row r="3455" ht="24" customHeight="1">
      <c r="A3455" s="2">
        <f>+D3455-S3455</f>
        <v/>
      </c>
      <c r="B3455" s="80" t="n">
        <v>5045</v>
      </c>
      <c r="C3455" s="66" t="n">
        <v>46003</v>
      </c>
      <c r="D3455" s="2" t="n">
        <v>1</v>
      </c>
      <c r="E3455" s="3" t="inlineStr">
        <is>
          <t>FUCILE SEMIAUTOMATICO</t>
        </is>
      </c>
      <c r="F3455" s="3" t="inlineStr">
        <is>
          <t>12</t>
        </is>
      </c>
      <c r="G3455" s="84" t="inlineStr">
        <is>
          <t>BENELLI</t>
        </is>
      </c>
      <c r="H3455" s="107" t="inlineStr">
        <is>
          <t>BLACK EAGLE 30''</t>
        </is>
      </c>
      <c r="I3455" s="107" t="inlineStr">
        <is>
          <t>F451658D</t>
        </is>
      </c>
      <c r="J3455" s="107" t="inlineStr">
        <is>
          <t>C1686274J</t>
        </is>
      </c>
      <c r="K3455" s="65" t="inlineStr">
        <is>
          <t>N/D</t>
        </is>
      </c>
      <c r="L3455" s="127" t="inlineStr">
        <is>
          <t>BENELLI ARMI SPA</t>
        </is>
      </c>
      <c r="M3455" s="5" t="n">
        <v>1104</v>
      </c>
      <c r="N3455" s="5" t="n"/>
      <c r="O3455" s="5">
        <f>+M3455+N3455</f>
        <v/>
      </c>
      <c r="P3455" s="4" t="n">
        <v>46002</v>
      </c>
      <c r="Q3455" s="87" t="n">
        <v>46002</v>
      </c>
      <c r="R3455" s="5" t="n"/>
      <c r="S3455" s="2" t="n"/>
      <c r="T3455" s="3" t="n"/>
      <c r="U3455" s="87" t="n"/>
      <c r="V3455" s="3" t="n"/>
      <c r="W3455" s="108" t="n"/>
      <c r="X3455" s="4" t="n"/>
    </row>
    <row r="3456" ht="24" customHeight="1">
      <c r="A3456" s="2">
        <f>+D3456-S3456</f>
        <v/>
      </c>
      <c r="B3456" s="80" t="n">
        <v>5046</v>
      </c>
      <c r="C3456" s="66" t="n">
        <v>46003</v>
      </c>
      <c r="D3456" s="2" t="n">
        <v>1</v>
      </c>
      <c r="E3456" s="3" t="inlineStr">
        <is>
          <t>FUCILE SEMIAUTOMATICO</t>
        </is>
      </c>
      <c r="F3456" s="3" t="inlineStr">
        <is>
          <t>12</t>
        </is>
      </c>
      <c r="G3456" s="84" t="inlineStr">
        <is>
          <t>BENELLI</t>
        </is>
      </c>
      <c r="H3456" s="107" t="inlineStr">
        <is>
          <t>RAFFAELLO ETHOS SPORT AI 30''</t>
        </is>
      </c>
      <c r="I3456" s="107" t="inlineStr">
        <is>
          <t>F452843W</t>
        </is>
      </c>
      <c r="J3456" s="107" t="inlineStr">
        <is>
          <t>C1688920E</t>
        </is>
      </c>
      <c r="K3456" s="65" t="inlineStr">
        <is>
          <t>N/D</t>
        </is>
      </c>
      <c r="L3456" s="127" t="inlineStr">
        <is>
          <t>BENELLI ARMI SPA</t>
        </is>
      </c>
      <c r="M3456" s="5" t="n">
        <v>1478</v>
      </c>
      <c r="N3456" s="5" t="n"/>
      <c r="O3456" s="5">
        <f>+M3456+N3456</f>
        <v/>
      </c>
      <c r="P3456" s="4" t="n">
        <v>46002</v>
      </c>
      <c r="Q3456" s="87" t="n">
        <v>46002</v>
      </c>
      <c r="R3456" s="5" t="n"/>
      <c r="S3456" s="2" t="n"/>
      <c r="T3456" s="3" t="n"/>
      <c r="U3456" s="87" t="n"/>
      <c r="V3456" s="3" t="n"/>
      <c r="W3456" s="108" t="n"/>
      <c r="X3456" s="4" t="n"/>
    </row>
    <row r="3457" ht="24" customHeight="1">
      <c r="A3457" s="2">
        <f>+D3457-S3457</f>
        <v/>
      </c>
      <c r="B3457" s="80" t="n">
        <v>5047</v>
      </c>
      <c r="C3457" s="66" t="n">
        <v>46003</v>
      </c>
      <c r="D3457" s="2" t="n">
        <v>1</v>
      </c>
      <c r="E3457" s="3" t="inlineStr">
        <is>
          <t>FUCILE SEMIAUTOMATICO</t>
        </is>
      </c>
      <c r="F3457" s="3" t="inlineStr">
        <is>
          <t>12</t>
        </is>
      </c>
      <c r="G3457" s="84" t="inlineStr">
        <is>
          <t>BENELLI</t>
        </is>
      </c>
      <c r="H3457" s="107" t="inlineStr">
        <is>
          <t>RAFFAELLO ETHOS SPORT AI 30''</t>
        </is>
      </c>
      <c r="I3457" s="107" t="inlineStr">
        <is>
          <t>F452844Y</t>
        </is>
      </c>
      <c r="J3457" s="107" t="inlineStr">
        <is>
          <t>C1688921F</t>
        </is>
      </c>
      <c r="K3457" s="65" t="inlineStr">
        <is>
          <t>N/D</t>
        </is>
      </c>
      <c r="L3457" s="127" t="inlineStr">
        <is>
          <t>BENELLI ARMI SPA</t>
        </is>
      </c>
      <c r="M3457" s="5" t="n">
        <v>1478</v>
      </c>
      <c r="N3457" s="5" t="n"/>
      <c r="O3457" s="5">
        <f>+M3457+N3457</f>
        <v/>
      </c>
      <c r="P3457" s="4" t="n">
        <v>46002</v>
      </c>
      <c r="Q3457" s="87" t="n">
        <v>46002</v>
      </c>
      <c r="R3457" s="5" t="n"/>
      <c r="S3457" s="2" t="n"/>
      <c r="T3457" s="3" t="n"/>
      <c r="U3457" s="87" t="n"/>
      <c r="V3457" s="3" t="n"/>
      <c r="W3457" s="108" t="n"/>
      <c r="X3457" s="4" t="n"/>
    </row>
    <row r="3458" ht="24" customHeight="1">
      <c r="A3458" s="2">
        <f>+D3458-S3458</f>
        <v/>
      </c>
      <c r="B3458" s="80" t="n">
        <v>5048</v>
      </c>
      <c r="C3458" s="66" t="n">
        <v>46003</v>
      </c>
      <c r="D3458" s="2" t="n">
        <v>1</v>
      </c>
      <c r="E3458" s="3" t="inlineStr">
        <is>
          <t>FUCILE SEMIAUTOMATICO</t>
        </is>
      </c>
      <c r="F3458" s="3" t="inlineStr">
        <is>
          <t>12</t>
        </is>
      </c>
      <c r="G3458" s="84" t="inlineStr">
        <is>
          <t>BENELLI</t>
        </is>
      </c>
      <c r="H3458" s="107" t="inlineStr">
        <is>
          <t>RAFFAELLO ETHOS SPORT AI 30''</t>
        </is>
      </c>
      <c r="I3458" s="107" t="inlineStr">
        <is>
          <t>F452845B</t>
        </is>
      </c>
      <c r="J3458" s="107" t="inlineStr">
        <is>
          <t>C1688922G</t>
        </is>
      </c>
      <c r="K3458" s="65" t="inlineStr">
        <is>
          <t>N/D</t>
        </is>
      </c>
      <c r="L3458" s="127" t="inlineStr">
        <is>
          <t>BENELLI ARMI SPA</t>
        </is>
      </c>
      <c r="M3458" s="5" t="n">
        <v>1478</v>
      </c>
      <c r="N3458" s="5" t="n"/>
      <c r="O3458" s="5">
        <f>+M3458+N3458</f>
        <v/>
      </c>
      <c r="P3458" s="4" t="n">
        <v>46002</v>
      </c>
      <c r="Q3458" s="87" t="n">
        <v>46002</v>
      </c>
      <c r="R3458" s="5" t="n"/>
      <c r="S3458" s="2" t="n"/>
      <c r="T3458" s="3" t="n"/>
      <c r="U3458" s="87" t="n"/>
      <c r="V3458" s="3" t="n"/>
      <c r="W3458" s="108" t="n"/>
      <c r="X3458" s="4" t="n"/>
    </row>
    <row r="3459" ht="24" customHeight="1">
      <c r="A3459" s="2">
        <f>+D3459-S3459</f>
        <v/>
      </c>
      <c r="B3459" s="80" t="n">
        <v>5049</v>
      </c>
      <c r="C3459" s="66" t="n">
        <v>46003</v>
      </c>
      <c r="D3459" s="2" t="n">
        <v>1</v>
      </c>
      <c r="E3459" s="3" t="inlineStr">
        <is>
          <t>FUCILE SEMIAUTOMATICO</t>
        </is>
      </c>
      <c r="F3459" s="3" t="inlineStr">
        <is>
          <t>12</t>
        </is>
      </c>
      <c r="G3459" s="84" t="inlineStr">
        <is>
          <t>BENELLI</t>
        </is>
      </c>
      <c r="H3459" s="107" t="inlineStr">
        <is>
          <t>RAFFAELLO ETHOS SPORT AI 30''</t>
        </is>
      </c>
      <c r="I3459" s="107" t="inlineStr">
        <is>
          <t>F452846D</t>
        </is>
      </c>
      <c r="J3459" s="107" t="inlineStr">
        <is>
          <t>C1688923H</t>
        </is>
      </c>
      <c r="K3459" s="65" t="inlineStr">
        <is>
          <t>N/D</t>
        </is>
      </c>
      <c r="L3459" s="127" t="inlineStr">
        <is>
          <t>BENELLI ARMI SPA</t>
        </is>
      </c>
      <c r="M3459" s="5" t="n">
        <v>1478</v>
      </c>
      <c r="N3459" s="5" t="n"/>
      <c r="O3459" s="5">
        <f>+M3459+N3459</f>
        <v/>
      </c>
      <c r="P3459" s="4" t="n">
        <v>46002</v>
      </c>
      <c r="Q3459" s="87" t="n">
        <v>46002</v>
      </c>
      <c r="R3459" s="5" t="n"/>
      <c r="S3459" s="2" t="n"/>
      <c r="T3459" s="3" t="n"/>
      <c r="U3459" s="87" t="n"/>
      <c r="V3459" s="3" t="n"/>
      <c r="W3459" s="108" t="n"/>
      <c r="X3459" s="4" t="n"/>
    </row>
    <row r="3460" ht="24" customHeight="1">
      <c r="A3460" s="2">
        <f>+D3460-S3460</f>
        <v/>
      </c>
      <c r="B3460" s="80" t="n">
        <v>5050</v>
      </c>
      <c r="C3460" s="66" t="n">
        <v>46003</v>
      </c>
      <c r="D3460" s="2" t="n">
        <v>1</v>
      </c>
      <c r="E3460" s="3" t="inlineStr">
        <is>
          <t>FUCILE SEMIAUTOMATICO</t>
        </is>
      </c>
      <c r="F3460" s="3" t="inlineStr">
        <is>
          <t>12</t>
        </is>
      </c>
      <c r="G3460" s="84" t="inlineStr">
        <is>
          <t>BENELLI</t>
        </is>
      </c>
      <c r="H3460" s="107" t="inlineStr">
        <is>
          <t>RAFFAELLO ETHOS CORDOBA BE.S.T.</t>
        </is>
      </c>
      <c r="I3460" s="107" t="inlineStr">
        <is>
          <t>F452589H</t>
        </is>
      </c>
      <c r="J3460" s="107" t="inlineStr">
        <is>
          <t>C1688030X</t>
        </is>
      </c>
      <c r="K3460" s="65" t="inlineStr">
        <is>
          <t>N/D</t>
        </is>
      </c>
      <c r="L3460" s="127" t="inlineStr">
        <is>
          <t>BENELLI ARMI SPA</t>
        </is>
      </c>
      <c r="M3460" s="5" t="n">
        <v>1312</v>
      </c>
      <c r="N3460" s="5" t="n"/>
      <c r="O3460" s="5">
        <f>+M3460+N3460</f>
        <v/>
      </c>
      <c r="P3460" s="4" t="n">
        <v>46002</v>
      </c>
      <c r="Q3460" s="87" t="n">
        <v>46002</v>
      </c>
      <c r="R3460" s="5" t="n"/>
      <c r="S3460" s="2" t="n"/>
      <c r="T3460" s="3" t="n"/>
      <c r="U3460" s="87" t="n"/>
      <c r="V3460" s="3" t="n"/>
      <c r="W3460" s="108" t="n"/>
      <c r="X3460" s="4" t="n"/>
    </row>
    <row r="3461" ht="24" customHeight="1">
      <c r="A3461" s="2">
        <f>+D3461-S3461</f>
        <v/>
      </c>
      <c r="B3461" s="80" t="n">
        <v>5051</v>
      </c>
      <c r="C3461" s="66" t="n">
        <v>46003</v>
      </c>
      <c r="D3461" s="2" t="n">
        <v>1</v>
      </c>
      <c r="E3461" s="3" t="inlineStr">
        <is>
          <t>FUCILE SEMIAUTOMATICO</t>
        </is>
      </c>
      <c r="F3461" s="3" t="inlineStr">
        <is>
          <t>12</t>
        </is>
      </c>
      <c r="G3461" s="84" t="inlineStr">
        <is>
          <t>BENELLI</t>
        </is>
      </c>
      <c r="H3461" s="107" t="inlineStr">
        <is>
          <t>RAFFAELLO ETHOS CORDOBA BE.S.T.</t>
        </is>
      </c>
      <c r="I3461" s="107" t="inlineStr">
        <is>
          <t>F452590P</t>
        </is>
      </c>
      <c r="J3461" s="107" t="inlineStr">
        <is>
          <t>C1688031Y</t>
        </is>
      </c>
      <c r="K3461" s="65" t="inlineStr">
        <is>
          <t>N/D</t>
        </is>
      </c>
      <c r="L3461" s="127" t="inlineStr">
        <is>
          <t>BENELLI ARMI SPA</t>
        </is>
      </c>
      <c r="M3461" s="5" t="n">
        <v>1312</v>
      </c>
      <c r="N3461" s="5" t="n"/>
      <c r="O3461" s="5">
        <f>+M3461+N3461</f>
        <v/>
      </c>
      <c r="P3461" s="4" t="n">
        <v>46002</v>
      </c>
      <c r="Q3461" s="87" t="n">
        <v>46002</v>
      </c>
      <c r="R3461" s="5" t="n"/>
      <c r="S3461" s="2" t="n"/>
      <c r="T3461" s="3" t="n"/>
      <c r="U3461" s="87" t="n"/>
      <c r="V3461" s="3" t="n"/>
      <c r="W3461" s="108" t="n"/>
      <c r="X3461" s="4" t="n"/>
    </row>
    <row r="3462" ht="24" customHeight="1">
      <c r="A3462" s="2">
        <f>+D3462-S3462</f>
        <v/>
      </c>
      <c r="B3462" s="80" t="n">
        <v>5052</v>
      </c>
      <c r="C3462" s="66" t="n">
        <v>46003</v>
      </c>
      <c r="D3462" s="2" t="n">
        <v>1</v>
      </c>
      <c r="E3462" s="3" t="inlineStr">
        <is>
          <t>FUCILE SEMIAUTOMATICO</t>
        </is>
      </c>
      <c r="F3462" s="3" t="inlineStr">
        <is>
          <t>12</t>
        </is>
      </c>
      <c r="G3462" s="84" t="inlineStr">
        <is>
          <t>BENELLI</t>
        </is>
      </c>
      <c r="H3462" s="107" t="inlineStr">
        <is>
          <t>RAFFAELLO ETHOS CORDOBA BE.S.T.</t>
        </is>
      </c>
      <c r="I3462" s="107" t="inlineStr">
        <is>
          <t>F452591R</t>
        </is>
      </c>
      <c r="J3462" s="107" t="inlineStr">
        <is>
          <t>C1688032Z</t>
        </is>
      </c>
      <c r="K3462" s="65" t="inlineStr">
        <is>
          <t>N/D</t>
        </is>
      </c>
      <c r="L3462" s="127" t="inlineStr">
        <is>
          <t>BENELLI ARMI SPA</t>
        </is>
      </c>
      <c r="M3462" s="5" t="n">
        <v>1312</v>
      </c>
      <c r="N3462" s="5" t="n"/>
      <c r="O3462" s="5">
        <f>+M3462+N3462</f>
        <v/>
      </c>
      <c r="P3462" s="4" t="n">
        <v>46002</v>
      </c>
      <c r="Q3462" s="87" t="n">
        <v>46002</v>
      </c>
      <c r="R3462" s="5" t="n"/>
      <c r="S3462" s="2" t="n"/>
      <c r="T3462" s="3" t="n"/>
      <c r="U3462" s="87" t="n"/>
      <c r="V3462" s="3" t="n"/>
      <c r="W3462" s="108" t="n"/>
      <c r="X3462" s="4" t="n"/>
    </row>
    <row r="3463" ht="24" customHeight="1">
      <c r="A3463" s="2">
        <f>+D3463-S3463</f>
        <v/>
      </c>
      <c r="B3463" s="80" t="n">
        <v>5053</v>
      </c>
      <c r="C3463" s="66" t="n">
        <v>46003</v>
      </c>
      <c r="D3463" s="2" t="n">
        <v>1</v>
      </c>
      <c r="E3463" s="3" t="inlineStr">
        <is>
          <t>FUCILE SEMIAUTOMATICO</t>
        </is>
      </c>
      <c r="F3463" s="3" t="inlineStr">
        <is>
          <t>12</t>
        </is>
      </c>
      <c r="G3463" s="84" t="inlineStr">
        <is>
          <t>BENELLI</t>
        </is>
      </c>
      <c r="H3463" s="107" t="inlineStr">
        <is>
          <t>RAFFAELLO ETHOS CORDOBA BE.S.T.</t>
        </is>
      </c>
      <c r="I3463" s="107" t="inlineStr">
        <is>
          <t>F452592T</t>
        </is>
      </c>
      <c r="J3463" s="107" t="inlineStr">
        <is>
          <t>C1688033A</t>
        </is>
      </c>
      <c r="K3463" s="65" t="inlineStr">
        <is>
          <t>N/D</t>
        </is>
      </c>
      <c r="L3463" s="127" t="inlineStr">
        <is>
          <t>BENELLI ARMI SPA</t>
        </is>
      </c>
      <c r="M3463" s="5" t="n">
        <v>1312</v>
      </c>
      <c r="N3463" s="5" t="n"/>
      <c r="O3463" s="5">
        <f>+M3463+N3463</f>
        <v/>
      </c>
      <c r="P3463" s="4" t="n">
        <v>46002</v>
      </c>
      <c r="Q3463" s="87" t="n">
        <v>46002</v>
      </c>
      <c r="R3463" s="5" t="n"/>
      <c r="S3463" s="2" t="n"/>
      <c r="T3463" s="3" t="n"/>
      <c r="U3463" s="87" t="n"/>
      <c r="V3463" s="3" t="n"/>
      <c r="W3463" s="108" t="n"/>
      <c r="X3463" s="4" t="n"/>
    </row>
    <row r="3464" ht="24" customHeight="1">
      <c r="A3464" s="2">
        <f>+D3464-S3464</f>
        <v/>
      </c>
      <c r="B3464" s="80" t="n">
        <v>5054</v>
      </c>
      <c r="C3464" s="66" t="n">
        <v>46003</v>
      </c>
      <c r="D3464" s="2" t="n">
        <v>1</v>
      </c>
      <c r="E3464" s="3" t="inlineStr">
        <is>
          <t>FUCILE SEMIAUTOMATICO</t>
        </is>
      </c>
      <c r="F3464" s="3" t="inlineStr">
        <is>
          <t>12</t>
        </is>
      </c>
      <c r="G3464" s="84" t="inlineStr">
        <is>
          <t>BENELLI</t>
        </is>
      </c>
      <c r="H3464" s="107" t="inlineStr">
        <is>
          <t>SBE3 TUN 28"</t>
        </is>
      </c>
      <c r="I3464" s="107" t="inlineStr">
        <is>
          <t>U777207A</t>
        </is>
      </c>
      <c r="J3464" s="107" t="inlineStr">
        <is>
          <t>S815809D</t>
        </is>
      </c>
      <c r="K3464" s="65" t="inlineStr">
        <is>
          <t>N/D</t>
        </is>
      </c>
      <c r="L3464" s="127" t="inlineStr">
        <is>
          <t>BENELLI ARMI SPA</t>
        </is>
      </c>
      <c r="M3464" s="5" t="n">
        <v>1382</v>
      </c>
      <c r="N3464" s="5" t="n"/>
      <c r="O3464" s="5">
        <f>+M3464+N3464</f>
        <v/>
      </c>
      <c r="P3464" s="4" t="n">
        <v>46002</v>
      </c>
      <c r="Q3464" s="87" t="n">
        <v>46002</v>
      </c>
      <c r="R3464" s="5" t="n"/>
      <c r="S3464" s="2" t="n"/>
      <c r="T3464" s="3" t="n"/>
      <c r="U3464" s="87" t="n"/>
      <c r="V3464" s="3" t="n"/>
      <c r="W3464" s="108" t="n"/>
      <c r="X3464" s="4" t="n"/>
    </row>
    <row r="3465" ht="24" customHeight="1">
      <c r="A3465" s="2">
        <f>+D3465-S3465</f>
        <v/>
      </c>
      <c r="B3465" s="80" t="n">
        <v>5055</v>
      </c>
      <c r="C3465" s="66" t="n">
        <v>46003</v>
      </c>
      <c r="D3465" s="2" t="n">
        <v>1</v>
      </c>
      <c r="E3465" s="3" t="inlineStr">
        <is>
          <t>FUCILE SEMIAUTOMATICO</t>
        </is>
      </c>
      <c r="F3465" s="3" t="inlineStr">
        <is>
          <t>12</t>
        </is>
      </c>
      <c r="G3465" s="84" t="inlineStr">
        <is>
          <t>BENELLI</t>
        </is>
      </c>
      <c r="H3465" s="107" t="inlineStr">
        <is>
          <t>SBE3 TUN 28"</t>
        </is>
      </c>
      <c r="I3465" s="107" t="inlineStr">
        <is>
          <t>U777759W</t>
        </is>
      </c>
      <c r="J3465" s="107" t="inlineStr">
        <is>
          <t>S816369Z</t>
        </is>
      </c>
      <c r="K3465" s="65" t="inlineStr">
        <is>
          <t>N/D</t>
        </is>
      </c>
      <c r="L3465" s="127" t="inlineStr">
        <is>
          <t>BENELLI ARMI SPA</t>
        </is>
      </c>
      <c r="M3465" s="5" t="n">
        <v>1382</v>
      </c>
      <c r="N3465" s="5" t="n"/>
      <c r="O3465" s="5">
        <f>+M3465+N3465</f>
        <v/>
      </c>
      <c r="P3465" s="4" t="n">
        <v>46002</v>
      </c>
      <c r="Q3465" s="87" t="n">
        <v>46002</v>
      </c>
      <c r="R3465" s="5" t="n"/>
      <c r="S3465" s="2" t="n"/>
      <c r="T3465" s="3" t="n"/>
      <c r="U3465" s="87" t="n"/>
      <c r="V3465" s="3" t="n"/>
      <c r="W3465" s="108" t="n"/>
      <c r="X3465" s="4" t="n"/>
    </row>
    <row r="3466" ht="24" customHeight="1">
      <c r="A3466" s="2">
        <f>+D3466-S3466</f>
        <v/>
      </c>
      <c r="B3466" s="80" t="n">
        <v>5056</v>
      </c>
      <c r="C3466" s="66" t="n">
        <v>46003</v>
      </c>
      <c r="D3466" s="2" t="n">
        <v>1</v>
      </c>
      <c r="E3466" s="3" t="inlineStr">
        <is>
          <t>FUCILE SEMIAUTOMATICO</t>
        </is>
      </c>
      <c r="F3466" s="3" t="inlineStr">
        <is>
          <t>12</t>
        </is>
      </c>
      <c r="G3466" s="84" t="inlineStr">
        <is>
          <t>BENELLI</t>
        </is>
      </c>
      <c r="H3466" s="107" t="inlineStr">
        <is>
          <t>SBE3 TUN 28"</t>
        </is>
      </c>
      <c r="I3466" s="107" t="inlineStr">
        <is>
          <t>U777760C</t>
        </is>
      </c>
      <c r="J3466" s="107" t="inlineStr">
        <is>
          <t>S816370F</t>
        </is>
      </c>
      <c r="K3466" s="65" t="inlineStr">
        <is>
          <t>N/D</t>
        </is>
      </c>
      <c r="L3466" s="127" t="inlineStr">
        <is>
          <t>BENELLI ARMI SPA</t>
        </is>
      </c>
      <c r="M3466" s="5" t="n">
        <v>1382</v>
      </c>
      <c r="N3466" s="5" t="n"/>
      <c r="O3466" s="5">
        <f>+M3466+N3466</f>
        <v/>
      </c>
      <c r="P3466" s="4" t="n">
        <v>46002</v>
      </c>
      <c r="Q3466" s="87" t="n">
        <v>46002</v>
      </c>
      <c r="R3466" s="5" t="n"/>
      <c r="S3466" s="2" t="n"/>
      <c r="T3466" s="3" t="n"/>
      <c r="U3466" s="87" t="n"/>
      <c r="V3466" s="3" t="n"/>
      <c r="W3466" s="108" t="n"/>
      <c r="X3466" s="4" t="n"/>
    </row>
    <row r="3467" ht="24" customHeight="1">
      <c r="A3467" s="2">
        <f>+D3467-S3467</f>
        <v/>
      </c>
      <c r="B3467" s="80" t="n">
        <v>5057</v>
      </c>
      <c r="C3467" s="66" t="n">
        <v>46003</v>
      </c>
      <c r="D3467" s="2" t="n">
        <v>1</v>
      </c>
      <c r="E3467" s="3" t="inlineStr">
        <is>
          <t>FUCILE SEMIAUTOMATICO</t>
        </is>
      </c>
      <c r="F3467" s="3" t="inlineStr">
        <is>
          <t>12</t>
        </is>
      </c>
      <c r="G3467" s="84" t="inlineStr">
        <is>
          <t>BENELLI</t>
        </is>
      </c>
      <c r="H3467" s="107" t="inlineStr">
        <is>
          <t>SBE3 TUN 28"</t>
        </is>
      </c>
      <c r="I3467" s="107" t="inlineStr">
        <is>
          <t>U791935N</t>
        </is>
      </c>
      <c r="J3467" s="107" t="inlineStr">
        <is>
          <t>S830941R</t>
        </is>
      </c>
      <c r="K3467" s="65" t="inlineStr">
        <is>
          <t>N/D</t>
        </is>
      </c>
      <c r="L3467" s="127" t="inlineStr">
        <is>
          <t>BENELLI ARMI SPA</t>
        </is>
      </c>
      <c r="M3467" s="5" t="n">
        <v>1382</v>
      </c>
      <c r="N3467" s="5" t="n"/>
      <c r="O3467" s="5">
        <f>+M3467+N3467</f>
        <v/>
      </c>
      <c r="P3467" s="4" t="n">
        <v>46002</v>
      </c>
      <c r="Q3467" s="87" t="n">
        <v>46002</v>
      </c>
      <c r="R3467" s="5" t="n"/>
      <c r="S3467" s="2" t="n"/>
      <c r="T3467" s="3" t="n"/>
      <c r="U3467" s="87" t="n"/>
      <c r="V3467" s="3" t="n"/>
      <c r="W3467" s="108" t="n"/>
      <c r="X3467" s="4" t="n"/>
    </row>
    <row r="3468" ht="24" customHeight="1">
      <c r="A3468" s="2">
        <f>+D3468-S3468</f>
        <v/>
      </c>
      <c r="B3468" s="80" t="n">
        <v>5058</v>
      </c>
      <c r="C3468" s="66" t="n">
        <v>46003</v>
      </c>
      <c r="D3468" s="2" t="n">
        <v>1</v>
      </c>
      <c r="E3468" s="3" t="inlineStr">
        <is>
          <t>FUCILE SEMIAUTOMATICO</t>
        </is>
      </c>
      <c r="F3468" s="3" t="inlineStr">
        <is>
          <t>12</t>
        </is>
      </c>
      <c r="G3468" s="84" t="inlineStr">
        <is>
          <t>BENELLI</t>
        </is>
      </c>
      <c r="H3468" s="107" t="inlineStr">
        <is>
          <t>SBE3 TUN 28"</t>
        </is>
      </c>
      <c r="I3468" s="107" t="inlineStr">
        <is>
          <t>U777206Y</t>
        </is>
      </c>
      <c r="J3468" s="107" t="inlineStr">
        <is>
          <t>S815808B</t>
        </is>
      </c>
      <c r="K3468" s="65" t="inlineStr">
        <is>
          <t>N/D</t>
        </is>
      </c>
      <c r="L3468" s="127" t="inlineStr">
        <is>
          <t>BENELLI ARMI SPA</t>
        </is>
      </c>
      <c r="M3468" s="5" t="n">
        <v>1382</v>
      </c>
      <c r="N3468" s="5" t="n"/>
      <c r="O3468" s="5">
        <f>+M3468+N3468</f>
        <v/>
      </c>
      <c r="P3468" s="4" t="n">
        <v>46002</v>
      </c>
      <c r="Q3468" s="87" t="n">
        <v>46002</v>
      </c>
      <c r="R3468" s="5" t="n"/>
      <c r="S3468" s="2" t="n"/>
      <c r="T3468" s="3" t="n"/>
      <c r="U3468" s="87" t="n"/>
      <c r="V3468" s="3" t="n"/>
      <c r="W3468" s="108" t="n"/>
      <c r="X3468" s="4" t="n"/>
    </row>
    <row r="3469" ht="24" customHeight="1">
      <c r="A3469" s="2">
        <f>+D3469-S3469</f>
        <v/>
      </c>
      <c r="B3469" s="80" t="n">
        <v>5059</v>
      </c>
      <c r="C3469" s="66" t="n">
        <v>46003</v>
      </c>
      <c r="D3469" s="2" t="n">
        <v>1</v>
      </c>
      <c r="E3469" s="3" t="inlineStr">
        <is>
          <t>FUCILE SEMIAUTOMATICO</t>
        </is>
      </c>
      <c r="F3469" s="3" t="inlineStr">
        <is>
          <t>12</t>
        </is>
      </c>
      <c r="G3469" s="84" t="inlineStr">
        <is>
          <t>BENELLI</t>
        </is>
      </c>
      <c r="H3469" s="107" t="inlineStr">
        <is>
          <t>SBE3 TUN 28"</t>
        </is>
      </c>
      <c r="I3469" s="107" t="inlineStr">
        <is>
          <t>U777208C</t>
        </is>
      </c>
      <c r="J3469" s="107" t="inlineStr">
        <is>
          <t>S815810K</t>
        </is>
      </c>
      <c r="K3469" s="65" t="inlineStr">
        <is>
          <t>N/D</t>
        </is>
      </c>
      <c r="L3469" s="127" t="inlineStr">
        <is>
          <t>BENELLI ARMI SPA</t>
        </is>
      </c>
      <c r="M3469" s="5" t="n">
        <v>1382</v>
      </c>
      <c r="N3469" s="5" t="n"/>
      <c r="O3469" s="5">
        <f>+M3469+N3469</f>
        <v/>
      </c>
      <c r="P3469" s="4" t="n">
        <v>46002</v>
      </c>
      <c r="Q3469" s="87" t="n">
        <v>46002</v>
      </c>
      <c r="R3469" s="5" t="n"/>
      <c r="S3469" s="2" t="n"/>
      <c r="T3469" s="3" t="n"/>
      <c r="U3469" s="87" t="n"/>
      <c r="V3469" s="3" t="n"/>
      <c r="W3469" s="108" t="n"/>
      <c r="X3469" s="4" t="n"/>
    </row>
    <row r="3470" ht="24" customHeight="1">
      <c r="A3470" s="2">
        <f>+D3470-S3470</f>
        <v/>
      </c>
      <c r="B3470" s="80" t="n">
        <v>5060</v>
      </c>
      <c r="C3470" s="66" t="n">
        <v>46003</v>
      </c>
      <c r="D3470" s="2" t="n">
        <v>1</v>
      </c>
      <c r="E3470" s="3" t="inlineStr">
        <is>
          <t>FUCILE SEMIAUTOMATICO</t>
        </is>
      </c>
      <c r="F3470" s="3" t="inlineStr">
        <is>
          <t>12</t>
        </is>
      </c>
      <c r="G3470" s="84" t="inlineStr">
        <is>
          <t>BENELLI</t>
        </is>
      </c>
      <c r="H3470" s="107" t="inlineStr">
        <is>
          <t>RAFFAELLO ETHOS CORDOBA BE.S.T.</t>
        </is>
      </c>
      <c r="I3470" s="107" t="inlineStr">
        <is>
          <t>F449993H</t>
        </is>
      </c>
      <c r="J3470" s="107" t="inlineStr">
        <is>
          <t>C1680651S</t>
        </is>
      </c>
      <c r="K3470" s="65" t="inlineStr">
        <is>
          <t>N/D</t>
        </is>
      </c>
      <c r="L3470" s="127" t="inlineStr">
        <is>
          <t>BENELLI ARMI SPA</t>
        </is>
      </c>
      <c r="M3470" s="5" t="n">
        <v>1312</v>
      </c>
      <c r="N3470" s="5" t="n"/>
      <c r="O3470" s="5">
        <f>+M3470+N3470</f>
        <v/>
      </c>
      <c r="P3470" s="4" t="n">
        <v>46002</v>
      </c>
      <c r="Q3470" s="87" t="n">
        <v>46002</v>
      </c>
      <c r="R3470" s="5" t="n"/>
      <c r="S3470" s="2" t="n"/>
      <c r="T3470" s="3" t="n"/>
      <c r="U3470" s="87" t="n"/>
      <c r="V3470" s="3" t="n"/>
      <c r="W3470" s="108" t="n"/>
      <c r="X3470" s="4" t="n"/>
    </row>
    <row r="3471" ht="24" customHeight="1">
      <c r="A3471" s="2">
        <f>+D3471-S3471</f>
        <v/>
      </c>
      <c r="B3471" s="80" t="n">
        <v>5061</v>
      </c>
      <c r="C3471" s="66" t="n">
        <v>46003</v>
      </c>
      <c r="D3471" s="2" t="n">
        <v>1</v>
      </c>
      <c r="E3471" s="3" t="inlineStr">
        <is>
          <t>FUCILE SEMIAUTOMATICO</t>
        </is>
      </c>
      <c r="F3471" s="3" t="inlineStr">
        <is>
          <t>12</t>
        </is>
      </c>
      <c r="G3471" s="84" t="inlineStr">
        <is>
          <t>BENELLI</t>
        </is>
      </c>
      <c r="H3471" s="107" t="inlineStr">
        <is>
          <t>RAFFAELLO ETHOS CORDOBA BE.S.T.</t>
        </is>
      </c>
      <c r="I3471" s="107" t="inlineStr">
        <is>
          <t>F452587D</t>
        </is>
      </c>
      <c r="J3471" s="107" t="inlineStr">
        <is>
          <t>C1688028D</t>
        </is>
      </c>
      <c r="K3471" s="65" t="inlineStr">
        <is>
          <t>N/D</t>
        </is>
      </c>
      <c r="L3471" s="127" t="inlineStr">
        <is>
          <t>BENELLI ARMI SPA</t>
        </is>
      </c>
      <c r="M3471" s="5" t="n">
        <v>1312</v>
      </c>
      <c r="N3471" s="5" t="n"/>
      <c r="O3471" s="5">
        <f>+M3471+N3471</f>
        <v/>
      </c>
      <c r="P3471" s="4" t="n">
        <v>46002</v>
      </c>
      <c r="Q3471" s="87" t="n">
        <v>46002</v>
      </c>
      <c r="R3471" s="5" t="n"/>
      <c r="S3471" s="2" t="n"/>
      <c r="T3471" s="3" t="n"/>
      <c r="U3471" s="87" t="n"/>
      <c r="V3471" s="3" t="n"/>
      <c r="W3471" s="108" t="n"/>
      <c r="X3471" s="4" t="n"/>
    </row>
    <row r="3472" ht="24" customHeight="1">
      <c r="A3472" s="2">
        <f>+D3472-S3472</f>
        <v/>
      </c>
      <c r="B3472" s="80" t="n">
        <v>5062</v>
      </c>
      <c r="C3472" s="66" t="n">
        <v>46003</v>
      </c>
      <c r="D3472" s="2" t="n">
        <v>1</v>
      </c>
      <c r="E3472" s="3" t="inlineStr">
        <is>
          <t>FUCILE SEMIAUTOMATICO</t>
        </is>
      </c>
      <c r="F3472" s="3" t="inlineStr">
        <is>
          <t>12</t>
        </is>
      </c>
      <c r="G3472" s="84" t="inlineStr">
        <is>
          <t>BENELLI</t>
        </is>
      </c>
      <c r="H3472" s="107" t="inlineStr">
        <is>
          <t>RAFFAELLO BE-DIAMOND 30''</t>
        </is>
      </c>
      <c r="I3472" s="107" t="inlineStr">
        <is>
          <t>F444590N</t>
        </is>
      </c>
      <c r="J3472" s="107" t="inlineStr">
        <is>
          <t>C1663611M</t>
        </is>
      </c>
      <c r="K3472" s="65" t="inlineStr">
        <is>
          <t>N/D</t>
        </is>
      </c>
      <c r="L3472" s="127" t="inlineStr">
        <is>
          <t>BENELLI ARMI SPA</t>
        </is>
      </c>
      <c r="M3472" s="5" t="n">
        <v>1213</v>
      </c>
      <c r="N3472" s="5" t="n"/>
      <c r="O3472" s="5">
        <f>+M3472+N3472</f>
        <v/>
      </c>
      <c r="P3472" s="4" t="n">
        <v>46002</v>
      </c>
      <c r="Q3472" s="87" t="n">
        <v>46002</v>
      </c>
      <c r="R3472" s="5" t="n"/>
      <c r="S3472" s="2" t="n"/>
      <c r="T3472" s="3" t="n"/>
      <c r="U3472" s="87" t="n"/>
      <c r="V3472" s="3" t="n"/>
      <c r="W3472" s="108" t="n"/>
      <c r="X3472" s="4" t="n"/>
    </row>
    <row r="3473" ht="24" customHeight="1">
      <c r="A3473" s="2">
        <f>+D3473-S3473</f>
        <v/>
      </c>
      <c r="B3473" s="80" t="n">
        <v>5063</v>
      </c>
      <c r="C3473" s="66" t="n">
        <v>46003</v>
      </c>
      <c r="D3473" s="2" t="n">
        <v>1</v>
      </c>
      <c r="E3473" s="3" t="inlineStr">
        <is>
          <t>FUCILE SEMIAUTOMATICO</t>
        </is>
      </c>
      <c r="F3473" s="3" t="inlineStr">
        <is>
          <t>12</t>
        </is>
      </c>
      <c r="G3473" s="84" t="inlineStr">
        <is>
          <t>BENELLI</t>
        </is>
      </c>
      <c r="H3473" s="107" t="inlineStr">
        <is>
          <t>BLACK EAGLE 30''</t>
        </is>
      </c>
      <c r="I3473" s="107" t="inlineStr">
        <is>
          <t>F454040Z</t>
        </is>
      </c>
      <c r="J3473" s="107" t="inlineStr">
        <is>
          <t>C1691270U</t>
        </is>
      </c>
      <c r="K3473" s="65" t="inlineStr">
        <is>
          <t>N/D</t>
        </is>
      </c>
      <c r="L3473" s="127" t="inlineStr">
        <is>
          <t>BENELLI ARMI SPA</t>
        </is>
      </c>
      <c r="M3473" s="5" t="n">
        <v>1104</v>
      </c>
      <c r="N3473" s="5" t="n"/>
      <c r="O3473" s="5">
        <f>+M3473+N3473</f>
        <v/>
      </c>
      <c r="P3473" s="4" t="n">
        <v>46002</v>
      </c>
      <c r="Q3473" s="87" t="n">
        <v>46002</v>
      </c>
      <c r="R3473" s="5" t="n"/>
      <c r="S3473" s="2" t="n"/>
      <c r="T3473" s="3" t="n"/>
      <c r="U3473" s="87" t="n"/>
      <c r="V3473" s="3" t="n"/>
      <c r="W3473" s="108" t="n"/>
      <c r="X3473" s="4" t="n"/>
    </row>
    <row r="3474" ht="24" customHeight="1">
      <c r="A3474" s="2">
        <f>+D3474-S3474</f>
        <v/>
      </c>
      <c r="B3474" s="80" t="n">
        <v>5064</v>
      </c>
      <c r="C3474" s="66" t="n">
        <v>46003</v>
      </c>
      <c r="D3474" s="2" t="n">
        <v>1</v>
      </c>
      <c r="E3474" s="3" t="inlineStr">
        <is>
          <t>FUCILE SEMIAUTOMATICO</t>
        </is>
      </c>
      <c r="F3474" s="3" t="inlineStr">
        <is>
          <t>12</t>
        </is>
      </c>
      <c r="G3474" s="84" t="inlineStr">
        <is>
          <t>BENELLI</t>
        </is>
      </c>
      <c r="H3474" s="107" t="inlineStr">
        <is>
          <t>RAFFAELLO DELUXE AI 30''</t>
        </is>
      </c>
      <c r="I3474" s="107" t="inlineStr">
        <is>
          <t>F456322K</t>
        </is>
      </c>
      <c r="J3474" s="107" t="inlineStr">
        <is>
          <t>C1697230Y</t>
        </is>
      </c>
      <c r="K3474" s="65" t="inlineStr">
        <is>
          <t>N/D</t>
        </is>
      </c>
      <c r="L3474" s="127" t="inlineStr">
        <is>
          <t>BENELLI ARMI SPA</t>
        </is>
      </c>
      <c r="M3474" s="5" t="n">
        <v>1540</v>
      </c>
      <c r="N3474" s="5" t="n"/>
      <c r="O3474" s="5">
        <f>+M3474+N3474</f>
        <v/>
      </c>
      <c r="P3474" s="4" t="n">
        <v>46002</v>
      </c>
      <c r="Q3474" s="87" t="n">
        <v>46002</v>
      </c>
      <c r="R3474" s="5" t="n"/>
      <c r="S3474" s="2" t="n"/>
      <c r="T3474" s="3" t="n"/>
      <c r="U3474" s="87" t="n"/>
      <c r="V3474" s="3" t="n"/>
      <c r="W3474" s="108" t="n"/>
      <c r="X3474" s="4" t="n"/>
    </row>
    <row r="3475" ht="24" customHeight="1">
      <c r="A3475" s="2">
        <f>+D3475-S3475</f>
        <v/>
      </c>
      <c r="B3475" s="80" t="n">
        <v>5065</v>
      </c>
      <c r="C3475" s="66" t="n">
        <v>46003</v>
      </c>
      <c r="D3475" s="2" t="n">
        <v>1</v>
      </c>
      <c r="E3475" s="3" t="inlineStr">
        <is>
          <t>FUCILE SEMIAUTOMATICO</t>
        </is>
      </c>
      <c r="F3475" s="3" t="inlineStr">
        <is>
          <t>12</t>
        </is>
      </c>
      <c r="G3475" s="84" t="inlineStr">
        <is>
          <t>BENELLI</t>
        </is>
      </c>
      <c r="H3475" s="107" t="inlineStr">
        <is>
          <t>RAFFAELLO DELUXE AI 30''</t>
        </is>
      </c>
      <c r="I3475" s="107" t="inlineStr">
        <is>
          <t>F456321H</t>
        </is>
      </c>
      <c r="J3475" s="107" t="inlineStr">
        <is>
          <t>C1697232A</t>
        </is>
      </c>
      <c r="K3475" s="65" t="inlineStr">
        <is>
          <t>N/D</t>
        </is>
      </c>
      <c r="L3475" s="127" t="inlineStr">
        <is>
          <t>BENELLI ARMI SPA</t>
        </is>
      </c>
      <c r="M3475" s="5" t="n">
        <v>1540</v>
      </c>
      <c r="N3475" s="5" t="n"/>
      <c r="O3475" s="5">
        <f>+M3475+N3475</f>
        <v/>
      </c>
      <c r="P3475" s="4" t="n">
        <v>46002</v>
      </c>
      <c r="Q3475" s="87" t="n">
        <v>46002</v>
      </c>
      <c r="R3475" s="5" t="n"/>
      <c r="S3475" s="2" t="n"/>
      <c r="T3475" s="3" t="n"/>
      <c r="U3475" s="87" t="n"/>
      <c r="V3475" s="3" t="n"/>
      <c r="W3475" s="108" t="n"/>
      <c r="X3475" s="4" t="n"/>
    </row>
    <row r="3476" ht="24" customHeight="1">
      <c r="A3476" s="2">
        <f>+D3476-S3476</f>
        <v/>
      </c>
      <c r="B3476" s="80" t="n">
        <v>5066</v>
      </c>
      <c r="C3476" s="66" t="n">
        <v>46003</v>
      </c>
      <c r="D3476" s="2" t="n">
        <v>1</v>
      </c>
      <c r="E3476" s="3" t="inlineStr">
        <is>
          <t>FUCILE SEMIAUTOMATICO</t>
        </is>
      </c>
      <c r="F3476" s="3" t="inlineStr">
        <is>
          <t>12</t>
        </is>
      </c>
      <c r="G3476" s="84" t="inlineStr">
        <is>
          <t>BENELLI</t>
        </is>
      </c>
      <c r="H3476" s="107" t="inlineStr">
        <is>
          <t>RAFFAELLO BE-DIAMOND 30''</t>
        </is>
      </c>
      <c r="I3476" s="107" t="inlineStr">
        <is>
          <t>F435221Z</t>
        </is>
      </c>
      <c r="J3476" s="107" t="inlineStr">
        <is>
          <t>C1637308V</t>
        </is>
      </c>
      <c r="K3476" s="65" t="inlineStr">
        <is>
          <t>N/D</t>
        </is>
      </c>
      <c r="L3476" s="127" t="inlineStr">
        <is>
          <t>BENELLI ARMI SPA</t>
        </is>
      </c>
      <c r="M3476" s="5" t="n">
        <v>1213</v>
      </c>
      <c r="N3476" s="5" t="n"/>
      <c r="O3476" s="5">
        <f>+M3476+N3476</f>
        <v/>
      </c>
      <c r="P3476" s="4" t="n">
        <v>46002</v>
      </c>
      <c r="Q3476" s="87" t="n">
        <v>46002</v>
      </c>
      <c r="R3476" s="5" t="n"/>
      <c r="S3476" s="2" t="n"/>
      <c r="T3476" s="3" t="n"/>
      <c r="U3476" s="87" t="n"/>
      <c r="V3476" s="3" t="n"/>
      <c r="W3476" s="108" t="n"/>
      <c r="X3476" s="4" t="n"/>
    </row>
    <row r="3477" ht="24" customHeight="1">
      <c r="A3477" s="2">
        <f>+D3477-S3477</f>
        <v/>
      </c>
      <c r="B3477" s="80" t="n">
        <v>5067</v>
      </c>
      <c r="C3477" s="66" t="n">
        <v>46003</v>
      </c>
      <c r="D3477" s="2" t="n">
        <v>1</v>
      </c>
      <c r="E3477" s="3" t="inlineStr">
        <is>
          <t>FUCILE SEMIAUTOMATICO</t>
        </is>
      </c>
      <c r="F3477" s="3" t="inlineStr">
        <is>
          <t>12</t>
        </is>
      </c>
      <c r="G3477" s="84" t="inlineStr">
        <is>
          <t>BENELLI</t>
        </is>
      </c>
      <c r="H3477" s="107" t="inlineStr">
        <is>
          <t>RAFFAELLO BE-DIAMOND 30''</t>
        </is>
      </c>
      <c r="I3477" s="107" t="inlineStr">
        <is>
          <t>F435233E</t>
        </is>
      </c>
      <c r="J3477" s="107" t="inlineStr">
        <is>
          <t>C1637320R</t>
        </is>
      </c>
      <c r="K3477" s="65" t="inlineStr">
        <is>
          <t>N/D</t>
        </is>
      </c>
      <c r="L3477" s="127" t="inlineStr">
        <is>
          <t>BENELLI ARMI SPA</t>
        </is>
      </c>
      <c r="M3477" s="5" t="n">
        <v>1213</v>
      </c>
      <c r="N3477" s="5" t="n"/>
      <c r="O3477" s="5">
        <f>+M3477+N3477</f>
        <v/>
      </c>
      <c r="P3477" s="4" t="n">
        <v>46002</v>
      </c>
      <c r="Q3477" s="87" t="n">
        <v>46002</v>
      </c>
      <c r="R3477" s="5" t="n"/>
      <c r="S3477" s="2" t="n"/>
      <c r="T3477" s="3" t="n"/>
      <c r="U3477" s="87" t="n"/>
      <c r="V3477" s="3" t="n"/>
      <c r="W3477" s="108" t="n"/>
      <c r="X3477" s="4" t="n"/>
    </row>
    <row r="3478" ht="24" customHeight="1">
      <c r="A3478" s="2">
        <f>+D3478-S3478</f>
        <v/>
      </c>
      <c r="B3478" s="80" t="n">
        <v>5068</v>
      </c>
      <c r="C3478" s="66" t="n">
        <v>46003</v>
      </c>
      <c r="D3478" s="2" t="n">
        <v>1</v>
      </c>
      <c r="E3478" s="3" t="inlineStr">
        <is>
          <t>FUCILE SEMIAUTOMATICO</t>
        </is>
      </c>
      <c r="F3478" s="3" t="inlineStr">
        <is>
          <t>12</t>
        </is>
      </c>
      <c r="G3478" s="84" t="inlineStr">
        <is>
          <t>BENELLI</t>
        </is>
      </c>
      <c r="H3478" s="107" t="inlineStr">
        <is>
          <t>RAFFAELLO BE-DIAMOND 30''</t>
        </is>
      </c>
      <c r="I3478" s="107" t="inlineStr">
        <is>
          <t>F435235K</t>
        </is>
      </c>
      <c r="J3478" s="107" t="inlineStr">
        <is>
          <t>C1637322T</t>
        </is>
      </c>
      <c r="K3478" s="65" t="inlineStr">
        <is>
          <t>N/D</t>
        </is>
      </c>
      <c r="L3478" s="127" t="inlineStr">
        <is>
          <t>BENELLI ARMI SPA</t>
        </is>
      </c>
      <c r="M3478" s="5" t="n">
        <v>1213</v>
      </c>
      <c r="N3478" s="5" t="n"/>
      <c r="O3478" s="5">
        <f>+M3478+N3478</f>
        <v/>
      </c>
      <c r="P3478" s="4" t="n">
        <v>46002</v>
      </c>
      <c r="Q3478" s="87" t="n">
        <v>46002</v>
      </c>
      <c r="R3478" s="5" t="n"/>
      <c r="S3478" s="2" t="n"/>
      <c r="T3478" s="3" t="n"/>
      <c r="U3478" s="87" t="n"/>
      <c r="V3478" s="3" t="n"/>
      <c r="W3478" s="108" t="n"/>
      <c r="X3478" s="4" t="n"/>
    </row>
    <row r="3479" ht="24" customHeight="1">
      <c r="A3479" s="2">
        <f>+D3479-S3479</f>
        <v/>
      </c>
      <c r="B3479" s="80" t="n">
        <v>5069</v>
      </c>
      <c r="C3479" s="66" t="n">
        <v>46003</v>
      </c>
      <c r="D3479" s="2" t="n">
        <v>1</v>
      </c>
      <c r="E3479" s="3" t="inlineStr">
        <is>
          <t>FUCILE SEMIAUTOMATICO</t>
        </is>
      </c>
      <c r="F3479" s="3" t="inlineStr">
        <is>
          <t>12</t>
        </is>
      </c>
      <c r="G3479" s="84" t="inlineStr">
        <is>
          <t>BENELLI</t>
        </is>
      </c>
      <c r="H3479" s="107" t="inlineStr">
        <is>
          <t>RAFFAELLO BE-DIAMOND 30''</t>
        </is>
      </c>
      <c r="I3479" s="107" t="inlineStr">
        <is>
          <t>F435230Y</t>
        </is>
      </c>
      <c r="J3479" s="107" t="inlineStr">
        <is>
          <t>C1637317W</t>
        </is>
      </c>
      <c r="K3479" s="65" t="inlineStr">
        <is>
          <t>N/D</t>
        </is>
      </c>
      <c r="L3479" s="127" t="inlineStr">
        <is>
          <t>BENELLI ARMI SPA</t>
        </is>
      </c>
      <c r="M3479" s="5" t="n">
        <v>1213</v>
      </c>
      <c r="N3479" s="5" t="n"/>
      <c r="O3479" s="5">
        <f>+M3479+N3479</f>
        <v/>
      </c>
      <c r="P3479" s="4" t="n">
        <v>46002</v>
      </c>
      <c r="Q3479" s="87" t="n">
        <v>46002</v>
      </c>
      <c r="R3479" s="5" t="n"/>
      <c r="S3479" s="2" t="n"/>
      <c r="T3479" s="3" t="n"/>
      <c r="U3479" s="87" t="n"/>
      <c r="V3479" s="3" t="n"/>
      <c r="W3479" s="108" t="n"/>
      <c r="X3479" s="4" t="n"/>
    </row>
    <row r="3480" ht="24" customHeight="1">
      <c r="A3480" s="2">
        <f>+D3480-S3480</f>
        <v/>
      </c>
      <c r="B3480" s="80" t="n">
        <v>5070</v>
      </c>
      <c r="C3480" s="66" t="n">
        <v>46003</v>
      </c>
      <c r="D3480" s="2" t="n">
        <v>1</v>
      </c>
      <c r="E3480" s="3" t="inlineStr">
        <is>
          <t>FUCILE SEMIAUTOMATICO</t>
        </is>
      </c>
      <c r="F3480" s="3" t="inlineStr">
        <is>
          <t>12</t>
        </is>
      </c>
      <c r="G3480" s="84" t="inlineStr">
        <is>
          <t>BENELLI</t>
        </is>
      </c>
      <c r="H3480" s="107" t="inlineStr">
        <is>
          <t>RAFFAELLO ETHOS S.SPORT AI 30''</t>
        </is>
      </c>
      <c r="I3480" s="107" t="inlineStr">
        <is>
          <t>F456588K</t>
        </is>
      </c>
      <c r="J3480" s="107" t="inlineStr">
        <is>
          <t>C1697853N</t>
        </is>
      </c>
      <c r="K3480" s="65" t="inlineStr">
        <is>
          <t>N/D</t>
        </is>
      </c>
      <c r="L3480" s="127" t="inlineStr">
        <is>
          <t>BENELLI ARMI SPA</t>
        </is>
      </c>
      <c r="M3480" s="5" t="n">
        <v>1634</v>
      </c>
      <c r="N3480" s="5" t="n"/>
      <c r="O3480" s="5">
        <f>+M3480+N3480</f>
        <v/>
      </c>
      <c r="P3480" s="4" t="n">
        <v>46002</v>
      </c>
      <c r="Q3480" s="87" t="n">
        <v>46002</v>
      </c>
      <c r="R3480" s="5" t="n"/>
      <c r="S3480" s="2" t="n"/>
      <c r="T3480" s="3" t="n"/>
      <c r="U3480" s="87" t="n"/>
      <c r="V3480" s="3" t="n"/>
      <c r="W3480" s="108" t="n"/>
      <c r="X3480" s="4" t="n"/>
    </row>
    <row r="3481" ht="24" customHeight="1">
      <c r="A3481" s="2">
        <f>+D3481-S3481</f>
        <v/>
      </c>
      <c r="B3481" s="80" t="n">
        <v>5071</v>
      </c>
      <c r="C3481" s="66" t="n">
        <v>46003</v>
      </c>
      <c r="D3481" s="2" t="n">
        <v>1</v>
      </c>
      <c r="E3481" s="3" t="inlineStr">
        <is>
          <t>FUCILE SEMIAUTOMATICO</t>
        </is>
      </c>
      <c r="F3481" s="3" t="inlineStr">
        <is>
          <t>12</t>
        </is>
      </c>
      <c r="G3481" s="84" t="inlineStr">
        <is>
          <t>BENELLI</t>
        </is>
      </c>
      <c r="H3481" s="107" t="inlineStr">
        <is>
          <t>RAFFAELLO ETHOS S.SPORT AI 30''</t>
        </is>
      </c>
      <c r="I3481" s="107" t="inlineStr">
        <is>
          <t>F456590T</t>
        </is>
      </c>
      <c r="J3481" s="107" t="inlineStr">
        <is>
          <t>C1697854P</t>
        </is>
      </c>
      <c r="K3481" s="65" t="inlineStr">
        <is>
          <t>N/D</t>
        </is>
      </c>
      <c r="L3481" s="127" t="inlineStr">
        <is>
          <t>BENELLI ARMI SPA</t>
        </is>
      </c>
      <c r="M3481" s="5" t="n">
        <v>1634</v>
      </c>
      <c r="N3481" s="5" t="n"/>
      <c r="O3481" s="5">
        <f>+M3481+N3481</f>
        <v/>
      </c>
      <c r="P3481" s="4" t="n">
        <v>46002</v>
      </c>
      <c r="Q3481" s="87" t="n">
        <v>46002</v>
      </c>
      <c r="R3481" s="5" t="n"/>
      <c r="S3481" s="2" t="n"/>
      <c r="T3481" s="3" t="n"/>
      <c r="U3481" s="87" t="n"/>
      <c r="V3481" s="3" t="n"/>
      <c r="W3481" s="108" t="n"/>
      <c r="X3481" s="4" t="n"/>
    </row>
    <row r="3482" ht="24" customHeight="1">
      <c r="A3482" s="2">
        <f>+D3482-S3482</f>
        <v/>
      </c>
      <c r="B3482" s="80" t="n">
        <v>5072</v>
      </c>
      <c r="C3482" s="66" t="n">
        <v>46003</v>
      </c>
      <c r="D3482" s="2" t="n">
        <v>1</v>
      </c>
      <c r="E3482" s="3" t="inlineStr">
        <is>
          <t>FUCILE SEMIAUTOMATICO</t>
        </is>
      </c>
      <c r="F3482" s="3" t="inlineStr">
        <is>
          <t>12</t>
        </is>
      </c>
      <c r="G3482" s="84" t="inlineStr">
        <is>
          <t>BENELLI</t>
        </is>
      </c>
      <c r="H3482" s="107" t="inlineStr">
        <is>
          <t>RAFFAELLO ETHOS S.SPORT AI 30''</t>
        </is>
      </c>
      <c r="I3482" s="107" t="inlineStr">
        <is>
          <t>F456589M</t>
        </is>
      </c>
      <c r="J3482" s="107" t="inlineStr">
        <is>
          <t>C1697856R</t>
        </is>
      </c>
      <c r="K3482" s="65" t="inlineStr">
        <is>
          <t>N/D</t>
        </is>
      </c>
      <c r="L3482" s="127" t="inlineStr">
        <is>
          <t>BENELLI ARMI SPA</t>
        </is>
      </c>
      <c r="M3482" s="5" t="n">
        <v>1634</v>
      </c>
      <c r="N3482" s="5" t="n"/>
      <c r="O3482" s="5">
        <f>+M3482+N3482</f>
        <v/>
      </c>
      <c r="P3482" s="4" t="n">
        <v>46002</v>
      </c>
      <c r="Q3482" s="87" t="n">
        <v>46002</v>
      </c>
      <c r="R3482" s="5" t="n"/>
      <c r="S3482" s="2" t="n"/>
      <c r="T3482" s="3" t="n"/>
      <c r="U3482" s="87" t="n"/>
      <c r="V3482" s="3" t="n"/>
      <c r="W3482" s="108" t="n"/>
      <c r="X3482" s="4" t="n"/>
    </row>
    <row r="3483" ht="24" customHeight="1">
      <c r="A3483" s="2">
        <f>+D3483-S3483</f>
        <v/>
      </c>
      <c r="B3483" s="80" t="n">
        <v>5073</v>
      </c>
      <c r="C3483" s="66" t="n">
        <v>46003</v>
      </c>
      <c r="D3483" s="2" t="n">
        <v>1</v>
      </c>
      <c r="E3483" s="3" t="inlineStr">
        <is>
          <t>FUCILE SEMIAUTOMATICO</t>
        </is>
      </c>
      <c r="F3483" s="3" t="inlineStr">
        <is>
          <t>12</t>
        </is>
      </c>
      <c r="G3483" s="84" t="inlineStr">
        <is>
          <t>BENELLI</t>
        </is>
      </c>
      <c r="H3483" s="107" t="inlineStr">
        <is>
          <t>RAFFAELLO ETHOS S.SPORT AI 30''</t>
        </is>
      </c>
      <c r="I3483" s="107" t="inlineStr">
        <is>
          <t>F456594B</t>
        </is>
      </c>
      <c r="J3483" s="107" t="inlineStr">
        <is>
          <t>C1697855Q</t>
        </is>
      </c>
      <c r="K3483" s="65" t="inlineStr">
        <is>
          <t>N/D</t>
        </is>
      </c>
      <c r="L3483" s="127" t="inlineStr">
        <is>
          <t>BENELLI ARMI SPA</t>
        </is>
      </c>
      <c r="M3483" s="5" t="n">
        <v>1634</v>
      </c>
      <c r="N3483" s="5" t="n"/>
      <c r="O3483" s="5">
        <f>+M3483+N3483</f>
        <v/>
      </c>
      <c r="P3483" s="4" t="n">
        <v>46002</v>
      </c>
      <c r="Q3483" s="87" t="n">
        <v>46002</v>
      </c>
      <c r="R3483" s="5" t="n"/>
      <c r="S3483" s="2" t="n"/>
      <c r="T3483" s="3" t="n"/>
      <c r="U3483" s="87" t="n"/>
      <c r="V3483" s="3" t="n"/>
      <c r="W3483" s="108" t="n"/>
      <c r="X3483" s="4" t="n"/>
    </row>
    <row r="3484" ht="24" customHeight="1">
      <c r="A3484" s="2">
        <f>+D3484-S3484</f>
        <v/>
      </c>
      <c r="B3484" s="80" t="n">
        <v>5074</v>
      </c>
      <c r="C3484" s="66" t="n">
        <v>46003</v>
      </c>
      <c r="D3484" s="2" t="n">
        <v>1</v>
      </c>
      <c r="E3484" s="3" t="inlineStr">
        <is>
          <t>FUCILE SEMIAUTOMATICO</t>
        </is>
      </c>
      <c r="F3484" s="3" t="inlineStr">
        <is>
          <t>12</t>
        </is>
      </c>
      <c r="G3484" s="84" t="inlineStr">
        <is>
          <t>BENELLI</t>
        </is>
      </c>
      <c r="H3484" s="107" t="inlineStr">
        <is>
          <t>SBE3 TUN 28"</t>
        </is>
      </c>
      <c r="I3484" s="107" t="inlineStr">
        <is>
          <t>U792743F</t>
        </is>
      </c>
      <c r="J3484" s="107" t="inlineStr">
        <is>
          <t>S831780Q</t>
        </is>
      </c>
      <c r="K3484" s="65" t="inlineStr">
        <is>
          <t>N/D</t>
        </is>
      </c>
      <c r="L3484" s="127" t="inlineStr">
        <is>
          <t>BENELLI ARMI SPA</t>
        </is>
      </c>
      <c r="M3484" s="5" t="n">
        <v>1382</v>
      </c>
      <c r="N3484" s="5" t="n"/>
      <c r="O3484" s="5">
        <f>+M3484+N3484</f>
        <v/>
      </c>
      <c r="P3484" s="4" t="n">
        <v>46002</v>
      </c>
      <c r="Q3484" s="87" t="n">
        <v>46002</v>
      </c>
      <c r="R3484" s="5" t="n"/>
      <c r="S3484" s="2" t="n"/>
      <c r="T3484" s="3" t="n"/>
      <c r="U3484" s="87" t="n"/>
      <c r="V3484" s="3" t="n"/>
      <c r="W3484" s="108" t="n"/>
      <c r="X3484" s="4" t="n"/>
    </row>
    <row r="3485" ht="24" customHeight="1">
      <c r="A3485" s="2">
        <f>+D3485-S3485</f>
        <v/>
      </c>
      <c r="B3485" s="80" t="n">
        <v>5075</v>
      </c>
      <c r="C3485" s="66" t="n">
        <v>46003</v>
      </c>
      <c r="D3485" s="2" t="n">
        <v>1</v>
      </c>
      <c r="E3485" s="3" t="inlineStr">
        <is>
          <t>FUCILE SEMIAUTOMATICO</t>
        </is>
      </c>
      <c r="F3485" s="3" t="inlineStr">
        <is>
          <t>12</t>
        </is>
      </c>
      <c r="G3485" s="84" t="inlineStr">
        <is>
          <t>BENELLI</t>
        </is>
      </c>
      <c r="H3485" s="107" t="inlineStr">
        <is>
          <t>RAFFAELLO DELUXE AI 30''</t>
        </is>
      </c>
      <c r="I3485" s="107" t="inlineStr">
        <is>
          <t>F456320F</t>
        </is>
      </c>
      <c r="J3485" s="107" t="inlineStr">
        <is>
          <t>C1697228E</t>
        </is>
      </c>
      <c r="K3485" s="65" t="inlineStr">
        <is>
          <t>N/D</t>
        </is>
      </c>
      <c r="L3485" s="127" t="inlineStr">
        <is>
          <t>BENELLI ARMI SPA</t>
        </is>
      </c>
      <c r="M3485" s="5" t="n">
        <v>1540</v>
      </c>
      <c r="N3485" s="5" t="n"/>
      <c r="O3485" s="5">
        <f>+M3485+N3485</f>
        <v/>
      </c>
      <c r="P3485" s="4" t="n">
        <v>46002</v>
      </c>
      <c r="Q3485" s="87" t="n">
        <v>46002</v>
      </c>
      <c r="R3485" s="5" t="n"/>
      <c r="S3485" s="2" t="n"/>
      <c r="T3485" s="3" t="n"/>
      <c r="U3485" s="87" t="n"/>
      <c r="V3485" s="3" t="n"/>
      <c r="W3485" s="108" t="n"/>
      <c r="X3485" s="4" t="n"/>
    </row>
    <row r="3486" ht="24" customHeight="1">
      <c r="A3486" s="2">
        <f>+D3486-S3486</f>
        <v/>
      </c>
      <c r="B3486" s="80" t="n">
        <v>5076</v>
      </c>
      <c r="C3486" s="66" t="n">
        <v>46003</v>
      </c>
      <c r="D3486" s="2" t="n">
        <v>1</v>
      </c>
      <c r="E3486" s="3" t="inlineStr">
        <is>
          <t>FUCILE SEMIAUTOMATICO</t>
        </is>
      </c>
      <c r="F3486" s="3" t="inlineStr">
        <is>
          <t>12</t>
        </is>
      </c>
      <c r="G3486" s="84" t="inlineStr">
        <is>
          <t>BENELLI</t>
        </is>
      </c>
      <c r="H3486" s="107" t="inlineStr">
        <is>
          <t>RAFFAELLO DELUXE AI 30''</t>
        </is>
      </c>
      <c r="I3486" s="107" t="inlineStr">
        <is>
          <t>F456324P</t>
        </is>
      </c>
      <c r="J3486" s="107" t="inlineStr">
        <is>
          <t>C1697229F</t>
        </is>
      </c>
      <c r="K3486" s="65" t="inlineStr">
        <is>
          <t>N/D</t>
        </is>
      </c>
      <c r="L3486" s="127" t="inlineStr">
        <is>
          <t>BENELLI ARMI SPA</t>
        </is>
      </c>
      <c r="M3486" s="5" t="n">
        <v>1540</v>
      </c>
      <c r="N3486" s="5" t="n"/>
      <c r="O3486" s="5">
        <f>+M3486+N3486</f>
        <v/>
      </c>
      <c r="P3486" s="4" t="n">
        <v>46002</v>
      </c>
      <c r="Q3486" s="87" t="n">
        <v>46002</v>
      </c>
      <c r="R3486" s="5" t="n"/>
      <c r="S3486" s="2" t="n"/>
      <c r="T3486" s="3" t="n"/>
      <c r="U3486" s="87" t="n"/>
      <c r="V3486" s="3" t="n"/>
      <c r="W3486" s="108" t="n"/>
      <c r="X3486" s="4" t="n"/>
    </row>
    <row r="3487" ht="24" customHeight="1">
      <c r="A3487" s="2">
        <f>+D3487-S3487</f>
        <v/>
      </c>
      <c r="B3487" s="80" t="n">
        <v>5077</v>
      </c>
      <c r="C3487" s="66" t="n">
        <v>46003</v>
      </c>
      <c r="D3487" s="2" t="n">
        <v>1</v>
      </c>
      <c r="E3487" s="3" t="inlineStr">
        <is>
          <t>FUCILE SEMIAUTOMATICO</t>
        </is>
      </c>
      <c r="F3487" s="3" t="inlineStr">
        <is>
          <t>12</t>
        </is>
      </c>
      <c r="G3487" s="84" t="inlineStr">
        <is>
          <t>BENELLI</t>
        </is>
      </c>
      <c r="H3487" s="107" t="inlineStr">
        <is>
          <t>RAFFAELLO ETHOS S.SPORT AI 30''</t>
        </is>
      </c>
      <c r="I3487" s="107" t="inlineStr">
        <is>
          <t>F454096T</t>
        </is>
      </c>
      <c r="J3487" s="107" t="inlineStr">
        <is>
          <t>C1691972D</t>
        </is>
      </c>
      <c r="K3487" s="65" t="inlineStr">
        <is>
          <t>N/D</t>
        </is>
      </c>
      <c r="L3487" s="127" t="inlineStr">
        <is>
          <t>BENELLI ARMI SPA</t>
        </is>
      </c>
      <c r="M3487" s="5" t="n">
        <v>1634</v>
      </c>
      <c r="N3487" s="5" t="n"/>
      <c r="O3487" s="5">
        <f>+M3487+N3487</f>
        <v/>
      </c>
      <c r="P3487" s="4" t="n">
        <v>46002</v>
      </c>
      <c r="Q3487" s="87" t="n">
        <v>46002</v>
      </c>
      <c r="R3487" s="5" t="n"/>
      <c r="S3487" s="2" t="n"/>
      <c r="T3487" s="3" t="n"/>
      <c r="U3487" s="87" t="n"/>
      <c r="V3487" s="3" t="n"/>
      <c r="W3487" s="108" t="n"/>
      <c r="X3487" s="4" t="n"/>
    </row>
    <row r="3488" ht="24" customHeight="1">
      <c r="A3488" s="2">
        <f>+D3488-S3488</f>
        <v/>
      </c>
      <c r="B3488" s="80" t="n">
        <v>5078</v>
      </c>
      <c r="C3488" s="66" t="n">
        <v>46003</v>
      </c>
      <c r="D3488" s="2" t="n">
        <v>1</v>
      </c>
      <c r="E3488" s="3" t="inlineStr">
        <is>
          <t>FUCILE SEMIAUTOMATICO</t>
        </is>
      </c>
      <c r="F3488" s="3" t="inlineStr">
        <is>
          <t>12</t>
        </is>
      </c>
      <c r="G3488" s="84" t="inlineStr">
        <is>
          <t>BENELLI</t>
        </is>
      </c>
      <c r="H3488" s="107" t="inlineStr">
        <is>
          <t>RAFFAELLO ETHOS S.SPORT AI 30''</t>
        </is>
      </c>
      <c r="I3488" s="107" t="inlineStr">
        <is>
          <t>F454119T</t>
        </is>
      </c>
      <c r="J3488" s="107" t="inlineStr">
        <is>
          <t>C1691995L</t>
        </is>
      </c>
      <c r="K3488" s="65" t="inlineStr">
        <is>
          <t>N/D</t>
        </is>
      </c>
      <c r="L3488" s="127" t="inlineStr">
        <is>
          <t>BENELLI ARMI SPA</t>
        </is>
      </c>
      <c r="M3488" s="5" t="n">
        <v>1634</v>
      </c>
      <c r="N3488" s="5" t="n"/>
      <c r="O3488" s="5">
        <f>+M3488+N3488</f>
        <v/>
      </c>
      <c r="P3488" s="4" t="n">
        <v>46002</v>
      </c>
      <c r="Q3488" s="87" t="n">
        <v>46002</v>
      </c>
      <c r="R3488" s="5" t="n"/>
      <c r="S3488" s="2" t="n"/>
      <c r="T3488" s="3" t="n"/>
      <c r="U3488" s="87" t="n"/>
      <c r="V3488" s="3" t="n"/>
      <c r="W3488" s="108" t="n"/>
      <c r="X3488" s="4" t="n"/>
    </row>
    <row r="3489" ht="24" customHeight="1">
      <c r="A3489" s="2">
        <f>+D3489-S3489</f>
        <v/>
      </c>
      <c r="B3489" s="80" t="n">
        <v>5079</v>
      </c>
      <c r="C3489" s="66" t="n">
        <v>46003</v>
      </c>
      <c r="D3489" s="2" t="n">
        <v>1</v>
      </c>
      <c r="E3489" s="3" t="inlineStr">
        <is>
          <t>FUCILE SEMIAUTOMATICO</t>
        </is>
      </c>
      <c r="F3489" s="3" t="inlineStr">
        <is>
          <t>12</t>
        </is>
      </c>
      <c r="G3489" s="84" t="inlineStr">
        <is>
          <t>BENELLI</t>
        </is>
      </c>
      <c r="H3489" s="107" t="inlineStr">
        <is>
          <t>RAFFAELLO ETHOS S.SPORT AI 30''</t>
        </is>
      </c>
      <c r="I3489" s="107" t="inlineStr">
        <is>
          <t>F454129U</t>
        </is>
      </c>
      <c r="J3489" s="107" t="inlineStr">
        <is>
          <t>C1691992H</t>
        </is>
      </c>
      <c r="K3489" s="65" t="inlineStr">
        <is>
          <t>N/D</t>
        </is>
      </c>
      <c r="L3489" s="127" t="inlineStr">
        <is>
          <t>BENELLI ARMI SPA</t>
        </is>
      </c>
      <c r="M3489" s="5" t="n">
        <v>1634</v>
      </c>
      <c r="N3489" s="5" t="n"/>
      <c r="O3489" s="5">
        <f>+M3489+N3489</f>
        <v/>
      </c>
      <c r="P3489" s="4" t="n">
        <v>46002</v>
      </c>
      <c r="Q3489" s="87" t="n">
        <v>46002</v>
      </c>
      <c r="R3489" s="5" t="n"/>
      <c r="S3489" s="2" t="n"/>
      <c r="T3489" s="3" t="n"/>
      <c r="U3489" s="87" t="n"/>
      <c r="V3489" s="3" t="n"/>
      <c r="W3489" s="108" t="n"/>
      <c r="X3489" s="4" t="n"/>
    </row>
    <row r="3490" ht="24" customHeight="1">
      <c r="A3490" s="2">
        <f>+D3490-S3490</f>
        <v/>
      </c>
      <c r="B3490" s="80" t="n">
        <v>5080</v>
      </c>
      <c r="C3490" s="66" t="n">
        <v>46003</v>
      </c>
      <c r="D3490" s="2" t="n">
        <v>1</v>
      </c>
      <c r="E3490" s="3" t="inlineStr">
        <is>
          <t>FUCILE SEMIAUTOMATICO</t>
        </is>
      </c>
      <c r="F3490" s="3" t="inlineStr">
        <is>
          <t>12</t>
        </is>
      </c>
      <c r="G3490" s="84" t="inlineStr">
        <is>
          <t>BENELLI</t>
        </is>
      </c>
      <c r="H3490" s="107" t="inlineStr">
        <is>
          <t>RAFFAELLO ETHOS S.SPORT AI 30''</t>
        </is>
      </c>
      <c r="I3490" s="107" t="inlineStr">
        <is>
          <t>F454127Q</t>
        </is>
      </c>
      <c r="J3490" s="107" t="inlineStr">
        <is>
          <t>C1691974F</t>
        </is>
      </c>
      <c r="K3490" s="65" t="inlineStr">
        <is>
          <t>N/D</t>
        </is>
      </c>
      <c r="L3490" s="127" t="inlineStr">
        <is>
          <t>BENELLI ARMI SPA</t>
        </is>
      </c>
      <c r="M3490" s="5" t="n">
        <v>1634</v>
      </c>
      <c r="N3490" s="5" t="n"/>
      <c r="O3490" s="5">
        <f>+M3490+N3490</f>
        <v/>
      </c>
      <c r="P3490" s="4" t="n">
        <v>46002</v>
      </c>
      <c r="Q3490" s="87" t="n">
        <v>46002</v>
      </c>
      <c r="R3490" s="5" t="n"/>
      <c r="S3490" s="2" t="n"/>
      <c r="T3490" s="3" t="n"/>
      <c r="U3490" s="87" t="n"/>
      <c r="V3490" s="3" t="n"/>
      <c r="W3490" s="108" t="n"/>
      <c r="X3490" s="4" t="n"/>
    </row>
    <row r="3491" ht="24" customHeight="1">
      <c r="A3491" s="2">
        <f>+D3491-S3491</f>
        <v/>
      </c>
      <c r="B3491" s="80" t="n">
        <v>5081</v>
      </c>
      <c r="C3491" s="66" t="n">
        <v>46003</v>
      </c>
      <c r="D3491" s="2" t="n">
        <v>1</v>
      </c>
      <c r="E3491" s="3" t="inlineStr">
        <is>
          <t>FUCILE SEMIAUTOMATICO</t>
        </is>
      </c>
      <c r="F3491" s="3" t="inlineStr">
        <is>
          <t>12</t>
        </is>
      </c>
      <c r="G3491" s="84" t="inlineStr">
        <is>
          <t>BENELLI</t>
        </is>
      </c>
      <c r="H3491" s="107" t="inlineStr">
        <is>
          <t>SBE3 TUN 28"</t>
        </is>
      </c>
      <c r="I3491" s="107" t="inlineStr">
        <is>
          <t>U792675M</t>
        </is>
      </c>
      <c r="J3491" s="107" t="inlineStr">
        <is>
          <t>S831716W</t>
        </is>
      </c>
      <c r="K3491" s="65" t="inlineStr">
        <is>
          <t>N/D</t>
        </is>
      </c>
      <c r="L3491" s="127" t="inlineStr">
        <is>
          <t>BENELLI ARMI SPA</t>
        </is>
      </c>
      <c r="M3491" s="5" t="n">
        <v>1382</v>
      </c>
      <c r="N3491" s="5" t="n"/>
      <c r="O3491" s="5">
        <f>+M3491+N3491</f>
        <v/>
      </c>
      <c r="P3491" s="4" t="n">
        <v>46002</v>
      </c>
      <c r="Q3491" s="87" t="n">
        <v>46002</v>
      </c>
      <c r="R3491" s="5" t="n"/>
      <c r="S3491" s="2" t="n"/>
      <c r="T3491" s="3" t="n"/>
      <c r="U3491" s="87" t="n"/>
      <c r="V3491" s="3" t="n"/>
      <c r="W3491" s="108" t="n"/>
      <c r="X3491" s="4" t="n"/>
    </row>
    <row r="3492" ht="24" customHeight="1">
      <c r="A3492" s="2">
        <f>+D3492-S3492</f>
        <v/>
      </c>
      <c r="B3492" s="80" t="n">
        <v>5082</v>
      </c>
      <c r="C3492" s="66" t="n">
        <v>46003</v>
      </c>
      <c r="D3492" s="2" t="n">
        <v>1</v>
      </c>
      <c r="E3492" s="3" t="inlineStr">
        <is>
          <t>FUCILE SEMIAUTOMATICO</t>
        </is>
      </c>
      <c r="F3492" s="3" t="inlineStr">
        <is>
          <t>12</t>
        </is>
      </c>
      <c r="G3492" s="84" t="inlineStr">
        <is>
          <t>BENELLI</t>
        </is>
      </c>
      <c r="H3492" s="107" t="inlineStr">
        <is>
          <t>SBE3 TUN 28"</t>
        </is>
      </c>
      <c r="I3492" s="107" t="inlineStr">
        <is>
          <t>U792678T</t>
        </is>
      </c>
      <c r="J3492" s="107" t="inlineStr">
        <is>
          <t>S831718A</t>
        </is>
      </c>
      <c r="K3492" s="65" t="inlineStr">
        <is>
          <t>N/D</t>
        </is>
      </c>
      <c r="L3492" s="127" t="inlineStr">
        <is>
          <t>BENELLI ARMI SPA</t>
        </is>
      </c>
      <c r="M3492" s="5" t="n">
        <v>1382</v>
      </c>
      <c r="N3492" s="5" t="n"/>
      <c r="O3492" s="5">
        <f>+M3492+N3492</f>
        <v/>
      </c>
      <c r="P3492" s="4" t="n">
        <v>46002</v>
      </c>
      <c r="Q3492" s="87" t="n">
        <v>46002</v>
      </c>
      <c r="R3492" s="5" t="n"/>
      <c r="S3492" s="2" t="n"/>
      <c r="T3492" s="3" t="n"/>
      <c r="U3492" s="87" t="n"/>
      <c r="V3492" s="3" t="n"/>
      <c r="W3492" s="108" t="n"/>
      <c r="X3492" s="4" t="n"/>
    </row>
    <row r="3493" ht="24" customHeight="1">
      <c r="A3493" s="2">
        <f>+D3493-S3493</f>
        <v/>
      </c>
      <c r="B3493" s="80" t="n">
        <v>5083</v>
      </c>
      <c r="C3493" s="66" t="n">
        <v>46003</v>
      </c>
      <c r="D3493" s="2" t="n">
        <v>1</v>
      </c>
      <c r="E3493" s="3" t="inlineStr">
        <is>
          <t>FUCILE SEMIAUTOMATICO</t>
        </is>
      </c>
      <c r="F3493" s="3" t="inlineStr">
        <is>
          <t>12</t>
        </is>
      </c>
      <c r="G3493" s="84" t="inlineStr">
        <is>
          <t>BENELLI</t>
        </is>
      </c>
      <c r="H3493" s="107" t="inlineStr">
        <is>
          <t>BLACK EAGLE 30''</t>
        </is>
      </c>
      <c r="I3493" s="107" t="inlineStr">
        <is>
          <t>F453716Z</t>
        </is>
      </c>
      <c r="J3493" s="107" t="inlineStr">
        <is>
          <t>C1691269B</t>
        </is>
      </c>
      <c r="K3493" s="65" t="inlineStr">
        <is>
          <t>N/D</t>
        </is>
      </c>
      <c r="L3493" s="127" t="inlineStr">
        <is>
          <t>BENELLI ARMI SPA</t>
        </is>
      </c>
      <c r="M3493" s="5" t="n">
        <v>1104</v>
      </c>
      <c r="N3493" s="5" t="n"/>
      <c r="O3493" s="5">
        <f>+M3493+N3493</f>
        <v/>
      </c>
      <c r="P3493" s="4" t="n">
        <v>46002</v>
      </c>
      <c r="Q3493" s="87" t="n">
        <v>46002</v>
      </c>
      <c r="R3493" s="5" t="n"/>
      <c r="S3493" s="2" t="n"/>
      <c r="T3493" s="3" t="n"/>
      <c r="U3493" s="87" t="n"/>
      <c r="V3493" s="3" t="n"/>
      <c r="W3493" s="108" t="n"/>
      <c r="X3493" s="4" t="n"/>
    </row>
    <row r="3494" ht="24" customHeight="1">
      <c r="A3494" s="2">
        <f>+D3494-S3494</f>
        <v/>
      </c>
      <c r="B3494" s="80" t="n">
        <v>5084</v>
      </c>
      <c r="C3494" s="66" t="n">
        <v>46003</v>
      </c>
      <c r="D3494" s="2" t="n">
        <v>1</v>
      </c>
      <c r="E3494" s="3" t="inlineStr">
        <is>
          <t>FUCILE SEMIAUTOMATICO</t>
        </is>
      </c>
      <c r="F3494" s="3" t="inlineStr">
        <is>
          <t>12</t>
        </is>
      </c>
      <c r="G3494" s="84" t="inlineStr">
        <is>
          <t>BENELLI</t>
        </is>
      </c>
      <c r="H3494" s="107" t="inlineStr">
        <is>
          <t>RAFFAELLO ETHOS SPORT AI 30''</t>
        </is>
      </c>
      <c r="I3494" s="107" t="inlineStr">
        <is>
          <t>F456631R</t>
        </is>
      </c>
      <c r="J3494" s="107" t="inlineStr">
        <is>
          <t>C1697891U</t>
        </is>
      </c>
      <c r="K3494" s="65" t="inlineStr">
        <is>
          <t>N/D</t>
        </is>
      </c>
      <c r="L3494" s="127" t="inlineStr">
        <is>
          <t>BENELLI ARMI SPA</t>
        </is>
      </c>
      <c r="M3494" s="5" t="n">
        <v>1478</v>
      </c>
      <c r="N3494" s="5" t="n"/>
      <c r="O3494" s="5">
        <f>+M3494+N3494</f>
        <v/>
      </c>
      <c r="P3494" s="4" t="n">
        <v>46002</v>
      </c>
      <c r="Q3494" s="87" t="n">
        <v>46002</v>
      </c>
      <c r="R3494" s="5" t="n"/>
      <c r="S3494" s="2" t="n"/>
      <c r="T3494" s="3" t="n"/>
      <c r="U3494" s="87" t="n"/>
      <c r="V3494" s="3" t="n"/>
      <c r="W3494" s="108" t="n"/>
      <c r="X3494" s="4" t="n"/>
    </row>
    <row r="3495" ht="24" customHeight="1">
      <c r="A3495" s="2">
        <f>+D3495-S3495</f>
        <v/>
      </c>
      <c r="B3495" s="80" t="n">
        <v>5085</v>
      </c>
      <c r="C3495" s="66" t="n">
        <v>46003</v>
      </c>
      <c r="D3495" s="2" t="n">
        <v>1</v>
      </c>
      <c r="E3495" s="3" t="inlineStr">
        <is>
          <t>FUCILE SEMIAUTOMATICO</t>
        </is>
      </c>
      <c r="F3495" s="3" t="inlineStr">
        <is>
          <t>12</t>
        </is>
      </c>
      <c r="G3495" s="84" t="inlineStr">
        <is>
          <t>BENELLI</t>
        </is>
      </c>
      <c r="H3495" s="107" t="inlineStr">
        <is>
          <t>RAFFAELLO SILVER AI 30''</t>
        </is>
      </c>
      <c r="I3495" s="107" t="inlineStr">
        <is>
          <t>F441873V</t>
        </is>
      </c>
      <c r="J3495" s="107" t="inlineStr">
        <is>
          <t>C1656987T</t>
        </is>
      </c>
      <c r="K3495" s="65" t="inlineStr">
        <is>
          <t>N/D</t>
        </is>
      </c>
      <c r="L3495" s="127" t="inlineStr">
        <is>
          <t>BENELLI ARMI SPA</t>
        </is>
      </c>
      <c r="M3495" s="5" t="n">
        <v>1407</v>
      </c>
      <c r="N3495" s="5" t="n"/>
      <c r="O3495" s="5">
        <f>+M3495+N3495</f>
        <v/>
      </c>
      <c r="P3495" s="4" t="n">
        <v>46002</v>
      </c>
      <c r="Q3495" s="87" t="n">
        <v>46002</v>
      </c>
      <c r="R3495" s="5" t="n"/>
      <c r="S3495" s="2" t="n"/>
      <c r="T3495" s="3" t="n"/>
      <c r="U3495" s="87" t="n"/>
      <c r="V3495" s="3" t="n"/>
      <c r="W3495" s="108" t="n"/>
      <c r="X3495" s="4" t="n"/>
    </row>
    <row r="3496" ht="24" customHeight="1">
      <c r="A3496" s="2">
        <f>+D3496-S3496</f>
        <v/>
      </c>
      <c r="B3496" s="80" t="n">
        <v>5086</v>
      </c>
      <c r="C3496" s="66" t="n">
        <v>46003</v>
      </c>
      <c r="D3496" s="2" t="n">
        <v>1</v>
      </c>
      <c r="E3496" s="3" t="inlineStr">
        <is>
          <t>FUCILE SEMIAUTOMATICO</t>
        </is>
      </c>
      <c r="F3496" s="3" t="inlineStr">
        <is>
          <t>12</t>
        </is>
      </c>
      <c r="G3496" s="84" t="inlineStr">
        <is>
          <t>BENELLI</t>
        </is>
      </c>
      <c r="H3496" s="107" t="inlineStr">
        <is>
          <t>RAFFAELLO ETHOS S.SPORT AI 30''</t>
        </is>
      </c>
      <c r="I3496" s="107" t="inlineStr">
        <is>
          <t>F456593Z</t>
        </is>
      </c>
      <c r="J3496" s="107" t="inlineStr">
        <is>
          <t>C1697857S</t>
        </is>
      </c>
      <c r="K3496" s="65" t="inlineStr">
        <is>
          <t>N/D</t>
        </is>
      </c>
      <c r="L3496" s="127" t="inlineStr">
        <is>
          <t>BENELLI ARMI SPA</t>
        </is>
      </c>
      <c r="M3496" s="5" t="n">
        <v>1634</v>
      </c>
      <c r="N3496" s="5" t="n"/>
      <c r="O3496" s="5">
        <f>+M3496+N3496</f>
        <v/>
      </c>
      <c r="P3496" s="4" t="n">
        <v>46002</v>
      </c>
      <c r="Q3496" s="87" t="n">
        <v>46002</v>
      </c>
      <c r="R3496" s="5" t="n"/>
      <c r="S3496" s="2" t="n"/>
      <c r="T3496" s="3" t="n"/>
      <c r="U3496" s="87" t="n"/>
      <c r="V3496" s="3" t="n"/>
      <c r="W3496" s="108" t="n"/>
      <c r="X3496" s="4" t="n"/>
    </row>
    <row r="3497" ht="24" customHeight="1">
      <c r="A3497" s="2">
        <f>+D3497-S3497</f>
        <v/>
      </c>
      <c r="B3497" s="80" t="n">
        <v>5087</v>
      </c>
      <c r="C3497" s="66" t="n">
        <v>46003</v>
      </c>
      <c r="D3497" s="2" t="n">
        <v>1</v>
      </c>
      <c r="E3497" s="3" t="inlineStr">
        <is>
          <t>FUCILE SEMIAUTOMATICO</t>
        </is>
      </c>
      <c r="F3497" s="3" t="inlineStr">
        <is>
          <t>12</t>
        </is>
      </c>
      <c r="G3497" s="84" t="inlineStr">
        <is>
          <t>BENELLI</t>
        </is>
      </c>
      <c r="H3497" s="107" t="inlineStr">
        <is>
          <t>RAFFAELLO ETHOS S.SPORT AI 30''</t>
        </is>
      </c>
      <c r="I3497" s="107" t="inlineStr">
        <is>
          <t>F456592X</t>
        </is>
      </c>
      <c r="J3497" s="107" t="inlineStr">
        <is>
          <t>C1697858T</t>
        </is>
      </c>
      <c r="K3497" s="65" t="inlineStr">
        <is>
          <t>N/D</t>
        </is>
      </c>
      <c r="L3497" s="127" t="inlineStr">
        <is>
          <t>BENELLI ARMI SPA</t>
        </is>
      </c>
      <c r="M3497" s="5" t="n">
        <v>1634</v>
      </c>
      <c r="N3497" s="5" t="n"/>
      <c r="O3497" s="5">
        <f>+M3497+N3497</f>
        <v/>
      </c>
      <c r="P3497" s="4" t="n">
        <v>46002</v>
      </c>
      <c r="Q3497" s="87" t="n">
        <v>46002</v>
      </c>
      <c r="R3497" s="5" t="n"/>
      <c r="S3497" s="2" t="n"/>
      <c r="T3497" s="3" t="n"/>
      <c r="U3497" s="87" t="n"/>
      <c r="V3497" s="3" t="n"/>
      <c r="W3497" s="108" t="n"/>
      <c r="X3497" s="4" t="n"/>
    </row>
    <row r="3498" ht="24" customHeight="1">
      <c r="A3498" s="2">
        <f>+D3498-S3498</f>
        <v/>
      </c>
      <c r="B3498" s="80" t="n">
        <v>5088</v>
      </c>
      <c r="C3498" s="66" t="n">
        <v>46003</v>
      </c>
      <c r="D3498" s="2" t="n">
        <v>1</v>
      </c>
      <c r="E3498" s="3" t="inlineStr">
        <is>
          <t>FUCILE SEMIAUTOMATICO</t>
        </is>
      </c>
      <c r="F3498" s="3" t="inlineStr">
        <is>
          <t>12</t>
        </is>
      </c>
      <c r="G3498" s="84" t="inlineStr">
        <is>
          <t>BENELLI</t>
        </is>
      </c>
      <c r="H3498" s="107" t="inlineStr">
        <is>
          <t>RAFFAELLO ETHOS SPORT AI</t>
        </is>
      </c>
      <c r="I3498" s="107" t="inlineStr">
        <is>
          <t>F456630P</t>
        </is>
      </c>
      <c r="J3498" s="107" t="inlineStr">
        <is>
          <t>C1697893W</t>
        </is>
      </c>
      <c r="K3498" s="65" t="inlineStr">
        <is>
          <t>N/D</t>
        </is>
      </c>
      <c r="L3498" s="127" t="inlineStr">
        <is>
          <t>BENELLI ARMI SPA</t>
        </is>
      </c>
      <c r="M3498" s="5" t="n">
        <v>1478</v>
      </c>
      <c r="N3498" s="5" t="n"/>
      <c r="O3498" s="5">
        <f>+M3498+N3498</f>
        <v/>
      </c>
      <c r="P3498" s="4" t="n">
        <v>46002</v>
      </c>
      <c r="Q3498" s="87" t="n">
        <v>46002</v>
      </c>
      <c r="R3498" s="5" t="n"/>
      <c r="S3498" s="2" t="n"/>
      <c r="T3498" s="3" t="n"/>
      <c r="U3498" s="87" t="n"/>
      <c r="V3498" s="3" t="n"/>
      <c r="W3498" s="108" t="n"/>
      <c r="X3498" s="4" t="n"/>
    </row>
    <row r="3499" ht="24" customHeight="1">
      <c r="A3499" s="2">
        <f>+D3499-S3499</f>
        <v/>
      </c>
      <c r="B3499" s="80" t="n">
        <v>5089</v>
      </c>
      <c r="C3499" s="66" t="n">
        <v>46003</v>
      </c>
      <c r="D3499" s="2" t="n">
        <v>1</v>
      </c>
      <c r="E3499" s="3" t="inlineStr">
        <is>
          <t>FUCILE SEMIAUTOMATICO</t>
        </is>
      </c>
      <c r="F3499" s="3" t="inlineStr">
        <is>
          <t>12</t>
        </is>
      </c>
      <c r="G3499" s="84" t="inlineStr">
        <is>
          <t>BENELLI</t>
        </is>
      </c>
      <c r="H3499" s="107" t="inlineStr">
        <is>
          <t>828S SILVER AI 28''</t>
        </is>
      </c>
      <c r="I3499" s="107" t="inlineStr">
        <is>
          <t>BS060364K</t>
        </is>
      </c>
      <c r="J3499" s="107" t="inlineStr">
        <is>
          <t>CS061042Y</t>
        </is>
      </c>
      <c r="K3499" s="65" t="inlineStr">
        <is>
          <t>N/D</t>
        </is>
      </c>
      <c r="L3499" s="127" t="inlineStr">
        <is>
          <t>BENELLI ARMI SPA</t>
        </is>
      </c>
      <c r="M3499" s="5" t="n">
        <v>1824</v>
      </c>
      <c r="N3499" s="5" t="n"/>
      <c r="O3499" s="5">
        <f>+M3499+N3499</f>
        <v/>
      </c>
      <c r="P3499" s="4" t="n">
        <v>46002</v>
      </c>
      <c r="Q3499" s="87" t="n">
        <v>46002</v>
      </c>
      <c r="R3499" s="5" t="n"/>
      <c r="S3499" s="2" t="n"/>
      <c r="T3499" s="3" t="n"/>
      <c r="U3499" s="87" t="n"/>
      <c r="V3499" s="3" t="n"/>
      <c r="W3499" s="108" t="n"/>
      <c r="X3499" s="4" t="n"/>
    </row>
    <row r="3500" ht="24" customHeight="1">
      <c r="A3500" s="2">
        <f>+D3500-S3500</f>
        <v/>
      </c>
      <c r="B3500" s="80" t="n">
        <v>5090</v>
      </c>
      <c r="C3500" s="66" t="n">
        <v>46003</v>
      </c>
      <c r="D3500" s="2" t="n">
        <v>1</v>
      </c>
      <c r="E3500" s="3" t="inlineStr">
        <is>
          <t>FUCILE SEMIAUTOMATICO</t>
        </is>
      </c>
      <c r="F3500" s="3" t="inlineStr">
        <is>
          <t>12</t>
        </is>
      </c>
      <c r="G3500" s="84" t="inlineStr">
        <is>
          <t>BENELLI</t>
        </is>
      </c>
      <c r="H3500" s="107" t="inlineStr">
        <is>
          <t>828S SILVER AI 28''</t>
        </is>
      </c>
      <c r="I3500" s="107" t="inlineStr">
        <is>
          <t>BS060716U</t>
        </is>
      </c>
      <c r="J3500" s="107" t="inlineStr">
        <is>
          <t>CS061400Y</t>
        </is>
      </c>
      <c r="K3500" s="65" t="inlineStr">
        <is>
          <t>N/D</t>
        </is>
      </c>
      <c r="L3500" s="127" t="inlineStr">
        <is>
          <t>BENELLI ARMI SPA</t>
        </is>
      </c>
      <c r="M3500" s="5" t="n">
        <v>1824</v>
      </c>
      <c r="N3500" s="5" t="n"/>
      <c r="O3500" s="5">
        <f>+M3500+N3500</f>
        <v/>
      </c>
      <c r="P3500" s="4" t="n">
        <v>46002</v>
      </c>
      <c r="Q3500" s="87" t="n">
        <v>46002</v>
      </c>
      <c r="R3500" s="5" t="n"/>
      <c r="S3500" s="2" t="n"/>
      <c r="T3500" s="3" t="n"/>
      <c r="U3500" s="87" t="n"/>
      <c r="V3500" s="3" t="n"/>
      <c r="W3500" s="108" t="n"/>
      <c r="X3500" s="4" t="n"/>
    </row>
    <row r="3501" ht="24" customHeight="1">
      <c r="A3501" s="2">
        <f>+D3501-S3501</f>
        <v/>
      </c>
      <c r="B3501" s="80" t="n">
        <v>5091</v>
      </c>
      <c r="C3501" s="66" t="n">
        <v>46003</v>
      </c>
      <c r="D3501" s="2" t="n">
        <v>1</v>
      </c>
      <c r="E3501" s="3" t="inlineStr">
        <is>
          <t>FUCILE SEMIAUTOMATICO</t>
        </is>
      </c>
      <c r="F3501" s="3" t="inlineStr">
        <is>
          <t>12</t>
        </is>
      </c>
      <c r="G3501" s="84" t="inlineStr">
        <is>
          <t>BENELLI</t>
        </is>
      </c>
      <c r="H3501" s="107" t="inlineStr">
        <is>
          <t>828S SILVER AI 28''</t>
        </is>
      </c>
      <c r="I3501" s="107" t="inlineStr">
        <is>
          <t>BS060717W</t>
        </is>
      </c>
      <c r="J3501" s="107" t="inlineStr">
        <is>
          <t>CS061401A</t>
        </is>
      </c>
      <c r="K3501" s="65" t="inlineStr">
        <is>
          <t>N/D</t>
        </is>
      </c>
      <c r="L3501" s="127" t="inlineStr">
        <is>
          <t>BENELLI ARMI SPA</t>
        </is>
      </c>
      <c r="M3501" s="5" t="n">
        <v>1824</v>
      </c>
      <c r="N3501" s="5" t="n"/>
      <c r="O3501" s="5">
        <f>+M3501+N3501</f>
        <v/>
      </c>
      <c r="P3501" s="4" t="n">
        <v>46002</v>
      </c>
      <c r="Q3501" s="87" t="n">
        <v>46002</v>
      </c>
      <c r="R3501" s="5" t="n"/>
      <c r="S3501" s="2" t="n"/>
      <c r="T3501" s="3" t="n"/>
      <c r="U3501" s="87" t="n"/>
      <c r="V3501" s="3" t="n"/>
      <c r="W3501" s="108" t="n"/>
      <c r="X3501" s="4" t="n"/>
    </row>
    <row r="3502" ht="24" customHeight="1">
      <c r="A3502" s="2">
        <f>+D3502-S3502</f>
        <v/>
      </c>
      <c r="B3502" s="80" t="n">
        <v>5092</v>
      </c>
      <c r="C3502" s="66" t="n">
        <v>46003</v>
      </c>
      <c r="D3502" s="2" t="n">
        <v>1</v>
      </c>
      <c r="E3502" s="3" t="inlineStr">
        <is>
          <t>FUCILE SEMIAUTOMATICO</t>
        </is>
      </c>
      <c r="F3502" s="3" t="inlineStr">
        <is>
          <t>12</t>
        </is>
      </c>
      <c r="G3502" s="84" t="inlineStr">
        <is>
          <t>BENELLI</t>
        </is>
      </c>
      <c r="H3502" s="107" t="inlineStr">
        <is>
          <t>828S SILVER AI 28''</t>
        </is>
      </c>
      <c r="I3502" s="107" t="inlineStr">
        <is>
          <t>BS060718Y</t>
        </is>
      </c>
      <c r="J3502" s="107" t="inlineStr">
        <is>
          <t>CS061402C</t>
        </is>
      </c>
      <c r="K3502" s="65" t="inlineStr">
        <is>
          <t>N/D</t>
        </is>
      </c>
      <c r="L3502" s="127" t="inlineStr">
        <is>
          <t>BENELLI ARMI SPA</t>
        </is>
      </c>
      <c r="M3502" s="5" t="n">
        <v>1824</v>
      </c>
      <c r="N3502" s="5" t="n"/>
      <c r="O3502" s="5">
        <f>+M3502+N3502</f>
        <v/>
      </c>
      <c r="P3502" s="4" t="n">
        <v>46002</v>
      </c>
      <c r="Q3502" s="87" t="n">
        <v>46002</v>
      </c>
      <c r="R3502" s="5" t="n"/>
      <c r="S3502" s="2" t="n"/>
      <c r="T3502" s="3" t="n"/>
      <c r="U3502" s="87" t="n"/>
      <c r="V3502" s="3" t="n"/>
      <c r="W3502" s="108" t="n"/>
      <c r="X3502" s="4" t="n"/>
    </row>
    <row r="3503" ht="24" customHeight="1">
      <c r="A3503" s="2">
        <f>+D3503-S3503</f>
        <v/>
      </c>
      <c r="B3503" s="80" t="n">
        <v>5093</v>
      </c>
      <c r="C3503" s="66" t="n">
        <v>46003</v>
      </c>
      <c r="D3503" s="2" t="n">
        <v>1</v>
      </c>
      <c r="E3503" s="3" t="inlineStr">
        <is>
          <t>FUCILE SEMIAUTOMATICO</t>
        </is>
      </c>
      <c r="F3503" s="3" t="inlineStr">
        <is>
          <t>12</t>
        </is>
      </c>
      <c r="G3503" s="84" t="inlineStr">
        <is>
          <t>BENELLI</t>
        </is>
      </c>
      <c r="H3503" s="107" t="inlineStr">
        <is>
          <t>828S SILVER AI 28''</t>
        </is>
      </c>
      <c r="I3503" s="107" t="inlineStr">
        <is>
          <t>BS060719A</t>
        </is>
      </c>
      <c r="J3503" s="107" t="inlineStr">
        <is>
          <t>CS061403E</t>
        </is>
      </c>
      <c r="K3503" s="65" t="inlineStr">
        <is>
          <t>N/D</t>
        </is>
      </c>
      <c r="L3503" s="127" t="inlineStr">
        <is>
          <t>BENELLI ARMI SPA</t>
        </is>
      </c>
      <c r="M3503" s="5" t="n">
        <v>1824</v>
      </c>
      <c r="N3503" s="5" t="n"/>
      <c r="O3503" s="5">
        <f>+M3503+N3503</f>
        <v/>
      </c>
      <c r="P3503" s="4" t="n">
        <v>46002</v>
      </c>
      <c r="Q3503" s="87" t="n">
        <v>46002</v>
      </c>
      <c r="R3503" s="5" t="n"/>
      <c r="S3503" s="2" t="n"/>
      <c r="T3503" s="3" t="n"/>
      <c r="U3503" s="87" t="n"/>
      <c r="V3503" s="3" t="n"/>
      <c r="W3503" s="108" t="n"/>
      <c r="X3503" s="4" t="n"/>
    </row>
    <row r="3504" ht="24" customHeight="1">
      <c r="A3504" s="2">
        <f>+D3504-S3504</f>
        <v/>
      </c>
      <c r="B3504" s="80" t="n">
        <v>5094</v>
      </c>
      <c r="C3504" s="66" t="n">
        <v>46004</v>
      </c>
      <c r="D3504" s="2" t="n">
        <v>1</v>
      </c>
      <c r="E3504" s="3" t="inlineStr">
        <is>
          <t>FUCILE SEMIAUTOMATICO</t>
        </is>
      </c>
      <c r="F3504" s="3" t="inlineStr">
        <is>
          <t>12</t>
        </is>
      </c>
      <c r="G3504" s="84" t="inlineStr">
        <is>
          <t>BENELLI</t>
        </is>
      </c>
      <c r="H3504" s="107" t="inlineStr">
        <is>
          <t>RAFFAELLO SILVER AI 30''</t>
        </is>
      </c>
      <c r="I3504" s="107" t="inlineStr">
        <is>
          <t>F441870P</t>
        </is>
      </c>
      <c r="J3504" s="107" t="inlineStr">
        <is>
          <t>C1656980L</t>
        </is>
      </c>
      <c r="K3504" s="65" t="inlineStr">
        <is>
          <t>N/D</t>
        </is>
      </c>
      <c r="L3504" s="127" t="inlineStr">
        <is>
          <t>BENELLI ARMI SPA</t>
        </is>
      </c>
      <c r="M3504" s="5" t="n">
        <v>1407</v>
      </c>
      <c r="N3504" s="5" t="n"/>
      <c r="O3504" s="5">
        <f>+M3504+N3504</f>
        <v/>
      </c>
      <c r="P3504" s="4" t="n">
        <v>46002</v>
      </c>
      <c r="Q3504" s="87" t="n">
        <v>46002</v>
      </c>
      <c r="R3504" s="5" t="n"/>
      <c r="S3504" s="2" t="n"/>
      <c r="T3504" s="3" t="n"/>
      <c r="U3504" s="87" t="n"/>
      <c r="V3504" s="3" t="n"/>
      <c r="W3504" s="108" t="n"/>
      <c r="X3504" s="4" t="n"/>
    </row>
    <row r="3505" ht="24" customHeight="1">
      <c r="A3505" s="2">
        <f>+D3505-S3505</f>
        <v/>
      </c>
      <c r="B3505" s="80" t="n">
        <v>5095</v>
      </c>
      <c r="C3505" s="66" t="n">
        <v>46003</v>
      </c>
      <c r="D3505" s="2" t="n">
        <v>1</v>
      </c>
      <c r="E3505" s="3" t="inlineStr">
        <is>
          <t>FUCILE SEMIAUTOMATICO</t>
        </is>
      </c>
      <c r="F3505" s="3" t="inlineStr">
        <is>
          <t>12</t>
        </is>
      </c>
      <c r="G3505" s="84" t="inlineStr">
        <is>
          <t>BENELLI</t>
        </is>
      </c>
      <c r="H3505" s="107" t="inlineStr">
        <is>
          <t>RAFFAELLO SILVER AI 30''</t>
        </is>
      </c>
      <c r="I3505" s="107" t="inlineStr">
        <is>
          <t>F441866B</t>
        </is>
      </c>
      <c r="J3505" s="107" t="inlineStr">
        <is>
          <t>C1656993R</t>
        </is>
      </c>
      <c r="K3505" s="65" t="inlineStr">
        <is>
          <t>N/D</t>
        </is>
      </c>
      <c r="L3505" s="127" t="inlineStr">
        <is>
          <t>BENELLI ARMI SPA</t>
        </is>
      </c>
      <c r="M3505" s="5" t="n">
        <v>1407</v>
      </c>
      <c r="N3505" s="5" t="n"/>
      <c r="O3505" s="5">
        <f>+M3505+N3505</f>
        <v/>
      </c>
      <c r="P3505" s="4" t="n">
        <v>46002</v>
      </c>
      <c r="Q3505" s="87" t="n">
        <v>46002</v>
      </c>
      <c r="R3505" s="5" t="n"/>
      <c r="S3505" s="2" t="n"/>
      <c r="T3505" s="3" t="n"/>
      <c r="U3505" s="87" t="n"/>
      <c r="V3505" s="3" t="n"/>
      <c r="W3505" s="108" t="n"/>
      <c r="X3505" s="4" t="n"/>
    </row>
    <row r="3506" ht="24" customHeight="1">
      <c r="A3506" s="2">
        <f>+D3506-S3506</f>
        <v/>
      </c>
      <c r="B3506" s="80" t="n">
        <v>5096</v>
      </c>
      <c r="C3506" s="66" t="n">
        <v>46003</v>
      </c>
      <c r="D3506" s="2" t="n">
        <v>1</v>
      </c>
      <c r="E3506" s="3" t="inlineStr">
        <is>
          <t>FUCILE SEMIAUTOMATICO</t>
        </is>
      </c>
      <c r="F3506" s="3" t="inlineStr">
        <is>
          <t>12</t>
        </is>
      </c>
      <c r="G3506" s="84" t="inlineStr">
        <is>
          <t>BENELLI</t>
        </is>
      </c>
      <c r="H3506" s="107" t="inlineStr">
        <is>
          <t>RAFFAELLO SILVER AI 30''</t>
        </is>
      </c>
      <c r="I3506" s="107" t="inlineStr">
        <is>
          <t>F441879J</t>
        </is>
      </c>
      <c r="J3506" s="107" t="inlineStr">
        <is>
          <t>C1656989V</t>
        </is>
      </c>
      <c r="K3506" s="65" t="inlineStr">
        <is>
          <t>N/D</t>
        </is>
      </c>
      <c r="L3506" s="127" t="inlineStr">
        <is>
          <t>BENELLI ARMI SPA</t>
        </is>
      </c>
      <c r="M3506" s="5" t="n">
        <v>1407</v>
      </c>
      <c r="N3506" s="5" t="n"/>
      <c r="O3506" s="5">
        <f>+M3506+N3506</f>
        <v/>
      </c>
      <c r="P3506" s="4" t="n">
        <v>46002</v>
      </c>
      <c r="Q3506" s="87" t="n">
        <v>46002</v>
      </c>
      <c r="R3506" s="5" t="n"/>
      <c r="S3506" s="2" t="n"/>
      <c r="T3506" s="3" t="n"/>
      <c r="U3506" s="87" t="n"/>
      <c r="V3506" s="3" t="n"/>
      <c r="W3506" s="108" t="n"/>
      <c r="X3506" s="4" t="n"/>
    </row>
    <row r="3507" ht="24" customHeight="1">
      <c r="A3507" s="2">
        <f>+D3507-S3507</f>
        <v/>
      </c>
      <c r="B3507" s="80" t="n">
        <v>5097</v>
      </c>
      <c r="C3507" s="66" t="n">
        <v>46003</v>
      </c>
      <c r="D3507" s="2" t="n">
        <v>1</v>
      </c>
      <c r="E3507" s="3" t="inlineStr">
        <is>
          <t>FUCILE SEMIAUTOMATICO</t>
        </is>
      </c>
      <c r="F3507" s="3" t="inlineStr">
        <is>
          <t>12</t>
        </is>
      </c>
      <c r="G3507" s="84" t="inlineStr">
        <is>
          <t>BENELLI</t>
        </is>
      </c>
      <c r="H3507" s="107" t="inlineStr">
        <is>
          <t>RAFFAELLO SILVER AI 30''</t>
        </is>
      </c>
      <c r="I3507" s="107" t="inlineStr">
        <is>
          <t>F441872T</t>
        </is>
      </c>
      <c r="J3507" s="107" t="inlineStr">
        <is>
          <t>C1656996U</t>
        </is>
      </c>
      <c r="K3507" s="65" t="inlineStr">
        <is>
          <t>N/D</t>
        </is>
      </c>
      <c r="L3507" s="127" t="inlineStr">
        <is>
          <t>BENELLI ARMI SPA</t>
        </is>
      </c>
      <c r="M3507" s="5" t="n">
        <v>1407</v>
      </c>
      <c r="N3507" s="5" t="n"/>
      <c r="O3507" s="5">
        <f>+M3507+N3507</f>
        <v/>
      </c>
      <c r="P3507" s="4" t="n">
        <v>46002</v>
      </c>
      <c r="Q3507" s="87" t="n">
        <v>46002</v>
      </c>
      <c r="R3507" s="5" t="n"/>
      <c r="S3507" s="2" t="n"/>
      <c r="T3507" s="3" t="n"/>
      <c r="U3507" s="87" t="n"/>
      <c r="V3507" s="3" t="n"/>
      <c r="W3507" s="108" t="n"/>
      <c r="X3507" s="4" t="n"/>
    </row>
    <row r="3508" ht="24" customHeight="1">
      <c r="A3508" s="2">
        <f>+D3508-S3508</f>
        <v/>
      </c>
      <c r="B3508" s="80" t="n">
        <v>5098</v>
      </c>
      <c r="C3508" s="66" t="n">
        <v>46003</v>
      </c>
      <c r="D3508" s="2" t="n">
        <v>1</v>
      </c>
      <c r="E3508" s="3" t="inlineStr">
        <is>
          <t>CARABINA</t>
        </is>
      </c>
      <c r="F3508" s="3" t="inlineStr">
        <is>
          <t>223 REM</t>
        </is>
      </c>
      <c r="G3508" s="84" t="inlineStr">
        <is>
          <t>BENELLI</t>
        </is>
      </c>
      <c r="H3508" s="107" t="inlineStr">
        <is>
          <t>LUPO BE.S.T. 24"</t>
        </is>
      </c>
      <c r="I3508" s="107" t="inlineStr">
        <is>
          <t>AR040936V</t>
        </is>
      </c>
      <c r="J3508" s="65" t="inlineStr">
        <is>
          <t>N/D</t>
        </is>
      </c>
      <c r="K3508" s="65" t="inlineStr">
        <is>
          <t>N/D</t>
        </is>
      </c>
      <c r="L3508" s="127" t="inlineStr">
        <is>
          <t>BENELLI ARMI SPA</t>
        </is>
      </c>
      <c r="M3508" s="5" t="n">
        <v>972</v>
      </c>
      <c r="N3508" s="5" t="n"/>
      <c r="O3508" s="5">
        <f>+M3508+N3508</f>
        <v/>
      </c>
      <c r="P3508" s="4" t="n">
        <v>46002</v>
      </c>
      <c r="Q3508" s="87" t="n">
        <v>46002</v>
      </c>
      <c r="R3508" s="5" t="n"/>
      <c r="S3508" s="2" t="n"/>
      <c r="T3508" s="3" t="n"/>
      <c r="U3508" s="87" t="n"/>
      <c r="V3508" s="3" t="n"/>
      <c r="W3508" s="108" t="n"/>
      <c r="X3508" s="4" t="n"/>
    </row>
    <row r="3509" ht="24" customHeight="1">
      <c r="A3509" s="2">
        <f>+D3509-S3509</f>
        <v/>
      </c>
      <c r="B3509" s="80" t="n">
        <v>5099</v>
      </c>
      <c r="C3509" s="66" t="n">
        <v>46003</v>
      </c>
      <c r="D3509" s="2" t="n">
        <v>1</v>
      </c>
      <c r="E3509" s="3" t="inlineStr">
        <is>
          <t>CARABINA</t>
        </is>
      </c>
      <c r="F3509" s="3" t="inlineStr">
        <is>
          <t>223 REM</t>
        </is>
      </c>
      <c r="G3509" s="84" t="inlineStr">
        <is>
          <t>BENELLI</t>
        </is>
      </c>
      <c r="H3509" s="107" t="inlineStr">
        <is>
          <t>LUPO BE.S.T. 24"</t>
        </is>
      </c>
      <c r="I3509" s="107" t="inlineStr">
        <is>
          <t>AR042590G</t>
        </is>
      </c>
      <c r="J3509" s="65" t="inlineStr">
        <is>
          <t>N/D</t>
        </is>
      </c>
      <c r="K3509" s="65" t="inlineStr">
        <is>
          <t>N/D</t>
        </is>
      </c>
      <c r="L3509" s="127" t="inlineStr">
        <is>
          <t>BENELLI ARMI SPA</t>
        </is>
      </c>
      <c r="M3509" s="5" t="n">
        <v>972</v>
      </c>
      <c r="N3509" s="5" t="n"/>
      <c r="O3509" s="5">
        <f>+M3509+N3509</f>
        <v/>
      </c>
      <c r="P3509" s="4" t="n">
        <v>46002</v>
      </c>
      <c r="Q3509" s="87" t="n">
        <v>46002</v>
      </c>
      <c r="R3509" s="5" t="n"/>
      <c r="S3509" s="2" t="n"/>
      <c r="T3509" s="3" t="n"/>
      <c r="U3509" s="87" t="n"/>
      <c r="V3509" s="3" t="n"/>
      <c r="W3509" s="108" t="n"/>
      <c r="X3509" s="4" t="n"/>
    </row>
    <row r="3510" ht="24" customHeight="1">
      <c r="A3510" s="2">
        <f>+D3510-S3510</f>
        <v/>
      </c>
      <c r="B3510" s="80" t="n">
        <v>5100</v>
      </c>
      <c r="C3510" s="66" t="n">
        <v>46003</v>
      </c>
      <c r="D3510" s="2" t="n">
        <v>1</v>
      </c>
      <c r="E3510" s="3" t="inlineStr">
        <is>
          <t>CARABINA</t>
        </is>
      </c>
      <c r="F3510" s="3" t="inlineStr">
        <is>
          <t>223 REM</t>
        </is>
      </c>
      <c r="G3510" s="84" t="inlineStr">
        <is>
          <t>BENELLI</t>
        </is>
      </c>
      <c r="H3510" s="107" t="inlineStr">
        <is>
          <t>LUPO BE.S.T. 24"</t>
        </is>
      </c>
      <c r="I3510" s="107" t="inlineStr">
        <is>
          <t>AR042597X</t>
        </is>
      </c>
      <c r="J3510" s="65" t="inlineStr">
        <is>
          <t>N/D</t>
        </is>
      </c>
      <c r="K3510" s="65" t="inlineStr">
        <is>
          <t>N/D</t>
        </is>
      </c>
      <c r="L3510" s="127" t="inlineStr">
        <is>
          <t>BENELLI ARMI SPA</t>
        </is>
      </c>
      <c r="M3510" s="5" t="n">
        <v>972</v>
      </c>
      <c r="N3510" s="5" t="n"/>
      <c r="O3510" s="5">
        <f>+M3510+N3510</f>
        <v/>
      </c>
      <c r="P3510" s="4" t="n">
        <v>46002</v>
      </c>
      <c r="Q3510" s="87" t="n">
        <v>46002</v>
      </c>
      <c r="R3510" s="5" t="n"/>
      <c r="S3510" s="2" t="n"/>
      <c r="T3510" s="3" t="n"/>
      <c r="U3510" s="87" t="n"/>
      <c r="V3510" s="3" t="n"/>
      <c r="W3510" s="108" t="n"/>
      <c r="X3510" s="4" t="n"/>
    </row>
    <row r="3511" ht="24" customHeight="1">
      <c r="A3511" s="2">
        <f>+D3511-S3511</f>
        <v/>
      </c>
      <c r="B3511" s="80" t="n">
        <v>5101</v>
      </c>
      <c r="C3511" s="66" t="n">
        <v>46003</v>
      </c>
      <c r="D3511" s="2" t="n">
        <v>1</v>
      </c>
      <c r="E3511" s="3" t="inlineStr">
        <is>
          <t>CARABINA</t>
        </is>
      </c>
      <c r="F3511" s="3" t="inlineStr">
        <is>
          <t>223 REM</t>
        </is>
      </c>
      <c r="G3511" s="84" t="inlineStr">
        <is>
          <t>BENELLI</t>
        </is>
      </c>
      <c r="H3511" s="107" t="inlineStr">
        <is>
          <t>LUPO BE.S.T. 24"</t>
        </is>
      </c>
      <c r="I3511" s="107" t="inlineStr">
        <is>
          <t>AR042599B</t>
        </is>
      </c>
      <c r="J3511" s="65" t="inlineStr">
        <is>
          <t>N/D</t>
        </is>
      </c>
      <c r="K3511" s="65" t="inlineStr">
        <is>
          <t>N/D</t>
        </is>
      </c>
      <c r="L3511" s="127" t="inlineStr">
        <is>
          <t>BENELLI ARMI SPA</t>
        </is>
      </c>
      <c r="M3511" s="5" t="n">
        <v>972</v>
      </c>
      <c r="N3511" s="5" t="n"/>
      <c r="O3511" s="5">
        <f>+M3511+N3511</f>
        <v/>
      </c>
      <c r="P3511" s="4" t="n">
        <v>46002</v>
      </c>
      <c r="Q3511" s="87" t="n">
        <v>46002</v>
      </c>
      <c r="R3511" s="5" t="n"/>
      <c r="S3511" s="2" t="n"/>
      <c r="T3511" s="3" t="n"/>
      <c r="U3511" s="87" t="n"/>
      <c r="V3511" s="3" t="n"/>
      <c r="W3511" s="108" t="n"/>
      <c r="X3511" s="4" t="n"/>
    </row>
    <row r="3512" ht="24" customHeight="1">
      <c r="A3512" s="2">
        <f>+D3512-S3512</f>
        <v/>
      </c>
      <c r="B3512" s="80" t="n">
        <v>5102</v>
      </c>
      <c r="C3512" s="66" t="n">
        <v>46003</v>
      </c>
      <c r="D3512" s="2" t="n">
        <v>1</v>
      </c>
      <c r="E3512" s="3" t="inlineStr">
        <is>
          <t>CARABINA</t>
        </is>
      </c>
      <c r="F3512" s="3" t="inlineStr">
        <is>
          <t>223 REM</t>
        </is>
      </c>
      <c r="G3512" s="84" t="inlineStr">
        <is>
          <t>BENELLI</t>
        </is>
      </c>
      <c r="H3512" s="107" t="inlineStr">
        <is>
          <t>LUPO BE.S.T. 24" GREY</t>
        </is>
      </c>
      <c r="I3512" s="107" t="inlineStr">
        <is>
          <t>AR036752N</t>
        </is>
      </c>
      <c r="J3512" s="65" t="inlineStr">
        <is>
          <t>N/D</t>
        </is>
      </c>
      <c r="K3512" s="65" t="inlineStr">
        <is>
          <t>N/D</t>
        </is>
      </c>
      <c r="L3512" s="127" t="inlineStr">
        <is>
          <t>BENELLI ARMI SPA</t>
        </is>
      </c>
      <c r="M3512" s="5" t="n">
        <v>972</v>
      </c>
      <c r="N3512" s="5" t="n"/>
      <c r="O3512" s="5">
        <f>+M3512+N3512</f>
        <v/>
      </c>
      <c r="P3512" s="4" t="n">
        <v>46002</v>
      </c>
      <c r="Q3512" s="87" t="n">
        <v>46002</v>
      </c>
      <c r="R3512" s="5" t="n"/>
      <c r="S3512" s="2" t="n"/>
      <c r="T3512" s="3" t="n"/>
      <c r="U3512" s="87" t="n"/>
      <c r="V3512" s="3" t="n"/>
      <c r="W3512" s="108" t="n"/>
      <c r="X3512" s="4" t="n"/>
    </row>
    <row r="3513" ht="24" customHeight="1">
      <c r="A3513" s="2">
        <f>+D3513-S3513</f>
        <v/>
      </c>
      <c r="B3513" s="80" t="n">
        <v>5103</v>
      </c>
      <c r="C3513" s="66" t="n">
        <v>46003</v>
      </c>
      <c r="D3513" s="2" t="n">
        <v>1</v>
      </c>
      <c r="E3513" s="3" t="inlineStr">
        <is>
          <t>FUCILE SEMIAUTOMATICO</t>
        </is>
      </c>
      <c r="F3513" s="3" t="inlineStr">
        <is>
          <t>12</t>
        </is>
      </c>
      <c r="G3513" s="84" t="inlineStr">
        <is>
          <t>BENELLI</t>
        </is>
      </c>
      <c r="H3513" s="107" t="inlineStr">
        <is>
          <t>RAFFAELLO LORD 30''</t>
        </is>
      </c>
      <c r="I3513" s="107" t="inlineStr">
        <is>
          <t>F453175Q</t>
        </is>
      </c>
      <c r="J3513" s="107" t="inlineStr">
        <is>
          <t>C1689640H</t>
        </is>
      </c>
      <c r="K3513" s="65" t="inlineStr">
        <is>
          <t>N/D</t>
        </is>
      </c>
      <c r="L3513" s="127" t="inlineStr">
        <is>
          <t>BENELLI ARMI SPA</t>
        </is>
      </c>
      <c r="M3513" s="5" t="n">
        <v>1702</v>
      </c>
      <c r="N3513" s="5" t="n"/>
      <c r="O3513" s="5">
        <f>+M3513+N3513</f>
        <v/>
      </c>
      <c r="P3513" s="4" t="n">
        <v>46002</v>
      </c>
      <c r="Q3513" s="87" t="n">
        <v>46002</v>
      </c>
      <c r="R3513" s="5" t="n"/>
      <c r="S3513" s="2" t="n"/>
      <c r="T3513" s="3" t="n"/>
      <c r="U3513" s="87" t="n"/>
      <c r="V3513" s="3" t="n"/>
      <c r="W3513" s="108" t="n"/>
      <c r="X3513" s="4" t="n"/>
    </row>
    <row r="3514" ht="24" customHeight="1">
      <c r="A3514" s="2">
        <f>+D3514-S3514</f>
        <v/>
      </c>
      <c r="B3514" s="80" t="n">
        <v>5104</v>
      </c>
      <c r="C3514" s="66" t="n">
        <v>46003</v>
      </c>
      <c r="D3514" s="2" t="n">
        <v>1</v>
      </c>
      <c r="E3514" s="3" t="inlineStr">
        <is>
          <t>FUCILE SEMIAUTOMATICO</t>
        </is>
      </c>
      <c r="F3514" s="3" t="inlineStr">
        <is>
          <t>12</t>
        </is>
      </c>
      <c r="G3514" s="84" t="inlineStr">
        <is>
          <t>BENELLI</t>
        </is>
      </c>
      <c r="H3514" s="107" t="inlineStr">
        <is>
          <t>RAFFAELLO LORD 30''</t>
        </is>
      </c>
      <c r="I3514" s="107" t="inlineStr">
        <is>
          <t>F455365V</t>
        </is>
      </c>
      <c r="J3514" s="107" t="inlineStr">
        <is>
          <t>C1683403M</t>
        </is>
      </c>
      <c r="K3514" s="65" t="inlineStr">
        <is>
          <t>N/D</t>
        </is>
      </c>
      <c r="L3514" s="127" t="inlineStr">
        <is>
          <t>BENELLI ARMI SPA</t>
        </is>
      </c>
      <c r="M3514" s="5" t="n">
        <v>1702</v>
      </c>
      <c r="N3514" s="5" t="n"/>
      <c r="O3514" s="5">
        <f>+M3514+N3514</f>
        <v/>
      </c>
      <c r="P3514" s="4" t="n">
        <v>46002</v>
      </c>
      <c r="Q3514" s="87" t="n">
        <v>46002</v>
      </c>
      <c r="R3514" s="5" t="n"/>
      <c r="S3514" s="2" t="n"/>
      <c r="T3514" s="3" t="n"/>
      <c r="U3514" s="87" t="n"/>
      <c r="V3514" s="3" t="n"/>
      <c r="W3514" s="108" t="n"/>
      <c r="X3514" s="4" t="n"/>
    </row>
    <row r="3515" ht="24" customHeight="1">
      <c r="A3515" s="2">
        <f>+D3515-S3515</f>
        <v/>
      </c>
      <c r="B3515" s="80" t="n">
        <v>5105</v>
      </c>
      <c r="C3515" s="66" t="n">
        <v>46003</v>
      </c>
      <c r="D3515" s="2" t="n">
        <v>1</v>
      </c>
      <c r="E3515" s="3" t="inlineStr">
        <is>
          <t>FUCILE SEMIAUTOMATICO</t>
        </is>
      </c>
      <c r="F3515" s="3" t="inlineStr">
        <is>
          <t>12</t>
        </is>
      </c>
      <c r="G3515" s="84" t="inlineStr">
        <is>
          <t>BENELLI</t>
        </is>
      </c>
      <c r="H3515" s="107" t="inlineStr">
        <is>
          <t>RAFFAELLO BLACK AI</t>
        </is>
      </c>
      <c r="I3515" s="107" t="inlineStr">
        <is>
          <t>F456641S</t>
        </is>
      </c>
      <c r="J3515" s="107" t="inlineStr">
        <is>
          <t>C1697908H</t>
        </is>
      </c>
      <c r="K3515" s="65" t="inlineStr">
        <is>
          <t>N/D</t>
        </is>
      </c>
      <c r="L3515" s="127" t="inlineStr">
        <is>
          <t>BENELLI ARMI SPA</t>
        </is>
      </c>
      <c r="M3515" s="5" t="n">
        <v>1152</v>
      </c>
      <c r="N3515" s="5" t="n"/>
      <c r="O3515" s="5">
        <f>+M3515+N3515</f>
        <v/>
      </c>
      <c r="P3515" s="4" t="n">
        <v>46002</v>
      </c>
      <c r="Q3515" s="87" t="n">
        <v>46002</v>
      </c>
      <c r="R3515" s="5" t="n"/>
      <c r="S3515" s="2" t="n"/>
      <c r="T3515" s="3" t="n"/>
      <c r="U3515" s="87" t="n"/>
      <c r="V3515" s="3" t="n"/>
      <c r="W3515" s="108" t="n"/>
      <c r="X3515" s="4" t="n"/>
    </row>
    <row r="3516" ht="24" customHeight="1">
      <c r="A3516" s="2">
        <f>+D3516-S3516</f>
        <v/>
      </c>
      <c r="B3516" s="80" t="n">
        <v>5106</v>
      </c>
      <c r="C3516" s="66" t="n">
        <v>46003</v>
      </c>
      <c r="D3516" s="2" t="n">
        <v>1</v>
      </c>
      <c r="E3516" s="3" t="inlineStr">
        <is>
          <t>CARABINA</t>
        </is>
      </c>
      <c r="F3516" s="3" t="inlineStr">
        <is>
          <t>223 REM</t>
        </is>
      </c>
      <c r="G3516" s="84" t="inlineStr">
        <is>
          <t>BENELLI</t>
        </is>
      </c>
      <c r="H3516" s="107" t="inlineStr">
        <is>
          <t>LUPO BE.S.T. 24" ELEV GM GREY</t>
        </is>
      </c>
      <c r="I3516" s="107" t="inlineStr">
        <is>
          <t>AR036693S</t>
        </is>
      </c>
      <c r="J3516" s="65" t="inlineStr">
        <is>
          <t>N/D</t>
        </is>
      </c>
      <c r="K3516" s="65" t="inlineStr">
        <is>
          <t>N/D</t>
        </is>
      </c>
      <c r="L3516" s="127" t="inlineStr">
        <is>
          <t>BENELLI ARMI SPA</t>
        </is>
      </c>
      <c r="M3516" s="5" t="n">
        <v>972</v>
      </c>
      <c r="N3516" s="5" t="n"/>
      <c r="O3516" s="5">
        <f>+M3516+N3516</f>
        <v/>
      </c>
      <c r="P3516" s="4" t="n">
        <v>46002</v>
      </c>
      <c r="Q3516" s="87" t="n">
        <v>46002</v>
      </c>
      <c r="R3516" s="5" t="n"/>
      <c r="S3516" s="2" t="n"/>
      <c r="T3516" s="3" t="n"/>
      <c r="U3516" s="87" t="n"/>
      <c r="V3516" s="3" t="n"/>
      <c r="W3516" s="108" t="n"/>
      <c r="X3516" s="4" t="n"/>
    </row>
    <row r="3517" ht="24" customHeight="1">
      <c r="A3517" s="2">
        <f>+D3517-S3517</f>
        <v/>
      </c>
      <c r="B3517" s="80" t="n">
        <v>5107</v>
      </c>
      <c r="C3517" s="66" t="n">
        <v>46003</v>
      </c>
      <c r="D3517" s="2" t="n">
        <v>1</v>
      </c>
      <c r="E3517" s="3" t="inlineStr">
        <is>
          <t>CARABINA</t>
        </is>
      </c>
      <c r="F3517" s="3" t="inlineStr">
        <is>
          <t>223 REM</t>
        </is>
      </c>
      <c r="G3517" s="84" t="inlineStr">
        <is>
          <t>BENELLI</t>
        </is>
      </c>
      <c r="H3517" s="107" t="inlineStr">
        <is>
          <t>LUPO BE.S.T. 24" ELEV GM GREY</t>
        </is>
      </c>
      <c r="I3517" s="107" t="inlineStr">
        <is>
          <t>AR036723M</t>
        </is>
      </c>
      <c r="J3517" s="65" t="inlineStr">
        <is>
          <t>N/D</t>
        </is>
      </c>
      <c r="K3517" s="65" t="inlineStr">
        <is>
          <t>N/D</t>
        </is>
      </c>
      <c r="L3517" s="127" t="inlineStr">
        <is>
          <t>BENELLI ARMI SPA</t>
        </is>
      </c>
      <c r="M3517" s="5" t="n">
        <v>972</v>
      </c>
      <c r="N3517" s="5" t="n"/>
      <c r="O3517" s="5">
        <f>+M3517+N3517</f>
        <v/>
      </c>
      <c r="P3517" s="4" t="n">
        <v>46002</v>
      </c>
      <c r="Q3517" s="87" t="n">
        <v>46002</v>
      </c>
      <c r="R3517" s="5" t="n"/>
      <c r="S3517" s="2" t="n"/>
      <c r="T3517" s="3" t="n"/>
      <c r="U3517" s="87" t="n"/>
      <c r="V3517" s="3" t="n"/>
      <c r="W3517" s="108" t="n"/>
      <c r="X3517" s="4" t="n"/>
    </row>
    <row r="3518" ht="24" customHeight="1">
      <c r="A3518" s="2">
        <f>+D3518-S3518</f>
        <v/>
      </c>
      <c r="B3518" s="80" t="n">
        <v>5108</v>
      </c>
      <c r="C3518" s="66" t="n">
        <v>46003</v>
      </c>
      <c r="D3518" s="2" t="n">
        <v>1</v>
      </c>
      <c r="E3518" s="3" t="inlineStr">
        <is>
          <t>CARABINA</t>
        </is>
      </c>
      <c r="F3518" s="3" t="inlineStr">
        <is>
          <t>223 REM</t>
        </is>
      </c>
      <c r="G3518" s="84" t="inlineStr">
        <is>
          <t>BENELLI</t>
        </is>
      </c>
      <c r="H3518" s="107" t="inlineStr">
        <is>
          <t>LUPO BE.S.T. 24" ELEV GM GREY</t>
        </is>
      </c>
      <c r="I3518" s="107" t="inlineStr">
        <is>
          <t>AR040918X</t>
        </is>
      </c>
      <c r="J3518" s="65" t="inlineStr">
        <is>
          <t>N/D</t>
        </is>
      </c>
      <c r="K3518" s="65" t="inlineStr">
        <is>
          <t>N/D</t>
        </is>
      </c>
      <c r="L3518" s="127" t="inlineStr">
        <is>
          <t>BENELLI ARMI SPA</t>
        </is>
      </c>
      <c r="M3518" s="5" t="n">
        <v>972</v>
      </c>
      <c r="N3518" s="5" t="n"/>
      <c r="O3518" s="5">
        <f>+M3518+N3518</f>
        <v/>
      </c>
      <c r="P3518" s="4" t="n">
        <v>46002</v>
      </c>
      <c r="Q3518" s="87" t="n">
        <v>46002</v>
      </c>
      <c r="R3518" s="5" t="n"/>
      <c r="S3518" s="2" t="n"/>
      <c r="T3518" s="3" t="n"/>
      <c r="U3518" s="87" t="n"/>
      <c r="V3518" s="3" t="n"/>
      <c r="W3518" s="108" t="n"/>
      <c r="X3518" s="4" t="n"/>
    </row>
    <row r="3519" ht="24" customHeight="1">
      <c r="A3519" s="2">
        <f>+D3519-S3519</f>
        <v/>
      </c>
      <c r="B3519" s="80" t="n">
        <v>5109</v>
      </c>
      <c r="C3519" s="66" t="n">
        <v>46003</v>
      </c>
      <c r="D3519" s="2" t="n">
        <v>1</v>
      </c>
      <c r="E3519" s="3" t="inlineStr">
        <is>
          <t>CARABINA</t>
        </is>
      </c>
      <c r="F3519" s="3" t="inlineStr">
        <is>
          <t>338LM</t>
        </is>
      </c>
      <c r="G3519" s="84" t="inlineStr">
        <is>
          <t>BENELLI</t>
        </is>
      </c>
      <c r="H3519" s="107" t="inlineStr">
        <is>
          <t>LUPO HPR BE.S.T. 26" SYNT</t>
        </is>
      </c>
      <c r="I3519" s="107" t="inlineStr">
        <is>
          <t>AR038186P</t>
        </is>
      </c>
      <c r="J3519" s="65" t="inlineStr">
        <is>
          <t>N/D</t>
        </is>
      </c>
      <c r="K3519" s="65" t="inlineStr">
        <is>
          <t>N/D</t>
        </is>
      </c>
      <c r="L3519" s="127" t="inlineStr">
        <is>
          <t>BENELLI ARMI SPA</t>
        </is>
      </c>
      <c r="M3519" s="5" t="n">
        <v>1488</v>
      </c>
      <c r="N3519" s="5" t="n"/>
      <c r="O3519" s="5">
        <f>+M3519+N3519</f>
        <v/>
      </c>
      <c r="P3519" s="4" t="n">
        <v>46002</v>
      </c>
      <c r="Q3519" s="87" t="n">
        <v>46002</v>
      </c>
      <c r="R3519" s="5" t="n"/>
      <c r="S3519" s="2" t="n"/>
      <c r="T3519" s="3" t="n"/>
      <c r="U3519" s="87" t="n"/>
      <c r="V3519" s="3" t="n"/>
      <c r="W3519" s="108" t="n"/>
      <c r="X3519" s="4" t="n"/>
    </row>
    <row r="3520" ht="24" customHeight="1">
      <c r="A3520" s="2">
        <f>+D3520-S3520</f>
        <v/>
      </c>
      <c r="B3520" s="80" t="n">
        <v>5110</v>
      </c>
      <c r="C3520" s="66" t="n">
        <v>46003</v>
      </c>
      <c r="D3520" s="2" t="n">
        <v>1</v>
      </c>
      <c r="E3520" s="3" t="inlineStr">
        <is>
          <t>CARABINA</t>
        </is>
      </c>
      <c r="F3520" s="3" t="inlineStr">
        <is>
          <t>338LM</t>
        </is>
      </c>
      <c r="G3520" s="84" t="inlineStr">
        <is>
          <t>BENELLI</t>
        </is>
      </c>
      <c r="H3520" s="107" t="inlineStr">
        <is>
          <t>LUPO HPR BE.S.T. 26" SYNT</t>
        </is>
      </c>
      <c r="I3520" s="107" t="inlineStr">
        <is>
          <t>AR038205F</t>
        </is>
      </c>
      <c r="J3520" s="65" t="inlineStr">
        <is>
          <t>N/D</t>
        </is>
      </c>
      <c r="K3520" s="65" t="inlineStr">
        <is>
          <t>N/D</t>
        </is>
      </c>
      <c r="L3520" s="127" t="inlineStr">
        <is>
          <t>BENELLI ARMI SPA</t>
        </is>
      </c>
      <c r="M3520" s="5" t="n">
        <v>1488</v>
      </c>
      <c r="N3520" s="5" t="n"/>
      <c r="O3520" s="5">
        <f>+M3520+N3520</f>
        <v/>
      </c>
      <c r="P3520" s="4" t="n">
        <v>46002</v>
      </c>
      <c r="Q3520" s="87" t="n">
        <v>46002</v>
      </c>
      <c r="R3520" s="5" t="n"/>
      <c r="S3520" s="2" t="n"/>
      <c r="T3520" s="3" t="n"/>
      <c r="U3520" s="87" t="n"/>
      <c r="V3520" s="3" t="n"/>
      <c r="W3520" s="108" t="n"/>
      <c r="X3520" s="4" t="n"/>
    </row>
    <row r="3521" ht="24" customHeight="1">
      <c r="A3521" s="2">
        <f>+D3521-S3521</f>
        <v/>
      </c>
      <c r="B3521" s="80" t="n">
        <v>5111</v>
      </c>
      <c r="C3521" s="66" t="n">
        <v>46003</v>
      </c>
      <c r="D3521" s="2" t="n">
        <v>1</v>
      </c>
      <c r="E3521" s="3" t="inlineStr">
        <is>
          <t>FUCILE SEMIAUTOMATICO</t>
        </is>
      </c>
      <c r="F3521" s="3" t="inlineStr">
        <is>
          <t>12</t>
        </is>
      </c>
      <c r="G3521" s="84" t="inlineStr">
        <is>
          <t>BENELLI</t>
        </is>
      </c>
      <c r="H3521" s="107" t="inlineStr">
        <is>
          <t>828U STEEL BE.S.T. BLACK AI 30''</t>
        </is>
      </c>
      <c r="I3521" s="107" t="inlineStr">
        <is>
          <t>BS060760L</t>
        </is>
      </c>
      <c r="J3521" s="107" t="inlineStr">
        <is>
          <t>CS061449X</t>
        </is>
      </c>
      <c r="K3521" s="65" t="inlineStr">
        <is>
          <t>N/D</t>
        </is>
      </c>
      <c r="L3521" s="127" t="inlineStr">
        <is>
          <t>BENELLI ARMI SPA</t>
        </is>
      </c>
      <c r="M3521" s="5" t="n">
        <v>1824</v>
      </c>
      <c r="N3521" s="5" t="n"/>
      <c r="O3521" s="5">
        <f>+M3521+N3521</f>
        <v/>
      </c>
      <c r="P3521" s="4" t="n">
        <v>46002</v>
      </c>
      <c r="Q3521" s="87" t="n">
        <v>46002</v>
      </c>
      <c r="R3521" s="5" t="n"/>
      <c r="S3521" s="2" t="n"/>
      <c r="T3521" s="3" t="n"/>
      <c r="U3521" s="87" t="n"/>
      <c r="V3521" s="3" t="n"/>
      <c r="W3521" s="108" t="n"/>
      <c r="X3521" s="4" t="n"/>
    </row>
    <row r="3522" ht="24" customHeight="1">
      <c r="A3522" s="2">
        <f>+D3522-S3522</f>
        <v/>
      </c>
      <c r="B3522" s="80" t="n">
        <v>5112</v>
      </c>
      <c r="C3522" s="66" t="n">
        <v>46003</v>
      </c>
      <c r="D3522" s="2" t="n">
        <v>1</v>
      </c>
      <c r="E3522" s="3" t="inlineStr">
        <is>
          <t>FUCILE SEMIAUTOMATICO</t>
        </is>
      </c>
      <c r="F3522" s="3" t="inlineStr">
        <is>
          <t>12</t>
        </is>
      </c>
      <c r="G3522" s="84" t="inlineStr">
        <is>
          <t>BENELLI</t>
        </is>
      </c>
      <c r="H3522" s="107" t="inlineStr">
        <is>
          <t>828U STEEL BE.S.T. BLACK AI 30''</t>
        </is>
      </c>
      <c r="I3522" s="107" t="inlineStr">
        <is>
          <t>BS060762Q</t>
        </is>
      </c>
      <c r="J3522" s="107" t="inlineStr">
        <is>
          <t>CS061451F</t>
        </is>
      </c>
      <c r="K3522" s="65" t="inlineStr">
        <is>
          <t>N/D</t>
        </is>
      </c>
      <c r="L3522" s="127" t="inlineStr">
        <is>
          <t>BENELLI ARMI SPA</t>
        </is>
      </c>
      <c r="M3522" s="5" t="n">
        <v>1824</v>
      </c>
      <c r="N3522" s="5" t="n"/>
      <c r="O3522" s="5">
        <f>+M3522+N3522</f>
        <v/>
      </c>
      <c r="P3522" s="4" t="n">
        <v>46002</v>
      </c>
      <c r="Q3522" s="87" t="n">
        <v>46002</v>
      </c>
      <c r="R3522" s="5" t="n"/>
      <c r="S3522" s="2" t="n"/>
      <c r="T3522" s="3" t="n"/>
      <c r="U3522" s="87" t="n"/>
      <c r="V3522" s="3" t="n"/>
      <c r="W3522" s="108" t="n"/>
      <c r="X3522" s="4" t="n"/>
    </row>
    <row r="3523" ht="24" customHeight="1">
      <c r="A3523" s="2">
        <f>+D3523-S3523</f>
        <v/>
      </c>
      <c r="B3523" s="80" t="n">
        <v>5113</v>
      </c>
      <c r="C3523" s="66" t="n">
        <v>46003</v>
      </c>
      <c r="D3523" s="2" t="n">
        <v>1</v>
      </c>
      <c r="E3523" s="3" t="inlineStr">
        <is>
          <t>FUCILE SEMIAUTOMATICO</t>
        </is>
      </c>
      <c r="F3523" s="3" t="inlineStr">
        <is>
          <t>12</t>
        </is>
      </c>
      <c r="G3523" s="84" t="inlineStr">
        <is>
          <t>BENELLI</t>
        </is>
      </c>
      <c r="H3523" s="107" t="inlineStr">
        <is>
          <t>828U STEEL BE.S.T. BLACK AI 30''</t>
        </is>
      </c>
      <c r="I3523" s="107" t="inlineStr">
        <is>
          <t>BS060766Z</t>
        </is>
      </c>
      <c r="J3523" s="107" t="inlineStr">
        <is>
          <t>CS061455Q</t>
        </is>
      </c>
      <c r="K3523" s="65" t="inlineStr">
        <is>
          <t>N/D</t>
        </is>
      </c>
      <c r="L3523" s="127" t="inlineStr">
        <is>
          <t>BENELLI ARMI SPA</t>
        </is>
      </c>
      <c r="M3523" s="5" t="n">
        <v>1824</v>
      </c>
      <c r="N3523" s="5" t="n"/>
      <c r="O3523" s="5">
        <f>+M3523+N3523</f>
        <v/>
      </c>
      <c r="P3523" s="4" t="n">
        <v>46002</v>
      </c>
      <c r="Q3523" s="87" t="n">
        <v>46002</v>
      </c>
      <c r="R3523" s="5" t="n"/>
      <c r="S3523" s="2" t="n"/>
      <c r="T3523" s="3" t="n"/>
      <c r="U3523" s="87" t="n"/>
      <c r="V3523" s="3" t="n"/>
      <c r="W3523" s="108" t="n"/>
      <c r="X3523" s="4" t="n"/>
    </row>
    <row r="3524" ht="24" customHeight="1">
      <c r="A3524" s="2">
        <f>+D3524-S3524</f>
        <v/>
      </c>
      <c r="B3524" s="80" t="n">
        <v>5114</v>
      </c>
      <c r="C3524" s="66" t="n">
        <v>46003</v>
      </c>
      <c r="D3524" s="2" t="n">
        <v>1</v>
      </c>
      <c r="E3524" s="3" t="inlineStr">
        <is>
          <t>FUCILE SEMIAUTOMATICO</t>
        </is>
      </c>
      <c r="F3524" s="3" t="inlineStr">
        <is>
          <t>12</t>
        </is>
      </c>
      <c r="G3524" s="84" t="inlineStr">
        <is>
          <t>BENELLI</t>
        </is>
      </c>
      <c r="H3524" s="107" t="inlineStr">
        <is>
          <t>828U STEEL BE.S.T. BLACK AI 30''</t>
        </is>
      </c>
      <c r="I3524" s="107" t="inlineStr">
        <is>
          <t>BS060763S</t>
        </is>
      </c>
      <c r="J3524" s="107" t="inlineStr">
        <is>
          <t>CS061452H</t>
        </is>
      </c>
      <c r="K3524" s="65" t="inlineStr">
        <is>
          <t>N/D</t>
        </is>
      </c>
      <c r="L3524" s="127" t="inlineStr">
        <is>
          <t>BENELLI ARMI SPA</t>
        </is>
      </c>
      <c r="M3524" s="5" t="n">
        <v>1824</v>
      </c>
      <c r="N3524" s="5" t="n"/>
      <c r="O3524" s="5">
        <f>+M3524+N3524</f>
        <v/>
      </c>
      <c r="P3524" s="4" t="n">
        <v>46002</v>
      </c>
      <c r="Q3524" s="87" t="n">
        <v>46002</v>
      </c>
      <c r="R3524" s="5" t="n"/>
      <c r="S3524" s="2" t="n"/>
      <c r="T3524" s="3" t="n"/>
      <c r="U3524" s="87" t="n"/>
      <c r="V3524" s="3" t="n"/>
      <c r="W3524" s="108" t="n"/>
      <c r="X3524" s="4" t="n"/>
    </row>
    <row r="3525" ht="24" customHeight="1">
      <c r="A3525" s="2">
        <f>+D3525-S3525</f>
        <v/>
      </c>
      <c r="B3525" s="80" t="n">
        <v>5115</v>
      </c>
      <c r="C3525" s="66" t="n">
        <v>46003</v>
      </c>
      <c r="D3525" s="2" t="n">
        <v>1</v>
      </c>
      <c r="E3525" s="3" t="inlineStr">
        <is>
          <t>FUCILE SEMIAUTOMATICO</t>
        </is>
      </c>
      <c r="F3525" s="3" t="inlineStr">
        <is>
          <t>12</t>
        </is>
      </c>
      <c r="G3525" s="84" t="inlineStr">
        <is>
          <t>BENELLI</t>
        </is>
      </c>
      <c r="H3525" s="107" t="inlineStr">
        <is>
          <t>828U STEEL BE.S.T. BLACK AI 30''</t>
        </is>
      </c>
      <c r="I3525" s="107" t="inlineStr">
        <is>
          <t>BS060757A</t>
        </is>
      </c>
      <c r="J3525" s="107" t="inlineStr">
        <is>
          <t>CS061446R</t>
        </is>
      </c>
      <c r="K3525" s="65" t="inlineStr">
        <is>
          <t>N/D</t>
        </is>
      </c>
      <c r="L3525" s="127" t="inlineStr">
        <is>
          <t>BENELLI ARMI SPA</t>
        </is>
      </c>
      <c r="M3525" s="5" t="n">
        <v>1824</v>
      </c>
      <c r="N3525" s="5" t="n"/>
      <c r="O3525" s="5">
        <f>+M3525+N3525</f>
        <v/>
      </c>
      <c r="P3525" s="4" t="n">
        <v>46002</v>
      </c>
      <c r="Q3525" s="87" t="n">
        <v>46002</v>
      </c>
      <c r="R3525" s="5" t="n"/>
      <c r="S3525" s="2" t="n"/>
      <c r="T3525" s="3" t="n"/>
      <c r="U3525" s="87" t="n"/>
      <c r="V3525" s="3" t="n"/>
      <c r="W3525" s="108" t="n"/>
      <c r="X3525" s="4" t="n"/>
    </row>
    <row r="3526" ht="24" customHeight="1">
      <c r="A3526" s="2">
        <f>+D3526-S3526</f>
        <v/>
      </c>
      <c r="B3526" s="80" t="n">
        <v>5116</v>
      </c>
      <c r="C3526" s="66" t="n">
        <v>46003</v>
      </c>
      <c r="D3526" s="2" t="n">
        <v>1</v>
      </c>
      <c r="E3526" s="3" t="inlineStr">
        <is>
          <t>FUCILE SEMIAUTOMATICO</t>
        </is>
      </c>
      <c r="F3526" s="3" t="inlineStr">
        <is>
          <t>12</t>
        </is>
      </c>
      <c r="G3526" s="84" t="inlineStr">
        <is>
          <t>BENELLI</t>
        </is>
      </c>
      <c r="H3526" s="107" t="inlineStr">
        <is>
          <t xml:space="preserve">SBE3 TUN CER 28" </t>
        </is>
      </c>
      <c r="I3526" s="107" t="inlineStr">
        <is>
          <t>U792676P</t>
        </is>
      </c>
      <c r="J3526" s="107" t="inlineStr">
        <is>
          <t>S831717Y</t>
        </is>
      </c>
      <c r="K3526" s="65" t="inlineStr">
        <is>
          <t>N/D</t>
        </is>
      </c>
      <c r="L3526" s="127" t="inlineStr">
        <is>
          <t>BENELLI ARMI SPA</t>
        </is>
      </c>
      <c r="M3526" s="5" t="n">
        <v>1382</v>
      </c>
      <c r="N3526" s="5" t="n"/>
      <c r="O3526" s="5">
        <f>+M3526+N3526</f>
        <v/>
      </c>
      <c r="P3526" s="4" t="n">
        <v>46002</v>
      </c>
      <c r="Q3526" s="87" t="n">
        <v>46002</v>
      </c>
      <c r="R3526" s="5" t="n"/>
      <c r="S3526" s="2" t="n"/>
      <c r="T3526" s="3" t="n"/>
      <c r="U3526" s="87" t="n"/>
      <c r="V3526" s="3" t="n"/>
      <c r="W3526" s="108" t="n"/>
      <c r="X3526" s="4" t="n"/>
    </row>
    <row r="3527" ht="24" customHeight="1">
      <c r="A3527" s="2">
        <f>+D3527-S3527</f>
        <v/>
      </c>
      <c r="B3527" s="80" t="n">
        <v>5117</v>
      </c>
      <c r="C3527" s="66" t="n">
        <v>46003</v>
      </c>
      <c r="D3527" s="2" t="n">
        <v>1</v>
      </c>
      <c r="E3527" s="3" t="inlineStr">
        <is>
          <t>FUCILE SEMIAUTOMATICO</t>
        </is>
      </c>
      <c r="F3527" s="3" t="inlineStr">
        <is>
          <t>12</t>
        </is>
      </c>
      <c r="G3527" s="84" t="inlineStr">
        <is>
          <t>BENELLI</t>
        </is>
      </c>
      <c r="H3527" s="107" t="inlineStr">
        <is>
          <t>NOVA SPEED 26''</t>
        </is>
      </c>
      <c r="I3527" s="107" t="inlineStr">
        <is>
          <t>BU003484D</t>
        </is>
      </c>
      <c r="J3527" s="107" t="inlineStr">
        <is>
          <t>CU003505B</t>
        </is>
      </c>
      <c r="K3527" s="65" t="inlineStr">
        <is>
          <t>N/D</t>
        </is>
      </c>
      <c r="L3527" s="127" t="inlineStr">
        <is>
          <t>BENELLI ARMI SPA</t>
        </is>
      </c>
      <c r="M3527" s="5" t="n">
        <v>697</v>
      </c>
      <c r="N3527" s="5" t="n"/>
      <c r="O3527" s="5">
        <f>+M3527+N3527</f>
        <v/>
      </c>
      <c r="P3527" s="4" t="n">
        <v>46002</v>
      </c>
      <c r="Q3527" s="87" t="n">
        <v>46002</v>
      </c>
      <c r="R3527" s="5" t="n"/>
      <c r="S3527" s="2" t="n"/>
      <c r="T3527" s="3" t="n"/>
      <c r="U3527" s="87" t="n"/>
      <c r="V3527" s="3" t="n"/>
      <c r="W3527" s="108" t="n"/>
      <c r="X3527" s="4" t="n"/>
    </row>
    <row r="3528" ht="24" customHeight="1">
      <c r="A3528" s="2">
        <f>+D3528-S3528</f>
        <v/>
      </c>
      <c r="B3528" s="80" t="n">
        <v>5118</v>
      </c>
      <c r="C3528" s="66" t="n">
        <v>46003</v>
      </c>
      <c r="D3528" s="2" t="n">
        <v>1</v>
      </c>
      <c r="E3528" s="3" t="inlineStr">
        <is>
          <t>FUCILE SEMIAUTOMATICO</t>
        </is>
      </c>
      <c r="F3528" s="3" t="inlineStr">
        <is>
          <t>12</t>
        </is>
      </c>
      <c r="G3528" s="84" t="inlineStr">
        <is>
          <t>BENELLI</t>
        </is>
      </c>
      <c r="H3528" s="107" t="inlineStr">
        <is>
          <t>NOVA SPEED 26''</t>
        </is>
      </c>
      <c r="I3528" s="107" t="inlineStr">
        <is>
          <t>BU003481X</t>
        </is>
      </c>
      <c r="J3528" s="107" t="inlineStr">
        <is>
          <t>CU003502U</t>
        </is>
      </c>
      <c r="K3528" s="65" t="inlineStr">
        <is>
          <t>N/D</t>
        </is>
      </c>
      <c r="L3528" s="127" t="inlineStr">
        <is>
          <t>BENELLI ARMI SPA</t>
        </is>
      </c>
      <c r="M3528" s="5" t="n">
        <v>697</v>
      </c>
      <c r="N3528" s="5" t="n"/>
      <c r="O3528" s="5">
        <f>+M3528+N3528</f>
        <v/>
      </c>
      <c r="P3528" s="4" t="n">
        <v>46002</v>
      </c>
      <c r="Q3528" s="87" t="n">
        <v>46002</v>
      </c>
      <c r="R3528" s="5" t="n"/>
      <c r="S3528" s="2" t="n"/>
      <c r="T3528" s="3" t="n"/>
      <c r="U3528" s="87" t="n"/>
      <c r="V3528" s="3" t="n"/>
      <c r="W3528" s="108" t="n"/>
      <c r="X3528" s="4" t="n"/>
    </row>
    <row r="3529" ht="24" customHeight="1">
      <c r="A3529" s="2">
        <f>+D3529-S3529</f>
        <v/>
      </c>
      <c r="B3529" s="80" t="n">
        <v>5119</v>
      </c>
      <c r="C3529" s="66" t="n">
        <v>46003</v>
      </c>
      <c r="D3529" s="2" t="n">
        <v>1</v>
      </c>
      <c r="E3529" s="3" t="inlineStr">
        <is>
          <t>FUCILE SEMIAUTOMATICO</t>
        </is>
      </c>
      <c r="F3529" s="3" t="inlineStr">
        <is>
          <t>12</t>
        </is>
      </c>
      <c r="G3529" s="84" t="inlineStr">
        <is>
          <t>BENELLI</t>
        </is>
      </c>
      <c r="H3529" s="107" t="inlineStr">
        <is>
          <t>NOVA SPEED 26''</t>
        </is>
      </c>
      <c r="I3529" s="107" t="inlineStr">
        <is>
          <t>BU003556J</t>
        </is>
      </c>
      <c r="J3529" s="107" t="inlineStr">
        <is>
          <t>CU003252S</t>
        </is>
      </c>
      <c r="K3529" s="65" t="inlineStr">
        <is>
          <t>N/D</t>
        </is>
      </c>
      <c r="L3529" s="127" t="inlineStr">
        <is>
          <t>BENELLI ARMI SPA</t>
        </is>
      </c>
      <c r="M3529" s="5" t="n">
        <v>697</v>
      </c>
      <c r="N3529" s="5" t="n"/>
      <c r="O3529" s="5">
        <f>+M3529+N3529</f>
        <v/>
      </c>
      <c r="P3529" s="4" t="n">
        <v>46002</v>
      </c>
      <c r="Q3529" s="87" t="n">
        <v>46002</v>
      </c>
      <c r="R3529" s="5" t="n"/>
      <c r="S3529" s="2" t="n"/>
      <c r="T3529" s="3" t="n"/>
      <c r="U3529" s="87" t="n"/>
      <c r="V3529" s="3" t="n"/>
      <c r="W3529" s="108" t="n"/>
      <c r="X3529" s="4" t="n"/>
    </row>
    <row r="3530" ht="24" customHeight="1">
      <c r="A3530" s="2">
        <f>+D3530-S3530</f>
        <v/>
      </c>
      <c r="B3530" s="80" t="n">
        <v>5120</v>
      </c>
      <c r="C3530" s="66" t="n">
        <v>46003</v>
      </c>
      <c r="D3530" s="2" t="n">
        <v>1</v>
      </c>
      <c r="E3530" s="3" t="inlineStr">
        <is>
          <t>FUCILE SEMIAUTOMATICO</t>
        </is>
      </c>
      <c r="F3530" s="3" t="inlineStr">
        <is>
          <t>12</t>
        </is>
      </c>
      <c r="G3530" s="84" t="inlineStr">
        <is>
          <t>BENELLI</t>
        </is>
      </c>
      <c r="H3530" s="107" t="inlineStr">
        <is>
          <t>NOVA SPEED 26''</t>
        </is>
      </c>
      <c r="I3530" s="107" t="inlineStr">
        <is>
          <t>BU003561Y</t>
        </is>
      </c>
      <c r="J3530" s="107" t="inlineStr">
        <is>
          <t>CU003585K</t>
        </is>
      </c>
      <c r="K3530" s="65" t="inlineStr">
        <is>
          <t>N/D</t>
        </is>
      </c>
      <c r="L3530" s="127" t="inlineStr">
        <is>
          <t>BENELLI ARMI SPA</t>
        </is>
      </c>
      <c r="M3530" s="5" t="n">
        <v>697</v>
      </c>
      <c r="N3530" s="5" t="n"/>
      <c r="O3530" s="5">
        <f>+M3530+N3530</f>
        <v/>
      </c>
      <c r="P3530" s="4" t="n">
        <v>46002</v>
      </c>
      <c r="Q3530" s="87" t="n">
        <v>46002</v>
      </c>
      <c r="R3530" s="5" t="n"/>
      <c r="S3530" s="2" t="n"/>
      <c r="T3530" s="3" t="n"/>
      <c r="U3530" s="87" t="n"/>
      <c r="V3530" s="3" t="n"/>
      <c r="W3530" s="108" t="n"/>
      <c r="X3530" s="4" t="n"/>
    </row>
    <row r="3531" ht="24" customHeight="1">
      <c r="A3531" s="2">
        <f>+D3531-S3531</f>
        <v/>
      </c>
      <c r="B3531" s="80" t="n">
        <v>5121</v>
      </c>
      <c r="C3531" s="66" t="n">
        <v>46003</v>
      </c>
      <c r="D3531" s="2" t="n">
        <v>1</v>
      </c>
      <c r="E3531" s="3" t="inlineStr">
        <is>
          <t>FUCILE SEMIAUTOMATICO</t>
        </is>
      </c>
      <c r="F3531" s="3" t="inlineStr">
        <is>
          <t>12</t>
        </is>
      </c>
      <c r="G3531" s="84" t="inlineStr">
        <is>
          <t>BENELLI</t>
        </is>
      </c>
      <c r="H3531" s="107" t="inlineStr">
        <is>
          <t>NOVA SPEED 26''</t>
        </is>
      </c>
      <c r="I3531" s="107" t="inlineStr">
        <is>
          <t>BU003592D</t>
        </is>
      </c>
      <c r="J3531" s="107" t="inlineStr">
        <is>
          <t>CU003611V</t>
        </is>
      </c>
      <c r="K3531" s="65" t="inlineStr">
        <is>
          <t>N/D</t>
        </is>
      </c>
      <c r="L3531" s="127" t="inlineStr">
        <is>
          <t>BENELLI ARMI SPA</t>
        </is>
      </c>
      <c r="M3531" s="5" t="n">
        <v>697</v>
      </c>
      <c r="N3531" s="5" t="n"/>
      <c r="O3531" s="5">
        <f>+M3531+N3531</f>
        <v/>
      </c>
      <c r="P3531" s="4" t="n">
        <v>46002</v>
      </c>
      <c r="Q3531" s="87" t="n">
        <v>46002</v>
      </c>
      <c r="R3531" s="5" t="n"/>
      <c r="S3531" s="2" t="n"/>
      <c r="T3531" s="3" t="n"/>
      <c r="U3531" s="87" t="n"/>
      <c r="V3531" s="3" t="n"/>
      <c r="W3531" s="108" t="n"/>
      <c r="X3531" s="4" t="n"/>
    </row>
    <row r="3532" ht="24" customHeight="1">
      <c r="A3532" s="2">
        <f>+D3532-S3532</f>
        <v/>
      </c>
      <c r="B3532" s="80" t="n">
        <v>5122</v>
      </c>
      <c r="C3532" s="66" t="n">
        <v>46003</v>
      </c>
      <c r="D3532" s="2" t="n">
        <v>1</v>
      </c>
      <c r="E3532" s="3" t="inlineStr">
        <is>
          <t>FUCILE SEMIAUTOMATICO</t>
        </is>
      </c>
      <c r="F3532" s="3" t="inlineStr">
        <is>
          <t>12</t>
        </is>
      </c>
      <c r="G3532" s="84" t="inlineStr">
        <is>
          <t>BENELLI</t>
        </is>
      </c>
      <c r="H3532" s="107" t="inlineStr">
        <is>
          <t>NOVA SPEED 26''</t>
        </is>
      </c>
      <c r="I3532" s="107" t="inlineStr">
        <is>
          <t>BU003438H</t>
        </is>
      </c>
      <c r="J3532" s="107" t="inlineStr">
        <is>
          <t>CU003482Z</t>
        </is>
      </c>
      <c r="K3532" s="65" t="inlineStr">
        <is>
          <t>N/D</t>
        </is>
      </c>
      <c r="L3532" s="127" t="inlineStr">
        <is>
          <t>BENELLI ARMI SPA</t>
        </is>
      </c>
      <c r="M3532" s="5" t="n">
        <v>697</v>
      </c>
      <c r="N3532" s="5" t="n"/>
      <c r="O3532" s="5">
        <f>+M3532+N3532</f>
        <v/>
      </c>
      <c r="P3532" s="4" t="n">
        <v>46002</v>
      </c>
      <c r="Q3532" s="87" t="n">
        <v>46002</v>
      </c>
      <c r="R3532" s="5" t="n"/>
      <c r="S3532" s="2" t="n"/>
      <c r="T3532" s="3" t="n"/>
      <c r="U3532" s="87" t="n"/>
      <c r="V3532" s="3" t="n"/>
      <c r="W3532" s="108" t="n"/>
      <c r="X3532" s="4" t="n"/>
    </row>
    <row r="3533" ht="24" customHeight="1">
      <c r="A3533" s="2">
        <f>+D3533-S3533</f>
        <v/>
      </c>
      <c r="B3533" s="80" t="n">
        <v>5123</v>
      </c>
      <c r="C3533" s="66" t="n">
        <v>46003</v>
      </c>
      <c r="D3533" s="2" t="n">
        <v>1</v>
      </c>
      <c r="E3533" s="3" t="inlineStr">
        <is>
          <t>FUCILE SEMIAUTOMATICO</t>
        </is>
      </c>
      <c r="F3533" s="3" t="inlineStr">
        <is>
          <t>12</t>
        </is>
      </c>
      <c r="G3533" s="84" t="inlineStr">
        <is>
          <t>BENELLI</t>
        </is>
      </c>
      <c r="H3533" s="107" t="inlineStr">
        <is>
          <t>NOVA SPEED 26''</t>
        </is>
      </c>
      <c r="I3533" s="107" t="inlineStr">
        <is>
          <t>BU003485G</t>
        </is>
      </c>
      <c r="J3533" s="107" t="inlineStr">
        <is>
          <t>CU003497M</t>
        </is>
      </c>
      <c r="K3533" s="65" t="inlineStr">
        <is>
          <t>N/D</t>
        </is>
      </c>
      <c r="L3533" s="127" t="inlineStr">
        <is>
          <t>BENELLI ARMI SPA</t>
        </is>
      </c>
      <c r="M3533" s="5" t="n">
        <v>697</v>
      </c>
      <c r="N3533" s="5" t="n"/>
      <c r="O3533" s="5">
        <f>+M3533+N3533</f>
        <v/>
      </c>
      <c r="P3533" s="4" t="n">
        <v>46002</v>
      </c>
      <c r="Q3533" s="87" t="n">
        <v>46002</v>
      </c>
      <c r="R3533" s="5" t="n"/>
      <c r="S3533" s="2" t="n"/>
      <c r="T3533" s="3" t="n"/>
      <c r="U3533" s="87" t="n"/>
      <c r="V3533" s="3" t="n"/>
      <c r="W3533" s="108" t="n"/>
      <c r="X3533" s="4" t="n"/>
    </row>
    <row r="3534" ht="24" customHeight="1">
      <c r="A3534" s="2">
        <f>+D3534-S3534</f>
        <v/>
      </c>
      <c r="B3534" s="80" t="n">
        <v>5124</v>
      </c>
      <c r="C3534" s="66" t="n">
        <v>46003</v>
      </c>
      <c r="D3534" s="2" t="n">
        <v>1</v>
      </c>
      <c r="E3534" s="3" t="inlineStr">
        <is>
          <t>FUCILE SEMIAUTOMATICO</t>
        </is>
      </c>
      <c r="F3534" s="3" t="inlineStr">
        <is>
          <t>12</t>
        </is>
      </c>
      <c r="G3534" s="84" t="inlineStr">
        <is>
          <t>BENELLI</t>
        </is>
      </c>
      <c r="H3534" s="107" t="inlineStr">
        <is>
          <t>NOVA SPEED 26''</t>
        </is>
      </c>
      <c r="I3534" s="107" t="inlineStr">
        <is>
          <t>BU003594H</t>
        </is>
      </c>
      <c r="J3534" s="107" t="inlineStr">
        <is>
          <t>CU003615E</t>
        </is>
      </c>
      <c r="K3534" s="65" t="inlineStr">
        <is>
          <t>N/D</t>
        </is>
      </c>
      <c r="L3534" s="127" t="inlineStr">
        <is>
          <t>BENELLI ARMI SPA</t>
        </is>
      </c>
      <c r="M3534" s="5" t="n">
        <v>697</v>
      </c>
      <c r="N3534" s="5" t="n"/>
      <c r="O3534" s="5">
        <f>+M3534+N3534</f>
        <v/>
      </c>
      <c r="P3534" s="4" t="n">
        <v>46002</v>
      </c>
      <c r="Q3534" s="87" t="n">
        <v>46002</v>
      </c>
      <c r="R3534" s="5" t="n"/>
      <c r="S3534" s="2" t="n"/>
      <c r="T3534" s="3" t="n"/>
      <c r="U3534" s="87" t="n"/>
      <c r="V3534" s="3" t="n"/>
      <c r="W3534" s="108" t="n"/>
      <c r="X3534" s="4" t="n"/>
    </row>
    <row r="3535" ht="24" customHeight="1">
      <c r="A3535" s="2">
        <f>+D3535-S3535</f>
        <v/>
      </c>
      <c r="B3535" s="80" t="n">
        <v>5125</v>
      </c>
      <c r="C3535" s="66" t="n">
        <v>46003</v>
      </c>
      <c r="D3535" s="2" t="n">
        <v>1</v>
      </c>
      <c r="E3535" s="3" t="inlineStr">
        <is>
          <t>FUCILE SEMIAUTOMATICO</t>
        </is>
      </c>
      <c r="F3535" s="3" t="inlineStr">
        <is>
          <t>12</t>
        </is>
      </c>
      <c r="G3535" s="84" t="inlineStr">
        <is>
          <t>BENELLI</t>
        </is>
      </c>
      <c r="H3535" s="107" t="inlineStr">
        <is>
          <t>NOVA SPEED 26''</t>
        </is>
      </c>
      <c r="I3535" s="107" t="inlineStr">
        <is>
          <t>BU003587P</t>
        </is>
      </c>
      <c r="J3535" s="107" t="inlineStr">
        <is>
          <t>CU003613Z</t>
        </is>
      </c>
      <c r="K3535" s="65" t="inlineStr">
        <is>
          <t>N/D</t>
        </is>
      </c>
      <c r="L3535" s="127" t="inlineStr">
        <is>
          <t>BENELLI ARMI SPA</t>
        </is>
      </c>
      <c r="M3535" s="5" t="n">
        <v>697</v>
      </c>
      <c r="N3535" s="5" t="n"/>
      <c r="O3535" s="5">
        <f>+M3535+N3535</f>
        <v/>
      </c>
      <c r="P3535" s="4" t="n">
        <v>46002</v>
      </c>
      <c r="Q3535" s="87" t="n">
        <v>46002</v>
      </c>
      <c r="R3535" s="5" t="n"/>
      <c r="S3535" s="2" t="n"/>
      <c r="T3535" s="3" t="n"/>
      <c r="U3535" s="87" t="n"/>
      <c r="V3535" s="3" t="n"/>
      <c r="W3535" s="108" t="n"/>
      <c r="X3535" s="4" t="n"/>
    </row>
    <row r="3536" ht="24" customHeight="1">
      <c r="A3536" s="2">
        <f>+D3536-S3536</f>
        <v/>
      </c>
      <c r="B3536" s="80" t="n">
        <v>5126</v>
      </c>
      <c r="C3536" s="66" t="n">
        <v>46003</v>
      </c>
      <c r="D3536" s="2" t="n">
        <v>1</v>
      </c>
      <c r="E3536" s="3" t="inlineStr">
        <is>
          <t>FUCILE SEMIAUTOMATICO</t>
        </is>
      </c>
      <c r="F3536" s="3" t="inlineStr">
        <is>
          <t>12</t>
        </is>
      </c>
      <c r="G3536" s="84" t="inlineStr">
        <is>
          <t>BENELLI</t>
        </is>
      </c>
      <c r="H3536" s="107" t="inlineStr">
        <is>
          <t>MONTEFELTRO-22 SPORTING 30''</t>
        </is>
      </c>
      <c r="I3536" s="107" t="inlineStr">
        <is>
          <t>M0201172A</t>
        </is>
      </c>
      <c r="J3536" s="107" t="inlineStr">
        <is>
          <t>C1690182V</t>
        </is>
      </c>
      <c r="K3536" s="65" t="inlineStr">
        <is>
          <t>N/D</t>
        </is>
      </c>
      <c r="L3536" s="127" t="inlineStr">
        <is>
          <t>BENELLI ARMI SPA</t>
        </is>
      </c>
      <c r="M3536" s="5" t="n">
        <v>907</v>
      </c>
      <c r="N3536" s="5" t="n"/>
      <c r="O3536" s="5">
        <f>+M3536+N3536</f>
        <v/>
      </c>
      <c r="P3536" s="4" t="n">
        <v>46002</v>
      </c>
      <c r="Q3536" s="87" t="n">
        <v>46002</v>
      </c>
      <c r="R3536" s="5" t="n"/>
      <c r="S3536" s="2" t="n"/>
      <c r="T3536" s="3" t="n"/>
      <c r="U3536" s="87" t="n"/>
      <c r="V3536" s="3" t="n"/>
      <c r="W3536" s="108" t="n"/>
      <c r="X3536" s="4" t="n"/>
    </row>
    <row r="3537" ht="24" customHeight="1">
      <c r="A3537" s="2">
        <f>+D3537-S3537</f>
        <v/>
      </c>
      <c r="B3537" s="80" t="n">
        <v>5127</v>
      </c>
      <c r="C3537" s="66" t="n">
        <v>46003</v>
      </c>
      <c r="D3537" s="2" t="n">
        <v>1</v>
      </c>
      <c r="E3537" s="3" t="inlineStr">
        <is>
          <t>FUCILE SEMIAUTOMATICO</t>
        </is>
      </c>
      <c r="F3537" s="3" t="inlineStr">
        <is>
          <t>12</t>
        </is>
      </c>
      <c r="G3537" s="84" t="inlineStr">
        <is>
          <t>BENELLI</t>
        </is>
      </c>
      <c r="H3537" s="107" t="inlineStr">
        <is>
          <t>NOVA SPEED 26''</t>
        </is>
      </c>
      <c r="I3537" s="107" t="inlineStr">
        <is>
          <t>BU003447G</t>
        </is>
      </c>
      <c r="J3537" s="107" t="inlineStr">
        <is>
          <t>CU003471W</t>
        </is>
      </c>
      <c r="K3537" s="65" t="inlineStr">
        <is>
          <t>N/D</t>
        </is>
      </c>
      <c r="L3537" s="127" t="inlineStr">
        <is>
          <t>BENELLI ARMI SPA</t>
        </is>
      </c>
      <c r="M3537" s="5" t="n">
        <v>697</v>
      </c>
      <c r="N3537" s="5" t="n"/>
      <c r="O3537" s="5">
        <f>+M3537+N3537</f>
        <v/>
      </c>
      <c r="P3537" s="4" t="n">
        <v>46002</v>
      </c>
      <c r="Q3537" s="87" t="n">
        <v>46002</v>
      </c>
      <c r="R3537" s="5" t="n"/>
      <c r="S3537" s="2" t="n"/>
      <c r="T3537" s="3" t="n"/>
      <c r="U3537" s="87" t="n"/>
      <c r="V3537" s="3" t="n"/>
      <c r="W3537" s="108" t="n"/>
      <c r="X3537" s="4" t="n"/>
    </row>
    <row r="3538" ht="24" customHeight="1">
      <c r="A3538" s="2">
        <f>+D3538-S3538</f>
        <v/>
      </c>
      <c r="B3538" s="80" t="n">
        <v>5128</v>
      </c>
      <c r="C3538" s="66" t="n">
        <v>46003</v>
      </c>
      <c r="D3538" s="2" t="n">
        <v>1</v>
      </c>
      <c r="E3538" s="3" t="inlineStr">
        <is>
          <t>FUCILE SEMIAUTOMATICO</t>
        </is>
      </c>
      <c r="F3538" s="3" t="inlineStr">
        <is>
          <t>12</t>
        </is>
      </c>
      <c r="G3538" s="84" t="inlineStr">
        <is>
          <t>BENELLI</t>
        </is>
      </c>
      <c r="H3538" s="107" t="inlineStr">
        <is>
          <t>MONTEFELTRO-22 SPORTING 30''</t>
        </is>
      </c>
      <c r="I3538" s="107" t="inlineStr">
        <is>
          <t>M0197678H</t>
        </is>
      </c>
      <c r="J3538" s="107" t="inlineStr">
        <is>
          <t>C1683469G</t>
        </is>
      </c>
      <c r="K3538" s="65" t="inlineStr">
        <is>
          <t>N/D</t>
        </is>
      </c>
      <c r="L3538" s="127" t="inlineStr">
        <is>
          <t>BENELLI ARMI SPA</t>
        </is>
      </c>
      <c r="M3538" s="5" t="n">
        <v>907</v>
      </c>
      <c r="N3538" s="5" t="n"/>
      <c r="O3538" s="5">
        <f>+M3538+N3538</f>
        <v/>
      </c>
      <c r="P3538" s="4" t="n">
        <v>46002</v>
      </c>
      <c r="Q3538" s="87" t="n">
        <v>46002</v>
      </c>
      <c r="R3538" s="5" t="n"/>
      <c r="S3538" s="2" t="n"/>
      <c r="T3538" s="3" t="n"/>
      <c r="U3538" s="87" t="n"/>
      <c r="V3538" s="3" t="n"/>
      <c r="W3538" s="108" t="n"/>
      <c r="X3538" s="4" t="n"/>
    </row>
    <row r="3539" ht="24" customHeight="1">
      <c r="A3539" s="2">
        <f>+D3539-S3539</f>
        <v/>
      </c>
      <c r="B3539" s="80" t="n">
        <v>5129</v>
      </c>
      <c r="C3539" s="66" t="n">
        <v>46003</v>
      </c>
      <c r="D3539" s="2" t="n">
        <v>1</v>
      </c>
      <c r="E3539" s="3" t="inlineStr">
        <is>
          <t>FUCILE SEMIAUTOMATICO</t>
        </is>
      </c>
      <c r="F3539" s="3" t="inlineStr">
        <is>
          <t>12</t>
        </is>
      </c>
      <c r="G3539" s="84" t="inlineStr">
        <is>
          <t>BENELLI</t>
        </is>
      </c>
      <c r="H3539" s="107" t="inlineStr">
        <is>
          <t>MONTEFELTRO-22 SPORTING 30''</t>
        </is>
      </c>
      <c r="I3539" s="107" t="inlineStr">
        <is>
          <t>M0197675E</t>
        </is>
      </c>
      <c r="J3539" s="107" t="inlineStr">
        <is>
          <t>C1683466D</t>
        </is>
      </c>
      <c r="K3539" s="65" t="inlineStr">
        <is>
          <t>N/D</t>
        </is>
      </c>
      <c r="L3539" s="127" t="inlineStr">
        <is>
          <t>BENELLI ARMI SPA</t>
        </is>
      </c>
      <c r="M3539" s="5" t="n">
        <v>907</v>
      </c>
      <c r="N3539" s="5" t="n"/>
      <c r="O3539" s="5">
        <f>+M3539+N3539</f>
        <v/>
      </c>
      <c r="P3539" s="4" t="n">
        <v>46002</v>
      </c>
      <c r="Q3539" s="87" t="n">
        <v>46002</v>
      </c>
      <c r="R3539" s="5" t="n"/>
      <c r="S3539" s="2" t="n"/>
      <c r="T3539" s="3" t="n"/>
      <c r="U3539" s="87" t="n"/>
      <c r="V3539" s="3" t="n"/>
      <c r="W3539" s="108" t="n"/>
      <c r="X3539" s="4" t="n"/>
    </row>
    <row r="3540" ht="24" customHeight="1">
      <c r="A3540" s="2">
        <f>+D3540-S3540</f>
        <v/>
      </c>
      <c r="B3540" s="80" t="n">
        <v>5130</v>
      </c>
      <c r="C3540" s="66" t="n">
        <v>46003</v>
      </c>
      <c r="D3540" s="2" t="n">
        <v>1</v>
      </c>
      <c r="E3540" s="3" t="inlineStr">
        <is>
          <t>FUCILE SEMIAUTOMATICO</t>
        </is>
      </c>
      <c r="F3540" s="3" t="inlineStr">
        <is>
          <t>12</t>
        </is>
      </c>
      <c r="G3540" s="84" t="inlineStr">
        <is>
          <t>BENELLI</t>
        </is>
      </c>
      <c r="H3540" s="107" t="inlineStr">
        <is>
          <t>MONTEFELTRO-22 SPORTING 30''</t>
        </is>
      </c>
      <c r="I3540" s="107" t="inlineStr">
        <is>
          <t>M0197668F</t>
        </is>
      </c>
      <c r="J3540" s="107" t="inlineStr">
        <is>
          <t>C1683459E</t>
        </is>
      </c>
      <c r="K3540" s="65" t="inlineStr">
        <is>
          <t>N/D</t>
        </is>
      </c>
      <c r="L3540" s="127" t="inlineStr">
        <is>
          <t>BENELLI ARMI SPA</t>
        </is>
      </c>
      <c r="M3540" s="5" t="n">
        <v>907</v>
      </c>
      <c r="N3540" s="5" t="n"/>
      <c r="O3540" s="5">
        <f>+M3540+N3540</f>
        <v/>
      </c>
      <c r="P3540" s="4" t="n">
        <v>46002</v>
      </c>
      <c r="Q3540" s="87" t="n">
        <v>46002</v>
      </c>
      <c r="R3540" s="5" t="n"/>
      <c r="S3540" s="2" t="n"/>
      <c r="T3540" s="3" t="n"/>
      <c r="U3540" s="87" t="n"/>
      <c r="V3540" s="3" t="n"/>
      <c r="W3540" s="108" t="n"/>
      <c r="X3540" s="4" t="n"/>
    </row>
    <row r="3541" ht="24" customHeight="1">
      <c r="A3541" s="2">
        <f>+D3541-S3541</f>
        <v/>
      </c>
      <c r="B3541" s="80" t="n">
        <v>5131</v>
      </c>
      <c r="C3541" s="66" t="n">
        <v>46003</v>
      </c>
      <c r="D3541" s="2" t="n">
        <v>1</v>
      </c>
      <c r="E3541" s="3" t="inlineStr">
        <is>
          <t>FUCILE SEMIAUTOMATICO</t>
        </is>
      </c>
      <c r="F3541" s="3" t="inlineStr">
        <is>
          <t>12</t>
        </is>
      </c>
      <c r="G3541" s="84" t="inlineStr">
        <is>
          <t>BENELLI</t>
        </is>
      </c>
      <c r="H3541" s="107" t="inlineStr">
        <is>
          <t>MONTEFELTRO-22 SPORTING 30''</t>
        </is>
      </c>
      <c r="I3541" s="107" t="inlineStr">
        <is>
          <t>M0197665C</t>
        </is>
      </c>
      <c r="J3541" s="107" t="inlineStr">
        <is>
          <t>C1683456B</t>
        </is>
      </c>
      <c r="K3541" s="65" t="inlineStr">
        <is>
          <t>N/D</t>
        </is>
      </c>
      <c r="L3541" s="127" t="inlineStr">
        <is>
          <t>BENELLI ARMI SPA</t>
        </is>
      </c>
      <c r="M3541" s="5" t="n">
        <v>907</v>
      </c>
      <c r="N3541" s="5" t="n"/>
      <c r="O3541" s="5">
        <f>+M3541+N3541</f>
        <v/>
      </c>
      <c r="P3541" s="4" t="n">
        <v>46002</v>
      </c>
      <c r="Q3541" s="87" t="n">
        <v>46002</v>
      </c>
      <c r="R3541" s="5" t="n"/>
      <c r="S3541" s="2" t="n"/>
      <c r="T3541" s="3" t="n"/>
      <c r="U3541" s="87" t="n"/>
      <c r="V3541" s="3" t="n"/>
      <c r="W3541" s="108" t="n"/>
      <c r="X3541" s="4" t="n"/>
    </row>
    <row r="3542" ht="24" customHeight="1">
      <c r="A3542" s="2">
        <f>+D3542-S3542</f>
        <v/>
      </c>
      <c r="B3542" s="80" t="n">
        <v>5132</v>
      </c>
      <c r="C3542" s="66" t="n">
        <v>46003</v>
      </c>
      <c r="D3542" s="2" t="n">
        <v>1</v>
      </c>
      <c r="E3542" s="3" t="inlineStr">
        <is>
          <t>FUCILE SEMIAUTOMATICO</t>
        </is>
      </c>
      <c r="F3542" s="3" t="inlineStr">
        <is>
          <t>12</t>
        </is>
      </c>
      <c r="G3542" s="84" t="inlineStr">
        <is>
          <t>BENELLI</t>
        </is>
      </c>
      <c r="H3542" s="107" t="inlineStr">
        <is>
          <t>RAFFAELLO BLACK 30''</t>
        </is>
      </c>
      <c r="I3542" s="107" t="inlineStr">
        <is>
          <t>F452102Z</t>
        </is>
      </c>
      <c r="J3542" s="107" t="inlineStr">
        <is>
          <t>C1687118A</t>
        </is>
      </c>
      <c r="K3542" s="65" t="inlineStr">
        <is>
          <t>N/D</t>
        </is>
      </c>
      <c r="L3542" s="127" t="inlineStr">
        <is>
          <t>BENELLI ARMI SPA</t>
        </is>
      </c>
      <c r="M3542" s="5" t="n">
        <v>1077</v>
      </c>
      <c r="N3542" s="5" t="n"/>
      <c r="O3542" s="5">
        <f>+M3542+N3542</f>
        <v/>
      </c>
      <c r="P3542" s="4" t="n">
        <v>46002</v>
      </c>
      <c r="Q3542" s="87" t="n">
        <v>46002</v>
      </c>
      <c r="R3542" s="5" t="n"/>
      <c r="S3542" s="2" t="n"/>
      <c r="T3542" s="3" t="n"/>
      <c r="U3542" s="87" t="n"/>
      <c r="V3542" s="3" t="n"/>
      <c r="W3542" s="108" t="n"/>
      <c r="X3542" s="4" t="n"/>
    </row>
    <row r="3543" ht="24" customHeight="1">
      <c r="A3543" s="2">
        <f>+D3543-S3543</f>
        <v/>
      </c>
      <c r="B3543" s="80" t="n">
        <v>5133</v>
      </c>
      <c r="C3543" s="66" t="n">
        <v>46003</v>
      </c>
      <c r="D3543" s="2" t="n">
        <v>1</v>
      </c>
      <c r="E3543" s="3" t="inlineStr">
        <is>
          <t>FUCILE SEMIAUTOMATICO</t>
        </is>
      </c>
      <c r="F3543" s="3" t="inlineStr">
        <is>
          <t>12</t>
        </is>
      </c>
      <c r="G3543" s="84" t="inlineStr">
        <is>
          <t>BENELLI</t>
        </is>
      </c>
      <c r="H3543" s="107" t="inlineStr">
        <is>
          <t>RAFFAELLO BLACK 30''</t>
        </is>
      </c>
      <c r="I3543" s="107" t="inlineStr">
        <is>
          <t>F452105G</t>
        </is>
      </c>
      <c r="J3543" s="107" t="inlineStr">
        <is>
          <t>C16871198</t>
        </is>
      </c>
      <c r="K3543" s="65" t="inlineStr">
        <is>
          <t>N/D</t>
        </is>
      </c>
      <c r="L3543" s="127" t="inlineStr">
        <is>
          <t>BENELLI ARMI SPA</t>
        </is>
      </c>
      <c r="M3543" s="5" t="n">
        <v>1077</v>
      </c>
      <c r="N3543" s="5" t="n"/>
      <c r="O3543" s="5">
        <f>+M3543+N3543</f>
        <v/>
      </c>
      <c r="P3543" s="4" t="n">
        <v>46002</v>
      </c>
      <c r="Q3543" s="87" t="n">
        <v>46002</v>
      </c>
      <c r="R3543" s="5" t="n"/>
      <c r="S3543" s="2" t="n"/>
      <c r="T3543" s="3" t="n"/>
      <c r="U3543" s="87" t="n"/>
      <c r="V3543" s="3" t="n"/>
      <c r="W3543" s="108" t="n"/>
      <c r="X3543" s="4" t="n"/>
    </row>
    <row r="3544" ht="24" customHeight="1">
      <c r="A3544" s="2">
        <f>+D3544-S3544</f>
        <v/>
      </c>
      <c r="B3544" s="80" t="n">
        <v>5134</v>
      </c>
      <c r="C3544" s="66" t="n">
        <v>46003</v>
      </c>
      <c r="D3544" s="2" t="n">
        <v>1</v>
      </c>
      <c r="E3544" s="3" t="inlineStr">
        <is>
          <t>FUCILE SEMIAUTOMATICO</t>
        </is>
      </c>
      <c r="F3544" s="3" t="inlineStr">
        <is>
          <t>12</t>
        </is>
      </c>
      <c r="G3544" s="84" t="inlineStr">
        <is>
          <t>BENELLI</t>
        </is>
      </c>
      <c r="H3544" s="107" t="inlineStr">
        <is>
          <t>RAFFAELLO BLACK 30''</t>
        </is>
      </c>
      <c r="I3544" s="107" t="inlineStr">
        <is>
          <t>F452101X</t>
        </is>
      </c>
      <c r="J3544" s="107" t="inlineStr">
        <is>
          <t>C1687117Z</t>
        </is>
      </c>
      <c r="K3544" s="65" t="inlineStr">
        <is>
          <t>N/D</t>
        </is>
      </c>
      <c r="L3544" s="127" t="inlineStr">
        <is>
          <t>BENELLI ARMI SPA</t>
        </is>
      </c>
      <c r="M3544" s="5" t="n">
        <v>1077</v>
      </c>
      <c r="N3544" s="5" t="n"/>
      <c r="O3544" s="5">
        <f>+M3544+N3544</f>
        <v/>
      </c>
      <c r="P3544" s="4" t="n">
        <v>46002</v>
      </c>
      <c r="Q3544" s="87" t="n">
        <v>46002</v>
      </c>
      <c r="R3544" s="5" t="n"/>
      <c r="S3544" s="2" t="n"/>
      <c r="T3544" s="3" t="n"/>
      <c r="U3544" s="87" t="n"/>
      <c r="V3544" s="3" t="n"/>
      <c r="W3544" s="108" t="n"/>
      <c r="X3544" s="4" t="n"/>
    </row>
    <row r="3545" ht="24" customHeight="1">
      <c r="A3545" s="2">
        <f>+D3545-S3545</f>
        <v/>
      </c>
      <c r="B3545" s="80" t="n">
        <v>5135</v>
      </c>
      <c r="C3545" s="66" t="n">
        <v>46003</v>
      </c>
      <c r="D3545" s="2" t="n">
        <v>1</v>
      </c>
      <c r="E3545" s="3" t="inlineStr">
        <is>
          <t>FUCILE SEMIAUTOMATICO</t>
        </is>
      </c>
      <c r="F3545" s="3" t="inlineStr">
        <is>
          <t>12</t>
        </is>
      </c>
      <c r="G3545" s="84" t="inlineStr">
        <is>
          <t>BENELLI</t>
        </is>
      </c>
      <c r="H3545" s="107" t="inlineStr">
        <is>
          <t>RAFFAELLO BLACK 30''</t>
        </is>
      </c>
      <c r="I3545" s="107" t="inlineStr">
        <is>
          <t>F452103B</t>
        </is>
      </c>
      <c r="J3545" s="107" t="inlineStr">
        <is>
          <t>C1687120U</t>
        </is>
      </c>
      <c r="K3545" s="65" t="inlineStr">
        <is>
          <t>N/D</t>
        </is>
      </c>
      <c r="L3545" s="127" t="inlineStr">
        <is>
          <t>BENELLI ARMI SPA</t>
        </is>
      </c>
      <c r="M3545" s="5" t="n">
        <v>1077</v>
      </c>
      <c r="N3545" s="5" t="n"/>
      <c r="O3545" s="5">
        <f>+M3545+N3545</f>
        <v/>
      </c>
      <c r="P3545" s="4" t="n">
        <v>46002</v>
      </c>
      <c r="Q3545" s="87" t="n">
        <v>46002</v>
      </c>
      <c r="R3545" s="5" t="n"/>
      <c r="S3545" s="2" t="n"/>
      <c r="T3545" s="3" t="n"/>
      <c r="U3545" s="87" t="n"/>
      <c r="V3545" s="3" t="n"/>
      <c r="W3545" s="108" t="n"/>
      <c r="X3545" s="4" t="n"/>
    </row>
    <row r="3546" ht="24" customHeight="1">
      <c r="A3546" s="2">
        <f>+D3546-S3546</f>
        <v/>
      </c>
      <c r="B3546" s="80" t="n">
        <v>5136</v>
      </c>
      <c r="C3546" s="66" t="n">
        <v>46003</v>
      </c>
      <c r="D3546" s="2" t="n">
        <v>1</v>
      </c>
      <c r="E3546" s="3" t="inlineStr">
        <is>
          <t>FUCILE SEMIAUTOMATICO</t>
        </is>
      </c>
      <c r="F3546" s="3" t="inlineStr">
        <is>
          <t>12</t>
        </is>
      </c>
      <c r="G3546" s="84" t="inlineStr">
        <is>
          <t>BENELLI</t>
        </is>
      </c>
      <c r="H3546" s="107" t="inlineStr">
        <is>
          <t>BLACK EAGLE MAX7 30''</t>
        </is>
      </c>
      <c r="I3546" s="107" t="inlineStr">
        <is>
          <t>F453153H</t>
        </is>
      </c>
      <c r="J3546" s="107" t="inlineStr">
        <is>
          <t>C1689479X</t>
        </is>
      </c>
      <c r="K3546" s="65" t="inlineStr">
        <is>
          <t>N/D</t>
        </is>
      </c>
      <c r="L3546" s="127" t="inlineStr">
        <is>
          <t>BENELLI ARMI SPA</t>
        </is>
      </c>
      <c r="M3546" s="5" t="n">
        <v>1218</v>
      </c>
      <c r="N3546" s="5" t="n"/>
      <c r="O3546" s="5">
        <f>+M3546+N3546</f>
        <v/>
      </c>
      <c r="P3546" s="4" t="n">
        <v>46002</v>
      </c>
      <c r="Q3546" s="87" t="n">
        <v>46002</v>
      </c>
      <c r="R3546" s="5" t="n"/>
      <c r="S3546" s="2" t="n"/>
      <c r="T3546" s="3" t="n"/>
      <c r="U3546" s="87" t="n"/>
      <c r="V3546" s="3" t="n"/>
      <c r="W3546" s="108" t="n"/>
      <c r="X3546" s="4" t="n"/>
    </row>
    <row r="3547" ht="24" customHeight="1">
      <c r="A3547" s="2">
        <f>+D3547-S3547</f>
        <v/>
      </c>
      <c r="B3547" s="80" t="n">
        <v>5137</v>
      </c>
      <c r="C3547" s="66" t="n">
        <v>46003</v>
      </c>
      <c r="D3547" s="2" t="n">
        <v>1</v>
      </c>
      <c r="E3547" s="3" t="inlineStr">
        <is>
          <t>FUCILE SEMIAUTOMATICO</t>
        </is>
      </c>
      <c r="F3547" s="3" t="inlineStr">
        <is>
          <t>12</t>
        </is>
      </c>
      <c r="G3547" s="84" t="inlineStr">
        <is>
          <t>BENELLI</t>
        </is>
      </c>
      <c r="H3547" s="107" t="inlineStr">
        <is>
          <t>BLACK EAGLE MAX7 30''</t>
        </is>
      </c>
      <c r="I3547" s="107" t="inlineStr">
        <is>
          <t>F453152F</t>
        </is>
      </c>
      <c r="J3547" s="107" t="inlineStr">
        <is>
          <t>C1689486W</t>
        </is>
      </c>
      <c r="K3547" s="65" t="inlineStr">
        <is>
          <t>N/D</t>
        </is>
      </c>
      <c r="L3547" s="127" t="inlineStr">
        <is>
          <t>BENELLI ARMI SPA</t>
        </is>
      </c>
      <c r="M3547" s="5" t="n">
        <v>1218</v>
      </c>
      <c r="N3547" s="5" t="n"/>
      <c r="O3547" s="5">
        <f>+M3547+N3547</f>
        <v/>
      </c>
      <c r="P3547" s="4" t="n">
        <v>46002</v>
      </c>
      <c r="Q3547" s="87" t="n">
        <v>46002</v>
      </c>
      <c r="R3547" s="5" t="n"/>
      <c r="S3547" s="2" t="n"/>
      <c r="T3547" s="3" t="n"/>
      <c r="U3547" s="87" t="n"/>
      <c r="V3547" s="3" t="n"/>
      <c r="W3547" s="108" t="n"/>
      <c r="X3547" s="4" t="n"/>
    </row>
    <row r="3548" ht="24" customHeight="1">
      <c r="A3548" s="2">
        <f>+D3548-S3548</f>
        <v/>
      </c>
      <c r="B3548" s="80" t="n">
        <v>5138</v>
      </c>
      <c r="C3548" s="66" t="n">
        <v>46003</v>
      </c>
      <c r="D3548" s="2" t="n">
        <v>1</v>
      </c>
      <c r="E3548" s="3" t="inlineStr">
        <is>
          <t>FUCILE SEMIAUTOMATICO</t>
        </is>
      </c>
      <c r="F3548" s="3" t="inlineStr">
        <is>
          <t>12</t>
        </is>
      </c>
      <c r="G3548" s="84" t="inlineStr">
        <is>
          <t>BENELLI</t>
        </is>
      </c>
      <c r="H3548" s="107" t="inlineStr">
        <is>
          <t>BLACK EAGLE MAX7 30''</t>
        </is>
      </c>
      <c r="I3548" s="107" t="inlineStr">
        <is>
          <t>F453151D</t>
        </is>
      </c>
      <c r="J3548" s="107" t="inlineStr">
        <is>
          <t>C1689473R</t>
        </is>
      </c>
      <c r="K3548" s="65" t="inlineStr">
        <is>
          <t>N/D</t>
        </is>
      </c>
      <c r="L3548" s="127" t="inlineStr">
        <is>
          <t>BENELLI ARMI SPA</t>
        </is>
      </c>
      <c r="M3548" s="5" t="n">
        <v>1218</v>
      </c>
      <c r="N3548" s="5" t="n"/>
      <c r="O3548" s="5">
        <f>+M3548+N3548</f>
        <v/>
      </c>
      <c r="P3548" s="4" t="n">
        <v>46002</v>
      </c>
      <c r="Q3548" s="87" t="n">
        <v>46002</v>
      </c>
      <c r="R3548" s="5" t="n"/>
      <c r="S3548" s="2" t="n"/>
      <c r="T3548" s="3" t="n"/>
      <c r="U3548" s="87" t="n"/>
      <c r="V3548" s="3" t="n"/>
      <c r="W3548" s="108" t="n"/>
      <c r="X3548" s="4" t="n"/>
    </row>
    <row r="3549" ht="24" customHeight="1">
      <c r="A3549" s="2">
        <f>+D3549-S3549</f>
        <v/>
      </c>
      <c r="B3549" s="80" t="n">
        <v>5139</v>
      </c>
      <c r="C3549" s="66" t="n">
        <v>46003</v>
      </c>
      <c r="D3549" s="2" t="n">
        <v>1</v>
      </c>
      <c r="E3549" s="3" t="inlineStr">
        <is>
          <t>FUCILE SEMIAUTOMATICO</t>
        </is>
      </c>
      <c r="F3549" s="3" t="inlineStr">
        <is>
          <t>12</t>
        </is>
      </c>
      <c r="G3549" s="84" t="inlineStr">
        <is>
          <t>BENELLI</t>
        </is>
      </c>
      <c r="H3549" s="107" t="inlineStr">
        <is>
          <t>BLACK EAGLE MAX7 30''</t>
        </is>
      </c>
      <c r="I3549" s="107" t="inlineStr">
        <is>
          <t>F453150B</t>
        </is>
      </c>
      <c r="J3549" s="107" t="inlineStr">
        <is>
          <t>C1689478W</t>
        </is>
      </c>
      <c r="K3549" s="65" t="inlineStr">
        <is>
          <t>N/D</t>
        </is>
      </c>
      <c r="L3549" s="127" t="inlineStr">
        <is>
          <t>BENELLI ARMI SPA</t>
        </is>
      </c>
      <c r="M3549" s="5" t="n">
        <v>1218</v>
      </c>
      <c r="N3549" s="5" t="n"/>
      <c r="O3549" s="5">
        <f>+M3549+N3549</f>
        <v/>
      </c>
      <c r="P3549" s="4" t="n">
        <v>46002</v>
      </c>
      <c r="Q3549" s="87" t="n">
        <v>46002</v>
      </c>
      <c r="R3549" s="5" t="n"/>
      <c r="S3549" s="2" t="n"/>
      <c r="T3549" s="3" t="n"/>
      <c r="U3549" s="87" t="n"/>
      <c r="V3549" s="3" t="n"/>
      <c r="W3549" s="108" t="n"/>
      <c r="X3549" s="4" t="n"/>
    </row>
    <row r="3550" ht="24" customHeight="1">
      <c r="A3550" s="2">
        <f>+D3550-S3550</f>
        <v/>
      </c>
      <c r="B3550" s="80" t="n">
        <v>5140</v>
      </c>
      <c r="C3550" s="66" t="n">
        <v>46003</v>
      </c>
      <c r="D3550" s="2" t="n">
        <v>1</v>
      </c>
      <c r="E3550" s="3" t="inlineStr">
        <is>
          <t>FUCILE SEMIAUTOMATICO</t>
        </is>
      </c>
      <c r="F3550" s="3" t="inlineStr">
        <is>
          <t>12</t>
        </is>
      </c>
      <c r="G3550" s="84" t="inlineStr">
        <is>
          <t>BENELLI</t>
        </is>
      </c>
      <c r="H3550" s="107" t="inlineStr">
        <is>
          <t>RAFFAELLO BLACK 30''</t>
        </is>
      </c>
      <c r="I3550" s="107" t="inlineStr">
        <is>
          <t>F451207M</t>
        </is>
      </c>
      <c r="J3550" s="107" t="inlineStr">
        <is>
          <t>C1684997T</t>
        </is>
      </c>
      <c r="K3550" s="65" t="inlineStr">
        <is>
          <t>N/D</t>
        </is>
      </c>
      <c r="L3550" s="127" t="inlineStr">
        <is>
          <t>BENELLI ARMI SPA</t>
        </is>
      </c>
      <c r="M3550" s="5" t="n">
        <v>1077</v>
      </c>
      <c r="N3550" s="5" t="n"/>
      <c r="O3550" s="5">
        <f>+M3550+N3550</f>
        <v/>
      </c>
      <c r="P3550" s="4" t="n">
        <v>46002</v>
      </c>
      <c r="Q3550" s="87" t="n">
        <v>46002</v>
      </c>
      <c r="R3550" s="5" t="n"/>
      <c r="S3550" s="2" t="n"/>
      <c r="T3550" s="3" t="n"/>
      <c r="U3550" s="87" t="n"/>
      <c r="V3550" s="3" t="n"/>
      <c r="W3550" s="108" t="n"/>
      <c r="X3550" s="4" t="n"/>
    </row>
    <row r="3551" ht="24" customHeight="1">
      <c r="A3551" s="2">
        <f>+D3551-S3551</f>
        <v/>
      </c>
      <c r="B3551" s="80" t="n">
        <v>5141</v>
      </c>
      <c r="C3551" s="66" t="n">
        <v>46003</v>
      </c>
      <c r="D3551" s="2" t="n">
        <v>1</v>
      </c>
      <c r="E3551" s="3" t="inlineStr">
        <is>
          <t>FUCILE SEMIAUTOMATICO</t>
        </is>
      </c>
      <c r="F3551" s="3" t="inlineStr">
        <is>
          <t>12</t>
        </is>
      </c>
      <c r="G3551" s="84" t="inlineStr">
        <is>
          <t>BENELLI</t>
        </is>
      </c>
      <c r="H3551" s="107" t="inlineStr">
        <is>
          <t>RAFFAELLO BLACK 30''</t>
        </is>
      </c>
      <c r="I3551" s="107" t="inlineStr">
        <is>
          <t>F451208P</t>
        </is>
      </c>
      <c r="J3551" s="107" t="inlineStr">
        <is>
          <t>C1685001L</t>
        </is>
      </c>
      <c r="K3551" s="65" t="inlineStr">
        <is>
          <t>N/D</t>
        </is>
      </c>
      <c r="L3551" s="127" t="inlineStr">
        <is>
          <t>BENELLI ARMI SPA</t>
        </is>
      </c>
      <c r="M3551" s="5" t="n">
        <v>1077</v>
      </c>
      <c r="N3551" s="5" t="n"/>
      <c r="O3551" s="5">
        <f>+M3551+N3551</f>
        <v/>
      </c>
      <c r="P3551" s="4" t="n">
        <v>46002</v>
      </c>
      <c r="Q3551" s="87" t="n">
        <v>46002</v>
      </c>
      <c r="R3551" s="5" t="n"/>
      <c r="S3551" s="2" t="n"/>
      <c r="T3551" s="3" t="n"/>
      <c r="U3551" s="87" t="n"/>
      <c r="V3551" s="3" t="n"/>
      <c r="W3551" s="108" t="n"/>
      <c r="X3551" s="4" t="n"/>
    </row>
    <row r="3552" ht="24" customHeight="1">
      <c r="A3552" s="2">
        <f>+D3552-S3552</f>
        <v/>
      </c>
      <c r="B3552" s="80" t="n">
        <v>5142</v>
      </c>
      <c r="C3552" s="66" t="n">
        <v>46003</v>
      </c>
      <c r="D3552" s="2" t="n">
        <v>1</v>
      </c>
      <c r="E3552" s="3" t="inlineStr">
        <is>
          <t>FUCILE SEMIAUTOMATICO</t>
        </is>
      </c>
      <c r="F3552" s="3" t="inlineStr">
        <is>
          <t>12</t>
        </is>
      </c>
      <c r="G3552" s="84" t="inlineStr">
        <is>
          <t>BENELLI</t>
        </is>
      </c>
      <c r="H3552" s="107" t="inlineStr">
        <is>
          <t>RAFFAELLO BLACK 30''</t>
        </is>
      </c>
      <c r="I3552" s="107" t="inlineStr">
        <is>
          <t>F451210X</t>
        </is>
      </c>
      <c r="J3552" s="107" t="inlineStr">
        <is>
          <t>C1684999V</t>
        </is>
      </c>
      <c r="K3552" s="65" t="inlineStr">
        <is>
          <t>N/D</t>
        </is>
      </c>
      <c r="L3552" s="127" t="inlineStr">
        <is>
          <t>BENELLI ARMI SPA</t>
        </is>
      </c>
      <c r="M3552" s="5" t="n">
        <v>1077</v>
      </c>
      <c r="N3552" s="5" t="n"/>
      <c r="O3552" s="5">
        <f>+M3552+N3552</f>
        <v/>
      </c>
      <c r="P3552" s="4" t="n">
        <v>46002</v>
      </c>
      <c r="Q3552" s="87" t="n">
        <v>46002</v>
      </c>
      <c r="R3552" s="5" t="n"/>
      <c r="S3552" s="2" t="n"/>
      <c r="T3552" s="3" t="n"/>
      <c r="U3552" s="87" t="n"/>
      <c r="V3552" s="3" t="n"/>
      <c r="W3552" s="108" t="n"/>
      <c r="X3552" s="4" t="n"/>
    </row>
    <row r="3553" ht="24" customHeight="1">
      <c r="A3553" s="2">
        <f>+D3553-S3553</f>
        <v/>
      </c>
      <c r="B3553" s="80" t="n">
        <v>5143</v>
      </c>
      <c r="C3553" s="66" t="n">
        <v>46003</v>
      </c>
      <c r="D3553" s="2" t="n">
        <v>1</v>
      </c>
      <c r="E3553" s="3" t="inlineStr">
        <is>
          <t>FUCILE SEMIAUTOMATICO</t>
        </is>
      </c>
      <c r="F3553" s="3" t="inlineStr">
        <is>
          <t>12</t>
        </is>
      </c>
      <c r="G3553" s="84" t="inlineStr">
        <is>
          <t>BENELLI</t>
        </is>
      </c>
      <c r="H3553" s="107" t="inlineStr">
        <is>
          <t>RAFFAELLO BLACK 30''</t>
        </is>
      </c>
      <c r="I3553" s="107" t="inlineStr">
        <is>
          <t>F451216L</t>
        </is>
      </c>
      <c r="J3553" s="107" t="inlineStr">
        <is>
          <t>C1684979R</t>
        </is>
      </c>
      <c r="K3553" s="65" t="inlineStr">
        <is>
          <t>N/D</t>
        </is>
      </c>
      <c r="L3553" s="127" t="inlineStr">
        <is>
          <t>BENELLI ARMI SPA</t>
        </is>
      </c>
      <c r="M3553" s="5" t="n">
        <v>1077</v>
      </c>
      <c r="N3553" s="5" t="n"/>
      <c r="O3553" s="5">
        <f>+M3553+N3553</f>
        <v/>
      </c>
      <c r="P3553" s="4" t="n">
        <v>46002</v>
      </c>
      <c r="Q3553" s="87" t="n">
        <v>46002</v>
      </c>
      <c r="R3553" s="5" t="n"/>
      <c r="S3553" s="2" t="n"/>
      <c r="T3553" s="3" t="n"/>
      <c r="U3553" s="87" t="n"/>
      <c r="V3553" s="3" t="n"/>
      <c r="W3553" s="108" t="n"/>
      <c r="X3553" s="4" t="n"/>
    </row>
    <row r="3554" ht="24" customHeight="1">
      <c r="A3554" s="2">
        <f>+D3554-S3554</f>
        <v/>
      </c>
      <c r="B3554" s="80" t="n">
        <v>5144</v>
      </c>
      <c r="C3554" s="66" t="n">
        <v>46003</v>
      </c>
      <c r="D3554" s="2" t="n">
        <v>1</v>
      </c>
      <c r="E3554" s="3" t="inlineStr">
        <is>
          <t>FUCILE SEMIAUTOMATICO</t>
        </is>
      </c>
      <c r="F3554" s="3" t="inlineStr">
        <is>
          <t>12</t>
        </is>
      </c>
      <c r="G3554" s="84" t="inlineStr">
        <is>
          <t>BENELLI</t>
        </is>
      </c>
      <c r="H3554" s="107" t="inlineStr">
        <is>
          <t>MONTEFELTRO BLACK 30''</t>
        </is>
      </c>
      <c r="I3554" s="107" t="inlineStr">
        <is>
          <t>M0148700G</t>
        </is>
      </c>
      <c r="J3554" s="107" t="inlineStr">
        <is>
          <t>C1593770B</t>
        </is>
      </c>
      <c r="K3554" s="65" t="inlineStr">
        <is>
          <t>N/D</t>
        </is>
      </c>
      <c r="L3554" s="127" t="inlineStr">
        <is>
          <t>BENELLI ARMI SPA</t>
        </is>
      </c>
      <c r="M3554" s="5" t="n">
        <v>751</v>
      </c>
      <c r="N3554" s="5" t="n"/>
      <c r="O3554" s="5">
        <f>+M3554+N3554</f>
        <v/>
      </c>
      <c r="P3554" s="4" t="n">
        <v>46002</v>
      </c>
      <c r="Q3554" s="87" t="n">
        <v>46002</v>
      </c>
      <c r="R3554" s="5" t="n"/>
      <c r="S3554" s="2" t="n"/>
      <c r="T3554" s="3" t="n"/>
      <c r="U3554" s="87" t="n"/>
      <c r="V3554" s="3" t="n"/>
      <c r="W3554" s="108" t="n"/>
      <c r="X3554" s="4" t="n"/>
    </row>
    <row r="3555" ht="24" customHeight="1">
      <c r="A3555" s="2">
        <f>+D3555-S3555</f>
        <v/>
      </c>
      <c r="B3555" s="80" t="n">
        <v>5145</v>
      </c>
      <c r="C3555" s="66" t="n">
        <v>46003</v>
      </c>
      <c r="D3555" s="2" t="n">
        <v>1</v>
      </c>
      <c r="E3555" s="3" t="inlineStr">
        <is>
          <t>FUCILE SEMIAUTOMATICO</t>
        </is>
      </c>
      <c r="F3555" s="3" t="inlineStr">
        <is>
          <t>12</t>
        </is>
      </c>
      <c r="G3555" s="84" t="inlineStr">
        <is>
          <t>BENELLI</t>
        </is>
      </c>
      <c r="H3555" s="107" t="inlineStr">
        <is>
          <t>MONTEFELTRO BLACK 30''</t>
        </is>
      </c>
      <c r="I3555" s="107" t="inlineStr">
        <is>
          <t>M0148701H</t>
        </is>
      </c>
      <c r="J3555" s="107" t="inlineStr">
        <is>
          <t>C1593772D</t>
        </is>
      </c>
      <c r="K3555" s="65" t="inlineStr">
        <is>
          <t>N/D</t>
        </is>
      </c>
      <c r="L3555" s="127" t="inlineStr">
        <is>
          <t>BENELLI ARMI SPA</t>
        </is>
      </c>
      <c r="M3555" s="5" t="n">
        <v>751</v>
      </c>
      <c r="N3555" s="5" t="n"/>
      <c r="O3555" s="5">
        <f>+M3555+N3555</f>
        <v/>
      </c>
      <c r="P3555" s="4" t="n">
        <v>46002</v>
      </c>
      <c r="Q3555" s="87" t="n">
        <v>46002</v>
      </c>
      <c r="R3555" s="5" t="n"/>
      <c r="S3555" s="2" t="n"/>
      <c r="T3555" s="3" t="n"/>
      <c r="U3555" s="87" t="n"/>
      <c r="V3555" s="3" t="n"/>
      <c r="W3555" s="108" t="n"/>
      <c r="X3555" s="4" t="n"/>
    </row>
    <row r="3556" ht="24" customHeight="1">
      <c r="A3556" s="2">
        <f>+D3556-S3556</f>
        <v/>
      </c>
      <c r="B3556" s="80" t="n">
        <v>5146</v>
      </c>
      <c r="C3556" s="66" t="n">
        <v>46003</v>
      </c>
      <c r="D3556" s="2" t="n">
        <v>1</v>
      </c>
      <c r="E3556" s="3" t="inlineStr">
        <is>
          <t>FUCILE SEMIAUTOMATICO</t>
        </is>
      </c>
      <c r="F3556" s="3" t="inlineStr">
        <is>
          <t>12</t>
        </is>
      </c>
      <c r="G3556" s="84" t="inlineStr">
        <is>
          <t>BENELLI</t>
        </is>
      </c>
      <c r="H3556" s="107" t="inlineStr">
        <is>
          <t>MONTEFELTRO BLACK 30''</t>
        </is>
      </c>
      <c r="I3556" s="107" t="inlineStr">
        <is>
          <t>M0148702J</t>
        </is>
      </c>
      <c r="J3556" s="107" t="inlineStr">
        <is>
          <t>C1593748C</t>
        </is>
      </c>
      <c r="K3556" s="65" t="inlineStr">
        <is>
          <t>N/D</t>
        </is>
      </c>
      <c r="L3556" s="127" t="inlineStr">
        <is>
          <t>BENELLI ARMI SPA</t>
        </is>
      </c>
      <c r="M3556" s="5" t="n">
        <v>751</v>
      </c>
      <c r="N3556" s="5" t="n"/>
      <c r="O3556" s="5">
        <f>+M3556+N3556</f>
        <v/>
      </c>
      <c r="P3556" s="4" t="n">
        <v>46002</v>
      </c>
      <c r="Q3556" s="87" t="n">
        <v>46002</v>
      </c>
      <c r="R3556" s="5" t="n"/>
      <c r="S3556" s="2" t="n"/>
      <c r="T3556" s="3" t="n"/>
      <c r="U3556" s="87" t="n"/>
      <c r="V3556" s="3" t="n"/>
      <c r="W3556" s="108" t="n"/>
      <c r="X3556" s="4" t="n"/>
    </row>
    <row r="3557" ht="24" customHeight="1">
      <c r="A3557" s="2">
        <f>+D3557-S3557</f>
        <v/>
      </c>
      <c r="B3557" s="80" t="n">
        <v>5147</v>
      </c>
      <c r="C3557" s="66" t="n">
        <v>46003</v>
      </c>
      <c r="D3557" s="2" t="n">
        <v>1</v>
      </c>
      <c r="E3557" s="3" t="inlineStr">
        <is>
          <t>FUCILE SEMIAUTOMATICO</t>
        </is>
      </c>
      <c r="F3557" s="3" t="inlineStr">
        <is>
          <t>12</t>
        </is>
      </c>
      <c r="G3557" s="84" t="inlineStr">
        <is>
          <t>BENELLI</t>
        </is>
      </c>
      <c r="H3557" s="107" t="inlineStr">
        <is>
          <t>MONTEFELTRO BLACK 30''</t>
        </is>
      </c>
      <c r="I3557" s="107" t="inlineStr">
        <is>
          <t>M0148725R</t>
        </is>
      </c>
      <c r="J3557" s="107" t="inlineStr">
        <is>
          <t>C1593725V</t>
        </is>
      </c>
      <c r="K3557" s="65" t="inlineStr">
        <is>
          <t>N/D</t>
        </is>
      </c>
      <c r="L3557" s="127" t="inlineStr">
        <is>
          <t>BENELLI ARMI SPA</t>
        </is>
      </c>
      <c r="M3557" s="5" t="n">
        <v>751</v>
      </c>
      <c r="N3557" s="5" t="n"/>
      <c r="O3557" s="5">
        <f>+M3557+N3557</f>
        <v/>
      </c>
      <c r="P3557" s="4" t="n">
        <v>46002</v>
      </c>
      <c r="Q3557" s="87" t="n">
        <v>46002</v>
      </c>
      <c r="R3557" s="5" t="n"/>
      <c r="S3557" s="2" t="n"/>
      <c r="T3557" s="3" t="n"/>
      <c r="U3557" s="87" t="n"/>
      <c r="V3557" s="3" t="n"/>
      <c r="W3557" s="108" t="n"/>
      <c r="X3557" s="4" t="n"/>
    </row>
    <row r="3558" ht="24" customHeight="1">
      <c r="A3558" s="2">
        <f>+D3558-S3558</f>
        <v/>
      </c>
      <c r="B3558" s="80" t="n">
        <v>5148</v>
      </c>
      <c r="C3558" s="66" t="n">
        <v>46003</v>
      </c>
      <c r="D3558" s="2" t="n">
        <v>1</v>
      </c>
      <c r="E3558" s="3" t="inlineStr">
        <is>
          <t>FUCILE SEMIAUTOMATICO</t>
        </is>
      </c>
      <c r="F3558" s="3" t="inlineStr">
        <is>
          <t>12</t>
        </is>
      </c>
      <c r="G3558" s="84" t="inlineStr">
        <is>
          <t>BENELLI</t>
        </is>
      </c>
      <c r="H3558" s="107" t="inlineStr">
        <is>
          <t>MONTEFELTRO BLACK 30''</t>
        </is>
      </c>
      <c r="I3558" s="107" t="inlineStr">
        <is>
          <t>M0148704L</t>
        </is>
      </c>
      <c r="J3558" s="107" t="inlineStr">
        <is>
          <t>C1593747B</t>
        </is>
      </c>
      <c r="K3558" s="65" t="inlineStr">
        <is>
          <t>N/D</t>
        </is>
      </c>
      <c r="L3558" s="127" t="inlineStr">
        <is>
          <t>BENELLI ARMI SPA</t>
        </is>
      </c>
      <c r="M3558" s="5" t="n">
        <v>751</v>
      </c>
      <c r="N3558" s="5" t="n"/>
      <c r="O3558" s="5">
        <f>+M3558+N3558</f>
        <v/>
      </c>
      <c r="P3558" s="4" t="n">
        <v>46002</v>
      </c>
      <c r="Q3558" s="87" t="n">
        <v>46002</v>
      </c>
      <c r="R3558" s="5" t="n"/>
      <c r="S3558" s="2" t="n"/>
      <c r="T3558" s="3" t="n"/>
      <c r="U3558" s="87" t="n"/>
      <c r="V3558" s="3" t="n"/>
      <c r="W3558" s="108" t="n"/>
      <c r="X3558" s="4" t="n"/>
    </row>
    <row r="3559" ht="24" customHeight="1">
      <c r="A3559" s="2">
        <f>+D3559-S3559</f>
        <v/>
      </c>
      <c r="B3559" s="80" t="n">
        <v>5149</v>
      </c>
      <c r="C3559" s="66" t="n">
        <v>46003</v>
      </c>
      <c r="D3559" s="2" t="n">
        <v>1</v>
      </c>
      <c r="E3559" s="3" t="inlineStr">
        <is>
          <t>FUCILE SEMIAUTOMATICO</t>
        </is>
      </c>
      <c r="F3559" s="3" t="inlineStr">
        <is>
          <t>12</t>
        </is>
      </c>
      <c r="G3559" s="84" t="inlineStr">
        <is>
          <t>BENELLI</t>
        </is>
      </c>
      <c r="H3559" s="107" t="inlineStr">
        <is>
          <t>MONTEFELTRO BLACK 30''</t>
        </is>
      </c>
      <c r="I3559" s="107" t="inlineStr">
        <is>
          <t>M0148681Z</t>
        </is>
      </c>
      <c r="J3559" s="107" t="inlineStr">
        <is>
          <t>C1593728Y</t>
        </is>
      </c>
      <c r="K3559" s="65" t="inlineStr">
        <is>
          <t>N/D</t>
        </is>
      </c>
      <c r="L3559" s="127" t="inlineStr">
        <is>
          <t>BENELLI ARMI SPA</t>
        </is>
      </c>
      <c r="M3559" s="5" t="n">
        <v>751</v>
      </c>
      <c r="N3559" s="5" t="n"/>
      <c r="O3559" s="5">
        <f>+M3559+N3559</f>
        <v/>
      </c>
      <c r="P3559" s="4" t="n">
        <v>46002</v>
      </c>
      <c r="Q3559" s="87" t="n">
        <v>46002</v>
      </c>
      <c r="R3559" s="5" t="n"/>
      <c r="S3559" s="2" t="n"/>
      <c r="T3559" s="3" t="n"/>
      <c r="U3559" s="87" t="n"/>
      <c r="V3559" s="3" t="n"/>
      <c r="W3559" s="108" t="n"/>
      <c r="X3559" s="4" t="n"/>
    </row>
    <row r="3560" ht="24" customHeight="1">
      <c r="A3560" s="2">
        <f>+D3560-S3560</f>
        <v/>
      </c>
      <c r="B3560" s="80" t="n">
        <v>5150</v>
      </c>
      <c r="C3560" s="66" t="n">
        <v>46003</v>
      </c>
      <c r="D3560" s="2" t="n">
        <v>1</v>
      </c>
      <c r="E3560" s="3" t="inlineStr">
        <is>
          <t>FUCILE SEMIAUTOMATICO</t>
        </is>
      </c>
      <c r="F3560" s="3" t="inlineStr">
        <is>
          <t>12</t>
        </is>
      </c>
      <c r="G3560" s="84" t="inlineStr">
        <is>
          <t>BENELLI</t>
        </is>
      </c>
      <c r="H3560" s="107" t="inlineStr">
        <is>
          <t>MONTEFELTRO BLACK 30''</t>
        </is>
      </c>
      <c r="I3560" s="107" t="inlineStr">
        <is>
          <t>M0148680Y</t>
        </is>
      </c>
      <c r="J3560" s="107" t="inlineStr">
        <is>
          <t>C1593721R</t>
        </is>
      </c>
      <c r="K3560" s="65" t="inlineStr">
        <is>
          <t>N/D</t>
        </is>
      </c>
      <c r="L3560" s="127" t="inlineStr">
        <is>
          <t>BENELLI ARMI SPA</t>
        </is>
      </c>
      <c r="M3560" s="5" t="n">
        <v>751</v>
      </c>
      <c r="N3560" s="5" t="n"/>
      <c r="O3560" s="5">
        <f>+M3560+N3560</f>
        <v/>
      </c>
      <c r="P3560" s="4" t="n">
        <v>46002</v>
      </c>
      <c r="Q3560" s="87" t="n">
        <v>46002</v>
      </c>
      <c r="R3560" s="5" t="n"/>
      <c r="S3560" s="2" t="n"/>
      <c r="T3560" s="3" t="n"/>
      <c r="U3560" s="87" t="n"/>
      <c r="V3560" s="3" t="n"/>
      <c r="W3560" s="108" t="n"/>
      <c r="X3560" s="4" t="n"/>
    </row>
    <row r="3561" ht="24" customHeight="1">
      <c r="A3561" s="2">
        <f>+D3561-S3561</f>
        <v/>
      </c>
      <c r="B3561" s="80" t="n">
        <v>5151</v>
      </c>
      <c r="C3561" s="66" t="n">
        <v>46003</v>
      </c>
      <c r="D3561" s="2" t="n">
        <v>1</v>
      </c>
      <c r="E3561" s="3" t="inlineStr">
        <is>
          <t>FUCILE SEMIAUTOMATICO</t>
        </is>
      </c>
      <c r="F3561" s="3" t="inlineStr">
        <is>
          <t>12</t>
        </is>
      </c>
      <c r="G3561" s="84" t="inlineStr">
        <is>
          <t>BENELLI</t>
        </is>
      </c>
      <c r="H3561" s="107" t="inlineStr">
        <is>
          <t>MONTEFELTRO BLACK 30''</t>
        </is>
      </c>
      <c r="I3561" s="107" t="inlineStr">
        <is>
          <t>M0148683B</t>
        </is>
      </c>
      <c r="J3561" s="107" t="inlineStr">
        <is>
          <t>C1593720Q</t>
        </is>
      </c>
      <c r="K3561" s="65" t="inlineStr">
        <is>
          <t>N/D</t>
        </is>
      </c>
      <c r="L3561" s="127" t="inlineStr">
        <is>
          <t>BENELLI ARMI SPA</t>
        </is>
      </c>
      <c r="M3561" s="5" t="n">
        <v>751</v>
      </c>
      <c r="N3561" s="5" t="n"/>
      <c r="O3561" s="5">
        <f>+M3561+N3561</f>
        <v/>
      </c>
      <c r="P3561" s="4" t="n">
        <v>46002</v>
      </c>
      <c r="Q3561" s="87" t="n">
        <v>46002</v>
      </c>
      <c r="R3561" s="5" t="n"/>
      <c r="S3561" s="2" t="n"/>
      <c r="T3561" s="3" t="n"/>
      <c r="U3561" s="87" t="n"/>
      <c r="V3561" s="3" t="n"/>
      <c r="W3561" s="108" t="n"/>
      <c r="X3561" s="4" t="n"/>
    </row>
    <row r="3562" ht="24" customHeight="1">
      <c r="A3562" s="2">
        <f>+D3562-S3562</f>
        <v/>
      </c>
      <c r="B3562" s="80" t="n">
        <v>5152</v>
      </c>
      <c r="C3562" s="66" t="n">
        <v>46003</v>
      </c>
      <c r="D3562" s="2" t="n">
        <v>1</v>
      </c>
      <c r="E3562" s="3" t="inlineStr">
        <is>
          <t>FUCILE SEMIAUTOMATICO</t>
        </is>
      </c>
      <c r="F3562" s="3" t="inlineStr">
        <is>
          <t>12</t>
        </is>
      </c>
      <c r="G3562" s="84" t="inlineStr">
        <is>
          <t>BENELLI</t>
        </is>
      </c>
      <c r="H3562" s="107" t="inlineStr">
        <is>
          <t>MONTEFELTRO BLACK 30''</t>
        </is>
      </c>
      <c r="I3562" s="107" t="inlineStr">
        <is>
          <t>M0148684C</t>
        </is>
      </c>
      <c r="J3562" s="107" t="inlineStr">
        <is>
          <t>C1593722S</t>
        </is>
      </c>
      <c r="K3562" s="65" t="inlineStr">
        <is>
          <t>N/D</t>
        </is>
      </c>
      <c r="L3562" s="127" t="inlineStr">
        <is>
          <t>BENELLI ARMI SPA</t>
        </is>
      </c>
      <c r="M3562" s="5" t="n">
        <v>751</v>
      </c>
      <c r="N3562" s="5" t="n"/>
      <c r="O3562" s="5">
        <f>+M3562+N3562</f>
        <v/>
      </c>
      <c r="P3562" s="4" t="n">
        <v>46002</v>
      </c>
      <c r="Q3562" s="87" t="n">
        <v>46002</v>
      </c>
      <c r="R3562" s="5" t="n"/>
      <c r="S3562" s="2" t="n"/>
      <c r="T3562" s="3" t="n"/>
      <c r="U3562" s="87" t="n"/>
      <c r="V3562" s="3" t="n"/>
      <c r="W3562" s="108" t="n"/>
      <c r="X3562" s="4" t="n"/>
    </row>
    <row r="3563" ht="24" customHeight="1">
      <c r="A3563" s="2">
        <f>+D3563-S3563</f>
        <v/>
      </c>
      <c r="B3563" s="80" t="n">
        <v>5153</v>
      </c>
      <c r="C3563" s="66" t="n">
        <v>46003</v>
      </c>
      <c r="D3563" s="2" t="n">
        <v>1</v>
      </c>
      <c r="E3563" s="3" t="inlineStr">
        <is>
          <t>FUCILE SEMIAUTOMATICO</t>
        </is>
      </c>
      <c r="F3563" s="3" t="inlineStr">
        <is>
          <t>12</t>
        </is>
      </c>
      <c r="G3563" s="84" t="inlineStr">
        <is>
          <t>BENELLI</t>
        </is>
      </c>
      <c r="H3563" s="107" t="inlineStr">
        <is>
          <t>MONTEFELTRO BLACK 30''</t>
        </is>
      </c>
      <c r="I3563" s="107" t="inlineStr">
        <is>
          <t>M0148685D</t>
        </is>
      </c>
      <c r="J3563" s="107" t="inlineStr">
        <is>
          <t>C1593714S</t>
        </is>
      </c>
      <c r="K3563" s="65" t="inlineStr">
        <is>
          <t>N/D</t>
        </is>
      </c>
      <c r="L3563" s="127" t="inlineStr">
        <is>
          <t>BENELLI ARMI SPA</t>
        </is>
      </c>
      <c r="M3563" s="5" t="n">
        <v>751</v>
      </c>
      <c r="N3563" s="5" t="n"/>
      <c r="O3563" s="5">
        <f>+M3563+N3563</f>
        <v/>
      </c>
      <c r="P3563" s="4" t="n">
        <v>46002</v>
      </c>
      <c r="Q3563" s="87" t="n">
        <v>46002</v>
      </c>
      <c r="R3563" s="5" t="n"/>
      <c r="S3563" s="2" t="n"/>
      <c r="T3563" s="3" t="n"/>
      <c r="U3563" s="87" t="n"/>
      <c r="V3563" s="3" t="n"/>
      <c r="W3563" s="108" t="n"/>
      <c r="X3563" s="4" t="n"/>
    </row>
    <row r="3564" ht="24" customHeight="1">
      <c r="A3564" s="2">
        <f>+D3564-S3564</f>
        <v/>
      </c>
      <c r="B3564" s="80" t="n">
        <v>5154</v>
      </c>
      <c r="C3564" s="66" t="n">
        <v>46003</v>
      </c>
      <c r="D3564" s="2" t="n">
        <v>1</v>
      </c>
      <c r="E3564" s="3" t="inlineStr">
        <is>
          <t>FUCILE SEMIAUTOMATICO</t>
        </is>
      </c>
      <c r="F3564" s="3" t="inlineStr">
        <is>
          <t>12</t>
        </is>
      </c>
      <c r="G3564" s="84" t="inlineStr">
        <is>
          <t>BENELLI</t>
        </is>
      </c>
      <c r="H3564" s="107" t="inlineStr">
        <is>
          <t>MONTEFELTRO-22 SPORTING 30''</t>
        </is>
      </c>
      <c r="I3564" s="107" t="inlineStr">
        <is>
          <t>M0201842A</t>
        </is>
      </c>
      <c r="J3564" s="107" t="inlineStr">
        <is>
          <t>C1691502J</t>
        </is>
      </c>
      <c r="K3564" s="65" t="inlineStr">
        <is>
          <t>N/D</t>
        </is>
      </c>
      <c r="L3564" s="127" t="inlineStr">
        <is>
          <t>BENELLI ARMI SPA</t>
        </is>
      </c>
      <c r="M3564" s="5" t="n">
        <v>907</v>
      </c>
      <c r="N3564" s="5" t="n"/>
      <c r="O3564" s="5">
        <f>+M3564+N3564</f>
        <v/>
      </c>
      <c r="P3564" s="4" t="n">
        <v>46002</v>
      </c>
      <c r="Q3564" s="87" t="n">
        <v>46002</v>
      </c>
      <c r="R3564" s="5" t="n"/>
      <c r="S3564" s="2" t="n"/>
      <c r="T3564" s="3" t="n"/>
      <c r="U3564" s="87" t="n"/>
      <c r="V3564" s="3" t="n"/>
      <c r="W3564" s="108" t="n"/>
      <c r="X3564" s="4" t="n"/>
    </row>
    <row r="3565" ht="24" customHeight="1">
      <c r="A3565" s="2">
        <f>+D3565-S3565</f>
        <v/>
      </c>
      <c r="B3565" s="80" t="n">
        <v>5155</v>
      </c>
      <c r="C3565" s="66" t="n">
        <v>46003</v>
      </c>
      <c r="D3565" s="2" t="n">
        <v>1</v>
      </c>
      <c r="E3565" s="3" t="inlineStr">
        <is>
          <t>FUCILE SEMIAUTOMATICO</t>
        </is>
      </c>
      <c r="F3565" s="3" t="inlineStr">
        <is>
          <t>12</t>
        </is>
      </c>
      <c r="G3565" s="84" t="inlineStr">
        <is>
          <t>BENELLI</t>
        </is>
      </c>
      <c r="H3565" s="107" t="inlineStr">
        <is>
          <t>MONTEFELTRO-22 SPORTING 30''</t>
        </is>
      </c>
      <c r="I3565" s="107" t="inlineStr">
        <is>
          <t>M0201841Z</t>
        </is>
      </c>
      <c r="J3565" s="107" t="inlineStr">
        <is>
          <t>C1691503K</t>
        </is>
      </c>
      <c r="K3565" s="65" t="inlineStr">
        <is>
          <t>N/D</t>
        </is>
      </c>
      <c r="L3565" s="127" t="inlineStr">
        <is>
          <t>BENELLI ARMI SPA</t>
        </is>
      </c>
      <c r="M3565" s="5" t="n">
        <v>907</v>
      </c>
      <c r="N3565" s="5" t="n"/>
      <c r="O3565" s="5">
        <f>+M3565+N3565</f>
        <v/>
      </c>
      <c r="P3565" s="4" t="n">
        <v>46002</v>
      </c>
      <c r="Q3565" s="87" t="n">
        <v>46002</v>
      </c>
      <c r="R3565" s="5" t="n"/>
      <c r="S3565" s="2" t="n"/>
      <c r="T3565" s="3" t="n"/>
      <c r="U3565" s="87" t="n"/>
      <c r="V3565" s="3" t="n"/>
      <c r="W3565" s="108" t="n"/>
      <c r="X3565" s="4" t="n"/>
    </row>
    <row r="3566" ht="24" customHeight="1">
      <c r="A3566" s="2">
        <f>+D3566-S3566</f>
        <v/>
      </c>
      <c r="B3566" s="80" t="n">
        <v>5156</v>
      </c>
      <c r="C3566" s="66" t="n">
        <v>46003</v>
      </c>
      <c r="D3566" s="2" t="n">
        <v>1</v>
      </c>
      <c r="E3566" s="3" t="inlineStr">
        <is>
          <t>FUCILE SEMIAUTOMATICO</t>
        </is>
      </c>
      <c r="F3566" s="3" t="inlineStr">
        <is>
          <t>12</t>
        </is>
      </c>
      <c r="G3566" s="84" t="inlineStr">
        <is>
          <t>BENELLI</t>
        </is>
      </c>
      <c r="H3566" s="107" t="inlineStr">
        <is>
          <t>MONTEFELTRO-22 SPORTING 30''</t>
        </is>
      </c>
      <c r="I3566" s="107" t="inlineStr">
        <is>
          <t>M0201840Y</t>
        </is>
      </c>
      <c r="J3566" s="107" t="inlineStr">
        <is>
          <t>C1691499K</t>
        </is>
      </c>
      <c r="K3566" s="65" t="inlineStr">
        <is>
          <t>N/D</t>
        </is>
      </c>
      <c r="L3566" s="127" t="inlineStr">
        <is>
          <t>BENELLI ARMI SPA</t>
        </is>
      </c>
      <c r="M3566" s="5" t="n">
        <v>907</v>
      </c>
      <c r="N3566" s="5" t="n"/>
      <c r="O3566" s="5">
        <f>+M3566+N3566</f>
        <v/>
      </c>
      <c r="P3566" s="4" t="n">
        <v>46002</v>
      </c>
      <c r="Q3566" s="87" t="n">
        <v>46002</v>
      </c>
      <c r="R3566" s="5" t="n"/>
      <c r="S3566" s="2" t="n"/>
      <c r="T3566" s="3" t="n"/>
      <c r="U3566" s="87" t="n"/>
      <c r="V3566" s="3" t="n"/>
      <c r="W3566" s="108" t="n"/>
      <c r="X3566" s="4" t="n"/>
    </row>
    <row r="3567" ht="24" customHeight="1">
      <c r="A3567" s="2">
        <f>+D3567-S3567</f>
        <v/>
      </c>
      <c r="B3567" s="80" t="n">
        <v>5157</v>
      </c>
      <c r="C3567" s="66" t="n">
        <v>46003</v>
      </c>
      <c r="D3567" s="2" t="n">
        <v>1</v>
      </c>
      <c r="E3567" s="3" t="inlineStr">
        <is>
          <t>FUCILE SEMIAUTOMATICO</t>
        </is>
      </c>
      <c r="F3567" s="3" t="inlineStr">
        <is>
          <t>12</t>
        </is>
      </c>
      <c r="G3567" s="84" t="inlineStr">
        <is>
          <t>BENELLI</t>
        </is>
      </c>
      <c r="H3567" s="107" t="inlineStr">
        <is>
          <t>MONTEFELTRO-22 SPORTING 30''</t>
        </is>
      </c>
      <c r="I3567" s="107" t="inlineStr">
        <is>
          <t>M0201839F</t>
        </is>
      </c>
      <c r="J3567" s="107" t="inlineStr">
        <is>
          <t>C1691501H</t>
        </is>
      </c>
      <c r="K3567" s="65" t="inlineStr">
        <is>
          <t>N/D</t>
        </is>
      </c>
      <c r="L3567" s="127" t="inlineStr">
        <is>
          <t>BENELLI ARMI SPA</t>
        </is>
      </c>
      <c r="M3567" s="5" t="n">
        <v>907</v>
      </c>
      <c r="N3567" s="5" t="n"/>
      <c r="O3567" s="5">
        <f>+M3567+N3567</f>
        <v/>
      </c>
      <c r="P3567" s="4" t="n">
        <v>46002</v>
      </c>
      <c r="Q3567" s="87" t="n">
        <v>46002</v>
      </c>
      <c r="R3567" s="5" t="n"/>
      <c r="S3567" s="2" t="n"/>
      <c r="T3567" s="3" t="n"/>
      <c r="U3567" s="87" t="n"/>
      <c r="V3567" s="3" t="n"/>
      <c r="W3567" s="108" t="n"/>
      <c r="X3567" s="4" t="n"/>
    </row>
    <row r="3568" ht="24" customHeight="1">
      <c r="A3568" s="2">
        <f>+D3568-S3568</f>
        <v/>
      </c>
      <c r="B3568" s="80" t="n">
        <v>5158</v>
      </c>
      <c r="C3568" s="66" t="n">
        <v>46003</v>
      </c>
      <c r="D3568" s="2" t="n">
        <v>1</v>
      </c>
      <c r="E3568" s="3" t="inlineStr">
        <is>
          <t>FUCILE SEMIAUTOMATICO</t>
        </is>
      </c>
      <c r="F3568" s="3" t="inlineStr">
        <is>
          <t>12</t>
        </is>
      </c>
      <c r="G3568" s="84" t="inlineStr">
        <is>
          <t>BENELLI</t>
        </is>
      </c>
      <c r="H3568" s="107" t="inlineStr">
        <is>
          <t>MONTEFELTRO-22 SPORTING 30''</t>
        </is>
      </c>
      <c r="I3568" s="107" t="inlineStr">
        <is>
          <t>M0201838E</t>
        </is>
      </c>
      <c r="J3568" s="107" t="inlineStr">
        <is>
          <t>C1691500G</t>
        </is>
      </c>
      <c r="K3568" s="65" t="inlineStr">
        <is>
          <t>N/D</t>
        </is>
      </c>
      <c r="L3568" s="127" t="inlineStr">
        <is>
          <t>BENELLI ARMI SPA</t>
        </is>
      </c>
      <c r="M3568" s="5" t="n">
        <v>907</v>
      </c>
      <c r="N3568" s="5" t="n"/>
      <c r="O3568" s="5">
        <f>+M3568+N3568</f>
        <v/>
      </c>
      <c r="P3568" s="4" t="n">
        <v>46002</v>
      </c>
      <c r="Q3568" s="87" t="n">
        <v>46002</v>
      </c>
      <c r="R3568" s="5" t="n"/>
      <c r="S3568" s="2" t="n"/>
      <c r="T3568" s="3" t="n"/>
      <c r="U3568" s="87" t="n"/>
      <c r="V3568" s="3" t="n"/>
      <c r="W3568" s="108" t="n"/>
      <c r="X3568" s="4" t="n"/>
    </row>
    <row r="3569" ht="24" customHeight="1">
      <c r="A3569" s="2">
        <f>+D3569-S3569</f>
        <v/>
      </c>
      <c r="B3569" s="80" t="n">
        <v>5159</v>
      </c>
      <c r="C3569" s="66" t="n">
        <v>46003</v>
      </c>
      <c r="D3569" s="2" t="n">
        <v>1</v>
      </c>
      <c r="E3569" s="3" t="inlineStr">
        <is>
          <t>FUCILE SEMIAUTOMATICO</t>
        </is>
      </c>
      <c r="F3569" s="3" t="inlineStr">
        <is>
          <t>12</t>
        </is>
      </c>
      <c r="G3569" s="84" t="inlineStr">
        <is>
          <t>BENELLI</t>
        </is>
      </c>
      <c r="H3569" s="107" t="inlineStr">
        <is>
          <t>RAFFAELLO BLACK 30''</t>
        </is>
      </c>
      <c r="I3569" s="107" t="inlineStr">
        <is>
          <t>F440481G</t>
        </is>
      </c>
      <c r="J3569" s="107" t="inlineStr">
        <is>
          <t>C1653384B</t>
        </is>
      </c>
      <c r="K3569" s="65" t="inlineStr">
        <is>
          <t>N/D</t>
        </is>
      </c>
      <c r="L3569" s="127" t="inlineStr">
        <is>
          <t>BENELLI ARMI SPA</t>
        </is>
      </c>
      <c r="M3569" s="5" t="n">
        <v>1077</v>
      </c>
      <c r="N3569" s="5" t="n"/>
      <c r="O3569" s="5">
        <f>+M3569+N3569</f>
        <v/>
      </c>
      <c r="P3569" s="4" t="n">
        <v>46002</v>
      </c>
      <c r="Q3569" s="87" t="n">
        <v>46002</v>
      </c>
      <c r="R3569" s="5" t="n"/>
      <c r="S3569" s="2" t="n"/>
      <c r="T3569" s="3" t="n"/>
      <c r="U3569" s="87" t="n"/>
      <c r="V3569" s="3" t="n"/>
      <c r="W3569" s="108" t="n"/>
      <c r="X3569" s="4" t="n"/>
    </row>
    <row r="3570" ht="24" customHeight="1">
      <c r="A3570" s="2">
        <f>+D3570-S3570</f>
        <v/>
      </c>
      <c r="B3570" s="80" t="n">
        <v>5160</v>
      </c>
      <c r="C3570" s="66" t="n">
        <v>46003</v>
      </c>
      <c r="D3570" s="2" t="n">
        <v>1</v>
      </c>
      <c r="E3570" s="3" t="inlineStr">
        <is>
          <t>FUCILE SEMIAUTOMATICO</t>
        </is>
      </c>
      <c r="F3570" s="3" t="inlineStr">
        <is>
          <t>12</t>
        </is>
      </c>
      <c r="G3570" s="84" t="inlineStr">
        <is>
          <t>BENELLI</t>
        </is>
      </c>
      <c r="H3570" s="107" t="inlineStr">
        <is>
          <t>BLACK EAGLE MAX7 30''</t>
        </is>
      </c>
      <c r="I3570" s="107" t="inlineStr">
        <is>
          <t>F451679H</t>
        </is>
      </c>
      <c r="J3570" s="107" t="inlineStr">
        <is>
          <t>C1686304U</t>
        </is>
      </c>
      <c r="K3570" s="65" t="inlineStr">
        <is>
          <t>N/D</t>
        </is>
      </c>
      <c r="L3570" s="127" t="inlineStr">
        <is>
          <t>BENELLI ARMI SPA</t>
        </is>
      </c>
      <c r="M3570" s="5" t="n">
        <v>1218</v>
      </c>
      <c r="N3570" s="5" t="n"/>
      <c r="O3570" s="5">
        <f>+M3570+N3570</f>
        <v/>
      </c>
      <c r="P3570" s="4" t="n">
        <v>46002</v>
      </c>
      <c r="Q3570" s="87" t="n">
        <v>46002</v>
      </c>
      <c r="R3570" s="5" t="n"/>
      <c r="S3570" s="2" t="n"/>
      <c r="T3570" s="3" t="n"/>
      <c r="U3570" s="87" t="n"/>
      <c r="V3570" s="3" t="n"/>
      <c r="W3570" s="108" t="n"/>
      <c r="X3570" s="4" t="n"/>
    </row>
    <row r="3571" ht="24" customHeight="1">
      <c r="A3571" s="2">
        <f>+D3571-S3571</f>
        <v/>
      </c>
      <c r="B3571" s="80" t="n">
        <v>5161</v>
      </c>
      <c r="C3571" s="66" t="n">
        <v>46003</v>
      </c>
      <c r="D3571" s="2" t="n">
        <v>1</v>
      </c>
      <c r="E3571" s="3" t="inlineStr">
        <is>
          <t>FUCILE SEMIAUTOMATICO</t>
        </is>
      </c>
      <c r="F3571" s="3" t="inlineStr">
        <is>
          <t>12</t>
        </is>
      </c>
      <c r="G3571" s="84" t="inlineStr">
        <is>
          <t>BENELLI</t>
        </is>
      </c>
      <c r="H3571" s="107" t="inlineStr">
        <is>
          <t>BLACK EAGLE MAX7 30''</t>
        </is>
      </c>
      <c r="I3571" s="107" t="inlineStr">
        <is>
          <t>F451673U</t>
        </is>
      </c>
      <c r="J3571" s="107" t="inlineStr">
        <is>
          <t>C1686298S</t>
        </is>
      </c>
      <c r="K3571" s="65" t="inlineStr">
        <is>
          <t>N/D</t>
        </is>
      </c>
      <c r="L3571" s="127" t="inlineStr">
        <is>
          <t>BENELLI ARMI SPA</t>
        </is>
      </c>
      <c r="M3571" s="5" t="n">
        <v>1218</v>
      </c>
      <c r="N3571" s="5" t="n"/>
      <c r="O3571" s="5">
        <f>+M3571+N3571</f>
        <v/>
      </c>
      <c r="P3571" s="4" t="n">
        <v>46002</v>
      </c>
      <c r="Q3571" s="87" t="n">
        <v>46002</v>
      </c>
      <c r="R3571" s="5" t="n"/>
      <c r="S3571" s="2" t="n"/>
      <c r="T3571" s="3" t="n"/>
      <c r="U3571" s="87" t="n"/>
      <c r="V3571" s="3" t="n"/>
      <c r="W3571" s="108" t="n"/>
      <c r="X3571" s="4" t="n"/>
    </row>
    <row r="3572" ht="24" customHeight="1">
      <c r="A3572" s="2">
        <f>+D3572-S3572</f>
        <v/>
      </c>
      <c r="B3572" s="80" t="n">
        <v>5162</v>
      </c>
      <c r="C3572" s="66" t="n">
        <v>46003</v>
      </c>
      <c r="D3572" s="2" t="n">
        <v>1</v>
      </c>
      <c r="E3572" s="3" t="inlineStr">
        <is>
          <t>FUCILE SEMIAUTOMATICO</t>
        </is>
      </c>
      <c r="F3572" s="3" t="inlineStr">
        <is>
          <t>12</t>
        </is>
      </c>
      <c r="G3572" s="84" t="inlineStr">
        <is>
          <t>BENELLI</t>
        </is>
      </c>
      <c r="H3572" s="107" t="inlineStr">
        <is>
          <t>BLACK EAGLE MAX7 30''</t>
        </is>
      </c>
      <c r="I3572" s="107" t="inlineStr">
        <is>
          <t>F453141C</t>
        </is>
      </c>
      <c r="J3572" s="107" t="inlineStr">
        <is>
          <t>C1689483T</t>
        </is>
      </c>
      <c r="K3572" s="65" t="inlineStr">
        <is>
          <t>N/D</t>
        </is>
      </c>
      <c r="L3572" s="127" t="inlineStr">
        <is>
          <t>BENELLI ARMI SPA</t>
        </is>
      </c>
      <c r="M3572" s="5" t="n">
        <v>1218</v>
      </c>
      <c r="N3572" s="5" t="n"/>
      <c r="O3572" s="5">
        <f>+M3572+N3572</f>
        <v/>
      </c>
      <c r="P3572" s="4" t="n">
        <v>46002</v>
      </c>
      <c r="Q3572" s="87" t="n">
        <v>46002</v>
      </c>
      <c r="R3572" s="5" t="n"/>
      <c r="S3572" s="2" t="n"/>
      <c r="T3572" s="3" t="n"/>
      <c r="U3572" s="87" t="n"/>
      <c r="V3572" s="3" t="n"/>
      <c r="W3572" s="108" t="n"/>
      <c r="X3572" s="4" t="n"/>
    </row>
    <row r="3573" ht="24" customHeight="1">
      <c r="A3573" s="2">
        <f>+D3573-S3573</f>
        <v/>
      </c>
      <c r="B3573" s="80" t="n">
        <v>5163</v>
      </c>
      <c r="C3573" s="66" t="n">
        <v>46003</v>
      </c>
      <c r="D3573" s="2" t="n">
        <v>1</v>
      </c>
      <c r="E3573" s="3" t="inlineStr">
        <is>
          <t>FUCILE SEMIAUTOMATICO</t>
        </is>
      </c>
      <c r="F3573" s="3" t="inlineStr">
        <is>
          <t>12</t>
        </is>
      </c>
      <c r="G3573" s="84" t="inlineStr">
        <is>
          <t>BENELLI</t>
        </is>
      </c>
      <c r="H3573" s="107" t="inlineStr">
        <is>
          <t>BLACK EAGLE MAX7 30''</t>
        </is>
      </c>
      <c r="I3573" s="107" t="inlineStr">
        <is>
          <t>F451676B</t>
        </is>
      </c>
      <c r="J3573" s="107" t="inlineStr">
        <is>
          <t>C1686301R</t>
        </is>
      </c>
      <c r="K3573" s="65" t="inlineStr">
        <is>
          <t>N/D</t>
        </is>
      </c>
      <c r="L3573" s="127" t="inlineStr">
        <is>
          <t>BENELLI ARMI SPA</t>
        </is>
      </c>
      <c r="M3573" s="5" t="n">
        <v>1218</v>
      </c>
      <c r="N3573" s="5" t="n"/>
      <c r="O3573" s="5">
        <f>+M3573+N3573</f>
        <v/>
      </c>
      <c r="P3573" s="4" t="n">
        <v>46002</v>
      </c>
      <c r="Q3573" s="87" t="n">
        <v>46002</v>
      </c>
      <c r="R3573" s="5" t="n"/>
      <c r="S3573" s="2" t="n"/>
      <c r="T3573" s="3" t="n"/>
      <c r="U3573" s="87" t="n"/>
      <c r="V3573" s="3" t="n"/>
      <c r="W3573" s="108" t="n"/>
      <c r="X3573" s="4" t="n"/>
    </row>
    <row r="3574" ht="24" customHeight="1">
      <c r="A3574" s="2">
        <f>+D3574-S3574</f>
        <v/>
      </c>
      <c r="B3574" s="80" t="n">
        <v>5164</v>
      </c>
      <c r="C3574" s="66" t="n">
        <v>46003</v>
      </c>
      <c r="D3574" s="2" t="n">
        <v>1</v>
      </c>
      <c r="E3574" s="3" t="inlineStr">
        <is>
          <t>FUCILE SEMIAUTOMATICO</t>
        </is>
      </c>
      <c r="F3574" s="3" t="inlineStr">
        <is>
          <t>12</t>
        </is>
      </c>
      <c r="G3574" s="84" t="inlineStr">
        <is>
          <t>BENELLI</t>
        </is>
      </c>
      <c r="H3574" s="107" t="inlineStr">
        <is>
          <t>BLACK EAGLE MAX7 30''</t>
        </is>
      </c>
      <c r="I3574" s="107" t="inlineStr">
        <is>
          <t>F453463Q</t>
        </is>
      </c>
      <c r="J3574" s="107" t="inlineStr">
        <is>
          <t>C1690634R</t>
        </is>
      </c>
      <c r="K3574" s="65" t="inlineStr">
        <is>
          <t>N/D</t>
        </is>
      </c>
      <c r="L3574" s="127" t="inlineStr">
        <is>
          <t>BENELLI ARMI SPA</t>
        </is>
      </c>
      <c r="M3574" s="5" t="n">
        <v>1218</v>
      </c>
      <c r="N3574" s="5" t="n"/>
      <c r="O3574" s="5">
        <f>+M3574+N3574</f>
        <v/>
      </c>
      <c r="P3574" s="4" t="n">
        <v>46002</v>
      </c>
      <c r="Q3574" s="87" t="n">
        <v>46002</v>
      </c>
      <c r="R3574" s="5" t="n"/>
      <c r="S3574" s="2" t="n"/>
      <c r="T3574" s="3" t="n"/>
      <c r="U3574" s="87" t="n"/>
      <c r="V3574" s="3" t="n"/>
      <c r="W3574" s="108" t="n"/>
      <c r="X3574" s="4" t="n"/>
    </row>
    <row r="3575" ht="24" customHeight="1">
      <c r="A3575" s="2">
        <f>+D3575-S3575</f>
        <v/>
      </c>
      <c r="B3575" s="80" t="n">
        <v>5165</v>
      </c>
      <c r="C3575" s="66" t="n">
        <v>46003</v>
      </c>
      <c r="D3575" s="2" t="n">
        <v>1</v>
      </c>
      <c r="E3575" s="3" t="inlineStr">
        <is>
          <t>FUCILE SEMIAUTOMATICO</t>
        </is>
      </c>
      <c r="F3575" s="3" t="inlineStr">
        <is>
          <t>12</t>
        </is>
      </c>
      <c r="G3575" s="84" t="inlineStr">
        <is>
          <t>BENELLI</t>
        </is>
      </c>
      <c r="H3575" s="107" t="inlineStr">
        <is>
          <t>BLACK EAGLE MAX7 30''</t>
        </is>
      </c>
      <c r="I3575" s="107" t="inlineStr">
        <is>
          <t>F453462N</t>
        </is>
      </c>
      <c r="J3575" s="107" t="inlineStr">
        <is>
          <t>C1690633Q</t>
        </is>
      </c>
      <c r="K3575" s="65" t="inlineStr">
        <is>
          <t>N/D</t>
        </is>
      </c>
      <c r="L3575" s="127" t="inlineStr">
        <is>
          <t>BENELLI ARMI SPA</t>
        </is>
      </c>
      <c r="M3575" s="5" t="n">
        <v>1218</v>
      </c>
      <c r="N3575" s="5" t="n"/>
      <c r="O3575" s="5">
        <f>+M3575+N3575</f>
        <v/>
      </c>
      <c r="P3575" s="4" t="n">
        <v>46002</v>
      </c>
      <c r="Q3575" s="87" t="n">
        <v>46002</v>
      </c>
      <c r="R3575" s="5" t="n"/>
      <c r="S3575" s="2" t="n"/>
      <c r="T3575" s="3" t="n"/>
      <c r="U3575" s="87" t="n"/>
      <c r="V3575" s="3" t="n"/>
      <c r="W3575" s="108" t="n"/>
      <c r="X3575" s="4" t="n"/>
    </row>
    <row r="3576" ht="24" customHeight="1">
      <c r="A3576" s="2">
        <f>+D3576-S3576</f>
        <v/>
      </c>
      <c r="B3576" s="80" t="n">
        <v>5166</v>
      </c>
      <c r="C3576" s="66" t="n">
        <v>46003</v>
      </c>
      <c r="D3576" s="2" t="n">
        <v>1</v>
      </c>
      <c r="E3576" s="3" t="inlineStr">
        <is>
          <t>FUCILE SEMIAUTOMATICO</t>
        </is>
      </c>
      <c r="F3576" s="3" t="inlineStr">
        <is>
          <t>12</t>
        </is>
      </c>
      <c r="G3576" s="84" t="inlineStr">
        <is>
          <t>BENELLI</t>
        </is>
      </c>
      <c r="H3576" s="107" t="inlineStr">
        <is>
          <t>BLACK EAGLE MAX7 30''</t>
        </is>
      </c>
      <c r="I3576" s="107" t="inlineStr">
        <is>
          <t>F453464S</t>
        </is>
      </c>
      <c r="J3576" s="107" t="inlineStr">
        <is>
          <t>C1690632P</t>
        </is>
      </c>
      <c r="K3576" s="65" t="inlineStr">
        <is>
          <t>N/D</t>
        </is>
      </c>
      <c r="L3576" s="127" t="inlineStr">
        <is>
          <t>BENELLI ARMI SPA</t>
        </is>
      </c>
      <c r="M3576" s="5" t="n">
        <v>1218</v>
      </c>
      <c r="N3576" s="5" t="n"/>
      <c r="O3576" s="5">
        <f>+M3576+N3576</f>
        <v/>
      </c>
      <c r="P3576" s="4" t="n">
        <v>46002</v>
      </c>
      <c r="Q3576" s="87" t="n">
        <v>46002</v>
      </c>
      <c r="R3576" s="5" t="n"/>
      <c r="S3576" s="2" t="n"/>
      <c r="T3576" s="3" t="n"/>
      <c r="U3576" s="87" t="n"/>
      <c r="V3576" s="3" t="n"/>
      <c r="W3576" s="108" t="n"/>
      <c r="X3576" s="4" t="n"/>
    </row>
    <row r="3577" ht="24" customHeight="1">
      <c r="A3577" s="2">
        <f>+D3577-S3577</f>
        <v/>
      </c>
      <c r="B3577" s="80" t="n">
        <v>5167</v>
      </c>
      <c r="C3577" s="66" t="n">
        <v>46003</v>
      </c>
      <c r="D3577" s="2" t="n">
        <v>1</v>
      </c>
      <c r="E3577" s="3" t="inlineStr">
        <is>
          <t>FUCILE SEMIAUTOMATICO</t>
        </is>
      </c>
      <c r="F3577" s="3" t="inlineStr">
        <is>
          <t>12</t>
        </is>
      </c>
      <c r="G3577" s="84" t="inlineStr">
        <is>
          <t>BENELLI</t>
        </is>
      </c>
      <c r="H3577" s="107" t="inlineStr">
        <is>
          <t xml:space="preserve">SBE3 TUN CER 28'' </t>
        </is>
      </c>
      <c r="I3577" s="107" t="inlineStr">
        <is>
          <t>U786502X</t>
        </is>
      </c>
      <c r="J3577" s="107" t="inlineStr">
        <is>
          <t>S825305L</t>
        </is>
      </c>
      <c r="K3577" s="65" t="inlineStr">
        <is>
          <t>N/D</t>
        </is>
      </c>
      <c r="L3577" s="127" t="inlineStr">
        <is>
          <t>BENELLI ARMI SPA</t>
        </is>
      </c>
      <c r="M3577" s="5" t="n">
        <v>1382</v>
      </c>
      <c r="N3577" s="5" t="n"/>
      <c r="O3577" s="5">
        <f>+M3577+N3577</f>
        <v/>
      </c>
      <c r="P3577" s="4" t="n">
        <v>46002</v>
      </c>
      <c r="Q3577" s="87" t="n">
        <v>46002</v>
      </c>
      <c r="R3577" s="5" t="n"/>
      <c r="S3577" s="2" t="n"/>
      <c r="T3577" s="3" t="n"/>
      <c r="U3577" s="87" t="n"/>
      <c r="V3577" s="3" t="n"/>
      <c r="W3577" s="108" t="n"/>
      <c r="X3577" s="4" t="n"/>
    </row>
    <row r="3578" ht="24" customHeight="1">
      <c r="A3578" s="2">
        <f>+D3578-S3578</f>
        <v/>
      </c>
      <c r="B3578" s="80" t="n">
        <v>5168</v>
      </c>
      <c r="C3578" s="66" t="n">
        <v>46003</v>
      </c>
      <c r="D3578" s="2" t="n">
        <v>1</v>
      </c>
      <c r="E3578" s="3" t="inlineStr">
        <is>
          <t>FUCILE SEMIAUTOMATICO</t>
        </is>
      </c>
      <c r="F3578" s="3" t="inlineStr">
        <is>
          <t>12</t>
        </is>
      </c>
      <c r="G3578" s="84" t="inlineStr">
        <is>
          <t>BENELLI</t>
        </is>
      </c>
      <c r="H3578" s="107" t="inlineStr">
        <is>
          <t xml:space="preserve">SBE3 TUN CER 28'' </t>
        </is>
      </c>
      <c r="I3578" s="107" t="inlineStr">
        <is>
          <t>U792599V</t>
        </is>
      </c>
      <c r="J3578" s="107" t="inlineStr">
        <is>
          <t>S831620G</t>
        </is>
      </c>
      <c r="K3578" s="65" t="inlineStr">
        <is>
          <t>N/D</t>
        </is>
      </c>
      <c r="L3578" s="127" t="inlineStr">
        <is>
          <t>BENELLI ARMI SPA</t>
        </is>
      </c>
      <c r="M3578" s="5" t="n">
        <v>1382</v>
      </c>
      <c r="N3578" s="5" t="n"/>
      <c r="O3578" s="5">
        <f>+M3578+N3578</f>
        <v/>
      </c>
      <c r="P3578" s="4" t="n">
        <v>46002</v>
      </c>
      <c r="Q3578" s="87" t="n">
        <v>46002</v>
      </c>
      <c r="R3578" s="5" t="n"/>
      <c r="S3578" s="2" t="n"/>
      <c r="T3578" s="3" t="n"/>
      <c r="U3578" s="87" t="n"/>
      <c r="V3578" s="3" t="n"/>
      <c r="W3578" s="108" t="n"/>
      <c r="X3578" s="4" t="n"/>
    </row>
    <row r="3579" ht="24" customHeight="1">
      <c r="A3579" s="2">
        <f>+D3579-S3579</f>
        <v/>
      </c>
      <c r="B3579" s="80" t="n">
        <v>5169</v>
      </c>
      <c r="C3579" s="66" t="n">
        <v>46003</v>
      </c>
      <c r="D3579" s="2" t="n">
        <v>1</v>
      </c>
      <c r="E3579" s="3" t="inlineStr">
        <is>
          <t>FUCILE SEMIAUTOMATICO</t>
        </is>
      </c>
      <c r="F3579" s="3" t="inlineStr">
        <is>
          <t>12</t>
        </is>
      </c>
      <c r="G3579" s="84" t="inlineStr">
        <is>
          <t>BENELLI</t>
        </is>
      </c>
      <c r="H3579" s="107" t="inlineStr">
        <is>
          <t xml:space="preserve">SBE3 TUN CER 28'' </t>
        </is>
      </c>
      <c r="I3579" s="107" t="inlineStr">
        <is>
          <t>U792600T</t>
        </is>
      </c>
      <c r="J3579" s="107" t="inlineStr">
        <is>
          <t>S831614P</t>
        </is>
      </c>
      <c r="K3579" s="65" t="inlineStr">
        <is>
          <t>N/D</t>
        </is>
      </c>
      <c r="L3579" s="127" t="inlineStr">
        <is>
          <t>BENELLI ARMI SPA</t>
        </is>
      </c>
      <c r="M3579" s="5" t="n">
        <v>1382</v>
      </c>
      <c r="N3579" s="5" t="n"/>
      <c r="O3579" s="5">
        <f>+M3579+N3579</f>
        <v/>
      </c>
      <c r="P3579" s="4" t="n">
        <v>46002</v>
      </c>
      <c r="Q3579" s="87" t="n">
        <v>46002</v>
      </c>
      <c r="R3579" s="5" t="n"/>
      <c r="S3579" s="2" t="n"/>
      <c r="T3579" s="3" t="n"/>
      <c r="U3579" s="87" t="n"/>
      <c r="V3579" s="3" t="n"/>
      <c r="W3579" s="108" t="n"/>
      <c r="X3579" s="4" t="n"/>
    </row>
    <row r="3580" ht="24" customHeight="1">
      <c r="A3580" s="2">
        <f>+D3580-S3580</f>
        <v/>
      </c>
      <c r="B3580" s="80" t="n">
        <v>5170</v>
      </c>
      <c r="C3580" s="66" t="n">
        <v>46003</v>
      </c>
      <c r="D3580" s="2" t="n">
        <v>1</v>
      </c>
      <c r="E3580" s="3" t="inlineStr">
        <is>
          <t>FUCILE SEMIAUTOMATICO</t>
        </is>
      </c>
      <c r="F3580" s="3" t="inlineStr">
        <is>
          <t>12</t>
        </is>
      </c>
      <c r="G3580" s="84" t="inlineStr">
        <is>
          <t>BENELLI</t>
        </is>
      </c>
      <c r="H3580" s="107" t="inlineStr">
        <is>
          <t xml:space="preserve">SBE3 TUN CER 28'' </t>
        </is>
      </c>
      <c r="I3580" s="107" t="inlineStr">
        <is>
          <t>U792601V</t>
        </is>
      </c>
      <c r="J3580" s="107" t="inlineStr">
        <is>
          <t>S831619A</t>
        </is>
      </c>
      <c r="K3580" s="65" t="inlineStr">
        <is>
          <t>N/D</t>
        </is>
      </c>
      <c r="L3580" s="127" t="inlineStr">
        <is>
          <t>BENELLI ARMI SPA</t>
        </is>
      </c>
      <c r="M3580" s="5" t="n">
        <v>1382</v>
      </c>
      <c r="N3580" s="5" t="n"/>
      <c r="O3580" s="5">
        <f>+M3580+N3580</f>
        <v/>
      </c>
      <c r="P3580" s="4" t="n">
        <v>46002</v>
      </c>
      <c r="Q3580" s="87" t="n">
        <v>46002</v>
      </c>
      <c r="R3580" s="5" t="n"/>
      <c r="S3580" s="2" t="n"/>
      <c r="T3580" s="3" t="n"/>
      <c r="U3580" s="87" t="n"/>
      <c r="V3580" s="3" t="n"/>
      <c r="W3580" s="108" t="n"/>
      <c r="X3580" s="4" t="n"/>
    </row>
    <row r="3581" ht="24" customHeight="1">
      <c r="A3581" s="2">
        <f>+D3581-S3581</f>
        <v/>
      </c>
      <c r="B3581" s="80" t="n">
        <v>5171</v>
      </c>
      <c r="C3581" s="66" t="n">
        <v>46003</v>
      </c>
      <c r="D3581" s="2" t="n">
        <v>1</v>
      </c>
      <c r="E3581" s="3" t="inlineStr">
        <is>
          <t>FUCILE SEMIAUTOMATICO</t>
        </is>
      </c>
      <c r="F3581" s="3" t="inlineStr">
        <is>
          <t>12</t>
        </is>
      </c>
      <c r="G3581" s="84" t="inlineStr">
        <is>
          <t>BENELLI</t>
        </is>
      </c>
      <c r="H3581" s="107" t="inlineStr">
        <is>
          <t xml:space="preserve">SBE3 TUN CER 28'' </t>
        </is>
      </c>
      <c r="I3581" s="107" t="inlineStr">
        <is>
          <t>U775801Y</t>
        </is>
      </c>
      <c r="J3581" s="107" t="inlineStr">
        <is>
          <t>S814359W</t>
        </is>
      </c>
      <c r="K3581" s="65" t="inlineStr">
        <is>
          <t>N/D</t>
        </is>
      </c>
      <c r="L3581" s="127" t="inlineStr">
        <is>
          <t>BENELLI ARMI SPA</t>
        </is>
      </c>
      <c r="M3581" s="5" t="n">
        <v>1382</v>
      </c>
      <c r="N3581" s="5" t="n"/>
      <c r="O3581" s="5">
        <f>+M3581+N3581</f>
        <v/>
      </c>
      <c r="P3581" s="4" t="n">
        <v>46002</v>
      </c>
      <c r="Q3581" s="87" t="n">
        <v>46002</v>
      </c>
      <c r="R3581" s="5" t="n"/>
      <c r="S3581" s="2" t="n"/>
      <c r="T3581" s="3" t="n"/>
      <c r="U3581" s="87" t="n"/>
      <c r="V3581" s="3" t="n"/>
      <c r="W3581" s="108" t="n"/>
      <c r="X3581" s="4" t="n"/>
    </row>
    <row r="3582" ht="24" customHeight="1">
      <c r="A3582" s="2">
        <f>+D3582-S3582</f>
        <v/>
      </c>
      <c r="B3582" s="80" t="n">
        <v>5172</v>
      </c>
      <c r="C3582" s="66" t="n">
        <v>46003</v>
      </c>
      <c r="D3582" s="2" t="n">
        <v>1</v>
      </c>
      <c r="E3582" s="3" t="inlineStr">
        <is>
          <t>FUCILE SEMIAUTOMATICO</t>
        </is>
      </c>
      <c r="F3582" s="3" t="inlineStr">
        <is>
          <t>12</t>
        </is>
      </c>
      <c r="G3582" s="84" t="inlineStr">
        <is>
          <t>BENELLI</t>
        </is>
      </c>
      <c r="H3582" s="107" t="inlineStr">
        <is>
          <t xml:space="preserve">SBE3 TUN CER 28'' </t>
        </is>
      </c>
      <c r="I3582" s="107" t="inlineStr">
        <is>
          <t>U775798W</t>
        </is>
      </c>
      <c r="J3582" s="107" t="inlineStr">
        <is>
          <t>S814357S</t>
        </is>
      </c>
      <c r="K3582" s="65" t="inlineStr">
        <is>
          <t>N/D</t>
        </is>
      </c>
      <c r="L3582" s="127" t="inlineStr">
        <is>
          <t>BENELLI ARMI SPA</t>
        </is>
      </c>
      <c r="M3582" s="5" t="n">
        <v>1382</v>
      </c>
      <c r="N3582" s="5" t="n"/>
      <c r="O3582" s="5">
        <f>+M3582+N3582</f>
        <v/>
      </c>
      <c r="P3582" s="4" t="n">
        <v>46002</v>
      </c>
      <c r="Q3582" s="87" t="n">
        <v>46002</v>
      </c>
      <c r="R3582" s="5" t="n"/>
      <c r="S3582" s="2" t="n"/>
      <c r="T3582" s="3" t="n"/>
      <c r="U3582" s="87" t="n"/>
      <c r="V3582" s="3" t="n"/>
      <c r="W3582" s="108" t="n"/>
      <c r="X3582" s="4" t="n"/>
    </row>
    <row r="3583" ht="24" customHeight="1">
      <c r="A3583" s="2">
        <f>+D3583-S3583</f>
        <v/>
      </c>
      <c r="B3583" s="80" t="n">
        <v>5173</v>
      </c>
      <c r="C3583" s="66" t="n">
        <v>46003</v>
      </c>
      <c r="D3583" s="2" t="n">
        <v>1</v>
      </c>
      <c r="E3583" s="3" t="inlineStr">
        <is>
          <t>FUCILE SEMIAUTOMATICO</t>
        </is>
      </c>
      <c r="F3583" s="3" t="inlineStr">
        <is>
          <t>12</t>
        </is>
      </c>
      <c r="G3583" s="84" t="inlineStr">
        <is>
          <t>BENELLI</t>
        </is>
      </c>
      <c r="H3583" s="107" t="inlineStr">
        <is>
          <t xml:space="preserve">SBE3 TUN CER 28'' </t>
        </is>
      </c>
      <c r="I3583" s="107" t="inlineStr">
        <is>
          <t>U775796S</t>
        </is>
      </c>
      <c r="J3583" s="107" t="inlineStr">
        <is>
          <t>S814362G</t>
        </is>
      </c>
      <c r="K3583" s="65" t="inlineStr">
        <is>
          <t>N/D</t>
        </is>
      </c>
      <c r="L3583" s="127" t="inlineStr">
        <is>
          <t>BENELLI ARMI SPA</t>
        </is>
      </c>
      <c r="M3583" s="5" t="n">
        <v>1382</v>
      </c>
      <c r="N3583" s="5" t="n"/>
      <c r="O3583" s="5">
        <f>+M3583+N3583</f>
        <v/>
      </c>
      <c r="P3583" s="4" t="n">
        <v>46002</v>
      </c>
      <c r="Q3583" s="87" t="n">
        <v>46002</v>
      </c>
      <c r="R3583" s="5" t="n"/>
      <c r="S3583" s="2" t="n"/>
      <c r="T3583" s="3" t="n"/>
      <c r="U3583" s="87" t="n"/>
      <c r="V3583" s="3" t="n"/>
      <c r="W3583" s="108" t="n"/>
      <c r="X3583" s="4" t="n"/>
    </row>
    <row r="3584" ht="24" customHeight="1">
      <c r="A3584" s="2">
        <f>+D3584-S3584</f>
        <v/>
      </c>
      <c r="B3584" s="80" t="n">
        <v>5174</v>
      </c>
      <c r="C3584" s="66" t="n">
        <v>46003</v>
      </c>
      <c r="D3584" s="2" t="n">
        <v>1</v>
      </c>
      <c r="E3584" s="3" t="inlineStr">
        <is>
          <t>FUCILE SEMIAUTOMATICO</t>
        </is>
      </c>
      <c r="F3584" s="3" t="inlineStr">
        <is>
          <t>12</t>
        </is>
      </c>
      <c r="G3584" s="84" t="inlineStr">
        <is>
          <t>BENELLI</t>
        </is>
      </c>
      <c r="H3584" s="107" t="inlineStr">
        <is>
          <t xml:space="preserve">SBE3 TUN CER 28'' </t>
        </is>
      </c>
      <c r="I3584" s="107" t="inlineStr">
        <is>
          <t>U786486M</t>
        </is>
      </c>
      <c r="J3584" s="107" t="inlineStr">
        <is>
          <t>S825321D</t>
        </is>
      </c>
      <c r="K3584" s="65" t="inlineStr">
        <is>
          <t>N/D</t>
        </is>
      </c>
      <c r="L3584" s="127" t="inlineStr">
        <is>
          <t>BENELLI ARMI SPA</t>
        </is>
      </c>
      <c r="M3584" s="5" t="n">
        <v>1382</v>
      </c>
      <c r="N3584" s="5" t="n"/>
      <c r="O3584" s="5">
        <f>+M3584+N3584</f>
        <v/>
      </c>
      <c r="P3584" s="4" t="n">
        <v>46002</v>
      </c>
      <c r="Q3584" s="87" t="n">
        <v>46002</v>
      </c>
      <c r="R3584" s="5" t="n"/>
      <c r="S3584" s="2" t="n"/>
      <c r="T3584" s="3" t="n"/>
      <c r="U3584" s="87" t="n"/>
      <c r="V3584" s="3" t="n"/>
      <c r="W3584" s="108" t="n"/>
      <c r="X3584" s="4" t="n"/>
    </row>
    <row r="3585" ht="24" customHeight="1">
      <c r="A3585" s="2">
        <f>+D3585-S3585</f>
        <v/>
      </c>
      <c r="B3585" s="80" t="n">
        <v>5175</v>
      </c>
      <c r="C3585" s="66" t="n">
        <v>46003</v>
      </c>
      <c r="D3585" s="2" t="n">
        <v>1</v>
      </c>
      <c r="E3585" s="3" t="inlineStr">
        <is>
          <t>FUCILE SEMIAUTOMATICO</t>
        </is>
      </c>
      <c r="F3585" s="3" t="inlineStr">
        <is>
          <t>12</t>
        </is>
      </c>
      <c r="G3585" s="84" t="inlineStr">
        <is>
          <t>BENELLI</t>
        </is>
      </c>
      <c r="H3585" s="107" t="inlineStr">
        <is>
          <t xml:space="preserve">SBE3 TUN CER 28'' </t>
        </is>
      </c>
      <c r="I3585" s="107" t="inlineStr">
        <is>
          <t>U784401Q</t>
        </is>
      </c>
      <c r="J3585" s="107" t="inlineStr">
        <is>
          <t>S823134E</t>
        </is>
      </c>
      <c r="K3585" s="65" t="inlineStr">
        <is>
          <t>N/D</t>
        </is>
      </c>
      <c r="L3585" s="127" t="inlineStr">
        <is>
          <t>BENELLI ARMI SPA</t>
        </is>
      </c>
      <c r="M3585" s="5" t="n">
        <v>1382</v>
      </c>
      <c r="N3585" s="5" t="n"/>
      <c r="O3585" s="5">
        <f>+M3585+N3585</f>
        <v/>
      </c>
      <c r="P3585" s="4" t="n">
        <v>46002</v>
      </c>
      <c r="Q3585" s="87" t="n">
        <v>46002</v>
      </c>
      <c r="R3585" s="5" t="n"/>
      <c r="S3585" s="2" t="n"/>
      <c r="T3585" s="3" t="n"/>
      <c r="U3585" s="87" t="n"/>
      <c r="V3585" s="3" t="n"/>
      <c r="W3585" s="108" t="n"/>
      <c r="X3585" s="4" t="n"/>
    </row>
    <row r="3586" ht="24" customHeight="1">
      <c r="A3586" s="2">
        <f>+D3586-S3586</f>
        <v/>
      </c>
      <c r="B3586" s="80" t="n">
        <v>5176</v>
      </c>
      <c r="C3586" s="66" t="n">
        <v>46003</v>
      </c>
      <c r="D3586" s="2" t="n">
        <v>1</v>
      </c>
      <c r="E3586" s="3" t="inlineStr">
        <is>
          <t>FUCILE SEMIAUTOMATICO</t>
        </is>
      </c>
      <c r="F3586" s="3" t="inlineStr">
        <is>
          <t>12</t>
        </is>
      </c>
      <c r="G3586" s="84" t="inlineStr">
        <is>
          <t>BENELLI</t>
        </is>
      </c>
      <c r="H3586" s="107" t="inlineStr">
        <is>
          <t xml:space="preserve">SBE3 TUN CER 28'' </t>
        </is>
      </c>
      <c r="I3586" s="107" t="inlineStr">
        <is>
          <t>U786552C</t>
        </is>
      </c>
      <c r="J3586" s="107" t="inlineStr">
        <is>
          <t>S825390J</t>
        </is>
      </c>
      <c r="K3586" s="65" t="inlineStr">
        <is>
          <t>N/D</t>
        </is>
      </c>
      <c r="L3586" s="127" t="inlineStr">
        <is>
          <t>BENELLI ARMI SPA</t>
        </is>
      </c>
      <c r="M3586" s="5" t="n">
        <v>1382</v>
      </c>
      <c r="N3586" s="5" t="n"/>
      <c r="O3586" s="5">
        <f>+M3586+N3586</f>
        <v/>
      </c>
      <c r="P3586" s="4" t="n">
        <v>46002</v>
      </c>
      <c r="Q3586" s="87" t="n">
        <v>46002</v>
      </c>
      <c r="R3586" s="5" t="n"/>
      <c r="S3586" s="2" t="n"/>
      <c r="T3586" s="3" t="n"/>
      <c r="U3586" s="87" t="n"/>
      <c r="V3586" s="3" t="n"/>
      <c r="W3586" s="108" t="n"/>
      <c r="X3586" s="4" t="n"/>
    </row>
    <row r="3587" ht="24" customHeight="1">
      <c r="A3587" s="2">
        <f>+D3587-S3587</f>
        <v/>
      </c>
      <c r="B3587" s="80" t="n">
        <v>5177</v>
      </c>
      <c r="C3587" s="66" t="n">
        <v>46003</v>
      </c>
      <c r="D3587" s="2" t="n">
        <v>1</v>
      </c>
      <c r="E3587" s="3" t="inlineStr">
        <is>
          <t>FUCILE SEMIAUTOMATICO</t>
        </is>
      </c>
      <c r="F3587" s="3" t="inlineStr">
        <is>
          <t>12</t>
        </is>
      </c>
      <c r="G3587" s="84" t="inlineStr">
        <is>
          <t>BENELLI</t>
        </is>
      </c>
      <c r="H3587" s="107" t="inlineStr">
        <is>
          <t>BLACK EAGLE MAX7 30''</t>
        </is>
      </c>
      <c r="I3587" s="107" t="inlineStr">
        <is>
          <t>F451672S</t>
        </is>
      </c>
      <c r="J3587" s="107" t="inlineStr">
        <is>
          <t>C1686297R</t>
        </is>
      </c>
      <c r="K3587" s="65" t="inlineStr">
        <is>
          <t>N/D</t>
        </is>
      </c>
      <c r="L3587" s="127" t="inlineStr">
        <is>
          <t>BENELLI ARMI SPA</t>
        </is>
      </c>
      <c r="M3587" s="5" t="n">
        <v>1218</v>
      </c>
      <c r="N3587" s="5" t="n"/>
      <c r="O3587" s="5">
        <f>+M3587+N3587</f>
        <v/>
      </c>
      <c r="P3587" s="4" t="n">
        <v>46002</v>
      </c>
      <c r="Q3587" s="87" t="n">
        <v>46002</v>
      </c>
      <c r="R3587" s="5" t="n"/>
      <c r="S3587" s="2" t="n"/>
      <c r="T3587" s="3" t="n"/>
      <c r="U3587" s="87" t="n"/>
      <c r="V3587" s="3" t="n"/>
      <c r="W3587" s="108" t="n"/>
      <c r="X3587" s="4" t="n"/>
    </row>
    <row r="3588" ht="24" customHeight="1">
      <c r="A3588" s="2">
        <f>+D3588-S3588</f>
        <v/>
      </c>
      <c r="B3588" s="80" t="n">
        <v>5178</v>
      </c>
      <c r="C3588" s="66" t="n">
        <v>46003</v>
      </c>
      <c r="D3588" s="2" t="n">
        <v>1</v>
      </c>
      <c r="E3588" s="3" t="inlineStr">
        <is>
          <t>FUCILE SEMIAUTOMATICO</t>
        </is>
      </c>
      <c r="F3588" s="3" t="inlineStr">
        <is>
          <t>12</t>
        </is>
      </c>
      <c r="G3588" s="84" t="inlineStr">
        <is>
          <t>BENELLI</t>
        </is>
      </c>
      <c r="H3588" s="107" t="inlineStr">
        <is>
          <t>BLACK EAGLE MAX7 30''</t>
        </is>
      </c>
      <c r="I3588" s="107" t="inlineStr">
        <is>
          <t>F451671Q</t>
        </is>
      </c>
      <c r="J3588" s="107" t="inlineStr">
        <is>
          <t>C1686296Q</t>
        </is>
      </c>
      <c r="K3588" s="65" t="inlineStr">
        <is>
          <t>N/D</t>
        </is>
      </c>
      <c r="L3588" s="127" t="inlineStr">
        <is>
          <t>BENELLI ARMI SPA</t>
        </is>
      </c>
      <c r="M3588" s="5" t="n">
        <v>1218</v>
      </c>
      <c r="N3588" s="5" t="n"/>
      <c r="O3588" s="5">
        <f>+M3588+N3588</f>
        <v/>
      </c>
      <c r="P3588" s="4" t="n">
        <v>46002</v>
      </c>
      <c r="Q3588" s="87" t="n">
        <v>46002</v>
      </c>
      <c r="R3588" s="5" t="n"/>
      <c r="S3588" s="2" t="n"/>
      <c r="T3588" s="3" t="n"/>
      <c r="U3588" s="87" t="n"/>
      <c r="V3588" s="3" t="n"/>
      <c r="W3588" s="108" t="n"/>
      <c r="X3588" s="4" t="n"/>
    </row>
    <row r="3589" ht="24" customHeight="1">
      <c r="A3589" s="2">
        <f>+D3589-S3589</f>
        <v/>
      </c>
      <c r="B3589" s="80" t="n">
        <v>5179</v>
      </c>
      <c r="C3589" s="66" t="n">
        <v>46003</v>
      </c>
      <c r="D3589" s="2" t="n">
        <v>1</v>
      </c>
      <c r="E3589" s="3" t="inlineStr">
        <is>
          <t>FUCILE SEMIAUTOMATICO</t>
        </is>
      </c>
      <c r="F3589" s="3" t="inlineStr">
        <is>
          <t>12</t>
        </is>
      </c>
      <c r="G3589" s="84" t="inlineStr">
        <is>
          <t>BENELLI</t>
        </is>
      </c>
      <c r="H3589" s="107" t="inlineStr">
        <is>
          <t>RAFFAELLO BLACK 30''</t>
        </is>
      </c>
      <c r="I3589" s="107" t="inlineStr">
        <is>
          <t>F440491H</t>
        </is>
      </c>
      <c r="J3589" s="107" t="inlineStr">
        <is>
          <t>C1653394D</t>
        </is>
      </c>
      <c r="K3589" s="65" t="inlineStr">
        <is>
          <t>N/D</t>
        </is>
      </c>
      <c r="L3589" s="127" t="inlineStr">
        <is>
          <t>BENELLI ARMI SPA</t>
        </is>
      </c>
      <c r="M3589" s="5" t="n">
        <v>1077</v>
      </c>
      <c r="N3589" s="5" t="n"/>
      <c r="O3589" s="5">
        <f>+M3589+N3589</f>
        <v/>
      </c>
      <c r="P3589" s="4" t="n">
        <v>46002</v>
      </c>
      <c r="Q3589" s="87" t="n">
        <v>46002</v>
      </c>
      <c r="R3589" s="5" t="n"/>
      <c r="S3589" s="2" t="n"/>
      <c r="T3589" s="3" t="n"/>
      <c r="U3589" s="87" t="n"/>
      <c r="V3589" s="3" t="n"/>
      <c r="W3589" s="108" t="n"/>
      <c r="X3589" s="4" t="n"/>
    </row>
    <row r="3590" ht="24" customHeight="1">
      <c r="A3590" s="2">
        <f>+D3590-S3590</f>
        <v/>
      </c>
      <c r="B3590" s="80" t="n">
        <v>5180</v>
      </c>
      <c r="C3590" s="66" t="n">
        <v>46003</v>
      </c>
      <c r="D3590" s="2" t="n">
        <v>1</v>
      </c>
      <c r="E3590" s="3" t="inlineStr">
        <is>
          <t>FUCILE SEMIAUTOMATICO</t>
        </is>
      </c>
      <c r="F3590" s="3" t="inlineStr">
        <is>
          <t>12</t>
        </is>
      </c>
      <c r="G3590" s="84" t="inlineStr">
        <is>
          <t>BENELLI</t>
        </is>
      </c>
      <c r="H3590" s="107" t="inlineStr">
        <is>
          <t xml:space="preserve">SBE3 TUN CER 28'' </t>
        </is>
      </c>
      <c r="I3590" s="107" t="inlineStr">
        <is>
          <t>U779276H</t>
        </is>
      </c>
      <c r="J3590" s="107" t="inlineStr">
        <is>
          <t>S816376U</t>
        </is>
      </c>
      <c r="K3590" s="65" t="inlineStr">
        <is>
          <t>N/D</t>
        </is>
      </c>
      <c r="L3590" s="127" t="inlineStr">
        <is>
          <t>BENELLI ARMI SPA</t>
        </is>
      </c>
      <c r="M3590" s="5" t="n">
        <v>1382</v>
      </c>
      <c r="N3590" s="5" t="n"/>
      <c r="O3590" s="5">
        <f>+M3590+N3590</f>
        <v/>
      </c>
      <c r="P3590" s="4" t="n">
        <v>46002</v>
      </c>
      <c r="Q3590" s="87" t="n">
        <v>46002</v>
      </c>
      <c r="R3590" s="5" t="n"/>
      <c r="S3590" s="2" t="n"/>
      <c r="T3590" s="3" t="n"/>
      <c r="U3590" s="87" t="n"/>
      <c r="V3590" s="3" t="n"/>
      <c r="W3590" s="108" t="n"/>
      <c r="X3590" s="4" t="n"/>
    </row>
    <row r="3591" ht="24" customHeight="1">
      <c r="A3591" s="2">
        <f>+D3591-S3591</f>
        <v/>
      </c>
      <c r="B3591" s="80" t="n">
        <v>5181</v>
      </c>
      <c r="C3591" s="66" t="n">
        <v>46003</v>
      </c>
      <c r="D3591" s="2" t="n">
        <v>1</v>
      </c>
      <c r="E3591" s="3" t="inlineStr">
        <is>
          <t>FUCILE SEMIAUTOMATICO</t>
        </is>
      </c>
      <c r="F3591" s="3" t="inlineStr">
        <is>
          <t>12</t>
        </is>
      </c>
      <c r="G3591" s="84" t="inlineStr">
        <is>
          <t>BENELLI</t>
        </is>
      </c>
      <c r="H3591" s="107" t="inlineStr">
        <is>
          <t xml:space="preserve">SBE3 TUN CER 28'' </t>
        </is>
      </c>
      <c r="I3591" s="107" t="inlineStr">
        <is>
          <t>U785605F</t>
        </is>
      </c>
      <c r="J3591" s="107" t="inlineStr">
        <is>
          <t>S824311B</t>
        </is>
      </c>
      <c r="K3591" s="65" t="inlineStr">
        <is>
          <t>N/D</t>
        </is>
      </c>
      <c r="L3591" s="127" t="inlineStr">
        <is>
          <t>BENELLI ARMI SPA</t>
        </is>
      </c>
      <c r="M3591" s="5" t="n">
        <v>1382</v>
      </c>
      <c r="N3591" s="5" t="n"/>
      <c r="O3591" s="5">
        <f>+M3591+N3591</f>
        <v/>
      </c>
      <c r="P3591" s="4" t="n">
        <v>46002</v>
      </c>
      <c r="Q3591" s="87" t="n">
        <v>46002</v>
      </c>
      <c r="R3591" s="5" t="n"/>
      <c r="S3591" s="2" t="n"/>
      <c r="T3591" s="3" t="n"/>
      <c r="U3591" s="87" t="n"/>
      <c r="V3591" s="3" t="n"/>
      <c r="W3591" s="108" t="n"/>
      <c r="X3591" s="4" t="n"/>
    </row>
    <row r="3592" ht="24" customHeight="1">
      <c r="A3592" s="2">
        <f>+D3592-S3592</f>
        <v/>
      </c>
      <c r="B3592" s="80" t="n">
        <v>5182</v>
      </c>
      <c r="C3592" s="66" t="n">
        <v>46003</v>
      </c>
      <c r="D3592" s="2" t="n">
        <v>1</v>
      </c>
      <c r="E3592" s="3" t="inlineStr">
        <is>
          <t>FUCILE SEMIAUTOMATICO</t>
        </is>
      </c>
      <c r="F3592" s="3" t="inlineStr">
        <is>
          <t>12</t>
        </is>
      </c>
      <c r="G3592" s="84" t="inlineStr">
        <is>
          <t>BENELLI</t>
        </is>
      </c>
      <c r="H3592" s="107" t="inlineStr">
        <is>
          <t xml:space="preserve">SBE3 TUN CER 28'' </t>
        </is>
      </c>
      <c r="I3592" s="107" t="inlineStr">
        <is>
          <t>U792668S</t>
        </is>
      </c>
      <c r="J3592" s="107" t="inlineStr">
        <is>
          <t>S831704Q</t>
        </is>
      </c>
      <c r="K3592" s="65" t="inlineStr">
        <is>
          <t>N/D</t>
        </is>
      </c>
      <c r="L3592" s="127" t="inlineStr">
        <is>
          <t>BENELLI ARMI SPA</t>
        </is>
      </c>
      <c r="M3592" s="5" t="n">
        <v>1382</v>
      </c>
      <c r="N3592" s="5" t="n"/>
      <c r="O3592" s="5">
        <f>+M3592+N3592</f>
        <v/>
      </c>
      <c r="P3592" s="4" t="n">
        <v>46002</v>
      </c>
      <c r="Q3592" s="87" t="n">
        <v>46002</v>
      </c>
      <c r="R3592" s="5" t="n"/>
      <c r="S3592" s="2" t="n"/>
      <c r="T3592" s="3" t="n"/>
      <c r="U3592" s="87" t="n"/>
      <c r="V3592" s="3" t="n"/>
      <c r="W3592" s="108" t="n"/>
      <c r="X3592" s="4" t="n"/>
    </row>
    <row r="3593" ht="24" customHeight="1">
      <c r="A3593" s="2">
        <f>+D3593-S3593</f>
        <v/>
      </c>
      <c r="B3593" s="80" t="n">
        <v>5183</v>
      </c>
      <c r="C3593" s="66" t="n">
        <v>46003</v>
      </c>
      <c r="D3593" s="2" t="n">
        <v>1</v>
      </c>
      <c r="E3593" s="3" t="inlineStr">
        <is>
          <t>FUCILE SEMIAUTOMATICO</t>
        </is>
      </c>
      <c r="F3593" s="3" t="inlineStr">
        <is>
          <t>12</t>
        </is>
      </c>
      <c r="G3593" s="84" t="inlineStr">
        <is>
          <t>BENELLI</t>
        </is>
      </c>
      <c r="H3593" s="107" t="inlineStr">
        <is>
          <t xml:space="preserve">SBE3 TUN CER 28'' </t>
        </is>
      </c>
      <c r="I3593" s="107" t="inlineStr">
        <is>
          <t>U776856R</t>
        </is>
      </c>
      <c r="J3593" s="107" t="inlineStr">
        <is>
          <t>S815474Q</t>
        </is>
      </c>
      <c r="K3593" s="65" t="inlineStr">
        <is>
          <t>N/D</t>
        </is>
      </c>
      <c r="L3593" s="127" t="inlineStr">
        <is>
          <t>BENELLI ARMI SPA</t>
        </is>
      </c>
      <c r="M3593" s="5" t="n">
        <v>1382</v>
      </c>
      <c r="N3593" s="5" t="n"/>
      <c r="O3593" s="5">
        <f>+M3593+N3593</f>
        <v/>
      </c>
      <c r="P3593" s="4" t="n">
        <v>46002</v>
      </c>
      <c r="Q3593" s="87" t="n">
        <v>46002</v>
      </c>
      <c r="R3593" s="5" t="n"/>
      <c r="S3593" s="2" t="n"/>
      <c r="T3593" s="3" t="n"/>
      <c r="U3593" s="87" t="n"/>
      <c r="V3593" s="3" t="n"/>
      <c r="W3593" s="108" t="n"/>
      <c r="X3593" s="4" t="n"/>
    </row>
    <row r="3594" ht="24" customHeight="1">
      <c r="A3594" s="2">
        <f>+D3594-S3594</f>
        <v/>
      </c>
      <c r="B3594" s="80" t="n">
        <v>5184</v>
      </c>
      <c r="C3594" s="66" t="n">
        <v>46003</v>
      </c>
      <c r="D3594" s="2" t="n">
        <v>1</v>
      </c>
      <c r="E3594" s="3" t="inlineStr">
        <is>
          <t>FUCILE SEMIAUTOMATICO</t>
        </is>
      </c>
      <c r="F3594" s="3" t="inlineStr">
        <is>
          <t>12</t>
        </is>
      </c>
      <c r="G3594" s="84" t="inlineStr">
        <is>
          <t>BENELLI</t>
        </is>
      </c>
      <c r="H3594" s="107" t="inlineStr">
        <is>
          <t xml:space="preserve">SBE3 TUN CER 28'' </t>
        </is>
      </c>
      <c r="I3594" s="107" t="inlineStr">
        <is>
          <t>U791897W</t>
        </is>
      </c>
      <c r="J3594" s="107" t="inlineStr">
        <is>
          <t>S830894A</t>
        </is>
      </c>
      <c r="K3594" s="65" t="inlineStr">
        <is>
          <t>N/D</t>
        </is>
      </c>
      <c r="L3594" s="127" t="inlineStr">
        <is>
          <t>BENELLI ARMI SPA</t>
        </is>
      </c>
      <c r="M3594" s="5" t="n">
        <v>1382</v>
      </c>
      <c r="N3594" s="5" t="n"/>
      <c r="O3594" s="5">
        <f>+M3594+N3594</f>
        <v/>
      </c>
      <c r="P3594" s="4" t="n">
        <v>46002</v>
      </c>
      <c r="Q3594" s="87" t="n">
        <v>46002</v>
      </c>
      <c r="R3594" s="5" t="n"/>
      <c r="S3594" s="2" t="n"/>
      <c r="T3594" s="3" t="n"/>
      <c r="U3594" s="87" t="n"/>
      <c r="V3594" s="3" t="n"/>
      <c r="W3594" s="108" t="n"/>
      <c r="X3594" s="4" t="n"/>
    </row>
    <row r="3595" ht="24" customHeight="1">
      <c r="A3595" s="2">
        <f>+D3595-S3595</f>
        <v/>
      </c>
      <c r="B3595" s="80" t="n">
        <v>5185</v>
      </c>
      <c r="C3595" s="66" t="n">
        <v>46003</v>
      </c>
      <c r="D3595" s="2" t="n">
        <v>1</v>
      </c>
      <c r="E3595" s="3" t="inlineStr">
        <is>
          <t>FUCILE SEMIAUTOMATICO</t>
        </is>
      </c>
      <c r="F3595" s="3" t="inlineStr">
        <is>
          <t>12</t>
        </is>
      </c>
      <c r="G3595" s="84" t="inlineStr">
        <is>
          <t>BENELLI</t>
        </is>
      </c>
      <c r="H3595" s="107" t="inlineStr">
        <is>
          <t>M2 SPEED 26''</t>
        </is>
      </c>
      <c r="I3595" s="107" t="inlineStr">
        <is>
          <t>M0193314C</t>
        </is>
      </c>
      <c r="J3595" s="107" t="inlineStr">
        <is>
          <t>C1676712X</t>
        </is>
      </c>
      <c r="K3595" s="65" t="inlineStr">
        <is>
          <t>N/D</t>
        </is>
      </c>
      <c r="L3595" s="127" t="inlineStr">
        <is>
          <t>BENELLI ARMI SPA</t>
        </is>
      </c>
      <c r="M3595" s="5" t="n">
        <v>971</v>
      </c>
      <c r="N3595" s="5" t="n"/>
      <c r="O3595" s="5">
        <f>+M3595+N3595</f>
        <v/>
      </c>
      <c r="P3595" s="4" t="n">
        <v>46002</v>
      </c>
      <c r="Q3595" s="87" t="n">
        <v>46002</v>
      </c>
      <c r="R3595" s="5" t="n"/>
      <c r="S3595" s="2" t="n"/>
      <c r="T3595" s="3" t="n"/>
      <c r="U3595" s="87" t="n"/>
      <c r="V3595" s="3" t="n"/>
      <c r="W3595" s="108" t="n"/>
      <c r="X3595" s="4" t="n"/>
    </row>
    <row r="3596" ht="24" customHeight="1">
      <c r="A3596" s="2">
        <f>+D3596-S3596</f>
        <v/>
      </c>
      <c r="B3596" s="80" t="n">
        <v>5186</v>
      </c>
      <c r="C3596" s="66" t="n">
        <v>46003</v>
      </c>
      <c r="D3596" s="2" t="n">
        <v>1</v>
      </c>
      <c r="E3596" s="3" t="inlineStr">
        <is>
          <t>FUCILE SEMIAUTOMATICO</t>
        </is>
      </c>
      <c r="F3596" s="3" t="inlineStr">
        <is>
          <t>12</t>
        </is>
      </c>
      <c r="G3596" s="84" t="inlineStr">
        <is>
          <t>BENELLI</t>
        </is>
      </c>
      <c r="H3596" s="107" t="inlineStr">
        <is>
          <t>M2 SPEED 26''</t>
        </is>
      </c>
      <c r="I3596" s="107" t="inlineStr">
        <is>
          <t>M0193323D</t>
        </is>
      </c>
      <c r="J3596" s="107" t="inlineStr">
        <is>
          <t>C1676718D</t>
        </is>
      </c>
      <c r="K3596" s="65" t="inlineStr">
        <is>
          <t>N/D</t>
        </is>
      </c>
      <c r="L3596" s="127" t="inlineStr">
        <is>
          <t>BENELLI ARMI SPA</t>
        </is>
      </c>
      <c r="M3596" s="5" t="n">
        <v>971</v>
      </c>
      <c r="N3596" s="5" t="n"/>
      <c r="O3596" s="5">
        <f>+M3596+N3596</f>
        <v/>
      </c>
      <c r="P3596" s="4" t="n">
        <v>46002</v>
      </c>
      <c r="Q3596" s="87" t="n">
        <v>46002</v>
      </c>
      <c r="R3596" s="5" t="n"/>
      <c r="S3596" s="2" t="n"/>
      <c r="T3596" s="3" t="n"/>
      <c r="U3596" s="87" t="n"/>
      <c r="V3596" s="3" t="n"/>
      <c r="W3596" s="108" t="n"/>
      <c r="X3596" s="4" t="n"/>
    </row>
    <row r="3597" ht="24" customHeight="1">
      <c r="A3597" s="2">
        <f>+D3597-S3597</f>
        <v/>
      </c>
      <c r="B3597" s="80" t="n">
        <v>5187</v>
      </c>
      <c r="C3597" s="66" t="n">
        <v>46003</v>
      </c>
      <c r="D3597" s="2" t="n">
        <v>1</v>
      </c>
      <c r="E3597" s="3" t="inlineStr">
        <is>
          <t>FUCILE SEMIAUTOMATICO</t>
        </is>
      </c>
      <c r="F3597" s="3" t="inlineStr">
        <is>
          <t>12</t>
        </is>
      </c>
      <c r="G3597" s="84" t="inlineStr">
        <is>
          <t>BENELLI</t>
        </is>
      </c>
      <c r="H3597" s="107" t="inlineStr">
        <is>
          <t>M2 SPEED 26''</t>
        </is>
      </c>
      <c r="I3597" s="107" t="inlineStr">
        <is>
          <t>M0198188G</t>
        </is>
      </c>
      <c r="J3597" s="107" t="inlineStr">
        <is>
          <t>C1684413R</t>
        </is>
      </c>
      <c r="K3597" s="65" t="inlineStr">
        <is>
          <t>N/D</t>
        </is>
      </c>
      <c r="L3597" s="127" t="inlineStr">
        <is>
          <t>BENELLI ARMI SPA</t>
        </is>
      </c>
      <c r="M3597" s="5" t="n">
        <v>971</v>
      </c>
      <c r="N3597" s="5" t="n"/>
      <c r="O3597" s="5">
        <f>+M3597+N3597</f>
        <v/>
      </c>
      <c r="P3597" s="4" t="n">
        <v>46002</v>
      </c>
      <c r="Q3597" s="87" t="n">
        <v>46002</v>
      </c>
      <c r="R3597" s="5" t="n"/>
      <c r="S3597" s="2" t="n"/>
      <c r="T3597" s="3" t="n"/>
      <c r="U3597" s="87" t="n"/>
      <c r="V3597" s="3" t="n"/>
      <c r="W3597" s="108" t="n"/>
      <c r="X3597" s="4" t="n"/>
    </row>
    <row r="3598" ht="24" customHeight="1">
      <c r="A3598" s="2">
        <f>+D3598-S3598</f>
        <v/>
      </c>
      <c r="B3598" s="80" t="n">
        <v>5188</v>
      </c>
      <c r="C3598" s="66" t="n">
        <v>46003</v>
      </c>
      <c r="D3598" s="2" t="n">
        <v>1</v>
      </c>
      <c r="E3598" s="3" t="inlineStr">
        <is>
          <t>FUCILE SEMIAUTOMATICO</t>
        </is>
      </c>
      <c r="F3598" s="3" t="inlineStr">
        <is>
          <t>12</t>
        </is>
      </c>
      <c r="G3598" s="84" t="inlineStr">
        <is>
          <t>BENELLI</t>
        </is>
      </c>
      <c r="H3598" s="107" t="inlineStr">
        <is>
          <t>M2 SPEED 26''</t>
        </is>
      </c>
      <c r="I3598" s="107" t="inlineStr">
        <is>
          <t>M0198190A</t>
        </is>
      </c>
      <c r="J3598" s="107" t="inlineStr">
        <is>
          <t>C1684411P</t>
        </is>
      </c>
      <c r="K3598" s="65" t="inlineStr">
        <is>
          <t>N/D</t>
        </is>
      </c>
      <c r="L3598" s="127" t="inlineStr">
        <is>
          <t>BENELLI ARMI SPA</t>
        </is>
      </c>
      <c r="M3598" s="5" t="n">
        <v>971</v>
      </c>
      <c r="N3598" s="5" t="n"/>
      <c r="O3598" s="5">
        <f>+M3598+N3598</f>
        <v/>
      </c>
      <c r="P3598" s="4" t="n">
        <v>46002</v>
      </c>
      <c r="Q3598" s="87" t="n">
        <v>46002</v>
      </c>
      <c r="R3598" s="5" t="n"/>
      <c r="S3598" s="2" t="n"/>
      <c r="T3598" s="3" t="n"/>
      <c r="U3598" s="87" t="n"/>
      <c r="V3598" s="3" t="n"/>
      <c r="W3598" s="108" t="n"/>
      <c r="X3598" s="4" t="n"/>
    </row>
    <row r="3599" ht="24" customHeight="1">
      <c r="A3599" s="2">
        <f>+D3599-S3599</f>
        <v/>
      </c>
      <c r="B3599" s="80" t="n">
        <v>5189</v>
      </c>
      <c r="C3599" s="66" t="n">
        <v>46003</v>
      </c>
      <c r="D3599" s="2" t="n">
        <v>1</v>
      </c>
      <c r="E3599" s="3" t="inlineStr">
        <is>
          <t>FUCILE SEMIAUTOMATICO</t>
        </is>
      </c>
      <c r="F3599" s="3" t="inlineStr">
        <is>
          <t>12</t>
        </is>
      </c>
      <c r="G3599" s="84" t="inlineStr">
        <is>
          <t>BENELLI</t>
        </is>
      </c>
      <c r="H3599" s="107" t="inlineStr">
        <is>
          <t>M2 SPEED 26''</t>
        </is>
      </c>
      <c r="I3599" s="107" t="inlineStr">
        <is>
          <t>M0196890D</t>
        </is>
      </c>
      <c r="J3599" s="107" t="inlineStr">
        <is>
          <t>C1682366A</t>
        </is>
      </c>
      <c r="K3599" s="65" t="inlineStr">
        <is>
          <t>N/D</t>
        </is>
      </c>
      <c r="L3599" s="127" t="inlineStr">
        <is>
          <t>BENELLI ARMI SPA</t>
        </is>
      </c>
      <c r="M3599" s="5" t="n">
        <v>971</v>
      </c>
      <c r="N3599" s="5" t="n"/>
      <c r="O3599" s="5">
        <f>+M3599+N3599</f>
        <v/>
      </c>
      <c r="P3599" s="4" t="n">
        <v>46002</v>
      </c>
      <c r="Q3599" s="87" t="n">
        <v>46002</v>
      </c>
      <c r="R3599" s="5" t="n"/>
      <c r="S3599" s="2" t="n"/>
      <c r="T3599" s="3" t="n"/>
      <c r="U3599" s="87" t="n"/>
      <c r="V3599" s="3" t="n"/>
      <c r="W3599" s="108" t="n"/>
      <c r="X3599" s="4" t="n"/>
    </row>
    <row r="3600" ht="24" customHeight="1">
      <c r="A3600" s="2">
        <f>+D3600-S3600</f>
        <v/>
      </c>
      <c r="B3600" s="80" t="n">
        <v>5190</v>
      </c>
      <c r="C3600" s="66" t="n">
        <v>46003</v>
      </c>
      <c r="D3600" s="2" t="n">
        <v>1</v>
      </c>
      <c r="E3600" s="3" t="inlineStr">
        <is>
          <t>FUCILE SEMIAUTOMATICO</t>
        </is>
      </c>
      <c r="F3600" s="3" t="inlineStr">
        <is>
          <t>12</t>
        </is>
      </c>
      <c r="G3600" s="84" t="inlineStr">
        <is>
          <t>BENELLI</t>
        </is>
      </c>
      <c r="H3600" s="107" t="inlineStr">
        <is>
          <t>M2 SPEED 26''</t>
        </is>
      </c>
      <c r="I3600" s="107" t="inlineStr">
        <is>
          <t>M0198255Y</t>
        </is>
      </c>
      <c r="J3600" s="107" t="inlineStr">
        <is>
          <t>C1683309S</t>
        </is>
      </c>
      <c r="K3600" s="65" t="inlineStr">
        <is>
          <t>N/D</t>
        </is>
      </c>
      <c r="L3600" s="127" t="inlineStr">
        <is>
          <t>BENELLI ARMI SPA</t>
        </is>
      </c>
      <c r="M3600" s="5" t="n">
        <v>971</v>
      </c>
      <c r="N3600" s="5" t="n"/>
      <c r="O3600" s="5">
        <f>+M3600+N3600</f>
        <v/>
      </c>
      <c r="P3600" s="4" t="n">
        <v>46002</v>
      </c>
      <c r="Q3600" s="87" t="n">
        <v>46002</v>
      </c>
      <c r="R3600" s="5" t="n"/>
      <c r="S3600" s="2" t="n"/>
      <c r="T3600" s="3" t="n"/>
      <c r="U3600" s="87" t="n"/>
      <c r="V3600" s="3" t="n"/>
      <c r="W3600" s="108" t="n"/>
      <c r="X3600" s="4" t="n"/>
    </row>
    <row r="3601" ht="24" customHeight="1">
      <c r="A3601" s="2">
        <f>+D3601-S3601</f>
        <v/>
      </c>
      <c r="B3601" s="80" t="n">
        <v>5191</v>
      </c>
      <c r="C3601" s="66" t="n">
        <v>46003</v>
      </c>
      <c r="D3601" s="2" t="n">
        <v>1</v>
      </c>
      <c r="E3601" s="3" t="inlineStr">
        <is>
          <t>FUCILE SEMIAUTOMATICO</t>
        </is>
      </c>
      <c r="F3601" s="3" t="inlineStr">
        <is>
          <t>12</t>
        </is>
      </c>
      <c r="G3601" s="84" t="inlineStr">
        <is>
          <t>BENELLI</t>
        </is>
      </c>
      <c r="H3601" s="107" t="inlineStr">
        <is>
          <t>M2 SPEED 26''</t>
        </is>
      </c>
      <c r="I3601" s="107" t="inlineStr">
        <is>
          <t>M0193324E</t>
        </is>
      </c>
      <c r="J3601" s="107" t="inlineStr">
        <is>
          <t>C1676719E</t>
        </is>
      </c>
      <c r="K3601" s="65" t="inlineStr">
        <is>
          <t>N/D</t>
        </is>
      </c>
      <c r="L3601" s="127" t="inlineStr">
        <is>
          <t>BENELLI ARMI SPA</t>
        </is>
      </c>
      <c r="M3601" s="5" t="n">
        <v>971</v>
      </c>
      <c r="N3601" s="5" t="n"/>
      <c r="O3601" s="5">
        <f>+M3601+N3601</f>
        <v/>
      </c>
      <c r="P3601" s="4" t="n">
        <v>46002</v>
      </c>
      <c r="Q3601" s="87" t="n">
        <v>46002</v>
      </c>
      <c r="R3601" s="5" t="n"/>
      <c r="S3601" s="2" t="n"/>
      <c r="T3601" s="3" t="n"/>
      <c r="U3601" s="87" t="n"/>
      <c r="V3601" s="3" t="n"/>
      <c r="W3601" s="108" t="n"/>
      <c r="X3601" s="4" t="n"/>
    </row>
    <row r="3602" ht="24" customHeight="1">
      <c r="A3602" s="2">
        <f>+D3602-S3602</f>
        <v/>
      </c>
      <c r="B3602" s="80" t="n">
        <v>5192</v>
      </c>
      <c r="C3602" s="66" t="n">
        <v>46003</v>
      </c>
      <c r="D3602" s="2" t="n">
        <v>1</v>
      </c>
      <c r="E3602" s="3" t="inlineStr">
        <is>
          <t>FUCILE SEMIAUTOMATICO</t>
        </is>
      </c>
      <c r="F3602" s="3" t="inlineStr">
        <is>
          <t>12</t>
        </is>
      </c>
      <c r="G3602" s="84" t="inlineStr">
        <is>
          <t>BENELLI</t>
        </is>
      </c>
      <c r="H3602" s="107" t="inlineStr">
        <is>
          <t>M2 SPEED 26''</t>
        </is>
      </c>
      <c r="I3602" s="107" t="inlineStr">
        <is>
          <t>M0198187F</t>
        </is>
      </c>
      <c r="J3602" s="107" t="inlineStr">
        <is>
          <t>C1684412Q</t>
        </is>
      </c>
      <c r="K3602" s="65" t="inlineStr">
        <is>
          <t>N/D</t>
        </is>
      </c>
      <c r="L3602" s="127" t="inlineStr">
        <is>
          <t>BENELLI ARMI SPA</t>
        </is>
      </c>
      <c r="M3602" s="5" t="n">
        <v>971</v>
      </c>
      <c r="N3602" s="5" t="n"/>
      <c r="O3602" s="5">
        <f>+M3602+N3602</f>
        <v/>
      </c>
      <c r="P3602" s="4" t="n">
        <v>46002</v>
      </c>
      <c r="Q3602" s="87" t="n">
        <v>46002</v>
      </c>
      <c r="R3602" s="5" t="n"/>
      <c r="S3602" s="2" t="n"/>
      <c r="T3602" s="3" t="n"/>
      <c r="U3602" s="87" t="n"/>
      <c r="V3602" s="3" t="n"/>
      <c r="W3602" s="108" t="n"/>
      <c r="X3602" s="4" t="n"/>
    </row>
    <row r="3603" ht="24" customHeight="1">
      <c r="A3603" s="2">
        <f>+D3603-S3603</f>
        <v/>
      </c>
      <c r="B3603" s="80" t="n">
        <v>5193</v>
      </c>
      <c r="C3603" s="66" t="n">
        <v>46003</v>
      </c>
      <c r="D3603" s="2" t="n">
        <v>1</v>
      </c>
      <c r="E3603" s="3" t="inlineStr">
        <is>
          <t>FUCILE SEMIAUTOMATICO</t>
        </is>
      </c>
      <c r="F3603" s="3" t="inlineStr">
        <is>
          <t>12</t>
        </is>
      </c>
      <c r="G3603" s="84" t="inlineStr">
        <is>
          <t>BENELLI</t>
        </is>
      </c>
      <c r="H3603" s="107" t="inlineStr">
        <is>
          <t>M2 SPEED 26''</t>
        </is>
      </c>
      <c r="I3603" s="107" t="inlineStr">
        <is>
          <t>M0198189H</t>
        </is>
      </c>
      <c r="J3603" s="107" t="inlineStr">
        <is>
          <t>C1684410N</t>
        </is>
      </c>
      <c r="K3603" s="65" t="inlineStr">
        <is>
          <t>N/D</t>
        </is>
      </c>
      <c r="L3603" s="127" t="inlineStr">
        <is>
          <t>BENELLI ARMI SPA</t>
        </is>
      </c>
      <c r="M3603" s="5" t="n">
        <v>971</v>
      </c>
      <c r="N3603" s="5" t="n"/>
      <c r="O3603" s="5">
        <f>+M3603+N3603</f>
        <v/>
      </c>
      <c r="P3603" s="4" t="n">
        <v>46002</v>
      </c>
      <c r="Q3603" s="87" t="n">
        <v>46002</v>
      </c>
      <c r="R3603" s="5" t="n"/>
      <c r="S3603" s="2" t="n"/>
      <c r="T3603" s="3" t="n"/>
      <c r="U3603" s="87" t="n"/>
      <c r="V3603" s="3" t="n"/>
      <c r="W3603" s="108" t="n"/>
      <c r="X3603" s="4" t="n"/>
    </row>
    <row r="3604" ht="24" customHeight="1">
      <c r="A3604" s="2">
        <f>+D3604-S3604</f>
        <v/>
      </c>
      <c r="B3604" s="80" t="n">
        <v>5194</v>
      </c>
      <c r="C3604" s="66" t="n">
        <v>46003</v>
      </c>
      <c r="D3604" s="2" t="n">
        <v>1</v>
      </c>
      <c r="E3604" s="3" t="inlineStr">
        <is>
          <t>FUCILE SEMIAUTOMATICO</t>
        </is>
      </c>
      <c r="F3604" s="3" t="inlineStr">
        <is>
          <t>12</t>
        </is>
      </c>
      <c r="G3604" s="84" t="inlineStr">
        <is>
          <t>BENELLI</t>
        </is>
      </c>
      <c r="H3604" s="107" t="inlineStr">
        <is>
          <t>M2 SPEED 26''</t>
        </is>
      </c>
      <c r="I3604" s="107" t="inlineStr">
        <is>
          <t>M0202779R</t>
        </is>
      </c>
      <c r="J3604" s="107" t="inlineStr">
        <is>
          <t>C1693968M</t>
        </is>
      </c>
      <c r="K3604" s="65" t="inlineStr">
        <is>
          <t>N/D</t>
        </is>
      </c>
      <c r="L3604" s="127" t="inlineStr">
        <is>
          <t>BENELLI ARMI SPA</t>
        </is>
      </c>
      <c r="M3604" s="5" t="n">
        <v>971</v>
      </c>
      <c r="N3604" s="5" t="n"/>
      <c r="O3604" s="5">
        <f>+M3604+N3604</f>
        <v/>
      </c>
      <c r="P3604" s="4" t="n">
        <v>46002</v>
      </c>
      <c r="Q3604" s="87" t="n">
        <v>46002</v>
      </c>
      <c r="R3604" s="5" t="n"/>
      <c r="S3604" s="2" t="n"/>
      <c r="T3604" s="3" t="n"/>
      <c r="U3604" s="87" t="n"/>
      <c r="V3604" s="3" t="n"/>
      <c r="W3604" s="108" t="n"/>
      <c r="X3604" s="4" t="n"/>
    </row>
    <row r="3605" ht="24" customHeight="1">
      <c r="A3605" s="2">
        <f>+D3605-S3605</f>
        <v/>
      </c>
      <c r="B3605" s="80" t="n">
        <v>5195</v>
      </c>
      <c r="C3605" s="66" t="n">
        <v>46003</v>
      </c>
      <c r="D3605" s="2" t="n">
        <v>1</v>
      </c>
      <c r="E3605" s="3" t="inlineStr">
        <is>
          <t>FUCILE SEMIAUTOMATICO</t>
        </is>
      </c>
      <c r="F3605" s="3" t="inlineStr">
        <is>
          <t>12</t>
        </is>
      </c>
      <c r="G3605" s="84" t="inlineStr">
        <is>
          <t>BENELLI</t>
        </is>
      </c>
      <c r="H3605" s="107" t="inlineStr">
        <is>
          <t>M2 SPEED 24''</t>
        </is>
      </c>
      <c r="I3605" s="107" t="inlineStr">
        <is>
          <t>M0196314K</t>
        </is>
      </c>
      <c r="J3605" s="107" t="inlineStr">
        <is>
          <t>C1681531N</t>
        </is>
      </c>
      <c r="K3605" s="65" t="inlineStr">
        <is>
          <t>N/D</t>
        </is>
      </c>
      <c r="L3605" s="127" t="inlineStr">
        <is>
          <t>BENELLI ARMI SPA</t>
        </is>
      </c>
      <c r="M3605" s="5" t="n">
        <v>971</v>
      </c>
      <c r="N3605" s="5" t="n"/>
      <c r="O3605" s="5">
        <f>+M3605+N3605</f>
        <v/>
      </c>
      <c r="P3605" s="4" t="n">
        <v>46002</v>
      </c>
      <c r="Q3605" s="87" t="n">
        <v>46002</v>
      </c>
      <c r="R3605" s="5" t="n"/>
      <c r="S3605" s="2" t="n"/>
      <c r="T3605" s="3" t="n"/>
      <c r="U3605" s="87" t="n"/>
      <c r="V3605" s="3" t="n"/>
      <c r="W3605" s="108" t="n"/>
      <c r="X3605" s="4" t="n"/>
    </row>
    <row r="3606" ht="24" customHeight="1">
      <c r="A3606" s="2">
        <f>+D3606-S3606</f>
        <v/>
      </c>
      <c r="B3606" s="80" t="n">
        <v>5196</v>
      </c>
      <c r="C3606" s="66" t="n">
        <v>46003</v>
      </c>
      <c r="D3606" s="2" t="n">
        <v>1</v>
      </c>
      <c r="E3606" s="3" t="inlineStr">
        <is>
          <t>FUCILE SEMIAUTOMATICO</t>
        </is>
      </c>
      <c r="F3606" s="3" t="inlineStr">
        <is>
          <t>12</t>
        </is>
      </c>
      <c r="G3606" s="84" t="inlineStr">
        <is>
          <t>BENELLI</t>
        </is>
      </c>
      <c r="H3606" s="107" t="inlineStr">
        <is>
          <t>M2 SPEED 24''</t>
        </is>
      </c>
      <c r="I3606" s="107" t="inlineStr">
        <is>
          <t>M0196055S</t>
        </is>
      </c>
      <c r="J3606" s="107" t="inlineStr">
        <is>
          <t>C1681156U</t>
        </is>
      </c>
      <c r="K3606" s="65" t="inlineStr">
        <is>
          <t>N/D</t>
        </is>
      </c>
      <c r="L3606" s="127" t="inlineStr">
        <is>
          <t>BENELLI ARMI SPA</t>
        </is>
      </c>
      <c r="M3606" s="5" t="n">
        <v>971</v>
      </c>
      <c r="N3606" s="5" t="n"/>
      <c r="O3606" s="5">
        <f>+M3606+N3606</f>
        <v/>
      </c>
      <c r="P3606" s="4" t="n">
        <v>46002</v>
      </c>
      <c r="Q3606" s="87" t="n">
        <v>46002</v>
      </c>
      <c r="R3606" s="5" t="n"/>
      <c r="S3606" s="2" t="n"/>
      <c r="T3606" s="3" t="n"/>
      <c r="U3606" s="87" t="n"/>
      <c r="V3606" s="3" t="n"/>
      <c r="W3606" s="108" t="n"/>
      <c r="X3606" s="4" t="n"/>
    </row>
    <row r="3607" ht="24" customHeight="1">
      <c r="A3607" s="2">
        <f>+D3607-S3607</f>
        <v/>
      </c>
      <c r="B3607" s="80" t="n">
        <v>5197</v>
      </c>
      <c r="C3607" s="66" t="n">
        <v>46003</v>
      </c>
      <c r="D3607" s="2" t="n">
        <v>1</v>
      </c>
      <c r="E3607" s="3" t="inlineStr">
        <is>
          <t>FUCILE SEMIAUTOMATICO</t>
        </is>
      </c>
      <c r="F3607" s="3" t="inlineStr">
        <is>
          <t>12</t>
        </is>
      </c>
      <c r="G3607" s="84" t="inlineStr">
        <is>
          <t>BENELLI</t>
        </is>
      </c>
      <c r="H3607" s="107" t="inlineStr">
        <is>
          <t>M2 SPEED 24''</t>
        </is>
      </c>
      <c r="I3607" s="107" t="inlineStr">
        <is>
          <t>M0196313J</t>
        </is>
      </c>
      <c r="J3607" s="107" t="inlineStr">
        <is>
          <t>C1681530M</t>
        </is>
      </c>
      <c r="K3607" s="65" t="inlineStr">
        <is>
          <t>N/D</t>
        </is>
      </c>
      <c r="L3607" s="127" t="inlineStr">
        <is>
          <t>BENELLI ARMI SPA</t>
        </is>
      </c>
      <c r="M3607" s="5" t="n">
        <v>971</v>
      </c>
      <c r="N3607" s="5" t="n"/>
      <c r="O3607" s="5">
        <f>+M3607+N3607</f>
        <v/>
      </c>
      <c r="P3607" s="4" t="n">
        <v>46002</v>
      </c>
      <c r="Q3607" s="87" t="n">
        <v>46002</v>
      </c>
      <c r="R3607" s="5" t="n"/>
      <c r="S3607" s="2" t="n"/>
      <c r="T3607" s="3" t="n"/>
      <c r="U3607" s="87" t="n"/>
      <c r="V3607" s="3" t="n"/>
      <c r="W3607" s="108" t="n"/>
      <c r="X3607" s="4" t="n"/>
    </row>
    <row r="3608" ht="24" customHeight="1">
      <c r="A3608" s="2">
        <f>+D3608-S3608</f>
        <v/>
      </c>
      <c r="B3608" s="80" t="n">
        <v>5198</v>
      </c>
      <c r="C3608" s="66" t="n">
        <v>46003</v>
      </c>
      <c r="D3608" s="2" t="n">
        <v>1</v>
      </c>
      <c r="E3608" s="3" t="inlineStr">
        <is>
          <t>FUCILE SEMIAUTOMATICO</t>
        </is>
      </c>
      <c r="F3608" s="3" t="inlineStr">
        <is>
          <t>12</t>
        </is>
      </c>
      <c r="G3608" s="84" t="inlineStr">
        <is>
          <t>BENELLI</t>
        </is>
      </c>
      <c r="H3608" s="107" t="inlineStr">
        <is>
          <t>M2 SPEED 24''</t>
        </is>
      </c>
      <c r="I3608" s="107" t="inlineStr">
        <is>
          <t>M0196054R</t>
        </is>
      </c>
      <c r="J3608" s="107" t="inlineStr">
        <is>
          <t>C1681155T</t>
        </is>
      </c>
      <c r="K3608" s="65" t="inlineStr">
        <is>
          <t>N/D</t>
        </is>
      </c>
      <c r="L3608" s="127" t="inlineStr">
        <is>
          <t>BENELLI ARMI SPA</t>
        </is>
      </c>
      <c r="M3608" s="5" t="n">
        <v>971</v>
      </c>
      <c r="N3608" s="5" t="n"/>
      <c r="O3608" s="5">
        <f>+M3608+N3608</f>
        <v/>
      </c>
      <c r="P3608" s="4" t="n">
        <v>46002</v>
      </c>
      <c r="Q3608" s="87" t="n">
        <v>46002</v>
      </c>
      <c r="R3608" s="5" t="n"/>
      <c r="S3608" s="2" t="n"/>
      <c r="T3608" s="3" t="n"/>
      <c r="U3608" s="87" t="n"/>
      <c r="V3608" s="3" t="n"/>
      <c r="W3608" s="108" t="n"/>
      <c r="X3608" s="4" t="n"/>
    </row>
    <row r="3609" ht="24" customHeight="1">
      <c r="A3609" s="2">
        <f>+D3609-S3609</f>
        <v/>
      </c>
      <c r="B3609" s="80" t="n">
        <v>5199</v>
      </c>
      <c r="C3609" s="66" t="n">
        <v>46003</v>
      </c>
      <c r="D3609" s="2" t="n">
        <v>1</v>
      </c>
      <c r="E3609" s="3" t="inlineStr">
        <is>
          <t>FUCILE SEMIAUTOMATICO</t>
        </is>
      </c>
      <c r="F3609" s="3" t="inlineStr">
        <is>
          <t>12</t>
        </is>
      </c>
      <c r="G3609" s="84" t="inlineStr">
        <is>
          <t>BENELLI</t>
        </is>
      </c>
      <c r="H3609" s="107" t="inlineStr">
        <is>
          <t>M2 SPEED 24''</t>
        </is>
      </c>
      <c r="I3609" s="107" t="inlineStr">
        <is>
          <t>M0196056T</t>
        </is>
      </c>
      <c r="J3609" s="107" t="inlineStr">
        <is>
          <t>C1681157V</t>
        </is>
      </c>
      <c r="K3609" s="65" t="inlineStr">
        <is>
          <t>N/D</t>
        </is>
      </c>
      <c r="L3609" s="127" t="inlineStr">
        <is>
          <t>BENELLI ARMI SPA</t>
        </is>
      </c>
      <c r="M3609" s="5" t="n">
        <v>971</v>
      </c>
      <c r="N3609" s="5" t="n"/>
      <c r="O3609" s="5">
        <f>+M3609+N3609</f>
        <v/>
      </c>
      <c r="P3609" s="4" t="n">
        <v>46002</v>
      </c>
      <c r="Q3609" s="87" t="n">
        <v>46002</v>
      </c>
      <c r="R3609" s="5" t="n"/>
      <c r="S3609" s="2" t="n"/>
      <c r="T3609" s="3" t="n"/>
      <c r="U3609" s="87" t="n"/>
      <c r="V3609" s="3" t="n"/>
      <c r="W3609" s="108" t="n"/>
      <c r="X3609" s="4" t="n"/>
    </row>
    <row r="3610" ht="24" customHeight="1">
      <c r="A3610" s="2">
        <f>+D3610-S3610</f>
        <v/>
      </c>
      <c r="B3610" s="80" t="n">
        <v>5200</v>
      </c>
      <c r="C3610" s="66" t="n">
        <v>46003</v>
      </c>
      <c r="D3610" s="2" t="n">
        <v>1</v>
      </c>
      <c r="E3610" s="3" t="inlineStr">
        <is>
          <t>FUCILE SEMIAUTOMATICO</t>
        </is>
      </c>
      <c r="F3610" s="3" t="inlineStr">
        <is>
          <t>12</t>
        </is>
      </c>
      <c r="G3610" s="84" t="inlineStr">
        <is>
          <t>BENELLI</t>
        </is>
      </c>
      <c r="H3610" s="107" t="inlineStr">
        <is>
          <t>NOVA SPEED 26''</t>
        </is>
      </c>
      <c r="I3610" s="107" t="inlineStr">
        <is>
          <t>BU003712Z</t>
        </is>
      </c>
      <c r="J3610" s="107" t="inlineStr">
        <is>
          <t>CU003735J</t>
        </is>
      </c>
      <c r="K3610" s="65" t="inlineStr">
        <is>
          <t>N/D</t>
        </is>
      </c>
      <c r="L3610" s="127" t="inlineStr">
        <is>
          <t>BENELLI ARMI SPA</t>
        </is>
      </c>
      <c r="M3610" s="5" t="n">
        <v>697</v>
      </c>
      <c r="N3610" s="5" t="n"/>
      <c r="O3610" s="5">
        <f>+M3610+N3610</f>
        <v/>
      </c>
      <c r="P3610" s="4" t="n">
        <v>46002</v>
      </c>
      <c r="Q3610" s="87" t="n">
        <v>46002</v>
      </c>
      <c r="R3610" s="5" t="n"/>
      <c r="S3610" s="2" t="n"/>
      <c r="T3610" s="3" t="n"/>
      <c r="U3610" s="87" t="n"/>
      <c r="V3610" s="3" t="n"/>
      <c r="W3610" s="108" t="n"/>
      <c r="X3610" s="4" t="n"/>
    </row>
    <row r="3611" ht="24" customHeight="1">
      <c r="A3611" s="2">
        <f>+D3611-S3611</f>
        <v/>
      </c>
      <c r="B3611" s="80" t="n">
        <v>5201</v>
      </c>
      <c r="C3611" s="66" t="n">
        <v>46003</v>
      </c>
      <c r="D3611" s="2" t="n">
        <v>1</v>
      </c>
      <c r="E3611" s="3" t="inlineStr">
        <is>
          <t>FUCILE SEMIAUTOMATICO</t>
        </is>
      </c>
      <c r="F3611" s="3" t="inlineStr">
        <is>
          <t>12</t>
        </is>
      </c>
      <c r="G3611" s="84" t="inlineStr">
        <is>
          <t>BENELLI</t>
        </is>
      </c>
      <c r="H3611" s="107" t="inlineStr">
        <is>
          <t>NOVA SPEED 26''</t>
        </is>
      </c>
      <c r="I3611" s="107" t="inlineStr">
        <is>
          <t>BU003713B</t>
        </is>
      </c>
      <c r="J3611" s="107" t="inlineStr">
        <is>
          <t>CU003740Y</t>
        </is>
      </c>
      <c r="K3611" s="65" t="inlineStr">
        <is>
          <t>N/D</t>
        </is>
      </c>
      <c r="L3611" s="127" t="inlineStr">
        <is>
          <t>BENELLI ARMI SPA</t>
        </is>
      </c>
      <c r="M3611" s="5" t="n">
        <v>697</v>
      </c>
      <c r="N3611" s="5" t="n"/>
      <c r="O3611" s="5">
        <f>+M3611+N3611</f>
        <v/>
      </c>
      <c r="P3611" s="4" t="n">
        <v>46002</v>
      </c>
      <c r="Q3611" s="87" t="n">
        <v>46002</v>
      </c>
      <c r="R3611" s="5" t="n"/>
      <c r="S3611" s="2" t="n"/>
      <c r="T3611" s="3" t="n"/>
      <c r="U3611" s="87" t="n"/>
      <c r="V3611" s="3" t="n"/>
      <c r="W3611" s="108" t="n"/>
      <c r="X3611" s="4" t="n"/>
    </row>
    <row r="3612" ht="24" customHeight="1">
      <c r="A3612" s="2">
        <f>+D3612-S3612</f>
        <v/>
      </c>
      <c r="B3612" s="80" t="n">
        <v>5202</v>
      </c>
      <c r="C3612" s="66" t="n">
        <v>46003</v>
      </c>
      <c r="D3612" s="2" t="n">
        <v>1</v>
      </c>
      <c r="E3612" s="3" t="inlineStr">
        <is>
          <t>FUCILE SEMIAUTOMATICO</t>
        </is>
      </c>
      <c r="F3612" s="3" t="inlineStr">
        <is>
          <t>12</t>
        </is>
      </c>
      <c r="G3612" s="84" t="inlineStr">
        <is>
          <t>BENELLI</t>
        </is>
      </c>
      <c r="H3612" s="107" t="inlineStr">
        <is>
          <t>NOVA SPEED 26''</t>
        </is>
      </c>
      <c r="I3612" s="107" t="inlineStr">
        <is>
          <t>BU003714D</t>
        </is>
      </c>
      <c r="J3612" s="107" t="inlineStr">
        <is>
          <t>CU003725H</t>
        </is>
      </c>
      <c r="K3612" s="65" t="inlineStr">
        <is>
          <t>N/D</t>
        </is>
      </c>
      <c r="L3612" s="127" t="inlineStr">
        <is>
          <t>BENELLI ARMI SPA</t>
        </is>
      </c>
      <c r="M3612" s="5" t="n">
        <v>697</v>
      </c>
      <c r="N3612" s="5" t="n"/>
      <c r="O3612" s="5">
        <f>+M3612+N3612</f>
        <v/>
      </c>
      <c r="P3612" s="4" t="n">
        <v>46002</v>
      </c>
      <c r="Q3612" s="87" t="n">
        <v>46002</v>
      </c>
      <c r="R3612" s="5" t="n"/>
      <c r="S3612" s="2" t="n"/>
      <c r="T3612" s="3" t="n"/>
      <c r="U3612" s="87" t="n"/>
      <c r="V3612" s="3" t="n"/>
      <c r="W3612" s="108" t="n"/>
      <c r="X3612" s="4" t="n"/>
    </row>
    <row r="3613" ht="24" customHeight="1">
      <c r="A3613" s="2">
        <f>+D3613-S3613</f>
        <v/>
      </c>
      <c r="B3613" s="80" t="n">
        <v>5203</v>
      </c>
      <c r="C3613" s="66" t="n">
        <v>46003</v>
      </c>
      <c r="D3613" s="2" t="n">
        <v>1</v>
      </c>
      <c r="E3613" s="3" t="inlineStr">
        <is>
          <t>FUCILE SEMIAUTOMATICO</t>
        </is>
      </c>
      <c r="F3613" s="3" t="inlineStr">
        <is>
          <t>12</t>
        </is>
      </c>
      <c r="G3613" s="84" t="inlineStr">
        <is>
          <t>BENELLI</t>
        </is>
      </c>
      <c r="H3613" s="107" t="inlineStr">
        <is>
          <t>NOVA SPEED 26''</t>
        </is>
      </c>
      <c r="I3613" s="107" t="inlineStr">
        <is>
          <t>BU003706H</t>
        </is>
      </c>
      <c r="J3613" s="107" t="inlineStr">
        <is>
          <t>CU003736L</t>
        </is>
      </c>
      <c r="K3613" s="65" t="inlineStr">
        <is>
          <t>N/D</t>
        </is>
      </c>
      <c r="L3613" s="127" t="inlineStr">
        <is>
          <t>BENELLI ARMI SPA</t>
        </is>
      </c>
      <c r="M3613" s="5" t="n">
        <v>697</v>
      </c>
      <c r="N3613" s="5" t="n"/>
      <c r="O3613" s="5">
        <f>+M3613+N3613</f>
        <v/>
      </c>
      <c r="P3613" s="4" t="n">
        <v>46002</v>
      </c>
      <c r="Q3613" s="87" t="n">
        <v>46002</v>
      </c>
      <c r="R3613" s="5" t="n"/>
      <c r="S3613" s="2" t="n"/>
      <c r="T3613" s="3" t="n"/>
      <c r="U3613" s="87" t="n"/>
      <c r="V3613" s="3" t="n"/>
      <c r="W3613" s="108" t="n"/>
      <c r="X3613" s="4" t="n"/>
    </row>
    <row r="3614" ht="24" customHeight="1">
      <c r="A3614" s="2">
        <f>+D3614-S3614</f>
        <v/>
      </c>
      <c r="B3614" s="80" t="n">
        <v>5204</v>
      </c>
      <c r="C3614" s="66" t="n">
        <v>46003</v>
      </c>
      <c r="D3614" s="2" t="n">
        <v>1</v>
      </c>
      <c r="E3614" s="3" t="inlineStr">
        <is>
          <t>FUCILE SEMIAUTOMATICO</t>
        </is>
      </c>
      <c r="F3614" s="3" t="inlineStr">
        <is>
          <t>12</t>
        </is>
      </c>
      <c r="G3614" s="84" t="inlineStr">
        <is>
          <t>BENELLI</t>
        </is>
      </c>
      <c r="H3614" s="107" t="inlineStr">
        <is>
          <t>NOVA SPEED 26''</t>
        </is>
      </c>
      <c r="I3614" s="107" t="inlineStr">
        <is>
          <t>BU003715G</t>
        </is>
      </c>
      <c r="J3614" s="107" t="inlineStr">
        <is>
          <t>CU003741A</t>
        </is>
      </c>
      <c r="K3614" s="65" t="inlineStr">
        <is>
          <t>N/D</t>
        </is>
      </c>
      <c r="L3614" s="127" t="inlineStr">
        <is>
          <t>BENELLI ARMI SPA</t>
        </is>
      </c>
      <c r="M3614" s="5" t="n">
        <v>697</v>
      </c>
      <c r="N3614" s="5" t="n"/>
      <c r="O3614" s="5">
        <f>+M3614+N3614</f>
        <v/>
      </c>
      <c r="P3614" s="4" t="n">
        <v>46002</v>
      </c>
      <c r="Q3614" s="87" t="n">
        <v>46002</v>
      </c>
      <c r="R3614" s="5" t="n"/>
      <c r="S3614" s="2" t="n"/>
      <c r="T3614" s="3" t="n"/>
      <c r="U3614" s="87" t="n"/>
      <c r="V3614" s="3" t="n"/>
      <c r="W3614" s="108" t="n"/>
      <c r="X3614" s="4" t="n"/>
    </row>
    <row r="3615" ht="24" customHeight="1">
      <c r="A3615" s="2">
        <f>+D3615-S3615</f>
        <v/>
      </c>
      <c r="B3615" s="80" t="n">
        <v>5205</v>
      </c>
      <c r="C3615" s="66" t="n">
        <v>46003</v>
      </c>
      <c r="D3615" s="2" t="n">
        <v>1</v>
      </c>
      <c r="E3615" s="3" t="inlineStr">
        <is>
          <t>FUCILE SEMIAUTOMATICO</t>
        </is>
      </c>
      <c r="F3615" s="3" t="inlineStr">
        <is>
          <t>12</t>
        </is>
      </c>
      <c r="G3615" s="84" t="inlineStr">
        <is>
          <t>BENELLI</t>
        </is>
      </c>
      <c r="H3615" s="107" t="inlineStr">
        <is>
          <t>NOVA SPEED 26''</t>
        </is>
      </c>
      <c r="I3615" s="107" t="inlineStr">
        <is>
          <t>BU003716J</t>
        </is>
      </c>
      <c r="J3615" s="107" t="inlineStr">
        <is>
          <t>CU003726K</t>
        </is>
      </c>
      <c r="K3615" s="65" t="inlineStr">
        <is>
          <t>N/D</t>
        </is>
      </c>
      <c r="L3615" s="127" t="inlineStr">
        <is>
          <t>BENELLI ARMI SPA</t>
        </is>
      </c>
      <c r="M3615" s="5" t="n">
        <v>697</v>
      </c>
      <c r="N3615" s="5" t="n"/>
      <c r="O3615" s="5">
        <f>+M3615+N3615</f>
        <v/>
      </c>
      <c r="P3615" s="4" t="n">
        <v>46002</v>
      </c>
      <c r="Q3615" s="87" t="n">
        <v>46002</v>
      </c>
      <c r="R3615" s="5" t="n"/>
      <c r="S3615" s="2" t="n"/>
      <c r="T3615" s="3" t="n"/>
      <c r="U3615" s="87" t="n"/>
      <c r="V3615" s="3" t="n"/>
      <c r="W3615" s="108" t="n"/>
      <c r="X3615" s="4" t="n"/>
    </row>
    <row r="3616" ht="24" customHeight="1">
      <c r="A3616" s="2">
        <f>+D3616-S3616</f>
        <v/>
      </c>
      <c r="B3616" s="80" t="n">
        <v>5206</v>
      </c>
      <c r="C3616" s="66" t="n">
        <v>46003</v>
      </c>
      <c r="D3616" s="2" t="n">
        <v>1</v>
      </c>
      <c r="E3616" s="3" t="inlineStr">
        <is>
          <t>FUCILE SEMIAUTOMATICO</t>
        </is>
      </c>
      <c r="F3616" s="3" t="inlineStr">
        <is>
          <t>12</t>
        </is>
      </c>
      <c r="G3616" s="84" t="inlineStr">
        <is>
          <t>BENELLI</t>
        </is>
      </c>
      <c r="H3616" s="107" t="inlineStr">
        <is>
          <t>NOVA SPEED 26''</t>
        </is>
      </c>
      <c r="I3616" s="107" t="inlineStr">
        <is>
          <t>BU003717L</t>
        </is>
      </c>
      <c r="J3616" s="107" t="inlineStr">
        <is>
          <t>CU003737N</t>
        </is>
      </c>
      <c r="K3616" s="65" t="inlineStr">
        <is>
          <t>N/D</t>
        </is>
      </c>
      <c r="L3616" s="127" t="inlineStr">
        <is>
          <t>BENELLI ARMI SPA</t>
        </is>
      </c>
      <c r="M3616" s="5" t="n">
        <v>697</v>
      </c>
      <c r="N3616" s="5" t="n"/>
      <c r="O3616" s="5">
        <f>+M3616+N3616</f>
        <v/>
      </c>
      <c r="P3616" s="4" t="n">
        <v>46002</v>
      </c>
      <c r="Q3616" s="87" t="n">
        <v>46002</v>
      </c>
      <c r="R3616" s="5" t="n"/>
      <c r="S3616" s="2" t="n"/>
      <c r="T3616" s="3" t="n"/>
      <c r="U3616" s="87" t="n"/>
      <c r="V3616" s="3" t="n"/>
      <c r="W3616" s="108" t="n"/>
      <c r="X3616" s="4" t="n"/>
    </row>
    <row r="3617" ht="24" customHeight="1">
      <c r="A3617" s="2">
        <f>+D3617-S3617</f>
        <v/>
      </c>
      <c r="B3617" s="80" t="n">
        <v>5207</v>
      </c>
      <c r="C3617" s="66" t="n">
        <v>46003</v>
      </c>
      <c r="D3617" s="2" t="n">
        <v>1</v>
      </c>
      <c r="E3617" s="3" t="inlineStr">
        <is>
          <t>FUCILE SEMIAUTOMATICO</t>
        </is>
      </c>
      <c r="F3617" s="3" t="inlineStr">
        <is>
          <t>12</t>
        </is>
      </c>
      <c r="G3617" s="84" t="inlineStr">
        <is>
          <t>BENELLI</t>
        </is>
      </c>
      <c r="H3617" s="107" t="inlineStr">
        <is>
          <t>NOVA SPEED 26''</t>
        </is>
      </c>
      <c r="I3617" s="107" t="inlineStr">
        <is>
          <t>BU003718N</t>
        </is>
      </c>
      <c r="J3617" s="107" t="inlineStr">
        <is>
          <t>CU003742C</t>
        </is>
      </c>
      <c r="K3617" s="65" t="inlineStr">
        <is>
          <t>N/D</t>
        </is>
      </c>
      <c r="L3617" s="127" t="inlineStr">
        <is>
          <t>BENELLI ARMI SPA</t>
        </is>
      </c>
      <c r="M3617" s="5" t="n">
        <v>697</v>
      </c>
      <c r="N3617" s="5" t="n"/>
      <c r="O3617" s="5">
        <f>+M3617+N3617</f>
        <v/>
      </c>
      <c r="P3617" s="4" t="n">
        <v>46002</v>
      </c>
      <c r="Q3617" s="87" t="n">
        <v>46002</v>
      </c>
      <c r="R3617" s="5" t="n"/>
      <c r="S3617" s="2" t="n"/>
      <c r="T3617" s="3" t="n"/>
      <c r="U3617" s="87" t="n"/>
      <c r="V3617" s="3" t="n"/>
      <c r="W3617" s="108" t="n"/>
      <c r="X3617" s="4" t="n"/>
    </row>
    <row r="3618" ht="24" customHeight="1">
      <c r="A3618" s="2">
        <f>+D3618-S3618</f>
        <v/>
      </c>
      <c r="B3618" s="80" t="n">
        <v>5208</v>
      </c>
      <c r="C3618" s="66" t="n">
        <v>46003</v>
      </c>
      <c r="D3618" s="2" t="n">
        <v>1</v>
      </c>
      <c r="E3618" s="3" t="inlineStr">
        <is>
          <t>FUCILE SEMIAUTOMATICO</t>
        </is>
      </c>
      <c r="F3618" s="3" t="inlineStr">
        <is>
          <t>12</t>
        </is>
      </c>
      <c r="G3618" s="84" t="inlineStr">
        <is>
          <t>BENELLI</t>
        </is>
      </c>
      <c r="H3618" s="107" t="inlineStr">
        <is>
          <t>NOVA SPEED 26''</t>
        </is>
      </c>
      <c r="I3618" s="107" t="inlineStr">
        <is>
          <t>BU003719Q</t>
        </is>
      </c>
      <c r="J3618" s="107" t="inlineStr">
        <is>
          <t>CU003727M</t>
        </is>
      </c>
      <c r="K3618" s="65" t="inlineStr">
        <is>
          <t>N/D</t>
        </is>
      </c>
      <c r="L3618" s="127" t="inlineStr">
        <is>
          <t>BENELLI ARMI SPA</t>
        </is>
      </c>
      <c r="M3618" s="5" t="n">
        <v>697</v>
      </c>
      <c r="N3618" s="5" t="n"/>
      <c r="O3618" s="5">
        <f>+M3618+N3618</f>
        <v/>
      </c>
      <c r="P3618" s="4" t="n">
        <v>46002</v>
      </c>
      <c r="Q3618" s="87" t="n">
        <v>46002</v>
      </c>
      <c r="R3618" s="5" t="n"/>
      <c r="S3618" s="2" t="n"/>
      <c r="T3618" s="3" t="n"/>
      <c r="U3618" s="87" t="n"/>
      <c r="V3618" s="3" t="n"/>
      <c r="W3618" s="108" t="n"/>
      <c r="X3618" s="4" t="n"/>
    </row>
    <row r="3619" ht="24" customHeight="1">
      <c r="A3619" s="2">
        <f>+D3619-S3619</f>
        <v/>
      </c>
      <c r="B3619" s="80" t="n">
        <v>5209</v>
      </c>
      <c r="C3619" s="66" t="n">
        <v>46003</v>
      </c>
      <c r="D3619" s="2" t="n">
        <v>1</v>
      </c>
      <c r="E3619" s="3" t="inlineStr">
        <is>
          <t>FUCILE SEMIAUTOMATICO</t>
        </is>
      </c>
      <c r="F3619" s="3" t="inlineStr">
        <is>
          <t>12</t>
        </is>
      </c>
      <c r="G3619" s="84" t="inlineStr">
        <is>
          <t>BENELLI</t>
        </is>
      </c>
      <c r="H3619" s="107" t="inlineStr">
        <is>
          <t>NOVA SPEED 26''</t>
        </is>
      </c>
      <c r="I3619" s="107" t="inlineStr">
        <is>
          <t>BU003720W</t>
        </is>
      </c>
      <c r="J3619" s="107" t="inlineStr">
        <is>
          <t>CU003738Q</t>
        </is>
      </c>
      <c r="K3619" s="65" t="inlineStr">
        <is>
          <t>N/D</t>
        </is>
      </c>
      <c r="L3619" s="127" t="inlineStr">
        <is>
          <t>BENELLI ARMI SPA</t>
        </is>
      </c>
      <c r="M3619" s="5" t="n">
        <v>697</v>
      </c>
      <c r="N3619" s="5" t="n"/>
      <c r="O3619" s="5">
        <f>+M3619+N3619</f>
        <v/>
      </c>
      <c r="P3619" s="4" t="n">
        <v>46002</v>
      </c>
      <c r="Q3619" s="87" t="n">
        <v>46002</v>
      </c>
      <c r="R3619" s="5" t="n"/>
      <c r="S3619" s="2" t="n"/>
      <c r="T3619" s="3" t="n"/>
      <c r="U3619" s="87" t="n"/>
      <c r="V3619" s="3" t="n"/>
      <c r="W3619" s="108" t="n"/>
      <c r="X3619" s="4" t="n"/>
    </row>
    <row r="3620" ht="24" customHeight="1">
      <c r="A3620" s="2">
        <f>+D3620-S3620</f>
        <v/>
      </c>
      <c r="B3620" s="80" t="n">
        <v>5210</v>
      </c>
      <c r="C3620" s="66" t="n">
        <v>46003</v>
      </c>
      <c r="D3620" s="2" t="n">
        <v>1</v>
      </c>
      <c r="E3620" s="3" t="inlineStr">
        <is>
          <t>FUCILE SEMIAUTOMATICO</t>
        </is>
      </c>
      <c r="F3620" s="3" t="inlineStr">
        <is>
          <t>12</t>
        </is>
      </c>
      <c r="G3620" s="84" t="inlineStr">
        <is>
          <t>BENELLI</t>
        </is>
      </c>
      <c r="H3620" s="107" t="inlineStr">
        <is>
          <t>NOVA SPEED 26''</t>
        </is>
      </c>
      <c r="I3620" s="107" t="inlineStr">
        <is>
          <t>BU003253U</t>
        </is>
      </c>
      <c r="J3620" s="107" t="inlineStr">
        <is>
          <t>CU003290S</t>
        </is>
      </c>
      <c r="K3620" s="65" t="inlineStr">
        <is>
          <t>N/D</t>
        </is>
      </c>
      <c r="L3620" s="127" t="inlineStr">
        <is>
          <t>BENELLI ARMI SPA</t>
        </is>
      </c>
      <c r="M3620" s="5" t="n">
        <v>697</v>
      </c>
      <c r="N3620" s="5" t="n"/>
      <c r="O3620" s="5">
        <f>+M3620+N3620</f>
        <v/>
      </c>
      <c r="P3620" s="4" t="n">
        <v>46002</v>
      </c>
      <c r="Q3620" s="87" t="n">
        <v>46002</v>
      </c>
      <c r="R3620" s="5" t="n"/>
      <c r="S3620" s="2" t="n"/>
      <c r="T3620" s="3" t="n"/>
      <c r="U3620" s="87" t="n"/>
      <c r="V3620" s="3" t="n"/>
      <c r="W3620" s="108" t="n"/>
      <c r="X3620" s="4" t="n"/>
    </row>
    <row r="3621" ht="24" customHeight="1">
      <c r="A3621" s="2">
        <f>+D3621-S3621</f>
        <v/>
      </c>
      <c r="B3621" s="80" t="n">
        <v>5211</v>
      </c>
      <c r="C3621" s="66" t="n">
        <v>46003</v>
      </c>
      <c r="D3621" s="2" t="n">
        <v>1</v>
      </c>
      <c r="E3621" s="3" t="inlineStr">
        <is>
          <t>FUCILE SEMIAUTOMATICO</t>
        </is>
      </c>
      <c r="F3621" s="3" t="inlineStr">
        <is>
          <t>12</t>
        </is>
      </c>
      <c r="G3621" s="84" t="inlineStr">
        <is>
          <t>BENELLI</t>
        </is>
      </c>
      <c r="H3621" s="107" t="inlineStr">
        <is>
          <t>NOVA SPEED 26''</t>
        </is>
      </c>
      <c r="I3621" s="107" t="inlineStr">
        <is>
          <t>BU003252S</t>
        </is>
      </c>
      <c r="J3621" s="107" t="inlineStr">
        <is>
          <t>CU003289L</t>
        </is>
      </c>
      <c r="K3621" s="65" t="inlineStr">
        <is>
          <t>N/D</t>
        </is>
      </c>
      <c r="L3621" s="127" t="inlineStr">
        <is>
          <t>BENELLI ARMI SPA</t>
        </is>
      </c>
      <c r="M3621" s="5" t="n">
        <v>697</v>
      </c>
      <c r="N3621" s="5" t="n"/>
      <c r="O3621" s="5">
        <f>+M3621+N3621</f>
        <v/>
      </c>
      <c r="P3621" s="4" t="n">
        <v>46002</v>
      </c>
      <c r="Q3621" s="87" t="n">
        <v>46002</v>
      </c>
      <c r="R3621" s="5" t="n"/>
      <c r="S3621" s="2" t="n"/>
      <c r="T3621" s="3" t="n"/>
      <c r="U3621" s="87" t="n"/>
      <c r="V3621" s="3" t="n"/>
      <c r="W3621" s="108" t="n"/>
      <c r="X3621" s="4" t="n"/>
    </row>
    <row r="3622" ht="24" customHeight="1">
      <c r="A3622" s="2">
        <f>+D3622-S3622</f>
        <v/>
      </c>
      <c r="B3622" s="80" t="n">
        <v>5212</v>
      </c>
      <c r="C3622" s="66" t="n">
        <v>46003</v>
      </c>
      <c r="D3622" s="2" t="n">
        <v>1</v>
      </c>
      <c r="E3622" s="3" t="inlineStr">
        <is>
          <t>FUCILE SEMIAUTOMATICO</t>
        </is>
      </c>
      <c r="F3622" s="3" t="inlineStr">
        <is>
          <t>12</t>
        </is>
      </c>
      <c r="G3622" s="84" t="inlineStr">
        <is>
          <t>BENELLI</t>
        </is>
      </c>
      <c r="H3622" s="107" t="inlineStr">
        <is>
          <t>NOVA SPEED 26''</t>
        </is>
      </c>
      <c r="I3622" s="107" t="inlineStr">
        <is>
          <t>BU003255Z</t>
        </is>
      </c>
      <c r="J3622" s="107" t="inlineStr">
        <is>
          <t>CU003282V</t>
        </is>
      </c>
      <c r="K3622" s="65" t="inlineStr">
        <is>
          <t>N/D</t>
        </is>
      </c>
      <c r="L3622" s="127" t="inlineStr">
        <is>
          <t>BENELLI ARMI SPA</t>
        </is>
      </c>
      <c r="M3622" s="5" t="n">
        <v>697</v>
      </c>
      <c r="N3622" s="5" t="n"/>
      <c r="O3622" s="5">
        <f>+M3622+N3622</f>
        <v/>
      </c>
      <c r="P3622" s="4" t="n">
        <v>46002</v>
      </c>
      <c r="Q3622" s="87" t="n">
        <v>46002</v>
      </c>
      <c r="R3622" s="5" t="n"/>
      <c r="S3622" s="2" t="n"/>
      <c r="T3622" s="3" t="n"/>
      <c r="U3622" s="87" t="n"/>
      <c r="V3622" s="3" t="n"/>
      <c r="W3622" s="108" t="n"/>
      <c r="X3622" s="4" t="n"/>
    </row>
    <row r="3623" ht="24" customHeight="1">
      <c r="A3623" s="2">
        <f>+D3623-S3623</f>
        <v/>
      </c>
      <c r="B3623" s="80" t="n">
        <v>5213</v>
      </c>
      <c r="C3623" s="66" t="n">
        <v>46003</v>
      </c>
      <c r="D3623" s="2" t="n">
        <v>1</v>
      </c>
      <c r="E3623" s="3" t="inlineStr">
        <is>
          <t>FUCILE SEMIAUTOMATICO</t>
        </is>
      </c>
      <c r="F3623" s="3" t="inlineStr">
        <is>
          <t>12</t>
        </is>
      </c>
      <c r="G3623" s="84" t="inlineStr">
        <is>
          <t>BENELLI</t>
        </is>
      </c>
      <c r="H3623" s="107" t="inlineStr">
        <is>
          <t>NOVA SPEED 26''</t>
        </is>
      </c>
      <c r="I3623" s="107" t="inlineStr">
        <is>
          <t>BU003254W</t>
        </is>
      </c>
      <c r="J3623" s="107" t="inlineStr">
        <is>
          <t>CU003284Z</t>
        </is>
      </c>
      <c r="K3623" s="65" t="inlineStr">
        <is>
          <t>N/D</t>
        </is>
      </c>
      <c r="L3623" s="127" t="inlineStr">
        <is>
          <t>BENELLI ARMI SPA</t>
        </is>
      </c>
      <c r="M3623" s="5" t="n">
        <v>697</v>
      </c>
      <c r="N3623" s="5" t="n"/>
      <c r="O3623" s="5">
        <f>+M3623+N3623</f>
        <v/>
      </c>
      <c r="P3623" s="4" t="n">
        <v>46002</v>
      </c>
      <c r="Q3623" s="87" t="n">
        <v>46002</v>
      </c>
      <c r="R3623" s="5" t="n"/>
      <c r="S3623" s="2" t="n"/>
      <c r="T3623" s="3" t="n"/>
      <c r="U3623" s="87" t="n"/>
      <c r="V3623" s="3" t="n"/>
      <c r="W3623" s="108" t="n"/>
      <c r="X3623" s="4" t="n"/>
    </row>
    <row r="3624" ht="24" customHeight="1">
      <c r="A3624" s="2">
        <f>+D3624-S3624</f>
        <v/>
      </c>
      <c r="B3624" s="80" t="n">
        <v>5214</v>
      </c>
      <c r="C3624" s="66" t="n">
        <v>46003</v>
      </c>
      <c r="D3624" s="2" t="n">
        <v>1</v>
      </c>
      <c r="E3624" s="3" t="inlineStr">
        <is>
          <t>FUCILE SEMIAUTOMATICO</t>
        </is>
      </c>
      <c r="F3624" s="3" t="inlineStr">
        <is>
          <t>12</t>
        </is>
      </c>
      <c r="G3624" s="84" t="inlineStr">
        <is>
          <t>BENELLI</t>
        </is>
      </c>
      <c r="H3624" s="107" t="inlineStr">
        <is>
          <t>NOVA SPEED 26''</t>
        </is>
      </c>
      <c r="I3624" s="107" t="inlineStr">
        <is>
          <t>BU003259H</t>
        </is>
      </c>
      <c r="J3624" s="107" t="inlineStr">
        <is>
          <t>CU003288J</t>
        </is>
      </c>
      <c r="K3624" s="65" t="inlineStr">
        <is>
          <t>N/D</t>
        </is>
      </c>
      <c r="L3624" s="127" t="inlineStr">
        <is>
          <t>BENELLI ARMI SPA</t>
        </is>
      </c>
      <c r="M3624" s="5" t="n">
        <v>697</v>
      </c>
      <c r="N3624" s="5" t="n"/>
      <c r="O3624" s="5">
        <f>+M3624+N3624</f>
        <v/>
      </c>
      <c r="P3624" s="4" t="n">
        <v>46002</v>
      </c>
      <c r="Q3624" s="87" t="n">
        <v>46002</v>
      </c>
      <c r="R3624" s="5" t="n"/>
      <c r="S3624" s="2" t="n"/>
      <c r="T3624" s="3" t="n"/>
      <c r="U3624" s="87" t="n"/>
      <c r="V3624" s="3" t="n"/>
      <c r="W3624" s="108" t="n"/>
      <c r="X3624" s="4" t="n"/>
    </row>
    <row r="3625" ht="24" customHeight="1">
      <c r="A3625" s="2">
        <f>+D3625-S3625</f>
        <v/>
      </c>
      <c r="B3625" s="80" t="n">
        <v>5215</v>
      </c>
      <c r="C3625" s="66" t="n">
        <v>46003</v>
      </c>
      <c r="D3625" s="2" t="n">
        <v>1</v>
      </c>
      <c r="E3625" s="3" t="inlineStr">
        <is>
          <t>FUCILE SEMIAUTOMATICO</t>
        </is>
      </c>
      <c r="F3625" s="3" t="inlineStr">
        <is>
          <t>12</t>
        </is>
      </c>
      <c r="G3625" s="84" t="inlineStr">
        <is>
          <t>BENELLI</t>
        </is>
      </c>
      <c r="H3625" s="107" t="inlineStr">
        <is>
          <t>NOVA SPEED 26''</t>
        </is>
      </c>
      <c r="I3625" s="107" t="inlineStr">
        <is>
          <t>BU003257D</t>
        </is>
      </c>
      <c r="J3625" s="107" t="inlineStr">
        <is>
          <t>CU003287G</t>
        </is>
      </c>
      <c r="K3625" s="65" t="inlineStr">
        <is>
          <t>N/D</t>
        </is>
      </c>
      <c r="L3625" s="127" t="inlineStr">
        <is>
          <t>BENELLI ARMI SPA</t>
        </is>
      </c>
      <c r="M3625" s="5" t="n">
        <v>697</v>
      </c>
      <c r="N3625" s="5" t="n"/>
      <c r="O3625" s="5">
        <f>+M3625+N3625</f>
        <v/>
      </c>
      <c r="P3625" s="4" t="n">
        <v>46002</v>
      </c>
      <c r="Q3625" s="87" t="n">
        <v>46002</v>
      </c>
      <c r="R3625" s="5" t="n"/>
      <c r="S3625" s="2" t="n"/>
      <c r="T3625" s="3" t="n"/>
      <c r="U3625" s="87" t="n"/>
      <c r="V3625" s="3" t="n"/>
      <c r="W3625" s="108" t="n"/>
      <c r="X3625" s="4" t="n"/>
    </row>
    <row r="3626" ht="24" customHeight="1">
      <c r="A3626" s="2">
        <f>+D3626-S3626</f>
        <v/>
      </c>
      <c r="B3626" s="80" t="n">
        <v>5216</v>
      </c>
      <c r="C3626" s="66" t="n">
        <v>46003</v>
      </c>
      <c r="D3626" s="2" t="n">
        <v>1</v>
      </c>
      <c r="E3626" s="3" t="inlineStr">
        <is>
          <t>FUCILE SEMIAUTOMATICO</t>
        </is>
      </c>
      <c r="F3626" s="3" t="inlineStr">
        <is>
          <t>12</t>
        </is>
      </c>
      <c r="G3626" s="84" t="inlineStr">
        <is>
          <t>BENELLI</t>
        </is>
      </c>
      <c r="H3626" s="107" t="inlineStr">
        <is>
          <t>NOVA SPEED 26''</t>
        </is>
      </c>
      <c r="I3626" s="107" t="inlineStr">
        <is>
          <t>BU003258F</t>
        </is>
      </c>
      <c r="J3626" s="107" t="inlineStr">
        <is>
          <t>CU003277F</t>
        </is>
      </c>
      <c r="K3626" s="65" t="inlineStr">
        <is>
          <t>N/D</t>
        </is>
      </c>
      <c r="L3626" s="127" t="inlineStr">
        <is>
          <t>BENELLI ARMI SPA</t>
        </is>
      </c>
      <c r="M3626" s="5" t="n">
        <v>697</v>
      </c>
      <c r="N3626" s="5" t="n"/>
      <c r="O3626" s="5">
        <f>+M3626+N3626</f>
        <v/>
      </c>
      <c r="P3626" s="4" t="n">
        <v>46002</v>
      </c>
      <c r="Q3626" s="87" t="n">
        <v>46002</v>
      </c>
      <c r="R3626" s="5" t="n"/>
      <c r="S3626" s="2" t="n"/>
      <c r="T3626" s="3" t="n"/>
      <c r="U3626" s="87" t="n"/>
      <c r="V3626" s="3" t="n"/>
      <c r="W3626" s="108" t="n"/>
      <c r="X3626" s="4" t="n"/>
    </row>
    <row r="3627" ht="24" customHeight="1">
      <c r="A3627" s="2">
        <f>+D3627-S3627</f>
        <v/>
      </c>
      <c r="B3627" s="80" t="n">
        <v>5217</v>
      </c>
      <c r="C3627" s="66" t="n">
        <v>46003</v>
      </c>
      <c r="D3627" s="2" t="n">
        <v>1</v>
      </c>
      <c r="E3627" s="3" t="inlineStr">
        <is>
          <t>FUCILE SEMIAUTOMATICO</t>
        </is>
      </c>
      <c r="F3627" s="3" t="inlineStr">
        <is>
          <t>12</t>
        </is>
      </c>
      <c r="G3627" s="84" t="inlineStr">
        <is>
          <t>BENELLI</t>
        </is>
      </c>
      <c r="H3627" s="107" t="inlineStr">
        <is>
          <t>NOVA SPEED 26''</t>
        </is>
      </c>
      <c r="I3627" s="107" t="inlineStr">
        <is>
          <t>BU003256B</t>
        </is>
      </c>
      <c r="J3627" s="107" t="inlineStr">
        <is>
          <t>CU003276D</t>
        </is>
      </c>
      <c r="K3627" s="65" t="inlineStr">
        <is>
          <t>N/D</t>
        </is>
      </c>
      <c r="L3627" s="127" t="inlineStr">
        <is>
          <t>BENELLI ARMI SPA</t>
        </is>
      </c>
      <c r="M3627" s="5" t="n">
        <v>697</v>
      </c>
      <c r="N3627" s="5" t="n"/>
      <c r="O3627" s="5">
        <f>+M3627+N3627</f>
        <v/>
      </c>
      <c r="P3627" s="4" t="n">
        <v>46002</v>
      </c>
      <c r="Q3627" s="87" t="n">
        <v>46002</v>
      </c>
      <c r="R3627" s="5" t="n"/>
      <c r="S3627" s="2" t="n"/>
      <c r="T3627" s="3" t="n"/>
      <c r="U3627" s="87" t="n"/>
      <c r="V3627" s="3" t="n"/>
      <c r="W3627" s="108" t="n"/>
      <c r="X3627" s="4" t="n"/>
    </row>
    <row r="3628" ht="24" customHeight="1">
      <c r="A3628" s="2">
        <f>+D3628-S3628</f>
        <v/>
      </c>
      <c r="B3628" s="80" t="n">
        <v>5218</v>
      </c>
      <c r="C3628" s="66" t="n">
        <v>46003</v>
      </c>
      <c r="D3628" s="2" t="n">
        <v>1</v>
      </c>
      <c r="E3628" s="3" t="inlineStr">
        <is>
          <t>FUCILE SEMIAUTOMATICO</t>
        </is>
      </c>
      <c r="F3628" s="3" t="inlineStr">
        <is>
          <t>12</t>
        </is>
      </c>
      <c r="G3628" s="84" t="inlineStr">
        <is>
          <t>BENELLI</t>
        </is>
      </c>
      <c r="H3628" s="107" t="inlineStr">
        <is>
          <t>NOVA SPEED 26''</t>
        </is>
      </c>
      <c r="I3628" s="107" t="inlineStr">
        <is>
          <t>BU003260P</t>
        </is>
      </c>
      <c r="J3628" s="107" t="inlineStr">
        <is>
          <t>CU003279K</t>
        </is>
      </c>
      <c r="K3628" s="65" t="inlineStr">
        <is>
          <t>N/D</t>
        </is>
      </c>
      <c r="L3628" s="127" t="inlineStr">
        <is>
          <t>BENELLI ARMI SPA</t>
        </is>
      </c>
      <c r="M3628" s="5" t="n">
        <v>697</v>
      </c>
      <c r="N3628" s="5" t="n"/>
      <c r="O3628" s="5">
        <f>+M3628+N3628</f>
        <v/>
      </c>
      <c r="P3628" s="4" t="n">
        <v>46002</v>
      </c>
      <c r="Q3628" s="87" t="n">
        <v>46002</v>
      </c>
      <c r="R3628" s="5" t="n"/>
      <c r="S3628" s="2" t="n"/>
      <c r="T3628" s="3" t="n"/>
      <c r="U3628" s="87" t="n"/>
      <c r="V3628" s="3" t="n"/>
      <c r="W3628" s="108" t="n"/>
      <c r="X3628" s="4" t="n"/>
    </row>
    <row r="3629" ht="24" customHeight="1">
      <c r="A3629" s="2">
        <f>+D3629-S3629</f>
        <v/>
      </c>
      <c r="B3629" s="80" t="n">
        <v>5219</v>
      </c>
      <c r="C3629" s="66" t="n">
        <v>46003</v>
      </c>
      <c r="D3629" s="2" t="n">
        <v>1</v>
      </c>
      <c r="E3629" s="3" t="inlineStr">
        <is>
          <t>FUCILE SEMIAUTOMATICO</t>
        </is>
      </c>
      <c r="F3629" s="3" t="inlineStr">
        <is>
          <t>12</t>
        </is>
      </c>
      <c r="G3629" s="84" t="inlineStr">
        <is>
          <t>BENELLI</t>
        </is>
      </c>
      <c r="H3629" s="107" t="inlineStr">
        <is>
          <t>NOVA SPEED 26''</t>
        </is>
      </c>
      <c r="I3629" s="107" t="inlineStr">
        <is>
          <t>BU003261R</t>
        </is>
      </c>
      <c r="J3629" s="107" t="inlineStr">
        <is>
          <t>CU003278H</t>
        </is>
      </c>
      <c r="K3629" s="65" t="inlineStr">
        <is>
          <t>N/D</t>
        </is>
      </c>
      <c r="L3629" s="127" t="inlineStr">
        <is>
          <t>BENELLI ARMI SPA</t>
        </is>
      </c>
      <c r="M3629" s="5" t="n">
        <v>697</v>
      </c>
      <c r="N3629" s="5" t="n"/>
      <c r="O3629" s="5">
        <f>+M3629+N3629</f>
        <v/>
      </c>
      <c r="P3629" s="4" t="n">
        <v>46002</v>
      </c>
      <c r="Q3629" s="87" t="n">
        <v>46002</v>
      </c>
      <c r="R3629" s="5" t="n"/>
      <c r="S3629" s="2" t="n"/>
      <c r="T3629" s="3" t="n"/>
      <c r="U3629" s="87" t="n"/>
      <c r="V3629" s="3" t="n"/>
      <c r="W3629" s="108" t="n"/>
      <c r="X3629" s="4" t="n"/>
    </row>
    <row r="3630" ht="24" customHeight="1">
      <c r="A3630" s="2">
        <f>+D3630-S3630</f>
        <v/>
      </c>
      <c r="B3630" s="80" t="n">
        <v>5220</v>
      </c>
      <c r="C3630" s="66" t="n">
        <v>46003</v>
      </c>
      <c r="D3630" s="2" t="n">
        <v>1</v>
      </c>
      <c r="E3630" s="3" t="inlineStr">
        <is>
          <t>FUCILE SEMIAUTOMATICO</t>
        </is>
      </c>
      <c r="F3630" s="3" t="inlineStr">
        <is>
          <t>12</t>
        </is>
      </c>
      <c r="G3630" s="84" t="inlineStr">
        <is>
          <t>BENELLI</t>
        </is>
      </c>
      <c r="H3630" s="107" t="inlineStr">
        <is>
          <t>NOVA SPEED 26''</t>
        </is>
      </c>
      <c r="I3630" s="107" t="inlineStr">
        <is>
          <t>BU003239F</t>
        </is>
      </c>
      <c r="J3630" s="107" t="inlineStr">
        <is>
          <t>CU003068C</t>
        </is>
      </c>
      <c r="K3630" s="65" t="inlineStr">
        <is>
          <t>N/D</t>
        </is>
      </c>
      <c r="L3630" s="127" t="inlineStr">
        <is>
          <t>BENELLI ARMI SPA</t>
        </is>
      </c>
      <c r="M3630" s="5" t="n">
        <v>697</v>
      </c>
      <c r="N3630" s="5" t="n"/>
      <c r="O3630" s="5">
        <f>+M3630+N3630</f>
        <v/>
      </c>
      <c r="P3630" s="4" t="n">
        <v>46002</v>
      </c>
      <c r="Q3630" s="87" t="n">
        <v>46002</v>
      </c>
      <c r="R3630" s="5" t="n"/>
      <c r="S3630" s="2" t="n"/>
      <c r="T3630" s="3" t="n"/>
      <c r="U3630" s="87" t="n"/>
      <c r="V3630" s="3" t="n"/>
      <c r="W3630" s="108" t="n"/>
      <c r="X3630" s="4" t="n"/>
    </row>
    <row r="3631" ht="24" customHeight="1">
      <c r="A3631" s="2">
        <f>+D3631-S3631</f>
        <v/>
      </c>
      <c r="B3631" s="80" t="n">
        <v>5221</v>
      </c>
      <c r="C3631" s="66" t="n">
        <v>46003</v>
      </c>
      <c r="D3631" s="2" t="n">
        <v>1</v>
      </c>
      <c r="E3631" s="3" t="inlineStr">
        <is>
          <t>FUCILE SEMIAUTOMATICO</t>
        </is>
      </c>
      <c r="F3631" s="3" t="inlineStr">
        <is>
          <t>12</t>
        </is>
      </c>
      <c r="G3631" s="84" t="inlineStr">
        <is>
          <t>BENELLI</t>
        </is>
      </c>
      <c r="H3631" s="107" t="inlineStr">
        <is>
          <t>NOVA SPEED 26''</t>
        </is>
      </c>
      <c r="I3631" s="107" t="inlineStr">
        <is>
          <t>BU003249G</t>
        </is>
      </c>
      <c r="J3631" s="107" t="inlineStr">
        <is>
          <t>CU003271S</t>
        </is>
      </c>
      <c r="K3631" s="65" t="inlineStr">
        <is>
          <t>N/D</t>
        </is>
      </c>
      <c r="L3631" s="127" t="inlineStr">
        <is>
          <t>BENELLI ARMI SPA</t>
        </is>
      </c>
      <c r="M3631" s="5" t="n">
        <v>697</v>
      </c>
      <c r="N3631" s="5" t="n"/>
      <c r="O3631" s="5">
        <f>+M3631+N3631</f>
        <v/>
      </c>
      <c r="P3631" s="4" t="n">
        <v>46002</v>
      </c>
      <c r="Q3631" s="87" t="n">
        <v>46002</v>
      </c>
      <c r="R3631" s="5" t="n"/>
      <c r="S3631" s="2" t="n"/>
      <c r="T3631" s="3" t="n"/>
      <c r="U3631" s="87" t="n"/>
      <c r="V3631" s="3" t="n"/>
      <c r="W3631" s="108" t="n"/>
      <c r="X3631" s="4" t="n"/>
    </row>
    <row r="3632" ht="24" customHeight="1">
      <c r="A3632" s="2">
        <f>+D3632-S3632</f>
        <v/>
      </c>
      <c r="B3632" s="80" t="n">
        <v>5222</v>
      </c>
      <c r="C3632" s="66" t="n">
        <v>46003</v>
      </c>
      <c r="D3632" s="2" t="n">
        <v>1</v>
      </c>
      <c r="E3632" s="3" t="inlineStr">
        <is>
          <t>FUCILE SEMIAUTOMATICO</t>
        </is>
      </c>
      <c r="F3632" s="3" t="inlineStr">
        <is>
          <t>12</t>
        </is>
      </c>
      <c r="G3632" s="84" t="inlineStr">
        <is>
          <t>BENELLI</t>
        </is>
      </c>
      <c r="H3632" s="107" t="inlineStr">
        <is>
          <t>NOVA SPEED 26''</t>
        </is>
      </c>
      <c r="I3632" s="107" t="inlineStr">
        <is>
          <t>BU003279K</t>
        </is>
      </c>
      <c r="J3632" s="107" t="inlineStr">
        <is>
          <t>CU003304T</t>
        </is>
      </c>
      <c r="K3632" s="65" t="inlineStr">
        <is>
          <t>N/D</t>
        </is>
      </c>
      <c r="L3632" s="127" t="inlineStr">
        <is>
          <t>BENELLI ARMI SPA</t>
        </is>
      </c>
      <c r="M3632" s="5" t="n">
        <v>697</v>
      </c>
      <c r="N3632" s="5" t="n"/>
      <c r="O3632" s="5">
        <f>+M3632+N3632</f>
        <v/>
      </c>
      <c r="P3632" s="4" t="n">
        <v>46002</v>
      </c>
      <c r="Q3632" s="87" t="n">
        <v>46002</v>
      </c>
      <c r="R3632" s="5" t="n"/>
      <c r="S3632" s="2" t="n"/>
      <c r="T3632" s="3" t="n"/>
      <c r="U3632" s="87" t="n"/>
      <c r="V3632" s="3" t="n"/>
      <c r="W3632" s="108" t="n"/>
      <c r="X3632" s="4" t="n"/>
    </row>
    <row r="3633" ht="24" customHeight="1">
      <c r="A3633" s="2">
        <f>+D3633-S3633</f>
        <v/>
      </c>
      <c r="B3633" s="80" t="n">
        <v>5223</v>
      </c>
      <c r="C3633" s="66" t="n">
        <v>46003</v>
      </c>
      <c r="D3633" s="2" t="n">
        <v>1</v>
      </c>
      <c r="E3633" s="3" t="inlineStr">
        <is>
          <t>FUCILE SEMIAUTOMATICO</t>
        </is>
      </c>
      <c r="F3633" s="3" t="inlineStr">
        <is>
          <t>12</t>
        </is>
      </c>
      <c r="G3633" s="84" t="inlineStr">
        <is>
          <t>BENELLI</t>
        </is>
      </c>
      <c r="H3633" s="107" t="inlineStr">
        <is>
          <t>NOVA SPEED 26''</t>
        </is>
      </c>
      <c r="I3633" s="107" t="inlineStr">
        <is>
          <t>BU003280R</t>
        </is>
      </c>
      <c r="J3633" s="107" t="inlineStr">
        <is>
          <t>CU003295D</t>
        </is>
      </c>
      <c r="K3633" s="65" t="inlineStr">
        <is>
          <t>N/D</t>
        </is>
      </c>
      <c r="L3633" s="127" t="inlineStr">
        <is>
          <t>BENELLI ARMI SPA</t>
        </is>
      </c>
      <c r="M3633" s="5" t="n">
        <v>697</v>
      </c>
      <c r="N3633" s="5" t="n"/>
      <c r="O3633" s="5">
        <f>+M3633+N3633</f>
        <v/>
      </c>
      <c r="P3633" s="4" t="n">
        <v>46002</v>
      </c>
      <c r="Q3633" s="87" t="n">
        <v>46002</v>
      </c>
      <c r="R3633" s="5" t="n"/>
      <c r="S3633" s="2" t="n"/>
      <c r="T3633" s="3" t="n"/>
      <c r="U3633" s="87" t="n"/>
      <c r="V3633" s="3" t="n"/>
      <c r="W3633" s="108" t="n"/>
      <c r="X3633" s="4" t="n"/>
    </row>
    <row r="3634" ht="24" customHeight="1">
      <c r="A3634" s="2">
        <f>+D3634-S3634</f>
        <v/>
      </c>
      <c r="B3634" s="80" t="n">
        <v>5224</v>
      </c>
      <c r="C3634" s="66" t="n">
        <v>46003</v>
      </c>
      <c r="D3634" s="2" t="n">
        <v>1</v>
      </c>
      <c r="E3634" s="3" t="inlineStr">
        <is>
          <t>FUCILE SEMIAUTOMATICO</t>
        </is>
      </c>
      <c r="F3634" s="3" t="inlineStr">
        <is>
          <t>12</t>
        </is>
      </c>
      <c r="G3634" s="84" t="inlineStr">
        <is>
          <t>BENELLI</t>
        </is>
      </c>
      <c r="H3634" s="107" t="inlineStr">
        <is>
          <t>NOVA SPEED 26''</t>
        </is>
      </c>
      <c r="I3634" s="107" t="inlineStr">
        <is>
          <t>BU003276D</t>
        </is>
      </c>
      <c r="J3634" s="107" t="inlineStr">
        <is>
          <t>CU003294A</t>
        </is>
      </c>
      <c r="K3634" s="65" t="inlineStr">
        <is>
          <t>N/D</t>
        </is>
      </c>
      <c r="L3634" s="127" t="inlineStr">
        <is>
          <t>BENELLI ARMI SPA</t>
        </is>
      </c>
      <c r="M3634" s="5" t="n">
        <v>697</v>
      </c>
      <c r="N3634" s="5" t="n"/>
      <c r="O3634" s="5">
        <f>+M3634+N3634</f>
        <v/>
      </c>
      <c r="P3634" s="4" t="n">
        <v>46002</v>
      </c>
      <c r="Q3634" s="87" t="n">
        <v>46002</v>
      </c>
      <c r="R3634" s="5" t="n"/>
      <c r="S3634" s="2" t="n"/>
      <c r="T3634" s="3" t="n"/>
      <c r="U3634" s="87" t="n"/>
      <c r="V3634" s="3" t="n"/>
      <c r="W3634" s="108" t="n"/>
      <c r="X3634" s="4" t="n"/>
    </row>
    <row r="3635" ht="24" customHeight="1">
      <c r="A3635" s="2">
        <f>+D3635-S3635</f>
        <v/>
      </c>
      <c r="B3635" s="80" t="n">
        <v>5225</v>
      </c>
      <c r="C3635" s="66" t="n">
        <v>46003</v>
      </c>
      <c r="D3635" s="2" t="n">
        <v>1</v>
      </c>
      <c r="E3635" s="3" t="inlineStr">
        <is>
          <t>FUCILE SEMIAUTOMATICO</t>
        </is>
      </c>
      <c r="F3635" s="3" t="inlineStr">
        <is>
          <t>12</t>
        </is>
      </c>
      <c r="G3635" s="84" t="inlineStr">
        <is>
          <t>BENELLI</t>
        </is>
      </c>
      <c r="H3635" s="107" t="inlineStr">
        <is>
          <t>M2 SPEED 24''</t>
        </is>
      </c>
      <c r="I3635" s="107" t="inlineStr">
        <is>
          <t>M0200260V</t>
        </is>
      </c>
      <c r="J3635" s="107" t="inlineStr">
        <is>
          <t>C1688711B</t>
        </is>
      </c>
      <c r="K3635" s="65" t="inlineStr">
        <is>
          <t>N/D</t>
        </is>
      </c>
      <c r="L3635" s="127" t="inlineStr">
        <is>
          <t>BENELLI ARMI SPA</t>
        </is>
      </c>
      <c r="M3635" s="5" t="n">
        <v>971</v>
      </c>
      <c r="N3635" s="5" t="n"/>
      <c r="O3635" s="5">
        <f>+M3635+N3635</f>
        <v/>
      </c>
      <c r="P3635" s="4" t="n">
        <v>46002</v>
      </c>
      <c r="Q3635" s="87" t="n">
        <v>46002</v>
      </c>
      <c r="R3635" s="5" t="n"/>
      <c r="S3635" s="2" t="n"/>
      <c r="T3635" s="3" t="n"/>
      <c r="U3635" s="87" t="n"/>
      <c r="V3635" s="3" t="n"/>
      <c r="W3635" s="108" t="n"/>
      <c r="X3635" s="4" t="n"/>
    </row>
    <row r="3636" ht="24" customHeight="1">
      <c r="A3636" s="2">
        <f>+D3636-S3636</f>
        <v/>
      </c>
      <c r="B3636" s="80" t="n">
        <v>5226</v>
      </c>
      <c r="C3636" s="66" t="n">
        <v>46003</v>
      </c>
      <c r="D3636" s="2" t="n">
        <v>1</v>
      </c>
      <c r="E3636" s="3" t="inlineStr">
        <is>
          <t>FUCILE SEMIAUTOMATICO</t>
        </is>
      </c>
      <c r="F3636" s="3" t="inlineStr">
        <is>
          <t>12</t>
        </is>
      </c>
      <c r="G3636" s="84" t="inlineStr">
        <is>
          <t>BENELLI</t>
        </is>
      </c>
      <c r="H3636" s="107" t="inlineStr">
        <is>
          <t>M2 SPEED 24''</t>
        </is>
      </c>
      <c r="I3636" s="107" t="inlineStr">
        <is>
          <t>M0200261W</t>
        </is>
      </c>
      <c r="J3636" s="107" t="inlineStr">
        <is>
          <t>C1688712C</t>
        </is>
      </c>
      <c r="K3636" s="65" t="inlineStr">
        <is>
          <t>N/D</t>
        </is>
      </c>
      <c r="L3636" s="127" t="inlineStr">
        <is>
          <t>BENELLI ARMI SPA</t>
        </is>
      </c>
      <c r="M3636" s="5" t="n">
        <v>971</v>
      </c>
      <c r="N3636" s="5" t="n"/>
      <c r="O3636" s="5">
        <f>+M3636+N3636</f>
        <v/>
      </c>
      <c r="P3636" s="4" t="n">
        <v>46002</v>
      </c>
      <c r="Q3636" s="87" t="n">
        <v>46002</v>
      </c>
      <c r="R3636" s="5" t="n"/>
      <c r="S3636" s="2" t="n"/>
      <c r="T3636" s="3" t="n"/>
      <c r="U3636" s="87" t="n"/>
      <c r="V3636" s="3" t="n"/>
      <c r="W3636" s="108" t="n"/>
      <c r="X3636" s="4" t="n"/>
    </row>
    <row r="3637" ht="24" customHeight="1">
      <c r="A3637" s="2">
        <f>+D3637-S3637</f>
        <v/>
      </c>
      <c r="B3637" s="80" t="n">
        <v>5227</v>
      </c>
      <c r="C3637" s="66" t="n">
        <v>46003</v>
      </c>
      <c r="D3637" s="2" t="n">
        <v>1</v>
      </c>
      <c r="E3637" s="3" t="inlineStr">
        <is>
          <t>FUCILE SEMIAUTOMATICO</t>
        </is>
      </c>
      <c r="F3637" s="3" t="inlineStr">
        <is>
          <t>12</t>
        </is>
      </c>
      <c r="G3637" s="84" t="inlineStr">
        <is>
          <t>BENELLI</t>
        </is>
      </c>
      <c r="H3637" s="107" t="inlineStr">
        <is>
          <t>M2 SPEED 24''</t>
        </is>
      </c>
      <c r="I3637" s="107" t="inlineStr">
        <is>
          <t>M0200262X</t>
        </is>
      </c>
      <c r="J3637" s="107" t="inlineStr">
        <is>
          <t>C1688713D</t>
        </is>
      </c>
      <c r="K3637" s="65" t="inlineStr">
        <is>
          <t>N/D</t>
        </is>
      </c>
      <c r="L3637" s="127" t="inlineStr">
        <is>
          <t>BENELLI ARMI SPA</t>
        </is>
      </c>
      <c r="M3637" s="5" t="n">
        <v>971</v>
      </c>
      <c r="N3637" s="5" t="n"/>
      <c r="O3637" s="5">
        <f>+M3637+N3637</f>
        <v/>
      </c>
      <c r="P3637" s="4" t="n">
        <v>46002</v>
      </c>
      <c r="Q3637" s="87" t="n">
        <v>46002</v>
      </c>
      <c r="R3637" s="5" t="n"/>
      <c r="S3637" s="2" t="n"/>
      <c r="T3637" s="3" t="n"/>
      <c r="U3637" s="87" t="n"/>
      <c r="V3637" s="3" t="n"/>
      <c r="W3637" s="108" t="n"/>
      <c r="X3637" s="4" t="n"/>
    </row>
    <row r="3638" ht="24" customHeight="1">
      <c r="A3638" s="2">
        <f>+D3638-S3638</f>
        <v/>
      </c>
      <c r="B3638" s="80" t="n">
        <v>5228</v>
      </c>
      <c r="C3638" s="66" t="n">
        <v>46003</v>
      </c>
      <c r="D3638" s="2" t="n">
        <v>1</v>
      </c>
      <c r="E3638" s="3" t="inlineStr">
        <is>
          <t>FUCILE SEMIAUTOMATICO</t>
        </is>
      </c>
      <c r="F3638" s="3" t="inlineStr">
        <is>
          <t>12</t>
        </is>
      </c>
      <c r="G3638" s="84" t="inlineStr">
        <is>
          <t>BENELLI</t>
        </is>
      </c>
      <c r="H3638" s="107" t="inlineStr">
        <is>
          <t>M2 SPEED 24''</t>
        </is>
      </c>
      <c r="I3638" s="107" t="inlineStr">
        <is>
          <t>M0200263Y</t>
        </is>
      </c>
      <c r="J3638" s="107" t="inlineStr">
        <is>
          <t>C1688714E</t>
        </is>
      </c>
      <c r="K3638" s="65" t="inlineStr">
        <is>
          <t>N/D</t>
        </is>
      </c>
      <c r="L3638" s="127" t="inlineStr">
        <is>
          <t>BENELLI ARMI SPA</t>
        </is>
      </c>
      <c r="M3638" s="5" t="n">
        <v>971</v>
      </c>
      <c r="N3638" s="5" t="n"/>
      <c r="O3638" s="5">
        <f>+M3638+N3638</f>
        <v/>
      </c>
      <c r="P3638" s="4" t="n">
        <v>46002</v>
      </c>
      <c r="Q3638" s="87" t="n">
        <v>46002</v>
      </c>
      <c r="R3638" s="5" t="n"/>
      <c r="S3638" s="2" t="n"/>
      <c r="T3638" s="3" t="n"/>
      <c r="U3638" s="87" t="n"/>
      <c r="V3638" s="3" t="n"/>
      <c r="W3638" s="108" t="n"/>
      <c r="X3638" s="4" t="n"/>
    </row>
    <row r="3639" ht="24" customHeight="1">
      <c r="A3639" s="2">
        <f>+D3639-S3639</f>
        <v/>
      </c>
      <c r="B3639" s="80" t="n">
        <v>5229</v>
      </c>
      <c r="C3639" s="66" t="n">
        <v>46003</v>
      </c>
      <c r="D3639" s="2" t="n">
        <v>1</v>
      </c>
      <c r="E3639" s="3" t="inlineStr">
        <is>
          <t>FUCILE SEMIAUTOMATICO</t>
        </is>
      </c>
      <c r="F3639" s="3" t="inlineStr">
        <is>
          <t>12</t>
        </is>
      </c>
      <c r="G3639" s="84" t="inlineStr">
        <is>
          <t>BENELLI</t>
        </is>
      </c>
      <c r="H3639" s="107" t="inlineStr">
        <is>
          <t>M2 SPEED 24''</t>
        </is>
      </c>
      <c r="I3639" s="107" t="inlineStr">
        <is>
          <t>M0200271Y</t>
        </is>
      </c>
      <c r="J3639" s="107" t="inlineStr">
        <is>
          <t>C1688715F</t>
        </is>
      </c>
      <c r="K3639" s="65" t="inlineStr">
        <is>
          <t>N/D</t>
        </is>
      </c>
      <c r="L3639" s="127" t="inlineStr">
        <is>
          <t>BENELLI ARMI SPA</t>
        </is>
      </c>
      <c r="M3639" s="5" t="n">
        <v>971</v>
      </c>
      <c r="N3639" s="5" t="n"/>
      <c r="O3639" s="5">
        <f>+M3639+N3639</f>
        <v/>
      </c>
      <c r="P3639" s="4" t="n">
        <v>46002</v>
      </c>
      <c r="Q3639" s="87" t="n">
        <v>46002</v>
      </c>
      <c r="R3639" s="5" t="n"/>
      <c r="S3639" s="2" t="n"/>
      <c r="T3639" s="3" t="n"/>
      <c r="U3639" s="87" t="n"/>
      <c r="V3639" s="3" t="n"/>
      <c r="W3639" s="108" t="n"/>
      <c r="X3639" s="4" t="n"/>
    </row>
    <row r="3640" ht="24" customHeight="1">
      <c r="A3640" s="2">
        <f>+D3640-S3640</f>
        <v/>
      </c>
      <c r="B3640" s="80" t="n">
        <v>5230</v>
      </c>
      <c r="C3640" s="66" t="n">
        <v>46003</v>
      </c>
      <c r="D3640" s="2" t="n">
        <v>1</v>
      </c>
      <c r="E3640" s="3" t="inlineStr">
        <is>
          <t>FUCILE SEMIAUTOMATICO</t>
        </is>
      </c>
      <c r="F3640" s="3" t="inlineStr">
        <is>
          <t>12</t>
        </is>
      </c>
      <c r="G3640" s="84" t="inlineStr">
        <is>
          <t>BENELLI</t>
        </is>
      </c>
      <c r="H3640" s="107" t="inlineStr">
        <is>
          <t>M2 SPEED 26''</t>
        </is>
      </c>
      <c r="I3640" s="107" t="inlineStr">
        <is>
          <t>M0196901L</t>
        </is>
      </c>
      <c r="J3640" s="107" t="inlineStr">
        <is>
          <t>C1682379F</t>
        </is>
      </c>
      <c r="K3640" s="65" t="inlineStr">
        <is>
          <t>N/D</t>
        </is>
      </c>
      <c r="L3640" s="127" t="inlineStr">
        <is>
          <t>BENELLI ARMI SPA</t>
        </is>
      </c>
      <c r="M3640" s="5" t="n">
        <v>971</v>
      </c>
      <c r="N3640" s="5" t="n"/>
      <c r="O3640" s="5">
        <f>+M3640+N3640</f>
        <v/>
      </c>
      <c r="P3640" s="4" t="n">
        <v>46002</v>
      </c>
      <c r="Q3640" s="87" t="n">
        <v>46002</v>
      </c>
      <c r="R3640" s="5" t="n"/>
      <c r="S3640" s="2" t="n"/>
      <c r="T3640" s="3" t="n"/>
      <c r="U3640" s="87" t="n"/>
      <c r="V3640" s="3" t="n"/>
      <c r="W3640" s="108" t="n"/>
      <c r="X3640" s="4" t="n"/>
    </row>
    <row r="3641" ht="24" customHeight="1">
      <c r="A3641" s="2">
        <f>+D3641-S3641</f>
        <v/>
      </c>
      <c r="B3641" s="80" t="n">
        <v>5231</v>
      </c>
      <c r="C3641" s="66" t="n">
        <v>46003</v>
      </c>
      <c r="D3641" s="2" t="n">
        <v>1</v>
      </c>
      <c r="E3641" s="3" t="inlineStr">
        <is>
          <t>FUCILE SEMIAUTOMATICO</t>
        </is>
      </c>
      <c r="F3641" s="3" t="inlineStr">
        <is>
          <t>12</t>
        </is>
      </c>
      <c r="G3641" s="84" t="inlineStr">
        <is>
          <t>BENELLI</t>
        </is>
      </c>
      <c r="H3641" s="107" t="inlineStr">
        <is>
          <t>M2 SPEED 26''</t>
        </is>
      </c>
      <c r="I3641" s="107" t="inlineStr">
        <is>
          <t>M0196902M</t>
        </is>
      </c>
      <c r="J3641" s="107" t="inlineStr">
        <is>
          <t>C1682376C</t>
        </is>
      </c>
      <c r="K3641" s="65" t="inlineStr">
        <is>
          <t>N/D</t>
        </is>
      </c>
      <c r="L3641" s="127" t="inlineStr">
        <is>
          <t>BENELLI ARMI SPA</t>
        </is>
      </c>
      <c r="M3641" s="5" t="n">
        <v>971</v>
      </c>
      <c r="N3641" s="5" t="n"/>
      <c r="O3641" s="5">
        <f>+M3641+N3641</f>
        <v/>
      </c>
      <c r="P3641" s="4" t="n">
        <v>46002</v>
      </c>
      <c r="Q3641" s="87" t="n">
        <v>46002</v>
      </c>
      <c r="R3641" s="5" t="n"/>
      <c r="S3641" s="2" t="n"/>
      <c r="T3641" s="3" t="n"/>
      <c r="U3641" s="87" t="n"/>
      <c r="V3641" s="3" t="n"/>
      <c r="W3641" s="108" t="n"/>
      <c r="X3641" s="4" t="n"/>
    </row>
    <row r="3642" ht="24" customHeight="1">
      <c r="A3642" s="2">
        <f>+D3642-S3642</f>
        <v/>
      </c>
      <c r="B3642" s="80" t="n">
        <v>5232</v>
      </c>
      <c r="C3642" s="66" t="n">
        <v>46003</v>
      </c>
      <c r="D3642" s="2" t="n">
        <v>1</v>
      </c>
      <c r="E3642" s="3" t="inlineStr">
        <is>
          <t>FUCILE SEMIAUTOMATICO</t>
        </is>
      </c>
      <c r="F3642" s="3" t="inlineStr">
        <is>
          <t>12</t>
        </is>
      </c>
      <c r="G3642" s="84" t="inlineStr">
        <is>
          <t>BENELLI</t>
        </is>
      </c>
      <c r="H3642" s="107" t="inlineStr">
        <is>
          <t>M2 SPEED 26''</t>
        </is>
      </c>
      <c r="I3642" s="107" t="inlineStr">
        <is>
          <t>M0196905Q</t>
        </is>
      </c>
      <c r="J3642" s="107" t="inlineStr">
        <is>
          <t>C1682382A</t>
        </is>
      </c>
      <c r="K3642" s="65" t="inlineStr">
        <is>
          <t>N/D</t>
        </is>
      </c>
      <c r="L3642" s="127" t="inlineStr">
        <is>
          <t>BENELLI ARMI SPA</t>
        </is>
      </c>
      <c r="M3642" s="5" t="n">
        <v>971</v>
      </c>
      <c r="N3642" s="5" t="n"/>
      <c r="O3642" s="5">
        <f>+M3642+N3642</f>
        <v/>
      </c>
      <c r="P3642" s="4" t="n">
        <v>46002</v>
      </c>
      <c r="Q3642" s="87" t="n">
        <v>46002</v>
      </c>
      <c r="R3642" s="5" t="n"/>
      <c r="S3642" s="2" t="n"/>
      <c r="T3642" s="3" t="n"/>
      <c r="U3642" s="87" t="n"/>
      <c r="V3642" s="3" t="n"/>
      <c r="W3642" s="108" t="n"/>
      <c r="X3642" s="4" t="n"/>
    </row>
    <row r="3643" ht="24" customHeight="1">
      <c r="A3643" s="2">
        <f>+D3643-S3643</f>
        <v/>
      </c>
      <c r="B3643" s="80" t="n">
        <v>5233</v>
      </c>
      <c r="C3643" s="66" t="n">
        <v>46003</v>
      </c>
      <c r="D3643" s="2" t="n">
        <v>1</v>
      </c>
      <c r="E3643" s="3" t="inlineStr">
        <is>
          <t>FUCILE SEMIAUTOMATICO</t>
        </is>
      </c>
      <c r="F3643" s="3" t="inlineStr">
        <is>
          <t>12</t>
        </is>
      </c>
      <c r="G3643" s="84" t="inlineStr">
        <is>
          <t>BENELLI</t>
        </is>
      </c>
      <c r="H3643" s="107" t="inlineStr">
        <is>
          <t>M2 SPEED 26''</t>
        </is>
      </c>
      <c r="I3643" s="107" t="inlineStr">
        <is>
          <t>M0196903N</t>
        </is>
      </c>
      <c r="J3643" s="107" t="inlineStr">
        <is>
          <t>C1682380Y</t>
        </is>
      </c>
      <c r="K3643" s="65" t="inlineStr">
        <is>
          <t>N/D</t>
        </is>
      </c>
      <c r="L3643" s="127" t="inlineStr">
        <is>
          <t>BENELLI ARMI SPA</t>
        </is>
      </c>
      <c r="M3643" s="5" t="n">
        <v>971</v>
      </c>
      <c r="N3643" s="5" t="n"/>
      <c r="O3643" s="5">
        <f>+M3643+N3643</f>
        <v/>
      </c>
      <c r="P3643" s="4" t="n">
        <v>46002</v>
      </c>
      <c r="Q3643" s="87" t="n">
        <v>46002</v>
      </c>
      <c r="R3643" s="5" t="n"/>
      <c r="S3643" s="2" t="n"/>
      <c r="T3643" s="3" t="n"/>
      <c r="U3643" s="87" t="n"/>
      <c r="V3643" s="3" t="n"/>
      <c r="W3643" s="108" t="n"/>
      <c r="X3643" s="4" t="n"/>
    </row>
    <row r="3644" ht="24" customHeight="1">
      <c r="A3644" s="2">
        <f>+D3644-S3644</f>
        <v/>
      </c>
      <c r="B3644" s="80" t="n">
        <v>5234</v>
      </c>
      <c r="C3644" s="66" t="n">
        <v>46003</v>
      </c>
      <c r="D3644" s="2" t="n">
        <v>1</v>
      </c>
      <c r="E3644" s="3" t="inlineStr">
        <is>
          <t>FUCILE SEMIAUTOMATICO</t>
        </is>
      </c>
      <c r="F3644" s="3" t="inlineStr">
        <is>
          <t>12</t>
        </is>
      </c>
      <c r="G3644" s="84" t="inlineStr">
        <is>
          <t>BENELLI</t>
        </is>
      </c>
      <c r="H3644" s="107" t="inlineStr">
        <is>
          <t>M2 SPEED 26''</t>
        </is>
      </c>
      <c r="I3644" s="107" t="inlineStr">
        <is>
          <t>M0196900K</t>
        </is>
      </c>
      <c r="J3644" s="107" t="inlineStr">
        <is>
          <t>C1682367B</t>
        </is>
      </c>
      <c r="K3644" s="65" t="inlineStr">
        <is>
          <t>N/D</t>
        </is>
      </c>
      <c r="L3644" s="127" t="inlineStr">
        <is>
          <t>BENELLI ARMI SPA</t>
        </is>
      </c>
      <c r="M3644" s="5" t="n">
        <v>971</v>
      </c>
      <c r="N3644" s="5" t="n"/>
      <c r="O3644" s="5">
        <f>+M3644+N3644</f>
        <v/>
      </c>
      <c r="P3644" s="4" t="n">
        <v>46002</v>
      </c>
      <c r="Q3644" s="87" t="n">
        <v>46002</v>
      </c>
      <c r="R3644" s="5" t="n"/>
      <c r="S3644" s="2" t="n"/>
      <c r="T3644" s="3" t="n"/>
      <c r="U3644" s="87" t="n"/>
      <c r="V3644" s="3" t="n"/>
      <c r="W3644" s="108" t="n"/>
      <c r="X3644" s="4" t="n"/>
    </row>
    <row r="3645" ht="24" customHeight="1">
      <c r="A3645" s="2">
        <f>+D3645-S3645</f>
        <v/>
      </c>
      <c r="B3645" s="80" t="n">
        <v>5235</v>
      </c>
      <c r="C3645" s="66" t="n">
        <v>46003</v>
      </c>
      <c r="D3645" s="2" t="n">
        <v>1</v>
      </c>
      <c r="E3645" s="3" t="inlineStr">
        <is>
          <t>FUCILE SEMIAUTOMATICO</t>
        </is>
      </c>
      <c r="F3645" s="3" t="inlineStr">
        <is>
          <t>12</t>
        </is>
      </c>
      <c r="G3645" s="84" t="inlineStr">
        <is>
          <t>BENELLI</t>
        </is>
      </c>
      <c r="H3645" s="107" t="inlineStr">
        <is>
          <t>M2 SPEED 24''</t>
        </is>
      </c>
      <c r="I3645" s="107" t="inlineStr">
        <is>
          <t>M0200280Z</t>
        </is>
      </c>
      <c r="J3645" s="107" t="inlineStr">
        <is>
          <t>C1688729M</t>
        </is>
      </c>
      <c r="K3645" s="65" t="inlineStr">
        <is>
          <t>N/D</t>
        </is>
      </c>
      <c r="L3645" s="127" t="inlineStr">
        <is>
          <t>BENELLI ARMI SPA</t>
        </is>
      </c>
      <c r="M3645" s="5" t="n">
        <v>971</v>
      </c>
      <c r="N3645" s="5" t="n"/>
      <c r="O3645" s="5">
        <f>+M3645+N3645</f>
        <v/>
      </c>
      <c r="P3645" s="4" t="n">
        <v>46002</v>
      </c>
      <c r="Q3645" s="87" t="n">
        <v>46002</v>
      </c>
      <c r="R3645" s="5" t="n"/>
      <c r="S3645" s="2" t="n"/>
      <c r="T3645" s="3" t="n"/>
      <c r="U3645" s="87" t="n"/>
      <c r="V3645" s="3" t="n"/>
      <c r="W3645" s="108" t="n"/>
      <c r="X3645" s="4" t="n"/>
    </row>
    <row r="3646" ht="24" customHeight="1">
      <c r="A3646" s="2">
        <f>+D3646-S3646</f>
        <v/>
      </c>
      <c r="B3646" s="80" t="n">
        <v>5236</v>
      </c>
      <c r="C3646" s="66" t="n">
        <v>46003</v>
      </c>
      <c r="D3646" s="2" t="n">
        <v>1</v>
      </c>
      <c r="E3646" s="3" t="inlineStr">
        <is>
          <t>FUCILE SEMIAUTOMATICO</t>
        </is>
      </c>
      <c r="F3646" s="3" t="inlineStr">
        <is>
          <t>12</t>
        </is>
      </c>
      <c r="G3646" s="84" t="inlineStr">
        <is>
          <t>BENELLI</t>
        </is>
      </c>
      <c r="H3646" s="107" t="inlineStr">
        <is>
          <t>M2 SPEED 24''</t>
        </is>
      </c>
      <c r="I3646" s="107" t="inlineStr">
        <is>
          <t>M0200277E</t>
        </is>
      </c>
      <c r="J3646" s="107" t="inlineStr">
        <is>
          <t>C1688732G</t>
        </is>
      </c>
      <c r="K3646" s="65" t="inlineStr">
        <is>
          <t>N/D</t>
        </is>
      </c>
      <c r="L3646" s="127" t="inlineStr">
        <is>
          <t>BENELLI ARMI SPA</t>
        </is>
      </c>
      <c r="M3646" s="5" t="n">
        <v>971</v>
      </c>
      <c r="N3646" s="5" t="n"/>
      <c r="O3646" s="5">
        <f>+M3646+N3646</f>
        <v/>
      </c>
      <c r="P3646" s="4" t="n">
        <v>46002</v>
      </c>
      <c r="Q3646" s="87" t="n">
        <v>46002</v>
      </c>
      <c r="R3646" s="5" t="n"/>
      <c r="S3646" s="2" t="n"/>
      <c r="T3646" s="3" t="n"/>
      <c r="U3646" s="87" t="n"/>
      <c r="V3646" s="3" t="n"/>
      <c r="W3646" s="108" t="n"/>
      <c r="X3646" s="4" t="n"/>
    </row>
    <row r="3647" ht="24" customHeight="1">
      <c r="A3647" s="2">
        <f>+D3647-S3647</f>
        <v/>
      </c>
      <c r="B3647" s="80" t="n">
        <v>5237</v>
      </c>
      <c r="C3647" s="66" t="n">
        <v>46003</v>
      </c>
      <c r="D3647" s="2" t="n">
        <v>1</v>
      </c>
      <c r="E3647" s="3" t="inlineStr">
        <is>
          <t>FUCILE SEMIAUTOMATICO</t>
        </is>
      </c>
      <c r="F3647" s="3" t="inlineStr">
        <is>
          <t>12</t>
        </is>
      </c>
      <c r="G3647" s="84" t="inlineStr">
        <is>
          <t>BENELLI</t>
        </is>
      </c>
      <c r="H3647" s="107" t="inlineStr">
        <is>
          <t>M2 SPEED 24''</t>
        </is>
      </c>
      <c r="I3647" s="107" t="inlineStr">
        <is>
          <t>M0200275C</t>
        </is>
      </c>
      <c r="J3647" s="107" t="inlineStr">
        <is>
          <t>C1688734J</t>
        </is>
      </c>
      <c r="K3647" s="65" t="inlineStr">
        <is>
          <t>N/D</t>
        </is>
      </c>
      <c r="L3647" s="127" t="inlineStr">
        <is>
          <t>BENELLI ARMI SPA</t>
        </is>
      </c>
      <c r="M3647" s="5" t="n">
        <v>971</v>
      </c>
      <c r="N3647" s="5" t="n"/>
      <c r="O3647" s="5">
        <f>+M3647+N3647</f>
        <v/>
      </c>
      <c r="P3647" s="4" t="n">
        <v>46002</v>
      </c>
      <c r="Q3647" s="87" t="n">
        <v>46002</v>
      </c>
      <c r="R3647" s="5" t="n"/>
      <c r="S3647" s="2" t="n"/>
      <c r="T3647" s="3" t="n"/>
      <c r="U3647" s="87" t="n"/>
      <c r="V3647" s="3" t="n"/>
      <c r="W3647" s="108" t="n"/>
      <c r="X3647" s="4" t="n"/>
    </row>
    <row r="3648" ht="24" customHeight="1">
      <c r="A3648" s="2">
        <f>+D3648-S3648</f>
        <v/>
      </c>
      <c r="B3648" s="80" t="n">
        <v>5238</v>
      </c>
      <c r="C3648" s="66" t="n">
        <v>46003</v>
      </c>
      <c r="D3648" s="2" t="n">
        <v>1</v>
      </c>
      <c r="E3648" s="3" t="inlineStr">
        <is>
          <t>FUCILE SEMIAUTOMATICO</t>
        </is>
      </c>
      <c r="F3648" s="3" t="inlineStr">
        <is>
          <t>12</t>
        </is>
      </c>
      <c r="G3648" s="84" t="inlineStr">
        <is>
          <t>BENELLI</t>
        </is>
      </c>
      <c r="H3648" s="107" t="inlineStr">
        <is>
          <t>M2 SPEED 24''</t>
        </is>
      </c>
      <c r="I3648" s="107" t="inlineStr">
        <is>
          <t>M0200274B</t>
        </is>
      </c>
      <c r="J3648" s="107" t="inlineStr">
        <is>
          <t>C1688736L</t>
        </is>
      </c>
      <c r="K3648" s="65" t="inlineStr">
        <is>
          <t>N/D</t>
        </is>
      </c>
      <c r="L3648" s="127" t="inlineStr">
        <is>
          <t>BENELLI ARMI SPA</t>
        </is>
      </c>
      <c r="M3648" s="5" t="n">
        <v>971</v>
      </c>
      <c r="N3648" s="5" t="n"/>
      <c r="O3648" s="5">
        <f>+M3648+N3648</f>
        <v/>
      </c>
      <c r="P3648" s="4" t="n">
        <v>46002</v>
      </c>
      <c r="Q3648" s="87" t="n">
        <v>46002</v>
      </c>
      <c r="R3648" s="5" t="n"/>
      <c r="S3648" s="2" t="n"/>
      <c r="T3648" s="3" t="n"/>
      <c r="U3648" s="87" t="n"/>
      <c r="V3648" s="3" t="n"/>
      <c r="W3648" s="108" t="n"/>
      <c r="X3648" s="4" t="n"/>
    </row>
    <row r="3649" ht="24" customHeight="1">
      <c r="A3649" s="2">
        <f>+D3649-S3649</f>
        <v/>
      </c>
      <c r="B3649" s="80" t="n">
        <v>5239</v>
      </c>
      <c r="C3649" s="66" t="n">
        <v>46003</v>
      </c>
      <c r="D3649" s="2" t="n">
        <v>1</v>
      </c>
      <c r="E3649" s="3" t="inlineStr">
        <is>
          <t>FUCILE SEMIAUTOMATICO</t>
        </is>
      </c>
      <c r="F3649" s="3" t="inlineStr">
        <is>
          <t>12</t>
        </is>
      </c>
      <c r="G3649" s="84" t="inlineStr">
        <is>
          <t>BENELLI</t>
        </is>
      </c>
      <c r="H3649" s="107" t="inlineStr">
        <is>
          <t>M2 SPEED 24''</t>
        </is>
      </c>
      <c r="I3649" s="107" t="inlineStr">
        <is>
          <t>M0200272Z</t>
        </is>
      </c>
      <c r="J3649" s="107" t="inlineStr">
        <is>
          <t>C1688738N</t>
        </is>
      </c>
      <c r="K3649" s="65" t="inlineStr">
        <is>
          <t>N/D</t>
        </is>
      </c>
      <c r="L3649" s="127" t="inlineStr">
        <is>
          <t>BENELLI ARMI SPA</t>
        </is>
      </c>
      <c r="M3649" s="5" t="n">
        <v>971</v>
      </c>
      <c r="N3649" s="5" t="n"/>
      <c r="O3649" s="5">
        <f>+M3649+N3649</f>
        <v/>
      </c>
      <c r="P3649" s="4" t="n">
        <v>46002</v>
      </c>
      <c r="Q3649" s="87" t="n">
        <v>46002</v>
      </c>
      <c r="R3649" s="5" t="n"/>
      <c r="S3649" s="2" t="n"/>
      <c r="T3649" s="3" t="n"/>
      <c r="U3649" s="87" t="n"/>
      <c r="V3649" s="3" t="n"/>
      <c r="W3649" s="108" t="n"/>
      <c r="X3649" s="4" t="n"/>
    </row>
    <row r="3650" ht="24" customHeight="1">
      <c r="A3650" s="2">
        <f>+D3650-S3650</f>
        <v/>
      </c>
      <c r="B3650" s="80" t="n">
        <v>5240</v>
      </c>
      <c r="C3650" s="66" t="n">
        <v>46003</v>
      </c>
      <c r="D3650" s="2" t="n">
        <v>1</v>
      </c>
      <c r="E3650" s="3" t="inlineStr">
        <is>
          <t>FUCILE SEMIAUTOMATICO</t>
        </is>
      </c>
      <c r="F3650" s="3" t="inlineStr">
        <is>
          <t>12</t>
        </is>
      </c>
      <c r="G3650" s="84" t="inlineStr">
        <is>
          <t>BENELLI</t>
        </is>
      </c>
      <c r="H3650" s="107" t="inlineStr">
        <is>
          <t>M2 SPEED 26''</t>
        </is>
      </c>
      <c r="I3650" s="107" t="inlineStr">
        <is>
          <t>M0196889L</t>
        </is>
      </c>
      <c r="J3650" s="107" t="inlineStr">
        <is>
          <t>C1682369D</t>
        </is>
      </c>
      <c r="K3650" s="65" t="inlineStr">
        <is>
          <t>N/D</t>
        </is>
      </c>
      <c r="L3650" s="127" t="inlineStr">
        <is>
          <t>BENELLI ARMI SPA</t>
        </is>
      </c>
      <c r="M3650" s="5" t="n">
        <v>971</v>
      </c>
      <c r="N3650" s="5" t="n"/>
      <c r="O3650" s="5">
        <f>+M3650+N3650</f>
        <v/>
      </c>
      <c r="P3650" s="4" t="n">
        <v>46002</v>
      </c>
      <c r="Q3650" s="87" t="n">
        <v>46002</v>
      </c>
      <c r="R3650" s="5" t="n"/>
      <c r="S3650" s="2" t="n"/>
      <c r="T3650" s="3" t="n"/>
      <c r="U3650" s="87" t="n"/>
      <c r="V3650" s="3" t="n"/>
      <c r="W3650" s="108" t="n"/>
      <c r="X3650" s="4" t="n"/>
    </row>
    <row r="3651" ht="24" customHeight="1">
      <c r="A3651" s="2">
        <f>+D3651-S3651</f>
        <v/>
      </c>
      <c r="B3651" s="80" t="n">
        <v>5241</v>
      </c>
      <c r="C3651" s="66" t="n">
        <v>46003</v>
      </c>
      <c r="D3651" s="2" t="n">
        <v>1</v>
      </c>
      <c r="E3651" s="3" t="inlineStr">
        <is>
          <t>FUCILE SEMIAUTOMATICO</t>
        </is>
      </c>
      <c r="F3651" s="3" t="inlineStr">
        <is>
          <t>12</t>
        </is>
      </c>
      <c r="G3651" s="84" t="inlineStr">
        <is>
          <t>BENELLI</t>
        </is>
      </c>
      <c r="H3651" s="107" t="inlineStr">
        <is>
          <t>M2 SPEED 26''</t>
        </is>
      </c>
      <c r="I3651" s="107" t="inlineStr">
        <is>
          <t>M0196896K</t>
        </is>
      </c>
      <c r="J3651" s="107" t="inlineStr">
        <is>
          <t>C1682375B</t>
        </is>
      </c>
      <c r="K3651" s="65" t="inlineStr">
        <is>
          <t>N/D</t>
        </is>
      </c>
      <c r="L3651" s="127" t="inlineStr">
        <is>
          <t>BENELLI ARMI SPA</t>
        </is>
      </c>
      <c r="M3651" s="5" t="n">
        <v>971</v>
      </c>
      <c r="N3651" s="5" t="n"/>
      <c r="O3651" s="5">
        <f>+M3651+N3651</f>
        <v/>
      </c>
      <c r="P3651" s="4" t="n">
        <v>46002</v>
      </c>
      <c r="Q3651" s="87" t="n">
        <v>46002</v>
      </c>
      <c r="R3651" s="5" t="n"/>
      <c r="S3651" s="2" t="n"/>
      <c r="T3651" s="3" t="n"/>
      <c r="U3651" s="87" t="n"/>
      <c r="V3651" s="3" t="n"/>
      <c r="W3651" s="108" t="n"/>
      <c r="X3651" s="4" t="n"/>
    </row>
    <row r="3652" ht="24" customHeight="1">
      <c r="A3652" s="2">
        <f>+D3652-S3652</f>
        <v/>
      </c>
      <c r="B3652" s="80" t="n">
        <v>5242</v>
      </c>
      <c r="C3652" s="66" t="n">
        <v>46003</v>
      </c>
      <c r="D3652" s="2" t="n">
        <v>1</v>
      </c>
      <c r="E3652" s="3" t="inlineStr">
        <is>
          <t>FUCILE SEMIAUTOMATICO</t>
        </is>
      </c>
      <c r="F3652" s="3" t="inlineStr">
        <is>
          <t>12</t>
        </is>
      </c>
      <c r="G3652" s="84" t="inlineStr">
        <is>
          <t>BENELLI</t>
        </is>
      </c>
      <c r="H3652" s="107" t="inlineStr">
        <is>
          <t>M2 SPEED 26''</t>
        </is>
      </c>
      <c r="I3652" s="107" t="inlineStr">
        <is>
          <t>M0196894H</t>
        </is>
      </c>
      <c r="J3652" s="107" t="inlineStr">
        <is>
          <t>C1682371X</t>
        </is>
      </c>
      <c r="K3652" s="65" t="inlineStr">
        <is>
          <t>N/D</t>
        </is>
      </c>
      <c r="L3652" s="127" t="inlineStr">
        <is>
          <t>BENELLI ARMI SPA</t>
        </is>
      </c>
      <c r="M3652" s="5" t="n">
        <v>971</v>
      </c>
      <c r="N3652" s="5" t="n"/>
      <c r="O3652" s="5">
        <f>+M3652+N3652</f>
        <v/>
      </c>
      <c r="P3652" s="4" t="n">
        <v>46002</v>
      </c>
      <c r="Q3652" s="87" t="n">
        <v>46002</v>
      </c>
      <c r="R3652" s="5" t="n"/>
      <c r="S3652" s="2" t="n"/>
      <c r="T3652" s="3" t="n"/>
      <c r="U3652" s="87" t="n"/>
      <c r="V3652" s="3" t="n"/>
      <c r="W3652" s="108" t="n"/>
      <c r="X3652" s="4" t="n"/>
    </row>
    <row r="3653" ht="24" customHeight="1">
      <c r="A3653" s="2">
        <f>+D3653-S3653</f>
        <v/>
      </c>
      <c r="B3653" s="80" t="n">
        <v>5243</v>
      </c>
      <c r="C3653" s="66" t="n">
        <v>46003</v>
      </c>
      <c r="D3653" s="2" t="n">
        <v>1</v>
      </c>
      <c r="E3653" s="3" t="inlineStr">
        <is>
          <t>FUCILE SEMIAUTOMATICO</t>
        </is>
      </c>
      <c r="F3653" s="3" t="inlineStr">
        <is>
          <t>12</t>
        </is>
      </c>
      <c r="G3653" s="84" t="inlineStr">
        <is>
          <t>BENELLI</t>
        </is>
      </c>
      <c r="H3653" s="107" t="inlineStr">
        <is>
          <t>M2 SPEED 26''</t>
        </is>
      </c>
      <c r="I3653" s="107" t="inlineStr">
        <is>
          <t>M0196892F</t>
        </is>
      </c>
      <c r="J3653" s="107" t="inlineStr">
        <is>
          <t>C1682368C</t>
        </is>
      </c>
      <c r="K3653" s="65" t="inlineStr">
        <is>
          <t>N/D</t>
        </is>
      </c>
      <c r="L3653" s="127" t="inlineStr">
        <is>
          <t>BENELLI ARMI SPA</t>
        </is>
      </c>
      <c r="M3653" s="5" t="n">
        <v>971</v>
      </c>
      <c r="N3653" s="5" t="n"/>
      <c r="O3653" s="5">
        <f>+M3653+N3653</f>
        <v/>
      </c>
      <c r="P3653" s="4" t="n">
        <v>46002</v>
      </c>
      <c r="Q3653" s="87" t="n">
        <v>46002</v>
      </c>
      <c r="R3653" s="5" t="n"/>
      <c r="S3653" s="2" t="n"/>
      <c r="T3653" s="3" t="n"/>
      <c r="U3653" s="87" t="n"/>
      <c r="V3653" s="3" t="n"/>
      <c r="W3653" s="108" t="n"/>
      <c r="X3653" s="4" t="n"/>
    </row>
    <row r="3654" ht="24" customHeight="1">
      <c r="A3654" s="2">
        <f>+D3654-S3654</f>
        <v/>
      </c>
      <c r="B3654" s="80" t="n">
        <v>5244</v>
      </c>
      <c r="C3654" s="66" t="n">
        <v>46003</v>
      </c>
      <c r="D3654" s="2" t="n">
        <v>1</v>
      </c>
      <c r="E3654" s="3" t="inlineStr">
        <is>
          <t>FUCILE SEMIAUTOMATICO</t>
        </is>
      </c>
      <c r="F3654" s="3" t="inlineStr">
        <is>
          <t>12</t>
        </is>
      </c>
      <c r="G3654" s="84" t="inlineStr">
        <is>
          <t>BENELLI</t>
        </is>
      </c>
      <c r="H3654" s="107" t="inlineStr">
        <is>
          <t>M2 SPEED 26''</t>
        </is>
      </c>
      <c r="I3654" s="107" t="inlineStr">
        <is>
          <t>M0196898M</t>
        </is>
      </c>
      <c r="J3654" s="107" t="inlineStr">
        <is>
          <t>C1682377D</t>
        </is>
      </c>
      <c r="K3654" s="65" t="inlineStr">
        <is>
          <t>N/D</t>
        </is>
      </c>
      <c r="L3654" s="127" t="inlineStr">
        <is>
          <t>BENELLI ARMI SPA</t>
        </is>
      </c>
      <c r="M3654" s="5" t="n">
        <v>971</v>
      </c>
      <c r="N3654" s="5" t="n"/>
      <c r="O3654" s="5">
        <f>+M3654+N3654</f>
        <v/>
      </c>
      <c r="P3654" s="4" t="n">
        <v>46002</v>
      </c>
      <c r="Q3654" s="87" t="n">
        <v>46002</v>
      </c>
      <c r="R3654" s="5" t="n"/>
      <c r="S3654" s="2" t="n"/>
      <c r="T3654" s="3" t="n"/>
      <c r="U3654" s="87" t="n"/>
      <c r="V3654" s="3" t="n"/>
      <c r="W3654" s="108" t="n"/>
      <c r="X3654" s="4" t="n"/>
    </row>
    <row r="3655" ht="24" customHeight="1">
      <c r="A3655" s="2">
        <f>+D3655-S3655</f>
        <v/>
      </c>
      <c r="B3655" s="80" t="n">
        <v>5245</v>
      </c>
      <c r="C3655" s="66" t="n">
        <v>46003</v>
      </c>
      <c r="D3655" s="2" t="n">
        <v>1</v>
      </c>
      <c r="E3655" s="3" t="inlineStr">
        <is>
          <t>FUCILE SEMIAUTOMATICO</t>
        </is>
      </c>
      <c r="F3655" s="3" t="inlineStr">
        <is>
          <t>12</t>
        </is>
      </c>
      <c r="G3655" s="84" t="inlineStr">
        <is>
          <t>BENELLI</t>
        </is>
      </c>
      <c r="H3655" s="107" t="inlineStr">
        <is>
          <t>M2 SPEED 26''</t>
        </is>
      </c>
      <c r="I3655" s="107" t="inlineStr">
        <is>
          <t>M0197962C</t>
        </is>
      </c>
      <c r="J3655" s="107" t="inlineStr">
        <is>
          <t>C1683900P</t>
        </is>
      </c>
      <c r="K3655" s="65" t="inlineStr">
        <is>
          <t>N/D</t>
        </is>
      </c>
      <c r="L3655" s="127" t="inlineStr">
        <is>
          <t>BENELLI ARMI SPA</t>
        </is>
      </c>
      <c r="M3655" s="5" t="n">
        <v>971</v>
      </c>
      <c r="N3655" s="5" t="n"/>
      <c r="O3655" s="5">
        <f>+M3655+N3655</f>
        <v/>
      </c>
      <c r="P3655" s="4" t="n">
        <v>46002</v>
      </c>
      <c r="Q3655" s="87" t="n">
        <v>46002</v>
      </c>
      <c r="R3655" s="5" t="n"/>
      <c r="S3655" s="2" t="n"/>
      <c r="T3655" s="3" t="n"/>
      <c r="U3655" s="87" t="n"/>
      <c r="V3655" s="3" t="n"/>
      <c r="W3655" s="108" t="n"/>
      <c r="X3655" s="4" t="n"/>
    </row>
    <row r="3656" ht="24" customHeight="1">
      <c r="A3656" s="2">
        <f>+D3656-S3656</f>
        <v/>
      </c>
      <c r="B3656" s="80" t="n">
        <v>5246</v>
      </c>
      <c r="C3656" s="66" t="n">
        <v>46003</v>
      </c>
      <c r="D3656" s="2" t="n">
        <v>1</v>
      </c>
      <c r="E3656" s="3" t="inlineStr">
        <is>
          <t>FUCILE SEMIAUTOMATICO</t>
        </is>
      </c>
      <c r="F3656" s="3" t="inlineStr">
        <is>
          <t>12</t>
        </is>
      </c>
      <c r="G3656" s="84" t="inlineStr">
        <is>
          <t>BENELLI</t>
        </is>
      </c>
      <c r="H3656" s="107" t="inlineStr">
        <is>
          <t>M2 SPEED 26''</t>
        </is>
      </c>
      <c r="I3656" s="107" t="inlineStr">
        <is>
          <t>M0197963D</t>
        </is>
      </c>
      <c r="J3656" s="107" t="inlineStr">
        <is>
          <t>C1683902R</t>
        </is>
      </c>
      <c r="K3656" s="65" t="inlineStr">
        <is>
          <t>N/D</t>
        </is>
      </c>
      <c r="L3656" s="127" t="inlineStr">
        <is>
          <t>BENELLI ARMI SPA</t>
        </is>
      </c>
      <c r="M3656" s="5" t="n">
        <v>971</v>
      </c>
      <c r="N3656" s="5" t="n"/>
      <c r="O3656" s="5">
        <f>+M3656+N3656</f>
        <v/>
      </c>
      <c r="P3656" s="4" t="n">
        <v>46002</v>
      </c>
      <c r="Q3656" s="87" t="n">
        <v>46002</v>
      </c>
      <c r="R3656" s="5" t="n"/>
      <c r="S3656" s="2" t="n"/>
      <c r="T3656" s="3" t="n"/>
      <c r="U3656" s="87" t="n"/>
      <c r="V3656" s="3" t="n"/>
      <c r="W3656" s="108" t="n"/>
      <c r="X3656" s="4" t="n"/>
    </row>
    <row r="3657" ht="24" customHeight="1">
      <c r="A3657" s="2">
        <f>+D3657-S3657</f>
        <v/>
      </c>
      <c r="B3657" s="80" t="n">
        <v>5247</v>
      </c>
      <c r="C3657" s="66" t="n">
        <v>46003</v>
      </c>
      <c r="D3657" s="2" t="n">
        <v>1</v>
      </c>
      <c r="E3657" s="3" t="inlineStr">
        <is>
          <t>FUCILE SEMIAUTOMATICO</t>
        </is>
      </c>
      <c r="F3657" s="3" t="inlineStr">
        <is>
          <t>12</t>
        </is>
      </c>
      <c r="G3657" s="84" t="inlineStr">
        <is>
          <t>BENELLI</t>
        </is>
      </c>
      <c r="H3657" s="107" t="inlineStr">
        <is>
          <t>M2 SPEED 26''</t>
        </is>
      </c>
      <c r="I3657" s="107" t="inlineStr">
        <is>
          <t>M0197964E</t>
        </is>
      </c>
      <c r="J3657" s="107" t="inlineStr">
        <is>
          <t>C1683898R</t>
        </is>
      </c>
      <c r="K3657" s="65" t="inlineStr">
        <is>
          <t>N/D</t>
        </is>
      </c>
      <c r="L3657" s="127" t="inlineStr">
        <is>
          <t>BENELLI ARMI SPA</t>
        </is>
      </c>
      <c r="M3657" s="5" t="n">
        <v>971</v>
      </c>
      <c r="N3657" s="5" t="n"/>
      <c r="O3657" s="5">
        <f>+M3657+N3657</f>
        <v/>
      </c>
      <c r="P3657" s="4" t="n">
        <v>46002</v>
      </c>
      <c r="Q3657" s="87" t="n">
        <v>46002</v>
      </c>
      <c r="R3657" s="5" t="n"/>
      <c r="S3657" s="2" t="n"/>
      <c r="T3657" s="3" t="n"/>
      <c r="U3657" s="87" t="n"/>
      <c r="V3657" s="3" t="n"/>
      <c r="W3657" s="108" t="n"/>
      <c r="X3657" s="4" t="n"/>
    </row>
    <row r="3658" ht="24" customHeight="1">
      <c r="A3658" s="2">
        <f>+D3658-S3658</f>
        <v/>
      </c>
      <c r="B3658" s="80" t="n">
        <v>5248</v>
      </c>
      <c r="C3658" s="66" t="n">
        <v>46003</v>
      </c>
      <c r="D3658" s="2" t="n">
        <v>1</v>
      </c>
      <c r="E3658" s="3" t="inlineStr">
        <is>
          <t>FUCILE SEMIAUTOMATICO</t>
        </is>
      </c>
      <c r="F3658" s="3" t="inlineStr">
        <is>
          <t>12</t>
        </is>
      </c>
      <c r="G3658" s="84" t="inlineStr">
        <is>
          <t>BENELLI</t>
        </is>
      </c>
      <c r="H3658" s="107" t="inlineStr">
        <is>
          <t>M2 SPEED 26''</t>
        </is>
      </c>
      <c r="I3658" s="107" t="inlineStr">
        <is>
          <t>M0197966G</t>
        </is>
      </c>
      <c r="J3658" s="107" t="inlineStr">
        <is>
          <t>C1683935A</t>
        </is>
      </c>
      <c r="K3658" s="65" t="inlineStr">
        <is>
          <t>N/D</t>
        </is>
      </c>
      <c r="L3658" s="127" t="inlineStr">
        <is>
          <t>BENELLI ARMI SPA</t>
        </is>
      </c>
      <c r="M3658" s="5" t="n">
        <v>971</v>
      </c>
      <c r="N3658" s="5" t="n"/>
      <c r="O3658" s="5">
        <f>+M3658+N3658</f>
        <v/>
      </c>
      <c r="P3658" s="4" t="n">
        <v>46002</v>
      </c>
      <c r="Q3658" s="87" t="n">
        <v>46002</v>
      </c>
      <c r="R3658" s="5" t="n"/>
      <c r="S3658" s="2" t="n"/>
      <c r="T3658" s="3" t="n"/>
      <c r="U3658" s="87" t="n"/>
      <c r="V3658" s="3" t="n"/>
      <c r="W3658" s="108" t="n"/>
      <c r="X3658" s="4" t="n"/>
    </row>
    <row r="3659" ht="24" customHeight="1">
      <c r="A3659" s="2">
        <f>+D3659-S3659</f>
        <v/>
      </c>
      <c r="B3659" s="80" t="n">
        <v>5249</v>
      </c>
      <c r="C3659" s="66" t="n">
        <v>46003</v>
      </c>
      <c r="D3659" s="2" t="n">
        <v>1</v>
      </c>
      <c r="E3659" s="3" t="inlineStr">
        <is>
          <t>FUCILE SEMIAUTOMATICO</t>
        </is>
      </c>
      <c r="F3659" s="3" t="inlineStr">
        <is>
          <t>12</t>
        </is>
      </c>
      <c r="G3659" s="84" t="inlineStr">
        <is>
          <t>BENELLI</t>
        </is>
      </c>
      <c r="H3659" s="107" t="inlineStr">
        <is>
          <t>M2 SPEED 26''</t>
        </is>
      </c>
      <c r="I3659" s="107" t="inlineStr">
        <is>
          <t>M0197967H</t>
        </is>
      </c>
      <c r="J3659" s="107" t="inlineStr">
        <is>
          <t>C1683934Z</t>
        </is>
      </c>
      <c r="K3659" s="65" t="inlineStr">
        <is>
          <t>N/D</t>
        </is>
      </c>
      <c r="L3659" s="127" t="inlineStr">
        <is>
          <t>BENELLI ARMI SPA</t>
        </is>
      </c>
      <c r="M3659" s="5" t="n">
        <v>971</v>
      </c>
      <c r="N3659" s="5" t="n"/>
      <c r="O3659" s="5">
        <f>+M3659+N3659</f>
        <v/>
      </c>
      <c r="P3659" s="4" t="n">
        <v>46002</v>
      </c>
      <c r="Q3659" s="87" t="n">
        <v>46002</v>
      </c>
      <c r="R3659" s="5" t="n"/>
      <c r="S3659" s="2" t="n"/>
      <c r="T3659" s="3" t="n"/>
      <c r="U3659" s="87" t="n"/>
      <c r="V3659" s="3" t="n"/>
      <c r="W3659" s="108" t="n"/>
      <c r="X3659" s="4" t="n"/>
    </row>
    <row r="3660" ht="24" customHeight="1">
      <c r="A3660" s="2">
        <f>+D3660-S3660</f>
        <v/>
      </c>
      <c r="B3660" s="80" t="n">
        <v>5250</v>
      </c>
      <c r="C3660" s="66" t="n">
        <v>46003</v>
      </c>
      <c r="D3660" s="2" t="n">
        <v>1</v>
      </c>
      <c r="E3660" s="3" t="inlineStr">
        <is>
          <t>FUCILE SEMIAUTOMATICO</t>
        </is>
      </c>
      <c r="F3660" s="3" t="inlineStr">
        <is>
          <t>12</t>
        </is>
      </c>
      <c r="G3660" s="84" t="inlineStr">
        <is>
          <t>BENELLI</t>
        </is>
      </c>
      <c r="H3660" s="107" t="inlineStr">
        <is>
          <t>M2 SPEED 26''</t>
        </is>
      </c>
      <c r="I3660" s="107" t="inlineStr">
        <is>
          <t>M0196895J</t>
        </is>
      </c>
      <c r="J3660" s="107" t="inlineStr">
        <is>
          <t>C1682378E</t>
        </is>
      </c>
      <c r="K3660" s="65" t="inlineStr">
        <is>
          <t>N/D</t>
        </is>
      </c>
      <c r="L3660" s="127" t="inlineStr">
        <is>
          <t>BENELLI ARMI SPA</t>
        </is>
      </c>
      <c r="M3660" s="5" t="n">
        <v>971</v>
      </c>
      <c r="N3660" s="5" t="n"/>
      <c r="O3660" s="5">
        <f>+M3660+N3660</f>
        <v/>
      </c>
      <c r="P3660" s="4" t="n">
        <v>46002</v>
      </c>
      <c r="Q3660" s="87" t="n">
        <v>46002</v>
      </c>
      <c r="R3660" s="5" t="n"/>
      <c r="S3660" s="2" t="n"/>
      <c r="T3660" s="3" t="n"/>
      <c r="U3660" s="87" t="n"/>
      <c r="V3660" s="3" t="n"/>
      <c r="W3660" s="108" t="n"/>
      <c r="X3660" s="4" t="n"/>
    </row>
    <row r="3661" ht="24" customHeight="1">
      <c r="A3661" s="2">
        <f>+D3661-S3661</f>
        <v/>
      </c>
      <c r="B3661" s="80" t="n">
        <v>5251</v>
      </c>
      <c r="C3661" s="66" t="n">
        <v>46003</v>
      </c>
      <c r="D3661" s="2" t="n">
        <v>1</v>
      </c>
      <c r="E3661" s="3" t="inlineStr">
        <is>
          <t>FUCILE SEMIAUTOMATICO</t>
        </is>
      </c>
      <c r="F3661" s="3" t="inlineStr">
        <is>
          <t>12</t>
        </is>
      </c>
      <c r="G3661" s="84" t="inlineStr">
        <is>
          <t>BENELLI</t>
        </is>
      </c>
      <c r="H3661" s="107" t="inlineStr">
        <is>
          <t>M2 SPEED 26''</t>
        </is>
      </c>
      <c r="I3661" s="107" t="inlineStr">
        <is>
          <t>M0196893G</t>
        </is>
      </c>
      <c r="J3661" s="107" t="inlineStr">
        <is>
          <t>C1682370W</t>
        </is>
      </c>
      <c r="K3661" s="65" t="inlineStr">
        <is>
          <t>N/D</t>
        </is>
      </c>
      <c r="L3661" s="127" t="inlineStr">
        <is>
          <t>BENELLI ARMI SPA</t>
        </is>
      </c>
      <c r="M3661" s="5" t="n">
        <v>971</v>
      </c>
      <c r="N3661" s="5" t="n"/>
      <c r="O3661" s="5">
        <f>+M3661+N3661</f>
        <v/>
      </c>
      <c r="P3661" s="4" t="n">
        <v>46002</v>
      </c>
      <c r="Q3661" s="87" t="n">
        <v>46002</v>
      </c>
      <c r="R3661" s="5" t="n"/>
      <c r="S3661" s="2" t="n"/>
      <c r="T3661" s="3" t="n"/>
      <c r="U3661" s="87" t="n"/>
      <c r="V3661" s="3" t="n"/>
      <c r="W3661" s="108" t="n"/>
      <c r="X3661" s="4" t="n"/>
    </row>
    <row r="3662" ht="24" customHeight="1">
      <c r="A3662" s="2">
        <f>+D3662-S3662</f>
        <v/>
      </c>
      <c r="B3662" s="80" t="n">
        <v>5252</v>
      </c>
      <c r="C3662" s="66" t="n">
        <v>46003</v>
      </c>
      <c r="D3662" s="2" t="n">
        <v>1</v>
      </c>
      <c r="E3662" s="3" t="inlineStr">
        <is>
          <t>FUCILE SEMIAUTOMATICO</t>
        </is>
      </c>
      <c r="F3662" s="3" t="inlineStr">
        <is>
          <t>12</t>
        </is>
      </c>
      <c r="G3662" s="84" t="inlineStr">
        <is>
          <t>BENELLI</t>
        </is>
      </c>
      <c r="H3662" s="107" t="inlineStr">
        <is>
          <t>M2 SPEED 26''</t>
        </is>
      </c>
      <c r="I3662" s="107" t="inlineStr">
        <is>
          <t>M0196891E</t>
        </is>
      </c>
      <c r="J3662" s="107" t="inlineStr">
        <is>
          <t>C1682372Y</t>
        </is>
      </c>
      <c r="K3662" s="65" t="inlineStr">
        <is>
          <t>N/D</t>
        </is>
      </c>
      <c r="L3662" s="127" t="inlineStr">
        <is>
          <t>BENELLI ARMI SPA</t>
        </is>
      </c>
      <c r="M3662" s="5" t="n">
        <v>971</v>
      </c>
      <c r="N3662" s="5" t="n"/>
      <c r="O3662" s="5">
        <f>+M3662+N3662</f>
        <v/>
      </c>
      <c r="P3662" s="4" t="n">
        <v>46002</v>
      </c>
      <c r="Q3662" s="87" t="n">
        <v>46002</v>
      </c>
      <c r="R3662" s="5" t="n"/>
      <c r="S3662" s="2" t="n"/>
      <c r="T3662" s="3" t="n"/>
      <c r="U3662" s="87" t="n"/>
      <c r="V3662" s="3" t="n"/>
      <c r="W3662" s="108" t="n"/>
      <c r="X3662" s="4" t="n"/>
    </row>
    <row r="3663" ht="24" customHeight="1">
      <c r="A3663" s="2">
        <f>+D3663-S3663</f>
        <v/>
      </c>
      <c r="B3663" s="80" t="n">
        <v>5253</v>
      </c>
      <c r="C3663" s="66" t="n">
        <v>46003</v>
      </c>
      <c r="D3663" s="2" t="n">
        <v>1</v>
      </c>
      <c r="E3663" s="3" t="inlineStr">
        <is>
          <t>FUCILE SEMIAUTOMATICO</t>
        </is>
      </c>
      <c r="F3663" s="3" t="inlineStr">
        <is>
          <t>12</t>
        </is>
      </c>
      <c r="G3663" s="84" t="inlineStr">
        <is>
          <t>BENELLI</t>
        </is>
      </c>
      <c r="H3663" s="107" t="inlineStr">
        <is>
          <t>M2 SPEED 26''</t>
        </is>
      </c>
      <c r="I3663" s="107" t="inlineStr">
        <is>
          <t>M0196897L</t>
        </is>
      </c>
      <c r="J3663" s="107" t="inlineStr">
        <is>
          <t>C1682381Z</t>
        </is>
      </c>
      <c r="K3663" s="65" t="inlineStr">
        <is>
          <t>N/D</t>
        </is>
      </c>
      <c r="L3663" s="127" t="inlineStr">
        <is>
          <t>BENELLI ARMI SPA</t>
        </is>
      </c>
      <c r="M3663" s="5" t="n">
        <v>971</v>
      </c>
      <c r="N3663" s="5" t="n"/>
      <c r="O3663" s="5">
        <f>+M3663+N3663</f>
        <v/>
      </c>
      <c r="P3663" s="4" t="n">
        <v>46002</v>
      </c>
      <c r="Q3663" s="87" t="n">
        <v>46002</v>
      </c>
      <c r="R3663" s="5" t="n"/>
      <c r="S3663" s="2" t="n"/>
      <c r="T3663" s="3" t="n"/>
      <c r="U3663" s="87" t="n"/>
      <c r="V3663" s="3" t="n"/>
      <c r="W3663" s="108" t="n"/>
      <c r="X3663" s="4" t="n"/>
    </row>
    <row r="3664" ht="24" customHeight="1">
      <c r="A3664" s="2">
        <f>+D3664-S3664</f>
        <v/>
      </c>
      <c r="B3664" s="80" t="n">
        <v>5254</v>
      </c>
      <c r="C3664" s="66" t="n">
        <v>46003</v>
      </c>
      <c r="D3664" s="2" t="n">
        <v>1</v>
      </c>
      <c r="E3664" s="3" t="inlineStr">
        <is>
          <t>FUCILE SEMIAUTOMATICO</t>
        </is>
      </c>
      <c r="F3664" s="3" t="inlineStr">
        <is>
          <t>12</t>
        </is>
      </c>
      <c r="G3664" s="84" t="inlineStr">
        <is>
          <t>BENELLI</t>
        </is>
      </c>
      <c r="H3664" s="107" t="inlineStr">
        <is>
          <t>M2 SPEED 26''</t>
        </is>
      </c>
      <c r="I3664" s="107" t="inlineStr">
        <is>
          <t>M0196899N</t>
        </is>
      </c>
      <c r="J3664" s="107" t="inlineStr">
        <is>
          <t>C1682365Z</t>
        </is>
      </c>
      <c r="K3664" s="65" t="inlineStr">
        <is>
          <t>N/D</t>
        </is>
      </c>
      <c r="L3664" s="127" t="inlineStr">
        <is>
          <t>BENELLI ARMI SPA</t>
        </is>
      </c>
      <c r="M3664" s="5" t="n">
        <v>971</v>
      </c>
      <c r="N3664" s="5" t="n"/>
      <c r="O3664" s="5">
        <f>+M3664+N3664</f>
        <v/>
      </c>
      <c r="P3664" s="4" t="n">
        <v>46002</v>
      </c>
      <c r="Q3664" s="87" t="n">
        <v>46002</v>
      </c>
      <c r="R3664" s="5" t="n"/>
      <c r="S3664" s="2" t="n"/>
      <c r="T3664" s="3" t="n"/>
      <c r="U3664" s="87" t="n"/>
      <c r="V3664" s="3" t="n"/>
      <c r="W3664" s="108" t="n"/>
      <c r="X3664" s="4" t="n"/>
    </row>
    <row r="3665" ht="24" customHeight="1">
      <c r="A3665" s="2">
        <f>+D3665-S3665</f>
        <v/>
      </c>
      <c r="B3665" s="80" t="n">
        <v>5255</v>
      </c>
      <c r="C3665" s="66" t="n">
        <v>46003</v>
      </c>
      <c r="D3665" s="2" t="n">
        <v>1</v>
      </c>
      <c r="E3665" s="3" t="inlineStr">
        <is>
          <t>FUCILE SEMIAUTOMATICO</t>
        </is>
      </c>
      <c r="F3665" s="3" t="inlineStr">
        <is>
          <t>12</t>
        </is>
      </c>
      <c r="G3665" s="84" t="inlineStr">
        <is>
          <t>BENELLI</t>
        </is>
      </c>
      <c r="H3665" s="107" t="inlineStr">
        <is>
          <t>M2 SPEED 26''</t>
        </is>
      </c>
      <c r="I3665" s="107" t="inlineStr">
        <is>
          <t>M0197968J</t>
        </is>
      </c>
      <c r="J3665" s="107" t="inlineStr">
        <is>
          <t>C1683933Y</t>
        </is>
      </c>
      <c r="K3665" s="65" t="inlineStr">
        <is>
          <t>N/D</t>
        </is>
      </c>
      <c r="L3665" s="127" t="inlineStr">
        <is>
          <t>BENELLI ARMI SPA</t>
        </is>
      </c>
      <c r="M3665" s="5" t="n">
        <v>971</v>
      </c>
      <c r="N3665" s="5" t="n"/>
      <c r="O3665" s="5">
        <f>+M3665+N3665</f>
        <v/>
      </c>
      <c r="P3665" s="4" t="n">
        <v>46002</v>
      </c>
      <c r="Q3665" s="87" t="n">
        <v>46002</v>
      </c>
      <c r="R3665" s="5" t="n"/>
      <c r="S3665" s="2" t="n"/>
      <c r="T3665" s="3" t="n"/>
      <c r="U3665" s="87" t="n"/>
      <c r="V3665" s="3" t="n"/>
      <c r="W3665" s="108" t="n"/>
      <c r="X3665" s="4" t="n"/>
    </row>
    <row r="3666" ht="24" customHeight="1">
      <c r="A3666" s="2">
        <f>+D3666-S3666</f>
        <v/>
      </c>
      <c r="B3666" s="80" t="n">
        <v>5256</v>
      </c>
      <c r="C3666" s="66" t="n">
        <v>46003</v>
      </c>
      <c r="D3666" s="2" t="n">
        <v>1</v>
      </c>
      <c r="E3666" s="3" t="inlineStr">
        <is>
          <t>FUCILE SEMIAUTOMATICO</t>
        </is>
      </c>
      <c r="F3666" s="3" t="inlineStr">
        <is>
          <t>12</t>
        </is>
      </c>
      <c r="G3666" s="84" t="inlineStr">
        <is>
          <t>BENELLI</t>
        </is>
      </c>
      <c r="H3666" s="107" t="inlineStr">
        <is>
          <t>M2 SPEED 26''</t>
        </is>
      </c>
      <c r="I3666" s="107" t="inlineStr">
        <is>
          <t>M0197965F</t>
        </is>
      </c>
      <c r="J3666" s="107" t="inlineStr">
        <is>
          <t>C1683947E</t>
        </is>
      </c>
      <c r="K3666" s="65" t="inlineStr">
        <is>
          <t>N/D</t>
        </is>
      </c>
      <c r="L3666" s="127" t="inlineStr">
        <is>
          <t>BENELLI ARMI SPA</t>
        </is>
      </c>
      <c r="M3666" s="5" t="n">
        <v>971</v>
      </c>
      <c r="N3666" s="5" t="n"/>
      <c r="O3666" s="5">
        <f>+M3666+N3666</f>
        <v/>
      </c>
      <c r="P3666" s="4" t="n">
        <v>46002</v>
      </c>
      <c r="Q3666" s="87" t="n">
        <v>46002</v>
      </c>
      <c r="R3666" s="5" t="n"/>
      <c r="S3666" s="2" t="n"/>
      <c r="T3666" s="3" t="n"/>
      <c r="U3666" s="87" t="n"/>
      <c r="V3666" s="3" t="n"/>
      <c r="W3666" s="108" t="n"/>
      <c r="X3666" s="4" t="n"/>
    </row>
    <row r="3667" ht="24" customHeight="1">
      <c r="A3667" s="2">
        <f>+D3667-S3667</f>
        <v/>
      </c>
      <c r="B3667" s="80" t="n">
        <v>5257</v>
      </c>
      <c r="C3667" s="66" t="n">
        <v>46003</v>
      </c>
      <c r="D3667" s="2" t="n">
        <v>1</v>
      </c>
      <c r="E3667" s="3" t="inlineStr">
        <is>
          <t>FUCILE SEMIAUTOMATICO</t>
        </is>
      </c>
      <c r="F3667" s="3" t="inlineStr">
        <is>
          <t>12</t>
        </is>
      </c>
      <c r="G3667" s="84" t="inlineStr">
        <is>
          <t>BENELLI</t>
        </is>
      </c>
      <c r="H3667" s="107" t="inlineStr">
        <is>
          <t>M2 SPEED 26''</t>
        </is>
      </c>
      <c r="I3667" s="107" t="inlineStr">
        <is>
          <t>M0197969K</t>
        </is>
      </c>
      <c r="J3667" s="107" t="inlineStr">
        <is>
          <t>C1683942Z</t>
        </is>
      </c>
      <c r="K3667" s="65" t="inlineStr">
        <is>
          <t>N/D</t>
        </is>
      </c>
      <c r="L3667" s="127" t="inlineStr">
        <is>
          <t>BENELLI ARMI SPA</t>
        </is>
      </c>
      <c r="M3667" s="5" t="n">
        <v>971</v>
      </c>
      <c r="N3667" s="5" t="n"/>
      <c r="O3667" s="5">
        <f>+M3667+N3667</f>
        <v/>
      </c>
      <c r="P3667" s="4" t="n">
        <v>46002</v>
      </c>
      <c r="Q3667" s="87" t="n">
        <v>46002</v>
      </c>
      <c r="R3667" s="5" t="n"/>
      <c r="S3667" s="2" t="n"/>
      <c r="T3667" s="3" t="n"/>
      <c r="U3667" s="87" t="n"/>
      <c r="V3667" s="3" t="n"/>
      <c r="W3667" s="108" t="n"/>
      <c r="X3667" s="4" t="n"/>
    </row>
    <row r="3668" ht="24" customHeight="1">
      <c r="A3668" s="2">
        <f>+D3668-S3668</f>
        <v/>
      </c>
      <c r="B3668" s="80" t="n">
        <v>5258</v>
      </c>
      <c r="C3668" s="66" t="n">
        <v>46003</v>
      </c>
      <c r="D3668" s="2" t="n">
        <v>1</v>
      </c>
      <c r="E3668" s="3" t="inlineStr">
        <is>
          <t>FUCILE SEMIAUTOMATICO</t>
        </is>
      </c>
      <c r="F3668" s="3" t="inlineStr">
        <is>
          <t>12</t>
        </is>
      </c>
      <c r="G3668" s="84" t="inlineStr">
        <is>
          <t>BENELLI</t>
        </is>
      </c>
      <c r="H3668" s="107" t="inlineStr">
        <is>
          <t>M2 SPEED 26''</t>
        </is>
      </c>
      <c r="I3668" s="107" t="inlineStr">
        <is>
          <t>M0197970C</t>
        </is>
      </c>
      <c r="J3668" s="107" t="inlineStr">
        <is>
          <t>C1683932X</t>
        </is>
      </c>
      <c r="K3668" s="65" t="inlineStr">
        <is>
          <t>N/D</t>
        </is>
      </c>
      <c r="L3668" s="127" t="inlineStr">
        <is>
          <t>BENELLI ARMI SPA</t>
        </is>
      </c>
      <c r="M3668" s="5" t="n">
        <v>971</v>
      </c>
      <c r="N3668" s="5" t="n"/>
      <c r="O3668" s="5">
        <f>+M3668+N3668</f>
        <v/>
      </c>
      <c r="P3668" s="4" t="n">
        <v>46002</v>
      </c>
      <c r="Q3668" s="87" t="n">
        <v>46002</v>
      </c>
      <c r="R3668" s="5" t="n"/>
      <c r="S3668" s="2" t="n"/>
      <c r="T3668" s="3" t="n"/>
      <c r="U3668" s="87" t="n"/>
      <c r="V3668" s="3" t="n"/>
      <c r="W3668" s="108" t="n"/>
      <c r="X3668" s="4" t="n"/>
    </row>
    <row r="3669" ht="24" customHeight="1">
      <c r="A3669" s="2">
        <f>+D3669-S3669</f>
        <v/>
      </c>
      <c r="B3669" s="80" t="n">
        <v>5259</v>
      </c>
      <c r="C3669" s="66" t="n">
        <v>46003</v>
      </c>
      <c r="D3669" s="2" t="n">
        <v>1</v>
      </c>
      <c r="E3669" s="3" t="inlineStr">
        <is>
          <t>FUCILE SEMIAUTOMATICO</t>
        </is>
      </c>
      <c r="F3669" s="3" t="inlineStr">
        <is>
          <t>12</t>
        </is>
      </c>
      <c r="G3669" s="84" t="inlineStr">
        <is>
          <t>BENELLI</t>
        </is>
      </c>
      <c r="H3669" s="107" t="inlineStr">
        <is>
          <t>M2 SPEED 26''</t>
        </is>
      </c>
      <c r="I3669" s="107" t="inlineStr">
        <is>
          <t>M0197971D</t>
        </is>
      </c>
      <c r="J3669" s="107" t="inlineStr">
        <is>
          <t>C1683931W</t>
        </is>
      </c>
      <c r="K3669" s="65" t="inlineStr">
        <is>
          <t>N/D</t>
        </is>
      </c>
      <c r="L3669" s="127" t="inlineStr">
        <is>
          <t>BENELLI ARMI SPA</t>
        </is>
      </c>
      <c r="M3669" s="5" t="n">
        <v>971</v>
      </c>
      <c r="N3669" s="5" t="n"/>
      <c r="O3669" s="5">
        <f>+M3669+N3669</f>
        <v/>
      </c>
      <c r="P3669" s="4" t="n">
        <v>46002</v>
      </c>
      <c r="Q3669" s="87" t="n">
        <v>46002</v>
      </c>
      <c r="R3669" s="5" t="n"/>
      <c r="S3669" s="2" t="n"/>
      <c r="T3669" s="3" t="n"/>
      <c r="U3669" s="87" t="n"/>
      <c r="V3669" s="3" t="n"/>
      <c r="W3669" s="108" t="n"/>
      <c r="X3669" s="4" t="n"/>
    </row>
    <row r="3670" ht="24" customHeight="1">
      <c r="A3670" s="2">
        <f>+D3670-S3670</f>
        <v/>
      </c>
      <c r="B3670" s="80" t="n">
        <v>5260</v>
      </c>
      <c r="C3670" s="66" t="n">
        <v>46003</v>
      </c>
      <c r="D3670" s="2" t="n">
        <v>1</v>
      </c>
      <c r="E3670" s="3" t="inlineStr">
        <is>
          <t>FUCILE SEMIAUTOMATICO</t>
        </is>
      </c>
      <c r="F3670" s="3" t="inlineStr">
        <is>
          <t>12</t>
        </is>
      </c>
      <c r="G3670" s="84" t="inlineStr">
        <is>
          <t>BENELLI</t>
        </is>
      </c>
      <c r="H3670" s="107" t="inlineStr">
        <is>
          <t>M2 SPEED 26''</t>
        </is>
      </c>
      <c r="I3670" s="107" t="inlineStr">
        <is>
          <t>M0198270X</t>
        </is>
      </c>
      <c r="J3670" s="107" t="inlineStr">
        <is>
          <t>C1684492H</t>
        </is>
      </c>
      <c r="K3670" s="65" t="inlineStr">
        <is>
          <t>N/D</t>
        </is>
      </c>
      <c r="L3670" s="127" t="inlineStr">
        <is>
          <t>BENELLI ARMI SPA</t>
        </is>
      </c>
      <c r="M3670" s="5" t="n">
        <v>971</v>
      </c>
      <c r="N3670" s="5" t="n"/>
      <c r="O3670" s="5">
        <f>+M3670+N3670</f>
        <v/>
      </c>
      <c r="P3670" s="4" t="n">
        <v>46002</v>
      </c>
      <c r="Q3670" s="87" t="n">
        <v>46002</v>
      </c>
      <c r="R3670" s="5" t="n"/>
      <c r="S3670" s="2" t="n"/>
      <c r="T3670" s="3" t="n"/>
      <c r="U3670" s="87" t="n"/>
      <c r="V3670" s="3" t="n"/>
      <c r="W3670" s="108" t="n"/>
      <c r="X3670" s="4" t="n"/>
    </row>
    <row r="3671" ht="24" customHeight="1">
      <c r="A3671" s="2">
        <f>+D3671-S3671</f>
        <v/>
      </c>
      <c r="B3671" s="80" t="n">
        <v>5261</v>
      </c>
      <c r="C3671" s="66" t="n">
        <v>46003</v>
      </c>
      <c r="D3671" s="2" t="n">
        <v>1</v>
      </c>
      <c r="E3671" s="3" t="inlineStr">
        <is>
          <t>FUCILE SEMIAUTOMATICO</t>
        </is>
      </c>
      <c r="F3671" s="3" t="inlineStr">
        <is>
          <t>12</t>
        </is>
      </c>
      <c r="G3671" s="84" t="inlineStr">
        <is>
          <t>BENELLI</t>
        </is>
      </c>
      <c r="H3671" s="107" t="inlineStr">
        <is>
          <t>M2 SPEED 26''</t>
        </is>
      </c>
      <c r="I3671" s="107" t="inlineStr">
        <is>
          <t>M0198272Z</t>
        </is>
      </c>
      <c r="J3671" s="107" t="inlineStr">
        <is>
          <t>C1684494K</t>
        </is>
      </c>
      <c r="K3671" s="65" t="inlineStr">
        <is>
          <t>N/D</t>
        </is>
      </c>
      <c r="L3671" s="127" t="inlineStr">
        <is>
          <t>BENELLI ARMI SPA</t>
        </is>
      </c>
      <c r="M3671" s="5" t="n">
        <v>971</v>
      </c>
      <c r="N3671" s="5" t="n"/>
      <c r="O3671" s="5">
        <f>+M3671+N3671</f>
        <v/>
      </c>
      <c r="P3671" s="4" t="n">
        <v>46002</v>
      </c>
      <c r="Q3671" s="87" t="n">
        <v>46002</v>
      </c>
      <c r="R3671" s="5" t="n"/>
      <c r="S3671" s="2" t="n"/>
      <c r="T3671" s="3" t="n"/>
      <c r="U3671" s="87" t="n"/>
      <c r="V3671" s="3" t="n"/>
      <c r="W3671" s="108" t="n"/>
      <c r="X3671" s="4" t="n"/>
    </row>
    <row r="3672" ht="24" customHeight="1">
      <c r="A3672" s="2">
        <f>+D3672-S3672</f>
        <v/>
      </c>
      <c r="B3672" s="80" t="n">
        <v>5262</v>
      </c>
      <c r="C3672" s="66" t="n">
        <v>46003</v>
      </c>
      <c r="D3672" s="2" t="n">
        <v>1</v>
      </c>
      <c r="E3672" s="3" t="inlineStr">
        <is>
          <t>FUCILE SEMIAUTOMATICO</t>
        </is>
      </c>
      <c r="F3672" s="3" t="inlineStr">
        <is>
          <t>12</t>
        </is>
      </c>
      <c r="G3672" s="84" t="inlineStr">
        <is>
          <t>BENELLI</t>
        </is>
      </c>
      <c r="H3672" s="107" t="inlineStr">
        <is>
          <t>M2 SPEED 26''</t>
        </is>
      </c>
      <c r="I3672" s="107" t="inlineStr">
        <is>
          <t>M0198274B</t>
        </is>
      </c>
      <c r="J3672" s="107" t="inlineStr">
        <is>
          <t>C1684496M</t>
        </is>
      </c>
      <c r="K3672" s="65" t="inlineStr">
        <is>
          <t>N/D</t>
        </is>
      </c>
      <c r="L3672" s="127" t="inlineStr">
        <is>
          <t>BENELLI ARMI SPA</t>
        </is>
      </c>
      <c r="M3672" s="5" t="n">
        <v>971</v>
      </c>
      <c r="N3672" s="5" t="n"/>
      <c r="O3672" s="5">
        <f>+M3672+N3672</f>
        <v/>
      </c>
      <c r="P3672" s="4" t="n">
        <v>46002</v>
      </c>
      <c r="Q3672" s="87" t="n">
        <v>46002</v>
      </c>
      <c r="R3672" s="5" t="n"/>
      <c r="S3672" s="2" t="n"/>
      <c r="T3672" s="3" t="n"/>
      <c r="U3672" s="87" t="n"/>
      <c r="V3672" s="3" t="n"/>
      <c r="W3672" s="108" t="n"/>
      <c r="X3672" s="4" t="n"/>
    </row>
    <row r="3673" ht="24" customHeight="1">
      <c r="A3673" s="2">
        <f>+D3673-S3673</f>
        <v/>
      </c>
      <c r="B3673" s="80" t="n">
        <v>5263</v>
      </c>
      <c r="C3673" s="66" t="n">
        <v>46003</v>
      </c>
      <c r="D3673" s="2" t="n">
        <v>1</v>
      </c>
      <c r="E3673" s="3" t="inlineStr">
        <is>
          <t>FUCILE SEMIAUTOMATICO</t>
        </is>
      </c>
      <c r="F3673" s="3" t="inlineStr">
        <is>
          <t>12</t>
        </is>
      </c>
      <c r="G3673" s="84" t="inlineStr">
        <is>
          <t>BENELLI</t>
        </is>
      </c>
      <c r="H3673" s="107" t="inlineStr">
        <is>
          <t>M2 SPEED 26''</t>
        </is>
      </c>
      <c r="I3673" s="107" t="inlineStr">
        <is>
          <t>M0198276D</t>
        </is>
      </c>
      <c r="J3673" s="107" t="inlineStr">
        <is>
          <t>C1684498P</t>
        </is>
      </c>
      <c r="K3673" s="65" t="inlineStr">
        <is>
          <t>N/D</t>
        </is>
      </c>
      <c r="L3673" s="127" t="inlineStr">
        <is>
          <t>BENELLI ARMI SPA</t>
        </is>
      </c>
      <c r="M3673" s="5" t="n">
        <v>971</v>
      </c>
      <c r="N3673" s="5" t="n"/>
      <c r="O3673" s="5">
        <f>+M3673+N3673</f>
        <v/>
      </c>
      <c r="P3673" s="4" t="n">
        <v>46002</v>
      </c>
      <c r="Q3673" s="87" t="n">
        <v>46002</v>
      </c>
      <c r="R3673" s="5" t="n"/>
      <c r="S3673" s="2" t="n"/>
      <c r="T3673" s="3" t="n"/>
      <c r="U3673" s="87" t="n"/>
      <c r="V3673" s="3" t="n"/>
      <c r="W3673" s="108" t="n"/>
      <c r="X3673" s="4" t="n"/>
    </row>
    <row r="3674" ht="24" customHeight="1">
      <c r="A3674" s="2">
        <f>+D3674-S3674</f>
        <v/>
      </c>
      <c r="B3674" s="80" t="n">
        <v>5264</v>
      </c>
      <c r="C3674" s="66" t="n">
        <v>46003</v>
      </c>
      <c r="D3674" s="2" t="n">
        <v>1</v>
      </c>
      <c r="E3674" s="3" t="inlineStr">
        <is>
          <t>FUCILE SEMIAUTOMATICO</t>
        </is>
      </c>
      <c r="F3674" s="3" t="inlineStr">
        <is>
          <t>12</t>
        </is>
      </c>
      <c r="G3674" s="84" t="inlineStr">
        <is>
          <t>BENELLI</t>
        </is>
      </c>
      <c r="H3674" s="107" t="inlineStr">
        <is>
          <t>M2 SPEED 26''</t>
        </is>
      </c>
      <c r="I3674" s="107" t="inlineStr">
        <is>
          <t>M0198278F</t>
        </is>
      </c>
      <c r="J3674" s="107" t="inlineStr">
        <is>
          <t>C1684500M</t>
        </is>
      </c>
      <c r="K3674" s="65" t="inlineStr">
        <is>
          <t>N/D</t>
        </is>
      </c>
      <c r="L3674" s="127" t="inlineStr">
        <is>
          <t>BENELLI ARMI SPA</t>
        </is>
      </c>
      <c r="M3674" s="5" t="n">
        <v>971</v>
      </c>
      <c r="N3674" s="5" t="n"/>
      <c r="O3674" s="5">
        <f>+M3674+N3674</f>
        <v/>
      </c>
      <c r="P3674" s="4" t="n">
        <v>46002</v>
      </c>
      <c r="Q3674" s="87" t="n">
        <v>46002</v>
      </c>
      <c r="R3674" s="5" t="n"/>
      <c r="S3674" s="2" t="n"/>
      <c r="T3674" s="3" t="n"/>
      <c r="U3674" s="87" t="n"/>
      <c r="V3674" s="3" t="n"/>
      <c r="W3674" s="108" t="n"/>
      <c r="X3674" s="4" t="n"/>
    </row>
    <row r="3675" ht="24" customHeight="1">
      <c r="A3675" s="2">
        <f>+D3675-S3675</f>
        <v/>
      </c>
      <c r="B3675" s="80" t="n">
        <v>5265</v>
      </c>
      <c r="C3675" s="66" t="n">
        <v>46003</v>
      </c>
      <c r="D3675" s="2" t="n">
        <v>1</v>
      </c>
      <c r="E3675" s="3" t="inlineStr">
        <is>
          <t>FUCILE SEMIAUTOMATICO</t>
        </is>
      </c>
      <c r="F3675" s="3" t="inlineStr">
        <is>
          <t>12</t>
        </is>
      </c>
      <c r="G3675" s="84" t="inlineStr">
        <is>
          <t>BENELLI</t>
        </is>
      </c>
      <c r="H3675" s="107" t="inlineStr">
        <is>
          <t>M2 SPEED 26''</t>
        </is>
      </c>
      <c r="I3675" s="107" t="inlineStr">
        <is>
          <t>M0197925W</t>
        </is>
      </c>
      <c r="J3675" s="107" t="inlineStr">
        <is>
          <t>C1683901Q</t>
        </is>
      </c>
      <c r="K3675" s="65" t="inlineStr">
        <is>
          <t>N/D</t>
        </is>
      </c>
      <c r="L3675" s="127" t="inlineStr">
        <is>
          <t>BENELLI ARMI SPA</t>
        </is>
      </c>
      <c r="M3675" s="5" t="n">
        <v>971</v>
      </c>
      <c r="N3675" s="5" t="n"/>
      <c r="O3675" s="5">
        <f>+M3675+N3675</f>
        <v/>
      </c>
      <c r="P3675" s="4" t="n">
        <v>46002</v>
      </c>
      <c r="Q3675" s="87" t="n">
        <v>46002</v>
      </c>
      <c r="R3675" s="5" t="n"/>
      <c r="S3675" s="2" t="n"/>
      <c r="T3675" s="3" t="n"/>
      <c r="U3675" s="87" t="n"/>
      <c r="V3675" s="3" t="n"/>
      <c r="W3675" s="108" t="n"/>
      <c r="X3675" s="4" t="n"/>
    </row>
    <row r="3676" ht="24" customHeight="1">
      <c r="A3676" s="2">
        <f>+D3676-S3676</f>
        <v/>
      </c>
      <c r="B3676" s="80" t="n">
        <v>5266</v>
      </c>
      <c r="C3676" s="66" t="n">
        <v>46003</v>
      </c>
      <c r="D3676" s="2" t="n">
        <v>1</v>
      </c>
      <c r="E3676" s="3" t="inlineStr">
        <is>
          <t>FUCILE SEMIAUTOMATICO</t>
        </is>
      </c>
      <c r="F3676" s="3" t="inlineStr">
        <is>
          <t>12</t>
        </is>
      </c>
      <c r="G3676" s="84" t="inlineStr">
        <is>
          <t>BENELLI</t>
        </is>
      </c>
      <c r="H3676" s="107" t="inlineStr">
        <is>
          <t>M2 SPEED 26''</t>
        </is>
      </c>
      <c r="I3676" s="107" t="inlineStr">
        <is>
          <t>M0197919Y</t>
        </is>
      </c>
      <c r="J3676" s="107" t="inlineStr">
        <is>
          <t>C1683897Q</t>
        </is>
      </c>
      <c r="K3676" s="65" t="inlineStr">
        <is>
          <t>N/D</t>
        </is>
      </c>
      <c r="L3676" s="127" t="inlineStr">
        <is>
          <t>BENELLI ARMI SPA</t>
        </is>
      </c>
      <c r="M3676" s="5" t="n">
        <v>971</v>
      </c>
      <c r="N3676" s="5" t="n"/>
      <c r="O3676" s="5">
        <f>+M3676+N3676</f>
        <v/>
      </c>
      <c r="P3676" s="4" t="n">
        <v>46002</v>
      </c>
      <c r="Q3676" s="87" t="n">
        <v>46002</v>
      </c>
      <c r="R3676" s="5" t="n"/>
      <c r="S3676" s="2" t="n"/>
      <c r="T3676" s="3" t="n"/>
      <c r="U3676" s="87" t="n"/>
      <c r="V3676" s="3" t="n"/>
      <c r="W3676" s="108" t="n"/>
      <c r="X3676" s="4" t="n"/>
    </row>
    <row r="3677" ht="24" customHeight="1">
      <c r="A3677" s="2">
        <f>+D3677-S3677</f>
        <v/>
      </c>
      <c r="B3677" s="80" t="n">
        <v>5267</v>
      </c>
      <c r="C3677" s="66" t="n">
        <v>46003</v>
      </c>
      <c r="D3677" s="2" t="n">
        <v>1</v>
      </c>
      <c r="E3677" s="3" t="inlineStr">
        <is>
          <t>FUCILE SEMIAUTOMATICO</t>
        </is>
      </c>
      <c r="F3677" s="3" t="inlineStr">
        <is>
          <t>12</t>
        </is>
      </c>
      <c r="G3677" s="84" t="inlineStr">
        <is>
          <t>BENELLI</t>
        </is>
      </c>
      <c r="H3677" s="107" t="inlineStr">
        <is>
          <t>M2 SPEED 26''</t>
        </is>
      </c>
      <c r="I3677" s="107" t="inlineStr">
        <is>
          <t>M0197959H</t>
        </is>
      </c>
      <c r="J3677" s="107" t="inlineStr">
        <is>
          <t>C1683938D</t>
        </is>
      </c>
      <c r="K3677" s="65" t="inlineStr">
        <is>
          <t>N/D</t>
        </is>
      </c>
      <c r="L3677" s="127" t="inlineStr">
        <is>
          <t>BENELLI ARMI SPA</t>
        </is>
      </c>
      <c r="M3677" s="5" t="n">
        <v>971</v>
      </c>
      <c r="N3677" s="5" t="n"/>
      <c r="O3677" s="5">
        <f>+M3677+N3677</f>
        <v/>
      </c>
      <c r="P3677" s="4" t="n">
        <v>46002</v>
      </c>
      <c r="Q3677" s="87" t="n">
        <v>46002</v>
      </c>
      <c r="R3677" s="5" t="n"/>
      <c r="S3677" s="2" t="n"/>
      <c r="T3677" s="3" t="n"/>
      <c r="U3677" s="87" t="n"/>
      <c r="V3677" s="3" t="n"/>
      <c r="W3677" s="108" t="n"/>
      <c r="X3677" s="4" t="n"/>
    </row>
    <row r="3678" ht="24" customHeight="1">
      <c r="A3678" s="2">
        <f>+D3678-S3678</f>
        <v/>
      </c>
      <c r="B3678" s="80" t="n">
        <v>5268</v>
      </c>
      <c r="C3678" s="66" t="n">
        <v>46003</v>
      </c>
      <c r="D3678" s="2" t="n">
        <v>1</v>
      </c>
      <c r="E3678" s="3" t="inlineStr">
        <is>
          <t>FUCILE SEMIAUTOMATICO</t>
        </is>
      </c>
      <c r="F3678" s="3" t="inlineStr">
        <is>
          <t>12</t>
        </is>
      </c>
      <c r="G3678" s="84" t="inlineStr">
        <is>
          <t>BENELLI</t>
        </is>
      </c>
      <c r="H3678" s="107" t="inlineStr">
        <is>
          <t>M2 SPEED 26''</t>
        </is>
      </c>
      <c r="I3678" s="107" t="inlineStr">
        <is>
          <t>M0197960A</t>
        </is>
      </c>
      <c r="J3678" s="107" t="inlineStr">
        <is>
          <t>C1683941Y</t>
        </is>
      </c>
      <c r="K3678" s="65" t="inlineStr">
        <is>
          <t>N/D</t>
        </is>
      </c>
      <c r="L3678" s="127" t="inlineStr">
        <is>
          <t>BENELLI ARMI SPA</t>
        </is>
      </c>
      <c r="M3678" s="5" t="n">
        <v>971</v>
      </c>
      <c r="N3678" s="5" t="n"/>
      <c r="O3678" s="5">
        <f>+M3678+N3678</f>
        <v/>
      </c>
      <c r="P3678" s="4" t="n">
        <v>46002</v>
      </c>
      <c r="Q3678" s="87" t="n">
        <v>46002</v>
      </c>
      <c r="R3678" s="5" t="n"/>
      <c r="S3678" s="2" t="n"/>
      <c r="T3678" s="3" t="n"/>
      <c r="U3678" s="87" t="n"/>
      <c r="V3678" s="3" t="n"/>
      <c r="W3678" s="108" t="n"/>
      <c r="X3678" s="4" t="n"/>
    </row>
    <row r="3679" ht="24" customHeight="1">
      <c r="A3679" s="2">
        <f>+D3679-S3679</f>
        <v/>
      </c>
      <c r="B3679" s="80" t="n">
        <v>5269</v>
      </c>
      <c r="C3679" s="66" t="n">
        <v>46003</v>
      </c>
      <c r="D3679" s="2" t="n">
        <v>1</v>
      </c>
      <c r="E3679" s="3" t="inlineStr">
        <is>
          <t>FUCILE SEMIAUTOMATICO</t>
        </is>
      </c>
      <c r="F3679" s="3" t="inlineStr">
        <is>
          <t>12</t>
        </is>
      </c>
      <c r="G3679" s="84" t="inlineStr">
        <is>
          <t>BENELLI</t>
        </is>
      </c>
      <c r="H3679" s="107" t="inlineStr">
        <is>
          <t>M2 SPEED 26''</t>
        </is>
      </c>
      <c r="I3679" s="107" t="inlineStr">
        <is>
          <t>M0197961B</t>
        </is>
      </c>
      <c r="J3679" s="107" t="inlineStr">
        <is>
          <t>C1683940X</t>
        </is>
      </c>
      <c r="K3679" s="65" t="inlineStr">
        <is>
          <t>N/D</t>
        </is>
      </c>
      <c r="L3679" s="127" t="inlineStr">
        <is>
          <t>BENELLI ARMI SPA</t>
        </is>
      </c>
      <c r="M3679" s="5" t="n">
        <v>971</v>
      </c>
      <c r="N3679" s="5" t="n"/>
      <c r="O3679" s="5">
        <f>+M3679+N3679</f>
        <v/>
      </c>
      <c r="P3679" s="4" t="n">
        <v>46002</v>
      </c>
      <c r="Q3679" s="87" t="n">
        <v>46002</v>
      </c>
      <c r="R3679" s="5" t="n"/>
      <c r="S3679" s="2" t="n"/>
      <c r="T3679" s="3" t="n"/>
      <c r="U3679" s="87" t="n"/>
      <c r="V3679" s="3" t="n"/>
      <c r="W3679" s="108" t="n"/>
      <c r="X3679" s="4" t="n"/>
    </row>
    <row r="3680" ht="24" customHeight="1">
      <c r="A3680" s="2">
        <f>+D3680-S3680</f>
        <v/>
      </c>
      <c r="B3680" s="80" t="n">
        <v>5270</v>
      </c>
      <c r="C3680" s="66" t="n">
        <v>46003</v>
      </c>
      <c r="D3680" s="2" t="n">
        <v>1</v>
      </c>
      <c r="E3680" s="3" t="inlineStr">
        <is>
          <t>FUCILE SEMIAUTOMATICO</t>
        </is>
      </c>
      <c r="F3680" s="3" t="inlineStr">
        <is>
          <t>12</t>
        </is>
      </c>
      <c r="G3680" s="84" t="inlineStr">
        <is>
          <t>BENELLI</t>
        </is>
      </c>
      <c r="H3680" s="107" t="inlineStr">
        <is>
          <t>M2 SPEED 26''</t>
        </is>
      </c>
      <c r="I3680" s="107" t="inlineStr">
        <is>
          <t>M0197924V</t>
        </is>
      </c>
      <c r="J3680" s="107" t="inlineStr">
        <is>
          <t>C1683896P</t>
        </is>
      </c>
      <c r="K3680" s="65" t="inlineStr">
        <is>
          <t>N/D</t>
        </is>
      </c>
      <c r="L3680" s="127" t="inlineStr">
        <is>
          <t>BENELLI ARMI SPA</t>
        </is>
      </c>
      <c r="M3680" s="5" t="n">
        <v>971</v>
      </c>
      <c r="N3680" s="5" t="n"/>
      <c r="O3680" s="5">
        <f>+M3680+N3680</f>
        <v/>
      </c>
      <c r="P3680" s="4" t="n">
        <v>46002</v>
      </c>
      <c r="Q3680" s="87" t="n">
        <v>46002</v>
      </c>
      <c r="R3680" s="5" t="n"/>
      <c r="S3680" s="2" t="n"/>
      <c r="T3680" s="3" t="n"/>
      <c r="U3680" s="87" t="n"/>
      <c r="V3680" s="3" t="n"/>
      <c r="W3680" s="108" t="n"/>
      <c r="X3680" s="4" t="n"/>
    </row>
    <row r="3681" ht="24" customHeight="1">
      <c r="A3681" s="2">
        <f>+D3681-S3681</f>
        <v/>
      </c>
      <c r="B3681" s="80" t="n">
        <v>5271</v>
      </c>
      <c r="C3681" s="66" t="n">
        <v>46003</v>
      </c>
      <c r="D3681" s="2" t="n">
        <v>1</v>
      </c>
      <c r="E3681" s="3" t="inlineStr">
        <is>
          <t>FUCILE SEMIAUTOMATICO</t>
        </is>
      </c>
      <c r="F3681" s="3" t="inlineStr">
        <is>
          <t>12</t>
        </is>
      </c>
      <c r="G3681" s="84" t="inlineStr">
        <is>
          <t>BENELLI</t>
        </is>
      </c>
      <c r="H3681" s="107" t="inlineStr">
        <is>
          <t>M2 SPEED 26''</t>
        </is>
      </c>
      <c r="I3681" s="107" t="inlineStr">
        <is>
          <t>M0197922T</t>
        </is>
      </c>
      <c r="J3681" s="107" t="inlineStr">
        <is>
          <t>C1683937C</t>
        </is>
      </c>
      <c r="K3681" s="65" t="inlineStr">
        <is>
          <t>N/D</t>
        </is>
      </c>
      <c r="L3681" s="127" t="inlineStr">
        <is>
          <t>BENELLI ARMI SPA</t>
        </is>
      </c>
      <c r="M3681" s="5" t="n">
        <v>971</v>
      </c>
      <c r="N3681" s="5" t="n"/>
      <c r="O3681" s="5">
        <f>+M3681+N3681</f>
        <v/>
      </c>
      <c r="P3681" s="4" t="n">
        <v>46002</v>
      </c>
      <c r="Q3681" s="87" t="n">
        <v>46002</v>
      </c>
      <c r="R3681" s="5" t="n"/>
      <c r="S3681" s="2" t="n"/>
      <c r="T3681" s="3" t="n"/>
      <c r="U3681" s="87" t="n"/>
      <c r="V3681" s="3" t="n"/>
      <c r="W3681" s="108" t="n"/>
      <c r="X3681" s="4" t="n"/>
    </row>
    <row r="3682" ht="24" customHeight="1">
      <c r="A3682" s="2">
        <f>+D3682-S3682</f>
        <v/>
      </c>
      <c r="B3682" s="80" t="n">
        <v>5272</v>
      </c>
      <c r="C3682" s="66" t="n">
        <v>46003</v>
      </c>
      <c r="D3682" s="2" t="n">
        <v>1</v>
      </c>
      <c r="E3682" s="3" t="inlineStr">
        <is>
          <t>FUCILE SEMIAUTOMATICO</t>
        </is>
      </c>
      <c r="F3682" s="3" t="inlineStr">
        <is>
          <t>12</t>
        </is>
      </c>
      <c r="G3682" s="84" t="inlineStr">
        <is>
          <t>BENELLI</t>
        </is>
      </c>
      <c r="H3682" s="107" t="inlineStr">
        <is>
          <t>M2 SPEED 26''</t>
        </is>
      </c>
      <c r="I3682" s="107" t="inlineStr">
        <is>
          <t>M0197923U</t>
        </is>
      </c>
      <c r="J3682" s="107" t="inlineStr">
        <is>
          <t>C1683899S</t>
        </is>
      </c>
      <c r="K3682" s="65" t="inlineStr">
        <is>
          <t>N/D</t>
        </is>
      </c>
      <c r="L3682" s="127" t="inlineStr">
        <is>
          <t>BENELLI ARMI SPA</t>
        </is>
      </c>
      <c r="M3682" s="5" t="n">
        <v>971</v>
      </c>
      <c r="N3682" s="5" t="n"/>
      <c r="O3682" s="5">
        <f>+M3682+N3682</f>
        <v/>
      </c>
      <c r="P3682" s="4" t="n">
        <v>46002</v>
      </c>
      <c r="Q3682" s="87" t="n">
        <v>46002</v>
      </c>
      <c r="R3682" s="5" t="n"/>
      <c r="S3682" s="2" t="n"/>
      <c r="T3682" s="3" t="n"/>
      <c r="U3682" s="87" t="n"/>
      <c r="V3682" s="3" t="n"/>
      <c r="W3682" s="108" t="n"/>
      <c r="X3682" s="4" t="n"/>
    </row>
    <row r="3683" ht="24" customHeight="1">
      <c r="A3683" s="2">
        <f>+D3683-S3683</f>
        <v/>
      </c>
      <c r="B3683" s="80" t="n">
        <v>5273</v>
      </c>
      <c r="C3683" s="66" t="n">
        <v>46003</v>
      </c>
      <c r="D3683" s="2" t="n">
        <v>1</v>
      </c>
      <c r="E3683" s="3" t="inlineStr">
        <is>
          <t>FUCILE SEMIAUTOMATICO</t>
        </is>
      </c>
      <c r="F3683" s="3" t="inlineStr">
        <is>
          <t>12</t>
        </is>
      </c>
      <c r="G3683" s="84" t="inlineStr">
        <is>
          <t>BENELLI</t>
        </is>
      </c>
      <c r="H3683" s="107" t="inlineStr">
        <is>
          <t>M2 SPEED 26''</t>
        </is>
      </c>
      <c r="I3683" s="107" t="inlineStr">
        <is>
          <t>M0197920R</t>
        </is>
      </c>
      <c r="J3683" s="107" t="inlineStr">
        <is>
          <t>C1683936B</t>
        </is>
      </c>
      <c r="K3683" s="65" t="inlineStr">
        <is>
          <t>N/D</t>
        </is>
      </c>
      <c r="L3683" s="127" t="inlineStr">
        <is>
          <t>BENELLI ARMI SPA</t>
        </is>
      </c>
      <c r="M3683" s="5" t="n">
        <v>971</v>
      </c>
      <c r="N3683" s="5" t="n"/>
      <c r="O3683" s="5">
        <f>+M3683+N3683</f>
        <v/>
      </c>
      <c r="P3683" s="4" t="n">
        <v>46002</v>
      </c>
      <c r="Q3683" s="87" t="n">
        <v>46002</v>
      </c>
      <c r="R3683" s="5" t="n"/>
      <c r="S3683" s="2" t="n"/>
      <c r="T3683" s="3" t="n"/>
      <c r="U3683" s="87" t="n"/>
      <c r="V3683" s="3" t="n"/>
      <c r="W3683" s="108" t="n"/>
      <c r="X3683" s="4" t="n"/>
    </row>
    <row r="3684" ht="24" customHeight="1">
      <c r="A3684" s="2">
        <f>+D3684-S3684</f>
        <v/>
      </c>
      <c r="B3684" s="80" t="n">
        <v>5274</v>
      </c>
      <c r="C3684" s="66" t="n">
        <v>46003</v>
      </c>
      <c r="D3684" s="2" t="n">
        <v>1</v>
      </c>
      <c r="E3684" s="3" t="inlineStr">
        <is>
          <t>FUCILE SEMIAUTOMATICO</t>
        </is>
      </c>
      <c r="F3684" s="3" t="inlineStr">
        <is>
          <t>12</t>
        </is>
      </c>
      <c r="G3684" s="84" t="inlineStr">
        <is>
          <t>BENELLI</t>
        </is>
      </c>
      <c r="H3684" s="107" t="inlineStr">
        <is>
          <t>M2 SPEED 26''</t>
        </is>
      </c>
      <c r="I3684" s="107" t="inlineStr">
        <is>
          <t>M0197921S</t>
        </is>
      </c>
      <c r="J3684" s="107" t="inlineStr">
        <is>
          <t>C1683939E</t>
        </is>
      </c>
      <c r="K3684" s="65" t="inlineStr">
        <is>
          <t>N/D</t>
        </is>
      </c>
      <c r="L3684" s="127" t="inlineStr">
        <is>
          <t>BENELLI ARMI SPA</t>
        </is>
      </c>
      <c r="M3684" s="5" t="n">
        <v>971</v>
      </c>
      <c r="N3684" s="5" t="n"/>
      <c r="O3684" s="5">
        <f>+M3684+N3684</f>
        <v/>
      </c>
      <c r="P3684" s="4" t="n">
        <v>46002</v>
      </c>
      <c r="Q3684" s="87" t="n">
        <v>46002</v>
      </c>
      <c r="R3684" s="5" t="n"/>
      <c r="S3684" s="2" t="n"/>
      <c r="T3684" s="3" t="n"/>
      <c r="U3684" s="87" t="n"/>
      <c r="V3684" s="3" t="n"/>
      <c r="W3684" s="108" t="n"/>
      <c r="X3684" s="4" t="n"/>
    </row>
    <row r="3685" ht="24" customHeight="1">
      <c r="A3685" s="2">
        <f>+D3685-S3685</f>
        <v/>
      </c>
      <c r="B3685" s="80" t="n">
        <v>5275</v>
      </c>
      <c r="C3685" s="66" t="n">
        <v>46003</v>
      </c>
      <c r="D3685" s="2" t="n">
        <v>1</v>
      </c>
      <c r="E3685" s="3" t="inlineStr">
        <is>
          <t>FUCILE SEMIAUTOMATICO</t>
        </is>
      </c>
      <c r="F3685" s="3" t="inlineStr">
        <is>
          <t>12</t>
        </is>
      </c>
      <c r="G3685" s="84" t="inlineStr">
        <is>
          <t>BENELLI</t>
        </is>
      </c>
      <c r="H3685" s="107" t="inlineStr">
        <is>
          <t>M2 MAX 7 2023 30''</t>
        </is>
      </c>
      <c r="I3685" s="107" t="inlineStr">
        <is>
          <t>M0200624U</t>
        </is>
      </c>
      <c r="J3685" s="107" t="inlineStr">
        <is>
          <t>C1689482S</t>
        </is>
      </c>
      <c r="K3685" s="65" t="inlineStr">
        <is>
          <t>N/D</t>
        </is>
      </c>
      <c r="L3685" s="127" t="inlineStr">
        <is>
          <t>BENELLI ARMI SPA</t>
        </is>
      </c>
      <c r="M3685" s="5" t="n">
        <v>775</v>
      </c>
      <c r="N3685" s="5" t="n"/>
      <c r="O3685" s="5">
        <f>+M3685+N3685</f>
        <v/>
      </c>
      <c r="P3685" s="4" t="n">
        <v>46002</v>
      </c>
      <c r="Q3685" s="87" t="n">
        <v>46002</v>
      </c>
      <c r="R3685" s="5" t="n"/>
      <c r="S3685" s="2" t="n"/>
      <c r="T3685" s="3" t="n"/>
      <c r="U3685" s="87" t="n"/>
      <c r="V3685" s="3" t="n"/>
      <c r="W3685" s="108" t="n"/>
      <c r="X3685" s="4" t="n"/>
    </row>
    <row r="3686" ht="24" customHeight="1">
      <c r="A3686" s="2">
        <f>+D3686-S3686</f>
        <v/>
      </c>
      <c r="B3686" s="80" t="n">
        <v>5276</v>
      </c>
      <c r="C3686" s="66" t="n">
        <v>46003</v>
      </c>
      <c r="D3686" s="2" t="n">
        <v>1</v>
      </c>
      <c r="E3686" s="3" t="inlineStr">
        <is>
          <t>FUCILE SEMIAUTOMATICO</t>
        </is>
      </c>
      <c r="F3686" s="3" t="inlineStr">
        <is>
          <t>12</t>
        </is>
      </c>
      <c r="G3686" s="84" t="inlineStr">
        <is>
          <t>BENELLI</t>
        </is>
      </c>
      <c r="H3686" s="107" t="inlineStr">
        <is>
          <t>M2 MAX 7 2023 30''</t>
        </is>
      </c>
      <c r="I3686" s="107" t="inlineStr">
        <is>
          <t>M0200623T</t>
        </is>
      </c>
      <c r="J3686" s="107" t="inlineStr">
        <is>
          <t>C1689485V</t>
        </is>
      </c>
      <c r="K3686" s="65" t="inlineStr">
        <is>
          <t>N/D</t>
        </is>
      </c>
      <c r="L3686" s="127" t="inlineStr">
        <is>
          <t>BENELLI ARMI SPA</t>
        </is>
      </c>
      <c r="M3686" s="5" t="n">
        <v>775</v>
      </c>
      <c r="N3686" s="5" t="n"/>
      <c r="O3686" s="5">
        <f>+M3686+N3686</f>
        <v/>
      </c>
      <c r="P3686" s="4" t="n">
        <v>46002</v>
      </c>
      <c r="Q3686" s="87" t="n">
        <v>46002</v>
      </c>
      <c r="R3686" s="5" t="n"/>
      <c r="S3686" s="2" t="n"/>
      <c r="T3686" s="3" t="n"/>
      <c r="U3686" s="87" t="n"/>
      <c r="V3686" s="3" t="n"/>
      <c r="W3686" s="108" t="n"/>
      <c r="X3686" s="4" t="n"/>
    </row>
    <row r="3687" ht="24" customHeight="1">
      <c r="A3687" s="2">
        <f>+D3687-S3687</f>
        <v/>
      </c>
      <c r="B3687" s="80" t="n">
        <v>5277</v>
      </c>
      <c r="C3687" s="66" t="n">
        <v>46003</v>
      </c>
      <c r="D3687" s="2" t="n">
        <v>1</v>
      </c>
      <c r="E3687" s="3" t="inlineStr">
        <is>
          <t>FUCILE SEMIAUTOMATICO</t>
        </is>
      </c>
      <c r="F3687" s="3" t="inlineStr">
        <is>
          <t>12</t>
        </is>
      </c>
      <c r="G3687" s="84" t="inlineStr">
        <is>
          <t>BENELLI</t>
        </is>
      </c>
      <c r="H3687" s="107" t="inlineStr">
        <is>
          <t>M2 MAX 7 2023 30''</t>
        </is>
      </c>
      <c r="I3687" s="107" t="inlineStr">
        <is>
          <t>M0200622S</t>
        </is>
      </c>
      <c r="J3687" s="107" t="inlineStr">
        <is>
          <t>C1689494W</t>
        </is>
      </c>
      <c r="K3687" s="65" t="inlineStr">
        <is>
          <t>N/D</t>
        </is>
      </c>
      <c r="L3687" s="127" t="inlineStr">
        <is>
          <t>BENELLI ARMI SPA</t>
        </is>
      </c>
      <c r="M3687" s="5" t="n">
        <v>775</v>
      </c>
      <c r="N3687" s="5" t="n"/>
      <c r="O3687" s="5">
        <f>+M3687+N3687</f>
        <v/>
      </c>
      <c r="P3687" s="4" t="n">
        <v>46002</v>
      </c>
      <c r="Q3687" s="87" t="n">
        <v>46002</v>
      </c>
      <c r="R3687" s="5" t="n"/>
      <c r="S3687" s="2" t="n"/>
      <c r="T3687" s="3" t="n"/>
      <c r="U3687" s="87" t="n"/>
      <c r="V3687" s="3" t="n"/>
      <c r="W3687" s="108" t="n"/>
      <c r="X3687" s="4" t="n"/>
    </row>
    <row r="3688" ht="24" customHeight="1">
      <c r="A3688" s="2">
        <f>+D3688-S3688</f>
        <v/>
      </c>
      <c r="B3688" s="80" t="n">
        <v>5278</v>
      </c>
      <c r="C3688" s="66" t="n">
        <v>46003</v>
      </c>
      <c r="D3688" s="2" t="n">
        <v>1</v>
      </c>
      <c r="E3688" s="3" t="inlineStr">
        <is>
          <t>FUCILE SEMIAUTOMATICO</t>
        </is>
      </c>
      <c r="F3688" s="3" t="inlineStr">
        <is>
          <t>12</t>
        </is>
      </c>
      <c r="G3688" s="84" t="inlineStr">
        <is>
          <t>BENELLI</t>
        </is>
      </c>
      <c r="H3688" s="107" t="inlineStr">
        <is>
          <t>M2 MAX 7 2023 30''</t>
        </is>
      </c>
      <c r="I3688" s="107" t="inlineStr">
        <is>
          <t>M0200621R</t>
        </is>
      </c>
      <c r="J3688" s="107" t="inlineStr">
        <is>
          <t>C1689487X</t>
        </is>
      </c>
      <c r="K3688" s="65" t="inlineStr">
        <is>
          <t>N/D</t>
        </is>
      </c>
      <c r="L3688" s="127" t="inlineStr">
        <is>
          <t>BENELLI ARMI SPA</t>
        </is>
      </c>
      <c r="M3688" s="5" t="n">
        <v>775</v>
      </c>
      <c r="N3688" s="5" t="n"/>
      <c r="O3688" s="5">
        <f>+M3688+N3688</f>
        <v/>
      </c>
      <c r="P3688" s="4" t="n">
        <v>46002</v>
      </c>
      <c r="Q3688" s="87" t="n">
        <v>46002</v>
      </c>
      <c r="R3688" s="5" t="n"/>
      <c r="S3688" s="2" t="n"/>
      <c r="T3688" s="3" t="n"/>
      <c r="U3688" s="87" t="n"/>
      <c r="V3688" s="3" t="n"/>
      <c r="W3688" s="108" t="n"/>
      <c r="X3688" s="4" t="n"/>
    </row>
    <row r="3689" ht="24" customHeight="1">
      <c r="A3689" s="2">
        <f>+D3689-S3689</f>
        <v/>
      </c>
      <c r="B3689" s="80" t="n">
        <v>5279</v>
      </c>
      <c r="C3689" s="66" t="n">
        <v>46003</v>
      </c>
      <c r="D3689" s="2" t="n">
        <v>1</v>
      </c>
      <c r="E3689" s="3" t="inlineStr">
        <is>
          <t>FUCILE SEMIAUTOMATICO</t>
        </is>
      </c>
      <c r="F3689" s="3" t="inlineStr">
        <is>
          <t>12</t>
        </is>
      </c>
      <c r="G3689" s="84" t="inlineStr">
        <is>
          <t>BENELLI</t>
        </is>
      </c>
      <c r="H3689" s="107" t="inlineStr">
        <is>
          <t>M2 MAX 7 2023 30''</t>
        </is>
      </c>
      <c r="I3689" s="107" t="inlineStr">
        <is>
          <t>M0200597M</t>
        </is>
      </c>
      <c r="J3689" s="107" t="inlineStr">
        <is>
          <t>C1689475T</t>
        </is>
      </c>
      <c r="K3689" s="65" t="inlineStr">
        <is>
          <t>N/D</t>
        </is>
      </c>
      <c r="L3689" s="127" t="inlineStr">
        <is>
          <t>BENELLI ARMI SPA</t>
        </is>
      </c>
      <c r="M3689" s="5" t="n">
        <v>775</v>
      </c>
      <c r="N3689" s="5" t="n"/>
      <c r="O3689" s="5">
        <f>+M3689+N3689</f>
        <v/>
      </c>
      <c r="P3689" s="4" t="n">
        <v>46002</v>
      </c>
      <c r="Q3689" s="87" t="n">
        <v>46002</v>
      </c>
      <c r="R3689" s="5" t="n"/>
      <c r="S3689" s="2" t="n"/>
      <c r="T3689" s="3" t="n"/>
      <c r="U3689" s="87" t="n"/>
      <c r="V3689" s="3" t="n"/>
      <c r="W3689" s="108" t="n"/>
      <c r="X3689" s="4" t="n"/>
    </row>
    <row r="3690" ht="24" customHeight="1">
      <c r="A3690" s="2">
        <f>+D3690-S3690</f>
        <v/>
      </c>
      <c r="B3690" s="80" t="n">
        <v>5280</v>
      </c>
      <c r="C3690" s="66" t="n">
        <v>46003</v>
      </c>
      <c r="D3690" s="2" t="n">
        <v>1</v>
      </c>
      <c r="E3690" s="3" t="inlineStr">
        <is>
          <t>FUCILE SEMIAUTOMATICO</t>
        </is>
      </c>
      <c r="F3690" s="3" t="inlineStr">
        <is>
          <t>12</t>
        </is>
      </c>
      <c r="G3690" s="84" t="inlineStr">
        <is>
          <t>BENELLI</t>
        </is>
      </c>
      <c r="H3690" s="107" t="inlineStr">
        <is>
          <t>NOVA SPEED 26''</t>
        </is>
      </c>
      <c r="I3690" s="107" t="inlineStr">
        <is>
          <t>BU003700U</t>
        </is>
      </c>
      <c r="J3690" s="107" t="inlineStr">
        <is>
          <t>CU003730X</t>
        </is>
      </c>
      <c r="K3690" s="65" t="inlineStr">
        <is>
          <t>N/D</t>
        </is>
      </c>
      <c r="L3690" s="127" t="inlineStr">
        <is>
          <t>BENELLI ARMI SPA</t>
        </is>
      </c>
      <c r="M3690" s="5" t="n">
        <v>697</v>
      </c>
      <c r="N3690" s="5" t="n"/>
      <c r="O3690" s="5">
        <f>+M3690+N3690</f>
        <v/>
      </c>
      <c r="P3690" s="4" t="n">
        <v>46002</v>
      </c>
      <c r="Q3690" s="87" t="n">
        <v>46002</v>
      </c>
      <c r="R3690" s="5" t="n"/>
      <c r="S3690" s="2" t="n"/>
      <c r="T3690" s="3" t="n"/>
      <c r="U3690" s="87" t="n"/>
      <c r="V3690" s="3" t="n"/>
      <c r="W3690" s="108" t="n"/>
      <c r="X3690" s="4" t="n"/>
    </row>
    <row r="3691" ht="24" customHeight="1">
      <c r="A3691" s="2">
        <f>+D3691-S3691</f>
        <v/>
      </c>
      <c r="B3691" s="80" t="n">
        <v>5281</v>
      </c>
      <c r="C3691" s="66" t="n">
        <v>46003</v>
      </c>
      <c r="D3691" s="2" t="n">
        <v>1</v>
      </c>
      <c r="E3691" s="3" t="inlineStr">
        <is>
          <t>FUCILE SEMIAUTOMATICO</t>
        </is>
      </c>
      <c r="F3691" s="3" t="inlineStr">
        <is>
          <t>12</t>
        </is>
      </c>
      <c r="G3691" s="84" t="inlineStr">
        <is>
          <t>BENELLI</t>
        </is>
      </c>
      <c r="H3691" s="107" t="inlineStr">
        <is>
          <t>NOVA SPEED 26''</t>
        </is>
      </c>
      <c r="I3691" s="107" t="inlineStr">
        <is>
          <t>BU003701W</t>
        </is>
      </c>
      <c r="J3691" s="107" t="inlineStr">
        <is>
          <t>CU003743E</t>
        </is>
      </c>
      <c r="K3691" s="65" t="inlineStr">
        <is>
          <t>N/D</t>
        </is>
      </c>
      <c r="L3691" s="127" t="inlineStr">
        <is>
          <t>BENELLI ARMI SPA</t>
        </is>
      </c>
      <c r="M3691" s="5" t="n">
        <v>697</v>
      </c>
      <c r="N3691" s="5" t="n"/>
      <c r="O3691" s="5">
        <f>+M3691+N3691</f>
        <v/>
      </c>
      <c r="P3691" s="4" t="n">
        <v>46002</v>
      </c>
      <c r="Q3691" s="87" t="n">
        <v>46002</v>
      </c>
      <c r="R3691" s="5" t="n"/>
      <c r="S3691" s="2" t="n"/>
      <c r="T3691" s="3" t="n"/>
      <c r="U3691" s="87" t="n"/>
      <c r="V3691" s="3" t="n"/>
      <c r="W3691" s="108" t="n"/>
      <c r="X3691" s="4" t="n"/>
    </row>
    <row r="3692" ht="24" customHeight="1">
      <c r="A3692" s="2">
        <f>+D3692-S3692</f>
        <v/>
      </c>
      <c r="B3692" s="80" t="n">
        <v>5282</v>
      </c>
      <c r="C3692" s="66" t="n">
        <v>46003</v>
      </c>
      <c r="D3692" s="2" t="n">
        <v>1</v>
      </c>
      <c r="E3692" s="3" t="inlineStr">
        <is>
          <t>FUCILE SEMIAUTOMATICO</t>
        </is>
      </c>
      <c r="F3692" s="3" t="inlineStr">
        <is>
          <t>12</t>
        </is>
      </c>
      <c r="G3692" s="84" t="inlineStr">
        <is>
          <t>BENELLI</t>
        </is>
      </c>
      <c r="H3692" s="107" t="inlineStr">
        <is>
          <t>NOVA SPEED 26''</t>
        </is>
      </c>
      <c r="I3692" s="107" t="inlineStr">
        <is>
          <t>BU003702Y</t>
        </is>
      </c>
      <c r="J3692" s="107" t="inlineStr">
        <is>
          <t>CU003728P</t>
        </is>
      </c>
      <c r="K3692" s="65" t="inlineStr">
        <is>
          <t>N/D</t>
        </is>
      </c>
      <c r="L3692" s="127" t="inlineStr">
        <is>
          <t>BENELLI ARMI SPA</t>
        </is>
      </c>
      <c r="M3692" s="5" t="n">
        <v>697</v>
      </c>
      <c r="N3692" s="5" t="n"/>
      <c r="O3692" s="5">
        <f>+M3692+N3692</f>
        <v/>
      </c>
      <c r="P3692" s="4" t="n">
        <v>46002</v>
      </c>
      <c r="Q3692" s="87" t="n">
        <v>46002</v>
      </c>
      <c r="R3692" s="5" t="n"/>
      <c r="S3692" s="2" t="n"/>
      <c r="T3692" s="3" t="n"/>
      <c r="U3692" s="87" t="n"/>
      <c r="V3692" s="3" t="n"/>
      <c r="W3692" s="108" t="n"/>
      <c r="X3692" s="4" t="n"/>
    </row>
    <row r="3693" ht="24" customHeight="1">
      <c r="A3693" s="2">
        <f>+D3693-S3693</f>
        <v/>
      </c>
      <c r="B3693" s="80" t="n">
        <v>5283</v>
      </c>
      <c r="C3693" s="66" t="n">
        <v>46003</v>
      </c>
      <c r="D3693" s="2" t="n">
        <v>1</v>
      </c>
      <c r="E3693" s="3" t="inlineStr">
        <is>
          <t>FUCILE SEMIAUTOMATICO</t>
        </is>
      </c>
      <c r="F3693" s="3" t="inlineStr">
        <is>
          <t>12</t>
        </is>
      </c>
      <c r="G3693" s="84" t="inlineStr">
        <is>
          <t>BENELLI</t>
        </is>
      </c>
      <c r="H3693" s="107" t="inlineStr">
        <is>
          <t>NOVA SPEED 26''</t>
        </is>
      </c>
      <c r="I3693" s="107" t="inlineStr">
        <is>
          <t>BU003703A</t>
        </is>
      </c>
      <c r="J3693" s="107" t="inlineStr">
        <is>
          <t>CU003724E</t>
        </is>
      </c>
      <c r="K3693" s="65" t="inlineStr">
        <is>
          <t>N/D</t>
        </is>
      </c>
      <c r="L3693" s="127" t="inlineStr">
        <is>
          <t>BENELLI ARMI SPA</t>
        </is>
      </c>
      <c r="M3693" s="5" t="n">
        <v>697</v>
      </c>
      <c r="N3693" s="5" t="n"/>
      <c r="O3693" s="5">
        <f>+M3693+N3693</f>
        <v/>
      </c>
      <c r="P3693" s="4" t="n">
        <v>46002</v>
      </c>
      <c r="Q3693" s="87" t="n">
        <v>46002</v>
      </c>
      <c r="R3693" s="5" t="n"/>
      <c r="S3693" s="2" t="n"/>
      <c r="T3693" s="3" t="n"/>
      <c r="U3693" s="87" t="n"/>
      <c r="V3693" s="3" t="n"/>
      <c r="W3693" s="108" t="n"/>
      <c r="X3693" s="4" t="n"/>
    </row>
    <row r="3694" ht="24" customHeight="1">
      <c r="A3694" s="2">
        <f>+D3694-S3694</f>
        <v/>
      </c>
      <c r="B3694" s="80" t="n">
        <v>5284</v>
      </c>
      <c r="C3694" s="66" t="n">
        <v>46003</v>
      </c>
      <c r="D3694" s="2" t="n">
        <v>1</v>
      </c>
      <c r="E3694" s="3" t="inlineStr">
        <is>
          <t>FUCILE SEMIAUTOMATICO</t>
        </is>
      </c>
      <c r="F3694" s="3" t="inlineStr">
        <is>
          <t>12</t>
        </is>
      </c>
      <c r="G3694" s="84" t="inlineStr">
        <is>
          <t>BENELLI</t>
        </is>
      </c>
      <c r="H3694" s="107" t="inlineStr">
        <is>
          <t>NOVA SPEED 26''</t>
        </is>
      </c>
      <c r="I3694" s="107" t="inlineStr">
        <is>
          <t>BU003704C</t>
        </is>
      </c>
      <c r="J3694" s="107" t="inlineStr">
        <is>
          <t>CU003729R</t>
        </is>
      </c>
      <c r="K3694" s="65" t="inlineStr">
        <is>
          <t>N/D</t>
        </is>
      </c>
      <c r="L3694" s="127" t="inlineStr">
        <is>
          <t>BENELLI ARMI SPA</t>
        </is>
      </c>
      <c r="M3694" s="5" t="n">
        <v>697</v>
      </c>
      <c r="N3694" s="5" t="n"/>
      <c r="O3694" s="5">
        <f>+M3694+N3694</f>
        <v/>
      </c>
      <c r="P3694" s="4" t="n">
        <v>46002</v>
      </c>
      <c r="Q3694" s="87" t="n">
        <v>46002</v>
      </c>
      <c r="R3694" s="5" t="n"/>
      <c r="S3694" s="2" t="n"/>
      <c r="T3694" s="3" t="n"/>
      <c r="U3694" s="87" t="n"/>
      <c r="V3694" s="3" t="n"/>
      <c r="W3694" s="108" t="n"/>
      <c r="X3694" s="4" t="n"/>
    </row>
    <row r="3695" ht="24" customHeight="1">
      <c r="A3695" s="2">
        <f>+D3695-S3695</f>
        <v/>
      </c>
      <c r="B3695" s="80" t="n">
        <v>5285</v>
      </c>
      <c r="C3695" s="66" t="n">
        <v>46003</v>
      </c>
      <c r="D3695" s="2" t="n">
        <v>1</v>
      </c>
      <c r="E3695" s="3" t="inlineStr">
        <is>
          <t>FUCILE SEMIAUTOMATICO</t>
        </is>
      </c>
      <c r="F3695" s="3" t="inlineStr">
        <is>
          <t>12</t>
        </is>
      </c>
      <c r="G3695" s="84" t="inlineStr">
        <is>
          <t>BENELLI</t>
        </is>
      </c>
      <c r="H3695" s="107" t="inlineStr">
        <is>
          <t>M2 MAX 7 2023 30''</t>
        </is>
      </c>
      <c r="I3695" s="107" t="inlineStr">
        <is>
          <t>M0200628Y</t>
        </is>
      </c>
      <c r="J3695" s="107" t="inlineStr">
        <is>
          <t>C1689474S</t>
        </is>
      </c>
      <c r="K3695" s="65" t="inlineStr">
        <is>
          <t>N/D</t>
        </is>
      </c>
      <c r="L3695" s="127" t="inlineStr">
        <is>
          <t>BENELLI ARMI SPA</t>
        </is>
      </c>
      <c r="M3695" s="5" t="n">
        <v>775</v>
      </c>
      <c r="N3695" s="5" t="n"/>
      <c r="O3695" s="5">
        <f>+M3695+N3695</f>
        <v/>
      </c>
      <c r="P3695" s="4" t="n">
        <v>46002</v>
      </c>
      <c r="Q3695" s="87" t="n">
        <v>46002</v>
      </c>
      <c r="R3695" s="5" t="n"/>
      <c r="S3695" s="2" t="n"/>
      <c r="T3695" s="3" t="n"/>
      <c r="U3695" s="87" t="n"/>
      <c r="V3695" s="3" t="n"/>
      <c r="W3695" s="108" t="n"/>
      <c r="X3695" s="4" t="n"/>
    </row>
    <row r="3696" ht="24" customHeight="1">
      <c r="A3696" s="2">
        <f>+D3696-S3696</f>
        <v/>
      </c>
      <c r="B3696" s="80" t="n">
        <v>5286</v>
      </c>
      <c r="C3696" s="66" t="n">
        <v>46003</v>
      </c>
      <c r="D3696" s="2" t="n">
        <v>1</v>
      </c>
      <c r="E3696" s="3" t="inlineStr">
        <is>
          <t>FUCILE SEMIAUTOMATICO</t>
        </is>
      </c>
      <c r="F3696" s="3" t="inlineStr">
        <is>
          <t>12</t>
        </is>
      </c>
      <c r="G3696" s="84" t="inlineStr">
        <is>
          <t>BENELLI</t>
        </is>
      </c>
      <c r="H3696" s="107" t="inlineStr">
        <is>
          <t>M2 MAX 7 2023 30''</t>
        </is>
      </c>
      <c r="I3696" s="107" t="inlineStr">
        <is>
          <t>M0200627X</t>
        </is>
      </c>
      <c r="J3696" s="107" t="inlineStr">
        <is>
          <t>C1689492U</t>
        </is>
      </c>
      <c r="K3696" s="65" t="inlineStr">
        <is>
          <t>N/D</t>
        </is>
      </c>
      <c r="L3696" s="127" t="inlineStr">
        <is>
          <t>BENELLI ARMI SPA</t>
        </is>
      </c>
      <c r="M3696" s="5" t="n">
        <v>775</v>
      </c>
      <c r="N3696" s="5" t="n"/>
      <c r="O3696" s="5">
        <f>+M3696+N3696</f>
        <v/>
      </c>
      <c r="P3696" s="4" t="n">
        <v>46002</v>
      </c>
      <c r="Q3696" s="87" t="n">
        <v>46002</v>
      </c>
      <c r="R3696" s="5" t="n"/>
      <c r="S3696" s="2" t="n"/>
      <c r="T3696" s="3" t="n"/>
      <c r="U3696" s="87" t="n"/>
      <c r="V3696" s="3" t="n"/>
      <c r="W3696" s="108" t="n"/>
      <c r="X3696" s="4" t="n"/>
    </row>
    <row r="3697" ht="24" customHeight="1">
      <c r="A3697" s="2">
        <f>+D3697-S3697</f>
        <v/>
      </c>
      <c r="B3697" s="80" t="n">
        <v>5287</v>
      </c>
      <c r="C3697" s="66" t="n">
        <v>46003</v>
      </c>
      <c r="D3697" s="2" t="n">
        <v>1</v>
      </c>
      <c r="E3697" s="3" t="inlineStr">
        <is>
          <t>FUCILE SEMIAUTOMATICO</t>
        </is>
      </c>
      <c r="F3697" s="3" t="inlineStr">
        <is>
          <t>12</t>
        </is>
      </c>
      <c r="G3697" s="84" t="inlineStr">
        <is>
          <t>BENELLI</t>
        </is>
      </c>
      <c r="H3697" s="107" t="inlineStr">
        <is>
          <t>M2 MAX 7 2023 30''</t>
        </is>
      </c>
      <c r="I3697" s="107" t="inlineStr">
        <is>
          <t>M0200626W</t>
        </is>
      </c>
      <c r="J3697" s="107" t="inlineStr">
        <is>
          <t>C1689490S</t>
        </is>
      </c>
      <c r="K3697" s="65" t="inlineStr">
        <is>
          <t>N/D</t>
        </is>
      </c>
      <c r="L3697" s="127" t="inlineStr">
        <is>
          <t>BENELLI ARMI SPA</t>
        </is>
      </c>
      <c r="M3697" s="5" t="n">
        <v>775</v>
      </c>
      <c r="N3697" s="5" t="n"/>
      <c r="O3697" s="5">
        <f>+M3697+N3697</f>
        <v/>
      </c>
      <c r="P3697" s="4" t="n">
        <v>46002</v>
      </c>
      <c r="Q3697" s="87" t="n">
        <v>46002</v>
      </c>
      <c r="R3697" s="5" t="n"/>
      <c r="S3697" s="2" t="n"/>
      <c r="T3697" s="3" t="n"/>
      <c r="U3697" s="87" t="n"/>
      <c r="V3697" s="3" t="n"/>
      <c r="W3697" s="108" t="n"/>
      <c r="X3697" s="4" t="n"/>
    </row>
    <row r="3698" ht="24" customHeight="1">
      <c r="A3698" s="2">
        <f>+D3698-S3698</f>
        <v/>
      </c>
      <c r="B3698" s="80" t="n">
        <v>5288</v>
      </c>
      <c r="C3698" s="66" t="n">
        <v>46003</v>
      </c>
      <c r="D3698" s="2" t="n">
        <v>1</v>
      </c>
      <c r="E3698" s="3" t="inlineStr">
        <is>
          <t>FUCILE SEMIAUTOMATICO</t>
        </is>
      </c>
      <c r="F3698" s="3" t="inlineStr">
        <is>
          <t>12</t>
        </is>
      </c>
      <c r="G3698" s="84" t="inlineStr">
        <is>
          <t>BENELLI</t>
        </is>
      </c>
      <c r="H3698" s="107" t="inlineStr">
        <is>
          <t>M2 MAX 7 2023 30''</t>
        </is>
      </c>
      <c r="I3698" s="107" t="inlineStr">
        <is>
          <t>M0200629Z</t>
        </is>
      </c>
      <c r="J3698" s="107" t="inlineStr">
        <is>
          <t>C1689477V</t>
        </is>
      </c>
      <c r="K3698" s="65" t="inlineStr">
        <is>
          <t>N/D</t>
        </is>
      </c>
      <c r="L3698" s="127" t="inlineStr">
        <is>
          <t>BENELLI ARMI SPA</t>
        </is>
      </c>
      <c r="M3698" s="5" t="n">
        <v>775</v>
      </c>
      <c r="N3698" s="5" t="n"/>
      <c r="O3698" s="5">
        <f>+M3698+N3698</f>
        <v/>
      </c>
      <c r="P3698" s="4" t="n">
        <v>46002</v>
      </c>
      <c r="Q3698" s="87" t="n">
        <v>46002</v>
      </c>
      <c r="R3698" s="5" t="n"/>
      <c r="S3698" s="2" t="n"/>
      <c r="T3698" s="3" t="n"/>
      <c r="U3698" s="87" t="n"/>
      <c r="V3698" s="3" t="n"/>
      <c r="W3698" s="108" t="n"/>
      <c r="X3698" s="4" t="n"/>
    </row>
    <row r="3699" ht="24" customHeight="1">
      <c r="A3699" s="2">
        <f>+D3699-S3699</f>
        <v/>
      </c>
      <c r="B3699" s="80" t="n">
        <v>5289</v>
      </c>
      <c r="C3699" s="66" t="n">
        <v>46003</v>
      </c>
      <c r="D3699" s="2" t="n">
        <v>1</v>
      </c>
      <c r="E3699" s="3" t="inlineStr">
        <is>
          <t>FUCILE SEMIAUTOMATICO</t>
        </is>
      </c>
      <c r="F3699" s="3" t="inlineStr">
        <is>
          <t>12</t>
        </is>
      </c>
      <c r="G3699" s="84" t="inlineStr">
        <is>
          <t>BENELLI</t>
        </is>
      </c>
      <c r="H3699" s="107" t="inlineStr">
        <is>
          <t>M2 MAX 7 2023 30''</t>
        </is>
      </c>
      <c r="I3699" s="107" t="inlineStr">
        <is>
          <t>M0200625V</t>
        </is>
      </c>
      <c r="J3699" s="107" t="inlineStr">
        <is>
          <t>C1689480Q</t>
        </is>
      </c>
      <c r="K3699" s="65" t="inlineStr">
        <is>
          <t>N/D</t>
        </is>
      </c>
      <c r="L3699" s="127" t="inlineStr">
        <is>
          <t>BENELLI ARMI SPA</t>
        </is>
      </c>
      <c r="M3699" s="5" t="n">
        <v>775</v>
      </c>
      <c r="N3699" s="5" t="n"/>
      <c r="O3699" s="5">
        <f>+M3699+N3699</f>
        <v/>
      </c>
      <c r="P3699" s="4" t="n">
        <v>46002</v>
      </c>
      <c r="Q3699" s="87" t="n">
        <v>46002</v>
      </c>
      <c r="R3699" s="5" t="n"/>
      <c r="S3699" s="2" t="n"/>
      <c r="T3699" s="3" t="n"/>
      <c r="U3699" s="87" t="n"/>
      <c r="V3699" s="3" t="n"/>
      <c r="W3699" s="108" t="n"/>
      <c r="X3699" s="4" t="n"/>
    </row>
    <row r="3700" ht="24" customHeight="1">
      <c r="A3700" s="2">
        <f>+D3700-S3700</f>
        <v/>
      </c>
      <c r="B3700" s="80" t="n">
        <v>5290</v>
      </c>
      <c r="C3700" s="66" t="n">
        <v>46003</v>
      </c>
      <c r="D3700" s="2" t="n">
        <v>1</v>
      </c>
      <c r="E3700" s="3" t="inlineStr">
        <is>
          <t>FUCILE SEMIAUTOMATICO</t>
        </is>
      </c>
      <c r="F3700" s="3" t="inlineStr">
        <is>
          <t>12</t>
        </is>
      </c>
      <c r="G3700" s="84" t="inlineStr">
        <is>
          <t>BENELLI</t>
        </is>
      </c>
      <c r="H3700" s="107" t="inlineStr">
        <is>
          <t>M2 SPEED 24''</t>
        </is>
      </c>
      <c r="I3700" s="107" t="inlineStr">
        <is>
          <t>M0202470D</t>
        </is>
      </c>
      <c r="J3700" s="107" t="inlineStr">
        <is>
          <t>C1693437Y</t>
        </is>
      </c>
      <c r="K3700" s="65" t="inlineStr">
        <is>
          <t>N/D</t>
        </is>
      </c>
      <c r="L3700" s="127" t="inlineStr">
        <is>
          <t>BENELLI ARMI SPA</t>
        </is>
      </c>
      <c r="M3700" s="5" t="n">
        <v>971</v>
      </c>
      <c r="N3700" s="5" t="n"/>
      <c r="O3700" s="5">
        <f>+M3700+N3700</f>
        <v/>
      </c>
      <c r="P3700" s="4" t="n">
        <v>46002</v>
      </c>
      <c r="Q3700" s="87" t="n">
        <v>46002</v>
      </c>
      <c r="R3700" s="5" t="n"/>
      <c r="S3700" s="2" t="n"/>
      <c r="T3700" s="3" t="n"/>
      <c r="U3700" s="87" t="n"/>
      <c r="V3700" s="3" t="n"/>
      <c r="W3700" s="108" t="n"/>
      <c r="X3700" s="4" t="n"/>
    </row>
    <row r="3701" ht="24" customHeight="1">
      <c r="A3701" s="2">
        <f>+D3701-S3701</f>
        <v/>
      </c>
      <c r="B3701" s="80" t="n">
        <v>5291</v>
      </c>
      <c r="C3701" s="66" t="n">
        <v>46003</v>
      </c>
      <c r="D3701" s="2" t="n">
        <v>1</v>
      </c>
      <c r="E3701" s="3" t="inlineStr">
        <is>
          <t>FUCILE SEMIAUTOMATICO</t>
        </is>
      </c>
      <c r="F3701" s="3" t="inlineStr">
        <is>
          <t>12</t>
        </is>
      </c>
      <c r="G3701" s="84" t="inlineStr">
        <is>
          <t>BENELLI</t>
        </is>
      </c>
      <c r="H3701" s="107" t="inlineStr">
        <is>
          <t>M2 SPEED 24''</t>
        </is>
      </c>
      <c r="I3701" s="107" t="inlineStr">
        <is>
          <t>M0202475J</t>
        </is>
      </c>
      <c r="J3701" s="107" t="inlineStr">
        <is>
          <t>C1693442V</t>
        </is>
      </c>
      <c r="K3701" s="65" t="inlineStr">
        <is>
          <t>N/D</t>
        </is>
      </c>
      <c r="L3701" s="127" t="inlineStr">
        <is>
          <t>BENELLI ARMI SPA</t>
        </is>
      </c>
      <c r="M3701" s="5" t="n">
        <v>971</v>
      </c>
      <c r="N3701" s="5" t="n"/>
      <c r="O3701" s="5">
        <f>+M3701+N3701</f>
        <v/>
      </c>
      <c r="P3701" s="4" t="n">
        <v>46002</v>
      </c>
      <c r="Q3701" s="87" t="n">
        <v>46002</v>
      </c>
      <c r="R3701" s="5" t="n"/>
      <c r="S3701" s="2" t="n"/>
      <c r="T3701" s="3" t="n"/>
      <c r="U3701" s="87" t="n"/>
      <c r="V3701" s="3" t="n"/>
      <c r="W3701" s="108" t="n"/>
      <c r="X3701" s="4" t="n"/>
    </row>
    <row r="3702" ht="24" customHeight="1">
      <c r="A3702" s="2">
        <f>+D3702-S3702</f>
        <v/>
      </c>
      <c r="B3702" s="80" t="n">
        <v>5292</v>
      </c>
      <c r="C3702" s="66" t="n">
        <v>46003</v>
      </c>
      <c r="D3702" s="2" t="n">
        <v>1</v>
      </c>
      <c r="E3702" s="3" t="inlineStr">
        <is>
          <t>FUCILE SEMIAUTOMATICO</t>
        </is>
      </c>
      <c r="F3702" s="3" t="inlineStr">
        <is>
          <t>12</t>
        </is>
      </c>
      <c r="G3702" s="84" t="inlineStr">
        <is>
          <t>BENELLI</t>
        </is>
      </c>
      <c r="H3702" s="107" t="inlineStr">
        <is>
          <t>M2 SPEED 24''</t>
        </is>
      </c>
      <c r="I3702" s="107" t="inlineStr">
        <is>
          <t>M0202474H</t>
        </is>
      </c>
      <c r="J3702" s="107" t="inlineStr">
        <is>
          <t>C1693438Z</t>
        </is>
      </c>
      <c r="K3702" s="65" t="inlineStr">
        <is>
          <t>N/D</t>
        </is>
      </c>
      <c r="L3702" s="127" t="inlineStr">
        <is>
          <t>BENELLI ARMI SPA</t>
        </is>
      </c>
      <c r="M3702" s="5" t="n">
        <v>971</v>
      </c>
      <c r="N3702" s="5" t="n"/>
      <c r="O3702" s="5">
        <f>+M3702+N3702</f>
        <v/>
      </c>
      <c r="P3702" s="4" t="n">
        <v>46002</v>
      </c>
      <c r="Q3702" s="87" t="n">
        <v>46002</v>
      </c>
      <c r="R3702" s="5" t="n"/>
      <c r="S3702" s="2" t="n"/>
      <c r="T3702" s="3" t="n"/>
      <c r="U3702" s="87" t="n"/>
      <c r="V3702" s="3" t="n"/>
      <c r="W3702" s="108" t="n"/>
      <c r="X3702" s="4" t="n"/>
    </row>
    <row r="3703" ht="24" customHeight="1">
      <c r="A3703" s="2">
        <f>+D3703-S3703</f>
        <v/>
      </c>
      <c r="B3703" s="80" t="n">
        <v>5293</v>
      </c>
      <c r="C3703" s="66" t="n">
        <v>46003</v>
      </c>
      <c r="D3703" s="2" t="n">
        <v>1</v>
      </c>
      <c r="E3703" s="3" t="inlineStr">
        <is>
          <t>FUCILE SEMIAUTOMATICO</t>
        </is>
      </c>
      <c r="F3703" s="3" t="inlineStr">
        <is>
          <t>12</t>
        </is>
      </c>
      <c r="G3703" s="84" t="inlineStr">
        <is>
          <t>BENELLI</t>
        </is>
      </c>
      <c r="H3703" s="107" t="inlineStr">
        <is>
          <t>M2 SPEED 24''</t>
        </is>
      </c>
      <c r="I3703" s="107" t="inlineStr">
        <is>
          <t>M0202473G</t>
        </is>
      </c>
      <c r="J3703" s="107" t="inlineStr">
        <is>
          <t>C1693439A</t>
        </is>
      </c>
      <c r="K3703" s="65" t="inlineStr">
        <is>
          <t>N/D</t>
        </is>
      </c>
      <c r="L3703" s="127" t="inlineStr">
        <is>
          <t>BENELLI ARMI SPA</t>
        </is>
      </c>
      <c r="M3703" s="5" t="n">
        <v>971</v>
      </c>
      <c r="N3703" s="5" t="n"/>
      <c r="O3703" s="5">
        <f>+M3703+N3703</f>
        <v/>
      </c>
      <c r="P3703" s="4" t="n">
        <v>46002</v>
      </c>
      <c r="Q3703" s="87" t="n">
        <v>46002</v>
      </c>
      <c r="R3703" s="5" t="n"/>
      <c r="S3703" s="2" t="n"/>
      <c r="T3703" s="3" t="n"/>
      <c r="U3703" s="87" t="n"/>
      <c r="V3703" s="3" t="n"/>
      <c r="W3703" s="108" t="n"/>
      <c r="X3703" s="4" t="n"/>
    </row>
    <row r="3704" ht="24" customHeight="1">
      <c r="A3704" s="2">
        <f>+D3704-S3704</f>
        <v/>
      </c>
      <c r="B3704" s="80" t="n">
        <v>5294</v>
      </c>
      <c r="C3704" s="66" t="n">
        <v>46003</v>
      </c>
      <c r="D3704" s="2" t="n">
        <v>1</v>
      </c>
      <c r="E3704" s="3" t="inlineStr">
        <is>
          <t>FUCILE SEMIAUTOMATICO</t>
        </is>
      </c>
      <c r="F3704" s="3" t="inlineStr">
        <is>
          <t>12</t>
        </is>
      </c>
      <c r="G3704" s="84" t="inlineStr">
        <is>
          <t>BENELLI</t>
        </is>
      </c>
      <c r="H3704" s="107" t="inlineStr">
        <is>
          <t>M2 SPEED 24''</t>
        </is>
      </c>
      <c r="I3704" s="107" t="inlineStr">
        <is>
          <t>M0202472F</t>
        </is>
      </c>
      <c r="J3704" s="107" t="inlineStr">
        <is>
          <t>C1693440T</t>
        </is>
      </c>
      <c r="K3704" s="65" t="inlineStr">
        <is>
          <t>N/D</t>
        </is>
      </c>
      <c r="L3704" s="127" t="inlineStr">
        <is>
          <t>BENELLI ARMI SPA</t>
        </is>
      </c>
      <c r="M3704" s="5" t="n">
        <v>971</v>
      </c>
      <c r="N3704" s="5" t="n"/>
      <c r="O3704" s="5">
        <f>+M3704+N3704</f>
        <v/>
      </c>
      <c r="P3704" s="4" t="n">
        <v>46002</v>
      </c>
      <c r="Q3704" s="87" t="n">
        <v>46002</v>
      </c>
      <c r="R3704" s="5" t="n"/>
      <c r="S3704" s="2" t="n"/>
      <c r="T3704" s="3" t="n"/>
      <c r="U3704" s="87" t="n"/>
      <c r="V3704" s="3" t="n"/>
      <c r="W3704" s="108" t="n"/>
      <c r="X3704" s="4" t="n"/>
    </row>
    <row r="3705" ht="24" customHeight="1">
      <c r="A3705" s="2">
        <f>+D3705-S3705</f>
        <v/>
      </c>
      <c r="B3705" s="80" t="n">
        <v>5295</v>
      </c>
      <c r="C3705" s="66" t="n">
        <v>46003</v>
      </c>
      <c r="D3705" s="2" t="n">
        <v>1</v>
      </c>
      <c r="E3705" s="3" t="inlineStr">
        <is>
          <t>FUCILE SEMIAUTOMATICO</t>
        </is>
      </c>
      <c r="F3705" s="3" t="inlineStr">
        <is>
          <t>12</t>
        </is>
      </c>
      <c r="G3705" s="84" t="inlineStr">
        <is>
          <t>BENELLI</t>
        </is>
      </c>
      <c r="H3705" s="107" t="inlineStr">
        <is>
          <t>M2 SPEED 24''</t>
        </is>
      </c>
      <c r="I3705" s="107" t="inlineStr">
        <is>
          <t>M0199682H</t>
        </is>
      </c>
      <c r="J3705" s="107" t="inlineStr">
        <is>
          <t>C1687364K</t>
        </is>
      </c>
      <c r="K3705" s="65" t="inlineStr">
        <is>
          <t>N/D</t>
        </is>
      </c>
      <c r="L3705" s="127" t="inlineStr">
        <is>
          <t>BENELLI ARMI SPA</t>
        </is>
      </c>
      <c r="M3705" s="5" t="n">
        <v>971</v>
      </c>
      <c r="N3705" s="5" t="n"/>
      <c r="O3705" s="5">
        <f>+M3705+N3705</f>
        <v/>
      </c>
      <c r="P3705" s="4" t="n">
        <v>46002</v>
      </c>
      <c r="Q3705" s="87" t="n">
        <v>46002</v>
      </c>
      <c r="R3705" s="5" t="n"/>
      <c r="S3705" s="2" t="n"/>
      <c r="T3705" s="3" t="n"/>
      <c r="U3705" s="87" t="n"/>
      <c r="V3705" s="3" t="n"/>
      <c r="W3705" s="108" t="n"/>
      <c r="X3705" s="4" t="n"/>
    </row>
    <row r="3706" ht="24" customHeight="1">
      <c r="A3706" s="2">
        <f>+D3706-S3706</f>
        <v/>
      </c>
      <c r="B3706" s="80" t="n">
        <v>5296</v>
      </c>
      <c r="C3706" s="66" t="n">
        <v>46003</v>
      </c>
      <c r="D3706" s="2" t="n">
        <v>1</v>
      </c>
      <c r="E3706" s="3" t="inlineStr">
        <is>
          <t>FUCILE SEMIAUTOMATICO</t>
        </is>
      </c>
      <c r="F3706" s="3" t="inlineStr">
        <is>
          <t>12</t>
        </is>
      </c>
      <c r="G3706" s="84" t="inlineStr">
        <is>
          <t>BENELLI</t>
        </is>
      </c>
      <c r="H3706" s="107" t="inlineStr">
        <is>
          <t>M2 SPEED 24''</t>
        </is>
      </c>
      <c r="I3706" s="107" t="inlineStr">
        <is>
          <t>M0199683J</t>
        </is>
      </c>
      <c r="J3706" s="107" t="inlineStr">
        <is>
          <t>C1687365L</t>
        </is>
      </c>
      <c r="K3706" s="65" t="inlineStr">
        <is>
          <t>N/D</t>
        </is>
      </c>
      <c r="L3706" s="127" t="inlineStr">
        <is>
          <t>BENELLI ARMI SPA</t>
        </is>
      </c>
      <c r="M3706" s="5" t="n">
        <v>971</v>
      </c>
      <c r="N3706" s="5" t="n"/>
      <c r="O3706" s="5">
        <f>+M3706+N3706</f>
        <v/>
      </c>
      <c r="P3706" s="4" t="n">
        <v>46002</v>
      </c>
      <c r="Q3706" s="87" t="n">
        <v>46002</v>
      </c>
      <c r="R3706" s="5" t="n"/>
      <c r="S3706" s="2" t="n"/>
      <c r="T3706" s="3" t="n"/>
      <c r="U3706" s="87" t="n"/>
      <c r="V3706" s="3" t="n"/>
      <c r="W3706" s="108" t="n"/>
      <c r="X3706" s="4" t="n"/>
    </row>
    <row r="3707" ht="24" customHeight="1">
      <c r="A3707" s="2">
        <f>+D3707-S3707</f>
        <v/>
      </c>
      <c r="B3707" s="80" t="n">
        <v>5297</v>
      </c>
      <c r="C3707" s="66" t="n">
        <v>46003</v>
      </c>
      <c r="D3707" s="2" t="n">
        <v>1</v>
      </c>
      <c r="E3707" s="3" t="inlineStr">
        <is>
          <t>FUCILE SEMIAUTOMATICO</t>
        </is>
      </c>
      <c r="F3707" s="3" t="inlineStr">
        <is>
          <t>12</t>
        </is>
      </c>
      <c r="G3707" s="84" t="inlineStr">
        <is>
          <t>BENELLI</t>
        </is>
      </c>
      <c r="H3707" s="107" t="inlineStr">
        <is>
          <t>M2 SPEED 24''</t>
        </is>
      </c>
      <c r="I3707" s="107" t="inlineStr">
        <is>
          <t>M0199684K</t>
        </is>
      </c>
      <c r="J3707" s="107" t="inlineStr">
        <is>
          <t>C1687366M</t>
        </is>
      </c>
      <c r="K3707" s="65" t="inlineStr">
        <is>
          <t>N/D</t>
        </is>
      </c>
      <c r="L3707" s="127" t="inlineStr">
        <is>
          <t>BENELLI ARMI SPA</t>
        </is>
      </c>
      <c r="M3707" s="5" t="n">
        <v>971</v>
      </c>
      <c r="N3707" s="5" t="n"/>
      <c r="O3707" s="5">
        <f>+M3707+N3707</f>
        <v/>
      </c>
      <c r="P3707" s="4" t="n">
        <v>46002</v>
      </c>
      <c r="Q3707" s="87" t="n">
        <v>46002</v>
      </c>
      <c r="R3707" s="5" t="n"/>
      <c r="S3707" s="2" t="n"/>
      <c r="T3707" s="3" t="n"/>
      <c r="U3707" s="87" t="n"/>
      <c r="V3707" s="3" t="n"/>
      <c r="W3707" s="108" t="n"/>
      <c r="X3707" s="4" t="n"/>
    </row>
    <row r="3708" ht="24" customHeight="1">
      <c r="A3708" s="2">
        <f>+D3708-S3708</f>
        <v/>
      </c>
      <c r="B3708" s="80" t="n">
        <v>5298</v>
      </c>
      <c r="C3708" s="66" t="n">
        <v>46003</v>
      </c>
      <c r="D3708" s="2" t="n">
        <v>1</v>
      </c>
      <c r="E3708" s="3" t="inlineStr">
        <is>
          <t>FUCILE SEMIAUTOMATICO</t>
        </is>
      </c>
      <c r="F3708" s="3" t="inlineStr">
        <is>
          <t>12</t>
        </is>
      </c>
      <c r="G3708" s="84" t="inlineStr">
        <is>
          <t>BENELLI</t>
        </is>
      </c>
      <c r="H3708" s="107" t="inlineStr">
        <is>
          <t>M2 SPEED 24''</t>
        </is>
      </c>
      <c r="I3708" s="107" t="inlineStr">
        <is>
          <t>M0199685L</t>
        </is>
      </c>
      <c r="J3708" s="107" t="inlineStr">
        <is>
          <t>C1687367N</t>
        </is>
      </c>
      <c r="K3708" s="65" t="inlineStr">
        <is>
          <t>N/D</t>
        </is>
      </c>
      <c r="L3708" s="127" t="inlineStr">
        <is>
          <t>BENELLI ARMI SPA</t>
        </is>
      </c>
      <c r="M3708" s="5" t="n">
        <v>971</v>
      </c>
      <c r="N3708" s="5" t="n"/>
      <c r="O3708" s="5">
        <f>+M3708+N3708</f>
        <v/>
      </c>
      <c r="P3708" s="4" t="n">
        <v>46002</v>
      </c>
      <c r="Q3708" s="87" t="n">
        <v>46002</v>
      </c>
      <c r="R3708" s="5" t="n"/>
      <c r="S3708" s="2" t="n"/>
      <c r="T3708" s="3" t="n"/>
      <c r="U3708" s="87" t="n"/>
      <c r="V3708" s="3" t="n"/>
      <c r="W3708" s="108" t="n"/>
      <c r="X3708" s="4" t="n"/>
    </row>
    <row r="3709" ht="24" customHeight="1">
      <c r="A3709" s="2">
        <f>+D3709-S3709</f>
        <v/>
      </c>
      <c r="B3709" s="80" t="n">
        <v>5299</v>
      </c>
      <c r="C3709" s="66" t="n">
        <v>46003</v>
      </c>
      <c r="D3709" s="2" t="n">
        <v>1</v>
      </c>
      <c r="E3709" s="3" t="inlineStr">
        <is>
          <t>FUCILE SEMIAUTOMATICO</t>
        </is>
      </c>
      <c r="F3709" s="3" t="inlineStr">
        <is>
          <t>12</t>
        </is>
      </c>
      <c r="G3709" s="84" t="inlineStr">
        <is>
          <t>BENELLI</t>
        </is>
      </c>
      <c r="H3709" s="107" t="inlineStr">
        <is>
          <t>M2 SPEED 24''</t>
        </is>
      </c>
      <c r="I3709" s="107" t="inlineStr">
        <is>
          <t>M0199679N</t>
        </is>
      </c>
      <c r="J3709" s="107" t="inlineStr">
        <is>
          <t>C1687361G</t>
        </is>
      </c>
      <c r="K3709" s="65" t="inlineStr">
        <is>
          <t>N/D</t>
        </is>
      </c>
      <c r="L3709" s="127" t="inlineStr">
        <is>
          <t>BENELLI ARMI SPA</t>
        </is>
      </c>
      <c r="M3709" s="5" t="n">
        <v>971</v>
      </c>
      <c r="N3709" s="5" t="n"/>
      <c r="O3709" s="5">
        <f>+M3709+N3709</f>
        <v/>
      </c>
      <c r="P3709" s="4" t="n">
        <v>46002</v>
      </c>
      <c r="Q3709" s="87" t="n">
        <v>46002</v>
      </c>
      <c r="R3709" s="5" t="n"/>
      <c r="S3709" s="2" t="n"/>
      <c r="T3709" s="3" t="n"/>
      <c r="U3709" s="87" t="n"/>
      <c r="V3709" s="3" t="n"/>
      <c r="W3709" s="108" t="n"/>
      <c r="X3709" s="4" t="n"/>
    </row>
    <row r="3710" ht="24" customHeight="1">
      <c r="A3710" s="2">
        <f>+D3710-S3710</f>
        <v/>
      </c>
      <c r="B3710" s="80" t="n">
        <v>5300</v>
      </c>
      <c r="C3710" s="66" t="n">
        <v>46003</v>
      </c>
      <c r="D3710" s="2" t="n">
        <v>1</v>
      </c>
      <c r="E3710" s="3" t="inlineStr">
        <is>
          <t>FUCILE SEMIAUTOMATICO</t>
        </is>
      </c>
      <c r="F3710" s="3" t="inlineStr">
        <is>
          <t>12</t>
        </is>
      </c>
      <c r="G3710" s="84" t="inlineStr">
        <is>
          <t>BENELLI</t>
        </is>
      </c>
      <c r="H3710" s="107" t="inlineStr">
        <is>
          <t>M2 SPEED 24''</t>
        </is>
      </c>
      <c r="I3710" s="107" t="inlineStr">
        <is>
          <t>M0200266B</t>
        </is>
      </c>
      <c r="J3710" s="107" t="inlineStr">
        <is>
          <t>C1688722E</t>
        </is>
      </c>
      <c r="K3710" s="65" t="inlineStr">
        <is>
          <t>N/D</t>
        </is>
      </c>
      <c r="L3710" s="127" t="inlineStr">
        <is>
          <t>BENELLI ARMI SPA</t>
        </is>
      </c>
      <c r="M3710" s="5" t="n">
        <v>971</v>
      </c>
      <c r="N3710" s="5" t="n"/>
      <c r="O3710" s="5">
        <f>+M3710+N3710</f>
        <v/>
      </c>
      <c r="P3710" s="4" t="n">
        <v>46002</v>
      </c>
      <c r="Q3710" s="87" t="n">
        <v>46002</v>
      </c>
      <c r="R3710" s="5" t="n"/>
      <c r="S3710" s="2" t="n"/>
      <c r="T3710" s="3" t="n"/>
      <c r="U3710" s="87" t="n"/>
      <c r="V3710" s="3" t="n"/>
      <c r="W3710" s="108" t="n"/>
      <c r="X3710" s="4" t="n"/>
    </row>
    <row r="3711" ht="24" customHeight="1">
      <c r="A3711" s="2">
        <f>+D3711-S3711</f>
        <v/>
      </c>
      <c r="B3711" s="80" t="n">
        <v>5301</v>
      </c>
      <c r="C3711" s="66" t="n">
        <v>46003</v>
      </c>
      <c r="D3711" s="2" t="n">
        <v>1</v>
      </c>
      <c r="E3711" s="3" t="inlineStr">
        <is>
          <t>FUCILE SEMIAUTOMATICO</t>
        </is>
      </c>
      <c r="F3711" s="3" t="inlineStr">
        <is>
          <t>12</t>
        </is>
      </c>
      <c r="G3711" s="84" t="inlineStr">
        <is>
          <t>BENELLI</t>
        </is>
      </c>
      <c r="H3711" s="107" t="inlineStr">
        <is>
          <t>M2 SPEED 24''</t>
        </is>
      </c>
      <c r="I3711" s="107" t="inlineStr">
        <is>
          <t>M0200270X</t>
        </is>
      </c>
      <c r="J3711" s="107" t="inlineStr">
        <is>
          <t>C1688717H</t>
        </is>
      </c>
      <c r="K3711" s="65" t="inlineStr">
        <is>
          <t>N/D</t>
        </is>
      </c>
      <c r="L3711" s="127" t="inlineStr">
        <is>
          <t>BENELLI ARMI SPA</t>
        </is>
      </c>
      <c r="M3711" s="5" t="n">
        <v>971</v>
      </c>
      <c r="N3711" s="5" t="n"/>
      <c r="O3711" s="5">
        <f>+M3711+N3711</f>
        <v/>
      </c>
      <c r="P3711" s="4" t="n">
        <v>46002</v>
      </c>
      <c r="Q3711" s="87" t="n">
        <v>46002</v>
      </c>
      <c r="R3711" s="5" t="n"/>
      <c r="S3711" s="2" t="n"/>
      <c r="T3711" s="3" t="n"/>
      <c r="U3711" s="87" t="n"/>
      <c r="V3711" s="3" t="n"/>
      <c r="W3711" s="108" t="n"/>
      <c r="X3711" s="4" t="n"/>
    </row>
    <row r="3712" ht="24" customHeight="1">
      <c r="A3712" s="2">
        <f>+D3712-S3712</f>
        <v/>
      </c>
      <c r="B3712" s="80" t="n">
        <v>5302</v>
      </c>
      <c r="C3712" s="66" t="n">
        <v>46003</v>
      </c>
      <c r="D3712" s="2" t="n">
        <v>1</v>
      </c>
      <c r="E3712" s="3" t="inlineStr">
        <is>
          <t>FUCILE SEMIAUTOMATICO</t>
        </is>
      </c>
      <c r="F3712" s="3" t="inlineStr">
        <is>
          <t>12</t>
        </is>
      </c>
      <c r="G3712" s="84" t="inlineStr">
        <is>
          <t>BENELLI</t>
        </is>
      </c>
      <c r="H3712" s="107" t="inlineStr">
        <is>
          <t>M2 SPEED 24''</t>
        </is>
      </c>
      <c r="I3712" s="107" t="inlineStr">
        <is>
          <t>M0200257A</t>
        </is>
      </c>
      <c r="J3712" s="107" t="inlineStr">
        <is>
          <t>C1688716G</t>
        </is>
      </c>
      <c r="K3712" s="65" t="inlineStr">
        <is>
          <t>N/D</t>
        </is>
      </c>
      <c r="L3712" s="127" t="inlineStr">
        <is>
          <t>BENELLI ARMI SPA</t>
        </is>
      </c>
      <c r="M3712" s="5" t="n">
        <v>971</v>
      </c>
      <c r="N3712" s="5" t="n"/>
      <c r="O3712" s="5">
        <f>+M3712+N3712</f>
        <v/>
      </c>
      <c r="P3712" s="4" t="n">
        <v>46002</v>
      </c>
      <c r="Q3712" s="87" t="n">
        <v>46002</v>
      </c>
      <c r="R3712" s="5" t="n"/>
      <c r="S3712" s="2" t="n"/>
      <c r="T3712" s="3" t="n"/>
      <c r="U3712" s="87" t="n"/>
      <c r="V3712" s="3" t="n"/>
      <c r="W3712" s="108" t="n"/>
      <c r="X3712" s="4" t="n"/>
    </row>
    <row r="3713" ht="24" customHeight="1">
      <c r="A3713" s="2">
        <f>+D3713-S3713</f>
        <v/>
      </c>
      <c r="B3713" s="80" t="n">
        <v>5303</v>
      </c>
      <c r="C3713" s="66" t="n">
        <v>46003</v>
      </c>
      <c r="D3713" s="2" t="n">
        <v>1</v>
      </c>
      <c r="E3713" s="3" t="inlineStr">
        <is>
          <t>FUCILE SEMIAUTOMATICO</t>
        </is>
      </c>
      <c r="F3713" s="3" t="inlineStr">
        <is>
          <t>12</t>
        </is>
      </c>
      <c r="G3713" s="84" t="inlineStr">
        <is>
          <t>BENELLI</t>
        </is>
      </c>
      <c r="H3713" s="107" t="inlineStr">
        <is>
          <t>M2 SPEED 24''</t>
        </is>
      </c>
      <c r="I3713" s="107" t="inlineStr">
        <is>
          <t>M0200258B</t>
        </is>
      </c>
      <c r="J3713" s="107" t="inlineStr">
        <is>
          <t>C1688709H</t>
        </is>
      </c>
      <c r="K3713" s="65" t="inlineStr">
        <is>
          <t>N/D</t>
        </is>
      </c>
      <c r="L3713" s="127" t="inlineStr">
        <is>
          <t>BENELLI ARMI SPA</t>
        </is>
      </c>
      <c r="M3713" s="5" t="n">
        <v>971</v>
      </c>
      <c r="N3713" s="5" t="n"/>
      <c r="O3713" s="5">
        <f>+M3713+N3713</f>
        <v/>
      </c>
      <c r="P3713" s="4" t="n">
        <v>46002</v>
      </c>
      <c r="Q3713" s="87" t="n">
        <v>46002</v>
      </c>
      <c r="R3713" s="5" t="n"/>
      <c r="S3713" s="2" t="n"/>
      <c r="T3713" s="3" t="n"/>
      <c r="U3713" s="87" t="n"/>
      <c r="V3713" s="3" t="n"/>
      <c r="W3713" s="108" t="n"/>
      <c r="X3713" s="4" t="n"/>
    </row>
    <row r="3714" ht="24" customHeight="1">
      <c r="A3714" s="2">
        <f>+D3714-S3714</f>
        <v/>
      </c>
      <c r="B3714" s="80" t="n">
        <v>5304</v>
      </c>
      <c r="C3714" s="66" t="n">
        <v>46003</v>
      </c>
      <c r="D3714" s="2" t="n">
        <v>1</v>
      </c>
      <c r="E3714" s="3" t="inlineStr">
        <is>
          <t>FUCILE SEMIAUTOMATICO</t>
        </is>
      </c>
      <c r="F3714" s="3" t="inlineStr">
        <is>
          <t>12</t>
        </is>
      </c>
      <c r="G3714" s="84" t="inlineStr">
        <is>
          <t>BENELLI</t>
        </is>
      </c>
      <c r="H3714" s="107" t="inlineStr">
        <is>
          <t>M2 SPEED 24''</t>
        </is>
      </c>
      <c r="I3714" s="107" t="inlineStr">
        <is>
          <t>M0200259C</t>
        </is>
      </c>
      <c r="J3714" s="107" t="inlineStr">
        <is>
          <t>C1688710A</t>
        </is>
      </c>
      <c r="K3714" s="65" t="inlineStr">
        <is>
          <t>N/D</t>
        </is>
      </c>
      <c r="L3714" s="127" t="inlineStr">
        <is>
          <t>BENELLI ARMI SPA</t>
        </is>
      </c>
      <c r="M3714" s="5" t="n">
        <v>971</v>
      </c>
      <c r="N3714" s="5" t="n"/>
      <c r="O3714" s="5">
        <f>+M3714+N3714</f>
        <v/>
      </c>
      <c r="P3714" s="4" t="n">
        <v>46002</v>
      </c>
      <c r="Q3714" s="87" t="n">
        <v>46002</v>
      </c>
      <c r="R3714" s="5" t="n"/>
      <c r="S3714" s="2" t="n"/>
      <c r="T3714" s="3" t="n"/>
      <c r="U3714" s="87" t="n"/>
      <c r="V3714" s="3" t="n"/>
      <c r="W3714" s="108" t="n"/>
      <c r="X3714" s="4" t="n"/>
    </row>
    <row r="3715" ht="24" customHeight="1">
      <c r="A3715" s="2">
        <f>+D3715-S3715</f>
        <v/>
      </c>
      <c r="B3715" s="80" t="n">
        <v>5305</v>
      </c>
      <c r="C3715" s="66" t="n">
        <v>46003</v>
      </c>
      <c r="D3715" s="2" t="n">
        <v>1</v>
      </c>
      <c r="E3715" s="3" t="inlineStr">
        <is>
          <t>FUCILE SEMIAUTOMATICO</t>
        </is>
      </c>
      <c r="F3715" s="3" t="inlineStr">
        <is>
          <t>12</t>
        </is>
      </c>
      <c r="G3715" s="84" t="inlineStr">
        <is>
          <t>BENELLI</t>
        </is>
      </c>
      <c r="H3715" s="107" t="inlineStr">
        <is>
          <t>M2 SPEED 24''</t>
        </is>
      </c>
      <c r="I3715" s="107" t="inlineStr">
        <is>
          <t>M0200264Z</t>
        </is>
      </c>
      <c r="J3715" s="107" t="inlineStr">
        <is>
          <t>C1688723F</t>
        </is>
      </c>
      <c r="K3715" s="65" t="inlineStr">
        <is>
          <t>N/D</t>
        </is>
      </c>
      <c r="L3715" s="127" t="inlineStr">
        <is>
          <t>BENELLI ARMI SPA</t>
        </is>
      </c>
      <c r="M3715" s="5" t="n">
        <v>971</v>
      </c>
      <c r="N3715" s="5" t="n"/>
      <c r="O3715" s="5">
        <f>+M3715+N3715</f>
        <v/>
      </c>
      <c r="P3715" s="4" t="n">
        <v>46002</v>
      </c>
      <c r="Q3715" s="87" t="n">
        <v>46002</v>
      </c>
      <c r="R3715" s="5" t="n"/>
      <c r="S3715" s="2" t="n"/>
      <c r="T3715" s="3" t="n"/>
      <c r="U3715" s="87" t="n"/>
      <c r="V3715" s="3" t="n"/>
      <c r="W3715" s="108" t="n"/>
      <c r="X3715" s="4" t="n"/>
    </row>
    <row r="3716" ht="24" customHeight="1">
      <c r="A3716" s="2">
        <f>+D3716-S3716</f>
        <v/>
      </c>
      <c r="B3716" s="80" t="n">
        <v>5306</v>
      </c>
      <c r="C3716" s="66" t="n">
        <v>46003</v>
      </c>
      <c r="D3716" s="2" t="n">
        <v>1</v>
      </c>
      <c r="E3716" s="3" t="inlineStr">
        <is>
          <t>FUCILE SEMIAUTOMATICO</t>
        </is>
      </c>
      <c r="F3716" s="3" t="inlineStr">
        <is>
          <t>12</t>
        </is>
      </c>
      <c r="G3716" s="84" t="inlineStr">
        <is>
          <t>BENELLI</t>
        </is>
      </c>
      <c r="H3716" s="107" t="inlineStr">
        <is>
          <t>M2 SPEED 24''</t>
        </is>
      </c>
      <c r="I3716" s="107" t="inlineStr">
        <is>
          <t>M0200265A</t>
        </is>
      </c>
      <c r="J3716" s="107" t="inlineStr">
        <is>
          <t>C1688721D</t>
        </is>
      </c>
      <c r="K3716" s="65" t="inlineStr">
        <is>
          <t>N/D</t>
        </is>
      </c>
      <c r="L3716" s="127" t="inlineStr">
        <is>
          <t>BENELLI ARMI SPA</t>
        </is>
      </c>
      <c r="M3716" s="5" t="n">
        <v>971</v>
      </c>
      <c r="N3716" s="5" t="n"/>
      <c r="O3716" s="5">
        <f>+M3716+N3716</f>
        <v/>
      </c>
      <c r="P3716" s="4" t="n">
        <v>46002</v>
      </c>
      <c r="Q3716" s="87" t="n">
        <v>46002</v>
      </c>
      <c r="R3716" s="5" t="n"/>
      <c r="S3716" s="2" t="n"/>
      <c r="T3716" s="3" t="n"/>
      <c r="U3716" s="87" t="n"/>
      <c r="V3716" s="3" t="n"/>
      <c r="W3716" s="108" t="n"/>
      <c r="X3716" s="4" t="n"/>
    </row>
    <row r="3717" ht="24" customHeight="1">
      <c r="A3717" s="2">
        <f>+D3717-S3717</f>
        <v/>
      </c>
      <c r="B3717" s="80" t="n">
        <v>5307</v>
      </c>
      <c r="C3717" s="66" t="n">
        <v>46003</v>
      </c>
      <c r="D3717" s="2" t="n">
        <v>1</v>
      </c>
      <c r="E3717" s="3" t="inlineStr">
        <is>
          <t>FUCILE SEMIAUTOMATICO</t>
        </is>
      </c>
      <c r="F3717" s="3" t="inlineStr">
        <is>
          <t>12</t>
        </is>
      </c>
      <c r="G3717" s="84" t="inlineStr">
        <is>
          <t>BENELLI</t>
        </is>
      </c>
      <c r="H3717" s="107" t="inlineStr">
        <is>
          <t>M2 SPEED 24''</t>
        </is>
      </c>
      <c r="I3717" s="107" t="inlineStr">
        <is>
          <t>M0200267C</t>
        </is>
      </c>
      <c r="J3717" s="107" t="inlineStr">
        <is>
          <t>C1688720C</t>
        </is>
      </c>
      <c r="K3717" s="65" t="inlineStr">
        <is>
          <t>N/D</t>
        </is>
      </c>
      <c r="L3717" s="127" t="inlineStr">
        <is>
          <t>BENELLI ARMI SPA</t>
        </is>
      </c>
      <c r="M3717" s="5" t="n">
        <v>971</v>
      </c>
      <c r="N3717" s="5" t="n"/>
      <c r="O3717" s="5">
        <f>+M3717+N3717</f>
        <v/>
      </c>
      <c r="P3717" s="4" t="n">
        <v>46002</v>
      </c>
      <c r="Q3717" s="87" t="n">
        <v>46002</v>
      </c>
      <c r="R3717" s="5" t="n"/>
      <c r="S3717" s="2" t="n"/>
      <c r="T3717" s="3" t="n"/>
      <c r="U3717" s="87" t="n"/>
      <c r="V3717" s="3" t="n"/>
      <c r="W3717" s="108" t="n"/>
      <c r="X3717" s="4" t="n"/>
    </row>
    <row r="3718" ht="24" customHeight="1">
      <c r="A3718" s="2">
        <f>+D3718-S3718</f>
        <v/>
      </c>
      <c r="B3718" s="80" t="n">
        <v>5308</v>
      </c>
      <c r="C3718" s="66" t="n">
        <v>46003</v>
      </c>
      <c r="D3718" s="2" t="n">
        <v>1</v>
      </c>
      <c r="E3718" s="3" t="inlineStr">
        <is>
          <t>FUCILE SEMIAUTOMATICO</t>
        </is>
      </c>
      <c r="F3718" s="3" t="inlineStr">
        <is>
          <t>12</t>
        </is>
      </c>
      <c r="G3718" s="84" t="inlineStr">
        <is>
          <t>BENELLI</t>
        </is>
      </c>
      <c r="H3718" s="107" t="inlineStr">
        <is>
          <t>M2 SPEED 24''</t>
        </is>
      </c>
      <c r="I3718" s="107" t="inlineStr">
        <is>
          <t>M0200268D</t>
        </is>
      </c>
      <c r="J3718" s="107" t="inlineStr">
        <is>
          <t>C1688719K</t>
        </is>
      </c>
      <c r="K3718" s="65" t="inlineStr">
        <is>
          <t>N/D</t>
        </is>
      </c>
      <c r="L3718" s="127" t="inlineStr">
        <is>
          <t>BENELLI ARMI SPA</t>
        </is>
      </c>
      <c r="M3718" s="5" t="n">
        <v>971</v>
      </c>
      <c r="N3718" s="5" t="n"/>
      <c r="O3718" s="5">
        <f>+M3718+N3718</f>
        <v/>
      </c>
      <c r="P3718" s="4" t="n">
        <v>46002</v>
      </c>
      <c r="Q3718" s="87" t="n">
        <v>46002</v>
      </c>
      <c r="R3718" s="5" t="n"/>
      <c r="S3718" s="2" t="n"/>
      <c r="T3718" s="3" t="n"/>
      <c r="U3718" s="87" t="n"/>
      <c r="V3718" s="3" t="n"/>
      <c r="W3718" s="108" t="n"/>
      <c r="X3718" s="4" t="n"/>
    </row>
    <row r="3719" ht="24" customHeight="1">
      <c r="A3719" s="2">
        <f>+D3719-S3719</f>
        <v/>
      </c>
      <c r="B3719" s="80" t="n">
        <v>5309</v>
      </c>
      <c r="C3719" s="66" t="n">
        <v>46003</v>
      </c>
      <c r="D3719" s="2" t="n">
        <v>1</v>
      </c>
      <c r="E3719" s="3" t="inlineStr">
        <is>
          <t>FUCILE SEMIAUTOMATICO</t>
        </is>
      </c>
      <c r="F3719" s="3" t="inlineStr">
        <is>
          <t>12</t>
        </is>
      </c>
      <c r="G3719" s="84" t="inlineStr">
        <is>
          <t>BENELLI</t>
        </is>
      </c>
      <c r="H3719" s="107" t="inlineStr">
        <is>
          <t>M2 SPEED 24''</t>
        </is>
      </c>
      <c r="I3719" s="107" t="inlineStr">
        <is>
          <t>M0200269E</t>
        </is>
      </c>
      <c r="J3719" s="107" t="inlineStr">
        <is>
          <t>C1688718J</t>
        </is>
      </c>
      <c r="K3719" s="65" t="inlineStr">
        <is>
          <t>N/D</t>
        </is>
      </c>
      <c r="L3719" s="127" t="inlineStr">
        <is>
          <t>BENELLI ARMI SPA</t>
        </is>
      </c>
      <c r="M3719" s="5" t="n">
        <v>971</v>
      </c>
      <c r="N3719" s="5" t="n"/>
      <c r="O3719" s="5">
        <f>+M3719+N3719</f>
        <v/>
      </c>
      <c r="P3719" s="4" t="n">
        <v>46002</v>
      </c>
      <c r="Q3719" s="87" t="n">
        <v>46002</v>
      </c>
      <c r="R3719" s="5" t="n"/>
      <c r="S3719" s="2" t="n"/>
      <c r="T3719" s="3" t="n"/>
      <c r="U3719" s="87" t="n"/>
      <c r="V3719" s="3" t="n"/>
      <c r="W3719" s="108" t="n"/>
      <c r="X3719" s="4" t="n"/>
    </row>
    <row r="3720" ht="24" customHeight="1">
      <c r="A3720" s="2">
        <f>+D3720-S3720</f>
        <v/>
      </c>
      <c r="B3720" s="80" t="n">
        <v>5310</v>
      </c>
      <c r="C3720" s="66" t="n">
        <v>46003</v>
      </c>
      <c r="D3720" s="2" t="n">
        <v>1</v>
      </c>
      <c r="E3720" s="3" t="inlineStr">
        <is>
          <t>FUCILE SEMIAUTOMATICO</t>
        </is>
      </c>
      <c r="F3720" s="3" t="inlineStr">
        <is>
          <t>12</t>
        </is>
      </c>
      <c r="G3720" s="84" t="inlineStr">
        <is>
          <t>BENELLI</t>
        </is>
      </c>
      <c r="H3720" s="107" t="inlineStr">
        <is>
          <t>M2 SPEED 24''</t>
        </is>
      </c>
      <c r="I3720" s="107" t="inlineStr">
        <is>
          <t>M0199669L</t>
        </is>
      </c>
      <c r="J3720" s="107" t="inlineStr">
        <is>
          <t>C1687351E</t>
        </is>
      </c>
      <c r="K3720" s="65" t="inlineStr">
        <is>
          <t>N/D</t>
        </is>
      </c>
      <c r="L3720" s="127" t="inlineStr">
        <is>
          <t>BENELLI ARMI SPA</t>
        </is>
      </c>
      <c r="M3720" s="5" t="n">
        <v>971</v>
      </c>
      <c r="N3720" s="5" t="n"/>
      <c r="O3720" s="5">
        <f>+M3720+N3720</f>
        <v/>
      </c>
      <c r="P3720" s="4" t="n">
        <v>46002</v>
      </c>
      <c r="Q3720" s="87" t="n">
        <v>46002</v>
      </c>
      <c r="R3720" s="5" t="n"/>
      <c r="S3720" s="2" t="n"/>
      <c r="T3720" s="3" t="n"/>
      <c r="U3720" s="87" t="n"/>
      <c r="V3720" s="3" t="n"/>
      <c r="W3720" s="108" t="n"/>
      <c r="X3720" s="4" t="n"/>
    </row>
    <row r="3721" ht="24" customHeight="1">
      <c r="A3721" s="2">
        <f>+D3721-S3721</f>
        <v/>
      </c>
      <c r="B3721" s="80" t="n">
        <v>5311</v>
      </c>
      <c r="C3721" s="66" t="n">
        <v>46003</v>
      </c>
      <c r="D3721" s="2" t="n">
        <v>1</v>
      </c>
      <c r="E3721" s="3" t="inlineStr">
        <is>
          <t>FUCILE SEMIAUTOMATICO</t>
        </is>
      </c>
      <c r="F3721" s="3" t="inlineStr">
        <is>
          <t>12</t>
        </is>
      </c>
      <c r="G3721" s="84" t="inlineStr">
        <is>
          <t>BENELLI</t>
        </is>
      </c>
      <c r="H3721" s="107" t="inlineStr">
        <is>
          <t>M2 SPEED 24''</t>
        </is>
      </c>
      <c r="I3721" s="107" t="inlineStr">
        <is>
          <t>M0199677L</t>
        </is>
      </c>
      <c r="J3721" s="107" t="inlineStr">
        <is>
          <t>C1687359N</t>
        </is>
      </c>
      <c r="K3721" s="65" t="inlineStr">
        <is>
          <t>N/D</t>
        </is>
      </c>
      <c r="L3721" s="127" t="inlineStr">
        <is>
          <t>BENELLI ARMI SPA</t>
        </is>
      </c>
      <c r="M3721" s="5" t="n">
        <v>971</v>
      </c>
      <c r="N3721" s="5" t="n"/>
      <c r="O3721" s="5">
        <f>+M3721+N3721</f>
        <v/>
      </c>
      <c r="P3721" s="4" t="n">
        <v>46002</v>
      </c>
      <c r="Q3721" s="87" t="n">
        <v>46002</v>
      </c>
      <c r="R3721" s="5" t="n"/>
      <c r="S3721" s="2" t="n"/>
      <c r="T3721" s="3" t="n"/>
      <c r="U3721" s="87" t="n"/>
      <c r="V3721" s="3" t="n"/>
      <c r="W3721" s="108" t="n"/>
      <c r="X3721" s="4" t="n"/>
    </row>
    <row r="3722" ht="24" customHeight="1">
      <c r="A3722" s="2">
        <f>+D3722-S3722</f>
        <v/>
      </c>
      <c r="B3722" s="80" t="n">
        <v>5312</v>
      </c>
      <c r="C3722" s="66" t="n">
        <v>46003</v>
      </c>
      <c r="D3722" s="2" t="n">
        <v>1</v>
      </c>
      <c r="E3722" s="3" t="inlineStr">
        <is>
          <t>FUCILE SEMIAUTOMATICO</t>
        </is>
      </c>
      <c r="F3722" s="3" t="inlineStr">
        <is>
          <t>12</t>
        </is>
      </c>
      <c r="G3722" s="84" t="inlineStr">
        <is>
          <t>BENELLI</t>
        </is>
      </c>
      <c r="H3722" s="107" t="inlineStr">
        <is>
          <t>M2 SPEED 24''</t>
        </is>
      </c>
      <c r="I3722" s="107" t="inlineStr">
        <is>
          <t>M0199678M</t>
        </is>
      </c>
      <c r="J3722" s="107" t="inlineStr">
        <is>
          <t>C1687360F</t>
        </is>
      </c>
      <c r="K3722" s="65" t="inlineStr">
        <is>
          <t>N/D</t>
        </is>
      </c>
      <c r="L3722" s="127" t="inlineStr">
        <is>
          <t>BENELLI ARMI SPA</t>
        </is>
      </c>
      <c r="M3722" s="5" t="n">
        <v>971</v>
      </c>
      <c r="N3722" s="5" t="n"/>
      <c r="O3722" s="5">
        <f>+M3722+N3722</f>
        <v/>
      </c>
      <c r="P3722" s="4" t="n">
        <v>46002</v>
      </c>
      <c r="Q3722" s="87" t="n">
        <v>46002</v>
      </c>
      <c r="R3722" s="5" t="n"/>
      <c r="S3722" s="2" t="n"/>
      <c r="T3722" s="3" t="n"/>
      <c r="U3722" s="87" t="n"/>
      <c r="V3722" s="3" t="n"/>
      <c r="W3722" s="108" t="n"/>
      <c r="X3722" s="4" t="n"/>
    </row>
    <row r="3723" ht="24" customHeight="1">
      <c r="A3723" s="2">
        <f>+D3723-S3723</f>
        <v/>
      </c>
      <c r="B3723" s="80" t="n">
        <v>5313</v>
      </c>
      <c r="C3723" s="66" t="n">
        <v>46003</v>
      </c>
      <c r="D3723" s="2" t="n">
        <v>1</v>
      </c>
      <c r="E3723" s="3" t="inlineStr">
        <is>
          <t>FUCILE SEMIAUTOMATICO</t>
        </is>
      </c>
      <c r="F3723" s="3" t="inlineStr">
        <is>
          <t>12</t>
        </is>
      </c>
      <c r="G3723" s="84" t="inlineStr">
        <is>
          <t>BENELLI</t>
        </is>
      </c>
      <c r="H3723" s="107" t="inlineStr">
        <is>
          <t>M2 SPEED 24''</t>
        </is>
      </c>
      <c r="I3723" s="107" t="inlineStr">
        <is>
          <t>M0199680F</t>
        </is>
      </c>
      <c r="J3723" s="107" t="inlineStr">
        <is>
          <t>C1687362H</t>
        </is>
      </c>
      <c r="K3723" s="65" t="inlineStr">
        <is>
          <t>N/D</t>
        </is>
      </c>
      <c r="L3723" s="127" t="inlineStr">
        <is>
          <t>BENELLI ARMI SPA</t>
        </is>
      </c>
      <c r="M3723" s="5" t="n">
        <v>971</v>
      </c>
      <c r="N3723" s="5" t="n"/>
      <c r="O3723" s="5">
        <f>+M3723+N3723</f>
        <v/>
      </c>
      <c r="P3723" s="4" t="n">
        <v>46002</v>
      </c>
      <c r="Q3723" s="87" t="n">
        <v>46002</v>
      </c>
      <c r="R3723" s="5" t="n"/>
      <c r="S3723" s="2" t="n"/>
      <c r="T3723" s="3" t="n"/>
      <c r="U3723" s="87" t="n"/>
      <c r="V3723" s="3" t="n"/>
      <c r="W3723" s="108" t="n"/>
      <c r="X3723" s="4" t="n"/>
    </row>
    <row r="3724" ht="24" customHeight="1">
      <c r="A3724" s="2">
        <f>+D3724-S3724</f>
        <v/>
      </c>
      <c r="B3724" s="80" t="n">
        <v>5314</v>
      </c>
      <c r="C3724" s="66" t="n">
        <v>46003</v>
      </c>
      <c r="D3724" s="2" t="n">
        <v>1</v>
      </c>
      <c r="E3724" s="3" t="inlineStr">
        <is>
          <t>FUCILE SEMIAUTOMATICO</t>
        </is>
      </c>
      <c r="F3724" s="3" t="inlineStr">
        <is>
          <t>12</t>
        </is>
      </c>
      <c r="G3724" s="84" t="inlineStr">
        <is>
          <t>BENELLI</t>
        </is>
      </c>
      <c r="H3724" s="107" t="inlineStr">
        <is>
          <t>M2 SPEED 24''</t>
        </is>
      </c>
      <c r="I3724" s="107" t="inlineStr">
        <is>
          <t>M0199681G</t>
        </is>
      </c>
      <c r="J3724" s="107" t="inlineStr">
        <is>
          <t>C1687363J</t>
        </is>
      </c>
      <c r="K3724" s="65" t="inlineStr">
        <is>
          <t>N/D</t>
        </is>
      </c>
      <c r="L3724" s="127" t="inlineStr">
        <is>
          <t>BENELLI ARMI SPA</t>
        </is>
      </c>
      <c r="M3724" s="5" t="n">
        <v>971</v>
      </c>
      <c r="N3724" s="5" t="n"/>
      <c r="O3724" s="5">
        <f>+M3724+N3724</f>
        <v/>
      </c>
      <c r="P3724" s="4" t="n">
        <v>46002</v>
      </c>
      <c r="Q3724" s="87" t="n">
        <v>46002</v>
      </c>
      <c r="R3724" s="5" t="n"/>
      <c r="S3724" s="2" t="n"/>
      <c r="T3724" s="3" t="n"/>
      <c r="U3724" s="87" t="n"/>
      <c r="V3724" s="3" t="n"/>
      <c r="W3724" s="108" t="n"/>
      <c r="X3724" s="4" t="n"/>
    </row>
    <row r="3725" ht="24" customHeight="1">
      <c r="A3725" s="2">
        <f>+D3725-S3725</f>
        <v/>
      </c>
      <c r="B3725" s="80" t="n">
        <v>5315</v>
      </c>
      <c r="C3725" s="66" t="n">
        <v>46003</v>
      </c>
      <c r="D3725" s="2" t="n">
        <v>1</v>
      </c>
      <c r="E3725" s="3" t="inlineStr">
        <is>
          <t>FUCILE SEMIAUTOMATICO</t>
        </is>
      </c>
      <c r="F3725" s="3" t="inlineStr">
        <is>
          <t>12</t>
        </is>
      </c>
      <c r="G3725" s="84" t="inlineStr">
        <is>
          <t>BENELLI</t>
        </is>
      </c>
      <c r="H3725" s="107" t="inlineStr">
        <is>
          <t>M2 SPEED 24''</t>
        </is>
      </c>
      <c r="I3725" s="107" t="inlineStr">
        <is>
          <t>M0200285E</t>
        </is>
      </c>
      <c r="J3725" s="107" t="inlineStr">
        <is>
          <t>C1688728L</t>
        </is>
      </c>
      <c r="K3725" s="65" t="inlineStr">
        <is>
          <t>N/D</t>
        </is>
      </c>
      <c r="L3725" s="127" t="inlineStr">
        <is>
          <t>BENELLI ARMI SPA</t>
        </is>
      </c>
      <c r="M3725" s="5" t="n">
        <v>971</v>
      </c>
      <c r="N3725" s="5" t="n"/>
      <c r="O3725" s="5">
        <f>+M3725+N3725</f>
        <v/>
      </c>
      <c r="P3725" s="4" t="n">
        <v>46002</v>
      </c>
      <c r="Q3725" s="87" t="n">
        <v>46002</v>
      </c>
      <c r="R3725" s="5" t="n"/>
      <c r="S3725" s="2" t="n"/>
      <c r="T3725" s="3" t="n"/>
      <c r="U3725" s="87" t="n"/>
      <c r="V3725" s="3" t="n"/>
      <c r="W3725" s="108" t="n"/>
      <c r="X3725" s="4" t="n"/>
    </row>
    <row r="3726" ht="24" customHeight="1">
      <c r="A3726" s="2">
        <f>+D3726-S3726</f>
        <v/>
      </c>
      <c r="B3726" s="80" t="n">
        <v>5316</v>
      </c>
      <c r="C3726" s="66" t="n">
        <v>46003</v>
      </c>
      <c r="D3726" s="2" t="n">
        <v>1</v>
      </c>
      <c r="E3726" s="3" t="inlineStr">
        <is>
          <t>FUCILE SEMIAUTOMATICO</t>
        </is>
      </c>
      <c r="F3726" s="3" t="inlineStr">
        <is>
          <t>12</t>
        </is>
      </c>
      <c r="G3726" s="84" t="inlineStr">
        <is>
          <t>BENELLI</t>
        </is>
      </c>
      <c r="H3726" s="107" t="inlineStr">
        <is>
          <t>M2 SPEED 24''</t>
        </is>
      </c>
      <c r="I3726" s="107" t="inlineStr">
        <is>
          <t>M0200279G</t>
        </is>
      </c>
      <c r="J3726" s="107" t="inlineStr">
        <is>
          <t>C1688735K</t>
        </is>
      </c>
      <c r="K3726" s="65" t="inlineStr">
        <is>
          <t>N/D</t>
        </is>
      </c>
      <c r="L3726" s="127" t="inlineStr">
        <is>
          <t>BENELLI ARMI SPA</t>
        </is>
      </c>
      <c r="M3726" s="5" t="n">
        <v>971</v>
      </c>
      <c r="N3726" s="5" t="n"/>
      <c r="O3726" s="5">
        <f>+M3726+N3726</f>
        <v/>
      </c>
      <c r="P3726" s="4" t="n">
        <v>46002</v>
      </c>
      <c r="Q3726" s="87" t="n">
        <v>46002</v>
      </c>
      <c r="R3726" s="5" t="n"/>
      <c r="S3726" s="2" t="n"/>
      <c r="T3726" s="3" t="n"/>
      <c r="U3726" s="87" t="n"/>
      <c r="V3726" s="3" t="n"/>
      <c r="W3726" s="108" t="n"/>
      <c r="X3726" s="4" t="n"/>
    </row>
    <row r="3727" ht="24" customHeight="1">
      <c r="A3727" s="2">
        <f>+D3727-S3727</f>
        <v/>
      </c>
      <c r="B3727" s="80" t="n">
        <v>5317</v>
      </c>
      <c r="C3727" s="66" t="n">
        <v>46003</v>
      </c>
      <c r="D3727" s="2" t="n">
        <v>1</v>
      </c>
      <c r="E3727" s="3" t="inlineStr">
        <is>
          <t>FUCILE SEMIAUTOMATICO</t>
        </is>
      </c>
      <c r="F3727" s="3" t="inlineStr">
        <is>
          <t>12</t>
        </is>
      </c>
      <c r="G3727" s="84" t="inlineStr">
        <is>
          <t>BENELLI</t>
        </is>
      </c>
      <c r="H3727" s="107" t="inlineStr">
        <is>
          <t>M2 SPEED 24''</t>
        </is>
      </c>
      <c r="I3727" s="107" t="inlineStr">
        <is>
          <t>M0200286F</t>
        </is>
      </c>
      <c r="J3727" s="107" t="inlineStr">
        <is>
          <t>C1688724G</t>
        </is>
      </c>
      <c r="K3727" s="65" t="inlineStr">
        <is>
          <t>N/D</t>
        </is>
      </c>
      <c r="L3727" s="127" t="inlineStr">
        <is>
          <t>BENELLI ARMI SPA</t>
        </is>
      </c>
      <c r="M3727" s="5" t="n">
        <v>971</v>
      </c>
      <c r="N3727" s="5" t="n"/>
      <c r="O3727" s="5">
        <f>+M3727+N3727</f>
        <v/>
      </c>
      <c r="P3727" s="4" t="n">
        <v>46002</v>
      </c>
      <c r="Q3727" s="87" t="n">
        <v>46002</v>
      </c>
      <c r="R3727" s="5" t="n"/>
      <c r="S3727" s="2" t="n"/>
      <c r="T3727" s="3" t="n"/>
      <c r="U3727" s="87" t="n"/>
      <c r="V3727" s="3" t="n"/>
      <c r="W3727" s="108" t="n"/>
      <c r="X3727" s="4" t="n"/>
    </row>
    <row r="3728" ht="24" customHeight="1">
      <c r="A3728" s="2">
        <f>+D3728-S3728</f>
        <v/>
      </c>
      <c r="B3728" s="80" t="n">
        <v>5318</v>
      </c>
      <c r="C3728" s="66" t="n">
        <v>46003</v>
      </c>
      <c r="D3728" s="2" t="n">
        <v>1</v>
      </c>
      <c r="E3728" s="3" t="inlineStr">
        <is>
          <t>FUCILE SEMIAUTOMATICO</t>
        </is>
      </c>
      <c r="F3728" s="3" t="inlineStr">
        <is>
          <t>12</t>
        </is>
      </c>
      <c r="G3728" s="84" t="inlineStr">
        <is>
          <t>BENELLI</t>
        </is>
      </c>
      <c r="H3728" s="107" t="inlineStr">
        <is>
          <t>M2 SPEED 24''</t>
        </is>
      </c>
      <c r="I3728" s="107" t="inlineStr">
        <is>
          <t>M0200284D</t>
        </is>
      </c>
      <c r="J3728" s="107" t="inlineStr">
        <is>
          <t>C1688726J</t>
        </is>
      </c>
      <c r="K3728" s="65" t="inlineStr">
        <is>
          <t>N/D</t>
        </is>
      </c>
      <c r="L3728" s="127" t="inlineStr">
        <is>
          <t>BENELLI ARMI SPA</t>
        </is>
      </c>
      <c r="M3728" s="5" t="n">
        <v>971</v>
      </c>
      <c r="N3728" s="5" t="n"/>
      <c r="O3728" s="5">
        <f>+M3728+N3728</f>
        <v/>
      </c>
      <c r="P3728" s="4" t="n">
        <v>46002</v>
      </c>
      <c r="Q3728" s="87" t="n">
        <v>46002</v>
      </c>
      <c r="R3728" s="5" t="n"/>
      <c r="S3728" s="2" t="n"/>
      <c r="T3728" s="3" t="n"/>
      <c r="U3728" s="87" t="n"/>
      <c r="V3728" s="3" t="n"/>
      <c r="W3728" s="108" t="n"/>
      <c r="X3728" s="4" t="n"/>
    </row>
    <row r="3729" ht="24" customHeight="1">
      <c r="A3729" s="2">
        <f>+D3729-S3729</f>
        <v/>
      </c>
      <c r="B3729" s="80" t="n">
        <v>5319</v>
      </c>
      <c r="C3729" s="66" t="n">
        <v>46003</v>
      </c>
      <c r="D3729" s="2" t="n">
        <v>1</v>
      </c>
      <c r="E3729" s="3" t="inlineStr">
        <is>
          <t>FUCILE SEMIAUTOMATICO</t>
        </is>
      </c>
      <c r="F3729" s="3" t="inlineStr">
        <is>
          <t>12</t>
        </is>
      </c>
      <c r="G3729" s="84" t="inlineStr">
        <is>
          <t>BENELLI</t>
        </is>
      </c>
      <c r="H3729" s="107" t="inlineStr">
        <is>
          <t>M2 SPEED 24''</t>
        </is>
      </c>
      <c r="I3729" s="107" t="inlineStr">
        <is>
          <t>M0200282B</t>
        </is>
      </c>
      <c r="J3729" s="107" t="inlineStr">
        <is>
          <t>C1688727K</t>
        </is>
      </c>
      <c r="K3729" s="65" t="inlineStr">
        <is>
          <t>N/D</t>
        </is>
      </c>
      <c r="L3729" s="127" t="inlineStr">
        <is>
          <t>BENELLI ARMI SPA</t>
        </is>
      </c>
      <c r="M3729" s="5" t="n">
        <v>971</v>
      </c>
      <c r="N3729" s="5" t="n"/>
      <c r="O3729" s="5">
        <f>+M3729+N3729</f>
        <v/>
      </c>
      <c r="P3729" s="4" t="n">
        <v>46002</v>
      </c>
      <c r="Q3729" s="87" t="n">
        <v>46002</v>
      </c>
      <c r="R3729" s="5" t="n"/>
      <c r="S3729" s="2" t="n"/>
      <c r="T3729" s="3" t="n"/>
      <c r="U3729" s="87" t="n"/>
      <c r="V3729" s="3" t="n"/>
      <c r="W3729" s="108" t="n"/>
      <c r="X3729" s="4" t="n"/>
    </row>
    <row r="3730" ht="24" customHeight="1">
      <c r="A3730" s="2">
        <f>+D3730-S3730</f>
        <v/>
      </c>
      <c r="B3730" s="80" t="n">
        <v>5320</v>
      </c>
      <c r="C3730" s="66" t="n">
        <v>46003</v>
      </c>
      <c r="D3730" s="2" t="n">
        <v>1</v>
      </c>
      <c r="E3730" s="3" t="inlineStr">
        <is>
          <t>FUCILE SEMIAUTOMATICO</t>
        </is>
      </c>
      <c r="F3730" s="3" t="inlineStr">
        <is>
          <t>12</t>
        </is>
      </c>
      <c r="G3730" s="84" t="inlineStr">
        <is>
          <t>BENELLI</t>
        </is>
      </c>
      <c r="H3730" s="107" t="inlineStr">
        <is>
          <t>M2 SPEED 24''</t>
        </is>
      </c>
      <c r="I3730" s="107" t="inlineStr">
        <is>
          <t>M0200276D</t>
        </is>
      </c>
      <c r="J3730" s="107" t="inlineStr">
        <is>
          <t>C1688737M</t>
        </is>
      </c>
      <c r="K3730" s="65" t="inlineStr">
        <is>
          <t>N/D</t>
        </is>
      </c>
      <c r="L3730" s="127" t="inlineStr">
        <is>
          <t>BENELLI ARMI SPA</t>
        </is>
      </c>
      <c r="M3730" s="5" t="n">
        <v>971</v>
      </c>
      <c r="N3730" s="5" t="n"/>
      <c r="O3730" s="5">
        <f>+M3730+N3730</f>
        <v/>
      </c>
      <c r="P3730" s="4" t="n">
        <v>46002</v>
      </c>
      <c r="Q3730" s="87" t="n">
        <v>46002</v>
      </c>
      <c r="R3730" s="5" t="n"/>
      <c r="S3730" s="2" t="n"/>
      <c r="T3730" s="3" t="n"/>
      <c r="U3730" s="87" t="n"/>
      <c r="V3730" s="3" t="n"/>
      <c r="W3730" s="108" t="n"/>
      <c r="X3730" s="4" t="n"/>
    </row>
    <row r="3731" ht="24" customHeight="1">
      <c r="A3731" s="2">
        <f>+D3731-S3731</f>
        <v/>
      </c>
      <c r="B3731" s="80" t="n">
        <v>5321</v>
      </c>
      <c r="C3731" s="66" t="n">
        <v>46003</v>
      </c>
      <c r="D3731" s="2" t="n">
        <v>1</v>
      </c>
      <c r="E3731" s="3" t="inlineStr">
        <is>
          <t>FUCILE SEMIAUTOMATICO</t>
        </is>
      </c>
      <c r="F3731" s="3" t="inlineStr">
        <is>
          <t>12</t>
        </is>
      </c>
      <c r="G3731" s="84" t="inlineStr">
        <is>
          <t>BENELLI</t>
        </is>
      </c>
      <c r="H3731" s="107" t="inlineStr">
        <is>
          <t>M2 SPEED 24''</t>
        </is>
      </c>
      <c r="I3731" s="107" t="inlineStr">
        <is>
          <t>M0200273A</t>
        </is>
      </c>
      <c r="J3731" s="107" t="inlineStr">
        <is>
          <t>C1688733H</t>
        </is>
      </c>
      <c r="K3731" s="65" t="inlineStr">
        <is>
          <t>N/D</t>
        </is>
      </c>
      <c r="L3731" s="127" t="inlineStr">
        <is>
          <t>BENELLI ARMI SPA</t>
        </is>
      </c>
      <c r="M3731" s="5" t="n">
        <v>971</v>
      </c>
      <c r="N3731" s="5" t="n"/>
      <c r="O3731" s="5">
        <f>+M3731+N3731</f>
        <v/>
      </c>
      <c r="P3731" s="4" t="n">
        <v>46002</v>
      </c>
      <c r="Q3731" s="87" t="n">
        <v>46002</v>
      </c>
      <c r="R3731" s="5" t="n"/>
      <c r="S3731" s="2" t="n"/>
      <c r="T3731" s="3" t="n"/>
      <c r="U3731" s="87" t="n"/>
      <c r="V3731" s="3" t="n"/>
      <c r="W3731" s="108" t="n"/>
      <c r="X3731" s="4" t="n"/>
    </row>
    <row r="3732" ht="24" customHeight="1">
      <c r="A3732" s="2">
        <f>+D3732-S3732</f>
        <v/>
      </c>
      <c r="B3732" s="80" t="n">
        <v>5322</v>
      </c>
      <c r="C3732" s="66" t="n">
        <v>46003</v>
      </c>
      <c r="D3732" s="2" t="n">
        <v>1</v>
      </c>
      <c r="E3732" s="3" t="inlineStr">
        <is>
          <t>FUCILE SEMIAUTOMATICO</t>
        </is>
      </c>
      <c r="F3732" s="3" t="inlineStr">
        <is>
          <t>12</t>
        </is>
      </c>
      <c r="G3732" s="84" t="inlineStr">
        <is>
          <t>BENELLI</t>
        </is>
      </c>
      <c r="H3732" s="107" t="inlineStr">
        <is>
          <t>M2 SPEED 24''</t>
        </is>
      </c>
      <c r="I3732" s="107" t="inlineStr">
        <is>
          <t>M0200278F</t>
        </is>
      </c>
      <c r="J3732" s="107" t="inlineStr">
        <is>
          <t>C1688730E</t>
        </is>
      </c>
      <c r="K3732" s="65" t="inlineStr">
        <is>
          <t>N/D</t>
        </is>
      </c>
      <c r="L3732" s="127" t="inlineStr">
        <is>
          <t>BENELLI ARMI SPA</t>
        </is>
      </c>
      <c r="M3732" s="5" t="n">
        <v>971</v>
      </c>
      <c r="N3732" s="5" t="n"/>
      <c r="O3732" s="5">
        <f>+M3732+N3732</f>
        <v/>
      </c>
      <c r="P3732" s="4" t="n">
        <v>46002</v>
      </c>
      <c r="Q3732" s="87" t="n">
        <v>46002</v>
      </c>
      <c r="R3732" s="5" t="n"/>
      <c r="S3732" s="2" t="n"/>
      <c r="T3732" s="3" t="n"/>
      <c r="U3732" s="87" t="n"/>
      <c r="V3732" s="3" t="n"/>
      <c r="W3732" s="108" t="n"/>
      <c r="X3732" s="4" t="n"/>
    </row>
    <row r="3733" ht="24" customHeight="1">
      <c r="A3733" s="2">
        <f>+D3733-S3733</f>
        <v/>
      </c>
      <c r="B3733" s="80" t="n">
        <v>5323</v>
      </c>
      <c r="C3733" s="66" t="n">
        <v>46003</v>
      </c>
      <c r="D3733" s="2" t="n">
        <v>1</v>
      </c>
      <c r="E3733" s="3" t="inlineStr">
        <is>
          <t>FUCILE SEMIAUTOMATICO</t>
        </is>
      </c>
      <c r="F3733" s="3" t="inlineStr">
        <is>
          <t>12</t>
        </is>
      </c>
      <c r="G3733" s="84" t="inlineStr">
        <is>
          <t>BENELLI</t>
        </is>
      </c>
      <c r="H3733" s="107" t="inlineStr">
        <is>
          <t>M2 SPEED 24''</t>
        </is>
      </c>
      <c r="I3733" s="107" t="inlineStr">
        <is>
          <t>M0200283C</t>
        </is>
      </c>
      <c r="J3733" s="107" t="inlineStr">
        <is>
          <t>C1688731F</t>
        </is>
      </c>
      <c r="K3733" s="65" t="inlineStr">
        <is>
          <t>N/D</t>
        </is>
      </c>
      <c r="L3733" s="127" t="inlineStr">
        <is>
          <t>BENELLI ARMI SPA</t>
        </is>
      </c>
      <c r="M3733" s="5" t="n">
        <v>971</v>
      </c>
      <c r="N3733" s="5" t="n"/>
      <c r="O3733" s="5">
        <f>+M3733+N3733</f>
        <v/>
      </c>
      <c r="P3733" s="4" t="n">
        <v>46002</v>
      </c>
      <c r="Q3733" s="87" t="n">
        <v>46002</v>
      </c>
      <c r="R3733" s="5" t="n"/>
      <c r="S3733" s="2" t="n"/>
      <c r="T3733" s="3" t="n"/>
      <c r="U3733" s="87" t="n"/>
      <c r="V3733" s="3" t="n"/>
      <c r="W3733" s="108" t="n"/>
      <c r="X3733" s="4" t="n"/>
    </row>
    <row r="3734" ht="24" customHeight="1">
      <c r="A3734" s="2">
        <f>+D3734-S3734</f>
        <v/>
      </c>
      <c r="B3734" s="80" t="n">
        <v>5324</v>
      </c>
      <c r="C3734" s="66" t="n">
        <v>46003</v>
      </c>
      <c r="D3734" s="2" t="n">
        <v>1</v>
      </c>
      <c r="E3734" s="3" t="inlineStr">
        <is>
          <t>FUCILE SEMIAUTOMATICO</t>
        </is>
      </c>
      <c r="F3734" s="3" t="inlineStr">
        <is>
          <t>12</t>
        </is>
      </c>
      <c r="G3734" s="84" t="inlineStr">
        <is>
          <t>BENELLI</t>
        </is>
      </c>
      <c r="H3734" s="107" t="inlineStr">
        <is>
          <t>M2 SPEED 24''</t>
        </is>
      </c>
      <c r="I3734" s="107" t="inlineStr">
        <is>
          <t>M0200281A</t>
        </is>
      </c>
      <c r="J3734" s="107" t="inlineStr">
        <is>
          <t>C1688725H</t>
        </is>
      </c>
      <c r="K3734" s="65" t="inlineStr">
        <is>
          <t>N/D</t>
        </is>
      </c>
      <c r="L3734" s="127" t="inlineStr">
        <is>
          <t>BENELLI ARMI SPA</t>
        </is>
      </c>
      <c r="M3734" s="5" t="n">
        <v>971</v>
      </c>
      <c r="N3734" s="5" t="n"/>
      <c r="O3734" s="5">
        <f>+M3734+N3734</f>
        <v/>
      </c>
      <c r="P3734" s="4" t="n">
        <v>46002</v>
      </c>
      <c r="Q3734" s="87" t="n">
        <v>46002</v>
      </c>
      <c r="R3734" s="5" t="n"/>
      <c r="S3734" s="2" t="n"/>
      <c r="T3734" s="3" t="n"/>
      <c r="U3734" s="87" t="n"/>
      <c r="V3734" s="3" t="n"/>
      <c r="W3734" s="108" t="n"/>
      <c r="X3734" s="4" t="n"/>
    </row>
    <row r="3735" ht="24" customHeight="1">
      <c r="A3735" s="2">
        <f>+D3735-S3735</f>
        <v/>
      </c>
      <c r="B3735" s="80" t="n">
        <v>5325</v>
      </c>
      <c r="C3735" s="66" t="n">
        <v>46003</v>
      </c>
      <c r="D3735" s="2" t="n">
        <v>1</v>
      </c>
      <c r="E3735" s="3" t="inlineStr">
        <is>
          <t>CARABINA</t>
        </is>
      </c>
      <c r="F3735" s="3" t="inlineStr">
        <is>
          <t>223 REM</t>
        </is>
      </c>
      <c r="G3735" s="84" t="inlineStr">
        <is>
          <t>FRANCHI</t>
        </is>
      </c>
      <c r="H3735" s="107" t="inlineStr">
        <is>
          <t>HORIZON VARMINT BRONZE 24''</t>
        </is>
      </c>
      <c r="I3735" s="107" t="inlineStr">
        <is>
          <t>FB092987R</t>
        </is>
      </c>
      <c r="J3735" s="65" t="inlineStr">
        <is>
          <t>N/D</t>
        </is>
      </c>
      <c r="K3735" s="65" t="inlineStr">
        <is>
          <t>N/D</t>
        </is>
      </c>
      <c r="L3735" s="127" t="inlineStr">
        <is>
          <t>BENELLI ARMI SPA</t>
        </is>
      </c>
      <c r="M3735" s="5" t="n">
        <v>638</v>
      </c>
      <c r="N3735" s="5" t="n"/>
      <c r="O3735" s="5">
        <f>+M3735+N3735</f>
        <v/>
      </c>
      <c r="P3735" s="4" t="n">
        <v>46002</v>
      </c>
      <c r="Q3735" s="87" t="n">
        <v>46002</v>
      </c>
      <c r="R3735" s="5" t="n"/>
      <c r="S3735" s="2" t="n"/>
      <c r="T3735" s="3" t="n"/>
      <c r="U3735" s="87" t="n"/>
      <c r="V3735" s="3" t="n"/>
      <c r="W3735" s="108" t="n"/>
      <c r="X3735" s="4" t="n"/>
    </row>
    <row r="3736" ht="24" customHeight="1">
      <c r="A3736" s="2">
        <f>+D3736-S3736</f>
        <v/>
      </c>
      <c r="B3736" s="80" t="n">
        <v>5326</v>
      </c>
      <c r="C3736" s="66" t="n">
        <v>46003</v>
      </c>
      <c r="D3736" s="2" t="n">
        <v>1</v>
      </c>
      <c r="E3736" s="3" t="inlineStr">
        <is>
          <t>CARABINA</t>
        </is>
      </c>
      <c r="F3736" s="3" t="inlineStr">
        <is>
          <t>223 REM</t>
        </is>
      </c>
      <c r="G3736" s="84" t="inlineStr">
        <is>
          <t>FRANCHI</t>
        </is>
      </c>
      <c r="H3736" s="107" t="inlineStr">
        <is>
          <t>HORIZON VARMINT BRONZE 24''</t>
        </is>
      </c>
      <c r="I3736" s="107" t="inlineStr">
        <is>
          <t>FB092992F</t>
        </is>
      </c>
      <c r="J3736" s="65" t="inlineStr">
        <is>
          <t>N/D</t>
        </is>
      </c>
      <c r="K3736" s="65" t="inlineStr">
        <is>
          <t>N/D</t>
        </is>
      </c>
      <c r="L3736" s="127" t="inlineStr">
        <is>
          <t>BENELLI ARMI SPA</t>
        </is>
      </c>
      <c r="M3736" s="5" t="n">
        <v>638</v>
      </c>
      <c r="N3736" s="5" t="n"/>
      <c r="O3736" s="5">
        <f>+M3736+N3736</f>
        <v/>
      </c>
      <c r="P3736" s="4" t="n">
        <v>46002</v>
      </c>
      <c r="Q3736" s="87" t="n">
        <v>46002</v>
      </c>
      <c r="R3736" s="5" t="n"/>
      <c r="S3736" s="2" t="n"/>
      <c r="T3736" s="3" t="n"/>
      <c r="U3736" s="87" t="n"/>
      <c r="V3736" s="3" t="n"/>
      <c r="W3736" s="108" t="n"/>
      <c r="X3736" s="4" t="n"/>
    </row>
    <row r="3737" ht="24" customHeight="1">
      <c r="A3737" s="2">
        <f>+D3737-S3737</f>
        <v/>
      </c>
      <c r="B3737" s="80" t="n">
        <v>5327</v>
      </c>
      <c r="C3737" s="66" t="n">
        <v>46003</v>
      </c>
      <c r="D3737" s="2" t="n">
        <v>1</v>
      </c>
      <c r="E3737" s="3" t="inlineStr">
        <is>
          <t>CARABINA</t>
        </is>
      </c>
      <c r="F3737" s="3" t="inlineStr">
        <is>
          <t>223 REM</t>
        </is>
      </c>
      <c r="G3737" s="84" t="inlineStr">
        <is>
          <t>FRANCHI</t>
        </is>
      </c>
      <c r="H3737" s="107" t="inlineStr">
        <is>
          <t>HORIZON VARMINT BRONZE 24''</t>
        </is>
      </c>
      <c r="I3737" s="107" t="inlineStr">
        <is>
          <t>FB092995N</t>
        </is>
      </c>
      <c r="J3737" s="65" t="inlineStr">
        <is>
          <t>N/D</t>
        </is>
      </c>
      <c r="K3737" s="65" t="inlineStr">
        <is>
          <t>N/D</t>
        </is>
      </c>
      <c r="L3737" s="127" t="inlineStr">
        <is>
          <t>BENELLI ARMI SPA</t>
        </is>
      </c>
      <c r="M3737" s="5" t="n">
        <v>638</v>
      </c>
      <c r="N3737" s="5" t="n"/>
      <c r="O3737" s="5">
        <f>+M3737+N3737</f>
        <v/>
      </c>
      <c r="P3737" s="4" t="n">
        <v>46002</v>
      </c>
      <c r="Q3737" s="87" t="n">
        <v>46002</v>
      </c>
      <c r="R3737" s="5" t="n"/>
      <c r="S3737" s="2" t="n"/>
      <c r="T3737" s="3" t="n"/>
      <c r="U3737" s="87" t="n"/>
      <c r="V3737" s="3" t="n"/>
      <c r="W3737" s="108" t="n"/>
      <c r="X3737" s="4" t="n"/>
    </row>
    <row r="3738" ht="24" customHeight="1">
      <c r="A3738" s="2">
        <f>+D3738-S3738</f>
        <v/>
      </c>
      <c r="B3738" s="80" t="n">
        <v>5328</v>
      </c>
      <c r="C3738" s="66" t="n">
        <v>46003</v>
      </c>
      <c r="D3738" s="2" t="n">
        <v>1</v>
      </c>
      <c r="E3738" s="3" t="inlineStr">
        <is>
          <t>CARABINA</t>
        </is>
      </c>
      <c r="F3738" s="3" t="inlineStr">
        <is>
          <t>223 REM</t>
        </is>
      </c>
      <c r="G3738" s="84" t="inlineStr">
        <is>
          <t>FRANCHI</t>
        </is>
      </c>
      <c r="H3738" s="107" t="inlineStr">
        <is>
          <t>HORIZON VARMINT BRONZE 24''</t>
        </is>
      </c>
      <c r="I3738" s="107" t="inlineStr">
        <is>
          <t>FB092998U</t>
        </is>
      </c>
      <c r="J3738" s="65" t="inlineStr">
        <is>
          <t>N/D</t>
        </is>
      </c>
      <c r="K3738" s="65" t="inlineStr">
        <is>
          <t>N/D</t>
        </is>
      </c>
      <c r="L3738" s="127" t="inlineStr">
        <is>
          <t>BENELLI ARMI SPA</t>
        </is>
      </c>
      <c r="M3738" s="5" t="n">
        <v>638</v>
      </c>
      <c r="N3738" s="5" t="n"/>
      <c r="O3738" s="5">
        <f>+M3738+N3738</f>
        <v/>
      </c>
      <c r="P3738" s="4" t="n">
        <v>46002</v>
      </c>
      <c r="Q3738" s="87" t="n">
        <v>46002</v>
      </c>
      <c r="R3738" s="5" t="n"/>
      <c r="S3738" s="2" t="n"/>
      <c r="T3738" s="3" t="n"/>
      <c r="U3738" s="87" t="n"/>
      <c r="V3738" s="3" t="n"/>
      <c r="W3738" s="108" t="n"/>
      <c r="X3738" s="4" t="n"/>
    </row>
    <row r="3739" ht="24" customHeight="1">
      <c r="A3739" s="2">
        <f>+D3739-S3739</f>
        <v/>
      </c>
      <c r="B3739" s="80" t="n">
        <v>5329</v>
      </c>
      <c r="C3739" s="66" t="n">
        <v>46003</v>
      </c>
      <c r="D3739" s="2" t="n">
        <v>1</v>
      </c>
      <c r="E3739" s="3" t="inlineStr">
        <is>
          <t>CARABINA</t>
        </is>
      </c>
      <c r="F3739" s="3" t="inlineStr">
        <is>
          <t>223 REM</t>
        </is>
      </c>
      <c r="G3739" s="84" t="inlineStr">
        <is>
          <t>FRANCHI</t>
        </is>
      </c>
      <c r="H3739" s="107" t="inlineStr">
        <is>
          <t>HORIZON VARMINT BRONZE 24''</t>
        </is>
      </c>
      <c r="I3739" s="107" t="inlineStr">
        <is>
          <t>FB092999W</t>
        </is>
      </c>
      <c r="J3739" s="65" t="inlineStr">
        <is>
          <t>N/D</t>
        </is>
      </c>
      <c r="K3739" s="65" t="inlineStr">
        <is>
          <t>N/D</t>
        </is>
      </c>
      <c r="L3739" s="127" t="inlineStr">
        <is>
          <t>BENELLI ARMI SPA</t>
        </is>
      </c>
      <c r="M3739" s="5" t="n">
        <v>638</v>
      </c>
      <c r="N3739" s="5" t="n"/>
      <c r="O3739" s="5">
        <f>+M3739+N3739</f>
        <v/>
      </c>
      <c r="P3739" s="4" t="n">
        <v>46002</v>
      </c>
      <c r="Q3739" s="87" t="n">
        <v>46002</v>
      </c>
      <c r="R3739" s="5" t="n"/>
      <c r="S3739" s="2" t="n"/>
      <c r="T3739" s="3" t="n"/>
      <c r="U3739" s="87" t="n"/>
      <c r="V3739" s="3" t="n"/>
      <c r="W3739" s="108" t="n"/>
      <c r="X3739" s="4" t="n"/>
    </row>
    <row r="3740" ht="24" customHeight="1">
      <c r="A3740" s="2">
        <f>+D3740-S3740</f>
        <v/>
      </c>
      <c r="B3740" s="80" t="n">
        <v>5330</v>
      </c>
      <c r="C3740" s="66" t="n">
        <v>46003</v>
      </c>
      <c r="D3740" s="2" t="n">
        <v>1</v>
      </c>
      <c r="E3740" s="3" t="inlineStr">
        <is>
          <t>CARABINA</t>
        </is>
      </c>
      <c r="F3740" s="3" t="inlineStr">
        <is>
          <t>223 REM</t>
        </is>
      </c>
      <c r="G3740" s="84" t="inlineStr">
        <is>
          <t>FRANCHI</t>
        </is>
      </c>
      <c r="H3740" s="107" t="inlineStr">
        <is>
          <t>HORIZON VARMINT BRONZE 24''</t>
        </is>
      </c>
      <c r="I3740" s="107" t="inlineStr">
        <is>
          <t>FB093580T</t>
        </is>
      </c>
      <c r="J3740" s="65" t="inlineStr">
        <is>
          <t>N/D</t>
        </is>
      </c>
      <c r="K3740" s="65" t="inlineStr">
        <is>
          <t>N/D</t>
        </is>
      </c>
      <c r="L3740" s="127" t="inlineStr">
        <is>
          <t>BENELLI ARMI SPA</t>
        </is>
      </c>
      <c r="M3740" s="5" t="n">
        <v>638</v>
      </c>
      <c r="N3740" s="5" t="n"/>
      <c r="O3740" s="5">
        <f>+M3740+N3740</f>
        <v/>
      </c>
      <c r="P3740" s="4" t="n">
        <v>46002</v>
      </c>
      <c r="Q3740" s="87" t="n">
        <v>46002</v>
      </c>
      <c r="R3740" s="5" t="n"/>
      <c r="S3740" s="2" t="n"/>
      <c r="T3740" s="3" t="n"/>
      <c r="U3740" s="87" t="n"/>
      <c r="V3740" s="3" t="n"/>
      <c r="W3740" s="108" t="n"/>
      <c r="X3740" s="4" t="n"/>
    </row>
    <row r="3741" ht="24" customHeight="1">
      <c r="A3741" s="2">
        <f>+D3741-S3741</f>
        <v/>
      </c>
      <c r="B3741" s="80" t="n">
        <v>5331</v>
      </c>
      <c r="C3741" s="66" t="n">
        <v>46003</v>
      </c>
      <c r="D3741" s="2" t="n">
        <v>1</v>
      </c>
      <c r="E3741" s="3" t="inlineStr">
        <is>
          <t>CARABINA</t>
        </is>
      </c>
      <c r="F3741" s="3" t="inlineStr">
        <is>
          <t>223 REM</t>
        </is>
      </c>
      <c r="G3741" s="84" t="inlineStr">
        <is>
          <t>FRANCHI</t>
        </is>
      </c>
      <c r="H3741" s="107" t="inlineStr">
        <is>
          <t>HORIZON VARMINT BRONZE 24''</t>
        </is>
      </c>
      <c r="I3741" s="107" t="inlineStr">
        <is>
          <t>FB093581V</t>
        </is>
      </c>
      <c r="J3741" s="65" t="inlineStr">
        <is>
          <t>N/D</t>
        </is>
      </c>
      <c r="K3741" s="65" t="inlineStr">
        <is>
          <t>N/D</t>
        </is>
      </c>
      <c r="L3741" s="127" t="inlineStr">
        <is>
          <t>BENELLI ARMI SPA</t>
        </is>
      </c>
      <c r="M3741" s="5" t="n">
        <v>638</v>
      </c>
      <c r="N3741" s="5" t="n"/>
      <c r="O3741" s="5">
        <f>+M3741+N3741</f>
        <v/>
      </c>
      <c r="P3741" s="4" t="n">
        <v>46002</v>
      </c>
      <c r="Q3741" s="87" t="n">
        <v>46002</v>
      </c>
      <c r="R3741" s="5" t="n"/>
      <c r="S3741" s="2" t="n"/>
      <c r="T3741" s="3" t="n"/>
      <c r="U3741" s="87" t="n"/>
      <c r="V3741" s="3" t="n"/>
      <c r="W3741" s="108" t="n"/>
      <c r="X3741" s="4" t="n"/>
    </row>
    <row r="3742" ht="24" customHeight="1">
      <c r="A3742" s="2">
        <f>+D3742-S3742</f>
        <v/>
      </c>
      <c r="B3742" s="80" t="n">
        <v>5332</v>
      </c>
      <c r="C3742" s="66" t="n">
        <v>46003</v>
      </c>
      <c r="D3742" s="2" t="n">
        <v>1</v>
      </c>
      <c r="E3742" s="3" t="inlineStr">
        <is>
          <t>CARABINA</t>
        </is>
      </c>
      <c r="F3742" s="3" t="inlineStr">
        <is>
          <t>223 REM</t>
        </is>
      </c>
      <c r="G3742" s="84" t="inlineStr">
        <is>
          <t>FRANCHI</t>
        </is>
      </c>
      <c r="H3742" s="107" t="inlineStr">
        <is>
          <t>HORIZON VARMINT BRONZE 24''</t>
        </is>
      </c>
      <c r="I3742" s="107" t="inlineStr">
        <is>
          <t>FB093583Z</t>
        </is>
      </c>
      <c r="J3742" s="65" t="inlineStr">
        <is>
          <t>N/D</t>
        </is>
      </c>
      <c r="K3742" s="65" t="inlineStr">
        <is>
          <t>N/D</t>
        </is>
      </c>
      <c r="L3742" s="127" t="inlineStr">
        <is>
          <t>BENELLI ARMI SPA</t>
        </is>
      </c>
      <c r="M3742" s="5" t="n">
        <v>638</v>
      </c>
      <c r="N3742" s="5" t="n"/>
      <c r="O3742" s="5">
        <f>+M3742+N3742</f>
        <v/>
      </c>
      <c r="P3742" s="4" t="n">
        <v>46002</v>
      </c>
      <c r="Q3742" s="87" t="n">
        <v>46002</v>
      </c>
      <c r="R3742" s="5" t="n"/>
      <c r="S3742" s="2" t="n"/>
      <c r="T3742" s="3" t="n"/>
      <c r="U3742" s="87" t="n"/>
      <c r="V3742" s="3" t="n"/>
      <c r="W3742" s="108" t="n"/>
      <c r="X3742" s="4" t="n"/>
    </row>
    <row r="3743" ht="24" customHeight="1">
      <c r="A3743" s="2">
        <f>+D3743-S3743</f>
        <v/>
      </c>
      <c r="B3743" s="80" t="n">
        <v>5333</v>
      </c>
      <c r="C3743" s="66" t="n">
        <v>46003</v>
      </c>
      <c r="D3743" s="2" t="n">
        <v>1</v>
      </c>
      <c r="E3743" s="3" t="inlineStr">
        <is>
          <t>CARABINA</t>
        </is>
      </c>
      <c r="F3743" s="3" t="inlineStr">
        <is>
          <t>223 REM</t>
        </is>
      </c>
      <c r="G3743" s="84" t="inlineStr">
        <is>
          <t>FRANCHI</t>
        </is>
      </c>
      <c r="H3743" s="107" t="inlineStr">
        <is>
          <t>HORIZON VARMINT BRONZE 24''</t>
        </is>
      </c>
      <c r="I3743" s="107" t="inlineStr">
        <is>
          <t>FB093584B</t>
        </is>
      </c>
      <c r="J3743" s="65" t="inlineStr">
        <is>
          <t>N/D</t>
        </is>
      </c>
      <c r="K3743" s="65" t="inlineStr">
        <is>
          <t>N/D</t>
        </is>
      </c>
      <c r="L3743" s="127" t="inlineStr">
        <is>
          <t>BENELLI ARMI SPA</t>
        </is>
      </c>
      <c r="M3743" s="5" t="n">
        <v>638</v>
      </c>
      <c r="N3743" s="5" t="n"/>
      <c r="O3743" s="5">
        <f>+M3743+N3743</f>
        <v/>
      </c>
      <c r="P3743" s="4" t="n">
        <v>46002</v>
      </c>
      <c r="Q3743" s="87" t="n">
        <v>46002</v>
      </c>
      <c r="R3743" s="5" t="n"/>
      <c r="S3743" s="2" t="n"/>
      <c r="T3743" s="3" t="n"/>
      <c r="U3743" s="87" t="n"/>
      <c r="V3743" s="3" t="n"/>
      <c r="W3743" s="108" t="n"/>
      <c r="X3743" s="4" t="n"/>
    </row>
    <row r="3744" ht="24" customHeight="1">
      <c r="A3744" s="2">
        <f>+D3744-S3744</f>
        <v/>
      </c>
      <c r="B3744" s="80" t="n">
        <v>5334</v>
      </c>
      <c r="C3744" s="66" t="n">
        <v>46003</v>
      </c>
      <c r="D3744" s="2" t="n">
        <v>1</v>
      </c>
      <c r="E3744" s="3" t="inlineStr">
        <is>
          <t>CARABINA</t>
        </is>
      </c>
      <c r="F3744" s="3" t="inlineStr">
        <is>
          <t>223 REM</t>
        </is>
      </c>
      <c r="G3744" s="84" t="inlineStr">
        <is>
          <t>FRANCHI</t>
        </is>
      </c>
      <c r="H3744" s="107" t="inlineStr">
        <is>
          <t>HORIZON VARMINT BRONZE 24''</t>
        </is>
      </c>
      <c r="I3744" s="107" t="inlineStr">
        <is>
          <t>FB093585E</t>
        </is>
      </c>
      <c r="J3744" s="65" t="inlineStr">
        <is>
          <t>N/D</t>
        </is>
      </c>
      <c r="K3744" s="65" t="inlineStr">
        <is>
          <t>N/D</t>
        </is>
      </c>
      <c r="L3744" s="127" t="inlineStr">
        <is>
          <t>BENELLI ARMI SPA</t>
        </is>
      </c>
      <c r="M3744" s="5" t="n">
        <v>638</v>
      </c>
      <c r="N3744" s="5" t="n"/>
      <c r="O3744" s="5">
        <f>+M3744+N3744</f>
        <v/>
      </c>
      <c r="P3744" s="4" t="n">
        <v>46002</v>
      </c>
      <c r="Q3744" s="87" t="n">
        <v>46002</v>
      </c>
      <c r="R3744" s="5" t="n"/>
      <c r="S3744" s="2" t="n"/>
      <c r="T3744" s="3" t="n"/>
      <c r="U3744" s="87" t="n"/>
      <c r="V3744" s="3" t="n"/>
      <c r="W3744" s="108" t="n"/>
      <c r="X3744" s="4" t="n"/>
    </row>
    <row r="3745" ht="24" customHeight="1">
      <c r="A3745" s="2">
        <f>+D3745-S3745</f>
        <v/>
      </c>
      <c r="B3745" s="80" t="n">
        <v>5335</v>
      </c>
      <c r="C3745" s="66" t="n">
        <v>46003</v>
      </c>
      <c r="D3745" s="2" t="n">
        <v>1</v>
      </c>
      <c r="E3745" s="3" t="inlineStr">
        <is>
          <t>CARABINA</t>
        </is>
      </c>
      <c r="F3745" s="3" t="inlineStr">
        <is>
          <t>223 REM</t>
        </is>
      </c>
      <c r="G3745" s="84" t="inlineStr">
        <is>
          <t>FRANCHI</t>
        </is>
      </c>
      <c r="H3745" s="107" t="inlineStr">
        <is>
          <t>HORIZON VARMINT BRONZE 24''</t>
        </is>
      </c>
      <c r="I3745" s="107" t="inlineStr">
        <is>
          <t>FB093573Y</t>
        </is>
      </c>
      <c r="J3745" s="65" t="inlineStr">
        <is>
          <t>N/D</t>
        </is>
      </c>
      <c r="K3745" s="65" t="inlineStr">
        <is>
          <t>N/D</t>
        </is>
      </c>
      <c r="L3745" s="127" t="inlineStr">
        <is>
          <t>BENELLI ARMI SPA</t>
        </is>
      </c>
      <c r="M3745" s="5" t="n">
        <v>638</v>
      </c>
      <c r="N3745" s="5" t="n"/>
      <c r="O3745" s="5">
        <f>+M3745+N3745</f>
        <v/>
      </c>
      <c r="P3745" s="4" t="n">
        <v>46002</v>
      </c>
      <c r="Q3745" s="87" t="n">
        <v>46002</v>
      </c>
      <c r="R3745" s="5" t="n"/>
      <c r="S3745" s="2" t="n"/>
      <c r="T3745" s="3" t="n"/>
      <c r="U3745" s="87" t="n"/>
      <c r="V3745" s="3" t="n"/>
      <c r="W3745" s="108" t="n"/>
      <c r="X3745" s="4" t="n"/>
    </row>
    <row r="3746" ht="24" customHeight="1">
      <c r="A3746" s="2">
        <f>+D3746-S3746</f>
        <v/>
      </c>
      <c r="B3746" s="80" t="n">
        <v>5336</v>
      </c>
      <c r="C3746" s="66" t="n">
        <v>46003</v>
      </c>
      <c r="D3746" s="2" t="n">
        <v>1</v>
      </c>
      <c r="E3746" s="3" t="inlineStr">
        <is>
          <t>CARABINA</t>
        </is>
      </c>
      <c r="F3746" s="3" t="inlineStr">
        <is>
          <t>223 REM</t>
        </is>
      </c>
      <c r="G3746" s="84" t="inlineStr">
        <is>
          <t>FRANCHI</t>
        </is>
      </c>
      <c r="H3746" s="107" t="inlineStr">
        <is>
          <t>HORIZON VARMINT BRONZE 24''</t>
        </is>
      </c>
      <c r="I3746" s="107" t="inlineStr">
        <is>
          <t>FB093574A</t>
        </is>
      </c>
      <c r="J3746" s="65" t="inlineStr">
        <is>
          <t>N/D</t>
        </is>
      </c>
      <c r="K3746" s="65" t="inlineStr">
        <is>
          <t>N/D</t>
        </is>
      </c>
      <c r="L3746" s="127" t="inlineStr">
        <is>
          <t>BENELLI ARMI SPA</t>
        </is>
      </c>
      <c r="M3746" s="5" t="n">
        <v>638</v>
      </c>
      <c r="N3746" s="5" t="n"/>
      <c r="O3746" s="5">
        <f>+M3746+N3746</f>
        <v/>
      </c>
      <c r="P3746" s="4" t="n">
        <v>46002</v>
      </c>
      <c r="Q3746" s="87" t="n">
        <v>46002</v>
      </c>
      <c r="R3746" s="5" t="n"/>
      <c r="S3746" s="2" t="n"/>
      <c r="T3746" s="3" t="n"/>
      <c r="U3746" s="87" t="n"/>
      <c r="V3746" s="3" t="n"/>
      <c r="W3746" s="108" t="n"/>
      <c r="X3746" s="4" t="n"/>
    </row>
    <row r="3747" ht="24" customHeight="1">
      <c r="A3747" s="2">
        <f>+D3747-S3747</f>
        <v/>
      </c>
      <c r="B3747" s="80" t="n">
        <v>5337</v>
      </c>
      <c r="C3747" s="66" t="n">
        <v>46003</v>
      </c>
      <c r="D3747" s="2" t="n">
        <v>1</v>
      </c>
      <c r="E3747" s="3" t="inlineStr">
        <is>
          <t>CARABINA</t>
        </is>
      </c>
      <c r="F3747" s="3" t="inlineStr">
        <is>
          <t>223 REM</t>
        </is>
      </c>
      <c r="G3747" s="84" t="inlineStr">
        <is>
          <t>FRANCHI</t>
        </is>
      </c>
      <c r="H3747" s="107" t="inlineStr">
        <is>
          <t>HORIZON VARMINT BRONZE 24''</t>
        </is>
      </c>
      <c r="I3747" s="107" t="inlineStr">
        <is>
          <t>FB093577H</t>
        </is>
      </c>
      <c r="J3747" s="65" t="inlineStr">
        <is>
          <t>N/D</t>
        </is>
      </c>
      <c r="K3747" s="65" t="inlineStr">
        <is>
          <t>N/D</t>
        </is>
      </c>
      <c r="L3747" s="127" t="inlineStr">
        <is>
          <t>BENELLI ARMI SPA</t>
        </is>
      </c>
      <c r="M3747" s="5" t="n">
        <v>638</v>
      </c>
      <c r="N3747" s="5" t="n"/>
      <c r="O3747" s="5">
        <f>+M3747+N3747</f>
        <v/>
      </c>
      <c r="P3747" s="4" t="n">
        <v>46002</v>
      </c>
      <c r="Q3747" s="87" t="n">
        <v>46002</v>
      </c>
      <c r="R3747" s="5" t="n"/>
      <c r="S3747" s="2" t="n"/>
      <c r="T3747" s="3" t="n"/>
      <c r="U3747" s="87" t="n"/>
      <c r="V3747" s="3" t="n"/>
      <c r="W3747" s="108" t="n"/>
      <c r="X3747" s="4" t="n"/>
    </row>
    <row r="3748" ht="24" customHeight="1">
      <c r="A3748" s="2">
        <f>+D3748-S3748</f>
        <v/>
      </c>
      <c r="B3748" s="80" t="n">
        <v>5338</v>
      </c>
      <c r="C3748" s="66" t="n">
        <v>46003</v>
      </c>
      <c r="D3748" s="2" t="n">
        <v>1</v>
      </c>
      <c r="E3748" s="3" t="inlineStr">
        <is>
          <t>CARABINA</t>
        </is>
      </c>
      <c r="F3748" s="3" t="inlineStr">
        <is>
          <t>223 REM</t>
        </is>
      </c>
      <c r="G3748" s="84" t="inlineStr">
        <is>
          <t>FRANCHI</t>
        </is>
      </c>
      <c r="H3748" s="107" t="inlineStr">
        <is>
          <t>HORIZON VARMINT BRONZE 24''</t>
        </is>
      </c>
      <c r="I3748" s="107" t="inlineStr">
        <is>
          <t>FB093578K</t>
        </is>
      </c>
      <c r="J3748" s="65" t="inlineStr">
        <is>
          <t>N/D</t>
        </is>
      </c>
      <c r="K3748" s="65" t="inlineStr">
        <is>
          <t>N/D</t>
        </is>
      </c>
      <c r="L3748" s="127" t="inlineStr">
        <is>
          <t>BENELLI ARMI SPA</t>
        </is>
      </c>
      <c r="M3748" s="5" t="n">
        <v>638</v>
      </c>
      <c r="N3748" s="5" t="n"/>
      <c r="O3748" s="5">
        <f>+M3748+N3748</f>
        <v/>
      </c>
      <c r="P3748" s="4" t="n">
        <v>46002</v>
      </c>
      <c r="Q3748" s="87" t="n">
        <v>46002</v>
      </c>
      <c r="R3748" s="5" t="n"/>
      <c r="S3748" s="2" t="n"/>
      <c r="T3748" s="3" t="n"/>
      <c r="U3748" s="87" t="n"/>
      <c r="V3748" s="3" t="n"/>
      <c r="W3748" s="108" t="n"/>
      <c r="X3748" s="4" t="n"/>
    </row>
    <row r="3749" ht="24" customHeight="1">
      <c r="A3749" s="2">
        <f>+D3749-S3749</f>
        <v/>
      </c>
      <c r="B3749" s="80" t="n">
        <v>5339</v>
      </c>
      <c r="C3749" s="66" t="n">
        <v>46003</v>
      </c>
      <c r="D3749" s="2" t="n">
        <v>1</v>
      </c>
      <c r="E3749" s="3" t="inlineStr">
        <is>
          <t>CARABINA</t>
        </is>
      </c>
      <c r="F3749" s="3" t="inlineStr">
        <is>
          <t>223 REM</t>
        </is>
      </c>
      <c r="G3749" s="84" t="inlineStr">
        <is>
          <t>FRANCHI</t>
        </is>
      </c>
      <c r="H3749" s="107" t="inlineStr">
        <is>
          <t>HORIZON VARMINT BRONZE 24''</t>
        </is>
      </c>
      <c r="I3749" s="107" t="inlineStr">
        <is>
          <t>FB093582X</t>
        </is>
      </c>
      <c r="J3749" s="65" t="inlineStr">
        <is>
          <t>N/D</t>
        </is>
      </c>
      <c r="K3749" s="65" t="inlineStr">
        <is>
          <t>N/D</t>
        </is>
      </c>
      <c r="L3749" s="127" t="inlineStr">
        <is>
          <t>BENELLI ARMI SPA</t>
        </is>
      </c>
      <c r="M3749" s="5" t="n">
        <v>638</v>
      </c>
      <c r="N3749" s="5" t="n"/>
      <c r="O3749" s="5">
        <f>+M3749+N3749</f>
        <v/>
      </c>
      <c r="P3749" s="4" t="n">
        <v>46002</v>
      </c>
      <c r="Q3749" s="87" t="n">
        <v>46002</v>
      </c>
      <c r="R3749" s="5" t="n"/>
      <c r="S3749" s="2" t="n"/>
      <c r="T3749" s="3" t="n"/>
      <c r="U3749" s="87" t="n"/>
      <c r="V3749" s="3" t="n"/>
      <c r="W3749" s="108" t="n"/>
      <c r="X3749" s="4" t="n"/>
    </row>
    <row r="3750" ht="24" customHeight="1">
      <c r="A3750" s="2">
        <f>+D3750-S3750</f>
        <v/>
      </c>
      <c r="B3750" s="80" t="n">
        <v>5340</v>
      </c>
      <c r="C3750" s="66" t="n">
        <v>46003</v>
      </c>
      <c r="D3750" s="2" t="n">
        <v>1</v>
      </c>
      <c r="E3750" s="3" t="inlineStr">
        <is>
          <t>CARABINA</t>
        </is>
      </c>
      <c r="F3750" s="3" t="inlineStr">
        <is>
          <t>223 REM</t>
        </is>
      </c>
      <c r="G3750" s="84" t="inlineStr">
        <is>
          <t>FRANCHI</t>
        </is>
      </c>
      <c r="H3750" s="107" t="inlineStr">
        <is>
          <t>HORIZON VARMINT BRONZE 24''</t>
        </is>
      </c>
      <c r="I3750" s="107" t="inlineStr">
        <is>
          <t>FB092715A</t>
        </is>
      </c>
      <c r="J3750" s="65" t="inlineStr">
        <is>
          <t>N/D</t>
        </is>
      </c>
      <c r="K3750" s="65" t="inlineStr">
        <is>
          <t>N/D</t>
        </is>
      </c>
      <c r="L3750" s="127" t="inlineStr">
        <is>
          <t>BENELLI ARMI SPA</t>
        </is>
      </c>
      <c r="M3750" s="5" t="n">
        <v>556</v>
      </c>
      <c r="N3750" s="5" t="n"/>
      <c r="O3750" s="5">
        <f>+M3750+N3750</f>
        <v/>
      </c>
      <c r="P3750" s="4" t="n">
        <v>46002</v>
      </c>
      <c r="Q3750" s="87" t="n">
        <v>46002</v>
      </c>
      <c r="R3750" s="5" t="n"/>
      <c r="S3750" s="2" t="n"/>
      <c r="T3750" s="3" t="n"/>
      <c r="U3750" s="87" t="n"/>
      <c r="V3750" s="3" t="n"/>
      <c r="W3750" s="108" t="n"/>
      <c r="X3750" s="4" t="n"/>
    </row>
    <row r="3751" ht="24" customHeight="1">
      <c r="A3751" s="2">
        <f>+D3751-S3751</f>
        <v/>
      </c>
      <c r="B3751" s="80" t="n">
        <v>5341</v>
      </c>
      <c r="C3751" s="66" t="n">
        <v>46003</v>
      </c>
      <c r="D3751" s="2" t="n">
        <v>1</v>
      </c>
      <c r="E3751" s="3" t="inlineStr">
        <is>
          <t>CARABINA</t>
        </is>
      </c>
      <c r="F3751" s="3" t="inlineStr">
        <is>
          <t>223 REM</t>
        </is>
      </c>
      <c r="G3751" s="84" t="inlineStr">
        <is>
          <t>FRANCHI</t>
        </is>
      </c>
      <c r="H3751" s="107" t="inlineStr">
        <is>
          <t>HORIZON VARMINT BRONZE 24''</t>
        </is>
      </c>
      <c r="I3751" s="107" t="inlineStr">
        <is>
          <t>FB092718G</t>
        </is>
      </c>
      <c r="J3751" s="65" t="inlineStr">
        <is>
          <t>N/D</t>
        </is>
      </c>
      <c r="K3751" s="65" t="inlineStr">
        <is>
          <t>N/D</t>
        </is>
      </c>
      <c r="L3751" s="127" t="inlineStr">
        <is>
          <t>BENELLI ARMI SPA</t>
        </is>
      </c>
      <c r="M3751" s="5" t="n">
        <v>556</v>
      </c>
      <c r="N3751" s="5" t="n"/>
      <c r="O3751" s="5">
        <f>+M3751+N3751</f>
        <v/>
      </c>
      <c r="P3751" s="4" t="n">
        <v>46002</v>
      </c>
      <c r="Q3751" s="87" t="n">
        <v>46002</v>
      </c>
      <c r="R3751" s="5" t="n"/>
      <c r="S3751" s="2" t="n"/>
      <c r="T3751" s="3" t="n"/>
      <c r="U3751" s="87" t="n"/>
      <c r="V3751" s="3" t="n"/>
      <c r="W3751" s="108" t="n"/>
      <c r="X3751" s="4" t="n"/>
    </row>
    <row r="3752" ht="24" customHeight="1">
      <c r="A3752" s="2">
        <f>+D3752-S3752</f>
        <v/>
      </c>
      <c r="B3752" s="80" t="n">
        <v>5342</v>
      </c>
      <c r="C3752" s="66" t="n">
        <v>46003</v>
      </c>
      <c r="D3752" s="2" t="n">
        <v>1</v>
      </c>
      <c r="E3752" s="3" t="inlineStr">
        <is>
          <t>CARABINA</t>
        </is>
      </c>
      <c r="F3752" s="3" t="inlineStr">
        <is>
          <t>223 REM</t>
        </is>
      </c>
      <c r="G3752" s="84" t="inlineStr">
        <is>
          <t>FRANCHI</t>
        </is>
      </c>
      <c r="H3752" s="107" t="inlineStr">
        <is>
          <t>HORIZON VARMINT BRONZE 24''</t>
        </is>
      </c>
      <c r="I3752" s="107" t="inlineStr">
        <is>
          <t>FB092721S</t>
        </is>
      </c>
      <c r="J3752" s="65" t="inlineStr">
        <is>
          <t>N/D</t>
        </is>
      </c>
      <c r="K3752" s="65" t="inlineStr">
        <is>
          <t>N/D</t>
        </is>
      </c>
      <c r="L3752" s="127" t="inlineStr">
        <is>
          <t>BENELLI ARMI SPA</t>
        </is>
      </c>
      <c r="M3752" s="5" t="n">
        <v>556</v>
      </c>
      <c r="N3752" s="5" t="n"/>
      <c r="O3752" s="5">
        <f>+M3752+N3752</f>
        <v/>
      </c>
      <c r="P3752" s="4" t="n">
        <v>46002</v>
      </c>
      <c r="Q3752" s="87" t="n">
        <v>46002</v>
      </c>
      <c r="R3752" s="5" t="n"/>
      <c r="S3752" s="2" t="n"/>
      <c r="T3752" s="3" t="n"/>
      <c r="U3752" s="87" t="n"/>
      <c r="V3752" s="3" t="n"/>
      <c r="W3752" s="108" t="n"/>
      <c r="X3752" s="4" t="n"/>
    </row>
    <row r="3753" ht="24" customHeight="1">
      <c r="A3753" s="2">
        <f>+D3753-S3753</f>
        <v/>
      </c>
      <c r="B3753" s="80" t="n">
        <v>5343</v>
      </c>
      <c r="C3753" s="66" t="n">
        <v>46003</v>
      </c>
      <c r="D3753" s="2" t="n">
        <v>1</v>
      </c>
      <c r="E3753" s="3" t="inlineStr">
        <is>
          <t>CARABINA</t>
        </is>
      </c>
      <c r="F3753" s="3" t="inlineStr">
        <is>
          <t>223 REM</t>
        </is>
      </c>
      <c r="G3753" s="84" t="inlineStr">
        <is>
          <t>FRANCHI</t>
        </is>
      </c>
      <c r="H3753" s="107" t="inlineStr">
        <is>
          <t>HORIZON VARMINT BRONZE 24''</t>
        </is>
      </c>
      <c r="I3753" s="107" t="inlineStr">
        <is>
          <t>FB092724Y</t>
        </is>
      </c>
      <c r="J3753" s="65" t="inlineStr">
        <is>
          <t>N/D</t>
        </is>
      </c>
      <c r="K3753" s="65" t="inlineStr">
        <is>
          <t>N/D</t>
        </is>
      </c>
      <c r="L3753" s="127" t="inlineStr">
        <is>
          <t>BENELLI ARMI SPA</t>
        </is>
      </c>
      <c r="M3753" s="5" t="n">
        <v>556</v>
      </c>
      <c r="N3753" s="5" t="n"/>
      <c r="O3753" s="5">
        <f>+M3753+N3753</f>
        <v/>
      </c>
      <c r="P3753" s="4" t="n">
        <v>46002</v>
      </c>
      <c r="Q3753" s="87" t="n">
        <v>46002</v>
      </c>
      <c r="R3753" s="5" t="n"/>
      <c r="S3753" s="2" t="n"/>
      <c r="T3753" s="3" t="n"/>
      <c r="U3753" s="87" t="n"/>
      <c r="V3753" s="3" t="n"/>
      <c r="W3753" s="108" t="n"/>
      <c r="X3753" s="4" t="n"/>
    </row>
    <row r="3754" ht="24" customHeight="1">
      <c r="A3754" s="2">
        <f>+D3754-S3754</f>
        <v/>
      </c>
      <c r="B3754" s="80" t="n">
        <v>5344</v>
      </c>
      <c r="C3754" s="66" t="n">
        <v>46003</v>
      </c>
      <c r="D3754" s="2" t="n">
        <v>1</v>
      </c>
      <c r="E3754" s="3" t="inlineStr">
        <is>
          <t>CARABINA</t>
        </is>
      </c>
      <c r="F3754" s="3" t="inlineStr">
        <is>
          <t>223 REM</t>
        </is>
      </c>
      <c r="G3754" s="84" t="inlineStr">
        <is>
          <t>FRANCHI</t>
        </is>
      </c>
      <c r="H3754" s="107" t="inlineStr">
        <is>
          <t>HORIZON VARMINT BRONZE 24''</t>
        </is>
      </c>
      <c r="I3754" s="107" t="inlineStr">
        <is>
          <t>FB092727F</t>
        </is>
      </c>
      <c r="J3754" s="65" t="inlineStr">
        <is>
          <t>N/D</t>
        </is>
      </c>
      <c r="K3754" s="65" t="inlineStr">
        <is>
          <t>N/D</t>
        </is>
      </c>
      <c r="L3754" s="127" t="inlineStr">
        <is>
          <t>BENELLI ARMI SPA</t>
        </is>
      </c>
      <c r="M3754" s="5" t="n">
        <v>556</v>
      </c>
      <c r="N3754" s="5" t="n"/>
      <c r="O3754" s="5">
        <f>+M3754+N3754</f>
        <v/>
      </c>
      <c r="P3754" s="4" t="n">
        <v>46002</v>
      </c>
      <c r="Q3754" s="87" t="n">
        <v>46002</v>
      </c>
      <c r="R3754" s="5" t="n"/>
      <c r="S3754" s="2" t="n"/>
      <c r="T3754" s="3" t="n"/>
      <c r="U3754" s="87" t="n"/>
      <c r="V3754" s="3" t="n"/>
      <c r="W3754" s="108" t="n"/>
      <c r="X3754" s="4" t="n"/>
    </row>
    <row r="3755" ht="24" customHeight="1">
      <c r="A3755" s="2">
        <f>+D3755-S3755</f>
        <v/>
      </c>
      <c r="B3755" s="80" t="n">
        <v>5345</v>
      </c>
      <c r="C3755" s="66" t="n">
        <v>46003</v>
      </c>
      <c r="D3755" s="2" t="n">
        <v>1</v>
      </c>
      <c r="E3755" s="3" t="inlineStr">
        <is>
          <t>CARABINA</t>
        </is>
      </c>
      <c r="F3755" s="3" t="inlineStr">
        <is>
          <t>223 REM</t>
        </is>
      </c>
      <c r="G3755" s="84" t="inlineStr">
        <is>
          <t>FRANCHI</t>
        </is>
      </c>
      <c r="H3755" s="107" t="inlineStr">
        <is>
          <t>HORIZON VARMINT BRONZE 24''</t>
        </is>
      </c>
      <c r="I3755" s="107" t="inlineStr">
        <is>
          <t>FB092691X</t>
        </is>
      </c>
      <c r="J3755" s="65" t="inlineStr">
        <is>
          <t>N/D</t>
        </is>
      </c>
      <c r="K3755" s="65" t="inlineStr">
        <is>
          <t>N/D</t>
        </is>
      </c>
      <c r="L3755" s="127" t="inlineStr">
        <is>
          <t>BENELLI ARMI SPA</t>
        </is>
      </c>
      <c r="M3755" s="5" t="n">
        <v>556</v>
      </c>
      <c r="N3755" s="5" t="n"/>
      <c r="O3755" s="5">
        <f>+M3755+N3755</f>
        <v/>
      </c>
      <c r="P3755" s="4" t="n">
        <v>46002</v>
      </c>
      <c r="Q3755" s="87" t="n">
        <v>46002</v>
      </c>
      <c r="R3755" s="5" t="n"/>
      <c r="S3755" s="2" t="n"/>
      <c r="T3755" s="3" t="n"/>
      <c r="U3755" s="87" t="n"/>
      <c r="V3755" s="3" t="n"/>
      <c r="W3755" s="108" t="n"/>
      <c r="X3755" s="4" t="n"/>
    </row>
    <row r="3756" ht="24" customHeight="1">
      <c r="A3756" s="2">
        <f>+D3756-S3756</f>
        <v/>
      </c>
      <c r="B3756" s="80" t="n">
        <v>5346</v>
      </c>
      <c r="C3756" s="66" t="n">
        <v>46003</v>
      </c>
      <c r="D3756" s="2" t="n">
        <v>1</v>
      </c>
      <c r="E3756" s="3" t="inlineStr">
        <is>
          <t>CARABINA</t>
        </is>
      </c>
      <c r="F3756" s="3" t="inlineStr">
        <is>
          <t>223 REM</t>
        </is>
      </c>
      <c r="G3756" s="84" t="inlineStr">
        <is>
          <t>FRANCHI</t>
        </is>
      </c>
      <c r="H3756" s="107" t="inlineStr">
        <is>
          <t>HORIZON VARMINT BRONZE 24''</t>
        </is>
      </c>
      <c r="I3756" s="107" t="inlineStr">
        <is>
          <t>FB092693B</t>
        </is>
      </c>
      <c r="J3756" s="65" t="inlineStr">
        <is>
          <t>N/D</t>
        </is>
      </c>
      <c r="K3756" s="65" t="inlineStr">
        <is>
          <t>N/D</t>
        </is>
      </c>
      <c r="L3756" s="127" t="inlineStr">
        <is>
          <t>BENELLI ARMI SPA</t>
        </is>
      </c>
      <c r="M3756" s="5" t="n">
        <v>556</v>
      </c>
      <c r="N3756" s="5" t="n"/>
      <c r="O3756" s="5">
        <f>+M3756+N3756</f>
        <v/>
      </c>
      <c r="P3756" s="4" t="n">
        <v>46002</v>
      </c>
      <c r="Q3756" s="87" t="n">
        <v>46002</v>
      </c>
      <c r="R3756" s="5" t="n"/>
      <c r="S3756" s="2" t="n"/>
      <c r="T3756" s="3" t="n"/>
      <c r="U3756" s="87" t="n"/>
      <c r="V3756" s="3" t="n"/>
      <c r="W3756" s="108" t="n"/>
      <c r="X3756" s="4" t="n"/>
    </row>
    <row r="3757" ht="24" customHeight="1">
      <c r="A3757" s="2">
        <f>+D3757-S3757</f>
        <v/>
      </c>
      <c r="B3757" s="80" t="n">
        <v>5347</v>
      </c>
      <c r="C3757" s="66" t="n">
        <v>46003</v>
      </c>
      <c r="D3757" s="2" t="n">
        <v>1</v>
      </c>
      <c r="E3757" s="3" t="inlineStr">
        <is>
          <t>CARABINA</t>
        </is>
      </c>
      <c r="F3757" s="3" t="inlineStr">
        <is>
          <t>223 REM</t>
        </is>
      </c>
      <c r="G3757" s="84" t="inlineStr">
        <is>
          <t>FRANCHI</t>
        </is>
      </c>
      <c r="H3757" s="107" t="inlineStr">
        <is>
          <t>HORIZON VARMINT BRONZE 24''</t>
        </is>
      </c>
      <c r="I3757" s="107" t="inlineStr">
        <is>
          <t>FB092695G</t>
        </is>
      </c>
      <c r="J3757" s="65" t="inlineStr">
        <is>
          <t>N/D</t>
        </is>
      </c>
      <c r="K3757" s="65" t="inlineStr">
        <is>
          <t>N/D</t>
        </is>
      </c>
      <c r="L3757" s="127" t="inlineStr">
        <is>
          <t>BENELLI ARMI SPA</t>
        </is>
      </c>
      <c r="M3757" s="5" t="n">
        <v>556</v>
      </c>
      <c r="N3757" s="5" t="n"/>
      <c r="O3757" s="5">
        <f>+M3757+N3757</f>
        <v/>
      </c>
      <c r="P3757" s="4" t="n">
        <v>46002</v>
      </c>
      <c r="Q3757" s="87" t="n">
        <v>46002</v>
      </c>
      <c r="R3757" s="5" t="n"/>
      <c r="S3757" s="2" t="n"/>
      <c r="T3757" s="3" t="n"/>
      <c r="U3757" s="87" t="n"/>
      <c r="V3757" s="3" t="n"/>
      <c r="W3757" s="108" t="n"/>
      <c r="X3757" s="4" t="n"/>
    </row>
    <row r="3758" ht="24" customHeight="1">
      <c r="A3758" s="2">
        <f>+D3758-S3758</f>
        <v/>
      </c>
      <c r="B3758" s="80" t="n">
        <v>5348</v>
      </c>
      <c r="C3758" s="66" t="n">
        <v>46003</v>
      </c>
      <c r="D3758" s="2" t="n">
        <v>1</v>
      </c>
      <c r="E3758" s="3" t="inlineStr">
        <is>
          <t>CARABINA</t>
        </is>
      </c>
      <c r="F3758" s="3" t="inlineStr">
        <is>
          <t>223 REM</t>
        </is>
      </c>
      <c r="G3758" s="84" t="inlineStr">
        <is>
          <t>FRANCHI</t>
        </is>
      </c>
      <c r="H3758" s="107" t="inlineStr">
        <is>
          <t>HORIZON VARMINT BRONZE 24''</t>
        </is>
      </c>
      <c r="I3758" s="107" t="inlineStr">
        <is>
          <t>FB092700N</t>
        </is>
      </c>
      <c r="J3758" s="65" t="inlineStr">
        <is>
          <t>N/D</t>
        </is>
      </c>
      <c r="K3758" s="65" t="inlineStr">
        <is>
          <t>N/D</t>
        </is>
      </c>
      <c r="L3758" s="127" t="inlineStr">
        <is>
          <t>BENELLI ARMI SPA</t>
        </is>
      </c>
      <c r="M3758" s="5" t="n">
        <v>556</v>
      </c>
      <c r="N3758" s="5" t="n"/>
      <c r="O3758" s="5">
        <f>+M3758+N3758</f>
        <v/>
      </c>
      <c r="P3758" s="4" t="n">
        <v>46002</v>
      </c>
      <c r="Q3758" s="87" t="n">
        <v>46002</v>
      </c>
      <c r="R3758" s="5" t="n"/>
      <c r="S3758" s="2" t="n"/>
      <c r="T3758" s="3" t="n"/>
      <c r="U3758" s="87" t="n"/>
      <c r="V3758" s="3" t="n"/>
      <c r="W3758" s="108" t="n"/>
      <c r="X3758" s="4" t="n"/>
    </row>
    <row r="3759" ht="24" customHeight="1">
      <c r="A3759" s="2">
        <f>+D3759-S3759</f>
        <v/>
      </c>
      <c r="B3759" s="80" t="n">
        <v>5349</v>
      </c>
      <c r="C3759" s="66" t="n">
        <v>46003</v>
      </c>
      <c r="D3759" s="2" t="n">
        <v>1</v>
      </c>
      <c r="E3759" s="3" t="inlineStr">
        <is>
          <t>CARABINA</t>
        </is>
      </c>
      <c r="F3759" s="3" t="inlineStr">
        <is>
          <t>223 REM</t>
        </is>
      </c>
      <c r="G3759" s="84" t="inlineStr">
        <is>
          <t>FRANCHI</t>
        </is>
      </c>
      <c r="H3759" s="107" t="inlineStr">
        <is>
          <t>HORIZON VARMINT BRONZE 24''</t>
        </is>
      </c>
      <c r="I3759" s="107" t="inlineStr">
        <is>
          <t>FB092705Z</t>
        </is>
      </c>
      <c r="J3759" s="65" t="inlineStr">
        <is>
          <t>N/D</t>
        </is>
      </c>
      <c r="K3759" s="65" t="inlineStr">
        <is>
          <t>N/D</t>
        </is>
      </c>
      <c r="L3759" s="127" t="inlineStr">
        <is>
          <t>BENELLI ARMI SPA</t>
        </is>
      </c>
      <c r="M3759" s="5" t="n">
        <v>556</v>
      </c>
      <c r="N3759" s="5" t="n"/>
      <c r="O3759" s="5">
        <f>+M3759+N3759</f>
        <v/>
      </c>
      <c r="P3759" s="4" t="n">
        <v>46002</v>
      </c>
      <c r="Q3759" s="87" t="n">
        <v>46002</v>
      </c>
      <c r="R3759" s="5" t="n"/>
      <c r="S3759" s="2" t="n"/>
      <c r="T3759" s="3" t="n"/>
      <c r="U3759" s="87" t="n"/>
      <c r="V3759" s="3" t="n"/>
      <c r="W3759" s="108" t="n"/>
      <c r="X3759" s="4" t="n"/>
    </row>
    <row r="3760" ht="24" customHeight="1">
      <c r="A3760" s="2">
        <f>+D3760-S3760</f>
        <v/>
      </c>
      <c r="B3760" s="80" t="n">
        <v>5350</v>
      </c>
      <c r="C3760" s="66" t="n">
        <v>46003</v>
      </c>
      <c r="D3760" s="2" t="n">
        <v>1</v>
      </c>
      <c r="E3760" s="3" t="inlineStr">
        <is>
          <t>CARABINA</t>
        </is>
      </c>
      <c r="F3760" s="3" t="inlineStr">
        <is>
          <t>223 REM</t>
        </is>
      </c>
      <c r="G3760" s="84" t="inlineStr">
        <is>
          <t>FRANCHI</t>
        </is>
      </c>
      <c r="H3760" s="107" t="inlineStr">
        <is>
          <t>HORIZON VARMINT BRONZE 24''</t>
        </is>
      </c>
      <c r="I3760" s="107" t="inlineStr">
        <is>
          <t>FB092704W</t>
        </is>
      </c>
      <c r="J3760" s="65" t="inlineStr">
        <is>
          <t>N/D</t>
        </is>
      </c>
      <c r="K3760" s="65" t="inlineStr">
        <is>
          <t>N/D</t>
        </is>
      </c>
      <c r="L3760" s="127" t="inlineStr">
        <is>
          <t>BENELLI ARMI SPA</t>
        </is>
      </c>
      <c r="M3760" s="5" t="n">
        <v>556</v>
      </c>
      <c r="N3760" s="5" t="n"/>
      <c r="O3760" s="5">
        <f>+M3760+N3760</f>
        <v/>
      </c>
      <c r="P3760" s="4" t="n">
        <v>46002</v>
      </c>
      <c r="Q3760" s="87" t="n">
        <v>46002</v>
      </c>
      <c r="R3760" s="5" t="n"/>
      <c r="S3760" s="2" t="n"/>
      <c r="T3760" s="3" t="n"/>
      <c r="U3760" s="87" t="n"/>
      <c r="V3760" s="3" t="n"/>
      <c r="W3760" s="108" t="n"/>
      <c r="X3760" s="4" t="n"/>
    </row>
    <row r="3761" ht="24" customHeight="1">
      <c r="A3761" s="2">
        <f>+D3761-S3761</f>
        <v/>
      </c>
      <c r="B3761" s="80" t="n">
        <v>5351</v>
      </c>
      <c r="C3761" s="66" t="n">
        <v>46003</v>
      </c>
      <c r="D3761" s="2" t="n">
        <v>1</v>
      </c>
      <c r="E3761" s="3" t="inlineStr">
        <is>
          <t>CARABINA</t>
        </is>
      </c>
      <c r="F3761" s="3" t="inlineStr">
        <is>
          <t>223 REM</t>
        </is>
      </c>
      <c r="G3761" s="84" t="inlineStr">
        <is>
          <t>FRANCHI</t>
        </is>
      </c>
      <c r="H3761" s="107" t="inlineStr">
        <is>
          <t>HORIZON VARMINT BRONZE 24''</t>
        </is>
      </c>
      <c r="I3761" s="107" t="inlineStr">
        <is>
          <t>FB092706B</t>
        </is>
      </c>
      <c r="J3761" s="65" t="inlineStr">
        <is>
          <t>N/D</t>
        </is>
      </c>
      <c r="K3761" s="65" t="inlineStr">
        <is>
          <t>N/D</t>
        </is>
      </c>
      <c r="L3761" s="127" t="inlineStr">
        <is>
          <t>BENELLI ARMI SPA</t>
        </is>
      </c>
      <c r="M3761" s="5" t="n">
        <v>556</v>
      </c>
      <c r="N3761" s="5" t="n"/>
      <c r="O3761" s="5">
        <f>+M3761+N3761</f>
        <v/>
      </c>
      <c r="P3761" s="4" t="n">
        <v>46002</v>
      </c>
      <c r="Q3761" s="87" t="n">
        <v>46002</v>
      </c>
      <c r="R3761" s="5" t="n"/>
      <c r="S3761" s="2" t="n"/>
      <c r="T3761" s="3" t="n"/>
      <c r="U3761" s="87" t="n"/>
      <c r="V3761" s="3" t="n"/>
      <c r="W3761" s="108" t="n"/>
      <c r="X3761" s="4" t="n"/>
    </row>
    <row r="3762" ht="24" customHeight="1">
      <c r="A3762" s="2">
        <f>+D3762-S3762</f>
        <v/>
      </c>
      <c r="B3762" s="80" t="n">
        <v>5352</v>
      </c>
      <c r="C3762" s="66" t="n">
        <v>46003</v>
      </c>
      <c r="D3762" s="2" t="n">
        <v>1</v>
      </c>
      <c r="E3762" s="3" t="inlineStr">
        <is>
          <t>CARABINA</t>
        </is>
      </c>
      <c r="F3762" s="3" t="inlineStr">
        <is>
          <t>223 REM</t>
        </is>
      </c>
      <c r="G3762" s="84" t="inlineStr">
        <is>
          <t>FRANCHI</t>
        </is>
      </c>
      <c r="H3762" s="107" t="inlineStr">
        <is>
          <t>HORIZON VARMINT BRONZE 24''</t>
        </is>
      </c>
      <c r="I3762" s="107" t="inlineStr">
        <is>
          <t>FB092707D</t>
        </is>
      </c>
      <c r="J3762" s="65" t="inlineStr">
        <is>
          <t>N/D</t>
        </is>
      </c>
      <c r="K3762" s="65" t="inlineStr">
        <is>
          <t>N/D</t>
        </is>
      </c>
      <c r="L3762" s="127" t="inlineStr">
        <is>
          <t>BENELLI ARMI SPA</t>
        </is>
      </c>
      <c r="M3762" s="5" t="n">
        <v>556</v>
      </c>
      <c r="N3762" s="5" t="n"/>
      <c r="O3762" s="5">
        <f>+M3762+N3762</f>
        <v/>
      </c>
      <c r="P3762" s="4" t="n">
        <v>46002</v>
      </c>
      <c r="Q3762" s="87" t="n">
        <v>46002</v>
      </c>
      <c r="R3762" s="5" t="n"/>
      <c r="S3762" s="2" t="n"/>
      <c r="T3762" s="3" t="n"/>
      <c r="U3762" s="87" t="n"/>
      <c r="V3762" s="3" t="n"/>
      <c r="W3762" s="108" t="n"/>
      <c r="X3762" s="4" t="n"/>
    </row>
    <row r="3763" ht="24" customHeight="1">
      <c r="A3763" s="2">
        <f>+D3763-S3763</f>
        <v/>
      </c>
      <c r="B3763" s="80" t="n">
        <v>5353</v>
      </c>
      <c r="C3763" s="66" t="n">
        <v>46003</v>
      </c>
      <c r="D3763" s="2" t="n">
        <v>1</v>
      </c>
      <c r="E3763" s="3" t="inlineStr">
        <is>
          <t>CARABINA</t>
        </is>
      </c>
      <c r="F3763" s="3" t="inlineStr">
        <is>
          <t>223 REM</t>
        </is>
      </c>
      <c r="G3763" s="84" t="inlineStr">
        <is>
          <t>FRANCHI</t>
        </is>
      </c>
      <c r="H3763" s="107" t="inlineStr">
        <is>
          <t>HORIZON VARMINT BRONZE 24''</t>
        </is>
      </c>
      <c r="I3763" s="107" t="inlineStr">
        <is>
          <t>FB092708F</t>
        </is>
      </c>
      <c r="J3763" s="65" t="inlineStr">
        <is>
          <t>N/D</t>
        </is>
      </c>
      <c r="K3763" s="65" t="inlineStr">
        <is>
          <t>N/D</t>
        </is>
      </c>
      <c r="L3763" s="127" t="inlineStr">
        <is>
          <t>BENELLI ARMI SPA</t>
        </is>
      </c>
      <c r="M3763" s="5" t="n">
        <v>556</v>
      </c>
      <c r="N3763" s="5" t="n"/>
      <c r="O3763" s="5">
        <f>+M3763+N3763</f>
        <v/>
      </c>
      <c r="P3763" s="4" t="n">
        <v>46002</v>
      </c>
      <c r="Q3763" s="87" t="n">
        <v>46002</v>
      </c>
      <c r="R3763" s="5" t="n"/>
      <c r="S3763" s="2" t="n"/>
      <c r="T3763" s="3" t="n"/>
      <c r="U3763" s="87" t="n"/>
      <c r="V3763" s="3" t="n"/>
      <c r="W3763" s="108" t="n"/>
      <c r="X3763" s="4" t="n"/>
    </row>
    <row r="3764" ht="24" customHeight="1">
      <c r="A3764" s="2">
        <f>+D3764-S3764</f>
        <v/>
      </c>
      <c r="B3764" s="80" t="n">
        <v>5354</v>
      </c>
      <c r="C3764" s="66" t="n">
        <v>46003</v>
      </c>
      <c r="D3764" s="2" t="n">
        <v>1</v>
      </c>
      <c r="E3764" s="3" t="inlineStr">
        <is>
          <t>CARABINA</t>
        </is>
      </c>
      <c r="F3764" s="3" t="inlineStr">
        <is>
          <t>223 REM</t>
        </is>
      </c>
      <c r="G3764" s="84" t="inlineStr">
        <is>
          <t>FRANCHI</t>
        </is>
      </c>
      <c r="H3764" s="107" t="inlineStr">
        <is>
          <t>HORIZON VARMINT BRONZE 24''</t>
        </is>
      </c>
      <c r="I3764" s="107" t="inlineStr">
        <is>
          <t>FB092709H</t>
        </is>
      </c>
      <c r="J3764" s="65" t="inlineStr">
        <is>
          <t>N/D</t>
        </is>
      </c>
      <c r="K3764" s="65" t="inlineStr">
        <is>
          <t>N/D</t>
        </is>
      </c>
      <c r="L3764" s="127" t="inlineStr">
        <is>
          <t>BENELLI ARMI SPA</t>
        </is>
      </c>
      <c r="M3764" s="5" t="n">
        <v>556</v>
      </c>
      <c r="N3764" s="5" t="n"/>
      <c r="O3764" s="5">
        <f>+M3764+N3764</f>
        <v/>
      </c>
      <c r="P3764" s="4" t="n">
        <v>46002</v>
      </c>
      <c r="Q3764" s="87" t="n">
        <v>46002</v>
      </c>
      <c r="R3764" s="5" t="n"/>
      <c r="S3764" s="2" t="n"/>
      <c r="T3764" s="3" t="n"/>
      <c r="U3764" s="87" t="n"/>
      <c r="V3764" s="3" t="n"/>
      <c r="W3764" s="108" t="n"/>
      <c r="X3764" s="4" t="n"/>
    </row>
    <row r="3765" ht="24" customHeight="1">
      <c r="A3765" s="2">
        <f>+D3765-S3765</f>
        <v/>
      </c>
      <c r="B3765" s="80" t="n">
        <v>5355</v>
      </c>
      <c r="C3765" s="66" t="n">
        <v>46003</v>
      </c>
      <c r="D3765" s="2" t="n">
        <v>1</v>
      </c>
      <c r="E3765" s="3" t="inlineStr">
        <is>
          <t>CARABINA</t>
        </is>
      </c>
      <c r="F3765" s="3" t="inlineStr">
        <is>
          <t>223 REM</t>
        </is>
      </c>
      <c r="G3765" s="84" t="inlineStr">
        <is>
          <t>FRANCHI</t>
        </is>
      </c>
      <c r="H3765" s="107" t="inlineStr">
        <is>
          <t>HORIZON VARMINT BRONZE 24''</t>
        </is>
      </c>
      <c r="I3765" s="107" t="inlineStr">
        <is>
          <t>FB072559E</t>
        </is>
      </c>
      <c r="J3765" s="65" t="inlineStr">
        <is>
          <t>N/D</t>
        </is>
      </c>
      <c r="K3765" s="65" t="inlineStr">
        <is>
          <t>N/D</t>
        </is>
      </c>
      <c r="L3765" s="127" t="inlineStr">
        <is>
          <t>BENELLI ARMI SPA</t>
        </is>
      </c>
      <c r="M3765" s="5" t="n">
        <v>556</v>
      </c>
      <c r="N3765" s="5" t="n"/>
      <c r="O3765" s="5">
        <f>+M3765+N3765</f>
        <v/>
      </c>
      <c r="P3765" s="4" t="n">
        <v>46002</v>
      </c>
      <c r="Q3765" s="87" t="n">
        <v>46002</v>
      </c>
      <c r="R3765" s="5" t="n"/>
      <c r="S3765" s="2" t="n"/>
      <c r="T3765" s="3" t="n"/>
      <c r="U3765" s="87" t="n"/>
      <c r="V3765" s="3" t="n"/>
      <c r="W3765" s="108" t="n"/>
      <c r="X3765" s="4" t="n"/>
    </row>
    <row r="3766" ht="24" customHeight="1">
      <c r="A3766" s="2">
        <f>+D3766-S3766</f>
        <v/>
      </c>
      <c r="B3766" s="80" t="n">
        <v>5356</v>
      </c>
      <c r="C3766" s="66" t="n">
        <v>46003</v>
      </c>
      <c r="D3766" s="2" t="n">
        <v>1</v>
      </c>
      <c r="E3766" s="3" t="inlineStr">
        <is>
          <t>CARABINA</t>
        </is>
      </c>
      <c r="F3766" s="3" t="inlineStr">
        <is>
          <t>223 REM</t>
        </is>
      </c>
      <c r="G3766" s="84" t="inlineStr">
        <is>
          <t>FRANCHI</t>
        </is>
      </c>
      <c r="H3766" s="107" t="inlineStr">
        <is>
          <t>HORIZON VARMINT BRONZE 24''</t>
        </is>
      </c>
      <c r="I3766" s="107" t="inlineStr">
        <is>
          <t>FB072562Q</t>
        </is>
      </c>
      <c r="J3766" s="65" t="inlineStr">
        <is>
          <t>N/D</t>
        </is>
      </c>
      <c r="K3766" s="65" t="inlineStr">
        <is>
          <t>N/D</t>
        </is>
      </c>
      <c r="L3766" s="127" t="inlineStr">
        <is>
          <t>BENELLI ARMI SPA</t>
        </is>
      </c>
      <c r="M3766" s="5" t="n">
        <v>556</v>
      </c>
      <c r="N3766" s="5" t="n"/>
      <c r="O3766" s="5">
        <f>+M3766+N3766</f>
        <v/>
      </c>
      <c r="P3766" s="4" t="n">
        <v>46002</v>
      </c>
      <c r="Q3766" s="87" t="n">
        <v>46002</v>
      </c>
      <c r="R3766" s="5" t="n"/>
      <c r="S3766" s="2" t="n"/>
      <c r="T3766" s="3" t="n"/>
      <c r="U3766" s="87" t="n"/>
      <c r="V3766" s="3" t="n"/>
      <c r="W3766" s="108" t="n"/>
      <c r="X3766" s="4" t="n"/>
    </row>
    <row r="3767" ht="24" customHeight="1">
      <c r="A3767" s="2">
        <f>+D3767-S3767</f>
        <v/>
      </c>
      <c r="B3767" s="80" t="n">
        <v>5357</v>
      </c>
      <c r="C3767" s="66" t="n">
        <v>46003</v>
      </c>
      <c r="D3767" s="2" t="n">
        <v>1</v>
      </c>
      <c r="E3767" s="3" t="inlineStr">
        <is>
          <t>CARABINA</t>
        </is>
      </c>
      <c r="F3767" s="3" t="inlineStr">
        <is>
          <t>223 REM</t>
        </is>
      </c>
      <c r="G3767" s="84" t="inlineStr">
        <is>
          <t>FRANCHI</t>
        </is>
      </c>
      <c r="H3767" s="107" t="inlineStr">
        <is>
          <t>HORIZON VARMINT BRONZE 24''</t>
        </is>
      </c>
      <c r="I3767" s="107" t="inlineStr">
        <is>
          <t>FB072564U</t>
        </is>
      </c>
      <c r="J3767" s="65" t="inlineStr">
        <is>
          <t>N/D</t>
        </is>
      </c>
      <c r="K3767" s="65" t="inlineStr">
        <is>
          <t>N/D</t>
        </is>
      </c>
      <c r="L3767" s="127" t="inlineStr">
        <is>
          <t>BENELLI ARMI SPA</t>
        </is>
      </c>
      <c r="M3767" s="5" t="n">
        <v>556</v>
      </c>
      <c r="N3767" s="5" t="n"/>
      <c r="O3767" s="5">
        <f>+M3767+N3767</f>
        <v/>
      </c>
      <c r="P3767" s="4" t="n">
        <v>46002</v>
      </c>
      <c r="Q3767" s="87" t="n">
        <v>46002</v>
      </c>
      <c r="R3767" s="5" t="n"/>
      <c r="S3767" s="2" t="n"/>
      <c r="T3767" s="3" t="n"/>
      <c r="U3767" s="87" t="n"/>
      <c r="V3767" s="3" t="n"/>
      <c r="W3767" s="108" t="n"/>
      <c r="X3767" s="4" t="n"/>
    </row>
    <row r="3768" ht="24" customHeight="1">
      <c r="A3768" s="2">
        <f>+D3768-S3768</f>
        <v/>
      </c>
      <c r="B3768" s="80" t="n">
        <v>5358</v>
      </c>
      <c r="C3768" s="66" t="n">
        <v>46003</v>
      </c>
      <c r="D3768" s="2" t="n">
        <v>1</v>
      </c>
      <c r="E3768" s="3" t="inlineStr">
        <is>
          <t>CARABINA</t>
        </is>
      </c>
      <c r="F3768" s="3" t="inlineStr">
        <is>
          <t>223 REM</t>
        </is>
      </c>
      <c r="G3768" s="84" t="inlineStr">
        <is>
          <t>FRANCHI</t>
        </is>
      </c>
      <c r="H3768" s="107" t="inlineStr">
        <is>
          <t>HORIZON VARMINT BRONZE 24''</t>
        </is>
      </c>
      <c r="I3768" s="107" t="inlineStr">
        <is>
          <t>FB072565X</t>
        </is>
      </c>
      <c r="J3768" s="65" t="inlineStr">
        <is>
          <t>N/D</t>
        </is>
      </c>
      <c r="K3768" s="65" t="inlineStr">
        <is>
          <t>N/D</t>
        </is>
      </c>
      <c r="L3768" s="127" t="inlineStr">
        <is>
          <t>BENELLI ARMI SPA</t>
        </is>
      </c>
      <c r="M3768" s="5" t="n">
        <v>556</v>
      </c>
      <c r="N3768" s="5" t="n"/>
      <c r="O3768" s="5">
        <f>+M3768+N3768</f>
        <v/>
      </c>
      <c r="P3768" s="4" t="n">
        <v>46002</v>
      </c>
      <c r="Q3768" s="87" t="n">
        <v>46002</v>
      </c>
      <c r="R3768" s="5" t="n"/>
      <c r="S3768" s="2" t="n"/>
      <c r="T3768" s="3" t="n"/>
      <c r="U3768" s="87" t="n"/>
      <c r="V3768" s="3" t="n"/>
      <c r="W3768" s="108" t="n"/>
      <c r="X3768" s="4" t="n"/>
    </row>
    <row r="3769" ht="24" customHeight="1">
      <c r="A3769" s="2">
        <f>+D3769-S3769</f>
        <v/>
      </c>
      <c r="B3769" s="80" t="n">
        <v>5359</v>
      </c>
      <c r="C3769" s="66" t="n">
        <v>46003</v>
      </c>
      <c r="D3769" s="2" t="n">
        <v>1</v>
      </c>
      <c r="E3769" s="3" t="inlineStr">
        <is>
          <t>CARABINA</t>
        </is>
      </c>
      <c r="F3769" s="3" t="inlineStr">
        <is>
          <t>223 REM</t>
        </is>
      </c>
      <c r="G3769" s="84" t="inlineStr">
        <is>
          <t>FRANCHI</t>
        </is>
      </c>
      <c r="H3769" s="107" t="inlineStr">
        <is>
          <t>HORIZON VARMINT BRONZE 24''</t>
        </is>
      </c>
      <c r="I3769" s="107" t="inlineStr">
        <is>
          <t>FB072731P</t>
        </is>
      </c>
      <c r="J3769" s="65" t="inlineStr">
        <is>
          <t>N/D</t>
        </is>
      </c>
      <c r="K3769" s="65" t="inlineStr">
        <is>
          <t>N/D</t>
        </is>
      </c>
      <c r="L3769" s="127" t="inlineStr">
        <is>
          <t>BENELLI ARMI SPA</t>
        </is>
      </c>
      <c r="M3769" s="5" t="n">
        <v>556</v>
      </c>
      <c r="N3769" s="5" t="n"/>
      <c r="O3769" s="5">
        <f>+M3769+N3769</f>
        <v/>
      </c>
      <c r="P3769" s="4" t="n">
        <v>46002</v>
      </c>
      <c r="Q3769" s="87" t="n">
        <v>46002</v>
      </c>
      <c r="R3769" s="5" t="n"/>
      <c r="S3769" s="2" t="n"/>
      <c r="T3769" s="3" t="n"/>
      <c r="U3769" s="87" t="n"/>
      <c r="V3769" s="3" t="n"/>
      <c r="W3769" s="108" t="n"/>
      <c r="X3769" s="4" t="n"/>
    </row>
    <row r="3770" ht="24" customHeight="1">
      <c r="A3770" s="2">
        <f>+D3770-S3770</f>
        <v/>
      </c>
      <c r="B3770" s="80" t="n">
        <v>5360</v>
      </c>
      <c r="C3770" s="66" t="n">
        <v>46003</v>
      </c>
      <c r="D3770" s="2" t="n">
        <v>1</v>
      </c>
      <c r="E3770" s="3" t="inlineStr">
        <is>
          <t>CARABINA</t>
        </is>
      </c>
      <c r="F3770" s="3" t="inlineStr">
        <is>
          <t>223 REM</t>
        </is>
      </c>
      <c r="G3770" s="84" t="inlineStr">
        <is>
          <t>FRANCHI</t>
        </is>
      </c>
      <c r="H3770" s="107" t="inlineStr">
        <is>
          <t>HORIZON VARMINT BRONZE 24''</t>
        </is>
      </c>
      <c r="I3770" s="107" t="inlineStr">
        <is>
          <t>FB092683A</t>
        </is>
      </c>
      <c r="J3770" s="65" t="inlineStr">
        <is>
          <t>N/D</t>
        </is>
      </c>
      <c r="K3770" s="65" t="inlineStr">
        <is>
          <t>N/D</t>
        </is>
      </c>
      <c r="L3770" s="127" t="inlineStr">
        <is>
          <t>BENELLI ARMI SPA</t>
        </is>
      </c>
      <c r="M3770" s="5" t="n">
        <v>556</v>
      </c>
      <c r="N3770" s="5" t="n"/>
      <c r="O3770" s="5">
        <f>+M3770+N3770</f>
        <v/>
      </c>
      <c r="P3770" s="4" t="n">
        <v>46002</v>
      </c>
      <c r="Q3770" s="87" t="n">
        <v>46002</v>
      </c>
      <c r="R3770" s="5" t="n"/>
      <c r="S3770" s="2" t="n"/>
      <c r="T3770" s="3" t="n"/>
      <c r="U3770" s="87" t="n"/>
      <c r="V3770" s="3" t="n"/>
      <c r="W3770" s="108" t="n"/>
      <c r="X3770" s="4" t="n"/>
    </row>
    <row r="3771" ht="24" customHeight="1">
      <c r="A3771" s="2">
        <f>+D3771-S3771</f>
        <v/>
      </c>
      <c r="B3771" s="80" t="n">
        <v>5361</v>
      </c>
      <c r="C3771" s="66" t="n">
        <v>46003</v>
      </c>
      <c r="D3771" s="2" t="n">
        <v>1</v>
      </c>
      <c r="E3771" s="3" t="inlineStr">
        <is>
          <t>CARABINA</t>
        </is>
      </c>
      <c r="F3771" s="3" t="inlineStr">
        <is>
          <t>223 REM</t>
        </is>
      </c>
      <c r="G3771" s="84" t="inlineStr">
        <is>
          <t>FRANCHI</t>
        </is>
      </c>
      <c r="H3771" s="107" t="inlineStr">
        <is>
          <t>HORIZON VARMINT BRONZE 24''</t>
        </is>
      </c>
      <c r="I3771" s="107" t="inlineStr">
        <is>
          <t>FB092686H</t>
        </is>
      </c>
      <c r="J3771" s="65" t="inlineStr">
        <is>
          <t>N/D</t>
        </is>
      </c>
      <c r="K3771" s="65" t="inlineStr">
        <is>
          <t>N/D</t>
        </is>
      </c>
      <c r="L3771" s="127" t="inlineStr">
        <is>
          <t>BENELLI ARMI SPA</t>
        </is>
      </c>
      <c r="M3771" s="5" t="n">
        <v>556</v>
      </c>
      <c r="N3771" s="5" t="n"/>
      <c r="O3771" s="5">
        <f>+M3771+N3771</f>
        <v/>
      </c>
      <c r="P3771" s="4" t="n">
        <v>46002</v>
      </c>
      <c r="Q3771" s="87" t="n">
        <v>46002</v>
      </c>
      <c r="R3771" s="5" t="n"/>
      <c r="S3771" s="2" t="n"/>
      <c r="T3771" s="3" t="n"/>
      <c r="U3771" s="87" t="n"/>
      <c r="V3771" s="3" t="n"/>
      <c r="W3771" s="108" t="n"/>
      <c r="X3771" s="4" t="n"/>
    </row>
    <row r="3772" ht="24" customHeight="1">
      <c r="A3772" s="2">
        <f>+D3772-S3772</f>
        <v/>
      </c>
      <c r="B3772" s="80" t="n">
        <v>5362</v>
      </c>
      <c r="C3772" s="66" t="n">
        <v>46003</v>
      </c>
      <c r="D3772" s="2" t="n">
        <v>1</v>
      </c>
      <c r="E3772" s="3" t="inlineStr">
        <is>
          <t>CARABINA</t>
        </is>
      </c>
      <c r="F3772" s="3" t="inlineStr">
        <is>
          <t>223 REM</t>
        </is>
      </c>
      <c r="G3772" s="84" t="inlineStr">
        <is>
          <t>FRANCHI</t>
        </is>
      </c>
      <c r="H3772" s="107" t="inlineStr">
        <is>
          <t>HORIZON VARMINT BRONZE 24''</t>
        </is>
      </c>
      <c r="I3772" s="107" t="inlineStr">
        <is>
          <t>FB092688M</t>
        </is>
      </c>
      <c r="J3772" s="65" t="inlineStr">
        <is>
          <t>N/D</t>
        </is>
      </c>
      <c r="K3772" s="65" t="inlineStr">
        <is>
          <t>N/D</t>
        </is>
      </c>
      <c r="L3772" s="127" t="inlineStr">
        <is>
          <t>BENELLI ARMI SPA</t>
        </is>
      </c>
      <c r="M3772" s="5" t="n">
        <v>556</v>
      </c>
      <c r="N3772" s="5" t="n"/>
      <c r="O3772" s="5">
        <f>+M3772+N3772</f>
        <v/>
      </c>
      <c r="P3772" s="4" t="n">
        <v>46002</v>
      </c>
      <c r="Q3772" s="87" t="n">
        <v>46002</v>
      </c>
      <c r="R3772" s="5" t="n"/>
      <c r="S3772" s="2" t="n"/>
      <c r="T3772" s="3" t="n"/>
      <c r="U3772" s="87" t="n"/>
      <c r="V3772" s="3" t="n"/>
      <c r="W3772" s="108" t="n"/>
      <c r="X3772" s="4" t="n"/>
    </row>
    <row r="3773" ht="24" customHeight="1">
      <c r="A3773" s="2">
        <f>+D3773-S3773</f>
        <v/>
      </c>
      <c r="B3773" s="80" t="n">
        <v>5363</v>
      </c>
      <c r="C3773" s="66" t="n">
        <v>46003</v>
      </c>
      <c r="D3773" s="2" t="n">
        <v>1</v>
      </c>
      <c r="E3773" s="3" t="inlineStr">
        <is>
          <t>CARABINA</t>
        </is>
      </c>
      <c r="F3773" s="3" t="inlineStr">
        <is>
          <t>223 REM</t>
        </is>
      </c>
      <c r="G3773" s="84" t="inlineStr">
        <is>
          <t>FRANCHI</t>
        </is>
      </c>
      <c r="H3773" s="107" t="inlineStr">
        <is>
          <t>HORIZON VARMINT BRONZE 24''</t>
        </is>
      </c>
      <c r="I3773" s="107" t="inlineStr">
        <is>
          <t>FB092689P</t>
        </is>
      </c>
      <c r="J3773" s="65" t="inlineStr">
        <is>
          <t>N/D</t>
        </is>
      </c>
      <c r="K3773" s="65" t="inlineStr">
        <is>
          <t>N/D</t>
        </is>
      </c>
      <c r="L3773" s="127" t="inlineStr">
        <is>
          <t>BENELLI ARMI SPA</t>
        </is>
      </c>
      <c r="M3773" s="5" t="n">
        <v>556</v>
      </c>
      <c r="N3773" s="5" t="n"/>
      <c r="O3773" s="5">
        <f>+M3773+N3773</f>
        <v/>
      </c>
      <c r="P3773" s="4" t="n">
        <v>46002</v>
      </c>
      <c r="Q3773" s="87" t="n">
        <v>46002</v>
      </c>
      <c r="R3773" s="5" t="n"/>
      <c r="S3773" s="2" t="n"/>
      <c r="T3773" s="3" t="n"/>
      <c r="U3773" s="87" t="n"/>
      <c r="V3773" s="3" t="n"/>
      <c r="W3773" s="108" t="n"/>
      <c r="X3773" s="4" t="n"/>
    </row>
    <row r="3774" ht="24" customHeight="1">
      <c r="A3774" s="2">
        <f>+D3774-S3774</f>
        <v/>
      </c>
      <c r="B3774" s="80" t="n">
        <v>5364</v>
      </c>
      <c r="C3774" s="66" t="n">
        <v>46003</v>
      </c>
      <c r="D3774" s="2" t="n">
        <v>1</v>
      </c>
      <c r="E3774" s="3" t="inlineStr">
        <is>
          <t>CARABINA</t>
        </is>
      </c>
      <c r="F3774" s="3" t="inlineStr">
        <is>
          <t>223 REM</t>
        </is>
      </c>
      <c r="G3774" s="84" t="inlineStr">
        <is>
          <t>FRANCHI</t>
        </is>
      </c>
      <c r="H3774" s="107" t="inlineStr">
        <is>
          <t>HORIZON VARMINT BRONZE 24''</t>
        </is>
      </c>
      <c r="I3774" s="107" t="inlineStr">
        <is>
          <t>FB092692Z</t>
        </is>
      </c>
      <c r="J3774" s="65" t="inlineStr">
        <is>
          <t>N/D</t>
        </is>
      </c>
      <c r="K3774" s="65" t="inlineStr">
        <is>
          <t>N/D</t>
        </is>
      </c>
      <c r="L3774" s="127" t="inlineStr">
        <is>
          <t>BENELLI ARMI SPA</t>
        </is>
      </c>
      <c r="M3774" s="5" t="n">
        <v>556</v>
      </c>
      <c r="N3774" s="5" t="n"/>
      <c r="O3774" s="5">
        <f>+M3774+N3774</f>
        <v/>
      </c>
      <c r="P3774" s="4" t="n">
        <v>46002</v>
      </c>
      <c r="Q3774" s="87" t="n">
        <v>46002</v>
      </c>
      <c r="R3774" s="5" t="n"/>
      <c r="S3774" s="2" t="n"/>
      <c r="T3774" s="3" t="n"/>
      <c r="U3774" s="87" t="n"/>
      <c r="V3774" s="3" t="n"/>
      <c r="W3774" s="108" t="n"/>
      <c r="X3774" s="4" t="n"/>
    </row>
    <row r="3775" ht="24" customHeight="1">
      <c r="A3775" s="2">
        <f>+D3775-S3775</f>
        <v/>
      </c>
      <c r="B3775" s="80" t="n">
        <v>5365</v>
      </c>
      <c r="C3775" s="66" t="n">
        <v>46003</v>
      </c>
      <c r="D3775" s="2" t="n">
        <v>1</v>
      </c>
      <c r="E3775" s="3" t="inlineStr">
        <is>
          <t>CARABINA</t>
        </is>
      </c>
      <c r="F3775" s="3" t="inlineStr">
        <is>
          <t>223 REM</t>
        </is>
      </c>
      <c r="G3775" s="84" t="inlineStr">
        <is>
          <t>FRANCHI</t>
        </is>
      </c>
      <c r="H3775" s="107" t="inlineStr">
        <is>
          <t>HORIZON VARMINT BRONZE 24''</t>
        </is>
      </c>
      <c r="I3775" s="107" t="inlineStr">
        <is>
          <t>FB082072G</t>
        </is>
      </c>
      <c r="J3775" s="65" t="inlineStr">
        <is>
          <t>N/D</t>
        </is>
      </c>
      <c r="K3775" s="65" t="inlineStr">
        <is>
          <t>N/D</t>
        </is>
      </c>
      <c r="L3775" s="127" t="inlineStr">
        <is>
          <t>BENELLI ARMI SPA</t>
        </is>
      </c>
      <c r="M3775" s="5" t="n">
        <v>556</v>
      </c>
      <c r="N3775" s="5" t="n"/>
      <c r="O3775" s="5">
        <f>+M3775+N3775</f>
        <v/>
      </c>
      <c r="P3775" s="4" t="n">
        <v>46002</v>
      </c>
      <c r="Q3775" s="87" t="n">
        <v>46002</v>
      </c>
      <c r="R3775" s="5" t="n"/>
      <c r="S3775" s="2" t="n"/>
      <c r="T3775" s="3" t="n"/>
      <c r="U3775" s="87" t="n"/>
      <c r="V3775" s="3" t="n"/>
      <c r="W3775" s="108" t="n"/>
      <c r="X3775" s="4" t="n"/>
    </row>
    <row r="3776" ht="24" customHeight="1">
      <c r="A3776" s="2">
        <f>+D3776-S3776</f>
        <v/>
      </c>
      <c r="B3776" s="80" t="n">
        <v>5366</v>
      </c>
      <c r="C3776" s="66" t="n">
        <v>46003</v>
      </c>
      <c r="D3776" s="2" t="n">
        <v>1</v>
      </c>
      <c r="E3776" s="3" t="inlineStr">
        <is>
          <t>CARABINA</t>
        </is>
      </c>
      <c r="F3776" s="3" t="inlineStr">
        <is>
          <t>223 REM</t>
        </is>
      </c>
      <c r="G3776" s="84" t="inlineStr">
        <is>
          <t>FRANCHI</t>
        </is>
      </c>
      <c r="H3776" s="107" t="inlineStr">
        <is>
          <t>HORIZON VARMINT BRONZE 24''</t>
        </is>
      </c>
      <c r="I3776" s="107" t="inlineStr">
        <is>
          <t>FB082073J</t>
        </is>
      </c>
      <c r="J3776" s="65" t="inlineStr">
        <is>
          <t>N/D</t>
        </is>
      </c>
      <c r="K3776" s="65" t="inlineStr">
        <is>
          <t>N/D</t>
        </is>
      </c>
      <c r="L3776" s="127" t="inlineStr">
        <is>
          <t>BENELLI ARMI SPA</t>
        </is>
      </c>
      <c r="M3776" s="5" t="n">
        <v>556</v>
      </c>
      <c r="N3776" s="5" t="n"/>
      <c r="O3776" s="5">
        <f>+M3776+N3776</f>
        <v/>
      </c>
      <c r="P3776" s="4" t="n">
        <v>46002</v>
      </c>
      <c r="Q3776" s="87" t="n">
        <v>46002</v>
      </c>
      <c r="R3776" s="5" t="n"/>
      <c r="S3776" s="2" t="n"/>
      <c r="T3776" s="3" t="n"/>
      <c r="U3776" s="87" t="n"/>
      <c r="V3776" s="3" t="n"/>
      <c r="W3776" s="108" t="n"/>
      <c r="X3776" s="4" t="n"/>
    </row>
    <row r="3777" ht="24" customHeight="1">
      <c r="A3777" s="2">
        <f>+D3777-S3777</f>
        <v/>
      </c>
      <c r="B3777" s="80" t="n">
        <v>5367</v>
      </c>
      <c r="C3777" s="66" t="n">
        <v>46003</v>
      </c>
      <c r="D3777" s="2" t="n">
        <v>1</v>
      </c>
      <c r="E3777" s="3" t="inlineStr">
        <is>
          <t>CARABINA</t>
        </is>
      </c>
      <c r="F3777" s="3" t="inlineStr">
        <is>
          <t>223 REM</t>
        </is>
      </c>
      <c r="G3777" s="84" t="inlineStr">
        <is>
          <t>FRANCHI</t>
        </is>
      </c>
      <c r="H3777" s="107" t="inlineStr">
        <is>
          <t>HORIZON VARMINT BRONZE 24''</t>
        </is>
      </c>
      <c r="I3777" s="107" t="inlineStr">
        <is>
          <t>FB082079X</t>
        </is>
      </c>
      <c r="J3777" s="65" t="inlineStr">
        <is>
          <t>N/D</t>
        </is>
      </c>
      <c r="K3777" s="65" t="inlineStr">
        <is>
          <t>N/D</t>
        </is>
      </c>
      <c r="L3777" s="127" t="inlineStr">
        <is>
          <t>BENELLI ARMI SPA</t>
        </is>
      </c>
      <c r="M3777" s="5" t="n">
        <v>556</v>
      </c>
      <c r="N3777" s="5" t="n"/>
      <c r="O3777" s="5">
        <f>+M3777+N3777</f>
        <v/>
      </c>
      <c r="P3777" s="4" t="n">
        <v>46002</v>
      </c>
      <c r="Q3777" s="87" t="n">
        <v>46002</v>
      </c>
      <c r="R3777" s="5" t="n"/>
      <c r="S3777" s="2" t="n"/>
      <c r="T3777" s="3" t="n"/>
      <c r="U3777" s="87" t="n"/>
      <c r="V3777" s="3" t="n"/>
      <c r="W3777" s="108" t="n"/>
      <c r="X3777" s="4" t="n"/>
    </row>
    <row r="3778" ht="24" customHeight="1">
      <c r="A3778" s="2">
        <f>+D3778-S3778</f>
        <v/>
      </c>
      <c r="B3778" s="80" t="n">
        <v>5368</v>
      </c>
      <c r="C3778" s="66" t="n">
        <v>46003</v>
      </c>
      <c r="D3778" s="2" t="n">
        <v>1</v>
      </c>
      <c r="E3778" s="3" t="inlineStr">
        <is>
          <t>CARABINA</t>
        </is>
      </c>
      <c r="F3778" s="3" t="inlineStr">
        <is>
          <t>223 REM</t>
        </is>
      </c>
      <c r="G3778" s="84" t="inlineStr">
        <is>
          <t>FRANCHI</t>
        </is>
      </c>
      <c r="H3778" s="107" t="inlineStr">
        <is>
          <t>HORIZON VARMINT BRONZE 24''</t>
        </is>
      </c>
      <c r="I3778" s="107" t="inlineStr">
        <is>
          <t>FB082080D</t>
        </is>
      </c>
      <c r="J3778" s="65" t="inlineStr">
        <is>
          <t>N/D</t>
        </is>
      </c>
      <c r="K3778" s="65" t="inlineStr">
        <is>
          <t>N/D</t>
        </is>
      </c>
      <c r="L3778" s="127" t="inlineStr">
        <is>
          <t>BENELLI ARMI SPA</t>
        </is>
      </c>
      <c r="M3778" s="5" t="n">
        <v>556</v>
      </c>
      <c r="N3778" s="5" t="n"/>
      <c r="O3778" s="5">
        <f>+M3778+N3778</f>
        <v/>
      </c>
      <c r="P3778" s="4" t="n">
        <v>46002</v>
      </c>
      <c r="Q3778" s="87" t="n">
        <v>46002</v>
      </c>
      <c r="R3778" s="5" t="n"/>
      <c r="S3778" s="2" t="n"/>
      <c r="T3778" s="3" t="n"/>
      <c r="U3778" s="87" t="n"/>
      <c r="V3778" s="3" t="n"/>
      <c r="W3778" s="108" t="n"/>
      <c r="X3778" s="4" t="n"/>
    </row>
    <row r="3779" ht="24" customHeight="1">
      <c r="A3779" s="2">
        <f>+D3779-S3779</f>
        <v/>
      </c>
      <c r="B3779" s="80" t="n">
        <v>5369</v>
      </c>
      <c r="C3779" s="66" t="n">
        <v>46003</v>
      </c>
      <c r="D3779" s="2" t="n">
        <v>1</v>
      </c>
      <c r="E3779" s="3" t="inlineStr">
        <is>
          <t>CARABINA</t>
        </is>
      </c>
      <c r="F3779" s="3" t="inlineStr">
        <is>
          <t>223 REM</t>
        </is>
      </c>
      <c r="G3779" s="84" t="inlineStr">
        <is>
          <t>FRANCHI</t>
        </is>
      </c>
      <c r="H3779" s="107" t="inlineStr">
        <is>
          <t>HORIZON VARMINT BRONZE 24''</t>
        </is>
      </c>
      <c r="I3779" s="107" t="inlineStr">
        <is>
          <t>FB082082H</t>
        </is>
      </c>
      <c r="J3779" s="65" t="inlineStr">
        <is>
          <t>N/D</t>
        </is>
      </c>
      <c r="K3779" s="65" t="inlineStr">
        <is>
          <t>N/D</t>
        </is>
      </c>
      <c r="L3779" s="127" t="inlineStr">
        <is>
          <t>BENELLI ARMI SPA</t>
        </is>
      </c>
      <c r="M3779" s="5" t="n">
        <v>556</v>
      </c>
      <c r="N3779" s="5" t="n"/>
      <c r="O3779" s="5">
        <f>+M3779+N3779</f>
        <v/>
      </c>
      <c r="P3779" s="4" t="n">
        <v>46002</v>
      </c>
      <c r="Q3779" s="87" t="n">
        <v>46002</v>
      </c>
      <c r="R3779" s="5" t="n"/>
      <c r="S3779" s="2" t="n"/>
      <c r="T3779" s="3" t="n"/>
      <c r="U3779" s="87" t="n"/>
      <c r="V3779" s="3" t="n"/>
      <c r="W3779" s="108" t="n"/>
      <c r="X3779" s="4" t="n"/>
    </row>
    <row r="3780" ht="24" customHeight="1">
      <c r="A3780" s="2">
        <f>+D3780-S3780</f>
        <v/>
      </c>
      <c r="B3780" s="80" t="n">
        <v>5370</v>
      </c>
      <c r="C3780" s="66" t="n">
        <v>46003</v>
      </c>
      <c r="D3780" s="2" t="n">
        <v>1</v>
      </c>
      <c r="E3780" s="3" t="inlineStr">
        <is>
          <t>CARABINA</t>
        </is>
      </c>
      <c r="F3780" s="3" t="inlineStr">
        <is>
          <t>223 REM</t>
        </is>
      </c>
      <c r="G3780" s="84" t="inlineStr">
        <is>
          <t>FRANCHI</t>
        </is>
      </c>
      <c r="H3780" s="107" t="inlineStr">
        <is>
          <t>HORIZON VARMINT BRONZE 24''</t>
        </is>
      </c>
      <c r="I3780" s="107" t="inlineStr">
        <is>
          <t>FB092684C</t>
        </is>
      </c>
      <c r="J3780" s="65" t="inlineStr">
        <is>
          <t>N/D</t>
        </is>
      </c>
      <c r="K3780" s="65" t="inlineStr">
        <is>
          <t>N/D</t>
        </is>
      </c>
      <c r="L3780" s="127" t="inlineStr">
        <is>
          <t>BENELLI ARMI SPA</t>
        </is>
      </c>
      <c r="M3780" s="5" t="n">
        <v>556</v>
      </c>
      <c r="N3780" s="5" t="n"/>
      <c r="O3780" s="5">
        <f>+M3780+N3780</f>
        <v/>
      </c>
      <c r="P3780" s="4" t="n">
        <v>46002</v>
      </c>
      <c r="Q3780" s="87" t="n">
        <v>46002</v>
      </c>
      <c r="R3780" s="5" t="n"/>
      <c r="S3780" s="2" t="n"/>
      <c r="T3780" s="3" t="n"/>
      <c r="U3780" s="87" t="n"/>
      <c r="V3780" s="3" t="n"/>
      <c r="W3780" s="108" t="n"/>
      <c r="X3780" s="4" t="n"/>
    </row>
    <row r="3781" ht="24" customHeight="1">
      <c r="A3781" s="2">
        <f>+D3781-S3781</f>
        <v/>
      </c>
      <c r="B3781" s="80" t="n">
        <v>5371</v>
      </c>
      <c r="C3781" s="66" t="n">
        <v>46003</v>
      </c>
      <c r="D3781" s="2" t="n">
        <v>1</v>
      </c>
      <c r="E3781" s="3" t="inlineStr">
        <is>
          <t>CARABINA</t>
        </is>
      </c>
      <c r="F3781" s="3" t="inlineStr">
        <is>
          <t>223 REM</t>
        </is>
      </c>
      <c r="G3781" s="84" t="inlineStr">
        <is>
          <t>FRANCHI</t>
        </is>
      </c>
      <c r="H3781" s="107" t="inlineStr">
        <is>
          <t>HORIZON VARMINT BRONZE 24''</t>
        </is>
      </c>
      <c r="I3781" s="107" t="inlineStr">
        <is>
          <t>FB092685F</t>
        </is>
      </c>
      <c r="J3781" s="65" t="inlineStr">
        <is>
          <t>N/D</t>
        </is>
      </c>
      <c r="K3781" s="65" t="inlineStr">
        <is>
          <t>N/D</t>
        </is>
      </c>
      <c r="L3781" s="127" t="inlineStr">
        <is>
          <t>BENELLI ARMI SPA</t>
        </is>
      </c>
      <c r="M3781" s="5" t="n">
        <v>556</v>
      </c>
      <c r="N3781" s="5" t="n"/>
      <c r="O3781" s="5">
        <f>+M3781+N3781</f>
        <v/>
      </c>
      <c r="P3781" s="4" t="n">
        <v>46002</v>
      </c>
      <c r="Q3781" s="87" t="n">
        <v>46002</v>
      </c>
      <c r="R3781" s="5" t="n"/>
      <c r="S3781" s="2" t="n"/>
      <c r="T3781" s="3" t="n"/>
      <c r="U3781" s="87" t="n"/>
      <c r="V3781" s="3" t="n"/>
      <c r="W3781" s="108" t="n"/>
      <c r="X3781" s="4" t="n"/>
    </row>
    <row r="3782" ht="24" customHeight="1">
      <c r="A3782" s="2">
        <f>+D3782-S3782</f>
        <v/>
      </c>
      <c r="B3782" s="80" t="n">
        <v>5372</v>
      </c>
      <c r="C3782" s="66" t="n">
        <v>46003</v>
      </c>
      <c r="D3782" s="2" t="n">
        <v>1</v>
      </c>
      <c r="E3782" s="3" t="inlineStr">
        <is>
          <t>CARABINA</t>
        </is>
      </c>
      <c r="F3782" s="3" t="inlineStr">
        <is>
          <t>223 REM</t>
        </is>
      </c>
      <c r="G3782" s="84" t="inlineStr">
        <is>
          <t>FRANCHI</t>
        </is>
      </c>
      <c r="H3782" s="107" t="inlineStr">
        <is>
          <t>HORIZON VARMINT BRONZE 24''</t>
        </is>
      </c>
      <c r="I3782" s="107" t="inlineStr">
        <is>
          <t>FB092687K</t>
        </is>
      </c>
      <c r="J3782" s="65" t="inlineStr">
        <is>
          <t>N/D</t>
        </is>
      </c>
      <c r="K3782" s="65" t="inlineStr">
        <is>
          <t>N/D</t>
        </is>
      </c>
      <c r="L3782" s="127" t="inlineStr">
        <is>
          <t>BENELLI ARMI SPA</t>
        </is>
      </c>
      <c r="M3782" s="5" t="n">
        <v>556</v>
      </c>
      <c r="N3782" s="5" t="n"/>
      <c r="O3782" s="5">
        <f>+M3782+N3782</f>
        <v/>
      </c>
      <c r="P3782" s="4" t="n">
        <v>46002</v>
      </c>
      <c r="Q3782" s="87" t="n">
        <v>46002</v>
      </c>
      <c r="R3782" s="5" t="n"/>
      <c r="S3782" s="2" t="n"/>
      <c r="T3782" s="3" t="n"/>
      <c r="U3782" s="87" t="n"/>
      <c r="V3782" s="3" t="n"/>
      <c r="W3782" s="108" t="n"/>
      <c r="X3782" s="4" t="n"/>
    </row>
    <row r="3783" ht="24" customHeight="1">
      <c r="A3783" s="2">
        <f>+D3783-S3783</f>
        <v/>
      </c>
      <c r="B3783" s="80" t="n">
        <v>5373</v>
      </c>
      <c r="C3783" s="66" t="n">
        <v>46003</v>
      </c>
      <c r="D3783" s="2" t="n">
        <v>1</v>
      </c>
      <c r="E3783" s="3" t="inlineStr">
        <is>
          <t>CARABINA</t>
        </is>
      </c>
      <c r="F3783" s="3" t="inlineStr">
        <is>
          <t>223 REM</t>
        </is>
      </c>
      <c r="G3783" s="84" t="inlineStr">
        <is>
          <t>FRANCHI</t>
        </is>
      </c>
      <c r="H3783" s="107" t="inlineStr">
        <is>
          <t>HORIZON VARMINT BRONZE 24''</t>
        </is>
      </c>
      <c r="I3783" s="107" t="inlineStr">
        <is>
          <t>FB092690V</t>
        </is>
      </c>
      <c r="J3783" s="65" t="inlineStr">
        <is>
          <t>N/D</t>
        </is>
      </c>
      <c r="K3783" s="65" t="inlineStr">
        <is>
          <t>N/D</t>
        </is>
      </c>
      <c r="L3783" s="127" t="inlineStr">
        <is>
          <t>BENELLI ARMI SPA</t>
        </is>
      </c>
      <c r="M3783" s="5" t="n">
        <v>556</v>
      </c>
      <c r="N3783" s="5" t="n"/>
      <c r="O3783" s="5">
        <f>+M3783+N3783</f>
        <v/>
      </c>
      <c r="P3783" s="4" t="n">
        <v>46002</v>
      </c>
      <c r="Q3783" s="87" t="n">
        <v>46002</v>
      </c>
      <c r="R3783" s="5" t="n"/>
      <c r="S3783" s="2" t="n"/>
      <c r="T3783" s="3" t="n"/>
      <c r="U3783" s="87" t="n"/>
      <c r="V3783" s="3" t="n"/>
      <c r="W3783" s="108" t="n"/>
      <c r="X3783" s="4" t="n"/>
    </row>
    <row r="3784" ht="24" customHeight="1">
      <c r="A3784" s="2">
        <f>+D3784-S3784</f>
        <v/>
      </c>
      <c r="B3784" s="80" t="n">
        <v>5374</v>
      </c>
      <c r="C3784" s="66" t="n">
        <v>46003</v>
      </c>
      <c r="D3784" s="2" t="n">
        <v>1</v>
      </c>
      <c r="E3784" s="3" t="inlineStr">
        <is>
          <t>CARABINA</t>
        </is>
      </c>
      <c r="F3784" s="3" t="inlineStr">
        <is>
          <t>223 REM</t>
        </is>
      </c>
      <c r="G3784" s="84" t="inlineStr">
        <is>
          <t>FRANCHI</t>
        </is>
      </c>
      <c r="H3784" s="107" t="inlineStr">
        <is>
          <t>HORIZON VARMINT BRONZE 24''</t>
        </is>
      </c>
      <c r="I3784" s="107" t="inlineStr">
        <is>
          <t>FB092696J</t>
        </is>
      </c>
      <c r="J3784" s="65" t="inlineStr">
        <is>
          <t>N/D</t>
        </is>
      </c>
      <c r="K3784" s="65" t="inlineStr">
        <is>
          <t>N/D</t>
        </is>
      </c>
      <c r="L3784" s="127" t="inlineStr">
        <is>
          <t>BENELLI ARMI SPA</t>
        </is>
      </c>
      <c r="M3784" s="5" t="n">
        <v>556</v>
      </c>
      <c r="N3784" s="5" t="n"/>
      <c r="O3784" s="5">
        <f>+M3784+N3784</f>
        <v/>
      </c>
      <c r="P3784" s="4" t="n">
        <v>46002</v>
      </c>
      <c r="Q3784" s="87" t="n">
        <v>46002</v>
      </c>
      <c r="R3784" s="5" t="n"/>
      <c r="S3784" s="2" t="n"/>
      <c r="T3784" s="3" t="n"/>
      <c r="U3784" s="87" t="n"/>
      <c r="V3784" s="3" t="n"/>
      <c r="W3784" s="108" t="n"/>
      <c r="X3784" s="4" t="n"/>
    </row>
    <row r="3785" ht="24" customHeight="1">
      <c r="A3785" s="2">
        <f>+D3785-S3785</f>
        <v/>
      </c>
      <c r="B3785" s="80" t="n">
        <v>5375</v>
      </c>
      <c r="C3785" s="66" t="n">
        <v>46003</v>
      </c>
      <c r="D3785" s="2" t="n">
        <v>1</v>
      </c>
      <c r="E3785" s="3" t="inlineStr">
        <is>
          <t>CARABINA</t>
        </is>
      </c>
      <c r="F3785" s="3" t="inlineStr">
        <is>
          <t>223 REM</t>
        </is>
      </c>
      <c r="G3785" s="84" t="inlineStr">
        <is>
          <t>FRANCHI</t>
        </is>
      </c>
      <c r="H3785" s="107" t="inlineStr">
        <is>
          <t>HORIZON VARMINT BRONZE 24''</t>
        </is>
      </c>
      <c r="I3785" s="107" t="inlineStr">
        <is>
          <t>FB092717E</t>
        </is>
      </c>
      <c r="J3785" s="65" t="inlineStr">
        <is>
          <t>N/D</t>
        </is>
      </c>
      <c r="K3785" s="65" t="inlineStr">
        <is>
          <t>N/D</t>
        </is>
      </c>
      <c r="L3785" s="127" t="inlineStr">
        <is>
          <t>BENELLI ARMI SPA</t>
        </is>
      </c>
      <c r="M3785" s="5" t="n">
        <v>556</v>
      </c>
      <c r="N3785" s="5" t="n"/>
      <c r="O3785" s="5">
        <f>+M3785+N3785</f>
        <v/>
      </c>
      <c r="P3785" s="4" t="n">
        <v>46002</v>
      </c>
      <c r="Q3785" s="87" t="n">
        <v>46002</v>
      </c>
      <c r="R3785" s="5" t="n"/>
      <c r="S3785" s="2" t="n"/>
      <c r="T3785" s="3" t="n"/>
      <c r="U3785" s="87" t="n"/>
      <c r="V3785" s="3" t="n"/>
      <c r="W3785" s="108" t="n"/>
      <c r="X3785" s="4" t="n"/>
    </row>
    <row r="3786" ht="24" customHeight="1">
      <c r="A3786" s="2">
        <f>+D3786-S3786</f>
        <v/>
      </c>
      <c r="B3786" s="80" t="n">
        <v>5376</v>
      </c>
      <c r="C3786" s="66" t="n">
        <v>46003</v>
      </c>
      <c r="D3786" s="2" t="n">
        <v>1</v>
      </c>
      <c r="E3786" s="3" t="inlineStr">
        <is>
          <t>CARABINA</t>
        </is>
      </c>
      <c r="F3786" s="3" t="inlineStr">
        <is>
          <t>223 REM</t>
        </is>
      </c>
      <c r="G3786" s="84" t="inlineStr">
        <is>
          <t>FRANCHI</t>
        </is>
      </c>
      <c r="H3786" s="107" t="inlineStr">
        <is>
          <t>HORIZON VARMINT BRONZE 24''</t>
        </is>
      </c>
      <c r="I3786" s="107" t="inlineStr">
        <is>
          <t>FB092720Q</t>
        </is>
      </c>
      <c r="J3786" s="65" t="inlineStr">
        <is>
          <t>N/D</t>
        </is>
      </c>
      <c r="K3786" s="65" t="inlineStr">
        <is>
          <t>N/D</t>
        </is>
      </c>
      <c r="L3786" s="127" t="inlineStr">
        <is>
          <t>BENELLI ARMI SPA</t>
        </is>
      </c>
      <c r="M3786" s="5" t="n">
        <v>556</v>
      </c>
      <c r="N3786" s="5" t="n"/>
      <c r="O3786" s="5">
        <f>+M3786+N3786</f>
        <v/>
      </c>
      <c r="P3786" s="4" t="n">
        <v>46002</v>
      </c>
      <c r="Q3786" s="87" t="n">
        <v>46002</v>
      </c>
      <c r="R3786" s="5" t="n"/>
      <c r="S3786" s="2" t="n"/>
      <c r="T3786" s="3" t="n"/>
      <c r="U3786" s="87" t="n"/>
      <c r="V3786" s="3" t="n"/>
      <c r="W3786" s="108" t="n"/>
      <c r="X3786" s="4" t="n"/>
    </row>
    <row r="3787" ht="24" customHeight="1">
      <c r="A3787" s="2">
        <f>+D3787-S3787</f>
        <v/>
      </c>
      <c r="B3787" s="80" t="n">
        <v>5377</v>
      </c>
      <c r="C3787" s="66" t="n">
        <v>46003</v>
      </c>
      <c r="D3787" s="2" t="n">
        <v>1</v>
      </c>
      <c r="E3787" s="3" t="inlineStr">
        <is>
          <t>CARABINA</t>
        </is>
      </c>
      <c r="F3787" s="3" t="inlineStr">
        <is>
          <t>223 REM</t>
        </is>
      </c>
      <c r="G3787" s="84" t="inlineStr">
        <is>
          <t>FRANCHI</t>
        </is>
      </c>
      <c r="H3787" s="107" t="inlineStr">
        <is>
          <t>HORIZON VARMINT BRONZE 24''</t>
        </is>
      </c>
      <c r="I3787" s="107" t="inlineStr">
        <is>
          <t>FB092723W</t>
        </is>
      </c>
      <c r="J3787" s="65" t="inlineStr">
        <is>
          <t>N/D</t>
        </is>
      </c>
      <c r="K3787" s="65" t="inlineStr">
        <is>
          <t>N/D</t>
        </is>
      </c>
      <c r="L3787" s="127" t="inlineStr">
        <is>
          <t>BENELLI ARMI SPA</t>
        </is>
      </c>
      <c r="M3787" s="5" t="n">
        <v>556</v>
      </c>
      <c r="N3787" s="5" t="n"/>
      <c r="O3787" s="5">
        <f>+M3787+N3787</f>
        <v/>
      </c>
      <c r="P3787" s="4" t="n">
        <v>46002</v>
      </c>
      <c r="Q3787" s="87" t="n">
        <v>46002</v>
      </c>
      <c r="R3787" s="5" t="n"/>
      <c r="S3787" s="2" t="n"/>
      <c r="T3787" s="3" t="n"/>
      <c r="U3787" s="87" t="n"/>
      <c r="V3787" s="3" t="n"/>
      <c r="W3787" s="108" t="n"/>
      <c r="X3787" s="4" t="n"/>
    </row>
    <row r="3788" ht="24" customHeight="1">
      <c r="A3788" s="2">
        <f>+D3788-S3788</f>
        <v/>
      </c>
      <c r="B3788" s="80" t="n">
        <v>5378</v>
      </c>
      <c r="C3788" s="66" t="n">
        <v>46003</v>
      </c>
      <c r="D3788" s="2" t="n">
        <v>1</v>
      </c>
      <c r="E3788" s="3" t="inlineStr">
        <is>
          <t>CARABINA</t>
        </is>
      </c>
      <c r="F3788" s="3" t="inlineStr">
        <is>
          <t>223 REM</t>
        </is>
      </c>
      <c r="G3788" s="84" t="inlineStr">
        <is>
          <t>FRANCHI</t>
        </is>
      </c>
      <c r="H3788" s="107" t="inlineStr">
        <is>
          <t>HORIZON VARMINT BRONZE 24''</t>
        </is>
      </c>
      <c r="I3788" s="107" t="inlineStr">
        <is>
          <t>FB092726D</t>
        </is>
      </c>
      <c r="J3788" s="65" t="inlineStr">
        <is>
          <t>N/D</t>
        </is>
      </c>
      <c r="K3788" s="65" t="inlineStr">
        <is>
          <t>N/D</t>
        </is>
      </c>
      <c r="L3788" s="127" t="inlineStr">
        <is>
          <t>BENELLI ARMI SPA</t>
        </is>
      </c>
      <c r="M3788" s="5" t="n">
        <v>556</v>
      </c>
      <c r="N3788" s="5" t="n"/>
      <c r="O3788" s="5">
        <f>+M3788+N3788</f>
        <v/>
      </c>
      <c r="P3788" s="4" t="n">
        <v>46002</v>
      </c>
      <c r="Q3788" s="87" t="n">
        <v>46002</v>
      </c>
      <c r="R3788" s="5" t="n"/>
      <c r="S3788" s="2" t="n"/>
      <c r="T3788" s="3" t="n"/>
      <c r="U3788" s="87" t="n"/>
      <c r="V3788" s="3" t="n"/>
      <c r="W3788" s="108" t="n"/>
      <c r="X3788" s="4" t="n"/>
    </row>
    <row r="3789" ht="24" customHeight="1">
      <c r="A3789" s="2">
        <f>+D3789-S3789</f>
        <v/>
      </c>
      <c r="B3789" s="80" t="n">
        <v>5379</v>
      </c>
      <c r="C3789" s="66" t="n">
        <v>46003</v>
      </c>
      <c r="D3789" s="2" t="n">
        <v>1</v>
      </c>
      <c r="E3789" s="3" t="inlineStr">
        <is>
          <t>CARABINA</t>
        </is>
      </c>
      <c r="F3789" s="3" t="inlineStr">
        <is>
          <t>223 REM</t>
        </is>
      </c>
      <c r="G3789" s="84" t="inlineStr">
        <is>
          <t>FRANCHI</t>
        </is>
      </c>
      <c r="H3789" s="107" t="inlineStr">
        <is>
          <t>HORIZON VARMINT BRONZE 24''</t>
        </is>
      </c>
      <c r="I3789" s="107" t="inlineStr">
        <is>
          <t>FB092728H</t>
        </is>
      </c>
      <c r="J3789" s="65" t="inlineStr">
        <is>
          <t>N/D</t>
        </is>
      </c>
      <c r="K3789" s="65" t="inlineStr">
        <is>
          <t>N/D</t>
        </is>
      </c>
      <c r="L3789" s="127" t="inlineStr">
        <is>
          <t>BENELLI ARMI SPA</t>
        </is>
      </c>
      <c r="M3789" s="5" t="n">
        <v>556</v>
      </c>
      <c r="N3789" s="5" t="n"/>
      <c r="O3789" s="5">
        <f>+M3789+N3789</f>
        <v/>
      </c>
      <c r="P3789" s="4" t="n">
        <v>46002</v>
      </c>
      <c r="Q3789" s="87" t="n">
        <v>46002</v>
      </c>
      <c r="R3789" s="5" t="n"/>
      <c r="S3789" s="2" t="n"/>
      <c r="T3789" s="3" t="n"/>
      <c r="U3789" s="87" t="n"/>
      <c r="V3789" s="3" t="n"/>
      <c r="W3789" s="108" t="n"/>
      <c r="X3789" s="4" t="n"/>
    </row>
    <row r="3790" ht="24" customHeight="1">
      <c r="A3790" s="2">
        <f>+D3790-S3790</f>
        <v/>
      </c>
      <c r="B3790" s="80" t="n">
        <v>5380</v>
      </c>
      <c r="C3790" s="66" t="n">
        <v>46003</v>
      </c>
      <c r="D3790" s="2" t="n">
        <v>1</v>
      </c>
      <c r="E3790" s="3" t="inlineStr">
        <is>
          <t>CARABINA</t>
        </is>
      </c>
      <c r="F3790" s="3" t="inlineStr">
        <is>
          <t>223 REM</t>
        </is>
      </c>
      <c r="G3790" s="84" t="inlineStr">
        <is>
          <t>FRANCHI</t>
        </is>
      </c>
      <c r="H3790" s="107" t="inlineStr">
        <is>
          <t>HORIZON VARMINT BRONZE 24''</t>
        </is>
      </c>
      <c r="I3790" s="107" t="inlineStr">
        <is>
          <t>FB092714X</t>
        </is>
      </c>
      <c r="J3790" s="65" t="inlineStr">
        <is>
          <t>N/D</t>
        </is>
      </c>
      <c r="K3790" s="65" t="inlineStr">
        <is>
          <t>N/D</t>
        </is>
      </c>
      <c r="L3790" s="127" t="inlineStr">
        <is>
          <t>BENELLI ARMI SPA</t>
        </is>
      </c>
      <c r="M3790" s="5" t="n">
        <v>556</v>
      </c>
      <c r="N3790" s="5" t="n"/>
      <c r="O3790" s="5">
        <f>+M3790+N3790</f>
        <v/>
      </c>
      <c r="P3790" s="4" t="n">
        <v>46002</v>
      </c>
      <c r="Q3790" s="87" t="n">
        <v>46002</v>
      </c>
      <c r="R3790" s="5" t="n"/>
      <c r="S3790" s="2" t="n"/>
      <c r="T3790" s="3" t="n"/>
      <c r="U3790" s="87" t="n"/>
      <c r="V3790" s="3" t="n"/>
      <c r="W3790" s="108" t="n"/>
      <c r="X3790" s="4" t="n"/>
    </row>
    <row r="3791" ht="24" customHeight="1">
      <c r="A3791" s="2">
        <f>+D3791-S3791</f>
        <v/>
      </c>
      <c r="B3791" s="80" t="n">
        <v>5381</v>
      </c>
      <c r="C3791" s="66" t="n">
        <v>46003</v>
      </c>
      <c r="D3791" s="2" t="n">
        <v>1</v>
      </c>
      <c r="E3791" s="3" t="inlineStr">
        <is>
          <t>CARABINA</t>
        </is>
      </c>
      <c r="F3791" s="3" t="inlineStr">
        <is>
          <t>223 REM</t>
        </is>
      </c>
      <c r="G3791" s="84" t="inlineStr">
        <is>
          <t>FRANCHI</t>
        </is>
      </c>
      <c r="H3791" s="107" t="inlineStr">
        <is>
          <t>HORIZON VARMINT BRONZE 24''</t>
        </is>
      </c>
      <c r="I3791" s="107" t="inlineStr">
        <is>
          <t>FB092716C</t>
        </is>
      </c>
      <c r="J3791" s="65" t="inlineStr">
        <is>
          <t>N/D</t>
        </is>
      </c>
      <c r="K3791" s="65" t="inlineStr">
        <is>
          <t>N/D</t>
        </is>
      </c>
      <c r="L3791" s="127" t="inlineStr">
        <is>
          <t>BENELLI ARMI SPA</t>
        </is>
      </c>
      <c r="M3791" s="5" t="n">
        <v>556</v>
      </c>
      <c r="N3791" s="5" t="n"/>
      <c r="O3791" s="5">
        <f>+M3791+N3791</f>
        <v/>
      </c>
      <c r="P3791" s="4" t="n">
        <v>46002</v>
      </c>
      <c r="Q3791" s="87" t="n">
        <v>46002</v>
      </c>
      <c r="R3791" s="5" t="n"/>
      <c r="S3791" s="2" t="n"/>
      <c r="T3791" s="3" t="n"/>
      <c r="U3791" s="87" t="n"/>
      <c r="V3791" s="3" t="n"/>
      <c r="W3791" s="108" t="n"/>
      <c r="X3791" s="4" t="n"/>
    </row>
    <row r="3792" ht="24" customHeight="1">
      <c r="A3792" s="2">
        <f>+D3792-S3792</f>
        <v/>
      </c>
      <c r="B3792" s="80" t="n">
        <v>5382</v>
      </c>
      <c r="C3792" s="66" t="n">
        <v>46003</v>
      </c>
      <c r="D3792" s="2" t="n">
        <v>1</v>
      </c>
      <c r="E3792" s="3" t="inlineStr">
        <is>
          <t>CARABINA</t>
        </is>
      </c>
      <c r="F3792" s="3" t="inlineStr">
        <is>
          <t>223 REM</t>
        </is>
      </c>
      <c r="G3792" s="84" t="inlineStr">
        <is>
          <t>FRANCHI</t>
        </is>
      </c>
      <c r="H3792" s="107" t="inlineStr">
        <is>
          <t>HORIZON VARMINT BRONZE 24''</t>
        </is>
      </c>
      <c r="I3792" s="107" t="inlineStr">
        <is>
          <t>FB092719J</t>
        </is>
      </c>
      <c r="J3792" s="65" t="inlineStr">
        <is>
          <t>N/D</t>
        </is>
      </c>
      <c r="K3792" s="65" t="inlineStr">
        <is>
          <t>N/D</t>
        </is>
      </c>
      <c r="L3792" s="127" t="inlineStr">
        <is>
          <t>BENELLI ARMI SPA</t>
        </is>
      </c>
      <c r="M3792" s="5" t="n">
        <v>556</v>
      </c>
      <c r="N3792" s="5" t="n"/>
      <c r="O3792" s="5">
        <f>+M3792+N3792</f>
        <v/>
      </c>
      <c r="P3792" s="4" t="n">
        <v>46002</v>
      </c>
      <c r="Q3792" s="87" t="n">
        <v>46002</v>
      </c>
      <c r="R3792" s="5" t="n"/>
      <c r="S3792" s="2" t="n"/>
      <c r="T3792" s="3" t="n"/>
      <c r="U3792" s="87" t="n"/>
      <c r="V3792" s="3" t="n"/>
      <c r="W3792" s="108" t="n"/>
      <c r="X3792" s="4" t="n"/>
    </row>
    <row r="3793" ht="24" customHeight="1">
      <c r="A3793" s="2">
        <f>+D3793-S3793</f>
        <v/>
      </c>
      <c r="B3793" s="80" t="n">
        <v>5383</v>
      </c>
      <c r="C3793" s="66" t="n">
        <v>46003</v>
      </c>
      <c r="D3793" s="2" t="n">
        <v>1</v>
      </c>
      <c r="E3793" s="3" t="inlineStr">
        <is>
          <t>CARABINA</t>
        </is>
      </c>
      <c r="F3793" s="3" t="inlineStr">
        <is>
          <t>223 REM</t>
        </is>
      </c>
      <c r="G3793" s="84" t="inlineStr">
        <is>
          <t>FRANCHI</t>
        </is>
      </c>
      <c r="H3793" s="107" t="inlineStr">
        <is>
          <t>HORIZON VARMINT BRONZE 24''</t>
        </is>
      </c>
      <c r="I3793" s="107" t="inlineStr">
        <is>
          <t>FB092722U</t>
        </is>
      </c>
      <c r="J3793" s="65" t="inlineStr">
        <is>
          <t>N/D</t>
        </is>
      </c>
      <c r="K3793" s="65" t="inlineStr">
        <is>
          <t>N/D</t>
        </is>
      </c>
      <c r="L3793" s="127" t="inlineStr">
        <is>
          <t>BENELLI ARMI SPA</t>
        </is>
      </c>
      <c r="M3793" s="5" t="n">
        <v>556</v>
      </c>
      <c r="N3793" s="5" t="n"/>
      <c r="O3793" s="5">
        <f>+M3793+N3793</f>
        <v/>
      </c>
      <c r="P3793" s="4" t="n">
        <v>46002</v>
      </c>
      <c r="Q3793" s="87" t="n">
        <v>46002</v>
      </c>
      <c r="R3793" s="5" t="n"/>
      <c r="S3793" s="2" t="n"/>
      <c r="T3793" s="3" t="n"/>
      <c r="U3793" s="87" t="n"/>
      <c r="V3793" s="3" t="n"/>
      <c r="W3793" s="108" t="n"/>
      <c r="X3793" s="4" t="n"/>
    </row>
    <row r="3794" ht="24" customHeight="1">
      <c r="A3794" s="2">
        <f>+D3794-S3794</f>
        <v/>
      </c>
      <c r="B3794" s="80" t="n">
        <v>5384</v>
      </c>
      <c r="C3794" s="66" t="n">
        <v>46003</v>
      </c>
      <c r="D3794" s="2" t="n">
        <v>1</v>
      </c>
      <c r="E3794" s="3" t="inlineStr">
        <is>
          <t>CARABINA</t>
        </is>
      </c>
      <c r="F3794" s="3" t="inlineStr">
        <is>
          <t>223 REM</t>
        </is>
      </c>
      <c r="G3794" s="84" t="inlineStr">
        <is>
          <t>FRANCHI</t>
        </is>
      </c>
      <c r="H3794" s="107" t="inlineStr">
        <is>
          <t>HORIZON VARMINT BRONZE 24''</t>
        </is>
      </c>
      <c r="I3794" s="107" t="inlineStr">
        <is>
          <t>FB092725B</t>
        </is>
      </c>
      <c r="J3794" s="65" t="inlineStr">
        <is>
          <t>N/D</t>
        </is>
      </c>
      <c r="K3794" s="65" t="inlineStr">
        <is>
          <t>N/D</t>
        </is>
      </c>
      <c r="L3794" s="127" t="inlineStr">
        <is>
          <t>BENELLI ARMI SPA</t>
        </is>
      </c>
      <c r="M3794" s="5" t="n">
        <v>556</v>
      </c>
      <c r="N3794" s="5" t="n"/>
      <c r="O3794" s="5">
        <f>+M3794+N3794</f>
        <v/>
      </c>
      <c r="P3794" s="4" t="n">
        <v>46002</v>
      </c>
      <c r="Q3794" s="87" t="n">
        <v>46002</v>
      </c>
      <c r="R3794" s="5" t="n"/>
      <c r="S3794" s="2" t="n"/>
      <c r="T3794" s="3" t="n"/>
      <c r="U3794" s="87" t="n"/>
      <c r="V3794" s="3" t="n"/>
      <c r="W3794" s="108" t="n"/>
      <c r="X3794" s="4" t="n"/>
    </row>
    <row r="3795" ht="24" customHeight="1">
      <c r="A3795" s="2">
        <f>+D3795-S3795</f>
        <v/>
      </c>
      <c r="B3795" s="80" t="n">
        <v>5385</v>
      </c>
      <c r="C3795" s="66" t="n">
        <v>46003</v>
      </c>
      <c r="D3795" s="2" t="n">
        <v>1</v>
      </c>
      <c r="E3795" s="3" t="inlineStr">
        <is>
          <t>CARABINA</t>
        </is>
      </c>
      <c r="F3795" s="3" t="inlineStr">
        <is>
          <t>223 REM</t>
        </is>
      </c>
      <c r="G3795" s="84" t="inlineStr">
        <is>
          <t>FRANCHI</t>
        </is>
      </c>
      <c r="H3795" s="107" t="inlineStr">
        <is>
          <t>HORIZON VARMINT BRONZE 24''</t>
        </is>
      </c>
      <c r="I3795" s="107" t="inlineStr">
        <is>
          <t>FB082631P</t>
        </is>
      </c>
      <c r="J3795" s="65" t="inlineStr">
        <is>
          <t>N/D</t>
        </is>
      </c>
      <c r="K3795" s="65" t="inlineStr">
        <is>
          <t>N/D</t>
        </is>
      </c>
      <c r="L3795" s="127" t="inlineStr">
        <is>
          <t>BENELLI ARMI SPA</t>
        </is>
      </c>
      <c r="M3795" s="5" t="n">
        <v>638</v>
      </c>
      <c r="N3795" s="5" t="n"/>
      <c r="O3795" s="5">
        <f>+M3795+N3795</f>
        <v/>
      </c>
      <c r="P3795" s="4" t="n">
        <v>46002</v>
      </c>
      <c r="Q3795" s="87" t="n">
        <v>46002</v>
      </c>
      <c r="R3795" s="5" t="n"/>
      <c r="S3795" s="2" t="n"/>
      <c r="T3795" s="3" t="n"/>
      <c r="U3795" s="87" t="n"/>
      <c r="V3795" s="3" t="n"/>
      <c r="W3795" s="108" t="n"/>
      <c r="X3795" s="4" t="n"/>
    </row>
    <row r="3796" ht="24" customHeight="1">
      <c r="A3796" s="2">
        <f>+D3796-S3796</f>
        <v/>
      </c>
      <c r="B3796" s="80" t="n">
        <v>5386</v>
      </c>
      <c r="C3796" s="66" t="n">
        <v>46003</v>
      </c>
      <c r="D3796" s="2" t="n">
        <v>1</v>
      </c>
      <c r="E3796" s="3" t="inlineStr">
        <is>
          <t>CARABINA</t>
        </is>
      </c>
      <c r="F3796" s="3" t="inlineStr">
        <is>
          <t>223 REM</t>
        </is>
      </c>
      <c r="G3796" s="84" t="inlineStr">
        <is>
          <t>FRANCHI</t>
        </is>
      </c>
      <c r="H3796" s="107" t="inlineStr">
        <is>
          <t>HORIZON VARMINT BRONZE 24''</t>
        </is>
      </c>
      <c r="I3796" s="107" t="inlineStr">
        <is>
          <t>FB093003E</t>
        </is>
      </c>
      <c r="J3796" s="65" t="inlineStr">
        <is>
          <t>N/D</t>
        </is>
      </c>
      <c r="K3796" s="65" t="inlineStr">
        <is>
          <t>N/D</t>
        </is>
      </c>
      <c r="L3796" s="127" t="inlineStr">
        <is>
          <t>BENELLI ARMI SPA</t>
        </is>
      </c>
      <c r="M3796" s="5" t="n">
        <v>638</v>
      </c>
      <c r="N3796" s="5" t="n"/>
      <c r="O3796" s="5">
        <f>+M3796+N3796</f>
        <v/>
      </c>
      <c r="P3796" s="4" t="n">
        <v>46002</v>
      </c>
      <c r="Q3796" s="87" t="n">
        <v>46002</v>
      </c>
      <c r="R3796" s="5" t="n"/>
      <c r="S3796" s="2" t="n"/>
      <c r="T3796" s="3" t="n"/>
      <c r="U3796" s="87" t="n"/>
      <c r="V3796" s="3" t="n"/>
      <c r="W3796" s="108" t="n"/>
      <c r="X3796" s="4" t="n"/>
    </row>
    <row r="3797" ht="24" customHeight="1">
      <c r="A3797" s="2">
        <f>+D3797-S3797</f>
        <v/>
      </c>
      <c r="B3797" s="80" t="n">
        <v>5387</v>
      </c>
      <c r="C3797" s="66" t="n">
        <v>46003</v>
      </c>
      <c r="D3797" s="2" t="n">
        <v>1</v>
      </c>
      <c r="E3797" s="3" t="inlineStr">
        <is>
          <t>CARABINA</t>
        </is>
      </c>
      <c r="F3797" s="3" t="inlineStr">
        <is>
          <t>223 REM</t>
        </is>
      </c>
      <c r="G3797" s="84" t="inlineStr">
        <is>
          <t>FRANCHI</t>
        </is>
      </c>
      <c r="H3797" s="107" t="inlineStr">
        <is>
          <t>HORIZON VARMINT BRONZE 24''</t>
        </is>
      </c>
      <c r="I3797" s="107" t="inlineStr">
        <is>
          <t>FB093575D</t>
        </is>
      </c>
      <c r="J3797" s="65" t="inlineStr">
        <is>
          <t>N/D</t>
        </is>
      </c>
      <c r="K3797" s="65" t="inlineStr">
        <is>
          <t>N/D</t>
        </is>
      </c>
      <c r="L3797" s="127" t="inlineStr">
        <is>
          <t>BENELLI ARMI SPA</t>
        </is>
      </c>
      <c r="M3797" s="5" t="n">
        <v>638</v>
      </c>
      <c r="N3797" s="5" t="n"/>
      <c r="O3797" s="5">
        <f>+M3797+N3797</f>
        <v/>
      </c>
      <c r="P3797" s="4" t="n">
        <v>46002</v>
      </c>
      <c r="Q3797" s="87" t="n">
        <v>46002</v>
      </c>
      <c r="R3797" s="5" t="n"/>
      <c r="S3797" s="2" t="n"/>
      <c r="T3797" s="3" t="n"/>
      <c r="U3797" s="87" t="n"/>
      <c r="V3797" s="3" t="n"/>
      <c r="W3797" s="108" t="n"/>
      <c r="X3797" s="4" t="n"/>
    </row>
    <row r="3798" ht="24" customHeight="1">
      <c r="A3798" s="2">
        <f>+D3798-S3798</f>
        <v/>
      </c>
      <c r="B3798" s="80" t="n">
        <v>5388</v>
      </c>
      <c r="C3798" s="66" t="n">
        <v>46003</v>
      </c>
      <c r="D3798" s="2" t="n">
        <v>1</v>
      </c>
      <c r="E3798" s="3" t="inlineStr">
        <is>
          <t>CARABINA</t>
        </is>
      </c>
      <c r="F3798" s="3" t="inlineStr">
        <is>
          <t>223 REM</t>
        </is>
      </c>
      <c r="G3798" s="84" t="inlineStr">
        <is>
          <t>FRANCHI</t>
        </is>
      </c>
      <c r="H3798" s="107" t="inlineStr">
        <is>
          <t>HORIZON VARMINT BRONZE 24''</t>
        </is>
      </c>
      <c r="I3798" s="107" t="inlineStr">
        <is>
          <t>FB093576F</t>
        </is>
      </c>
      <c r="J3798" s="65" t="inlineStr">
        <is>
          <t>N/D</t>
        </is>
      </c>
      <c r="K3798" s="65" t="inlineStr">
        <is>
          <t>N/D</t>
        </is>
      </c>
      <c r="L3798" s="127" t="inlineStr">
        <is>
          <t>BENELLI ARMI SPA</t>
        </is>
      </c>
      <c r="M3798" s="5" t="n">
        <v>638</v>
      </c>
      <c r="N3798" s="5" t="n"/>
      <c r="O3798" s="5">
        <f>+M3798+N3798</f>
        <v/>
      </c>
      <c r="P3798" s="4" t="n">
        <v>46002</v>
      </c>
      <c r="Q3798" s="87" t="n">
        <v>46002</v>
      </c>
      <c r="R3798" s="5" t="n"/>
      <c r="S3798" s="2" t="n"/>
      <c r="T3798" s="3" t="n"/>
      <c r="U3798" s="87" t="n"/>
      <c r="V3798" s="3" t="n"/>
      <c r="W3798" s="108" t="n"/>
      <c r="X3798" s="4" t="n"/>
    </row>
    <row r="3799" ht="24" customHeight="1">
      <c r="A3799" s="2">
        <f>+D3799-S3799</f>
        <v/>
      </c>
      <c r="B3799" s="80" t="n">
        <v>5389</v>
      </c>
      <c r="C3799" s="66" t="n">
        <v>46003</v>
      </c>
      <c r="D3799" s="2" t="n">
        <v>1</v>
      </c>
      <c r="E3799" s="3" t="inlineStr">
        <is>
          <t>CARABINA</t>
        </is>
      </c>
      <c r="F3799" s="3" t="inlineStr">
        <is>
          <t>223 REM</t>
        </is>
      </c>
      <c r="G3799" s="84" t="inlineStr">
        <is>
          <t>FRANCHI</t>
        </is>
      </c>
      <c r="H3799" s="107" t="inlineStr">
        <is>
          <t>HORIZON VARMINT BRONZE 24''</t>
        </is>
      </c>
      <c r="I3799" s="107" t="inlineStr">
        <is>
          <t>FB093579M</t>
        </is>
      </c>
      <c r="J3799" s="65" t="inlineStr">
        <is>
          <t>N/D</t>
        </is>
      </c>
      <c r="K3799" s="65" t="inlineStr">
        <is>
          <t>N/D</t>
        </is>
      </c>
      <c r="L3799" s="127" t="inlineStr">
        <is>
          <t>BENELLI ARMI SPA</t>
        </is>
      </c>
      <c r="M3799" s="5" t="n">
        <v>638</v>
      </c>
      <c r="N3799" s="5" t="n"/>
      <c r="O3799" s="5">
        <f>+M3799+N3799</f>
        <v/>
      </c>
      <c r="P3799" s="4" t="n">
        <v>46002</v>
      </c>
      <c r="Q3799" s="87" t="n">
        <v>46002</v>
      </c>
      <c r="R3799" s="5" t="n"/>
      <c r="S3799" s="2" t="n"/>
      <c r="T3799" s="3" t="n"/>
      <c r="U3799" s="87" t="n"/>
      <c r="V3799" s="3" t="n"/>
      <c r="W3799" s="108" t="n"/>
      <c r="X3799" s="4" t="n"/>
    </row>
    <row r="3800" ht="24" customHeight="1">
      <c r="A3800" s="2">
        <f>+D3800-S3800</f>
        <v/>
      </c>
      <c r="B3800" s="80" t="n">
        <v>5390</v>
      </c>
      <c r="C3800" s="66" t="n">
        <v>46003</v>
      </c>
      <c r="D3800" s="2" t="n">
        <v>1</v>
      </c>
      <c r="E3800" s="3" t="inlineStr">
        <is>
          <t>CARABINA</t>
        </is>
      </c>
      <c r="F3800" s="3" t="inlineStr">
        <is>
          <t>223 REM</t>
        </is>
      </c>
      <c r="G3800" s="84" t="inlineStr">
        <is>
          <t>FRANCHI</t>
        </is>
      </c>
      <c r="H3800" s="107" t="inlineStr">
        <is>
          <t>HORIZON VARMINT BRONZE 24''</t>
        </is>
      </c>
      <c r="I3800" s="107" t="inlineStr">
        <is>
          <t>FB082630M</t>
        </is>
      </c>
      <c r="J3800" s="65" t="inlineStr">
        <is>
          <t>N/D</t>
        </is>
      </c>
      <c r="K3800" s="65" t="inlineStr">
        <is>
          <t>N/D</t>
        </is>
      </c>
      <c r="L3800" s="127" t="inlineStr">
        <is>
          <t>BENELLI ARMI SPA</t>
        </is>
      </c>
      <c r="M3800" s="5" t="n">
        <v>638</v>
      </c>
      <c r="N3800" s="5" t="n"/>
      <c r="O3800" s="5">
        <f>+M3800+N3800</f>
        <v/>
      </c>
      <c r="P3800" s="4" t="n">
        <v>46002</v>
      </c>
      <c r="Q3800" s="87" t="n">
        <v>46002</v>
      </c>
      <c r="R3800" s="5" t="n"/>
      <c r="S3800" s="2" t="n"/>
      <c r="T3800" s="3" t="n"/>
      <c r="U3800" s="87" t="n"/>
      <c r="V3800" s="3" t="n"/>
      <c r="W3800" s="108" t="n"/>
      <c r="X3800" s="4" t="n"/>
    </row>
    <row r="3801" ht="24" customHeight="1">
      <c r="A3801" s="2">
        <f>+D3801-S3801</f>
        <v/>
      </c>
      <c r="B3801" s="80" t="n">
        <v>5391</v>
      </c>
      <c r="C3801" s="66" t="n">
        <v>46003</v>
      </c>
      <c r="D3801" s="2" t="n">
        <v>1</v>
      </c>
      <c r="E3801" s="3" t="inlineStr">
        <is>
          <t>CARABINA</t>
        </is>
      </c>
      <c r="F3801" s="3" t="inlineStr">
        <is>
          <t>223 REM</t>
        </is>
      </c>
      <c r="G3801" s="84" t="inlineStr">
        <is>
          <t>FRANCHI</t>
        </is>
      </c>
      <c r="H3801" s="107" t="inlineStr">
        <is>
          <t>HORIZON VARMINT BRONZE 24''</t>
        </is>
      </c>
      <c r="I3801" s="107" t="inlineStr">
        <is>
          <t>FB093006M</t>
        </is>
      </c>
      <c r="J3801" s="65" t="inlineStr">
        <is>
          <t>N/D</t>
        </is>
      </c>
      <c r="K3801" s="65" t="inlineStr">
        <is>
          <t>N/D</t>
        </is>
      </c>
      <c r="L3801" s="127" t="inlineStr">
        <is>
          <t>BENELLI ARMI SPA</t>
        </is>
      </c>
      <c r="M3801" s="5" t="n">
        <v>638</v>
      </c>
      <c r="N3801" s="5" t="n"/>
      <c r="O3801" s="5">
        <f>+M3801+N3801</f>
        <v/>
      </c>
      <c r="P3801" s="4" t="n">
        <v>46002</v>
      </c>
      <c r="Q3801" s="87" t="n">
        <v>46002</v>
      </c>
      <c r="R3801" s="5" t="n"/>
      <c r="S3801" s="2" t="n"/>
      <c r="T3801" s="3" t="n"/>
      <c r="U3801" s="87" t="n"/>
      <c r="V3801" s="3" t="n"/>
      <c r="W3801" s="108" t="n"/>
      <c r="X3801" s="4" t="n"/>
    </row>
    <row r="3802" ht="24" customHeight="1">
      <c r="A3802" s="2">
        <f>+D3802-S3802</f>
        <v/>
      </c>
      <c r="B3802" s="80" t="n">
        <v>5392</v>
      </c>
      <c r="C3802" s="66" t="n">
        <v>46003</v>
      </c>
      <c r="D3802" s="2" t="n">
        <v>1</v>
      </c>
      <c r="E3802" s="3" t="inlineStr">
        <is>
          <t>CARABINA</t>
        </is>
      </c>
      <c r="F3802" s="3" t="inlineStr">
        <is>
          <t>223 REM</t>
        </is>
      </c>
      <c r="G3802" s="84" t="inlineStr">
        <is>
          <t>FRANCHI</t>
        </is>
      </c>
      <c r="H3802" s="107" t="inlineStr">
        <is>
          <t>HORIZON VARMINT BRONZE 24''</t>
        </is>
      </c>
      <c r="I3802" s="107" t="inlineStr">
        <is>
          <t>FB092710P</t>
        </is>
      </c>
      <c r="J3802" s="65" t="inlineStr">
        <is>
          <t>N/D</t>
        </is>
      </c>
      <c r="K3802" s="65" t="inlineStr">
        <is>
          <t>N/D</t>
        </is>
      </c>
      <c r="L3802" s="127" t="inlineStr">
        <is>
          <t>BENELLI ARMI SPA</t>
        </is>
      </c>
      <c r="M3802" s="5" t="n">
        <v>556</v>
      </c>
      <c r="N3802" s="5" t="n"/>
      <c r="O3802" s="5">
        <f>+M3802+N3802</f>
        <v/>
      </c>
      <c r="P3802" s="4" t="n">
        <v>46002</v>
      </c>
      <c r="Q3802" s="87" t="n">
        <v>46002</v>
      </c>
      <c r="R3802" s="5" t="n"/>
      <c r="S3802" s="2" t="n"/>
      <c r="T3802" s="3" t="n"/>
      <c r="U3802" s="87" t="n"/>
      <c r="V3802" s="3" t="n"/>
      <c r="W3802" s="108" t="n"/>
      <c r="X3802" s="4" t="n"/>
    </row>
    <row r="3803" ht="24" customHeight="1">
      <c r="A3803" s="2">
        <f>+D3803-S3803</f>
        <v/>
      </c>
      <c r="B3803" s="80" t="n">
        <v>5393</v>
      </c>
      <c r="C3803" s="66" t="n">
        <v>46003</v>
      </c>
      <c r="D3803" s="2" t="n">
        <v>1</v>
      </c>
      <c r="E3803" s="3" t="inlineStr">
        <is>
          <t>CARABINA</t>
        </is>
      </c>
      <c r="F3803" s="3" t="inlineStr">
        <is>
          <t>223 REM</t>
        </is>
      </c>
      <c r="G3803" s="84" t="inlineStr">
        <is>
          <t>FRANCHI</t>
        </is>
      </c>
      <c r="H3803" s="107" t="inlineStr">
        <is>
          <t>HORIZON VARMINT BRONZE 24''</t>
        </is>
      </c>
      <c r="I3803" s="107" t="inlineStr">
        <is>
          <t>FB092712T</t>
        </is>
      </c>
      <c r="J3803" s="65" t="inlineStr">
        <is>
          <t>N/D</t>
        </is>
      </c>
      <c r="K3803" s="65" t="inlineStr">
        <is>
          <t>N/D</t>
        </is>
      </c>
      <c r="L3803" s="127" t="inlineStr">
        <is>
          <t>BENELLI ARMI SPA</t>
        </is>
      </c>
      <c r="M3803" s="5" t="n">
        <v>556</v>
      </c>
      <c r="N3803" s="5" t="n"/>
      <c r="O3803" s="5">
        <f>+M3803+N3803</f>
        <v/>
      </c>
      <c r="P3803" s="4" t="n">
        <v>46002</v>
      </c>
      <c r="Q3803" s="87" t="n">
        <v>46002</v>
      </c>
      <c r="R3803" s="5" t="n"/>
      <c r="S3803" s="2" t="n"/>
      <c r="T3803" s="3" t="n"/>
      <c r="U3803" s="87" t="n"/>
      <c r="V3803" s="3" t="n"/>
      <c r="W3803" s="108" t="n"/>
      <c r="X3803" s="4" t="n"/>
    </row>
    <row r="3804" ht="24" customHeight="1">
      <c r="A3804" s="2">
        <f>+D3804-S3804</f>
        <v/>
      </c>
      <c r="B3804" s="80" t="n">
        <v>5394</v>
      </c>
      <c r="C3804" s="66" t="n">
        <v>46003</v>
      </c>
      <c r="D3804" s="2" t="n">
        <v>1</v>
      </c>
      <c r="E3804" s="3" t="inlineStr">
        <is>
          <t>CARABINA</t>
        </is>
      </c>
      <c r="F3804" s="3" t="inlineStr">
        <is>
          <t>223 REM</t>
        </is>
      </c>
      <c r="G3804" s="84" t="inlineStr">
        <is>
          <t>FRANCHI</t>
        </is>
      </c>
      <c r="H3804" s="107" t="inlineStr">
        <is>
          <t>HORIZON VARMINT BRONZE 24''</t>
        </is>
      </c>
      <c r="I3804" s="107" t="inlineStr">
        <is>
          <t>FB092713V</t>
        </is>
      </c>
      <c r="J3804" s="65" t="inlineStr">
        <is>
          <t>N/D</t>
        </is>
      </c>
      <c r="K3804" s="65" t="inlineStr">
        <is>
          <t>N/D</t>
        </is>
      </c>
      <c r="L3804" s="127" t="inlineStr">
        <is>
          <t>BENELLI ARMI SPA</t>
        </is>
      </c>
      <c r="M3804" s="5" t="n">
        <v>556</v>
      </c>
      <c r="N3804" s="5" t="n"/>
      <c r="O3804" s="5">
        <f>+M3804+N3804</f>
        <v/>
      </c>
      <c r="P3804" s="4" t="n">
        <v>46002</v>
      </c>
      <c r="Q3804" s="87" t="n">
        <v>46002</v>
      </c>
      <c r="R3804" s="5" t="n"/>
      <c r="S3804" s="2" t="n"/>
      <c r="T3804" s="3" t="n"/>
      <c r="U3804" s="87" t="n"/>
      <c r="V3804" s="3" t="n"/>
      <c r="W3804" s="108" t="n"/>
      <c r="X3804" s="4" t="n"/>
    </row>
    <row r="3805" ht="24" customHeight="1">
      <c r="A3805" s="2">
        <f>+D3805-S3805</f>
        <v/>
      </c>
      <c r="B3805" s="80" t="n">
        <v>5395</v>
      </c>
      <c r="C3805" s="66" t="n">
        <v>46003</v>
      </c>
      <c r="D3805" s="2" t="n">
        <v>1</v>
      </c>
      <c r="E3805" s="3" t="inlineStr">
        <is>
          <t>CARABINA</t>
        </is>
      </c>
      <c r="F3805" s="3" t="inlineStr">
        <is>
          <t>223 REM</t>
        </is>
      </c>
      <c r="G3805" s="84" t="inlineStr">
        <is>
          <t>FRANCHI</t>
        </is>
      </c>
      <c r="H3805" s="107" t="inlineStr">
        <is>
          <t>HORIZON VARMINT BRONZE 24''</t>
        </is>
      </c>
      <c r="I3805" s="107" t="inlineStr">
        <is>
          <t>FB092697L</t>
        </is>
      </c>
      <c r="J3805" s="65" t="inlineStr">
        <is>
          <t>N/D</t>
        </is>
      </c>
      <c r="K3805" s="65" t="inlineStr">
        <is>
          <t>N/D</t>
        </is>
      </c>
      <c r="L3805" s="127" t="inlineStr">
        <is>
          <t>BENELLI ARMI SPA</t>
        </is>
      </c>
      <c r="M3805" s="5" t="n">
        <v>556</v>
      </c>
      <c r="N3805" s="5" t="n"/>
      <c r="O3805" s="5">
        <f>+M3805+N3805</f>
        <v/>
      </c>
      <c r="P3805" s="4" t="n">
        <v>46002</v>
      </c>
      <c r="Q3805" s="87" t="n">
        <v>46002</v>
      </c>
      <c r="R3805" s="5" t="n"/>
      <c r="S3805" s="2" t="n"/>
      <c r="T3805" s="3" t="n"/>
      <c r="U3805" s="87" t="n"/>
      <c r="V3805" s="3" t="n"/>
      <c r="W3805" s="108" t="n"/>
      <c r="X3805" s="4" t="n"/>
    </row>
    <row r="3806" ht="24" customHeight="1">
      <c r="A3806" s="2">
        <f>+D3806-S3806</f>
        <v/>
      </c>
      <c r="B3806" s="80" t="n">
        <v>5396</v>
      </c>
      <c r="C3806" s="66" t="n">
        <v>46003</v>
      </c>
      <c r="D3806" s="2" t="n">
        <v>1</v>
      </c>
      <c r="E3806" s="3" t="inlineStr">
        <is>
          <t>CARABINA</t>
        </is>
      </c>
      <c r="F3806" s="3" t="inlineStr">
        <is>
          <t>223 REM</t>
        </is>
      </c>
      <c r="G3806" s="84" t="inlineStr">
        <is>
          <t>FRANCHI</t>
        </is>
      </c>
      <c r="H3806" s="107" t="inlineStr">
        <is>
          <t>HORIZON VARMINT BRONZE 24''</t>
        </is>
      </c>
      <c r="I3806" s="107" t="inlineStr">
        <is>
          <t>FB092711R</t>
        </is>
      </c>
      <c r="J3806" s="65" t="inlineStr">
        <is>
          <t>N/D</t>
        </is>
      </c>
      <c r="K3806" s="65" t="inlineStr">
        <is>
          <t>N/D</t>
        </is>
      </c>
      <c r="L3806" s="127" t="inlineStr">
        <is>
          <t>BENELLI ARMI SPA</t>
        </is>
      </c>
      <c r="M3806" s="5" t="n">
        <v>556</v>
      </c>
      <c r="N3806" s="5" t="n"/>
      <c r="O3806" s="5">
        <f>+M3806+N3806</f>
        <v/>
      </c>
      <c r="P3806" s="4" t="n">
        <v>46002</v>
      </c>
      <c r="Q3806" s="87" t="n">
        <v>46002</v>
      </c>
      <c r="R3806" s="5" t="n"/>
      <c r="S3806" s="2" t="n"/>
      <c r="T3806" s="3" t="n"/>
      <c r="U3806" s="87" t="n"/>
      <c r="V3806" s="3" t="n"/>
      <c r="W3806" s="108" t="n"/>
      <c r="X3806" s="4" t="n"/>
    </row>
    <row r="3807" ht="24" customHeight="1">
      <c r="A3807" s="2">
        <f>+D3807-S3807</f>
        <v/>
      </c>
      <c r="B3807" s="80" t="n">
        <v>5397</v>
      </c>
      <c r="C3807" s="66" t="n">
        <v>46003</v>
      </c>
      <c r="D3807" s="2" t="n">
        <v>1</v>
      </c>
      <c r="E3807" s="3" t="inlineStr">
        <is>
          <t>CARABINA</t>
        </is>
      </c>
      <c r="F3807" s="3" t="inlineStr">
        <is>
          <t>223 REM</t>
        </is>
      </c>
      <c r="G3807" s="84" t="inlineStr">
        <is>
          <t>FRANCHI</t>
        </is>
      </c>
      <c r="H3807" s="107" t="inlineStr">
        <is>
          <t>HORIZON VARMINT BRONZE 24''</t>
        </is>
      </c>
      <c r="I3807" s="107" t="inlineStr">
        <is>
          <t>FB093272P</t>
        </is>
      </c>
      <c r="J3807" s="65" t="inlineStr">
        <is>
          <t>N/D</t>
        </is>
      </c>
      <c r="K3807" s="65" t="inlineStr">
        <is>
          <t>N/D</t>
        </is>
      </c>
      <c r="L3807" s="127" t="inlineStr">
        <is>
          <t>BENELLI ARMI SPA</t>
        </is>
      </c>
      <c r="M3807" s="5" t="n">
        <v>556</v>
      </c>
      <c r="N3807" s="5" t="n"/>
      <c r="O3807" s="5">
        <f>+M3807+N3807</f>
        <v/>
      </c>
      <c r="P3807" s="4" t="n">
        <v>46002</v>
      </c>
      <c r="Q3807" s="87" t="n">
        <v>46002</v>
      </c>
      <c r="R3807" s="5" t="n"/>
      <c r="S3807" s="2" t="n"/>
      <c r="T3807" s="3" t="n"/>
      <c r="U3807" s="87" t="n"/>
      <c r="V3807" s="3" t="n"/>
      <c r="W3807" s="108" t="n"/>
      <c r="X3807" s="4" t="n"/>
    </row>
    <row r="3808" ht="24" customHeight="1">
      <c r="A3808" s="2">
        <f>+D3808-S3808</f>
        <v/>
      </c>
      <c r="B3808" s="80" t="n">
        <v>5398</v>
      </c>
      <c r="C3808" s="66" t="n">
        <v>46003</v>
      </c>
      <c r="D3808" s="2" t="n">
        <v>1</v>
      </c>
      <c r="E3808" s="3" t="inlineStr">
        <is>
          <t>FUCILE SEMIAUTOMATICO</t>
        </is>
      </c>
      <c r="F3808" s="3" t="inlineStr">
        <is>
          <t>12</t>
        </is>
      </c>
      <c r="G3808" s="84" t="inlineStr">
        <is>
          <t>FRANCHI</t>
        </is>
      </c>
      <c r="H3808" s="107" t="inlineStr">
        <is>
          <t>AFFINITY 3 ELITE 30''</t>
        </is>
      </c>
      <c r="I3808" s="107" t="inlineStr">
        <is>
          <t>BL093817H</t>
        </is>
      </c>
      <c r="J3808" s="107" t="inlineStr">
        <is>
          <t>CL096488L</t>
        </is>
      </c>
      <c r="K3808" s="65" t="inlineStr">
        <is>
          <t>N/D</t>
        </is>
      </c>
      <c r="L3808" s="127" t="inlineStr">
        <is>
          <t>BENELLI ARMI SPA</t>
        </is>
      </c>
      <c r="M3808" s="5" t="n">
        <v>548</v>
      </c>
      <c r="N3808" s="5" t="n"/>
      <c r="O3808" s="5">
        <f>+M3808+N3808</f>
        <v/>
      </c>
      <c r="P3808" s="4" t="n">
        <v>46002</v>
      </c>
      <c r="Q3808" s="87" t="n">
        <v>46002</v>
      </c>
      <c r="R3808" s="5" t="n"/>
      <c r="S3808" s="2" t="n"/>
      <c r="T3808" s="3" t="n"/>
      <c r="U3808" s="87" t="n"/>
      <c r="V3808" s="3" t="n"/>
      <c r="W3808" s="108" t="n"/>
      <c r="X3808" s="4" t="n"/>
    </row>
    <row r="3809" ht="24" customHeight="1">
      <c r="A3809" s="2">
        <f>+D3809-S3809</f>
        <v/>
      </c>
      <c r="B3809" s="80" t="n">
        <v>5399</v>
      </c>
      <c r="C3809" s="66" t="n">
        <v>46003</v>
      </c>
      <c r="D3809" s="2" t="n">
        <v>1</v>
      </c>
      <c r="E3809" s="3" t="inlineStr">
        <is>
          <t>FUCILE SEMIAUTOMATICO</t>
        </is>
      </c>
      <c r="F3809" s="3" t="inlineStr">
        <is>
          <t>12</t>
        </is>
      </c>
      <c r="G3809" s="84" t="inlineStr">
        <is>
          <t>FRANCHI</t>
        </is>
      </c>
      <c r="H3809" s="107" t="inlineStr">
        <is>
          <t>AFFINITY 3 ELITE 30''</t>
        </is>
      </c>
      <c r="I3809" s="107" t="inlineStr">
        <is>
          <t>BL097910Y</t>
        </is>
      </c>
      <c r="J3809" s="107" t="inlineStr">
        <is>
          <t>CL100546F</t>
        </is>
      </c>
      <c r="K3809" s="65" t="inlineStr">
        <is>
          <t>N/D</t>
        </is>
      </c>
      <c r="L3809" s="127" t="inlineStr">
        <is>
          <t>BENELLI ARMI SPA</t>
        </is>
      </c>
      <c r="M3809" s="5" t="n">
        <v>548</v>
      </c>
      <c r="N3809" s="5" t="n"/>
      <c r="O3809" s="5">
        <f>+M3809+N3809</f>
        <v/>
      </c>
      <c r="P3809" s="4" t="n">
        <v>46002</v>
      </c>
      <c r="Q3809" s="87" t="n">
        <v>46002</v>
      </c>
      <c r="R3809" s="5" t="n"/>
      <c r="S3809" s="2" t="n"/>
      <c r="T3809" s="3" t="n"/>
      <c r="U3809" s="87" t="n"/>
      <c r="V3809" s="3" t="n"/>
      <c r="W3809" s="108" t="n"/>
      <c r="X3809" s="4" t="n"/>
    </row>
    <row r="3810" ht="24" customHeight="1">
      <c r="A3810" s="2">
        <f>+D3810-S3810</f>
        <v/>
      </c>
      <c r="B3810" s="80" t="n">
        <v>5400</v>
      </c>
      <c r="C3810" s="66" t="n">
        <v>46003</v>
      </c>
      <c r="D3810" s="2" t="n">
        <v>1</v>
      </c>
      <c r="E3810" s="3" t="inlineStr">
        <is>
          <t>FUCILE SEMIAUTOMATICO</t>
        </is>
      </c>
      <c r="F3810" s="3" t="inlineStr">
        <is>
          <t>12</t>
        </is>
      </c>
      <c r="G3810" s="84" t="inlineStr">
        <is>
          <t>FRANCHI</t>
        </is>
      </c>
      <c r="H3810" s="107" t="inlineStr">
        <is>
          <t>AFFINITY 3 ELITE 30''</t>
        </is>
      </c>
      <c r="I3810" s="107" t="inlineStr">
        <is>
          <t>BL097908Q</t>
        </is>
      </c>
      <c r="J3810" s="107" t="inlineStr">
        <is>
          <t>CL097534A</t>
        </is>
      </c>
      <c r="K3810" s="65" t="inlineStr">
        <is>
          <t>N/D</t>
        </is>
      </c>
      <c r="L3810" s="127" t="inlineStr">
        <is>
          <t>BENELLI ARMI SPA</t>
        </is>
      </c>
      <c r="M3810" s="5" t="n">
        <v>548</v>
      </c>
      <c r="N3810" s="5" t="n"/>
      <c r="O3810" s="5">
        <f>+M3810+N3810</f>
        <v/>
      </c>
      <c r="P3810" s="4" t="n">
        <v>46002</v>
      </c>
      <c r="Q3810" s="87" t="n">
        <v>46002</v>
      </c>
      <c r="R3810" s="5" t="n"/>
      <c r="S3810" s="2" t="n"/>
      <c r="T3810" s="3" t="n"/>
      <c r="U3810" s="87" t="n"/>
      <c r="V3810" s="3" t="n"/>
      <c r="W3810" s="108" t="n"/>
      <c r="X3810" s="4" t="n"/>
    </row>
    <row r="3811" ht="24" customHeight="1">
      <c r="A3811" s="2">
        <f>+D3811-S3811</f>
        <v/>
      </c>
      <c r="B3811" s="80" t="n">
        <v>5401</v>
      </c>
      <c r="C3811" s="66" t="n">
        <v>46003</v>
      </c>
      <c r="D3811" s="2" t="n">
        <v>1</v>
      </c>
      <c r="E3811" s="3" t="inlineStr">
        <is>
          <t>FUCILE SEMIAUTOMATICO</t>
        </is>
      </c>
      <c r="F3811" s="3" t="inlineStr">
        <is>
          <t>12</t>
        </is>
      </c>
      <c r="G3811" s="84" t="inlineStr">
        <is>
          <t>FRANCHI</t>
        </is>
      </c>
      <c r="H3811" s="107" t="inlineStr">
        <is>
          <t>AFFINITY 3 ELITE 30''</t>
        </is>
      </c>
      <c r="I3811" s="107" t="inlineStr">
        <is>
          <t>BL097906L</t>
        </is>
      </c>
      <c r="J3811" s="107" t="inlineStr">
        <is>
          <t>CL100557J</t>
        </is>
      </c>
      <c r="K3811" s="65" t="inlineStr">
        <is>
          <t>N/D</t>
        </is>
      </c>
      <c r="L3811" s="127" t="inlineStr">
        <is>
          <t>BENELLI ARMI SPA</t>
        </is>
      </c>
      <c r="M3811" s="5" t="n">
        <v>548</v>
      </c>
      <c r="N3811" s="5" t="n"/>
      <c r="O3811" s="5">
        <f>+M3811+N3811</f>
        <v/>
      </c>
      <c r="P3811" s="4" t="n">
        <v>46002</v>
      </c>
      <c r="Q3811" s="87" t="n">
        <v>46002</v>
      </c>
      <c r="R3811" s="5" t="n"/>
      <c r="S3811" s="2" t="n"/>
      <c r="T3811" s="3" t="n"/>
      <c r="U3811" s="87" t="n"/>
      <c r="V3811" s="3" t="n"/>
      <c r="W3811" s="108" t="n"/>
      <c r="X3811" s="4" t="n"/>
    </row>
    <row r="3812" ht="24" customHeight="1">
      <c r="A3812" s="2">
        <f>+D3812-S3812</f>
        <v/>
      </c>
      <c r="B3812" s="80" t="n">
        <v>5402</v>
      </c>
      <c r="C3812" s="66" t="n">
        <v>46003</v>
      </c>
      <c r="D3812" s="2" t="n">
        <v>1</v>
      </c>
      <c r="E3812" s="3" t="inlineStr">
        <is>
          <t>FUCILE SEMIAUTOMATICO</t>
        </is>
      </c>
      <c r="F3812" s="3" t="inlineStr">
        <is>
          <t>12</t>
        </is>
      </c>
      <c r="G3812" s="84" t="inlineStr">
        <is>
          <t>FRANCHI</t>
        </is>
      </c>
      <c r="H3812" s="107" t="inlineStr">
        <is>
          <t>AFFINITY 3 ELITE 30''</t>
        </is>
      </c>
      <c r="I3812" s="107" t="inlineStr">
        <is>
          <t>BL094845H</t>
        </is>
      </c>
      <c r="J3812" s="107" t="inlineStr">
        <is>
          <t>CL097505A</t>
        </is>
      </c>
      <c r="K3812" s="65" t="inlineStr">
        <is>
          <t>N/D</t>
        </is>
      </c>
      <c r="L3812" s="127" t="inlineStr">
        <is>
          <t>BENELLI ARMI SPA</t>
        </is>
      </c>
      <c r="M3812" s="5" t="n">
        <v>548</v>
      </c>
      <c r="N3812" s="5" t="n"/>
      <c r="O3812" s="5">
        <f>+M3812+N3812</f>
        <v/>
      </c>
      <c r="P3812" s="4" t="n">
        <v>46002</v>
      </c>
      <c r="Q3812" s="87" t="n">
        <v>46002</v>
      </c>
      <c r="R3812" s="5" t="n"/>
      <c r="S3812" s="2" t="n"/>
      <c r="T3812" s="3" t="n"/>
      <c r="U3812" s="87" t="n"/>
      <c r="V3812" s="3" t="n"/>
      <c r="W3812" s="108" t="n"/>
      <c r="X3812" s="4" t="n"/>
    </row>
    <row r="3813" ht="24" customHeight="1">
      <c r="A3813" s="2">
        <f>+D3813-S3813</f>
        <v/>
      </c>
      <c r="B3813" s="80" t="n">
        <v>5403</v>
      </c>
      <c r="C3813" s="66" t="n">
        <v>46003</v>
      </c>
      <c r="D3813" s="2" t="n">
        <v>1</v>
      </c>
      <c r="E3813" s="3" t="inlineStr">
        <is>
          <t>FUCILE SEMIAUTOMATICO</t>
        </is>
      </c>
      <c r="F3813" s="3" t="inlineStr">
        <is>
          <t>12</t>
        </is>
      </c>
      <c r="G3813" s="84" t="inlineStr">
        <is>
          <t>FRANCHI</t>
        </is>
      </c>
      <c r="H3813" s="107" t="inlineStr">
        <is>
          <t>AFFINITY 3 ELITE 30''</t>
        </is>
      </c>
      <c r="I3813" s="107" t="inlineStr">
        <is>
          <t>BL094856L</t>
        </is>
      </c>
      <c r="J3813" s="107" t="inlineStr">
        <is>
          <t>CL097517F</t>
        </is>
      </c>
      <c r="K3813" s="65" t="inlineStr">
        <is>
          <t>N/D</t>
        </is>
      </c>
      <c r="L3813" s="127" t="inlineStr">
        <is>
          <t>BENELLI ARMI SPA</t>
        </is>
      </c>
      <c r="M3813" s="5" t="n">
        <v>548</v>
      </c>
      <c r="N3813" s="5" t="n"/>
      <c r="O3813" s="5">
        <f>+M3813+N3813</f>
        <v/>
      </c>
      <c r="P3813" s="4" t="n">
        <v>46002</v>
      </c>
      <c r="Q3813" s="87" t="n">
        <v>46002</v>
      </c>
      <c r="R3813" s="5" t="n"/>
      <c r="S3813" s="2" t="n"/>
      <c r="T3813" s="3" t="n"/>
      <c r="U3813" s="87" t="n"/>
      <c r="V3813" s="3" t="n"/>
      <c r="W3813" s="108" t="n"/>
      <c r="X3813" s="4" t="n"/>
    </row>
    <row r="3814" ht="24" customHeight="1">
      <c r="A3814" s="2">
        <f>+D3814-S3814</f>
        <v/>
      </c>
      <c r="B3814" s="80" t="n">
        <v>5404</v>
      </c>
      <c r="C3814" s="66" t="n">
        <v>46003</v>
      </c>
      <c r="D3814" s="2" t="n">
        <v>1</v>
      </c>
      <c r="E3814" s="3" t="inlineStr">
        <is>
          <t>FUCILE SEMIAUTOMATICO</t>
        </is>
      </c>
      <c r="F3814" s="3" t="inlineStr">
        <is>
          <t>12</t>
        </is>
      </c>
      <c r="G3814" s="84" t="inlineStr">
        <is>
          <t>FRANCHI</t>
        </is>
      </c>
      <c r="H3814" s="107" t="inlineStr">
        <is>
          <t>AFFINITY 3 ELITE 30''</t>
        </is>
      </c>
      <c r="I3814" s="107" t="inlineStr">
        <is>
          <t>BL094846K</t>
        </is>
      </c>
      <c r="J3814" s="107" t="inlineStr">
        <is>
          <t>CL097518H</t>
        </is>
      </c>
      <c r="K3814" s="65" t="inlineStr">
        <is>
          <t>N/D</t>
        </is>
      </c>
      <c r="L3814" s="127" t="inlineStr">
        <is>
          <t>BENELLI ARMI SPA</t>
        </is>
      </c>
      <c r="M3814" s="5" t="n">
        <v>548</v>
      </c>
      <c r="N3814" s="5" t="n"/>
      <c r="O3814" s="5">
        <f>+M3814+N3814</f>
        <v/>
      </c>
      <c r="P3814" s="4" t="n">
        <v>46002</v>
      </c>
      <c r="Q3814" s="87" t="n">
        <v>46002</v>
      </c>
      <c r="R3814" s="5" t="n"/>
      <c r="S3814" s="2" t="n"/>
      <c r="T3814" s="3" t="n"/>
      <c r="U3814" s="87" t="n"/>
      <c r="V3814" s="3" t="n"/>
      <c r="W3814" s="108" t="n"/>
      <c r="X3814" s="4" t="n"/>
    </row>
    <row r="3815" ht="24" customHeight="1">
      <c r="A3815" s="2">
        <f>+D3815-S3815</f>
        <v/>
      </c>
      <c r="B3815" s="80" t="n">
        <v>5405</v>
      </c>
      <c r="C3815" s="66" t="n">
        <v>46003</v>
      </c>
      <c r="D3815" s="2" t="n">
        <v>1</v>
      </c>
      <c r="E3815" s="3" t="inlineStr">
        <is>
          <t>FUCILE SEMIAUTOMATICO</t>
        </is>
      </c>
      <c r="F3815" s="3" t="inlineStr">
        <is>
          <t>12</t>
        </is>
      </c>
      <c r="G3815" s="84" t="inlineStr">
        <is>
          <t>FRANCHI</t>
        </is>
      </c>
      <c r="H3815" s="107" t="inlineStr">
        <is>
          <t>AFFINITY 3 ELITE 30''</t>
        </is>
      </c>
      <c r="I3815" s="107" t="inlineStr">
        <is>
          <t>BL094847M</t>
        </is>
      </c>
      <c r="J3815" s="107" t="inlineStr">
        <is>
          <t>CL097508G</t>
        </is>
      </c>
      <c r="K3815" s="65" t="inlineStr">
        <is>
          <t>N/D</t>
        </is>
      </c>
      <c r="L3815" s="127" t="inlineStr">
        <is>
          <t>BENELLI ARMI SPA</t>
        </is>
      </c>
      <c r="M3815" s="5" t="n">
        <v>548</v>
      </c>
      <c r="N3815" s="5" t="n"/>
      <c r="O3815" s="5">
        <f>+M3815+N3815</f>
        <v/>
      </c>
      <c r="P3815" s="4" t="n">
        <v>46002</v>
      </c>
      <c r="Q3815" s="87" t="n">
        <v>46002</v>
      </c>
      <c r="R3815" s="5" t="n"/>
      <c r="S3815" s="2" t="n"/>
      <c r="T3815" s="3" t="n"/>
      <c r="U3815" s="87" t="n"/>
      <c r="V3815" s="3" t="n"/>
      <c r="W3815" s="108" t="n"/>
      <c r="X3815" s="4" t="n"/>
    </row>
    <row r="3816" ht="24" customHeight="1">
      <c r="A3816" s="2">
        <f>+D3816-S3816</f>
        <v/>
      </c>
      <c r="B3816" s="80" t="n">
        <v>5406</v>
      </c>
      <c r="C3816" s="66" t="n">
        <v>46003</v>
      </c>
      <c r="D3816" s="2" t="n">
        <v>1</v>
      </c>
      <c r="E3816" s="3" t="inlineStr">
        <is>
          <t>FUCILE SEMIAUTOMATICO</t>
        </is>
      </c>
      <c r="F3816" s="3" t="inlineStr">
        <is>
          <t>12</t>
        </is>
      </c>
      <c r="G3816" s="84" t="inlineStr">
        <is>
          <t>FRANCHI</t>
        </is>
      </c>
      <c r="H3816" s="107" t="inlineStr">
        <is>
          <t>AFFINITY 3 ELITE 30''</t>
        </is>
      </c>
      <c r="I3816" s="107" t="inlineStr">
        <is>
          <t>BL094851Z</t>
        </is>
      </c>
      <c r="J3816" s="107" t="inlineStr">
        <is>
          <t>CL097516D</t>
        </is>
      </c>
      <c r="K3816" s="65" t="inlineStr">
        <is>
          <t>N/D</t>
        </is>
      </c>
      <c r="L3816" s="127" t="inlineStr">
        <is>
          <t>BENELLI ARMI SPA</t>
        </is>
      </c>
      <c r="M3816" s="5" t="n">
        <v>548</v>
      </c>
      <c r="N3816" s="5" t="n"/>
      <c r="O3816" s="5">
        <f>+M3816+N3816</f>
        <v/>
      </c>
      <c r="P3816" s="4" t="n">
        <v>46002</v>
      </c>
      <c r="Q3816" s="87" t="n">
        <v>46002</v>
      </c>
      <c r="R3816" s="5" t="n"/>
      <c r="S3816" s="2" t="n"/>
      <c r="T3816" s="3" t="n"/>
      <c r="U3816" s="87" t="n"/>
      <c r="V3816" s="3" t="n"/>
      <c r="W3816" s="108" t="n"/>
      <c r="X3816" s="4" t="n"/>
    </row>
    <row r="3817" ht="24" customHeight="1">
      <c r="A3817" s="2">
        <f>+D3817-S3817</f>
        <v/>
      </c>
      <c r="B3817" s="80" t="n">
        <v>5407</v>
      </c>
      <c r="C3817" s="66" t="n">
        <v>46003</v>
      </c>
      <c r="D3817" s="2" t="n">
        <v>1</v>
      </c>
      <c r="E3817" s="3" t="inlineStr">
        <is>
          <t>FUCILE SEMIAUTOMATICO</t>
        </is>
      </c>
      <c r="F3817" s="3" t="inlineStr">
        <is>
          <t>12</t>
        </is>
      </c>
      <c r="G3817" s="84" t="inlineStr">
        <is>
          <t>FRANCHI</t>
        </is>
      </c>
      <c r="H3817" s="107" t="inlineStr">
        <is>
          <t>AFFINITY 3 ELITE 30''</t>
        </is>
      </c>
      <c r="I3817" s="107" t="inlineStr">
        <is>
          <t>BL094853D</t>
        </is>
      </c>
      <c r="J3817" s="107" t="inlineStr">
        <is>
          <t>CL097506C</t>
        </is>
      </c>
      <c r="K3817" s="65" t="inlineStr">
        <is>
          <t>N/D</t>
        </is>
      </c>
      <c r="L3817" s="127" t="inlineStr">
        <is>
          <t>BENELLI ARMI SPA</t>
        </is>
      </c>
      <c r="M3817" s="5" t="n">
        <v>548</v>
      </c>
      <c r="N3817" s="5" t="n"/>
      <c r="O3817" s="5">
        <f>+M3817+N3817</f>
        <v/>
      </c>
      <c r="P3817" s="4" t="n">
        <v>46002</v>
      </c>
      <c r="Q3817" s="87" t="n">
        <v>46002</v>
      </c>
      <c r="R3817" s="5" t="n"/>
      <c r="S3817" s="2" t="n"/>
      <c r="T3817" s="3" t="n"/>
      <c r="U3817" s="87" t="n"/>
      <c r="V3817" s="3" t="n"/>
      <c r="W3817" s="108" t="n"/>
      <c r="X3817" s="4" t="n"/>
    </row>
    <row r="3818" ht="24" customHeight="1">
      <c r="A3818" s="2">
        <f>+D3818-S3818</f>
        <v/>
      </c>
      <c r="B3818" s="80" t="n">
        <v>5408</v>
      </c>
      <c r="C3818" s="66" t="n">
        <v>46003</v>
      </c>
      <c r="D3818" s="2" t="n">
        <v>1</v>
      </c>
      <c r="E3818" s="3" t="inlineStr">
        <is>
          <t>FUCILE SEMIAUTOMATICO</t>
        </is>
      </c>
      <c r="F3818" s="3" t="inlineStr">
        <is>
          <t>12</t>
        </is>
      </c>
      <c r="G3818" s="84" t="inlineStr">
        <is>
          <t>FRANCHI</t>
        </is>
      </c>
      <c r="H3818" s="107" t="inlineStr">
        <is>
          <t>AFFINITY 3 ELITE 30''</t>
        </is>
      </c>
      <c r="I3818" s="107" t="inlineStr">
        <is>
          <t>BL094854F</t>
        </is>
      </c>
      <c r="J3818" s="107" t="inlineStr">
        <is>
          <t>CL097502T</t>
        </is>
      </c>
      <c r="K3818" s="65" t="inlineStr">
        <is>
          <t>N/D</t>
        </is>
      </c>
      <c r="L3818" s="127" t="inlineStr">
        <is>
          <t>BENELLI ARMI SPA</t>
        </is>
      </c>
      <c r="M3818" s="5" t="n">
        <v>548</v>
      </c>
      <c r="N3818" s="5" t="n"/>
      <c r="O3818" s="5">
        <f>+M3818+N3818</f>
        <v/>
      </c>
      <c r="P3818" s="4" t="n">
        <v>46002</v>
      </c>
      <c r="Q3818" s="87" t="n">
        <v>46002</v>
      </c>
      <c r="R3818" s="5" t="n"/>
      <c r="S3818" s="2" t="n"/>
      <c r="T3818" s="3" t="n"/>
      <c r="U3818" s="87" t="n"/>
      <c r="V3818" s="3" t="n"/>
      <c r="W3818" s="108" t="n"/>
      <c r="X3818" s="4" t="n"/>
    </row>
    <row r="3819" ht="24" customHeight="1">
      <c r="A3819" s="2">
        <f>+D3819-S3819</f>
        <v/>
      </c>
      <c r="B3819" s="80" t="n">
        <v>5409</v>
      </c>
      <c r="C3819" s="66" t="n">
        <v>46003</v>
      </c>
      <c r="D3819" s="2" t="n">
        <v>1</v>
      </c>
      <c r="E3819" s="3" t="inlineStr">
        <is>
          <t>FUCILE SEMIAUTOMATICO</t>
        </is>
      </c>
      <c r="F3819" s="3" t="inlineStr">
        <is>
          <t>12</t>
        </is>
      </c>
      <c r="G3819" s="84" t="inlineStr">
        <is>
          <t>FRANCHI</t>
        </is>
      </c>
      <c r="H3819" s="107" t="inlineStr">
        <is>
          <t>AFFINITY 3 ELITE 30''</t>
        </is>
      </c>
      <c r="I3819" s="107" t="inlineStr">
        <is>
          <t>BL094859S</t>
        </is>
      </c>
      <c r="J3819" s="107" t="inlineStr">
        <is>
          <t>CL097509J</t>
        </is>
      </c>
      <c r="K3819" s="65" t="inlineStr">
        <is>
          <t>N/D</t>
        </is>
      </c>
      <c r="L3819" s="127" t="inlineStr">
        <is>
          <t>BENELLI ARMI SPA</t>
        </is>
      </c>
      <c r="M3819" s="5" t="n">
        <v>548</v>
      </c>
      <c r="N3819" s="5" t="n"/>
      <c r="O3819" s="5">
        <f>+M3819+N3819</f>
        <v/>
      </c>
      <c r="P3819" s="4" t="n">
        <v>46002</v>
      </c>
      <c r="Q3819" s="87" t="n">
        <v>46002</v>
      </c>
      <c r="R3819" s="5" t="n"/>
      <c r="S3819" s="2" t="n"/>
      <c r="T3819" s="3" t="n"/>
      <c r="U3819" s="87" t="n"/>
      <c r="V3819" s="3" t="n"/>
      <c r="W3819" s="108" t="n"/>
      <c r="X3819" s="4" t="n"/>
    </row>
    <row r="3820" ht="24" customHeight="1">
      <c r="A3820" s="2">
        <f>+D3820-S3820</f>
        <v/>
      </c>
      <c r="B3820" s="80" t="n">
        <v>5410</v>
      </c>
      <c r="C3820" s="66" t="n">
        <v>46003</v>
      </c>
      <c r="D3820" s="2" t="n">
        <v>1</v>
      </c>
      <c r="E3820" s="3" t="inlineStr">
        <is>
          <t>FUCILE SEMIAUTOMATICO</t>
        </is>
      </c>
      <c r="F3820" s="3" t="inlineStr">
        <is>
          <t>12</t>
        </is>
      </c>
      <c r="G3820" s="84" t="inlineStr">
        <is>
          <t>FRANCHI</t>
        </is>
      </c>
      <c r="H3820" s="107" t="inlineStr">
        <is>
          <t>AFFINITY 3 ELITE 30''</t>
        </is>
      </c>
      <c r="I3820" s="107" t="inlineStr">
        <is>
          <t>BL094864G</t>
        </is>
      </c>
      <c r="J3820" s="107" t="inlineStr">
        <is>
          <t>CL097515B</t>
        </is>
      </c>
      <c r="K3820" s="65" t="inlineStr">
        <is>
          <t>N/D</t>
        </is>
      </c>
      <c r="L3820" s="127" t="inlineStr">
        <is>
          <t>BENELLI ARMI SPA</t>
        </is>
      </c>
      <c r="M3820" s="5" t="n">
        <v>548</v>
      </c>
      <c r="N3820" s="5" t="n"/>
      <c r="O3820" s="5">
        <f>+M3820+N3820</f>
        <v/>
      </c>
      <c r="P3820" s="4" t="n">
        <v>46002</v>
      </c>
      <c r="Q3820" s="87" t="n">
        <v>46002</v>
      </c>
      <c r="R3820" s="5" t="n"/>
      <c r="S3820" s="2" t="n"/>
      <c r="T3820" s="3" t="n"/>
      <c r="U3820" s="87" t="n"/>
      <c r="V3820" s="3" t="n"/>
      <c r="W3820" s="108" t="n"/>
      <c r="X3820" s="4" t="n"/>
    </row>
    <row r="3821" ht="24" customHeight="1">
      <c r="A3821" s="2">
        <f>+D3821-S3821</f>
        <v/>
      </c>
      <c r="B3821" s="80" t="n">
        <v>5411</v>
      </c>
      <c r="C3821" s="66" t="n">
        <v>46003</v>
      </c>
      <c r="D3821" s="2" t="n">
        <v>1</v>
      </c>
      <c r="E3821" s="3" t="inlineStr">
        <is>
          <t>FUCILE SEMIAUTOMATICO</t>
        </is>
      </c>
      <c r="F3821" s="3" t="inlineStr">
        <is>
          <t>12</t>
        </is>
      </c>
      <c r="G3821" s="84" t="inlineStr">
        <is>
          <t>FRANCHI</t>
        </is>
      </c>
      <c r="H3821" s="107" t="inlineStr">
        <is>
          <t>AFFINITY 3 ELITE 30''</t>
        </is>
      </c>
      <c r="I3821" s="107" t="inlineStr">
        <is>
          <t>BL094862C</t>
        </is>
      </c>
      <c r="J3821" s="107" t="inlineStr">
        <is>
          <t>CL097507E</t>
        </is>
      </c>
      <c r="K3821" s="65" t="inlineStr">
        <is>
          <t>N/D</t>
        </is>
      </c>
      <c r="L3821" s="127" t="inlineStr">
        <is>
          <t>BENELLI ARMI SPA</t>
        </is>
      </c>
      <c r="M3821" s="5" t="n">
        <v>548</v>
      </c>
      <c r="N3821" s="5" t="n"/>
      <c r="O3821" s="5">
        <f>+M3821+N3821</f>
        <v/>
      </c>
      <c r="P3821" s="4" t="n">
        <v>46002</v>
      </c>
      <c r="Q3821" s="87" t="n">
        <v>46002</v>
      </c>
      <c r="R3821" s="5" t="n"/>
      <c r="S3821" s="2" t="n"/>
      <c r="T3821" s="3" t="n"/>
      <c r="U3821" s="87" t="n"/>
      <c r="V3821" s="3" t="n"/>
      <c r="W3821" s="108" t="n"/>
      <c r="X3821" s="4" t="n"/>
    </row>
    <row r="3822" ht="24" customHeight="1">
      <c r="A3822" s="2">
        <f>+D3822-S3822</f>
        <v/>
      </c>
      <c r="B3822" s="80" t="n">
        <v>5412</v>
      </c>
      <c r="C3822" s="66" t="n">
        <v>46010</v>
      </c>
      <c r="D3822" s="2" t="n">
        <v>1</v>
      </c>
      <c r="E3822" s="3" t="inlineStr">
        <is>
          <t>REVOLVER</t>
        </is>
      </c>
      <c r="F3822" s="3" t="inlineStr">
        <is>
          <t>.357Mg</t>
        </is>
      </c>
      <c r="G3822" s="84" t="inlineStr">
        <is>
          <t>SMITH&amp;WESSON</t>
        </is>
      </c>
      <c r="H3822" s="107" t="inlineStr">
        <is>
          <t xml:space="preserve">MOD.686 INTERNATIONAL </t>
        </is>
      </c>
      <c r="I3822" s="107" t="inlineStr">
        <is>
          <t>EDV6619</t>
        </is>
      </c>
      <c r="J3822" s="65" t="inlineStr">
        <is>
          <t>N/D</t>
        </is>
      </c>
      <c r="K3822" s="65" t="inlineStr">
        <is>
          <t>N/D</t>
        </is>
      </c>
      <c r="L3822" s="127" t="inlineStr">
        <is>
          <t>PRIMA ARMI</t>
        </is>
      </c>
      <c r="M3822" s="5" t="n">
        <v>974.83</v>
      </c>
      <c r="N3822" s="5" t="n"/>
      <c r="O3822" s="5">
        <f>+M3822+N3822</f>
        <v/>
      </c>
      <c r="P3822" s="4" t="n">
        <v>46008</v>
      </c>
      <c r="Q3822" s="87" t="n">
        <v>46008</v>
      </c>
      <c r="R3822" s="5" t="n">
        <v>1220</v>
      </c>
      <c r="S3822" s="2" t="n">
        <v>1</v>
      </c>
      <c r="T3822" s="3" t="inlineStr">
        <is>
          <t>6B-P52222600000101-001</t>
        </is>
      </c>
      <c r="U3822" s="87" t="n">
        <v>46147</v>
      </c>
      <c r="V3822" s="3" t="inlineStr">
        <is>
          <t>8</t>
        </is>
      </c>
      <c r="W3822" s="108" t="n">
        <v>46147</v>
      </c>
      <c r="X3822" s="4" t="inlineStr">
        <is>
          <t>HS &amp; S LLC</t>
        </is>
      </c>
    </row>
    <row r="3823" ht="24" customHeight="1">
      <c r="A3823" s="2">
        <f>+D3823-S3823</f>
        <v/>
      </c>
      <c r="B3823" s="80" t="n">
        <v>5413</v>
      </c>
      <c r="C3823" s="66" t="n">
        <v>46010</v>
      </c>
      <c r="D3823" s="2" t="n">
        <v>1</v>
      </c>
      <c r="E3823" s="3" t="inlineStr">
        <is>
          <t>REVOLVER</t>
        </is>
      </c>
      <c r="F3823" s="3" t="inlineStr">
        <is>
          <t>.357Mg</t>
        </is>
      </c>
      <c r="G3823" s="84" t="inlineStr">
        <is>
          <t>SMITH&amp;WESSON</t>
        </is>
      </c>
      <c r="H3823" s="107" t="inlineStr">
        <is>
          <t>MOD. 60</t>
        </is>
      </c>
      <c r="I3823" s="107" t="inlineStr">
        <is>
          <t>EEC5334</t>
        </is>
      </c>
      <c r="J3823" s="65" t="inlineStr">
        <is>
          <t>N/D</t>
        </is>
      </c>
      <c r="K3823" s="65" t="inlineStr">
        <is>
          <t>N/D</t>
        </is>
      </c>
      <c r="L3823" s="127" t="inlineStr">
        <is>
          <t>PRIMA ARMI</t>
        </is>
      </c>
      <c r="M3823" s="5" t="n">
        <v>893.35</v>
      </c>
      <c r="N3823" s="5" t="n"/>
      <c r="O3823" s="5">
        <f>+M3823+N3823</f>
        <v/>
      </c>
      <c r="P3823" s="4" t="n">
        <v>46008</v>
      </c>
      <c r="Q3823" s="87" t="n">
        <v>46008</v>
      </c>
      <c r="R3823" s="5" t="n">
        <v>1220</v>
      </c>
      <c r="S3823" s="2" t="n">
        <v>1</v>
      </c>
      <c r="T3823" s="3" t="inlineStr">
        <is>
          <t>6B-P52222600000101-001</t>
        </is>
      </c>
      <c r="U3823" s="87" t="n">
        <v>46147</v>
      </c>
      <c r="V3823" s="3" t="inlineStr">
        <is>
          <t>8</t>
        </is>
      </c>
      <c r="W3823" s="108" t="n">
        <v>46147</v>
      </c>
      <c r="X3823" s="4" t="inlineStr">
        <is>
          <t>HS &amp; S LLC</t>
        </is>
      </c>
    </row>
    <row r="3824" ht="24" customHeight="1">
      <c r="A3824" s="2">
        <f>+D3824-S3824</f>
        <v/>
      </c>
      <c r="B3824" s="80" t="n">
        <v>5414</v>
      </c>
      <c r="C3824" s="66" t="n">
        <v>46010</v>
      </c>
      <c r="D3824" s="2" t="n">
        <v>1</v>
      </c>
      <c r="E3824" s="3" t="inlineStr">
        <is>
          <t>CARABINA</t>
        </is>
      </c>
      <c r="F3824" s="3" t="inlineStr">
        <is>
          <t>.22LR</t>
        </is>
      </c>
      <c r="G3824" s="84" t="inlineStr">
        <is>
          <t>SMITH&amp;WESSON</t>
        </is>
      </c>
      <c r="H3824" s="107" t="inlineStr">
        <is>
          <t>M&amp;P15-22 SPORT KRYPTEK HIGHLANDER</t>
        </is>
      </c>
      <c r="I3824" s="107" t="inlineStr">
        <is>
          <t>FHY3500</t>
        </is>
      </c>
      <c r="J3824" s="65" t="inlineStr">
        <is>
          <t>N/D</t>
        </is>
      </c>
      <c r="K3824" s="65" t="inlineStr">
        <is>
          <t>N/D</t>
        </is>
      </c>
      <c r="L3824" s="127" t="inlineStr">
        <is>
          <t>PRIMA ARMI</t>
        </is>
      </c>
      <c r="M3824" s="5" t="n">
        <v>534.84</v>
      </c>
      <c r="N3824" s="5" t="n"/>
      <c r="O3824" s="5">
        <f>+M3824+N3824</f>
        <v/>
      </c>
      <c r="P3824" s="4" t="n">
        <v>46008</v>
      </c>
      <c r="Q3824" s="87" t="n">
        <v>46008</v>
      </c>
      <c r="R3824" s="5" t="n">
        <v>840</v>
      </c>
      <c r="S3824" s="2" t="n">
        <v>1</v>
      </c>
      <c r="T3824" s="3" t="inlineStr">
        <is>
          <t>6B-P52222600000101-001</t>
        </is>
      </c>
      <c r="U3824" s="87" t="n">
        <v>46147</v>
      </c>
      <c r="V3824" s="3" t="inlineStr">
        <is>
          <t>8</t>
        </is>
      </c>
      <c r="W3824" s="108" t="n">
        <v>46147</v>
      </c>
      <c r="X3824" s="4" t="inlineStr">
        <is>
          <t>HS &amp; S LLC</t>
        </is>
      </c>
    </row>
    <row r="3825" ht="24" customHeight="1">
      <c r="A3825" s="2">
        <f>+D3825-S3825</f>
        <v/>
      </c>
      <c r="B3825" s="80" t="n">
        <v>5415</v>
      </c>
      <c r="C3825" s="66" t="n">
        <v>46010</v>
      </c>
      <c r="D3825" s="2" t="n">
        <v>1</v>
      </c>
      <c r="E3825" s="3" t="inlineStr">
        <is>
          <t>PISTOLA SEMIAUTOMATICA</t>
        </is>
      </c>
      <c r="F3825" s="3" t="inlineStr">
        <is>
          <t>.22LR</t>
        </is>
      </c>
      <c r="G3825" s="84" t="inlineStr">
        <is>
          <t>SMITH&amp;WESSON</t>
        </is>
      </c>
      <c r="H3825" s="107" t="inlineStr">
        <is>
          <t>M&amp;P22 COMPACT 3</t>
        </is>
      </c>
      <c r="I3825" s="107" t="inlineStr">
        <is>
          <t>EHL0129</t>
        </is>
      </c>
      <c r="J3825" s="65" t="inlineStr">
        <is>
          <t>N/D</t>
        </is>
      </c>
      <c r="K3825" s="65" t="inlineStr">
        <is>
          <t>N/D</t>
        </is>
      </c>
      <c r="L3825" s="127" t="inlineStr">
        <is>
          <t>PRIMA ARMI</t>
        </is>
      </c>
      <c r="M3825" s="5" t="n">
        <v>418.96</v>
      </c>
      <c r="N3825" s="5" t="n"/>
      <c r="O3825" s="5">
        <f>+M3825+N3825</f>
        <v/>
      </c>
      <c r="P3825" s="4" t="n">
        <v>46008</v>
      </c>
      <c r="Q3825" s="87" t="n">
        <v>46008</v>
      </c>
      <c r="R3825" s="5" t="n">
        <v>690</v>
      </c>
      <c r="S3825" s="2" t="n">
        <v>1</v>
      </c>
      <c r="T3825" s="3" t="inlineStr">
        <is>
          <t>6B-P52222600000101-001</t>
        </is>
      </c>
      <c r="U3825" s="87" t="n">
        <v>46147</v>
      </c>
      <c r="V3825" s="3" t="inlineStr">
        <is>
          <t>8</t>
        </is>
      </c>
      <c r="W3825" s="108" t="n">
        <v>46147</v>
      </c>
      <c r="X3825" s="4" t="inlineStr">
        <is>
          <t>HS &amp; S LLC</t>
        </is>
      </c>
    </row>
    <row r="3826" ht="24" customHeight="1">
      <c r="A3826" s="2">
        <f>+D3826-S3826</f>
        <v/>
      </c>
      <c r="B3826" s="80" t="n">
        <v>5416</v>
      </c>
      <c r="C3826" s="66" t="n">
        <v>46010</v>
      </c>
      <c r="D3826" s="2" t="n">
        <v>1</v>
      </c>
      <c r="E3826" s="3" t="inlineStr">
        <is>
          <t>PISTOLA SEMIAUTOMATICA</t>
        </is>
      </c>
      <c r="F3826" s="3" t="inlineStr">
        <is>
          <t>.22LR</t>
        </is>
      </c>
      <c r="G3826" s="84" t="inlineStr">
        <is>
          <t>SMITH&amp;WESSON</t>
        </is>
      </c>
      <c r="H3826" s="107" t="inlineStr">
        <is>
          <t>M&amp;P22 COMPACT 3</t>
        </is>
      </c>
      <c r="I3826" s="107" t="inlineStr">
        <is>
          <t>EKC9811</t>
        </is>
      </c>
      <c r="J3826" s="65" t="inlineStr">
        <is>
          <t>N/D</t>
        </is>
      </c>
      <c r="K3826" s="65" t="inlineStr">
        <is>
          <t>N/D</t>
        </is>
      </c>
      <c r="L3826" s="127" t="inlineStr">
        <is>
          <t>PRIMA ARMI</t>
        </is>
      </c>
      <c r="M3826" s="5" t="n">
        <v>418.96</v>
      </c>
      <c r="N3826" s="5" t="n"/>
      <c r="O3826" s="5">
        <f>+M3826+N3826</f>
        <v/>
      </c>
      <c r="P3826" s="4" t="n">
        <v>46013</v>
      </c>
      <c r="Q3826" s="87" t="n">
        <v>46013</v>
      </c>
      <c r="R3826" s="5" t="n">
        <v>690</v>
      </c>
      <c r="S3826" s="2" t="n">
        <v>1</v>
      </c>
      <c r="T3826" s="3" t="inlineStr">
        <is>
          <t>6B-P52222600000101-001</t>
        </is>
      </c>
      <c r="U3826" s="87" t="n">
        <v>46147</v>
      </c>
      <c r="V3826" s="3" t="inlineStr">
        <is>
          <t>8</t>
        </is>
      </c>
      <c r="W3826" s="108" t="n">
        <v>46147</v>
      </c>
      <c r="X3826" s="4" t="inlineStr">
        <is>
          <t>HS &amp; S LLC</t>
        </is>
      </c>
    </row>
    <row r="3827" ht="24" customHeight="1">
      <c r="A3827" s="2">
        <f>+D3827-S3827</f>
        <v/>
      </c>
      <c r="B3827" s="80" t="n"/>
      <c r="C3827" s="66" t="n">
        <v>46013</v>
      </c>
      <c r="D3827" s="2" t="n">
        <v>1</v>
      </c>
      <c r="E3827" s="3" t="inlineStr">
        <is>
          <t>ACCESSORI</t>
        </is>
      </c>
      <c r="F3827" s="96" t="inlineStr">
        <is>
          <t>N/D</t>
        </is>
      </c>
      <c r="G3827" s="84" t="inlineStr">
        <is>
          <t>LAUGO ARMS</t>
        </is>
      </c>
      <c r="H3827" s="107" t="inlineStr">
        <is>
          <t>KIT CONVERSION</t>
        </is>
      </c>
      <c r="I3827" s="65" t="inlineStr">
        <is>
          <t>A1Z0006</t>
        </is>
      </c>
      <c r="J3827" s="65" t="inlineStr">
        <is>
          <t>N/D</t>
        </is>
      </c>
      <c r="K3827" s="65" t="inlineStr">
        <is>
          <t>N/D</t>
        </is>
      </c>
      <c r="L3827" s="127" t="inlineStr">
        <is>
          <t>THE FOUR COMPANY SRL</t>
        </is>
      </c>
      <c r="M3827" s="5" t="n">
        <v>650</v>
      </c>
      <c r="N3827" s="5" t="n"/>
      <c r="O3827" s="5">
        <f>+M3827+N3827</f>
        <v/>
      </c>
      <c r="P3827" s="4" t="n">
        <v>46013</v>
      </c>
      <c r="Q3827" s="87" t="n">
        <v>46013</v>
      </c>
      <c r="R3827" s="5" t="n"/>
      <c r="S3827" s="2" t="n"/>
      <c r="T3827" s="3" t="n"/>
      <c r="U3827" s="87" t="n"/>
      <c r="V3827" s="3" t="n"/>
      <c r="W3827" s="108" t="n"/>
      <c r="X3827" s="4" t="n"/>
    </row>
    <row r="3828" ht="24" customHeight="1">
      <c r="A3828" s="2">
        <f>+D3828-S3828</f>
        <v/>
      </c>
      <c r="B3828" s="80" t="n">
        <v>5417</v>
      </c>
      <c r="C3828" s="66" t="n">
        <v>46013</v>
      </c>
      <c r="D3828" s="2" t="n">
        <v>1</v>
      </c>
      <c r="E3828" s="3" t="inlineStr">
        <is>
          <t>PISTOLA SEMIAUTOMATICA</t>
        </is>
      </c>
      <c r="F3828" s="3" t="inlineStr">
        <is>
          <t>9</t>
        </is>
      </c>
      <c r="G3828" s="84" t="inlineStr">
        <is>
          <t>LAUGO ARMS</t>
        </is>
      </c>
      <c r="H3828" s="107" t="inlineStr">
        <is>
          <t>ALIEN REMUS FIRST EDITION</t>
        </is>
      </c>
      <c r="I3828" s="107" t="inlineStr">
        <is>
          <t>456/500</t>
        </is>
      </c>
      <c r="J3828" s="65" t="inlineStr">
        <is>
          <t>N/D</t>
        </is>
      </c>
      <c r="K3828" s="65" t="inlineStr">
        <is>
          <t>N/D</t>
        </is>
      </c>
      <c r="L3828" s="127" t="inlineStr">
        <is>
          <t>THE FOUR COMPANY SRL</t>
        </is>
      </c>
      <c r="M3828" s="5" t="n">
        <v>4390</v>
      </c>
      <c r="N3828" s="5" t="n"/>
      <c r="O3828" s="5">
        <f>+M3828+N3828</f>
        <v/>
      </c>
      <c r="P3828" s="4" t="n">
        <v>46013</v>
      </c>
      <c r="Q3828" s="87" t="n">
        <v>46013</v>
      </c>
      <c r="R3828" s="5" t="n"/>
      <c r="S3828" s="2" t="n"/>
      <c r="T3828" s="3" t="n"/>
      <c r="U3828" s="87" t="n"/>
      <c r="V3828" s="3" t="n"/>
      <c r="W3828" s="108" t="n"/>
      <c r="X3828" s="4" t="n"/>
    </row>
    <row r="3829" ht="24" customHeight="1">
      <c r="A3829" s="2">
        <f>+D3829-S3829</f>
        <v/>
      </c>
      <c r="B3829" s="126" t="n"/>
      <c r="C3829" s="66" t="n">
        <v>46013</v>
      </c>
      <c r="D3829" s="2" t="n">
        <v>5</v>
      </c>
      <c r="E3829" s="3" t="inlineStr">
        <is>
          <t>ACCESSORI</t>
        </is>
      </c>
      <c r="F3829" s="96" t="inlineStr">
        <is>
          <t>N/D</t>
        </is>
      </c>
      <c r="G3829" s="96" t="inlineStr">
        <is>
          <t>AIMPOINT</t>
        </is>
      </c>
      <c r="H3829" s="107" t="inlineStr">
        <is>
          <t xml:space="preserve">RED DOT  MOD. DUTY RDS 2 MOA </t>
        </is>
      </c>
      <c r="I3829" s="65" t="inlineStr">
        <is>
          <t>N/D</t>
        </is>
      </c>
      <c r="J3829" s="65" t="inlineStr">
        <is>
          <t>N/D</t>
        </is>
      </c>
      <c r="K3829" s="65" t="inlineStr">
        <is>
          <t>N/D</t>
        </is>
      </c>
      <c r="L3829" s="127" t="inlineStr">
        <is>
          <t>THE FOUR COMPANY SRL</t>
        </is>
      </c>
      <c r="M3829" s="5" t="n">
        <v>2050</v>
      </c>
      <c r="N3829" s="5" t="n"/>
      <c r="O3829" s="5">
        <f>+M3829+N3829</f>
        <v/>
      </c>
      <c r="P3829" s="4" t="n">
        <v>46013</v>
      </c>
      <c r="Q3829" s="87" t="n">
        <v>46013</v>
      </c>
      <c r="R3829" s="5" t="n">
        <v>2925</v>
      </c>
      <c r="S3829" s="2" t="n">
        <v>1</v>
      </c>
      <c r="T3829" s="3" t="inlineStr">
        <is>
          <t>6B-P52222600000101-001</t>
        </is>
      </c>
      <c r="U3829" s="87" t="n">
        <v>46147</v>
      </c>
      <c r="V3829" s="3" t="inlineStr">
        <is>
          <t>8</t>
        </is>
      </c>
      <c r="W3829" s="108" t="n">
        <v>46147</v>
      </c>
      <c r="X3829" s="4" t="inlineStr">
        <is>
          <t>HS &amp; S LLC</t>
        </is>
      </c>
    </row>
    <row r="3830" ht="24" customHeight="1">
      <c r="A3830" s="2">
        <f>+D3830-S3830</f>
        <v/>
      </c>
      <c r="B3830" s="126" t="n">
        <v>5418</v>
      </c>
      <c r="C3830" s="66" t="n">
        <v>46041</v>
      </c>
      <c r="D3830" s="2" t="n">
        <v>1</v>
      </c>
      <c r="E3830" s="3" t="inlineStr">
        <is>
          <t>FUCILE SEMIAUTOMATICO</t>
        </is>
      </c>
      <c r="F3830" s="96" t="inlineStr">
        <is>
          <t>12</t>
        </is>
      </c>
      <c r="G3830" s="96" t="inlineStr">
        <is>
          <t>BERETTA</t>
        </is>
      </c>
      <c r="H3830" s="107" t="inlineStr">
        <is>
          <t>A302</t>
        </is>
      </c>
      <c r="I3830" s="65" t="inlineStr">
        <is>
          <t>E51541E</t>
        </is>
      </c>
      <c r="J3830" s="65" t="inlineStr">
        <is>
          <t>510560</t>
        </is>
      </c>
      <c r="K3830" s="65" t="inlineStr">
        <is>
          <t>N/D</t>
        </is>
      </c>
      <c r="L3830" s="127" t="inlineStr">
        <is>
          <t>ANTONIONI SPORT CACCIA E PESCA SRLS</t>
        </is>
      </c>
      <c r="M3830" s="5" t="n">
        <v>25.747</v>
      </c>
      <c r="N3830" s="5" t="n"/>
      <c r="O3830" s="5">
        <f>+M3830+N3830</f>
        <v/>
      </c>
      <c r="P3830" s="4" t="n"/>
      <c r="Q3830" s="87" t="n"/>
      <c r="R3830" s="5" t="n">
        <v>30</v>
      </c>
      <c r="S3830" s="2" t="n">
        <v>1</v>
      </c>
      <c r="T3830" s="3" t="inlineStr">
        <is>
          <t>CA42796IR</t>
        </is>
      </c>
      <c r="U3830" s="87" t="n">
        <v>46041</v>
      </c>
      <c r="V3830" s="3" t="inlineStr">
        <is>
          <t>1</t>
        </is>
      </c>
      <c r="W3830" s="108" t="n">
        <v>46041</v>
      </c>
      <c r="X3830" s="4" t="inlineStr">
        <is>
          <t>PHILIPPOS COSTANTINIDES TRADING CO. LTD</t>
        </is>
      </c>
    </row>
    <row r="3831" ht="24" customHeight="1">
      <c r="A3831" s="2">
        <f>+D3831-S3831</f>
        <v/>
      </c>
      <c r="B3831" s="126" t="n">
        <v>5419</v>
      </c>
      <c r="C3831" s="66" t="n">
        <v>46041</v>
      </c>
      <c r="D3831" s="2" t="n">
        <v>1</v>
      </c>
      <c r="E3831" s="3" t="inlineStr">
        <is>
          <t>FUCILE SEMIAUTOMATICO</t>
        </is>
      </c>
      <c r="F3831" s="96" t="inlineStr">
        <is>
          <t>12</t>
        </is>
      </c>
      <c r="G3831" s="96" t="inlineStr">
        <is>
          <t>BERETTA</t>
        </is>
      </c>
      <c r="H3831" s="107" t="inlineStr">
        <is>
          <t>A300</t>
        </is>
      </c>
      <c r="I3831" s="65" t="inlineStr">
        <is>
          <t>A09338E</t>
        </is>
      </c>
      <c r="J3831" s="65" t="inlineStr">
        <is>
          <t>A99628F</t>
        </is>
      </c>
      <c r="K3831" s="65" t="inlineStr">
        <is>
          <t>N/D</t>
        </is>
      </c>
      <c r="L3831" s="127" t="inlineStr">
        <is>
          <t>ANTONIONI SPORT CACCIA E PESCA SRLS</t>
        </is>
      </c>
      <c r="M3831" s="5" t="n">
        <v>25.747</v>
      </c>
      <c r="N3831" s="5" t="n"/>
      <c r="O3831" s="5">
        <f>+M3831+N3831</f>
        <v/>
      </c>
      <c r="P3831" s="4" t="n"/>
      <c r="Q3831" s="87" t="n"/>
      <c r="R3831" s="5" t="n">
        <v>30</v>
      </c>
      <c r="S3831" s="2" t="n">
        <v>1</v>
      </c>
      <c r="T3831" s="3" t="inlineStr">
        <is>
          <t>CA42796IR</t>
        </is>
      </c>
      <c r="U3831" s="87" t="n">
        <v>46041</v>
      </c>
      <c r="V3831" s="3" t="inlineStr">
        <is>
          <t>1</t>
        </is>
      </c>
      <c r="W3831" s="108" t="n">
        <v>46041</v>
      </c>
      <c r="X3831" s="4" t="inlineStr">
        <is>
          <t>PHILIPPOS COSTANTINIDES TRADING CO. LTD</t>
        </is>
      </c>
    </row>
    <row r="3832" ht="24" customHeight="1">
      <c r="A3832" s="2">
        <f>+D3832-S3832</f>
        <v/>
      </c>
      <c r="B3832" s="126" t="n">
        <v>5420</v>
      </c>
      <c r="C3832" s="66" t="n">
        <v>46041</v>
      </c>
      <c r="D3832" s="2" t="n">
        <v>1</v>
      </c>
      <c r="E3832" s="3" t="inlineStr">
        <is>
          <t>FUCILE SEMIAUTOMATICO</t>
        </is>
      </c>
      <c r="F3832" s="96" t="inlineStr">
        <is>
          <t>12</t>
        </is>
      </c>
      <c r="G3832" s="96" t="inlineStr">
        <is>
          <t>BERETTA</t>
        </is>
      </c>
      <c r="H3832" s="107" t="inlineStr">
        <is>
          <t>A302</t>
        </is>
      </c>
      <c r="I3832" s="65" t="inlineStr">
        <is>
          <t>G67869E</t>
        </is>
      </c>
      <c r="J3832" s="65" t="inlineStr">
        <is>
          <t>G29927F</t>
        </is>
      </c>
      <c r="K3832" s="65" t="inlineStr">
        <is>
          <t>N/D</t>
        </is>
      </c>
      <c r="L3832" s="127" t="inlineStr">
        <is>
          <t>ANTONIONI SPORT CACCIA E PESCA SRLS</t>
        </is>
      </c>
      <c r="M3832" s="5" t="n">
        <v>25.747</v>
      </c>
      <c r="N3832" s="5" t="n"/>
      <c r="O3832" s="5">
        <f>+M3832+N3832</f>
        <v/>
      </c>
      <c r="P3832" s="4" t="n"/>
      <c r="Q3832" s="87" t="n"/>
      <c r="R3832" s="5" t="n">
        <v>30</v>
      </c>
      <c r="S3832" s="2" t="n">
        <v>1</v>
      </c>
      <c r="T3832" s="3" t="inlineStr">
        <is>
          <t>CA42796IR</t>
        </is>
      </c>
      <c r="U3832" s="87" t="n">
        <v>46041</v>
      </c>
      <c r="V3832" s="3" t="inlineStr">
        <is>
          <t>1</t>
        </is>
      </c>
      <c r="W3832" s="108" t="n">
        <v>46041</v>
      </c>
      <c r="X3832" s="4" t="inlineStr">
        <is>
          <t>PHILIPPOS COSTANTINIDES TRADING CO. LTD</t>
        </is>
      </c>
    </row>
    <row r="3833" ht="24" customHeight="1">
      <c r="A3833" s="2">
        <f>+D3833-S3833</f>
        <v/>
      </c>
      <c r="B3833" s="126" t="n">
        <v>5421</v>
      </c>
      <c r="C3833" s="66" t="n">
        <v>46041</v>
      </c>
      <c r="D3833" s="2" t="n">
        <v>1</v>
      </c>
      <c r="E3833" s="3" t="inlineStr">
        <is>
          <t>FUCILE SEMIAUTOMATICO</t>
        </is>
      </c>
      <c r="F3833" s="96" t="inlineStr">
        <is>
          <t>12</t>
        </is>
      </c>
      <c r="G3833" s="96" t="inlineStr">
        <is>
          <t>BERETTA</t>
        </is>
      </c>
      <c r="H3833" s="107" t="inlineStr">
        <is>
          <t>A300</t>
        </is>
      </c>
      <c r="I3833" s="65" t="inlineStr">
        <is>
          <t>G55507</t>
        </is>
      </c>
      <c r="J3833" s="65" t="inlineStr">
        <is>
          <t>A07539F</t>
        </is>
      </c>
      <c r="K3833" s="65" t="inlineStr">
        <is>
          <t>N/D</t>
        </is>
      </c>
      <c r="L3833" s="127" t="inlineStr">
        <is>
          <t>ANTONIONI SPORT CACCIA E PESCA SRLS</t>
        </is>
      </c>
      <c r="M3833" s="5" t="n">
        <v>25.747</v>
      </c>
      <c r="N3833" s="5" t="n"/>
      <c r="O3833" s="5">
        <f>+M3833+N3833</f>
        <v/>
      </c>
      <c r="P3833" s="4" t="n"/>
      <c r="Q3833" s="87" t="n"/>
      <c r="R3833" s="5" t="n">
        <v>30</v>
      </c>
      <c r="S3833" s="2" t="n">
        <v>1</v>
      </c>
      <c r="T3833" s="3" t="inlineStr">
        <is>
          <t>CA42796IR</t>
        </is>
      </c>
      <c r="U3833" s="87" t="n">
        <v>46041</v>
      </c>
      <c r="V3833" s="3" t="inlineStr">
        <is>
          <t>1</t>
        </is>
      </c>
      <c r="W3833" s="108" t="n">
        <v>46041</v>
      </c>
      <c r="X3833" s="4" t="inlineStr">
        <is>
          <t>PHILIPPOS COSTANTINIDES TRADING CO. LTD</t>
        </is>
      </c>
    </row>
    <row r="3834" ht="24" customHeight="1">
      <c r="A3834" s="2">
        <f>+D3834-S3834</f>
        <v/>
      </c>
      <c r="B3834" s="126" t="n">
        <v>5422</v>
      </c>
      <c r="C3834" s="66" t="n">
        <v>46041</v>
      </c>
      <c r="D3834" s="2" t="n">
        <v>1</v>
      </c>
      <c r="E3834" s="3" t="inlineStr">
        <is>
          <t>FUCILE SEMIAUTOMATICO</t>
        </is>
      </c>
      <c r="F3834" s="96" t="inlineStr">
        <is>
          <t>12</t>
        </is>
      </c>
      <c r="G3834" s="96" t="inlineStr">
        <is>
          <t>BERETTA</t>
        </is>
      </c>
      <c r="H3834" s="107" t="inlineStr">
        <is>
          <t>A302</t>
        </is>
      </c>
      <c r="I3834" s="65" t="inlineStr">
        <is>
          <t>E89115E</t>
        </is>
      </c>
      <c r="J3834" s="65" t="inlineStr">
        <is>
          <t>H39317F</t>
        </is>
      </c>
      <c r="K3834" s="65" t="inlineStr">
        <is>
          <t>N/D</t>
        </is>
      </c>
      <c r="L3834" s="127" t="inlineStr">
        <is>
          <t>ANTONIONI SPORT CACCIA E PESCA SRLS</t>
        </is>
      </c>
      <c r="M3834" s="5" t="n">
        <v>25.747</v>
      </c>
      <c r="N3834" s="5" t="n"/>
      <c r="O3834" s="5">
        <f>+M3834+N3834</f>
        <v/>
      </c>
      <c r="P3834" s="4" t="n"/>
      <c r="Q3834" s="87" t="n"/>
      <c r="R3834" s="5" t="n">
        <v>30</v>
      </c>
      <c r="S3834" s="2" t="n">
        <v>1</v>
      </c>
      <c r="T3834" s="3" t="inlineStr">
        <is>
          <t>CA42796IR</t>
        </is>
      </c>
      <c r="U3834" s="87" t="n">
        <v>46041</v>
      </c>
      <c r="V3834" s="3" t="inlineStr">
        <is>
          <t>1</t>
        </is>
      </c>
      <c r="W3834" s="108" t="n">
        <v>46041</v>
      </c>
      <c r="X3834" s="4" t="inlineStr">
        <is>
          <t>PHILIPPOS COSTANTINIDES TRADING CO. LTD</t>
        </is>
      </c>
    </row>
    <row r="3835" ht="24" customHeight="1">
      <c r="A3835" s="2">
        <f>+D3835-S3835</f>
        <v/>
      </c>
      <c r="B3835" s="126" t="n">
        <v>5423</v>
      </c>
      <c r="C3835" s="66" t="n">
        <v>46041</v>
      </c>
      <c r="D3835" s="2" t="n">
        <v>1</v>
      </c>
      <c r="E3835" s="3" t="inlineStr">
        <is>
          <t>FUCILE SEMIAUTOMATICO</t>
        </is>
      </c>
      <c r="F3835" s="96" t="inlineStr">
        <is>
          <t>12</t>
        </is>
      </c>
      <c r="G3835" s="96" t="inlineStr">
        <is>
          <t>BERETTA</t>
        </is>
      </c>
      <c r="H3835" s="107" t="inlineStr">
        <is>
          <t>A300</t>
        </is>
      </c>
      <c r="I3835" s="65" t="inlineStr">
        <is>
          <t>G63274</t>
        </is>
      </c>
      <c r="J3835" s="65" t="inlineStr">
        <is>
          <t>A28550F</t>
        </is>
      </c>
      <c r="K3835" s="65" t="inlineStr">
        <is>
          <t>N/D</t>
        </is>
      </c>
      <c r="L3835" s="127" t="inlineStr">
        <is>
          <t>ANTONIONI SPORT CACCIA E PESCA SRLS</t>
        </is>
      </c>
      <c r="M3835" s="5" t="n">
        <v>25.747</v>
      </c>
      <c r="N3835" s="5" t="n"/>
      <c r="O3835" s="5">
        <f>+M3835+N3835</f>
        <v/>
      </c>
      <c r="P3835" s="4" t="n"/>
      <c r="Q3835" s="87" t="n"/>
      <c r="R3835" s="5" t="n">
        <v>30</v>
      </c>
      <c r="S3835" s="2" t="n">
        <v>1</v>
      </c>
      <c r="T3835" s="3" t="inlineStr">
        <is>
          <t>CA42796IR</t>
        </is>
      </c>
      <c r="U3835" s="87" t="n">
        <v>46041</v>
      </c>
      <c r="V3835" s="3" t="inlineStr">
        <is>
          <t>1</t>
        </is>
      </c>
      <c r="W3835" s="108" t="n">
        <v>46041</v>
      </c>
      <c r="X3835" s="4" t="inlineStr">
        <is>
          <t>PHILIPPOS COSTANTINIDES TRADING CO. LTD</t>
        </is>
      </c>
    </row>
    <row r="3836" ht="24" customHeight="1">
      <c r="A3836" s="2">
        <f>+D3836-S3836</f>
        <v/>
      </c>
      <c r="B3836" s="126" t="n">
        <v>5424</v>
      </c>
      <c r="C3836" s="66" t="n">
        <v>46041</v>
      </c>
      <c r="D3836" s="2" t="n">
        <v>1</v>
      </c>
      <c r="E3836" s="3" t="inlineStr">
        <is>
          <t>FUCILE SEMIAUTOMATICO</t>
        </is>
      </c>
      <c r="F3836" s="96" t="inlineStr">
        <is>
          <t>12</t>
        </is>
      </c>
      <c r="G3836" s="96" t="inlineStr">
        <is>
          <t>BERETTA</t>
        </is>
      </c>
      <c r="H3836" s="107" t="inlineStr">
        <is>
          <t>A302</t>
        </is>
      </c>
      <c r="I3836" s="65" t="inlineStr">
        <is>
          <t>E62546E</t>
        </is>
      </c>
      <c r="J3836" s="65" t="inlineStr">
        <is>
          <t>H94465F</t>
        </is>
      </c>
      <c r="K3836" s="65" t="inlineStr">
        <is>
          <t>N/D</t>
        </is>
      </c>
      <c r="L3836" s="127" t="inlineStr">
        <is>
          <t>ANTONIONI SPORT CACCIA E PESCA SRLS</t>
        </is>
      </c>
      <c r="M3836" s="5" t="n">
        <v>25.747</v>
      </c>
      <c r="N3836" s="5" t="n"/>
      <c r="O3836" s="5">
        <f>+M3836+N3836</f>
        <v/>
      </c>
      <c r="P3836" s="4" t="n"/>
      <c r="Q3836" s="87" t="n"/>
      <c r="R3836" s="5" t="n">
        <v>30</v>
      </c>
      <c r="S3836" s="2" t="n">
        <v>1</v>
      </c>
      <c r="T3836" s="3" t="inlineStr">
        <is>
          <t>CA42796IR</t>
        </is>
      </c>
      <c r="U3836" s="87" t="n">
        <v>46041</v>
      </c>
      <c r="V3836" s="3" t="inlineStr">
        <is>
          <t>1</t>
        </is>
      </c>
      <c r="W3836" s="108" t="n">
        <v>46041</v>
      </c>
      <c r="X3836" s="4" t="inlineStr">
        <is>
          <t>PHILIPPOS COSTANTINIDES TRADING CO. LTD</t>
        </is>
      </c>
    </row>
    <row r="3837" ht="24" customHeight="1">
      <c r="A3837" s="2">
        <f>+D3837-S3837</f>
        <v/>
      </c>
      <c r="B3837" s="126" t="n">
        <v>5425</v>
      </c>
      <c r="C3837" s="66" t="n">
        <v>46041</v>
      </c>
      <c r="D3837" s="2" t="n">
        <v>1</v>
      </c>
      <c r="E3837" s="3" t="inlineStr">
        <is>
          <t>FUCILE SEMIAUTOMATICO</t>
        </is>
      </c>
      <c r="F3837" s="96" t="inlineStr">
        <is>
          <t>12</t>
        </is>
      </c>
      <c r="G3837" s="96" t="inlineStr">
        <is>
          <t>BERETTA</t>
        </is>
      </c>
      <c r="H3837" s="107" t="inlineStr">
        <is>
          <t>A302</t>
        </is>
      </c>
      <c r="I3837" s="65" t="inlineStr">
        <is>
          <t>F96341E</t>
        </is>
      </c>
      <c r="J3837" s="65" t="inlineStr">
        <is>
          <t>K39275F</t>
        </is>
      </c>
      <c r="K3837" s="65" t="inlineStr">
        <is>
          <t>N/D</t>
        </is>
      </c>
      <c r="L3837" s="127" t="inlineStr">
        <is>
          <t>ANTONIONI SPORT CACCIA E PESCA SRLS</t>
        </is>
      </c>
      <c r="M3837" s="5" t="n">
        <v>25.747</v>
      </c>
      <c r="N3837" s="5" t="n"/>
      <c r="O3837" s="5">
        <f>+M3837+N3837</f>
        <v/>
      </c>
      <c r="P3837" s="4" t="n"/>
      <c r="Q3837" s="87" t="n"/>
      <c r="R3837" s="5" t="n">
        <v>30</v>
      </c>
      <c r="S3837" s="2" t="n">
        <v>1</v>
      </c>
      <c r="T3837" s="3" t="inlineStr">
        <is>
          <t>CA42796IR</t>
        </is>
      </c>
      <c r="U3837" s="87" t="n">
        <v>46041</v>
      </c>
      <c r="V3837" s="3" t="inlineStr">
        <is>
          <t>1</t>
        </is>
      </c>
      <c r="W3837" s="108" t="n">
        <v>46041</v>
      </c>
      <c r="X3837" s="4" t="inlineStr">
        <is>
          <t>PHILIPPOS COSTANTINIDES TRADING CO. LTD</t>
        </is>
      </c>
    </row>
    <row r="3838" ht="24" customHeight="1">
      <c r="A3838" s="2">
        <f>+D3838-S3838</f>
        <v/>
      </c>
      <c r="B3838" s="126" t="n">
        <v>5426</v>
      </c>
      <c r="C3838" s="66" t="n">
        <v>46041</v>
      </c>
      <c r="D3838" s="2" t="n">
        <v>1</v>
      </c>
      <c r="E3838" s="3" t="inlineStr">
        <is>
          <t>FUCILE SEMIAUTOMATICO</t>
        </is>
      </c>
      <c r="F3838" s="96" t="inlineStr">
        <is>
          <t>12</t>
        </is>
      </c>
      <c r="G3838" s="96" t="inlineStr">
        <is>
          <t>BERETTA</t>
        </is>
      </c>
      <c r="H3838" s="107" t="inlineStr">
        <is>
          <t>A301</t>
        </is>
      </c>
      <c r="I3838" s="65" t="inlineStr">
        <is>
          <t>C08922E</t>
        </is>
      </c>
      <c r="J3838" s="65" t="inlineStr">
        <is>
          <t>E30991F</t>
        </is>
      </c>
      <c r="K3838" s="65" t="inlineStr">
        <is>
          <t>N/D</t>
        </is>
      </c>
      <c r="L3838" s="127" t="inlineStr">
        <is>
          <t>ANTONIONI SPORT CACCIA E PESCA SRLS</t>
        </is>
      </c>
      <c r="M3838" s="5" t="n">
        <v>25.747</v>
      </c>
      <c r="N3838" s="5" t="n"/>
      <c r="O3838" s="5">
        <f>+M3838+N3838</f>
        <v/>
      </c>
      <c r="P3838" s="4" t="n"/>
      <c r="Q3838" s="87" t="n"/>
      <c r="R3838" s="5" t="n">
        <v>30</v>
      </c>
      <c r="S3838" s="2" t="n">
        <v>1</v>
      </c>
      <c r="T3838" s="3" t="inlineStr">
        <is>
          <t>CA42796IR</t>
        </is>
      </c>
      <c r="U3838" s="87" t="n">
        <v>46041</v>
      </c>
      <c r="V3838" s="3" t="inlineStr">
        <is>
          <t>1</t>
        </is>
      </c>
      <c r="W3838" s="108" t="n">
        <v>46041</v>
      </c>
      <c r="X3838" s="4" t="inlineStr">
        <is>
          <t>PHILIPPOS COSTANTINIDES TRADING CO. LTD</t>
        </is>
      </c>
    </row>
    <row r="3839" ht="24" customHeight="1">
      <c r="A3839" s="2">
        <f>+D3839-S3839</f>
        <v/>
      </c>
      <c r="B3839" s="126" t="n">
        <v>5427</v>
      </c>
      <c r="C3839" s="66" t="n">
        <v>46041</v>
      </c>
      <c r="D3839" s="2" t="n">
        <v>1</v>
      </c>
      <c r="E3839" s="3" t="inlineStr">
        <is>
          <t>FUCILE SEMIAUTOMATICO</t>
        </is>
      </c>
      <c r="F3839" s="96" t="inlineStr">
        <is>
          <t>12</t>
        </is>
      </c>
      <c r="G3839" s="96" t="inlineStr">
        <is>
          <t>BERETTA</t>
        </is>
      </c>
      <c r="H3839" s="107" t="inlineStr">
        <is>
          <t>A301</t>
        </is>
      </c>
      <c r="I3839" s="65" t="inlineStr">
        <is>
          <t>B17706E</t>
        </is>
      </c>
      <c r="J3839" s="65" t="inlineStr">
        <is>
          <t>B44407F</t>
        </is>
      </c>
      <c r="K3839" s="65" t="inlineStr">
        <is>
          <t>N/D</t>
        </is>
      </c>
      <c r="L3839" s="127" t="inlineStr">
        <is>
          <t>ANTONIONI SPORT CACCIA E PESCA SRLS</t>
        </is>
      </c>
      <c r="M3839" s="5" t="n">
        <v>25.747</v>
      </c>
      <c r="N3839" s="5" t="n"/>
      <c r="O3839" s="5">
        <f>+M3839+N3839</f>
        <v/>
      </c>
      <c r="P3839" s="4" t="n"/>
      <c r="Q3839" s="87" t="n"/>
      <c r="R3839" s="5" t="n">
        <v>30</v>
      </c>
      <c r="S3839" s="2" t="n">
        <v>1</v>
      </c>
      <c r="T3839" s="3" t="inlineStr">
        <is>
          <t>CA42796IR</t>
        </is>
      </c>
      <c r="U3839" s="87" t="n">
        <v>46041</v>
      </c>
      <c r="V3839" s="3" t="inlineStr">
        <is>
          <t>1</t>
        </is>
      </c>
      <c r="W3839" s="108" t="n">
        <v>46041</v>
      </c>
      <c r="X3839" s="4" t="inlineStr">
        <is>
          <t>PHILIPPOS COSTANTINIDES TRADING CO. LTD</t>
        </is>
      </c>
    </row>
    <row r="3840" ht="24" customHeight="1">
      <c r="A3840" s="2">
        <f>+D3840-S3840</f>
        <v/>
      </c>
      <c r="B3840" s="126" t="n">
        <v>5428</v>
      </c>
      <c r="C3840" s="66" t="n">
        <v>46041</v>
      </c>
      <c r="D3840" s="2" t="n">
        <v>1</v>
      </c>
      <c r="E3840" s="3" t="inlineStr">
        <is>
          <t>FUCILE SEMIAUTOMATICO</t>
        </is>
      </c>
      <c r="F3840" s="96" t="inlineStr">
        <is>
          <t>12</t>
        </is>
      </c>
      <c r="G3840" s="96" t="inlineStr">
        <is>
          <t>BERETTA</t>
        </is>
      </c>
      <c r="H3840" s="107" t="inlineStr">
        <is>
          <t>A300</t>
        </is>
      </c>
      <c r="I3840" s="65" t="inlineStr">
        <is>
          <t>A92033E</t>
        </is>
      </c>
      <c r="J3840" s="65" t="inlineStr">
        <is>
          <t>B50229F</t>
        </is>
      </c>
      <c r="K3840" s="65" t="inlineStr">
        <is>
          <t>N/D</t>
        </is>
      </c>
      <c r="L3840" s="127" t="inlineStr">
        <is>
          <t>ANTONIONI SPORT CACCIA E PESCA SRLS</t>
        </is>
      </c>
      <c r="M3840" s="5" t="n">
        <v>25.747</v>
      </c>
      <c r="N3840" s="5" t="n"/>
      <c r="O3840" s="5">
        <f>+M3840+N3840</f>
        <v/>
      </c>
      <c r="P3840" s="4" t="n"/>
      <c r="Q3840" s="87" t="n"/>
      <c r="R3840" s="5" t="n">
        <v>30</v>
      </c>
      <c r="S3840" s="2" t="n">
        <v>1</v>
      </c>
      <c r="T3840" s="3" t="inlineStr">
        <is>
          <t>CA42796IR</t>
        </is>
      </c>
      <c r="U3840" s="87" t="n">
        <v>46041</v>
      </c>
      <c r="V3840" s="3" t="inlineStr">
        <is>
          <t>1</t>
        </is>
      </c>
      <c r="W3840" s="108" t="n">
        <v>46041</v>
      </c>
      <c r="X3840" s="4" t="inlineStr">
        <is>
          <t>PHILIPPOS COSTANTINIDES TRADING CO. LTD</t>
        </is>
      </c>
    </row>
    <row r="3841" ht="24" customHeight="1">
      <c r="A3841" s="2">
        <f>+D3841-S3841</f>
        <v/>
      </c>
      <c r="B3841" s="126" t="n">
        <v>5429</v>
      </c>
      <c r="C3841" s="66" t="n">
        <v>46041</v>
      </c>
      <c r="D3841" s="2" t="n">
        <v>1</v>
      </c>
      <c r="E3841" s="3" t="inlineStr">
        <is>
          <t>FUCILE SEMIAUTOMATICO</t>
        </is>
      </c>
      <c r="F3841" s="96" t="inlineStr">
        <is>
          <t>12</t>
        </is>
      </c>
      <c r="G3841" s="96" t="inlineStr">
        <is>
          <t>BERETTA</t>
        </is>
      </c>
      <c r="H3841" s="107" t="inlineStr">
        <is>
          <t>A304 GOLD LARK</t>
        </is>
      </c>
      <c r="I3841" s="65" t="inlineStr">
        <is>
          <t>P93995E</t>
        </is>
      </c>
      <c r="J3841" s="65" t="inlineStr">
        <is>
          <t>R52664F</t>
        </is>
      </c>
      <c r="K3841" s="65" t="inlineStr">
        <is>
          <t>N/D</t>
        </is>
      </c>
      <c r="L3841" s="127" t="inlineStr">
        <is>
          <t>ANTONIONI SPORT CACCIA E PESCA SRLS</t>
        </is>
      </c>
      <c r="M3841" s="5" t="n">
        <v>25.747</v>
      </c>
      <c r="N3841" s="5" t="n"/>
      <c r="O3841" s="5">
        <f>+M3841+N3841</f>
        <v/>
      </c>
      <c r="P3841" s="4" t="n"/>
      <c r="Q3841" s="87" t="n"/>
      <c r="R3841" s="5" t="n">
        <v>30</v>
      </c>
      <c r="S3841" s="2" t="n">
        <v>1</v>
      </c>
      <c r="T3841" s="3" t="inlineStr">
        <is>
          <t>CA42796IR</t>
        </is>
      </c>
      <c r="U3841" s="87" t="n">
        <v>46041</v>
      </c>
      <c r="V3841" s="3" t="inlineStr">
        <is>
          <t>1</t>
        </is>
      </c>
      <c r="W3841" s="108" t="n">
        <v>46041</v>
      </c>
      <c r="X3841" s="4" t="inlineStr">
        <is>
          <t>PHILIPPOS COSTANTINIDES TRADING CO. LTD</t>
        </is>
      </c>
    </row>
    <row r="3842" ht="24" customHeight="1">
      <c r="A3842" s="2">
        <f>+D3842-S3842</f>
        <v/>
      </c>
      <c r="B3842" s="126" t="n">
        <v>5430</v>
      </c>
      <c r="C3842" s="66" t="n">
        <v>46041</v>
      </c>
      <c r="D3842" s="2" t="n">
        <v>1</v>
      </c>
      <c r="E3842" s="3" t="inlineStr">
        <is>
          <t>FUCILE SEMIAUTOMATICO</t>
        </is>
      </c>
      <c r="F3842" s="96" t="inlineStr">
        <is>
          <t>12</t>
        </is>
      </c>
      <c r="G3842" s="96" t="inlineStr">
        <is>
          <t>BERETTA</t>
        </is>
      </c>
      <c r="H3842" s="107" t="inlineStr">
        <is>
          <t>A300</t>
        </is>
      </c>
      <c r="I3842" s="65" t="inlineStr">
        <is>
          <t>B58645E</t>
        </is>
      </c>
      <c r="J3842" s="65" t="inlineStr">
        <is>
          <t>B99103F</t>
        </is>
      </c>
      <c r="K3842" s="65" t="inlineStr">
        <is>
          <t>N/D</t>
        </is>
      </c>
      <c r="L3842" s="127" t="inlineStr">
        <is>
          <t>ANTONIONI SPORT CACCIA E PESCA SRLS</t>
        </is>
      </c>
      <c r="M3842" s="5" t="n">
        <v>25.747</v>
      </c>
      <c r="N3842" s="5" t="n"/>
      <c r="O3842" s="5">
        <f>+M3842+N3842</f>
        <v/>
      </c>
      <c r="P3842" s="4" t="n"/>
      <c r="Q3842" s="87" t="n"/>
      <c r="R3842" s="5" t="n">
        <v>30</v>
      </c>
      <c r="S3842" s="2" t="n">
        <v>1</v>
      </c>
      <c r="T3842" s="3" t="inlineStr">
        <is>
          <t>CA42796IR</t>
        </is>
      </c>
      <c r="U3842" s="87" t="n">
        <v>46041</v>
      </c>
      <c r="V3842" s="3" t="inlineStr">
        <is>
          <t>1</t>
        </is>
      </c>
      <c r="W3842" s="108" t="n">
        <v>46041</v>
      </c>
      <c r="X3842" s="4" t="inlineStr">
        <is>
          <t>PHILIPPOS COSTANTINIDES TRADING CO. LTD</t>
        </is>
      </c>
    </row>
    <row r="3843" ht="24" customHeight="1">
      <c r="A3843" s="2">
        <f>+D3843-S3843</f>
        <v/>
      </c>
      <c r="B3843" s="126" t="n">
        <v>5431</v>
      </c>
      <c r="C3843" s="66" t="n">
        <v>46041</v>
      </c>
      <c r="D3843" s="2" t="n">
        <v>1</v>
      </c>
      <c r="E3843" s="3" t="inlineStr">
        <is>
          <t>FUCILE SEMIAUTOMATICO</t>
        </is>
      </c>
      <c r="F3843" s="96" t="inlineStr">
        <is>
          <t>12</t>
        </is>
      </c>
      <c r="G3843" s="96" t="inlineStr">
        <is>
          <t>BERETTA</t>
        </is>
      </c>
      <c r="H3843" s="107" t="inlineStr">
        <is>
          <t>AL2</t>
        </is>
      </c>
      <c r="I3843" s="65" t="inlineStr">
        <is>
          <t>D41320</t>
        </is>
      </c>
      <c r="J3843" s="65" t="inlineStr">
        <is>
          <t>H08153F</t>
        </is>
      </c>
      <c r="K3843" s="65" t="inlineStr">
        <is>
          <t>N/D</t>
        </is>
      </c>
      <c r="L3843" s="127" t="inlineStr">
        <is>
          <t>ANTONIONI SPORT CACCIA E PESCA SRLS</t>
        </is>
      </c>
      <c r="M3843" s="5" t="n">
        <v>25.747</v>
      </c>
      <c r="N3843" s="5" t="n"/>
      <c r="O3843" s="5">
        <f>+M3843+N3843</f>
        <v/>
      </c>
      <c r="P3843" s="4" t="n"/>
      <c r="Q3843" s="87" t="n"/>
      <c r="R3843" s="5" t="n">
        <v>30</v>
      </c>
      <c r="S3843" s="2" t="n">
        <v>1</v>
      </c>
      <c r="T3843" s="3" t="inlineStr">
        <is>
          <t>CA42796IR</t>
        </is>
      </c>
      <c r="U3843" s="87" t="n">
        <v>46041</v>
      </c>
      <c r="V3843" s="3" t="inlineStr">
        <is>
          <t>1</t>
        </is>
      </c>
      <c r="W3843" s="108" t="n">
        <v>46041</v>
      </c>
      <c r="X3843" s="4" t="inlineStr">
        <is>
          <t>PHILIPPOS COSTANTINIDES TRADING CO. LTD</t>
        </is>
      </c>
    </row>
    <row r="3844" ht="24" customHeight="1">
      <c r="A3844" s="2">
        <f>+D3844-S3844</f>
        <v/>
      </c>
      <c r="B3844" s="126" t="n">
        <v>5432</v>
      </c>
      <c r="C3844" s="66" t="n">
        <v>46041</v>
      </c>
      <c r="D3844" s="2" t="n">
        <v>1</v>
      </c>
      <c r="E3844" s="3" t="inlineStr">
        <is>
          <t>FUCILE SEMIAUTOMATICO</t>
        </is>
      </c>
      <c r="F3844" s="96" t="inlineStr">
        <is>
          <t>12</t>
        </is>
      </c>
      <c r="G3844" s="96" t="inlineStr">
        <is>
          <t>BERETTA</t>
        </is>
      </c>
      <c r="H3844" s="107" t="inlineStr">
        <is>
          <t>A300</t>
        </is>
      </c>
      <c r="I3844" s="65" t="inlineStr">
        <is>
          <t>G01715</t>
        </is>
      </c>
      <c r="J3844" s="65" t="inlineStr">
        <is>
          <t>C60805</t>
        </is>
      </c>
      <c r="K3844" s="65" t="inlineStr">
        <is>
          <t>N/D</t>
        </is>
      </c>
      <c r="L3844" s="127" t="inlineStr">
        <is>
          <t>ANTONIONI SPORT CACCIA E PESCA SRLS</t>
        </is>
      </c>
      <c r="M3844" s="5" t="n">
        <v>25.747</v>
      </c>
      <c r="N3844" s="5" t="n"/>
      <c r="O3844" s="5">
        <f>+M3844+N3844</f>
        <v/>
      </c>
      <c r="P3844" s="4" t="n"/>
      <c r="Q3844" s="87" t="n"/>
      <c r="R3844" s="5" t="n">
        <v>30</v>
      </c>
      <c r="S3844" s="2" t="n">
        <v>1</v>
      </c>
      <c r="T3844" s="3" t="inlineStr">
        <is>
          <t>CA42796IR</t>
        </is>
      </c>
      <c r="U3844" s="87" t="n">
        <v>46041</v>
      </c>
      <c r="V3844" s="3" t="inlineStr">
        <is>
          <t>1</t>
        </is>
      </c>
      <c r="W3844" s="108" t="n">
        <v>46041</v>
      </c>
      <c r="X3844" s="4" t="inlineStr">
        <is>
          <t>PHILIPPOS COSTANTINIDES TRADING CO. LTD</t>
        </is>
      </c>
    </row>
    <row r="3845" ht="24" customHeight="1">
      <c r="A3845" s="2">
        <f>+D3845-S3845</f>
        <v/>
      </c>
      <c r="B3845" s="126" t="n">
        <v>5433</v>
      </c>
      <c r="C3845" s="66" t="n">
        <v>46041</v>
      </c>
      <c r="D3845" s="2" t="n">
        <v>1</v>
      </c>
      <c r="E3845" s="3" t="inlineStr">
        <is>
          <t>FUCILE SEMIAUTOMATICO</t>
        </is>
      </c>
      <c r="F3845" s="96" t="inlineStr">
        <is>
          <t>12</t>
        </is>
      </c>
      <c r="G3845" s="96" t="inlineStr">
        <is>
          <t>BERETTA</t>
        </is>
      </c>
      <c r="H3845" s="107" t="inlineStr">
        <is>
          <t>A300</t>
        </is>
      </c>
      <c r="I3845" s="65" t="inlineStr">
        <is>
          <t>A62374E</t>
        </is>
      </c>
      <c r="J3845" s="65" t="inlineStr">
        <is>
          <t>C14173</t>
        </is>
      </c>
      <c r="K3845" s="65" t="inlineStr">
        <is>
          <t>N/D</t>
        </is>
      </c>
      <c r="L3845" s="127" t="inlineStr">
        <is>
          <t>ANTONIONI SPORT CACCIA E PESCA SRLS</t>
        </is>
      </c>
      <c r="M3845" s="5" t="n">
        <v>25.747</v>
      </c>
      <c r="N3845" s="5" t="n"/>
      <c r="O3845" s="5">
        <f>+M3845+N3845</f>
        <v/>
      </c>
      <c r="P3845" s="4" t="n"/>
      <c r="Q3845" s="87" t="n"/>
      <c r="R3845" s="5" t="n">
        <v>30</v>
      </c>
      <c r="S3845" s="2" t="n">
        <v>1</v>
      </c>
      <c r="T3845" s="3" t="inlineStr">
        <is>
          <t>CA42796IR</t>
        </is>
      </c>
      <c r="U3845" s="87" t="n">
        <v>46041</v>
      </c>
      <c r="V3845" s="3" t="inlineStr">
        <is>
          <t>1</t>
        </is>
      </c>
      <c r="W3845" s="108" t="n">
        <v>46041</v>
      </c>
      <c r="X3845" s="4" t="inlineStr">
        <is>
          <t>PHILIPPOS COSTANTINIDES TRADING CO. LTD</t>
        </is>
      </c>
    </row>
    <row r="3846" ht="24" customHeight="1">
      <c r="A3846" s="2">
        <f>+D3846-S3846</f>
        <v/>
      </c>
      <c r="B3846" s="126" t="n">
        <v>5434</v>
      </c>
      <c r="C3846" s="66" t="n">
        <v>46041</v>
      </c>
      <c r="D3846" s="2" t="n">
        <v>1</v>
      </c>
      <c r="E3846" s="3" t="inlineStr">
        <is>
          <t>FUCILE SEMIAUTOMATICO</t>
        </is>
      </c>
      <c r="F3846" s="96" t="inlineStr">
        <is>
          <t>12</t>
        </is>
      </c>
      <c r="G3846" s="96" t="inlineStr">
        <is>
          <t>BERETTA</t>
        </is>
      </c>
      <c r="H3846" s="107" t="inlineStr">
        <is>
          <t>A303</t>
        </is>
      </c>
      <c r="I3846" s="65" t="inlineStr">
        <is>
          <t>N36027E</t>
        </is>
      </c>
      <c r="J3846" s="65" t="inlineStr">
        <is>
          <t>H20775F</t>
        </is>
      </c>
      <c r="K3846" s="65" t="inlineStr">
        <is>
          <t>N/D</t>
        </is>
      </c>
      <c r="L3846" s="127" t="inlineStr">
        <is>
          <t>ANTONIONI SPORT CACCIA E PESCA SRLS</t>
        </is>
      </c>
      <c r="M3846" s="5" t="n">
        <v>25.747</v>
      </c>
      <c r="N3846" s="5" t="n"/>
      <c r="O3846" s="5">
        <f>+M3846+N3846</f>
        <v/>
      </c>
      <c r="P3846" s="4" t="n"/>
      <c r="Q3846" s="87" t="n"/>
      <c r="R3846" s="5" t="n">
        <v>30</v>
      </c>
      <c r="S3846" s="2" t="n">
        <v>1</v>
      </c>
      <c r="T3846" s="3" t="inlineStr">
        <is>
          <t>CA42796IR</t>
        </is>
      </c>
      <c r="U3846" s="87" t="n">
        <v>46041</v>
      </c>
      <c r="V3846" s="3" t="inlineStr">
        <is>
          <t>1</t>
        </is>
      </c>
      <c r="W3846" s="108" t="n">
        <v>46041</v>
      </c>
      <c r="X3846" s="4" t="inlineStr">
        <is>
          <t>PHILIPPOS COSTANTINIDES TRADING CO. LTD</t>
        </is>
      </c>
    </row>
    <row r="3847" ht="24" customHeight="1">
      <c r="A3847" s="2">
        <f>+D3847-S3847</f>
        <v/>
      </c>
      <c r="B3847" s="126" t="n">
        <v>5435</v>
      </c>
      <c r="C3847" s="66" t="n">
        <v>46041</v>
      </c>
      <c r="D3847" s="2" t="n">
        <v>1</v>
      </c>
      <c r="E3847" s="3" t="inlineStr">
        <is>
          <t>FUCILE SEMIAUTOMATICO</t>
        </is>
      </c>
      <c r="F3847" s="96" t="inlineStr">
        <is>
          <t>12</t>
        </is>
      </c>
      <c r="G3847" s="96" t="inlineStr">
        <is>
          <t>BERETTA</t>
        </is>
      </c>
      <c r="H3847" s="107" t="inlineStr">
        <is>
          <t>AL2</t>
        </is>
      </c>
      <c r="I3847" s="65" t="inlineStr">
        <is>
          <t>A56636E</t>
        </is>
      </c>
      <c r="J3847" s="65" t="inlineStr">
        <is>
          <t>B36893F</t>
        </is>
      </c>
      <c r="K3847" s="65" t="inlineStr">
        <is>
          <t>N/D</t>
        </is>
      </c>
      <c r="L3847" s="127" t="inlineStr">
        <is>
          <t>ANTONIONI SPORT CACCIA E PESCA SRLS</t>
        </is>
      </c>
      <c r="M3847" s="5" t="n">
        <v>25.747</v>
      </c>
      <c r="N3847" s="5" t="n"/>
      <c r="O3847" s="5">
        <f>+M3847+N3847</f>
        <v/>
      </c>
      <c r="P3847" s="4" t="n"/>
      <c r="Q3847" s="87" t="n"/>
      <c r="R3847" s="5" t="n">
        <v>30</v>
      </c>
      <c r="S3847" s="2" t="n">
        <v>1</v>
      </c>
      <c r="T3847" s="3" t="inlineStr">
        <is>
          <t>CA42796IR</t>
        </is>
      </c>
      <c r="U3847" s="87" t="n">
        <v>46041</v>
      </c>
      <c r="V3847" s="3" t="inlineStr">
        <is>
          <t>1</t>
        </is>
      </c>
      <c r="W3847" s="108" t="n">
        <v>46041</v>
      </c>
      <c r="X3847" s="4" t="inlineStr">
        <is>
          <t>PHILIPPOS COSTANTINIDES TRADING CO. LTD</t>
        </is>
      </c>
    </row>
    <row r="3848" ht="24" customHeight="1">
      <c r="A3848" s="2">
        <f>+D3848-S3848</f>
        <v/>
      </c>
      <c r="B3848" s="126" t="n">
        <v>5436</v>
      </c>
      <c r="C3848" s="66" t="n">
        <v>46041</v>
      </c>
      <c r="D3848" s="2" t="n">
        <v>1</v>
      </c>
      <c r="E3848" s="3" t="inlineStr">
        <is>
          <t>FUCILE SEMIAUTOMATICO</t>
        </is>
      </c>
      <c r="F3848" s="96" t="inlineStr">
        <is>
          <t>12</t>
        </is>
      </c>
      <c r="G3848" s="96" t="inlineStr">
        <is>
          <t>BERETTA</t>
        </is>
      </c>
      <c r="H3848" s="107" t="inlineStr">
        <is>
          <t>A301</t>
        </is>
      </c>
      <c r="I3848" s="65" t="inlineStr">
        <is>
          <t>C56037E</t>
        </is>
      </c>
      <c r="J3848" s="65" t="inlineStr">
        <is>
          <t>B71630F</t>
        </is>
      </c>
      <c r="K3848" s="65" t="inlineStr">
        <is>
          <t>N/D</t>
        </is>
      </c>
      <c r="L3848" s="127" t="inlineStr">
        <is>
          <t>ANTONIONI SPORT CACCIA E PESCA SRLS</t>
        </is>
      </c>
      <c r="M3848" s="5" t="n">
        <v>25.747</v>
      </c>
      <c r="N3848" s="5" t="n"/>
      <c r="O3848" s="5">
        <f>+M3848+N3848</f>
        <v/>
      </c>
      <c r="P3848" s="4" t="n"/>
      <c r="Q3848" s="87" t="n"/>
      <c r="R3848" s="5" t="n">
        <v>30</v>
      </c>
      <c r="S3848" s="2" t="n">
        <v>1</v>
      </c>
      <c r="T3848" s="3" t="inlineStr">
        <is>
          <t>CA42796IR</t>
        </is>
      </c>
      <c r="U3848" s="87" t="n">
        <v>46041</v>
      </c>
      <c r="V3848" s="3" t="inlineStr">
        <is>
          <t>1</t>
        </is>
      </c>
      <c r="W3848" s="108" t="n">
        <v>46041</v>
      </c>
      <c r="X3848" s="4" t="inlineStr">
        <is>
          <t>PHILIPPOS COSTANTINIDES TRADING CO. LTD</t>
        </is>
      </c>
    </row>
    <row r="3849" ht="24" customHeight="1">
      <c r="A3849" s="2">
        <f>+D3849-S3849</f>
        <v/>
      </c>
      <c r="B3849" s="126" t="n">
        <v>5437</v>
      </c>
      <c r="C3849" s="66" t="n">
        <v>46041</v>
      </c>
      <c r="D3849" s="2" t="n">
        <v>1</v>
      </c>
      <c r="E3849" s="3" t="inlineStr">
        <is>
          <t>FUCILE SEMIAUTOMATICO</t>
        </is>
      </c>
      <c r="F3849" s="96" t="inlineStr">
        <is>
          <t>12</t>
        </is>
      </c>
      <c r="G3849" s="96" t="inlineStr">
        <is>
          <t>BERETTA</t>
        </is>
      </c>
      <c r="H3849" s="107" t="inlineStr">
        <is>
          <t>A301</t>
        </is>
      </c>
      <c r="I3849" s="65" t="inlineStr">
        <is>
          <t>C61964E</t>
        </is>
      </c>
      <c r="J3849" s="65" t="inlineStr">
        <is>
          <t>683625</t>
        </is>
      </c>
      <c r="K3849" s="65" t="inlineStr">
        <is>
          <t>N/D</t>
        </is>
      </c>
      <c r="L3849" s="127" t="inlineStr">
        <is>
          <t>ANTONIONI SPORT CACCIA E PESCA SRLS</t>
        </is>
      </c>
      <c r="M3849" s="5" t="n">
        <v>25.747</v>
      </c>
      <c r="N3849" s="5" t="n"/>
      <c r="O3849" s="5">
        <f>+M3849+N3849</f>
        <v/>
      </c>
      <c r="P3849" s="4" t="n"/>
      <c r="Q3849" s="87" t="n"/>
      <c r="R3849" s="5" t="n">
        <v>30</v>
      </c>
      <c r="S3849" s="2" t="n">
        <v>1</v>
      </c>
      <c r="T3849" s="3" t="inlineStr">
        <is>
          <t>CA42796IR</t>
        </is>
      </c>
      <c r="U3849" s="87" t="n">
        <v>46041</v>
      </c>
      <c r="V3849" s="3" t="inlineStr">
        <is>
          <t>1</t>
        </is>
      </c>
      <c r="W3849" s="108" t="n">
        <v>46041</v>
      </c>
      <c r="X3849" s="4" t="inlineStr">
        <is>
          <t>PHILIPPOS COSTANTINIDES TRADING CO. LTD</t>
        </is>
      </c>
    </row>
    <row r="3850" ht="24" customHeight="1">
      <c r="A3850" s="2">
        <f>+D3850-S3850</f>
        <v/>
      </c>
      <c r="B3850" s="126" t="n">
        <v>5438</v>
      </c>
      <c r="C3850" s="66" t="n">
        <v>46041</v>
      </c>
      <c r="D3850" s="2" t="n">
        <v>1</v>
      </c>
      <c r="E3850" s="3" t="inlineStr">
        <is>
          <t>FUCILE SEMIAUTOMATICO</t>
        </is>
      </c>
      <c r="F3850" s="96" t="inlineStr">
        <is>
          <t>12</t>
        </is>
      </c>
      <c r="G3850" s="96" t="inlineStr">
        <is>
          <t>BERETTA</t>
        </is>
      </c>
      <c r="H3850" s="107" t="inlineStr">
        <is>
          <t>A300</t>
        </is>
      </c>
      <c r="I3850" s="65" t="inlineStr">
        <is>
          <t>G92988</t>
        </is>
      </c>
      <c r="J3850" s="65" t="inlineStr">
        <is>
          <t>C06848</t>
        </is>
      </c>
      <c r="K3850" s="65" t="inlineStr">
        <is>
          <t>N/D</t>
        </is>
      </c>
      <c r="L3850" s="127" t="inlineStr">
        <is>
          <t>ANTONIONI SPORT CACCIA E PESCA SRLS</t>
        </is>
      </c>
      <c r="M3850" s="5" t="n">
        <v>25.747</v>
      </c>
      <c r="N3850" s="5" t="n"/>
      <c r="O3850" s="5">
        <f>+M3850+N3850</f>
        <v/>
      </c>
      <c r="P3850" s="4" t="n"/>
      <c r="Q3850" s="87" t="n"/>
      <c r="R3850" s="5" t="n">
        <v>30</v>
      </c>
      <c r="S3850" s="2" t="n">
        <v>1</v>
      </c>
      <c r="T3850" s="3" t="inlineStr">
        <is>
          <t>CA42796IR</t>
        </is>
      </c>
      <c r="U3850" s="87" t="n">
        <v>46041</v>
      </c>
      <c r="V3850" s="3" t="inlineStr">
        <is>
          <t>1</t>
        </is>
      </c>
      <c r="W3850" s="108" t="n">
        <v>46041</v>
      </c>
      <c r="X3850" s="4" t="inlineStr">
        <is>
          <t>PHILIPPOS COSTANTINIDES TRADING CO. LTD</t>
        </is>
      </c>
    </row>
    <row r="3851" ht="24" customHeight="1">
      <c r="A3851" s="2">
        <f>+D3851-S3851</f>
        <v/>
      </c>
      <c r="B3851" s="126" t="n">
        <v>5439</v>
      </c>
      <c r="C3851" s="66" t="n">
        <v>46041</v>
      </c>
      <c r="D3851" s="2" t="n">
        <v>1</v>
      </c>
      <c r="E3851" s="3" t="inlineStr">
        <is>
          <t>FUCILE SEMIAUTOMATICO</t>
        </is>
      </c>
      <c r="F3851" s="96" t="inlineStr">
        <is>
          <t>12</t>
        </is>
      </c>
      <c r="G3851" s="96" t="inlineStr">
        <is>
          <t>BERETTA</t>
        </is>
      </c>
      <c r="H3851" s="107" t="inlineStr">
        <is>
          <t>A301</t>
        </is>
      </c>
      <c r="I3851" s="65" t="inlineStr">
        <is>
          <t>B28714E</t>
        </is>
      </c>
      <c r="J3851" s="65" t="inlineStr">
        <is>
          <t>B97431F</t>
        </is>
      </c>
      <c r="K3851" s="65" t="inlineStr">
        <is>
          <t>N/D</t>
        </is>
      </c>
      <c r="L3851" s="127" t="inlineStr">
        <is>
          <t>ANTONIONI SPORT CACCIA E PESCA SRLS</t>
        </is>
      </c>
      <c r="M3851" s="5" t="n">
        <v>25.747</v>
      </c>
      <c r="N3851" s="5" t="n"/>
      <c r="O3851" s="5">
        <f>+M3851+N3851</f>
        <v/>
      </c>
      <c r="P3851" s="4" t="n"/>
      <c r="Q3851" s="87" t="n"/>
      <c r="R3851" s="5" t="n">
        <v>30</v>
      </c>
      <c r="S3851" s="2" t="n">
        <v>1</v>
      </c>
      <c r="T3851" s="3" t="inlineStr">
        <is>
          <t>CA42796IR</t>
        </is>
      </c>
      <c r="U3851" s="87" t="n">
        <v>46041</v>
      </c>
      <c r="V3851" s="3" t="inlineStr">
        <is>
          <t>1</t>
        </is>
      </c>
      <c r="W3851" s="108" t="n">
        <v>46041</v>
      </c>
      <c r="X3851" s="4" t="inlineStr">
        <is>
          <t>PHILIPPOS COSTANTINIDES TRADING CO. LTD</t>
        </is>
      </c>
    </row>
    <row r="3852" ht="24" customHeight="1">
      <c r="A3852" s="2">
        <f>+D3852-S3852</f>
        <v/>
      </c>
      <c r="B3852" s="126" t="n">
        <v>5440</v>
      </c>
      <c r="C3852" s="66" t="n">
        <v>46041</v>
      </c>
      <c r="D3852" s="2" t="n">
        <v>1</v>
      </c>
      <c r="E3852" s="3" t="inlineStr">
        <is>
          <t>FUCILE SEMIAUTOMATICO</t>
        </is>
      </c>
      <c r="F3852" s="96" t="inlineStr">
        <is>
          <t>12</t>
        </is>
      </c>
      <c r="G3852" s="96" t="inlineStr">
        <is>
          <t>BERETTA</t>
        </is>
      </c>
      <c r="H3852" s="107" t="inlineStr">
        <is>
          <t>A301</t>
        </is>
      </c>
      <c r="I3852" s="65" t="inlineStr">
        <is>
          <t>C70116E</t>
        </is>
      </c>
      <c r="J3852" s="65" t="inlineStr">
        <is>
          <t>C95586F</t>
        </is>
      </c>
      <c r="K3852" s="65" t="inlineStr">
        <is>
          <t>N/D</t>
        </is>
      </c>
      <c r="L3852" s="127" t="inlineStr">
        <is>
          <t>ANTONIONI SPORT CACCIA E PESCA SRLS</t>
        </is>
      </c>
      <c r="M3852" s="5" t="n">
        <v>25.747</v>
      </c>
      <c r="N3852" s="5" t="n"/>
      <c r="O3852" s="5">
        <f>+M3852+N3852</f>
        <v/>
      </c>
      <c r="P3852" s="4" t="n"/>
      <c r="Q3852" s="87" t="n"/>
      <c r="R3852" s="5" t="n">
        <v>30</v>
      </c>
      <c r="S3852" s="2" t="n">
        <v>1</v>
      </c>
      <c r="T3852" s="3" t="inlineStr">
        <is>
          <t>CA42796IR</t>
        </is>
      </c>
      <c r="U3852" s="87" t="n">
        <v>46041</v>
      </c>
      <c r="V3852" s="3" t="inlineStr">
        <is>
          <t>1</t>
        </is>
      </c>
      <c r="W3852" s="108" t="n">
        <v>46041</v>
      </c>
      <c r="X3852" s="4" t="inlineStr">
        <is>
          <t>PHILIPPOS COSTANTINIDES TRADING CO. LTD</t>
        </is>
      </c>
    </row>
    <row r="3853" ht="24" customHeight="1">
      <c r="A3853" s="2">
        <f>+D3853-S3853</f>
        <v/>
      </c>
      <c r="B3853" s="126" t="n">
        <v>5441</v>
      </c>
      <c r="C3853" s="66" t="n">
        <v>46041</v>
      </c>
      <c r="D3853" s="2" t="n">
        <v>1</v>
      </c>
      <c r="E3853" s="3" t="inlineStr">
        <is>
          <t>FUCILE SEMIAUTOMATICO</t>
        </is>
      </c>
      <c r="F3853" s="96" t="inlineStr">
        <is>
          <t>12</t>
        </is>
      </c>
      <c r="G3853" s="96" t="inlineStr">
        <is>
          <t>BERETTA</t>
        </is>
      </c>
      <c r="H3853" s="107" t="inlineStr">
        <is>
          <t>A303</t>
        </is>
      </c>
      <c r="I3853" s="65" t="inlineStr">
        <is>
          <t>M70891E</t>
        </is>
      </c>
      <c r="J3853" s="65" t="inlineStr">
        <is>
          <t>N78644F</t>
        </is>
      </c>
      <c r="K3853" s="65" t="inlineStr">
        <is>
          <t>N/D</t>
        </is>
      </c>
      <c r="L3853" s="127" t="inlineStr">
        <is>
          <t>ANTONIONI SPORT CACCIA E PESCA SRLS</t>
        </is>
      </c>
      <c r="M3853" s="5" t="n">
        <v>25.747</v>
      </c>
      <c r="N3853" s="5" t="n"/>
      <c r="O3853" s="5">
        <f>+M3853+N3853</f>
        <v/>
      </c>
      <c r="P3853" s="4" t="n"/>
      <c r="Q3853" s="87" t="n"/>
      <c r="R3853" s="5" t="n">
        <v>30</v>
      </c>
      <c r="S3853" s="2" t="n">
        <v>1</v>
      </c>
      <c r="T3853" s="3" t="inlineStr">
        <is>
          <t>CA42796IR</t>
        </is>
      </c>
      <c r="U3853" s="87" t="n">
        <v>46041</v>
      </c>
      <c r="V3853" s="3" t="inlineStr">
        <is>
          <t>1</t>
        </is>
      </c>
      <c r="W3853" s="108" t="n">
        <v>46041</v>
      </c>
      <c r="X3853" s="4" t="inlineStr">
        <is>
          <t>PHILIPPOS COSTANTINIDES TRADING CO. LTD</t>
        </is>
      </c>
    </row>
    <row r="3854" ht="24" customHeight="1">
      <c r="A3854" s="2">
        <f>+D3854-S3854</f>
        <v/>
      </c>
      <c r="B3854" s="126" t="n">
        <v>5442</v>
      </c>
      <c r="C3854" s="66" t="n">
        <v>46041</v>
      </c>
      <c r="D3854" s="2" t="n">
        <v>1</v>
      </c>
      <c r="E3854" s="3" t="inlineStr">
        <is>
          <t>FUCILE SEMIAUTOMATICO</t>
        </is>
      </c>
      <c r="F3854" s="96" t="inlineStr">
        <is>
          <t>12</t>
        </is>
      </c>
      <c r="G3854" s="96" t="inlineStr">
        <is>
          <t>BERETTA</t>
        </is>
      </c>
      <c r="H3854" s="107" t="inlineStr">
        <is>
          <t>A301</t>
        </is>
      </c>
      <c r="I3854" s="65" t="inlineStr">
        <is>
          <t>B29945E</t>
        </is>
      </c>
      <c r="J3854" s="65" t="inlineStr">
        <is>
          <t>E05324F</t>
        </is>
      </c>
      <c r="K3854" s="65" t="inlineStr">
        <is>
          <t>N/D</t>
        </is>
      </c>
      <c r="L3854" s="127" t="inlineStr">
        <is>
          <t>ANTONIONI SPORT CACCIA E PESCA SRLS</t>
        </is>
      </c>
      <c r="M3854" s="5" t="n">
        <v>25.747</v>
      </c>
      <c r="N3854" s="5" t="n"/>
      <c r="O3854" s="5">
        <f>+M3854+N3854</f>
        <v/>
      </c>
      <c r="P3854" s="4" t="n"/>
      <c r="Q3854" s="87" t="n"/>
      <c r="R3854" s="5" t="n">
        <v>30</v>
      </c>
      <c r="S3854" s="2" t="n">
        <v>1</v>
      </c>
      <c r="T3854" s="3" t="inlineStr">
        <is>
          <t>CA42796IR</t>
        </is>
      </c>
      <c r="U3854" s="87" t="n">
        <v>46041</v>
      </c>
      <c r="V3854" s="3" t="inlineStr">
        <is>
          <t>1</t>
        </is>
      </c>
      <c r="W3854" s="108" t="n">
        <v>46041</v>
      </c>
      <c r="X3854" s="4" t="inlineStr">
        <is>
          <t>PHILIPPOS COSTANTINIDES TRADING CO. LTD</t>
        </is>
      </c>
    </row>
    <row r="3855" ht="24" customHeight="1">
      <c r="A3855" s="2">
        <f>+D3855-S3855</f>
        <v/>
      </c>
      <c r="B3855" s="126" t="n">
        <v>5443</v>
      </c>
      <c r="C3855" s="66" t="n">
        <v>46041</v>
      </c>
      <c r="D3855" s="2" t="n">
        <v>1</v>
      </c>
      <c r="E3855" s="3" t="inlineStr">
        <is>
          <t>FUCILE SEMIAUTOMATICO</t>
        </is>
      </c>
      <c r="F3855" s="96" t="inlineStr">
        <is>
          <t>12</t>
        </is>
      </c>
      <c r="G3855" s="96" t="inlineStr">
        <is>
          <t>BERETTA</t>
        </is>
      </c>
      <c r="H3855" s="107" t="inlineStr">
        <is>
          <t>A300</t>
        </is>
      </c>
      <c r="I3855" s="65" t="inlineStr">
        <is>
          <t>B01858E</t>
        </is>
      </c>
      <c r="J3855" s="65" t="inlineStr">
        <is>
          <t>B73703F</t>
        </is>
      </c>
      <c r="K3855" s="65" t="inlineStr">
        <is>
          <t>N/D</t>
        </is>
      </c>
      <c r="L3855" s="127" t="inlineStr">
        <is>
          <t>ANTONIONI SPORT CACCIA E PESCA SRLS</t>
        </is>
      </c>
      <c r="M3855" s="5" t="n">
        <v>25.747</v>
      </c>
      <c r="N3855" s="5" t="n"/>
      <c r="O3855" s="5">
        <f>+M3855+N3855</f>
        <v/>
      </c>
      <c r="P3855" s="4" t="n"/>
      <c r="Q3855" s="87" t="n"/>
      <c r="R3855" s="5" t="n">
        <v>30</v>
      </c>
      <c r="S3855" s="2" t="n">
        <v>1</v>
      </c>
      <c r="T3855" s="3" t="inlineStr">
        <is>
          <t>CA42796IR</t>
        </is>
      </c>
      <c r="U3855" s="87" t="n">
        <v>46041</v>
      </c>
      <c r="V3855" s="3" t="inlineStr">
        <is>
          <t>1</t>
        </is>
      </c>
      <c r="W3855" s="108" t="n">
        <v>46041</v>
      </c>
      <c r="X3855" s="4" t="inlineStr">
        <is>
          <t>PHILIPPOS COSTANTINIDES TRADING CO. LTD</t>
        </is>
      </c>
    </row>
    <row r="3856" ht="24" customHeight="1">
      <c r="A3856" s="2">
        <f>+D3856-S3856</f>
        <v/>
      </c>
      <c r="B3856" s="126" t="n">
        <v>5444</v>
      </c>
      <c r="C3856" s="66" t="n">
        <v>46041</v>
      </c>
      <c r="D3856" s="2" t="n">
        <v>1</v>
      </c>
      <c r="E3856" s="3" t="inlineStr">
        <is>
          <t>FUCILE SEMIAUTOMATICO</t>
        </is>
      </c>
      <c r="F3856" s="96" t="inlineStr">
        <is>
          <t>12</t>
        </is>
      </c>
      <c r="G3856" s="96" t="inlineStr">
        <is>
          <t>BERETTA</t>
        </is>
      </c>
      <c r="H3856" s="107" t="inlineStr">
        <is>
          <t>A300</t>
        </is>
      </c>
      <c r="I3856" s="65" t="inlineStr">
        <is>
          <t>G44850</t>
        </is>
      </c>
      <c r="J3856" s="65" t="inlineStr">
        <is>
          <t>A04424F</t>
        </is>
      </c>
      <c r="K3856" s="65" t="inlineStr">
        <is>
          <t>N/D</t>
        </is>
      </c>
      <c r="L3856" s="127" t="inlineStr">
        <is>
          <t>ANTONIONI SPORT CACCIA E PESCA SRLS</t>
        </is>
      </c>
      <c r="M3856" s="5" t="n">
        <v>25.747</v>
      </c>
      <c r="N3856" s="5" t="n"/>
      <c r="O3856" s="5">
        <f>+M3856+N3856</f>
        <v/>
      </c>
      <c r="P3856" s="4" t="n"/>
      <c r="Q3856" s="87" t="n"/>
      <c r="R3856" s="5" t="n">
        <v>30</v>
      </c>
      <c r="S3856" s="2" t="n">
        <v>1</v>
      </c>
      <c r="T3856" s="3" t="inlineStr">
        <is>
          <t>CA42796IR</t>
        </is>
      </c>
      <c r="U3856" s="87" t="n">
        <v>46041</v>
      </c>
      <c r="V3856" s="3" t="inlineStr">
        <is>
          <t>1</t>
        </is>
      </c>
      <c r="W3856" s="108" t="n">
        <v>46041</v>
      </c>
      <c r="X3856" s="4" t="inlineStr">
        <is>
          <t>PHILIPPOS COSTANTINIDES TRADING CO. LTD</t>
        </is>
      </c>
    </row>
    <row r="3857" ht="24" customHeight="1">
      <c r="A3857" s="2">
        <f>+D3857-S3857</f>
        <v/>
      </c>
      <c r="B3857" s="126" t="n">
        <v>5445</v>
      </c>
      <c r="C3857" s="66" t="n">
        <v>46041</v>
      </c>
      <c r="D3857" s="2" t="n">
        <v>1</v>
      </c>
      <c r="E3857" s="3" t="inlineStr">
        <is>
          <t>FUCILE SEMIAUTOMATICO</t>
        </is>
      </c>
      <c r="F3857" s="96" t="inlineStr">
        <is>
          <t>12</t>
        </is>
      </c>
      <c r="G3857" s="96" t="inlineStr">
        <is>
          <t>BERETTA</t>
        </is>
      </c>
      <c r="H3857" s="107" t="inlineStr">
        <is>
          <t>A300</t>
        </is>
      </c>
      <c r="I3857" s="65" t="inlineStr">
        <is>
          <t>A80711E</t>
        </is>
      </c>
      <c r="J3857" s="65" t="inlineStr">
        <is>
          <t>G04808F</t>
        </is>
      </c>
      <c r="K3857" s="65" t="inlineStr">
        <is>
          <t>N/D</t>
        </is>
      </c>
      <c r="L3857" s="127" t="inlineStr">
        <is>
          <t>ANTONIONI SPORT CACCIA E PESCA SRLS</t>
        </is>
      </c>
      <c r="M3857" s="5" t="n">
        <v>25.747</v>
      </c>
      <c r="N3857" s="5" t="n"/>
      <c r="O3857" s="5">
        <f>+M3857+N3857</f>
        <v/>
      </c>
      <c r="P3857" s="4" t="n"/>
      <c r="Q3857" s="87" t="n"/>
      <c r="R3857" s="5" t="n">
        <v>30</v>
      </c>
      <c r="S3857" s="2" t="n">
        <v>1</v>
      </c>
      <c r="T3857" s="3" t="inlineStr">
        <is>
          <t>CA42796IR</t>
        </is>
      </c>
      <c r="U3857" s="87" t="n">
        <v>46041</v>
      </c>
      <c r="V3857" s="3" t="inlineStr">
        <is>
          <t>1</t>
        </is>
      </c>
      <c r="W3857" s="108" t="n">
        <v>46041</v>
      </c>
      <c r="X3857" s="4" t="inlineStr">
        <is>
          <t>PHILIPPOS COSTANTINIDES TRADING CO. LTD</t>
        </is>
      </c>
    </row>
    <row r="3858" ht="24" customHeight="1">
      <c r="A3858" s="2">
        <f>+D3858-S3858</f>
        <v/>
      </c>
      <c r="B3858" s="126" t="n">
        <v>5446</v>
      </c>
      <c r="C3858" s="66" t="n">
        <v>46041</v>
      </c>
      <c r="D3858" s="2" t="n">
        <v>1</v>
      </c>
      <c r="E3858" s="3" t="inlineStr">
        <is>
          <t>FUCILE SEMIAUTOMATICO</t>
        </is>
      </c>
      <c r="F3858" s="96" t="inlineStr">
        <is>
          <t>12</t>
        </is>
      </c>
      <c r="G3858" s="96" t="inlineStr">
        <is>
          <t>BERETTA</t>
        </is>
      </c>
      <c r="H3858" s="107" t="inlineStr">
        <is>
          <t>A300</t>
        </is>
      </c>
      <c r="I3858" s="65" t="inlineStr">
        <is>
          <t>A75436E</t>
        </is>
      </c>
      <c r="J3858" s="65" t="inlineStr">
        <is>
          <t>B36490F</t>
        </is>
      </c>
      <c r="K3858" s="65" t="inlineStr">
        <is>
          <t>N/D</t>
        </is>
      </c>
      <c r="L3858" s="127" t="inlineStr">
        <is>
          <t>ANTONIONI SPORT CACCIA E PESCA SRLS</t>
        </is>
      </c>
      <c r="M3858" s="5" t="n">
        <v>25.747</v>
      </c>
      <c r="N3858" s="5" t="n"/>
      <c r="O3858" s="5">
        <f>+M3858+N3858</f>
        <v/>
      </c>
      <c r="P3858" s="4" t="n"/>
      <c r="Q3858" s="87" t="n"/>
      <c r="R3858" s="5" t="n">
        <v>30</v>
      </c>
      <c r="S3858" s="2" t="n">
        <v>1</v>
      </c>
      <c r="T3858" s="3" t="inlineStr">
        <is>
          <t>CA42796IR</t>
        </is>
      </c>
      <c r="U3858" s="87" t="n">
        <v>46041</v>
      </c>
      <c r="V3858" s="3" t="inlineStr">
        <is>
          <t>1</t>
        </is>
      </c>
      <c r="W3858" s="108" t="n">
        <v>46041</v>
      </c>
      <c r="X3858" s="4" t="inlineStr">
        <is>
          <t>PHILIPPOS COSTANTINIDES TRADING CO. LTD</t>
        </is>
      </c>
    </row>
    <row r="3859" ht="24" customHeight="1">
      <c r="A3859" s="2">
        <f>+D3859-S3859</f>
        <v/>
      </c>
      <c r="B3859" s="126" t="n">
        <v>5447</v>
      </c>
      <c r="C3859" s="66" t="n">
        <v>46041</v>
      </c>
      <c r="D3859" s="2" t="n">
        <v>1</v>
      </c>
      <c r="E3859" s="3" t="inlineStr">
        <is>
          <t>FUCILE SEMIAUTOMATICO</t>
        </is>
      </c>
      <c r="F3859" s="96" t="inlineStr">
        <is>
          <t>12</t>
        </is>
      </c>
      <c r="G3859" s="96" t="inlineStr">
        <is>
          <t>BERETTA</t>
        </is>
      </c>
      <c r="H3859" s="107" t="inlineStr">
        <is>
          <t>A300</t>
        </is>
      </c>
      <c r="I3859" s="65" t="inlineStr">
        <is>
          <t>B2848</t>
        </is>
      </c>
      <c r="J3859" s="65" t="inlineStr">
        <is>
          <t>2848</t>
        </is>
      </c>
      <c r="K3859" s="65" t="inlineStr">
        <is>
          <t>N/D</t>
        </is>
      </c>
      <c r="L3859" s="127" t="inlineStr">
        <is>
          <t>ANTONIONI SPORT CACCIA E PESCA SRLS</t>
        </is>
      </c>
      <c r="M3859" s="5" t="n">
        <v>25.747</v>
      </c>
      <c r="N3859" s="5" t="n"/>
      <c r="O3859" s="5">
        <f>+M3859+N3859</f>
        <v/>
      </c>
      <c r="P3859" s="4" t="n"/>
      <c r="Q3859" s="87" t="n"/>
      <c r="R3859" s="5" t="n">
        <v>30</v>
      </c>
      <c r="S3859" s="2" t="n">
        <v>1</v>
      </c>
      <c r="T3859" s="3" t="inlineStr">
        <is>
          <t>CA42796IR</t>
        </is>
      </c>
      <c r="U3859" s="87" t="n">
        <v>46041</v>
      </c>
      <c r="V3859" s="3" t="inlineStr">
        <is>
          <t>1</t>
        </is>
      </c>
      <c r="W3859" s="108" t="n">
        <v>46041</v>
      </c>
      <c r="X3859" s="4" t="inlineStr">
        <is>
          <t>PHILIPPOS COSTANTINIDES TRADING CO. LTD</t>
        </is>
      </c>
    </row>
    <row r="3860" ht="24" customHeight="1">
      <c r="A3860" s="2">
        <f>+D3860-S3860</f>
        <v/>
      </c>
      <c r="B3860" s="126" t="n">
        <v>5448</v>
      </c>
      <c r="C3860" s="66" t="n">
        <v>46041</v>
      </c>
      <c r="D3860" s="2" t="n">
        <v>1</v>
      </c>
      <c r="E3860" s="3" t="inlineStr">
        <is>
          <t>FUCILE SEMIAUTOMATICO</t>
        </is>
      </c>
      <c r="F3860" s="96" t="inlineStr">
        <is>
          <t>12</t>
        </is>
      </c>
      <c r="G3860" s="96" t="inlineStr">
        <is>
          <t>BERETTA</t>
        </is>
      </c>
      <c r="H3860" s="107" t="inlineStr">
        <is>
          <t>A303</t>
        </is>
      </c>
      <c r="I3860" s="65" t="inlineStr">
        <is>
          <t>L24806E</t>
        </is>
      </c>
      <c r="J3860" s="65" t="inlineStr">
        <is>
          <t>C27588F</t>
        </is>
      </c>
      <c r="K3860" s="65" t="inlineStr">
        <is>
          <t>N/D</t>
        </is>
      </c>
      <c r="L3860" s="127" t="inlineStr">
        <is>
          <t>ANTONIONI SPORT CACCIA E PESCA SRLS</t>
        </is>
      </c>
      <c r="M3860" s="5" t="n">
        <v>25.747</v>
      </c>
      <c r="N3860" s="5" t="n"/>
      <c r="O3860" s="5">
        <f>+M3860+N3860</f>
        <v/>
      </c>
      <c r="P3860" s="4" t="n"/>
      <c r="Q3860" s="87" t="n"/>
      <c r="R3860" s="5" t="n">
        <v>30</v>
      </c>
      <c r="S3860" s="2" t="n">
        <v>1</v>
      </c>
      <c r="T3860" s="3" t="inlineStr">
        <is>
          <t>CA42796IR</t>
        </is>
      </c>
      <c r="U3860" s="87" t="n">
        <v>46041</v>
      </c>
      <c r="V3860" s="3" t="inlineStr">
        <is>
          <t>1</t>
        </is>
      </c>
      <c r="W3860" s="108" t="n">
        <v>46041</v>
      </c>
      <c r="X3860" s="4" t="inlineStr">
        <is>
          <t>PHILIPPOS COSTANTINIDES TRADING CO. LTD</t>
        </is>
      </c>
    </row>
    <row r="3861" ht="24" customHeight="1">
      <c r="A3861" s="2">
        <f>+D3861-S3861</f>
        <v/>
      </c>
      <c r="B3861" s="126" t="n">
        <v>5449</v>
      </c>
      <c r="C3861" s="66" t="n">
        <v>46041</v>
      </c>
      <c r="D3861" s="2" t="n">
        <v>1</v>
      </c>
      <c r="E3861" s="3" t="inlineStr">
        <is>
          <t>FUCILE SEMIAUTOMATICO</t>
        </is>
      </c>
      <c r="F3861" s="96" t="inlineStr">
        <is>
          <t>12</t>
        </is>
      </c>
      <c r="G3861" s="96" t="inlineStr">
        <is>
          <t>BERETTA</t>
        </is>
      </c>
      <c r="H3861" s="107" t="inlineStr">
        <is>
          <t>A301</t>
        </is>
      </c>
      <c r="I3861" s="65" t="inlineStr">
        <is>
          <t>C15598E</t>
        </is>
      </c>
      <c r="J3861" s="65" t="inlineStr">
        <is>
          <t>D36689F</t>
        </is>
      </c>
      <c r="K3861" s="65" t="inlineStr">
        <is>
          <t>N/D</t>
        </is>
      </c>
      <c r="L3861" s="127" t="inlineStr">
        <is>
          <t>ANTONIONI SPORT CACCIA E PESCA SRLS</t>
        </is>
      </c>
      <c r="M3861" s="5" t="n">
        <v>25.747</v>
      </c>
      <c r="N3861" s="5" t="n"/>
      <c r="O3861" s="5">
        <f>+M3861+N3861</f>
        <v/>
      </c>
      <c r="P3861" s="4" t="n"/>
      <c r="Q3861" s="87" t="n"/>
      <c r="R3861" s="5" t="n">
        <v>30</v>
      </c>
      <c r="S3861" s="2" t="n">
        <v>1</v>
      </c>
      <c r="T3861" s="3" t="inlineStr">
        <is>
          <t>CA42796IR</t>
        </is>
      </c>
      <c r="U3861" s="87" t="n">
        <v>46041</v>
      </c>
      <c r="V3861" s="3" t="inlineStr">
        <is>
          <t>1</t>
        </is>
      </c>
      <c r="W3861" s="108" t="n">
        <v>46041</v>
      </c>
      <c r="X3861" s="4" t="inlineStr">
        <is>
          <t>PHILIPPOS COSTANTINIDES TRADING CO. LTD</t>
        </is>
      </c>
    </row>
    <row r="3862" ht="24" customHeight="1">
      <c r="A3862" s="2">
        <f>+D3862-S3862</f>
        <v/>
      </c>
      <c r="B3862" s="126" t="n">
        <v>5450</v>
      </c>
      <c r="C3862" s="66" t="n">
        <v>46041</v>
      </c>
      <c r="D3862" s="2" t="n">
        <v>1</v>
      </c>
      <c r="E3862" s="3" t="inlineStr">
        <is>
          <t>FUCILE SEMIAUTOMATICO</t>
        </is>
      </c>
      <c r="F3862" s="96" t="inlineStr">
        <is>
          <t>12</t>
        </is>
      </c>
      <c r="G3862" s="96" t="inlineStr">
        <is>
          <t>BERETTA</t>
        </is>
      </c>
      <c r="H3862" s="107" t="inlineStr">
        <is>
          <t>A300</t>
        </is>
      </c>
      <c r="I3862" s="65" t="inlineStr">
        <is>
          <t>A81535E</t>
        </is>
      </c>
      <c r="J3862" s="65" t="inlineStr">
        <is>
          <t>615452</t>
        </is>
      </c>
      <c r="K3862" s="65" t="inlineStr">
        <is>
          <t>N/D</t>
        </is>
      </c>
      <c r="L3862" s="127" t="inlineStr">
        <is>
          <t>ANTONIONI SPORT CACCIA E PESCA SRLS</t>
        </is>
      </c>
      <c r="M3862" s="5" t="n">
        <v>25.747</v>
      </c>
      <c r="N3862" s="5" t="n"/>
      <c r="O3862" s="5">
        <f>+M3862+N3862</f>
        <v/>
      </c>
      <c r="P3862" s="4" t="n"/>
      <c r="Q3862" s="87" t="n"/>
      <c r="R3862" s="5" t="n">
        <v>30</v>
      </c>
      <c r="S3862" s="2" t="n">
        <v>1</v>
      </c>
      <c r="T3862" s="3" t="inlineStr">
        <is>
          <t>CA42796IR</t>
        </is>
      </c>
      <c r="U3862" s="87" t="n">
        <v>46041</v>
      </c>
      <c r="V3862" s="3" t="inlineStr">
        <is>
          <t>1</t>
        </is>
      </c>
      <c r="W3862" s="108" t="n">
        <v>46041</v>
      </c>
      <c r="X3862" s="4" t="inlineStr">
        <is>
          <t>PHILIPPOS COSTANTINIDES TRADING CO. LTD</t>
        </is>
      </c>
    </row>
    <row r="3863" ht="24" customHeight="1">
      <c r="A3863" s="2">
        <f>+D3863-S3863</f>
        <v/>
      </c>
      <c r="B3863" s="126" t="n">
        <v>5451</v>
      </c>
      <c r="C3863" s="66" t="n">
        <v>46041</v>
      </c>
      <c r="D3863" s="2" t="n">
        <v>1</v>
      </c>
      <c r="E3863" s="3" t="inlineStr">
        <is>
          <t>FUCILE SEMIAUTOMATICO</t>
        </is>
      </c>
      <c r="F3863" s="96" t="inlineStr">
        <is>
          <t>12</t>
        </is>
      </c>
      <c r="G3863" s="96" t="inlineStr">
        <is>
          <t>BERETTA</t>
        </is>
      </c>
      <c r="H3863" s="107" t="inlineStr">
        <is>
          <t>A304 SILVER LARK</t>
        </is>
      </c>
      <c r="I3863" s="65" t="inlineStr">
        <is>
          <t>P92514E</t>
        </is>
      </c>
      <c r="J3863" s="65" t="inlineStr">
        <is>
          <t>R51475F</t>
        </is>
      </c>
      <c r="K3863" s="65" t="inlineStr">
        <is>
          <t>N/D</t>
        </is>
      </c>
      <c r="L3863" s="127" t="inlineStr">
        <is>
          <t>ANTONIONI SPORT CACCIA E PESCA SRLS</t>
        </is>
      </c>
      <c r="M3863" s="5" t="n">
        <v>25.747</v>
      </c>
      <c r="N3863" s="5" t="n"/>
      <c r="O3863" s="5">
        <f>+M3863+N3863</f>
        <v/>
      </c>
      <c r="P3863" s="4" t="n"/>
      <c r="Q3863" s="87" t="n"/>
      <c r="R3863" s="5" t="n">
        <v>30</v>
      </c>
      <c r="S3863" s="2" t="n">
        <v>1</v>
      </c>
      <c r="T3863" s="3" t="inlineStr">
        <is>
          <t>CA42796IR</t>
        </is>
      </c>
      <c r="U3863" s="87" t="n">
        <v>46041</v>
      </c>
      <c r="V3863" s="3" t="inlineStr">
        <is>
          <t>1</t>
        </is>
      </c>
      <c r="W3863" s="108" t="n">
        <v>46041</v>
      </c>
      <c r="X3863" s="4" t="inlineStr">
        <is>
          <t>PHILIPPOS COSTANTINIDES TRADING CO. LTD</t>
        </is>
      </c>
    </row>
    <row r="3864" ht="24" customHeight="1">
      <c r="A3864" s="2">
        <f>+D3864-S3864</f>
        <v/>
      </c>
      <c r="B3864" s="126" t="n">
        <v>5452</v>
      </c>
      <c r="C3864" s="66" t="n">
        <v>46041</v>
      </c>
      <c r="D3864" s="2" t="n">
        <v>1</v>
      </c>
      <c r="E3864" s="3" t="inlineStr">
        <is>
          <t>FUCILE SEMIAUTOMATICO</t>
        </is>
      </c>
      <c r="F3864" s="96" t="inlineStr">
        <is>
          <t>12</t>
        </is>
      </c>
      <c r="G3864" s="96" t="inlineStr">
        <is>
          <t>BERETTA</t>
        </is>
      </c>
      <c r="H3864" s="107" t="inlineStr">
        <is>
          <t>A300</t>
        </is>
      </c>
      <c r="I3864" s="65" t="inlineStr">
        <is>
          <t>D14109</t>
        </is>
      </c>
      <c r="J3864" s="65" t="inlineStr">
        <is>
          <t>C13689</t>
        </is>
      </c>
      <c r="K3864" s="65" t="inlineStr">
        <is>
          <t>N/D</t>
        </is>
      </c>
      <c r="L3864" s="127" t="inlineStr">
        <is>
          <t>ANTONIONI SPORT CACCIA E PESCA SRLS</t>
        </is>
      </c>
      <c r="M3864" s="5" t="n">
        <v>25.747</v>
      </c>
      <c r="N3864" s="5" t="n"/>
      <c r="O3864" s="5">
        <f>+M3864+N3864</f>
        <v/>
      </c>
      <c r="P3864" s="4" t="n"/>
      <c r="Q3864" s="87" t="n"/>
      <c r="R3864" s="5" t="n">
        <v>30</v>
      </c>
      <c r="S3864" s="2" t="n">
        <v>1</v>
      </c>
      <c r="T3864" s="3" t="inlineStr">
        <is>
          <t>CA42796IR</t>
        </is>
      </c>
      <c r="U3864" s="87" t="n">
        <v>46041</v>
      </c>
      <c r="V3864" s="3" t="inlineStr">
        <is>
          <t>1</t>
        </is>
      </c>
      <c r="W3864" s="108" t="n">
        <v>46041</v>
      </c>
      <c r="X3864" s="4" t="inlineStr">
        <is>
          <t>PHILIPPOS COSTANTINIDES TRADING CO. LTD</t>
        </is>
      </c>
    </row>
    <row r="3865" ht="24" customHeight="1">
      <c r="A3865" s="2">
        <f>+D3865-S3865</f>
        <v/>
      </c>
      <c r="B3865" s="126" t="n">
        <v>5453</v>
      </c>
      <c r="C3865" s="66" t="n">
        <v>46041</v>
      </c>
      <c r="D3865" s="2" t="n">
        <v>1</v>
      </c>
      <c r="E3865" s="3" t="inlineStr">
        <is>
          <t>FUCILE SEMIAUTOMATICO</t>
        </is>
      </c>
      <c r="F3865" s="96" t="inlineStr">
        <is>
          <t>12</t>
        </is>
      </c>
      <c r="G3865" s="96" t="inlineStr">
        <is>
          <t>BERETTA</t>
        </is>
      </c>
      <c r="H3865" s="107" t="inlineStr">
        <is>
          <t>A301</t>
        </is>
      </c>
      <c r="I3865" s="65" t="inlineStr">
        <is>
          <t>B21103E</t>
        </is>
      </c>
      <c r="J3865" s="65" t="inlineStr">
        <is>
          <t>B46113F</t>
        </is>
      </c>
      <c r="K3865" s="65" t="inlineStr">
        <is>
          <t>N/D</t>
        </is>
      </c>
      <c r="L3865" s="127" t="inlineStr">
        <is>
          <t>ANTONIONI SPORT CACCIA E PESCA SRLS</t>
        </is>
      </c>
      <c r="M3865" s="5" t="n">
        <v>25.747</v>
      </c>
      <c r="N3865" s="5" t="n"/>
      <c r="O3865" s="5">
        <f>+M3865+N3865</f>
        <v/>
      </c>
      <c r="P3865" s="4" t="n"/>
      <c r="Q3865" s="87" t="n"/>
      <c r="R3865" s="5" t="n">
        <v>30</v>
      </c>
      <c r="S3865" s="2" t="n">
        <v>1</v>
      </c>
      <c r="T3865" s="3" t="inlineStr">
        <is>
          <t>CA42796IR</t>
        </is>
      </c>
      <c r="U3865" s="87" t="n">
        <v>46041</v>
      </c>
      <c r="V3865" s="3" t="inlineStr">
        <is>
          <t>1</t>
        </is>
      </c>
      <c r="W3865" s="108" t="n">
        <v>46041</v>
      </c>
      <c r="X3865" s="4" t="inlineStr">
        <is>
          <t>PHILIPPOS COSTANTINIDES TRADING CO. LTD</t>
        </is>
      </c>
    </row>
    <row r="3866" ht="24" customHeight="1">
      <c r="A3866" s="2">
        <f>+D3866-S3866</f>
        <v/>
      </c>
      <c r="B3866" s="126" t="n">
        <v>5454</v>
      </c>
      <c r="C3866" s="66" t="n">
        <v>46041</v>
      </c>
      <c r="D3866" s="2" t="n">
        <v>1</v>
      </c>
      <c r="E3866" s="3" t="inlineStr">
        <is>
          <t>FUCILE SEMIAUTOMATICO</t>
        </is>
      </c>
      <c r="F3866" s="96" t="inlineStr">
        <is>
          <t>12</t>
        </is>
      </c>
      <c r="G3866" s="96" t="inlineStr">
        <is>
          <t>BERETTA</t>
        </is>
      </c>
      <c r="H3866" s="107" t="inlineStr">
        <is>
          <t>A300</t>
        </is>
      </c>
      <c r="I3866" s="65" t="inlineStr">
        <is>
          <t>B4029</t>
        </is>
      </c>
      <c r="J3866" s="65" t="inlineStr">
        <is>
          <t>4029</t>
        </is>
      </c>
      <c r="K3866" s="65" t="inlineStr">
        <is>
          <t>N/D</t>
        </is>
      </c>
      <c r="L3866" s="127" t="inlineStr">
        <is>
          <t>ANTONIONI SPORT CACCIA E PESCA SRLS</t>
        </is>
      </c>
      <c r="M3866" s="5" t="n">
        <v>25.747</v>
      </c>
      <c r="N3866" s="5" t="n"/>
      <c r="O3866" s="5">
        <f>+M3866+N3866</f>
        <v/>
      </c>
      <c r="P3866" s="4" t="n"/>
      <c r="Q3866" s="87" t="n"/>
      <c r="R3866" s="5" t="n">
        <v>30</v>
      </c>
      <c r="S3866" s="2" t="n">
        <v>1</v>
      </c>
      <c r="T3866" s="3" t="inlineStr">
        <is>
          <t>CA42796IR</t>
        </is>
      </c>
      <c r="U3866" s="87" t="n">
        <v>46041</v>
      </c>
      <c r="V3866" s="3" t="inlineStr">
        <is>
          <t>1</t>
        </is>
      </c>
      <c r="W3866" s="108" t="n">
        <v>46041</v>
      </c>
      <c r="X3866" s="4" t="inlineStr">
        <is>
          <t>PHILIPPOS COSTANTINIDES TRADING CO. LTD</t>
        </is>
      </c>
    </row>
    <row r="3867" ht="24" customHeight="1">
      <c r="A3867" s="2">
        <f>+D3867-S3867</f>
        <v/>
      </c>
      <c r="B3867" s="126" t="n">
        <v>5455</v>
      </c>
      <c r="C3867" s="66" t="n">
        <v>46041</v>
      </c>
      <c r="D3867" s="2" t="n">
        <v>1</v>
      </c>
      <c r="E3867" s="3" t="inlineStr">
        <is>
          <t>FUCILE SEMIAUTOMATICO</t>
        </is>
      </c>
      <c r="F3867" s="96" t="inlineStr">
        <is>
          <t>12</t>
        </is>
      </c>
      <c r="G3867" s="96" t="inlineStr">
        <is>
          <t>BREDA</t>
        </is>
      </c>
      <c r="H3867" s="107" t="inlineStr">
        <is>
          <t>CACCIA</t>
        </is>
      </c>
      <c r="I3867" s="65" t="inlineStr">
        <is>
          <t>343398</t>
        </is>
      </c>
      <c r="J3867" s="65" t="inlineStr">
        <is>
          <t>602774</t>
        </is>
      </c>
      <c r="K3867" s="65" t="inlineStr">
        <is>
          <t>N/D</t>
        </is>
      </c>
      <c r="L3867" s="127" t="inlineStr">
        <is>
          <t>ANTONIONI SPORT CACCIA E PESCA SRLS</t>
        </is>
      </c>
      <c r="M3867" s="5" t="n">
        <v>25.747</v>
      </c>
      <c r="N3867" s="5" t="n"/>
      <c r="O3867" s="5">
        <f>+M3867+N3867</f>
        <v/>
      </c>
      <c r="P3867" s="4" t="n"/>
      <c r="Q3867" s="87" t="n"/>
      <c r="R3867" s="5" t="n">
        <v>30</v>
      </c>
      <c r="S3867" s="2" t="n">
        <v>1</v>
      </c>
      <c r="T3867" s="3" t="inlineStr">
        <is>
          <t>CA42796IR</t>
        </is>
      </c>
      <c r="U3867" s="87" t="n">
        <v>46041</v>
      </c>
      <c r="V3867" s="3" t="inlineStr">
        <is>
          <t>1</t>
        </is>
      </c>
      <c r="W3867" s="108" t="n">
        <v>46041</v>
      </c>
      <c r="X3867" s="4" t="inlineStr">
        <is>
          <t>PHILIPPOS COSTANTINIDES TRADING CO. LTD</t>
        </is>
      </c>
    </row>
    <row r="3868" ht="24" customHeight="1">
      <c r="A3868" s="2">
        <f>+D3868-S3868</f>
        <v/>
      </c>
      <c r="B3868" s="126" t="n">
        <v>5456</v>
      </c>
      <c r="C3868" s="66" t="n">
        <v>46041</v>
      </c>
      <c r="D3868" s="2" t="n">
        <v>1</v>
      </c>
      <c r="E3868" s="3" t="inlineStr">
        <is>
          <t>FUCILE SEMIAUTOMATICO</t>
        </is>
      </c>
      <c r="F3868" s="96" t="inlineStr">
        <is>
          <t>12</t>
        </is>
      </c>
      <c r="G3868" s="96" t="inlineStr">
        <is>
          <t>BREDA</t>
        </is>
      </c>
      <c r="H3868" s="107" t="inlineStr">
        <is>
          <t>L.R.</t>
        </is>
      </c>
      <c r="I3868" s="65" t="inlineStr">
        <is>
          <t>380235</t>
        </is>
      </c>
      <c r="J3868" s="65" t="inlineStr">
        <is>
          <t>632030</t>
        </is>
      </c>
      <c r="K3868" s="65" t="inlineStr">
        <is>
          <t>N/D</t>
        </is>
      </c>
      <c r="L3868" s="127" t="inlineStr">
        <is>
          <t>ANTONIONI SPORT CACCIA E PESCA SRLS</t>
        </is>
      </c>
      <c r="M3868" s="5" t="n">
        <v>25.747</v>
      </c>
      <c r="N3868" s="5" t="n"/>
      <c r="O3868" s="5">
        <f>+M3868+N3868</f>
        <v/>
      </c>
      <c r="P3868" s="4" t="n"/>
      <c r="Q3868" s="87" t="n"/>
      <c r="R3868" s="5" t="n">
        <v>30</v>
      </c>
      <c r="S3868" s="2" t="n">
        <v>1</v>
      </c>
      <c r="T3868" s="3" t="inlineStr">
        <is>
          <t>CA42796IR</t>
        </is>
      </c>
      <c r="U3868" s="87" t="n">
        <v>46041</v>
      </c>
      <c r="V3868" s="3" t="inlineStr">
        <is>
          <t>1</t>
        </is>
      </c>
      <c r="W3868" s="108" t="n">
        <v>46041</v>
      </c>
      <c r="X3868" s="4" t="inlineStr">
        <is>
          <t>PHILIPPOS COSTANTINIDES TRADING CO. LTD</t>
        </is>
      </c>
    </row>
    <row r="3869" ht="24" customHeight="1">
      <c r="A3869" s="2">
        <f>+D3869-S3869</f>
        <v/>
      </c>
      <c r="B3869" s="126" t="n">
        <v>5457</v>
      </c>
      <c r="C3869" s="66" t="n">
        <v>46041</v>
      </c>
      <c r="D3869" s="2" t="n">
        <v>1</v>
      </c>
      <c r="E3869" s="3" t="inlineStr">
        <is>
          <t>FUCILE SEMIAUTOMATICO</t>
        </is>
      </c>
      <c r="F3869" s="96" t="inlineStr">
        <is>
          <t>12</t>
        </is>
      </c>
      <c r="G3869" s="96" t="inlineStr">
        <is>
          <t>BREDA</t>
        </is>
      </c>
      <c r="H3869" s="107" t="inlineStr">
        <is>
          <t>ALTAIR SPECIAL</t>
        </is>
      </c>
      <c r="I3869" s="65" t="inlineStr">
        <is>
          <t>431221</t>
        </is>
      </c>
      <c r="J3869" s="65" t="inlineStr">
        <is>
          <t>675523</t>
        </is>
      </c>
      <c r="K3869" s="65" t="inlineStr">
        <is>
          <t>N/D</t>
        </is>
      </c>
      <c r="L3869" s="127" t="inlineStr">
        <is>
          <t>ANTONIONI SPORT CACCIA E PESCA SRLS</t>
        </is>
      </c>
      <c r="M3869" s="5" t="n">
        <v>25.747</v>
      </c>
      <c r="N3869" s="5" t="n"/>
      <c r="O3869" s="5">
        <f>+M3869+N3869</f>
        <v/>
      </c>
      <c r="P3869" s="4" t="n"/>
      <c r="Q3869" s="87" t="n"/>
      <c r="R3869" s="5" t="n">
        <v>30</v>
      </c>
      <c r="S3869" s="2" t="n">
        <v>1</v>
      </c>
      <c r="T3869" s="3" t="inlineStr">
        <is>
          <t>CA42796IR</t>
        </is>
      </c>
      <c r="U3869" s="87" t="n">
        <v>46041</v>
      </c>
      <c r="V3869" s="3" t="inlineStr">
        <is>
          <t>1</t>
        </is>
      </c>
      <c r="W3869" s="108" t="n">
        <v>46041</v>
      </c>
      <c r="X3869" s="4" t="inlineStr">
        <is>
          <t>PHILIPPOS COSTANTINIDES TRADING CO. LTD</t>
        </is>
      </c>
    </row>
    <row r="3870" ht="24" customHeight="1">
      <c r="A3870" s="2">
        <f>+D3870-S3870</f>
        <v/>
      </c>
      <c r="B3870" s="126" t="n">
        <v>5458</v>
      </c>
      <c r="C3870" s="66" t="n">
        <v>46041</v>
      </c>
      <c r="D3870" s="2" t="n">
        <v>1</v>
      </c>
      <c r="E3870" s="3" t="inlineStr">
        <is>
          <t>FUCILE SEMIAUTOMATICO</t>
        </is>
      </c>
      <c r="F3870" s="96" t="inlineStr">
        <is>
          <t>12</t>
        </is>
      </c>
      <c r="G3870" s="96" t="inlineStr">
        <is>
          <t>BERETTA</t>
        </is>
      </c>
      <c r="H3870" s="107" t="inlineStr">
        <is>
          <t>A301</t>
        </is>
      </c>
      <c r="I3870" s="65" t="inlineStr">
        <is>
          <t>B58099E</t>
        </is>
      </c>
      <c r="J3870" s="65" t="inlineStr">
        <is>
          <t>B12094F</t>
        </is>
      </c>
      <c r="K3870" s="65" t="inlineStr">
        <is>
          <t>N/D</t>
        </is>
      </c>
      <c r="L3870" s="127" t="inlineStr">
        <is>
          <t>ANTONIONI SPORT CACCIA E PESCA SRLS</t>
        </is>
      </c>
      <c r="M3870" s="5" t="n">
        <v>25.747</v>
      </c>
      <c r="N3870" s="5" t="n"/>
      <c r="O3870" s="5">
        <f>+M3870+N3870</f>
        <v/>
      </c>
      <c r="P3870" s="4" t="n"/>
      <c r="Q3870" s="87" t="n"/>
      <c r="R3870" s="5" t="n">
        <v>30</v>
      </c>
      <c r="S3870" s="2" t="n">
        <v>1</v>
      </c>
      <c r="T3870" s="3" t="inlineStr">
        <is>
          <t>CA42796IR</t>
        </is>
      </c>
      <c r="U3870" s="87" t="n">
        <v>46041</v>
      </c>
      <c r="V3870" s="3" t="inlineStr">
        <is>
          <t>1</t>
        </is>
      </c>
      <c r="W3870" s="108" t="n">
        <v>46041</v>
      </c>
      <c r="X3870" s="4" t="inlineStr">
        <is>
          <t>PHILIPPOS COSTANTINIDES TRADING CO. LTD</t>
        </is>
      </c>
    </row>
    <row r="3871" ht="24" customHeight="1">
      <c r="A3871" s="2">
        <f>+D3871-S3871</f>
        <v/>
      </c>
      <c r="B3871" s="126" t="n">
        <v>5459</v>
      </c>
      <c r="C3871" s="66" t="n">
        <v>46041</v>
      </c>
      <c r="D3871" s="2" t="n">
        <v>1</v>
      </c>
      <c r="E3871" s="3" t="inlineStr">
        <is>
          <t>FUCILE SEMIAUTOMATICO</t>
        </is>
      </c>
      <c r="F3871" s="96" t="inlineStr">
        <is>
          <t>12</t>
        </is>
      </c>
      <c r="G3871" s="96" t="inlineStr">
        <is>
          <t>FRANCHI</t>
        </is>
      </c>
      <c r="H3871" s="107" t="inlineStr">
        <is>
          <t>48AL</t>
        </is>
      </c>
      <c r="I3871" s="65" t="inlineStr">
        <is>
          <t>D15720</t>
        </is>
      </c>
      <c r="J3871" s="65" t="inlineStr">
        <is>
          <t>CAA0353</t>
        </is>
      </c>
      <c r="K3871" s="65" t="inlineStr">
        <is>
          <t>N/D</t>
        </is>
      </c>
      <c r="L3871" s="127" t="inlineStr">
        <is>
          <t>ANTONIONI SPORT CACCIA E PESCA SRLS</t>
        </is>
      </c>
      <c r="M3871" s="5" t="n">
        <v>25.747</v>
      </c>
      <c r="N3871" s="5" t="n"/>
      <c r="O3871" s="5">
        <f>+M3871+N3871</f>
        <v/>
      </c>
      <c r="P3871" s="4" t="n"/>
      <c r="Q3871" s="87" t="n"/>
      <c r="R3871" s="5" t="n">
        <v>30</v>
      </c>
      <c r="S3871" s="2" t="n">
        <v>1</v>
      </c>
      <c r="T3871" s="3" t="inlineStr">
        <is>
          <t>CA42796IR</t>
        </is>
      </c>
      <c r="U3871" s="87" t="n">
        <v>46041</v>
      </c>
      <c r="V3871" s="3" t="inlineStr">
        <is>
          <t>1</t>
        </is>
      </c>
      <c r="W3871" s="108" t="n">
        <v>46041</v>
      </c>
      <c r="X3871" s="4" t="inlineStr">
        <is>
          <t>PHILIPPOS COSTANTINIDES TRADING CO. LTD</t>
        </is>
      </c>
    </row>
    <row r="3872" ht="24" customHeight="1">
      <c r="A3872" s="2">
        <f>+D3872-S3872</f>
        <v/>
      </c>
      <c r="B3872" s="126" t="n">
        <v>5460</v>
      </c>
      <c r="C3872" s="66" t="n">
        <v>46041</v>
      </c>
      <c r="D3872" s="2" t="n">
        <v>1</v>
      </c>
      <c r="E3872" s="3" t="inlineStr">
        <is>
          <t>FUCILE SEMIAUTOMATICO</t>
        </is>
      </c>
      <c r="F3872" s="96" t="inlineStr">
        <is>
          <t>12</t>
        </is>
      </c>
      <c r="G3872" s="96" t="inlineStr">
        <is>
          <t>BREDA</t>
        </is>
      </c>
      <c r="H3872" s="107" t="inlineStr">
        <is>
          <t>L.R.</t>
        </is>
      </c>
      <c r="I3872" s="65" t="inlineStr">
        <is>
          <t>SL575198</t>
        </is>
      </c>
      <c r="J3872" s="65" t="inlineStr">
        <is>
          <t>BV207006</t>
        </is>
      </c>
      <c r="K3872" s="65" t="inlineStr">
        <is>
          <t>N/D</t>
        </is>
      </c>
      <c r="L3872" s="127" t="inlineStr">
        <is>
          <t>ANTONIONI SPORT CACCIA E PESCA SRLS</t>
        </is>
      </c>
      <c r="M3872" s="5" t="n">
        <v>25.747</v>
      </c>
      <c r="N3872" s="5" t="n"/>
      <c r="O3872" s="5">
        <f>+M3872+N3872</f>
        <v/>
      </c>
      <c r="P3872" s="4" t="n"/>
      <c r="Q3872" s="87" t="n"/>
      <c r="R3872" s="5" t="n">
        <v>30</v>
      </c>
      <c r="S3872" s="2" t="n">
        <v>1</v>
      </c>
      <c r="T3872" s="3" t="inlineStr">
        <is>
          <t>CA42796IR</t>
        </is>
      </c>
      <c r="U3872" s="87" t="n">
        <v>46041</v>
      </c>
      <c r="V3872" s="3" t="inlineStr">
        <is>
          <t>1</t>
        </is>
      </c>
      <c r="W3872" s="108" t="n">
        <v>46041</v>
      </c>
      <c r="X3872" s="4" t="inlineStr">
        <is>
          <t>PHILIPPOS COSTANTINIDES TRADING CO. LTD</t>
        </is>
      </c>
    </row>
    <row r="3873" ht="24" customHeight="1">
      <c r="A3873" s="2">
        <f>+D3873-S3873</f>
        <v/>
      </c>
      <c r="B3873" s="126" t="n">
        <v>5461</v>
      </c>
      <c r="C3873" s="66" t="n">
        <v>46041</v>
      </c>
      <c r="D3873" s="2" t="n">
        <v>1</v>
      </c>
      <c r="E3873" s="3" t="inlineStr">
        <is>
          <t>FUCILE SEMIAUTOMATICO</t>
        </is>
      </c>
      <c r="F3873" s="96" t="inlineStr">
        <is>
          <t>12</t>
        </is>
      </c>
      <c r="G3873" s="96" t="inlineStr">
        <is>
          <t>FRANCHI</t>
        </is>
      </c>
      <c r="H3873" s="107" t="inlineStr">
        <is>
          <t>48AL</t>
        </is>
      </c>
      <c r="I3873" s="65" t="inlineStr">
        <is>
          <t>645841</t>
        </is>
      </c>
      <c r="J3873" s="65" t="inlineStr">
        <is>
          <t>DBA4639</t>
        </is>
      </c>
      <c r="K3873" s="65" t="inlineStr">
        <is>
          <t>N/D</t>
        </is>
      </c>
      <c r="L3873" s="127" t="inlineStr">
        <is>
          <t>ANTONIONI SPORT CACCIA E PESCA SRLS</t>
        </is>
      </c>
      <c r="M3873" s="5" t="n">
        <v>25.747</v>
      </c>
      <c r="N3873" s="5" t="n"/>
      <c r="O3873" s="5">
        <f>+M3873+N3873</f>
        <v/>
      </c>
      <c r="P3873" s="4" t="n"/>
      <c r="Q3873" s="87" t="n"/>
      <c r="R3873" s="5" t="n">
        <v>30</v>
      </c>
      <c r="S3873" s="2" t="n">
        <v>1</v>
      </c>
      <c r="T3873" s="3" t="inlineStr">
        <is>
          <t>CA42796IR</t>
        </is>
      </c>
      <c r="U3873" s="87" t="n">
        <v>46041</v>
      </c>
      <c r="V3873" s="3" t="inlineStr">
        <is>
          <t>1</t>
        </is>
      </c>
      <c r="W3873" s="108" t="n">
        <v>46041</v>
      </c>
      <c r="X3873" s="4" t="inlineStr">
        <is>
          <t>PHILIPPOS COSTANTINIDES TRADING CO. LTD</t>
        </is>
      </c>
    </row>
    <row r="3874" ht="24" customHeight="1">
      <c r="A3874" s="2">
        <f>+D3874-S3874</f>
        <v/>
      </c>
      <c r="B3874" s="126" t="n">
        <v>5462</v>
      </c>
      <c r="C3874" s="66" t="n">
        <v>46041</v>
      </c>
      <c r="D3874" s="2" t="n">
        <v>1</v>
      </c>
      <c r="E3874" s="3" t="inlineStr">
        <is>
          <t>FUCILE SEMIAUTOMATICO</t>
        </is>
      </c>
      <c r="F3874" s="96" t="inlineStr">
        <is>
          <t>20</t>
        </is>
      </c>
      <c r="G3874" s="96" t="inlineStr">
        <is>
          <t>BREDA</t>
        </is>
      </c>
      <c r="H3874" s="107" t="inlineStr">
        <is>
          <t>L.R.</t>
        </is>
      </c>
      <c r="I3874" s="65" t="inlineStr">
        <is>
          <t>226047</t>
        </is>
      </c>
      <c r="J3874" s="65" t="inlineStr">
        <is>
          <t>BV26450</t>
        </is>
      </c>
      <c r="K3874" s="65" t="inlineStr">
        <is>
          <t>N/D</t>
        </is>
      </c>
      <c r="L3874" s="127" t="inlineStr">
        <is>
          <t>ANTONIONI SPORT CACCIA E PESCA SRLS</t>
        </is>
      </c>
      <c r="M3874" s="5" t="n">
        <v>25.747</v>
      </c>
      <c r="N3874" s="5" t="n"/>
      <c r="O3874" s="5">
        <f>+M3874+N3874</f>
        <v/>
      </c>
      <c r="P3874" s="4" t="n"/>
      <c r="Q3874" s="87" t="n"/>
      <c r="R3874" s="5" t="n">
        <v>30</v>
      </c>
      <c r="S3874" s="2" t="n">
        <v>1</v>
      </c>
      <c r="T3874" s="3" t="inlineStr">
        <is>
          <t>CA42796IR</t>
        </is>
      </c>
      <c r="U3874" s="87" t="n">
        <v>46041</v>
      </c>
      <c r="V3874" s="3" t="inlineStr">
        <is>
          <t>1</t>
        </is>
      </c>
      <c r="W3874" s="108" t="n">
        <v>46041</v>
      </c>
      <c r="X3874" s="4" t="inlineStr">
        <is>
          <t>PHILIPPOS COSTANTINIDES TRADING CO. LTD</t>
        </is>
      </c>
    </row>
    <row r="3875" ht="24" customHeight="1">
      <c r="A3875" s="2">
        <f>+D3875-S3875</f>
        <v/>
      </c>
      <c r="B3875" s="126" t="n">
        <v>5463</v>
      </c>
      <c r="C3875" s="66" t="n">
        <v>46041</v>
      </c>
      <c r="D3875" s="2" t="n">
        <v>1</v>
      </c>
      <c r="E3875" s="3" t="inlineStr">
        <is>
          <t>FUCILE SEMIAUTOMATICO</t>
        </is>
      </c>
      <c r="F3875" s="96" t="inlineStr">
        <is>
          <t>12</t>
        </is>
      </c>
      <c r="G3875" s="96" t="inlineStr">
        <is>
          <t>FRANCHI</t>
        </is>
      </c>
      <c r="H3875" s="107" t="inlineStr">
        <is>
          <t>48AL</t>
        </is>
      </c>
      <c r="I3875" s="65" t="inlineStr">
        <is>
          <t>652437</t>
        </is>
      </c>
      <c r="J3875" s="65" t="inlineStr">
        <is>
          <t>FCA2042</t>
        </is>
      </c>
      <c r="K3875" s="65" t="inlineStr">
        <is>
          <t>N/D</t>
        </is>
      </c>
      <c r="L3875" s="127" t="inlineStr">
        <is>
          <t>ANTONIONI SPORT CACCIA E PESCA SRLS</t>
        </is>
      </c>
      <c r="M3875" s="5" t="n">
        <v>25.747</v>
      </c>
      <c r="N3875" s="5" t="n"/>
      <c r="O3875" s="5">
        <f>+M3875+N3875</f>
        <v/>
      </c>
      <c r="P3875" s="4" t="n"/>
      <c r="Q3875" s="87" t="n"/>
      <c r="R3875" s="5" t="n">
        <v>30</v>
      </c>
      <c r="S3875" s="2" t="n">
        <v>1</v>
      </c>
      <c r="T3875" s="3" t="inlineStr">
        <is>
          <t>CA42796IR</t>
        </is>
      </c>
      <c r="U3875" s="87" t="n">
        <v>46041</v>
      </c>
      <c r="V3875" s="3" t="inlineStr">
        <is>
          <t>1</t>
        </is>
      </c>
      <c r="W3875" s="108" t="n">
        <v>46041</v>
      </c>
      <c r="X3875" s="4" t="inlineStr">
        <is>
          <t>PHILIPPOS COSTANTINIDES TRADING CO. LTD</t>
        </is>
      </c>
    </row>
    <row r="3876" ht="24" customHeight="1">
      <c r="A3876" s="2">
        <f>+D3876-S3876</f>
        <v/>
      </c>
      <c r="B3876" s="126" t="n">
        <v>5464</v>
      </c>
      <c r="C3876" s="66" t="n">
        <v>46041</v>
      </c>
      <c r="D3876" s="2" t="n">
        <v>1</v>
      </c>
      <c r="E3876" s="3" t="inlineStr">
        <is>
          <t>FUCILE SEMIAUTOMATICO</t>
        </is>
      </c>
      <c r="F3876" s="96" t="inlineStr">
        <is>
          <t>12</t>
        </is>
      </c>
      <c r="G3876" s="96" t="inlineStr">
        <is>
          <t>FRANCHI</t>
        </is>
      </c>
      <c r="H3876" s="107" t="inlineStr">
        <is>
          <t>48AL</t>
        </is>
      </c>
      <c r="I3876" s="65" t="inlineStr">
        <is>
          <t>D53966</t>
        </is>
      </c>
      <c r="J3876" s="65" t="inlineStr">
        <is>
          <t>DBA3302</t>
        </is>
      </c>
      <c r="K3876" s="65" t="inlineStr">
        <is>
          <t>N/D</t>
        </is>
      </c>
      <c r="L3876" s="127" t="inlineStr">
        <is>
          <t>ANTONIONI SPORT CACCIA E PESCA SRLS</t>
        </is>
      </c>
      <c r="M3876" s="5" t="n">
        <v>25.747</v>
      </c>
      <c r="N3876" s="5" t="n"/>
      <c r="O3876" s="5">
        <f>+M3876+N3876</f>
        <v/>
      </c>
      <c r="P3876" s="4" t="n"/>
      <c r="Q3876" s="87" t="n"/>
      <c r="R3876" s="5" t="n">
        <v>30</v>
      </c>
      <c r="S3876" s="2" t="n">
        <v>1</v>
      </c>
      <c r="T3876" s="3" t="inlineStr">
        <is>
          <t>CA42796IR</t>
        </is>
      </c>
      <c r="U3876" s="87" t="n">
        <v>46041</v>
      </c>
      <c r="V3876" s="3" t="inlineStr">
        <is>
          <t>1</t>
        </is>
      </c>
      <c r="W3876" s="108" t="n">
        <v>46041</v>
      </c>
      <c r="X3876" s="4" t="inlineStr">
        <is>
          <t>PHILIPPOS COSTANTINIDES TRADING CO. LTD</t>
        </is>
      </c>
    </row>
    <row r="3877" ht="24" customHeight="1">
      <c r="A3877" s="2">
        <f>+D3877-S3877</f>
        <v/>
      </c>
      <c r="B3877" s="126" t="n">
        <v>5465</v>
      </c>
      <c r="C3877" s="66" t="n">
        <v>46041</v>
      </c>
      <c r="D3877" s="2" t="n">
        <v>1</v>
      </c>
      <c r="E3877" s="3" t="inlineStr">
        <is>
          <t>FUCILE SEMIAUTOMATICO</t>
        </is>
      </c>
      <c r="F3877" s="96" t="inlineStr">
        <is>
          <t>12</t>
        </is>
      </c>
      <c r="G3877" s="96" t="inlineStr">
        <is>
          <t>WINCHESTER</t>
        </is>
      </c>
      <c r="H3877" s="107" t="inlineStr">
        <is>
          <t>1911 S</t>
        </is>
      </c>
      <c r="I3877" s="65" t="inlineStr">
        <is>
          <t>A18410</t>
        </is>
      </c>
      <c r="J3877" s="65" t="inlineStr">
        <is>
          <t>A18410</t>
        </is>
      </c>
      <c r="K3877" s="65" t="inlineStr">
        <is>
          <t>N/D</t>
        </is>
      </c>
      <c r="L3877" s="127" t="inlineStr">
        <is>
          <t>ANTONIONI SPORT CACCIA E PESCA SRLS</t>
        </is>
      </c>
      <c r="M3877" s="5" t="n">
        <v>25.747</v>
      </c>
      <c r="N3877" s="5" t="n"/>
      <c r="O3877" s="5">
        <f>+M3877+N3877</f>
        <v/>
      </c>
      <c r="P3877" s="4" t="n"/>
      <c r="Q3877" s="87" t="n"/>
      <c r="R3877" s="5" t="n">
        <v>30</v>
      </c>
      <c r="S3877" s="2" t="n">
        <v>1</v>
      </c>
      <c r="T3877" s="3" t="inlineStr">
        <is>
          <t>CA42796IR</t>
        </is>
      </c>
      <c r="U3877" s="87" t="n">
        <v>46041</v>
      </c>
      <c r="V3877" s="3" t="inlineStr">
        <is>
          <t>1</t>
        </is>
      </c>
      <c r="W3877" s="108" t="n">
        <v>46041</v>
      </c>
      <c r="X3877" s="4" t="inlineStr">
        <is>
          <t>PHILIPPOS COSTANTINIDES TRADING CO. LTD</t>
        </is>
      </c>
    </row>
    <row r="3878" ht="24" customHeight="1">
      <c r="A3878" s="2">
        <f>+D3878-S3878</f>
        <v/>
      </c>
      <c r="B3878" s="126" t="n">
        <v>5466</v>
      </c>
      <c r="C3878" s="66" t="n">
        <v>46041</v>
      </c>
      <c r="D3878" s="2" t="n">
        <v>1</v>
      </c>
      <c r="E3878" s="3" t="inlineStr">
        <is>
          <t>FUCILE SEMIAUTOMATICO</t>
        </is>
      </c>
      <c r="F3878" s="96" t="inlineStr">
        <is>
          <t>12</t>
        </is>
      </c>
      <c r="G3878" s="96" t="inlineStr">
        <is>
          <t>FRANCHI</t>
        </is>
      </c>
      <c r="H3878" s="107" t="inlineStr">
        <is>
          <t>48AL</t>
        </is>
      </c>
      <c r="I3878" s="65" t="inlineStr">
        <is>
          <t>B69878</t>
        </is>
      </c>
      <c r="J3878" s="65" t="inlineStr">
        <is>
          <t>BBA3653</t>
        </is>
      </c>
      <c r="K3878" s="65" t="inlineStr">
        <is>
          <t>N/D</t>
        </is>
      </c>
      <c r="L3878" s="127" t="inlineStr">
        <is>
          <t>ANTONIONI SPORT CACCIA E PESCA SRLS</t>
        </is>
      </c>
      <c r="M3878" s="5" t="n">
        <v>25.747</v>
      </c>
      <c r="N3878" s="5" t="n"/>
      <c r="O3878" s="5">
        <f>+M3878+N3878</f>
        <v/>
      </c>
      <c r="P3878" s="4" t="n"/>
      <c r="Q3878" s="87" t="n"/>
      <c r="R3878" s="5" t="n">
        <v>30</v>
      </c>
      <c r="S3878" s="2" t="n">
        <v>1</v>
      </c>
      <c r="T3878" s="3" t="inlineStr">
        <is>
          <t>CA42796IR</t>
        </is>
      </c>
      <c r="U3878" s="87" t="n">
        <v>46041</v>
      </c>
      <c r="V3878" s="3" t="inlineStr">
        <is>
          <t>1</t>
        </is>
      </c>
      <c r="W3878" s="108" t="n">
        <v>46041</v>
      </c>
      <c r="X3878" s="4" t="inlineStr">
        <is>
          <t>PHILIPPOS COSTANTINIDES TRADING CO. LTD</t>
        </is>
      </c>
    </row>
    <row r="3879" ht="24" customHeight="1">
      <c r="A3879" s="2">
        <f>+D3879-S3879</f>
        <v/>
      </c>
      <c r="B3879" s="126" t="n">
        <v>5467</v>
      </c>
      <c r="C3879" s="66" t="n">
        <v>46041</v>
      </c>
      <c r="D3879" s="2" t="n">
        <v>1</v>
      </c>
      <c r="E3879" s="3" t="inlineStr">
        <is>
          <t>FUCILE SEMIAUTOMATICO</t>
        </is>
      </c>
      <c r="F3879" s="96" t="inlineStr">
        <is>
          <t>12</t>
        </is>
      </c>
      <c r="G3879" s="96" t="inlineStr">
        <is>
          <t>FRANCHI</t>
        </is>
      </c>
      <c r="H3879" s="107" t="inlineStr">
        <is>
          <t>48AL</t>
        </is>
      </c>
      <c r="I3879" s="65" t="inlineStr">
        <is>
          <t>138356</t>
        </is>
      </c>
      <c r="J3879" s="65" t="inlineStr">
        <is>
          <t>852062</t>
        </is>
      </c>
      <c r="K3879" s="65" t="inlineStr">
        <is>
          <t>N/D</t>
        </is>
      </c>
      <c r="L3879" s="127" t="inlineStr">
        <is>
          <t>ANTONIONI SPORT CACCIA E PESCA SRLS</t>
        </is>
      </c>
      <c r="M3879" s="5" t="n">
        <v>25.747</v>
      </c>
      <c r="N3879" s="5" t="n"/>
      <c r="O3879" s="5">
        <f>+M3879+N3879</f>
        <v/>
      </c>
      <c r="P3879" s="4" t="n"/>
      <c r="Q3879" s="87" t="n"/>
      <c r="R3879" s="5" t="n">
        <v>30</v>
      </c>
      <c r="S3879" s="2" t="n">
        <v>1</v>
      </c>
      <c r="T3879" s="3" t="inlineStr">
        <is>
          <t>CA42796IR</t>
        </is>
      </c>
      <c r="U3879" s="87" t="n">
        <v>46041</v>
      </c>
      <c r="V3879" s="3" t="inlineStr">
        <is>
          <t>1</t>
        </is>
      </c>
      <c r="W3879" s="108" t="n">
        <v>46041</v>
      </c>
      <c r="X3879" s="4" t="inlineStr">
        <is>
          <t>PHILIPPOS COSTANTINIDES TRADING CO. LTD</t>
        </is>
      </c>
    </row>
    <row r="3880" ht="24" customHeight="1">
      <c r="A3880" s="2">
        <f>+D3880-S3880</f>
        <v/>
      </c>
      <c r="B3880" s="126" t="n">
        <v>5468</v>
      </c>
      <c r="C3880" s="66" t="n">
        <v>46041</v>
      </c>
      <c r="D3880" s="2" t="n">
        <v>1</v>
      </c>
      <c r="E3880" s="3" t="inlineStr">
        <is>
          <t>FUCILE SEMIAUTOMATICO</t>
        </is>
      </c>
      <c r="F3880" s="96" t="inlineStr">
        <is>
          <t>12</t>
        </is>
      </c>
      <c r="G3880" s="96" t="inlineStr">
        <is>
          <t>FRANCHI</t>
        </is>
      </c>
      <c r="H3880" s="107" t="inlineStr">
        <is>
          <t>48AL</t>
        </is>
      </c>
      <c r="I3880" s="65" t="inlineStr">
        <is>
          <t>D25548</t>
        </is>
      </c>
      <c r="J3880" s="65" t="inlineStr">
        <is>
          <t>CGA5312</t>
        </is>
      </c>
      <c r="K3880" s="65" t="inlineStr">
        <is>
          <t>N/D</t>
        </is>
      </c>
      <c r="L3880" s="127" t="inlineStr">
        <is>
          <t>ANTONIONI SPORT CACCIA E PESCA SRLS</t>
        </is>
      </c>
      <c r="M3880" s="5" t="n">
        <v>25.747</v>
      </c>
      <c r="N3880" s="5" t="n"/>
      <c r="O3880" s="5">
        <f>+M3880+N3880</f>
        <v/>
      </c>
      <c r="P3880" s="4" t="n"/>
      <c r="Q3880" s="87" t="n"/>
      <c r="R3880" s="5" t="n">
        <v>30</v>
      </c>
      <c r="S3880" s="2" t="n">
        <v>1</v>
      </c>
      <c r="T3880" s="3" t="inlineStr">
        <is>
          <t>CA42796IR</t>
        </is>
      </c>
      <c r="U3880" s="87" t="n">
        <v>46041</v>
      </c>
      <c r="V3880" s="3" t="inlineStr">
        <is>
          <t>1</t>
        </is>
      </c>
      <c r="W3880" s="108" t="n">
        <v>46041</v>
      </c>
      <c r="X3880" s="4" t="inlineStr">
        <is>
          <t>PHILIPPOS COSTANTINIDES TRADING CO. LTD</t>
        </is>
      </c>
    </row>
    <row r="3881" ht="24" customHeight="1">
      <c r="A3881" s="2">
        <f>+D3881-S3881</f>
        <v/>
      </c>
      <c r="B3881" s="126" t="n">
        <v>5469</v>
      </c>
      <c r="C3881" s="66" t="n">
        <v>46041</v>
      </c>
      <c r="D3881" s="2" t="n">
        <v>1</v>
      </c>
      <c r="E3881" s="3" t="inlineStr">
        <is>
          <t>FUCILE SEMIAUTOMATICO</t>
        </is>
      </c>
      <c r="F3881" s="96" t="inlineStr">
        <is>
          <t>12</t>
        </is>
      </c>
      <c r="G3881" s="96" t="inlineStr">
        <is>
          <t>FRANCHI</t>
        </is>
      </c>
      <c r="H3881" s="107" t="inlineStr">
        <is>
          <t>48AL</t>
        </is>
      </c>
      <c r="I3881" s="65" t="inlineStr">
        <is>
          <t>133839</t>
        </is>
      </c>
      <c r="J3881" s="65" t="inlineStr">
        <is>
          <t>790503</t>
        </is>
      </c>
      <c r="K3881" s="65" t="inlineStr">
        <is>
          <t>N/D</t>
        </is>
      </c>
      <c r="L3881" s="127" t="inlineStr">
        <is>
          <t>ANTONIONI SPORT CACCIA E PESCA SRLS</t>
        </is>
      </c>
      <c r="M3881" s="5" t="n">
        <v>25.747</v>
      </c>
      <c r="N3881" s="5" t="n"/>
      <c r="O3881" s="5">
        <f>+M3881+N3881</f>
        <v/>
      </c>
      <c r="P3881" s="4" t="n"/>
      <c r="Q3881" s="87" t="n"/>
      <c r="R3881" s="5" t="n">
        <v>30</v>
      </c>
      <c r="S3881" s="2" t="n">
        <v>1</v>
      </c>
      <c r="T3881" s="3" t="inlineStr">
        <is>
          <t>CA42796IR</t>
        </is>
      </c>
      <c r="U3881" s="87" t="n">
        <v>46041</v>
      </c>
      <c r="V3881" s="3" t="inlineStr">
        <is>
          <t>1</t>
        </is>
      </c>
      <c r="W3881" s="108" t="n">
        <v>46041</v>
      </c>
      <c r="X3881" s="4" t="inlineStr">
        <is>
          <t>PHILIPPOS COSTANTINIDES TRADING CO. LTD</t>
        </is>
      </c>
    </row>
    <row r="3882" ht="24" customHeight="1">
      <c r="A3882" s="2">
        <f>+D3882-S3882</f>
        <v/>
      </c>
      <c r="B3882" s="126" t="n">
        <v>5470</v>
      </c>
      <c r="C3882" s="66" t="n">
        <v>46041</v>
      </c>
      <c r="D3882" s="2" t="n">
        <v>1</v>
      </c>
      <c r="E3882" s="3" t="inlineStr">
        <is>
          <t>FUCILE SEMIAUTOMATICO</t>
        </is>
      </c>
      <c r="F3882" s="96" t="inlineStr">
        <is>
          <t>12</t>
        </is>
      </c>
      <c r="G3882" s="96" t="inlineStr">
        <is>
          <t>FRANCHI</t>
        </is>
      </c>
      <c r="H3882" s="107" t="inlineStr">
        <is>
          <t>48AL</t>
        </is>
      </c>
      <c r="I3882" s="65" t="inlineStr">
        <is>
          <t>19031</t>
        </is>
      </c>
      <c r="J3882" s="65" t="inlineStr">
        <is>
          <t>705132</t>
        </is>
      </c>
      <c r="K3882" s="65" t="inlineStr">
        <is>
          <t>N/D</t>
        </is>
      </c>
      <c r="L3882" s="127" t="inlineStr">
        <is>
          <t>ANTONIONI SPORT CACCIA E PESCA SRLS</t>
        </is>
      </c>
      <c r="M3882" s="5" t="n">
        <v>25.747</v>
      </c>
      <c r="N3882" s="5" t="n"/>
      <c r="O3882" s="5">
        <f>+M3882+N3882</f>
        <v/>
      </c>
      <c r="P3882" s="4" t="n"/>
      <c r="Q3882" s="87" t="n"/>
      <c r="R3882" s="5" t="n">
        <v>30</v>
      </c>
      <c r="S3882" s="2" t="n">
        <v>1</v>
      </c>
      <c r="T3882" s="3" t="inlineStr">
        <is>
          <t>CA42796IR</t>
        </is>
      </c>
      <c r="U3882" s="87" t="n">
        <v>46041</v>
      </c>
      <c r="V3882" s="3" t="inlineStr">
        <is>
          <t>1</t>
        </is>
      </c>
      <c r="W3882" s="108" t="n">
        <v>46041</v>
      </c>
      <c r="X3882" s="4" t="inlineStr">
        <is>
          <t>PHILIPPOS COSTANTINIDES TRADING CO. LTD</t>
        </is>
      </c>
    </row>
    <row r="3883" ht="24" customHeight="1">
      <c r="A3883" s="2">
        <f>+D3883-S3883</f>
        <v/>
      </c>
      <c r="B3883" s="126" t="n">
        <v>5471</v>
      </c>
      <c r="C3883" s="66" t="n">
        <v>46041</v>
      </c>
      <c r="D3883" s="2" t="n">
        <v>1</v>
      </c>
      <c r="E3883" s="3" t="inlineStr">
        <is>
          <t>FUCILE SEMIAUTOMATICO</t>
        </is>
      </c>
      <c r="F3883" s="96" t="inlineStr">
        <is>
          <t>12</t>
        </is>
      </c>
      <c r="G3883" s="96" t="inlineStr">
        <is>
          <t>FRANCHI</t>
        </is>
      </c>
      <c r="H3883" s="107" t="inlineStr">
        <is>
          <t>PRESTIGE</t>
        </is>
      </c>
      <c r="I3883" s="65" t="inlineStr">
        <is>
          <t>S04627</t>
        </is>
      </c>
      <c r="J3883" s="65" t="inlineStr">
        <is>
          <t>MFL1937</t>
        </is>
      </c>
      <c r="K3883" s="65" t="inlineStr">
        <is>
          <t>N/D</t>
        </is>
      </c>
      <c r="L3883" s="127" t="inlineStr">
        <is>
          <t>ANTONIONI SPORT CACCIA E PESCA SRLS</t>
        </is>
      </c>
      <c r="M3883" s="5" t="n">
        <v>25.747</v>
      </c>
      <c r="N3883" s="5" t="n"/>
      <c r="O3883" s="5">
        <f>+M3883+N3883</f>
        <v/>
      </c>
      <c r="P3883" s="4" t="n"/>
      <c r="Q3883" s="87" t="n"/>
      <c r="R3883" s="5" t="n">
        <v>30</v>
      </c>
      <c r="S3883" s="2" t="n">
        <v>1</v>
      </c>
      <c r="T3883" s="3" t="inlineStr">
        <is>
          <t>CA42796IR</t>
        </is>
      </c>
      <c r="U3883" s="87" t="n">
        <v>46041</v>
      </c>
      <c r="V3883" s="3" t="inlineStr">
        <is>
          <t>1</t>
        </is>
      </c>
      <c r="W3883" s="108" t="n">
        <v>46041</v>
      </c>
      <c r="X3883" s="4" t="inlineStr">
        <is>
          <t>PHILIPPOS COSTANTINIDES TRADING CO. LTD</t>
        </is>
      </c>
    </row>
    <row r="3884" ht="24" customHeight="1">
      <c r="A3884" s="2">
        <f>+D3884-S3884</f>
        <v/>
      </c>
      <c r="B3884" s="126" t="n">
        <v>5472</v>
      </c>
      <c r="C3884" s="66" t="n">
        <v>46041</v>
      </c>
      <c r="D3884" s="2" t="n">
        <v>1</v>
      </c>
      <c r="E3884" s="3" t="inlineStr">
        <is>
          <t>FUCILE SEMIAUTOMATICO</t>
        </is>
      </c>
      <c r="F3884" s="96" t="inlineStr">
        <is>
          <t>12</t>
        </is>
      </c>
      <c r="G3884" s="96" t="inlineStr">
        <is>
          <t>FRANCHI</t>
        </is>
      </c>
      <c r="H3884" s="107" t="inlineStr">
        <is>
          <t>48AL</t>
        </is>
      </c>
      <c r="I3884" s="65" t="inlineStr">
        <is>
          <t>B03936</t>
        </is>
      </c>
      <c r="J3884" s="65" t="inlineStr">
        <is>
          <t>910280</t>
        </is>
      </c>
      <c r="K3884" s="65" t="inlineStr">
        <is>
          <t>N/D</t>
        </is>
      </c>
      <c r="L3884" s="127" t="inlineStr">
        <is>
          <t>ANTONIONI SPORT CACCIA E PESCA SRLS</t>
        </is>
      </c>
      <c r="M3884" s="5" t="n">
        <v>25.747</v>
      </c>
      <c r="N3884" s="5" t="n"/>
      <c r="O3884" s="5">
        <f>+M3884+N3884</f>
        <v/>
      </c>
      <c r="P3884" s="4" t="n"/>
      <c r="Q3884" s="87" t="n"/>
      <c r="R3884" s="5" t="n">
        <v>30</v>
      </c>
      <c r="S3884" s="2" t="n">
        <v>1</v>
      </c>
      <c r="T3884" s="3" t="inlineStr">
        <is>
          <t>CA42796IR</t>
        </is>
      </c>
      <c r="U3884" s="87" t="n">
        <v>46041</v>
      </c>
      <c r="V3884" s="3" t="inlineStr">
        <is>
          <t>1</t>
        </is>
      </c>
      <c r="W3884" s="108" t="n">
        <v>46041</v>
      </c>
      <c r="X3884" s="4" t="inlineStr">
        <is>
          <t>PHILIPPOS COSTANTINIDES TRADING CO. LTD</t>
        </is>
      </c>
    </row>
    <row r="3885" ht="24" customHeight="1">
      <c r="A3885" s="2">
        <f>+D3885-S3885</f>
        <v/>
      </c>
      <c r="B3885" s="126" t="n">
        <v>5473</v>
      </c>
      <c r="C3885" s="66" t="n">
        <v>46041</v>
      </c>
      <c r="D3885" s="2" t="n">
        <v>1</v>
      </c>
      <c r="E3885" s="3" t="inlineStr">
        <is>
          <t>FUCILE SEMIAUTOMATICO</t>
        </is>
      </c>
      <c r="F3885" s="96" t="inlineStr">
        <is>
          <t>12</t>
        </is>
      </c>
      <c r="G3885" s="96" t="inlineStr">
        <is>
          <t>BREDA</t>
        </is>
      </c>
      <c r="H3885" s="107" t="inlineStr">
        <is>
          <t>L.R.</t>
        </is>
      </c>
      <c r="I3885" s="65" t="inlineStr">
        <is>
          <t>SL591469</t>
        </is>
      </c>
      <c r="J3885" s="65" t="inlineStr">
        <is>
          <t>BV238822</t>
        </is>
      </c>
      <c r="K3885" s="65" t="inlineStr">
        <is>
          <t>N/D</t>
        </is>
      </c>
      <c r="L3885" s="127" t="inlineStr">
        <is>
          <t>ANTONIONI SPORT CACCIA E PESCA SRLS</t>
        </is>
      </c>
      <c r="M3885" s="5" t="n">
        <v>25.747</v>
      </c>
      <c r="N3885" s="5" t="n"/>
      <c r="O3885" s="5">
        <f>+M3885+N3885</f>
        <v/>
      </c>
      <c r="P3885" s="4" t="n"/>
      <c r="Q3885" s="87" t="n"/>
      <c r="R3885" s="5" t="n">
        <v>30</v>
      </c>
      <c r="S3885" s="2" t="n">
        <v>1</v>
      </c>
      <c r="T3885" s="3" t="inlineStr">
        <is>
          <t>CA42796IR</t>
        </is>
      </c>
      <c r="U3885" s="87" t="n">
        <v>46041</v>
      </c>
      <c r="V3885" s="3" t="inlineStr">
        <is>
          <t>1</t>
        </is>
      </c>
      <c r="W3885" s="108" t="n">
        <v>46041</v>
      </c>
      <c r="X3885" s="4" t="inlineStr">
        <is>
          <t>PHILIPPOS COSTANTINIDES TRADING CO. LTD</t>
        </is>
      </c>
    </row>
    <row r="3886" ht="24" customHeight="1">
      <c r="A3886" s="2">
        <f>+D3886-S3886</f>
        <v/>
      </c>
      <c r="B3886" s="126" t="n">
        <v>5474</v>
      </c>
      <c r="C3886" s="66" t="n">
        <v>46041</v>
      </c>
      <c r="D3886" s="2" t="n">
        <v>1</v>
      </c>
      <c r="E3886" s="3" t="inlineStr">
        <is>
          <t>FUCILE SEMIAUTOMATICO</t>
        </is>
      </c>
      <c r="F3886" s="96" t="inlineStr">
        <is>
          <t>12</t>
        </is>
      </c>
      <c r="G3886" s="96" t="inlineStr">
        <is>
          <t>BREDA</t>
        </is>
      </c>
      <c r="H3886" s="107" t="inlineStr">
        <is>
          <t>L.R.</t>
        </is>
      </c>
      <c r="I3886" s="65" t="inlineStr">
        <is>
          <t>509515</t>
        </is>
      </c>
      <c r="J3886" s="65" t="inlineStr">
        <is>
          <t>BV55785</t>
        </is>
      </c>
      <c r="K3886" s="65" t="inlineStr">
        <is>
          <t>N/D</t>
        </is>
      </c>
      <c r="L3886" s="127" t="inlineStr">
        <is>
          <t>ANTONIONI SPORT CACCIA E PESCA SRLS</t>
        </is>
      </c>
      <c r="M3886" s="5" t="n">
        <v>25.747</v>
      </c>
      <c r="N3886" s="5" t="n"/>
      <c r="O3886" s="5">
        <f>+M3886+N3886</f>
        <v/>
      </c>
      <c r="P3886" s="4" t="n"/>
      <c r="Q3886" s="87" t="n"/>
      <c r="R3886" s="5" t="n">
        <v>30</v>
      </c>
      <c r="S3886" s="2" t="n">
        <v>1</v>
      </c>
      <c r="T3886" s="3" t="inlineStr">
        <is>
          <t>CA42796IR</t>
        </is>
      </c>
      <c r="U3886" s="87" t="n">
        <v>46041</v>
      </c>
      <c r="V3886" s="3" t="inlineStr">
        <is>
          <t>1</t>
        </is>
      </c>
      <c r="W3886" s="108" t="n">
        <v>46041</v>
      </c>
      <c r="X3886" s="4" t="inlineStr">
        <is>
          <t>PHILIPPOS COSTANTINIDES TRADING CO. LTD</t>
        </is>
      </c>
    </row>
    <row r="3887" ht="24" customHeight="1">
      <c r="A3887" s="2">
        <f>+D3887-S3887</f>
        <v/>
      </c>
      <c r="B3887" s="126" t="n">
        <v>5475</v>
      </c>
      <c r="C3887" s="66" t="n">
        <v>46041</v>
      </c>
      <c r="D3887" s="2" t="n">
        <v>1</v>
      </c>
      <c r="E3887" s="3" t="inlineStr">
        <is>
          <t>FUCILE SEMIAUTOMATICO</t>
        </is>
      </c>
      <c r="F3887" s="96" t="inlineStr">
        <is>
          <t>12</t>
        </is>
      </c>
      <c r="G3887" s="96" t="inlineStr">
        <is>
          <t>FRANCHI</t>
        </is>
      </c>
      <c r="H3887" s="107" t="inlineStr">
        <is>
          <t>48AL</t>
        </is>
      </c>
      <c r="I3887" s="65" t="inlineStr">
        <is>
          <t>610174</t>
        </is>
      </c>
      <c r="J3887" s="65" t="inlineStr">
        <is>
          <t>928669</t>
        </is>
      </c>
      <c r="K3887" s="65" t="inlineStr">
        <is>
          <t>N/D</t>
        </is>
      </c>
      <c r="L3887" s="127" t="inlineStr">
        <is>
          <t>ANTONIONI SPORT CACCIA E PESCA SRLS</t>
        </is>
      </c>
      <c r="M3887" s="5" t="n">
        <v>25.747</v>
      </c>
      <c r="N3887" s="5" t="n"/>
      <c r="O3887" s="5">
        <f>+M3887+N3887</f>
        <v/>
      </c>
      <c r="P3887" s="4" t="n"/>
      <c r="Q3887" s="87" t="n"/>
      <c r="R3887" s="5" t="n">
        <v>30</v>
      </c>
      <c r="S3887" s="2" t="n">
        <v>1</v>
      </c>
      <c r="T3887" s="3" t="inlineStr">
        <is>
          <t>CA42796IR</t>
        </is>
      </c>
      <c r="U3887" s="87" t="n">
        <v>46041</v>
      </c>
      <c r="V3887" s="3" t="inlineStr">
        <is>
          <t>1</t>
        </is>
      </c>
      <c r="W3887" s="108" t="n">
        <v>46041</v>
      </c>
      <c r="X3887" s="4" t="inlineStr">
        <is>
          <t>PHILIPPOS COSTANTINIDES TRADING CO. LTD</t>
        </is>
      </c>
    </row>
    <row r="3888" ht="24" customHeight="1">
      <c r="A3888" s="2">
        <f>+D3888-S3888</f>
        <v/>
      </c>
      <c r="B3888" s="126" t="n">
        <v>5476</v>
      </c>
      <c r="C3888" s="66" t="n">
        <v>46041</v>
      </c>
      <c r="D3888" s="2" t="n">
        <v>1</v>
      </c>
      <c r="E3888" s="3" t="inlineStr">
        <is>
          <t>FUCILE SEMIAUTOMATICO</t>
        </is>
      </c>
      <c r="F3888" s="96" t="inlineStr">
        <is>
          <t>12</t>
        </is>
      </c>
      <c r="G3888" s="96" t="inlineStr">
        <is>
          <t>FRANCHI</t>
        </is>
      </c>
      <c r="H3888" s="107" t="inlineStr">
        <is>
          <t>48AL</t>
        </is>
      </c>
      <c r="I3888" s="65" t="inlineStr">
        <is>
          <t>25296</t>
        </is>
      </c>
      <c r="J3888" s="65" t="inlineStr">
        <is>
          <t>25296</t>
        </is>
      </c>
      <c r="K3888" s="65" t="inlineStr">
        <is>
          <t>N/D</t>
        </is>
      </c>
      <c r="L3888" s="127" t="inlineStr">
        <is>
          <t>ANTONIONI SPORT CACCIA E PESCA SRLS</t>
        </is>
      </c>
      <c r="M3888" s="5" t="n">
        <v>25.747</v>
      </c>
      <c r="N3888" s="5" t="n"/>
      <c r="O3888" s="5">
        <f>+M3888+N3888</f>
        <v/>
      </c>
      <c r="P3888" s="4" t="n"/>
      <c r="Q3888" s="87" t="n"/>
      <c r="R3888" s="5" t="n">
        <v>30</v>
      </c>
      <c r="S3888" s="2" t="n">
        <v>1</v>
      </c>
      <c r="T3888" s="3" t="inlineStr">
        <is>
          <t>CA42796IR</t>
        </is>
      </c>
      <c r="U3888" s="87" t="n">
        <v>46041</v>
      </c>
      <c r="V3888" s="3" t="inlineStr">
        <is>
          <t>1</t>
        </is>
      </c>
      <c r="W3888" s="108" t="n">
        <v>46041</v>
      </c>
      <c r="X3888" s="4" t="inlineStr">
        <is>
          <t>PHILIPPOS COSTANTINIDES TRADING CO. LTD</t>
        </is>
      </c>
    </row>
    <row r="3889" ht="24" customHeight="1">
      <c r="A3889" s="2">
        <f>+D3889-S3889</f>
        <v/>
      </c>
      <c r="B3889" s="126" t="n">
        <v>5477</v>
      </c>
      <c r="C3889" s="66" t="n">
        <v>46041</v>
      </c>
      <c r="D3889" s="2" t="n">
        <v>1</v>
      </c>
      <c r="E3889" s="3" t="inlineStr">
        <is>
          <t>FUCILE SEMIAUTOMATICO</t>
        </is>
      </c>
      <c r="F3889" s="96" t="inlineStr">
        <is>
          <t>28</t>
        </is>
      </c>
      <c r="G3889" s="96" t="inlineStr">
        <is>
          <t>FRANCHI</t>
        </is>
      </c>
      <c r="H3889" s="107" t="inlineStr">
        <is>
          <t>48AL</t>
        </is>
      </c>
      <c r="I3889" s="65" t="inlineStr">
        <is>
          <t>00590</t>
        </is>
      </c>
      <c r="J3889" s="65" t="inlineStr">
        <is>
          <t>ALE2379</t>
        </is>
      </c>
      <c r="K3889" s="65" t="inlineStr">
        <is>
          <t>N/D</t>
        </is>
      </c>
      <c r="L3889" s="127" t="inlineStr">
        <is>
          <t>ANTONIONI SPORT CACCIA E PESCA SRLS</t>
        </is>
      </c>
      <c r="M3889" s="5" t="n">
        <v>25.747</v>
      </c>
      <c r="N3889" s="5" t="n"/>
      <c r="O3889" s="5">
        <f>+M3889+N3889</f>
        <v/>
      </c>
      <c r="P3889" s="4" t="n"/>
      <c r="Q3889" s="87" t="n"/>
      <c r="R3889" s="5" t="n">
        <v>30</v>
      </c>
      <c r="S3889" s="2" t="n">
        <v>1</v>
      </c>
      <c r="T3889" s="3" t="inlineStr">
        <is>
          <t>CA42796IR</t>
        </is>
      </c>
      <c r="U3889" s="87" t="n">
        <v>46041</v>
      </c>
      <c r="V3889" s="3" t="inlineStr">
        <is>
          <t>1</t>
        </is>
      </c>
      <c r="W3889" s="108" t="n">
        <v>46041</v>
      </c>
      <c r="X3889" s="4" t="inlineStr">
        <is>
          <t>PHILIPPOS COSTANTINIDES TRADING CO. LTD</t>
        </is>
      </c>
    </row>
    <row r="3890" ht="24" customHeight="1">
      <c r="A3890" s="2">
        <f>+D3890-S3890</f>
        <v/>
      </c>
      <c r="B3890" s="126" t="n">
        <v>5478</v>
      </c>
      <c r="C3890" s="66" t="n">
        <v>46041</v>
      </c>
      <c r="D3890" s="2" t="n">
        <v>1</v>
      </c>
      <c r="E3890" s="3" t="inlineStr">
        <is>
          <t>FUCILE SEMIAUTOMATICO</t>
        </is>
      </c>
      <c r="F3890" s="96" t="inlineStr">
        <is>
          <t>12</t>
        </is>
      </c>
      <c r="G3890" s="96" t="inlineStr">
        <is>
          <t>FRANCHI</t>
        </is>
      </c>
      <c r="H3890" s="107" t="inlineStr">
        <is>
          <t>48AL</t>
        </is>
      </c>
      <c r="I3890" s="65" t="inlineStr">
        <is>
          <t>622608</t>
        </is>
      </c>
      <c r="J3890" s="65" t="inlineStr">
        <is>
          <t>829082</t>
        </is>
      </c>
      <c r="K3890" s="65" t="inlineStr">
        <is>
          <t>N/D</t>
        </is>
      </c>
      <c r="L3890" s="127" t="inlineStr">
        <is>
          <t>ANTONIONI SPORT CACCIA E PESCA SRLS</t>
        </is>
      </c>
      <c r="M3890" s="5" t="n">
        <v>25.747</v>
      </c>
      <c r="N3890" s="5" t="n"/>
      <c r="O3890" s="5">
        <f>+M3890+N3890</f>
        <v/>
      </c>
      <c r="P3890" s="4" t="n"/>
      <c r="Q3890" s="87" t="n"/>
      <c r="R3890" s="5" t="n">
        <v>30</v>
      </c>
      <c r="S3890" s="2" t="n">
        <v>1</v>
      </c>
      <c r="T3890" s="3" t="inlineStr">
        <is>
          <t>CA42796IR</t>
        </is>
      </c>
      <c r="U3890" s="87" t="n">
        <v>46041</v>
      </c>
      <c r="V3890" s="3" t="inlineStr">
        <is>
          <t>1</t>
        </is>
      </c>
      <c r="W3890" s="108" t="n">
        <v>46041</v>
      </c>
      <c r="X3890" s="4" t="inlineStr">
        <is>
          <t>PHILIPPOS COSTANTINIDES TRADING CO. LTD</t>
        </is>
      </c>
    </row>
    <row r="3891" ht="24" customHeight="1">
      <c r="A3891" s="2">
        <f>+D3891-S3891</f>
        <v/>
      </c>
      <c r="B3891" s="126" t="n">
        <v>5479</v>
      </c>
      <c r="C3891" s="66" t="n">
        <v>46041</v>
      </c>
      <c r="D3891" s="2" t="n">
        <v>1</v>
      </c>
      <c r="E3891" s="3" t="inlineStr">
        <is>
          <t>FUCILE SEMIAUTOMATICO</t>
        </is>
      </c>
      <c r="F3891" s="96" t="inlineStr">
        <is>
          <t>12</t>
        </is>
      </c>
      <c r="G3891" s="96" t="inlineStr">
        <is>
          <t>FRANCHI</t>
        </is>
      </c>
      <c r="H3891" s="107" t="inlineStr">
        <is>
          <t>48AL</t>
        </is>
      </c>
      <c r="I3891" s="65" t="inlineStr">
        <is>
          <t>127154</t>
        </is>
      </c>
      <c r="J3891" s="65" t="inlineStr">
        <is>
          <t>733599</t>
        </is>
      </c>
      <c r="K3891" s="65" t="inlineStr">
        <is>
          <t>N/D</t>
        </is>
      </c>
      <c r="L3891" s="127" t="inlineStr">
        <is>
          <t>ANTONIONI SPORT CACCIA E PESCA SRLS</t>
        </is>
      </c>
      <c r="M3891" s="5" t="n">
        <v>25.747</v>
      </c>
      <c r="N3891" s="5" t="n"/>
      <c r="O3891" s="5">
        <f>+M3891+N3891</f>
        <v/>
      </c>
      <c r="P3891" s="4" t="n"/>
      <c r="Q3891" s="87" t="n"/>
      <c r="R3891" s="5" t="n">
        <v>30</v>
      </c>
      <c r="S3891" s="2" t="n">
        <v>1</v>
      </c>
      <c r="T3891" s="3" t="inlineStr">
        <is>
          <t>CA42796IR</t>
        </is>
      </c>
      <c r="U3891" s="87" t="n">
        <v>46041</v>
      </c>
      <c r="V3891" s="3" t="inlineStr">
        <is>
          <t>1</t>
        </is>
      </c>
      <c r="W3891" s="108" t="n">
        <v>46041</v>
      </c>
      <c r="X3891" s="4" t="inlineStr">
        <is>
          <t>PHILIPPOS COSTANTINIDES TRADING CO. LTD</t>
        </is>
      </c>
    </row>
    <row r="3892" ht="24" customHeight="1">
      <c r="A3892" s="2">
        <f>+D3892-S3892</f>
        <v/>
      </c>
      <c r="B3892" s="126" t="n">
        <v>5480</v>
      </c>
      <c r="C3892" s="66" t="n">
        <v>46041</v>
      </c>
      <c r="D3892" s="2" t="n">
        <v>1</v>
      </c>
      <c r="E3892" s="3" t="inlineStr">
        <is>
          <t>FUCILE SEMIAUTOMATICO</t>
        </is>
      </c>
      <c r="F3892" s="96" t="inlineStr">
        <is>
          <t>12</t>
        </is>
      </c>
      <c r="G3892" s="96" t="inlineStr">
        <is>
          <t>BROWNING</t>
        </is>
      </c>
      <c r="H3892" s="107" t="inlineStr">
        <is>
          <t>AUTO5</t>
        </is>
      </c>
      <c r="I3892" s="65" t="inlineStr">
        <is>
          <t>194532</t>
        </is>
      </c>
      <c r="J3892" s="65" t="inlineStr">
        <is>
          <t>194532</t>
        </is>
      </c>
      <c r="K3892" s="65" t="inlineStr">
        <is>
          <t>N/D</t>
        </is>
      </c>
      <c r="L3892" s="127" t="inlineStr">
        <is>
          <t>ANTONIONI SPORT CACCIA E PESCA SRLS</t>
        </is>
      </c>
      <c r="M3892" s="5" t="n">
        <v>25.747</v>
      </c>
      <c r="N3892" s="5" t="n"/>
      <c r="O3892" s="5">
        <f>+M3892+N3892</f>
        <v/>
      </c>
      <c r="P3892" s="4" t="n"/>
      <c r="Q3892" s="87" t="n"/>
      <c r="R3892" s="5" t="n">
        <v>30</v>
      </c>
      <c r="S3892" s="2" t="n">
        <v>1</v>
      </c>
      <c r="T3892" s="3" t="inlineStr">
        <is>
          <t>CA42796IR</t>
        </is>
      </c>
      <c r="U3892" s="87" t="n">
        <v>46041</v>
      </c>
      <c r="V3892" s="3" t="inlineStr">
        <is>
          <t>1</t>
        </is>
      </c>
      <c r="W3892" s="108" t="n">
        <v>46041</v>
      </c>
      <c r="X3892" s="4" t="inlineStr">
        <is>
          <t>PHILIPPOS COSTANTINIDES TRADING CO. LTD</t>
        </is>
      </c>
    </row>
    <row r="3893" ht="24" customHeight="1">
      <c r="A3893" s="2">
        <f>+D3893-S3893</f>
        <v/>
      </c>
      <c r="B3893" s="126" t="n">
        <v>5481</v>
      </c>
      <c r="C3893" s="66" t="n">
        <v>46041</v>
      </c>
      <c r="D3893" s="2" t="n">
        <v>1</v>
      </c>
      <c r="E3893" s="3" t="inlineStr">
        <is>
          <t>FUCILE SEMIAUTOMATICO</t>
        </is>
      </c>
      <c r="F3893" s="96" t="inlineStr">
        <is>
          <t>12</t>
        </is>
      </c>
      <c r="G3893" s="96" t="inlineStr">
        <is>
          <t>FRANCHI</t>
        </is>
      </c>
      <c r="H3893" s="107" t="inlineStr">
        <is>
          <t>48AL</t>
        </is>
      </c>
      <c r="I3893" s="65" t="inlineStr">
        <is>
          <t>B74694</t>
        </is>
      </c>
      <c r="J3893" s="65" t="inlineStr">
        <is>
          <t>AKA2454</t>
        </is>
      </c>
      <c r="K3893" s="65" t="inlineStr">
        <is>
          <t>N/D</t>
        </is>
      </c>
      <c r="L3893" s="127" t="inlineStr">
        <is>
          <t>ANTONIONI SPORT CACCIA E PESCA SRLS</t>
        </is>
      </c>
      <c r="M3893" s="5" t="n">
        <v>25.747</v>
      </c>
      <c r="N3893" s="5" t="n"/>
      <c r="O3893" s="5">
        <f>+M3893+N3893</f>
        <v/>
      </c>
      <c r="P3893" s="4" t="n"/>
      <c r="Q3893" s="87" t="n"/>
      <c r="R3893" s="5" t="n">
        <v>30</v>
      </c>
      <c r="S3893" s="2" t="n">
        <v>1</v>
      </c>
      <c r="T3893" s="3" t="inlineStr">
        <is>
          <t>CA42796IR</t>
        </is>
      </c>
      <c r="U3893" s="87" t="n">
        <v>46041</v>
      </c>
      <c r="V3893" s="3" t="inlineStr">
        <is>
          <t>1</t>
        </is>
      </c>
      <c r="W3893" s="108" t="n">
        <v>46041</v>
      </c>
      <c r="X3893" s="4" t="inlineStr">
        <is>
          <t>PHILIPPOS COSTANTINIDES TRADING CO. LTD</t>
        </is>
      </c>
    </row>
    <row r="3894" ht="24" customHeight="1">
      <c r="A3894" s="2">
        <f>+D3894-S3894</f>
        <v/>
      </c>
      <c r="B3894" s="126" t="n">
        <v>5482</v>
      </c>
      <c r="C3894" s="66" t="n">
        <v>46041</v>
      </c>
      <c r="D3894" s="2" t="n">
        <v>1</v>
      </c>
      <c r="E3894" s="3" t="inlineStr">
        <is>
          <t>FUCILE SEMIAUTOMATICO</t>
        </is>
      </c>
      <c r="F3894" s="96" t="inlineStr">
        <is>
          <t>12</t>
        </is>
      </c>
      <c r="G3894" s="96" t="inlineStr">
        <is>
          <t>FRANCHI</t>
        </is>
      </c>
      <c r="H3894" s="107" t="inlineStr">
        <is>
          <t>48AL</t>
        </is>
      </c>
      <c r="I3894" s="65" t="inlineStr">
        <is>
          <t>D29981</t>
        </is>
      </c>
      <c r="J3894" s="65" t="inlineStr">
        <is>
          <t>CGA3594</t>
        </is>
      </c>
      <c r="K3894" s="65" t="inlineStr">
        <is>
          <t>N/D</t>
        </is>
      </c>
      <c r="L3894" s="127" t="inlineStr">
        <is>
          <t>ANTONIONI SPORT CACCIA E PESCA SRLS</t>
        </is>
      </c>
      <c r="M3894" s="5" t="n">
        <v>25.747</v>
      </c>
      <c r="N3894" s="5" t="n"/>
      <c r="O3894" s="5">
        <f>+M3894+N3894</f>
        <v/>
      </c>
      <c r="P3894" s="4" t="n"/>
      <c r="Q3894" s="87" t="n"/>
      <c r="R3894" s="5" t="n">
        <v>30</v>
      </c>
      <c r="S3894" s="2" t="n">
        <v>1</v>
      </c>
      <c r="T3894" s="3" t="inlineStr">
        <is>
          <t>CA42796IR</t>
        </is>
      </c>
      <c r="U3894" s="87" t="n">
        <v>46041</v>
      </c>
      <c r="V3894" s="3" t="inlineStr">
        <is>
          <t>1</t>
        </is>
      </c>
      <c r="W3894" s="108" t="n">
        <v>46041</v>
      </c>
      <c r="X3894" s="4" t="inlineStr">
        <is>
          <t>PHILIPPOS COSTANTINIDES TRADING CO. LTD</t>
        </is>
      </c>
    </row>
    <row r="3895" ht="24" customHeight="1">
      <c r="A3895" s="2">
        <f>+D3895-S3895</f>
        <v/>
      </c>
      <c r="B3895" s="126" t="n">
        <v>5483</v>
      </c>
      <c r="C3895" s="66" t="n">
        <v>46041</v>
      </c>
      <c r="D3895" s="2" t="n">
        <v>1</v>
      </c>
      <c r="E3895" s="3" t="inlineStr">
        <is>
          <t>FUCILE SEMIAUTOMATICO</t>
        </is>
      </c>
      <c r="F3895" s="96" t="inlineStr">
        <is>
          <t>12</t>
        </is>
      </c>
      <c r="G3895" s="96" t="inlineStr">
        <is>
          <t>BREDA</t>
        </is>
      </c>
      <c r="H3895" s="107" t="inlineStr">
        <is>
          <t>L.R.</t>
        </is>
      </c>
      <c r="I3895" s="65" t="inlineStr">
        <is>
          <t>SL556716</t>
        </is>
      </c>
      <c r="J3895" s="65" t="inlineStr">
        <is>
          <t>BV151352</t>
        </is>
      </c>
      <c r="K3895" s="65" t="inlineStr">
        <is>
          <t>N/D</t>
        </is>
      </c>
      <c r="L3895" s="127" t="inlineStr">
        <is>
          <t>ANTONIONI SPORT CACCIA E PESCA SRLS</t>
        </is>
      </c>
      <c r="M3895" s="5" t="n">
        <v>25.747</v>
      </c>
      <c r="N3895" s="5" t="n"/>
      <c r="O3895" s="5">
        <f>+M3895+N3895</f>
        <v/>
      </c>
      <c r="P3895" s="4" t="n"/>
      <c r="Q3895" s="87" t="n"/>
      <c r="R3895" s="5" t="n">
        <v>30</v>
      </c>
      <c r="S3895" s="2" t="n">
        <v>1</v>
      </c>
      <c r="T3895" s="3" t="inlineStr">
        <is>
          <t>CA42796IR</t>
        </is>
      </c>
      <c r="U3895" s="87" t="n">
        <v>46041</v>
      </c>
      <c r="V3895" s="3" t="inlineStr">
        <is>
          <t>1</t>
        </is>
      </c>
      <c r="W3895" s="108" t="n">
        <v>46041</v>
      </c>
      <c r="X3895" s="4" t="inlineStr">
        <is>
          <t>PHILIPPOS COSTANTINIDES TRADING CO. LTD</t>
        </is>
      </c>
    </row>
    <row r="3896" ht="24" customHeight="1">
      <c r="A3896" s="2">
        <f>+D3896-S3896</f>
        <v/>
      </c>
      <c r="B3896" s="126" t="n">
        <v>5484</v>
      </c>
      <c r="C3896" s="66" t="n">
        <v>46041</v>
      </c>
      <c r="D3896" s="2" t="n">
        <v>1</v>
      </c>
      <c r="E3896" s="3" t="inlineStr">
        <is>
          <t>FUCILE SEMIAUTOMATICO</t>
        </is>
      </c>
      <c r="F3896" s="96" t="inlineStr">
        <is>
          <t>12</t>
        </is>
      </c>
      <c r="G3896" s="96" t="inlineStr">
        <is>
          <t>FRANCHI</t>
        </is>
      </c>
      <c r="H3896" s="107" t="inlineStr">
        <is>
          <t>48AL</t>
        </is>
      </c>
      <c r="I3896" s="65" t="inlineStr">
        <is>
          <t>A73605</t>
        </is>
      </c>
      <c r="J3896" s="65" t="inlineStr">
        <is>
          <t>878377</t>
        </is>
      </c>
      <c r="K3896" s="65" t="inlineStr">
        <is>
          <t>N/D</t>
        </is>
      </c>
      <c r="L3896" s="127" t="inlineStr">
        <is>
          <t>ANTONIONI SPORT CACCIA E PESCA SRLS</t>
        </is>
      </c>
      <c r="M3896" s="5" t="n">
        <v>25.747</v>
      </c>
      <c r="N3896" s="5" t="n"/>
      <c r="O3896" s="5">
        <f>+M3896+N3896</f>
        <v/>
      </c>
      <c r="P3896" s="4" t="n"/>
      <c r="Q3896" s="87" t="n"/>
      <c r="R3896" s="5" t="n">
        <v>30</v>
      </c>
      <c r="S3896" s="2" t="n">
        <v>1</v>
      </c>
      <c r="T3896" s="3" t="inlineStr">
        <is>
          <t>CA42796IR</t>
        </is>
      </c>
      <c r="U3896" s="87" t="n">
        <v>46041</v>
      </c>
      <c r="V3896" s="3" t="inlineStr">
        <is>
          <t>1</t>
        </is>
      </c>
      <c r="W3896" s="108" t="n">
        <v>46041</v>
      </c>
      <c r="X3896" s="4" t="inlineStr">
        <is>
          <t>PHILIPPOS COSTANTINIDES TRADING CO. LTD</t>
        </is>
      </c>
    </row>
    <row r="3897" ht="24" customHeight="1">
      <c r="A3897" s="2">
        <f>+D3897-S3897</f>
        <v/>
      </c>
      <c r="B3897" s="126" t="n">
        <v>5485</v>
      </c>
      <c r="C3897" s="66" t="n">
        <v>46041</v>
      </c>
      <c r="D3897" s="2" t="n">
        <v>1</v>
      </c>
      <c r="E3897" s="3" t="inlineStr">
        <is>
          <t>FUCILE SEMIAUTOMATICO</t>
        </is>
      </c>
      <c r="F3897" s="96" t="inlineStr">
        <is>
          <t>12</t>
        </is>
      </c>
      <c r="G3897" s="96" t="inlineStr">
        <is>
          <t>FRANCHI</t>
        </is>
      </c>
      <c r="H3897" s="107" t="inlineStr">
        <is>
          <t>48AL</t>
        </is>
      </c>
      <c r="I3897" s="65" t="inlineStr">
        <is>
          <t>D48224</t>
        </is>
      </c>
      <c r="J3897" s="65" t="inlineStr">
        <is>
          <t>CMA1409</t>
        </is>
      </c>
      <c r="K3897" s="65" t="inlineStr">
        <is>
          <t>N/D</t>
        </is>
      </c>
      <c r="L3897" s="127" t="inlineStr">
        <is>
          <t>ANTONIONI SPORT CACCIA E PESCA SRLS</t>
        </is>
      </c>
      <c r="M3897" s="5" t="n">
        <v>25.747</v>
      </c>
      <c r="N3897" s="5" t="n"/>
      <c r="O3897" s="5">
        <f>+M3897+N3897</f>
        <v/>
      </c>
      <c r="P3897" s="4" t="n"/>
      <c r="Q3897" s="87" t="n"/>
      <c r="R3897" s="5" t="n">
        <v>30</v>
      </c>
      <c r="S3897" s="2" t="n">
        <v>1</v>
      </c>
      <c r="T3897" s="3" t="inlineStr">
        <is>
          <t>CA42796IR</t>
        </is>
      </c>
      <c r="U3897" s="87" t="n">
        <v>46041</v>
      </c>
      <c r="V3897" s="3" t="inlineStr">
        <is>
          <t>1</t>
        </is>
      </c>
      <c r="W3897" s="108" t="n">
        <v>46041</v>
      </c>
      <c r="X3897" s="4" t="inlineStr">
        <is>
          <t>PHILIPPOS COSTANTINIDES TRADING CO. LTD</t>
        </is>
      </c>
    </row>
    <row r="3898" ht="24" customHeight="1">
      <c r="A3898" s="2">
        <f>+D3898-S3898</f>
        <v/>
      </c>
      <c r="B3898" s="126" t="n">
        <v>5486</v>
      </c>
      <c r="C3898" s="66" t="n">
        <v>46041</v>
      </c>
      <c r="D3898" s="2" t="n">
        <v>1</v>
      </c>
      <c r="E3898" s="3" t="inlineStr">
        <is>
          <t>FUCILE SEMIAUTOMATICO</t>
        </is>
      </c>
      <c r="F3898" s="96" t="inlineStr">
        <is>
          <t>12</t>
        </is>
      </c>
      <c r="G3898" s="96" t="inlineStr">
        <is>
          <t>BREDA</t>
        </is>
      </c>
      <c r="H3898" s="107" t="inlineStr">
        <is>
          <t>L.R.</t>
        </is>
      </c>
      <c r="I3898" s="65" t="inlineStr">
        <is>
          <t>102163</t>
        </is>
      </c>
      <c r="J3898" s="65" t="inlineStr">
        <is>
          <t>BV131959</t>
        </is>
      </c>
      <c r="K3898" s="65" t="inlineStr">
        <is>
          <t>N/D</t>
        </is>
      </c>
      <c r="L3898" s="127" t="inlineStr">
        <is>
          <t>ANTONIONI SPORT CACCIA E PESCA SRLS</t>
        </is>
      </c>
      <c r="M3898" s="5" t="n">
        <v>25.747</v>
      </c>
      <c r="N3898" s="5" t="n"/>
      <c r="O3898" s="5">
        <f>+M3898+N3898</f>
        <v/>
      </c>
      <c r="P3898" s="4" t="n"/>
      <c r="Q3898" s="87" t="n"/>
      <c r="R3898" s="5" t="n">
        <v>30</v>
      </c>
      <c r="S3898" s="2" t="n">
        <v>1</v>
      </c>
      <c r="T3898" s="3" t="inlineStr">
        <is>
          <t>CA42796IR</t>
        </is>
      </c>
      <c r="U3898" s="87" t="n">
        <v>46041</v>
      </c>
      <c r="V3898" s="3" t="inlineStr">
        <is>
          <t>1</t>
        </is>
      </c>
      <c r="W3898" s="108" t="n">
        <v>46041</v>
      </c>
      <c r="X3898" s="4" t="inlineStr">
        <is>
          <t>PHILIPPOS COSTANTINIDES TRADING CO. LTD</t>
        </is>
      </c>
    </row>
    <row r="3899" ht="24" customHeight="1">
      <c r="A3899" s="2">
        <f>+D3899-S3899</f>
        <v/>
      </c>
      <c r="B3899" s="126" t="n">
        <v>5487</v>
      </c>
      <c r="C3899" s="66" t="n">
        <v>46041</v>
      </c>
      <c r="D3899" s="2" t="n">
        <v>1</v>
      </c>
      <c r="E3899" s="3" t="inlineStr">
        <is>
          <t>FUCILE SEMIAUTOMATICO</t>
        </is>
      </c>
      <c r="F3899" s="96" t="inlineStr">
        <is>
          <t>12</t>
        </is>
      </c>
      <c r="G3899" s="96" t="inlineStr">
        <is>
          <t>FABARM</t>
        </is>
      </c>
      <c r="H3899" s="107" t="inlineStr">
        <is>
          <t>125SL GOLDENMATIC</t>
        </is>
      </c>
      <c r="I3899" s="65" t="inlineStr">
        <is>
          <t>301251</t>
        </is>
      </c>
      <c r="J3899" s="65" t="inlineStr">
        <is>
          <t>511717</t>
        </is>
      </c>
      <c r="K3899" s="65" t="inlineStr">
        <is>
          <t>N/D</t>
        </is>
      </c>
      <c r="L3899" s="127" t="inlineStr">
        <is>
          <t>ANTONIONI SPORT CACCIA E PESCA SRLS</t>
        </is>
      </c>
      <c r="M3899" s="5" t="n">
        <v>25.747</v>
      </c>
      <c r="N3899" s="5" t="n"/>
      <c r="O3899" s="5">
        <f>+M3899+N3899</f>
        <v/>
      </c>
      <c r="P3899" s="4" t="n"/>
      <c r="Q3899" s="87" t="n"/>
      <c r="R3899" s="5" t="n">
        <v>30</v>
      </c>
      <c r="S3899" s="2" t="n">
        <v>1</v>
      </c>
      <c r="T3899" s="3" t="inlineStr">
        <is>
          <t>CA42796IR</t>
        </is>
      </c>
      <c r="U3899" s="87" t="n">
        <v>46041</v>
      </c>
      <c r="V3899" s="3" t="inlineStr">
        <is>
          <t>1</t>
        </is>
      </c>
      <c r="W3899" s="108" t="n">
        <v>46041</v>
      </c>
      <c r="X3899" s="4" t="inlineStr">
        <is>
          <t>PHILIPPOS COSTANTINIDES TRADING CO. LTD</t>
        </is>
      </c>
    </row>
    <row r="3900" ht="24" customHeight="1">
      <c r="A3900" s="2">
        <f>+D3900-S3900</f>
        <v/>
      </c>
      <c r="B3900" s="126" t="n">
        <v>5488</v>
      </c>
      <c r="C3900" s="66" t="n">
        <v>46041</v>
      </c>
      <c r="D3900" s="2" t="n">
        <v>1</v>
      </c>
      <c r="E3900" s="3" t="inlineStr">
        <is>
          <t>FUCILE SEMIAUTOMATICO</t>
        </is>
      </c>
      <c r="F3900" s="96" t="inlineStr">
        <is>
          <t>12</t>
        </is>
      </c>
      <c r="G3900" s="96" t="inlineStr">
        <is>
          <t>FRANCHI</t>
        </is>
      </c>
      <c r="H3900" s="107" t="inlineStr">
        <is>
          <t>48AL</t>
        </is>
      </c>
      <c r="I3900" s="65" t="inlineStr">
        <is>
          <t>B38600</t>
        </is>
      </c>
      <c r="J3900" s="65" t="inlineStr">
        <is>
          <t>965208</t>
        </is>
      </c>
      <c r="K3900" s="65" t="inlineStr">
        <is>
          <t>N/D</t>
        </is>
      </c>
      <c r="L3900" s="127" t="inlineStr">
        <is>
          <t>ANTONIONI SPORT CACCIA E PESCA SRLS</t>
        </is>
      </c>
      <c r="M3900" s="5" t="n">
        <v>25.747</v>
      </c>
      <c r="N3900" s="5" t="n"/>
      <c r="O3900" s="5">
        <f>+M3900+N3900</f>
        <v/>
      </c>
      <c r="P3900" s="4" t="n"/>
      <c r="Q3900" s="87" t="n"/>
      <c r="R3900" s="5" t="n">
        <v>30</v>
      </c>
      <c r="S3900" s="2" t="n">
        <v>1</v>
      </c>
      <c r="T3900" s="3" t="inlineStr">
        <is>
          <t>CA42796IR</t>
        </is>
      </c>
      <c r="U3900" s="87" t="n">
        <v>46041</v>
      </c>
      <c r="V3900" s="3" t="inlineStr">
        <is>
          <t>1</t>
        </is>
      </c>
      <c r="W3900" s="108" t="n">
        <v>46041</v>
      </c>
      <c r="X3900" s="4" t="inlineStr">
        <is>
          <t>PHILIPPOS COSTANTINIDES TRADING CO. LTD</t>
        </is>
      </c>
    </row>
    <row r="3901" ht="24" customHeight="1">
      <c r="A3901" s="2">
        <f>+D3901-S3901</f>
        <v/>
      </c>
      <c r="B3901" s="126" t="n">
        <v>5489</v>
      </c>
      <c r="C3901" s="66" t="n">
        <v>46041</v>
      </c>
      <c r="D3901" s="2" t="n">
        <v>1</v>
      </c>
      <c r="E3901" s="3" t="inlineStr">
        <is>
          <t>FUCILE SEMIAUTOMATICO</t>
        </is>
      </c>
      <c r="F3901" s="96" t="inlineStr">
        <is>
          <t>12</t>
        </is>
      </c>
      <c r="G3901" s="96" t="inlineStr">
        <is>
          <t>BREDA</t>
        </is>
      </c>
      <c r="H3901" s="107" t="inlineStr">
        <is>
          <t>LR</t>
        </is>
      </c>
      <c r="I3901" s="65" t="inlineStr">
        <is>
          <t>117353</t>
        </is>
      </c>
      <c r="J3901" s="65" t="inlineStr">
        <is>
          <t>BV123638</t>
        </is>
      </c>
      <c r="K3901" s="65" t="inlineStr">
        <is>
          <t>N/D</t>
        </is>
      </c>
      <c r="L3901" s="127" t="inlineStr">
        <is>
          <t>ANTONIONI SPORT CACCIA E PESCA SRLS</t>
        </is>
      </c>
      <c r="M3901" s="5" t="n">
        <v>25.747</v>
      </c>
      <c r="N3901" s="5" t="n"/>
      <c r="O3901" s="5">
        <f>+M3901+N3901</f>
        <v/>
      </c>
      <c r="P3901" s="4" t="n"/>
      <c r="Q3901" s="87" t="n"/>
      <c r="R3901" s="5" t="n">
        <v>30</v>
      </c>
      <c r="S3901" s="2" t="n">
        <v>1</v>
      </c>
      <c r="T3901" s="3" t="inlineStr">
        <is>
          <t>CA42796IR</t>
        </is>
      </c>
      <c r="U3901" s="87" t="n">
        <v>46041</v>
      </c>
      <c r="V3901" s="3" t="inlineStr">
        <is>
          <t>1</t>
        </is>
      </c>
      <c r="W3901" s="108" t="n">
        <v>46041</v>
      </c>
      <c r="X3901" s="4" t="inlineStr">
        <is>
          <t>PHILIPPOS COSTANTINIDES TRADING CO. LTD</t>
        </is>
      </c>
    </row>
    <row r="3902" ht="24" customHeight="1">
      <c r="A3902" s="2">
        <f>+D3902-S3902</f>
        <v/>
      </c>
      <c r="B3902" s="126" t="n">
        <v>5490</v>
      </c>
      <c r="C3902" s="66" t="n">
        <v>46041</v>
      </c>
      <c r="D3902" s="2" t="n">
        <v>1</v>
      </c>
      <c r="E3902" s="3" t="inlineStr">
        <is>
          <t>FUCILE SEMIAUTOMATICO</t>
        </is>
      </c>
      <c r="F3902" s="96" t="inlineStr">
        <is>
          <t>12</t>
        </is>
      </c>
      <c r="G3902" s="96" t="inlineStr">
        <is>
          <t>FRANCHI</t>
        </is>
      </c>
      <c r="H3902" s="107" t="inlineStr">
        <is>
          <t>HUNTER</t>
        </is>
      </c>
      <c r="I3902" s="65" t="inlineStr">
        <is>
          <t>D15064</t>
        </is>
      </c>
      <c r="J3902" s="65" t="inlineStr">
        <is>
          <t>CAA0348</t>
        </is>
      </c>
      <c r="K3902" s="65" t="inlineStr">
        <is>
          <t>N/D</t>
        </is>
      </c>
      <c r="L3902" s="127" t="inlineStr">
        <is>
          <t>ANTONIONI SPORT CACCIA E PESCA SRLS</t>
        </is>
      </c>
      <c r="M3902" s="5" t="n">
        <v>25.747</v>
      </c>
      <c r="N3902" s="5" t="n"/>
      <c r="O3902" s="5">
        <f>+M3902+N3902</f>
        <v/>
      </c>
      <c r="P3902" s="4" t="n"/>
      <c r="Q3902" s="87" t="n"/>
      <c r="R3902" s="5" t="n">
        <v>30</v>
      </c>
      <c r="S3902" s="2" t="n">
        <v>1</v>
      </c>
      <c r="T3902" s="3" t="inlineStr">
        <is>
          <t>CA42796IR</t>
        </is>
      </c>
      <c r="U3902" s="87" t="n">
        <v>46041</v>
      </c>
      <c r="V3902" s="3" t="inlineStr">
        <is>
          <t>1</t>
        </is>
      </c>
      <c r="W3902" s="108" t="n">
        <v>46041</v>
      </c>
      <c r="X3902" s="4" t="inlineStr">
        <is>
          <t>PHILIPPOS COSTANTINIDES TRADING CO. LTD</t>
        </is>
      </c>
    </row>
    <row r="3903" ht="24" customHeight="1">
      <c r="A3903" s="2">
        <f>+D3903-S3903</f>
        <v/>
      </c>
      <c r="B3903" s="126" t="n">
        <v>5491</v>
      </c>
      <c r="C3903" s="66" t="n">
        <v>46041</v>
      </c>
      <c r="D3903" s="2" t="n">
        <v>1</v>
      </c>
      <c r="E3903" s="3" t="inlineStr">
        <is>
          <t>FUCILE SEMIAUTOMATICO</t>
        </is>
      </c>
      <c r="F3903" s="96" t="inlineStr">
        <is>
          <t>12</t>
        </is>
      </c>
      <c r="G3903" s="96" t="inlineStr">
        <is>
          <t>FRANCHI</t>
        </is>
      </c>
      <c r="H3903" s="107" t="inlineStr">
        <is>
          <t>HUNTER</t>
        </is>
      </c>
      <c r="I3903" s="65" t="inlineStr">
        <is>
          <t>45239</t>
        </is>
      </c>
      <c r="J3903" s="65" t="inlineStr">
        <is>
          <t>46985</t>
        </is>
      </c>
      <c r="K3903" s="65" t="inlineStr">
        <is>
          <t>N/D</t>
        </is>
      </c>
      <c r="L3903" s="127" t="inlineStr">
        <is>
          <t>ANTONIONI SPORT CACCIA E PESCA SRLS</t>
        </is>
      </c>
      <c r="M3903" s="5" t="n">
        <v>25.747</v>
      </c>
      <c r="N3903" s="5" t="n"/>
      <c r="O3903" s="5">
        <f>+M3903+N3903</f>
        <v/>
      </c>
      <c r="P3903" s="4" t="n"/>
      <c r="Q3903" s="87" t="n"/>
      <c r="R3903" s="5" t="n">
        <v>30</v>
      </c>
      <c r="S3903" s="2" t="n">
        <v>1</v>
      </c>
      <c r="T3903" s="3" t="inlineStr">
        <is>
          <t>CA42796IR</t>
        </is>
      </c>
      <c r="U3903" s="87" t="n">
        <v>46041</v>
      </c>
      <c r="V3903" s="3" t="inlineStr">
        <is>
          <t>1</t>
        </is>
      </c>
      <c r="W3903" s="108" t="n">
        <v>46041</v>
      </c>
      <c r="X3903" s="4" t="inlineStr">
        <is>
          <t>PHILIPPOS COSTANTINIDES TRADING CO. LTD</t>
        </is>
      </c>
    </row>
    <row r="3904" ht="24" customHeight="1">
      <c r="A3904" s="2">
        <f>+D3904-S3904</f>
        <v/>
      </c>
      <c r="B3904" s="126" t="n">
        <v>5492</v>
      </c>
      <c r="C3904" s="66" t="n">
        <v>46041</v>
      </c>
      <c r="D3904" s="2" t="n">
        <v>1</v>
      </c>
      <c r="E3904" s="3" t="inlineStr">
        <is>
          <t>FUCILE SEMIAUTOMATICO</t>
        </is>
      </c>
      <c r="F3904" s="96" t="inlineStr">
        <is>
          <t>12</t>
        </is>
      </c>
      <c r="G3904" s="96" t="inlineStr">
        <is>
          <t>BENELLI</t>
        </is>
      </c>
      <c r="H3904" s="107" t="n">
        <v>121</v>
      </c>
      <c r="I3904" s="65" t="inlineStr">
        <is>
          <t>101242</t>
        </is>
      </c>
      <c r="J3904" s="65" t="inlineStr">
        <is>
          <t>106979</t>
        </is>
      </c>
      <c r="K3904" s="65" t="inlineStr">
        <is>
          <t>N/D</t>
        </is>
      </c>
      <c r="L3904" s="127" t="inlineStr">
        <is>
          <t>ANTONIONI SPORT CACCIA E PESCA SRLS</t>
        </is>
      </c>
      <c r="M3904" s="5" t="n">
        <v>25.747</v>
      </c>
      <c r="N3904" s="5" t="n"/>
      <c r="O3904" s="5">
        <f>+M3904+N3904</f>
        <v/>
      </c>
      <c r="P3904" s="4" t="n"/>
      <c r="Q3904" s="87" t="n"/>
      <c r="R3904" s="5" t="n">
        <v>30</v>
      </c>
      <c r="S3904" s="2" t="n">
        <v>1</v>
      </c>
      <c r="T3904" s="3" t="inlineStr">
        <is>
          <t>CA42796IR</t>
        </is>
      </c>
      <c r="U3904" s="87" t="n">
        <v>46041</v>
      </c>
      <c r="V3904" s="3" t="inlineStr">
        <is>
          <t>1</t>
        </is>
      </c>
      <c r="W3904" s="108" t="n">
        <v>46041</v>
      </c>
      <c r="X3904" s="4" t="inlineStr">
        <is>
          <t>PHILIPPOS COSTANTINIDES TRADING CO. LTD</t>
        </is>
      </c>
    </row>
    <row r="3905" ht="24" customHeight="1">
      <c r="A3905" s="2">
        <f>+D3905-S3905</f>
        <v/>
      </c>
      <c r="B3905" s="126" t="n">
        <v>5493</v>
      </c>
      <c r="C3905" s="66" t="n">
        <v>46041</v>
      </c>
      <c r="D3905" s="2" t="n">
        <v>1</v>
      </c>
      <c r="E3905" s="3" t="inlineStr">
        <is>
          <t>FUCILE SEMIAUTOMATICO</t>
        </is>
      </c>
      <c r="F3905" s="96" t="inlineStr">
        <is>
          <t>12</t>
        </is>
      </c>
      <c r="G3905" s="96" t="inlineStr">
        <is>
          <t>BENELLI</t>
        </is>
      </c>
      <c r="H3905" s="107" t="n">
        <v>121</v>
      </c>
      <c r="I3905" s="65" t="inlineStr">
        <is>
          <t>A34603</t>
        </is>
      </c>
      <c r="J3905" s="65" t="inlineStr">
        <is>
          <t>A36955</t>
        </is>
      </c>
      <c r="K3905" s="65" t="inlineStr">
        <is>
          <t>N/D</t>
        </is>
      </c>
      <c r="L3905" s="127" t="inlineStr">
        <is>
          <t>ANTONIONI SPORT CACCIA E PESCA SRLS</t>
        </is>
      </c>
      <c r="M3905" s="5" t="n">
        <v>25.747</v>
      </c>
      <c r="N3905" s="5" t="n"/>
      <c r="O3905" s="5">
        <f>+M3905+N3905</f>
        <v/>
      </c>
      <c r="P3905" s="4" t="n"/>
      <c r="Q3905" s="87" t="n"/>
      <c r="R3905" s="5" t="n">
        <v>30</v>
      </c>
      <c r="S3905" s="2" t="n">
        <v>1</v>
      </c>
      <c r="T3905" s="3" t="inlineStr">
        <is>
          <t>CA42796IR</t>
        </is>
      </c>
      <c r="U3905" s="87" t="n">
        <v>46041</v>
      </c>
      <c r="V3905" s="3" t="inlineStr">
        <is>
          <t>1</t>
        </is>
      </c>
      <c r="W3905" s="108" t="n">
        <v>46041</v>
      </c>
      <c r="X3905" s="4" t="inlineStr">
        <is>
          <t>PHILIPPOS COSTANTINIDES TRADING CO. LTD</t>
        </is>
      </c>
    </row>
    <row r="3906" ht="24" customHeight="1">
      <c r="A3906" s="2">
        <f>+D3906-S3906</f>
        <v/>
      </c>
      <c r="B3906" s="126" t="n">
        <v>5494</v>
      </c>
      <c r="C3906" s="66" t="n">
        <v>46041</v>
      </c>
      <c r="D3906" s="2" t="n">
        <v>1</v>
      </c>
      <c r="E3906" s="3" t="inlineStr">
        <is>
          <t>FUCILE SEMIAUTOMATICO</t>
        </is>
      </c>
      <c r="F3906" s="96" t="inlineStr">
        <is>
          <t>12</t>
        </is>
      </c>
      <c r="G3906" s="96" t="inlineStr">
        <is>
          <t>BENELLI</t>
        </is>
      </c>
      <c r="H3906" s="107" t="n">
        <v>121</v>
      </c>
      <c r="I3906" s="65" t="inlineStr">
        <is>
          <t>A91086</t>
        </is>
      </c>
      <c r="J3906" s="65" t="inlineStr">
        <is>
          <t>257696</t>
        </is>
      </c>
      <c r="K3906" s="65" t="inlineStr">
        <is>
          <t>N/D</t>
        </is>
      </c>
      <c r="L3906" s="127" t="inlineStr">
        <is>
          <t>ANTONIONI SPORT CACCIA E PESCA SRLS</t>
        </is>
      </c>
      <c r="M3906" s="5" t="n">
        <v>25.747</v>
      </c>
      <c r="N3906" s="5" t="n"/>
      <c r="O3906" s="5">
        <f>+M3906+N3906</f>
        <v/>
      </c>
      <c r="P3906" s="4" t="n"/>
      <c r="Q3906" s="87" t="n"/>
      <c r="R3906" s="5" t="n">
        <v>30</v>
      </c>
      <c r="S3906" s="2" t="n">
        <v>1</v>
      </c>
      <c r="T3906" s="3" t="inlineStr">
        <is>
          <t>CA42796IR</t>
        </is>
      </c>
      <c r="U3906" s="87" t="n">
        <v>46041</v>
      </c>
      <c r="V3906" s="3" t="inlineStr">
        <is>
          <t>1</t>
        </is>
      </c>
      <c r="W3906" s="108" t="n">
        <v>46041</v>
      </c>
      <c r="X3906" s="4" t="inlineStr">
        <is>
          <t>PHILIPPOS COSTANTINIDES TRADING CO. LTD</t>
        </is>
      </c>
    </row>
    <row r="3907" ht="24" customHeight="1">
      <c r="A3907" s="2">
        <f>+D3907-S3907</f>
        <v/>
      </c>
      <c r="B3907" s="126" t="n">
        <v>5495</v>
      </c>
      <c r="C3907" s="66" t="n">
        <v>46041</v>
      </c>
      <c r="D3907" s="2" t="n">
        <v>1</v>
      </c>
      <c r="E3907" s="3" t="inlineStr">
        <is>
          <t>FUCILE SEMIAUTOMATICO</t>
        </is>
      </c>
      <c r="F3907" s="96" t="inlineStr">
        <is>
          <t>12</t>
        </is>
      </c>
      <c r="G3907" s="96" t="inlineStr">
        <is>
          <t>BENELLI</t>
        </is>
      </c>
      <c r="H3907" s="107" t="n">
        <v>121</v>
      </c>
      <c r="I3907" s="65" t="inlineStr">
        <is>
          <t>A98203</t>
        </is>
      </c>
      <c r="J3907" s="65" t="n">
        <v>103785</v>
      </c>
      <c r="K3907" s="65" t="inlineStr">
        <is>
          <t>N/D</t>
        </is>
      </c>
      <c r="L3907" s="127" t="inlineStr">
        <is>
          <t>ANTONIONI SPORT CACCIA E PESCA SRLS</t>
        </is>
      </c>
      <c r="M3907" s="5" t="n">
        <v>25.747</v>
      </c>
      <c r="N3907" s="5" t="n"/>
      <c r="O3907" s="5">
        <f>+M3907+N3907</f>
        <v/>
      </c>
      <c r="P3907" s="4" t="n"/>
      <c r="Q3907" s="87" t="n"/>
      <c r="R3907" s="5" t="n">
        <v>30</v>
      </c>
      <c r="S3907" s="2" t="n">
        <v>1</v>
      </c>
      <c r="T3907" s="3" t="inlineStr">
        <is>
          <t>CA42796IR</t>
        </is>
      </c>
      <c r="U3907" s="87" t="n">
        <v>46041</v>
      </c>
      <c r="V3907" s="3" t="inlineStr">
        <is>
          <t>1</t>
        </is>
      </c>
      <c r="W3907" s="108" t="n">
        <v>46041</v>
      </c>
      <c r="X3907" s="4" t="inlineStr">
        <is>
          <t>PHILIPPOS COSTANTINIDES TRADING CO. LTD</t>
        </is>
      </c>
    </row>
    <row r="3908" ht="24" customHeight="1">
      <c r="A3908" s="2">
        <f>+D3908-S3908</f>
        <v/>
      </c>
      <c r="B3908" s="126" t="n">
        <v>5496</v>
      </c>
      <c r="C3908" s="66" t="n">
        <v>46041</v>
      </c>
      <c r="D3908" s="2" t="n">
        <v>1</v>
      </c>
      <c r="E3908" s="3" t="inlineStr">
        <is>
          <t>FUCILE SEMIAUTOMATICO</t>
        </is>
      </c>
      <c r="F3908" s="96" t="inlineStr">
        <is>
          <t>12</t>
        </is>
      </c>
      <c r="G3908" s="96" t="inlineStr">
        <is>
          <t>BENELLI</t>
        </is>
      </c>
      <c r="H3908" s="107" t="n">
        <v>121</v>
      </c>
      <c r="I3908" s="65" t="inlineStr">
        <is>
          <t>A97822</t>
        </is>
      </c>
      <c r="J3908" s="65" t="n">
        <v>122672</v>
      </c>
      <c r="K3908" s="65" t="inlineStr">
        <is>
          <t>N/D</t>
        </is>
      </c>
      <c r="L3908" s="127" t="inlineStr">
        <is>
          <t>ANTONIONI SPORT CACCIA E PESCA SRLS</t>
        </is>
      </c>
      <c r="M3908" s="5" t="n">
        <v>25.747</v>
      </c>
      <c r="N3908" s="5" t="n"/>
      <c r="O3908" s="5">
        <f>+M3908+N3908</f>
        <v/>
      </c>
      <c r="P3908" s="4" t="n"/>
      <c r="Q3908" s="87" t="n"/>
      <c r="R3908" s="5" t="n">
        <v>30</v>
      </c>
      <c r="S3908" s="2" t="n">
        <v>1</v>
      </c>
      <c r="T3908" s="3" t="inlineStr">
        <is>
          <t>CA42796IR</t>
        </is>
      </c>
      <c r="U3908" s="87" t="n">
        <v>46041</v>
      </c>
      <c r="V3908" s="3" t="inlineStr">
        <is>
          <t>1</t>
        </is>
      </c>
      <c r="W3908" s="108" t="n">
        <v>46041</v>
      </c>
      <c r="X3908" s="4" t="inlineStr">
        <is>
          <t>PHILIPPOS COSTANTINIDES TRADING CO. LTD</t>
        </is>
      </c>
    </row>
    <row r="3909" ht="24" customHeight="1">
      <c r="A3909" s="2">
        <f>+D3909-S3909</f>
        <v/>
      </c>
      <c r="B3909" s="126" t="n">
        <v>5497</v>
      </c>
      <c r="C3909" s="66" t="n">
        <v>46041</v>
      </c>
      <c r="D3909" s="2" t="n">
        <v>1</v>
      </c>
      <c r="E3909" s="3" t="inlineStr">
        <is>
          <t>FUCILE SEMIAUTOMATICO</t>
        </is>
      </c>
      <c r="F3909" s="96" t="inlineStr">
        <is>
          <t>12</t>
        </is>
      </c>
      <c r="G3909" s="96" t="inlineStr">
        <is>
          <t>BENELLI</t>
        </is>
      </c>
      <c r="H3909" s="107" t="n">
        <v>121</v>
      </c>
      <c r="I3909" s="65" t="inlineStr">
        <is>
          <t>A09056</t>
        </is>
      </c>
      <c r="J3909" s="65" t="inlineStr">
        <is>
          <t>A09180</t>
        </is>
      </c>
      <c r="K3909" s="65" t="inlineStr">
        <is>
          <t>N/D</t>
        </is>
      </c>
      <c r="L3909" s="127" t="inlineStr">
        <is>
          <t>ANTONIONI SPORT CACCIA E PESCA SRLS</t>
        </is>
      </c>
      <c r="M3909" s="5" t="n">
        <v>25.747</v>
      </c>
      <c r="N3909" s="5" t="n"/>
      <c r="O3909" s="5">
        <f>+M3909+N3909</f>
        <v/>
      </c>
      <c r="P3909" s="4" t="n"/>
      <c r="Q3909" s="87" t="n"/>
      <c r="R3909" s="5" t="n">
        <v>30</v>
      </c>
      <c r="S3909" s="2" t="n">
        <v>1</v>
      </c>
      <c r="T3909" s="3" t="inlineStr">
        <is>
          <t>CA42796IR</t>
        </is>
      </c>
      <c r="U3909" s="87" t="n">
        <v>46041</v>
      </c>
      <c r="V3909" s="3" t="inlineStr">
        <is>
          <t>1</t>
        </is>
      </c>
      <c r="W3909" s="108" t="n">
        <v>46041</v>
      </c>
      <c r="X3909" s="4" t="inlineStr">
        <is>
          <t>PHILIPPOS COSTANTINIDES TRADING CO. LTD</t>
        </is>
      </c>
    </row>
    <row r="3910" ht="24" customHeight="1">
      <c r="A3910" s="2">
        <f>+D3910-S3910</f>
        <v/>
      </c>
      <c r="B3910" s="126" t="n">
        <v>5498</v>
      </c>
      <c r="C3910" s="66" t="n">
        <v>46041</v>
      </c>
      <c r="D3910" s="2" t="n">
        <v>1</v>
      </c>
      <c r="E3910" s="3" t="inlineStr">
        <is>
          <t>FUCILE SEMIAUTOMATICO</t>
        </is>
      </c>
      <c r="F3910" s="96" t="inlineStr">
        <is>
          <t>12</t>
        </is>
      </c>
      <c r="G3910" s="96" t="inlineStr">
        <is>
          <t>BENELLI</t>
        </is>
      </c>
      <c r="H3910" s="107" t="n">
        <v>121</v>
      </c>
      <c r="I3910" s="65" t="inlineStr">
        <is>
          <t>A81897</t>
        </is>
      </c>
      <c r="J3910" s="65" t="inlineStr">
        <is>
          <t>A85383</t>
        </is>
      </c>
      <c r="K3910" s="65" t="inlineStr">
        <is>
          <t>N/D</t>
        </is>
      </c>
      <c r="L3910" s="127" t="inlineStr">
        <is>
          <t>ANTONIONI SPORT CACCIA E PESCA SRLS</t>
        </is>
      </c>
      <c r="M3910" s="5" t="n">
        <v>25.747</v>
      </c>
      <c r="N3910" s="5" t="n"/>
      <c r="O3910" s="5">
        <f>+M3910+N3910</f>
        <v/>
      </c>
      <c r="P3910" s="4" t="n"/>
      <c r="Q3910" s="87" t="n"/>
      <c r="R3910" s="5" t="n">
        <v>30</v>
      </c>
      <c r="S3910" s="2" t="n">
        <v>1</v>
      </c>
      <c r="T3910" s="3" t="inlineStr">
        <is>
          <t>CA42796IR</t>
        </is>
      </c>
      <c r="U3910" s="87" t="n">
        <v>46041</v>
      </c>
      <c r="V3910" s="3" t="inlineStr">
        <is>
          <t>1</t>
        </is>
      </c>
      <c r="W3910" s="108" t="n">
        <v>46041</v>
      </c>
      <c r="X3910" s="4" t="inlineStr">
        <is>
          <t>PHILIPPOS COSTANTINIDES TRADING CO. LTD</t>
        </is>
      </c>
    </row>
    <row r="3911" ht="24" customHeight="1">
      <c r="A3911" s="2">
        <f>+D3911-S3911</f>
        <v/>
      </c>
      <c r="B3911" s="126" t="n">
        <v>5499</v>
      </c>
      <c r="C3911" s="66" t="n">
        <v>46041</v>
      </c>
      <c r="D3911" s="2" t="n">
        <v>1</v>
      </c>
      <c r="E3911" s="3" t="inlineStr">
        <is>
          <t>FUCILE SEMIAUTOMATICO</t>
        </is>
      </c>
      <c r="F3911" s="96" t="inlineStr">
        <is>
          <t>12</t>
        </is>
      </c>
      <c r="G3911" s="96" t="inlineStr">
        <is>
          <t>BENELLI</t>
        </is>
      </c>
      <c r="H3911" s="107" t="inlineStr">
        <is>
          <t>121 SL80</t>
        </is>
      </c>
      <c r="I3911" s="65" t="inlineStr">
        <is>
          <t>141105</t>
        </is>
      </c>
      <c r="J3911" s="65" t="n">
        <v>126558</v>
      </c>
      <c r="K3911" s="65" t="inlineStr">
        <is>
          <t>N/D</t>
        </is>
      </c>
      <c r="L3911" s="127" t="inlineStr">
        <is>
          <t>ANTONIONI SPORT CACCIA E PESCA SRLS</t>
        </is>
      </c>
      <c r="M3911" s="5" t="n">
        <v>25.747</v>
      </c>
      <c r="N3911" s="5" t="n"/>
      <c r="O3911" s="5">
        <f>+M3911+N3911</f>
        <v/>
      </c>
      <c r="P3911" s="4" t="n"/>
      <c r="Q3911" s="87" t="n"/>
      <c r="R3911" s="5" t="n">
        <v>30</v>
      </c>
      <c r="S3911" s="2" t="n">
        <v>1</v>
      </c>
      <c r="T3911" s="3" t="inlineStr">
        <is>
          <t>CA42796IR</t>
        </is>
      </c>
      <c r="U3911" s="87" t="n">
        <v>46041</v>
      </c>
      <c r="V3911" s="3" t="inlineStr">
        <is>
          <t>1</t>
        </is>
      </c>
      <c r="W3911" s="108" t="n">
        <v>46041</v>
      </c>
      <c r="X3911" s="4" t="inlineStr">
        <is>
          <t>PHILIPPOS COSTANTINIDES TRADING CO. LTD</t>
        </is>
      </c>
    </row>
    <row r="3912" ht="24" customHeight="1">
      <c r="A3912" s="2">
        <f>+D3912-S3912</f>
        <v/>
      </c>
      <c r="B3912" s="126" t="n">
        <v>5500</v>
      </c>
      <c r="C3912" s="66" t="n">
        <v>46041</v>
      </c>
      <c r="D3912" s="2" t="n">
        <v>1</v>
      </c>
      <c r="E3912" s="3" t="inlineStr">
        <is>
          <t>FUCILE SEMIAUTOMATICO</t>
        </is>
      </c>
      <c r="F3912" s="96" t="inlineStr">
        <is>
          <t>12</t>
        </is>
      </c>
      <c r="G3912" s="96" t="inlineStr">
        <is>
          <t>BENELLI</t>
        </is>
      </c>
      <c r="H3912" s="107" t="inlineStr">
        <is>
          <t>121 SL80</t>
        </is>
      </c>
      <c r="I3912" s="65" t="inlineStr">
        <is>
          <t>149477</t>
        </is>
      </c>
      <c r="J3912" s="65" t="inlineStr">
        <is>
          <t>A40805</t>
        </is>
      </c>
      <c r="K3912" s="65" t="inlineStr">
        <is>
          <t>N/D</t>
        </is>
      </c>
      <c r="L3912" s="127" t="inlineStr">
        <is>
          <t>ANTONIONI SPORT CACCIA E PESCA SRLS</t>
        </is>
      </c>
      <c r="M3912" s="5" t="n">
        <v>25.747</v>
      </c>
      <c r="N3912" s="5" t="n"/>
      <c r="O3912" s="5">
        <f>+M3912+N3912</f>
        <v/>
      </c>
      <c r="P3912" s="4" t="n"/>
      <c r="Q3912" s="87" t="n"/>
      <c r="R3912" s="5" t="n">
        <v>30</v>
      </c>
      <c r="S3912" s="2" t="n">
        <v>1</v>
      </c>
      <c r="T3912" s="3" t="inlineStr">
        <is>
          <t>CA42796IR</t>
        </is>
      </c>
      <c r="U3912" s="87" t="n">
        <v>46041</v>
      </c>
      <c r="V3912" s="3" t="inlineStr">
        <is>
          <t>1</t>
        </is>
      </c>
      <c r="W3912" s="108" t="n">
        <v>46041</v>
      </c>
      <c r="X3912" s="4" t="inlineStr">
        <is>
          <t>PHILIPPOS COSTANTINIDES TRADING CO. LTD</t>
        </is>
      </c>
    </row>
    <row r="3913" ht="24" customHeight="1">
      <c r="A3913" s="2">
        <f>+D3913-S3913</f>
        <v/>
      </c>
      <c r="B3913" s="126" t="n">
        <v>5501</v>
      </c>
      <c r="C3913" s="66" t="n">
        <v>46041</v>
      </c>
      <c r="D3913" s="2" t="n">
        <v>1</v>
      </c>
      <c r="E3913" s="3" t="inlineStr">
        <is>
          <t>FUCILE SEMIAUTOMATICO</t>
        </is>
      </c>
      <c r="F3913" s="96" t="inlineStr">
        <is>
          <t>12</t>
        </is>
      </c>
      <c r="G3913" s="96" t="inlineStr">
        <is>
          <t>BENELLI</t>
        </is>
      </c>
      <c r="H3913" s="107" t="n">
        <v>121</v>
      </c>
      <c r="I3913" s="65" t="inlineStr">
        <is>
          <t>A55630</t>
        </is>
      </c>
      <c r="J3913" s="65" t="inlineStr">
        <is>
          <t>A11020</t>
        </is>
      </c>
      <c r="K3913" s="65" t="inlineStr">
        <is>
          <t>N/D</t>
        </is>
      </c>
      <c r="L3913" s="127" t="inlineStr">
        <is>
          <t>ANTONIONI SPORT CACCIA E PESCA SRLS</t>
        </is>
      </c>
      <c r="M3913" s="5" t="n">
        <v>25.747</v>
      </c>
      <c r="N3913" s="5" t="n"/>
      <c r="O3913" s="5">
        <f>+M3913+N3913</f>
        <v/>
      </c>
      <c r="P3913" s="4" t="n"/>
      <c r="Q3913" s="87" t="n"/>
      <c r="R3913" s="5" t="n">
        <v>30</v>
      </c>
      <c r="S3913" s="2" t="n">
        <v>1</v>
      </c>
      <c r="T3913" s="3" t="inlineStr">
        <is>
          <t>CA42796IR</t>
        </is>
      </c>
      <c r="U3913" s="87" t="n">
        <v>46041</v>
      </c>
      <c r="V3913" s="3" t="inlineStr">
        <is>
          <t>1</t>
        </is>
      </c>
      <c r="W3913" s="108" t="n">
        <v>46041</v>
      </c>
      <c r="X3913" s="4" t="inlineStr">
        <is>
          <t>PHILIPPOS COSTANTINIDES TRADING CO. LTD</t>
        </is>
      </c>
    </row>
    <row r="3914" ht="24" customHeight="1">
      <c r="A3914" s="2">
        <f>+D3914-S3914</f>
        <v/>
      </c>
      <c r="B3914" s="126" t="n">
        <v>5502</v>
      </c>
      <c r="C3914" s="66" t="n">
        <v>46041</v>
      </c>
      <c r="D3914" s="2" t="n">
        <v>1</v>
      </c>
      <c r="E3914" s="3" t="inlineStr">
        <is>
          <t>FUCILE SEMIAUTOMATICO</t>
        </is>
      </c>
      <c r="F3914" s="96" t="inlineStr">
        <is>
          <t>12</t>
        </is>
      </c>
      <c r="G3914" s="96" t="inlineStr">
        <is>
          <t>BENELLI</t>
        </is>
      </c>
      <c r="H3914" s="107" t="inlineStr">
        <is>
          <t>MONTEFELTRO</t>
        </is>
      </c>
      <c r="I3914" s="65" t="inlineStr">
        <is>
          <t>M570171</t>
        </is>
      </c>
      <c r="J3914" s="65" t="inlineStr">
        <is>
          <t>C817531</t>
        </is>
      </c>
      <c r="K3914" s="65" t="inlineStr">
        <is>
          <t>N/D</t>
        </is>
      </c>
      <c r="L3914" s="127" t="inlineStr">
        <is>
          <t>ANTONIONI SPORT CACCIA E PESCA SRLS</t>
        </is>
      </c>
      <c r="M3914" s="5" t="n">
        <v>25.747</v>
      </c>
      <c r="N3914" s="5" t="n"/>
      <c r="O3914" s="5">
        <f>+M3914+N3914</f>
        <v/>
      </c>
      <c r="P3914" s="4" t="n"/>
      <c r="Q3914" s="87" t="n"/>
      <c r="R3914" s="5" t="n">
        <v>30</v>
      </c>
      <c r="S3914" s="2" t="n">
        <v>1</v>
      </c>
      <c r="T3914" s="3" t="inlineStr">
        <is>
          <t>CA42796IR</t>
        </is>
      </c>
      <c r="U3914" s="87" t="n">
        <v>46041</v>
      </c>
      <c r="V3914" s="3" t="inlineStr">
        <is>
          <t>1</t>
        </is>
      </c>
      <c r="W3914" s="108" t="n">
        <v>46041</v>
      </c>
      <c r="X3914" s="4" t="inlineStr">
        <is>
          <t>PHILIPPOS COSTANTINIDES TRADING CO. LTD</t>
        </is>
      </c>
    </row>
    <row r="3915" ht="24" customHeight="1">
      <c r="A3915" s="2">
        <f>+D3915-S3915</f>
        <v/>
      </c>
      <c r="B3915" s="126" t="n">
        <v>5503</v>
      </c>
      <c r="C3915" s="66" t="n">
        <v>46041</v>
      </c>
      <c r="D3915" s="2" t="n">
        <v>1</v>
      </c>
      <c r="E3915" s="3" t="inlineStr">
        <is>
          <t>FUCILE SEMIAUTOMATICO</t>
        </is>
      </c>
      <c r="F3915" s="96" t="inlineStr">
        <is>
          <t>12</t>
        </is>
      </c>
      <c r="G3915" s="96" t="inlineStr">
        <is>
          <t>BENELLI</t>
        </is>
      </c>
      <c r="H3915" s="107" t="inlineStr">
        <is>
          <t>MONTEFELTRO</t>
        </is>
      </c>
      <c r="I3915" s="65" t="inlineStr">
        <is>
          <t>001655</t>
        </is>
      </c>
      <c r="J3915" s="65" t="inlineStr">
        <is>
          <t>C29709</t>
        </is>
      </c>
      <c r="K3915" s="65" t="inlineStr">
        <is>
          <t>N/D</t>
        </is>
      </c>
      <c r="L3915" s="127" t="inlineStr">
        <is>
          <t>ANTONIONI SPORT CACCIA E PESCA SRLS</t>
        </is>
      </c>
      <c r="M3915" s="5" t="n">
        <v>25.747</v>
      </c>
      <c r="N3915" s="5" t="n"/>
      <c r="O3915" s="5">
        <f>+M3915+N3915</f>
        <v/>
      </c>
      <c r="P3915" s="4" t="n"/>
      <c r="Q3915" s="87" t="n"/>
      <c r="R3915" s="5" t="n">
        <v>30</v>
      </c>
      <c r="S3915" s="2" t="n">
        <v>1</v>
      </c>
      <c r="T3915" s="3" t="inlineStr">
        <is>
          <t>CA42796IR</t>
        </is>
      </c>
      <c r="U3915" s="87" t="n">
        <v>46041</v>
      </c>
      <c r="V3915" s="3" t="inlineStr">
        <is>
          <t>1</t>
        </is>
      </c>
      <c r="W3915" s="108" t="n">
        <v>46041</v>
      </c>
      <c r="X3915" s="4" t="inlineStr">
        <is>
          <t>PHILIPPOS COSTANTINIDES TRADING CO. LTD</t>
        </is>
      </c>
    </row>
    <row r="3916" ht="24" customHeight="1">
      <c r="A3916" s="2">
        <f>+D3916-S3916</f>
        <v/>
      </c>
      <c r="B3916" s="126" t="n">
        <v>5504</v>
      </c>
      <c r="C3916" s="66" t="n">
        <v>46041</v>
      </c>
      <c r="D3916" s="2" t="n">
        <v>1</v>
      </c>
      <c r="E3916" s="3" t="inlineStr">
        <is>
          <t>FUCILE SEMIAUTOMATICO</t>
        </is>
      </c>
      <c r="F3916" s="96" t="inlineStr">
        <is>
          <t>12</t>
        </is>
      </c>
      <c r="G3916" s="96" t="inlineStr">
        <is>
          <t>BENELLI</t>
        </is>
      </c>
      <c r="H3916" s="107" t="inlineStr">
        <is>
          <t>SUPER 90 MANCINO</t>
        </is>
      </c>
      <c r="I3916" s="65" t="inlineStr">
        <is>
          <t>M113469</t>
        </is>
      </c>
      <c r="J3916" s="65" t="inlineStr">
        <is>
          <t>C162261</t>
        </is>
      </c>
      <c r="K3916" s="65" t="inlineStr">
        <is>
          <t>N/D</t>
        </is>
      </c>
      <c r="L3916" s="127" t="inlineStr">
        <is>
          <t>ANTONIONI SPORT CACCIA E PESCA SRLS</t>
        </is>
      </c>
      <c r="M3916" s="5" t="n">
        <v>25.747</v>
      </c>
      <c r="N3916" s="5" t="n"/>
      <c r="O3916" s="5">
        <f>+M3916+N3916</f>
        <v/>
      </c>
      <c r="P3916" s="4" t="n"/>
      <c r="Q3916" s="87" t="n"/>
      <c r="R3916" s="5" t="n">
        <v>30</v>
      </c>
      <c r="S3916" s="2" t="n">
        <v>1</v>
      </c>
      <c r="T3916" s="3" t="inlineStr">
        <is>
          <t>CA42796IR</t>
        </is>
      </c>
      <c r="U3916" s="87" t="n">
        <v>46041</v>
      </c>
      <c r="V3916" s="3" t="inlineStr">
        <is>
          <t>1</t>
        </is>
      </c>
      <c r="W3916" s="108" t="n">
        <v>46041</v>
      </c>
      <c r="X3916" s="4" t="inlineStr">
        <is>
          <t>PHILIPPOS COSTANTINIDES TRADING CO. LTD</t>
        </is>
      </c>
    </row>
    <row r="3917" ht="24" customHeight="1">
      <c r="A3917" s="2">
        <f>+D3917-S3917</f>
        <v/>
      </c>
      <c r="B3917" s="126" t="n">
        <v>5505</v>
      </c>
      <c r="C3917" s="66" t="n">
        <v>46041</v>
      </c>
      <c r="D3917" s="2" t="n">
        <v>1</v>
      </c>
      <c r="E3917" s="3" t="inlineStr">
        <is>
          <t>FUCILE SEMIAUTOMATICO</t>
        </is>
      </c>
      <c r="F3917" s="96" t="inlineStr">
        <is>
          <t>12</t>
        </is>
      </c>
      <c r="G3917" s="96" t="inlineStr">
        <is>
          <t>BENELLI</t>
        </is>
      </c>
      <c r="H3917" s="107" t="inlineStr">
        <is>
          <t>MONTEFELTRO SUPER 90 S</t>
        </is>
      </c>
      <c r="I3917" s="65" t="inlineStr">
        <is>
          <t>M055419</t>
        </is>
      </c>
      <c r="J3917" s="65" t="inlineStr">
        <is>
          <t>C060870</t>
        </is>
      </c>
      <c r="K3917" s="65" t="inlineStr">
        <is>
          <t>N/D</t>
        </is>
      </c>
      <c r="L3917" s="127" t="inlineStr">
        <is>
          <t>ANTONIONI SPORT CACCIA E PESCA SRLS</t>
        </is>
      </c>
      <c r="M3917" s="5" t="n">
        <v>25.747</v>
      </c>
      <c r="N3917" s="5" t="n"/>
      <c r="O3917" s="5">
        <f>+M3917+N3917</f>
        <v/>
      </c>
      <c r="P3917" s="4" t="n"/>
      <c r="Q3917" s="87" t="n"/>
      <c r="R3917" s="5" t="n">
        <v>30</v>
      </c>
      <c r="S3917" s="2" t="n">
        <v>1</v>
      </c>
      <c r="T3917" s="3" t="inlineStr">
        <is>
          <t>CA42796IR</t>
        </is>
      </c>
      <c r="U3917" s="87" t="n">
        <v>46041</v>
      </c>
      <c r="V3917" s="3" t="inlineStr">
        <is>
          <t>1</t>
        </is>
      </c>
      <c r="W3917" s="108" t="n">
        <v>46041</v>
      </c>
      <c r="X3917" s="4" t="inlineStr">
        <is>
          <t>PHILIPPOS COSTANTINIDES TRADING CO. LTD</t>
        </is>
      </c>
    </row>
    <row r="3918" ht="24" customHeight="1">
      <c r="A3918" s="2">
        <f>+D3918-S3918</f>
        <v/>
      </c>
      <c r="B3918" s="126" t="n">
        <v>5506</v>
      </c>
      <c r="C3918" s="66" t="n">
        <v>46041</v>
      </c>
      <c r="D3918" s="2" t="n">
        <v>1</v>
      </c>
      <c r="E3918" s="3" t="inlineStr">
        <is>
          <t>FUCILE SEMIAUTOMATICO</t>
        </is>
      </c>
      <c r="F3918" s="96" t="inlineStr">
        <is>
          <t>12</t>
        </is>
      </c>
      <c r="G3918" s="96" t="inlineStr">
        <is>
          <t>BENELLI</t>
        </is>
      </c>
      <c r="H3918" s="107" t="n">
        <v>121</v>
      </c>
      <c r="I3918" s="65" t="inlineStr">
        <is>
          <t>A16359</t>
        </is>
      </c>
      <c r="J3918" s="65" t="inlineStr">
        <is>
          <t>A16030</t>
        </is>
      </c>
      <c r="K3918" s="65" t="inlineStr">
        <is>
          <t>N/D</t>
        </is>
      </c>
      <c r="L3918" s="127" t="inlineStr">
        <is>
          <t>ANTONIONI SPORT CACCIA E PESCA SRLS</t>
        </is>
      </c>
      <c r="M3918" s="5" t="n">
        <v>25.747</v>
      </c>
      <c r="N3918" s="5" t="n"/>
      <c r="O3918" s="5">
        <f>+M3918+N3918</f>
        <v/>
      </c>
      <c r="P3918" s="4" t="n"/>
      <c r="Q3918" s="87" t="n"/>
      <c r="R3918" s="5" t="n">
        <v>30</v>
      </c>
      <c r="S3918" s="2" t="n">
        <v>1</v>
      </c>
      <c r="T3918" s="3" t="inlineStr">
        <is>
          <t>CA42796IR</t>
        </is>
      </c>
      <c r="U3918" s="87" t="n">
        <v>46041</v>
      </c>
      <c r="V3918" s="3" t="inlineStr">
        <is>
          <t>1</t>
        </is>
      </c>
      <c r="W3918" s="108" t="n">
        <v>46041</v>
      </c>
      <c r="X3918" s="4" t="inlineStr">
        <is>
          <t>PHILIPPOS COSTANTINIDES TRADING CO. LTD</t>
        </is>
      </c>
    </row>
    <row r="3919" ht="24" customHeight="1">
      <c r="A3919" s="2">
        <f>+D3919-S3919</f>
        <v/>
      </c>
      <c r="B3919" s="126" t="n">
        <v>5507</v>
      </c>
      <c r="C3919" s="66" t="n">
        <v>46041</v>
      </c>
      <c r="D3919" s="2" t="n">
        <v>1</v>
      </c>
      <c r="E3919" s="3" t="inlineStr">
        <is>
          <t>FUCILE SEMIAUTOMATICO</t>
        </is>
      </c>
      <c r="F3919" s="96" t="inlineStr">
        <is>
          <t>12</t>
        </is>
      </c>
      <c r="G3919" s="96" t="inlineStr">
        <is>
          <t>BENELLI</t>
        </is>
      </c>
      <c r="H3919" s="107" t="inlineStr">
        <is>
          <t>MONTEFELTRO SUPER 90</t>
        </is>
      </c>
      <c r="I3919" s="65" t="inlineStr">
        <is>
          <t>M048689</t>
        </is>
      </c>
      <c r="J3919" s="65" t="inlineStr">
        <is>
          <t>C089439</t>
        </is>
      </c>
      <c r="K3919" s="65" t="inlineStr">
        <is>
          <t>N/D</t>
        </is>
      </c>
      <c r="L3919" s="127" t="inlineStr">
        <is>
          <t>ANTONIONI SPORT CACCIA E PESCA SRLS</t>
        </is>
      </c>
      <c r="M3919" s="5" t="n">
        <v>25.747</v>
      </c>
      <c r="N3919" s="5" t="n"/>
      <c r="O3919" s="5">
        <f>+M3919+N3919</f>
        <v/>
      </c>
      <c r="P3919" s="4" t="n"/>
      <c r="Q3919" s="87" t="n"/>
      <c r="R3919" s="5" t="n">
        <v>30</v>
      </c>
      <c r="S3919" s="2" t="n">
        <v>1</v>
      </c>
      <c r="T3919" s="3" t="inlineStr">
        <is>
          <t>CA42796IR</t>
        </is>
      </c>
      <c r="U3919" s="87" t="n">
        <v>46041</v>
      </c>
      <c r="V3919" s="3" t="inlineStr">
        <is>
          <t>1</t>
        </is>
      </c>
      <c r="W3919" s="108" t="n">
        <v>46041</v>
      </c>
      <c r="X3919" s="4" t="inlineStr">
        <is>
          <t>PHILIPPOS COSTANTINIDES TRADING CO. LTD</t>
        </is>
      </c>
    </row>
    <row r="3920" ht="24" customHeight="1">
      <c r="A3920" s="2">
        <f>+D3920-S3920</f>
        <v/>
      </c>
      <c r="B3920" s="126" t="n">
        <v>5508</v>
      </c>
      <c r="C3920" s="66" t="n">
        <v>46041</v>
      </c>
      <c r="D3920" s="2" t="n">
        <v>1</v>
      </c>
      <c r="E3920" s="3" t="inlineStr">
        <is>
          <t>FUCILE SEMIAUTOMATICO</t>
        </is>
      </c>
      <c r="F3920" s="96" t="inlineStr">
        <is>
          <t>12</t>
        </is>
      </c>
      <c r="G3920" s="96" t="inlineStr">
        <is>
          <t>BENELLI</t>
        </is>
      </c>
      <c r="H3920" s="107" t="n">
        <v>121</v>
      </c>
      <c r="I3920" s="65" t="inlineStr">
        <is>
          <t>A71607</t>
        </is>
      </c>
      <c r="J3920" s="65" t="inlineStr">
        <is>
          <t>A77353</t>
        </is>
      </c>
      <c r="K3920" s="65" t="inlineStr">
        <is>
          <t>N/D</t>
        </is>
      </c>
      <c r="L3920" s="127" t="inlineStr">
        <is>
          <t>ANTONIONI SPORT CACCIA E PESCA SRLS</t>
        </is>
      </c>
      <c r="M3920" s="5" t="n">
        <v>25.747</v>
      </c>
      <c r="N3920" s="5" t="n"/>
      <c r="O3920" s="5">
        <f>+M3920+N3920</f>
        <v/>
      </c>
      <c r="P3920" s="4" t="n"/>
      <c r="Q3920" s="87" t="n"/>
      <c r="R3920" s="5" t="n">
        <v>30</v>
      </c>
      <c r="S3920" s="2" t="n">
        <v>1</v>
      </c>
      <c r="T3920" s="3" t="inlineStr">
        <is>
          <t>CA42796IR</t>
        </is>
      </c>
      <c r="U3920" s="87" t="n">
        <v>46041</v>
      </c>
      <c r="V3920" s="3" t="inlineStr">
        <is>
          <t>1</t>
        </is>
      </c>
      <c r="W3920" s="108" t="n">
        <v>46041</v>
      </c>
      <c r="X3920" s="4" t="inlineStr">
        <is>
          <t>PHILIPPOS COSTANTINIDES TRADING CO. LTD</t>
        </is>
      </c>
    </row>
    <row r="3921" ht="24" customHeight="1">
      <c r="A3921" s="2">
        <f>+D3921-S3921</f>
        <v/>
      </c>
      <c r="B3921" s="126" t="n">
        <v>5509</v>
      </c>
      <c r="C3921" s="66" t="n">
        <v>46041</v>
      </c>
      <c r="D3921" s="2" t="n">
        <v>1</v>
      </c>
      <c r="E3921" s="3" t="inlineStr">
        <is>
          <t>FUCILE SEMIAUTOMATICO</t>
        </is>
      </c>
      <c r="F3921" s="96" t="inlineStr">
        <is>
          <t>12</t>
        </is>
      </c>
      <c r="G3921" s="96" t="inlineStr">
        <is>
          <t>BENELLI</t>
        </is>
      </c>
      <c r="H3921" s="107" t="n">
        <v>123</v>
      </c>
      <c r="I3921" s="65" t="inlineStr">
        <is>
          <t>A25117</t>
        </is>
      </c>
      <c r="J3921" s="65" t="n">
        <v>127306</v>
      </c>
      <c r="K3921" s="65" t="inlineStr">
        <is>
          <t>N/D</t>
        </is>
      </c>
      <c r="L3921" s="127" t="inlineStr">
        <is>
          <t>ANTONIONI SPORT CACCIA E PESCA SRLS</t>
        </is>
      </c>
      <c r="M3921" s="5" t="n">
        <v>25.747</v>
      </c>
      <c r="N3921" s="5" t="n"/>
      <c r="O3921" s="5">
        <f>+M3921+N3921</f>
        <v/>
      </c>
      <c r="P3921" s="4" t="n"/>
      <c r="Q3921" s="87" t="n"/>
      <c r="R3921" s="5" t="n">
        <v>30</v>
      </c>
      <c r="S3921" s="2" t="n">
        <v>1</v>
      </c>
      <c r="T3921" s="3" t="inlineStr">
        <is>
          <t>CA42796IR</t>
        </is>
      </c>
      <c r="U3921" s="87" t="n">
        <v>46041</v>
      </c>
      <c r="V3921" s="3" t="inlineStr">
        <is>
          <t>1</t>
        </is>
      </c>
      <c r="W3921" s="108" t="n">
        <v>46041</v>
      </c>
      <c r="X3921" s="4" t="inlineStr">
        <is>
          <t>PHILIPPOS COSTANTINIDES TRADING CO. LTD</t>
        </is>
      </c>
    </row>
    <row r="3922" ht="24" customHeight="1">
      <c r="A3922" s="2">
        <f>+D3922-S3922</f>
        <v/>
      </c>
      <c r="B3922" s="126" t="n">
        <v>5510</v>
      </c>
      <c r="C3922" s="66" t="n">
        <v>46041</v>
      </c>
      <c r="D3922" s="2" t="n">
        <v>1</v>
      </c>
      <c r="E3922" s="3" t="inlineStr">
        <is>
          <t>FUCILE SEMIAUTOMATICO</t>
        </is>
      </c>
      <c r="F3922" s="96" t="inlineStr">
        <is>
          <t>12</t>
        </is>
      </c>
      <c r="G3922" s="96" t="inlineStr">
        <is>
          <t>FRANCHI</t>
        </is>
      </c>
      <c r="H3922" s="107" t="inlineStr">
        <is>
          <t>PRESTIGE</t>
        </is>
      </c>
      <c r="I3922" s="65" t="inlineStr">
        <is>
          <t>S28934</t>
        </is>
      </c>
      <c r="J3922" s="65" t="inlineStr">
        <is>
          <t>NLL1678</t>
        </is>
      </c>
      <c r="K3922" s="65" t="inlineStr">
        <is>
          <t>N/D</t>
        </is>
      </c>
      <c r="L3922" s="127" t="inlineStr">
        <is>
          <t>ANTONIONI SPORT CACCIA E PESCA SRLS</t>
        </is>
      </c>
      <c r="M3922" s="5" t="n">
        <v>25.747</v>
      </c>
      <c r="N3922" s="5" t="n"/>
      <c r="O3922" s="5">
        <f>+M3922+N3922</f>
        <v/>
      </c>
      <c r="P3922" s="4" t="n"/>
      <c r="Q3922" s="87" t="n"/>
      <c r="R3922" s="5" t="n">
        <v>30</v>
      </c>
      <c r="S3922" s="2" t="n">
        <v>1</v>
      </c>
      <c r="T3922" s="3" t="inlineStr">
        <is>
          <t>CA42796IR</t>
        </is>
      </c>
      <c r="U3922" s="87" t="n">
        <v>46041</v>
      </c>
      <c r="V3922" s="3" t="inlineStr">
        <is>
          <t>1</t>
        </is>
      </c>
      <c r="W3922" s="108" t="n">
        <v>46041</v>
      </c>
      <c r="X3922" s="4" t="inlineStr">
        <is>
          <t>PHILIPPOS COSTANTINIDES TRADING CO. LTD</t>
        </is>
      </c>
    </row>
    <row r="3923" ht="24" customHeight="1">
      <c r="A3923" s="2">
        <f>+D3923-S3923</f>
        <v/>
      </c>
      <c r="B3923" s="126" t="n">
        <v>5511</v>
      </c>
      <c r="C3923" s="66" t="n">
        <v>46041</v>
      </c>
      <c r="D3923" s="2" t="n">
        <v>1</v>
      </c>
      <c r="E3923" s="3" t="inlineStr">
        <is>
          <t>FUCILE SEMIAUTOMATICO</t>
        </is>
      </c>
      <c r="F3923" s="96" t="inlineStr">
        <is>
          <t>12</t>
        </is>
      </c>
      <c r="G3923" s="96" t="inlineStr">
        <is>
          <t>FRANCHI</t>
        </is>
      </c>
      <c r="H3923" s="107" t="inlineStr">
        <is>
          <t>PRESTIGE</t>
        </is>
      </c>
      <c r="I3923" s="65" t="inlineStr">
        <is>
          <t>S40178</t>
        </is>
      </c>
      <c r="J3923" s="65" t="inlineStr">
        <is>
          <t>RL0396M</t>
        </is>
      </c>
      <c r="K3923" s="65" t="inlineStr">
        <is>
          <t>N/D</t>
        </is>
      </c>
      <c r="L3923" s="127" t="inlineStr">
        <is>
          <t>ANTONIONI SPORT CACCIA E PESCA SRLS</t>
        </is>
      </c>
      <c r="M3923" s="5" t="n">
        <v>25.747</v>
      </c>
      <c r="N3923" s="5" t="n"/>
      <c r="O3923" s="5">
        <f>+M3923+N3923</f>
        <v/>
      </c>
      <c r="P3923" s="4" t="n"/>
      <c r="Q3923" s="87" t="n"/>
      <c r="R3923" s="5" t="n">
        <v>30</v>
      </c>
      <c r="S3923" s="2" t="n">
        <v>1</v>
      </c>
      <c r="T3923" s="3" t="inlineStr">
        <is>
          <t>CA42796IR</t>
        </is>
      </c>
      <c r="U3923" s="87" t="n">
        <v>46041</v>
      </c>
      <c r="V3923" s="3" t="inlineStr">
        <is>
          <t>1</t>
        </is>
      </c>
      <c r="W3923" s="108" t="n">
        <v>46041</v>
      </c>
      <c r="X3923" s="4" t="inlineStr">
        <is>
          <t>PHILIPPOS COSTANTINIDES TRADING CO. LTD</t>
        </is>
      </c>
    </row>
    <row r="3924" ht="24" customHeight="1">
      <c r="A3924" s="2">
        <f>+D3924-S3924</f>
        <v/>
      </c>
      <c r="B3924" s="126" t="n">
        <v>5512</v>
      </c>
      <c r="C3924" s="66" t="n">
        <v>46041</v>
      </c>
      <c r="D3924" s="2" t="n">
        <v>1</v>
      </c>
      <c r="E3924" s="3" t="inlineStr">
        <is>
          <t>FUCILE SEMIAUTOMATICO</t>
        </is>
      </c>
      <c r="F3924" s="96" t="inlineStr">
        <is>
          <t>12</t>
        </is>
      </c>
      <c r="G3924" s="96" t="inlineStr">
        <is>
          <t>FRANCHI</t>
        </is>
      </c>
      <c r="H3924" s="107" t="inlineStr">
        <is>
          <t>PRESTIGE</t>
        </is>
      </c>
      <c r="I3924" s="65" t="inlineStr">
        <is>
          <t>S30514</t>
        </is>
      </c>
      <c r="J3924" s="65" t="inlineStr">
        <is>
          <t>NML1437</t>
        </is>
      </c>
      <c r="K3924" s="65" t="inlineStr">
        <is>
          <t>N/D</t>
        </is>
      </c>
      <c r="L3924" s="127" t="inlineStr">
        <is>
          <t>ANTONIONI SPORT CACCIA E PESCA SRLS</t>
        </is>
      </c>
      <c r="M3924" s="5" t="n">
        <v>25.747</v>
      </c>
      <c r="N3924" s="5" t="n"/>
      <c r="O3924" s="5">
        <f>+M3924+N3924</f>
        <v/>
      </c>
      <c r="P3924" s="4" t="n"/>
      <c r="Q3924" s="87" t="n"/>
      <c r="R3924" s="5" t="n">
        <v>30</v>
      </c>
      <c r="S3924" s="2" t="n">
        <v>1</v>
      </c>
      <c r="T3924" s="3" t="inlineStr">
        <is>
          <t>CA42796IR</t>
        </is>
      </c>
      <c r="U3924" s="87" t="n">
        <v>46041</v>
      </c>
      <c r="V3924" s="3" t="inlineStr">
        <is>
          <t>1</t>
        </is>
      </c>
      <c r="W3924" s="108" t="n">
        <v>46041</v>
      </c>
      <c r="X3924" s="4" t="inlineStr">
        <is>
          <t>PHILIPPOS COSTANTINIDES TRADING CO. LTD</t>
        </is>
      </c>
    </row>
    <row r="3925" ht="24" customHeight="1">
      <c r="A3925" s="2">
        <f>+D3925-S3925</f>
        <v/>
      </c>
      <c r="B3925" s="126" t="n">
        <v>5513</v>
      </c>
      <c r="C3925" s="66" t="n">
        <v>46041</v>
      </c>
      <c r="D3925" s="2" t="n">
        <v>1</v>
      </c>
      <c r="E3925" s="3" t="inlineStr">
        <is>
          <t>FUCILE SEMIAUTOMATICO</t>
        </is>
      </c>
      <c r="F3925" s="96" t="inlineStr">
        <is>
          <t>12</t>
        </is>
      </c>
      <c r="G3925" s="96" t="inlineStr">
        <is>
          <t>BERETTA</t>
        </is>
      </c>
      <c r="H3925" s="107" t="inlineStr">
        <is>
          <t>A304 SILVER LARK</t>
        </is>
      </c>
      <c r="I3925" s="65" t="inlineStr">
        <is>
          <t>U41901E</t>
        </is>
      </c>
      <c r="J3925" s="65" t="inlineStr">
        <is>
          <t>R46291F</t>
        </is>
      </c>
      <c r="K3925" s="65" t="inlineStr">
        <is>
          <t>N/D</t>
        </is>
      </c>
      <c r="L3925" s="127" t="inlineStr">
        <is>
          <t>ANTONIONI SPORT CACCIA E PESCA SRLS</t>
        </is>
      </c>
      <c r="M3925" s="5" t="n">
        <v>25.747</v>
      </c>
      <c r="N3925" s="5" t="n"/>
      <c r="O3925" s="5">
        <f>+M3925+N3925</f>
        <v/>
      </c>
      <c r="P3925" s="4" t="n"/>
      <c r="Q3925" s="87" t="n"/>
      <c r="R3925" s="5" t="n">
        <v>30</v>
      </c>
      <c r="S3925" s="2" t="n">
        <v>1</v>
      </c>
      <c r="T3925" s="3" t="inlineStr">
        <is>
          <t>CA42796IR</t>
        </is>
      </c>
      <c r="U3925" s="87" t="n">
        <v>46041</v>
      </c>
      <c r="V3925" s="3" t="inlineStr">
        <is>
          <t>1</t>
        </is>
      </c>
      <c r="W3925" s="108" t="n">
        <v>46041</v>
      </c>
      <c r="X3925" s="4" t="inlineStr">
        <is>
          <t>PHILIPPOS COSTANTINIDES TRADING CO. LTD</t>
        </is>
      </c>
    </row>
    <row r="3926" ht="24" customHeight="1">
      <c r="A3926" s="2">
        <f>+D3926-S3926</f>
        <v/>
      </c>
      <c r="B3926" s="126" t="n">
        <v>5514</v>
      </c>
      <c r="C3926" s="66" t="n">
        <v>46041</v>
      </c>
      <c r="D3926" s="2" t="n">
        <v>1</v>
      </c>
      <c r="E3926" s="3" t="inlineStr">
        <is>
          <t>FUCILE SEMIAUTOMATICO</t>
        </is>
      </c>
      <c r="F3926" s="96" t="inlineStr">
        <is>
          <t>12</t>
        </is>
      </c>
      <c r="G3926" s="96" t="inlineStr">
        <is>
          <t>BERETTA</t>
        </is>
      </c>
      <c r="H3926" s="107" t="inlineStr">
        <is>
          <t>1200F</t>
        </is>
      </c>
      <c r="I3926" s="65" t="inlineStr">
        <is>
          <t>T30412E</t>
        </is>
      </c>
      <c r="J3926" s="65" t="inlineStr">
        <is>
          <t>M97144F</t>
        </is>
      </c>
      <c r="K3926" s="65" t="inlineStr">
        <is>
          <t>N/D</t>
        </is>
      </c>
      <c r="L3926" s="127" t="inlineStr">
        <is>
          <t>ANTONIONI SPORT CACCIA E PESCA SRLS</t>
        </is>
      </c>
      <c r="M3926" s="5" t="n">
        <v>25.747</v>
      </c>
      <c r="N3926" s="5" t="n"/>
      <c r="O3926" s="5">
        <f>+M3926+N3926</f>
        <v/>
      </c>
      <c r="P3926" s="4" t="n"/>
      <c r="Q3926" s="87" t="n"/>
      <c r="R3926" s="5" t="n">
        <v>30</v>
      </c>
      <c r="S3926" s="2" t="n">
        <v>1</v>
      </c>
      <c r="T3926" s="3" t="inlineStr">
        <is>
          <t>CA42796IR</t>
        </is>
      </c>
      <c r="U3926" s="87" t="n">
        <v>46041</v>
      </c>
      <c r="V3926" s="3" t="inlineStr">
        <is>
          <t>1</t>
        </is>
      </c>
      <c r="W3926" s="108" t="n">
        <v>46041</v>
      </c>
      <c r="X3926" s="4" t="inlineStr">
        <is>
          <t>PHILIPPOS COSTANTINIDES TRADING CO. LTD</t>
        </is>
      </c>
    </row>
    <row r="3927" ht="24" customHeight="1">
      <c r="A3927" s="2">
        <f>+D3927-S3927</f>
        <v/>
      </c>
      <c r="B3927" s="126" t="n">
        <v>5515</v>
      </c>
      <c r="C3927" s="66" t="n">
        <v>46041</v>
      </c>
      <c r="D3927" s="2" t="n">
        <v>1</v>
      </c>
      <c r="E3927" s="3" t="inlineStr">
        <is>
          <t>FUCILE SEMIAUTOMATICO</t>
        </is>
      </c>
      <c r="F3927" s="96" t="inlineStr">
        <is>
          <t>12</t>
        </is>
      </c>
      <c r="G3927" s="96" t="inlineStr">
        <is>
          <t>FABARM</t>
        </is>
      </c>
      <c r="H3927" s="107" t="inlineStr">
        <is>
          <t>EURO 3</t>
        </is>
      </c>
      <c r="I3927" s="65" t="n">
        <v>377608</v>
      </c>
      <c r="J3927" s="65" t="n">
        <v>978106</v>
      </c>
      <c r="K3927" s="65" t="inlineStr">
        <is>
          <t>N/D</t>
        </is>
      </c>
      <c r="L3927" s="127" t="inlineStr">
        <is>
          <t>ANTONIONI SPORT CACCIA E PESCA SRLS</t>
        </is>
      </c>
      <c r="M3927" s="5" t="n">
        <v>25.747</v>
      </c>
      <c r="N3927" s="5" t="n"/>
      <c r="O3927" s="5">
        <f>+M3927+N3927</f>
        <v/>
      </c>
      <c r="P3927" s="4" t="n"/>
      <c r="Q3927" s="87" t="n"/>
      <c r="R3927" s="5" t="n">
        <v>30</v>
      </c>
      <c r="S3927" s="2" t="n">
        <v>1</v>
      </c>
      <c r="T3927" s="3" t="inlineStr">
        <is>
          <t>CA42796IR</t>
        </is>
      </c>
      <c r="U3927" s="87" t="n">
        <v>46041</v>
      </c>
      <c r="V3927" s="3" t="inlineStr">
        <is>
          <t>1</t>
        </is>
      </c>
      <c r="W3927" s="108" t="n">
        <v>46041</v>
      </c>
      <c r="X3927" s="4" t="inlineStr">
        <is>
          <t>PHILIPPOS COSTANTINIDES TRADING CO. LTD</t>
        </is>
      </c>
    </row>
    <row r="3928" ht="24" customHeight="1">
      <c r="A3928" s="2">
        <f>+D3928-S3928</f>
        <v/>
      </c>
      <c r="B3928" s="126" t="n">
        <v>5516</v>
      </c>
      <c r="C3928" s="66" t="n">
        <v>46041</v>
      </c>
      <c r="D3928" s="2" t="n">
        <v>1</v>
      </c>
      <c r="E3928" s="3" t="inlineStr">
        <is>
          <t>FUCILE SEMIAUTOMATICO</t>
        </is>
      </c>
      <c r="F3928" s="96" t="inlineStr">
        <is>
          <t>12</t>
        </is>
      </c>
      <c r="G3928" s="96" t="inlineStr">
        <is>
          <t>FABARM</t>
        </is>
      </c>
      <c r="H3928" s="107" t="inlineStr">
        <is>
          <t>EURO 3 LUX</t>
        </is>
      </c>
      <c r="I3928" s="65" t="n">
        <v>372845</v>
      </c>
      <c r="J3928" s="65" t="n">
        <v>972858</v>
      </c>
      <c r="K3928" s="65" t="inlineStr">
        <is>
          <t>N/D</t>
        </is>
      </c>
      <c r="L3928" s="127" t="inlineStr">
        <is>
          <t>ANTONIONI SPORT CACCIA E PESCA SRLS</t>
        </is>
      </c>
      <c r="M3928" s="5" t="n">
        <v>25.747</v>
      </c>
      <c r="N3928" s="5" t="n"/>
      <c r="O3928" s="5">
        <f>+M3928+N3928</f>
        <v/>
      </c>
      <c r="P3928" s="4" t="n"/>
      <c r="Q3928" s="87" t="n"/>
      <c r="R3928" s="5" t="n">
        <v>30</v>
      </c>
      <c r="S3928" s="2" t="n">
        <v>1</v>
      </c>
      <c r="T3928" s="3" t="inlineStr">
        <is>
          <t>CA42796IR</t>
        </is>
      </c>
      <c r="U3928" s="87" t="n">
        <v>46041</v>
      </c>
      <c r="V3928" s="3" t="inlineStr">
        <is>
          <t>1</t>
        </is>
      </c>
      <c r="W3928" s="108" t="n">
        <v>46041</v>
      </c>
      <c r="X3928" s="4" t="inlineStr">
        <is>
          <t>PHILIPPOS COSTANTINIDES TRADING CO. LTD</t>
        </is>
      </c>
    </row>
    <row r="3929" ht="24" customHeight="1">
      <c r="A3929" s="2">
        <f>+D3929-S3929</f>
        <v/>
      </c>
      <c r="B3929" s="126" t="n">
        <v>5517</v>
      </c>
      <c r="C3929" s="66" t="n">
        <v>46041</v>
      </c>
      <c r="D3929" s="2" t="n">
        <v>1</v>
      </c>
      <c r="E3929" s="3" t="inlineStr">
        <is>
          <t>FUCILE SEMIAUTOMATICO</t>
        </is>
      </c>
      <c r="F3929" s="96" t="inlineStr">
        <is>
          <t>12</t>
        </is>
      </c>
      <c r="G3929" s="96" t="inlineStr">
        <is>
          <t>FRANCHI</t>
        </is>
      </c>
      <c r="H3929" s="107" t="n">
        <v>500</v>
      </c>
      <c r="I3929" s="65" t="inlineStr">
        <is>
          <t>R08371</t>
        </is>
      </c>
      <c r="J3929" s="65" t="inlineStr">
        <is>
          <t>FLL0318</t>
        </is>
      </c>
      <c r="K3929" s="65" t="inlineStr">
        <is>
          <t>N/D</t>
        </is>
      </c>
      <c r="L3929" s="127" t="inlineStr">
        <is>
          <t>ANTONIONI SPORT CACCIA E PESCA SRLS</t>
        </is>
      </c>
      <c r="M3929" s="5" t="n">
        <v>25.747</v>
      </c>
      <c r="N3929" s="5" t="n"/>
      <c r="O3929" s="5">
        <f>+M3929+N3929</f>
        <v/>
      </c>
      <c r="P3929" s="4" t="n"/>
      <c r="Q3929" s="87" t="n"/>
      <c r="R3929" s="5" t="n">
        <v>30</v>
      </c>
      <c r="S3929" s="2" t="n">
        <v>1</v>
      </c>
      <c r="T3929" s="3" t="inlineStr">
        <is>
          <t>CA42796IR</t>
        </is>
      </c>
      <c r="U3929" s="87" t="n">
        <v>46041</v>
      </c>
      <c r="V3929" s="3" t="inlineStr">
        <is>
          <t>1</t>
        </is>
      </c>
      <c r="W3929" s="108" t="n">
        <v>46041</v>
      </c>
      <c r="X3929" s="4" t="inlineStr">
        <is>
          <t>PHILIPPOS COSTANTINIDES TRADING CO. LTD</t>
        </is>
      </c>
    </row>
    <row r="3930" ht="24" customHeight="1">
      <c r="A3930" s="2">
        <f>+D3930-S3930</f>
        <v/>
      </c>
      <c r="B3930" s="126" t="n">
        <v>5518</v>
      </c>
      <c r="C3930" s="66" t="n">
        <v>46041</v>
      </c>
      <c r="D3930" s="2" t="n">
        <v>1</v>
      </c>
      <c r="E3930" s="3" t="inlineStr">
        <is>
          <t>FUCILE SEMIAUTOMATICO</t>
        </is>
      </c>
      <c r="F3930" s="96" t="inlineStr">
        <is>
          <t>12</t>
        </is>
      </c>
      <c r="G3930" s="96" t="inlineStr">
        <is>
          <t>FABARM</t>
        </is>
      </c>
      <c r="H3930" s="107" t="inlineStr">
        <is>
          <t>CACCIA</t>
        </is>
      </c>
      <c r="I3930" s="65" t="n">
        <v>474702</v>
      </c>
      <c r="J3930" s="65" t="n">
        <v>732606</v>
      </c>
      <c r="K3930" s="65" t="inlineStr">
        <is>
          <t>N/D</t>
        </is>
      </c>
      <c r="L3930" s="127" t="inlineStr">
        <is>
          <t>ANTONIONI SPORT CACCIA E PESCA SRLS</t>
        </is>
      </c>
      <c r="M3930" s="5" t="n">
        <v>25.747</v>
      </c>
      <c r="N3930" s="5" t="n"/>
      <c r="O3930" s="5">
        <f>+M3930+N3930</f>
        <v/>
      </c>
      <c r="P3930" s="4" t="n"/>
      <c r="Q3930" s="87" t="n"/>
      <c r="R3930" s="5" t="n">
        <v>30</v>
      </c>
      <c r="S3930" s="2" t="n">
        <v>1</v>
      </c>
      <c r="T3930" s="3" t="inlineStr">
        <is>
          <t>CA42796IR</t>
        </is>
      </c>
      <c r="U3930" s="87" t="n">
        <v>46041</v>
      </c>
      <c r="V3930" s="3" t="inlineStr">
        <is>
          <t>1</t>
        </is>
      </c>
      <c r="W3930" s="108" t="n">
        <v>46041</v>
      </c>
      <c r="X3930" s="4" t="inlineStr">
        <is>
          <t>PHILIPPOS COSTANTINIDES TRADING CO. LTD</t>
        </is>
      </c>
    </row>
    <row r="3931" ht="24" customHeight="1">
      <c r="A3931" s="2">
        <f>+D3931-S3931</f>
        <v/>
      </c>
      <c r="B3931" s="126" t="n">
        <v>5519</v>
      </c>
      <c r="C3931" s="66" t="n">
        <v>46041</v>
      </c>
      <c r="D3931" s="2" t="n">
        <v>1</v>
      </c>
      <c r="E3931" s="3" t="inlineStr">
        <is>
          <t>FUCILE SEMIAUTOMATICO</t>
        </is>
      </c>
      <c r="F3931" s="96" t="inlineStr">
        <is>
          <t>12</t>
        </is>
      </c>
      <c r="G3931" s="96" t="inlineStr">
        <is>
          <t>FRANCHI</t>
        </is>
      </c>
      <c r="H3931" s="107" t="inlineStr">
        <is>
          <t>GRIFONE</t>
        </is>
      </c>
      <c r="I3931" s="65" t="inlineStr">
        <is>
          <t>AH62224</t>
        </is>
      </c>
      <c r="J3931" s="65" t="inlineStr">
        <is>
          <t>FP44464</t>
        </is>
      </c>
      <c r="K3931" s="65" t="inlineStr">
        <is>
          <t>N/D</t>
        </is>
      </c>
      <c r="L3931" s="127" t="inlineStr">
        <is>
          <t>ANTONIONI SPORT CACCIA E PESCA SRLS</t>
        </is>
      </c>
      <c r="M3931" s="5" t="n">
        <v>25.747</v>
      </c>
      <c r="N3931" s="5" t="n"/>
      <c r="O3931" s="5">
        <f>+M3931+N3931</f>
        <v/>
      </c>
      <c r="P3931" s="4" t="n"/>
      <c r="Q3931" s="87" t="n"/>
      <c r="R3931" s="5" t="n">
        <v>30</v>
      </c>
      <c r="S3931" s="2" t="n">
        <v>1</v>
      </c>
      <c r="T3931" s="3" t="inlineStr">
        <is>
          <t>CA42796IR</t>
        </is>
      </c>
      <c r="U3931" s="87" t="n">
        <v>46041</v>
      </c>
      <c r="V3931" s="3" t="inlineStr">
        <is>
          <t>1</t>
        </is>
      </c>
      <c r="W3931" s="108" t="n">
        <v>46041</v>
      </c>
      <c r="X3931" s="4" t="inlineStr">
        <is>
          <t>PHILIPPOS COSTANTINIDES TRADING CO. LTD</t>
        </is>
      </c>
    </row>
    <row r="3932" ht="24" customHeight="1">
      <c r="A3932" s="2">
        <f>+D3932-S3932</f>
        <v/>
      </c>
      <c r="B3932" s="126" t="n">
        <v>5520</v>
      </c>
      <c r="C3932" s="66" t="n">
        <v>46041</v>
      </c>
      <c r="D3932" s="2" t="n">
        <v>1</v>
      </c>
      <c r="E3932" s="3" t="inlineStr">
        <is>
          <t>FUCILE SEMIAUTOMATICO</t>
        </is>
      </c>
      <c r="F3932" s="96" t="inlineStr">
        <is>
          <t>12</t>
        </is>
      </c>
      <c r="G3932" s="96" t="inlineStr">
        <is>
          <t>FRANCHI</t>
        </is>
      </c>
      <c r="H3932" s="107" t="n">
        <v>500</v>
      </c>
      <c r="I3932" s="65" t="inlineStr">
        <is>
          <t>R04259</t>
        </is>
      </c>
      <c r="J3932" s="65" t="inlineStr">
        <is>
          <t>FHL1927</t>
        </is>
      </c>
      <c r="K3932" s="65" t="inlineStr">
        <is>
          <t>N/D</t>
        </is>
      </c>
      <c r="L3932" s="127" t="inlineStr">
        <is>
          <t>ANTONIONI SPORT CACCIA E PESCA SRLS</t>
        </is>
      </c>
      <c r="M3932" s="5" t="n">
        <v>25.747</v>
      </c>
      <c r="N3932" s="5" t="n"/>
      <c r="O3932" s="5">
        <f>+M3932+N3932</f>
        <v/>
      </c>
      <c r="P3932" s="4" t="n"/>
      <c r="Q3932" s="87" t="n"/>
      <c r="R3932" s="5" t="n">
        <v>30</v>
      </c>
      <c r="S3932" s="2" t="n">
        <v>1</v>
      </c>
      <c r="T3932" s="3" t="inlineStr">
        <is>
          <t>CA42796IR</t>
        </is>
      </c>
      <c r="U3932" s="87" t="n">
        <v>46041</v>
      </c>
      <c r="V3932" s="3" t="inlineStr">
        <is>
          <t>1</t>
        </is>
      </c>
      <c r="W3932" s="108" t="n">
        <v>46041</v>
      </c>
      <c r="X3932" s="4" t="inlineStr">
        <is>
          <t>PHILIPPOS COSTANTINIDES TRADING CO. LTD</t>
        </is>
      </c>
    </row>
    <row r="3933" ht="24" customHeight="1">
      <c r="A3933" s="2">
        <f>+D3933-S3933</f>
        <v/>
      </c>
      <c r="B3933" s="126" t="n">
        <v>5521</v>
      </c>
      <c r="C3933" s="66" t="n">
        <v>46041</v>
      </c>
      <c r="D3933" s="2" t="n">
        <v>1</v>
      </c>
      <c r="E3933" s="3" t="inlineStr">
        <is>
          <t>FUCILE SEMIAUTOMATICO</t>
        </is>
      </c>
      <c r="F3933" s="96" t="inlineStr">
        <is>
          <t>20</t>
        </is>
      </c>
      <c r="G3933" s="96" t="inlineStr">
        <is>
          <t>HATSAN</t>
        </is>
      </c>
      <c r="H3933" s="107" t="inlineStr">
        <is>
          <t>OPTIMA</t>
        </is>
      </c>
      <c r="I3933" s="65" t="n">
        <v>101416</v>
      </c>
      <c r="J3933" s="65" t="n">
        <v>101416</v>
      </c>
      <c r="K3933" s="65" t="inlineStr">
        <is>
          <t>N/D</t>
        </is>
      </c>
      <c r="L3933" s="127" t="inlineStr">
        <is>
          <t>ANTONIONI SPORT CACCIA E PESCA SRLS</t>
        </is>
      </c>
      <c r="M3933" s="5" t="n">
        <v>25.747</v>
      </c>
      <c r="N3933" s="5" t="n"/>
      <c r="O3933" s="5">
        <f>+M3933+N3933</f>
        <v/>
      </c>
      <c r="P3933" s="4" t="n"/>
      <c r="Q3933" s="87" t="n"/>
      <c r="R3933" s="5" t="n">
        <v>30</v>
      </c>
      <c r="S3933" s="2" t="n">
        <v>1</v>
      </c>
      <c r="T3933" s="3" t="inlineStr">
        <is>
          <t>CA42796IR</t>
        </is>
      </c>
      <c r="U3933" s="87" t="n">
        <v>46041</v>
      </c>
      <c r="V3933" s="3" t="inlineStr">
        <is>
          <t>1</t>
        </is>
      </c>
      <c r="W3933" s="108" t="n">
        <v>46041</v>
      </c>
      <c r="X3933" s="4" t="inlineStr">
        <is>
          <t>PHILIPPOS COSTANTINIDES TRADING CO. LTD</t>
        </is>
      </c>
    </row>
    <row r="3934" ht="24" customHeight="1">
      <c r="A3934" s="2">
        <f>+D3934-S3934</f>
        <v/>
      </c>
      <c r="B3934" s="126" t="n">
        <v>5522</v>
      </c>
      <c r="C3934" s="66" t="n">
        <v>46041</v>
      </c>
      <c r="D3934" s="2" t="n">
        <v>1</v>
      </c>
      <c r="E3934" s="3" t="inlineStr">
        <is>
          <t>FUCILE SEMIAUTOMATICO</t>
        </is>
      </c>
      <c r="F3934" s="96" t="inlineStr">
        <is>
          <t>20</t>
        </is>
      </c>
      <c r="G3934" s="96" t="inlineStr">
        <is>
          <t>HATSAN</t>
        </is>
      </c>
      <c r="H3934" s="107" t="inlineStr">
        <is>
          <t>OPTIMA</t>
        </is>
      </c>
      <c r="I3934" s="65" t="n">
        <v>101413</v>
      </c>
      <c r="J3934" s="65" t="n">
        <v>101413</v>
      </c>
      <c r="K3934" s="65" t="inlineStr">
        <is>
          <t>N/D</t>
        </is>
      </c>
      <c r="L3934" s="127" t="inlineStr">
        <is>
          <t>ANTONIONI SPORT CACCIA E PESCA SRLS</t>
        </is>
      </c>
      <c r="M3934" s="5" t="n">
        <v>25.747</v>
      </c>
      <c r="N3934" s="5" t="n"/>
      <c r="O3934" s="5">
        <f>+M3934+N3934</f>
        <v/>
      </c>
      <c r="P3934" s="4" t="n"/>
      <c r="Q3934" s="87" t="n"/>
      <c r="R3934" s="5" t="n">
        <v>30</v>
      </c>
      <c r="S3934" s="2" t="n">
        <v>1</v>
      </c>
      <c r="T3934" s="3" t="inlineStr">
        <is>
          <t>CA42796IR</t>
        </is>
      </c>
      <c r="U3934" s="87" t="n">
        <v>46041</v>
      </c>
      <c r="V3934" s="3" t="inlineStr">
        <is>
          <t>1</t>
        </is>
      </c>
      <c r="W3934" s="108" t="n">
        <v>46041</v>
      </c>
      <c r="X3934" s="4" t="inlineStr">
        <is>
          <t>PHILIPPOS COSTANTINIDES TRADING CO. LTD</t>
        </is>
      </c>
    </row>
    <row r="3935" ht="24" customHeight="1">
      <c r="A3935" s="2">
        <f>+D3935-S3935</f>
        <v/>
      </c>
      <c r="B3935" s="126" t="n">
        <v>5523</v>
      </c>
      <c r="C3935" s="66" t="n">
        <v>46041</v>
      </c>
      <c r="D3935" s="2" t="n">
        <v>1</v>
      </c>
      <c r="E3935" s="3" t="inlineStr">
        <is>
          <t>FUCILE SEMIAUTOMATICO</t>
        </is>
      </c>
      <c r="F3935" s="96" t="inlineStr">
        <is>
          <t>12</t>
        </is>
      </c>
      <c r="G3935" s="96" t="inlineStr">
        <is>
          <t>FRANCHI</t>
        </is>
      </c>
      <c r="H3935" s="107" t="n">
        <v>500</v>
      </c>
      <c r="I3935" s="65" t="inlineStr">
        <is>
          <t>R14068</t>
        </is>
      </c>
      <c r="J3935" s="65" t="inlineStr">
        <is>
          <t>FGL3386</t>
        </is>
      </c>
      <c r="K3935" s="65" t="inlineStr">
        <is>
          <t>N/D</t>
        </is>
      </c>
      <c r="L3935" s="127" t="inlineStr">
        <is>
          <t>ANTONIONI SPORT CACCIA E PESCA SRLS</t>
        </is>
      </c>
      <c r="M3935" s="5" t="n">
        <v>25.747</v>
      </c>
      <c r="N3935" s="5" t="n"/>
      <c r="O3935" s="5">
        <f>+M3935+N3935</f>
        <v/>
      </c>
      <c r="P3935" s="4" t="n"/>
      <c r="Q3935" s="87" t="n"/>
      <c r="R3935" s="5" t="n">
        <v>30</v>
      </c>
      <c r="S3935" s="2" t="n">
        <v>1</v>
      </c>
      <c r="T3935" s="3" t="inlineStr">
        <is>
          <t>CA42796IR</t>
        </is>
      </c>
      <c r="U3935" s="87" t="n">
        <v>46041</v>
      </c>
      <c r="V3935" s="3" t="inlineStr">
        <is>
          <t>1</t>
        </is>
      </c>
      <c r="W3935" s="108" t="n">
        <v>46041</v>
      </c>
      <c r="X3935" s="4" t="inlineStr">
        <is>
          <t>PHILIPPOS COSTANTINIDES TRADING CO. LTD</t>
        </is>
      </c>
    </row>
    <row r="3936" ht="24" customHeight="1">
      <c r="A3936" s="2">
        <f>+D3936-S3936</f>
        <v/>
      </c>
      <c r="B3936" s="126" t="n">
        <v>5524</v>
      </c>
      <c r="C3936" s="66" t="n">
        <v>46041</v>
      </c>
      <c r="D3936" s="2" t="n">
        <v>1</v>
      </c>
      <c r="E3936" s="3" t="inlineStr">
        <is>
          <t>FUCILE SEMIAUTOMATICO</t>
        </is>
      </c>
      <c r="F3936" s="96" t="inlineStr">
        <is>
          <t>12</t>
        </is>
      </c>
      <c r="G3936" s="96" t="inlineStr">
        <is>
          <t>WINCHESTER</t>
        </is>
      </c>
      <c r="H3936" s="107" t="inlineStr">
        <is>
          <t>SX3</t>
        </is>
      </c>
      <c r="I3936" s="65" t="inlineStr">
        <is>
          <t>11HMR02800</t>
        </is>
      </c>
      <c r="J3936" s="65" t="inlineStr">
        <is>
          <t>11HMR02800</t>
        </is>
      </c>
      <c r="K3936" s="65" t="inlineStr">
        <is>
          <t>N/D</t>
        </is>
      </c>
      <c r="L3936" s="127" t="inlineStr">
        <is>
          <t>ANTONIONI SPORT CACCIA E PESCA SRLS</t>
        </is>
      </c>
      <c r="M3936" s="5" t="n">
        <v>25.747</v>
      </c>
      <c r="N3936" s="5" t="n"/>
      <c r="O3936" s="5">
        <f>+M3936+N3936</f>
        <v/>
      </c>
      <c r="P3936" s="4" t="n"/>
      <c r="Q3936" s="87" t="n"/>
      <c r="R3936" s="5" t="n">
        <v>30</v>
      </c>
      <c r="S3936" s="2" t="n">
        <v>1</v>
      </c>
      <c r="T3936" s="3" t="inlineStr">
        <is>
          <t>CA42796IR</t>
        </is>
      </c>
      <c r="U3936" s="87" t="n">
        <v>46041</v>
      </c>
      <c r="V3936" s="3" t="inlineStr">
        <is>
          <t>1</t>
        </is>
      </c>
      <c r="W3936" s="108" t="n">
        <v>46041</v>
      </c>
      <c r="X3936" s="4" t="inlineStr">
        <is>
          <t>PHILIPPOS COSTANTINIDES TRADING CO. LTD</t>
        </is>
      </c>
    </row>
    <row r="3937" ht="24" customHeight="1">
      <c r="A3937" s="2">
        <f>+D3937-S3937</f>
        <v/>
      </c>
      <c r="B3937" s="126" t="n">
        <v>5525</v>
      </c>
      <c r="C3937" s="66" t="n">
        <v>46041</v>
      </c>
      <c r="D3937" s="2" t="n">
        <v>1</v>
      </c>
      <c r="E3937" s="3" t="inlineStr">
        <is>
          <t>FUCILE SEMIAUTOMATICO</t>
        </is>
      </c>
      <c r="F3937" s="96" t="inlineStr">
        <is>
          <t>12</t>
        </is>
      </c>
      <c r="G3937" s="96" t="inlineStr">
        <is>
          <t>WINCHESTER</t>
        </is>
      </c>
      <c r="H3937" s="107" t="inlineStr">
        <is>
          <t>EUROPEAN 1500 XTR</t>
        </is>
      </c>
      <c r="I3937" s="65" t="inlineStr">
        <is>
          <t>NE003656</t>
        </is>
      </c>
      <c r="J3937" s="65" t="n">
        <v>50668</v>
      </c>
      <c r="K3937" s="65" t="inlineStr">
        <is>
          <t>N/D</t>
        </is>
      </c>
      <c r="L3937" s="127" t="inlineStr">
        <is>
          <t>ANTONIONI SPORT CACCIA E PESCA SRLS</t>
        </is>
      </c>
      <c r="M3937" s="5" t="n">
        <v>25.747</v>
      </c>
      <c r="N3937" s="5" t="n"/>
      <c r="O3937" s="5">
        <f>+M3937+N3937</f>
        <v/>
      </c>
      <c r="P3937" s="4" t="n"/>
      <c r="Q3937" s="87" t="n"/>
      <c r="R3937" s="5" t="n">
        <v>30</v>
      </c>
      <c r="S3937" s="2" t="n">
        <v>1</v>
      </c>
      <c r="T3937" s="3" t="inlineStr">
        <is>
          <t>CA42796IR</t>
        </is>
      </c>
      <c r="U3937" s="87" t="n">
        <v>46041</v>
      </c>
      <c r="V3937" s="3" t="inlineStr">
        <is>
          <t>1</t>
        </is>
      </c>
      <c r="W3937" s="108" t="n">
        <v>46041</v>
      </c>
      <c r="X3937" s="4" t="inlineStr">
        <is>
          <t>PHILIPPOS COSTANTINIDES TRADING CO. LTD</t>
        </is>
      </c>
    </row>
    <row r="3938" ht="24" customHeight="1">
      <c r="A3938" s="2">
        <f>+D3938-S3938</f>
        <v/>
      </c>
      <c r="B3938" s="126" t="n">
        <v>5526</v>
      </c>
      <c r="C3938" s="66" t="n">
        <v>46041</v>
      </c>
      <c r="D3938" s="2" t="n">
        <v>1</v>
      </c>
      <c r="E3938" s="3" t="inlineStr">
        <is>
          <t>FUCILE SEMIAUTOMATICO</t>
        </is>
      </c>
      <c r="F3938" s="96" t="inlineStr">
        <is>
          <t>12</t>
        </is>
      </c>
      <c r="G3938" s="96" t="inlineStr">
        <is>
          <t>FRANCHI</t>
        </is>
      </c>
      <c r="H3938" s="107" t="inlineStr">
        <is>
          <t>PRESTIGE</t>
        </is>
      </c>
      <c r="I3938" s="65" t="inlineStr">
        <is>
          <t>S77565</t>
        </is>
      </c>
      <c r="J3938" s="65" t="inlineStr">
        <is>
          <t>NLL0405</t>
        </is>
      </c>
      <c r="K3938" s="65" t="inlineStr">
        <is>
          <t>N/D</t>
        </is>
      </c>
      <c r="L3938" s="127" t="inlineStr">
        <is>
          <t>ANTONIONI SPORT CACCIA E PESCA SRLS</t>
        </is>
      </c>
      <c r="M3938" s="5" t="n">
        <v>25.747</v>
      </c>
      <c r="N3938" s="5" t="n"/>
      <c r="O3938" s="5">
        <f>+M3938+N3938</f>
        <v/>
      </c>
      <c r="P3938" s="4" t="n"/>
      <c r="Q3938" s="87" t="n"/>
      <c r="R3938" s="5" t="n">
        <v>30</v>
      </c>
      <c r="S3938" s="2" t="n">
        <v>1</v>
      </c>
      <c r="T3938" s="3" t="inlineStr">
        <is>
          <t>CA42796IR</t>
        </is>
      </c>
      <c r="U3938" s="87" t="n">
        <v>46041</v>
      </c>
      <c r="V3938" s="3" t="inlineStr">
        <is>
          <t>1</t>
        </is>
      </c>
      <c r="W3938" s="108" t="n">
        <v>46041</v>
      </c>
      <c r="X3938" s="4" t="inlineStr">
        <is>
          <t>PHILIPPOS COSTANTINIDES TRADING CO. LTD</t>
        </is>
      </c>
    </row>
    <row r="3939" ht="24" customHeight="1">
      <c r="A3939" s="2">
        <f>+D3939-S3939</f>
        <v/>
      </c>
      <c r="B3939" s="126" t="n">
        <v>5527</v>
      </c>
      <c r="C3939" s="66" t="n">
        <v>46041</v>
      </c>
      <c r="D3939" s="2" t="n">
        <v>1</v>
      </c>
      <c r="E3939" s="3" t="inlineStr">
        <is>
          <t>FUCILE SEMIAUTOMATICO</t>
        </is>
      </c>
      <c r="F3939" s="96" t="inlineStr">
        <is>
          <t>12</t>
        </is>
      </c>
      <c r="G3939" s="96" t="inlineStr">
        <is>
          <t>BREDA</t>
        </is>
      </c>
      <c r="H3939" s="107" t="inlineStr">
        <is>
          <t>L.R.</t>
        </is>
      </c>
      <c r="I3939" s="65" t="inlineStr">
        <is>
          <t>SL590967</t>
        </is>
      </c>
      <c r="J3939" s="65" t="inlineStr">
        <is>
          <t>BV230163</t>
        </is>
      </c>
      <c r="K3939" s="65" t="inlineStr">
        <is>
          <t>N/D</t>
        </is>
      </c>
      <c r="L3939" s="127" t="inlineStr">
        <is>
          <t>ANTONIONI SPORT CACCIA E PESCA SRLS</t>
        </is>
      </c>
      <c r="M3939" s="5" t="n">
        <v>25.747</v>
      </c>
      <c r="N3939" s="5" t="n"/>
      <c r="O3939" s="5">
        <f>+M3939+N3939</f>
        <v/>
      </c>
      <c r="P3939" s="4" t="n"/>
      <c r="Q3939" s="87" t="n"/>
      <c r="R3939" s="5" t="n">
        <v>30</v>
      </c>
      <c r="S3939" s="2" t="n">
        <v>1</v>
      </c>
      <c r="T3939" s="3" t="inlineStr">
        <is>
          <t>CA42796IR</t>
        </is>
      </c>
      <c r="U3939" s="87" t="n">
        <v>46041</v>
      </c>
      <c r="V3939" s="3" t="inlineStr">
        <is>
          <t>1</t>
        </is>
      </c>
      <c r="W3939" s="108" t="n">
        <v>46041</v>
      </c>
      <c r="X3939" s="4" t="inlineStr">
        <is>
          <t>PHILIPPOS COSTANTINIDES TRADING CO. LTD</t>
        </is>
      </c>
    </row>
    <row r="3940" ht="24" customHeight="1">
      <c r="A3940" s="2">
        <f>+D3940-S3940</f>
        <v/>
      </c>
      <c r="B3940" s="126" t="n">
        <v>5528</v>
      </c>
      <c r="C3940" s="66" t="n">
        <v>46041</v>
      </c>
      <c r="D3940" s="2" t="n">
        <v>1</v>
      </c>
      <c r="E3940" s="3" t="inlineStr">
        <is>
          <t>FUCILE SEMIAUTOMATICO</t>
        </is>
      </c>
      <c r="F3940" s="96" t="inlineStr">
        <is>
          <t>12</t>
        </is>
      </c>
      <c r="G3940" s="96" t="inlineStr">
        <is>
          <t>FRANCHI</t>
        </is>
      </c>
      <c r="H3940" s="107" t="inlineStr">
        <is>
          <t>48AL</t>
        </is>
      </c>
      <c r="I3940" s="65" t="inlineStr">
        <is>
          <t>B39224</t>
        </is>
      </c>
      <c r="J3940" s="65" t="n">
        <v>907375</v>
      </c>
      <c r="K3940" s="65" t="inlineStr">
        <is>
          <t>N/D</t>
        </is>
      </c>
      <c r="L3940" s="127" t="inlineStr">
        <is>
          <t>ANTONIONI SPORT CACCIA E PESCA SRLS</t>
        </is>
      </c>
      <c r="M3940" s="5" t="n">
        <v>25.747</v>
      </c>
      <c r="N3940" s="5" t="n"/>
      <c r="O3940" s="5">
        <f>+M3940+N3940</f>
        <v/>
      </c>
      <c r="P3940" s="4" t="n"/>
      <c r="Q3940" s="87" t="n"/>
      <c r="R3940" s="5" t="n">
        <v>30</v>
      </c>
      <c r="S3940" s="2" t="n">
        <v>1</v>
      </c>
      <c r="T3940" s="3" t="inlineStr">
        <is>
          <t>CA42796IR</t>
        </is>
      </c>
      <c r="U3940" s="87" t="n">
        <v>46041</v>
      </c>
      <c r="V3940" s="3" t="inlineStr">
        <is>
          <t>1</t>
        </is>
      </c>
      <c r="W3940" s="108" t="n">
        <v>46041</v>
      </c>
      <c r="X3940" s="4" t="inlineStr">
        <is>
          <t>PHILIPPOS COSTANTINIDES TRADING CO. LTD</t>
        </is>
      </c>
    </row>
    <row r="3941" ht="24" customHeight="1">
      <c r="A3941" s="2">
        <f>+D3941-S3941</f>
        <v/>
      </c>
      <c r="B3941" s="126" t="n">
        <v>5529</v>
      </c>
      <c r="C3941" s="66" t="n">
        <v>46041</v>
      </c>
      <c r="D3941" s="2" t="n">
        <v>1</v>
      </c>
      <c r="E3941" s="3" t="inlineStr">
        <is>
          <t>FUCILE SEMIAUTOMATICO</t>
        </is>
      </c>
      <c r="F3941" s="96" t="inlineStr">
        <is>
          <t>12</t>
        </is>
      </c>
      <c r="G3941" s="96" t="inlineStr">
        <is>
          <t>FRANCHI</t>
        </is>
      </c>
      <c r="H3941" s="107" t="inlineStr">
        <is>
          <t>48AL</t>
        </is>
      </c>
      <c r="I3941" s="65" t="inlineStr">
        <is>
          <t>B74673</t>
        </is>
      </c>
      <c r="J3941" s="65" t="inlineStr">
        <is>
          <t>AKA2433</t>
        </is>
      </c>
      <c r="K3941" s="65" t="inlineStr">
        <is>
          <t>N/D</t>
        </is>
      </c>
      <c r="L3941" s="127" t="inlineStr">
        <is>
          <t>ANTONIONI SPORT CACCIA E PESCA SRLS</t>
        </is>
      </c>
      <c r="M3941" s="5" t="n">
        <v>25.747</v>
      </c>
      <c r="N3941" s="5" t="n"/>
      <c r="O3941" s="5">
        <f>+M3941+N3941</f>
        <v/>
      </c>
      <c r="P3941" s="4" t="n"/>
      <c r="Q3941" s="87" t="n"/>
      <c r="R3941" s="5" t="n">
        <v>30</v>
      </c>
      <c r="S3941" s="2" t="n">
        <v>1</v>
      </c>
      <c r="T3941" s="3" t="inlineStr">
        <is>
          <t>CA42796IR</t>
        </is>
      </c>
      <c r="U3941" s="87" t="n">
        <v>46041</v>
      </c>
      <c r="V3941" s="3" t="inlineStr">
        <is>
          <t>1</t>
        </is>
      </c>
      <c r="W3941" s="108" t="n">
        <v>46041</v>
      </c>
      <c r="X3941" s="4" t="inlineStr">
        <is>
          <t>PHILIPPOS COSTANTINIDES TRADING CO. LTD</t>
        </is>
      </c>
    </row>
    <row r="3942" ht="24" customHeight="1">
      <c r="A3942" s="2">
        <f>+D3942-S3942</f>
        <v/>
      </c>
      <c r="B3942" s="126" t="n">
        <v>5530</v>
      </c>
      <c r="C3942" s="66" t="n">
        <v>46041</v>
      </c>
      <c r="D3942" s="2" t="n">
        <v>1</v>
      </c>
      <c r="E3942" s="3" t="inlineStr">
        <is>
          <t>FUCILE SEMIAUTOMATICO</t>
        </is>
      </c>
      <c r="F3942" s="96" t="inlineStr">
        <is>
          <t>12</t>
        </is>
      </c>
      <c r="G3942" s="96" t="inlineStr">
        <is>
          <t>BERETTA</t>
        </is>
      </c>
      <c r="H3942" s="107" t="inlineStr">
        <is>
          <t>A303</t>
        </is>
      </c>
      <c r="I3942" s="65" t="inlineStr">
        <is>
          <t>M02480E</t>
        </is>
      </c>
      <c r="J3942" s="65" t="inlineStr">
        <is>
          <t>G93846F</t>
        </is>
      </c>
      <c r="K3942" s="65" t="inlineStr">
        <is>
          <t>N/D</t>
        </is>
      </c>
      <c r="L3942" s="127" t="inlineStr">
        <is>
          <t>ANTONIONI SPORT CACCIA E PESCA SRLS</t>
        </is>
      </c>
      <c r="M3942" s="5" t="n">
        <v>25.747</v>
      </c>
      <c r="N3942" s="5" t="n"/>
      <c r="O3942" s="5">
        <f>+M3942+N3942</f>
        <v/>
      </c>
      <c r="P3942" s="4" t="n"/>
      <c r="Q3942" s="87" t="n"/>
      <c r="R3942" s="5" t="n">
        <v>30</v>
      </c>
      <c r="S3942" s="2" t="n">
        <v>1</v>
      </c>
      <c r="T3942" s="3" t="inlineStr">
        <is>
          <t>CA42796IR</t>
        </is>
      </c>
      <c r="U3942" s="87" t="n">
        <v>46041</v>
      </c>
      <c r="V3942" s="3" t="inlineStr">
        <is>
          <t>1</t>
        </is>
      </c>
      <c r="W3942" s="108" t="n">
        <v>46041</v>
      </c>
      <c r="X3942" s="4" t="inlineStr">
        <is>
          <t>PHILIPPOS COSTANTINIDES TRADING CO. LTD</t>
        </is>
      </c>
    </row>
    <row r="3943" ht="24" customHeight="1">
      <c r="A3943" s="2">
        <f>+D3943-S3943</f>
        <v/>
      </c>
      <c r="B3943" s="126" t="n">
        <v>5531</v>
      </c>
      <c r="C3943" s="66" t="n">
        <v>46041</v>
      </c>
      <c r="D3943" s="2" t="n">
        <v>1</v>
      </c>
      <c r="E3943" s="3" t="inlineStr">
        <is>
          <t>FUCILE SEMIAUTOMATICO</t>
        </is>
      </c>
      <c r="F3943" s="96" t="inlineStr">
        <is>
          <t>12</t>
        </is>
      </c>
      <c r="G3943" s="96" t="inlineStr">
        <is>
          <t>FRANCHI</t>
        </is>
      </c>
      <c r="H3943" s="107" t="inlineStr">
        <is>
          <t>48AL</t>
        </is>
      </c>
      <c r="I3943" s="65" t="inlineStr">
        <is>
          <t>A24209</t>
        </is>
      </c>
      <c r="J3943" s="65" t="n">
        <v>935646</v>
      </c>
      <c r="K3943" s="65" t="inlineStr">
        <is>
          <t>N/D</t>
        </is>
      </c>
      <c r="L3943" s="127" t="inlineStr">
        <is>
          <t>ANTONIONI SPORT CACCIA E PESCA SRLS</t>
        </is>
      </c>
      <c r="M3943" s="5" t="n">
        <v>25.747</v>
      </c>
      <c r="N3943" s="5" t="n"/>
      <c r="O3943" s="5">
        <f>+M3943+N3943</f>
        <v/>
      </c>
      <c r="P3943" s="4" t="n"/>
      <c r="Q3943" s="87" t="n"/>
      <c r="R3943" s="5" t="n">
        <v>30</v>
      </c>
      <c r="S3943" s="2" t="n">
        <v>1</v>
      </c>
      <c r="T3943" s="3" t="inlineStr">
        <is>
          <t>CA42796IR</t>
        </is>
      </c>
      <c r="U3943" s="87" t="n">
        <v>46041</v>
      </c>
      <c r="V3943" s="3" t="inlineStr">
        <is>
          <t>1</t>
        </is>
      </c>
      <c r="W3943" s="108" t="n">
        <v>46041</v>
      </c>
      <c r="X3943" s="4" t="inlineStr">
        <is>
          <t>PHILIPPOS COSTANTINIDES TRADING CO. LTD</t>
        </is>
      </c>
    </row>
    <row r="3944" ht="24" customHeight="1">
      <c r="A3944" s="2">
        <f>+D3944-S3944</f>
        <v/>
      </c>
      <c r="B3944" s="126" t="n">
        <v>5532</v>
      </c>
      <c r="C3944" s="66" t="n">
        <v>46041</v>
      </c>
      <c r="D3944" s="2" t="n">
        <v>1</v>
      </c>
      <c r="E3944" s="3" t="inlineStr">
        <is>
          <t>FUCILE MONOCANNA</t>
        </is>
      </c>
      <c r="F3944" s="96" t="inlineStr">
        <is>
          <t>6</t>
        </is>
      </c>
      <c r="G3944" s="96" t="inlineStr">
        <is>
          <t>POLI</t>
        </is>
      </c>
      <c r="H3944" s="107" t="inlineStr">
        <is>
          <t>CACCIA</t>
        </is>
      </c>
      <c r="I3944" s="65" t="inlineStr">
        <is>
          <t>B12732</t>
        </is>
      </c>
      <c r="J3944" s="65" t="inlineStr">
        <is>
          <t>N/D</t>
        </is>
      </c>
      <c r="K3944" s="65" t="inlineStr">
        <is>
          <t>N/D</t>
        </is>
      </c>
      <c r="L3944" s="127" t="inlineStr">
        <is>
          <t>ANTONIONI SPORT CACCIA E PESCA SRLS</t>
        </is>
      </c>
      <c r="M3944" s="5" t="n">
        <v>25.747</v>
      </c>
      <c r="N3944" s="5" t="n"/>
      <c r="O3944" s="5">
        <f>+M3944+N3944</f>
        <v/>
      </c>
      <c r="P3944" s="4" t="n"/>
      <c r="Q3944" s="87" t="n"/>
      <c r="R3944" s="5" t="n">
        <v>30</v>
      </c>
      <c r="S3944" s="2" t="n">
        <v>1</v>
      </c>
      <c r="T3944" s="3" t="inlineStr">
        <is>
          <t>CA42796IR</t>
        </is>
      </c>
      <c r="U3944" s="87" t="n">
        <v>46041</v>
      </c>
      <c r="V3944" s="3" t="inlineStr">
        <is>
          <t>1</t>
        </is>
      </c>
      <c r="W3944" s="108" t="n">
        <v>46041</v>
      </c>
      <c r="X3944" s="4" t="inlineStr">
        <is>
          <t>PHILIPPOS COSTANTINIDES TRADING CO. LTD</t>
        </is>
      </c>
    </row>
    <row r="3945" ht="24" customHeight="1">
      <c r="A3945" s="2">
        <f>+D3945-S3945</f>
        <v/>
      </c>
      <c r="B3945" s="126" t="n">
        <v>5533</v>
      </c>
      <c r="C3945" s="66" t="n">
        <v>46041</v>
      </c>
      <c r="D3945" s="2" t="n">
        <v>1</v>
      </c>
      <c r="E3945" s="3" t="inlineStr">
        <is>
          <t>FUCILE MONOCANNA</t>
        </is>
      </c>
      <c r="F3945" s="96" t="inlineStr">
        <is>
          <t>20</t>
        </is>
      </c>
      <c r="G3945" s="96" t="inlineStr">
        <is>
          <t>BERETTA</t>
        </is>
      </c>
      <c r="H3945" s="107" t="inlineStr">
        <is>
          <t>CACCIA</t>
        </is>
      </c>
      <c r="I3945" s="65" t="inlineStr">
        <is>
          <t>D066046</t>
        </is>
      </c>
      <c r="J3945" s="65" t="inlineStr">
        <is>
          <t>N/D</t>
        </is>
      </c>
      <c r="K3945" s="65" t="inlineStr">
        <is>
          <t>N/D</t>
        </is>
      </c>
      <c r="L3945" s="127" t="inlineStr">
        <is>
          <t>ANTONIONI SPORT CACCIA E PESCA SRLS</t>
        </is>
      </c>
      <c r="M3945" s="5" t="n">
        <v>25.747</v>
      </c>
      <c r="N3945" s="5" t="n"/>
      <c r="O3945" s="5">
        <f>+M3945+N3945</f>
        <v/>
      </c>
      <c r="P3945" s="4" t="n"/>
      <c r="Q3945" s="87" t="n"/>
      <c r="R3945" s="5" t="n">
        <v>30</v>
      </c>
      <c r="S3945" s="2" t="n">
        <v>1</v>
      </c>
      <c r="T3945" s="3" t="inlineStr">
        <is>
          <t>CA42796IR</t>
        </is>
      </c>
      <c r="U3945" s="87" t="n">
        <v>46041</v>
      </c>
      <c r="V3945" s="3" t="inlineStr">
        <is>
          <t>1</t>
        </is>
      </c>
      <c r="W3945" s="108" t="n">
        <v>46041</v>
      </c>
      <c r="X3945" s="4" t="inlineStr">
        <is>
          <t>PHILIPPOS COSTANTINIDES TRADING CO. LTD</t>
        </is>
      </c>
    </row>
    <row r="3946" ht="24" customHeight="1">
      <c r="A3946" s="2">
        <f>+D3946-S3946</f>
        <v/>
      </c>
      <c r="B3946" s="126" t="n">
        <v>5534</v>
      </c>
      <c r="C3946" s="66" t="n">
        <v>46041</v>
      </c>
      <c r="D3946" s="2" t="n">
        <v>1</v>
      </c>
      <c r="E3946" s="3" t="inlineStr">
        <is>
          <t>FUCILE MONOCANNA</t>
        </is>
      </c>
      <c r="F3946" s="96" t="inlineStr">
        <is>
          <t>28</t>
        </is>
      </c>
      <c r="G3946" s="96" t="inlineStr">
        <is>
          <t>PINTOSSI</t>
        </is>
      </c>
      <c r="H3946" s="107" t="inlineStr">
        <is>
          <t>CACCIA</t>
        </is>
      </c>
      <c r="I3946" s="65" t="n">
        <v>6069</v>
      </c>
      <c r="J3946" s="65" t="inlineStr">
        <is>
          <t>N/D</t>
        </is>
      </c>
      <c r="K3946" s="65" t="inlineStr">
        <is>
          <t>N/D</t>
        </is>
      </c>
      <c r="L3946" s="127" t="inlineStr">
        <is>
          <t>ANTONIONI SPORT CACCIA E PESCA SRLS</t>
        </is>
      </c>
      <c r="M3946" s="5" t="n">
        <v>25.747</v>
      </c>
      <c r="N3946" s="5" t="n"/>
      <c r="O3946" s="5">
        <f>+M3946+N3946</f>
        <v/>
      </c>
      <c r="P3946" s="4" t="n"/>
      <c r="Q3946" s="87" t="n"/>
      <c r="R3946" s="5" t="n">
        <v>30</v>
      </c>
      <c r="S3946" s="2" t="n">
        <v>1</v>
      </c>
      <c r="T3946" s="3" t="inlineStr">
        <is>
          <t>CA42796IR</t>
        </is>
      </c>
      <c r="U3946" s="87" t="n">
        <v>46041</v>
      </c>
      <c r="V3946" s="3" t="inlineStr">
        <is>
          <t>1</t>
        </is>
      </c>
      <c r="W3946" s="108" t="n">
        <v>46041</v>
      </c>
      <c r="X3946" s="4" t="inlineStr">
        <is>
          <t>PHILIPPOS COSTANTINIDES TRADING CO. LTD</t>
        </is>
      </c>
    </row>
    <row r="3947" ht="24" customHeight="1">
      <c r="A3947" s="2">
        <f>+D3947-S3947</f>
        <v/>
      </c>
      <c r="B3947" s="126" t="n">
        <v>5535</v>
      </c>
      <c r="C3947" s="66" t="n">
        <v>46041</v>
      </c>
      <c r="D3947" s="2" t="n">
        <v>1</v>
      </c>
      <c r="E3947" s="3" t="inlineStr">
        <is>
          <t>FUCILE MONOCANNA</t>
        </is>
      </c>
      <c r="F3947" s="96" t="inlineStr">
        <is>
          <t>28</t>
        </is>
      </c>
      <c r="G3947" s="96" t="inlineStr">
        <is>
          <t>BERETTA</t>
        </is>
      </c>
      <c r="H3947" s="107" t="inlineStr">
        <is>
          <t>CACCIA</t>
        </is>
      </c>
      <c r="I3947" s="65" t="inlineStr">
        <is>
          <t>D113381</t>
        </is>
      </c>
      <c r="J3947" s="65" t="inlineStr">
        <is>
          <t>N/D</t>
        </is>
      </c>
      <c r="K3947" s="65" t="inlineStr">
        <is>
          <t>N/D</t>
        </is>
      </c>
      <c r="L3947" s="127" t="inlineStr">
        <is>
          <t>ANTONIONI SPORT CACCIA E PESCA SRLS</t>
        </is>
      </c>
      <c r="M3947" s="5" t="n">
        <v>25.747</v>
      </c>
      <c r="N3947" s="5" t="n"/>
      <c r="O3947" s="5">
        <f>+M3947+N3947</f>
        <v/>
      </c>
      <c r="P3947" s="4" t="n"/>
      <c r="Q3947" s="87" t="n"/>
      <c r="R3947" s="5" t="n">
        <v>30</v>
      </c>
      <c r="S3947" s="2" t="n">
        <v>1</v>
      </c>
      <c r="T3947" s="3" t="inlineStr">
        <is>
          <t>CA42796IR</t>
        </is>
      </c>
      <c r="U3947" s="87" t="n">
        <v>46041</v>
      </c>
      <c r="V3947" s="3" t="inlineStr">
        <is>
          <t>1</t>
        </is>
      </c>
      <c r="W3947" s="108" t="n">
        <v>46041</v>
      </c>
      <c r="X3947" s="4" t="inlineStr">
        <is>
          <t>PHILIPPOS COSTANTINIDES TRADING CO. LTD</t>
        </is>
      </c>
    </row>
    <row r="3948" ht="24" customHeight="1">
      <c r="A3948" s="2">
        <f>+D3948-S3948</f>
        <v/>
      </c>
      <c r="B3948" s="126" t="n">
        <v>5536</v>
      </c>
      <c r="C3948" s="66" t="n">
        <v>46041</v>
      </c>
      <c r="D3948" s="2" t="n">
        <v>1</v>
      </c>
      <c r="E3948" s="3" t="inlineStr">
        <is>
          <t>FUCILE MONOCANNA</t>
        </is>
      </c>
      <c r="F3948" s="96" t="inlineStr">
        <is>
          <t>28</t>
        </is>
      </c>
      <c r="G3948" s="96" t="inlineStr">
        <is>
          <t>SABATTI</t>
        </is>
      </c>
      <c r="H3948" s="107" t="inlineStr">
        <is>
          <t>CACCIA</t>
        </is>
      </c>
      <c r="I3948" s="65" t="n">
        <v>5686</v>
      </c>
      <c r="J3948" s="65" t="inlineStr">
        <is>
          <t>N/D</t>
        </is>
      </c>
      <c r="K3948" s="65" t="inlineStr">
        <is>
          <t>N/D</t>
        </is>
      </c>
      <c r="L3948" s="127" t="inlineStr">
        <is>
          <t>ANTONIONI SPORT CACCIA E PESCA SRLS</t>
        </is>
      </c>
      <c r="M3948" s="5" t="n">
        <v>25.747</v>
      </c>
      <c r="N3948" s="5" t="n"/>
      <c r="O3948" s="5">
        <f>+M3948+N3948</f>
        <v/>
      </c>
      <c r="P3948" s="4" t="n"/>
      <c r="Q3948" s="87" t="n"/>
      <c r="R3948" s="5" t="n">
        <v>30</v>
      </c>
      <c r="S3948" s="2" t="n">
        <v>1</v>
      </c>
      <c r="T3948" s="3" t="inlineStr">
        <is>
          <t>CA42796IR</t>
        </is>
      </c>
      <c r="U3948" s="87" t="n">
        <v>46041</v>
      </c>
      <c r="V3948" s="3" t="inlineStr">
        <is>
          <t>1</t>
        </is>
      </c>
      <c r="W3948" s="108" t="n">
        <v>46041</v>
      </c>
      <c r="X3948" s="4" t="inlineStr">
        <is>
          <t>PHILIPPOS COSTANTINIDES TRADING CO. LTD</t>
        </is>
      </c>
    </row>
    <row r="3949" ht="24" customHeight="1">
      <c r="A3949" s="2">
        <f>+D3949-S3949</f>
        <v/>
      </c>
      <c r="B3949" s="126" t="n">
        <v>5537</v>
      </c>
      <c r="C3949" s="66" t="n">
        <v>46041</v>
      </c>
      <c r="D3949" s="2" t="n">
        <v>1</v>
      </c>
      <c r="E3949" s="3" t="inlineStr">
        <is>
          <t>FUCILE MONOCANNA</t>
        </is>
      </c>
      <c r="F3949" s="96" t="inlineStr">
        <is>
          <t>12</t>
        </is>
      </c>
      <c r="G3949" s="96" t="inlineStr">
        <is>
          <t>BERETTA</t>
        </is>
      </c>
      <c r="H3949" s="107" t="inlineStr">
        <is>
          <t>CACCIA</t>
        </is>
      </c>
      <c r="I3949" s="65" t="inlineStr">
        <is>
          <t>C128673</t>
        </is>
      </c>
      <c r="J3949" s="65" t="inlineStr">
        <is>
          <t>N/D</t>
        </is>
      </c>
      <c r="K3949" s="65" t="inlineStr">
        <is>
          <t>N/D</t>
        </is>
      </c>
      <c r="L3949" s="127" t="inlineStr">
        <is>
          <t>ANTONIONI SPORT CACCIA E PESCA SRLS</t>
        </is>
      </c>
      <c r="M3949" s="5" t="n">
        <v>25.747</v>
      </c>
      <c r="N3949" s="5" t="n"/>
      <c r="O3949" s="5">
        <f>+M3949+N3949</f>
        <v/>
      </c>
      <c r="P3949" s="4" t="n"/>
      <c r="Q3949" s="87" t="n"/>
      <c r="R3949" s="5" t="n">
        <v>30</v>
      </c>
      <c r="S3949" s="2" t="n">
        <v>1</v>
      </c>
      <c r="T3949" s="3" t="inlineStr">
        <is>
          <t>CA42796IR</t>
        </is>
      </c>
      <c r="U3949" s="87" t="n">
        <v>46041</v>
      </c>
      <c r="V3949" s="3" t="inlineStr">
        <is>
          <t>1</t>
        </is>
      </c>
      <c r="W3949" s="108" t="n">
        <v>46041</v>
      </c>
      <c r="X3949" s="4" t="inlineStr">
        <is>
          <t>PHILIPPOS COSTANTINIDES TRADING CO. LTD</t>
        </is>
      </c>
    </row>
    <row r="3950" ht="24" customHeight="1">
      <c r="A3950" s="2">
        <f>+D3950-S3950</f>
        <v/>
      </c>
      <c r="B3950" s="126" t="n">
        <v>5538</v>
      </c>
      <c r="C3950" s="66" t="n">
        <v>46041</v>
      </c>
      <c r="D3950" s="2" t="n">
        <v>1</v>
      </c>
      <c r="E3950" s="3" t="inlineStr">
        <is>
          <t>FUCILE MONOCANNA</t>
        </is>
      </c>
      <c r="F3950" s="96" t="inlineStr">
        <is>
          <t>12</t>
        </is>
      </c>
      <c r="G3950" s="96" t="inlineStr">
        <is>
          <t>BERETTA</t>
        </is>
      </c>
      <c r="H3950" s="107" t="inlineStr">
        <is>
          <t>CACCIA</t>
        </is>
      </c>
      <c r="I3950" s="65" t="inlineStr">
        <is>
          <t>D017763</t>
        </is>
      </c>
      <c r="J3950" s="65" t="inlineStr">
        <is>
          <t>N/D</t>
        </is>
      </c>
      <c r="K3950" s="65" t="inlineStr">
        <is>
          <t>N/D</t>
        </is>
      </c>
      <c r="L3950" s="127" t="inlineStr">
        <is>
          <t>ANTONIONI SPORT CACCIA E PESCA SRLS</t>
        </is>
      </c>
      <c r="M3950" s="5" t="n">
        <v>25.747</v>
      </c>
      <c r="N3950" s="5" t="n"/>
      <c r="O3950" s="5">
        <f>+M3950+N3950</f>
        <v/>
      </c>
      <c r="P3950" s="4" t="n"/>
      <c r="Q3950" s="87" t="n"/>
      <c r="R3950" s="5" t="n">
        <v>30</v>
      </c>
      <c r="S3950" s="2" t="n">
        <v>1</v>
      </c>
      <c r="T3950" s="3" t="inlineStr">
        <is>
          <t>CA42796IR</t>
        </is>
      </c>
      <c r="U3950" s="87" t="n">
        <v>46041</v>
      </c>
      <c r="V3950" s="3" t="inlineStr">
        <is>
          <t>1</t>
        </is>
      </c>
      <c r="W3950" s="108" t="n">
        <v>46041</v>
      </c>
      <c r="X3950" s="4" t="inlineStr">
        <is>
          <t>PHILIPPOS COSTANTINIDES TRADING CO. LTD</t>
        </is>
      </c>
    </row>
    <row r="3951" ht="24" customHeight="1">
      <c r="A3951" s="2">
        <f>+D3951-S3951</f>
        <v/>
      </c>
      <c r="B3951" s="126" t="n">
        <v>5539</v>
      </c>
      <c r="C3951" s="66" t="n">
        <v>46041</v>
      </c>
      <c r="D3951" s="2" t="n">
        <v>1</v>
      </c>
      <c r="E3951" s="3" t="inlineStr">
        <is>
          <t>FUCILE MONOCANNA</t>
        </is>
      </c>
      <c r="F3951" s="96" t="inlineStr">
        <is>
          <t>8</t>
        </is>
      </c>
      <c r="G3951" s="96" t="inlineStr">
        <is>
          <t>BASSOTTI</t>
        </is>
      </c>
      <c r="H3951" s="107" t="inlineStr">
        <is>
          <t>CACCIA</t>
        </is>
      </c>
      <c r="I3951" s="65" t="n">
        <v>6740</v>
      </c>
      <c r="J3951" s="65" t="inlineStr">
        <is>
          <t>N/D</t>
        </is>
      </c>
      <c r="K3951" s="65" t="inlineStr">
        <is>
          <t>N/D</t>
        </is>
      </c>
      <c r="L3951" s="127" t="inlineStr">
        <is>
          <t>ANTONIONI SPORT CACCIA E PESCA SRLS</t>
        </is>
      </c>
      <c r="M3951" s="5" t="n">
        <v>25.747</v>
      </c>
      <c r="N3951" s="5" t="n"/>
      <c r="O3951" s="5">
        <f>+M3951+N3951</f>
        <v/>
      </c>
      <c r="P3951" s="4" t="n"/>
      <c r="Q3951" s="87" t="n"/>
      <c r="R3951" s="5" t="n">
        <v>30</v>
      </c>
      <c r="S3951" s="2" t="n">
        <v>1</v>
      </c>
      <c r="T3951" s="3" t="inlineStr">
        <is>
          <t>CA42796IR</t>
        </is>
      </c>
      <c r="U3951" s="87" t="n">
        <v>46041</v>
      </c>
      <c r="V3951" s="3" t="inlineStr">
        <is>
          <t>1</t>
        </is>
      </c>
      <c r="W3951" s="108" t="n">
        <v>46041</v>
      </c>
      <c r="X3951" s="4" t="inlineStr">
        <is>
          <t>PHILIPPOS COSTANTINIDES TRADING CO. LTD</t>
        </is>
      </c>
    </row>
    <row r="3952" ht="24" customHeight="1">
      <c r="A3952" s="2">
        <f>+D3952-S3952</f>
        <v/>
      </c>
      <c r="B3952" s="126" t="n">
        <v>5540</v>
      </c>
      <c r="C3952" s="66" t="n">
        <v>46041</v>
      </c>
      <c r="D3952" s="2" t="n">
        <v>1</v>
      </c>
      <c r="E3952" s="3" t="inlineStr">
        <is>
          <t>FUCILE MONOCANNA</t>
        </is>
      </c>
      <c r="F3952" s="96" t="inlineStr">
        <is>
          <t>8</t>
        </is>
      </c>
      <c r="G3952" s="96" t="inlineStr">
        <is>
          <t>ALBERTI</t>
        </is>
      </c>
      <c r="H3952" s="107" t="inlineStr">
        <is>
          <t>CACCIA</t>
        </is>
      </c>
      <c r="I3952" s="65" t="n">
        <v>55914</v>
      </c>
      <c r="J3952" s="65" t="inlineStr">
        <is>
          <t>N/D</t>
        </is>
      </c>
      <c r="K3952" s="65" t="inlineStr">
        <is>
          <t>N/D</t>
        </is>
      </c>
      <c r="L3952" s="127" t="inlineStr">
        <is>
          <t>ANTONIONI SPORT CACCIA E PESCA SRLS</t>
        </is>
      </c>
      <c r="M3952" s="5" t="n">
        <v>25.747</v>
      </c>
      <c r="N3952" s="5" t="n"/>
      <c r="O3952" s="5">
        <f>+M3952+N3952</f>
        <v/>
      </c>
      <c r="P3952" s="4" t="n"/>
      <c r="Q3952" s="87" t="n"/>
      <c r="R3952" s="5" t="n">
        <v>30</v>
      </c>
      <c r="S3952" s="2" t="n">
        <v>1</v>
      </c>
      <c r="T3952" s="3" t="inlineStr">
        <is>
          <t>CA42796IR</t>
        </is>
      </c>
      <c r="U3952" s="87" t="n">
        <v>46041</v>
      </c>
      <c r="V3952" s="3" t="inlineStr">
        <is>
          <t>1</t>
        </is>
      </c>
      <c r="W3952" s="108" t="n">
        <v>46041</v>
      </c>
      <c r="X3952" s="4" t="inlineStr">
        <is>
          <t>PHILIPPOS COSTANTINIDES TRADING CO. LTD</t>
        </is>
      </c>
    </row>
    <row r="3953" ht="24" customHeight="1">
      <c r="A3953" s="2">
        <f>+D3953-S3953</f>
        <v/>
      </c>
      <c r="B3953" s="126" t="n">
        <v>5541</v>
      </c>
      <c r="C3953" s="66" t="n">
        <v>46041</v>
      </c>
      <c r="D3953" s="2" t="n">
        <v>1</v>
      </c>
      <c r="E3953" s="3" t="inlineStr">
        <is>
          <t>FUCILE MONOCANNA</t>
        </is>
      </c>
      <c r="F3953" s="96" t="inlineStr">
        <is>
          <t>8</t>
        </is>
      </c>
      <c r="G3953" s="96" t="inlineStr">
        <is>
          <t>FALCO</t>
        </is>
      </c>
      <c r="H3953" s="107" t="inlineStr">
        <is>
          <t>CACCIA</t>
        </is>
      </c>
      <c r="I3953" s="65" t="n">
        <v>14780</v>
      </c>
      <c r="J3953" s="65" t="inlineStr">
        <is>
          <t>N/D</t>
        </is>
      </c>
      <c r="K3953" s="65" t="inlineStr">
        <is>
          <t>N/D</t>
        </is>
      </c>
      <c r="L3953" s="127" t="inlineStr">
        <is>
          <t>ANTONIONI SPORT CACCIA E PESCA SRLS</t>
        </is>
      </c>
      <c r="M3953" s="5" t="n">
        <v>25.747</v>
      </c>
      <c r="N3953" s="5" t="n"/>
      <c r="O3953" s="5">
        <f>+M3953+N3953</f>
        <v/>
      </c>
      <c r="P3953" s="4" t="n"/>
      <c r="Q3953" s="87" t="n"/>
      <c r="R3953" s="5" t="n">
        <v>30</v>
      </c>
      <c r="S3953" s="2" t="n">
        <v>1</v>
      </c>
      <c r="T3953" s="3" t="inlineStr">
        <is>
          <t>CA42796IR</t>
        </is>
      </c>
      <c r="U3953" s="87" t="n">
        <v>46041</v>
      </c>
      <c r="V3953" s="3" t="inlineStr">
        <is>
          <t>1</t>
        </is>
      </c>
      <c r="W3953" s="108" t="n">
        <v>46041</v>
      </c>
      <c r="X3953" s="4" t="inlineStr">
        <is>
          <t>PHILIPPOS COSTANTINIDES TRADING CO. LTD</t>
        </is>
      </c>
    </row>
    <row r="3954" ht="24" customHeight="1">
      <c r="A3954" s="2">
        <f>+D3954-S3954</f>
        <v/>
      </c>
      <c r="B3954" s="126" t="n">
        <v>5542</v>
      </c>
      <c r="C3954" s="66" t="n">
        <v>46041</v>
      </c>
      <c r="D3954" s="2" t="n">
        <v>1</v>
      </c>
      <c r="E3954" s="3" t="inlineStr">
        <is>
          <t>FUCILE MONOCANNA</t>
        </is>
      </c>
      <c r="F3954" s="96" t="inlineStr">
        <is>
          <t>8</t>
        </is>
      </c>
      <c r="G3954" s="96" t="inlineStr">
        <is>
          <t>FALCO</t>
        </is>
      </c>
      <c r="H3954" s="107" t="inlineStr">
        <is>
          <t>CACCIA</t>
        </is>
      </c>
      <c r="I3954" s="65" t="n">
        <v>89516</v>
      </c>
      <c r="J3954" s="65" t="inlineStr">
        <is>
          <t>N/D</t>
        </is>
      </c>
      <c r="K3954" s="65" t="inlineStr">
        <is>
          <t>N/D</t>
        </is>
      </c>
      <c r="L3954" s="127" t="inlineStr">
        <is>
          <t>ANTONIONI SPORT CACCIA E PESCA SRLS</t>
        </is>
      </c>
      <c r="M3954" s="5" t="n">
        <v>25.747</v>
      </c>
      <c r="N3954" s="5" t="n"/>
      <c r="O3954" s="5">
        <f>+M3954+N3954</f>
        <v/>
      </c>
      <c r="P3954" s="4" t="n"/>
      <c r="Q3954" s="87" t="n"/>
      <c r="R3954" s="5" t="n">
        <v>30</v>
      </c>
      <c r="S3954" s="2" t="n">
        <v>1</v>
      </c>
      <c r="T3954" s="3" t="inlineStr">
        <is>
          <t>CA42796IR</t>
        </is>
      </c>
      <c r="U3954" s="87" t="n">
        <v>46041</v>
      </c>
      <c r="V3954" s="3" t="inlineStr">
        <is>
          <t>1</t>
        </is>
      </c>
      <c r="W3954" s="108" t="n">
        <v>46041</v>
      </c>
      <c r="X3954" s="4" t="inlineStr">
        <is>
          <t>PHILIPPOS COSTANTINIDES TRADING CO. LTD</t>
        </is>
      </c>
    </row>
    <row r="3955" ht="24" customHeight="1">
      <c r="A3955" s="2">
        <f>+D3955-S3955</f>
        <v/>
      </c>
      <c r="B3955" s="126" t="n">
        <v>5543</v>
      </c>
      <c r="C3955" s="66" t="n">
        <v>46041</v>
      </c>
      <c r="D3955" s="2" t="n">
        <v>1</v>
      </c>
      <c r="E3955" s="3" t="inlineStr">
        <is>
          <t>FUCILE MONOCANNA</t>
        </is>
      </c>
      <c r="F3955" s="96" t="inlineStr">
        <is>
          <t>32</t>
        </is>
      </c>
      <c r="G3955" s="96" t="inlineStr">
        <is>
          <t>BERETTA</t>
        </is>
      </c>
      <c r="H3955" s="107" t="inlineStr">
        <is>
          <t>CACCIA</t>
        </is>
      </c>
      <c r="I3955" s="65" t="inlineStr">
        <is>
          <t>B81993</t>
        </is>
      </c>
      <c r="J3955" s="65" t="inlineStr">
        <is>
          <t>N/D</t>
        </is>
      </c>
      <c r="K3955" s="65" t="inlineStr">
        <is>
          <t>N/D</t>
        </is>
      </c>
      <c r="L3955" s="127" t="inlineStr">
        <is>
          <t>ANTONIONI SPORT CACCIA E PESCA SRLS</t>
        </is>
      </c>
      <c r="M3955" s="5" t="n">
        <v>25.747</v>
      </c>
      <c r="N3955" s="5" t="n"/>
      <c r="O3955" s="5">
        <f>+M3955+N3955</f>
        <v/>
      </c>
      <c r="P3955" s="4" t="n"/>
      <c r="Q3955" s="87" t="n"/>
      <c r="R3955" s="5" t="n">
        <v>30</v>
      </c>
      <c r="S3955" s="2" t="n">
        <v>1</v>
      </c>
      <c r="T3955" s="3" t="inlineStr">
        <is>
          <t>CA42796IR</t>
        </is>
      </c>
      <c r="U3955" s="87" t="n">
        <v>46041</v>
      </c>
      <c r="V3955" s="3" t="inlineStr">
        <is>
          <t>1</t>
        </is>
      </c>
      <c r="W3955" s="108" t="n">
        <v>46041</v>
      </c>
      <c r="X3955" s="4" t="inlineStr">
        <is>
          <t>PHILIPPOS COSTANTINIDES TRADING CO. LTD</t>
        </is>
      </c>
    </row>
    <row r="3956" ht="24" customHeight="1">
      <c r="A3956" s="2">
        <f>+D3956-S3956</f>
        <v/>
      </c>
      <c r="B3956" s="126" t="n">
        <v>5544</v>
      </c>
      <c r="C3956" s="66" t="n">
        <v>46041</v>
      </c>
      <c r="D3956" s="2" t="n">
        <v>1</v>
      </c>
      <c r="E3956" s="3" t="inlineStr">
        <is>
          <t>FUCILE MONOCANNA</t>
        </is>
      </c>
      <c r="F3956" s="96" t="inlineStr">
        <is>
          <t>28</t>
        </is>
      </c>
      <c r="G3956" s="96" t="inlineStr">
        <is>
          <t>BERETTA</t>
        </is>
      </c>
      <c r="H3956" s="107" t="inlineStr">
        <is>
          <t>CACCIA</t>
        </is>
      </c>
      <c r="I3956" s="65" t="inlineStr">
        <is>
          <t>D181690</t>
        </is>
      </c>
      <c r="J3956" s="65" t="inlineStr">
        <is>
          <t>N/D</t>
        </is>
      </c>
      <c r="K3956" s="65" t="inlineStr">
        <is>
          <t>N/D</t>
        </is>
      </c>
      <c r="L3956" s="127" t="inlineStr">
        <is>
          <t>ANTONIONI SPORT CACCIA E PESCA SRLS</t>
        </is>
      </c>
      <c r="M3956" s="5" t="n">
        <v>25.747</v>
      </c>
      <c r="N3956" s="5" t="n"/>
      <c r="O3956" s="5">
        <f>+M3956+N3956</f>
        <v/>
      </c>
      <c r="P3956" s="4" t="n"/>
      <c r="Q3956" s="87" t="n"/>
      <c r="R3956" s="5" t="n">
        <v>30</v>
      </c>
      <c r="S3956" s="2" t="n">
        <v>1</v>
      </c>
      <c r="T3956" s="3" t="inlineStr">
        <is>
          <t>CA42796IR</t>
        </is>
      </c>
      <c r="U3956" s="87" t="n">
        <v>46041</v>
      </c>
      <c r="V3956" s="3" t="inlineStr">
        <is>
          <t>1</t>
        </is>
      </c>
      <c r="W3956" s="108" t="n">
        <v>46041</v>
      </c>
      <c r="X3956" s="4" t="inlineStr">
        <is>
          <t>PHILIPPOS COSTANTINIDES TRADING CO. LTD</t>
        </is>
      </c>
    </row>
    <row r="3957" ht="24" customHeight="1">
      <c r="A3957" s="2">
        <f>+D3957-S3957</f>
        <v/>
      </c>
      <c r="B3957" s="126" t="n">
        <v>5545</v>
      </c>
      <c r="C3957" s="66" t="n">
        <v>46041</v>
      </c>
      <c r="D3957" s="2" t="n">
        <v>1</v>
      </c>
      <c r="E3957" s="3" t="inlineStr">
        <is>
          <t>FUCILE MONOCANNA</t>
        </is>
      </c>
      <c r="F3957" s="96" t="inlineStr">
        <is>
          <t>12</t>
        </is>
      </c>
      <c r="G3957" s="96" t="inlineStr">
        <is>
          <t>GITTI</t>
        </is>
      </c>
      <c r="H3957" s="107" t="inlineStr">
        <is>
          <t>CACCIA</t>
        </is>
      </c>
      <c r="I3957" s="65" t="n">
        <v>618</v>
      </c>
      <c r="J3957" s="65" t="inlineStr">
        <is>
          <t>N/D</t>
        </is>
      </c>
      <c r="K3957" s="65" t="inlineStr">
        <is>
          <t>N/D</t>
        </is>
      </c>
      <c r="L3957" s="127" t="inlineStr">
        <is>
          <t>ANTONIONI SPORT CACCIA E PESCA SRLS</t>
        </is>
      </c>
      <c r="M3957" s="5" t="n">
        <v>25.747</v>
      </c>
      <c r="N3957" s="5" t="n"/>
      <c r="O3957" s="5">
        <f>+M3957+N3957</f>
        <v/>
      </c>
      <c r="P3957" s="4" t="n"/>
      <c r="Q3957" s="87" t="n"/>
      <c r="R3957" s="5" t="n">
        <v>30</v>
      </c>
      <c r="S3957" s="2" t="n">
        <v>1</v>
      </c>
      <c r="T3957" s="3" t="inlineStr">
        <is>
          <t>CA42796IR</t>
        </is>
      </c>
      <c r="U3957" s="87" t="n">
        <v>46041</v>
      </c>
      <c r="V3957" s="3" t="inlineStr">
        <is>
          <t>1</t>
        </is>
      </c>
      <c r="W3957" s="108" t="n">
        <v>46041</v>
      </c>
      <c r="X3957" s="4" t="inlineStr">
        <is>
          <t>PHILIPPOS COSTANTINIDES TRADING CO. LTD</t>
        </is>
      </c>
    </row>
    <row r="3958" ht="24" customHeight="1">
      <c r="A3958" s="2">
        <f>+D3958-S3958</f>
        <v/>
      </c>
      <c r="B3958" s="126" t="n">
        <v>5546</v>
      </c>
      <c r="C3958" s="66" t="n">
        <v>46041</v>
      </c>
      <c r="D3958" s="2" t="n">
        <v>1</v>
      </c>
      <c r="E3958" s="3" t="inlineStr">
        <is>
          <t>FUCILE MONOCANNA</t>
        </is>
      </c>
      <c r="F3958" s="96" t="inlineStr">
        <is>
          <t>8</t>
        </is>
      </c>
      <c r="G3958" s="96" t="inlineStr">
        <is>
          <t>PEDRETTI</t>
        </is>
      </c>
      <c r="H3958" s="107" t="inlineStr">
        <is>
          <t>CACCIA</t>
        </is>
      </c>
      <c r="I3958" s="65" t="n">
        <v>11877</v>
      </c>
      <c r="J3958" s="65" t="inlineStr">
        <is>
          <t>N/D</t>
        </is>
      </c>
      <c r="K3958" s="65" t="inlineStr">
        <is>
          <t>N/D</t>
        </is>
      </c>
      <c r="L3958" s="127" t="inlineStr">
        <is>
          <t>ANTONIONI SPORT CACCIA E PESCA SRLS</t>
        </is>
      </c>
      <c r="M3958" s="5" t="n">
        <v>25.747</v>
      </c>
      <c r="N3958" s="5" t="n"/>
      <c r="O3958" s="5">
        <f>+M3958+N3958</f>
        <v/>
      </c>
      <c r="P3958" s="4" t="n"/>
      <c r="Q3958" s="87" t="n"/>
      <c r="R3958" s="5" t="n">
        <v>30</v>
      </c>
      <c r="S3958" s="2" t="n">
        <v>1</v>
      </c>
      <c r="T3958" s="3" t="inlineStr">
        <is>
          <t>CA42796IR</t>
        </is>
      </c>
      <c r="U3958" s="87" t="n">
        <v>46041</v>
      </c>
      <c r="V3958" s="3" t="inlineStr">
        <is>
          <t>1</t>
        </is>
      </c>
      <c r="W3958" s="108" t="n">
        <v>46041</v>
      </c>
      <c r="X3958" s="4" t="inlineStr">
        <is>
          <t>PHILIPPOS COSTANTINIDES TRADING CO. LTD</t>
        </is>
      </c>
    </row>
    <row r="3959" ht="24" customHeight="1">
      <c r="A3959" s="2">
        <f>+D3959-S3959</f>
        <v/>
      </c>
      <c r="B3959" s="126" t="n">
        <v>5547</v>
      </c>
      <c r="C3959" s="66" t="n">
        <v>46041</v>
      </c>
      <c r="D3959" s="2" t="n">
        <v>1</v>
      </c>
      <c r="E3959" s="3" t="inlineStr">
        <is>
          <t>FUCILE MONOCANNA</t>
        </is>
      </c>
      <c r="F3959" s="96" t="inlineStr">
        <is>
          <t>9</t>
        </is>
      </c>
      <c r="G3959" s="96" t="inlineStr">
        <is>
          <t>JAGER</t>
        </is>
      </c>
      <c r="H3959" s="107" t="inlineStr">
        <is>
          <t>CACCIA</t>
        </is>
      </c>
      <c r="I3959" s="65" t="n">
        <v>5146</v>
      </c>
      <c r="J3959" s="65" t="inlineStr">
        <is>
          <t>N/D</t>
        </is>
      </c>
      <c r="K3959" s="65" t="inlineStr">
        <is>
          <t>N/D</t>
        </is>
      </c>
      <c r="L3959" s="127" t="inlineStr">
        <is>
          <t>ANTONIONI SPORT CACCIA E PESCA SRLS</t>
        </is>
      </c>
      <c r="M3959" s="5" t="n">
        <v>25.747</v>
      </c>
      <c r="N3959" s="5" t="n"/>
      <c r="O3959" s="5">
        <f>+M3959+N3959</f>
        <v/>
      </c>
      <c r="P3959" s="4" t="n"/>
      <c r="Q3959" s="87" t="n"/>
      <c r="R3959" s="5" t="n">
        <v>30</v>
      </c>
      <c r="S3959" s="2" t="n">
        <v>1</v>
      </c>
      <c r="T3959" s="3" t="inlineStr">
        <is>
          <t>CA42796IR</t>
        </is>
      </c>
      <c r="U3959" s="87" t="n">
        <v>46041</v>
      </c>
      <c r="V3959" s="3" t="inlineStr">
        <is>
          <t>1</t>
        </is>
      </c>
      <c r="W3959" s="108" t="n">
        <v>46041</v>
      </c>
      <c r="X3959" s="4" t="inlineStr">
        <is>
          <t>PHILIPPOS COSTANTINIDES TRADING CO. LTD</t>
        </is>
      </c>
    </row>
    <row r="3960" ht="24" customHeight="1">
      <c r="A3960" s="2">
        <f>+D3960-S3960</f>
        <v/>
      </c>
      <c r="B3960" s="126" t="n">
        <v>5548</v>
      </c>
      <c r="C3960" s="66" t="n">
        <v>46041</v>
      </c>
      <c r="D3960" s="2" t="n">
        <v>1</v>
      </c>
      <c r="E3960" s="3" t="inlineStr">
        <is>
          <t>FUCILE MONOCANNA</t>
        </is>
      </c>
      <c r="F3960" s="96" t="inlineStr">
        <is>
          <t>32</t>
        </is>
      </c>
      <c r="G3960" s="96" t="inlineStr">
        <is>
          <t>BERETTA</t>
        </is>
      </c>
      <c r="H3960" s="107" t="inlineStr">
        <is>
          <t>CACCIA</t>
        </is>
      </c>
      <c r="I3960" s="65" t="inlineStr">
        <is>
          <t>D47660</t>
        </is>
      </c>
      <c r="J3960" s="65" t="inlineStr">
        <is>
          <t>N/D</t>
        </is>
      </c>
      <c r="K3960" s="65" t="inlineStr">
        <is>
          <t>N/D</t>
        </is>
      </c>
      <c r="L3960" s="127" t="inlineStr">
        <is>
          <t>ANTONIONI SPORT CACCIA E PESCA SRLS</t>
        </is>
      </c>
      <c r="M3960" s="5" t="n">
        <v>25.747</v>
      </c>
      <c r="N3960" s="5" t="n"/>
      <c r="O3960" s="5">
        <f>+M3960+N3960</f>
        <v/>
      </c>
      <c r="P3960" s="4" t="n"/>
      <c r="Q3960" s="87" t="n"/>
      <c r="R3960" s="5" t="n">
        <v>30</v>
      </c>
      <c r="S3960" s="2" t="n">
        <v>1</v>
      </c>
      <c r="T3960" s="3" t="inlineStr">
        <is>
          <t>CA42796IR</t>
        </is>
      </c>
      <c r="U3960" s="87" t="n">
        <v>46041</v>
      </c>
      <c r="V3960" s="3" t="inlineStr">
        <is>
          <t>1</t>
        </is>
      </c>
      <c r="W3960" s="108" t="n">
        <v>46041</v>
      </c>
      <c r="X3960" s="4" t="inlineStr">
        <is>
          <t>PHILIPPOS COSTANTINIDES TRADING CO. LTD</t>
        </is>
      </c>
    </row>
    <row r="3961" ht="24" customHeight="1">
      <c r="A3961" s="2">
        <f>+D3961-S3961</f>
        <v/>
      </c>
      <c r="B3961" s="126" t="n">
        <v>5549</v>
      </c>
      <c r="C3961" s="66" t="n">
        <v>46041</v>
      </c>
      <c r="D3961" s="2" t="n">
        <v>1</v>
      </c>
      <c r="E3961" s="3" t="inlineStr">
        <is>
          <t>FUCILE MONOCANNA</t>
        </is>
      </c>
      <c r="F3961" s="96" t="inlineStr">
        <is>
          <t>16</t>
        </is>
      </c>
      <c r="G3961" s="96" t="inlineStr">
        <is>
          <t>ARTIGIANO</t>
        </is>
      </c>
      <c r="H3961" s="107" t="inlineStr">
        <is>
          <t>CACCIA</t>
        </is>
      </c>
      <c r="I3961" s="65" t="inlineStr">
        <is>
          <t>A47725</t>
        </is>
      </c>
      <c r="J3961" s="65" t="inlineStr">
        <is>
          <t>N/D</t>
        </is>
      </c>
      <c r="K3961" s="65" t="inlineStr">
        <is>
          <t>N/D</t>
        </is>
      </c>
      <c r="L3961" s="127" t="inlineStr">
        <is>
          <t>ANTONIONI SPORT CACCIA E PESCA SRLS</t>
        </is>
      </c>
      <c r="M3961" s="5" t="n">
        <v>25.747</v>
      </c>
      <c r="N3961" s="5" t="n"/>
      <c r="O3961" s="5">
        <f>+M3961+N3961</f>
        <v/>
      </c>
      <c r="P3961" s="4" t="n"/>
      <c r="Q3961" s="87" t="n"/>
      <c r="R3961" s="5" t="n">
        <v>30</v>
      </c>
      <c r="S3961" s="2" t="n">
        <v>1</v>
      </c>
      <c r="T3961" s="3" t="inlineStr">
        <is>
          <t>CA42796IR</t>
        </is>
      </c>
      <c r="U3961" s="87" t="n">
        <v>46041</v>
      </c>
      <c r="V3961" s="3" t="inlineStr">
        <is>
          <t>1</t>
        </is>
      </c>
      <c r="W3961" s="108" t="n">
        <v>46041</v>
      </c>
      <c r="X3961" s="4" t="inlineStr">
        <is>
          <t>PHILIPPOS COSTANTINIDES TRADING CO. LTD</t>
        </is>
      </c>
    </row>
    <row r="3962" ht="24" customHeight="1">
      <c r="A3962" s="2">
        <f>+D3962-S3962</f>
        <v/>
      </c>
      <c r="B3962" s="126" t="n">
        <v>5550</v>
      </c>
      <c r="C3962" s="66" t="n">
        <v>46041</v>
      </c>
      <c r="D3962" s="2" t="n">
        <v>1</v>
      </c>
      <c r="E3962" s="3" t="inlineStr">
        <is>
          <t>FUCILE MONOCANNA</t>
        </is>
      </c>
      <c r="F3962" s="96" t="inlineStr">
        <is>
          <t>7,5</t>
        </is>
      </c>
      <c r="G3962" s="96" t="inlineStr">
        <is>
          <t>COLIBRI</t>
        </is>
      </c>
      <c r="H3962" s="107" t="inlineStr">
        <is>
          <t>CACCIA</t>
        </is>
      </c>
      <c r="I3962" s="65" t="inlineStr">
        <is>
          <t>02166</t>
        </is>
      </c>
      <c r="J3962" s="65" t="inlineStr">
        <is>
          <t>N/D</t>
        </is>
      </c>
      <c r="K3962" s="65" t="inlineStr">
        <is>
          <t>N/D</t>
        </is>
      </c>
      <c r="L3962" s="127" t="inlineStr">
        <is>
          <t>ANTONIONI SPORT CACCIA E PESCA SRLS</t>
        </is>
      </c>
      <c r="M3962" s="5" t="n">
        <v>25.747</v>
      </c>
      <c r="N3962" s="5" t="n"/>
      <c r="O3962" s="5">
        <f>+M3962+N3962</f>
        <v/>
      </c>
      <c r="P3962" s="4" t="n"/>
      <c r="Q3962" s="87" t="n"/>
      <c r="R3962" s="5" t="n">
        <v>30</v>
      </c>
      <c r="S3962" s="2" t="n">
        <v>1</v>
      </c>
      <c r="T3962" s="3" t="inlineStr">
        <is>
          <t>CA42796IR</t>
        </is>
      </c>
      <c r="U3962" s="87" t="n">
        <v>46041</v>
      </c>
      <c r="V3962" s="3" t="inlineStr">
        <is>
          <t>1</t>
        </is>
      </c>
      <c r="W3962" s="108" t="n">
        <v>46041</v>
      </c>
      <c r="X3962" s="4" t="inlineStr">
        <is>
          <t>PHILIPPOS COSTANTINIDES TRADING CO. LTD</t>
        </is>
      </c>
    </row>
    <row r="3963" ht="24" customHeight="1">
      <c r="A3963" s="2">
        <f>+D3963-S3963</f>
        <v/>
      </c>
      <c r="B3963" s="126" t="n">
        <v>5551</v>
      </c>
      <c r="C3963" s="66" t="n">
        <v>46041</v>
      </c>
      <c r="D3963" s="2" t="n">
        <v>1</v>
      </c>
      <c r="E3963" s="3" t="inlineStr">
        <is>
          <t>FUCILE MONOCANNA</t>
        </is>
      </c>
      <c r="F3963" s="96" t="inlineStr">
        <is>
          <t>28</t>
        </is>
      </c>
      <c r="G3963" s="96" t="inlineStr">
        <is>
          <t>BERETTA</t>
        </is>
      </c>
      <c r="H3963" s="107" t="inlineStr">
        <is>
          <t>CACCIA</t>
        </is>
      </c>
      <c r="I3963" s="65" t="inlineStr">
        <is>
          <t>D164147</t>
        </is>
      </c>
      <c r="J3963" s="65" t="inlineStr">
        <is>
          <t>N/D</t>
        </is>
      </c>
      <c r="K3963" s="65" t="inlineStr">
        <is>
          <t>N/D</t>
        </is>
      </c>
      <c r="L3963" s="127" t="inlineStr">
        <is>
          <t>ANTONIONI SPORT CACCIA E PESCA SRLS</t>
        </is>
      </c>
      <c r="M3963" s="5" t="n">
        <v>25.747</v>
      </c>
      <c r="N3963" s="5" t="n"/>
      <c r="O3963" s="5">
        <f>+M3963+N3963</f>
        <v/>
      </c>
      <c r="P3963" s="4" t="n"/>
      <c r="Q3963" s="87" t="n"/>
      <c r="R3963" s="5" t="n">
        <v>30</v>
      </c>
      <c r="S3963" s="2" t="n">
        <v>1</v>
      </c>
      <c r="T3963" s="3" t="inlineStr">
        <is>
          <t>CA42796IR</t>
        </is>
      </c>
      <c r="U3963" s="87" t="n">
        <v>46041</v>
      </c>
      <c r="V3963" s="3" t="inlineStr">
        <is>
          <t>1</t>
        </is>
      </c>
      <c r="W3963" s="108" t="n">
        <v>46041</v>
      </c>
      <c r="X3963" s="4" t="inlineStr">
        <is>
          <t>PHILIPPOS COSTANTINIDES TRADING CO. LTD</t>
        </is>
      </c>
    </row>
    <row r="3964" ht="24" customHeight="1">
      <c r="A3964" s="2">
        <f>+D3964-S3964</f>
        <v/>
      </c>
      <c r="B3964" s="126" t="n">
        <v>5552</v>
      </c>
      <c r="C3964" s="66" t="n">
        <v>46041</v>
      </c>
      <c r="D3964" s="2" t="n">
        <v>1</v>
      </c>
      <c r="E3964" s="3" t="inlineStr">
        <is>
          <t>FUCILE MONOCANNA</t>
        </is>
      </c>
      <c r="F3964" s="96" t="inlineStr">
        <is>
          <t>28</t>
        </is>
      </c>
      <c r="G3964" s="96" t="inlineStr">
        <is>
          <t>PEDRETTI</t>
        </is>
      </c>
      <c r="H3964" s="107" t="inlineStr">
        <is>
          <t>CACCIA</t>
        </is>
      </c>
      <c r="I3964" s="65" t="inlineStr">
        <is>
          <t>8610</t>
        </is>
      </c>
      <c r="J3964" s="65" t="inlineStr">
        <is>
          <t>N/D</t>
        </is>
      </c>
      <c r="K3964" s="65" t="inlineStr">
        <is>
          <t>N/D</t>
        </is>
      </c>
      <c r="L3964" s="127" t="inlineStr">
        <is>
          <t>ANTONIONI SPORT CACCIA E PESCA SRLS</t>
        </is>
      </c>
      <c r="M3964" s="5" t="n">
        <v>25.747</v>
      </c>
      <c r="N3964" s="5" t="n"/>
      <c r="O3964" s="5">
        <f>+M3964+N3964</f>
        <v/>
      </c>
      <c r="P3964" s="4" t="n"/>
      <c r="Q3964" s="87" t="n"/>
      <c r="R3964" s="5" t="n">
        <v>30</v>
      </c>
      <c r="S3964" s="2" t="n">
        <v>1</v>
      </c>
      <c r="T3964" s="3" t="inlineStr">
        <is>
          <t>CA42796IR</t>
        </is>
      </c>
      <c r="U3964" s="87" t="n">
        <v>46041</v>
      </c>
      <c r="V3964" s="3" t="inlineStr">
        <is>
          <t>1</t>
        </is>
      </c>
      <c r="W3964" s="108" t="n">
        <v>46041</v>
      </c>
      <c r="X3964" s="4" t="inlineStr">
        <is>
          <t>PHILIPPOS COSTANTINIDES TRADING CO. LTD</t>
        </is>
      </c>
    </row>
    <row r="3965" ht="24" customHeight="1">
      <c r="A3965" s="2">
        <f>+D3965-S3965</f>
        <v/>
      </c>
      <c r="B3965" s="126" t="n">
        <v>5553</v>
      </c>
      <c r="C3965" s="66" t="n">
        <v>46041</v>
      </c>
      <c r="D3965" s="2" t="n">
        <v>1</v>
      </c>
      <c r="E3965" s="3" t="inlineStr">
        <is>
          <t>FUCILE MONOCANNA</t>
        </is>
      </c>
      <c r="F3965" s="96" t="inlineStr">
        <is>
          <t>20</t>
        </is>
      </c>
      <c r="G3965" s="96" t="inlineStr">
        <is>
          <t>MAVI</t>
        </is>
      </c>
      <c r="H3965" s="107" t="inlineStr">
        <is>
          <t>CACCIA</t>
        </is>
      </c>
      <c r="I3965" s="65" t="inlineStr">
        <is>
          <t>80001</t>
        </is>
      </c>
      <c r="J3965" s="65" t="inlineStr">
        <is>
          <t>N/D</t>
        </is>
      </c>
      <c r="K3965" s="65" t="inlineStr">
        <is>
          <t>N/D</t>
        </is>
      </c>
      <c r="L3965" s="127" t="inlineStr">
        <is>
          <t>ANTONIONI SPORT CACCIA E PESCA SRLS</t>
        </is>
      </c>
      <c r="M3965" s="5" t="n">
        <v>25.747</v>
      </c>
      <c r="N3965" s="5" t="n"/>
      <c r="O3965" s="5">
        <f>+M3965+N3965</f>
        <v/>
      </c>
      <c r="P3965" s="4" t="n"/>
      <c r="Q3965" s="87" t="n"/>
      <c r="R3965" s="5" t="n">
        <v>30</v>
      </c>
      <c r="S3965" s="2" t="n">
        <v>1</v>
      </c>
      <c r="T3965" s="3" t="inlineStr">
        <is>
          <t>CA42796IR</t>
        </is>
      </c>
      <c r="U3965" s="87" t="n">
        <v>46041</v>
      </c>
      <c r="V3965" s="3" t="inlineStr">
        <is>
          <t>1</t>
        </is>
      </c>
      <c r="W3965" s="108" t="n">
        <v>46041</v>
      </c>
      <c r="X3965" s="4" t="inlineStr">
        <is>
          <t>PHILIPPOS COSTANTINIDES TRADING CO. LTD</t>
        </is>
      </c>
    </row>
    <row r="3966" ht="24" customHeight="1">
      <c r="A3966" s="2">
        <f>+D3966-S3966</f>
        <v/>
      </c>
      <c r="B3966" s="126" t="n">
        <v>5554</v>
      </c>
      <c r="C3966" s="66" t="n">
        <v>46041</v>
      </c>
      <c r="D3966" s="2" t="n">
        <v>1</v>
      </c>
      <c r="E3966" s="3" t="inlineStr">
        <is>
          <t>FUCILE MONOCANNA</t>
        </is>
      </c>
      <c r="F3966" s="96" t="inlineStr">
        <is>
          <t>8</t>
        </is>
      </c>
      <c r="G3966" s="96" t="inlineStr">
        <is>
          <t>TONOLINI</t>
        </is>
      </c>
      <c r="H3966" s="107" t="inlineStr">
        <is>
          <t>CACCIA</t>
        </is>
      </c>
      <c r="I3966" s="65" t="inlineStr">
        <is>
          <t>12452</t>
        </is>
      </c>
      <c r="J3966" s="65" t="inlineStr">
        <is>
          <t>N/D</t>
        </is>
      </c>
      <c r="K3966" s="65" t="inlineStr">
        <is>
          <t>N/D</t>
        </is>
      </c>
      <c r="L3966" s="127" t="inlineStr">
        <is>
          <t>ANTONIONI SPORT CACCIA E PESCA SRLS</t>
        </is>
      </c>
      <c r="M3966" s="5" t="n">
        <v>25.747</v>
      </c>
      <c r="N3966" s="5" t="n"/>
      <c r="O3966" s="5">
        <f>+M3966+N3966</f>
        <v/>
      </c>
      <c r="P3966" s="4" t="n"/>
      <c r="Q3966" s="87" t="n"/>
      <c r="R3966" s="5" t="n">
        <v>30</v>
      </c>
      <c r="S3966" s="2" t="n">
        <v>1</v>
      </c>
      <c r="T3966" s="3" t="inlineStr">
        <is>
          <t>CA42796IR</t>
        </is>
      </c>
      <c r="U3966" s="87" t="n">
        <v>46041</v>
      </c>
      <c r="V3966" s="3" t="inlineStr">
        <is>
          <t>1</t>
        </is>
      </c>
      <c r="W3966" s="108" t="n">
        <v>46041</v>
      </c>
      <c r="X3966" s="4" t="inlineStr">
        <is>
          <t>PHILIPPOS COSTANTINIDES TRADING CO. LTD</t>
        </is>
      </c>
    </row>
    <row r="3967" ht="24" customHeight="1">
      <c r="A3967" s="2">
        <f>+D3967-S3967</f>
        <v/>
      </c>
      <c r="B3967" s="126" t="n">
        <v>5555</v>
      </c>
      <c r="C3967" s="66" t="n">
        <v>46041</v>
      </c>
      <c r="D3967" s="2" t="n">
        <v>1</v>
      </c>
      <c r="E3967" s="3" t="inlineStr">
        <is>
          <t>FUCILE MONOCANNA</t>
        </is>
      </c>
      <c r="F3967" s="96" t="inlineStr">
        <is>
          <t>9</t>
        </is>
      </c>
      <c r="G3967" s="96" t="inlineStr">
        <is>
          <t>BERNARDELLI</t>
        </is>
      </c>
      <c r="H3967" s="107" t="inlineStr">
        <is>
          <t>CACCIA</t>
        </is>
      </c>
      <c r="I3967" s="65" t="inlineStr">
        <is>
          <t>10435</t>
        </is>
      </c>
      <c r="J3967" s="65" t="inlineStr">
        <is>
          <t>N/D</t>
        </is>
      </c>
      <c r="K3967" s="65" t="inlineStr">
        <is>
          <t>N/D</t>
        </is>
      </c>
      <c r="L3967" s="127" t="inlineStr">
        <is>
          <t>ANTONIONI SPORT CACCIA E PESCA SRLS</t>
        </is>
      </c>
      <c r="M3967" s="5" t="n">
        <v>25.747</v>
      </c>
      <c r="N3967" s="5" t="n"/>
      <c r="O3967" s="5">
        <f>+M3967+N3967</f>
        <v/>
      </c>
      <c r="P3967" s="4" t="n"/>
      <c r="Q3967" s="87" t="n"/>
      <c r="R3967" s="5" t="n">
        <v>30</v>
      </c>
      <c r="S3967" s="2" t="n">
        <v>1</v>
      </c>
      <c r="T3967" s="3" t="inlineStr">
        <is>
          <t>CA42796IR</t>
        </is>
      </c>
      <c r="U3967" s="87" t="n">
        <v>46041</v>
      </c>
      <c r="V3967" s="3" t="inlineStr">
        <is>
          <t>1</t>
        </is>
      </c>
      <c r="W3967" s="108" t="n">
        <v>46041</v>
      </c>
      <c r="X3967" s="4" t="inlineStr">
        <is>
          <t>PHILIPPOS COSTANTINIDES TRADING CO. LTD</t>
        </is>
      </c>
    </row>
    <row r="3968" ht="24" customHeight="1">
      <c r="A3968" s="2">
        <f>+D3968-S3968</f>
        <v/>
      </c>
      <c r="B3968" s="126" t="n">
        <v>5556</v>
      </c>
      <c r="C3968" s="66" t="n">
        <v>46041</v>
      </c>
      <c r="D3968" s="2" t="n">
        <v>1</v>
      </c>
      <c r="E3968" s="3" t="inlineStr">
        <is>
          <t>FUCILE MONOCANNA</t>
        </is>
      </c>
      <c r="F3968" s="96" t="inlineStr">
        <is>
          <t>12</t>
        </is>
      </c>
      <c r="G3968" s="96" t="inlineStr">
        <is>
          <t>BERETTA</t>
        </is>
      </c>
      <c r="H3968" s="107" t="inlineStr">
        <is>
          <t>CACCIA</t>
        </is>
      </c>
      <c r="I3968" s="65" t="inlineStr">
        <is>
          <t>C71784</t>
        </is>
      </c>
      <c r="J3968" s="65" t="inlineStr">
        <is>
          <t>N/D</t>
        </is>
      </c>
      <c r="K3968" s="65" t="inlineStr">
        <is>
          <t>N/D</t>
        </is>
      </c>
      <c r="L3968" s="127" t="inlineStr">
        <is>
          <t>ANTONIONI SPORT CACCIA E PESCA SRLS</t>
        </is>
      </c>
      <c r="M3968" s="5" t="n">
        <v>25.747</v>
      </c>
      <c r="N3968" s="5" t="n"/>
      <c r="O3968" s="5">
        <f>+M3968+N3968</f>
        <v/>
      </c>
      <c r="P3968" s="4" t="n"/>
      <c r="Q3968" s="87" t="n"/>
      <c r="R3968" s="5" t="n">
        <v>30</v>
      </c>
      <c r="S3968" s="2" t="n">
        <v>1</v>
      </c>
      <c r="T3968" s="3" t="inlineStr">
        <is>
          <t>CA42796IR</t>
        </is>
      </c>
      <c r="U3968" s="87" t="n">
        <v>46041</v>
      </c>
      <c r="V3968" s="3" t="inlineStr">
        <is>
          <t>1</t>
        </is>
      </c>
      <c r="W3968" s="108" t="n">
        <v>46041</v>
      </c>
      <c r="X3968" s="4" t="inlineStr">
        <is>
          <t>PHILIPPOS COSTANTINIDES TRADING CO. LTD</t>
        </is>
      </c>
    </row>
    <row r="3969" ht="24" customHeight="1">
      <c r="A3969" s="2">
        <f>+D3969-S3969</f>
        <v/>
      </c>
      <c r="B3969" s="126" t="n">
        <v>5557</v>
      </c>
      <c r="C3969" s="66" t="n">
        <v>46041</v>
      </c>
      <c r="D3969" s="2" t="n">
        <v>1</v>
      </c>
      <c r="E3969" s="3" t="inlineStr">
        <is>
          <t>FUCILE MONOCANNA</t>
        </is>
      </c>
      <c r="F3969" s="96" t="inlineStr">
        <is>
          <t>36</t>
        </is>
      </c>
      <c r="G3969" s="96" t="inlineStr">
        <is>
          <t>BERETTA</t>
        </is>
      </c>
      <c r="H3969" s="107" t="inlineStr">
        <is>
          <t>CACCIA</t>
        </is>
      </c>
      <c r="I3969" s="65" t="inlineStr">
        <is>
          <t>C141240</t>
        </is>
      </c>
      <c r="J3969" s="65" t="inlineStr">
        <is>
          <t>N/D</t>
        </is>
      </c>
      <c r="K3969" s="65" t="inlineStr">
        <is>
          <t>N/D</t>
        </is>
      </c>
      <c r="L3969" s="127" t="inlineStr">
        <is>
          <t>ANTONIONI SPORT CACCIA E PESCA SRLS</t>
        </is>
      </c>
      <c r="M3969" s="5" t="n">
        <v>25.747</v>
      </c>
      <c r="N3969" s="5" t="n"/>
      <c r="O3969" s="5">
        <f>+M3969+N3969</f>
        <v/>
      </c>
      <c r="P3969" s="4" t="n"/>
      <c r="Q3969" s="87" t="n"/>
      <c r="R3969" s="5" t="n">
        <v>30</v>
      </c>
      <c r="S3969" s="2" t="n">
        <v>1</v>
      </c>
      <c r="T3969" s="3" t="inlineStr">
        <is>
          <t>CA42796IR</t>
        </is>
      </c>
      <c r="U3969" s="87" t="n">
        <v>46041</v>
      </c>
      <c r="V3969" s="3" t="inlineStr">
        <is>
          <t>1</t>
        </is>
      </c>
      <c r="W3969" s="108" t="n">
        <v>46041</v>
      </c>
      <c r="X3969" s="4" t="inlineStr">
        <is>
          <t>PHILIPPOS COSTANTINIDES TRADING CO. LTD</t>
        </is>
      </c>
    </row>
    <row r="3970" ht="24" customHeight="1">
      <c r="A3970" s="2">
        <f>+D3970-S3970</f>
        <v/>
      </c>
      <c r="B3970" s="126" t="n">
        <v>5558</v>
      </c>
      <c r="C3970" s="66" t="n">
        <v>46041</v>
      </c>
      <c r="D3970" s="2" t="n">
        <v>1</v>
      </c>
      <c r="E3970" s="3" t="inlineStr">
        <is>
          <t>FUCILE MONOCANNA</t>
        </is>
      </c>
      <c r="F3970" s="96" t="inlineStr">
        <is>
          <t>9</t>
        </is>
      </c>
      <c r="G3970" s="96" t="inlineStr">
        <is>
          <t>FALCO</t>
        </is>
      </c>
      <c r="H3970" s="107" t="inlineStr">
        <is>
          <t>CACCIA</t>
        </is>
      </c>
      <c r="I3970" s="65" t="inlineStr">
        <is>
          <t>A13321</t>
        </is>
      </c>
      <c r="J3970" s="65" t="inlineStr">
        <is>
          <t>N/D</t>
        </is>
      </c>
      <c r="K3970" s="65" t="inlineStr">
        <is>
          <t>N/D</t>
        </is>
      </c>
      <c r="L3970" s="127" t="inlineStr">
        <is>
          <t>ANTONIONI SPORT CACCIA E PESCA SRLS</t>
        </is>
      </c>
      <c r="M3970" s="5" t="n">
        <v>25.747</v>
      </c>
      <c r="N3970" s="5" t="n"/>
      <c r="O3970" s="5">
        <f>+M3970+N3970</f>
        <v/>
      </c>
      <c r="P3970" s="4" t="n"/>
      <c r="Q3970" s="87" t="n"/>
      <c r="R3970" s="5" t="n">
        <v>30</v>
      </c>
      <c r="S3970" s="2" t="n">
        <v>1</v>
      </c>
      <c r="T3970" s="3" t="inlineStr">
        <is>
          <t>CA42796IR</t>
        </is>
      </c>
      <c r="U3970" s="87" t="n">
        <v>46041</v>
      </c>
      <c r="V3970" s="3" t="inlineStr">
        <is>
          <t>1</t>
        </is>
      </c>
      <c r="W3970" s="108" t="n">
        <v>46041</v>
      </c>
      <c r="X3970" s="4" t="inlineStr">
        <is>
          <t>PHILIPPOS COSTANTINIDES TRADING CO. LTD</t>
        </is>
      </c>
    </row>
    <row r="3971" ht="24" customHeight="1">
      <c r="A3971" s="2">
        <f>+D3971-S3971</f>
        <v/>
      </c>
      <c r="B3971" s="126" t="n">
        <v>5559</v>
      </c>
      <c r="C3971" s="66" t="n">
        <v>46041</v>
      </c>
      <c r="D3971" s="2" t="n">
        <v>1</v>
      </c>
      <c r="E3971" s="3" t="inlineStr">
        <is>
          <t>FUCILE MONOCANNA</t>
        </is>
      </c>
      <c r="F3971" s="96" t="inlineStr">
        <is>
          <t>28</t>
        </is>
      </c>
      <c r="G3971" s="96" t="inlineStr">
        <is>
          <t>SABATTI</t>
        </is>
      </c>
      <c r="H3971" s="107" t="inlineStr">
        <is>
          <t>CACCIA</t>
        </is>
      </c>
      <c r="I3971" s="65" t="inlineStr">
        <is>
          <t>42381</t>
        </is>
      </c>
      <c r="J3971" s="65" t="inlineStr">
        <is>
          <t>N/D</t>
        </is>
      </c>
      <c r="K3971" s="65" t="inlineStr">
        <is>
          <t>N/D</t>
        </is>
      </c>
      <c r="L3971" s="127" t="inlineStr">
        <is>
          <t>ANTONIONI SPORT CACCIA E PESCA SRLS</t>
        </is>
      </c>
      <c r="M3971" s="5" t="n">
        <v>25.747</v>
      </c>
      <c r="N3971" s="5" t="n"/>
      <c r="O3971" s="5">
        <f>+M3971+N3971</f>
        <v/>
      </c>
      <c r="P3971" s="4" t="n"/>
      <c r="Q3971" s="87" t="n"/>
      <c r="R3971" s="5" t="n">
        <v>30</v>
      </c>
      <c r="S3971" s="2" t="n">
        <v>1</v>
      </c>
      <c r="T3971" s="3" t="inlineStr">
        <is>
          <t>CA42796IR</t>
        </is>
      </c>
      <c r="U3971" s="87" t="n">
        <v>46041</v>
      </c>
      <c r="V3971" s="3" t="inlineStr">
        <is>
          <t>1</t>
        </is>
      </c>
      <c r="W3971" s="108" t="n">
        <v>46041</v>
      </c>
      <c r="X3971" s="4" t="inlineStr">
        <is>
          <t>PHILIPPOS COSTANTINIDES TRADING CO. LTD</t>
        </is>
      </c>
    </row>
    <row r="3972" ht="24" customHeight="1">
      <c r="A3972" s="2">
        <f>+D3972-S3972</f>
        <v/>
      </c>
      <c r="B3972" s="126" t="n">
        <v>5560</v>
      </c>
      <c r="C3972" s="66" t="n">
        <v>46041</v>
      </c>
      <c r="D3972" s="2" t="n">
        <v>1</v>
      </c>
      <c r="E3972" s="3" t="inlineStr">
        <is>
          <t>FUCILE MONOCANNA</t>
        </is>
      </c>
      <c r="F3972" s="96" t="inlineStr">
        <is>
          <t>8</t>
        </is>
      </c>
      <c r="G3972" s="96" t="inlineStr">
        <is>
          <t>ALBERTI</t>
        </is>
      </c>
      <c r="H3972" s="107" t="inlineStr">
        <is>
          <t>CACCIA</t>
        </is>
      </c>
      <c r="I3972" s="65" t="inlineStr">
        <is>
          <t>78650</t>
        </is>
      </c>
      <c r="J3972" s="65" t="inlineStr">
        <is>
          <t>N/D</t>
        </is>
      </c>
      <c r="K3972" s="65" t="inlineStr">
        <is>
          <t>N/D</t>
        </is>
      </c>
      <c r="L3972" s="127" t="inlineStr">
        <is>
          <t>ANTONIONI SPORT CACCIA E PESCA SRLS</t>
        </is>
      </c>
      <c r="M3972" s="5" t="n">
        <v>25.747</v>
      </c>
      <c r="N3972" s="5" t="n"/>
      <c r="O3972" s="5">
        <f>+M3972+N3972</f>
        <v/>
      </c>
      <c r="P3972" s="4" t="n"/>
      <c r="Q3972" s="87" t="n"/>
      <c r="R3972" s="5" t="n">
        <v>30</v>
      </c>
      <c r="S3972" s="2" t="n">
        <v>1</v>
      </c>
      <c r="T3972" s="3" t="inlineStr">
        <is>
          <t>CA42796IR</t>
        </is>
      </c>
      <c r="U3972" s="87" t="n">
        <v>46041</v>
      </c>
      <c r="V3972" s="3" t="inlineStr">
        <is>
          <t>1</t>
        </is>
      </c>
      <c r="W3972" s="108" t="n">
        <v>46041</v>
      </c>
      <c r="X3972" s="4" t="inlineStr">
        <is>
          <t>PHILIPPOS COSTANTINIDES TRADING CO. LTD</t>
        </is>
      </c>
    </row>
    <row r="3973" ht="24" customHeight="1">
      <c r="A3973" s="2">
        <f>+D3973-S3973</f>
        <v/>
      </c>
      <c r="B3973" s="126" t="n">
        <v>5561</v>
      </c>
      <c r="C3973" s="66" t="n">
        <v>46041</v>
      </c>
      <c r="D3973" s="2" t="n">
        <v>1</v>
      </c>
      <c r="E3973" s="3" t="inlineStr">
        <is>
          <t>FUCILE MONOCANNA</t>
        </is>
      </c>
      <c r="F3973" s="96" t="inlineStr">
        <is>
          <t>28</t>
        </is>
      </c>
      <c r="G3973" s="96" t="inlineStr">
        <is>
          <t>BERETTA</t>
        </is>
      </c>
      <c r="H3973" s="107" t="inlineStr">
        <is>
          <t>CACCIA</t>
        </is>
      </c>
      <c r="I3973" s="65" t="inlineStr">
        <is>
          <t>C99502</t>
        </is>
      </c>
      <c r="J3973" s="65" t="inlineStr">
        <is>
          <t>N/D</t>
        </is>
      </c>
      <c r="K3973" s="65" t="inlineStr">
        <is>
          <t>N/D</t>
        </is>
      </c>
      <c r="L3973" s="127" t="inlineStr">
        <is>
          <t>ANTONIONI SPORT CACCIA E PESCA SRLS</t>
        </is>
      </c>
      <c r="M3973" s="5" t="n">
        <v>25.747</v>
      </c>
      <c r="N3973" s="5" t="n"/>
      <c r="O3973" s="5">
        <f>+M3973+N3973</f>
        <v/>
      </c>
      <c r="P3973" s="4" t="n"/>
      <c r="Q3973" s="87" t="n"/>
      <c r="R3973" s="5" t="n">
        <v>30</v>
      </c>
      <c r="S3973" s="2" t="n">
        <v>1</v>
      </c>
      <c r="T3973" s="3" t="inlineStr">
        <is>
          <t>CA42796IR</t>
        </is>
      </c>
      <c r="U3973" s="87" t="n">
        <v>46041</v>
      </c>
      <c r="V3973" s="3" t="inlineStr">
        <is>
          <t>1</t>
        </is>
      </c>
      <c r="W3973" s="108" t="n">
        <v>46041</v>
      </c>
      <c r="X3973" s="4" t="inlineStr">
        <is>
          <t>PHILIPPOS COSTANTINIDES TRADING CO. LTD</t>
        </is>
      </c>
    </row>
    <row r="3974" ht="24" customHeight="1">
      <c r="A3974" s="2">
        <f>+D3974-S3974</f>
        <v/>
      </c>
      <c r="B3974" s="126" t="n">
        <v>5562</v>
      </c>
      <c r="C3974" s="66" t="n">
        <v>46041</v>
      </c>
      <c r="D3974" s="2" t="n">
        <v>1</v>
      </c>
      <c r="E3974" s="3" t="inlineStr">
        <is>
          <t>FUCILE MONOCANNA</t>
        </is>
      </c>
      <c r="F3974" s="96" t="inlineStr">
        <is>
          <t>9</t>
        </is>
      </c>
      <c r="G3974" s="96" t="inlineStr">
        <is>
          <t xml:space="preserve">JAGER </t>
        </is>
      </c>
      <c r="H3974" s="107" t="inlineStr">
        <is>
          <t>CACCIA</t>
        </is>
      </c>
      <c r="I3974" s="65" t="inlineStr">
        <is>
          <t>3273</t>
        </is>
      </c>
      <c r="J3974" s="65" t="inlineStr">
        <is>
          <t>N/D</t>
        </is>
      </c>
      <c r="K3974" s="65" t="inlineStr">
        <is>
          <t>N/D</t>
        </is>
      </c>
      <c r="L3974" s="127" t="inlineStr">
        <is>
          <t>ANTONIONI SPORT CACCIA E PESCA SRLS</t>
        </is>
      </c>
      <c r="M3974" s="5" t="n">
        <v>25.747</v>
      </c>
      <c r="N3974" s="5" t="n"/>
      <c r="O3974" s="5">
        <f>+M3974+N3974</f>
        <v/>
      </c>
      <c r="P3974" s="4" t="n"/>
      <c r="Q3974" s="87" t="n"/>
      <c r="R3974" s="5" t="n">
        <v>30</v>
      </c>
      <c r="S3974" s="2" t="n">
        <v>1</v>
      </c>
      <c r="T3974" s="3" t="inlineStr">
        <is>
          <t>CA42796IR</t>
        </is>
      </c>
      <c r="U3974" s="87" t="n">
        <v>46041</v>
      </c>
      <c r="V3974" s="3" t="inlineStr">
        <is>
          <t>1</t>
        </is>
      </c>
      <c r="W3974" s="108" t="n">
        <v>46041</v>
      </c>
      <c r="X3974" s="4" t="inlineStr">
        <is>
          <t>PHILIPPOS COSTANTINIDES TRADING CO. LTD</t>
        </is>
      </c>
    </row>
    <row r="3975" ht="24" customHeight="1">
      <c r="A3975" s="2">
        <f>+D3975-S3975</f>
        <v/>
      </c>
      <c r="B3975" s="126" t="n">
        <v>5563</v>
      </c>
      <c r="C3975" s="66" t="n">
        <v>46041</v>
      </c>
      <c r="D3975" s="2" t="n">
        <v>1</v>
      </c>
      <c r="E3975" s="3" t="inlineStr">
        <is>
          <t>FUCILE MONOCANNA</t>
        </is>
      </c>
      <c r="F3975" s="96" t="inlineStr">
        <is>
          <t>20</t>
        </is>
      </c>
      <c r="G3975" s="96" t="inlineStr">
        <is>
          <t>BERETTA</t>
        </is>
      </c>
      <c r="H3975" s="107" t="inlineStr">
        <is>
          <t>CACCIA</t>
        </is>
      </c>
      <c r="I3975" s="65" t="inlineStr">
        <is>
          <t>46946</t>
        </is>
      </c>
      <c r="J3975" s="65" t="inlineStr">
        <is>
          <t>N/D</t>
        </is>
      </c>
      <c r="K3975" s="65" t="inlineStr">
        <is>
          <t>N/D</t>
        </is>
      </c>
      <c r="L3975" s="127" t="inlineStr">
        <is>
          <t>ANTONIONI SPORT CACCIA E PESCA SRLS</t>
        </is>
      </c>
      <c r="M3975" s="5" t="n">
        <v>25.747</v>
      </c>
      <c r="N3975" s="5" t="n"/>
      <c r="O3975" s="5">
        <f>+M3975+N3975</f>
        <v/>
      </c>
      <c r="P3975" s="4" t="n"/>
      <c r="Q3975" s="87" t="n"/>
      <c r="R3975" s="5" t="n">
        <v>30</v>
      </c>
      <c r="S3975" s="2" t="n">
        <v>1</v>
      </c>
      <c r="T3975" s="3" t="inlineStr">
        <is>
          <t>CA42796IR</t>
        </is>
      </c>
      <c r="U3975" s="87" t="n">
        <v>46041</v>
      </c>
      <c r="V3975" s="3" t="inlineStr">
        <is>
          <t>1</t>
        </is>
      </c>
      <c r="W3975" s="108" t="n">
        <v>46041</v>
      </c>
      <c r="X3975" s="4" t="inlineStr">
        <is>
          <t>PHILIPPOS COSTANTINIDES TRADING CO. LTD</t>
        </is>
      </c>
    </row>
    <row r="3976" ht="24" customHeight="1">
      <c r="A3976" s="2">
        <f>+D3976-S3976</f>
        <v/>
      </c>
      <c r="B3976" s="126" t="n">
        <v>5564</v>
      </c>
      <c r="C3976" s="66" t="n">
        <v>46041</v>
      </c>
      <c r="D3976" s="2" t="n">
        <v>1</v>
      </c>
      <c r="E3976" s="3" t="inlineStr">
        <is>
          <t>FUCILE MONOCANNA</t>
        </is>
      </c>
      <c r="F3976" s="96" t="inlineStr">
        <is>
          <t>8</t>
        </is>
      </c>
      <c r="G3976" s="96" t="inlineStr">
        <is>
          <t>ALBERTI</t>
        </is>
      </c>
      <c r="H3976" s="107" t="inlineStr">
        <is>
          <t>CACCIA</t>
        </is>
      </c>
      <c r="I3976" s="65" t="inlineStr">
        <is>
          <t>A17155</t>
        </is>
      </c>
      <c r="J3976" s="65" t="inlineStr">
        <is>
          <t>N/D</t>
        </is>
      </c>
      <c r="K3976" s="65" t="inlineStr">
        <is>
          <t>N/D</t>
        </is>
      </c>
      <c r="L3976" s="127" t="inlineStr">
        <is>
          <t>ANTONIONI SPORT CACCIA E PESCA SRLS</t>
        </is>
      </c>
      <c r="M3976" s="5" t="n">
        <v>25.747</v>
      </c>
      <c r="N3976" s="5" t="n"/>
      <c r="O3976" s="5">
        <f>+M3976+N3976</f>
        <v/>
      </c>
      <c r="P3976" s="4" t="n"/>
      <c r="Q3976" s="87" t="n"/>
      <c r="R3976" s="5" t="n">
        <v>30</v>
      </c>
      <c r="S3976" s="2" t="n">
        <v>1</v>
      </c>
      <c r="T3976" s="3" t="inlineStr">
        <is>
          <t>CA42796IR</t>
        </is>
      </c>
      <c r="U3976" s="87" t="n">
        <v>46041</v>
      </c>
      <c r="V3976" s="3" t="inlineStr">
        <is>
          <t>1</t>
        </is>
      </c>
      <c r="W3976" s="108" t="n">
        <v>46041</v>
      </c>
      <c r="X3976" s="4" t="inlineStr">
        <is>
          <t>PHILIPPOS COSTANTINIDES TRADING CO. LTD</t>
        </is>
      </c>
    </row>
    <row r="3977" ht="24" customHeight="1">
      <c r="A3977" s="2">
        <f>+D3977-S3977</f>
        <v/>
      </c>
      <c r="B3977" s="126" t="n">
        <v>5565</v>
      </c>
      <c r="C3977" s="66" t="n">
        <v>46041</v>
      </c>
      <c r="D3977" s="2" t="n">
        <v>1</v>
      </c>
      <c r="E3977" s="3" t="inlineStr">
        <is>
          <t>FUCILE MONOCANNA</t>
        </is>
      </c>
      <c r="F3977" s="96" t="inlineStr">
        <is>
          <t>28</t>
        </is>
      </c>
      <c r="G3977" s="96" t="inlineStr">
        <is>
          <t>INVESTARM</t>
        </is>
      </c>
      <c r="H3977" s="107" t="inlineStr">
        <is>
          <t>CACCIA</t>
        </is>
      </c>
      <c r="I3977" s="65" t="inlineStr">
        <is>
          <t>313332</t>
        </is>
      </c>
      <c r="J3977" s="65" t="inlineStr">
        <is>
          <t>N/D</t>
        </is>
      </c>
      <c r="K3977" s="65" t="inlineStr">
        <is>
          <t>N/D</t>
        </is>
      </c>
      <c r="L3977" s="127" t="inlineStr">
        <is>
          <t>ANTONIONI SPORT CACCIA E PESCA SRLS</t>
        </is>
      </c>
      <c r="M3977" s="5" t="n">
        <v>25.747</v>
      </c>
      <c r="N3977" s="5" t="n"/>
      <c r="O3977" s="5">
        <f>+M3977+N3977</f>
        <v/>
      </c>
      <c r="P3977" s="4" t="n"/>
      <c r="Q3977" s="87" t="n"/>
      <c r="R3977" s="5" t="n">
        <v>30</v>
      </c>
      <c r="S3977" s="2" t="n">
        <v>1</v>
      </c>
      <c r="T3977" s="3" t="inlineStr">
        <is>
          <t>CA42796IR</t>
        </is>
      </c>
      <c r="U3977" s="87" t="n">
        <v>46041</v>
      </c>
      <c r="V3977" s="3" t="inlineStr">
        <is>
          <t>1</t>
        </is>
      </c>
      <c r="W3977" s="108" t="n">
        <v>46041</v>
      </c>
      <c r="X3977" s="4" t="inlineStr">
        <is>
          <t>PHILIPPOS COSTANTINIDES TRADING CO. LTD</t>
        </is>
      </c>
    </row>
    <row r="3978" ht="24" customHeight="1">
      <c r="A3978" s="2">
        <f>+D3978-S3978</f>
        <v/>
      </c>
      <c r="B3978" s="126" t="n">
        <v>5566</v>
      </c>
      <c r="C3978" s="66" t="n">
        <v>46041</v>
      </c>
      <c r="D3978" s="2" t="n">
        <v>1</v>
      </c>
      <c r="E3978" s="3" t="inlineStr">
        <is>
          <t>FUCILE MONOCANNA</t>
        </is>
      </c>
      <c r="F3978" s="96" t="inlineStr">
        <is>
          <t>8</t>
        </is>
      </c>
      <c r="G3978" s="96" t="inlineStr">
        <is>
          <t>ARTIGIANO</t>
        </is>
      </c>
      <c r="H3978" s="107" t="inlineStr">
        <is>
          <t>CACCIA</t>
        </is>
      </c>
      <c r="I3978" s="65" t="inlineStr">
        <is>
          <t>50516</t>
        </is>
      </c>
      <c r="J3978" s="65" t="inlineStr">
        <is>
          <t>N/D</t>
        </is>
      </c>
      <c r="K3978" s="65" t="inlineStr">
        <is>
          <t>N/D</t>
        </is>
      </c>
      <c r="L3978" s="127" t="inlineStr">
        <is>
          <t>ANTONIONI SPORT CACCIA E PESCA SRLS</t>
        </is>
      </c>
      <c r="M3978" s="5" t="n">
        <v>25.747</v>
      </c>
      <c r="N3978" s="5" t="n"/>
      <c r="O3978" s="5">
        <f>+M3978+N3978</f>
        <v/>
      </c>
      <c r="P3978" s="4" t="n"/>
      <c r="Q3978" s="87" t="n"/>
      <c r="R3978" s="5" t="n">
        <v>30</v>
      </c>
      <c r="S3978" s="2" t="n">
        <v>1</v>
      </c>
      <c r="T3978" s="3" t="inlineStr">
        <is>
          <t>CA42796IR</t>
        </is>
      </c>
      <c r="U3978" s="87" t="n">
        <v>46041</v>
      </c>
      <c r="V3978" s="3" t="inlineStr">
        <is>
          <t>1</t>
        </is>
      </c>
      <c r="W3978" s="108" t="n">
        <v>46041</v>
      </c>
      <c r="X3978" s="4" t="inlineStr">
        <is>
          <t>PHILIPPOS COSTANTINIDES TRADING CO. LTD</t>
        </is>
      </c>
    </row>
    <row r="3979" ht="24" customHeight="1">
      <c r="A3979" s="2">
        <f>+D3979-S3979</f>
        <v/>
      </c>
      <c r="B3979" s="126" t="n">
        <v>5567</v>
      </c>
      <c r="C3979" s="66" t="n">
        <v>46041</v>
      </c>
      <c r="D3979" s="2" t="n">
        <v>1</v>
      </c>
      <c r="E3979" s="3" t="inlineStr">
        <is>
          <t>FUCILE MONOCANNA</t>
        </is>
      </c>
      <c r="F3979" s="96" t="inlineStr">
        <is>
          <t>9</t>
        </is>
      </c>
      <c r="G3979" s="96" t="inlineStr">
        <is>
          <t>FALCO</t>
        </is>
      </c>
      <c r="H3979" s="107" t="inlineStr">
        <is>
          <t>CACCIA</t>
        </is>
      </c>
      <c r="I3979" s="65" t="inlineStr">
        <is>
          <t>31388</t>
        </is>
      </c>
      <c r="J3979" s="65" t="inlineStr">
        <is>
          <t>N/D</t>
        </is>
      </c>
      <c r="K3979" s="65" t="inlineStr">
        <is>
          <t>N/D</t>
        </is>
      </c>
      <c r="L3979" s="127" t="inlineStr">
        <is>
          <t>ANTONIONI SPORT CACCIA E PESCA SRLS</t>
        </is>
      </c>
      <c r="M3979" s="5" t="n">
        <v>25.747</v>
      </c>
      <c r="N3979" s="5" t="n"/>
      <c r="O3979" s="5">
        <f>+M3979+N3979</f>
        <v/>
      </c>
      <c r="P3979" s="4" t="n"/>
      <c r="Q3979" s="87" t="n"/>
      <c r="R3979" s="5" t="n">
        <v>30</v>
      </c>
      <c r="S3979" s="2" t="n">
        <v>1</v>
      </c>
      <c r="T3979" s="3" t="inlineStr">
        <is>
          <t>CA42796IR</t>
        </is>
      </c>
      <c r="U3979" s="87" t="n">
        <v>46041</v>
      </c>
      <c r="V3979" s="3" t="inlineStr">
        <is>
          <t>1</t>
        </is>
      </c>
      <c r="W3979" s="108" t="n">
        <v>46041</v>
      </c>
      <c r="X3979" s="4" t="inlineStr">
        <is>
          <t>PHILIPPOS COSTANTINIDES TRADING CO. LTD</t>
        </is>
      </c>
    </row>
    <row r="3980" ht="24" customHeight="1">
      <c r="A3980" s="2">
        <f>+D3980-S3980</f>
        <v/>
      </c>
      <c r="B3980" s="126" t="n">
        <v>5568</v>
      </c>
      <c r="C3980" s="66" t="n">
        <v>46041</v>
      </c>
      <c r="D3980" s="2" t="n">
        <v>1</v>
      </c>
      <c r="E3980" s="3" t="inlineStr">
        <is>
          <t>FUCILE MONOCANNA</t>
        </is>
      </c>
      <c r="F3980" s="96" t="inlineStr">
        <is>
          <t>8</t>
        </is>
      </c>
      <c r="G3980" s="96" t="inlineStr">
        <is>
          <t>RIZZININI</t>
        </is>
      </c>
      <c r="H3980" s="107" t="inlineStr">
        <is>
          <t>CACCIA</t>
        </is>
      </c>
      <c r="I3980" s="65" t="inlineStr">
        <is>
          <t>18471</t>
        </is>
      </c>
      <c r="J3980" s="65" t="inlineStr">
        <is>
          <t>N/D</t>
        </is>
      </c>
      <c r="K3980" s="65" t="inlineStr">
        <is>
          <t>N/D</t>
        </is>
      </c>
      <c r="L3980" s="127" t="inlineStr">
        <is>
          <t>ANTONIONI SPORT CACCIA E PESCA SRLS</t>
        </is>
      </c>
      <c r="M3980" s="5" t="n">
        <v>25.747</v>
      </c>
      <c r="N3980" s="5" t="n"/>
      <c r="O3980" s="5">
        <f>+M3980+N3980</f>
        <v/>
      </c>
      <c r="P3980" s="4" t="n"/>
      <c r="Q3980" s="87" t="n"/>
      <c r="R3980" s="5" t="n">
        <v>30</v>
      </c>
      <c r="S3980" s="2" t="n">
        <v>1</v>
      </c>
      <c r="T3980" s="3" t="inlineStr">
        <is>
          <t>CA42796IR</t>
        </is>
      </c>
      <c r="U3980" s="87" t="n">
        <v>46041</v>
      </c>
      <c r="V3980" s="3" t="inlineStr">
        <is>
          <t>1</t>
        </is>
      </c>
      <c r="W3980" s="108" t="n">
        <v>46041</v>
      </c>
      <c r="X3980" s="4" t="inlineStr">
        <is>
          <t>PHILIPPOS COSTANTINIDES TRADING CO. LTD</t>
        </is>
      </c>
    </row>
    <row r="3981" ht="24" customHeight="1">
      <c r="A3981" s="2">
        <f>+D3981-S3981</f>
        <v/>
      </c>
      <c r="B3981" s="126" t="n">
        <v>5569</v>
      </c>
      <c r="C3981" s="66" t="n">
        <v>46041</v>
      </c>
      <c r="D3981" s="2" t="n">
        <v>1</v>
      </c>
      <c r="E3981" s="3" t="inlineStr">
        <is>
          <t>FUCILE MONOCANNA</t>
        </is>
      </c>
      <c r="F3981" s="96" t="inlineStr">
        <is>
          <t>9</t>
        </is>
      </c>
      <c r="G3981" s="96" t="inlineStr">
        <is>
          <t>JAGER</t>
        </is>
      </c>
      <c r="H3981" s="107" t="inlineStr">
        <is>
          <t>CACCIA</t>
        </is>
      </c>
      <c r="I3981" s="65" t="inlineStr">
        <is>
          <t>5209</t>
        </is>
      </c>
      <c r="J3981" s="65" t="inlineStr">
        <is>
          <t>N/D</t>
        </is>
      </c>
      <c r="K3981" s="65" t="inlineStr">
        <is>
          <t>N/D</t>
        </is>
      </c>
      <c r="L3981" s="127" t="inlineStr">
        <is>
          <t>ANTONIONI SPORT CACCIA E PESCA SRLS</t>
        </is>
      </c>
      <c r="M3981" s="5" t="n">
        <v>25.747</v>
      </c>
      <c r="N3981" s="5" t="n"/>
      <c r="O3981" s="5">
        <f>+M3981+N3981</f>
        <v/>
      </c>
      <c r="P3981" s="4" t="n"/>
      <c r="Q3981" s="87" t="n"/>
      <c r="R3981" s="5" t="n">
        <v>30</v>
      </c>
      <c r="S3981" s="2" t="n">
        <v>1</v>
      </c>
      <c r="T3981" s="3" t="inlineStr">
        <is>
          <t>CA42796IR</t>
        </is>
      </c>
      <c r="U3981" s="87" t="n">
        <v>46041</v>
      </c>
      <c r="V3981" s="3" t="inlineStr">
        <is>
          <t>1</t>
        </is>
      </c>
      <c r="W3981" s="108" t="n">
        <v>46041</v>
      </c>
      <c r="X3981" s="4" t="inlineStr">
        <is>
          <t>PHILIPPOS COSTANTINIDES TRADING CO. LTD</t>
        </is>
      </c>
    </row>
    <row r="3982" ht="24" customHeight="1">
      <c r="A3982" s="2">
        <f>+D3982-S3982</f>
        <v/>
      </c>
      <c r="B3982" s="126" t="n">
        <v>5570</v>
      </c>
      <c r="C3982" s="66" t="n">
        <v>46041</v>
      </c>
      <c r="D3982" s="2" t="n">
        <v>1</v>
      </c>
      <c r="E3982" s="3" t="inlineStr">
        <is>
          <t>FUCILE MONOCANNA</t>
        </is>
      </c>
      <c r="F3982" s="96" t="inlineStr">
        <is>
          <t>28</t>
        </is>
      </c>
      <c r="G3982" s="96" t="inlineStr">
        <is>
          <t>PEDERSOLI</t>
        </is>
      </c>
      <c r="H3982" s="107" t="inlineStr">
        <is>
          <t>CACCIA</t>
        </is>
      </c>
      <c r="I3982" s="65" t="inlineStr">
        <is>
          <t>4612</t>
        </is>
      </c>
      <c r="J3982" s="65" t="inlineStr">
        <is>
          <t>N/D</t>
        </is>
      </c>
      <c r="K3982" s="65" t="inlineStr">
        <is>
          <t>N/D</t>
        </is>
      </c>
      <c r="L3982" s="127" t="inlineStr">
        <is>
          <t>ANTONIONI SPORT CACCIA E PESCA SRLS</t>
        </is>
      </c>
      <c r="M3982" s="5" t="n">
        <v>25.747</v>
      </c>
      <c r="N3982" s="5" t="n"/>
      <c r="O3982" s="5">
        <f>+M3982+N3982</f>
        <v/>
      </c>
      <c r="P3982" s="4" t="n"/>
      <c r="Q3982" s="87" t="n"/>
      <c r="R3982" s="5" t="n">
        <v>30</v>
      </c>
      <c r="S3982" s="2" t="n">
        <v>1</v>
      </c>
      <c r="T3982" s="3" t="inlineStr">
        <is>
          <t>CA42796IR</t>
        </is>
      </c>
      <c r="U3982" s="87" t="n">
        <v>46041</v>
      </c>
      <c r="V3982" s="3" t="inlineStr">
        <is>
          <t>1</t>
        </is>
      </c>
      <c r="W3982" s="108" t="n">
        <v>46041</v>
      </c>
      <c r="X3982" s="4" t="inlineStr">
        <is>
          <t>PHILIPPOS COSTANTINIDES TRADING CO. LTD</t>
        </is>
      </c>
    </row>
    <row r="3983" ht="24" customHeight="1">
      <c r="A3983" s="2">
        <f>+D3983-S3983</f>
        <v/>
      </c>
      <c r="B3983" s="126" t="n">
        <v>5571</v>
      </c>
      <c r="C3983" s="66" t="n">
        <v>46041</v>
      </c>
      <c r="D3983" s="2" t="n">
        <v>1</v>
      </c>
      <c r="E3983" s="3" t="inlineStr">
        <is>
          <t>FUCILE MONOCANNA</t>
        </is>
      </c>
      <c r="F3983" s="96" t="inlineStr">
        <is>
          <t>16</t>
        </is>
      </c>
      <c r="G3983" s="96" t="inlineStr">
        <is>
          <t>BERETTA</t>
        </is>
      </c>
      <c r="H3983" s="107" t="inlineStr">
        <is>
          <t>CACCIA</t>
        </is>
      </c>
      <c r="I3983" s="65" t="inlineStr">
        <is>
          <t>C144155</t>
        </is>
      </c>
      <c r="J3983" s="65" t="inlineStr">
        <is>
          <t>N/D</t>
        </is>
      </c>
      <c r="K3983" s="65" t="inlineStr">
        <is>
          <t>N/D</t>
        </is>
      </c>
      <c r="L3983" s="127" t="inlineStr">
        <is>
          <t>ANTONIONI SPORT CACCIA E PESCA SRLS</t>
        </is>
      </c>
      <c r="M3983" s="5" t="n">
        <v>25.747</v>
      </c>
      <c r="N3983" s="5" t="n"/>
      <c r="O3983" s="5">
        <f>+M3983+N3983</f>
        <v/>
      </c>
      <c r="P3983" s="4" t="n"/>
      <c r="Q3983" s="87" t="n"/>
      <c r="R3983" s="5" t="n">
        <v>30</v>
      </c>
      <c r="S3983" s="2" t="n">
        <v>1</v>
      </c>
      <c r="T3983" s="3" t="inlineStr">
        <is>
          <t>CA42796IR</t>
        </is>
      </c>
      <c r="U3983" s="87" t="n">
        <v>46041</v>
      </c>
      <c r="V3983" s="3" t="inlineStr">
        <is>
          <t>1</t>
        </is>
      </c>
      <c r="W3983" s="108" t="n">
        <v>46041</v>
      </c>
      <c r="X3983" s="4" t="inlineStr">
        <is>
          <t>PHILIPPOS COSTANTINIDES TRADING CO. LTD</t>
        </is>
      </c>
    </row>
    <row r="3984" ht="24" customHeight="1">
      <c r="A3984" s="2">
        <f>+D3984-S3984</f>
        <v/>
      </c>
      <c r="B3984" s="126" t="n">
        <v>5572</v>
      </c>
      <c r="C3984" s="66" t="n">
        <v>46041</v>
      </c>
      <c r="D3984" s="2" t="n">
        <v>1</v>
      </c>
      <c r="E3984" s="3" t="inlineStr">
        <is>
          <t>FUCILE MONOCANNA</t>
        </is>
      </c>
      <c r="F3984" s="96" t="inlineStr">
        <is>
          <t>32</t>
        </is>
      </c>
      <c r="G3984" s="96" t="inlineStr">
        <is>
          <t>BERETTA</t>
        </is>
      </c>
      <c r="H3984" s="107" t="inlineStr">
        <is>
          <t>CACCIA</t>
        </is>
      </c>
      <c r="I3984" s="65" t="inlineStr">
        <is>
          <t>D039164</t>
        </is>
      </c>
      <c r="J3984" s="65" t="inlineStr">
        <is>
          <t>N/D</t>
        </is>
      </c>
      <c r="K3984" s="65" t="inlineStr">
        <is>
          <t>N/D</t>
        </is>
      </c>
      <c r="L3984" s="127" t="inlineStr">
        <is>
          <t>ANTONIONI SPORT CACCIA E PESCA SRLS</t>
        </is>
      </c>
      <c r="M3984" s="5" t="n">
        <v>25.747</v>
      </c>
      <c r="N3984" s="5" t="n"/>
      <c r="O3984" s="5">
        <f>+M3984+N3984</f>
        <v/>
      </c>
      <c r="P3984" s="4" t="n"/>
      <c r="Q3984" s="87" t="n"/>
      <c r="R3984" s="5" t="n">
        <v>30</v>
      </c>
      <c r="S3984" s="2" t="n">
        <v>1</v>
      </c>
      <c r="T3984" s="3" t="inlineStr">
        <is>
          <t>CA42796IR</t>
        </is>
      </c>
      <c r="U3984" s="87" t="n">
        <v>46041</v>
      </c>
      <c r="V3984" s="3" t="inlineStr">
        <is>
          <t>1</t>
        </is>
      </c>
      <c r="W3984" s="108" t="n">
        <v>46041</v>
      </c>
      <c r="X3984" s="4" t="inlineStr">
        <is>
          <t>PHILIPPOS COSTANTINIDES TRADING CO. LTD</t>
        </is>
      </c>
    </row>
    <row r="3985" ht="24" customHeight="1">
      <c r="A3985" s="2">
        <f>+D3985-S3985</f>
        <v/>
      </c>
      <c r="B3985" s="126" t="n">
        <v>5573</v>
      </c>
      <c r="C3985" s="66" t="n">
        <v>46041</v>
      </c>
      <c r="D3985" s="2" t="n">
        <v>1</v>
      </c>
      <c r="E3985" s="3" t="inlineStr">
        <is>
          <t>FUCILE MONOCANNA</t>
        </is>
      </c>
      <c r="F3985" s="96" t="inlineStr">
        <is>
          <t>16</t>
        </is>
      </c>
      <c r="G3985" s="96" t="inlineStr">
        <is>
          <t>BERETTA</t>
        </is>
      </c>
      <c r="H3985" s="107" t="inlineStr">
        <is>
          <t>CACCIA</t>
        </is>
      </c>
      <c r="I3985" s="65" t="inlineStr">
        <is>
          <t>B91990</t>
        </is>
      </c>
      <c r="J3985" s="65" t="inlineStr">
        <is>
          <t>N/D</t>
        </is>
      </c>
      <c r="K3985" s="65" t="inlineStr">
        <is>
          <t>N/D</t>
        </is>
      </c>
      <c r="L3985" s="127" t="inlineStr">
        <is>
          <t>ANTONIONI SPORT CACCIA E PESCA SRLS</t>
        </is>
      </c>
      <c r="M3985" s="5" t="n">
        <v>25.747</v>
      </c>
      <c r="N3985" s="5" t="n"/>
      <c r="O3985" s="5">
        <f>+M3985+N3985</f>
        <v/>
      </c>
      <c r="P3985" s="4" t="n"/>
      <c r="Q3985" s="87" t="n"/>
      <c r="R3985" s="5" t="n">
        <v>30</v>
      </c>
      <c r="S3985" s="2" t="n">
        <v>1</v>
      </c>
      <c r="T3985" s="3" t="inlineStr">
        <is>
          <t>CA42796IR</t>
        </is>
      </c>
      <c r="U3985" s="87" t="n">
        <v>46041</v>
      </c>
      <c r="V3985" s="3" t="inlineStr">
        <is>
          <t>1</t>
        </is>
      </c>
      <c r="W3985" s="108" t="n">
        <v>46041</v>
      </c>
      <c r="X3985" s="4" t="inlineStr">
        <is>
          <t>PHILIPPOS COSTANTINIDES TRADING CO. LTD</t>
        </is>
      </c>
    </row>
    <row r="3986" ht="24" customHeight="1">
      <c r="A3986" s="2">
        <f>+D3986-S3986</f>
        <v/>
      </c>
      <c r="B3986" s="126" t="n">
        <v>5574</v>
      </c>
      <c r="C3986" s="66" t="n">
        <v>46041</v>
      </c>
      <c r="D3986" s="2" t="n">
        <v>1</v>
      </c>
      <c r="E3986" s="3" t="inlineStr">
        <is>
          <t>FUCILE MONOCANNA</t>
        </is>
      </c>
      <c r="F3986" s="96" t="inlineStr">
        <is>
          <t>20</t>
        </is>
      </c>
      <c r="G3986" s="96" t="inlineStr">
        <is>
          <t>BERETTA</t>
        </is>
      </c>
      <c r="H3986" s="107" t="inlineStr">
        <is>
          <t>CACCIA</t>
        </is>
      </c>
      <c r="I3986" s="65" t="inlineStr">
        <is>
          <t>D141150</t>
        </is>
      </c>
      <c r="J3986" s="65" t="inlineStr">
        <is>
          <t>N/D</t>
        </is>
      </c>
      <c r="K3986" s="65" t="inlineStr">
        <is>
          <t>N/D</t>
        </is>
      </c>
      <c r="L3986" s="127" t="inlineStr">
        <is>
          <t>ANTONIONI SPORT CACCIA E PESCA SRLS</t>
        </is>
      </c>
      <c r="M3986" s="5" t="n">
        <v>25.747</v>
      </c>
      <c r="N3986" s="5" t="n"/>
      <c r="O3986" s="5">
        <f>+M3986+N3986</f>
        <v/>
      </c>
      <c r="P3986" s="4" t="n"/>
      <c r="Q3986" s="87" t="n"/>
      <c r="R3986" s="5" t="n">
        <v>30</v>
      </c>
      <c r="S3986" s="2" t="n">
        <v>1</v>
      </c>
      <c r="T3986" s="3" t="inlineStr">
        <is>
          <t>CA42796IR</t>
        </is>
      </c>
      <c r="U3986" s="87" t="n">
        <v>46041</v>
      </c>
      <c r="V3986" s="3" t="inlineStr">
        <is>
          <t>1</t>
        </is>
      </c>
      <c r="W3986" s="108" t="n">
        <v>46041</v>
      </c>
      <c r="X3986" s="4" t="inlineStr">
        <is>
          <t>PHILIPPOS COSTANTINIDES TRADING CO. LTD</t>
        </is>
      </c>
    </row>
    <row r="3987" ht="24" customHeight="1">
      <c r="A3987" s="2">
        <f>+D3987-S3987</f>
        <v/>
      </c>
      <c r="B3987" s="126" t="n">
        <v>5575</v>
      </c>
      <c r="C3987" s="66" t="n">
        <v>46041</v>
      </c>
      <c r="D3987" s="2" t="n">
        <v>1</v>
      </c>
      <c r="E3987" s="3" t="inlineStr">
        <is>
          <t>FUCILE MONOCANNA</t>
        </is>
      </c>
      <c r="F3987" s="96" t="inlineStr">
        <is>
          <t xml:space="preserve">8 </t>
        </is>
      </c>
      <c r="G3987" s="96" t="inlineStr">
        <is>
          <t>FALCO</t>
        </is>
      </c>
      <c r="H3987" s="107" t="inlineStr">
        <is>
          <t>CACCIA</t>
        </is>
      </c>
      <c r="I3987" s="65" t="inlineStr">
        <is>
          <t>A25480</t>
        </is>
      </c>
      <c r="J3987" s="65" t="inlineStr">
        <is>
          <t>N/D</t>
        </is>
      </c>
      <c r="K3987" s="65" t="inlineStr">
        <is>
          <t>N/D</t>
        </is>
      </c>
      <c r="L3987" s="127" t="inlineStr">
        <is>
          <t>ANTONIONI SPORT CACCIA E PESCA SRLS</t>
        </is>
      </c>
      <c r="M3987" s="5" t="n">
        <v>25.747</v>
      </c>
      <c r="N3987" s="5" t="n"/>
      <c r="O3987" s="5">
        <f>+M3987+N3987</f>
        <v/>
      </c>
      <c r="P3987" s="4" t="n"/>
      <c r="Q3987" s="87" t="n"/>
      <c r="R3987" s="5" t="n">
        <v>30</v>
      </c>
      <c r="S3987" s="2" t="n">
        <v>1</v>
      </c>
      <c r="T3987" s="3" t="inlineStr">
        <is>
          <t>CA42796IR</t>
        </is>
      </c>
      <c r="U3987" s="87" t="n">
        <v>46041</v>
      </c>
      <c r="V3987" s="3" t="inlineStr">
        <is>
          <t>1</t>
        </is>
      </c>
      <c r="W3987" s="108" t="n">
        <v>46041</v>
      </c>
      <c r="X3987" s="4" t="inlineStr">
        <is>
          <t>PHILIPPOS COSTANTINIDES TRADING CO. LTD</t>
        </is>
      </c>
    </row>
    <row r="3988" ht="24" customHeight="1">
      <c r="A3988" s="2">
        <f>+D3988-S3988</f>
        <v/>
      </c>
      <c r="B3988" s="126" t="n">
        <v>5576</v>
      </c>
      <c r="C3988" s="66" t="n">
        <v>46041</v>
      </c>
      <c r="D3988" s="2" t="n">
        <v>1</v>
      </c>
      <c r="E3988" s="3" t="inlineStr">
        <is>
          <t>FUCILE MONOCANNA</t>
        </is>
      </c>
      <c r="F3988" s="96" t="inlineStr">
        <is>
          <t>8</t>
        </is>
      </c>
      <c r="G3988" s="96" t="inlineStr">
        <is>
          <t>FALCO</t>
        </is>
      </c>
      <c r="H3988" s="107" t="inlineStr">
        <is>
          <t>CACCIA</t>
        </is>
      </c>
      <c r="I3988" s="65" t="inlineStr">
        <is>
          <t>51537</t>
        </is>
      </c>
      <c r="J3988" s="65" t="inlineStr">
        <is>
          <t>N/D</t>
        </is>
      </c>
      <c r="K3988" s="65" t="inlineStr">
        <is>
          <t>N/D</t>
        </is>
      </c>
      <c r="L3988" s="127" t="inlineStr">
        <is>
          <t>ANTONIONI SPORT CACCIA E PESCA SRLS</t>
        </is>
      </c>
      <c r="M3988" s="5" t="n">
        <v>25.747</v>
      </c>
      <c r="N3988" s="5" t="n"/>
      <c r="O3988" s="5">
        <f>+M3988+N3988</f>
        <v/>
      </c>
      <c r="P3988" s="4" t="n"/>
      <c r="Q3988" s="87" t="n"/>
      <c r="R3988" s="5" t="n">
        <v>30</v>
      </c>
      <c r="S3988" s="2" t="n">
        <v>1</v>
      </c>
      <c r="T3988" s="3" t="inlineStr">
        <is>
          <t>CA42796IR</t>
        </is>
      </c>
      <c r="U3988" s="87" t="n">
        <v>46041</v>
      </c>
      <c r="V3988" s="3" t="inlineStr">
        <is>
          <t>1</t>
        </is>
      </c>
      <c r="W3988" s="108" t="n">
        <v>46041</v>
      </c>
      <c r="X3988" s="4" t="inlineStr">
        <is>
          <t>PHILIPPOS COSTANTINIDES TRADING CO. LTD</t>
        </is>
      </c>
    </row>
    <row r="3989" ht="24" customHeight="1">
      <c r="A3989" s="2">
        <f>+D3989-S3989</f>
        <v/>
      </c>
      <c r="B3989" s="126" t="n">
        <v>5577</v>
      </c>
      <c r="C3989" s="66" t="n">
        <v>46041</v>
      </c>
      <c r="D3989" s="2" t="n">
        <v>1</v>
      </c>
      <c r="E3989" s="3" t="inlineStr">
        <is>
          <t>FUCILE MONOCANNA</t>
        </is>
      </c>
      <c r="F3989" s="96" t="inlineStr">
        <is>
          <t>20</t>
        </is>
      </c>
      <c r="G3989" s="96" t="inlineStr">
        <is>
          <t>ARTIGIANO</t>
        </is>
      </c>
      <c r="H3989" s="107" t="inlineStr">
        <is>
          <t>CACCIA</t>
        </is>
      </c>
      <c r="I3989" s="65" t="inlineStr">
        <is>
          <t>189</t>
        </is>
      </c>
      <c r="J3989" s="65" t="inlineStr">
        <is>
          <t>N/D</t>
        </is>
      </c>
      <c r="K3989" s="65" t="inlineStr">
        <is>
          <t>N/D</t>
        </is>
      </c>
      <c r="L3989" s="127" t="inlineStr">
        <is>
          <t>ANTONIONI SPORT CACCIA E PESCA SRLS</t>
        </is>
      </c>
      <c r="M3989" s="5" t="n">
        <v>25.747</v>
      </c>
      <c r="N3989" s="5" t="n"/>
      <c r="O3989" s="5">
        <f>+M3989+N3989</f>
        <v/>
      </c>
      <c r="P3989" s="4" t="n"/>
      <c r="Q3989" s="87" t="n"/>
      <c r="R3989" s="5" t="n">
        <v>30</v>
      </c>
      <c r="S3989" s="2" t="n">
        <v>1</v>
      </c>
      <c r="T3989" s="3" t="inlineStr">
        <is>
          <t>CA42796IR</t>
        </is>
      </c>
      <c r="U3989" s="87" t="n">
        <v>46041</v>
      </c>
      <c r="V3989" s="3" t="inlineStr">
        <is>
          <t>1</t>
        </is>
      </c>
      <c r="W3989" s="108" t="n">
        <v>46041</v>
      </c>
      <c r="X3989" s="4" t="inlineStr">
        <is>
          <t>PHILIPPOS COSTANTINIDES TRADING CO. LTD</t>
        </is>
      </c>
    </row>
    <row r="3990" ht="24" customHeight="1">
      <c r="A3990" s="2">
        <f>+D3990-S3990</f>
        <v/>
      </c>
      <c r="B3990" s="126" t="n">
        <v>5578</v>
      </c>
      <c r="C3990" s="66" t="n">
        <v>46041</v>
      </c>
      <c r="D3990" s="2" t="n">
        <v>1</v>
      </c>
      <c r="E3990" s="3" t="inlineStr">
        <is>
          <t>FUCILE MONOCANNA</t>
        </is>
      </c>
      <c r="F3990" s="96" t="inlineStr">
        <is>
          <t>16</t>
        </is>
      </c>
      <c r="G3990" s="96" t="inlineStr">
        <is>
          <t>BERETTA</t>
        </is>
      </c>
      <c r="H3990" s="107" t="inlineStr">
        <is>
          <t>CACCIA</t>
        </is>
      </c>
      <c r="I3990" s="65" t="inlineStr">
        <is>
          <t>D059806</t>
        </is>
      </c>
      <c r="J3990" s="65" t="inlineStr">
        <is>
          <t>N/D</t>
        </is>
      </c>
      <c r="K3990" s="65" t="inlineStr">
        <is>
          <t>N/D</t>
        </is>
      </c>
      <c r="L3990" s="127" t="inlineStr">
        <is>
          <t>ANTONIONI SPORT CACCIA E PESCA SRLS</t>
        </is>
      </c>
      <c r="M3990" s="5" t="n">
        <v>25.747</v>
      </c>
      <c r="N3990" s="5" t="n"/>
      <c r="O3990" s="5">
        <f>+M3990+N3990</f>
        <v/>
      </c>
      <c r="P3990" s="4" t="n"/>
      <c r="Q3990" s="87" t="n"/>
      <c r="R3990" s="5" t="n">
        <v>30</v>
      </c>
      <c r="S3990" s="2" t="n">
        <v>1</v>
      </c>
      <c r="T3990" s="3" t="inlineStr">
        <is>
          <t>CA42796IR</t>
        </is>
      </c>
      <c r="U3990" s="87" t="n">
        <v>46041</v>
      </c>
      <c r="V3990" s="3" t="inlineStr">
        <is>
          <t>1</t>
        </is>
      </c>
      <c r="W3990" s="108" t="n">
        <v>46041</v>
      </c>
      <c r="X3990" s="4" t="inlineStr">
        <is>
          <t>PHILIPPOS COSTANTINIDES TRADING CO. LTD</t>
        </is>
      </c>
    </row>
    <row r="3991" ht="24" customHeight="1">
      <c r="A3991" s="2">
        <f>+D3991-S3991</f>
        <v/>
      </c>
      <c r="B3991" s="126" t="n">
        <v>5579</v>
      </c>
      <c r="C3991" s="66" t="n">
        <v>46041</v>
      </c>
      <c r="D3991" s="2" t="n">
        <v>1</v>
      </c>
      <c r="E3991" s="3" t="inlineStr">
        <is>
          <t>FUCILE MONOCANNA</t>
        </is>
      </c>
      <c r="F3991" s="96" t="inlineStr">
        <is>
          <t>8</t>
        </is>
      </c>
      <c r="G3991" s="96" t="inlineStr">
        <is>
          <t>POLI</t>
        </is>
      </c>
      <c r="H3991" s="107" t="inlineStr">
        <is>
          <t>CACCIA</t>
        </is>
      </c>
      <c r="I3991" s="65" t="inlineStr">
        <is>
          <t>B06013</t>
        </is>
      </c>
      <c r="J3991" s="65" t="inlineStr">
        <is>
          <t>N/D</t>
        </is>
      </c>
      <c r="K3991" s="65" t="inlineStr">
        <is>
          <t>N/D</t>
        </is>
      </c>
      <c r="L3991" s="127" t="inlineStr">
        <is>
          <t>ANTONIONI SPORT CACCIA E PESCA SRLS</t>
        </is>
      </c>
      <c r="M3991" s="5" t="n">
        <v>25.747</v>
      </c>
      <c r="N3991" s="5" t="n"/>
      <c r="O3991" s="5">
        <f>+M3991+N3991</f>
        <v/>
      </c>
      <c r="P3991" s="4" t="n"/>
      <c r="Q3991" s="87" t="n"/>
      <c r="R3991" s="5" t="n">
        <v>30</v>
      </c>
      <c r="S3991" s="2" t="n">
        <v>1</v>
      </c>
      <c r="T3991" s="3" t="inlineStr">
        <is>
          <t>CA42796IR</t>
        </is>
      </c>
      <c r="U3991" s="87" t="n">
        <v>46041</v>
      </c>
      <c r="V3991" s="3" t="inlineStr">
        <is>
          <t>1</t>
        </is>
      </c>
      <c r="W3991" s="108" t="n">
        <v>46041</v>
      </c>
      <c r="X3991" s="4" t="inlineStr">
        <is>
          <t>PHILIPPOS COSTANTINIDES TRADING CO. LTD</t>
        </is>
      </c>
    </row>
    <row r="3992" ht="24" customHeight="1">
      <c r="A3992" s="2">
        <f>+D3992-S3992</f>
        <v/>
      </c>
      <c r="B3992" s="126" t="n">
        <v>5580</v>
      </c>
      <c r="C3992" s="66" t="n">
        <v>46041</v>
      </c>
      <c r="D3992" s="2" t="n">
        <v>1</v>
      </c>
      <c r="E3992" s="3" t="inlineStr">
        <is>
          <t>FUCILE MONOCANNA</t>
        </is>
      </c>
      <c r="F3992" s="96" t="inlineStr">
        <is>
          <t>28</t>
        </is>
      </c>
      <c r="G3992" s="96" t="inlineStr">
        <is>
          <t>BERETTA</t>
        </is>
      </c>
      <c r="H3992" s="107" t="inlineStr">
        <is>
          <t>CACCIA</t>
        </is>
      </c>
      <c r="I3992" s="65" t="inlineStr">
        <is>
          <t>D076411</t>
        </is>
      </c>
      <c r="J3992" s="65" t="inlineStr">
        <is>
          <t>N/D</t>
        </is>
      </c>
      <c r="K3992" s="65" t="inlineStr">
        <is>
          <t>N/D</t>
        </is>
      </c>
      <c r="L3992" s="127" t="inlineStr">
        <is>
          <t>ANTONIONI SPORT CACCIA E PESCA SRLS</t>
        </is>
      </c>
      <c r="M3992" s="5" t="n">
        <v>25.747</v>
      </c>
      <c r="N3992" s="5" t="n"/>
      <c r="O3992" s="5">
        <f>+M3992+N3992</f>
        <v/>
      </c>
      <c r="P3992" s="4" t="n"/>
      <c r="Q3992" s="87" t="n"/>
      <c r="R3992" s="5" t="n">
        <v>30</v>
      </c>
      <c r="S3992" s="2" t="n">
        <v>1</v>
      </c>
      <c r="T3992" s="3" t="inlineStr">
        <is>
          <t>CA42796IR</t>
        </is>
      </c>
      <c r="U3992" s="87" t="n">
        <v>46041</v>
      </c>
      <c r="V3992" s="3" t="inlineStr">
        <is>
          <t>1</t>
        </is>
      </c>
      <c r="W3992" s="108" t="n">
        <v>46041</v>
      </c>
      <c r="X3992" s="4" t="inlineStr">
        <is>
          <t>PHILIPPOS COSTANTINIDES TRADING CO. LTD</t>
        </is>
      </c>
    </row>
    <row r="3993" ht="24" customHeight="1">
      <c r="A3993" s="2">
        <f>+D3993-S3993</f>
        <v/>
      </c>
      <c r="B3993" s="126" t="n">
        <v>5581</v>
      </c>
      <c r="C3993" s="66" t="n">
        <v>46041</v>
      </c>
      <c r="D3993" s="2" t="n">
        <v>1</v>
      </c>
      <c r="E3993" s="3" t="inlineStr">
        <is>
          <t>FUCILE MONOCANNA</t>
        </is>
      </c>
      <c r="F3993" s="96" t="inlineStr">
        <is>
          <t>28</t>
        </is>
      </c>
      <c r="G3993" s="96" t="inlineStr">
        <is>
          <t>ZANOLETTI</t>
        </is>
      </c>
      <c r="H3993" s="107" t="inlineStr">
        <is>
          <t>CACCIA</t>
        </is>
      </c>
      <c r="I3993" s="65" t="inlineStr">
        <is>
          <t>42736</t>
        </is>
      </c>
      <c r="J3993" s="65" t="inlineStr">
        <is>
          <t>N/D</t>
        </is>
      </c>
      <c r="K3993" s="65" t="inlineStr">
        <is>
          <t>N/D</t>
        </is>
      </c>
      <c r="L3993" s="127" t="inlineStr">
        <is>
          <t>ANTONIONI SPORT CACCIA E PESCA SRLS</t>
        </is>
      </c>
      <c r="M3993" s="5" t="n">
        <v>25.747</v>
      </c>
      <c r="N3993" s="5" t="n"/>
      <c r="O3993" s="5">
        <f>+M3993+N3993</f>
        <v/>
      </c>
      <c r="P3993" s="4" t="n"/>
      <c r="Q3993" s="87" t="n"/>
      <c r="R3993" s="5" t="n">
        <v>30</v>
      </c>
      <c r="S3993" s="2" t="n">
        <v>1</v>
      </c>
      <c r="T3993" s="3" t="inlineStr">
        <is>
          <t>CA42796IR</t>
        </is>
      </c>
      <c r="U3993" s="87" t="n">
        <v>46041</v>
      </c>
      <c r="V3993" s="3" t="inlineStr">
        <is>
          <t>1</t>
        </is>
      </c>
      <c r="W3993" s="108" t="n">
        <v>46041</v>
      </c>
      <c r="X3993" s="4" t="inlineStr">
        <is>
          <t>PHILIPPOS COSTANTINIDES TRADING CO. LTD</t>
        </is>
      </c>
    </row>
    <row r="3994" ht="24" customHeight="1">
      <c r="A3994" s="2">
        <f>+D3994-S3994</f>
        <v/>
      </c>
      <c r="B3994" s="126" t="n">
        <v>5582</v>
      </c>
      <c r="C3994" s="66" t="n">
        <v>46041</v>
      </c>
      <c r="D3994" s="2" t="n">
        <v>1</v>
      </c>
      <c r="E3994" s="3" t="inlineStr">
        <is>
          <t>FUCILE MONOCANNA</t>
        </is>
      </c>
      <c r="F3994" s="96" t="inlineStr">
        <is>
          <t>8</t>
        </is>
      </c>
      <c r="G3994" s="96" t="inlineStr">
        <is>
          <t>FALCO</t>
        </is>
      </c>
      <c r="H3994" s="107" t="inlineStr">
        <is>
          <t>CACCIA</t>
        </is>
      </c>
      <c r="I3994" s="65" t="inlineStr">
        <is>
          <t>A17141</t>
        </is>
      </c>
      <c r="J3994" s="65" t="inlineStr">
        <is>
          <t>N/D</t>
        </is>
      </c>
      <c r="K3994" s="65" t="inlineStr">
        <is>
          <t>N/D</t>
        </is>
      </c>
      <c r="L3994" s="127" t="inlineStr">
        <is>
          <t>ANTONIONI SPORT CACCIA E PESCA SRLS</t>
        </is>
      </c>
      <c r="M3994" s="5" t="n">
        <v>25.747</v>
      </c>
      <c r="N3994" s="5" t="n"/>
      <c r="O3994" s="5">
        <f>+M3994+N3994</f>
        <v/>
      </c>
      <c r="P3994" s="4" t="n"/>
      <c r="Q3994" s="87" t="n"/>
      <c r="R3994" s="5" t="n">
        <v>30</v>
      </c>
      <c r="S3994" s="2" t="n">
        <v>1</v>
      </c>
      <c r="T3994" s="3" t="inlineStr">
        <is>
          <t>CA42796IR</t>
        </is>
      </c>
      <c r="U3994" s="87" t="n">
        <v>46041</v>
      </c>
      <c r="V3994" s="3" t="inlineStr">
        <is>
          <t>1</t>
        </is>
      </c>
      <c r="W3994" s="108" t="n">
        <v>46041</v>
      </c>
      <c r="X3994" s="4" t="inlineStr">
        <is>
          <t>PHILIPPOS COSTANTINIDES TRADING CO. LTD</t>
        </is>
      </c>
    </row>
    <row r="3995" ht="24" customHeight="1">
      <c r="A3995" s="2">
        <f>+D3995-S3995</f>
        <v/>
      </c>
      <c r="B3995" s="126" t="n">
        <v>5583</v>
      </c>
      <c r="C3995" s="66" t="n">
        <v>46041</v>
      </c>
      <c r="D3995" s="2" t="n">
        <v>1</v>
      </c>
      <c r="E3995" s="3" t="inlineStr">
        <is>
          <t>FUCILE MONOCANNA</t>
        </is>
      </c>
      <c r="F3995" s="96" t="inlineStr">
        <is>
          <t>16</t>
        </is>
      </c>
      <c r="G3995" s="96" t="inlineStr">
        <is>
          <t>BERETTA</t>
        </is>
      </c>
      <c r="H3995" s="107" t="inlineStr">
        <is>
          <t>CACCIA</t>
        </is>
      </c>
      <c r="I3995" s="65" t="inlineStr">
        <is>
          <t>B68510</t>
        </is>
      </c>
      <c r="J3995" s="65" t="inlineStr">
        <is>
          <t>N/D</t>
        </is>
      </c>
      <c r="K3995" s="65" t="inlineStr">
        <is>
          <t>N/D</t>
        </is>
      </c>
      <c r="L3995" s="127" t="inlineStr">
        <is>
          <t>ANTONIONI SPORT CACCIA E PESCA SRLS</t>
        </is>
      </c>
      <c r="M3995" s="5" t="n">
        <v>25.747</v>
      </c>
      <c r="N3995" s="5" t="n"/>
      <c r="O3995" s="5">
        <f>+M3995+N3995</f>
        <v/>
      </c>
      <c r="P3995" s="4" t="n"/>
      <c r="Q3995" s="87" t="n"/>
      <c r="R3995" s="5" t="n">
        <v>30</v>
      </c>
      <c r="S3995" s="2" t="n">
        <v>1</v>
      </c>
      <c r="T3995" s="3" t="inlineStr">
        <is>
          <t>CA42796IR</t>
        </is>
      </c>
      <c r="U3995" s="87" t="n">
        <v>46041</v>
      </c>
      <c r="V3995" s="3" t="inlineStr">
        <is>
          <t>1</t>
        </is>
      </c>
      <c r="W3995" s="108" t="n">
        <v>46041</v>
      </c>
      <c r="X3995" s="4" t="inlineStr">
        <is>
          <t>PHILIPPOS COSTANTINIDES TRADING CO. LTD</t>
        </is>
      </c>
    </row>
    <row r="3996" ht="24" customHeight="1">
      <c r="A3996" s="2">
        <f>+D3996-S3996</f>
        <v/>
      </c>
      <c r="B3996" s="126" t="n">
        <v>5584</v>
      </c>
      <c r="C3996" s="66" t="n">
        <v>46041</v>
      </c>
      <c r="D3996" s="2" t="n">
        <v>1</v>
      </c>
      <c r="E3996" s="3" t="inlineStr">
        <is>
          <t>FUCILE MONOCANNA</t>
        </is>
      </c>
      <c r="F3996" s="96" t="inlineStr">
        <is>
          <t>20</t>
        </is>
      </c>
      <c r="G3996" s="96" t="inlineStr">
        <is>
          <t>DAFFINI</t>
        </is>
      </c>
      <c r="H3996" s="107" t="inlineStr">
        <is>
          <t>CACCIA</t>
        </is>
      </c>
      <c r="I3996" s="65" t="inlineStr">
        <is>
          <t>04682</t>
        </is>
      </c>
      <c r="J3996" s="65" t="inlineStr">
        <is>
          <t>N/D</t>
        </is>
      </c>
      <c r="K3996" s="65" t="inlineStr">
        <is>
          <t>N/D</t>
        </is>
      </c>
      <c r="L3996" s="127" t="inlineStr">
        <is>
          <t>ANTONIONI SPORT CACCIA E PESCA SRLS</t>
        </is>
      </c>
      <c r="M3996" s="5" t="n">
        <v>25.747</v>
      </c>
      <c r="N3996" s="5" t="n"/>
      <c r="O3996" s="5">
        <f>+M3996+N3996</f>
        <v/>
      </c>
      <c r="P3996" s="4" t="n"/>
      <c r="Q3996" s="87" t="n"/>
      <c r="R3996" s="5" t="n">
        <v>30</v>
      </c>
      <c r="S3996" s="2" t="n">
        <v>1</v>
      </c>
      <c r="T3996" s="3" t="inlineStr">
        <is>
          <t>CA42796IR</t>
        </is>
      </c>
      <c r="U3996" s="87" t="n">
        <v>46041</v>
      </c>
      <c r="V3996" s="3" t="inlineStr">
        <is>
          <t>1</t>
        </is>
      </c>
      <c r="W3996" s="108" t="n">
        <v>46041</v>
      </c>
      <c r="X3996" s="4" t="inlineStr">
        <is>
          <t>PHILIPPOS COSTANTINIDES TRADING CO. LTD</t>
        </is>
      </c>
    </row>
    <row r="3997" ht="24" customHeight="1">
      <c r="A3997" s="2">
        <f>+D3997-S3997</f>
        <v/>
      </c>
      <c r="B3997" s="126" t="n">
        <v>5585</v>
      </c>
      <c r="C3997" s="66" t="n">
        <v>46041</v>
      </c>
      <c r="D3997" s="2" t="n">
        <v>1</v>
      </c>
      <c r="E3997" s="3" t="inlineStr">
        <is>
          <t>FUCILE MONOCANNA</t>
        </is>
      </c>
      <c r="F3997" s="96" t="inlineStr">
        <is>
          <t>12</t>
        </is>
      </c>
      <c r="G3997" s="96" t="inlineStr">
        <is>
          <t>ARTIGIANO</t>
        </is>
      </c>
      <c r="H3997" s="107" t="inlineStr">
        <is>
          <t>CACCIA</t>
        </is>
      </c>
      <c r="I3997" s="65" t="inlineStr">
        <is>
          <t>170224</t>
        </is>
      </c>
      <c r="J3997" s="65" t="inlineStr">
        <is>
          <t>N/D</t>
        </is>
      </c>
      <c r="K3997" s="65" t="inlineStr">
        <is>
          <t>N/D</t>
        </is>
      </c>
      <c r="L3997" s="127" t="inlineStr">
        <is>
          <t>ANTONIONI SPORT CACCIA E PESCA SRLS</t>
        </is>
      </c>
      <c r="M3997" s="5" t="n">
        <v>25.747</v>
      </c>
      <c r="N3997" s="5" t="n"/>
      <c r="O3997" s="5">
        <f>+M3997+N3997</f>
        <v/>
      </c>
      <c r="P3997" s="4" t="n"/>
      <c r="Q3997" s="87" t="n"/>
      <c r="R3997" s="5" t="n">
        <v>30</v>
      </c>
      <c r="S3997" s="2" t="n">
        <v>1</v>
      </c>
      <c r="T3997" s="3" t="inlineStr">
        <is>
          <t>CA42796IR</t>
        </is>
      </c>
      <c r="U3997" s="87" t="n">
        <v>46041</v>
      </c>
      <c r="V3997" s="3" t="inlineStr">
        <is>
          <t>1</t>
        </is>
      </c>
      <c r="W3997" s="108" t="n">
        <v>46041</v>
      </c>
      <c r="X3997" s="4" t="inlineStr">
        <is>
          <t>PHILIPPOS COSTANTINIDES TRADING CO. LTD</t>
        </is>
      </c>
    </row>
    <row r="3998" ht="24" customHeight="1">
      <c r="A3998" s="2">
        <f>+D3998-S3998</f>
        <v/>
      </c>
      <c r="B3998" s="126" t="n">
        <v>5586</v>
      </c>
      <c r="C3998" s="66" t="n">
        <v>46041</v>
      </c>
      <c r="D3998" s="2" t="n">
        <v>1</v>
      </c>
      <c r="E3998" s="3" t="inlineStr">
        <is>
          <t>FUCILE MONOCANNA</t>
        </is>
      </c>
      <c r="F3998" s="96" t="inlineStr">
        <is>
          <t>410</t>
        </is>
      </c>
      <c r="G3998" s="96" t="inlineStr">
        <is>
          <t>INVESTARM</t>
        </is>
      </c>
      <c r="H3998" s="107" t="inlineStr">
        <is>
          <t>CACCIA</t>
        </is>
      </c>
      <c r="I3998" s="65" t="inlineStr">
        <is>
          <t>147289</t>
        </is>
      </c>
      <c r="J3998" s="65" t="inlineStr">
        <is>
          <t>N/D</t>
        </is>
      </c>
      <c r="K3998" s="65" t="inlineStr">
        <is>
          <t>N/D</t>
        </is>
      </c>
      <c r="L3998" s="127" t="inlineStr">
        <is>
          <t>ANTONIONI SPORT CACCIA E PESCA SRLS</t>
        </is>
      </c>
      <c r="M3998" s="5" t="n">
        <v>25.747</v>
      </c>
      <c r="N3998" s="5" t="n"/>
      <c r="O3998" s="5">
        <f>+M3998+N3998</f>
        <v/>
      </c>
      <c r="P3998" s="4" t="n"/>
      <c r="Q3998" s="87" t="n"/>
      <c r="R3998" s="5" t="n">
        <v>30</v>
      </c>
      <c r="S3998" s="2" t="n">
        <v>1</v>
      </c>
      <c r="T3998" s="3" t="inlineStr">
        <is>
          <t>CA42796IR</t>
        </is>
      </c>
      <c r="U3998" s="87" t="n">
        <v>46041</v>
      </c>
      <c r="V3998" s="3" t="inlineStr">
        <is>
          <t>1</t>
        </is>
      </c>
      <c r="W3998" s="108" t="n">
        <v>46041</v>
      </c>
      <c r="X3998" s="4" t="inlineStr">
        <is>
          <t>PHILIPPOS COSTANTINIDES TRADING CO. LTD</t>
        </is>
      </c>
    </row>
    <row r="3999" ht="24" customHeight="1">
      <c r="A3999" s="2">
        <f>+D3999-S3999</f>
        <v/>
      </c>
      <c r="B3999" s="126" t="n">
        <v>5587</v>
      </c>
      <c r="C3999" s="66" t="n">
        <v>46041</v>
      </c>
      <c r="D3999" s="2" t="n">
        <v>1</v>
      </c>
      <c r="E3999" s="3" t="inlineStr">
        <is>
          <t>FUCILE MONOCANNA</t>
        </is>
      </c>
      <c r="F3999" s="96" t="inlineStr">
        <is>
          <t>32</t>
        </is>
      </c>
      <c r="G3999" s="96" t="inlineStr">
        <is>
          <t>BERETTA</t>
        </is>
      </c>
      <c r="H3999" s="107" t="inlineStr">
        <is>
          <t>CACCIA</t>
        </is>
      </c>
      <c r="I3999" s="65" t="inlineStr">
        <is>
          <t>88348</t>
        </is>
      </c>
      <c r="J3999" s="65" t="inlineStr">
        <is>
          <t>N/D</t>
        </is>
      </c>
      <c r="K3999" s="65" t="inlineStr">
        <is>
          <t>N/D</t>
        </is>
      </c>
      <c r="L3999" s="127" t="inlineStr">
        <is>
          <t>ANTONIONI SPORT CACCIA E PESCA SRLS</t>
        </is>
      </c>
      <c r="M3999" s="5" t="n">
        <v>25.747</v>
      </c>
      <c r="N3999" s="5" t="n"/>
      <c r="O3999" s="5">
        <f>+M3999+N3999</f>
        <v/>
      </c>
      <c r="P3999" s="4" t="n"/>
      <c r="Q3999" s="87" t="n"/>
      <c r="R3999" s="5" t="n">
        <v>30</v>
      </c>
      <c r="S3999" s="2" t="n">
        <v>1</v>
      </c>
      <c r="T3999" s="3" t="inlineStr">
        <is>
          <t>CA42796IR</t>
        </is>
      </c>
      <c r="U3999" s="87" t="n">
        <v>46041</v>
      </c>
      <c r="V3999" s="3" t="inlineStr">
        <is>
          <t>1</t>
        </is>
      </c>
      <c r="W3999" s="108" t="n">
        <v>46041</v>
      </c>
      <c r="X3999" s="4" t="inlineStr">
        <is>
          <t>PHILIPPOS COSTANTINIDES TRADING CO. LTD</t>
        </is>
      </c>
    </row>
    <row r="4000" ht="24" customHeight="1">
      <c r="A4000" s="2">
        <f>+D4000-S4000</f>
        <v/>
      </c>
      <c r="B4000" s="126" t="n">
        <v>5588</v>
      </c>
      <c r="C4000" s="66" t="n">
        <v>46041</v>
      </c>
      <c r="D4000" s="2" t="n">
        <v>1</v>
      </c>
      <c r="E4000" s="3" t="inlineStr">
        <is>
          <t>FUCILE MONOCANNA</t>
        </is>
      </c>
      <c r="F4000" s="96" t="inlineStr">
        <is>
          <t>24</t>
        </is>
      </c>
      <c r="G4000" s="96" t="inlineStr">
        <is>
          <t>BERETTA</t>
        </is>
      </c>
      <c r="H4000" s="107" t="inlineStr">
        <is>
          <t>CACCIA</t>
        </is>
      </c>
      <c r="I4000" s="65" t="inlineStr">
        <is>
          <t>B30956</t>
        </is>
      </c>
      <c r="J4000" s="65" t="inlineStr">
        <is>
          <t>N/D</t>
        </is>
      </c>
      <c r="K4000" s="65" t="inlineStr">
        <is>
          <t>N/D</t>
        </is>
      </c>
      <c r="L4000" s="127" t="inlineStr">
        <is>
          <t>ANTONIONI SPORT CACCIA E PESCA SRLS</t>
        </is>
      </c>
      <c r="M4000" s="5" t="n">
        <v>25.747</v>
      </c>
      <c r="N4000" s="5" t="n"/>
      <c r="O4000" s="5">
        <f>+M4000+N4000</f>
        <v/>
      </c>
      <c r="P4000" s="4" t="n"/>
      <c r="Q4000" s="87" t="n"/>
      <c r="R4000" s="5" t="n">
        <v>30</v>
      </c>
      <c r="S4000" s="2" t="n">
        <v>1</v>
      </c>
      <c r="T4000" s="3" t="inlineStr">
        <is>
          <t>CA42796IR</t>
        </is>
      </c>
      <c r="U4000" s="87" t="n">
        <v>46041</v>
      </c>
      <c r="V4000" s="3" t="inlineStr">
        <is>
          <t>1</t>
        </is>
      </c>
      <c r="W4000" s="108" t="n">
        <v>46041</v>
      </c>
      <c r="X4000" s="4" t="inlineStr">
        <is>
          <t>PHILIPPOS COSTANTINIDES TRADING CO. LTD</t>
        </is>
      </c>
    </row>
    <row r="4001" ht="24" customHeight="1">
      <c r="A4001" s="2">
        <f>+D4001-S4001</f>
        <v/>
      </c>
      <c r="B4001" s="126" t="n">
        <v>5589</v>
      </c>
      <c r="C4001" s="66" t="n">
        <v>46041</v>
      </c>
      <c r="D4001" s="2" t="n">
        <v>1</v>
      </c>
      <c r="E4001" s="3" t="inlineStr">
        <is>
          <t>FUCILE MONOCANNA</t>
        </is>
      </c>
      <c r="F4001" s="96" t="inlineStr">
        <is>
          <t>12</t>
        </is>
      </c>
      <c r="G4001" s="96" t="inlineStr">
        <is>
          <t>BERETTA</t>
        </is>
      </c>
      <c r="H4001" s="107" t="inlineStr">
        <is>
          <t>CACCIA</t>
        </is>
      </c>
      <c r="I4001" s="65" t="inlineStr">
        <is>
          <t>D082280</t>
        </is>
      </c>
      <c r="J4001" s="65" t="inlineStr">
        <is>
          <t>N/D</t>
        </is>
      </c>
      <c r="K4001" s="65" t="inlineStr">
        <is>
          <t>N/D</t>
        </is>
      </c>
      <c r="L4001" s="127" t="inlineStr">
        <is>
          <t>ANTONIONI SPORT CACCIA E PESCA SRLS</t>
        </is>
      </c>
      <c r="M4001" s="5" t="n">
        <v>25.747</v>
      </c>
      <c r="N4001" s="5" t="n"/>
      <c r="O4001" s="5">
        <f>+M4001+N4001</f>
        <v/>
      </c>
      <c r="P4001" s="4" t="n"/>
      <c r="Q4001" s="87" t="n"/>
      <c r="R4001" s="5" t="n">
        <v>30</v>
      </c>
      <c r="S4001" s="2" t="n">
        <v>1</v>
      </c>
      <c r="T4001" s="3" t="inlineStr">
        <is>
          <t>CA42796IR</t>
        </is>
      </c>
      <c r="U4001" s="87" t="n">
        <v>46041</v>
      </c>
      <c r="V4001" s="3" t="inlineStr">
        <is>
          <t>1</t>
        </is>
      </c>
      <c r="W4001" s="108" t="n">
        <v>46041</v>
      </c>
      <c r="X4001" s="4" t="inlineStr">
        <is>
          <t>PHILIPPOS COSTANTINIDES TRADING CO. LTD</t>
        </is>
      </c>
    </row>
    <row r="4002" ht="24" customHeight="1">
      <c r="A4002" s="2">
        <f>+D4002-S4002</f>
        <v/>
      </c>
      <c r="B4002" s="126" t="n">
        <v>5590</v>
      </c>
      <c r="C4002" s="66" t="n">
        <v>46041</v>
      </c>
      <c r="D4002" s="2" t="n">
        <v>1</v>
      </c>
      <c r="E4002" s="3" t="inlineStr">
        <is>
          <t>FUCILE MONOCANNA</t>
        </is>
      </c>
      <c r="F4002" s="96" t="inlineStr">
        <is>
          <t>12</t>
        </is>
      </c>
      <c r="G4002" s="96" t="inlineStr">
        <is>
          <t>BERETTA</t>
        </is>
      </c>
      <c r="H4002" s="107" t="inlineStr">
        <is>
          <t>CACCIA</t>
        </is>
      </c>
      <c r="I4002" s="65" t="inlineStr">
        <is>
          <t>1971</t>
        </is>
      </c>
      <c r="J4002" s="65" t="inlineStr">
        <is>
          <t>N/D</t>
        </is>
      </c>
      <c r="K4002" s="65" t="inlineStr">
        <is>
          <t>N/D</t>
        </is>
      </c>
      <c r="L4002" s="127" t="inlineStr">
        <is>
          <t>ANTONIONI SPORT CACCIA E PESCA SRLS</t>
        </is>
      </c>
      <c r="M4002" s="5" t="n">
        <v>25.747</v>
      </c>
      <c r="N4002" s="5" t="n"/>
      <c r="O4002" s="5">
        <f>+M4002+N4002</f>
        <v/>
      </c>
      <c r="P4002" s="4" t="n"/>
      <c r="Q4002" s="87" t="n"/>
      <c r="R4002" s="5" t="n">
        <v>30</v>
      </c>
      <c r="S4002" s="2" t="n">
        <v>1</v>
      </c>
      <c r="T4002" s="3" t="inlineStr">
        <is>
          <t>CA42796IR</t>
        </is>
      </c>
      <c r="U4002" s="87" t="n">
        <v>46041</v>
      </c>
      <c r="V4002" s="3" t="inlineStr">
        <is>
          <t>1</t>
        </is>
      </c>
      <c r="W4002" s="108" t="n">
        <v>46041</v>
      </c>
      <c r="X4002" s="4" t="inlineStr">
        <is>
          <t>PHILIPPOS COSTANTINIDES TRADING CO. LTD</t>
        </is>
      </c>
    </row>
    <row r="4003" ht="24" customHeight="1">
      <c r="A4003" s="2">
        <f>+D4003-S4003</f>
        <v/>
      </c>
      <c r="B4003" s="126" t="n">
        <v>5591</v>
      </c>
      <c r="C4003" s="66" t="n">
        <v>46041</v>
      </c>
      <c r="D4003" s="2" t="n">
        <v>1</v>
      </c>
      <c r="E4003" s="3" t="inlineStr">
        <is>
          <t>FUCILE MONOCANNA</t>
        </is>
      </c>
      <c r="F4003" s="96" t="inlineStr">
        <is>
          <t>12</t>
        </is>
      </c>
      <c r="G4003" s="96" t="inlineStr">
        <is>
          <t>BERETTA</t>
        </is>
      </c>
      <c r="H4003" s="107" t="inlineStr">
        <is>
          <t>CACCIA</t>
        </is>
      </c>
      <c r="I4003" s="65" t="inlineStr">
        <is>
          <t>B81360</t>
        </is>
      </c>
      <c r="J4003" s="65" t="inlineStr">
        <is>
          <t>N/D</t>
        </is>
      </c>
      <c r="K4003" s="65" t="inlineStr">
        <is>
          <t>N/D</t>
        </is>
      </c>
      <c r="L4003" s="127" t="inlineStr">
        <is>
          <t>ANTONIONI SPORT CACCIA E PESCA SRLS</t>
        </is>
      </c>
      <c r="M4003" s="5" t="n">
        <v>25.747</v>
      </c>
      <c r="N4003" s="5" t="n"/>
      <c r="O4003" s="5">
        <f>+M4003+N4003</f>
        <v/>
      </c>
      <c r="P4003" s="4" t="n"/>
      <c r="Q4003" s="87" t="n"/>
      <c r="R4003" s="5" t="n">
        <v>30</v>
      </c>
      <c r="S4003" s="2" t="n">
        <v>1</v>
      </c>
      <c r="T4003" s="3" t="inlineStr">
        <is>
          <t>CA42796IR</t>
        </is>
      </c>
      <c r="U4003" s="87" t="n">
        <v>46041</v>
      </c>
      <c r="V4003" s="3" t="inlineStr">
        <is>
          <t>1</t>
        </is>
      </c>
      <c r="W4003" s="108" t="n">
        <v>46041</v>
      </c>
      <c r="X4003" s="4" t="inlineStr">
        <is>
          <t>PHILIPPOS COSTANTINIDES TRADING CO. LTD</t>
        </is>
      </c>
    </row>
    <row r="4004" ht="24" customHeight="1">
      <c r="A4004" s="2">
        <f>+D4004-S4004</f>
        <v/>
      </c>
      <c r="B4004" s="126" t="n">
        <v>5592</v>
      </c>
      <c r="C4004" s="66" t="n">
        <v>46041</v>
      </c>
      <c r="D4004" s="2" t="n">
        <v>1</v>
      </c>
      <c r="E4004" s="3" t="inlineStr">
        <is>
          <t>FUCILE MONOCANNA</t>
        </is>
      </c>
      <c r="F4004" s="96" t="inlineStr">
        <is>
          <t>20</t>
        </is>
      </c>
      <c r="G4004" s="96" t="inlineStr">
        <is>
          <t>BERETTA</t>
        </is>
      </c>
      <c r="H4004" s="107" t="inlineStr">
        <is>
          <t>CACCIA</t>
        </is>
      </c>
      <c r="I4004" s="65" t="inlineStr">
        <is>
          <t>C162340</t>
        </is>
      </c>
      <c r="J4004" s="65" t="inlineStr">
        <is>
          <t>N/D</t>
        </is>
      </c>
      <c r="K4004" s="65" t="inlineStr">
        <is>
          <t>N/D</t>
        </is>
      </c>
      <c r="L4004" s="127" t="inlineStr">
        <is>
          <t>ANTONIONI SPORT CACCIA E PESCA SRLS</t>
        </is>
      </c>
      <c r="M4004" s="5" t="n">
        <v>25.747</v>
      </c>
      <c r="N4004" s="5" t="n"/>
      <c r="O4004" s="5">
        <f>+M4004+N4004</f>
        <v/>
      </c>
      <c r="P4004" s="4" t="n"/>
      <c r="Q4004" s="87" t="n"/>
      <c r="R4004" s="5" t="n">
        <v>30</v>
      </c>
      <c r="S4004" s="2" t="n">
        <v>1</v>
      </c>
      <c r="T4004" s="3" t="inlineStr">
        <is>
          <t>CA42796IR</t>
        </is>
      </c>
      <c r="U4004" s="87" t="n">
        <v>46041</v>
      </c>
      <c r="V4004" s="3" t="inlineStr">
        <is>
          <t>1</t>
        </is>
      </c>
      <c r="W4004" s="108" t="n">
        <v>46041</v>
      </c>
      <c r="X4004" s="4" t="inlineStr">
        <is>
          <t>PHILIPPOS COSTANTINIDES TRADING CO. LTD</t>
        </is>
      </c>
    </row>
    <row r="4005" ht="24" customHeight="1">
      <c r="A4005" s="2">
        <f>+D4005-S4005</f>
        <v/>
      </c>
      <c r="B4005" s="126" t="n">
        <v>5593</v>
      </c>
      <c r="C4005" s="66" t="n">
        <v>46041</v>
      </c>
      <c r="D4005" s="2" t="n">
        <v>1</v>
      </c>
      <c r="E4005" s="3" t="inlineStr">
        <is>
          <t>FUCILE MONOCANNA</t>
        </is>
      </c>
      <c r="F4005" s="96" t="inlineStr">
        <is>
          <t>20</t>
        </is>
      </c>
      <c r="G4005" s="96" t="inlineStr">
        <is>
          <t>BERETTA</t>
        </is>
      </c>
      <c r="H4005" s="107" t="inlineStr">
        <is>
          <t>CACCIA</t>
        </is>
      </c>
      <c r="I4005" s="65" t="inlineStr">
        <is>
          <t>87746</t>
        </is>
      </c>
      <c r="J4005" s="65" t="inlineStr">
        <is>
          <t>N/D</t>
        </is>
      </c>
      <c r="K4005" s="65" t="inlineStr">
        <is>
          <t>N/D</t>
        </is>
      </c>
      <c r="L4005" s="127" t="inlineStr">
        <is>
          <t>ANTONIONI SPORT CACCIA E PESCA SRLS</t>
        </is>
      </c>
      <c r="M4005" s="5" t="n">
        <v>25.747</v>
      </c>
      <c r="N4005" s="5" t="n"/>
      <c r="O4005" s="5">
        <f>+M4005+N4005</f>
        <v/>
      </c>
      <c r="P4005" s="4" t="n"/>
      <c r="Q4005" s="87" t="n"/>
      <c r="R4005" s="5" t="n">
        <v>30</v>
      </c>
      <c r="S4005" s="2" t="n">
        <v>1</v>
      </c>
      <c r="T4005" s="3" t="inlineStr">
        <is>
          <t>CA42796IR</t>
        </is>
      </c>
      <c r="U4005" s="87" t="n">
        <v>46041</v>
      </c>
      <c r="V4005" s="3" t="inlineStr">
        <is>
          <t>1</t>
        </is>
      </c>
      <c r="W4005" s="108" t="n">
        <v>46041</v>
      </c>
      <c r="X4005" s="4" t="inlineStr">
        <is>
          <t>PHILIPPOS COSTANTINIDES TRADING CO. LTD</t>
        </is>
      </c>
    </row>
    <row r="4006" ht="24" customHeight="1">
      <c r="A4006" s="2">
        <f>+D4006-S4006</f>
        <v/>
      </c>
      <c r="B4006" s="126" t="n">
        <v>5594</v>
      </c>
      <c r="C4006" s="66" t="n">
        <v>46041</v>
      </c>
      <c r="D4006" s="2" t="n">
        <v>1</v>
      </c>
      <c r="E4006" s="3" t="inlineStr">
        <is>
          <t>FUCILE MONOCANNA</t>
        </is>
      </c>
      <c r="F4006" s="96" t="inlineStr">
        <is>
          <t>32</t>
        </is>
      </c>
      <c r="G4006" s="96" t="inlineStr">
        <is>
          <t>BERETTA</t>
        </is>
      </c>
      <c r="H4006" s="107" t="inlineStr">
        <is>
          <t>CACCIA</t>
        </is>
      </c>
      <c r="I4006" s="65" t="inlineStr">
        <is>
          <t>C103214</t>
        </is>
      </c>
      <c r="J4006" s="65" t="inlineStr">
        <is>
          <t>N/D</t>
        </is>
      </c>
      <c r="K4006" s="65" t="inlineStr">
        <is>
          <t>N/D</t>
        </is>
      </c>
      <c r="L4006" s="127" t="inlineStr">
        <is>
          <t>ANTONIONI SPORT CACCIA E PESCA SRLS</t>
        </is>
      </c>
      <c r="M4006" s="5" t="n">
        <v>25.747</v>
      </c>
      <c r="N4006" s="5" t="n"/>
      <c r="O4006" s="5">
        <f>+M4006+N4006</f>
        <v/>
      </c>
      <c r="P4006" s="4" t="n"/>
      <c r="Q4006" s="87" t="n"/>
      <c r="R4006" s="5" t="n">
        <v>30</v>
      </c>
      <c r="S4006" s="2" t="n">
        <v>1</v>
      </c>
      <c r="T4006" s="3" t="inlineStr">
        <is>
          <t>CA42796IR</t>
        </is>
      </c>
      <c r="U4006" s="87" t="n">
        <v>46041</v>
      </c>
      <c r="V4006" s="3" t="inlineStr">
        <is>
          <t>1</t>
        </is>
      </c>
      <c r="W4006" s="108" t="n">
        <v>46041</v>
      </c>
      <c r="X4006" s="4" t="inlineStr">
        <is>
          <t>PHILIPPOS COSTANTINIDES TRADING CO. LTD</t>
        </is>
      </c>
    </row>
    <row r="4007" ht="24" customHeight="1">
      <c r="A4007" s="2">
        <f>+D4007-S4007</f>
        <v/>
      </c>
      <c r="B4007" s="126" t="n">
        <v>5595</v>
      </c>
      <c r="C4007" s="66" t="n">
        <v>46041</v>
      </c>
      <c r="D4007" s="2" t="n">
        <v>1</v>
      </c>
      <c r="E4007" s="3" t="inlineStr">
        <is>
          <t>FUCILE MONOCANNA</t>
        </is>
      </c>
      <c r="F4007" s="96" t="inlineStr">
        <is>
          <t>16</t>
        </is>
      </c>
      <c r="G4007" s="96" t="inlineStr">
        <is>
          <t>BERETTA</t>
        </is>
      </c>
      <c r="H4007" s="107" t="inlineStr">
        <is>
          <t>CACCIA</t>
        </is>
      </c>
      <c r="I4007" s="65" t="inlineStr">
        <is>
          <t>B98399</t>
        </is>
      </c>
      <c r="J4007" s="65" t="inlineStr">
        <is>
          <t>N/D</t>
        </is>
      </c>
      <c r="K4007" s="65" t="inlineStr">
        <is>
          <t>N/D</t>
        </is>
      </c>
      <c r="L4007" s="127" t="inlineStr">
        <is>
          <t>ANTONIONI SPORT CACCIA E PESCA SRLS</t>
        </is>
      </c>
      <c r="M4007" s="5" t="n">
        <v>25.747</v>
      </c>
      <c r="N4007" s="5" t="n"/>
      <c r="O4007" s="5">
        <f>+M4007+N4007</f>
        <v/>
      </c>
      <c r="P4007" s="4" t="n"/>
      <c r="Q4007" s="87" t="n"/>
      <c r="R4007" s="5" t="n">
        <v>30</v>
      </c>
      <c r="S4007" s="2" t="n">
        <v>1</v>
      </c>
      <c r="T4007" s="3" t="inlineStr">
        <is>
          <t>CA42796IR</t>
        </is>
      </c>
      <c r="U4007" s="87" t="n">
        <v>46041</v>
      </c>
      <c r="V4007" s="3" t="inlineStr">
        <is>
          <t>1</t>
        </is>
      </c>
      <c r="W4007" s="108" t="n">
        <v>46041</v>
      </c>
      <c r="X4007" s="4" t="inlineStr">
        <is>
          <t>PHILIPPOS COSTANTINIDES TRADING CO. LTD</t>
        </is>
      </c>
    </row>
    <row r="4008" ht="24" customHeight="1">
      <c r="A4008" s="2">
        <f>+D4008-S4008</f>
        <v/>
      </c>
      <c r="B4008" s="126" t="n">
        <v>5596</v>
      </c>
      <c r="C4008" s="66" t="n">
        <v>46041</v>
      </c>
      <c r="D4008" s="2" t="n">
        <v>1</v>
      </c>
      <c r="E4008" s="3" t="inlineStr">
        <is>
          <t>FUCILE MONOCANNA</t>
        </is>
      </c>
      <c r="F4008" s="96" t="inlineStr">
        <is>
          <t>16</t>
        </is>
      </c>
      <c r="G4008" s="96" t="inlineStr">
        <is>
          <t>BERETTA</t>
        </is>
      </c>
      <c r="H4008" s="107" t="inlineStr">
        <is>
          <t>CACCIA</t>
        </is>
      </c>
      <c r="I4008" s="65" t="inlineStr">
        <is>
          <t>B14294</t>
        </is>
      </c>
      <c r="J4008" s="65" t="inlineStr">
        <is>
          <t>N/D</t>
        </is>
      </c>
      <c r="K4008" s="65" t="inlineStr">
        <is>
          <t>N/D</t>
        </is>
      </c>
      <c r="L4008" s="127" t="inlineStr">
        <is>
          <t>ANTONIONI SPORT CACCIA E PESCA SRLS</t>
        </is>
      </c>
      <c r="M4008" s="5" t="n">
        <v>25.747</v>
      </c>
      <c r="N4008" s="5" t="n"/>
      <c r="O4008" s="5">
        <f>+M4008+N4008</f>
        <v/>
      </c>
      <c r="P4008" s="4" t="n"/>
      <c r="Q4008" s="87" t="n"/>
      <c r="R4008" s="5" t="n">
        <v>30</v>
      </c>
      <c r="S4008" s="2" t="n">
        <v>1</v>
      </c>
      <c r="T4008" s="3" t="inlineStr">
        <is>
          <t>CA42796IR</t>
        </is>
      </c>
      <c r="U4008" s="87" t="n">
        <v>46041</v>
      </c>
      <c r="V4008" s="3" t="inlineStr">
        <is>
          <t>1</t>
        </is>
      </c>
      <c r="W4008" s="108" t="n">
        <v>46041</v>
      </c>
      <c r="X4008" s="4" t="inlineStr">
        <is>
          <t>PHILIPPOS COSTANTINIDES TRADING CO. LTD</t>
        </is>
      </c>
    </row>
    <row r="4009" ht="24" customHeight="1">
      <c r="A4009" s="2">
        <f>+D4009-S4009</f>
        <v/>
      </c>
      <c r="B4009" s="126" t="n">
        <v>5597</v>
      </c>
      <c r="C4009" s="66" t="n">
        <v>46041</v>
      </c>
      <c r="D4009" s="2" t="n">
        <v>1</v>
      </c>
      <c r="E4009" s="3" t="inlineStr">
        <is>
          <t>FUCILE MONOCANNA</t>
        </is>
      </c>
      <c r="F4009" s="96" t="inlineStr">
        <is>
          <t>20</t>
        </is>
      </c>
      <c r="G4009" s="96" t="inlineStr">
        <is>
          <t>BERETTA</t>
        </is>
      </c>
      <c r="H4009" s="107" t="inlineStr">
        <is>
          <t>CACCIA</t>
        </is>
      </c>
      <c r="I4009" s="65" t="inlineStr">
        <is>
          <t>B97649</t>
        </is>
      </c>
      <c r="J4009" s="65" t="inlineStr">
        <is>
          <t>N/D</t>
        </is>
      </c>
      <c r="K4009" s="65" t="inlineStr">
        <is>
          <t>N/D</t>
        </is>
      </c>
      <c r="L4009" s="127" t="inlineStr">
        <is>
          <t>ANTONIONI SPORT CACCIA E PESCA SRLS</t>
        </is>
      </c>
      <c r="M4009" s="5" t="n">
        <v>25.747</v>
      </c>
      <c r="N4009" s="5" t="n"/>
      <c r="O4009" s="5">
        <f>+M4009+N4009</f>
        <v/>
      </c>
      <c r="P4009" s="4" t="n"/>
      <c r="Q4009" s="87" t="n"/>
      <c r="R4009" s="5" t="n">
        <v>30</v>
      </c>
      <c r="S4009" s="2" t="n">
        <v>1</v>
      </c>
      <c r="T4009" s="3" t="inlineStr">
        <is>
          <t>CA42796IR</t>
        </is>
      </c>
      <c r="U4009" s="87" t="n">
        <v>46041</v>
      </c>
      <c r="V4009" s="3" t="inlineStr">
        <is>
          <t>1</t>
        </is>
      </c>
      <c r="W4009" s="108" t="n">
        <v>46041</v>
      </c>
      <c r="X4009" s="4" t="inlineStr">
        <is>
          <t>PHILIPPOS COSTANTINIDES TRADING CO. LTD</t>
        </is>
      </c>
    </row>
    <row r="4010" ht="24" customHeight="1">
      <c r="A4010" s="2">
        <f>+D4010-S4010</f>
        <v/>
      </c>
      <c r="B4010" s="126" t="n">
        <v>5598</v>
      </c>
      <c r="C4010" s="66" t="n">
        <v>46041</v>
      </c>
      <c r="D4010" s="2" t="n">
        <v>1</v>
      </c>
      <c r="E4010" s="3" t="inlineStr">
        <is>
          <t>FUCILE MONOCANNA</t>
        </is>
      </c>
      <c r="F4010" s="96" t="inlineStr">
        <is>
          <t>8</t>
        </is>
      </c>
      <c r="G4010" s="96" t="inlineStr">
        <is>
          <t>FALCO</t>
        </is>
      </c>
      <c r="H4010" s="107" t="inlineStr">
        <is>
          <t>CACCIA</t>
        </is>
      </c>
      <c r="I4010" s="65" t="inlineStr">
        <is>
          <t>2549</t>
        </is>
      </c>
      <c r="J4010" s="65" t="inlineStr">
        <is>
          <t>N/D</t>
        </is>
      </c>
      <c r="K4010" s="65" t="inlineStr">
        <is>
          <t>N/D</t>
        </is>
      </c>
      <c r="L4010" s="127" t="inlineStr">
        <is>
          <t>ANTONIONI SPORT CACCIA E PESCA SRLS</t>
        </is>
      </c>
      <c r="M4010" s="5" t="n">
        <v>25.747</v>
      </c>
      <c r="N4010" s="5" t="n"/>
      <c r="O4010" s="5">
        <f>+M4010+N4010</f>
        <v/>
      </c>
      <c r="P4010" s="4" t="n"/>
      <c r="Q4010" s="87" t="n"/>
      <c r="R4010" s="5" t="n">
        <v>30</v>
      </c>
      <c r="S4010" s="2" t="n">
        <v>1</v>
      </c>
      <c r="T4010" s="3" t="inlineStr">
        <is>
          <t>CA42796IR</t>
        </is>
      </c>
      <c r="U4010" s="87" t="n">
        <v>46041</v>
      </c>
      <c r="V4010" s="3" t="inlineStr">
        <is>
          <t>1</t>
        </is>
      </c>
      <c r="W4010" s="108" t="n">
        <v>46041</v>
      </c>
      <c r="X4010" s="4" t="inlineStr">
        <is>
          <t>PHILIPPOS COSTANTINIDES TRADING CO. LTD</t>
        </is>
      </c>
    </row>
    <row r="4011" ht="24" customHeight="1">
      <c r="A4011" s="2">
        <f>+D4011-S4011</f>
        <v/>
      </c>
      <c r="B4011" s="126" t="n">
        <v>5599</v>
      </c>
      <c r="C4011" s="66" t="n">
        <v>46041</v>
      </c>
      <c r="D4011" s="2" t="n">
        <v>1</v>
      </c>
      <c r="E4011" s="3" t="inlineStr">
        <is>
          <t>FUCILE MONOCANNA</t>
        </is>
      </c>
      <c r="F4011" s="96" t="inlineStr">
        <is>
          <t>8</t>
        </is>
      </c>
      <c r="G4011" s="96" t="inlineStr">
        <is>
          <t>ALBERTI</t>
        </is>
      </c>
      <c r="H4011" s="107" t="inlineStr">
        <is>
          <t>CACCIA</t>
        </is>
      </c>
      <c r="I4011" s="65" t="inlineStr">
        <is>
          <t>49602</t>
        </is>
      </c>
      <c r="J4011" s="65" t="inlineStr">
        <is>
          <t>N/D</t>
        </is>
      </c>
      <c r="K4011" s="65" t="inlineStr">
        <is>
          <t>N/D</t>
        </is>
      </c>
      <c r="L4011" s="127" t="inlineStr">
        <is>
          <t>ANTONIONI SPORT CACCIA E PESCA SRLS</t>
        </is>
      </c>
      <c r="M4011" s="5" t="n">
        <v>25.747</v>
      </c>
      <c r="N4011" s="5" t="n"/>
      <c r="O4011" s="5">
        <f>+M4011+N4011</f>
        <v/>
      </c>
      <c r="P4011" s="4" t="n"/>
      <c r="Q4011" s="87" t="n"/>
      <c r="R4011" s="5" t="n">
        <v>30</v>
      </c>
      <c r="S4011" s="2" t="n">
        <v>1</v>
      </c>
      <c r="T4011" s="3" t="inlineStr">
        <is>
          <t>CA42796IR</t>
        </is>
      </c>
      <c r="U4011" s="87" t="n">
        <v>46041</v>
      </c>
      <c r="V4011" s="3" t="inlineStr">
        <is>
          <t>1</t>
        </is>
      </c>
      <c r="W4011" s="108" t="n">
        <v>46041</v>
      </c>
      <c r="X4011" s="4" t="inlineStr">
        <is>
          <t>PHILIPPOS COSTANTINIDES TRADING CO. LTD</t>
        </is>
      </c>
    </row>
    <row r="4012" ht="24" customHeight="1">
      <c r="A4012" s="2">
        <f>+D4012-S4012</f>
        <v/>
      </c>
      <c r="B4012" s="126" t="n">
        <v>5600</v>
      </c>
      <c r="C4012" s="66" t="n">
        <v>46041</v>
      </c>
      <c r="D4012" s="2" t="n">
        <v>1</v>
      </c>
      <c r="E4012" s="3" t="inlineStr">
        <is>
          <t>FUCILE MONOCANNA</t>
        </is>
      </c>
      <c r="F4012" s="96" t="inlineStr">
        <is>
          <t>8</t>
        </is>
      </c>
      <c r="G4012" s="96" t="inlineStr">
        <is>
          <t>ARTIGIANO</t>
        </is>
      </c>
      <c r="H4012" s="107" t="inlineStr">
        <is>
          <t>CACCIA</t>
        </is>
      </c>
      <c r="I4012" s="65" t="inlineStr">
        <is>
          <t>A23891</t>
        </is>
      </c>
      <c r="J4012" s="65" t="inlineStr">
        <is>
          <t>N/D</t>
        </is>
      </c>
      <c r="K4012" s="65" t="inlineStr">
        <is>
          <t>N/D</t>
        </is>
      </c>
      <c r="L4012" s="127" t="inlineStr">
        <is>
          <t>ANTONIONI SPORT CACCIA E PESCA SRLS</t>
        </is>
      </c>
      <c r="M4012" s="5" t="n">
        <v>25.747</v>
      </c>
      <c r="N4012" s="5" t="n"/>
      <c r="O4012" s="5">
        <f>+M4012+N4012</f>
        <v/>
      </c>
      <c r="P4012" s="4" t="n"/>
      <c r="Q4012" s="87" t="n"/>
      <c r="R4012" s="5" t="n">
        <v>30</v>
      </c>
      <c r="S4012" s="2" t="n">
        <v>1</v>
      </c>
      <c r="T4012" s="3" t="inlineStr">
        <is>
          <t>CA42796IR</t>
        </is>
      </c>
      <c r="U4012" s="87" t="n">
        <v>46041</v>
      </c>
      <c r="V4012" s="3" t="inlineStr">
        <is>
          <t>1</t>
        </is>
      </c>
      <c r="W4012" s="108" t="n">
        <v>46041</v>
      </c>
      <c r="X4012" s="4" t="inlineStr">
        <is>
          <t>PHILIPPOS COSTANTINIDES TRADING CO. LTD</t>
        </is>
      </c>
    </row>
    <row r="4013" ht="24" customHeight="1">
      <c r="A4013" s="2">
        <f>+D4013-S4013</f>
        <v/>
      </c>
      <c r="B4013" s="126" t="n">
        <v>5601</v>
      </c>
      <c r="C4013" s="66" t="n">
        <v>46041</v>
      </c>
      <c r="D4013" s="2" t="n">
        <v>1</v>
      </c>
      <c r="E4013" s="3" t="inlineStr">
        <is>
          <t>FUCILE MONOCANNA</t>
        </is>
      </c>
      <c r="F4013" s="96" t="inlineStr">
        <is>
          <t>8</t>
        </is>
      </c>
      <c r="G4013" s="96" t="inlineStr">
        <is>
          <t>FALCO</t>
        </is>
      </c>
      <c r="H4013" s="107" t="inlineStr">
        <is>
          <t>CACCIA</t>
        </is>
      </c>
      <c r="I4013" s="65" t="inlineStr">
        <is>
          <t>87612</t>
        </is>
      </c>
      <c r="J4013" s="65" t="inlineStr">
        <is>
          <t>N/D</t>
        </is>
      </c>
      <c r="K4013" s="65" t="inlineStr">
        <is>
          <t>N/D</t>
        </is>
      </c>
      <c r="L4013" s="127" t="inlineStr">
        <is>
          <t>ANTONIONI SPORT CACCIA E PESCA SRLS</t>
        </is>
      </c>
      <c r="M4013" s="5" t="n">
        <v>25.747</v>
      </c>
      <c r="N4013" s="5" t="n"/>
      <c r="O4013" s="5">
        <f>+M4013+N4013</f>
        <v/>
      </c>
      <c r="P4013" s="4" t="n"/>
      <c r="Q4013" s="87" t="n"/>
      <c r="R4013" s="5" t="n">
        <v>30</v>
      </c>
      <c r="S4013" s="2" t="n">
        <v>1</v>
      </c>
      <c r="T4013" s="3" t="inlineStr">
        <is>
          <t>CA42796IR</t>
        </is>
      </c>
      <c r="U4013" s="87" t="n">
        <v>46041</v>
      </c>
      <c r="V4013" s="3" t="inlineStr">
        <is>
          <t>1</t>
        </is>
      </c>
      <c r="W4013" s="108" t="n">
        <v>46041</v>
      </c>
      <c r="X4013" s="4" t="inlineStr">
        <is>
          <t>PHILIPPOS COSTANTINIDES TRADING CO. LTD</t>
        </is>
      </c>
    </row>
    <row r="4014" ht="24" customHeight="1">
      <c r="A4014" s="2">
        <f>+D4014-S4014</f>
        <v/>
      </c>
      <c r="B4014" s="126" t="n">
        <v>5602</v>
      </c>
      <c r="C4014" s="66" t="n">
        <v>46041</v>
      </c>
      <c r="D4014" s="2" t="n">
        <v>1</v>
      </c>
      <c r="E4014" s="3" t="inlineStr">
        <is>
          <t>FUCILE MONOCANNA</t>
        </is>
      </c>
      <c r="F4014" s="96" t="inlineStr">
        <is>
          <t>6</t>
        </is>
      </c>
      <c r="G4014" s="96" t="inlineStr">
        <is>
          <t>MAVI</t>
        </is>
      </c>
      <c r="H4014" s="107" t="inlineStr">
        <is>
          <t>CACCIA</t>
        </is>
      </c>
      <c r="I4014" s="65" t="inlineStr">
        <is>
          <t>26865</t>
        </is>
      </c>
      <c r="J4014" s="65" t="inlineStr">
        <is>
          <t>N/D</t>
        </is>
      </c>
      <c r="K4014" s="65" t="inlineStr">
        <is>
          <t>N/D</t>
        </is>
      </c>
      <c r="L4014" s="127" t="inlineStr">
        <is>
          <t>ANTONIONI SPORT CACCIA E PESCA SRLS</t>
        </is>
      </c>
      <c r="M4014" s="5" t="n">
        <v>25.747</v>
      </c>
      <c r="N4014" s="5" t="n"/>
      <c r="O4014" s="5">
        <f>+M4014+N4014</f>
        <v/>
      </c>
      <c r="P4014" s="4" t="n"/>
      <c r="Q4014" s="87" t="n"/>
      <c r="R4014" s="5" t="n">
        <v>30</v>
      </c>
      <c r="S4014" s="2" t="n">
        <v>1</v>
      </c>
      <c r="T4014" s="3" t="inlineStr">
        <is>
          <t>CA42796IR</t>
        </is>
      </c>
      <c r="U4014" s="87" t="n">
        <v>46041</v>
      </c>
      <c r="V4014" s="3" t="inlineStr">
        <is>
          <t>1</t>
        </is>
      </c>
      <c r="W4014" s="108" t="n">
        <v>46041</v>
      </c>
      <c r="X4014" s="4" t="inlineStr">
        <is>
          <t>PHILIPPOS COSTANTINIDES TRADING CO. LTD</t>
        </is>
      </c>
    </row>
    <row r="4015" ht="24" customHeight="1">
      <c r="A4015" s="2">
        <f>+D4015-S4015</f>
        <v/>
      </c>
      <c r="B4015" s="126" t="n">
        <v>5603</v>
      </c>
      <c r="C4015" s="66" t="n">
        <v>46041</v>
      </c>
      <c r="D4015" s="2" t="n">
        <v>1</v>
      </c>
      <c r="E4015" s="3" t="inlineStr">
        <is>
          <t>FUCILE MONOCANNA</t>
        </is>
      </c>
      <c r="F4015" s="96" t="inlineStr">
        <is>
          <t>8</t>
        </is>
      </c>
      <c r="G4015" s="96" t="inlineStr">
        <is>
          <t>ARTIGIANO</t>
        </is>
      </c>
      <c r="H4015" s="107" t="inlineStr">
        <is>
          <t>CACCIA</t>
        </is>
      </c>
      <c r="I4015" s="65" t="inlineStr">
        <is>
          <t>5956</t>
        </is>
      </c>
      <c r="J4015" s="65" t="inlineStr">
        <is>
          <t>N/D</t>
        </is>
      </c>
      <c r="K4015" s="65" t="inlineStr">
        <is>
          <t>N/D</t>
        </is>
      </c>
      <c r="L4015" s="127" t="inlineStr">
        <is>
          <t>ANTONIONI SPORT CACCIA E PESCA SRLS</t>
        </is>
      </c>
      <c r="M4015" s="5" t="n">
        <v>25.747</v>
      </c>
      <c r="N4015" s="5" t="n"/>
      <c r="O4015" s="5">
        <f>+M4015+N4015</f>
        <v/>
      </c>
      <c r="P4015" s="4" t="n"/>
      <c r="Q4015" s="87" t="n"/>
      <c r="R4015" s="5" t="n">
        <v>30</v>
      </c>
      <c r="S4015" s="2" t="n">
        <v>1</v>
      </c>
      <c r="T4015" s="3" t="inlineStr">
        <is>
          <t>CA42796IR</t>
        </is>
      </c>
      <c r="U4015" s="87" t="n">
        <v>46041</v>
      </c>
      <c r="V4015" s="3" t="inlineStr">
        <is>
          <t>1</t>
        </is>
      </c>
      <c r="W4015" s="108" t="n">
        <v>46041</v>
      </c>
      <c r="X4015" s="4" t="inlineStr">
        <is>
          <t>PHILIPPOS COSTANTINIDES TRADING CO. LTD</t>
        </is>
      </c>
    </row>
    <row r="4016" ht="24" customHeight="1">
      <c r="A4016" s="2">
        <f>+D4016-S4016</f>
        <v/>
      </c>
      <c r="B4016" s="126" t="n">
        <v>5604</v>
      </c>
      <c r="C4016" s="66" t="n">
        <v>46041</v>
      </c>
      <c r="D4016" s="2" t="n">
        <v>1</v>
      </c>
      <c r="E4016" s="3" t="inlineStr">
        <is>
          <t>FUCILE MONOCANNA</t>
        </is>
      </c>
      <c r="F4016" s="96" t="inlineStr">
        <is>
          <t>8</t>
        </is>
      </c>
      <c r="G4016" s="96" t="inlineStr">
        <is>
          <t>FALCO</t>
        </is>
      </c>
      <c r="H4016" s="107" t="inlineStr">
        <is>
          <t>CACCIA</t>
        </is>
      </c>
      <c r="I4016" s="65" t="inlineStr">
        <is>
          <t>A67263</t>
        </is>
      </c>
      <c r="J4016" s="65" t="inlineStr">
        <is>
          <t>N/D</t>
        </is>
      </c>
      <c r="K4016" s="65" t="inlineStr">
        <is>
          <t>N/D</t>
        </is>
      </c>
      <c r="L4016" s="127" t="inlineStr">
        <is>
          <t>ANTONIONI SPORT CACCIA E PESCA SRLS</t>
        </is>
      </c>
      <c r="M4016" s="5" t="n">
        <v>25.747</v>
      </c>
      <c r="N4016" s="5" t="n"/>
      <c r="O4016" s="5">
        <f>+M4016+N4016</f>
        <v/>
      </c>
      <c r="P4016" s="4" t="n"/>
      <c r="Q4016" s="87" t="n"/>
      <c r="R4016" s="5" t="n">
        <v>30</v>
      </c>
      <c r="S4016" s="2" t="n">
        <v>1</v>
      </c>
      <c r="T4016" s="3" t="inlineStr">
        <is>
          <t>CA42796IR</t>
        </is>
      </c>
      <c r="U4016" s="87" t="n">
        <v>46041</v>
      </c>
      <c r="V4016" s="3" t="inlineStr">
        <is>
          <t>1</t>
        </is>
      </c>
      <c r="W4016" s="108" t="n">
        <v>46041</v>
      </c>
      <c r="X4016" s="4" t="inlineStr">
        <is>
          <t>PHILIPPOS COSTANTINIDES TRADING CO. LTD</t>
        </is>
      </c>
    </row>
    <row r="4017" ht="24" customHeight="1">
      <c r="A4017" s="2">
        <f>+D4017-S4017</f>
        <v/>
      </c>
      <c r="B4017" s="126" t="n">
        <v>5605</v>
      </c>
      <c r="C4017" s="66" t="n">
        <v>46041</v>
      </c>
      <c r="D4017" s="2" t="n">
        <v>1</v>
      </c>
      <c r="E4017" s="3" t="inlineStr">
        <is>
          <t>FUCILE MONOCANNA</t>
        </is>
      </c>
      <c r="F4017" s="96" t="inlineStr">
        <is>
          <t>8</t>
        </is>
      </c>
      <c r="G4017" s="96" t="inlineStr">
        <is>
          <t>FALCO</t>
        </is>
      </c>
      <c r="H4017" s="107" t="inlineStr">
        <is>
          <t>CACCIA</t>
        </is>
      </c>
      <c r="I4017" s="65" t="inlineStr">
        <is>
          <t>A38982</t>
        </is>
      </c>
      <c r="J4017" s="65" t="inlineStr">
        <is>
          <t>N/D</t>
        </is>
      </c>
      <c r="K4017" s="65" t="inlineStr">
        <is>
          <t>N/D</t>
        </is>
      </c>
      <c r="L4017" s="127" t="inlineStr">
        <is>
          <t>ANTONIONI SPORT CACCIA E PESCA SRLS</t>
        </is>
      </c>
      <c r="M4017" s="5" t="n">
        <v>25.747</v>
      </c>
      <c r="N4017" s="5" t="n"/>
      <c r="O4017" s="5">
        <f>+M4017+N4017</f>
        <v/>
      </c>
      <c r="P4017" s="4" t="n"/>
      <c r="Q4017" s="87" t="n"/>
      <c r="R4017" s="5" t="n">
        <v>30</v>
      </c>
      <c r="S4017" s="2" t="n">
        <v>1</v>
      </c>
      <c r="T4017" s="3" t="inlineStr">
        <is>
          <t>CA42796IR</t>
        </is>
      </c>
      <c r="U4017" s="87" t="n">
        <v>46041</v>
      </c>
      <c r="V4017" s="3" t="inlineStr">
        <is>
          <t>1</t>
        </is>
      </c>
      <c r="W4017" s="108" t="n">
        <v>46041</v>
      </c>
      <c r="X4017" s="4" t="inlineStr">
        <is>
          <t>PHILIPPOS COSTANTINIDES TRADING CO. LTD</t>
        </is>
      </c>
    </row>
    <row r="4018" ht="24" customHeight="1">
      <c r="A4018" s="2">
        <f>+D4018-S4018</f>
        <v/>
      </c>
      <c r="B4018" s="126" t="n">
        <v>5606</v>
      </c>
      <c r="C4018" s="66" t="n">
        <v>46041</v>
      </c>
      <c r="D4018" s="2" t="n">
        <v>1</v>
      </c>
      <c r="E4018" s="3" t="inlineStr">
        <is>
          <t>FUCILE MONOCANNA</t>
        </is>
      </c>
      <c r="F4018" s="96" t="inlineStr">
        <is>
          <t>8</t>
        </is>
      </c>
      <c r="G4018" s="96" t="inlineStr">
        <is>
          <t>POLI-NICOLETTA</t>
        </is>
      </c>
      <c r="H4018" s="107" t="inlineStr">
        <is>
          <t>CACCIA</t>
        </is>
      </c>
      <c r="I4018" s="65" t="inlineStr">
        <is>
          <t>B06220</t>
        </is>
      </c>
      <c r="J4018" s="65" t="inlineStr">
        <is>
          <t>N/D</t>
        </is>
      </c>
      <c r="K4018" s="65" t="inlineStr">
        <is>
          <t>N/D</t>
        </is>
      </c>
      <c r="L4018" s="127" t="inlineStr">
        <is>
          <t>ANTONIONI SPORT CACCIA E PESCA SRLS</t>
        </is>
      </c>
      <c r="M4018" s="5" t="n">
        <v>25.747</v>
      </c>
      <c r="N4018" s="5" t="n"/>
      <c r="O4018" s="5">
        <f>+M4018+N4018</f>
        <v/>
      </c>
      <c r="P4018" s="4" t="n"/>
      <c r="Q4018" s="87" t="n"/>
      <c r="R4018" s="5" t="n">
        <v>30</v>
      </c>
      <c r="S4018" s="2" t="n">
        <v>1</v>
      </c>
      <c r="T4018" s="3" t="inlineStr">
        <is>
          <t>CA42796IR</t>
        </is>
      </c>
      <c r="U4018" s="87" t="n">
        <v>46041</v>
      </c>
      <c r="V4018" s="3" t="inlineStr">
        <is>
          <t>1</t>
        </is>
      </c>
      <c r="W4018" s="108" t="n">
        <v>46041</v>
      </c>
      <c r="X4018" s="4" t="inlineStr">
        <is>
          <t>PHILIPPOS COSTANTINIDES TRADING CO. LTD</t>
        </is>
      </c>
    </row>
    <row r="4019" ht="24" customHeight="1">
      <c r="A4019" s="2">
        <f>+D4019-S4019</f>
        <v/>
      </c>
      <c r="B4019" s="126" t="n">
        <v>5607</v>
      </c>
      <c r="C4019" s="66" t="n">
        <v>46041</v>
      </c>
      <c r="D4019" s="2" t="n">
        <v>1</v>
      </c>
      <c r="E4019" s="3" t="inlineStr">
        <is>
          <t>FUCILE MONOCANNA</t>
        </is>
      </c>
      <c r="F4019" s="96" t="inlineStr">
        <is>
          <t>8</t>
        </is>
      </c>
      <c r="G4019" s="96" t="inlineStr">
        <is>
          <t>FALCO</t>
        </is>
      </c>
      <c r="H4019" s="107" t="inlineStr">
        <is>
          <t>CACCIA</t>
        </is>
      </c>
      <c r="I4019" s="65" t="inlineStr">
        <is>
          <t>86738</t>
        </is>
      </c>
      <c r="J4019" s="65" t="inlineStr">
        <is>
          <t>N/D</t>
        </is>
      </c>
      <c r="K4019" s="65" t="inlineStr">
        <is>
          <t>N/D</t>
        </is>
      </c>
      <c r="L4019" s="127" t="inlineStr">
        <is>
          <t>ANTONIONI SPORT CACCIA E PESCA SRLS</t>
        </is>
      </c>
      <c r="M4019" s="5" t="n">
        <v>25.747</v>
      </c>
      <c r="N4019" s="5" t="n"/>
      <c r="O4019" s="5">
        <f>+M4019+N4019</f>
        <v/>
      </c>
      <c r="P4019" s="4" t="n"/>
      <c r="Q4019" s="87" t="n"/>
      <c r="R4019" s="5" t="n">
        <v>30</v>
      </c>
      <c r="S4019" s="2" t="n">
        <v>1</v>
      </c>
      <c r="T4019" s="3" t="inlineStr">
        <is>
          <t>CA42796IR</t>
        </is>
      </c>
      <c r="U4019" s="87" t="n">
        <v>46041</v>
      </c>
      <c r="V4019" s="3" t="inlineStr">
        <is>
          <t>1</t>
        </is>
      </c>
      <c r="W4019" s="108" t="n">
        <v>46041</v>
      </c>
      <c r="X4019" s="4" t="inlineStr">
        <is>
          <t>PHILIPPOS COSTANTINIDES TRADING CO. LTD</t>
        </is>
      </c>
    </row>
    <row r="4020" ht="24" customHeight="1">
      <c r="A4020" s="2">
        <f>+D4020-S4020</f>
        <v/>
      </c>
      <c r="B4020" s="126" t="n">
        <v>5608</v>
      </c>
      <c r="C4020" s="66" t="n">
        <v>46041</v>
      </c>
      <c r="D4020" s="2" t="n">
        <v>1</v>
      </c>
      <c r="E4020" s="3" t="inlineStr">
        <is>
          <t>FUCILE SOVRAPPOSTO</t>
        </is>
      </c>
      <c r="F4020" s="96" t="inlineStr">
        <is>
          <t>12</t>
        </is>
      </c>
      <c r="G4020" s="96" t="inlineStr">
        <is>
          <t>FRANCHI</t>
        </is>
      </c>
      <c r="H4020" s="107" t="inlineStr">
        <is>
          <t>CACCIA</t>
        </is>
      </c>
      <c r="I4020" s="65" t="inlineStr">
        <is>
          <t>1627</t>
        </is>
      </c>
      <c r="J4020" s="65" t="inlineStr">
        <is>
          <t>N/D</t>
        </is>
      </c>
      <c r="K4020" s="65" t="inlineStr">
        <is>
          <t>N/D</t>
        </is>
      </c>
      <c r="L4020" s="127" t="inlineStr">
        <is>
          <t>ANTONIONI SPORT CACCIA E PESCA SRLS</t>
        </is>
      </c>
      <c r="M4020" s="5" t="n">
        <v>25.747</v>
      </c>
      <c r="N4020" s="5" t="n"/>
      <c r="O4020" s="5">
        <f>+M4020+N4020</f>
        <v/>
      </c>
      <c r="P4020" s="4" t="n"/>
      <c r="Q4020" s="87" t="n"/>
      <c r="R4020" s="5" t="n">
        <v>30</v>
      </c>
      <c r="S4020" s="2" t="n">
        <v>1</v>
      </c>
      <c r="T4020" s="3" t="inlineStr">
        <is>
          <t>CA42796IR</t>
        </is>
      </c>
      <c r="U4020" s="87" t="n">
        <v>46041</v>
      </c>
      <c r="V4020" s="3" t="inlineStr">
        <is>
          <t>1</t>
        </is>
      </c>
      <c r="W4020" s="108" t="n">
        <v>46041</v>
      </c>
      <c r="X4020" s="4" t="inlineStr">
        <is>
          <t>PHILIPPOS COSTANTINIDES TRADING CO. LTD</t>
        </is>
      </c>
    </row>
    <row r="4021" ht="24" customHeight="1">
      <c r="A4021" s="2">
        <f>+D4021-S4021</f>
        <v/>
      </c>
      <c r="B4021" s="126" t="n">
        <v>5609</v>
      </c>
      <c r="C4021" s="66" t="n">
        <v>46041</v>
      </c>
      <c r="D4021" s="2" t="n">
        <v>1</v>
      </c>
      <c r="E4021" s="3" t="inlineStr">
        <is>
          <t>FUCILE SOVRAPPOSTO</t>
        </is>
      </c>
      <c r="F4021" s="96" t="inlineStr">
        <is>
          <t>12</t>
        </is>
      </c>
      <c r="G4021" s="96" t="inlineStr">
        <is>
          <t>CERRAI E PICCINALI</t>
        </is>
      </c>
      <c r="H4021" s="107" t="inlineStr">
        <is>
          <t>CACCIA</t>
        </is>
      </c>
      <c r="I4021" s="65" t="inlineStr">
        <is>
          <t>17635</t>
        </is>
      </c>
      <c r="J4021" s="65" t="inlineStr">
        <is>
          <t>N/D</t>
        </is>
      </c>
      <c r="K4021" s="65" t="inlineStr">
        <is>
          <t>N/D</t>
        </is>
      </c>
      <c r="L4021" s="127" t="inlineStr">
        <is>
          <t>ANTONIONI SPORT CACCIA E PESCA SRLS</t>
        </is>
      </c>
      <c r="M4021" s="5" t="n">
        <v>25.747</v>
      </c>
      <c r="N4021" s="5" t="n"/>
      <c r="O4021" s="5">
        <f>+M4021+N4021</f>
        <v/>
      </c>
      <c r="P4021" s="4" t="n"/>
      <c r="Q4021" s="87" t="n"/>
      <c r="R4021" s="5" t="n">
        <v>30</v>
      </c>
      <c r="S4021" s="2" t="n">
        <v>1</v>
      </c>
      <c r="T4021" s="3" t="inlineStr">
        <is>
          <t>CA42796IR</t>
        </is>
      </c>
      <c r="U4021" s="87" t="n">
        <v>46041</v>
      </c>
      <c r="V4021" s="3" t="inlineStr">
        <is>
          <t>1</t>
        </is>
      </c>
      <c r="W4021" s="108" t="n">
        <v>46041</v>
      </c>
      <c r="X4021" s="4" t="inlineStr">
        <is>
          <t>PHILIPPOS COSTANTINIDES TRADING CO. LTD</t>
        </is>
      </c>
    </row>
    <row r="4022" ht="24" customHeight="1">
      <c r="A4022" s="2">
        <f>+D4022-S4022</f>
        <v/>
      </c>
      <c r="B4022" s="126" t="n">
        <v>5610</v>
      </c>
      <c r="C4022" s="66" t="n">
        <v>46041</v>
      </c>
      <c r="D4022" s="2" t="n">
        <v>1</v>
      </c>
      <c r="E4022" s="3" t="inlineStr">
        <is>
          <t>FUCILE SOVRAPPOSTO</t>
        </is>
      </c>
      <c r="F4022" s="96" t="inlineStr">
        <is>
          <t>12</t>
        </is>
      </c>
      <c r="G4022" s="96" t="inlineStr">
        <is>
          <t>ZOLI</t>
        </is>
      </c>
      <c r="H4022" s="107" t="inlineStr">
        <is>
          <t>RITMO</t>
        </is>
      </c>
      <c r="I4022" s="65" t="inlineStr">
        <is>
          <t>191535</t>
        </is>
      </c>
      <c r="J4022" s="65" t="inlineStr">
        <is>
          <t>N/D</t>
        </is>
      </c>
      <c r="K4022" s="65" t="inlineStr">
        <is>
          <t>N/D</t>
        </is>
      </c>
      <c r="L4022" s="127" t="inlineStr">
        <is>
          <t>ANTONIONI SPORT CACCIA E PESCA SRLS</t>
        </is>
      </c>
      <c r="M4022" s="5" t="n">
        <v>25.747</v>
      </c>
      <c r="N4022" s="5" t="n"/>
      <c r="O4022" s="5">
        <f>+M4022+N4022</f>
        <v/>
      </c>
      <c r="P4022" s="4" t="n"/>
      <c r="Q4022" s="87" t="n"/>
      <c r="R4022" s="5" t="n">
        <v>30</v>
      </c>
      <c r="S4022" s="2" t="n">
        <v>1</v>
      </c>
      <c r="T4022" s="3" t="inlineStr">
        <is>
          <t>CA42796IR</t>
        </is>
      </c>
      <c r="U4022" s="87" t="n">
        <v>46041</v>
      </c>
      <c r="V4022" s="3" t="inlineStr">
        <is>
          <t>1</t>
        </is>
      </c>
      <c r="W4022" s="108" t="n">
        <v>46041</v>
      </c>
      <c r="X4022" s="4" t="inlineStr">
        <is>
          <t>PHILIPPOS COSTANTINIDES TRADING CO. LTD</t>
        </is>
      </c>
    </row>
    <row r="4023" ht="24" customHeight="1">
      <c r="A4023" s="2">
        <f>+D4023-S4023</f>
        <v/>
      </c>
      <c r="B4023" s="126" t="n">
        <v>5611</v>
      </c>
      <c r="C4023" s="66" t="n">
        <v>46041</v>
      </c>
      <c r="D4023" s="2" t="n">
        <v>1</v>
      </c>
      <c r="E4023" s="3" t="inlineStr">
        <is>
          <t>FUCILE SOVRAPPOSTO</t>
        </is>
      </c>
      <c r="F4023" s="96" t="inlineStr">
        <is>
          <t>12</t>
        </is>
      </c>
      <c r="G4023" s="96" t="inlineStr">
        <is>
          <t>POLI</t>
        </is>
      </c>
      <c r="H4023" s="107" t="inlineStr">
        <is>
          <t>CACCIA</t>
        </is>
      </c>
      <c r="I4023" s="65" t="inlineStr">
        <is>
          <t>065661</t>
        </is>
      </c>
      <c r="J4023" s="65" t="inlineStr">
        <is>
          <t>N/D</t>
        </is>
      </c>
      <c r="K4023" s="65" t="inlineStr">
        <is>
          <t>N/D</t>
        </is>
      </c>
      <c r="L4023" s="127" t="inlineStr">
        <is>
          <t>ANTONIONI SPORT CACCIA E PESCA SRLS</t>
        </is>
      </c>
      <c r="M4023" s="5" t="n">
        <v>25.747</v>
      </c>
      <c r="N4023" s="5" t="n"/>
      <c r="O4023" s="5">
        <f>+M4023+N4023</f>
        <v/>
      </c>
      <c r="P4023" s="4" t="n"/>
      <c r="Q4023" s="87" t="n"/>
      <c r="R4023" s="5" t="n">
        <v>30</v>
      </c>
      <c r="S4023" s="2" t="n">
        <v>1</v>
      </c>
      <c r="T4023" s="3" t="inlineStr">
        <is>
          <t>CA42796IR</t>
        </is>
      </c>
      <c r="U4023" s="87" t="n">
        <v>46041</v>
      </c>
      <c r="V4023" s="3" t="inlineStr">
        <is>
          <t>1</t>
        </is>
      </c>
      <c r="W4023" s="108" t="n">
        <v>46041</v>
      </c>
      <c r="X4023" s="4" t="inlineStr">
        <is>
          <t>PHILIPPOS COSTANTINIDES TRADING CO. LTD</t>
        </is>
      </c>
    </row>
    <row r="4024" ht="24" customHeight="1">
      <c r="A4024" s="2">
        <f>+D4024-S4024</f>
        <v/>
      </c>
      <c r="B4024" s="126" t="n">
        <v>5612</v>
      </c>
      <c r="C4024" s="66" t="n">
        <v>46041</v>
      </c>
      <c r="D4024" s="2" t="n">
        <v>1</v>
      </c>
      <c r="E4024" s="3" t="inlineStr">
        <is>
          <t>FUCILE SOVRAPPOSTO</t>
        </is>
      </c>
      <c r="F4024" s="96" t="inlineStr">
        <is>
          <t>12</t>
        </is>
      </c>
      <c r="G4024" s="96" t="inlineStr">
        <is>
          <t>ZOLI</t>
        </is>
      </c>
      <c r="H4024" s="107" t="inlineStr">
        <is>
          <t>RITMO</t>
        </is>
      </c>
      <c r="I4024" s="65" t="inlineStr">
        <is>
          <t>191323</t>
        </is>
      </c>
      <c r="J4024" s="65" t="inlineStr">
        <is>
          <t>N/D</t>
        </is>
      </c>
      <c r="K4024" s="65" t="inlineStr">
        <is>
          <t>N/D</t>
        </is>
      </c>
      <c r="L4024" s="127" t="inlineStr">
        <is>
          <t>ANTONIONI SPORT CACCIA E PESCA SRLS</t>
        </is>
      </c>
      <c r="M4024" s="5" t="n">
        <v>25.747</v>
      </c>
      <c r="N4024" s="5" t="n"/>
      <c r="O4024" s="5">
        <f>+M4024+N4024</f>
        <v/>
      </c>
      <c r="P4024" s="4" t="n"/>
      <c r="Q4024" s="87" t="n"/>
      <c r="R4024" s="5" t="n">
        <v>30</v>
      </c>
      <c r="S4024" s="2" t="n">
        <v>1</v>
      </c>
      <c r="T4024" s="3" t="inlineStr">
        <is>
          <t>CA42796IR</t>
        </is>
      </c>
      <c r="U4024" s="87" t="n">
        <v>46041</v>
      </c>
      <c r="V4024" s="3" t="inlineStr">
        <is>
          <t>1</t>
        </is>
      </c>
      <c r="W4024" s="108" t="n">
        <v>46041</v>
      </c>
      <c r="X4024" s="4" t="inlineStr">
        <is>
          <t>PHILIPPOS COSTANTINIDES TRADING CO. LTD</t>
        </is>
      </c>
    </row>
    <row r="4025" ht="24" customHeight="1">
      <c r="A4025" s="2">
        <f>+D4025-S4025</f>
        <v/>
      </c>
      <c r="B4025" s="126" t="n">
        <v>5613</v>
      </c>
      <c r="C4025" s="66" t="n">
        <v>46041</v>
      </c>
      <c r="D4025" s="2" t="n">
        <v>1</v>
      </c>
      <c r="E4025" s="3" t="inlineStr">
        <is>
          <t>FUCILE SOVRAPPOSTO</t>
        </is>
      </c>
      <c r="F4025" s="96" t="inlineStr">
        <is>
          <t>12</t>
        </is>
      </c>
      <c r="G4025" s="96" t="inlineStr">
        <is>
          <t>FRANCHI</t>
        </is>
      </c>
      <c r="H4025" s="107" t="inlineStr">
        <is>
          <t>FALCONET</t>
        </is>
      </c>
      <c r="I4025" s="65" t="inlineStr">
        <is>
          <t>5037125</t>
        </is>
      </c>
      <c r="J4025" s="65" t="inlineStr">
        <is>
          <t>N/D</t>
        </is>
      </c>
      <c r="K4025" s="65" t="inlineStr">
        <is>
          <t>N/D</t>
        </is>
      </c>
      <c r="L4025" s="127" t="inlineStr">
        <is>
          <t>ANTONIONI SPORT CACCIA E PESCA SRLS</t>
        </is>
      </c>
      <c r="M4025" s="5" t="n">
        <v>25.747</v>
      </c>
      <c r="N4025" s="5" t="n"/>
      <c r="O4025" s="5">
        <f>+M4025+N4025</f>
        <v/>
      </c>
      <c r="P4025" s="4" t="n"/>
      <c r="Q4025" s="87" t="n"/>
      <c r="R4025" s="5" t="n">
        <v>30</v>
      </c>
      <c r="S4025" s="2" t="n">
        <v>1</v>
      </c>
      <c r="T4025" s="3" t="inlineStr">
        <is>
          <t>CA42796IR</t>
        </is>
      </c>
      <c r="U4025" s="87" t="n">
        <v>46041</v>
      </c>
      <c r="V4025" s="3" t="inlineStr">
        <is>
          <t>1</t>
        </is>
      </c>
      <c r="W4025" s="108" t="n">
        <v>46041</v>
      </c>
      <c r="X4025" s="4" t="inlineStr">
        <is>
          <t>PHILIPPOS COSTANTINIDES TRADING CO. LTD</t>
        </is>
      </c>
    </row>
    <row r="4026" ht="24" customHeight="1">
      <c r="A4026" s="2">
        <f>+D4026-S4026</f>
        <v/>
      </c>
      <c r="B4026" s="126" t="n">
        <v>5614</v>
      </c>
      <c r="C4026" s="66" t="n">
        <v>46041</v>
      </c>
      <c r="D4026" s="2" t="n">
        <v>1</v>
      </c>
      <c r="E4026" s="3" t="inlineStr">
        <is>
          <t>FUCILE SOVRAPPOSTO</t>
        </is>
      </c>
      <c r="F4026" s="96" t="inlineStr">
        <is>
          <t>12</t>
        </is>
      </c>
      <c r="G4026" s="96" t="inlineStr">
        <is>
          <t>ZOLI</t>
        </is>
      </c>
      <c r="H4026" s="107" t="inlineStr">
        <is>
          <t>CACCIA</t>
        </is>
      </c>
      <c r="I4026" s="65" t="inlineStr">
        <is>
          <t>32431</t>
        </is>
      </c>
      <c r="J4026" s="65" t="inlineStr">
        <is>
          <t>N/D</t>
        </is>
      </c>
      <c r="K4026" s="65" t="inlineStr">
        <is>
          <t>N/D</t>
        </is>
      </c>
      <c r="L4026" s="127" t="inlineStr">
        <is>
          <t>ANTONIONI SPORT CACCIA E PESCA SRLS</t>
        </is>
      </c>
      <c r="M4026" s="5" t="n">
        <v>25.747</v>
      </c>
      <c r="N4026" s="5" t="n"/>
      <c r="O4026" s="5">
        <f>+M4026+N4026</f>
        <v/>
      </c>
      <c r="P4026" s="4" t="n"/>
      <c r="Q4026" s="87" t="n"/>
      <c r="R4026" s="5" t="n">
        <v>30</v>
      </c>
      <c r="S4026" s="2" t="n">
        <v>1</v>
      </c>
      <c r="T4026" s="3" t="inlineStr">
        <is>
          <t>CA42796IR</t>
        </is>
      </c>
      <c r="U4026" s="87" t="n">
        <v>46041</v>
      </c>
      <c r="V4026" s="3" t="inlineStr">
        <is>
          <t>1</t>
        </is>
      </c>
      <c r="W4026" s="108" t="n">
        <v>46041</v>
      </c>
      <c r="X4026" s="4" t="inlineStr">
        <is>
          <t>PHILIPPOS COSTANTINIDES TRADING CO. LTD</t>
        </is>
      </c>
    </row>
    <row r="4027" ht="24" customHeight="1">
      <c r="A4027" s="2">
        <f>+D4027-S4027</f>
        <v/>
      </c>
      <c r="B4027" s="126" t="n">
        <v>5615</v>
      </c>
      <c r="C4027" s="66" t="n">
        <v>46041</v>
      </c>
      <c r="D4027" s="2" t="n">
        <v>1</v>
      </c>
      <c r="E4027" s="3" t="inlineStr">
        <is>
          <t>FUCILE DOPPIETTA CANI INTERNI</t>
        </is>
      </c>
      <c r="F4027" s="96" t="inlineStr">
        <is>
          <t>12</t>
        </is>
      </c>
      <c r="G4027" s="96" t="inlineStr">
        <is>
          <t>FRANCHI</t>
        </is>
      </c>
      <c r="H4027" s="107" t="n">
        <v>300</v>
      </c>
      <c r="I4027" s="65" t="inlineStr">
        <is>
          <t>37231E</t>
        </is>
      </c>
      <c r="J4027" s="65" t="inlineStr">
        <is>
          <t>N/D</t>
        </is>
      </c>
      <c r="K4027" s="65" t="inlineStr">
        <is>
          <t>N/D</t>
        </is>
      </c>
      <c r="L4027" s="127" t="inlineStr">
        <is>
          <t>ANTONIONI SPORT CACCIA E PESCA SRLS</t>
        </is>
      </c>
      <c r="M4027" s="5" t="n">
        <v>25.747</v>
      </c>
      <c r="N4027" s="5" t="n"/>
      <c r="O4027" s="5">
        <f>+M4027+N4027</f>
        <v/>
      </c>
      <c r="P4027" s="4" t="n"/>
      <c r="Q4027" s="87" t="n"/>
      <c r="R4027" s="5" t="n">
        <v>30</v>
      </c>
      <c r="S4027" s="2" t="n">
        <v>1</v>
      </c>
      <c r="T4027" s="3" t="inlineStr">
        <is>
          <t>CA42796IR</t>
        </is>
      </c>
      <c r="U4027" s="87" t="n">
        <v>46041</v>
      </c>
      <c r="V4027" s="3" t="inlineStr">
        <is>
          <t>1</t>
        </is>
      </c>
      <c r="W4027" s="108" t="n">
        <v>46041</v>
      </c>
      <c r="X4027" s="4" t="inlineStr">
        <is>
          <t>PHILIPPOS COSTANTINIDES TRADING CO. LTD</t>
        </is>
      </c>
    </row>
    <row r="4028" ht="24" customHeight="1">
      <c r="A4028" s="2">
        <f>+D4028-S4028</f>
        <v/>
      </c>
      <c r="B4028" s="126" t="n">
        <v>5616</v>
      </c>
      <c r="C4028" s="66" t="n">
        <v>46041</v>
      </c>
      <c r="D4028" s="2" t="n">
        <v>1</v>
      </c>
      <c r="E4028" s="3" t="inlineStr">
        <is>
          <t>FUCILE DOPPIETTA CANI INTERNI</t>
        </is>
      </c>
      <c r="F4028" s="96" t="inlineStr">
        <is>
          <t>12</t>
        </is>
      </c>
      <c r="G4028" s="96" t="inlineStr">
        <is>
          <t>GUERRINI</t>
        </is>
      </c>
      <c r="H4028" s="107" t="inlineStr">
        <is>
          <t>CACCIA</t>
        </is>
      </c>
      <c r="I4028" s="65" t="inlineStr">
        <is>
          <t>7347</t>
        </is>
      </c>
      <c r="J4028" s="65" t="inlineStr">
        <is>
          <t>N/D</t>
        </is>
      </c>
      <c r="K4028" s="65" t="inlineStr">
        <is>
          <t>N/D</t>
        </is>
      </c>
      <c r="L4028" s="127" t="inlineStr">
        <is>
          <t>ANTONIONI SPORT CACCIA E PESCA SRLS</t>
        </is>
      </c>
      <c r="M4028" s="5" t="n">
        <v>25.747</v>
      </c>
      <c r="N4028" s="5" t="n"/>
      <c r="O4028" s="5">
        <f>+M4028+N4028</f>
        <v/>
      </c>
      <c r="P4028" s="4" t="n"/>
      <c r="Q4028" s="87" t="n"/>
      <c r="R4028" s="5" t="n">
        <v>30</v>
      </c>
      <c r="S4028" s="2" t="n">
        <v>1</v>
      </c>
      <c r="T4028" s="3" t="inlineStr">
        <is>
          <t>CA42796IR</t>
        </is>
      </c>
      <c r="U4028" s="87" t="n">
        <v>46041</v>
      </c>
      <c r="V4028" s="3" t="inlineStr">
        <is>
          <t>1</t>
        </is>
      </c>
      <c r="W4028" s="108" t="n">
        <v>46041</v>
      </c>
      <c r="X4028" s="4" t="inlineStr">
        <is>
          <t>PHILIPPOS COSTANTINIDES TRADING CO. LTD</t>
        </is>
      </c>
    </row>
    <row r="4029" ht="24" customHeight="1">
      <c r="A4029" s="2">
        <f>+D4029-S4029</f>
        <v/>
      </c>
      <c r="B4029" s="126" t="n">
        <v>5617</v>
      </c>
      <c r="C4029" s="66" t="n">
        <v>46041</v>
      </c>
      <c r="D4029" s="2" t="n">
        <v>1</v>
      </c>
      <c r="E4029" s="3" t="inlineStr">
        <is>
          <t>FUCILE DOPPIETTA CANI INTERNI</t>
        </is>
      </c>
      <c r="F4029" s="96" t="inlineStr">
        <is>
          <t>12</t>
        </is>
      </c>
      <c r="G4029" s="96" t="inlineStr">
        <is>
          <t>GIACOMELLI</t>
        </is>
      </c>
      <c r="H4029" s="107" t="inlineStr">
        <is>
          <t>CACCIA</t>
        </is>
      </c>
      <c r="I4029" s="65" t="inlineStr">
        <is>
          <t>3474</t>
        </is>
      </c>
      <c r="J4029" s="65" t="inlineStr">
        <is>
          <t>N/D</t>
        </is>
      </c>
      <c r="K4029" s="65" t="inlineStr">
        <is>
          <t>N/D</t>
        </is>
      </c>
      <c r="L4029" s="127" t="inlineStr">
        <is>
          <t>ANTONIONI SPORT CACCIA E PESCA SRLS</t>
        </is>
      </c>
      <c r="M4029" s="5" t="n">
        <v>25.747</v>
      </c>
      <c r="N4029" s="5" t="n"/>
      <c r="O4029" s="5">
        <f>+M4029+N4029</f>
        <v/>
      </c>
      <c r="P4029" s="4" t="n"/>
      <c r="Q4029" s="87" t="n"/>
      <c r="R4029" s="5" t="n">
        <v>30</v>
      </c>
      <c r="S4029" s="2" t="n">
        <v>1</v>
      </c>
      <c r="T4029" s="3" t="inlineStr">
        <is>
          <t>CA42796IR</t>
        </is>
      </c>
      <c r="U4029" s="87" t="n">
        <v>46041</v>
      </c>
      <c r="V4029" s="3" t="inlineStr">
        <is>
          <t>1</t>
        </is>
      </c>
      <c r="W4029" s="108" t="n">
        <v>46041</v>
      </c>
      <c r="X4029" s="4" t="inlineStr">
        <is>
          <t>PHILIPPOS COSTANTINIDES TRADING CO. LTD</t>
        </is>
      </c>
    </row>
    <row r="4030" ht="24" customHeight="1">
      <c r="A4030" s="2">
        <f>+D4030-S4030</f>
        <v/>
      </c>
      <c r="B4030" s="126" t="n">
        <v>5618</v>
      </c>
      <c r="C4030" s="66" t="n">
        <v>46041</v>
      </c>
      <c r="D4030" s="2" t="n">
        <v>1</v>
      </c>
      <c r="E4030" s="3" t="inlineStr">
        <is>
          <t>FUCILE DOPPIETTA CANI INTERNI</t>
        </is>
      </c>
      <c r="F4030" s="96" t="inlineStr">
        <is>
          <t>12</t>
        </is>
      </c>
      <c r="G4030" s="96" t="inlineStr">
        <is>
          <t>GAMBA</t>
        </is>
      </c>
      <c r="H4030" s="107" t="inlineStr">
        <is>
          <t>CACCIA</t>
        </is>
      </c>
      <c r="I4030" s="65" t="inlineStr">
        <is>
          <t>91957</t>
        </is>
      </c>
      <c r="J4030" s="65" t="inlineStr">
        <is>
          <t>N/D</t>
        </is>
      </c>
      <c r="K4030" s="65" t="inlineStr">
        <is>
          <t>N/D</t>
        </is>
      </c>
      <c r="L4030" s="127" t="inlineStr">
        <is>
          <t>ANTONIONI SPORT CACCIA E PESCA SRLS</t>
        </is>
      </c>
      <c r="M4030" s="5" t="n">
        <v>25.747</v>
      </c>
      <c r="N4030" s="5" t="n"/>
      <c r="O4030" s="5">
        <f>+M4030+N4030</f>
        <v/>
      </c>
      <c r="P4030" s="4" t="n"/>
      <c r="Q4030" s="87" t="n"/>
      <c r="R4030" s="5" t="n">
        <v>30</v>
      </c>
      <c r="S4030" s="2" t="n">
        <v>1</v>
      </c>
      <c r="T4030" s="3" t="inlineStr">
        <is>
          <t>CA42796IR</t>
        </is>
      </c>
      <c r="U4030" s="87" t="n">
        <v>46041</v>
      </c>
      <c r="V4030" s="3" t="inlineStr">
        <is>
          <t>1</t>
        </is>
      </c>
      <c r="W4030" s="108" t="n">
        <v>46041</v>
      </c>
      <c r="X4030" s="4" t="inlineStr">
        <is>
          <t>PHILIPPOS COSTANTINIDES TRADING CO. LTD</t>
        </is>
      </c>
    </row>
    <row r="4031" ht="24" customHeight="1">
      <c r="A4031" s="2">
        <f>+D4031-S4031</f>
        <v/>
      </c>
      <c r="B4031" s="126" t="n">
        <v>5619</v>
      </c>
      <c r="C4031" s="66" t="n">
        <v>46041</v>
      </c>
      <c r="D4031" s="2" t="n">
        <v>1</v>
      </c>
      <c r="E4031" s="3" t="inlineStr">
        <is>
          <t>FUCILE DOPPIETTA CANI INTERNI</t>
        </is>
      </c>
      <c r="F4031" s="96" t="inlineStr">
        <is>
          <t>12</t>
        </is>
      </c>
      <c r="G4031" s="96" t="inlineStr">
        <is>
          <t>GAMBA</t>
        </is>
      </c>
      <c r="H4031" s="107" t="inlineStr">
        <is>
          <t>CACCIA</t>
        </is>
      </c>
      <c r="I4031" s="65" t="inlineStr">
        <is>
          <t>9633</t>
        </is>
      </c>
      <c r="J4031" s="65" t="inlineStr">
        <is>
          <t>N/D</t>
        </is>
      </c>
      <c r="K4031" s="65" t="inlineStr">
        <is>
          <t>N/D</t>
        </is>
      </c>
      <c r="L4031" s="127" t="inlineStr">
        <is>
          <t>ANTONIONI SPORT CACCIA E PESCA SRLS</t>
        </is>
      </c>
      <c r="M4031" s="5" t="n">
        <v>25.747</v>
      </c>
      <c r="N4031" s="5" t="n"/>
      <c r="O4031" s="5">
        <f>+M4031+N4031</f>
        <v/>
      </c>
      <c r="P4031" s="4" t="n"/>
      <c r="Q4031" s="87" t="n"/>
      <c r="R4031" s="5" t="n">
        <v>30</v>
      </c>
      <c r="S4031" s="2" t="n">
        <v>1</v>
      </c>
      <c r="T4031" s="3" t="inlineStr">
        <is>
          <t>CA42796IR</t>
        </is>
      </c>
      <c r="U4031" s="87" t="n">
        <v>46041</v>
      </c>
      <c r="V4031" s="3" t="inlineStr">
        <is>
          <t>1</t>
        </is>
      </c>
      <c r="W4031" s="108" t="n">
        <v>46041</v>
      </c>
      <c r="X4031" s="4" t="inlineStr">
        <is>
          <t>PHILIPPOS COSTANTINIDES TRADING CO. LTD</t>
        </is>
      </c>
    </row>
    <row r="4032" ht="24" customHeight="1">
      <c r="A4032" s="2">
        <f>+D4032-S4032</f>
        <v/>
      </c>
      <c r="B4032" s="126" t="n">
        <v>5620</v>
      </c>
      <c r="C4032" s="66" t="n">
        <v>46041</v>
      </c>
      <c r="D4032" s="2" t="n">
        <v>1</v>
      </c>
      <c r="E4032" s="3" t="inlineStr">
        <is>
          <t>FUCILE DOPPIETTA CANI ESTERNI</t>
        </is>
      </c>
      <c r="F4032" s="96" t="inlineStr">
        <is>
          <t>12</t>
        </is>
      </c>
      <c r="G4032" s="96" t="inlineStr">
        <is>
          <t>BERTUZZI</t>
        </is>
      </c>
      <c r="H4032" s="107" t="inlineStr">
        <is>
          <t>CACCIA</t>
        </is>
      </c>
      <c r="I4032" s="65" t="inlineStr">
        <is>
          <t>2046</t>
        </is>
      </c>
      <c r="J4032" s="65" t="inlineStr">
        <is>
          <t>N/D</t>
        </is>
      </c>
      <c r="K4032" s="65" t="inlineStr">
        <is>
          <t>N/D</t>
        </is>
      </c>
      <c r="L4032" s="127" t="inlineStr">
        <is>
          <t>ANTONIONI SPORT CACCIA E PESCA SRLS</t>
        </is>
      </c>
      <c r="M4032" s="5" t="n">
        <v>25.747</v>
      </c>
      <c r="N4032" s="5" t="n"/>
      <c r="O4032" s="5">
        <f>+M4032+N4032</f>
        <v/>
      </c>
      <c r="P4032" s="4" t="n"/>
      <c r="Q4032" s="87" t="n"/>
      <c r="R4032" s="5" t="n">
        <v>30</v>
      </c>
      <c r="S4032" s="2" t="n">
        <v>1</v>
      </c>
      <c r="T4032" s="3" t="inlineStr">
        <is>
          <t>CA42796IR</t>
        </is>
      </c>
      <c r="U4032" s="87" t="n">
        <v>46041</v>
      </c>
      <c r="V4032" s="3" t="inlineStr">
        <is>
          <t>1</t>
        </is>
      </c>
      <c r="W4032" s="108" t="n">
        <v>46041</v>
      </c>
      <c r="X4032" s="4" t="inlineStr">
        <is>
          <t>PHILIPPOS COSTANTINIDES TRADING CO. LTD</t>
        </is>
      </c>
    </row>
    <row r="4033" ht="24" customHeight="1">
      <c r="A4033" s="2">
        <f>+D4033-S4033</f>
        <v/>
      </c>
      <c r="B4033" s="126" t="n">
        <v>5621</v>
      </c>
      <c r="C4033" s="66" t="n">
        <v>46041</v>
      </c>
      <c r="D4033" s="2" t="n">
        <v>1</v>
      </c>
      <c r="E4033" s="3" t="inlineStr">
        <is>
          <t>FUCILE DOPPIETTA CANI INTERNI</t>
        </is>
      </c>
      <c r="F4033" s="96" t="inlineStr">
        <is>
          <t>12</t>
        </is>
      </c>
      <c r="G4033" s="96" t="inlineStr">
        <is>
          <t>BASSOTTI</t>
        </is>
      </c>
      <c r="H4033" s="107" t="inlineStr">
        <is>
          <t>CACCIA</t>
        </is>
      </c>
      <c r="I4033" s="65" t="inlineStr">
        <is>
          <t>1131</t>
        </is>
      </c>
      <c r="J4033" s="65" t="inlineStr">
        <is>
          <t>N/D</t>
        </is>
      </c>
      <c r="K4033" s="65" t="inlineStr">
        <is>
          <t>N/D</t>
        </is>
      </c>
      <c r="L4033" s="127" t="inlineStr">
        <is>
          <t>ANTONIONI SPORT CACCIA E PESCA SRLS</t>
        </is>
      </c>
      <c r="M4033" s="5" t="n">
        <v>25.747</v>
      </c>
      <c r="N4033" s="5" t="n"/>
      <c r="O4033" s="5">
        <f>+M4033+N4033</f>
        <v/>
      </c>
      <c r="P4033" s="4" t="n"/>
      <c r="Q4033" s="87" t="n"/>
      <c r="R4033" s="5" t="n">
        <v>30</v>
      </c>
      <c r="S4033" s="2" t="n">
        <v>1</v>
      </c>
      <c r="T4033" s="3" t="inlineStr">
        <is>
          <t>CA42796IR</t>
        </is>
      </c>
      <c r="U4033" s="87" t="n">
        <v>46041</v>
      </c>
      <c r="V4033" s="3" t="inlineStr">
        <is>
          <t>1</t>
        </is>
      </c>
      <c r="W4033" s="108" t="n">
        <v>46041</v>
      </c>
      <c r="X4033" s="4" t="inlineStr">
        <is>
          <t>PHILIPPOS COSTANTINIDES TRADING CO. LTD</t>
        </is>
      </c>
    </row>
    <row r="4034" ht="24" customHeight="1">
      <c r="A4034" s="2">
        <f>+D4034-S4034</f>
        <v/>
      </c>
      <c r="B4034" s="126" t="n">
        <v>5622</v>
      </c>
      <c r="C4034" s="66" t="n">
        <v>46041</v>
      </c>
      <c r="D4034" s="2" t="n">
        <v>1</v>
      </c>
      <c r="E4034" s="3" t="inlineStr">
        <is>
          <t>FUCILE DOPPIETTA CANI INTERNI</t>
        </is>
      </c>
      <c r="F4034" s="96" t="inlineStr">
        <is>
          <t>12</t>
        </is>
      </c>
      <c r="G4034" s="96" t="inlineStr">
        <is>
          <t>BERETTA</t>
        </is>
      </c>
      <c r="H4034" s="107" t="inlineStr">
        <is>
          <t>CACCIA</t>
        </is>
      </c>
      <c r="I4034" s="65" t="inlineStr">
        <is>
          <t>32096</t>
        </is>
      </c>
      <c r="J4034" s="65" t="inlineStr">
        <is>
          <t>N/D</t>
        </is>
      </c>
      <c r="K4034" s="65" t="inlineStr">
        <is>
          <t>N/D</t>
        </is>
      </c>
      <c r="L4034" s="127" t="inlineStr">
        <is>
          <t>ANTONIONI SPORT CACCIA E PESCA SRLS</t>
        </is>
      </c>
      <c r="M4034" s="5" t="n">
        <v>25.747</v>
      </c>
      <c r="N4034" s="5" t="n"/>
      <c r="O4034" s="5">
        <f>+M4034+N4034</f>
        <v/>
      </c>
      <c r="P4034" s="4" t="n"/>
      <c r="Q4034" s="87" t="n"/>
      <c r="R4034" s="5" t="n">
        <v>30</v>
      </c>
      <c r="S4034" s="2" t="n">
        <v>1</v>
      </c>
      <c r="T4034" s="3" t="inlineStr">
        <is>
          <t>CA42796IR</t>
        </is>
      </c>
      <c r="U4034" s="87" t="n">
        <v>46041</v>
      </c>
      <c r="V4034" s="3" t="inlineStr">
        <is>
          <t>1</t>
        </is>
      </c>
      <c r="W4034" s="108" t="n">
        <v>46041</v>
      </c>
      <c r="X4034" s="4" t="inlineStr">
        <is>
          <t>PHILIPPOS COSTANTINIDES TRADING CO. LTD</t>
        </is>
      </c>
    </row>
    <row r="4035" ht="24" customHeight="1">
      <c r="A4035" s="2">
        <f>+D4035-S4035</f>
        <v/>
      </c>
      <c r="B4035" s="126" t="n">
        <v>5623</v>
      </c>
      <c r="C4035" s="66" t="n">
        <v>46041</v>
      </c>
      <c r="D4035" s="2" t="n">
        <v>1</v>
      </c>
      <c r="E4035" s="3" t="inlineStr">
        <is>
          <t>FUCILE DOPPIETTA CANI INTERNI</t>
        </is>
      </c>
      <c r="F4035" s="96" t="inlineStr">
        <is>
          <t>12</t>
        </is>
      </c>
      <c r="G4035" s="96" t="inlineStr">
        <is>
          <t>MAROCCHI</t>
        </is>
      </c>
      <c r="H4035" s="107" t="inlineStr">
        <is>
          <t>CACCIA</t>
        </is>
      </c>
      <c r="I4035" s="65" t="inlineStr">
        <is>
          <t>01195</t>
        </is>
      </c>
      <c r="J4035" s="65" t="inlineStr">
        <is>
          <t>N/D</t>
        </is>
      </c>
      <c r="K4035" s="65" t="inlineStr">
        <is>
          <t>N/D</t>
        </is>
      </c>
      <c r="L4035" s="127" t="inlineStr">
        <is>
          <t>ANTONIONI SPORT CACCIA E PESCA SRLS</t>
        </is>
      </c>
      <c r="M4035" s="5" t="n">
        <v>25.747</v>
      </c>
      <c r="N4035" s="5" t="n"/>
      <c r="O4035" s="5">
        <f>+M4035+N4035</f>
        <v/>
      </c>
      <c r="P4035" s="4" t="n"/>
      <c r="Q4035" s="87" t="n"/>
      <c r="R4035" s="5" t="n">
        <v>30</v>
      </c>
      <c r="S4035" s="2" t="n">
        <v>1</v>
      </c>
      <c r="T4035" s="3" t="inlineStr">
        <is>
          <t>CA42796IR</t>
        </is>
      </c>
      <c r="U4035" s="87" t="n">
        <v>46041</v>
      </c>
      <c r="V4035" s="3" t="inlineStr">
        <is>
          <t>1</t>
        </is>
      </c>
      <c r="W4035" s="108" t="n">
        <v>46041</v>
      </c>
      <c r="X4035" s="4" t="inlineStr">
        <is>
          <t>PHILIPPOS COSTANTINIDES TRADING CO. LTD</t>
        </is>
      </c>
    </row>
    <row r="4036" ht="24" customHeight="1">
      <c r="A4036" s="2">
        <f>+D4036-S4036</f>
        <v/>
      </c>
      <c r="B4036" s="126" t="n">
        <v>5624</v>
      </c>
      <c r="C4036" s="66" t="n">
        <v>46041</v>
      </c>
      <c r="D4036" s="2" t="n">
        <v>1</v>
      </c>
      <c r="E4036" s="3" t="inlineStr">
        <is>
          <t>FUCILE DOPPIETTA CANI INTERNI</t>
        </is>
      </c>
      <c r="F4036" s="96" t="inlineStr">
        <is>
          <t>12</t>
        </is>
      </c>
      <c r="G4036" s="96" t="inlineStr">
        <is>
          <t>BERETTA</t>
        </is>
      </c>
      <c r="H4036" s="107" t="inlineStr">
        <is>
          <t>CACCIA</t>
        </is>
      </c>
      <c r="I4036" s="65" t="inlineStr">
        <is>
          <t>63884</t>
        </is>
      </c>
      <c r="J4036" s="65" t="inlineStr">
        <is>
          <t>N/D</t>
        </is>
      </c>
      <c r="K4036" s="65" t="inlineStr">
        <is>
          <t>N/D</t>
        </is>
      </c>
      <c r="L4036" s="127" t="inlineStr">
        <is>
          <t>ANTONIONI SPORT CACCIA E PESCA SRLS</t>
        </is>
      </c>
      <c r="M4036" s="5" t="n">
        <v>25.747</v>
      </c>
      <c r="N4036" s="5" t="n"/>
      <c r="O4036" s="5">
        <f>+M4036+N4036</f>
        <v/>
      </c>
      <c r="P4036" s="4" t="n"/>
      <c r="Q4036" s="87" t="n"/>
      <c r="R4036" s="5" t="n">
        <v>30</v>
      </c>
      <c r="S4036" s="2" t="n">
        <v>1</v>
      </c>
      <c r="T4036" s="3" t="inlineStr">
        <is>
          <t>CA42796IR</t>
        </is>
      </c>
      <c r="U4036" s="87" t="n">
        <v>46041</v>
      </c>
      <c r="V4036" s="3" t="inlineStr">
        <is>
          <t>1</t>
        </is>
      </c>
      <c r="W4036" s="108" t="n">
        <v>46041</v>
      </c>
      <c r="X4036" s="4" t="inlineStr">
        <is>
          <t>PHILIPPOS COSTANTINIDES TRADING CO. LTD</t>
        </is>
      </c>
    </row>
    <row r="4037" ht="24" customHeight="1">
      <c r="A4037" s="2">
        <f>+D4037-S4037</f>
        <v/>
      </c>
      <c r="B4037" s="126" t="n">
        <v>5625</v>
      </c>
      <c r="C4037" s="66" t="n">
        <v>46041</v>
      </c>
      <c r="D4037" s="2" t="n">
        <v>1</v>
      </c>
      <c r="E4037" s="3" t="inlineStr">
        <is>
          <t>FUCILE DOPPIETTA CANI INTERNI</t>
        </is>
      </c>
      <c r="F4037" s="96" t="inlineStr">
        <is>
          <t>12</t>
        </is>
      </c>
      <c r="G4037" s="96" t="inlineStr">
        <is>
          <t>BERNARDELLI</t>
        </is>
      </c>
      <c r="H4037" s="107" t="inlineStr">
        <is>
          <t>ROMA 4</t>
        </is>
      </c>
      <c r="I4037" s="65" t="inlineStr">
        <is>
          <t>127276</t>
        </is>
      </c>
      <c r="J4037" s="65" t="inlineStr">
        <is>
          <t>N/D</t>
        </is>
      </c>
      <c r="K4037" s="65" t="inlineStr">
        <is>
          <t>N/D</t>
        </is>
      </c>
      <c r="L4037" s="127" t="inlineStr">
        <is>
          <t>ANTONIONI SPORT CACCIA E PESCA SRLS</t>
        </is>
      </c>
      <c r="M4037" s="5" t="n">
        <v>25.747</v>
      </c>
      <c r="N4037" s="5" t="n"/>
      <c r="O4037" s="5">
        <f>+M4037+N4037</f>
        <v/>
      </c>
      <c r="P4037" s="4" t="n"/>
      <c r="Q4037" s="87" t="n"/>
      <c r="R4037" s="5" t="n">
        <v>30</v>
      </c>
      <c r="S4037" s="2" t="n">
        <v>1</v>
      </c>
      <c r="T4037" s="3" t="inlineStr">
        <is>
          <t>CA42796IR</t>
        </is>
      </c>
      <c r="U4037" s="87" t="n">
        <v>46041</v>
      </c>
      <c r="V4037" s="3" t="inlineStr">
        <is>
          <t>1</t>
        </is>
      </c>
      <c r="W4037" s="108" t="n">
        <v>46041</v>
      </c>
      <c r="X4037" s="4" t="inlineStr">
        <is>
          <t>PHILIPPOS COSTANTINIDES TRADING CO. LTD</t>
        </is>
      </c>
    </row>
    <row r="4038" ht="24" customHeight="1">
      <c r="A4038" s="2">
        <f>+D4038-S4038</f>
        <v/>
      </c>
      <c r="B4038" s="126" t="n">
        <v>5626</v>
      </c>
      <c r="C4038" s="66" t="n">
        <v>46041</v>
      </c>
      <c r="D4038" s="2" t="n">
        <v>1</v>
      </c>
      <c r="E4038" s="3" t="inlineStr">
        <is>
          <t>FUCILE DOPPIETTA CANI INTERNI</t>
        </is>
      </c>
      <c r="F4038" s="96" t="inlineStr">
        <is>
          <t>12</t>
        </is>
      </c>
      <c r="G4038" s="96" t="inlineStr">
        <is>
          <t>BEGHELLI</t>
        </is>
      </c>
      <c r="H4038" s="107" t="inlineStr">
        <is>
          <t>CACCIA</t>
        </is>
      </c>
      <c r="I4038" s="65" t="inlineStr">
        <is>
          <t>15463</t>
        </is>
      </c>
      <c r="J4038" s="65" t="inlineStr">
        <is>
          <t>N/D</t>
        </is>
      </c>
      <c r="K4038" s="65" t="inlineStr">
        <is>
          <t>N/D</t>
        </is>
      </c>
      <c r="L4038" s="127" t="inlineStr">
        <is>
          <t>ANTONIONI SPORT CACCIA E PESCA SRLS</t>
        </is>
      </c>
      <c r="M4038" s="5" t="n">
        <v>25.747</v>
      </c>
      <c r="N4038" s="5" t="n"/>
      <c r="O4038" s="5">
        <f>+M4038+N4038</f>
        <v/>
      </c>
      <c r="P4038" s="4" t="n"/>
      <c r="Q4038" s="87" t="n"/>
      <c r="R4038" s="5" t="n">
        <v>30</v>
      </c>
      <c r="S4038" s="2" t="n">
        <v>1</v>
      </c>
      <c r="T4038" s="3" t="inlineStr">
        <is>
          <t>CA42796IR</t>
        </is>
      </c>
      <c r="U4038" s="87" t="n">
        <v>46041</v>
      </c>
      <c r="V4038" s="3" t="inlineStr">
        <is>
          <t>1</t>
        </is>
      </c>
      <c r="W4038" s="108" t="n">
        <v>46041</v>
      </c>
      <c r="X4038" s="4" t="inlineStr">
        <is>
          <t>PHILIPPOS COSTANTINIDES TRADING CO. LTD</t>
        </is>
      </c>
    </row>
    <row r="4039" ht="24" customHeight="1">
      <c r="A4039" s="2">
        <f>+D4039-S4039</f>
        <v/>
      </c>
      <c r="B4039" s="126" t="n">
        <v>5627</v>
      </c>
      <c r="C4039" s="66" t="n">
        <v>46041</v>
      </c>
      <c r="D4039" s="2" t="n">
        <v>1</v>
      </c>
      <c r="E4039" s="3" t="inlineStr">
        <is>
          <t>FUCILE DOPPIETTA CANI INTERNI</t>
        </is>
      </c>
      <c r="F4039" s="96" t="inlineStr">
        <is>
          <t>12</t>
        </is>
      </c>
      <c r="G4039" s="96" t="inlineStr">
        <is>
          <t>PEDRAZZINI</t>
        </is>
      </c>
      <c r="H4039" s="107" t="inlineStr">
        <is>
          <t>CACCIA</t>
        </is>
      </c>
      <c r="I4039" s="65" t="inlineStr">
        <is>
          <t>20223</t>
        </is>
      </c>
      <c r="J4039" s="65" t="inlineStr">
        <is>
          <t>N/D</t>
        </is>
      </c>
      <c r="K4039" s="65" t="inlineStr">
        <is>
          <t>N/D</t>
        </is>
      </c>
      <c r="L4039" s="127" t="inlineStr">
        <is>
          <t>ANTONIONI SPORT CACCIA E PESCA SRLS</t>
        </is>
      </c>
      <c r="M4039" s="5" t="n">
        <v>25.747</v>
      </c>
      <c r="N4039" s="5" t="n"/>
      <c r="O4039" s="5">
        <f>+M4039+N4039</f>
        <v/>
      </c>
      <c r="P4039" s="4" t="n"/>
      <c r="Q4039" s="87" t="n"/>
      <c r="R4039" s="5" t="n">
        <v>30</v>
      </c>
      <c r="S4039" s="2" t="n">
        <v>1</v>
      </c>
      <c r="T4039" s="3" t="inlineStr">
        <is>
          <t>CA42796IR</t>
        </is>
      </c>
      <c r="U4039" s="87" t="n">
        <v>46041</v>
      </c>
      <c r="V4039" s="3" t="inlineStr">
        <is>
          <t>1</t>
        </is>
      </c>
      <c r="W4039" s="108" t="n">
        <v>46041</v>
      </c>
      <c r="X4039" s="4" t="inlineStr">
        <is>
          <t>PHILIPPOS COSTANTINIDES TRADING CO. LTD</t>
        </is>
      </c>
    </row>
    <row r="4040" ht="24" customHeight="1">
      <c r="A4040" s="2">
        <f>+D4040-S4040</f>
        <v/>
      </c>
      <c r="B4040" s="126" t="n">
        <v>5628</v>
      </c>
      <c r="C4040" s="66" t="n">
        <v>46041</v>
      </c>
      <c r="D4040" s="2" t="n">
        <v>1</v>
      </c>
      <c r="E4040" s="3" t="inlineStr">
        <is>
          <t>FUCILE DOPPIETTA CANI INTERNI</t>
        </is>
      </c>
      <c r="F4040" s="96" t="inlineStr">
        <is>
          <t>12</t>
        </is>
      </c>
      <c r="G4040" s="96" t="inlineStr">
        <is>
          <t>ARTIGIANO</t>
        </is>
      </c>
      <c r="H4040" s="107" t="inlineStr">
        <is>
          <t>CACCIA</t>
        </is>
      </c>
      <c r="I4040" s="65" t="inlineStr">
        <is>
          <t>7546</t>
        </is>
      </c>
      <c r="J4040" s="65" t="inlineStr">
        <is>
          <t>N/D</t>
        </is>
      </c>
      <c r="K4040" s="65" t="inlineStr">
        <is>
          <t>N/D</t>
        </is>
      </c>
      <c r="L4040" s="127" t="inlineStr">
        <is>
          <t>ANTONIONI SPORT CACCIA E PESCA SRLS</t>
        </is>
      </c>
      <c r="M4040" s="5" t="n">
        <v>25.747</v>
      </c>
      <c r="N4040" s="5" t="n"/>
      <c r="O4040" s="5">
        <f>+M4040+N4040</f>
        <v/>
      </c>
      <c r="P4040" s="4" t="n"/>
      <c r="Q4040" s="87" t="n"/>
      <c r="R4040" s="5" t="n">
        <v>30</v>
      </c>
      <c r="S4040" s="2" t="n">
        <v>1</v>
      </c>
      <c r="T4040" s="3" t="inlineStr">
        <is>
          <t>CA42796IR</t>
        </is>
      </c>
      <c r="U4040" s="87" t="n">
        <v>46041</v>
      </c>
      <c r="V4040" s="3" t="inlineStr">
        <is>
          <t>1</t>
        </is>
      </c>
      <c r="W4040" s="108" t="n">
        <v>46041</v>
      </c>
      <c r="X4040" s="4" t="inlineStr">
        <is>
          <t>PHILIPPOS COSTANTINIDES TRADING CO. LTD</t>
        </is>
      </c>
    </row>
    <row r="4041" ht="24" customHeight="1">
      <c r="A4041" s="2">
        <f>+D4041-S4041</f>
        <v/>
      </c>
      <c r="B4041" s="126" t="n">
        <v>5629</v>
      </c>
      <c r="C4041" s="66" t="n">
        <v>46041</v>
      </c>
      <c r="D4041" s="2" t="n">
        <v>1</v>
      </c>
      <c r="E4041" s="3" t="inlineStr">
        <is>
          <t>FUCILE DOPPIETTA CANI INTERNI</t>
        </is>
      </c>
      <c r="F4041" s="96" t="inlineStr">
        <is>
          <t>12</t>
        </is>
      </c>
      <c r="G4041" s="96" t="inlineStr">
        <is>
          <t>POLI</t>
        </is>
      </c>
      <c r="H4041" s="107" t="inlineStr">
        <is>
          <t>CACCIA</t>
        </is>
      </c>
      <c r="I4041" s="65" t="inlineStr">
        <is>
          <t>1968</t>
        </is>
      </c>
      <c r="J4041" s="65" t="inlineStr">
        <is>
          <t>N/D</t>
        </is>
      </c>
      <c r="K4041" s="65" t="inlineStr">
        <is>
          <t>N/D</t>
        </is>
      </c>
      <c r="L4041" s="127" t="inlineStr">
        <is>
          <t>ANTONIONI SPORT CACCIA E PESCA SRLS</t>
        </is>
      </c>
      <c r="M4041" s="5" t="n">
        <v>25.747</v>
      </c>
      <c r="N4041" s="5" t="n"/>
      <c r="O4041" s="5">
        <f>+M4041+N4041</f>
        <v/>
      </c>
      <c r="P4041" s="4" t="n"/>
      <c r="Q4041" s="87" t="n"/>
      <c r="R4041" s="5" t="n">
        <v>30</v>
      </c>
      <c r="S4041" s="2" t="n">
        <v>1</v>
      </c>
      <c r="T4041" s="3" t="inlineStr">
        <is>
          <t>CA42796IR</t>
        </is>
      </c>
      <c r="U4041" s="87" t="n">
        <v>46041</v>
      </c>
      <c r="V4041" s="3" t="inlineStr">
        <is>
          <t>1</t>
        </is>
      </c>
      <c r="W4041" s="108" t="n">
        <v>46041</v>
      </c>
      <c r="X4041" s="4" t="inlineStr">
        <is>
          <t>PHILIPPOS COSTANTINIDES TRADING CO. LTD</t>
        </is>
      </c>
    </row>
    <row r="4042" ht="24" customHeight="1">
      <c r="A4042" s="2">
        <f>+D4042-S4042</f>
        <v/>
      </c>
      <c r="B4042" s="126" t="n">
        <v>5630</v>
      </c>
      <c r="C4042" s="66" t="n">
        <v>46041</v>
      </c>
      <c r="D4042" s="2" t="n">
        <v>1</v>
      </c>
      <c r="E4042" s="3" t="inlineStr">
        <is>
          <t>FUCILE DOPPIETTA CANI INTERNI</t>
        </is>
      </c>
      <c r="F4042" s="3" t="inlineStr">
        <is>
          <t>12</t>
        </is>
      </c>
      <c r="G4042" s="84" t="inlineStr">
        <is>
          <t>DI MAGGIO</t>
        </is>
      </c>
      <c r="H4042" s="107" t="inlineStr">
        <is>
          <t>CACCIA</t>
        </is>
      </c>
      <c r="I4042" s="107" t="inlineStr">
        <is>
          <t>5446</t>
        </is>
      </c>
      <c r="J4042" s="65" t="inlineStr">
        <is>
          <t>N/D</t>
        </is>
      </c>
      <c r="K4042" s="65" t="inlineStr">
        <is>
          <t>N/D</t>
        </is>
      </c>
      <c r="L4042" s="127" t="inlineStr">
        <is>
          <t>ANTONIONI SPORT CACCIA E PESCA SRLS</t>
        </is>
      </c>
      <c r="M4042" s="5" t="n">
        <v>25.747</v>
      </c>
      <c r="N4042" s="5" t="n"/>
      <c r="O4042" s="5">
        <f>+M4042+N4042</f>
        <v/>
      </c>
      <c r="P4042" s="4" t="n"/>
      <c r="Q4042" s="87" t="n"/>
      <c r="R4042" s="5" t="n">
        <v>31.94</v>
      </c>
      <c r="S4042" s="2" t="n">
        <v>1</v>
      </c>
      <c r="T4042" s="3" t="inlineStr">
        <is>
          <t>CA42796IR</t>
        </is>
      </c>
      <c r="U4042" s="87" t="n">
        <v>46097</v>
      </c>
      <c r="V4042" s="3" t="inlineStr">
        <is>
          <t>4</t>
        </is>
      </c>
      <c r="W4042" s="108" t="n">
        <v>46097</v>
      </c>
      <c r="X4042" s="4" t="inlineStr">
        <is>
          <t>PHILIPPOS  CONSTANTINIDES
TRADING CO.LTD</t>
        </is>
      </c>
    </row>
    <row r="4043" ht="24" customHeight="1">
      <c r="A4043" s="2">
        <f>+D4043-S4043</f>
        <v/>
      </c>
      <c r="B4043" s="126" t="n">
        <v>5631</v>
      </c>
      <c r="C4043" s="66" t="n">
        <v>46041</v>
      </c>
      <c r="D4043" s="2" t="n">
        <v>1</v>
      </c>
      <c r="E4043" s="3" t="inlineStr">
        <is>
          <t>FUCILE DOPPIETTA CANI ESTERNI</t>
        </is>
      </c>
      <c r="F4043" s="96" t="inlineStr">
        <is>
          <t>12</t>
        </is>
      </c>
      <c r="G4043" s="96" t="inlineStr">
        <is>
          <t>PINTOSSI</t>
        </is>
      </c>
      <c r="H4043" s="107" t="inlineStr">
        <is>
          <t>CACCIA</t>
        </is>
      </c>
      <c r="I4043" s="65" t="inlineStr">
        <is>
          <t>2697</t>
        </is>
      </c>
      <c r="J4043" s="65" t="inlineStr">
        <is>
          <t>N/D</t>
        </is>
      </c>
      <c r="K4043" s="65" t="inlineStr">
        <is>
          <t>N/D</t>
        </is>
      </c>
      <c r="L4043" s="127" t="inlineStr">
        <is>
          <t>ANTONIONI SPORT CACCIA E PESCA SRLS</t>
        </is>
      </c>
      <c r="M4043" s="5" t="n">
        <v>25.747</v>
      </c>
      <c r="N4043" s="5" t="n"/>
      <c r="O4043" s="5">
        <f>+M4043+N4043</f>
        <v/>
      </c>
      <c r="P4043" s="4" t="n"/>
      <c r="Q4043" s="87" t="n"/>
      <c r="R4043" s="5" t="n">
        <v>30</v>
      </c>
      <c r="S4043" s="2" t="n">
        <v>1</v>
      </c>
      <c r="T4043" s="3" t="inlineStr">
        <is>
          <t>CA42796IR</t>
        </is>
      </c>
      <c r="U4043" s="87" t="n">
        <v>46041</v>
      </c>
      <c r="V4043" s="3" t="inlineStr">
        <is>
          <t>1</t>
        </is>
      </c>
      <c r="W4043" s="108" t="n">
        <v>46041</v>
      </c>
      <c r="X4043" s="4" t="inlineStr">
        <is>
          <t>PHILIPPOS COSTANTINIDES TRADING CO. LTD</t>
        </is>
      </c>
    </row>
    <row r="4044" ht="24" customHeight="1">
      <c r="A4044" s="2">
        <f>+D4044-S4044</f>
        <v/>
      </c>
      <c r="B4044" s="126" t="n">
        <v>5632</v>
      </c>
      <c r="C4044" s="66" t="n">
        <v>46041</v>
      </c>
      <c r="D4044" s="2" t="n">
        <v>1</v>
      </c>
      <c r="E4044" s="3" t="inlineStr">
        <is>
          <t>FUCILE DOPPIETTA CANI INTERNI</t>
        </is>
      </c>
      <c r="F4044" s="96" t="inlineStr">
        <is>
          <t>12</t>
        </is>
      </c>
      <c r="G4044" s="96" t="inlineStr">
        <is>
          <t>BERETTA</t>
        </is>
      </c>
      <c r="H4044" s="107" t="inlineStr">
        <is>
          <t>CACCIA</t>
        </is>
      </c>
      <c r="I4044" s="65" t="inlineStr">
        <is>
          <t>70578</t>
        </is>
      </c>
      <c r="J4044" s="65" t="inlineStr">
        <is>
          <t>0578</t>
        </is>
      </c>
      <c r="K4044" s="65" t="inlineStr">
        <is>
          <t>N/D</t>
        </is>
      </c>
      <c r="L4044" s="127" t="inlineStr">
        <is>
          <t>ANTONIONI SPORT CACCIA E PESCA SRLS</t>
        </is>
      </c>
      <c r="M4044" s="5" t="n">
        <v>25.747</v>
      </c>
      <c r="N4044" s="5" t="n"/>
      <c r="O4044" s="5">
        <f>+M4044+N4044</f>
        <v/>
      </c>
      <c r="P4044" s="4" t="n"/>
      <c r="Q4044" s="87" t="n"/>
      <c r="R4044" s="5" t="n">
        <v>30</v>
      </c>
      <c r="S4044" s="2" t="n">
        <v>1</v>
      </c>
      <c r="T4044" s="3" t="inlineStr">
        <is>
          <t>CA42796IR</t>
        </is>
      </c>
      <c r="U4044" s="87" t="n">
        <v>46041</v>
      </c>
      <c r="V4044" s="3" t="inlineStr">
        <is>
          <t>1</t>
        </is>
      </c>
      <c r="W4044" s="108" t="n">
        <v>46041</v>
      </c>
      <c r="X4044" s="4" t="inlineStr">
        <is>
          <t>PHILIPPOS COSTANTINIDES TRADING CO. LTD</t>
        </is>
      </c>
    </row>
    <row r="4045" ht="24" customHeight="1">
      <c r="A4045" s="2">
        <f>+D4045-S4045</f>
        <v/>
      </c>
      <c r="B4045" s="126" t="n">
        <v>5633</v>
      </c>
      <c r="C4045" s="66" t="n">
        <v>46041</v>
      </c>
      <c r="D4045" s="2" t="n">
        <v>1</v>
      </c>
      <c r="E4045" s="3" t="inlineStr">
        <is>
          <t>FUCILE DOPPIETTA CANI ESTERNI</t>
        </is>
      </c>
      <c r="F4045" s="96" t="inlineStr">
        <is>
          <t>12</t>
        </is>
      </c>
      <c r="G4045" s="96" t="inlineStr">
        <is>
          <t>F.A.L.C.</t>
        </is>
      </c>
      <c r="H4045" s="107" t="inlineStr">
        <is>
          <t>CACCIA</t>
        </is>
      </c>
      <c r="I4045" s="65" t="inlineStr">
        <is>
          <t>27604</t>
        </is>
      </c>
      <c r="J4045" s="65" t="inlineStr">
        <is>
          <t>N/D</t>
        </is>
      </c>
      <c r="K4045" s="65" t="inlineStr">
        <is>
          <t>N/D</t>
        </is>
      </c>
      <c r="L4045" s="127" t="inlineStr">
        <is>
          <t>ANTONIONI SPORT CACCIA E PESCA SRLS</t>
        </is>
      </c>
      <c r="M4045" s="5" t="n">
        <v>25.747</v>
      </c>
      <c r="N4045" s="5" t="n"/>
      <c r="O4045" s="5">
        <f>+M4045+N4045</f>
        <v/>
      </c>
      <c r="P4045" s="4" t="n"/>
      <c r="Q4045" s="87" t="n"/>
      <c r="R4045" s="5" t="n">
        <v>30</v>
      </c>
      <c r="S4045" s="2" t="n">
        <v>1</v>
      </c>
      <c r="T4045" s="3" t="inlineStr">
        <is>
          <t>CA42796IR</t>
        </is>
      </c>
      <c r="U4045" s="87" t="n">
        <v>46041</v>
      </c>
      <c r="V4045" s="3" t="inlineStr">
        <is>
          <t>1</t>
        </is>
      </c>
      <c r="W4045" s="108" t="n">
        <v>46041</v>
      </c>
      <c r="X4045" s="4" t="inlineStr">
        <is>
          <t>PHILIPPOS COSTANTINIDES TRADING CO. LTD</t>
        </is>
      </c>
    </row>
    <row r="4046" ht="24" customHeight="1">
      <c r="A4046" s="2">
        <f>+D4046-S4046</f>
        <v/>
      </c>
      <c r="B4046" s="126" t="n">
        <v>5634</v>
      </c>
      <c r="C4046" s="66" t="n">
        <v>46041</v>
      </c>
      <c r="D4046" s="2" t="n">
        <v>1</v>
      </c>
      <c r="E4046" s="3" t="inlineStr">
        <is>
          <t>FUCILE DOPPIETTA CANI INTERNI</t>
        </is>
      </c>
      <c r="F4046" s="96" t="inlineStr">
        <is>
          <t>12</t>
        </is>
      </c>
      <c r="G4046" s="96" t="inlineStr">
        <is>
          <t>BERETTA</t>
        </is>
      </c>
      <c r="H4046" s="107" t="inlineStr">
        <is>
          <t>CACCIA</t>
        </is>
      </c>
      <c r="I4046" s="65" t="inlineStr">
        <is>
          <t>38004</t>
        </is>
      </c>
      <c r="J4046" s="65" t="inlineStr">
        <is>
          <t>N/D</t>
        </is>
      </c>
      <c r="K4046" s="65" t="inlineStr">
        <is>
          <t>N/D</t>
        </is>
      </c>
      <c r="L4046" s="127" t="inlineStr">
        <is>
          <t>ANTONIONI SPORT CACCIA E PESCA SRLS</t>
        </is>
      </c>
      <c r="M4046" s="5" t="n">
        <v>25.747</v>
      </c>
      <c r="N4046" s="5" t="n"/>
      <c r="O4046" s="5">
        <f>+M4046+N4046</f>
        <v/>
      </c>
      <c r="P4046" s="4" t="n"/>
      <c r="Q4046" s="87" t="n"/>
      <c r="R4046" s="5" t="n">
        <v>30</v>
      </c>
      <c r="S4046" s="2" t="n">
        <v>1</v>
      </c>
      <c r="T4046" s="3" t="inlineStr">
        <is>
          <t>CA42796IR</t>
        </is>
      </c>
      <c r="U4046" s="87" t="n">
        <v>46041</v>
      </c>
      <c r="V4046" s="3" t="inlineStr">
        <is>
          <t>1</t>
        </is>
      </c>
      <c r="W4046" s="108" t="n">
        <v>46041</v>
      </c>
      <c r="X4046" s="4" t="inlineStr">
        <is>
          <t>PHILIPPOS COSTANTINIDES TRADING CO. LTD</t>
        </is>
      </c>
    </row>
    <row r="4047" ht="24" customHeight="1">
      <c r="A4047" s="2">
        <f>+D4047-S4047</f>
        <v/>
      </c>
      <c r="B4047" s="126" t="n">
        <v>5635</v>
      </c>
      <c r="C4047" s="66" t="n">
        <v>46041</v>
      </c>
      <c r="D4047" s="2" t="n">
        <v>1</v>
      </c>
      <c r="E4047" s="3" t="inlineStr">
        <is>
          <t>FUCILE DOPPIETTA CANI INTERNI</t>
        </is>
      </c>
      <c r="F4047" s="96" t="inlineStr">
        <is>
          <t>12</t>
        </is>
      </c>
      <c r="G4047" s="96" t="inlineStr">
        <is>
          <t>BERNARDELLI</t>
        </is>
      </c>
      <c r="H4047" s="107" t="inlineStr">
        <is>
          <t>ROMA 3</t>
        </is>
      </c>
      <c r="I4047" s="65" t="inlineStr">
        <is>
          <t>35046</t>
        </is>
      </c>
      <c r="J4047" s="65" t="inlineStr">
        <is>
          <t>N/D</t>
        </is>
      </c>
      <c r="K4047" s="65" t="inlineStr">
        <is>
          <t>N/D</t>
        </is>
      </c>
      <c r="L4047" s="127" t="inlineStr">
        <is>
          <t>ANTONIONI SPORT CACCIA E PESCA SRLS</t>
        </is>
      </c>
      <c r="M4047" s="5" t="n">
        <v>25.747</v>
      </c>
      <c r="N4047" s="5" t="n"/>
      <c r="O4047" s="5">
        <f>+M4047+N4047</f>
        <v/>
      </c>
      <c r="P4047" s="4" t="n"/>
      <c r="Q4047" s="87" t="n"/>
      <c r="R4047" s="5" t="n">
        <v>30</v>
      </c>
      <c r="S4047" s="2" t="n">
        <v>1</v>
      </c>
      <c r="T4047" s="3" t="inlineStr">
        <is>
          <t>CA42796IR</t>
        </is>
      </c>
      <c r="U4047" s="87" t="n">
        <v>46041</v>
      </c>
      <c r="V4047" s="3" t="inlineStr">
        <is>
          <t>1</t>
        </is>
      </c>
      <c r="W4047" s="108" t="n">
        <v>46041</v>
      </c>
      <c r="X4047" s="4" t="inlineStr">
        <is>
          <t>PHILIPPOS COSTANTINIDES TRADING CO. LTD</t>
        </is>
      </c>
    </row>
    <row r="4048" ht="24" customHeight="1">
      <c r="A4048" s="2">
        <f>+D4048-S4048</f>
        <v/>
      </c>
      <c r="B4048" s="126" t="n">
        <v>5636</v>
      </c>
      <c r="C4048" s="66" t="n">
        <v>46041</v>
      </c>
      <c r="D4048" s="2" t="n">
        <v>1</v>
      </c>
      <c r="E4048" s="3" t="inlineStr">
        <is>
          <t>FUCILE DOPPIETTA CANI INTERNI</t>
        </is>
      </c>
      <c r="F4048" s="96" t="inlineStr">
        <is>
          <t>12</t>
        </is>
      </c>
      <c r="G4048" s="96" t="inlineStr">
        <is>
          <t>BERNARDELLI</t>
        </is>
      </c>
      <c r="H4048" s="107" t="inlineStr">
        <is>
          <t>S. UBERTO 1</t>
        </is>
      </c>
      <c r="I4048" s="65" t="inlineStr">
        <is>
          <t>63329</t>
        </is>
      </c>
      <c r="J4048" s="65" t="inlineStr">
        <is>
          <t>N/D</t>
        </is>
      </c>
      <c r="K4048" s="65" t="inlineStr">
        <is>
          <t>N/D</t>
        </is>
      </c>
      <c r="L4048" s="127" t="inlineStr">
        <is>
          <t>ANTONIONI SPORT CACCIA E PESCA SRLS</t>
        </is>
      </c>
      <c r="M4048" s="5" t="n">
        <v>25.747</v>
      </c>
      <c r="N4048" s="5" t="n"/>
      <c r="O4048" s="5">
        <f>+M4048+N4048</f>
        <v/>
      </c>
      <c r="P4048" s="4" t="n"/>
      <c r="Q4048" s="87" t="n"/>
      <c r="R4048" s="5" t="n">
        <v>30</v>
      </c>
      <c r="S4048" s="2" t="n">
        <v>1</v>
      </c>
      <c r="T4048" s="3" t="inlineStr">
        <is>
          <t>CA42796IR</t>
        </is>
      </c>
      <c r="U4048" s="87" t="n">
        <v>46041</v>
      </c>
      <c r="V4048" s="3" t="inlineStr">
        <is>
          <t>1</t>
        </is>
      </c>
      <c r="W4048" s="108" t="n">
        <v>46041</v>
      </c>
      <c r="X4048" s="4" t="inlineStr">
        <is>
          <t>PHILIPPOS COSTANTINIDES TRADING CO. LTD</t>
        </is>
      </c>
    </row>
    <row r="4049" ht="24" customHeight="1">
      <c r="A4049" s="2">
        <f>+D4049-S4049</f>
        <v/>
      </c>
      <c r="B4049" s="126" t="n">
        <v>5637</v>
      </c>
      <c r="C4049" s="66" t="n">
        <v>46041</v>
      </c>
      <c r="D4049" s="2" t="n">
        <v>1</v>
      </c>
      <c r="E4049" s="3" t="inlineStr">
        <is>
          <t>FUCILE DOPPIETTA CANI INTERNI</t>
        </is>
      </c>
      <c r="F4049" s="96" t="inlineStr">
        <is>
          <t>12</t>
        </is>
      </c>
      <c r="G4049" s="96" t="inlineStr">
        <is>
          <t>ARTIGIANO</t>
        </is>
      </c>
      <c r="H4049" s="107" t="inlineStr">
        <is>
          <t>CACCIA</t>
        </is>
      </c>
      <c r="I4049" s="65" t="inlineStr">
        <is>
          <t>6743</t>
        </is>
      </c>
      <c r="J4049" s="65" t="inlineStr">
        <is>
          <t>N/D</t>
        </is>
      </c>
      <c r="K4049" s="65" t="inlineStr">
        <is>
          <t>N/D</t>
        </is>
      </c>
      <c r="L4049" s="127" t="inlineStr">
        <is>
          <t>ANTONIONI SPORT CACCIA E PESCA SRLS</t>
        </is>
      </c>
      <c r="M4049" s="5" t="n">
        <v>25.747</v>
      </c>
      <c r="N4049" s="5" t="n"/>
      <c r="O4049" s="5">
        <f>+M4049+N4049</f>
        <v/>
      </c>
      <c r="P4049" s="4" t="n"/>
      <c r="Q4049" s="87" t="n"/>
      <c r="R4049" s="5" t="n">
        <v>30</v>
      </c>
      <c r="S4049" s="2" t="n">
        <v>1</v>
      </c>
      <c r="T4049" s="3" t="inlineStr">
        <is>
          <t>CA42796IR</t>
        </is>
      </c>
      <c r="U4049" s="87" t="n">
        <v>46041</v>
      </c>
      <c r="V4049" s="3" t="inlineStr">
        <is>
          <t>1</t>
        </is>
      </c>
      <c r="W4049" s="108" t="n">
        <v>46041</v>
      </c>
      <c r="X4049" s="4" t="inlineStr">
        <is>
          <t>PHILIPPOS COSTANTINIDES TRADING CO. LTD</t>
        </is>
      </c>
    </row>
    <row r="4050" ht="24" customHeight="1">
      <c r="A4050" s="2">
        <f>+D4050-S4050</f>
        <v/>
      </c>
      <c r="B4050" s="126" t="n">
        <v>5638</v>
      </c>
      <c r="C4050" s="66" t="n">
        <v>46041</v>
      </c>
      <c r="D4050" s="2" t="n">
        <v>1</v>
      </c>
      <c r="E4050" s="3" t="inlineStr">
        <is>
          <t>FUCILE DOPPIETTA CANI INTERNI</t>
        </is>
      </c>
      <c r="F4050" s="96" t="inlineStr">
        <is>
          <t>12</t>
        </is>
      </c>
      <c r="G4050" s="96" t="inlineStr">
        <is>
          <t>BERNARDELLI</t>
        </is>
      </c>
      <c r="H4050" s="107" t="inlineStr">
        <is>
          <t>S. UBERTO 1</t>
        </is>
      </c>
      <c r="I4050" s="65" t="inlineStr">
        <is>
          <t>78056</t>
        </is>
      </c>
      <c r="J4050" s="65" t="inlineStr">
        <is>
          <t>N/D</t>
        </is>
      </c>
      <c r="K4050" s="65" t="inlineStr">
        <is>
          <t>N/D</t>
        </is>
      </c>
      <c r="L4050" s="127" t="inlineStr">
        <is>
          <t>ANTONIONI SPORT CACCIA E PESCA SRLS</t>
        </is>
      </c>
      <c r="M4050" s="5" t="n">
        <v>25.747</v>
      </c>
      <c r="N4050" s="5" t="n"/>
      <c r="O4050" s="5">
        <f>+M4050+N4050</f>
        <v/>
      </c>
      <c r="P4050" s="4" t="n"/>
      <c r="Q4050" s="87" t="n"/>
      <c r="R4050" s="5" t="n">
        <v>30</v>
      </c>
      <c r="S4050" s="2" t="n">
        <v>1</v>
      </c>
      <c r="T4050" s="3" t="inlineStr">
        <is>
          <t>CA42796IR</t>
        </is>
      </c>
      <c r="U4050" s="87" t="n">
        <v>46041</v>
      </c>
      <c r="V4050" s="3" t="inlineStr">
        <is>
          <t>1</t>
        </is>
      </c>
      <c r="W4050" s="108" t="n">
        <v>46041</v>
      </c>
      <c r="X4050" s="4" t="inlineStr">
        <is>
          <t>PHILIPPOS COSTANTINIDES TRADING CO. LTD</t>
        </is>
      </c>
    </row>
    <row r="4051" ht="24" customHeight="1">
      <c r="A4051" s="2">
        <f>+D4051-S4051</f>
        <v/>
      </c>
      <c r="B4051" s="126" t="n">
        <v>5639</v>
      </c>
      <c r="C4051" s="66" t="n">
        <v>46041</v>
      </c>
      <c r="D4051" s="2" t="n">
        <v>1</v>
      </c>
      <c r="E4051" s="3" t="inlineStr">
        <is>
          <t>FUCILE DOPPIETTA CANI ESTERNI</t>
        </is>
      </c>
      <c r="F4051" s="96" t="inlineStr">
        <is>
          <t>16</t>
        </is>
      </c>
      <c r="G4051" s="96" t="inlineStr">
        <is>
          <t>BERETTA</t>
        </is>
      </c>
      <c r="H4051" s="107" t="inlineStr">
        <is>
          <t>CACCIA</t>
        </is>
      </c>
      <c r="I4051" s="65" t="inlineStr">
        <is>
          <t>1100</t>
        </is>
      </c>
      <c r="J4051" s="65" t="inlineStr">
        <is>
          <t>N/D</t>
        </is>
      </c>
      <c r="K4051" s="65" t="inlineStr">
        <is>
          <t>N/D</t>
        </is>
      </c>
      <c r="L4051" s="127" t="inlineStr">
        <is>
          <t>ANTONIONI SPORT CACCIA E PESCA SRLS</t>
        </is>
      </c>
      <c r="M4051" s="5" t="n">
        <v>25.747</v>
      </c>
      <c r="N4051" s="5" t="n"/>
      <c r="O4051" s="5">
        <f>+M4051+N4051</f>
        <v/>
      </c>
      <c r="P4051" s="4" t="n"/>
      <c r="Q4051" s="87" t="n"/>
      <c r="R4051" s="5" t="n">
        <v>30</v>
      </c>
      <c r="S4051" s="2" t="n">
        <v>1</v>
      </c>
      <c r="T4051" s="3" t="inlineStr">
        <is>
          <t>CA42796IR</t>
        </is>
      </c>
      <c r="U4051" s="87" t="n">
        <v>46041</v>
      </c>
      <c r="V4051" s="3" t="inlineStr">
        <is>
          <t>1</t>
        </is>
      </c>
      <c r="W4051" s="108" t="n">
        <v>46041</v>
      </c>
      <c r="X4051" s="4" t="inlineStr">
        <is>
          <t>PHILIPPOS COSTANTINIDES TRADING CO. LTD</t>
        </is>
      </c>
    </row>
    <row r="4052" ht="24" customHeight="1">
      <c r="A4052" s="2">
        <f>+D4052-S4052</f>
        <v/>
      </c>
      <c r="B4052" s="126" t="n">
        <v>5640</v>
      </c>
      <c r="C4052" s="66" t="n">
        <v>46041</v>
      </c>
      <c r="D4052" s="2" t="n">
        <v>1</v>
      </c>
      <c r="E4052" s="3" t="inlineStr">
        <is>
          <t>FUCILE DOPPIETTA CANI INTERNI</t>
        </is>
      </c>
      <c r="F4052" s="96" t="inlineStr">
        <is>
          <t>12</t>
        </is>
      </c>
      <c r="G4052" s="96" t="inlineStr">
        <is>
          <t>CASTELLANI</t>
        </is>
      </c>
      <c r="H4052" s="107" t="inlineStr">
        <is>
          <t>CACCIA</t>
        </is>
      </c>
      <c r="I4052" s="65" t="inlineStr">
        <is>
          <t>1459</t>
        </is>
      </c>
      <c r="J4052" s="65" t="inlineStr">
        <is>
          <t>N/D</t>
        </is>
      </c>
      <c r="K4052" s="65" t="inlineStr">
        <is>
          <t>N/D</t>
        </is>
      </c>
      <c r="L4052" s="127" t="inlineStr">
        <is>
          <t>ANTONIONI SPORT CACCIA E PESCA SRLS</t>
        </is>
      </c>
      <c r="M4052" s="5" t="n">
        <v>25.747</v>
      </c>
      <c r="N4052" s="5" t="n"/>
      <c r="O4052" s="5">
        <f>+M4052+N4052</f>
        <v/>
      </c>
      <c r="P4052" s="4" t="n"/>
      <c r="Q4052" s="87" t="n"/>
      <c r="R4052" s="5" t="n">
        <v>30</v>
      </c>
      <c r="S4052" s="2" t="n">
        <v>1</v>
      </c>
      <c r="T4052" s="3" t="inlineStr">
        <is>
          <t>CA42796IR</t>
        </is>
      </c>
      <c r="U4052" s="87" t="n">
        <v>46041</v>
      </c>
      <c r="V4052" s="3" t="inlineStr">
        <is>
          <t>1</t>
        </is>
      </c>
      <c r="W4052" s="108" t="n">
        <v>46041</v>
      </c>
      <c r="X4052" s="4" t="inlineStr">
        <is>
          <t>PHILIPPOS COSTANTINIDES TRADING CO. LTD</t>
        </is>
      </c>
    </row>
    <row r="4053" ht="24" customHeight="1">
      <c r="A4053" s="2">
        <f>+D4053-S4053</f>
        <v/>
      </c>
      <c r="B4053" s="126" t="n">
        <v>5641</v>
      </c>
      <c r="C4053" s="66" t="n">
        <v>46041</v>
      </c>
      <c r="D4053" s="2" t="n">
        <v>1</v>
      </c>
      <c r="E4053" s="3" t="inlineStr">
        <is>
          <t>FUCILE DOPPIETTA CANI INTERNI</t>
        </is>
      </c>
      <c r="F4053" s="96" t="inlineStr">
        <is>
          <t>12</t>
        </is>
      </c>
      <c r="G4053" s="96" t="inlineStr">
        <is>
          <t>KRUPP</t>
        </is>
      </c>
      <c r="H4053" s="107" t="inlineStr">
        <is>
          <t>CACCIA</t>
        </is>
      </c>
      <c r="I4053" s="65" t="inlineStr">
        <is>
          <t>459</t>
        </is>
      </c>
      <c r="J4053" s="65" t="inlineStr">
        <is>
          <t>N/D</t>
        </is>
      </c>
      <c r="K4053" s="65" t="inlineStr">
        <is>
          <t>N/D</t>
        </is>
      </c>
      <c r="L4053" s="127" t="inlineStr">
        <is>
          <t>ANTONIONI SPORT CACCIA E PESCA SRLS</t>
        </is>
      </c>
      <c r="M4053" s="5" t="n">
        <v>25.747</v>
      </c>
      <c r="N4053" s="5" t="n"/>
      <c r="O4053" s="5">
        <f>+M4053+N4053</f>
        <v/>
      </c>
      <c r="P4053" s="4" t="n"/>
      <c r="Q4053" s="87" t="n"/>
      <c r="R4053" s="5" t="n">
        <v>30</v>
      </c>
      <c r="S4053" s="2" t="n">
        <v>1</v>
      </c>
      <c r="T4053" s="3" t="inlineStr">
        <is>
          <t>CA42796IR</t>
        </is>
      </c>
      <c r="U4053" s="87" t="n">
        <v>46041</v>
      </c>
      <c r="V4053" s="3" t="inlineStr">
        <is>
          <t>1</t>
        </is>
      </c>
      <c r="W4053" s="108" t="n">
        <v>46041</v>
      </c>
      <c r="X4053" s="4" t="inlineStr">
        <is>
          <t>PHILIPPOS COSTANTINIDES TRADING CO. LTD</t>
        </is>
      </c>
    </row>
    <row r="4054" ht="24" customHeight="1">
      <c r="A4054" s="2">
        <f>+D4054-S4054</f>
        <v/>
      </c>
      <c r="B4054" s="126" t="n">
        <v>5642</v>
      </c>
      <c r="C4054" s="66" t="n">
        <v>46041</v>
      </c>
      <c r="D4054" s="2" t="n">
        <v>1</v>
      </c>
      <c r="E4054" s="3" t="inlineStr">
        <is>
          <t>FUCILE DOPPIETTA CANI ESTERNI</t>
        </is>
      </c>
      <c r="F4054" s="96" t="inlineStr">
        <is>
          <t>12</t>
        </is>
      </c>
      <c r="G4054" s="96" t="inlineStr">
        <is>
          <t>ROSSINI</t>
        </is>
      </c>
      <c r="H4054" s="107" t="inlineStr">
        <is>
          <t>CACCIA</t>
        </is>
      </c>
      <c r="I4054" s="65" t="inlineStr">
        <is>
          <t>2529</t>
        </is>
      </c>
      <c r="J4054" s="65" t="inlineStr">
        <is>
          <t>N/D</t>
        </is>
      </c>
      <c r="K4054" s="65" t="inlineStr">
        <is>
          <t>N/D</t>
        </is>
      </c>
      <c r="L4054" s="127" t="inlineStr">
        <is>
          <t>ANTONIONI SPORT CACCIA E PESCA SRLS</t>
        </is>
      </c>
      <c r="M4054" s="5" t="n">
        <v>25.747</v>
      </c>
      <c r="N4054" s="5" t="n"/>
      <c r="O4054" s="5">
        <f>+M4054+N4054</f>
        <v/>
      </c>
      <c r="P4054" s="4" t="n"/>
      <c r="Q4054" s="87" t="n"/>
      <c r="R4054" s="5" t="n">
        <v>30</v>
      </c>
      <c r="S4054" s="2" t="n">
        <v>1</v>
      </c>
      <c r="T4054" s="3" t="inlineStr">
        <is>
          <t>CA42796IR</t>
        </is>
      </c>
      <c r="U4054" s="87" t="n">
        <v>46041</v>
      </c>
      <c r="V4054" s="3" t="inlineStr">
        <is>
          <t>1</t>
        </is>
      </c>
      <c r="W4054" s="108" t="n">
        <v>46041</v>
      </c>
      <c r="X4054" s="4" t="inlineStr">
        <is>
          <t>PHILIPPOS COSTANTINIDES TRADING CO. LTD</t>
        </is>
      </c>
    </row>
    <row r="4055" ht="24" customHeight="1">
      <c r="A4055" s="2">
        <f>+D4055-S4055</f>
        <v/>
      </c>
      <c r="B4055" s="126" t="n">
        <v>5643</v>
      </c>
      <c r="C4055" s="66" t="n">
        <v>46041</v>
      </c>
      <c r="D4055" s="2" t="n">
        <v>1</v>
      </c>
      <c r="E4055" s="3" t="inlineStr">
        <is>
          <t>FUCILE DOPPIETTA CANI ESTERNI</t>
        </is>
      </c>
      <c r="F4055" s="96" t="inlineStr">
        <is>
          <t>12</t>
        </is>
      </c>
      <c r="G4055" s="96" t="inlineStr">
        <is>
          <t>VARISCHI</t>
        </is>
      </c>
      <c r="H4055" s="107" t="inlineStr">
        <is>
          <t>CACCIA</t>
        </is>
      </c>
      <c r="I4055" s="65" t="inlineStr">
        <is>
          <t>7109</t>
        </is>
      </c>
      <c r="J4055" s="65" t="inlineStr">
        <is>
          <t>N/D</t>
        </is>
      </c>
      <c r="K4055" s="65" t="inlineStr">
        <is>
          <t>N/D</t>
        </is>
      </c>
      <c r="L4055" s="127" t="inlineStr">
        <is>
          <t>ANTONIONI SPORT CACCIA E PESCA SRLS</t>
        </is>
      </c>
      <c r="M4055" s="5" t="n">
        <v>25.747</v>
      </c>
      <c r="N4055" s="5" t="n"/>
      <c r="O4055" s="5">
        <f>+M4055+N4055</f>
        <v/>
      </c>
      <c r="P4055" s="4" t="n"/>
      <c r="Q4055" s="87" t="n"/>
      <c r="R4055" s="5" t="n">
        <v>30</v>
      </c>
      <c r="S4055" s="2" t="n">
        <v>1</v>
      </c>
      <c r="T4055" s="3" t="inlineStr">
        <is>
          <t>CA42796IR</t>
        </is>
      </c>
      <c r="U4055" s="87" t="n">
        <v>46041</v>
      </c>
      <c r="V4055" s="3" t="inlineStr">
        <is>
          <t>1</t>
        </is>
      </c>
      <c r="W4055" s="108" t="n">
        <v>46041</v>
      </c>
      <c r="X4055" s="4" t="inlineStr">
        <is>
          <t>PHILIPPOS COSTANTINIDES TRADING CO. LTD</t>
        </is>
      </c>
    </row>
    <row r="4056" ht="24" customHeight="1">
      <c r="A4056" s="2">
        <f>+D4056-S4056</f>
        <v/>
      </c>
      <c r="B4056" s="126" t="n">
        <v>5644</v>
      </c>
      <c r="C4056" s="66" t="n">
        <v>46041</v>
      </c>
      <c r="D4056" s="2" t="n">
        <v>1</v>
      </c>
      <c r="E4056" s="3" t="inlineStr">
        <is>
          <t>FUCILE DOPPIETTA CANI ESTERNI</t>
        </is>
      </c>
      <c r="F4056" s="3" t="inlineStr">
        <is>
          <t>16</t>
        </is>
      </c>
      <c r="G4056" s="84" t="inlineStr">
        <is>
          <t>COCKERILL</t>
        </is>
      </c>
      <c r="H4056" s="107" t="inlineStr">
        <is>
          <t>CACCIA</t>
        </is>
      </c>
      <c r="I4056" s="107" t="inlineStr">
        <is>
          <t>3621</t>
        </is>
      </c>
      <c r="J4056" s="107" t="inlineStr">
        <is>
          <t>N/D</t>
        </is>
      </c>
      <c r="K4056" s="65" t="inlineStr">
        <is>
          <t>N/D</t>
        </is>
      </c>
      <c r="L4056" s="127" t="inlineStr">
        <is>
          <t>ANTONIONI SPORT CACCIA E PESCA SRLS</t>
        </is>
      </c>
      <c r="M4056" s="5" t="n">
        <v>25.747</v>
      </c>
      <c r="N4056" s="5" t="n"/>
      <c r="O4056" s="5">
        <f>+M4056+N4056</f>
        <v/>
      </c>
      <c r="P4056" s="4" t="n"/>
      <c r="Q4056" s="87" t="n"/>
      <c r="R4056" s="5" t="n">
        <v>30</v>
      </c>
      <c r="S4056" s="2" t="n">
        <v>1</v>
      </c>
      <c r="T4056" s="3" t="inlineStr">
        <is>
          <t>CA42796IR</t>
        </is>
      </c>
      <c r="U4056" s="87" t="n">
        <v>46041</v>
      </c>
      <c r="V4056" s="3" t="inlineStr">
        <is>
          <t>1</t>
        </is>
      </c>
      <c r="W4056" s="108" t="n">
        <v>46041</v>
      </c>
      <c r="X4056" s="4" t="inlineStr">
        <is>
          <t>PHILIPPOS COSTANTINIDES TRADING CO. LTD</t>
        </is>
      </c>
    </row>
    <row r="4057" ht="24" customHeight="1">
      <c r="A4057" s="2">
        <f>+D4057-S4057</f>
        <v/>
      </c>
      <c r="B4057" s="126" t="n">
        <v>5645</v>
      </c>
      <c r="C4057" s="66" t="n">
        <v>46041</v>
      </c>
      <c r="D4057" s="2" t="n">
        <v>1</v>
      </c>
      <c r="E4057" s="3" t="inlineStr">
        <is>
          <t>FUCILE DOPPIETTA CANI ESTERNI</t>
        </is>
      </c>
      <c r="F4057" s="3" t="inlineStr">
        <is>
          <t>12</t>
        </is>
      </c>
      <c r="G4057" s="84" t="inlineStr">
        <is>
          <t>BERETTA</t>
        </is>
      </c>
      <c r="H4057" s="107" t="inlineStr">
        <is>
          <t>CACCIA</t>
        </is>
      </c>
      <c r="I4057" s="107" t="inlineStr">
        <is>
          <t>139055</t>
        </is>
      </c>
      <c r="J4057" s="107" t="inlineStr">
        <is>
          <t>N/D</t>
        </is>
      </c>
      <c r="K4057" s="65" t="inlineStr">
        <is>
          <t>N/D</t>
        </is>
      </c>
      <c r="L4057" s="127" t="inlineStr">
        <is>
          <t>ANTONIONI SPORT CACCIA E PESCA SRLS</t>
        </is>
      </c>
      <c r="M4057" s="5" t="n">
        <v>25.747</v>
      </c>
      <c r="N4057" s="5" t="n"/>
      <c r="O4057" s="5">
        <f>+M4057+N4057</f>
        <v/>
      </c>
      <c r="P4057" s="4" t="n"/>
      <c r="Q4057" s="87" t="n"/>
      <c r="R4057" s="5" t="n">
        <v>30</v>
      </c>
      <c r="S4057" s="2" t="n">
        <v>1</v>
      </c>
      <c r="T4057" s="3" t="inlineStr">
        <is>
          <t>CA42796IR</t>
        </is>
      </c>
      <c r="U4057" s="87" t="n">
        <v>46041</v>
      </c>
      <c r="V4057" s="3" t="inlineStr">
        <is>
          <t>1</t>
        </is>
      </c>
      <c r="W4057" s="108" t="n">
        <v>46041</v>
      </c>
      <c r="X4057" s="4" t="inlineStr">
        <is>
          <t>PHILIPPOS COSTANTINIDES TRADING CO. LTD</t>
        </is>
      </c>
    </row>
    <row r="4058" ht="24" customHeight="1">
      <c r="A4058" s="2">
        <f>+D4058-S4058</f>
        <v/>
      </c>
      <c r="B4058" s="126" t="n">
        <v>5646</v>
      </c>
      <c r="C4058" s="66" t="n">
        <v>46041</v>
      </c>
      <c r="D4058" s="2" t="n">
        <v>1</v>
      </c>
      <c r="E4058" s="3" t="inlineStr">
        <is>
          <t>FUCILE DOPPIETTA CANI INTERNI</t>
        </is>
      </c>
      <c r="F4058" s="3" t="inlineStr">
        <is>
          <t>12</t>
        </is>
      </c>
      <c r="G4058" s="84" t="inlineStr">
        <is>
          <t>FRANCHI</t>
        </is>
      </c>
      <c r="H4058" s="107" t="inlineStr">
        <is>
          <t>310 S</t>
        </is>
      </c>
      <c r="I4058" s="107" t="inlineStr">
        <is>
          <t>115692</t>
        </is>
      </c>
      <c r="J4058" s="107" t="inlineStr">
        <is>
          <t>N/D</t>
        </is>
      </c>
      <c r="K4058" s="65" t="inlineStr">
        <is>
          <t>N/D</t>
        </is>
      </c>
      <c r="L4058" s="127" t="inlineStr">
        <is>
          <t>ANTONIONI SPORT CACCIA E PESCA SRLS</t>
        </is>
      </c>
      <c r="M4058" s="5" t="n">
        <v>25.747</v>
      </c>
      <c r="N4058" s="5" t="n"/>
      <c r="O4058" s="5">
        <f>+M4058+N4058</f>
        <v/>
      </c>
      <c r="P4058" s="4" t="n"/>
      <c r="Q4058" s="87" t="n"/>
      <c r="R4058" s="5" t="n">
        <v>30</v>
      </c>
      <c r="S4058" s="2" t="n">
        <v>1</v>
      </c>
      <c r="T4058" s="3" t="inlineStr">
        <is>
          <t>CA42796IR</t>
        </is>
      </c>
      <c r="U4058" s="87" t="n">
        <v>46041</v>
      </c>
      <c r="V4058" s="3" t="inlineStr">
        <is>
          <t>1</t>
        </is>
      </c>
      <c r="W4058" s="108" t="n">
        <v>46041</v>
      </c>
      <c r="X4058" s="4" t="inlineStr">
        <is>
          <t>PHILIPPOS COSTANTINIDES TRADING CO. LTD</t>
        </is>
      </c>
    </row>
    <row r="4059" ht="24" customHeight="1">
      <c r="A4059" s="2">
        <f>+D4059-S4059</f>
        <v/>
      </c>
      <c r="B4059" s="126" t="n">
        <v>5647</v>
      </c>
      <c r="C4059" s="66" t="n">
        <v>46041</v>
      </c>
      <c r="D4059" s="2" t="n">
        <v>1</v>
      </c>
      <c r="E4059" s="3" t="inlineStr">
        <is>
          <t>FUCILE DOPPIETTA CANI INTERNI</t>
        </is>
      </c>
      <c r="F4059" s="3" t="inlineStr">
        <is>
          <t>12</t>
        </is>
      </c>
      <c r="G4059" s="84" t="inlineStr">
        <is>
          <t>BERETTA</t>
        </is>
      </c>
      <c r="H4059" s="107" t="inlineStr">
        <is>
          <t>CACCIA</t>
        </is>
      </c>
      <c r="I4059" s="107" t="inlineStr">
        <is>
          <t>A23326</t>
        </is>
      </c>
      <c r="J4059" s="107" t="inlineStr">
        <is>
          <t>N/D</t>
        </is>
      </c>
      <c r="K4059" s="65" t="inlineStr">
        <is>
          <t>N/D</t>
        </is>
      </c>
      <c r="L4059" s="127" t="inlineStr">
        <is>
          <t>ANTONIONI SPORT CACCIA E PESCA SRLS</t>
        </is>
      </c>
      <c r="M4059" s="5" t="n">
        <v>25.747</v>
      </c>
      <c r="N4059" s="5" t="n"/>
      <c r="O4059" s="5">
        <f>+M4059+N4059</f>
        <v/>
      </c>
      <c r="P4059" s="4" t="n"/>
      <c r="Q4059" s="87" t="n"/>
      <c r="R4059" s="5" t="n">
        <v>30</v>
      </c>
      <c r="S4059" s="2" t="n">
        <v>1</v>
      </c>
      <c r="T4059" s="3" t="inlineStr">
        <is>
          <t>CA42796IR</t>
        </is>
      </c>
      <c r="U4059" s="87" t="n">
        <v>46041</v>
      </c>
      <c r="V4059" s="3" t="inlineStr">
        <is>
          <t>1</t>
        </is>
      </c>
      <c r="W4059" s="108" t="n">
        <v>46041</v>
      </c>
      <c r="X4059" s="4" t="inlineStr">
        <is>
          <t>PHILIPPOS COSTANTINIDES TRADING CO. LTD</t>
        </is>
      </c>
    </row>
    <row r="4060" ht="24" customHeight="1">
      <c r="A4060" s="2">
        <f>+D4060-S4060</f>
        <v/>
      </c>
      <c r="B4060" s="126" t="n">
        <v>5648</v>
      </c>
      <c r="C4060" s="66" t="n">
        <v>46041</v>
      </c>
      <c r="D4060" s="2" t="n">
        <v>1</v>
      </c>
      <c r="E4060" s="3" t="inlineStr">
        <is>
          <t>FUCILE DOPPIETTA CANI INTERNI</t>
        </is>
      </c>
      <c r="F4060" s="3" t="inlineStr">
        <is>
          <t>12</t>
        </is>
      </c>
      <c r="G4060" s="84" t="inlineStr">
        <is>
          <t>ARTIGIANO</t>
        </is>
      </c>
      <c r="H4060" s="107" t="inlineStr">
        <is>
          <t>CACCIA</t>
        </is>
      </c>
      <c r="I4060" s="107" t="inlineStr">
        <is>
          <t>144011</t>
        </is>
      </c>
      <c r="J4060" s="107" t="inlineStr">
        <is>
          <t>N/D</t>
        </is>
      </c>
      <c r="K4060" s="65" t="inlineStr">
        <is>
          <t>N/D</t>
        </is>
      </c>
      <c r="L4060" s="127" t="inlineStr">
        <is>
          <t>ANTONIONI SPORT CACCIA E PESCA SRLS</t>
        </is>
      </c>
      <c r="M4060" s="5" t="n">
        <v>25.747</v>
      </c>
      <c r="N4060" s="5" t="n"/>
      <c r="O4060" s="5">
        <f>+M4060+N4060</f>
        <v/>
      </c>
      <c r="P4060" s="4" t="n"/>
      <c r="Q4060" s="87" t="n"/>
      <c r="R4060" s="5" t="n">
        <v>30</v>
      </c>
      <c r="S4060" s="2" t="n">
        <v>1</v>
      </c>
      <c r="T4060" s="3" t="inlineStr">
        <is>
          <t>CA42796IR</t>
        </is>
      </c>
      <c r="U4060" s="87" t="n">
        <v>46041</v>
      </c>
      <c r="V4060" s="3" t="inlineStr">
        <is>
          <t>1</t>
        </is>
      </c>
      <c r="W4060" s="108" t="n">
        <v>46041</v>
      </c>
      <c r="X4060" s="4" t="inlineStr">
        <is>
          <t>PHILIPPOS COSTANTINIDES TRADING CO. LTD</t>
        </is>
      </c>
    </row>
    <row r="4061" ht="24" customHeight="1">
      <c r="A4061" s="2">
        <f>+D4061-S4061</f>
        <v/>
      </c>
      <c r="B4061" s="126" t="n">
        <v>5649</v>
      </c>
      <c r="C4061" s="66" t="n">
        <v>46041</v>
      </c>
      <c r="D4061" s="2" t="n">
        <v>1</v>
      </c>
      <c r="E4061" s="3" t="inlineStr">
        <is>
          <t>FUCILE DOPPIETTA CANI INTERNI</t>
        </is>
      </c>
      <c r="F4061" s="3" t="inlineStr">
        <is>
          <t>12</t>
        </is>
      </c>
      <c r="G4061" s="84" t="inlineStr">
        <is>
          <t>ZANOLETTI</t>
        </is>
      </c>
      <c r="H4061" s="107" t="inlineStr">
        <is>
          <t>CACCIA</t>
        </is>
      </c>
      <c r="I4061" s="107" t="inlineStr">
        <is>
          <t>47845</t>
        </is>
      </c>
      <c r="J4061" s="107" t="inlineStr">
        <is>
          <t>N/D</t>
        </is>
      </c>
      <c r="K4061" s="65" t="inlineStr">
        <is>
          <t>N/D</t>
        </is>
      </c>
      <c r="L4061" s="127" t="inlineStr">
        <is>
          <t>ANTONIONI SPORT CACCIA E PESCA SRLS</t>
        </is>
      </c>
      <c r="M4061" s="5" t="n">
        <v>25.747</v>
      </c>
      <c r="N4061" s="5" t="n"/>
      <c r="O4061" s="5">
        <f>+M4061+N4061</f>
        <v/>
      </c>
      <c r="P4061" s="4" t="n"/>
      <c r="Q4061" s="87" t="n"/>
      <c r="R4061" s="5" t="n">
        <v>30</v>
      </c>
      <c r="S4061" s="2" t="n">
        <v>1</v>
      </c>
      <c r="T4061" s="3" t="inlineStr">
        <is>
          <t>CA42796IR</t>
        </is>
      </c>
      <c r="U4061" s="87" t="n">
        <v>46041</v>
      </c>
      <c r="V4061" s="3" t="inlineStr">
        <is>
          <t>1</t>
        </is>
      </c>
      <c r="W4061" s="108" t="n">
        <v>46041</v>
      </c>
      <c r="X4061" s="4" t="inlineStr">
        <is>
          <t>PHILIPPOS COSTANTINIDES TRADING CO. LTD</t>
        </is>
      </c>
    </row>
    <row r="4062" ht="24" customHeight="1">
      <c r="A4062" s="2">
        <f>+D4062-S4062</f>
        <v/>
      </c>
      <c r="B4062" s="126" t="n">
        <v>5650</v>
      </c>
      <c r="C4062" s="66" t="n">
        <v>46041</v>
      </c>
      <c r="D4062" s="2" t="n">
        <v>1</v>
      </c>
      <c r="E4062" s="3" t="inlineStr">
        <is>
          <t>FUCILE DOPPIETTA CANI INTERNI</t>
        </is>
      </c>
      <c r="F4062" s="3" t="inlineStr">
        <is>
          <t>12</t>
        </is>
      </c>
      <c r="G4062" s="84" t="inlineStr">
        <is>
          <t>LUCCHINI</t>
        </is>
      </c>
      <c r="H4062" s="107" t="inlineStr">
        <is>
          <t>CACCIA</t>
        </is>
      </c>
      <c r="I4062" s="107" t="inlineStr">
        <is>
          <t>16034</t>
        </is>
      </c>
      <c r="J4062" s="107" t="inlineStr">
        <is>
          <t>N/D</t>
        </is>
      </c>
      <c r="K4062" s="65" t="inlineStr">
        <is>
          <t>N/D</t>
        </is>
      </c>
      <c r="L4062" s="127" t="inlineStr">
        <is>
          <t>ANTONIONI SPORT CACCIA E PESCA SRLS</t>
        </is>
      </c>
      <c r="M4062" s="5" t="n">
        <v>25.747</v>
      </c>
      <c r="N4062" s="5" t="n"/>
      <c r="O4062" s="5">
        <f>+M4062+N4062</f>
        <v/>
      </c>
      <c r="P4062" s="4" t="n"/>
      <c r="Q4062" s="87" t="n"/>
      <c r="R4062" s="5" t="n">
        <v>30</v>
      </c>
      <c r="S4062" s="2" t="n">
        <v>1</v>
      </c>
      <c r="T4062" s="3" t="inlineStr">
        <is>
          <t>CA42796IR</t>
        </is>
      </c>
      <c r="U4062" s="87" t="n">
        <v>46041</v>
      </c>
      <c r="V4062" s="3" t="inlineStr">
        <is>
          <t>1</t>
        </is>
      </c>
      <c r="W4062" s="108" t="n">
        <v>46041</v>
      </c>
      <c r="X4062" s="4" t="inlineStr">
        <is>
          <t>PHILIPPOS COSTANTINIDES TRADING CO. LTD</t>
        </is>
      </c>
    </row>
    <row r="4063" ht="24" customHeight="1">
      <c r="A4063" s="2">
        <f>+D4063-S4063</f>
        <v/>
      </c>
      <c r="B4063" s="126" t="n">
        <v>5651</v>
      </c>
      <c r="C4063" s="66" t="n">
        <v>46041</v>
      </c>
      <c r="D4063" s="2" t="n">
        <v>1</v>
      </c>
      <c r="E4063" s="3" t="inlineStr">
        <is>
          <t>FUCILE DOPPIETTA CANI INTERNI</t>
        </is>
      </c>
      <c r="F4063" s="3" t="inlineStr">
        <is>
          <t>12</t>
        </is>
      </c>
      <c r="G4063" s="84" t="inlineStr">
        <is>
          <t>BERETTA</t>
        </is>
      </c>
      <c r="H4063" s="107" t="inlineStr">
        <is>
          <t>CACCIA</t>
        </is>
      </c>
      <c r="I4063" s="107" t="inlineStr">
        <is>
          <t>59067</t>
        </is>
      </c>
      <c r="J4063" s="107" t="inlineStr">
        <is>
          <t>N/D</t>
        </is>
      </c>
      <c r="K4063" s="65" t="inlineStr">
        <is>
          <t>N/D</t>
        </is>
      </c>
      <c r="L4063" s="127" t="inlineStr">
        <is>
          <t>ANTONIONI SPORT CACCIA E PESCA SRLS</t>
        </is>
      </c>
      <c r="M4063" s="5" t="n">
        <v>25.747</v>
      </c>
      <c r="N4063" s="5" t="n"/>
      <c r="O4063" s="5">
        <f>+M4063+N4063</f>
        <v/>
      </c>
      <c r="P4063" s="4" t="n"/>
      <c r="Q4063" s="87" t="n"/>
      <c r="R4063" s="5" t="n">
        <v>30</v>
      </c>
      <c r="S4063" s="2" t="n">
        <v>1</v>
      </c>
      <c r="T4063" s="3" t="inlineStr">
        <is>
          <t>CA42796IR</t>
        </is>
      </c>
      <c r="U4063" s="87" t="n">
        <v>46041</v>
      </c>
      <c r="V4063" s="3" t="inlineStr">
        <is>
          <t>1</t>
        </is>
      </c>
      <c r="W4063" s="108" t="n">
        <v>46041</v>
      </c>
      <c r="X4063" s="4" t="inlineStr">
        <is>
          <t>PHILIPPOS COSTANTINIDES TRADING CO. LTD</t>
        </is>
      </c>
    </row>
    <row r="4064" ht="24" customHeight="1">
      <c r="A4064" s="2">
        <f>+D4064-S4064</f>
        <v/>
      </c>
      <c r="B4064" s="126" t="n">
        <v>5652</v>
      </c>
      <c r="C4064" s="66" t="n">
        <v>46041</v>
      </c>
      <c r="D4064" s="2" t="n">
        <v>1</v>
      </c>
      <c r="E4064" s="3" t="inlineStr">
        <is>
          <t>FUCILE DOPPIETTA CANI ESTERNI</t>
        </is>
      </c>
      <c r="F4064" s="3" t="inlineStr">
        <is>
          <t>16</t>
        </is>
      </c>
      <c r="G4064" s="84" t="inlineStr">
        <is>
          <t>BERETTA</t>
        </is>
      </c>
      <c r="H4064" s="107" t="inlineStr">
        <is>
          <t>CACCIA</t>
        </is>
      </c>
      <c r="I4064" s="107" t="inlineStr">
        <is>
          <t>4661</t>
        </is>
      </c>
      <c r="J4064" s="107" t="inlineStr">
        <is>
          <t>N/D</t>
        </is>
      </c>
      <c r="K4064" s="65" t="inlineStr">
        <is>
          <t>N/D</t>
        </is>
      </c>
      <c r="L4064" s="127" t="inlineStr">
        <is>
          <t>ANTONIONI SPORT CACCIA E PESCA SRLS</t>
        </is>
      </c>
      <c r="M4064" s="5" t="n">
        <v>25.747</v>
      </c>
      <c r="N4064" s="5" t="n"/>
      <c r="O4064" s="5">
        <f>+M4064+N4064</f>
        <v/>
      </c>
      <c r="P4064" s="4" t="n"/>
      <c r="Q4064" s="87" t="n"/>
      <c r="R4064" s="5" t="n">
        <v>30</v>
      </c>
      <c r="S4064" s="2" t="n">
        <v>1</v>
      </c>
      <c r="T4064" s="3" t="inlineStr">
        <is>
          <t>CA42796IR</t>
        </is>
      </c>
      <c r="U4064" s="87" t="n">
        <v>46041</v>
      </c>
      <c r="V4064" s="3" t="inlineStr">
        <is>
          <t>1</t>
        </is>
      </c>
      <c r="W4064" s="108" t="n">
        <v>46041</v>
      </c>
      <c r="X4064" s="4" t="inlineStr">
        <is>
          <t>PHILIPPOS COSTANTINIDES TRADING CO. LTD</t>
        </is>
      </c>
    </row>
    <row r="4065" ht="24" customHeight="1">
      <c r="A4065" s="2">
        <f>+D4065-S4065</f>
        <v/>
      </c>
      <c r="B4065" s="126" t="n">
        <v>5653</v>
      </c>
      <c r="C4065" s="66" t="n">
        <v>46041</v>
      </c>
      <c r="D4065" s="2" t="n">
        <v>1</v>
      </c>
      <c r="E4065" s="3" t="inlineStr">
        <is>
          <t>FUCILE DOPPIETTA CANI ESTERNI</t>
        </is>
      </c>
      <c r="F4065" s="3" t="inlineStr">
        <is>
          <t>12</t>
        </is>
      </c>
      <c r="G4065" s="84" t="inlineStr">
        <is>
          <t>LARIO</t>
        </is>
      </c>
      <c r="H4065" s="107" t="inlineStr">
        <is>
          <t>CACCIA</t>
        </is>
      </c>
      <c r="I4065" s="107" t="inlineStr">
        <is>
          <t>42079</t>
        </is>
      </c>
      <c r="J4065" s="107" t="inlineStr">
        <is>
          <t>N/D</t>
        </is>
      </c>
      <c r="K4065" s="65" t="inlineStr">
        <is>
          <t>N/D</t>
        </is>
      </c>
      <c r="L4065" s="127" t="inlineStr">
        <is>
          <t>ANTONIONI SPORT CACCIA E PESCA SRLS</t>
        </is>
      </c>
      <c r="M4065" s="5" t="n">
        <v>25.747</v>
      </c>
      <c r="N4065" s="5" t="n"/>
      <c r="O4065" s="5">
        <f>+M4065+N4065</f>
        <v/>
      </c>
      <c r="P4065" s="4" t="n"/>
      <c r="Q4065" s="87" t="n"/>
      <c r="R4065" s="5" t="n">
        <v>30</v>
      </c>
      <c r="S4065" s="2" t="n">
        <v>1</v>
      </c>
      <c r="T4065" s="3" t="inlineStr">
        <is>
          <t>CA42796IR</t>
        </is>
      </c>
      <c r="U4065" s="87" t="n">
        <v>46041</v>
      </c>
      <c r="V4065" s="3" t="inlineStr">
        <is>
          <t>1</t>
        </is>
      </c>
      <c r="W4065" s="108" t="n">
        <v>46041</v>
      </c>
      <c r="X4065" s="4" t="inlineStr">
        <is>
          <t>PHILIPPOS COSTANTINIDES TRADING CO. LTD</t>
        </is>
      </c>
    </row>
    <row r="4066" ht="24" customHeight="1">
      <c r="A4066" s="2">
        <f>+D4066-S4066</f>
        <v/>
      </c>
      <c r="B4066" s="126" t="n">
        <v>5654</v>
      </c>
      <c r="C4066" s="66" t="n">
        <v>46041</v>
      </c>
      <c r="D4066" s="2" t="n">
        <v>1</v>
      </c>
      <c r="E4066" s="3" t="inlineStr">
        <is>
          <t>FUCILE DOPPIETTA CANI ESTERNI</t>
        </is>
      </c>
      <c r="F4066" s="3" t="inlineStr">
        <is>
          <t>12</t>
        </is>
      </c>
      <c r="G4066" s="84" t="inlineStr">
        <is>
          <t>ARTIGIANO</t>
        </is>
      </c>
      <c r="H4066" s="107" t="inlineStr">
        <is>
          <t>CACCIA</t>
        </is>
      </c>
      <c r="I4066" s="107" t="inlineStr">
        <is>
          <t>29320</t>
        </is>
      </c>
      <c r="J4066" s="107" t="inlineStr">
        <is>
          <t>N/D</t>
        </is>
      </c>
      <c r="K4066" s="65" t="inlineStr">
        <is>
          <t>N/D</t>
        </is>
      </c>
      <c r="L4066" s="127" t="inlineStr">
        <is>
          <t>ANTONIONI SPORT CACCIA E PESCA SRLS</t>
        </is>
      </c>
      <c r="M4066" s="5" t="n">
        <v>25.747</v>
      </c>
      <c r="N4066" s="5" t="n"/>
      <c r="O4066" s="5">
        <f>+M4066+N4066</f>
        <v/>
      </c>
      <c r="P4066" s="4" t="n"/>
      <c r="Q4066" s="87" t="n"/>
      <c r="R4066" s="5" t="n">
        <v>30</v>
      </c>
      <c r="S4066" s="2" t="n">
        <v>1</v>
      </c>
      <c r="T4066" s="3" t="inlineStr">
        <is>
          <t>CA42796IR</t>
        </is>
      </c>
      <c r="U4066" s="87" t="n">
        <v>46041</v>
      </c>
      <c r="V4066" s="3" t="inlineStr">
        <is>
          <t>1</t>
        </is>
      </c>
      <c r="W4066" s="108" t="n">
        <v>46041</v>
      </c>
      <c r="X4066" s="4" t="inlineStr">
        <is>
          <t>PHILIPPOS COSTANTINIDES TRADING CO. LTD</t>
        </is>
      </c>
    </row>
    <row r="4067" ht="24" customHeight="1">
      <c r="A4067" s="2">
        <f>+D4067-S4067</f>
        <v/>
      </c>
      <c r="B4067" s="126" t="n">
        <v>5655</v>
      </c>
      <c r="C4067" s="66" t="n">
        <v>46041</v>
      </c>
      <c r="D4067" s="2" t="n">
        <v>1</v>
      </c>
      <c r="E4067" s="3" t="inlineStr">
        <is>
          <t>FUCILE DOPPIETTA CANI ESTERNI</t>
        </is>
      </c>
      <c r="F4067" s="3" t="inlineStr">
        <is>
          <t>12</t>
        </is>
      </c>
      <c r="G4067" s="84" t="inlineStr">
        <is>
          <t>BERNARDELLI</t>
        </is>
      </c>
      <c r="H4067" s="107" t="inlineStr">
        <is>
          <t>BRESCIA</t>
        </is>
      </c>
      <c r="I4067" s="107" t="inlineStr">
        <is>
          <t>26800</t>
        </is>
      </c>
      <c r="J4067" s="107" t="inlineStr">
        <is>
          <t>N/D</t>
        </is>
      </c>
      <c r="K4067" s="65" t="inlineStr">
        <is>
          <t>N/D</t>
        </is>
      </c>
      <c r="L4067" s="127" t="inlineStr">
        <is>
          <t>ANTONIONI SPORT CACCIA E PESCA SRLS</t>
        </is>
      </c>
      <c r="M4067" s="5" t="n">
        <v>25.747</v>
      </c>
      <c r="N4067" s="5" t="n"/>
      <c r="O4067" s="5">
        <f>+M4067+N4067</f>
        <v/>
      </c>
      <c r="P4067" s="4" t="n"/>
      <c r="Q4067" s="87" t="n"/>
      <c r="R4067" s="5" t="n">
        <v>30</v>
      </c>
      <c r="S4067" s="2" t="n">
        <v>1</v>
      </c>
      <c r="T4067" s="3" t="inlineStr">
        <is>
          <t>CA42796IR</t>
        </is>
      </c>
      <c r="U4067" s="87" t="n">
        <v>46041</v>
      </c>
      <c r="V4067" s="3" t="inlineStr">
        <is>
          <t>1</t>
        </is>
      </c>
      <c r="W4067" s="108" t="n">
        <v>46041</v>
      </c>
      <c r="X4067" s="4" t="inlineStr">
        <is>
          <t>PHILIPPOS COSTANTINIDES TRADING CO. LTD</t>
        </is>
      </c>
    </row>
    <row r="4068" ht="24" customHeight="1">
      <c r="A4068" s="2">
        <f>+D4068-S4068</f>
        <v/>
      </c>
      <c r="B4068" s="126" t="n">
        <v>5656</v>
      </c>
      <c r="C4068" s="66" t="n">
        <v>46041</v>
      </c>
      <c r="D4068" s="2" t="n">
        <v>1</v>
      </c>
      <c r="E4068" s="3" t="inlineStr">
        <is>
          <t>FUCILE DOPPIETTA CANI INTERNI</t>
        </is>
      </c>
      <c r="F4068" s="3" t="inlineStr">
        <is>
          <t>12</t>
        </is>
      </c>
      <c r="G4068" s="84" t="inlineStr">
        <is>
          <t>ARTIGIANO</t>
        </is>
      </c>
      <c r="H4068" s="107" t="inlineStr">
        <is>
          <t>CACCIA</t>
        </is>
      </c>
      <c r="I4068" s="107" t="inlineStr">
        <is>
          <t>9552</t>
        </is>
      </c>
      <c r="J4068" s="107" t="inlineStr">
        <is>
          <t>N/D</t>
        </is>
      </c>
      <c r="K4068" s="65" t="inlineStr">
        <is>
          <t>N/D</t>
        </is>
      </c>
      <c r="L4068" s="127" t="inlineStr">
        <is>
          <t>ANTONIONI SPORT CACCIA E PESCA SRLS</t>
        </is>
      </c>
      <c r="M4068" s="5" t="n">
        <v>25.747</v>
      </c>
      <c r="N4068" s="5" t="n"/>
      <c r="O4068" s="5">
        <f>+M4068+N4068</f>
        <v/>
      </c>
      <c r="P4068" s="4" t="n"/>
      <c r="Q4068" s="87" t="n"/>
      <c r="R4068" s="5" t="n">
        <v>30</v>
      </c>
      <c r="S4068" s="2" t="n">
        <v>1</v>
      </c>
      <c r="T4068" s="3" t="inlineStr">
        <is>
          <t>CA42796IR</t>
        </is>
      </c>
      <c r="U4068" s="87" t="n">
        <v>46041</v>
      </c>
      <c r="V4068" s="3" t="inlineStr">
        <is>
          <t>1</t>
        </is>
      </c>
      <c r="W4068" s="108" t="n">
        <v>46041</v>
      </c>
      <c r="X4068" s="4" t="inlineStr">
        <is>
          <t>PHILIPPOS COSTANTINIDES TRADING CO. LTD</t>
        </is>
      </c>
    </row>
    <row r="4069" ht="24" customHeight="1">
      <c r="A4069" s="2">
        <f>+D4069-S4069</f>
        <v/>
      </c>
      <c r="B4069" s="126" t="n">
        <v>5657</v>
      </c>
      <c r="C4069" s="66" t="n">
        <v>46041</v>
      </c>
      <c r="D4069" s="2" t="n">
        <v>1</v>
      </c>
      <c r="E4069" s="3" t="inlineStr">
        <is>
          <t>FUCILE DOPPIETTA CANI INTERNI</t>
        </is>
      </c>
      <c r="F4069" s="3" t="inlineStr">
        <is>
          <t>16</t>
        </is>
      </c>
      <c r="G4069" s="84" t="inlineStr">
        <is>
          <t>MONCARD</t>
        </is>
      </c>
      <c r="H4069" s="107" t="inlineStr">
        <is>
          <t>FALCONET</t>
        </is>
      </c>
      <c r="I4069" s="107" t="inlineStr">
        <is>
          <t>6071</t>
        </is>
      </c>
      <c r="J4069" s="107" t="inlineStr">
        <is>
          <t>N/D</t>
        </is>
      </c>
      <c r="K4069" s="65" t="inlineStr">
        <is>
          <t>N/D</t>
        </is>
      </c>
      <c r="L4069" s="127" t="inlineStr">
        <is>
          <t>ANTONIONI SPORT CACCIA E PESCA SRLS</t>
        </is>
      </c>
      <c r="M4069" s="5" t="n">
        <v>25.747</v>
      </c>
      <c r="N4069" s="5" t="n"/>
      <c r="O4069" s="5">
        <f>+M4069+N4069</f>
        <v/>
      </c>
      <c r="P4069" s="4" t="n"/>
      <c r="Q4069" s="87" t="n"/>
      <c r="R4069" s="5" t="n">
        <v>30</v>
      </c>
      <c r="S4069" s="2" t="n">
        <v>1</v>
      </c>
      <c r="T4069" s="3" t="inlineStr">
        <is>
          <t>CA42796IR</t>
        </is>
      </c>
      <c r="U4069" s="87" t="n">
        <v>46041</v>
      </c>
      <c r="V4069" s="3" t="inlineStr">
        <is>
          <t>1</t>
        </is>
      </c>
      <c r="W4069" s="108" t="n">
        <v>46041</v>
      </c>
      <c r="X4069" s="4" t="inlineStr">
        <is>
          <t>PHILIPPOS COSTANTINIDES TRADING CO. LTD</t>
        </is>
      </c>
    </row>
    <row r="4070" ht="24" customHeight="1">
      <c r="A4070" s="2">
        <f>+D4070-S4070</f>
        <v/>
      </c>
      <c r="B4070" s="126" t="n">
        <v>5658</v>
      </c>
      <c r="C4070" s="66" t="n">
        <v>46041</v>
      </c>
      <c r="D4070" s="2" t="n">
        <v>1</v>
      </c>
      <c r="E4070" s="3" t="inlineStr">
        <is>
          <t>FUCILE DOPPIETTA CANI INTERNI</t>
        </is>
      </c>
      <c r="F4070" s="3" t="inlineStr">
        <is>
          <t>12</t>
        </is>
      </c>
      <c r="G4070" s="84" t="inlineStr">
        <is>
          <t>BERETTA</t>
        </is>
      </c>
      <c r="H4070" s="107" t="inlineStr">
        <is>
          <t>CACCIA</t>
        </is>
      </c>
      <c r="I4070" s="107" t="inlineStr">
        <is>
          <t>96847</t>
        </is>
      </c>
      <c r="J4070" s="107" t="inlineStr">
        <is>
          <t>N/D</t>
        </is>
      </c>
      <c r="K4070" s="65" t="inlineStr">
        <is>
          <t>N/D</t>
        </is>
      </c>
      <c r="L4070" s="127" t="inlineStr">
        <is>
          <t>ANTONIONI SPORT CACCIA E PESCA SRLS</t>
        </is>
      </c>
      <c r="M4070" s="5" t="n">
        <v>25.747</v>
      </c>
      <c r="N4070" s="5" t="n"/>
      <c r="O4070" s="5">
        <f>+M4070+N4070</f>
        <v/>
      </c>
      <c r="P4070" s="4" t="n"/>
      <c r="Q4070" s="87" t="n"/>
      <c r="R4070" s="5" t="n">
        <v>30</v>
      </c>
      <c r="S4070" s="2" t="n">
        <v>1</v>
      </c>
      <c r="T4070" s="3" t="inlineStr">
        <is>
          <t>CA42796IR</t>
        </is>
      </c>
      <c r="U4070" s="87" t="n">
        <v>46041</v>
      </c>
      <c r="V4070" s="3" t="inlineStr">
        <is>
          <t>1</t>
        </is>
      </c>
      <c r="W4070" s="108" t="n">
        <v>46041</v>
      </c>
      <c r="X4070" s="4" t="inlineStr">
        <is>
          <t>PHILIPPOS COSTANTINIDES TRADING CO. LTD</t>
        </is>
      </c>
    </row>
    <row r="4071" ht="24" customHeight="1">
      <c r="A4071" s="2">
        <f>+D4071-S4071</f>
        <v/>
      </c>
      <c r="B4071" s="126" t="n">
        <v>5659</v>
      </c>
      <c r="C4071" s="66" t="n">
        <v>46041</v>
      </c>
      <c r="D4071" s="2" t="n">
        <v>1</v>
      </c>
      <c r="E4071" s="3" t="inlineStr">
        <is>
          <t>FUCILE DOPPIETTA CANI INTERNI</t>
        </is>
      </c>
      <c r="F4071" s="3" t="inlineStr">
        <is>
          <t>12</t>
        </is>
      </c>
      <c r="G4071" s="84" t="inlineStr">
        <is>
          <t>ROTA</t>
        </is>
      </c>
      <c r="H4071" s="107" t="inlineStr">
        <is>
          <t>LUSSO</t>
        </is>
      </c>
      <c r="I4071" s="107" t="inlineStr">
        <is>
          <t>06770</t>
        </is>
      </c>
      <c r="J4071" s="107" t="inlineStr">
        <is>
          <t>N/D</t>
        </is>
      </c>
      <c r="K4071" s="65" t="inlineStr">
        <is>
          <t>N/D</t>
        </is>
      </c>
      <c r="L4071" s="127" t="inlineStr">
        <is>
          <t>ANTONIONI SPORT CACCIA E PESCA SRLS</t>
        </is>
      </c>
      <c r="M4071" s="5" t="n">
        <v>25.747</v>
      </c>
      <c r="N4071" s="5" t="n"/>
      <c r="O4071" s="5">
        <f>+M4071+N4071</f>
        <v/>
      </c>
      <c r="P4071" s="4" t="n"/>
      <c r="Q4071" s="87" t="n"/>
      <c r="R4071" s="5" t="n">
        <v>30</v>
      </c>
      <c r="S4071" s="2" t="n">
        <v>1</v>
      </c>
      <c r="T4071" s="3" t="inlineStr">
        <is>
          <t>CA42796IR</t>
        </is>
      </c>
      <c r="U4071" s="87" t="n">
        <v>46041</v>
      </c>
      <c r="V4071" s="3" t="inlineStr">
        <is>
          <t>1</t>
        </is>
      </c>
      <c r="W4071" s="108" t="n">
        <v>46041</v>
      </c>
      <c r="X4071" s="4" t="inlineStr">
        <is>
          <t>PHILIPPOS COSTANTINIDES TRADING CO. LTD</t>
        </is>
      </c>
    </row>
    <row r="4072" ht="24" customHeight="1">
      <c r="A4072" s="2">
        <f>+D4072-S4072</f>
        <v/>
      </c>
      <c r="B4072" s="126" t="n">
        <v>5660</v>
      </c>
      <c r="C4072" s="66" t="n">
        <v>46041</v>
      </c>
      <c r="D4072" s="2" t="n">
        <v>1</v>
      </c>
      <c r="E4072" s="3" t="inlineStr">
        <is>
          <t>FUCILE DOPPIETTA CANI INTERNI</t>
        </is>
      </c>
      <c r="F4072" s="3" t="inlineStr">
        <is>
          <t>12</t>
        </is>
      </c>
      <c r="G4072" s="84" t="inlineStr">
        <is>
          <t>PEDERSOLI</t>
        </is>
      </c>
      <c r="H4072" s="107" t="inlineStr">
        <is>
          <t>CACCIA</t>
        </is>
      </c>
      <c r="I4072" s="107" t="inlineStr">
        <is>
          <t>4212</t>
        </is>
      </c>
      <c r="J4072" s="107" t="inlineStr">
        <is>
          <t>N/D</t>
        </is>
      </c>
      <c r="K4072" s="65" t="inlineStr">
        <is>
          <t>N/D</t>
        </is>
      </c>
      <c r="L4072" s="127" t="inlineStr">
        <is>
          <t>ANTONIONI SPORT CACCIA E PESCA SRLS</t>
        </is>
      </c>
      <c r="M4072" s="5" t="n">
        <v>25.747</v>
      </c>
      <c r="N4072" s="5" t="n"/>
      <c r="O4072" s="5">
        <f>+M4072+N4072</f>
        <v/>
      </c>
      <c r="P4072" s="4" t="n"/>
      <c r="Q4072" s="87" t="n"/>
      <c r="R4072" s="5" t="n">
        <v>30</v>
      </c>
      <c r="S4072" s="2" t="n">
        <v>1</v>
      </c>
      <c r="T4072" s="3" t="inlineStr">
        <is>
          <t>CA42796IR</t>
        </is>
      </c>
      <c r="U4072" s="87" t="n">
        <v>46041</v>
      </c>
      <c r="V4072" s="3" t="inlineStr">
        <is>
          <t>1</t>
        </is>
      </c>
      <c r="W4072" s="108" t="n">
        <v>46041</v>
      </c>
      <c r="X4072" s="4" t="inlineStr">
        <is>
          <t>PHILIPPOS COSTANTINIDES TRADING CO. LTD</t>
        </is>
      </c>
    </row>
    <row r="4073" ht="24" customHeight="1">
      <c r="A4073" s="2">
        <f>+D4073-S4073</f>
        <v/>
      </c>
      <c r="B4073" s="126" t="n">
        <v>5661</v>
      </c>
      <c r="C4073" s="66" t="n">
        <v>46041</v>
      </c>
      <c r="D4073" s="2" t="n">
        <v>1</v>
      </c>
      <c r="E4073" s="3" t="inlineStr">
        <is>
          <t>FUCILE DOPPIETTA CANI ESTERNI</t>
        </is>
      </c>
      <c r="F4073" s="3" t="inlineStr">
        <is>
          <t>12</t>
        </is>
      </c>
      <c r="G4073" s="84" t="inlineStr">
        <is>
          <t>KRUPPESSEN</t>
        </is>
      </c>
      <c r="H4073" s="107" t="inlineStr">
        <is>
          <t>CACCIA</t>
        </is>
      </c>
      <c r="I4073" s="107" t="inlineStr">
        <is>
          <t>160</t>
        </is>
      </c>
      <c r="J4073" s="107" t="inlineStr">
        <is>
          <t>N/D</t>
        </is>
      </c>
      <c r="K4073" s="65" t="inlineStr">
        <is>
          <t>N/D</t>
        </is>
      </c>
      <c r="L4073" s="127" t="inlineStr">
        <is>
          <t>ANTONIONI SPORT CACCIA E PESCA SRLS</t>
        </is>
      </c>
      <c r="M4073" s="5" t="n">
        <v>25.747</v>
      </c>
      <c r="N4073" s="5" t="n"/>
      <c r="O4073" s="5">
        <f>+M4073+N4073</f>
        <v/>
      </c>
      <c r="P4073" s="4" t="n"/>
      <c r="Q4073" s="87" t="n"/>
      <c r="R4073" s="5" t="n">
        <v>30</v>
      </c>
      <c r="S4073" s="2" t="n">
        <v>1</v>
      </c>
      <c r="T4073" s="3" t="inlineStr">
        <is>
          <t>CA42796IR</t>
        </is>
      </c>
      <c r="U4073" s="87" t="n">
        <v>46041</v>
      </c>
      <c r="V4073" s="3" t="inlineStr">
        <is>
          <t>1</t>
        </is>
      </c>
      <c r="W4073" s="108" t="n">
        <v>46041</v>
      </c>
      <c r="X4073" s="4" t="inlineStr">
        <is>
          <t>PHILIPPOS COSTANTINIDES TRADING CO. LTD</t>
        </is>
      </c>
    </row>
    <row r="4074" ht="24" customHeight="1">
      <c r="A4074" s="2">
        <f>+D4074-S4074</f>
        <v/>
      </c>
      <c r="B4074" s="126" t="n">
        <v>5662</v>
      </c>
      <c r="C4074" s="66" t="n">
        <v>46041</v>
      </c>
      <c r="D4074" s="2" t="n">
        <v>1</v>
      </c>
      <c r="E4074" s="3" t="inlineStr">
        <is>
          <t>FUCILE DOPPIETTA CANI ESTERNI</t>
        </is>
      </c>
      <c r="F4074" s="3" t="inlineStr">
        <is>
          <t>12</t>
        </is>
      </c>
      <c r="G4074" s="84" t="inlineStr">
        <is>
          <t>FRANCHI</t>
        </is>
      </c>
      <c r="H4074" s="107" t="inlineStr">
        <is>
          <t>CACCIA</t>
        </is>
      </c>
      <c r="I4074" s="107" t="inlineStr">
        <is>
          <t>318</t>
        </is>
      </c>
      <c r="J4074" s="107" t="inlineStr">
        <is>
          <t>N/D</t>
        </is>
      </c>
      <c r="K4074" s="65" t="inlineStr">
        <is>
          <t>N/D</t>
        </is>
      </c>
      <c r="L4074" s="127" t="inlineStr">
        <is>
          <t>ANTONIONI SPORT CACCIA E PESCA SRLS</t>
        </is>
      </c>
      <c r="M4074" s="5" t="n">
        <v>25.747</v>
      </c>
      <c r="N4074" s="5" t="n"/>
      <c r="O4074" s="5">
        <f>+M4074+N4074</f>
        <v/>
      </c>
      <c r="P4074" s="4" t="n"/>
      <c r="Q4074" s="87" t="n"/>
      <c r="R4074" s="5" t="n">
        <v>30</v>
      </c>
      <c r="S4074" s="2" t="n">
        <v>1</v>
      </c>
      <c r="T4074" s="3" t="inlineStr">
        <is>
          <t>CA42796IR</t>
        </is>
      </c>
      <c r="U4074" s="87" t="n">
        <v>46041</v>
      </c>
      <c r="V4074" s="3" t="inlineStr">
        <is>
          <t>1</t>
        </is>
      </c>
      <c r="W4074" s="108" t="n">
        <v>46041</v>
      </c>
      <c r="X4074" s="4" t="inlineStr">
        <is>
          <t>PHILIPPOS COSTANTINIDES TRADING CO. LTD</t>
        </is>
      </c>
    </row>
    <row r="4075" ht="24" customHeight="1">
      <c r="A4075" s="2">
        <f>+D4075-S4075</f>
        <v/>
      </c>
      <c r="B4075" s="126" t="n">
        <v>5663</v>
      </c>
      <c r="C4075" s="66" t="n">
        <v>46041</v>
      </c>
      <c r="D4075" s="2" t="n">
        <v>1</v>
      </c>
      <c r="E4075" s="3" t="inlineStr">
        <is>
          <t>FUCILE DOPPIETTA CANI INTERNI</t>
        </is>
      </c>
      <c r="F4075" s="3" t="inlineStr">
        <is>
          <t>12</t>
        </is>
      </c>
      <c r="G4075" s="84" t="inlineStr">
        <is>
          <t>GITTI</t>
        </is>
      </c>
      <c r="H4075" s="107" t="inlineStr">
        <is>
          <t>CACCIA</t>
        </is>
      </c>
      <c r="I4075" s="107" t="inlineStr">
        <is>
          <t>9800</t>
        </is>
      </c>
      <c r="J4075" s="107" t="inlineStr">
        <is>
          <t>N/D</t>
        </is>
      </c>
      <c r="K4075" s="65" t="inlineStr">
        <is>
          <t>N/D</t>
        </is>
      </c>
      <c r="L4075" s="127" t="inlineStr">
        <is>
          <t>ANTONIONI SPORT CACCIA E PESCA SRLS</t>
        </is>
      </c>
      <c r="M4075" s="5" t="n">
        <v>25.747</v>
      </c>
      <c r="N4075" s="5" t="n"/>
      <c r="O4075" s="5">
        <f>+M4075+N4075</f>
        <v/>
      </c>
      <c r="P4075" s="4" t="n"/>
      <c r="Q4075" s="87" t="n"/>
      <c r="R4075" s="5" t="n">
        <v>30</v>
      </c>
      <c r="S4075" s="2" t="n">
        <v>1</v>
      </c>
      <c r="T4075" s="3" t="inlineStr">
        <is>
          <t>CA42796IR</t>
        </is>
      </c>
      <c r="U4075" s="87" t="n">
        <v>46041</v>
      </c>
      <c r="V4075" s="3" t="inlineStr">
        <is>
          <t>1</t>
        </is>
      </c>
      <c r="W4075" s="108" t="n">
        <v>46041</v>
      </c>
      <c r="X4075" s="4" t="inlineStr">
        <is>
          <t>PHILIPPOS COSTANTINIDES TRADING CO. LTD</t>
        </is>
      </c>
    </row>
    <row r="4076" ht="24" customHeight="1">
      <c r="A4076" s="2">
        <f>+D4076-S4076</f>
        <v/>
      </c>
      <c r="B4076" s="126" t="n">
        <v>5664</v>
      </c>
      <c r="C4076" s="66" t="n">
        <v>46041</v>
      </c>
      <c r="D4076" s="2" t="n">
        <v>1</v>
      </c>
      <c r="E4076" s="3" t="inlineStr">
        <is>
          <t>FUCILE DOPPIETTA CANI INTERNI</t>
        </is>
      </c>
      <c r="F4076" s="3" t="inlineStr">
        <is>
          <t>12</t>
        </is>
      </c>
      <c r="G4076" s="84" t="inlineStr">
        <is>
          <t>BERNARDELLI</t>
        </is>
      </c>
      <c r="H4076" s="107" t="inlineStr">
        <is>
          <t>S. UBERTO 1</t>
        </is>
      </c>
      <c r="I4076" s="107" t="inlineStr">
        <is>
          <t>50475</t>
        </is>
      </c>
      <c r="J4076" s="107" t="inlineStr">
        <is>
          <t>N/D</t>
        </is>
      </c>
      <c r="K4076" s="65" t="inlineStr">
        <is>
          <t>N/D</t>
        </is>
      </c>
      <c r="L4076" s="127" t="inlineStr">
        <is>
          <t>ANTONIONI SPORT CACCIA E PESCA SRLS</t>
        </is>
      </c>
      <c r="M4076" s="5" t="n">
        <v>25.747</v>
      </c>
      <c r="N4076" s="5" t="n"/>
      <c r="O4076" s="5">
        <f>+M4076+N4076</f>
        <v/>
      </c>
      <c r="P4076" s="4" t="n"/>
      <c r="Q4076" s="87" t="n"/>
      <c r="R4076" s="5" t="n">
        <v>30</v>
      </c>
      <c r="S4076" s="2" t="n">
        <v>1</v>
      </c>
      <c r="T4076" s="3" t="inlineStr">
        <is>
          <t>CA42796IR</t>
        </is>
      </c>
      <c r="U4076" s="87" t="n">
        <v>46041</v>
      </c>
      <c r="V4076" s="3" t="inlineStr">
        <is>
          <t>1</t>
        </is>
      </c>
      <c r="W4076" s="108" t="n">
        <v>46041</v>
      </c>
      <c r="X4076" s="4" t="inlineStr">
        <is>
          <t>PHILIPPOS COSTANTINIDES TRADING CO. LTD</t>
        </is>
      </c>
    </row>
    <row r="4077" ht="24" customHeight="1">
      <c r="A4077" s="2">
        <f>+D4077-S4077</f>
        <v/>
      </c>
      <c r="B4077" s="126" t="n">
        <v>5665</v>
      </c>
      <c r="C4077" s="66" t="n">
        <v>46041</v>
      </c>
      <c r="D4077" s="2" t="n">
        <v>1</v>
      </c>
      <c r="E4077" s="3" t="inlineStr">
        <is>
          <t>FUCILE DOPPIETTA CANI INTERNI</t>
        </is>
      </c>
      <c r="F4077" s="3" t="inlineStr">
        <is>
          <t>12</t>
        </is>
      </c>
      <c r="G4077" s="84" t="inlineStr">
        <is>
          <t>BERNARDELLI</t>
        </is>
      </c>
      <c r="H4077" s="107" t="inlineStr">
        <is>
          <t>S. UBERTO 1</t>
        </is>
      </c>
      <c r="I4077" s="107" t="inlineStr">
        <is>
          <t>90020</t>
        </is>
      </c>
      <c r="J4077" s="107" t="inlineStr">
        <is>
          <t>N/D</t>
        </is>
      </c>
      <c r="K4077" s="65" t="inlineStr">
        <is>
          <t>N/D</t>
        </is>
      </c>
      <c r="L4077" s="127" t="inlineStr">
        <is>
          <t>ANTONIONI SPORT CACCIA E PESCA SRLS</t>
        </is>
      </c>
      <c r="M4077" s="5" t="n">
        <v>25.747</v>
      </c>
      <c r="N4077" s="5" t="n"/>
      <c r="O4077" s="5">
        <f>+M4077+N4077</f>
        <v/>
      </c>
      <c r="P4077" s="4" t="n"/>
      <c r="Q4077" s="87" t="n"/>
      <c r="R4077" s="5" t="n">
        <v>30</v>
      </c>
      <c r="S4077" s="2" t="n">
        <v>1</v>
      </c>
      <c r="T4077" s="3" t="inlineStr">
        <is>
          <t>CA42796IR</t>
        </is>
      </c>
      <c r="U4077" s="87" t="n">
        <v>46041</v>
      </c>
      <c r="V4077" s="3" t="inlineStr">
        <is>
          <t>1</t>
        </is>
      </c>
      <c r="W4077" s="108" t="n">
        <v>46041</v>
      </c>
      <c r="X4077" s="4" t="inlineStr">
        <is>
          <t>PHILIPPOS COSTANTINIDES TRADING CO. LTD</t>
        </is>
      </c>
    </row>
    <row r="4078" ht="24" customHeight="1">
      <c r="A4078" s="2">
        <f>+D4078-S4078</f>
        <v/>
      </c>
      <c r="B4078" s="126" t="n">
        <v>5666</v>
      </c>
      <c r="C4078" s="66" t="n">
        <v>46041</v>
      </c>
      <c r="D4078" s="2" t="n">
        <v>1</v>
      </c>
      <c r="E4078" s="3" t="inlineStr">
        <is>
          <t>FUCILE DOPPIETTA CANI INTERNI</t>
        </is>
      </c>
      <c r="F4078" s="3" t="inlineStr">
        <is>
          <t>12</t>
        </is>
      </c>
      <c r="G4078" s="84" t="inlineStr">
        <is>
          <t>FRANCHI</t>
        </is>
      </c>
      <c r="H4078" s="107" t="n">
        <v>300</v>
      </c>
      <c r="I4078" s="107" t="inlineStr">
        <is>
          <t>25139E</t>
        </is>
      </c>
      <c r="J4078" s="107" t="inlineStr">
        <is>
          <t>N/D</t>
        </is>
      </c>
      <c r="K4078" s="65" t="inlineStr">
        <is>
          <t>N/D</t>
        </is>
      </c>
      <c r="L4078" s="127" t="inlineStr">
        <is>
          <t>ANTONIONI SPORT CACCIA E PESCA SRLS</t>
        </is>
      </c>
      <c r="M4078" s="5" t="n">
        <v>25.747</v>
      </c>
      <c r="N4078" s="5" t="n"/>
      <c r="O4078" s="5">
        <f>+M4078+N4078</f>
        <v/>
      </c>
      <c r="P4078" s="4" t="n"/>
      <c r="Q4078" s="87" t="n"/>
      <c r="R4078" s="5" t="n">
        <v>30</v>
      </c>
      <c r="S4078" s="2" t="n">
        <v>1</v>
      </c>
      <c r="T4078" s="3" t="inlineStr">
        <is>
          <t>CA42796IR</t>
        </is>
      </c>
      <c r="U4078" s="87" t="n">
        <v>46041</v>
      </c>
      <c r="V4078" s="3" t="inlineStr">
        <is>
          <t>1</t>
        </is>
      </c>
      <c r="W4078" s="108" t="n">
        <v>46041</v>
      </c>
      <c r="X4078" s="4" t="inlineStr">
        <is>
          <t>PHILIPPOS COSTANTINIDES TRADING CO. LTD</t>
        </is>
      </c>
    </row>
    <row r="4079" ht="24" customHeight="1">
      <c r="A4079" s="2">
        <f>+D4079-S4079</f>
        <v/>
      </c>
      <c r="B4079" s="126" t="n">
        <v>5667</v>
      </c>
      <c r="C4079" s="66" t="n">
        <v>46041</v>
      </c>
      <c r="D4079" s="2" t="n">
        <v>1</v>
      </c>
      <c r="E4079" s="3" t="inlineStr">
        <is>
          <t>FUCILE DOPPIETTA CANI ESTERNI</t>
        </is>
      </c>
      <c r="F4079" s="3" t="inlineStr">
        <is>
          <t>12</t>
        </is>
      </c>
      <c r="G4079" s="84" t="inlineStr">
        <is>
          <t>ARTIGIANO</t>
        </is>
      </c>
      <c r="H4079" s="107" t="inlineStr">
        <is>
          <t>CACCIA</t>
        </is>
      </c>
      <c r="I4079" s="107" t="inlineStr">
        <is>
          <t>88</t>
        </is>
      </c>
      <c r="J4079" s="107" t="inlineStr">
        <is>
          <t>N/D</t>
        </is>
      </c>
      <c r="K4079" s="65" t="inlineStr">
        <is>
          <t>N/D</t>
        </is>
      </c>
      <c r="L4079" s="127" t="inlineStr">
        <is>
          <t>ANTONIONI SPORT CACCIA E PESCA SRLS</t>
        </is>
      </c>
      <c r="M4079" s="5" t="n">
        <v>25.747</v>
      </c>
      <c r="N4079" s="5" t="n"/>
      <c r="O4079" s="5">
        <f>+M4079+N4079</f>
        <v/>
      </c>
      <c r="P4079" s="4" t="n"/>
      <c r="Q4079" s="87" t="n"/>
      <c r="R4079" s="5" t="n">
        <v>30</v>
      </c>
      <c r="S4079" s="2" t="n">
        <v>1</v>
      </c>
      <c r="T4079" s="3" t="inlineStr">
        <is>
          <t>CA42796IR</t>
        </is>
      </c>
      <c r="U4079" s="87" t="n">
        <v>46041</v>
      </c>
      <c r="V4079" s="3" t="inlineStr">
        <is>
          <t>1</t>
        </is>
      </c>
      <c r="W4079" s="108" t="n">
        <v>46041</v>
      </c>
      <c r="X4079" s="4" t="inlineStr">
        <is>
          <t>PHILIPPOS COSTANTINIDES TRADING CO. LTD</t>
        </is>
      </c>
    </row>
    <row r="4080" ht="24" customHeight="1">
      <c r="A4080" s="2">
        <f>+D4080-S4080</f>
        <v/>
      </c>
      <c r="B4080" s="126" t="n">
        <v>5668</v>
      </c>
      <c r="C4080" s="66" t="n">
        <v>46041</v>
      </c>
      <c r="D4080" s="2" t="n">
        <v>1</v>
      </c>
      <c r="E4080" s="3" t="inlineStr">
        <is>
          <t>FUCILE DOPPIETTA CANI ESTERNI</t>
        </is>
      </c>
      <c r="F4080" s="3" t="inlineStr">
        <is>
          <t>12</t>
        </is>
      </c>
      <c r="G4080" s="84" t="inlineStr">
        <is>
          <t>ARTIGIANO</t>
        </is>
      </c>
      <c r="H4080" s="107" t="inlineStr">
        <is>
          <t>CACCIA</t>
        </is>
      </c>
      <c r="I4080" s="107" t="inlineStr">
        <is>
          <t>5011</t>
        </is>
      </c>
      <c r="J4080" s="107" t="inlineStr">
        <is>
          <t>N/D</t>
        </is>
      </c>
      <c r="K4080" s="65" t="inlineStr">
        <is>
          <t>N/D</t>
        </is>
      </c>
      <c r="L4080" s="127" t="inlineStr">
        <is>
          <t>ANTONIONI SPORT CACCIA E PESCA SRLS</t>
        </is>
      </c>
      <c r="M4080" s="5" t="n">
        <v>25.747</v>
      </c>
      <c r="N4080" s="5" t="n"/>
      <c r="O4080" s="5">
        <f>+M4080+N4080</f>
        <v/>
      </c>
      <c r="P4080" s="4" t="n"/>
      <c r="Q4080" s="87" t="n"/>
      <c r="R4080" s="5" t="n">
        <v>30</v>
      </c>
      <c r="S4080" s="2" t="n">
        <v>1</v>
      </c>
      <c r="T4080" s="3" t="inlineStr">
        <is>
          <t>CA42796IR</t>
        </is>
      </c>
      <c r="U4080" s="87" t="n">
        <v>46041</v>
      </c>
      <c r="V4080" s="3" t="inlineStr">
        <is>
          <t>1</t>
        </is>
      </c>
      <c r="W4080" s="108" t="n">
        <v>46041</v>
      </c>
      <c r="X4080" s="4" t="inlineStr">
        <is>
          <t>PHILIPPOS COSTANTINIDES TRADING CO. LTD</t>
        </is>
      </c>
    </row>
    <row r="4081" ht="24" customHeight="1">
      <c r="A4081" s="2">
        <f>+D4081-S4081</f>
        <v/>
      </c>
      <c r="B4081" s="126" t="n">
        <v>5669</v>
      </c>
      <c r="C4081" s="66" t="n">
        <v>46041</v>
      </c>
      <c r="D4081" s="2" t="n">
        <v>1</v>
      </c>
      <c r="E4081" s="3" t="inlineStr">
        <is>
          <t>FUCILE DOPPIETTA CANI ESTERNI</t>
        </is>
      </c>
      <c r="F4081" s="3" t="inlineStr">
        <is>
          <t>12</t>
        </is>
      </c>
      <c r="G4081" s="84" t="inlineStr">
        <is>
          <t>COCKERILL</t>
        </is>
      </c>
      <c r="H4081" s="107" t="inlineStr">
        <is>
          <t>CACCIA</t>
        </is>
      </c>
      <c r="I4081" s="107" t="inlineStr">
        <is>
          <t>178</t>
        </is>
      </c>
      <c r="J4081" s="107" t="inlineStr">
        <is>
          <t>N/D</t>
        </is>
      </c>
      <c r="K4081" s="65" t="inlineStr">
        <is>
          <t>N/D</t>
        </is>
      </c>
      <c r="L4081" s="127" t="inlineStr">
        <is>
          <t>ANTONIONI SPORT CACCIA E PESCA SRLS</t>
        </is>
      </c>
      <c r="M4081" s="5" t="n">
        <v>25.747</v>
      </c>
      <c r="N4081" s="5" t="n"/>
      <c r="O4081" s="5">
        <f>+M4081+N4081</f>
        <v/>
      </c>
      <c r="P4081" s="4" t="n"/>
      <c r="Q4081" s="87" t="n"/>
      <c r="R4081" s="5" t="n">
        <v>30</v>
      </c>
      <c r="S4081" s="2" t="n">
        <v>1</v>
      </c>
      <c r="T4081" s="3" t="inlineStr">
        <is>
          <t>CA42796IR</t>
        </is>
      </c>
      <c r="U4081" s="87" t="n">
        <v>46041</v>
      </c>
      <c r="V4081" s="3" t="inlineStr">
        <is>
          <t>1</t>
        </is>
      </c>
      <c r="W4081" s="108" t="n">
        <v>46041</v>
      </c>
      <c r="X4081" s="4" t="inlineStr">
        <is>
          <t>PHILIPPOS COSTANTINIDES TRADING CO. LTD</t>
        </is>
      </c>
    </row>
    <row r="4082" ht="24" customHeight="1">
      <c r="A4082" s="2">
        <f>+D4082-S4082</f>
        <v/>
      </c>
      <c r="B4082" s="126" t="n">
        <v>5670</v>
      </c>
      <c r="C4082" s="66" t="n">
        <v>46041</v>
      </c>
      <c r="D4082" s="2" t="n">
        <v>1</v>
      </c>
      <c r="E4082" s="3" t="inlineStr">
        <is>
          <t>FUCILE DOPPIETTA CANI ESTERNI</t>
        </is>
      </c>
      <c r="F4082" s="3" t="inlineStr">
        <is>
          <t>16</t>
        </is>
      </c>
      <c r="G4082" s="84" t="inlineStr">
        <is>
          <t>DAMAS</t>
        </is>
      </c>
      <c r="H4082" s="107" t="inlineStr">
        <is>
          <t>CACCIA</t>
        </is>
      </c>
      <c r="I4082" s="107" t="inlineStr">
        <is>
          <t>9445</t>
        </is>
      </c>
      <c r="J4082" s="107" t="inlineStr">
        <is>
          <t>N/D</t>
        </is>
      </c>
      <c r="K4082" s="65" t="inlineStr">
        <is>
          <t>N/D</t>
        </is>
      </c>
      <c r="L4082" s="127" t="inlineStr">
        <is>
          <t>ANTONIONI SPORT CACCIA E PESCA SRLS</t>
        </is>
      </c>
      <c r="M4082" s="5" t="n">
        <v>25.747</v>
      </c>
      <c r="N4082" s="5" t="n"/>
      <c r="O4082" s="5">
        <f>+M4082+N4082</f>
        <v/>
      </c>
      <c r="P4082" s="4" t="n"/>
      <c r="Q4082" s="87" t="n"/>
      <c r="R4082" s="5" t="n">
        <v>30</v>
      </c>
      <c r="S4082" s="2" t="n">
        <v>1</v>
      </c>
      <c r="T4082" s="3" t="inlineStr">
        <is>
          <t>CA42796IR</t>
        </is>
      </c>
      <c r="U4082" s="87" t="n">
        <v>46041</v>
      </c>
      <c r="V4082" s="3" t="inlineStr">
        <is>
          <t>1</t>
        </is>
      </c>
      <c r="W4082" s="108" t="n">
        <v>46041</v>
      </c>
      <c r="X4082" s="4" t="inlineStr">
        <is>
          <t>PHILIPPOS COSTANTINIDES TRADING CO. LTD</t>
        </is>
      </c>
    </row>
    <row r="4083" ht="24" customHeight="1">
      <c r="A4083" s="2">
        <f>+D4083-S4083</f>
        <v/>
      </c>
      <c r="B4083" s="126" t="n">
        <v>5671</v>
      </c>
      <c r="C4083" s="66" t="n">
        <v>46041</v>
      </c>
      <c r="D4083" s="2" t="n">
        <v>1</v>
      </c>
      <c r="E4083" s="3" t="inlineStr">
        <is>
          <t>FUCILE DOPPIETTA CANI ESTERNI</t>
        </is>
      </c>
      <c r="F4083" s="3" t="inlineStr">
        <is>
          <t>16</t>
        </is>
      </c>
      <c r="G4083" s="84" t="inlineStr">
        <is>
          <t>BERNARDELLI</t>
        </is>
      </c>
      <c r="H4083" s="107" t="inlineStr">
        <is>
          <t>CACCIA</t>
        </is>
      </c>
      <c r="I4083" s="107" t="inlineStr">
        <is>
          <t>19427</t>
        </is>
      </c>
      <c r="J4083" s="107" t="inlineStr">
        <is>
          <t>N/D</t>
        </is>
      </c>
      <c r="K4083" s="65" t="inlineStr">
        <is>
          <t>N/D</t>
        </is>
      </c>
      <c r="L4083" s="127" t="inlineStr">
        <is>
          <t>ANTONIONI SPORT CACCIA E PESCA SRLS</t>
        </is>
      </c>
      <c r="M4083" s="5" t="n">
        <v>25.747</v>
      </c>
      <c r="N4083" s="5" t="n"/>
      <c r="O4083" s="5">
        <f>+M4083+N4083</f>
        <v/>
      </c>
      <c r="P4083" s="4" t="n"/>
      <c r="Q4083" s="87" t="n"/>
      <c r="R4083" s="5" t="n">
        <v>30</v>
      </c>
      <c r="S4083" s="2" t="n">
        <v>1</v>
      </c>
      <c r="T4083" s="3" t="inlineStr">
        <is>
          <t>CA42796IR</t>
        </is>
      </c>
      <c r="U4083" s="87" t="n">
        <v>46041</v>
      </c>
      <c r="V4083" s="3" t="inlineStr">
        <is>
          <t>1</t>
        </is>
      </c>
      <c r="W4083" s="108" t="n">
        <v>46041</v>
      </c>
      <c r="X4083" s="4" t="inlineStr">
        <is>
          <t>PHILIPPOS COSTANTINIDES TRADING CO. LTD</t>
        </is>
      </c>
    </row>
    <row r="4084" ht="24" customHeight="1">
      <c r="A4084" s="2">
        <f>+D4084-S4084</f>
        <v/>
      </c>
      <c r="B4084" s="126" t="n">
        <v>5672</v>
      </c>
      <c r="C4084" s="66" t="n">
        <v>46041</v>
      </c>
      <c r="D4084" s="2" t="n">
        <v>1</v>
      </c>
      <c r="E4084" s="3" t="inlineStr">
        <is>
          <t>FUCILE DOPPIETTA CANI INTERNI</t>
        </is>
      </c>
      <c r="F4084" s="3" t="inlineStr">
        <is>
          <t>12</t>
        </is>
      </c>
      <c r="G4084" s="84" t="inlineStr">
        <is>
          <t>PINTOSSI</t>
        </is>
      </c>
      <c r="H4084" s="107" t="inlineStr">
        <is>
          <t>CACCIA</t>
        </is>
      </c>
      <c r="I4084" s="107" t="inlineStr">
        <is>
          <t>4494</t>
        </is>
      </c>
      <c r="J4084" s="107" t="inlineStr">
        <is>
          <t>N/D</t>
        </is>
      </c>
      <c r="K4084" s="65" t="inlineStr">
        <is>
          <t>N/D</t>
        </is>
      </c>
      <c r="L4084" s="127" t="inlineStr">
        <is>
          <t>ANTONIONI SPORT CACCIA E PESCA SRLS</t>
        </is>
      </c>
      <c r="M4084" s="5" t="n">
        <v>25.747</v>
      </c>
      <c r="N4084" s="5" t="n"/>
      <c r="O4084" s="5">
        <f>+M4084+N4084</f>
        <v/>
      </c>
      <c r="P4084" s="4" t="n"/>
      <c r="Q4084" s="87" t="n"/>
      <c r="R4084" s="5" t="n">
        <v>30</v>
      </c>
      <c r="S4084" s="2" t="n">
        <v>1</v>
      </c>
      <c r="T4084" s="3" t="inlineStr">
        <is>
          <t>CA42796IR</t>
        </is>
      </c>
      <c r="U4084" s="87" t="n">
        <v>46041</v>
      </c>
      <c r="V4084" s="3" t="inlineStr">
        <is>
          <t>1</t>
        </is>
      </c>
      <c r="W4084" s="108" t="n">
        <v>46041</v>
      </c>
      <c r="X4084" s="4" t="inlineStr">
        <is>
          <t>PHILIPPOS COSTANTINIDES TRADING CO. LTD</t>
        </is>
      </c>
    </row>
    <row r="4085" ht="24" customHeight="1">
      <c r="A4085" s="2">
        <f>+D4085-S4085</f>
        <v/>
      </c>
      <c r="B4085" s="126" t="n">
        <v>5673</v>
      </c>
      <c r="C4085" s="66" t="n">
        <v>46041</v>
      </c>
      <c r="D4085" s="2" t="n">
        <v>1</v>
      </c>
      <c r="E4085" s="3" t="inlineStr">
        <is>
          <t>FUCILE DOPPIETTA CANI INTERNI</t>
        </is>
      </c>
      <c r="F4085" s="3" t="inlineStr">
        <is>
          <t>12</t>
        </is>
      </c>
      <c r="G4085" s="84" t="inlineStr">
        <is>
          <t>COCKERILL</t>
        </is>
      </c>
      <c r="H4085" s="107" t="inlineStr">
        <is>
          <t>CACCIA</t>
        </is>
      </c>
      <c r="I4085" s="107" t="inlineStr">
        <is>
          <t>1012</t>
        </is>
      </c>
      <c r="J4085" s="107" t="inlineStr">
        <is>
          <t>N/D</t>
        </is>
      </c>
      <c r="K4085" s="65" t="inlineStr">
        <is>
          <t>N/D</t>
        </is>
      </c>
      <c r="L4085" s="127" t="inlineStr">
        <is>
          <t>ANTONIONI SPORT CACCIA E PESCA SRLS</t>
        </is>
      </c>
      <c r="M4085" s="5" t="n">
        <v>25.747</v>
      </c>
      <c r="N4085" s="5" t="n"/>
      <c r="O4085" s="5">
        <f>+M4085+N4085</f>
        <v/>
      </c>
      <c r="P4085" s="4" t="n"/>
      <c r="Q4085" s="87" t="n"/>
      <c r="R4085" s="5" t="n">
        <v>30</v>
      </c>
      <c r="S4085" s="2" t="n">
        <v>1</v>
      </c>
      <c r="T4085" s="3" t="inlineStr">
        <is>
          <t>CA42796IR</t>
        </is>
      </c>
      <c r="U4085" s="87" t="n">
        <v>46041</v>
      </c>
      <c r="V4085" s="3" t="inlineStr">
        <is>
          <t>1</t>
        </is>
      </c>
      <c r="W4085" s="108" t="n">
        <v>46041</v>
      </c>
      <c r="X4085" s="4" t="inlineStr">
        <is>
          <t>PHILIPPOS COSTANTINIDES TRADING CO. LTD</t>
        </is>
      </c>
    </row>
    <row r="4086" ht="24" customHeight="1">
      <c r="A4086" s="2">
        <f>+D4086-S4086</f>
        <v/>
      </c>
      <c r="B4086" s="126" t="n">
        <v>5674</v>
      </c>
      <c r="C4086" s="66" t="n">
        <v>46041</v>
      </c>
      <c r="D4086" s="2" t="n">
        <v>1</v>
      </c>
      <c r="E4086" s="3" t="inlineStr">
        <is>
          <t>FUCILE DOPPIETTA CANI ESTERNI</t>
        </is>
      </c>
      <c r="F4086" s="3" t="inlineStr">
        <is>
          <t>12</t>
        </is>
      </c>
      <c r="G4086" s="84" t="inlineStr">
        <is>
          <t>COCKERILL</t>
        </is>
      </c>
      <c r="H4086" s="107" t="inlineStr">
        <is>
          <t>CACCIA</t>
        </is>
      </c>
      <c r="I4086" s="107" t="inlineStr">
        <is>
          <t>436</t>
        </is>
      </c>
      <c r="J4086" s="107" t="inlineStr">
        <is>
          <t>N/D</t>
        </is>
      </c>
      <c r="K4086" s="65" t="inlineStr">
        <is>
          <t>N/D</t>
        </is>
      </c>
      <c r="L4086" s="127" t="inlineStr">
        <is>
          <t>ANTONIONI SPORT CACCIA E PESCA SRLS</t>
        </is>
      </c>
      <c r="M4086" s="5" t="n">
        <v>25.747</v>
      </c>
      <c r="N4086" s="5" t="n"/>
      <c r="O4086" s="5">
        <f>+M4086+N4086</f>
        <v/>
      </c>
      <c r="P4086" s="4" t="n"/>
      <c r="Q4086" s="87" t="n"/>
      <c r="R4086" s="5" t="n">
        <v>30</v>
      </c>
      <c r="S4086" s="2" t="n">
        <v>1</v>
      </c>
      <c r="T4086" s="3" t="inlineStr">
        <is>
          <t>CA42796IR</t>
        </is>
      </c>
      <c r="U4086" s="87" t="n">
        <v>46041</v>
      </c>
      <c r="V4086" s="3" t="inlineStr">
        <is>
          <t>1</t>
        </is>
      </c>
      <c r="W4086" s="108" t="n">
        <v>46041</v>
      </c>
      <c r="X4086" s="4" t="inlineStr">
        <is>
          <t>PHILIPPOS COSTANTINIDES TRADING CO. LTD</t>
        </is>
      </c>
    </row>
    <row r="4087" ht="24" customHeight="1">
      <c r="A4087" s="2">
        <f>+D4087-S4087</f>
        <v/>
      </c>
      <c r="B4087" s="126" t="n">
        <v>5675</v>
      </c>
      <c r="C4087" s="66" t="n">
        <v>46041</v>
      </c>
      <c r="D4087" s="2" t="n">
        <v>1</v>
      </c>
      <c r="E4087" s="3" t="inlineStr">
        <is>
          <t>FUCILE DOPPIETTA CANI ESTERNI</t>
        </is>
      </c>
      <c r="F4087" s="3" t="inlineStr">
        <is>
          <t>12</t>
        </is>
      </c>
      <c r="G4087" s="84" t="inlineStr">
        <is>
          <t>ARTIGIANO</t>
        </is>
      </c>
      <c r="H4087" s="107" t="inlineStr">
        <is>
          <t>CACCIA</t>
        </is>
      </c>
      <c r="I4087" s="107" t="inlineStr">
        <is>
          <t>4476</t>
        </is>
      </c>
      <c r="J4087" s="107" t="inlineStr">
        <is>
          <t>N/D</t>
        </is>
      </c>
      <c r="K4087" s="65" t="inlineStr">
        <is>
          <t>N/D</t>
        </is>
      </c>
      <c r="L4087" s="127" t="inlineStr">
        <is>
          <t>ANTONIONI SPORT CACCIA E PESCA SRLS</t>
        </is>
      </c>
      <c r="M4087" s="5" t="n">
        <v>25.747</v>
      </c>
      <c r="N4087" s="5" t="n"/>
      <c r="O4087" s="5">
        <f>+M4087+N4087</f>
        <v/>
      </c>
      <c r="P4087" s="4" t="n"/>
      <c r="Q4087" s="87" t="n"/>
      <c r="R4087" s="5" t="n">
        <v>30</v>
      </c>
      <c r="S4087" s="2" t="n">
        <v>1</v>
      </c>
      <c r="T4087" s="3" t="inlineStr">
        <is>
          <t>CA42796IR</t>
        </is>
      </c>
      <c r="U4087" s="87" t="n">
        <v>46041</v>
      </c>
      <c r="V4087" s="3" t="inlineStr">
        <is>
          <t>1</t>
        </is>
      </c>
      <c r="W4087" s="108" t="n">
        <v>46041</v>
      </c>
      <c r="X4087" s="4" t="inlineStr">
        <is>
          <t>PHILIPPOS COSTANTINIDES TRADING CO. LTD</t>
        </is>
      </c>
    </row>
    <row r="4088" ht="24" customHeight="1">
      <c r="A4088" s="2">
        <f>+D4088-S4088</f>
        <v/>
      </c>
      <c r="B4088" s="126" t="n">
        <v>5676</v>
      </c>
      <c r="C4088" s="66" t="n">
        <v>46041</v>
      </c>
      <c r="D4088" s="2" t="n">
        <v>1</v>
      </c>
      <c r="E4088" s="3" t="inlineStr">
        <is>
          <t>FUCILE DOPPIETTA CANI ESTERNI</t>
        </is>
      </c>
      <c r="F4088" s="3" t="inlineStr">
        <is>
          <t>16</t>
        </is>
      </c>
      <c r="G4088" s="84" t="inlineStr">
        <is>
          <t>ARTIGIANO</t>
        </is>
      </c>
      <c r="H4088" s="107" t="inlineStr">
        <is>
          <t>CACCIA</t>
        </is>
      </c>
      <c r="I4088" s="107" t="inlineStr">
        <is>
          <t>8144</t>
        </is>
      </c>
      <c r="J4088" s="107" t="inlineStr">
        <is>
          <t>N/D</t>
        </is>
      </c>
      <c r="K4088" s="65" t="inlineStr">
        <is>
          <t>N/D</t>
        </is>
      </c>
      <c r="L4088" s="127" t="inlineStr">
        <is>
          <t>ANTONIONI SPORT CACCIA E PESCA SRLS</t>
        </is>
      </c>
      <c r="M4088" s="5" t="n">
        <v>25.747</v>
      </c>
      <c r="N4088" s="5" t="n"/>
      <c r="O4088" s="5">
        <f>+M4088+N4088</f>
        <v/>
      </c>
      <c r="P4088" s="4" t="n"/>
      <c r="Q4088" s="87" t="n"/>
      <c r="R4088" s="5" t="n">
        <v>30</v>
      </c>
      <c r="S4088" s="2" t="n">
        <v>1</v>
      </c>
      <c r="T4088" s="3" t="inlineStr">
        <is>
          <t>CA42796IR</t>
        </is>
      </c>
      <c r="U4088" s="87" t="n">
        <v>46041</v>
      </c>
      <c r="V4088" s="3" t="inlineStr">
        <is>
          <t>1</t>
        </is>
      </c>
      <c r="W4088" s="108" t="n">
        <v>46041</v>
      </c>
      <c r="X4088" s="4" t="inlineStr">
        <is>
          <t>PHILIPPOS COSTANTINIDES TRADING CO. LTD</t>
        </is>
      </c>
    </row>
    <row r="4089" ht="24" customHeight="1">
      <c r="A4089" s="2">
        <f>+D4089-S4089</f>
        <v/>
      </c>
      <c r="B4089" s="126" t="n">
        <v>5677</v>
      </c>
      <c r="C4089" s="66" t="n">
        <v>46041</v>
      </c>
      <c r="D4089" s="2" t="n">
        <v>1</v>
      </c>
      <c r="E4089" s="3" t="inlineStr">
        <is>
          <t>FUCILE DOPPIETTA CANI INTERNI</t>
        </is>
      </c>
      <c r="F4089" s="3" t="inlineStr">
        <is>
          <t>12</t>
        </is>
      </c>
      <c r="G4089" s="84" t="inlineStr">
        <is>
          <t>ARTIGIANO</t>
        </is>
      </c>
      <c r="H4089" s="107" t="inlineStr">
        <is>
          <t>CACCIA</t>
        </is>
      </c>
      <c r="I4089" s="107" t="inlineStr">
        <is>
          <t>9252</t>
        </is>
      </c>
      <c r="J4089" s="107" t="inlineStr">
        <is>
          <t>N/D</t>
        </is>
      </c>
      <c r="K4089" s="65" t="inlineStr">
        <is>
          <t>N/D</t>
        </is>
      </c>
      <c r="L4089" s="127" t="inlineStr">
        <is>
          <t>ANTONIONI SPORT CACCIA E PESCA SRLS</t>
        </is>
      </c>
      <c r="M4089" s="5" t="n">
        <v>25.747</v>
      </c>
      <c r="N4089" s="5" t="n"/>
      <c r="O4089" s="5">
        <f>+M4089+N4089</f>
        <v/>
      </c>
      <c r="P4089" s="4" t="n"/>
      <c r="Q4089" s="87" t="n"/>
      <c r="R4089" s="5" t="n">
        <v>30</v>
      </c>
      <c r="S4089" s="2" t="n">
        <v>1</v>
      </c>
      <c r="T4089" s="3" t="inlineStr">
        <is>
          <t>CA42796IR</t>
        </is>
      </c>
      <c r="U4089" s="87" t="n">
        <v>46041</v>
      </c>
      <c r="V4089" s="3" t="inlineStr">
        <is>
          <t>1</t>
        </is>
      </c>
      <c r="W4089" s="108" t="n">
        <v>46041</v>
      </c>
      <c r="X4089" s="4" t="inlineStr">
        <is>
          <t>PHILIPPOS COSTANTINIDES TRADING CO. LTD</t>
        </is>
      </c>
    </row>
    <row r="4090" ht="24" customHeight="1">
      <c r="A4090" s="2">
        <f>+D4090-S4090</f>
        <v/>
      </c>
      <c r="B4090" s="126" t="n">
        <v>5678</v>
      </c>
      <c r="C4090" s="66" t="n">
        <v>46041</v>
      </c>
      <c r="D4090" s="2" t="n">
        <v>1</v>
      </c>
      <c r="E4090" s="3" t="inlineStr">
        <is>
          <t>FUCILE DOPPIETTA CANI INTERNI</t>
        </is>
      </c>
      <c r="F4090" s="3" t="inlineStr">
        <is>
          <t>12</t>
        </is>
      </c>
      <c r="G4090" s="84" t="inlineStr">
        <is>
          <t>GAMBA</t>
        </is>
      </c>
      <c r="H4090" s="107" t="inlineStr">
        <is>
          <t>OXFORD 90</t>
        </is>
      </c>
      <c r="I4090" s="107" t="inlineStr">
        <is>
          <t>S20583</t>
        </is>
      </c>
      <c r="J4090" s="107" t="inlineStr">
        <is>
          <t>N/D</t>
        </is>
      </c>
      <c r="K4090" s="65" t="inlineStr">
        <is>
          <t>N/D</t>
        </is>
      </c>
      <c r="L4090" s="127" t="inlineStr">
        <is>
          <t>ANTONIONI SPORT CACCIA E PESCA SRLS</t>
        </is>
      </c>
      <c r="M4090" s="5" t="n">
        <v>25.747</v>
      </c>
      <c r="N4090" s="5" t="n"/>
      <c r="O4090" s="5">
        <f>+M4090+N4090</f>
        <v/>
      </c>
      <c r="P4090" s="4" t="n"/>
      <c r="Q4090" s="87" t="n"/>
      <c r="R4090" s="5" t="n">
        <v>30</v>
      </c>
      <c r="S4090" s="2" t="n">
        <v>1</v>
      </c>
      <c r="T4090" s="3" t="inlineStr">
        <is>
          <t>CA42796IR</t>
        </is>
      </c>
      <c r="U4090" s="87" t="n">
        <v>46041</v>
      </c>
      <c r="V4090" s="3" t="inlineStr">
        <is>
          <t>1</t>
        </is>
      </c>
      <c r="W4090" s="108" t="n">
        <v>46041</v>
      </c>
      <c r="X4090" s="4" t="inlineStr">
        <is>
          <t>PHILIPPOS COSTANTINIDES TRADING CO. LTD</t>
        </is>
      </c>
    </row>
    <row r="4091" ht="24" customHeight="1">
      <c r="A4091" s="2">
        <f>+D4091-S4091</f>
        <v/>
      </c>
      <c r="B4091" s="126" t="n">
        <v>5679</v>
      </c>
      <c r="C4091" s="66" t="n">
        <v>46041</v>
      </c>
      <c r="D4091" s="2" t="n">
        <v>1</v>
      </c>
      <c r="E4091" s="3" t="inlineStr">
        <is>
          <t>FUCILE DOPPIETTA CANI INTERNI</t>
        </is>
      </c>
      <c r="F4091" s="3" t="inlineStr">
        <is>
          <t>20</t>
        </is>
      </c>
      <c r="G4091" s="84" t="inlineStr">
        <is>
          <t>FALCO</t>
        </is>
      </c>
      <c r="H4091" s="107" t="inlineStr">
        <is>
          <t>CACCIA</t>
        </is>
      </c>
      <c r="I4091" s="107" t="inlineStr">
        <is>
          <t>A47005</t>
        </is>
      </c>
      <c r="J4091" s="107" t="inlineStr">
        <is>
          <t>N/D</t>
        </is>
      </c>
      <c r="K4091" s="65" t="inlineStr">
        <is>
          <t>N/D</t>
        </is>
      </c>
      <c r="L4091" s="127" t="inlineStr">
        <is>
          <t>ANTONIONI SPORT CACCIA E PESCA SRLS</t>
        </is>
      </c>
      <c r="M4091" s="5" t="n">
        <v>25.747</v>
      </c>
      <c r="N4091" s="5" t="n"/>
      <c r="O4091" s="5">
        <f>+M4091+N4091</f>
        <v/>
      </c>
      <c r="P4091" s="4" t="n"/>
      <c r="Q4091" s="87" t="n"/>
      <c r="R4091" s="5" t="n">
        <v>30</v>
      </c>
      <c r="S4091" s="2" t="n">
        <v>1</v>
      </c>
      <c r="T4091" s="3" t="inlineStr">
        <is>
          <t>CA42796IR</t>
        </is>
      </c>
      <c r="U4091" s="87" t="n">
        <v>46041</v>
      </c>
      <c r="V4091" s="3" t="inlineStr">
        <is>
          <t>1</t>
        </is>
      </c>
      <c r="W4091" s="108" t="n">
        <v>46041</v>
      </c>
      <c r="X4091" s="4" t="inlineStr">
        <is>
          <t>PHILIPPOS COSTANTINIDES TRADING CO. LTD</t>
        </is>
      </c>
    </row>
    <row r="4092" ht="24" customHeight="1">
      <c r="A4092" s="2">
        <f>+D4092-S4092</f>
        <v/>
      </c>
      <c r="B4092" s="126" t="n">
        <v>5680</v>
      </c>
      <c r="C4092" s="66" t="n">
        <v>46041</v>
      </c>
      <c r="D4092" s="2" t="n">
        <v>1</v>
      </c>
      <c r="E4092" s="3" t="inlineStr">
        <is>
          <t>FUCILE DOPPIETTA CANI INTERNI</t>
        </is>
      </c>
      <c r="F4092" s="3" t="inlineStr">
        <is>
          <t>20</t>
        </is>
      </c>
      <c r="G4092" s="84" t="inlineStr">
        <is>
          <t>ZANOLETTI</t>
        </is>
      </c>
      <c r="H4092" s="107" t="inlineStr">
        <is>
          <t>CACCIA</t>
        </is>
      </c>
      <c r="I4092" s="107" t="inlineStr">
        <is>
          <t>32214</t>
        </is>
      </c>
      <c r="J4092" s="107" t="inlineStr">
        <is>
          <t>N/D</t>
        </is>
      </c>
      <c r="K4092" s="65" t="inlineStr">
        <is>
          <t>N/D</t>
        </is>
      </c>
      <c r="L4092" s="127" t="inlineStr">
        <is>
          <t>ANTONIONI SPORT CACCIA E PESCA SRLS</t>
        </is>
      </c>
      <c r="M4092" s="5" t="n">
        <v>25.747</v>
      </c>
      <c r="N4092" s="5" t="n"/>
      <c r="O4092" s="5">
        <f>+M4092+N4092</f>
        <v/>
      </c>
      <c r="P4092" s="4" t="n"/>
      <c r="Q4092" s="87" t="n"/>
      <c r="R4092" s="5" t="n">
        <v>30</v>
      </c>
      <c r="S4092" s="2" t="n">
        <v>1</v>
      </c>
      <c r="T4092" s="3" t="inlineStr">
        <is>
          <t>CA42796IR</t>
        </is>
      </c>
      <c r="U4092" s="87" t="n">
        <v>46041</v>
      </c>
      <c r="V4092" s="3" t="inlineStr">
        <is>
          <t>1</t>
        </is>
      </c>
      <c r="W4092" s="108" t="n">
        <v>46041</v>
      </c>
      <c r="X4092" s="4" t="inlineStr">
        <is>
          <t>PHILIPPOS COSTANTINIDES TRADING CO. LTD</t>
        </is>
      </c>
    </row>
    <row r="4093" ht="24" customHeight="1">
      <c r="A4093" s="2">
        <f>+D4093-S4093</f>
        <v/>
      </c>
      <c r="B4093" s="126" t="n">
        <v>5681</v>
      </c>
      <c r="C4093" s="66" t="n">
        <v>46041</v>
      </c>
      <c r="D4093" s="2" t="n">
        <v>1</v>
      </c>
      <c r="E4093" s="3" t="inlineStr">
        <is>
          <t>FUCILE DOPPIETTA CANI ESTERNI</t>
        </is>
      </c>
      <c r="F4093" s="3" t="inlineStr">
        <is>
          <t>20</t>
        </is>
      </c>
      <c r="G4093" s="84" t="inlineStr">
        <is>
          <t>COCKERILL</t>
        </is>
      </c>
      <c r="H4093" s="107" t="inlineStr">
        <is>
          <t>CACCIA</t>
        </is>
      </c>
      <c r="I4093" s="107" t="inlineStr">
        <is>
          <t>1949</t>
        </is>
      </c>
      <c r="J4093" s="107" t="inlineStr">
        <is>
          <t>N/D</t>
        </is>
      </c>
      <c r="K4093" s="65" t="inlineStr">
        <is>
          <t>N/D</t>
        </is>
      </c>
      <c r="L4093" s="127" t="inlineStr">
        <is>
          <t>ANTONIONI SPORT CACCIA E PESCA SRLS</t>
        </is>
      </c>
      <c r="M4093" s="5" t="n">
        <v>25.747</v>
      </c>
      <c r="N4093" s="5" t="n"/>
      <c r="O4093" s="5">
        <f>+M4093+N4093</f>
        <v/>
      </c>
      <c r="P4093" s="4" t="n"/>
      <c r="Q4093" s="87" t="n"/>
      <c r="R4093" s="5" t="n">
        <v>30</v>
      </c>
      <c r="S4093" s="2" t="n">
        <v>1</v>
      </c>
      <c r="T4093" s="3" t="inlineStr">
        <is>
          <t>CA42796IR</t>
        </is>
      </c>
      <c r="U4093" s="87" t="n">
        <v>46041</v>
      </c>
      <c r="V4093" s="3" t="inlineStr">
        <is>
          <t>1</t>
        </is>
      </c>
      <c r="W4093" s="108" t="n">
        <v>46041</v>
      </c>
      <c r="X4093" s="4" t="inlineStr">
        <is>
          <t>PHILIPPOS COSTANTINIDES TRADING CO. LTD</t>
        </is>
      </c>
    </row>
    <row r="4094" ht="24" customHeight="1">
      <c r="A4094" s="2">
        <f>+D4094-S4094</f>
        <v/>
      </c>
      <c r="B4094" s="126" t="n">
        <v>5682</v>
      </c>
      <c r="C4094" s="66" t="n">
        <v>46041</v>
      </c>
      <c r="D4094" s="2" t="n">
        <v>1</v>
      </c>
      <c r="E4094" s="3" t="inlineStr">
        <is>
          <t>FUCILE SOVRAPPOSTO</t>
        </is>
      </c>
      <c r="F4094" s="3" t="inlineStr">
        <is>
          <t>12</t>
        </is>
      </c>
      <c r="G4094" s="84" t="inlineStr">
        <is>
          <t>TECNIMEC</t>
        </is>
      </c>
      <c r="H4094" s="107" t="inlineStr">
        <is>
          <t>CACCIA</t>
        </is>
      </c>
      <c r="I4094" s="107" t="inlineStr">
        <is>
          <t>14796</t>
        </is>
      </c>
      <c r="J4094" s="107" t="inlineStr">
        <is>
          <t>N/D</t>
        </is>
      </c>
      <c r="K4094" s="65" t="inlineStr">
        <is>
          <t>N/D</t>
        </is>
      </c>
      <c r="L4094" s="127" t="inlineStr">
        <is>
          <t>ANTONIONI SPORT CACCIA E PESCA SRLS</t>
        </is>
      </c>
      <c r="M4094" s="5" t="n">
        <v>25.747</v>
      </c>
      <c r="N4094" s="5" t="n"/>
      <c r="O4094" s="5">
        <f>+M4094+N4094</f>
        <v/>
      </c>
      <c r="P4094" s="4" t="n"/>
      <c r="Q4094" s="87" t="n"/>
      <c r="R4094" s="5" t="n">
        <v>30</v>
      </c>
      <c r="S4094" s="2" t="n">
        <v>1</v>
      </c>
      <c r="T4094" s="3" t="inlineStr">
        <is>
          <t>CA42796IR</t>
        </is>
      </c>
      <c r="U4094" s="87" t="n">
        <v>46041</v>
      </c>
      <c r="V4094" s="3" t="inlineStr">
        <is>
          <t>1</t>
        </is>
      </c>
      <c r="W4094" s="108" t="n">
        <v>46041</v>
      </c>
      <c r="X4094" s="4" t="inlineStr">
        <is>
          <t>PHILIPPOS COSTANTINIDES TRADING CO. LTD</t>
        </is>
      </c>
    </row>
    <row r="4095" ht="24" customHeight="1">
      <c r="A4095" s="2">
        <f>+D4095-S4095</f>
        <v/>
      </c>
      <c r="B4095" s="126" t="n">
        <v>5683</v>
      </c>
      <c r="C4095" s="66" t="n">
        <v>46041</v>
      </c>
      <c r="D4095" s="2" t="n">
        <v>1</v>
      </c>
      <c r="E4095" s="3" t="inlineStr">
        <is>
          <t>FUCILE SOVRAPPOSTO</t>
        </is>
      </c>
      <c r="F4095" s="3" t="n">
        <v>12</v>
      </c>
      <c r="G4095" s="84" t="inlineStr">
        <is>
          <t>FRANCHI</t>
        </is>
      </c>
      <c r="H4095" s="107" t="inlineStr">
        <is>
          <t>ALCIONE 2000</t>
        </is>
      </c>
      <c r="I4095" s="107" t="inlineStr">
        <is>
          <t>5192052</t>
        </is>
      </c>
      <c r="J4095" s="107" t="inlineStr">
        <is>
          <t>N/D</t>
        </is>
      </c>
      <c r="K4095" s="65" t="inlineStr">
        <is>
          <t>N/D</t>
        </is>
      </c>
      <c r="L4095" s="127" t="inlineStr">
        <is>
          <t>ANTONIONI SPORT CACCIA E PESCA SRLS</t>
        </is>
      </c>
      <c r="M4095" s="5" t="n">
        <v>25.747</v>
      </c>
      <c r="N4095" s="5" t="n"/>
      <c r="O4095" s="5">
        <f>+M4095+N4095</f>
        <v/>
      </c>
      <c r="P4095" s="4" t="n"/>
      <c r="Q4095" s="87" t="n"/>
      <c r="R4095" s="5" t="n">
        <v>30</v>
      </c>
      <c r="S4095" s="2" t="n">
        <v>1</v>
      </c>
      <c r="T4095" s="3" t="inlineStr">
        <is>
          <t>CA42796IR</t>
        </is>
      </c>
      <c r="U4095" s="87" t="n">
        <v>46041</v>
      </c>
      <c r="V4095" s="3" t="inlineStr">
        <is>
          <t>1</t>
        </is>
      </c>
      <c r="W4095" s="108" t="n">
        <v>46041</v>
      </c>
      <c r="X4095" s="4" t="inlineStr">
        <is>
          <t>PHILIPPOS COSTANTINIDES TRADING CO. LTD</t>
        </is>
      </c>
    </row>
    <row r="4096" ht="24" customHeight="1">
      <c r="A4096" s="2">
        <f>+D4096-S4096</f>
        <v/>
      </c>
      <c r="B4096" s="126" t="n">
        <v>5684</v>
      </c>
      <c r="C4096" s="66" t="n">
        <v>46041</v>
      </c>
      <c r="D4096" s="2" t="n">
        <v>1</v>
      </c>
      <c r="E4096" s="3" t="inlineStr">
        <is>
          <t>FUCILE SOVRAPPOSTO</t>
        </is>
      </c>
      <c r="F4096" s="3" t="n">
        <v>12</v>
      </c>
      <c r="G4096" s="84" t="inlineStr">
        <is>
          <t>BAIKAL</t>
        </is>
      </c>
      <c r="H4096" s="107" t="inlineStr">
        <is>
          <t>MP 27EM 1C</t>
        </is>
      </c>
      <c r="I4096" s="107" t="inlineStr">
        <is>
          <t>132722219</t>
        </is>
      </c>
      <c r="J4096" s="107" t="inlineStr">
        <is>
          <t>N/D</t>
        </is>
      </c>
      <c r="K4096" s="65" t="inlineStr">
        <is>
          <t>N/D</t>
        </is>
      </c>
      <c r="L4096" s="127" t="inlineStr">
        <is>
          <t>ANTONIONI SPORT CACCIA E PESCA SRLS</t>
        </is>
      </c>
      <c r="M4096" s="5" t="n">
        <v>25.747</v>
      </c>
      <c r="N4096" s="5" t="n"/>
      <c r="O4096" s="5">
        <f>+M4096+N4096</f>
        <v/>
      </c>
      <c r="P4096" s="4" t="n"/>
      <c r="Q4096" s="87" t="n"/>
      <c r="R4096" s="5" t="n">
        <v>30</v>
      </c>
      <c r="S4096" s="2" t="n">
        <v>1</v>
      </c>
      <c r="T4096" s="3" t="inlineStr">
        <is>
          <t>CA42796IR</t>
        </is>
      </c>
      <c r="U4096" s="87" t="n">
        <v>46041</v>
      </c>
      <c r="V4096" s="3" t="inlineStr">
        <is>
          <t>1</t>
        </is>
      </c>
      <c r="W4096" s="108" t="n">
        <v>46041</v>
      </c>
      <c r="X4096" s="4" t="inlineStr">
        <is>
          <t>PHILIPPOS COSTANTINIDES TRADING CO. LTD</t>
        </is>
      </c>
    </row>
    <row r="4097" ht="24" customHeight="1">
      <c r="A4097" s="2">
        <f>+D4097-S4097</f>
        <v/>
      </c>
      <c r="B4097" s="126" t="n">
        <v>5685</v>
      </c>
      <c r="C4097" s="66" t="n">
        <v>46041</v>
      </c>
      <c r="D4097" s="2" t="n">
        <v>1</v>
      </c>
      <c r="E4097" s="3" t="inlineStr">
        <is>
          <t>FUCILE SOVRAPPOSTO</t>
        </is>
      </c>
      <c r="F4097" s="3" t="n">
        <v>12</v>
      </c>
      <c r="G4097" s="84" t="inlineStr">
        <is>
          <t>ROTA</t>
        </is>
      </c>
      <c r="H4097" s="107" t="inlineStr">
        <is>
          <t>CACCIA</t>
        </is>
      </c>
      <c r="I4097" s="107" t="inlineStr">
        <is>
          <t>4904-611</t>
        </is>
      </c>
      <c r="J4097" s="107" t="inlineStr">
        <is>
          <t>N/D</t>
        </is>
      </c>
      <c r="K4097" s="65" t="inlineStr">
        <is>
          <t>N/D</t>
        </is>
      </c>
      <c r="L4097" s="127" t="inlineStr">
        <is>
          <t>ANTONIONI SPORT CACCIA E PESCA SRLS</t>
        </is>
      </c>
      <c r="M4097" s="5" t="n">
        <v>25.747</v>
      </c>
      <c r="N4097" s="5" t="n"/>
      <c r="O4097" s="5">
        <f>+M4097+N4097</f>
        <v/>
      </c>
      <c r="P4097" s="4" t="n"/>
      <c r="Q4097" s="87" t="n"/>
      <c r="R4097" s="5" t="n">
        <v>30</v>
      </c>
      <c r="S4097" s="2" t="n">
        <v>1</v>
      </c>
      <c r="T4097" s="3" t="inlineStr">
        <is>
          <t>CA42796IR</t>
        </is>
      </c>
      <c r="U4097" s="87" t="n">
        <v>46041</v>
      </c>
      <c r="V4097" s="3" t="inlineStr">
        <is>
          <t>1</t>
        </is>
      </c>
      <c r="W4097" s="108" t="n">
        <v>46041</v>
      </c>
      <c r="X4097" s="4" t="inlineStr">
        <is>
          <t>PHILIPPOS COSTANTINIDES TRADING CO. LTD</t>
        </is>
      </c>
    </row>
    <row r="4098" ht="24" customHeight="1">
      <c r="A4098" s="2">
        <f>+D4098-S4098</f>
        <v/>
      </c>
      <c r="B4098" s="126" t="n">
        <v>5686</v>
      </c>
      <c r="C4098" s="66" t="n">
        <v>46041</v>
      </c>
      <c r="D4098" s="2" t="n">
        <v>1</v>
      </c>
      <c r="E4098" s="3" t="inlineStr">
        <is>
          <t>FUCILE SOVRAPPOSTO</t>
        </is>
      </c>
      <c r="F4098" s="3" t="n">
        <v>12</v>
      </c>
      <c r="G4098" s="84" t="inlineStr">
        <is>
          <t>BERETTA</t>
        </is>
      </c>
      <c r="H4098" s="107" t="inlineStr">
        <is>
          <t>S55</t>
        </is>
      </c>
      <c r="I4098" s="107" t="inlineStr">
        <is>
          <t>A92545B</t>
        </is>
      </c>
      <c r="J4098" s="107" t="inlineStr">
        <is>
          <t>N/D</t>
        </is>
      </c>
      <c r="K4098" s="65" t="inlineStr">
        <is>
          <t>N/D</t>
        </is>
      </c>
      <c r="L4098" s="127" t="inlineStr">
        <is>
          <t>ANTONIONI SPORT CACCIA E PESCA SRLS</t>
        </is>
      </c>
      <c r="M4098" s="5" t="n">
        <v>25.747</v>
      </c>
      <c r="N4098" s="5" t="n"/>
      <c r="O4098" s="5">
        <f>+M4098+N4098</f>
        <v/>
      </c>
      <c r="P4098" s="4" t="n"/>
      <c r="Q4098" s="87" t="n"/>
      <c r="R4098" s="5" t="n">
        <v>30</v>
      </c>
      <c r="S4098" s="2" t="n">
        <v>1</v>
      </c>
      <c r="T4098" s="3" t="inlineStr">
        <is>
          <t>CA42796IR</t>
        </is>
      </c>
      <c r="U4098" s="87" t="n">
        <v>46041</v>
      </c>
      <c r="V4098" s="3" t="inlineStr">
        <is>
          <t>1</t>
        </is>
      </c>
      <c r="W4098" s="108" t="n">
        <v>46041</v>
      </c>
      <c r="X4098" s="4" t="inlineStr">
        <is>
          <t>PHILIPPOS COSTANTINIDES TRADING CO. LTD</t>
        </is>
      </c>
    </row>
    <row r="4099" ht="24" customHeight="1">
      <c r="A4099" s="2">
        <f>+D4099-S4099</f>
        <v/>
      </c>
      <c r="B4099" s="126" t="n">
        <v>5687</v>
      </c>
      <c r="C4099" s="66" t="n">
        <v>46041</v>
      </c>
      <c r="D4099" s="2" t="n">
        <v>1</v>
      </c>
      <c r="E4099" s="3" t="inlineStr">
        <is>
          <t>FUCILE SOVRAPPOSTO</t>
        </is>
      </c>
      <c r="F4099" s="3" t="n">
        <v>12</v>
      </c>
      <c r="G4099" s="84" t="inlineStr">
        <is>
          <t>BEGHELLI</t>
        </is>
      </c>
      <c r="H4099" s="107" t="inlineStr">
        <is>
          <t>CACCIA</t>
        </is>
      </c>
      <c r="I4099" s="107" t="inlineStr">
        <is>
          <t>4637</t>
        </is>
      </c>
      <c r="J4099" s="107" t="inlineStr">
        <is>
          <t>N/D</t>
        </is>
      </c>
      <c r="K4099" s="65" t="inlineStr">
        <is>
          <t>N/D</t>
        </is>
      </c>
      <c r="L4099" s="127" t="inlineStr">
        <is>
          <t>ANTONIONI SPORT CACCIA E PESCA SRLS</t>
        </is>
      </c>
      <c r="M4099" s="5" t="n">
        <v>25.747</v>
      </c>
      <c r="N4099" s="5" t="n"/>
      <c r="O4099" s="5">
        <f>+M4099+N4099</f>
        <v/>
      </c>
      <c r="P4099" s="4" t="n"/>
      <c r="Q4099" s="87" t="n"/>
      <c r="R4099" s="5" t="n">
        <v>30</v>
      </c>
      <c r="S4099" s="2" t="n">
        <v>1</v>
      </c>
      <c r="T4099" s="3" t="inlineStr">
        <is>
          <t>CA42796IR</t>
        </is>
      </c>
      <c r="U4099" s="87" t="n">
        <v>46041</v>
      </c>
      <c r="V4099" s="3" t="inlineStr">
        <is>
          <t>1</t>
        </is>
      </c>
      <c r="W4099" s="108" t="n">
        <v>46041</v>
      </c>
      <c r="X4099" s="4" t="inlineStr">
        <is>
          <t>PHILIPPOS COSTANTINIDES TRADING CO. LTD</t>
        </is>
      </c>
    </row>
    <row r="4100" ht="24" customHeight="1">
      <c r="A4100" s="2">
        <f>+D4100-S4100</f>
        <v/>
      </c>
      <c r="B4100" s="126" t="n">
        <v>5688</v>
      </c>
      <c r="C4100" s="66" t="n">
        <v>46041</v>
      </c>
      <c r="D4100" s="2" t="n">
        <v>1</v>
      </c>
      <c r="E4100" s="3" t="inlineStr">
        <is>
          <t>FUCILE SOVRAPPOSTO</t>
        </is>
      </c>
      <c r="F4100" s="3" t="n">
        <v>12</v>
      </c>
      <c r="G4100" s="84" t="inlineStr">
        <is>
          <t>BERETTA</t>
        </is>
      </c>
      <c r="H4100" s="107" t="inlineStr">
        <is>
          <t>S55</t>
        </is>
      </c>
      <c r="I4100" s="107" t="inlineStr">
        <is>
          <t>50602</t>
        </is>
      </c>
      <c r="J4100" s="107" t="inlineStr">
        <is>
          <t>N/D</t>
        </is>
      </c>
      <c r="K4100" s="65" t="inlineStr">
        <is>
          <t>N/D</t>
        </is>
      </c>
      <c r="L4100" s="127" t="inlineStr">
        <is>
          <t>ANTONIONI SPORT CACCIA E PESCA SRLS</t>
        </is>
      </c>
      <c r="M4100" s="5" t="n">
        <v>25.747</v>
      </c>
      <c r="N4100" s="5" t="n"/>
      <c r="O4100" s="5">
        <f>+M4100+N4100</f>
        <v/>
      </c>
      <c r="P4100" s="4" t="n"/>
      <c r="Q4100" s="87" t="n"/>
      <c r="R4100" s="5" t="n">
        <v>30</v>
      </c>
      <c r="S4100" s="2" t="n">
        <v>1</v>
      </c>
      <c r="T4100" s="3" t="inlineStr">
        <is>
          <t>CA42796IR</t>
        </is>
      </c>
      <c r="U4100" s="87" t="n">
        <v>46041</v>
      </c>
      <c r="V4100" s="3" t="inlineStr">
        <is>
          <t>1</t>
        </is>
      </c>
      <c r="W4100" s="108" t="n">
        <v>46041</v>
      </c>
      <c r="X4100" s="4" t="inlineStr">
        <is>
          <t>PHILIPPOS COSTANTINIDES TRADING CO. LTD</t>
        </is>
      </c>
    </row>
    <row r="4101" ht="24" customHeight="1">
      <c r="A4101" s="2">
        <f>+D4101-S4101</f>
        <v/>
      </c>
      <c r="B4101" s="126" t="n">
        <v>5689</v>
      </c>
      <c r="C4101" s="66" t="n">
        <v>46041</v>
      </c>
      <c r="D4101" s="2" t="n">
        <v>1</v>
      </c>
      <c r="E4101" s="3" t="inlineStr">
        <is>
          <t>FUCILE SOVRAPPOSTO</t>
        </is>
      </c>
      <c r="F4101" s="3" t="n">
        <v>12</v>
      </c>
      <c r="G4101" s="84" t="inlineStr">
        <is>
          <t>BERETTA</t>
        </is>
      </c>
      <c r="H4101" s="107" t="inlineStr">
        <is>
          <t>S55</t>
        </is>
      </c>
      <c r="I4101" s="107" t="inlineStr">
        <is>
          <t>B04694</t>
        </is>
      </c>
      <c r="J4101" s="107" t="inlineStr">
        <is>
          <t>N/D</t>
        </is>
      </c>
      <c r="K4101" s="65" t="inlineStr">
        <is>
          <t>N/D</t>
        </is>
      </c>
      <c r="L4101" s="127" t="inlineStr">
        <is>
          <t>ANTONIONI SPORT CACCIA E PESCA SRLS</t>
        </is>
      </c>
      <c r="M4101" s="5" t="n">
        <v>25.747</v>
      </c>
      <c r="N4101" s="5" t="n"/>
      <c r="O4101" s="5">
        <f>+M4101+N4101</f>
        <v/>
      </c>
      <c r="P4101" s="4" t="n"/>
      <c r="Q4101" s="87" t="n"/>
      <c r="R4101" s="5" t="n">
        <v>30</v>
      </c>
      <c r="S4101" s="2" t="n">
        <v>1</v>
      </c>
      <c r="T4101" s="3" t="inlineStr">
        <is>
          <t>CA42796IR</t>
        </is>
      </c>
      <c r="U4101" s="87" t="n">
        <v>46041</v>
      </c>
      <c r="V4101" s="3" t="inlineStr">
        <is>
          <t>1</t>
        </is>
      </c>
      <c r="W4101" s="108" t="n">
        <v>46041</v>
      </c>
      <c r="X4101" s="4" t="inlineStr">
        <is>
          <t>PHILIPPOS COSTANTINIDES TRADING CO. LTD</t>
        </is>
      </c>
    </row>
    <row r="4102" ht="24" customHeight="1">
      <c r="A4102" s="2">
        <f>+D4102-S4102</f>
        <v/>
      </c>
      <c r="B4102" s="126" t="n">
        <v>5690</v>
      </c>
      <c r="C4102" s="66" t="n">
        <v>46041</v>
      </c>
      <c r="D4102" s="2" t="n">
        <v>1</v>
      </c>
      <c r="E4102" s="3" t="inlineStr">
        <is>
          <t>FUCILE SOVRAPPOSTO</t>
        </is>
      </c>
      <c r="F4102" s="3" t="n">
        <v>12</v>
      </c>
      <c r="G4102" s="84" t="inlineStr">
        <is>
          <t>BERETTA</t>
        </is>
      </c>
      <c r="H4102" s="107" t="inlineStr">
        <is>
          <t>S55</t>
        </is>
      </c>
      <c r="I4102" s="107" t="inlineStr">
        <is>
          <t>B13871</t>
        </is>
      </c>
      <c r="J4102" s="107" t="inlineStr">
        <is>
          <t>N/D</t>
        </is>
      </c>
      <c r="K4102" s="65" t="inlineStr">
        <is>
          <t>N/D</t>
        </is>
      </c>
      <c r="L4102" s="127" t="inlineStr">
        <is>
          <t>ANTONIONI SPORT CACCIA E PESCA SRLS</t>
        </is>
      </c>
      <c r="M4102" s="5" t="n">
        <v>25.747</v>
      </c>
      <c r="N4102" s="5" t="n"/>
      <c r="O4102" s="5">
        <f>+M4102+N4102</f>
        <v/>
      </c>
      <c r="P4102" s="4" t="n"/>
      <c r="Q4102" s="87" t="n"/>
      <c r="R4102" s="5" t="n">
        <v>30</v>
      </c>
      <c r="S4102" s="2" t="n">
        <v>1</v>
      </c>
      <c r="T4102" s="3" t="inlineStr">
        <is>
          <t>CA42796IR</t>
        </is>
      </c>
      <c r="U4102" s="87" t="n">
        <v>46041</v>
      </c>
      <c r="V4102" s="3" t="inlineStr">
        <is>
          <t>1</t>
        </is>
      </c>
      <c r="W4102" s="108" t="n">
        <v>46041</v>
      </c>
      <c r="X4102" s="4" t="inlineStr">
        <is>
          <t>PHILIPPOS COSTANTINIDES TRADING CO. LTD</t>
        </is>
      </c>
    </row>
    <row r="4103" ht="24" customHeight="1">
      <c r="A4103" s="2">
        <f>+D4103-S4103</f>
        <v/>
      </c>
      <c r="B4103" s="126" t="n">
        <v>5691</v>
      </c>
      <c r="C4103" s="66" t="n">
        <v>46041</v>
      </c>
      <c r="D4103" s="2" t="n">
        <v>1</v>
      </c>
      <c r="E4103" s="3" t="inlineStr">
        <is>
          <t>FUCILE SOVRAPPOSTO</t>
        </is>
      </c>
      <c r="F4103" s="3" t="n">
        <v>12</v>
      </c>
      <c r="G4103" s="84" t="inlineStr">
        <is>
          <t>BERETTA</t>
        </is>
      </c>
      <c r="H4103" s="107" t="inlineStr">
        <is>
          <t>S55</t>
        </is>
      </c>
      <c r="I4103" s="107" t="inlineStr">
        <is>
          <t>129027</t>
        </is>
      </c>
      <c r="J4103" s="107" t="inlineStr">
        <is>
          <t>N/D</t>
        </is>
      </c>
      <c r="K4103" s="65" t="inlineStr">
        <is>
          <t>N/D</t>
        </is>
      </c>
      <c r="L4103" s="127" t="inlineStr">
        <is>
          <t>ANTONIONI SPORT CACCIA E PESCA SRLS</t>
        </is>
      </c>
      <c r="M4103" s="5" t="n">
        <v>25.747</v>
      </c>
      <c r="N4103" s="5" t="n"/>
      <c r="O4103" s="5">
        <f>+M4103+N4103</f>
        <v/>
      </c>
      <c r="P4103" s="4" t="n"/>
      <c r="Q4103" s="87" t="n"/>
      <c r="R4103" s="5" t="n">
        <v>30</v>
      </c>
      <c r="S4103" s="2" t="n">
        <v>1</v>
      </c>
      <c r="T4103" s="3" t="inlineStr">
        <is>
          <t>CA42796IR</t>
        </is>
      </c>
      <c r="U4103" s="87" t="n">
        <v>46041</v>
      </c>
      <c r="V4103" s="3" t="inlineStr">
        <is>
          <t>1</t>
        </is>
      </c>
      <c r="W4103" s="108" t="n">
        <v>46041</v>
      </c>
      <c r="X4103" s="4" t="inlineStr">
        <is>
          <t>PHILIPPOS COSTANTINIDES TRADING CO. LTD</t>
        </is>
      </c>
    </row>
    <row r="4104" ht="24" customHeight="1">
      <c r="A4104" s="2">
        <f>+D4104-S4104</f>
        <v/>
      </c>
      <c r="B4104" s="126" t="n">
        <v>5692</v>
      </c>
      <c r="C4104" s="66" t="n">
        <v>46041</v>
      </c>
      <c r="D4104" s="2" t="n">
        <v>1</v>
      </c>
      <c r="E4104" s="3" t="inlineStr">
        <is>
          <t>FUCILE SOVRAPPOSTO</t>
        </is>
      </c>
      <c r="F4104" s="3" t="n">
        <v>12</v>
      </c>
      <c r="G4104" s="84" t="inlineStr">
        <is>
          <t>BERETTA</t>
        </is>
      </c>
      <c r="H4104" s="107" t="inlineStr">
        <is>
          <t>S55</t>
        </is>
      </c>
      <c r="I4104" s="107" t="inlineStr">
        <is>
          <t>100941</t>
        </is>
      </c>
      <c r="J4104" s="107" t="inlineStr">
        <is>
          <t>N/D</t>
        </is>
      </c>
      <c r="K4104" s="65" t="inlineStr">
        <is>
          <t>N/D</t>
        </is>
      </c>
      <c r="L4104" s="127" t="inlineStr">
        <is>
          <t>ANTONIONI SPORT CACCIA E PESCA SRLS</t>
        </is>
      </c>
      <c r="M4104" s="5" t="n">
        <v>25.747</v>
      </c>
      <c r="N4104" s="5" t="n"/>
      <c r="O4104" s="5">
        <f>+M4104+N4104</f>
        <v/>
      </c>
      <c r="P4104" s="4" t="n"/>
      <c r="Q4104" s="87" t="n"/>
      <c r="R4104" s="5" t="n">
        <v>30</v>
      </c>
      <c r="S4104" s="2" t="n">
        <v>1</v>
      </c>
      <c r="T4104" s="3" t="inlineStr">
        <is>
          <t>CA42796IR</t>
        </is>
      </c>
      <c r="U4104" s="87" t="n">
        <v>46041</v>
      </c>
      <c r="V4104" s="3" t="inlineStr">
        <is>
          <t>1</t>
        </is>
      </c>
      <c r="W4104" s="108" t="n">
        <v>46041</v>
      </c>
      <c r="X4104" s="4" t="inlineStr">
        <is>
          <t>PHILIPPOS COSTANTINIDES TRADING CO. LTD</t>
        </is>
      </c>
    </row>
    <row r="4105" ht="24" customHeight="1">
      <c r="A4105" s="2">
        <f>+D4105-S4105</f>
        <v/>
      </c>
      <c r="B4105" s="126" t="n">
        <v>5693</v>
      </c>
      <c r="C4105" s="66" t="n">
        <v>46041</v>
      </c>
      <c r="D4105" s="2" t="n">
        <v>1</v>
      </c>
      <c r="E4105" s="3" t="inlineStr">
        <is>
          <t>FUCILE SOVRAPPOSTO</t>
        </is>
      </c>
      <c r="F4105" s="3" t="n">
        <v>12</v>
      </c>
      <c r="G4105" s="84" t="inlineStr">
        <is>
          <t>BERETTA</t>
        </is>
      </c>
      <c r="H4105" s="107" t="inlineStr">
        <is>
          <t>S55</t>
        </is>
      </c>
      <c r="I4105" s="107" t="inlineStr">
        <is>
          <t>B58158</t>
        </is>
      </c>
      <c r="J4105" s="107" t="inlineStr">
        <is>
          <t>N/D</t>
        </is>
      </c>
      <c r="K4105" s="65" t="inlineStr">
        <is>
          <t>N/D</t>
        </is>
      </c>
      <c r="L4105" s="127" t="inlineStr">
        <is>
          <t>ANTONIONI SPORT CACCIA E PESCA SRLS</t>
        </is>
      </c>
      <c r="M4105" s="5" t="n">
        <v>25.747</v>
      </c>
      <c r="N4105" s="5" t="n"/>
      <c r="O4105" s="5">
        <f>+M4105+N4105</f>
        <v/>
      </c>
      <c r="P4105" s="4" t="n"/>
      <c r="Q4105" s="87" t="n"/>
      <c r="R4105" s="5" t="n">
        <v>30</v>
      </c>
      <c r="S4105" s="2" t="n">
        <v>1</v>
      </c>
      <c r="T4105" s="3" t="inlineStr">
        <is>
          <t>CA42796IR</t>
        </is>
      </c>
      <c r="U4105" s="87" t="n">
        <v>46041</v>
      </c>
      <c r="V4105" s="3" t="inlineStr">
        <is>
          <t>1</t>
        </is>
      </c>
      <c r="W4105" s="108" t="n">
        <v>46041</v>
      </c>
      <c r="X4105" s="4" t="inlineStr">
        <is>
          <t>PHILIPPOS COSTANTINIDES TRADING CO. LTD</t>
        </is>
      </c>
    </row>
    <row r="4106" ht="24" customHeight="1">
      <c r="A4106" s="2">
        <f>+D4106-S4106</f>
        <v/>
      </c>
      <c r="B4106" s="126" t="n">
        <v>5694</v>
      </c>
      <c r="C4106" s="66" t="n">
        <v>46041</v>
      </c>
      <c r="D4106" s="2" t="n">
        <v>1</v>
      </c>
      <c r="E4106" s="3" t="inlineStr">
        <is>
          <t>FUCILE SOVRAPPOSTO</t>
        </is>
      </c>
      <c r="F4106" s="3" t="n">
        <v>12</v>
      </c>
      <c r="G4106" s="84" t="inlineStr">
        <is>
          <t>BELLERI</t>
        </is>
      </c>
      <c r="H4106" s="107" t="inlineStr">
        <is>
          <t>CACCIA</t>
        </is>
      </c>
      <c r="I4106" s="107" t="inlineStr">
        <is>
          <t>11165</t>
        </is>
      </c>
      <c r="J4106" s="107" t="inlineStr">
        <is>
          <t>N/D</t>
        </is>
      </c>
      <c r="K4106" s="65" t="inlineStr">
        <is>
          <t>N/D</t>
        </is>
      </c>
      <c r="L4106" s="127" t="inlineStr">
        <is>
          <t>ANTONIONI SPORT CACCIA E PESCA SRLS</t>
        </is>
      </c>
      <c r="M4106" s="5" t="n">
        <v>25.747</v>
      </c>
      <c r="N4106" s="5" t="n"/>
      <c r="O4106" s="5">
        <f>+M4106+N4106</f>
        <v/>
      </c>
      <c r="P4106" s="4" t="n"/>
      <c r="Q4106" s="87" t="n"/>
      <c r="R4106" s="5" t="n">
        <v>30</v>
      </c>
      <c r="S4106" s="2" t="n">
        <v>1</v>
      </c>
      <c r="T4106" s="3" t="inlineStr">
        <is>
          <t>CA42796IR</t>
        </is>
      </c>
      <c r="U4106" s="87" t="n">
        <v>46041</v>
      </c>
      <c r="V4106" s="3" t="inlineStr">
        <is>
          <t>1</t>
        </is>
      </c>
      <c r="W4106" s="108" t="n">
        <v>46041</v>
      </c>
      <c r="X4106" s="4" t="inlineStr">
        <is>
          <t>PHILIPPOS COSTANTINIDES TRADING CO. LTD</t>
        </is>
      </c>
    </row>
    <row r="4107" ht="24" customHeight="1">
      <c r="A4107" s="2">
        <f>+D4107-S4107</f>
        <v/>
      </c>
      <c r="B4107" s="126" t="n">
        <v>5695</v>
      </c>
      <c r="C4107" s="66" t="n">
        <v>46041</v>
      </c>
      <c r="D4107" s="2" t="n">
        <v>1</v>
      </c>
      <c r="E4107" s="3" t="inlineStr">
        <is>
          <t>FUCILE SOVRAPPOSTO</t>
        </is>
      </c>
      <c r="F4107" s="3" t="n">
        <v>12</v>
      </c>
      <c r="G4107" s="84" t="inlineStr">
        <is>
          <t>GAMBA</t>
        </is>
      </c>
      <c r="H4107" s="107" t="inlineStr">
        <is>
          <t>CACCIA</t>
        </is>
      </c>
      <c r="I4107" s="107" t="inlineStr">
        <is>
          <t>075761</t>
        </is>
      </c>
      <c r="J4107" s="107" t="inlineStr">
        <is>
          <t>N/D</t>
        </is>
      </c>
      <c r="K4107" s="65" t="inlineStr">
        <is>
          <t>N/D</t>
        </is>
      </c>
      <c r="L4107" s="127" t="inlineStr">
        <is>
          <t>ANTONIONI SPORT CACCIA E PESCA SRLS</t>
        </is>
      </c>
      <c r="M4107" s="5" t="n">
        <v>25.747</v>
      </c>
      <c r="N4107" s="5" t="n"/>
      <c r="O4107" s="5">
        <f>+M4107+N4107</f>
        <v/>
      </c>
      <c r="P4107" s="4" t="n"/>
      <c r="Q4107" s="87" t="n"/>
      <c r="R4107" s="5" t="n">
        <v>30</v>
      </c>
      <c r="S4107" s="2" t="n">
        <v>1</v>
      </c>
      <c r="T4107" s="3" t="inlineStr">
        <is>
          <t>CA42796IR</t>
        </is>
      </c>
      <c r="U4107" s="87" t="n">
        <v>46041</v>
      </c>
      <c r="V4107" s="3" t="inlineStr">
        <is>
          <t>1</t>
        </is>
      </c>
      <c r="W4107" s="108" t="n">
        <v>46041</v>
      </c>
      <c r="X4107" s="4" t="inlineStr">
        <is>
          <t>PHILIPPOS COSTANTINIDES TRADING CO. LTD</t>
        </is>
      </c>
    </row>
    <row r="4108" ht="24" customHeight="1">
      <c r="A4108" s="2">
        <f>+D4108-S4108</f>
        <v/>
      </c>
      <c r="B4108" s="126" t="n">
        <v>5696</v>
      </c>
      <c r="C4108" s="66" t="n">
        <v>46041</v>
      </c>
      <c r="D4108" s="2" t="n">
        <v>1</v>
      </c>
      <c r="E4108" s="3" t="inlineStr">
        <is>
          <t>FUCILE SOVRAPPOSTO</t>
        </is>
      </c>
      <c r="F4108" s="3" t="n">
        <v>12</v>
      </c>
      <c r="G4108" s="84" t="inlineStr">
        <is>
          <t>LUCCHINI</t>
        </is>
      </c>
      <c r="H4108" s="107" t="inlineStr">
        <is>
          <t>CACCIA</t>
        </is>
      </c>
      <c r="I4108" s="107" t="inlineStr">
        <is>
          <t>52315</t>
        </is>
      </c>
      <c r="J4108" s="107" t="inlineStr">
        <is>
          <t>N/D</t>
        </is>
      </c>
      <c r="K4108" s="65" t="inlineStr">
        <is>
          <t>N/D</t>
        </is>
      </c>
      <c r="L4108" s="127" t="inlineStr">
        <is>
          <t>ANTONIONI SPORT CACCIA E PESCA SRLS</t>
        </is>
      </c>
      <c r="M4108" s="5" t="n">
        <v>25.747</v>
      </c>
      <c r="N4108" s="5" t="n"/>
      <c r="O4108" s="5">
        <f>+M4108+N4108</f>
        <v/>
      </c>
      <c r="P4108" s="4" t="n"/>
      <c r="Q4108" s="87" t="n"/>
      <c r="R4108" s="5" t="n">
        <v>30</v>
      </c>
      <c r="S4108" s="2" t="n">
        <v>1</v>
      </c>
      <c r="T4108" s="3" t="inlineStr">
        <is>
          <t>CA42796IR</t>
        </is>
      </c>
      <c r="U4108" s="87" t="n">
        <v>46041</v>
      </c>
      <c r="V4108" s="3" t="inlineStr">
        <is>
          <t>1</t>
        </is>
      </c>
      <c r="W4108" s="108" t="n">
        <v>46041</v>
      </c>
      <c r="X4108" s="4" t="inlineStr">
        <is>
          <t>PHILIPPOS COSTANTINIDES TRADING CO. LTD</t>
        </is>
      </c>
    </row>
    <row r="4109" ht="24" customHeight="1">
      <c r="A4109" s="2">
        <f>+D4109-S4109</f>
        <v/>
      </c>
      <c r="B4109" s="126" t="n">
        <v>5697</v>
      </c>
      <c r="C4109" s="66" t="n">
        <v>46041</v>
      </c>
      <c r="D4109" s="2" t="n">
        <v>1</v>
      </c>
      <c r="E4109" s="3" t="inlineStr">
        <is>
          <t>FUCILE SOVRAPPOSTO</t>
        </is>
      </c>
      <c r="F4109" s="3" t="n">
        <v>12</v>
      </c>
      <c r="G4109" s="84" t="inlineStr">
        <is>
          <t>DI MAGGIO</t>
        </is>
      </c>
      <c r="H4109" s="107" t="inlineStr">
        <is>
          <t>CACCIA</t>
        </is>
      </c>
      <c r="I4109" s="107" t="inlineStr">
        <is>
          <t>2952</t>
        </is>
      </c>
      <c r="J4109" s="107" t="inlineStr">
        <is>
          <t>N/D</t>
        </is>
      </c>
      <c r="K4109" s="65" t="inlineStr">
        <is>
          <t>N/D</t>
        </is>
      </c>
      <c r="L4109" s="127" t="inlineStr">
        <is>
          <t>ANTONIONI SPORT CACCIA E PESCA SRLS</t>
        </is>
      </c>
      <c r="M4109" s="5" t="n">
        <v>25.747</v>
      </c>
      <c r="N4109" s="5" t="n"/>
      <c r="O4109" s="5">
        <f>+M4109+N4109</f>
        <v/>
      </c>
      <c r="P4109" s="4" t="n"/>
      <c r="Q4109" s="87" t="n"/>
      <c r="R4109" s="5" t="n">
        <v>30</v>
      </c>
      <c r="S4109" s="2" t="n">
        <v>1</v>
      </c>
      <c r="T4109" s="3" t="inlineStr">
        <is>
          <t>CA42796IR</t>
        </is>
      </c>
      <c r="U4109" s="87" t="n">
        <v>46041</v>
      </c>
      <c r="V4109" s="3" t="inlineStr">
        <is>
          <t>1</t>
        </is>
      </c>
      <c r="W4109" s="108" t="n">
        <v>46041</v>
      </c>
      <c r="X4109" s="4" t="inlineStr">
        <is>
          <t>PHILIPPOS COSTANTINIDES TRADING CO. LTD</t>
        </is>
      </c>
    </row>
    <row r="4110" ht="24" customHeight="1">
      <c r="A4110" s="2">
        <f>+D4110-S4110</f>
        <v/>
      </c>
      <c r="B4110" s="126" t="n">
        <v>5698</v>
      </c>
      <c r="C4110" s="66" t="n">
        <v>46041</v>
      </c>
      <c r="D4110" s="2" t="n">
        <v>1</v>
      </c>
      <c r="E4110" s="3" t="inlineStr">
        <is>
          <t>FUCILE SOVRAPPOSTO</t>
        </is>
      </c>
      <c r="F4110" s="3" t="n">
        <v>12</v>
      </c>
      <c r="G4110" s="84" t="inlineStr">
        <is>
          <t>FRANCHI</t>
        </is>
      </c>
      <c r="H4110" s="107" t="inlineStr">
        <is>
          <t>DIAMOND</t>
        </is>
      </c>
      <c r="I4110" s="107" t="inlineStr">
        <is>
          <t>4147708</t>
        </is>
      </c>
      <c r="J4110" s="65" t="inlineStr">
        <is>
          <t>N/D</t>
        </is>
      </c>
      <c r="K4110" s="65" t="inlineStr">
        <is>
          <t>N/D</t>
        </is>
      </c>
      <c r="L4110" s="127" t="inlineStr">
        <is>
          <t>ANTONIONI SPORT CACCIA E PESCA SRLS</t>
        </is>
      </c>
      <c r="M4110" s="5" t="n">
        <v>25.747</v>
      </c>
      <c r="N4110" s="5" t="n"/>
      <c r="O4110" s="5">
        <f>+M4110+N4110</f>
        <v/>
      </c>
      <c r="P4110" s="4" t="n"/>
      <c r="Q4110" s="87" t="n"/>
      <c r="R4110" s="5" t="n">
        <v>31.94</v>
      </c>
      <c r="S4110" s="2" t="n">
        <v>1</v>
      </c>
      <c r="T4110" s="3" t="inlineStr">
        <is>
          <t>CA42796IR</t>
        </is>
      </c>
      <c r="U4110" s="87" t="n">
        <v>46097</v>
      </c>
      <c r="V4110" s="3" t="inlineStr">
        <is>
          <t>4</t>
        </is>
      </c>
      <c r="W4110" s="108" t="n">
        <v>46097</v>
      </c>
      <c r="X4110" s="4" t="inlineStr">
        <is>
          <t>PHILIPPOS  CONSTANTINIDES
TRADING CO.LTD</t>
        </is>
      </c>
    </row>
    <row r="4111" ht="24" customHeight="1">
      <c r="A4111" s="2">
        <f>+D4111-S4111</f>
        <v/>
      </c>
      <c r="B4111" s="126" t="n">
        <v>5699</v>
      </c>
      <c r="C4111" s="66" t="n">
        <v>46041</v>
      </c>
      <c r="D4111" s="2" t="n">
        <v>1</v>
      </c>
      <c r="E4111" s="3" t="inlineStr">
        <is>
          <t>FUCILE SOVRAPPOSTO</t>
        </is>
      </c>
      <c r="F4111" s="3" t="n">
        <v>12</v>
      </c>
      <c r="G4111" s="84" t="inlineStr">
        <is>
          <t>ARTIGIANO</t>
        </is>
      </c>
      <c r="H4111" s="107" t="inlineStr">
        <is>
          <t>CACCIA</t>
        </is>
      </c>
      <c r="I4111" s="107" t="inlineStr">
        <is>
          <t>3358</t>
        </is>
      </c>
      <c r="J4111" s="107" t="inlineStr">
        <is>
          <t>N/D</t>
        </is>
      </c>
      <c r="K4111" s="65" t="inlineStr">
        <is>
          <t>N/D</t>
        </is>
      </c>
      <c r="L4111" s="127" t="inlineStr">
        <is>
          <t>ANTONIONI SPORT CACCIA E PESCA SRLS</t>
        </is>
      </c>
      <c r="M4111" s="5" t="n">
        <v>25.747</v>
      </c>
      <c r="N4111" s="5" t="n"/>
      <c r="O4111" s="5">
        <f>+M4111+N4111</f>
        <v/>
      </c>
      <c r="P4111" s="4" t="n"/>
      <c r="Q4111" s="87" t="n"/>
      <c r="R4111" s="5" t="n">
        <v>30</v>
      </c>
      <c r="S4111" s="2" t="n">
        <v>1</v>
      </c>
      <c r="T4111" s="3" t="inlineStr">
        <is>
          <t>CA42796IR</t>
        </is>
      </c>
      <c r="U4111" s="87" t="n">
        <v>46041</v>
      </c>
      <c r="V4111" s="3" t="inlineStr">
        <is>
          <t>1</t>
        </is>
      </c>
      <c r="W4111" s="108" t="n">
        <v>46041</v>
      </c>
      <c r="X4111" s="4" t="inlineStr">
        <is>
          <t>PHILIPPOS COSTANTINIDES TRADING CO. LTD</t>
        </is>
      </c>
    </row>
    <row r="4112" ht="24" customHeight="1">
      <c r="A4112" s="2">
        <f>+D4112-S4112</f>
        <v/>
      </c>
      <c r="B4112" s="126" t="n">
        <v>5700</v>
      </c>
      <c r="C4112" s="66" t="n">
        <v>46041</v>
      </c>
      <c r="D4112" s="2" t="n">
        <v>1</v>
      </c>
      <c r="E4112" s="3" t="inlineStr">
        <is>
          <t>FUCILE SOVRAPPOSTO</t>
        </is>
      </c>
      <c r="F4112" s="3" t="n">
        <v>12</v>
      </c>
      <c r="G4112" s="84" t="inlineStr">
        <is>
          <t>FABARM</t>
        </is>
      </c>
      <c r="H4112" s="107" t="inlineStr">
        <is>
          <t>CACCIA</t>
        </is>
      </c>
      <c r="I4112" s="107" t="inlineStr">
        <is>
          <t>16603</t>
        </is>
      </c>
      <c r="J4112" s="107" t="inlineStr">
        <is>
          <t>N/D</t>
        </is>
      </c>
      <c r="K4112" s="65" t="inlineStr">
        <is>
          <t>N/D</t>
        </is>
      </c>
      <c r="L4112" s="127" t="inlineStr">
        <is>
          <t>ANTONIONI SPORT CACCIA E PESCA SRLS</t>
        </is>
      </c>
      <c r="M4112" s="5" t="n">
        <v>25.747</v>
      </c>
      <c r="N4112" s="5" t="n"/>
      <c r="O4112" s="5">
        <f>+M4112+N4112</f>
        <v/>
      </c>
      <c r="P4112" s="4" t="n"/>
      <c r="Q4112" s="87" t="n"/>
      <c r="R4112" s="5" t="n">
        <v>30</v>
      </c>
      <c r="S4112" s="2" t="n">
        <v>1</v>
      </c>
      <c r="T4112" s="3" t="inlineStr">
        <is>
          <t>CA42796IR</t>
        </is>
      </c>
      <c r="U4112" s="87" t="n">
        <v>46041</v>
      </c>
      <c r="V4112" s="3" t="inlineStr">
        <is>
          <t>1</t>
        </is>
      </c>
      <c r="W4112" s="108" t="n">
        <v>46041</v>
      </c>
      <c r="X4112" s="4" t="inlineStr">
        <is>
          <t>PHILIPPOS COSTANTINIDES TRADING CO. LTD</t>
        </is>
      </c>
    </row>
    <row r="4113" ht="24" customHeight="1">
      <c r="A4113" s="2">
        <f>+D4113-S4113</f>
        <v/>
      </c>
      <c r="B4113" s="126" t="n">
        <v>5701</v>
      </c>
      <c r="C4113" s="66" t="n">
        <v>46041</v>
      </c>
      <c r="D4113" s="2" t="n">
        <v>1</v>
      </c>
      <c r="E4113" s="3" t="inlineStr">
        <is>
          <t>FUCILE SOVRAPPOSTO</t>
        </is>
      </c>
      <c r="F4113" s="3" t="n">
        <v>12</v>
      </c>
      <c r="G4113" s="84" t="inlineStr">
        <is>
          <t>GAMBA</t>
        </is>
      </c>
      <c r="H4113" s="107" t="inlineStr">
        <is>
          <t>CACCIA</t>
        </is>
      </c>
      <c r="I4113" s="107" t="inlineStr">
        <is>
          <t>071187</t>
        </is>
      </c>
      <c r="J4113" s="107" t="inlineStr">
        <is>
          <t>N/D</t>
        </is>
      </c>
      <c r="K4113" s="65" t="inlineStr">
        <is>
          <t>N/D</t>
        </is>
      </c>
      <c r="L4113" s="127" t="inlineStr">
        <is>
          <t>ANTONIONI SPORT CACCIA E PESCA SRLS</t>
        </is>
      </c>
      <c r="M4113" s="5" t="n">
        <v>25.747</v>
      </c>
      <c r="N4113" s="5" t="n"/>
      <c r="O4113" s="5">
        <f>+M4113+N4113</f>
        <v/>
      </c>
      <c r="P4113" s="4" t="n"/>
      <c r="Q4113" s="87" t="n"/>
      <c r="R4113" s="5" t="n">
        <v>30</v>
      </c>
      <c r="S4113" s="2" t="n">
        <v>1</v>
      </c>
      <c r="T4113" s="3" t="inlineStr">
        <is>
          <t>CA42796IR</t>
        </is>
      </c>
      <c r="U4113" s="87" t="n">
        <v>46041</v>
      </c>
      <c r="V4113" s="3" t="inlineStr">
        <is>
          <t>1</t>
        </is>
      </c>
      <c r="W4113" s="108" t="n">
        <v>46041</v>
      </c>
      <c r="X4113" s="4" t="inlineStr">
        <is>
          <t>PHILIPPOS COSTANTINIDES TRADING CO. LTD</t>
        </is>
      </c>
    </row>
    <row r="4114" ht="24" customHeight="1">
      <c r="A4114" s="2">
        <f>+D4114-S4114</f>
        <v/>
      </c>
      <c r="B4114" s="126" t="n">
        <v>5702</v>
      </c>
      <c r="C4114" s="66" t="n">
        <v>46041</v>
      </c>
      <c r="D4114" s="2" t="n">
        <v>1</v>
      </c>
      <c r="E4114" s="3" t="inlineStr">
        <is>
          <t>FUCILE SOVRAPPOSTO</t>
        </is>
      </c>
      <c r="F4114" s="3" t="n">
        <v>12</v>
      </c>
      <c r="G4114" s="84" t="inlineStr">
        <is>
          <t>FRANCHI</t>
        </is>
      </c>
      <c r="H4114" s="107" t="inlineStr">
        <is>
          <t>ALCIONE</t>
        </is>
      </c>
      <c r="I4114" s="107" t="inlineStr">
        <is>
          <t>5093536</t>
        </is>
      </c>
      <c r="J4114" s="107" t="inlineStr">
        <is>
          <t>N/D</t>
        </is>
      </c>
      <c r="K4114" s="65" t="inlineStr">
        <is>
          <t>N/D</t>
        </is>
      </c>
      <c r="L4114" s="127" t="inlineStr">
        <is>
          <t>ANTONIONI SPORT CACCIA E PESCA SRLS</t>
        </is>
      </c>
      <c r="M4114" s="5" t="n">
        <v>25.747</v>
      </c>
      <c r="N4114" s="5" t="n"/>
      <c r="O4114" s="5">
        <f>+M4114+N4114</f>
        <v/>
      </c>
      <c r="P4114" s="4" t="n"/>
      <c r="Q4114" s="87" t="n"/>
      <c r="R4114" s="5" t="n">
        <v>30</v>
      </c>
      <c r="S4114" s="2" t="n">
        <v>1</v>
      </c>
      <c r="T4114" s="3" t="inlineStr">
        <is>
          <t>CA42796IR</t>
        </is>
      </c>
      <c r="U4114" s="87" t="n">
        <v>46041</v>
      </c>
      <c r="V4114" s="3" t="inlineStr">
        <is>
          <t>1</t>
        </is>
      </c>
      <c r="W4114" s="108" t="n">
        <v>46041</v>
      </c>
      <c r="X4114" s="4" t="inlineStr">
        <is>
          <t>PHILIPPOS COSTANTINIDES TRADING CO. LTD</t>
        </is>
      </c>
    </row>
    <row r="4115" ht="24" customHeight="1">
      <c r="A4115" s="2">
        <f>+D4115-S4115</f>
        <v/>
      </c>
      <c r="B4115" s="126" t="n">
        <v>5703</v>
      </c>
      <c r="C4115" s="66" t="n">
        <v>46041</v>
      </c>
      <c r="D4115" s="2" t="n">
        <v>1</v>
      </c>
      <c r="E4115" s="3" t="inlineStr">
        <is>
          <t>FUCILE SOVRAPPOSTO</t>
        </is>
      </c>
      <c r="F4115" s="3" t="n">
        <v>12</v>
      </c>
      <c r="G4115" s="84" t="inlineStr">
        <is>
          <t>FRANCHI</t>
        </is>
      </c>
      <c r="H4115" s="107" t="inlineStr">
        <is>
          <t>ALCIONE</t>
        </is>
      </c>
      <c r="I4115" s="107" t="inlineStr">
        <is>
          <t>4149425</t>
        </is>
      </c>
      <c r="J4115" s="107" t="inlineStr">
        <is>
          <t>N/D</t>
        </is>
      </c>
      <c r="K4115" s="65" t="inlineStr">
        <is>
          <t>N/D</t>
        </is>
      </c>
      <c r="L4115" s="127" t="inlineStr">
        <is>
          <t>ANTONIONI SPORT CACCIA E PESCA SRLS</t>
        </is>
      </c>
      <c r="M4115" s="5" t="n">
        <v>25.747</v>
      </c>
      <c r="N4115" s="5" t="n"/>
      <c r="O4115" s="5">
        <f>+M4115+N4115</f>
        <v/>
      </c>
      <c r="P4115" s="4" t="n"/>
      <c r="Q4115" s="87" t="n"/>
      <c r="R4115" s="5" t="n">
        <v>30</v>
      </c>
      <c r="S4115" s="2" t="n">
        <v>1</v>
      </c>
      <c r="T4115" s="3" t="inlineStr">
        <is>
          <t>CA42796IR</t>
        </is>
      </c>
      <c r="U4115" s="87" t="n">
        <v>46041</v>
      </c>
      <c r="V4115" s="3" t="inlineStr">
        <is>
          <t>1</t>
        </is>
      </c>
      <c r="W4115" s="108" t="n">
        <v>46041</v>
      </c>
      <c r="X4115" s="4" t="inlineStr">
        <is>
          <t>PHILIPPOS COSTANTINIDES TRADING CO. LTD</t>
        </is>
      </c>
    </row>
    <row r="4116" ht="24" customHeight="1">
      <c r="A4116" s="2">
        <f>+D4116-S4116</f>
        <v/>
      </c>
      <c r="B4116" s="126" t="n">
        <v>5704</v>
      </c>
      <c r="C4116" s="66" t="n">
        <v>46041</v>
      </c>
      <c r="D4116" s="2" t="n">
        <v>1</v>
      </c>
      <c r="E4116" s="3" t="inlineStr">
        <is>
          <t>FUCILE SOVRAPPOSTO</t>
        </is>
      </c>
      <c r="F4116" s="3" t="n">
        <v>12</v>
      </c>
      <c r="G4116" s="84" t="inlineStr">
        <is>
          <t>BERETTA</t>
        </is>
      </c>
      <c r="H4116" s="107" t="inlineStr">
        <is>
          <t>S55</t>
        </is>
      </c>
      <c r="I4116" s="107" t="inlineStr">
        <is>
          <t>111306</t>
        </is>
      </c>
      <c r="J4116" s="107" t="inlineStr">
        <is>
          <t>N/D</t>
        </is>
      </c>
      <c r="K4116" s="65" t="inlineStr">
        <is>
          <t>N/D</t>
        </is>
      </c>
      <c r="L4116" s="127" t="inlineStr">
        <is>
          <t>ANTONIONI SPORT CACCIA E PESCA SRLS</t>
        </is>
      </c>
      <c r="M4116" s="5" t="n">
        <v>25.747</v>
      </c>
      <c r="N4116" s="5" t="n"/>
      <c r="O4116" s="5">
        <f>+M4116+N4116</f>
        <v/>
      </c>
      <c r="P4116" s="4" t="n"/>
      <c r="Q4116" s="87" t="n"/>
      <c r="R4116" s="5" t="n">
        <v>30</v>
      </c>
      <c r="S4116" s="2" t="n">
        <v>1</v>
      </c>
      <c r="T4116" s="3" t="inlineStr">
        <is>
          <t>CA42796IR</t>
        </is>
      </c>
      <c r="U4116" s="87" t="n">
        <v>46041</v>
      </c>
      <c r="V4116" s="3" t="inlineStr">
        <is>
          <t>1</t>
        </is>
      </c>
      <c r="W4116" s="108" t="n">
        <v>46041</v>
      </c>
      <c r="X4116" s="4" t="inlineStr">
        <is>
          <t>PHILIPPOS COSTANTINIDES TRADING CO. LTD</t>
        </is>
      </c>
    </row>
    <row r="4117" ht="24" customHeight="1">
      <c r="A4117" s="2">
        <f>+D4117-S4117</f>
        <v/>
      </c>
      <c r="B4117" s="126" t="n">
        <v>5705</v>
      </c>
      <c r="C4117" s="66" t="n">
        <v>46041</v>
      </c>
      <c r="D4117" s="2" t="n">
        <v>1</v>
      </c>
      <c r="E4117" s="3" t="inlineStr">
        <is>
          <t>FUCILE SOVRAPPOSTO</t>
        </is>
      </c>
      <c r="F4117" s="3" t="n">
        <v>12</v>
      </c>
      <c r="G4117" s="84" t="inlineStr">
        <is>
          <t>FRANCHI</t>
        </is>
      </c>
      <c r="H4117" s="107" t="inlineStr">
        <is>
          <t>CACCIA</t>
        </is>
      </c>
      <c r="I4117" s="107" t="inlineStr">
        <is>
          <t>39242</t>
        </is>
      </c>
      <c r="J4117" s="107" t="inlineStr">
        <is>
          <t>N/D</t>
        </is>
      </c>
      <c r="K4117" s="65" t="inlineStr">
        <is>
          <t>N/D</t>
        </is>
      </c>
      <c r="L4117" s="127" t="inlineStr">
        <is>
          <t>ANTONIONI SPORT CACCIA E PESCA SRLS</t>
        </is>
      </c>
      <c r="M4117" s="5" t="n">
        <v>25.747</v>
      </c>
      <c r="N4117" s="5" t="n"/>
      <c r="O4117" s="5">
        <f>+M4117+N4117</f>
        <v/>
      </c>
      <c r="P4117" s="4" t="n"/>
      <c r="Q4117" s="87" t="n"/>
      <c r="R4117" s="5" t="n">
        <v>30</v>
      </c>
      <c r="S4117" s="2" t="n">
        <v>1</v>
      </c>
      <c r="T4117" s="3" t="inlineStr">
        <is>
          <t>CA42796IR</t>
        </is>
      </c>
      <c r="U4117" s="87" t="n">
        <v>46041</v>
      </c>
      <c r="V4117" s="3" t="inlineStr">
        <is>
          <t>1</t>
        </is>
      </c>
      <c r="W4117" s="108" t="n">
        <v>46041</v>
      </c>
      <c r="X4117" s="4" t="inlineStr">
        <is>
          <t>PHILIPPOS COSTANTINIDES TRADING CO. LTD</t>
        </is>
      </c>
    </row>
    <row r="4118" ht="24" customHeight="1">
      <c r="A4118" s="2">
        <f>+D4118-S4118</f>
        <v/>
      </c>
      <c r="B4118" s="126" t="n">
        <v>5706</v>
      </c>
      <c r="C4118" s="66" t="n">
        <v>46041</v>
      </c>
      <c r="D4118" s="2" t="n">
        <v>1</v>
      </c>
      <c r="E4118" s="3" t="inlineStr">
        <is>
          <t>FUCILE SOVRAPPOSTO</t>
        </is>
      </c>
      <c r="F4118" s="3" t="n">
        <v>12</v>
      </c>
      <c r="G4118" s="84" t="inlineStr">
        <is>
          <t>FABARM</t>
        </is>
      </c>
      <c r="H4118" s="107" t="inlineStr">
        <is>
          <t>CACCIA</t>
        </is>
      </c>
      <c r="I4118" s="107" t="inlineStr">
        <is>
          <t>19887</t>
        </is>
      </c>
      <c r="J4118" s="107" t="inlineStr">
        <is>
          <t>N/D</t>
        </is>
      </c>
      <c r="K4118" s="65" t="inlineStr">
        <is>
          <t>N/D</t>
        </is>
      </c>
      <c r="L4118" s="127" t="inlineStr">
        <is>
          <t>ANTONIONI SPORT CACCIA E PESCA SRLS</t>
        </is>
      </c>
      <c r="M4118" s="5" t="n">
        <v>25.747</v>
      </c>
      <c r="N4118" s="5" t="n"/>
      <c r="O4118" s="5">
        <f>+M4118+N4118</f>
        <v/>
      </c>
      <c r="P4118" s="4" t="n"/>
      <c r="Q4118" s="87" t="n"/>
      <c r="R4118" s="5" t="n">
        <v>30</v>
      </c>
      <c r="S4118" s="2" t="n">
        <v>1</v>
      </c>
      <c r="T4118" s="3" t="inlineStr">
        <is>
          <t>CA42796IR</t>
        </is>
      </c>
      <c r="U4118" s="87" t="n">
        <v>46041</v>
      </c>
      <c r="V4118" s="3" t="inlineStr">
        <is>
          <t>1</t>
        </is>
      </c>
      <c r="W4118" s="108" t="n">
        <v>46041</v>
      </c>
      <c r="X4118" s="4" t="inlineStr">
        <is>
          <t>PHILIPPOS COSTANTINIDES TRADING CO. LTD</t>
        </is>
      </c>
    </row>
    <row r="4119" ht="24" customHeight="1">
      <c r="A4119" s="2">
        <f>+D4119-S4119</f>
        <v/>
      </c>
      <c r="B4119" s="126" t="n">
        <v>5707</v>
      </c>
      <c r="C4119" s="66" t="n">
        <v>46041</v>
      </c>
      <c r="D4119" s="2" t="n">
        <v>1</v>
      </c>
      <c r="E4119" s="3" t="inlineStr">
        <is>
          <t>FUCILE SOVRAPPOSTO</t>
        </is>
      </c>
      <c r="F4119" s="3" t="n">
        <v>20</v>
      </c>
      <c r="G4119" s="84" t="inlineStr">
        <is>
          <t>ARMI ITALIA</t>
        </is>
      </c>
      <c r="H4119" s="107" t="inlineStr">
        <is>
          <t>CACCIA</t>
        </is>
      </c>
      <c r="I4119" s="107" t="inlineStr">
        <is>
          <t>48985</t>
        </is>
      </c>
      <c r="J4119" s="65" t="inlineStr">
        <is>
          <t>N/D</t>
        </is>
      </c>
      <c r="K4119" s="65" t="inlineStr">
        <is>
          <t>N/D</t>
        </is>
      </c>
      <c r="L4119" s="127" t="inlineStr">
        <is>
          <t>ANTONIONI SPORT CACCIA E PESCA SRLS</t>
        </is>
      </c>
      <c r="M4119" s="5" t="n">
        <v>25.747</v>
      </c>
      <c r="N4119" s="5" t="n"/>
      <c r="O4119" s="5">
        <f>+M4119+N4119</f>
        <v/>
      </c>
      <c r="P4119" s="4" t="n"/>
      <c r="Q4119" s="87" t="n"/>
      <c r="R4119" s="5" t="n">
        <v>31.94</v>
      </c>
      <c r="S4119" s="2" t="n">
        <v>1</v>
      </c>
      <c r="T4119" s="3" t="inlineStr">
        <is>
          <t>CA42796IR</t>
        </is>
      </c>
      <c r="U4119" s="87" t="n">
        <v>46097</v>
      </c>
      <c r="V4119" s="3" t="inlineStr">
        <is>
          <t>4</t>
        </is>
      </c>
      <c r="W4119" s="108" t="n">
        <v>46097</v>
      </c>
      <c r="X4119" s="4" t="inlineStr">
        <is>
          <t>PHILIPPOS  CONSTANTINIDES
TRADING CO.LTD</t>
        </is>
      </c>
    </row>
    <row r="4120" ht="24" customHeight="1">
      <c r="A4120" s="2">
        <f>+D4120-S4120</f>
        <v/>
      </c>
      <c r="B4120" s="126" t="n">
        <v>5708</v>
      </c>
      <c r="C4120" s="66" t="n">
        <v>46041</v>
      </c>
      <c r="D4120" s="2" t="n">
        <v>1</v>
      </c>
      <c r="E4120" s="3" t="inlineStr">
        <is>
          <t>FUCILE SEMIAUTOMATICO</t>
        </is>
      </c>
      <c r="F4120" s="3" t="n">
        <v>12</v>
      </c>
      <c r="G4120" s="84" t="inlineStr">
        <is>
          <t>BERETTA</t>
        </is>
      </c>
      <c r="H4120" s="107" t="inlineStr">
        <is>
          <t>A301</t>
        </is>
      </c>
      <c r="I4120" s="107" t="inlineStr">
        <is>
          <t>C81621E</t>
        </is>
      </c>
      <c r="J4120" s="107" t="inlineStr">
        <is>
          <t>D72709F</t>
        </is>
      </c>
      <c r="K4120" s="65" t="inlineStr">
        <is>
          <t>N/D</t>
        </is>
      </c>
      <c r="L4120" s="127" t="inlineStr">
        <is>
          <t>ANTONIONI SPORT CACCIA E PESCA SRLS</t>
        </is>
      </c>
      <c r="M4120" s="5" t="n">
        <v>25.747</v>
      </c>
      <c r="N4120" s="5" t="n"/>
      <c r="O4120" s="5">
        <f>+M4120+N4120</f>
        <v/>
      </c>
      <c r="P4120" s="4" t="n"/>
      <c r="Q4120" s="87" t="n"/>
      <c r="R4120" s="5" t="n">
        <v>30</v>
      </c>
      <c r="S4120" s="2" t="n">
        <v>1</v>
      </c>
      <c r="T4120" s="3" t="inlineStr">
        <is>
          <t>CA42796IR</t>
        </is>
      </c>
      <c r="U4120" s="87" t="n">
        <v>46041</v>
      </c>
      <c r="V4120" s="3" t="inlineStr">
        <is>
          <t>1</t>
        </is>
      </c>
      <c r="W4120" s="108" t="n">
        <v>46041</v>
      </c>
      <c r="X4120" s="4" t="inlineStr">
        <is>
          <t>PHILIPPOS COSTANTINIDES TRADING CO. LTD</t>
        </is>
      </c>
    </row>
    <row r="4121" ht="24" customHeight="1">
      <c r="A4121" s="2">
        <f>+D4121-S4121</f>
        <v/>
      </c>
      <c r="B4121" s="126" t="n">
        <v>5709</v>
      </c>
      <c r="C4121" s="66" t="n">
        <v>46041</v>
      </c>
      <c r="D4121" s="2" t="n">
        <v>1</v>
      </c>
      <c r="E4121" s="3" t="inlineStr">
        <is>
          <t>FUCILE SEMIAUTOMATICO</t>
        </is>
      </c>
      <c r="F4121" s="3" t="n">
        <v>12</v>
      </c>
      <c r="G4121" s="84" t="inlineStr">
        <is>
          <t>BERETTA</t>
        </is>
      </c>
      <c r="H4121" s="107" t="inlineStr">
        <is>
          <t>A301</t>
        </is>
      </c>
      <c r="I4121" s="107" t="inlineStr">
        <is>
          <t>C39437E</t>
        </is>
      </c>
      <c r="J4121" s="107" t="inlineStr">
        <is>
          <t>D49974F</t>
        </is>
      </c>
      <c r="K4121" s="65" t="inlineStr">
        <is>
          <t>N/D</t>
        </is>
      </c>
      <c r="L4121" s="127" t="inlineStr">
        <is>
          <t>ANTONIONI SPORT CACCIA E PESCA SRLS</t>
        </is>
      </c>
      <c r="M4121" s="5" t="n">
        <v>25.747</v>
      </c>
      <c r="N4121" s="5" t="n"/>
      <c r="O4121" s="5">
        <f>+M4121+N4121</f>
        <v/>
      </c>
      <c r="P4121" s="4" t="n"/>
      <c r="Q4121" s="87" t="n"/>
      <c r="R4121" s="5" t="n">
        <v>30</v>
      </c>
      <c r="S4121" s="2" t="n">
        <v>1</v>
      </c>
      <c r="T4121" s="3" t="inlineStr">
        <is>
          <t>CA42796IR</t>
        </is>
      </c>
      <c r="U4121" s="87" t="n">
        <v>46041</v>
      </c>
      <c r="V4121" s="3" t="inlineStr">
        <is>
          <t>1</t>
        </is>
      </c>
      <c r="W4121" s="108" t="n">
        <v>46041</v>
      </c>
      <c r="X4121" s="4" t="inlineStr">
        <is>
          <t>PHILIPPOS COSTANTINIDES TRADING CO. LTD</t>
        </is>
      </c>
    </row>
    <row r="4122" ht="24" customHeight="1">
      <c r="A4122" s="2">
        <f>+D4122-S4122</f>
        <v/>
      </c>
      <c r="B4122" s="126" t="n">
        <v>5710</v>
      </c>
      <c r="C4122" s="66" t="n">
        <v>46041</v>
      </c>
      <c r="D4122" s="2" t="n">
        <v>1</v>
      </c>
      <c r="E4122" s="3" t="inlineStr">
        <is>
          <t>FUCILE SEMIAUTOMATICO</t>
        </is>
      </c>
      <c r="F4122" s="3" t="n">
        <v>12</v>
      </c>
      <c r="G4122" s="84" t="inlineStr">
        <is>
          <t>BERETTA</t>
        </is>
      </c>
      <c r="H4122" s="107" t="inlineStr">
        <is>
          <t>A302</t>
        </is>
      </c>
      <c r="I4122" s="107" t="inlineStr">
        <is>
          <t>E88445E</t>
        </is>
      </c>
      <c r="J4122" s="107" t="inlineStr">
        <is>
          <t>F71800F</t>
        </is>
      </c>
      <c r="K4122" s="65" t="inlineStr">
        <is>
          <t>N/D</t>
        </is>
      </c>
      <c r="L4122" s="127" t="inlineStr">
        <is>
          <t>ANTONIONI SPORT CACCIA E PESCA SRLS</t>
        </is>
      </c>
      <c r="M4122" s="5" t="n">
        <v>25.747</v>
      </c>
      <c r="N4122" s="5" t="n"/>
      <c r="O4122" s="5">
        <f>+M4122+N4122</f>
        <v/>
      </c>
      <c r="P4122" s="4" t="n"/>
      <c r="Q4122" s="87" t="n"/>
      <c r="R4122" s="5" t="n">
        <v>30</v>
      </c>
      <c r="S4122" s="2" t="n">
        <v>1</v>
      </c>
      <c r="T4122" s="3" t="inlineStr">
        <is>
          <t>CA42796IR</t>
        </is>
      </c>
      <c r="U4122" s="87" t="n">
        <v>46041</v>
      </c>
      <c r="V4122" s="3" t="inlineStr">
        <is>
          <t>1</t>
        </is>
      </c>
      <c r="W4122" s="108" t="n">
        <v>46041</v>
      </c>
      <c r="X4122" s="4" t="inlineStr">
        <is>
          <t>PHILIPPOS COSTANTINIDES TRADING CO. LTD</t>
        </is>
      </c>
    </row>
    <row r="4123" ht="24" customHeight="1">
      <c r="A4123" s="2">
        <f>+D4123-S4123</f>
        <v/>
      </c>
      <c r="B4123" s="126" t="n">
        <v>5711</v>
      </c>
      <c r="C4123" s="66" t="n">
        <v>46041</v>
      </c>
      <c r="D4123" s="2" t="n">
        <v>1</v>
      </c>
      <c r="E4123" s="3" t="inlineStr">
        <is>
          <t>FUCILE SEMIAUTOMATICO</t>
        </is>
      </c>
      <c r="F4123" s="3" t="n">
        <v>12</v>
      </c>
      <c r="G4123" s="84" t="inlineStr">
        <is>
          <t>BERETTA</t>
        </is>
      </c>
      <c r="H4123" s="107" t="inlineStr">
        <is>
          <t>A300</t>
        </is>
      </c>
      <c r="I4123" s="107" t="inlineStr">
        <is>
          <t>G11076</t>
        </is>
      </c>
      <c r="J4123" s="107" t="inlineStr">
        <is>
          <t>B54592F</t>
        </is>
      </c>
      <c r="K4123" s="65" t="inlineStr">
        <is>
          <t>N/D</t>
        </is>
      </c>
      <c r="L4123" s="127" t="inlineStr">
        <is>
          <t>ANTONIONI SPORT CACCIA E PESCA SRLS</t>
        </is>
      </c>
      <c r="M4123" s="5" t="n">
        <v>25.747</v>
      </c>
      <c r="N4123" s="5" t="n"/>
      <c r="O4123" s="5">
        <f>+M4123+N4123</f>
        <v/>
      </c>
      <c r="P4123" s="4" t="n"/>
      <c r="Q4123" s="87" t="n"/>
      <c r="R4123" s="5" t="n">
        <v>30</v>
      </c>
      <c r="S4123" s="2" t="n">
        <v>1</v>
      </c>
      <c r="T4123" s="3" t="inlineStr">
        <is>
          <t>CA42796IR</t>
        </is>
      </c>
      <c r="U4123" s="87" t="n">
        <v>46041</v>
      </c>
      <c r="V4123" s="3" t="inlineStr">
        <is>
          <t>1</t>
        </is>
      </c>
      <c r="W4123" s="108" t="n">
        <v>46041</v>
      </c>
      <c r="X4123" s="4" t="inlineStr">
        <is>
          <t>PHILIPPOS COSTANTINIDES TRADING CO. LTD</t>
        </is>
      </c>
    </row>
    <row r="4124" ht="24" customHeight="1">
      <c r="A4124" s="2">
        <f>+D4124-S4124</f>
        <v/>
      </c>
      <c r="B4124" s="126" t="n">
        <v>5712</v>
      </c>
      <c r="C4124" s="66" t="n">
        <v>46041</v>
      </c>
      <c r="D4124" s="2" t="n">
        <v>1</v>
      </c>
      <c r="E4124" s="3" t="inlineStr">
        <is>
          <t>FUCILE SEMIAUTOMATICO</t>
        </is>
      </c>
      <c r="F4124" s="3" t="n">
        <v>12</v>
      </c>
      <c r="G4124" s="84" t="inlineStr">
        <is>
          <t>BREDA</t>
        </is>
      </c>
      <c r="H4124" s="107" t="inlineStr">
        <is>
          <t>ALTAIR SPECIAL</t>
        </is>
      </c>
      <c r="I4124" s="107" t="inlineStr">
        <is>
          <t>432617</t>
        </is>
      </c>
      <c r="J4124" s="107" t="inlineStr">
        <is>
          <t>683288</t>
        </is>
      </c>
      <c r="K4124" s="65" t="inlineStr">
        <is>
          <t>N/D</t>
        </is>
      </c>
      <c r="L4124" s="127" t="inlineStr">
        <is>
          <t>ANTONIONI SPORT CACCIA E PESCA SRLS</t>
        </is>
      </c>
      <c r="M4124" s="5" t="n">
        <v>25.747</v>
      </c>
      <c r="N4124" s="5" t="n"/>
      <c r="O4124" s="5">
        <f>+M4124+N4124</f>
        <v/>
      </c>
      <c r="P4124" s="4" t="n"/>
      <c r="Q4124" s="87" t="n"/>
      <c r="R4124" s="5" t="n">
        <v>30</v>
      </c>
      <c r="S4124" s="2" t="n">
        <v>1</v>
      </c>
      <c r="T4124" s="3" t="inlineStr">
        <is>
          <t>CA42796IR</t>
        </is>
      </c>
      <c r="U4124" s="87" t="n">
        <v>46041</v>
      </c>
      <c r="V4124" s="3" t="inlineStr">
        <is>
          <t>1</t>
        </is>
      </c>
      <c r="W4124" s="108" t="n">
        <v>46041</v>
      </c>
      <c r="X4124" s="4" t="inlineStr">
        <is>
          <t>PHILIPPOS COSTANTINIDES TRADING CO. LTD</t>
        </is>
      </c>
    </row>
    <row r="4125" ht="24" customHeight="1">
      <c r="A4125" s="2">
        <f>+D4125-S4125</f>
        <v/>
      </c>
      <c r="B4125" s="126" t="n">
        <v>5713</v>
      </c>
      <c r="C4125" s="66" t="n">
        <v>46041</v>
      </c>
      <c r="D4125" s="2" t="n">
        <v>1</v>
      </c>
      <c r="E4125" s="3" t="inlineStr">
        <is>
          <t>FUCILE SEMIAUTOMATICO</t>
        </is>
      </c>
      <c r="F4125" s="3" t="n">
        <v>12</v>
      </c>
      <c r="G4125" s="84" t="inlineStr">
        <is>
          <t>BREDA</t>
        </is>
      </c>
      <c r="H4125" s="107" t="inlineStr">
        <is>
          <t>CACCIA</t>
        </is>
      </c>
      <c r="I4125" s="107" t="inlineStr">
        <is>
          <t>354699</t>
        </is>
      </c>
      <c r="J4125" s="107" t="inlineStr">
        <is>
          <t>610569</t>
        </is>
      </c>
      <c r="K4125" s="65" t="inlineStr">
        <is>
          <t>N/D</t>
        </is>
      </c>
      <c r="L4125" s="127" t="inlineStr">
        <is>
          <t>ANTONIONI SPORT CACCIA E PESCA SRLS</t>
        </is>
      </c>
      <c r="M4125" s="5" t="n">
        <v>25.747</v>
      </c>
      <c r="N4125" s="5" t="n"/>
      <c r="O4125" s="5">
        <f>+M4125+N4125</f>
        <v/>
      </c>
      <c r="P4125" s="4" t="n"/>
      <c r="Q4125" s="87" t="n"/>
      <c r="R4125" s="5" t="n">
        <v>30</v>
      </c>
      <c r="S4125" s="2" t="n">
        <v>1</v>
      </c>
      <c r="T4125" s="3" t="inlineStr">
        <is>
          <t>CA42796IR</t>
        </is>
      </c>
      <c r="U4125" s="87" t="n">
        <v>46041</v>
      </c>
      <c r="V4125" s="3" t="inlineStr">
        <is>
          <t>1</t>
        </is>
      </c>
      <c r="W4125" s="108" t="n">
        <v>46041</v>
      </c>
      <c r="X4125" s="4" t="inlineStr">
        <is>
          <t>PHILIPPOS COSTANTINIDES TRADING CO. LTD</t>
        </is>
      </c>
    </row>
    <row r="4126" ht="24" customHeight="1">
      <c r="A4126" s="2">
        <f>+D4126-S4126</f>
        <v/>
      </c>
      <c r="B4126" s="126" t="n">
        <v>5714</v>
      </c>
      <c r="C4126" s="66" t="n">
        <v>46041</v>
      </c>
      <c r="D4126" s="2" t="n">
        <v>1</v>
      </c>
      <c r="E4126" s="3" t="inlineStr">
        <is>
          <t>FUCILE SEMIAUTOMATICO</t>
        </is>
      </c>
      <c r="F4126" s="3" t="n">
        <v>12</v>
      </c>
      <c r="G4126" s="84" t="inlineStr">
        <is>
          <t>FRANCHI</t>
        </is>
      </c>
      <c r="H4126" s="107" t="n">
        <v>520</v>
      </c>
      <c r="I4126" s="107" t="inlineStr">
        <is>
          <t>M06434</t>
        </is>
      </c>
      <c r="J4126" s="107" t="inlineStr">
        <is>
          <t>DLL4337</t>
        </is>
      </c>
      <c r="K4126" s="65" t="inlineStr">
        <is>
          <t>N/D</t>
        </is>
      </c>
      <c r="L4126" s="127" t="inlineStr">
        <is>
          <t>ANTONIONI SPORT CACCIA E PESCA SRLS</t>
        </is>
      </c>
      <c r="M4126" s="5" t="n">
        <v>25.747</v>
      </c>
      <c r="N4126" s="5" t="n"/>
      <c r="O4126" s="5">
        <f>+M4126+N4126</f>
        <v/>
      </c>
      <c r="P4126" s="4" t="n"/>
      <c r="Q4126" s="87" t="n"/>
      <c r="R4126" s="5" t="n">
        <v>30</v>
      </c>
      <c r="S4126" s="2" t="n">
        <v>1</v>
      </c>
      <c r="T4126" s="3" t="inlineStr">
        <is>
          <t>CA42796IR</t>
        </is>
      </c>
      <c r="U4126" s="87" t="n">
        <v>46041</v>
      </c>
      <c r="V4126" s="3" t="inlineStr">
        <is>
          <t>1</t>
        </is>
      </c>
      <c r="W4126" s="108" t="n">
        <v>46041</v>
      </c>
      <c r="X4126" s="4" t="inlineStr">
        <is>
          <t>PHILIPPOS COSTANTINIDES TRADING CO. LTD</t>
        </is>
      </c>
    </row>
    <row r="4127" ht="24" customHeight="1">
      <c r="A4127" s="2">
        <f>+D4127-S4127</f>
        <v/>
      </c>
      <c r="B4127" s="126" t="n">
        <v>5715</v>
      </c>
      <c r="C4127" s="66" t="n">
        <v>46041</v>
      </c>
      <c r="D4127" s="2" t="n">
        <v>1</v>
      </c>
      <c r="E4127" s="3" t="inlineStr">
        <is>
          <t>FUCILE SEMIAUTOMATICO</t>
        </is>
      </c>
      <c r="F4127" s="3" t="n">
        <v>12</v>
      </c>
      <c r="G4127" s="84" t="inlineStr">
        <is>
          <t>FRANCHI</t>
        </is>
      </c>
      <c r="H4127" s="107" t="n">
        <v>500</v>
      </c>
      <c r="I4127" s="107" t="inlineStr">
        <is>
          <t>R08366</t>
        </is>
      </c>
      <c r="J4127" s="107" t="inlineStr">
        <is>
          <t>FGL2791</t>
        </is>
      </c>
      <c r="K4127" s="65" t="inlineStr">
        <is>
          <t>N/D</t>
        </is>
      </c>
      <c r="L4127" s="127" t="inlineStr">
        <is>
          <t>ANTONIONI SPORT CACCIA E PESCA SRLS</t>
        </is>
      </c>
      <c r="M4127" s="5" t="n">
        <v>25.747</v>
      </c>
      <c r="N4127" s="5" t="n"/>
      <c r="O4127" s="5">
        <f>+M4127+N4127</f>
        <v/>
      </c>
      <c r="P4127" s="4" t="n"/>
      <c r="Q4127" s="87" t="n"/>
      <c r="R4127" s="5" t="n">
        <v>30</v>
      </c>
      <c r="S4127" s="2" t="n">
        <v>1</v>
      </c>
      <c r="T4127" s="3" t="inlineStr">
        <is>
          <t>CA42796IR</t>
        </is>
      </c>
      <c r="U4127" s="87" t="n">
        <v>46041</v>
      </c>
      <c r="V4127" s="3" t="inlineStr">
        <is>
          <t>1</t>
        </is>
      </c>
      <c r="W4127" s="108" t="n">
        <v>46041</v>
      </c>
      <c r="X4127" s="4" t="inlineStr">
        <is>
          <t>PHILIPPOS COSTANTINIDES TRADING CO. LTD</t>
        </is>
      </c>
    </row>
    <row r="4128" ht="24" customHeight="1">
      <c r="A4128" s="2">
        <f>+D4128-S4128</f>
        <v/>
      </c>
      <c r="B4128" s="126" t="n">
        <v>5716</v>
      </c>
      <c r="C4128" s="66" t="n">
        <v>46041</v>
      </c>
      <c r="D4128" s="2" t="n">
        <v>1</v>
      </c>
      <c r="E4128" s="3" t="inlineStr">
        <is>
          <t>FUCILE SEMIAUTOMATICO</t>
        </is>
      </c>
      <c r="F4128" s="3" t="n">
        <v>12</v>
      </c>
      <c r="G4128" s="84" t="inlineStr">
        <is>
          <t>BENELLI</t>
        </is>
      </c>
      <c r="H4128" s="107" t="inlineStr">
        <is>
          <t>RAFFAELLO 121</t>
        </is>
      </c>
      <c r="I4128" s="107" t="inlineStr">
        <is>
          <t>F112282</t>
        </is>
      </c>
      <c r="J4128" s="107" t="inlineStr">
        <is>
          <t>C545287</t>
        </is>
      </c>
      <c r="K4128" s="65" t="inlineStr">
        <is>
          <t>N/D</t>
        </is>
      </c>
      <c r="L4128" s="127" t="inlineStr">
        <is>
          <t>ANTONIONI SPORT CACCIA E PESCA SRLS</t>
        </is>
      </c>
      <c r="M4128" s="5" t="n">
        <v>25.747</v>
      </c>
      <c r="N4128" s="5" t="n"/>
      <c r="O4128" s="5">
        <f>+M4128+N4128</f>
        <v/>
      </c>
      <c r="P4128" s="4" t="n"/>
      <c r="Q4128" s="87" t="n"/>
      <c r="R4128" s="5" t="n">
        <v>30</v>
      </c>
      <c r="S4128" s="2" t="n">
        <v>1</v>
      </c>
      <c r="T4128" s="3" t="inlineStr">
        <is>
          <t>CA42796IR</t>
        </is>
      </c>
      <c r="U4128" s="87" t="n">
        <v>46041</v>
      </c>
      <c r="V4128" s="3" t="inlineStr">
        <is>
          <t>1</t>
        </is>
      </c>
      <c r="W4128" s="108" t="n">
        <v>46041</v>
      </c>
      <c r="X4128" s="4" t="inlineStr">
        <is>
          <t>PHILIPPOS COSTANTINIDES TRADING CO. LTD</t>
        </is>
      </c>
    </row>
    <row r="4129" ht="24" customHeight="1">
      <c r="A4129" s="2">
        <f>+D4129-S4129</f>
        <v/>
      </c>
      <c r="B4129" s="126" t="n">
        <v>5717</v>
      </c>
      <c r="C4129" s="66" t="n">
        <v>46041</v>
      </c>
      <c r="D4129" s="2" t="n">
        <v>1</v>
      </c>
      <c r="E4129" s="3" t="inlineStr">
        <is>
          <t>FUCILE SEMIAUTOMATICO</t>
        </is>
      </c>
      <c r="F4129" s="3" t="n">
        <v>12</v>
      </c>
      <c r="G4129" s="84" t="inlineStr">
        <is>
          <t>FRANCHI</t>
        </is>
      </c>
      <c r="H4129" s="107" t="inlineStr">
        <is>
          <t>48 AL</t>
        </is>
      </c>
      <c r="I4129" s="107" t="inlineStr">
        <is>
          <t>635715</t>
        </is>
      </c>
      <c r="J4129" s="107" t="inlineStr">
        <is>
          <t>CHA1773</t>
        </is>
      </c>
      <c r="K4129" s="65" t="inlineStr">
        <is>
          <t>N/D</t>
        </is>
      </c>
      <c r="L4129" s="127" t="inlineStr">
        <is>
          <t>ANTONIONI SPORT CACCIA E PESCA SRLS</t>
        </is>
      </c>
      <c r="M4129" s="5" t="n">
        <v>25.747</v>
      </c>
      <c r="N4129" s="5" t="n"/>
      <c r="O4129" s="5">
        <f>+M4129+N4129</f>
        <v/>
      </c>
      <c r="P4129" s="4" t="n"/>
      <c r="Q4129" s="87" t="n"/>
      <c r="R4129" s="5" t="n">
        <v>30</v>
      </c>
      <c r="S4129" s="2" t="n">
        <v>1</v>
      </c>
      <c r="T4129" s="3" t="inlineStr">
        <is>
          <t>CA42796IR</t>
        </is>
      </c>
      <c r="U4129" s="87" t="n">
        <v>46041</v>
      </c>
      <c r="V4129" s="3" t="inlineStr">
        <is>
          <t>1</t>
        </is>
      </c>
      <c r="W4129" s="108" t="n">
        <v>46041</v>
      </c>
      <c r="X4129" s="4" t="inlineStr">
        <is>
          <t>PHILIPPOS COSTANTINIDES TRADING CO. LTD</t>
        </is>
      </c>
    </row>
    <row r="4130" ht="24" customHeight="1">
      <c r="A4130" s="2">
        <f>+D4130-S4130</f>
        <v/>
      </c>
      <c r="B4130" s="126" t="n">
        <v>5718</v>
      </c>
      <c r="C4130" s="66" t="n">
        <v>46041</v>
      </c>
      <c r="D4130" s="2" t="n">
        <v>1</v>
      </c>
      <c r="E4130" s="3" t="inlineStr">
        <is>
          <t>FUCILE SEMIAUTOMATICO</t>
        </is>
      </c>
      <c r="F4130" s="3" t="n">
        <v>12</v>
      </c>
      <c r="G4130" s="84" t="inlineStr">
        <is>
          <t>BENELLI</t>
        </is>
      </c>
      <c r="H4130" s="107" t="n">
        <v>121</v>
      </c>
      <c r="I4130" s="107" t="inlineStr">
        <is>
          <t>238895</t>
        </is>
      </c>
      <c r="J4130" s="107" t="inlineStr">
        <is>
          <t>125840</t>
        </is>
      </c>
      <c r="K4130" s="65" t="inlineStr">
        <is>
          <t>N/D</t>
        </is>
      </c>
      <c r="L4130" s="127" t="inlineStr">
        <is>
          <t>ANTONIONI SPORT CACCIA E PESCA SRLS</t>
        </is>
      </c>
      <c r="M4130" s="5" t="n">
        <v>25.747</v>
      </c>
      <c r="N4130" s="5" t="n"/>
      <c r="O4130" s="5">
        <f>+M4130+N4130</f>
        <v/>
      </c>
      <c r="P4130" s="4" t="n"/>
      <c r="Q4130" s="87" t="n"/>
      <c r="R4130" s="5" t="n">
        <v>30</v>
      </c>
      <c r="S4130" s="2" t="n">
        <v>1</v>
      </c>
      <c r="T4130" s="3" t="inlineStr">
        <is>
          <t>CA42796IR</t>
        </is>
      </c>
      <c r="U4130" s="87" t="n">
        <v>46041</v>
      </c>
      <c r="V4130" s="3" t="inlineStr">
        <is>
          <t>1</t>
        </is>
      </c>
      <c r="W4130" s="108" t="n">
        <v>46041</v>
      </c>
      <c r="X4130" s="4" t="inlineStr">
        <is>
          <t>PHILIPPOS COSTANTINIDES TRADING CO. LTD</t>
        </is>
      </c>
    </row>
    <row r="4131" ht="24" customHeight="1">
      <c r="A4131" s="2">
        <f>+D4131-S4131</f>
        <v/>
      </c>
      <c r="B4131" s="126" t="n">
        <v>5719</v>
      </c>
      <c r="C4131" s="66" t="n">
        <v>46041</v>
      </c>
      <c r="D4131" s="2" t="n">
        <v>1</v>
      </c>
      <c r="E4131" s="3" t="inlineStr">
        <is>
          <t>FUCILE SEMIAUTOMATICO</t>
        </is>
      </c>
      <c r="F4131" s="3" t="n">
        <v>12</v>
      </c>
      <c r="G4131" s="84" t="inlineStr">
        <is>
          <t>BREDA</t>
        </is>
      </c>
      <c r="H4131" s="107" t="inlineStr">
        <is>
          <t>LR</t>
        </is>
      </c>
      <c r="I4131" s="107" t="inlineStr">
        <is>
          <t>SL611044</t>
        </is>
      </c>
      <c r="J4131" s="107" t="inlineStr">
        <is>
          <t>BV253096</t>
        </is>
      </c>
      <c r="K4131" s="65" t="inlineStr">
        <is>
          <t>N/D</t>
        </is>
      </c>
      <c r="L4131" s="127" t="inlineStr">
        <is>
          <t>ANTONIONI SPORT CACCIA E PESCA SRLS</t>
        </is>
      </c>
      <c r="M4131" s="5" t="n">
        <v>25.747</v>
      </c>
      <c r="N4131" s="5" t="n"/>
      <c r="O4131" s="5">
        <f>+M4131+N4131</f>
        <v/>
      </c>
      <c r="P4131" s="4" t="n"/>
      <c r="Q4131" s="87" t="n"/>
      <c r="R4131" s="5" t="n">
        <v>30</v>
      </c>
      <c r="S4131" s="2" t="n">
        <v>1</v>
      </c>
      <c r="T4131" s="3" t="inlineStr">
        <is>
          <t>CA42796IR</t>
        </is>
      </c>
      <c r="U4131" s="87" t="n">
        <v>46041</v>
      </c>
      <c r="V4131" s="3" t="inlineStr">
        <is>
          <t>1</t>
        </is>
      </c>
      <c r="W4131" s="108" t="n">
        <v>46041</v>
      </c>
      <c r="X4131" s="4" t="inlineStr">
        <is>
          <t>PHILIPPOS COSTANTINIDES TRADING CO. LTD</t>
        </is>
      </c>
    </row>
    <row r="4132" ht="24" customHeight="1">
      <c r="A4132" s="2">
        <f>+D4132-S4132</f>
        <v/>
      </c>
      <c r="B4132" s="126" t="n">
        <v>5720</v>
      </c>
      <c r="C4132" s="66" t="n">
        <v>46041</v>
      </c>
      <c r="D4132" s="2" t="n">
        <v>1</v>
      </c>
      <c r="E4132" s="3" t="inlineStr">
        <is>
          <t>FUCILE SEMIAUTOMATICO</t>
        </is>
      </c>
      <c r="F4132" s="3" t="n">
        <v>12</v>
      </c>
      <c r="G4132" s="84" t="inlineStr">
        <is>
          <t>BERETTA</t>
        </is>
      </c>
      <c r="H4132" s="107" t="n">
        <v>301</v>
      </c>
      <c r="I4132" s="107" t="inlineStr">
        <is>
          <t>B16599E</t>
        </is>
      </c>
      <c r="J4132" s="107" t="inlineStr">
        <is>
          <t>E74112F</t>
        </is>
      </c>
      <c r="K4132" s="65" t="inlineStr">
        <is>
          <t>N/D</t>
        </is>
      </c>
      <c r="L4132" s="127" t="inlineStr">
        <is>
          <t>ANTONIONI SPORT CACCIA E PESCA SRLS</t>
        </is>
      </c>
      <c r="M4132" s="5" t="n">
        <v>25.747</v>
      </c>
      <c r="N4132" s="5" t="n"/>
      <c r="O4132" s="5">
        <f>+M4132+N4132</f>
        <v/>
      </c>
      <c r="P4132" s="4" t="n"/>
      <c r="Q4132" s="87" t="n"/>
      <c r="R4132" s="5" t="n">
        <v>30</v>
      </c>
      <c r="S4132" s="2" t="n">
        <v>1</v>
      </c>
      <c r="T4132" s="3" t="inlineStr">
        <is>
          <t>CA42796IR</t>
        </is>
      </c>
      <c r="U4132" s="87" t="n">
        <v>46041</v>
      </c>
      <c r="V4132" s="3" t="inlineStr">
        <is>
          <t>1</t>
        </is>
      </c>
      <c r="W4132" s="108" t="n">
        <v>46041</v>
      </c>
      <c r="X4132" s="4" t="inlineStr">
        <is>
          <t>PHILIPPOS COSTANTINIDES TRADING CO. LTD</t>
        </is>
      </c>
    </row>
    <row r="4133" ht="24" customHeight="1">
      <c r="A4133" s="2">
        <f>+D4133-S4133</f>
        <v/>
      </c>
      <c r="B4133" s="126" t="n">
        <v>5721</v>
      </c>
      <c r="C4133" s="66" t="n">
        <v>46041</v>
      </c>
      <c r="D4133" s="2" t="n">
        <v>1</v>
      </c>
      <c r="E4133" s="3" t="inlineStr">
        <is>
          <t>FUCILE SEMIAUTOMATICO</t>
        </is>
      </c>
      <c r="F4133" s="3" t="n">
        <v>12</v>
      </c>
      <c r="G4133" s="84" t="inlineStr">
        <is>
          <t>FRANCHI</t>
        </is>
      </c>
      <c r="H4133" s="107" t="inlineStr">
        <is>
          <t>ELITE</t>
        </is>
      </c>
      <c r="I4133" s="107" t="inlineStr">
        <is>
          <t>S23688</t>
        </is>
      </c>
      <c r="J4133" s="107" t="inlineStr">
        <is>
          <t>NKL3907</t>
        </is>
      </c>
      <c r="K4133" s="65" t="inlineStr">
        <is>
          <t>N/D</t>
        </is>
      </c>
      <c r="L4133" s="127" t="inlineStr">
        <is>
          <t>ANTONIONI SPORT CACCIA E PESCA SRLS</t>
        </is>
      </c>
      <c r="M4133" s="5" t="n">
        <v>25.747</v>
      </c>
      <c r="N4133" s="5" t="n"/>
      <c r="O4133" s="5">
        <f>+M4133+N4133</f>
        <v/>
      </c>
      <c r="P4133" s="4" t="n"/>
      <c r="Q4133" s="87" t="n"/>
      <c r="R4133" s="5" t="n">
        <v>30</v>
      </c>
      <c r="S4133" s="2" t="n">
        <v>1</v>
      </c>
      <c r="T4133" s="3" t="inlineStr">
        <is>
          <t>CA42796IR</t>
        </is>
      </c>
      <c r="U4133" s="87" t="n">
        <v>46041</v>
      </c>
      <c r="V4133" s="3" t="inlineStr">
        <is>
          <t>1</t>
        </is>
      </c>
      <c r="W4133" s="108" t="n">
        <v>46041</v>
      </c>
      <c r="X4133" s="4" t="inlineStr">
        <is>
          <t>PHILIPPOS COSTANTINIDES TRADING CO. LTD</t>
        </is>
      </c>
    </row>
    <row r="4134" ht="24" customHeight="1">
      <c r="A4134" s="2">
        <f>+D4134-S4134</f>
        <v/>
      </c>
      <c r="B4134" s="126" t="n">
        <v>5722</v>
      </c>
      <c r="C4134" s="66" t="n">
        <v>46041</v>
      </c>
      <c r="D4134" s="2" t="n">
        <v>1</v>
      </c>
      <c r="E4134" s="3" t="inlineStr">
        <is>
          <t>FUCILE SEMIAUTOMATICO</t>
        </is>
      </c>
      <c r="F4134" s="3" t="n">
        <v>12</v>
      </c>
      <c r="G4134" s="84" t="inlineStr">
        <is>
          <t>BENELLI</t>
        </is>
      </c>
      <c r="H4134" s="107" t="n">
        <v>123</v>
      </c>
      <c r="I4134" s="107" t="inlineStr">
        <is>
          <t>A67398</t>
        </is>
      </c>
      <c r="J4134" s="107" t="inlineStr">
        <is>
          <t>A93990</t>
        </is>
      </c>
      <c r="K4134" s="65" t="inlineStr">
        <is>
          <t>N/D</t>
        </is>
      </c>
      <c r="L4134" s="127" t="inlineStr">
        <is>
          <t>ANTONIONI SPORT CACCIA E PESCA SRLS</t>
        </is>
      </c>
      <c r="M4134" s="5" t="n">
        <v>25.747</v>
      </c>
      <c r="N4134" s="5" t="n"/>
      <c r="O4134" s="5">
        <f>+M4134+N4134</f>
        <v/>
      </c>
      <c r="P4134" s="4" t="n"/>
      <c r="Q4134" s="87" t="n"/>
      <c r="R4134" s="5" t="n">
        <v>30</v>
      </c>
      <c r="S4134" s="2" t="n">
        <v>1</v>
      </c>
      <c r="T4134" s="3" t="inlineStr">
        <is>
          <t>CA42796IR</t>
        </is>
      </c>
      <c r="U4134" s="87" t="n">
        <v>46041</v>
      </c>
      <c r="V4134" s="3" t="inlineStr">
        <is>
          <t>1</t>
        </is>
      </c>
      <c r="W4134" s="108" t="n">
        <v>46041</v>
      </c>
      <c r="X4134" s="4" t="inlineStr">
        <is>
          <t>PHILIPPOS COSTANTINIDES TRADING CO. LTD</t>
        </is>
      </c>
    </row>
    <row r="4135" ht="24" customHeight="1">
      <c r="A4135" s="2">
        <f>+D4135-S4135</f>
        <v/>
      </c>
      <c r="B4135" s="126" t="n">
        <v>5723</v>
      </c>
      <c r="C4135" s="66" t="n">
        <v>46041</v>
      </c>
      <c r="D4135" s="2" t="n">
        <v>1</v>
      </c>
      <c r="E4135" s="3" t="inlineStr">
        <is>
          <t>FUCILE SEMIAUTOMATICO</t>
        </is>
      </c>
      <c r="F4135" s="3" t="n">
        <v>12</v>
      </c>
      <c r="G4135" s="84" t="inlineStr">
        <is>
          <t>BENELLI</t>
        </is>
      </c>
      <c r="H4135" s="107" t="n">
        <v>121</v>
      </c>
      <c r="I4135" s="107" t="inlineStr">
        <is>
          <t>135603</t>
        </is>
      </c>
      <c r="J4135" s="107" t="inlineStr">
        <is>
          <t>126746</t>
        </is>
      </c>
      <c r="K4135" s="65" t="inlineStr">
        <is>
          <t>N/D</t>
        </is>
      </c>
      <c r="L4135" s="127" t="inlineStr">
        <is>
          <t>ANTONIONI SPORT CACCIA E PESCA SRLS</t>
        </is>
      </c>
      <c r="M4135" s="5" t="n">
        <v>25.747</v>
      </c>
      <c r="N4135" s="5" t="n"/>
      <c r="O4135" s="5">
        <f>+M4135+N4135</f>
        <v/>
      </c>
      <c r="P4135" s="4" t="n"/>
      <c r="Q4135" s="87" t="n"/>
      <c r="R4135" s="5" t="n">
        <v>30</v>
      </c>
      <c r="S4135" s="2" t="n">
        <v>1</v>
      </c>
      <c r="T4135" s="3" t="inlineStr">
        <is>
          <t>CA42796IR</t>
        </is>
      </c>
      <c r="U4135" s="87" t="n">
        <v>46041</v>
      </c>
      <c r="V4135" s="3" t="inlineStr">
        <is>
          <t>1</t>
        </is>
      </c>
      <c r="W4135" s="108" t="n">
        <v>46041</v>
      </c>
      <c r="X4135" s="4" t="inlineStr">
        <is>
          <t>PHILIPPOS COSTANTINIDES TRADING CO. LTD</t>
        </is>
      </c>
    </row>
    <row r="4136" ht="24" customHeight="1">
      <c r="A4136" s="2">
        <f>+D4136-S4136</f>
        <v/>
      </c>
      <c r="B4136" s="126" t="n">
        <v>5724</v>
      </c>
      <c r="C4136" s="66" t="n">
        <v>46041</v>
      </c>
      <c r="D4136" s="2" t="n">
        <v>1</v>
      </c>
      <c r="E4136" s="3" t="inlineStr">
        <is>
          <t>FUCILE SEMIAUTOMATICO</t>
        </is>
      </c>
      <c r="F4136" s="3" t="n">
        <v>12</v>
      </c>
      <c r="G4136" s="84" t="inlineStr">
        <is>
          <t>FRANCHI</t>
        </is>
      </c>
      <c r="H4136" s="107" t="inlineStr">
        <is>
          <t>SILVER</t>
        </is>
      </c>
      <c r="I4136" s="107" t="inlineStr">
        <is>
          <t>D23546</t>
        </is>
      </c>
      <c r="J4136" s="107" t="inlineStr">
        <is>
          <t>BKF3120</t>
        </is>
      </c>
      <c r="K4136" s="65" t="inlineStr">
        <is>
          <t>N/D</t>
        </is>
      </c>
      <c r="L4136" s="127" t="inlineStr">
        <is>
          <t>ANTONIONI SPORT CACCIA E PESCA SRLS</t>
        </is>
      </c>
      <c r="M4136" s="5" t="n">
        <v>25.747</v>
      </c>
      <c r="N4136" s="5" t="n"/>
      <c r="O4136" s="5">
        <f>+M4136+N4136</f>
        <v/>
      </c>
      <c r="P4136" s="4" t="n"/>
      <c r="Q4136" s="87" t="n"/>
      <c r="R4136" s="5" t="n">
        <v>30</v>
      </c>
      <c r="S4136" s="2" t="n">
        <v>1</v>
      </c>
      <c r="T4136" s="3" t="inlineStr">
        <is>
          <t>CA42796IR</t>
        </is>
      </c>
      <c r="U4136" s="87" t="n">
        <v>46041</v>
      </c>
      <c r="V4136" s="3" t="inlineStr">
        <is>
          <t>1</t>
        </is>
      </c>
      <c r="W4136" s="108" t="n">
        <v>46041</v>
      </c>
      <c r="X4136" s="4" t="inlineStr">
        <is>
          <t>PHILIPPOS COSTANTINIDES TRADING CO. LTD</t>
        </is>
      </c>
    </row>
    <row r="4137" ht="24" customHeight="1">
      <c r="A4137" s="2">
        <f>+D4137-S4137</f>
        <v/>
      </c>
      <c r="B4137" s="126" t="n">
        <v>5725</v>
      </c>
      <c r="C4137" s="66" t="n">
        <v>46041</v>
      </c>
      <c r="D4137" s="2" t="n">
        <v>1</v>
      </c>
      <c r="E4137" s="3" t="inlineStr">
        <is>
          <t>FUCILE SEMIAUTOMATICO</t>
        </is>
      </c>
      <c r="F4137" s="3" t="n">
        <v>12</v>
      </c>
      <c r="G4137" s="84" t="inlineStr">
        <is>
          <t>FRANCHI</t>
        </is>
      </c>
      <c r="H4137" s="107" t="inlineStr">
        <is>
          <t>48 AL</t>
        </is>
      </c>
      <c r="I4137" s="107" t="inlineStr">
        <is>
          <t>634642</t>
        </is>
      </c>
      <c r="J4137" s="107" t="inlineStr">
        <is>
          <t>BBA3379</t>
        </is>
      </c>
      <c r="K4137" s="65" t="inlineStr">
        <is>
          <t>N/D</t>
        </is>
      </c>
      <c r="L4137" s="127" t="inlineStr">
        <is>
          <t>ANTONIONI SPORT CACCIA E PESCA SRLS</t>
        </is>
      </c>
      <c r="M4137" s="5" t="n">
        <v>25.747</v>
      </c>
      <c r="N4137" s="5" t="n"/>
      <c r="O4137" s="5">
        <f>+M4137+N4137</f>
        <v/>
      </c>
      <c r="P4137" s="4" t="n"/>
      <c r="Q4137" s="87" t="n"/>
      <c r="R4137" s="5" t="n">
        <v>30</v>
      </c>
      <c r="S4137" s="2" t="n">
        <v>1</v>
      </c>
      <c r="T4137" s="3" t="inlineStr">
        <is>
          <t>CA42796IR</t>
        </is>
      </c>
      <c r="U4137" s="87" t="n">
        <v>46041</v>
      </c>
      <c r="V4137" s="3" t="inlineStr">
        <is>
          <t>1</t>
        </is>
      </c>
      <c r="W4137" s="108" t="n">
        <v>46041</v>
      </c>
      <c r="X4137" s="4" t="inlineStr">
        <is>
          <t>PHILIPPOS COSTANTINIDES TRADING CO. LTD</t>
        </is>
      </c>
    </row>
    <row r="4138" ht="24" customHeight="1">
      <c r="A4138" s="2">
        <f>+D4138-S4138</f>
        <v/>
      </c>
      <c r="B4138" s="126" t="n">
        <v>5726</v>
      </c>
      <c r="C4138" s="66" t="n">
        <v>46041</v>
      </c>
      <c r="D4138" s="2" t="n">
        <v>1</v>
      </c>
      <c r="E4138" s="3" t="inlineStr">
        <is>
          <t>FUCILE SEMIAUTOMATICO</t>
        </is>
      </c>
      <c r="F4138" s="3" t="n">
        <v>12</v>
      </c>
      <c r="G4138" s="84" t="inlineStr">
        <is>
          <t>FRANCHI</t>
        </is>
      </c>
      <c r="H4138" s="107" t="inlineStr">
        <is>
          <t>48 AL</t>
        </is>
      </c>
      <c r="I4138" s="107" t="inlineStr">
        <is>
          <t>642071</t>
        </is>
      </c>
      <c r="J4138" s="107" t="inlineStr">
        <is>
          <t>BEA2963</t>
        </is>
      </c>
      <c r="K4138" s="65" t="inlineStr">
        <is>
          <t>N/D</t>
        </is>
      </c>
      <c r="L4138" s="127" t="inlineStr">
        <is>
          <t>ANTONIONI SPORT CACCIA E PESCA SRLS</t>
        </is>
      </c>
      <c r="M4138" s="5" t="n">
        <v>25.747</v>
      </c>
      <c r="N4138" s="5" t="n"/>
      <c r="O4138" s="5">
        <f>+M4138+N4138</f>
        <v/>
      </c>
      <c r="P4138" s="4" t="n"/>
      <c r="Q4138" s="87" t="n"/>
      <c r="R4138" s="5" t="n">
        <v>30</v>
      </c>
      <c r="S4138" s="2" t="n">
        <v>1</v>
      </c>
      <c r="T4138" s="3" t="inlineStr">
        <is>
          <t>CA42796IR</t>
        </is>
      </c>
      <c r="U4138" s="87" t="n">
        <v>46041</v>
      </c>
      <c r="V4138" s="3" t="inlineStr">
        <is>
          <t>1</t>
        </is>
      </c>
      <c r="W4138" s="108" t="n">
        <v>46041</v>
      </c>
      <c r="X4138" s="4" t="inlineStr">
        <is>
          <t>PHILIPPOS COSTANTINIDES TRADING CO. LTD</t>
        </is>
      </c>
    </row>
    <row r="4139" ht="24" customHeight="1">
      <c r="A4139" s="2">
        <f>+D4139-S4139</f>
        <v/>
      </c>
      <c r="B4139" s="126" t="n">
        <v>5727</v>
      </c>
      <c r="C4139" s="66" t="n">
        <v>46041</v>
      </c>
      <c r="D4139" s="2" t="n">
        <v>1</v>
      </c>
      <c r="E4139" s="3" t="inlineStr">
        <is>
          <t>FUCILE SEMIAUTOMATICO</t>
        </is>
      </c>
      <c r="F4139" s="3" t="n">
        <v>12</v>
      </c>
      <c r="G4139" s="84" t="inlineStr">
        <is>
          <t>FRANCHI</t>
        </is>
      </c>
      <c r="H4139" s="107" t="inlineStr">
        <is>
          <t>48 AL</t>
        </is>
      </c>
      <c r="I4139" s="107" t="inlineStr">
        <is>
          <t>625290</t>
        </is>
      </c>
      <c r="J4139" s="107" t="inlineStr">
        <is>
          <t>987888</t>
        </is>
      </c>
      <c r="K4139" s="65" t="inlineStr">
        <is>
          <t>N/D</t>
        </is>
      </c>
      <c r="L4139" s="127" t="inlineStr">
        <is>
          <t>ANTONIONI SPORT CACCIA E PESCA SRLS</t>
        </is>
      </c>
      <c r="M4139" s="5" t="n">
        <v>25.747</v>
      </c>
      <c r="N4139" s="5" t="n"/>
      <c r="O4139" s="5">
        <f>+M4139+N4139</f>
        <v/>
      </c>
      <c r="P4139" s="4" t="n"/>
      <c r="Q4139" s="87" t="n"/>
      <c r="R4139" s="5" t="n">
        <v>30</v>
      </c>
      <c r="S4139" s="2" t="n">
        <v>1</v>
      </c>
      <c r="T4139" s="3" t="inlineStr">
        <is>
          <t>CA42796IR</t>
        </is>
      </c>
      <c r="U4139" s="87" t="n">
        <v>46041</v>
      </c>
      <c r="V4139" s="3" t="inlineStr">
        <is>
          <t>1</t>
        </is>
      </c>
      <c r="W4139" s="108" t="n">
        <v>46041</v>
      </c>
      <c r="X4139" s="4" t="inlineStr">
        <is>
          <t>PHILIPPOS COSTANTINIDES TRADING CO. LTD</t>
        </is>
      </c>
    </row>
    <row r="4140" ht="24" customHeight="1">
      <c r="A4140" s="2">
        <f>+D4140-S4140</f>
        <v/>
      </c>
      <c r="B4140" s="126" t="n">
        <v>5728</v>
      </c>
      <c r="C4140" s="66" t="n">
        <v>46041</v>
      </c>
      <c r="D4140" s="2" t="n">
        <v>1</v>
      </c>
      <c r="E4140" s="3" t="inlineStr">
        <is>
          <t>FUCILE SEMIAUTOMATICO</t>
        </is>
      </c>
      <c r="F4140" s="3" t="n">
        <v>12</v>
      </c>
      <c r="G4140" s="84" t="inlineStr">
        <is>
          <t>FRANCHI</t>
        </is>
      </c>
      <c r="H4140" s="107" t="inlineStr">
        <is>
          <t>48 AL</t>
        </is>
      </c>
      <c r="I4140" s="107" t="inlineStr">
        <is>
          <t>B94130</t>
        </is>
      </c>
      <c r="J4140" s="107" t="inlineStr">
        <is>
          <t>BLA0024</t>
        </is>
      </c>
      <c r="K4140" s="65" t="inlineStr">
        <is>
          <t>N/D</t>
        </is>
      </c>
      <c r="L4140" s="127" t="inlineStr">
        <is>
          <t>ANTONIONI SPORT CACCIA E PESCA SRLS</t>
        </is>
      </c>
      <c r="M4140" s="5" t="n">
        <v>25.747</v>
      </c>
      <c r="N4140" s="5" t="n"/>
      <c r="O4140" s="5">
        <f>+M4140+N4140</f>
        <v/>
      </c>
      <c r="P4140" s="4" t="n"/>
      <c r="Q4140" s="87" t="n"/>
      <c r="R4140" s="5" t="n">
        <v>30</v>
      </c>
      <c r="S4140" s="2" t="n">
        <v>1</v>
      </c>
      <c r="T4140" s="3" t="inlineStr">
        <is>
          <t>CA42796IR</t>
        </is>
      </c>
      <c r="U4140" s="87" t="n">
        <v>46041</v>
      </c>
      <c r="V4140" s="3" t="inlineStr">
        <is>
          <t>1</t>
        </is>
      </c>
      <c r="W4140" s="108" t="n">
        <v>46041</v>
      </c>
      <c r="X4140" s="4" t="inlineStr">
        <is>
          <t>PHILIPPOS COSTANTINIDES TRADING CO. LTD</t>
        </is>
      </c>
    </row>
    <row r="4141" ht="24" customHeight="1">
      <c r="A4141" s="2">
        <f>+D4141-S4141</f>
        <v/>
      </c>
      <c r="B4141" s="126" t="n">
        <v>5729</v>
      </c>
      <c r="C4141" s="66" t="n">
        <v>46041</v>
      </c>
      <c r="D4141" s="2" t="n">
        <v>1</v>
      </c>
      <c r="E4141" s="3" t="inlineStr">
        <is>
          <t>FUCILE SEMIAUTOMATICO</t>
        </is>
      </c>
      <c r="F4141" s="3" t="n">
        <v>12</v>
      </c>
      <c r="G4141" s="84" t="inlineStr">
        <is>
          <t>FRANCHI</t>
        </is>
      </c>
      <c r="H4141" s="107" t="inlineStr">
        <is>
          <t>ASSO</t>
        </is>
      </c>
      <c r="I4141" s="107" t="inlineStr">
        <is>
          <t>02856A</t>
        </is>
      </c>
      <c r="J4141" s="107" t="inlineStr">
        <is>
          <t>ZMF0545</t>
        </is>
      </c>
      <c r="K4141" s="65" t="inlineStr">
        <is>
          <t>N/D</t>
        </is>
      </c>
      <c r="L4141" s="127" t="inlineStr">
        <is>
          <t>ANTONIONI SPORT CACCIA E PESCA SRLS</t>
        </is>
      </c>
      <c r="M4141" s="5" t="n">
        <v>25.747</v>
      </c>
      <c r="N4141" s="5" t="n"/>
      <c r="O4141" s="5">
        <f>+M4141+N4141</f>
        <v/>
      </c>
      <c r="P4141" s="4" t="n"/>
      <c r="Q4141" s="87" t="n"/>
      <c r="R4141" s="5" t="n">
        <v>30</v>
      </c>
      <c r="S4141" s="2" t="n">
        <v>1</v>
      </c>
      <c r="T4141" s="3" t="inlineStr">
        <is>
          <t>CA42796IR</t>
        </is>
      </c>
      <c r="U4141" s="87" t="n">
        <v>46041</v>
      </c>
      <c r="V4141" s="3" t="inlineStr">
        <is>
          <t>1</t>
        </is>
      </c>
      <c r="W4141" s="108" t="n">
        <v>46041</v>
      </c>
      <c r="X4141" s="4" t="inlineStr">
        <is>
          <t>PHILIPPOS COSTANTINIDES TRADING CO. LTD</t>
        </is>
      </c>
    </row>
    <row r="4142" ht="24" customHeight="1">
      <c r="A4142" s="2">
        <f>+D4142-S4142</f>
        <v/>
      </c>
      <c r="B4142" s="126" t="n">
        <v>5730</v>
      </c>
      <c r="C4142" s="66" t="n">
        <v>46041</v>
      </c>
      <c r="D4142" s="2" t="n">
        <v>1</v>
      </c>
      <c r="E4142" s="3" t="inlineStr">
        <is>
          <t>FUCILE SEMIAUTOMATICO</t>
        </is>
      </c>
      <c r="F4142" s="3" t="n">
        <v>12</v>
      </c>
      <c r="G4142" s="84" t="inlineStr">
        <is>
          <t>BREDA</t>
        </is>
      </c>
      <c r="H4142" s="107" t="inlineStr">
        <is>
          <t>ERMES 2000L</t>
        </is>
      </c>
      <c r="I4142" s="107" t="inlineStr">
        <is>
          <t>K000351</t>
        </is>
      </c>
      <c r="J4142" s="107" t="inlineStr">
        <is>
          <t>L020780</t>
        </is>
      </c>
      <c r="K4142" s="65" t="inlineStr">
        <is>
          <t>N/D</t>
        </is>
      </c>
      <c r="L4142" s="127" t="inlineStr">
        <is>
          <t>ANTONIONI SPORT CACCIA E PESCA SRLS</t>
        </is>
      </c>
      <c r="M4142" s="5" t="n">
        <v>25.747</v>
      </c>
      <c r="N4142" s="5" t="n"/>
      <c r="O4142" s="5">
        <f>+M4142+N4142</f>
        <v/>
      </c>
      <c r="P4142" s="4" t="n"/>
      <c r="Q4142" s="87" t="n"/>
      <c r="R4142" s="5" t="n">
        <v>30</v>
      </c>
      <c r="S4142" s="2" t="n">
        <v>1</v>
      </c>
      <c r="T4142" s="3" t="inlineStr">
        <is>
          <t>CA42796IR</t>
        </is>
      </c>
      <c r="U4142" s="87" t="n">
        <v>46041</v>
      </c>
      <c r="V4142" s="3" t="inlineStr">
        <is>
          <t>1</t>
        </is>
      </c>
      <c r="W4142" s="108" t="n">
        <v>46041</v>
      </c>
      <c r="X4142" s="4" t="inlineStr">
        <is>
          <t>PHILIPPOS COSTANTINIDES TRADING CO. LTD</t>
        </is>
      </c>
    </row>
    <row r="4143" ht="24" customHeight="1">
      <c r="A4143" s="2">
        <f>+D4143-S4143</f>
        <v/>
      </c>
      <c r="B4143" s="126" t="n">
        <v>5731</v>
      </c>
      <c r="C4143" s="66" t="n">
        <v>46041</v>
      </c>
      <c r="D4143" s="2" t="n">
        <v>1</v>
      </c>
      <c r="E4143" s="3" t="inlineStr">
        <is>
          <t>FUCILE SEMIAUTOMATICO</t>
        </is>
      </c>
      <c r="F4143" s="3" t="n">
        <v>20</v>
      </c>
      <c r="G4143" s="84" t="inlineStr">
        <is>
          <t>FRANCHI</t>
        </is>
      </c>
      <c r="H4143" s="107" t="inlineStr">
        <is>
          <t>48 AL</t>
        </is>
      </c>
      <c r="I4143" s="107" t="inlineStr">
        <is>
          <t>67051</t>
        </is>
      </c>
      <c r="J4143" s="107" t="inlineStr">
        <is>
          <t>405691</t>
        </is>
      </c>
      <c r="K4143" s="65" t="inlineStr">
        <is>
          <t>N/D</t>
        </is>
      </c>
      <c r="L4143" s="127" t="inlineStr">
        <is>
          <t>ANTONIONI SPORT CACCIA E PESCA SRLS</t>
        </is>
      </c>
      <c r="M4143" s="5" t="n">
        <v>25.747</v>
      </c>
      <c r="N4143" s="5" t="n"/>
      <c r="O4143" s="5">
        <f>+M4143+N4143</f>
        <v/>
      </c>
      <c r="P4143" s="4" t="n"/>
      <c r="Q4143" s="87" t="n"/>
      <c r="R4143" s="5" t="n">
        <v>30</v>
      </c>
      <c r="S4143" s="2" t="n">
        <v>1</v>
      </c>
      <c r="T4143" s="3" t="inlineStr">
        <is>
          <t>CA42796IR</t>
        </is>
      </c>
      <c r="U4143" s="87" t="n">
        <v>46041</v>
      </c>
      <c r="V4143" s="3" t="inlineStr">
        <is>
          <t>1</t>
        </is>
      </c>
      <c r="W4143" s="108" t="n">
        <v>46041</v>
      </c>
      <c r="X4143" s="4" t="inlineStr">
        <is>
          <t>PHILIPPOS COSTANTINIDES TRADING CO. LTD</t>
        </is>
      </c>
    </row>
    <row r="4144" ht="24" customHeight="1">
      <c r="A4144" s="2">
        <f>+D4144-S4144</f>
        <v/>
      </c>
      <c r="B4144" s="126" t="n">
        <v>5732</v>
      </c>
      <c r="C4144" s="66" t="n">
        <v>46041</v>
      </c>
      <c r="D4144" s="2" t="n">
        <v>1</v>
      </c>
      <c r="E4144" s="3" t="inlineStr">
        <is>
          <t>FUCILE SEMIAUTOMATICO</t>
        </is>
      </c>
      <c r="F4144" s="3" t="n">
        <v>20</v>
      </c>
      <c r="G4144" s="84" t="inlineStr">
        <is>
          <t>FRANCHI</t>
        </is>
      </c>
      <c r="H4144" s="107" t="inlineStr">
        <is>
          <t>48 AL</t>
        </is>
      </c>
      <c r="I4144" s="107" t="inlineStr">
        <is>
          <t>C14509</t>
        </is>
      </c>
      <c r="J4144" s="107" t="inlineStr">
        <is>
          <t>467202</t>
        </is>
      </c>
      <c r="K4144" s="65" t="inlineStr">
        <is>
          <t>N/D</t>
        </is>
      </c>
      <c r="L4144" s="127" t="inlineStr">
        <is>
          <t>ANTONIONI SPORT CACCIA E PESCA SRLS</t>
        </is>
      </c>
      <c r="M4144" s="5" t="n">
        <v>25.747</v>
      </c>
      <c r="N4144" s="5" t="n"/>
      <c r="O4144" s="5">
        <f>+M4144+N4144</f>
        <v/>
      </c>
      <c r="P4144" s="4" t="n"/>
      <c r="Q4144" s="87" t="n"/>
      <c r="R4144" s="5" t="n">
        <v>30</v>
      </c>
      <c r="S4144" s="2" t="n">
        <v>1</v>
      </c>
      <c r="T4144" s="3" t="inlineStr">
        <is>
          <t>CA42796IR</t>
        </is>
      </c>
      <c r="U4144" s="87" t="n">
        <v>46041</v>
      </c>
      <c r="V4144" s="3" t="inlineStr">
        <is>
          <t>1</t>
        </is>
      </c>
      <c r="W4144" s="108" t="n">
        <v>46041</v>
      </c>
      <c r="X4144" s="4" t="inlineStr">
        <is>
          <t>PHILIPPOS COSTANTINIDES TRADING CO. LTD</t>
        </is>
      </c>
    </row>
    <row r="4145" ht="24" customHeight="1">
      <c r="A4145" s="2">
        <f>+D4145-S4145</f>
        <v/>
      </c>
      <c r="B4145" s="126" t="n">
        <v>5733</v>
      </c>
      <c r="C4145" s="66" t="n">
        <v>46041</v>
      </c>
      <c r="D4145" s="2" t="n">
        <v>1</v>
      </c>
      <c r="E4145" s="3" t="inlineStr">
        <is>
          <t>FUCILE SEMIAUTOMATICO</t>
        </is>
      </c>
      <c r="F4145" s="3" t="n">
        <v>12</v>
      </c>
      <c r="G4145" s="84" t="inlineStr">
        <is>
          <t>FRANCHI</t>
        </is>
      </c>
      <c r="H4145" s="107" t="inlineStr">
        <is>
          <t>48 AL</t>
        </is>
      </c>
      <c r="I4145" s="107" t="inlineStr">
        <is>
          <t>626604</t>
        </is>
      </c>
      <c r="J4145" s="107" t="inlineStr">
        <is>
          <t>990695</t>
        </is>
      </c>
      <c r="K4145" s="65" t="inlineStr">
        <is>
          <t>N/D</t>
        </is>
      </c>
      <c r="L4145" s="127" t="inlineStr">
        <is>
          <t>ANTONIONI SPORT CACCIA E PESCA SRLS</t>
        </is>
      </c>
      <c r="M4145" s="5" t="n">
        <v>25.747</v>
      </c>
      <c r="N4145" s="5" t="n"/>
      <c r="O4145" s="5">
        <f>+M4145+N4145</f>
        <v/>
      </c>
      <c r="P4145" s="4" t="n"/>
      <c r="Q4145" s="87" t="n"/>
      <c r="R4145" s="5" t="n">
        <v>30</v>
      </c>
      <c r="S4145" s="2" t="n">
        <v>1</v>
      </c>
      <c r="T4145" s="3" t="inlineStr">
        <is>
          <t>CA42796IR</t>
        </is>
      </c>
      <c r="U4145" s="87" t="n">
        <v>46041</v>
      </c>
      <c r="V4145" s="3" t="inlineStr">
        <is>
          <t>1</t>
        </is>
      </c>
      <c r="W4145" s="108" t="n">
        <v>46041</v>
      </c>
      <c r="X4145" s="4" t="inlineStr">
        <is>
          <t>PHILIPPOS COSTANTINIDES TRADING CO. LTD</t>
        </is>
      </c>
    </row>
    <row r="4146" ht="24" customHeight="1">
      <c r="A4146" s="2">
        <f>+D4146-S4146</f>
        <v/>
      </c>
      <c r="B4146" s="126" t="n">
        <v>5734</v>
      </c>
      <c r="C4146" s="66" t="n">
        <v>46041</v>
      </c>
      <c r="D4146" s="2" t="n">
        <v>1</v>
      </c>
      <c r="E4146" s="3" t="inlineStr">
        <is>
          <t>FUCILE SEMIAUTOMATICO</t>
        </is>
      </c>
      <c r="F4146" s="3" t="n">
        <v>12</v>
      </c>
      <c r="G4146" s="84" t="inlineStr">
        <is>
          <t>FRANCHI</t>
        </is>
      </c>
      <c r="H4146" s="107" t="inlineStr">
        <is>
          <t>48 AL</t>
        </is>
      </c>
      <c r="I4146" s="107" t="inlineStr">
        <is>
          <t>610175</t>
        </is>
      </c>
      <c r="J4146" s="107" t="inlineStr">
        <is>
          <t>899484</t>
        </is>
      </c>
      <c r="K4146" s="65" t="inlineStr">
        <is>
          <t>N/D</t>
        </is>
      </c>
      <c r="L4146" s="127" t="inlineStr">
        <is>
          <t>ANTONIONI SPORT CACCIA E PESCA SRLS</t>
        </is>
      </c>
      <c r="M4146" s="5" t="n">
        <v>25.747</v>
      </c>
      <c r="N4146" s="5" t="n"/>
      <c r="O4146" s="5">
        <f>+M4146+N4146</f>
        <v/>
      </c>
      <c r="P4146" s="4" t="n"/>
      <c r="Q4146" s="87" t="n"/>
      <c r="R4146" s="5" t="n">
        <v>30</v>
      </c>
      <c r="S4146" s="2" t="n">
        <v>1</v>
      </c>
      <c r="T4146" s="3" t="inlineStr">
        <is>
          <t>CA42796IR</t>
        </is>
      </c>
      <c r="U4146" s="87" t="n">
        <v>46041</v>
      </c>
      <c r="V4146" s="3" t="inlineStr">
        <is>
          <t>1</t>
        </is>
      </c>
      <c r="W4146" s="108" t="n">
        <v>46041</v>
      </c>
      <c r="X4146" s="4" t="inlineStr">
        <is>
          <t>PHILIPPOS COSTANTINIDES TRADING CO. LTD</t>
        </is>
      </c>
    </row>
    <row r="4147" ht="24" customHeight="1">
      <c r="A4147" s="2">
        <f>+D4147-S4147</f>
        <v/>
      </c>
      <c r="B4147" s="126" t="n">
        <v>5735</v>
      </c>
      <c r="C4147" s="66" t="n">
        <v>46041</v>
      </c>
      <c r="D4147" s="2" t="n">
        <v>1</v>
      </c>
      <c r="E4147" s="3" t="inlineStr">
        <is>
          <t>FUCILE SEMIAUTOMATICO</t>
        </is>
      </c>
      <c r="F4147" s="3" t="n">
        <v>12</v>
      </c>
      <c r="G4147" s="84" t="inlineStr">
        <is>
          <t>BENELLI</t>
        </is>
      </c>
      <c r="H4147" s="107" t="n">
        <v>121</v>
      </c>
      <c r="I4147" s="107" t="inlineStr">
        <is>
          <t>A67931</t>
        </is>
      </c>
      <c r="J4147" s="107" t="inlineStr">
        <is>
          <t>A72964</t>
        </is>
      </c>
      <c r="K4147" s="65" t="inlineStr">
        <is>
          <t>N/D</t>
        </is>
      </c>
      <c r="L4147" s="127" t="inlineStr">
        <is>
          <t>ANTONIONI SPORT CACCIA E PESCA SRLS</t>
        </is>
      </c>
      <c r="M4147" s="5" t="n">
        <v>25.747</v>
      </c>
      <c r="N4147" s="5" t="n"/>
      <c r="O4147" s="5">
        <f>+M4147+N4147</f>
        <v/>
      </c>
      <c r="P4147" s="4" t="n"/>
      <c r="Q4147" s="87" t="n"/>
      <c r="R4147" s="5" t="n">
        <v>30</v>
      </c>
      <c r="S4147" s="2" t="n">
        <v>1</v>
      </c>
      <c r="T4147" s="3" t="inlineStr">
        <is>
          <t>CA42796IR</t>
        </is>
      </c>
      <c r="U4147" s="87" t="n">
        <v>46041</v>
      </c>
      <c r="V4147" s="3" t="inlineStr">
        <is>
          <t>1</t>
        </is>
      </c>
      <c r="W4147" s="108" t="n">
        <v>46041</v>
      </c>
      <c r="X4147" s="4" t="inlineStr">
        <is>
          <t>PHILIPPOS COSTANTINIDES TRADING CO. LTD</t>
        </is>
      </c>
    </row>
    <row r="4148" ht="24" customHeight="1">
      <c r="A4148" s="2">
        <f>+D4148-S4148</f>
        <v/>
      </c>
      <c r="B4148" s="126" t="n">
        <v>5736</v>
      </c>
      <c r="C4148" s="66" t="n">
        <v>46041</v>
      </c>
      <c r="D4148" s="2" t="n">
        <v>1</v>
      </c>
      <c r="E4148" s="3" t="inlineStr">
        <is>
          <t>FUCILE SEMIAUTOMATICO</t>
        </is>
      </c>
      <c r="F4148" s="3" t="n">
        <v>12</v>
      </c>
      <c r="G4148" s="84" t="inlineStr">
        <is>
          <t>BENELLI</t>
        </is>
      </c>
      <c r="H4148" s="107" t="inlineStr">
        <is>
          <t>RAFFAELLO 121</t>
        </is>
      </c>
      <c r="I4148" s="107" t="inlineStr">
        <is>
          <t>F027123</t>
        </is>
      </c>
      <c r="J4148" s="107" t="inlineStr">
        <is>
          <t>C133835</t>
        </is>
      </c>
      <c r="K4148" s="65" t="inlineStr">
        <is>
          <t>N/D</t>
        </is>
      </c>
      <c r="L4148" s="127" t="inlineStr">
        <is>
          <t>ANTONIONI SPORT CACCIA E PESCA SRLS</t>
        </is>
      </c>
      <c r="M4148" s="5" t="n">
        <v>25.747</v>
      </c>
      <c r="N4148" s="5" t="n"/>
      <c r="O4148" s="5">
        <f>+M4148+N4148</f>
        <v/>
      </c>
      <c r="P4148" s="4" t="n"/>
      <c r="Q4148" s="87" t="n"/>
      <c r="R4148" s="5" t="n">
        <v>30</v>
      </c>
      <c r="S4148" s="2" t="n">
        <v>1</v>
      </c>
      <c r="T4148" s="3" t="inlineStr">
        <is>
          <t>CA42796IR</t>
        </is>
      </c>
      <c r="U4148" s="87" t="n">
        <v>46041</v>
      </c>
      <c r="V4148" s="3" t="inlineStr">
        <is>
          <t>1</t>
        </is>
      </c>
      <c r="W4148" s="108" t="n">
        <v>46041</v>
      </c>
      <c r="X4148" s="4" t="inlineStr">
        <is>
          <t>PHILIPPOS COSTANTINIDES TRADING CO. LTD</t>
        </is>
      </c>
    </row>
    <row r="4149" ht="24" customHeight="1">
      <c r="A4149" s="2">
        <f>+D4149-S4149</f>
        <v/>
      </c>
      <c r="B4149" s="126" t="n">
        <v>5737</v>
      </c>
      <c r="C4149" s="66" t="n">
        <v>46041</v>
      </c>
      <c r="D4149" s="2" t="n">
        <v>1</v>
      </c>
      <c r="E4149" s="3" t="inlineStr">
        <is>
          <t>FUCILE SEMIAUTOMATICO</t>
        </is>
      </c>
      <c r="F4149" s="3" t="n">
        <v>12</v>
      </c>
      <c r="G4149" s="84" t="inlineStr">
        <is>
          <t>FRANCHI</t>
        </is>
      </c>
      <c r="H4149" s="107" t="inlineStr">
        <is>
          <t>48 AL</t>
        </is>
      </c>
      <c r="I4149" s="107" t="inlineStr">
        <is>
          <t>D21041</t>
        </is>
      </c>
      <c r="J4149" s="107" t="inlineStr">
        <is>
          <t>CFA0849</t>
        </is>
      </c>
      <c r="K4149" s="65" t="inlineStr">
        <is>
          <t>N/D</t>
        </is>
      </c>
      <c r="L4149" s="127" t="inlineStr">
        <is>
          <t>ANTONIONI SPORT CACCIA E PESCA SRLS</t>
        </is>
      </c>
      <c r="M4149" s="5" t="n">
        <v>25.747</v>
      </c>
      <c r="N4149" s="5" t="n"/>
      <c r="O4149" s="5">
        <f>+M4149+N4149</f>
        <v/>
      </c>
      <c r="P4149" s="4" t="n"/>
      <c r="Q4149" s="87" t="n"/>
      <c r="R4149" s="5" t="n">
        <v>30</v>
      </c>
      <c r="S4149" s="2" t="n">
        <v>1</v>
      </c>
      <c r="T4149" s="3" t="inlineStr">
        <is>
          <t>CA42796IR</t>
        </is>
      </c>
      <c r="U4149" s="87" t="n">
        <v>46041</v>
      </c>
      <c r="V4149" s="3" t="inlineStr">
        <is>
          <t>1</t>
        </is>
      </c>
      <c r="W4149" s="108" t="n">
        <v>46041</v>
      </c>
      <c r="X4149" s="4" t="inlineStr">
        <is>
          <t>PHILIPPOS COSTANTINIDES TRADING CO. LTD</t>
        </is>
      </c>
    </row>
    <row r="4150" ht="24" customHeight="1">
      <c r="A4150" s="2">
        <f>+D4150-S4150</f>
        <v/>
      </c>
      <c r="B4150" s="126" t="n">
        <v>5738</v>
      </c>
      <c r="C4150" s="66" t="n">
        <v>46041</v>
      </c>
      <c r="D4150" s="2" t="n">
        <v>1</v>
      </c>
      <c r="E4150" s="3" t="inlineStr">
        <is>
          <t>FUCILE SEMIAUTOMATICO</t>
        </is>
      </c>
      <c r="F4150" s="3" t="n">
        <v>12</v>
      </c>
      <c r="G4150" s="84" t="inlineStr">
        <is>
          <t>FRANCHI</t>
        </is>
      </c>
      <c r="H4150" s="107" t="n">
        <v>520</v>
      </c>
      <c r="I4150" s="107" t="inlineStr">
        <is>
          <t>M06520</t>
        </is>
      </c>
      <c r="J4150" s="107" t="inlineStr">
        <is>
          <t>ELL0281</t>
        </is>
      </c>
      <c r="K4150" s="65" t="inlineStr">
        <is>
          <t>N/D</t>
        </is>
      </c>
      <c r="L4150" s="127" t="inlineStr">
        <is>
          <t>ANTONIONI SPORT CACCIA E PESCA SRLS</t>
        </is>
      </c>
      <c r="M4150" s="5" t="n">
        <v>25.747</v>
      </c>
      <c r="N4150" s="5" t="n"/>
      <c r="O4150" s="5">
        <f>+M4150+N4150</f>
        <v/>
      </c>
      <c r="P4150" s="4" t="n"/>
      <c r="Q4150" s="87" t="n"/>
      <c r="R4150" s="5" t="n">
        <v>30</v>
      </c>
      <c r="S4150" s="2" t="n">
        <v>1</v>
      </c>
      <c r="T4150" s="3" t="inlineStr">
        <is>
          <t>CA42796IR</t>
        </is>
      </c>
      <c r="U4150" s="87" t="n">
        <v>46041</v>
      </c>
      <c r="V4150" s="3" t="inlineStr">
        <is>
          <t>1</t>
        </is>
      </c>
      <c r="W4150" s="108" t="n">
        <v>46041</v>
      </c>
      <c r="X4150" s="4" t="inlineStr">
        <is>
          <t>PHILIPPOS COSTANTINIDES TRADING CO. LTD</t>
        </is>
      </c>
    </row>
    <row r="4151" ht="24" customHeight="1">
      <c r="A4151" s="2">
        <f>+D4151-S4151</f>
        <v/>
      </c>
      <c r="B4151" s="126" t="n">
        <v>5739</v>
      </c>
      <c r="C4151" s="66" t="n">
        <v>46041</v>
      </c>
      <c r="D4151" s="2" t="n">
        <v>1</v>
      </c>
      <c r="E4151" s="3" t="inlineStr">
        <is>
          <t>FUCILE SEMIAUTOMATICO</t>
        </is>
      </c>
      <c r="F4151" s="3" t="n">
        <v>12</v>
      </c>
      <c r="G4151" s="84" t="inlineStr">
        <is>
          <t>BERNARDELLI</t>
        </is>
      </c>
      <c r="H4151" s="107" t="inlineStr">
        <is>
          <t>LEVRIERO</t>
        </is>
      </c>
      <c r="I4151" s="107" t="inlineStr">
        <is>
          <t>A12912</t>
        </is>
      </c>
      <c r="J4151" s="107" t="inlineStr">
        <is>
          <t>C21037</t>
        </is>
      </c>
      <c r="K4151" s="65" t="inlineStr">
        <is>
          <t>N/D</t>
        </is>
      </c>
      <c r="L4151" s="127" t="inlineStr">
        <is>
          <t>ANTONIONI SPORT CACCIA E PESCA SRLS</t>
        </is>
      </c>
      <c r="M4151" s="5" t="n">
        <v>25.747</v>
      </c>
      <c r="N4151" s="5" t="n"/>
      <c r="O4151" s="5">
        <f>+M4151+N4151</f>
        <v/>
      </c>
      <c r="P4151" s="4" t="n"/>
      <c r="Q4151" s="87" t="n"/>
      <c r="R4151" s="5" t="n">
        <v>30</v>
      </c>
      <c r="S4151" s="2" t="n">
        <v>1</v>
      </c>
      <c r="T4151" s="3" t="inlineStr">
        <is>
          <t>CA42796IR</t>
        </is>
      </c>
      <c r="U4151" s="87" t="n">
        <v>46041</v>
      </c>
      <c r="V4151" s="3" t="inlineStr">
        <is>
          <t>1</t>
        </is>
      </c>
      <c r="W4151" s="108" t="n">
        <v>46041</v>
      </c>
      <c r="X4151" s="4" t="inlineStr">
        <is>
          <t>PHILIPPOS COSTANTINIDES TRADING CO. LTD</t>
        </is>
      </c>
    </row>
    <row r="4152" ht="24" customHeight="1">
      <c r="A4152" s="2">
        <f>+D4152-S4152</f>
        <v/>
      </c>
      <c r="B4152" s="126" t="n">
        <v>5740</v>
      </c>
      <c r="C4152" s="66" t="n">
        <v>46041</v>
      </c>
      <c r="D4152" s="2" t="n">
        <v>1</v>
      </c>
      <c r="E4152" s="3" t="inlineStr">
        <is>
          <t>FUCILE SEMIAUTOMATICO</t>
        </is>
      </c>
      <c r="F4152" s="3" t="n">
        <v>12</v>
      </c>
      <c r="G4152" s="84" t="inlineStr">
        <is>
          <t>FRANCHI</t>
        </is>
      </c>
      <c r="H4152" s="107" t="inlineStr">
        <is>
          <t>612 LIGHT</t>
        </is>
      </c>
      <c r="I4152" s="107" t="inlineStr">
        <is>
          <t>AH29243</t>
        </is>
      </c>
      <c r="J4152" s="107" t="inlineStr">
        <is>
          <t>FP19445</t>
        </is>
      </c>
      <c r="K4152" s="65" t="inlineStr">
        <is>
          <t>N/D</t>
        </is>
      </c>
      <c r="L4152" s="127" t="inlineStr">
        <is>
          <t>ANTONIONI SPORT CACCIA E PESCA SRLS</t>
        </is>
      </c>
      <c r="M4152" s="5" t="n">
        <v>25.747</v>
      </c>
      <c r="N4152" s="5" t="n"/>
      <c r="O4152" s="5">
        <f>+M4152+N4152</f>
        <v/>
      </c>
      <c r="P4152" s="4" t="n"/>
      <c r="Q4152" s="87" t="n"/>
      <c r="R4152" s="5" t="n">
        <v>30</v>
      </c>
      <c r="S4152" s="2" t="n">
        <v>1</v>
      </c>
      <c r="T4152" s="3" t="inlineStr">
        <is>
          <t>CA42796IR</t>
        </is>
      </c>
      <c r="U4152" s="87" t="n">
        <v>46041</v>
      </c>
      <c r="V4152" s="3" t="inlineStr">
        <is>
          <t>1</t>
        </is>
      </c>
      <c r="W4152" s="108" t="n">
        <v>46041</v>
      </c>
      <c r="X4152" s="4" t="inlineStr">
        <is>
          <t>PHILIPPOS COSTANTINIDES TRADING CO. LTD</t>
        </is>
      </c>
    </row>
    <row r="4153" ht="24" customHeight="1">
      <c r="A4153" s="2">
        <f>+D4153-S4153</f>
        <v/>
      </c>
      <c r="B4153" s="126" t="n">
        <v>5741</v>
      </c>
      <c r="C4153" s="66" t="n">
        <v>46041</v>
      </c>
      <c r="D4153" s="2" t="n">
        <v>1</v>
      </c>
      <c r="E4153" s="3" t="inlineStr">
        <is>
          <t>FUCILE SEMIAUTOMATICO</t>
        </is>
      </c>
      <c r="F4153" s="3" t="n">
        <v>12</v>
      </c>
      <c r="G4153" s="84" t="inlineStr">
        <is>
          <t>BREDA</t>
        </is>
      </c>
      <c r="H4153" s="107" t="inlineStr">
        <is>
          <t>LR</t>
        </is>
      </c>
      <c r="I4153" s="107" t="inlineStr">
        <is>
          <t>134923</t>
        </is>
      </c>
      <c r="J4153" s="107" t="inlineStr">
        <is>
          <t>BV202005</t>
        </is>
      </c>
      <c r="K4153" s="65" t="inlineStr">
        <is>
          <t>N/D</t>
        </is>
      </c>
      <c r="L4153" s="127" t="inlineStr">
        <is>
          <t>ANTONIONI SPORT CACCIA E PESCA SRLS</t>
        </is>
      </c>
      <c r="M4153" s="5" t="n">
        <v>25.747</v>
      </c>
      <c r="N4153" s="5" t="n"/>
      <c r="O4153" s="5">
        <f>+M4153+N4153</f>
        <v/>
      </c>
      <c r="P4153" s="4" t="n"/>
      <c r="Q4153" s="87" t="n"/>
      <c r="R4153" s="5" t="n">
        <v>30</v>
      </c>
      <c r="S4153" s="2" t="n">
        <v>1</v>
      </c>
      <c r="T4153" s="3" t="inlineStr">
        <is>
          <t>CA42796IR</t>
        </is>
      </c>
      <c r="U4153" s="87" t="n">
        <v>46041</v>
      </c>
      <c r="V4153" s="3" t="inlineStr">
        <is>
          <t>1</t>
        </is>
      </c>
      <c r="W4153" s="108" t="n">
        <v>46041</v>
      </c>
      <c r="X4153" s="4" t="inlineStr">
        <is>
          <t>PHILIPPOS COSTANTINIDES TRADING CO. LTD</t>
        </is>
      </c>
    </row>
    <row r="4154" ht="24" customHeight="1">
      <c r="A4154" s="2">
        <f>+D4154-S4154</f>
        <v/>
      </c>
      <c r="B4154" s="126" t="n">
        <v>5742</v>
      </c>
      <c r="C4154" s="66" t="n">
        <v>46041</v>
      </c>
      <c r="D4154" s="2" t="n">
        <v>1</v>
      </c>
      <c r="E4154" s="3" t="inlineStr">
        <is>
          <t>FUCILE SEMIAUTOMATICO</t>
        </is>
      </c>
      <c r="F4154" s="3" t="n">
        <v>12</v>
      </c>
      <c r="G4154" s="84" t="inlineStr">
        <is>
          <t>FRANCHI</t>
        </is>
      </c>
      <c r="H4154" s="107" t="inlineStr">
        <is>
          <t>48 AL</t>
        </is>
      </c>
      <c r="I4154" s="107" t="inlineStr">
        <is>
          <t>619799</t>
        </is>
      </c>
      <c r="J4154" s="107" t="inlineStr">
        <is>
          <t>895997</t>
        </is>
      </c>
      <c r="K4154" s="65" t="inlineStr">
        <is>
          <t>N/D</t>
        </is>
      </c>
      <c r="L4154" s="127" t="inlineStr">
        <is>
          <t>ANTONIONI SPORT CACCIA E PESCA SRLS</t>
        </is>
      </c>
      <c r="M4154" s="5" t="n">
        <v>25.747</v>
      </c>
      <c r="N4154" s="5" t="n"/>
      <c r="O4154" s="5">
        <f>+M4154+N4154</f>
        <v/>
      </c>
      <c r="P4154" s="4" t="n"/>
      <c r="Q4154" s="87" t="n"/>
      <c r="R4154" s="5" t="n">
        <v>30</v>
      </c>
      <c r="S4154" s="2" t="n">
        <v>1</v>
      </c>
      <c r="T4154" s="3" t="inlineStr">
        <is>
          <t>CA42796IR</t>
        </is>
      </c>
      <c r="U4154" s="87" t="n">
        <v>46041</v>
      </c>
      <c r="V4154" s="3" t="inlineStr">
        <is>
          <t>1</t>
        </is>
      </c>
      <c r="W4154" s="108" t="n">
        <v>46041</v>
      </c>
      <c r="X4154" s="4" t="inlineStr">
        <is>
          <t>PHILIPPOS COSTANTINIDES TRADING CO. LTD</t>
        </is>
      </c>
    </row>
    <row r="4155" ht="24" customHeight="1">
      <c r="A4155" s="2">
        <f>+D4155-S4155</f>
        <v/>
      </c>
      <c r="B4155" s="126" t="n">
        <v>5743</v>
      </c>
      <c r="C4155" s="66" t="n">
        <v>46041</v>
      </c>
      <c r="D4155" s="2" t="n">
        <v>1</v>
      </c>
      <c r="E4155" s="3" t="inlineStr">
        <is>
          <t>FUCILE SEMIAUTOMATICO</t>
        </is>
      </c>
      <c r="F4155" s="3" t="n">
        <v>12</v>
      </c>
      <c r="G4155" s="84" t="inlineStr">
        <is>
          <t>BREDA</t>
        </is>
      </c>
      <c r="H4155" s="107" t="inlineStr">
        <is>
          <t>LR</t>
        </is>
      </c>
      <c r="I4155" s="107" t="inlineStr">
        <is>
          <t>70701</t>
        </is>
      </c>
      <c r="J4155" s="107" t="inlineStr">
        <is>
          <t>BV74589</t>
        </is>
      </c>
      <c r="K4155" s="65" t="inlineStr">
        <is>
          <t>N/D</t>
        </is>
      </c>
      <c r="L4155" s="127" t="inlineStr">
        <is>
          <t>ANTONIONI SPORT CACCIA E PESCA SRLS</t>
        </is>
      </c>
      <c r="M4155" s="5" t="n">
        <v>25.747</v>
      </c>
      <c r="N4155" s="5" t="n"/>
      <c r="O4155" s="5">
        <f>+M4155+N4155</f>
        <v/>
      </c>
      <c r="P4155" s="4" t="n"/>
      <c r="Q4155" s="87" t="n"/>
      <c r="R4155" s="5" t="n">
        <v>30</v>
      </c>
      <c r="S4155" s="2" t="n">
        <v>1</v>
      </c>
      <c r="T4155" s="3" t="inlineStr">
        <is>
          <t>CA42796IR</t>
        </is>
      </c>
      <c r="U4155" s="87" t="n">
        <v>46041</v>
      </c>
      <c r="V4155" s="3" t="inlineStr">
        <is>
          <t>1</t>
        </is>
      </c>
      <c r="W4155" s="108" t="n">
        <v>46041</v>
      </c>
      <c r="X4155" s="4" t="inlineStr">
        <is>
          <t>PHILIPPOS COSTANTINIDES TRADING CO. LTD</t>
        </is>
      </c>
    </row>
    <row r="4156" ht="24" customHeight="1">
      <c r="A4156" s="2">
        <f>+D4156-S4156</f>
        <v/>
      </c>
      <c r="B4156" s="126" t="n">
        <v>5744</v>
      </c>
      <c r="C4156" s="66" t="n">
        <v>46041</v>
      </c>
      <c r="D4156" s="2" t="n">
        <v>1</v>
      </c>
      <c r="E4156" s="3" t="inlineStr">
        <is>
          <t>FUCILE SEMIAUTOMATICO</t>
        </is>
      </c>
      <c r="F4156" s="3" t="n">
        <v>12</v>
      </c>
      <c r="G4156" s="84" t="inlineStr">
        <is>
          <t>FARMS</t>
        </is>
      </c>
      <c r="H4156" s="107" t="inlineStr">
        <is>
          <t>LR</t>
        </is>
      </c>
      <c r="I4156" s="107" t="inlineStr">
        <is>
          <t>15310</t>
        </is>
      </c>
      <c r="J4156" s="107" t="inlineStr">
        <is>
          <t>203032</t>
        </is>
      </c>
      <c r="K4156" s="65" t="inlineStr">
        <is>
          <t>N/D</t>
        </is>
      </c>
      <c r="L4156" s="127" t="inlineStr">
        <is>
          <t>ANTONIONI SPORT CACCIA E PESCA SRLS</t>
        </is>
      </c>
      <c r="M4156" s="5" t="n">
        <v>25.747</v>
      </c>
      <c r="N4156" s="5" t="n"/>
      <c r="O4156" s="5">
        <f>+M4156+N4156</f>
        <v/>
      </c>
      <c r="P4156" s="4" t="n"/>
      <c r="Q4156" s="87" t="n"/>
      <c r="R4156" s="5" t="n">
        <v>30</v>
      </c>
      <c r="S4156" s="2" t="n">
        <v>1</v>
      </c>
      <c r="T4156" s="3" t="inlineStr">
        <is>
          <t>CA42796IR</t>
        </is>
      </c>
      <c r="U4156" s="87" t="n">
        <v>46041</v>
      </c>
      <c r="V4156" s="3" t="inlineStr">
        <is>
          <t>1</t>
        </is>
      </c>
      <c r="W4156" s="108" t="n">
        <v>46041</v>
      </c>
      <c r="X4156" s="4" t="inlineStr">
        <is>
          <t>PHILIPPOS COSTANTINIDES TRADING CO. LTD</t>
        </is>
      </c>
    </row>
    <row r="4157" ht="24" customHeight="1">
      <c r="A4157" s="2">
        <f>+D4157-S4157</f>
        <v/>
      </c>
      <c r="B4157" s="126" t="n">
        <v>5745</v>
      </c>
      <c r="C4157" s="66" t="n">
        <v>46041</v>
      </c>
      <c r="D4157" s="2" t="n">
        <v>1</v>
      </c>
      <c r="E4157" s="3" t="inlineStr">
        <is>
          <t>FUCILE SEMIAUTOMATICO</t>
        </is>
      </c>
      <c r="F4157" s="3" t="n">
        <v>12</v>
      </c>
      <c r="G4157" s="84" t="inlineStr">
        <is>
          <t>FRANCHI</t>
        </is>
      </c>
      <c r="H4157" s="107" t="inlineStr">
        <is>
          <t>48 AL</t>
        </is>
      </c>
      <c r="I4157" s="107" t="inlineStr">
        <is>
          <t>097235</t>
        </is>
      </c>
      <c r="J4157" s="107" t="inlineStr">
        <is>
          <t>FAA3066</t>
        </is>
      </c>
      <c r="K4157" s="65" t="inlineStr">
        <is>
          <t>N/D</t>
        </is>
      </c>
      <c r="L4157" s="127" t="inlineStr">
        <is>
          <t>ANTONIONI SPORT CACCIA E PESCA SRLS</t>
        </is>
      </c>
      <c r="M4157" s="5" t="n">
        <v>25.747</v>
      </c>
      <c r="N4157" s="5" t="n"/>
      <c r="O4157" s="5">
        <f>+M4157+N4157</f>
        <v/>
      </c>
      <c r="P4157" s="4" t="n"/>
      <c r="Q4157" s="87" t="n"/>
      <c r="R4157" s="5" t="n">
        <v>30</v>
      </c>
      <c r="S4157" s="2" t="n">
        <v>1</v>
      </c>
      <c r="T4157" s="3" t="inlineStr">
        <is>
          <t>CA42796IR</t>
        </is>
      </c>
      <c r="U4157" s="87" t="n">
        <v>46041</v>
      </c>
      <c r="V4157" s="3" t="inlineStr">
        <is>
          <t>1</t>
        </is>
      </c>
      <c r="W4157" s="108" t="n">
        <v>46041</v>
      </c>
      <c r="X4157" s="4" t="inlineStr">
        <is>
          <t>PHILIPPOS COSTANTINIDES TRADING CO. LTD</t>
        </is>
      </c>
    </row>
    <row r="4158" ht="24" customHeight="1">
      <c r="A4158" s="2">
        <f>+D4158-S4158</f>
        <v/>
      </c>
      <c r="B4158" s="126" t="n">
        <v>5746</v>
      </c>
      <c r="C4158" s="66" t="n">
        <v>46041</v>
      </c>
      <c r="D4158" s="2" t="n">
        <v>1</v>
      </c>
      <c r="E4158" s="3" t="inlineStr">
        <is>
          <t>FUCILE SEMIAUTOMATICO</t>
        </is>
      </c>
      <c r="F4158" s="3" t="n">
        <v>12</v>
      </c>
      <c r="G4158" s="84" t="inlineStr">
        <is>
          <t>BERETTA</t>
        </is>
      </c>
      <c r="H4158" s="107" t="inlineStr">
        <is>
          <t>CACCIA</t>
        </is>
      </c>
      <c r="I4158" s="107" t="inlineStr">
        <is>
          <t>004161</t>
        </is>
      </c>
      <c r="J4158" s="107" t="inlineStr">
        <is>
          <t>004161</t>
        </is>
      </c>
      <c r="K4158" s="65" t="inlineStr">
        <is>
          <t>N/D</t>
        </is>
      </c>
      <c r="L4158" s="127" t="inlineStr">
        <is>
          <t>ANTONIONI SPORT CACCIA E PESCA SRLS</t>
        </is>
      </c>
      <c r="M4158" s="5" t="n">
        <v>25.747</v>
      </c>
      <c r="N4158" s="5" t="n"/>
      <c r="O4158" s="5">
        <f>+M4158+N4158</f>
        <v/>
      </c>
      <c r="P4158" s="4" t="n"/>
      <c r="Q4158" s="87" t="n"/>
      <c r="R4158" s="5" t="n">
        <v>30</v>
      </c>
      <c r="S4158" s="2" t="n">
        <v>1</v>
      </c>
      <c r="T4158" s="3" t="inlineStr">
        <is>
          <t>CA42796IR</t>
        </is>
      </c>
      <c r="U4158" s="87" t="n">
        <v>46041</v>
      </c>
      <c r="V4158" s="3" t="inlineStr">
        <is>
          <t>1</t>
        </is>
      </c>
      <c r="W4158" s="108" t="n">
        <v>46041</v>
      </c>
      <c r="X4158" s="4" t="inlineStr">
        <is>
          <t>PHILIPPOS COSTANTINIDES TRADING CO. LTD</t>
        </is>
      </c>
    </row>
    <row r="4159" ht="24" customHeight="1">
      <c r="A4159" s="2">
        <f>+D4159-S4159</f>
        <v/>
      </c>
      <c r="B4159" s="126" t="n">
        <v>5747</v>
      </c>
      <c r="C4159" s="66" t="n">
        <v>46041</v>
      </c>
      <c r="D4159" s="2" t="n">
        <v>1</v>
      </c>
      <c r="E4159" s="3" t="inlineStr">
        <is>
          <t>FUCILE SEMIAUTOMATICO</t>
        </is>
      </c>
      <c r="F4159" s="3" t="n">
        <v>12</v>
      </c>
      <c r="G4159" s="84" t="inlineStr">
        <is>
          <t>BERETTA</t>
        </is>
      </c>
      <c r="H4159" s="107" t="inlineStr">
        <is>
          <t>A302</t>
        </is>
      </c>
      <c r="I4159" s="107" t="inlineStr">
        <is>
          <t>E67355E</t>
        </is>
      </c>
      <c r="J4159" s="107" t="inlineStr">
        <is>
          <t>F73509F</t>
        </is>
      </c>
      <c r="K4159" s="65" t="inlineStr">
        <is>
          <t>N/D</t>
        </is>
      </c>
      <c r="L4159" s="127" t="inlineStr">
        <is>
          <t>ANTONIONI SPORT CACCIA E PESCA SRLS</t>
        </is>
      </c>
      <c r="M4159" s="5" t="n">
        <v>25.747</v>
      </c>
      <c r="N4159" s="5" t="n"/>
      <c r="O4159" s="5">
        <f>+M4159+N4159</f>
        <v/>
      </c>
      <c r="P4159" s="4" t="n"/>
      <c r="Q4159" s="87" t="n"/>
      <c r="R4159" s="5" t="n">
        <v>30</v>
      </c>
      <c r="S4159" s="2" t="n">
        <v>1</v>
      </c>
      <c r="T4159" s="3" t="inlineStr">
        <is>
          <t>CA42796IR</t>
        </is>
      </c>
      <c r="U4159" s="87" t="n">
        <v>46041</v>
      </c>
      <c r="V4159" s="3" t="inlineStr">
        <is>
          <t>1</t>
        </is>
      </c>
      <c r="W4159" s="108" t="n">
        <v>46041</v>
      </c>
      <c r="X4159" s="4" t="inlineStr">
        <is>
          <t>PHILIPPOS COSTANTINIDES TRADING CO. LTD</t>
        </is>
      </c>
    </row>
    <row r="4160" ht="24" customHeight="1">
      <c r="A4160" s="2">
        <f>+D4160-S4160</f>
        <v/>
      </c>
      <c r="B4160" s="126" t="n">
        <v>5748</v>
      </c>
      <c r="C4160" s="66" t="n">
        <v>46041</v>
      </c>
      <c r="D4160" s="2" t="n">
        <v>1</v>
      </c>
      <c r="E4160" s="3" t="inlineStr">
        <is>
          <t>FUCILE SEMIAUTOMATICO</t>
        </is>
      </c>
      <c r="F4160" s="3" t="n">
        <v>12</v>
      </c>
      <c r="G4160" s="84" t="inlineStr">
        <is>
          <t>BREDA</t>
        </is>
      </c>
      <c r="H4160" s="107" t="inlineStr">
        <is>
          <t>LR</t>
        </is>
      </c>
      <c r="I4160" s="107" t="inlineStr">
        <is>
          <t>SL580923</t>
        </is>
      </c>
      <c r="J4160" s="107" t="inlineStr">
        <is>
          <t>BV220479</t>
        </is>
      </c>
      <c r="K4160" s="65" t="inlineStr">
        <is>
          <t>N/D</t>
        </is>
      </c>
      <c r="L4160" s="127" t="inlineStr">
        <is>
          <t>ANTONIONI SPORT CACCIA E PESCA SRLS</t>
        </is>
      </c>
      <c r="M4160" s="5" t="n">
        <v>25.747</v>
      </c>
      <c r="N4160" s="5" t="n"/>
      <c r="O4160" s="5">
        <f>+M4160+N4160</f>
        <v/>
      </c>
      <c r="P4160" s="4" t="n"/>
      <c r="Q4160" s="87" t="n"/>
      <c r="R4160" s="5" t="n">
        <v>30</v>
      </c>
      <c r="S4160" s="2" t="n">
        <v>1</v>
      </c>
      <c r="T4160" s="3" t="inlineStr">
        <is>
          <t>CA42796IR</t>
        </is>
      </c>
      <c r="U4160" s="87" t="n">
        <v>46041</v>
      </c>
      <c r="V4160" s="3" t="inlineStr">
        <is>
          <t>1</t>
        </is>
      </c>
      <c r="W4160" s="108" t="n">
        <v>46041</v>
      </c>
      <c r="X4160" s="4" t="inlineStr">
        <is>
          <t>PHILIPPOS COSTANTINIDES TRADING CO. LTD</t>
        </is>
      </c>
    </row>
    <row r="4161" ht="24" customHeight="1">
      <c r="A4161" s="2">
        <f>+D4161-S4161</f>
        <v/>
      </c>
      <c r="B4161" s="126" t="n">
        <v>5749</v>
      </c>
      <c r="C4161" s="66" t="n">
        <v>46041</v>
      </c>
      <c r="D4161" s="2" t="n">
        <v>1</v>
      </c>
      <c r="E4161" s="3" t="inlineStr">
        <is>
          <t>FUCILE SEMIAUTOMATICO</t>
        </is>
      </c>
      <c r="F4161" s="3" t="n">
        <v>12</v>
      </c>
      <c r="G4161" s="84" t="inlineStr">
        <is>
          <t>BERETTA</t>
        </is>
      </c>
      <c r="H4161" s="107" t="inlineStr">
        <is>
          <t>AL390 SILVER MALLARD</t>
        </is>
      </c>
      <c r="I4161" s="107" t="inlineStr">
        <is>
          <t>U50044E</t>
        </is>
      </c>
      <c r="J4161" s="107" t="inlineStr">
        <is>
          <t>S17111F</t>
        </is>
      </c>
      <c r="K4161" s="65" t="inlineStr">
        <is>
          <t>N/D</t>
        </is>
      </c>
      <c r="L4161" s="127" t="inlineStr">
        <is>
          <t>ANTONIONI SPORT CACCIA E PESCA SRLS</t>
        </is>
      </c>
      <c r="M4161" s="5" t="n">
        <v>25.747</v>
      </c>
      <c r="N4161" s="5" t="n"/>
      <c r="O4161" s="5">
        <f>+M4161+N4161</f>
        <v/>
      </c>
      <c r="P4161" s="4" t="n"/>
      <c r="Q4161" s="87" t="n"/>
      <c r="R4161" s="5" t="n">
        <v>30</v>
      </c>
      <c r="S4161" s="2" t="n">
        <v>1</v>
      </c>
      <c r="T4161" s="3" t="inlineStr">
        <is>
          <t>CA42796IR</t>
        </is>
      </c>
      <c r="U4161" s="87" t="n">
        <v>46041</v>
      </c>
      <c r="V4161" s="3" t="inlineStr">
        <is>
          <t>1</t>
        </is>
      </c>
      <c r="W4161" s="108" t="n">
        <v>46041</v>
      </c>
      <c r="X4161" s="4" t="inlineStr">
        <is>
          <t>PHILIPPOS COSTANTINIDES TRADING CO. LTD</t>
        </is>
      </c>
    </row>
    <row r="4162" ht="24" customHeight="1">
      <c r="A4162" s="2">
        <f>+D4162-S4162</f>
        <v/>
      </c>
      <c r="B4162" s="126" t="n">
        <v>5750</v>
      </c>
      <c r="C4162" s="66" t="n">
        <v>46041</v>
      </c>
      <c r="D4162" s="2" t="n">
        <v>1</v>
      </c>
      <c r="E4162" s="3" t="inlineStr">
        <is>
          <t>FUCILE SEMIAUTOMATICO</t>
        </is>
      </c>
      <c r="F4162" s="3" t="n">
        <v>12</v>
      </c>
      <c r="G4162" s="84" t="inlineStr">
        <is>
          <t>FRANCHI</t>
        </is>
      </c>
      <c r="H4162" s="107" t="inlineStr">
        <is>
          <t>48AL</t>
        </is>
      </c>
      <c r="I4162" s="107" t="inlineStr">
        <is>
          <t>D48279</t>
        </is>
      </c>
      <c r="J4162" s="107" t="inlineStr">
        <is>
          <t>ENA3137</t>
        </is>
      </c>
      <c r="K4162" s="65" t="inlineStr">
        <is>
          <t>N/D</t>
        </is>
      </c>
      <c r="L4162" s="127" t="inlineStr">
        <is>
          <t>ANTONIONI SPORT CACCIA E PESCA SRLS</t>
        </is>
      </c>
      <c r="M4162" s="5" t="n">
        <v>25.747</v>
      </c>
      <c r="N4162" s="5" t="n"/>
      <c r="O4162" s="5">
        <f>+M4162+N4162</f>
        <v/>
      </c>
      <c r="P4162" s="4" t="n"/>
      <c r="Q4162" s="87" t="n"/>
      <c r="R4162" s="5" t="n">
        <v>30</v>
      </c>
      <c r="S4162" s="2" t="n">
        <v>1</v>
      </c>
      <c r="T4162" s="3" t="inlineStr">
        <is>
          <t>CA42796IR</t>
        </is>
      </c>
      <c r="U4162" s="87" t="n">
        <v>46041</v>
      </c>
      <c r="V4162" s="3" t="inlineStr">
        <is>
          <t>1</t>
        </is>
      </c>
      <c r="W4162" s="108" t="n">
        <v>46041</v>
      </c>
      <c r="X4162" s="4" t="inlineStr">
        <is>
          <t>PHILIPPOS COSTANTINIDES TRADING CO. LTD</t>
        </is>
      </c>
    </row>
    <row r="4163" ht="24" customHeight="1">
      <c r="A4163" s="2">
        <f>+D4163-S4163</f>
        <v/>
      </c>
      <c r="B4163" s="126" t="n">
        <v>5751</v>
      </c>
      <c r="C4163" s="66" t="n">
        <v>46041</v>
      </c>
      <c r="D4163" s="2" t="n">
        <v>1</v>
      </c>
      <c r="E4163" s="3" t="inlineStr">
        <is>
          <t>FUCILE SEMIAUTOMATICO</t>
        </is>
      </c>
      <c r="F4163" s="3" t="n">
        <v>12</v>
      </c>
      <c r="G4163" s="84" t="inlineStr">
        <is>
          <t>FRANCHI</t>
        </is>
      </c>
      <c r="H4163" s="107" t="inlineStr">
        <is>
          <t>ELDORADO</t>
        </is>
      </c>
      <c r="I4163" s="107" t="inlineStr">
        <is>
          <t>B30574</t>
        </is>
      </c>
      <c r="J4163" s="107" t="inlineStr">
        <is>
          <t>956197</t>
        </is>
      </c>
      <c r="K4163" s="65" t="inlineStr">
        <is>
          <t>N/D</t>
        </is>
      </c>
      <c r="L4163" s="127" t="inlineStr">
        <is>
          <t>ANTONIONI SPORT CACCIA E PESCA SRLS</t>
        </is>
      </c>
      <c r="M4163" s="5" t="n">
        <v>25.747</v>
      </c>
      <c r="N4163" s="5" t="n"/>
      <c r="O4163" s="5">
        <f>+M4163+N4163</f>
        <v/>
      </c>
      <c r="P4163" s="4" t="n"/>
      <c r="Q4163" s="87" t="n"/>
      <c r="R4163" s="5" t="n">
        <v>30</v>
      </c>
      <c r="S4163" s="2" t="n">
        <v>1</v>
      </c>
      <c r="T4163" s="3" t="inlineStr">
        <is>
          <t>CA42796IR</t>
        </is>
      </c>
      <c r="U4163" s="87" t="n">
        <v>46041</v>
      </c>
      <c r="V4163" s="3" t="inlineStr">
        <is>
          <t>1</t>
        </is>
      </c>
      <c r="W4163" s="108" t="n">
        <v>46041</v>
      </c>
      <c r="X4163" s="4" t="inlineStr">
        <is>
          <t>PHILIPPOS COSTANTINIDES TRADING CO. LTD</t>
        </is>
      </c>
    </row>
    <row r="4164" ht="24" customHeight="1">
      <c r="A4164" s="2">
        <f>+D4164-S4164</f>
        <v/>
      </c>
      <c r="B4164" s="126" t="n">
        <v>5752</v>
      </c>
      <c r="C4164" s="66" t="n">
        <v>46041</v>
      </c>
      <c r="D4164" s="2" t="n">
        <v>1</v>
      </c>
      <c r="E4164" s="3" t="inlineStr">
        <is>
          <t>FUCILE SEMIAUTOMATICO</t>
        </is>
      </c>
      <c r="F4164" s="3" t="n">
        <v>12</v>
      </c>
      <c r="G4164" s="84" t="inlineStr">
        <is>
          <t>FRANCHI</t>
        </is>
      </c>
      <c r="H4164" s="107" t="n">
        <v>500</v>
      </c>
      <c r="I4164" s="107" t="inlineStr">
        <is>
          <t>M17100</t>
        </is>
      </c>
      <c r="J4164" s="107" t="inlineStr">
        <is>
          <t>EDL3166</t>
        </is>
      </c>
      <c r="K4164" s="65" t="inlineStr">
        <is>
          <t>N/D</t>
        </is>
      </c>
      <c r="L4164" s="127" t="inlineStr">
        <is>
          <t>ANTONIONI SPORT CACCIA E PESCA SRLS</t>
        </is>
      </c>
      <c r="M4164" s="5" t="n">
        <v>25.747</v>
      </c>
      <c r="N4164" s="5" t="n"/>
      <c r="O4164" s="5">
        <f>+M4164+N4164</f>
        <v/>
      </c>
      <c r="P4164" s="4" t="n"/>
      <c r="Q4164" s="87" t="n"/>
      <c r="R4164" s="5" t="n">
        <v>30</v>
      </c>
      <c r="S4164" s="2" t="n">
        <v>1</v>
      </c>
      <c r="T4164" s="3" t="inlineStr">
        <is>
          <t>CA42796IR</t>
        </is>
      </c>
      <c r="U4164" s="87" t="n">
        <v>46041</v>
      </c>
      <c r="V4164" s="3" t="inlineStr">
        <is>
          <t>1</t>
        </is>
      </c>
      <c r="W4164" s="108" t="n">
        <v>46041</v>
      </c>
      <c r="X4164" s="4" t="inlineStr">
        <is>
          <t>PHILIPPOS COSTANTINIDES TRADING CO. LTD</t>
        </is>
      </c>
    </row>
    <row r="4165" ht="24" customHeight="1">
      <c r="A4165" s="2">
        <f>+D4165-S4165</f>
        <v/>
      </c>
      <c r="B4165" s="126" t="n">
        <v>5753</v>
      </c>
      <c r="C4165" s="66" t="n">
        <v>46041</v>
      </c>
      <c r="D4165" s="2" t="n">
        <v>1</v>
      </c>
      <c r="E4165" s="3" t="inlineStr">
        <is>
          <t>FUCILE SEMIAUTOMATICO</t>
        </is>
      </c>
      <c r="F4165" s="3" t="n">
        <v>12</v>
      </c>
      <c r="G4165" s="84" t="inlineStr">
        <is>
          <t>BREDA</t>
        </is>
      </c>
      <c r="H4165" s="107" t="inlineStr">
        <is>
          <t>LR</t>
        </is>
      </c>
      <c r="I4165" s="107" t="inlineStr">
        <is>
          <t>SL543344</t>
        </is>
      </c>
      <c r="J4165" s="107" t="inlineStr">
        <is>
          <t>BV139085</t>
        </is>
      </c>
      <c r="K4165" s="65" t="inlineStr">
        <is>
          <t>N/D</t>
        </is>
      </c>
      <c r="L4165" s="127" t="inlineStr">
        <is>
          <t>ANTONIONI SPORT CACCIA E PESCA SRLS</t>
        </is>
      </c>
      <c r="M4165" s="5" t="n">
        <v>25.747</v>
      </c>
      <c r="N4165" s="5" t="n"/>
      <c r="O4165" s="5">
        <f>+M4165+N4165</f>
        <v/>
      </c>
      <c r="P4165" s="4" t="n"/>
      <c r="Q4165" s="87" t="n"/>
      <c r="R4165" s="5" t="n">
        <v>30</v>
      </c>
      <c r="S4165" s="2" t="n">
        <v>1</v>
      </c>
      <c r="T4165" s="3" t="inlineStr">
        <is>
          <t>CA42796IR</t>
        </is>
      </c>
      <c r="U4165" s="87" t="n">
        <v>46041</v>
      </c>
      <c r="V4165" s="3" t="inlineStr">
        <is>
          <t>1</t>
        </is>
      </c>
      <c r="W4165" s="108" t="n">
        <v>46041</v>
      </c>
      <c r="X4165" s="4" t="inlineStr">
        <is>
          <t>PHILIPPOS COSTANTINIDES TRADING CO. LTD</t>
        </is>
      </c>
    </row>
    <row r="4166" ht="24" customHeight="1">
      <c r="A4166" s="2">
        <f>+D4166-S4166</f>
        <v/>
      </c>
      <c r="B4166" s="126" t="n">
        <v>5754</v>
      </c>
      <c r="C4166" s="66" t="n">
        <v>46041</v>
      </c>
      <c r="D4166" s="2" t="n">
        <v>1</v>
      </c>
      <c r="E4166" s="3" t="inlineStr">
        <is>
          <t>FUCILE SEMIAUTOMATICO</t>
        </is>
      </c>
      <c r="F4166" s="3" t="n">
        <v>12</v>
      </c>
      <c r="G4166" s="84" t="inlineStr">
        <is>
          <t>BERETTA</t>
        </is>
      </c>
      <c r="H4166" s="107" t="inlineStr">
        <is>
          <t>A300</t>
        </is>
      </c>
      <c r="I4166" s="107" t="inlineStr">
        <is>
          <t>B02856E</t>
        </is>
      </c>
      <c r="J4166" s="107" t="inlineStr">
        <is>
          <t>B23053F</t>
        </is>
      </c>
      <c r="K4166" s="65" t="inlineStr">
        <is>
          <t>N/D</t>
        </is>
      </c>
      <c r="L4166" s="127" t="inlineStr">
        <is>
          <t>ANTONIONI SPORT CACCIA E PESCA SRLS</t>
        </is>
      </c>
      <c r="M4166" s="5" t="n">
        <v>25.747</v>
      </c>
      <c r="N4166" s="5" t="n"/>
      <c r="O4166" s="5">
        <f>+M4166+N4166</f>
        <v/>
      </c>
      <c r="P4166" s="4" t="n"/>
      <c r="Q4166" s="87" t="n"/>
      <c r="R4166" s="5" t="n">
        <v>30</v>
      </c>
      <c r="S4166" s="2" t="n">
        <v>1</v>
      </c>
      <c r="T4166" s="3" t="inlineStr">
        <is>
          <t>CA42796IR</t>
        </is>
      </c>
      <c r="U4166" s="87" t="n">
        <v>46041</v>
      </c>
      <c r="V4166" s="3" t="inlineStr">
        <is>
          <t>1</t>
        </is>
      </c>
      <c r="W4166" s="108" t="n">
        <v>46041</v>
      </c>
      <c r="X4166" s="4" t="inlineStr">
        <is>
          <t>PHILIPPOS COSTANTINIDES TRADING CO. LTD</t>
        </is>
      </c>
    </row>
    <row r="4167" ht="24" customHeight="1">
      <c r="A4167" s="2">
        <f>+D4167-S4167</f>
        <v/>
      </c>
      <c r="B4167" s="126" t="n">
        <v>5755</v>
      </c>
      <c r="C4167" s="66" t="n">
        <v>46041</v>
      </c>
      <c r="D4167" s="2" t="n">
        <v>1</v>
      </c>
      <c r="E4167" s="3" t="inlineStr">
        <is>
          <t>FUCILE SEMIAUTOMATICO</t>
        </is>
      </c>
      <c r="F4167" s="3" t="n">
        <v>12</v>
      </c>
      <c r="G4167" s="84" t="inlineStr">
        <is>
          <t>FRANCHI</t>
        </is>
      </c>
      <c r="H4167" s="107" t="inlineStr">
        <is>
          <t>48 AL</t>
        </is>
      </c>
      <c r="I4167" s="107" t="inlineStr">
        <is>
          <t>637320</t>
        </is>
      </c>
      <c r="J4167" s="107" t="inlineStr">
        <is>
          <t>BGA0637</t>
        </is>
      </c>
      <c r="K4167" s="65" t="inlineStr">
        <is>
          <t>N/D</t>
        </is>
      </c>
      <c r="L4167" s="127" t="inlineStr">
        <is>
          <t>ANTONIONI SPORT CACCIA E PESCA SRLS</t>
        </is>
      </c>
      <c r="M4167" s="5" t="n">
        <v>25.747</v>
      </c>
      <c r="N4167" s="5" t="n"/>
      <c r="O4167" s="5">
        <f>+M4167+N4167</f>
        <v/>
      </c>
      <c r="P4167" s="4" t="n"/>
      <c r="Q4167" s="87" t="n"/>
      <c r="R4167" s="5" t="n">
        <v>30</v>
      </c>
      <c r="S4167" s="2" t="n">
        <v>1</v>
      </c>
      <c r="T4167" s="3" t="inlineStr">
        <is>
          <t>CA42796IR</t>
        </is>
      </c>
      <c r="U4167" s="87" t="n">
        <v>46041</v>
      </c>
      <c r="V4167" s="3" t="inlineStr">
        <is>
          <t>1</t>
        </is>
      </c>
      <c r="W4167" s="108" t="n">
        <v>46041</v>
      </c>
      <c r="X4167" s="4" t="inlineStr">
        <is>
          <t>PHILIPPOS COSTANTINIDES TRADING CO. LTD</t>
        </is>
      </c>
    </row>
    <row r="4168" ht="24" customHeight="1">
      <c r="A4168" s="2">
        <f>+D4168-S4168</f>
        <v/>
      </c>
      <c r="B4168" s="126" t="n">
        <v>5756</v>
      </c>
      <c r="C4168" s="66" t="n">
        <v>46041</v>
      </c>
      <c r="D4168" s="2" t="n">
        <v>1</v>
      </c>
      <c r="E4168" s="3" t="inlineStr">
        <is>
          <t>FUCILE SEMIAUTOMATICO</t>
        </is>
      </c>
      <c r="F4168" s="3" t="n">
        <v>12</v>
      </c>
      <c r="G4168" s="84" t="inlineStr">
        <is>
          <t>FRANCHI</t>
        </is>
      </c>
      <c r="H4168" s="107" t="n">
        <v>500</v>
      </c>
      <c r="I4168" s="107" t="inlineStr">
        <is>
          <t>M19335</t>
        </is>
      </c>
      <c r="J4168" s="107" t="inlineStr">
        <is>
          <t>EDL3204</t>
        </is>
      </c>
      <c r="K4168" s="65" t="inlineStr">
        <is>
          <t>N/D</t>
        </is>
      </c>
      <c r="L4168" s="127" t="inlineStr">
        <is>
          <t>ANTONIONI SPORT CACCIA E PESCA SRLS</t>
        </is>
      </c>
      <c r="M4168" s="5" t="n">
        <v>25.747</v>
      </c>
      <c r="N4168" s="5" t="n"/>
      <c r="O4168" s="5">
        <f>+M4168+N4168</f>
        <v/>
      </c>
      <c r="P4168" s="4" t="n"/>
      <c r="Q4168" s="87" t="n"/>
      <c r="R4168" s="5" t="n">
        <v>30</v>
      </c>
      <c r="S4168" s="2" t="n">
        <v>1</v>
      </c>
      <c r="T4168" s="3" t="inlineStr">
        <is>
          <t>CA42796IR</t>
        </is>
      </c>
      <c r="U4168" s="87" t="n">
        <v>46041</v>
      </c>
      <c r="V4168" s="3" t="inlineStr">
        <is>
          <t>1</t>
        </is>
      </c>
      <c r="W4168" s="108" t="n">
        <v>46041</v>
      </c>
      <c r="X4168" s="4" t="inlineStr">
        <is>
          <t>PHILIPPOS COSTANTINIDES TRADING CO. LTD</t>
        </is>
      </c>
    </row>
    <row r="4169" ht="24" customHeight="1">
      <c r="A4169" s="2">
        <f>+D4169-S4169</f>
        <v/>
      </c>
      <c r="B4169" s="126" t="n">
        <v>5757</v>
      </c>
      <c r="C4169" s="66" t="n">
        <v>46041</v>
      </c>
      <c r="D4169" s="2" t="n">
        <v>1</v>
      </c>
      <c r="E4169" s="3" t="inlineStr">
        <is>
          <t>FUCILE SEMIAUTOMATICO</t>
        </is>
      </c>
      <c r="F4169" s="3" t="n">
        <v>12</v>
      </c>
      <c r="G4169" s="84" t="inlineStr">
        <is>
          <t>FRANCHI</t>
        </is>
      </c>
      <c r="H4169" s="107" t="inlineStr">
        <is>
          <t>ELITE</t>
        </is>
      </c>
      <c r="I4169" s="107" t="inlineStr">
        <is>
          <t>S21799</t>
        </is>
      </c>
      <c r="J4169" s="107" t="inlineStr">
        <is>
          <t>NCL0545</t>
        </is>
      </c>
      <c r="K4169" s="65" t="inlineStr">
        <is>
          <t>N/D</t>
        </is>
      </c>
      <c r="L4169" s="127" t="inlineStr">
        <is>
          <t>ANTONIONI SPORT CACCIA E PESCA SRLS</t>
        </is>
      </c>
      <c r="M4169" s="5" t="n">
        <v>25.747</v>
      </c>
      <c r="N4169" s="5" t="n"/>
      <c r="O4169" s="5">
        <f>+M4169+N4169</f>
        <v/>
      </c>
      <c r="P4169" s="4" t="n"/>
      <c r="Q4169" s="87" t="n"/>
      <c r="R4169" s="5" t="n">
        <v>30</v>
      </c>
      <c r="S4169" s="2" t="n">
        <v>1</v>
      </c>
      <c r="T4169" s="3" t="inlineStr">
        <is>
          <t>CA42796IR</t>
        </is>
      </c>
      <c r="U4169" s="87" t="n">
        <v>46041</v>
      </c>
      <c r="V4169" s="3" t="inlineStr">
        <is>
          <t>1</t>
        </is>
      </c>
      <c r="W4169" s="108" t="n">
        <v>46041</v>
      </c>
      <c r="X4169" s="4" t="inlineStr">
        <is>
          <t>PHILIPPOS COSTANTINIDES TRADING CO. LTD</t>
        </is>
      </c>
    </row>
    <row r="4170" ht="24" customHeight="1">
      <c r="A4170" s="2">
        <f>+D4170-S4170</f>
        <v/>
      </c>
      <c r="B4170" s="126" t="n">
        <v>5758</v>
      </c>
      <c r="C4170" s="66" t="n">
        <v>46041</v>
      </c>
      <c r="D4170" s="2" t="n">
        <v>1</v>
      </c>
      <c r="E4170" s="3" t="inlineStr">
        <is>
          <t>FUCILE SEMIAUTOMATICO</t>
        </is>
      </c>
      <c r="F4170" s="3" t="n">
        <v>12</v>
      </c>
      <c r="G4170" s="84" t="inlineStr">
        <is>
          <t>BENELLI</t>
        </is>
      </c>
      <c r="H4170" s="107" t="n">
        <v>123</v>
      </c>
      <c r="I4170" s="107" t="inlineStr">
        <is>
          <t>A43891</t>
        </is>
      </c>
      <c r="J4170" s="107" t="inlineStr">
        <is>
          <t>A45543</t>
        </is>
      </c>
      <c r="K4170" s="65" t="inlineStr">
        <is>
          <t>N/D</t>
        </is>
      </c>
      <c r="L4170" s="127" t="inlineStr">
        <is>
          <t>ANTONIONI SPORT CACCIA E PESCA SRLS</t>
        </is>
      </c>
      <c r="M4170" s="5" t="n">
        <v>25.747</v>
      </c>
      <c r="N4170" s="5" t="n"/>
      <c r="O4170" s="5">
        <f>+M4170+N4170</f>
        <v/>
      </c>
      <c r="P4170" s="4" t="n"/>
      <c r="Q4170" s="87" t="n"/>
      <c r="R4170" s="5" t="n">
        <v>30</v>
      </c>
      <c r="S4170" s="2" t="n">
        <v>1</v>
      </c>
      <c r="T4170" s="3" t="inlineStr">
        <is>
          <t>CA42796IR</t>
        </is>
      </c>
      <c r="U4170" s="87" t="n">
        <v>46041</v>
      </c>
      <c r="V4170" s="3" t="inlineStr">
        <is>
          <t>1</t>
        </is>
      </c>
      <c r="W4170" s="108" t="n">
        <v>46041</v>
      </c>
      <c r="X4170" s="4" t="inlineStr">
        <is>
          <t>PHILIPPOS COSTANTINIDES TRADING CO. LTD</t>
        </is>
      </c>
    </row>
    <row r="4171" ht="24" customHeight="1">
      <c r="A4171" s="2">
        <f>+D4171-S4171</f>
        <v/>
      </c>
      <c r="B4171" s="126" t="n">
        <v>5759</v>
      </c>
      <c r="C4171" s="66" t="n">
        <v>46041</v>
      </c>
      <c r="D4171" s="2" t="n">
        <v>1</v>
      </c>
      <c r="E4171" s="3" t="inlineStr">
        <is>
          <t>FUCILE SEMIAUTOMATICO</t>
        </is>
      </c>
      <c r="F4171" s="3" t="n">
        <v>12</v>
      </c>
      <c r="G4171" s="84" t="inlineStr">
        <is>
          <t>FRANCHI</t>
        </is>
      </c>
      <c r="H4171" s="107" t="inlineStr">
        <is>
          <t>48 AL</t>
        </is>
      </c>
      <c r="I4171" s="107" t="inlineStr">
        <is>
          <t>609822</t>
        </is>
      </c>
      <c r="J4171" s="107" t="inlineStr">
        <is>
          <t>891147</t>
        </is>
      </c>
      <c r="K4171" s="65" t="inlineStr">
        <is>
          <t>N/D</t>
        </is>
      </c>
      <c r="L4171" s="127" t="inlineStr">
        <is>
          <t>ANTONIONI SPORT CACCIA E PESCA SRLS</t>
        </is>
      </c>
      <c r="M4171" s="5" t="n">
        <v>25.747</v>
      </c>
      <c r="N4171" s="5" t="n"/>
      <c r="O4171" s="5">
        <f>+M4171+N4171</f>
        <v/>
      </c>
      <c r="P4171" s="4" t="n"/>
      <c r="Q4171" s="87" t="n"/>
      <c r="R4171" s="5" t="n">
        <v>30</v>
      </c>
      <c r="S4171" s="2" t="n">
        <v>1</v>
      </c>
      <c r="T4171" s="3" t="inlineStr">
        <is>
          <t>CA42796IR</t>
        </is>
      </c>
      <c r="U4171" s="87" t="n">
        <v>46041</v>
      </c>
      <c r="V4171" s="3" t="inlineStr">
        <is>
          <t>1</t>
        </is>
      </c>
      <c r="W4171" s="108" t="n">
        <v>46041</v>
      </c>
      <c r="X4171" s="4" t="inlineStr">
        <is>
          <t>PHILIPPOS COSTANTINIDES TRADING CO. LTD</t>
        </is>
      </c>
    </row>
    <row r="4172" ht="24" customHeight="1">
      <c r="A4172" s="2">
        <f>+D4172-S4172</f>
        <v/>
      </c>
      <c r="B4172" s="126" t="n">
        <v>5760</v>
      </c>
      <c r="C4172" s="66" t="n">
        <v>46041</v>
      </c>
      <c r="D4172" s="2" t="n">
        <v>1</v>
      </c>
      <c r="E4172" s="3" t="inlineStr">
        <is>
          <t>FUCILE SEMIAUTOMATICO</t>
        </is>
      </c>
      <c r="F4172" s="3" t="n">
        <v>12</v>
      </c>
      <c r="G4172" s="84" t="inlineStr">
        <is>
          <t>FRANCHI</t>
        </is>
      </c>
      <c r="H4172" s="107" t="inlineStr">
        <is>
          <t>48 AL</t>
        </is>
      </c>
      <c r="I4172" s="107" t="inlineStr">
        <is>
          <t>064266</t>
        </is>
      </c>
      <c r="J4172" s="107" t="inlineStr">
        <is>
          <t>719258</t>
        </is>
      </c>
      <c r="K4172" s="65" t="inlineStr">
        <is>
          <t>N/D</t>
        </is>
      </c>
      <c r="L4172" s="127" t="inlineStr">
        <is>
          <t>ANTONIONI SPORT CACCIA E PESCA SRLS</t>
        </is>
      </c>
      <c r="M4172" s="5" t="n">
        <v>25.747</v>
      </c>
      <c r="N4172" s="5" t="n"/>
      <c r="O4172" s="5">
        <f>+M4172+N4172</f>
        <v/>
      </c>
      <c r="P4172" s="4" t="n"/>
      <c r="Q4172" s="87" t="n"/>
      <c r="R4172" s="5" t="n">
        <v>30</v>
      </c>
      <c r="S4172" s="2" t="n">
        <v>1</v>
      </c>
      <c r="T4172" s="3" t="inlineStr">
        <is>
          <t>CA42796IR</t>
        </is>
      </c>
      <c r="U4172" s="87" t="n">
        <v>46041</v>
      </c>
      <c r="V4172" s="3" t="inlineStr">
        <is>
          <t>1</t>
        </is>
      </c>
      <c r="W4172" s="108" t="n">
        <v>46041</v>
      </c>
      <c r="X4172" s="4" t="inlineStr">
        <is>
          <t>PHILIPPOS COSTANTINIDES TRADING CO. LTD</t>
        </is>
      </c>
    </row>
    <row r="4173" ht="24" customHeight="1">
      <c r="A4173" s="2">
        <f>+D4173-S4173</f>
        <v/>
      </c>
      <c r="B4173" s="126" t="n">
        <v>5761</v>
      </c>
      <c r="C4173" s="66" t="n">
        <v>46041</v>
      </c>
      <c r="D4173" s="2" t="n">
        <v>1</v>
      </c>
      <c r="E4173" s="3" t="inlineStr">
        <is>
          <t>FUCILE SEMIAUTOMATICO</t>
        </is>
      </c>
      <c r="F4173" s="3" t="n">
        <v>12</v>
      </c>
      <c r="G4173" s="84" t="inlineStr">
        <is>
          <t>BENELLI</t>
        </is>
      </c>
      <c r="H4173" s="107" t="n">
        <v>121</v>
      </c>
      <c r="I4173" s="107" t="inlineStr">
        <is>
          <t>A16094</t>
        </is>
      </c>
      <c r="J4173" s="107" t="inlineStr">
        <is>
          <t>A13651</t>
        </is>
      </c>
      <c r="K4173" s="65" t="inlineStr">
        <is>
          <t>N/D</t>
        </is>
      </c>
      <c r="L4173" s="127" t="inlineStr">
        <is>
          <t>ANTONIONI SPORT CACCIA E PESCA SRLS</t>
        </is>
      </c>
      <c r="M4173" s="5" t="n">
        <v>25.747</v>
      </c>
      <c r="N4173" s="5" t="n"/>
      <c r="O4173" s="5">
        <f>+M4173+N4173</f>
        <v/>
      </c>
      <c r="P4173" s="4" t="n"/>
      <c r="Q4173" s="87" t="n"/>
      <c r="R4173" s="5" t="n">
        <v>30</v>
      </c>
      <c r="S4173" s="2" t="n">
        <v>1</v>
      </c>
      <c r="T4173" s="3" t="inlineStr">
        <is>
          <t>CA42796IR</t>
        </is>
      </c>
      <c r="U4173" s="87" t="n">
        <v>46041</v>
      </c>
      <c r="V4173" s="3" t="inlineStr">
        <is>
          <t>1</t>
        </is>
      </c>
      <c r="W4173" s="108" t="n">
        <v>46041</v>
      </c>
      <c r="X4173" s="4" t="inlineStr">
        <is>
          <t>PHILIPPOS COSTANTINIDES TRADING CO. LTD</t>
        </is>
      </c>
    </row>
    <row r="4174" ht="24" customHeight="1">
      <c r="A4174" s="2">
        <f>+D4174-S4174</f>
        <v/>
      </c>
      <c r="B4174" s="126" t="n">
        <v>5762</v>
      </c>
      <c r="C4174" s="66" t="n">
        <v>46041</v>
      </c>
      <c r="D4174" s="2" t="n">
        <v>1</v>
      </c>
      <c r="E4174" s="3" t="inlineStr">
        <is>
          <t>FUCILE SEMIAUTOMATICO</t>
        </is>
      </c>
      <c r="F4174" s="3" t="n">
        <v>12</v>
      </c>
      <c r="G4174" s="84" t="inlineStr">
        <is>
          <t>FRANCHI</t>
        </is>
      </c>
      <c r="H4174" s="107" t="inlineStr">
        <is>
          <t>48 AL</t>
        </is>
      </c>
      <c r="I4174" s="107" t="inlineStr">
        <is>
          <t>B72589</t>
        </is>
      </c>
      <c r="J4174" s="107" t="inlineStr">
        <is>
          <t>AMA0087</t>
        </is>
      </c>
      <c r="K4174" s="65" t="inlineStr">
        <is>
          <t>N/D</t>
        </is>
      </c>
      <c r="L4174" s="127" t="inlineStr">
        <is>
          <t>ANTONIONI SPORT CACCIA E PESCA SRLS</t>
        </is>
      </c>
      <c r="M4174" s="5" t="n">
        <v>25.747</v>
      </c>
      <c r="N4174" s="5" t="n"/>
      <c r="O4174" s="5">
        <f>+M4174+N4174</f>
        <v/>
      </c>
      <c r="P4174" s="4" t="n"/>
      <c r="Q4174" s="87" t="n"/>
      <c r="R4174" s="5" t="n">
        <v>30</v>
      </c>
      <c r="S4174" s="2" t="n">
        <v>1</v>
      </c>
      <c r="T4174" s="3" t="inlineStr">
        <is>
          <t>CA42796IR</t>
        </is>
      </c>
      <c r="U4174" s="87" t="n">
        <v>46041</v>
      </c>
      <c r="V4174" s="3" t="inlineStr">
        <is>
          <t>1</t>
        </is>
      </c>
      <c r="W4174" s="108" t="n">
        <v>46041</v>
      </c>
      <c r="X4174" s="4" t="inlineStr">
        <is>
          <t>PHILIPPOS COSTANTINIDES TRADING CO. LTD</t>
        </is>
      </c>
    </row>
    <row r="4175" ht="24" customHeight="1">
      <c r="A4175" s="2">
        <f>+D4175-S4175</f>
        <v/>
      </c>
      <c r="B4175" s="126" t="n">
        <v>5763</v>
      </c>
      <c r="C4175" s="66" t="n">
        <v>46041</v>
      </c>
      <c r="D4175" s="2" t="n">
        <v>1</v>
      </c>
      <c r="E4175" s="3" t="inlineStr">
        <is>
          <t>FUCILE SEMIAUTOMATICO</t>
        </is>
      </c>
      <c r="F4175" s="3" t="n">
        <v>12</v>
      </c>
      <c r="G4175" s="84" t="inlineStr">
        <is>
          <t>FRANCHI</t>
        </is>
      </c>
      <c r="H4175" s="107" t="inlineStr">
        <is>
          <t>48 AL</t>
        </is>
      </c>
      <c r="I4175" s="107" t="inlineStr">
        <is>
          <t>B22069</t>
        </is>
      </c>
      <c r="J4175" s="107" t="inlineStr">
        <is>
          <t>958924</t>
        </is>
      </c>
      <c r="K4175" s="65" t="inlineStr">
        <is>
          <t>N/D</t>
        </is>
      </c>
      <c r="L4175" s="127" t="inlineStr">
        <is>
          <t>ANTONIONI SPORT CACCIA E PESCA SRLS</t>
        </is>
      </c>
      <c r="M4175" s="5" t="n">
        <v>25.747</v>
      </c>
      <c r="N4175" s="5" t="n"/>
      <c r="O4175" s="5">
        <f>+M4175+N4175</f>
        <v/>
      </c>
      <c r="P4175" s="4" t="n"/>
      <c r="Q4175" s="87" t="n"/>
      <c r="R4175" s="5" t="n">
        <v>30</v>
      </c>
      <c r="S4175" s="2" t="n">
        <v>1</v>
      </c>
      <c r="T4175" s="3" t="inlineStr">
        <is>
          <t>CA42796IR</t>
        </is>
      </c>
      <c r="U4175" s="87" t="n">
        <v>46041</v>
      </c>
      <c r="V4175" s="3" t="inlineStr">
        <is>
          <t>1</t>
        </is>
      </c>
      <c r="W4175" s="108" t="n">
        <v>46041</v>
      </c>
      <c r="X4175" s="4" t="inlineStr">
        <is>
          <t>PHILIPPOS COSTANTINIDES TRADING CO. LTD</t>
        </is>
      </c>
    </row>
    <row r="4176" ht="24" customHeight="1">
      <c r="A4176" s="2">
        <f>+D4176-S4176</f>
        <v/>
      </c>
      <c r="B4176" s="126" t="n">
        <v>5764</v>
      </c>
      <c r="C4176" s="66" t="n">
        <v>46041</v>
      </c>
      <c r="D4176" s="2" t="n">
        <v>1</v>
      </c>
      <c r="E4176" s="3" t="inlineStr">
        <is>
          <t>FUCILE SEMIAUTOMATICO</t>
        </is>
      </c>
      <c r="F4176" s="3" t="n">
        <v>12</v>
      </c>
      <c r="G4176" s="84" t="inlineStr">
        <is>
          <t>BENELLI</t>
        </is>
      </c>
      <c r="H4176" s="107" t="n">
        <v>123</v>
      </c>
      <c r="I4176" s="107" t="inlineStr">
        <is>
          <t>103175</t>
        </is>
      </c>
      <c r="J4176" s="107" t="inlineStr">
        <is>
          <t>106308</t>
        </is>
      </c>
      <c r="K4176" s="65" t="inlineStr">
        <is>
          <t>N/D</t>
        </is>
      </c>
      <c r="L4176" s="127" t="inlineStr">
        <is>
          <t>ANTONIONI SPORT CACCIA E PESCA SRLS</t>
        </is>
      </c>
      <c r="M4176" s="5" t="n">
        <v>25.747</v>
      </c>
      <c r="N4176" s="5" t="n"/>
      <c r="O4176" s="5">
        <f>+M4176+N4176</f>
        <v/>
      </c>
      <c r="P4176" s="4" t="n"/>
      <c r="Q4176" s="87" t="n"/>
      <c r="R4176" s="5" t="n">
        <v>30</v>
      </c>
      <c r="S4176" s="2" t="n">
        <v>1</v>
      </c>
      <c r="T4176" s="3" t="inlineStr">
        <is>
          <t>CA42796IR</t>
        </is>
      </c>
      <c r="U4176" s="87" t="n">
        <v>46041</v>
      </c>
      <c r="V4176" s="3" t="inlineStr">
        <is>
          <t>1</t>
        </is>
      </c>
      <c r="W4176" s="108" t="n">
        <v>46041</v>
      </c>
      <c r="X4176" s="4" t="inlineStr">
        <is>
          <t>PHILIPPOS COSTANTINIDES TRADING CO. LTD</t>
        </is>
      </c>
    </row>
    <row r="4177" ht="24" customHeight="1">
      <c r="A4177" s="2">
        <f>+D4177-S4177</f>
        <v/>
      </c>
      <c r="B4177" s="126" t="n">
        <v>5765</v>
      </c>
      <c r="C4177" s="66" t="n">
        <v>46041</v>
      </c>
      <c r="D4177" s="2" t="n">
        <v>1</v>
      </c>
      <c r="E4177" s="3" t="inlineStr">
        <is>
          <t>FUCILE SEMIAUTOMATICO</t>
        </is>
      </c>
      <c r="F4177" s="3" t="n">
        <v>12</v>
      </c>
      <c r="G4177" s="84" t="inlineStr">
        <is>
          <t>FRANCHI</t>
        </is>
      </c>
      <c r="H4177" s="107" t="inlineStr">
        <is>
          <t>48 AL</t>
        </is>
      </c>
      <c r="I4177" s="107" t="inlineStr">
        <is>
          <t>A28408</t>
        </is>
      </c>
      <c r="J4177" s="107" t="inlineStr">
        <is>
          <t>818011</t>
        </is>
      </c>
      <c r="K4177" s="65" t="inlineStr">
        <is>
          <t>N/D</t>
        </is>
      </c>
      <c r="L4177" s="127" t="inlineStr">
        <is>
          <t>ANTONIONI SPORT CACCIA E PESCA SRLS</t>
        </is>
      </c>
      <c r="M4177" s="5" t="n">
        <v>25.747</v>
      </c>
      <c r="N4177" s="5" t="n"/>
      <c r="O4177" s="5">
        <f>+M4177+N4177</f>
        <v/>
      </c>
      <c r="P4177" s="4" t="n"/>
      <c r="Q4177" s="87" t="n"/>
      <c r="R4177" s="5" t="n">
        <v>30</v>
      </c>
      <c r="S4177" s="2" t="n">
        <v>1</v>
      </c>
      <c r="T4177" s="3" t="inlineStr">
        <is>
          <t>CA42796IR</t>
        </is>
      </c>
      <c r="U4177" s="87" t="n">
        <v>46041</v>
      </c>
      <c r="V4177" s="3" t="inlineStr">
        <is>
          <t>1</t>
        </is>
      </c>
      <c r="W4177" s="108" t="n">
        <v>46041</v>
      </c>
      <c r="X4177" s="4" t="inlineStr">
        <is>
          <t>PHILIPPOS COSTANTINIDES TRADING CO. LTD</t>
        </is>
      </c>
    </row>
    <row r="4178" ht="24" customHeight="1">
      <c r="A4178" s="2">
        <f>+D4178-S4178</f>
        <v/>
      </c>
      <c r="B4178" s="126" t="n">
        <v>5766</v>
      </c>
      <c r="C4178" s="66" t="n">
        <v>46041</v>
      </c>
      <c r="D4178" s="2" t="n">
        <v>1</v>
      </c>
      <c r="E4178" s="3" t="inlineStr">
        <is>
          <t>FUCILE SEMIAUTOMATICO</t>
        </is>
      </c>
      <c r="F4178" s="3" t="n">
        <v>12</v>
      </c>
      <c r="G4178" s="84" t="inlineStr">
        <is>
          <t>FRANCHI</t>
        </is>
      </c>
      <c r="H4178" s="107" t="n">
        <v>520</v>
      </c>
      <c r="I4178" s="107" t="inlineStr">
        <is>
          <t>M08796</t>
        </is>
      </c>
      <c r="J4178" s="107" t="inlineStr">
        <is>
          <t>DLL4075</t>
        </is>
      </c>
      <c r="K4178" s="65" t="inlineStr">
        <is>
          <t>N/D</t>
        </is>
      </c>
      <c r="L4178" s="127" t="inlineStr">
        <is>
          <t>ANTONIONI SPORT CACCIA E PESCA SRLS</t>
        </is>
      </c>
      <c r="M4178" s="5" t="n">
        <v>25.747</v>
      </c>
      <c r="N4178" s="5" t="n"/>
      <c r="O4178" s="5">
        <f>+M4178+N4178</f>
        <v/>
      </c>
      <c r="P4178" s="4" t="n"/>
      <c r="Q4178" s="87" t="n"/>
      <c r="R4178" s="5" t="n">
        <v>30</v>
      </c>
      <c r="S4178" s="2" t="n">
        <v>1</v>
      </c>
      <c r="T4178" s="3" t="inlineStr">
        <is>
          <t>CA42796IR</t>
        </is>
      </c>
      <c r="U4178" s="87" t="n">
        <v>46041</v>
      </c>
      <c r="V4178" s="3" t="inlineStr">
        <is>
          <t>1</t>
        </is>
      </c>
      <c r="W4178" s="108" t="n">
        <v>46041</v>
      </c>
      <c r="X4178" s="4" t="inlineStr">
        <is>
          <t>PHILIPPOS COSTANTINIDES TRADING CO. LTD</t>
        </is>
      </c>
    </row>
    <row r="4179" ht="24" customHeight="1">
      <c r="A4179" s="2">
        <f>+D4179-S4179</f>
        <v/>
      </c>
      <c r="B4179" s="126" t="n">
        <v>5767</v>
      </c>
      <c r="C4179" s="66" t="n">
        <v>46041</v>
      </c>
      <c r="D4179" s="2" t="n">
        <v>1</v>
      </c>
      <c r="E4179" s="3" t="inlineStr">
        <is>
          <t>FUCILE SEMIAUTOMATICO</t>
        </is>
      </c>
      <c r="F4179" s="3" t="n">
        <v>12</v>
      </c>
      <c r="G4179" s="84" t="inlineStr">
        <is>
          <t>BERETTA</t>
        </is>
      </c>
      <c r="H4179" s="107" t="inlineStr">
        <is>
          <t xml:space="preserve">A300 </t>
        </is>
      </c>
      <c r="I4179" s="107" t="inlineStr">
        <is>
          <t>B5837</t>
        </is>
      </c>
      <c r="J4179" s="107" t="inlineStr">
        <is>
          <t>5837</t>
        </is>
      </c>
      <c r="K4179" s="65" t="inlineStr">
        <is>
          <t>N/D</t>
        </is>
      </c>
      <c r="L4179" s="127" t="inlineStr">
        <is>
          <t>ANTONIONI SPORT CACCIA E PESCA SRLS</t>
        </is>
      </c>
      <c r="M4179" s="5" t="n">
        <v>25.747</v>
      </c>
      <c r="N4179" s="5" t="n"/>
      <c r="O4179" s="5">
        <f>+M4179+N4179</f>
        <v/>
      </c>
      <c r="P4179" s="4" t="n"/>
      <c r="Q4179" s="87" t="n"/>
      <c r="R4179" s="5" t="n">
        <v>30</v>
      </c>
      <c r="S4179" s="2" t="n">
        <v>1</v>
      </c>
      <c r="T4179" s="3" t="inlineStr">
        <is>
          <t>CA42796IR</t>
        </is>
      </c>
      <c r="U4179" s="87" t="n">
        <v>46041</v>
      </c>
      <c r="V4179" s="3" t="inlineStr">
        <is>
          <t>1</t>
        </is>
      </c>
      <c r="W4179" s="108" t="n">
        <v>46041</v>
      </c>
      <c r="X4179" s="4" t="inlineStr">
        <is>
          <t>PHILIPPOS COSTANTINIDES TRADING CO. LTD</t>
        </is>
      </c>
    </row>
    <row r="4180" ht="24" customHeight="1">
      <c r="A4180" s="2">
        <f>+D4180-S4180</f>
        <v/>
      </c>
      <c r="B4180" s="126" t="n">
        <v>5768</v>
      </c>
      <c r="C4180" s="66" t="n">
        <v>46041</v>
      </c>
      <c r="D4180" s="2" t="n">
        <v>1</v>
      </c>
      <c r="E4180" s="3" t="inlineStr">
        <is>
          <t>FUCILE SEMIAUTOMATICO</t>
        </is>
      </c>
      <c r="F4180" s="3" t="n">
        <v>12</v>
      </c>
      <c r="G4180" s="84" t="inlineStr">
        <is>
          <t>BENELLI</t>
        </is>
      </c>
      <c r="H4180" s="107" t="inlineStr">
        <is>
          <t>123 SL80</t>
        </is>
      </c>
      <c r="I4180" s="107" t="inlineStr">
        <is>
          <t>215496</t>
        </is>
      </c>
      <c r="J4180" s="107" t="inlineStr">
        <is>
          <t>231014</t>
        </is>
      </c>
      <c r="K4180" s="65" t="inlineStr">
        <is>
          <t>N/D</t>
        </is>
      </c>
      <c r="L4180" s="127" t="inlineStr">
        <is>
          <t>ANTONIONI SPORT CACCIA E PESCA SRLS</t>
        </is>
      </c>
      <c r="M4180" s="5" t="n">
        <v>25.747</v>
      </c>
      <c r="N4180" s="5" t="n"/>
      <c r="O4180" s="5">
        <f>+M4180+N4180</f>
        <v/>
      </c>
      <c r="P4180" s="4" t="n"/>
      <c r="Q4180" s="87" t="n"/>
      <c r="R4180" s="5" t="n">
        <v>30</v>
      </c>
      <c r="S4180" s="2" t="n">
        <v>1</v>
      </c>
      <c r="T4180" s="3" t="inlineStr">
        <is>
          <t>CA42796IR</t>
        </is>
      </c>
      <c r="U4180" s="87" t="n">
        <v>46041</v>
      </c>
      <c r="V4180" s="3" t="inlineStr">
        <is>
          <t>1</t>
        </is>
      </c>
      <c r="W4180" s="108" t="n">
        <v>46041</v>
      </c>
      <c r="X4180" s="4" t="inlineStr">
        <is>
          <t>PHILIPPOS COSTANTINIDES TRADING CO. LTD</t>
        </is>
      </c>
    </row>
    <row r="4181" ht="24" customHeight="1">
      <c r="A4181" s="2">
        <f>+D4181-S4181</f>
        <v/>
      </c>
      <c r="B4181" s="126" t="n">
        <v>5769</v>
      </c>
      <c r="C4181" s="66" t="n">
        <v>46041</v>
      </c>
      <c r="D4181" s="2" t="n">
        <v>1</v>
      </c>
      <c r="E4181" s="3" t="inlineStr">
        <is>
          <t>FUCILE SEMIAUTOMATICO</t>
        </is>
      </c>
      <c r="F4181" s="3" t="n">
        <v>12</v>
      </c>
      <c r="G4181" s="84" t="inlineStr">
        <is>
          <t>FRANCHI</t>
        </is>
      </c>
      <c r="H4181" s="107" t="inlineStr">
        <is>
          <t>48 AL</t>
        </is>
      </c>
      <c r="I4181" s="107" t="inlineStr">
        <is>
          <t>097545</t>
        </is>
      </c>
      <c r="J4181" s="107" t="inlineStr">
        <is>
          <t>761046</t>
        </is>
      </c>
      <c r="K4181" s="65" t="inlineStr">
        <is>
          <t>N/D</t>
        </is>
      </c>
      <c r="L4181" s="127" t="inlineStr">
        <is>
          <t>ANTONIONI SPORT CACCIA E PESCA SRLS</t>
        </is>
      </c>
      <c r="M4181" s="5" t="n">
        <v>25.747</v>
      </c>
      <c r="N4181" s="5" t="n"/>
      <c r="O4181" s="5">
        <f>+M4181+N4181</f>
        <v/>
      </c>
      <c r="P4181" s="4" t="n"/>
      <c r="Q4181" s="87" t="n"/>
      <c r="R4181" s="5" t="n">
        <v>30</v>
      </c>
      <c r="S4181" s="2" t="n">
        <v>1</v>
      </c>
      <c r="T4181" s="3" t="inlineStr">
        <is>
          <t>CA42796IR</t>
        </is>
      </c>
      <c r="U4181" s="87" t="n">
        <v>46041</v>
      </c>
      <c r="V4181" s="3" t="inlineStr">
        <is>
          <t>1</t>
        </is>
      </c>
      <c r="W4181" s="108" t="n">
        <v>46041</v>
      </c>
      <c r="X4181" s="4" t="inlineStr">
        <is>
          <t>PHILIPPOS COSTANTINIDES TRADING CO. LTD</t>
        </is>
      </c>
    </row>
    <row r="4182" ht="24" customHeight="1">
      <c r="A4182" s="2">
        <f>+D4182-S4182</f>
        <v/>
      </c>
      <c r="B4182" s="126" t="n">
        <v>5770</v>
      </c>
      <c r="C4182" s="66" t="n">
        <v>46041</v>
      </c>
      <c r="D4182" s="2" t="n">
        <v>1</v>
      </c>
      <c r="E4182" s="3" t="inlineStr">
        <is>
          <t>FUCILE SEMIAUTOMATICO</t>
        </is>
      </c>
      <c r="F4182" s="3" t="n">
        <v>12</v>
      </c>
      <c r="G4182" s="84" t="inlineStr">
        <is>
          <t>BENELLI</t>
        </is>
      </c>
      <c r="H4182" s="107" t="inlineStr">
        <is>
          <t>L12</t>
        </is>
      </c>
      <c r="I4182" s="107" t="inlineStr">
        <is>
          <t>HA02675</t>
        </is>
      </c>
      <c r="J4182" s="107" t="inlineStr">
        <is>
          <t>A02849</t>
        </is>
      </c>
      <c r="K4182" s="65" t="inlineStr">
        <is>
          <t>N/D</t>
        </is>
      </c>
      <c r="L4182" s="127" t="inlineStr">
        <is>
          <t>ANTONIONI SPORT CACCIA E PESCA SRLS</t>
        </is>
      </c>
      <c r="M4182" s="5" t="n">
        <v>25.747</v>
      </c>
      <c r="N4182" s="5" t="n"/>
      <c r="O4182" s="5">
        <f>+M4182+N4182</f>
        <v/>
      </c>
      <c r="P4182" s="4" t="n"/>
      <c r="Q4182" s="87" t="n"/>
      <c r="R4182" s="5" t="n">
        <v>30</v>
      </c>
      <c r="S4182" s="2" t="n">
        <v>1</v>
      </c>
      <c r="T4182" s="3" t="inlineStr">
        <is>
          <t>CA42796IR</t>
        </is>
      </c>
      <c r="U4182" s="87" t="n">
        <v>46041</v>
      </c>
      <c r="V4182" s="3" t="inlineStr">
        <is>
          <t>1</t>
        </is>
      </c>
      <c r="W4182" s="108" t="n">
        <v>46041</v>
      </c>
      <c r="X4182" s="4" t="inlineStr">
        <is>
          <t>PHILIPPOS COSTANTINIDES TRADING CO. LTD</t>
        </is>
      </c>
    </row>
    <row r="4183" ht="24" customHeight="1">
      <c r="A4183" s="2">
        <f>+D4183-S4183</f>
        <v/>
      </c>
      <c r="B4183" s="126" t="n">
        <v>5771</v>
      </c>
      <c r="C4183" s="66" t="n">
        <v>46041</v>
      </c>
      <c r="D4183" s="2" t="n">
        <v>1</v>
      </c>
      <c r="E4183" s="3" t="inlineStr">
        <is>
          <t>FUCILE SEMIAUTOMATICO</t>
        </is>
      </c>
      <c r="F4183" s="3" t="n">
        <v>12</v>
      </c>
      <c r="G4183" s="84" t="inlineStr">
        <is>
          <t>BERETTA</t>
        </is>
      </c>
      <c r="H4183" s="107" t="inlineStr">
        <is>
          <t>CACCIA</t>
        </is>
      </c>
      <c r="I4183" s="107" t="inlineStr">
        <is>
          <t>007090</t>
        </is>
      </c>
      <c r="J4183" s="107" t="inlineStr">
        <is>
          <t>007090</t>
        </is>
      </c>
      <c r="K4183" s="65" t="inlineStr">
        <is>
          <t>N/D</t>
        </is>
      </c>
      <c r="L4183" s="127" t="inlineStr">
        <is>
          <t>ANTONIONI SPORT CACCIA E PESCA SRLS</t>
        </is>
      </c>
      <c r="M4183" s="5" t="n">
        <v>25.747</v>
      </c>
      <c r="N4183" s="5" t="n"/>
      <c r="O4183" s="5">
        <f>+M4183+N4183</f>
        <v/>
      </c>
      <c r="P4183" s="4" t="n"/>
      <c r="Q4183" s="87" t="n"/>
      <c r="R4183" s="5" t="n">
        <v>30</v>
      </c>
      <c r="S4183" s="2" t="n">
        <v>1</v>
      </c>
      <c r="T4183" s="3" t="inlineStr">
        <is>
          <t>CA42796IR</t>
        </is>
      </c>
      <c r="U4183" s="87" t="n">
        <v>46041</v>
      </c>
      <c r="V4183" s="3" t="inlineStr">
        <is>
          <t>1</t>
        </is>
      </c>
      <c r="W4183" s="108" t="n">
        <v>46041</v>
      </c>
      <c r="X4183" s="4" t="inlineStr">
        <is>
          <t>PHILIPPOS COSTANTINIDES TRADING CO. LTD</t>
        </is>
      </c>
    </row>
    <row r="4184" ht="24" customHeight="1">
      <c r="A4184" s="2">
        <f>+D4184-S4184</f>
        <v/>
      </c>
      <c r="B4184" s="126" t="n">
        <v>5772</v>
      </c>
      <c r="C4184" s="66" t="n">
        <v>46041</v>
      </c>
      <c r="D4184" s="2" t="n">
        <v>1</v>
      </c>
      <c r="E4184" s="3" t="inlineStr">
        <is>
          <t>FUCILE SEMIAUTOMATICO</t>
        </is>
      </c>
      <c r="F4184" s="3" t="n">
        <v>12</v>
      </c>
      <c r="G4184" s="84" t="inlineStr">
        <is>
          <t>BENELLI</t>
        </is>
      </c>
      <c r="H4184" s="107" t="n">
        <v>121</v>
      </c>
      <c r="I4184" s="107" t="inlineStr">
        <is>
          <t>A80996</t>
        </is>
      </c>
      <c r="J4184" s="107" t="inlineStr">
        <is>
          <t>A86422</t>
        </is>
      </c>
      <c r="K4184" s="65" t="inlineStr">
        <is>
          <t>N/D</t>
        </is>
      </c>
      <c r="L4184" s="127" t="inlineStr">
        <is>
          <t>ANTONIONI SPORT CACCIA E PESCA SRLS</t>
        </is>
      </c>
      <c r="M4184" s="5" t="n">
        <v>25.747</v>
      </c>
      <c r="N4184" s="5" t="n"/>
      <c r="O4184" s="5">
        <f>+M4184+N4184</f>
        <v/>
      </c>
      <c r="P4184" s="4" t="n"/>
      <c r="Q4184" s="87" t="n"/>
      <c r="R4184" s="5" t="n">
        <v>30</v>
      </c>
      <c r="S4184" s="2" t="n">
        <v>1</v>
      </c>
      <c r="T4184" s="3" t="inlineStr">
        <is>
          <t>CA42796IR</t>
        </is>
      </c>
      <c r="U4184" s="87" t="n">
        <v>46041</v>
      </c>
      <c r="V4184" s="3" t="inlineStr">
        <is>
          <t>1</t>
        </is>
      </c>
      <c r="W4184" s="108" t="n">
        <v>46041</v>
      </c>
      <c r="X4184" s="4" t="inlineStr">
        <is>
          <t>PHILIPPOS COSTANTINIDES TRADING CO. LTD</t>
        </is>
      </c>
    </row>
    <row r="4185" ht="24" customHeight="1">
      <c r="A4185" s="2">
        <f>+D4185-S4185</f>
        <v/>
      </c>
      <c r="B4185" s="126" t="n">
        <v>5773</v>
      </c>
      <c r="C4185" s="66" t="n">
        <v>46041</v>
      </c>
      <c r="D4185" s="2" t="n">
        <v>1</v>
      </c>
      <c r="E4185" s="3" t="inlineStr">
        <is>
          <t>FUCILE SEMIAUTOMATICO</t>
        </is>
      </c>
      <c r="F4185" s="3" t="n">
        <v>12</v>
      </c>
      <c r="G4185" s="84" t="inlineStr">
        <is>
          <t>FABARM</t>
        </is>
      </c>
      <c r="H4185" s="107" t="inlineStr">
        <is>
          <t>ELLEGI</t>
        </is>
      </c>
      <c r="I4185" s="107" t="inlineStr">
        <is>
          <t>491644</t>
        </is>
      </c>
      <c r="J4185" s="107" t="inlineStr">
        <is>
          <t>796163</t>
        </is>
      </c>
      <c r="K4185" s="65" t="inlineStr">
        <is>
          <t>N/D</t>
        </is>
      </c>
      <c r="L4185" s="127" t="inlineStr">
        <is>
          <t>ANTONIONI SPORT CACCIA E PESCA SRLS</t>
        </is>
      </c>
      <c r="M4185" s="5" t="n">
        <v>25.747</v>
      </c>
      <c r="N4185" s="5" t="n"/>
      <c r="O4185" s="5">
        <f>+M4185+N4185</f>
        <v/>
      </c>
      <c r="P4185" s="4" t="n"/>
      <c r="Q4185" s="87" t="n"/>
      <c r="R4185" s="5" t="n">
        <v>30</v>
      </c>
      <c r="S4185" s="2" t="n">
        <v>1</v>
      </c>
      <c r="T4185" s="3" t="inlineStr">
        <is>
          <t>CA42796IR</t>
        </is>
      </c>
      <c r="U4185" s="87" t="n">
        <v>46041</v>
      </c>
      <c r="V4185" s="3" t="inlineStr">
        <is>
          <t>1</t>
        </is>
      </c>
      <c r="W4185" s="108" t="n">
        <v>46041</v>
      </c>
      <c r="X4185" s="4" t="inlineStr">
        <is>
          <t>PHILIPPOS COSTANTINIDES TRADING CO. LTD</t>
        </is>
      </c>
    </row>
    <row r="4186" ht="24" customHeight="1">
      <c r="A4186" s="2">
        <f>+D4186-S4186</f>
        <v/>
      </c>
      <c r="B4186" s="126" t="n">
        <v>5774</v>
      </c>
      <c r="C4186" s="66" t="n">
        <v>46041</v>
      </c>
      <c r="D4186" s="2" t="n">
        <v>1</v>
      </c>
      <c r="E4186" s="3" t="inlineStr">
        <is>
          <t>FUCILE SEMIAUTOMATICO</t>
        </is>
      </c>
      <c r="F4186" s="3" t="n">
        <v>12</v>
      </c>
      <c r="G4186" s="84" t="inlineStr">
        <is>
          <t>BREDA</t>
        </is>
      </c>
      <c r="H4186" s="107" t="inlineStr">
        <is>
          <t>LR</t>
        </is>
      </c>
      <c r="I4186" s="107" t="inlineStr">
        <is>
          <t>SL573867</t>
        </is>
      </c>
      <c r="J4186" s="107" t="inlineStr">
        <is>
          <t>BV190841</t>
        </is>
      </c>
      <c r="K4186" s="65" t="inlineStr">
        <is>
          <t>N/D</t>
        </is>
      </c>
      <c r="L4186" s="127" t="inlineStr">
        <is>
          <t>ANTONIONI SPORT CACCIA E PESCA SRLS</t>
        </is>
      </c>
      <c r="M4186" s="5" t="n">
        <v>25.747</v>
      </c>
      <c r="N4186" s="5" t="n"/>
      <c r="O4186" s="5">
        <f>+M4186+N4186</f>
        <v/>
      </c>
      <c r="P4186" s="4" t="n"/>
      <c r="Q4186" s="87" t="n"/>
      <c r="R4186" s="5" t="n">
        <v>30</v>
      </c>
      <c r="S4186" s="2" t="n">
        <v>1</v>
      </c>
      <c r="T4186" s="3" t="inlineStr">
        <is>
          <t>CA42796IR</t>
        </is>
      </c>
      <c r="U4186" s="87" t="n">
        <v>46041</v>
      </c>
      <c r="V4186" s="3" t="inlineStr">
        <is>
          <t>1</t>
        </is>
      </c>
      <c r="W4186" s="108" t="n">
        <v>46041</v>
      </c>
      <c r="X4186" s="4" t="inlineStr">
        <is>
          <t>PHILIPPOS COSTANTINIDES TRADING CO. LTD</t>
        </is>
      </c>
    </row>
    <row r="4187" ht="24" customHeight="1">
      <c r="A4187" s="2">
        <f>+D4187-S4187</f>
        <v/>
      </c>
      <c r="B4187" s="126" t="n">
        <v>5775</v>
      </c>
      <c r="C4187" s="66" t="n">
        <v>46041</v>
      </c>
      <c r="D4187" s="2" t="n">
        <v>1</v>
      </c>
      <c r="E4187" s="3" t="inlineStr">
        <is>
          <t>FUCILE SEMIAUTOMATICO</t>
        </is>
      </c>
      <c r="F4187" s="3" t="n">
        <v>9</v>
      </c>
      <c r="G4187" s="84" t="inlineStr">
        <is>
          <t>BERNARDELLI</t>
        </is>
      </c>
      <c r="H4187" s="107" t="inlineStr">
        <is>
          <t>CACCIA</t>
        </is>
      </c>
      <c r="I4187" s="107" t="inlineStr">
        <is>
          <t>16179</t>
        </is>
      </c>
      <c r="J4187" s="107" t="inlineStr">
        <is>
          <t>N/D</t>
        </is>
      </c>
      <c r="K4187" s="65" t="inlineStr">
        <is>
          <t>N/D</t>
        </is>
      </c>
      <c r="L4187" s="127" t="inlineStr">
        <is>
          <t>ANTONIONI SPORT CACCIA E PESCA SRLS</t>
        </is>
      </c>
      <c r="M4187" s="5" t="n">
        <v>25.747</v>
      </c>
      <c r="N4187" s="5" t="n"/>
      <c r="O4187" s="5">
        <f>+M4187+N4187</f>
        <v/>
      </c>
      <c r="P4187" s="4" t="n"/>
      <c r="Q4187" s="87" t="n"/>
      <c r="R4187" s="5" t="n">
        <v>30</v>
      </c>
      <c r="S4187" s="2" t="n">
        <v>1</v>
      </c>
      <c r="T4187" s="3" t="inlineStr">
        <is>
          <t>CA42796IR</t>
        </is>
      </c>
      <c r="U4187" s="87" t="n">
        <v>46041</v>
      </c>
      <c r="V4187" s="3" t="inlineStr">
        <is>
          <t>1</t>
        </is>
      </c>
      <c r="W4187" s="108" t="n">
        <v>46041</v>
      </c>
      <c r="X4187" s="4" t="inlineStr">
        <is>
          <t>PHILIPPOS COSTANTINIDES TRADING CO. LTD</t>
        </is>
      </c>
    </row>
    <row r="4188" ht="24" customHeight="1">
      <c r="A4188" s="2">
        <f>+D4188-S4188</f>
        <v/>
      </c>
      <c r="B4188" s="126" t="n">
        <v>5776</v>
      </c>
      <c r="C4188" s="66" t="n">
        <v>46041</v>
      </c>
      <c r="D4188" s="2" t="n">
        <v>1</v>
      </c>
      <c r="E4188" s="3" t="inlineStr">
        <is>
          <t>FUCILE SEMIAUTOMATICO</t>
        </is>
      </c>
      <c r="F4188" s="3" t="n">
        <v>9</v>
      </c>
      <c r="G4188" s="84" t="inlineStr">
        <is>
          <t>BERNARDELLI</t>
        </is>
      </c>
      <c r="H4188" s="107" t="inlineStr">
        <is>
          <t>CACCIA</t>
        </is>
      </c>
      <c r="I4188" s="107" t="inlineStr">
        <is>
          <t>30962</t>
        </is>
      </c>
      <c r="J4188" s="107" t="inlineStr">
        <is>
          <t>N/D</t>
        </is>
      </c>
      <c r="K4188" s="65" t="inlineStr">
        <is>
          <t>N/D</t>
        </is>
      </c>
      <c r="L4188" s="127" t="inlineStr">
        <is>
          <t>ANTONIONI SPORT CACCIA E PESCA SRLS</t>
        </is>
      </c>
      <c r="M4188" s="5" t="n">
        <v>25.747</v>
      </c>
      <c r="N4188" s="5" t="n"/>
      <c r="O4188" s="5">
        <f>+M4188+N4188</f>
        <v/>
      </c>
      <c r="P4188" s="4" t="n"/>
      <c r="Q4188" s="87" t="n"/>
      <c r="R4188" s="5" t="n">
        <v>30</v>
      </c>
      <c r="S4188" s="2" t="n">
        <v>1</v>
      </c>
      <c r="T4188" s="3" t="inlineStr">
        <is>
          <t>CA42796IR</t>
        </is>
      </c>
      <c r="U4188" s="87" t="n">
        <v>46041</v>
      </c>
      <c r="V4188" s="3" t="inlineStr">
        <is>
          <t>1</t>
        </is>
      </c>
      <c r="W4188" s="108" t="n">
        <v>46041</v>
      </c>
      <c r="X4188" s="4" t="inlineStr">
        <is>
          <t>PHILIPPOS COSTANTINIDES TRADING CO. LTD</t>
        </is>
      </c>
    </row>
    <row r="4189" ht="24" customHeight="1">
      <c r="A4189" s="2">
        <f>+D4189-S4189</f>
        <v/>
      </c>
      <c r="B4189" s="126" t="n">
        <v>5777</v>
      </c>
      <c r="C4189" s="66" t="n">
        <v>46041</v>
      </c>
      <c r="D4189" s="2" t="n">
        <v>1</v>
      </c>
      <c r="E4189" s="3" t="inlineStr">
        <is>
          <t>FUCILE SEMIAUTOMATICO</t>
        </is>
      </c>
      <c r="F4189" s="3" t="n">
        <v>9</v>
      </c>
      <c r="G4189" s="84" t="inlineStr">
        <is>
          <t>BERNARDELLI</t>
        </is>
      </c>
      <c r="H4189" s="107" t="inlineStr">
        <is>
          <t>CACCIA</t>
        </is>
      </c>
      <c r="I4189" s="107" t="inlineStr">
        <is>
          <t>19913</t>
        </is>
      </c>
      <c r="J4189" s="107" t="inlineStr">
        <is>
          <t>N/D</t>
        </is>
      </c>
      <c r="K4189" s="65" t="inlineStr">
        <is>
          <t>N/D</t>
        </is>
      </c>
      <c r="L4189" s="127" t="inlineStr">
        <is>
          <t>ANTONIONI SPORT CACCIA E PESCA SRLS</t>
        </is>
      </c>
      <c r="M4189" s="5" t="n">
        <v>25.747</v>
      </c>
      <c r="N4189" s="5" t="n"/>
      <c r="O4189" s="5">
        <f>+M4189+N4189</f>
        <v/>
      </c>
      <c r="P4189" s="4" t="n"/>
      <c r="Q4189" s="87" t="n"/>
      <c r="R4189" s="5" t="n">
        <v>30</v>
      </c>
      <c r="S4189" s="2" t="n">
        <v>1</v>
      </c>
      <c r="T4189" s="3" t="inlineStr">
        <is>
          <t>CA42796IR</t>
        </is>
      </c>
      <c r="U4189" s="87" t="n">
        <v>46041</v>
      </c>
      <c r="V4189" s="3" t="inlineStr">
        <is>
          <t>1</t>
        </is>
      </c>
      <c r="W4189" s="108" t="n">
        <v>46041</v>
      </c>
      <c r="X4189" s="4" t="inlineStr">
        <is>
          <t>PHILIPPOS COSTANTINIDES TRADING CO. LTD</t>
        </is>
      </c>
    </row>
    <row r="4190" ht="24" customHeight="1">
      <c r="A4190" s="2">
        <f>+D4190-S4190</f>
        <v/>
      </c>
      <c r="B4190" s="126" t="n">
        <v>5778</v>
      </c>
      <c r="C4190" s="66" t="n">
        <v>46041</v>
      </c>
      <c r="D4190" s="2" t="n">
        <v>1</v>
      </c>
      <c r="E4190" s="3" t="inlineStr">
        <is>
          <t>FUCILE SEMIAUTOMATICO</t>
        </is>
      </c>
      <c r="F4190" s="3" t="n">
        <v>20</v>
      </c>
      <c r="G4190" s="84" t="inlineStr">
        <is>
          <t>BERETTA</t>
        </is>
      </c>
      <c r="H4190" s="107" t="inlineStr">
        <is>
          <t>A301</t>
        </is>
      </c>
      <c r="I4190" s="107" t="inlineStr">
        <is>
          <t>C37323E</t>
        </is>
      </c>
      <c r="J4190" s="107" t="inlineStr">
        <is>
          <t>H56883F</t>
        </is>
      </c>
      <c r="K4190" s="65" t="inlineStr">
        <is>
          <t>N/D</t>
        </is>
      </c>
      <c r="L4190" s="127" t="inlineStr">
        <is>
          <t>ANTONIONI SPORT CACCIA E PESCA SRLS</t>
        </is>
      </c>
      <c r="M4190" s="5" t="n">
        <v>25.747</v>
      </c>
      <c r="N4190" s="5" t="n"/>
      <c r="O4190" s="5">
        <f>+M4190+N4190</f>
        <v/>
      </c>
      <c r="P4190" s="4" t="n"/>
      <c r="Q4190" s="87" t="n"/>
      <c r="R4190" s="5" t="n">
        <v>30</v>
      </c>
      <c r="S4190" s="2" t="n">
        <v>1</v>
      </c>
      <c r="T4190" s="3" t="inlineStr">
        <is>
          <t>CA42796IR</t>
        </is>
      </c>
      <c r="U4190" s="87" t="n">
        <v>46041</v>
      </c>
      <c r="V4190" s="3" t="inlineStr">
        <is>
          <t>1</t>
        </is>
      </c>
      <c r="W4190" s="108" t="n">
        <v>46041</v>
      </c>
      <c r="X4190" s="4" t="inlineStr">
        <is>
          <t>PHILIPPOS COSTANTINIDES TRADING CO. LTD</t>
        </is>
      </c>
    </row>
    <row r="4191" ht="24" customHeight="1">
      <c r="A4191" s="2">
        <f>+D4191-S4191</f>
        <v/>
      </c>
      <c r="B4191" s="126" t="n">
        <v>5779</v>
      </c>
      <c r="C4191" s="66" t="n">
        <v>46041</v>
      </c>
      <c r="D4191" s="2" t="n">
        <v>1</v>
      </c>
      <c r="E4191" s="3" t="inlineStr">
        <is>
          <t>FUCILE SEMIAUTOMATICO</t>
        </is>
      </c>
      <c r="F4191" s="3" t="n">
        <v>12</v>
      </c>
      <c r="G4191" s="84" t="inlineStr">
        <is>
          <t>BERETTA</t>
        </is>
      </c>
      <c r="H4191" s="107" t="inlineStr">
        <is>
          <t>391 URIKA</t>
        </is>
      </c>
      <c r="I4191" s="107" t="inlineStr">
        <is>
          <t>AA465836</t>
        </is>
      </c>
      <c r="J4191" s="107" t="inlineStr">
        <is>
          <t>AB475836</t>
        </is>
      </c>
      <c r="K4191" s="65" t="inlineStr">
        <is>
          <t>N/D</t>
        </is>
      </c>
      <c r="L4191" s="127" t="inlineStr">
        <is>
          <t>ANTONIONI SPORT CACCIA E PESCA SRLS</t>
        </is>
      </c>
      <c r="M4191" s="5" t="n">
        <v>25.747</v>
      </c>
      <c r="N4191" s="5" t="n"/>
      <c r="O4191" s="5">
        <f>+M4191+N4191</f>
        <v/>
      </c>
      <c r="P4191" s="4" t="n"/>
      <c r="Q4191" s="87" t="n"/>
      <c r="R4191" s="5" t="n">
        <v>30</v>
      </c>
      <c r="S4191" s="2" t="n">
        <v>1</v>
      </c>
      <c r="T4191" s="3" t="inlineStr">
        <is>
          <t>CA42796IR</t>
        </is>
      </c>
      <c r="U4191" s="87" t="n">
        <v>46041</v>
      </c>
      <c r="V4191" s="3" t="inlineStr">
        <is>
          <t>1</t>
        </is>
      </c>
      <c r="W4191" s="108" t="n">
        <v>46041</v>
      </c>
      <c r="X4191" s="4" t="inlineStr">
        <is>
          <t>PHILIPPOS COSTANTINIDES TRADING CO. LTD</t>
        </is>
      </c>
    </row>
    <row r="4192" ht="24" customHeight="1">
      <c r="A4192" s="2">
        <f>+D4192-S4192</f>
        <v/>
      </c>
      <c r="B4192" s="126" t="n">
        <v>5780</v>
      </c>
      <c r="C4192" s="66" t="n">
        <v>46041</v>
      </c>
      <c r="D4192" s="2" t="n">
        <v>1</v>
      </c>
      <c r="E4192" s="3" t="inlineStr">
        <is>
          <t>FUCILE SEMIAUTOMATICO</t>
        </is>
      </c>
      <c r="F4192" s="3" t="n">
        <v>12</v>
      </c>
      <c r="G4192" s="84" t="inlineStr">
        <is>
          <t>BERETTA</t>
        </is>
      </c>
      <c r="H4192" s="107" t="inlineStr">
        <is>
          <t>AL2</t>
        </is>
      </c>
      <c r="I4192" s="107" t="inlineStr">
        <is>
          <t>A52910E</t>
        </is>
      </c>
      <c r="J4192" s="107" t="inlineStr">
        <is>
          <t>B08003F</t>
        </is>
      </c>
      <c r="K4192" s="65" t="inlineStr">
        <is>
          <t>N/D</t>
        </is>
      </c>
      <c r="L4192" s="127" t="inlineStr">
        <is>
          <t>ANTONIONI SPORT CACCIA E PESCA SRLS</t>
        </is>
      </c>
      <c r="M4192" s="5" t="n">
        <v>25.747</v>
      </c>
      <c r="N4192" s="5" t="n"/>
      <c r="O4192" s="5">
        <f>+M4192+N4192</f>
        <v/>
      </c>
      <c r="P4192" s="4" t="n"/>
      <c r="Q4192" s="87" t="n"/>
      <c r="R4192" s="5" t="n">
        <v>30</v>
      </c>
      <c r="S4192" s="2" t="n">
        <v>1</v>
      </c>
      <c r="T4192" s="3" t="inlineStr">
        <is>
          <t>CA42796IR</t>
        </is>
      </c>
      <c r="U4192" s="87" t="n">
        <v>46041</v>
      </c>
      <c r="V4192" s="3" t="inlineStr">
        <is>
          <t>1</t>
        </is>
      </c>
      <c r="W4192" s="108" t="n">
        <v>46041</v>
      </c>
      <c r="X4192" s="4" t="inlineStr">
        <is>
          <t>PHILIPPOS COSTANTINIDES TRADING CO. LTD</t>
        </is>
      </c>
    </row>
    <row r="4193" ht="24" customHeight="1">
      <c r="A4193" s="2">
        <f>+D4193-S4193</f>
        <v/>
      </c>
      <c r="B4193" s="126" t="n">
        <v>5781</v>
      </c>
      <c r="C4193" s="66" t="n">
        <v>46041</v>
      </c>
      <c r="D4193" s="2" t="n">
        <v>1</v>
      </c>
      <c r="E4193" s="3" t="inlineStr">
        <is>
          <t>FUCILE SEMIAUTOMATICO</t>
        </is>
      </c>
      <c r="F4193" s="3" t="n">
        <v>12</v>
      </c>
      <c r="G4193" s="84" t="inlineStr">
        <is>
          <t>BROWNING</t>
        </is>
      </c>
      <c r="H4193" s="107" t="inlineStr">
        <is>
          <t>AUTO 5</t>
        </is>
      </c>
      <c r="I4193" s="107" t="inlineStr">
        <is>
          <t>6484761</t>
        </is>
      </c>
      <c r="J4193" s="107" t="inlineStr">
        <is>
          <t>6484761</t>
        </is>
      </c>
      <c r="K4193" s="65" t="inlineStr">
        <is>
          <t>N/D</t>
        </is>
      </c>
      <c r="L4193" s="127" t="inlineStr">
        <is>
          <t>ANTONIONI SPORT CACCIA E PESCA SRLS</t>
        </is>
      </c>
      <c r="M4193" s="5" t="n">
        <v>25.747</v>
      </c>
      <c r="N4193" s="5" t="n"/>
      <c r="O4193" s="5">
        <f>+M4193+N4193</f>
        <v/>
      </c>
      <c r="P4193" s="4" t="n"/>
      <c r="Q4193" s="87" t="n"/>
      <c r="R4193" s="5" t="n">
        <v>30</v>
      </c>
      <c r="S4193" s="2" t="n">
        <v>1</v>
      </c>
      <c r="T4193" s="3" t="inlineStr">
        <is>
          <t>CA42796IR</t>
        </is>
      </c>
      <c r="U4193" s="87" t="n">
        <v>46041</v>
      </c>
      <c r="V4193" s="3" t="inlineStr">
        <is>
          <t>1</t>
        </is>
      </c>
      <c r="W4193" s="108" t="n">
        <v>46041</v>
      </c>
      <c r="X4193" s="4" t="inlineStr">
        <is>
          <t>PHILIPPOS COSTANTINIDES TRADING CO. LTD</t>
        </is>
      </c>
    </row>
    <row r="4194" ht="24" customHeight="1">
      <c r="A4194" s="2">
        <f>+D4194-S4194</f>
        <v/>
      </c>
      <c r="B4194" s="126" t="n">
        <v>5782</v>
      </c>
      <c r="C4194" s="66" t="n">
        <v>46041</v>
      </c>
      <c r="D4194" s="2" t="n">
        <v>1</v>
      </c>
      <c r="E4194" s="3" t="inlineStr">
        <is>
          <t>FUCILE SEMIAUTOMATICO</t>
        </is>
      </c>
      <c r="F4194" s="3" t="n">
        <v>12</v>
      </c>
      <c r="G4194" s="84" t="inlineStr">
        <is>
          <t>FRANCHI</t>
        </is>
      </c>
      <c r="H4194" s="107" t="inlineStr">
        <is>
          <t>PRESTIGE</t>
        </is>
      </c>
      <c r="I4194" s="107" t="inlineStr">
        <is>
          <t>S82112</t>
        </is>
      </c>
      <c r="J4194" s="107" t="inlineStr">
        <is>
          <t>PAL2855</t>
        </is>
      </c>
      <c r="K4194" s="65" t="inlineStr">
        <is>
          <t>N/D</t>
        </is>
      </c>
      <c r="L4194" s="127" t="inlineStr">
        <is>
          <t>ANTONIONI SPORT CACCIA E PESCA SRLS</t>
        </is>
      </c>
      <c r="M4194" s="5" t="n">
        <v>25.747</v>
      </c>
      <c r="N4194" s="5" t="n"/>
      <c r="O4194" s="5">
        <f>+M4194+N4194</f>
        <v/>
      </c>
      <c r="P4194" s="4" t="n"/>
      <c r="Q4194" s="87" t="n"/>
      <c r="R4194" s="5" t="n">
        <v>30</v>
      </c>
      <c r="S4194" s="2" t="n">
        <v>1</v>
      </c>
      <c r="T4194" s="3" t="inlineStr">
        <is>
          <t>CA42796IR</t>
        </is>
      </c>
      <c r="U4194" s="87" t="n">
        <v>46041</v>
      </c>
      <c r="V4194" s="3" t="inlineStr">
        <is>
          <t>1</t>
        </is>
      </c>
      <c r="W4194" s="108" t="n">
        <v>46041</v>
      </c>
      <c r="X4194" s="4" t="inlineStr">
        <is>
          <t>PHILIPPOS COSTANTINIDES TRADING CO. LTD</t>
        </is>
      </c>
    </row>
    <row r="4195" ht="24" customHeight="1">
      <c r="A4195" s="2">
        <f>+D4195-S4195</f>
        <v/>
      </c>
      <c r="B4195" s="126" t="n">
        <v>5783</v>
      </c>
      <c r="C4195" s="66" t="n">
        <v>46041</v>
      </c>
      <c r="D4195" s="2" t="n">
        <v>1</v>
      </c>
      <c r="E4195" s="3" t="inlineStr">
        <is>
          <t>FUCILE SEMIAUTOMATICO</t>
        </is>
      </c>
      <c r="F4195" s="3" t="n">
        <v>12</v>
      </c>
      <c r="G4195" s="84" t="inlineStr">
        <is>
          <t>BERETTA</t>
        </is>
      </c>
      <c r="H4195" s="107" t="inlineStr">
        <is>
          <t>A304 SILVER LARK</t>
        </is>
      </c>
      <c r="I4195" s="107" t="inlineStr">
        <is>
          <t>P81227E</t>
        </is>
      </c>
      <c r="J4195" s="107" t="inlineStr">
        <is>
          <t>R38885F</t>
        </is>
      </c>
      <c r="K4195" s="65" t="inlineStr">
        <is>
          <t>N/D</t>
        </is>
      </c>
      <c r="L4195" s="127" t="inlineStr">
        <is>
          <t>ANTONIONI SPORT CACCIA E PESCA SRLS</t>
        </is>
      </c>
      <c r="M4195" s="5" t="n">
        <v>25.747</v>
      </c>
      <c r="N4195" s="5" t="n"/>
      <c r="O4195" s="5">
        <f>+M4195+N4195</f>
        <v/>
      </c>
      <c r="P4195" s="4" t="n"/>
      <c r="Q4195" s="87" t="n"/>
      <c r="R4195" s="5" t="n">
        <v>30</v>
      </c>
      <c r="S4195" s="2" t="n">
        <v>1</v>
      </c>
      <c r="T4195" s="3" t="inlineStr">
        <is>
          <t>CA42796IR</t>
        </is>
      </c>
      <c r="U4195" s="87" t="n">
        <v>46041</v>
      </c>
      <c r="V4195" s="3" t="inlineStr">
        <is>
          <t>1</t>
        </is>
      </c>
      <c r="W4195" s="108" t="n">
        <v>46041</v>
      </c>
      <c r="X4195" s="4" t="inlineStr">
        <is>
          <t>PHILIPPOS COSTANTINIDES TRADING CO. LTD</t>
        </is>
      </c>
    </row>
    <row r="4196" ht="24" customHeight="1">
      <c r="A4196" s="2">
        <f>+D4196-S4196</f>
        <v/>
      </c>
      <c r="B4196" s="126" t="n">
        <v>5784</v>
      </c>
      <c r="C4196" s="66" t="n">
        <v>46041</v>
      </c>
      <c r="D4196" s="2" t="n">
        <v>1</v>
      </c>
      <c r="E4196" s="3" t="inlineStr">
        <is>
          <t>FUCILE SEMIAUTOMATICO</t>
        </is>
      </c>
      <c r="F4196" s="3" t="n">
        <v>12</v>
      </c>
      <c r="G4196" s="84" t="inlineStr">
        <is>
          <t>FRANCHI</t>
        </is>
      </c>
      <c r="H4196" s="107" t="n">
        <v>500</v>
      </c>
      <c r="I4196" s="107" t="inlineStr">
        <is>
          <t>R08362</t>
        </is>
      </c>
      <c r="J4196" s="107" t="inlineStr">
        <is>
          <t>FGL3686</t>
        </is>
      </c>
      <c r="K4196" s="65" t="inlineStr">
        <is>
          <t>N/D</t>
        </is>
      </c>
      <c r="L4196" s="127" t="inlineStr">
        <is>
          <t>ANTONIONI SPORT CACCIA E PESCA SRLS</t>
        </is>
      </c>
      <c r="M4196" s="5" t="n">
        <v>25.747</v>
      </c>
      <c r="N4196" s="5" t="n"/>
      <c r="O4196" s="5">
        <f>+M4196+N4196</f>
        <v/>
      </c>
      <c r="P4196" s="4" t="n"/>
      <c r="Q4196" s="87" t="n"/>
      <c r="R4196" s="5" t="n">
        <v>30</v>
      </c>
      <c r="S4196" s="2" t="n">
        <v>1</v>
      </c>
      <c r="T4196" s="3" t="inlineStr">
        <is>
          <t>CA42796IR</t>
        </is>
      </c>
      <c r="U4196" s="87" t="n">
        <v>46041</v>
      </c>
      <c r="V4196" s="3" t="inlineStr">
        <is>
          <t>1</t>
        </is>
      </c>
      <c r="W4196" s="108" t="n">
        <v>46041</v>
      </c>
      <c r="X4196" s="4" t="inlineStr">
        <is>
          <t>PHILIPPOS COSTANTINIDES TRADING CO. LTD</t>
        </is>
      </c>
    </row>
    <row r="4197" ht="24" customHeight="1">
      <c r="A4197" s="2">
        <f>+D4197-S4197</f>
        <v/>
      </c>
      <c r="B4197" s="126" t="n">
        <v>5785</v>
      </c>
      <c r="C4197" s="66" t="n">
        <v>46041</v>
      </c>
      <c r="D4197" s="2" t="n">
        <v>1</v>
      </c>
      <c r="E4197" s="3" t="inlineStr">
        <is>
          <t>FUCILE DOPPIETTA CANI INTERNI</t>
        </is>
      </c>
      <c r="F4197" s="3" t="n">
        <v>12</v>
      </c>
      <c r="G4197" s="84" t="inlineStr">
        <is>
          <t>FRANCHI</t>
        </is>
      </c>
      <c r="H4197" s="107" t="inlineStr">
        <is>
          <t>CACCIA</t>
        </is>
      </c>
      <c r="I4197" s="107" t="inlineStr">
        <is>
          <t>7596</t>
        </is>
      </c>
      <c r="J4197" s="107" t="inlineStr">
        <is>
          <t>N/D</t>
        </is>
      </c>
      <c r="K4197" s="65" t="inlineStr">
        <is>
          <t>N/D</t>
        </is>
      </c>
      <c r="L4197" s="127" t="inlineStr">
        <is>
          <t>ANTONIONI SPORT CACCIA E PESCA SRLS</t>
        </is>
      </c>
      <c r="M4197" s="5" t="n">
        <v>25.747</v>
      </c>
      <c r="N4197" s="5" t="n"/>
      <c r="O4197" s="5">
        <f>+M4197+N4197</f>
        <v/>
      </c>
      <c r="P4197" s="4" t="n"/>
      <c r="Q4197" s="87" t="n"/>
      <c r="R4197" s="5" t="n">
        <v>30</v>
      </c>
      <c r="S4197" s="2" t="n">
        <v>1</v>
      </c>
      <c r="T4197" s="3" t="inlineStr">
        <is>
          <t>CA42796IR</t>
        </is>
      </c>
      <c r="U4197" s="87" t="n">
        <v>46041</v>
      </c>
      <c r="V4197" s="3" t="inlineStr">
        <is>
          <t>1</t>
        </is>
      </c>
      <c r="W4197" s="108" t="n">
        <v>46041</v>
      </c>
      <c r="X4197" s="4" t="inlineStr">
        <is>
          <t>PHILIPPOS COSTANTINIDES TRADING CO. LTD</t>
        </is>
      </c>
    </row>
    <row r="4198" ht="24" customHeight="1">
      <c r="A4198" s="2">
        <f>+D4198-S4198</f>
        <v/>
      </c>
      <c r="B4198" s="126" t="n">
        <v>5786</v>
      </c>
      <c r="C4198" s="66" t="n">
        <v>46041</v>
      </c>
      <c r="D4198" s="2" t="n">
        <v>1</v>
      </c>
      <c r="E4198" s="3" t="inlineStr">
        <is>
          <t>FUCILE DOPPIETTA CANI ESTERNI</t>
        </is>
      </c>
      <c r="F4198" s="3" t="n">
        <v>12</v>
      </c>
      <c r="G4198" s="84" t="inlineStr">
        <is>
          <t>ARTIGIANA</t>
        </is>
      </c>
      <c r="H4198" s="107" t="inlineStr">
        <is>
          <t>CANI ESTERNI</t>
        </is>
      </c>
      <c r="I4198" s="107" t="inlineStr">
        <is>
          <t>92898</t>
        </is>
      </c>
      <c r="J4198" s="65" t="inlineStr">
        <is>
          <t>N/D</t>
        </is>
      </c>
      <c r="K4198" s="65" t="inlineStr">
        <is>
          <t>N/D</t>
        </is>
      </c>
      <c r="L4198" s="127" t="inlineStr">
        <is>
          <t>ANTONIONI SPORT CACCIA E PESCA SRLS</t>
        </is>
      </c>
      <c r="M4198" s="5" t="n">
        <v>25.747</v>
      </c>
      <c r="N4198" s="5" t="n"/>
      <c r="O4198" s="5">
        <f>+M4198+N4198</f>
        <v/>
      </c>
      <c r="P4198" s="4" t="n"/>
      <c r="Q4198" s="87" t="n"/>
      <c r="R4198" s="5" t="n">
        <v>31.94</v>
      </c>
      <c r="S4198" s="2" t="n">
        <v>1</v>
      </c>
      <c r="T4198" s="3" t="inlineStr">
        <is>
          <t>CA42796IR</t>
        </is>
      </c>
      <c r="U4198" s="87" t="n">
        <v>46097</v>
      </c>
      <c r="V4198" s="3" t="inlineStr">
        <is>
          <t>4</t>
        </is>
      </c>
      <c r="W4198" s="108" t="n">
        <v>46097</v>
      </c>
      <c r="X4198" s="4" t="inlineStr">
        <is>
          <t>PHILIPPOS  CONSTANTINIDES
TRADING CO.LTD</t>
        </is>
      </c>
    </row>
    <row r="4199" ht="24" customHeight="1">
      <c r="A4199" s="2">
        <f>+D4199-S4199</f>
        <v/>
      </c>
      <c r="B4199" s="126" t="n">
        <v>5787</v>
      </c>
      <c r="C4199" s="66" t="n">
        <v>46041</v>
      </c>
      <c r="D4199" s="2" t="n">
        <v>1</v>
      </c>
      <c r="E4199" s="3" t="inlineStr">
        <is>
          <t>FUCILE DOPPIETTA CANI ESTERNI</t>
        </is>
      </c>
      <c r="F4199" s="3" t="n">
        <v>12</v>
      </c>
      <c r="G4199" s="84" t="inlineStr">
        <is>
          <t>BELLERI</t>
        </is>
      </c>
      <c r="H4199" s="107" t="inlineStr">
        <is>
          <t>CANI ESTERNI</t>
        </is>
      </c>
      <c r="I4199" s="107" t="inlineStr">
        <is>
          <t>22764</t>
        </is>
      </c>
      <c r="J4199" s="65" t="inlineStr">
        <is>
          <t>N/D</t>
        </is>
      </c>
      <c r="K4199" s="65" t="inlineStr">
        <is>
          <t>N/D</t>
        </is>
      </c>
      <c r="L4199" s="127" t="inlineStr">
        <is>
          <t>ANTONIONI SPORT CACCIA E PESCA SRLS</t>
        </is>
      </c>
      <c r="M4199" s="5" t="n">
        <v>25.747</v>
      </c>
      <c r="N4199" s="5" t="n"/>
      <c r="O4199" s="5">
        <f>+M4199+N4199</f>
        <v/>
      </c>
      <c r="P4199" s="4" t="n"/>
      <c r="Q4199" s="87" t="n"/>
      <c r="R4199" s="5" t="n">
        <v>31.94</v>
      </c>
      <c r="S4199" s="2" t="n">
        <v>1</v>
      </c>
      <c r="T4199" s="3" t="inlineStr">
        <is>
          <t>CA42796IR</t>
        </is>
      </c>
      <c r="U4199" s="87" t="n">
        <v>46097</v>
      </c>
      <c r="V4199" s="3" t="inlineStr">
        <is>
          <t>4</t>
        </is>
      </c>
      <c r="W4199" s="108" t="n">
        <v>46097</v>
      </c>
      <c r="X4199" s="4" t="inlineStr">
        <is>
          <t>PHILIPPOS  CONSTANTINIDES
TRADING CO.LTD</t>
        </is>
      </c>
    </row>
    <row r="4200" ht="24" customHeight="1">
      <c r="A4200" s="2">
        <f>+D4200-S4200</f>
        <v/>
      </c>
      <c r="B4200" s="126" t="n">
        <v>5788</v>
      </c>
      <c r="C4200" s="66" t="n">
        <v>46041</v>
      </c>
      <c r="D4200" s="2" t="n">
        <v>1</v>
      </c>
      <c r="E4200" s="3" t="inlineStr">
        <is>
          <t>FUCILE DOPPIETTA CANI ESTERNI</t>
        </is>
      </c>
      <c r="F4200" s="3" t="n">
        <v>12</v>
      </c>
      <c r="G4200" s="84" t="inlineStr">
        <is>
          <t>COCKERILL</t>
        </is>
      </c>
      <c r="H4200" s="107" t="inlineStr">
        <is>
          <t>CANI ESTERNI</t>
        </is>
      </c>
      <c r="I4200" s="107" t="inlineStr">
        <is>
          <t>844</t>
        </is>
      </c>
      <c r="J4200" s="107" t="inlineStr">
        <is>
          <t>N/D</t>
        </is>
      </c>
      <c r="K4200" s="65" t="inlineStr">
        <is>
          <t>N/D</t>
        </is>
      </c>
      <c r="L4200" s="127" t="inlineStr">
        <is>
          <t>ANTONIONI SPORT CACCIA E PESCA SRLS</t>
        </is>
      </c>
      <c r="M4200" s="5" t="n">
        <v>25.747</v>
      </c>
      <c r="N4200" s="5" t="n"/>
      <c r="O4200" s="5">
        <f>+M4200+N4200</f>
        <v/>
      </c>
      <c r="P4200" s="4" t="n"/>
      <c r="Q4200" s="87" t="n"/>
      <c r="R4200" s="5" t="n">
        <v>30</v>
      </c>
      <c r="S4200" s="2" t="n">
        <v>1</v>
      </c>
      <c r="T4200" s="3" t="inlineStr">
        <is>
          <t>CA42796IR</t>
        </is>
      </c>
      <c r="U4200" s="87" t="n">
        <v>46041</v>
      </c>
      <c r="V4200" s="3" t="inlineStr">
        <is>
          <t>1</t>
        </is>
      </c>
      <c r="W4200" s="108" t="n">
        <v>46041</v>
      </c>
      <c r="X4200" s="4" t="inlineStr">
        <is>
          <t>PHILIPPOS COSTANTINIDES TRADING CO. LTD</t>
        </is>
      </c>
    </row>
    <row r="4201" ht="24" customHeight="1">
      <c r="A4201" s="2">
        <f>+D4201-S4201</f>
        <v/>
      </c>
      <c r="B4201" s="126" t="n">
        <v>5789</v>
      </c>
      <c r="C4201" s="66" t="n">
        <v>46041</v>
      </c>
      <c r="D4201" s="2" t="n">
        <v>1</v>
      </c>
      <c r="E4201" s="3" t="inlineStr">
        <is>
          <t>FUCILE DOPPIETTA CANI ESTERNI</t>
        </is>
      </c>
      <c r="F4201" s="3" t="n">
        <v>12</v>
      </c>
      <c r="G4201" s="84" t="inlineStr">
        <is>
          <t>KRUPP</t>
        </is>
      </c>
      <c r="H4201" s="107" t="inlineStr">
        <is>
          <t>CANI ESTERNI</t>
        </is>
      </c>
      <c r="I4201" s="107" t="inlineStr">
        <is>
          <t>6062</t>
        </is>
      </c>
      <c r="J4201" s="107" t="inlineStr">
        <is>
          <t>N/D</t>
        </is>
      </c>
      <c r="K4201" s="65" t="inlineStr">
        <is>
          <t>N/D</t>
        </is>
      </c>
      <c r="L4201" s="127" t="inlineStr">
        <is>
          <t>ANTONIONI SPORT CACCIA E PESCA SRLS</t>
        </is>
      </c>
      <c r="M4201" s="5" t="n">
        <v>25.747</v>
      </c>
      <c r="N4201" s="5" t="n"/>
      <c r="O4201" s="5">
        <f>+M4201+N4201</f>
        <v/>
      </c>
      <c r="P4201" s="4" t="n"/>
      <c r="Q4201" s="87" t="n"/>
      <c r="R4201" s="5" t="n">
        <v>30</v>
      </c>
      <c r="S4201" s="2" t="n">
        <v>1</v>
      </c>
      <c r="T4201" s="3" t="inlineStr">
        <is>
          <t>CA42796IR</t>
        </is>
      </c>
      <c r="U4201" s="87" t="n">
        <v>46041</v>
      </c>
      <c r="V4201" s="3" t="inlineStr">
        <is>
          <t>1</t>
        </is>
      </c>
      <c r="W4201" s="108" t="n">
        <v>46041</v>
      </c>
      <c r="X4201" s="4" t="inlineStr">
        <is>
          <t>PHILIPPOS COSTANTINIDES TRADING CO. LTD</t>
        </is>
      </c>
    </row>
    <row r="4202" ht="24" customHeight="1">
      <c r="A4202" s="2">
        <f>+D4202-S4202</f>
        <v/>
      </c>
      <c r="B4202" s="126" t="n">
        <v>5790</v>
      </c>
      <c r="C4202" s="66" t="n">
        <v>46041</v>
      </c>
      <c r="D4202" s="2" t="n">
        <v>1</v>
      </c>
      <c r="E4202" s="3" t="inlineStr">
        <is>
          <t>FUCILE DOPPIETTA CANI ESTERNI</t>
        </is>
      </c>
      <c r="F4202" s="3" t="n">
        <v>12</v>
      </c>
      <c r="G4202" s="84" t="inlineStr">
        <is>
          <t>BERNARDELLI</t>
        </is>
      </c>
      <c r="H4202" s="107" t="inlineStr">
        <is>
          <t>CANI ESTERNI</t>
        </is>
      </c>
      <c r="I4202" s="107" t="inlineStr">
        <is>
          <t>7130/134</t>
        </is>
      </c>
      <c r="J4202" s="65" t="inlineStr">
        <is>
          <t>N/D</t>
        </is>
      </c>
      <c r="K4202" s="65" t="inlineStr">
        <is>
          <t>N/D</t>
        </is>
      </c>
      <c r="L4202" s="127" t="inlineStr">
        <is>
          <t>ANTONIONI SPORT CACCIA E PESCA SRLS</t>
        </is>
      </c>
      <c r="M4202" s="5" t="n">
        <v>25.747</v>
      </c>
      <c r="N4202" s="5" t="n"/>
      <c r="O4202" s="5">
        <f>+M4202+N4202</f>
        <v/>
      </c>
      <c r="P4202" s="4" t="n"/>
      <c r="Q4202" s="87" t="n"/>
      <c r="R4202" s="5" t="n">
        <v>31.94</v>
      </c>
      <c r="S4202" s="2" t="n">
        <v>1</v>
      </c>
      <c r="T4202" s="3" t="inlineStr">
        <is>
          <t>CA42796IR</t>
        </is>
      </c>
      <c r="U4202" s="87" t="n">
        <v>46097</v>
      </c>
      <c r="V4202" s="3" t="inlineStr">
        <is>
          <t>4</t>
        </is>
      </c>
      <c r="W4202" s="108" t="n">
        <v>46097</v>
      </c>
      <c r="X4202" s="4" t="inlineStr">
        <is>
          <t>PHILIPPOS  CONSTANTINIDES
TRADING CO.LTD</t>
        </is>
      </c>
    </row>
    <row r="4203" ht="24" customHeight="1">
      <c r="A4203" s="2">
        <f>+D4203-S4203</f>
        <v/>
      </c>
      <c r="B4203" s="126" t="n">
        <v>5791</v>
      </c>
      <c r="C4203" s="66" t="n">
        <v>46041</v>
      </c>
      <c r="D4203" s="2" t="n">
        <v>1</v>
      </c>
      <c r="E4203" s="3" t="inlineStr">
        <is>
          <t>FUCILE DOPPIETTA CANI INTERNI</t>
        </is>
      </c>
      <c r="F4203" s="3" t="n">
        <v>12</v>
      </c>
      <c r="G4203" s="84" t="inlineStr">
        <is>
          <t>ARTIGIANA</t>
        </is>
      </c>
      <c r="H4203" s="107" t="inlineStr">
        <is>
          <t>CACCIA</t>
        </is>
      </c>
      <c r="I4203" s="107" t="inlineStr">
        <is>
          <t>932</t>
        </is>
      </c>
      <c r="J4203" s="107" t="inlineStr">
        <is>
          <t>N/D</t>
        </is>
      </c>
      <c r="K4203" s="65" t="inlineStr">
        <is>
          <t>N/D</t>
        </is>
      </c>
      <c r="L4203" s="127" t="inlineStr">
        <is>
          <t>ANTONIONI SPORT CACCIA E PESCA SRLS</t>
        </is>
      </c>
      <c r="M4203" s="5" t="n">
        <v>25.747</v>
      </c>
      <c r="N4203" s="5" t="n"/>
      <c r="O4203" s="5">
        <f>+M4203+N4203</f>
        <v/>
      </c>
      <c r="P4203" s="4" t="n"/>
      <c r="Q4203" s="87" t="n"/>
      <c r="R4203" s="5" t="n">
        <v>30</v>
      </c>
      <c r="S4203" s="2" t="n">
        <v>1</v>
      </c>
      <c r="T4203" s="3" t="inlineStr">
        <is>
          <t>CA42796IR</t>
        </is>
      </c>
      <c r="U4203" s="87" t="n">
        <v>46041</v>
      </c>
      <c r="V4203" s="3" t="inlineStr">
        <is>
          <t>1</t>
        </is>
      </c>
      <c r="W4203" s="108" t="n">
        <v>46041</v>
      </c>
      <c r="X4203" s="4" t="inlineStr">
        <is>
          <t>PHILIPPOS COSTANTINIDES TRADING CO. LTD</t>
        </is>
      </c>
    </row>
    <row r="4204" ht="24" customHeight="1">
      <c r="A4204" s="2">
        <f>+D4204-S4204</f>
        <v/>
      </c>
      <c r="B4204" s="126" t="n">
        <v>5792</v>
      </c>
      <c r="C4204" s="66" t="n">
        <v>46041</v>
      </c>
      <c r="D4204" s="2" t="n">
        <v>1</v>
      </c>
      <c r="E4204" s="3" t="inlineStr">
        <is>
          <t>FUCILE DOPPIETTA CANI ESTERNI</t>
        </is>
      </c>
      <c r="F4204" s="3" t="n">
        <v>8</v>
      </c>
      <c r="G4204" s="84" t="inlineStr">
        <is>
          <t>FALCO</t>
        </is>
      </c>
      <c r="H4204" s="107" t="inlineStr">
        <is>
          <t>CANI ESTERNI</t>
        </is>
      </c>
      <c r="I4204" s="107" t="inlineStr">
        <is>
          <t>64122</t>
        </is>
      </c>
      <c r="J4204" s="107" t="inlineStr">
        <is>
          <t>N/D</t>
        </is>
      </c>
      <c r="K4204" s="65" t="inlineStr">
        <is>
          <t>N/D</t>
        </is>
      </c>
      <c r="L4204" s="127" t="inlineStr">
        <is>
          <t>ANTONIONI SPORT CACCIA E PESCA SRLS</t>
        </is>
      </c>
      <c r="M4204" s="5" t="n">
        <v>25.747</v>
      </c>
      <c r="N4204" s="5" t="n"/>
      <c r="O4204" s="5">
        <f>+M4204+N4204</f>
        <v/>
      </c>
      <c r="P4204" s="4" t="n"/>
      <c r="Q4204" s="87" t="n"/>
      <c r="R4204" s="5" t="n">
        <v>30</v>
      </c>
      <c r="S4204" s="2" t="n">
        <v>1</v>
      </c>
      <c r="T4204" s="3" t="inlineStr">
        <is>
          <t>CA42796IR</t>
        </is>
      </c>
      <c r="U4204" s="87" t="n">
        <v>46041</v>
      </c>
      <c r="V4204" s="3" t="inlineStr">
        <is>
          <t>1</t>
        </is>
      </c>
      <c r="W4204" s="108" t="n">
        <v>46041</v>
      </c>
      <c r="X4204" s="4" t="inlineStr">
        <is>
          <t>PHILIPPOS COSTANTINIDES TRADING CO. LTD</t>
        </is>
      </c>
    </row>
    <row r="4205" ht="24" customHeight="1">
      <c r="A4205" s="2">
        <f>+D4205-S4205</f>
        <v/>
      </c>
      <c r="B4205" s="126" t="n">
        <v>5793</v>
      </c>
      <c r="C4205" s="66" t="n">
        <v>46041</v>
      </c>
      <c r="D4205" s="2" t="n">
        <v>1</v>
      </c>
      <c r="E4205" s="3" t="inlineStr">
        <is>
          <t>FUCILE DOPPIETTA CANI INTERNI</t>
        </is>
      </c>
      <c r="F4205" s="3" t="n">
        <v>12</v>
      </c>
      <c r="G4205" s="84" t="inlineStr">
        <is>
          <t>BERNARDELLI</t>
        </is>
      </c>
      <c r="H4205" s="107" t="inlineStr">
        <is>
          <t>S. UBERTO</t>
        </is>
      </c>
      <c r="I4205" s="107" t="inlineStr">
        <is>
          <t>1619</t>
        </is>
      </c>
      <c r="J4205" s="107" t="inlineStr">
        <is>
          <t>N/D</t>
        </is>
      </c>
      <c r="K4205" s="65" t="inlineStr">
        <is>
          <t>N/D</t>
        </is>
      </c>
      <c r="L4205" s="127" t="inlineStr">
        <is>
          <t>ANTONIONI SPORT CACCIA E PESCA SRLS</t>
        </is>
      </c>
      <c r="M4205" s="5" t="n">
        <v>25.747</v>
      </c>
      <c r="N4205" s="5" t="n"/>
      <c r="O4205" s="5">
        <f>+M4205+N4205</f>
        <v/>
      </c>
      <c r="P4205" s="4" t="n"/>
      <c r="Q4205" s="87" t="n"/>
      <c r="R4205" s="5" t="n">
        <v>30</v>
      </c>
      <c r="S4205" s="2" t="n">
        <v>1</v>
      </c>
      <c r="T4205" s="3" t="inlineStr">
        <is>
          <t>CA42796IR</t>
        </is>
      </c>
      <c r="U4205" s="87" t="n">
        <v>46041</v>
      </c>
      <c r="V4205" s="3" t="inlineStr">
        <is>
          <t>1</t>
        </is>
      </c>
      <c r="W4205" s="108" t="n">
        <v>46041</v>
      </c>
      <c r="X4205" s="4" t="inlineStr">
        <is>
          <t>PHILIPPOS COSTANTINIDES TRADING CO. LTD</t>
        </is>
      </c>
    </row>
    <row r="4206" ht="24" customHeight="1">
      <c r="A4206" s="2">
        <f>+D4206-S4206</f>
        <v/>
      </c>
      <c r="B4206" s="126" t="n">
        <v>5794</v>
      </c>
      <c r="C4206" s="66" t="n">
        <v>46041</v>
      </c>
      <c r="D4206" s="2" t="n">
        <v>1</v>
      </c>
      <c r="E4206" s="3" t="inlineStr">
        <is>
          <t>FUCILE DOPPIETTA CANI ESTERNI</t>
        </is>
      </c>
      <c r="F4206" s="3" t="n">
        <v>16</v>
      </c>
      <c r="G4206" s="84" t="inlineStr">
        <is>
          <t>BLANC</t>
        </is>
      </c>
      <c r="H4206" s="107" t="inlineStr">
        <is>
          <t>CANI ESTERNI</t>
        </is>
      </c>
      <c r="I4206" s="107" t="inlineStr">
        <is>
          <t>55103</t>
        </is>
      </c>
      <c r="J4206" s="107" t="inlineStr">
        <is>
          <t>N/D</t>
        </is>
      </c>
      <c r="K4206" s="65" t="inlineStr">
        <is>
          <t>N/D</t>
        </is>
      </c>
      <c r="L4206" s="127" t="inlineStr">
        <is>
          <t>ANTONIONI SPORT CACCIA E PESCA SRLS</t>
        </is>
      </c>
      <c r="M4206" s="5" t="n">
        <v>25.747</v>
      </c>
      <c r="N4206" s="5" t="n"/>
      <c r="O4206" s="5">
        <f>+M4206+N4206</f>
        <v/>
      </c>
      <c r="P4206" s="4" t="n"/>
      <c r="Q4206" s="87" t="n"/>
      <c r="R4206" s="5" t="n">
        <v>30</v>
      </c>
      <c r="S4206" s="2" t="n">
        <v>1</v>
      </c>
      <c r="T4206" s="3" t="inlineStr">
        <is>
          <t>CA42796IR</t>
        </is>
      </c>
      <c r="U4206" s="87" t="n">
        <v>46041</v>
      </c>
      <c r="V4206" s="3" t="inlineStr">
        <is>
          <t>1</t>
        </is>
      </c>
      <c r="W4206" s="108" t="n">
        <v>46041</v>
      </c>
      <c r="X4206" s="4" t="inlineStr">
        <is>
          <t>PHILIPPOS COSTANTINIDES TRADING CO. LTD</t>
        </is>
      </c>
    </row>
    <row r="4207" ht="24" customHeight="1">
      <c r="A4207" s="2">
        <f>+D4207-S4207</f>
        <v/>
      </c>
      <c r="B4207" s="126" t="n">
        <v>5795</v>
      </c>
      <c r="C4207" s="66" t="n">
        <v>46041</v>
      </c>
      <c r="D4207" s="2" t="n">
        <v>1</v>
      </c>
      <c r="E4207" s="3" t="inlineStr">
        <is>
          <t>FUCILE DOPPIETTA CANI ESTERNI</t>
        </is>
      </c>
      <c r="F4207" s="3" t="n">
        <v>16</v>
      </c>
      <c r="G4207" s="84" t="inlineStr">
        <is>
          <t>BERETTA</t>
        </is>
      </c>
      <c r="H4207" s="107" t="inlineStr">
        <is>
          <t>CANI ESTERNI</t>
        </is>
      </c>
      <c r="I4207" s="107" t="inlineStr">
        <is>
          <t>979</t>
        </is>
      </c>
      <c r="J4207" s="107" t="inlineStr">
        <is>
          <t>N/D</t>
        </is>
      </c>
      <c r="K4207" s="65" t="inlineStr">
        <is>
          <t>N/D</t>
        </is>
      </c>
      <c r="L4207" s="127" t="inlineStr">
        <is>
          <t>ANTONIONI SPORT CACCIA E PESCA SRLS</t>
        </is>
      </c>
      <c r="M4207" s="5" t="n">
        <v>25.747</v>
      </c>
      <c r="N4207" s="5" t="n"/>
      <c r="O4207" s="5">
        <f>+M4207+N4207</f>
        <v/>
      </c>
      <c r="P4207" s="4" t="n"/>
      <c r="Q4207" s="87" t="n"/>
      <c r="R4207" s="5" t="n">
        <v>30</v>
      </c>
      <c r="S4207" s="2" t="n">
        <v>1</v>
      </c>
      <c r="T4207" s="3" t="inlineStr">
        <is>
          <t>CA42796IR</t>
        </is>
      </c>
      <c r="U4207" s="87" t="n">
        <v>46041</v>
      </c>
      <c r="V4207" s="3" t="inlineStr">
        <is>
          <t>1</t>
        </is>
      </c>
      <c r="W4207" s="108" t="n">
        <v>46041</v>
      </c>
      <c r="X4207" s="4" t="inlineStr">
        <is>
          <t>PHILIPPOS COSTANTINIDES TRADING CO. LTD</t>
        </is>
      </c>
    </row>
    <row r="4208" ht="24" customHeight="1">
      <c r="A4208" s="2">
        <f>+D4208-S4208</f>
        <v/>
      </c>
      <c r="B4208" s="126" t="n">
        <v>5796</v>
      </c>
      <c r="C4208" s="66" t="n">
        <v>46041</v>
      </c>
      <c r="D4208" s="2" t="n">
        <v>1</v>
      </c>
      <c r="E4208" s="3" t="inlineStr">
        <is>
          <t>FUCILE DOPPIETTA CANI ESTERNI</t>
        </is>
      </c>
      <c r="F4208" s="3" t="n">
        <v>16</v>
      </c>
      <c r="G4208" s="84" t="inlineStr">
        <is>
          <t>ARTIGIANA</t>
        </is>
      </c>
      <c r="H4208" s="107" t="inlineStr">
        <is>
          <t>CACCIA</t>
        </is>
      </c>
      <c r="I4208" s="107" t="inlineStr">
        <is>
          <t>5852</t>
        </is>
      </c>
      <c r="J4208" s="107" t="inlineStr">
        <is>
          <t>N/D</t>
        </is>
      </c>
      <c r="K4208" s="65" t="inlineStr">
        <is>
          <t>N/D</t>
        </is>
      </c>
      <c r="L4208" s="127" t="inlineStr">
        <is>
          <t>ANTONIONI SPORT CACCIA E PESCA SRLS</t>
        </is>
      </c>
      <c r="M4208" s="5" t="n">
        <v>25.747</v>
      </c>
      <c r="N4208" s="5" t="n"/>
      <c r="O4208" s="5">
        <f>+M4208+N4208</f>
        <v/>
      </c>
      <c r="P4208" s="4" t="n"/>
      <c r="Q4208" s="87" t="n"/>
      <c r="R4208" s="5" t="n">
        <v>30</v>
      </c>
      <c r="S4208" s="2" t="n">
        <v>1</v>
      </c>
      <c r="T4208" s="3" t="inlineStr">
        <is>
          <t>CA42796IR</t>
        </is>
      </c>
      <c r="U4208" s="87" t="n">
        <v>46041</v>
      </c>
      <c r="V4208" s="3" t="inlineStr">
        <is>
          <t>1</t>
        </is>
      </c>
      <c r="W4208" s="108" t="n">
        <v>46041</v>
      </c>
      <c r="X4208" s="4" t="inlineStr">
        <is>
          <t>PHILIPPOS COSTANTINIDES TRADING CO. LTD</t>
        </is>
      </c>
    </row>
    <row r="4209" ht="24" customHeight="1">
      <c r="A4209" s="2">
        <f>+D4209-S4209</f>
        <v/>
      </c>
      <c r="B4209" s="126" t="n">
        <v>5797</v>
      </c>
      <c r="C4209" s="66" t="n">
        <v>46041</v>
      </c>
      <c r="D4209" s="2" t="n">
        <v>1</v>
      </c>
      <c r="E4209" s="3" t="inlineStr">
        <is>
          <t>FUCILE DOPPIETTA CANI INTERNI</t>
        </is>
      </c>
      <c r="F4209" s="3" t="n">
        <v>12</v>
      </c>
      <c r="G4209" s="84" t="inlineStr">
        <is>
          <t>LIEGI</t>
        </is>
      </c>
      <c r="H4209" s="107" t="inlineStr">
        <is>
          <t>CACCIA</t>
        </is>
      </c>
      <c r="I4209" s="107" t="inlineStr">
        <is>
          <t>3097</t>
        </is>
      </c>
      <c r="J4209" s="107" t="inlineStr">
        <is>
          <t>N/D</t>
        </is>
      </c>
      <c r="K4209" s="65" t="inlineStr">
        <is>
          <t>N/D</t>
        </is>
      </c>
      <c r="L4209" s="127" t="inlineStr">
        <is>
          <t>ANTONIONI SPORT CACCIA E PESCA SRLS</t>
        </is>
      </c>
      <c r="M4209" s="5" t="n">
        <v>25.747</v>
      </c>
      <c r="N4209" s="5" t="n"/>
      <c r="O4209" s="5">
        <f>+M4209+N4209</f>
        <v/>
      </c>
      <c r="P4209" s="4" t="n"/>
      <c r="Q4209" s="87" t="n"/>
      <c r="R4209" s="5" t="n">
        <v>30</v>
      </c>
      <c r="S4209" s="2" t="n">
        <v>1</v>
      </c>
      <c r="T4209" s="3" t="inlineStr">
        <is>
          <t>CA42796IR</t>
        </is>
      </c>
      <c r="U4209" s="87" t="n">
        <v>46041</v>
      </c>
      <c r="V4209" s="3" t="inlineStr">
        <is>
          <t>1</t>
        </is>
      </c>
      <c r="W4209" s="108" t="n">
        <v>46041</v>
      </c>
      <c r="X4209" s="4" t="inlineStr">
        <is>
          <t>PHILIPPOS COSTANTINIDES TRADING CO. LTD</t>
        </is>
      </c>
    </row>
    <row r="4210" ht="24" customHeight="1">
      <c r="A4210" s="2">
        <f>+D4210-S4210</f>
        <v/>
      </c>
      <c r="B4210" s="126" t="n">
        <v>5798</v>
      </c>
      <c r="C4210" s="66" t="n">
        <v>46041</v>
      </c>
      <c r="D4210" s="2" t="n">
        <v>1</v>
      </c>
      <c r="E4210" s="3" t="inlineStr">
        <is>
          <t>FUCILE DOPPIETTA CANI INTERNI</t>
        </is>
      </c>
      <c r="F4210" s="3" t="n">
        <v>12</v>
      </c>
      <c r="G4210" s="84" t="inlineStr">
        <is>
          <t>BERNARDELLI</t>
        </is>
      </c>
      <c r="H4210" s="107" t="n">
        <v>112</v>
      </c>
      <c r="I4210" s="107" t="inlineStr">
        <is>
          <t>171071</t>
        </is>
      </c>
      <c r="J4210" s="107" t="inlineStr">
        <is>
          <t>N/D</t>
        </is>
      </c>
      <c r="K4210" s="65" t="inlineStr">
        <is>
          <t>N/D</t>
        </is>
      </c>
      <c r="L4210" s="127" t="inlineStr">
        <is>
          <t>ANTONIONI SPORT CACCIA E PESCA SRLS</t>
        </is>
      </c>
      <c r="M4210" s="5" t="n">
        <v>25.747</v>
      </c>
      <c r="N4210" s="5" t="n"/>
      <c r="O4210" s="5">
        <f>+M4210+N4210</f>
        <v/>
      </c>
      <c r="P4210" s="4" t="n"/>
      <c r="Q4210" s="87" t="n"/>
      <c r="R4210" s="5" t="n">
        <v>30</v>
      </c>
      <c r="S4210" s="2" t="n">
        <v>1</v>
      </c>
      <c r="T4210" s="3" t="inlineStr">
        <is>
          <t>CA42796IR</t>
        </is>
      </c>
      <c r="U4210" s="87" t="n">
        <v>46041</v>
      </c>
      <c r="V4210" s="3" t="inlineStr">
        <is>
          <t>1</t>
        </is>
      </c>
      <c r="W4210" s="108" t="n">
        <v>46041</v>
      </c>
      <c r="X4210" s="4" t="inlineStr">
        <is>
          <t>PHILIPPOS COSTANTINIDES TRADING CO. LTD</t>
        </is>
      </c>
    </row>
    <row r="4211" ht="24" customHeight="1">
      <c r="A4211" s="2">
        <f>+D4211-S4211</f>
        <v/>
      </c>
      <c r="B4211" s="126" t="n">
        <v>5799</v>
      </c>
      <c r="C4211" s="66" t="n">
        <v>46041</v>
      </c>
      <c r="D4211" s="2" t="n">
        <v>1</v>
      </c>
      <c r="E4211" s="3" t="inlineStr">
        <is>
          <t>FUCILE DOPPIETTA CANI INTERNI</t>
        </is>
      </c>
      <c r="F4211" s="3" t="n">
        <v>12</v>
      </c>
      <c r="G4211" s="84" t="inlineStr">
        <is>
          <t>POLI</t>
        </is>
      </c>
      <c r="H4211" s="107" t="inlineStr">
        <is>
          <t>CACCIA</t>
        </is>
      </c>
      <c r="I4211" s="107" t="inlineStr">
        <is>
          <t>1663</t>
        </is>
      </c>
      <c r="J4211" s="107" t="inlineStr">
        <is>
          <t>N/D</t>
        </is>
      </c>
      <c r="K4211" s="65" t="inlineStr">
        <is>
          <t>N/D</t>
        </is>
      </c>
      <c r="L4211" s="127" t="inlineStr">
        <is>
          <t>ANTONIONI SPORT CACCIA E PESCA SRLS</t>
        </is>
      </c>
      <c r="M4211" s="5" t="n">
        <v>25.747</v>
      </c>
      <c r="N4211" s="5" t="n"/>
      <c r="O4211" s="5">
        <f>+M4211+N4211</f>
        <v/>
      </c>
      <c r="P4211" s="4" t="n"/>
      <c r="Q4211" s="87" t="n"/>
      <c r="R4211" s="5" t="n">
        <v>30</v>
      </c>
      <c r="S4211" s="2" t="n">
        <v>1</v>
      </c>
      <c r="T4211" s="3" t="inlineStr">
        <is>
          <t>CA42796IR</t>
        </is>
      </c>
      <c r="U4211" s="87" t="n">
        <v>46041</v>
      </c>
      <c r="V4211" s="3" t="inlineStr">
        <is>
          <t>1</t>
        </is>
      </c>
      <c r="W4211" s="108" t="n">
        <v>46041</v>
      </c>
      <c r="X4211" s="4" t="inlineStr">
        <is>
          <t>PHILIPPOS COSTANTINIDES TRADING CO. LTD</t>
        </is>
      </c>
    </row>
    <row r="4212" ht="24" customHeight="1">
      <c r="A4212" s="2">
        <f>+D4212-S4212</f>
        <v/>
      </c>
      <c r="B4212" s="126" t="n">
        <v>5800</v>
      </c>
      <c r="C4212" s="66" t="n">
        <v>46041</v>
      </c>
      <c r="D4212" s="2" t="n">
        <v>1</v>
      </c>
      <c r="E4212" s="3" t="inlineStr">
        <is>
          <t>FUCILE DOPPIETTA CANI INTERNI</t>
        </is>
      </c>
      <c r="F4212" s="3" t="n">
        <v>12</v>
      </c>
      <c r="G4212" s="84" t="inlineStr">
        <is>
          <t>BERETTA</t>
        </is>
      </c>
      <c r="H4212" s="107" t="inlineStr">
        <is>
          <t>CACCIA</t>
        </is>
      </c>
      <c r="I4212" s="107" t="inlineStr">
        <is>
          <t>80707</t>
        </is>
      </c>
      <c r="J4212" s="107" t="inlineStr">
        <is>
          <t>N/D</t>
        </is>
      </c>
      <c r="K4212" s="65" t="inlineStr">
        <is>
          <t>N/D</t>
        </is>
      </c>
      <c r="L4212" s="127" t="inlineStr">
        <is>
          <t>ANTONIONI SPORT CACCIA E PESCA SRLS</t>
        </is>
      </c>
      <c r="M4212" s="5" t="n">
        <v>25.747</v>
      </c>
      <c r="N4212" s="5" t="n"/>
      <c r="O4212" s="5">
        <f>+M4212+N4212</f>
        <v/>
      </c>
      <c r="P4212" s="4" t="n"/>
      <c r="Q4212" s="87" t="n"/>
      <c r="R4212" s="5" t="n">
        <v>30</v>
      </c>
      <c r="S4212" s="2" t="n">
        <v>1</v>
      </c>
      <c r="T4212" s="3" t="inlineStr">
        <is>
          <t>CA42796IR</t>
        </is>
      </c>
      <c r="U4212" s="87" t="n">
        <v>46041</v>
      </c>
      <c r="V4212" s="3" t="inlineStr">
        <is>
          <t>1</t>
        </is>
      </c>
      <c r="W4212" s="108" t="n">
        <v>46041</v>
      </c>
      <c r="X4212" s="4" t="inlineStr">
        <is>
          <t>PHILIPPOS COSTANTINIDES TRADING CO. LTD</t>
        </is>
      </c>
    </row>
    <row r="4213" ht="24" customHeight="1">
      <c r="A4213" s="2">
        <f>+D4213-S4213</f>
        <v/>
      </c>
      <c r="B4213" s="126" t="n">
        <v>5801</v>
      </c>
      <c r="C4213" s="66" t="n">
        <v>46041</v>
      </c>
      <c r="D4213" s="2" t="n">
        <v>1</v>
      </c>
      <c r="E4213" s="3" t="inlineStr">
        <is>
          <t>FUCILE DOPPIETTA CANI ESTERNI</t>
        </is>
      </c>
      <c r="F4213" s="3" t="n">
        <v>16</v>
      </c>
      <c r="G4213" s="84" t="inlineStr">
        <is>
          <t>DAMAS</t>
        </is>
      </c>
      <c r="H4213" s="107" t="inlineStr">
        <is>
          <t>CANI ESTERNI</t>
        </is>
      </c>
      <c r="I4213" s="107" t="inlineStr">
        <is>
          <t>U42</t>
        </is>
      </c>
      <c r="J4213" s="107" t="inlineStr">
        <is>
          <t>N/D</t>
        </is>
      </c>
      <c r="K4213" s="65" t="inlineStr">
        <is>
          <t>N/D</t>
        </is>
      </c>
      <c r="L4213" s="127" t="inlineStr">
        <is>
          <t>ANTONIONI SPORT CACCIA E PESCA SRLS</t>
        </is>
      </c>
      <c r="M4213" s="5" t="n">
        <v>25.747</v>
      </c>
      <c r="N4213" s="5" t="n"/>
      <c r="O4213" s="5">
        <f>+M4213+N4213</f>
        <v/>
      </c>
      <c r="P4213" s="4" t="n"/>
      <c r="Q4213" s="87" t="n"/>
      <c r="R4213" s="5" t="n">
        <v>30</v>
      </c>
      <c r="S4213" s="2" t="n">
        <v>1</v>
      </c>
      <c r="T4213" s="3" t="inlineStr">
        <is>
          <t>CA42796IR</t>
        </is>
      </c>
      <c r="U4213" s="87" t="n">
        <v>46041</v>
      </c>
      <c r="V4213" s="3" t="inlineStr">
        <is>
          <t>1</t>
        </is>
      </c>
      <c r="W4213" s="108" t="n">
        <v>46041</v>
      </c>
      <c r="X4213" s="4" t="inlineStr">
        <is>
          <t>PHILIPPOS COSTANTINIDES TRADING CO. LTD</t>
        </is>
      </c>
    </row>
    <row r="4214" ht="24" customHeight="1">
      <c r="A4214" s="2">
        <f>+D4214-S4214</f>
        <v/>
      </c>
      <c r="B4214" s="126" t="n">
        <v>5802</v>
      </c>
      <c r="C4214" s="66" t="n">
        <v>46041</v>
      </c>
      <c r="D4214" s="2" t="n">
        <v>1</v>
      </c>
      <c r="E4214" s="3" t="inlineStr">
        <is>
          <t>FUCILE DOPPIETTA CANI ESTERNI</t>
        </is>
      </c>
      <c r="F4214" s="3" t="n">
        <v>12</v>
      </c>
      <c r="G4214" s="84" t="inlineStr">
        <is>
          <t>CASTELLANI</t>
        </is>
      </c>
      <c r="H4214" s="107" t="inlineStr">
        <is>
          <t>P50</t>
        </is>
      </c>
      <c r="I4214" s="107" t="inlineStr">
        <is>
          <t>6287</t>
        </is>
      </c>
      <c r="J4214" s="107" t="inlineStr">
        <is>
          <t>N/D</t>
        </is>
      </c>
      <c r="K4214" s="65" t="inlineStr">
        <is>
          <t>N/D</t>
        </is>
      </c>
      <c r="L4214" s="127" t="inlineStr">
        <is>
          <t>ANTONIONI SPORT CACCIA E PESCA SRLS</t>
        </is>
      </c>
      <c r="M4214" s="5" t="n">
        <v>25.747</v>
      </c>
      <c r="N4214" s="5" t="n"/>
      <c r="O4214" s="5">
        <f>+M4214+N4214</f>
        <v/>
      </c>
      <c r="P4214" s="4" t="n"/>
      <c r="Q4214" s="87" t="n"/>
      <c r="R4214" s="5" t="n">
        <v>30</v>
      </c>
      <c r="S4214" s="2" t="n">
        <v>1</v>
      </c>
      <c r="T4214" s="3" t="inlineStr">
        <is>
          <t>CA42796IR</t>
        </is>
      </c>
      <c r="U4214" s="87" t="n">
        <v>46041</v>
      </c>
      <c r="V4214" s="3" t="inlineStr">
        <is>
          <t>1</t>
        </is>
      </c>
      <c r="W4214" s="108" t="n">
        <v>46041</v>
      </c>
      <c r="X4214" s="4" t="inlineStr">
        <is>
          <t>PHILIPPOS COSTANTINIDES TRADING CO. LTD</t>
        </is>
      </c>
    </row>
    <row r="4215" ht="24" customHeight="1">
      <c r="A4215" s="2">
        <f>+D4215-S4215</f>
        <v/>
      </c>
      <c r="B4215" s="126" t="n">
        <v>5803</v>
      </c>
      <c r="C4215" s="66" t="n">
        <v>46041</v>
      </c>
      <c r="D4215" s="2" t="n">
        <v>1</v>
      </c>
      <c r="E4215" s="3" t="inlineStr">
        <is>
          <t>FUCILE DOPPIETTA CANI ESTERNI</t>
        </is>
      </c>
      <c r="F4215" s="3" t="n">
        <v>12</v>
      </c>
      <c r="G4215" s="84" t="inlineStr">
        <is>
          <t>BERETTA</t>
        </is>
      </c>
      <c r="H4215" s="107" t="inlineStr">
        <is>
          <t>VITTORIA</t>
        </is>
      </c>
      <c r="I4215" s="107" t="inlineStr">
        <is>
          <t>105986</t>
        </is>
      </c>
      <c r="J4215" s="107" t="inlineStr">
        <is>
          <t>N/D</t>
        </is>
      </c>
      <c r="K4215" s="65" t="inlineStr">
        <is>
          <t>N/D</t>
        </is>
      </c>
      <c r="L4215" s="127" t="inlineStr">
        <is>
          <t>ANTONIONI SPORT CACCIA E PESCA SRLS</t>
        </is>
      </c>
      <c r="M4215" s="5" t="n">
        <v>25.747</v>
      </c>
      <c r="N4215" s="5" t="n"/>
      <c r="O4215" s="5">
        <f>+M4215+N4215</f>
        <v/>
      </c>
      <c r="P4215" s="4" t="n"/>
      <c r="Q4215" s="87" t="n"/>
      <c r="R4215" s="5" t="n">
        <v>30</v>
      </c>
      <c r="S4215" s="2" t="n">
        <v>1</v>
      </c>
      <c r="T4215" s="3" t="inlineStr">
        <is>
          <t>CA42796IR</t>
        </is>
      </c>
      <c r="U4215" s="87" t="n">
        <v>46041</v>
      </c>
      <c r="V4215" s="3" t="inlineStr">
        <is>
          <t>1</t>
        </is>
      </c>
      <c r="W4215" s="108" t="n">
        <v>46041</v>
      </c>
      <c r="X4215" s="4" t="inlineStr">
        <is>
          <t>PHILIPPOS COSTANTINIDES TRADING CO. LTD</t>
        </is>
      </c>
    </row>
    <row r="4216" ht="24" customHeight="1">
      <c r="A4216" s="2">
        <f>+D4216-S4216</f>
        <v/>
      </c>
      <c r="B4216" s="126" t="n">
        <v>5804</v>
      </c>
      <c r="C4216" s="66" t="n">
        <v>46041</v>
      </c>
      <c r="D4216" s="2" t="n">
        <v>1</v>
      </c>
      <c r="E4216" s="3" t="inlineStr">
        <is>
          <t>FUCILE DOPPIETTA CANI INTERNI</t>
        </is>
      </c>
      <c r="F4216" s="3" t="n">
        <v>12</v>
      </c>
      <c r="G4216" s="84" t="inlineStr">
        <is>
          <t>BERETTA</t>
        </is>
      </c>
      <c r="H4216" s="107" t="inlineStr">
        <is>
          <t>CACCIA</t>
        </is>
      </c>
      <c r="I4216" s="107" t="inlineStr">
        <is>
          <t>70427</t>
        </is>
      </c>
      <c r="J4216" s="107" t="inlineStr">
        <is>
          <t>N/D</t>
        </is>
      </c>
      <c r="K4216" s="65" t="inlineStr">
        <is>
          <t>N/D</t>
        </is>
      </c>
      <c r="L4216" s="127" t="inlineStr">
        <is>
          <t>ANTONIONI SPORT CACCIA E PESCA SRLS</t>
        </is>
      </c>
      <c r="M4216" s="5" t="n">
        <v>25.747</v>
      </c>
      <c r="N4216" s="5" t="n"/>
      <c r="O4216" s="5">
        <f>+M4216+N4216</f>
        <v/>
      </c>
      <c r="P4216" s="4" t="n"/>
      <c r="Q4216" s="87" t="n"/>
      <c r="R4216" s="5" t="n">
        <v>30</v>
      </c>
      <c r="S4216" s="2" t="n">
        <v>1</v>
      </c>
      <c r="T4216" s="3" t="inlineStr">
        <is>
          <t>CA42796IR</t>
        </is>
      </c>
      <c r="U4216" s="87" t="n">
        <v>46041</v>
      </c>
      <c r="V4216" s="3" t="inlineStr">
        <is>
          <t>1</t>
        </is>
      </c>
      <c r="W4216" s="108" t="n">
        <v>46041</v>
      </c>
      <c r="X4216" s="4" t="inlineStr">
        <is>
          <t>PHILIPPOS COSTANTINIDES TRADING CO. LTD</t>
        </is>
      </c>
    </row>
    <row r="4217" ht="24" customHeight="1">
      <c r="A4217" s="2">
        <f>+D4217-S4217</f>
        <v/>
      </c>
      <c r="B4217" s="126" t="n">
        <v>5805</v>
      </c>
      <c r="C4217" s="66" t="n">
        <v>46041</v>
      </c>
      <c r="D4217" s="2" t="n">
        <v>1</v>
      </c>
      <c r="E4217" s="3" t="inlineStr">
        <is>
          <t>FUCILE DOPPIETTA CANI ESTERNI</t>
        </is>
      </c>
      <c r="F4217" s="3" t="n">
        <v>12</v>
      </c>
      <c r="G4217" s="84" t="inlineStr">
        <is>
          <t>BERETTA</t>
        </is>
      </c>
      <c r="H4217" s="107" t="inlineStr">
        <is>
          <t>CANI ESTERNI</t>
        </is>
      </c>
      <c r="I4217" s="107" t="inlineStr">
        <is>
          <t>105677</t>
        </is>
      </c>
      <c r="J4217" s="107" t="inlineStr">
        <is>
          <t>N/D</t>
        </is>
      </c>
      <c r="K4217" s="65" t="inlineStr">
        <is>
          <t>N/D</t>
        </is>
      </c>
      <c r="L4217" s="127" t="inlineStr">
        <is>
          <t>ANTONIONI SPORT CACCIA E PESCA SRLS</t>
        </is>
      </c>
      <c r="M4217" s="5" t="n">
        <v>25.747</v>
      </c>
      <c r="N4217" s="5" t="n"/>
      <c r="O4217" s="5">
        <f>+M4217+N4217</f>
        <v/>
      </c>
      <c r="P4217" s="4" t="n"/>
      <c r="Q4217" s="87" t="n"/>
      <c r="R4217" s="5" t="n">
        <v>30</v>
      </c>
      <c r="S4217" s="2" t="n">
        <v>1</v>
      </c>
      <c r="T4217" s="3" t="inlineStr">
        <is>
          <t>CA42796IR</t>
        </is>
      </c>
      <c r="U4217" s="87" t="n">
        <v>46041</v>
      </c>
      <c r="V4217" s="3" t="inlineStr">
        <is>
          <t>1</t>
        </is>
      </c>
      <c r="W4217" s="108" t="n">
        <v>46041</v>
      </c>
      <c r="X4217" s="4" t="inlineStr">
        <is>
          <t>PHILIPPOS COSTANTINIDES TRADING CO. LTD</t>
        </is>
      </c>
    </row>
    <row r="4218" ht="24" customHeight="1">
      <c r="A4218" s="2">
        <f>+D4218-S4218</f>
        <v/>
      </c>
      <c r="B4218" s="126" t="n">
        <v>5806</v>
      </c>
      <c r="C4218" s="66" t="n">
        <v>46041</v>
      </c>
      <c r="D4218" s="2" t="n">
        <v>1</v>
      </c>
      <c r="E4218" s="3" t="inlineStr">
        <is>
          <t>FUCILE DOPPIETTA CANI INTERNI</t>
        </is>
      </c>
      <c r="F4218" s="3" t="n">
        <v>12</v>
      </c>
      <c r="G4218" s="84" t="inlineStr">
        <is>
          <t>BERNARDELLI</t>
        </is>
      </c>
      <c r="H4218" s="107" t="inlineStr">
        <is>
          <t>ROMA</t>
        </is>
      </c>
      <c r="I4218" s="107" t="inlineStr">
        <is>
          <t>11885</t>
        </is>
      </c>
      <c r="J4218" s="107" t="inlineStr">
        <is>
          <t>N/D</t>
        </is>
      </c>
      <c r="K4218" s="65" t="inlineStr">
        <is>
          <t>N/D</t>
        </is>
      </c>
      <c r="L4218" s="127" t="inlineStr">
        <is>
          <t>ANTONIONI SPORT CACCIA E PESCA SRLS</t>
        </is>
      </c>
      <c r="M4218" s="5" t="n">
        <v>25.747</v>
      </c>
      <c r="N4218" s="5" t="n"/>
      <c r="O4218" s="5">
        <f>+M4218+N4218</f>
        <v/>
      </c>
      <c r="P4218" s="4" t="n"/>
      <c r="Q4218" s="87" t="n"/>
      <c r="R4218" s="5" t="n">
        <v>30</v>
      </c>
      <c r="S4218" s="2" t="n">
        <v>1</v>
      </c>
      <c r="T4218" s="3" t="inlineStr">
        <is>
          <t>CA42796IR</t>
        </is>
      </c>
      <c r="U4218" s="87" t="n">
        <v>46041</v>
      </c>
      <c r="V4218" s="3" t="inlineStr">
        <is>
          <t>1</t>
        </is>
      </c>
      <c r="W4218" s="108" t="n">
        <v>46041</v>
      </c>
      <c r="X4218" s="4" t="inlineStr">
        <is>
          <t>PHILIPPOS COSTANTINIDES TRADING CO. LTD</t>
        </is>
      </c>
    </row>
    <row r="4219" ht="24" customHeight="1">
      <c r="A4219" s="2">
        <f>+D4219-S4219</f>
        <v/>
      </c>
      <c r="B4219" s="126" t="n">
        <v>5807</v>
      </c>
      <c r="C4219" s="66" t="n">
        <v>46041</v>
      </c>
      <c r="D4219" s="2" t="n">
        <v>1</v>
      </c>
      <c r="E4219" s="3" t="inlineStr">
        <is>
          <t>FUCILE DOPPIETTA CANI ESTERNI</t>
        </is>
      </c>
      <c r="F4219" s="3" t="n">
        <v>16</v>
      </c>
      <c r="G4219" s="84" t="inlineStr">
        <is>
          <t>ARTIGIANA</t>
        </is>
      </c>
      <c r="H4219" s="107" t="inlineStr">
        <is>
          <t>CACCIA</t>
        </is>
      </c>
      <c r="I4219" s="107" t="inlineStr">
        <is>
          <t>19689</t>
        </is>
      </c>
      <c r="J4219" s="107" t="inlineStr">
        <is>
          <t>N/D</t>
        </is>
      </c>
      <c r="K4219" s="65" t="inlineStr">
        <is>
          <t>N/D</t>
        </is>
      </c>
      <c r="L4219" s="127" t="inlineStr">
        <is>
          <t>ANTONIONI SPORT CACCIA E PESCA SRLS</t>
        </is>
      </c>
      <c r="M4219" s="5" t="n">
        <v>25.747</v>
      </c>
      <c r="N4219" s="5" t="n"/>
      <c r="O4219" s="5">
        <f>+M4219+N4219</f>
        <v/>
      </c>
      <c r="P4219" s="4" t="n"/>
      <c r="Q4219" s="87" t="n"/>
      <c r="R4219" s="5" t="n">
        <v>30</v>
      </c>
      <c r="S4219" s="2" t="n">
        <v>1</v>
      </c>
      <c r="T4219" s="3" t="inlineStr">
        <is>
          <t>CA42796IR</t>
        </is>
      </c>
      <c r="U4219" s="87" t="n">
        <v>46041</v>
      </c>
      <c r="V4219" s="3" t="inlineStr">
        <is>
          <t>1</t>
        </is>
      </c>
      <c r="W4219" s="108" t="n">
        <v>46041</v>
      </c>
      <c r="X4219" s="4" t="inlineStr">
        <is>
          <t>PHILIPPOS COSTANTINIDES TRADING CO. LTD</t>
        </is>
      </c>
    </row>
    <row r="4220" ht="24" customHeight="1">
      <c r="A4220" s="2">
        <f>+D4220-S4220</f>
        <v/>
      </c>
      <c r="B4220" s="126" t="n">
        <v>5808</v>
      </c>
      <c r="C4220" s="66" t="n">
        <v>46041</v>
      </c>
      <c r="D4220" s="2" t="n">
        <v>1</v>
      </c>
      <c r="E4220" s="3" t="inlineStr">
        <is>
          <t>FUCILE DOPPIETTA CANI ESTERNI</t>
        </is>
      </c>
      <c r="F4220" s="3" t="n">
        <v>12</v>
      </c>
      <c r="G4220" s="84" t="inlineStr">
        <is>
          <t>BERETTA</t>
        </is>
      </c>
      <c r="H4220" s="107" t="inlineStr">
        <is>
          <t>VITTORIA</t>
        </is>
      </c>
      <c r="I4220" s="107" t="inlineStr">
        <is>
          <t>110067</t>
        </is>
      </c>
      <c r="J4220" s="107" t="inlineStr">
        <is>
          <t>N/D</t>
        </is>
      </c>
      <c r="K4220" s="65" t="inlineStr">
        <is>
          <t>N/D</t>
        </is>
      </c>
      <c r="L4220" s="127" t="inlineStr">
        <is>
          <t>ANTONIONI SPORT CACCIA E PESCA SRLS</t>
        </is>
      </c>
      <c r="M4220" s="5" t="n">
        <v>25.747</v>
      </c>
      <c r="N4220" s="5" t="n"/>
      <c r="O4220" s="5">
        <f>+M4220+N4220</f>
        <v/>
      </c>
      <c r="P4220" s="4" t="n"/>
      <c r="Q4220" s="87" t="n"/>
      <c r="R4220" s="5" t="n">
        <v>30</v>
      </c>
      <c r="S4220" s="2" t="n">
        <v>1</v>
      </c>
      <c r="T4220" s="3" t="inlineStr">
        <is>
          <t>CA42796IR</t>
        </is>
      </c>
      <c r="U4220" s="87" t="n">
        <v>46041</v>
      </c>
      <c r="V4220" s="3" t="inlineStr">
        <is>
          <t>1</t>
        </is>
      </c>
      <c r="W4220" s="108" t="n">
        <v>46041</v>
      </c>
      <c r="X4220" s="4" t="inlineStr">
        <is>
          <t>PHILIPPOS COSTANTINIDES TRADING CO. LTD</t>
        </is>
      </c>
    </row>
    <row r="4221" ht="24" customHeight="1">
      <c r="A4221" s="2">
        <f>+D4221-S4221</f>
        <v/>
      </c>
      <c r="B4221" s="126" t="n">
        <v>5809</v>
      </c>
      <c r="C4221" s="66" t="n">
        <v>46041</v>
      </c>
      <c r="D4221" s="2" t="n">
        <v>1</v>
      </c>
      <c r="E4221" s="3" t="inlineStr">
        <is>
          <t>DOPPIETTA C.I.</t>
        </is>
      </c>
      <c r="F4221" s="3" t="n">
        <v>12</v>
      </c>
      <c r="G4221" s="84" t="inlineStr">
        <is>
          <t>LORENZOTTI</t>
        </is>
      </c>
      <c r="H4221" s="107" t="inlineStr">
        <is>
          <t>CACCIA</t>
        </is>
      </c>
      <c r="I4221" s="107" t="inlineStr">
        <is>
          <t>6008</t>
        </is>
      </c>
      <c r="J4221" s="65" t="inlineStr">
        <is>
          <t>N/D</t>
        </is>
      </c>
      <c r="K4221" s="65" t="inlineStr">
        <is>
          <t>N/D</t>
        </is>
      </c>
      <c r="L4221" s="127" t="inlineStr">
        <is>
          <t>ANTONIONI SPORT CACCIA E PESCA SRLS</t>
        </is>
      </c>
      <c r="M4221" s="5" t="n">
        <v>25.747</v>
      </c>
      <c r="N4221" s="5" t="n"/>
      <c r="O4221" s="5">
        <f>+M4221+N4221</f>
        <v/>
      </c>
      <c r="P4221" s="4" t="n"/>
      <c r="Q4221" s="87" t="n"/>
      <c r="R4221" s="5" t="n">
        <v>31.94</v>
      </c>
      <c r="S4221" s="2" t="n">
        <v>1</v>
      </c>
      <c r="T4221" s="3" t="inlineStr">
        <is>
          <t>CA42796IR</t>
        </is>
      </c>
      <c r="U4221" s="87" t="n">
        <v>46097</v>
      </c>
      <c r="V4221" s="3" t="inlineStr">
        <is>
          <t>4</t>
        </is>
      </c>
      <c r="W4221" s="108" t="n">
        <v>46097</v>
      </c>
      <c r="X4221" s="4" t="inlineStr">
        <is>
          <t>PHILIPPOS  CONSTANTINIDES
TRADING CO.LTD</t>
        </is>
      </c>
    </row>
    <row r="4222" ht="24" customHeight="1">
      <c r="A4222" s="2">
        <f>+D4222-S4222</f>
        <v/>
      </c>
      <c r="B4222" s="126" t="n">
        <v>5810</v>
      </c>
      <c r="C4222" s="66" t="n">
        <v>46041</v>
      </c>
      <c r="D4222" s="2" t="n">
        <v>1</v>
      </c>
      <c r="E4222" s="3" t="inlineStr">
        <is>
          <t>FUCILE DOPPIETTA CANI ESTERNI</t>
        </is>
      </c>
      <c r="F4222" s="3" t="n">
        <v>16</v>
      </c>
      <c r="G4222" s="84" t="inlineStr">
        <is>
          <t>ARTIGIANA</t>
        </is>
      </c>
      <c r="H4222" s="107" t="inlineStr">
        <is>
          <t>CANI ESTERNI</t>
        </is>
      </c>
      <c r="I4222" s="107" t="inlineStr">
        <is>
          <t>447</t>
        </is>
      </c>
      <c r="J4222" s="107" t="inlineStr">
        <is>
          <t>N/D</t>
        </is>
      </c>
      <c r="K4222" s="65" t="inlineStr">
        <is>
          <t>N/D</t>
        </is>
      </c>
      <c r="L4222" s="127" t="inlineStr">
        <is>
          <t>ANTONIONI SPORT CACCIA E PESCA SRLS</t>
        </is>
      </c>
      <c r="M4222" s="5" t="n">
        <v>25.747</v>
      </c>
      <c r="N4222" s="5" t="n"/>
      <c r="O4222" s="5">
        <f>+M4222+N4222</f>
        <v/>
      </c>
      <c r="P4222" s="4" t="n"/>
      <c r="Q4222" s="87" t="n"/>
      <c r="R4222" s="5" t="n">
        <v>30</v>
      </c>
      <c r="S4222" s="2" t="n">
        <v>1</v>
      </c>
      <c r="T4222" s="3" t="inlineStr">
        <is>
          <t>CA42796IR</t>
        </is>
      </c>
      <c r="U4222" s="87" t="n">
        <v>46041</v>
      </c>
      <c r="V4222" s="3" t="inlineStr">
        <is>
          <t>1</t>
        </is>
      </c>
      <c r="W4222" s="108" t="n">
        <v>46041</v>
      </c>
      <c r="X4222" s="4" t="inlineStr">
        <is>
          <t>PHILIPPOS COSTANTINIDES TRADING CO. LTD</t>
        </is>
      </c>
    </row>
    <row r="4223" ht="24" customHeight="1">
      <c r="A4223" s="2">
        <f>+D4223-S4223</f>
        <v/>
      </c>
      <c r="B4223" s="126" t="n">
        <v>5811</v>
      </c>
      <c r="C4223" s="66" t="n">
        <v>46041</v>
      </c>
      <c r="D4223" s="2" t="n">
        <v>1</v>
      </c>
      <c r="E4223" s="3" t="inlineStr">
        <is>
          <t>FUCILE DOPPIETTA CANI ESTERNI</t>
        </is>
      </c>
      <c r="F4223" s="3" t="n">
        <v>16</v>
      </c>
      <c r="G4223" s="84" t="inlineStr">
        <is>
          <t>HPIPER</t>
        </is>
      </c>
      <c r="H4223" s="107" t="inlineStr">
        <is>
          <t>CANI ESTERNI</t>
        </is>
      </c>
      <c r="I4223" s="107" t="inlineStr">
        <is>
          <t>160/2247</t>
        </is>
      </c>
      <c r="J4223" s="107" t="inlineStr">
        <is>
          <t>N/D</t>
        </is>
      </c>
      <c r="K4223" s="65" t="inlineStr">
        <is>
          <t>N/D</t>
        </is>
      </c>
      <c r="L4223" s="127" t="inlineStr">
        <is>
          <t>ANTONIONI SPORT CACCIA E PESCA SRLS</t>
        </is>
      </c>
      <c r="M4223" s="5" t="n">
        <v>25.747</v>
      </c>
      <c r="N4223" s="5" t="n"/>
      <c r="O4223" s="5">
        <f>+M4223+N4223</f>
        <v/>
      </c>
      <c r="P4223" s="4" t="n"/>
      <c r="Q4223" s="87" t="n"/>
      <c r="R4223" s="5" t="n">
        <v>30</v>
      </c>
      <c r="S4223" s="2" t="n">
        <v>1</v>
      </c>
      <c r="T4223" s="3" t="inlineStr">
        <is>
          <t>CA42796IR</t>
        </is>
      </c>
      <c r="U4223" s="87" t="n">
        <v>46041</v>
      </c>
      <c r="V4223" s="3" t="inlineStr">
        <is>
          <t>1</t>
        </is>
      </c>
      <c r="W4223" s="108" t="n">
        <v>46041</v>
      </c>
      <c r="X4223" s="4" t="inlineStr">
        <is>
          <t>PHILIPPOS COSTANTINIDES TRADING CO. LTD</t>
        </is>
      </c>
    </row>
    <row r="4224" ht="24" customHeight="1">
      <c r="A4224" s="2">
        <f>+D4224-S4224</f>
        <v/>
      </c>
      <c r="B4224" s="126" t="n">
        <v>5812</v>
      </c>
      <c r="C4224" s="66" t="n">
        <v>46041</v>
      </c>
      <c r="D4224" s="2" t="n">
        <v>1</v>
      </c>
      <c r="E4224" s="3" t="inlineStr">
        <is>
          <t>FUCILE DOPPIETTA CANI ESTERNI</t>
        </is>
      </c>
      <c r="F4224" s="3" t="n">
        <v>12</v>
      </c>
      <c r="G4224" s="84" t="inlineStr">
        <is>
          <t>ARTIGIANA</t>
        </is>
      </c>
      <c r="H4224" s="107" t="inlineStr">
        <is>
          <t>CANI ESTERNI</t>
        </is>
      </c>
      <c r="I4224" s="107" t="inlineStr">
        <is>
          <t>234391</t>
        </is>
      </c>
      <c r="J4224" s="107" t="inlineStr">
        <is>
          <t>N/D</t>
        </is>
      </c>
      <c r="K4224" s="65" t="inlineStr">
        <is>
          <t>N/D</t>
        </is>
      </c>
      <c r="L4224" s="127" t="inlineStr">
        <is>
          <t>ANTONIONI SPORT CACCIA E PESCA SRLS</t>
        </is>
      </c>
      <c r="M4224" s="5" t="n">
        <v>25.747</v>
      </c>
      <c r="N4224" s="5" t="n"/>
      <c r="O4224" s="5">
        <f>+M4224+N4224</f>
        <v/>
      </c>
      <c r="P4224" s="4" t="n"/>
      <c r="Q4224" s="87" t="n"/>
      <c r="R4224" s="5" t="n">
        <v>30</v>
      </c>
      <c r="S4224" s="2" t="n">
        <v>1</v>
      </c>
      <c r="T4224" s="3" t="inlineStr">
        <is>
          <t>CA42796IR</t>
        </is>
      </c>
      <c r="U4224" s="87" t="n">
        <v>46041</v>
      </c>
      <c r="V4224" s="3" t="inlineStr">
        <is>
          <t>1</t>
        </is>
      </c>
      <c r="W4224" s="108" t="n">
        <v>46041</v>
      </c>
      <c r="X4224" s="4" t="inlineStr">
        <is>
          <t>PHILIPPOS COSTANTINIDES TRADING CO. LTD</t>
        </is>
      </c>
    </row>
    <row r="4225" ht="24" customHeight="1">
      <c r="A4225" s="2">
        <f>+D4225-S4225</f>
        <v/>
      </c>
      <c r="B4225" s="126" t="n">
        <v>5813</v>
      </c>
      <c r="C4225" s="66" t="n">
        <v>46041</v>
      </c>
      <c r="D4225" s="2" t="n">
        <v>1</v>
      </c>
      <c r="E4225" s="3" t="inlineStr">
        <is>
          <t>FUCILE DOPPIETTA CANI ESTERNI</t>
        </is>
      </c>
      <c r="F4225" s="3" t="n">
        <v>12</v>
      </c>
      <c r="G4225" s="84" t="inlineStr">
        <is>
          <t>LIEGI</t>
        </is>
      </c>
      <c r="H4225" s="107" t="inlineStr">
        <is>
          <t>CANI ESTERNI</t>
        </is>
      </c>
      <c r="I4225" s="107" t="inlineStr">
        <is>
          <t>340</t>
        </is>
      </c>
      <c r="J4225" s="107" t="inlineStr">
        <is>
          <t>N/D</t>
        </is>
      </c>
      <c r="K4225" s="65" t="inlineStr">
        <is>
          <t>N/D</t>
        </is>
      </c>
      <c r="L4225" s="127" t="inlineStr">
        <is>
          <t>ANTONIONI SPORT CACCIA E PESCA SRLS</t>
        </is>
      </c>
      <c r="M4225" s="5" t="n">
        <v>25.747</v>
      </c>
      <c r="N4225" s="5" t="n"/>
      <c r="O4225" s="5">
        <f>+M4225+N4225</f>
        <v/>
      </c>
      <c r="P4225" s="4" t="n"/>
      <c r="Q4225" s="87" t="n"/>
      <c r="R4225" s="5" t="n">
        <v>30</v>
      </c>
      <c r="S4225" s="2" t="n">
        <v>1</v>
      </c>
      <c r="T4225" s="3" t="inlineStr">
        <is>
          <t>CA42796IR</t>
        </is>
      </c>
      <c r="U4225" s="87" t="n">
        <v>46041</v>
      </c>
      <c r="V4225" s="3" t="inlineStr">
        <is>
          <t>1</t>
        </is>
      </c>
      <c r="W4225" s="108" t="n">
        <v>46041</v>
      </c>
      <c r="X4225" s="4" t="inlineStr">
        <is>
          <t>PHILIPPOS COSTANTINIDES TRADING CO. LTD</t>
        </is>
      </c>
    </row>
    <row r="4226" ht="24" customHeight="1">
      <c r="A4226" s="2">
        <f>+D4226-S4226</f>
        <v/>
      </c>
      <c r="B4226" s="126" t="n">
        <v>5814</v>
      </c>
      <c r="C4226" s="66" t="n">
        <v>46041</v>
      </c>
      <c r="D4226" s="2" t="n">
        <v>1</v>
      </c>
      <c r="E4226" s="3" t="inlineStr">
        <is>
          <t>FUCILE DOPPIETTA CANI INTERNI</t>
        </is>
      </c>
      <c r="F4226" s="3" t="n">
        <v>12</v>
      </c>
      <c r="G4226" s="84" t="inlineStr">
        <is>
          <t>SMITH</t>
        </is>
      </c>
      <c r="H4226" s="107" t="inlineStr">
        <is>
          <t>CACCIA</t>
        </is>
      </c>
      <c r="I4226" s="107" t="inlineStr">
        <is>
          <t>RE785875</t>
        </is>
      </c>
      <c r="J4226" s="107" t="inlineStr">
        <is>
          <t>N/D</t>
        </is>
      </c>
      <c r="K4226" s="65" t="inlineStr">
        <is>
          <t>N/D</t>
        </is>
      </c>
      <c r="L4226" s="127" t="inlineStr">
        <is>
          <t>ANTONIONI SPORT CACCIA E PESCA SRLS</t>
        </is>
      </c>
      <c r="M4226" s="5" t="n">
        <v>25.747</v>
      </c>
      <c r="N4226" s="5" t="n"/>
      <c r="O4226" s="5">
        <f>+M4226+N4226</f>
        <v/>
      </c>
      <c r="P4226" s="4" t="n"/>
      <c r="Q4226" s="87" t="n"/>
      <c r="R4226" s="5" t="n">
        <v>30</v>
      </c>
      <c r="S4226" s="2" t="n">
        <v>1</v>
      </c>
      <c r="T4226" s="3" t="inlineStr">
        <is>
          <t>CA42796IR</t>
        </is>
      </c>
      <c r="U4226" s="87" t="n">
        <v>46041</v>
      </c>
      <c r="V4226" s="3" t="inlineStr">
        <is>
          <t>1</t>
        </is>
      </c>
      <c r="W4226" s="108" t="n">
        <v>46041</v>
      </c>
      <c r="X4226" s="4" t="inlineStr">
        <is>
          <t>PHILIPPOS COSTANTINIDES TRADING CO. LTD</t>
        </is>
      </c>
    </row>
    <row r="4227" ht="24" customHeight="1">
      <c r="A4227" s="2">
        <f>+D4227-S4227</f>
        <v/>
      </c>
      <c r="B4227" s="126" t="n">
        <v>5815</v>
      </c>
      <c r="C4227" s="66" t="n">
        <v>46041</v>
      </c>
      <c r="D4227" s="2" t="n">
        <v>1</v>
      </c>
      <c r="E4227" s="3" t="inlineStr">
        <is>
          <t>FUCILE DOPPIETTA CANI INTERNI</t>
        </is>
      </c>
      <c r="F4227" s="3" t="n">
        <v>12</v>
      </c>
      <c r="G4227" s="84" t="inlineStr">
        <is>
          <t>BERETTA</t>
        </is>
      </c>
      <c r="H4227" s="107" t="inlineStr">
        <is>
          <t>CACCIA</t>
        </is>
      </c>
      <c r="I4227" s="107" t="inlineStr">
        <is>
          <t>A13790</t>
        </is>
      </c>
      <c r="J4227" s="107" t="inlineStr">
        <is>
          <t>N/D</t>
        </is>
      </c>
      <c r="K4227" s="65" t="inlineStr">
        <is>
          <t>N/D</t>
        </is>
      </c>
      <c r="L4227" s="127" t="inlineStr">
        <is>
          <t>ANTONIONI SPORT CACCIA E PESCA SRLS</t>
        </is>
      </c>
      <c r="M4227" s="5" t="n">
        <v>25.747</v>
      </c>
      <c r="N4227" s="5" t="n"/>
      <c r="O4227" s="5">
        <f>+M4227+N4227</f>
        <v/>
      </c>
      <c r="P4227" s="4" t="n"/>
      <c r="Q4227" s="87" t="n"/>
      <c r="R4227" s="5" t="n">
        <v>30</v>
      </c>
      <c r="S4227" s="2" t="n">
        <v>1</v>
      </c>
      <c r="T4227" s="3" t="inlineStr">
        <is>
          <t>CA42796IR</t>
        </is>
      </c>
      <c r="U4227" s="87" t="n">
        <v>46041</v>
      </c>
      <c r="V4227" s="3" t="inlineStr">
        <is>
          <t>1</t>
        </is>
      </c>
      <c r="W4227" s="108" t="n">
        <v>46041</v>
      </c>
      <c r="X4227" s="4" t="inlineStr">
        <is>
          <t>PHILIPPOS COSTANTINIDES TRADING CO. LTD</t>
        </is>
      </c>
    </row>
    <row r="4228" ht="24" customHeight="1">
      <c r="A4228" s="2">
        <f>+D4228-S4228</f>
        <v/>
      </c>
      <c r="B4228" s="126" t="n">
        <v>5816</v>
      </c>
      <c r="C4228" s="66" t="n">
        <v>46041</v>
      </c>
      <c r="D4228" s="2" t="n">
        <v>1</v>
      </c>
      <c r="E4228" s="3" t="inlineStr">
        <is>
          <t>FUCILE DOPPIETTA CANI ESTERNI</t>
        </is>
      </c>
      <c r="F4228" s="3" t="n">
        <v>16</v>
      </c>
      <c r="G4228" s="84" t="inlineStr">
        <is>
          <t>B. SPADA</t>
        </is>
      </c>
      <c r="H4228" s="107" t="inlineStr">
        <is>
          <t>CACCIA</t>
        </is>
      </c>
      <c r="I4228" s="107" t="inlineStr">
        <is>
          <t>3531</t>
        </is>
      </c>
      <c r="J4228" s="107" t="inlineStr">
        <is>
          <t>N/D</t>
        </is>
      </c>
      <c r="K4228" s="65" t="inlineStr">
        <is>
          <t>N/D</t>
        </is>
      </c>
      <c r="L4228" s="127" t="inlineStr">
        <is>
          <t>ANTONIONI SPORT CACCIA E PESCA SRLS</t>
        </is>
      </c>
      <c r="M4228" s="5" t="n">
        <v>25.747</v>
      </c>
      <c r="N4228" s="5" t="n"/>
      <c r="O4228" s="5">
        <f>+M4228+N4228</f>
        <v/>
      </c>
      <c r="P4228" s="4" t="n"/>
      <c r="Q4228" s="87" t="n"/>
      <c r="R4228" s="5" t="n">
        <v>30</v>
      </c>
      <c r="S4228" s="2" t="n">
        <v>1</v>
      </c>
      <c r="T4228" s="3" t="inlineStr">
        <is>
          <t>CA42796IR</t>
        </is>
      </c>
      <c r="U4228" s="87" t="n">
        <v>46041</v>
      </c>
      <c r="V4228" s="3" t="inlineStr">
        <is>
          <t>1</t>
        </is>
      </c>
      <c r="W4228" s="108" t="n">
        <v>46041</v>
      </c>
      <c r="X4228" s="4" t="inlineStr">
        <is>
          <t>PHILIPPOS COSTANTINIDES TRADING CO. LTD</t>
        </is>
      </c>
    </row>
    <row r="4229" ht="24" customHeight="1">
      <c r="A4229" s="2">
        <f>+D4229-S4229</f>
        <v/>
      </c>
      <c r="B4229" s="126" t="n">
        <v>5817</v>
      </c>
      <c r="C4229" s="66" t="n">
        <v>46041</v>
      </c>
      <c r="D4229" s="2" t="n">
        <v>1</v>
      </c>
      <c r="E4229" s="3" t="inlineStr">
        <is>
          <t>FUCILE DOPPIETTA CANI INTERNI</t>
        </is>
      </c>
      <c r="F4229" s="3" t="n">
        <v>12</v>
      </c>
      <c r="G4229" s="84" t="inlineStr">
        <is>
          <t>BERETTA</t>
        </is>
      </c>
      <c r="H4229" s="107" t="inlineStr">
        <is>
          <t>CACCIA</t>
        </is>
      </c>
      <c r="I4229" s="107" t="inlineStr">
        <is>
          <t>8449</t>
        </is>
      </c>
      <c r="J4229" s="107" t="inlineStr">
        <is>
          <t>N/D</t>
        </is>
      </c>
      <c r="K4229" s="65" t="inlineStr">
        <is>
          <t>N/D</t>
        </is>
      </c>
      <c r="L4229" s="127" t="inlineStr">
        <is>
          <t>ANTONIONI SPORT CACCIA E PESCA SRLS</t>
        </is>
      </c>
      <c r="M4229" s="5" t="n">
        <v>25.747</v>
      </c>
      <c r="N4229" s="5" t="n"/>
      <c r="O4229" s="5">
        <f>+M4229+N4229</f>
        <v/>
      </c>
      <c r="P4229" s="4" t="n"/>
      <c r="Q4229" s="87" t="n"/>
      <c r="R4229" s="5" t="n">
        <v>30</v>
      </c>
      <c r="S4229" s="2" t="n">
        <v>1</v>
      </c>
      <c r="T4229" s="3" t="inlineStr">
        <is>
          <t>CA42796IR</t>
        </is>
      </c>
      <c r="U4229" s="87" t="n">
        <v>46041</v>
      </c>
      <c r="V4229" s="3" t="inlineStr">
        <is>
          <t>1</t>
        </is>
      </c>
      <c r="W4229" s="108" t="n">
        <v>46041</v>
      </c>
      <c r="X4229" s="4" t="inlineStr">
        <is>
          <t>PHILIPPOS COSTANTINIDES TRADING CO. LTD</t>
        </is>
      </c>
    </row>
    <row r="4230" ht="24" customHeight="1">
      <c r="A4230" s="2">
        <f>+D4230-S4230</f>
        <v/>
      </c>
      <c r="B4230" s="126" t="n">
        <v>5818</v>
      </c>
      <c r="C4230" s="66" t="n">
        <v>46041</v>
      </c>
      <c r="D4230" s="2" t="n">
        <v>1</v>
      </c>
      <c r="E4230" s="3" t="inlineStr">
        <is>
          <t>FUCILE DOPPIETTA CANI ESTERNI</t>
        </is>
      </c>
      <c r="F4230" s="3" t="n">
        <v>12</v>
      </c>
      <c r="G4230" s="84" t="inlineStr">
        <is>
          <t>ARTIGIANA</t>
        </is>
      </c>
      <c r="H4230" s="107" t="inlineStr">
        <is>
          <t>CACCIA</t>
        </is>
      </c>
      <c r="I4230" s="107" t="inlineStr">
        <is>
          <t>24144</t>
        </is>
      </c>
      <c r="J4230" s="107" t="inlineStr">
        <is>
          <t>N/D</t>
        </is>
      </c>
      <c r="K4230" s="65" t="inlineStr">
        <is>
          <t>N/D</t>
        </is>
      </c>
      <c r="L4230" s="127" t="inlineStr">
        <is>
          <t>ANTONIONI SPORT CACCIA E PESCA SRLS</t>
        </is>
      </c>
      <c r="M4230" s="5" t="n">
        <v>25.747</v>
      </c>
      <c r="N4230" s="5" t="n"/>
      <c r="O4230" s="5">
        <f>+M4230+N4230</f>
        <v/>
      </c>
      <c r="P4230" s="4" t="n"/>
      <c r="Q4230" s="87" t="n"/>
      <c r="R4230" s="5" t="n">
        <v>30</v>
      </c>
      <c r="S4230" s="2" t="n">
        <v>1</v>
      </c>
      <c r="T4230" s="3" t="inlineStr">
        <is>
          <t>CA42796IR</t>
        </is>
      </c>
      <c r="U4230" s="87" t="n">
        <v>46041</v>
      </c>
      <c r="V4230" s="3" t="inlineStr">
        <is>
          <t>1</t>
        </is>
      </c>
      <c r="W4230" s="108" t="n">
        <v>46041</v>
      </c>
      <c r="X4230" s="4" t="inlineStr">
        <is>
          <t>PHILIPPOS COSTANTINIDES TRADING CO. LTD</t>
        </is>
      </c>
    </row>
    <row r="4231" ht="24" customHeight="1">
      <c r="A4231" s="2">
        <f>+D4231-S4231</f>
        <v/>
      </c>
      <c r="B4231" s="126" t="n">
        <v>5819</v>
      </c>
      <c r="C4231" s="66" t="n">
        <v>46041</v>
      </c>
      <c r="D4231" s="2" t="n">
        <v>1</v>
      </c>
      <c r="E4231" s="3" t="inlineStr">
        <is>
          <t>FUCILE DOPPIETTA CANI ESTERNI</t>
        </is>
      </c>
      <c r="F4231" s="3" t="n">
        <v>12</v>
      </c>
      <c r="G4231" s="84" t="inlineStr">
        <is>
          <t>POLI</t>
        </is>
      </c>
      <c r="H4231" s="107" t="inlineStr">
        <is>
          <t>CACCIA</t>
        </is>
      </c>
      <c r="I4231" s="107" t="inlineStr">
        <is>
          <t>89134</t>
        </is>
      </c>
      <c r="J4231" s="107" t="inlineStr">
        <is>
          <t>N/D</t>
        </is>
      </c>
      <c r="K4231" s="65" t="inlineStr">
        <is>
          <t>N/D</t>
        </is>
      </c>
      <c r="L4231" s="127" t="inlineStr">
        <is>
          <t>ANTONIONI SPORT CACCIA E PESCA SRLS</t>
        </is>
      </c>
      <c r="M4231" s="5" t="n">
        <v>25.747</v>
      </c>
      <c r="N4231" s="5" t="n"/>
      <c r="O4231" s="5">
        <f>+M4231+N4231</f>
        <v/>
      </c>
      <c r="P4231" s="4" t="n"/>
      <c r="Q4231" s="87" t="n"/>
      <c r="R4231" s="5" t="n">
        <v>30</v>
      </c>
      <c r="S4231" s="2" t="n">
        <v>1</v>
      </c>
      <c r="T4231" s="3" t="inlineStr">
        <is>
          <t>CA42796IR</t>
        </is>
      </c>
      <c r="U4231" s="87" t="n">
        <v>46041</v>
      </c>
      <c r="V4231" s="3" t="inlineStr">
        <is>
          <t>1</t>
        </is>
      </c>
      <c r="W4231" s="108" t="n">
        <v>46041</v>
      </c>
      <c r="X4231" s="4" t="inlineStr">
        <is>
          <t>PHILIPPOS COSTANTINIDES TRADING CO. LTD</t>
        </is>
      </c>
    </row>
    <row r="4232" ht="24" customHeight="1">
      <c r="A4232" s="2">
        <f>+D4232-S4232</f>
        <v/>
      </c>
      <c r="B4232" s="126" t="n">
        <v>5820</v>
      </c>
      <c r="C4232" s="66" t="n">
        <v>46041</v>
      </c>
      <c r="D4232" s="2" t="n">
        <v>1</v>
      </c>
      <c r="E4232" s="3" t="inlineStr">
        <is>
          <t>FUCILE DOPPIETTA CANI ESTERNI</t>
        </is>
      </c>
      <c r="F4232" s="3" t="n">
        <v>8</v>
      </c>
      <c r="G4232" s="84" t="inlineStr">
        <is>
          <t>FALCO</t>
        </is>
      </c>
      <c r="H4232" s="107" t="inlineStr">
        <is>
          <t>CANI ESTERNI</t>
        </is>
      </c>
      <c r="I4232" s="107" t="inlineStr">
        <is>
          <t>61879</t>
        </is>
      </c>
      <c r="J4232" s="107" t="inlineStr">
        <is>
          <t>N/D</t>
        </is>
      </c>
      <c r="K4232" s="65" t="inlineStr">
        <is>
          <t>N/D</t>
        </is>
      </c>
      <c r="L4232" s="127" t="inlineStr">
        <is>
          <t>ANTONIONI SPORT CACCIA E PESCA SRLS</t>
        </is>
      </c>
      <c r="M4232" s="5" t="n">
        <v>25.747</v>
      </c>
      <c r="N4232" s="5" t="n"/>
      <c r="O4232" s="5">
        <f>+M4232+N4232</f>
        <v/>
      </c>
      <c r="P4232" s="4" t="n"/>
      <c r="Q4232" s="87" t="n"/>
      <c r="R4232" s="5" t="n">
        <v>30</v>
      </c>
      <c r="S4232" s="2" t="n">
        <v>1</v>
      </c>
      <c r="T4232" s="3" t="inlineStr">
        <is>
          <t>CA42796IR</t>
        </is>
      </c>
      <c r="U4232" s="87" t="n">
        <v>46041</v>
      </c>
      <c r="V4232" s="3" t="inlineStr">
        <is>
          <t>1</t>
        </is>
      </c>
      <c r="W4232" s="108" t="n">
        <v>46041</v>
      </c>
      <c r="X4232" s="4" t="inlineStr">
        <is>
          <t>PHILIPPOS COSTANTINIDES TRADING CO. LTD</t>
        </is>
      </c>
    </row>
    <row r="4233" ht="24" customHeight="1">
      <c r="A4233" s="2">
        <f>+D4233-S4233</f>
        <v/>
      </c>
      <c r="B4233" s="126" t="n">
        <v>5821</v>
      </c>
      <c r="C4233" s="66" t="n">
        <v>46041</v>
      </c>
      <c r="D4233" s="2" t="n">
        <v>1</v>
      </c>
      <c r="E4233" s="3" t="inlineStr">
        <is>
          <t>FUCILE MONOCANNA</t>
        </is>
      </c>
      <c r="F4233" s="3" t="n">
        <v>8</v>
      </c>
      <c r="G4233" s="84" t="inlineStr">
        <is>
          <t>FALCO</t>
        </is>
      </c>
      <c r="H4233" s="107" t="inlineStr">
        <is>
          <t>CACCIA</t>
        </is>
      </c>
      <c r="I4233" s="107" t="inlineStr">
        <is>
          <t>A58039</t>
        </is>
      </c>
      <c r="J4233" s="107" t="inlineStr">
        <is>
          <t>N/D</t>
        </is>
      </c>
      <c r="K4233" s="65" t="inlineStr">
        <is>
          <t>N/D</t>
        </is>
      </c>
      <c r="L4233" s="127" t="inlineStr">
        <is>
          <t>ANTONIONI SPORT CACCIA E PESCA SRLS</t>
        </is>
      </c>
      <c r="M4233" s="5" t="n">
        <v>25.747</v>
      </c>
      <c r="N4233" s="5" t="n"/>
      <c r="O4233" s="5">
        <f>+M4233+N4233</f>
        <v/>
      </c>
      <c r="P4233" s="4" t="n"/>
      <c r="Q4233" s="87" t="n"/>
      <c r="R4233" s="5" t="n">
        <v>30</v>
      </c>
      <c r="S4233" s="2" t="n">
        <v>1</v>
      </c>
      <c r="T4233" s="3" t="inlineStr">
        <is>
          <t>CA42796IR</t>
        </is>
      </c>
      <c r="U4233" s="87" t="n">
        <v>46041</v>
      </c>
      <c r="V4233" s="3" t="inlineStr">
        <is>
          <t>1</t>
        </is>
      </c>
      <c r="W4233" s="108" t="n">
        <v>46041</v>
      </c>
      <c r="X4233" s="4" t="inlineStr">
        <is>
          <t>PHILIPPOS COSTANTINIDES TRADING CO. LTD</t>
        </is>
      </c>
    </row>
    <row r="4234" ht="24" customHeight="1">
      <c r="A4234" s="2">
        <f>+D4234-S4234</f>
        <v/>
      </c>
      <c r="B4234" s="126" t="n">
        <v>5822</v>
      </c>
      <c r="C4234" s="66" t="n">
        <v>46041</v>
      </c>
      <c r="D4234" s="2" t="n">
        <v>1</v>
      </c>
      <c r="E4234" s="3" t="inlineStr">
        <is>
          <t>FUCILE MONOCANNA</t>
        </is>
      </c>
      <c r="F4234" s="3" t="n">
        <v>12</v>
      </c>
      <c r="G4234" s="84" t="inlineStr">
        <is>
          <t>BERETTA</t>
        </is>
      </c>
      <c r="H4234" s="107" t="inlineStr">
        <is>
          <t>CACCIA</t>
        </is>
      </c>
      <c r="I4234" s="107" t="inlineStr">
        <is>
          <t>B84983</t>
        </is>
      </c>
      <c r="J4234" s="107" t="inlineStr">
        <is>
          <t>N/D</t>
        </is>
      </c>
      <c r="K4234" s="65" t="inlineStr">
        <is>
          <t>N/D</t>
        </is>
      </c>
      <c r="L4234" s="127" t="inlineStr">
        <is>
          <t>ANTONIONI SPORT CACCIA E PESCA SRLS</t>
        </is>
      </c>
      <c r="M4234" s="5" t="n">
        <v>25.747</v>
      </c>
      <c r="N4234" s="5" t="n"/>
      <c r="O4234" s="5">
        <f>+M4234+N4234</f>
        <v/>
      </c>
      <c r="P4234" s="4" t="n"/>
      <c r="Q4234" s="87" t="n"/>
      <c r="R4234" s="5" t="n">
        <v>30</v>
      </c>
      <c r="S4234" s="2" t="n">
        <v>1</v>
      </c>
      <c r="T4234" s="3" t="inlineStr">
        <is>
          <t>CA42796IR</t>
        </is>
      </c>
      <c r="U4234" s="87" t="n">
        <v>46041</v>
      </c>
      <c r="V4234" s="3" t="inlineStr">
        <is>
          <t>1</t>
        </is>
      </c>
      <c r="W4234" s="108" t="n">
        <v>46041</v>
      </c>
      <c r="X4234" s="4" t="inlineStr">
        <is>
          <t>PHILIPPOS COSTANTINIDES TRADING CO. LTD</t>
        </is>
      </c>
    </row>
    <row r="4235" ht="24" customHeight="1">
      <c r="A4235" s="2">
        <f>+D4235-S4235</f>
        <v/>
      </c>
      <c r="B4235" s="126" t="n">
        <v>5823</v>
      </c>
      <c r="C4235" s="66" t="n">
        <v>46041</v>
      </c>
      <c r="D4235" s="2" t="n">
        <v>1</v>
      </c>
      <c r="E4235" s="3" t="inlineStr">
        <is>
          <t>FUCILE MONOCANNA</t>
        </is>
      </c>
      <c r="F4235" s="3" t="n">
        <v>20</v>
      </c>
      <c r="G4235" s="84" t="inlineStr">
        <is>
          <t>BERETTA</t>
        </is>
      </c>
      <c r="H4235" s="107" t="inlineStr">
        <is>
          <t>CACCIA</t>
        </is>
      </c>
      <c r="I4235" s="107" t="inlineStr">
        <is>
          <t>B8258</t>
        </is>
      </c>
      <c r="J4235" s="107" t="inlineStr">
        <is>
          <t>N/D</t>
        </is>
      </c>
      <c r="K4235" s="65" t="inlineStr">
        <is>
          <t>N/D</t>
        </is>
      </c>
      <c r="L4235" s="127" t="inlineStr">
        <is>
          <t>ANTONIONI SPORT CACCIA E PESCA SRLS</t>
        </is>
      </c>
      <c r="M4235" s="5" t="n">
        <v>25.747</v>
      </c>
      <c r="N4235" s="5" t="n"/>
      <c r="O4235" s="5">
        <f>+M4235+N4235</f>
        <v/>
      </c>
      <c r="P4235" s="4" t="n"/>
      <c r="Q4235" s="87" t="n"/>
      <c r="R4235" s="5" t="n">
        <v>30</v>
      </c>
      <c r="S4235" s="2" t="n">
        <v>1</v>
      </c>
      <c r="T4235" s="3" t="inlineStr">
        <is>
          <t>CA42796IR</t>
        </is>
      </c>
      <c r="U4235" s="87" t="n">
        <v>46041</v>
      </c>
      <c r="V4235" s="3" t="inlineStr">
        <is>
          <t>1</t>
        </is>
      </c>
      <c r="W4235" s="108" t="n">
        <v>46041</v>
      </c>
      <c r="X4235" s="4" t="inlineStr">
        <is>
          <t>PHILIPPOS COSTANTINIDES TRADING CO. LTD</t>
        </is>
      </c>
    </row>
    <row r="4236" ht="24" customHeight="1">
      <c r="A4236" s="2">
        <f>+D4236-S4236</f>
        <v/>
      </c>
      <c r="B4236" s="126" t="n">
        <v>5824</v>
      </c>
      <c r="C4236" s="66" t="n">
        <v>46041</v>
      </c>
      <c r="D4236" s="2" t="n">
        <v>1</v>
      </c>
      <c r="E4236" s="3" t="inlineStr">
        <is>
          <t>FUCILE MONOCANNA</t>
        </is>
      </c>
      <c r="F4236" s="3" t="n">
        <v>8</v>
      </c>
      <c r="G4236" s="84" t="inlineStr">
        <is>
          <t>INVESTARM</t>
        </is>
      </c>
      <c r="H4236" s="107" t="inlineStr">
        <is>
          <t>CACCIA</t>
        </is>
      </c>
      <c r="I4236" s="107" t="inlineStr">
        <is>
          <t>561198</t>
        </is>
      </c>
      <c r="J4236" s="107" t="inlineStr">
        <is>
          <t>N/D</t>
        </is>
      </c>
      <c r="K4236" s="65" t="inlineStr">
        <is>
          <t>N/D</t>
        </is>
      </c>
      <c r="L4236" s="127" t="inlineStr">
        <is>
          <t>ANTONIONI SPORT CACCIA E PESCA SRLS</t>
        </is>
      </c>
      <c r="M4236" s="5" t="n">
        <v>25.747</v>
      </c>
      <c r="N4236" s="5" t="n"/>
      <c r="O4236" s="5">
        <f>+M4236+N4236</f>
        <v/>
      </c>
      <c r="P4236" s="4" t="n"/>
      <c r="Q4236" s="87" t="n"/>
      <c r="R4236" s="5" t="n">
        <v>30</v>
      </c>
      <c r="S4236" s="2" t="n">
        <v>1</v>
      </c>
      <c r="T4236" s="3" t="inlineStr">
        <is>
          <t>CA42796IR</t>
        </is>
      </c>
      <c r="U4236" s="87" t="n">
        <v>46041</v>
      </c>
      <c r="V4236" s="3" t="inlineStr">
        <is>
          <t>1</t>
        </is>
      </c>
      <c r="W4236" s="108" t="n">
        <v>46041</v>
      </c>
      <c r="X4236" s="4" t="inlineStr">
        <is>
          <t>PHILIPPOS COSTANTINIDES TRADING CO. LTD</t>
        </is>
      </c>
    </row>
    <row r="4237" ht="24" customHeight="1">
      <c r="A4237" s="2">
        <f>+D4237-S4237</f>
        <v/>
      </c>
      <c r="B4237" s="126" t="n">
        <v>5825</v>
      </c>
      <c r="C4237" s="66" t="n">
        <v>46041</v>
      </c>
      <c r="D4237" s="2" t="n">
        <v>1</v>
      </c>
      <c r="E4237" s="3" t="inlineStr">
        <is>
          <t>FUCILE MONOCANNA</t>
        </is>
      </c>
      <c r="F4237" s="3" t="n">
        <v>20</v>
      </c>
      <c r="G4237" s="84" t="inlineStr">
        <is>
          <t>FM</t>
        </is>
      </c>
      <c r="H4237" s="107" t="inlineStr">
        <is>
          <t>CACCIA</t>
        </is>
      </c>
      <c r="I4237" s="107" t="inlineStr">
        <is>
          <t>12495</t>
        </is>
      </c>
      <c r="J4237" s="107" t="inlineStr">
        <is>
          <t>N/D</t>
        </is>
      </c>
      <c r="K4237" s="65" t="inlineStr">
        <is>
          <t>N/D</t>
        </is>
      </c>
      <c r="L4237" s="127" t="inlineStr">
        <is>
          <t>ANTONIONI SPORT CACCIA E PESCA SRLS</t>
        </is>
      </c>
      <c r="M4237" s="5" t="n">
        <v>25.747</v>
      </c>
      <c r="N4237" s="5" t="n"/>
      <c r="O4237" s="5">
        <f>+M4237+N4237</f>
        <v/>
      </c>
      <c r="P4237" s="4" t="n"/>
      <c r="Q4237" s="87" t="n"/>
      <c r="R4237" s="5" t="n">
        <v>30</v>
      </c>
      <c r="S4237" s="2" t="n">
        <v>1</v>
      </c>
      <c r="T4237" s="3" t="inlineStr">
        <is>
          <t>CA42796IR</t>
        </is>
      </c>
      <c r="U4237" s="87" t="n">
        <v>46041</v>
      </c>
      <c r="V4237" s="3" t="inlineStr">
        <is>
          <t>1</t>
        </is>
      </c>
      <c r="W4237" s="108" t="n">
        <v>46041</v>
      </c>
      <c r="X4237" s="4" t="inlineStr">
        <is>
          <t>PHILIPPOS COSTANTINIDES TRADING CO. LTD</t>
        </is>
      </c>
    </row>
    <row r="4238" ht="24" customHeight="1">
      <c r="A4238" s="2">
        <f>+D4238-S4238</f>
        <v/>
      </c>
      <c r="B4238" s="126" t="n">
        <v>5826</v>
      </c>
      <c r="C4238" s="66" t="n">
        <v>46041</v>
      </c>
      <c r="D4238" s="2" t="n">
        <v>1</v>
      </c>
      <c r="E4238" s="3" t="inlineStr">
        <is>
          <t>FUCILE MONOCANNA</t>
        </is>
      </c>
      <c r="F4238" s="3" t="n">
        <v>28</v>
      </c>
      <c r="G4238" s="84" t="inlineStr">
        <is>
          <t>MAVI</t>
        </is>
      </c>
      <c r="H4238" s="107" t="inlineStr">
        <is>
          <t>CACCIA</t>
        </is>
      </c>
      <c r="I4238" s="107" t="inlineStr">
        <is>
          <t>040552</t>
        </is>
      </c>
      <c r="J4238" s="107" t="inlineStr">
        <is>
          <t>N/D</t>
        </is>
      </c>
      <c r="K4238" s="65" t="inlineStr">
        <is>
          <t>N/D</t>
        </is>
      </c>
      <c r="L4238" s="127" t="inlineStr">
        <is>
          <t>ANTONIONI SPORT CACCIA E PESCA SRLS</t>
        </is>
      </c>
      <c r="M4238" s="5" t="n">
        <v>25.747</v>
      </c>
      <c r="N4238" s="5" t="n"/>
      <c r="O4238" s="5">
        <f>+M4238+N4238</f>
        <v/>
      </c>
      <c r="P4238" s="4" t="n"/>
      <c r="Q4238" s="87" t="n"/>
      <c r="R4238" s="5" t="n">
        <v>30</v>
      </c>
      <c r="S4238" s="2" t="n">
        <v>1</v>
      </c>
      <c r="T4238" s="3" t="inlineStr">
        <is>
          <t>CA42796IR</t>
        </is>
      </c>
      <c r="U4238" s="87" t="n">
        <v>46041</v>
      </c>
      <c r="V4238" s="3" t="inlineStr">
        <is>
          <t>1</t>
        </is>
      </c>
      <c r="W4238" s="108" t="n">
        <v>46041</v>
      </c>
      <c r="X4238" s="4" t="inlineStr">
        <is>
          <t>PHILIPPOS COSTANTINIDES TRADING CO. LTD</t>
        </is>
      </c>
    </row>
    <row r="4239" ht="24" customHeight="1">
      <c r="A4239" s="2">
        <f>+D4239-S4239</f>
        <v/>
      </c>
      <c r="B4239" s="126" t="n">
        <v>5827</v>
      </c>
      <c r="C4239" s="66" t="n">
        <v>46041</v>
      </c>
      <c r="D4239" s="2" t="n">
        <v>1</v>
      </c>
      <c r="E4239" s="3" t="inlineStr">
        <is>
          <t>FUCILE MONOCANNA</t>
        </is>
      </c>
      <c r="F4239" s="3" t="n">
        <v>20</v>
      </c>
      <c r="G4239" s="84" t="inlineStr">
        <is>
          <t>MAVI</t>
        </is>
      </c>
      <c r="H4239" s="107" t="inlineStr">
        <is>
          <t>CACCIA</t>
        </is>
      </c>
      <c r="I4239" s="107" t="inlineStr">
        <is>
          <t>89510</t>
        </is>
      </c>
      <c r="J4239" s="107" t="inlineStr">
        <is>
          <t>N/D</t>
        </is>
      </c>
      <c r="K4239" s="65" t="inlineStr">
        <is>
          <t>N/D</t>
        </is>
      </c>
      <c r="L4239" s="127" t="inlineStr">
        <is>
          <t>ANTONIONI SPORT CACCIA E PESCA SRLS</t>
        </is>
      </c>
      <c r="M4239" s="5" t="n">
        <v>25.747</v>
      </c>
      <c r="N4239" s="5" t="n"/>
      <c r="O4239" s="5">
        <f>+M4239+N4239</f>
        <v/>
      </c>
      <c r="P4239" s="4" t="n"/>
      <c r="Q4239" s="87" t="n"/>
      <c r="R4239" s="5" t="n">
        <v>30</v>
      </c>
      <c r="S4239" s="2" t="n">
        <v>1</v>
      </c>
      <c r="T4239" s="3" t="inlineStr">
        <is>
          <t>CA42796IR</t>
        </is>
      </c>
      <c r="U4239" s="87" t="n">
        <v>46041</v>
      </c>
      <c r="V4239" s="3" t="inlineStr">
        <is>
          <t>1</t>
        </is>
      </c>
      <c r="W4239" s="108" t="n">
        <v>46041</v>
      </c>
      <c r="X4239" s="4" t="inlineStr">
        <is>
          <t>PHILIPPOS COSTANTINIDES TRADING CO. LTD</t>
        </is>
      </c>
    </row>
    <row r="4240" ht="24" customHeight="1">
      <c r="A4240" s="2">
        <f>+D4240-S4240</f>
        <v/>
      </c>
      <c r="B4240" s="126" t="n">
        <v>5828</v>
      </c>
      <c r="C4240" s="66" t="n">
        <v>46041</v>
      </c>
      <c r="D4240" s="2" t="n">
        <v>1</v>
      </c>
      <c r="E4240" s="3" t="inlineStr">
        <is>
          <t>FUCILE MONOCANNA</t>
        </is>
      </c>
      <c r="F4240" s="3" t="n">
        <v>28</v>
      </c>
      <c r="G4240" s="84" t="inlineStr">
        <is>
          <t>INVESTARM</t>
        </is>
      </c>
      <c r="H4240" s="107" t="inlineStr">
        <is>
          <t>CACCIA</t>
        </is>
      </c>
      <c r="I4240" s="107" t="inlineStr">
        <is>
          <t>159380</t>
        </is>
      </c>
      <c r="J4240" s="107" t="inlineStr">
        <is>
          <t>N/D</t>
        </is>
      </c>
      <c r="K4240" s="65" t="inlineStr">
        <is>
          <t>N/D</t>
        </is>
      </c>
      <c r="L4240" s="127" t="inlineStr">
        <is>
          <t>ANTONIONI SPORT CACCIA E PESCA SRLS</t>
        </is>
      </c>
      <c r="M4240" s="5" t="n">
        <v>25.747</v>
      </c>
      <c r="N4240" s="5" t="n"/>
      <c r="O4240" s="5">
        <f>+M4240+N4240</f>
        <v/>
      </c>
      <c r="P4240" s="4" t="n"/>
      <c r="Q4240" s="87" t="n"/>
      <c r="R4240" s="5" t="n">
        <v>30</v>
      </c>
      <c r="S4240" s="2" t="n">
        <v>1</v>
      </c>
      <c r="T4240" s="3" t="inlineStr">
        <is>
          <t>CA42796IR</t>
        </is>
      </c>
      <c r="U4240" s="87" t="n">
        <v>46041</v>
      </c>
      <c r="V4240" s="3" t="inlineStr">
        <is>
          <t>1</t>
        </is>
      </c>
      <c r="W4240" s="108" t="n">
        <v>46041</v>
      </c>
      <c r="X4240" s="4" t="inlineStr">
        <is>
          <t>PHILIPPOS COSTANTINIDES TRADING CO. LTD</t>
        </is>
      </c>
    </row>
    <row r="4241" ht="24" customHeight="1">
      <c r="A4241" s="2">
        <f>+D4241-S4241</f>
        <v/>
      </c>
      <c r="B4241" s="126" t="n">
        <v>5829</v>
      </c>
      <c r="C4241" s="66" t="n">
        <v>46041</v>
      </c>
      <c r="D4241" s="2" t="n">
        <v>1</v>
      </c>
      <c r="E4241" s="3" t="inlineStr">
        <is>
          <t>FUCILE MONOCANNA</t>
        </is>
      </c>
      <c r="F4241" s="3" t="n">
        <v>16</v>
      </c>
      <c r="G4241" s="84" t="inlineStr">
        <is>
          <t>HARRINGTON</t>
        </is>
      </c>
      <c r="H4241" s="107" t="inlineStr">
        <is>
          <t>CACCIA</t>
        </is>
      </c>
      <c r="I4241" s="107" t="inlineStr">
        <is>
          <t>A435064</t>
        </is>
      </c>
      <c r="J4241" s="107" t="inlineStr">
        <is>
          <t>N/D</t>
        </is>
      </c>
      <c r="K4241" s="65" t="inlineStr">
        <is>
          <t>N/D</t>
        </is>
      </c>
      <c r="L4241" s="127" t="inlineStr">
        <is>
          <t>ANTONIONI SPORT CACCIA E PESCA SRLS</t>
        </is>
      </c>
      <c r="M4241" s="5" t="n">
        <v>25.747</v>
      </c>
      <c r="N4241" s="5" t="n"/>
      <c r="O4241" s="5">
        <f>+M4241+N4241</f>
        <v/>
      </c>
      <c r="P4241" s="4" t="n"/>
      <c r="Q4241" s="87" t="n"/>
      <c r="R4241" s="5" t="n">
        <v>30</v>
      </c>
      <c r="S4241" s="2" t="n">
        <v>1</v>
      </c>
      <c r="T4241" s="3" t="inlineStr">
        <is>
          <t>CA42796IR</t>
        </is>
      </c>
      <c r="U4241" s="87" t="n">
        <v>46041</v>
      </c>
      <c r="V4241" s="3" t="inlineStr">
        <is>
          <t>1</t>
        </is>
      </c>
      <c r="W4241" s="108" t="n">
        <v>46041</v>
      </c>
      <c r="X4241" s="4" t="inlineStr">
        <is>
          <t>PHILIPPOS COSTANTINIDES TRADING CO. LTD</t>
        </is>
      </c>
    </row>
    <row r="4242" ht="24" customHeight="1">
      <c r="A4242" s="2">
        <f>+D4242-S4242</f>
        <v/>
      </c>
      <c r="B4242" s="126" t="n">
        <v>5830</v>
      </c>
      <c r="C4242" s="66" t="n">
        <v>46041</v>
      </c>
      <c r="D4242" s="2" t="n">
        <v>1</v>
      </c>
      <c r="E4242" s="3" t="inlineStr">
        <is>
          <t>FUCILE MONOCANNA</t>
        </is>
      </c>
      <c r="F4242" s="3" t="n">
        <v>20</v>
      </c>
      <c r="G4242" s="84" t="inlineStr">
        <is>
          <t>BERETTA</t>
        </is>
      </c>
      <c r="H4242" s="107" t="inlineStr">
        <is>
          <t>CACCIA</t>
        </is>
      </c>
      <c r="I4242" s="107" t="inlineStr">
        <is>
          <t>B45413</t>
        </is>
      </c>
      <c r="J4242" s="107" t="inlineStr">
        <is>
          <t>N/D</t>
        </is>
      </c>
      <c r="K4242" s="65" t="inlineStr">
        <is>
          <t>N/D</t>
        </is>
      </c>
      <c r="L4242" s="127" t="inlineStr">
        <is>
          <t>ANTONIONI SPORT CACCIA E PESCA SRLS</t>
        </is>
      </c>
      <c r="M4242" s="5" t="n">
        <v>25.747</v>
      </c>
      <c r="N4242" s="5" t="n"/>
      <c r="O4242" s="5">
        <f>+M4242+N4242</f>
        <v/>
      </c>
      <c r="P4242" s="4" t="n"/>
      <c r="Q4242" s="87" t="n"/>
      <c r="R4242" s="5" t="n">
        <v>30</v>
      </c>
      <c r="S4242" s="2" t="n">
        <v>1</v>
      </c>
      <c r="T4242" s="3" t="inlineStr">
        <is>
          <t>CA42796IR</t>
        </is>
      </c>
      <c r="U4242" s="87" t="n">
        <v>46041</v>
      </c>
      <c r="V4242" s="3" t="inlineStr">
        <is>
          <t>1</t>
        </is>
      </c>
      <c r="W4242" s="108" t="n">
        <v>46041</v>
      </c>
      <c r="X4242" s="4" t="inlineStr">
        <is>
          <t>PHILIPPOS COSTANTINIDES TRADING CO. LTD</t>
        </is>
      </c>
    </row>
    <row r="4243" ht="24" customHeight="1">
      <c r="A4243" s="2">
        <f>+D4243-S4243</f>
        <v/>
      </c>
      <c r="B4243" s="126" t="n">
        <v>5831</v>
      </c>
      <c r="C4243" s="66" t="n">
        <v>46041</v>
      </c>
      <c r="D4243" s="2" t="n">
        <v>1</v>
      </c>
      <c r="E4243" s="3" t="inlineStr">
        <is>
          <t>FUCILE MONOCANNA</t>
        </is>
      </c>
      <c r="F4243" s="3" t="n">
        <v>12</v>
      </c>
      <c r="G4243" s="84" t="inlineStr">
        <is>
          <t>BERETTA</t>
        </is>
      </c>
      <c r="H4243" s="107" t="inlineStr">
        <is>
          <t>CACCIA</t>
        </is>
      </c>
      <c r="I4243" s="107" t="inlineStr">
        <is>
          <t>D094655</t>
        </is>
      </c>
      <c r="J4243" s="107" t="inlineStr">
        <is>
          <t>N/D</t>
        </is>
      </c>
      <c r="K4243" s="65" t="inlineStr">
        <is>
          <t>N/D</t>
        </is>
      </c>
      <c r="L4243" s="127" t="inlineStr">
        <is>
          <t>ANTONIONI SPORT CACCIA E PESCA SRLS</t>
        </is>
      </c>
      <c r="M4243" s="5" t="n">
        <v>25.747</v>
      </c>
      <c r="N4243" s="5" t="n"/>
      <c r="O4243" s="5">
        <f>+M4243+N4243</f>
        <v/>
      </c>
      <c r="P4243" s="4" t="n"/>
      <c r="Q4243" s="87" t="n"/>
      <c r="R4243" s="5" t="n">
        <v>30</v>
      </c>
      <c r="S4243" s="2" t="n">
        <v>1</v>
      </c>
      <c r="T4243" s="3" t="inlineStr">
        <is>
          <t>CA42796IR</t>
        </is>
      </c>
      <c r="U4243" s="87" t="n">
        <v>46041</v>
      </c>
      <c r="V4243" s="3" t="inlineStr">
        <is>
          <t>1</t>
        </is>
      </c>
      <c r="W4243" s="108" t="n">
        <v>46041</v>
      </c>
      <c r="X4243" s="4" t="inlineStr">
        <is>
          <t>PHILIPPOS COSTANTINIDES TRADING CO. LTD</t>
        </is>
      </c>
    </row>
    <row r="4244" ht="24" customHeight="1">
      <c r="A4244" s="2">
        <f>+D4244-S4244</f>
        <v/>
      </c>
      <c r="B4244" s="126" t="n">
        <v>5832</v>
      </c>
      <c r="C4244" s="66" t="n">
        <v>46041</v>
      </c>
      <c r="D4244" s="2" t="n">
        <v>1</v>
      </c>
      <c r="E4244" s="3" t="inlineStr">
        <is>
          <t>FUCILE MONOCANNA</t>
        </is>
      </c>
      <c r="F4244" s="3" t="n">
        <v>8</v>
      </c>
      <c r="G4244" s="84" t="inlineStr">
        <is>
          <t>FALCO</t>
        </is>
      </c>
      <c r="H4244" s="107" t="inlineStr">
        <is>
          <t>CACCIA</t>
        </is>
      </c>
      <c r="I4244" s="107" t="inlineStr">
        <is>
          <t>A40989</t>
        </is>
      </c>
      <c r="J4244" s="107" t="inlineStr">
        <is>
          <t>N/D</t>
        </is>
      </c>
      <c r="K4244" s="65" t="inlineStr">
        <is>
          <t>N/D</t>
        </is>
      </c>
      <c r="L4244" s="127" t="inlineStr">
        <is>
          <t>ANTONIONI SPORT CACCIA E PESCA SRLS</t>
        </is>
      </c>
      <c r="M4244" s="5" t="n">
        <v>25.747</v>
      </c>
      <c r="N4244" s="5" t="n"/>
      <c r="O4244" s="5">
        <f>+M4244+N4244</f>
        <v/>
      </c>
      <c r="P4244" s="4" t="n"/>
      <c r="Q4244" s="87" t="n"/>
      <c r="R4244" s="5" t="n">
        <v>30</v>
      </c>
      <c r="S4244" s="2" t="n">
        <v>1</v>
      </c>
      <c r="T4244" s="3" t="inlineStr">
        <is>
          <t>CA42796IR</t>
        </is>
      </c>
      <c r="U4244" s="87" t="n">
        <v>46041</v>
      </c>
      <c r="V4244" s="3" t="inlineStr">
        <is>
          <t>1</t>
        </is>
      </c>
      <c r="W4244" s="108" t="n">
        <v>46041</v>
      </c>
      <c r="X4244" s="4" t="inlineStr">
        <is>
          <t>PHILIPPOS COSTANTINIDES TRADING CO. LTD</t>
        </is>
      </c>
    </row>
    <row r="4245" ht="24" customHeight="1">
      <c r="A4245" s="2">
        <f>+D4245-S4245</f>
        <v/>
      </c>
      <c r="B4245" s="126" t="n">
        <v>5833</v>
      </c>
      <c r="C4245" s="66" t="n">
        <v>46041</v>
      </c>
      <c r="D4245" s="2" t="n">
        <v>1</v>
      </c>
      <c r="E4245" s="3" t="inlineStr">
        <is>
          <t>FUCILE MONOCANNA</t>
        </is>
      </c>
      <c r="F4245" s="3" t="n">
        <v>8</v>
      </c>
      <c r="G4245" s="84" t="inlineStr">
        <is>
          <t>INVESTARM</t>
        </is>
      </c>
      <c r="H4245" s="107" t="n">
        <v>70</v>
      </c>
      <c r="I4245" s="107" t="inlineStr">
        <is>
          <t>482952</t>
        </is>
      </c>
      <c r="J4245" s="107" t="inlineStr">
        <is>
          <t>N/D</t>
        </is>
      </c>
      <c r="K4245" s="65" t="inlineStr">
        <is>
          <t>N/D</t>
        </is>
      </c>
      <c r="L4245" s="127" t="inlineStr">
        <is>
          <t>ANTONIONI SPORT CACCIA E PESCA SRLS</t>
        </is>
      </c>
      <c r="M4245" s="5" t="n">
        <v>25.747</v>
      </c>
      <c r="N4245" s="5" t="n"/>
      <c r="O4245" s="5">
        <f>+M4245+N4245</f>
        <v/>
      </c>
      <c r="P4245" s="4" t="n"/>
      <c r="Q4245" s="87" t="n"/>
      <c r="R4245" s="5" t="n">
        <v>30</v>
      </c>
      <c r="S4245" s="2" t="n">
        <v>1</v>
      </c>
      <c r="T4245" s="3" t="inlineStr">
        <is>
          <t>CA42796IR</t>
        </is>
      </c>
      <c r="U4245" s="87" t="n">
        <v>46041</v>
      </c>
      <c r="V4245" s="3" t="inlineStr">
        <is>
          <t>1</t>
        </is>
      </c>
      <c r="W4245" s="108" t="n">
        <v>46041</v>
      </c>
      <c r="X4245" s="4" t="inlineStr">
        <is>
          <t>PHILIPPOS COSTANTINIDES TRADING CO. LTD</t>
        </is>
      </c>
    </row>
    <row r="4246" ht="24" customHeight="1">
      <c r="A4246" s="2">
        <f>+D4246-S4246</f>
        <v/>
      </c>
      <c r="B4246" s="126" t="n">
        <v>5834</v>
      </c>
      <c r="C4246" s="66" t="n">
        <v>46041</v>
      </c>
      <c r="D4246" s="2" t="n">
        <v>1</v>
      </c>
      <c r="E4246" s="3" t="inlineStr">
        <is>
          <t>FUCILE MONOCANNA</t>
        </is>
      </c>
      <c r="F4246" s="3" t="n">
        <v>28</v>
      </c>
      <c r="G4246" s="84" t="inlineStr">
        <is>
          <t>POLI</t>
        </is>
      </c>
      <c r="H4246" s="107" t="inlineStr">
        <is>
          <t>CACCIA</t>
        </is>
      </c>
      <c r="I4246" s="107" t="inlineStr">
        <is>
          <t>2542</t>
        </is>
      </c>
      <c r="J4246" s="107" t="inlineStr">
        <is>
          <t>N/D</t>
        </is>
      </c>
      <c r="K4246" s="65" t="inlineStr">
        <is>
          <t>N/D</t>
        </is>
      </c>
      <c r="L4246" s="127" t="inlineStr">
        <is>
          <t>ANTONIONI SPORT CACCIA E PESCA SRLS</t>
        </is>
      </c>
      <c r="M4246" s="5" t="n">
        <v>25.747</v>
      </c>
      <c r="N4246" s="5" t="n"/>
      <c r="O4246" s="5">
        <f>+M4246+N4246</f>
        <v/>
      </c>
      <c r="P4246" s="4" t="n"/>
      <c r="Q4246" s="87" t="n"/>
      <c r="R4246" s="5" t="n">
        <v>30</v>
      </c>
      <c r="S4246" s="2" t="n">
        <v>1</v>
      </c>
      <c r="T4246" s="3" t="inlineStr">
        <is>
          <t>CA42796IR</t>
        </is>
      </c>
      <c r="U4246" s="87" t="n">
        <v>46041</v>
      </c>
      <c r="V4246" s="3" t="inlineStr">
        <is>
          <t>1</t>
        </is>
      </c>
      <c r="W4246" s="108" t="n">
        <v>46041</v>
      </c>
      <c r="X4246" s="4" t="inlineStr">
        <is>
          <t>PHILIPPOS COSTANTINIDES TRADING CO. LTD</t>
        </is>
      </c>
    </row>
    <row r="4247" ht="24" customHeight="1">
      <c r="A4247" s="2">
        <f>+D4247-S4247</f>
        <v/>
      </c>
      <c r="B4247" s="126" t="n">
        <v>5835</v>
      </c>
      <c r="C4247" s="66" t="n">
        <v>46041</v>
      </c>
      <c r="D4247" s="2" t="n">
        <v>1</v>
      </c>
      <c r="E4247" s="3" t="inlineStr">
        <is>
          <t>FUCILE MONOCANNA</t>
        </is>
      </c>
      <c r="F4247" s="3" t="n">
        <v>28</v>
      </c>
      <c r="G4247" s="84" t="inlineStr">
        <is>
          <t>MAVI</t>
        </is>
      </c>
      <c r="H4247" s="107" t="inlineStr">
        <is>
          <t>CACCIA</t>
        </is>
      </c>
      <c r="I4247" s="107" t="inlineStr">
        <is>
          <t>72840</t>
        </is>
      </c>
      <c r="J4247" s="107" t="inlineStr">
        <is>
          <t>N/D</t>
        </is>
      </c>
      <c r="K4247" s="65" t="inlineStr">
        <is>
          <t>N/D</t>
        </is>
      </c>
      <c r="L4247" s="127" t="inlineStr">
        <is>
          <t>ANTONIONI SPORT CACCIA E PESCA SRLS</t>
        </is>
      </c>
      <c r="M4247" s="5" t="n">
        <v>25.747</v>
      </c>
      <c r="N4247" s="5" t="n"/>
      <c r="O4247" s="5">
        <f>+M4247+N4247</f>
        <v/>
      </c>
      <c r="P4247" s="4" t="n"/>
      <c r="Q4247" s="87" t="n"/>
      <c r="R4247" s="5" t="n">
        <v>30</v>
      </c>
      <c r="S4247" s="2" t="n">
        <v>1</v>
      </c>
      <c r="T4247" s="3" t="inlineStr">
        <is>
          <t>CA42796IR</t>
        </is>
      </c>
      <c r="U4247" s="87" t="n">
        <v>46041</v>
      </c>
      <c r="V4247" s="3" t="inlineStr">
        <is>
          <t>1</t>
        </is>
      </c>
      <c r="W4247" s="108" t="n">
        <v>46041</v>
      </c>
      <c r="X4247" s="4" t="inlineStr">
        <is>
          <t>PHILIPPOS COSTANTINIDES TRADING CO. LTD</t>
        </is>
      </c>
    </row>
    <row r="4248" ht="24" customHeight="1">
      <c r="A4248" s="2">
        <f>+D4248-S4248</f>
        <v/>
      </c>
      <c r="B4248" s="126" t="n">
        <v>5836</v>
      </c>
      <c r="C4248" s="66" t="n">
        <v>46041</v>
      </c>
      <c r="D4248" s="2" t="n">
        <v>1</v>
      </c>
      <c r="E4248" s="3" t="inlineStr">
        <is>
          <t>FUCILE MONOCANNA</t>
        </is>
      </c>
      <c r="F4248" s="3" t="n">
        <v>32</v>
      </c>
      <c r="G4248" s="84" t="inlineStr">
        <is>
          <t>MAVI</t>
        </is>
      </c>
      <c r="H4248" s="107" t="inlineStr">
        <is>
          <t>CACCIA</t>
        </is>
      </c>
      <c r="I4248" s="107" t="inlineStr">
        <is>
          <t>96930</t>
        </is>
      </c>
      <c r="J4248" s="107" t="inlineStr">
        <is>
          <t>N/D</t>
        </is>
      </c>
      <c r="K4248" s="65" t="inlineStr">
        <is>
          <t>N/D</t>
        </is>
      </c>
      <c r="L4248" s="127" t="inlineStr">
        <is>
          <t>ANTONIONI SPORT CACCIA E PESCA SRLS</t>
        </is>
      </c>
      <c r="M4248" s="5" t="n">
        <v>25.747</v>
      </c>
      <c r="N4248" s="5" t="n"/>
      <c r="O4248" s="5">
        <f>+M4248+N4248</f>
        <v/>
      </c>
      <c r="P4248" s="4" t="n"/>
      <c r="Q4248" s="87" t="n"/>
      <c r="R4248" s="5" t="n">
        <v>30</v>
      </c>
      <c r="S4248" s="2" t="n">
        <v>1</v>
      </c>
      <c r="T4248" s="3" t="inlineStr">
        <is>
          <t>CA42796IR</t>
        </is>
      </c>
      <c r="U4248" s="87" t="n">
        <v>46041</v>
      </c>
      <c r="V4248" s="3" t="inlineStr">
        <is>
          <t>1</t>
        </is>
      </c>
      <c r="W4248" s="108" t="n">
        <v>46041</v>
      </c>
      <c r="X4248" s="4" t="inlineStr">
        <is>
          <t>PHILIPPOS COSTANTINIDES TRADING CO. LTD</t>
        </is>
      </c>
    </row>
    <row r="4249" ht="24" customHeight="1">
      <c r="A4249" s="2">
        <f>+D4249-S4249</f>
        <v/>
      </c>
      <c r="B4249" s="126" t="n">
        <v>5837</v>
      </c>
      <c r="C4249" s="66" t="n">
        <v>46041</v>
      </c>
      <c r="D4249" s="2" t="n">
        <v>1</v>
      </c>
      <c r="E4249" s="3" t="inlineStr">
        <is>
          <t>FUCILE MONOCANNA</t>
        </is>
      </c>
      <c r="F4249" s="3" t="n">
        <v>20</v>
      </c>
      <c r="G4249" s="84" t="inlineStr">
        <is>
          <t>BERETTA</t>
        </is>
      </c>
      <c r="H4249" s="107" t="inlineStr">
        <is>
          <t>CACCIA</t>
        </is>
      </c>
      <c r="I4249" s="107" t="inlineStr">
        <is>
          <t>1521</t>
        </is>
      </c>
      <c r="J4249" s="107" t="inlineStr">
        <is>
          <t>N/D</t>
        </is>
      </c>
      <c r="K4249" s="65" t="inlineStr">
        <is>
          <t>N/D</t>
        </is>
      </c>
      <c r="L4249" s="127" t="inlineStr">
        <is>
          <t>ANTONIONI SPORT CACCIA E PESCA SRLS</t>
        </is>
      </c>
      <c r="M4249" s="5" t="n">
        <v>25.747</v>
      </c>
      <c r="N4249" s="5" t="n"/>
      <c r="O4249" s="5">
        <f>+M4249+N4249</f>
        <v/>
      </c>
      <c r="P4249" s="4" t="n"/>
      <c r="Q4249" s="87" t="n"/>
      <c r="R4249" s="5" t="n">
        <v>30</v>
      </c>
      <c r="S4249" s="2" t="n">
        <v>1</v>
      </c>
      <c r="T4249" s="3" t="inlineStr">
        <is>
          <t>CA42796IR</t>
        </is>
      </c>
      <c r="U4249" s="87" t="n">
        <v>46041</v>
      </c>
      <c r="V4249" s="3" t="inlineStr">
        <is>
          <t>1</t>
        </is>
      </c>
      <c r="W4249" s="108" t="n">
        <v>46041</v>
      </c>
      <c r="X4249" s="4" t="inlineStr">
        <is>
          <t>PHILIPPOS COSTANTINIDES TRADING CO. LTD</t>
        </is>
      </c>
    </row>
    <row r="4250" ht="24" customHeight="1">
      <c r="A4250" s="2">
        <f>+D4250-S4250</f>
        <v/>
      </c>
      <c r="B4250" s="126" t="n">
        <v>5838</v>
      </c>
      <c r="C4250" s="66" t="n">
        <v>46041</v>
      </c>
      <c r="D4250" s="2" t="n">
        <v>1</v>
      </c>
      <c r="E4250" s="3" t="inlineStr">
        <is>
          <t>FUCILE MONOCANNA</t>
        </is>
      </c>
      <c r="F4250" s="3" t="n">
        <v>8</v>
      </c>
      <c r="G4250" s="84" t="inlineStr">
        <is>
          <t>FALCO</t>
        </is>
      </c>
      <c r="H4250" s="107" t="inlineStr">
        <is>
          <t>CACCIA</t>
        </is>
      </c>
      <c r="I4250" s="107" t="inlineStr">
        <is>
          <t>84276</t>
        </is>
      </c>
      <c r="J4250" s="107" t="inlineStr">
        <is>
          <t>N/D</t>
        </is>
      </c>
      <c r="K4250" s="65" t="inlineStr">
        <is>
          <t>N/D</t>
        </is>
      </c>
      <c r="L4250" s="127" t="inlineStr">
        <is>
          <t>ANTONIONI SPORT CACCIA E PESCA SRLS</t>
        </is>
      </c>
      <c r="M4250" s="5" t="n">
        <v>25.747</v>
      </c>
      <c r="N4250" s="5" t="n"/>
      <c r="O4250" s="5">
        <f>+M4250+N4250</f>
        <v/>
      </c>
      <c r="P4250" s="4" t="n"/>
      <c r="Q4250" s="87" t="n"/>
      <c r="R4250" s="5" t="n">
        <v>30</v>
      </c>
      <c r="S4250" s="2" t="n">
        <v>1</v>
      </c>
      <c r="T4250" s="3" t="inlineStr">
        <is>
          <t>CA42796IR</t>
        </is>
      </c>
      <c r="U4250" s="87" t="n">
        <v>46041</v>
      </c>
      <c r="V4250" s="3" t="inlineStr">
        <is>
          <t>1</t>
        </is>
      </c>
      <c r="W4250" s="108" t="n">
        <v>46041</v>
      </c>
      <c r="X4250" s="4" t="inlineStr">
        <is>
          <t>PHILIPPOS COSTANTINIDES TRADING CO. LTD</t>
        </is>
      </c>
    </row>
    <row r="4251" ht="24" customHeight="1">
      <c r="A4251" s="2">
        <f>+D4251-S4251</f>
        <v/>
      </c>
      <c r="B4251" s="126" t="n">
        <v>5839</v>
      </c>
      <c r="C4251" s="66" t="n">
        <v>46041</v>
      </c>
      <c r="D4251" s="2" t="n">
        <v>1</v>
      </c>
      <c r="E4251" s="3" t="inlineStr">
        <is>
          <t>FUCILE MONOCANNA</t>
        </is>
      </c>
      <c r="F4251" s="3" t="n">
        <v>32</v>
      </c>
      <c r="G4251" s="84" t="inlineStr">
        <is>
          <t>BERETTA</t>
        </is>
      </c>
      <c r="H4251" s="107" t="inlineStr">
        <is>
          <t>CACCIA</t>
        </is>
      </c>
      <c r="I4251" s="107" t="inlineStr">
        <is>
          <t>C141843</t>
        </is>
      </c>
      <c r="J4251" s="107" t="inlineStr">
        <is>
          <t>N/D</t>
        </is>
      </c>
      <c r="K4251" s="65" t="inlineStr">
        <is>
          <t>N/D</t>
        </is>
      </c>
      <c r="L4251" s="127" t="inlineStr">
        <is>
          <t>ANTONIONI SPORT CACCIA E PESCA SRLS</t>
        </is>
      </c>
      <c r="M4251" s="5" t="n">
        <v>25.747</v>
      </c>
      <c r="N4251" s="5" t="n"/>
      <c r="O4251" s="5">
        <f>+M4251+N4251</f>
        <v/>
      </c>
      <c r="P4251" s="4" t="n"/>
      <c r="Q4251" s="87" t="n"/>
      <c r="R4251" s="5" t="n">
        <v>30</v>
      </c>
      <c r="S4251" s="2" t="n">
        <v>1</v>
      </c>
      <c r="T4251" s="3" t="inlineStr">
        <is>
          <t>CA42796IR</t>
        </is>
      </c>
      <c r="U4251" s="87" t="n">
        <v>46041</v>
      </c>
      <c r="V4251" s="3" t="inlineStr">
        <is>
          <t>1</t>
        </is>
      </c>
      <c r="W4251" s="108" t="n">
        <v>46041</v>
      </c>
      <c r="X4251" s="4" t="inlineStr">
        <is>
          <t>PHILIPPOS COSTANTINIDES TRADING CO. LTD</t>
        </is>
      </c>
    </row>
    <row r="4252" ht="24" customHeight="1">
      <c r="A4252" s="2">
        <f>+D4252-S4252</f>
        <v/>
      </c>
      <c r="B4252" s="126" t="n">
        <v>5840</v>
      </c>
      <c r="C4252" s="66" t="n">
        <v>46041</v>
      </c>
      <c r="D4252" s="2" t="n">
        <v>1</v>
      </c>
      <c r="E4252" s="3" t="inlineStr">
        <is>
          <t>FUCILE MONOCANNA</t>
        </is>
      </c>
      <c r="F4252" s="3" t="n">
        <v>20</v>
      </c>
      <c r="G4252" s="84" t="inlineStr">
        <is>
          <t>BREDA</t>
        </is>
      </c>
      <c r="H4252" s="107" t="inlineStr">
        <is>
          <t>CACCIA</t>
        </is>
      </c>
      <c r="I4252" s="107" t="inlineStr">
        <is>
          <t>051482</t>
        </is>
      </c>
      <c r="J4252" s="107" t="inlineStr">
        <is>
          <t>N/D</t>
        </is>
      </c>
      <c r="K4252" s="65" t="inlineStr">
        <is>
          <t>N/D</t>
        </is>
      </c>
      <c r="L4252" s="127" t="inlineStr">
        <is>
          <t>ANTONIONI SPORT CACCIA E PESCA SRLS</t>
        </is>
      </c>
      <c r="M4252" s="5" t="n">
        <v>25.747</v>
      </c>
      <c r="N4252" s="5" t="n"/>
      <c r="O4252" s="5">
        <f>+M4252+N4252</f>
        <v/>
      </c>
      <c r="P4252" s="4" t="n"/>
      <c r="Q4252" s="87" t="n"/>
      <c r="R4252" s="5" t="n">
        <v>30</v>
      </c>
      <c r="S4252" s="2" t="n">
        <v>1</v>
      </c>
      <c r="T4252" s="3" t="inlineStr">
        <is>
          <t>CA42796IR</t>
        </is>
      </c>
      <c r="U4252" s="87" t="n">
        <v>46041</v>
      </c>
      <c r="V4252" s="3" t="inlineStr">
        <is>
          <t>1</t>
        </is>
      </c>
      <c r="W4252" s="108" t="n">
        <v>46041</v>
      </c>
      <c r="X4252" s="4" t="inlineStr">
        <is>
          <t>PHILIPPOS COSTANTINIDES TRADING CO. LTD</t>
        </is>
      </c>
    </row>
    <row r="4253" ht="24" customHeight="1">
      <c r="A4253" s="2">
        <f>+D4253-S4253</f>
        <v/>
      </c>
      <c r="B4253" s="126" t="n">
        <v>5841</v>
      </c>
      <c r="C4253" s="66" t="n">
        <v>46041</v>
      </c>
      <c r="D4253" s="2" t="n">
        <v>1</v>
      </c>
      <c r="E4253" s="3" t="inlineStr">
        <is>
          <t>FUCILE MONOCANNA</t>
        </is>
      </c>
      <c r="F4253" s="3" t="n">
        <v>28</v>
      </c>
      <c r="G4253" s="84" t="inlineStr">
        <is>
          <t>BERETTA</t>
        </is>
      </c>
      <c r="H4253" s="107" t="inlineStr">
        <is>
          <t>CACCIA</t>
        </is>
      </c>
      <c r="I4253" s="107" t="inlineStr">
        <is>
          <t>A15034D</t>
        </is>
      </c>
      <c r="J4253" s="107" t="inlineStr">
        <is>
          <t>N/D</t>
        </is>
      </c>
      <c r="K4253" s="65" t="inlineStr">
        <is>
          <t>N/D</t>
        </is>
      </c>
      <c r="L4253" s="127" t="inlineStr">
        <is>
          <t>ANTONIONI SPORT CACCIA E PESCA SRLS</t>
        </is>
      </c>
      <c r="M4253" s="5" t="n">
        <v>25.747</v>
      </c>
      <c r="N4253" s="5" t="n"/>
      <c r="O4253" s="5">
        <f>+M4253+N4253</f>
        <v/>
      </c>
      <c r="P4253" s="4" t="n"/>
      <c r="Q4253" s="87" t="n"/>
      <c r="R4253" s="5" t="n">
        <v>30</v>
      </c>
      <c r="S4253" s="2" t="n">
        <v>1</v>
      </c>
      <c r="T4253" s="3" t="inlineStr">
        <is>
          <t>CA42796IR</t>
        </is>
      </c>
      <c r="U4253" s="87" t="n">
        <v>46041</v>
      </c>
      <c r="V4253" s="3" t="inlineStr">
        <is>
          <t>1</t>
        </is>
      </c>
      <c r="W4253" s="108" t="n">
        <v>46041</v>
      </c>
      <c r="X4253" s="4" t="inlineStr">
        <is>
          <t>PHILIPPOS COSTANTINIDES TRADING CO. LTD</t>
        </is>
      </c>
    </row>
    <row r="4254" ht="24" customHeight="1">
      <c r="A4254" s="2">
        <f>+D4254-S4254</f>
        <v/>
      </c>
      <c r="B4254" s="126" t="n">
        <v>5842</v>
      </c>
      <c r="C4254" s="66" t="n">
        <v>46041</v>
      </c>
      <c r="D4254" s="2" t="n">
        <v>1</v>
      </c>
      <c r="E4254" s="3" t="inlineStr">
        <is>
          <t>FUCILE MONOCANNA</t>
        </is>
      </c>
      <c r="F4254" s="3" t="n">
        <v>8</v>
      </c>
      <c r="G4254" s="84" t="inlineStr">
        <is>
          <t>POLI</t>
        </is>
      </c>
      <c r="H4254" s="107" t="inlineStr">
        <is>
          <t>CACCIA</t>
        </is>
      </c>
      <c r="I4254" s="107" t="inlineStr">
        <is>
          <t>B07446</t>
        </is>
      </c>
      <c r="J4254" s="107" t="inlineStr">
        <is>
          <t>N/D</t>
        </is>
      </c>
      <c r="K4254" s="65" t="inlineStr">
        <is>
          <t>N/D</t>
        </is>
      </c>
      <c r="L4254" s="127" t="inlineStr">
        <is>
          <t>ANTONIONI SPORT CACCIA E PESCA SRLS</t>
        </is>
      </c>
      <c r="M4254" s="5" t="n">
        <v>25.747</v>
      </c>
      <c r="N4254" s="5" t="n"/>
      <c r="O4254" s="5">
        <f>+M4254+N4254</f>
        <v/>
      </c>
      <c r="P4254" s="4" t="n"/>
      <c r="Q4254" s="87" t="n"/>
      <c r="R4254" s="5" t="n">
        <v>30</v>
      </c>
      <c r="S4254" s="2" t="n">
        <v>1</v>
      </c>
      <c r="T4254" s="3" t="inlineStr">
        <is>
          <t>CA42796IR</t>
        </is>
      </c>
      <c r="U4254" s="87" t="n">
        <v>46041</v>
      </c>
      <c r="V4254" s="3" t="inlineStr">
        <is>
          <t>1</t>
        </is>
      </c>
      <c r="W4254" s="108" t="n">
        <v>46041</v>
      </c>
      <c r="X4254" s="4" t="inlineStr">
        <is>
          <t>PHILIPPOS COSTANTINIDES TRADING CO. LTD</t>
        </is>
      </c>
    </row>
    <row r="4255" ht="24" customHeight="1">
      <c r="A4255" s="2">
        <f>+D4255-S4255</f>
        <v/>
      </c>
      <c r="B4255" s="126" t="n">
        <v>5843</v>
      </c>
      <c r="C4255" s="66" t="n">
        <v>46041</v>
      </c>
      <c r="D4255" s="2" t="n">
        <v>1</v>
      </c>
      <c r="E4255" s="3" t="inlineStr">
        <is>
          <t>FUCILE MONOCANNA</t>
        </is>
      </c>
      <c r="F4255" s="3" t="n">
        <v>8</v>
      </c>
      <c r="G4255" s="84" t="inlineStr">
        <is>
          <t>FALCO</t>
        </is>
      </c>
      <c r="H4255" s="107" t="inlineStr">
        <is>
          <t>CACCIA</t>
        </is>
      </c>
      <c r="I4255" s="107" t="inlineStr">
        <is>
          <t>A51088</t>
        </is>
      </c>
      <c r="J4255" s="107" t="inlineStr">
        <is>
          <t>N/D</t>
        </is>
      </c>
      <c r="K4255" s="65" t="inlineStr">
        <is>
          <t>N/D</t>
        </is>
      </c>
      <c r="L4255" s="127" t="inlineStr">
        <is>
          <t>ANTONIONI SPORT CACCIA E PESCA SRLS</t>
        </is>
      </c>
      <c r="M4255" s="5" t="n">
        <v>25.747</v>
      </c>
      <c r="N4255" s="5" t="n"/>
      <c r="O4255" s="5">
        <f>+M4255+N4255</f>
        <v/>
      </c>
      <c r="P4255" s="4" t="n"/>
      <c r="Q4255" s="87" t="n"/>
      <c r="R4255" s="5" t="n">
        <v>30</v>
      </c>
      <c r="S4255" s="2" t="n">
        <v>1</v>
      </c>
      <c r="T4255" s="3" t="inlineStr">
        <is>
          <t>CA42796IR</t>
        </is>
      </c>
      <c r="U4255" s="87" t="n">
        <v>46041</v>
      </c>
      <c r="V4255" s="3" t="inlineStr">
        <is>
          <t>1</t>
        </is>
      </c>
      <c r="W4255" s="108" t="n">
        <v>46041</v>
      </c>
      <c r="X4255" s="4" t="inlineStr">
        <is>
          <t>PHILIPPOS COSTANTINIDES TRADING CO. LTD</t>
        </is>
      </c>
    </row>
    <row r="4256" ht="24" customHeight="1">
      <c r="A4256" s="2">
        <f>+D4256-S4256</f>
        <v/>
      </c>
      <c r="B4256" s="126" t="n">
        <v>5844</v>
      </c>
      <c r="C4256" s="66" t="n">
        <v>46041</v>
      </c>
      <c r="D4256" s="2" t="n">
        <v>1</v>
      </c>
      <c r="E4256" s="3" t="inlineStr">
        <is>
          <t>FUCILE MONOCANNA</t>
        </is>
      </c>
      <c r="F4256" s="3" t="n">
        <v>28</v>
      </c>
      <c r="G4256" s="84" t="inlineStr">
        <is>
          <t>BOEHLER</t>
        </is>
      </c>
      <c r="H4256" s="107" t="inlineStr">
        <is>
          <t>CACCIA</t>
        </is>
      </c>
      <c r="I4256" s="107" t="inlineStr">
        <is>
          <t>8841</t>
        </is>
      </c>
      <c r="J4256" s="107" t="inlineStr">
        <is>
          <t>N/D</t>
        </is>
      </c>
      <c r="K4256" s="65" t="inlineStr">
        <is>
          <t>N/D</t>
        </is>
      </c>
      <c r="L4256" s="127" t="inlineStr">
        <is>
          <t>ANTONIONI SPORT CACCIA E PESCA SRLS</t>
        </is>
      </c>
      <c r="M4256" s="5" t="n">
        <v>25.747</v>
      </c>
      <c r="N4256" s="5" t="n"/>
      <c r="O4256" s="5">
        <f>+M4256+N4256</f>
        <v/>
      </c>
      <c r="P4256" s="4" t="n"/>
      <c r="Q4256" s="87" t="n"/>
      <c r="R4256" s="5" t="n">
        <v>30</v>
      </c>
      <c r="S4256" s="2" t="n">
        <v>1</v>
      </c>
      <c r="T4256" s="3" t="inlineStr">
        <is>
          <t>CA42796IR</t>
        </is>
      </c>
      <c r="U4256" s="87" t="n">
        <v>46041</v>
      </c>
      <c r="V4256" s="3" t="inlineStr">
        <is>
          <t>1</t>
        </is>
      </c>
      <c r="W4256" s="108" t="n">
        <v>46041</v>
      </c>
      <c r="X4256" s="4" t="inlineStr">
        <is>
          <t>PHILIPPOS COSTANTINIDES TRADING CO. LTD</t>
        </is>
      </c>
    </row>
    <row r="4257" ht="24" customHeight="1">
      <c r="A4257" s="2">
        <f>+D4257-S4257</f>
        <v/>
      </c>
      <c r="B4257" s="126" t="n">
        <v>5845</v>
      </c>
      <c r="C4257" s="66" t="n">
        <v>46041</v>
      </c>
      <c r="D4257" s="2" t="n">
        <v>1</v>
      </c>
      <c r="E4257" s="3" t="inlineStr">
        <is>
          <t>FUCILE MONOCANNA</t>
        </is>
      </c>
      <c r="F4257" s="3" t="n">
        <v>28</v>
      </c>
      <c r="G4257" s="84" t="inlineStr">
        <is>
          <t>DEDRETTI</t>
        </is>
      </c>
      <c r="H4257" s="107" t="inlineStr">
        <is>
          <t>CACCIA</t>
        </is>
      </c>
      <c r="I4257" s="107" t="inlineStr">
        <is>
          <t>035242</t>
        </is>
      </c>
      <c r="J4257" s="107" t="inlineStr">
        <is>
          <t>N/D</t>
        </is>
      </c>
      <c r="K4257" s="65" t="inlineStr">
        <is>
          <t>N/D</t>
        </is>
      </c>
      <c r="L4257" s="127" t="inlineStr">
        <is>
          <t>ANTONIONI SPORT CACCIA E PESCA SRLS</t>
        </is>
      </c>
      <c r="M4257" s="5" t="n">
        <v>25.747</v>
      </c>
      <c r="N4257" s="5" t="n"/>
      <c r="O4257" s="5">
        <f>+M4257+N4257</f>
        <v/>
      </c>
      <c r="P4257" s="4" t="n"/>
      <c r="Q4257" s="87" t="n"/>
      <c r="R4257" s="5" t="n">
        <v>30</v>
      </c>
      <c r="S4257" s="2" t="n">
        <v>1</v>
      </c>
      <c r="T4257" s="3" t="inlineStr">
        <is>
          <t>CA42796IR</t>
        </is>
      </c>
      <c r="U4257" s="87" t="n">
        <v>46041</v>
      </c>
      <c r="V4257" s="3" t="inlineStr">
        <is>
          <t>1</t>
        </is>
      </c>
      <c r="W4257" s="108" t="n">
        <v>46041</v>
      </c>
      <c r="X4257" s="4" t="inlineStr">
        <is>
          <t>PHILIPPOS COSTANTINIDES TRADING CO. LTD</t>
        </is>
      </c>
    </row>
    <row r="4258" ht="24" customHeight="1">
      <c r="A4258" s="2">
        <f>+D4258-S4258</f>
        <v/>
      </c>
      <c r="B4258" s="126" t="n">
        <v>5846</v>
      </c>
      <c r="C4258" s="66" t="n">
        <v>46041</v>
      </c>
      <c r="D4258" s="2" t="n">
        <v>1</v>
      </c>
      <c r="E4258" s="3" t="inlineStr">
        <is>
          <t>FUCILE MONOCANNA</t>
        </is>
      </c>
      <c r="F4258" s="3" t="n">
        <v>20</v>
      </c>
      <c r="G4258" s="84" t="inlineStr">
        <is>
          <t>BERETTA</t>
        </is>
      </c>
      <c r="H4258" s="107" t="inlineStr">
        <is>
          <t>CACCIA</t>
        </is>
      </c>
      <c r="I4258" s="107" t="inlineStr">
        <is>
          <t>C169737</t>
        </is>
      </c>
      <c r="J4258" s="107" t="inlineStr">
        <is>
          <t>N/D</t>
        </is>
      </c>
      <c r="K4258" s="65" t="inlineStr">
        <is>
          <t>N/D</t>
        </is>
      </c>
      <c r="L4258" s="127" t="inlineStr">
        <is>
          <t>ANTONIONI SPORT CACCIA E PESCA SRLS</t>
        </is>
      </c>
      <c r="M4258" s="5" t="n">
        <v>25.747</v>
      </c>
      <c r="N4258" s="5" t="n"/>
      <c r="O4258" s="5">
        <f>+M4258+N4258</f>
        <v/>
      </c>
      <c r="P4258" s="4" t="n"/>
      <c r="Q4258" s="87" t="n"/>
      <c r="R4258" s="5" t="n">
        <v>30</v>
      </c>
      <c r="S4258" s="2" t="n">
        <v>1</v>
      </c>
      <c r="T4258" s="3" t="inlineStr">
        <is>
          <t>CA42796IR</t>
        </is>
      </c>
      <c r="U4258" s="87" t="n">
        <v>46041</v>
      </c>
      <c r="V4258" s="3" t="inlineStr">
        <is>
          <t>1</t>
        </is>
      </c>
      <c r="W4258" s="108" t="n">
        <v>46041</v>
      </c>
      <c r="X4258" s="4" t="inlineStr">
        <is>
          <t>PHILIPPOS COSTANTINIDES TRADING CO. LTD</t>
        </is>
      </c>
    </row>
    <row r="4259" ht="24" customHeight="1">
      <c r="A4259" s="2">
        <f>+D4259-S4259</f>
        <v/>
      </c>
      <c r="B4259" s="126" t="n">
        <v>5847</v>
      </c>
      <c r="C4259" s="66" t="n">
        <v>46041</v>
      </c>
      <c r="D4259" s="2" t="n">
        <v>1</v>
      </c>
      <c r="E4259" s="3" t="inlineStr">
        <is>
          <t>FUCILE MONOCANNA</t>
        </is>
      </c>
      <c r="F4259" s="3" t="n">
        <v>20</v>
      </c>
      <c r="G4259" s="84" t="inlineStr">
        <is>
          <t>BERETTA</t>
        </is>
      </c>
      <c r="H4259" s="107" t="inlineStr">
        <is>
          <t>CACCIA</t>
        </is>
      </c>
      <c r="I4259" s="107" t="inlineStr">
        <is>
          <t>D058609</t>
        </is>
      </c>
      <c r="J4259" s="107" t="inlineStr">
        <is>
          <t>N/D</t>
        </is>
      </c>
      <c r="K4259" s="65" t="inlineStr">
        <is>
          <t>N/D</t>
        </is>
      </c>
      <c r="L4259" s="127" t="inlineStr">
        <is>
          <t>ANTONIONI SPORT CACCIA E PESCA SRLS</t>
        </is>
      </c>
      <c r="M4259" s="5" t="n">
        <v>25.747</v>
      </c>
      <c r="N4259" s="5" t="n"/>
      <c r="O4259" s="5">
        <f>+M4259+N4259</f>
        <v/>
      </c>
      <c r="P4259" s="4" t="n"/>
      <c r="Q4259" s="87" t="n"/>
      <c r="R4259" s="5" t="n">
        <v>30</v>
      </c>
      <c r="S4259" s="2" t="n">
        <v>1</v>
      </c>
      <c r="T4259" s="3" t="inlineStr">
        <is>
          <t>CA42796IR</t>
        </is>
      </c>
      <c r="U4259" s="87" t="n">
        <v>46041</v>
      </c>
      <c r="V4259" s="3" t="inlineStr">
        <is>
          <t>1</t>
        </is>
      </c>
      <c r="W4259" s="108" t="n">
        <v>46041</v>
      </c>
      <c r="X4259" s="4" t="inlineStr">
        <is>
          <t>PHILIPPOS COSTANTINIDES TRADING CO. LTD</t>
        </is>
      </c>
    </row>
    <row r="4260" ht="24" customHeight="1">
      <c r="A4260" s="2">
        <f>+D4260-S4260</f>
        <v/>
      </c>
      <c r="B4260" s="126" t="n">
        <v>5848</v>
      </c>
      <c r="C4260" s="66" t="n">
        <v>46041</v>
      </c>
      <c r="D4260" s="2" t="n">
        <v>1</v>
      </c>
      <c r="E4260" s="3" t="inlineStr">
        <is>
          <t>FUCILE MONOCANNA</t>
        </is>
      </c>
      <c r="F4260" s="3" t="n">
        <v>8</v>
      </c>
      <c r="G4260" s="84" t="inlineStr">
        <is>
          <t>FALCO</t>
        </is>
      </c>
      <c r="H4260" s="107" t="inlineStr">
        <is>
          <t>CACCIA</t>
        </is>
      </c>
      <c r="I4260" s="107" t="inlineStr">
        <is>
          <t>A43459</t>
        </is>
      </c>
      <c r="J4260" s="107" t="inlineStr">
        <is>
          <t>N/D</t>
        </is>
      </c>
      <c r="K4260" s="65" t="inlineStr">
        <is>
          <t>N/D</t>
        </is>
      </c>
      <c r="L4260" s="127" t="inlineStr">
        <is>
          <t>ANTONIONI SPORT CACCIA E PESCA SRLS</t>
        </is>
      </c>
      <c r="M4260" s="5" t="n">
        <v>25.747</v>
      </c>
      <c r="N4260" s="5" t="n"/>
      <c r="O4260" s="5">
        <f>+M4260+N4260</f>
        <v/>
      </c>
      <c r="P4260" s="4" t="n"/>
      <c r="Q4260" s="87" t="n"/>
      <c r="R4260" s="5" t="n">
        <v>30</v>
      </c>
      <c r="S4260" s="2" t="n">
        <v>1</v>
      </c>
      <c r="T4260" s="3" t="inlineStr">
        <is>
          <t>CA42796IR</t>
        </is>
      </c>
      <c r="U4260" s="87" t="n">
        <v>46041</v>
      </c>
      <c r="V4260" s="3" t="inlineStr">
        <is>
          <t>1</t>
        </is>
      </c>
      <c r="W4260" s="108" t="n">
        <v>46041</v>
      </c>
      <c r="X4260" s="4" t="inlineStr">
        <is>
          <t>PHILIPPOS COSTANTINIDES TRADING CO. LTD</t>
        </is>
      </c>
    </row>
    <row r="4261" ht="24" customHeight="1">
      <c r="A4261" s="2">
        <f>+D4261-S4261</f>
        <v/>
      </c>
      <c r="B4261" s="126" t="n">
        <v>5849</v>
      </c>
      <c r="C4261" s="66" t="n">
        <v>46041</v>
      </c>
      <c r="D4261" s="2" t="n">
        <v>1</v>
      </c>
      <c r="E4261" s="3" t="inlineStr">
        <is>
          <t>FUCILE MONOCANNA</t>
        </is>
      </c>
      <c r="F4261" s="3" t="n">
        <v>20</v>
      </c>
      <c r="G4261" s="84" t="inlineStr">
        <is>
          <t>BERETTA</t>
        </is>
      </c>
      <c r="H4261" s="107" t="inlineStr">
        <is>
          <t>CACCIA</t>
        </is>
      </c>
      <c r="I4261" s="107" t="inlineStr">
        <is>
          <t>B41997</t>
        </is>
      </c>
      <c r="J4261" s="107" t="inlineStr">
        <is>
          <t>N/D</t>
        </is>
      </c>
      <c r="K4261" s="65" t="inlineStr">
        <is>
          <t>N/D</t>
        </is>
      </c>
      <c r="L4261" s="127" t="inlineStr">
        <is>
          <t>ANTONIONI SPORT CACCIA E PESCA SRLS</t>
        </is>
      </c>
      <c r="M4261" s="5" t="n">
        <v>25.747</v>
      </c>
      <c r="N4261" s="5" t="n"/>
      <c r="O4261" s="5">
        <f>+M4261+N4261</f>
        <v/>
      </c>
      <c r="P4261" s="4" t="n"/>
      <c r="Q4261" s="87" t="n"/>
      <c r="R4261" s="5" t="n">
        <v>30</v>
      </c>
      <c r="S4261" s="2" t="n">
        <v>1</v>
      </c>
      <c r="T4261" s="3" t="inlineStr">
        <is>
          <t>CA42796IR</t>
        </is>
      </c>
      <c r="U4261" s="87" t="n">
        <v>46041</v>
      </c>
      <c r="V4261" s="3" t="inlineStr">
        <is>
          <t>1</t>
        </is>
      </c>
      <c r="W4261" s="108" t="n">
        <v>46041</v>
      </c>
      <c r="X4261" s="4" t="inlineStr">
        <is>
          <t>PHILIPPOS COSTANTINIDES TRADING CO. LTD</t>
        </is>
      </c>
    </row>
    <row r="4262" ht="24" customHeight="1">
      <c r="A4262" s="2">
        <f>+D4262-S4262</f>
        <v/>
      </c>
      <c r="B4262" s="126" t="n">
        <v>5850</v>
      </c>
      <c r="C4262" s="66" t="n">
        <v>46041</v>
      </c>
      <c r="D4262" s="2" t="n">
        <v>1</v>
      </c>
      <c r="E4262" s="3" t="inlineStr">
        <is>
          <t>FUCILE MONOCANNA</t>
        </is>
      </c>
      <c r="F4262" s="3" t="n">
        <v>28</v>
      </c>
      <c r="G4262" s="84" t="inlineStr">
        <is>
          <t>ZANOLETTI</t>
        </is>
      </c>
      <c r="H4262" s="107" t="inlineStr">
        <is>
          <t>CACCIA</t>
        </is>
      </c>
      <c r="I4262" s="107" t="inlineStr">
        <is>
          <t>141049</t>
        </is>
      </c>
      <c r="J4262" s="107" t="inlineStr">
        <is>
          <t>N/D</t>
        </is>
      </c>
      <c r="K4262" s="65" t="inlineStr">
        <is>
          <t>N/D</t>
        </is>
      </c>
      <c r="L4262" s="127" t="inlineStr">
        <is>
          <t>ANTONIONI SPORT CACCIA E PESCA SRLS</t>
        </is>
      </c>
      <c r="M4262" s="5" t="n">
        <v>25.747</v>
      </c>
      <c r="N4262" s="5" t="n"/>
      <c r="O4262" s="5">
        <f>+M4262+N4262</f>
        <v/>
      </c>
      <c r="P4262" s="4" t="n"/>
      <c r="Q4262" s="87" t="n"/>
      <c r="R4262" s="5" t="n">
        <v>30</v>
      </c>
      <c r="S4262" s="2" t="n">
        <v>1</v>
      </c>
      <c r="T4262" s="3" t="inlineStr">
        <is>
          <t>CA42796IR</t>
        </is>
      </c>
      <c r="U4262" s="87" t="n">
        <v>46041</v>
      </c>
      <c r="V4262" s="3" t="inlineStr">
        <is>
          <t>1</t>
        </is>
      </c>
      <c r="W4262" s="108" t="n">
        <v>46041</v>
      </c>
      <c r="X4262" s="4" t="inlineStr">
        <is>
          <t>PHILIPPOS COSTANTINIDES TRADING CO. LTD</t>
        </is>
      </c>
    </row>
    <row r="4263" ht="24" customHeight="1">
      <c r="A4263" s="2">
        <f>+D4263-S4263</f>
        <v/>
      </c>
      <c r="B4263" s="126" t="n">
        <v>5851</v>
      </c>
      <c r="C4263" s="66" t="n">
        <v>46041</v>
      </c>
      <c r="D4263" s="2" t="n">
        <v>1</v>
      </c>
      <c r="E4263" s="3" t="inlineStr">
        <is>
          <t>FUCILE MONOCANNA</t>
        </is>
      </c>
      <c r="F4263" s="3" t="n">
        <v>28</v>
      </c>
      <c r="G4263" s="84" t="inlineStr">
        <is>
          <t>ZANOLETTI</t>
        </is>
      </c>
      <c r="H4263" s="107" t="inlineStr">
        <is>
          <t>CACCIA</t>
        </is>
      </c>
      <c r="I4263" s="107" t="inlineStr">
        <is>
          <t>36907</t>
        </is>
      </c>
      <c r="J4263" s="107" t="inlineStr">
        <is>
          <t>N/D</t>
        </is>
      </c>
      <c r="K4263" s="65" t="inlineStr">
        <is>
          <t>N/D</t>
        </is>
      </c>
      <c r="L4263" s="127" t="inlineStr">
        <is>
          <t>ANTONIONI SPORT CACCIA E PESCA SRLS</t>
        </is>
      </c>
      <c r="M4263" s="5" t="n">
        <v>25.747</v>
      </c>
      <c r="N4263" s="5" t="n"/>
      <c r="O4263" s="5">
        <f>+M4263+N4263</f>
        <v/>
      </c>
      <c r="P4263" s="4" t="n"/>
      <c r="Q4263" s="87" t="n"/>
      <c r="R4263" s="5" t="n">
        <v>30</v>
      </c>
      <c r="S4263" s="2" t="n">
        <v>1</v>
      </c>
      <c r="T4263" s="3" t="inlineStr">
        <is>
          <t>CA42796IR</t>
        </is>
      </c>
      <c r="U4263" s="87" t="n">
        <v>46041</v>
      </c>
      <c r="V4263" s="3" t="inlineStr">
        <is>
          <t>1</t>
        </is>
      </c>
      <c r="W4263" s="108" t="n">
        <v>46041</v>
      </c>
      <c r="X4263" s="4" t="inlineStr">
        <is>
          <t>PHILIPPOS COSTANTINIDES TRADING CO. LTD</t>
        </is>
      </c>
    </row>
    <row r="4264" ht="24" customHeight="1">
      <c r="A4264" s="2">
        <f>+D4264-S4264</f>
        <v/>
      </c>
      <c r="B4264" s="126" t="n">
        <v>5852</v>
      </c>
      <c r="C4264" s="66" t="n">
        <v>46041</v>
      </c>
      <c r="D4264" s="2" t="n">
        <v>1</v>
      </c>
      <c r="E4264" s="3" t="inlineStr">
        <is>
          <t>FUCILE MONOCANNA</t>
        </is>
      </c>
      <c r="F4264" s="3" t="n">
        <v>28</v>
      </c>
      <c r="G4264" s="84" t="inlineStr">
        <is>
          <t>BREDA</t>
        </is>
      </c>
      <c r="H4264" s="107" t="inlineStr">
        <is>
          <t>CACCIA</t>
        </is>
      </c>
      <c r="I4264" s="107" t="inlineStr">
        <is>
          <t>30147</t>
        </is>
      </c>
      <c r="J4264" s="107" t="inlineStr">
        <is>
          <t>N/D</t>
        </is>
      </c>
      <c r="K4264" s="65" t="inlineStr">
        <is>
          <t>N/D</t>
        </is>
      </c>
      <c r="L4264" s="127" t="inlineStr">
        <is>
          <t>ANTONIONI SPORT CACCIA E PESCA SRLS</t>
        </is>
      </c>
      <c r="M4264" s="5" t="n">
        <v>25.747</v>
      </c>
      <c r="N4264" s="5" t="n"/>
      <c r="O4264" s="5">
        <f>+M4264+N4264</f>
        <v/>
      </c>
      <c r="P4264" s="4" t="n"/>
      <c r="Q4264" s="87" t="n"/>
      <c r="R4264" s="5" t="n">
        <v>30</v>
      </c>
      <c r="S4264" s="2" t="n">
        <v>1</v>
      </c>
      <c r="T4264" s="3" t="inlineStr">
        <is>
          <t>CA42796IR</t>
        </is>
      </c>
      <c r="U4264" s="87" t="n">
        <v>46041</v>
      </c>
      <c r="V4264" s="3" t="inlineStr">
        <is>
          <t>1</t>
        </is>
      </c>
      <c r="W4264" s="108" t="n">
        <v>46041</v>
      </c>
      <c r="X4264" s="4" t="inlineStr">
        <is>
          <t>PHILIPPOS COSTANTINIDES TRADING CO. LTD</t>
        </is>
      </c>
    </row>
    <row r="4265" ht="24" customHeight="1">
      <c r="A4265" s="2">
        <f>+D4265-S4265</f>
        <v/>
      </c>
      <c r="B4265" s="126" t="n">
        <v>5853</v>
      </c>
      <c r="C4265" s="66" t="n">
        <v>46041</v>
      </c>
      <c r="D4265" s="2" t="n">
        <v>1</v>
      </c>
      <c r="E4265" s="3" t="inlineStr">
        <is>
          <t>FUCILE SOVRAPPOSTO</t>
        </is>
      </c>
      <c r="F4265" s="3" t="n">
        <v>12</v>
      </c>
      <c r="G4265" s="84" t="inlineStr">
        <is>
          <t>FABARM</t>
        </is>
      </c>
      <c r="H4265" s="107" t="inlineStr">
        <is>
          <t>CACCIA</t>
        </is>
      </c>
      <c r="I4265" s="107" t="inlineStr">
        <is>
          <t>19786</t>
        </is>
      </c>
      <c r="J4265" s="107" t="inlineStr">
        <is>
          <t>N/D</t>
        </is>
      </c>
      <c r="K4265" s="65" t="inlineStr">
        <is>
          <t>N/D</t>
        </is>
      </c>
      <c r="L4265" s="127" t="inlineStr">
        <is>
          <t>ANTONIONI SPORT CACCIA E PESCA SRLS</t>
        </is>
      </c>
      <c r="M4265" s="5" t="n">
        <v>25.747</v>
      </c>
      <c r="N4265" s="5" t="n"/>
      <c r="O4265" s="5">
        <f>+M4265+N4265</f>
        <v/>
      </c>
      <c r="P4265" s="4" t="n"/>
      <c r="Q4265" s="87" t="n"/>
      <c r="R4265" s="5" t="n">
        <v>30</v>
      </c>
      <c r="S4265" s="2" t="n">
        <v>1</v>
      </c>
      <c r="T4265" s="3" t="inlineStr">
        <is>
          <t>CA42796IR</t>
        </is>
      </c>
      <c r="U4265" s="87" t="n">
        <v>46041</v>
      </c>
      <c r="V4265" s="3" t="inlineStr">
        <is>
          <t>1</t>
        </is>
      </c>
      <c r="W4265" s="108" t="n">
        <v>46041</v>
      </c>
      <c r="X4265" s="4" t="inlineStr">
        <is>
          <t>PHILIPPOS COSTANTINIDES TRADING CO. LTD</t>
        </is>
      </c>
    </row>
    <row r="4266" ht="24" customHeight="1">
      <c r="A4266" s="2">
        <f>+D4266-S4266</f>
        <v/>
      </c>
      <c r="B4266" s="126" t="n">
        <v>5854</v>
      </c>
      <c r="C4266" s="66" t="n">
        <v>46041</v>
      </c>
      <c r="D4266" s="2" t="n">
        <v>1</v>
      </c>
      <c r="E4266" s="3" t="inlineStr">
        <is>
          <t>FUCILE SOVRAPPOSTO</t>
        </is>
      </c>
      <c r="F4266" s="3" t="n">
        <v>12</v>
      </c>
      <c r="G4266" s="84" t="inlineStr">
        <is>
          <t>ARMITALIA</t>
        </is>
      </c>
      <c r="H4266" s="107" t="inlineStr">
        <is>
          <t>CACCIA</t>
        </is>
      </c>
      <c r="I4266" s="107" t="inlineStr">
        <is>
          <t>60654</t>
        </is>
      </c>
      <c r="J4266" s="107" t="inlineStr">
        <is>
          <t>N/D</t>
        </is>
      </c>
      <c r="K4266" s="65" t="inlineStr">
        <is>
          <t>N/D</t>
        </is>
      </c>
      <c r="L4266" s="127" t="inlineStr">
        <is>
          <t>ANTONIONI SPORT CACCIA E PESCA SRLS</t>
        </is>
      </c>
      <c r="M4266" s="5" t="n">
        <v>25.747</v>
      </c>
      <c r="N4266" s="5" t="n"/>
      <c r="O4266" s="5">
        <f>+M4266+N4266</f>
        <v/>
      </c>
      <c r="P4266" s="4" t="n"/>
      <c r="Q4266" s="87" t="n"/>
      <c r="R4266" s="5" t="n">
        <v>30</v>
      </c>
      <c r="S4266" s="2" t="n">
        <v>1</v>
      </c>
      <c r="T4266" s="3" t="inlineStr">
        <is>
          <t>CA42796IR</t>
        </is>
      </c>
      <c r="U4266" s="87" t="n">
        <v>46041</v>
      </c>
      <c r="V4266" s="3" t="inlineStr">
        <is>
          <t>1</t>
        </is>
      </c>
      <c r="W4266" s="108" t="n">
        <v>46041</v>
      </c>
      <c r="X4266" s="4" t="inlineStr">
        <is>
          <t>PHILIPPOS COSTANTINIDES TRADING CO. LTD</t>
        </is>
      </c>
    </row>
    <row r="4267" ht="24" customHeight="1">
      <c r="A4267" s="2">
        <f>+D4267-S4267</f>
        <v/>
      </c>
      <c r="B4267" s="126" t="n">
        <v>5855</v>
      </c>
      <c r="C4267" s="66" t="n">
        <v>46041</v>
      </c>
      <c r="D4267" s="2" t="n">
        <v>1</v>
      </c>
      <c r="E4267" s="3" t="inlineStr">
        <is>
          <t>FUCILE SOVRAPPOSTO</t>
        </is>
      </c>
      <c r="F4267" s="3" t="n">
        <v>8</v>
      </c>
      <c r="G4267" s="84" t="inlineStr">
        <is>
          <t>FALCO</t>
        </is>
      </c>
      <c r="H4267" s="107" t="inlineStr">
        <is>
          <t>CACCIA</t>
        </is>
      </c>
      <c r="I4267" s="107" t="inlineStr">
        <is>
          <t>A82776</t>
        </is>
      </c>
      <c r="J4267" s="107" t="inlineStr">
        <is>
          <t>N/D</t>
        </is>
      </c>
      <c r="K4267" s="65" t="inlineStr">
        <is>
          <t>N/D</t>
        </is>
      </c>
      <c r="L4267" s="127" t="inlineStr">
        <is>
          <t>ANTONIONI SPORT CACCIA E PESCA SRLS</t>
        </is>
      </c>
      <c r="M4267" s="5" t="n">
        <v>25.747</v>
      </c>
      <c r="N4267" s="5" t="n"/>
      <c r="O4267" s="5">
        <f>+M4267+N4267</f>
        <v/>
      </c>
      <c r="P4267" s="4" t="n"/>
      <c r="Q4267" s="87" t="n"/>
      <c r="R4267" s="5" t="n">
        <v>30</v>
      </c>
      <c r="S4267" s="2" t="n">
        <v>1</v>
      </c>
      <c r="T4267" s="3" t="inlineStr">
        <is>
          <t>CA42796IR</t>
        </is>
      </c>
      <c r="U4267" s="87" t="n">
        <v>46041</v>
      </c>
      <c r="V4267" s="3" t="inlineStr">
        <is>
          <t>1</t>
        </is>
      </c>
      <c r="W4267" s="108" t="n">
        <v>46041</v>
      </c>
      <c r="X4267" s="4" t="inlineStr">
        <is>
          <t>PHILIPPOS COSTANTINIDES TRADING CO. LTD</t>
        </is>
      </c>
    </row>
    <row r="4268" ht="24" customHeight="1">
      <c r="A4268" s="2">
        <f>+D4268-S4268</f>
        <v/>
      </c>
      <c r="B4268" s="126" t="n">
        <v>5856</v>
      </c>
      <c r="C4268" s="66" t="n">
        <v>46041</v>
      </c>
      <c r="D4268" s="2" t="n">
        <v>1</v>
      </c>
      <c r="E4268" s="3" t="inlineStr">
        <is>
          <t>FUCILE SOVRAPPOSTO</t>
        </is>
      </c>
      <c r="F4268" s="3" t="n">
        <v>12</v>
      </c>
      <c r="G4268" s="84" t="inlineStr">
        <is>
          <t>ARMITALIA</t>
        </is>
      </c>
      <c r="H4268" s="107" t="inlineStr">
        <is>
          <t>CACCIA</t>
        </is>
      </c>
      <c r="I4268" s="107" t="inlineStr">
        <is>
          <t>57761</t>
        </is>
      </c>
      <c r="J4268" s="107" t="inlineStr">
        <is>
          <t>N/D</t>
        </is>
      </c>
      <c r="K4268" s="65" t="inlineStr">
        <is>
          <t>N/D</t>
        </is>
      </c>
      <c r="L4268" s="127" t="inlineStr">
        <is>
          <t>ANTONIONI SPORT CACCIA E PESCA SRLS</t>
        </is>
      </c>
      <c r="M4268" s="5" t="n">
        <v>25.747</v>
      </c>
      <c r="N4268" s="5" t="n"/>
      <c r="O4268" s="5">
        <f>+M4268+N4268</f>
        <v/>
      </c>
      <c r="P4268" s="4" t="n"/>
      <c r="Q4268" s="87" t="n"/>
      <c r="R4268" s="5" t="n">
        <v>30</v>
      </c>
      <c r="S4268" s="2" t="n">
        <v>1</v>
      </c>
      <c r="T4268" s="3" t="inlineStr">
        <is>
          <t>CA42796IR</t>
        </is>
      </c>
      <c r="U4268" s="87" t="n">
        <v>46041</v>
      </c>
      <c r="V4268" s="3" t="inlineStr">
        <is>
          <t>1</t>
        </is>
      </c>
      <c r="W4268" s="108" t="n">
        <v>46041</v>
      </c>
      <c r="X4268" s="4" t="inlineStr">
        <is>
          <t>PHILIPPOS COSTANTINIDES TRADING CO. LTD</t>
        </is>
      </c>
    </row>
    <row r="4269" ht="24" customHeight="1">
      <c r="A4269" s="2">
        <f>+D4269-S4269</f>
        <v/>
      </c>
      <c r="B4269" s="126" t="n">
        <v>5857</v>
      </c>
      <c r="C4269" s="66" t="n">
        <v>46041</v>
      </c>
      <c r="D4269" s="2" t="n">
        <v>1</v>
      </c>
      <c r="E4269" s="3" t="inlineStr">
        <is>
          <t>FUCILE SOVRAPPOSTO</t>
        </is>
      </c>
      <c r="F4269" s="3" t="n">
        <v>12</v>
      </c>
      <c r="G4269" s="84" t="inlineStr">
        <is>
          <t>FRANCHI</t>
        </is>
      </c>
      <c r="H4269" s="107" t="inlineStr">
        <is>
          <t>CACCIA</t>
        </is>
      </c>
      <c r="I4269" s="107" t="inlineStr">
        <is>
          <t>47267</t>
        </is>
      </c>
      <c r="J4269" s="107" t="inlineStr">
        <is>
          <t>N/D</t>
        </is>
      </c>
      <c r="K4269" s="65" t="inlineStr">
        <is>
          <t>N/D</t>
        </is>
      </c>
      <c r="L4269" s="127" t="inlineStr">
        <is>
          <t>ANTONIONI SPORT CACCIA E PESCA SRLS</t>
        </is>
      </c>
      <c r="M4269" s="5" t="n">
        <v>25.747</v>
      </c>
      <c r="N4269" s="5" t="n"/>
      <c r="O4269" s="5">
        <f>+M4269+N4269</f>
        <v/>
      </c>
      <c r="P4269" s="4" t="n"/>
      <c r="Q4269" s="87" t="n"/>
      <c r="R4269" s="5" t="n">
        <v>30</v>
      </c>
      <c r="S4269" s="2" t="n">
        <v>1</v>
      </c>
      <c r="T4269" s="3" t="inlineStr">
        <is>
          <t>CA42796IR</t>
        </is>
      </c>
      <c r="U4269" s="87" t="n">
        <v>46041</v>
      </c>
      <c r="V4269" s="3" t="inlineStr">
        <is>
          <t>1</t>
        </is>
      </c>
      <c r="W4269" s="108" t="n">
        <v>46041</v>
      </c>
      <c r="X4269" s="4" t="inlineStr">
        <is>
          <t>PHILIPPOS COSTANTINIDES TRADING CO. LTD</t>
        </is>
      </c>
    </row>
    <row r="4270" ht="24" customHeight="1">
      <c r="A4270" s="2">
        <f>+D4270-S4270</f>
        <v/>
      </c>
      <c r="B4270" s="126" t="n">
        <v>5858</v>
      </c>
      <c r="C4270" s="66" t="n">
        <v>46041</v>
      </c>
      <c r="D4270" s="2" t="n">
        <v>1</v>
      </c>
      <c r="E4270" s="3" t="inlineStr">
        <is>
          <t>FUCILE SOVRAPPOSTO</t>
        </is>
      </c>
      <c r="F4270" s="3" t="n">
        <v>12</v>
      </c>
      <c r="G4270" s="84" t="inlineStr">
        <is>
          <t>BERETTA</t>
        </is>
      </c>
      <c r="H4270" s="107" t="inlineStr">
        <is>
          <t>S55</t>
        </is>
      </c>
      <c r="I4270" s="107" t="inlineStr">
        <is>
          <t>128371</t>
        </is>
      </c>
      <c r="J4270" s="107" t="inlineStr">
        <is>
          <t>N/D</t>
        </is>
      </c>
      <c r="K4270" s="65" t="inlineStr">
        <is>
          <t>N/D</t>
        </is>
      </c>
      <c r="L4270" s="127" t="inlineStr">
        <is>
          <t>ANTONIONI SPORT CACCIA E PESCA SRLS</t>
        </is>
      </c>
      <c r="M4270" s="5" t="n">
        <v>25.747</v>
      </c>
      <c r="N4270" s="5" t="n"/>
      <c r="O4270" s="5">
        <f>+M4270+N4270</f>
        <v/>
      </c>
      <c r="P4270" s="4" t="n"/>
      <c r="Q4270" s="87" t="n"/>
      <c r="R4270" s="5" t="n">
        <v>30</v>
      </c>
      <c r="S4270" s="2" t="n">
        <v>1</v>
      </c>
      <c r="T4270" s="3" t="inlineStr">
        <is>
          <t>CA42796IR</t>
        </is>
      </c>
      <c r="U4270" s="87" t="n">
        <v>46041</v>
      </c>
      <c r="V4270" s="3" t="inlineStr">
        <is>
          <t>1</t>
        </is>
      </c>
      <c r="W4270" s="108" t="n">
        <v>46041</v>
      </c>
      <c r="X4270" s="4" t="inlineStr">
        <is>
          <t>PHILIPPOS COSTANTINIDES TRADING CO. LTD</t>
        </is>
      </c>
    </row>
    <row r="4271" ht="24" customHeight="1">
      <c r="A4271" s="2">
        <f>+D4271-S4271</f>
        <v/>
      </c>
      <c r="B4271" s="126" t="n">
        <v>5859</v>
      </c>
      <c r="C4271" s="66" t="n">
        <v>46041</v>
      </c>
      <c r="D4271" s="2" t="n">
        <v>1</v>
      </c>
      <c r="E4271" s="3" t="inlineStr">
        <is>
          <t>FUCILE SOVRAPPOSTO</t>
        </is>
      </c>
      <c r="F4271" s="3" t="n">
        <v>12</v>
      </c>
      <c r="G4271" s="84" t="inlineStr">
        <is>
          <t>BERETTA</t>
        </is>
      </c>
      <c r="H4271" s="107" t="inlineStr">
        <is>
          <t>S55</t>
        </is>
      </c>
      <c r="I4271" s="107" t="inlineStr">
        <is>
          <t>58922</t>
        </is>
      </c>
      <c r="J4271" s="107" t="inlineStr">
        <is>
          <t>N/D</t>
        </is>
      </c>
      <c r="K4271" s="65" t="inlineStr">
        <is>
          <t>N/D</t>
        </is>
      </c>
      <c r="L4271" s="127" t="inlineStr">
        <is>
          <t>ANTONIONI SPORT CACCIA E PESCA SRLS</t>
        </is>
      </c>
      <c r="M4271" s="5" t="n">
        <v>25.747</v>
      </c>
      <c r="N4271" s="5" t="n"/>
      <c r="O4271" s="5">
        <f>+M4271+N4271</f>
        <v/>
      </c>
      <c r="P4271" s="4" t="n"/>
      <c r="Q4271" s="87" t="n"/>
      <c r="R4271" s="5" t="n">
        <v>30</v>
      </c>
      <c r="S4271" s="2" t="n">
        <v>1</v>
      </c>
      <c r="T4271" s="3" t="inlineStr">
        <is>
          <t>CA42796IR</t>
        </is>
      </c>
      <c r="U4271" s="87" t="n">
        <v>46041</v>
      </c>
      <c r="V4271" s="3" t="inlineStr">
        <is>
          <t>1</t>
        </is>
      </c>
      <c r="W4271" s="108" t="n">
        <v>46041</v>
      </c>
      <c r="X4271" s="4" t="inlineStr">
        <is>
          <t>PHILIPPOS COSTANTINIDES TRADING CO. LTD</t>
        </is>
      </c>
    </row>
    <row r="4272" ht="24" customHeight="1">
      <c r="A4272" s="2">
        <f>+D4272-S4272</f>
        <v/>
      </c>
      <c r="B4272" s="126" t="n">
        <v>5860</v>
      </c>
      <c r="C4272" s="66" t="n">
        <v>46059</v>
      </c>
      <c r="D4272" s="2" t="n">
        <v>1</v>
      </c>
      <c r="E4272" s="3" t="inlineStr">
        <is>
          <t>CARABINA</t>
        </is>
      </c>
      <c r="F4272" s="3" t="inlineStr">
        <is>
          <t>308 WIN</t>
        </is>
      </c>
      <c r="G4272" s="84" t="inlineStr">
        <is>
          <t>BROWNING</t>
        </is>
      </c>
      <c r="H4272" s="107" t="inlineStr">
        <is>
          <t>MARAL 4X LIMITED EDITION</t>
        </is>
      </c>
      <c r="I4272" s="107" t="inlineStr">
        <is>
          <t>PT03188YV356</t>
        </is>
      </c>
      <c r="J4272" s="107" t="inlineStr">
        <is>
          <t>N/D</t>
        </is>
      </c>
      <c r="K4272" s="65" t="inlineStr">
        <is>
          <t>N/D</t>
        </is>
      </c>
      <c r="L4272" s="127" t="inlineStr">
        <is>
          <t>BROWNING INTERNATIONAL SA</t>
        </is>
      </c>
      <c r="M4272" s="5" t="n">
        <v>2182.5</v>
      </c>
      <c r="N4272" s="5" t="n"/>
      <c r="O4272" s="5">
        <f>+M4272+N4272</f>
        <v/>
      </c>
      <c r="P4272" s="4" t="n">
        <v>46056</v>
      </c>
      <c r="Q4272" s="87" t="n">
        <v>46056</v>
      </c>
      <c r="R4272" s="5" t="n"/>
      <c r="S4272" s="2" t="n"/>
      <c r="T4272" s="3" t="n"/>
      <c r="U4272" s="87" t="n"/>
      <c r="V4272" s="3" t="n"/>
      <c r="W4272" s="108" t="n"/>
      <c r="X4272" s="4" t="n"/>
    </row>
    <row r="4273" ht="24" customHeight="1">
      <c r="A4273" s="2" t="n"/>
      <c r="B4273" s="126" t="n"/>
      <c r="C4273" s="66" t="n">
        <v>46059</v>
      </c>
      <c r="D4273" s="2" t="n">
        <v>1</v>
      </c>
      <c r="E4273" s="3" t="inlineStr">
        <is>
          <t>ACCESSORI</t>
        </is>
      </c>
      <c r="F4273" s="3" t="inlineStr">
        <is>
          <t>N/A</t>
        </is>
      </c>
      <c r="G4273" s="84" t="inlineStr">
        <is>
          <t>BROWNING</t>
        </is>
      </c>
      <c r="H4273" s="107" t="inlineStr">
        <is>
          <t xml:space="preserve">BAR-MARAL 4X STK KIT </t>
        </is>
      </c>
      <c r="I4273" s="107" t="inlineStr">
        <is>
          <t>N/D</t>
        </is>
      </c>
      <c r="J4273" s="107" t="inlineStr">
        <is>
          <t>N/D</t>
        </is>
      </c>
      <c r="K4273" s="107" t="inlineStr">
        <is>
          <t>N/D</t>
        </is>
      </c>
      <c r="L4273" s="127" t="inlineStr">
        <is>
          <t>BROWNING INTERNATIONAL SA</t>
        </is>
      </c>
      <c r="M4273" s="5" t="n">
        <v>188.1</v>
      </c>
      <c r="N4273" s="5" t="n"/>
      <c r="O4273" s="5">
        <f>+M4273+N4273</f>
        <v/>
      </c>
      <c r="P4273" s="4" t="n">
        <v>46056</v>
      </c>
      <c r="Q4273" s="87" t="n">
        <v>46056</v>
      </c>
      <c r="R4273" s="5" t="n"/>
      <c r="S4273" s="2" t="n"/>
      <c r="T4273" s="3" t="n"/>
      <c r="U4273" s="87" t="n"/>
      <c r="V4273" s="3" t="n"/>
      <c r="W4273" s="108" t="n"/>
      <c r="X4273" s="4" t="n"/>
    </row>
    <row r="4274" ht="24" customHeight="1">
      <c r="A4274" s="2">
        <f>+D4274-S4274</f>
        <v/>
      </c>
      <c r="B4274" s="126" t="n">
        <v>5861</v>
      </c>
      <c r="C4274" s="66" t="n">
        <v>46059</v>
      </c>
      <c r="D4274" s="2" t="n">
        <v>1</v>
      </c>
      <c r="E4274" s="3" t="inlineStr">
        <is>
          <t>CARABINA SEMIAUTOMATICA</t>
        </is>
      </c>
      <c r="F4274" s="3" t="inlineStr">
        <is>
          <t>.22LR</t>
        </is>
      </c>
      <c r="G4274" s="84" t="inlineStr">
        <is>
          <t>WINCHESTER</t>
        </is>
      </c>
      <c r="H4274" s="107" t="inlineStr">
        <is>
          <t>RANGER</t>
        </is>
      </c>
      <c r="I4274" s="107" t="inlineStr">
        <is>
          <t>TF614-25AS04690</t>
        </is>
      </c>
      <c r="J4274" s="107" t="inlineStr">
        <is>
          <t>N/D</t>
        </is>
      </c>
      <c r="K4274" s="65" t="inlineStr">
        <is>
          <t>N/D</t>
        </is>
      </c>
      <c r="L4274" s="127" t="inlineStr">
        <is>
          <t>BROWNING INTERNATIONAL SA</t>
        </is>
      </c>
      <c r="M4274" s="5" t="n">
        <v>348.3</v>
      </c>
      <c r="N4274" s="5" t="n"/>
      <c r="O4274" s="5">
        <f>+M4274+N4274</f>
        <v/>
      </c>
      <c r="P4274" s="4" t="n">
        <v>46056</v>
      </c>
      <c r="Q4274" s="87" t="n">
        <v>46056</v>
      </c>
      <c r="R4274" s="5" t="n"/>
      <c r="S4274" s="2" t="n"/>
      <c r="T4274" s="3" t="n"/>
      <c r="U4274" s="87" t="n"/>
      <c r="V4274" s="3" t="n"/>
      <c r="W4274" s="108" t="n"/>
      <c r="X4274" s="4" t="n"/>
    </row>
    <row r="4275" ht="24" customHeight="1">
      <c r="A4275" s="2">
        <f>+D4275-S4275</f>
        <v/>
      </c>
      <c r="B4275" s="126" t="n">
        <v>5862</v>
      </c>
      <c r="C4275" s="66" t="n">
        <v>46063</v>
      </c>
      <c r="D4275" s="2" t="n">
        <v>1</v>
      </c>
      <c r="E4275" s="3" t="inlineStr">
        <is>
          <t>CARABINA SEMIAUTOMATICA</t>
        </is>
      </c>
      <c r="F4275" s="3" t="inlineStr">
        <is>
          <t>.22LR</t>
        </is>
      </c>
      <c r="G4275" s="84" t="inlineStr">
        <is>
          <t>BROWNING</t>
        </is>
      </c>
      <c r="H4275" s="107" t="inlineStr">
        <is>
          <t>WILDCAT FIELD SA S THR 16''</t>
        </is>
      </c>
      <c r="I4275" s="107" t="inlineStr">
        <is>
          <t>TF614-25Y02942</t>
        </is>
      </c>
      <c r="J4275" s="107" t="inlineStr">
        <is>
          <t>N/D</t>
        </is>
      </c>
      <c r="K4275" s="65" t="inlineStr">
        <is>
          <t>N/D</t>
        </is>
      </c>
      <c r="L4275" s="127" t="inlineStr">
        <is>
          <t>BROWNING INTERNATIONAL SA</t>
        </is>
      </c>
      <c r="M4275" s="5" t="n">
        <v>275.4</v>
      </c>
      <c r="N4275" s="5" t="n"/>
      <c r="O4275" s="5">
        <f>+M4275+N4275</f>
        <v/>
      </c>
      <c r="P4275" s="4" t="n">
        <v>46063</v>
      </c>
      <c r="Q4275" s="87" t="n">
        <v>45989</v>
      </c>
      <c r="R4275" s="5" t="n"/>
      <c r="S4275" s="2" t="n"/>
      <c r="T4275" s="3" t="n"/>
      <c r="U4275" s="87" t="n"/>
      <c r="V4275" s="3" t="n"/>
      <c r="W4275" s="108" t="n"/>
      <c r="X4275" s="4" t="n"/>
    </row>
    <row r="4276" ht="24" customHeight="1">
      <c r="A4276" s="2">
        <f>+D4276-S4276</f>
        <v/>
      </c>
      <c r="B4276" s="126" t="n">
        <v>5863</v>
      </c>
      <c r="C4276" s="66" t="n">
        <v>46063</v>
      </c>
      <c r="D4276" s="2" t="n">
        <v>1</v>
      </c>
      <c r="E4276" s="3" t="inlineStr">
        <is>
          <t>CARABINA SEMIAUTOMATICA</t>
        </is>
      </c>
      <c r="F4276" s="3" t="inlineStr">
        <is>
          <t>.22LR</t>
        </is>
      </c>
      <c r="G4276" s="84" t="inlineStr">
        <is>
          <t>BROWNING</t>
        </is>
      </c>
      <c r="H4276" s="107" t="inlineStr">
        <is>
          <t>WILDCAT FIELD SA S THR 16''</t>
        </is>
      </c>
      <c r="I4276" s="107" t="inlineStr">
        <is>
          <t>TF614-25Y02951</t>
        </is>
      </c>
      <c r="J4276" s="107" t="inlineStr">
        <is>
          <t>N/D</t>
        </is>
      </c>
      <c r="K4276" s="65" t="inlineStr">
        <is>
          <t>N/D</t>
        </is>
      </c>
      <c r="L4276" s="127" t="inlineStr">
        <is>
          <t>BROWNING INTERNATIONAL SA</t>
        </is>
      </c>
      <c r="M4276" s="5" t="n">
        <v>275.4</v>
      </c>
      <c r="N4276" s="5" t="n"/>
      <c r="O4276" s="5">
        <f>+M4276+N4276</f>
        <v/>
      </c>
      <c r="P4276" s="4" t="n">
        <v>46063</v>
      </c>
      <c r="Q4276" s="87" t="n">
        <v>45989</v>
      </c>
      <c r="R4276" s="5" t="n"/>
      <c r="S4276" s="2" t="n"/>
      <c r="T4276" s="3" t="n"/>
      <c r="U4276" s="87" t="n"/>
      <c r="V4276" s="3" t="n"/>
      <c r="W4276" s="108" t="n"/>
      <c r="X4276" s="4" t="n"/>
    </row>
    <row r="4277" ht="24" customHeight="1">
      <c r="A4277" s="2">
        <f>+D4277-S4277</f>
        <v/>
      </c>
      <c r="B4277" s="126" t="n">
        <v>5864</v>
      </c>
      <c r="C4277" s="66" t="n">
        <v>46063</v>
      </c>
      <c r="D4277" s="2" t="n">
        <v>1</v>
      </c>
      <c r="E4277" s="3" t="inlineStr">
        <is>
          <t>CARABINA SEMIAUTOMATICA</t>
        </is>
      </c>
      <c r="F4277" s="3" t="inlineStr">
        <is>
          <t>.22LR</t>
        </is>
      </c>
      <c r="G4277" s="84" t="inlineStr">
        <is>
          <t>BROWNING</t>
        </is>
      </c>
      <c r="H4277" s="107" t="inlineStr">
        <is>
          <t>WILDCAT FIELD SA S THR 16''</t>
        </is>
      </c>
      <c r="I4277" s="107" t="inlineStr">
        <is>
          <t>TF614-25Y02956</t>
        </is>
      </c>
      <c r="J4277" s="107" t="inlineStr">
        <is>
          <t>N/D</t>
        </is>
      </c>
      <c r="K4277" s="65" t="inlineStr">
        <is>
          <t>N/D</t>
        </is>
      </c>
      <c r="L4277" s="127" t="inlineStr">
        <is>
          <t>BROWNING INTERNATIONAL SA</t>
        </is>
      </c>
      <c r="M4277" s="5" t="n">
        <v>275.4</v>
      </c>
      <c r="N4277" s="5" t="inlineStr">
        <is>
          <t>F</t>
        </is>
      </c>
      <c r="O4277" s="5">
        <f>+M4277+N4277</f>
        <v/>
      </c>
      <c r="P4277" s="4" t="n">
        <v>46063</v>
      </c>
      <c r="Q4277" s="87" t="n">
        <v>45989</v>
      </c>
      <c r="R4277" s="5" t="n"/>
      <c r="S4277" s="2" t="n"/>
      <c r="T4277" s="3" t="n"/>
      <c r="U4277" s="87" t="n"/>
      <c r="V4277" s="3" t="n"/>
      <c r="W4277" s="108" t="n"/>
      <c r="X4277" s="4" t="n"/>
    </row>
    <row r="4278" ht="24" customHeight="1">
      <c r="A4278" s="2">
        <f>+D4278-S4278</f>
        <v/>
      </c>
      <c r="B4278" s="126" t="n">
        <v>5865</v>
      </c>
      <c r="C4278" s="66" t="n">
        <v>46063</v>
      </c>
      <c r="D4278" s="2" t="n">
        <v>1</v>
      </c>
      <c r="E4278" s="3" t="inlineStr">
        <is>
          <t>CARABINA SEMIAUTOMATICA</t>
        </is>
      </c>
      <c r="F4278" s="3" t="inlineStr">
        <is>
          <t>.22LR</t>
        </is>
      </c>
      <c r="G4278" s="84" t="inlineStr">
        <is>
          <t>BROWNING</t>
        </is>
      </c>
      <c r="H4278" s="107" t="inlineStr">
        <is>
          <t>WILDCAT FIELD SA S THR 16''</t>
        </is>
      </c>
      <c r="I4278" s="107" t="inlineStr">
        <is>
          <t>TF614-25Y02960</t>
        </is>
      </c>
      <c r="J4278" s="107" t="inlineStr">
        <is>
          <t>N/D</t>
        </is>
      </c>
      <c r="K4278" s="65" t="inlineStr">
        <is>
          <t>N/D</t>
        </is>
      </c>
      <c r="L4278" s="127" t="inlineStr">
        <is>
          <t>BROWNING INTERNATIONAL SA</t>
        </is>
      </c>
      <c r="M4278" s="5" t="n">
        <v>275.4</v>
      </c>
      <c r="N4278" s="5" t="n"/>
      <c r="O4278" s="5">
        <f>+M4278+N4278</f>
        <v/>
      </c>
      <c r="P4278" s="4" t="n">
        <v>46063</v>
      </c>
      <c r="Q4278" s="87" t="n">
        <v>45989</v>
      </c>
      <c r="R4278" s="5" t="n"/>
      <c r="S4278" s="2" t="n"/>
      <c r="T4278" s="3" t="n"/>
      <c r="U4278" s="87" t="n"/>
      <c r="V4278" s="3" t="n"/>
      <c r="W4278" s="108" t="n"/>
      <c r="X4278" s="4" t="n"/>
    </row>
    <row r="4279" ht="24" customHeight="1">
      <c r="A4279" s="2">
        <f>+D4279-S4279</f>
        <v/>
      </c>
      <c r="B4279" s="126" t="n">
        <v>5866</v>
      </c>
      <c r="C4279" s="66" t="n">
        <v>46063</v>
      </c>
      <c r="D4279" s="2" t="n">
        <v>1</v>
      </c>
      <c r="E4279" s="3" t="inlineStr">
        <is>
          <t>CARABINA SEMIAUTOMATICA</t>
        </is>
      </c>
      <c r="F4279" s="3" t="inlineStr">
        <is>
          <t>.22LR</t>
        </is>
      </c>
      <c r="G4279" s="84" t="inlineStr">
        <is>
          <t>BROWNING</t>
        </is>
      </c>
      <c r="H4279" s="107" t="inlineStr">
        <is>
          <t>WILDCAT FIELD SA S THR 16''</t>
        </is>
      </c>
      <c r="I4279" s="107" t="inlineStr">
        <is>
          <t>TF614-25Y02961</t>
        </is>
      </c>
      <c r="J4279" s="107" t="inlineStr">
        <is>
          <t>N/D</t>
        </is>
      </c>
      <c r="K4279" s="65" t="inlineStr">
        <is>
          <t>N/D</t>
        </is>
      </c>
      <c r="L4279" s="127" t="inlineStr">
        <is>
          <t>BROWNING INTERNATIONAL SA</t>
        </is>
      </c>
      <c r="M4279" s="5" t="n">
        <v>275.4</v>
      </c>
      <c r="N4279" s="5" t="n"/>
      <c r="O4279" s="5">
        <f>+M4279+N4279</f>
        <v/>
      </c>
      <c r="P4279" s="4" t="n">
        <v>46063</v>
      </c>
      <c r="Q4279" s="87" t="n">
        <v>45989</v>
      </c>
      <c r="R4279" s="5" t="n"/>
      <c r="S4279" s="2" t="n"/>
      <c r="T4279" s="3" t="n"/>
      <c r="U4279" s="87" t="n"/>
      <c r="V4279" s="3" t="n"/>
      <c r="W4279" s="108" t="n"/>
      <c r="X4279" s="4" t="n"/>
    </row>
    <row r="4280" ht="24" customHeight="1">
      <c r="A4280" s="2">
        <f>+D4280-S4280</f>
        <v/>
      </c>
      <c r="B4280" s="126" t="n">
        <v>5867</v>
      </c>
      <c r="C4280" s="66" t="n">
        <v>46063</v>
      </c>
      <c r="D4280" s="2" t="n">
        <v>1</v>
      </c>
      <c r="E4280" s="3" t="inlineStr">
        <is>
          <t>CARABINA SEMIAUTOMATICA</t>
        </is>
      </c>
      <c r="F4280" s="3" t="inlineStr">
        <is>
          <t>.22LR</t>
        </is>
      </c>
      <c r="G4280" s="84" t="inlineStr">
        <is>
          <t>BROWNING</t>
        </is>
      </c>
      <c r="H4280" s="107" t="inlineStr">
        <is>
          <t>WILDCAT FIELD SA S THR 16''</t>
        </is>
      </c>
      <c r="I4280" s="107" t="inlineStr">
        <is>
          <t>TF614-25Y02965</t>
        </is>
      </c>
      <c r="J4280" s="107" t="inlineStr">
        <is>
          <t>N/D</t>
        </is>
      </c>
      <c r="K4280" s="65" t="inlineStr">
        <is>
          <t>N/D</t>
        </is>
      </c>
      <c r="L4280" s="127" t="inlineStr">
        <is>
          <t>BROWNING INTERNATIONAL SA</t>
        </is>
      </c>
      <c r="M4280" s="5" t="n">
        <v>275.4</v>
      </c>
      <c r="N4280" s="5" t="n"/>
      <c r="O4280" s="5">
        <f>+M4280+N4280</f>
        <v/>
      </c>
      <c r="P4280" s="4" t="n">
        <v>46063</v>
      </c>
      <c r="Q4280" s="87" t="n">
        <v>45989</v>
      </c>
      <c r="R4280" s="5" t="n"/>
      <c r="S4280" s="2" t="n"/>
      <c r="T4280" s="3" t="n"/>
      <c r="U4280" s="87" t="n"/>
      <c r="V4280" s="3" t="n"/>
      <c r="W4280" s="108" t="n"/>
      <c r="X4280" s="4" t="n"/>
    </row>
    <row r="4281" ht="24" customHeight="1">
      <c r="A4281" s="2">
        <f>+D4281-S4281</f>
        <v/>
      </c>
      <c r="B4281" s="126" t="n">
        <v>5868</v>
      </c>
      <c r="C4281" s="66" t="n">
        <v>46063</v>
      </c>
      <c r="D4281" s="2" t="n">
        <v>1</v>
      </c>
      <c r="E4281" s="3" t="inlineStr">
        <is>
          <t>CARABINA SEMIAUTOMATICA</t>
        </is>
      </c>
      <c r="F4281" s="3" t="inlineStr">
        <is>
          <t>.22LR</t>
        </is>
      </c>
      <c r="G4281" s="84" t="inlineStr">
        <is>
          <t>BROWNING</t>
        </is>
      </c>
      <c r="H4281" s="107" t="inlineStr">
        <is>
          <t>WILDCAT FIELD SA S THR 16''</t>
        </is>
      </c>
      <c r="I4281" s="107" t="inlineStr">
        <is>
          <t>TF614-25Y02966</t>
        </is>
      </c>
      <c r="J4281" s="107" t="inlineStr">
        <is>
          <t>N/D</t>
        </is>
      </c>
      <c r="K4281" s="65" t="inlineStr">
        <is>
          <t>N/D</t>
        </is>
      </c>
      <c r="L4281" s="127" t="inlineStr">
        <is>
          <t>BROWNING INTERNATIONAL SA</t>
        </is>
      </c>
      <c r="M4281" s="5" t="n">
        <v>275.4</v>
      </c>
      <c r="N4281" s="5" t="n"/>
      <c r="O4281" s="5">
        <f>+M4281+N4281</f>
        <v/>
      </c>
      <c r="P4281" s="4" t="n">
        <v>46063</v>
      </c>
      <c r="Q4281" s="87" t="n">
        <v>45989</v>
      </c>
      <c r="R4281" s="5" t="n"/>
      <c r="S4281" s="2" t="n"/>
      <c r="T4281" s="3" t="n"/>
      <c r="U4281" s="87" t="n"/>
      <c r="V4281" s="3" t="n"/>
      <c r="W4281" s="108" t="n"/>
      <c r="X4281" s="4" t="n"/>
    </row>
    <row r="4282" ht="24" customHeight="1">
      <c r="A4282" s="2">
        <f>+D4282-S4282</f>
        <v/>
      </c>
      <c r="B4282" s="126" t="n">
        <v>5869</v>
      </c>
      <c r="C4282" s="66" t="n">
        <v>46063</v>
      </c>
      <c r="D4282" s="2" t="n">
        <v>1</v>
      </c>
      <c r="E4282" s="3" t="inlineStr">
        <is>
          <t>CARABINA SEMIAUTOMATICA</t>
        </is>
      </c>
      <c r="F4282" s="3" t="inlineStr">
        <is>
          <t>.22LR</t>
        </is>
      </c>
      <c r="G4282" s="84" t="inlineStr">
        <is>
          <t>BROWNING</t>
        </is>
      </c>
      <c r="H4282" s="107" t="inlineStr">
        <is>
          <t>WILDCAT FIELD SA S THR 16''</t>
        </is>
      </c>
      <c r="I4282" s="107" t="inlineStr">
        <is>
          <t>TF614-25Y02971</t>
        </is>
      </c>
      <c r="J4282" s="107" t="inlineStr">
        <is>
          <t>N/D</t>
        </is>
      </c>
      <c r="K4282" s="65" t="inlineStr">
        <is>
          <t>N/D</t>
        </is>
      </c>
      <c r="L4282" s="127" t="inlineStr">
        <is>
          <t>BROWNING INTERNATIONAL SA</t>
        </is>
      </c>
      <c r="M4282" s="5" t="n">
        <v>275.4</v>
      </c>
      <c r="N4282" s="5" t="n"/>
      <c r="O4282" s="5">
        <f>+M4282+N4282</f>
        <v/>
      </c>
      <c r="P4282" s="4" t="n">
        <v>46063</v>
      </c>
      <c r="Q4282" s="87" t="n">
        <v>45989</v>
      </c>
      <c r="R4282" s="5" t="n"/>
      <c r="S4282" s="2" t="n"/>
      <c r="T4282" s="3" t="n"/>
      <c r="U4282" s="87" t="n"/>
      <c r="V4282" s="3" t="n"/>
      <c r="W4282" s="108" t="n"/>
      <c r="X4282" s="4" t="n"/>
    </row>
    <row r="4283" ht="24" customHeight="1">
      <c r="A4283" s="2">
        <f>+D4283-S4283</f>
        <v/>
      </c>
      <c r="B4283" s="126" t="n">
        <v>5870</v>
      </c>
      <c r="C4283" s="66" t="n">
        <v>46063</v>
      </c>
      <c r="D4283" s="2" t="n">
        <v>1</v>
      </c>
      <c r="E4283" s="3" t="inlineStr">
        <is>
          <t>CARABINA SEMIAUTOMATICA</t>
        </is>
      </c>
      <c r="F4283" s="3" t="inlineStr">
        <is>
          <t>.22LR</t>
        </is>
      </c>
      <c r="G4283" s="84" t="inlineStr">
        <is>
          <t>BROWNING</t>
        </is>
      </c>
      <c r="H4283" s="107" t="inlineStr">
        <is>
          <t>WILDCAT FIELD SA S THR 16''</t>
        </is>
      </c>
      <c r="I4283" s="107" t="inlineStr">
        <is>
          <t>TF614-25Y02972</t>
        </is>
      </c>
      <c r="J4283" s="107" t="inlineStr">
        <is>
          <t>N/D</t>
        </is>
      </c>
      <c r="K4283" s="65" t="inlineStr">
        <is>
          <t>N/D</t>
        </is>
      </c>
      <c r="L4283" s="127" t="inlineStr">
        <is>
          <t>BROWNING INTERNATIONAL SA</t>
        </is>
      </c>
      <c r="M4283" s="5" t="n">
        <v>275.4</v>
      </c>
      <c r="N4283" s="5" t="n"/>
      <c r="O4283" s="5">
        <f>+M4283+N4283</f>
        <v/>
      </c>
      <c r="P4283" s="4" t="n">
        <v>46063</v>
      </c>
      <c r="Q4283" s="87" t="n">
        <v>45989</v>
      </c>
      <c r="R4283" s="5" t="n"/>
      <c r="S4283" s="2" t="n"/>
      <c r="T4283" s="3" t="n"/>
      <c r="U4283" s="87" t="n"/>
      <c r="V4283" s="3" t="n"/>
      <c r="W4283" s="108" t="n"/>
      <c r="X4283" s="4" t="n"/>
    </row>
    <row r="4284" ht="24" customHeight="1">
      <c r="A4284" s="2">
        <f>+D4284-S4284</f>
        <v/>
      </c>
      <c r="B4284" s="126" t="n">
        <v>5871</v>
      </c>
      <c r="C4284" s="66" t="n">
        <v>46063</v>
      </c>
      <c r="D4284" s="2" t="n">
        <v>1</v>
      </c>
      <c r="E4284" s="3" t="inlineStr">
        <is>
          <t>CARABINA SEMIAUTOMATICA</t>
        </is>
      </c>
      <c r="F4284" s="3" t="inlineStr">
        <is>
          <t>.22LR</t>
        </is>
      </c>
      <c r="G4284" s="84" t="inlineStr">
        <is>
          <t>BROWNING</t>
        </is>
      </c>
      <c r="H4284" s="107" t="inlineStr">
        <is>
          <t>WILDCAT FIELD SA S THR 16''</t>
        </is>
      </c>
      <c r="I4284" s="107" t="inlineStr">
        <is>
          <t>TF614-25Y02973</t>
        </is>
      </c>
      <c r="J4284" s="107" t="inlineStr">
        <is>
          <t>N/D</t>
        </is>
      </c>
      <c r="K4284" s="65" t="inlineStr">
        <is>
          <t>N/D</t>
        </is>
      </c>
      <c r="L4284" s="127" t="inlineStr">
        <is>
          <t>BROWNING INTERNATIONAL SA</t>
        </is>
      </c>
      <c r="M4284" s="5" t="n">
        <v>275.4</v>
      </c>
      <c r="N4284" s="5" t="n"/>
      <c r="O4284" s="5">
        <f>+M4284+N4284</f>
        <v/>
      </c>
      <c r="P4284" s="4" t="n">
        <v>46063</v>
      </c>
      <c r="Q4284" s="87" t="n">
        <v>45989</v>
      </c>
      <c r="R4284" s="5" t="n"/>
      <c r="S4284" s="2" t="n"/>
      <c r="T4284" s="3" t="n"/>
      <c r="U4284" s="87" t="n"/>
      <c r="V4284" s="3" t="n"/>
      <c r="W4284" s="108" t="n"/>
      <c r="X4284" s="4" t="n"/>
    </row>
    <row r="4285" ht="24" customHeight="1">
      <c r="A4285" s="2">
        <f>+D4285-S4285</f>
        <v/>
      </c>
      <c r="B4285" s="126" t="n">
        <v>5872</v>
      </c>
      <c r="C4285" s="66" t="n">
        <v>46063</v>
      </c>
      <c r="D4285" s="2" t="n">
        <v>1</v>
      </c>
      <c r="E4285" s="3" t="inlineStr">
        <is>
          <t>CARABINA SEMIAUTOMATICA</t>
        </is>
      </c>
      <c r="F4285" s="3" t="inlineStr">
        <is>
          <t>.22LR</t>
        </is>
      </c>
      <c r="G4285" s="84" t="inlineStr">
        <is>
          <t>BROWNING</t>
        </is>
      </c>
      <c r="H4285" s="107" t="inlineStr">
        <is>
          <t>WILDCAT FIELD SA S THR 16''</t>
        </is>
      </c>
      <c r="I4285" s="107" t="inlineStr">
        <is>
          <t>TF614-25Y02975</t>
        </is>
      </c>
      <c r="J4285" s="107" t="inlineStr">
        <is>
          <t>N/D</t>
        </is>
      </c>
      <c r="K4285" s="65" t="inlineStr">
        <is>
          <t>N/D</t>
        </is>
      </c>
      <c r="L4285" s="127" t="inlineStr">
        <is>
          <t>BROWNING INTERNATIONAL SA</t>
        </is>
      </c>
      <c r="M4285" s="5" t="n">
        <v>275.4</v>
      </c>
      <c r="N4285" s="5" t="n"/>
      <c r="O4285" s="5">
        <f>+M4285+N4285</f>
        <v/>
      </c>
      <c r="P4285" s="4" t="n">
        <v>46063</v>
      </c>
      <c r="Q4285" s="87" t="n">
        <v>45989</v>
      </c>
      <c r="R4285" s="5" t="n"/>
      <c r="S4285" s="2" t="n"/>
      <c r="T4285" s="3" t="n"/>
      <c r="U4285" s="87" t="n"/>
      <c r="V4285" s="3" t="n"/>
      <c r="W4285" s="108" t="n"/>
      <c r="X4285" s="4" t="n"/>
    </row>
    <row r="4286" ht="24" customHeight="1">
      <c r="A4286" s="2">
        <f>+D4286-S4286</f>
        <v/>
      </c>
      <c r="B4286" s="126" t="n">
        <v>5873</v>
      </c>
      <c r="C4286" s="66" t="n">
        <v>46063</v>
      </c>
      <c r="D4286" s="2" t="n">
        <v>1</v>
      </c>
      <c r="E4286" s="3" t="inlineStr">
        <is>
          <t>CARABINA SEMIAUTOMATICA</t>
        </is>
      </c>
      <c r="F4286" s="3" t="inlineStr">
        <is>
          <t>.22LR</t>
        </is>
      </c>
      <c r="G4286" s="84" t="inlineStr">
        <is>
          <t>BROWNING</t>
        </is>
      </c>
      <c r="H4286" s="107" t="inlineStr">
        <is>
          <t>WILDCAT FIELD SA S THR 16''</t>
        </is>
      </c>
      <c r="I4286" s="107" t="inlineStr">
        <is>
          <t>TF614-25Y02976</t>
        </is>
      </c>
      <c r="J4286" s="107" t="inlineStr">
        <is>
          <t>N/D</t>
        </is>
      </c>
      <c r="K4286" s="65" t="inlineStr">
        <is>
          <t>N/D</t>
        </is>
      </c>
      <c r="L4286" s="127" t="inlineStr">
        <is>
          <t>BROWNING INTERNATIONAL SA</t>
        </is>
      </c>
      <c r="M4286" s="5" t="n">
        <v>275.4</v>
      </c>
      <c r="N4286" s="5" t="n"/>
      <c r="O4286" s="5">
        <f>+M4286+N4286</f>
        <v/>
      </c>
      <c r="P4286" s="4" t="n">
        <v>46063</v>
      </c>
      <c r="Q4286" s="87" t="n">
        <v>45989</v>
      </c>
      <c r="R4286" s="5" t="n"/>
      <c r="S4286" s="2" t="n"/>
      <c r="T4286" s="3" t="n"/>
      <c r="U4286" s="87" t="n"/>
      <c r="V4286" s="3" t="n"/>
      <c r="W4286" s="108" t="n"/>
      <c r="X4286" s="4" t="n"/>
    </row>
    <row r="4287" ht="24" customHeight="1">
      <c r="A4287" s="2">
        <f>+D4287-S4287</f>
        <v/>
      </c>
      <c r="B4287" s="126" t="n">
        <v>5874</v>
      </c>
      <c r="C4287" s="66" t="n">
        <v>46063</v>
      </c>
      <c r="D4287" s="2" t="n">
        <v>1</v>
      </c>
      <c r="E4287" s="3" t="inlineStr">
        <is>
          <t>CARABINA SEMIAUTOMATICA</t>
        </is>
      </c>
      <c r="F4287" s="3" t="inlineStr">
        <is>
          <t>.22LR</t>
        </is>
      </c>
      <c r="G4287" s="84" t="inlineStr">
        <is>
          <t>BROWNING</t>
        </is>
      </c>
      <c r="H4287" s="107" t="inlineStr">
        <is>
          <t>WILDCAT FIELD SA S THR 16''</t>
        </is>
      </c>
      <c r="I4287" s="107" t="inlineStr">
        <is>
          <t>TF614-25Y02978</t>
        </is>
      </c>
      <c r="J4287" s="107" t="inlineStr">
        <is>
          <t>N/D</t>
        </is>
      </c>
      <c r="K4287" s="65" t="inlineStr">
        <is>
          <t>N/D</t>
        </is>
      </c>
      <c r="L4287" s="127" t="inlineStr">
        <is>
          <t>BROWNING INTERNATIONAL SA</t>
        </is>
      </c>
      <c r="M4287" s="5" t="n">
        <v>275.4</v>
      </c>
      <c r="N4287" s="5" t="n"/>
      <c r="O4287" s="5">
        <f>+M4287+N4287</f>
        <v/>
      </c>
      <c r="P4287" s="4" t="n">
        <v>46063</v>
      </c>
      <c r="Q4287" s="87" t="n">
        <v>45989</v>
      </c>
      <c r="R4287" s="5" t="n"/>
      <c r="S4287" s="2" t="n"/>
      <c r="T4287" s="3" t="n"/>
      <c r="U4287" s="87" t="n"/>
      <c r="V4287" s="3" t="n"/>
      <c r="W4287" s="108" t="n"/>
      <c r="X4287" s="4" t="n"/>
    </row>
    <row r="4288" ht="24" customHeight="1">
      <c r="A4288" s="2">
        <f>+D4288-S4288</f>
        <v/>
      </c>
      <c r="B4288" s="126" t="n">
        <v>5875</v>
      </c>
      <c r="C4288" s="66" t="n">
        <v>46063</v>
      </c>
      <c r="D4288" s="2" t="n">
        <v>1</v>
      </c>
      <c r="E4288" s="3" t="inlineStr">
        <is>
          <t>CARABINA SEMIAUTOMATICA</t>
        </is>
      </c>
      <c r="F4288" s="3" t="inlineStr">
        <is>
          <t>.22LR</t>
        </is>
      </c>
      <c r="G4288" s="84" t="inlineStr">
        <is>
          <t>BROWNING</t>
        </is>
      </c>
      <c r="H4288" s="107" t="inlineStr">
        <is>
          <t>WILDCAT FIELD SA S THR 16''</t>
        </is>
      </c>
      <c r="I4288" s="107" t="inlineStr">
        <is>
          <t>TF614-25Y02979</t>
        </is>
      </c>
      <c r="J4288" s="107" t="inlineStr">
        <is>
          <t>N/D</t>
        </is>
      </c>
      <c r="K4288" s="65" t="inlineStr">
        <is>
          <t>N/D</t>
        </is>
      </c>
      <c r="L4288" s="127" t="inlineStr">
        <is>
          <t>BROWNING INTERNATIONAL SA</t>
        </is>
      </c>
      <c r="M4288" s="5" t="n">
        <v>275.4</v>
      </c>
      <c r="N4288" s="5" t="n"/>
      <c r="O4288" s="5">
        <f>+M4288+N4288</f>
        <v/>
      </c>
      <c r="P4288" s="4" t="n">
        <v>46063</v>
      </c>
      <c r="Q4288" s="87" t="n">
        <v>45989</v>
      </c>
      <c r="R4288" s="5" t="n"/>
      <c r="S4288" s="2" t="n"/>
      <c r="T4288" s="3" t="n"/>
      <c r="U4288" s="87" t="n"/>
      <c r="V4288" s="3" t="n"/>
      <c r="W4288" s="108" t="n"/>
      <c r="X4288" s="4" t="n"/>
    </row>
    <row r="4289" ht="24" customHeight="1">
      <c r="A4289" s="2">
        <f>+D4289-S4289</f>
        <v/>
      </c>
      <c r="B4289" s="126" t="n">
        <v>5876</v>
      </c>
      <c r="C4289" s="66" t="n">
        <v>46063</v>
      </c>
      <c r="D4289" s="2" t="n">
        <v>1</v>
      </c>
      <c r="E4289" s="3" t="inlineStr">
        <is>
          <t>CARABINA SEMIAUTOMATICA</t>
        </is>
      </c>
      <c r="F4289" s="3" t="inlineStr">
        <is>
          <t>.22LR</t>
        </is>
      </c>
      <c r="G4289" s="84" t="inlineStr">
        <is>
          <t>BROWNING</t>
        </is>
      </c>
      <c r="H4289" s="107" t="inlineStr">
        <is>
          <t>WILDCAT FIELD SA S THR 16''</t>
        </is>
      </c>
      <c r="I4289" s="107" t="inlineStr">
        <is>
          <t>TF614-25Y02980</t>
        </is>
      </c>
      <c r="J4289" s="107" t="inlineStr">
        <is>
          <t>N/D</t>
        </is>
      </c>
      <c r="K4289" s="65" t="inlineStr">
        <is>
          <t>N/D</t>
        </is>
      </c>
      <c r="L4289" s="127" t="inlineStr">
        <is>
          <t>BROWNING INTERNATIONAL SA</t>
        </is>
      </c>
      <c r="M4289" s="5" t="n">
        <v>275.4</v>
      </c>
      <c r="N4289" s="5" t="n"/>
      <c r="O4289" s="5">
        <f>+M4289+N4289</f>
        <v/>
      </c>
      <c r="P4289" s="4" t="n">
        <v>46063</v>
      </c>
      <c r="Q4289" s="87" t="n">
        <v>45989</v>
      </c>
      <c r="R4289" s="5" t="n"/>
      <c r="S4289" s="2" t="n"/>
      <c r="T4289" s="3" t="n"/>
      <c r="U4289" s="87" t="n"/>
      <c r="V4289" s="3" t="n"/>
      <c r="W4289" s="108" t="n"/>
      <c r="X4289" s="4" t="n"/>
    </row>
    <row r="4290" ht="24" customHeight="1">
      <c r="A4290" s="2">
        <f>+D4290-S4290</f>
        <v/>
      </c>
      <c r="B4290" s="126" t="n">
        <v>5877</v>
      </c>
      <c r="C4290" s="66" t="n">
        <v>46063</v>
      </c>
      <c r="D4290" s="2" t="n">
        <v>1</v>
      </c>
      <c r="E4290" s="3" t="inlineStr">
        <is>
          <t>CARABINA SEMIAUTOMATICA</t>
        </is>
      </c>
      <c r="F4290" s="3" t="inlineStr">
        <is>
          <t>.22LR</t>
        </is>
      </c>
      <c r="G4290" s="84" t="inlineStr">
        <is>
          <t>BROWNING</t>
        </is>
      </c>
      <c r="H4290" s="107" t="inlineStr">
        <is>
          <t>WILDCAT FIELD SA S THR 16''</t>
        </is>
      </c>
      <c r="I4290" s="107" t="inlineStr">
        <is>
          <t>TF614-25Y02981</t>
        </is>
      </c>
      <c r="J4290" s="107" t="inlineStr">
        <is>
          <t>N/D</t>
        </is>
      </c>
      <c r="K4290" s="65" t="inlineStr">
        <is>
          <t>N/D</t>
        </is>
      </c>
      <c r="L4290" s="127" t="inlineStr">
        <is>
          <t>BROWNING INTERNATIONAL SA</t>
        </is>
      </c>
      <c r="M4290" s="5" t="n">
        <v>275.4</v>
      </c>
      <c r="N4290" s="5" t="n"/>
      <c r="O4290" s="5">
        <f>+M4290+N4290</f>
        <v/>
      </c>
      <c r="P4290" s="4" t="n">
        <v>46063</v>
      </c>
      <c r="Q4290" s="87" t="n">
        <v>45989</v>
      </c>
      <c r="R4290" s="5" t="n"/>
      <c r="S4290" s="2" t="n"/>
      <c r="T4290" s="3" t="n"/>
      <c r="U4290" s="87" t="n"/>
      <c r="V4290" s="3" t="n"/>
      <c r="W4290" s="108" t="n"/>
      <c r="X4290" s="4" t="n"/>
    </row>
    <row r="4291" ht="24" customHeight="1">
      <c r="A4291" s="2">
        <f>+D4291-S4291</f>
        <v/>
      </c>
      <c r="B4291" s="126" t="n">
        <v>5878</v>
      </c>
      <c r="C4291" s="66" t="n">
        <v>46063</v>
      </c>
      <c r="D4291" s="2" t="n">
        <v>1</v>
      </c>
      <c r="E4291" s="3" t="inlineStr">
        <is>
          <t>CARABINA SEMIAUTOMATICA</t>
        </is>
      </c>
      <c r="F4291" s="3" t="inlineStr">
        <is>
          <t>.22LR</t>
        </is>
      </c>
      <c r="G4291" s="84" t="inlineStr">
        <is>
          <t>BROWNING</t>
        </is>
      </c>
      <c r="H4291" s="107" t="inlineStr">
        <is>
          <t>WILDCAT FIELD SA S THR 16''</t>
        </is>
      </c>
      <c r="I4291" s="107" t="inlineStr">
        <is>
          <t>TF614-25Y02982</t>
        </is>
      </c>
      <c r="J4291" s="107" t="inlineStr">
        <is>
          <t>N/D</t>
        </is>
      </c>
      <c r="K4291" s="65" t="inlineStr">
        <is>
          <t>N/D</t>
        </is>
      </c>
      <c r="L4291" s="127" t="inlineStr">
        <is>
          <t>BROWNING INTERNATIONAL SA</t>
        </is>
      </c>
      <c r="M4291" s="5" t="n">
        <v>275.4</v>
      </c>
      <c r="N4291" s="5" t="n"/>
      <c r="O4291" s="5">
        <f>+M4291+N4291</f>
        <v/>
      </c>
      <c r="P4291" s="4" t="n">
        <v>46063</v>
      </c>
      <c r="Q4291" s="87" t="n">
        <v>45989</v>
      </c>
      <c r="R4291" s="5" t="n"/>
      <c r="S4291" s="2" t="n"/>
      <c r="T4291" s="3" t="n"/>
      <c r="U4291" s="87" t="n"/>
      <c r="V4291" s="3" t="n"/>
      <c r="W4291" s="108" t="n"/>
      <c r="X4291" s="4" t="n"/>
    </row>
    <row r="4292" ht="24" customHeight="1">
      <c r="A4292" s="2">
        <f>+D4292-S4292</f>
        <v/>
      </c>
      <c r="B4292" s="126" t="n">
        <v>5879</v>
      </c>
      <c r="C4292" s="66" t="n">
        <v>46063</v>
      </c>
      <c r="D4292" s="2" t="n">
        <v>1</v>
      </c>
      <c r="E4292" s="3" t="inlineStr">
        <is>
          <t>CARABINA SEMIAUTOMATICA</t>
        </is>
      </c>
      <c r="F4292" s="3" t="inlineStr">
        <is>
          <t>.22LR</t>
        </is>
      </c>
      <c r="G4292" s="84" t="inlineStr">
        <is>
          <t>BROWNING</t>
        </is>
      </c>
      <c r="H4292" s="107" t="inlineStr">
        <is>
          <t>WILDCAT FIELD SA S THR 16''</t>
        </is>
      </c>
      <c r="I4292" s="107" t="inlineStr">
        <is>
          <t>TF614-25Y02983</t>
        </is>
      </c>
      <c r="J4292" s="107" t="inlineStr">
        <is>
          <t>N/D</t>
        </is>
      </c>
      <c r="K4292" s="65" t="inlineStr">
        <is>
          <t>N/D</t>
        </is>
      </c>
      <c r="L4292" s="127" t="inlineStr">
        <is>
          <t>BROWNING INTERNATIONAL SA</t>
        </is>
      </c>
      <c r="M4292" s="5" t="n">
        <v>275.4</v>
      </c>
      <c r="N4292" s="5" t="n"/>
      <c r="O4292" s="5">
        <f>+M4292+N4292</f>
        <v/>
      </c>
      <c r="P4292" s="4" t="n">
        <v>46063</v>
      </c>
      <c r="Q4292" s="87" t="n">
        <v>45989</v>
      </c>
      <c r="R4292" s="5" t="n"/>
      <c r="S4292" s="2" t="n"/>
      <c r="T4292" s="3" t="n"/>
      <c r="U4292" s="87" t="n"/>
      <c r="V4292" s="3" t="n"/>
      <c r="W4292" s="108" t="n"/>
      <c r="X4292" s="4" t="n"/>
    </row>
    <row r="4293" ht="24" customHeight="1">
      <c r="A4293" s="2">
        <f>+D4293-S4293</f>
        <v/>
      </c>
      <c r="B4293" s="126" t="n">
        <v>5880</v>
      </c>
      <c r="C4293" s="66" t="n">
        <v>46063</v>
      </c>
      <c r="D4293" s="2" t="n">
        <v>1</v>
      </c>
      <c r="E4293" s="3" t="inlineStr">
        <is>
          <t>CARABINA SEMIAUTOMATICA</t>
        </is>
      </c>
      <c r="F4293" s="3" t="inlineStr">
        <is>
          <t>.22LR</t>
        </is>
      </c>
      <c r="G4293" s="84" t="inlineStr">
        <is>
          <t>BROWNING</t>
        </is>
      </c>
      <c r="H4293" s="107" t="inlineStr">
        <is>
          <t>WILDCAT FIELD SA S THR 16''</t>
        </is>
      </c>
      <c r="I4293" s="107" t="inlineStr">
        <is>
          <t>TF614-25Y02985</t>
        </is>
      </c>
      <c r="J4293" s="107" t="inlineStr">
        <is>
          <t>N/D</t>
        </is>
      </c>
      <c r="K4293" s="65" t="inlineStr">
        <is>
          <t>N/D</t>
        </is>
      </c>
      <c r="L4293" s="127" t="inlineStr">
        <is>
          <t>BROWNING INTERNATIONAL SA</t>
        </is>
      </c>
      <c r="M4293" s="5" t="n">
        <v>275.4</v>
      </c>
      <c r="N4293" s="5" t="n"/>
      <c r="O4293" s="5">
        <f>+M4293+N4293</f>
        <v/>
      </c>
      <c r="P4293" s="4" t="n">
        <v>46063</v>
      </c>
      <c r="Q4293" s="87" t="n">
        <v>45989</v>
      </c>
      <c r="R4293" s="5" t="n"/>
      <c r="S4293" s="2" t="n"/>
      <c r="T4293" s="3" t="n"/>
      <c r="U4293" s="87" t="n"/>
      <c r="V4293" s="3" t="n"/>
      <c r="W4293" s="108" t="n"/>
      <c r="X4293" s="4" t="n"/>
    </row>
    <row r="4294" ht="24" customHeight="1">
      <c r="A4294" s="2">
        <f>+D4294-S4294</f>
        <v/>
      </c>
      <c r="B4294" s="126" t="n">
        <v>5881</v>
      </c>
      <c r="C4294" s="66" t="n">
        <v>46063</v>
      </c>
      <c r="D4294" s="2" t="n">
        <v>1</v>
      </c>
      <c r="E4294" s="3" t="inlineStr">
        <is>
          <t>CARABINA SEMIAUTOMATICA</t>
        </is>
      </c>
      <c r="F4294" s="3" t="inlineStr">
        <is>
          <t>.22LR</t>
        </is>
      </c>
      <c r="G4294" s="84" t="inlineStr">
        <is>
          <t>BROWNING</t>
        </is>
      </c>
      <c r="H4294" s="107" t="inlineStr">
        <is>
          <t>WILDCAT FIELD SA S THR 16''</t>
        </is>
      </c>
      <c r="I4294" s="107" t="inlineStr">
        <is>
          <t>TF614-25Y02986</t>
        </is>
      </c>
      <c r="J4294" s="107" t="inlineStr">
        <is>
          <t>N/D</t>
        </is>
      </c>
      <c r="K4294" s="65" t="inlineStr">
        <is>
          <t>N/D</t>
        </is>
      </c>
      <c r="L4294" s="127" t="inlineStr">
        <is>
          <t>BROWNING INTERNATIONAL SA</t>
        </is>
      </c>
      <c r="M4294" s="5" t="n">
        <v>275.4</v>
      </c>
      <c r="N4294" s="5" t="n"/>
      <c r="O4294" s="5">
        <f>+M4294+N4294</f>
        <v/>
      </c>
      <c r="P4294" s="4" t="n">
        <v>46063</v>
      </c>
      <c r="Q4294" s="87" t="n">
        <v>45989</v>
      </c>
      <c r="R4294" s="5" t="n"/>
      <c r="S4294" s="2" t="n"/>
      <c r="T4294" s="3" t="n"/>
      <c r="U4294" s="87" t="n"/>
      <c r="V4294" s="3" t="n"/>
      <c r="W4294" s="108" t="n"/>
      <c r="X4294" s="4" t="n"/>
    </row>
    <row r="4295" ht="24" customHeight="1">
      <c r="A4295" s="2">
        <f>+D4295-S4295</f>
        <v/>
      </c>
      <c r="B4295" s="126" t="n">
        <v>5882</v>
      </c>
      <c r="C4295" s="66" t="n">
        <v>46063</v>
      </c>
      <c r="D4295" s="2" t="n">
        <v>1</v>
      </c>
      <c r="E4295" s="3" t="inlineStr">
        <is>
          <t>CARABINA SEMIAUTOMATICA</t>
        </is>
      </c>
      <c r="F4295" s="3" t="inlineStr">
        <is>
          <t>.22LR</t>
        </is>
      </c>
      <c r="G4295" s="84" t="inlineStr">
        <is>
          <t>BROWNING</t>
        </is>
      </c>
      <c r="H4295" s="107" t="inlineStr">
        <is>
          <t>WILDCAT FIELD SA S THR 16''</t>
        </is>
      </c>
      <c r="I4295" s="107" t="inlineStr">
        <is>
          <t>TF614-25Y02987</t>
        </is>
      </c>
      <c r="J4295" s="107" t="inlineStr">
        <is>
          <t>N/D</t>
        </is>
      </c>
      <c r="K4295" s="65" t="inlineStr">
        <is>
          <t>N/D</t>
        </is>
      </c>
      <c r="L4295" s="127" t="inlineStr">
        <is>
          <t>BROWNING INTERNATIONAL SA</t>
        </is>
      </c>
      <c r="M4295" s="5" t="n">
        <v>275.4</v>
      </c>
      <c r="N4295" s="5" t="n"/>
      <c r="O4295" s="5">
        <f>+M4295+N4295</f>
        <v/>
      </c>
      <c r="P4295" s="4" t="n">
        <v>46063</v>
      </c>
      <c r="Q4295" s="87" t="n">
        <v>45989</v>
      </c>
      <c r="R4295" s="5" t="n"/>
      <c r="S4295" s="2" t="n"/>
      <c r="T4295" s="3" t="n"/>
      <c r="U4295" s="87" t="n"/>
      <c r="V4295" s="3" t="n"/>
      <c r="W4295" s="108" t="n"/>
      <c r="X4295" s="4" t="n"/>
    </row>
    <row r="4296" ht="24" customHeight="1">
      <c r="A4296" s="2">
        <f>+D4296-S4296</f>
        <v/>
      </c>
      <c r="B4296" s="126" t="n">
        <v>5883</v>
      </c>
      <c r="C4296" s="66" t="n">
        <v>46063</v>
      </c>
      <c r="D4296" s="2" t="n">
        <v>1</v>
      </c>
      <c r="E4296" s="3" t="inlineStr">
        <is>
          <t>CARABINA SEMIAUTOMATICA</t>
        </is>
      </c>
      <c r="F4296" s="3" t="inlineStr">
        <is>
          <t>.22LR</t>
        </is>
      </c>
      <c r="G4296" s="84" t="inlineStr">
        <is>
          <t>BROWNING</t>
        </is>
      </c>
      <c r="H4296" s="107" t="inlineStr">
        <is>
          <t>WILDCAT FIELD SA S THR 16''</t>
        </is>
      </c>
      <c r="I4296" s="107" t="inlineStr">
        <is>
          <t>TF614-25Y02988</t>
        </is>
      </c>
      <c r="J4296" s="107" t="inlineStr">
        <is>
          <t>N/D</t>
        </is>
      </c>
      <c r="K4296" s="65" t="inlineStr">
        <is>
          <t>N/D</t>
        </is>
      </c>
      <c r="L4296" s="127" t="inlineStr">
        <is>
          <t>BROWNING INTERNATIONAL SA</t>
        </is>
      </c>
      <c r="M4296" s="5" t="n">
        <v>275.4</v>
      </c>
      <c r="N4296" s="5" t="n"/>
      <c r="O4296" s="5">
        <f>+M4296+N4296</f>
        <v/>
      </c>
      <c r="P4296" s="4" t="n">
        <v>46063</v>
      </c>
      <c r="Q4296" s="87" t="n">
        <v>45989</v>
      </c>
      <c r="R4296" s="5" t="n"/>
      <c r="S4296" s="2" t="n"/>
      <c r="T4296" s="3" t="n"/>
      <c r="U4296" s="87" t="n"/>
      <c r="V4296" s="3" t="n"/>
      <c r="W4296" s="108" t="n"/>
      <c r="X4296" s="4" t="n"/>
    </row>
    <row r="4297" ht="24" customHeight="1">
      <c r="A4297" s="2">
        <f>+D4297-S4297</f>
        <v/>
      </c>
      <c r="B4297" s="126" t="n">
        <v>5884</v>
      </c>
      <c r="C4297" s="66" t="n">
        <v>46063</v>
      </c>
      <c r="D4297" s="2" t="n">
        <v>1</v>
      </c>
      <c r="E4297" s="3" t="inlineStr">
        <is>
          <t>CARABINA SEMIAUTOMATICA</t>
        </is>
      </c>
      <c r="F4297" s="3" t="inlineStr">
        <is>
          <t>.22LR</t>
        </is>
      </c>
      <c r="G4297" s="84" t="inlineStr">
        <is>
          <t>BROWNING</t>
        </is>
      </c>
      <c r="H4297" s="107" t="inlineStr">
        <is>
          <t>WILDCAT FIELD SA S THR 16''</t>
        </is>
      </c>
      <c r="I4297" s="107" t="inlineStr">
        <is>
          <t>TF614-25Y02989</t>
        </is>
      </c>
      <c r="J4297" s="107" t="inlineStr">
        <is>
          <t>N/D</t>
        </is>
      </c>
      <c r="K4297" s="65" t="inlineStr">
        <is>
          <t>N/D</t>
        </is>
      </c>
      <c r="L4297" s="127" t="inlineStr">
        <is>
          <t>BROWNING INTERNATIONAL SA</t>
        </is>
      </c>
      <c r="M4297" s="5" t="n">
        <v>275.4</v>
      </c>
      <c r="N4297" s="5" t="n"/>
      <c r="O4297" s="5">
        <f>+M4297+N4297</f>
        <v/>
      </c>
      <c r="P4297" s="4" t="n">
        <v>46063</v>
      </c>
      <c r="Q4297" s="87" t="n">
        <v>45989</v>
      </c>
      <c r="R4297" s="5" t="n"/>
      <c r="S4297" s="2" t="n"/>
      <c r="T4297" s="3" t="n"/>
      <c r="U4297" s="87" t="n"/>
      <c r="V4297" s="3" t="n"/>
      <c r="W4297" s="108" t="n"/>
      <c r="X4297" s="4" t="n"/>
    </row>
    <row r="4298" ht="24" customHeight="1">
      <c r="A4298" s="2">
        <f>+D4298-S4298</f>
        <v/>
      </c>
      <c r="B4298" s="126" t="n">
        <v>5885</v>
      </c>
      <c r="C4298" s="66" t="n">
        <v>46063</v>
      </c>
      <c r="D4298" s="2" t="n">
        <v>1</v>
      </c>
      <c r="E4298" s="3" t="inlineStr">
        <is>
          <t>CARABINA SEMIAUTOMATICA</t>
        </is>
      </c>
      <c r="F4298" s="3" t="inlineStr">
        <is>
          <t>.22LR</t>
        </is>
      </c>
      <c r="G4298" s="84" t="inlineStr">
        <is>
          <t>BROWNING</t>
        </is>
      </c>
      <c r="H4298" s="107" t="inlineStr">
        <is>
          <t>WILDCAT FIELD SA S THR 16''</t>
        </is>
      </c>
      <c r="I4298" s="107" t="inlineStr">
        <is>
          <t>TF614-25Y02990</t>
        </is>
      </c>
      <c r="J4298" s="107" t="inlineStr">
        <is>
          <t>N/D</t>
        </is>
      </c>
      <c r="K4298" s="65" t="inlineStr">
        <is>
          <t>N/D</t>
        </is>
      </c>
      <c r="L4298" s="127" t="inlineStr">
        <is>
          <t>BROWNING INTERNATIONAL SA</t>
        </is>
      </c>
      <c r="M4298" s="5" t="n">
        <v>275.4</v>
      </c>
      <c r="N4298" s="5" t="n"/>
      <c r="O4298" s="5">
        <f>+M4298+N4298</f>
        <v/>
      </c>
      <c r="P4298" s="4" t="n">
        <v>46063</v>
      </c>
      <c r="Q4298" s="87" t="n">
        <v>45989</v>
      </c>
      <c r="R4298" s="5" t="n"/>
      <c r="S4298" s="2" t="n"/>
      <c r="T4298" s="3" t="n"/>
      <c r="U4298" s="87" t="n"/>
      <c r="V4298" s="3" t="n"/>
      <c r="W4298" s="108" t="n"/>
      <c r="X4298" s="4" t="n"/>
    </row>
    <row r="4299" ht="24" customHeight="1">
      <c r="A4299" s="2">
        <f>+D4299-S4299</f>
        <v/>
      </c>
      <c r="B4299" s="126" t="n">
        <v>5886</v>
      </c>
      <c r="C4299" s="66" t="n">
        <v>46063</v>
      </c>
      <c r="D4299" s="2" t="n">
        <v>1</v>
      </c>
      <c r="E4299" s="3" t="inlineStr">
        <is>
          <t>CARABINA SEMIAUTOMATICA</t>
        </is>
      </c>
      <c r="F4299" s="3" t="inlineStr">
        <is>
          <t>.22LR</t>
        </is>
      </c>
      <c r="G4299" s="84" t="inlineStr">
        <is>
          <t>BROWNING</t>
        </is>
      </c>
      <c r="H4299" s="107" t="inlineStr">
        <is>
          <t>WILDCAT FIELD SA S THR 18''</t>
        </is>
      </c>
      <c r="I4299" s="107" t="inlineStr">
        <is>
          <t>TF614-25M04001</t>
        </is>
      </c>
      <c r="J4299" s="107" t="inlineStr">
        <is>
          <t>N/D</t>
        </is>
      </c>
      <c r="K4299" s="65" t="inlineStr">
        <is>
          <t>N/D</t>
        </is>
      </c>
      <c r="L4299" s="127" t="inlineStr">
        <is>
          <t>BROWNING INTERNATIONAL SA</t>
        </is>
      </c>
      <c r="M4299" s="5" t="n">
        <v>275.4</v>
      </c>
      <c r="N4299" s="5" t="n"/>
      <c r="O4299" s="5">
        <f>+M4299+N4299</f>
        <v/>
      </c>
      <c r="P4299" s="4" t="n">
        <v>46063</v>
      </c>
      <c r="Q4299" s="87" t="n">
        <v>45989</v>
      </c>
      <c r="R4299" s="5" t="n"/>
      <c r="S4299" s="2" t="n"/>
      <c r="T4299" s="3" t="n"/>
      <c r="U4299" s="87" t="n"/>
      <c r="V4299" s="3" t="n"/>
      <c r="W4299" s="108" t="n"/>
      <c r="X4299" s="4" t="n"/>
    </row>
    <row r="4300" ht="24" customHeight="1">
      <c r="A4300" s="2">
        <f>+D4300-S4300</f>
        <v/>
      </c>
      <c r="B4300" s="126" t="n">
        <v>5887</v>
      </c>
      <c r="C4300" s="66" t="n">
        <v>46063</v>
      </c>
      <c r="D4300" s="2" t="n">
        <v>1</v>
      </c>
      <c r="E4300" s="3" t="inlineStr">
        <is>
          <t>CARABINA SEMIAUTOMATICA</t>
        </is>
      </c>
      <c r="F4300" s="3" t="inlineStr">
        <is>
          <t>.22LR</t>
        </is>
      </c>
      <c r="G4300" s="84" t="inlineStr">
        <is>
          <t>BROWNING</t>
        </is>
      </c>
      <c r="H4300" s="107" t="inlineStr">
        <is>
          <t>WILDCAT FIELD SA S THR 18''</t>
        </is>
      </c>
      <c r="I4300" s="107" t="inlineStr">
        <is>
          <t>TF614-25M04002</t>
        </is>
      </c>
      <c r="J4300" s="107" t="inlineStr">
        <is>
          <t>N/D</t>
        </is>
      </c>
      <c r="K4300" s="65" t="inlineStr">
        <is>
          <t>N/D</t>
        </is>
      </c>
      <c r="L4300" s="127" t="inlineStr">
        <is>
          <t>BROWNING INTERNATIONAL SA</t>
        </is>
      </c>
      <c r="M4300" s="5" t="n">
        <v>275.4</v>
      </c>
      <c r="N4300" s="5" t="n"/>
      <c r="O4300" s="5">
        <f>+M4300+N4300</f>
        <v/>
      </c>
      <c r="P4300" s="4" t="n">
        <v>46063</v>
      </c>
      <c r="Q4300" s="87" t="n">
        <v>45989</v>
      </c>
      <c r="R4300" s="5" t="n"/>
      <c r="S4300" s="2" t="n"/>
      <c r="T4300" s="3" t="n"/>
      <c r="U4300" s="87" t="n"/>
      <c r="V4300" s="3" t="n"/>
      <c r="W4300" s="108" t="n"/>
      <c r="X4300" s="4" t="n"/>
    </row>
    <row r="4301" ht="24" customHeight="1">
      <c r="A4301" s="2">
        <f>+D4301-S4301</f>
        <v/>
      </c>
      <c r="B4301" s="126" t="n">
        <v>5888</v>
      </c>
      <c r="C4301" s="66" t="n">
        <v>46063</v>
      </c>
      <c r="D4301" s="2" t="n">
        <v>1</v>
      </c>
      <c r="E4301" s="3" t="inlineStr">
        <is>
          <t>CARABINA SEMIAUTOMATICA</t>
        </is>
      </c>
      <c r="F4301" s="3" t="inlineStr">
        <is>
          <t>.22LR</t>
        </is>
      </c>
      <c r="G4301" s="84" t="inlineStr">
        <is>
          <t>BROWNING</t>
        </is>
      </c>
      <c r="H4301" s="107" t="inlineStr">
        <is>
          <t>WILDCAT FIELD SA S THR 18''</t>
        </is>
      </c>
      <c r="I4301" s="107" t="inlineStr">
        <is>
          <t>TF614-25M04003</t>
        </is>
      </c>
      <c r="J4301" s="107" t="inlineStr">
        <is>
          <t>N/D</t>
        </is>
      </c>
      <c r="K4301" s="65" t="inlineStr">
        <is>
          <t>N/D</t>
        </is>
      </c>
      <c r="L4301" s="127" t="inlineStr">
        <is>
          <t>BROWNING INTERNATIONAL SA</t>
        </is>
      </c>
      <c r="M4301" s="5" t="n">
        <v>275.4</v>
      </c>
      <c r="N4301" s="5" t="n"/>
      <c r="O4301" s="5">
        <f>+M4301+N4301</f>
        <v/>
      </c>
      <c r="P4301" s="4" t="n">
        <v>46063</v>
      </c>
      <c r="Q4301" s="87" t="n">
        <v>45989</v>
      </c>
      <c r="R4301" s="5" t="n"/>
      <c r="S4301" s="2" t="n"/>
      <c r="T4301" s="3" t="n"/>
      <c r="U4301" s="87" t="n"/>
      <c r="V4301" s="3" t="n"/>
      <c r="W4301" s="108" t="n"/>
      <c r="X4301" s="4" t="n"/>
    </row>
    <row r="4302" ht="24" customHeight="1">
      <c r="A4302" s="2">
        <f>+D4302-S4302</f>
        <v/>
      </c>
      <c r="B4302" s="126" t="n">
        <v>5889</v>
      </c>
      <c r="C4302" s="66" t="n">
        <v>46063</v>
      </c>
      <c r="D4302" s="2" t="n">
        <v>1</v>
      </c>
      <c r="E4302" s="3" t="inlineStr">
        <is>
          <t>CARABINA SEMIAUTOMATICA</t>
        </is>
      </c>
      <c r="F4302" s="3" t="inlineStr">
        <is>
          <t>.22LR</t>
        </is>
      </c>
      <c r="G4302" s="84" t="inlineStr">
        <is>
          <t>BROWNING</t>
        </is>
      </c>
      <c r="H4302" s="107" t="inlineStr">
        <is>
          <t>WILDCAT FIELD SA S THR 18''</t>
        </is>
      </c>
      <c r="I4302" s="107" t="inlineStr">
        <is>
          <t>TF614-25M04004</t>
        </is>
      </c>
      <c r="J4302" s="107" t="inlineStr">
        <is>
          <t>N/D</t>
        </is>
      </c>
      <c r="K4302" s="65" t="inlineStr">
        <is>
          <t>N/D</t>
        </is>
      </c>
      <c r="L4302" s="127" t="inlineStr">
        <is>
          <t>BROWNING INTERNATIONAL SA</t>
        </is>
      </c>
      <c r="M4302" s="5" t="n">
        <v>275.4</v>
      </c>
      <c r="N4302" s="5" t="n"/>
      <c r="O4302" s="5">
        <f>+M4302+N4302</f>
        <v/>
      </c>
      <c r="P4302" s="4" t="n">
        <v>46063</v>
      </c>
      <c r="Q4302" s="87" t="n">
        <v>45989</v>
      </c>
      <c r="R4302" s="5" t="n"/>
      <c r="S4302" s="2" t="n"/>
      <c r="T4302" s="3" t="n"/>
      <c r="U4302" s="87" t="n"/>
      <c r="V4302" s="3" t="n"/>
      <c r="W4302" s="108" t="n"/>
      <c r="X4302" s="4" t="n"/>
    </row>
    <row r="4303" ht="24" customHeight="1">
      <c r="A4303" s="2">
        <f>+D4303-S4303</f>
        <v/>
      </c>
      <c r="B4303" s="126" t="n">
        <v>5890</v>
      </c>
      <c r="C4303" s="66" t="n">
        <v>46063</v>
      </c>
      <c r="D4303" s="2" t="n">
        <v>1</v>
      </c>
      <c r="E4303" s="3" t="inlineStr">
        <is>
          <t>CARABINA SEMIAUTOMATICA</t>
        </is>
      </c>
      <c r="F4303" s="3" t="inlineStr">
        <is>
          <t>.22LR</t>
        </is>
      </c>
      <c r="G4303" s="84" t="inlineStr">
        <is>
          <t>BROWNING</t>
        </is>
      </c>
      <c r="H4303" s="107" t="inlineStr">
        <is>
          <t>WILDCAT FIELD SA S THR 18''</t>
        </is>
      </c>
      <c r="I4303" s="107" t="inlineStr">
        <is>
          <t>TF614-25M04005</t>
        </is>
      </c>
      <c r="J4303" s="107" t="inlineStr">
        <is>
          <t>N/D</t>
        </is>
      </c>
      <c r="K4303" s="65" t="inlineStr">
        <is>
          <t>N/D</t>
        </is>
      </c>
      <c r="L4303" s="127" t="inlineStr">
        <is>
          <t>BROWNING INTERNATIONAL SA</t>
        </is>
      </c>
      <c r="M4303" s="5" t="n">
        <v>275.4</v>
      </c>
      <c r="N4303" s="5" t="n"/>
      <c r="O4303" s="5">
        <f>+M4303+N4303</f>
        <v/>
      </c>
      <c r="P4303" s="4" t="n">
        <v>46063</v>
      </c>
      <c r="Q4303" s="87" t="n">
        <v>45989</v>
      </c>
      <c r="R4303" s="5" t="n"/>
      <c r="S4303" s="2" t="n"/>
      <c r="T4303" s="3" t="n"/>
      <c r="U4303" s="87" t="n"/>
      <c r="V4303" s="3" t="n"/>
      <c r="W4303" s="108" t="n"/>
      <c r="X4303" s="4" t="n"/>
    </row>
    <row r="4304" ht="24" customHeight="1">
      <c r="A4304" s="2">
        <f>+D4304-S4304</f>
        <v/>
      </c>
      <c r="B4304" s="126" t="n">
        <v>5891</v>
      </c>
      <c r="C4304" s="66" t="n">
        <v>46063</v>
      </c>
      <c r="D4304" s="2" t="n">
        <v>1</v>
      </c>
      <c r="E4304" s="3" t="inlineStr">
        <is>
          <t>CARABINA SEMIAUTOMATICA</t>
        </is>
      </c>
      <c r="F4304" s="3" t="inlineStr">
        <is>
          <t>.22LR</t>
        </is>
      </c>
      <c r="G4304" s="84" t="inlineStr">
        <is>
          <t>BROWNING</t>
        </is>
      </c>
      <c r="H4304" s="107" t="inlineStr">
        <is>
          <t>WILDCAT FIELD SA S THR 18''</t>
        </is>
      </c>
      <c r="I4304" s="107" t="inlineStr">
        <is>
          <t>TF614-25M04006</t>
        </is>
      </c>
      <c r="J4304" s="107" t="inlineStr">
        <is>
          <t>N/D</t>
        </is>
      </c>
      <c r="K4304" s="65" t="inlineStr">
        <is>
          <t>N/D</t>
        </is>
      </c>
      <c r="L4304" s="127" t="inlineStr">
        <is>
          <t>BROWNING INTERNATIONAL SA</t>
        </is>
      </c>
      <c r="M4304" s="5" t="n">
        <v>275.4</v>
      </c>
      <c r="N4304" s="5" t="n"/>
      <c r="O4304" s="5">
        <f>+M4304+N4304</f>
        <v/>
      </c>
      <c r="P4304" s="4" t="n">
        <v>46063</v>
      </c>
      <c r="Q4304" s="87" t="n">
        <v>45989</v>
      </c>
      <c r="R4304" s="5" t="n"/>
      <c r="S4304" s="2" t="n"/>
      <c r="T4304" s="3" t="n"/>
      <c r="U4304" s="87" t="n"/>
      <c r="V4304" s="3" t="n"/>
      <c r="W4304" s="108" t="n"/>
      <c r="X4304" s="4" t="n"/>
    </row>
    <row r="4305" ht="24" customHeight="1">
      <c r="A4305" s="2">
        <f>+D4305-S4305</f>
        <v/>
      </c>
      <c r="B4305" s="126" t="n">
        <v>5892</v>
      </c>
      <c r="C4305" s="66" t="n">
        <v>46063</v>
      </c>
      <c r="D4305" s="2" t="n">
        <v>1</v>
      </c>
      <c r="E4305" s="3" t="inlineStr">
        <is>
          <t>CARABINA SEMIAUTOMATICA</t>
        </is>
      </c>
      <c r="F4305" s="3" t="inlineStr">
        <is>
          <t>.22LR</t>
        </is>
      </c>
      <c r="G4305" s="84" t="inlineStr">
        <is>
          <t>BROWNING</t>
        </is>
      </c>
      <c r="H4305" s="107" t="inlineStr">
        <is>
          <t>WILDCAT FIELD SA S THR 18''</t>
        </is>
      </c>
      <c r="I4305" s="107" t="inlineStr">
        <is>
          <t>TF614-25M04007</t>
        </is>
      </c>
      <c r="J4305" s="107" t="inlineStr">
        <is>
          <t>N/D</t>
        </is>
      </c>
      <c r="K4305" s="65" t="inlineStr">
        <is>
          <t>N/D</t>
        </is>
      </c>
      <c r="L4305" s="127" t="inlineStr">
        <is>
          <t>BROWNING INTERNATIONAL SA</t>
        </is>
      </c>
      <c r="M4305" s="5" t="n">
        <v>275.4</v>
      </c>
      <c r="N4305" s="5" t="n"/>
      <c r="O4305" s="5">
        <f>+M4305+N4305</f>
        <v/>
      </c>
      <c r="P4305" s="4" t="n">
        <v>46063</v>
      </c>
      <c r="Q4305" s="87" t="n">
        <v>45989</v>
      </c>
      <c r="R4305" s="5" t="n"/>
      <c r="S4305" s="2" t="n"/>
      <c r="T4305" s="3" t="n"/>
      <c r="U4305" s="87" t="n"/>
      <c r="V4305" s="3" t="n"/>
      <c r="W4305" s="108" t="n"/>
      <c r="X4305" s="4" t="n"/>
    </row>
    <row r="4306" ht="24" customHeight="1">
      <c r="A4306" s="2">
        <f>+D4306-S4306</f>
        <v/>
      </c>
      <c r="B4306" s="126" t="n">
        <v>5893</v>
      </c>
      <c r="C4306" s="66" t="n">
        <v>46063</v>
      </c>
      <c r="D4306" s="2" t="n">
        <v>1</v>
      </c>
      <c r="E4306" s="3" t="inlineStr">
        <is>
          <t>CARABINA SEMIAUTOMATICA</t>
        </is>
      </c>
      <c r="F4306" s="3" t="inlineStr">
        <is>
          <t>.22LR</t>
        </is>
      </c>
      <c r="G4306" s="84" t="inlineStr">
        <is>
          <t>BROWNING</t>
        </is>
      </c>
      <c r="H4306" s="107" t="inlineStr">
        <is>
          <t>WILDCAT FIELD SA S THR 18''</t>
        </is>
      </c>
      <c r="I4306" s="107" t="inlineStr">
        <is>
          <t>TF614-25M04008</t>
        </is>
      </c>
      <c r="J4306" s="107" t="inlineStr">
        <is>
          <t>N/D</t>
        </is>
      </c>
      <c r="K4306" s="65" t="inlineStr">
        <is>
          <t>N/D</t>
        </is>
      </c>
      <c r="L4306" s="127" t="inlineStr">
        <is>
          <t>BROWNING INTERNATIONAL SA</t>
        </is>
      </c>
      <c r="M4306" s="5" t="n">
        <v>275.4</v>
      </c>
      <c r="N4306" s="5" t="n"/>
      <c r="O4306" s="5">
        <f>+M4306+N4306</f>
        <v/>
      </c>
      <c r="P4306" s="4" t="n">
        <v>46063</v>
      </c>
      <c r="Q4306" s="87" t="n">
        <v>45989</v>
      </c>
      <c r="R4306" s="5" t="n"/>
      <c r="S4306" s="2" t="n"/>
      <c r="T4306" s="3" t="n"/>
      <c r="U4306" s="87" t="n"/>
      <c r="V4306" s="3" t="n"/>
      <c r="W4306" s="108" t="n"/>
      <c r="X4306" s="4" t="n"/>
    </row>
    <row r="4307" ht="24" customHeight="1">
      <c r="A4307" s="2">
        <f>+D4307-S4307</f>
        <v/>
      </c>
      <c r="B4307" s="126" t="n">
        <v>5894</v>
      </c>
      <c r="C4307" s="66" t="n">
        <v>46063</v>
      </c>
      <c r="D4307" s="2" t="n">
        <v>1</v>
      </c>
      <c r="E4307" s="3" t="inlineStr">
        <is>
          <t>CARABINA SEMIAUTOMATICA</t>
        </is>
      </c>
      <c r="F4307" s="3" t="inlineStr">
        <is>
          <t>.22LR</t>
        </is>
      </c>
      <c r="G4307" s="84" t="inlineStr">
        <is>
          <t>BROWNING</t>
        </is>
      </c>
      <c r="H4307" s="107" t="inlineStr">
        <is>
          <t>WILDCAT FIELD SA S THR 18''</t>
        </is>
      </c>
      <c r="I4307" s="107" t="inlineStr">
        <is>
          <t>TF614-25M04009</t>
        </is>
      </c>
      <c r="J4307" s="107" t="inlineStr">
        <is>
          <t>N/D</t>
        </is>
      </c>
      <c r="K4307" s="65" t="inlineStr">
        <is>
          <t>N/D</t>
        </is>
      </c>
      <c r="L4307" s="127" t="inlineStr">
        <is>
          <t>BROWNING INTERNATIONAL SA</t>
        </is>
      </c>
      <c r="M4307" s="5" t="n">
        <v>275.4</v>
      </c>
      <c r="N4307" s="5" t="n"/>
      <c r="O4307" s="5">
        <f>+M4307+N4307</f>
        <v/>
      </c>
      <c r="P4307" s="4" t="n">
        <v>46063</v>
      </c>
      <c r="Q4307" s="87" t="n">
        <v>45989</v>
      </c>
      <c r="R4307" s="5" t="n"/>
      <c r="S4307" s="2" t="n"/>
      <c r="T4307" s="3" t="n"/>
      <c r="U4307" s="87" t="n"/>
      <c r="V4307" s="3" t="n"/>
      <c r="W4307" s="108" t="n"/>
      <c r="X4307" s="4" t="n"/>
    </row>
    <row r="4308" ht="24" customHeight="1">
      <c r="A4308" s="2">
        <f>+D4308-S4308</f>
        <v/>
      </c>
      <c r="B4308" s="126" t="n">
        <v>5895</v>
      </c>
      <c r="C4308" s="66" t="n">
        <v>46063</v>
      </c>
      <c r="D4308" s="2" t="n">
        <v>1</v>
      </c>
      <c r="E4308" s="3" t="inlineStr">
        <is>
          <t>CARABINA SEMIAUTOMATICA</t>
        </is>
      </c>
      <c r="F4308" s="3" t="inlineStr">
        <is>
          <t>.22LR</t>
        </is>
      </c>
      <c r="G4308" s="84" t="inlineStr">
        <is>
          <t>BROWNING</t>
        </is>
      </c>
      <c r="H4308" s="107" t="inlineStr">
        <is>
          <t>WILDCAT FIELD SA S THR 18''</t>
        </is>
      </c>
      <c r="I4308" s="107" t="inlineStr">
        <is>
          <t>TF614-25M04010</t>
        </is>
      </c>
      <c r="J4308" s="107" t="inlineStr">
        <is>
          <t>N/D</t>
        </is>
      </c>
      <c r="K4308" s="65" t="inlineStr">
        <is>
          <t>N/D</t>
        </is>
      </c>
      <c r="L4308" s="127" t="inlineStr">
        <is>
          <t>BROWNING INTERNATIONAL SA</t>
        </is>
      </c>
      <c r="M4308" s="5" t="n">
        <v>275.4</v>
      </c>
      <c r="N4308" s="5" t="n"/>
      <c r="O4308" s="5">
        <f>+M4308+N4308</f>
        <v/>
      </c>
      <c r="P4308" s="4" t="n">
        <v>46063</v>
      </c>
      <c r="Q4308" s="87" t="n">
        <v>45989</v>
      </c>
      <c r="R4308" s="5" t="n"/>
      <c r="S4308" s="2" t="n"/>
      <c r="T4308" s="3" t="n"/>
      <c r="U4308" s="87" t="n"/>
      <c r="V4308" s="3" t="n"/>
      <c r="W4308" s="108" t="n"/>
      <c r="X4308" s="4" t="n"/>
    </row>
    <row r="4309" ht="24" customHeight="1">
      <c r="A4309" s="2">
        <f>+D4309-S4309</f>
        <v/>
      </c>
      <c r="B4309" s="126" t="n">
        <v>5896</v>
      </c>
      <c r="C4309" s="66" t="n">
        <v>46063</v>
      </c>
      <c r="D4309" s="2" t="n">
        <v>1</v>
      </c>
      <c r="E4309" s="3" t="inlineStr">
        <is>
          <t>CARABINA SEMIAUTOMATICA</t>
        </is>
      </c>
      <c r="F4309" s="3" t="inlineStr">
        <is>
          <t>.22LR</t>
        </is>
      </c>
      <c r="G4309" s="84" t="inlineStr">
        <is>
          <t>BROWNING</t>
        </is>
      </c>
      <c r="H4309" s="107" t="inlineStr">
        <is>
          <t>WILDCAT FIELD SA S THR 18''</t>
        </is>
      </c>
      <c r="I4309" s="107" t="inlineStr">
        <is>
          <t>TF614-25M04011</t>
        </is>
      </c>
      <c r="J4309" s="107" t="inlineStr">
        <is>
          <t>N/D</t>
        </is>
      </c>
      <c r="K4309" s="65" t="inlineStr">
        <is>
          <t>N/D</t>
        </is>
      </c>
      <c r="L4309" s="127" t="inlineStr">
        <is>
          <t>BROWNING INTERNATIONAL SA</t>
        </is>
      </c>
      <c r="M4309" s="5" t="n">
        <v>275.4</v>
      </c>
      <c r="N4309" s="5" t="n"/>
      <c r="O4309" s="5">
        <f>+M4309+N4309</f>
        <v/>
      </c>
      <c r="P4309" s="4" t="n">
        <v>46063</v>
      </c>
      <c r="Q4309" s="87" t="n">
        <v>45989</v>
      </c>
      <c r="R4309" s="5" t="n"/>
      <c r="S4309" s="2" t="n"/>
      <c r="T4309" s="3" t="n"/>
      <c r="U4309" s="87" t="n"/>
      <c r="V4309" s="3" t="n"/>
      <c r="W4309" s="108" t="n"/>
      <c r="X4309" s="4" t="n"/>
    </row>
    <row r="4310" ht="24" customHeight="1">
      <c r="A4310" s="2">
        <f>+D4310-S4310</f>
        <v/>
      </c>
      <c r="B4310" s="126" t="n">
        <v>5897</v>
      </c>
      <c r="C4310" s="66" t="n">
        <v>46063</v>
      </c>
      <c r="D4310" s="2" t="n">
        <v>1</v>
      </c>
      <c r="E4310" s="3" t="inlineStr">
        <is>
          <t>CARABINA SEMIAUTOMATICA</t>
        </is>
      </c>
      <c r="F4310" s="3" t="inlineStr">
        <is>
          <t>.22LR</t>
        </is>
      </c>
      <c r="G4310" s="84" t="inlineStr">
        <is>
          <t>BROWNING</t>
        </is>
      </c>
      <c r="H4310" s="107" t="inlineStr">
        <is>
          <t>WILDCAT FIELD SA S THR 18''</t>
        </is>
      </c>
      <c r="I4310" s="107" t="inlineStr">
        <is>
          <t>TF614-25M04012</t>
        </is>
      </c>
      <c r="J4310" s="107" t="inlineStr">
        <is>
          <t>N/D</t>
        </is>
      </c>
      <c r="K4310" s="65" t="inlineStr">
        <is>
          <t>N/D</t>
        </is>
      </c>
      <c r="L4310" s="127" t="inlineStr">
        <is>
          <t>BROWNING INTERNATIONAL SA</t>
        </is>
      </c>
      <c r="M4310" s="5" t="n">
        <v>275.4</v>
      </c>
      <c r="N4310" s="5" t="n"/>
      <c r="O4310" s="5">
        <f>+M4310+N4310</f>
        <v/>
      </c>
      <c r="P4310" s="4" t="n">
        <v>46063</v>
      </c>
      <c r="Q4310" s="87" t="n">
        <v>45989</v>
      </c>
      <c r="R4310" s="5" t="n"/>
      <c r="S4310" s="2" t="n"/>
      <c r="T4310" s="3" t="n"/>
      <c r="U4310" s="87" t="n"/>
      <c r="V4310" s="3" t="n"/>
      <c r="W4310" s="108" t="n"/>
      <c r="X4310" s="4" t="n"/>
    </row>
    <row r="4311" ht="24" customHeight="1">
      <c r="A4311" s="2">
        <f>+D4311-S4311</f>
        <v/>
      </c>
      <c r="B4311" s="126" t="n">
        <v>5898</v>
      </c>
      <c r="C4311" s="66" t="n">
        <v>46063</v>
      </c>
      <c r="D4311" s="2" t="n">
        <v>1</v>
      </c>
      <c r="E4311" s="3" t="inlineStr">
        <is>
          <t>CARABINA SEMIAUTOMATICA</t>
        </is>
      </c>
      <c r="F4311" s="3" t="inlineStr">
        <is>
          <t>.22LR</t>
        </is>
      </c>
      <c r="G4311" s="84" t="inlineStr">
        <is>
          <t>BROWNING</t>
        </is>
      </c>
      <c r="H4311" s="107" t="inlineStr">
        <is>
          <t>WILDCAT FIELD SA S THR 18''</t>
        </is>
      </c>
      <c r="I4311" s="107" t="inlineStr">
        <is>
          <t>TF614-25M04013</t>
        </is>
      </c>
      <c r="J4311" s="107" t="inlineStr">
        <is>
          <t>N/D</t>
        </is>
      </c>
      <c r="K4311" s="65" t="inlineStr">
        <is>
          <t>N/D</t>
        </is>
      </c>
      <c r="L4311" s="127" t="inlineStr">
        <is>
          <t>BROWNING INTERNATIONAL SA</t>
        </is>
      </c>
      <c r="M4311" s="5" t="n">
        <v>275.4</v>
      </c>
      <c r="N4311" s="5" t="n"/>
      <c r="O4311" s="5">
        <f>+M4311+N4311</f>
        <v/>
      </c>
      <c r="P4311" s="4" t="n">
        <v>46063</v>
      </c>
      <c r="Q4311" s="87" t="n">
        <v>45989</v>
      </c>
      <c r="R4311" s="5" t="n"/>
      <c r="S4311" s="2" t="n"/>
      <c r="T4311" s="3" t="n"/>
      <c r="U4311" s="87" t="n"/>
      <c r="V4311" s="3" t="n"/>
      <c r="W4311" s="108" t="n"/>
      <c r="X4311" s="4" t="n"/>
    </row>
    <row r="4312" ht="24" customHeight="1">
      <c r="A4312" s="2">
        <f>+D4312-S4312</f>
        <v/>
      </c>
      <c r="B4312" s="126" t="n">
        <v>5899</v>
      </c>
      <c r="C4312" s="66" t="n">
        <v>46063</v>
      </c>
      <c r="D4312" s="2" t="n">
        <v>1</v>
      </c>
      <c r="E4312" s="3" t="inlineStr">
        <is>
          <t>CARABINA SEMIAUTOMATICA</t>
        </is>
      </c>
      <c r="F4312" s="3" t="inlineStr">
        <is>
          <t>.22LR</t>
        </is>
      </c>
      <c r="G4312" s="84" t="inlineStr">
        <is>
          <t>BROWNING</t>
        </is>
      </c>
      <c r="H4312" s="107" t="inlineStr">
        <is>
          <t>WILDCAT FIELD SA S THR 18''</t>
        </is>
      </c>
      <c r="I4312" s="107" t="inlineStr">
        <is>
          <t>TF614-25M04014</t>
        </is>
      </c>
      <c r="J4312" s="107" t="inlineStr">
        <is>
          <t>N/D</t>
        </is>
      </c>
      <c r="K4312" s="65" t="inlineStr">
        <is>
          <t>N/D</t>
        </is>
      </c>
      <c r="L4312" s="127" t="inlineStr">
        <is>
          <t>BROWNING INTERNATIONAL SA</t>
        </is>
      </c>
      <c r="M4312" s="5" t="n">
        <v>275.4</v>
      </c>
      <c r="N4312" s="5" t="n"/>
      <c r="O4312" s="5">
        <f>+M4312+N4312</f>
        <v/>
      </c>
      <c r="P4312" s="4" t="n">
        <v>46063</v>
      </c>
      <c r="Q4312" s="87" t="n">
        <v>45989</v>
      </c>
      <c r="R4312" s="5" t="n"/>
      <c r="S4312" s="2" t="n"/>
      <c r="T4312" s="3" t="n"/>
      <c r="U4312" s="87" t="n"/>
      <c r="V4312" s="3" t="n"/>
      <c r="W4312" s="108" t="n"/>
      <c r="X4312" s="4" t="n"/>
    </row>
    <row r="4313" ht="24" customHeight="1">
      <c r="A4313" s="2">
        <f>+D4313-S4313</f>
        <v/>
      </c>
      <c r="B4313" s="126" t="n">
        <v>5900</v>
      </c>
      <c r="C4313" s="66" t="n">
        <v>46063</v>
      </c>
      <c r="D4313" s="2" t="n">
        <v>1</v>
      </c>
      <c r="E4313" s="3" t="inlineStr">
        <is>
          <t>CARABINA SEMIAUTOMATICA</t>
        </is>
      </c>
      <c r="F4313" s="3" t="inlineStr">
        <is>
          <t>.22LR</t>
        </is>
      </c>
      <c r="G4313" s="84" t="inlineStr">
        <is>
          <t>BROWNING</t>
        </is>
      </c>
      <c r="H4313" s="107" t="inlineStr">
        <is>
          <t>WILDCAT FIELD SA S THR 18''</t>
        </is>
      </c>
      <c r="I4313" s="107" t="inlineStr">
        <is>
          <t>TF614-25M04015</t>
        </is>
      </c>
      <c r="J4313" s="107" t="inlineStr">
        <is>
          <t>N/D</t>
        </is>
      </c>
      <c r="K4313" s="65" t="inlineStr">
        <is>
          <t>N/D</t>
        </is>
      </c>
      <c r="L4313" s="127" t="inlineStr">
        <is>
          <t>BROWNING INTERNATIONAL SA</t>
        </is>
      </c>
      <c r="M4313" s="5" t="n">
        <v>275.4</v>
      </c>
      <c r="N4313" s="5" t="n"/>
      <c r="O4313" s="5">
        <f>+M4313+N4313</f>
        <v/>
      </c>
      <c r="P4313" s="4" t="n">
        <v>46063</v>
      </c>
      <c r="Q4313" s="87" t="n">
        <v>45989</v>
      </c>
      <c r="R4313" s="5" t="n"/>
      <c r="S4313" s="2" t="n"/>
      <c r="T4313" s="3" t="n"/>
      <c r="U4313" s="87" t="n"/>
      <c r="V4313" s="3" t="n"/>
      <c r="W4313" s="108" t="n"/>
      <c r="X4313" s="4" t="n"/>
    </row>
    <row r="4314" ht="24" customHeight="1">
      <c r="A4314" s="2">
        <f>+D4314-S4314</f>
        <v/>
      </c>
      <c r="B4314" s="126" t="n">
        <v>5901</v>
      </c>
      <c r="C4314" s="66" t="n">
        <v>46063</v>
      </c>
      <c r="D4314" s="2" t="n">
        <v>1</v>
      </c>
      <c r="E4314" s="3" t="inlineStr">
        <is>
          <t>CARABINA SEMIAUTOMATICA</t>
        </is>
      </c>
      <c r="F4314" s="3" t="inlineStr">
        <is>
          <t>.22LR</t>
        </is>
      </c>
      <c r="G4314" s="84" t="inlineStr">
        <is>
          <t>BROWNING</t>
        </is>
      </c>
      <c r="H4314" s="107" t="inlineStr">
        <is>
          <t>WILDCAT FIELD SA S THR 18''</t>
        </is>
      </c>
      <c r="I4314" s="107" t="inlineStr">
        <is>
          <t>TF614-25M04016</t>
        </is>
      </c>
      <c r="J4314" s="107" t="inlineStr">
        <is>
          <t>N/D</t>
        </is>
      </c>
      <c r="K4314" s="65" t="inlineStr">
        <is>
          <t>N/D</t>
        </is>
      </c>
      <c r="L4314" s="127" t="inlineStr">
        <is>
          <t>BROWNING INTERNATIONAL SA</t>
        </is>
      </c>
      <c r="M4314" s="5" t="n">
        <v>275.4</v>
      </c>
      <c r="N4314" s="5" t="n"/>
      <c r="O4314" s="5">
        <f>+M4314+N4314</f>
        <v/>
      </c>
      <c r="P4314" s="4" t="n">
        <v>46063</v>
      </c>
      <c r="Q4314" s="87" t="n">
        <v>45989</v>
      </c>
      <c r="R4314" s="5" t="n"/>
      <c r="S4314" s="2" t="n"/>
      <c r="T4314" s="3" t="n"/>
      <c r="U4314" s="87" t="n"/>
      <c r="V4314" s="3" t="n"/>
      <c r="W4314" s="108" t="n"/>
      <c r="X4314" s="4" t="n"/>
    </row>
    <row r="4315" ht="24" customHeight="1">
      <c r="A4315" s="2">
        <f>+D4315-S4315</f>
        <v/>
      </c>
      <c r="B4315" s="126" t="n">
        <v>5902</v>
      </c>
      <c r="C4315" s="66" t="n">
        <v>46063</v>
      </c>
      <c r="D4315" s="2" t="n">
        <v>1</v>
      </c>
      <c r="E4315" s="3" t="inlineStr">
        <is>
          <t>CARABINA SEMIAUTOMATICA</t>
        </is>
      </c>
      <c r="F4315" s="3" t="inlineStr">
        <is>
          <t>.22LR</t>
        </is>
      </c>
      <c r="G4315" s="84" t="inlineStr">
        <is>
          <t>BROWNING</t>
        </is>
      </c>
      <c r="H4315" s="107" t="inlineStr">
        <is>
          <t>WILDCAT FIELD SA S THR 18''</t>
        </is>
      </c>
      <c r="I4315" s="107" t="inlineStr">
        <is>
          <t>TF614-25M04017</t>
        </is>
      </c>
      <c r="J4315" s="107" t="inlineStr">
        <is>
          <t>N/D</t>
        </is>
      </c>
      <c r="K4315" s="65" t="inlineStr">
        <is>
          <t>N/D</t>
        </is>
      </c>
      <c r="L4315" s="127" t="inlineStr">
        <is>
          <t>BROWNING INTERNATIONAL SA</t>
        </is>
      </c>
      <c r="M4315" s="5" t="n">
        <v>275.4</v>
      </c>
      <c r="N4315" s="5" t="n"/>
      <c r="O4315" s="5">
        <f>+M4315+N4315</f>
        <v/>
      </c>
      <c r="P4315" s="4" t="n">
        <v>46063</v>
      </c>
      <c r="Q4315" s="87" t="n">
        <v>45989</v>
      </c>
      <c r="R4315" s="5" t="n"/>
      <c r="S4315" s="2" t="n"/>
      <c r="T4315" s="3" t="n"/>
      <c r="U4315" s="87" t="n"/>
      <c r="V4315" s="3" t="n"/>
      <c r="W4315" s="108" t="n"/>
      <c r="X4315" s="4" t="n"/>
    </row>
    <row r="4316" ht="24" customHeight="1">
      <c r="A4316" s="2">
        <f>+D4316-S4316</f>
        <v/>
      </c>
      <c r="B4316" s="126" t="n">
        <v>5903</v>
      </c>
      <c r="C4316" s="66" t="n">
        <v>46063</v>
      </c>
      <c r="D4316" s="2" t="n">
        <v>1</v>
      </c>
      <c r="E4316" s="3" t="inlineStr">
        <is>
          <t>CARABINA SEMIAUTOMATICA</t>
        </is>
      </c>
      <c r="F4316" s="3" t="inlineStr">
        <is>
          <t>.22LR</t>
        </is>
      </c>
      <c r="G4316" s="84" t="inlineStr">
        <is>
          <t>BROWNING</t>
        </is>
      </c>
      <c r="H4316" s="107" t="inlineStr">
        <is>
          <t>WILDCAT FIELD SA S THR 18''</t>
        </is>
      </c>
      <c r="I4316" s="107" t="inlineStr">
        <is>
          <t>TF614-25M04018</t>
        </is>
      </c>
      <c r="J4316" s="107" t="inlineStr">
        <is>
          <t>N/D</t>
        </is>
      </c>
      <c r="K4316" s="65" t="inlineStr">
        <is>
          <t>N/D</t>
        </is>
      </c>
      <c r="L4316" s="127" t="inlineStr">
        <is>
          <t>BROWNING INTERNATIONAL SA</t>
        </is>
      </c>
      <c r="M4316" s="5" t="n">
        <v>275.4</v>
      </c>
      <c r="N4316" s="5" t="n"/>
      <c r="O4316" s="5">
        <f>+M4316+N4316</f>
        <v/>
      </c>
      <c r="P4316" s="4" t="n">
        <v>46063</v>
      </c>
      <c r="Q4316" s="87" t="n">
        <v>45989</v>
      </c>
      <c r="R4316" s="5" t="n"/>
      <c r="S4316" s="2" t="n"/>
      <c r="T4316" s="3" t="n"/>
      <c r="U4316" s="87" t="n"/>
      <c r="V4316" s="3" t="n"/>
      <c r="W4316" s="108" t="n"/>
      <c r="X4316" s="4" t="n"/>
    </row>
    <row r="4317" ht="24" customHeight="1">
      <c r="A4317" s="2">
        <f>+D4317-S4317</f>
        <v/>
      </c>
      <c r="B4317" s="126" t="n">
        <v>5904</v>
      </c>
      <c r="C4317" s="66" t="n">
        <v>46063</v>
      </c>
      <c r="D4317" s="2" t="n">
        <v>1</v>
      </c>
      <c r="E4317" s="3" t="inlineStr">
        <is>
          <t>CARABINA SEMIAUTOMATICA</t>
        </is>
      </c>
      <c r="F4317" s="3" t="inlineStr">
        <is>
          <t>.22LR</t>
        </is>
      </c>
      <c r="G4317" s="84" t="inlineStr">
        <is>
          <t>BROWNING</t>
        </is>
      </c>
      <c r="H4317" s="107" t="inlineStr">
        <is>
          <t>WILDCAT FIELD SA S THR 18''</t>
        </is>
      </c>
      <c r="I4317" s="107" t="inlineStr">
        <is>
          <t>TF614-25M04019</t>
        </is>
      </c>
      <c r="J4317" s="107" t="inlineStr">
        <is>
          <t>N/D</t>
        </is>
      </c>
      <c r="K4317" s="65" t="inlineStr">
        <is>
          <t>N/D</t>
        </is>
      </c>
      <c r="L4317" s="127" t="inlineStr">
        <is>
          <t>BROWNING INTERNATIONAL SA</t>
        </is>
      </c>
      <c r="M4317" s="5" t="n">
        <v>275.4</v>
      </c>
      <c r="N4317" s="5" t="n"/>
      <c r="O4317" s="5">
        <f>+M4317+N4317</f>
        <v/>
      </c>
      <c r="P4317" s="4" t="n">
        <v>46063</v>
      </c>
      <c r="Q4317" s="87" t="n">
        <v>45989</v>
      </c>
      <c r="R4317" s="5" t="n"/>
      <c r="S4317" s="2" t="n"/>
      <c r="T4317" s="3" t="n"/>
      <c r="U4317" s="87" t="n"/>
      <c r="V4317" s="3" t="n"/>
      <c r="W4317" s="108" t="n"/>
      <c r="X4317" s="4" t="n"/>
    </row>
    <row r="4318" ht="24" customHeight="1">
      <c r="A4318" s="2">
        <f>+D4318-S4318</f>
        <v/>
      </c>
      <c r="B4318" s="126" t="n">
        <v>5905</v>
      </c>
      <c r="C4318" s="66" t="n">
        <v>46063</v>
      </c>
      <c r="D4318" s="2" t="n">
        <v>1</v>
      </c>
      <c r="E4318" s="3" t="inlineStr">
        <is>
          <t>CARABINA SEMIAUTOMATICA</t>
        </is>
      </c>
      <c r="F4318" s="3" t="inlineStr">
        <is>
          <t>.22LR</t>
        </is>
      </c>
      <c r="G4318" s="84" t="inlineStr">
        <is>
          <t>BROWNING</t>
        </is>
      </c>
      <c r="H4318" s="107" t="inlineStr">
        <is>
          <t>WILDCAT FIELD SA S THR 18''</t>
        </is>
      </c>
      <c r="I4318" s="107" t="inlineStr">
        <is>
          <t>TF614-25M04020</t>
        </is>
      </c>
      <c r="J4318" s="107" t="inlineStr">
        <is>
          <t>N/D</t>
        </is>
      </c>
      <c r="K4318" s="65" t="inlineStr">
        <is>
          <t>N/D</t>
        </is>
      </c>
      <c r="L4318" s="127" t="inlineStr">
        <is>
          <t>BROWNING INTERNATIONAL SA</t>
        </is>
      </c>
      <c r="M4318" s="5" t="n">
        <v>275.4</v>
      </c>
      <c r="N4318" s="5" t="n"/>
      <c r="O4318" s="5">
        <f>+M4318+N4318</f>
        <v/>
      </c>
      <c r="P4318" s="4" t="n">
        <v>46063</v>
      </c>
      <c r="Q4318" s="87" t="n">
        <v>45989</v>
      </c>
      <c r="R4318" s="5" t="n"/>
      <c r="S4318" s="2" t="n"/>
      <c r="T4318" s="3" t="n"/>
      <c r="U4318" s="87" t="n"/>
      <c r="V4318" s="3" t="n"/>
      <c r="W4318" s="108" t="n"/>
      <c r="X4318" s="4" t="n"/>
    </row>
    <row r="4319" ht="24" customHeight="1">
      <c r="A4319" s="2">
        <f>+D4319-S4319</f>
        <v/>
      </c>
      <c r="B4319" s="126" t="n">
        <v>5906</v>
      </c>
      <c r="C4319" s="66" t="n">
        <v>46063</v>
      </c>
      <c r="D4319" s="2" t="n">
        <v>1</v>
      </c>
      <c r="E4319" s="3" t="inlineStr">
        <is>
          <t>CARABINA SEMIAUTOMATICA</t>
        </is>
      </c>
      <c r="F4319" s="3" t="inlineStr">
        <is>
          <t>.22LR</t>
        </is>
      </c>
      <c r="G4319" s="84" t="inlineStr">
        <is>
          <t>BROWNING</t>
        </is>
      </c>
      <c r="H4319" s="107" t="inlineStr">
        <is>
          <t>WILDCAT FIELD SA S THR 18''</t>
        </is>
      </c>
      <c r="I4319" s="107" t="inlineStr">
        <is>
          <t>TF614-25M04021</t>
        </is>
      </c>
      <c r="J4319" s="107" t="inlineStr">
        <is>
          <t>N/D</t>
        </is>
      </c>
      <c r="K4319" s="65" t="inlineStr">
        <is>
          <t>N/D</t>
        </is>
      </c>
      <c r="L4319" s="127" t="inlineStr">
        <is>
          <t>BROWNING INTERNATIONAL SA</t>
        </is>
      </c>
      <c r="M4319" s="5" t="n">
        <v>275.4</v>
      </c>
      <c r="N4319" s="5" t="n"/>
      <c r="O4319" s="5">
        <f>+M4319+N4319</f>
        <v/>
      </c>
      <c r="P4319" s="4" t="n">
        <v>46063</v>
      </c>
      <c r="Q4319" s="87" t="n">
        <v>45989</v>
      </c>
      <c r="R4319" s="5" t="n"/>
      <c r="S4319" s="2" t="n"/>
      <c r="T4319" s="3" t="n"/>
      <c r="U4319" s="87" t="n"/>
      <c r="V4319" s="3" t="n"/>
      <c r="W4319" s="108" t="n"/>
      <c r="X4319" s="4" t="n"/>
    </row>
    <row r="4320" ht="24" customHeight="1">
      <c r="A4320" s="2">
        <f>+D4320-S4320</f>
        <v/>
      </c>
      <c r="B4320" s="126" t="n">
        <v>5907</v>
      </c>
      <c r="C4320" s="66" t="n">
        <v>46063</v>
      </c>
      <c r="D4320" s="2" t="n">
        <v>1</v>
      </c>
      <c r="E4320" s="3" t="inlineStr">
        <is>
          <t>CARABINA SEMIAUTOMATICA</t>
        </is>
      </c>
      <c r="F4320" s="3" t="inlineStr">
        <is>
          <t>.22LR</t>
        </is>
      </c>
      <c r="G4320" s="84" t="inlineStr">
        <is>
          <t>BROWNING</t>
        </is>
      </c>
      <c r="H4320" s="107" t="inlineStr">
        <is>
          <t>WILDCAT FIELD SA S THR 18''</t>
        </is>
      </c>
      <c r="I4320" s="107" t="inlineStr">
        <is>
          <t>TF614-25M04022</t>
        </is>
      </c>
      <c r="J4320" s="107" t="inlineStr">
        <is>
          <t>N/D</t>
        </is>
      </c>
      <c r="K4320" s="65" t="inlineStr">
        <is>
          <t>N/D</t>
        </is>
      </c>
      <c r="L4320" s="127" t="inlineStr">
        <is>
          <t>BROWNING INTERNATIONAL SA</t>
        </is>
      </c>
      <c r="M4320" s="5" t="n">
        <v>275.4</v>
      </c>
      <c r="N4320" s="5" t="n"/>
      <c r="O4320" s="5">
        <f>+M4320+N4320</f>
        <v/>
      </c>
      <c r="P4320" s="4" t="n">
        <v>46063</v>
      </c>
      <c r="Q4320" s="87" t="n">
        <v>45989</v>
      </c>
      <c r="R4320" s="5" t="n"/>
      <c r="S4320" s="2" t="n"/>
      <c r="T4320" s="3" t="n"/>
      <c r="U4320" s="87" t="n"/>
      <c r="V4320" s="3" t="n"/>
      <c r="W4320" s="108" t="n"/>
      <c r="X4320" s="4" t="n"/>
    </row>
    <row r="4321" ht="24" customHeight="1">
      <c r="A4321" s="2">
        <f>+D4321-S4321</f>
        <v/>
      </c>
      <c r="B4321" s="126" t="n">
        <v>5908</v>
      </c>
      <c r="C4321" s="66" t="n">
        <v>46063</v>
      </c>
      <c r="D4321" s="2" t="n">
        <v>1</v>
      </c>
      <c r="E4321" s="3" t="inlineStr">
        <is>
          <t>CARABINA SEMIAUTOMATICA</t>
        </is>
      </c>
      <c r="F4321" s="3" t="inlineStr">
        <is>
          <t>.22LR</t>
        </is>
      </c>
      <c r="G4321" s="84" t="inlineStr">
        <is>
          <t>BROWNING</t>
        </is>
      </c>
      <c r="H4321" s="107" t="inlineStr">
        <is>
          <t>WILDCAT FIELD SA S THR 18''</t>
        </is>
      </c>
      <c r="I4321" s="107" t="inlineStr">
        <is>
          <t>TF614-25M04023</t>
        </is>
      </c>
      <c r="J4321" s="107" t="inlineStr">
        <is>
          <t>N/D</t>
        </is>
      </c>
      <c r="K4321" s="65" t="inlineStr">
        <is>
          <t>N/D</t>
        </is>
      </c>
      <c r="L4321" s="127" t="inlineStr">
        <is>
          <t>BROWNING INTERNATIONAL SA</t>
        </is>
      </c>
      <c r="M4321" s="5" t="n">
        <v>275.4</v>
      </c>
      <c r="N4321" s="5" t="n"/>
      <c r="O4321" s="5">
        <f>+M4321+N4321</f>
        <v/>
      </c>
      <c r="P4321" s="4" t="n">
        <v>46063</v>
      </c>
      <c r="Q4321" s="87" t="n">
        <v>45989</v>
      </c>
      <c r="R4321" s="5" t="n"/>
      <c r="S4321" s="2" t="n"/>
      <c r="T4321" s="3" t="n"/>
      <c r="U4321" s="87" t="n"/>
      <c r="V4321" s="3" t="n"/>
      <c r="W4321" s="108" t="n"/>
      <c r="X4321" s="4" t="n"/>
    </row>
    <row r="4322" ht="24" customHeight="1">
      <c r="A4322" s="2">
        <f>+D4322-S4322</f>
        <v/>
      </c>
      <c r="B4322" s="126" t="n">
        <v>5909</v>
      </c>
      <c r="C4322" s="66" t="n">
        <v>46063</v>
      </c>
      <c r="D4322" s="2" t="n">
        <v>1</v>
      </c>
      <c r="E4322" s="3" t="inlineStr">
        <is>
          <t>CARABINA SEMIAUTOMATICA</t>
        </is>
      </c>
      <c r="F4322" s="3" t="inlineStr">
        <is>
          <t>.22LR</t>
        </is>
      </c>
      <c r="G4322" s="84" t="inlineStr">
        <is>
          <t>BROWNING</t>
        </is>
      </c>
      <c r="H4322" s="107" t="inlineStr">
        <is>
          <t>WILDCAT FIELD SA S THR 18''</t>
        </is>
      </c>
      <c r="I4322" s="107" t="inlineStr">
        <is>
          <t>TF614-25M04024</t>
        </is>
      </c>
      <c r="J4322" s="107" t="inlineStr">
        <is>
          <t>N/D</t>
        </is>
      </c>
      <c r="K4322" s="65" t="inlineStr">
        <is>
          <t>N/D</t>
        </is>
      </c>
      <c r="L4322" s="127" t="inlineStr">
        <is>
          <t>BROWNING INTERNATIONAL SA</t>
        </is>
      </c>
      <c r="M4322" s="5" t="n">
        <v>275.4</v>
      </c>
      <c r="N4322" s="5" t="n"/>
      <c r="O4322" s="5">
        <f>+M4322+N4322</f>
        <v/>
      </c>
      <c r="P4322" s="4" t="n">
        <v>46063</v>
      </c>
      <c r="Q4322" s="87" t="n">
        <v>45989</v>
      </c>
      <c r="R4322" s="5" t="n"/>
      <c r="S4322" s="2" t="n"/>
      <c r="T4322" s="3" t="n"/>
      <c r="U4322" s="87" t="n"/>
      <c r="V4322" s="3" t="n"/>
      <c r="W4322" s="108" t="n"/>
      <c r="X4322" s="4" t="n"/>
    </row>
    <row r="4323" ht="24" customHeight="1">
      <c r="A4323" s="2">
        <f>+D4323-S4323</f>
        <v/>
      </c>
      <c r="B4323" s="126" t="n">
        <v>5910</v>
      </c>
      <c r="C4323" s="66" t="n">
        <v>46063</v>
      </c>
      <c r="D4323" s="2" t="n">
        <v>1</v>
      </c>
      <c r="E4323" s="3" t="inlineStr">
        <is>
          <t>CARABINA SEMIAUTOMATICA</t>
        </is>
      </c>
      <c r="F4323" s="3" t="inlineStr">
        <is>
          <t>.22LR</t>
        </is>
      </c>
      <c r="G4323" s="84" t="inlineStr">
        <is>
          <t>BROWNING</t>
        </is>
      </c>
      <c r="H4323" s="107" t="inlineStr">
        <is>
          <t>WILDCAT FIELD SA S THR 18''</t>
        </is>
      </c>
      <c r="I4323" s="107" t="inlineStr">
        <is>
          <t>TF614-25M04025</t>
        </is>
      </c>
      <c r="J4323" s="107" t="inlineStr">
        <is>
          <t>N/D</t>
        </is>
      </c>
      <c r="K4323" s="65" t="inlineStr">
        <is>
          <t>N/D</t>
        </is>
      </c>
      <c r="L4323" s="127" t="inlineStr">
        <is>
          <t>BROWNING INTERNATIONAL SA</t>
        </is>
      </c>
      <c r="M4323" s="5" t="n">
        <v>275.4</v>
      </c>
      <c r="N4323" s="5" t="n"/>
      <c r="O4323" s="5">
        <f>+M4323+N4323</f>
        <v/>
      </c>
      <c r="P4323" s="4" t="n">
        <v>46063</v>
      </c>
      <c r="Q4323" s="87" t="n">
        <v>45989</v>
      </c>
      <c r="R4323" s="5" t="n"/>
      <c r="S4323" s="2" t="n"/>
      <c r="T4323" s="3" t="n"/>
      <c r="U4323" s="87" t="n"/>
      <c r="V4323" s="3" t="n"/>
      <c r="W4323" s="108" t="n"/>
      <c r="X4323" s="4" t="n"/>
    </row>
    <row r="4324" ht="24" customHeight="1">
      <c r="A4324" s="2">
        <f>+D4324-S4324</f>
        <v/>
      </c>
      <c r="B4324" s="126" t="n">
        <v>5911</v>
      </c>
      <c r="C4324" s="66" t="n">
        <v>46063</v>
      </c>
      <c r="D4324" s="2" t="n">
        <v>1</v>
      </c>
      <c r="E4324" s="3" t="inlineStr">
        <is>
          <t>CARABINA SEMIAUTOMATICA</t>
        </is>
      </c>
      <c r="F4324" s="3" t="inlineStr">
        <is>
          <t>.22LR</t>
        </is>
      </c>
      <c r="G4324" s="84" t="inlineStr">
        <is>
          <t>BROWNING</t>
        </is>
      </c>
      <c r="H4324" s="107" t="inlineStr">
        <is>
          <t>WILDCAT FIELD SA S THR 18''</t>
        </is>
      </c>
      <c r="I4324" s="107" t="inlineStr">
        <is>
          <t>TF614-25M04026</t>
        </is>
      </c>
      <c r="J4324" s="107" t="inlineStr">
        <is>
          <t>N/D</t>
        </is>
      </c>
      <c r="K4324" s="65" t="inlineStr">
        <is>
          <t>N/D</t>
        </is>
      </c>
      <c r="L4324" s="127" t="inlineStr">
        <is>
          <t>BROWNING INTERNATIONAL SA</t>
        </is>
      </c>
      <c r="M4324" s="5" t="n">
        <v>275.4</v>
      </c>
      <c r="N4324" s="5" t="n"/>
      <c r="O4324" s="5">
        <f>+M4324+N4324</f>
        <v/>
      </c>
      <c r="P4324" s="4" t="n">
        <v>46063</v>
      </c>
      <c r="Q4324" s="87" t="n">
        <v>45989</v>
      </c>
      <c r="R4324" s="5" t="n"/>
      <c r="S4324" s="2" t="n"/>
      <c r="T4324" s="3" t="n"/>
      <c r="U4324" s="87" t="n"/>
      <c r="V4324" s="3" t="n"/>
      <c r="W4324" s="108" t="n"/>
      <c r="X4324" s="4" t="n"/>
    </row>
    <row r="4325" ht="24" customHeight="1">
      <c r="A4325" s="2">
        <f>+D4325-S4325</f>
        <v/>
      </c>
      <c r="B4325" s="126" t="n">
        <v>5912</v>
      </c>
      <c r="C4325" s="66" t="n">
        <v>46063</v>
      </c>
      <c r="D4325" s="2" t="n">
        <v>1</v>
      </c>
      <c r="E4325" s="3" t="inlineStr">
        <is>
          <t>CARABINA SEMIAUTOMATICA</t>
        </is>
      </c>
      <c r="F4325" s="3" t="inlineStr">
        <is>
          <t>.22LR</t>
        </is>
      </c>
      <c r="G4325" s="84" t="inlineStr">
        <is>
          <t>BROWNING</t>
        </is>
      </c>
      <c r="H4325" s="107" t="inlineStr">
        <is>
          <t>WILDCAT FIELD SA S THR 18''</t>
        </is>
      </c>
      <c r="I4325" s="107" t="inlineStr">
        <is>
          <t>TF614-25M04027</t>
        </is>
      </c>
      <c r="J4325" s="107" t="inlineStr">
        <is>
          <t>N/D</t>
        </is>
      </c>
      <c r="K4325" s="65" t="inlineStr">
        <is>
          <t>N/D</t>
        </is>
      </c>
      <c r="L4325" s="127" t="inlineStr">
        <is>
          <t>BROWNING INTERNATIONAL SA</t>
        </is>
      </c>
      <c r="M4325" s="5" t="n">
        <v>275.4</v>
      </c>
      <c r="N4325" s="5" t="n"/>
      <c r="O4325" s="5">
        <f>+M4325+N4325</f>
        <v/>
      </c>
      <c r="P4325" s="4" t="n">
        <v>46063</v>
      </c>
      <c r="Q4325" s="87" t="n">
        <v>45989</v>
      </c>
      <c r="R4325" s="5" t="n"/>
      <c r="S4325" s="2" t="n"/>
      <c r="T4325" s="3" t="n"/>
      <c r="U4325" s="87" t="n"/>
      <c r="V4325" s="3" t="n"/>
      <c r="W4325" s="108" t="n"/>
      <c r="X4325" s="4" t="n"/>
    </row>
    <row r="4326" ht="24" customHeight="1">
      <c r="A4326" s="2">
        <f>+D4326-S4326</f>
        <v/>
      </c>
      <c r="B4326" s="126" t="n">
        <v>5913</v>
      </c>
      <c r="C4326" s="66" t="n">
        <v>46063</v>
      </c>
      <c r="D4326" s="2" t="n">
        <v>1</v>
      </c>
      <c r="E4326" s="3" t="inlineStr">
        <is>
          <t>CARABINA SEMIAUTOMATICA</t>
        </is>
      </c>
      <c r="F4326" s="3" t="inlineStr">
        <is>
          <t>.22LR</t>
        </is>
      </c>
      <c r="G4326" s="84" t="inlineStr">
        <is>
          <t>BROWNING</t>
        </is>
      </c>
      <c r="H4326" s="107" t="inlineStr">
        <is>
          <t>WILDCAT FIELD SA S THR 18''</t>
        </is>
      </c>
      <c r="I4326" s="107" t="inlineStr">
        <is>
          <t>TF614-25M04028</t>
        </is>
      </c>
      <c r="J4326" s="107" t="inlineStr">
        <is>
          <t>N/D</t>
        </is>
      </c>
      <c r="K4326" s="65" t="inlineStr">
        <is>
          <t>N/D</t>
        </is>
      </c>
      <c r="L4326" s="127" t="inlineStr">
        <is>
          <t>BROWNING INTERNATIONAL SA</t>
        </is>
      </c>
      <c r="M4326" s="5" t="n">
        <v>275.4</v>
      </c>
      <c r="N4326" s="5" t="n"/>
      <c r="O4326" s="5">
        <f>+M4326+N4326</f>
        <v/>
      </c>
      <c r="P4326" s="4" t="n">
        <v>46063</v>
      </c>
      <c r="Q4326" s="87" t="n">
        <v>45989</v>
      </c>
      <c r="R4326" s="5" t="n"/>
      <c r="S4326" s="2" t="n"/>
      <c r="T4326" s="3" t="n"/>
      <c r="U4326" s="87" t="n"/>
      <c r="V4326" s="3" t="n"/>
      <c r="W4326" s="108" t="n"/>
      <c r="X4326" s="4" t="n"/>
    </row>
    <row r="4327" ht="24" customHeight="1">
      <c r="A4327" s="2">
        <f>+D4327-S4327</f>
        <v/>
      </c>
      <c r="B4327" s="126" t="n">
        <v>5914</v>
      </c>
      <c r="C4327" s="66" t="n">
        <v>46063</v>
      </c>
      <c r="D4327" s="2" t="n">
        <v>1</v>
      </c>
      <c r="E4327" s="3" t="inlineStr">
        <is>
          <t>CARABINA SEMIAUTOMATICA</t>
        </is>
      </c>
      <c r="F4327" s="3" t="inlineStr">
        <is>
          <t>.22LR</t>
        </is>
      </c>
      <c r="G4327" s="84" t="inlineStr">
        <is>
          <t>BROWNING</t>
        </is>
      </c>
      <c r="H4327" s="107" t="inlineStr">
        <is>
          <t>WILDCAT FIELD SA S THR 18''</t>
        </is>
      </c>
      <c r="I4327" s="107" t="inlineStr">
        <is>
          <t>TF614-25M04029</t>
        </is>
      </c>
      <c r="J4327" s="107" t="inlineStr">
        <is>
          <t>N/D</t>
        </is>
      </c>
      <c r="K4327" s="65" t="inlineStr">
        <is>
          <t>N/D</t>
        </is>
      </c>
      <c r="L4327" s="127" t="inlineStr">
        <is>
          <t>BROWNING INTERNATIONAL SA</t>
        </is>
      </c>
      <c r="M4327" s="5" t="n">
        <v>275.4</v>
      </c>
      <c r="N4327" s="5" t="n"/>
      <c r="O4327" s="5">
        <f>+M4327+N4327</f>
        <v/>
      </c>
      <c r="P4327" s="4" t="n">
        <v>46063</v>
      </c>
      <c r="Q4327" s="87" t="n">
        <v>45989</v>
      </c>
      <c r="R4327" s="5" t="n"/>
      <c r="S4327" s="2" t="n"/>
      <c r="T4327" s="3" t="n"/>
      <c r="U4327" s="87" t="n"/>
      <c r="V4327" s="3" t="n"/>
      <c r="W4327" s="108" t="n"/>
      <c r="X4327" s="4" t="n"/>
    </row>
    <row r="4328" ht="24" customHeight="1">
      <c r="A4328" s="2">
        <f>+D4328-S4328</f>
        <v/>
      </c>
      <c r="B4328" s="126" t="n">
        <v>5915</v>
      </c>
      <c r="C4328" s="66" t="n">
        <v>46063</v>
      </c>
      <c r="D4328" s="2" t="n">
        <v>1</v>
      </c>
      <c r="E4328" s="3" t="inlineStr">
        <is>
          <t>CARABINA SEMIAUTOMATICA</t>
        </is>
      </c>
      <c r="F4328" s="3" t="inlineStr">
        <is>
          <t>.22LR</t>
        </is>
      </c>
      <c r="G4328" s="84" t="inlineStr">
        <is>
          <t>BROWNING</t>
        </is>
      </c>
      <c r="H4328" s="107" t="inlineStr">
        <is>
          <t>WILDCAT FIELD SA S THR 18''</t>
        </is>
      </c>
      <c r="I4328" s="107" t="inlineStr">
        <is>
          <t>TF614-25M04030</t>
        </is>
      </c>
      <c r="J4328" s="107" t="inlineStr">
        <is>
          <t>N/D</t>
        </is>
      </c>
      <c r="K4328" s="65" t="inlineStr">
        <is>
          <t>N/D</t>
        </is>
      </c>
      <c r="L4328" s="127" t="inlineStr">
        <is>
          <t>BROWNING INTERNATIONAL SA</t>
        </is>
      </c>
      <c r="M4328" s="5" t="n">
        <v>275.4</v>
      </c>
      <c r="N4328" s="5" t="n"/>
      <c r="O4328" s="5">
        <f>+M4328+N4328</f>
        <v/>
      </c>
      <c r="P4328" s="4" t="n">
        <v>46063</v>
      </c>
      <c r="Q4328" s="87" t="n">
        <v>45989</v>
      </c>
      <c r="R4328" s="5" t="n"/>
      <c r="S4328" s="2" t="n"/>
      <c r="T4328" s="3" t="n"/>
      <c r="U4328" s="87" t="n"/>
      <c r="V4328" s="3" t="n"/>
      <c r="W4328" s="108" t="n"/>
      <c r="X4328" s="4" t="n"/>
    </row>
    <row r="4329" ht="24" customHeight="1">
      <c r="A4329" s="2">
        <f>+D4329-S4329</f>
        <v/>
      </c>
      <c r="B4329" s="126" t="n">
        <v>5916</v>
      </c>
      <c r="C4329" s="66" t="n">
        <v>46063</v>
      </c>
      <c r="D4329" s="2" t="n">
        <v>1</v>
      </c>
      <c r="E4329" s="3" t="inlineStr">
        <is>
          <t>CARABINA SEMIAUTOMATICA</t>
        </is>
      </c>
      <c r="F4329" s="3" t="inlineStr">
        <is>
          <t>.22LR</t>
        </is>
      </c>
      <c r="G4329" s="84" t="inlineStr">
        <is>
          <t>BROWNING</t>
        </is>
      </c>
      <c r="H4329" s="107" t="inlineStr">
        <is>
          <t>WILDCAT FIELD SA S THR 18''</t>
        </is>
      </c>
      <c r="I4329" s="107" t="inlineStr">
        <is>
          <t>TF614-25M04031</t>
        </is>
      </c>
      <c r="J4329" s="107" t="inlineStr">
        <is>
          <t>N/D</t>
        </is>
      </c>
      <c r="K4329" s="65" t="inlineStr">
        <is>
          <t>N/D</t>
        </is>
      </c>
      <c r="L4329" s="127" t="inlineStr">
        <is>
          <t>BROWNING INTERNATIONAL SA</t>
        </is>
      </c>
      <c r="M4329" s="5" t="n">
        <v>275.4</v>
      </c>
      <c r="N4329" s="5" t="n"/>
      <c r="O4329" s="5">
        <f>+M4329+N4329</f>
        <v/>
      </c>
      <c r="P4329" s="4" t="n">
        <v>46063</v>
      </c>
      <c r="Q4329" s="87" t="n">
        <v>45989</v>
      </c>
      <c r="R4329" s="5" t="n"/>
      <c r="S4329" s="2" t="n"/>
      <c r="T4329" s="3" t="n"/>
      <c r="U4329" s="87" t="n"/>
      <c r="V4329" s="3" t="n"/>
      <c r="W4329" s="108" t="n"/>
      <c r="X4329" s="4" t="n"/>
    </row>
    <row r="4330" ht="24" customHeight="1">
      <c r="A4330" s="2">
        <f>+D4330-S4330</f>
        <v/>
      </c>
      <c r="B4330" s="126" t="n">
        <v>5917</v>
      </c>
      <c r="C4330" s="66" t="n">
        <v>46063</v>
      </c>
      <c r="D4330" s="2" t="n">
        <v>1</v>
      </c>
      <c r="E4330" s="3" t="inlineStr">
        <is>
          <t>CARABINA SEMIAUTOMATICA</t>
        </is>
      </c>
      <c r="F4330" s="3" t="inlineStr">
        <is>
          <t>.22LR</t>
        </is>
      </c>
      <c r="G4330" s="84" t="inlineStr">
        <is>
          <t>BROWNING</t>
        </is>
      </c>
      <c r="H4330" s="107" t="inlineStr">
        <is>
          <t>WILDCAT FIELD SA S THR 18''</t>
        </is>
      </c>
      <c r="I4330" s="107" t="inlineStr">
        <is>
          <t>TF614-25M04032</t>
        </is>
      </c>
      <c r="J4330" s="107" t="inlineStr">
        <is>
          <t>N/D</t>
        </is>
      </c>
      <c r="K4330" s="65" t="inlineStr">
        <is>
          <t>N/D</t>
        </is>
      </c>
      <c r="L4330" s="127" t="inlineStr">
        <is>
          <t>BROWNING INTERNATIONAL SA</t>
        </is>
      </c>
      <c r="M4330" s="5" t="n">
        <v>275.4</v>
      </c>
      <c r="N4330" s="5" t="n"/>
      <c r="O4330" s="5">
        <f>+M4330+N4330</f>
        <v/>
      </c>
      <c r="P4330" s="4" t="n">
        <v>46063</v>
      </c>
      <c r="Q4330" s="87" t="n">
        <v>45989</v>
      </c>
      <c r="R4330" s="5" t="n"/>
      <c r="S4330" s="2" t="n"/>
      <c r="T4330" s="3" t="n"/>
      <c r="U4330" s="87" t="n"/>
      <c r="V4330" s="3" t="n"/>
      <c r="W4330" s="108" t="n"/>
      <c r="X4330" s="4" t="n"/>
    </row>
    <row r="4331" ht="24" customHeight="1">
      <c r="A4331" s="2">
        <f>+D4331-S4331</f>
        <v/>
      </c>
      <c r="B4331" s="126" t="n">
        <v>5918</v>
      </c>
      <c r="C4331" s="66" t="n">
        <v>46063</v>
      </c>
      <c r="D4331" s="2" t="n">
        <v>1</v>
      </c>
      <c r="E4331" s="3" t="inlineStr">
        <is>
          <t>CARABINA SEMIAUTOMATICA</t>
        </is>
      </c>
      <c r="F4331" s="3" t="inlineStr">
        <is>
          <t>.22LR</t>
        </is>
      </c>
      <c r="G4331" s="84" t="inlineStr">
        <is>
          <t>BROWNING</t>
        </is>
      </c>
      <c r="H4331" s="107" t="inlineStr">
        <is>
          <t>WILDCAT FIELD SA S THR 18''</t>
        </is>
      </c>
      <c r="I4331" s="107" t="inlineStr">
        <is>
          <t>TF614-25M04033</t>
        </is>
      </c>
      <c r="J4331" s="107" t="inlineStr">
        <is>
          <t>N/D</t>
        </is>
      </c>
      <c r="K4331" s="65" t="inlineStr">
        <is>
          <t>N/D</t>
        </is>
      </c>
      <c r="L4331" s="127" t="inlineStr">
        <is>
          <t>BROWNING INTERNATIONAL SA</t>
        </is>
      </c>
      <c r="M4331" s="5" t="n">
        <v>275.4</v>
      </c>
      <c r="N4331" s="5" t="n"/>
      <c r="O4331" s="5">
        <f>+M4331+N4331</f>
        <v/>
      </c>
      <c r="P4331" s="4" t="n">
        <v>46063</v>
      </c>
      <c r="Q4331" s="87" t="n">
        <v>45989</v>
      </c>
      <c r="R4331" s="5" t="n"/>
      <c r="S4331" s="2" t="n"/>
      <c r="T4331" s="3" t="n"/>
      <c r="U4331" s="87" t="n"/>
      <c r="V4331" s="3" t="n"/>
      <c r="W4331" s="108" t="n"/>
      <c r="X4331" s="4" t="n"/>
    </row>
    <row r="4332" ht="24" customHeight="1">
      <c r="A4332" s="2">
        <f>+D4332-S4332</f>
        <v/>
      </c>
      <c r="B4332" s="126" t="n">
        <v>5919</v>
      </c>
      <c r="C4332" s="66" t="n">
        <v>46063</v>
      </c>
      <c r="D4332" s="2" t="n">
        <v>1</v>
      </c>
      <c r="E4332" s="3" t="inlineStr">
        <is>
          <t>CARABINA SEMIAUTOMATICA</t>
        </is>
      </c>
      <c r="F4332" s="3" t="inlineStr">
        <is>
          <t>.22LR</t>
        </is>
      </c>
      <c r="G4332" s="84" t="inlineStr">
        <is>
          <t>BROWNING</t>
        </is>
      </c>
      <c r="H4332" s="107" t="inlineStr">
        <is>
          <t>WILDCAT FIELD SA S THR 18''</t>
        </is>
      </c>
      <c r="I4332" s="107" t="inlineStr">
        <is>
          <t>TF614-25M04034</t>
        </is>
      </c>
      <c r="J4332" s="107" t="inlineStr">
        <is>
          <t>N/D</t>
        </is>
      </c>
      <c r="K4332" s="65" t="inlineStr">
        <is>
          <t>N/D</t>
        </is>
      </c>
      <c r="L4332" s="127" t="inlineStr">
        <is>
          <t>BROWNING INTERNATIONAL SA</t>
        </is>
      </c>
      <c r="M4332" s="5" t="n">
        <v>275.4</v>
      </c>
      <c r="N4332" s="5" t="n"/>
      <c r="O4332" s="5">
        <f>+M4332+N4332</f>
        <v/>
      </c>
      <c r="P4332" s="4" t="n">
        <v>46063</v>
      </c>
      <c r="Q4332" s="87" t="n">
        <v>45989</v>
      </c>
      <c r="R4332" s="5" t="n"/>
      <c r="S4332" s="2" t="n"/>
      <c r="T4332" s="3" t="n"/>
      <c r="U4332" s="87" t="n"/>
      <c r="V4332" s="3" t="n"/>
      <c r="W4332" s="108" t="n"/>
      <c r="X4332" s="4" t="n"/>
    </row>
    <row r="4333" ht="24" customHeight="1">
      <c r="A4333" s="2">
        <f>+D4333-S4333</f>
        <v/>
      </c>
      <c r="B4333" s="126" t="n">
        <v>5920</v>
      </c>
      <c r="C4333" s="66" t="n">
        <v>46063</v>
      </c>
      <c r="D4333" s="2" t="n">
        <v>1</v>
      </c>
      <c r="E4333" s="3" t="inlineStr">
        <is>
          <t>CARABINA SEMIAUTOMATICA</t>
        </is>
      </c>
      <c r="F4333" s="3" t="inlineStr">
        <is>
          <t>.22LR</t>
        </is>
      </c>
      <c r="G4333" s="84" t="inlineStr">
        <is>
          <t>BROWNING</t>
        </is>
      </c>
      <c r="H4333" s="107" t="inlineStr">
        <is>
          <t>WILDCAT FIELD SA S THR 18''</t>
        </is>
      </c>
      <c r="I4333" s="107" t="inlineStr">
        <is>
          <t>TF614-25M04035</t>
        </is>
      </c>
      <c r="J4333" s="107" t="inlineStr">
        <is>
          <t>N/D</t>
        </is>
      </c>
      <c r="K4333" s="65" t="inlineStr">
        <is>
          <t>N/D</t>
        </is>
      </c>
      <c r="L4333" s="127" t="inlineStr">
        <is>
          <t>BROWNING INTERNATIONAL SA</t>
        </is>
      </c>
      <c r="M4333" s="5" t="n">
        <v>275.4</v>
      </c>
      <c r="N4333" s="5" t="n"/>
      <c r="O4333" s="5">
        <f>+M4333+N4333</f>
        <v/>
      </c>
      <c r="P4333" s="4" t="n">
        <v>46063</v>
      </c>
      <c r="Q4333" s="87" t="n">
        <v>45989</v>
      </c>
      <c r="R4333" s="5" t="n"/>
      <c r="S4333" s="2" t="n"/>
      <c r="T4333" s="3" t="n"/>
      <c r="U4333" s="87" t="n"/>
      <c r="V4333" s="3" t="n"/>
      <c r="W4333" s="108" t="n"/>
      <c r="X4333" s="4" t="n"/>
    </row>
    <row r="4334" ht="24" customHeight="1">
      <c r="A4334" s="2">
        <f>+D4334-S4334</f>
        <v/>
      </c>
      <c r="B4334" s="126" t="n">
        <v>5921</v>
      </c>
      <c r="C4334" s="66" t="n">
        <v>46063</v>
      </c>
      <c r="D4334" s="2" t="n">
        <v>1</v>
      </c>
      <c r="E4334" s="3" t="inlineStr">
        <is>
          <t>CARABINA SEMIAUTOMATICA</t>
        </is>
      </c>
      <c r="F4334" s="3" t="inlineStr">
        <is>
          <t>.22LR</t>
        </is>
      </c>
      <c r="G4334" s="84" t="inlineStr">
        <is>
          <t>BROWNING</t>
        </is>
      </c>
      <c r="H4334" s="107" t="inlineStr">
        <is>
          <t>WILDCAT FIELD SA S THR 18''</t>
        </is>
      </c>
      <c r="I4334" s="107" t="inlineStr">
        <is>
          <t>TF614-25M04036</t>
        </is>
      </c>
      <c r="J4334" s="107" t="inlineStr">
        <is>
          <t>N/D</t>
        </is>
      </c>
      <c r="K4334" s="65" t="inlineStr">
        <is>
          <t>N/D</t>
        </is>
      </c>
      <c r="L4334" s="127" t="inlineStr">
        <is>
          <t>BROWNING INTERNATIONAL SA</t>
        </is>
      </c>
      <c r="M4334" s="5" t="n">
        <v>275.4</v>
      </c>
      <c r="N4334" s="5" t="n"/>
      <c r="O4334" s="5">
        <f>+M4334+N4334</f>
        <v/>
      </c>
      <c r="P4334" s="4" t="n">
        <v>46063</v>
      </c>
      <c r="Q4334" s="87" t="n">
        <v>45989</v>
      </c>
      <c r="R4334" s="5" t="n"/>
      <c r="S4334" s="2" t="n"/>
      <c r="T4334" s="3" t="n"/>
      <c r="U4334" s="87" t="n"/>
      <c r="V4334" s="3" t="n"/>
      <c r="W4334" s="108" t="n"/>
      <c r="X4334" s="4" t="n"/>
    </row>
    <row r="4335" ht="24" customHeight="1">
      <c r="A4335" s="2">
        <f>+D4335-S4335</f>
        <v/>
      </c>
      <c r="B4335" s="126" t="n">
        <v>5922</v>
      </c>
      <c r="C4335" s="66" t="n">
        <v>46063</v>
      </c>
      <c r="D4335" s="2" t="n">
        <v>1</v>
      </c>
      <c r="E4335" s="3" t="inlineStr">
        <is>
          <t>CARABINA SEMIAUTOMATICA</t>
        </is>
      </c>
      <c r="F4335" s="3" t="inlineStr">
        <is>
          <t>.22LR</t>
        </is>
      </c>
      <c r="G4335" s="84" t="inlineStr">
        <is>
          <t>BROWNING</t>
        </is>
      </c>
      <c r="H4335" s="107" t="inlineStr">
        <is>
          <t>WILDCAT FIELD SA S THR 18''</t>
        </is>
      </c>
      <c r="I4335" s="107" t="inlineStr">
        <is>
          <t>TF614-25M04037</t>
        </is>
      </c>
      <c r="J4335" s="107" t="inlineStr">
        <is>
          <t>N/D</t>
        </is>
      </c>
      <c r="K4335" s="65" t="inlineStr">
        <is>
          <t>N/D</t>
        </is>
      </c>
      <c r="L4335" s="127" t="inlineStr">
        <is>
          <t>BROWNING INTERNATIONAL SA</t>
        </is>
      </c>
      <c r="M4335" s="5" t="n">
        <v>275.4</v>
      </c>
      <c r="N4335" s="5" t="n"/>
      <c r="O4335" s="5">
        <f>+M4335+N4335</f>
        <v/>
      </c>
      <c r="P4335" s="4" t="n">
        <v>46063</v>
      </c>
      <c r="Q4335" s="87" t="n">
        <v>45989</v>
      </c>
      <c r="R4335" s="5" t="n"/>
      <c r="S4335" s="2" t="n"/>
      <c r="T4335" s="3" t="n"/>
      <c r="U4335" s="87" t="n"/>
      <c r="V4335" s="3" t="n"/>
      <c r="W4335" s="108" t="n"/>
      <c r="X4335" s="4" t="n"/>
    </row>
    <row r="4336" ht="24" customHeight="1">
      <c r="A4336" s="2">
        <f>+D4336-S4336</f>
        <v/>
      </c>
      <c r="B4336" s="126" t="n">
        <v>5923</v>
      </c>
      <c r="C4336" s="66" t="n">
        <v>46063</v>
      </c>
      <c r="D4336" s="2" t="n">
        <v>1</v>
      </c>
      <c r="E4336" s="3" t="inlineStr">
        <is>
          <t>CARABINA SEMIAUTOMATICA</t>
        </is>
      </c>
      <c r="F4336" s="3" t="inlineStr">
        <is>
          <t>.22LR</t>
        </is>
      </c>
      <c r="G4336" s="84" t="inlineStr">
        <is>
          <t>BROWNING</t>
        </is>
      </c>
      <c r="H4336" s="107" t="inlineStr">
        <is>
          <t>WILDCAT FIELD SA S THR 18''</t>
        </is>
      </c>
      <c r="I4336" s="107" t="inlineStr">
        <is>
          <t>TF614-25M04038</t>
        </is>
      </c>
      <c r="J4336" s="107" t="inlineStr">
        <is>
          <t>N/D</t>
        </is>
      </c>
      <c r="K4336" s="65" t="inlineStr">
        <is>
          <t>N/D</t>
        </is>
      </c>
      <c r="L4336" s="127" t="inlineStr">
        <is>
          <t>BROWNING INTERNATIONAL SA</t>
        </is>
      </c>
      <c r="M4336" s="5" t="n">
        <v>275.4</v>
      </c>
      <c r="N4336" s="5" t="n"/>
      <c r="O4336" s="5">
        <f>+M4336+N4336</f>
        <v/>
      </c>
      <c r="P4336" s="4" t="n">
        <v>46063</v>
      </c>
      <c r="Q4336" s="87" t="n">
        <v>45989</v>
      </c>
      <c r="R4336" s="5" t="n"/>
      <c r="S4336" s="2" t="n"/>
      <c r="T4336" s="3" t="n"/>
      <c r="U4336" s="87" t="n"/>
      <c r="V4336" s="3" t="n"/>
      <c r="W4336" s="108" t="n"/>
      <c r="X4336" s="4" t="n"/>
    </row>
    <row r="4337" ht="24" customHeight="1">
      <c r="A4337" s="2">
        <f>+D4337-S4337</f>
        <v/>
      </c>
      <c r="B4337" s="126" t="n">
        <v>5924</v>
      </c>
      <c r="C4337" s="66" t="n">
        <v>46063</v>
      </c>
      <c r="D4337" s="2" t="n">
        <v>1</v>
      </c>
      <c r="E4337" s="3" t="inlineStr">
        <is>
          <t>CARABINA SEMIAUTOMATICA</t>
        </is>
      </c>
      <c r="F4337" s="3" t="inlineStr">
        <is>
          <t>.22LR</t>
        </is>
      </c>
      <c r="G4337" s="84" t="inlineStr">
        <is>
          <t>BROWNING</t>
        </is>
      </c>
      <c r="H4337" s="107" t="inlineStr">
        <is>
          <t>WILDCAT FIELD SA S THR 18''</t>
        </is>
      </c>
      <c r="I4337" s="107" t="inlineStr">
        <is>
          <t>TF614-25M04039</t>
        </is>
      </c>
      <c r="J4337" s="107" t="inlineStr">
        <is>
          <t>N/D</t>
        </is>
      </c>
      <c r="K4337" s="65" t="inlineStr">
        <is>
          <t>N/D</t>
        </is>
      </c>
      <c r="L4337" s="127" t="inlineStr">
        <is>
          <t>BROWNING INTERNATIONAL SA</t>
        </is>
      </c>
      <c r="M4337" s="5" t="n">
        <v>275.4</v>
      </c>
      <c r="N4337" s="5" t="n"/>
      <c r="O4337" s="5">
        <f>+M4337+N4337</f>
        <v/>
      </c>
      <c r="P4337" s="4" t="n">
        <v>46063</v>
      </c>
      <c r="Q4337" s="87" t="n">
        <v>45989</v>
      </c>
      <c r="R4337" s="5" t="n"/>
      <c r="S4337" s="2" t="n"/>
      <c r="T4337" s="3" t="n"/>
      <c r="U4337" s="87" t="n"/>
      <c r="V4337" s="3" t="n"/>
      <c r="W4337" s="108" t="n"/>
      <c r="X4337" s="4" t="n"/>
    </row>
    <row r="4338" ht="24" customHeight="1">
      <c r="A4338" s="2">
        <f>+D4338-S4338</f>
        <v/>
      </c>
      <c r="B4338" s="126" t="n">
        <v>5925</v>
      </c>
      <c r="C4338" s="66" t="n">
        <v>46063</v>
      </c>
      <c r="D4338" s="2" t="n">
        <v>1</v>
      </c>
      <c r="E4338" s="3" t="inlineStr">
        <is>
          <t>CARABINA SEMIAUTOMATICA</t>
        </is>
      </c>
      <c r="F4338" s="3" t="inlineStr">
        <is>
          <t>.22LR</t>
        </is>
      </c>
      <c r="G4338" s="84" t="inlineStr">
        <is>
          <t>BROWNING</t>
        </is>
      </c>
      <c r="H4338" s="107" t="inlineStr">
        <is>
          <t>WILDCAT FIELD SA S THR 18''</t>
        </is>
      </c>
      <c r="I4338" s="107" t="inlineStr">
        <is>
          <t>TF614-25M04040</t>
        </is>
      </c>
      <c r="J4338" s="107" t="inlineStr">
        <is>
          <t>N/D</t>
        </is>
      </c>
      <c r="K4338" s="65" t="inlineStr">
        <is>
          <t>N/D</t>
        </is>
      </c>
      <c r="L4338" s="127" t="inlineStr">
        <is>
          <t>BROWNING INTERNATIONAL SA</t>
        </is>
      </c>
      <c r="M4338" s="5" t="n">
        <v>275.4</v>
      </c>
      <c r="N4338" s="5" t="n"/>
      <c r="O4338" s="5">
        <f>+M4338+N4338</f>
        <v/>
      </c>
      <c r="P4338" s="4" t="n">
        <v>46063</v>
      </c>
      <c r="Q4338" s="87" t="n">
        <v>45989</v>
      </c>
      <c r="R4338" s="5" t="n"/>
      <c r="S4338" s="2" t="n"/>
      <c r="T4338" s="3" t="n"/>
      <c r="U4338" s="87" t="n"/>
      <c r="V4338" s="3" t="n"/>
      <c r="W4338" s="108" t="n"/>
      <c r="X4338" s="4" t="n"/>
    </row>
    <row r="4339" ht="24" customHeight="1">
      <c r="A4339" s="2">
        <f>+D4339-S4339</f>
        <v/>
      </c>
      <c r="B4339" s="126" t="n">
        <v>5926</v>
      </c>
      <c r="C4339" s="66" t="n">
        <v>46063</v>
      </c>
      <c r="D4339" s="2" t="n">
        <v>1</v>
      </c>
      <c r="E4339" s="3" t="inlineStr">
        <is>
          <t>CARABINA SEMIAUTOMATICA</t>
        </is>
      </c>
      <c r="F4339" s="3" t="inlineStr">
        <is>
          <t>.22LR</t>
        </is>
      </c>
      <c r="G4339" s="84" t="inlineStr">
        <is>
          <t>BROWNING</t>
        </is>
      </c>
      <c r="H4339" s="107" t="inlineStr">
        <is>
          <t>WILDCAT FIELD SA S THR 18''</t>
        </is>
      </c>
      <c r="I4339" s="107" t="inlineStr">
        <is>
          <t>TF614-25M04042</t>
        </is>
      </c>
      <c r="J4339" s="107" t="inlineStr">
        <is>
          <t>N/D</t>
        </is>
      </c>
      <c r="K4339" s="65" t="inlineStr">
        <is>
          <t>N/D</t>
        </is>
      </c>
      <c r="L4339" s="127" t="inlineStr">
        <is>
          <t>BROWNING INTERNATIONAL SA</t>
        </is>
      </c>
      <c r="M4339" s="5" t="n">
        <v>275.4</v>
      </c>
      <c r="N4339" s="5" t="n"/>
      <c r="O4339" s="5">
        <f>+M4339+N4339</f>
        <v/>
      </c>
      <c r="P4339" s="4" t="n">
        <v>46063</v>
      </c>
      <c r="Q4339" s="87" t="n">
        <v>45989</v>
      </c>
      <c r="R4339" s="5" t="n"/>
      <c r="S4339" s="2" t="n"/>
      <c r="T4339" s="3" t="n"/>
      <c r="U4339" s="87" t="n"/>
      <c r="V4339" s="3" t="n"/>
      <c r="W4339" s="108" t="n"/>
      <c r="X4339" s="4" t="n"/>
    </row>
    <row r="4340" ht="24" customHeight="1">
      <c r="A4340" s="2">
        <f>+D4340-S4340</f>
        <v/>
      </c>
      <c r="B4340" s="126" t="n">
        <v>5927</v>
      </c>
      <c r="C4340" s="66" t="n">
        <v>46063</v>
      </c>
      <c r="D4340" s="2" t="n">
        <v>1</v>
      </c>
      <c r="E4340" s="3" t="inlineStr">
        <is>
          <t>CARABINA SEMIAUTOMATICA</t>
        </is>
      </c>
      <c r="F4340" s="3" t="inlineStr">
        <is>
          <t>.22LR</t>
        </is>
      </c>
      <c r="G4340" s="84" t="inlineStr">
        <is>
          <t>BROWNING</t>
        </is>
      </c>
      <c r="H4340" s="107" t="inlineStr">
        <is>
          <t>WILDCAT FIELD SA S THR 18''</t>
        </is>
      </c>
      <c r="I4340" s="107" t="inlineStr">
        <is>
          <t>TF614-25M04043</t>
        </is>
      </c>
      <c r="J4340" s="107" t="inlineStr">
        <is>
          <t>N/D</t>
        </is>
      </c>
      <c r="K4340" s="65" t="inlineStr">
        <is>
          <t>N/D</t>
        </is>
      </c>
      <c r="L4340" s="127" t="inlineStr">
        <is>
          <t>BROWNING INTERNATIONAL SA</t>
        </is>
      </c>
      <c r="M4340" s="5" t="n">
        <v>275.4</v>
      </c>
      <c r="N4340" s="5" t="n"/>
      <c r="O4340" s="5">
        <f>+M4340+N4340</f>
        <v/>
      </c>
      <c r="P4340" s="4" t="n">
        <v>46063</v>
      </c>
      <c r="Q4340" s="87" t="n">
        <v>45989</v>
      </c>
      <c r="R4340" s="5" t="n"/>
      <c r="S4340" s="2" t="n"/>
      <c r="T4340" s="3" t="n"/>
      <c r="U4340" s="87" t="n"/>
      <c r="V4340" s="3" t="n"/>
      <c r="W4340" s="108" t="n"/>
      <c r="X4340" s="4" t="n"/>
    </row>
    <row r="4341" ht="24" customHeight="1">
      <c r="A4341" s="2">
        <f>+D4341-S4341</f>
        <v/>
      </c>
      <c r="B4341" s="126" t="n">
        <v>5928</v>
      </c>
      <c r="C4341" s="66" t="n">
        <v>46063</v>
      </c>
      <c r="D4341" s="2" t="n">
        <v>1</v>
      </c>
      <c r="E4341" s="3" t="inlineStr">
        <is>
          <t>CARABINA SEMIAUTOMATICA</t>
        </is>
      </c>
      <c r="F4341" s="3" t="inlineStr">
        <is>
          <t>.22LR</t>
        </is>
      </c>
      <c r="G4341" s="84" t="inlineStr">
        <is>
          <t>BROWNING</t>
        </is>
      </c>
      <c r="H4341" s="107" t="inlineStr">
        <is>
          <t>WILDCAT FIELD SA S THR 18''</t>
        </is>
      </c>
      <c r="I4341" s="107" t="inlineStr">
        <is>
          <t>TF614-25M04044</t>
        </is>
      </c>
      <c r="J4341" s="107" t="inlineStr">
        <is>
          <t>N/D</t>
        </is>
      </c>
      <c r="K4341" s="65" t="inlineStr">
        <is>
          <t>N/D</t>
        </is>
      </c>
      <c r="L4341" s="127" t="inlineStr">
        <is>
          <t>BROWNING INTERNATIONAL SA</t>
        </is>
      </c>
      <c r="M4341" s="5" t="n">
        <v>275.4</v>
      </c>
      <c r="N4341" s="5" t="n"/>
      <c r="O4341" s="5">
        <f>+M4341+N4341</f>
        <v/>
      </c>
      <c r="P4341" s="4" t="n">
        <v>46063</v>
      </c>
      <c r="Q4341" s="87" t="n">
        <v>45989</v>
      </c>
      <c r="R4341" s="5" t="n"/>
      <c r="S4341" s="2" t="n"/>
      <c r="T4341" s="3" t="n"/>
      <c r="U4341" s="87" t="n"/>
      <c r="V4341" s="3" t="n"/>
      <c r="W4341" s="108" t="n"/>
      <c r="X4341" s="4" t="n"/>
    </row>
    <row r="4342" ht="24" customHeight="1">
      <c r="A4342" s="2">
        <f>+D4342-S4342</f>
        <v/>
      </c>
      <c r="B4342" s="126" t="n">
        <v>5929</v>
      </c>
      <c r="C4342" s="66" t="n">
        <v>46063</v>
      </c>
      <c r="D4342" s="2" t="n">
        <v>1</v>
      </c>
      <c r="E4342" s="3" t="inlineStr">
        <is>
          <t>CARABINA SEMIAUTOMATICA</t>
        </is>
      </c>
      <c r="F4342" s="3" t="inlineStr">
        <is>
          <t>.22LR</t>
        </is>
      </c>
      <c r="G4342" s="84" t="inlineStr">
        <is>
          <t>BROWNING</t>
        </is>
      </c>
      <c r="H4342" s="107" t="inlineStr">
        <is>
          <t>WILDCAT FIELD SA S THR 18''</t>
        </is>
      </c>
      <c r="I4342" s="107" t="inlineStr">
        <is>
          <t>TF614-25M04045</t>
        </is>
      </c>
      <c r="J4342" s="107" t="inlineStr">
        <is>
          <t>N/D</t>
        </is>
      </c>
      <c r="K4342" s="65" t="inlineStr">
        <is>
          <t>N/D</t>
        </is>
      </c>
      <c r="L4342" s="127" t="inlineStr">
        <is>
          <t>BROWNING INTERNATIONAL SA</t>
        </is>
      </c>
      <c r="M4342" s="5" t="n">
        <v>275.4</v>
      </c>
      <c r="N4342" s="5" t="n"/>
      <c r="O4342" s="5">
        <f>+M4342+N4342</f>
        <v/>
      </c>
      <c r="P4342" s="4" t="n">
        <v>46063</v>
      </c>
      <c r="Q4342" s="87" t="n">
        <v>45989</v>
      </c>
      <c r="R4342" s="5" t="n"/>
      <c r="S4342" s="2" t="n"/>
      <c r="T4342" s="3" t="n"/>
      <c r="U4342" s="87" t="n"/>
      <c r="V4342" s="3" t="n"/>
      <c r="W4342" s="108" t="n"/>
      <c r="X4342" s="4" t="n"/>
    </row>
    <row r="4343" ht="24" customHeight="1">
      <c r="A4343" s="2">
        <f>+D4343-S4343</f>
        <v/>
      </c>
      <c r="B4343" s="126" t="n">
        <v>5930</v>
      </c>
      <c r="C4343" s="66" t="n">
        <v>46063</v>
      </c>
      <c r="D4343" s="2" t="n">
        <v>1</v>
      </c>
      <c r="E4343" s="3" t="inlineStr">
        <is>
          <t>CARABINA SEMIAUTOMATICA</t>
        </is>
      </c>
      <c r="F4343" s="3" t="inlineStr">
        <is>
          <t>.22LR</t>
        </is>
      </c>
      <c r="G4343" s="84" t="inlineStr">
        <is>
          <t>BROWNING</t>
        </is>
      </c>
      <c r="H4343" s="107" t="inlineStr">
        <is>
          <t>WILDCAT FIELD SA S THR 18''</t>
        </is>
      </c>
      <c r="I4343" s="107" t="inlineStr">
        <is>
          <t>TF614-25M04046</t>
        </is>
      </c>
      <c r="J4343" s="107" t="inlineStr">
        <is>
          <t>N/D</t>
        </is>
      </c>
      <c r="K4343" s="65" t="inlineStr">
        <is>
          <t>N/D</t>
        </is>
      </c>
      <c r="L4343" s="127" t="inlineStr">
        <is>
          <t>BROWNING INTERNATIONAL SA</t>
        </is>
      </c>
      <c r="M4343" s="5" t="n">
        <v>275.4</v>
      </c>
      <c r="N4343" s="5" t="n"/>
      <c r="O4343" s="5">
        <f>+M4343+N4343</f>
        <v/>
      </c>
      <c r="P4343" s="4" t="n">
        <v>46063</v>
      </c>
      <c r="Q4343" s="87" t="n">
        <v>45989</v>
      </c>
      <c r="R4343" s="5" t="n"/>
      <c r="S4343" s="2" t="n"/>
      <c r="T4343" s="3" t="n"/>
      <c r="U4343" s="87" t="n"/>
      <c r="V4343" s="3" t="n"/>
      <c r="W4343" s="108" t="n"/>
      <c r="X4343" s="4" t="n"/>
    </row>
    <row r="4344" ht="24" customHeight="1">
      <c r="A4344" s="2">
        <f>+D4344-S4344</f>
        <v/>
      </c>
      <c r="B4344" s="126" t="n">
        <v>5931</v>
      </c>
      <c r="C4344" s="66" t="n">
        <v>46063</v>
      </c>
      <c r="D4344" s="2" t="n">
        <v>1</v>
      </c>
      <c r="E4344" s="3" t="inlineStr">
        <is>
          <t>CARABINA SEMIAUTOMATICA</t>
        </is>
      </c>
      <c r="F4344" s="3" t="inlineStr">
        <is>
          <t>.22LR</t>
        </is>
      </c>
      <c r="G4344" s="84" t="inlineStr">
        <is>
          <t>BROWNING</t>
        </is>
      </c>
      <c r="H4344" s="107" t="inlineStr">
        <is>
          <t>WILDCAT FIELD SA S THR 18''</t>
        </is>
      </c>
      <c r="I4344" s="107" t="inlineStr">
        <is>
          <t>TF614-25M04047</t>
        </is>
      </c>
      <c r="J4344" s="107" t="inlineStr">
        <is>
          <t>N/D</t>
        </is>
      </c>
      <c r="K4344" s="65" t="inlineStr">
        <is>
          <t>N/D</t>
        </is>
      </c>
      <c r="L4344" s="127" t="inlineStr">
        <is>
          <t>BROWNING INTERNATIONAL SA</t>
        </is>
      </c>
      <c r="M4344" s="5" t="n">
        <v>275.4</v>
      </c>
      <c r="N4344" s="5" t="n"/>
      <c r="O4344" s="5">
        <f>+M4344+N4344</f>
        <v/>
      </c>
      <c r="P4344" s="4" t="n">
        <v>46063</v>
      </c>
      <c r="Q4344" s="87" t="n">
        <v>45989</v>
      </c>
      <c r="R4344" s="5" t="n"/>
      <c r="S4344" s="2" t="n"/>
      <c r="T4344" s="3" t="n"/>
      <c r="U4344" s="87" t="n"/>
      <c r="V4344" s="3" t="n"/>
      <c r="W4344" s="108" t="n"/>
      <c r="X4344" s="4" t="n"/>
    </row>
    <row r="4345" ht="24" customHeight="1">
      <c r="A4345" s="2">
        <f>+D4345-S4345</f>
        <v/>
      </c>
      <c r="B4345" s="126" t="n">
        <v>5932</v>
      </c>
      <c r="C4345" s="66" t="n">
        <v>46063</v>
      </c>
      <c r="D4345" s="2" t="n">
        <v>1</v>
      </c>
      <c r="E4345" s="3" t="inlineStr">
        <is>
          <t>CARABINA SEMIAUTOMATICA</t>
        </is>
      </c>
      <c r="F4345" s="3" t="inlineStr">
        <is>
          <t>.22LR</t>
        </is>
      </c>
      <c r="G4345" s="84" t="inlineStr">
        <is>
          <t>BROWNING</t>
        </is>
      </c>
      <c r="H4345" s="107" t="inlineStr">
        <is>
          <t>WILDCAT FIELD SA S THR 18''</t>
        </is>
      </c>
      <c r="I4345" s="107" t="inlineStr">
        <is>
          <t>TF614-25M04048</t>
        </is>
      </c>
      <c r="J4345" s="107" t="inlineStr">
        <is>
          <t>N/D</t>
        </is>
      </c>
      <c r="K4345" s="65" t="inlineStr">
        <is>
          <t>N/D</t>
        </is>
      </c>
      <c r="L4345" s="127" t="inlineStr">
        <is>
          <t>BROWNING INTERNATIONAL SA</t>
        </is>
      </c>
      <c r="M4345" s="5" t="n">
        <v>275.4</v>
      </c>
      <c r="N4345" s="5" t="n"/>
      <c r="O4345" s="5">
        <f>+M4345+N4345</f>
        <v/>
      </c>
      <c r="P4345" s="4" t="n">
        <v>46063</v>
      </c>
      <c r="Q4345" s="87" t="n">
        <v>45989</v>
      </c>
      <c r="R4345" s="5" t="n"/>
      <c r="S4345" s="2" t="n"/>
      <c r="T4345" s="3" t="n"/>
      <c r="U4345" s="87" t="n"/>
      <c r="V4345" s="3" t="n"/>
      <c r="W4345" s="108" t="n"/>
      <c r="X4345" s="4" t="n"/>
    </row>
    <row r="4346" ht="24" customHeight="1">
      <c r="A4346" s="2">
        <f>+D4346-S4346</f>
        <v/>
      </c>
      <c r="B4346" s="126" t="n">
        <v>5933</v>
      </c>
      <c r="C4346" s="66" t="n">
        <v>46063</v>
      </c>
      <c r="D4346" s="2" t="n">
        <v>1</v>
      </c>
      <c r="E4346" s="3" t="inlineStr">
        <is>
          <t>CARABINA SEMIAUTOMATICA</t>
        </is>
      </c>
      <c r="F4346" s="3" t="inlineStr">
        <is>
          <t>.22LR</t>
        </is>
      </c>
      <c r="G4346" s="84" t="inlineStr">
        <is>
          <t>BROWNING</t>
        </is>
      </c>
      <c r="H4346" s="107" t="inlineStr">
        <is>
          <t>WILDCAT FIELD SA S THR 18''</t>
        </is>
      </c>
      <c r="I4346" s="107" t="inlineStr">
        <is>
          <t>TF614-25M04049</t>
        </is>
      </c>
      <c r="J4346" s="107" t="inlineStr">
        <is>
          <t>N/D</t>
        </is>
      </c>
      <c r="K4346" s="65" t="inlineStr">
        <is>
          <t>N/D</t>
        </is>
      </c>
      <c r="L4346" s="127" t="inlineStr">
        <is>
          <t>BROWNING INTERNATIONAL SA</t>
        </is>
      </c>
      <c r="M4346" s="5" t="n">
        <v>275.4</v>
      </c>
      <c r="N4346" s="5" t="n"/>
      <c r="O4346" s="5">
        <f>+M4346+N4346</f>
        <v/>
      </c>
      <c r="P4346" s="4" t="n">
        <v>46063</v>
      </c>
      <c r="Q4346" s="87" t="n">
        <v>45989</v>
      </c>
      <c r="R4346" s="5" t="n"/>
      <c r="S4346" s="2" t="n"/>
      <c r="T4346" s="3" t="n"/>
      <c r="U4346" s="87" t="n"/>
      <c r="V4346" s="3" t="n"/>
      <c r="W4346" s="108" t="n"/>
      <c r="X4346" s="4" t="n"/>
    </row>
    <row r="4347" ht="24" customHeight="1">
      <c r="A4347" s="2">
        <f>+D4347-S4347</f>
        <v/>
      </c>
      <c r="B4347" s="126" t="n">
        <v>5934</v>
      </c>
      <c r="C4347" s="66" t="n">
        <v>46063</v>
      </c>
      <c r="D4347" s="2" t="n">
        <v>1</v>
      </c>
      <c r="E4347" s="3" t="inlineStr">
        <is>
          <t>CARABINA SEMIAUTOMATICA</t>
        </is>
      </c>
      <c r="F4347" s="3" t="inlineStr">
        <is>
          <t>.22LR</t>
        </is>
      </c>
      <c r="G4347" s="84" t="inlineStr">
        <is>
          <t>BROWNING</t>
        </is>
      </c>
      <c r="H4347" s="107" t="inlineStr">
        <is>
          <t>WILDCAT FIELD SA S THR 18''</t>
        </is>
      </c>
      <c r="I4347" s="107" t="inlineStr">
        <is>
          <t>TF614-25M04051</t>
        </is>
      </c>
      <c r="J4347" s="107" t="inlineStr">
        <is>
          <t>N/D</t>
        </is>
      </c>
      <c r="K4347" s="65" t="inlineStr">
        <is>
          <t>N/D</t>
        </is>
      </c>
      <c r="L4347" s="127" t="inlineStr">
        <is>
          <t>BROWNING INTERNATIONAL SA</t>
        </is>
      </c>
      <c r="M4347" s="5" t="n">
        <v>275.4</v>
      </c>
      <c r="N4347" s="5" t="n"/>
      <c r="O4347" s="5">
        <f>+M4347+N4347</f>
        <v/>
      </c>
      <c r="P4347" s="4" t="n">
        <v>46063</v>
      </c>
      <c r="Q4347" s="87" t="n">
        <v>45989</v>
      </c>
      <c r="R4347" s="5" t="n"/>
      <c r="S4347" s="2" t="n"/>
      <c r="T4347" s="3" t="n"/>
      <c r="U4347" s="87" t="n"/>
      <c r="V4347" s="3" t="n"/>
      <c r="W4347" s="108" t="n"/>
      <c r="X4347" s="4" t="n"/>
    </row>
    <row r="4348" ht="24" customHeight="1">
      <c r="A4348" s="2">
        <f>+D4348-S4348</f>
        <v/>
      </c>
      <c r="B4348" s="126" t="n">
        <v>5935</v>
      </c>
      <c r="C4348" s="66" t="n">
        <v>46063</v>
      </c>
      <c r="D4348" s="2" t="n">
        <v>1</v>
      </c>
      <c r="E4348" s="3" t="inlineStr">
        <is>
          <t>CARABINA SEMIAUTOMATICA</t>
        </is>
      </c>
      <c r="F4348" s="3" t="inlineStr">
        <is>
          <t>.22LR</t>
        </is>
      </c>
      <c r="G4348" s="84" t="inlineStr">
        <is>
          <t>BROWNING</t>
        </is>
      </c>
      <c r="H4348" s="107" t="inlineStr">
        <is>
          <t>WILDCAT FIELD SA S THR 18''</t>
        </is>
      </c>
      <c r="I4348" s="107" t="inlineStr">
        <is>
          <t>TF614-25M04053</t>
        </is>
      </c>
      <c r="J4348" s="107" t="inlineStr">
        <is>
          <t>N/D</t>
        </is>
      </c>
      <c r="K4348" s="65" t="inlineStr">
        <is>
          <t>N/D</t>
        </is>
      </c>
      <c r="L4348" s="127" t="inlineStr">
        <is>
          <t>BROWNING INTERNATIONAL SA</t>
        </is>
      </c>
      <c r="M4348" s="5" t="n">
        <v>275.4</v>
      </c>
      <c r="N4348" s="5" t="n"/>
      <c r="O4348" s="5">
        <f>+M4348+N4348</f>
        <v/>
      </c>
      <c r="P4348" s="4" t="n">
        <v>46063</v>
      </c>
      <c r="Q4348" s="87" t="n">
        <v>45989</v>
      </c>
      <c r="R4348" s="5" t="n"/>
      <c r="S4348" s="2" t="n"/>
      <c r="T4348" s="3" t="n"/>
      <c r="U4348" s="87" t="n"/>
      <c r="V4348" s="3" t="n"/>
      <c r="W4348" s="108" t="n"/>
      <c r="X4348" s="4" t="n"/>
    </row>
    <row r="4349" ht="24" customHeight="1">
      <c r="A4349" s="2">
        <f>+D4349-S4349</f>
        <v/>
      </c>
      <c r="B4349" s="126" t="n">
        <v>5936</v>
      </c>
      <c r="C4349" s="66" t="n">
        <v>46063</v>
      </c>
      <c r="D4349" s="2" t="n">
        <v>1</v>
      </c>
      <c r="E4349" s="3" t="inlineStr">
        <is>
          <t>CARABINA SEMIAUTOMATICA</t>
        </is>
      </c>
      <c r="F4349" s="3" t="inlineStr">
        <is>
          <t>.22LR</t>
        </is>
      </c>
      <c r="G4349" s="84" t="inlineStr">
        <is>
          <t>BROWNING</t>
        </is>
      </c>
      <c r="H4349" s="107" t="inlineStr">
        <is>
          <t>WILDCAT FIELD SA S THR 18''</t>
        </is>
      </c>
      <c r="I4349" s="107" t="inlineStr">
        <is>
          <t>TF614-25M04060</t>
        </is>
      </c>
      <c r="J4349" s="107" t="inlineStr">
        <is>
          <t>N/D</t>
        </is>
      </c>
      <c r="K4349" s="65" t="inlineStr">
        <is>
          <t>N/D</t>
        </is>
      </c>
      <c r="L4349" s="127" t="inlineStr">
        <is>
          <t>BROWNING INTERNATIONAL SA</t>
        </is>
      </c>
      <c r="M4349" s="5" t="n">
        <v>275.4</v>
      </c>
      <c r="N4349" s="5" t="n"/>
      <c r="O4349" s="5">
        <f>+M4349+N4349</f>
        <v/>
      </c>
      <c r="P4349" s="4" t="n">
        <v>46063</v>
      </c>
      <c r="Q4349" s="87" t="n">
        <v>45989</v>
      </c>
      <c r="R4349" s="5" t="n"/>
      <c r="S4349" s="2" t="n"/>
      <c r="T4349" s="3" t="n"/>
      <c r="U4349" s="87" t="n"/>
      <c r="V4349" s="3" t="n"/>
      <c r="W4349" s="108" t="n"/>
      <c r="X4349" s="4" t="n"/>
    </row>
    <row r="4350" ht="24" customHeight="1">
      <c r="A4350" s="2">
        <f>+D4350-S4350</f>
        <v/>
      </c>
      <c r="B4350" s="126" t="n">
        <v>5937</v>
      </c>
      <c r="C4350" s="66" t="n">
        <v>46063</v>
      </c>
      <c r="D4350" s="2" t="n">
        <v>1</v>
      </c>
      <c r="E4350" s="3" t="inlineStr">
        <is>
          <t>CARABINA SEMIAUTOMATICA</t>
        </is>
      </c>
      <c r="F4350" s="3" t="inlineStr">
        <is>
          <t>.22LR</t>
        </is>
      </c>
      <c r="G4350" s="84" t="inlineStr">
        <is>
          <t>BROWNING</t>
        </is>
      </c>
      <c r="H4350" s="107" t="inlineStr">
        <is>
          <t>WILDCAT FIELD SA S THR 18''</t>
        </is>
      </c>
      <c r="I4350" s="107" t="inlineStr">
        <is>
          <t>TF614-25M04062</t>
        </is>
      </c>
      <c r="J4350" s="107" t="inlineStr">
        <is>
          <t>N/D</t>
        </is>
      </c>
      <c r="K4350" s="65" t="inlineStr">
        <is>
          <t>N/D</t>
        </is>
      </c>
      <c r="L4350" s="127" t="inlineStr">
        <is>
          <t>BROWNING INTERNATIONAL SA</t>
        </is>
      </c>
      <c r="M4350" s="5" t="n">
        <v>275.4</v>
      </c>
      <c r="N4350" s="5" t="n"/>
      <c r="O4350" s="5">
        <f>+M4350+N4350</f>
        <v/>
      </c>
      <c r="P4350" s="4" t="n">
        <v>46063</v>
      </c>
      <c r="Q4350" s="87" t="n">
        <v>45989</v>
      </c>
      <c r="R4350" s="5" t="n"/>
      <c r="S4350" s="2" t="n"/>
      <c r="T4350" s="3" t="n"/>
      <c r="U4350" s="87" t="n"/>
      <c r="V4350" s="3" t="n"/>
      <c r="W4350" s="108" t="n"/>
      <c r="X4350" s="4" t="n"/>
    </row>
    <row r="4351" ht="24" customHeight="1">
      <c r="A4351" s="2">
        <f>+D4351-S4351</f>
        <v/>
      </c>
      <c r="B4351" s="126" t="n">
        <v>5938</v>
      </c>
      <c r="C4351" s="66" t="n">
        <v>46063</v>
      </c>
      <c r="D4351" s="2" t="n">
        <v>1</v>
      </c>
      <c r="E4351" s="3" t="inlineStr">
        <is>
          <t>CARABINA SEMIAUTOMATICA</t>
        </is>
      </c>
      <c r="F4351" s="3" t="inlineStr">
        <is>
          <t>.22LR</t>
        </is>
      </c>
      <c r="G4351" s="84" t="inlineStr">
        <is>
          <t>BROWNING</t>
        </is>
      </c>
      <c r="H4351" s="107" t="inlineStr">
        <is>
          <t>WILDCAT FIELD SA S THR 18''</t>
        </is>
      </c>
      <c r="I4351" s="107" t="inlineStr">
        <is>
          <t>TF614-25M04063</t>
        </is>
      </c>
      <c r="J4351" s="107" t="inlineStr">
        <is>
          <t>N/D</t>
        </is>
      </c>
      <c r="K4351" s="65" t="inlineStr">
        <is>
          <t>N/D</t>
        </is>
      </c>
      <c r="L4351" s="127" t="inlineStr">
        <is>
          <t>BROWNING INTERNATIONAL SA</t>
        </is>
      </c>
      <c r="M4351" s="5" t="n">
        <v>275.4</v>
      </c>
      <c r="N4351" s="5" t="n"/>
      <c r="O4351" s="5">
        <f>+M4351+N4351</f>
        <v/>
      </c>
      <c r="P4351" s="4" t="n">
        <v>46063</v>
      </c>
      <c r="Q4351" s="87" t="n">
        <v>45989</v>
      </c>
      <c r="R4351" s="5" t="n"/>
      <c r="S4351" s="2" t="n"/>
      <c r="T4351" s="3" t="n"/>
      <c r="U4351" s="87" t="n"/>
      <c r="V4351" s="3" t="n"/>
      <c r="W4351" s="108" t="n"/>
      <c r="X4351" s="4" t="n"/>
    </row>
    <row r="4352" ht="24" customHeight="1">
      <c r="A4352" s="2">
        <f>+D4352-S4352</f>
        <v/>
      </c>
      <c r="B4352" s="126" t="n">
        <v>5939</v>
      </c>
      <c r="C4352" s="66" t="n">
        <v>46063</v>
      </c>
      <c r="D4352" s="2" t="n">
        <v>1</v>
      </c>
      <c r="E4352" s="3" t="inlineStr">
        <is>
          <t>PISTOLA SEMIAUTOMATICA</t>
        </is>
      </c>
      <c r="F4352" s="3" t="inlineStr">
        <is>
          <t>9 MM</t>
        </is>
      </c>
      <c r="G4352" s="84" t="inlineStr">
        <is>
          <t>H&amp;K</t>
        </is>
      </c>
      <c r="H4352" s="107" t="inlineStr">
        <is>
          <t>USP TACTICAL</t>
        </is>
      </c>
      <c r="I4352" s="107" t="inlineStr">
        <is>
          <t>24-194634</t>
        </is>
      </c>
      <c r="J4352" s="107" t="inlineStr">
        <is>
          <t>N/D</t>
        </is>
      </c>
      <c r="K4352" s="65" t="inlineStr">
        <is>
          <t>N/D</t>
        </is>
      </c>
      <c r="L4352" s="127" t="inlineStr">
        <is>
          <t>THE FOUR COMPANY SRL</t>
        </is>
      </c>
      <c r="M4352" s="5" t="n">
        <v>820</v>
      </c>
      <c r="N4352" s="5" t="n"/>
      <c r="O4352" s="5">
        <f>+M4352+N4352</f>
        <v/>
      </c>
      <c r="P4352" s="4" t="n">
        <v>46063</v>
      </c>
      <c r="Q4352" s="87" t="n">
        <v>46066</v>
      </c>
      <c r="R4352" s="5" t="n"/>
      <c r="S4352" s="2" t="n"/>
      <c r="T4352" s="3" t="n"/>
      <c r="U4352" s="87" t="n"/>
      <c r="V4352" s="3" t="n"/>
      <c r="W4352" s="108" t="n"/>
      <c r="X4352" s="4" t="n"/>
    </row>
    <row r="4353" ht="24" customHeight="1">
      <c r="A4353" s="2">
        <f>+D4353-S4353</f>
        <v/>
      </c>
      <c r="B4353" s="126" t="n">
        <v>5940</v>
      </c>
      <c r="C4353" s="66" t="n">
        <v>46063</v>
      </c>
      <c r="D4353" s="2" t="n">
        <v>1</v>
      </c>
      <c r="E4353" s="3" t="inlineStr">
        <is>
          <t>PISTOLA SEMIAUTOMATICA</t>
        </is>
      </c>
      <c r="F4353" s="3" t="inlineStr">
        <is>
          <t>9 MM</t>
        </is>
      </c>
      <c r="G4353" s="84" t="inlineStr">
        <is>
          <t>H&amp;K</t>
        </is>
      </c>
      <c r="H4353" s="107" t="inlineStr">
        <is>
          <t>USP TACTICAL</t>
        </is>
      </c>
      <c r="I4353" s="107" t="inlineStr">
        <is>
          <t>24-194635</t>
        </is>
      </c>
      <c r="J4353" s="107" t="inlineStr">
        <is>
          <t>N/D</t>
        </is>
      </c>
      <c r="K4353" s="65" t="inlineStr">
        <is>
          <t>N/D</t>
        </is>
      </c>
      <c r="L4353" s="127" t="inlineStr">
        <is>
          <t>THE FOUR COMPANY SRL</t>
        </is>
      </c>
      <c r="M4353" s="5" t="n">
        <v>820</v>
      </c>
      <c r="N4353" s="5" t="n"/>
      <c r="O4353" s="5">
        <f>+M4353+N4353</f>
        <v/>
      </c>
      <c r="P4353" s="4" t="n">
        <v>46063</v>
      </c>
      <c r="Q4353" s="87" t="n">
        <v>46066</v>
      </c>
      <c r="R4353" s="5" t="n"/>
      <c r="S4353" s="2" t="n"/>
      <c r="T4353" s="3" t="n"/>
      <c r="U4353" s="87" t="n"/>
      <c r="V4353" s="3" t="n"/>
      <c r="W4353" s="108" t="n"/>
      <c r="X4353" s="4" t="n"/>
    </row>
    <row r="4354" ht="24" customHeight="1">
      <c r="A4354" s="2">
        <f>+D4354-S4354</f>
        <v/>
      </c>
      <c r="B4354" s="126" t="n">
        <v>5941</v>
      </c>
      <c r="C4354" s="66" t="n">
        <v>46063</v>
      </c>
      <c r="D4354" s="2" t="n">
        <v>1</v>
      </c>
      <c r="E4354" s="3" t="inlineStr">
        <is>
          <t>PISTOLA SEMIAUTOMATICA</t>
        </is>
      </c>
      <c r="F4354" s="3" t="inlineStr">
        <is>
          <t>9 MM</t>
        </is>
      </c>
      <c r="G4354" s="84" t="inlineStr">
        <is>
          <t>H&amp;K</t>
        </is>
      </c>
      <c r="H4354" s="107" t="inlineStr">
        <is>
          <t>USP TACTICAL</t>
        </is>
      </c>
      <c r="I4354" s="107" t="inlineStr">
        <is>
          <t>24-194633</t>
        </is>
      </c>
      <c r="J4354" s="107" t="inlineStr">
        <is>
          <t>N/D</t>
        </is>
      </c>
      <c r="K4354" s="65" t="inlineStr">
        <is>
          <t>N/D</t>
        </is>
      </c>
      <c r="L4354" s="127" t="inlineStr">
        <is>
          <t>THE FOUR COMPANY SRL</t>
        </is>
      </c>
      <c r="M4354" s="5" t="n">
        <v>820</v>
      </c>
      <c r="N4354" s="5" t="n"/>
      <c r="O4354" s="5">
        <f>+M4354+N4354</f>
        <v/>
      </c>
      <c r="P4354" s="4" t="n">
        <v>46063</v>
      </c>
      <c r="Q4354" s="87" t="n">
        <v>46066</v>
      </c>
      <c r="R4354" s="5" t="n"/>
      <c r="S4354" s="2" t="n"/>
      <c r="T4354" s="3" t="n"/>
      <c r="U4354" s="87" t="n"/>
      <c r="V4354" s="3" t="n"/>
      <c r="W4354" s="108" t="n"/>
      <c r="X4354" s="4" t="n"/>
    </row>
    <row r="4355" ht="24" customHeight="1">
      <c r="A4355" s="2">
        <f>+D4355-S4355</f>
        <v/>
      </c>
      <c r="B4355" s="126" t="n">
        <v>5942</v>
      </c>
      <c r="C4355" s="66" t="n">
        <v>46063</v>
      </c>
      <c r="D4355" s="2" t="n">
        <v>1</v>
      </c>
      <c r="E4355" s="3" t="inlineStr">
        <is>
          <t>PISTOLA SEMIAUTOMATICA</t>
        </is>
      </c>
      <c r="F4355" s="3" t="inlineStr">
        <is>
          <t>9 MM</t>
        </is>
      </c>
      <c r="G4355" s="84" t="inlineStr">
        <is>
          <t>H&amp;K</t>
        </is>
      </c>
      <c r="H4355" s="107" t="inlineStr">
        <is>
          <t xml:space="preserve">SPF 9 PB OR MATCH </t>
        </is>
      </c>
      <c r="I4355" s="107" t="inlineStr">
        <is>
          <t>274-003678</t>
        </is>
      </c>
      <c r="J4355" s="107" t="inlineStr">
        <is>
          <t>N/D</t>
        </is>
      </c>
      <c r="K4355" s="65" t="inlineStr">
        <is>
          <t>N/D</t>
        </is>
      </c>
      <c r="L4355" s="127" t="inlineStr">
        <is>
          <t>THE FOUR COMPANY SRL</t>
        </is>
      </c>
      <c r="M4355" s="5" t="n">
        <v>851</v>
      </c>
      <c r="N4355" s="5" t="n"/>
      <c r="O4355" s="5">
        <f>+M4355+N4355</f>
        <v/>
      </c>
      <c r="P4355" s="4" t="n">
        <v>46063</v>
      </c>
      <c r="Q4355" s="87" t="n">
        <v>46066</v>
      </c>
      <c r="R4355" s="5" t="n"/>
      <c r="S4355" s="2" t="n"/>
      <c r="T4355" s="3" t="n"/>
      <c r="U4355" s="87" t="n"/>
      <c r="V4355" s="3" t="n"/>
      <c r="W4355" s="108" t="n"/>
      <c r="X4355" s="4" t="n"/>
    </row>
    <row r="4356" ht="24" customHeight="1">
      <c r="A4356" s="2">
        <f>+D4356-S4356</f>
        <v/>
      </c>
      <c r="B4356" s="126" t="n">
        <v>5943</v>
      </c>
      <c r="C4356" s="66" t="n">
        <v>46063</v>
      </c>
      <c r="D4356" s="2" t="n">
        <v>1</v>
      </c>
      <c r="E4356" s="3" t="inlineStr">
        <is>
          <t>PISTOLA SEMIAUTOMATICA</t>
        </is>
      </c>
      <c r="F4356" s="3" t="inlineStr">
        <is>
          <t>9 MM</t>
        </is>
      </c>
      <c r="G4356" s="84" t="inlineStr">
        <is>
          <t>H&amp;K</t>
        </is>
      </c>
      <c r="H4356" s="107" t="inlineStr">
        <is>
          <t xml:space="preserve">SPF 9 PB OR MATCH </t>
        </is>
      </c>
      <c r="I4356" s="107" t="inlineStr">
        <is>
          <t>274-003671</t>
        </is>
      </c>
      <c r="J4356" s="107" t="inlineStr">
        <is>
          <t>N/D</t>
        </is>
      </c>
      <c r="K4356" s="65" t="inlineStr">
        <is>
          <t>N/D</t>
        </is>
      </c>
      <c r="L4356" s="127" t="inlineStr">
        <is>
          <t>THE FOUR COMPANY SRL</t>
        </is>
      </c>
      <c r="M4356" s="5" t="n">
        <v>851</v>
      </c>
      <c r="N4356" s="5" t="n"/>
      <c r="O4356" s="5">
        <f>+M4356+N4356</f>
        <v/>
      </c>
      <c r="P4356" s="4" t="n">
        <v>46063</v>
      </c>
      <c r="Q4356" s="87" t="n">
        <v>46066</v>
      </c>
      <c r="R4356" s="5" t="n"/>
      <c r="S4356" s="2" t="n"/>
      <c r="T4356" s="3" t="n"/>
      <c r="U4356" s="87" t="n"/>
      <c r="V4356" s="3" t="n"/>
      <c r="W4356" s="108" t="n"/>
      <c r="X4356" s="4" t="n"/>
    </row>
    <row r="4357" ht="24" customHeight="1">
      <c r="A4357" s="2">
        <f>+D4357-S4357</f>
        <v/>
      </c>
      <c r="B4357" s="126" t="n">
        <v>5944</v>
      </c>
      <c r="C4357" s="66" t="n">
        <v>46063</v>
      </c>
      <c r="D4357" s="2" t="n">
        <v>1</v>
      </c>
      <c r="E4357" s="3" t="inlineStr">
        <is>
          <t>PISTOLA SEMIAUTOMATICA</t>
        </is>
      </c>
      <c r="F4357" s="3" t="inlineStr">
        <is>
          <t>9 MM</t>
        </is>
      </c>
      <c r="G4357" s="84" t="inlineStr">
        <is>
          <t>H&amp;K</t>
        </is>
      </c>
      <c r="H4357" s="107" t="inlineStr">
        <is>
          <t xml:space="preserve">SPF 9 PB OR MATCH </t>
        </is>
      </c>
      <c r="I4357" s="107" t="inlineStr">
        <is>
          <t>274-003679</t>
        </is>
      </c>
      <c r="J4357" s="107" t="inlineStr">
        <is>
          <t>N/D</t>
        </is>
      </c>
      <c r="K4357" s="65" t="inlineStr">
        <is>
          <t>N/D</t>
        </is>
      </c>
      <c r="L4357" s="127" t="inlineStr">
        <is>
          <t>THE FOUR COMPANY SRL</t>
        </is>
      </c>
      <c r="M4357" s="5" t="n">
        <v>851</v>
      </c>
      <c r="N4357" s="5" t="n"/>
      <c r="O4357" s="5">
        <f>+M4357+N4357</f>
        <v/>
      </c>
      <c r="P4357" s="4" t="n">
        <v>46063</v>
      </c>
      <c r="Q4357" s="87" t="n">
        <v>46066</v>
      </c>
      <c r="R4357" s="5" t="n"/>
      <c r="S4357" s="2" t="n"/>
      <c r="T4357" s="3" t="n"/>
      <c r="U4357" s="87" t="n"/>
      <c r="V4357" s="3" t="n"/>
      <c r="W4357" s="108" t="n"/>
      <c r="X4357" s="4" t="n"/>
    </row>
    <row r="4358" ht="24" customHeight="1">
      <c r="A4358" s="2">
        <f>+D4358-S4358</f>
        <v/>
      </c>
      <c r="B4358" s="126" t="n">
        <v>5945</v>
      </c>
      <c r="C4358" s="66" t="n">
        <v>46063</v>
      </c>
      <c r="D4358" s="2" t="n">
        <v>1</v>
      </c>
      <c r="E4358" s="3" t="inlineStr">
        <is>
          <t>PISTOLA SEMIAUTOMATICA</t>
        </is>
      </c>
      <c r="F4358" s="3" t="inlineStr">
        <is>
          <t>9 MM</t>
        </is>
      </c>
      <c r="G4358" s="84" t="inlineStr">
        <is>
          <t>H&amp;K</t>
        </is>
      </c>
      <c r="H4358" s="107" t="inlineStr">
        <is>
          <t xml:space="preserve">SPF 9 PB OR MATCH </t>
        </is>
      </c>
      <c r="I4358" s="107" t="inlineStr">
        <is>
          <t>274-003677</t>
        </is>
      </c>
      <c r="J4358" s="107" t="inlineStr">
        <is>
          <t>N/D</t>
        </is>
      </c>
      <c r="K4358" s="65" t="inlineStr">
        <is>
          <t>N/D</t>
        </is>
      </c>
      <c r="L4358" s="127" t="inlineStr">
        <is>
          <t>THE FOUR COMPANY SRL</t>
        </is>
      </c>
      <c r="M4358" s="5" t="n">
        <v>851</v>
      </c>
      <c r="N4358" s="5" t="n"/>
      <c r="O4358" s="5">
        <f>+M4358+N4358</f>
        <v/>
      </c>
      <c r="P4358" s="4" t="n">
        <v>46063</v>
      </c>
      <c r="Q4358" s="87" t="n">
        <v>46066</v>
      </c>
      <c r="R4358" s="5" t="n"/>
      <c r="S4358" s="2" t="n"/>
      <c r="T4358" s="3" t="n"/>
      <c r="U4358" s="87" t="n"/>
      <c r="V4358" s="3" t="n"/>
      <c r="W4358" s="108" t="n"/>
      <c r="X4358" s="4" t="n"/>
    </row>
    <row r="4359" ht="24" customHeight="1">
      <c r="A4359" s="2">
        <f>+D4359-S4359</f>
        <v/>
      </c>
      <c r="B4359" s="126" t="n">
        <v>5946</v>
      </c>
      <c r="C4359" s="66" t="n">
        <v>46063</v>
      </c>
      <c r="D4359" s="2" t="n">
        <v>1</v>
      </c>
      <c r="E4359" s="3" t="inlineStr">
        <is>
          <t>PISTOLA SEMIAUTOMATICA</t>
        </is>
      </c>
      <c r="F4359" s="3" t="inlineStr">
        <is>
          <t>9 MM</t>
        </is>
      </c>
      <c r="G4359" s="84" t="inlineStr">
        <is>
          <t>H&amp;K</t>
        </is>
      </c>
      <c r="H4359" s="107" t="inlineStr">
        <is>
          <t xml:space="preserve">SPF 9 PB OR MATCH </t>
        </is>
      </c>
      <c r="I4359" s="107" t="inlineStr">
        <is>
          <t>274-003680</t>
        </is>
      </c>
      <c r="J4359" s="107" t="inlineStr">
        <is>
          <t>N/D</t>
        </is>
      </c>
      <c r="K4359" s="65" t="inlineStr">
        <is>
          <t>N/D</t>
        </is>
      </c>
      <c r="L4359" s="127" t="inlineStr">
        <is>
          <t>THE FOUR COMPANY SRL</t>
        </is>
      </c>
      <c r="M4359" s="5" t="n">
        <v>851</v>
      </c>
      <c r="N4359" s="5" t="n"/>
      <c r="O4359" s="5">
        <f>+M4359+N4359</f>
        <v/>
      </c>
      <c r="P4359" s="4" t="n">
        <v>46063</v>
      </c>
      <c r="Q4359" s="87" t="n">
        <v>46066</v>
      </c>
      <c r="R4359" s="5" t="n"/>
      <c r="S4359" s="2" t="n"/>
      <c r="T4359" s="3" t="n"/>
      <c r="U4359" s="87" t="n"/>
      <c r="V4359" s="3" t="n"/>
      <c r="W4359" s="108" t="n"/>
      <c r="X4359" s="4" t="n"/>
    </row>
    <row r="4360" ht="24" customHeight="1">
      <c r="A4360" s="2">
        <f>+D4360-S4360</f>
        <v/>
      </c>
      <c r="B4360" s="126" t="n">
        <v>5947</v>
      </c>
      <c r="C4360" s="66" t="n">
        <v>46063</v>
      </c>
      <c r="D4360" s="2" t="n">
        <v>1</v>
      </c>
      <c r="E4360" s="3" t="inlineStr">
        <is>
          <t>PISTOLA SEMIAUTOMATICA</t>
        </is>
      </c>
      <c r="F4360" s="3" t="inlineStr">
        <is>
          <t>9 MM</t>
        </is>
      </c>
      <c r="G4360" s="84" t="inlineStr">
        <is>
          <t>H&amp;K</t>
        </is>
      </c>
      <c r="H4360" s="107" t="inlineStr">
        <is>
          <t xml:space="preserve">SPF 9 PB OR MATCH </t>
        </is>
      </c>
      <c r="I4360" s="107" t="inlineStr">
        <is>
          <t>274-003680</t>
        </is>
      </c>
      <c r="J4360" s="107" t="inlineStr">
        <is>
          <t>N/D</t>
        </is>
      </c>
      <c r="K4360" s="65" t="inlineStr">
        <is>
          <t>N/D</t>
        </is>
      </c>
      <c r="L4360" s="127" t="inlineStr">
        <is>
          <t>THE FOUR COMPANY SRL</t>
        </is>
      </c>
      <c r="M4360" s="5" t="n">
        <v>851</v>
      </c>
      <c r="N4360" s="5" t="n"/>
      <c r="O4360" s="5">
        <f>+M4360+N4360</f>
        <v/>
      </c>
      <c r="P4360" s="4" t="n">
        <v>46063</v>
      </c>
      <c r="Q4360" s="87" t="n">
        <v>46066</v>
      </c>
      <c r="R4360" s="5" t="n"/>
      <c r="S4360" s="2" t="n"/>
      <c r="T4360" s="3" t="n"/>
      <c r="U4360" s="87" t="n"/>
      <c r="V4360" s="3" t="n"/>
      <c r="W4360" s="108" t="n"/>
      <c r="X4360" s="4" t="n"/>
    </row>
    <row r="4361" ht="24" customHeight="1">
      <c r="A4361" s="2">
        <f>+D4361-S4361</f>
        <v/>
      </c>
      <c r="B4361" s="126" t="n">
        <v>5948</v>
      </c>
      <c r="C4361" s="66" t="n">
        <v>46112</v>
      </c>
      <c r="D4361" s="2" t="n">
        <v>1</v>
      </c>
      <c r="E4361" s="3" t="inlineStr">
        <is>
          <t>PISTOLA SEMIAUTOMATICA</t>
        </is>
      </c>
      <c r="F4361" s="3" t="inlineStr">
        <is>
          <t>9X19</t>
        </is>
      </c>
      <c r="G4361" s="84" t="inlineStr">
        <is>
          <t>BERETTA</t>
        </is>
      </c>
      <c r="H4361" s="107" t="inlineStr">
        <is>
          <t>92X Performance</t>
        </is>
      </c>
      <c r="I4361" s="107" t="inlineStr">
        <is>
          <t>BST61467</t>
        </is>
      </c>
      <c r="J4361" s="107" t="inlineStr">
        <is>
          <t>N/D</t>
        </is>
      </c>
      <c r="K4361" s="65" t="inlineStr">
        <is>
          <t>N/D</t>
        </is>
      </c>
      <c r="L4361" s="127" t="inlineStr">
        <is>
          <t>BRIGNOLI ARMS SRL</t>
        </is>
      </c>
      <c r="M4361" s="5" t="n">
        <v>894</v>
      </c>
      <c r="N4361" s="5" t="n"/>
      <c r="O4361" s="5">
        <f>+M4361+N4361</f>
        <v/>
      </c>
      <c r="P4361" s="4" t="n">
        <v>46112</v>
      </c>
      <c r="Q4361" s="87" t="n">
        <v>46112</v>
      </c>
      <c r="R4361" s="5" t="n"/>
      <c r="S4361" s="2" t="n"/>
      <c r="T4361" s="3" t="n"/>
      <c r="U4361" s="87" t="n"/>
      <c r="V4361" s="3" t="n"/>
      <c r="W4361" s="108" t="n"/>
      <c r="X4361" s="4" t="n"/>
    </row>
    <row r="4362" ht="24" customHeight="1">
      <c r="A4362" s="2">
        <f>+D4362-S4362</f>
        <v/>
      </c>
      <c r="B4362" s="126" t="n">
        <v>5949</v>
      </c>
      <c r="C4362" s="66" t="n">
        <v>46112</v>
      </c>
      <c r="D4362" s="2" t="n">
        <v>1</v>
      </c>
      <c r="E4362" s="3" t="inlineStr">
        <is>
          <t>PISTOLA SEMIAUTOMATICA</t>
        </is>
      </c>
      <c r="F4362" s="3" t="inlineStr">
        <is>
          <t>9X19</t>
        </is>
      </c>
      <c r="G4362" s="84" t="inlineStr">
        <is>
          <t>BERETTA</t>
        </is>
      </c>
      <c r="H4362" s="107" t="inlineStr">
        <is>
          <t>92X Performance</t>
        </is>
      </c>
      <c r="I4362" s="107" t="inlineStr">
        <is>
          <t>BST61541</t>
        </is>
      </c>
      <c r="J4362" s="107" t="inlineStr">
        <is>
          <t>N/D</t>
        </is>
      </c>
      <c r="K4362" s="65" t="inlineStr">
        <is>
          <t>N/D</t>
        </is>
      </c>
      <c r="L4362" s="127" t="inlineStr">
        <is>
          <t>BRIGNOLI ARMS SRL</t>
        </is>
      </c>
      <c r="M4362" s="5" t="n">
        <v>894</v>
      </c>
      <c r="N4362" s="5" t="n"/>
      <c r="O4362" s="5">
        <f>+M4362+N4362</f>
        <v/>
      </c>
      <c r="P4362" s="4" t="n">
        <v>46112</v>
      </c>
      <c r="Q4362" s="87" t="n">
        <v>46112</v>
      </c>
      <c r="R4362" s="5" t="n"/>
      <c r="S4362" s="2" t="n"/>
      <c r="T4362" s="3" t="n"/>
      <c r="U4362" s="87" t="n"/>
      <c r="V4362" s="3" t="n"/>
      <c r="W4362" s="108" t="n"/>
      <c r="X4362" s="4" t="n"/>
    </row>
    <row r="4363" ht="24" customHeight="1">
      <c r="A4363" s="2">
        <f>+D4363-S4363</f>
        <v/>
      </c>
      <c r="B4363" s="126" t="n">
        <v>5950</v>
      </c>
      <c r="C4363" s="66" t="n">
        <v>46112</v>
      </c>
      <c r="D4363" s="2" t="n">
        <v>1</v>
      </c>
      <c r="E4363" s="3" t="inlineStr">
        <is>
          <t>PISTOLA SEMIAUTOMATICA</t>
        </is>
      </c>
      <c r="F4363" s="3" t="inlineStr">
        <is>
          <t>9X19</t>
        </is>
      </c>
      <c r="G4363" s="84" t="inlineStr">
        <is>
          <t>BERETTA</t>
        </is>
      </c>
      <c r="H4363" s="107" t="inlineStr">
        <is>
          <t>92X Performance</t>
        </is>
      </c>
      <c r="I4363" s="107" t="inlineStr">
        <is>
          <t>BST61544</t>
        </is>
      </c>
      <c r="J4363" s="107" t="inlineStr">
        <is>
          <t>N/D</t>
        </is>
      </c>
      <c r="K4363" s="65" t="inlineStr">
        <is>
          <t>N/D</t>
        </is>
      </c>
      <c r="L4363" s="127" t="inlineStr">
        <is>
          <t>BRIGNOLI ARMS SRL</t>
        </is>
      </c>
      <c r="M4363" s="5" t="n">
        <v>894</v>
      </c>
      <c r="N4363" s="5" t="n"/>
      <c r="O4363" s="5">
        <f>+M4363+N4363</f>
        <v/>
      </c>
      <c r="P4363" s="4" t="n">
        <v>46112</v>
      </c>
      <c r="Q4363" s="87" t="n">
        <v>46112</v>
      </c>
      <c r="R4363" s="5" t="n"/>
      <c r="S4363" s="2" t="n"/>
      <c r="T4363" s="3" t="n"/>
      <c r="U4363" s="87" t="n"/>
      <c r="V4363" s="3" t="n"/>
      <c r="W4363" s="108" t="n"/>
      <c r="X4363" s="4" t="n"/>
    </row>
    <row r="4364" ht="24" customHeight="1">
      <c r="A4364" s="2">
        <f>+D4364-S4364</f>
        <v/>
      </c>
      <c r="B4364" s="126" t="n">
        <v>5951</v>
      </c>
      <c r="C4364" s="66" t="n">
        <v>46112</v>
      </c>
      <c r="D4364" s="2" t="n">
        <v>1</v>
      </c>
      <c r="E4364" s="3" t="inlineStr">
        <is>
          <t>PISTOLA SEMIAUTOMATICA</t>
        </is>
      </c>
      <c r="F4364" s="3" t="inlineStr">
        <is>
          <t>9X19</t>
        </is>
      </c>
      <c r="G4364" s="84" t="inlineStr">
        <is>
          <t>BERETTA</t>
        </is>
      </c>
      <c r="H4364" s="107" t="inlineStr">
        <is>
          <t>92X Performance</t>
        </is>
      </c>
      <c r="I4364" s="107" t="inlineStr">
        <is>
          <t>BST58344</t>
        </is>
      </c>
      <c r="J4364" s="107" t="inlineStr">
        <is>
          <t>N/D</t>
        </is>
      </c>
      <c r="K4364" s="65" t="inlineStr">
        <is>
          <t>N/D</t>
        </is>
      </c>
      <c r="L4364" s="127" t="inlineStr">
        <is>
          <t>BRIGNOLI ARMS SRL</t>
        </is>
      </c>
      <c r="M4364" s="5" t="n">
        <v>894</v>
      </c>
      <c r="N4364" s="5" t="n"/>
      <c r="O4364" s="5">
        <f>+M4364+N4364</f>
        <v/>
      </c>
      <c r="P4364" s="4" t="n">
        <v>46112</v>
      </c>
      <c r="Q4364" s="87" t="n">
        <v>46112</v>
      </c>
      <c r="R4364" s="5" t="n"/>
      <c r="S4364" s="2" t="n"/>
      <c r="T4364" s="3" t="n"/>
      <c r="U4364" s="87" t="n"/>
      <c r="V4364" s="3" t="n"/>
      <c r="W4364" s="108" t="n"/>
      <c r="X4364" s="4" t="n"/>
    </row>
    <row r="4365" ht="24" customHeight="1">
      <c r="A4365" s="2">
        <f>+D4365-S4365</f>
        <v/>
      </c>
      <c r="B4365" s="126" t="n">
        <v>5952</v>
      </c>
      <c r="C4365" s="66" t="n">
        <v>46112</v>
      </c>
      <c r="D4365" s="2" t="n">
        <v>1</v>
      </c>
      <c r="E4365" s="3" t="inlineStr">
        <is>
          <t>PISTOLA SEMIAUTOMATICA</t>
        </is>
      </c>
      <c r="F4365" s="3" t="inlineStr">
        <is>
          <t>9X19</t>
        </is>
      </c>
      <c r="G4365" s="84" t="inlineStr">
        <is>
          <t>BERETTA</t>
        </is>
      </c>
      <c r="H4365" s="107" t="inlineStr">
        <is>
          <t>92X Performance</t>
        </is>
      </c>
      <c r="I4365" s="107" t="inlineStr">
        <is>
          <t>BST58346</t>
        </is>
      </c>
      <c r="J4365" s="107" t="inlineStr">
        <is>
          <t>N/D</t>
        </is>
      </c>
      <c r="K4365" s="65" t="inlineStr">
        <is>
          <t>N/D</t>
        </is>
      </c>
      <c r="L4365" s="127" t="inlineStr">
        <is>
          <t>BRIGNOLI ARMS SRL</t>
        </is>
      </c>
      <c r="M4365" s="5" t="n">
        <v>894</v>
      </c>
      <c r="N4365" s="5" t="n"/>
      <c r="O4365" s="5">
        <f>+M4365+N4365</f>
        <v/>
      </c>
      <c r="P4365" s="4" t="n">
        <v>46112</v>
      </c>
      <c r="Q4365" s="87" t="n">
        <v>46112</v>
      </c>
      <c r="R4365" s="5" t="n"/>
      <c r="S4365" s="2" t="n"/>
      <c r="T4365" s="3" t="n"/>
      <c r="U4365" s="87" t="n"/>
      <c r="V4365" s="3" t="n"/>
      <c r="W4365" s="108" t="n"/>
      <c r="X4365" s="4" t="n"/>
    </row>
    <row r="4366" ht="24" customHeight="1">
      <c r="A4366" s="2">
        <f>+D4366-S4366</f>
        <v/>
      </c>
      <c r="B4366" s="126" t="n">
        <v>5953</v>
      </c>
      <c r="C4366" s="66" t="n">
        <v>46112</v>
      </c>
      <c r="D4366" s="2" t="n">
        <v>1</v>
      </c>
      <c r="E4366" s="3" t="inlineStr">
        <is>
          <t>CARABINA</t>
        </is>
      </c>
      <c r="F4366" s="3" t="inlineStr">
        <is>
          <t>.22LR</t>
        </is>
      </c>
      <c r="G4366" s="84" t="inlineStr">
        <is>
          <t>TIKKA</t>
        </is>
      </c>
      <c r="H4366" s="107" t="inlineStr">
        <is>
          <t>T1X Hunter</t>
        </is>
      </c>
      <c r="I4366" s="65" t="inlineStr">
        <is>
          <t>FH1811-PT1058877-LFH1811-SLFH1811</t>
        </is>
      </c>
      <c r="J4366" s="107" t="inlineStr">
        <is>
          <t>N/D</t>
        </is>
      </c>
      <c r="K4366" s="65" t="inlineStr">
        <is>
          <t>N/D</t>
        </is>
      </c>
      <c r="L4366" s="127" t="inlineStr">
        <is>
          <t>BRIGNOLI ARMS SRL</t>
        </is>
      </c>
      <c r="M4366" s="5" t="n">
        <v>523</v>
      </c>
      <c r="N4366" s="5" t="n"/>
      <c r="O4366" s="5">
        <f>+M4366+N4366</f>
        <v/>
      </c>
      <c r="P4366" s="4" t="n">
        <v>46112</v>
      </c>
      <c r="Q4366" s="87" t="n">
        <v>46112</v>
      </c>
      <c r="R4366" s="5" t="n"/>
      <c r="S4366" s="2" t="n"/>
      <c r="T4366" s="3" t="n"/>
      <c r="U4366" s="87" t="n"/>
      <c r="V4366" s="3" t="n"/>
      <c r="W4366" s="108" t="n"/>
      <c r="X4366" s="4" t="n"/>
    </row>
    <row r="4367" ht="24" customHeight="1">
      <c r="A4367" s="2">
        <f>+D4367-S4367</f>
        <v/>
      </c>
      <c r="B4367" s="126" t="n">
        <v>5954</v>
      </c>
      <c r="C4367" s="66" t="n">
        <v>46112</v>
      </c>
      <c r="D4367" s="2" t="n">
        <v>1</v>
      </c>
      <c r="E4367" s="3" t="inlineStr">
        <is>
          <t>CARABINA</t>
        </is>
      </c>
      <c r="F4367" s="3" t="inlineStr">
        <is>
          <t>.22LR</t>
        </is>
      </c>
      <c r="G4367" s="84" t="inlineStr">
        <is>
          <t>TIKKA</t>
        </is>
      </c>
      <c r="H4367" s="107" t="inlineStr">
        <is>
          <t>T1X Hunter</t>
        </is>
      </c>
      <c r="I4367" s="65" t="inlineStr">
        <is>
          <t>FH1947-PT1058940-LFH1947-SLFH1947</t>
        </is>
      </c>
      <c r="J4367" s="107" t="inlineStr">
        <is>
          <t>N/D</t>
        </is>
      </c>
      <c r="K4367" s="65" t="inlineStr">
        <is>
          <t>N/D</t>
        </is>
      </c>
      <c r="L4367" s="127" t="inlineStr">
        <is>
          <t>BRIGNOLI ARMS SRL</t>
        </is>
      </c>
      <c r="M4367" s="5" t="n">
        <v>523</v>
      </c>
      <c r="N4367" s="5" t="n"/>
      <c r="O4367" s="5">
        <f>+M4367+N4367</f>
        <v/>
      </c>
      <c r="P4367" s="4" t="n">
        <v>46112</v>
      </c>
      <c r="Q4367" s="87" t="n">
        <v>46112</v>
      </c>
      <c r="R4367" s="5" t="n"/>
      <c r="S4367" s="2" t="n"/>
      <c r="T4367" s="3" t="n"/>
      <c r="U4367" s="87" t="n"/>
      <c r="V4367" s="3" t="n"/>
      <c r="W4367" s="108" t="n"/>
      <c r="X4367" s="4" t="n"/>
    </row>
    <row r="4368" ht="24" customHeight="1">
      <c r="A4368" s="2">
        <f>+D4368-S4368</f>
        <v/>
      </c>
      <c r="B4368" s="126" t="n">
        <v>5955</v>
      </c>
      <c r="C4368" s="66" t="n">
        <v>46112</v>
      </c>
      <c r="D4368" s="2" t="n">
        <v>1</v>
      </c>
      <c r="E4368" s="3" t="inlineStr">
        <is>
          <t>CARABINA SEMIAUTOMATICA</t>
        </is>
      </c>
      <c r="F4368" s="3" t="inlineStr">
        <is>
          <t>308 WIN</t>
        </is>
      </c>
      <c r="G4368" s="84" t="inlineStr">
        <is>
          <t>H&amp;K</t>
        </is>
      </c>
      <c r="H4368" s="107" t="inlineStr">
        <is>
          <t>G28</t>
        </is>
      </c>
      <c r="I4368" s="107" t="inlineStr">
        <is>
          <t>244-001646</t>
        </is>
      </c>
      <c r="J4368" s="107" t="inlineStr">
        <is>
          <t>N/D</t>
        </is>
      </c>
      <c r="K4368" s="65" t="inlineStr">
        <is>
          <t>N/D</t>
        </is>
      </c>
      <c r="L4368" s="127" t="inlineStr">
        <is>
          <t>BRIGNOLI ARMS SRL</t>
        </is>
      </c>
      <c r="M4368" s="5" t="n">
        <v>4700</v>
      </c>
      <c r="N4368" s="5" t="n"/>
      <c r="O4368" s="5">
        <f>+M4368+N4368</f>
        <v/>
      </c>
      <c r="P4368" s="4" t="n">
        <v>46112</v>
      </c>
      <c r="Q4368" s="87" t="n">
        <v>46112</v>
      </c>
      <c r="R4368" s="5" t="n"/>
      <c r="S4368" s="2" t="n"/>
      <c r="T4368" s="3" t="n"/>
      <c r="U4368" s="87" t="n"/>
      <c r="V4368" s="3" t="n"/>
      <c r="W4368" s="108" t="n"/>
      <c r="X4368" s="4" t="n"/>
    </row>
    <row r="4369" ht="24" customHeight="1">
      <c r="A4369" s="2">
        <f>+D4369-S4369</f>
        <v/>
      </c>
      <c r="B4369" s="126" t="n">
        <v>5956</v>
      </c>
      <c r="C4369" s="66" t="n">
        <v>46112</v>
      </c>
      <c r="D4369" s="2" t="n">
        <v>1</v>
      </c>
      <c r="E4369" s="3" t="inlineStr">
        <is>
          <t>FUCILE SOVRAPPOSTO</t>
        </is>
      </c>
      <c r="F4369" s="3" t="inlineStr">
        <is>
          <t>20</t>
        </is>
      </c>
      <c r="G4369" s="84" t="inlineStr">
        <is>
          <t>BERETTA</t>
        </is>
      </c>
      <c r="H4369" s="107" t="inlineStr">
        <is>
          <t xml:space="preserve">Ultraleggero </t>
        </is>
      </c>
      <c r="I4369" s="107" t="inlineStr">
        <is>
          <t xml:space="preserve"> L04613X</t>
        </is>
      </c>
      <c r="J4369" s="107" t="inlineStr">
        <is>
          <t>N/D</t>
        </is>
      </c>
      <c r="K4369" s="65" t="inlineStr">
        <is>
          <t>N/D</t>
        </is>
      </c>
      <c r="L4369" s="127" t="inlineStr">
        <is>
          <t>BRIGNOLI ARMS SRL</t>
        </is>
      </c>
      <c r="M4369" s="5" t="n">
        <v>1600</v>
      </c>
      <c r="N4369" s="5" t="n"/>
      <c r="O4369" s="5">
        <f>+M4369+N4369</f>
        <v/>
      </c>
      <c r="P4369" s="4" t="n">
        <v>46112</v>
      </c>
      <c r="Q4369" s="87" t="n">
        <v>46112</v>
      </c>
      <c r="R4369" s="5" t="n"/>
      <c r="S4369" s="2" t="n"/>
      <c r="T4369" s="3" t="n"/>
      <c r="U4369" s="87" t="n"/>
      <c r="V4369" s="3" t="n"/>
      <c r="W4369" s="108" t="n"/>
      <c r="X4369" s="4" t="n"/>
    </row>
    <row r="4370" ht="24" customHeight="1">
      <c r="A4370" s="2">
        <f>+D4370-S4370</f>
        <v/>
      </c>
      <c r="B4370" s="126" t="n">
        <v>5957</v>
      </c>
      <c r="C4370" s="66" t="n">
        <v>46112</v>
      </c>
      <c r="D4370" s="2" t="n">
        <v>1</v>
      </c>
      <c r="E4370" s="3" t="inlineStr">
        <is>
          <t>FUCILE SOVRAPPOSTO</t>
        </is>
      </c>
      <c r="F4370" s="3" t="inlineStr">
        <is>
          <t>20</t>
        </is>
      </c>
      <c r="G4370" s="84" t="inlineStr">
        <is>
          <t>BERETTA</t>
        </is>
      </c>
      <c r="H4370" s="107" t="inlineStr">
        <is>
          <t xml:space="preserve">Ultraleggero </t>
        </is>
      </c>
      <c r="I4370" s="107" t="inlineStr">
        <is>
          <t>L04637X</t>
        </is>
      </c>
      <c r="J4370" s="107" t="inlineStr">
        <is>
          <t>N/D</t>
        </is>
      </c>
      <c r="K4370" s="65" t="inlineStr">
        <is>
          <t>N/D</t>
        </is>
      </c>
      <c r="L4370" s="127" t="inlineStr">
        <is>
          <t>BRIGNOLI ARMS SRL</t>
        </is>
      </c>
      <c r="M4370" s="5" t="n">
        <v>1600</v>
      </c>
      <c r="N4370" s="5" t="n"/>
      <c r="O4370" s="5">
        <f>+M4370+N4370</f>
        <v/>
      </c>
      <c r="P4370" s="4" t="n">
        <v>46112</v>
      </c>
      <c r="Q4370" s="87" t="n">
        <v>46112</v>
      </c>
      <c r="R4370" s="5" t="n"/>
      <c r="S4370" s="2" t="n"/>
      <c r="T4370" s="3" t="n"/>
      <c r="U4370" s="87" t="n"/>
      <c r="V4370" s="3" t="n"/>
      <c r="W4370" s="108" t="n"/>
      <c r="X4370" s="4" t="n"/>
    </row>
    <row r="4371" ht="24" customHeight="1">
      <c r="A4371" s="2">
        <f>+D4371-S4371</f>
        <v/>
      </c>
      <c r="B4371" s="126" t="n">
        <v>5958</v>
      </c>
      <c r="C4371" s="66" t="n">
        <v>46112</v>
      </c>
      <c r="D4371" s="2" t="n">
        <v>1</v>
      </c>
      <c r="E4371" s="3" t="inlineStr">
        <is>
          <t>FUCILE SOVRAPPOSTO</t>
        </is>
      </c>
      <c r="F4371" s="3" t="inlineStr">
        <is>
          <t>12</t>
        </is>
      </c>
      <c r="G4371" s="84" t="inlineStr">
        <is>
          <t>BERETTA</t>
        </is>
      </c>
      <c r="H4371" s="107" t="inlineStr">
        <is>
          <t xml:space="preserve">Ultraleggero </t>
        </is>
      </c>
      <c r="I4371" s="107" t="inlineStr">
        <is>
          <t>L12967X</t>
        </is>
      </c>
      <c r="J4371" s="107" t="inlineStr">
        <is>
          <t>N/D</t>
        </is>
      </c>
      <c r="K4371" s="65" t="inlineStr">
        <is>
          <t>N/D</t>
        </is>
      </c>
      <c r="L4371" s="127" t="inlineStr">
        <is>
          <t>BRIGNOLI ARMS SRL</t>
        </is>
      </c>
      <c r="M4371" s="5" t="n">
        <v>1544</v>
      </c>
      <c r="N4371" s="5" t="n"/>
      <c r="O4371" s="5">
        <f>+M4371+N4371</f>
        <v/>
      </c>
      <c r="P4371" s="4" t="n">
        <v>46112</v>
      </c>
      <c r="Q4371" s="87" t="n">
        <v>46112</v>
      </c>
      <c r="R4371" s="5" t="n"/>
      <c r="S4371" s="2" t="n"/>
      <c r="T4371" s="3" t="n"/>
      <c r="U4371" s="87" t="n"/>
      <c r="V4371" s="3" t="n"/>
      <c r="W4371" s="108" t="n"/>
      <c r="X4371" s="4" t="n"/>
    </row>
    <row r="4372" ht="24" customHeight="1">
      <c r="A4372" s="2">
        <f>+D4372-S4372</f>
        <v/>
      </c>
      <c r="B4372" s="126" t="n">
        <v>5959</v>
      </c>
      <c r="C4372" s="66" t="n">
        <v>46112</v>
      </c>
      <c r="D4372" s="2" t="n">
        <v>1</v>
      </c>
      <c r="E4372" s="3" t="inlineStr">
        <is>
          <t>FUCILE SOVRAPPOSTO</t>
        </is>
      </c>
      <c r="F4372" s="3" t="inlineStr">
        <is>
          <t>12</t>
        </is>
      </c>
      <c r="G4372" s="84" t="inlineStr">
        <is>
          <t>BERETTA</t>
        </is>
      </c>
      <c r="H4372" s="107" t="inlineStr">
        <is>
          <t xml:space="preserve">Ultraleggero </t>
        </is>
      </c>
      <c r="I4372" s="107" t="inlineStr">
        <is>
          <t>L12982X</t>
        </is>
      </c>
      <c r="J4372" s="107" t="inlineStr">
        <is>
          <t>N/D</t>
        </is>
      </c>
      <c r="K4372" s="65" t="inlineStr">
        <is>
          <t>N/D</t>
        </is>
      </c>
      <c r="L4372" s="127" t="inlineStr">
        <is>
          <t>BRIGNOLI ARMS SRL</t>
        </is>
      </c>
      <c r="M4372" s="5" t="n">
        <v>1544</v>
      </c>
      <c r="N4372" s="5" t="n"/>
      <c r="O4372" s="5">
        <f>+M4372+N4372</f>
        <v/>
      </c>
      <c r="P4372" s="4" t="n">
        <v>46112</v>
      </c>
      <c r="Q4372" s="87" t="n">
        <v>46112</v>
      </c>
      <c r="R4372" s="5" t="n"/>
      <c r="S4372" s="2" t="n"/>
      <c r="T4372" s="3" t="n"/>
      <c r="U4372" s="87" t="n"/>
      <c r="V4372" s="3" t="n"/>
      <c r="W4372" s="108" t="n"/>
      <c r="X4372" s="4" t="n"/>
    </row>
    <row r="4373" ht="24" customHeight="1">
      <c r="A4373" s="2">
        <f>+D4373-S4373</f>
        <v/>
      </c>
      <c r="B4373" s="126" t="n">
        <v>5960</v>
      </c>
      <c r="C4373" s="66" t="n">
        <v>46112</v>
      </c>
      <c r="D4373" s="2" t="n">
        <v>1</v>
      </c>
      <c r="E4373" s="3" t="inlineStr">
        <is>
          <t>FUCILE SOVRAPPOSTO</t>
        </is>
      </c>
      <c r="F4373" s="3" t="inlineStr">
        <is>
          <t>.410</t>
        </is>
      </c>
      <c r="G4373" s="84" t="inlineStr">
        <is>
          <t>BERETTA</t>
        </is>
      </c>
      <c r="H4373" s="107" t="inlineStr">
        <is>
          <t>686 S.P.III MY20</t>
        </is>
      </c>
      <c r="I4373" s="107" t="inlineStr">
        <is>
          <t>L11245X</t>
        </is>
      </c>
      <c r="J4373" s="107" t="inlineStr">
        <is>
          <t>N/D</t>
        </is>
      </c>
      <c r="K4373" s="65" t="inlineStr">
        <is>
          <t>N/D</t>
        </is>
      </c>
      <c r="L4373" s="127" t="inlineStr">
        <is>
          <t>BRIGNOLI ARMS SRL</t>
        </is>
      </c>
      <c r="M4373" s="5" t="n">
        <v>1460</v>
      </c>
      <c r="N4373" s="5" t="n"/>
      <c r="O4373" s="5">
        <f>+M4373+N4373</f>
        <v/>
      </c>
      <c r="P4373" s="4" t="n">
        <v>46112</v>
      </c>
      <c r="Q4373" s="87" t="n">
        <v>46112</v>
      </c>
      <c r="R4373" s="5" t="n"/>
      <c r="S4373" s="2" t="n"/>
      <c r="T4373" s="3" t="n"/>
      <c r="U4373" s="87" t="n"/>
      <c r="V4373" s="3" t="n"/>
      <c r="W4373" s="108" t="n"/>
      <c r="X4373" s="4" t="n"/>
    </row>
    <row r="4374" ht="24" customHeight="1">
      <c r="A4374" s="2">
        <f>+D4374-S4374</f>
        <v/>
      </c>
      <c r="B4374" s="126" t="n">
        <v>5961</v>
      </c>
      <c r="C4374" s="66" t="n">
        <v>46114</v>
      </c>
      <c r="D4374" s="2" t="n">
        <v>1</v>
      </c>
      <c r="E4374" s="3" t="inlineStr">
        <is>
          <t>PISTOLA SEMIAUTOMATICA</t>
        </is>
      </c>
      <c r="F4374" s="3" t="inlineStr">
        <is>
          <t>9X19</t>
        </is>
      </c>
      <c r="G4374" s="84" t="inlineStr">
        <is>
          <t>H&amp;K</t>
        </is>
      </c>
      <c r="H4374" s="107" t="inlineStr">
        <is>
          <t xml:space="preserve">SFP9 PB OR MATCH </t>
        </is>
      </c>
      <c r="I4374" s="107" t="inlineStr">
        <is>
          <t>274-003702</t>
        </is>
      </c>
      <c r="J4374" s="107" t="inlineStr">
        <is>
          <t>N/D</t>
        </is>
      </c>
      <c r="K4374" s="65" t="inlineStr">
        <is>
          <t>N/D</t>
        </is>
      </c>
      <c r="L4374" s="127" t="inlineStr">
        <is>
          <t>THE FOUR COMPANY SRL</t>
        </is>
      </c>
      <c r="M4374" s="5" t="n">
        <v>851</v>
      </c>
      <c r="N4374" s="5" t="n"/>
      <c r="O4374" s="5">
        <f>+M4374+N4374</f>
        <v/>
      </c>
      <c r="P4374" s="4" t="n">
        <v>46114</v>
      </c>
      <c r="Q4374" s="87" t="n">
        <v>46114</v>
      </c>
      <c r="R4374" s="5" t="n"/>
      <c r="S4374" s="2" t="n"/>
      <c r="T4374" s="3" t="n"/>
      <c r="U4374" s="87" t="n"/>
      <c r="V4374" s="3" t="n"/>
      <c r="W4374" s="108" t="n"/>
      <c r="X4374" s="4" t="n"/>
    </row>
    <row r="4375" ht="24" customHeight="1">
      <c r="A4375" s="2">
        <f>+D4375-S4375</f>
        <v/>
      </c>
      <c r="B4375" s="126" t="n">
        <v>5962</v>
      </c>
      <c r="C4375" s="66" t="n">
        <v>46114</v>
      </c>
      <c r="D4375" s="2" t="n">
        <v>1</v>
      </c>
      <c r="E4375" s="3" t="inlineStr">
        <is>
          <t>PISTOLA SEMIAUTOMATICA</t>
        </is>
      </c>
      <c r="F4375" s="3" t="inlineStr">
        <is>
          <t>9X19</t>
        </is>
      </c>
      <c r="G4375" s="84" t="inlineStr">
        <is>
          <t>H&amp;K</t>
        </is>
      </c>
      <c r="H4375" s="107" t="inlineStr">
        <is>
          <t xml:space="preserve">SFP9 PB OR MATCH </t>
        </is>
      </c>
      <c r="I4375" s="107" t="inlineStr">
        <is>
          <t>274-003701</t>
        </is>
      </c>
      <c r="J4375" s="107" t="inlineStr">
        <is>
          <t>N/D</t>
        </is>
      </c>
      <c r="K4375" s="65" t="inlineStr">
        <is>
          <t>N/D</t>
        </is>
      </c>
      <c r="L4375" s="127" t="inlineStr">
        <is>
          <t>THE FOUR COMPANY SRL</t>
        </is>
      </c>
      <c r="M4375" s="5" t="n">
        <v>851</v>
      </c>
      <c r="N4375" s="5" t="n"/>
      <c r="O4375" s="5">
        <f>+M4375+N4375</f>
        <v/>
      </c>
      <c r="P4375" s="4" t="n">
        <v>46114</v>
      </c>
      <c r="Q4375" s="87" t="n">
        <v>46114</v>
      </c>
      <c r="R4375" s="5" t="n"/>
      <c r="S4375" s="2" t="n"/>
      <c r="T4375" s="3" t="n"/>
      <c r="U4375" s="87" t="n"/>
      <c r="V4375" s="3" t="n"/>
      <c r="W4375" s="108" t="n"/>
      <c r="X4375" s="4" t="n"/>
    </row>
    <row r="4376" ht="24" customHeight="1">
      <c r="A4376" s="2">
        <f>+D4376-S4376</f>
        <v/>
      </c>
      <c r="B4376" s="126" t="n">
        <v>5963</v>
      </c>
      <c r="C4376" s="66" t="n">
        <v>46114</v>
      </c>
      <c r="D4376" s="2" t="n">
        <v>1</v>
      </c>
      <c r="E4376" s="3" t="inlineStr">
        <is>
          <t>CARABINA SEMIAUTOMATICA</t>
        </is>
      </c>
      <c r="F4376" s="3" t="inlineStr">
        <is>
          <t>308 WIN</t>
        </is>
      </c>
      <c r="G4376" s="84" t="inlineStr">
        <is>
          <t>H&amp;K</t>
        </is>
      </c>
      <c r="H4376" s="107" t="inlineStr">
        <is>
          <t>MR308 A3 DESERT 13''</t>
        </is>
      </c>
      <c r="I4376" s="107" t="inlineStr">
        <is>
          <t>144-018075</t>
        </is>
      </c>
      <c r="J4376" s="107" t="inlineStr">
        <is>
          <t>N/D</t>
        </is>
      </c>
      <c r="K4376" s="65" t="inlineStr">
        <is>
          <t>N/D</t>
        </is>
      </c>
      <c r="L4376" s="127" t="inlineStr">
        <is>
          <t>THE FOUR COMPANY SRL</t>
        </is>
      </c>
      <c r="M4376" s="5" t="n">
        <v>2567</v>
      </c>
      <c r="N4376" s="5" t="n"/>
      <c r="O4376" s="5">
        <f>+M4376+N4376</f>
        <v/>
      </c>
      <c r="P4376" s="4" t="n">
        <v>46114</v>
      </c>
      <c r="Q4376" s="87" t="n">
        <v>46114</v>
      </c>
      <c r="R4376" s="5" t="n"/>
      <c r="S4376" s="2" t="n"/>
      <c r="T4376" s="3" t="n"/>
      <c r="U4376" s="87" t="n"/>
      <c r="V4376" s="3" t="n"/>
      <c r="W4376" s="108" t="n"/>
      <c r="X4376" s="4" t="n"/>
    </row>
    <row r="4377" ht="24" customHeight="1">
      <c r="A4377" s="2">
        <f>+D4377-S4377</f>
        <v/>
      </c>
      <c r="B4377" s="126" t="n">
        <v>5964</v>
      </c>
      <c r="C4377" s="66" t="n">
        <v>46114</v>
      </c>
      <c r="D4377" s="2" t="n">
        <v>1</v>
      </c>
      <c r="E4377" s="3" t="inlineStr">
        <is>
          <t>CARABINA SEMIAUTOMATICA</t>
        </is>
      </c>
      <c r="F4377" s="3" t="inlineStr">
        <is>
          <t>308 WIN</t>
        </is>
      </c>
      <c r="G4377" s="84" t="inlineStr">
        <is>
          <t>H&amp;K</t>
        </is>
      </c>
      <c r="H4377" s="107" t="inlineStr">
        <is>
          <t>MR308 A3 DESERT 13''</t>
        </is>
      </c>
      <c r="I4377" s="107" t="inlineStr">
        <is>
          <t>144-018074</t>
        </is>
      </c>
      <c r="J4377" s="107" t="inlineStr">
        <is>
          <t>N/D</t>
        </is>
      </c>
      <c r="K4377" s="65" t="inlineStr">
        <is>
          <t>N/D</t>
        </is>
      </c>
      <c r="L4377" s="127" t="inlineStr">
        <is>
          <t>THE FOUR COMPANY SRL</t>
        </is>
      </c>
      <c r="M4377" s="5" t="n">
        <v>2567</v>
      </c>
      <c r="N4377" s="5" t="n"/>
      <c r="O4377" s="5">
        <f>+M4377+N4377</f>
        <v/>
      </c>
      <c r="P4377" s="4" t="n">
        <v>46114</v>
      </c>
      <c r="Q4377" s="87" t="n">
        <v>46114</v>
      </c>
      <c r="R4377" s="5" t="n"/>
      <c r="S4377" s="2" t="n"/>
      <c r="T4377" s="3" t="n"/>
      <c r="U4377" s="87" t="n"/>
      <c r="V4377" s="3" t="n"/>
      <c r="W4377" s="108" t="n"/>
      <c r="X4377" s="4" t="n"/>
    </row>
    <row r="4378" ht="24" customHeight="1">
      <c r="A4378" s="2">
        <f>+D4378-S4378</f>
        <v/>
      </c>
      <c r="B4378" s="126" t="n">
        <v>5965</v>
      </c>
      <c r="C4378" s="66" t="n">
        <v>46114</v>
      </c>
      <c r="D4378" s="2" t="n">
        <v>1</v>
      </c>
      <c r="E4378" s="3" t="inlineStr">
        <is>
          <t>CARABINA SEMIAUTOMATICA</t>
        </is>
      </c>
      <c r="F4378" s="3" t="inlineStr">
        <is>
          <t>308 WIN</t>
        </is>
      </c>
      <c r="G4378" s="84" t="inlineStr">
        <is>
          <t>H&amp;K</t>
        </is>
      </c>
      <c r="H4378" s="107" t="inlineStr">
        <is>
          <t>MR308 A3 DESERT 13''</t>
        </is>
      </c>
      <c r="I4378" s="107" t="inlineStr">
        <is>
          <t>144-018078</t>
        </is>
      </c>
      <c r="J4378" s="107" t="inlineStr">
        <is>
          <t>N/D</t>
        </is>
      </c>
      <c r="K4378" s="65" t="inlineStr">
        <is>
          <t>N/D</t>
        </is>
      </c>
      <c r="L4378" s="127" t="inlineStr">
        <is>
          <t>THE FOUR COMPANY SRL</t>
        </is>
      </c>
      <c r="M4378" s="5" t="n">
        <v>2567</v>
      </c>
      <c r="N4378" s="5" t="n"/>
      <c r="O4378" s="5">
        <f>+M4378+N4378</f>
        <v/>
      </c>
      <c r="P4378" s="4" t="n">
        <v>46114</v>
      </c>
      <c r="Q4378" s="87" t="n">
        <v>46114</v>
      </c>
      <c r="R4378" s="5" t="n"/>
      <c r="S4378" s="2" t="n"/>
      <c r="T4378" s="3" t="n"/>
      <c r="U4378" s="87" t="n"/>
      <c r="V4378" s="3" t="n"/>
      <c r="W4378" s="108" t="n"/>
      <c r="X4378" s="4" t="n"/>
    </row>
    <row r="4379" ht="24" customHeight="1">
      <c r="A4379" s="2">
        <f>+D4379-S4379</f>
        <v/>
      </c>
      <c r="B4379" s="126" t="n">
        <v>5966</v>
      </c>
      <c r="C4379" s="66" t="n">
        <v>46114</v>
      </c>
      <c r="D4379" s="2" t="n">
        <v>1</v>
      </c>
      <c r="E4379" s="3" t="inlineStr">
        <is>
          <t>CARABINA SEMIAUTOMATICA</t>
        </is>
      </c>
      <c r="F4379" s="3" t="inlineStr">
        <is>
          <t>308 WIN</t>
        </is>
      </c>
      <c r="G4379" s="84" t="inlineStr">
        <is>
          <t>H&amp;K</t>
        </is>
      </c>
      <c r="H4379" s="107" t="inlineStr">
        <is>
          <t>MR308 A3 DESERT 13''</t>
        </is>
      </c>
      <c r="I4379" s="107" t="inlineStr">
        <is>
          <t>144-018077</t>
        </is>
      </c>
      <c r="J4379" s="107" t="inlineStr">
        <is>
          <t>N/D</t>
        </is>
      </c>
      <c r="K4379" s="65" t="inlineStr">
        <is>
          <t>N/D</t>
        </is>
      </c>
      <c r="L4379" s="127" t="inlineStr">
        <is>
          <t>THE FOUR COMPANY SRL</t>
        </is>
      </c>
      <c r="M4379" s="5" t="n">
        <v>2567</v>
      </c>
      <c r="N4379" s="5" t="n"/>
      <c r="O4379" s="5">
        <f>+M4379+N4379</f>
        <v/>
      </c>
      <c r="P4379" s="4" t="n">
        <v>46114</v>
      </c>
      <c r="Q4379" s="87" t="n">
        <v>46114</v>
      </c>
      <c r="R4379" s="5" t="n"/>
      <c r="S4379" s="2" t="n"/>
      <c r="T4379" s="3" t="n"/>
      <c r="U4379" s="87" t="n"/>
      <c r="V4379" s="3" t="n"/>
      <c r="W4379" s="108" t="n"/>
      <c r="X4379" s="4" t="n"/>
    </row>
    <row r="4380" ht="24" customHeight="1">
      <c r="A4380" s="2">
        <f>+D4380-S4380</f>
        <v/>
      </c>
      <c r="B4380" s="126" t="n">
        <v>5967</v>
      </c>
      <c r="C4380" s="66" t="n">
        <v>46114</v>
      </c>
      <c r="D4380" s="2" t="n">
        <v>1</v>
      </c>
      <c r="E4380" s="3" t="inlineStr">
        <is>
          <t>CARABINA SEMIAUTOMATICA</t>
        </is>
      </c>
      <c r="F4380" s="3" t="inlineStr">
        <is>
          <t>308 WIN</t>
        </is>
      </c>
      <c r="G4380" s="84" t="inlineStr">
        <is>
          <t>H&amp;K</t>
        </is>
      </c>
      <c r="H4380" s="107" t="inlineStr">
        <is>
          <t>MR308 A3 DESERT 13''</t>
        </is>
      </c>
      <c r="I4380" s="107" t="inlineStr">
        <is>
          <t>144-018076</t>
        </is>
      </c>
      <c r="J4380" s="107" t="inlineStr">
        <is>
          <t>N/D</t>
        </is>
      </c>
      <c r="K4380" s="65" t="inlineStr">
        <is>
          <t>N/D</t>
        </is>
      </c>
      <c r="L4380" s="127" t="inlineStr">
        <is>
          <t>THE FOUR COMPANY SRL</t>
        </is>
      </c>
      <c r="M4380" s="5" t="n">
        <v>2567</v>
      </c>
      <c r="N4380" s="5" t="n"/>
      <c r="O4380" s="5">
        <f>+M4380+N4380</f>
        <v/>
      </c>
      <c r="P4380" s="4" t="n">
        <v>46114</v>
      </c>
      <c r="Q4380" s="87" t="n">
        <v>46114</v>
      </c>
      <c r="R4380" s="5" t="n"/>
      <c r="S4380" s="2" t="n"/>
      <c r="T4380" s="3" t="n"/>
      <c r="U4380" s="87" t="n"/>
      <c r="V4380" s="3" t="n"/>
      <c r="W4380" s="108" t="n"/>
      <c r="X4380" s="4" t="n"/>
    </row>
    <row r="4381" ht="24" customHeight="1">
      <c r="A4381" s="2">
        <f>+D4381-S4381</f>
        <v/>
      </c>
      <c r="B4381" s="126" t="n">
        <v>5968</v>
      </c>
      <c r="C4381" s="66" t="n">
        <v>46115</v>
      </c>
      <c r="D4381" s="2" t="n">
        <v>1</v>
      </c>
      <c r="E4381" s="3" t="inlineStr">
        <is>
          <t>PISTOLA SEMIAUTOMATICA</t>
        </is>
      </c>
      <c r="F4381" s="3" t="inlineStr">
        <is>
          <t>.22 LR</t>
        </is>
      </c>
      <c r="G4381" s="84" t="inlineStr">
        <is>
          <t>BERETTA</t>
        </is>
      </c>
      <c r="H4381" s="107" t="inlineStr">
        <is>
          <t>N/D</t>
        </is>
      </c>
      <c r="I4381" s="107" t="inlineStr">
        <is>
          <t>2850</t>
        </is>
      </c>
      <c r="J4381" s="107" t="inlineStr">
        <is>
          <t>N/D</t>
        </is>
      </c>
      <c r="K4381" s="65" t="inlineStr">
        <is>
          <t>N/D</t>
        </is>
      </c>
      <c r="L4381" s="127" t="inlineStr">
        <is>
          <t>BRIGNOLI ARMS SRL</t>
        </is>
      </c>
      <c r="M4381" s="5" t="n">
        <v>100</v>
      </c>
      <c r="N4381" s="5" t="n"/>
      <c r="O4381" s="5">
        <f>+M4381+N4381</f>
        <v/>
      </c>
      <c r="P4381" s="4" t="n">
        <v>46115</v>
      </c>
      <c r="Q4381" s="87" t="n">
        <v>46115</v>
      </c>
      <c r="R4381" s="5" t="n"/>
      <c r="S4381" s="2" t="n"/>
      <c r="T4381" s="3" t="n"/>
      <c r="U4381" s="87" t="n"/>
      <c r="V4381" s="3" t="n"/>
      <c r="W4381" s="108" t="n"/>
      <c r="X4381" s="4" t="n"/>
    </row>
    <row r="4382" ht="24" customHeight="1">
      <c r="A4382" s="2">
        <f>+D4382-S4382</f>
        <v/>
      </c>
      <c r="B4382" s="126" t="n">
        <v>5969</v>
      </c>
      <c r="C4382" s="66" t="n">
        <v>46115</v>
      </c>
      <c r="D4382" s="2" t="n">
        <v>1</v>
      </c>
      <c r="E4382" s="3" t="inlineStr">
        <is>
          <t>PISTOLA SEMIAUTOMATICA</t>
        </is>
      </c>
      <c r="F4382" s="3" t="inlineStr">
        <is>
          <t>.22 LR</t>
        </is>
      </c>
      <c r="G4382" s="84" t="inlineStr">
        <is>
          <t>BERNARDELLI</t>
        </is>
      </c>
      <c r="H4382" s="107" t="inlineStr">
        <is>
          <t>N/D</t>
        </is>
      </c>
      <c r="I4382" s="107" t="inlineStr">
        <is>
          <t>27140</t>
        </is>
      </c>
      <c r="J4382" s="107" t="inlineStr">
        <is>
          <t>N/D</t>
        </is>
      </c>
      <c r="K4382" s="65" t="inlineStr">
        <is>
          <t>N/D</t>
        </is>
      </c>
      <c r="L4382" s="127" t="inlineStr">
        <is>
          <t>BRIGNOLI ARMS SRL</t>
        </is>
      </c>
      <c r="M4382" s="5" t="n">
        <v>100</v>
      </c>
      <c r="N4382" s="5" t="n"/>
      <c r="O4382" s="5">
        <f>+M4382+N4382</f>
        <v/>
      </c>
      <c r="P4382" s="4" t="n">
        <v>46115</v>
      </c>
      <c r="Q4382" s="87" t="n">
        <v>46115</v>
      </c>
      <c r="R4382" s="5" t="n"/>
      <c r="S4382" s="2" t="n"/>
      <c r="T4382" s="3" t="n"/>
      <c r="U4382" s="87" t="n"/>
      <c r="V4382" s="3" t="n"/>
      <c r="W4382" s="108" t="n"/>
      <c r="X4382" s="4" t="n"/>
    </row>
    <row r="4383" ht="24" customHeight="1">
      <c r="A4383" s="2">
        <f>+D4383-S4383</f>
        <v/>
      </c>
      <c r="B4383" s="126" t="n">
        <v>5970</v>
      </c>
      <c r="C4383" s="66" t="n">
        <v>46115</v>
      </c>
      <c r="D4383" s="2" t="n">
        <v>1</v>
      </c>
      <c r="E4383" s="3" t="inlineStr">
        <is>
          <t>CARABINA SEMIAUTOMATICA</t>
        </is>
      </c>
      <c r="F4383" s="3" t="inlineStr">
        <is>
          <t>308 WIN</t>
        </is>
      </c>
      <c r="G4383" s="84" t="inlineStr">
        <is>
          <t>H&amp;K</t>
        </is>
      </c>
      <c r="H4383" s="107" t="inlineStr">
        <is>
          <t>MR308 A3 FDE 13''</t>
        </is>
      </c>
      <c r="I4383" s="107" t="inlineStr">
        <is>
          <t>144-012356</t>
        </is>
      </c>
      <c r="J4383" s="107" t="inlineStr">
        <is>
          <t>N/D</t>
        </is>
      </c>
      <c r="K4383" s="65" t="inlineStr">
        <is>
          <t>N/D</t>
        </is>
      </c>
      <c r="L4383" s="127" t="inlineStr">
        <is>
          <t>BRIGNOLI ARMS SRL</t>
        </is>
      </c>
      <c r="M4383" s="5" t="n">
        <v>2870</v>
      </c>
      <c r="N4383" s="5" t="n"/>
      <c r="O4383" s="5">
        <f>+M4383+N4383</f>
        <v/>
      </c>
      <c r="P4383" s="4" t="n">
        <v>46115</v>
      </c>
      <c r="Q4383" s="87" t="n">
        <v>46115</v>
      </c>
      <c r="R4383" s="5" t="n"/>
      <c r="S4383" s="2" t="n"/>
      <c r="T4383" s="3" t="n"/>
      <c r="U4383" s="87" t="n"/>
      <c r="V4383" s="3" t="n"/>
      <c r="W4383" s="108" t="n"/>
      <c r="X4383" s="4" t="n"/>
    </row>
    <row r="4384" ht="24" customHeight="1">
      <c r="A4384" s="2">
        <f>+D4384-S4384</f>
        <v/>
      </c>
      <c r="B4384" s="126" t="n">
        <v>5971</v>
      </c>
      <c r="C4384" s="66" t="n">
        <v>46115</v>
      </c>
      <c r="D4384" s="2" t="n">
        <v>1</v>
      </c>
      <c r="E4384" s="3" t="inlineStr">
        <is>
          <t>CARABINA SEMIAUTOMATICA</t>
        </is>
      </c>
      <c r="F4384" s="3" t="inlineStr">
        <is>
          <t>308 WIN</t>
        </is>
      </c>
      <c r="G4384" s="84" t="inlineStr">
        <is>
          <t>H&amp;K</t>
        </is>
      </c>
      <c r="H4384" s="107" t="inlineStr">
        <is>
          <t>MR308 A3 FDE 13''</t>
        </is>
      </c>
      <c r="I4384" s="107" t="inlineStr">
        <is>
          <t>144-012357</t>
        </is>
      </c>
      <c r="J4384" s="107" t="inlineStr">
        <is>
          <t>N/D</t>
        </is>
      </c>
      <c r="K4384" s="65" t="inlineStr">
        <is>
          <t>N/D</t>
        </is>
      </c>
      <c r="L4384" s="127" t="inlineStr">
        <is>
          <t>BRIGNOLI ARMS SRL</t>
        </is>
      </c>
      <c r="M4384" s="5" t="n">
        <v>2870</v>
      </c>
      <c r="N4384" s="5" t="n"/>
      <c r="O4384" s="5">
        <f>+M4384+N4384</f>
        <v/>
      </c>
      <c r="P4384" s="4" t="n">
        <v>46115</v>
      </c>
      <c r="Q4384" s="87" t="n">
        <v>46115</v>
      </c>
      <c r="R4384" s="5" t="n"/>
      <c r="S4384" s="2" t="n"/>
      <c r="T4384" s="3" t="n"/>
      <c r="U4384" s="87" t="n"/>
      <c r="V4384" s="3" t="n"/>
      <c r="W4384" s="108" t="n"/>
      <c r="X4384" s="4" t="n"/>
    </row>
    <row r="4385" ht="24" customHeight="1">
      <c r="A4385" s="2">
        <f>+D4385-S4385</f>
        <v/>
      </c>
      <c r="B4385" s="126" t="n">
        <v>5972</v>
      </c>
      <c r="C4385" s="66" t="n">
        <v>46115</v>
      </c>
      <c r="D4385" s="2" t="n">
        <v>1</v>
      </c>
      <c r="E4385" s="3" t="inlineStr">
        <is>
          <t>CARABINA SEMIAUTOMATICA</t>
        </is>
      </c>
      <c r="F4385" s="3" t="inlineStr">
        <is>
          <t>308 WIN</t>
        </is>
      </c>
      <c r="G4385" s="84" t="inlineStr">
        <is>
          <t>H&amp;K</t>
        </is>
      </c>
      <c r="H4385" s="107" t="inlineStr">
        <is>
          <t>MR308 A3 FDE 13''</t>
        </is>
      </c>
      <c r="I4385" s="107" t="inlineStr">
        <is>
          <t>144-012358</t>
        </is>
      </c>
      <c r="J4385" s="107" t="inlineStr">
        <is>
          <t>N/D</t>
        </is>
      </c>
      <c r="K4385" s="65" t="inlineStr">
        <is>
          <t>N/D</t>
        </is>
      </c>
      <c r="L4385" s="127" t="inlineStr">
        <is>
          <t>BRIGNOLI ARMS SRL</t>
        </is>
      </c>
      <c r="M4385" s="5" t="n">
        <v>2870</v>
      </c>
      <c r="N4385" s="5" t="n"/>
      <c r="O4385" s="5">
        <f>+M4385+N4385</f>
        <v/>
      </c>
      <c r="P4385" s="4" t="n">
        <v>46115</v>
      </c>
      <c r="Q4385" s="87" t="n">
        <v>46115</v>
      </c>
      <c r="R4385" s="5" t="n"/>
      <c r="S4385" s="2" t="n"/>
      <c r="T4385" s="3" t="n"/>
      <c r="U4385" s="87" t="n"/>
      <c r="V4385" s="3" t="n"/>
      <c r="W4385" s="108" t="n"/>
      <c r="X4385" s="4" t="n"/>
    </row>
    <row r="4386" ht="24" customHeight="1">
      <c r="A4386" s="2">
        <f>+D4386-S4386</f>
        <v/>
      </c>
      <c r="B4386" s="126" t="n">
        <v>5973</v>
      </c>
      <c r="C4386" s="66" t="n">
        <v>46115</v>
      </c>
      <c r="D4386" s="2" t="n">
        <v>1</v>
      </c>
      <c r="E4386" s="3" t="inlineStr">
        <is>
          <t>CARABINA SEMIAUTOMATICA</t>
        </is>
      </c>
      <c r="F4386" s="3" t="inlineStr">
        <is>
          <t>308 WIN</t>
        </is>
      </c>
      <c r="G4386" s="84" t="inlineStr">
        <is>
          <t>H&amp;K</t>
        </is>
      </c>
      <c r="H4386" s="107" t="inlineStr">
        <is>
          <t>MR308 A3 FDE 13''</t>
        </is>
      </c>
      <c r="I4386" s="107" t="inlineStr">
        <is>
          <t>144-012359</t>
        </is>
      </c>
      <c r="J4386" s="107" t="inlineStr">
        <is>
          <t>N/D</t>
        </is>
      </c>
      <c r="K4386" s="65" t="inlineStr">
        <is>
          <t>N/D</t>
        </is>
      </c>
      <c r="L4386" s="127" t="inlineStr">
        <is>
          <t>BRIGNOLI ARMS SRL</t>
        </is>
      </c>
      <c r="M4386" s="5" t="n">
        <v>2870</v>
      </c>
      <c r="N4386" s="5" t="n"/>
      <c r="O4386" s="5">
        <f>+M4386+N4386</f>
        <v/>
      </c>
      <c r="P4386" s="4" t="n">
        <v>46115</v>
      </c>
      <c r="Q4386" s="87" t="n">
        <v>46115</v>
      </c>
      <c r="R4386" s="5" t="n"/>
      <c r="S4386" s="2" t="n"/>
      <c r="T4386" s="3" t="n"/>
      <c r="U4386" s="87" t="n"/>
      <c r="V4386" s="3" t="n"/>
      <c r="W4386" s="108" t="n"/>
      <c r="X4386" s="4" t="n"/>
    </row>
    <row r="4387" ht="24" customHeight="1">
      <c r="A4387" s="2">
        <f>+D4387-S4387</f>
        <v/>
      </c>
      <c r="B4387" s="126" t="n">
        <v>5974</v>
      </c>
      <c r="C4387" s="66" t="n">
        <v>46115</v>
      </c>
      <c r="D4387" s="2" t="n">
        <v>1</v>
      </c>
      <c r="E4387" s="3" t="inlineStr">
        <is>
          <t>CARABINA SEMIAUTOMATICA</t>
        </is>
      </c>
      <c r="F4387" s="3" t="inlineStr">
        <is>
          <t>308 WIN</t>
        </is>
      </c>
      <c r="G4387" s="84" t="inlineStr">
        <is>
          <t>H&amp;K</t>
        </is>
      </c>
      <c r="H4387" s="107" t="inlineStr">
        <is>
          <t>MR308 A3 FDE 13''</t>
        </is>
      </c>
      <c r="I4387" s="107" t="inlineStr">
        <is>
          <t>144-012360</t>
        </is>
      </c>
      <c r="J4387" s="107" t="inlineStr">
        <is>
          <t>N/D</t>
        </is>
      </c>
      <c r="K4387" s="65" t="inlineStr">
        <is>
          <t>N/D</t>
        </is>
      </c>
      <c r="L4387" s="127" t="inlineStr">
        <is>
          <t>BRIGNOLI ARMS SRL</t>
        </is>
      </c>
      <c r="M4387" s="5" t="n">
        <v>2870</v>
      </c>
      <c r="N4387" s="5" t="n"/>
      <c r="O4387" s="5">
        <f>+M4387+N4387</f>
        <v/>
      </c>
      <c r="P4387" s="4" t="n">
        <v>46115</v>
      </c>
      <c r="Q4387" s="87" t="n">
        <v>46115</v>
      </c>
      <c r="R4387" s="5" t="n"/>
      <c r="S4387" s="2" t="n"/>
      <c r="T4387" s="3" t="n"/>
      <c r="U4387" s="87" t="n"/>
      <c r="V4387" s="3" t="n"/>
      <c r="W4387" s="108" t="n"/>
      <c r="X4387" s="4" t="n"/>
    </row>
    <row r="4388" ht="24" customHeight="1">
      <c r="A4388" s="2">
        <f>+D4388-S4388</f>
        <v/>
      </c>
      <c r="B4388" s="126" t="n">
        <v>5975</v>
      </c>
      <c r="C4388" s="66" t="n">
        <v>46115</v>
      </c>
      <c r="D4388" s="2" t="n">
        <v>1</v>
      </c>
      <c r="E4388" s="3" t="inlineStr">
        <is>
          <t>CARABINA SEMIAUTOMATICA</t>
        </is>
      </c>
      <c r="F4388" s="3" t="inlineStr">
        <is>
          <t>308 WIN</t>
        </is>
      </c>
      <c r="G4388" s="84" t="inlineStr">
        <is>
          <t>H&amp;K</t>
        </is>
      </c>
      <c r="H4388" s="107" t="inlineStr">
        <is>
          <t>MR308 A3 FDE 16.5''</t>
        </is>
      </c>
      <c r="I4388" s="107" t="inlineStr">
        <is>
          <t>144-009413</t>
        </is>
      </c>
      <c r="J4388" s="107" t="inlineStr">
        <is>
          <t>N/D</t>
        </is>
      </c>
      <c r="K4388" s="65" t="inlineStr">
        <is>
          <t>N/D</t>
        </is>
      </c>
      <c r="L4388" s="127" t="inlineStr">
        <is>
          <t>BRIGNOLI ARMS SRL</t>
        </is>
      </c>
      <c r="M4388" s="5" t="n">
        <v>2870</v>
      </c>
      <c r="N4388" s="5" t="n"/>
      <c r="O4388" s="5">
        <f>+M4388+N4388</f>
        <v/>
      </c>
      <c r="P4388" s="4" t="n">
        <v>46115</v>
      </c>
      <c r="Q4388" s="87" t="n">
        <v>46115</v>
      </c>
      <c r="R4388" s="5" t="n"/>
      <c r="S4388" s="2" t="n"/>
      <c r="T4388" s="3" t="n"/>
      <c r="U4388" s="87" t="n"/>
      <c r="V4388" s="3" t="n"/>
      <c r="W4388" s="108" t="n"/>
      <c r="X4388" s="4" t="n"/>
    </row>
    <row r="4389" ht="24" customHeight="1">
      <c r="A4389" s="2">
        <f>+D4389-S4389</f>
        <v/>
      </c>
      <c r="B4389" s="126" t="n">
        <v>5976</v>
      </c>
      <c r="C4389" s="66" t="n">
        <v>46115</v>
      </c>
      <c r="D4389" s="2" t="n">
        <v>1</v>
      </c>
      <c r="E4389" s="3" t="inlineStr">
        <is>
          <t>CARABINA SEMIAUTOMATICA</t>
        </is>
      </c>
      <c r="F4389" s="3" t="inlineStr">
        <is>
          <t>308 WIN</t>
        </is>
      </c>
      <c r="G4389" s="84" t="inlineStr">
        <is>
          <t>H&amp;K</t>
        </is>
      </c>
      <c r="H4389" s="107" t="inlineStr">
        <is>
          <t>MR308 A3 FDE 16.5''</t>
        </is>
      </c>
      <c r="I4389" s="107" t="inlineStr">
        <is>
          <t>144-009414</t>
        </is>
      </c>
      <c r="J4389" s="107" t="inlineStr">
        <is>
          <t>N/D</t>
        </is>
      </c>
      <c r="K4389" s="65" t="inlineStr">
        <is>
          <t>N/D</t>
        </is>
      </c>
      <c r="L4389" s="127" t="inlineStr">
        <is>
          <t>BRIGNOLI ARMS SRL</t>
        </is>
      </c>
      <c r="M4389" s="5" t="n">
        <v>2870</v>
      </c>
      <c r="N4389" s="5" t="n"/>
      <c r="O4389" s="5">
        <f>+M4389+N4389</f>
        <v/>
      </c>
      <c r="P4389" s="4" t="n">
        <v>46115</v>
      </c>
      <c r="Q4389" s="87" t="n">
        <v>46115</v>
      </c>
      <c r="R4389" s="5" t="n"/>
      <c r="S4389" s="2" t="n"/>
      <c r="T4389" s="3" t="n"/>
      <c r="U4389" s="87" t="n"/>
      <c r="V4389" s="3" t="n"/>
      <c r="W4389" s="108" t="n"/>
      <c r="X4389" s="4" t="n"/>
    </row>
    <row r="4390" ht="24" customHeight="1">
      <c r="A4390" s="2">
        <f>+D4390-S4390</f>
        <v/>
      </c>
      <c r="B4390" s="126" t="n">
        <v>5977</v>
      </c>
      <c r="C4390" s="66" t="n">
        <v>46128</v>
      </c>
      <c r="D4390" s="2" t="n">
        <v>1</v>
      </c>
      <c r="E4390" s="3" t="inlineStr">
        <is>
          <t>CARABINA</t>
        </is>
      </c>
      <c r="F4390" s="3" t="inlineStr">
        <is>
          <t>308 WIN</t>
        </is>
      </c>
      <c r="G4390" s="84" t="inlineStr">
        <is>
          <t>SAKO</t>
        </is>
      </c>
      <c r="H4390" s="107" t="inlineStr">
        <is>
          <t>TRG 22 A1</t>
        </is>
      </c>
      <c r="I4390" s="65" t="inlineStr">
        <is>
          <t>KN5234/PKN5234/LKN5234</t>
        </is>
      </c>
      <c r="J4390" s="107" t="inlineStr">
        <is>
          <t>N/D</t>
        </is>
      </c>
      <c r="K4390" s="65" t="inlineStr">
        <is>
          <t>N/D</t>
        </is>
      </c>
      <c r="L4390" s="127" t="inlineStr">
        <is>
          <t>BRIGNOLI ARMS SRL</t>
        </is>
      </c>
      <c r="M4390" s="5" t="n">
        <v>4830</v>
      </c>
      <c r="N4390" s="5" t="n"/>
      <c r="O4390" s="5">
        <f>+M4390+N4390</f>
        <v/>
      </c>
      <c r="P4390" s="4" t="n">
        <v>46128</v>
      </c>
      <c r="Q4390" s="87" t="n">
        <v>46128</v>
      </c>
      <c r="R4390" s="5" t="n"/>
      <c r="S4390" s="2" t="n"/>
      <c r="T4390" s="3" t="n"/>
      <c r="U4390" s="87" t="n"/>
      <c r="V4390" s="3" t="n"/>
      <c r="W4390" s="108" t="n"/>
      <c r="X4390" s="4" t="n"/>
    </row>
    <row r="4391" ht="24" customHeight="1">
      <c r="A4391" s="2">
        <f>+D4391-S4391</f>
        <v/>
      </c>
      <c r="B4391" s="126" t="n">
        <v>5978</v>
      </c>
      <c r="C4391" s="66" t="n">
        <v>46135</v>
      </c>
      <c r="D4391" s="2" t="n">
        <v>1</v>
      </c>
      <c r="E4391" s="3" t="inlineStr">
        <is>
          <t>REVOLVER</t>
        </is>
      </c>
      <c r="F4391" s="3" t="inlineStr">
        <is>
          <t>.357 MAG</t>
        </is>
      </c>
      <c r="G4391" s="84" t="inlineStr">
        <is>
          <t>MANURHIN</t>
        </is>
      </c>
      <c r="H4391" s="107" t="inlineStr">
        <is>
          <t>MR73 SPORT 4''</t>
        </is>
      </c>
      <c r="I4391" s="107" t="inlineStr">
        <is>
          <t>HAL10224</t>
        </is>
      </c>
      <c r="J4391" s="107" t="inlineStr">
        <is>
          <t>N/D</t>
        </is>
      </c>
      <c r="K4391" s="65" t="inlineStr">
        <is>
          <t>N/D</t>
        </is>
      </c>
      <c r="L4391" s="127" t="inlineStr">
        <is>
          <t>BENELLI ARMI S.P.A</t>
        </is>
      </c>
      <c r="M4391" s="5" t="n">
        <v>2090</v>
      </c>
      <c r="N4391" s="5" t="n"/>
      <c r="O4391" s="5">
        <f>+M4391+N4391</f>
        <v/>
      </c>
      <c r="P4391" s="4" t="n">
        <v>46135</v>
      </c>
      <c r="Q4391" s="87" t="n">
        <v>46128</v>
      </c>
      <c r="R4391" s="5" t="n"/>
      <c r="S4391" s="2" t="n"/>
      <c r="T4391" s="3" t="n"/>
      <c r="U4391" s="87" t="n"/>
      <c r="V4391" s="3" t="n"/>
      <c r="W4391" s="108" t="n"/>
      <c r="X4391" s="4" t="n"/>
    </row>
    <row r="4392" ht="24" customHeight="1">
      <c r="A4392" s="2">
        <f>+D4392-S4392</f>
        <v/>
      </c>
      <c r="B4392" s="126" t="n">
        <v>5979</v>
      </c>
      <c r="C4392" s="66" t="n">
        <v>46135</v>
      </c>
      <c r="D4392" s="2" t="n">
        <v>1</v>
      </c>
      <c r="E4392" s="3" t="inlineStr">
        <is>
          <t>CARABINA</t>
        </is>
      </c>
      <c r="F4392" s="3" t="inlineStr">
        <is>
          <t>.22 LR</t>
        </is>
      </c>
      <c r="G4392" s="84" t="inlineStr">
        <is>
          <t>SAKO</t>
        </is>
      </c>
      <c r="H4392" s="107" t="inlineStr">
        <is>
          <t>QUAD SYNTH</t>
        </is>
      </c>
      <c r="I4392" s="65" t="inlineStr">
        <is>
          <t>KC7244-Q029986-LKC7244-SLKC7244</t>
        </is>
      </c>
      <c r="J4392" s="107" t="inlineStr">
        <is>
          <t>N/D</t>
        </is>
      </c>
      <c r="K4392" s="65" t="inlineStr">
        <is>
          <t>N/D</t>
        </is>
      </c>
      <c r="L4392" s="127" t="inlineStr">
        <is>
          <t>BRIGNOLI ARMS SRL</t>
        </is>
      </c>
      <c r="M4392" s="5" t="n">
        <v>728.5</v>
      </c>
      <c r="N4392" s="5" t="n"/>
      <c r="O4392" s="5">
        <f>+M4392+N4392</f>
        <v/>
      </c>
      <c r="P4392" s="4" t="n">
        <v>46135</v>
      </c>
      <c r="Q4392" s="87" t="n">
        <v>46136</v>
      </c>
      <c r="R4392" s="5" t="n"/>
      <c r="S4392" s="2" t="n"/>
      <c r="T4392" s="3" t="n"/>
      <c r="U4392" s="87" t="n"/>
      <c r="V4392" s="3" t="n"/>
      <c r="W4392" s="108" t="n"/>
      <c r="X4392" s="4" t="n"/>
    </row>
    <row r="4393" ht="24" customHeight="1">
      <c r="A4393" s="2">
        <f>+D4393-S4393</f>
        <v/>
      </c>
      <c r="B4393" s="126" t="n">
        <v>5980</v>
      </c>
      <c r="C4393" s="66" t="n">
        <v>46135</v>
      </c>
      <c r="D4393" s="2" t="n">
        <v>1</v>
      </c>
      <c r="E4393" s="3" t="inlineStr">
        <is>
          <t>CANNA PER CARABINA</t>
        </is>
      </c>
      <c r="F4393" s="7" t="inlineStr">
        <is>
          <t>17 HMR</t>
        </is>
      </c>
      <c r="G4393" s="84" t="inlineStr">
        <is>
          <t>SAKO</t>
        </is>
      </c>
      <c r="H4393" s="107" t="inlineStr">
        <is>
          <t>QUAD</t>
        </is>
      </c>
      <c r="I4393" s="107" t="inlineStr">
        <is>
          <t>N/D</t>
        </is>
      </c>
      <c r="J4393" s="107" t="inlineStr">
        <is>
          <t>Q029478</t>
        </is>
      </c>
      <c r="K4393" s="65" t="inlineStr">
        <is>
          <t>N/D</t>
        </is>
      </c>
      <c r="L4393" s="127" t="inlineStr">
        <is>
          <t>BRIGNOLI ARMS SRL</t>
        </is>
      </c>
      <c r="M4393" s="5" t="n">
        <v>227.48</v>
      </c>
      <c r="N4393" s="5" t="n"/>
      <c r="O4393" s="5">
        <f>+M4393+N4393</f>
        <v/>
      </c>
      <c r="P4393" s="4" t="n">
        <v>46135</v>
      </c>
      <c r="Q4393" s="87" t="n">
        <v>46136</v>
      </c>
      <c r="R4393" s="5" t="n"/>
      <c r="S4393" s="2" t="n"/>
      <c r="T4393" s="3" t="n"/>
      <c r="U4393" s="87" t="n"/>
      <c r="V4393" s="3" t="n"/>
      <c r="W4393" s="108" t="n"/>
      <c r="X4393" s="4" t="n"/>
    </row>
    <row r="4394" ht="24" customHeight="1">
      <c r="A4394" s="2">
        <f>+D4394-S4394</f>
        <v/>
      </c>
      <c r="B4394" s="126" t="n">
        <v>5981</v>
      </c>
      <c r="C4394" s="66" t="n">
        <v>46135</v>
      </c>
      <c r="D4394" s="2" t="n">
        <v>1</v>
      </c>
      <c r="E4394" s="3" t="inlineStr">
        <is>
          <t>CARABINA</t>
        </is>
      </c>
      <c r="F4394" s="3" t="inlineStr">
        <is>
          <t>308 WIN</t>
        </is>
      </c>
      <c r="G4394" s="84" t="inlineStr">
        <is>
          <t>SAKO</t>
        </is>
      </c>
      <c r="H4394" s="107" t="inlineStr">
        <is>
          <t>90 VARMINT SYNT</t>
        </is>
      </c>
      <c r="I4394" s="65" t="inlineStr">
        <is>
          <t>LA0352-PLA0352-LLA0352</t>
        </is>
      </c>
      <c r="J4394" s="107" t="inlineStr">
        <is>
          <t>N/D</t>
        </is>
      </c>
      <c r="K4394" s="65" t="inlineStr">
        <is>
          <t>N/D</t>
        </is>
      </c>
      <c r="L4394" s="127" t="inlineStr">
        <is>
          <t>BRIGNOLI ARMS SRL</t>
        </is>
      </c>
      <c r="M4394" s="5" t="n">
        <v>1766.26</v>
      </c>
      <c r="N4394" s="5" t="n"/>
      <c r="O4394" s="5">
        <f>+M4394+N4394</f>
        <v/>
      </c>
      <c r="P4394" s="4" t="n">
        <v>46135</v>
      </c>
      <c r="Q4394" s="87" t="n">
        <v>46136</v>
      </c>
      <c r="R4394" s="5" t="n"/>
      <c r="S4394" s="2" t="n"/>
      <c r="T4394" s="3" t="n"/>
      <c r="U4394" s="87" t="n"/>
      <c r="V4394" s="3" t="n"/>
      <c r="W4394" s="108" t="n"/>
      <c r="X4394" s="4" t="n"/>
    </row>
    <row r="4395" ht="24" customHeight="1">
      <c r="A4395" s="2">
        <f>+D4395-S4395</f>
        <v/>
      </c>
      <c r="B4395" s="126" t="n">
        <v>5982</v>
      </c>
      <c r="C4395" s="66" t="n">
        <v>46135</v>
      </c>
      <c r="D4395" s="2" t="n">
        <v>1</v>
      </c>
      <c r="E4395" s="3" t="inlineStr">
        <is>
          <t>CARABINA</t>
        </is>
      </c>
      <c r="F4395" s="3" t="inlineStr">
        <is>
          <t>308 WIN</t>
        </is>
      </c>
      <c r="G4395" s="84" t="inlineStr">
        <is>
          <t>SAKO</t>
        </is>
      </c>
      <c r="H4395" s="107" t="inlineStr">
        <is>
          <t>90 VARMINT SYNT</t>
        </is>
      </c>
      <c r="I4395" s="65" t="inlineStr">
        <is>
          <t>LA0365-PLA0365-LLA0365</t>
        </is>
      </c>
      <c r="J4395" s="107" t="inlineStr">
        <is>
          <t>N/D</t>
        </is>
      </c>
      <c r="K4395" s="65" t="inlineStr">
        <is>
          <t>N/D</t>
        </is>
      </c>
      <c r="L4395" s="127" t="inlineStr">
        <is>
          <t>BRIGNOLI ARMS SRL</t>
        </is>
      </c>
      <c r="M4395" s="5" t="n">
        <v>1766.26</v>
      </c>
      <c r="N4395" s="5" t="n"/>
      <c r="O4395" s="5">
        <f>+M4395+N4395</f>
        <v/>
      </c>
      <c r="P4395" s="4" t="n">
        <v>46135</v>
      </c>
      <c r="Q4395" s="87" t="n">
        <v>46136</v>
      </c>
      <c r="R4395" s="5" t="n"/>
      <c r="S4395" s="2" t="n"/>
      <c r="T4395" s="3" t="n"/>
      <c r="U4395" s="87" t="n"/>
      <c r="V4395" s="3" t="n"/>
      <c r="W4395" s="108" t="n"/>
      <c r="X4395" s="4" t="n"/>
    </row>
    <row r="4396" ht="24" customHeight="1">
      <c r="A4396" s="2">
        <f>+D4396-S4396</f>
        <v/>
      </c>
      <c r="B4396" s="126" t="n">
        <v>5983</v>
      </c>
      <c r="C4396" s="66" t="n">
        <v>46135</v>
      </c>
      <c r="D4396" s="2" t="n">
        <v>1</v>
      </c>
      <c r="E4396" s="3" t="inlineStr">
        <is>
          <t>CARABINA</t>
        </is>
      </c>
      <c r="F4396" s="3" t="inlineStr">
        <is>
          <t>308 WIN</t>
        </is>
      </c>
      <c r="G4396" s="84" t="inlineStr">
        <is>
          <t>SAKO</t>
        </is>
      </c>
      <c r="H4396" s="107" t="inlineStr">
        <is>
          <t>90 BAV DX</t>
        </is>
      </c>
      <c r="I4396" s="65" t="inlineStr">
        <is>
          <t>FK3411-PFK3411-LFK3411</t>
        </is>
      </c>
      <c r="J4396" s="107" t="inlineStr">
        <is>
          <t>N/D</t>
        </is>
      </c>
      <c r="K4396" s="65" t="inlineStr">
        <is>
          <t>N/D</t>
        </is>
      </c>
      <c r="L4396" s="127" t="inlineStr">
        <is>
          <t>BRIGNOLI ARMS SRL</t>
        </is>
      </c>
      <c r="M4396" s="5" t="n">
        <v>1735.24</v>
      </c>
      <c r="N4396" s="5" t="n"/>
      <c r="O4396" s="5">
        <f>+M4396+N4396</f>
        <v/>
      </c>
      <c r="P4396" s="4" t="n">
        <v>46135</v>
      </c>
      <c r="Q4396" s="87" t="n">
        <v>46136</v>
      </c>
      <c r="R4396" s="5" t="n"/>
      <c r="S4396" s="2" t="n"/>
      <c r="T4396" s="3" t="n"/>
      <c r="U4396" s="87" t="n"/>
      <c r="V4396" s="3" t="n"/>
      <c r="W4396" s="108" t="n"/>
      <c r="X4396" s="4" t="n"/>
    </row>
    <row r="4397" ht="24" customHeight="1">
      <c r="A4397" s="2">
        <f>+D4397-S4397</f>
        <v/>
      </c>
      <c r="B4397" s="126" t="n">
        <v>5984</v>
      </c>
      <c r="C4397" s="66" t="n">
        <v>46135</v>
      </c>
      <c r="D4397" s="2" t="n">
        <v>1</v>
      </c>
      <c r="E4397" s="3" t="inlineStr">
        <is>
          <t>CANNA PER CARABINA</t>
        </is>
      </c>
      <c r="F4397" s="3" t="inlineStr">
        <is>
          <t>300 WM</t>
        </is>
      </c>
      <c r="G4397" s="84" t="inlineStr">
        <is>
          <t>BLASER</t>
        </is>
      </c>
      <c r="H4397" s="107" t="inlineStr">
        <is>
          <t>R8 FLUTHER THR</t>
        </is>
      </c>
      <c r="I4397" s="107" t="inlineStr">
        <is>
          <t>N/D</t>
        </is>
      </c>
      <c r="J4397" s="107" t="inlineStr">
        <is>
          <t>R/287499</t>
        </is>
      </c>
      <c r="K4397" s="65" t="inlineStr">
        <is>
          <t>N/D</t>
        </is>
      </c>
      <c r="L4397" s="127" t="inlineStr">
        <is>
          <t>BRIGNOLI ARMS SRL</t>
        </is>
      </c>
      <c r="M4397" s="5" t="n">
        <v>1804</v>
      </c>
      <c r="N4397" s="5" t="n"/>
      <c r="O4397" s="5">
        <f>+M4397+N4397</f>
        <v/>
      </c>
      <c r="P4397" s="4" t="n">
        <v>46135</v>
      </c>
      <c r="Q4397" s="87" t="n">
        <v>46136</v>
      </c>
      <c r="R4397" s="5" t="n"/>
      <c r="S4397" s="2" t="n"/>
      <c r="T4397" s="3" t="n"/>
      <c r="U4397" s="87" t="n"/>
      <c r="V4397" s="3" t="n"/>
      <c r="W4397" s="108" t="n"/>
      <c r="X4397" s="4" t="n"/>
    </row>
    <row r="4398" ht="24" customHeight="1">
      <c r="A4398" s="2">
        <f>+D4398-S4398</f>
        <v/>
      </c>
      <c r="B4398" s="126" t="n">
        <v>5985</v>
      </c>
      <c r="C4398" s="66" t="n">
        <v>46135</v>
      </c>
      <c r="D4398" s="2" t="n">
        <v>1</v>
      </c>
      <c r="E4398" s="3" t="inlineStr">
        <is>
          <t>ACCESSORI</t>
        </is>
      </c>
      <c r="F4398" s="3" t="inlineStr">
        <is>
          <t>300 WM</t>
        </is>
      </c>
      <c r="G4398" s="84" t="inlineStr">
        <is>
          <t>BLASER</t>
        </is>
      </c>
      <c r="H4398" s="107" t="inlineStr">
        <is>
          <t>BOLT HEAD R8 MAGNUM DX</t>
        </is>
      </c>
      <c r="I4398" s="107" t="inlineStr">
        <is>
          <t>RB261412</t>
        </is>
      </c>
      <c r="J4398" s="65" t="inlineStr">
        <is>
          <t>N/D</t>
        </is>
      </c>
      <c r="K4398" s="65" t="inlineStr">
        <is>
          <t>N/D</t>
        </is>
      </c>
      <c r="L4398" s="127" t="inlineStr">
        <is>
          <t>BRIGNOLI ARMS SRL</t>
        </is>
      </c>
      <c r="M4398" s="5" t="n">
        <v>320</v>
      </c>
      <c r="N4398" s="5" t="n"/>
      <c r="O4398" s="5">
        <f>+M4398+N4398</f>
        <v/>
      </c>
      <c r="P4398" s="4" t="n">
        <v>46135</v>
      </c>
      <c r="Q4398" s="87" t="n">
        <v>46136</v>
      </c>
      <c r="R4398" s="5" t="n">
        <v>0</v>
      </c>
      <c r="S4398" s="2" t="n">
        <v>1</v>
      </c>
      <c r="T4398" s="3" t="n"/>
      <c r="U4398" s="87" t="n"/>
      <c r="V4398" s="3" t="n"/>
      <c r="W4398" s="108" t="n">
        <v>46150</v>
      </c>
      <c r="X4398" s="4" t="inlineStr">
        <is>
          <t>BRIGNOLI ARMS SRL</t>
        </is>
      </c>
    </row>
    <row r="4399" ht="24" customHeight="1">
      <c r="A4399" s="2">
        <f>+D4399-S4399</f>
        <v/>
      </c>
      <c r="B4399" s="126" t="n"/>
      <c r="C4399" s="66" t="n">
        <v>46135</v>
      </c>
      <c r="D4399" s="2" t="n">
        <v>1</v>
      </c>
      <c r="E4399" s="3" t="inlineStr">
        <is>
          <t>ACCESSORI</t>
        </is>
      </c>
      <c r="F4399" s="107" t="inlineStr">
        <is>
          <t>N/D</t>
        </is>
      </c>
      <c r="G4399" s="84" t="inlineStr">
        <is>
          <t>BLASER</t>
        </is>
      </c>
      <c r="H4399" s="107" t="inlineStr">
        <is>
          <t>BOLT ASSEMBLY</t>
        </is>
      </c>
      <c r="I4399" s="65" t="inlineStr">
        <is>
          <t>N/D</t>
        </is>
      </c>
      <c r="J4399" s="65" t="inlineStr">
        <is>
          <t>N/D</t>
        </is>
      </c>
      <c r="K4399" s="65" t="inlineStr">
        <is>
          <t>N/D</t>
        </is>
      </c>
      <c r="L4399" s="127" t="inlineStr">
        <is>
          <t>BRIGNOLI ARMS SRL</t>
        </is>
      </c>
      <c r="M4399" s="5" t="n">
        <v>300</v>
      </c>
      <c r="N4399" s="5" t="n"/>
      <c r="O4399" s="5">
        <f>+M4399+N4399</f>
        <v/>
      </c>
      <c r="P4399" s="4" t="n">
        <v>46135</v>
      </c>
      <c r="Q4399" s="87" t="n">
        <v>46136</v>
      </c>
      <c r="R4399" s="5" t="n"/>
      <c r="S4399" s="2" t="n"/>
      <c r="T4399" s="3" t="n"/>
      <c r="U4399" s="87" t="n"/>
      <c r="V4399" s="3" t="n"/>
      <c r="W4399" s="108" t="n"/>
      <c r="X4399" s="4" t="n"/>
    </row>
    <row r="4400" ht="24" customHeight="1">
      <c r="A4400" s="2">
        <f>+D4400-S4400</f>
        <v/>
      </c>
      <c r="B4400" s="126" t="n">
        <v>5986</v>
      </c>
      <c r="C4400" s="66" t="n">
        <v>46139</v>
      </c>
      <c r="D4400" s="2" t="n">
        <v>1</v>
      </c>
      <c r="E4400" s="3" t="inlineStr">
        <is>
          <t>FUCILE SEMIAUTOMATICO</t>
        </is>
      </c>
      <c r="F4400" s="3" t="inlineStr">
        <is>
          <t>12</t>
        </is>
      </c>
      <c r="G4400" s="84" t="inlineStr">
        <is>
          <t>BERETTA</t>
        </is>
      </c>
      <c r="H4400" s="107" t="inlineStr">
        <is>
          <t>A 300</t>
        </is>
      </c>
      <c r="I4400" s="107" t="inlineStr">
        <is>
          <t>C30678</t>
        </is>
      </c>
      <c r="J4400" s="107" t="inlineStr">
        <is>
          <t>D29249</t>
        </is>
      </c>
      <c r="K4400" s="65" t="inlineStr">
        <is>
          <t>N/D</t>
        </is>
      </c>
      <c r="L4400" s="127" t="inlineStr">
        <is>
          <t>ARMERIA DAL POZZO G. E C. SNC</t>
        </is>
      </c>
      <c r="M4400" s="5" t="n">
        <v>100</v>
      </c>
      <c r="N4400" s="5" t="n"/>
      <c r="O4400" s="5">
        <f>+M4400+N4400</f>
        <v/>
      </c>
      <c r="P4400" s="4" t="n">
        <v>46139</v>
      </c>
      <c r="Q4400" s="87" t="n">
        <v>46139</v>
      </c>
      <c r="R4400" s="5" t="n"/>
      <c r="S4400" s="2" t="n"/>
      <c r="T4400" s="3" t="n"/>
      <c r="U4400" s="87" t="n"/>
      <c r="V4400" s="3" t="n"/>
      <c r="W4400" s="108" t="n"/>
      <c r="X4400" s="4" t="n"/>
    </row>
    <row r="4401" ht="24" customHeight="1">
      <c r="A4401" s="2">
        <f>+D4401-S4401</f>
        <v/>
      </c>
      <c r="B4401" s="126" t="n">
        <v>5987</v>
      </c>
      <c r="C4401" s="66" t="n">
        <v>46139</v>
      </c>
      <c r="D4401" s="2" t="n">
        <v>1</v>
      </c>
      <c r="E4401" s="3" t="inlineStr">
        <is>
          <t>FUCILE SEMIAUTOMATICO</t>
        </is>
      </c>
      <c r="F4401" s="3" t="inlineStr">
        <is>
          <t>12</t>
        </is>
      </c>
      <c r="G4401" s="84" t="inlineStr">
        <is>
          <t>BERETTA</t>
        </is>
      </c>
      <c r="H4401" s="107" t="inlineStr">
        <is>
          <t>A 300</t>
        </is>
      </c>
      <c r="I4401" s="107" t="inlineStr">
        <is>
          <t>D87624F</t>
        </is>
      </c>
      <c r="J4401" s="107" t="inlineStr">
        <is>
          <t>C19830E</t>
        </is>
      </c>
      <c r="K4401" s="65" t="inlineStr">
        <is>
          <t>N/D</t>
        </is>
      </c>
      <c r="L4401" s="127" t="inlineStr">
        <is>
          <t>ARMERIA DAL POZZO G. E C. SNC</t>
        </is>
      </c>
      <c r="M4401" s="5" t="n">
        <v>100</v>
      </c>
      <c r="N4401" s="5" t="n"/>
      <c r="O4401" s="5">
        <f>+M4401+N4401</f>
        <v/>
      </c>
      <c r="P4401" s="4" t="n">
        <v>46139</v>
      </c>
      <c r="Q4401" s="87" t="n">
        <v>46139</v>
      </c>
      <c r="R4401" s="5" t="n"/>
      <c r="S4401" s="2" t="n"/>
      <c r="T4401" s="3" t="n"/>
      <c r="U4401" s="87" t="n"/>
      <c r="V4401" s="3" t="n"/>
      <c r="W4401" s="108" t="n"/>
      <c r="X4401" s="4" t="n"/>
    </row>
    <row r="4402" ht="24" customHeight="1">
      <c r="A4402" s="2">
        <f>+D4402-S4402</f>
        <v/>
      </c>
      <c r="B4402" s="126" t="n">
        <v>5988</v>
      </c>
      <c r="C4402" s="66" t="n">
        <v>46139</v>
      </c>
      <c r="D4402" s="2" t="n">
        <v>1</v>
      </c>
      <c r="E4402" s="3" t="inlineStr">
        <is>
          <t>FUCILE SEMIAUTOMATICO</t>
        </is>
      </c>
      <c r="F4402" s="3" t="inlineStr">
        <is>
          <t>12</t>
        </is>
      </c>
      <c r="G4402" s="84" t="inlineStr">
        <is>
          <t>BREDA</t>
        </is>
      </c>
      <c r="H4402" s="107" t="inlineStr">
        <is>
          <t>(tipo Beretta)</t>
        </is>
      </c>
      <c r="I4402" s="107" t="inlineStr">
        <is>
          <t>625778</t>
        </is>
      </c>
      <c r="J4402" s="107" t="inlineStr">
        <is>
          <t>371909</t>
        </is>
      </c>
      <c r="K4402" s="65" t="inlineStr">
        <is>
          <t>N/D</t>
        </is>
      </c>
      <c r="L4402" s="127" t="inlineStr">
        <is>
          <t>ARMERIA DAL POZZO G. E C. SNC</t>
        </is>
      </c>
      <c r="M4402" s="5" t="n">
        <v>100</v>
      </c>
      <c r="N4402" s="5" t="n"/>
      <c r="O4402" s="5">
        <f>+M4402+N4402</f>
        <v/>
      </c>
      <c r="P4402" s="4" t="n">
        <v>46139</v>
      </c>
      <c r="Q4402" s="87" t="n">
        <v>46139</v>
      </c>
      <c r="R4402" s="5" t="n"/>
      <c r="S4402" s="2" t="n"/>
      <c r="T4402" s="3" t="n"/>
      <c r="U4402" s="87" t="n"/>
      <c r="V4402" s="3" t="n"/>
      <c r="W4402" s="108" t="n"/>
      <c r="X4402" s="4" t="n"/>
    </row>
    <row r="4403" ht="24" customHeight="1">
      <c r="A4403" s="2">
        <f>+D4403-S4403</f>
        <v/>
      </c>
      <c r="B4403" s="126" t="n">
        <v>5989</v>
      </c>
      <c r="C4403" s="66" t="n">
        <v>46139</v>
      </c>
      <c r="D4403" s="2" t="n">
        <v>1</v>
      </c>
      <c r="E4403" s="3" t="inlineStr">
        <is>
          <t>FUCILE SEMIAUTOMATICO</t>
        </is>
      </c>
      <c r="F4403" s="3" t="inlineStr">
        <is>
          <t>12</t>
        </is>
      </c>
      <c r="G4403" s="84" t="inlineStr">
        <is>
          <t>BERETTA</t>
        </is>
      </c>
      <c r="H4403" s="107" t="inlineStr">
        <is>
          <t>A 300</t>
        </is>
      </c>
      <c r="I4403" s="107" t="inlineStr">
        <is>
          <t>B21466F</t>
        </is>
      </c>
      <c r="J4403" s="107" t="inlineStr">
        <is>
          <t>D05018</t>
        </is>
      </c>
      <c r="K4403" s="65" t="inlineStr">
        <is>
          <t>N/D</t>
        </is>
      </c>
      <c r="L4403" s="127" t="inlineStr">
        <is>
          <t>ARMERIA DAL POZZO G. E C. SNC</t>
        </is>
      </c>
      <c r="M4403" s="5" t="n">
        <v>100</v>
      </c>
      <c r="N4403" s="5" t="n"/>
      <c r="O4403" s="5">
        <f>+M4403+N4403</f>
        <v/>
      </c>
      <c r="P4403" s="4" t="n">
        <v>46139</v>
      </c>
      <c r="Q4403" s="87" t="n">
        <v>46139</v>
      </c>
      <c r="R4403" s="5" t="n"/>
      <c r="S4403" s="2" t="n"/>
      <c r="T4403" s="3" t="n"/>
      <c r="U4403" s="87" t="n"/>
      <c r="V4403" s="3" t="n"/>
      <c r="W4403" s="108" t="n"/>
      <c r="X4403" s="4" t="n"/>
    </row>
    <row r="4404" ht="24" customHeight="1">
      <c r="A4404" s="2">
        <f>+D4404-S4404</f>
        <v/>
      </c>
      <c r="B4404" s="126" t="n">
        <v>5990</v>
      </c>
      <c r="C4404" s="66" t="n">
        <v>46139</v>
      </c>
      <c r="D4404" s="2" t="n">
        <v>1</v>
      </c>
      <c r="E4404" s="3" t="inlineStr">
        <is>
          <t>FUCILE SEMIAUTOMATICO</t>
        </is>
      </c>
      <c r="F4404" s="3" t="inlineStr">
        <is>
          <t>12</t>
        </is>
      </c>
      <c r="G4404" s="84" t="inlineStr">
        <is>
          <t>FRANCHI</t>
        </is>
      </c>
      <c r="H4404" s="107" t="inlineStr">
        <is>
          <t>ELITE</t>
        </is>
      </c>
      <c r="I4404" s="107" t="inlineStr">
        <is>
          <t>NNL2482</t>
        </is>
      </c>
      <c r="J4404" s="107" t="inlineStr">
        <is>
          <t>S49118</t>
        </is>
      </c>
      <c r="K4404" s="65" t="inlineStr">
        <is>
          <t>N/D</t>
        </is>
      </c>
      <c r="L4404" s="127" t="inlineStr">
        <is>
          <t>ARMERIA DAL POZZO G. E C. SNC</t>
        </is>
      </c>
      <c r="M4404" s="5" t="n">
        <v>100</v>
      </c>
      <c r="N4404" s="5" t="n"/>
      <c r="O4404" s="5">
        <f>+M4404+N4404</f>
        <v/>
      </c>
      <c r="P4404" s="4" t="n">
        <v>46139</v>
      </c>
      <c r="Q4404" s="87" t="n">
        <v>46139</v>
      </c>
      <c r="R4404" s="5" t="n"/>
      <c r="S4404" s="2" t="n"/>
      <c r="T4404" s="3" t="n"/>
      <c r="U4404" s="87" t="n"/>
      <c r="V4404" s="3" t="n"/>
      <c r="W4404" s="108" t="n"/>
      <c r="X4404" s="4" t="n"/>
    </row>
    <row r="4405" ht="24" customHeight="1">
      <c r="A4405" s="2">
        <f>+D4405-S4405</f>
        <v/>
      </c>
      <c r="B4405" s="126" t="n">
        <v>5991</v>
      </c>
      <c r="C4405" s="66" t="n">
        <v>46139</v>
      </c>
      <c r="D4405" s="2" t="n">
        <v>1</v>
      </c>
      <c r="E4405" s="3" t="inlineStr">
        <is>
          <t>FUCILE SEMIAUTOMATICO</t>
        </is>
      </c>
      <c r="F4405" s="3" t="inlineStr">
        <is>
          <t>12</t>
        </is>
      </c>
      <c r="G4405" s="84" t="inlineStr">
        <is>
          <t>BENELLI</t>
        </is>
      </c>
      <c r="H4405" s="107" t="inlineStr">
        <is>
          <t>121</t>
        </is>
      </c>
      <c r="I4405" s="107" t="inlineStr">
        <is>
          <t>232531</t>
        </is>
      </c>
      <c r="J4405" s="107" t="inlineStr">
        <is>
          <t>A30673</t>
        </is>
      </c>
      <c r="K4405" s="65" t="inlineStr">
        <is>
          <t>N/D</t>
        </is>
      </c>
      <c r="L4405" s="127" t="inlineStr">
        <is>
          <t>ARMERIA DAL POZZO G. E C. SNC</t>
        </is>
      </c>
      <c r="M4405" s="5" t="n">
        <v>150</v>
      </c>
      <c r="N4405" s="5" t="n"/>
      <c r="O4405" s="5">
        <f>+M4405+N4405</f>
        <v/>
      </c>
      <c r="P4405" s="4" t="n">
        <v>46139</v>
      </c>
      <c r="Q4405" s="87" t="n">
        <v>46139</v>
      </c>
      <c r="R4405" s="5" t="n"/>
      <c r="S4405" s="2" t="n"/>
      <c r="T4405" s="3" t="n"/>
      <c r="U4405" s="87" t="n"/>
      <c r="V4405" s="3" t="n"/>
      <c r="W4405" s="108" t="n"/>
      <c r="X4405" s="4" t="n"/>
    </row>
    <row r="4406" ht="24" customHeight="1">
      <c r="A4406" s="2">
        <f>+D4406-S4406</f>
        <v/>
      </c>
      <c r="B4406" s="126" t="n">
        <v>5992</v>
      </c>
      <c r="C4406" s="66" t="n">
        <v>46139</v>
      </c>
      <c r="D4406" s="2" t="n">
        <v>1</v>
      </c>
      <c r="E4406" s="3" t="inlineStr">
        <is>
          <t>FUCILE SEMIAUTOMATICO</t>
        </is>
      </c>
      <c r="F4406" s="3" t="inlineStr">
        <is>
          <t>12</t>
        </is>
      </c>
      <c r="G4406" s="84" t="inlineStr">
        <is>
          <t>BERETTA</t>
        </is>
      </c>
      <c r="H4406" s="107" t="inlineStr">
        <is>
          <t>A 302</t>
        </is>
      </c>
      <c r="I4406" s="107" t="inlineStr">
        <is>
          <t>P25362F</t>
        </is>
      </c>
      <c r="J4406" s="107" t="inlineStr">
        <is>
          <t>F51326E</t>
        </is>
      </c>
      <c r="K4406" s="65" t="inlineStr">
        <is>
          <t>N/D</t>
        </is>
      </c>
      <c r="L4406" s="127" t="inlineStr">
        <is>
          <t>ARMERIA DAL POZZO G. E C. SNC</t>
        </is>
      </c>
      <c r="M4406" s="5" t="n">
        <v>150</v>
      </c>
      <c r="N4406" s="5" t="n"/>
      <c r="O4406" s="5">
        <f>+M4406+N4406</f>
        <v/>
      </c>
      <c r="P4406" s="4" t="n">
        <v>46139</v>
      </c>
      <c r="Q4406" s="87" t="n">
        <v>46139</v>
      </c>
      <c r="R4406" s="5" t="n"/>
      <c r="S4406" s="2" t="n"/>
      <c r="T4406" s="3" t="n"/>
      <c r="U4406" s="87" t="n"/>
      <c r="V4406" s="3" t="n"/>
      <c r="W4406" s="108" t="n"/>
      <c r="X4406" s="4" t="n"/>
    </row>
    <row r="4407" ht="24" customHeight="1">
      <c r="A4407" s="2">
        <f>+D4407-S4407</f>
        <v/>
      </c>
      <c r="B4407" s="126" t="n">
        <v>5993</v>
      </c>
      <c r="C4407" s="66" t="n">
        <v>46139</v>
      </c>
      <c r="D4407" s="2" t="n">
        <v>1</v>
      </c>
      <c r="E4407" s="3" t="inlineStr">
        <is>
          <t>FUCILE SEMIAUTOMATICO</t>
        </is>
      </c>
      <c r="F4407" s="3" t="inlineStr">
        <is>
          <t>12</t>
        </is>
      </c>
      <c r="G4407" s="84" t="inlineStr">
        <is>
          <t>BERETTA</t>
        </is>
      </c>
      <c r="H4407" s="107" t="inlineStr">
        <is>
          <t>A 301L</t>
        </is>
      </c>
      <c r="I4407" s="107" t="inlineStr">
        <is>
          <t>E70262F</t>
        </is>
      </c>
      <c r="J4407" s="107" t="inlineStr">
        <is>
          <t>D74398E</t>
        </is>
      </c>
      <c r="K4407" s="65" t="inlineStr">
        <is>
          <t>N/D</t>
        </is>
      </c>
      <c r="L4407" s="127" t="inlineStr">
        <is>
          <t>ARMERIA DAL POZZO G. E C. SNC</t>
        </is>
      </c>
      <c r="M4407" s="5" t="n">
        <v>100</v>
      </c>
      <c r="N4407" s="5" t="n"/>
      <c r="O4407" s="5">
        <f>+M4407+N4407</f>
        <v/>
      </c>
      <c r="P4407" s="4" t="n">
        <v>46139</v>
      </c>
      <c r="Q4407" s="87" t="n">
        <v>46139</v>
      </c>
      <c r="R4407" s="5" t="n"/>
      <c r="S4407" s="2" t="n"/>
      <c r="T4407" s="3" t="n"/>
      <c r="U4407" s="87" t="n"/>
      <c r="V4407" s="3" t="n"/>
      <c r="W4407" s="108" t="n"/>
      <c r="X4407" s="4" t="n"/>
    </row>
    <row r="4408" ht="24" customHeight="1">
      <c r="A4408" s="2">
        <f>+D4408-S4408</f>
        <v/>
      </c>
      <c r="B4408" s="126" t="n">
        <v>5994</v>
      </c>
      <c r="C4408" s="66" t="n">
        <v>46139</v>
      </c>
      <c r="D4408" s="2" t="n">
        <v>1</v>
      </c>
      <c r="E4408" s="3" t="inlineStr">
        <is>
          <t>FUCILE SEMIAUTOMATICO</t>
        </is>
      </c>
      <c r="F4408" s="3" t="inlineStr">
        <is>
          <t>12</t>
        </is>
      </c>
      <c r="G4408" s="84" t="inlineStr">
        <is>
          <t>BENELLI</t>
        </is>
      </c>
      <c r="H4408" s="107" t="inlineStr">
        <is>
          <t>123</t>
        </is>
      </c>
      <c r="I4408" s="107" t="inlineStr">
        <is>
          <t>A52674</t>
        </is>
      </c>
      <c r="J4408" s="107" t="inlineStr">
        <is>
          <t>A48270</t>
        </is>
      </c>
      <c r="K4408" s="65" t="inlineStr">
        <is>
          <t>N/D</t>
        </is>
      </c>
      <c r="L4408" s="127" t="inlineStr">
        <is>
          <t>ARMERIA DAL POZZO G. E C. SNC</t>
        </is>
      </c>
      <c r="M4408" s="5" t="n">
        <v>150</v>
      </c>
      <c r="N4408" s="5" t="n"/>
      <c r="O4408" s="5">
        <f>+M4408+N4408</f>
        <v/>
      </c>
      <c r="P4408" s="4" t="n">
        <v>46139</v>
      </c>
      <c r="Q4408" s="87" t="n">
        <v>46139</v>
      </c>
      <c r="R4408" s="5" t="n"/>
      <c r="S4408" s="2" t="n"/>
      <c r="T4408" s="3" t="n"/>
      <c r="U4408" s="87" t="n"/>
      <c r="V4408" s="3" t="n"/>
      <c r="W4408" s="108" t="n"/>
      <c r="X4408" s="4" t="n"/>
    </row>
    <row r="4409" ht="24" customHeight="1">
      <c r="A4409" s="2">
        <f>+D4409-S4409</f>
        <v/>
      </c>
      <c r="B4409" s="126" t="n">
        <v>5995</v>
      </c>
      <c r="C4409" s="66" t="n">
        <v>46139</v>
      </c>
      <c r="D4409" s="2" t="n">
        <v>1</v>
      </c>
      <c r="E4409" s="3" t="inlineStr">
        <is>
          <t>FUCILE SEMIAUTOMATICO</t>
        </is>
      </c>
      <c r="F4409" s="3" t="inlineStr">
        <is>
          <t>12</t>
        </is>
      </c>
      <c r="G4409" s="84" t="inlineStr">
        <is>
          <t>BENELLI</t>
        </is>
      </c>
      <c r="H4409" s="107" t="inlineStr">
        <is>
          <t>CENTRO</t>
        </is>
      </c>
      <c r="I4409" s="107" t="inlineStr">
        <is>
          <t>C392849</t>
        </is>
      </c>
      <c r="J4409" s="107" t="inlineStr">
        <is>
          <t>M274945</t>
        </is>
      </c>
      <c r="K4409" s="65" t="inlineStr">
        <is>
          <t>N/D</t>
        </is>
      </c>
      <c r="L4409" s="127" t="inlineStr">
        <is>
          <t>ARMERIA DAL POZZO G. E C. SNC</t>
        </is>
      </c>
      <c r="M4409" s="5" t="n">
        <v>250</v>
      </c>
      <c r="N4409" s="5" t="n"/>
      <c r="O4409" s="5">
        <f>+M4409+N4409</f>
        <v/>
      </c>
      <c r="P4409" s="4" t="n">
        <v>46139</v>
      </c>
      <c r="Q4409" s="87" t="n">
        <v>46139</v>
      </c>
      <c r="R4409" s="5" t="n"/>
      <c r="S4409" s="2" t="n"/>
      <c r="T4409" s="3" t="n"/>
      <c r="U4409" s="87" t="n"/>
      <c r="V4409" s="3" t="n"/>
      <c r="W4409" s="108" t="n"/>
      <c r="X4409" s="4" t="n"/>
    </row>
    <row r="4410" ht="24" customHeight="1">
      <c r="A4410" s="2">
        <f>+D4410-S4410</f>
        <v/>
      </c>
      <c r="B4410" s="126" t="n">
        <v>5996</v>
      </c>
      <c r="C4410" s="66" t="n">
        <v>46139</v>
      </c>
      <c r="D4410" s="2" t="n">
        <v>1</v>
      </c>
      <c r="E4410" s="3" t="inlineStr">
        <is>
          <t>FUCILE SEMIAUTOMATICO</t>
        </is>
      </c>
      <c r="F4410" s="3" t="inlineStr">
        <is>
          <t>12</t>
        </is>
      </c>
      <c r="G4410" s="84" t="inlineStr">
        <is>
          <t>BREDA</t>
        </is>
      </c>
      <c r="H4410" s="107" t="inlineStr">
        <is>
          <t>ALPO BERETTA</t>
        </is>
      </c>
      <c r="I4410" s="107" t="inlineStr">
        <is>
          <t>613464</t>
        </is>
      </c>
      <c r="J4410" s="107" t="inlineStr">
        <is>
          <t>357379</t>
        </is>
      </c>
      <c r="K4410" s="65" t="inlineStr">
        <is>
          <t>N/D</t>
        </is>
      </c>
      <c r="L4410" s="127" t="inlineStr">
        <is>
          <t>ARMERIA DAL POZZO G. E C. SNC</t>
        </is>
      </c>
      <c r="M4410" s="5" t="n">
        <v>100</v>
      </c>
      <c r="N4410" s="5" t="n"/>
      <c r="O4410" s="5">
        <f>+M4410+N4410</f>
        <v/>
      </c>
      <c r="P4410" s="4" t="n">
        <v>46139</v>
      </c>
      <c r="Q4410" s="87" t="n">
        <v>46139</v>
      </c>
      <c r="R4410" s="5" t="n"/>
      <c r="S4410" s="2" t="n"/>
      <c r="T4410" s="3" t="n"/>
      <c r="U4410" s="87" t="n"/>
      <c r="V4410" s="3" t="n"/>
      <c r="W4410" s="108" t="n"/>
      <c r="X4410" s="4" t="n"/>
    </row>
    <row r="4411" ht="24" customHeight="1">
      <c r="A4411" s="2">
        <f>+D4411-S4411</f>
        <v/>
      </c>
      <c r="B4411" s="126" t="n">
        <v>5997</v>
      </c>
      <c r="C4411" s="66" t="n">
        <v>46139</v>
      </c>
      <c r="D4411" s="2" t="n">
        <v>1</v>
      </c>
      <c r="E4411" s="3" t="inlineStr">
        <is>
          <t>FUCILE SEMIAUTOMATICO</t>
        </is>
      </c>
      <c r="F4411" s="3" t="inlineStr">
        <is>
          <t>12</t>
        </is>
      </c>
      <c r="G4411" s="84" t="inlineStr">
        <is>
          <t>BREDA</t>
        </is>
      </c>
      <c r="H4411" s="107" t="inlineStr">
        <is>
          <t>LUNGO RINCULO</t>
        </is>
      </c>
      <c r="I4411" s="107" t="inlineStr">
        <is>
          <t>BV195941</t>
        </is>
      </c>
      <c r="J4411" s="107" t="inlineStr">
        <is>
          <t>77772</t>
        </is>
      </c>
      <c r="K4411" s="65" t="inlineStr">
        <is>
          <t>N/D</t>
        </is>
      </c>
      <c r="L4411" s="127" t="inlineStr">
        <is>
          <t>ARMERIA DAL POZZO G. E C. SNC</t>
        </is>
      </c>
      <c r="M4411" s="5" t="n">
        <v>20</v>
      </c>
      <c r="N4411" s="5" t="n"/>
      <c r="O4411" s="5">
        <f>+M4411+N4411</f>
        <v/>
      </c>
      <c r="P4411" s="4" t="n">
        <v>46139</v>
      </c>
      <c r="Q4411" s="87" t="n">
        <v>46139</v>
      </c>
      <c r="R4411" s="5" t="n"/>
      <c r="S4411" s="2" t="n"/>
      <c r="T4411" s="3" t="n"/>
      <c r="U4411" s="87" t="n"/>
      <c r="V4411" s="3" t="n"/>
      <c r="W4411" s="108" t="n"/>
      <c r="X4411" s="4" t="n"/>
    </row>
    <row r="4412" ht="24" customHeight="1">
      <c r="A4412" s="2">
        <f>+D4412-S4412</f>
        <v/>
      </c>
      <c r="B4412" s="126" t="n">
        <v>5998</v>
      </c>
      <c r="C4412" s="66" t="n">
        <v>46139</v>
      </c>
      <c r="D4412" s="2" t="n">
        <v>1</v>
      </c>
      <c r="E4412" s="3" t="inlineStr">
        <is>
          <t>FUCILE SEMIAUTOMATICO</t>
        </is>
      </c>
      <c r="F4412" s="3" t="inlineStr">
        <is>
          <t>12</t>
        </is>
      </c>
      <c r="G4412" s="84" t="inlineStr">
        <is>
          <t>BREDA</t>
        </is>
      </c>
      <c r="H4412" s="107" t="inlineStr">
        <is>
          <t>LUNGO RINCULO</t>
        </is>
      </c>
      <c r="I4412" s="107" t="inlineStr">
        <is>
          <t>BV277047</t>
        </is>
      </c>
      <c r="J4412" s="107" t="inlineStr">
        <is>
          <t>155843</t>
        </is>
      </c>
      <c r="K4412" s="65" t="inlineStr">
        <is>
          <t>N/D</t>
        </is>
      </c>
      <c r="L4412" s="127" t="inlineStr">
        <is>
          <t>ARMERIA DAL POZZO G. E C. SNC</t>
        </is>
      </c>
      <c r="M4412" s="5" t="n">
        <v>20</v>
      </c>
      <c r="N4412" s="5" t="n"/>
      <c r="O4412" s="5">
        <f>+M4412+N4412</f>
        <v/>
      </c>
      <c r="P4412" s="4" t="n">
        <v>46139</v>
      </c>
      <c r="Q4412" s="87" t="n">
        <v>46139</v>
      </c>
      <c r="R4412" s="5" t="n"/>
      <c r="S4412" s="2" t="n"/>
      <c r="T4412" s="3" t="n"/>
      <c r="U4412" s="87" t="n"/>
      <c r="V4412" s="3" t="n"/>
      <c r="W4412" s="108" t="n"/>
      <c r="X4412" s="4" t="n"/>
    </row>
    <row r="4413" ht="24" customHeight="1">
      <c r="A4413" s="2">
        <f>+D4413-S4413</f>
        <v/>
      </c>
      <c r="B4413" s="126" t="n">
        <v>5999</v>
      </c>
      <c r="C4413" s="66" t="n">
        <v>46139</v>
      </c>
      <c r="D4413" s="2" t="n">
        <v>1</v>
      </c>
      <c r="E4413" s="3" t="inlineStr">
        <is>
          <t>FUCILE SEMIAUTOMATICO</t>
        </is>
      </c>
      <c r="F4413" s="3" t="inlineStr">
        <is>
          <t>12</t>
        </is>
      </c>
      <c r="G4413" s="84" t="inlineStr">
        <is>
          <t>BREDA</t>
        </is>
      </c>
      <c r="H4413" s="107" t="inlineStr">
        <is>
          <t>LUNGO RINCULO</t>
        </is>
      </c>
      <c r="I4413" s="107" t="inlineStr">
        <is>
          <t>50705</t>
        </is>
      </c>
      <c r="J4413" s="107" t="inlineStr">
        <is>
          <t>59339</t>
        </is>
      </c>
      <c r="K4413" s="65" t="inlineStr">
        <is>
          <t>N/D</t>
        </is>
      </c>
      <c r="L4413" s="127" t="inlineStr">
        <is>
          <t>ARMERIA DAL POZZO G. E C. SNC</t>
        </is>
      </c>
      <c r="M4413" s="5" t="n">
        <v>20</v>
      </c>
      <c r="N4413" s="5" t="n"/>
      <c r="O4413" s="5">
        <f>+M4413+N4413</f>
        <v/>
      </c>
      <c r="P4413" s="4" t="n">
        <v>46139</v>
      </c>
      <c r="Q4413" s="87" t="n">
        <v>46139</v>
      </c>
      <c r="R4413" s="5" t="n"/>
      <c r="S4413" s="2" t="n"/>
      <c r="T4413" s="3" t="n"/>
      <c r="U4413" s="87" t="n"/>
      <c r="V4413" s="3" t="n"/>
      <c r="W4413" s="108" t="n"/>
      <c r="X4413" s="4" t="n"/>
    </row>
    <row r="4414" ht="24" customHeight="1">
      <c r="A4414" s="2">
        <f>+D4414-S4414</f>
        <v/>
      </c>
      <c r="B4414" s="126" t="n">
        <v>6000</v>
      </c>
      <c r="C4414" s="66" t="n">
        <v>46139</v>
      </c>
      <c r="D4414" s="2" t="n">
        <v>1</v>
      </c>
      <c r="E4414" s="3" t="inlineStr">
        <is>
          <t>FUCILE SEMIAUTOMATICO</t>
        </is>
      </c>
      <c r="F4414" s="3" t="inlineStr">
        <is>
          <t>12</t>
        </is>
      </c>
      <c r="G4414" s="84" t="inlineStr">
        <is>
          <t>FRANCHI</t>
        </is>
      </c>
      <c r="H4414" s="107" t="inlineStr">
        <is>
          <t>LUNGO RINCULO</t>
        </is>
      </c>
      <c r="I4414" s="107" t="inlineStr">
        <is>
          <t>867670</t>
        </is>
      </c>
      <c r="J4414" s="107" t="inlineStr">
        <is>
          <t>A69370</t>
        </is>
      </c>
      <c r="K4414" s="65" t="inlineStr">
        <is>
          <t>N/D</t>
        </is>
      </c>
      <c r="L4414" s="127" t="inlineStr">
        <is>
          <t>ARMERIA DAL POZZO G. E C. SNC</t>
        </is>
      </c>
      <c r="M4414" s="5" t="n">
        <v>20</v>
      </c>
      <c r="N4414" s="5" t="n"/>
      <c r="O4414" s="5">
        <f>+M4414+N4414</f>
        <v/>
      </c>
      <c r="P4414" s="4" t="n">
        <v>46139</v>
      </c>
      <c r="Q4414" s="87" t="n">
        <v>46139</v>
      </c>
      <c r="R4414" s="5" t="n"/>
      <c r="S4414" s="2" t="n"/>
      <c r="T4414" s="3" t="n"/>
      <c r="U4414" s="87" t="n"/>
      <c r="V4414" s="3" t="n"/>
      <c r="W4414" s="108" t="n"/>
      <c r="X4414" s="4" t="n"/>
    </row>
    <row r="4415" ht="24" customHeight="1">
      <c r="A4415" s="2">
        <f>+D4415-S4415</f>
        <v/>
      </c>
      <c r="B4415" s="126" t="n">
        <v>6001</v>
      </c>
      <c r="C4415" s="66" t="n">
        <v>46139</v>
      </c>
      <c r="D4415" s="2" t="n">
        <v>1</v>
      </c>
      <c r="E4415" s="3" t="inlineStr">
        <is>
          <t>FUCILE SEMIAUTOMATICO</t>
        </is>
      </c>
      <c r="F4415" s="3" t="inlineStr">
        <is>
          <t>12</t>
        </is>
      </c>
      <c r="G4415" s="84" t="inlineStr">
        <is>
          <t>BREDA</t>
        </is>
      </c>
      <c r="H4415" s="107" t="inlineStr">
        <is>
          <t>LUNGO RINCULO</t>
        </is>
      </c>
      <c r="I4415" s="107" t="inlineStr">
        <is>
          <t>BV231129</t>
        </is>
      </c>
      <c r="J4415" s="107" t="inlineStr">
        <is>
          <t>591366</t>
        </is>
      </c>
      <c r="K4415" s="65" t="inlineStr">
        <is>
          <t>N/D</t>
        </is>
      </c>
      <c r="L4415" s="127" t="inlineStr">
        <is>
          <t>ARMERIA DAL POZZO G. E C. SNC</t>
        </is>
      </c>
      <c r="M4415" s="5" t="n">
        <v>20</v>
      </c>
      <c r="N4415" s="5" t="n"/>
      <c r="O4415" s="5">
        <f>+M4415+N4415</f>
        <v/>
      </c>
      <c r="P4415" s="4" t="n">
        <v>46139</v>
      </c>
      <c r="Q4415" s="87" t="n">
        <v>46139</v>
      </c>
      <c r="R4415" s="5" t="n"/>
      <c r="S4415" s="2" t="n"/>
      <c r="T4415" s="3" t="n"/>
      <c r="U4415" s="87" t="n"/>
      <c r="V4415" s="3" t="n"/>
      <c r="W4415" s="108" t="n"/>
      <c r="X4415" s="4" t="n"/>
    </row>
    <row r="4416" ht="24" customHeight="1">
      <c r="A4416" s="2">
        <f>+D4416-S4416</f>
        <v/>
      </c>
      <c r="B4416" s="126" t="n">
        <v>6002</v>
      </c>
      <c r="C4416" s="66" t="n">
        <v>46139</v>
      </c>
      <c r="D4416" s="2" t="n">
        <v>1</v>
      </c>
      <c r="E4416" s="3" t="inlineStr">
        <is>
          <t>FUCILE SEMIAUTOMATICO</t>
        </is>
      </c>
      <c r="F4416" s="3" t="inlineStr">
        <is>
          <t>12</t>
        </is>
      </c>
      <c r="G4416" s="84" t="inlineStr">
        <is>
          <t>BERETTA</t>
        </is>
      </c>
      <c r="H4416" s="107" t="inlineStr">
        <is>
          <t>A 301</t>
        </is>
      </c>
      <c r="I4416" s="107" t="inlineStr">
        <is>
          <t>C51267F</t>
        </is>
      </c>
      <c r="J4416" s="107" t="inlineStr">
        <is>
          <t>B71266E</t>
        </is>
      </c>
      <c r="K4416" s="65" t="inlineStr">
        <is>
          <t>N/D</t>
        </is>
      </c>
      <c r="L4416" s="127" t="inlineStr">
        <is>
          <t>ARMERIA DAL POZZO G. E C. SNC</t>
        </is>
      </c>
      <c r="M4416" s="5" t="n">
        <v>200</v>
      </c>
      <c r="N4416" s="5" t="n"/>
      <c r="O4416" s="5">
        <f>+M4416+N4416</f>
        <v/>
      </c>
      <c r="P4416" s="4" t="n">
        <v>46139</v>
      </c>
      <c r="Q4416" s="87" t="n">
        <v>46139</v>
      </c>
      <c r="R4416" s="5" t="n"/>
      <c r="S4416" s="2" t="n"/>
      <c r="T4416" s="3" t="n"/>
      <c r="U4416" s="87" t="n"/>
      <c r="V4416" s="3" t="n"/>
      <c r="W4416" s="108" t="n"/>
      <c r="X4416" s="4" t="n"/>
    </row>
    <row r="4417" ht="24" customHeight="1">
      <c r="A4417" s="2">
        <f>+D4417-S4417</f>
        <v/>
      </c>
      <c r="B4417" s="126" t="n">
        <v>6003</v>
      </c>
      <c r="C4417" s="66" t="n">
        <v>46139</v>
      </c>
      <c r="D4417" s="2" t="n">
        <v>1</v>
      </c>
      <c r="E4417" s="3" t="inlineStr">
        <is>
          <t>FUCILE SEMIAUTOMATICO</t>
        </is>
      </c>
      <c r="F4417" s="3" t="inlineStr">
        <is>
          <t>12</t>
        </is>
      </c>
      <c r="G4417" s="84" t="inlineStr">
        <is>
          <t>BERETTA</t>
        </is>
      </c>
      <c r="H4417" s="107" t="inlineStr">
        <is>
          <t>A 301</t>
        </is>
      </c>
      <c r="I4417" s="107" t="inlineStr">
        <is>
          <t>E72102F</t>
        </is>
      </c>
      <c r="J4417" s="107" t="inlineStr">
        <is>
          <t>B24511E</t>
        </is>
      </c>
      <c r="K4417" s="65" t="inlineStr">
        <is>
          <t>N/D</t>
        </is>
      </c>
      <c r="L4417" s="127" t="inlineStr">
        <is>
          <t>ARMERIA DAL POZZO G. E C. SNC</t>
        </is>
      </c>
      <c r="M4417" s="5" t="n">
        <v>100</v>
      </c>
      <c r="N4417" s="5" t="n"/>
      <c r="O4417" s="5">
        <f>+M4417+N4417</f>
        <v/>
      </c>
      <c r="P4417" s="4" t="n">
        <v>46139</v>
      </c>
      <c r="Q4417" s="87" t="n">
        <v>46139</v>
      </c>
      <c r="R4417" s="5" t="n"/>
      <c r="S4417" s="2" t="n"/>
      <c r="T4417" s="3" t="n"/>
      <c r="U4417" s="87" t="n"/>
      <c r="V4417" s="3" t="n"/>
      <c r="W4417" s="108" t="n"/>
      <c r="X4417" s="4" t="n"/>
    </row>
    <row r="4418" ht="24" customHeight="1">
      <c r="A4418" s="2">
        <f>+D4418-S4418</f>
        <v/>
      </c>
      <c r="B4418" s="126" t="n">
        <v>6004</v>
      </c>
      <c r="C4418" s="66" t="n">
        <v>46139</v>
      </c>
      <c r="D4418" s="2" t="n">
        <v>1</v>
      </c>
      <c r="E4418" s="3" t="inlineStr">
        <is>
          <t>FUCILE SEMIAUTOMATICO</t>
        </is>
      </c>
      <c r="F4418" s="3" t="inlineStr">
        <is>
          <t>12</t>
        </is>
      </c>
      <c r="G4418" s="84" t="inlineStr">
        <is>
          <t>BERETTA</t>
        </is>
      </c>
      <c r="H4418" s="107" t="inlineStr">
        <is>
          <t>A 300</t>
        </is>
      </c>
      <c r="I4418" s="107" t="inlineStr">
        <is>
          <t>C94084</t>
        </is>
      </c>
      <c r="J4418" s="107" t="inlineStr">
        <is>
          <t>G36502</t>
        </is>
      </c>
      <c r="K4418" s="65" t="inlineStr">
        <is>
          <t>N/D</t>
        </is>
      </c>
      <c r="L4418" s="127" t="inlineStr">
        <is>
          <t>ARMERIA DAL POZZO G. E C. SNC</t>
        </is>
      </c>
      <c r="M4418" s="5" t="n">
        <v>100</v>
      </c>
      <c r="N4418" s="5" t="n"/>
      <c r="O4418" s="5">
        <f>+M4418+N4418</f>
        <v/>
      </c>
      <c r="P4418" s="4" t="n">
        <v>46139</v>
      </c>
      <c r="Q4418" s="87" t="n">
        <v>46139</v>
      </c>
      <c r="R4418" s="5" t="n"/>
      <c r="S4418" s="2" t="n"/>
      <c r="T4418" s="3" t="n"/>
      <c r="U4418" s="87" t="n"/>
      <c r="V4418" s="3" t="n"/>
      <c r="W4418" s="108" t="n"/>
      <c r="X4418" s="4" t="n"/>
    </row>
    <row r="4419" ht="24" customHeight="1">
      <c r="A4419" s="2">
        <f>+D4419-S4419</f>
        <v/>
      </c>
      <c r="B4419" s="126" t="n">
        <v>6005</v>
      </c>
      <c r="C4419" s="66" t="n">
        <v>46139</v>
      </c>
      <c r="D4419" s="2" t="n">
        <v>1</v>
      </c>
      <c r="E4419" s="3" t="inlineStr">
        <is>
          <t>FUCILE SEMIAUTOMATICO</t>
        </is>
      </c>
      <c r="F4419" s="3" t="inlineStr">
        <is>
          <t>12</t>
        </is>
      </c>
      <c r="G4419" s="84" t="inlineStr">
        <is>
          <t>BREDA</t>
        </is>
      </c>
      <c r="H4419" s="107" t="inlineStr">
        <is>
          <t>LUNGO RINCULO</t>
        </is>
      </c>
      <c r="I4419" s="107" t="inlineStr">
        <is>
          <t>BV69347</t>
        </is>
      </c>
      <c r="J4419" s="107" t="inlineStr">
        <is>
          <t>71636</t>
        </is>
      </c>
      <c r="K4419" s="65" t="inlineStr">
        <is>
          <t>N/D</t>
        </is>
      </c>
      <c r="L4419" s="127" t="inlineStr">
        <is>
          <t>ARMERIA DAL POZZO G. E C. SNC</t>
        </is>
      </c>
      <c r="M4419" s="5" t="n">
        <v>30</v>
      </c>
      <c r="N4419" s="5" t="n"/>
      <c r="O4419" s="5">
        <f>+M4419+N4419</f>
        <v/>
      </c>
      <c r="P4419" s="4" t="n">
        <v>46139</v>
      </c>
      <c r="Q4419" s="87" t="n">
        <v>46139</v>
      </c>
      <c r="R4419" s="5" t="n"/>
      <c r="S4419" s="2" t="n"/>
      <c r="T4419" s="3" t="n"/>
      <c r="U4419" s="87" t="n"/>
      <c r="V4419" s="3" t="n"/>
      <c r="W4419" s="108" t="n"/>
      <c r="X4419" s="4" t="n"/>
    </row>
    <row r="4420" ht="24" customHeight="1">
      <c r="A4420" s="2">
        <f>+D4420-S4420</f>
        <v/>
      </c>
      <c r="B4420" s="126" t="n">
        <v>6006</v>
      </c>
      <c r="C4420" s="66" t="n">
        <v>46139</v>
      </c>
      <c r="D4420" s="2" t="n">
        <v>1</v>
      </c>
      <c r="E4420" s="3" t="inlineStr">
        <is>
          <t>FUCILE SEMIAUTOMATICO</t>
        </is>
      </c>
      <c r="F4420" s="3" t="inlineStr">
        <is>
          <t>12</t>
        </is>
      </c>
      <c r="G4420" s="84" t="inlineStr">
        <is>
          <t>BERETTA</t>
        </is>
      </c>
      <c r="H4420" s="107" t="inlineStr">
        <is>
          <t>A 301</t>
        </is>
      </c>
      <c r="I4420" s="107" t="inlineStr">
        <is>
          <t>D39316F</t>
        </is>
      </c>
      <c r="J4420" s="107" t="inlineStr">
        <is>
          <t>C65011E</t>
        </is>
      </c>
      <c r="K4420" s="65" t="inlineStr">
        <is>
          <t>N/D</t>
        </is>
      </c>
      <c r="L4420" s="127" t="inlineStr">
        <is>
          <t>ARMERIA DAL POZZO G. E C. SNC</t>
        </is>
      </c>
      <c r="M4420" s="5" t="n">
        <v>0</v>
      </c>
      <c r="N4420" s="5" t="n"/>
      <c r="O4420" s="5">
        <f>+M4420+N4420</f>
        <v/>
      </c>
      <c r="P4420" s="4" t="n">
        <v>46139</v>
      </c>
      <c r="Q4420" s="87" t="n">
        <v>46139</v>
      </c>
      <c r="R4420" s="5" t="n"/>
      <c r="S4420" s="2" t="n"/>
      <c r="T4420" s="3" t="n"/>
      <c r="U4420" s="87" t="n"/>
      <c r="V4420" s="3" t="n"/>
      <c r="W4420" s="108" t="n"/>
      <c r="X4420" s="4" t="n"/>
    </row>
    <row r="4421" ht="24" customHeight="1">
      <c r="A4421" s="2">
        <f>+D4421-S4421</f>
        <v/>
      </c>
      <c r="B4421" s="126" t="n">
        <v>6007</v>
      </c>
      <c r="C4421" s="66" t="n">
        <v>46139</v>
      </c>
      <c r="D4421" s="2" t="n">
        <v>1</v>
      </c>
      <c r="E4421" s="3" t="inlineStr">
        <is>
          <t>FUCILE SEMIAUTOMATICO</t>
        </is>
      </c>
      <c r="F4421" s="3" t="inlineStr">
        <is>
          <t>12</t>
        </is>
      </c>
      <c r="G4421" s="84" t="inlineStr">
        <is>
          <t>BERETTA</t>
        </is>
      </c>
      <c r="H4421" s="107" t="inlineStr">
        <is>
          <t>PRIMO TIPO</t>
        </is>
      </c>
      <c r="I4421" s="107" t="inlineStr">
        <is>
          <t>004508</t>
        </is>
      </c>
      <c r="J4421" s="107" t="inlineStr">
        <is>
          <t>004508</t>
        </is>
      </c>
      <c r="K4421" s="65" t="inlineStr">
        <is>
          <t>N/D</t>
        </is>
      </c>
      <c r="L4421" s="127" t="inlineStr">
        <is>
          <t>ARMERIA DAL POZZO G. E C. SNC</t>
        </is>
      </c>
      <c r="M4421" s="5" t="n">
        <v>50</v>
      </c>
      <c r="N4421" s="5" t="n"/>
      <c r="O4421" s="5">
        <f>+M4421+N4421</f>
        <v/>
      </c>
      <c r="P4421" s="4" t="n">
        <v>46139</v>
      </c>
      <c r="Q4421" s="87" t="n">
        <v>46139</v>
      </c>
      <c r="R4421" s="5" t="n"/>
      <c r="S4421" s="2" t="n"/>
      <c r="T4421" s="3" t="n"/>
      <c r="U4421" s="87" t="n"/>
      <c r="V4421" s="3" t="n"/>
      <c r="W4421" s="108" t="n"/>
      <c r="X4421" s="4" t="n"/>
    </row>
    <row r="4422" ht="24" customHeight="1">
      <c r="A4422" s="2">
        <f>+D4422-S4422</f>
        <v/>
      </c>
      <c r="B4422" s="126" t="n">
        <v>6008</v>
      </c>
      <c r="C4422" s="66" t="n">
        <v>46139</v>
      </c>
      <c r="D4422" s="2" t="n">
        <v>1</v>
      </c>
      <c r="E4422" s="3" t="inlineStr">
        <is>
          <t>FUCILE DOPPIETTA</t>
        </is>
      </c>
      <c r="F4422" s="3" t="inlineStr">
        <is>
          <t>16</t>
        </is>
      </c>
      <c r="G4422" s="84" t="inlineStr">
        <is>
          <t>ARTIGIANALE</t>
        </is>
      </c>
      <c r="H4422" s="107" t="inlineStr">
        <is>
          <t>CAL</t>
        </is>
      </c>
      <c r="I4422" s="107" t="inlineStr">
        <is>
          <t>132</t>
        </is>
      </c>
      <c r="J4422" s="65" t="inlineStr">
        <is>
          <t>N/D</t>
        </is>
      </c>
      <c r="K4422" s="65" t="inlineStr">
        <is>
          <t>N/D</t>
        </is>
      </c>
      <c r="L4422" s="127" t="inlineStr">
        <is>
          <t>ARMERIA DAL POZZO G. E C. SNC</t>
        </is>
      </c>
      <c r="M4422" s="5" t="n">
        <v>0</v>
      </c>
      <c r="N4422" s="5" t="n"/>
      <c r="O4422" s="5">
        <f>+M4422+N4422</f>
        <v/>
      </c>
      <c r="P4422" s="4" t="n">
        <v>46139</v>
      </c>
      <c r="Q4422" s="87" t="n">
        <v>46139</v>
      </c>
      <c r="R4422" s="5" t="n"/>
      <c r="S4422" s="2" t="n"/>
      <c r="T4422" s="3" t="n"/>
      <c r="U4422" s="87" t="n"/>
      <c r="V4422" s="3" t="n"/>
      <c r="W4422" s="108" t="n"/>
      <c r="X4422" s="4" t="n"/>
    </row>
    <row r="4423" ht="24" customHeight="1">
      <c r="A4423" s="2">
        <f>+D4423-S4423</f>
        <v/>
      </c>
      <c r="B4423" s="126" t="n">
        <v>6009</v>
      </c>
      <c r="C4423" s="66" t="n">
        <v>46139</v>
      </c>
      <c r="D4423" s="2" t="n">
        <v>1</v>
      </c>
      <c r="E4423" s="3" t="inlineStr">
        <is>
          <t>FUCILE SOVRAPPOSTO</t>
        </is>
      </c>
      <c r="F4423" s="3" t="inlineStr">
        <is>
          <t>28</t>
        </is>
      </c>
      <c r="G4423" s="84" t="inlineStr">
        <is>
          <t>MAROCCHI</t>
        </is>
      </c>
      <c r="H4423" s="107" t="inlineStr">
        <is>
          <t>N/D</t>
        </is>
      </c>
      <c r="I4423" s="107" t="inlineStr">
        <is>
          <t>070746</t>
        </is>
      </c>
      <c r="J4423" s="65" t="inlineStr">
        <is>
          <t>N/D</t>
        </is>
      </c>
      <c r="K4423" s="65" t="inlineStr">
        <is>
          <t>N/D</t>
        </is>
      </c>
      <c r="L4423" s="127" t="inlineStr">
        <is>
          <t>ARMERIA DAL POZZO G. E C. SNC</t>
        </is>
      </c>
      <c r="M4423" s="5" t="n">
        <v>50</v>
      </c>
      <c r="N4423" s="5" t="n"/>
      <c r="O4423" s="5">
        <f>+M4423+N4423</f>
        <v/>
      </c>
      <c r="P4423" s="4" t="n">
        <v>46139</v>
      </c>
      <c r="Q4423" s="87" t="n">
        <v>46139</v>
      </c>
      <c r="R4423" s="5" t="n"/>
      <c r="S4423" s="2" t="n"/>
      <c r="T4423" s="3" t="n"/>
      <c r="U4423" s="87" t="n"/>
      <c r="V4423" s="3" t="n"/>
      <c r="W4423" s="108" t="n"/>
      <c r="X4423" s="4" t="n"/>
    </row>
    <row r="4424" ht="24" customHeight="1">
      <c r="A4424" s="2">
        <f>+D4424-S4424</f>
        <v/>
      </c>
      <c r="B4424" s="126" t="n">
        <v>6010</v>
      </c>
      <c r="C4424" s="66" t="n">
        <v>46139</v>
      </c>
      <c r="D4424" s="2" t="n">
        <v>1</v>
      </c>
      <c r="E4424" s="3" t="inlineStr">
        <is>
          <t>FUCILE MONOCANNA</t>
        </is>
      </c>
      <c r="F4424" s="3" t="inlineStr">
        <is>
          <t>32</t>
        </is>
      </c>
      <c r="G4424" s="84" t="inlineStr">
        <is>
          <t>INVESTARM</t>
        </is>
      </c>
      <c r="H4424" s="107" t="inlineStr">
        <is>
          <t>MONOCANNA</t>
        </is>
      </c>
      <c r="I4424" s="107" t="inlineStr">
        <is>
          <t>266741</t>
        </is>
      </c>
      <c r="J4424" s="65" t="inlineStr">
        <is>
          <t>N/D</t>
        </is>
      </c>
      <c r="K4424" s="65" t="inlineStr">
        <is>
          <t>N/D</t>
        </is>
      </c>
      <c r="L4424" s="127" t="inlineStr">
        <is>
          <t>ARMERIA DAL POZZO G. E C. SNC</t>
        </is>
      </c>
      <c r="M4424" s="5" t="n">
        <v>30</v>
      </c>
      <c r="N4424" s="5" t="n"/>
      <c r="O4424" s="5">
        <f>+M4424+N4424</f>
        <v/>
      </c>
      <c r="P4424" s="4" t="n">
        <v>46139</v>
      </c>
      <c r="Q4424" s="87" t="n">
        <v>46139</v>
      </c>
      <c r="R4424" s="5" t="n"/>
      <c r="S4424" s="2" t="n"/>
      <c r="T4424" s="3" t="n"/>
      <c r="U4424" s="87" t="n"/>
      <c r="V4424" s="3" t="n"/>
      <c r="W4424" s="108" t="n"/>
      <c r="X4424" s="4" t="n"/>
    </row>
    <row r="4425" ht="24" customHeight="1">
      <c r="A4425" s="2">
        <f>+D4425-S4425</f>
        <v/>
      </c>
      <c r="B4425" s="126" t="n">
        <v>6011</v>
      </c>
      <c r="C4425" s="66" t="n">
        <v>46139</v>
      </c>
      <c r="D4425" s="2" t="n">
        <v>1</v>
      </c>
      <c r="E4425" s="3" t="inlineStr">
        <is>
          <t>FUCILE DOPPIETTA</t>
        </is>
      </c>
      <c r="F4425" s="3" t="inlineStr">
        <is>
          <t>24</t>
        </is>
      </c>
      <c r="G4425" s="84" t="inlineStr">
        <is>
          <t>ARTIGIANALE</t>
        </is>
      </c>
      <c r="H4425" s="107" t="inlineStr">
        <is>
          <t>N/D</t>
        </is>
      </c>
      <c r="I4425" s="107" t="inlineStr">
        <is>
          <t>46413</t>
        </is>
      </c>
      <c r="J4425" s="65" t="inlineStr">
        <is>
          <t>N/D</t>
        </is>
      </c>
      <c r="K4425" s="65" t="inlineStr">
        <is>
          <t>N/D</t>
        </is>
      </c>
      <c r="L4425" s="127" t="inlineStr">
        <is>
          <t>ARMERIA DAL POZZO G. E C. SNC</t>
        </is>
      </c>
      <c r="M4425" s="5" t="n">
        <v>0</v>
      </c>
      <c r="N4425" s="5" t="n"/>
      <c r="O4425" s="5">
        <f>+M4425+N4425</f>
        <v/>
      </c>
      <c r="P4425" s="4" t="n">
        <v>46139</v>
      </c>
      <c r="Q4425" s="87" t="n">
        <v>46139</v>
      </c>
      <c r="R4425" s="5" t="n"/>
      <c r="S4425" s="2" t="n"/>
      <c r="T4425" s="3" t="n"/>
      <c r="U4425" s="87" t="n"/>
      <c r="V4425" s="3" t="n"/>
      <c r="W4425" s="108" t="n"/>
      <c r="X4425" s="4" t="n"/>
    </row>
    <row r="4426" ht="24" customHeight="1">
      <c r="A4426" s="2">
        <f>+D4426-S4426</f>
        <v/>
      </c>
      <c r="B4426" s="126" t="n">
        <v>6012</v>
      </c>
      <c r="C4426" s="66" t="n">
        <v>46139</v>
      </c>
      <c r="D4426" s="2" t="n">
        <v>1</v>
      </c>
      <c r="E4426" s="3" t="inlineStr">
        <is>
          <t>FUCILE MONOCANNA</t>
        </is>
      </c>
      <c r="F4426" s="3" t="inlineStr">
        <is>
          <t>9 FL</t>
        </is>
      </c>
      <c r="G4426" s="84" t="inlineStr">
        <is>
          <t>INVESTARM</t>
        </is>
      </c>
      <c r="H4426" s="107" t="inlineStr">
        <is>
          <t>MONOCANNA</t>
        </is>
      </c>
      <c r="I4426" s="107" t="inlineStr">
        <is>
          <t>265590</t>
        </is>
      </c>
      <c r="J4426" s="65" t="inlineStr">
        <is>
          <t>N/D</t>
        </is>
      </c>
      <c r="K4426" s="65" t="inlineStr">
        <is>
          <t>N/D</t>
        </is>
      </c>
      <c r="L4426" s="127" t="inlineStr">
        <is>
          <t>ARMERIA DAL POZZO G. E C. SNC</t>
        </is>
      </c>
      <c r="M4426" s="5" t="n">
        <v>20</v>
      </c>
      <c r="N4426" s="5" t="n"/>
      <c r="O4426" s="5">
        <f>+M4426+N4426</f>
        <v/>
      </c>
      <c r="P4426" s="4" t="n">
        <v>46139</v>
      </c>
      <c r="Q4426" s="87" t="n">
        <v>46139</v>
      </c>
      <c r="R4426" s="5" t="n"/>
      <c r="S4426" s="2" t="n"/>
      <c r="T4426" s="3" t="n"/>
      <c r="U4426" s="87" t="n"/>
      <c r="V4426" s="3" t="n"/>
      <c r="W4426" s="108" t="n"/>
      <c r="X4426" s="4" t="n"/>
    </row>
    <row r="4427" ht="24" customHeight="1">
      <c r="A4427" s="2">
        <f>+D4427-S4427</f>
        <v/>
      </c>
      <c r="B4427" s="126" t="n">
        <v>6013</v>
      </c>
      <c r="C4427" s="66" t="n">
        <v>46139</v>
      </c>
      <c r="D4427" s="2" t="n">
        <v>1</v>
      </c>
      <c r="E4427" s="3" t="inlineStr">
        <is>
          <t>FUCILE DOPPIETTA</t>
        </is>
      </c>
      <c r="F4427" s="3" t="inlineStr">
        <is>
          <t>N/A</t>
        </is>
      </c>
      <c r="G4427" s="84" t="inlineStr">
        <is>
          <t>ARTIGIANALE</t>
        </is>
      </c>
      <c r="H4427" s="107" t="inlineStr">
        <is>
          <t>DOPPIETTA</t>
        </is>
      </c>
      <c r="I4427" s="107" t="inlineStr">
        <is>
          <t>6021</t>
        </is>
      </c>
      <c r="J4427" s="65" t="inlineStr">
        <is>
          <t>N/D</t>
        </is>
      </c>
      <c r="K4427" s="65" t="inlineStr">
        <is>
          <t>N/D</t>
        </is>
      </c>
      <c r="L4427" s="127" t="inlineStr">
        <is>
          <t>ARMERIA DAL POZZO G. E C. SNC</t>
        </is>
      </c>
      <c r="M4427" s="5" t="n">
        <v>0</v>
      </c>
      <c r="N4427" s="5" t="n"/>
      <c r="O4427" s="5">
        <f>+M4427+N4427</f>
        <v/>
      </c>
      <c r="P4427" s="4" t="n">
        <v>46139</v>
      </c>
      <c r="Q4427" s="87" t="n">
        <v>46139</v>
      </c>
      <c r="R4427" s="5" t="n"/>
      <c r="S4427" s="2" t="n"/>
      <c r="T4427" s="3" t="n"/>
      <c r="U4427" s="87" t="n"/>
      <c r="V4427" s="3" t="n"/>
      <c r="W4427" s="108" t="n"/>
      <c r="X4427" s="4" t="n"/>
    </row>
    <row r="4428" ht="24" customHeight="1">
      <c r="A4428" s="2">
        <f>+D4428-S4428</f>
        <v/>
      </c>
      <c r="B4428" s="126" t="n">
        <v>6014</v>
      </c>
      <c r="C4428" s="66" t="n">
        <v>46139</v>
      </c>
      <c r="D4428" s="2" t="n">
        <v>1</v>
      </c>
      <c r="E4428" s="3" t="inlineStr">
        <is>
          <t>FUCILE MONOCANNA</t>
        </is>
      </c>
      <c r="F4428" s="3" t="inlineStr">
        <is>
          <t>24</t>
        </is>
      </c>
      <c r="G4428" s="84" t="inlineStr">
        <is>
          <t>BERETTA</t>
        </is>
      </c>
      <c r="H4428" s="107" t="inlineStr">
        <is>
          <t>MONOCANNA</t>
        </is>
      </c>
      <c r="I4428" s="107" t="inlineStr">
        <is>
          <t>C23206</t>
        </is>
      </c>
      <c r="J4428" s="65" t="inlineStr">
        <is>
          <t>N/D</t>
        </is>
      </c>
      <c r="K4428" s="65" t="inlineStr">
        <is>
          <t>N/D</t>
        </is>
      </c>
      <c r="L4428" s="127" t="inlineStr">
        <is>
          <t>ARMERIA DAL POZZO G. E C. SNC</t>
        </is>
      </c>
      <c r="M4428" s="5" t="n">
        <v>20</v>
      </c>
      <c r="N4428" s="5" t="n"/>
      <c r="O4428" s="5">
        <f>+M4428+N4428</f>
        <v/>
      </c>
      <c r="P4428" s="4" t="n">
        <v>46139</v>
      </c>
      <c r="Q4428" s="87" t="n">
        <v>46139</v>
      </c>
      <c r="R4428" s="5" t="n"/>
      <c r="S4428" s="2" t="n"/>
      <c r="T4428" s="3" t="n"/>
      <c r="U4428" s="87" t="n"/>
      <c r="V4428" s="3" t="n"/>
      <c r="W4428" s="108" t="n"/>
      <c r="X4428" s="4" t="n"/>
    </row>
    <row r="4429" ht="24" customHeight="1">
      <c r="A4429" s="2">
        <f>+D4429-S4429</f>
        <v/>
      </c>
      <c r="B4429" s="126" t="n">
        <v>6015</v>
      </c>
      <c r="C4429" s="66" t="n">
        <v>46139</v>
      </c>
      <c r="D4429" s="2" t="n">
        <v>1</v>
      </c>
      <c r="E4429" s="3" t="inlineStr">
        <is>
          <t>FUCILE DOPPIETTA</t>
        </is>
      </c>
      <c r="F4429" s="3" t="inlineStr">
        <is>
          <t>16</t>
        </is>
      </c>
      <c r="G4429" s="84" t="inlineStr">
        <is>
          <t>LAUF STAHL</t>
        </is>
      </c>
      <c r="H4429" s="107" t="inlineStr">
        <is>
          <t>LAUF STAHL</t>
        </is>
      </c>
      <c r="I4429" s="107" t="inlineStr">
        <is>
          <t>20452</t>
        </is>
      </c>
      <c r="J4429" s="65" t="inlineStr">
        <is>
          <t>N/D</t>
        </is>
      </c>
      <c r="K4429" s="65" t="inlineStr">
        <is>
          <t>N/D</t>
        </is>
      </c>
      <c r="L4429" s="127" t="inlineStr">
        <is>
          <t>ARMERIA DAL POZZO G. E C. SNC</t>
        </is>
      </c>
      <c r="M4429" s="5" t="n">
        <v>10</v>
      </c>
      <c r="N4429" s="5" t="n"/>
      <c r="O4429" s="5">
        <f>+M4429+N4429</f>
        <v/>
      </c>
      <c r="P4429" s="4" t="n">
        <v>46139</v>
      </c>
      <c r="Q4429" s="87" t="n">
        <v>46139</v>
      </c>
      <c r="R4429" s="5" t="n"/>
      <c r="S4429" s="2" t="n"/>
      <c r="T4429" s="3" t="n"/>
      <c r="U4429" s="87" t="n"/>
      <c r="V4429" s="3" t="n"/>
      <c r="W4429" s="108" t="n"/>
      <c r="X4429" s="4" t="n"/>
    </row>
    <row r="4430" ht="24" customHeight="1">
      <c r="A4430" s="2">
        <f>+D4430-S4430</f>
        <v/>
      </c>
      <c r="B4430" s="126" t="n">
        <v>6016</v>
      </c>
      <c r="C4430" s="66" t="n">
        <v>46139</v>
      </c>
      <c r="D4430" s="2" t="n">
        <v>1</v>
      </c>
      <c r="E4430" s="3" t="inlineStr">
        <is>
          <t>FUCILE MONOCANNA</t>
        </is>
      </c>
      <c r="F4430" s="3" t="inlineStr">
        <is>
          <t>28</t>
        </is>
      </c>
      <c r="G4430" s="84" t="inlineStr">
        <is>
          <t>BERNARDELLI</t>
        </is>
      </c>
      <c r="H4430" s="107" t="inlineStr">
        <is>
          <t>MONOCANNA</t>
        </is>
      </c>
      <c r="I4430" s="107" t="inlineStr">
        <is>
          <t>6219</t>
        </is>
      </c>
      <c r="J4430" s="65" t="inlineStr">
        <is>
          <t>N/D</t>
        </is>
      </c>
      <c r="K4430" s="65" t="inlineStr">
        <is>
          <t>N/D</t>
        </is>
      </c>
      <c r="L4430" s="127" t="inlineStr">
        <is>
          <t>ARMERIA DAL POZZO G. E C. SNC</t>
        </is>
      </c>
      <c r="M4430" s="5" t="n">
        <v>10</v>
      </c>
      <c r="N4430" s="5" t="n"/>
      <c r="O4430" s="5">
        <f>+M4430+N4430</f>
        <v/>
      </c>
      <c r="P4430" s="4" t="n">
        <v>46139</v>
      </c>
      <c r="Q4430" s="87" t="n">
        <v>46139</v>
      </c>
      <c r="R4430" s="5" t="n"/>
      <c r="S4430" s="2" t="n"/>
      <c r="T4430" s="3" t="n"/>
      <c r="U4430" s="87" t="n"/>
      <c r="V4430" s="3" t="n"/>
      <c r="W4430" s="108" t="n"/>
      <c r="X4430" s="4" t="n"/>
    </row>
    <row r="4431" ht="24" customHeight="1">
      <c r="A4431" s="2">
        <f>+D4431-S4431</f>
        <v/>
      </c>
      <c r="B4431" s="126" t="n">
        <v>6017</v>
      </c>
      <c r="C4431" s="66" t="n">
        <v>46139</v>
      </c>
      <c r="D4431" s="2" t="n">
        <v>1</v>
      </c>
      <c r="E4431" s="3" t="inlineStr">
        <is>
          <t>CARABINA SEMIAUTOMATICA</t>
        </is>
      </c>
      <c r="F4431" s="3" t="inlineStr">
        <is>
          <t>22 LR</t>
        </is>
      </c>
      <c r="G4431" s="84" t="inlineStr">
        <is>
          <t>RMINGTON</t>
        </is>
      </c>
      <c r="H4431" s="107" t="inlineStr">
        <is>
          <t>552</t>
        </is>
      </c>
      <c r="I4431" s="107" t="inlineStr">
        <is>
          <t>1869945</t>
        </is>
      </c>
      <c r="J4431" s="65" t="inlineStr">
        <is>
          <t>N/D</t>
        </is>
      </c>
      <c r="K4431" s="65" t="inlineStr">
        <is>
          <t>N/D</t>
        </is>
      </c>
      <c r="L4431" s="127" t="inlineStr">
        <is>
          <t>ARMERIA DAL POZZO G. E C. SNC</t>
        </is>
      </c>
      <c r="M4431" s="5" t="n">
        <v>30</v>
      </c>
      <c r="N4431" s="5" t="n"/>
      <c r="O4431" s="5">
        <f>+M4431+N4431</f>
        <v/>
      </c>
      <c r="P4431" s="4" t="n">
        <v>46139</v>
      </c>
      <c r="Q4431" s="87" t="n">
        <v>46139</v>
      </c>
      <c r="R4431" s="5" t="n"/>
      <c r="S4431" s="2" t="n"/>
      <c r="T4431" s="3" t="n"/>
      <c r="U4431" s="87" t="n"/>
      <c r="V4431" s="3" t="n"/>
      <c r="W4431" s="108" t="n"/>
      <c r="X4431" s="4" t="n"/>
    </row>
    <row r="4432" ht="24" customHeight="1">
      <c r="A4432" s="2">
        <f>+D4432-S4432</f>
        <v/>
      </c>
      <c r="B4432" s="126" t="n">
        <v>6018</v>
      </c>
      <c r="C4432" s="66" t="n">
        <v>46139</v>
      </c>
      <c r="D4432" s="2" t="n">
        <v>1</v>
      </c>
      <c r="E4432" s="3" t="inlineStr">
        <is>
          <t>CARABINA SEMIAUTOMATICA</t>
        </is>
      </c>
      <c r="F4432" s="3" t="inlineStr">
        <is>
          <t>22 LR</t>
        </is>
      </c>
      <c r="G4432" s="84" t="inlineStr">
        <is>
          <t>FRANCHI</t>
        </is>
      </c>
      <c r="H4432" s="107" t="inlineStr">
        <is>
          <t>CENTENNIAL</t>
        </is>
      </c>
      <c r="I4432" s="107" t="inlineStr">
        <is>
          <t>1-027002</t>
        </is>
      </c>
      <c r="J4432" s="65" t="inlineStr">
        <is>
          <t>N/D</t>
        </is>
      </c>
      <c r="K4432" s="65" t="inlineStr">
        <is>
          <t>N/D</t>
        </is>
      </c>
      <c r="L4432" s="127" t="inlineStr">
        <is>
          <t>ARMERIA DAL POZZO G. E C. SNC</t>
        </is>
      </c>
      <c r="M4432" s="5" t="n">
        <v>30</v>
      </c>
      <c r="N4432" s="5" t="n"/>
      <c r="O4432" s="5">
        <f>+M4432+N4432</f>
        <v/>
      </c>
      <c r="P4432" s="4" t="n">
        <v>46139</v>
      </c>
      <c r="Q4432" s="87" t="n">
        <v>46139</v>
      </c>
      <c r="R4432" s="5" t="n"/>
      <c r="S4432" s="2" t="n"/>
      <c r="T4432" s="3" t="n"/>
      <c r="U4432" s="87" t="n"/>
      <c r="V4432" s="3" t="n"/>
      <c r="W4432" s="108" t="n"/>
      <c r="X4432" s="4" t="n"/>
    </row>
    <row r="4433" ht="24" customHeight="1">
      <c r="A4433" s="2">
        <f>+D4433-S4433</f>
        <v/>
      </c>
      <c r="B4433" s="126" t="n">
        <v>6019</v>
      </c>
      <c r="C4433" s="66" t="n">
        <v>46139</v>
      </c>
      <c r="D4433" s="2" t="n">
        <v>1</v>
      </c>
      <c r="E4433" s="3" t="inlineStr">
        <is>
          <t>FUCILE SOVRAPPOSTO</t>
        </is>
      </c>
      <c r="F4433" s="3" t="inlineStr">
        <is>
          <t>9 F</t>
        </is>
      </c>
      <c r="G4433" s="84" t="inlineStr">
        <is>
          <t>FALCO</t>
        </is>
      </c>
      <c r="H4433" s="107" t="inlineStr">
        <is>
          <t>SOVRAPP</t>
        </is>
      </c>
      <c r="I4433" s="107" t="inlineStr">
        <is>
          <t>A76495</t>
        </is>
      </c>
      <c r="J4433" s="65" t="inlineStr">
        <is>
          <t>N/D</t>
        </is>
      </c>
      <c r="K4433" s="65" t="inlineStr">
        <is>
          <t>N/D</t>
        </is>
      </c>
      <c r="L4433" s="127" t="inlineStr">
        <is>
          <t>ARMERIA DAL POZZO G. E C. SNC</t>
        </is>
      </c>
      <c r="M4433" s="5" t="n">
        <v>30</v>
      </c>
      <c r="N4433" s="5" t="n"/>
      <c r="O4433" s="5">
        <f>+M4433+N4433</f>
        <v/>
      </c>
      <c r="P4433" s="4" t="n">
        <v>46139</v>
      </c>
      <c r="Q4433" s="87" t="n">
        <v>46139</v>
      </c>
      <c r="R4433" s="5" t="n"/>
      <c r="S4433" s="2" t="n"/>
      <c r="T4433" s="3" t="n"/>
      <c r="U4433" s="87" t="n"/>
      <c r="V4433" s="3" t="n"/>
      <c r="W4433" s="108" t="n"/>
      <c r="X4433" s="4" t="n"/>
    </row>
    <row r="4434" ht="24" customHeight="1">
      <c r="A4434" s="2">
        <f>+D4434-S4434</f>
        <v/>
      </c>
      <c r="B4434" s="126" t="n">
        <v>6020</v>
      </c>
      <c r="C4434" s="66" t="n">
        <v>46139</v>
      </c>
      <c r="D4434" s="2" t="n">
        <v>1</v>
      </c>
      <c r="E4434" s="3" t="inlineStr">
        <is>
          <t>FUCILE MONOCANNA</t>
        </is>
      </c>
      <c r="F4434" s="3" t="inlineStr">
        <is>
          <t>24</t>
        </is>
      </c>
      <c r="G4434" s="84" t="inlineStr">
        <is>
          <t>BERETTA</t>
        </is>
      </c>
      <c r="H4434" s="107" t="inlineStr">
        <is>
          <t>MONOCANNA</t>
        </is>
      </c>
      <c r="I4434" s="107" t="inlineStr">
        <is>
          <t>D073508</t>
        </is>
      </c>
      <c r="J4434" s="65" t="inlineStr">
        <is>
          <t>N/D</t>
        </is>
      </c>
      <c r="K4434" s="65" t="inlineStr">
        <is>
          <t>N/D</t>
        </is>
      </c>
      <c r="L4434" s="127" t="inlineStr">
        <is>
          <t>ARMERIA DAL POZZO G. E C. SNC</t>
        </is>
      </c>
      <c r="M4434" s="5" t="n">
        <v>30</v>
      </c>
      <c r="N4434" s="5" t="n"/>
      <c r="O4434" s="5">
        <f>+M4434+N4434</f>
        <v/>
      </c>
      <c r="P4434" s="4" t="n">
        <v>46139</v>
      </c>
      <c r="Q4434" s="87" t="n">
        <v>46139</v>
      </c>
      <c r="R4434" s="5" t="n"/>
      <c r="S4434" s="2" t="n"/>
      <c r="T4434" s="3" t="n"/>
      <c r="U4434" s="87" t="n"/>
      <c r="V4434" s="3" t="n"/>
      <c r="W4434" s="108" t="n"/>
      <c r="X4434" s="4" t="n"/>
    </row>
    <row r="4435" ht="24" customHeight="1">
      <c r="A4435" s="2">
        <f>+D4435-S4435</f>
        <v/>
      </c>
      <c r="B4435" s="126" t="n">
        <v>6021</v>
      </c>
      <c r="C4435" s="66" t="n">
        <v>46139</v>
      </c>
      <c r="D4435" s="2" t="n">
        <v>1</v>
      </c>
      <c r="E4435" s="3" t="inlineStr">
        <is>
          <t>FUCILE MONOCANNA</t>
        </is>
      </c>
      <c r="F4435" s="3" t="inlineStr">
        <is>
          <t>28</t>
        </is>
      </c>
      <c r="G4435" s="84" t="inlineStr">
        <is>
          <t>GAMBA</t>
        </is>
      </c>
      <c r="H4435" s="107" t="inlineStr">
        <is>
          <t>MONOCANNA</t>
        </is>
      </c>
      <c r="I4435" s="107" t="inlineStr">
        <is>
          <t>66447</t>
        </is>
      </c>
      <c r="J4435" s="65" t="inlineStr">
        <is>
          <t>N/D</t>
        </is>
      </c>
      <c r="K4435" s="65" t="inlineStr">
        <is>
          <t>N/D</t>
        </is>
      </c>
      <c r="L4435" s="127" t="inlineStr">
        <is>
          <t>ARMERIA DAL POZZO G. E C. SNC</t>
        </is>
      </c>
      <c r="M4435" s="5" t="n">
        <v>20</v>
      </c>
      <c r="N4435" s="5" t="n"/>
      <c r="O4435" s="5">
        <f>+M4435+N4435</f>
        <v/>
      </c>
      <c r="P4435" s="4" t="n">
        <v>46139</v>
      </c>
      <c r="Q4435" s="87" t="n">
        <v>46139</v>
      </c>
      <c r="R4435" s="5" t="n"/>
      <c r="S4435" s="2" t="n"/>
      <c r="T4435" s="3" t="n"/>
      <c r="U4435" s="87" t="n"/>
      <c r="V4435" s="3" t="n"/>
      <c r="W4435" s="108" t="n"/>
      <c r="X4435" s="4" t="n"/>
    </row>
    <row r="4436" ht="24" customHeight="1">
      <c r="A4436" s="2">
        <f>+D4436-S4436</f>
        <v/>
      </c>
      <c r="B4436" s="126" t="n">
        <v>6022</v>
      </c>
      <c r="C4436" s="66" t="n">
        <v>46139</v>
      </c>
      <c r="D4436" s="2" t="n">
        <v>1</v>
      </c>
      <c r="E4436" s="3" t="inlineStr">
        <is>
          <t>FUCILE MONOCANNA</t>
        </is>
      </c>
      <c r="F4436" s="3" t="inlineStr">
        <is>
          <t>32</t>
        </is>
      </c>
      <c r="G4436" s="84" t="inlineStr">
        <is>
          <t>MAVI</t>
        </is>
      </c>
      <c r="H4436" s="107" t="inlineStr">
        <is>
          <t>MONOCANNA</t>
        </is>
      </c>
      <c r="I4436" s="107" t="inlineStr">
        <is>
          <t>39889</t>
        </is>
      </c>
      <c r="J4436" s="65" t="inlineStr">
        <is>
          <t>N/D</t>
        </is>
      </c>
      <c r="K4436" s="65" t="inlineStr">
        <is>
          <t>N/D</t>
        </is>
      </c>
      <c r="L4436" s="127" t="inlineStr">
        <is>
          <t>ARMERIA DAL POZZO G. E C. SNC</t>
        </is>
      </c>
      <c r="M4436" s="5" t="n">
        <v>30</v>
      </c>
      <c r="N4436" s="5" t="n"/>
      <c r="O4436" s="5">
        <f>+M4436+N4436</f>
        <v/>
      </c>
      <c r="P4436" s="4" t="n">
        <v>46139</v>
      </c>
      <c r="Q4436" s="87" t="n">
        <v>46139</v>
      </c>
      <c r="R4436" s="5" t="n"/>
      <c r="S4436" s="2" t="n"/>
      <c r="T4436" s="3" t="n"/>
      <c r="U4436" s="87" t="n"/>
      <c r="V4436" s="3" t="n"/>
      <c r="W4436" s="108" t="n"/>
      <c r="X4436" s="4" t="n"/>
    </row>
    <row r="4437" ht="24" customHeight="1">
      <c r="A4437" s="2">
        <f>+D4437-S4437</f>
        <v/>
      </c>
      <c r="B4437" s="126" t="n">
        <v>6023</v>
      </c>
      <c r="C4437" s="66" t="n">
        <v>46139</v>
      </c>
      <c r="D4437" s="2" t="n">
        <v>1</v>
      </c>
      <c r="E4437" s="3" t="inlineStr">
        <is>
          <t>FUCILE MONOCANNA</t>
        </is>
      </c>
      <c r="F4437" s="3" t="inlineStr">
        <is>
          <t>8</t>
        </is>
      </c>
      <c r="G4437" s="84" t="inlineStr">
        <is>
          <t>FALCO</t>
        </is>
      </c>
      <c r="H4437" s="107" t="inlineStr">
        <is>
          <t>FLOBERT</t>
        </is>
      </c>
      <c r="I4437" s="107" t="inlineStr">
        <is>
          <t>A64373</t>
        </is>
      </c>
      <c r="J4437" s="65" t="inlineStr">
        <is>
          <t>N/D</t>
        </is>
      </c>
      <c r="K4437" s="65" t="inlineStr">
        <is>
          <t>N/D</t>
        </is>
      </c>
      <c r="L4437" s="127" t="inlineStr">
        <is>
          <t>ARMERIA DAL POZZO G. E C. SNC</t>
        </is>
      </c>
      <c r="M4437" s="5" t="n">
        <v>20</v>
      </c>
      <c r="N4437" s="5" t="n"/>
      <c r="O4437" s="5">
        <f>+M4437+N4437</f>
        <v/>
      </c>
      <c r="P4437" s="4" t="n">
        <v>46139</v>
      </c>
      <c r="Q4437" s="87" t="n">
        <v>46139</v>
      </c>
      <c r="R4437" s="5" t="n"/>
      <c r="S4437" s="2" t="n"/>
      <c r="T4437" s="3" t="n"/>
      <c r="U4437" s="87" t="n"/>
      <c r="V4437" s="3" t="n"/>
      <c r="W4437" s="108" t="n"/>
      <c r="X4437" s="4" t="n"/>
    </row>
    <row r="4438" ht="24" customHeight="1">
      <c r="A4438" s="2">
        <f>+D4438-S4438</f>
        <v/>
      </c>
      <c r="B4438" s="126" t="n">
        <v>6024</v>
      </c>
      <c r="C4438" s="66" t="n">
        <v>46139</v>
      </c>
      <c r="D4438" s="2" t="n">
        <v>1</v>
      </c>
      <c r="E4438" s="3" t="inlineStr">
        <is>
          <t>FUCILE SOVRAPPOSTO</t>
        </is>
      </c>
      <c r="F4438" s="3" t="inlineStr">
        <is>
          <t>9 FL</t>
        </is>
      </c>
      <c r="G4438" s="84" t="inlineStr">
        <is>
          <t>FALCO</t>
        </is>
      </c>
      <c r="H4438" s="107" t="inlineStr">
        <is>
          <t>SOVRAPP</t>
        </is>
      </c>
      <c r="I4438" s="107" t="inlineStr">
        <is>
          <t>A57983</t>
        </is>
      </c>
      <c r="J4438" s="65" t="inlineStr">
        <is>
          <t>N/D</t>
        </is>
      </c>
      <c r="K4438" s="65" t="inlineStr">
        <is>
          <t>N/D</t>
        </is>
      </c>
      <c r="L4438" s="127" t="inlineStr">
        <is>
          <t>ARMERIA DAL POZZO G. E C. SNC</t>
        </is>
      </c>
      <c r="M4438" s="5" t="n">
        <v>40</v>
      </c>
      <c r="N4438" s="5" t="n"/>
      <c r="O4438" s="5">
        <f>+M4438+N4438</f>
        <v/>
      </c>
      <c r="P4438" s="4" t="n">
        <v>46139</v>
      </c>
      <c r="Q4438" s="87" t="n">
        <v>46139</v>
      </c>
      <c r="R4438" s="5" t="n"/>
      <c r="S4438" s="2" t="n"/>
      <c r="T4438" s="3" t="n"/>
      <c r="U4438" s="87" t="n"/>
      <c r="V4438" s="3" t="n"/>
      <c r="W4438" s="108" t="n"/>
      <c r="X4438" s="4" t="n"/>
    </row>
    <row r="4439" ht="24" customHeight="1">
      <c r="A4439" s="2">
        <f>+D4439-S4439</f>
        <v/>
      </c>
      <c r="B4439" s="126" t="n">
        <v>6025</v>
      </c>
      <c r="C4439" s="66" t="n">
        <v>46139</v>
      </c>
      <c r="D4439" s="2" t="n">
        <v>1</v>
      </c>
      <c r="E4439" s="3" t="inlineStr">
        <is>
          <t>FUCILE MONOCANNA</t>
        </is>
      </c>
      <c r="F4439" s="3" t="inlineStr">
        <is>
          <t>32</t>
        </is>
      </c>
      <c r="G4439" s="84" t="inlineStr">
        <is>
          <t>INVESTARM</t>
        </is>
      </c>
      <c r="H4439" s="107" t="inlineStr">
        <is>
          <t>MONOCANNA</t>
        </is>
      </c>
      <c r="I4439" s="107" t="inlineStr">
        <is>
          <t>531627</t>
        </is>
      </c>
      <c r="J4439" s="65" t="inlineStr">
        <is>
          <t>N/D</t>
        </is>
      </c>
      <c r="K4439" s="65" t="inlineStr">
        <is>
          <t>N/D</t>
        </is>
      </c>
      <c r="L4439" s="127" t="inlineStr">
        <is>
          <t>ARMERIA DAL POZZO G. E C. SNC</t>
        </is>
      </c>
      <c r="M4439" s="5" t="n">
        <v>20</v>
      </c>
      <c r="N4439" s="5" t="n"/>
      <c r="O4439" s="5">
        <f>+M4439+N4439</f>
        <v/>
      </c>
      <c r="P4439" s="4" t="n">
        <v>46139</v>
      </c>
      <c r="Q4439" s="87" t="n">
        <v>46139</v>
      </c>
      <c r="R4439" s="5" t="n"/>
      <c r="S4439" s="2" t="n"/>
      <c r="T4439" s="3" t="n"/>
      <c r="U4439" s="87" t="n"/>
      <c r="V4439" s="3" t="n"/>
      <c r="W4439" s="108" t="n"/>
      <c r="X4439" s="4" t="n"/>
    </row>
    <row r="4440" ht="24" customHeight="1">
      <c r="A4440" s="2">
        <f>+D4440-S4440</f>
        <v/>
      </c>
      <c r="B4440" s="126" t="n">
        <v>6026</v>
      </c>
      <c r="C4440" s="66" t="n">
        <v>46139</v>
      </c>
      <c r="D4440" s="2" t="n">
        <v>1</v>
      </c>
      <c r="E4440" s="3" t="inlineStr">
        <is>
          <t>CARABINA MONOCOLPO</t>
        </is>
      </c>
      <c r="F4440" s="3" t="inlineStr">
        <is>
          <t>9 F</t>
        </is>
      </c>
      <c r="G4440" s="84" t="inlineStr">
        <is>
          <t>MANU ARMS</t>
        </is>
      </c>
      <c r="H4440" s="107" t="inlineStr">
        <is>
          <t>N/D</t>
        </is>
      </c>
      <c r="I4440" s="107" t="inlineStr">
        <is>
          <t>7471</t>
        </is>
      </c>
      <c r="J4440" s="65" t="inlineStr">
        <is>
          <t>N/D</t>
        </is>
      </c>
      <c r="K4440" s="65" t="inlineStr">
        <is>
          <t>N/D</t>
        </is>
      </c>
      <c r="L4440" s="127" t="inlineStr">
        <is>
          <t>ARMERIA DAL POZZO G. E C. SNC</t>
        </is>
      </c>
      <c r="M4440" s="5" t="n">
        <v>20</v>
      </c>
      <c r="N4440" s="5" t="n"/>
      <c r="O4440" s="5">
        <f>+M4440+N4440</f>
        <v/>
      </c>
      <c r="P4440" s="4" t="n">
        <v>46139</v>
      </c>
      <c r="Q4440" s="87" t="n">
        <v>46139</v>
      </c>
      <c r="R4440" s="5" t="n"/>
      <c r="S4440" s="2" t="n"/>
      <c r="T4440" s="3" t="n"/>
      <c r="U4440" s="87" t="n"/>
      <c r="V4440" s="3" t="n"/>
      <c r="W4440" s="108" t="n"/>
      <c r="X4440" s="4" t="n"/>
    </row>
    <row r="4441" ht="24" customHeight="1">
      <c r="A4441" s="2">
        <f>+D4441-S4441</f>
        <v/>
      </c>
      <c r="B4441" s="126" t="n">
        <v>6027</v>
      </c>
      <c r="C4441" s="66" t="n">
        <v>46139</v>
      </c>
      <c r="D4441" s="2" t="n">
        <v>1</v>
      </c>
      <c r="E4441" s="3" t="inlineStr">
        <is>
          <t>FUCILE MONOCANNA</t>
        </is>
      </c>
      <c r="F4441" s="3" t="inlineStr">
        <is>
          <t>6F</t>
        </is>
      </c>
      <c r="G4441" s="84" t="inlineStr">
        <is>
          <t>FALCO</t>
        </is>
      </c>
      <c r="H4441" s="107" t="inlineStr">
        <is>
          <t>N/D</t>
        </is>
      </c>
      <c r="I4441" s="107" t="inlineStr">
        <is>
          <t>45248</t>
        </is>
      </c>
      <c r="J4441" s="65" t="inlineStr">
        <is>
          <t>N/D</t>
        </is>
      </c>
      <c r="K4441" s="65" t="inlineStr">
        <is>
          <t>N/D</t>
        </is>
      </c>
      <c r="L4441" s="127" t="inlineStr">
        <is>
          <t>ARMERIA DAL POZZO G. E C. SNC</t>
        </is>
      </c>
      <c r="M4441" s="5" t="n">
        <v>20</v>
      </c>
      <c r="N4441" s="5" t="n"/>
      <c r="O4441" s="5">
        <f>+M4441+N4441</f>
        <v/>
      </c>
      <c r="P4441" s="4" t="n">
        <v>46139</v>
      </c>
      <c r="Q4441" s="87" t="n">
        <v>46139</v>
      </c>
      <c r="R4441" s="5" t="n"/>
      <c r="S4441" s="2" t="n"/>
      <c r="T4441" s="3" t="n"/>
      <c r="U4441" s="87" t="n"/>
      <c r="V4441" s="3" t="n"/>
      <c r="W4441" s="108" t="n"/>
      <c r="X4441" s="4" t="n"/>
    </row>
    <row r="4442" ht="24" customHeight="1">
      <c r="A4442" s="2">
        <f>+D4442-S4442</f>
        <v/>
      </c>
      <c r="B4442" s="126" t="n">
        <v>6028</v>
      </c>
      <c r="C4442" s="66" t="n">
        <v>46139</v>
      </c>
      <c r="D4442" s="2" t="n">
        <v>1</v>
      </c>
      <c r="E4442" s="3" t="inlineStr">
        <is>
          <t>FUCILE SEMIAUTOMATICO</t>
        </is>
      </c>
      <c r="F4442" s="3" t="inlineStr">
        <is>
          <t>9 F</t>
        </is>
      </c>
      <c r="G4442" s="84" t="inlineStr">
        <is>
          <t>MAROCCHI</t>
        </is>
      </c>
      <c r="H4442" s="107" t="inlineStr">
        <is>
          <t>N/D</t>
        </is>
      </c>
      <c r="I4442" s="107" t="inlineStr">
        <is>
          <t>12667</t>
        </is>
      </c>
      <c r="J4442" s="65" t="inlineStr">
        <is>
          <t>N/D</t>
        </is>
      </c>
      <c r="K4442" s="65" t="inlineStr">
        <is>
          <t>N/D</t>
        </is>
      </c>
      <c r="L4442" s="127" t="inlineStr">
        <is>
          <t>ARMERIA DAL POZZO G. E C. SNC</t>
        </is>
      </c>
      <c r="M4442" s="5" t="n">
        <v>10</v>
      </c>
      <c r="N4442" s="5" t="n"/>
      <c r="O4442" s="5">
        <f>+M4442+N4442</f>
        <v/>
      </c>
      <c r="P4442" s="4" t="n">
        <v>46139</v>
      </c>
      <c r="Q4442" s="87" t="n">
        <v>46139</v>
      </c>
      <c r="R4442" s="5" t="n"/>
      <c r="S4442" s="2" t="n"/>
      <c r="T4442" s="3" t="n"/>
      <c r="U4442" s="87" t="n"/>
      <c r="V4442" s="3" t="n"/>
      <c r="W4442" s="108" t="n"/>
      <c r="X4442" s="4" t="n"/>
    </row>
    <row r="4443" ht="24" customHeight="1">
      <c r="A4443" s="2">
        <f>+D4443-S4443</f>
        <v/>
      </c>
      <c r="B4443" s="126" t="n">
        <v>6029</v>
      </c>
      <c r="C4443" s="66" t="n">
        <v>46139</v>
      </c>
      <c r="D4443" s="2" t="n">
        <v>1</v>
      </c>
      <c r="E4443" s="3" t="inlineStr">
        <is>
          <t>FUCILE SEMIAUTOMATICO</t>
        </is>
      </c>
      <c r="F4443" s="3" t="inlineStr">
        <is>
          <t>9 F</t>
        </is>
      </c>
      <c r="G4443" s="84" t="inlineStr">
        <is>
          <t>MAROCCHI</t>
        </is>
      </c>
      <c r="H4443" s="107" t="inlineStr">
        <is>
          <t>N/D</t>
        </is>
      </c>
      <c r="I4443" s="107" t="inlineStr">
        <is>
          <t>17539</t>
        </is>
      </c>
      <c r="J4443" s="65" t="inlineStr">
        <is>
          <t>N/D</t>
        </is>
      </c>
      <c r="K4443" s="65" t="inlineStr">
        <is>
          <t>N/D</t>
        </is>
      </c>
      <c r="L4443" s="127" t="inlineStr">
        <is>
          <t>ARMERIA DAL POZZO G. E C. SNC</t>
        </is>
      </c>
      <c r="M4443" s="5" t="n">
        <v>20</v>
      </c>
      <c r="N4443" s="5" t="n"/>
      <c r="O4443" s="5">
        <f>+M4443+N4443</f>
        <v/>
      </c>
      <c r="P4443" s="4" t="n">
        <v>46139</v>
      </c>
      <c r="Q4443" s="87" t="n">
        <v>46139</v>
      </c>
      <c r="R4443" s="5" t="n"/>
      <c r="S4443" s="2" t="n"/>
      <c r="T4443" s="3" t="n"/>
      <c r="U4443" s="87" t="n"/>
      <c r="V4443" s="3" t="n"/>
      <c r="W4443" s="108" t="n"/>
      <c r="X4443" s="4" t="n"/>
    </row>
    <row r="4444" ht="24" customHeight="1">
      <c r="A4444" s="2">
        <f>+D4444-S4444</f>
        <v/>
      </c>
      <c r="B4444" s="126" t="n">
        <v>6030</v>
      </c>
      <c r="C4444" s="66" t="n">
        <v>46139</v>
      </c>
      <c r="D4444" s="2" t="n">
        <v>1</v>
      </c>
      <c r="E4444" s="3" t="inlineStr">
        <is>
          <t>FUCILE MONOCANNA</t>
        </is>
      </c>
      <c r="F4444" s="3" t="inlineStr">
        <is>
          <t>32</t>
        </is>
      </c>
      <c r="G4444" s="84" t="inlineStr">
        <is>
          <t>BERETTA</t>
        </is>
      </c>
      <c r="H4444" s="107" t="inlineStr">
        <is>
          <t>N/D</t>
        </is>
      </c>
      <c r="I4444" s="107" t="inlineStr">
        <is>
          <t>R23543</t>
        </is>
      </c>
      <c r="J4444" s="65" t="inlineStr">
        <is>
          <t>N/D</t>
        </is>
      </c>
      <c r="K4444" s="65" t="inlineStr">
        <is>
          <t>N/D</t>
        </is>
      </c>
      <c r="L4444" s="127" t="inlineStr">
        <is>
          <t>ARMERIA DAL POZZO G. E C. SNC</t>
        </is>
      </c>
      <c r="M4444" s="5" t="n">
        <v>10</v>
      </c>
      <c r="N4444" s="5" t="n"/>
      <c r="O4444" s="5">
        <f>+M4444+N4444</f>
        <v/>
      </c>
      <c r="P4444" s="4" t="n">
        <v>46139</v>
      </c>
      <c r="Q4444" s="87" t="n">
        <v>46139</v>
      </c>
      <c r="R4444" s="5" t="n"/>
      <c r="S4444" s="2" t="n"/>
      <c r="T4444" s="3" t="n"/>
      <c r="U4444" s="87" t="n"/>
      <c r="V4444" s="3" t="n"/>
      <c r="W4444" s="108" t="n"/>
      <c r="X4444" s="4" t="n"/>
    </row>
    <row r="4445" ht="24" customHeight="1">
      <c r="A4445" s="2">
        <f>+D4445-S4445</f>
        <v/>
      </c>
      <c r="B4445" s="126" t="n">
        <v>6031</v>
      </c>
      <c r="C4445" s="66" t="n">
        <v>46139</v>
      </c>
      <c r="D4445" s="2" t="n">
        <v>1</v>
      </c>
      <c r="E4445" s="3" t="inlineStr">
        <is>
          <t>CARABINA AD ARIA COMPRESSA</t>
        </is>
      </c>
      <c r="F4445" s="3" t="inlineStr">
        <is>
          <t>4,5</t>
        </is>
      </c>
      <c r="G4445" s="84" t="inlineStr">
        <is>
          <t>WEIHRAUCH</t>
        </is>
      </c>
      <c r="H4445" s="107" t="inlineStr">
        <is>
          <t>N/D</t>
        </is>
      </c>
      <c r="I4445" s="107" t="inlineStr">
        <is>
          <t>497843</t>
        </is>
      </c>
      <c r="J4445" s="65" t="inlineStr">
        <is>
          <t>N/D</t>
        </is>
      </c>
      <c r="K4445" s="65" t="inlineStr">
        <is>
          <t>N/D</t>
        </is>
      </c>
      <c r="L4445" s="127" t="inlineStr">
        <is>
          <t>ARMERIA DAL POZZO G. E C. SNC</t>
        </is>
      </c>
      <c r="M4445" s="5" t="n">
        <v>20</v>
      </c>
      <c r="N4445" s="5" t="n"/>
      <c r="O4445" s="5">
        <f>+M4445+N4445</f>
        <v/>
      </c>
      <c r="P4445" s="4" t="n">
        <v>46139</v>
      </c>
      <c r="Q4445" s="87" t="n">
        <v>46139</v>
      </c>
      <c r="R4445" s="5" t="n"/>
      <c r="S4445" s="2" t="n"/>
      <c r="T4445" s="3" t="n"/>
      <c r="U4445" s="87" t="n"/>
      <c r="V4445" s="3" t="n"/>
      <c r="W4445" s="108" t="n"/>
      <c r="X4445" s="4" t="n"/>
    </row>
    <row r="4446" ht="24" customHeight="1">
      <c r="A4446" s="2">
        <f>+D4446-S4446</f>
        <v/>
      </c>
      <c r="B4446" s="126" t="n">
        <v>6032</v>
      </c>
      <c r="C4446" s="66" t="n">
        <v>46139</v>
      </c>
      <c r="D4446" s="2" t="n">
        <v>1</v>
      </c>
      <c r="E4446" s="3" t="inlineStr">
        <is>
          <t>CARABINA MONOCOLPO</t>
        </is>
      </c>
      <c r="F4446" s="3" t="inlineStr">
        <is>
          <t>9 F</t>
        </is>
      </c>
      <c r="G4446" s="84" t="inlineStr">
        <is>
          <t>MANU ARMS</t>
        </is>
      </c>
      <c r="H4446" s="107" t="inlineStr">
        <is>
          <t>MONOC RIP MAN</t>
        </is>
      </c>
      <c r="I4446" s="107" t="inlineStr">
        <is>
          <t>48545</t>
        </is>
      </c>
      <c r="J4446" s="65" t="inlineStr">
        <is>
          <t>N/D</t>
        </is>
      </c>
      <c r="K4446" s="65" t="inlineStr">
        <is>
          <t>N/D</t>
        </is>
      </c>
      <c r="L4446" s="127" t="inlineStr">
        <is>
          <t>ARMERIA DAL POZZO G. E C. SNC</t>
        </is>
      </c>
      <c r="M4446" s="5" t="n">
        <v>20</v>
      </c>
      <c r="N4446" s="5" t="n"/>
      <c r="O4446" s="5">
        <f>+M4446+N4446</f>
        <v/>
      </c>
      <c r="P4446" s="4" t="n">
        <v>46139</v>
      </c>
      <c r="Q4446" s="87" t="n">
        <v>46139</v>
      </c>
      <c r="R4446" s="5" t="n"/>
      <c r="S4446" s="2" t="n"/>
      <c r="T4446" s="3" t="n"/>
      <c r="U4446" s="87" t="n"/>
      <c r="V4446" s="3" t="n"/>
      <c r="W4446" s="108" t="n"/>
      <c r="X4446" s="4" t="n"/>
    </row>
    <row r="4447" ht="24" customHeight="1">
      <c r="A4447" s="2">
        <f>+D4447-S4447</f>
        <v/>
      </c>
      <c r="B4447" s="126" t="n">
        <v>6033</v>
      </c>
      <c r="C4447" s="66" t="n">
        <v>46139</v>
      </c>
      <c r="D4447" s="2" t="n">
        <v>1</v>
      </c>
      <c r="E4447" s="3" t="inlineStr">
        <is>
          <t>CARABINA AD ARIA COMPRESSA</t>
        </is>
      </c>
      <c r="F4447" s="3" t="inlineStr">
        <is>
          <t>4,5</t>
        </is>
      </c>
      <c r="G4447" s="84" t="inlineStr">
        <is>
          <t>DIANA</t>
        </is>
      </c>
      <c r="H4447" s="107" t="inlineStr">
        <is>
          <t>MOD 35</t>
        </is>
      </c>
      <c r="I4447" s="107" t="inlineStr">
        <is>
          <t>17084</t>
        </is>
      </c>
      <c r="J4447" s="65" t="inlineStr">
        <is>
          <t>N/D</t>
        </is>
      </c>
      <c r="K4447" s="65" t="inlineStr">
        <is>
          <t>N/D</t>
        </is>
      </c>
      <c r="L4447" s="127" t="inlineStr">
        <is>
          <t>ARMERIA DAL POZZO G. E C. SNC</t>
        </is>
      </c>
      <c r="M4447" s="5" t="n">
        <v>10</v>
      </c>
      <c r="N4447" s="5" t="n"/>
      <c r="O4447" s="5">
        <f>+M4447+N4447</f>
        <v/>
      </c>
      <c r="P4447" s="4" t="n">
        <v>46139</v>
      </c>
      <c r="Q4447" s="87" t="n">
        <v>46139</v>
      </c>
      <c r="R4447" s="5" t="n"/>
      <c r="S4447" s="2" t="n"/>
      <c r="T4447" s="3" t="n"/>
      <c r="U4447" s="87" t="n"/>
      <c r="V4447" s="3" t="n"/>
      <c r="W4447" s="108" t="n"/>
      <c r="X4447" s="4" t="n"/>
    </row>
    <row r="4448" ht="24" customHeight="1">
      <c r="A4448" s="2">
        <f>+D4448-S4448</f>
        <v/>
      </c>
      <c r="B4448" s="126" t="n">
        <v>6034</v>
      </c>
      <c r="C4448" s="66" t="n">
        <v>46139</v>
      </c>
      <c r="D4448" s="2" t="n">
        <v>1</v>
      </c>
      <c r="E4448" s="3" t="inlineStr">
        <is>
          <t>CARABINA AD ARIA COMPRESSA</t>
        </is>
      </c>
      <c r="F4448" s="3" t="inlineStr">
        <is>
          <t>4,5</t>
        </is>
      </c>
      <c r="G4448" s="84" t="inlineStr">
        <is>
          <t>FRANCHI/DIANA</t>
        </is>
      </c>
      <c r="H4448" s="107" t="inlineStr">
        <is>
          <t>MOD 2 SENIOR</t>
        </is>
      </c>
      <c r="I4448" s="107" t="inlineStr">
        <is>
          <t>DB00173</t>
        </is>
      </c>
      <c r="J4448" s="65" t="inlineStr">
        <is>
          <t>N/D</t>
        </is>
      </c>
      <c r="K4448" s="65" t="inlineStr">
        <is>
          <t>N/D</t>
        </is>
      </c>
      <c r="L4448" s="127" t="inlineStr">
        <is>
          <t>ARMERIA DAL POZZO G. E C. SNC</t>
        </is>
      </c>
      <c r="M4448" s="5" t="n">
        <v>10</v>
      </c>
      <c r="N4448" s="5" t="n"/>
      <c r="O4448" s="5">
        <f>+M4448+N4448</f>
        <v/>
      </c>
      <c r="P4448" s="4" t="n">
        <v>46139</v>
      </c>
      <c r="Q4448" s="87" t="n">
        <v>46139</v>
      </c>
      <c r="R4448" s="5" t="n"/>
      <c r="S4448" s="2" t="n"/>
      <c r="T4448" s="3" t="n"/>
      <c r="U4448" s="87" t="n"/>
      <c r="V4448" s="3" t="n"/>
      <c r="W4448" s="108" t="n"/>
      <c r="X4448" s="4" t="n"/>
    </row>
    <row r="4449" ht="24" customHeight="1">
      <c r="A4449" s="2">
        <f>+D4449-S4449</f>
        <v/>
      </c>
      <c r="B4449" s="126" t="n">
        <v>6035</v>
      </c>
      <c r="C4449" s="66" t="n">
        <v>46139</v>
      </c>
      <c r="D4449" s="2" t="n">
        <v>1</v>
      </c>
      <c r="E4449" s="3" t="inlineStr">
        <is>
          <t>FUCILE MONOCANNA</t>
        </is>
      </c>
      <c r="F4449" s="3" t="inlineStr">
        <is>
          <t>22LR</t>
        </is>
      </c>
      <c r="G4449" s="84" t="inlineStr">
        <is>
          <t>FALCO</t>
        </is>
      </c>
      <c r="H4449" s="107" t="inlineStr">
        <is>
          <t>MONOCANNA</t>
        </is>
      </c>
      <c r="I4449" s="107" t="inlineStr">
        <is>
          <t>6573</t>
        </is>
      </c>
      <c r="J4449" s="65" t="inlineStr">
        <is>
          <t>N/D</t>
        </is>
      </c>
      <c r="K4449" s="65" t="inlineStr">
        <is>
          <t>N/D</t>
        </is>
      </c>
      <c r="L4449" s="127" t="inlineStr">
        <is>
          <t>ARMERIA DAL POZZO G. E C. SNC</t>
        </is>
      </c>
      <c r="M4449" s="5" t="n">
        <v>10</v>
      </c>
      <c r="N4449" s="5" t="n"/>
      <c r="O4449" s="5">
        <f>+M4449+N4449</f>
        <v/>
      </c>
      <c r="P4449" s="4" t="n">
        <v>46139</v>
      </c>
      <c r="Q4449" s="87" t="n">
        <v>46139</v>
      </c>
      <c r="R4449" s="5" t="n"/>
      <c r="S4449" s="2" t="n"/>
      <c r="T4449" s="3" t="n"/>
      <c r="U4449" s="87" t="n"/>
      <c r="V4449" s="3" t="n"/>
      <c r="W4449" s="108" t="n"/>
      <c r="X4449" s="4" t="n"/>
    </row>
    <row r="4450" ht="24" customHeight="1">
      <c r="A4450" s="2">
        <f>+D4450-S4450</f>
        <v/>
      </c>
      <c r="B4450" s="126" t="n">
        <v>6036</v>
      </c>
      <c r="C4450" s="66" t="n">
        <v>46139</v>
      </c>
      <c r="D4450" s="2" t="n">
        <v>1</v>
      </c>
      <c r="E4450" s="3" t="inlineStr">
        <is>
          <t>CARABINA SEMIAUTOMATICA</t>
        </is>
      </c>
      <c r="F4450" s="3" t="inlineStr">
        <is>
          <t>22LR</t>
        </is>
      </c>
      <c r="G4450" s="84" t="inlineStr">
        <is>
          <t>REMINGTON</t>
        </is>
      </c>
      <c r="H4450" s="107" t="inlineStr">
        <is>
          <t>SEMIAUT</t>
        </is>
      </c>
      <c r="I4450" s="107" t="inlineStr">
        <is>
          <t>8460</t>
        </is>
      </c>
      <c r="J4450" s="65" t="inlineStr">
        <is>
          <t>N/D</t>
        </is>
      </c>
      <c r="K4450" s="65" t="inlineStr">
        <is>
          <t>N/D</t>
        </is>
      </c>
      <c r="L4450" s="127" t="inlineStr">
        <is>
          <t>ARMERIA DAL POZZO G. E C. SNC</t>
        </is>
      </c>
      <c r="M4450" s="5" t="n">
        <v>30</v>
      </c>
      <c r="N4450" s="5" t="n"/>
      <c r="O4450" s="5">
        <f>+M4450+N4450</f>
        <v/>
      </c>
      <c r="P4450" s="4" t="n">
        <v>46139</v>
      </c>
      <c r="Q4450" s="87" t="n">
        <v>46139</v>
      </c>
      <c r="R4450" s="5" t="n"/>
      <c r="S4450" s="2" t="n"/>
      <c r="T4450" s="3" t="n"/>
      <c r="U4450" s="87" t="n"/>
      <c r="V4450" s="3" t="n"/>
      <c r="W4450" s="108" t="n"/>
      <c r="X4450" s="4" t="n"/>
    </row>
    <row r="4451" ht="24" customHeight="1">
      <c r="A4451" s="2">
        <f>+D4451-S4451</f>
        <v/>
      </c>
      <c r="B4451" s="126" t="n">
        <v>6037</v>
      </c>
      <c r="C4451" s="66" t="n">
        <v>46139</v>
      </c>
      <c r="D4451" s="2" t="n">
        <v>1</v>
      </c>
      <c r="E4451" s="3" t="inlineStr">
        <is>
          <t>CARABINA</t>
        </is>
      </c>
      <c r="F4451" s="3" t="inlineStr">
        <is>
          <t>22LR</t>
        </is>
      </c>
      <c r="G4451" s="84" t="inlineStr">
        <is>
          <t>JAGUER</t>
        </is>
      </c>
      <c r="H4451" s="107" t="inlineStr">
        <is>
          <t>JW-25A</t>
        </is>
      </c>
      <c r="I4451" s="107" t="inlineStr">
        <is>
          <t>519871</t>
        </is>
      </c>
      <c r="J4451" s="65" t="inlineStr">
        <is>
          <t>N/D</t>
        </is>
      </c>
      <c r="K4451" s="65" t="inlineStr">
        <is>
          <t>N/D</t>
        </is>
      </c>
      <c r="L4451" s="127" t="inlineStr">
        <is>
          <t>ARMERIA DAL POZZO G. E C. SNC</t>
        </is>
      </c>
      <c r="M4451" s="5" t="n">
        <v>30</v>
      </c>
      <c r="N4451" s="5" t="n"/>
      <c r="O4451" s="5">
        <f>+M4451+N4451</f>
        <v/>
      </c>
      <c r="P4451" s="4" t="n">
        <v>46139</v>
      </c>
      <c r="Q4451" s="87" t="n">
        <v>46139</v>
      </c>
      <c r="R4451" s="5" t="n"/>
      <c r="S4451" s="2" t="n"/>
      <c r="T4451" s="3" t="n"/>
      <c r="U4451" s="87" t="n"/>
      <c r="V4451" s="3" t="n"/>
      <c r="W4451" s="108" t="n"/>
      <c r="X4451" s="4" t="n"/>
    </row>
    <row r="4452" ht="24" customHeight="1">
      <c r="A4452" s="2">
        <f>+D4452-S4452</f>
        <v/>
      </c>
      <c r="B4452" s="126" t="n">
        <v>6038</v>
      </c>
      <c r="C4452" s="66" t="n">
        <v>46139</v>
      </c>
      <c r="D4452" s="2" t="n">
        <v>1</v>
      </c>
      <c r="E4452" s="3" t="inlineStr">
        <is>
          <t>FUCILE DOPPIETTA</t>
        </is>
      </c>
      <c r="F4452" s="3" t="inlineStr">
        <is>
          <t>12</t>
        </is>
      </c>
      <c r="G4452" s="84" t="inlineStr">
        <is>
          <t>ARTIGIANALE</t>
        </is>
      </c>
      <c r="H4452" s="107" t="inlineStr">
        <is>
          <t>DOPP CAN EST</t>
        </is>
      </c>
      <c r="I4452" s="107" t="inlineStr">
        <is>
          <t>222</t>
        </is>
      </c>
      <c r="J4452" s="65" t="inlineStr">
        <is>
          <t>N/D</t>
        </is>
      </c>
      <c r="K4452" s="65" t="inlineStr">
        <is>
          <t>N/D</t>
        </is>
      </c>
      <c r="L4452" s="127" t="inlineStr">
        <is>
          <t>ARMERIA DAL POZZO G. E C. SNC</t>
        </is>
      </c>
      <c r="M4452" s="5" t="n">
        <v>0</v>
      </c>
      <c r="N4452" s="5" t="n"/>
      <c r="O4452" s="5">
        <f>+M4452+N4452</f>
        <v/>
      </c>
      <c r="P4452" s="4" t="n">
        <v>46139</v>
      </c>
      <c r="Q4452" s="87" t="n">
        <v>46139</v>
      </c>
      <c r="R4452" s="5" t="n"/>
      <c r="S4452" s="2" t="n"/>
      <c r="T4452" s="3" t="n"/>
      <c r="U4452" s="87" t="n"/>
      <c r="V4452" s="3" t="n"/>
      <c r="W4452" s="108" t="n"/>
      <c r="X4452" s="4" t="n"/>
    </row>
    <row r="4453" ht="24" customHeight="1">
      <c r="A4453" s="2">
        <f>+D4453-S4453</f>
        <v/>
      </c>
      <c r="B4453" s="126" t="n">
        <v>6039</v>
      </c>
      <c r="C4453" s="66" t="n">
        <v>46139</v>
      </c>
      <c r="D4453" s="2" t="n">
        <v>1</v>
      </c>
      <c r="E4453" s="3" t="inlineStr">
        <is>
          <t>FUCILE DOPPIETTA</t>
        </is>
      </c>
      <c r="F4453" s="3" t="inlineStr">
        <is>
          <t>12</t>
        </is>
      </c>
      <c r="G4453" s="84" t="inlineStr">
        <is>
          <t>SCONOSCIUTA</t>
        </is>
      </c>
      <c r="H4453" s="107" t="inlineStr">
        <is>
          <t>DOPPIETTA</t>
        </is>
      </c>
      <c r="I4453" s="107" t="inlineStr">
        <is>
          <t>243</t>
        </is>
      </c>
      <c r="J4453" s="65" t="inlineStr">
        <is>
          <t>N/D</t>
        </is>
      </c>
      <c r="K4453" s="65" t="inlineStr">
        <is>
          <t>N/D</t>
        </is>
      </c>
      <c r="L4453" s="127" t="inlineStr">
        <is>
          <t>ARMERIA DAL POZZO G. E C. SNC</t>
        </is>
      </c>
      <c r="M4453" s="5" t="n">
        <v>0</v>
      </c>
      <c r="N4453" s="5" t="n"/>
      <c r="O4453" s="5">
        <f>+M4453+N4453</f>
        <v/>
      </c>
      <c r="P4453" s="4" t="n">
        <v>46139</v>
      </c>
      <c r="Q4453" s="87" t="n">
        <v>46139</v>
      </c>
      <c r="R4453" s="5" t="n"/>
      <c r="S4453" s="2" t="n"/>
      <c r="T4453" s="3" t="n"/>
      <c r="U4453" s="87" t="n"/>
      <c r="V4453" s="3" t="n"/>
      <c r="W4453" s="108" t="n"/>
      <c r="X4453" s="4" t="n"/>
    </row>
    <row r="4454" ht="24" customHeight="1">
      <c r="A4454" s="2">
        <f>+D4454-S4454</f>
        <v/>
      </c>
      <c r="B4454" s="126" t="n">
        <v>6040</v>
      </c>
      <c r="C4454" s="66" t="n">
        <v>46139</v>
      </c>
      <c r="D4454" s="2" t="n">
        <v>1</v>
      </c>
      <c r="E4454" s="3" t="inlineStr">
        <is>
          <t>CARABINA A LEVA</t>
        </is>
      </c>
      <c r="F4454" s="3" t="inlineStr">
        <is>
          <t>22LR</t>
        </is>
      </c>
      <c r="G4454" s="84" t="inlineStr">
        <is>
          <t>MARLIN</t>
        </is>
      </c>
      <c r="H4454" s="107" t="inlineStr">
        <is>
          <t>MARLIN GOLDEN 39 A</t>
        </is>
      </c>
      <c r="I4454" s="107" t="inlineStr">
        <is>
          <t>S3673</t>
        </is>
      </c>
      <c r="J4454" s="65" t="inlineStr">
        <is>
          <t>N/D</t>
        </is>
      </c>
      <c r="K4454" s="65" t="inlineStr">
        <is>
          <t>N/D</t>
        </is>
      </c>
      <c r="L4454" s="127" t="inlineStr">
        <is>
          <t>ARMERIA DAL POZZO G. E C. SNC</t>
        </is>
      </c>
      <c r="M4454" s="5" t="n">
        <v>100</v>
      </c>
      <c r="N4454" s="5" t="n"/>
      <c r="O4454" s="5">
        <f>+M4454+N4454</f>
        <v/>
      </c>
      <c r="P4454" s="4" t="n">
        <v>46139</v>
      </c>
      <c r="Q4454" s="87" t="n">
        <v>46139</v>
      </c>
      <c r="R4454" s="5" t="n"/>
      <c r="S4454" s="2" t="n"/>
      <c r="T4454" s="3" t="n"/>
      <c r="U4454" s="87" t="n"/>
      <c r="V4454" s="3" t="n"/>
      <c r="W4454" s="108" t="n"/>
      <c r="X4454" s="4" t="n"/>
    </row>
    <row r="4455" ht="24" customHeight="1">
      <c r="A4455" s="2">
        <f>+D4455-S4455</f>
        <v/>
      </c>
      <c r="B4455" s="126" t="n">
        <v>6041</v>
      </c>
      <c r="C4455" s="66" t="n">
        <v>46139</v>
      </c>
      <c r="D4455" s="2" t="n">
        <v>1</v>
      </c>
      <c r="E4455" s="3" t="inlineStr">
        <is>
          <t>FUCILE DOPPIETTA</t>
        </is>
      </c>
      <c r="F4455" s="3" t="inlineStr">
        <is>
          <t>12</t>
        </is>
      </c>
      <c r="G4455" s="84" t="inlineStr">
        <is>
          <t>PEVERELLI</t>
        </is>
      </c>
      <c r="H4455" s="107" t="inlineStr">
        <is>
          <t>N/D</t>
        </is>
      </c>
      <c r="I4455" s="107" t="inlineStr">
        <is>
          <t>537</t>
        </is>
      </c>
      <c r="J4455" s="65" t="inlineStr">
        <is>
          <t>N/D</t>
        </is>
      </c>
      <c r="K4455" s="65" t="inlineStr">
        <is>
          <t>N/D</t>
        </is>
      </c>
      <c r="L4455" s="127" t="inlineStr">
        <is>
          <t>ARMERIA DAL POZZO G. E C. SNC</t>
        </is>
      </c>
      <c r="M4455" s="5" t="n">
        <v>0</v>
      </c>
      <c r="N4455" s="5" t="n"/>
      <c r="O4455" s="5">
        <f>+M4455+N4455</f>
        <v/>
      </c>
      <c r="P4455" s="4" t="n">
        <v>46139</v>
      </c>
      <c r="Q4455" s="87" t="n">
        <v>46139</v>
      </c>
      <c r="R4455" s="5" t="n"/>
      <c r="S4455" s="2" t="n"/>
      <c r="T4455" s="3" t="n"/>
      <c r="U4455" s="87" t="n"/>
      <c r="V4455" s="3" t="n"/>
      <c r="W4455" s="108" t="n"/>
      <c r="X4455" s="4" t="n"/>
    </row>
    <row r="4456" ht="24" customHeight="1">
      <c r="A4456" s="2">
        <f>+D4456-S4456</f>
        <v/>
      </c>
      <c r="B4456" s="126" t="n">
        <v>6042</v>
      </c>
      <c r="C4456" s="66" t="n">
        <v>46139</v>
      </c>
      <c r="D4456" s="2" t="n">
        <v>1</v>
      </c>
      <c r="E4456" s="3" t="inlineStr">
        <is>
          <t>CARABINA AD ARIA COMPRESSA</t>
        </is>
      </c>
      <c r="F4456" s="3" t="inlineStr">
        <is>
          <t>4,5</t>
        </is>
      </c>
      <c r="G4456" s="84" t="inlineStr">
        <is>
          <t>DIANA</t>
        </is>
      </c>
      <c r="H4456" s="107" t="inlineStr">
        <is>
          <t>CARABINA A.C</t>
        </is>
      </c>
      <c r="I4456" s="107" t="inlineStr">
        <is>
          <t>379136</t>
        </is>
      </c>
      <c r="J4456" s="65" t="inlineStr">
        <is>
          <t>N/D</t>
        </is>
      </c>
      <c r="K4456" s="65" t="inlineStr">
        <is>
          <t>N/D</t>
        </is>
      </c>
      <c r="L4456" s="127" t="inlineStr">
        <is>
          <t>ARMERIA DAL POZZO G. E C. SNC</t>
        </is>
      </c>
      <c r="M4456" s="5" t="n">
        <v>0</v>
      </c>
      <c r="N4456" s="5" t="n"/>
      <c r="O4456" s="5">
        <f>+M4456+N4456</f>
        <v/>
      </c>
      <c r="P4456" s="4" t="n">
        <v>46139</v>
      </c>
      <c r="Q4456" s="87" t="n">
        <v>46139</v>
      </c>
      <c r="R4456" s="5" t="n"/>
      <c r="S4456" s="2" t="n"/>
      <c r="T4456" s="3" t="n"/>
      <c r="U4456" s="87" t="n"/>
      <c r="V4456" s="3" t="n"/>
      <c r="W4456" s="108" t="n"/>
      <c r="X4456" s="4" t="n"/>
    </row>
    <row r="4457" ht="24" customHeight="1">
      <c r="A4457" s="2">
        <f>+D4457-S4457</f>
        <v/>
      </c>
      <c r="B4457" s="126" t="n">
        <v>6043</v>
      </c>
      <c r="C4457" s="66" t="n">
        <v>46139</v>
      </c>
      <c r="D4457" s="2" t="n">
        <v>1</v>
      </c>
      <c r="E4457" s="3" t="inlineStr">
        <is>
          <t>FUCILE DOPPIETTA</t>
        </is>
      </c>
      <c r="F4457" s="124" t="inlineStr">
        <is>
          <t>N/D</t>
        </is>
      </c>
      <c r="G4457" s="84" t="inlineStr">
        <is>
          <t>ARTIGIANALE</t>
        </is>
      </c>
      <c r="H4457" s="107" t="inlineStr">
        <is>
          <t>DOPPIETTA</t>
        </is>
      </c>
      <c r="I4457" s="107" t="inlineStr">
        <is>
          <t>19727</t>
        </is>
      </c>
      <c r="J4457" s="65" t="inlineStr">
        <is>
          <t>N/D</t>
        </is>
      </c>
      <c r="K4457" s="65" t="inlineStr">
        <is>
          <t>N/D</t>
        </is>
      </c>
      <c r="L4457" s="127" t="inlineStr">
        <is>
          <t>ARMERIA DAL POZZO G. E C. SNC</t>
        </is>
      </c>
      <c r="M4457" s="5" t="n">
        <v>200</v>
      </c>
      <c r="N4457" s="5" t="n"/>
      <c r="O4457" s="5">
        <f>+M4457+N4457</f>
        <v/>
      </c>
      <c r="P4457" s="4" t="n">
        <v>46139</v>
      </c>
      <c r="Q4457" s="87" t="n">
        <v>46139</v>
      </c>
      <c r="R4457" s="5" t="n"/>
      <c r="S4457" s="2" t="n"/>
      <c r="T4457" s="3" t="n"/>
      <c r="U4457" s="87" t="n"/>
      <c r="V4457" s="3" t="n"/>
      <c r="W4457" s="108" t="n"/>
      <c r="X4457" s="4" t="n"/>
    </row>
    <row r="4458" ht="24" customHeight="1">
      <c r="A4458" s="2">
        <f>+D4458-S4458</f>
        <v/>
      </c>
      <c r="B4458" s="126" t="n">
        <v>6044</v>
      </c>
      <c r="C4458" s="66" t="n">
        <v>46139</v>
      </c>
      <c r="D4458" s="2" t="n">
        <v>1</v>
      </c>
      <c r="E4458" s="3" t="inlineStr">
        <is>
          <t>FUCILE SEMIAUTOMATICO</t>
        </is>
      </c>
      <c r="F4458" s="3" t="inlineStr">
        <is>
          <t>12</t>
        </is>
      </c>
      <c r="G4458" s="84" t="inlineStr">
        <is>
          <t>BERETTA</t>
        </is>
      </c>
      <c r="H4458" s="107" t="inlineStr">
        <is>
          <t>301</t>
        </is>
      </c>
      <c r="I4458" s="107" t="inlineStr">
        <is>
          <t>C33024F</t>
        </is>
      </c>
      <c r="J4458" s="65" t="inlineStr">
        <is>
          <t>C22155E</t>
        </is>
      </c>
      <c r="K4458" s="65" t="inlineStr">
        <is>
          <t>N/D</t>
        </is>
      </c>
      <c r="L4458" s="127" t="inlineStr">
        <is>
          <t>ARMERIA DAL POZZO G. E C. SNC</t>
        </is>
      </c>
      <c r="M4458" s="5" t="n">
        <v>150</v>
      </c>
      <c r="N4458" s="5" t="n"/>
      <c r="O4458" s="5">
        <f>+M4458+N4458</f>
        <v/>
      </c>
      <c r="P4458" s="4" t="n">
        <v>46139</v>
      </c>
      <c r="Q4458" s="87" t="n">
        <v>46139</v>
      </c>
      <c r="R4458" s="5" t="n"/>
      <c r="S4458" s="2" t="n"/>
      <c r="T4458" s="3" t="n"/>
      <c r="U4458" s="87" t="n"/>
      <c r="V4458" s="3" t="n"/>
      <c r="W4458" s="108" t="n"/>
      <c r="X4458" s="4" t="n"/>
    </row>
    <row r="4459" ht="24" customHeight="1">
      <c r="A4459" s="2">
        <f>+D4459-S4459</f>
        <v/>
      </c>
      <c r="B4459" s="126" t="n">
        <v>6045</v>
      </c>
      <c r="C4459" s="66" t="n">
        <v>46139</v>
      </c>
      <c r="D4459" s="2" t="n">
        <v>1</v>
      </c>
      <c r="E4459" s="3" t="inlineStr">
        <is>
          <t>CANNA PER FUCILE SEMIAUTOMATICO</t>
        </is>
      </c>
      <c r="F4459" s="3" t="inlineStr">
        <is>
          <t>12</t>
        </is>
      </c>
      <c r="G4459" s="84" t="inlineStr">
        <is>
          <t>FRANCHI</t>
        </is>
      </c>
      <c r="H4459" s="107" t="inlineStr">
        <is>
          <t>CANNA</t>
        </is>
      </c>
      <c r="I4459" s="107" t="inlineStr">
        <is>
          <t>RG2053M</t>
        </is>
      </c>
      <c r="J4459" s="65" t="inlineStr">
        <is>
          <t>N/D</t>
        </is>
      </c>
      <c r="K4459" s="65" t="inlineStr">
        <is>
          <t>N/D</t>
        </is>
      </c>
      <c r="L4459" s="127" t="inlineStr">
        <is>
          <t>ARMERIA DAL POZZO G. E C. SNC</t>
        </is>
      </c>
      <c r="M4459" s="5" t="n">
        <v>10</v>
      </c>
      <c r="N4459" s="5" t="n"/>
      <c r="O4459" s="5">
        <f>+M4459+N4459</f>
        <v/>
      </c>
      <c r="P4459" s="4" t="n">
        <v>46139</v>
      </c>
      <c r="Q4459" s="87" t="n">
        <v>46139</v>
      </c>
      <c r="R4459" s="5" t="n"/>
      <c r="S4459" s="2" t="n"/>
      <c r="T4459" s="3" t="n"/>
      <c r="U4459" s="87" t="n"/>
      <c r="V4459" s="3" t="n"/>
      <c r="W4459" s="108" t="n"/>
      <c r="X4459" s="4" t="n"/>
    </row>
    <row r="4460" ht="24" customHeight="1">
      <c r="A4460" s="2">
        <f>+D4460-S4460</f>
        <v/>
      </c>
      <c r="B4460" s="126" t="n">
        <v>6046</v>
      </c>
      <c r="C4460" s="66" t="n">
        <v>46139</v>
      </c>
      <c r="D4460" s="2" t="n">
        <v>1</v>
      </c>
      <c r="E4460" s="3" t="inlineStr">
        <is>
          <t>CARABINA AD ARIA COMPRESSA</t>
        </is>
      </c>
      <c r="F4460" s="3" t="inlineStr">
        <is>
          <t>4,5</t>
        </is>
      </c>
      <c r="G4460" s="84" t="inlineStr">
        <is>
          <t>WEIHRAUCH</t>
        </is>
      </c>
      <c r="H4460" s="107" t="inlineStr">
        <is>
          <t>HW35</t>
        </is>
      </c>
      <c r="I4460" s="107" t="inlineStr">
        <is>
          <t>487575</t>
        </is>
      </c>
      <c r="J4460" s="65" t="inlineStr">
        <is>
          <t>N/D</t>
        </is>
      </c>
      <c r="K4460" s="65" t="inlineStr">
        <is>
          <t>N/D</t>
        </is>
      </c>
      <c r="L4460" s="127" t="inlineStr">
        <is>
          <t>ARMERIA DAL POZZO G. E C. SNC</t>
        </is>
      </c>
      <c r="M4460" s="5" t="n">
        <v>30</v>
      </c>
      <c r="N4460" s="5" t="n"/>
      <c r="O4460" s="5">
        <f>+M4460+N4460</f>
        <v/>
      </c>
      <c r="P4460" s="4" t="n">
        <v>46139</v>
      </c>
      <c r="Q4460" s="87" t="n">
        <v>46139</v>
      </c>
      <c r="R4460" s="5" t="n"/>
      <c r="S4460" s="2" t="n"/>
      <c r="T4460" s="3" t="n"/>
      <c r="U4460" s="87" t="n"/>
      <c r="V4460" s="3" t="n"/>
      <c r="W4460" s="108" t="n"/>
      <c r="X4460" s="4" t="n"/>
    </row>
    <row r="4461" ht="24" customHeight="1">
      <c r="A4461" s="2">
        <f>+D4461-S4461</f>
        <v/>
      </c>
      <c r="B4461" s="126" t="n">
        <v>6047</v>
      </c>
      <c r="C4461" s="66" t="n">
        <v>46139</v>
      </c>
      <c r="D4461" s="2" t="n">
        <v>1</v>
      </c>
      <c r="E4461" s="3" t="inlineStr">
        <is>
          <t>CARABINA AD ARIA COMPRESSA</t>
        </is>
      </c>
      <c r="F4461" s="3" t="inlineStr">
        <is>
          <t>4,5</t>
        </is>
      </c>
      <c r="G4461" s="84" t="inlineStr">
        <is>
          <t>FRANCHI/DIANA</t>
        </is>
      </c>
      <c r="H4461" s="107" t="inlineStr">
        <is>
          <t>III SUPER</t>
        </is>
      </c>
      <c r="I4461" s="107" t="inlineStr">
        <is>
          <t>052362</t>
        </is>
      </c>
      <c r="J4461" s="65" t="inlineStr">
        <is>
          <t>N/D</t>
        </is>
      </c>
      <c r="K4461" s="65" t="inlineStr">
        <is>
          <t>N/D</t>
        </is>
      </c>
      <c r="L4461" s="127" t="inlineStr">
        <is>
          <t>ARMERIA DAL POZZO G. E C. SNC</t>
        </is>
      </c>
      <c r="M4461" s="5" t="n">
        <v>30</v>
      </c>
      <c r="N4461" s="5" t="n"/>
      <c r="O4461" s="5">
        <f>+M4461+N4461</f>
        <v/>
      </c>
      <c r="P4461" s="4" t="n">
        <v>46139</v>
      </c>
      <c r="Q4461" s="87" t="n">
        <v>46139</v>
      </c>
      <c r="R4461" s="5" t="n"/>
      <c r="S4461" s="2" t="n"/>
      <c r="T4461" s="3" t="n"/>
      <c r="U4461" s="87" t="n"/>
      <c r="V4461" s="3" t="n"/>
      <c r="W4461" s="108" t="n"/>
      <c r="X4461" s="4" t="n"/>
    </row>
    <row r="4462" ht="24" customHeight="1">
      <c r="A4462" s="2">
        <f>+D4462-S4462</f>
        <v/>
      </c>
      <c r="B4462" s="126" t="n">
        <v>6048</v>
      </c>
      <c r="C4462" s="66" t="n">
        <v>46139</v>
      </c>
      <c r="D4462" s="2" t="n">
        <v>1</v>
      </c>
      <c r="E4462" s="3" t="inlineStr">
        <is>
          <t>CARABINA AD ARIA COMPRESSA</t>
        </is>
      </c>
      <c r="F4462" s="3" t="inlineStr">
        <is>
          <t>4,5</t>
        </is>
      </c>
      <c r="G4462" s="84" t="inlineStr">
        <is>
          <t>MAROCCHI</t>
        </is>
      </c>
      <c r="H4462" s="107" t="inlineStr">
        <is>
          <t>COMPETIZIONE</t>
        </is>
      </c>
      <c r="I4462" s="107" t="inlineStr">
        <is>
          <t>028700</t>
        </is>
      </c>
      <c r="J4462" s="65" t="inlineStr">
        <is>
          <t>N/D</t>
        </is>
      </c>
      <c r="K4462" s="65" t="inlineStr">
        <is>
          <t>N/D</t>
        </is>
      </c>
      <c r="L4462" s="127" t="inlineStr">
        <is>
          <t>ARMERIA DAL POZZO G. E C. SNC</t>
        </is>
      </c>
      <c r="M4462" s="5" t="n">
        <v>0</v>
      </c>
      <c r="N4462" s="5" t="n"/>
      <c r="O4462" s="5">
        <f>+M4462+N4462</f>
        <v/>
      </c>
      <c r="P4462" s="4" t="n">
        <v>46139</v>
      </c>
      <c r="Q4462" s="87" t="n">
        <v>46139</v>
      </c>
      <c r="R4462" s="5" t="n"/>
      <c r="S4462" s="2" t="n"/>
      <c r="T4462" s="3" t="n"/>
      <c r="U4462" s="87" t="n"/>
      <c r="V4462" s="3" t="n"/>
      <c r="W4462" s="108" t="n"/>
      <c r="X4462" s="4" t="n"/>
    </row>
    <row r="4463" ht="24" customHeight="1">
      <c r="A4463" s="2">
        <f>+D4463-S4463</f>
        <v/>
      </c>
      <c r="B4463" s="126" t="n">
        <v>6049</v>
      </c>
      <c r="C4463" s="66" t="n">
        <v>46140</v>
      </c>
      <c r="D4463" s="2" t="n">
        <v>1</v>
      </c>
      <c r="E4463" s="3" t="inlineStr">
        <is>
          <t>CARABINA AD OTTURATORE</t>
        </is>
      </c>
      <c r="F4463" s="3" t="inlineStr">
        <is>
          <t>.243</t>
        </is>
      </c>
      <c r="G4463" s="84" t="inlineStr">
        <is>
          <t>SABATTI</t>
        </is>
      </c>
      <c r="H4463" s="107" t="inlineStr">
        <is>
          <t>ROVER 870</t>
        </is>
      </c>
      <c r="I4463" s="107" t="inlineStr">
        <is>
          <t>R48229</t>
        </is>
      </c>
      <c r="J4463" s="65" t="inlineStr">
        <is>
          <t>N/D</t>
        </is>
      </c>
      <c r="K4463" s="65" t="inlineStr">
        <is>
          <t>N/D</t>
        </is>
      </c>
      <c r="L4463" s="127" t="inlineStr">
        <is>
          <t>REDOLFI F.LLI SRL</t>
        </is>
      </c>
      <c r="M4463" s="5" t="n">
        <v>150</v>
      </c>
      <c r="N4463" s="5" t="n"/>
      <c r="O4463" s="5">
        <f>+M4463+N4463</f>
        <v/>
      </c>
      <c r="P4463" s="4" t="n">
        <v>46140</v>
      </c>
      <c r="Q4463" s="87" t="n">
        <v>46139</v>
      </c>
      <c r="R4463" s="5" t="n"/>
      <c r="S4463" s="2" t="n"/>
      <c r="T4463" s="3" t="n"/>
      <c r="U4463" s="87" t="n"/>
      <c r="V4463" s="3" t="n"/>
      <c r="W4463" s="108" t="n"/>
      <c r="X4463" s="4" t="n"/>
    </row>
    <row r="4464" ht="24" customHeight="1">
      <c r="A4464" s="2">
        <f>+D4464-S4464</f>
        <v/>
      </c>
      <c r="B4464" s="126" t="n">
        <v>6050</v>
      </c>
      <c r="C4464" s="66" t="n">
        <v>46140</v>
      </c>
      <c r="D4464" s="2" t="n">
        <v>1</v>
      </c>
      <c r="E4464" s="3" t="inlineStr">
        <is>
          <t>CARABINA AD OTTURATORE</t>
        </is>
      </c>
      <c r="F4464" s="3" t="inlineStr">
        <is>
          <t>.243</t>
        </is>
      </c>
      <c r="G4464" s="84" t="inlineStr">
        <is>
          <t>SABATTI</t>
        </is>
      </c>
      <c r="H4464" s="107" t="inlineStr">
        <is>
          <t>ROVER 870</t>
        </is>
      </c>
      <c r="I4464" s="107" t="inlineStr">
        <is>
          <t>R48230</t>
        </is>
      </c>
      <c r="J4464" s="65" t="inlineStr">
        <is>
          <t>N/D</t>
        </is>
      </c>
      <c r="K4464" s="65" t="inlineStr">
        <is>
          <t>N/D</t>
        </is>
      </c>
      <c r="L4464" s="127" t="inlineStr">
        <is>
          <t>REDOLFI F.LLI SRL</t>
        </is>
      </c>
      <c r="M4464" s="5" t="n">
        <v>150</v>
      </c>
      <c r="N4464" s="5" t="n"/>
      <c r="O4464" s="5">
        <f>+M4464+N4464</f>
        <v/>
      </c>
      <c r="P4464" s="4" t="n">
        <v>46140</v>
      </c>
      <c r="Q4464" s="87" t="n">
        <v>46139</v>
      </c>
      <c r="R4464" s="5" t="n"/>
      <c r="S4464" s="2" t="n"/>
      <c r="T4464" s="3" t="n"/>
      <c r="U4464" s="87" t="n"/>
      <c r="V4464" s="3" t="n"/>
      <c r="W4464" s="108" t="n"/>
      <c r="X4464" s="4" t="n"/>
    </row>
    <row r="4465" ht="24" customHeight="1">
      <c r="A4465" s="2">
        <f>+D4465-S4465</f>
        <v/>
      </c>
      <c r="B4465" s="126" t="n">
        <v>6051</v>
      </c>
      <c r="C4465" s="66" t="n">
        <v>46140</v>
      </c>
      <c r="D4465" s="2" t="n">
        <v>1</v>
      </c>
      <c r="E4465" s="3" t="inlineStr">
        <is>
          <t>CARABINA AD OTTURATORE</t>
        </is>
      </c>
      <c r="F4465" s="3" t="inlineStr">
        <is>
          <t>.243</t>
        </is>
      </c>
      <c r="G4465" s="84" t="inlineStr">
        <is>
          <t>SABATTI</t>
        </is>
      </c>
      <c r="H4465" s="107" t="inlineStr">
        <is>
          <t>ROVER 870</t>
        </is>
      </c>
      <c r="I4465" s="107" t="inlineStr">
        <is>
          <t>R48231</t>
        </is>
      </c>
      <c r="J4465" s="65" t="inlineStr">
        <is>
          <t>N/D</t>
        </is>
      </c>
      <c r="K4465" s="65" t="inlineStr">
        <is>
          <t>N/D</t>
        </is>
      </c>
      <c r="L4465" s="127" t="inlineStr">
        <is>
          <t>REDOLFI F.LLI SRL</t>
        </is>
      </c>
      <c r="M4465" s="5" t="n">
        <v>150</v>
      </c>
      <c r="N4465" s="5" t="n"/>
      <c r="O4465" s="5">
        <f>+M4465+N4465</f>
        <v/>
      </c>
      <c r="P4465" s="4" t="n">
        <v>46140</v>
      </c>
      <c r="Q4465" s="87" t="n">
        <v>46139</v>
      </c>
      <c r="R4465" s="5" t="n"/>
      <c r="S4465" s="2" t="n"/>
      <c r="T4465" s="3" t="n"/>
      <c r="U4465" s="87" t="n"/>
      <c r="V4465" s="3" t="n"/>
      <c r="W4465" s="108" t="n"/>
      <c r="X4465" s="4" t="n"/>
    </row>
    <row r="4466" ht="24" customHeight="1">
      <c r="A4466" s="2">
        <f>+D4466-S4466</f>
        <v/>
      </c>
      <c r="B4466" s="126" t="n">
        <v>6052</v>
      </c>
      <c r="C4466" s="66" t="n">
        <v>46140</v>
      </c>
      <c r="D4466" s="2" t="n">
        <v>1</v>
      </c>
      <c r="E4466" s="3" t="inlineStr">
        <is>
          <t>CARABINA AD OTTURATORE</t>
        </is>
      </c>
      <c r="F4466" s="3" t="inlineStr">
        <is>
          <t>.243</t>
        </is>
      </c>
      <c r="G4466" s="84" t="inlineStr">
        <is>
          <t>SABATTI</t>
        </is>
      </c>
      <c r="H4466" s="107" t="inlineStr">
        <is>
          <t>ROVER 870</t>
        </is>
      </c>
      <c r="I4466" s="107" t="inlineStr">
        <is>
          <t>R48232</t>
        </is>
      </c>
      <c r="J4466" s="65" t="inlineStr">
        <is>
          <t>N/D</t>
        </is>
      </c>
      <c r="K4466" s="65" t="inlineStr">
        <is>
          <t>N/D</t>
        </is>
      </c>
      <c r="L4466" s="127" t="inlineStr">
        <is>
          <t>REDOLFI F.LLI SRL</t>
        </is>
      </c>
      <c r="M4466" s="5" t="n">
        <v>150</v>
      </c>
      <c r="N4466" s="5" t="n"/>
      <c r="O4466" s="5">
        <f>+M4466+N4466</f>
        <v/>
      </c>
      <c r="P4466" s="4" t="n">
        <v>46140</v>
      </c>
      <c r="Q4466" s="87" t="n">
        <v>46139</v>
      </c>
      <c r="R4466" s="5" t="n"/>
      <c r="S4466" s="2" t="n"/>
      <c r="T4466" s="3" t="n"/>
      <c r="U4466" s="87" t="n"/>
      <c r="V4466" s="3" t="n"/>
      <c r="W4466" s="108" t="n"/>
      <c r="X4466" s="4" t="n"/>
    </row>
    <row r="4467" ht="24" customHeight="1">
      <c r="A4467" s="2">
        <f>+D4467-S4467</f>
        <v/>
      </c>
      <c r="B4467" s="126" t="n">
        <v>6053</v>
      </c>
      <c r="C4467" s="66" t="n">
        <v>46140</v>
      </c>
      <c r="D4467" s="2" t="n">
        <v>1</v>
      </c>
      <c r="E4467" s="3" t="inlineStr">
        <is>
          <t>CARABINA AD OTTURATORE</t>
        </is>
      </c>
      <c r="F4467" s="3" t="inlineStr">
        <is>
          <t>.243</t>
        </is>
      </c>
      <c r="G4467" s="84" t="inlineStr">
        <is>
          <t>SABATTI</t>
        </is>
      </c>
      <c r="H4467" s="107" t="inlineStr">
        <is>
          <t>ROVER 870</t>
        </is>
      </c>
      <c r="I4467" s="107" t="inlineStr">
        <is>
          <t>R48234</t>
        </is>
      </c>
      <c r="J4467" s="65" t="inlineStr">
        <is>
          <t>N/D</t>
        </is>
      </c>
      <c r="K4467" s="65" t="inlineStr">
        <is>
          <t>N/D</t>
        </is>
      </c>
      <c r="L4467" s="127" t="inlineStr">
        <is>
          <t>REDOLFI F.LLI SRL</t>
        </is>
      </c>
      <c r="M4467" s="5" t="n">
        <v>150</v>
      </c>
      <c r="N4467" s="5" t="n"/>
      <c r="O4467" s="5">
        <f>+M4467+N4467</f>
        <v/>
      </c>
      <c r="P4467" s="4" t="n">
        <v>46140</v>
      </c>
      <c r="Q4467" s="87" t="n">
        <v>46139</v>
      </c>
      <c r="R4467" s="5" t="n"/>
      <c r="S4467" s="2" t="n"/>
      <c r="T4467" s="3" t="n"/>
      <c r="U4467" s="87" t="n"/>
      <c r="V4467" s="3" t="n"/>
      <c r="W4467" s="108" t="n"/>
      <c r="X4467" s="4" t="n"/>
    </row>
    <row r="4468" ht="24" customHeight="1">
      <c r="A4468" s="2">
        <f>+D4468-S4468</f>
        <v/>
      </c>
      <c r="B4468" s="126" t="n">
        <v>6054</v>
      </c>
      <c r="C4468" s="66" t="n">
        <v>46140</v>
      </c>
      <c r="D4468" s="2" t="n">
        <v>1</v>
      </c>
      <c r="E4468" s="3" t="inlineStr">
        <is>
          <t>CARABINA AD OTTURATORE</t>
        </is>
      </c>
      <c r="F4468" s="3" t="inlineStr">
        <is>
          <t>.243</t>
        </is>
      </c>
      <c r="G4468" s="84" t="inlineStr">
        <is>
          <t>SABATTI</t>
        </is>
      </c>
      <c r="H4468" s="107" t="inlineStr">
        <is>
          <t>ROVER 870</t>
        </is>
      </c>
      <c r="I4468" s="107" t="inlineStr">
        <is>
          <t>R55863</t>
        </is>
      </c>
      <c r="J4468" s="65" t="inlineStr">
        <is>
          <t>N/D</t>
        </is>
      </c>
      <c r="K4468" s="65" t="inlineStr">
        <is>
          <t>N/D</t>
        </is>
      </c>
      <c r="L4468" s="127" t="inlineStr">
        <is>
          <t>REDOLFI F.LLI SRL</t>
        </is>
      </c>
      <c r="M4468" s="5" t="n">
        <v>150</v>
      </c>
      <c r="N4468" s="5" t="n"/>
      <c r="O4468" s="5">
        <f>+M4468+N4468</f>
        <v/>
      </c>
      <c r="P4468" s="4" t="n">
        <v>46140</v>
      </c>
      <c r="Q4468" s="87" t="n">
        <v>46139</v>
      </c>
      <c r="R4468" s="5" t="n"/>
      <c r="S4468" s="2" t="n"/>
      <c r="T4468" s="3" t="n"/>
      <c r="U4468" s="87" t="n"/>
      <c r="V4468" s="3" t="n"/>
      <c r="W4468" s="108" t="n"/>
      <c r="X4468" s="4" t="n"/>
    </row>
    <row r="4469" ht="24" customHeight="1">
      <c r="A4469" s="2">
        <f>+D4469-S4469</f>
        <v/>
      </c>
      <c r="B4469" s="126" t="n">
        <v>6055</v>
      </c>
      <c r="C4469" s="66" t="n">
        <v>46140</v>
      </c>
      <c r="D4469" s="2" t="n">
        <v>1</v>
      </c>
      <c r="E4469" s="3" t="inlineStr">
        <is>
          <t>CARABINA AD OTTURATORE</t>
        </is>
      </c>
      <c r="F4469" s="3" t="inlineStr">
        <is>
          <t>.243</t>
        </is>
      </c>
      <c r="G4469" s="84" t="inlineStr">
        <is>
          <t>SABATTI</t>
        </is>
      </c>
      <c r="H4469" s="107" t="inlineStr">
        <is>
          <t>ROVER 870</t>
        </is>
      </c>
      <c r="I4469" s="107" t="inlineStr">
        <is>
          <t>R55885</t>
        </is>
      </c>
      <c r="J4469" s="65" t="inlineStr">
        <is>
          <t>N/D</t>
        </is>
      </c>
      <c r="K4469" s="65" t="inlineStr">
        <is>
          <t>N/D</t>
        </is>
      </c>
      <c r="L4469" s="127" t="inlineStr">
        <is>
          <t>REDOLFI F.LLI SRL</t>
        </is>
      </c>
      <c r="M4469" s="5" t="n">
        <v>150</v>
      </c>
      <c r="N4469" s="5" t="n"/>
      <c r="O4469" s="5">
        <f>+M4469+N4469</f>
        <v/>
      </c>
      <c r="P4469" s="4" t="n">
        <v>46140</v>
      </c>
      <c r="Q4469" s="87" t="n">
        <v>46139</v>
      </c>
      <c r="R4469" s="5" t="n"/>
      <c r="S4469" s="2" t="n"/>
      <c r="T4469" s="3" t="n"/>
      <c r="U4469" s="87" t="n"/>
      <c r="V4469" s="3" t="n"/>
      <c r="W4469" s="108" t="n"/>
      <c r="X4469" s="4" t="n"/>
    </row>
    <row r="4470" ht="24" customHeight="1">
      <c r="A4470" s="2">
        <f>+D4470-S4470</f>
        <v/>
      </c>
      <c r="B4470" s="126" t="n">
        <v>6056</v>
      </c>
      <c r="C4470" s="66" t="n">
        <v>46140</v>
      </c>
      <c r="D4470" s="2" t="n">
        <v>1</v>
      </c>
      <c r="E4470" s="3" t="inlineStr">
        <is>
          <t>CARABINA AD OTTURATORE</t>
        </is>
      </c>
      <c r="F4470" s="3" t="inlineStr">
        <is>
          <t>.243</t>
        </is>
      </c>
      <c r="G4470" s="84" t="inlineStr">
        <is>
          <t>SABATTI</t>
        </is>
      </c>
      <c r="H4470" s="107" t="inlineStr">
        <is>
          <t>ROVER 870</t>
        </is>
      </c>
      <c r="I4470" s="107" t="inlineStr">
        <is>
          <t>R55888</t>
        </is>
      </c>
      <c r="J4470" s="65" t="inlineStr">
        <is>
          <t>N/D</t>
        </is>
      </c>
      <c r="K4470" s="65" t="inlineStr">
        <is>
          <t>N/D</t>
        </is>
      </c>
      <c r="L4470" s="127" t="inlineStr">
        <is>
          <t>REDOLFI F.LLI SRL</t>
        </is>
      </c>
      <c r="M4470" s="5" t="n">
        <v>150</v>
      </c>
      <c r="N4470" s="5" t="n"/>
      <c r="O4470" s="5">
        <f>+M4470+N4470</f>
        <v/>
      </c>
      <c r="P4470" s="4" t="n">
        <v>46140</v>
      </c>
      <c r="Q4470" s="87" t="n">
        <v>46139</v>
      </c>
      <c r="R4470" s="5" t="n"/>
      <c r="S4470" s="2" t="n"/>
      <c r="T4470" s="3" t="n"/>
      <c r="U4470" s="87" t="n"/>
      <c r="V4470" s="3" t="n"/>
      <c r="W4470" s="108" t="n"/>
      <c r="X4470" s="4" t="n"/>
    </row>
    <row r="4471" ht="24" customHeight="1">
      <c r="A4471" s="2">
        <f>+D4471-S4471</f>
        <v/>
      </c>
      <c r="B4471" s="126" t="n">
        <v>6057</v>
      </c>
      <c r="C4471" s="66" t="n">
        <v>46140</v>
      </c>
      <c r="D4471" s="2" t="n">
        <v>1</v>
      </c>
      <c r="E4471" s="3" t="inlineStr">
        <is>
          <t>CARABINA AD OTTURATORE</t>
        </is>
      </c>
      <c r="F4471" s="3" t="inlineStr">
        <is>
          <t>.243</t>
        </is>
      </c>
      <c r="G4471" s="84" t="inlineStr">
        <is>
          <t>SABATTI</t>
        </is>
      </c>
      <c r="H4471" s="107" t="inlineStr">
        <is>
          <t>ROVER 870</t>
        </is>
      </c>
      <c r="I4471" s="107" t="inlineStr">
        <is>
          <t>R55893</t>
        </is>
      </c>
      <c r="J4471" s="65" t="inlineStr">
        <is>
          <t>N/D</t>
        </is>
      </c>
      <c r="K4471" s="65" t="inlineStr">
        <is>
          <t>N/D</t>
        </is>
      </c>
      <c r="L4471" s="127" t="inlineStr">
        <is>
          <t>REDOLFI F.LLI SRL</t>
        </is>
      </c>
      <c r="M4471" s="5" t="n">
        <v>150</v>
      </c>
      <c r="N4471" s="5" t="n"/>
      <c r="O4471" s="5">
        <f>+M4471+N4471</f>
        <v/>
      </c>
      <c r="P4471" s="4" t="n">
        <v>46140</v>
      </c>
      <c r="Q4471" s="87" t="n">
        <v>46139</v>
      </c>
      <c r="R4471" s="5" t="n"/>
      <c r="S4471" s="2" t="n"/>
      <c r="T4471" s="3" t="n"/>
      <c r="U4471" s="87" t="n"/>
      <c r="V4471" s="3" t="n"/>
      <c r="W4471" s="108" t="n"/>
      <c r="X4471" s="4" t="n"/>
    </row>
    <row r="4472" ht="24" customHeight="1">
      <c r="A4472" s="2">
        <f>+D4472-S4472</f>
        <v/>
      </c>
      <c r="B4472" s="126" t="n">
        <v>6058</v>
      </c>
      <c r="C4472" s="66" t="n">
        <v>46140</v>
      </c>
      <c r="D4472" s="2" t="n">
        <v>1</v>
      </c>
      <c r="E4472" s="3" t="inlineStr">
        <is>
          <t>CARABINA AD OTTURATORE</t>
        </is>
      </c>
      <c r="F4472" s="3" t="inlineStr">
        <is>
          <t>.243</t>
        </is>
      </c>
      <c r="G4472" s="84" t="inlineStr">
        <is>
          <t>SABATTI</t>
        </is>
      </c>
      <c r="H4472" s="107" t="inlineStr">
        <is>
          <t>ROVER 870</t>
        </is>
      </c>
      <c r="I4472" s="107" t="inlineStr">
        <is>
          <t>R55896</t>
        </is>
      </c>
      <c r="J4472" s="65" t="inlineStr">
        <is>
          <t>N/D</t>
        </is>
      </c>
      <c r="K4472" s="65" t="inlineStr">
        <is>
          <t>N/D</t>
        </is>
      </c>
      <c r="L4472" s="127" t="inlineStr">
        <is>
          <t>REDOLFI F.LLI SRL</t>
        </is>
      </c>
      <c r="M4472" s="5" t="n">
        <v>150</v>
      </c>
      <c r="N4472" s="5" t="n"/>
      <c r="O4472" s="5">
        <f>+M4472+N4472</f>
        <v/>
      </c>
      <c r="P4472" s="4" t="n">
        <v>46140</v>
      </c>
      <c r="Q4472" s="87" t="n">
        <v>46139</v>
      </c>
      <c r="R4472" s="5" t="n"/>
      <c r="S4472" s="2" t="n"/>
      <c r="T4472" s="3" t="n"/>
      <c r="U4472" s="87" t="n"/>
      <c r="V4472" s="3" t="n"/>
      <c r="W4472" s="108" t="n"/>
      <c r="X4472" s="4" t="n"/>
    </row>
    <row r="4473" ht="24" customHeight="1">
      <c r="A4473" s="2">
        <f>+D4473-S4473</f>
        <v/>
      </c>
      <c r="B4473" s="126" t="n">
        <v>6059</v>
      </c>
      <c r="C4473" s="66" t="n">
        <v>46140</v>
      </c>
      <c r="D4473" s="2" t="n">
        <v>1</v>
      </c>
      <c r="E4473" s="3" t="inlineStr">
        <is>
          <t>CARABINA AD OTTURATORE</t>
        </is>
      </c>
      <c r="F4473" s="3" t="inlineStr">
        <is>
          <t>.243</t>
        </is>
      </c>
      <c r="G4473" s="84" t="inlineStr">
        <is>
          <t>SABATTI</t>
        </is>
      </c>
      <c r="H4473" s="107" t="inlineStr">
        <is>
          <t>ROVER 870</t>
        </is>
      </c>
      <c r="I4473" s="107" t="inlineStr">
        <is>
          <t>R56599</t>
        </is>
      </c>
      <c r="J4473" s="65" t="inlineStr">
        <is>
          <t>N/D</t>
        </is>
      </c>
      <c r="K4473" s="65" t="inlineStr">
        <is>
          <t>N/D</t>
        </is>
      </c>
      <c r="L4473" s="127" t="inlineStr">
        <is>
          <t>REDOLFI F.LLI SRL</t>
        </is>
      </c>
      <c r="M4473" s="5" t="n">
        <v>150</v>
      </c>
      <c r="N4473" s="5" t="n"/>
      <c r="O4473" s="5">
        <f>+M4473+N4473</f>
        <v/>
      </c>
      <c r="P4473" s="4" t="n">
        <v>46140</v>
      </c>
      <c r="Q4473" s="87" t="n">
        <v>46139</v>
      </c>
      <c r="R4473" s="5" t="n"/>
      <c r="S4473" s="2" t="n"/>
      <c r="T4473" s="3" t="n"/>
      <c r="U4473" s="87" t="n"/>
      <c r="V4473" s="3" t="n"/>
      <c r="W4473" s="108" t="n"/>
      <c r="X4473" s="4" t="n"/>
    </row>
    <row r="4474" ht="24" customHeight="1">
      <c r="A4474" s="2">
        <f>+D4474-S4474</f>
        <v/>
      </c>
      <c r="B4474" s="126" t="n">
        <v>6060</v>
      </c>
      <c r="C4474" s="66" t="n">
        <v>46140</v>
      </c>
      <c r="D4474" s="2" t="n">
        <v>1</v>
      </c>
      <c r="E4474" s="3" t="inlineStr">
        <is>
          <t>CARABINA AD OTTURATORE</t>
        </is>
      </c>
      <c r="F4474" s="3" t="inlineStr">
        <is>
          <t>.243</t>
        </is>
      </c>
      <c r="G4474" s="84" t="inlineStr">
        <is>
          <t>SABATTI</t>
        </is>
      </c>
      <c r="H4474" s="107" t="inlineStr">
        <is>
          <t>ROVER 870</t>
        </is>
      </c>
      <c r="I4474" s="107" t="inlineStr">
        <is>
          <t>R56600</t>
        </is>
      </c>
      <c r="J4474" s="65" t="inlineStr">
        <is>
          <t>N/D</t>
        </is>
      </c>
      <c r="K4474" s="65" t="inlineStr">
        <is>
          <t>N/D</t>
        </is>
      </c>
      <c r="L4474" s="127" t="inlineStr">
        <is>
          <t>REDOLFI F.LLI SRL</t>
        </is>
      </c>
      <c r="M4474" s="5" t="n">
        <v>150</v>
      </c>
      <c r="N4474" s="5" t="n"/>
      <c r="O4474" s="5">
        <f>+M4474+N4474</f>
        <v/>
      </c>
      <c r="P4474" s="4" t="n">
        <v>46140</v>
      </c>
      <c r="Q4474" s="87" t="n">
        <v>46139</v>
      </c>
      <c r="R4474" s="5" t="n"/>
      <c r="S4474" s="2" t="n"/>
      <c r="T4474" s="3" t="n"/>
      <c r="U4474" s="87" t="n"/>
      <c r="V4474" s="3" t="n"/>
      <c r="W4474" s="108" t="n"/>
      <c r="X4474" s="4" t="n"/>
    </row>
    <row r="4475" ht="24" customHeight="1">
      <c r="A4475" s="2">
        <f>+D4475-S4475</f>
        <v/>
      </c>
      <c r="B4475" s="126" t="n">
        <v>6061</v>
      </c>
      <c r="C4475" s="66" t="n">
        <v>46140</v>
      </c>
      <c r="D4475" s="2" t="n">
        <v>1</v>
      </c>
      <c r="E4475" s="3" t="inlineStr">
        <is>
          <t>CARABINA AD OTTURATORE</t>
        </is>
      </c>
      <c r="F4475" s="3" t="inlineStr">
        <is>
          <t>.243</t>
        </is>
      </c>
      <c r="G4475" s="84" t="inlineStr">
        <is>
          <t>SABATTI</t>
        </is>
      </c>
      <c r="H4475" s="107" t="inlineStr">
        <is>
          <t>ROVER 870</t>
        </is>
      </c>
      <c r="I4475" s="107" t="inlineStr">
        <is>
          <t>R56601</t>
        </is>
      </c>
      <c r="J4475" s="65" t="inlineStr">
        <is>
          <t>N/D</t>
        </is>
      </c>
      <c r="K4475" s="65" t="inlineStr">
        <is>
          <t>N/D</t>
        </is>
      </c>
      <c r="L4475" s="127" t="inlineStr">
        <is>
          <t>REDOLFI F.LLI SRL</t>
        </is>
      </c>
      <c r="M4475" s="5" t="n">
        <v>150</v>
      </c>
      <c r="N4475" s="5" t="n"/>
      <c r="O4475" s="5">
        <f>+M4475+N4475</f>
        <v/>
      </c>
      <c r="P4475" s="4" t="n">
        <v>46140</v>
      </c>
      <c r="Q4475" s="87" t="n">
        <v>46139</v>
      </c>
      <c r="R4475" s="5" t="n"/>
      <c r="S4475" s="2" t="n"/>
      <c r="T4475" s="3" t="n"/>
      <c r="U4475" s="87" t="n"/>
      <c r="V4475" s="3" t="n"/>
      <c r="W4475" s="108" t="n"/>
      <c r="X4475" s="4" t="n"/>
    </row>
    <row r="4476" ht="24" customHeight="1">
      <c r="A4476" s="2">
        <f>+D4476-S4476</f>
        <v/>
      </c>
      <c r="B4476" s="126" t="n">
        <v>6062</v>
      </c>
      <c r="C4476" s="66" t="n">
        <v>46140</v>
      </c>
      <c r="D4476" s="2" t="n">
        <v>1</v>
      </c>
      <c r="E4476" s="3" t="inlineStr">
        <is>
          <t>CARABINA AD OTTURATORE</t>
        </is>
      </c>
      <c r="F4476" s="3" t="inlineStr">
        <is>
          <t>.243</t>
        </is>
      </c>
      <c r="G4476" s="84" t="inlineStr">
        <is>
          <t>SABATTI</t>
        </is>
      </c>
      <c r="H4476" s="107" t="inlineStr">
        <is>
          <t>ROVER 870</t>
        </is>
      </c>
      <c r="I4476" s="107" t="inlineStr">
        <is>
          <t>R56603</t>
        </is>
      </c>
      <c r="J4476" s="65" t="inlineStr">
        <is>
          <t>N/D</t>
        </is>
      </c>
      <c r="K4476" s="65" t="inlineStr">
        <is>
          <t>N/D</t>
        </is>
      </c>
      <c r="L4476" s="127" t="inlineStr">
        <is>
          <t>REDOLFI F.LLI SRL</t>
        </is>
      </c>
      <c r="M4476" s="5" t="n">
        <v>150</v>
      </c>
      <c r="N4476" s="5" t="n"/>
      <c r="O4476" s="5">
        <f>+M4476+N4476</f>
        <v/>
      </c>
      <c r="P4476" s="4" t="n">
        <v>46140</v>
      </c>
      <c r="Q4476" s="87" t="n">
        <v>46139</v>
      </c>
      <c r="R4476" s="5" t="n"/>
      <c r="S4476" s="2" t="n"/>
      <c r="T4476" s="3" t="n"/>
      <c r="U4476" s="87" t="n"/>
      <c r="V4476" s="3" t="n"/>
      <c r="W4476" s="108" t="n"/>
      <c r="X4476" s="4" t="n"/>
    </row>
    <row r="4477" ht="24" customHeight="1">
      <c r="A4477" s="2">
        <f>+D4477-S4477</f>
        <v/>
      </c>
      <c r="B4477" s="126" t="n">
        <v>6063</v>
      </c>
      <c r="C4477" s="66" t="n">
        <v>46140</v>
      </c>
      <c r="D4477" s="2" t="n">
        <v>1</v>
      </c>
      <c r="E4477" s="3" t="inlineStr">
        <is>
          <t>CARABINA AD OTTURATORE</t>
        </is>
      </c>
      <c r="F4477" s="3" t="inlineStr">
        <is>
          <t>.243</t>
        </is>
      </c>
      <c r="G4477" s="84" t="inlineStr">
        <is>
          <t>SABATTI</t>
        </is>
      </c>
      <c r="H4477" s="107" t="inlineStr">
        <is>
          <t>ROVER 870</t>
        </is>
      </c>
      <c r="I4477" s="107" t="inlineStr">
        <is>
          <t>R56609</t>
        </is>
      </c>
      <c r="J4477" s="65" t="inlineStr">
        <is>
          <t>N/D</t>
        </is>
      </c>
      <c r="K4477" s="65" t="inlineStr">
        <is>
          <t>N/D</t>
        </is>
      </c>
      <c r="L4477" s="127" t="inlineStr">
        <is>
          <t>REDOLFI F.LLI SRL</t>
        </is>
      </c>
      <c r="M4477" s="5" t="n">
        <v>150</v>
      </c>
      <c r="N4477" s="5" t="n"/>
      <c r="O4477" s="5">
        <f>+M4477+N4477</f>
        <v/>
      </c>
      <c r="P4477" s="4" t="n">
        <v>46140</v>
      </c>
      <c r="Q4477" s="87" t="n">
        <v>46139</v>
      </c>
      <c r="R4477" s="5" t="n"/>
      <c r="S4477" s="2" t="n"/>
      <c r="T4477" s="3" t="n"/>
      <c r="U4477" s="87" t="n"/>
      <c r="V4477" s="3" t="n"/>
      <c r="W4477" s="108" t="n"/>
      <c r="X4477" s="4" t="n"/>
    </row>
    <row r="4478" ht="24" customHeight="1">
      <c r="A4478" s="2">
        <f>+D4478-S4478</f>
        <v/>
      </c>
      <c r="B4478" s="126" t="n">
        <v>6064</v>
      </c>
      <c r="C4478" s="66" t="n">
        <v>46140</v>
      </c>
      <c r="D4478" s="2" t="n">
        <v>1</v>
      </c>
      <c r="E4478" s="3" t="inlineStr">
        <is>
          <t>CARABINA AD OTTURATORE</t>
        </is>
      </c>
      <c r="F4478" s="3" t="inlineStr">
        <is>
          <t>.243</t>
        </is>
      </c>
      <c r="G4478" s="84" t="inlineStr">
        <is>
          <t>SABATTI</t>
        </is>
      </c>
      <c r="H4478" s="107" t="inlineStr">
        <is>
          <t>ROVER 870</t>
        </is>
      </c>
      <c r="I4478" s="107" t="inlineStr">
        <is>
          <t>R56613</t>
        </is>
      </c>
      <c r="J4478" s="65" t="inlineStr">
        <is>
          <t>N/D</t>
        </is>
      </c>
      <c r="K4478" s="65" t="inlineStr">
        <is>
          <t>N/D</t>
        </is>
      </c>
      <c r="L4478" s="127" t="inlineStr">
        <is>
          <t>REDOLFI F.LLI SRL</t>
        </is>
      </c>
      <c r="M4478" s="5" t="n">
        <v>150</v>
      </c>
      <c r="N4478" s="5" t="n"/>
      <c r="O4478" s="5">
        <f>+M4478+N4478</f>
        <v/>
      </c>
      <c r="P4478" s="4" t="n">
        <v>46140</v>
      </c>
      <c r="Q4478" s="87" t="n">
        <v>46139</v>
      </c>
      <c r="R4478" s="5" t="n"/>
      <c r="S4478" s="2" t="n"/>
      <c r="T4478" s="3" t="n"/>
      <c r="U4478" s="87" t="n"/>
      <c r="V4478" s="3" t="n"/>
      <c r="W4478" s="108" t="n"/>
      <c r="X4478" s="4" t="n"/>
    </row>
    <row r="4479" ht="24" customHeight="1">
      <c r="A4479" s="2">
        <f>+D4479-S4479</f>
        <v/>
      </c>
      <c r="B4479" s="126" t="n">
        <v>6065</v>
      </c>
      <c r="C4479" s="66" t="n">
        <v>46140</v>
      </c>
      <c r="D4479" s="2" t="n">
        <v>1</v>
      </c>
      <c r="E4479" s="3" t="inlineStr">
        <is>
          <t>CARABINA AD OTTURATORE</t>
        </is>
      </c>
      <c r="F4479" s="3" t="inlineStr">
        <is>
          <t>.243</t>
        </is>
      </c>
      <c r="G4479" s="84" t="inlineStr">
        <is>
          <t>SABATTI</t>
        </is>
      </c>
      <c r="H4479" s="107" t="inlineStr">
        <is>
          <t>ROVER 870</t>
        </is>
      </c>
      <c r="I4479" s="107" t="inlineStr">
        <is>
          <t>R58381</t>
        </is>
      </c>
      <c r="J4479" s="65" t="inlineStr">
        <is>
          <t>N/D</t>
        </is>
      </c>
      <c r="K4479" s="65" t="inlineStr">
        <is>
          <t>N/D</t>
        </is>
      </c>
      <c r="L4479" s="127" t="inlineStr">
        <is>
          <t>REDOLFI F.LLI SRL</t>
        </is>
      </c>
      <c r="M4479" s="5" t="n">
        <v>150</v>
      </c>
      <c r="N4479" s="5" t="n"/>
      <c r="O4479" s="5">
        <f>+M4479+N4479</f>
        <v/>
      </c>
      <c r="P4479" s="4" t="n">
        <v>46140</v>
      </c>
      <c r="Q4479" s="87" t="n">
        <v>46139</v>
      </c>
      <c r="R4479" s="5" t="n"/>
      <c r="S4479" s="2" t="n"/>
      <c r="T4479" s="3" t="n"/>
      <c r="U4479" s="87" t="n"/>
      <c r="V4479" s="3" t="n"/>
      <c r="W4479" s="108" t="n"/>
      <c r="X4479" s="4" t="n"/>
    </row>
    <row r="4480" ht="24" customHeight="1">
      <c r="A4480" s="2">
        <f>+D4480-S4480</f>
        <v/>
      </c>
      <c r="B4480" s="126" t="n">
        <v>6066</v>
      </c>
      <c r="C4480" s="66" t="n">
        <v>46140</v>
      </c>
      <c r="D4480" s="2" t="n">
        <v>1</v>
      </c>
      <c r="E4480" s="3" t="inlineStr">
        <is>
          <t>CARABINA AD OTTURATORE</t>
        </is>
      </c>
      <c r="F4480" s="3" t="inlineStr">
        <is>
          <t>.243</t>
        </is>
      </c>
      <c r="G4480" s="84" t="inlineStr">
        <is>
          <t>SABATTI</t>
        </is>
      </c>
      <c r="H4480" s="107" t="inlineStr">
        <is>
          <t>ROVER 870</t>
        </is>
      </c>
      <c r="I4480" s="107" t="inlineStr">
        <is>
          <t>R58382</t>
        </is>
      </c>
      <c r="J4480" s="65" t="inlineStr">
        <is>
          <t>N/D</t>
        </is>
      </c>
      <c r="K4480" s="65" t="inlineStr">
        <is>
          <t>N/D</t>
        </is>
      </c>
      <c r="L4480" s="127" t="inlineStr">
        <is>
          <t>REDOLFI F.LLI SRL</t>
        </is>
      </c>
      <c r="M4480" s="5" t="n">
        <v>150</v>
      </c>
      <c r="N4480" s="5" t="n"/>
      <c r="O4480" s="5">
        <f>+M4480+N4480</f>
        <v/>
      </c>
      <c r="P4480" s="4" t="n">
        <v>46140</v>
      </c>
      <c r="Q4480" s="87" t="n">
        <v>46139</v>
      </c>
      <c r="R4480" s="5" t="n"/>
      <c r="S4480" s="2" t="n"/>
      <c r="T4480" s="3" t="n"/>
      <c r="U4480" s="87" t="n"/>
      <c r="V4480" s="3" t="n"/>
      <c r="W4480" s="108" t="n"/>
      <c r="X4480" s="4" t="n"/>
    </row>
    <row r="4481" ht="24" customHeight="1">
      <c r="A4481" s="2">
        <f>+D4481-S4481</f>
        <v/>
      </c>
      <c r="B4481" s="126" t="n">
        <v>6067</v>
      </c>
      <c r="C4481" s="66" t="n">
        <v>46140</v>
      </c>
      <c r="D4481" s="2" t="n">
        <v>1</v>
      </c>
      <c r="E4481" s="3" t="inlineStr">
        <is>
          <t>CARABINA AD OTTURATORE</t>
        </is>
      </c>
      <c r="F4481" s="3" t="inlineStr">
        <is>
          <t>.243</t>
        </is>
      </c>
      <c r="G4481" s="84" t="inlineStr">
        <is>
          <t>SABATTI</t>
        </is>
      </c>
      <c r="H4481" s="107" t="inlineStr">
        <is>
          <t>ROVER 870</t>
        </is>
      </c>
      <c r="I4481" s="107" t="inlineStr">
        <is>
          <t>R59011</t>
        </is>
      </c>
      <c r="J4481" s="65" t="inlineStr">
        <is>
          <t>N/D</t>
        </is>
      </c>
      <c r="K4481" s="65" t="inlineStr">
        <is>
          <t>N/D</t>
        </is>
      </c>
      <c r="L4481" s="127" t="inlineStr">
        <is>
          <t>REDOLFI F.LLI SRL</t>
        </is>
      </c>
      <c r="M4481" s="5" t="n">
        <v>150</v>
      </c>
      <c r="N4481" s="5" t="n"/>
      <c r="O4481" s="5">
        <f>+M4481+N4481</f>
        <v/>
      </c>
      <c r="P4481" s="4" t="n">
        <v>46140</v>
      </c>
      <c r="Q4481" s="87" t="n">
        <v>46139</v>
      </c>
      <c r="R4481" s="5" t="n"/>
      <c r="S4481" s="2" t="n"/>
      <c r="T4481" s="3" t="n"/>
      <c r="U4481" s="87" t="n"/>
      <c r="V4481" s="3" t="n"/>
      <c r="W4481" s="108" t="n"/>
      <c r="X4481" s="4" t="n"/>
    </row>
    <row r="4482" ht="24" customHeight="1">
      <c r="A4482" s="2">
        <f>+D4482-S4482</f>
        <v/>
      </c>
      <c r="B4482" s="126" t="n">
        <v>6068</v>
      </c>
      <c r="C4482" s="66" t="n">
        <v>46140</v>
      </c>
      <c r="D4482" s="2" t="n">
        <v>1</v>
      </c>
      <c r="E4482" s="3" t="inlineStr">
        <is>
          <t>CARABINA AD OTTURATORE</t>
        </is>
      </c>
      <c r="F4482" s="3" t="inlineStr">
        <is>
          <t>.243</t>
        </is>
      </c>
      <c r="G4482" s="84" t="inlineStr">
        <is>
          <t>SABATTI</t>
        </is>
      </c>
      <c r="H4482" s="107" t="inlineStr">
        <is>
          <t>ROVER 870</t>
        </is>
      </c>
      <c r="I4482" s="107" t="inlineStr">
        <is>
          <t>R59061</t>
        </is>
      </c>
      <c r="J4482" s="65" t="inlineStr">
        <is>
          <t>N/D</t>
        </is>
      </c>
      <c r="K4482" s="65" t="inlineStr">
        <is>
          <t>N/D</t>
        </is>
      </c>
      <c r="L4482" s="127" t="inlineStr">
        <is>
          <t>REDOLFI F.LLI SRL</t>
        </is>
      </c>
      <c r="M4482" s="5" t="n">
        <v>150</v>
      </c>
      <c r="N4482" s="5" t="n"/>
      <c r="O4482" s="5">
        <f>+M4482+N4482</f>
        <v/>
      </c>
      <c r="P4482" s="4" t="n">
        <v>46140</v>
      </c>
      <c r="Q4482" s="87" t="n">
        <v>46139</v>
      </c>
      <c r="R4482" s="5" t="n"/>
      <c r="S4482" s="2" t="n"/>
      <c r="T4482" s="3" t="n"/>
      <c r="U4482" s="87" t="n"/>
      <c r="V4482" s="3" t="n"/>
      <c r="W4482" s="108" t="n"/>
      <c r="X4482" s="4" t="n"/>
    </row>
    <row r="4483" ht="24" customHeight="1">
      <c r="A4483" s="2">
        <f>+D4483-S4483</f>
        <v/>
      </c>
      <c r="B4483" s="126" t="n">
        <v>6069</v>
      </c>
      <c r="C4483" s="66" t="n">
        <v>46140</v>
      </c>
      <c r="D4483" s="2" t="n">
        <v>1</v>
      </c>
      <c r="E4483" s="3" t="inlineStr">
        <is>
          <t>CARABINA AD OTTURATORE</t>
        </is>
      </c>
      <c r="F4483" s="3" t="inlineStr">
        <is>
          <t>.243</t>
        </is>
      </c>
      <c r="G4483" s="84" t="inlineStr">
        <is>
          <t>SABATTI</t>
        </is>
      </c>
      <c r="H4483" s="107" t="inlineStr">
        <is>
          <t>ROVER 870</t>
        </is>
      </c>
      <c r="I4483" s="107" t="inlineStr">
        <is>
          <t>R59064</t>
        </is>
      </c>
      <c r="J4483" s="65" t="inlineStr">
        <is>
          <t>N/D</t>
        </is>
      </c>
      <c r="K4483" s="65" t="inlineStr">
        <is>
          <t>N/D</t>
        </is>
      </c>
      <c r="L4483" s="127" t="inlineStr">
        <is>
          <t>REDOLFI F.LLI SRL</t>
        </is>
      </c>
      <c r="M4483" s="5" t="n">
        <v>150</v>
      </c>
      <c r="N4483" s="5" t="n"/>
      <c r="O4483" s="5">
        <f>+M4483+N4483</f>
        <v/>
      </c>
      <c r="P4483" s="4" t="n">
        <v>46140</v>
      </c>
      <c r="Q4483" s="87" t="n">
        <v>46139</v>
      </c>
      <c r="R4483" s="5" t="n"/>
      <c r="S4483" s="2" t="n"/>
      <c r="T4483" s="3" t="n"/>
      <c r="U4483" s="87" t="n"/>
      <c r="V4483" s="3" t="n"/>
      <c r="W4483" s="108" t="n"/>
      <c r="X4483" s="4" t="n"/>
    </row>
    <row r="4484" ht="24" customHeight="1">
      <c r="A4484" s="2">
        <f>+D4484-S4484</f>
        <v/>
      </c>
      <c r="B4484" s="126" t="n">
        <v>6070</v>
      </c>
      <c r="C4484" s="66" t="n">
        <v>46140</v>
      </c>
      <c r="D4484" s="2" t="n">
        <v>1</v>
      </c>
      <c r="E4484" s="3" t="inlineStr">
        <is>
          <t>CARABINA AD OTTURATORE</t>
        </is>
      </c>
      <c r="F4484" s="3" t="inlineStr">
        <is>
          <t>.243</t>
        </is>
      </c>
      <c r="G4484" s="84" t="inlineStr">
        <is>
          <t>SABATTI</t>
        </is>
      </c>
      <c r="H4484" s="107" t="inlineStr">
        <is>
          <t>ROVER 870</t>
        </is>
      </c>
      <c r="I4484" s="107" t="inlineStr">
        <is>
          <t>R59065</t>
        </is>
      </c>
      <c r="J4484" s="65" t="inlineStr">
        <is>
          <t>N/D</t>
        </is>
      </c>
      <c r="K4484" s="65" t="inlineStr">
        <is>
          <t>N/D</t>
        </is>
      </c>
      <c r="L4484" s="127" t="inlineStr">
        <is>
          <t>REDOLFI F.LLI SRL</t>
        </is>
      </c>
      <c r="M4484" s="5" t="n">
        <v>150</v>
      </c>
      <c r="N4484" s="5" t="n"/>
      <c r="O4484" s="5">
        <f>+M4484+N4484</f>
        <v/>
      </c>
      <c r="P4484" s="4" t="n">
        <v>46140</v>
      </c>
      <c r="Q4484" s="87" t="n">
        <v>46139</v>
      </c>
      <c r="R4484" s="5" t="n"/>
      <c r="S4484" s="2" t="n"/>
      <c r="T4484" s="3" t="n"/>
      <c r="U4484" s="87" t="n"/>
      <c r="V4484" s="3" t="n"/>
      <c r="W4484" s="108" t="n"/>
      <c r="X4484" s="4" t="n"/>
    </row>
    <row r="4485" ht="24" customHeight="1">
      <c r="A4485" s="2">
        <f>+D4485-S4485</f>
        <v/>
      </c>
      <c r="B4485" s="126" t="n">
        <v>6071</v>
      </c>
      <c r="C4485" s="66" t="n">
        <v>46140</v>
      </c>
      <c r="D4485" s="2" t="n">
        <v>1</v>
      </c>
      <c r="E4485" s="3" t="inlineStr">
        <is>
          <t>CARABINA AD OTTURATORE</t>
        </is>
      </c>
      <c r="F4485" s="3" t="inlineStr">
        <is>
          <t>.243</t>
        </is>
      </c>
      <c r="G4485" s="84" t="inlineStr">
        <is>
          <t>SABATTI</t>
        </is>
      </c>
      <c r="H4485" s="107" t="inlineStr">
        <is>
          <t>ROVER 870</t>
        </is>
      </c>
      <c r="I4485" s="107" t="inlineStr">
        <is>
          <t>R59066</t>
        </is>
      </c>
      <c r="J4485" s="65" t="inlineStr">
        <is>
          <t>N/D</t>
        </is>
      </c>
      <c r="K4485" s="65" t="inlineStr">
        <is>
          <t>N/D</t>
        </is>
      </c>
      <c r="L4485" s="127" t="inlineStr">
        <is>
          <t>REDOLFI F.LLI SRL</t>
        </is>
      </c>
      <c r="M4485" s="5" t="n">
        <v>150</v>
      </c>
      <c r="N4485" s="5" t="n"/>
      <c r="O4485" s="5">
        <f>+M4485+N4485</f>
        <v/>
      </c>
      <c r="P4485" s="4" t="n">
        <v>46140</v>
      </c>
      <c r="Q4485" s="87" t="n">
        <v>46139</v>
      </c>
      <c r="R4485" s="5" t="n"/>
      <c r="S4485" s="2" t="n"/>
      <c r="T4485" s="3" t="n"/>
      <c r="U4485" s="87" t="n"/>
      <c r="V4485" s="3" t="n"/>
      <c r="W4485" s="108" t="n"/>
      <c r="X4485" s="4" t="n"/>
    </row>
    <row r="4486" ht="24" customHeight="1">
      <c r="A4486" s="2">
        <f>+D4486-S4486</f>
        <v/>
      </c>
      <c r="B4486" s="126" t="n">
        <v>6072</v>
      </c>
      <c r="C4486" s="66" t="n">
        <v>46140</v>
      </c>
      <c r="D4486" s="2" t="n">
        <v>1</v>
      </c>
      <c r="E4486" s="3" t="inlineStr">
        <is>
          <t>CARABINA AD OTTURATORE</t>
        </is>
      </c>
      <c r="F4486" s="3" t="inlineStr">
        <is>
          <t>.243</t>
        </is>
      </c>
      <c r="G4486" s="84" t="inlineStr">
        <is>
          <t>SABATTI</t>
        </is>
      </c>
      <c r="H4486" s="107" t="inlineStr">
        <is>
          <t>ROVER 870</t>
        </is>
      </c>
      <c r="I4486" s="107" t="inlineStr">
        <is>
          <t>R59067</t>
        </is>
      </c>
      <c r="J4486" s="65" t="inlineStr">
        <is>
          <t>N/D</t>
        </is>
      </c>
      <c r="K4486" s="65" t="inlineStr">
        <is>
          <t>N/D</t>
        </is>
      </c>
      <c r="L4486" s="127" t="inlineStr">
        <is>
          <t>REDOLFI F.LLI SRL</t>
        </is>
      </c>
      <c r="M4486" s="5" t="n">
        <v>150</v>
      </c>
      <c r="N4486" s="5" t="n"/>
      <c r="O4486" s="5">
        <f>+M4486+N4486</f>
        <v/>
      </c>
      <c r="P4486" s="4" t="n">
        <v>46140</v>
      </c>
      <c r="Q4486" s="87" t="n">
        <v>46139</v>
      </c>
      <c r="R4486" s="5" t="n"/>
      <c r="S4486" s="2" t="n"/>
      <c r="T4486" s="3" t="n"/>
      <c r="U4486" s="87" t="n"/>
      <c r="V4486" s="3" t="n"/>
      <c r="W4486" s="108" t="n"/>
      <c r="X4486" s="4" t="n"/>
    </row>
    <row r="4487" ht="24" customHeight="1">
      <c r="A4487" s="2">
        <f>+D4487-S4487</f>
        <v/>
      </c>
      <c r="B4487" s="126" t="n">
        <v>6073</v>
      </c>
      <c r="C4487" s="66" t="n">
        <v>46140</v>
      </c>
      <c r="D4487" s="2" t="n">
        <v>1</v>
      </c>
      <c r="E4487" s="3" t="inlineStr">
        <is>
          <t>CARABINA AD OTTURATORE</t>
        </is>
      </c>
      <c r="F4487" s="3" t="inlineStr">
        <is>
          <t>.243</t>
        </is>
      </c>
      <c r="G4487" s="84" t="inlineStr">
        <is>
          <t>SABATTI</t>
        </is>
      </c>
      <c r="H4487" s="107" t="inlineStr">
        <is>
          <t>ROVER 870</t>
        </is>
      </c>
      <c r="I4487" s="107" t="inlineStr">
        <is>
          <t>R59068</t>
        </is>
      </c>
      <c r="J4487" s="65" t="inlineStr">
        <is>
          <t>N/D</t>
        </is>
      </c>
      <c r="K4487" s="65" t="inlineStr">
        <is>
          <t>N/D</t>
        </is>
      </c>
      <c r="L4487" s="127" t="inlineStr">
        <is>
          <t>REDOLFI F.LLI SRL</t>
        </is>
      </c>
      <c r="M4487" s="5" t="n">
        <v>150</v>
      </c>
      <c r="N4487" s="5" t="n"/>
      <c r="O4487" s="5">
        <f>+M4487+N4487</f>
        <v/>
      </c>
      <c r="P4487" s="4" t="n">
        <v>46140</v>
      </c>
      <c r="Q4487" s="87" t="n">
        <v>46139</v>
      </c>
      <c r="R4487" s="5" t="n"/>
      <c r="S4487" s="2" t="n"/>
      <c r="T4487" s="3" t="n"/>
      <c r="U4487" s="87" t="n"/>
      <c r="V4487" s="3" t="n"/>
      <c r="W4487" s="108" t="n"/>
      <c r="X4487" s="4" t="n"/>
    </row>
    <row r="4488" ht="24" customHeight="1">
      <c r="A4488" s="2">
        <f>+D4488-S4488</f>
        <v/>
      </c>
      <c r="B4488" s="126" t="n">
        <v>6074</v>
      </c>
      <c r="C4488" s="66" t="n">
        <v>46140</v>
      </c>
      <c r="D4488" s="2" t="n">
        <v>1</v>
      </c>
      <c r="E4488" s="3" t="inlineStr">
        <is>
          <t>CARABINA AD OTTURATORE</t>
        </is>
      </c>
      <c r="F4488" s="3" t="inlineStr">
        <is>
          <t>.243</t>
        </is>
      </c>
      <c r="G4488" s="84" t="inlineStr">
        <is>
          <t>SABATTI</t>
        </is>
      </c>
      <c r="H4488" s="107" t="inlineStr">
        <is>
          <t>ROVER 870</t>
        </is>
      </c>
      <c r="I4488" s="107" t="inlineStr">
        <is>
          <t>R59069</t>
        </is>
      </c>
      <c r="J4488" s="65" t="inlineStr">
        <is>
          <t>N/D</t>
        </is>
      </c>
      <c r="K4488" s="65" t="inlineStr">
        <is>
          <t>N/D</t>
        </is>
      </c>
      <c r="L4488" s="127" t="inlineStr">
        <is>
          <t>REDOLFI F.LLI SRL</t>
        </is>
      </c>
      <c r="M4488" s="5" t="n">
        <v>150</v>
      </c>
      <c r="N4488" s="5" t="n"/>
      <c r="O4488" s="5">
        <f>+M4488+N4488</f>
        <v/>
      </c>
      <c r="P4488" s="4" t="n">
        <v>46140</v>
      </c>
      <c r="Q4488" s="87" t="n">
        <v>46139</v>
      </c>
      <c r="R4488" s="5" t="n"/>
      <c r="S4488" s="2" t="n"/>
      <c r="T4488" s="3" t="n"/>
      <c r="U4488" s="87" t="n"/>
      <c r="V4488" s="3" t="n"/>
      <c r="W4488" s="108" t="n"/>
      <c r="X4488" s="4" t="n"/>
    </row>
    <row r="4489" ht="24" customHeight="1">
      <c r="A4489" s="2">
        <f>+D4489-S4489</f>
        <v/>
      </c>
      <c r="B4489" s="126" t="n">
        <v>6075</v>
      </c>
      <c r="C4489" s="66" t="n">
        <v>46140</v>
      </c>
      <c r="D4489" s="2" t="n">
        <v>1</v>
      </c>
      <c r="E4489" s="3" t="inlineStr">
        <is>
          <t>CARABINA AD OTTURATORE</t>
        </is>
      </c>
      <c r="F4489" s="3" t="inlineStr">
        <is>
          <t>.243</t>
        </is>
      </c>
      <c r="G4489" s="84" t="inlineStr">
        <is>
          <t>SABATTI</t>
        </is>
      </c>
      <c r="H4489" s="107" t="inlineStr">
        <is>
          <t>ROVER 870</t>
        </is>
      </c>
      <c r="I4489" s="107" t="inlineStr">
        <is>
          <t>R59070</t>
        </is>
      </c>
      <c r="J4489" s="65" t="inlineStr">
        <is>
          <t>N/D</t>
        </is>
      </c>
      <c r="K4489" s="65" t="inlineStr">
        <is>
          <t>N/D</t>
        </is>
      </c>
      <c r="L4489" s="127" t="inlineStr">
        <is>
          <t>REDOLFI F.LLI SRL</t>
        </is>
      </c>
      <c r="M4489" s="5" t="n">
        <v>150</v>
      </c>
      <c r="N4489" s="5" t="n"/>
      <c r="O4489" s="5">
        <f>+M4489+N4489</f>
        <v/>
      </c>
      <c r="P4489" s="4" t="n">
        <v>46140</v>
      </c>
      <c r="Q4489" s="87" t="n">
        <v>46139</v>
      </c>
      <c r="R4489" s="5" t="n"/>
      <c r="S4489" s="2" t="n"/>
      <c r="T4489" s="3" t="n"/>
      <c r="U4489" s="87" t="n"/>
      <c r="V4489" s="3" t="n"/>
      <c r="W4489" s="108" t="n"/>
      <c r="X4489" s="4" t="n"/>
    </row>
    <row r="4490" ht="24" customHeight="1">
      <c r="A4490" s="2">
        <f>+D4490-S4490</f>
        <v/>
      </c>
      <c r="B4490" s="126" t="n">
        <v>6076</v>
      </c>
      <c r="C4490" s="66" t="n">
        <v>46140</v>
      </c>
      <c r="D4490" s="2" t="n">
        <v>1</v>
      </c>
      <c r="E4490" s="3" t="inlineStr">
        <is>
          <t>CARABINA AD OTTURATORE</t>
        </is>
      </c>
      <c r="F4490" s="3" t="inlineStr">
        <is>
          <t>.243</t>
        </is>
      </c>
      <c r="G4490" s="84" t="inlineStr">
        <is>
          <t>SABATTI</t>
        </is>
      </c>
      <c r="H4490" s="107" t="inlineStr">
        <is>
          <t>ROVER 870</t>
        </is>
      </c>
      <c r="I4490" s="107" t="inlineStr">
        <is>
          <t>R59071</t>
        </is>
      </c>
      <c r="J4490" s="65" t="inlineStr">
        <is>
          <t>N/D</t>
        </is>
      </c>
      <c r="K4490" s="65" t="inlineStr">
        <is>
          <t>N/D</t>
        </is>
      </c>
      <c r="L4490" s="127" t="inlineStr">
        <is>
          <t>REDOLFI F.LLI SRL</t>
        </is>
      </c>
      <c r="M4490" s="5" t="n">
        <v>150</v>
      </c>
      <c r="N4490" s="5" t="n"/>
      <c r="O4490" s="5">
        <f>+M4490+N4490</f>
        <v/>
      </c>
      <c r="P4490" s="4" t="n">
        <v>46140</v>
      </c>
      <c r="Q4490" s="87" t="n">
        <v>46139</v>
      </c>
      <c r="R4490" s="5" t="n"/>
      <c r="S4490" s="2" t="n"/>
      <c r="T4490" s="3" t="n"/>
      <c r="U4490" s="87" t="n"/>
      <c r="V4490" s="3" t="n"/>
      <c r="W4490" s="108" t="n"/>
      <c r="X4490" s="4" t="n"/>
    </row>
    <row r="4491" ht="24" customHeight="1">
      <c r="A4491" s="2">
        <f>+D4491-S4491</f>
        <v/>
      </c>
      <c r="B4491" s="126" t="n">
        <v>6077</v>
      </c>
      <c r="C4491" s="66" t="n">
        <v>46140</v>
      </c>
      <c r="D4491" s="2" t="n">
        <v>1</v>
      </c>
      <c r="E4491" s="3" t="inlineStr">
        <is>
          <t>CARABINA AD OTTURATORE</t>
        </is>
      </c>
      <c r="F4491" s="3" t="inlineStr">
        <is>
          <t>.243</t>
        </is>
      </c>
      <c r="G4491" s="84" t="inlineStr">
        <is>
          <t>SABATTI</t>
        </is>
      </c>
      <c r="H4491" s="107" t="inlineStr">
        <is>
          <t>ROVER 870</t>
        </is>
      </c>
      <c r="I4491" s="107" t="inlineStr">
        <is>
          <t>R59072</t>
        </is>
      </c>
      <c r="J4491" s="65" t="inlineStr">
        <is>
          <t>N/D</t>
        </is>
      </c>
      <c r="K4491" s="65" t="inlineStr">
        <is>
          <t>N/D</t>
        </is>
      </c>
      <c r="L4491" s="127" t="inlineStr">
        <is>
          <t>REDOLFI F.LLI SRL</t>
        </is>
      </c>
      <c r="M4491" s="5" t="n">
        <v>150</v>
      </c>
      <c r="N4491" s="5" t="n"/>
      <c r="O4491" s="5">
        <f>+M4491+N4491</f>
        <v/>
      </c>
      <c r="P4491" s="4" t="n">
        <v>46140</v>
      </c>
      <c r="Q4491" s="87" t="n">
        <v>46139</v>
      </c>
      <c r="R4491" s="5" t="n"/>
      <c r="S4491" s="2" t="n"/>
      <c r="T4491" s="3" t="n"/>
      <c r="U4491" s="87" t="n"/>
      <c r="V4491" s="3" t="n"/>
      <c r="W4491" s="108" t="n"/>
      <c r="X4491" s="4" t="n"/>
    </row>
    <row r="4492" ht="24" customHeight="1">
      <c r="A4492" s="2">
        <f>+D4492-S4492</f>
        <v/>
      </c>
      <c r="B4492" s="126" t="n">
        <v>6078</v>
      </c>
      <c r="C4492" s="66" t="n">
        <v>46140</v>
      </c>
      <c r="D4492" s="2" t="n">
        <v>1</v>
      </c>
      <c r="E4492" s="3" t="inlineStr">
        <is>
          <t>CARABINA AD OTTURATORE</t>
        </is>
      </c>
      <c r="F4492" s="3" t="inlineStr">
        <is>
          <t>.243</t>
        </is>
      </c>
      <c r="G4492" s="84" t="inlineStr">
        <is>
          <t>SABATTI</t>
        </is>
      </c>
      <c r="H4492" s="107" t="inlineStr">
        <is>
          <t>ROVER 870</t>
        </is>
      </c>
      <c r="I4492" s="107" t="inlineStr">
        <is>
          <t>R59073</t>
        </is>
      </c>
      <c r="J4492" s="65" t="inlineStr">
        <is>
          <t>N/D</t>
        </is>
      </c>
      <c r="K4492" s="65" t="inlineStr">
        <is>
          <t>N/D</t>
        </is>
      </c>
      <c r="L4492" s="127" t="inlineStr">
        <is>
          <t>REDOLFI F.LLI SRL</t>
        </is>
      </c>
      <c r="M4492" s="5" t="n">
        <v>150</v>
      </c>
      <c r="N4492" s="5" t="n"/>
      <c r="O4492" s="5">
        <f>+M4492+N4492</f>
        <v/>
      </c>
      <c r="P4492" s="4" t="n">
        <v>46140</v>
      </c>
      <c r="Q4492" s="87" t="n">
        <v>46139</v>
      </c>
      <c r="R4492" s="5" t="n"/>
      <c r="S4492" s="2" t="n"/>
      <c r="T4492" s="3" t="n"/>
      <c r="U4492" s="87" t="n"/>
      <c r="V4492" s="3" t="n"/>
      <c r="W4492" s="108" t="n"/>
      <c r="X4492" s="4" t="n"/>
    </row>
    <row r="4493" ht="24" customHeight="1">
      <c r="A4493" s="2">
        <f>+D4493-S4493</f>
        <v/>
      </c>
      <c r="B4493" s="126" t="n">
        <v>6079</v>
      </c>
      <c r="C4493" s="66" t="n">
        <v>46140</v>
      </c>
      <c r="D4493" s="2" t="n">
        <v>1</v>
      </c>
      <c r="E4493" s="3" t="inlineStr">
        <is>
          <t>CARABINA AD OTTURATORE</t>
        </is>
      </c>
      <c r="F4493" s="3" t="inlineStr">
        <is>
          <t>.243</t>
        </is>
      </c>
      <c r="G4493" s="84" t="inlineStr">
        <is>
          <t>SABATTI</t>
        </is>
      </c>
      <c r="H4493" s="107" t="inlineStr">
        <is>
          <t>ROVER 870</t>
        </is>
      </c>
      <c r="I4493" s="107" t="inlineStr">
        <is>
          <t>R59074</t>
        </is>
      </c>
      <c r="J4493" s="65" t="inlineStr">
        <is>
          <t>N/D</t>
        </is>
      </c>
      <c r="K4493" s="65" t="inlineStr">
        <is>
          <t>N/D</t>
        </is>
      </c>
      <c r="L4493" s="127" t="inlineStr">
        <is>
          <t>REDOLFI F.LLI SRL</t>
        </is>
      </c>
      <c r="M4493" s="5" t="n">
        <v>150</v>
      </c>
      <c r="N4493" s="5" t="n"/>
      <c r="O4493" s="5">
        <f>+M4493+N4493</f>
        <v/>
      </c>
      <c r="P4493" s="4" t="n">
        <v>46140</v>
      </c>
      <c r="Q4493" s="87" t="n">
        <v>46139</v>
      </c>
      <c r="R4493" s="5" t="n"/>
      <c r="S4493" s="2" t="n"/>
      <c r="T4493" s="3" t="n"/>
      <c r="U4493" s="87" t="n"/>
      <c r="V4493" s="3" t="n"/>
      <c r="W4493" s="108" t="n"/>
      <c r="X4493" s="4" t="n"/>
    </row>
    <row r="4494" ht="24" customHeight="1">
      <c r="A4494" s="2">
        <f>+D4494-S4494</f>
        <v/>
      </c>
      <c r="B4494" s="126" t="n">
        <v>6080</v>
      </c>
      <c r="C4494" s="66" t="n">
        <v>46140</v>
      </c>
      <c r="D4494" s="2" t="n">
        <v>1</v>
      </c>
      <c r="E4494" s="3" t="inlineStr">
        <is>
          <t>CARABINA AD OTTURATORE</t>
        </is>
      </c>
      <c r="F4494" s="3" t="inlineStr">
        <is>
          <t>.243</t>
        </is>
      </c>
      <c r="G4494" s="84" t="inlineStr">
        <is>
          <t>SABATTI</t>
        </is>
      </c>
      <c r="H4494" s="107" t="inlineStr">
        <is>
          <t>ROVER 870</t>
        </is>
      </c>
      <c r="I4494" s="107" t="inlineStr">
        <is>
          <t>R59075</t>
        </is>
      </c>
      <c r="J4494" s="65" t="inlineStr">
        <is>
          <t>N/D</t>
        </is>
      </c>
      <c r="K4494" s="65" t="inlineStr">
        <is>
          <t>N/D</t>
        </is>
      </c>
      <c r="L4494" s="127" t="inlineStr">
        <is>
          <t>REDOLFI F.LLI SRL</t>
        </is>
      </c>
      <c r="M4494" s="5" t="n">
        <v>150</v>
      </c>
      <c r="N4494" s="5" t="n"/>
      <c r="O4494" s="5">
        <f>+M4494+N4494</f>
        <v/>
      </c>
      <c r="P4494" s="4" t="n">
        <v>46140</v>
      </c>
      <c r="Q4494" s="87" t="n">
        <v>46139</v>
      </c>
      <c r="R4494" s="5" t="n"/>
      <c r="S4494" s="2" t="n"/>
      <c r="T4494" s="3" t="n"/>
      <c r="U4494" s="87" t="n"/>
      <c r="V4494" s="3" t="n"/>
      <c r="W4494" s="108" t="n"/>
      <c r="X4494" s="4" t="n"/>
    </row>
    <row r="4495" ht="24" customHeight="1">
      <c r="A4495" s="2">
        <f>+D4495-S4495</f>
        <v/>
      </c>
      <c r="B4495" s="126" t="n">
        <v>6081</v>
      </c>
      <c r="C4495" s="66" t="n">
        <v>46140</v>
      </c>
      <c r="D4495" s="2" t="n">
        <v>1</v>
      </c>
      <c r="E4495" s="3" t="inlineStr">
        <is>
          <t>CARABINA AD OTTURATORE</t>
        </is>
      </c>
      <c r="F4495" s="3" t="inlineStr">
        <is>
          <t>.243</t>
        </is>
      </c>
      <c r="G4495" s="84" t="inlineStr">
        <is>
          <t>SABATTI</t>
        </is>
      </c>
      <c r="H4495" s="107" t="inlineStr">
        <is>
          <t>ROVER 870</t>
        </is>
      </c>
      <c r="I4495" s="107" t="inlineStr">
        <is>
          <t>R59076</t>
        </is>
      </c>
      <c r="J4495" s="65" t="inlineStr">
        <is>
          <t>N/D</t>
        </is>
      </c>
      <c r="K4495" s="65" t="inlineStr">
        <is>
          <t>N/D</t>
        </is>
      </c>
      <c r="L4495" s="127" t="inlineStr">
        <is>
          <t>REDOLFI F.LLI SRL</t>
        </is>
      </c>
      <c r="M4495" s="5" t="n">
        <v>150</v>
      </c>
      <c r="N4495" s="5" t="n"/>
      <c r="O4495" s="5">
        <f>+M4495+N4495</f>
        <v/>
      </c>
      <c r="P4495" s="4" t="n">
        <v>46140</v>
      </c>
      <c r="Q4495" s="87" t="n">
        <v>46139</v>
      </c>
      <c r="R4495" s="5" t="n"/>
      <c r="S4495" s="2" t="n"/>
      <c r="T4495" s="3" t="n"/>
      <c r="U4495" s="87" t="n"/>
      <c r="V4495" s="3" t="n"/>
      <c r="W4495" s="108" t="n"/>
      <c r="X4495" s="4" t="n"/>
    </row>
    <row r="4496" ht="24" customHeight="1">
      <c r="A4496" s="2">
        <f>+D4496-S4496</f>
        <v/>
      </c>
      <c r="B4496" s="126" t="n">
        <v>6082</v>
      </c>
      <c r="C4496" s="66" t="n">
        <v>46140</v>
      </c>
      <c r="D4496" s="2" t="n">
        <v>1</v>
      </c>
      <c r="E4496" s="3" t="inlineStr">
        <is>
          <t>CARABINA AD OTTURATORE</t>
        </is>
      </c>
      <c r="F4496" s="3" t="inlineStr">
        <is>
          <t>.243</t>
        </is>
      </c>
      <c r="G4496" s="84" t="inlineStr">
        <is>
          <t>SABATTI</t>
        </is>
      </c>
      <c r="H4496" s="107" t="inlineStr">
        <is>
          <t>ROVER 870</t>
        </is>
      </c>
      <c r="I4496" s="107" t="inlineStr">
        <is>
          <t>R59077</t>
        </is>
      </c>
      <c r="J4496" s="65" t="inlineStr">
        <is>
          <t>N/D</t>
        </is>
      </c>
      <c r="K4496" s="65" t="inlineStr">
        <is>
          <t>N/D</t>
        </is>
      </c>
      <c r="L4496" s="127" t="inlineStr">
        <is>
          <t>REDOLFI F.LLI SRL</t>
        </is>
      </c>
      <c r="M4496" s="5" t="n">
        <v>150</v>
      </c>
      <c r="N4496" s="5" t="n"/>
      <c r="O4496" s="5">
        <f>+M4496+N4496</f>
        <v/>
      </c>
      <c r="P4496" s="4" t="n">
        <v>46140</v>
      </c>
      <c r="Q4496" s="87" t="n">
        <v>46139</v>
      </c>
      <c r="R4496" s="5" t="n"/>
      <c r="S4496" s="2" t="n"/>
      <c r="T4496" s="3" t="n"/>
      <c r="U4496" s="87" t="n"/>
      <c r="V4496" s="3" t="n"/>
      <c r="W4496" s="108" t="n"/>
      <c r="X4496" s="4" t="n"/>
    </row>
    <row r="4497" ht="24" customHeight="1">
      <c r="A4497" s="2">
        <f>+D4497-S4497</f>
        <v/>
      </c>
      <c r="B4497" s="126" t="n">
        <v>6083</v>
      </c>
      <c r="C4497" s="66" t="n">
        <v>46140</v>
      </c>
      <c r="D4497" s="2" t="n">
        <v>1</v>
      </c>
      <c r="E4497" s="3" t="inlineStr">
        <is>
          <t>CARABINA AD OTTURATORE</t>
        </is>
      </c>
      <c r="F4497" s="3" t="inlineStr">
        <is>
          <t>.243</t>
        </is>
      </c>
      <c r="G4497" s="84" t="inlineStr">
        <is>
          <t>SABATTI</t>
        </is>
      </c>
      <c r="H4497" s="107" t="inlineStr">
        <is>
          <t>ROVER 870</t>
        </is>
      </c>
      <c r="I4497" s="107" t="inlineStr">
        <is>
          <t>R59078</t>
        </is>
      </c>
      <c r="J4497" s="65" t="inlineStr">
        <is>
          <t>N/D</t>
        </is>
      </c>
      <c r="K4497" s="65" t="inlineStr">
        <is>
          <t>N/D</t>
        </is>
      </c>
      <c r="L4497" s="127" t="inlineStr">
        <is>
          <t>REDOLFI F.LLI SRL</t>
        </is>
      </c>
      <c r="M4497" s="5" t="n">
        <v>150</v>
      </c>
      <c r="N4497" s="5" t="n"/>
      <c r="O4497" s="5">
        <f>+M4497+N4497</f>
        <v/>
      </c>
      <c r="P4497" s="4" t="n">
        <v>46140</v>
      </c>
      <c r="Q4497" s="87" t="n">
        <v>46139</v>
      </c>
      <c r="R4497" s="5" t="n"/>
      <c r="S4497" s="2" t="n"/>
      <c r="T4497" s="3" t="n"/>
      <c r="U4497" s="87" t="n"/>
      <c r="V4497" s="3" t="n"/>
      <c r="W4497" s="108" t="n"/>
      <c r="X4497" s="4" t="n"/>
    </row>
    <row r="4498" ht="24" customHeight="1">
      <c r="A4498" s="2">
        <f>+D4498-S4498</f>
        <v/>
      </c>
      <c r="B4498" s="126" t="n">
        <v>6084</v>
      </c>
      <c r="C4498" s="66" t="n">
        <v>46140</v>
      </c>
      <c r="D4498" s="2" t="n">
        <v>1</v>
      </c>
      <c r="E4498" s="3" t="inlineStr">
        <is>
          <t>CARABINA AD OTTURATORE</t>
        </is>
      </c>
      <c r="F4498" s="3" t="inlineStr">
        <is>
          <t>.243</t>
        </is>
      </c>
      <c r="G4498" s="84" t="inlineStr">
        <is>
          <t>SABATTI</t>
        </is>
      </c>
      <c r="H4498" s="107" t="inlineStr">
        <is>
          <t>ROVER 870</t>
        </is>
      </c>
      <c r="I4498" s="107" t="inlineStr">
        <is>
          <t>R59079</t>
        </is>
      </c>
      <c r="J4498" s="65" t="inlineStr">
        <is>
          <t>N/D</t>
        </is>
      </c>
      <c r="K4498" s="65" t="inlineStr">
        <is>
          <t>N/D</t>
        </is>
      </c>
      <c r="L4498" s="127" t="inlineStr">
        <is>
          <t>REDOLFI F.LLI SRL</t>
        </is>
      </c>
      <c r="M4498" s="5" t="n">
        <v>150</v>
      </c>
      <c r="N4498" s="5" t="n"/>
      <c r="O4498" s="5">
        <f>+M4498+N4498</f>
        <v/>
      </c>
      <c r="P4498" s="4" t="n">
        <v>46140</v>
      </c>
      <c r="Q4498" s="87" t="n">
        <v>46139</v>
      </c>
      <c r="R4498" s="5" t="n"/>
      <c r="S4498" s="2" t="n"/>
      <c r="T4498" s="3" t="n"/>
      <c r="U4498" s="87" t="n"/>
      <c r="V4498" s="3" t="n"/>
      <c r="W4498" s="108" t="n"/>
      <c r="X4498" s="4" t="n"/>
    </row>
    <row r="4499" ht="24" customHeight="1">
      <c r="A4499" s="2">
        <f>+D4499-S4499</f>
        <v/>
      </c>
      <c r="B4499" s="126" t="n">
        <v>6085</v>
      </c>
      <c r="C4499" s="66" t="n">
        <v>46140</v>
      </c>
      <c r="D4499" s="2" t="n">
        <v>1</v>
      </c>
      <c r="E4499" s="3" t="inlineStr">
        <is>
          <t>CARABINA AD OTTURATORE</t>
        </is>
      </c>
      <c r="F4499" s="3" t="inlineStr">
        <is>
          <t>.243</t>
        </is>
      </c>
      <c r="G4499" s="84" t="inlineStr">
        <is>
          <t>SABATTI</t>
        </is>
      </c>
      <c r="H4499" s="107" t="inlineStr">
        <is>
          <t>ROVER 870</t>
        </is>
      </c>
      <c r="I4499" s="107" t="inlineStr">
        <is>
          <t>R59080</t>
        </is>
      </c>
      <c r="J4499" s="65" t="inlineStr">
        <is>
          <t>N/D</t>
        </is>
      </c>
      <c r="K4499" s="65" t="inlineStr">
        <is>
          <t>N/D</t>
        </is>
      </c>
      <c r="L4499" s="127" t="inlineStr">
        <is>
          <t>REDOLFI F.LLI SRL</t>
        </is>
      </c>
      <c r="M4499" s="5" t="n">
        <v>150</v>
      </c>
      <c r="N4499" s="5" t="n"/>
      <c r="O4499" s="5">
        <f>+M4499+N4499</f>
        <v/>
      </c>
      <c r="P4499" s="4" t="n">
        <v>46140</v>
      </c>
      <c r="Q4499" s="87" t="n">
        <v>46139</v>
      </c>
      <c r="R4499" s="5" t="n"/>
      <c r="S4499" s="2" t="n"/>
      <c r="T4499" s="3" t="n"/>
      <c r="U4499" s="87" t="n"/>
      <c r="V4499" s="3" t="n"/>
      <c r="W4499" s="108" t="n"/>
      <c r="X4499" s="4" t="n"/>
    </row>
    <row r="4500" ht="24" customHeight="1">
      <c r="A4500" s="2">
        <f>+D4500-S4500</f>
        <v/>
      </c>
      <c r="B4500" s="126" t="n">
        <v>6086</v>
      </c>
      <c r="C4500" s="66" t="n">
        <v>46140</v>
      </c>
      <c r="D4500" s="2" t="n">
        <v>1</v>
      </c>
      <c r="E4500" s="3" t="inlineStr">
        <is>
          <t>CARABINA AD OTTURATORE</t>
        </is>
      </c>
      <c r="F4500" s="3" t="inlineStr">
        <is>
          <t>.243</t>
        </is>
      </c>
      <c r="G4500" s="84" t="inlineStr">
        <is>
          <t>SABATTI</t>
        </is>
      </c>
      <c r="H4500" s="107" t="inlineStr">
        <is>
          <t>ROVER 870</t>
        </is>
      </c>
      <c r="I4500" s="107" t="inlineStr">
        <is>
          <t>R59081</t>
        </is>
      </c>
      <c r="J4500" s="65" t="inlineStr">
        <is>
          <t>N/D</t>
        </is>
      </c>
      <c r="K4500" s="65" t="inlineStr">
        <is>
          <t>N/D</t>
        </is>
      </c>
      <c r="L4500" s="127" t="inlineStr">
        <is>
          <t>REDOLFI F.LLI SRL</t>
        </is>
      </c>
      <c r="M4500" s="5" t="n">
        <v>150</v>
      </c>
      <c r="N4500" s="5" t="n"/>
      <c r="O4500" s="5">
        <f>+M4500+N4500</f>
        <v/>
      </c>
      <c r="P4500" s="4" t="n">
        <v>46140</v>
      </c>
      <c r="Q4500" s="87" t="n">
        <v>46139</v>
      </c>
      <c r="R4500" s="5" t="n"/>
      <c r="S4500" s="2" t="n"/>
      <c r="T4500" s="3" t="n"/>
      <c r="U4500" s="87" t="n"/>
      <c r="V4500" s="3" t="n"/>
      <c r="W4500" s="108" t="n"/>
      <c r="X4500" s="4" t="n"/>
    </row>
    <row r="4501" ht="24" customHeight="1">
      <c r="A4501" s="2">
        <f>+D4501-S4501</f>
        <v/>
      </c>
      <c r="B4501" s="126" t="n">
        <v>6087</v>
      </c>
      <c r="C4501" s="66" t="n">
        <v>46140</v>
      </c>
      <c r="D4501" s="2" t="n">
        <v>1</v>
      </c>
      <c r="E4501" s="3" t="inlineStr">
        <is>
          <t>CARABINA AD OTTURATORE</t>
        </is>
      </c>
      <c r="F4501" s="3" t="inlineStr">
        <is>
          <t>.243</t>
        </is>
      </c>
      <c r="G4501" s="84" t="inlineStr">
        <is>
          <t>SABATTI</t>
        </is>
      </c>
      <c r="H4501" s="107" t="inlineStr">
        <is>
          <t>ROVER 870</t>
        </is>
      </c>
      <c r="I4501" s="107" t="inlineStr">
        <is>
          <t>R59082</t>
        </is>
      </c>
      <c r="J4501" s="65" t="inlineStr">
        <is>
          <t>N/D</t>
        </is>
      </c>
      <c r="K4501" s="65" t="inlineStr">
        <is>
          <t>N/D</t>
        </is>
      </c>
      <c r="L4501" s="127" t="inlineStr">
        <is>
          <t>REDOLFI F.LLI SRL</t>
        </is>
      </c>
      <c r="M4501" s="5" t="n">
        <v>150</v>
      </c>
      <c r="N4501" s="5" t="n"/>
      <c r="O4501" s="5">
        <f>+M4501+N4501</f>
        <v/>
      </c>
      <c r="P4501" s="4" t="n">
        <v>46140</v>
      </c>
      <c r="Q4501" s="87" t="n">
        <v>46139</v>
      </c>
      <c r="R4501" s="5" t="n"/>
      <c r="S4501" s="2" t="n"/>
      <c r="T4501" s="3" t="n"/>
      <c r="U4501" s="87" t="n"/>
      <c r="V4501" s="3" t="n"/>
      <c r="W4501" s="108" t="n"/>
      <c r="X4501" s="4" t="n"/>
    </row>
    <row r="4502" ht="24" customHeight="1">
      <c r="A4502" s="2">
        <f>+D4502-S4502</f>
        <v/>
      </c>
      <c r="B4502" s="126" t="n">
        <v>6088</v>
      </c>
      <c r="C4502" s="66" t="n">
        <v>46140</v>
      </c>
      <c r="D4502" s="2" t="n">
        <v>1</v>
      </c>
      <c r="E4502" s="3" t="inlineStr">
        <is>
          <t>CARABINA AD OTTURATORE</t>
        </is>
      </c>
      <c r="F4502" s="3" t="inlineStr">
        <is>
          <t>.243</t>
        </is>
      </c>
      <c r="G4502" s="84" t="inlineStr">
        <is>
          <t>SABATTI</t>
        </is>
      </c>
      <c r="H4502" s="107" t="inlineStr">
        <is>
          <t>ROVER 870</t>
        </is>
      </c>
      <c r="I4502" s="107" t="inlineStr">
        <is>
          <t>R59083</t>
        </is>
      </c>
      <c r="J4502" s="65" t="inlineStr">
        <is>
          <t>N/D</t>
        </is>
      </c>
      <c r="K4502" s="65" t="inlineStr">
        <is>
          <t>N/D</t>
        </is>
      </c>
      <c r="L4502" s="127" t="inlineStr">
        <is>
          <t>REDOLFI F.LLI SRL</t>
        </is>
      </c>
      <c r="M4502" s="5" t="n">
        <v>150</v>
      </c>
      <c r="N4502" s="5" t="n"/>
      <c r="O4502" s="5">
        <f>+M4502+N4502</f>
        <v/>
      </c>
      <c r="P4502" s="4" t="n">
        <v>46140</v>
      </c>
      <c r="Q4502" s="87" t="n">
        <v>46139</v>
      </c>
      <c r="R4502" s="5" t="n"/>
      <c r="S4502" s="2" t="n"/>
      <c r="T4502" s="3" t="n"/>
      <c r="U4502" s="87" t="n"/>
      <c r="V4502" s="3" t="n"/>
      <c r="W4502" s="108" t="n"/>
      <c r="X4502" s="4" t="n"/>
    </row>
    <row r="4503" ht="24" customHeight="1">
      <c r="A4503" s="2">
        <f>+D4503-S4503</f>
        <v/>
      </c>
      <c r="B4503" s="126" t="n">
        <v>6089</v>
      </c>
      <c r="C4503" s="66" t="n">
        <v>46140</v>
      </c>
      <c r="D4503" s="2" t="n">
        <v>1</v>
      </c>
      <c r="E4503" s="3" t="inlineStr">
        <is>
          <t>CARABINA AD OTTURATORE</t>
        </is>
      </c>
      <c r="F4503" s="3" t="inlineStr">
        <is>
          <t>.243</t>
        </is>
      </c>
      <c r="G4503" s="84" t="inlineStr">
        <is>
          <t>SABATTI</t>
        </is>
      </c>
      <c r="H4503" s="107" t="inlineStr">
        <is>
          <t>ROVER 870</t>
        </is>
      </c>
      <c r="I4503" s="107" t="inlineStr">
        <is>
          <t>R59085</t>
        </is>
      </c>
      <c r="J4503" s="65" t="inlineStr">
        <is>
          <t>N/D</t>
        </is>
      </c>
      <c r="K4503" s="65" t="inlineStr">
        <is>
          <t>N/D</t>
        </is>
      </c>
      <c r="L4503" s="127" t="inlineStr">
        <is>
          <t>REDOLFI F.LLI SRL</t>
        </is>
      </c>
      <c r="M4503" s="5" t="n">
        <v>150</v>
      </c>
      <c r="N4503" s="5" t="n"/>
      <c r="O4503" s="5">
        <f>+M4503+N4503</f>
        <v/>
      </c>
      <c r="P4503" s="4" t="n">
        <v>46140</v>
      </c>
      <c r="Q4503" s="87" t="n">
        <v>46139</v>
      </c>
      <c r="R4503" s="5" t="n"/>
      <c r="S4503" s="2" t="n"/>
      <c r="T4503" s="3" t="n"/>
      <c r="U4503" s="87" t="n"/>
      <c r="V4503" s="3" t="n"/>
      <c r="W4503" s="108" t="n"/>
      <c r="X4503" s="4" t="n"/>
    </row>
    <row r="4504" ht="24" customHeight="1">
      <c r="A4504" s="2">
        <f>+D4504-S4504</f>
        <v/>
      </c>
      <c r="B4504" s="126" t="n">
        <v>6090</v>
      </c>
      <c r="C4504" s="66" t="n">
        <v>46140</v>
      </c>
      <c r="D4504" s="2" t="n">
        <v>1</v>
      </c>
      <c r="E4504" s="3" t="inlineStr">
        <is>
          <t>CARABINA AD OTTURATORE</t>
        </is>
      </c>
      <c r="F4504" s="3" t="inlineStr">
        <is>
          <t>.243</t>
        </is>
      </c>
      <c r="G4504" s="84" t="inlineStr">
        <is>
          <t>SABATTI</t>
        </is>
      </c>
      <c r="H4504" s="107" t="inlineStr">
        <is>
          <t>ROVER 870</t>
        </is>
      </c>
      <c r="I4504" s="107" t="inlineStr">
        <is>
          <t>R59086</t>
        </is>
      </c>
      <c r="J4504" s="65" t="inlineStr">
        <is>
          <t>N/D</t>
        </is>
      </c>
      <c r="K4504" s="65" t="inlineStr">
        <is>
          <t>N/D</t>
        </is>
      </c>
      <c r="L4504" s="127" t="inlineStr">
        <is>
          <t>REDOLFI F.LLI SRL</t>
        </is>
      </c>
      <c r="M4504" s="5" t="n">
        <v>150</v>
      </c>
      <c r="N4504" s="5" t="n"/>
      <c r="O4504" s="5">
        <f>+M4504+N4504</f>
        <v/>
      </c>
      <c r="P4504" s="4" t="n">
        <v>46140</v>
      </c>
      <c r="Q4504" s="87" t="n">
        <v>46139</v>
      </c>
      <c r="R4504" s="5" t="n"/>
      <c r="S4504" s="2" t="n"/>
      <c r="T4504" s="3" t="n"/>
      <c r="U4504" s="87" t="n"/>
      <c r="V4504" s="3" t="n"/>
      <c r="W4504" s="108" t="n"/>
      <c r="X4504" s="4" t="n"/>
    </row>
    <row r="4505" ht="24" customHeight="1">
      <c r="A4505" s="2">
        <f>+D4505-S4505</f>
        <v/>
      </c>
      <c r="B4505" s="126" t="n">
        <v>6091</v>
      </c>
      <c r="C4505" s="66" t="n">
        <v>46140</v>
      </c>
      <c r="D4505" s="2" t="n">
        <v>1</v>
      </c>
      <c r="E4505" s="3" t="inlineStr">
        <is>
          <t>CARABINA AD OTTURATORE</t>
        </is>
      </c>
      <c r="F4505" s="3" t="inlineStr">
        <is>
          <t>.243</t>
        </is>
      </c>
      <c r="G4505" s="84" t="inlineStr">
        <is>
          <t>SABATTI</t>
        </is>
      </c>
      <c r="H4505" s="107" t="inlineStr">
        <is>
          <t>ROVER 870</t>
        </is>
      </c>
      <c r="I4505" s="107" t="inlineStr">
        <is>
          <t>R59087</t>
        </is>
      </c>
      <c r="J4505" s="65" t="inlineStr">
        <is>
          <t>N/D</t>
        </is>
      </c>
      <c r="K4505" s="65" t="inlineStr">
        <is>
          <t>N/D</t>
        </is>
      </c>
      <c r="L4505" s="127" t="inlineStr">
        <is>
          <t>REDOLFI F.LLI SRL</t>
        </is>
      </c>
      <c r="M4505" s="5" t="n">
        <v>150</v>
      </c>
      <c r="N4505" s="5" t="n"/>
      <c r="O4505" s="5">
        <f>+M4505+N4505</f>
        <v/>
      </c>
      <c r="P4505" s="4" t="n">
        <v>46140</v>
      </c>
      <c r="Q4505" s="87" t="n">
        <v>46139</v>
      </c>
      <c r="R4505" s="5" t="n"/>
      <c r="S4505" s="2" t="n"/>
      <c r="T4505" s="3" t="n"/>
      <c r="U4505" s="87" t="n"/>
      <c r="V4505" s="3" t="n"/>
      <c r="W4505" s="108" t="n"/>
      <c r="X4505" s="4" t="n"/>
    </row>
    <row r="4506" ht="24" customHeight="1">
      <c r="A4506" s="2">
        <f>+D4506-S4506</f>
        <v/>
      </c>
      <c r="B4506" s="126" t="n">
        <v>6092</v>
      </c>
      <c r="C4506" s="66" t="n">
        <v>46140</v>
      </c>
      <c r="D4506" s="2" t="n">
        <v>1</v>
      </c>
      <c r="E4506" s="3" t="inlineStr">
        <is>
          <t>CARABINA AD OTTURATORE</t>
        </is>
      </c>
      <c r="F4506" s="3" t="inlineStr">
        <is>
          <t>.243</t>
        </is>
      </c>
      <c r="G4506" s="84" t="inlineStr">
        <is>
          <t>SABATTI</t>
        </is>
      </c>
      <c r="H4506" s="107" t="inlineStr">
        <is>
          <t>ROVER 870</t>
        </is>
      </c>
      <c r="I4506" s="107" t="inlineStr">
        <is>
          <t>R59088</t>
        </is>
      </c>
      <c r="J4506" s="65" t="inlineStr">
        <is>
          <t>N/D</t>
        </is>
      </c>
      <c r="K4506" s="65" t="inlineStr">
        <is>
          <t>N/D</t>
        </is>
      </c>
      <c r="L4506" s="127" t="inlineStr">
        <is>
          <t>REDOLFI F.LLI SRL</t>
        </is>
      </c>
      <c r="M4506" s="5" t="n">
        <v>150</v>
      </c>
      <c r="N4506" s="5" t="n"/>
      <c r="O4506" s="5">
        <f>+M4506+N4506</f>
        <v/>
      </c>
      <c r="P4506" s="4" t="n">
        <v>46140</v>
      </c>
      <c r="Q4506" s="87" t="n">
        <v>46139</v>
      </c>
      <c r="R4506" s="5" t="n"/>
      <c r="S4506" s="2" t="n"/>
      <c r="T4506" s="3" t="n"/>
      <c r="U4506" s="87" t="n"/>
      <c r="V4506" s="3" t="n"/>
      <c r="W4506" s="108" t="n"/>
      <c r="X4506" s="4" t="n"/>
    </row>
    <row r="4507" ht="24" customHeight="1">
      <c r="A4507" s="2">
        <f>+D4507-S4507</f>
        <v/>
      </c>
      <c r="B4507" s="126" t="n">
        <v>6093</v>
      </c>
      <c r="C4507" s="66" t="n">
        <v>46140</v>
      </c>
      <c r="D4507" s="2" t="n">
        <v>1</v>
      </c>
      <c r="E4507" s="3" t="inlineStr">
        <is>
          <t>CARABINA AD OTTURATORE</t>
        </is>
      </c>
      <c r="F4507" s="3" t="inlineStr">
        <is>
          <t>.243</t>
        </is>
      </c>
      <c r="G4507" s="84" t="inlineStr">
        <is>
          <t>SABATTI</t>
        </is>
      </c>
      <c r="H4507" s="107" t="inlineStr">
        <is>
          <t>ROVER 870</t>
        </is>
      </c>
      <c r="I4507" s="107" t="inlineStr">
        <is>
          <t>R59089</t>
        </is>
      </c>
      <c r="J4507" s="65" t="inlineStr">
        <is>
          <t>N/D</t>
        </is>
      </c>
      <c r="K4507" s="65" t="inlineStr">
        <is>
          <t>N/D</t>
        </is>
      </c>
      <c r="L4507" s="127" t="inlineStr">
        <is>
          <t>REDOLFI F.LLI SRL</t>
        </is>
      </c>
      <c r="M4507" s="5" t="n">
        <v>150</v>
      </c>
      <c r="N4507" s="5" t="n"/>
      <c r="O4507" s="5">
        <f>+M4507+N4507</f>
        <v/>
      </c>
      <c r="P4507" s="4" t="n">
        <v>46140</v>
      </c>
      <c r="Q4507" s="87" t="n">
        <v>46139</v>
      </c>
      <c r="R4507" s="5" t="n"/>
      <c r="S4507" s="2" t="n"/>
      <c r="T4507" s="3" t="n"/>
      <c r="U4507" s="87" t="n"/>
      <c r="V4507" s="3" t="n"/>
      <c r="W4507" s="108" t="n"/>
      <c r="X4507" s="4" t="n"/>
    </row>
    <row r="4508" ht="24" customHeight="1">
      <c r="A4508" s="2">
        <f>+D4508-S4508</f>
        <v/>
      </c>
      <c r="B4508" s="126" t="n">
        <v>6094</v>
      </c>
      <c r="C4508" s="66" t="n">
        <v>46140</v>
      </c>
      <c r="D4508" s="2" t="n">
        <v>1</v>
      </c>
      <c r="E4508" s="3" t="inlineStr">
        <is>
          <t>CARABINA AD OTTURATORE</t>
        </is>
      </c>
      <c r="F4508" s="3" t="inlineStr">
        <is>
          <t>.243</t>
        </is>
      </c>
      <c r="G4508" s="84" t="inlineStr">
        <is>
          <t>SABATTI</t>
        </is>
      </c>
      <c r="H4508" s="107" t="inlineStr">
        <is>
          <t>ROVER 870</t>
        </is>
      </c>
      <c r="I4508" s="107" t="inlineStr">
        <is>
          <t>R59090</t>
        </is>
      </c>
      <c r="J4508" s="65" t="inlineStr">
        <is>
          <t>N/D</t>
        </is>
      </c>
      <c r="K4508" s="65" t="inlineStr">
        <is>
          <t>N/D</t>
        </is>
      </c>
      <c r="L4508" s="127" t="inlineStr">
        <is>
          <t>REDOLFI F.LLI SRL</t>
        </is>
      </c>
      <c r="M4508" s="5" t="n">
        <v>150</v>
      </c>
      <c r="N4508" s="5" t="n"/>
      <c r="O4508" s="5">
        <f>+M4508+N4508</f>
        <v/>
      </c>
      <c r="P4508" s="4" t="n">
        <v>46140</v>
      </c>
      <c r="Q4508" s="87" t="n">
        <v>46139</v>
      </c>
      <c r="R4508" s="5" t="n"/>
      <c r="S4508" s="2" t="n"/>
      <c r="T4508" s="3" t="n"/>
      <c r="U4508" s="87" t="n"/>
      <c r="V4508" s="3" t="n"/>
      <c r="W4508" s="108" t="n"/>
      <c r="X4508" s="4" t="n"/>
    </row>
    <row r="4509" ht="24" customHeight="1">
      <c r="A4509" s="2">
        <f>+D4509-S4509</f>
        <v/>
      </c>
      <c r="B4509" s="126" t="n">
        <v>6095</v>
      </c>
      <c r="C4509" s="66" t="n">
        <v>46140</v>
      </c>
      <c r="D4509" s="2" t="n">
        <v>1</v>
      </c>
      <c r="E4509" s="3" t="inlineStr">
        <is>
          <t>CARABINA AD OTTURATORE</t>
        </is>
      </c>
      <c r="F4509" s="3" t="inlineStr">
        <is>
          <t>.243</t>
        </is>
      </c>
      <c r="G4509" s="84" t="inlineStr">
        <is>
          <t>SABATTI</t>
        </is>
      </c>
      <c r="H4509" s="107" t="inlineStr">
        <is>
          <t>ROVER 870</t>
        </is>
      </c>
      <c r="I4509" s="107" t="inlineStr">
        <is>
          <t>R75219</t>
        </is>
      </c>
      <c r="J4509" s="65" t="inlineStr">
        <is>
          <t>N/D</t>
        </is>
      </c>
      <c r="K4509" s="65" t="inlineStr">
        <is>
          <t>N/D</t>
        </is>
      </c>
      <c r="L4509" s="127" t="inlineStr">
        <is>
          <t>REDOLFI F.LLI SRL</t>
        </is>
      </c>
      <c r="M4509" s="5" t="n">
        <v>150</v>
      </c>
      <c r="N4509" s="5" t="n"/>
      <c r="O4509" s="5">
        <f>+M4509+N4509</f>
        <v/>
      </c>
      <c r="P4509" s="4" t="n">
        <v>46140</v>
      </c>
      <c r="Q4509" s="87" t="n">
        <v>46139</v>
      </c>
      <c r="R4509" s="5" t="n"/>
      <c r="S4509" s="2" t="n"/>
      <c r="T4509" s="3" t="n"/>
      <c r="U4509" s="87" t="n"/>
      <c r="V4509" s="3" t="n"/>
      <c r="W4509" s="108" t="n"/>
      <c r="X4509" s="4" t="n"/>
    </row>
    <row r="4510" ht="24" customHeight="1">
      <c r="A4510" s="2">
        <f>+D4510-S4510</f>
        <v/>
      </c>
      <c r="B4510" s="126" t="n">
        <v>6096</v>
      </c>
      <c r="C4510" s="66" t="n">
        <v>46140</v>
      </c>
      <c r="D4510" s="2" t="n">
        <v>1</v>
      </c>
      <c r="E4510" s="3" t="inlineStr">
        <is>
          <t>CARABINA AD OTTURATORE</t>
        </is>
      </c>
      <c r="F4510" s="3" t="inlineStr">
        <is>
          <t>.243</t>
        </is>
      </c>
      <c r="G4510" s="84" t="inlineStr">
        <is>
          <t>SABATTI</t>
        </is>
      </c>
      <c r="H4510" s="107" t="inlineStr">
        <is>
          <t>ROVER 870</t>
        </is>
      </c>
      <c r="I4510" s="107" t="inlineStr">
        <is>
          <t>R75220</t>
        </is>
      </c>
      <c r="J4510" s="65" t="inlineStr">
        <is>
          <t>N/D</t>
        </is>
      </c>
      <c r="K4510" s="65" t="inlineStr">
        <is>
          <t>N/D</t>
        </is>
      </c>
      <c r="L4510" s="127" t="inlineStr">
        <is>
          <t>REDOLFI F.LLI SRL</t>
        </is>
      </c>
      <c r="M4510" s="5" t="n">
        <v>150</v>
      </c>
      <c r="N4510" s="5" t="n"/>
      <c r="O4510" s="5">
        <f>+M4510+N4510</f>
        <v/>
      </c>
      <c r="P4510" s="4" t="n">
        <v>46140</v>
      </c>
      <c r="Q4510" s="87" t="n">
        <v>46139</v>
      </c>
      <c r="R4510" s="5" t="n"/>
      <c r="S4510" s="2" t="n"/>
      <c r="T4510" s="3" t="n"/>
      <c r="U4510" s="87" t="n"/>
      <c r="V4510" s="3" t="n"/>
      <c r="W4510" s="108" t="n"/>
      <c r="X4510" s="4" t="n"/>
    </row>
    <row r="4511" ht="24" customHeight="1">
      <c r="A4511" s="2">
        <f>+D4511-S4511</f>
        <v/>
      </c>
      <c r="B4511" s="126" t="n">
        <v>6097</v>
      </c>
      <c r="C4511" s="66" t="n">
        <v>46140</v>
      </c>
      <c r="D4511" s="2" t="n">
        <v>1</v>
      </c>
      <c r="E4511" s="3" t="inlineStr">
        <is>
          <t>CARABINA AD OTTURATORE</t>
        </is>
      </c>
      <c r="F4511" s="3" t="inlineStr">
        <is>
          <t>.243</t>
        </is>
      </c>
      <c r="G4511" s="84" t="inlineStr">
        <is>
          <t>SABATTI</t>
        </is>
      </c>
      <c r="H4511" s="107" t="inlineStr">
        <is>
          <t>ROVER 870</t>
        </is>
      </c>
      <c r="I4511" s="107" t="inlineStr">
        <is>
          <t>R75221</t>
        </is>
      </c>
      <c r="J4511" s="65" t="inlineStr">
        <is>
          <t>N/D</t>
        </is>
      </c>
      <c r="K4511" s="65" t="inlineStr">
        <is>
          <t>N/D</t>
        </is>
      </c>
      <c r="L4511" s="127" t="inlineStr">
        <is>
          <t>REDOLFI F.LLI SRL</t>
        </is>
      </c>
      <c r="M4511" s="5" t="n">
        <v>150</v>
      </c>
      <c r="N4511" s="5" t="n"/>
      <c r="O4511" s="5">
        <f>+M4511+N4511</f>
        <v/>
      </c>
      <c r="P4511" s="4" t="n">
        <v>46140</v>
      </c>
      <c r="Q4511" s="87" t="n">
        <v>46139</v>
      </c>
      <c r="R4511" s="5" t="n"/>
      <c r="S4511" s="2" t="n"/>
      <c r="T4511" s="3" t="n"/>
      <c r="U4511" s="87" t="n"/>
      <c r="V4511" s="3" t="n"/>
      <c r="W4511" s="108" t="n"/>
      <c r="X4511" s="4" t="n"/>
    </row>
    <row r="4512" ht="24" customHeight="1">
      <c r="A4512" s="2">
        <f>+D4512-S4512</f>
        <v/>
      </c>
      <c r="B4512" s="126" t="n">
        <v>6098</v>
      </c>
      <c r="C4512" s="66" t="n">
        <v>46140</v>
      </c>
      <c r="D4512" s="2" t="n">
        <v>1</v>
      </c>
      <c r="E4512" s="3" t="inlineStr">
        <is>
          <t>CARABINA AD OTTURATORE</t>
        </is>
      </c>
      <c r="F4512" s="3" t="inlineStr">
        <is>
          <t>.243</t>
        </is>
      </c>
      <c r="G4512" s="84" t="inlineStr">
        <is>
          <t>SABATTI</t>
        </is>
      </c>
      <c r="H4512" s="107" t="inlineStr">
        <is>
          <t>ROVER 870</t>
        </is>
      </c>
      <c r="I4512" s="107" t="inlineStr">
        <is>
          <t>R75222</t>
        </is>
      </c>
      <c r="J4512" s="65" t="inlineStr">
        <is>
          <t>N/D</t>
        </is>
      </c>
      <c r="K4512" s="65" t="inlineStr">
        <is>
          <t>N/D</t>
        </is>
      </c>
      <c r="L4512" s="127" t="inlineStr">
        <is>
          <t>REDOLFI F.LLI SRL</t>
        </is>
      </c>
      <c r="M4512" s="5" t="n">
        <v>150</v>
      </c>
      <c r="N4512" s="5" t="n"/>
      <c r="O4512" s="5">
        <f>+M4512+N4512</f>
        <v/>
      </c>
      <c r="P4512" s="4" t="n">
        <v>46140</v>
      </c>
      <c r="Q4512" s="87" t="n">
        <v>46139</v>
      </c>
      <c r="R4512" s="5" t="n"/>
      <c r="S4512" s="2" t="n"/>
      <c r="T4512" s="3" t="n"/>
      <c r="U4512" s="87" t="n"/>
      <c r="V4512" s="3" t="n"/>
      <c r="W4512" s="108" t="n"/>
      <c r="X4512" s="4" t="n"/>
    </row>
    <row r="4513" ht="24" customHeight="1">
      <c r="A4513" s="2">
        <f>+D4513-S4513</f>
        <v/>
      </c>
      <c r="B4513" s="126" t="n">
        <v>6099</v>
      </c>
      <c r="C4513" s="66" t="n">
        <v>46140</v>
      </c>
      <c r="D4513" s="2" t="n">
        <v>1</v>
      </c>
      <c r="E4513" s="3" t="inlineStr">
        <is>
          <t>CARABINA AD OTTURATORE</t>
        </is>
      </c>
      <c r="F4513" s="3" t="inlineStr">
        <is>
          <t>.243</t>
        </is>
      </c>
      <c r="G4513" s="84" t="inlineStr">
        <is>
          <t>SABATTI</t>
        </is>
      </c>
      <c r="H4513" s="107" t="inlineStr">
        <is>
          <t>ROVER 870</t>
        </is>
      </c>
      <c r="I4513" s="107" t="inlineStr">
        <is>
          <t>R75223</t>
        </is>
      </c>
      <c r="J4513" s="65" t="inlineStr">
        <is>
          <t>N/D</t>
        </is>
      </c>
      <c r="K4513" s="65" t="inlineStr">
        <is>
          <t>N/D</t>
        </is>
      </c>
      <c r="L4513" s="127" t="inlineStr">
        <is>
          <t>REDOLFI F.LLI SRL</t>
        </is>
      </c>
      <c r="M4513" s="5" t="n">
        <v>150</v>
      </c>
      <c r="N4513" s="5" t="n"/>
      <c r="O4513" s="5">
        <f>+M4513+N4513</f>
        <v/>
      </c>
      <c r="P4513" s="4" t="n">
        <v>46140</v>
      </c>
      <c r="Q4513" s="87" t="n">
        <v>46139</v>
      </c>
      <c r="R4513" s="5" t="n"/>
      <c r="S4513" s="2" t="n"/>
      <c r="T4513" s="3" t="n"/>
      <c r="U4513" s="87" t="n"/>
      <c r="V4513" s="3" t="n"/>
      <c r="W4513" s="108" t="n"/>
      <c r="X4513" s="4" t="n"/>
    </row>
    <row r="4514" ht="24" customHeight="1">
      <c r="A4514" s="2">
        <f>+D4514-S4514</f>
        <v/>
      </c>
      <c r="B4514" s="126" t="n">
        <v>6100</v>
      </c>
      <c r="C4514" s="66" t="n">
        <v>46140</v>
      </c>
      <c r="D4514" s="2" t="n">
        <v>1</v>
      </c>
      <c r="E4514" s="3" t="inlineStr">
        <is>
          <t>CARABINA AD OTTURATORE</t>
        </is>
      </c>
      <c r="F4514" s="3" t="inlineStr">
        <is>
          <t>.243</t>
        </is>
      </c>
      <c r="G4514" s="84" t="inlineStr">
        <is>
          <t>SABATTI</t>
        </is>
      </c>
      <c r="H4514" s="107" t="inlineStr">
        <is>
          <t>ROVER 870</t>
        </is>
      </c>
      <c r="I4514" s="107" t="inlineStr">
        <is>
          <t>R55887</t>
        </is>
      </c>
      <c r="J4514" s="65" t="inlineStr">
        <is>
          <t>N/D</t>
        </is>
      </c>
      <c r="K4514" s="65" t="inlineStr">
        <is>
          <t>N/D</t>
        </is>
      </c>
      <c r="L4514" s="127" t="inlineStr">
        <is>
          <t>REDOLFI F.LLI SRL</t>
        </is>
      </c>
      <c r="M4514" s="5" t="n">
        <v>150</v>
      </c>
      <c r="N4514" s="5" t="n"/>
      <c r="O4514" s="5">
        <f>+M4514+N4514</f>
        <v/>
      </c>
      <c r="P4514" s="4" t="n">
        <v>46140</v>
      </c>
      <c r="Q4514" s="87" t="n">
        <v>46139</v>
      </c>
      <c r="R4514" s="5" t="n"/>
      <c r="S4514" s="2" t="n"/>
      <c r="T4514" s="3" t="n"/>
      <c r="U4514" s="87" t="n"/>
      <c r="V4514" s="3" t="n"/>
      <c r="W4514" s="108" t="n"/>
      <c r="X4514" s="4" t="n"/>
    </row>
    <row r="4515" ht="24" customHeight="1">
      <c r="A4515" s="2">
        <f>+D4515-S4515</f>
        <v/>
      </c>
      <c r="B4515" s="126" t="n">
        <v>6101</v>
      </c>
      <c r="C4515" s="66" t="n">
        <v>46150</v>
      </c>
      <c r="D4515" s="2" t="n">
        <v>1</v>
      </c>
      <c r="E4515" s="3" t="inlineStr">
        <is>
          <t>FUCILE SEMIAUTOMATICO</t>
        </is>
      </c>
      <c r="F4515" s="3" t="inlineStr">
        <is>
          <t>12</t>
        </is>
      </c>
      <c r="G4515" s="84" t="inlineStr">
        <is>
          <t>BERETTA</t>
        </is>
      </c>
      <c r="H4515" s="107" t="inlineStr">
        <is>
          <t>A400 SOLO WOOD 500Y 71CM</t>
        </is>
      </c>
      <c r="I4515" s="107" t="inlineStr">
        <is>
          <t>XA301525</t>
        </is>
      </c>
      <c r="J4515" s="107" t="inlineStr">
        <is>
          <t>XB368797</t>
        </is>
      </c>
      <c r="K4515" s="65" t="inlineStr">
        <is>
          <t>N/D</t>
        </is>
      </c>
      <c r="L4515" s="127" t="inlineStr">
        <is>
          <t>BRIGNOLI ARMS SRL</t>
        </is>
      </c>
      <c r="M4515" s="5" t="n">
        <v>1450</v>
      </c>
      <c r="N4515" s="5" t="n"/>
      <c r="O4515" s="5">
        <f>+M4515+N4515</f>
        <v/>
      </c>
      <c r="P4515" s="4" t="n">
        <v>46150</v>
      </c>
      <c r="Q4515" s="87" t="n">
        <v>46151</v>
      </c>
      <c r="R4515" s="5" t="n"/>
      <c r="S4515" s="2" t="n"/>
      <c r="T4515" s="3" t="n"/>
      <c r="U4515" s="87" t="n"/>
      <c r="V4515" s="3" t="n"/>
      <c r="W4515" s="108" t="n"/>
      <c r="X4515" s="4" t="n"/>
    </row>
    <row r="4516" ht="24" customHeight="1">
      <c r="A4516" s="2">
        <f>+D4516-S4516</f>
        <v/>
      </c>
      <c r="B4516" s="126" t="n">
        <v>6102</v>
      </c>
      <c r="C4516" s="66" t="n">
        <v>46150</v>
      </c>
      <c r="D4516" s="2" t="n">
        <v>1</v>
      </c>
      <c r="E4516" s="3" t="inlineStr">
        <is>
          <t>FUCILE SEMIAUTOMATICO</t>
        </is>
      </c>
      <c r="F4516" s="3" t="inlineStr">
        <is>
          <t>12</t>
        </is>
      </c>
      <c r="G4516" s="84" t="inlineStr">
        <is>
          <t>BERETTA</t>
        </is>
      </c>
      <c r="H4516" s="107" t="inlineStr">
        <is>
          <t>A400 SOLO WOOD 500Y 71CM</t>
        </is>
      </c>
      <c r="I4516" s="107" t="inlineStr">
        <is>
          <t>XA301491</t>
        </is>
      </c>
      <c r="J4516" s="107" t="inlineStr">
        <is>
          <t>XB368793</t>
        </is>
      </c>
      <c r="K4516" s="65" t="inlineStr">
        <is>
          <t>N/D</t>
        </is>
      </c>
      <c r="L4516" s="127" t="inlineStr">
        <is>
          <t>BRIGNOLI ARMS SRL</t>
        </is>
      </c>
      <c r="M4516" s="5" t="n">
        <v>1450</v>
      </c>
      <c r="N4516" s="5" t="n"/>
      <c r="O4516" s="5">
        <f>+M4516+N4516</f>
        <v/>
      </c>
      <c r="P4516" s="4" t="n">
        <v>46150</v>
      </c>
      <c r="Q4516" s="87" t="n">
        <v>46151</v>
      </c>
      <c r="R4516" s="5" t="n"/>
      <c r="S4516" s="2" t="n"/>
      <c r="T4516" s="3" t="n"/>
      <c r="U4516" s="87" t="n"/>
      <c r="V4516" s="3" t="n"/>
      <c r="W4516" s="108" t="n"/>
      <c r="X4516" s="4" t="n"/>
    </row>
    <row r="4517" ht="24" customHeight="1">
      <c r="A4517" s="2">
        <f>+D4517-S4517</f>
        <v/>
      </c>
      <c r="B4517" s="126" t="n">
        <v>6103</v>
      </c>
      <c r="C4517" s="66" t="n">
        <v>46150</v>
      </c>
      <c r="D4517" s="2" t="n">
        <v>1</v>
      </c>
      <c r="E4517" s="3" t="inlineStr">
        <is>
          <t>FUCILE SEMIAUTOMATICO</t>
        </is>
      </c>
      <c r="F4517" s="3" t="inlineStr">
        <is>
          <t>12</t>
        </is>
      </c>
      <c r="G4517" s="84" t="inlineStr">
        <is>
          <t>BERETTA</t>
        </is>
      </c>
      <c r="H4517" s="107" t="inlineStr">
        <is>
          <t>A400 SOLO WOOD 500Y 71CM</t>
        </is>
      </c>
      <c r="I4517" s="107" t="inlineStr">
        <is>
          <t>XA302524</t>
        </is>
      </c>
      <c r="J4517" s="107" t="inlineStr">
        <is>
          <t>XB368798</t>
        </is>
      </c>
      <c r="K4517" s="65" t="inlineStr">
        <is>
          <t>N/D</t>
        </is>
      </c>
      <c r="L4517" s="127" t="inlineStr">
        <is>
          <t>BRIGNOLI ARMS SRL</t>
        </is>
      </c>
      <c r="M4517" s="5" t="n">
        <v>1450</v>
      </c>
      <c r="N4517" s="5" t="n"/>
      <c r="O4517" s="5">
        <f>+M4517+N4517</f>
        <v/>
      </c>
      <c r="P4517" s="4" t="n">
        <v>46150</v>
      </c>
      <c r="Q4517" s="87" t="n">
        <v>46151</v>
      </c>
      <c r="R4517" s="5" t="n"/>
      <c r="S4517" s="2" t="n"/>
      <c r="T4517" s="3" t="n"/>
      <c r="U4517" s="87" t="n"/>
      <c r="V4517" s="3" t="n"/>
      <c r="W4517" s="108" t="n"/>
      <c r="X4517" s="4" t="n"/>
    </row>
    <row r="4518" ht="24" customHeight="1">
      <c r="A4518" s="2">
        <f>+D4518-S4518</f>
        <v/>
      </c>
      <c r="B4518" s="126" t="n">
        <v>6104</v>
      </c>
      <c r="C4518" s="66" t="n">
        <v>46150</v>
      </c>
      <c r="D4518" s="2" t="n">
        <v>1</v>
      </c>
      <c r="E4518" s="3" t="inlineStr">
        <is>
          <t>FUCILE SEMIAUTOMATICO</t>
        </is>
      </c>
      <c r="F4518" s="3" t="inlineStr">
        <is>
          <t>12</t>
        </is>
      </c>
      <c r="G4518" s="84" t="inlineStr">
        <is>
          <t>BERETTA</t>
        </is>
      </c>
      <c r="H4518" s="107" t="inlineStr">
        <is>
          <t>A400 SOLO WOOD 500Y 71CM</t>
        </is>
      </c>
      <c r="I4518" s="107" t="inlineStr">
        <is>
          <t>XA302474</t>
        </is>
      </c>
      <c r="J4518" s="107" t="inlineStr">
        <is>
          <t>XB368794</t>
        </is>
      </c>
      <c r="K4518" s="65" t="inlineStr">
        <is>
          <t>N/D</t>
        </is>
      </c>
      <c r="L4518" s="127" t="inlineStr">
        <is>
          <t>BRIGNOLI ARMS SRL</t>
        </is>
      </c>
      <c r="M4518" s="5" t="n">
        <v>1450</v>
      </c>
      <c r="N4518" s="5" t="n"/>
      <c r="O4518" s="5">
        <f>+M4518+N4518</f>
        <v/>
      </c>
      <c r="P4518" s="4" t="n">
        <v>46150</v>
      </c>
      <c r="Q4518" s="87" t="n">
        <v>46151</v>
      </c>
      <c r="R4518" s="5" t="n"/>
      <c r="S4518" s="2" t="n"/>
      <c r="T4518" s="3" t="n"/>
      <c r="U4518" s="87" t="n"/>
      <c r="V4518" s="3" t="n"/>
      <c r="W4518" s="108" t="n"/>
      <c r="X4518" s="4" t="n"/>
    </row>
    <row r="4519" ht="24" customHeight="1">
      <c r="A4519" s="2">
        <f>+D4519-S4519</f>
        <v/>
      </c>
      <c r="B4519" s="126" t="n">
        <v>6105</v>
      </c>
      <c r="C4519" s="66" t="n">
        <v>46150</v>
      </c>
      <c r="D4519" s="2" t="n">
        <v>1</v>
      </c>
      <c r="E4519" s="3" t="inlineStr">
        <is>
          <t>FUCILE SEMIAUTOMATICO</t>
        </is>
      </c>
      <c r="F4519" s="3" t="inlineStr">
        <is>
          <t>12</t>
        </is>
      </c>
      <c r="G4519" s="84" t="inlineStr">
        <is>
          <t>BERETTA</t>
        </is>
      </c>
      <c r="H4519" s="107" t="inlineStr">
        <is>
          <t>A400 SOLO WOOD 500Y 71CM</t>
        </is>
      </c>
      <c r="I4519" s="107" t="inlineStr">
        <is>
          <t>XA302528</t>
        </is>
      </c>
      <c r="J4519" s="107" t="inlineStr">
        <is>
          <t>XB368795</t>
        </is>
      </c>
      <c r="K4519" s="65" t="inlineStr">
        <is>
          <t>N/D</t>
        </is>
      </c>
      <c r="L4519" s="127" t="inlineStr">
        <is>
          <t>BRIGNOLI ARMS SRL</t>
        </is>
      </c>
      <c r="M4519" s="5" t="n">
        <v>1450</v>
      </c>
      <c r="N4519" s="5" t="n"/>
      <c r="O4519" s="5">
        <f>+M4519+N4519</f>
        <v/>
      </c>
      <c r="P4519" s="4" t="n">
        <v>46150</v>
      </c>
      <c r="Q4519" s="87" t="n">
        <v>46151</v>
      </c>
      <c r="R4519" s="5" t="n"/>
      <c r="S4519" s="2" t="n"/>
      <c r="T4519" s="3" t="n"/>
      <c r="U4519" s="87" t="n"/>
      <c r="V4519" s="3" t="n"/>
      <c r="W4519" s="108" t="n"/>
      <c r="X4519" s="4" t="n"/>
    </row>
    <row r="4520" ht="24" customHeight="1">
      <c r="A4520" s="2">
        <f>+D4520-S4520</f>
        <v/>
      </c>
      <c r="B4520" s="126" t="n">
        <v>6106</v>
      </c>
      <c r="C4520" s="66" t="n">
        <v>46150</v>
      </c>
      <c r="D4520" s="2" t="n">
        <v>1</v>
      </c>
      <c r="E4520" s="3" t="inlineStr">
        <is>
          <t>ACCESSORI</t>
        </is>
      </c>
      <c r="F4520" s="3" t="n"/>
      <c r="G4520" s="84" t="inlineStr">
        <is>
          <t>BLASER</t>
        </is>
      </c>
      <c r="H4520" s="107" t="inlineStr">
        <is>
          <t>BOLT HEAD R8 MAGNUM</t>
        </is>
      </c>
      <c r="I4520" s="107" t="inlineStr">
        <is>
          <t>RB265290</t>
        </is>
      </c>
      <c r="J4520" s="65" t="inlineStr">
        <is>
          <t>N/D</t>
        </is>
      </c>
      <c r="K4520" s="65" t="inlineStr">
        <is>
          <t>N/D</t>
        </is>
      </c>
      <c r="L4520" s="127" t="inlineStr">
        <is>
          <t>BRIGNOLI ARMS SRL</t>
        </is>
      </c>
      <c r="M4520" s="5" t="n">
        <v>320</v>
      </c>
      <c r="N4520" s="5" t="n"/>
      <c r="O4520" s="5">
        <f>+M4520+N4520</f>
        <v/>
      </c>
      <c r="P4520" s="4" t="n">
        <v>46150</v>
      </c>
      <c r="Q4520" s="87" t="n">
        <v>46151</v>
      </c>
      <c r="R4520" s="5" t="n"/>
      <c r="S4520" s="2" t="n"/>
      <c r="T4520" s="3" t="n"/>
      <c r="U4520" s="87" t="n"/>
      <c r="V4520" s="3" t="n"/>
      <c r="W4520" s="108" t="n"/>
      <c r="X4520" s="4" t="n"/>
    </row>
    <row r="4521" ht="24" customHeight="1">
      <c r="A4521" s="2">
        <f>+D4521-S4521</f>
        <v/>
      </c>
      <c r="B4521" s="126" t="n">
        <v>6107</v>
      </c>
      <c r="C4521" s="66" t="n">
        <v>46150</v>
      </c>
      <c r="D4521" s="2" t="n">
        <v>1</v>
      </c>
      <c r="E4521" s="3" t="inlineStr">
        <is>
          <t>CARABINA</t>
        </is>
      </c>
      <c r="F4521" s="3" t="inlineStr">
        <is>
          <t>308 WIN</t>
        </is>
      </c>
      <c r="G4521" s="84" t="inlineStr">
        <is>
          <t>SAKO</t>
        </is>
      </c>
      <c r="H4521" s="107" t="inlineStr">
        <is>
          <t>90 VARMINT</t>
        </is>
      </c>
      <c r="I4521" s="107" t="inlineStr">
        <is>
          <t>FL6480</t>
        </is>
      </c>
      <c r="J4521" s="107" t="inlineStr">
        <is>
          <t>PFL6480</t>
        </is>
      </c>
      <c r="K4521" s="65" t="inlineStr">
        <is>
          <t>LFL6480</t>
        </is>
      </c>
      <c r="L4521" s="127" t="inlineStr">
        <is>
          <t>BRIGNOLI ARMS SRL</t>
        </is>
      </c>
      <c r="M4521" s="5" t="n">
        <v>1800</v>
      </c>
      <c r="N4521" s="5" t="n"/>
      <c r="O4521" s="5">
        <f>+M4521+N4521</f>
        <v/>
      </c>
      <c r="P4521" s="4" t="n">
        <v>46150</v>
      </c>
      <c r="Q4521" s="87" t="n">
        <v>46151</v>
      </c>
      <c r="R4521" s="5" t="n"/>
      <c r="S4521" s="2" t="n"/>
      <c r="T4521" s="3" t="n"/>
      <c r="U4521" s="87" t="n"/>
      <c r="V4521" s="3" t="n"/>
      <c r="W4521" s="108" t="n"/>
      <c r="X4521" s="4" t="n"/>
    </row>
    <row r="4522" ht="24" customHeight="1">
      <c r="A4522" s="2">
        <f>+D4522-S4522</f>
        <v/>
      </c>
      <c r="B4522" s="126" t="n">
        <v>6108</v>
      </c>
      <c r="C4522" s="66" t="n">
        <v>46153</v>
      </c>
      <c r="D4522" s="2" t="n">
        <v>1</v>
      </c>
      <c r="E4522" s="3" t="inlineStr">
        <is>
          <t>CARABINA</t>
        </is>
      </c>
      <c r="F4522" s="3" t="inlineStr">
        <is>
          <t>22LR</t>
        </is>
      </c>
      <c r="G4522" s="84" t="inlineStr">
        <is>
          <t>WINCHESTER</t>
        </is>
      </c>
      <c r="H4522" s="107" t="inlineStr">
        <is>
          <t>XPERT CARBON VARMINT THR 22''</t>
        </is>
      </c>
      <c r="I4522" s="107" t="inlineStr">
        <is>
          <t>TF614-25AD01502</t>
        </is>
      </c>
      <c r="J4522" s="65" t="inlineStr">
        <is>
          <t>N/D</t>
        </is>
      </c>
      <c r="K4522" s="65" t="inlineStr">
        <is>
          <t>N/D</t>
        </is>
      </c>
      <c r="L4522" s="127" t="inlineStr">
        <is>
          <t>BROWNING INTERNATIONAL SA</t>
        </is>
      </c>
      <c r="M4522" s="5" t="n">
        <v>354</v>
      </c>
      <c r="N4522" s="5" t="n"/>
      <c r="O4522" s="5">
        <f>+M4522+N4522</f>
        <v/>
      </c>
      <c r="P4522" s="4" t="n">
        <v>46147</v>
      </c>
      <c r="Q4522" s="87" t="n">
        <v>46142</v>
      </c>
      <c r="R4522" s="5" t="n"/>
      <c r="S4522" s="2" t="n"/>
      <c r="T4522" s="3" t="n"/>
      <c r="U4522" s="87" t="n"/>
      <c r="V4522" s="3" t="n"/>
      <c r="W4522" s="108" t="n"/>
      <c r="X4522" s="4" t="n"/>
    </row>
    <row r="4523" ht="24" customHeight="1">
      <c r="A4523" s="2">
        <f>+D4523-S4523</f>
        <v/>
      </c>
      <c r="B4523" s="126" t="n">
        <v>6109</v>
      </c>
      <c r="C4523" s="66" t="n">
        <v>46153</v>
      </c>
      <c r="D4523" s="2" t="n">
        <v>1</v>
      </c>
      <c r="E4523" s="3" t="inlineStr">
        <is>
          <t>CARABINA</t>
        </is>
      </c>
      <c r="F4523" s="3" t="inlineStr">
        <is>
          <t>22LR</t>
        </is>
      </c>
      <c r="G4523" s="84" t="inlineStr">
        <is>
          <t>WINCHESTER</t>
        </is>
      </c>
      <c r="H4523" s="107" t="inlineStr">
        <is>
          <t>XPERT CARBON VARMINT THR 22''</t>
        </is>
      </c>
      <c r="I4523" s="107" t="inlineStr">
        <is>
          <t>TF614-25AD01510</t>
        </is>
      </c>
      <c r="J4523" s="65" t="inlineStr">
        <is>
          <t>N/D</t>
        </is>
      </c>
      <c r="K4523" s="65" t="inlineStr">
        <is>
          <t>N/D</t>
        </is>
      </c>
      <c r="L4523" s="127" t="inlineStr">
        <is>
          <t>BROWNING INTERNATIONAL SA</t>
        </is>
      </c>
      <c r="M4523" s="5" t="n">
        <v>354</v>
      </c>
      <c r="N4523" s="5" t="n"/>
      <c r="O4523" s="5">
        <f>+M4523+N4523</f>
        <v/>
      </c>
      <c r="P4523" s="4" t="n">
        <v>46147</v>
      </c>
      <c r="Q4523" s="87" t="n">
        <v>46142</v>
      </c>
      <c r="R4523" s="5" t="n"/>
      <c r="S4523" s="2" t="n"/>
      <c r="T4523" s="3" t="n"/>
      <c r="U4523" s="87" t="n"/>
      <c r="V4523" s="3" t="n"/>
      <c r="W4523" s="108" t="n"/>
      <c r="X4523" s="4" t="n"/>
    </row>
    <row r="4524" ht="24" customHeight="1">
      <c r="A4524" s="2">
        <f>+D4524-S4524</f>
        <v/>
      </c>
      <c r="B4524" s="126" t="n">
        <v>6110</v>
      </c>
      <c r="C4524" s="66" t="n">
        <v>46163</v>
      </c>
      <c r="D4524" s="2" t="n">
        <v>1</v>
      </c>
      <c r="E4524" s="3" t="inlineStr">
        <is>
          <t>CARABINA</t>
        </is>
      </c>
      <c r="F4524" s="3" t="inlineStr">
        <is>
          <t>308 WIN</t>
        </is>
      </c>
      <c r="G4524" s="84" t="inlineStr">
        <is>
          <t>SAKO</t>
        </is>
      </c>
      <c r="H4524" s="107" t="inlineStr">
        <is>
          <t>S20 CAMO FUSION 51 CM</t>
        </is>
      </c>
      <c r="I4524" s="107" t="inlineStr">
        <is>
          <t>FA1118</t>
        </is>
      </c>
      <c r="J4524" s="65" t="inlineStr">
        <is>
          <t>PFA1118</t>
        </is>
      </c>
      <c r="K4524" s="65" t="inlineStr">
        <is>
          <t>N/D</t>
        </is>
      </c>
      <c r="L4524" s="127" t="inlineStr">
        <is>
          <t>HUMBERT CTTS S.A.S</t>
        </is>
      </c>
      <c r="M4524" s="5" t="n">
        <v>1284.35</v>
      </c>
      <c r="N4524" s="5" t="n"/>
      <c r="O4524" s="5">
        <f>+M4524+N4524</f>
        <v/>
      </c>
      <c r="P4524" s="4" t="n">
        <v>46097</v>
      </c>
      <c r="Q4524" s="87" t="n"/>
      <c r="R4524" s="5" t="n"/>
      <c r="S4524" s="2" t="n"/>
      <c r="T4524" s="3" t="n"/>
      <c r="U4524" s="87" t="n"/>
      <c r="V4524" s="3" t="n"/>
      <c r="W4524" s="108" t="n"/>
      <c r="X4524" s="4" t="n"/>
    </row>
    <row r="4525" ht="24" customHeight="1">
      <c r="A4525" s="2">
        <f>+D4525-S4525</f>
        <v/>
      </c>
      <c r="B4525" s="126" t="n">
        <v>6111</v>
      </c>
      <c r="C4525" s="66" t="n">
        <v>46163</v>
      </c>
      <c r="D4525" s="2" t="n">
        <v>1</v>
      </c>
      <c r="E4525" s="3" t="inlineStr">
        <is>
          <t>CARABINA</t>
        </is>
      </c>
      <c r="F4525" s="3" t="inlineStr">
        <is>
          <t>308 WIN</t>
        </is>
      </c>
      <c r="G4525" s="84" t="inlineStr">
        <is>
          <t>SAKO</t>
        </is>
      </c>
      <c r="H4525" s="107" t="inlineStr">
        <is>
          <t>S20 CAMO FUSION 51 CM</t>
        </is>
      </c>
      <c r="I4525" s="107" t="inlineStr">
        <is>
          <t>EN2286</t>
        </is>
      </c>
      <c r="J4525" s="107" t="inlineStr">
        <is>
          <t>PEN2286</t>
        </is>
      </c>
      <c r="K4525" s="65" t="inlineStr">
        <is>
          <t>N/D</t>
        </is>
      </c>
      <c r="L4525" s="127" t="inlineStr">
        <is>
          <t>HUMBERT CTTS S.A.S</t>
        </is>
      </c>
      <c r="M4525" s="5" t="n">
        <v>1284.35</v>
      </c>
      <c r="N4525" s="5" t="n"/>
      <c r="O4525" s="5">
        <f>+M4525+N4525</f>
        <v/>
      </c>
      <c r="P4525" s="4" t="n">
        <v>46097</v>
      </c>
      <c r="Q4525" s="87" t="n"/>
      <c r="R4525" s="5" t="n"/>
      <c r="S4525" s="2" t="n"/>
      <c r="T4525" s="3" t="n"/>
      <c r="U4525" s="87" t="n"/>
      <c r="V4525" s="3" t="n"/>
      <c r="W4525" s="108" t="n"/>
      <c r="X4525" s="4" t="n"/>
    </row>
    <row r="4526" ht="24" customHeight="1">
      <c r="A4526" s="2">
        <f>+D4526-S4526</f>
        <v/>
      </c>
      <c r="B4526" s="126" t="n">
        <v>6112</v>
      </c>
      <c r="C4526" s="66" t="n">
        <v>46163</v>
      </c>
      <c r="D4526" s="2" t="n">
        <v>1</v>
      </c>
      <c r="E4526" s="3" t="inlineStr">
        <is>
          <t>CARABINA</t>
        </is>
      </c>
      <c r="F4526" s="3" t="inlineStr">
        <is>
          <t>308 WIN</t>
        </is>
      </c>
      <c r="G4526" s="84" t="inlineStr">
        <is>
          <t>SAKO</t>
        </is>
      </c>
      <c r="H4526" s="107" t="inlineStr">
        <is>
          <t>S20 CAMO FUSION 51 CM</t>
        </is>
      </c>
      <c r="I4526" s="107" t="inlineStr">
        <is>
          <t>FA1123</t>
        </is>
      </c>
      <c r="J4526" s="107" t="inlineStr">
        <is>
          <t>PFA1123</t>
        </is>
      </c>
      <c r="K4526" s="65" t="inlineStr">
        <is>
          <t>N/D</t>
        </is>
      </c>
      <c r="L4526" s="127" t="inlineStr">
        <is>
          <t>HUMBERT CTTS S.A.S</t>
        </is>
      </c>
      <c r="M4526" s="5" t="n">
        <v>1284.35</v>
      </c>
      <c r="N4526" s="5" t="n"/>
      <c r="O4526" s="5">
        <f>+M4526+N4526</f>
        <v/>
      </c>
      <c r="P4526" s="4" t="n">
        <v>46097</v>
      </c>
      <c r="Q4526" s="87" t="n"/>
      <c r="R4526" s="5" t="n"/>
      <c r="S4526" s="2" t="n"/>
      <c r="T4526" s="3" t="n"/>
      <c r="U4526" s="87" t="n"/>
      <c r="V4526" s="3" t="n"/>
      <c r="W4526" s="108" t="n"/>
      <c r="X4526" s="4" t="n"/>
    </row>
    <row r="4527" ht="24" customHeight="1">
      <c r="A4527" s="2">
        <f>+D4527-S4527</f>
        <v/>
      </c>
      <c r="B4527" s="126" t="n">
        <v>6113</v>
      </c>
      <c r="C4527" s="66" t="n">
        <v>46163</v>
      </c>
      <c r="D4527" s="2" t="n">
        <v>1</v>
      </c>
      <c r="E4527" s="3" t="inlineStr">
        <is>
          <t>CARABINA</t>
        </is>
      </c>
      <c r="F4527" s="3" t="inlineStr">
        <is>
          <t>308 WIN</t>
        </is>
      </c>
      <c r="G4527" s="84" t="inlineStr">
        <is>
          <t>SAKO</t>
        </is>
      </c>
      <c r="H4527" s="107" t="inlineStr">
        <is>
          <t>90 FINNLIGHT NOIR 51 CM</t>
        </is>
      </c>
      <c r="I4527" s="107" t="inlineStr">
        <is>
          <t>KL5927</t>
        </is>
      </c>
      <c r="J4527" s="107" t="inlineStr">
        <is>
          <t>PKL5927</t>
        </is>
      </c>
      <c r="K4527" s="65" t="inlineStr">
        <is>
          <t>N/D</t>
        </is>
      </c>
      <c r="L4527" s="127" t="inlineStr">
        <is>
          <t>HUMBERT CTTS S.A.S</t>
        </is>
      </c>
      <c r="M4527" s="5" t="n">
        <v>1241.85</v>
      </c>
      <c r="N4527" s="5" t="n"/>
      <c r="O4527" s="5">
        <f>+M4527+N4527</f>
        <v/>
      </c>
      <c r="P4527" s="4" t="n">
        <v>46097</v>
      </c>
      <c r="Q4527" s="87" t="n"/>
      <c r="R4527" s="5" t="n"/>
      <c r="S4527" s="2" t="n"/>
      <c r="T4527" s="3" t="n"/>
      <c r="U4527" s="87" t="n"/>
      <c r="V4527" s="3" t="n"/>
      <c r="W4527" s="108" t="n"/>
      <c r="X4527" s="4" t="n"/>
    </row>
    <row r="4528" ht="24" customHeight="1">
      <c r="A4528" s="2">
        <f>+D4528-S4528</f>
        <v/>
      </c>
      <c r="B4528" s="126" t="n">
        <v>6114</v>
      </c>
      <c r="C4528" s="66" t="n">
        <v>46163</v>
      </c>
      <c r="D4528" s="2" t="n">
        <v>1</v>
      </c>
      <c r="E4528" s="3" t="inlineStr">
        <is>
          <t>CARABINA</t>
        </is>
      </c>
      <c r="F4528" s="3" t="inlineStr">
        <is>
          <t>308 WIN</t>
        </is>
      </c>
      <c r="G4528" s="84" t="inlineStr">
        <is>
          <t>TIKKA</t>
        </is>
      </c>
      <c r="H4528" s="107" t="inlineStr">
        <is>
          <t>T3X SUPER VARMINT TUNGSTEN</t>
        </is>
      </c>
      <c r="I4528" s="107" t="inlineStr">
        <is>
          <t>EL0818</t>
        </is>
      </c>
      <c r="J4528" s="107" t="inlineStr">
        <is>
          <t>PEL0818</t>
        </is>
      </c>
      <c r="K4528" s="65" t="inlineStr">
        <is>
          <t>N/D</t>
        </is>
      </c>
      <c r="L4528" s="127" t="inlineStr">
        <is>
          <t>HUMBERT CTTS S.A.S</t>
        </is>
      </c>
      <c r="M4528" s="5" t="n">
        <v>1314.1</v>
      </c>
      <c r="N4528" s="5" t="n"/>
      <c r="O4528" s="5">
        <f>+M4528+N4528</f>
        <v/>
      </c>
      <c r="P4528" s="4" t="n">
        <v>46097</v>
      </c>
      <c r="Q4528" s="87" t="n"/>
      <c r="R4528" s="5" t="n"/>
      <c r="S4528" s="2" t="n"/>
      <c r="T4528" s="3" t="n"/>
      <c r="U4528" s="87" t="n"/>
      <c r="V4528" s="3" t="n"/>
      <c r="W4528" s="108" t="n"/>
      <c r="X4528" s="4" t="n"/>
    </row>
    <row r="4529" ht="24" customHeight="1">
      <c r="A4529" s="2">
        <f>+D4529-S4529</f>
        <v/>
      </c>
      <c r="B4529" s="126" t="n">
        <v>6115</v>
      </c>
      <c r="C4529" s="66" t="n">
        <v>46163</v>
      </c>
      <c r="D4529" s="2" t="n">
        <v>1</v>
      </c>
      <c r="E4529" s="3" t="inlineStr">
        <is>
          <t>CARABINA</t>
        </is>
      </c>
      <c r="F4529" s="3" t="inlineStr">
        <is>
          <t>22LR</t>
        </is>
      </c>
      <c r="G4529" s="84" t="inlineStr">
        <is>
          <t>TIKKA</t>
        </is>
      </c>
      <c r="H4529" s="107" t="inlineStr">
        <is>
          <t>T1X ACE TARGET</t>
        </is>
      </c>
      <c r="I4529" s="107" t="inlineStr">
        <is>
          <t>KM6819</t>
        </is>
      </c>
      <c r="J4529" s="107" t="inlineStr">
        <is>
          <t>PT1097667</t>
        </is>
      </c>
      <c r="K4529" s="65" t="inlineStr">
        <is>
          <t>N/D</t>
        </is>
      </c>
      <c r="L4529" s="127" t="inlineStr">
        <is>
          <t>HUMBERT CTTS S.A.S</t>
        </is>
      </c>
      <c r="M4529" s="5" t="n">
        <v>1092.25</v>
      </c>
      <c r="N4529" s="5" t="n"/>
      <c r="O4529" s="5">
        <f>+M4529+N4529</f>
        <v/>
      </c>
      <c r="P4529" s="4" t="n">
        <v>46097</v>
      </c>
      <c r="Q4529" s="87" t="n"/>
      <c r="R4529" s="5" t="n"/>
      <c r="S4529" s="2" t="n"/>
      <c r="T4529" s="3" t="n"/>
      <c r="U4529" s="87" t="n"/>
      <c r="V4529" s="3" t="n"/>
      <c r="W4529" s="108" t="n"/>
      <c r="X4529" s="4" t="n"/>
    </row>
    <row r="4530" ht="24" customHeight="1">
      <c r="A4530" s="2">
        <f>+D4530-S4530</f>
        <v/>
      </c>
      <c r="B4530" s="126" t="n">
        <v>6116</v>
      </c>
      <c r="C4530" s="66" t="n">
        <v>46163</v>
      </c>
      <c r="D4530" s="2" t="n">
        <v>1</v>
      </c>
      <c r="E4530" s="3" t="inlineStr">
        <is>
          <t>CARABINA</t>
        </is>
      </c>
      <c r="F4530" s="3" t="inlineStr">
        <is>
          <t>308 WIN</t>
        </is>
      </c>
      <c r="G4530" s="84" t="inlineStr">
        <is>
          <t>SAKO</t>
        </is>
      </c>
      <c r="H4530" s="107" t="inlineStr">
        <is>
          <t>QUAD SYNTH 56 CM</t>
        </is>
      </c>
      <c r="I4530" s="107" t="inlineStr">
        <is>
          <t>HM2431</t>
        </is>
      </c>
      <c r="J4530" s="107" t="inlineStr">
        <is>
          <t>Q029381</t>
        </is>
      </c>
      <c r="K4530" s="65" t="inlineStr">
        <is>
          <t>N/D</t>
        </is>
      </c>
      <c r="L4530" s="127" t="inlineStr">
        <is>
          <t>HUMBERT CTTS S.A.S</t>
        </is>
      </c>
      <c r="M4530" s="5" t="n">
        <v>804.1</v>
      </c>
      <c r="N4530" s="5" t="n"/>
      <c r="O4530" s="5">
        <f>+M4530+N4530</f>
        <v/>
      </c>
      <c r="P4530" s="4" t="n">
        <v>46097</v>
      </c>
      <c r="Q4530" s="87" t="n"/>
      <c r="R4530" s="5" t="n"/>
      <c r="S4530" s="2" t="n"/>
      <c r="T4530" s="3" t="n"/>
      <c r="U4530" s="87" t="n"/>
      <c r="V4530" s="3" t="n"/>
      <c r="W4530" s="108" t="n"/>
      <c r="X4530" s="4" t="n"/>
    </row>
    <row r="4531" ht="24" customHeight="1">
      <c r="A4531" s="2">
        <f>+D4531-S4531</f>
        <v/>
      </c>
      <c r="B4531" s="126" t="n">
        <v>6117</v>
      </c>
      <c r="C4531" s="66" t="n">
        <v>46163</v>
      </c>
      <c r="D4531" s="2" t="n">
        <v>1</v>
      </c>
      <c r="E4531" s="3" t="inlineStr">
        <is>
          <t>CARABINA</t>
        </is>
      </c>
      <c r="F4531" s="3" t="inlineStr">
        <is>
          <t>308 WIN</t>
        </is>
      </c>
      <c r="G4531" s="84" t="inlineStr">
        <is>
          <t>SAKO</t>
        </is>
      </c>
      <c r="H4531" s="107" t="inlineStr">
        <is>
          <t>90 QUEST CERAKOTE ULTRA CARBONE 61 CM</t>
        </is>
      </c>
      <c r="I4531" s="107" t="inlineStr">
        <is>
          <t>HJ7711</t>
        </is>
      </c>
      <c r="J4531" s="107" t="inlineStr">
        <is>
          <t>PHJ7711</t>
        </is>
      </c>
      <c r="K4531" s="65" t="inlineStr">
        <is>
          <t>N/D</t>
        </is>
      </c>
      <c r="L4531" s="127" t="inlineStr">
        <is>
          <t>HUMBERT CTTS S.A.S</t>
        </is>
      </c>
      <c r="M4531" s="5" t="n">
        <v>3071.05</v>
      </c>
      <c r="N4531" s="5" t="n"/>
      <c r="O4531" s="5">
        <f>+M4531+N4531</f>
        <v/>
      </c>
      <c r="P4531" s="4" t="n">
        <v>46097</v>
      </c>
      <c r="Q4531" s="87" t="n"/>
      <c r="R4531" s="5" t="n"/>
      <c r="S4531" s="2" t="n"/>
      <c r="T4531" s="3" t="n"/>
      <c r="U4531" s="87" t="n"/>
      <c r="V4531" s="3" t="n"/>
      <c r="W4531" s="108" t="n"/>
      <c r="X4531" s="4" t="n"/>
    </row>
    <row r="4532" ht="24" customHeight="1">
      <c r="A4532" s="2">
        <f>+D4532-S4532</f>
        <v/>
      </c>
      <c r="B4532" s="126" t="n">
        <v>6118</v>
      </c>
      <c r="C4532" s="66" t="n">
        <v>46163</v>
      </c>
      <c r="D4532" s="2" t="n">
        <v>1</v>
      </c>
      <c r="E4532" s="3" t="inlineStr">
        <is>
          <t>CARABINA</t>
        </is>
      </c>
      <c r="F4532" s="3" t="inlineStr">
        <is>
          <t>308 WIN</t>
        </is>
      </c>
      <c r="G4532" s="84" t="inlineStr">
        <is>
          <t>SAKO</t>
        </is>
      </c>
      <c r="H4532" s="107" t="inlineStr">
        <is>
          <t>S20 ROUGHTECH 51 CM</t>
        </is>
      </c>
      <c r="I4532" s="107" t="inlineStr">
        <is>
          <t>KA3930</t>
        </is>
      </c>
      <c r="J4532" s="107" t="inlineStr">
        <is>
          <t>PKA3930</t>
        </is>
      </c>
      <c r="K4532" s="65" t="inlineStr">
        <is>
          <t>N/D</t>
        </is>
      </c>
      <c r="L4532" s="127" t="inlineStr">
        <is>
          <t>HUMBERT CTTS S.A.S</t>
        </is>
      </c>
      <c r="M4532" s="5" t="n">
        <v>1262.25</v>
      </c>
      <c r="N4532" s="5" t="n"/>
      <c r="O4532" s="5">
        <f>+M4532+N4532</f>
        <v/>
      </c>
      <c r="P4532" s="4" t="n">
        <v>46097</v>
      </c>
      <c r="Q4532" s="87" t="n"/>
      <c r="R4532" s="5" t="n"/>
      <c r="S4532" s="2" t="n"/>
      <c r="T4532" s="3" t="n"/>
      <c r="U4532" s="87" t="n"/>
      <c r="V4532" s="3" t="n"/>
      <c r="W4532" s="108" t="n"/>
      <c r="X4532" s="4" t="n"/>
    </row>
    <row r="4533" ht="24" customHeight="1">
      <c r="A4533" s="2">
        <f>+D4533-S4533</f>
        <v/>
      </c>
      <c r="B4533" s="126" t="n">
        <v>6119</v>
      </c>
      <c r="C4533" s="66" t="n">
        <v>46163</v>
      </c>
      <c r="D4533" s="2" t="n">
        <v>1</v>
      </c>
      <c r="E4533" s="3" t="inlineStr">
        <is>
          <t>CARABINA</t>
        </is>
      </c>
      <c r="F4533" s="3" t="inlineStr">
        <is>
          <t>308 WIN</t>
        </is>
      </c>
      <c r="G4533" s="84" t="inlineStr">
        <is>
          <t>SAKO</t>
        </is>
      </c>
      <c r="H4533" s="107" t="inlineStr">
        <is>
          <t>S20 ROUGHTECH 51 CM</t>
        </is>
      </c>
      <c r="I4533" s="107" t="inlineStr">
        <is>
          <t>KA4237</t>
        </is>
      </c>
      <c r="J4533" s="107" t="inlineStr">
        <is>
          <t>PKA4237</t>
        </is>
      </c>
      <c r="K4533" s="65" t="inlineStr">
        <is>
          <t>N/D</t>
        </is>
      </c>
      <c r="L4533" s="127" t="inlineStr">
        <is>
          <t>HUMBERT CTTS S.A.S</t>
        </is>
      </c>
      <c r="M4533" s="5" t="n">
        <v>1262.25</v>
      </c>
      <c r="N4533" s="5" t="n"/>
      <c r="O4533" s="5">
        <f>+M4533+N4533</f>
        <v/>
      </c>
      <c r="P4533" s="4" t="n">
        <v>46097</v>
      </c>
      <c r="Q4533" s="87" t="n"/>
      <c r="R4533" s="5" t="n"/>
      <c r="S4533" s="2" t="n"/>
      <c r="T4533" s="3" t="n"/>
      <c r="U4533" s="87" t="n"/>
      <c r="V4533" s="3" t="n"/>
      <c r="W4533" s="108" t="n"/>
      <c r="X4533" s="4" t="n"/>
    </row>
    <row r="4534" ht="24" customHeight="1">
      <c r="A4534" s="2">
        <f>+D4534-S4534</f>
        <v/>
      </c>
      <c r="B4534" s="126" t="n">
        <v>6120</v>
      </c>
      <c r="C4534" s="66" t="n">
        <v>46163</v>
      </c>
      <c r="D4534" s="2" t="n">
        <v>1</v>
      </c>
      <c r="E4534" s="3" t="inlineStr">
        <is>
          <t>CARABINA</t>
        </is>
      </c>
      <c r="F4534" s="3" t="inlineStr">
        <is>
          <t>308 WIN</t>
        </is>
      </c>
      <c r="G4534" s="84" t="inlineStr">
        <is>
          <t>SAKO</t>
        </is>
      </c>
      <c r="H4534" s="107" t="inlineStr">
        <is>
          <t>S20 ROUGHTECH 51 CM</t>
        </is>
      </c>
      <c r="I4534" s="107" t="inlineStr">
        <is>
          <t>KC1848</t>
        </is>
      </c>
      <c r="J4534" s="107" t="inlineStr">
        <is>
          <t>PKC1848</t>
        </is>
      </c>
      <c r="K4534" s="65" t="inlineStr">
        <is>
          <t>N/D</t>
        </is>
      </c>
      <c r="L4534" s="127" t="inlineStr">
        <is>
          <t>HUMBERT CTTS S.A.S</t>
        </is>
      </c>
      <c r="M4534" s="5" t="n">
        <v>1262.25</v>
      </c>
      <c r="N4534" s="5" t="n"/>
      <c r="O4534" s="5">
        <f>+M4534+N4534</f>
        <v/>
      </c>
      <c r="P4534" s="4" t="n">
        <v>46097</v>
      </c>
      <c r="Q4534" s="87" t="n"/>
      <c r="R4534" s="5" t="n"/>
      <c r="S4534" s="2" t="n"/>
      <c r="T4534" s="3" t="n"/>
      <c r="U4534" s="87" t="n"/>
      <c r="V4534" s="3" t="n"/>
      <c r="W4534" s="108" t="n"/>
      <c r="X4534" s="4" t="n"/>
    </row>
    <row r="4535" ht="24" customHeight="1">
      <c r="A4535" s="2">
        <f>+D4535-S4535</f>
        <v/>
      </c>
      <c r="B4535" s="126" t="n">
        <v>6121</v>
      </c>
      <c r="C4535" s="66" t="n">
        <v>46163</v>
      </c>
      <c r="D4535" s="2" t="n">
        <v>1</v>
      </c>
      <c r="E4535" s="3" t="inlineStr">
        <is>
          <t>FUCILE SOVRAPPOSTO</t>
        </is>
      </c>
      <c r="F4535" s="3" t="inlineStr">
        <is>
          <t>12</t>
        </is>
      </c>
      <c r="G4535" s="84" t="inlineStr">
        <is>
          <t>BROWNING</t>
        </is>
      </c>
      <c r="H4535" s="107" t="inlineStr">
        <is>
          <t>B825 Game,12M, 76, INV DS</t>
        </is>
      </c>
      <c r="I4535" s="107" t="inlineStr">
        <is>
          <t>59516YV131</t>
        </is>
      </c>
      <c r="J4535" s="65" t="inlineStr">
        <is>
          <t>N/D</t>
        </is>
      </c>
      <c r="K4535" s="65" t="inlineStr">
        <is>
          <t>N/D</t>
        </is>
      </c>
      <c r="L4535" s="127" t="inlineStr">
        <is>
          <t>BROWNING INTERNATIONAL SA</t>
        </is>
      </c>
      <c r="M4535" s="5" t="n">
        <v>2020.14</v>
      </c>
      <c r="N4535" s="5" t="n"/>
      <c r="O4535" s="5">
        <f>+M4535+N4535</f>
        <v/>
      </c>
      <c r="P4535" s="4" t="n">
        <v>46160</v>
      </c>
      <c r="Q4535" s="87" t="n">
        <v>46150</v>
      </c>
      <c r="R4535" s="5" t="n"/>
      <c r="S4535" s="2" t="n"/>
      <c r="T4535" s="3" t="n"/>
      <c r="U4535" s="87" t="n"/>
      <c r="V4535" s="3" t="n"/>
      <c r="W4535" s="108" t="n"/>
      <c r="X4535" s="4" t="n"/>
    </row>
    <row r="4536" ht="24" customHeight="1">
      <c r="A4536" s="2">
        <f>+D4536-S4536</f>
        <v/>
      </c>
      <c r="B4536" s="126" t="n">
        <v>6122</v>
      </c>
      <c r="C4536" s="66" t="n">
        <v>46164</v>
      </c>
      <c r="D4536" s="2" t="n">
        <v>1</v>
      </c>
      <c r="E4536" s="3" t="inlineStr">
        <is>
          <t>FUCILE SOVRAPPOSTO</t>
        </is>
      </c>
      <c r="F4536" s="3" t="inlineStr">
        <is>
          <t>12</t>
        </is>
      </c>
      <c r="G4536" s="84" t="inlineStr">
        <is>
          <t>SABATTI</t>
        </is>
      </c>
      <c r="H4536" s="65" t="inlineStr">
        <is>
          <t>N/D</t>
        </is>
      </c>
      <c r="I4536" s="107" t="inlineStr">
        <is>
          <t>119821</t>
        </is>
      </c>
      <c r="J4536" s="65" t="inlineStr">
        <is>
          <t>N/D</t>
        </is>
      </c>
      <c r="K4536" s="65" t="inlineStr">
        <is>
          <t>N/D</t>
        </is>
      </c>
      <c r="L4536" s="127" t="inlineStr">
        <is>
          <t>REDOLFI F.LLI SRL</t>
        </is>
      </c>
      <c r="M4536" s="5" t="n">
        <v>241.07</v>
      </c>
      <c r="N4536" s="5" t="n"/>
      <c r="O4536" s="5">
        <f>+M4536+N4536</f>
        <v/>
      </c>
      <c r="P4536" s="4" t="n">
        <v>46162</v>
      </c>
      <c r="Q4536" s="87" t="n">
        <v>46163</v>
      </c>
      <c r="R4536" s="5" t="n"/>
      <c r="S4536" s="2" t="n"/>
      <c r="T4536" s="3" t="n"/>
      <c r="U4536" s="87" t="n"/>
      <c r="V4536" s="3" t="n"/>
      <c r="W4536" s="108" t="n"/>
      <c r="X4536" s="4" t="n"/>
    </row>
    <row r="4537" ht="24" customHeight="1">
      <c r="A4537" s="2">
        <f>+D4537-S4537</f>
        <v/>
      </c>
      <c r="B4537" s="126" t="n">
        <v>6123</v>
      </c>
      <c r="C4537" s="66" t="n">
        <v>46164</v>
      </c>
      <c r="D4537" s="2" t="n">
        <v>1</v>
      </c>
      <c r="E4537" s="3" t="inlineStr">
        <is>
          <t>FUCILE SOVRAPPOSTO</t>
        </is>
      </c>
      <c r="F4537" s="3" t="inlineStr">
        <is>
          <t>12</t>
        </is>
      </c>
      <c r="G4537" s="84" t="inlineStr">
        <is>
          <t>SABATTI</t>
        </is>
      </c>
      <c r="H4537" s="65" t="inlineStr">
        <is>
          <t>N/D</t>
        </is>
      </c>
      <c r="I4537" s="107" t="inlineStr">
        <is>
          <t>119856</t>
        </is>
      </c>
      <c r="J4537" s="65" t="inlineStr">
        <is>
          <t>N/D</t>
        </is>
      </c>
      <c r="K4537" s="65" t="inlineStr">
        <is>
          <t>N/D</t>
        </is>
      </c>
      <c r="L4537" s="127" t="inlineStr">
        <is>
          <t>REDOLFI F.LLI SRL</t>
        </is>
      </c>
      <c r="M4537" s="5" t="n">
        <v>241.07</v>
      </c>
      <c r="N4537" s="5" t="n"/>
      <c r="O4537" s="5">
        <f>+M4537+N4537</f>
        <v/>
      </c>
      <c r="P4537" s="4" t="n">
        <v>46162</v>
      </c>
      <c r="Q4537" s="87" t="n">
        <v>46163</v>
      </c>
      <c r="R4537" s="5" t="n"/>
      <c r="S4537" s="2" t="n"/>
      <c r="T4537" s="3" t="n"/>
      <c r="U4537" s="87" t="n"/>
      <c r="V4537" s="3" t="n"/>
      <c r="W4537" s="108" t="n"/>
      <c r="X4537" s="4" t="n"/>
    </row>
    <row r="4538" ht="24" customHeight="1">
      <c r="A4538" s="2">
        <f>+D4538-S4538</f>
        <v/>
      </c>
      <c r="B4538" s="126" t="n">
        <v>6124</v>
      </c>
      <c r="C4538" s="66" t="n">
        <v>46164</v>
      </c>
      <c r="D4538" s="2" t="n">
        <v>1</v>
      </c>
      <c r="E4538" s="3" t="inlineStr">
        <is>
          <t>FUCILE SOVRAPPOSTO</t>
        </is>
      </c>
      <c r="F4538" s="3" t="inlineStr">
        <is>
          <t>12</t>
        </is>
      </c>
      <c r="G4538" s="84" t="inlineStr">
        <is>
          <t>SABATTI</t>
        </is>
      </c>
      <c r="H4538" s="65" t="inlineStr">
        <is>
          <t>N/D</t>
        </is>
      </c>
      <c r="I4538" s="107" t="inlineStr">
        <is>
          <t>119861</t>
        </is>
      </c>
      <c r="J4538" s="65" t="inlineStr">
        <is>
          <t>N/D</t>
        </is>
      </c>
      <c r="K4538" s="65" t="inlineStr">
        <is>
          <t>N/D</t>
        </is>
      </c>
      <c r="L4538" s="127" t="inlineStr">
        <is>
          <t>REDOLFI F.LLI SRL</t>
        </is>
      </c>
      <c r="M4538" s="5" t="n">
        <v>241.07</v>
      </c>
      <c r="N4538" s="5" t="n"/>
      <c r="O4538" s="5">
        <f>+M4538+N4538</f>
        <v/>
      </c>
      <c r="P4538" s="4" t="n">
        <v>46162</v>
      </c>
      <c r="Q4538" s="87" t="n">
        <v>46163</v>
      </c>
      <c r="R4538" s="5" t="n"/>
      <c r="S4538" s="2" t="n"/>
      <c r="T4538" s="3" t="n"/>
      <c r="U4538" s="87" t="n"/>
      <c r="V4538" s="3" t="n"/>
      <c r="W4538" s="108" t="n"/>
      <c r="X4538" s="4" t="n"/>
    </row>
    <row r="4539" ht="24" customHeight="1">
      <c r="A4539" s="2">
        <f>+D4539-S4539</f>
        <v/>
      </c>
      <c r="B4539" s="126" t="n">
        <v>6125</v>
      </c>
      <c r="C4539" s="66" t="n">
        <v>46164</v>
      </c>
      <c r="D4539" s="2" t="n">
        <v>1</v>
      </c>
      <c r="E4539" s="3" t="inlineStr">
        <is>
          <t>CANNA PER FUCILE SOVRAPPOSTO</t>
        </is>
      </c>
      <c r="F4539" s="3" t="inlineStr">
        <is>
          <t>12</t>
        </is>
      </c>
      <c r="G4539" s="84" t="inlineStr">
        <is>
          <t>SABATTI</t>
        </is>
      </c>
      <c r="H4539" s="65" t="inlineStr">
        <is>
          <t>N/D</t>
        </is>
      </c>
      <c r="I4539" s="65" t="inlineStr">
        <is>
          <t>N/D</t>
        </is>
      </c>
      <c r="J4539" s="107" t="inlineStr">
        <is>
          <t>CR1710</t>
        </is>
      </c>
      <c r="K4539" s="65" t="inlineStr">
        <is>
          <t>N/D</t>
        </is>
      </c>
      <c r="L4539" s="127" t="inlineStr">
        <is>
          <t>REDOLFI F.LLI SRL</t>
        </is>
      </c>
      <c r="M4539" s="5" t="n">
        <v>241.07</v>
      </c>
      <c r="N4539" s="5" t="n"/>
      <c r="O4539" s="5">
        <f>+M4539+N4539</f>
        <v/>
      </c>
      <c r="P4539" s="4" t="n">
        <v>46162</v>
      </c>
      <c r="Q4539" s="87" t="n">
        <v>46163</v>
      </c>
      <c r="R4539" s="5" t="n"/>
      <c r="S4539" s="2" t="n"/>
      <c r="T4539" s="3" t="n"/>
      <c r="U4539" s="87" t="n"/>
      <c r="V4539" s="3" t="n"/>
      <c r="W4539" s="108" t="n"/>
      <c r="X4539" s="4" t="n"/>
    </row>
    <row r="4540" ht="24" customHeight="1">
      <c r="A4540" s="2">
        <f>+D4540-S4540</f>
        <v/>
      </c>
      <c r="B4540" s="126" t="n">
        <v>6126</v>
      </c>
      <c r="C4540" s="66" t="n">
        <v>46164</v>
      </c>
      <c r="D4540" s="2" t="n">
        <v>1</v>
      </c>
      <c r="E4540" s="3" t="inlineStr">
        <is>
          <t>CANNA PER FUCILE SOVRAPPOSTO</t>
        </is>
      </c>
      <c r="F4540" s="3" t="inlineStr">
        <is>
          <t>12</t>
        </is>
      </c>
      <c r="G4540" s="84" t="inlineStr">
        <is>
          <t>SABATTI</t>
        </is>
      </c>
      <c r="H4540" s="65" t="inlineStr">
        <is>
          <t>N/D</t>
        </is>
      </c>
      <c r="I4540" s="65" t="inlineStr">
        <is>
          <t>N/D</t>
        </is>
      </c>
      <c r="J4540" s="107" t="inlineStr">
        <is>
          <t>CR1719</t>
        </is>
      </c>
      <c r="K4540" s="65" t="inlineStr">
        <is>
          <t>N/D</t>
        </is>
      </c>
      <c r="L4540" s="127" t="inlineStr">
        <is>
          <t>REDOLFI F.LLI SRL</t>
        </is>
      </c>
      <c r="M4540" s="5" t="n">
        <v>241.07</v>
      </c>
      <c r="N4540" s="5" t="n"/>
      <c r="O4540" s="5">
        <f>+M4540+N4540</f>
        <v/>
      </c>
      <c r="P4540" s="4" t="n">
        <v>46162</v>
      </c>
      <c r="Q4540" s="87" t="n">
        <v>46163</v>
      </c>
      <c r="R4540" s="5" t="n"/>
      <c r="S4540" s="2" t="n"/>
      <c r="T4540" s="3" t="n"/>
      <c r="U4540" s="87" t="n"/>
      <c r="V4540" s="3" t="n"/>
      <c r="W4540" s="108" t="n"/>
      <c r="X4540" s="4" t="n"/>
    </row>
    <row r="4541" ht="24" customHeight="1">
      <c r="A4541" s="2">
        <f>+D4541-S4541</f>
        <v/>
      </c>
      <c r="B4541" s="126" t="n">
        <v>6127</v>
      </c>
      <c r="C4541" s="66" t="n">
        <v>46164</v>
      </c>
      <c r="D4541" s="2" t="n">
        <v>1</v>
      </c>
      <c r="E4541" s="3" t="inlineStr">
        <is>
          <t>CANNA PER FUCILE SOVRAPPOSTO</t>
        </is>
      </c>
      <c r="F4541" s="3" t="inlineStr">
        <is>
          <t>12</t>
        </is>
      </c>
      <c r="G4541" s="84" t="inlineStr">
        <is>
          <t>SABATTI</t>
        </is>
      </c>
      <c r="H4541" s="65" t="inlineStr">
        <is>
          <t>N/D</t>
        </is>
      </c>
      <c r="I4541" s="65" t="inlineStr">
        <is>
          <t>N/D</t>
        </is>
      </c>
      <c r="J4541" s="107" t="inlineStr">
        <is>
          <t>CR1727</t>
        </is>
      </c>
      <c r="K4541" s="65" t="inlineStr">
        <is>
          <t>N/D</t>
        </is>
      </c>
      <c r="L4541" s="127" t="inlineStr">
        <is>
          <t>REDOLFI F.LLI SRL</t>
        </is>
      </c>
      <c r="M4541" s="5" t="n">
        <v>241.07</v>
      </c>
      <c r="N4541" s="5" t="n"/>
      <c r="O4541" s="5">
        <f>+M4541+N4541</f>
        <v/>
      </c>
      <c r="P4541" s="4" t="n">
        <v>46162</v>
      </c>
      <c r="Q4541" s="87" t="n">
        <v>46163</v>
      </c>
      <c r="R4541" s="5" t="n"/>
      <c r="S4541" s="2" t="n"/>
      <c r="T4541" s="3" t="n"/>
      <c r="U4541" s="87" t="n"/>
      <c r="V4541" s="3" t="n"/>
      <c r="W4541" s="108" t="n"/>
      <c r="X4541" s="4" t="n"/>
    </row>
    <row r="4542" ht="24" customHeight="1">
      <c r="A4542" s="2">
        <f>+D4542-S4542</f>
        <v/>
      </c>
      <c r="B4542" s="126" t="n">
        <v>6128</v>
      </c>
      <c r="C4542" s="66" t="n">
        <v>46164</v>
      </c>
      <c r="D4542" s="2" t="n">
        <v>1</v>
      </c>
      <c r="E4542" s="3" t="inlineStr">
        <is>
          <t>CANNA PER FUCILE SOVRAPPOSTO</t>
        </is>
      </c>
      <c r="F4542" s="3" t="inlineStr">
        <is>
          <t>12</t>
        </is>
      </c>
      <c r="G4542" s="84" t="inlineStr">
        <is>
          <t>SABATTI</t>
        </is>
      </c>
      <c r="H4542" s="65" t="inlineStr">
        <is>
          <t>N/D</t>
        </is>
      </c>
      <c r="I4542" s="65" t="inlineStr">
        <is>
          <t>N/D</t>
        </is>
      </c>
      <c r="J4542" s="107" t="inlineStr">
        <is>
          <t>CR674</t>
        </is>
      </c>
      <c r="K4542" s="65" t="inlineStr">
        <is>
          <t>N/D</t>
        </is>
      </c>
      <c r="L4542" s="127" t="inlineStr">
        <is>
          <t>REDOLFI F.LLI SRL</t>
        </is>
      </c>
      <c r="M4542" s="5" t="n">
        <v>241.07</v>
      </c>
      <c r="N4542" s="5" t="n"/>
      <c r="O4542" s="5">
        <f>+M4542+N4542</f>
        <v/>
      </c>
      <c r="P4542" s="4" t="n">
        <v>46162</v>
      </c>
      <c r="Q4542" s="87" t="n">
        <v>46163</v>
      </c>
      <c r="R4542" s="5" t="n"/>
      <c r="S4542" s="2" t="n"/>
      <c r="T4542" s="3" t="n"/>
      <c r="U4542" s="87" t="n"/>
      <c r="V4542" s="3" t="n"/>
      <c r="W4542" s="108" t="n"/>
      <c r="X4542" s="4" t="n"/>
    </row>
    <row r="4543" ht="24" customHeight="1">
      <c r="A4543" s="2">
        <f>+D4543-S4543</f>
        <v/>
      </c>
      <c r="B4543" s="126" t="n">
        <v>6129</v>
      </c>
      <c r="C4543" s="66" t="n">
        <v>46164</v>
      </c>
      <c r="D4543" s="2" t="n">
        <v>1</v>
      </c>
      <c r="E4543" s="3" t="inlineStr">
        <is>
          <t>CARABINA</t>
        </is>
      </c>
      <c r="F4543" s="3" t="inlineStr">
        <is>
          <t>22-250 REM</t>
        </is>
      </c>
      <c r="G4543" s="84" t="inlineStr">
        <is>
          <t>SABATTI</t>
        </is>
      </c>
      <c r="H4543" s="65" t="inlineStr">
        <is>
          <t>N/D</t>
        </is>
      </c>
      <c r="I4543" s="107" t="inlineStr">
        <is>
          <t>R53822</t>
        </is>
      </c>
      <c r="J4543" s="65" t="inlineStr">
        <is>
          <t>N/D</t>
        </is>
      </c>
      <c r="K4543" s="65" t="inlineStr">
        <is>
          <t>N/D</t>
        </is>
      </c>
      <c r="L4543" s="127" t="inlineStr">
        <is>
          <t>REDOLFI F.LLI SRL</t>
        </is>
      </c>
      <c r="M4543" s="5" t="n">
        <v>241.07</v>
      </c>
      <c r="N4543" s="5" t="n"/>
      <c r="O4543" s="5">
        <f>+M4543+N4543</f>
        <v/>
      </c>
      <c r="P4543" s="4" t="n">
        <v>46162</v>
      </c>
      <c r="Q4543" s="87" t="n">
        <v>46163</v>
      </c>
      <c r="R4543" s="5" t="n"/>
      <c r="S4543" s="2" t="n"/>
      <c r="T4543" s="3" t="n"/>
      <c r="U4543" s="87" t="n"/>
      <c r="V4543" s="3" t="n"/>
      <c r="W4543" s="108" t="n"/>
      <c r="X4543" s="4" t="n"/>
    </row>
    <row r="4544" ht="24" customHeight="1">
      <c r="A4544" s="2">
        <f>+D4544-S4544</f>
        <v/>
      </c>
      <c r="B4544" s="126" t="n">
        <v>6130</v>
      </c>
      <c r="C4544" s="66" t="n">
        <v>46164</v>
      </c>
      <c r="D4544" s="2" t="n">
        <v>1</v>
      </c>
      <c r="E4544" s="3" t="inlineStr">
        <is>
          <t>CARABINA</t>
        </is>
      </c>
      <c r="F4544" s="3" t="inlineStr">
        <is>
          <t>22-250 REM</t>
        </is>
      </c>
      <c r="G4544" s="84" t="inlineStr">
        <is>
          <t>SABATTI</t>
        </is>
      </c>
      <c r="H4544" s="65" t="inlineStr">
        <is>
          <t>N/D</t>
        </is>
      </c>
      <c r="I4544" s="107" t="inlineStr">
        <is>
          <t>R53828</t>
        </is>
      </c>
      <c r="J4544" s="65" t="inlineStr">
        <is>
          <t>N/D</t>
        </is>
      </c>
      <c r="K4544" s="65" t="inlineStr">
        <is>
          <t>N/D</t>
        </is>
      </c>
      <c r="L4544" s="127" t="inlineStr">
        <is>
          <t>REDOLFI F.LLI SRL</t>
        </is>
      </c>
      <c r="M4544" s="5" t="n">
        <v>241.07</v>
      </c>
      <c r="N4544" s="5" t="n"/>
      <c r="O4544" s="5">
        <f>+M4544+N4544</f>
        <v/>
      </c>
      <c r="P4544" s="4" t="n">
        <v>46162</v>
      </c>
      <c r="Q4544" s="87" t="n">
        <v>46163</v>
      </c>
      <c r="R4544" s="5" t="n"/>
      <c r="S4544" s="2" t="n"/>
      <c r="T4544" s="3" t="n"/>
      <c r="U4544" s="87" t="n"/>
      <c r="V4544" s="3" t="n"/>
      <c r="W4544" s="108" t="n"/>
      <c r="X4544" s="4" t="n"/>
    </row>
    <row r="4545" ht="24" customHeight="1">
      <c r="A4545" s="2">
        <f>+D4545-S4545</f>
        <v/>
      </c>
      <c r="B4545" s="126" t="n">
        <v>6131</v>
      </c>
      <c r="C4545" s="66" t="n">
        <v>46164</v>
      </c>
      <c r="D4545" s="2" t="n">
        <v>1</v>
      </c>
      <c r="E4545" s="3" t="inlineStr">
        <is>
          <t>CARABINA</t>
        </is>
      </c>
      <c r="F4545" s="3" t="inlineStr">
        <is>
          <t>22-250 REM</t>
        </is>
      </c>
      <c r="G4545" s="84" t="inlineStr">
        <is>
          <t>SABATTI</t>
        </is>
      </c>
      <c r="H4545" s="65" t="inlineStr">
        <is>
          <t>N/D</t>
        </is>
      </c>
      <c r="I4545" s="107" t="inlineStr">
        <is>
          <t>R69150</t>
        </is>
      </c>
      <c r="J4545" s="65" t="inlineStr">
        <is>
          <t>N/D</t>
        </is>
      </c>
      <c r="K4545" s="65" t="inlineStr">
        <is>
          <t>N/D</t>
        </is>
      </c>
      <c r="L4545" s="127" t="inlineStr">
        <is>
          <t>REDOLFI F.LLI SRL</t>
        </is>
      </c>
      <c r="M4545" s="5" t="n">
        <v>241.07</v>
      </c>
      <c r="N4545" s="5" t="n"/>
      <c r="O4545" s="5">
        <f>+M4545+N4545</f>
        <v/>
      </c>
      <c r="P4545" s="4" t="n">
        <v>46162</v>
      </c>
      <c r="Q4545" s="87" t="n">
        <v>46163</v>
      </c>
      <c r="R4545" s="5" t="n"/>
      <c r="S4545" s="2" t="n"/>
      <c r="T4545" s="3" t="n"/>
      <c r="U4545" s="87" t="n"/>
      <c r="V4545" s="3" t="n"/>
      <c r="W4545" s="108" t="n"/>
      <c r="X4545" s="4" t="n"/>
    </row>
    <row r="4546" ht="24" customHeight="1">
      <c r="A4546" s="2">
        <f>+D4546-S4546</f>
        <v/>
      </c>
      <c r="B4546" s="126" t="n">
        <v>6132</v>
      </c>
      <c r="C4546" s="66" t="n">
        <v>46164</v>
      </c>
      <c r="D4546" s="2" t="n">
        <v>1</v>
      </c>
      <c r="E4546" s="3" t="inlineStr">
        <is>
          <t>CARABINA</t>
        </is>
      </c>
      <c r="F4546" s="3" t="inlineStr">
        <is>
          <t>22-250 REM</t>
        </is>
      </c>
      <c r="G4546" s="84" t="inlineStr">
        <is>
          <t>SABATTI</t>
        </is>
      </c>
      <c r="H4546" s="65" t="inlineStr">
        <is>
          <t>N/D</t>
        </is>
      </c>
      <c r="I4546" s="107" t="inlineStr">
        <is>
          <t>R69151</t>
        </is>
      </c>
      <c r="J4546" s="65" t="inlineStr">
        <is>
          <t>N/D</t>
        </is>
      </c>
      <c r="K4546" s="65" t="inlineStr">
        <is>
          <t>N/D</t>
        </is>
      </c>
      <c r="L4546" s="127" t="inlineStr">
        <is>
          <t>REDOLFI F.LLI SRL</t>
        </is>
      </c>
      <c r="M4546" s="5" t="n">
        <v>241.07</v>
      </c>
      <c r="N4546" s="5" t="n"/>
      <c r="O4546" s="5">
        <f>+M4546+N4546</f>
        <v/>
      </c>
      <c r="P4546" s="4" t="n">
        <v>46162</v>
      </c>
      <c r="Q4546" s="87" t="n">
        <v>46163</v>
      </c>
      <c r="R4546" s="5" t="n"/>
      <c r="S4546" s="2" t="n"/>
      <c r="T4546" s="3" t="n"/>
      <c r="U4546" s="87" t="n"/>
      <c r="V4546" s="3" t="n"/>
      <c r="W4546" s="108" t="n"/>
      <c r="X4546" s="4" t="n"/>
    </row>
    <row r="4547" ht="24" customHeight="1">
      <c r="A4547" s="2">
        <f>+D4547-S4547</f>
        <v/>
      </c>
      <c r="B4547" s="126" t="n">
        <v>6133</v>
      </c>
      <c r="C4547" s="66" t="n">
        <v>46164</v>
      </c>
      <c r="D4547" s="2" t="n">
        <v>1</v>
      </c>
      <c r="E4547" s="3" t="inlineStr">
        <is>
          <t>CARABINA</t>
        </is>
      </c>
      <c r="F4547" s="3" t="inlineStr">
        <is>
          <t>22-250 REM</t>
        </is>
      </c>
      <c r="G4547" s="84" t="inlineStr">
        <is>
          <t>SABATTI</t>
        </is>
      </c>
      <c r="H4547" s="65" t="inlineStr">
        <is>
          <t>N/D</t>
        </is>
      </c>
      <c r="I4547" s="107" t="inlineStr">
        <is>
          <t>R69352</t>
        </is>
      </c>
      <c r="J4547" s="65" t="inlineStr">
        <is>
          <t>N/D</t>
        </is>
      </c>
      <c r="K4547" s="65" t="inlineStr">
        <is>
          <t>N/D</t>
        </is>
      </c>
      <c r="L4547" s="127" t="inlineStr">
        <is>
          <t>REDOLFI F.LLI SRL</t>
        </is>
      </c>
      <c r="M4547" s="5" t="n">
        <v>241.07</v>
      </c>
      <c r="N4547" s="5" t="n"/>
      <c r="O4547" s="5">
        <f>+M4547+N4547</f>
        <v/>
      </c>
      <c r="P4547" s="4" t="n">
        <v>46162</v>
      </c>
      <c r="Q4547" s="87" t="n">
        <v>46163</v>
      </c>
      <c r="R4547" s="5" t="n"/>
      <c r="S4547" s="2" t="n"/>
      <c r="T4547" s="3" t="n"/>
      <c r="U4547" s="87" t="n"/>
      <c r="V4547" s="3" t="n"/>
      <c r="W4547" s="108" t="n"/>
      <c r="X4547" s="4" t="n"/>
    </row>
    <row r="4548" ht="24" customHeight="1">
      <c r="A4548" s="2">
        <f>+D4548-S4548</f>
        <v/>
      </c>
      <c r="B4548" s="126" t="n">
        <v>6134</v>
      </c>
      <c r="C4548" s="66" t="n">
        <v>46164</v>
      </c>
      <c r="D4548" s="2" t="n">
        <v>1</v>
      </c>
      <c r="E4548" s="3" t="inlineStr">
        <is>
          <t>CARABINA</t>
        </is>
      </c>
      <c r="F4548" s="3" t="inlineStr">
        <is>
          <t>22-250 REM</t>
        </is>
      </c>
      <c r="G4548" s="84" t="inlineStr">
        <is>
          <t>SABATTI</t>
        </is>
      </c>
      <c r="H4548" s="65" t="inlineStr">
        <is>
          <t>N/D</t>
        </is>
      </c>
      <c r="I4548" s="107" t="inlineStr">
        <is>
          <t>R69353</t>
        </is>
      </c>
      <c r="J4548" s="65" t="inlineStr">
        <is>
          <t>N/D</t>
        </is>
      </c>
      <c r="K4548" s="65" t="inlineStr">
        <is>
          <t>N/D</t>
        </is>
      </c>
      <c r="L4548" s="127" t="inlineStr">
        <is>
          <t>REDOLFI F.LLI SRL</t>
        </is>
      </c>
      <c r="M4548" s="5" t="n">
        <v>241.07</v>
      </c>
      <c r="N4548" s="5" t="n"/>
      <c r="O4548" s="5">
        <f>+M4548+N4548</f>
        <v/>
      </c>
      <c r="P4548" s="4" t="n">
        <v>46162</v>
      </c>
      <c r="Q4548" s="87" t="n">
        <v>46163</v>
      </c>
      <c r="R4548" s="5" t="n"/>
      <c r="S4548" s="2" t="n"/>
      <c r="T4548" s="3" t="n"/>
      <c r="U4548" s="87" t="n"/>
      <c r="V4548" s="3" t="n"/>
      <c r="W4548" s="108" t="n"/>
      <c r="X4548" s="4" t="n"/>
    </row>
    <row r="4549" ht="24" customHeight="1">
      <c r="A4549" s="2">
        <f>+D4549-S4549</f>
        <v/>
      </c>
      <c r="B4549" s="126" t="n">
        <v>6135</v>
      </c>
      <c r="C4549" s="66" t="n">
        <v>46164</v>
      </c>
      <c r="D4549" s="2" t="n">
        <v>1</v>
      </c>
      <c r="E4549" s="3" t="inlineStr">
        <is>
          <t>CARABINA</t>
        </is>
      </c>
      <c r="F4549" s="3" t="inlineStr">
        <is>
          <t>22-250 REM</t>
        </is>
      </c>
      <c r="G4549" s="84" t="inlineStr">
        <is>
          <t>SABATTI</t>
        </is>
      </c>
      <c r="H4549" s="65" t="inlineStr">
        <is>
          <t>N/D</t>
        </is>
      </c>
      <c r="I4549" s="107" t="inlineStr">
        <is>
          <t>R69354</t>
        </is>
      </c>
      <c r="J4549" s="65" t="inlineStr">
        <is>
          <t>N/D</t>
        </is>
      </c>
      <c r="K4549" s="65" t="inlineStr">
        <is>
          <t>N/D</t>
        </is>
      </c>
      <c r="L4549" s="127" t="inlineStr">
        <is>
          <t>REDOLFI F.LLI SRL</t>
        </is>
      </c>
      <c r="M4549" s="5" t="n">
        <v>241.07</v>
      </c>
      <c r="N4549" s="5" t="n"/>
      <c r="O4549" s="5">
        <f>+M4549+N4549</f>
        <v/>
      </c>
      <c r="P4549" s="4" t="n">
        <v>46162</v>
      </c>
      <c r="Q4549" s="87" t="n">
        <v>46163</v>
      </c>
      <c r="R4549" s="5" t="n"/>
      <c r="S4549" s="2" t="n"/>
      <c r="T4549" s="3" t="n"/>
      <c r="U4549" s="87" t="n"/>
      <c r="V4549" s="3" t="n"/>
      <c r="W4549" s="108" t="n"/>
      <c r="X4549" s="4" t="n"/>
    </row>
    <row r="4550" ht="24" customHeight="1">
      <c r="A4550" s="2">
        <f>+D4550-S4550</f>
        <v/>
      </c>
      <c r="B4550" s="126" t="n">
        <v>6136</v>
      </c>
      <c r="C4550" s="66" t="n">
        <v>46164</v>
      </c>
      <c r="D4550" s="2" t="n">
        <v>1</v>
      </c>
      <c r="E4550" s="3" t="inlineStr">
        <is>
          <t>CARABINA</t>
        </is>
      </c>
      <c r="F4550" s="3" t="inlineStr">
        <is>
          <t>22-250 REM</t>
        </is>
      </c>
      <c r="G4550" s="84" t="inlineStr">
        <is>
          <t>SABATTI</t>
        </is>
      </c>
      <c r="H4550" s="65" t="inlineStr">
        <is>
          <t>N/D</t>
        </is>
      </c>
      <c r="I4550" s="107" t="inlineStr">
        <is>
          <t>R69355</t>
        </is>
      </c>
      <c r="J4550" s="65" t="inlineStr">
        <is>
          <t>N/D</t>
        </is>
      </c>
      <c r="K4550" s="65" t="inlineStr">
        <is>
          <t>N/D</t>
        </is>
      </c>
      <c r="L4550" s="127" t="inlineStr">
        <is>
          <t>REDOLFI F.LLI SRL</t>
        </is>
      </c>
      <c r="M4550" s="5" t="n">
        <v>241.07</v>
      </c>
      <c r="N4550" s="5" t="n"/>
      <c r="O4550" s="5">
        <f>+M4550+N4550</f>
        <v/>
      </c>
      <c r="P4550" s="4" t="n">
        <v>46162</v>
      </c>
      <c r="Q4550" s="87" t="n">
        <v>46163</v>
      </c>
      <c r="R4550" s="5" t="n"/>
      <c r="S4550" s="2" t="n"/>
      <c r="T4550" s="3" t="n"/>
      <c r="U4550" s="87" t="n"/>
      <c r="V4550" s="3" t="n"/>
      <c r="W4550" s="108" t="n"/>
      <c r="X4550" s="4" t="n"/>
    </row>
    <row r="4551" ht="24" customHeight="1">
      <c r="A4551" s="2">
        <f>+D4551-S4551</f>
        <v/>
      </c>
      <c r="B4551" s="126" t="n">
        <v>6137</v>
      </c>
      <c r="C4551" s="66" t="n">
        <v>46164</v>
      </c>
      <c r="D4551" s="2" t="n">
        <v>1</v>
      </c>
      <c r="E4551" s="3" t="inlineStr">
        <is>
          <t>CARABINA</t>
        </is>
      </c>
      <c r="F4551" s="3" t="inlineStr">
        <is>
          <t>243 WIN</t>
        </is>
      </c>
      <c r="G4551" s="84" t="inlineStr">
        <is>
          <t>SABATTI</t>
        </is>
      </c>
      <c r="H4551" s="65" t="inlineStr">
        <is>
          <t>N/D</t>
        </is>
      </c>
      <c r="I4551" s="107" t="inlineStr">
        <is>
          <t>R52082</t>
        </is>
      </c>
      <c r="J4551" s="65" t="inlineStr">
        <is>
          <t>N/D</t>
        </is>
      </c>
      <c r="K4551" s="65" t="inlineStr">
        <is>
          <t>N/D</t>
        </is>
      </c>
      <c r="L4551" s="127" t="inlineStr">
        <is>
          <t>REDOLFI F.LLI SRL</t>
        </is>
      </c>
      <c r="M4551" s="5" t="n">
        <v>241.07</v>
      </c>
      <c r="N4551" s="5" t="n"/>
      <c r="O4551" s="5">
        <f>+M4551+N4551</f>
        <v/>
      </c>
      <c r="P4551" s="4" t="n">
        <v>46162</v>
      </c>
      <c r="Q4551" s="87" t="n">
        <v>46163</v>
      </c>
      <c r="R4551" s="5" t="n"/>
      <c r="S4551" s="2" t="n"/>
      <c r="T4551" s="3" t="n"/>
      <c r="U4551" s="87" t="n"/>
      <c r="V4551" s="3" t="n"/>
      <c r="W4551" s="108" t="n"/>
      <c r="X4551" s="4" t="n"/>
    </row>
    <row r="4552" ht="24" customHeight="1">
      <c r="A4552" s="2">
        <f>+D4552-S4552</f>
        <v/>
      </c>
      <c r="B4552" s="126" t="n">
        <v>6138</v>
      </c>
      <c r="C4552" s="66" t="n">
        <v>46164</v>
      </c>
      <c r="D4552" s="2" t="n">
        <v>1</v>
      </c>
      <c r="E4552" s="3" t="inlineStr">
        <is>
          <t>CARABINA</t>
        </is>
      </c>
      <c r="F4552" s="3" t="inlineStr">
        <is>
          <t>243 WIN</t>
        </is>
      </c>
      <c r="G4552" s="84" t="inlineStr">
        <is>
          <t>SABATTI</t>
        </is>
      </c>
      <c r="H4552" s="65" t="inlineStr">
        <is>
          <t>N/D</t>
        </is>
      </c>
      <c r="I4552" s="107" t="inlineStr">
        <is>
          <t>R58458</t>
        </is>
      </c>
      <c r="J4552" s="65" t="inlineStr">
        <is>
          <t>N/D</t>
        </is>
      </c>
      <c r="K4552" s="65" t="inlineStr">
        <is>
          <t>N/D</t>
        </is>
      </c>
      <c r="L4552" s="127" t="inlineStr">
        <is>
          <t>REDOLFI F.LLI SRL</t>
        </is>
      </c>
      <c r="M4552" s="5" t="n">
        <v>241.07</v>
      </c>
      <c r="N4552" s="5" t="n"/>
      <c r="O4552" s="5">
        <f>+M4552+N4552</f>
        <v/>
      </c>
      <c r="P4552" s="4" t="n">
        <v>46162</v>
      </c>
      <c r="Q4552" s="87" t="n">
        <v>46163</v>
      </c>
      <c r="R4552" s="5" t="n"/>
      <c r="S4552" s="2" t="n"/>
      <c r="T4552" s="3" t="n"/>
      <c r="U4552" s="87" t="n"/>
      <c r="V4552" s="3" t="n"/>
      <c r="W4552" s="108" t="n"/>
      <c r="X4552" s="4" t="n"/>
    </row>
    <row r="4553" ht="24" customHeight="1">
      <c r="A4553" s="2">
        <f>+D4553-S4553</f>
        <v/>
      </c>
      <c r="B4553" s="126" t="n">
        <v>6139</v>
      </c>
      <c r="C4553" s="66" t="n">
        <v>46164</v>
      </c>
      <c r="D4553" s="2" t="n">
        <v>1</v>
      </c>
      <c r="E4553" s="3" t="inlineStr">
        <is>
          <t>CARABINA</t>
        </is>
      </c>
      <c r="F4553" s="3" t="inlineStr">
        <is>
          <t>243 WIN</t>
        </is>
      </c>
      <c r="G4553" s="84" t="inlineStr">
        <is>
          <t>SABATTI</t>
        </is>
      </c>
      <c r="H4553" s="65" t="inlineStr">
        <is>
          <t>N/D</t>
        </is>
      </c>
      <c r="I4553" s="107" t="inlineStr">
        <is>
          <t>R58482</t>
        </is>
      </c>
      <c r="J4553" s="65" t="inlineStr">
        <is>
          <t>N/D</t>
        </is>
      </c>
      <c r="K4553" s="65" t="inlineStr">
        <is>
          <t>N/D</t>
        </is>
      </c>
      <c r="L4553" s="127" t="inlineStr">
        <is>
          <t>REDOLFI F.LLI SRL</t>
        </is>
      </c>
      <c r="M4553" s="5" t="n">
        <v>241.07</v>
      </c>
      <c r="N4553" s="5" t="n"/>
      <c r="O4553" s="5">
        <f>+M4553+N4553</f>
        <v/>
      </c>
      <c r="P4553" s="4" t="n">
        <v>46162</v>
      </c>
      <c r="Q4553" s="87" t="n">
        <v>46163</v>
      </c>
      <c r="R4553" s="5" t="n"/>
      <c r="S4553" s="2" t="n"/>
      <c r="T4553" s="3" t="n"/>
      <c r="U4553" s="87" t="n"/>
      <c r="V4553" s="3" t="n"/>
      <c r="W4553" s="108" t="n"/>
      <c r="X4553" s="4" t="n"/>
    </row>
    <row r="4554" ht="24" customHeight="1">
      <c r="A4554" s="2">
        <f>+D4554-S4554</f>
        <v/>
      </c>
      <c r="B4554" s="126" t="n">
        <v>6140</v>
      </c>
      <c r="C4554" s="66" t="n">
        <v>46164</v>
      </c>
      <c r="D4554" s="2" t="n">
        <v>1</v>
      </c>
      <c r="E4554" s="3" t="inlineStr">
        <is>
          <t>CARABINA</t>
        </is>
      </c>
      <c r="F4554" s="3" t="inlineStr">
        <is>
          <t>243 WIN</t>
        </is>
      </c>
      <c r="G4554" s="84" t="inlineStr">
        <is>
          <t>SABATTI</t>
        </is>
      </c>
      <c r="H4554" s="65" t="inlineStr">
        <is>
          <t>N/D</t>
        </is>
      </c>
      <c r="I4554" s="107" t="inlineStr">
        <is>
          <t>R62181</t>
        </is>
      </c>
      <c r="J4554" s="65" t="inlineStr">
        <is>
          <t>N/D</t>
        </is>
      </c>
      <c r="K4554" s="65" t="inlineStr">
        <is>
          <t>N/D</t>
        </is>
      </c>
      <c r="L4554" s="127" t="inlineStr">
        <is>
          <t>REDOLFI F.LLI SRL</t>
        </is>
      </c>
      <c r="M4554" s="5" t="n">
        <v>241.07</v>
      </c>
      <c r="N4554" s="5" t="n"/>
      <c r="O4554" s="5">
        <f>+M4554+N4554</f>
        <v/>
      </c>
      <c r="P4554" s="4" t="n">
        <v>46162</v>
      </c>
      <c r="Q4554" s="87" t="n">
        <v>46163</v>
      </c>
      <c r="R4554" s="5" t="n"/>
      <c r="S4554" s="2" t="n"/>
      <c r="T4554" s="3" t="n"/>
      <c r="U4554" s="87" t="n"/>
      <c r="V4554" s="3" t="n"/>
      <c r="W4554" s="108" t="n"/>
      <c r="X4554" s="4" t="n"/>
    </row>
    <row r="4555" ht="24" customHeight="1">
      <c r="A4555" s="2">
        <f>+D4555-S4555</f>
        <v/>
      </c>
      <c r="B4555" s="126" t="n">
        <v>6141</v>
      </c>
      <c r="C4555" s="66" t="n">
        <v>46164</v>
      </c>
      <c r="D4555" s="2" t="n">
        <v>1</v>
      </c>
      <c r="E4555" s="3" t="inlineStr">
        <is>
          <t>CARABINA</t>
        </is>
      </c>
      <c r="F4555" s="3" t="inlineStr">
        <is>
          <t>243 WIN</t>
        </is>
      </c>
      <c r="G4555" s="84" t="inlineStr">
        <is>
          <t>SABATTI</t>
        </is>
      </c>
      <c r="H4555" s="65" t="inlineStr">
        <is>
          <t>N/D</t>
        </is>
      </c>
      <c r="I4555" s="103" t="inlineStr">
        <is>
          <t>R77118</t>
        </is>
      </c>
      <c r="J4555" s="65" t="inlineStr">
        <is>
          <t>N/D</t>
        </is>
      </c>
      <c r="K4555" s="65" t="inlineStr">
        <is>
          <t>N/D</t>
        </is>
      </c>
      <c r="L4555" s="127" t="inlineStr">
        <is>
          <t>REDOLFI F.LLI SRL</t>
        </is>
      </c>
      <c r="M4555" s="5" t="n">
        <v>241.07</v>
      </c>
      <c r="N4555" s="5" t="n"/>
      <c r="O4555" s="5">
        <f>+M4555+N4555</f>
        <v/>
      </c>
      <c r="P4555" s="4" t="n">
        <v>46162</v>
      </c>
      <c r="Q4555" s="87" t="n">
        <v>46163</v>
      </c>
      <c r="R4555" s="5" t="n"/>
      <c r="S4555" s="2" t="n"/>
      <c r="T4555" s="3" t="n"/>
      <c r="U4555" s="87" t="n"/>
      <c r="V4555" s="3" t="n"/>
      <c r="W4555" s="108" t="n"/>
      <c r="X4555" s="4" t="n"/>
    </row>
    <row r="4556" ht="24" customHeight="1">
      <c r="A4556" s="2">
        <f>+D4556-S4556</f>
        <v/>
      </c>
      <c r="B4556" s="126" t="n">
        <v>6142</v>
      </c>
      <c r="C4556" s="66" t="n">
        <v>46164</v>
      </c>
      <c r="D4556" s="2" t="n">
        <v>1</v>
      </c>
      <c r="E4556" s="3" t="inlineStr">
        <is>
          <t>CARABINA</t>
        </is>
      </c>
      <c r="F4556" s="3" t="inlineStr">
        <is>
          <t>243 WIN</t>
        </is>
      </c>
      <c r="G4556" s="84" t="inlineStr">
        <is>
          <t>SABATTI</t>
        </is>
      </c>
      <c r="H4556" s="65" t="inlineStr">
        <is>
          <t>N/D</t>
        </is>
      </c>
      <c r="I4556" s="107" t="inlineStr">
        <is>
          <t>R77127</t>
        </is>
      </c>
      <c r="J4556" s="65" t="inlineStr">
        <is>
          <t>N/D</t>
        </is>
      </c>
      <c r="K4556" s="65" t="inlineStr">
        <is>
          <t>N/D</t>
        </is>
      </c>
      <c r="L4556" s="127" t="inlineStr">
        <is>
          <t>REDOLFI F.LLI SRL</t>
        </is>
      </c>
      <c r="M4556" s="5" t="n">
        <v>241.07</v>
      </c>
      <c r="N4556" s="5" t="n"/>
      <c r="O4556" s="5">
        <f>+M4556+N4556</f>
        <v/>
      </c>
      <c r="P4556" s="4" t="n">
        <v>46162</v>
      </c>
      <c r="Q4556" s="87" t="n">
        <v>46163</v>
      </c>
      <c r="R4556" s="5" t="n"/>
      <c r="S4556" s="2" t="n"/>
      <c r="T4556" s="3" t="n"/>
      <c r="U4556" s="87" t="n"/>
      <c r="V4556" s="3" t="n"/>
      <c r="W4556" s="108" t="n"/>
      <c r="X4556" s="4" t="n"/>
    </row>
    <row r="4557" ht="24" customHeight="1">
      <c r="A4557" s="2">
        <f>+D4557-S4557</f>
        <v/>
      </c>
      <c r="B4557" s="126" t="n">
        <v>6143</v>
      </c>
      <c r="C4557" s="66" t="n">
        <v>46164</v>
      </c>
      <c r="D4557" s="2" t="n">
        <v>1</v>
      </c>
      <c r="E4557" s="3" t="inlineStr">
        <is>
          <t>CARABINA</t>
        </is>
      </c>
      <c r="F4557" s="3" t="inlineStr">
        <is>
          <t>25-06 REM</t>
        </is>
      </c>
      <c r="G4557" s="84" t="inlineStr">
        <is>
          <t>SABATTI</t>
        </is>
      </c>
      <c r="H4557" s="65" t="inlineStr">
        <is>
          <t>N/D</t>
        </is>
      </c>
      <c r="I4557" s="107" t="inlineStr">
        <is>
          <t>R52013</t>
        </is>
      </c>
      <c r="J4557" s="65" t="inlineStr">
        <is>
          <t>N/D</t>
        </is>
      </c>
      <c r="K4557" s="65" t="inlineStr">
        <is>
          <t>N/D</t>
        </is>
      </c>
      <c r="L4557" s="127" t="inlineStr">
        <is>
          <t>REDOLFI F.LLI SRL</t>
        </is>
      </c>
      <c r="M4557" s="5" t="n">
        <v>241.07</v>
      </c>
      <c r="N4557" s="5" t="n"/>
      <c r="O4557" s="5">
        <f>+M4557+N4557</f>
        <v/>
      </c>
      <c r="P4557" s="4" t="n">
        <v>46162</v>
      </c>
      <c r="Q4557" s="87" t="n">
        <v>46163</v>
      </c>
      <c r="R4557" s="5" t="n"/>
      <c r="S4557" s="2" t="n"/>
      <c r="T4557" s="3" t="n"/>
      <c r="U4557" s="87" t="n"/>
      <c r="V4557" s="3" t="n"/>
      <c r="W4557" s="108" t="n"/>
      <c r="X4557" s="4" t="n"/>
    </row>
    <row r="4558" ht="24" customHeight="1">
      <c r="A4558" s="2">
        <f>+D4558-S4558</f>
        <v/>
      </c>
      <c r="B4558" s="126" t="n">
        <v>6144</v>
      </c>
      <c r="C4558" s="66" t="n">
        <v>46164</v>
      </c>
      <c r="D4558" s="2" t="n">
        <v>1</v>
      </c>
      <c r="E4558" s="3" t="inlineStr">
        <is>
          <t>CARABINA</t>
        </is>
      </c>
      <c r="F4558" s="3" t="inlineStr">
        <is>
          <t>25-06 REM</t>
        </is>
      </c>
      <c r="G4558" s="84" t="inlineStr">
        <is>
          <t>SABATTI</t>
        </is>
      </c>
      <c r="H4558" s="65" t="inlineStr">
        <is>
          <t>N/D</t>
        </is>
      </c>
      <c r="I4558" s="107" t="inlineStr">
        <is>
          <t>R52441</t>
        </is>
      </c>
      <c r="J4558" s="65" t="inlineStr">
        <is>
          <t>N/D</t>
        </is>
      </c>
      <c r="K4558" s="65" t="inlineStr">
        <is>
          <t>N/D</t>
        </is>
      </c>
      <c r="L4558" s="127" t="inlineStr">
        <is>
          <t>REDOLFI F.LLI SRL</t>
        </is>
      </c>
      <c r="M4558" s="5" t="n">
        <v>241.07</v>
      </c>
      <c r="N4558" s="5" t="n"/>
      <c r="O4558" s="5">
        <f>+M4558+N4558</f>
        <v/>
      </c>
      <c r="P4558" s="4" t="n">
        <v>46162</v>
      </c>
      <c r="Q4558" s="87" t="n">
        <v>46163</v>
      </c>
      <c r="R4558" s="5" t="n"/>
      <c r="S4558" s="2" t="n"/>
      <c r="T4558" s="3" t="n"/>
      <c r="U4558" s="87" t="n"/>
      <c r="V4558" s="3" t="n"/>
      <c r="W4558" s="108" t="n"/>
      <c r="X4558" s="4" t="n"/>
    </row>
    <row r="4559" ht="24" customHeight="1">
      <c r="A4559" s="2">
        <f>+D4559-S4559</f>
        <v/>
      </c>
      <c r="B4559" s="126" t="n">
        <v>6145</v>
      </c>
      <c r="C4559" s="66" t="n">
        <v>46164</v>
      </c>
      <c r="D4559" s="2" t="n">
        <v>1</v>
      </c>
      <c r="E4559" s="3" t="inlineStr">
        <is>
          <t>CARABINA</t>
        </is>
      </c>
      <c r="F4559" s="3" t="inlineStr">
        <is>
          <t>25-06 REM</t>
        </is>
      </c>
      <c r="G4559" s="84" t="inlineStr">
        <is>
          <t>SABATTI</t>
        </is>
      </c>
      <c r="H4559" s="65" t="inlineStr">
        <is>
          <t>N/D</t>
        </is>
      </c>
      <c r="I4559" s="107" t="inlineStr">
        <is>
          <t>R58384</t>
        </is>
      </c>
      <c r="J4559" s="65" t="inlineStr">
        <is>
          <t>N/D</t>
        </is>
      </c>
      <c r="K4559" s="65" t="inlineStr">
        <is>
          <t>N/D</t>
        </is>
      </c>
      <c r="L4559" s="127" t="inlineStr">
        <is>
          <t>REDOLFI F.LLI SRL</t>
        </is>
      </c>
      <c r="M4559" s="5" t="n">
        <v>241.07</v>
      </c>
      <c r="N4559" s="5" t="n"/>
      <c r="O4559" s="5">
        <f>+M4559+N4559</f>
        <v/>
      </c>
      <c r="P4559" s="4" t="n">
        <v>46162</v>
      </c>
      <c r="Q4559" s="87" t="n">
        <v>46163</v>
      </c>
      <c r="R4559" s="5" t="n"/>
      <c r="S4559" s="2" t="n"/>
      <c r="T4559" s="3" t="n"/>
      <c r="U4559" s="87" t="n"/>
      <c r="V4559" s="3" t="n"/>
      <c r="W4559" s="108" t="n"/>
      <c r="X4559" s="4" t="n"/>
    </row>
    <row r="4560" ht="24" customHeight="1">
      <c r="A4560" s="2">
        <f>+D4560-S4560</f>
        <v/>
      </c>
      <c r="B4560" s="126" t="n">
        <v>6146</v>
      </c>
      <c r="C4560" s="66" t="n">
        <v>46164</v>
      </c>
      <c r="D4560" s="2" t="n">
        <v>1</v>
      </c>
      <c r="E4560" s="3" t="inlineStr">
        <is>
          <t>CARABINA</t>
        </is>
      </c>
      <c r="F4560" s="3" t="inlineStr">
        <is>
          <t>25-06 REM</t>
        </is>
      </c>
      <c r="G4560" s="84" t="inlineStr">
        <is>
          <t>SABATTI</t>
        </is>
      </c>
      <c r="H4560" s="65" t="inlineStr">
        <is>
          <t>N/D</t>
        </is>
      </c>
      <c r="I4560" s="107" t="inlineStr">
        <is>
          <t>R58385</t>
        </is>
      </c>
      <c r="J4560" s="65" t="inlineStr">
        <is>
          <t>N/D</t>
        </is>
      </c>
      <c r="K4560" s="65" t="inlineStr">
        <is>
          <t>N/D</t>
        </is>
      </c>
      <c r="L4560" s="127" t="inlineStr">
        <is>
          <t>REDOLFI F.LLI SRL</t>
        </is>
      </c>
      <c r="M4560" s="5" t="n">
        <v>241.07</v>
      </c>
      <c r="N4560" s="5" t="n"/>
      <c r="O4560" s="5">
        <f>+M4560+N4560</f>
        <v/>
      </c>
      <c r="P4560" s="4" t="n">
        <v>46162</v>
      </c>
      <c r="Q4560" s="87" t="n">
        <v>46163</v>
      </c>
      <c r="R4560" s="5" t="n"/>
      <c r="S4560" s="2" t="n"/>
      <c r="T4560" s="3" t="n"/>
      <c r="U4560" s="87" t="n"/>
      <c r="V4560" s="3" t="n"/>
      <c r="W4560" s="108" t="n"/>
      <c r="X4560" s="4" t="n"/>
    </row>
    <row r="4561" ht="24" customHeight="1">
      <c r="A4561" s="2">
        <f>+D4561-S4561</f>
        <v/>
      </c>
      <c r="B4561" s="126" t="n">
        <v>6147</v>
      </c>
      <c r="C4561" s="66" t="n">
        <v>46164</v>
      </c>
      <c r="D4561" s="2" t="n">
        <v>1</v>
      </c>
      <c r="E4561" s="3" t="inlineStr">
        <is>
          <t>CARABINA</t>
        </is>
      </c>
      <c r="F4561" s="3" t="inlineStr">
        <is>
          <t>25-06 REM</t>
        </is>
      </c>
      <c r="G4561" s="84" t="inlineStr">
        <is>
          <t>SABATTI</t>
        </is>
      </c>
      <c r="H4561" s="65" t="inlineStr">
        <is>
          <t>N/D</t>
        </is>
      </c>
      <c r="I4561" s="107" t="inlineStr">
        <is>
          <t>R58393</t>
        </is>
      </c>
      <c r="J4561" s="65" t="inlineStr">
        <is>
          <t>N/D</t>
        </is>
      </c>
      <c r="K4561" s="65" t="inlineStr">
        <is>
          <t>N/D</t>
        </is>
      </c>
      <c r="L4561" s="127" t="inlineStr">
        <is>
          <t>REDOLFI F.LLI SRL</t>
        </is>
      </c>
      <c r="M4561" s="5" t="n">
        <v>241.07</v>
      </c>
      <c r="N4561" s="5" t="n"/>
      <c r="O4561" s="5">
        <f>+M4561+N4561</f>
        <v/>
      </c>
      <c r="P4561" s="4" t="n">
        <v>46162</v>
      </c>
      <c r="Q4561" s="87" t="n">
        <v>46163</v>
      </c>
      <c r="R4561" s="5" t="n"/>
      <c r="S4561" s="2" t="n"/>
      <c r="T4561" s="3" t="n"/>
      <c r="U4561" s="87" t="n"/>
      <c r="V4561" s="3" t="n"/>
      <c r="W4561" s="108" t="n"/>
      <c r="X4561" s="4" t="n"/>
    </row>
    <row r="4562" ht="24" customHeight="1">
      <c r="A4562" s="2">
        <f>+D4562-S4562</f>
        <v/>
      </c>
      <c r="B4562" s="126" t="n">
        <v>6148</v>
      </c>
      <c r="C4562" s="66" t="n">
        <v>46164</v>
      </c>
      <c r="D4562" s="2" t="n">
        <v>1</v>
      </c>
      <c r="E4562" s="3" t="inlineStr">
        <is>
          <t>CARABINA</t>
        </is>
      </c>
      <c r="F4562" s="3" t="inlineStr">
        <is>
          <t>25-06 REM</t>
        </is>
      </c>
      <c r="G4562" s="84" t="inlineStr">
        <is>
          <t>SABATTI</t>
        </is>
      </c>
      <c r="H4562" s="65" t="inlineStr">
        <is>
          <t>N/D</t>
        </is>
      </c>
      <c r="I4562" s="107" t="inlineStr">
        <is>
          <t>R58395</t>
        </is>
      </c>
      <c r="J4562" s="65" t="inlineStr">
        <is>
          <t>N/D</t>
        </is>
      </c>
      <c r="K4562" s="65" t="inlineStr">
        <is>
          <t>N/D</t>
        </is>
      </c>
      <c r="L4562" s="127" t="inlineStr">
        <is>
          <t>REDOLFI F.LLI SRL</t>
        </is>
      </c>
      <c r="M4562" s="5" t="n">
        <v>241.07</v>
      </c>
      <c r="N4562" s="5" t="n"/>
      <c r="O4562" s="5">
        <f>+M4562+N4562</f>
        <v/>
      </c>
      <c r="P4562" s="4" t="n">
        <v>46162</v>
      </c>
      <c r="Q4562" s="87" t="n">
        <v>46163</v>
      </c>
      <c r="R4562" s="5" t="n"/>
      <c r="S4562" s="2" t="n"/>
      <c r="T4562" s="3" t="n"/>
      <c r="U4562" s="87" t="n"/>
      <c r="V4562" s="3" t="n"/>
      <c r="W4562" s="108" t="n"/>
      <c r="X4562" s="4" t="n"/>
    </row>
    <row r="4563" ht="24" customHeight="1">
      <c r="A4563" s="2">
        <f>+D4563-S4563</f>
        <v/>
      </c>
      <c r="B4563" s="126" t="n">
        <v>6149</v>
      </c>
      <c r="C4563" s="66" t="n">
        <v>46164</v>
      </c>
      <c r="D4563" s="2" t="n">
        <v>1</v>
      </c>
      <c r="E4563" s="3" t="inlineStr">
        <is>
          <t>CARABINA</t>
        </is>
      </c>
      <c r="F4563" s="3" t="inlineStr">
        <is>
          <t>222 REM</t>
        </is>
      </c>
      <c r="G4563" s="84" t="inlineStr">
        <is>
          <t>SABATTI</t>
        </is>
      </c>
      <c r="H4563" s="65" t="inlineStr">
        <is>
          <t>N/D</t>
        </is>
      </c>
      <c r="I4563" s="107" t="inlineStr">
        <is>
          <t>R58142</t>
        </is>
      </c>
      <c r="J4563" s="65" t="inlineStr">
        <is>
          <t>N/D</t>
        </is>
      </c>
      <c r="K4563" s="65" t="inlineStr">
        <is>
          <t>N/D</t>
        </is>
      </c>
      <c r="L4563" s="127" t="inlineStr">
        <is>
          <t>REDOLFI F.LLI SRL</t>
        </is>
      </c>
      <c r="M4563" s="5" t="n">
        <v>241.07</v>
      </c>
      <c r="N4563" s="5" t="n"/>
      <c r="O4563" s="5">
        <f>+M4563+N4563</f>
        <v/>
      </c>
      <c r="P4563" s="4" t="n">
        <v>46162</v>
      </c>
      <c r="Q4563" s="87" t="n">
        <v>46163</v>
      </c>
      <c r="R4563" s="5" t="n"/>
      <c r="S4563" s="2" t="n"/>
      <c r="T4563" s="3" t="n"/>
      <c r="U4563" s="87" t="n"/>
      <c r="V4563" s="3" t="n"/>
      <c r="W4563" s="108" t="n"/>
      <c r="X4563" s="4" t="n"/>
    </row>
    <row r="4564" ht="24" customHeight="1">
      <c r="A4564" s="2">
        <f>+D4564-S4564</f>
        <v/>
      </c>
      <c r="B4564" s="126" t="n">
        <v>6150</v>
      </c>
      <c r="C4564" s="66" t="n">
        <v>46164</v>
      </c>
      <c r="D4564" s="2" t="n">
        <v>1</v>
      </c>
      <c r="E4564" s="3" t="inlineStr">
        <is>
          <t>CARABINA</t>
        </is>
      </c>
      <c r="F4564" s="3" t="inlineStr">
        <is>
          <t>308 WIN</t>
        </is>
      </c>
      <c r="G4564" s="84" t="inlineStr">
        <is>
          <t>SABATTI</t>
        </is>
      </c>
      <c r="H4564" s="65" t="inlineStr">
        <is>
          <t>N/D</t>
        </is>
      </c>
      <c r="I4564" s="107" t="inlineStr">
        <is>
          <t>R48105</t>
        </is>
      </c>
      <c r="J4564" s="65" t="inlineStr">
        <is>
          <t>N/D</t>
        </is>
      </c>
      <c r="K4564" s="65" t="inlineStr">
        <is>
          <t>N/D</t>
        </is>
      </c>
      <c r="L4564" s="127" t="inlineStr">
        <is>
          <t>REDOLFI F.LLI SRL</t>
        </is>
      </c>
      <c r="M4564" s="5" t="n">
        <v>241.07</v>
      </c>
      <c r="N4564" s="5" t="n"/>
      <c r="O4564" s="5">
        <f>+M4564+N4564</f>
        <v/>
      </c>
      <c r="P4564" s="4" t="n">
        <v>46162</v>
      </c>
      <c r="Q4564" s="87" t="n">
        <v>46163</v>
      </c>
      <c r="R4564" s="5" t="n"/>
      <c r="S4564" s="2" t="n"/>
      <c r="T4564" s="3" t="n"/>
      <c r="U4564" s="87" t="n"/>
      <c r="V4564" s="3" t="n"/>
      <c r="W4564" s="108" t="n"/>
      <c r="X4564" s="4" t="n"/>
    </row>
    <row r="4565" ht="24" customHeight="1">
      <c r="A4565" s="2">
        <f>+D4565-S4565</f>
        <v/>
      </c>
      <c r="B4565" s="126" t="n">
        <v>6151</v>
      </c>
      <c r="C4565" s="66" t="n">
        <v>46164</v>
      </c>
      <c r="D4565" s="2" t="n">
        <v>1</v>
      </c>
      <c r="E4565" s="3" t="inlineStr">
        <is>
          <t>CARABINA</t>
        </is>
      </c>
      <c r="F4565" s="3" t="inlineStr">
        <is>
          <t>308 WIN</t>
        </is>
      </c>
      <c r="G4565" s="84" t="inlineStr">
        <is>
          <t>SABATTI</t>
        </is>
      </c>
      <c r="H4565" s="65" t="inlineStr">
        <is>
          <t>N/D</t>
        </is>
      </c>
      <c r="I4565" s="107" t="inlineStr">
        <is>
          <t>R68776</t>
        </is>
      </c>
      <c r="J4565" s="65" t="inlineStr">
        <is>
          <t>N/D</t>
        </is>
      </c>
      <c r="K4565" s="65" t="inlineStr">
        <is>
          <t>N/D</t>
        </is>
      </c>
      <c r="L4565" s="127" t="inlineStr">
        <is>
          <t>REDOLFI F.LLI SRL</t>
        </is>
      </c>
      <c r="M4565" s="5" t="n">
        <v>241.07</v>
      </c>
      <c r="N4565" s="5" t="n"/>
      <c r="O4565" s="5">
        <f>+M4565+N4565</f>
        <v/>
      </c>
      <c r="P4565" s="4" t="n">
        <v>46162</v>
      </c>
      <c r="Q4565" s="87" t="n">
        <v>46163</v>
      </c>
      <c r="R4565" s="5" t="n"/>
      <c r="S4565" s="2" t="n"/>
      <c r="T4565" s="3" t="n"/>
      <c r="U4565" s="87" t="n"/>
      <c r="V4565" s="3" t="n"/>
      <c r="W4565" s="108" t="n"/>
      <c r="X4565" s="4" t="n"/>
    </row>
    <row r="4566" ht="24" customHeight="1">
      <c r="A4566" s="2">
        <f>+D4566-S4566</f>
        <v/>
      </c>
      <c r="B4566" s="126" t="n">
        <v>6152</v>
      </c>
      <c r="C4566" s="66" t="n">
        <v>46164</v>
      </c>
      <c r="D4566" s="2" t="n">
        <v>1</v>
      </c>
      <c r="E4566" s="3" t="inlineStr">
        <is>
          <t>CARABINA</t>
        </is>
      </c>
      <c r="F4566" s="3" t="inlineStr">
        <is>
          <t>300 WIN</t>
        </is>
      </c>
      <c r="G4566" s="84" t="inlineStr">
        <is>
          <t>SABATTI</t>
        </is>
      </c>
      <c r="H4566" s="65" t="inlineStr">
        <is>
          <t>N/D</t>
        </is>
      </c>
      <c r="I4566" s="107" t="inlineStr">
        <is>
          <t>R58372</t>
        </is>
      </c>
      <c r="J4566" s="65" t="inlineStr">
        <is>
          <t>N/D</t>
        </is>
      </c>
      <c r="K4566" s="65" t="inlineStr">
        <is>
          <t>N/D</t>
        </is>
      </c>
      <c r="L4566" s="127" t="inlineStr">
        <is>
          <t>REDOLFI F.LLI SRL</t>
        </is>
      </c>
      <c r="M4566" s="5" t="n">
        <v>241.07</v>
      </c>
      <c r="N4566" s="5" t="n"/>
      <c r="O4566" s="5">
        <f>+M4566+N4566</f>
        <v/>
      </c>
      <c r="P4566" s="4" t="n">
        <v>46162</v>
      </c>
      <c r="Q4566" s="87" t="n">
        <v>46163</v>
      </c>
      <c r="R4566" s="5" t="n"/>
      <c r="S4566" s="2" t="n"/>
      <c r="T4566" s="3" t="n"/>
      <c r="U4566" s="87" t="n"/>
      <c r="V4566" s="3" t="n"/>
      <c r="W4566" s="108" t="n"/>
      <c r="X4566" s="4" t="n"/>
    </row>
    <row r="4567" ht="24" customHeight="1">
      <c r="A4567" s="2">
        <f>+D4567-S4567</f>
        <v/>
      </c>
      <c r="B4567" s="126" t="n">
        <v>6153</v>
      </c>
      <c r="C4567" s="66" t="n">
        <v>46164</v>
      </c>
      <c r="D4567" s="2" t="n">
        <v>1</v>
      </c>
      <c r="E4567" s="3" t="inlineStr">
        <is>
          <t>CARABINA</t>
        </is>
      </c>
      <c r="F4567" s="3" t="inlineStr">
        <is>
          <t>300 WIN</t>
        </is>
      </c>
      <c r="G4567" s="84" t="inlineStr">
        <is>
          <t>SABATTI</t>
        </is>
      </c>
      <c r="H4567" s="65" t="inlineStr">
        <is>
          <t>N/D</t>
        </is>
      </c>
      <c r="I4567" s="103" t="inlineStr">
        <is>
          <t>R58457</t>
        </is>
      </c>
      <c r="J4567" s="65" t="inlineStr">
        <is>
          <t>N/D</t>
        </is>
      </c>
      <c r="K4567" s="65" t="inlineStr">
        <is>
          <t>N/D</t>
        </is>
      </c>
      <c r="L4567" s="127" t="inlineStr">
        <is>
          <t>REDOLFI F.LLI SRL</t>
        </is>
      </c>
      <c r="M4567" s="5" t="n">
        <v>241.07</v>
      </c>
      <c r="N4567" s="5" t="n"/>
      <c r="O4567" s="5">
        <f>+M4567+N4567</f>
        <v/>
      </c>
      <c r="P4567" s="4" t="n">
        <v>46162</v>
      </c>
      <c r="Q4567" s="87" t="n">
        <v>46163</v>
      </c>
      <c r="R4567" s="5" t="n"/>
      <c r="S4567" s="2" t="n"/>
      <c r="T4567" s="3" t="n"/>
      <c r="U4567" s="87" t="n"/>
      <c r="V4567" s="3" t="n"/>
      <c r="W4567" s="108" t="n"/>
      <c r="X4567" s="4" t="n"/>
    </row>
    <row r="4568" ht="24" customHeight="1">
      <c r="A4568" s="2">
        <f>+D4568-S4568</f>
        <v/>
      </c>
      <c r="B4568" s="126" t="n">
        <v>6154</v>
      </c>
      <c r="C4568" s="66" t="n">
        <v>46164</v>
      </c>
      <c r="D4568" s="2" t="n">
        <v>1</v>
      </c>
      <c r="E4568" s="3" t="inlineStr">
        <is>
          <t>CARABINA</t>
        </is>
      </c>
      <c r="F4568" s="3" t="inlineStr">
        <is>
          <t>300 WIN</t>
        </is>
      </c>
      <c r="G4568" s="84" t="inlineStr">
        <is>
          <t>SABATTI</t>
        </is>
      </c>
      <c r="H4568" s="65" t="inlineStr">
        <is>
          <t>N/D</t>
        </is>
      </c>
      <c r="I4568" s="107" t="inlineStr">
        <is>
          <t>R62489</t>
        </is>
      </c>
      <c r="J4568" s="65" t="inlineStr">
        <is>
          <t>N/D</t>
        </is>
      </c>
      <c r="K4568" s="65" t="inlineStr">
        <is>
          <t>N/D</t>
        </is>
      </c>
      <c r="L4568" s="127" t="inlineStr">
        <is>
          <t>REDOLFI F.LLI SRL</t>
        </is>
      </c>
      <c r="M4568" s="5" t="n">
        <v>241.07</v>
      </c>
      <c r="N4568" s="5" t="n"/>
      <c r="O4568" s="5">
        <f>+M4568+N4568</f>
        <v/>
      </c>
      <c r="P4568" s="4" t="n">
        <v>46162</v>
      </c>
      <c r="Q4568" s="87" t="n">
        <v>46163</v>
      </c>
      <c r="R4568" s="5" t="n"/>
      <c r="S4568" s="2" t="n"/>
      <c r="T4568" s="3" t="n"/>
      <c r="U4568" s="87" t="n"/>
      <c r="V4568" s="3" t="n"/>
      <c r="W4568" s="108" t="n"/>
      <c r="X4568" s="4" t="n"/>
    </row>
    <row r="4569" ht="24" customHeight="1">
      <c r="A4569" s="2">
        <f>+D4569-S4569</f>
        <v/>
      </c>
      <c r="B4569" s="126" t="n">
        <v>6155</v>
      </c>
      <c r="C4569" s="66" t="n">
        <v>46164</v>
      </c>
      <c r="D4569" s="2" t="n">
        <v>1</v>
      </c>
      <c r="E4569" s="3" t="inlineStr">
        <is>
          <t>CARABINA</t>
        </is>
      </c>
      <c r="F4569" s="3" t="inlineStr">
        <is>
          <t>300 WIN</t>
        </is>
      </c>
      <c r="G4569" s="84" t="inlineStr">
        <is>
          <t>SABATTI</t>
        </is>
      </c>
      <c r="H4569" s="65" t="inlineStr">
        <is>
          <t>N/D</t>
        </is>
      </c>
      <c r="I4569" s="107" t="inlineStr">
        <is>
          <t>R62501</t>
        </is>
      </c>
      <c r="J4569" s="65" t="inlineStr">
        <is>
          <t>N/D</t>
        </is>
      </c>
      <c r="K4569" s="65" t="inlineStr">
        <is>
          <t>N/D</t>
        </is>
      </c>
      <c r="L4569" s="127" t="inlineStr">
        <is>
          <t>REDOLFI F.LLI SRL</t>
        </is>
      </c>
      <c r="M4569" s="5" t="n">
        <v>241.07</v>
      </c>
      <c r="N4569" s="5" t="n"/>
      <c r="O4569" s="5">
        <f>+M4569+N4569</f>
        <v/>
      </c>
      <c r="P4569" s="4" t="n">
        <v>46162</v>
      </c>
      <c r="Q4569" s="87" t="n">
        <v>46163</v>
      </c>
      <c r="R4569" s="5" t="n"/>
      <c r="S4569" s="2" t="n"/>
      <c r="T4569" s="3" t="n"/>
      <c r="U4569" s="87" t="n"/>
      <c r="V4569" s="3" t="n"/>
      <c r="W4569" s="108" t="n"/>
      <c r="X4569" s="4" t="n"/>
    </row>
    <row r="4570" ht="24" customHeight="1">
      <c r="A4570" s="2">
        <f>+D4570-S4570</f>
        <v/>
      </c>
      <c r="B4570" s="126" t="n">
        <v>6156</v>
      </c>
      <c r="C4570" s="66" t="n">
        <v>46164</v>
      </c>
      <c r="D4570" s="2" t="n">
        <v>1</v>
      </c>
      <c r="E4570" s="3" t="inlineStr">
        <is>
          <t>CARABINA</t>
        </is>
      </c>
      <c r="F4570" s="3" t="inlineStr">
        <is>
          <t>300 WIN</t>
        </is>
      </c>
      <c r="G4570" s="84" t="inlineStr">
        <is>
          <t>SABATTI</t>
        </is>
      </c>
      <c r="H4570" s="65" t="inlineStr">
        <is>
          <t>N/D</t>
        </is>
      </c>
      <c r="I4570" s="107" t="inlineStr">
        <is>
          <t>R62505</t>
        </is>
      </c>
      <c r="J4570" s="65" t="inlineStr">
        <is>
          <t>N/D</t>
        </is>
      </c>
      <c r="K4570" s="65" t="inlineStr">
        <is>
          <t>N/D</t>
        </is>
      </c>
      <c r="L4570" s="127" t="inlineStr">
        <is>
          <t>REDOLFI F.LLI SRL</t>
        </is>
      </c>
      <c r="M4570" s="5" t="n">
        <v>241.07</v>
      </c>
      <c r="N4570" s="5" t="n"/>
      <c r="O4570" s="5">
        <f>+M4570+N4570</f>
        <v/>
      </c>
      <c r="P4570" s="4" t="n">
        <v>46162</v>
      </c>
      <c r="Q4570" s="87" t="n">
        <v>46163</v>
      </c>
      <c r="R4570" s="5" t="n"/>
      <c r="S4570" s="2" t="n"/>
      <c r="T4570" s="3" t="n"/>
      <c r="U4570" s="87" t="n"/>
      <c r="V4570" s="3" t="n"/>
      <c r="W4570" s="108" t="n"/>
      <c r="X4570" s="4" t="n"/>
    </row>
    <row r="4571" ht="24" customHeight="1">
      <c r="A4571" s="2">
        <f>+D4571-S4571</f>
        <v/>
      </c>
      <c r="B4571" s="126" t="n">
        <v>6157</v>
      </c>
      <c r="C4571" s="66" t="n">
        <v>46164</v>
      </c>
      <c r="D4571" s="2" t="n">
        <v>1</v>
      </c>
      <c r="E4571" s="3" t="inlineStr">
        <is>
          <t>CARABINA</t>
        </is>
      </c>
      <c r="F4571" s="3" t="inlineStr">
        <is>
          <t>300 WIN</t>
        </is>
      </c>
      <c r="G4571" s="84" t="inlineStr">
        <is>
          <t>SABATTI</t>
        </is>
      </c>
      <c r="H4571" s="65" t="inlineStr">
        <is>
          <t>N/D</t>
        </is>
      </c>
      <c r="I4571" s="107" t="inlineStr">
        <is>
          <t>R74866</t>
        </is>
      </c>
      <c r="J4571" s="65" t="inlineStr">
        <is>
          <t>N/D</t>
        </is>
      </c>
      <c r="K4571" s="65" t="inlineStr">
        <is>
          <t>N/D</t>
        </is>
      </c>
      <c r="L4571" s="127" t="inlineStr">
        <is>
          <t>REDOLFI F.LLI SRL</t>
        </is>
      </c>
      <c r="M4571" s="5" t="n">
        <v>241.07</v>
      </c>
      <c r="N4571" s="5" t="n"/>
      <c r="O4571" s="5">
        <f>+M4571+N4571</f>
        <v/>
      </c>
      <c r="P4571" s="4" t="n">
        <v>46162</v>
      </c>
      <c r="Q4571" s="87" t="n">
        <v>46163</v>
      </c>
      <c r="R4571" s="5" t="n"/>
      <c r="S4571" s="2" t="n"/>
      <c r="T4571" s="3" t="n"/>
      <c r="U4571" s="87" t="n"/>
      <c r="V4571" s="3" t="n"/>
      <c r="W4571" s="108" t="n"/>
      <c r="X4571" s="4" t="n"/>
    </row>
    <row r="4572" ht="24" customHeight="1">
      <c r="A4572" s="2">
        <f>+D4572-S4572</f>
        <v/>
      </c>
      <c r="B4572" s="126" t="n">
        <v>6158</v>
      </c>
      <c r="C4572" s="66" t="n">
        <v>46164</v>
      </c>
      <c r="D4572" s="2" t="n">
        <v>1</v>
      </c>
      <c r="E4572" s="3" t="inlineStr">
        <is>
          <t>CARABINA</t>
        </is>
      </c>
      <c r="F4572" s="3" t="inlineStr">
        <is>
          <t>300 WIN</t>
        </is>
      </c>
      <c r="G4572" s="84" t="inlineStr">
        <is>
          <t>SABATTI</t>
        </is>
      </c>
      <c r="H4572" s="65" t="inlineStr">
        <is>
          <t>N/D</t>
        </is>
      </c>
      <c r="I4572" s="107" t="inlineStr">
        <is>
          <t>R77398</t>
        </is>
      </c>
      <c r="J4572" s="65" t="inlineStr">
        <is>
          <t>N/D</t>
        </is>
      </c>
      <c r="K4572" s="65" t="inlineStr">
        <is>
          <t>N/D</t>
        </is>
      </c>
      <c r="L4572" s="127" t="inlineStr">
        <is>
          <t>REDOLFI F.LLI SRL</t>
        </is>
      </c>
      <c r="M4572" s="5" t="n">
        <v>241.07</v>
      </c>
      <c r="N4572" s="5" t="n"/>
      <c r="O4572" s="5">
        <f>+M4572+N4572</f>
        <v/>
      </c>
      <c r="P4572" s="4" t="n">
        <v>46162</v>
      </c>
      <c r="Q4572" s="87" t="n">
        <v>46163</v>
      </c>
      <c r="R4572" s="5" t="n"/>
      <c r="S4572" s="2" t="n"/>
      <c r="T4572" s="3" t="n"/>
      <c r="U4572" s="87" t="n"/>
      <c r="V4572" s="3" t="n"/>
      <c r="W4572" s="108" t="n"/>
      <c r="X4572" s="4" t="n"/>
    </row>
    <row r="4573" ht="24" customHeight="1">
      <c r="A4573" s="2">
        <f>+D4573-S4573</f>
        <v/>
      </c>
      <c r="B4573" s="126" t="n">
        <v>6159</v>
      </c>
      <c r="C4573" s="66" t="n">
        <v>46164</v>
      </c>
      <c r="D4573" s="2" t="n">
        <v>1</v>
      </c>
      <c r="E4573" s="3" t="inlineStr">
        <is>
          <t>CARABINA</t>
        </is>
      </c>
      <c r="F4573" s="3" t="inlineStr">
        <is>
          <t>318 WIN</t>
        </is>
      </c>
      <c r="G4573" s="84" t="inlineStr">
        <is>
          <t>SABATTI</t>
        </is>
      </c>
      <c r="H4573" s="65" t="inlineStr">
        <is>
          <t>N/D</t>
        </is>
      </c>
      <c r="I4573" s="107" t="inlineStr">
        <is>
          <t>R74918</t>
        </is>
      </c>
      <c r="J4573" s="65" t="inlineStr">
        <is>
          <t>N/D</t>
        </is>
      </c>
      <c r="K4573" s="65" t="inlineStr">
        <is>
          <t>N/D</t>
        </is>
      </c>
      <c r="L4573" s="127" t="inlineStr">
        <is>
          <t>REDOLFI F.LLI SRL</t>
        </is>
      </c>
      <c r="M4573" s="5" t="n">
        <v>241.07</v>
      </c>
      <c r="N4573" s="5" t="n"/>
      <c r="O4573" s="5">
        <f>+M4573+N4573</f>
        <v/>
      </c>
      <c r="P4573" s="4" t="n">
        <v>46162</v>
      </c>
      <c r="Q4573" s="87" t="n">
        <v>46163</v>
      </c>
      <c r="R4573" s="5" t="n"/>
      <c r="S4573" s="2" t="n"/>
      <c r="T4573" s="3" t="n"/>
      <c r="U4573" s="87" t="n"/>
      <c r="V4573" s="3" t="n"/>
      <c r="W4573" s="108" t="n"/>
      <c r="X4573" s="4" t="n"/>
    </row>
    <row r="4574" ht="24" customHeight="1">
      <c r="A4574" s="2">
        <f>+D4574-S4574</f>
        <v/>
      </c>
      <c r="B4574" s="126" t="n">
        <v>6160</v>
      </c>
      <c r="C4574" s="66" t="n">
        <v>46164</v>
      </c>
      <c r="D4574" s="2" t="n">
        <v>1</v>
      </c>
      <c r="E4574" s="3" t="inlineStr">
        <is>
          <t>CARABINA</t>
        </is>
      </c>
      <c r="F4574" s="3" t="inlineStr">
        <is>
          <t>318 WIN</t>
        </is>
      </c>
      <c r="G4574" s="84" t="inlineStr">
        <is>
          <t>SABATTI</t>
        </is>
      </c>
      <c r="H4574" s="65" t="inlineStr">
        <is>
          <t>N/D</t>
        </is>
      </c>
      <c r="I4574" s="107" t="inlineStr">
        <is>
          <t>R74919</t>
        </is>
      </c>
      <c r="J4574" s="65" t="inlineStr">
        <is>
          <t>N/D</t>
        </is>
      </c>
      <c r="K4574" s="65" t="inlineStr">
        <is>
          <t>N/D</t>
        </is>
      </c>
      <c r="L4574" s="127" t="inlineStr">
        <is>
          <t>REDOLFI F.LLI SRL</t>
        </is>
      </c>
      <c r="M4574" s="5" t="n">
        <v>241.07</v>
      </c>
      <c r="N4574" s="5" t="n"/>
      <c r="O4574" s="5">
        <f>+M4574+N4574</f>
        <v/>
      </c>
      <c r="P4574" s="4" t="n">
        <v>46162</v>
      </c>
      <c r="Q4574" s="87" t="n">
        <v>46163</v>
      </c>
      <c r="R4574" s="5" t="n"/>
      <c r="S4574" s="2" t="n"/>
      <c r="T4574" s="3" t="n"/>
      <c r="U4574" s="87" t="n"/>
      <c r="V4574" s="3" t="n"/>
      <c r="W4574" s="108" t="n"/>
      <c r="X4574" s="4" t="n"/>
    </row>
    <row r="4575" ht="24" customHeight="1">
      <c r="A4575" s="2">
        <f>+D4575-S4575</f>
        <v/>
      </c>
      <c r="B4575" s="126" t="n">
        <v>6161</v>
      </c>
      <c r="C4575" s="66" t="n">
        <v>46164</v>
      </c>
      <c r="D4575" s="2" t="n">
        <v>1</v>
      </c>
      <c r="E4575" s="3" t="inlineStr">
        <is>
          <t>CARABINA</t>
        </is>
      </c>
      <c r="F4575" s="3" t="inlineStr">
        <is>
          <t>318 WIN</t>
        </is>
      </c>
      <c r="G4575" s="84" t="inlineStr">
        <is>
          <t>SABATTI</t>
        </is>
      </c>
      <c r="H4575" s="65" t="inlineStr">
        <is>
          <t>N/D</t>
        </is>
      </c>
      <c r="I4575" s="107" t="inlineStr">
        <is>
          <t>R74961</t>
        </is>
      </c>
      <c r="J4575" s="65" t="inlineStr">
        <is>
          <t>N/D</t>
        </is>
      </c>
      <c r="K4575" s="65" t="inlineStr">
        <is>
          <t>N/D</t>
        </is>
      </c>
      <c r="L4575" s="127" t="inlineStr">
        <is>
          <t>REDOLFI F.LLI SRL</t>
        </is>
      </c>
      <c r="M4575" s="5" t="n">
        <v>241.07</v>
      </c>
      <c r="N4575" s="5" t="n"/>
      <c r="O4575" s="5">
        <f>+M4575+N4575</f>
        <v/>
      </c>
      <c r="P4575" s="4" t="n">
        <v>46162</v>
      </c>
      <c r="Q4575" s="87" t="n">
        <v>46163</v>
      </c>
      <c r="R4575" s="5" t="n"/>
      <c r="S4575" s="2" t="n"/>
      <c r="T4575" s="3" t="n"/>
      <c r="U4575" s="87" t="n"/>
      <c r="V4575" s="3" t="n"/>
      <c r="W4575" s="108" t="n"/>
      <c r="X4575" s="4" t="n"/>
    </row>
    <row r="4576" ht="24" customHeight="1">
      <c r="A4576" s="2">
        <f>+D4576-S4576</f>
        <v/>
      </c>
      <c r="B4576" s="126" t="n">
        <v>6162</v>
      </c>
      <c r="C4576" s="66" t="n">
        <v>46164</v>
      </c>
      <c r="D4576" s="2" t="n">
        <v>1</v>
      </c>
      <c r="E4576" s="3" t="inlineStr">
        <is>
          <t>CARABINA</t>
        </is>
      </c>
      <c r="F4576" s="3" t="inlineStr">
        <is>
          <t>318 WIN</t>
        </is>
      </c>
      <c r="G4576" s="84" t="inlineStr">
        <is>
          <t>SABATTI</t>
        </is>
      </c>
      <c r="H4576" s="65" t="inlineStr">
        <is>
          <t>N/D</t>
        </is>
      </c>
      <c r="I4576" s="107" t="inlineStr">
        <is>
          <t>R74962</t>
        </is>
      </c>
      <c r="J4576" s="65" t="inlineStr">
        <is>
          <t>N/D</t>
        </is>
      </c>
      <c r="K4576" s="65" t="inlineStr">
        <is>
          <t>N/D</t>
        </is>
      </c>
      <c r="L4576" s="127" t="inlineStr">
        <is>
          <t>REDOLFI F.LLI SRL</t>
        </is>
      </c>
      <c r="M4576" s="5" t="n">
        <v>241.07</v>
      </c>
      <c r="N4576" s="5" t="n"/>
      <c r="O4576" s="5">
        <f>+M4576+N4576</f>
        <v/>
      </c>
      <c r="P4576" s="4" t="n">
        <v>46162</v>
      </c>
      <c r="Q4576" s="87" t="n">
        <v>46163</v>
      </c>
      <c r="R4576" s="5" t="n"/>
      <c r="S4576" s="2" t="n"/>
      <c r="T4576" s="3" t="n"/>
      <c r="U4576" s="87" t="n"/>
      <c r="V4576" s="3" t="n"/>
      <c r="W4576" s="108" t="n"/>
      <c r="X4576" s="4" t="n"/>
    </row>
    <row r="4577" ht="24" customHeight="1">
      <c r="A4577" s="2">
        <f>+D4577-S4577</f>
        <v/>
      </c>
      <c r="B4577" s="126" t="n">
        <v>6163</v>
      </c>
      <c r="C4577" s="66" t="n">
        <v>46164</v>
      </c>
      <c r="D4577" s="2" t="n">
        <v>1</v>
      </c>
      <c r="E4577" s="3" t="inlineStr">
        <is>
          <t>CARABINA</t>
        </is>
      </c>
      <c r="F4577" s="3" t="inlineStr">
        <is>
          <t>318 WIN</t>
        </is>
      </c>
      <c r="G4577" s="84" t="inlineStr">
        <is>
          <t>SABATTI</t>
        </is>
      </c>
      <c r="H4577" s="65" t="inlineStr">
        <is>
          <t>N/D</t>
        </is>
      </c>
      <c r="I4577" s="107" t="inlineStr">
        <is>
          <t>R74963</t>
        </is>
      </c>
      <c r="J4577" s="65" t="inlineStr">
        <is>
          <t>N/D</t>
        </is>
      </c>
      <c r="K4577" s="65" t="inlineStr">
        <is>
          <t>N/D</t>
        </is>
      </c>
      <c r="L4577" s="127" t="inlineStr">
        <is>
          <t>REDOLFI F.LLI SRL</t>
        </is>
      </c>
      <c r="M4577" s="5" t="n">
        <v>241.07</v>
      </c>
      <c r="N4577" s="5" t="n"/>
      <c r="O4577" s="5">
        <f>+M4577+N4577</f>
        <v/>
      </c>
      <c r="P4577" s="4" t="n">
        <v>46162</v>
      </c>
      <c r="Q4577" s="87" t="n">
        <v>46163</v>
      </c>
      <c r="R4577" s="5" t="n"/>
      <c r="S4577" s="2" t="n"/>
      <c r="T4577" s="3" t="n"/>
      <c r="U4577" s="87" t="n"/>
      <c r="V4577" s="3" t="n"/>
      <c r="W4577" s="108" t="n"/>
      <c r="X4577" s="4" t="n"/>
    </row>
    <row r="4578" ht="24" customHeight="1">
      <c r="A4578" s="2">
        <f>+D4578-S4578</f>
        <v/>
      </c>
      <c r="B4578" s="126" t="n">
        <v>6164</v>
      </c>
      <c r="C4578" s="66" t="n">
        <v>46164</v>
      </c>
      <c r="D4578" s="2" t="n">
        <v>1</v>
      </c>
      <c r="E4578" s="3" t="inlineStr">
        <is>
          <t>CARABINA</t>
        </is>
      </c>
      <c r="F4578" s="3" t="inlineStr">
        <is>
          <t>6.5X55</t>
        </is>
      </c>
      <c r="G4578" s="84" t="inlineStr">
        <is>
          <t>SABATTI</t>
        </is>
      </c>
      <c r="H4578" s="65" t="inlineStr">
        <is>
          <t>N/D</t>
        </is>
      </c>
      <c r="I4578" s="107" t="inlineStr">
        <is>
          <t>R62927</t>
        </is>
      </c>
      <c r="J4578" s="65" t="inlineStr">
        <is>
          <t>N/D</t>
        </is>
      </c>
      <c r="K4578" s="65" t="inlineStr">
        <is>
          <t>N/D</t>
        </is>
      </c>
      <c r="L4578" s="127" t="inlineStr">
        <is>
          <t>REDOLFI F.LLI SRL</t>
        </is>
      </c>
      <c r="M4578" s="5" t="n">
        <v>241.07</v>
      </c>
      <c r="N4578" s="5" t="n"/>
      <c r="O4578" s="5">
        <f>+M4578+N4578</f>
        <v/>
      </c>
      <c r="P4578" s="4" t="n">
        <v>46162</v>
      </c>
      <c r="Q4578" s="87" t="n">
        <v>46163</v>
      </c>
      <c r="R4578" s="5" t="n"/>
      <c r="S4578" s="2" t="n"/>
      <c r="T4578" s="3" t="n"/>
      <c r="U4578" s="87" t="n"/>
      <c r="V4578" s="3" t="n"/>
      <c r="W4578" s="108" t="n"/>
      <c r="X4578" s="4" t="n"/>
    </row>
    <row r="4579" ht="24" customHeight="1">
      <c r="A4579" s="2">
        <f>+D4579-S4579</f>
        <v/>
      </c>
      <c r="B4579" s="126" t="n">
        <v>6165</v>
      </c>
      <c r="C4579" s="66" t="n">
        <v>46164</v>
      </c>
      <c r="D4579" s="2" t="n">
        <v>1</v>
      </c>
      <c r="E4579" s="3" t="inlineStr">
        <is>
          <t>CARABINA</t>
        </is>
      </c>
      <c r="F4579" s="3" t="inlineStr">
        <is>
          <t>6.5X55</t>
        </is>
      </c>
      <c r="G4579" s="84" t="inlineStr">
        <is>
          <t>SABATTI</t>
        </is>
      </c>
      <c r="H4579" s="65" t="inlineStr">
        <is>
          <t>N/D</t>
        </is>
      </c>
      <c r="I4579" s="107" t="inlineStr">
        <is>
          <t>R69820</t>
        </is>
      </c>
      <c r="J4579" s="65" t="inlineStr">
        <is>
          <t>N/D</t>
        </is>
      </c>
      <c r="K4579" s="65" t="inlineStr">
        <is>
          <t>N/D</t>
        </is>
      </c>
      <c r="L4579" s="127" t="inlineStr">
        <is>
          <t>REDOLFI F.LLI SRL</t>
        </is>
      </c>
      <c r="M4579" s="5" t="n">
        <v>241.07</v>
      </c>
      <c r="N4579" s="5" t="n"/>
      <c r="O4579" s="5">
        <f>+M4579+N4579</f>
        <v/>
      </c>
      <c r="P4579" s="4" t="n">
        <v>46162</v>
      </c>
      <c r="Q4579" s="87" t="n">
        <v>46163</v>
      </c>
      <c r="R4579" s="5" t="n"/>
      <c r="S4579" s="2" t="n"/>
      <c r="T4579" s="3" t="n"/>
      <c r="U4579" s="87" t="n"/>
      <c r="V4579" s="3" t="n"/>
      <c r="W4579" s="108" t="n"/>
      <c r="X4579" s="4" t="n"/>
    </row>
    <row r="4580" ht="24" customHeight="1">
      <c r="A4580" s="2">
        <f>+D4580-S4580</f>
        <v/>
      </c>
      <c r="B4580" s="126" t="n">
        <v>6166</v>
      </c>
      <c r="C4580" s="66" t="n">
        <v>46164</v>
      </c>
      <c r="D4580" s="2" t="n">
        <v>1</v>
      </c>
      <c r="E4580" s="3" t="inlineStr">
        <is>
          <t>CARABINA</t>
        </is>
      </c>
      <c r="F4580" s="3" t="inlineStr">
        <is>
          <t>6.5X55</t>
        </is>
      </c>
      <c r="G4580" s="84" t="inlineStr">
        <is>
          <t>SABATTI</t>
        </is>
      </c>
      <c r="H4580" s="65" t="inlineStr">
        <is>
          <t>N/D</t>
        </is>
      </c>
      <c r="I4580" s="107" t="inlineStr">
        <is>
          <t>R69823</t>
        </is>
      </c>
      <c r="J4580" s="65" t="inlineStr">
        <is>
          <t>N/D</t>
        </is>
      </c>
      <c r="K4580" s="65" t="inlineStr">
        <is>
          <t>N/D</t>
        </is>
      </c>
      <c r="L4580" s="127" t="inlineStr">
        <is>
          <t>REDOLFI F.LLI SRL</t>
        </is>
      </c>
      <c r="M4580" s="5" t="n">
        <v>241.07</v>
      </c>
      <c r="N4580" s="5" t="n"/>
      <c r="O4580" s="5">
        <f>+M4580+N4580</f>
        <v/>
      </c>
      <c r="P4580" s="4" t="n">
        <v>46162</v>
      </c>
      <c r="Q4580" s="87" t="n">
        <v>46163</v>
      </c>
      <c r="R4580" s="5" t="n"/>
      <c r="S4580" s="2" t="n"/>
      <c r="T4580" s="3" t="n"/>
      <c r="U4580" s="87" t="n"/>
      <c r="V4580" s="3" t="n"/>
      <c r="W4580" s="108" t="n"/>
      <c r="X4580" s="4" t="n"/>
    </row>
    <row r="4581" ht="24" customHeight="1">
      <c r="A4581" s="2">
        <f>+D4581-S4581</f>
        <v/>
      </c>
      <c r="B4581" s="126" t="n">
        <v>6167</v>
      </c>
      <c r="C4581" s="66" t="n">
        <v>46164</v>
      </c>
      <c r="D4581" s="2" t="n">
        <v>1</v>
      </c>
      <c r="E4581" s="3" t="inlineStr">
        <is>
          <t>CARABINA</t>
        </is>
      </c>
      <c r="F4581" s="3" t="inlineStr">
        <is>
          <t>6.5X55</t>
        </is>
      </c>
      <c r="G4581" s="84" t="inlineStr">
        <is>
          <t>SABATTI</t>
        </is>
      </c>
      <c r="H4581" s="65" t="inlineStr">
        <is>
          <t>N/D</t>
        </is>
      </c>
      <c r="I4581" s="107" t="inlineStr">
        <is>
          <t>R69826</t>
        </is>
      </c>
      <c r="J4581" s="65" t="inlineStr">
        <is>
          <t>N/D</t>
        </is>
      </c>
      <c r="K4581" s="65" t="inlineStr">
        <is>
          <t>N/D</t>
        </is>
      </c>
      <c r="L4581" s="127" t="inlineStr">
        <is>
          <t>REDOLFI F.LLI SRL</t>
        </is>
      </c>
      <c r="M4581" s="5" t="n">
        <v>241.07</v>
      </c>
      <c r="N4581" s="5" t="n"/>
      <c r="O4581" s="5">
        <f>+M4581+N4581</f>
        <v/>
      </c>
      <c r="P4581" s="4" t="n">
        <v>46162</v>
      </c>
      <c r="Q4581" s="87" t="n">
        <v>46163</v>
      </c>
      <c r="R4581" s="5" t="n"/>
      <c r="S4581" s="2" t="n"/>
      <c r="T4581" s="3" t="n"/>
      <c r="U4581" s="87" t="n"/>
      <c r="V4581" s="3" t="n"/>
      <c r="W4581" s="108" t="n"/>
      <c r="X4581" s="4" t="n"/>
    </row>
    <row r="4582" ht="24" customHeight="1">
      <c r="A4582" s="2">
        <f>+D4582-S4582</f>
        <v/>
      </c>
      <c r="B4582" s="126" t="n">
        <v>6168</v>
      </c>
      <c r="C4582" s="66" t="n">
        <v>46164</v>
      </c>
      <c r="D4582" s="2" t="n">
        <v>1</v>
      </c>
      <c r="E4582" s="3" t="inlineStr">
        <is>
          <t>CARABINA</t>
        </is>
      </c>
      <c r="F4582" s="3" t="inlineStr">
        <is>
          <t>6.5X55</t>
        </is>
      </c>
      <c r="G4582" s="84" t="inlineStr">
        <is>
          <t>SABATTI</t>
        </is>
      </c>
      <c r="H4582" s="65" t="inlineStr">
        <is>
          <t>N/D</t>
        </is>
      </c>
      <c r="I4582" s="107" t="inlineStr">
        <is>
          <t>R69834</t>
        </is>
      </c>
      <c r="J4582" s="65" t="inlineStr">
        <is>
          <t>N/D</t>
        </is>
      </c>
      <c r="K4582" s="65" t="inlineStr">
        <is>
          <t>N/D</t>
        </is>
      </c>
      <c r="L4582" s="127" t="inlineStr">
        <is>
          <t>REDOLFI F.LLI SRL</t>
        </is>
      </c>
      <c r="M4582" s="5" t="n">
        <v>241.07</v>
      </c>
      <c r="N4582" s="5" t="n"/>
      <c r="O4582" s="5">
        <f>+M4582+N4582</f>
        <v/>
      </c>
      <c r="P4582" s="4" t="n">
        <v>46162</v>
      </c>
      <c r="Q4582" s="87" t="n">
        <v>46163</v>
      </c>
      <c r="R4582" s="5" t="n"/>
      <c r="S4582" s="2" t="n"/>
      <c r="T4582" s="3" t="n"/>
      <c r="U4582" s="87" t="n"/>
      <c r="V4582" s="3" t="n"/>
      <c r="W4582" s="108" t="n"/>
      <c r="X4582" s="4" t="n"/>
    </row>
    <row r="4583" ht="24" customHeight="1">
      <c r="A4583" s="2">
        <f>+D4583-S4583</f>
        <v/>
      </c>
      <c r="B4583" s="126" t="n">
        <v>6169</v>
      </c>
      <c r="C4583" s="66" t="n">
        <v>46164</v>
      </c>
      <c r="D4583" s="2" t="n">
        <v>1</v>
      </c>
      <c r="E4583" s="3" t="inlineStr">
        <is>
          <t>CARABINA</t>
        </is>
      </c>
      <c r="F4583" s="3" t="inlineStr">
        <is>
          <t>6.5X55</t>
        </is>
      </c>
      <c r="G4583" s="84" t="inlineStr">
        <is>
          <t>SABATTI</t>
        </is>
      </c>
      <c r="H4583" s="65" t="inlineStr">
        <is>
          <t>N/D</t>
        </is>
      </c>
      <c r="I4583" s="107" t="inlineStr">
        <is>
          <t>R72100</t>
        </is>
      </c>
      <c r="J4583" s="65" t="inlineStr">
        <is>
          <t>N/D</t>
        </is>
      </c>
      <c r="K4583" s="65" t="inlineStr">
        <is>
          <t>N/D</t>
        </is>
      </c>
      <c r="L4583" s="127" t="inlineStr">
        <is>
          <t>REDOLFI F.LLI SRL</t>
        </is>
      </c>
      <c r="M4583" s="5" t="n">
        <v>241.07</v>
      </c>
      <c r="N4583" s="5" t="n"/>
      <c r="O4583" s="5">
        <f>+M4583+N4583</f>
        <v/>
      </c>
      <c r="P4583" s="4" t="n">
        <v>46162</v>
      </c>
      <c r="Q4583" s="87" t="n">
        <v>46163</v>
      </c>
      <c r="R4583" s="5" t="n"/>
      <c r="S4583" s="2" t="n"/>
      <c r="T4583" s="3" t="n"/>
      <c r="U4583" s="87" t="n"/>
      <c r="V4583" s="3" t="n"/>
      <c r="W4583" s="108" t="n"/>
      <c r="X4583" s="4" t="n"/>
    </row>
    <row r="4584" ht="24" customHeight="1">
      <c r="A4584" s="2">
        <f>+D4584-S4584</f>
        <v/>
      </c>
      <c r="B4584" s="126" t="n">
        <v>6170</v>
      </c>
      <c r="C4584" s="66" t="n">
        <v>46164</v>
      </c>
      <c r="D4584" s="2" t="n">
        <v>1</v>
      </c>
      <c r="E4584" s="3" t="inlineStr">
        <is>
          <t>CARABINA</t>
        </is>
      </c>
      <c r="F4584" s="3" t="inlineStr">
        <is>
          <t>6.5X55</t>
        </is>
      </c>
      <c r="G4584" s="84" t="inlineStr">
        <is>
          <t>SABATTI</t>
        </is>
      </c>
      <c r="H4584" s="65" t="inlineStr">
        <is>
          <t>N/D</t>
        </is>
      </c>
      <c r="I4584" s="107" t="inlineStr">
        <is>
          <t>R72226</t>
        </is>
      </c>
      <c r="J4584" s="65" t="inlineStr">
        <is>
          <t>N/D</t>
        </is>
      </c>
      <c r="K4584" s="65" t="inlineStr">
        <is>
          <t>N/D</t>
        </is>
      </c>
      <c r="L4584" s="127" t="inlineStr">
        <is>
          <t>REDOLFI F.LLI SRL</t>
        </is>
      </c>
      <c r="M4584" s="5" t="n">
        <v>241.07</v>
      </c>
      <c r="N4584" s="5" t="n"/>
      <c r="O4584" s="5">
        <f>+M4584+N4584</f>
        <v/>
      </c>
      <c r="P4584" s="4" t="n">
        <v>46162</v>
      </c>
      <c r="Q4584" s="87" t="n">
        <v>46163</v>
      </c>
      <c r="R4584" s="5" t="n"/>
      <c r="S4584" s="2" t="n"/>
      <c r="T4584" s="3" t="n"/>
      <c r="U4584" s="87" t="n"/>
      <c r="V4584" s="3" t="n"/>
      <c r="W4584" s="108" t="n"/>
      <c r="X4584" s="4" t="n"/>
    </row>
    <row r="4585" ht="24" customHeight="1">
      <c r="A4585" s="2">
        <f>+D4585-S4585</f>
        <v/>
      </c>
      <c r="B4585" s="126" t="n">
        <v>6171</v>
      </c>
      <c r="C4585" s="66" t="n">
        <v>46164</v>
      </c>
      <c r="D4585" s="2" t="n">
        <v>1</v>
      </c>
      <c r="E4585" s="3" t="inlineStr">
        <is>
          <t>CARABINA</t>
        </is>
      </c>
      <c r="F4585" s="3" t="inlineStr">
        <is>
          <t>6.5X55</t>
        </is>
      </c>
      <c r="G4585" s="84" t="inlineStr">
        <is>
          <t>SABATTI</t>
        </is>
      </c>
      <c r="H4585" s="65" t="inlineStr">
        <is>
          <t>N/D</t>
        </is>
      </c>
      <c r="I4585" s="107" t="inlineStr">
        <is>
          <t>R73140</t>
        </is>
      </c>
      <c r="J4585" s="65" t="inlineStr">
        <is>
          <t>N/D</t>
        </is>
      </c>
      <c r="K4585" s="65" t="inlineStr">
        <is>
          <t>N/D</t>
        </is>
      </c>
      <c r="L4585" s="127" t="inlineStr">
        <is>
          <t>REDOLFI F.LLI SRL</t>
        </is>
      </c>
      <c r="M4585" s="5" t="n">
        <v>241.07</v>
      </c>
      <c r="N4585" s="5" t="n"/>
      <c r="O4585" s="5">
        <f>+M4585+N4585</f>
        <v/>
      </c>
      <c r="P4585" s="4" t="n">
        <v>46162</v>
      </c>
      <c r="Q4585" s="87" t="n">
        <v>46163</v>
      </c>
      <c r="R4585" s="5" t="n"/>
      <c r="S4585" s="2" t="n"/>
      <c r="T4585" s="3" t="n"/>
      <c r="U4585" s="87" t="n"/>
      <c r="V4585" s="3" t="n"/>
      <c r="W4585" s="108" t="n"/>
      <c r="X4585" s="4" t="n"/>
    </row>
    <row r="4586" ht="24" customHeight="1">
      <c r="A4586" s="2">
        <f>+D4586-S4586</f>
        <v/>
      </c>
      <c r="B4586" s="126" t="n">
        <v>6172</v>
      </c>
      <c r="C4586" s="66" t="n">
        <v>46164</v>
      </c>
      <c r="D4586" s="2" t="n">
        <v>1</v>
      </c>
      <c r="E4586" s="3" t="inlineStr">
        <is>
          <t>CARABINA</t>
        </is>
      </c>
      <c r="F4586" s="3" t="inlineStr">
        <is>
          <t>6.5X55</t>
        </is>
      </c>
      <c r="G4586" s="84" t="inlineStr">
        <is>
          <t>SABATTI</t>
        </is>
      </c>
      <c r="H4586" s="65" t="inlineStr">
        <is>
          <t>N/D</t>
        </is>
      </c>
      <c r="I4586" s="107" t="inlineStr">
        <is>
          <t>R73152</t>
        </is>
      </c>
      <c r="J4586" s="65" t="inlineStr">
        <is>
          <t>N/D</t>
        </is>
      </c>
      <c r="K4586" s="65" t="inlineStr">
        <is>
          <t>N/D</t>
        </is>
      </c>
      <c r="L4586" s="127" t="inlineStr">
        <is>
          <t>REDOLFI F.LLI SRL</t>
        </is>
      </c>
      <c r="M4586" s="5" t="n">
        <v>241.07</v>
      </c>
      <c r="N4586" s="5" t="n"/>
      <c r="O4586" s="5">
        <f>+M4586+N4586</f>
        <v/>
      </c>
      <c r="P4586" s="4" t="n">
        <v>46162</v>
      </c>
      <c r="Q4586" s="87" t="n">
        <v>46163</v>
      </c>
      <c r="R4586" s="5" t="n"/>
      <c r="S4586" s="2" t="n"/>
      <c r="T4586" s="3" t="n"/>
      <c r="U4586" s="87" t="n"/>
      <c r="V4586" s="3" t="n"/>
      <c r="W4586" s="108" t="n"/>
      <c r="X4586" s="4" t="n"/>
    </row>
    <row r="4587" ht="24" customHeight="1">
      <c r="A4587" s="2">
        <f>+D4587-S4587</f>
        <v/>
      </c>
      <c r="B4587" s="126" t="n">
        <v>6173</v>
      </c>
      <c r="C4587" s="66" t="n">
        <v>46164</v>
      </c>
      <c r="D4587" s="2" t="n">
        <v>1</v>
      </c>
      <c r="E4587" s="3" t="inlineStr">
        <is>
          <t>CARABINA</t>
        </is>
      </c>
      <c r="F4587" s="3" t="inlineStr">
        <is>
          <t>6.5X55</t>
        </is>
      </c>
      <c r="G4587" s="84" t="inlineStr">
        <is>
          <t>SABATTI</t>
        </is>
      </c>
      <c r="H4587" s="65" t="inlineStr">
        <is>
          <t>N/D</t>
        </is>
      </c>
      <c r="I4587" s="107" t="inlineStr">
        <is>
          <t>R73160</t>
        </is>
      </c>
      <c r="J4587" s="65" t="inlineStr">
        <is>
          <t>N/D</t>
        </is>
      </c>
      <c r="K4587" s="65" t="inlineStr">
        <is>
          <t>N/D</t>
        </is>
      </c>
      <c r="L4587" s="127" t="inlineStr">
        <is>
          <t>REDOLFI F.LLI SRL</t>
        </is>
      </c>
      <c r="M4587" s="5" t="n">
        <v>241.07</v>
      </c>
      <c r="N4587" s="5" t="n"/>
      <c r="O4587" s="5">
        <f>+M4587+N4587</f>
        <v/>
      </c>
      <c r="P4587" s="4" t="n">
        <v>46162</v>
      </c>
      <c r="Q4587" s="87" t="n">
        <v>46163</v>
      </c>
      <c r="R4587" s="5" t="n"/>
      <c r="S4587" s="2" t="n"/>
      <c r="T4587" s="3" t="n"/>
      <c r="U4587" s="87" t="n"/>
      <c r="V4587" s="3" t="n"/>
      <c r="W4587" s="108" t="n"/>
      <c r="X4587" s="4" t="n"/>
    </row>
    <row r="4588" ht="24" customHeight="1">
      <c r="A4588" s="2">
        <f>+D4588-S4588</f>
        <v/>
      </c>
      <c r="B4588" s="126" t="n">
        <v>6174</v>
      </c>
      <c r="C4588" s="66" t="n">
        <v>46164</v>
      </c>
      <c r="D4588" s="2" t="n">
        <v>1</v>
      </c>
      <c r="E4588" s="3" t="inlineStr">
        <is>
          <t>CARABINA</t>
        </is>
      </c>
      <c r="F4588" s="3" t="inlineStr">
        <is>
          <t>6.5X55</t>
        </is>
      </c>
      <c r="G4588" s="84" t="inlineStr">
        <is>
          <t>SABATTI</t>
        </is>
      </c>
      <c r="H4588" s="65" t="inlineStr">
        <is>
          <t>N/D</t>
        </is>
      </c>
      <c r="I4588" s="107" t="inlineStr">
        <is>
          <t>R73161</t>
        </is>
      </c>
      <c r="J4588" s="65" t="inlineStr">
        <is>
          <t>N/D</t>
        </is>
      </c>
      <c r="K4588" s="65" t="inlineStr">
        <is>
          <t>N/D</t>
        </is>
      </c>
      <c r="L4588" s="127" t="inlineStr">
        <is>
          <t>REDOLFI F.LLI SRL</t>
        </is>
      </c>
      <c r="M4588" s="5" t="n">
        <v>241.07</v>
      </c>
      <c r="N4588" s="5" t="n"/>
      <c r="O4588" s="5">
        <f>+M4588+N4588</f>
        <v/>
      </c>
      <c r="P4588" s="4" t="n">
        <v>46162</v>
      </c>
      <c r="Q4588" s="87" t="n">
        <v>46163</v>
      </c>
      <c r="R4588" s="5" t="n"/>
      <c r="S4588" s="2" t="n"/>
      <c r="T4588" s="3" t="n"/>
      <c r="U4588" s="87" t="n"/>
      <c r="V4588" s="3" t="n"/>
      <c r="W4588" s="108" t="n"/>
      <c r="X4588" s="4" t="n"/>
    </row>
    <row r="4589" ht="24" customHeight="1">
      <c r="A4589" s="2">
        <f>+D4589-S4589</f>
        <v/>
      </c>
      <c r="B4589" s="126" t="n">
        <v>6175</v>
      </c>
      <c r="C4589" s="66" t="n">
        <v>46164</v>
      </c>
      <c r="D4589" s="2" t="n">
        <v>1</v>
      </c>
      <c r="E4589" s="3" t="inlineStr">
        <is>
          <t>CARABINA</t>
        </is>
      </c>
      <c r="F4589" s="3" t="inlineStr">
        <is>
          <t>6.5X55</t>
        </is>
      </c>
      <c r="G4589" s="84" t="inlineStr">
        <is>
          <t>SABATTI</t>
        </is>
      </c>
      <c r="H4589" s="65" t="inlineStr">
        <is>
          <t>N/D</t>
        </is>
      </c>
      <c r="I4589" s="107" t="inlineStr">
        <is>
          <t>R68997</t>
        </is>
      </c>
      <c r="J4589" s="65" t="inlineStr">
        <is>
          <t>N/D</t>
        </is>
      </c>
      <c r="K4589" s="65" t="inlineStr">
        <is>
          <t>N/D</t>
        </is>
      </c>
      <c r="L4589" s="127" t="inlineStr">
        <is>
          <t>REDOLFI F.LLI SRL</t>
        </is>
      </c>
      <c r="M4589" s="5" t="n">
        <v>241.07</v>
      </c>
      <c r="N4589" s="5" t="n"/>
      <c r="O4589" s="5">
        <f>+M4589+N4589</f>
        <v/>
      </c>
      <c r="P4589" s="4" t="n">
        <v>46162</v>
      </c>
      <c r="Q4589" s="87" t="n">
        <v>46163</v>
      </c>
      <c r="R4589" s="5" t="n"/>
      <c r="S4589" s="2" t="n"/>
      <c r="T4589" s="3" t="n"/>
      <c r="U4589" s="87" t="n"/>
      <c r="V4589" s="3" t="n"/>
      <c r="W4589" s="108" t="n"/>
      <c r="X4589" s="4" t="n"/>
    </row>
    <row r="4590" ht="24" customHeight="1">
      <c r="A4590" s="2">
        <f>+D4590-S4590</f>
        <v/>
      </c>
      <c r="B4590" s="126" t="n">
        <v>6176</v>
      </c>
      <c r="C4590" s="66" t="n">
        <v>46164</v>
      </c>
      <c r="D4590" s="2" t="n">
        <v>1</v>
      </c>
      <c r="E4590" s="3" t="inlineStr">
        <is>
          <t>CARABINA</t>
        </is>
      </c>
      <c r="F4590" s="3" t="inlineStr">
        <is>
          <t>6 BR REM</t>
        </is>
      </c>
      <c r="G4590" s="84" t="inlineStr">
        <is>
          <t>SABATTI</t>
        </is>
      </c>
      <c r="H4590" s="65" t="inlineStr">
        <is>
          <t>N/D</t>
        </is>
      </c>
      <c r="I4590" s="107" t="inlineStr">
        <is>
          <t>R69148</t>
        </is>
      </c>
      <c r="J4590" s="65" t="inlineStr">
        <is>
          <t>N/D</t>
        </is>
      </c>
      <c r="K4590" s="65" t="inlineStr">
        <is>
          <t>N/D</t>
        </is>
      </c>
      <c r="L4590" s="127" t="inlineStr">
        <is>
          <t>REDOLFI F.LLI SRL</t>
        </is>
      </c>
      <c r="M4590" s="5" t="n">
        <v>241.07</v>
      </c>
      <c r="N4590" s="5" t="n"/>
      <c r="O4590" s="5">
        <f>+M4590+N4590</f>
        <v/>
      </c>
      <c r="P4590" s="4" t="n">
        <v>46162</v>
      </c>
      <c r="Q4590" s="87" t="n">
        <v>46163</v>
      </c>
      <c r="R4590" s="5" t="n"/>
      <c r="S4590" s="2" t="n"/>
      <c r="T4590" s="3" t="n"/>
      <c r="U4590" s="87" t="n"/>
      <c r="V4590" s="3" t="n"/>
      <c r="W4590" s="108" t="n"/>
      <c r="X4590" s="4" t="n"/>
    </row>
    <row r="4591" ht="24" customHeight="1">
      <c r="A4591" s="2">
        <f>+D4591-S4591</f>
        <v/>
      </c>
      <c r="B4591" s="126" t="n">
        <v>6177</v>
      </c>
      <c r="C4591" s="66" t="n">
        <v>46164</v>
      </c>
      <c r="D4591" s="2" t="n">
        <v>1</v>
      </c>
      <c r="E4591" s="3" t="inlineStr">
        <is>
          <t>CARABINA</t>
        </is>
      </c>
      <c r="F4591" s="3" t="inlineStr">
        <is>
          <t>6 BR REM</t>
        </is>
      </c>
      <c r="G4591" s="84" t="inlineStr">
        <is>
          <t>SABATTI</t>
        </is>
      </c>
      <c r="H4591" s="65" t="inlineStr">
        <is>
          <t>N/D</t>
        </is>
      </c>
      <c r="I4591" s="107" t="inlineStr">
        <is>
          <t>R69149</t>
        </is>
      </c>
      <c r="J4591" s="65" t="inlineStr">
        <is>
          <t>N/D</t>
        </is>
      </c>
      <c r="K4591" s="65" t="inlineStr">
        <is>
          <t>N/D</t>
        </is>
      </c>
      <c r="L4591" s="127" t="inlineStr">
        <is>
          <t>REDOLFI F.LLI SRL</t>
        </is>
      </c>
      <c r="M4591" s="5" t="n">
        <v>241.07</v>
      </c>
      <c r="N4591" s="5" t="n"/>
      <c r="O4591" s="5">
        <f>+M4591+N4591</f>
        <v/>
      </c>
      <c r="P4591" s="4" t="n">
        <v>46162</v>
      </c>
      <c r="Q4591" s="87" t="n">
        <v>46163</v>
      </c>
      <c r="R4591" s="5" t="n"/>
      <c r="S4591" s="2" t="n"/>
      <c r="T4591" s="3" t="n"/>
      <c r="U4591" s="87" t="n"/>
      <c r="V4591" s="3" t="n"/>
      <c r="W4591" s="108" t="n"/>
      <c r="X4591" s="4" t="n"/>
    </row>
    <row r="4592" ht="24" customHeight="1">
      <c r="A4592" s="2">
        <f>+D4592-S4592</f>
        <v/>
      </c>
      <c r="B4592" s="126" t="n">
        <v>6178</v>
      </c>
      <c r="C4592" s="66" t="n">
        <v>46164</v>
      </c>
      <c r="D4592" s="2" t="n">
        <v>1</v>
      </c>
      <c r="E4592" s="3" t="inlineStr">
        <is>
          <t>CARABINA</t>
        </is>
      </c>
      <c r="F4592" s="136" t="inlineStr">
        <is>
          <t>223 REM</t>
        </is>
      </c>
      <c r="G4592" s="3" t="inlineStr">
        <is>
          <t>H&amp;K</t>
        </is>
      </c>
      <c r="H4592" s="107" t="inlineStr">
        <is>
          <t>243 S SAR DESERT 16.5''</t>
        </is>
      </c>
      <c r="I4592" s="107" t="inlineStr">
        <is>
          <t>143-004077</t>
        </is>
      </c>
      <c r="J4592" s="65" t="inlineStr">
        <is>
          <t>N/D</t>
        </is>
      </c>
      <c r="K4592" s="65" t="inlineStr">
        <is>
          <t>N/D</t>
        </is>
      </c>
      <c r="L4592" s="127" t="inlineStr">
        <is>
          <t>THE FOUR COMPANY SRL</t>
        </is>
      </c>
      <c r="M4592" s="5" t="n">
        <v>1430</v>
      </c>
      <c r="N4592" s="5" t="n"/>
      <c r="O4592" s="5">
        <f>+M4592+N4592</f>
        <v/>
      </c>
      <c r="P4592" s="4" t="n">
        <v>46164</v>
      </c>
      <c r="Q4592" s="87" t="n">
        <v>46164</v>
      </c>
      <c r="R4592" s="5" t="n"/>
      <c r="S4592" s="2" t="n"/>
      <c r="T4592" s="3" t="n"/>
      <c r="U4592" s="87" t="n"/>
      <c r="V4592" s="3" t="n"/>
      <c r="W4592" s="108" t="n"/>
      <c r="X4592" s="4" t="n"/>
    </row>
    <row r="4593" ht="24" customHeight="1">
      <c r="A4593" s="2">
        <f>+D4593-S4593</f>
        <v/>
      </c>
      <c r="B4593" s="126" t="n">
        <v>6179</v>
      </c>
      <c r="C4593" s="66" t="n">
        <v>46167</v>
      </c>
      <c r="D4593" s="2" t="n">
        <v>1</v>
      </c>
      <c r="E4593" s="3" t="inlineStr">
        <is>
          <t>CARABINA SEMIAUTOMATICA</t>
        </is>
      </c>
      <c r="F4593" s="136" t="inlineStr">
        <is>
          <t>223 REM</t>
        </is>
      </c>
      <c r="G4593" s="84" t="inlineStr">
        <is>
          <t>ADC</t>
        </is>
      </c>
      <c r="H4593" s="107" t="inlineStr">
        <is>
          <t>M5 PLUS 12.5''</t>
        </is>
      </c>
      <c r="I4593" s="107" t="inlineStr">
        <is>
          <t>ADC-1347</t>
        </is>
      </c>
      <c r="J4593" s="65" t="inlineStr">
        <is>
          <t>N/D</t>
        </is>
      </c>
      <c r="K4593" s="65" t="inlineStr">
        <is>
          <t>N/D</t>
        </is>
      </c>
      <c r="L4593" s="127" t="inlineStr">
        <is>
          <t>A.D.C. ARMI DALLERA CUSTOM S.R.L.</t>
        </is>
      </c>
      <c r="M4593" s="5" t="n">
        <v>750</v>
      </c>
      <c r="N4593" s="5" t="n"/>
      <c r="O4593" s="5">
        <f>+M4593+N4593</f>
        <v/>
      </c>
      <c r="P4593" s="4" t="n">
        <v>46167</v>
      </c>
      <c r="Q4593" s="87" t="n">
        <v>46167</v>
      </c>
      <c r="R4593" s="5" t="n"/>
      <c r="S4593" s="2" t="n"/>
      <c r="T4593" s="3" t="n"/>
      <c r="U4593" s="87" t="n"/>
      <c r="V4593" s="3" t="n"/>
      <c r="W4593" s="108" t="n"/>
      <c r="X4593" s="4" t="n"/>
    </row>
    <row r="4594" ht="24" customHeight="1">
      <c r="A4594" s="2">
        <f>+D4594-S4594</f>
        <v/>
      </c>
      <c r="B4594" s="126" t="n">
        <v>6180</v>
      </c>
      <c r="C4594" s="66" t="n">
        <v>46167</v>
      </c>
      <c r="D4594" s="2" t="n">
        <v>1</v>
      </c>
      <c r="E4594" s="3" t="inlineStr">
        <is>
          <t>CARABINA SEMIAUTOMATICA</t>
        </is>
      </c>
      <c r="F4594" s="136" t="inlineStr">
        <is>
          <t>223 REM</t>
        </is>
      </c>
      <c r="G4594" s="84" t="inlineStr">
        <is>
          <t>ADC</t>
        </is>
      </c>
      <c r="H4594" s="107" t="inlineStr">
        <is>
          <t>M5 PLUS 12.5''</t>
        </is>
      </c>
      <c r="I4594" s="107" t="inlineStr">
        <is>
          <t>ADC-1348</t>
        </is>
      </c>
      <c r="J4594" s="65" t="inlineStr">
        <is>
          <t>N/D</t>
        </is>
      </c>
      <c r="K4594" s="65" t="inlineStr">
        <is>
          <t>N/D</t>
        </is>
      </c>
      <c r="L4594" s="127" t="inlineStr">
        <is>
          <t>A.D.C. ARMI DALLERA CUSTOM S.R.L.</t>
        </is>
      </c>
      <c r="M4594" s="5" t="n">
        <v>750</v>
      </c>
      <c r="N4594" s="5" t="n"/>
      <c r="O4594" s="5">
        <f>+M4594+N4594</f>
        <v/>
      </c>
      <c r="P4594" s="4" t="n">
        <v>46167</v>
      </c>
      <c r="Q4594" s="87" t="n">
        <v>46167</v>
      </c>
      <c r="R4594" s="5" t="n"/>
      <c r="S4594" s="2" t="n"/>
      <c r="T4594" s="3" t="n"/>
      <c r="U4594" s="87" t="n"/>
      <c r="V4594" s="3" t="n"/>
      <c r="W4594" s="108" t="n"/>
      <c r="X4594" s="4" t="n"/>
    </row>
    <row r="4595" ht="24" customHeight="1">
      <c r="A4595" s="2">
        <f>+D4595-S4595</f>
        <v/>
      </c>
      <c r="B4595" s="126" t="n">
        <v>6181</v>
      </c>
      <c r="C4595" s="66" t="n">
        <v>46167</v>
      </c>
      <c r="D4595" s="2" t="n">
        <v>1</v>
      </c>
      <c r="E4595" s="3" t="inlineStr">
        <is>
          <t>CARABINA SEMIAUTOMATICA</t>
        </is>
      </c>
      <c r="F4595" s="136" t="inlineStr">
        <is>
          <t>223 REM</t>
        </is>
      </c>
      <c r="G4595" s="84" t="inlineStr">
        <is>
          <t>ADC</t>
        </is>
      </c>
      <c r="H4595" s="107" t="inlineStr">
        <is>
          <t>M5 PLUS 12.5''</t>
        </is>
      </c>
      <c r="I4595" s="107" t="inlineStr">
        <is>
          <t>ADC-1349</t>
        </is>
      </c>
      <c r="J4595" s="65" t="inlineStr">
        <is>
          <t>N/D</t>
        </is>
      </c>
      <c r="K4595" s="65" t="inlineStr">
        <is>
          <t>N/D</t>
        </is>
      </c>
      <c r="L4595" s="127" t="inlineStr">
        <is>
          <t>A.D.C. ARMI DALLERA CUSTOM S.R.L.</t>
        </is>
      </c>
      <c r="M4595" s="5" t="n">
        <v>750</v>
      </c>
      <c r="N4595" s="5" t="n"/>
      <c r="O4595" s="5">
        <f>+M4595+N4595</f>
        <v/>
      </c>
      <c r="P4595" s="4" t="n">
        <v>46167</v>
      </c>
      <c r="Q4595" s="87" t="n">
        <v>46167</v>
      </c>
      <c r="R4595" s="5" t="n"/>
      <c r="S4595" s="2" t="n"/>
      <c r="T4595" s="3" t="n"/>
      <c r="U4595" s="87" t="n"/>
      <c r="V4595" s="3" t="n"/>
      <c r="W4595" s="108" t="n"/>
      <c r="X4595" s="4" t="n"/>
    </row>
    <row r="4596" ht="24" customHeight="1">
      <c r="A4596" s="2">
        <f>+D4596-S4596</f>
        <v/>
      </c>
      <c r="B4596" s="126" t="n">
        <v>6182</v>
      </c>
      <c r="C4596" s="66" t="n">
        <v>46167</v>
      </c>
      <c r="D4596" s="2" t="n">
        <v>1</v>
      </c>
      <c r="E4596" s="3" t="inlineStr">
        <is>
          <t>CARABINA SEMIAUTOMATICA</t>
        </is>
      </c>
      <c r="F4596" s="136" t="inlineStr">
        <is>
          <t>223 REM</t>
        </is>
      </c>
      <c r="G4596" s="84" t="inlineStr">
        <is>
          <t>ADC</t>
        </is>
      </c>
      <c r="H4596" s="107" t="inlineStr">
        <is>
          <t>M5 PLUS 12.5''</t>
        </is>
      </c>
      <c r="I4596" s="107" t="inlineStr">
        <is>
          <t>ADC-1350</t>
        </is>
      </c>
      <c r="J4596" s="65" t="inlineStr">
        <is>
          <t>N/D</t>
        </is>
      </c>
      <c r="K4596" s="65" t="inlineStr">
        <is>
          <t>N/D</t>
        </is>
      </c>
      <c r="L4596" s="127" t="inlineStr">
        <is>
          <t>A.D.C. ARMI DALLERA CUSTOM S.R.L.</t>
        </is>
      </c>
      <c r="M4596" s="5" t="n">
        <v>750</v>
      </c>
      <c r="N4596" s="5" t="n"/>
      <c r="O4596" s="5">
        <f>+M4596+N4596</f>
        <v/>
      </c>
      <c r="P4596" s="4" t="n">
        <v>46167</v>
      </c>
      <c r="Q4596" s="87" t="n">
        <v>46167</v>
      </c>
      <c r="R4596" s="5" t="n"/>
      <c r="S4596" s="2" t="n"/>
      <c r="T4596" s="3" t="n"/>
      <c r="U4596" s="87" t="n"/>
      <c r="V4596" s="3" t="n"/>
      <c r="W4596" s="108" t="n"/>
      <c r="X4596" s="4" t="n"/>
    </row>
    <row r="4597" ht="24" customHeight="1">
      <c r="A4597" s="2">
        <f>+D4597-S4597</f>
        <v/>
      </c>
      <c r="B4597" s="126" t="n">
        <v>6183</v>
      </c>
      <c r="C4597" s="66" t="n">
        <v>46167</v>
      </c>
      <c r="D4597" s="2" t="n">
        <v>1</v>
      </c>
      <c r="E4597" s="3" t="inlineStr">
        <is>
          <t>CARABINA SEMIAUTOMATICA</t>
        </is>
      </c>
      <c r="F4597" s="136" t="inlineStr">
        <is>
          <t>223 REM</t>
        </is>
      </c>
      <c r="G4597" s="84" t="inlineStr">
        <is>
          <t>ADC</t>
        </is>
      </c>
      <c r="H4597" s="107" t="inlineStr">
        <is>
          <t>M5 PLUS 12.5''</t>
        </is>
      </c>
      <c r="I4597" s="107" t="inlineStr">
        <is>
          <t>ADC-1351</t>
        </is>
      </c>
      <c r="J4597" s="65" t="inlineStr">
        <is>
          <t>N/D</t>
        </is>
      </c>
      <c r="K4597" s="65" t="inlineStr">
        <is>
          <t>N/D</t>
        </is>
      </c>
      <c r="L4597" s="127" t="inlineStr">
        <is>
          <t>A.D.C. ARMI DALLERA CUSTOM S.R.L.</t>
        </is>
      </c>
      <c r="M4597" s="5" t="n">
        <v>750</v>
      </c>
      <c r="N4597" s="5" t="n"/>
      <c r="O4597" s="5">
        <f>+M4597+N4597</f>
        <v/>
      </c>
      <c r="P4597" s="4" t="n">
        <v>46167</v>
      </c>
      <c r="Q4597" s="87" t="n">
        <v>46167</v>
      </c>
      <c r="R4597" s="5" t="n"/>
      <c r="S4597" s="2" t="n"/>
      <c r="T4597" s="3" t="n"/>
      <c r="U4597" s="87" t="n"/>
      <c r="V4597" s="3" t="n"/>
      <c r="W4597" s="108" t="n"/>
      <c r="X4597" s="4" t="n"/>
    </row>
    <row r="4598" ht="24" customHeight="1">
      <c r="A4598" s="2">
        <f>+D4598-S4598</f>
        <v/>
      </c>
      <c r="B4598" s="126" t="n">
        <v>6184</v>
      </c>
      <c r="C4598" s="66" t="n">
        <v>46167</v>
      </c>
      <c r="D4598" s="2" t="n">
        <v>1</v>
      </c>
      <c r="E4598" s="3" t="inlineStr">
        <is>
          <t>CARABINA SEMIAUTOMATICA</t>
        </is>
      </c>
      <c r="F4598" s="136" t="inlineStr">
        <is>
          <t>223 REM</t>
        </is>
      </c>
      <c r="G4598" s="84" t="inlineStr">
        <is>
          <t>ADC</t>
        </is>
      </c>
      <c r="H4598" s="107" t="inlineStr">
        <is>
          <t>M5 PLUS 12.5''</t>
        </is>
      </c>
      <c r="I4598" s="107" t="inlineStr">
        <is>
          <t>ADC-1352</t>
        </is>
      </c>
      <c r="J4598" s="65" t="inlineStr">
        <is>
          <t>N/D</t>
        </is>
      </c>
      <c r="K4598" s="65" t="inlineStr">
        <is>
          <t>N/D</t>
        </is>
      </c>
      <c r="L4598" s="127" t="inlineStr">
        <is>
          <t>A.D.C. ARMI DALLERA CUSTOM S.R.L.</t>
        </is>
      </c>
      <c r="M4598" s="5" t="n">
        <v>750</v>
      </c>
      <c r="N4598" s="5" t="n"/>
      <c r="O4598" s="5">
        <f>+M4598+N4598</f>
        <v/>
      </c>
      <c r="P4598" s="4" t="n">
        <v>46167</v>
      </c>
      <c r="Q4598" s="87" t="n">
        <v>46167</v>
      </c>
      <c r="R4598" s="5" t="n"/>
      <c r="S4598" s="2" t="n"/>
      <c r="T4598" s="3" t="n"/>
      <c r="U4598" s="87" t="n"/>
      <c r="V4598" s="3" t="n"/>
      <c r="W4598" s="108" t="n"/>
      <c r="X4598" s="4" t="n"/>
    </row>
    <row r="4599" ht="24" customHeight="1">
      <c r="A4599" s="2">
        <f>+D4599-S4599</f>
        <v/>
      </c>
      <c r="B4599" s="126" t="n">
        <v>6185</v>
      </c>
      <c r="C4599" s="66" t="n">
        <v>46167</v>
      </c>
      <c r="D4599" s="2" t="n">
        <v>1</v>
      </c>
      <c r="E4599" s="3" t="inlineStr">
        <is>
          <t>CARABINA SEMIAUTOMATICA</t>
        </is>
      </c>
      <c r="F4599" s="136" t="inlineStr">
        <is>
          <t>223 REM</t>
        </is>
      </c>
      <c r="G4599" s="84" t="inlineStr">
        <is>
          <t>ADC</t>
        </is>
      </c>
      <c r="H4599" s="107" t="inlineStr">
        <is>
          <t>M5 PLUS 12.5''</t>
        </is>
      </c>
      <c r="I4599" s="107" t="inlineStr">
        <is>
          <t>ADC-1353</t>
        </is>
      </c>
      <c r="J4599" s="65" t="inlineStr">
        <is>
          <t>N/D</t>
        </is>
      </c>
      <c r="K4599" s="65" t="inlineStr">
        <is>
          <t>N/D</t>
        </is>
      </c>
      <c r="L4599" s="127" t="inlineStr">
        <is>
          <t>A.D.C. ARMI DALLERA CUSTOM S.R.L.</t>
        </is>
      </c>
      <c r="M4599" s="5" t="n">
        <v>750</v>
      </c>
      <c r="N4599" s="5" t="n"/>
      <c r="O4599" s="5">
        <f>+M4599+N4599</f>
        <v/>
      </c>
      <c r="P4599" s="4" t="n">
        <v>46167</v>
      </c>
      <c r="Q4599" s="87" t="n">
        <v>46167</v>
      </c>
      <c r="R4599" s="5" t="n"/>
      <c r="S4599" s="2" t="n"/>
      <c r="T4599" s="3" t="n"/>
      <c r="U4599" s="87" t="n"/>
      <c r="V4599" s="3" t="n"/>
      <c r="W4599" s="108" t="n"/>
      <c r="X4599" s="4" t="n"/>
    </row>
    <row r="4600" ht="24" customHeight="1">
      <c r="A4600" s="2">
        <f>+D4600-S4600</f>
        <v/>
      </c>
      <c r="B4600" s="126" t="n">
        <v>6186</v>
      </c>
      <c r="C4600" s="66" t="n">
        <v>46167</v>
      </c>
      <c r="D4600" s="2" t="n">
        <v>1</v>
      </c>
      <c r="E4600" s="3" t="inlineStr">
        <is>
          <t>CARABINA SEMIAUTOMATICA</t>
        </is>
      </c>
      <c r="F4600" s="136" t="inlineStr">
        <is>
          <t>223 REM</t>
        </is>
      </c>
      <c r="G4600" s="84" t="inlineStr">
        <is>
          <t>ADC</t>
        </is>
      </c>
      <c r="H4600" s="107" t="inlineStr">
        <is>
          <t>M5 PLUS 12.5''</t>
        </is>
      </c>
      <c r="I4600" s="107" t="inlineStr">
        <is>
          <t>ADC-1354</t>
        </is>
      </c>
      <c r="J4600" s="65" t="inlineStr">
        <is>
          <t>N/D</t>
        </is>
      </c>
      <c r="K4600" s="65" t="inlineStr">
        <is>
          <t>N/D</t>
        </is>
      </c>
      <c r="L4600" s="127" t="inlineStr">
        <is>
          <t>A.D.C. ARMI DALLERA CUSTOM S.R.L.</t>
        </is>
      </c>
      <c r="M4600" s="5" t="n">
        <v>750</v>
      </c>
      <c r="N4600" s="5" t="n"/>
      <c r="O4600" s="5">
        <f>+M4600+N4600</f>
        <v/>
      </c>
      <c r="P4600" s="4" t="n">
        <v>46167</v>
      </c>
      <c r="Q4600" s="87" t="n">
        <v>46167</v>
      </c>
      <c r="R4600" s="5" t="n"/>
      <c r="S4600" s="2" t="n"/>
      <c r="T4600" s="3" t="n"/>
      <c r="U4600" s="87" t="n"/>
      <c r="V4600" s="3" t="n"/>
      <c r="W4600" s="108" t="n"/>
      <c r="X4600" s="4" t="n"/>
    </row>
    <row r="4601" ht="24" customHeight="1">
      <c r="A4601" s="2">
        <f>+D4601-S4601</f>
        <v/>
      </c>
      <c r="B4601" s="126" t="n">
        <v>6187</v>
      </c>
      <c r="C4601" s="139" t="n"/>
      <c r="D4601" s="2" t="n"/>
      <c r="E4601" s="138" t="n"/>
      <c r="F4601" s="138" t="n"/>
      <c r="G4601" s="15" t="n"/>
      <c r="H4601" s="131" t="n"/>
      <c r="I4601" s="131" t="n"/>
      <c r="J4601" s="131" t="n"/>
      <c r="K4601" s="65" t="n"/>
      <c r="L4601" s="127" t="n"/>
      <c r="M4601" s="138" t="n"/>
      <c r="N4601" s="138" t="n"/>
      <c r="O4601" s="138" t="n"/>
      <c r="P4601" s="139" t="n"/>
      <c r="Q4601" s="140" t="n"/>
      <c r="R4601" s="138" t="n"/>
      <c r="S4601" s="138" t="n"/>
      <c r="T4601" s="138" t="n"/>
      <c r="U4601" s="141" t="n"/>
      <c r="V4601" s="138" t="n"/>
      <c r="W4601" s="142" t="n"/>
      <c r="X4601" s="138" t="n"/>
    </row>
    <row r="4602" ht="24" customHeight="1">
      <c r="A4602" s="2">
        <f>+D4602-S4602</f>
        <v/>
      </c>
      <c r="B4602" s="126" t="n">
        <v>6188</v>
      </c>
      <c r="C4602" s="66" t="n"/>
      <c r="D4602" s="2" t="n"/>
      <c r="E4602" s="3" t="n"/>
      <c r="F4602" s="3" t="n"/>
      <c r="G4602" s="15" t="n"/>
      <c r="H4602" s="107" t="n"/>
      <c r="I4602" s="107" t="n"/>
      <c r="J4602" s="107" t="n"/>
      <c r="K4602" s="65" t="n"/>
      <c r="L4602" s="127" t="n"/>
      <c r="M4602" s="5" t="n"/>
      <c r="N4602" s="5" t="n"/>
      <c r="O4602" s="5" t="n"/>
      <c r="P4602" s="4" t="n"/>
      <c r="Q4602" s="87" t="n"/>
      <c r="R4602" s="5">
        <f>SUM(R2:R4839)</f>
        <v/>
      </c>
      <c r="S4602" s="74">
        <f>SUM(S2:S4839)</f>
        <v/>
      </c>
      <c r="T4602" s="3" t="n"/>
      <c r="U4602" s="87" t="n"/>
      <c r="V4602" s="3" t="n"/>
      <c r="W4602" s="108" t="n"/>
      <c r="X4602" s="138" t="n"/>
    </row>
    <row r="4603" ht="24" customHeight="1">
      <c r="A4603" s="2">
        <f>+D4603-S4603</f>
        <v/>
      </c>
      <c r="B4603" s="126" t="n">
        <v>6189</v>
      </c>
      <c r="C4603" s="139" t="n"/>
      <c r="D4603" s="2" t="n"/>
      <c r="E4603" s="138" t="n"/>
      <c r="F4603" s="138" t="n"/>
      <c r="G4603" s="15" t="n"/>
      <c r="H4603" s="131" t="n"/>
      <c r="I4603" s="131" t="n"/>
      <c r="J4603" s="131" t="n"/>
      <c r="K4603" s="65" t="n"/>
      <c r="L4603" s="127" t="n"/>
      <c r="M4603" s="138" t="n"/>
      <c r="N4603" s="138" t="n"/>
      <c r="O4603" s="138" t="n"/>
      <c r="P4603" s="139" t="n"/>
      <c r="Q4603" s="140" t="n"/>
      <c r="R4603" s="138" t="n"/>
      <c r="S4603" s="138" t="n"/>
      <c r="T4603" s="138" t="n"/>
      <c r="U4603" s="141" t="n"/>
      <c r="V4603" s="138" t="n"/>
      <c r="W4603" s="142" t="n"/>
      <c r="X4603" s="138" t="n"/>
    </row>
    <row r="4604" ht="24" customHeight="1">
      <c r="A4604" s="2">
        <f>+D4604-S4604</f>
        <v/>
      </c>
      <c r="B4604" s="126" t="n">
        <v>6190</v>
      </c>
      <c r="C4604" s="139" t="n"/>
      <c r="D4604" s="138" t="n"/>
      <c r="E4604" s="138" t="n"/>
      <c r="F4604" s="138" t="n"/>
      <c r="G4604" s="15" t="n"/>
      <c r="H4604" s="131" t="n"/>
      <c r="I4604" s="131" t="n"/>
      <c r="J4604" s="131" t="n"/>
      <c r="K4604" s="65" t="n"/>
      <c r="L4604" s="127" t="n"/>
      <c r="M4604" s="5" t="n"/>
      <c r="N4604" s="5" t="n"/>
      <c r="O4604" s="5" t="n"/>
      <c r="P4604" s="139" t="n"/>
      <c r="Q4604" s="140" t="n"/>
      <c r="R4604" s="138" t="n"/>
      <c r="S4604" s="138" t="n"/>
      <c r="T4604" s="138" t="n"/>
      <c r="U4604" s="141" t="n"/>
      <c r="V4604" s="138" t="n"/>
      <c r="W4604" s="142" t="n"/>
      <c r="X4604" s="138" t="n"/>
    </row>
    <row r="4605" ht="24" customHeight="1">
      <c r="A4605" s="2">
        <f>+D4605-S4605</f>
        <v/>
      </c>
      <c r="B4605" s="126" t="n">
        <v>6191</v>
      </c>
      <c r="C4605" s="139" t="n"/>
      <c r="D4605" s="138" t="n"/>
      <c r="E4605" s="138" t="n"/>
      <c r="F4605" s="138" t="n"/>
      <c r="G4605" s="15" t="n"/>
      <c r="H4605" s="131" t="n"/>
      <c r="I4605" s="131" t="n"/>
      <c r="J4605" s="131" t="n"/>
      <c r="K4605" s="65" t="n"/>
      <c r="L4605" s="127" t="n"/>
      <c r="M4605" s="2" t="n"/>
      <c r="N4605" s="138" t="n"/>
      <c r="O4605" s="138" t="n"/>
      <c r="P4605" s="139" t="n"/>
      <c r="Q4605" s="140" t="n"/>
      <c r="R4605" s="138" t="n"/>
      <c r="S4605" s="138" t="n"/>
      <c r="T4605" s="138" t="n"/>
      <c r="U4605" s="141" t="n"/>
      <c r="V4605" s="138" t="n"/>
      <c r="W4605" s="142" t="n"/>
      <c r="X4605" s="138" t="n"/>
    </row>
    <row r="4606" ht="24" customHeight="1">
      <c r="A4606" s="2">
        <f>+D4606-S4606</f>
        <v/>
      </c>
      <c r="B4606" s="126" t="n">
        <v>6192</v>
      </c>
      <c r="C4606" s="139" t="n"/>
      <c r="D4606" s="138" t="n"/>
      <c r="E4606" s="138" t="n"/>
      <c r="F4606" s="138" t="n"/>
      <c r="G4606" s="15" t="n"/>
      <c r="H4606" s="131" t="n"/>
      <c r="I4606" s="131" t="n"/>
      <c r="J4606" s="131" t="n"/>
      <c r="K4606" s="143" t="n"/>
      <c r="L4606" s="127" t="n"/>
      <c r="M4606" s="138" t="n"/>
      <c r="N4606" s="138" t="n"/>
      <c r="O4606" s="138" t="n"/>
      <c r="P4606" s="139" t="n"/>
      <c r="Q4606" s="140" t="n"/>
      <c r="R4606" s="138" t="n"/>
      <c r="S4606" s="138" t="n"/>
      <c r="T4606" s="138" t="n"/>
      <c r="U4606" s="141" t="n"/>
      <c r="V4606" s="138" t="n"/>
      <c r="W4606" s="142" t="n"/>
      <c r="X4606" s="138" t="n"/>
    </row>
    <row r="4607" ht="24" customHeight="1">
      <c r="A4607" s="2">
        <f>+D4607-S4607</f>
        <v/>
      </c>
      <c r="B4607" s="126" t="n">
        <v>6193</v>
      </c>
      <c r="C4607" s="139" t="n"/>
      <c r="D4607" s="138" t="n"/>
      <c r="E4607" s="138" t="n"/>
      <c r="F4607" s="138" t="n"/>
      <c r="G4607" s="15" t="n"/>
      <c r="H4607" s="131" t="n"/>
      <c r="I4607" s="131" t="n"/>
      <c r="J4607" s="131" t="n"/>
      <c r="K4607" s="143" t="n"/>
      <c r="L4607" s="127" t="n"/>
      <c r="M4607" s="5" t="n"/>
      <c r="N4607" s="138" t="n"/>
      <c r="O4607" s="138" t="n"/>
      <c r="P4607" s="139" t="n"/>
      <c r="Q4607" s="140" t="n"/>
      <c r="R4607" s="138" t="n"/>
      <c r="S4607" s="138" t="n"/>
      <c r="T4607" s="138" t="n"/>
      <c r="U4607" s="141" t="n"/>
      <c r="V4607" s="138" t="n"/>
      <c r="W4607" s="142" t="n"/>
      <c r="X4607" s="138" t="n"/>
    </row>
    <row r="4608" ht="24" customHeight="1">
      <c r="A4608" s="2">
        <f>+D4608-S4608</f>
        <v/>
      </c>
      <c r="B4608" s="126" t="n">
        <v>6194</v>
      </c>
      <c r="C4608" s="139" t="n"/>
      <c r="D4608" s="138" t="n"/>
      <c r="E4608" s="138" t="n"/>
      <c r="F4608" s="138" t="n"/>
      <c r="G4608" s="15" t="n"/>
      <c r="H4608" s="131" t="n"/>
      <c r="I4608" s="131" t="n"/>
      <c r="J4608" s="131" t="n"/>
      <c r="K4608" s="143" t="n"/>
      <c r="L4608" s="127" t="n"/>
      <c r="M4608" s="138" t="n"/>
      <c r="N4608" s="138" t="n"/>
      <c r="O4608" s="138" t="n"/>
      <c r="P4608" s="139" t="n"/>
      <c r="Q4608" s="140" t="n"/>
      <c r="R4608" s="138" t="n"/>
      <c r="S4608" s="138" t="n"/>
      <c r="T4608" s="138" t="n"/>
      <c r="U4608" s="141" t="n"/>
      <c r="V4608" s="138" t="n"/>
      <c r="W4608" s="142" t="n"/>
      <c r="X4608" s="138" t="n"/>
    </row>
    <row r="4609" ht="24" customHeight="1">
      <c r="A4609" s="2">
        <f>+D4609-S4609</f>
        <v/>
      </c>
      <c r="B4609" s="126" t="n">
        <v>6195</v>
      </c>
      <c r="C4609" s="139" t="n"/>
      <c r="D4609" s="138" t="n"/>
      <c r="E4609" s="138" t="n"/>
      <c r="F4609" s="138" t="n"/>
      <c r="G4609" s="15" t="n"/>
      <c r="H4609" s="131" t="n"/>
      <c r="I4609" s="131" t="n"/>
      <c r="J4609" s="131" t="n"/>
      <c r="K4609" s="143" t="n"/>
      <c r="L4609" s="127" t="n"/>
      <c r="M4609" s="138" t="n"/>
      <c r="N4609" s="138" t="n"/>
      <c r="O4609" s="138" t="n"/>
      <c r="P4609" s="139" t="n"/>
      <c r="Q4609" s="140" t="n"/>
      <c r="R4609" s="138" t="n"/>
      <c r="S4609" s="138" t="n"/>
      <c r="T4609" s="138" t="n"/>
      <c r="U4609" s="141" t="n"/>
      <c r="V4609" s="138" t="n"/>
      <c r="W4609" s="142" t="n"/>
      <c r="X4609" s="138" t="n"/>
    </row>
    <row r="4610" ht="24" customHeight="1">
      <c r="A4610" s="2">
        <f>+D4610-S4610</f>
        <v/>
      </c>
      <c r="B4610" s="126" t="n">
        <v>6196</v>
      </c>
      <c r="C4610" s="139" t="n"/>
      <c r="D4610" s="138" t="n"/>
      <c r="E4610" s="138" t="n"/>
      <c r="F4610" s="138" t="n"/>
      <c r="G4610" s="15" t="n"/>
      <c r="H4610" s="131" t="n"/>
      <c r="I4610" s="131" t="n"/>
      <c r="J4610" s="131" t="n"/>
      <c r="K4610" s="143" t="n"/>
      <c r="L4610" s="127" t="n"/>
      <c r="M4610" s="138" t="n"/>
      <c r="N4610" s="138" t="n"/>
      <c r="O4610" s="138" t="n"/>
      <c r="P4610" s="139" t="n"/>
      <c r="Q4610" s="140" t="n"/>
      <c r="R4610" s="138" t="n"/>
      <c r="S4610" s="138" t="n"/>
      <c r="T4610" s="138" t="n"/>
      <c r="U4610" s="141" t="n"/>
      <c r="V4610" s="138" t="n"/>
      <c r="W4610" s="142" t="n"/>
      <c r="X4610" s="138" t="n"/>
    </row>
    <row r="4611" ht="24" customHeight="1">
      <c r="A4611" s="2">
        <f>+D4611-S4611</f>
        <v/>
      </c>
      <c r="B4611" s="126" t="n">
        <v>6197</v>
      </c>
      <c r="C4611" s="66" t="n"/>
      <c r="D4611" s="2" t="n"/>
      <c r="E4611" s="3" t="n"/>
      <c r="F4611" s="3" t="n"/>
      <c r="G4611" s="84" t="n"/>
      <c r="H4611" s="107" t="n"/>
      <c r="I4611" s="107" t="n"/>
      <c r="J4611" s="107" t="n"/>
      <c r="K4611" s="65" t="n"/>
      <c r="L4611" s="127" t="n"/>
      <c r="M4611" s="5" t="n"/>
      <c r="N4611" s="5" t="n"/>
      <c r="O4611" s="5">
        <f>+M4611+N4611</f>
        <v/>
      </c>
      <c r="P4611" s="4" t="n"/>
      <c r="Q4611" s="87" t="n"/>
      <c r="R4611" s="5" t="n"/>
      <c r="S4611" s="2" t="n"/>
      <c r="T4611" s="3" t="n"/>
      <c r="U4611" s="87" t="n"/>
      <c r="V4611" s="3" t="n"/>
      <c r="W4611" s="108" t="n"/>
      <c r="X4611" s="4" t="n"/>
    </row>
    <row r="4612" ht="24" customHeight="1">
      <c r="A4612" s="2">
        <f>+D4612-S4612</f>
        <v/>
      </c>
      <c r="B4612" s="126" t="n">
        <v>6198</v>
      </c>
      <c r="C4612" s="66" t="n"/>
      <c r="D4612" s="2" t="n"/>
      <c r="E4612" s="3" t="n"/>
      <c r="F4612" s="3" t="n"/>
      <c r="G4612" s="84" t="n"/>
      <c r="H4612" s="107" t="n"/>
      <c r="I4612" s="107" t="n"/>
      <c r="J4612" s="107" t="n"/>
      <c r="K4612" s="65" t="n"/>
      <c r="L4612" s="127" t="n"/>
      <c r="M4612" s="5" t="n"/>
      <c r="N4612" s="5" t="n"/>
      <c r="O4612" s="5">
        <f>+M4612+N4612</f>
        <v/>
      </c>
      <c r="P4612" s="4" t="n"/>
      <c r="Q4612" s="87" t="n"/>
      <c r="R4612" s="5" t="n"/>
      <c r="S4612" s="2" t="n"/>
      <c r="T4612" s="3" t="n"/>
      <c r="U4612" s="87" t="n"/>
      <c r="V4612" s="3" t="n"/>
      <c r="W4612" s="108" t="n"/>
      <c r="X4612" s="4" t="n"/>
    </row>
    <row r="4613" ht="24" customHeight="1">
      <c r="A4613" s="2">
        <f>+D4613-S4613</f>
        <v/>
      </c>
      <c r="B4613" s="126" t="n">
        <v>6199</v>
      </c>
      <c r="C4613" s="66" t="n"/>
      <c r="D4613" s="2" t="n"/>
      <c r="E4613" s="3" t="n"/>
      <c r="F4613" s="3" t="n"/>
      <c r="G4613" s="84" t="n"/>
      <c r="H4613" s="107" t="n"/>
      <c r="I4613" s="107" t="n"/>
      <c r="J4613" s="107" t="n"/>
      <c r="K4613" s="65" t="n"/>
      <c r="L4613" s="127" t="n"/>
      <c r="M4613" s="5" t="n"/>
      <c r="N4613" s="5" t="n"/>
      <c r="O4613" s="5">
        <f>+M4613+N4613</f>
        <v/>
      </c>
      <c r="P4613" s="4" t="n"/>
      <c r="Q4613" s="87" t="n"/>
      <c r="R4613" s="5" t="n"/>
      <c r="S4613" s="2" t="n"/>
      <c r="T4613" s="3" t="n"/>
      <c r="U4613" s="87" t="n"/>
      <c r="V4613" s="3" t="n"/>
      <c r="W4613" s="108" t="n"/>
      <c r="X4613" s="4" t="n"/>
    </row>
    <row r="4614" ht="24" customHeight="1">
      <c r="A4614" s="2">
        <f>+D4614-S4614</f>
        <v/>
      </c>
      <c r="B4614" s="126" t="n">
        <v>6200</v>
      </c>
      <c r="C4614" s="66" t="n"/>
      <c r="D4614" s="2" t="n"/>
      <c r="E4614" s="3" t="n"/>
      <c r="F4614" s="3" t="n"/>
      <c r="G4614" s="84" t="n"/>
      <c r="H4614" s="107" t="n"/>
      <c r="I4614" s="107" t="n"/>
      <c r="J4614" s="107" t="n"/>
      <c r="K4614" s="65" t="n"/>
      <c r="L4614" s="127" t="n"/>
      <c r="M4614" s="5" t="n"/>
      <c r="N4614" s="5" t="n"/>
      <c r="O4614" s="5">
        <f>+M4614+N4614</f>
        <v/>
      </c>
      <c r="P4614" s="4" t="n"/>
      <c r="Q4614" s="87" t="n"/>
      <c r="R4614" s="5" t="n"/>
      <c r="S4614" s="2" t="n"/>
      <c r="T4614" s="3" t="n"/>
      <c r="U4614" s="87" t="n"/>
      <c r="V4614" s="3" t="n"/>
      <c r="W4614" s="108" t="n"/>
      <c r="X4614" s="4" t="n"/>
    </row>
    <row r="4615" ht="24" customHeight="1">
      <c r="A4615" s="2">
        <f>+D4615-S4615</f>
        <v/>
      </c>
      <c r="B4615" s="126" t="n">
        <v>6201</v>
      </c>
      <c r="C4615" s="66" t="n"/>
      <c r="D4615" s="2" t="n"/>
      <c r="E4615" s="3" t="n"/>
      <c r="F4615" s="3" t="n"/>
      <c r="G4615" s="84" t="n"/>
      <c r="H4615" s="107" t="n"/>
      <c r="I4615" s="107" t="n"/>
      <c r="J4615" s="107" t="n"/>
      <c r="K4615" s="65" t="n"/>
      <c r="L4615" s="127" t="n"/>
      <c r="M4615" s="5" t="n"/>
      <c r="N4615" s="5" t="n"/>
      <c r="O4615" s="5">
        <f>+M4615+N4615</f>
        <v/>
      </c>
      <c r="P4615" s="4" t="n"/>
      <c r="Q4615" s="87" t="n"/>
      <c r="R4615" s="5" t="n"/>
      <c r="S4615" s="2" t="n"/>
      <c r="T4615" s="3" t="n"/>
      <c r="U4615" s="87" t="n"/>
      <c r="V4615" s="3" t="n"/>
      <c r="W4615" s="108" t="n"/>
      <c r="X4615" s="4" t="n"/>
    </row>
    <row r="4616" ht="24" customHeight="1">
      <c r="A4616" s="2">
        <f>+D4616-S4616</f>
        <v/>
      </c>
      <c r="B4616" s="126" t="n">
        <v>6202</v>
      </c>
      <c r="C4616" s="66" t="n"/>
      <c r="D4616" s="2" t="n"/>
      <c r="E4616" s="3" t="n"/>
      <c r="F4616" s="3" t="n"/>
      <c r="G4616" s="84" t="n"/>
      <c r="H4616" s="107" t="n"/>
      <c r="I4616" s="107" t="n"/>
      <c r="J4616" s="107" t="n"/>
      <c r="K4616" s="65" t="n"/>
      <c r="L4616" s="127" t="n"/>
      <c r="M4616" s="5" t="n"/>
      <c r="N4616" s="5" t="n"/>
      <c r="O4616" s="5">
        <f>+M4616+N4616</f>
        <v/>
      </c>
      <c r="P4616" s="4" t="n"/>
      <c r="Q4616" s="87" t="n"/>
      <c r="R4616" s="5" t="n"/>
      <c r="S4616" s="2" t="n"/>
      <c r="T4616" s="3" t="n"/>
      <c r="U4616" s="87" t="n"/>
      <c r="V4616" s="3" t="n"/>
      <c r="W4616" s="108" t="n"/>
      <c r="X4616" s="4" t="n"/>
    </row>
    <row r="4617" ht="24" customHeight="1">
      <c r="A4617" s="2">
        <f>+D4617-S4617</f>
        <v/>
      </c>
      <c r="B4617" s="126" t="n">
        <v>6203</v>
      </c>
      <c r="C4617" s="66" t="n"/>
      <c r="D4617" s="2" t="n"/>
      <c r="E4617" s="3" t="n"/>
      <c r="F4617" s="3" t="n"/>
      <c r="G4617" s="84" t="n"/>
      <c r="H4617" s="107" t="n"/>
      <c r="I4617" s="107" t="n"/>
      <c r="J4617" s="107" t="n"/>
      <c r="K4617" s="65" t="n"/>
      <c r="L4617" s="127" t="n"/>
      <c r="M4617" s="5" t="n"/>
      <c r="N4617" s="5" t="n"/>
      <c r="O4617" s="5">
        <f>+M4617+N4617</f>
        <v/>
      </c>
      <c r="P4617" s="4" t="n"/>
      <c r="Q4617" s="87" t="n"/>
      <c r="R4617" s="5" t="n"/>
      <c r="S4617" s="2" t="n"/>
      <c r="T4617" s="3" t="n"/>
      <c r="U4617" s="87" t="n"/>
      <c r="V4617" s="3" t="n"/>
      <c r="W4617" s="108" t="n"/>
      <c r="X4617" s="4" t="n"/>
    </row>
    <row r="4618" ht="24" customHeight="1">
      <c r="A4618" s="2">
        <f>+D4618-S4618</f>
        <v/>
      </c>
      <c r="B4618" s="126" t="n">
        <v>6204</v>
      </c>
      <c r="C4618" s="66" t="n"/>
      <c r="D4618" s="2" t="n"/>
      <c r="E4618" s="3" t="n"/>
      <c r="F4618" s="3" t="n"/>
      <c r="G4618" s="84" t="n"/>
      <c r="H4618" s="107" t="n"/>
      <c r="I4618" s="107" t="n"/>
      <c r="J4618" s="107" t="n"/>
      <c r="K4618" s="65" t="n"/>
      <c r="L4618" s="127" t="n"/>
      <c r="M4618" s="5" t="n"/>
      <c r="N4618" s="5" t="n"/>
      <c r="O4618" s="5">
        <f>+M4618+N4618</f>
        <v/>
      </c>
      <c r="P4618" s="4" t="n"/>
      <c r="Q4618" s="87" t="n"/>
      <c r="R4618" s="5" t="n"/>
      <c r="S4618" s="2" t="n"/>
      <c r="T4618" s="3" t="n"/>
      <c r="U4618" s="87" t="n"/>
      <c r="V4618" s="3" t="n"/>
      <c r="W4618" s="108" t="n"/>
      <c r="X4618" s="4" t="n"/>
    </row>
    <row r="4619" ht="24" customHeight="1">
      <c r="A4619" s="2">
        <f>+D4619-S4619</f>
        <v/>
      </c>
      <c r="B4619" s="126" t="n">
        <v>6205</v>
      </c>
      <c r="C4619" s="66" t="n"/>
      <c r="D4619" s="2" t="n"/>
      <c r="E4619" s="3" t="n"/>
      <c r="F4619" s="3" t="n"/>
      <c r="G4619" s="84" t="n"/>
      <c r="H4619" s="107" t="n"/>
      <c r="I4619" s="107" t="n"/>
      <c r="J4619" s="107" t="n"/>
      <c r="K4619" s="65" t="n"/>
      <c r="L4619" s="127" t="n"/>
      <c r="M4619" s="5" t="n"/>
      <c r="N4619" s="5" t="n"/>
      <c r="O4619" s="5">
        <f>+M4619+N4619</f>
        <v/>
      </c>
      <c r="P4619" s="4" t="n"/>
      <c r="Q4619" s="87" t="n"/>
      <c r="R4619" s="5" t="n"/>
      <c r="S4619" s="2" t="n"/>
      <c r="T4619" s="3" t="n"/>
      <c r="U4619" s="87" t="n"/>
      <c r="V4619" s="3" t="n"/>
      <c r="W4619" s="108" t="n"/>
      <c r="X4619" s="4" t="n"/>
    </row>
    <row r="4620" ht="24" customHeight="1">
      <c r="A4620" s="2">
        <f>+D4620-S4620</f>
        <v/>
      </c>
      <c r="B4620" s="126" t="n">
        <v>6206</v>
      </c>
      <c r="C4620" s="66" t="n"/>
      <c r="D4620" s="2" t="n"/>
      <c r="E4620" s="3" t="n"/>
      <c r="F4620" s="3" t="n"/>
      <c r="G4620" s="84" t="n"/>
      <c r="H4620" s="107" t="n"/>
      <c r="I4620" s="107" t="n"/>
      <c r="J4620" s="107" t="n"/>
      <c r="K4620" s="65" t="n"/>
      <c r="L4620" s="127" t="n"/>
      <c r="M4620" s="5" t="n"/>
      <c r="N4620" s="5" t="n"/>
      <c r="O4620" s="5">
        <f>+M4620+N4620</f>
        <v/>
      </c>
      <c r="P4620" s="4" t="n"/>
      <c r="Q4620" s="87" t="n"/>
      <c r="R4620" s="5" t="n"/>
      <c r="S4620" s="2" t="n"/>
      <c r="T4620" s="3" t="n"/>
      <c r="U4620" s="87" t="n"/>
      <c r="V4620" s="3" t="n"/>
      <c r="W4620" s="108" t="n"/>
      <c r="X4620" s="4" t="n"/>
    </row>
    <row r="4621" ht="24" customHeight="1">
      <c r="A4621" s="2">
        <f>+D4621-S4621</f>
        <v/>
      </c>
      <c r="B4621" s="126" t="n">
        <v>6207</v>
      </c>
      <c r="C4621" s="66" t="n"/>
      <c r="D4621" s="2" t="n"/>
      <c r="E4621" s="3" t="n"/>
      <c r="F4621" s="3" t="n"/>
      <c r="G4621" s="84" t="n"/>
      <c r="H4621" s="107" t="n"/>
      <c r="I4621" s="107" t="n"/>
      <c r="J4621" s="107" t="n"/>
      <c r="K4621" s="65" t="n"/>
      <c r="L4621" s="127" t="n"/>
      <c r="M4621" s="5" t="n"/>
      <c r="N4621" s="5" t="n"/>
      <c r="O4621" s="5">
        <f>+M4621+N4621</f>
        <v/>
      </c>
      <c r="P4621" s="4" t="n"/>
      <c r="Q4621" s="87" t="n"/>
      <c r="R4621" s="5" t="n"/>
      <c r="S4621" s="2" t="n"/>
      <c r="T4621" s="3" t="n"/>
      <c r="U4621" s="87" t="n"/>
      <c r="V4621" s="3" t="n"/>
      <c r="W4621" s="108" t="n"/>
      <c r="X4621" s="4" t="n"/>
    </row>
    <row r="4622" ht="24" customHeight="1">
      <c r="A4622" s="2">
        <f>+D4622-S4622</f>
        <v/>
      </c>
      <c r="B4622" s="126" t="n">
        <v>6208</v>
      </c>
      <c r="C4622" s="66" t="n"/>
      <c r="D4622" s="2" t="n"/>
      <c r="E4622" s="3" t="n"/>
      <c r="F4622" s="3" t="n"/>
      <c r="G4622" s="84" t="n"/>
      <c r="H4622" s="107" t="n"/>
      <c r="I4622" s="107" t="n"/>
      <c r="J4622" s="107" t="n"/>
      <c r="K4622" s="65" t="n"/>
      <c r="L4622" s="127" t="n"/>
      <c r="M4622" s="5" t="n"/>
      <c r="N4622" s="5" t="n"/>
      <c r="O4622" s="5">
        <f>+M4622+N4622</f>
        <v/>
      </c>
      <c r="P4622" s="4" t="n"/>
      <c r="Q4622" s="87" t="n"/>
      <c r="R4622" s="5" t="n"/>
      <c r="S4622" s="2" t="n"/>
      <c r="T4622" s="3" t="n"/>
      <c r="U4622" s="87" t="n"/>
      <c r="V4622" s="3" t="n"/>
      <c r="W4622" s="108" t="n"/>
      <c r="X4622" s="4" t="n"/>
    </row>
    <row r="4623" ht="24" customHeight="1">
      <c r="A4623" s="2">
        <f>+D4623-S4623</f>
        <v/>
      </c>
      <c r="B4623" s="126" t="n">
        <v>6209</v>
      </c>
      <c r="C4623" s="66" t="n"/>
      <c r="D4623" s="2" t="n"/>
      <c r="E4623" s="3" t="n"/>
      <c r="F4623" s="3" t="n"/>
      <c r="G4623" s="84" t="n"/>
      <c r="H4623" s="107" t="n"/>
      <c r="I4623" s="107" t="n"/>
      <c r="J4623" s="107" t="n"/>
      <c r="K4623" s="65" t="n"/>
      <c r="L4623" s="127" t="n"/>
      <c r="M4623" s="5" t="n"/>
      <c r="N4623" s="5" t="n"/>
      <c r="O4623" s="5">
        <f>+M4623+N4623</f>
        <v/>
      </c>
      <c r="P4623" s="4" t="n"/>
      <c r="Q4623" s="87" t="n"/>
      <c r="R4623" s="5" t="n"/>
      <c r="S4623" s="2" t="n"/>
      <c r="T4623" s="3" t="n"/>
      <c r="U4623" s="87" t="n"/>
      <c r="V4623" s="3" t="n"/>
      <c r="W4623" s="108" t="n"/>
      <c r="X4623" s="4" t="n"/>
    </row>
    <row r="4624" ht="24" customHeight="1">
      <c r="A4624" s="2">
        <f>+D4624-S4624</f>
        <v/>
      </c>
      <c r="B4624" s="126" t="n">
        <v>6210</v>
      </c>
      <c r="C4624" s="66" t="n"/>
      <c r="D4624" s="2" t="n"/>
      <c r="E4624" s="3" t="n"/>
      <c r="F4624" s="3" t="n"/>
      <c r="G4624" s="84" t="n"/>
      <c r="H4624" s="107" t="n"/>
      <c r="I4624" s="107" t="n"/>
      <c r="J4624" s="107" t="n"/>
      <c r="K4624" s="65" t="n"/>
      <c r="L4624" s="127" t="n"/>
      <c r="M4624" s="5" t="n"/>
      <c r="N4624" s="5" t="n"/>
      <c r="O4624" s="5">
        <f>+M4624+N4624</f>
        <v/>
      </c>
      <c r="P4624" s="4" t="n"/>
      <c r="Q4624" s="87" t="n"/>
      <c r="R4624" s="5" t="n"/>
      <c r="S4624" s="2" t="n"/>
      <c r="T4624" s="3" t="n"/>
      <c r="U4624" s="87" t="n"/>
      <c r="V4624" s="3" t="n"/>
      <c r="W4624" s="108" t="n"/>
      <c r="X4624" s="4" t="n"/>
    </row>
    <row r="4625" ht="24" customHeight="1">
      <c r="A4625" s="2">
        <f>+D4625-S4625</f>
        <v/>
      </c>
      <c r="B4625" s="126" t="n">
        <v>6211</v>
      </c>
      <c r="C4625" s="66" t="n"/>
      <c r="D4625" s="2" t="n"/>
      <c r="E4625" s="3" t="n"/>
      <c r="F4625" s="3" t="n"/>
      <c r="G4625" s="84" t="n"/>
      <c r="H4625" s="107" t="n"/>
      <c r="I4625" s="107" t="n"/>
      <c r="J4625" s="107" t="n"/>
      <c r="K4625" s="65" t="n"/>
      <c r="L4625" s="127" t="n"/>
      <c r="M4625" s="5" t="n"/>
      <c r="N4625" s="5" t="n"/>
      <c r="O4625" s="5">
        <f>+M4625+N4625</f>
        <v/>
      </c>
      <c r="P4625" s="4" t="n"/>
      <c r="Q4625" s="87" t="n"/>
      <c r="R4625" s="5" t="n"/>
      <c r="S4625" s="2" t="n"/>
      <c r="T4625" s="3" t="n"/>
      <c r="U4625" s="87" t="n"/>
      <c r="V4625" s="3" t="n"/>
      <c r="W4625" s="108" t="n"/>
      <c r="X4625" s="4" t="n"/>
    </row>
    <row r="4626" ht="24" customHeight="1">
      <c r="A4626" s="2">
        <f>+D4626-S4626</f>
        <v/>
      </c>
      <c r="B4626" s="126" t="n">
        <v>6212</v>
      </c>
      <c r="C4626" s="66" t="n"/>
      <c r="D4626" s="2" t="n"/>
      <c r="E4626" s="3" t="n"/>
      <c r="F4626" s="3" t="n"/>
      <c r="G4626" s="84" t="n"/>
      <c r="H4626" s="107" t="n"/>
      <c r="I4626" s="107" t="n"/>
      <c r="J4626" s="107" t="n"/>
      <c r="K4626" s="65" t="n"/>
      <c r="L4626" s="127" t="n"/>
      <c r="M4626" s="5" t="n"/>
      <c r="N4626" s="5" t="n"/>
      <c r="O4626" s="5">
        <f>+M4626+N4626</f>
        <v/>
      </c>
      <c r="P4626" s="4" t="n"/>
      <c r="Q4626" s="87" t="n"/>
      <c r="R4626" s="5" t="n"/>
      <c r="S4626" s="2" t="n"/>
      <c r="T4626" s="3" t="n"/>
      <c r="U4626" s="87" t="n"/>
      <c r="V4626" s="3" t="n"/>
      <c r="W4626" s="108" t="n"/>
      <c r="X4626" s="4" t="n"/>
    </row>
    <row r="4627" ht="24" customHeight="1">
      <c r="A4627" s="2">
        <f>+D4627-S4627</f>
        <v/>
      </c>
      <c r="B4627" s="126" t="n">
        <v>6213</v>
      </c>
      <c r="C4627" s="66" t="n"/>
      <c r="D4627" s="2" t="n"/>
      <c r="E4627" s="3" t="n"/>
      <c r="F4627" s="3" t="n"/>
      <c r="G4627" s="84" t="n"/>
      <c r="H4627" s="107" t="n"/>
      <c r="I4627" s="107" t="n"/>
      <c r="J4627" s="107" t="n"/>
      <c r="K4627" s="65" t="n"/>
      <c r="L4627" s="127" t="n"/>
      <c r="M4627" s="5" t="n"/>
      <c r="N4627" s="5" t="n"/>
      <c r="O4627" s="5">
        <f>+M4627+N4627</f>
        <v/>
      </c>
      <c r="P4627" s="4" t="n"/>
      <c r="Q4627" s="87" t="n"/>
      <c r="R4627" s="5" t="n"/>
      <c r="S4627" s="2" t="n"/>
      <c r="T4627" s="3" t="n"/>
      <c r="U4627" s="87" t="n"/>
      <c r="V4627" s="3" t="n"/>
      <c r="W4627" s="108" t="n"/>
      <c r="X4627" s="4" t="n"/>
    </row>
    <row r="4628" ht="24" customHeight="1">
      <c r="A4628" s="2">
        <f>+D4628-S4628</f>
        <v/>
      </c>
      <c r="B4628" s="126" t="n">
        <v>6214</v>
      </c>
      <c r="C4628" s="66" t="n"/>
      <c r="D4628" s="2" t="n"/>
      <c r="E4628" s="3" t="n"/>
      <c r="F4628" s="3" t="n"/>
      <c r="G4628" s="84" t="n"/>
      <c r="H4628" s="107" t="n"/>
      <c r="I4628" s="107" t="n"/>
      <c r="J4628" s="107" t="n"/>
      <c r="K4628" s="65" t="n"/>
      <c r="L4628" s="127" t="n"/>
      <c r="M4628" s="5" t="n"/>
      <c r="N4628" s="5" t="n"/>
      <c r="O4628" s="5">
        <f>+M4628+N4628</f>
        <v/>
      </c>
      <c r="P4628" s="4" t="n"/>
      <c r="Q4628" s="87" t="n"/>
      <c r="R4628" s="5" t="n"/>
      <c r="S4628" s="2" t="n"/>
      <c r="T4628" s="3" t="n"/>
      <c r="U4628" s="87" t="n"/>
      <c r="V4628" s="3" t="n"/>
      <c r="W4628" s="108" t="n"/>
      <c r="X4628" s="4" t="n"/>
    </row>
    <row r="4629" ht="24" customHeight="1">
      <c r="A4629" s="2">
        <f>+D4629-S4629</f>
        <v/>
      </c>
      <c r="B4629" s="126" t="n">
        <v>6215</v>
      </c>
      <c r="C4629" s="66" t="n"/>
      <c r="D4629" s="2" t="n"/>
      <c r="E4629" s="3" t="n"/>
      <c r="F4629" s="3" t="n"/>
      <c r="G4629" s="84" t="n"/>
      <c r="H4629" s="107" t="n"/>
      <c r="I4629" s="107" t="n"/>
      <c r="J4629" s="107" t="n"/>
      <c r="K4629" s="65" t="n"/>
      <c r="L4629" s="127" t="n"/>
      <c r="M4629" s="5" t="n"/>
      <c r="N4629" s="5" t="n"/>
      <c r="O4629" s="5">
        <f>+M4629+N4629</f>
        <v/>
      </c>
      <c r="P4629" s="4" t="n"/>
      <c r="Q4629" s="87" t="n"/>
      <c r="R4629" s="5" t="n"/>
      <c r="S4629" s="2" t="n"/>
      <c r="T4629" s="3" t="n"/>
      <c r="U4629" s="87" t="n"/>
      <c r="V4629" s="3" t="n"/>
      <c r="W4629" s="108" t="n"/>
      <c r="X4629" s="4" t="n"/>
    </row>
    <row r="4630" ht="24" customHeight="1">
      <c r="A4630" s="2">
        <f>+D4630-S4630</f>
        <v/>
      </c>
      <c r="B4630" s="126" t="n">
        <v>6216</v>
      </c>
      <c r="C4630" s="66" t="n"/>
      <c r="D4630" s="2" t="n"/>
      <c r="E4630" s="3" t="n"/>
      <c r="F4630" s="3" t="n"/>
      <c r="G4630" s="84" t="n"/>
      <c r="H4630" s="107" t="n"/>
      <c r="I4630" s="107" t="n"/>
      <c r="J4630" s="107" t="n"/>
      <c r="K4630" s="65" t="n"/>
      <c r="L4630" s="127" t="n"/>
      <c r="M4630" s="5" t="n"/>
      <c r="N4630" s="5" t="n"/>
      <c r="O4630" s="5">
        <f>+M4630+N4630</f>
        <v/>
      </c>
      <c r="P4630" s="4" t="n"/>
      <c r="Q4630" s="87" t="n"/>
      <c r="R4630" s="5" t="n"/>
      <c r="S4630" s="2" t="n"/>
      <c r="T4630" s="3" t="n"/>
      <c r="U4630" s="87" t="n"/>
      <c r="V4630" s="3" t="n"/>
      <c r="W4630" s="108" t="n"/>
      <c r="X4630" s="4" t="n"/>
    </row>
    <row r="4631" ht="24" customHeight="1">
      <c r="A4631" s="2">
        <f>+D4631-S4631</f>
        <v/>
      </c>
      <c r="B4631" s="126" t="n">
        <v>6217</v>
      </c>
      <c r="C4631" s="66" t="n"/>
      <c r="D4631" s="2" t="n"/>
      <c r="E4631" s="3" t="n"/>
      <c r="F4631" s="3" t="n"/>
      <c r="G4631" s="84" t="n"/>
      <c r="H4631" s="107" t="n"/>
      <c r="I4631" s="107" t="n"/>
      <c r="J4631" s="107" t="n"/>
      <c r="K4631" s="65" t="n"/>
      <c r="L4631" s="127" t="n"/>
      <c r="M4631" s="5" t="n"/>
      <c r="N4631" s="5" t="n"/>
      <c r="O4631" s="5">
        <f>+M4631+N4631</f>
        <v/>
      </c>
      <c r="P4631" s="4" t="n"/>
      <c r="Q4631" s="87" t="n"/>
      <c r="R4631" s="5" t="n"/>
      <c r="S4631" s="2" t="n"/>
      <c r="T4631" s="3" t="n"/>
      <c r="U4631" s="87" t="n"/>
      <c r="V4631" s="3" t="n"/>
      <c r="W4631" s="108" t="n"/>
      <c r="X4631" s="4" t="n"/>
    </row>
    <row r="4632" ht="24" customHeight="1">
      <c r="A4632" s="2">
        <f>+D4632-S4632</f>
        <v/>
      </c>
      <c r="B4632" s="126" t="n">
        <v>6218</v>
      </c>
      <c r="C4632" s="66" t="n"/>
      <c r="D4632" s="2" t="n"/>
      <c r="E4632" s="3" t="n"/>
      <c r="F4632" s="3" t="n"/>
      <c r="G4632" s="84" t="n"/>
      <c r="H4632" s="107" t="n"/>
      <c r="I4632" s="107" t="n"/>
      <c r="J4632" s="107" t="n"/>
      <c r="K4632" s="65" t="n"/>
      <c r="L4632" s="127" t="n"/>
      <c r="M4632" s="5" t="n"/>
      <c r="N4632" s="5" t="n"/>
      <c r="O4632" s="5">
        <f>+M4632+N4632</f>
        <v/>
      </c>
      <c r="P4632" s="4" t="n"/>
      <c r="Q4632" s="87" t="n"/>
      <c r="R4632" s="5" t="n"/>
      <c r="S4632" s="2" t="n"/>
      <c r="T4632" s="3" t="n"/>
      <c r="U4632" s="87" t="n"/>
      <c r="V4632" s="3" t="n"/>
      <c r="W4632" s="108" t="n"/>
      <c r="X4632" s="4" t="n"/>
    </row>
    <row r="4633" ht="24" customHeight="1">
      <c r="A4633" s="2">
        <f>+D4633-S4633</f>
        <v/>
      </c>
      <c r="B4633" s="126" t="n">
        <v>6219</v>
      </c>
      <c r="C4633" s="66" t="n"/>
      <c r="D4633" s="2" t="n"/>
      <c r="E4633" s="3" t="n"/>
      <c r="F4633" s="3" t="n"/>
      <c r="G4633" s="84" t="n"/>
      <c r="H4633" s="107" t="n"/>
      <c r="I4633" s="107" t="n"/>
      <c r="J4633" s="107" t="n"/>
      <c r="K4633" s="65" t="n"/>
      <c r="L4633" s="127" t="n"/>
      <c r="M4633" s="5" t="n"/>
      <c r="N4633" s="5" t="n"/>
      <c r="O4633" s="5">
        <f>+M4633+N4633</f>
        <v/>
      </c>
      <c r="P4633" s="4" t="n"/>
      <c r="Q4633" s="87" t="n"/>
      <c r="R4633" s="5" t="n"/>
      <c r="S4633" s="2" t="n"/>
      <c r="T4633" s="3" t="n"/>
      <c r="U4633" s="87" t="n"/>
      <c r="V4633" s="3" t="n"/>
      <c r="W4633" s="108" t="n"/>
      <c r="X4633" s="4" t="n"/>
    </row>
    <row r="4634" ht="24" customHeight="1">
      <c r="A4634" s="2">
        <f>+D4634-S4634</f>
        <v/>
      </c>
      <c r="B4634" s="126" t="n">
        <v>6220</v>
      </c>
      <c r="C4634" s="66" t="n"/>
      <c r="D4634" s="2" t="n"/>
      <c r="E4634" s="3" t="n"/>
      <c r="F4634" s="3" t="n"/>
      <c r="G4634" s="84" t="n"/>
      <c r="H4634" s="107" t="n"/>
      <c r="I4634" s="107" t="n"/>
      <c r="J4634" s="107" t="n"/>
      <c r="K4634" s="65" t="n"/>
      <c r="L4634" s="127" t="n"/>
      <c r="M4634" s="5" t="n"/>
      <c r="N4634" s="5" t="n"/>
      <c r="O4634" s="5">
        <f>+M4634+N4634</f>
        <v/>
      </c>
      <c r="P4634" s="4" t="n"/>
      <c r="Q4634" s="87" t="n"/>
      <c r="R4634" s="5" t="n"/>
      <c r="S4634" s="2" t="n"/>
      <c r="T4634" s="3" t="n"/>
      <c r="U4634" s="87" t="n"/>
      <c r="V4634" s="3" t="n"/>
      <c r="W4634" s="108" t="n"/>
      <c r="X4634" s="4" t="n"/>
    </row>
    <row r="4635" ht="24" customHeight="1">
      <c r="A4635" s="2">
        <f>+D4635-S4635</f>
        <v/>
      </c>
      <c r="B4635" s="126" t="n">
        <v>6221</v>
      </c>
      <c r="C4635" s="66" t="n"/>
      <c r="D4635" s="2" t="n"/>
      <c r="E4635" s="3" t="n"/>
      <c r="F4635" s="3" t="n"/>
      <c r="G4635" s="84" t="n"/>
      <c r="H4635" s="107" t="n"/>
      <c r="I4635" s="107" t="n"/>
      <c r="J4635" s="107" t="n"/>
      <c r="K4635" s="65" t="n"/>
      <c r="L4635" s="127" t="n"/>
      <c r="M4635" s="5" t="n"/>
      <c r="N4635" s="5" t="n"/>
      <c r="O4635" s="5">
        <f>+M4635+N4635</f>
        <v/>
      </c>
      <c r="P4635" s="4" t="n"/>
      <c r="Q4635" s="87" t="n"/>
      <c r="R4635" s="5" t="n"/>
      <c r="S4635" s="2" t="n"/>
      <c r="T4635" s="3" t="n"/>
      <c r="U4635" s="87" t="n"/>
      <c r="V4635" s="3" t="n"/>
      <c r="W4635" s="108" t="n"/>
      <c r="X4635" s="4" t="n"/>
    </row>
    <row r="4636" ht="24" customHeight="1">
      <c r="A4636" s="2">
        <f>+D4636-S4636</f>
        <v/>
      </c>
      <c r="B4636" s="126" t="n">
        <v>6222</v>
      </c>
      <c r="C4636" s="66" t="n"/>
      <c r="D4636" s="2" t="n"/>
      <c r="E4636" s="3" t="n"/>
      <c r="F4636" s="3" t="n"/>
      <c r="G4636" s="84" t="n"/>
      <c r="H4636" s="107" t="n"/>
      <c r="I4636" s="107" t="n"/>
      <c r="J4636" s="107" t="n"/>
      <c r="K4636" s="65" t="n"/>
      <c r="L4636" s="127" t="n"/>
      <c r="M4636" s="5" t="n"/>
      <c r="N4636" s="5" t="n"/>
      <c r="O4636" s="5">
        <f>+M4636+N4636</f>
        <v/>
      </c>
      <c r="P4636" s="4" t="n"/>
      <c r="Q4636" s="87" t="n"/>
      <c r="R4636" s="5" t="n"/>
      <c r="S4636" s="2" t="n"/>
      <c r="T4636" s="3" t="n"/>
      <c r="U4636" s="87" t="n"/>
      <c r="V4636" s="3" t="n"/>
      <c r="W4636" s="108" t="n"/>
      <c r="X4636" s="4" t="n"/>
    </row>
    <row r="4637" ht="24" customHeight="1">
      <c r="A4637" s="2">
        <f>+D4637-S4637</f>
        <v/>
      </c>
      <c r="B4637" s="126" t="n">
        <v>6223</v>
      </c>
      <c r="C4637" s="66" t="n"/>
      <c r="D4637" s="2" t="n"/>
      <c r="E4637" s="3" t="n"/>
      <c r="F4637" s="3" t="n"/>
      <c r="G4637" s="84" t="n"/>
      <c r="H4637" s="107" t="n"/>
      <c r="I4637" s="107" t="n"/>
      <c r="J4637" s="107" t="n"/>
      <c r="K4637" s="65" t="n"/>
      <c r="L4637" s="127" t="n"/>
      <c r="M4637" s="5" t="n"/>
      <c r="N4637" s="5" t="n"/>
      <c r="O4637" s="5">
        <f>+M4637+N4637</f>
        <v/>
      </c>
      <c r="P4637" s="4" t="n"/>
      <c r="Q4637" s="87" t="n"/>
      <c r="R4637" s="5" t="n"/>
      <c r="S4637" s="2" t="n"/>
      <c r="T4637" s="3" t="n"/>
      <c r="U4637" s="87" t="n"/>
      <c r="V4637" s="3" t="n"/>
      <c r="W4637" s="108" t="n"/>
      <c r="X4637" s="4" t="n"/>
    </row>
    <row r="4638" ht="24" customHeight="1">
      <c r="A4638" s="2">
        <f>+D4638-S4638</f>
        <v/>
      </c>
      <c r="B4638" s="126" t="n">
        <v>6224</v>
      </c>
      <c r="C4638" s="66" t="n"/>
      <c r="D4638" s="2" t="n"/>
      <c r="E4638" s="3" t="n"/>
      <c r="F4638" s="3" t="n"/>
      <c r="G4638" s="84" t="n"/>
      <c r="H4638" s="107" t="n"/>
      <c r="I4638" s="107" t="n"/>
      <c r="J4638" s="107" t="n"/>
      <c r="K4638" s="65" t="n"/>
      <c r="L4638" s="127" t="n"/>
      <c r="M4638" s="5" t="n"/>
      <c r="N4638" s="5" t="n"/>
      <c r="O4638" s="5">
        <f>+M4638+N4638</f>
        <v/>
      </c>
      <c r="P4638" s="4" t="n"/>
      <c r="Q4638" s="87" t="n"/>
      <c r="R4638" s="5" t="n"/>
      <c r="S4638" s="2" t="n"/>
      <c r="T4638" s="3" t="n"/>
      <c r="U4638" s="87" t="n"/>
      <c r="V4638" s="3" t="n"/>
      <c r="W4638" s="108" t="n"/>
      <c r="X4638" s="4" t="n"/>
    </row>
    <row r="4639" ht="24" customHeight="1">
      <c r="A4639" s="2">
        <f>+D4639-S4639</f>
        <v/>
      </c>
      <c r="B4639" s="126" t="n">
        <v>6225</v>
      </c>
      <c r="C4639" s="66" t="n"/>
      <c r="D4639" s="2" t="n"/>
      <c r="E4639" s="3" t="n"/>
      <c r="F4639" s="3" t="n"/>
      <c r="G4639" s="84" t="n"/>
      <c r="H4639" s="107" t="n"/>
      <c r="I4639" s="107" t="n"/>
      <c r="J4639" s="107" t="n"/>
      <c r="K4639" s="65" t="n"/>
      <c r="L4639" s="127" t="n"/>
      <c r="M4639" s="5" t="n"/>
      <c r="N4639" s="5" t="n"/>
      <c r="O4639" s="5">
        <f>+M4639+N4639</f>
        <v/>
      </c>
      <c r="P4639" s="4" t="n"/>
      <c r="Q4639" s="87" t="n"/>
      <c r="R4639" s="5" t="n"/>
      <c r="S4639" s="2" t="n"/>
      <c r="T4639" s="3" t="n"/>
      <c r="U4639" s="87" t="n"/>
      <c r="V4639" s="3" t="n"/>
      <c r="W4639" s="108" t="n"/>
      <c r="X4639" s="4" t="n"/>
    </row>
    <row r="4640" ht="24" customHeight="1">
      <c r="A4640" s="2">
        <f>+D4640-S4640</f>
        <v/>
      </c>
      <c r="B4640" s="126" t="n">
        <v>6226</v>
      </c>
      <c r="C4640" s="66" t="n"/>
      <c r="D4640" s="2" t="n"/>
      <c r="E4640" s="3" t="n"/>
      <c r="F4640" s="3" t="n"/>
      <c r="G4640" s="84" t="n"/>
      <c r="H4640" s="107" t="n"/>
      <c r="I4640" s="107" t="n"/>
      <c r="J4640" s="107" t="n"/>
      <c r="K4640" s="65" t="n"/>
      <c r="L4640" s="127" t="n"/>
      <c r="M4640" s="5" t="n"/>
      <c r="N4640" s="5" t="n"/>
      <c r="O4640" s="5">
        <f>+M4640+N4640</f>
        <v/>
      </c>
      <c r="P4640" s="4" t="n"/>
      <c r="Q4640" s="87" t="n"/>
      <c r="R4640" s="5" t="n"/>
      <c r="S4640" s="2" t="n"/>
      <c r="T4640" s="3" t="n"/>
      <c r="U4640" s="87" t="n"/>
      <c r="V4640" s="3" t="n"/>
      <c r="W4640" s="108" t="n"/>
      <c r="X4640" s="4" t="n"/>
    </row>
    <row r="4641" ht="24" customHeight="1">
      <c r="A4641" s="2">
        <f>+D4641-S4641</f>
        <v/>
      </c>
      <c r="B4641" s="126" t="n">
        <v>6227</v>
      </c>
      <c r="C4641" s="66" t="n"/>
      <c r="D4641" s="2" t="n"/>
      <c r="E4641" s="3" t="n"/>
      <c r="F4641" s="3" t="n"/>
      <c r="G4641" s="84" t="n"/>
      <c r="H4641" s="107" t="n"/>
      <c r="I4641" s="107" t="n"/>
      <c r="J4641" s="107" t="n"/>
      <c r="K4641" s="65" t="n"/>
      <c r="L4641" s="127" t="n"/>
      <c r="M4641" s="5" t="n"/>
      <c r="N4641" s="5" t="n"/>
      <c r="O4641" s="5">
        <f>+M4641+N4641</f>
        <v/>
      </c>
      <c r="P4641" s="4" t="n"/>
      <c r="Q4641" s="87" t="n"/>
      <c r="R4641" s="5" t="n"/>
      <c r="S4641" s="2" t="n"/>
      <c r="T4641" s="3" t="n"/>
      <c r="U4641" s="87" t="n"/>
      <c r="V4641" s="3" t="n"/>
      <c r="W4641" s="108" t="n"/>
      <c r="X4641" s="4" t="n"/>
    </row>
    <row r="4642" ht="24" customHeight="1">
      <c r="A4642" s="2">
        <f>+D4642-S4642</f>
        <v/>
      </c>
      <c r="B4642" s="126" t="n">
        <v>6228</v>
      </c>
      <c r="C4642" s="66" t="n"/>
      <c r="D4642" s="2" t="n"/>
      <c r="E4642" s="3" t="n"/>
      <c r="F4642" s="3" t="n"/>
      <c r="G4642" s="84" t="n"/>
      <c r="H4642" s="107" t="n"/>
      <c r="I4642" s="107" t="n"/>
      <c r="J4642" s="107" t="n"/>
      <c r="K4642" s="65" t="n"/>
      <c r="L4642" s="127" t="n"/>
      <c r="M4642" s="5" t="n"/>
      <c r="N4642" s="5" t="n"/>
      <c r="O4642" s="5">
        <f>+M4642+N4642</f>
        <v/>
      </c>
      <c r="P4642" s="4" t="n"/>
      <c r="Q4642" s="87" t="n"/>
      <c r="R4642" s="5" t="n"/>
      <c r="S4642" s="2" t="n"/>
      <c r="T4642" s="3" t="n"/>
      <c r="U4642" s="87" t="n"/>
      <c r="V4642" s="3" t="n"/>
      <c r="W4642" s="108" t="n"/>
      <c r="X4642" s="4" t="n"/>
    </row>
    <row r="4643" ht="24" customHeight="1">
      <c r="A4643" s="2">
        <f>+D4643-S4643</f>
        <v/>
      </c>
      <c r="B4643" s="126" t="n">
        <v>6229</v>
      </c>
      <c r="C4643" s="66" t="n"/>
      <c r="D4643" s="2" t="n"/>
      <c r="E4643" s="3" t="n"/>
      <c r="F4643" s="3" t="n"/>
      <c r="G4643" s="84" t="n"/>
      <c r="H4643" s="107" t="n"/>
      <c r="I4643" s="107" t="n"/>
      <c r="J4643" s="107" t="n"/>
      <c r="K4643" s="65" t="n"/>
      <c r="L4643" s="127" t="n"/>
      <c r="M4643" s="5" t="n"/>
      <c r="N4643" s="5" t="n"/>
      <c r="O4643" s="5">
        <f>+M4643+N4643</f>
        <v/>
      </c>
      <c r="P4643" s="4" t="n"/>
      <c r="Q4643" s="87" t="n"/>
      <c r="R4643" s="5" t="n"/>
      <c r="S4643" s="2" t="n"/>
      <c r="T4643" s="3" t="n"/>
      <c r="U4643" s="87" t="n"/>
      <c r="V4643" s="3" t="n"/>
      <c r="W4643" s="108" t="n"/>
      <c r="X4643" s="4" t="n"/>
    </row>
    <row r="4644" ht="24" customHeight="1">
      <c r="A4644" s="2">
        <f>+D4644-S4644</f>
        <v/>
      </c>
      <c r="B4644" s="126" t="n">
        <v>6230</v>
      </c>
      <c r="C4644" s="66" t="n"/>
      <c r="D4644" s="2" t="n"/>
      <c r="E4644" s="3" t="n"/>
      <c r="F4644" s="3" t="n"/>
      <c r="G4644" s="84" t="n"/>
      <c r="H4644" s="107" t="n"/>
      <c r="I4644" s="107" t="n"/>
      <c r="J4644" s="107" t="n"/>
      <c r="K4644" s="65" t="n"/>
      <c r="L4644" s="127" t="n"/>
      <c r="M4644" s="5" t="n"/>
      <c r="N4644" s="5" t="n"/>
      <c r="O4644" s="5">
        <f>+M4644+N4644</f>
        <v/>
      </c>
      <c r="P4644" s="4" t="n"/>
      <c r="Q4644" s="87" t="n"/>
      <c r="R4644" s="5" t="n"/>
      <c r="S4644" s="2" t="n"/>
      <c r="T4644" s="3" t="n"/>
      <c r="U4644" s="87" t="n"/>
      <c r="V4644" s="3" t="n"/>
      <c r="W4644" s="108" t="n"/>
      <c r="X4644" s="4" t="n"/>
    </row>
    <row r="4645" ht="24" customHeight="1">
      <c r="A4645" s="2">
        <f>+D4645-S4645</f>
        <v/>
      </c>
      <c r="B4645" s="126" t="n">
        <v>6231</v>
      </c>
      <c r="C4645" s="66" t="n"/>
      <c r="D4645" s="2" t="n"/>
      <c r="E4645" s="3" t="n"/>
      <c r="F4645" s="3" t="n"/>
      <c r="G4645" s="84" t="n"/>
      <c r="H4645" s="107" t="n"/>
      <c r="I4645" s="107" t="n"/>
      <c r="J4645" s="107" t="n"/>
      <c r="K4645" s="65" t="n"/>
      <c r="L4645" s="127" t="n"/>
      <c r="M4645" s="5" t="n"/>
      <c r="N4645" s="5" t="n"/>
      <c r="O4645" s="5">
        <f>+M4645+N4645</f>
        <v/>
      </c>
      <c r="P4645" s="4" t="n"/>
      <c r="Q4645" s="87" t="n"/>
      <c r="R4645" s="5" t="n"/>
      <c r="S4645" s="2" t="n"/>
      <c r="T4645" s="3" t="n"/>
      <c r="U4645" s="87" t="n"/>
      <c r="V4645" s="3" t="n"/>
      <c r="W4645" s="108" t="n"/>
      <c r="X4645" s="4" t="n"/>
    </row>
    <row r="4646" ht="24" customHeight="1">
      <c r="A4646" s="2">
        <f>+D4646-S4646</f>
        <v/>
      </c>
      <c r="B4646" s="126" t="n">
        <v>6232</v>
      </c>
      <c r="C4646" s="66" t="n"/>
      <c r="D4646" s="2" t="n"/>
      <c r="E4646" s="3" t="n"/>
      <c r="F4646" s="3" t="n"/>
      <c r="G4646" s="84" t="n"/>
      <c r="H4646" s="107" t="n"/>
      <c r="I4646" s="107" t="n"/>
      <c r="J4646" s="107" t="n"/>
      <c r="K4646" s="65" t="n"/>
      <c r="L4646" s="127" t="n"/>
      <c r="M4646" s="5" t="n"/>
      <c r="N4646" s="5" t="n"/>
      <c r="O4646" s="5">
        <f>+M4646+N4646</f>
        <v/>
      </c>
      <c r="P4646" s="4" t="n"/>
      <c r="Q4646" s="87" t="n"/>
      <c r="R4646" s="5" t="n"/>
      <c r="S4646" s="2" t="n"/>
      <c r="T4646" s="3" t="n"/>
      <c r="U4646" s="87" t="n"/>
      <c r="V4646" s="3" t="n"/>
      <c r="W4646" s="108" t="n"/>
      <c r="X4646" s="4" t="n"/>
    </row>
    <row r="4647" ht="24" customHeight="1">
      <c r="A4647" s="2">
        <f>+D4647-S4647</f>
        <v/>
      </c>
      <c r="B4647" s="126" t="n">
        <v>6233</v>
      </c>
      <c r="C4647" s="66" t="n"/>
      <c r="D4647" s="2" t="n"/>
      <c r="E4647" s="3" t="n"/>
      <c r="F4647" s="3" t="n"/>
      <c r="G4647" s="84" t="n"/>
      <c r="H4647" s="107" t="n"/>
      <c r="I4647" s="107" t="n"/>
      <c r="J4647" s="107" t="n"/>
      <c r="K4647" s="65" t="n"/>
      <c r="L4647" s="127" t="n"/>
      <c r="M4647" s="5" t="n"/>
      <c r="N4647" s="5" t="n"/>
      <c r="O4647" s="5">
        <f>+M4647+N4647</f>
        <v/>
      </c>
      <c r="P4647" s="4" t="n"/>
      <c r="Q4647" s="87" t="n"/>
      <c r="R4647" s="5" t="n"/>
      <c r="S4647" s="2" t="n"/>
      <c r="T4647" s="3" t="n"/>
      <c r="U4647" s="87" t="n"/>
      <c r="V4647" s="3" t="n"/>
      <c r="W4647" s="108" t="n"/>
      <c r="X4647" s="4" t="n"/>
    </row>
    <row r="4648" ht="24" customHeight="1">
      <c r="A4648" s="2">
        <f>+D4648-S4648</f>
        <v/>
      </c>
      <c r="B4648" s="126" t="n">
        <v>6234</v>
      </c>
      <c r="C4648" s="66" t="n"/>
      <c r="D4648" s="2" t="n"/>
      <c r="E4648" s="3" t="n"/>
      <c r="F4648" s="3" t="n"/>
      <c r="G4648" s="84" t="n"/>
      <c r="H4648" s="107" t="n"/>
      <c r="I4648" s="107" t="n"/>
      <c r="J4648" s="107" t="n"/>
      <c r="K4648" s="65" t="n"/>
      <c r="L4648" s="127" t="n"/>
      <c r="M4648" s="5" t="n"/>
      <c r="N4648" s="5" t="n"/>
      <c r="O4648" s="5">
        <f>+M4648+N4648</f>
        <v/>
      </c>
      <c r="P4648" s="4" t="n"/>
      <c r="Q4648" s="87" t="n"/>
      <c r="R4648" s="5" t="n"/>
      <c r="S4648" s="2" t="n"/>
      <c r="T4648" s="3" t="n"/>
      <c r="U4648" s="87" t="n"/>
      <c r="V4648" s="3" t="n"/>
      <c r="W4648" s="108" t="n"/>
      <c r="X4648" s="4" t="n"/>
    </row>
    <row r="4649" ht="24" customHeight="1">
      <c r="A4649" s="2">
        <f>+D4649-S4649</f>
        <v/>
      </c>
      <c r="B4649" s="126" t="n">
        <v>6235</v>
      </c>
      <c r="C4649" s="66" t="n"/>
      <c r="D4649" s="2" t="n"/>
      <c r="E4649" s="3" t="n"/>
      <c r="F4649" s="3" t="n"/>
      <c r="G4649" s="84" t="n"/>
      <c r="H4649" s="107" t="n"/>
      <c r="I4649" s="107" t="n"/>
      <c r="J4649" s="107" t="n"/>
      <c r="K4649" s="65" t="n"/>
      <c r="L4649" s="127" t="n"/>
      <c r="M4649" s="5" t="n"/>
      <c r="N4649" s="5" t="n"/>
      <c r="O4649" s="5">
        <f>+M4649+N4649</f>
        <v/>
      </c>
      <c r="P4649" s="4" t="n"/>
      <c r="Q4649" s="87" t="n"/>
      <c r="R4649" s="5" t="n"/>
      <c r="S4649" s="2" t="n"/>
      <c r="T4649" s="3" t="n"/>
      <c r="U4649" s="87" t="n"/>
      <c r="V4649" s="3" t="n"/>
      <c r="W4649" s="108" t="n"/>
      <c r="X4649" s="4" t="n"/>
    </row>
    <row r="4650" ht="24" customHeight="1">
      <c r="A4650" s="2">
        <f>+D4650-S4650</f>
        <v/>
      </c>
      <c r="B4650" s="126" t="n">
        <v>6236</v>
      </c>
      <c r="C4650" s="66" t="n"/>
      <c r="D4650" s="2" t="n"/>
      <c r="E4650" s="3" t="n"/>
      <c r="F4650" s="3" t="n"/>
      <c r="G4650" s="84" t="n"/>
      <c r="H4650" s="107" t="n"/>
      <c r="I4650" s="107" t="n"/>
      <c r="J4650" s="107" t="n"/>
      <c r="K4650" s="65" t="n"/>
      <c r="L4650" s="127" t="n"/>
      <c r="M4650" s="5" t="n"/>
      <c r="N4650" s="5" t="n"/>
      <c r="O4650" s="5">
        <f>+M4650+N4650</f>
        <v/>
      </c>
      <c r="P4650" s="4" t="n"/>
      <c r="Q4650" s="87" t="n"/>
      <c r="R4650" s="5" t="n"/>
      <c r="S4650" s="2" t="n"/>
      <c r="T4650" s="3" t="n"/>
      <c r="U4650" s="87" t="n"/>
      <c r="V4650" s="3" t="n"/>
      <c r="W4650" s="108" t="n"/>
      <c r="X4650" s="4" t="n"/>
    </row>
    <row r="4651" ht="24" customHeight="1">
      <c r="A4651" s="2">
        <f>+D4651-S4651</f>
        <v/>
      </c>
      <c r="B4651" s="126" t="n">
        <v>6237</v>
      </c>
      <c r="C4651" s="66" t="n"/>
      <c r="D4651" s="2" t="n"/>
      <c r="E4651" s="3" t="n"/>
      <c r="F4651" s="3" t="n"/>
      <c r="G4651" s="84" t="n"/>
      <c r="H4651" s="107" t="n"/>
      <c r="I4651" s="107" t="n"/>
      <c r="J4651" s="107" t="n"/>
      <c r="K4651" s="65" t="n"/>
      <c r="L4651" s="127" t="n"/>
      <c r="M4651" s="5" t="n"/>
      <c r="N4651" s="5" t="n"/>
      <c r="O4651" s="5">
        <f>+M4651+N4651</f>
        <v/>
      </c>
      <c r="P4651" s="4" t="n"/>
      <c r="Q4651" s="87" t="n"/>
      <c r="R4651" s="5" t="n"/>
      <c r="S4651" s="2" t="n"/>
      <c r="T4651" s="3" t="n"/>
      <c r="U4651" s="87" t="n"/>
      <c r="V4651" s="3" t="n"/>
      <c r="W4651" s="108" t="n"/>
      <c r="X4651" s="4" t="n"/>
    </row>
    <row r="4652" ht="24" customHeight="1">
      <c r="A4652" s="2">
        <f>+D4652-S4652</f>
        <v/>
      </c>
      <c r="B4652" s="126" t="n">
        <v>6238</v>
      </c>
      <c r="C4652" s="66" t="n"/>
      <c r="D4652" s="2" t="n"/>
      <c r="E4652" s="3" t="n"/>
      <c r="F4652" s="3" t="n"/>
      <c r="G4652" s="84" t="n"/>
      <c r="H4652" s="107" t="n"/>
      <c r="I4652" s="107" t="n"/>
      <c r="J4652" s="107" t="n"/>
      <c r="K4652" s="65" t="n"/>
      <c r="L4652" s="127" t="n"/>
      <c r="M4652" s="5" t="n"/>
      <c r="N4652" s="5" t="n"/>
      <c r="O4652" s="5">
        <f>+M4652+N4652</f>
        <v/>
      </c>
      <c r="P4652" s="4" t="n"/>
      <c r="Q4652" s="87" t="n"/>
      <c r="R4652" s="5" t="n"/>
      <c r="S4652" s="2" t="n"/>
      <c r="T4652" s="3" t="n"/>
      <c r="U4652" s="87" t="n"/>
      <c r="V4652" s="3" t="n"/>
      <c r="W4652" s="108" t="n"/>
      <c r="X4652" s="4" t="n"/>
    </row>
    <row r="4653" ht="24" customHeight="1">
      <c r="A4653" s="2">
        <f>+D4653-S4653</f>
        <v/>
      </c>
      <c r="B4653" s="126" t="n">
        <v>6239</v>
      </c>
      <c r="C4653" s="66" t="n"/>
      <c r="D4653" s="2" t="n"/>
      <c r="E4653" s="3" t="n"/>
      <c r="F4653" s="3" t="n"/>
      <c r="G4653" s="84" t="n"/>
      <c r="H4653" s="107" t="n"/>
      <c r="I4653" s="107" t="n"/>
      <c r="J4653" s="107" t="n"/>
      <c r="K4653" s="65" t="n"/>
      <c r="L4653" s="127" t="n"/>
      <c r="M4653" s="5" t="n"/>
      <c r="N4653" s="5" t="n"/>
      <c r="O4653" s="5">
        <f>+M4653+N4653</f>
        <v/>
      </c>
      <c r="P4653" s="4" t="n"/>
      <c r="Q4653" s="87" t="n"/>
      <c r="R4653" s="5" t="n"/>
      <c r="S4653" s="2" t="n"/>
      <c r="T4653" s="3" t="n"/>
      <c r="U4653" s="87" t="n"/>
      <c r="V4653" s="3" t="n"/>
      <c r="W4653" s="108" t="n"/>
      <c r="X4653" s="4" t="n"/>
    </row>
    <row r="4654" ht="24" customHeight="1">
      <c r="A4654" s="2">
        <f>+D4654-S4654</f>
        <v/>
      </c>
      <c r="B4654" s="126" t="n">
        <v>6240</v>
      </c>
      <c r="C4654" s="66" t="n"/>
      <c r="D4654" s="2" t="n"/>
      <c r="E4654" s="3" t="n"/>
      <c r="F4654" s="3" t="n"/>
      <c r="G4654" s="84" t="n"/>
      <c r="H4654" s="107" t="n"/>
      <c r="I4654" s="107" t="n"/>
      <c r="J4654" s="107" t="n"/>
      <c r="K4654" s="65" t="n"/>
      <c r="L4654" s="127" t="n"/>
      <c r="M4654" s="5" t="n"/>
      <c r="N4654" s="5" t="n"/>
      <c r="O4654" s="5">
        <f>+M4654+N4654</f>
        <v/>
      </c>
      <c r="P4654" s="4" t="n"/>
      <c r="Q4654" s="87" t="n"/>
      <c r="R4654" s="5" t="n"/>
      <c r="S4654" s="2" t="n"/>
      <c r="T4654" s="3" t="n"/>
      <c r="U4654" s="87" t="n"/>
      <c r="V4654" s="3" t="n"/>
      <c r="W4654" s="108" t="n"/>
      <c r="X4654" s="4" t="n"/>
    </row>
    <row r="4655" ht="24" customHeight="1">
      <c r="A4655" s="2">
        <f>+D4655-S4655</f>
        <v/>
      </c>
      <c r="B4655" s="126" t="n">
        <v>6241</v>
      </c>
      <c r="C4655" s="66" t="n"/>
      <c r="D4655" s="2" t="n"/>
      <c r="E4655" s="3" t="n"/>
      <c r="F4655" s="3" t="n"/>
      <c r="G4655" s="84" t="n"/>
      <c r="H4655" s="107" t="n"/>
      <c r="I4655" s="107" t="n"/>
      <c r="J4655" s="107" t="n"/>
      <c r="K4655" s="65" t="n"/>
      <c r="L4655" s="127" t="n"/>
      <c r="M4655" s="5" t="n"/>
      <c r="N4655" s="5" t="n"/>
      <c r="O4655" s="5">
        <f>+M4655+N4655</f>
        <v/>
      </c>
      <c r="P4655" s="4" t="n"/>
      <c r="Q4655" s="87" t="n"/>
      <c r="R4655" s="5" t="n"/>
      <c r="S4655" s="2" t="n"/>
      <c r="T4655" s="3" t="n"/>
      <c r="U4655" s="87" t="n"/>
      <c r="V4655" s="3" t="n"/>
      <c r="W4655" s="108" t="n"/>
      <c r="X4655" s="4" t="n"/>
    </row>
    <row r="4656" ht="24" customHeight="1">
      <c r="A4656" s="2">
        <f>+D4656-S4656</f>
        <v/>
      </c>
      <c r="B4656" s="126" t="n">
        <v>6242</v>
      </c>
      <c r="C4656" s="66" t="n"/>
      <c r="D4656" s="2" t="n"/>
      <c r="E4656" s="3" t="n"/>
      <c r="F4656" s="3" t="n"/>
      <c r="G4656" s="84" t="n"/>
      <c r="H4656" s="107" t="n"/>
      <c r="I4656" s="107" t="n"/>
      <c r="J4656" s="107" t="n"/>
      <c r="K4656" s="65" t="n"/>
      <c r="L4656" s="127" t="n"/>
      <c r="M4656" s="5" t="n"/>
      <c r="N4656" s="5" t="n"/>
      <c r="O4656" s="5">
        <f>+M4656+N4656</f>
        <v/>
      </c>
      <c r="P4656" s="4" t="n"/>
      <c r="Q4656" s="87" t="n"/>
      <c r="R4656" s="5" t="n"/>
      <c r="S4656" s="2" t="n"/>
      <c r="T4656" s="3" t="n"/>
      <c r="U4656" s="87" t="n"/>
      <c r="V4656" s="3" t="n"/>
      <c r="W4656" s="108" t="n"/>
      <c r="X4656" s="4" t="n"/>
    </row>
    <row r="4657" ht="24" customHeight="1">
      <c r="A4657" s="2">
        <f>+D4657-S4657</f>
        <v/>
      </c>
      <c r="B4657" s="126" t="n">
        <v>6243</v>
      </c>
      <c r="C4657" s="66" t="n"/>
      <c r="D4657" s="2" t="n"/>
      <c r="E4657" s="3" t="n"/>
      <c r="F4657" s="3" t="n"/>
      <c r="G4657" s="84" t="n"/>
      <c r="H4657" s="107" t="n"/>
      <c r="I4657" s="107" t="n"/>
      <c r="J4657" s="107" t="n"/>
      <c r="K4657" s="65" t="n"/>
      <c r="L4657" s="127" t="n"/>
      <c r="M4657" s="5" t="n"/>
      <c r="N4657" s="5" t="n"/>
      <c r="O4657" s="5">
        <f>+M4657+N4657</f>
        <v/>
      </c>
      <c r="P4657" s="4" t="n"/>
      <c r="Q4657" s="87" t="n"/>
      <c r="R4657" s="5" t="n"/>
      <c r="S4657" s="2" t="n"/>
      <c r="T4657" s="3" t="n"/>
      <c r="U4657" s="87" t="n"/>
      <c r="V4657" s="3" t="n"/>
      <c r="W4657" s="108" t="n"/>
      <c r="X4657" s="4" t="n"/>
    </row>
    <row r="4658" ht="24" customHeight="1">
      <c r="A4658" s="2">
        <f>+D4658-S4658</f>
        <v/>
      </c>
      <c r="B4658" s="126" t="n">
        <v>6244</v>
      </c>
      <c r="C4658" s="66" t="n"/>
      <c r="D4658" s="2" t="n"/>
      <c r="E4658" s="3" t="n"/>
      <c r="F4658" s="3" t="n"/>
      <c r="G4658" s="84" t="n"/>
      <c r="H4658" s="107" t="n"/>
      <c r="I4658" s="107" t="n"/>
      <c r="J4658" s="107" t="n"/>
      <c r="K4658" s="65" t="n"/>
      <c r="L4658" s="127" t="n"/>
      <c r="M4658" s="5" t="n"/>
      <c r="N4658" s="5" t="n"/>
      <c r="O4658" s="5">
        <f>+M4658+N4658</f>
        <v/>
      </c>
      <c r="P4658" s="4" t="n"/>
      <c r="Q4658" s="87" t="n"/>
      <c r="R4658" s="5" t="n"/>
      <c r="S4658" s="2" t="n"/>
      <c r="T4658" s="3" t="n"/>
      <c r="U4658" s="87" t="n"/>
      <c r="V4658" s="3" t="n"/>
      <c r="W4658" s="108" t="n"/>
      <c r="X4658" s="4" t="n"/>
    </row>
    <row r="4659" ht="24" customHeight="1">
      <c r="A4659" s="2">
        <f>+D4659-S4659</f>
        <v/>
      </c>
      <c r="B4659" s="126" t="n">
        <v>6245</v>
      </c>
      <c r="C4659" s="66" t="n"/>
      <c r="D4659" s="2" t="n"/>
      <c r="E4659" s="3" t="n"/>
      <c r="F4659" s="3" t="n"/>
      <c r="G4659" s="84" t="n"/>
      <c r="H4659" s="107" t="n"/>
      <c r="I4659" s="107" t="n"/>
      <c r="J4659" s="107" t="n"/>
      <c r="K4659" s="65" t="n"/>
      <c r="L4659" s="127" t="n"/>
      <c r="M4659" s="5" t="n"/>
      <c r="N4659" s="5" t="n"/>
      <c r="O4659" s="5">
        <f>+M4659+N4659</f>
        <v/>
      </c>
      <c r="P4659" s="4" t="n"/>
      <c r="Q4659" s="87" t="n"/>
      <c r="R4659" s="5" t="n"/>
      <c r="S4659" s="2" t="n"/>
      <c r="T4659" s="3" t="n"/>
      <c r="U4659" s="87" t="n"/>
      <c r="V4659" s="3" t="n"/>
      <c r="W4659" s="108" t="n"/>
      <c r="X4659" s="4" t="n"/>
    </row>
    <row r="4660" ht="24" customHeight="1">
      <c r="A4660" s="2">
        <f>+D4660-S4660</f>
        <v/>
      </c>
      <c r="B4660" s="126" t="n">
        <v>6246</v>
      </c>
      <c r="C4660" s="66" t="n"/>
      <c r="D4660" s="2" t="n"/>
      <c r="E4660" s="3" t="n"/>
      <c r="F4660" s="3" t="n"/>
      <c r="G4660" s="84" t="n"/>
      <c r="H4660" s="107" t="n"/>
      <c r="I4660" s="107" t="n"/>
      <c r="J4660" s="107" t="n"/>
      <c r="K4660" s="65" t="n"/>
      <c r="L4660" s="127" t="n"/>
      <c r="M4660" s="5" t="n"/>
      <c r="N4660" s="5" t="n"/>
      <c r="O4660" s="5">
        <f>+M4660+N4660</f>
        <v/>
      </c>
      <c r="P4660" s="4" t="n"/>
      <c r="Q4660" s="87" t="n"/>
      <c r="R4660" s="5" t="n"/>
      <c r="S4660" s="2" t="n"/>
      <c r="T4660" s="3" t="n"/>
      <c r="U4660" s="87" t="n"/>
      <c r="V4660" s="3" t="n"/>
      <c r="W4660" s="108" t="n"/>
      <c r="X4660" s="4" t="n"/>
    </row>
    <row r="4661" ht="24" customHeight="1">
      <c r="A4661" s="2">
        <f>+D4661-S4661</f>
        <v/>
      </c>
      <c r="B4661" s="126" t="n">
        <v>6247</v>
      </c>
      <c r="C4661" s="66" t="n"/>
      <c r="D4661" s="2" t="n"/>
      <c r="E4661" s="3" t="n"/>
      <c r="F4661" s="3" t="n"/>
      <c r="G4661" s="84" t="n"/>
      <c r="H4661" s="107" t="n"/>
      <c r="I4661" s="107" t="n"/>
      <c r="J4661" s="107" t="n"/>
      <c r="K4661" s="65" t="n"/>
      <c r="L4661" s="127" t="n"/>
      <c r="M4661" s="5" t="n"/>
      <c r="N4661" s="5" t="n"/>
      <c r="O4661" s="5">
        <f>+M4661+N4661</f>
        <v/>
      </c>
      <c r="P4661" s="4" t="n"/>
      <c r="Q4661" s="87" t="n"/>
      <c r="R4661" s="5" t="n"/>
      <c r="S4661" s="2" t="n"/>
      <c r="T4661" s="3" t="n"/>
      <c r="U4661" s="87" t="n"/>
      <c r="V4661" s="3" t="n"/>
      <c r="W4661" s="108" t="n"/>
      <c r="X4661" s="4" t="n"/>
    </row>
    <row r="4662" ht="24" customHeight="1">
      <c r="A4662" s="2">
        <f>+D4662-S4662</f>
        <v/>
      </c>
      <c r="B4662" s="126" t="n">
        <v>6248</v>
      </c>
      <c r="C4662" s="66" t="n"/>
      <c r="D4662" s="2" t="n"/>
      <c r="E4662" s="3" t="n"/>
      <c r="F4662" s="3" t="n"/>
      <c r="G4662" s="84" t="n"/>
      <c r="H4662" s="107" t="n"/>
      <c r="I4662" s="107" t="n"/>
      <c r="J4662" s="107" t="n"/>
      <c r="K4662" s="65" t="n"/>
      <c r="L4662" s="127" t="n"/>
      <c r="M4662" s="5" t="n"/>
      <c r="N4662" s="5" t="n"/>
      <c r="O4662" s="5">
        <f>+M4662+N4662</f>
        <v/>
      </c>
      <c r="P4662" s="4" t="n"/>
      <c r="Q4662" s="87" t="n"/>
      <c r="R4662" s="5" t="n"/>
      <c r="S4662" s="2" t="n"/>
      <c r="T4662" s="3" t="n"/>
      <c r="U4662" s="87" t="n"/>
      <c r="V4662" s="3" t="n"/>
      <c r="W4662" s="108" t="n"/>
      <c r="X4662" s="4" t="n"/>
    </row>
    <row r="4663" ht="24" customHeight="1">
      <c r="A4663" s="2">
        <f>+D4663-S4663</f>
        <v/>
      </c>
      <c r="B4663" s="126" t="n">
        <v>6249</v>
      </c>
      <c r="C4663" s="66" t="n"/>
      <c r="D4663" s="2" t="n"/>
      <c r="E4663" s="3" t="n"/>
      <c r="F4663" s="3" t="n"/>
      <c r="G4663" s="84" t="n"/>
      <c r="H4663" s="107" t="n"/>
      <c r="I4663" s="107" t="n"/>
      <c r="J4663" s="107" t="n"/>
      <c r="K4663" s="65" t="n"/>
      <c r="L4663" s="127" t="n"/>
      <c r="M4663" s="5" t="n"/>
      <c r="N4663" s="5" t="n"/>
      <c r="O4663" s="5">
        <f>+M4663+N4663</f>
        <v/>
      </c>
      <c r="P4663" s="4" t="n"/>
      <c r="Q4663" s="87" t="n"/>
      <c r="R4663" s="5" t="n"/>
      <c r="S4663" s="2" t="n"/>
      <c r="T4663" s="3" t="n"/>
      <c r="U4663" s="87" t="n"/>
      <c r="V4663" s="3" t="n"/>
      <c r="W4663" s="108" t="n"/>
      <c r="X4663" s="4" t="n"/>
    </row>
    <row r="4664" ht="24" customHeight="1">
      <c r="A4664" s="2">
        <f>+D4664-S4664</f>
        <v/>
      </c>
      <c r="B4664" s="126" t="n">
        <v>6250</v>
      </c>
      <c r="C4664" s="66" t="n"/>
      <c r="D4664" s="2" t="n"/>
      <c r="E4664" s="3" t="n"/>
      <c r="F4664" s="3" t="n"/>
      <c r="G4664" s="84" t="n"/>
      <c r="H4664" s="107" t="n"/>
      <c r="I4664" s="107" t="n"/>
      <c r="J4664" s="107" t="n"/>
      <c r="K4664" s="65" t="n"/>
      <c r="L4664" s="127" t="n"/>
      <c r="M4664" s="5" t="n"/>
      <c r="N4664" s="5" t="n"/>
      <c r="O4664" s="5">
        <f>+M4664+N4664</f>
        <v/>
      </c>
      <c r="P4664" s="4" t="n"/>
      <c r="Q4664" s="87" t="n"/>
      <c r="R4664" s="5" t="n"/>
      <c r="S4664" s="2" t="n"/>
      <c r="T4664" s="3" t="n"/>
      <c r="U4664" s="87" t="n"/>
      <c r="V4664" s="3" t="n"/>
      <c r="W4664" s="108" t="n"/>
      <c r="X4664" s="4" t="n"/>
    </row>
    <row r="4665" ht="24" customHeight="1">
      <c r="A4665" s="2">
        <f>+D4665-S4665</f>
        <v/>
      </c>
      <c r="B4665" s="126" t="n">
        <v>6251</v>
      </c>
      <c r="C4665" s="66" t="n"/>
      <c r="D4665" s="2" t="n"/>
      <c r="E4665" s="3" t="n"/>
      <c r="F4665" s="3" t="n"/>
      <c r="G4665" s="84" t="n"/>
      <c r="H4665" s="107" t="n"/>
      <c r="I4665" s="107" t="n"/>
      <c r="J4665" s="107" t="n"/>
      <c r="K4665" s="65" t="n"/>
      <c r="L4665" s="127" t="n"/>
      <c r="M4665" s="5" t="n"/>
      <c r="N4665" s="5" t="n"/>
      <c r="O4665" s="5">
        <f>+M4665+N4665</f>
        <v/>
      </c>
      <c r="P4665" s="4" t="n"/>
      <c r="Q4665" s="87" t="n"/>
      <c r="R4665" s="5" t="n"/>
      <c r="S4665" s="2" t="n"/>
      <c r="T4665" s="3" t="n"/>
      <c r="U4665" s="87" t="n"/>
      <c r="V4665" s="3" t="n"/>
      <c r="W4665" s="108" t="n"/>
      <c r="X4665" s="4" t="n"/>
    </row>
    <row r="4666" ht="24" customHeight="1">
      <c r="A4666" s="2">
        <f>+D4666-S4666</f>
        <v/>
      </c>
      <c r="B4666" s="126" t="n">
        <v>6252</v>
      </c>
      <c r="C4666" s="66" t="n"/>
      <c r="D4666" s="2" t="n"/>
      <c r="E4666" s="3" t="n"/>
      <c r="F4666" s="3" t="n"/>
      <c r="G4666" s="84" t="n"/>
      <c r="H4666" s="107" t="n"/>
      <c r="I4666" s="107" t="n"/>
      <c r="J4666" s="107" t="n"/>
      <c r="K4666" s="65" t="n"/>
      <c r="L4666" s="127" t="n"/>
      <c r="M4666" s="5" t="n"/>
      <c r="N4666" s="5" t="n"/>
      <c r="O4666" s="5">
        <f>+M4666+N4666</f>
        <v/>
      </c>
      <c r="P4666" s="4" t="n"/>
      <c r="Q4666" s="87" t="n"/>
      <c r="R4666" s="5" t="n"/>
      <c r="S4666" s="2" t="n"/>
      <c r="T4666" s="3" t="n"/>
      <c r="U4666" s="87" t="n"/>
      <c r="V4666" s="3" t="n"/>
      <c r="W4666" s="108" t="n"/>
      <c r="X4666" s="4" t="n"/>
    </row>
    <row r="4667" ht="24" customHeight="1">
      <c r="A4667" s="2">
        <f>+D4667-S4667</f>
        <v/>
      </c>
      <c r="B4667" s="126" t="n">
        <v>6253</v>
      </c>
      <c r="C4667" s="66" t="n"/>
      <c r="D4667" s="2" t="n"/>
      <c r="E4667" s="3" t="n"/>
      <c r="F4667" s="3" t="n"/>
      <c r="G4667" s="84" t="n"/>
      <c r="H4667" s="107" t="n"/>
      <c r="I4667" s="107" t="n"/>
      <c r="J4667" s="107" t="n"/>
      <c r="K4667" s="65" t="n"/>
      <c r="L4667" s="127" t="n"/>
      <c r="M4667" s="5" t="n"/>
      <c r="N4667" s="5" t="n"/>
      <c r="O4667" s="5">
        <f>+M4667+N4667</f>
        <v/>
      </c>
      <c r="P4667" s="4" t="n"/>
      <c r="Q4667" s="87" t="n"/>
      <c r="R4667" s="5" t="n"/>
      <c r="S4667" s="2" t="n"/>
      <c r="T4667" s="3" t="n"/>
      <c r="U4667" s="87" t="n"/>
      <c r="V4667" s="3" t="n"/>
      <c r="W4667" s="108" t="n"/>
      <c r="X4667" s="4" t="n"/>
    </row>
    <row r="4668" ht="24" customHeight="1">
      <c r="A4668" s="2">
        <f>+D4668-S4668</f>
        <v/>
      </c>
      <c r="B4668" s="126" t="n">
        <v>6254</v>
      </c>
      <c r="C4668" s="66" t="n"/>
      <c r="D4668" s="2" t="n"/>
      <c r="E4668" s="3" t="n"/>
      <c r="F4668" s="3" t="n"/>
      <c r="G4668" s="84" t="n"/>
      <c r="H4668" s="107" t="n"/>
      <c r="I4668" s="107" t="n"/>
      <c r="J4668" s="107" t="n"/>
      <c r="K4668" s="65" t="n"/>
      <c r="L4668" s="127" t="n"/>
      <c r="M4668" s="5" t="n"/>
      <c r="N4668" s="5" t="n"/>
      <c r="O4668" s="5">
        <f>+M4668+N4668</f>
        <v/>
      </c>
      <c r="P4668" s="4" t="n"/>
      <c r="Q4668" s="87" t="n"/>
      <c r="R4668" s="5" t="n"/>
      <c r="S4668" s="2" t="n"/>
      <c r="T4668" s="3" t="n"/>
      <c r="U4668" s="87" t="n"/>
      <c r="V4668" s="3" t="n"/>
      <c r="W4668" s="108" t="n"/>
      <c r="X4668" s="4" t="n"/>
    </row>
    <row r="4669" ht="24" customHeight="1">
      <c r="A4669" s="2">
        <f>+D4669-S4669</f>
        <v/>
      </c>
      <c r="B4669" s="126" t="n">
        <v>6255</v>
      </c>
      <c r="C4669" s="66" t="n"/>
      <c r="D4669" s="2" t="n"/>
      <c r="E4669" s="3" t="n"/>
      <c r="F4669" s="3" t="n"/>
      <c r="G4669" s="84" t="n"/>
      <c r="H4669" s="107" t="n"/>
      <c r="I4669" s="107" t="n"/>
      <c r="J4669" s="107" t="n"/>
      <c r="K4669" s="65" t="n"/>
      <c r="L4669" s="127" t="n"/>
      <c r="M4669" s="5" t="n"/>
      <c r="N4669" s="5" t="n"/>
      <c r="O4669" s="5">
        <f>+M4669+N4669</f>
        <v/>
      </c>
      <c r="P4669" s="4" t="n"/>
      <c r="Q4669" s="87" t="n"/>
      <c r="R4669" s="5" t="n"/>
      <c r="S4669" s="2" t="n"/>
      <c r="T4669" s="3" t="n"/>
      <c r="U4669" s="87" t="n"/>
      <c r="V4669" s="3" t="n"/>
      <c r="W4669" s="108" t="n"/>
      <c r="X4669" s="4" t="n"/>
    </row>
    <row r="4670" ht="24" customHeight="1">
      <c r="A4670" s="2">
        <f>+D4670-S4670</f>
        <v/>
      </c>
      <c r="B4670" s="126" t="n">
        <v>6256</v>
      </c>
      <c r="C4670" s="66" t="n"/>
      <c r="D4670" s="2" t="n"/>
      <c r="E4670" s="3" t="n"/>
      <c r="F4670" s="3" t="n"/>
      <c r="G4670" s="84" t="n"/>
      <c r="H4670" s="107" t="n"/>
      <c r="I4670" s="107" t="n"/>
      <c r="J4670" s="107" t="n"/>
      <c r="K4670" s="65" t="n"/>
      <c r="L4670" s="127" t="n"/>
      <c r="M4670" s="5" t="n"/>
      <c r="N4670" s="5" t="n"/>
      <c r="O4670" s="5">
        <f>+M4670+N4670</f>
        <v/>
      </c>
      <c r="P4670" s="4" t="n"/>
      <c r="Q4670" s="87" t="n"/>
      <c r="R4670" s="5" t="n"/>
      <c r="S4670" s="2" t="n"/>
      <c r="T4670" s="3" t="n"/>
      <c r="U4670" s="87" t="n"/>
      <c r="V4670" s="3" t="n"/>
      <c r="W4670" s="108" t="n"/>
      <c r="X4670" s="4" t="n"/>
    </row>
    <row r="4671" ht="24" customHeight="1">
      <c r="A4671" s="2">
        <f>+D4671-S4671</f>
        <v/>
      </c>
      <c r="B4671" s="126" t="n">
        <v>6257</v>
      </c>
      <c r="C4671" s="66" t="n"/>
      <c r="D4671" s="2" t="n"/>
      <c r="E4671" s="3" t="n"/>
      <c r="F4671" s="3" t="n"/>
      <c r="G4671" s="84" t="n"/>
      <c r="H4671" s="107" t="n"/>
      <c r="I4671" s="107" t="n"/>
      <c r="J4671" s="107" t="n"/>
      <c r="K4671" s="65" t="n"/>
      <c r="L4671" s="127" t="n"/>
      <c r="M4671" s="5" t="n"/>
      <c r="N4671" s="5" t="n"/>
      <c r="O4671" s="5">
        <f>+M4671+N4671</f>
        <v/>
      </c>
      <c r="P4671" s="4" t="n"/>
      <c r="Q4671" s="87" t="n"/>
      <c r="R4671" s="5" t="n"/>
      <c r="S4671" s="2" t="n"/>
      <c r="T4671" s="3" t="n"/>
      <c r="U4671" s="87" t="n"/>
      <c r="V4671" s="3" t="n"/>
      <c r="W4671" s="108" t="n"/>
      <c r="X4671" s="4" t="n"/>
    </row>
    <row r="4672" ht="24" customHeight="1">
      <c r="A4672" s="2">
        <f>+D4672-S4672</f>
        <v/>
      </c>
      <c r="B4672" s="126" t="n">
        <v>6258</v>
      </c>
      <c r="C4672" s="66" t="n"/>
      <c r="D4672" s="2" t="n"/>
      <c r="E4672" s="3" t="n"/>
      <c r="F4672" s="3" t="n"/>
      <c r="G4672" s="84" t="n"/>
      <c r="H4672" s="107" t="n"/>
      <c r="I4672" s="107" t="n"/>
      <c r="J4672" s="107" t="n"/>
      <c r="K4672" s="65" t="n"/>
      <c r="L4672" s="127" t="n"/>
      <c r="M4672" s="5" t="n"/>
      <c r="N4672" s="5" t="n"/>
      <c r="O4672" s="5">
        <f>+M4672+N4672</f>
        <v/>
      </c>
      <c r="P4672" s="4" t="n"/>
      <c r="Q4672" s="87" t="n"/>
      <c r="R4672" s="5" t="n"/>
      <c r="S4672" s="2" t="n"/>
      <c r="T4672" s="3" t="n"/>
      <c r="U4672" s="87" t="n"/>
      <c r="V4672" s="3" t="n"/>
      <c r="W4672" s="108" t="n"/>
      <c r="X4672" s="4" t="n"/>
    </row>
    <row r="4673" ht="24" customHeight="1">
      <c r="A4673" s="2">
        <f>+D4673-S4673</f>
        <v/>
      </c>
      <c r="B4673" s="126" t="n">
        <v>6259</v>
      </c>
      <c r="C4673" s="66" t="n"/>
      <c r="D4673" s="2" t="n"/>
      <c r="E4673" s="3" t="n"/>
      <c r="F4673" s="3" t="n"/>
      <c r="G4673" s="84" t="n"/>
      <c r="H4673" s="107" t="n"/>
      <c r="I4673" s="107" t="n"/>
      <c r="J4673" s="107" t="n"/>
      <c r="K4673" s="65" t="n"/>
      <c r="L4673" s="127" t="n"/>
      <c r="M4673" s="5" t="n"/>
      <c r="N4673" s="5" t="n"/>
      <c r="O4673" s="5">
        <f>+M4673+N4673</f>
        <v/>
      </c>
      <c r="P4673" s="4" t="n"/>
      <c r="Q4673" s="87" t="n"/>
      <c r="R4673" s="5" t="n"/>
      <c r="S4673" s="2" t="n"/>
      <c r="T4673" s="3" t="n"/>
      <c r="U4673" s="87" t="n"/>
      <c r="V4673" s="3" t="n"/>
      <c r="W4673" s="108" t="n"/>
      <c r="X4673" s="4" t="n"/>
    </row>
    <row r="4674" ht="24" customHeight="1">
      <c r="A4674" s="2">
        <f>+D4674-S4674</f>
        <v/>
      </c>
      <c r="B4674" s="126" t="n">
        <v>6260</v>
      </c>
      <c r="C4674" s="66" t="n"/>
      <c r="D4674" s="2" t="n"/>
      <c r="E4674" s="3" t="n"/>
      <c r="F4674" s="3" t="n"/>
      <c r="G4674" s="84" t="n"/>
      <c r="H4674" s="107" t="n"/>
      <c r="I4674" s="107" t="n"/>
      <c r="J4674" s="107" t="n"/>
      <c r="K4674" s="65" t="n"/>
      <c r="L4674" s="127" t="n"/>
      <c r="M4674" s="5" t="n"/>
      <c r="N4674" s="5" t="n"/>
      <c r="O4674" s="5">
        <f>+M4674+N4674</f>
        <v/>
      </c>
      <c r="P4674" s="4" t="n"/>
      <c r="Q4674" s="87" t="n"/>
      <c r="R4674" s="5" t="n"/>
      <c r="S4674" s="2" t="n"/>
      <c r="T4674" s="3" t="n"/>
      <c r="U4674" s="87" t="n"/>
      <c r="V4674" s="3" t="n"/>
      <c r="W4674" s="108" t="n"/>
      <c r="X4674" s="4" t="n"/>
    </row>
    <row r="4675" ht="24" customHeight="1">
      <c r="A4675" s="2">
        <f>+D4675-S4675</f>
        <v/>
      </c>
      <c r="B4675" s="126" t="n">
        <v>6261</v>
      </c>
      <c r="C4675" s="66" t="n"/>
      <c r="D4675" s="2" t="n"/>
      <c r="E4675" s="3" t="n"/>
      <c r="F4675" s="3" t="n"/>
      <c r="G4675" s="84" t="n"/>
      <c r="H4675" s="107" t="n"/>
      <c r="I4675" s="107" t="n"/>
      <c r="J4675" s="107" t="n"/>
      <c r="K4675" s="65" t="n"/>
      <c r="L4675" s="127" t="n"/>
      <c r="M4675" s="5" t="n"/>
      <c r="N4675" s="5" t="n"/>
      <c r="O4675" s="5">
        <f>+M4675+N4675</f>
        <v/>
      </c>
      <c r="P4675" s="4" t="n"/>
      <c r="Q4675" s="87" t="n"/>
      <c r="R4675" s="5" t="n"/>
      <c r="S4675" s="2" t="n"/>
      <c r="T4675" s="3" t="n"/>
      <c r="U4675" s="87" t="n"/>
      <c r="V4675" s="3" t="n"/>
      <c r="W4675" s="108" t="n"/>
      <c r="X4675" s="4" t="n"/>
    </row>
    <row r="4676" ht="24" customHeight="1">
      <c r="A4676" s="2">
        <f>+D4676-S4676</f>
        <v/>
      </c>
      <c r="B4676" s="126" t="n">
        <v>6262</v>
      </c>
      <c r="C4676" s="66" t="n"/>
      <c r="D4676" s="2" t="n"/>
      <c r="E4676" s="3" t="n"/>
      <c r="F4676" s="3" t="n"/>
      <c r="G4676" s="84" t="n"/>
      <c r="H4676" s="107" t="n"/>
      <c r="I4676" s="107" t="n"/>
      <c r="J4676" s="107" t="n"/>
      <c r="K4676" s="65" t="n"/>
      <c r="L4676" s="127" t="n"/>
      <c r="M4676" s="5" t="n"/>
      <c r="N4676" s="5" t="n"/>
      <c r="O4676" s="5">
        <f>+M4676+N4676</f>
        <v/>
      </c>
      <c r="P4676" s="4" t="n"/>
      <c r="Q4676" s="87" t="n"/>
      <c r="R4676" s="5" t="n"/>
      <c r="S4676" s="2" t="n"/>
      <c r="T4676" s="3" t="n"/>
      <c r="U4676" s="87" t="n"/>
      <c r="V4676" s="3" t="n"/>
      <c r="W4676" s="108" t="n"/>
      <c r="X4676" s="4" t="n"/>
    </row>
    <row r="4677" ht="24" customHeight="1">
      <c r="A4677" s="2">
        <f>+D4677-S4677</f>
        <v/>
      </c>
      <c r="B4677" s="126" t="n">
        <v>6263</v>
      </c>
      <c r="C4677" s="66" t="n"/>
      <c r="D4677" s="2" t="n"/>
      <c r="E4677" s="3" t="n"/>
      <c r="F4677" s="3" t="n"/>
      <c r="G4677" s="84" t="n"/>
      <c r="H4677" s="107" t="n"/>
      <c r="I4677" s="107" t="n"/>
      <c r="J4677" s="107" t="n"/>
      <c r="K4677" s="65" t="n"/>
      <c r="L4677" s="127" t="n"/>
      <c r="M4677" s="5" t="n"/>
      <c r="N4677" s="5" t="n"/>
      <c r="O4677" s="5">
        <f>+M4677+N4677</f>
        <v/>
      </c>
      <c r="P4677" s="4" t="n"/>
      <c r="Q4677" s="87" t="n"/>
      <c r="R4677" s="5" t="n"/>
      <c r="S4677" s="2" t="n"/>
      <c r="T4677" s="3" t="n"/>
      <c r="U4677" s="87" t="n"/>
      <c r="V4677" s="3" t="n"/>
      <c r="W4677" s="108" t="n"/>
      <c r="X4677" s="4" t="n"/>
    </row>
    <row r="4678" ht="24" customHeight="1">
      <c r="A4678" s="2">
        <f>+D4678-S4678</f>
        <v/>
      </c>
      <c r="B4678" s="126" t="n">
        <v>6264</v>
      </c>
      <c r="C4678" s="66" t="n"/>
      <c r="D4678" s="2" t="n"/>
      <c r="E4678" s="3" t="n"/>
      <c r="F4678" s="3" t="n"/>
      <c r="G4678" s="84" t="n"/>
      <c r="H4678" s="107" t="n"/>
      <c r="I4678" s="107" t="n"/>
      <c r="J4678" s="107" t="n"/>
      <c r="K4678" s="65" t="n"/>
      <c r="L4678" s="127" t="n"/>
      <c r="M4678" s="5" t="n"/>
      <c r="N4678" s="5" t="n"/>
      <c r="O4678" s="5">
        <f>+M4678+N4678</f>
        <v/>
      </c>
      <c r="P4678" s="4" t="n"/>
      <c r="Q4678" s="87" t="n"/>
      <c r="R4678" s="5" t="n"/>
      <c r="S4678" s="2" t="n"/>
      <c r="T4678" s="3" t="n"/>
      <c r="U4678" s="87" t="n"/>
      <c r="V4678" s="3" t="n"/>
      <c r="W4678" s="108" t="n"/>
      <c r="X4678" s="4" t="n"/>
    </row>
    <row r="4679" ht="24" customHeight="1">
      <c r="A4679" s="2">
        <f>+D4679-S4679</f>
        <v/>
      </c>
      <c r="B4679" s="126" t="n">
        <v>6265</v>
      </c>
      <c r="C4679" s="66" t="n"/>
      <c r="D4679" s="2" t="n"/>
      <c r="E4679" s="3" t="n"/>
      <c r="F4679" s="3" t="n"/>
      <c r="G4679" s="84" t="n"/>
      <c r="H4679" s="107" t="n"/>
      <c r="I4679" s="107" t="n"/>
      <c r="J4679" s="107" t="n"/>
      <c r="K4679" s="65" t="n"/>
      <c r="L4679" s="127" t="n"/>
      <c r="M4679" s="5" t="n"/>
      <c r="N4679" s="5" t="n"/>
      <c r="O4679" s="5">
        <f>+M4679+N4679</f>
        <v/>
      </c>
      <c r="P4679" s="4" t="n"/>
      <c r="Q4679" s="87" t="n"/>
      <c r="R4679" s="5" t="n"/>
      <c r="S4679" s="2" t="n"/>
      <c r="T4679" s="3" t="n"/>
      <c r="U4679" s="87" t="n"/>
      <c r="V4679" s="3" t="n"/>
      <c r="W4679" s="108" t="n"/>
      <c r="X4679" s="4" t="n"/>
    </row>
    <row r="4680" ht="24" customHeight="1">
      <c r="A4680" s="2">
        <f>+D4680-S4680</f>
        <v/>
      </c>
      <c r="B4680" s="126" t="n">
        <v>6266</v>
      </c>
      <c r="C4680" s="66" t="n"/>
      <c r="D4680" s="2" t="n"/>
      <c r="E4680" s="3" t="n"/>
      <c r="F4680" s="3" t="n"/>
      <c r="G4680" s="84" t="n"/>
      <c r="H4680" s="107" t="n"/>
      <c r="I4680" s="107" t="n"/>
      <c r="J4680" s="107" t="n"/>
      <c r="K4680" s="65" t="n"/>
      <c r="L4680" s="127" t="n"/>
      <c r="M4680" s="5" t="n"/>
      <c r="N4680" s="5" t="n"/>
      <c r="O4680" s="5">
        <f>+M4680+N4680</f>
        <v/>
      </c>
      <c r="P4680" s="4" t="n"/>
      <c r="Q4680" s="87" t="n"/>
      <c r="R4680" s="5" t="n"/>
      <c r="S4680" s="2" t="n"/>
      <c r="T4680" s="3" t="n"/>
      <c r="U4680" s="87" t="n"/>
      <c r="V4680" s="3" t="n"/>
      <c r="W4680" s="108" t="n"/>
      <c r="X4680" s="4" t="n"/>
    </row>
    <row r="4681" ht="24" customHeight="1">
      <c r="A4681" s="2">
        <f>+D4681-S4681</f>
        <v/>
      </c>
      <c r="B4681" s="126" t="n">
        <v>6267</v>
      </c>
      <c r="C4681" s="66" t="n"/>
      <c r="D4681" s="2" t="n"/>
      <c r="E4681" s="3" t="n"/>
      <c r="F4681" s="3" t="n"/>
      <c r="G4681" s="84" t="n"/>
      <c r="H4681" s="107" t="n"/>
      <c r="I4681" s="107" t="n"/>
      <c r="J4681" s="107" t="n"/>
      <c r="K4681" s="65" t="n"/>
      <c r="L4681" s="127" t="n"/>
      <c r="M4681" s="5" t="n"/>
      <c r="N4681" s="5" t="n"/>
      <c r="O4681" s="5">
        <f>+M4681+N4681</f>
        <v/>
      </c>
      <c r="P4681" s="4" t="n"/>
      <c r="Q4681" s="87" t="n"/>
      <c r="R4681" s="5" t="n"/>
      <c r="S4681" s="2" t="n"/>
      <c r="T4681" s="3" t="n"/>
      <c r="U4681" s="87" t="n"/>
      <c r="V4681" s="3" t="n"/>
      <c r="W4681" s="108" t="n"/>
      <c r="X4681" s="4" t="n"/>
    </row>
    <row r="4682" ht="24" customHeight="1">
      <c r="A4682" s="2">
        <f>+D4682-S4682</f>
        <v/>
      </c>
      <c r="B4682" s="126" t="n">
        <v>6268</v>
      </c>
      <c r="C4682" s="66" t="n"/>
      <c r="D4682" s="2" t="n"/>
      <c r="E4682" s="3" t="n"/>
      <c r="F4682" s="3" t="n"/>
      <c r="G4682" s="84" t="n"/>
      <c r="H4682" s="107" t="n"/>
      <c r="I4682" s="107" t="n"/>
      <c r="J4682" s="107" t="n"/>
      <c r="K4682" s="65" t="n"/>
      <c r="L4682" s="127" t="n"/>
      <c r="M4682" s="5" t="n"/>
      <c r="N4682" s="5" t="n"/>
      <c r="O4682" s="5">
        <f>+M4682+N4682</f>
        <v/>
      </c>
      <c r="P4682" s="4" t="n"/>
      <c r="Q4682" s="87" t="n"/>
      <c r="R4682" s="5" t="n"/>
      <c r="S4682" s="2" t="n"/>
      <c r="T4682" s="3" t="n"/>
      <c r="U4682" s="87" t="n"/>
      <c r="V4682" s="3" t="n"/>
      <c r="W4682" s="108" t="n"/>
      <c r="X4682" s="4" t="n"/>
    </row>
    <row r="4683" ht="24" customHeight="1">
      <c r="A4683" s="2">
        <f>+D4683-S4683</f>
        <v/>
      </c>
      <c r="B4683" s="126" t="n">
        <v>6269</v>
      </c>
      <c r="C4683" s="66" t="n"/>
      <c r="D4683" s="2" t="n"/>
      <c r="E4683" s="3" t="n"/>
      <c r="F4683" s="3" t="n"/>
      <c r="G4683" s="84" t="n"/>
      <c r="H4683" s="107" t="n"/>
      <c r="I4683" s="107" t="n"/>
      <c r="J4683" s="107" t="n"/>
      <c r="K4683" s="65" t="n"/>
      <c r="L4683" s="127" t="n"/>
      <c r="M4683" s="5" t="n"/>
      <c r="N4683" s="5" t="n"/>
      <c r="O4683" s="5">
        <f>+M4683+N4683</f>
        <v/>
      </c>
      <c r="P4683" s="4" t="n"/>
      <c r="Q4683" s="87" t="n"/>
      <c r="R4683" s="5" t="n"/>
      <c r="S4683" s="2" t="n"/>
      <c r="T4683" s="3" t="n"/>
      <c r="U4683" s="87" t="n"/>
      <c r="V4683" s="3" t="n"/>
      <c r="W4683" s="108" t="n"/>
      <c r="X4683" s="4" t="n"/>
    </row>
    <row r="4684" ht="24" customHeight="1">
      <c r="A4684" s="2">
        <f>+D4684-S4684</f>
        <v/>
      </c>
      <c r="B4684" s="126" t="n">
        <v>6270</v>
      </c>
      <c r="C4684" s="66" t="n"/>
      <c r="D4684" s="2" t="n"/>
      <c r="E4684" s="3" t="n"/>
      <c r="F4684" s="3" t="n"/>
      <c r="G4684" s="84" t="n"/>
      <c r="H4684" s="107" t="n"/>
      <c r="I4684" s="107" t="n"/>
      <c r="J4684" s="107" t="n"/>
      <c r="K4684" s="65" t="n"/>
      <c r="L4684" s="127" t="n"/>
      <c r="M4684" s="5" t="n"/>
      <c r="N4684" s="5" t="n"/>
      <c r="O4684" s="5">
        <f>+M4684+N4684</f>
        <v/>
      </c>
      <c r="P4684" s="4" t="n"/>
      <c r="Q4684" s="87" t="n"/>
      <c r="R4684" s="5" t="n"/>
      <c r="S4684" s="2" t="n"/>
      <c r="T4684" s="3" t="n"/>
      <c r="U4684" s="87" t="n"/>
      <c r="V4684" s="3" t="n"/>
      <c r="W4684" s="108" t="n"/>
      <c r="X4684" s="4" t="n"/>
    </row>
    <row r="4685" ht="24" customHeight="1">
      <c r="A4685" s="2">
        <f>+D4685-S4685</f>
        <v/>
      </c>
      <c r="B4685" s="126" t="n">
        <v>6271</v>
      </c>
      <c r="C4685" s="66" t="n"/>
      <c r="D4685" s="2" t="n"/>
      <c r="E4685" s="3" t="n"/>
      <c r="F4685" s="3" t="n"/>
      <c r="G4685" s="84" t="n"/>
      <c r="H4685" s="107" t="n"/>
      <c r="I4685" s="107" t="n"/>
      <c r="J4685" s="107" t="n"/>
      <c r="K4685" s="65" t="n"/>
      <c r="L4685" s="127" t="n"/>
      <c r="M4685" s="5" t="n"/>
      <c r="N4685" s="5" t="n"/>
      <c r="O4685" s="5">
        <f>+M4685+N4685</f>
        <v/>
      </c>
      <c r="P4685" s="4" t="n"/>
      <c r="Q4685" s="87" t="n"/>
      <c r="R4685" s="5" t="n"/>
      <c r="S4685" s="2" t="n"/>
      <c r="T4685" s="3" t="n"/>
      <c r="U4685" s="87" t="n"/>
      <c r="V4685" s="3" t="n"/>
      <c r="W4685" s="108" t="n"/>
      <c r="X4685" s="4" t="n"/>
    </row>
    <row r="4686" ht="24" customHeight="1">
      <c r="A4686" s="2">
        <f>+D4686-S4686</f>
        <v/>
      </c>
      <c r="B4686" s="126" t="n">
        <v>6272</v>
      </c>
      <c r="C4686" s="66" t="n"/>
      <c r="D4686" s="2" t="n"/>
      <c r="E4686" s="3" t="n"/>
      <c r="F4686" s="3" t="n"/>
      <c r="G4686" s="84" t="n"/>
      <c r="H4686" s="107" t="n"/>
      <c r="I4686" s="107" t="n"/>
      <c r="J4686" s="107" t="n"/>
      <c r="K4686" s="65" t="n"/>
      <c r="L4686" s="127" t="n"/>
      <c r="M4686" s="5" t="n"/>
      <c r="N4686" s="5" t="n"/>
      <c r="O4686" s="5">
        <f>+M4686+N4686</f>
        <v/>
      </c>
      <c r="P4686" s="4" t="n"/>
      <c r="Q4686" s="87" t="n"/>
      <c r="R4686" s="5" t="n"/>
      <c r="S4686" s="2" t="n"/>
      <c r="T4686" s="3" t="n"/>
      <c r="U4686" s="87" t="n"/>
      <c r="V4686" s="3" t="n"/>
      <c r="W4686" s="108" t="n"/>
      <c r="X4686" s="4" t="n"/>
    </row>
    <row r="4687" ht="24" customHeight="1">
      <c r="A4687" s="2">
        <f>+D4687-S4687</f>
        <v/>
      </c>
      <c r="B4687" s="126" t="n">
        <v>6273</v>
      </c>
      <c r="C4687" s="66" t="n"/>
      <c r="D4687" s="2" t="n"/>
      <c r="E4687" s="3" t="n"/>
      <c r="F4687" s="3" t="n"/>
      <c r="G4687" s="84" t="n"/>
      <c r="H4687" s="107" t="n"/>
      <c r="I4687" s="107" t="n"/>
      <c r="J4687" s="107" t="n"/>
      <c r="K4687" s="65" t="n"/>
      <c r="L4687" s="127" t="n"/>
      <c r="M4687" s="5" t="n"/>
      <c r="N4687" s="5" t="n"/>
      <c r="O4687" s="5">
        <f>+M4687+N4687</f>
        <v/>
      </c>
      <c r="P4687" s="4" t="n"/>
      <c r="Q4687" s="87" t="n"/>
      <c r="R4687" s="5" t="n"/>
      <c r="S4687" s="2" t="n"/>
      <c r="T4687" s="3" t="n"/>
      <c r="U4687" s="87" t="n"/>
      <c r="V4687" s="3" t="n"/>
      <c r="W4687" s="108" t="n"/>
      <c r="X4687" s="4" t="n"/>
    </row>
    <row r="4688" ht="24" customHeight="1">
      <c r="A4688" s="2">
        <f>+D4688-S4688</f>
        <v/>
      </c>
      <c r="B4688" s="126" t="n">
        <v>6274</v>
      </c>
      <c r="C4688" s="66" t="n"/>
      <c r="D4688" s="2" t="n"/>
      <c r="E4688" s="3" t="n"/>
      <c r="F4688" s="3" t="n"/>
      <c r="G4688" s="84" t="n"/>
      <c r="H4688" s="107" t="n"/>
      <c r="I4688" s="107" t="n"/>
      <c r="J4688" s="107" t="n"/>
      <c r="K4688" s="65" t="n"/>
      <c r="L4688" s="127" t="n"/>
      <c r="M4688" s="5" t="n"/>
      <c r="N4688" s="5" t="n"/>
      <c r="O4688" s="5">
        <f>+M4688+N4688</f>
        <v/>
      </c>
      <c r="P4688" s="4" t="n"/>
      <c r="Q4688" s="87" t="n"/>
      <c r="R4688" s="5" t="n"/>
      <c r="S4688" s="2" t="n"/>
      <c r="T4688" s="3" t="n"/>
      <c r="U4688" s="87" t="n"/>
      <c r="V4688" s="3" t="n"/>
      <c r="W4688" s="108" t="n"/>
      <c r="X4688" s="4" t="n"/>
    </row>
    <row r="4689" ht="24" customHeight="1">
      <c r="A4689" s="2">
        <f>+D4689-S4689</f>
        <v/>
      </c>
      <c r="B4689" s="126" t="n">
        <v>6275</v>
      </c>
      <c r="C4689" s="66" t="n"/>
      <c r="D4689" s="2" t="n"/>
      <c r="E4689" s="3" t="n"/>
      <c r="F4689" s="3" t="n"/>
      <c r="G4689" s="84" t="n"/>
      <c r="H4689" s="107" t="n"/>
      <c r="I4689" s="107" t="n"/>
      <c r="J4689" s="107" t="n"/>
      <c r="K4689" s="65" t="n"/>
      <c r="L4689" s="127" t="n"/>
      <c r="M4689" s="5" t="n"/>
      <c r="N4689" s="5" t="n"/>
      <c r="O4689" s="5">
        <f>+M4689+N4689</f>
        <v/>
      </c>
      <c r="P4689" s="4" t="n"/>
      <c r="Q4689" s="87" t="n"/>
      <c r="R4689" s="5" t="n"/>
      <c r="S4689" s="2" t="n"/>
      <c r="T4689" s="3" t="n"/>
      <c r="U4689" s="87" t="n"/>
      <c r="V4689" s="3" t="n"/>
      <c r="W4689" s="108" t="n"/>
      <c r="X4689" s="4" t="n"/>
    </row>
    <row r="4690" ht="24" customHeight="1">
      <c r="A4690" s="2">
        <f>+D4690-S4690</f>
        <v/>
      </c>
      <c r="B4690" s="126" t="n">
        <v>6276</v>
      </c>
      <c r="C4690" s="66" t="n"/>
      <c r="D4690" s="2" t="n"/>
      <c r="E4690" s="3" t="n"/>
      <c r="F4690" s="3" t="n"/>
      <c r="G4690" s="84" t="n"/>
      <c r="H4690" s="107" t="n"/>
      <c r="I4690" s="107" t="n"/>
      <c r="J4690" s="107" t="n"/>
      <c r="K4690" s="65" t="n"/>
      <c r="L4690" s="127" t="n"/>
      <c r="M4690" s="5" t="n"/>
      <c r="N4690" s="5" t="n"/>
      <c r="O4690" s="5">
        <f>+M4690+N4690</f>
        <v/>
      </c>
      <c r="P4690" s="4" t="n"/>
      <c r="Q4690" s="87" t="n"/>
      <c r="R4690" s="5" t="n"/>
      <c r="S4690" s="2" t="n"/>
      <c r="T4690" s="3" t="n"/>
      <c r="U4690" s="87" t="n"/>
      <c r="V4690" s="3" t="n"/>
      <c r="W4690" s="108" t="n"/>
      <c r="X4690" s="4" t="n"/>
    </row>
    <row r="4691" ht="24" customHeight="1">
      <c r="A4691" s="2">
        <f>+D4691-S4691</f>
        <v/>
      </c>
      <c r="B4691" s="126" t="n">
        <v>6277</v>
      </c>
      <c r="C4691" s="66" t="n"/>
      <c r="D4691" s="2" t="n"/>
      <c r="E4691" s="3" t="n"/>
      <c r="F4691" s="3" t="n"/>
      <c r="G4691" s="84" t="n"/>
      <c r="H4691" s="107" t="n"/>
      <c r="I4691" s="107" t="n"/>
      <c r="J4691" s="107" t="n"/>
      <c r="K4691" s="65" t="n"/>
      <c r="L4691" s="127" t="n"/>
      <c r="M4691" s="5" t="n"/>
      <c r="N4691" s="5" t="n"/>
      <c r="O4691" s="5">
        <f>+M4691+N4691</f>
        <v/>
      </c>
      <c r="P4691" s="4" t="n"/>
      <c r="Q4691" s="87" t="n"/>
      <c r="R4691" s="5" t="n"/>
      <c r="S4691" s="2" t="n"/>
      <c r="T4691" s="3" t="n"/>
      <c r="U4691" s="87" t="n"/>
      <c r="V4691" s="3" t="n"/>
      <c r="W4691" s="108" t="n"/>
      <c r="X4691" s="4" t="n"/>
    </row>
    <row r="4692" ht="24" customHeight="1">
      <c r="A4692" s="2">
        <f>+D4692-S4692</f>
        <v/>
      </c>
      <c r="B4692" s="126" t="n">
        <v>6278</v>
      </c>
      <c r="C4692" s="66" t="n"/>
      <c r="D4692" s="2" t="n"/>
      <c r="E4692" s="3" t="n"/>
      <c r="F4692" s="3" t="n"/>
      <c r="G4692" s="84" t="n"/>
      <c r="H4692" s="107" t="n"/>
      <c r="I4692" s="107" t="n"/>
      <c r="J4692" s="107" t="n"/>
      <c r="K4692" s="65" t="n"/>
      <c r="L4692" s="127" t="n"/>
      <c r="M4692" s="5" t="n"/>
      <c r="N4692" s="5" t="n"/>
      <c r="O4692" s="5">
        <f>+M4692+N4692</f>
        <v/>
      </c>
      <c r="P4692" s="4" t="n"/>
      <c r="Q4692" s="87" t="n"/>
      <c r="R4692" s="5" t="n"/>
      <c r="S4692" s="2" t="n"/>
      <c r="T4692" s="3" t="n"/>
      <c r="U4692" s="87" t="n"/>
      <c r="V4692" s="3" t="n"/>
      <c r="W4692" s="108" t="n"/>
      <c r="X4692" s="4" t="n"/>
    </row>
    <row r="4693" ht="24" customHeight="1">
      <c r="A4693" s="2">
        <f>+D4693-S4693</f>
        <v/>
      </c>
      <c r="B4693" s="126" t="n">
        <v>6279</v>
      </c>
      <c r="C4693" s="66" t="n"/>
      <c r="D4693" s="2" t="n"/>
      <c r="E4693" s="3" t="n"/>
      <c r="F4693" s="3" t="n"/>
      <c r="G4693" s="84" t="n"/>
      <c r="H4693" s="107" t="n"/>
      <c r="I4693" s="107" t="n"/>
      <c r="J4693" s="107" t="n"/>
      <c r="K4693" s="65" t="n"/>
      <c r="L4693" s="127" t="n"/>
      <c r="M4693" s="5" t="n"/>
      <c r="N4693" s="5" t="n"/>
      <c r="O4693" s="5">
        <f>+M4693+N4693</f>
        <v/>
      </c>
      <c r="P4693" s="4" t="n"/>
      <c r="Q4693" s="87" t="n"/>
      <c r="R4693" s="5" t="n"/>
      <c r="S4693" s="2" t="n"/>
      <c r="T4693" s="3" t="n"/>
      <c r="U4693" s="87" t="n"/>
      <c r="V4693" s="3" t="n"/>
      <c r="W4693" s="108" t="n"/>
      <c r="X4693" s="4" t="n"/>
    </row>
    <row r="4694" ht="24" customHeight="1">
      <c r="A4694" s="2">
        <f>+D4694-S4694</f>
        <v/>
      </c>
      <c r="B4694" s="126" t="n">
        <v>6280</v>
      </c>
      <c r="C4694" s="66" t="n"/>
      <c r="D4694" s="2" t="n"/>
      <c r="E4694" s="3" t="n"/>
      <c r="F4694" s="3" t="n"/>
      <c r="G4694" s="84" t="n"/>
      <c r="H4694" s="107" t="n"/>
      <c r="I4694" s="107" t="n"/>
      <c r="J4694" s="107" t="n"/>
      <c r="K4694" s="65" t="n"/>
      <c r="L4694" s="127" t="n"/>
      <c r="M4694" s="5" t="n"/>
      <c r="N4694" s="5" t="n"/>
      <c r="O4694" s="5">
        <f>+M4694+N4694</f>
        <v/>
      </c>
      <c r="P4694" s="4" t="n"/>
      <c r="Q4694" s="87" t="n"/>
      <c r="R4694" s="5" t="n"/>
      <c r="S4694" s="2" t="n"/>
      <c r="T4694" s="3" t="n"/>
      <c r="U4694" s="87" t="n"/>
      <c r="V4694" s="3" t="n"/>
      <c r="W4694" s="108" t="n"/>
      <c r="X4694" s="4" t="n"/>
    </row>
    <row r="4695" ht="24" customHeight="1">
      <c r="A4695" s="2">
        <f>+D4695-S4695</f>
        <v/>
      </c>
      <c r="B4695" s="126" t="n">
        <v>6281</v>
      </c>
      <c r="C4695" s="66" t="n"/>
      <c r="D4695" s="2" t="n"/>
      <c r="E4695" s="3" t="n"/>
      <c r="F4695" s="3" t="n"/>
      <c r="G4695" s="84" t="n"/>
      <c r="H4695" s="107" t="n"/>
      <c r="I4695" s="107" t="n"/>
      <c r="J4695" s="107" t="n"/>
      <c r="K4695" s="65" t="n"/>
      <c r="L4695" s="127" t="n"/>
      <c r="M4695" s="5" t="n"/>
      <c r="N4695" s="5" t="n"/>
      <c r="O4695" s="5">
        <f>+M4695+N4695</f>
        <v/>
      </c>
      <c r="P4695" s="4" t="n"/>
      <c r="Q4695" s="87" t="n"/>
      <c r="R4695" s="5" t="n"/>
      <c r="S4695" s="2" t="n"/>
      <c r="T4695" s="3" t="n"/>
      <c r="U4695" s="87" t="n"/>
      <c r="V4695" s="3" t="n"/>
      <c r="W4695" s="108" t="n"/>
      <c r="X4695" s="4" t="n"/>
    </row>
    <row r="4696" ht="24" customHeight="1">
      <c r="A4696" s="2">
        <f>+D4696-S4696</f>
        <v/>
      </c>
      <c r="B4696" s="126" t="n">
        <v>6282</v>
      </c>
      <c r="C4696" s="66" t="n"/>
      <c r="D4696" s="2" t="n"/>
      <c r="E4696" s="3" t="n"/>
      <c r="F4696" s="3" t="n"/>
      <c r="G4696" s="84" t="n"/>
      <c r="H4696" s="107" t="n"/>
      <c r="I4696" s="107" t="n"/>
      <c r="J4696" s="107" t="n"/>
      <c r="K4696" s="65" t="n"/>
      <c r="L4696" s="127" t="n"/>
      <c r="M4696" s="5" t="n"/>
      <c r="N4696" s="5" t="n"/>
      <c r="O4696" s="5">
        <f>+M4696+N4696</f>
        <v/>
      </c>
      <c r="P4696" s="4" t="n"/>
      <c r="Q4696" s="87" t="n"/>
      <c r="R4696" s="5" t="n"/>
      <c r="S4696" s="2" t="n"/>
      <c r="T4696" s="3" t="n"/>
      <c r="U4696" s="87" t="n"/>
      <c r="V4696" s="3" t="n"/>
      <c r="W4696" s="108" t="n"/>
      <c r="X4696" s="4" t="n"/>
    </row>
    <row r="4697" ht="24" customHeight="1">
      <c r="A4697" s="2">
        <f>+D4697-S4697</f>
        <v/>
      </c>
      <c r="B4697" s="126" t="n">
        <v>6283</v>
      </c>
      <c r="C4697" s="66" t="n"/>
      <c r="D4697" s="2" t="n"/>
      <c r="E4697" s="3" t="n"/>
      <c r="F4697" s="3" t="n"/>
      <c r="G4697" s="84" t="n"/>
      <c r="H4697" s="107" t="n"/>
      <c r="I4697" s="107" t="n"/>
      <c r="J4697" s="107" t="n"/>
      <c r="K4697" s="65" t="n"/>
      <c r="L4697" s="127" t="n"/>
      <c r="M4697" s="5" t="n"/>
      <c r="N4697" s="5" t="n"/>
      <c r="O4697" s="5">
        <f>+M4697+N4697</f>
        <v/>
      </c>
      <c r="P4697" s="4" t="n"/>
      <c r="Q4697" s="87" t="n"/>
      <c r="R4697" s="5" t="n"/>
      <c r="S4697" s="2" t="n"/>
      <c r="T4697" s="3" t="n"/>
      <c r="U4697" s="87" t="n"/>
      <c r="V4697" s="3" t="n"/>
      <c r="W4697" s="108" t="n"/>
      <c r="X4697" s="4" t="n"/>
    </row>
    <row r="4698" ht="24" customHeight="1">
      <c r="A4698" s="2">
        <f>+D4698-S4698</f>
        <v/>
      </c>
      <c r="B4698" s="126" t="n">
        <v>6284</v>
      </c>
      <c r="C4698" s="66" t="n"/>
      <c r="D4698" s="2" t="n"/>
      <c r="E4698" s="3" t="n"/>
      <c r="F4698" s="3" t="n"/>
      <c r="G4698" s="84" t="n"/>
      <c r="H4698" s="107" t="n"/>
      <c r="I4698" s="107" t="n"/>
      <c r="J4698" s="107" t="n"/>
      <c r="K4698" s="65" t="n"/>
      <c r="L4698" s="127" t="n"/>
      <c r="M4698" s="5" t="n"/>
      <c r="N4698" s="5" t="n"/>
      <c r="O4698" s="5">
        <f>+M4698+N4698</f>
        <v/>
      </c>
      <c r="P4698" s="4" t="n"/>
      <c r="Q4698" s="87" t="n"/>
      <c r="R4698" s="5" t="n"/>
      <c r="S4698" s="2" t="n"/>
      <c r="T4698" s="3" t="n"/>
      <c r="U4698" s="87" t="n"/>
      <c r="V4698" s="3" t="n"/>
      <c r="W4698" s="108" t="n"/>
      <c r="X4698" s="4" t="n"/>
    </row>
    <row r="4699" ht="24" customHeight="1">
      <c r="A4699" s="2">
        <f>+D4699-S4699</f>
        <v/>
      </c>
      <c r="B4699" s="126" t="n">
        <v>6285</v>
      </c>
      <c r="C4699" s="66" t="n"/>
      <c r="D4699" s="2" t="n"/>
      <c r="E4699" s="3" t="n"/>
      <c r="F4699" s="3" t="n"/>
      <c r="G4699" s="84" t="n"/>
      <c r="H4699" s="107" t="n"/>
      <c r="I4699" s="107" t="n"/>
      <c r="J4699" s="107" t="n"/>
      <c r="K4699" s="65" t="n"/>
      <c r="L4699" s="127" t="n"/>
      <c r="M4699" s="5" t="n"/>
      <c r="N4699" s="5" t="n"/>
      <c r="O4699" s="5">
        <f>+M4699+N4699</f>
        <v/>
      </c>
      <c r="P4699" s="4" t="n"/>
      <c r="Q4699" s="87" t="n"/>
      <c r="R4699" s="5" t="n"/>
      <c r="S4699" s="2" t="n"/>
      <c r="T4699" s="3" t="n"/>
      <c r="U4699" s="87" t="n"/>
      <c r="V4699" s="3" t="n"/>
      <c r="W4699" s="108" t="n"/>
      <c r="X4699" s="4" t="n"/>
    </row>
    <row r="4700" ht="24" customHeight="1">
      <c r="A4700" s="2">
        <f>+D4700-S4700</f>
        <v/>
      </c>
      <c r="B4700" s="126" t="n">
        <v>6286</v>
      </c>
      <c r="C4700" s="66" t="n"/>
      <c r="D4700" s="2" t="n"/>
      <c r="E4700" s="3" t="n"/>
      <c r="F4700" s="3" t="n"/>
      <c r="G4700" s="84" t="n"/>
      <c r="H4700" s="107" t="n"/>
      <c r="I4700" s="107" t="n"/>
      <c r="J4700" s="107" t="n"/>
      <c r="K4700" s="65" t="n"/>
      <c r="L4700" s="127" t="n"/>
      <c r="M4700" s="5" t="n"/>
      <c r="N4700" s="5" t="n"/>
      <c r="O4700" s="5">
        <f>+M4700+N4700</f>
        <v/>
      </c>
      <c r="P4700" s="4" t="n"/>
      <c r="Q4700" s="87" t="n"/>
      <c r="R4700" s="5" t="n"/>
      <c r="S4700" s="2" t="n"/>
      <c r="T4700" s="3" t="n"/>
      <c r="U4700" s="87" t="n"/>
      <c r="V4700" s="3" t="n"/>
      <c r="W4700" s="108" t="n"/>
      <c r="X4700" s="4" t="n"/>
    </row>
    <row r="4701" ht="24" customHeight="1">
      <c r="A4701" s="2">
        <f>+D4701-S4701</f>
        <v/>
      </c>
      <c r="B4701" s="126" t="n">
        <v>6287</v>
      </c>
      <c r="C4701" s="66" t="n"/>
      <c r="D4701" s="2" t="n"/>
      <c r="E4701" s="3" t="n"/>
      <c r="F4701" s="3" t="n"/>
      <c r="G4701" s="84" t="n"/>
      <c r="H4701" s="107" t="n"/>
      <c r="I4701" s="107" t="n"/>
      <c r="J4701" s="107" t="n"/>
      <c r="K4701" s="65" t="n"/>
      <c r="L4701" s="127" t="n"/>
      <c r="M4701" s="5" t="n"/>
      <c r="N4701" s="5" t="n"/>
      <c r="O4701" s="5">
        <f>+M4701+N4701</f>
        <v/>
      </c>
      <c r="P4701" s="4" t="n"/>
      <c r="Q4701" s="87" t="n"/>
      <c r="R4701" s="5" t="n"/>
      <c r="S4701" s="2" t="n"/>
      <c r="T4701" s="3" t="n"/>
      <c r="U4701" s="87" t="n"/>
      <c r="V4701" s="3" t="n"/>
      <c r="W4701" s="108" t="n"/>
      <c r="X4701" s="4" t="n"/>
    </row>
    <row r="4702" ht="24" customHeight="1">
      <c r="A4702" s="2">
        <f>+D4702-S4702</f>
        <v/>
      </c>
      <c r="B4702" s="126" t="n">
        <v>6288</v>
      </c>
      <c r="C4702" s="66" t="n"/>
      <c r="D4702" s="2" t="n"/>
      <c r="E4702" s="3" t="n"/>
      <c r="F4702" s="3" t="n"/>
      <c r="G4702" s="84" t="n"/>
      <c r="H4702" s="107" t="n"/>
      <c r="I4702" s="107" t="n"/>
      <c r="J4702" s="107" t="n"/>
      <c r="K4702" s="65" t="n"/>
      <c r="L4702" s="127" t="n"/>
      <c r="M4702" s="5" t="n"/>
      <c r="N4702" s="5" t="n"/>
      <c r="O4702" s="5">
        <f>+M4702+N4702</f>
        <v/>
      </c>
      <c r="P4702" s="4" t="n"/>
      <c r="Q4702" s="87" t="n"/>
      <c r="R4702" s="5" t="n"/>
      <c r="S4702" s="2" t="n"/>
      <c r="T4702" s="3" t="n"/>
      <c r="U4702" s="87" t="n"/>
      <c r="V4702" s="3" t="n"/>
      <c r="W4702" s="108" t="n"/>
      <c r="X4702" s="4" t="n"/>
    </row>
    <row r="4703" ht="24" customHeight="1">
      <c r="A4703" s="2">
        <f>+D4703-S4703</f>
        <v/>
      </c>
      <c r="B4703" s="126" t="n">
        <v>6289</v>
      </c>
      <c r="C4703" s="66" t="n"/>
      <c r="D4703" s="2" t="n"/>
      <c r="E4703" s="3" t="n"/>
      <c r="F4703" s="3" t="n"/>
      <c r="G4703" s="84" t="n"/>
      <c r="H4703" s="107" t="n"/>
      <c r="I4703" s="107" t="n"/>
      <c r="J4703" s="107" t="n"/>
      <c r="K4703" s="65" t="n"/>
      <c r="L4703" s="127" t="n"/>
      <c r="M4703" s="5" t="n"/>
      <c r="N4703" s="5" t="n"/>
      <c r="O4703" s="5">
        <f>+M4703+N4703</f>
        <v/>
      </c>
      <c r="P4703" s="4" t="n"/>
      <c r="Q4703" s="87" t="n"/>
      <c r="R4703" s="5" t="n"/>
      <c r="S4703" s="2" t="n"/>
      <c r="T4703" s="3" t="n"/>
      <c r="U4703" s="87" t="n"/>
      <c r="V4703" s="3" t="n"/>
      <c r="W4703" s="108" t="n"/>
      <c r="X4703" s="4" t="n"/>
    </row>
    <row r="4704" ht="24" customHeight="1">
      <c r="A4704" s="2">
        <f>+D4704-S4704</f>
        <v/>
      </c>
      <c r="B4704" s="126" t="n">
        <v>6290</v>
      </c>
      <c r="C4704" s="66" t="n"/>
      <c r="D4704" s="2" t="n"/>
      <c r="E4704" s="3" t="n"/>
      <c r="F4704" s="3" t="n"/>
      <c r="G4704" s="84" t="n"/>
      <c r="H4704" s="107" t="n"/>
      <c r="I4704" s="107" t="n"/>
      <c r="J4704" s="107" t="n"/>
      <c r="K4704" s="65" t="n"/>
      <c r="L4704" s="127" t="n"/>
      <c r="M4704" s="5" t="n"/>
      <c r="N4704" s="5" t="n"/>
      <c r="O4704" s="5">
        <f>+M4704+N4704</f>
        <v/>
      </c>
      <c r="P4704" s="4" t="n"/>
      <c r="Q4704" s="87" t="n"/>
      <c r="R4704" s="5" t="n"/>
      <c r="S4704" s="2" t="n"/>
      <c r="T4704" s="3" t="n"/>
      <c r="U4704" s="87" t="n"/>
      <c r="V4704" s="3" t="n"/>
      <c r="W4704" s="108" t="n"/>
      <c r="X4704" s="4" t="n"/>
    </row>
    <row r="4705" ht="24" customHeight="1">
      <c r="A4705" s="2">
        <f>+D4705-S4705</f>
        <v/>
      </c>
      <c r="B4705" s="126" t="n">
        <v>6291</v>
      </c>
      <c r="C4705" s="66" t="n"/>
      <c r="D4705" s="2" t="n"/>
      <c r="E4705" s="3" t="n"/>
      <c r="F4705" s="3" t="n"/>
      <c r="G4705" s="84" t="n"/>
      <c r="H4705" s="107" t="n"/>
      <c r="I4705" s="107" t="n"/>
      <c r="J4705" s="107" t="n"/>
      <c r="K4705" s="65" t="n"/>
      <c r="L4705" s="127" t="n"/>
      <c r="M4705" s="5" t="n"/>
      <c r="N4705" s="5" t="n"/>
      <c r="O4705" s="5">
        <f>+M4705+N4705</f>
        <v/>
      </c>
      <c r="P4705" s="4" t="n"/>
      <c r="Q4705" s="87" t="n"/>
      <c r="R4705" s="5" t="n"/>
      <c r="S4705" s="2" t="n"/>
      <c r="T4705" s="3" t="n"/>
      <c r="U4705" s="87" t="n"/>
      <c r="V4705" s="3" t="n"/>
      <c r="W4705" s="108" t="n"/>
      <c r="X4705" s="4" t="n"/>
    </row>
    <row r="4706" ht="24" customHeight="1">
      <c r="A4706" s="2">
        <f>+D4706-S4706</f>
        <v/>
      </c>
      <c r="B4706" s="126" t="n">
        <v>6292</v>
      </c>
      <c r="C4706" s="66" t="n"/>
      <c r="D4706" s="2" t="n"/>
      <c r="E4706" s="3" t="n"/>
      <c r="F4706" s="3" t="n"/>
      <c r="G4706" s="84" t="n"/>
      <c r="H4706" s="107" t="n"/>
      <c r="I4706" s="107" t="n"/>
      <c r="J4706" s="107" t="n"/>
      <c r="K4706" s="65" t="n"/>
      <c r="L4706" s="127" t="n"/>
      <c r="M4706" s="5" t="n"/>
      <c r="N4706" s="5" t="n"/>
      <c r="O4706" s="5">
        <f>+M4706+N4706</f>
        <v/>
      </c>
      <c r="P4706" s="4" t="n"/>
      <c r="Q4706" s="87" t="n"/>
      <c r="R4706" s="5" t="n"/>
      <c r="S4706" s="2" t="n"/>
      <c r="T4706" s="3" t="n"/>
      <c r="U4706" s="87" t="n"/>
      <c r="V4706" s="3" t="n"/>
      <c r="W4706" s="108" t="n"/>
      <c r="X4706" s="4" t="n"/>
    </row>
    <row r="4707" ht="24" customHeight="1">
      <c r="A4707" s="2">
        <f>+D4707-S4707</f>
        <v/>
      </c>
      <c r="B4707" s="126" t="n">
        <v>6293</v>
      </c>
      <c r="C4707" s="66" t="n"/>
      <c r="D4707" s="2" t="n"/>
      <c r="E4707" s="3" t="n"/>
      <c r="F4707" s="3" t="n"/>
      <c r="G4707" s="84" t="n"/>
      <c r="H4707" s="107" t="n"/>
      <c r="I4707" s="107" t="n"/>
      <c r="J4707" s="107" t="n"/>
      <c r="K4707" s="65" t="n"/>
      <c r="L4707" s="127" t="n"/>
      <c r="M4707" s="5" t="n"/>
      <c r="N4707" s="5" t="n"/>
      <c r="O4707" s="5">
        <f>+M4707+N4707</f>
        <v/>
      </c>
      <c r="P4707" s="4" t="n"/>
      <c r="Q4707" s="87" t="n"/>
      <c r="R4707" s="5" t="n"/>
      <c r="S4707" s="2" t="n"/>
      <c r="T4707" s="3" t="n"/>
      <c r="U4707" s="87" t="n"/>
      <c r="V4707" s="3" t="n"/>
      <c r="W4707" s="108" t="n"/>
      <c r="X4707" s="4" t="n"/>
    </row>
    <row r="4708" ht="24" customHeight="1">
      <c r="A4708" s="2">
        <f>+D4708-S4708</f>
        <v/>
      </c>
      <c r="B4708" s="126" t="n">
        <v>6294</v>
      </c>
      <c r="C4708" s="66" t="n"/>
      <c r="D4708" s="2" t="n"/>
      <c r="E4708" s="3" t="n"/>
      <c r="F4708" s="3" t="n"/>
      <c r="G4708" s="84" t="n"/>
      <c r="H4708" s="107" t="n"/>
      <c r="I4708" s="107" t="n"/>
      <c r="J4708" s="107" t="n"/>
      <c r="K4708" s="65" t="n"/>
      <c r="L4708" s="127" t="n"/>
      <c r="M4708" s="5" t="n"/>
      <c r="N4708" s="5" t="n"/>
      <c r="O4708" s="5">
        <f>+M4708+N4708</f>
        <v/>
      </c>
      <c r="P4708" s="4" t="n"/>
      <c r="Q4708" s="87" t="n"/>
      <c r="R4708" s="5" t="n"/>
      <c r="S4708" s="2" t="n"/>
      <c r="T4708" s="3" t="n"/>
      <c r="U4708" s="87" t="n"/>
      <c r="V4708" s="3" t="n"/>
      <c r="W4708" s="108" t="n"/>
      <c r="X4708" s="4" t="n"/>
    </row>
    <row r="4709" ht="24" customHeight="1">
      <c r="A4709" s="2">
        <f>+D4709-S4709</f>
        <v/>
      </c>
      <c r="B4709" s="126" t="n">
        <v>6295</v>
      </c>
      <c r="C4709" s="66" t="n"/>
      <c r="D4709" s="2" t="n"/>
      <c r="E4709" s="3" t="n"/>
      <c r="F4709" s="3" t="n"/>
      <c r="G4709" s="84" t="n"/>
      <c r="H4709" s="107" t="n"/>
      <c r="I4709" s="107" t="n"/>
      <c r="J4709" s="107" t="n"/>
      <c r="K4709" s="65" t="n"/>
      <c r="L4709" s="127" t="n"/>
      <c r="M4709" s="5" t="n"/>
      <c r="N4709" s="5" t="n"/>
      <c r="O4709" s="5">
        <f>+M4709+N4709</f>
        <v/>
      </c>
      <c r="P4709" s="4" t="n"/>
      <c r="Q4709" s="87" t="n"/>
      <c r="R4709" s="5" t="n"/>
      <c r="S4709" s="2" t="n"/>
      <c r="T4709" s="3" t="n"/>
      <c r="U4709" s="87" t="n"/>
      <c r="V4709" s="3" t="n"/>
      <c r="W4709" s="108" t="n"/>
      <c r="X4709" s="4" t="n"/>
    </row>
    <row r="4710" ht="24" customHeight="1">
      <c r="A4710" s="2">
        <f>+D4710-S4710</f>
        <v/>
      </c>
      <c r="B4710" s="126" t="n">
        <v>6296</v>
      </c>
      <c r="C4710" s="66" t="n"/>
      <c r="D4710" s="2" t="n"/>
      <c r="E4710" s="3" t="n"/>
      <c r="F4710" s="3" t="n"/>
      <c r="G4710" s="84" t="n"/>
      <c r="H4710" s="107" t="n"/>
      <c r="I4710" s="107" t="n"/>
      <c r="J4710" s="107" t="n"/>
      <c r="K4710" s="65" t="n"/>
      <c r="L4710" s="127" t="n"/>
      <c r="M4710" s="5" t="n"/>
      <c r="N4710" s="5" t="n"/>
      <c r="O4710" s="5">
        <f>+M4710+N4710</f>
        <v/>
      </c>
      <c r="P4710" s="4" t="n"/>
      <c r="Q4710" s="87" t="n"/>
      <c r="R4710" s="5" t="n"/>
      <c r="S4710" s="2" t="n"/>
      <c r="T4710" s="3" t="n"/>
      <c r="U4710" s="87" t="n"/>
      <c r="V4710" s="3" t="n"/>
      <c r="W4710" s="108" t="n"/>
      <c r="X4710" s="4" t="n"/>
    </row>
    <row r="4711" ht="24" customHeight="1">
      <c r="A4711" s="2">
        <f>+D4711-S4711</f>
        <v/>
      </c>
      <c r="B4711" s="126" t="n">
        <v>6297</v>
      </c>
      <c r="C4711" s="66" t="n"/>
      <c r="D4711" s="2" t="n"/>
      <c r="E4711" s="3" t="n"/>
      <c r="F4711" s="3" t="n"/>
      <c r="G4711" s="84" t="n"/>
      <c r="H4711" s="107" t="n"/>
      <c r="I4711" s="107" t="n"/>
      <c r="J4711" s="107" t="n"/>
      <c r="K4711" s="65" t="n"/>
      <c r="L4711" s="127" t="n"/>
      <c r="M4711" s="5" t="n"/>
      <c r="N4711" s="5" t="n"/>
      <c r="O4711" s="5">
        <f>+M4711+N4711</f>
        <v/>
      </c>
      <c r="P4711" s="4" t="n"/>
      <c r="Q4711" s="87" t="n"/>
      <c r="R4711" s="5" t="n"/>
      <c r="S4711" s="2" t="n"/>
      <c r="T4711" s="3" t="n"/>
      <c r="U4711" s="87" t="n"/>
      <c r="V4711" s="3" t="n"/>
      <c r="W4711" s="108" t="n"/>
      <c r="X4711" s="4" t="n"/>
    </row>
    <row r="4712" ht="24" customHeight="1">
      <c r="A4712" s="2">
        <f>+D4712-S4712</f>
        <v/>
      </c>
      <c r="B4712" s="126" t="n">
        <v>6298</v>
      </c>
      <c r="C4712" s="66" t="n"/>
      <c r="D4712" s="2" t="n"/>
      <c r="E4712" s="3" t="n"/>
      <c r="F4712" s="3" t="n"/>
      <c r="G4712" s="84" t="n"/>
      <c r="H4712" s="107" t="n"/>
      <c r="I4712" s="107" t="n"/>
      <c r="J4712" s="107" t="n"/>
      <c r="K4712" s="65" t="n"/>
      <c r="L4712" s="127" t="n"/>
      <c r="M4712" s="5" t="n"/>
      <c r="N4712" s="5" t="n"/>
      <c r="O4712" s="5">
        <f>+M4712+N4712</f>
        <v/>
      </c>
      <c r="P4712" s="4" t="n"/>
      <c r="Q4712" s="87" t="n"/>
      <c r="R4712" s="5" t="n"/>
      <c r="S4712" s="2" t="n"/>
      <c r="T4712" s="3" t="n"/>
      <c r="U4712" s="87" t="n"/>
      <c r="V4712" s="3" t="n"/>
      <c r="W4712" s="108" t="n"/>
      <c r="X4712" s="4" t="n"/>
    </row>
    <row r="4713" ht="24" customHeight="1">
      <c r="A4713" s="2">
        <f>+D4713-S4713</f>
        <v/>
      </c>
      <c r="B4713" s="126" t="n">
        <v>6299</v>
      </c>
      <c r="C4713" s="66" t="n"/>
      <c r="D4713" s="2" t="n"/>
      <c r="E4713" s="3" t="n"/>
      <c r="F4713" s="3" t="n"/>
      <c r="G4713" s="84" t="n"/>
      <c r="H4713" s="107" t="n"/>
      <c r="I4713" s="107" t="n"/>
      <c r="J4713" s="107" t="n"/>
      <c r="K4713" s="65" t="n"/>
      <c r="L4713" s="127" t="n"/>
      <c r="M4713" s="5" t="n"/>
      <c r="N4713" s="5" t="n"/>
      <c r="O4713" s="5">
        <f>+M4713+N4713</f>
        <v/>
      </c>
      <c r="P4713" s="4" t="n"/>
      <c r="Q4713" s="87" t="n"/>
      <c r="R4713" s="5" t="n"/>
      <c r="S4713" s="2" t="n"/>
      <c r="T4713" s="3" t="n"/>
      <c r="U4713" s="87" t="n"/>
      <c r="V4713" s="3" t="n"/>
      <c r="W4713" s="108" t="n"/>
      <c r="X4713" s="4" t="n"/>
    </row>
    <row r="4714" ht="24" customHeight="1">
      <c r="A4714" s="2">
        <f>+D4714-S4714</f>
        <v/>
      </c>
      <c r="B4714" s="126" t="n">
        <v>6300</v>
      </c>
      <c r="C4714" s="66" t="n"/>
      <c r="D4714" s="2" t="n"/>
      <c r="E4714" s="3" t="n"/>
      <c r="F4714" s="3" t="n"/>
      <c r="G4714" s="84" t="n"/>
      <c r="H4714" s="107" t="n"/>
      <c r="I4714" s="107" t="n"/>
      <c r="J4714" s="107" t="n"/>
      <c r="K4714" s="65" t="n"/>
      <c r="L4714" s="127" t="n"/>
      <c r="M4714" s="5" t="n"/>
      <c r="N4714" s="5" t="n"/>
      <c r="O4714" s="5">
        <f>+M4714+N4714</f>
        <v/>
      </c>
      <c r="P4714" s="4" t="n"/>
      <c r="Q4714" s="87" t="n"/>
      <c r="R4714" s="5" t="n"/>
      <c r="S4714" s="2" t="n"/>
      <c r="T4714" s="3" t="n"/>
      <c r="U4714" s="87" t="n"/>
      <c r="V4714" s="3" t="n"/>
      <c r="W4714" s="108" t="n"/>
      <c r="X4714" s="4" t="n"/>
    </row>
    <row r="4715" ht="24" customHeight="1">
      <c r="A4715" s="2">
        <f>+D4715-S4715</f>
        <v/>
      </c>
      <c r="B4715" s="126" t="n">
        <v>6301</v>
      </c>
      <c r="C4715" s="66" t="n"/>
      <c r="D4715" s="2" t="n"/>
      <c r="E4715" s="3" t="n"/>
      <c r="F4715" s="3" t="n"/>
      <c r="G4715" s="84" t="n"/>
      <c r="H4715" s="107" t="n"/>
      <c r="I4715" s="107" t="n"/>
      <c r="J4715" s="107" t="n"/>
      <c r="K4715" s="65" t="n"/>
      <c r="L4715" s="127" t="n"/>
      <c r="M4715" s="5" t="n"/>
      <c r="N4715" s="5" t="n"/>
      <c r="O4715" s="5">
        <f>+M4715+N4715</f>
        <v/>
      </c>
      <c r="P4715" s="4" t="n"/>
      <c r="Q4715" s="87" t="n"/>
      <c r="R4715" s="5" t="n"/>
      <c r="S4715" s="2" t="n"/>
      <c r="T4715" s="3" t="n"/>
      <c r="U4715" s="87" t="n"/>
      <c r="V4715" s="3" t="n"/>
      <c r="W4715" s="108" t="n"/>
      <c r="X4715" s="4" t="n"/>
    </row>
    <row r="4716" ht="24" customHeight="1">
      <c r="A4716" s="2">
        <f>+D4716-S4716</f>
        <v/>
      </c>
      <c r="B4716" s="126" t="n">
        <v>6302</v>
      </c>
      <c r="C4716" s="66" t="n"/>
      <c r="D4716" s="2" t="n"/>
      <c r="E4716" s="3" t="n"/>
      <c r="F4716" s="3" t="n"/>
      <c r="G4716" s="84" t="n"/>
      <c r="H4716" s="107" t="n"/>
      <c r="I4716" s="107" t="n"/>
      <c r="J4716" s="107" t="n"/>
      <c r="K4716" s="65" t="n"/>
      <c r="L4716" s="127" t="n"/>
      <c r="M4716" s="5" t="n"/>
      <c r="N4716" s="5" t="n"/>
      <c r="O4716" s="5">
        <f>+M4716+N4716</f>
        <v/>
      </c>
      <c r="P4716" s="4" t="n"/>
      <c r="Q4716" s="87" t="n"/>
      <c r="R4716" s="5" t="n"/>
      <c r="S4716" s="2" t="n"/>
      <c r="T4716" s="3" t="n"/>
      <c r="U4716" s="87" t="n"/>
      <c r="V4716" s="3" t="n"/>
      <c r="W4716" s="108" t="n"/>
      <c r="X4716" s="4" t="n"/>
    </row>
    <row r="4717" ht="24" customHeight="1">
      <c r="A4717" s="2">
        <f>+D4717-S4717</f>
        <v/>
      </c>
      <c r="B4717" s="126" t="n">
        <v>6303</v>
      </c>
      <c r="C4717" s="66" t="n"/>
      <c r="D4717" s="2" t="n"/>
      <c r="E4717" s="3" t="n"/>
      <c r="F4717" s="3" t="n"/>
      <c r="G4717" s="84" t="n"/>
      <c r="H4717" s="107" t="n"/>
      <c r="I4717" s="107" t="n"/>
      <c r="J4717" s="107" t="n"/>
      <c r="K4717" s="65" t="n"/>
      <c r="L4717" s="127" t="n"/>
      <c r="M4717" s="5" t="n"/>
      <c r="N4717" s="5" t="n"/>
      <c r="O4717" s="5">
        <f>+M4717+N4717</f>
        <v/>
      </c>
      <c r="P4717" s="4" t="n"/>
      <c r="Q4717" s="87" t="n"/>
      <c r="R4717" s="5" t="n"/>
      <c r="S4717" s="2" t="n"/>
      <c r="T4717" s="3" t="n"/>
      <c r="U4717" s="87" t="n"/>
      <c r="V4717" s="3" t="n"/>
      <c r="W4717" s="108" t="n"/>
      <c r="X4717" s="4" t="n"/>
    </row>
    <row r="4718" ht="24" customHeight="1">
      <c r="A4718" s="2">
        <f>+D4718-S4718</f>
        <v/>
      </c>
      <c r="B4718" s="126" t="n">
        <v>6304</v>
      </c>
      <c r="C4718" s="66" t="n"/>
      <c r="D4718" s="2" t="n"/>
      <c r="E4718" s="3" t="n"/>
      <c r="F4718" s="3" t="n"/>
      <c r="G4718" s="84" t="n"/>
      <c r="H4718" s="107" t="n"/>
      <c r="I4718" s="107" t="n"/>
      <c r="J4718" s="107" t="n"/>
      <c r="K4718" s="65" t="n"/>
      <c r="L4718" s="127" t="n"/>
      <c r="M4718" s="5" t="n"/>
      <c r="N4718" s="5" t="n"/>
      <c r="O4718" s="5">
        <f>+M4718+N4718</f>
        <v/>
      </c>
      <c r="P4718" s="4" t="n"/>
      <c r="Q4718" s="87" t="n"/>
      <c r="R4718" s="5" t="n"/>
      <c r="S4718" s="2" t="n"/>
      <c r="T4718" s="3" t="n"/>
      <c r="U4718" s="87" t="n"/>
      <c r="V4718" s="3" t="n"/>
      <c r="W4718" s="108" t="n"/>
      <c r="X4718" s="4" t="n"/>
    </row>
    <row r="4719" ht="24" customHeight="1">
      <c r="A4719" s="2">
        <f>+D4719-S4719</f>
        <v/>
      </c>
      <c r="B4719" s="126" t="n">
        <v>6305</v>
      </c>
      <c r="C4719" s="66" t="n"/>
      <c r="D4719" s="2" t="n"/>
      <c r="E4719" s="3" t="n"/>
      <c r="F4719" s="3" t="n"/>
      <c r="G4719" s="84" t="n"/>
      <c r="H4719" s="107" t="n"/>
      <c r="I4719" s="107" t="n"/>
      <c r="J4719" s="107" t="n"/>
      <c r="K4719" s="65" t="n"/>
      <c r="L4719" s="127" t="n"/>
      <c r="M4719" s="5" t="n"/>
      <c r="N4719" s="5" t="n"/>
      <c r="O4719" s="5">
        <f>+M4719+N4719</f>
        <v/>
      </c>
      <c r="P4719" s="4" t="n"/>
      <c r="Q4719" s="87" t="n"/>
      <c r="R4719" s="5" t="n"/>
      <c r="S4719" s="2" t="n"/>
      <c r="T4719" s="3" t="n"/>
      <c r="U4719" s="87" t="n"/>
      <c r="V4719" s="3" t="n"/>
      <c r="W4719" s="108" t="n"/>
      <c r="X4719" s="4" t="n"/>
    </row>
    <row r="4720" ht="24" customHeight="1">
      <c r="A4720" s="2">
        <f>+D4720-S4720</f>
        <v/>
      </c>
      <c r="B4720" s="126" t="n">
        <v>6306</v>
      </c>
      <c r="C4720" s="66" t="n"/>
      <c r="D4720" s="2" t="n"/>
      <c r="E4720" s="3" t="n"/>
      <c r="F4720" s="3" t="n"/>
      <c r="G4720" s="84" t="n"/>
      <c r="H4720" s="107" t="n"/>
      <c r="I4720" s="107" t="n"/>
      <c r="J4720" s="107" t="n"/>
      <c r="K4720" s="65" t="n"/>
      <c r="L4720" s="127" t="n"/>
      <c r="M4720" s="5" t="n"/>
      <c r="N4720" s="5" t="n"/>
      <c r="O4720" s="5">
        <f>+M4720+N4720</f>
        <v/>
      </c>
      <c r="P4720" s="4" t="n"/>
      <c r="Q4720" s="87" t="n"/>
      <c r="R4720" s="5" t="n"/>
      <c r="S4720" s="2" t="n"/>
      <c r="T4720" s="3" t="n"/>
      <c r="U4720" s="87" t="n"/>
      <c r="V4720" s="3" t="n"/>
      <c r="W4720" s="108" t="n"/>
      <c r="X4720" s="4" t="n"/>
    </row>
    <row r="4721" ht="24" customHeight="1">
      <c r="A4721" s="2">
        <f>+D4721-S4721</f>
        <v/>
      </c>
      <c r="B4721" s="126" t="n">
        <v>6307</v>
      </c>
      <c r="C4721" s="66" t="n"/>
      <c r="D4721" s="2" t="n"/>
      <c r="E4721" s="3" t="n"/>
      <c r="F4721" s="3" t="n"/>
      <c r="G4721" s="84" t="n"/>
      <c r="H4721" s="107" t="n"/>
      <c r="I4721" s="107" t="n"/>
      <c r="J4721" s="107" t="n"/>
      <c r="K4721" s="65" t="n"/>
      <c r="L4721" s="127" t="n"/>
      <c r="M4721" s="5" t="n"/>
      <c r="N4721" s="5" t="n"/>
      <c r="O4721" s="5">
        <f>+M4721+N4721</f>
        <v/>
      </c>
      <c r="P4721" s="4" t="n"/>
      <c r="Q4721" s="87" t="n"/>
      <c r="R4721" s="5" t="n"/>
      <c r="S4721" s="2" t="n"/>
      <c r="T4721" s="3" t="n"/>
      <c r="U4721" s="87" t="n"/>
      <c r="V4721" s="3" t="n"/>
      <c r="W4721" s="108" t="n"/>
      <c r="X4721" s="4" t="n"/>
    </row>
    <row r="4722" ht="24" customHeight="1">
      <c r="A4722" s="2">
        <f>+D4722-S4722</f>
        <v/>
      </c>
      <c r="B4722" s="126" t="n">
        <v>6308</v>
      </c>
      <c r="C4722" s="66" t="n"/>
      <c r="D4722" s="2" t="n"/>
      <c r="E4722" s="3" t="n"/>
      <c r="F4722" s="3" t="n"/>
      <c r="G4722" s="84" t="n"/>
      <c r="H4722" s="107" t="n"/>
      <c r="I4722" s="107" t="n"/>
      <c r="J4722" s="107" t="n"/>
      <c r="K4722" s="65" t="n"/>
      <c r="L4722" s="127" t="n"/>
      <c r="M4722" s="5" t="n"/>
      <c r="N4722" s="5" t="n"/>
      <c r="O4722" s="5">
        <f>+M4722+N4722</f>
        <v/>
      </c>
      <c r="P4722" s="4" t="n"/>
      <c r="Q4722" s="87" t="n"/>
      <c r="R4722" s="5" t="n"/>
      <c r="S4722" s="2" t="n"/>
      <c r="T4722" s="3" t="n"/>
      <c r="U4722" s="87" t="n"/>
      <c r="V4722" s="3" t="n"/>
      <c r="W4722" s="108" t="n"/>
      <c r="X4722" s="4" t="n"/>
    </row>
    <row r="4723" ht="24" customHeight="1">
      <c r="A4723" s="2">
        <f>+D4723-S4723</f>
        <v/>
      </c>
      <c r="B4723" s="126" t="n">
        <v>6309</v>
      </c>
      <c r="C4723" s="66" t="n"/>
      <c r="D4723" s="2" t="n"/>
      <c r="E4723" s="3" t="n"/>
      <c r="F4723" s="3" t="n"/>
      <c r="G4723" s="84" t="n"/>
      <c r="H4723" s="107" t="n"/>
      <c r="I4723" s="107" t="n"/>
      <c r="J4723" s="107" t="n"/>
      <c r="K4723" s="65" t="n"/>
      <c r="L4723" s="127" t="n"/>
      <c r="M4723" s="5" t="n"/>
      <c r="N4723" s="5" t="n"/>
      <c r="O4723" s="5">
        <f>+M4723+N4723</f>
        <v/>
      </c>
      <c r="P4723" s="4" t="n"/>
      <c r="Q4723" s="87" t="n"/>
      <c r="R4723" s="5" t="n"/>
      <c r="S4723" s="2" t="n"/>
      <c r="T4723" s="3" t="n"/>
      <c r="U4723" s="87" t="n"/>
      <c r="V4723" s="3" t="n"/>
      <c r="W4723" s="108" t="n"/>
      <c r="X4723" s="4" t="n"/>
    </row>
    <row r="4724" ht="24" customHeight="1">
      <c r="A4724" s="2">
        <f>+D4724-S4724</f>
        <v/>
      </c>
      <c r="B4724" s="126" t="n">
        <v>6310</v>
      </c>
      <c r="C4724" s="66" t="n"/>
      <c r="D4724" s="2" t="n"/>
      <c r="E4724" s="3" t="n"/>
      <c r="F4724" s="3" t="n"/>
      <c r="G4724" s="84" t="n"/>
      <c r="H4724" s="107" t="n"/>
      <c r="I4724" s="107" t="n"/>
      <c r="J4724" s="107" t="n"/>
      <c r="K4724" s="65" t="n"/>
      <c r="L4724" s="127" t="n"/>
      <c r="M4724" s="5" t="n"/>
      <c r="N4724" s="5" t="n"/>
      <c r="O4724" s="5">
        <f>+M4724+N4724</f>
        <v/>
      </c>
      <c r="P4724" s="4" t="n"/>
      <c r="Q4724" s="87" t="n"/>
      <c r="R4724" s="5" t="n"/>
      <c r="S4724" s="2" t="n"/>
      <c r="T4724" s="3" t="n"/>
      <c r="U4724" s="87" t="n"/>
      <c r="V4724" s="3" t="n"/>
      <c r="W4724" s="108" t="n"/>
      <c r="X4724" s="4" t="n"/>
    </row>
    <row r="4725" ht="24" customHeight="1">
      <c r="A4725" s="2">
        <f>+D4725-S4725</f>
        <v/>
      </c>
      <c r="B4725" s="126" t="n">
        <v>6311</v>
      </c>
      <c r="C4725" s="66" t="n"/>
      <c r="D4725" s="2" t="n"/>
      <c r="E4725" s="3" t="n"/>
      <c r="F4725" s="3" t="n"/>
      <c r="G4725" s="84" t="n"/>
      <c r="H4725" s="107" t="n"/>
      <c r="I4725" s="107" t="n"/>
      <c r="J4725" s="107" t="n"/>
      <c r="K4725" s="65" t="n"/>
      <c r="L4725" s="127" t="n"/>
      <c r="M4725" s="5" t="n"/>
      <c r="N4725" s="5" t="n"/>
      <c r="O4725" s="5">
        <f>+M4725+N4725</f>
        <v/>
      </c>
      <c r="P4725" s="4" t="n"/>
      <c r="Q4725" s="87" t="n"/>
      <c r="R4725" s="5" t="n"/>
      <c r="S4725" s="2" t="n"/>
      <c r="T4725" s="3" t="n"/>
      <c r="U4725" s="87" t="n"/>
      <c r="V4725" s="3" t="n"/>
      <c r="W4725" s="108" t="n"/>
      <c r="X4725" s="4" t="n"/>
    </row>
    <row r="4726" ht="24" customHeight="1">
      <c r="A4726" s="2">
        <f>+D4726-S4726</f>
        <v/>
      </c>
      <c r="B4726" s="126" t="n">
        <v>6312</v>
      </c>
      <c r="C4726" s="66" t="n"/>
      <c r="D4726" s="2" t="n"/>
      <c r="E4726" s="3" t="n"/>
      <c r="F4726" s="3" t="n"/>
      <c r="G4726" s="84" t="n"/>
      <c r="H4726" s="107" t="n"/>
      <c r="I4726" s="107" t="n"/>
      <c r="J4726" s="107" t="n"/>
      <c r="K4726" s="65" t="n"/>
      <c r="L4726" s="127" t="n"/>
      <c r="M4726" s="5" t="n"/>
      <c r="N4726" s="5" t="n"/>
      <c r="O4726" s="5">
        <f>+M4726+N4726</f>
        <v/>
      </c>
      <c r="P4726" s="4" t="n"/>
      <c r="Q4726" s="87" t="n"/>
      <c r="R4726" s="5" t="n"/>
      <c r="S4726" s="2" t="n"/>
      <c r="T4726" s="3" t="n"/>
      <c r="U4726" s="87" t="n"/>
      <c r="V4726" s="3" t="n"/>
      <c r="W4726" s="108" t="n"/>
      <c r="X4726" s="4" t="n"/>
    </row>
    <row r="4727" ht="24" customHeight="1">
      <c r="A4727" s="2">
        <f>+D4727-S4727</f>
        <v/>
      </c>
      <c r="B4727" s="126" t="n">
        <v>6313</v>
      </c>
      <c r="C4727" s="66" t="n"/>
      <c r="D4727" s="2" t="n"/>
      <c r="E4727" s="3" t="n"/>
      <c r="F4727" s="3" t="n"/>
      <c r="G4727" s="84" t="n"/>
      <c r="H4727" s="107" t="n"/>
      <c r="I4727" s="107" t="n"/>
      <c r="J4727" s="107" t="n"/>
      <c r="K4727" s="65" t="n"/>
      <c r="L4727" s="127" t="n"/>
      <c r="M4727" s="5" t="n"/>
      <c r="N4727" s="5" t="n"/>
      <c r="O4727" s="5">
        <f>+M4727+N4727</f>
        <v/>
      </c>
      <c r="P4727" s="4" t="n"/>
      <c r="Q4727" s="87" t="n"/>
      <c r="R4727" s="5" t="n"/>
      <c r="S4727" s="2" t="n"/>
      <c r="T4727" s="3" t="n"/>
      <c r="U4727" s="87" t="n"/>
      <c r="V4727" s="3" t="n"/>
      <c r="W4727" s="108" t="n"/>
      <c r="X4727" s="4" t="n"/>
    </row>
    <row r="4728" ht="24" customHeight="1">
      <c r="A4728" s="2">
        <f>+D4728-S4728</f>
        <v/>
      </c>
      <c r="B4728" s="126" t="n">
        <v>6314</v>
      </c>
      <c r="C4728" s="66" t="n"/>
      <c r="D4728" s="2" t="n"/>
      <c r="E4728" s="3" t="n"/>
      <c r="F4728" s="3" t="n"/>
      <c r="G4728" s="84" t="n"/>
      <c r="H4728" s="107" t="n"/>
      <c r="I4728" s="107" t="n"/>
      <c r="J4728" s="107" t="n"/>
      <c r="K4728" s="65" t="n"/>
      <c r="L4728" s="127" t="n"/>
      <c r="M4728" s="5" t="n"/>
      <c r="N4728" s="5" t="n"/>
      <c r="O4728" s="5">
        <f>+M4728+N4728</f>
        <v/>
      </c>
      <c r="P4728" s="4" t="n"/>
      <c r="Q4728" s="87" t="n"/>
      <c r="R4728" s="5" t="n"/>
      <c r="S4728" s="2" t="n"/>
      <c r="T4728" s="3" t="n"/>
      <c r="U4728" s="87" t="n"/>
      <c r="V4728" s="3" t="n"/>
      <c r="W4728" s="108" t="n"/>
      <c r="X4728" s="4" t="n"/>
    </row>
    <row r="4729" ht="24" customHeight="1">
      <c r="A4729" s="2">
        <f>+D4729-S4729</f>
        <v/>
      </c>
      <c r="B4729" s="126" t="n">
        <v>6315</v>
      </c>
      <c r="C4729" s="66" t="n"/>
      <c r="D4729" s="2" t="n"/>
      <c r="E4729" s="3" t="n"/>
      <c r="F4729" s="3" t="n"/>
      <c r="G4729" s="84" t="n"/>
      <c r="H4729" s="107" t="n"/>
      <c r="I4729" s="107" t="n"/>
      <c r="J4729" s="107" t="n"/>
      <c r="K4729" s="65" t="n"/>
      <c r="L4729" s="127" t="n"/>
      <c r="M4729" s="5" t="n"/>
      <c r="N4729" s="5" t="n"/>
      <c r="O4729" s="5">
        <f>+M4729+N4729</f>
        <v/>
      </c>
      <c r="P4729" s="4" t="n"/>
      <c r="Q4729" s="87" t="n"/>
      <c r="R4729" s="5" t="n"/>
      <c r="S4729" s="2" t="n"/>
      <c r="T4729" s="3" t="n"/>
      <c r="U4729" s="87" t="n"/>
      <c r="V4729" s="3" t="n"/>
      <c r="W4729" s="108" t="n"/>
      <c r="X4729" s="4" t="n"/>
    </row>
    <row r="4730" ht="24" customHeight="1">
      <c r="A4730" s="2">
        <f>+D4730-S4730</f>
        <v/>
      </c>
      <c r="B4730" s="126" t="n">
        <v>6316</v>
      </c>
      <c r="C4730" s="66" t="n"/>
      <c r="D4730" s="2" t="n"/>
      <c r="E4730" s="3" t="n"/>
      <c r="F4730" s="3" t="n"/>
      <c r="G4730" s="84" t="n"/>
      <c r="H4730" s="107" t="n"/>
      <c r="I4730" s="107" t="n"/>
      <c r="J4730" s="107" t="n"/>
      <c r="K4730" s="65" t="n"/>
      <c r="L4730" s="127" t="n"/>
      <c r="M4730" s="5" t="n"/>
      <c r="N4730" s="5" t="n"/>
      <c r="O4730" s="5">
        <f>+M4730+N4730</f>
        <v/>
      </c>
      <c r="P4730" s="4" t="n"/>
      <c r="Q4730" s="87" t="n"/>
      <c r="R4730" s="5" t="n"/>
      <c r="S4730" s="2" t="n"/>
      <c r="T4730" s="3" t="n"/>
      <c r="U4730" s="87" t="n"/>
      <c r="V4730" s="3" t="n"/>
      <c r="W4730" s="108" t="n"/>
      <c r="X4730" s="4" t="n"/>
    </row>
    <row r="4731" ht="24" customHeight="1">
      <c r="A4731" s="2">
        <f>+D4731-S4731</f>
        <v/>
      </c>
      <c r="B4731" s="126" t="n">
        <v>6317</v>
      </c>
      <c r="C4731" s="66" t="n"/>
      <c r="D4731" s="2" t="n"/>
      <c r="E4731" s="3" t="n"/>
      <c r="F4731" s="3" t="n"/>
      <c r="G4731" s="84" t="n"/>
      <c r="H4731" s="107" t="n"/>
      <c r="I4731" s="107" t="n"/>
      <c r="J4731" s="107" t="n"/>
      <c r="K4731" s="65" t="n"/>
      <c r="L4731" s="127" t="n"/>
      <c r="M4731" s="5" t="n"/>
      <c r="N4731" s="5" t="n"/>
      <c r="O4731" s="5">
        <f>+M4731+N4731</f>
        <v/>
      </c>
      <c r="P4731" s="4" t="n"/>
      <c r="Q4731" s="87" t="n"/>
      <c r="R4731" s="5" t="n"/>
      <c r="S4731" s="2" t="n"/>
      <c r="T4731" s="3" t="n"/>
      <c r="U4731" s="87" t="n"/>
      <c r="V4731" s="3" t="n"/>
      <c r="W4731" s="108" t="n"/>
      <c r="X4731" s="4" t="n"/>
    </row>
    <row r="4732" ht="24" customHeight="1">
      <c r="A4732" s="2">
        <f>+D4732-S4732</f>
        <v/>
      </c>
      <c r="B4732" s="126" t="n">
        <v>6318</v>
      </c>
      <c r="C4732" s="66" t="n"/>
      <c r="D4732" s="2" t="n"/>
      <c r="E4732" s="3" t="n"/>
      <c r="F4732" s="3" t="n"/>
      <c r="G4732" s="84" t="n"/>
      <c r="H4732" s="107" t="n"/>
      <c r="I4732" s="107" t="n"/>
      <c r="J4732" s="107" t="n"/>
      <c r="K4732" s="65" t="n"/>
      <c r="L4732" s="127" t="n"/>
      <c r="M4732" s="5" t="n"/>
      <c r="N4732" s="5" t="n"/>
      <c r="O4732" s="5">
        <f>+M4732+N4732</f>
        <v/>
      </c>
      <c r="P4732" s="4" t="n"/>
      <c r="Q4732" s="87" t="n"/>
      <c r="R4732" s="5" t="n"/>
      <c r="S4732" s="2" t="n"/>
      <c r="T4732" s="3" t="n"/>
      <c r="U4732" s="87" t="n"/>
      <c r="V4732" s="3" t="n"/>
      <c r="W4732" s="108" t="n"/>
      <c r="X4732" s="4" t="n"/>
    </row>
    <row r="4733" ht="24" customHeight="1">
      <c r="A4733" s="2">
        <f>+D4733-S4733</f>
        <v/>
      </c>
      <c r="B4733" s="126" t="n">
        <v>6319</v>
      </c>
      <c r="C4733" s="66" t="n"/>
      <c r="D4733" s="2" t="n"/>
      <c r="E4733" s="3" t="n"/>
      <c r="F4733" s="3" t="n"/>
      <c r="G4733" s="84" t="n"/>
      <c r="H4733" s="107" t="n"/>
      <c r="I4733" s="107" t="n"/>
      <c r="J4733" s="107" t="n"/>
      <c r="K4733" s="65" t="n"/>
      <c r="L4733" s="127" t="n"/>
      <c r="M4733" s="5" t="n"/>
      <c r="N4733" s="5" t="n"/>
      <c r="O4733" s="5">
        <f>+M4733+N4733</f>
        <v/>
      </c>
      <c r="P4733" s="4" t="n"/>
      <c r="Q4733" s="87" t="n"/>
      <c r="R4733" s="5" t="n"/>
      <c r="S4733" s="2" t="n"/>
      <c r="T4733" s="3" t="n"/>
      <c r="U4733" s="87" t="n"/>
      <c r="V4733" s="3" t="n"/>
      <c r="W4733" s="108" t="n"/>
      <c r="X4733" s="4" t="n"/>
    </row>
    <row r="4734" ht="24" customHeight="1">
      <c r="A4734" s="2">
        <f>+D4734-S4734</f>
        <v/>
      </c>
      <c r="B4734" s="126" t="n">
        <v>6320</v>
      </c>
      <c r="C4734" s="66" t="n"/>
      <c r="D4734" s="2" t="n"/>
      <c r="E4734" s="3" t="n"/>
      <c r="F4734" s="3" t="n"/>
      <c r="G4734" s="84" t="n"/>
      <c r="H4734" s="107" t="n"/>
      <c r="I4734" s="107" t="n"/>
      <c r="J4734" s="107" t="n"/>
      <c r="K4734" s="65" t="n"/>
      <c r="L4734" s="127" t="n"/>
      <c r="M4734" s="5" t="n"/>
      <c r="N4734" s="5" t="n"/>
      <c r="O4734" s="5">
        <f>+M4734+N4734</f>
        <v/>
      </c>
      <c r="P4734" s="4" t="n"/>
      <c r="Q4734" s="87" t="n"/>
      <c r="R4734" s="5" t="n"/>
      <c r="S4734" s="2" t="n"/>
      <c r="T4734" s="3" t="n"/>
      <c r="U4734" s="87" t="n"/>
      <c r="V4734" s="3" t="n"/>
      <c r="W4734" s="108" t="n"/>
      <c r="X4734" s="4" t="n"/>
    </row>
    <row r="4735" ht="24" customHeight="1">
      <c r="A4735" s="2">
        <f>+D4735-S4735</f>
        <v/>
      </c>
      <c r="B4735" s="126" t="n">
        <v>6321</v>
      </c>
      <c r="C4735" s="66" t="n"/>
      <c r="D4735" s="2" t="n"/>
      <c r="E4735" s="3" t="n"/>
      <c r="F4735" s="3" t="n"/>
      <c r="G4735" s="84" t="n"/>
      <c r="H4735" s="107" t="n"/>
      <c r="I4735" s="107" t="n"/>
      <c r="J4735" s="107" t="n"/>
      <c r="K4735" s="65" t="n"/>
      <c r="L4735" s="127" t="n"/>
      <c r="M4735" s="5" t="n"/>
      <c r="N4735" s="5" t="n"/>
      <c r="O4735" s="5">
        <f>+M4735+N4735</f>
        <v/>
      </c>
      <c r="P4735" s="4" t="n"/>
      <c r="Q4735" s="87" t="n"/>
      <c r="R4735" s="5" t="n"/>
      <c r="S4735" s="2" t="n"/>
      <c r="T4735" s="3" t="n"/>
      <c r="U4735" s="87" t="n"/>
      <c r="V4735" s="3" t="n"/>
      <c r="W4735" s="108" t="n"/>
      <c r="X4735" s="4" t="n"/>
    </row>
    <row r="4736" ht="24" customHeight="1">
      <c r="A4736" s="2">
        <f>+D4736-S4736</f>
        <v/>
      </c>
      <c r="B4736" s="126" t="n">
        <v>6322</v>
      </c>
      <c r="C4736" s="66" t="n"/>
      <c r="D4736" s="2" t="n"/>
      <c r="E4736" s="3" t="n"/>
      <c r="F4736" s="3" t="n"/>
      <c r="G4736" s="84" t="n"/>
      <c r="H4736" s="107" t="n"/>
      <c r="I4736" s="107" t="n"/>
      <c r="J4736" s="107" t="n"/>
      <c r="K4736" s="65" t="n"/>
      <c r="L4736" s="127" t="n"/>
      <c r="M4736" s="5" t="n"/>
      <c r="N4736" s="5" t="n"/>
      <c r="O4736" s="5">
        <f>+M4736+N4736</f>
        <v/>
      </c>
      <c r="P4736" s="4" t="n"/>
      <c r="Q4736" s="87" t="n"/>
      <c r="R4736" s="5" t="n"/>
      <c r="S4736" s="2" t="n"/>
      <c r="T4736" s="3" t="n"/>
      <c r="U4736" s="87" t="n"/>
      <c r="V4736" s="3" t="n"/>
      <c r="W4736" s="108" t="n"/>
      <c r="X4736" s="4" t="n"/>
    </row>
    <row r="4737" ht="24" customHeight="1">
      <c r="A4737" s="2">
        <f>+D4737-S4737</f>
        <v/>
      </c>
      <c r="B4737" s="126" t="n">
        <v>6323</v>
      </c>
      <c r="C4737" s="66" t="n"/>
      <c r="D4737" s="2" t="n"/>
      <c r="E4737" s="3" t="n"/>
      <c r="F4737" s="3" t="n"/>
      <c r="G4737" s="84" t="n"/>
      <c r="H4737" s="107" t="n"/>
      <c r="I4737" s="107" t="n"/>
      <c r="J4737" s="107" t="n"/>
      <c r="K4737" s="65" t="n"/>
      <c r="L4737" s="127" t="n"/>
      <c r="M4737" s="5" t="n"/>
      <c r="N4737" s="5" t="n"/>
      <c r="O4737" s="5">
        <f>+M4737+N4737</f>
        <v/>
      </c>
      <c r="P4737" s="4" t="n"/>
      <c r="Q4737" s="87" t="n"/>
      <c r="R4737" s="5" t="n"/>
      <c r="S4737" s="2" t="n"/>
      <c r="T4737" s="3" t="n"/>
      <c r="U4737" s="87" t="n"/>
      <c r="V4737" s="3" t="n"/>
      <c r="W4737" s="108" t="n"/>
      <c r="X4737" s="4" t="n"/>
    </row>
    <row r="4738" ht="24" customHeight="1">
      <c r="A4738" s="2">
        <f>+D4738-S4738</f>
        <v/>
      </c>
      <c r="B4738" s="126" t="n">
        <v>6324</v>
      </c>
      <c r="C4738" s="66" t="n"/>
      <c r="D4738" s="2" t="n"/>
      <c r="E4738" s="3" t="n"/>
      <c r="F4738" s="3" t="n"/>
      <c r="G4738" s="84" t="n"/>
      <c r="H4738" s="107" t="n"/>
      <c r="I4738" s="107" t="n"/>
      <c r="J4738" s="107" t="n"/>
      <c r="K4738" s="65" t="n"/>
      <c r="L4738" s="127" t="n"/>
      <c r="M4738" s="5" t="n"/>
      <c r="N4738" s="5" t="n"/>
      <c r="O4738" s="5">
        <f>+M4738+N4738</f>
        <v/>
      </c>
      <c r="P4738" s="4" t="n"/>
      <c r="Q4738" s="87" t="n"/>
      <c r="R4738" s="5" t="n"/>
      <c r="S4738" s="2" t="n"/>
      <c r="T4738" s="3" t="n"/>
      <c r="U4738" s="87" t="n"/>
      <c r="V4738" s="3" t="n"/>
      <c r="W4738" s="108" t="n"/>
      <c r="X4738" s="4" t="n"/>
    </row>
    <row r="4739" ht="24" customHeight="1">
      <c r="A4739" s="2">
        <f>+D4739-S4739</f>
        <v/>
      </c>
      <c r="B4739" s="126" t="n">
        <v>6325</v>
      </c>
      <c r="C4739" s="66" t="n"/>
      <c r="D4739" s="2" t="n"/>
      <c r="E4739" s="3" t="n"/>
      <c r="F4739" s="3" t="n"/>
      <c r="G4739" s="84" t="n"/>
      <c r="H4739" s="107" t="n"/>
      <c r="I4739" s="107" t="n"/>
      <c r="J4739" s="107" t="n"/>
      <c r="K4739" s="65" t="n"/>
      <c r="L4739" s="127" t="n"/>
      <c r="M4739" s="5" t="n"/>
      <c r="N4739" s="5" t="n"/>
      <c r="O4739" s="5">
        <f>+M4739+N4739</f>
        <v/>
      </c>
      <c r="P4739" s="4" t="n"/>
      <c r="Q4739" s="87" t="n"/>
      <c r="R4739" s="5" t="n"/>
      <c r="S4739" s="2" t="n"/>
      <c r="T4739" s="3" t="n"/>
      <c r="U4739" s="87" t="n"/>
      <c r="V4739" s="3" t="n"/>
      <c r="W4739" s="108" t="n"/>
      <c r="X4739" s="4" t="n"/>
    </row>
    <row r="4740" ht="24" customHeight="1">
      <c r="A4740" s="2">
        <f>+D4740-S4740</f>
        <v/>
      </c>
      <c r="B4740" s="126" t="n">
        <v>6326</v>
      </c>
      <c r="C4740" s="66" t="n"/>
      <c r="D4740" s="2" t="n"/>
      <c r="E4740" s="3" t="n"/>
      <c r="F4740" s="3" t="n"/>
      <c r="G4740" s="84" t="n"/>
      <c r="H4740" s="107" t="n"/>
      <c r="I4740" s="107" t="n"/>
      <c r="J4740" s="107" t="n"/>
      <c r="K4740" s="65" t="n"/>
      <c r="L4740" s="127" t="n"/>
      <c r="M4740" s="5" t="n"/>
      <c r="N4740" s="5" t="n"/>
      <c r="O4740" s="5">
        <f>+M4740+N4740</f>
        <v/>
      </c>
      <c r="P4740" s="4" t="n"/>
      <c r="Q4740" s="87" t="n"/>
      <c r="R4740" s="5" t="n"/>
      <c r="S4740" s="2" t="n"/>
      <c r="T4740" s="3" t="n"/>
      <c r="U4740" s="87" t="n"/>
      <c r="V4740" s="3" t="n"/>
      <c r="W4740" s="108" t="n"/>
      <c r="X4740" s="4" t="n"/>
    </row>
    <row r="4741" ht="24" customHeight="1">
      <c r="A4741" s="2">
        <f>+D4741-S4741</f>
        <v/>
      </c>
      <c r="B4741" s="126" t="n">
        <v>6327</v>
      </c>
      <c r="C4741" s="66" t="n"/>
      <c r="D4741" s="2" t="n"/>
      <c r="E4741" s="3" t="n"/>
      <c r="F4741" s="3" t="n"/>
      <c r="G4741" s="84" t="n"/>
      <c r="H4741" s="107" t="n"/>
      <c r="I4741" s="107" t="n"/>
      <c r="J4741" s="107" t="n"/>
      <c r="K4741" s="65" t="n"/>
      <c r="L4741" s="127" t="n"/>
      <c r="M4741" s="5" t="n"/>
      <c r="N4741" s="5" t="n"/>
      <c r="O4741" s="5">
        <f>+M4741+N4741</f>
        <v/>
      </c>
      <c r="P4741" s="4" t="n"/>
      <c r="Q4741" s="87" t="n"/>
      <c r="R4741" s="5" t="n"/>
      <c r="S4741" s="2" t="n"/>
      <c r="T4741" s="3" t="n"/>
      <c r="U4741" s="87" t="n"/>
      <c r="V4741" s="3" t="n"/>
      <c r="W4741" s="108" t="n"/>
      <c r="X4741" s="4" t="n"/>
    </row>
    <row r="4742" ht="24" customHeight="1">
      <c r="A4742" s="2">
        <f>+D4742-S4742</f>
        <v/>
      </c>
      <c r="B4742" s="126" t="n">
        <v>6328</v>
      </c>
      <c r="C4742" s="66" t="n"/>
      <c r="D4742" s="2" t="n"/>
      <c r="E4742" s="3" t="n"/>
      <c r="F4742" s="3" t="n"/>
      <c r="G4742" s="84" t="n"/>
      <c r="H4742" s="107" t="n"/>
      <c r="I4742" s="107" t="n"/>
      <c r="J4742" s="107" t="n"/>
      <c r="K4742" s="65" t="n"/>
      <c r="L4742" s="127" t="n"/>
      <c r="M4742" s="5" t="n"/>
      <c r="N4742" s="5" t="n"/>
      <c r="O4742" s="5">
        <f>+M4742+N4742</f>
        <v/>
      </c>
      <c r="P4742" s="4" t="n"/>
      <c r="Q4742" s="87" t="n"/>
      <c r="R4742" s="5" t="n"/>
      <c r="S4742" s="2" t="n"/>
      <c r="T4742" s="3" t="n"/>
      <c r="U4742" s="87" t="n"/>
      <c r="V4742" s="3" t="n"/>
      <c r="W4742" s="108" t="n"/>
      <c r="X4742" s="4" t="n"/>
    </row>
    <row r="4743" ht="24" customHeight="1">
      <c r="A4743" s="2">
        <f>+D4743-S4743</f>
        <v/>
      </c>
      <c r="B4743" s="126" t="n">
        <v>6329</v>
      </c>
      <c r="C4743" s="66" t="n"/>
      <c r="D4743" s="2" t="n"/>
      <c r="E4743" s="3" t="n"/>
      <c r="F4743" s="3" t="n"/>
      <c r="G4743" s="84" t="n"/>
      <c r="H4743" s="107" t="n"/>
      <c r="I4743" s="107" t="n"/>
      <c r="J4743" s="107" t="n"/>
      <c r="K4743" s="65" t="n"/>
      <c r="L4743" s="127" t="n"/>
      <c r="M4743" s="5" t="n"/>
      <c r="N4743" s="5" t="n"/>
      <c r="O4743" s="5">
        <f>+M4743+N4743</f>
        <v/>
      </c>
      <c r="P4743" s="4" t="n"/>
      <c r="Q4743" s="87" t="n"/>
      <c r="R4743" s="5" t="n"/>
      <c r="S4743" s="2" t="n"/>
      <c r="T4743" s="3" t="n"/>
      <c r="U4743" s="87" t="n"/>
      <c r="V4743" s="3" t="n"/>
      <c r="W4743" s="108" t="n"/>
      <c r="X4743" s="4" t="n"/>
    </row>
    <row r="4744" ht="24" customHeight="1">
      <c r="A4744" s="2">
        <f>+D4744-S4744</f>
        <v/>
      </c>
      <c r="B4744" s="126" t="n">
        <v>6330</v>
      </c>
      <c r="C4744" s="66" t="n"/>
      <c r="D4744" s="2" t="n"/>
      <c r="E4744" s="3" t="n"/>
      <c r="F4744" s="3" t="n"/>
      <c r="G4744" s="84" t="n"/>
      <c r="H4744" s="107" t="n"/>
      <c r="I4744" s="107" t="n"/>
      <c r="J4744" s="107" t="n"/>
      <c r="K4744" s="65" t="n"/>
      <c r="L4744" s="127" t="n"/>
      <c r="M4744" s="5" t="n"/>
      <c r="N4744" s="5" t="n"/>
      <c r="O4744" s="5">
        <f>+M4744+N4744</f>
        <v/>
      </c>
      <c r="P4744" s="4" t="n"/>
      <c r="Q4744" s="87" t="n"/>
      <c r="R4744" s="5" t="n"/>
      <c r="S4744" s="2" t="n"/>
      <c r="T4744" s="3" t="n"/>
      <c r="U4744" s="87" t="n"/>
      <c r="V4744" s="3" t="n"/>
      <c r="W4744" s="108" t="n"/>
      <c r="X4744" s="4" t="n"/>
    </row>
    <row r="4745" ht="24" customHeight="1">
      <c r="A4745" s="2">
        <f>+D4745-S4745</f>
        <v/>
      </c>
      <c r="B4745" s="126" t="n">
        <v>6331</v>
      </c>
      <c r="C4745" s="66" t="n"/>
      <c r="D4745" s="2" t="n"/>
      <c r="E4745" s="3" t="n"/>
      <c r="F4745" s="3" t="n"/>
      <c r="G4745" s="84" t="n"/>
      <c r="H4745" s="107" t="n"/>
      <c r="I4745" s="107" t="n"/>
      <c r="J4745" s="107" t="n"/>
      <c r="K4745" s="65" t="n"/>
      <c r="L4745" s="127" t="n"/>
      <c r="M4745" s="5" t="n"/>
      <c r="N4745" s="5" t="n"/>
      <c r="O4745" s="5">
        <f>+M4745+N4745</f>
        <v/>
      </c>
      <c r="P4745" s="4" t="n"/>
      <c r="Q4745" s="87" t="n"/>
      <c r="R4745" s="5" t="n"/>
      <c r="S4745" s="2" t="n"/>
      <c r="T4745" s="3" t="n"/>
      <c r="U4745" s="87" t="n"/>
      <c r="V4745" s="3" t="n"/>
      <c r="W4745" s="108" t="n"/>
      <c r="X4745" s="4" t="n"/>
    </row>
    <row r="4746" ht="24" customHeight="1">
      <c r="A4746" s="2">
        <f>+D4746-S4746</f>
        <v/>
      </c>
      <c r="B4746" s="126" t="n">
        <v>6332</v>
      </c>
      <c r="C4746" s="66" t="n"/>
      <c r="D4746" s="2" t="n"/>
      <c r="E4746" s="3" t="n"/>
      <c r="F4746" s="3" t="n"/>
      <c r="G4746" s="84" t="n"/>
      <c r="H4746" s="107" t="n"/>
      <c r="I4746" s="107" t="n"/>
      <c r="J4746" s="107" t="n"/>
      <c r="K4746" s="65" t="n"/>
      <c r="L4746" s="127" t="n"/>
      <c r="M4746" s="5" t="n"/>
      <c r="N4746" s="5" t="n"/>
      <c r="O4746" s="5">
        <f>+M4746+N4746</f>
        <v/>
      </c>
      <c r="P4746" s="4" t="n"/>
      <c r="Q4746" s="87" t="n"/>
      <c r="R4746" s="5" t="n"/>
      <c r="S4746" s="2" t="n"/>
      <c r="T4746" s="3" t="n"/>
      <c r="U4746" s="87" t="n"/>
      <c r="V4746" s="3" t="n"/>
      <c r="W4746" s="108" t="n"/>
      <c r="X4746" s="4" t="n"/>
    </row>
    <row r="4747" ht="24" customHeight="1">
      <c r="A4747" s="2">
        <f>+D4747-S4747</f>
        <v/>
      </c>
      <c r="B4747" s="126" t="n">
        <v>6333</v>
      </c>
      <c r="C4747" s="66" t="n"/>
      <c r="D4747" s="2" t="n"/>
      <c r="E4747" s="3" t="n"/>
      <c r="F4747" s="3" t="n"/>
      <c r="G4747" s="84" t="n"/>
      <c r="H4747" s="107" t="n"/>
      <c r="I4747" s="107" t="n"/>
      <c r="J4747" s="107" t="n"/>
      <c r="K4747" s="65" t="n"/>
      <c r="L4747" s="127" t="n"/>
      <c r="M4747" s="5" t="n"/>
      <c r="N4747" s="5" t="n"/>
      <c r="O4747" s="5">
        <f>+M4747+N4747</f>
        <v/>
      </c>
      <c r="P4747" s="4" t="n"/>
      <c r="Q4747" s="87" t="n"/>
      <c r="R4747" s="5" t="n"/>
      <c r="S4747" s="2" t="n"/>
      <c r="T4747" s="3" t="n"/>
      <c r="U4747" s="87" t="n"/>
      <c r="V4747" s="3" t="n"/>
      <c r="W4747" s="108" t="n"/>
      <c r="X4747" s="4" t="n"/>
    </row>
    <row r="4748" ht="24" customHeight="1">
      <c r="A4748" s="2">
        <f>+D4748-S4748</f>
        <v/>
      </c>
      <c r="B4748" s="126" t="n">
        <v>6334</v>
      </c>
      <c r="C4748" s="66" t="n"/>
      <c r="D4748" s="2" t="n"/>
      <c r="E4748" s="3" t="n"/>
      <c r="F4748" s="3" t="n"/>
      <c r="G4748" s="84" t="n"/>
      <c r="H4748" s="107" t="n"/>
      <c r="I4748" s="107" t="n"/>
      <c r="J4748" s="107" t="n"/>
      <c r="K4748" s="65" t="n"/>
      <c r="L4748" s="127" t="n"/>
      <c r="M4748" s="5" t="n"/>
      <c r="N4748" s="5" t="n"/>
      <c r="O4748" s="5">
        <f>+M4748+N4748</f>
        <v/>
      </c>
      <c r="P4748" s="4" t="n"/>
      <c r="Q4748" s="87" t="n"/>
      <c r="R4748" s="5" t="n"/>
      <c r="S4748" s="2" t="n"/>
      <c r="T4748" s="3" t="n"/>
      <c r="U4748" s="87" t="n"/>
      <c r="V4748" s="3" t="n"/>
      <c r="W4748" s="108" t="n"/>
      <c r="X4748" s="4" t="n"/>
    </row>
    <row r="4749" ht="24" customHeight="1">
      <c r="A4749" s="2">
        <f>+D4749-S4749</f>
        <v/>
      </c>
      <c r="B4749" s="126" t="n">
        <v>6335</v>
      </c>
      <c r="C4749" s="66" t="n"/>
      <c r="D4749" s="2" t="n"/>
      <c r="E4749" s="3" t="n"/>
      <c r="F4749" s="3" t="n"/>
      <c r="G4749" s="84" t="n"/>
      <c r="H4749" s="107" t="n"/>
      <c r="I4749" s="107" t="n"/>
      <c r="J4749" s="107" t="n"/>
      <c r="K4749" s="65" t="n"/>
      <c r="L4749" s="127" t="n"/>
      <c r="M4749" s="5" t="n"/>
      <c r="N4749" s="5" t="n"/>
      <c r="O4749" s="5">
        <f>+M4749+N4749</f>
        <v/>
      </c>
      <c r="P4749" s="4" t="n"/>
      <c r="Q4749" s="87" t="n"/>
      <c r="R4749" s="5" t="n"/>
      <c r="S4749" s="2" t="n"/>
      <c r="T4749" s="3" t="n"/>
      <c r="U4749" s="87" t="n"/>
      <c r="V4749" s="3" t="n"/>
      <c r="W4749" s="108" t="n"/>
      <c r="X4749" s="4" t="n"/>
    </row>
    <row r="4750" ht="24" customHeight="1">
      <c r="A4750" s="2">
        <f>+D4750-S4750</f>
        <v/>
      </c>
      <c r="B4750" s="126" t="n">
        <v>6336</v>
      </c>
      <c r="C4750" s="66" t="n"/>
      <c r="D4750" s="2" t="n"/>
      <c r="E4750" s="3" t="n"/>
      <c r="F4750" s="3" t="n"/>
      <c r="G4750" s="84" t="n"/>
      <c r="H4750" s="107" t="n"/>
      <c r="I4750" s="107" t="n"/>
      <c r="J4750" s="107" t="n"/>
      <c r="K4750" s="65" t="n"/>
      <c r="L4750" s="127" t="n"/>
      <c r="M4750" s="5" t="n"/>
      <c r="N4750" s="5" t="n"/>
      <c r="O4750" s="5">
        <f>+M4750+N4750</f>
        <v/>
      </c>
      <c r="P4750" s="4" t="n"/>
      <c r="Q4750" s="87" t="n"/>
      <c r="R4750" s="5" t="n"/>
      <c r="S4750" s="2" t="n"/>
      <c r="T4750" s="3" t="n"/>
      <c r="U4750" s="87" t="n"/>
      <c r="V4750" s="3" t="n"/>
      <c r="W4750" s="108" t="n"/>
      <c r="X4750" s="4" t="n"/>
    </row>
    <row r="4751" ht="24" customHeight="1">
      <c r="A4751" s="2">
        <f>+D4751-S4751</f>
        <v/>
      </c>
      <c r="B4751" s="126" t="n">
        <v>6337</v>
      </c>
      <c r="C4751" s="66" t="n"/>
      <c r="D4751" s="2" t="n"/>
      <c r="E4751" s="3" t="n"/>
      <c r="F4751" s="3" t="n"/>
      <c r="G4751" s="84" t="n"/>
      <c r="H4751" s="107" t="n"/>
      <c r="I4751" s="107" t="n"/>
      <c r="J4751" s="107" t="n"/>
      <c r="K4751" s="65" t="n"/>
      <c r="L4751" s="127" t="n"/>
      <c r="M4751" s="5" t="n"/>
      <c r="N4751" s="5" t="n"/>
      <c r="O4751" s="5">
        <f>+M4751+N4751</f>
        <v/>
      </c>
      <c r="P4751" s="4" t="n"/>
      <c r="Q4751" s="87" t="n"/>
      <c r="R4751" s="5" t="n"/>
      <c r="S4751" s="2" t="n"/>
      <c r="T4751" s="3" t="n"/>
      <c r="U4751" s="87" t="n"/>
      <c r="V4751" s="3" t="n"/>
      <c r="W4751" s="108" t="n"/>
      <c r="X4751" s="4" t="n"/>
    </row>
    <row r="4752" ht="24" customHeight="1">
      <c r="A4752" s="2">
        <f>+D4752-S4752</f>
        <v/>
      </c>
      <c r="B4752" s="126" t="n">
        <v>6338</v>
      </c>
      <c r="C4752" s="66" t="n"/>
      <c r="D4752" s="2" t="n"/>
      <c r="E4752" s="3" t="n"/>
      <c r="F4752" s="3" t="n"/>
      <c r="G4752" s="84" t="n"/>
      <c r="H4752" s="107" t="n"/>
      <c r="I4752" s="107" t="n"/>
      <c r="J4752" s="107" t="n"/>
      <c r="K4752" s="65" t="n"/>
      <c r="L4752" s="127" t="n"/>
      <c r="M4752" s="5" t="n"/>
      <c r="N4752" s="5" t="n"/>
      <c r="O4752" s="5">
        <f>+M4752+N4752</f>
        <v/>
      </c>
      <c r="P4752" s="4" t="n"/>
      <c r="Q4752" s="87" t="n"/>
      <c r="R4752" s="5" t="n"/>
      <c r="S4752" s="2" t="n"/>
      <c r="T4752" s="3" t="n"/>
      <c r="U4752" s="87" t="n"/>
      <c r="V4752" s="3" t="n"/>
      <c r="W4752" s="108" t="n"/>
      <c r="X4752" s="4" t="n"/>
    </row>
    <row r="4753" ht="24" customHeight="1">
      <c r="A4753" s="2">
        <f>+D4753-S4753</f>
        <v/>
      </c>
      <c r="B4753" s="126" t="n">
        <v>6339</v>
      </c>
      <c r="C4753" s="66" t="n"/>
      <c r="D4753" s="2" t="n"/>
      <c r="E4753" s="3" t="n"/>
      <c r="F4753" s="3" t="n"/>
      <c r="G4753" s="84" t="n"/>
      <c r="H4753" s="107" t="n"/>
      <c r="I4753" s="107" t="n"/>
      <c r="J4753" s="107" t="n"/>
      <c r="K4753" s="65" t="n"/>
      <c r="L4753" s="127" t="n"/>
      <c r="M4753" s="5" t="n"/>
      <c r="N4753" s="5" t="n"/>
      <c r="O4753" s="5">
        <f>+M4753+N4753</f>
        <v/>
      </c>
      <c r="P4753" s="4" t="n"/>
      <c r="Q4753" s="87" t="n"/>
      <c r="R4753" s="5" t="n"/>
      <c r="S4753" s="2" t="n"/>
      <c r="T4753" s="3" t="n"/>
      <c r="U4753" s="87" t="n"/>
      <c r="V4753" s="3" t="n"/>
      <c r="W4753" s="108" t="n"/>
      <c r="X4753" s="4" t="n"/>
    </row>
    <row r="4754" ht="24" customHeight="1">
      <c r="A4754" s="2">
        <f>+D4754-S4754</f>
        <v/>
      </c>
      <c r="B4754" s="126" t="n">
        <v>6340</v>
      </c>
      <c r="C4754" s="66" t="n"/>
      <c r="D4754" s="2" t="n"/>
      <c r="E4754" s="3" t="n"/>
      <c r="F4754" s="3" t="n"/>
      <c r="G4754" s="84" t="n"/>
      <c r="H4754" s="107" t="n"/>
      <c r="I4754" s="107" t="n"/>
      <c r="J4754" s="107" t="n"/>
      <c r="K4754" s="65" t="n"/>
      <c r="L4754" s="127" t="n"/>
      <c r="M4754" s="5" t="n"/>
      <c r="N4754" s="5" t="n"/>
      <c r="O4754" s="5">
        <f>+M4754+N4754</f>
        <v/>
      </c>
      <c r="P4754" s="4" t="n"/>
      <c r="Q4754" s="87" t="n"/>
      <c r="R4754" s="5" t="n"/>
      <c r="S4754" s="2" t="n"/>
      <c r="T4754" s="3" t="n"/>
      <c r="U4754" s="87" t="n"/>
      <c r="V4754" s="3" t="n"/>
      <c r="W4754" s="108" t="n"/>
      <c r="X4754" s="4" t="n"/>
    </row>
    <row r="4755" ht="24" customHeight="1">
      <c r="A4755" s="2">
        <f>+D4755-S4755</f>
        <v/>
      </c>
      <c r="B4755" s="126" t="n">
        <v>6341</v>
      </c>
      <c r="C4755" s="66" t="n"/>
      <c r="D4755" s="2" t="n"/>
      <c r="E4755" s="3" t="n"/>
      <c r="F4755" s="3" t="n"/>
      <c r="G4755" s="84" t="n"/>
      <c r="H4755" s="107" t="n"/>
      <c r="I4755" s="107" t="n"/>
      <c r="J4755" s="107" t="n"/>
      <c r="K4755" s="65" t="n"/>
      <c r="L4755" s="127" t="n"/>
      <c r="M4755" s="5" t="n"/>
      <c r="N4755" s="5" t="n"/>
      <c r="O4755" s="5">
        <f>+M4755+N4755</f>
        <v/>
      </c>
      <c r="P4755" s="4" t="n"/>
      <c r="Q4755" s="87" t="n"/>
      <c r="R4755" s="5" t="n"/>
      <c r="S4755" s="2" t="n"/>
      <c r="T4755" s="3" t="n"/>
      <c r="U4755" s="87" t="n"/>
      <c r="V4755" s="3" t="n"/>
      <c r="W4755" s="108" t="n"/>
      <c r="X4755" s="4" t="n"/>
    </row>
    <row r="4756" ht="24" customHeight="1">
      <c r="A4756" s="2">
        <f>+D4756-S4756</f>
        <v/>
      </c>
      <c r="B4756" s="126" t="n">
        <v>6342</v>
      </c>
      <c r="C4756" s="66" t="n"/>
      <c r="D4756" s="2" t="n"/>
      <c r="E4756" s="3" t="n"/>
      <c r="F4756" s="3" t="n"/>
      <c r="G4756" s="84" t="n"/>
      <c r="H4756" s="107" t="n"/>
      <c r="I4756" s="107" t="n"/>
      <c r="J4756" s="107" t="n"/>
      <c r="K4756" s="65" t="n"/>
      <c r="L4756" s="127" t="n"/>
      <c r="M4756" s="5" t="n"/>
      <c r="N4756" s="5" t="n"/>
      <c r="O4756" s="5">
        <f>+M4756+N4756</f>
        <v/>
      </c>
      <c r="P4756" s="4" t="n"/>
      <c r="Q4756" s="87" t="n"/>
      <c r="R4756" s="5" t="n"/>
      <c r="S4756" s="2" t="n"/>
      <c r="T4756" s="3" t="n"/>
      <c r="U4756" s="87" t="n"/>
      <c r="V4756" s="3" t="n"/>
      <c r="W4756" s="108" t="n"/>
      <c r="X4756" s="4" t="n"/>
    </row>
    <row r="4757" ht="24" customHeight="1">
      <c r="A4757" s="2">
        <f>+D4757-S4757</f>
        <v/>
      </c>
      <c r="B4757" s="126" t="n">
        <v>6343</v>
      </c>
      <c r="C4757" s="66" t="n"/>
      <c r="D4757" s="2" t="n"/>
      <c r="E4757" s="3" t="n"/>
      <c r="F4757" s="3" t="n"/>
      <c r="G4757" s="84" t="n"/>
      <c r="H4757" s="107" t="n"/>
      <c r="I4757" s="107" t="n"/>
      <c r="J4757" s="107" t="n"/>
      <c r="K4757" s="65" t="n"/>
      <c r="L4757" s="127" t="n"/>
      <c r="M4757" s="5" t="n"/>
      <c r="N4757" s="5" t="n"/>
      <c r="O4757" s="5">
        <f>+M4757+N4757</f>
        <v/>
      </c>
      <c r="P4757" s="4" t="n"/>
      <c r="Q4757" s="87" t="n"/>
      <c r="R4757" s="5" t="n"/>
      <c r="S4757" s="2" t="n"/>
      <c r="T4757" s="3" t="n"/>
      <c r="U4757" s="87" t="n"/>
      <c r="V4757" s="3" t="n"/>
      <c r="W4757" s="108" t="n"/>
      <c r="X4757" s="4" t="n"/>
    </row>
    <row r="4758" ht="24" customHeight="1">
      <c r="A4758" s="2">
        <f>+D4758-S4758</f>
        <v/>
      </c>
      <c r="B4758" s="126" t="n">
        <v>6344</v>
      </c>
      <c r="C4758" s="66" t="n"/>
      <c r="D4758" s="2" t="n"/>
      <c r="E4758" s="3" t="n"/>
      <c r="F4758" s="3" t="n"/>
      <c r="G4758" s="84" t="n"/>
      <c r="H4758" s="107" t="n"/>
      <c r="I4758" s="107" t="n"/>
      <c r="J4758" s="107" t="n"/>
      <c r="K4758" s="65" t="n"/>
      <c r="L4758" s="127" t="n"/>
      <c r="M4758" s="5" t="n"/>
      <c r="N4758" s="5" t="n"/>
      <c r="O4758" s="5">
        <f>+M4758+N4758</f>
        <v/>
      </c>
      <c r="P4758" s="4" t="n"/>
      <c r="Q4758" s="87" t="n"/>
      <c r="R4758" s="5" t="n"/>
      <c r="S4758" s="2" t="n"/>
      <c r="T4758" s="3" t="n"/>
      <c r="U4758" s="87" t="n"/>
      <c r="V4758" s="3" t="n"/>
      <c r="W4758" s="108" t="n"/>
      <c r="X4758" s="4" t="n"/>
    </row>
    <row r="4759" ht="24" customHeight="1">
      <c r="A4759" s="2">
        <f>+D4759-S4759</f>
        <v/>
      </c>
      <c r="B4759" s="126" t="n">
        <v>6345</v>
      </c>
      <c r="C4759" s="66" t="n"/>
      <c r="D4759" s="2" t="n"/>
      <c r="E4759" s="3" t="n"/>
      <c r="F4759" s="3" t="n"/>
      <c r="G4759" s="84" t="n"/>
      <c r="H4759" s="107" t="n"/>
      <c r="I4759" s="107" t="n"/>
      <c r="J4759" s="107" t="n"/>
      <c r="K4759" s="65" t="n"/>
      <c r="L4759" s="127" t="n"/>
      <c r="M4759" s="5" t="n"/>
      <c r="N4759" s="5" t="n"/>
      <c r="O4759" s="5">
        <f>+M4759+N4759</f>
        <v/>
      </c>
      <c r="P4759" s="4" t="n"/>
      <c r="Q4759" s="87" t="n"/>
      <c r="R4759" s="5" t="n"/>
      <c r="S4759" s="2" t="n"/>
      <c r="T4759" s="3" t="n"/>
      <c r="U4759" s="87" t="n"/>
      <c r="V4759" s="3" t="n"/>
      <c r="W4759" s="108" t="n"/>
      <c r="X4759" s="4" t="n"/>
    </row>
    <row r="4760" ht="24" customHeight="1">
      <c r="A4760" s="2">
        <f>+D4760-S4760</f>
        <v/>
      </c>
      <c r="B4760" s="126" t="n">
        <v>6346</v>
      </c>
      <c r="C4760" s="66" t="n"/>
      <c r="D4760" s="2" t="n"/>
      <c r="E4760" s="3" t="n"/>
      <c r="F4760" s="3" t="n"/>
      <c r="G4760" s="84" t="n"/>
      <c r="H4760" s="107" t="n"/>
      <c r="I4760" s="107" t="n"/>
      <c r="J4760" s="107" t="n"/>
      <c r="K4760" s="65" t="n"/>
      <c r="L4760" s="127" t="n"/>
      <c r="M4760" s="5" t="n"/>
      <c r="N4760" s="5" t="n"/>
      <c r="O4760" s="5">
        <f>+M4760+N4760</f>
        <v/>
      </c>
      <c r="P4760" s="4" t="n"/>
      <c r="Q4760" s="87" t="n"/>
      <c r="R4760" s="5" t="n"/>
      <c r="S4760" s="2" t="n"/>
      <c r="T4760" s="3" t="n"/>
      <c r="U4760" s="87" t="n"/>
      <c r="V4760" s="3" t="n"/>
      <c r="W4760" s="108" t="n"/>
      <c r="X4760" s="4" t="n"/>
    </row>
    <row r="4761" ht="24" customHeight="1">
      <c r="A4761" s="2">
        <f>+D4761-S4761</f>
        <v/>
      </c>
      <c r="B4761" s="126" t="n">
        <v>6347</v>
      </c>
      <c r="C4761" s="66" t="n"/>
      <c r="D4761" s="2" t="n"/>
      <c r="E4761" s="3" t="n"/>
      <c r="F4761" s="3" t="n"/>
      <c r="G4761" s="84" t="n"/>
      <c r="H4761" s="107" t="n"/>
      <c r="I4761" s="107" t="n"/>
      <c r="J4761" s="107" t="n"/>
      <c r="K4761" s="65" t="n"/>
      <c r="L4761" s="127" t="n"/>
      <c r="M4761" s="5" t="n"/>
      <c r="N4761" s="5" t="n"/>
      <c r="O4761" s="5">
        <f>+M4761+N4761</f>
        <v/>
      </c>
      <c r="P4761" s="4" t="n"/>
      <c r="Q4761" s="87" t="n"/>
      <c r="R4761" s="5" t="n"/>
      <c r="S4761" s="2" t="n"/>
      <c r="T4761" s="3" t="n"/>
      <c r="U4761" s="87" t="n"/>
      <c r="V4761" s="3" t="n"/>
      <c r="W4761" s="108" t="n"/>
      <c r="X4761" s="4" t="n"/>
    </row>
    <row r="4762" ht="24" customHeight="1">
      <c r="A4762" s="2">
        <f>+D4762-S4762</f>
        <v/>
      </c>
      <c r="B4762" s="126" t="n">
        <v>6348</v>
      </c>
      <c r="C4762" s="66" t="n"/>
      <c r="D4762" s="2" t="n"/>
      <c r="E4762" s="3" t="n"/>
      <c r="F4762" s="3" t="n"/>
      <c r="G4762" s="84" t="n"/>
      <c r="H4762" s="107" t="n"/>
      <c r="I4762" s="107" t="n"/>
      <c r="J4762" s="107" t="n"/>
      <c r="K4762" s="65" t="n"/>
      <c r="L4762" s="127" t="n"/>
      <c r="M4762" s="5" t="n"/>
      <c r="N4762" s="5" t="n"/>
      <c r="O4762" s="5">
        <f>+M4762+N4762</f>
        <v/>
      </c>
      <c r="P4762" s="4" t="n"/>
      <c r="Q4762" s="87" t="n"/>
      <c r="R4762" s="5" t="n"/>
      <c r="S4762" s="2" t="n"/>
      <c r="T4762" s="3" t="n"/>
      <c r="U4762" s="87" t="n"/>
      <c r="V4762" s="3" t="n"/>
      <c r="W4762" s="108" t="n"/>
      <c r="X4762" s="4" t="n"/>
    </row>
    <row r="4763" ht="24" customHeight="1">
      <c r="A4763" s="2">
        <f>+D4763-S4763</f>
        <v/>
      </c>
      <c r="B4763" s="126" t="n">
        <v>6349</v>
      </c>
      <c r="C4763" s="66" t="n"/>
      <c r="D4763" s="2" t="n"/>
      <c r="E4763" s="3" t="n"/>
      <c r="F4763" s="3" t="n"/>
      <c r="G4763" s="84" t="n"/>
      <c r="H4763" s="107" t="n"/>
      <c r="I4763" s="107" t="n"/>
      <c r="J4763" s="107" t="n"/>
      <c r="K4763" s="65" t="n"/>
      <c r="L4763" s="127" t="n"/>
      <c r="M4763" s="5" t="n"/>
      <c r="N4763" s="5" t="n"/>
      <c r="O4763" s="5">
        <f>+M4763+N4763</f>
        <v/>
      </c>
      <c r="P4763" s="4" t="n"/>
      <c r="Q4763" s="87" t="n"/>
      <c r="R4763" s="5" t="n"/>
      <c r="S4763" s="2" t="n"/>
      <c r="T4763" s="3" t="n"/>
      <c r="U4763" s="87" t="n"/>
      <c r="V4763" s="3" t="n"/>
      <c r="W4763" s="108" t="n"/>
      <c r="X4763" s="4" t="n"/>
    </row>
    <row r="4764" ht="24" customHeight="1">
      <c r="A4764" s="2">
        <f>+D4764-S4764</f>
        <v/>
      </c>
      <c r="B4764" s="126" t="n">
        <v>6350</v>
      </c>
      <c r="C4764" s="66" t="n"/>
      <c r="D4764" s="2" t="n"/>
      <c r="E4764" s="3" t="n"/>
      <c r="F4764" s="3" t="n"/>
      <c r="G4764" s="84" t="n"/>
      <c r="H4764" s="107" t="n"/>
      <c r="I4764" s="107" t="n"/>
      <c r="J4764" s="107" t="n"/>
      <c r="K4764" s="65" t="n"/>
      <c r="L4764" s="127" t="n"/>
      <c r="M4764" s="5" t="n"/>
      <c r="N4764" s="5" t="n"/>
      <c r="O4764" s="5">
        <f>+M4764+N4764</f>
        <v/>
      </c>
      <c r="P4764" s="4" t="n"/>
      <c r="Q4764" s="87" t="n"/>
      <c r="R4764" s="5" t="n"/>
      <c r="S4764" s="2" t="n"/>
      <c r="T4764" s="3" t="n"/>
      <c r="U4764" s="87" t="n"/>
      <c r="V4764" s="3" t="n"/>
      <c r="W4764" s="108" t="n"/>
      <c r="X4764" s="4" t="n"/>
    </row>
    <row r="4765" ht="24" customHeight="1">
      <c r="A4765" s="2">
        <f>+D4765-S4765</f>
        <v/>
      </c>
      <c r="B4765" s="126" t="n">
        <v>6351</v>
      </c>
      <c r="C4765" s="66" t="n"/>
      <c r="D4765" s="2" t="n"/>
      <c r="E4765" s="3" t="n"/>
      <c r="F4765" s="3" t="n"/>
      <c r="G4765" s="84" t="n"/>
      <c r="H4765" s="107" t="n"/>
      <c r="I4765" s="107" t="n"/>
      <c r="J4765" s="107" t="n"/>
      <c r="K4765" s="65" t="n"/>
      <c r="L4765" s="127" t="n"/>
      <c r="M4765" s="5" t="n"/>
      <c r="N4765" s="5" t="n"/>
      <c r="O4765" s="5">
        <f>+M4765+N4765</f>
        <v/>
      </c>
      <c r="P4765" s="4" t="n"/>
      <c r="Q4765" s="87" t="n"/>
      <c r="R4765" s="5" t="n"/>
      <c r="S4765" s="2" t="n"/>
      <c r="T4765" s="3" t="n"/>
      <c r="U4765" s="87" t="n"/>
      <c r="V4765" s="3" t="n"/>
      <c r="W4765" s="108" t="n"/>
      <c r="X4765" s="4" t="n"/>
    </row>
    <row r="4766" ht="24" customHeight="1">
      <c r="A4766" s="2">
        <f>+D4766-S4766</f>
        <v/>
      </c>
      <c r="B4766" s="126" t="n">
        <v>6352</v>
      </c>
      <c r="C4766" s="66" t="n"/>
      <c r="D4766" s="2" t="n"/>
      <c r="E4766" s="3" t="n"/>
      <c r="F4766" s="3" t="n"/>
      <c r="G4766" s="84" t="n"/>
      <c r="H4766" s="107" t="n"/>
      <c r="I4766" s="107" t="n"/>
      <c r="J4766" s="107" t="n"/>
      <c r="K4766" s="65" t="n"/>
      <c r="L4766" s="127" t="n"/>
      <c r="M4766" s="5" t="n"/>
      <c r="N4766" s="5" t="n"/>
      <c r="O4766" s="5">
        <f>+M4766+N4766</f>
        <v/>
      </c>
      <c r="P4766" s="4" t="n"/>
      <c r="Q4766" s="87" t="n"/>
      <c r="R4766" s="5" t="n"/>
      <c r="S4766" s="2" t="n"/>
      <c r="T4766" s="3" t="n"/>
      <c r="U4766" s="87" t="n"/>
      <c r="V4766" s="3" t="n"/>
      <c r="W4766" s="108" t="n"/>
      <c r="X4766" s="4" t="n"/>
    </row>
    <row r="4767" ht="24" customHeight="1">
      <c r="A4767" s="2">
        <f>+D4767-S4767</f>
        <v/>
      </c>
      <c r="B4767" s="126" t="n">
        <v>6353</v>
      </c>
      <c r="C4767" s="66" t="n"/>
      <c r="D4767" s="2" t="n"/>
      <c r="E4767" s="3" t="n"/>
      <c r="F4767" s="3" t="n"/>
      <c r="G4767" s="84" t="n"/>
      <c r="H4767" s="107" t="n"/>
      <c r="I4767" s="107" t="n"/>
      <c r="J4767" s="107" t="n"/>
      <c r="K4767" s="65" t="n"/>
      <c r="L4767" s="127" t="n"/>
      <c r="M4767" s="5" t="n"/>
      <c r="N4767" s="5" t="n"/>
      <c r="O4767" s="5">
        <f>+M4767+N4767</f>
        <v/>
      </c>
      <c r="P4767" s="4" t="n"/>
      <c r="Q4767" s="87" t="n"/>
      <c r="R4767" s="5" t="n"/>
      <c r="S4767" s="2" t="n"/>
      <c r="T4767" s="3" t="n"/>
      <c r="U4767" s="87" t="n"/>
      <c r="V4767" s="3" t="n"/>
      <c r="W4767" s="108" t="n"/>
      <c r="X4767" s="4" t="n"/>
    </row>
    <row r="4768" ht="24" customHeight="1">
      <c r="A4768" s="2">
        <f>+D4768-S4768</f>
        <v/>
      </c>
      <c r="B4768" s="126" t="n">
        <v>6354</v>
      </c>
      <c r="C4768" s="66" t="n"/>
      <c r="D4768" s="2" t="n"/>
      <c r="E4768" s="3" t="n"/>
      <c r="F4768" s="3" t="n"/>
      <c r="G4768" s="84" t="n"/>
      <c r="H4768" s="107" t="n"/>
      <c r="I4768" s="107" t="n"/>
      <c r="J4768" s="107" t="n"/>
      <c r="K4768" s="65" t="n"/>
      <c r="L4768" s="127" t="n"/>
      <c r="M4768" s="5" t="n"/>
      <c r="N4768" s="5" t="n"/>
      <c r="O4768" s="5">
        <f>+M4768+N4768</f>
        <v/>
      </c>
      <c r="P4768" s="4" t="n"/>
      <c r="Q4768" s="87" t="n"/>
      <c r="R4768" s="5" t="n"/>
      <c r="S4768" s="2" t="n"/>
      <c r="T4768" s="3" t="n"/>
      <c r="U4768" s="87" t="n"/>
      <c r="V4768" s="3" t="n"/>
      <c r="W4768" s="108" t="n"/>
      <c r="X4768" s="4" t="n"/>
    </row>
    <row r="4769" ht="24" customHeight="1">
      <c r="A4769" s="2">
        <f>+D4769-S4769</f>
        <v/>
      </c>
      <c r="B4769" s="126" t="n">
        <v>6355</v>
      </c>
      <c r="C4769" s="66" t="n"/>
      <c r="D4769" s="2" t="n"/>
      <c r="E4769" s="3" t="n"/>
      <c r="F4769" s="3" t="n"/>
      <c r="G4769" s="84" t="n"/>
      <c r="H4769" s="107" t="n"/>
      <c r="I4769" s="107" t="n"/>
      <c r="J4769" s="107" t="n"/>
      <c r="K4769" s="65" t="n"/>
      <c r="L4769" s="127" t="n"/>
      <c r="M4769" s="5" t="n"/>
      <c r="N4769" s="5" t="n"/>
      <c r="O4769" s="5">
        <f>+M4769+N4769</f>
        <v/>
      </c>
      <c r="P4769" s="4" t="n"/>
      <c r="Q4769" s="87" t="n"/>
      <c r="R4769" s="5" t="n"/>
      <c r="S4769" s="2" t="n"/>
      <c r="T4769" s="3" t="n"/>
      <c r="U4769" s="87" t="n"/>
      <c r="V4769" s="3" t="n"/>
      <c r="W4769" s="108" t="n"/>
      <c r="X4769" s="4" t="n"/>
    </row>
    <row r="4770" ht="24" customHeight="1">
      <c r="A4770" s="2">
        <f>+D4770-S4770</f>
        <v/>
      </c>
      <c r="B4770" s="126" t="n">
        <v>6356</v>
      </c>
      <c r="C4770" s="66" t="n"/>
      <c r="D4770" s="2" t="n"/>
      <c r="E4770" s="3" t="n"/>
      <c r="F4770" s="3" t="n"/>
      <c r="G4770" s="84" t="n"/>
      <c r="H4770" s="107" t="n"/>
      <c r="I4770" s="107" t="n"/>
      <c r="J4770" s="107" t="n"/>
      <c r="K4770" s="65" t="n"/>
      <c r="L4770" s="127" t="n"/>
      <c r="M4770" s="5" t="n"/>
      <c r="N4770" s="5" t="n"/>
      <c r="O4770" s="5">
        <f>+M4770+N4770</f>
        <v/>
      </c>
      <c r="P4770" s="4" t="n"/>
      <c r="Q4770" s="87" t="n"/>
      <c r="R4770" s="5" t="n"/>
      <c r="S4770" s="2" t="n"/>
      <c r="T4770" s="3" t="n"/>
      <c r="U4770" s="87" t="n"/>
      <c r="V4770" s="3" t="n"/>
      <c r="W4770" s="108" t="n"/>
      <c r="X4770" s="4" t="n"/>
    </row>
    <row r="4771" ht="24" customHeight="1">
      <c r="A4771" s="2">
        <f>+D4771-S4771</f>
        <v/>
      </c>
      <c r="B4771" s="126" t="n">
        <v>6357</v>
      </c>
      <c r="C4771" s="66" t="n"/>
      <c r="D4771" s="2" t="n"/>
      <c r="E4771" s="3" t="n"/>
      <c r="F4771" s="3" t="n"/>
      <c r="G4771" s="84" t="n"/>
      <c r="H4771" s="107" t="n"/>
      <c r="I4771" s="107" t="n"/>
      <c r="J4771" s="107" t="n"/>
      <c r="K4771" s="65" t="n"/>
      <c r="L4771" s="127" t="n"/>
      <c r="M4771" s="5" t="n"/>
      <c r="N4771" s="5" t="n"/>
      <c r="O4771" s="5">
        <f>+M4771+N4771</f>
        <v/>
      </c>
      <c r="P4771" s="4" t="n"/>
      <c r="Q4771" s="87" t="n"/>
      <c r="R4771" s="5" t="n"/>
      <c r="S4771" s="2" t="n"/>
      <c r="T4771" s="3" t="n"/>
      <c r="U4771" s="87" t="n"/>
      <c r="V4771" s="3" t="n"/>
      <c r="W4771" s="108" t="n"/>
      <c r="X4771" s="4" t="n"/>
    </row>
    <row r="4772" ht="24" customHeight="1">
      <c r="A4772" s="2">
        <f>+D4772-S4772</f>
        <v/>
      </c>
      <c r="B4772" s="126" t="n">
        <v>6358</v>
      </c>
      <c r="C4772" s="66" t="n"/>
      <c r="D4772" s="2" t="n"/>
      <c r="E4772" s="3" t="n"/>
      <c r="F4772" s="3" t="n"/>
      <c r="G4772" s="84" t="n"/>
      <c r="H4772" s="107" t="n"/>
      <c r="I4772" s="107" t="n"/>
      <c r="J4772" s="107" t="n"/>
      <c r="K4772" s="65" t="n"/>
      <c r="L4772" s="127" t="n"/>
      <c r="M4772" s="5" t="n"/>
      <c r="N4772" s="5" t="n"/>
      <c r="O4772" s="5">
        <f>+M4772+N4772</f>
        <v/>
      </c>
      <c r="P4772" s="4" t="n"/>
      <c r="Q4772" s="87" t="n"/>
      <c r="R4772" s="5" t="n"/>
      <c r="S4772" s="2" t="n"/>
      <c r="T4772" s="3" t="n"/>
      <c r="U4772" s="87" t="n"/>
      <c r="V4772" s="3" t="n"/>
      <c r="W4772" s="108" t="n"/>
      <c r="X4772" s="4" t="n"/>
    </row>
    <row r="4773" ht="24" customHeight="1">
      <c r="A4773" s="2">
        <f>+D4773-S4773</f>
        <v/>
      </c>
      <c r="B4773" s="126" t="n">
        <v>6359</v>
      </c>
      <c r="C4773" s="66" t="n"/>
      <c r="D4773" s="2" t="n"/>
      <c r="E4773" s="3" t="n"/>
      <c r="F4773" s="3" t="n"/>
      <c r="G4773" s="84" t="n"/>
      <c r="H4773" s="107" t="n"/>
      <c r="I4773" s="107" t="n"/>
      <c r="J4773" s="107" t="n"/>
      <c r="K4773" s="65" t="n"/>
      <c r="L4773" s="127" t="n"/>
      <c r="M4773" s="5" t="n"/>
      <c r="N4773" s="5" t="n"/>
      <c r="O4773" s="5">
        <f>+M4773+N4773</f>
        <v/>
      </c>
      <c r="P4773" s="4" t="n"/>
      <c r="Q4773" s="87" t="n"/>
      <c r="R4773" s="5" t="n"/>
      <c r="S4773" s="2" t="n"/>
      <c r="T4773" s="3" t="n"/>
      <c r="U4773" s="87" t="n"/>
      <c r="V4773" s="3" t="n"/>
      <c r="W4773" s="108" t="n"/>
      <c r="X4773" s="4" t="n"/>
    </row>
    <row r="4774" ht="24" customHeight="1">
      <c r="A4774" s="2">
        <f>+D4774-S4774</f>
        <v/>
      </c>
      <c r="B4774" s="126" t="n">
        <v>6360</v>
      </c>
      <c r="C4774" s="66" t="n"/>
      <c r="D4774" s="2" t="n"/>
      <c r="E4774" s="3" t="n"/>
      <c r="F4774" s="3" t="n"/>
      <c r="G4774" s="84" t="n"/>
      <c r="H4774" s="107" t="n"/>
      <c r="I4774" s="107" t="n"/>
      <c r="J4774" s="107" t="n"/>
      <c r="K4774" s="65" t="n"/>
      <c r="L4774" s="127" t="n"/>
      <c r="M4774" s="5" t="n"/>
      <c r="N4774" s="5" t="n"/>
      <c r="O4774" s="5">
        <f>+M4774+N4774</f>
        <v/>
      </c>
      <c r="P4774" s="4" t="n"/>
      <c r="Q4774" s="87" t="n"/>
      <c r="R4774" s="5" t="n"/>
      <c r="S4774" s="2" t="n"/>
      <c r="T4774" s="3" t="n"/>
      <c r="U4774" s="87" t="n"/>
      <c r="V4774" s="3" t="n"/>
      <c r="W4774" s="108" t="n"/>
      <c r="X4774" s="4" t="n"/>
    </row>
    <row r="4775" ht="24" customHeight="1">
      <c r="A4775" s="2">
        <f>+D4775-S4775</f>
        <v/>
      </c>
      <c r="B4775" s="126" t="n">
        <v>6361</v>
      </c>
      <c r="C4775" s="66" t="n"/>
      <c r="D4775" s="2" t="n"/>
      <c r="E4775" s="3" t="n"/>
      <c r="F4775" s="3" t="n"/>
      <c r="G4775" s="84" t="n"/>
      <c r="H4775" s="107" t="n"/>
      <c r="I4775" s="107" t="n"/>
      <c r="J4775" s="107" t="n"/>
      <c r="K4775" s="65" t="n"/>
      <c r="L4775" s="127" t="n"/>
      <c r="M4775" s="5" t="n"/>
      <c r="N4775" s="5" t="n"/>
      <c r="O4775" s="5">
        <f>+M4775+N4775</f>
        <v/>
      </c>
      <c r="P4775" s="4" t="n"/>
      <c r="Q4775" s="87" t="n"/>
      <c r="R4775" s="5" t="n"/>
      <c r="S4775" s="2" t="n"/>
      <c r="T4775" s="3" t="n"/>
      <c r="U4775" s="87" t="n"/>
      <c r="V4775" s="3" t="n"/>
      <c r="W4775" s="108" t="n"/>
      <c r="X4775" s="4" t="n"/>
    </row>
    <row r="4776" ht="24" customHeight="1">
      <c r="A4776" s="2">
        <f>+D4776-S4776</f>
        <v/>
      </c>
      <c r="B4776" s="126" t="n">
        <v>6362</v>
      </c>
      <c r="C4776" s="66" t="n"/>
      <c r="D4776" s="2" t="n"/>
      <c r="E4776" s="3" t="n"/>
      <c r="F4776" s="3" t="n"/>
      <c r="G4776" s="84" t="n"/>
      <c r="H4776" s="107" t="n"/>
      <c r="I4776" s="107" t="n"/>
      <c r="J4776" s="107" t="n"/>
      <c r="K4776" s="65" t="n"/>
      <c r="L4776" s="127" t="n"/>
      <c r="M4776" s="5" t="n"/>
      <c r="N4776" s="5" t="n"/>
      <c r="O4776" s="5">
        <f>+M4776+N4776</f>
        <v/>
      </c>
      <c r="P4776" s="4" t="n"/>
      <c r="Q4776" s="87" t="n"/>
      <c r="R4776" s="5" t="n"/>
      <c r="S4776" s="2" t="n"/>
      <c r="T4776" s="3" t="n"/>
      <c r="U4776" s="87" t="n"/>
      <c r="V4776" s="3" t="n"/>
      <c r="W4776" s="108" t="n"/>
      <c r="X4776" s="4" t="n"/>
    </row>
    <row r="4777" ht="24" customHeight="1">
      <c r="A4777" s="2">
        <f>+D4777-S4777</f>
        <v/>
      </c>
      <c r="B4777" s="126" t="n">
        <v>6363</v>
      </c>
      <c r="C4777" s="66" t="n"/>
      <c r="D4777" s="2" t="n"/>
      <c r="E4777" s="3" t="n"/>
      <c r="F4777" s="3" t="n"/>
      <c r="G4777" s="84" t="n"/>
      <c r="H4777" s="107" t="n"/>
      <c r="I4777" s="107" t="n"/>
      <c r="J4777" s="107" t="n"/>
      <c r="K4777" s="65" t="n"/>
      <c r="L4777" s="127" t="n"/>
      <c r="M4777" s="5" t="n"/>
      <c r="N4777" s="5" t="n"/>
      <c r="O4777" s="5">
        <f>+M4777+N4777</f>
        <v/>
      </c>
      <c r="P4777" s="4" t="n"/>
      <c r="Q4777" s="87" t="n"/>
      <c r="R4777" s="5" t="n"/>
      <c r="S4777" s="2" t="n"/>
      <c r="T4777" s="3" t="n"/>
      <c r="U4777" s="87" t="n"/>
      <c r="V4777" s="3" t="n"/>
      <c r="W4777" s="108" t="n"/>
      <c r="X4777" s="4" t="n"/>
    </row>
    <row r="4778" ht="24" customHeight="1">
      <c r="A4778" s="2">
        <f>+D4778-S4778</f>
        <v/>
      </c>
      <c r="B4778" s="126" t="n">
        <v>6364</v>
      </c>
      <c r="C4778" s="66" t="n"/>
      <c r="D4778" s="2" t="n"/>
      <c r="E4778" s="3" t="n"/>
      <c r="F4778" s="3" t="n"/>
      <c r="G4778" s="84" t="n"/>
      <c r="H4778" s="107" t="n"/>
      <c r="I4778" s="107" t="n"/>
      <c r="J4778" s="107" t="n"/>
      <c r="K4778" s="65" t="n"/>
      <c r="L4778" s="127" t="n"/>
      <c r="M4778" s="5" t="n"/>
      <c r="N4778" s="5" t="n"/>
      <c r="O4778" s="5">
        <f>+M4778+N4778</f>
        <v/>
      </c>
      <c r="P4778" s="4" t="n"/>
      <c r="Q4778" s="87" t="n"/>
      <c r="R4778" s="5" t="n"/>
      <c r="S4778" s="2" t="n"/>
      <c r="T4778" s="3" t="n"/>
      <c r="U4778" s="87" t="n"/>
      <c r="V4778" s="3" t="n"/>
      <c r="W4778" s="108" t="n"/>
      <c r="X4778" s="4" t="n"/>
    </row>
    <row r="4779" ht="24" customHeight="1">
      <c r="A4779" s="2">
        <f>+D4779-S4779</f>
        <v/>
      </c>
      <c r="B4779" s="126" t="n">
        <v>6365</v>
      </c>
      <c r="C4779" s="66" t="n"/>
      <c r="D4779" s="2" t="n"/>
      <c r="E4779" s="3" t="n"/>
      <c r="F4779" s="3" t="n"/>
      <c r="G4779" s="84" t="n"/>
      <c r="H4779" s="107" t="n"/>
      <c r="I4779" s="107" t="n"/>
      <c r="J4779" s="107" t="n"/>
      <c r="K4779" s="65" t="n"/>
      <c r="L4779" s="127" t="n"/>
      <c r="M4779" s="5" t="n"/>
      <c r="N4779" s="5" t="n"/>
      <c r="O4779" s="5">
        <f>+M4779+N4779</f>
        <v/>
      </c>
      <c r="P4779" s="4" t="n"/>
      <c r="Q4779" s="87" t="n"/>
      <c r="R4779" s="5" t="n"/>
      <c r="S4779" s="2" t="n"/>
      <c r="T4779" s="3" t="n"/>
      <c r="U4779" s="87" t="n"/>
      <c r="V4779" s="3" t="n"/>
      <c r="W4779" s="108" t="n"/>
      <c r="X4779" s="4" t="n"/>
    </row>
    <row r="4780" ht="24" customHeight="1">
      <c r="A4780" s="2">
        <f>+D4780-S4780</f>
        <v/>
      </c>
      <c r="B4780" s="126" t="n">
        <v>6366</v>
      </c>
      <c r="C4780" s="66" t="n"/>
      <c r="D4780" s="2" t="n"/>
      <c r="E4780" s="3" t="n"/>
      <c r="F4780" s="3" t="n"/>
      <c r="G4780" s="84" t="n"/>
      <c r="H4780" s="107" t="n"/>
      <c r="I4780" s="107" t="n"/>
      <c r="J4780" s="107" t="n"/>
      <c r="K4780" s="65" t="n"/>
      <c r="L4780" s="127" t="n"/>
      <c r="M4780" s="5" t="n"/>
      <c r="N4780" s="5" t="n"/>
      <c r="O4780" s="5">
        <f>+M4780+N4780</f>
        <v/>
      </c>
      <c r="P4780" s="4" t="n"/>
      <c r="Q4780" s="87" t="n"/>
      <c r="R4780" s="5" t="n"/>
      <c r="S4780" s="2" t="n"/>
      <c r="T4780" s="3" t="n"/>
      <c r="U4780" s="87" t="n"/>
      <c r="V4780" s="3" t="n"/>
      <c r="W4780" s="108" t="n"/>
      <c r="X4780" s="4" t="n"/>
    </row>
    <row r="4781" ht="24" customHeight="1">
      <c r="A4781" s="2">
        <f>+D4781-S4781</f>
        <v/>
      </c>
      <c r="B4781" s="126" t="n">
        <v>6367</v>
      </c>
      <c r="C4781" s="66" t="n"/>
      <c r="D4781" s="2" t="n"/>
      <c r="E4781" s="3" t="n"/>
      <c r="F4781" s="3" t="n"/>
      <c r="G4781" s="84" t="n"/>
      <c r="H4781" s="107" t="n"/>
      <c r="I4781" s="107" t="n"/>
      <c r="J4781" s="107" t="n"/>
      <c r="K4781" s="65" t="n"/>
      <c r="L4781" s="127" t="n"/>
      <c r="M4781" s="5" t="n"/>
      <c r="N4781" s="5" t="n"/>
      <c r="O4781" s="5">
        <f>+M4781+N4781</f>
        <v/>
      </c>
      <c r="P4781" s="4" t="n"/>
      <c r="Q4781" s="87" t="n"/>
      <c r="R4781" s="5" t="n"/>
      <c r="S4781" s="2" t="n"/>
      <c r="T4781" s="3" t="n"/>
      <c r="U4781" s="87" t="n"/>
      <c r="V4781" s="3" t="n"/>
      <c r="W4781" s="108" t="n"/>
      <c r="X4781" s="4" t="n"/>
    </row>
    <row r="4782" ht="24" customHeight="1">
      <c r="A4782" s="2">
        <f>+D4782-S4782</f>
        <v/>
      </c>
      <c r="B4782" s="126" t="n">
        <v>6368</v>
      </c>
      <c r="C4782" s="66" t="n"/>
      <c r="D4782" s="2" t="n"/>
      <c r="E4782" s="3" t="n"/>
      <c r="F4782" s="3" t="n"/>
      <c r="G4782" s="84" t="n"/>
      <c r="H4782" s="107" t="n"/>
      <c r="I4782" s="107" t="n"/>
      <c r="J4782" s="107" t="n"/>
      <c r="K4782" s="65" t="n"/>
      <c r="L4782" s="127" t="n"/>
      <c r="M4782" s="5" t="n"/>
      <c r="N4782" s="5" t="n"/>
      <c r="O4782" s="5">
        <f>+M4782+N4782</f>
        <v/>
      </c>
      <c r="P4782" s="4" t="n"/>
      <c r="Q4782" s="87" t="n"/>
      <c r="R4782" s="5" t="n"/>
      <c r="S4782" s="2" t="n"/>
      <c r="T4782" s="3" t="n"/>
      <c r="U4782" s="87" t="n"/>
      <c r="V4782" s="3" t="n"/>
      <c r="W4782" s="108" t="n"/>
      <c r="X4782" s="4" t="n"/>
    </row>
    <row r="4783" ht="24" customHeight="1">
      <c r="A4783" s="2">
        <f>+D4783-S4783</f>
        <v/>
      </c>
      <c r="B4783" s="126" t="n">
        <v>6369</v>
      </c>
      <c r="C4783" s="66" t="n"/>
      <c r="D4783" s="2" t="n"/>
      <c r="E4783" s="3" t="n"/>
      <c r="F4783" s="3" t="n"/>
      <c r="G4783" s="84" t="n"/>
      <c r="H4783" s="107" t="n"/>
      <c r="I4783" s="107" t="n"/>
      <c r="J4783" s="107" t="n"/>
      <c r="K4783" s="65" t="n"/>
      <c r="L4783" s="127" t="n"/>
      <c r="M4783" s="5" t="n"/>
      <c r="N4783" s="5" t="n"/>
      <c r="O4783" s="5">
        <f>+M4783+N4783</f>
        <v/>
      </c>
      <c r="P4783" s="4" t="n"/>
      <c r="Q4783" s="87" t="n"/>
      <c r="R4783" s="5" t="n"/>
      <c r="S4783" s="2" t="n"/>
      <c r="T4783" s="3" t="n"/>
      <c r="U4783" s="87" t="n"/>
      <c r="V4783" s="3" t="n"/>
      <c r="W4783" s="108" t="n"/>
      <c r="X4783" s="4" t="n"/>
    </row>
    <row r="4784" ht="24" customHeight="1">
      <c r="A4784" s="2">
        <f>+D4784-S4784</f>
        <v/>
      </c>
      <c r="B4784" s="126" t="n">
        <v>6370</v>
      </c>
      <c r="C4784" s="66" t="n"/>
      <c r="D4784" s="2" t="n"/>
      <c r="E4784" s="3" t="n"/>
      <c r="F4784" s="3" t="n"/>
      <c r="G4784" s="84" t="n"/>
      <c r="H4784" s="107" t="n"/>
      <c r="I4784" s="107" t="n"/>
      <c r="J4784" s="107" t="n"/>
      <c r="K4784" s="65" t="n"/>
      <c r="L4784" s="127" t="n"/>
      <c r="M4784" s="5" t="n"/>
      <c r="N4784" s="5" t="n"/>
      <c r="O4784" s="5">
        <f>+M4784+N4784</f>
        <v/>
      </c>
      <c r="P4784" s="4" t="n"/>
      <c r="Q4784" s="87" t="n"/>
      <c r="R4784" s="5" t="n"/>
      <c r="S4784" s="2" t="n"/>
      <c r="T4784" s="3" t="n"/>
      <c r="U4784" s="87" t="n"/>
      <c r="V4784" s="3" t="n"/>
      <c r="W4784" s="108" t="n"/>
      <c r="X4784" s="4" t="n"/>
    </row>
    <row r="4785" ht="24" customHeight="1">
      <c r="A4785" s="2">
        <f>+D4785-S4785</f>
        <v/>
      </c>
      <c r="B4785" s="126" t="n">
        <v>6371</v>
      </c>
      <c r="C4785" s="66" t="n"/>
      <c r="D4785" s="2" t="n"/>
      <c r="E4785" s="3" t="n"/>
      <c r="F4785" s="3" t="n"/>
      <c r="G4785" s="84" t="n"/>
      <c r="H4785" s="107" t="n"/>
      <c r="I4785" s="107" t="n"/>
      <c r="J4785" s="107" t="n"/>
      <c r="K4785" s="65" t="n"/>
      <c r="L4785" s="127" t="n"/>
      <c r="M4785" s="5" t="n"/>
      <c r="N4785" s="5" t="n"/>
      <c r="O4785" s="5">
        <f>+M4785+N4785</f>
        <v/>
      </c>
      <c r="P4785" s="4" t="n"/>
      <c r="Q4785" s="87" t="n"/>
      <c r="R4785" s="5" t="n"/>
      <c r="S4785" s="2" t="n"/>
      <c r="T4785" s="3" t="n"/>
      <c r="U4785" s="87" t="n"/>
      <c r="V4785" s="3" t="n"/>
      <c r="W4785" s="108" t="n"/>
      <c r="X4785" s="4" t="n"/>
    </row>
    <row r="4786" ht="24" customHeight="1">
      <c r="A4786" s="2">
        <f>+D4786-S4786</f>
        <v/>
      </c>
      <c r="B4786" s="126" t="n">
        <v>6372</v>
      </c>
      <c r="C4786" s="66" t="n"/>
      <c r="D4786" s="2" t="n"/>
      <c r="E4786" s="3" t="n"/>
      <c r="F4786" s="3" t="n"/>
      <c r="G4786" s="84" t="n"/>
      <c r="H4786" s="107" t="n"/>
      <c r="I4786" s="107" t="n"/>
      <c r="J4786" s="107" t="n"/>
      <c r="K4786" s="65" t="n"/>
      <c r="L4786" s="127" t="n"/>
      <c r="M4786" s="5" t="n"/>
      <c r="N4786" s="5" t="n"/>
      <c r="O4786" s="5">
        <f>+M4786+N4786</f>
        <v/>
      </c>
      <c r="P4786" s="4" t="n"/>
      <c r="Q4786" s="87" t="n"/>
      <c r="R4786" s="5" t="n"/>
      <c r="S4786" s="2" t="n"/>
      <c r="T4786" s="3" t="n"/>
      <c r="U4786" s="87" t="n"/>
      <c r="V4786" s="3" t="n"/>
      <c r="W4786" s="108" t="n"/>
      <c r="X4786" s="4" t="n"/>
    </row>
    <row r="4787" ht="24" customHeight="1">
      <c r="A4787" s="2">
        <f>+D4787-S4787</f>
        <v/>
      </c>
      <c r="B4787" s="126" t="n">
        <v>6373</v>
      </c>
      <c r="C4787" s="66" t="n"/>
      <c r="D4787" s="2" t="n"/>
      <c r="E4787" s="3" t="n"/>
      <c r="F4787" s="3" t="n"/>
      <c r="G4787" s="84" t="n"/>
      <c r="H4787" s="107" t="n"/>
      <c r="I4787" s="107" t="n"/>
      <c r="J4787" s="107" t="n"/>
      <c r="K4787" s="65" t="n"/>
      <c r="L4787" s="127" t="n"/>
      <c r="M4787" s="5" t="n"/>
      <c r="N4787" s="5" t="n"/>
      <c r="O4787" s="5">
        <f>+M4787+N4787</f>
        <v/>
      </c>
      <c r="P4787" s="4" t="n"/>
      <c r="Q4787" s="87" t="n"/>
      <c r="R4787" s="5" t="n"/>
      <c r="S4787" s="2" t="n"/>
      <c r="T4787" s="3" t="n"/>
      <c r="U4787" s="87" t="n"/>
      <c r="V4787" s="3" t="n"/>
      <c r="W4787" s="108" t="n"/>
      <c r="X4787" s="4" t="n"/>
    </row>
    <row r="4788" ht="24" customHeight="1">
      <c r="A4788" s="2">
        <f>+D4788-S4788</f>
        <v/>
      </c>
      <c r="B4788" s="126" t="n">
        <v>6374</v>
      </c>
      <c r="C4788" s="66" t="n"/>
      <c r="D4788" s="2" t="n"/>
      <c r="E4788" s="3" t="n"/>
      <c r="F4788" s="3" t="n"/>
      <c r="G4788" s="84" t="n"/>
      <c r="H4788" s="107" t="n"/>
      <c r="I4788" s="107" t="n"/>
      <c r="J4788" s="107" t="n"/>
      <c r="K4788" s="65" t="n"/>
      <c r="L4788" s="127" t="n"/>
      <c r="M4788" s="5" t="n"/>
      <c r="N4788" s="5" t="n"/>
      <c r="O4788" s="5">
        <f>+M4788+N4788</f>
        <v/>
      </c>
      <c r="P4788" s="4" t="n"/>
      <c r="Q4788" s="87" t="n"/>
      <c r="R4788" s="5" t="n"/>
      <c r="S4788" s="2" t="n"/>
      <c r="T4788" s="3" t="n"/>
      <c r="U4788" s="87" t="n"/>
      <c r="V4788" s="3" t="n"/>
      <c r="W4788" s="108" t="n"/>
      <c r="X4788" s="4" t="n"/>
    </row>
    <row r="4789" ht="24" customHeight="1">
      <c r="A4789" s="2">
        <f>+D4789-S4789</f>
        <v/>
      </c>
      <c r="B4789" s="126" t="n">
        <v>6375</v>
      </c>
      <c r="C4789" s="66" t="n"/>
      <c r="D4789" s="2" t="n"/>
      <c r="E4789" s="3" t="n"/>
      <c r="F4789" s="3" t="n"/>
      <c r="G4789" s="84" t="n"/>
      <c r="H4789" s="107" t="n"/>
      <c r="I4789" s="107" t="n"/>
      <c r="J4789" s="107" t="n"/>
      <c r="K4789" s="65" t="n"/>
      <c r="L4789" s="127" t="n"/>
      <c r="M4789" s="5" t="n"/>
      <c r="N4789" s="5" t="n"/>
      <c r="O4789" s="5">
        <f>+M4789+N4789</f>
        <v/>
      </c>
      <c r="P4789" s="4" t="n"/>
      <c r="Q4789" s="87" t="n"/>
      <c r="R4789" s="5" t="n"/>
      <c r="S4789" s="2" t="n"/>
      <c r="T4789" s="3" t="n"/>
      <c r="U4789" s="87" t="n"/>
      <c r="V4789" s="3" t="n"/>
      <c r="W4789" s="108" t="n"/>
      <c r="X4789" s="4" t="n"/>
    </row>
    <row r="4790" ht="24" customHeight="1">
      <c r="A4790" s="2">
        <f>+D4790-S4790</f>
        <v/>
      </c>
      <c r="B4790" s="126" t="n">
        <v>6376</v>
      </c>
      <c r="C4790" s="66" t="n"/>
      <c r="D4790" s="2" t="n"/>
      <c r="E4790" s="3" t="n"/>
      <c r="F4790" s="3" t="n"/>
      <c r="G4790" s="84" t="n"/>
      <c r="H4790" s="107" t="n"/>
      <c r="I4790" s="107" t="n"/>
      <c r="J4790" s="107" t="n"/>
      <c r="K4790" s="65" t="n"/>
      <c r="L4790" s="127" t="n"/>
      <c r="M4790" s="5" t="n"/>
      <c r="N4790" s="5" t="n"/>
      <c r="O4790" s="5">
        <f>+M4790+N4790</f>
        <v/>
      </c>
      <c r="P4790" s="4" t="n"/>
      <c r="Q4790" s="87" t="n"/>
      <c r="R4790" s="5" t="n"/>
      <c r="S4790" s="2" t="n"/>
      <c r="T4790" s="3" t="n"/>
      <c r="U4790" s="87" t="n"/>
      <c r="V4790" s="3" t="n"/>
      <c r="W4790" s="108" t="n"/>
      <c r="X4790" s="4" t="n"/>
    </row>
    <row r="4791" ht="24" customHeight="1">
      <c r="A4791" s="2">
        <f>+D4791-S4791</f>
        <v/>
      </c>
      <c r="B4791" s="126" t="n">
        <v>6377</v>
      </c>
      <c r="C4791" s="66" t="n"/>
      <c r="D4791" s="2" t="n"/>
      <c r="E4791" s="3" t="n"/>
      <c r="F4791" s="3" t="n"/>
      <c r="G4791" s="84" t="n"/>
      <c r="H4791" s="107" t="n"/>
      <c r="I4791" s="107" t="n"/>
      <c r="J4791" s="107" t="n"/>
      <c r="K4791" s="65" t="n"/>
      <c r="L4791" s="127" t="n"/>
      <c r="M4791" s="5" t="n"/>
      <c r="N4791" s="5" t="n"/>
      <c r="O4791" s="5">
        <f>+M4791+N4791</f>
        <v/>
      </c>
      <c r="P4791" s="4" t="n"/>
      <c r="Q4791" s="87" t="n"/>
      <c r="R4791" s="5" t="n"/>
      <c r="S4791" s="2" t="n"/>
      <c r="T4791" s="3" t="n"/>
      <c r="U4791" s="87" t="n"/>
      <c r="V4791" s="3" t="n"/>
      <c r="W4791" s="108" t="n"/>
      <c r="X4791" s="4" t="n"/>
    </row>
    <row r="4792" ht="24" customHeight="1">
      <c r="A4792" s="2">
        <f>+D4792-S4792</f>
        <v/>
      </c>
      <c r="B4792" s="126" t="n">
        <v>6378</v>
      </c>
      <c r="C4792" s="66" t="n"/>
      <c r="D4792" s="2" t="n"/>
      <c r="E4792" s="3" t="n"/>
      <c r="F4792" s="3" t="n"/>
      <c r="G4792" s="84" t="n"/>
      <c r="H4792" s="107" t="n"/>
      <c r="I4792" s="107" t="n"/>
      <c r="J4792" s="107" t="n"/>
      <c r="K4792" s="65" t="n"/>
      <c r="L4792" s="127" t="n"/>
      <c r="M4792" s="5" t="n"/>
      <c r="N4792" s="5" t="n"/>
      <c r="O4792" s="5">
        <f>+M4792+N4792</f>
        <v/>
      </c>
      <c r="P4792" s="4" t="n"/>
      <c r="Q4792" s="87" t="n"/>
      <c r="R4792" s="5" t="n"/>
      <c r="S4792" s="2" t="n"/>
      <c r="T4792" s="3" t="n"/>
      <c r="U4792" s="87" t="n"/>
      <c r="V4792" s="3" t="n"/>
      <c r="W4792" s="108" t="n"/>
      <c r="X4792" s="4" t="n"/>
    </row>
    <row r="4793" ht="24" customHeight="1">
      <c r="A4793" s="2">
        <f>+D4793-S4793</f>
        <v/>
      </c>
      <c r="B4793" s="126" t="n">
        <v>6379</v>
      </c>
      <c r="C4793" s="66" t="n"/>
      <c r="D4793" s="2" t="n"/>
      <c r="E4793" s="3" t="n"/>
      <c r="F4793" s="3" t="n"/>
      <c r="G4793" s="84" t="n"/>
      <c r="H4793" s="107" t="n"/>
      <c r="I4793" s="107" t="n"/>
      <c r="J4793" s="107" t="n"/>
      <c r="K4793" s="65" t="n"/>
      <c r="L4793" s="127" t="n"/>
      <c r="M4793" s="5" t="n"/>
      <c r="N4793" s="5" t="n"/>
      <c r="O4793" s="5">
        <f>+M4793+N4793</f>
        <v/>
      </c>
      <c r="P4793" s="4" t="n"/>
      <c r="Q4793" s="87" t="n"/>
      <c r="R4793" s="5" t="n"/>
      <c r="S4793" s="2" t="n"/>
      <c r="T4793" s="3" t="n"/>
      <c r="U4793" s="87" t="n"/>
      <c r="V4793" s="3" t="n"/>
      <c r="W4793" s="108" t="n"/>
      <c r="X4793" s="4" t="n"/>
    </row>
    <row r="4794" ht="24" customHeight="1">
      <c r="A4794" s="2">
        <f>+D4794-S4794</f>
        <v/>
      </c>
      <c r="B4794" s="126" t="n">
        <v>6380</v>
      </c>
      <c r="C4794" s="66" t="n"/>
      <c r="D4794" s="2" t="n"/>
      <c r="E4794" s="3" t="n"/>
      <c r="F4794" s="3" t="n"/>
      <c r="G4794" s="84" t="n"/>
      <c r="H4794" s="107" t="n"/>
      <c r="I4794" s="107" t="n"/>
      <c r="J4794" s="107" t="n"/>
      <c r="K4794" s="65" t="n"/>
      <c r="L4794" s="127" t="n"/>
      <c r="M4794" s="5" t="n"/>
      <c r="N4794" s="5" t="n"/>
      <c r="O4794" s="5">
        <f>+M4794+N4794</f>
        <v/>
      </c>
      <c r="P4794" s="4" t="n"/>
      <c r="Q4794" s="87" t="n"/>
      <c r="R4794" s="5" t="n"/>
      <c r="S4794" s="2" t="n"/>
      <c r="T4794" s="3" t="n"/>
      <c r="U4794" s="87" t="n"/>
      <c r="V4794" s="3" t="n"/>
      <c r="W4794" s="108" t="n"/>
      <c r="X4794" s="4" t="n"/>
    </row>
    <row r="4795" ht="24" customHeight="1">
      <c r="A4795" s="2">
        <f>+D4795-S4795</f>
        <v/>
      </c>
      <c r="B4795" s="126" t="n">
        <v>6381</v>
      </c>
      <c r="C4795" s="66" t="n"/>
      <c r="D4795" s="2" t="n"/>
      <c r="E4795" s="3" t="n"/>
      <c r="F4795" s="3" t="n"/>
      <c r="G4795" s="84" t="n"/>
      <c r="H4795" s="107" t="n"/>
      <c r="I4795" s="107" t="n"/>
      <c r="J4795" s="107" t="n"/>
      <c r="K4795" s="65" t="n"/>
      <c r="L4795" s="127" t="n"/>
      <c r="M4795" s="5" t="n"/>
      <c r="N4795" s="5" t="n"/>
      <c r="O4795" s="5">
        <f>+M4795+N4795</f>
        <v/>
      </c>
      <c r="P4795" s="4" t="n"/>
      <c r="Q4795" s="87" t="n"/>
      <c r="R4795" s="5" t="n"/>
      <c r="S4795" s="2" t="n"/>
      <c r="T4795" s="3" t="n"/>
      <c r="U4795" s="87" t="n"/>
      <c r="V4795" s="3" t="n"/>
      <c r="W4795" s="108" t="n"/>
      <c r="X4795" s="4" t="n"/>
    </row>
    <row r="4796" ht="24" customHeight="1">
      <c r="A4796" s="2">
        <f>+D4796-S4796</f>
        <v/>
      </c>
      <c r="B4796" s="126" t="n">
        <v>6382</v>
      </c>
      <c r="C4796" s="66" t="n"/>
      <c r="D4796" s="2" t="n"/>
      <c r="E4796" s="3" t="n"/>
      <c r="F4796" s="3" t="n"/>
      <c r="G4796" s="84" t="n"/>
      <c r="H4796" s="107" t="n"/>
      <c r="I4796" s="107" t="n"/>
      <c r="J4796" s="107" t="n"/>
      <c r="K4796" s="65" t="n"/>
      <c r="L4796" s="127" t="n"/>
      <c r="M4796" s="5" t="n"/>
      <c r="N4796" s="5" t="n"/>
      <c r="O4796" s="5">
        <f>+M4796+N4796</f>
        <v/>
      </c>
      <c r="P4796" s="4" t="n"/>
      <c r="Q4796" s="87" t="n"/>
      <c r="R4796" s="5" t="n"/>
      <c r="S4796" s="2" t="n"/>
      <c r="T4796" s="3" t="n"/>
      <c r="U4796" s="87" t="n"/>
      <c r="V4796" s="3" t="n"/>
      <c r="W4796" s="108" t="n"/>
      <c r="X4796" s="4" t="n"/>
    </row>
    <row r="4797" ht="24" customHeight="1">
      <c r="A4797" s="2">
        <f>+D4797-S4797</f>
        <v/>
      </c>
      <c r="B4797" s="126" t="n">
        <v>6383</v>
      </c>
      <c r="C4797" s="66" t="n"/>
      <c r="D4797" s="2" t="n"/>
      <c r="E4797" s="3" t="n"/>
      <c r="F4797" s="3" t="n"/>
      <c r="G4797" s="84" t="n"/>
      <c r="H4797" s="107" t="n"/>
      <c r="I4797" s="107" t="n"/>
      <c r="J4797" s="107" t="n"/>
      <c r="K4797" s="65" t="n"/>
      <c r="L4797" s="127" t="n"/>
      <c r="M4797" s="5" t="n"/>
      <c r="N4797" s="5" t="n"/>
      <c r="O4797" s="5">
        <f>+M4797+N4797</f>
        <v/>
      </c>
      <c r="P4797" s="4" t="n"/>
      <c r="Q4797" s="87" t="n"/>
      <c r="R4797" s="5" t="n"/>
      <c r="S4797" s="2" t="n"/>
      <c r="T4797" s="3" t="n"/>
      <c r="U4797" s="87" t="n"/>
      <c r="V4797" s="3" t="n"/>
      <c r="W4797" s="108" t="n"/>
      <c r="X4797" s="4" t="n"/>
    </row>
    <row r="4798" ht="24" customHeight="1">
      <c r="A4798" s="2">
        <f>+D4798-S4798</f>
        <v/>
      </c>
      <c r="B4798" s="126" t="n">
        <v>6384</v>
      </c>
      <c r="C4798" s="66" t="n"/>
      <c r="D4798" s="2" t="n"/>
      <c r="E4798" s="3" t="n"/>
      <c r="F4798" s="3" t="n"/>
      <c r="G4798" s="84" t="n"/>
      <c r="H4798" s="107" t="n"/>
      <c r="I4798" s="107" t="n"/>
      <c r="J4798" s="107" t="n"/>
      <c r="K4798" s="65" t="n"/>
      <c r="L4798" s="127" t="n"/>
      <c r="M4798" s="5" t="n"/>
      <c r="N4798" s="5" t="n"/>
      <c r="O4798" s="5">
        <f>+M4798+N4798</f>
        <v/>
      </c>
      <c r="P4798" s="4" t="n"/>
      <c r="Q4798" s="87" t="n"/>
      <c r="R4798" s="5" t="n"/>
      <c r="S4798" s="2" t="n"/>
      <c r="T4798" s="3" t="n"/>
      <c r="U4798" s="87" t="n"/>
      <c r="V4798" s="3" t="n"/>
      <c r="W4798" s="108" t="n"/>
      <c r="X4798" s="4" t="n"/>
    </row>
    <row r="4799" ht="24" customHeight="1">
      <c r="A4799" s="2">
        <f>+D4799-S4799</f>
        <v/>
      </c>
      <c r="B4799" s="126" t="n">
        <v>6385</v>
      </c>
      <c r="C4799" s="66" t="n"/>
      <c r="D4799" s="2" t="n"/>
      <c r="E4799" s="3" t="n"/>
      <c r="F4799" s="3" t="n"/>
      <c r="G4799" s="84" t="n"/>
      <c r="H4799" s="107" t="n"/>
      <c r="I4799" s="107" t="n"/>
      <c r="J4799" s="107" t="n"/>
      <c r="K4799" s="65" t="n"/>
      <c r="L4799" s="127" t="n"/>
      <c r="M4799" s="5" t="n"/>
      <c r="N4799" s="5" t="n"/>
      <c r="O4799" s="5">
        <f>+M4799+N4799</f>
        <v/>
      </c>
      <c r="P4799" s="4" t="n"/>
      <c r="Q4799" s="87" t="n"/>
      <c r="R4799" s="5" t="n"/>
      <c r="S4799" s="2" t="n"/>
      <c r="T4799" s="3" t="n"/>
      <c r="U4799" s="87" t="n"/>
      <c r="V4799" s="3" t="n"/>
      <c r="W4799" s="108" t="n"/>
      <c r="X4799" s="4" t="n"/>
    </row>
    <row r="4800" ht="24" customHeight="1">
      <c r="A4800" s="2">
        <f>+D4800-S4800</f>
        <v/>
      </c>
      <c r="B4800" s="126" t="n">
        <v>6386</v>
      </c>
      <c r="C4800" s="66" t="n"/>
      <c r="D4800" s="2" t="n"/>
      <c r="E4800" s="3" t="n"/>
      <c r="F4800" s="3" t="n"/>
      <c r="G4800" s="84" t="n"/>
      <c r="H4800" s="107" t="n"/>
      <c r="I4800" s="107" t="n"/>
      <c r="J4800" s="107" t="n"/>
      <c r="K4800" s="65" t="n"/>
      <c r="L4800" s="127" t="n"/>
      <c r="M4800" s="5" t="n"/>
      <c r="N4800" s="5" t="n"/>
      <c r="O4800" s="5">
        <f>+M4800+N4800</f>
        <v/>
      </c>
      <c r="P4800" s="4" t="n"/>
      <c r="Q4800" s="87" t="n"/>
      <c r="R4800" s="5" t="n"/>
      <c r="S4800" s="2" t="n"/>
      <c r="T4800" s="3" t="n"/>
      <c r="U4800" s="87" t="n"/>
      <c r="V4800" s="3" t="n"/>
      <c r="W4800" s="108" t="n"/>
      <c r="X4800" s="4" t="n"/>
    </row>
    <row r="4801" ht="24" customHeight="1">
      <c r="A4801" s="2">
        <f>+D4801-S4801</f>
        <v/>
      </c>
      <c r="B4801" s="126" t="n">
        <v>6387</v>
      </c>
      <c r="C4801" s="66" t="n"/>
      <c r="D4801" s="2" t="n"/>
      <c r="E4801" s="3" t="n"/>
      <c r="F4801" s="3" t="n"/>
      <c r="G4801" s="84" t="n"/>
      <c r="H4801" s="107" t="n"/>
      <c r="I4801" s="107" t="n"/>
      <c r="J4801" s="107" t="n"/>
      <c r="K4801" s="65" t="n"/>
      <c r="L4801" s="127" t="n"/>
      <c r="M4801" s="5" t="n"/>
      <c r="N4801" s="5" t="n"/>
      <c r="O4801" s="5">
        <f>+M4801+N4801</f>
        <v/>
      </c>
      <c r="P4801" s="4" t="n"/>
      <c r="Q4801" s="87" t="n"/>
      <c r="R4801" s="5" t="n"/>
      <c r="S4801" s="2" t="n"/>
      <c r="T4801" s="3" t="n"/>
      <c r="U4801" s="87" t="n"/>
      <c r="V4801" s="3" t="n"/>
      <c r="W4801" s="108" t="n"/>
      <c r="X4801" s="4" t="n"/>
    </row>
    <row r="4802" ht="24" customHeight="1">
      <c r="A4802" s="2">
        <f>+D4802-S4802</f>
        <v/>
      </c>
      <c r="B4802" s="126" t="n">
        <v>6388</v>
      </c>
      <c r="C4802" s="66" t="n"/>
      <c r="D4802" s="2" t="n"/>
      <c r="E4802" s="3" t="n"/>
      <c r="F4802" s="3" t="n"/>
      <c r="G4802" s="84" t="n"/>
      <c r="H4802" s="107" t="n"/>
      <c r="I4802" s="107" t="n"/>
      <c r="J4802" s="107" t="n"/>
      <c r="K4802" s="65" t="n"/>
      <c r="L4802" s="127" t="n"/>
      <c r="M4802" s="5" t="n"/>
      <c r="N4802" s="5" t="n"/>
      <c r="O4802" s="5">
        <f>+M4802+N4802</f>
        <v/>
      </c>
      <c r="P4802" s="4" t="n"/>
      <c r="Q4802" s="87" t="n"/>
      <c r="R4802" s="5" t="n"/>
      <c r="S4802" s="2" t="n"/>
      <c r="T4802" s="3" t="n"/>
      <c r="U4802" s="87" t="n"/>
      <c r="V4802" s="3" t="n"/>
      <c r="W4802" s="108" t="n"/>
      <c r="X4802" s="4" t="n"/>
    </row>
    <row r="4803" ht="24" customHeight="1">
      <c r="A4803" s="2">
        <f>+D4803-S4803</f>
        <v/>
      </c>
      <c r="B4803" s="126" t="n">
        <v>6389</v>
      </c>
      <c r="C4803" s="66" t="n"/>
      <c r="D4803" s="2" t="n"/>
      <c r="E4803" s="3" t="n"/>
      <c r="F4803" s="3" t="n"/>
      <c r="G4803" s="84" t="n"/>
      <c r="H4803" s="107" t="n"/>
      <c r="I4803" s="107" t="n"/>
      <c r="J4803" s="107" t="n"/>
      <c r="K4803" s="65" t="n"/>
      <c r="L4803" s="127" t="n"/>
      <c r="M4803" s="5" t="n"/>
      <c r="N4803" s="5" t="n"/>
      <c r="O4803" s="5">
        <f>+M4803+N4803</f>
        <v/>
      </c>
      <c r="P4803" s="4" t="n"/>
      <c r="Q4803" s="87" t="n"/>
      <c r="R4803" s="5" t="n"/>
      <c r="S4803" s="2" t="n"/>
      <c r="T4803" s="3" t="n"/>
      <c r="U4803" s="87" t="n"/>
      <c r="V4803" s="3" t="n"/>
      <c r="W4803" s="108" t="n"/>
      <c r="X4803" s="4" t="n"/>
    </row>
    <row r="4804" ht="24" customHeight="1">
      <c r="A4804" s="2">
        <f>+D4804-S4804</f>
        <v/>
      </c>
      <c r="B4804" s="126" t="n">
        <v>6390</v>
      </c>
      <c r="C4804" s="66" t="n"/>
      <c r="D4804" s="2" t="n"/>
      <c r="E4804" s="3" t="n"/>
      <c r="F4804" s="3" t="n"/>
      <c r="G4804" s="84" t="n"/>
      <c r="H4804" s="107" t="n"/>
      <c r="I4804" s="107" t="n"/>
      <c r="J4804" s="107" t="n"/>
      <c r="K4804" s="65" t="n"/>
      <c r="L4804" s="127" t="n"/>
      <c r="M4804" s="5" t="n"/>
      <c r="N4804" s="5" t="n"/>
      <c r="O4804" s="5">
        <f>+M4804+N4804</f>
        <v/>
      </c>
      <c r="P4804" s="4" t="n"/>
      <c r="Q4804" s="87" t="n"/>
      <c r="R4804" s="5" t="n"/>
      <c r="S4804" s="2" t="n"/>
      <c r="T4804" s="3" t="n"/>
      <c r="U4804" s="87" t="n"/>
      <c r="V4804" s="3" t="n"/>
      <c r="W4804" s="108" t="n"/>
      <c r="X4804" s="4" t="n"/>
    </row>
    <row r="4805" ht="24" customHeight="1">
      <c r="A4805" s="2">
        <f>+D4805-S4805</f>
        <v/>
      </c>
      <c r="B4805" s="126" t="n">
        <v>6391</v>
      </c>
      <c r="C4805" s="66" t="n"/>
      <c r="D4805" s="2" t="n"/>
      <c r="E4805" s="3" t="n"/>
      <c r="F4805" s="3" t="n"/>
      <c r="G4805" s="84" t="n"/>
      <c r="H4805" s="107" t="n"/>
      <c r="I4805" s="107" t="n"/>
      <c r="J4805" s="107" t="n"/>
      <c r="K4805" s="65" t="n"/>
      <c r="L4805" s="127" t="n"/>
      <c r="M4805" s="5" t="n"/>
      <c r="N4805" s="5" t="n"/>
      <c r="O4805" s="5">
        <f>+M4805+N4805</f>
        <v/>
      </c>
      <c r="P4805" s="4" t="n"/>
      <c r="Q4805" s="87" t="n"/>
      <c r="R4805" s="5" t="n"/>
      <c r="S4805" s="2" t="n"/>
      <c r="T4805" s="3" t="n"/>
      <c r="U4805" s="87" t="n"/>
      <c r="V4805" s="3" t="n"/>
      <c r="W4805" s="108" t="n"/>
      <c r="X4805" s="4" t="n"/>
    </row>
    <row r="4806" ht="24" customHeight="1">
      <c r="A4806" s="2">
        <f>+D4806-S4806</f>
        <v/>
      </c>
      <c r="B4806" s="126" t="n">
        <v>6392</v>
      </c>
      <c r="C4806" s="66" t="n"/>
      <c r="D4806" s="2" t="n"/>
      <c r="E4806" s="3" t="n"/>
      <c r="F4806" s="3" t="n"/>
      <c r="G4806" s="84" t="n"/>
      <c r="H4806" s="107" t="n"/>
      <c r="I4806" s="107" t="n"/>
      <c r="J4806" s="107" t="n"/>
      <c r="K4806" s="65" t="n"/>
      <c r="L4806" s="127" t="n"/>
      <c r="M4806" s="5" t="n"/>
      <c r="N4806" s="5" t="n"/>
      <c r="O4806" s="5">
        <f>+M4806+N4806</f>
        <v/>
      </c>
      <c r="P4806" s="4" t="n"/>
      <c r="Q4806" s="87" t="n"/>
      <c r="R4806" s="5" t="n"/>
      <c r="S4806" s="2" t="n"/>
      <c r="T4806" s="3" t="n"/>
      <c r="U4806" s="87" t="n"/>
      <c r="V4806" s="3" t="n"/>
      <c r="W4806" s="108" t="n"/>
      <c r="X4806" s="4" t="n"/>
    </row>
    <row r="4807" ht="24" customHeight="1">
      <c r="A4807" s="2">
        <f>+D4807-S4807</f>
        <v/>
      </c>
      <c r="B4807" s="126" t="n">
        <v>6393</v>
      </c>
      <c r="C4807" s="66" t="n"/>
      <c r="D4807" s="2" t="n"/>
      <c r="E4807" s="3" t="n"/>
      <c r="F4807" s="3" t="n"/>
      <c r="G4807" s="84" t="n"/>
      <c r="H4807" s="107" t="n"/>
      <c r="I4807" s="107" t="n"/>
      <c r="J4807" s="107" t="n"/>
      <c r="K4807" s="65" t="n"/>
      <c r="L4807" s="127" t="n"/>
      <c r="M4807" s="5" t="n"/>
      <c r="N4807" s="5" t="n"/>
      <c r="O4807" s="5">
        <f>+M4807+N4807</f>
        <v/>
      </c>
      <c r="P4807" s="4" t="n"/>
      <c r="Q4807" s="87" t="n"/>
      <c r="R4807" s="5" t="n"/>
      <c r="S4807" s="2" t="n"/>
      <c r="T4807" s="3" t="n"/>
      <c r="U4807" s="87" t="n"/>
      <c r="V4807" s="3" t="n"/>
      <c r="W4807" s="108" t="n"/>
      <c r="X4807" s="4" t="n"/>
    </row>
    <row r="4808" ht="24" customHeight="1">
      <c r="A4808" s="2">
        <f>+D4808-S4808</f>
        <v/>
      </c>
      <c r="B4808" s="126" t="n">
        <v>6394</v>
      </c>
      <c r="C4808" s="66" t="n"/>
      <c r="D4808" s="2" t="n"/>
      <c r="E4808" s="3" t="n"/>
      <c r="F4808" s="3" t="n"/>
      <c r="G4808" s="84" t="n"/>
      <c r="H4808" s="107" t="n"/>
      <c r="I4808" s="107" t="n"/>
      <c r="J4808" s="107" t="n"/>
      <c r="K4808" s="65" t="n"/>
      <c r="L4808" s="127" t="n"/>
      <c r="M4808" s="5" t="n"/>
      <c r="N4808" s="5" t="n"/>
      <c r="O4808" s="5">
        <f>+M4808+N4808</f>
        <v/>
      </c>
      <c r="P4808" s="4" t="n"/>
      <c r="Q4808" s="87" t="n"/>
      <c r="R4808" s="5" t="n"/>
      <c r="S4808" s="2" t="n"/>
      <c r="T4808" s="3" t="n"/>
      <c r="U4808" s="87" t="n"/>
      <c r="V4808" s="3" t="n"/>
      <c r="W4808" s="108" t="n"/>
      <c r="X4808" s="4" t="n"/>
    </row>
    <row r="4809" ht="24" customHeight="1">
      <c r="A4809" s="2">
        <f>+D4809-S4809</f>
        <v/>
      </c>
      <c r="B4809" s="126" t="n">
        <v>6395</v>
      </c>
      <c r="C4809" s="66" t="n"/>
      <c r="D4809" s="2" t="n"/>
      <c r="E4809" s="3" t="n"/>
      <c r="F4809" s="3" t="n"/>
      <c r="G4809" s="84" t="n"/>
      <c r="H4809" s="107" t="n"/>
      <c r="I4809" s="107" t="n"/>
      <c r="J4809" s="107" t="n"/>
      <c r="K4809" s="65" t="n"/>
      <c r="L4809" s="127" t="n"/>
      <c r="M4809" s="5" t="n"/>
      <c r="N4809" s="5" t="n"/>
      <c r="O4809" s="5">
        <f>+M4809+N4809</f>
        <v/>
      </c>
      <c r="P4809" s="4" t="n"/>
      <c r="Q4809" s="87" t="n"/>
      <c r="R4809" s="5" t="n"/>
      <c r="S4809" s="2" t="n"/>
      <c r="T4809" s="3" t="n"/>
      <c r="U4809" s="87" t="n"/>
      <c r="V4809" s="3" t="n"/>
      <c r="W4809" s="108" t="n"/>
      <c r="X4809" s="4" t="n"/>
    </row>
    <row r="4810" ht="24" customHeight="1">
      <c r="A4810" s="2">
        <f>+D4810-S4810</f>
        <v/>
      </c>
      <c r="B4810" s="126" t="n">
        <v>6396</v>
      </c>
      <c r="C4810" s="66" t="n"/>
      <c r="D4810" s="2" t="n"/>
      <c r="E4810" s="3" t="n"/>
      <c r="F4810" s="3" t="n"/>
      <c r="G4810" s="84" t="n"/>
      <c r="H4810" s="107" t="n"/>
      <c r="I4810" s="107" t="n"/>
      <c r="J4810" s="107" t="n"/>
      <c r="K4810" s="65" t="n"/>
      <c r="L4810" s="127" t="n"/>
      <c r="M4810" s="5" t="n"/>
      <c r="N4810" s="5" t="n"/>
      <c r="O4810" s="5">
        <f>+M4810+N4810</f>
        <v/>
      </c>
      <c r="P4810" s="4" t="n"/>
      <c r="Q4810" s="87" t="n"/>
      <c r="R4810" s="5" t="n"/>
      <c r="S4810" s="2" t="n"/>
      <c r="T4810" s="3" t="n"/>
      <c r="U4810" s="87" t="n"/>
      <c r="V4810" s="3" t="n"/>
      <c r="W4810" s="108" t="n"/>
      <c r="X4810" s="4" t="n"/>
    </row>
    <row r="4811" ht="24" customHeight="1">
      <c r="A4811" s="2">
        <f>+D4811-S4811</f>
        <v/>
      </c>
      <c r="B4811" s="126" t="n">
        <v>6397</v>
      </c>
      <c r="C4811" s="66" t="n"/>
      <c r="D4811" s="2" t="n"/>
      <c r="E4811" s="3" t="n"/>
      <c r="F4811" s="3" t="n"/>
      <c r="G4811" s="84" t="n"/>
      <c r="H4811" s="107" t="n"/>
      <c r="I4811" s="107" t="n"/>
      <c r="J4811" s="107" t="n"/>
      <c r="K4811" s="65" t="n"/>
      <c r="L4811" s="127" t="n"/>
      <c r="M4811" s="5" t="n"/>
      <c r="N4811" s="5" t="n"/>
      <c r="O4811" s="5">
        <f>+M4811+N4811</f>
        <v/>
      </c>
      <c r="P4811" s="4" t="n"/>
      <c r="Q4811" s="87" t="n"/>
      <c r="R4811" s="5" t="n"/>
      <c r="S4811" s="2" t="n"/>
      <c r="T4811" s="3" t="n"/>
      <c r="U4811" s="87" t="n"/>
      <c r="V4811" s="3" t="n"/>
      <c r="W4811" s="108" t="n"/>
      <c r="X4811" s="4" t="n"/>
    </row>
    <row r="4812" ht="24" customHeight="1">
      <c r="A4812" s="2">
        <f>+D4812-S4812</f>
        <v/>
      </c>
      <c r="B4812" s="126" t="n">
        <v>6398</v>
      </c>
      <c r="C4812" s="66" t="n"/>
      <c r="D4812" s="2" t="n"/>
      <c r="E4812" s="3" t="n"/>
      <c r="F4812" s="3" t="n"/>
      <c r="G4812" s="84" t="n"/>
      <c r="H4812" s="107" t="n"/>
      <c r="I4812" s="107" t="n"/>
      <c r="J4812" s="107" t="n"/>
      <c r="K4812" s="65" t="n"/>
      <c r="L4812" s="127" t="n"/>
      <c r="M4812" s="5" t="n"/>
      <c r="N4812" s="5" t="n"/>
      <c r="O4812" s="5">
        <f>+M4812+N4812</f>
        <v/>
      </c>
      <c r="P4812" s="4" t="n"/>
      <c r="Q4812" s="87" t="n"/>
      <c r="R4812" s="5" t="n"/>
      <c r="S4812" s="2" t="n"/>
      <c r="T4812" s="3" t="n"/>
      <c r="U4812" s="87" t="n"/>
      <c r="V4812" s="3" t="n"/>
      <c r="W4812" s="108" t="n"/>
      <c r="X4812" s="4" t="n"/>
    </row>
    <row r="4813" ht="24" customHeight="1">
      <c r="A4813" s="2">
        <f>+D4813-S4813</f>
        <v/>
      </c>
      <c r="B4813" s="126" t="n">
        <v>6399</v>
      </c>
      <c r="C4813" s="66" t="n"/>
      <c r="D4813" s="2" t="n"/>
      <c r="E4813" s="3" t="n"/>
      <c r="F4813" s="3" t="n"/>
      <c r="G4813" s="84" t="n"/>
      <c r="H4813" s="107" t="n"/>
      <c r="I4813" s="107" t="n"/>
      <c r="J4813" s="107" t="n"/>
      <c r="K4813" s="65" t="n"/>
      <c r="L4813" s="127" t="n"/>
      <c r="M4813" s="5" t="n"/>
      <c r="N4813" s="5" t="n"/>
      <c r="O4813" s="5">
        <f>+M4813+N4813</f>
        <v/>
      </c>
      <c r="P4813" s="4" t="n"/>
      <c r="Q4813" s="87" t="n"/>
      <c r="R4813" s="5" t="n"/>
      <c r="S4813" s="2" t="n"/>
      <c r="T4813" s="3" t="n"/>
      <c r="U4813" s="87" t="n"/>
      <c r="V4813" s="3" t="n"/>
      <c r="W4813" s="108" t="n"/>
      <c r="X4813" s="4" t="n"/>
    </row>
    <row r="4814" ht="24" customHeight="1">
      <c r="A4814" s="2">
        <f>+D4814-S4814</f>
        <v/>
      </c>
      <c r="B4814" s="126" t="n">
        <v>6400</v>
      </c>
      <c r="C4814" s="66" t="n"/>
      <c r="D4814" s="2" t="n"/>
      <c r="E4814" s="3" t="n"/>
      <c r="F4814" s="3" t="n"/>
      <c r="G4814" s="84" t="n"/>
      <c r="H4814" s="107" t="n"/>
      <c r="I4814" s="107" t="n"/>
      <c r="J4814" s="107" t="n"/>
      <c r="K4814" s="65" t="n"/>
      <c r="L4814" s="127" t="n"/>
      <c r="M4814" s="5" t="n"/>
      <c r="N4814" s="5" t="n"/>
      <c r="O4814" s="5">
        <f>+M4814+N4814</f>
        <v/>
      </c>
      <c r="P4814" s="4" t="n"/>
      <c r="Q4814" s="87" t="n"/>
      <c r="R4814" s="5" t="n"/>
      <c r="S4814" s="2" t="n"/>
      <c r="T4814" s="3" t="n"/>
      <c r="U4814" s="87" t="n"/>
      <c r="V4814" s="3" t="n"/>
      <c r="W4814" s="108" t="n"/>
      <c r="X4814" s="4" t="n"/>
    </row>
    <row r="4815" ht="24" customHeight="1">
      <c r="A4815" s="2">
        <f>+D4815-S4815</f>
        <v/>
      </c>
      <c r="B4815" s="126" t="n">
        <v>6401</v>
      </c>
      <c r="C4815" s="66" t="n"/>
      <c r="D4815" s="2" t="n"/>
      <c r="E4815" s="3" t="n"/>
      <c r="F4815" s="3" t="n"/>
      <c r="G4815" s="84" t="n"/>
      <c r="H4815" s="107" t="n"/>
      <c r="I4815" s="107" t="n"/>
      <c r="J4815" s="107" t="n"/>
      <c r="K4815" s="65" t="n"/>
      <c r="L4815" s="127" t="n"/>
      <c r="M4815" s="5" t="n"/>
      <c r="N4815" s="5" t="n"/>
      <c r="O4815" s="5">
        <f>+M4815+N4815</f>
        <v/>
      </c>
      <c r="P4815" s="4" t="n"/>
      <c r="Q4815" s="87" t="n"/>
      <c r="R4815" s="5" t="n"/>
      <c r="S4815" s="2" t="n"/>
      <c r="T4815" s="3" t="n"/>
      <c r="U4815" s="87" t="n"/>
      <c r="V4815" s="3" t="n"/>
      <c r="W4815" s="108" t="n"/>
      <c r="X4815" s="4" t="n"/>
    </row>
    <row r="4816" ht="24" customHeight="1">
      <c r="A4816" s="2">
        <f>+D4816-S4816</f>
        <v/>
      </c>
      <c r="B4816" s="126" t="n">
        <v>6402</v>
      </c>
      <c r="C4816" s="66" t="n"/>
      <c r="D4816" s="2" t="n"/>
      <c r="E4816" s="3" t="n"/>
      <c r="F4816" s="3" t="n"/>
      <c r="G4816" s="84" t="n"/>
      <c r="H4816" s="107" t="n"/>
      <c r="I4816" s="107" t="n"/>
      <c r="J4816" s="107" t="n"/>
      <c r="K4816" s="65" t="n"/>
      <c r="L4816" s="127" t="n"/>
      <c r="M4816" s="5" t="n"/>
      <c r="N4816" s="5" t="n"/>
      <c r="O4816" s="5">
        <f>+M4816+N4816</f>
        <v/>
      </c>
      <c r="P4816" s="4" t="n"/>
      <c r="Q4816" s="87" t="n"/>
      <c r="R4816" s="5" t="n"/>
      <c r="S4816" s="2" t="n"/>
      <c r="T4816" s="3" t="n"/>
      <c r="U4816" s="87" t="n"/>
      <c r="V4816" s="3" t="n"/>
      <c r="W4816" s="108" t="n"/>
      <c r="X4816" s="4" t="n"/>
    </row>
    <row r="4817" ht="24" customHeight="1">
      <c r="A4817" s="2">
        <f>+D4817-S4817</f>
        <v/>
      </c>
      <c r="B4817" s="126" t="n">
        <v>6403</v>
      </c>
      <c r="C4817" s="66" t="n"/>
      <c r="D4817" s="2" t="n"/>
      <c r="E4817" s="3" t="n"/>
      <c r="F4817" s="3" t="n"/>
      <c r="G4817" s="84" t="n"/>
      <c r="H4817" s="107" t="n"/>
      <c r="I4817" s="107" t="n"/>
      <c r="J4817" s="107" t="n"/>
      <c r="K4817" s="65" t="n"/>
      <c r="L4817" s="127" t="n"/>
      <c r="M4817" s="5" t="n"/>
      <c r="N4817" s="5" t="n"/>
      <c r="O4817" s="5">
        <f>+M4817+N4817</f>
        <v/>
      </c>
      <c r="P4817" s="4" t="n"/>
      <c r="Q4817" s="87" t="n"/>
      <c r="R4817" s="5" t="n"/>
      <c r="S4817" s="2" t="n"/>
      <c r="T4817" s="3" t="n"/>
      <c r="U4817" s="87" t="n"/>
      <c r="V4817" s="3" t="n"/>
      <c r="W4817" s="108" t="n"/>
      <c r="X4817" s="4" t="n"/>
    </row>
    <row r="4818" ht="24" customHeight="1">
      <c r="A4818" s="2">
        <f>+D4818-S4818</f>
        <v/>
      </c>
      <c r="B4818" s="126" t="n">
        <v>6404</v>
      </c>
      <c r="C4818" s="66" t="n"/>
      <c r="D4818" s="2" t="n"/>
      <c r="E4818" s="3" t="n"/>
      <c r="F4818" s="3" t="n"/>
      <c r="G4818" s="84" t="n"/>
      <c r="H4818" s="107" t="n"/>
      <c r="I4818" s="107" t="n"/>
      <c r="J4818" s="107" t="n"/>
      <c r="K4818" s="65" t="n"/>
      <c r="L4818" s="127" t="n"/>
      <c r="M4818" s="5" t="n"/>
      <c r="N4818" s="5" t="n"/>
      <c r="O4818" s="5">
        <f>+M4818+N4818</f>
        <v/>
      </c>
      <c r="P4818" s="4" t="n"/>
      <c r="Q4818" s="87" t="n"/>
      <c r="R4818" s="5" t="n"/>
      <c r="S4818" s="2" t="n"/>
      <c r="T4818" s="3" t="n"/>
      <c r="U4818" s="87" t="n"/>
      <c r="V4818" s="3" t="n"/>
      <c r="W4818" s="108" t="n"/>
      <c r="X4818" s="4" t="n"/>
    </row>
    <row r="4819" ht="24" customHeight="1">
      <c r="A4819" s="2">
        <f>+D4819-S4819</f>
        <v/>
      </c>
      <c r="B4819" s="126" t="n">
        <v>6405</v>
      </c>
      <c r="C4819" s="66" t="n"/>
      <c r="D4819" s="2" t="n"/>
      <c r="E4819" s="3" t="n"/>
      <c r="F4819" s="3" t="n"/>
      <c r="G4819" s="84" t="n"/>
      <c r="H4819" s="107" t="n"/>
      <c r="I4819" s="107" t="n"/>
      <c r="J4819" s="107" t="n"/>
      <c r="K4819" s="65" t="n"/>
      <c r="L4819" s="127" t="n"/>
      <c r="M4819" s="5" t="n"/>
      <c r="N4819" s="5" t="n"/>
      <c r="O4819" s="5">
        <f>+M4819+N4819</f>
        <v/>
      </c>
      <c r="P4819" s="4" t="n"/>
      <c r="Q4819" s="87" t="n"/>
      <c r="R4819" s="5" t="n"/>
      <c r="S4819" s="2" t="n"/>
      <c r="T4819" s="3" t="n"/>
      <c r="U4819" s="87" t="n"/>
      <c r="V4819" s="3" t="n"/>
      <c r="W4819" s="108" t="n"/>
      <c r="X4819" s="4" t="n"/>
    </row>
    <row r="4820" ht="24" customHeight="1">
      <c r="A4820" s="2">
        <f>+D4820-S4820</f>
        <v/>
      </c>
      <c r="B4820" s="126" t="n">
        <v>6406</v>
      </c>
      <c r="C4820" s="66" t="n"/>
      <c r="D4820" s="2" t="n"/>
      <c r="E4820" s="3" t="n"/>
      <c r="F4820" s="3" t="n"/>
      <c r="G4820" s="84" t="n"/>
      <c r="H4820" s="107" t="n"/>
      <c r="I4820" s="107" t="n"/>
      <c r="J4820" s="107" t="n"/>
      <c r="K4820" s="65" t="n"/>
      <c r="L4820" s="127" t="n"/>
      <c r="M4820" s="5" t="n"/>
      <c r="N4820" s="5" t="n"/>
      <c r="O4820" s="5">
        <f>+M4820+N4820</f>
        <v/>
      </c>
      <c r="P4820" s="4" t="n"/>
      <c r="Q4820" s="87" t="n"/>
      <c r="R4820" s="5" t="n"/>
      <c r="S4820" s="2" t="n"/>
      <c r="T4820" s="3" t="n"/>
      <c r="U4820" s="87" t="n"/>
      <c r="V4820" s="3" t="n"/>
      <c r="W4820" s="108" t="n"/>
      <c r="X4820" s="4" t="n"/>
    </row>
    <row r="4821" ht="24" customHeight="1">
      <c r="A4821" s="2">
        <f>+D4821-S4821</f>
        <v/>
      </c>
      <c r="B4821" s="126" t="n">
        <v>6407</v>
      </c>
      <c r="C4821" s="66" t="n"/>
      <c r="D4821" s="2" t="n"/>
      <c r="E4821" s="3" t="n"/>
      <c r="F4821" s="3" t="n"/>
      <c r="G4821" s="84" t="n"/>
      <c r="H4821" s="107" t="n"/>
      <c r="I4821" s="107" t="n"/>
      <c r="J4821" s="107" t="n"/>
      <c r="K4821" s="65" t="n"/>
      <c r="L4821" s="127" t="n"/>
      <c r="M4821" s="5" t="n"/>
      <c r="N4821" s="5" t="n"/>
      <c r="O4821" s="5">
        <f>+M4821+N4821</f>
        <v/>
      </c>
      <c r="P4821" s="4" t="n"/>
      <c r="Q4821" s="87" t="n"/>
      <c r="R4821" s="5" t="n"/>
      <c r="S4821" s="2" t="n"/>
      <c r="T4821" s="3" t="n"/>
      <c r="U4821" s="87" t="n"/>
      <c r="V4821" s="3" t="n"/>
      <c r="W4821" s="108" t="n"/>
      <c r="X4821" s="4" t="n"/>
    </row>
    <row r="4822" ht="24" customHeight="1">
      <c r="A4822" s="2">
        <f>+D4822-S4822</f>
        <v/>
      </c>
      <c r="B4822" s="126" t="n">
        <v>6408</v>
      </c>
      <c r="C4822" s="66" t="n"/>
      <c r="D4822" s="2" t="n"/>
      <c r="E4822" s="3" t="n"/>
      <c r="F4822" s="3" t="n"/>
      <c r="G4822" s="84" t="n"/>
      <c r="H4822" s="107" t="n"/>
      <c r="I4822" s="107" t="n"/>
      <c r="J4822" s="107" t="n"/>
      <c r="K4822" s="65" t="n"/>
      <c r="L4822" s="127" t="n"/>
      <c r="M4822" s="5" t="n"/>
      <c r="N4822" s="5" t="n"/>
      <c r="O4822" s="5">
        <f>+M4822+N4822</f>
        <v/>
      </c>
      <c r="P4822" s="4" t="n"/>
      <c r="Q4822" s="87" t="n"/>
      <c r="R4822" s="5" t="n"/>
      <c r="S4822" s="2" t="n"/>
      <c r="T4822" s="3" t="n"/>
      <c r="U4822" s="87" t="n"/>
      <c r="V4822" s="3" t="n"/>
      <c r="W4822" s="108" t="n"/>
      <c r="X4822" s="4" t="n"/>
    </row>
    <row r="4823" ht="24" customHeight="1">
      <c r="A4823" s="2">
        <f>+D4823-S4823</f>
        <v/>
      </c>
      <c r="B4823" s="126" t="n">
        <v>6409</v>
      </c>
      <c r="C4823" s="66" t="n"/>
      <c r="D4823" s="2" t="n"/>
      <c r="E4823" s="3" t="n"/>
      <c r="F4823" s="3" t="n"/>
      <c r="G4823" s="84" t="n"/>
      <c r="H4823" s="107" t="n"/>
      <c r="I4823" s="107" t="n"/>
      <c r="J4823" s="107" t="n"/>
      <c r="K4823" s="65" t="n"/>
      <c r="L4823" s="127" t="n"/>
      <c r="M4823" s="5" t="n"/>
      <c r="N4823" s="5" t="n"/>
      <c r="O4823" s="5">
        <f>+M4823+N4823</f>
        <v/>
      </c>
      <c r="P4823" s="4" t="n"/>
      <c r="Q4823" s="87" t="n"/>
      <c r="R4823" s="5" t="n"/>
      <c r="S4823" s="2" t="n"/>
      <c r="T4823" s="3" t="n"/>
      <c r="U4823" s="87" t="n"/>
      <c r="V4823" s="3" t="n"/>
      <c r="W4823" s="108" t="n"/>
      <c r="X4823" s="4" t="n"/>
    </row>
    <row r="4824" ht="24" customHeight="1">
      <c r="A4824" s="2">
        <f>+D4824-S4824</f>
        <v/>
      </c>
      <c r="B4824" s="126" t="n">
        <v>6410</v>
      </c>
      <c r="C4824" s="66" t="n"/>
      <c r="D4824" s="2" t="n"/>
      <c r="E4824" s="3" t="n"/>
      <c r="F4824" s="3" t="n"/>
      <c r="G4824" s="84" t="n"/>
      <c r="H4824" s="107" t="n"/>
      <c r="I4824" s="107" t="n"/>
      <c r="J4824" s="107" t="n"/>
      <c r="K4824" s="65" t="n"/>
      <c r="L4824" s="127" t="n"/>
      <c r="M4824" s="5" t="n"/>
      <c r="N4824" s="5" t="n"/>
      <c r="O4824" s="5">
        <f>+M4824+N4824</f>
        <v/>
      </c>
      <c r="P4824" s="4" t="n"/>
      <c r="Q4824" s="87" t="n"/>
      <c r="R4824" s="5" t="n"/>
      <c r="S4824" s="2" t="n"/>
      <c r="T4824" s="3" t="n"/>
      <c r="U4824" s="87" t="n"/>
      <c r="V4824" s="3" t="n"/>
      <c r="W4824" s="108" t="n"/>
      <c r="X4824" s="4" t="n"/>
    </row>
    <row r="4825" ht="24" customHeight="1">
      <c r="A4825" s="2">
        <f>+D4825-S4825</f>
        <v/>
      </c>
      <c r="B4825" s="126" t="n">
        <v>6411</v>
      </c>
      <c r="C4825" s="66" t="n"/>
      <c r="D4825" s="2" t="n"/>
      <c r="E4825" s="3" t="n"/>
      <c r="F4825" s="3" t="n"/>
      <c r="G4825" s="84" t="n"/>
      <c r="H4825" s="107" t="n"/>
      <c r="I4825" s="107" t="n"/>
      <c r="J4825" s="107" t="n"/>
      <c r="K4825" s="65" t="n"/>
      <c r="L4825" s="127" t="n"/>
      <c r="M4825" s="5" t="n"/>
      <c r="N4825" s="5" t="n"/>
      <c r="O4825" s="5">
        <f>+M4825+N4825</f>
        <v/>
      </c>
      <c r="P4825" s="4" t="n"/>
      <c r="Q4825" s="87" t="n"/>
      <c r="R4825" s="5" t="n"/>
      <c r="S4825" s="2" t="n"/>
      <c r="T4825" s="3" t="n"/>
      <c r="U4825" s="87" t="n"/>
      <c r="V4825" s="3" t="n"/>
      <c r="W4825" s="108" t="n"/>
      <c r="X4825" s="4" t="n"/>
    </row>
    <row r="4826" ht="24" customHeight="1">
      <c r="A4826" s="2">
        <f>+D4826-S4826</f>
        <v/>
      </c>
      <c r="B4826" s="126" t="n">
        <v>6412</v>
      </c>
      <c r="C4826" s="66" t="n"/>
      <c r="D4826" s="2" t="n"/>
      <c r="E4826" s="3" t="n"/>
      <c r="F4826" s="3" t="n"/>
      <c r="G4826" s="84" t="n"/>
      <c r="H4826" s="107" t="n"/>
      <c r="I4826" s="107" t="n"/>
      <c r="J4826" s="107" t="n"/>
      <c r="K4826" s="65" t="n"/>
      <c r="L4826" s="127" t="n"/>
      <c r="M4826" s="5" t="n"/>
      <c r="N4826" s="5" t="n"/>
      <c r="O4826" s="5">
        <f>+M4826+N4826</f>
        <v/>
      </c>
      <c r="P4826" s="4" t="n"/>
      <c r="Q4826" s="87" t="n"/>
      <c r="R4826" s="5" t="n"/>
      <c r="S4826" s="2" t="n"/>
      <c r="T4826" s="3" t="n"/>
      <c r="U4826" s="87" t="n"/>
      <c r="V4826" s="3" t="n"/>
      <c r="W4826" s="108" t="n"/>
      <c r="X4826" s="4" t="n"/>
    </row>
    <row r="4827" ht="24" customHeight="1">
      <c r="A4827" s="2">
        <f>+D4827-S4827</f>
        <v/>
      </c>
      <c r="B4827" s="126" t="n">
        <v>6413</v>
      </c>
      <c r="C4827" s="66" t="n"/>
      <c r="D4827" s="2" t="n"/>
      <c r="E4827" s="3" t="n"/>
      <c r="F4827" s="3" t="n"/>
      <c r="G4827" s="84" t="n"/>
      <c r="H4827" s="107" t="n"/>
      <c r="I4827" s="107" t="n"/>
      <c r="J4827" s="107" t="n"/>
      <c r="K4827" s="65" t="n"/>
      <c r="L4827" s="127" t="n"/>
      <c r="M4827" s="5" t="n"/>
      <c r="N4827" s="5" t="n"/>
      <c r="O4827" s="5">
        <f>+M4827+N4827</f>
        <v/>
      </c>
      <c r="P4827" s="4" t="n"/>
      <c r="Q4827" s="87" t="n"/>
      <c r="R4827" s="5" t="n"/>
      <c r="S4827" s="2" t="n"/>
      <c r="T4827" s="3" t="n"/>
      <c r="U4827" s="87" t="n"/>
      <c r="V4827" s="3" t="n"/>
      <c r="W4827" s="108" t="n"/>
      <c r="X4827" s="4" t="n"/>
    </row>
    <row r="4828" ht="24" customHeight="1">
      <c r="A4828" s="2">
        <f>+D4828-S4828</f>
        <v/>
      </c>
      <c r="B4828" s="126" t="n">
        <v>6414</v>
      </c>
      <c r="C4828" s="66" t="n"/>
      <c r="D4828" s="2" t="n"/>
      <c r="E4828" s="3" t="n"/>
      <c r="F4828" s="3" t="n"/>
      <c r="G4828" s="84" t="n"/>
      <c r="H4828" s="107" t="n"/>
      <c r="I4828" s="107" t="n"/>
      <c r="J4828" s="107" t="n"/>
      <c r="K4828" s="65" t="n"/>
      <c r="L4828" s="127" t="n"/>
      <c r="M4828" s="5" t="n"/>
      <c r="N4828" s="5" t="n"/>
      <c r="O4828" s="5">
        <f>+M4828+N4828</f>
        <v/>
      </c>
      <c r="P4828" s="4" t="n"/>
      <c r="Q4828" s="87" t="n"/>
      <c r="R4828" s="5" t="n"/>
      <c r="S4828" s="2" t="n"/>
      <c r="T4828" s="3" t="n"/>
      <c r="U4828" s="87" t="n"/>
      <c r="V4828" s="3" t="n"/>
      <c r="W4828" s="108" t="n"/>
      <c r="X4828" s="4" t="n"/>
    </row>
    <row r="4829" ht="24" customHeight="1">
      <c r="A4829" s="2">
        <f>+D4829-S4829</f>
        <v/>
      </c>
      <c r="B4829" s="126" t="n">
        <v>6415</v>
      </c>
      <c r="C4829" s="66" t="n"/>
      <c r="D4829" s="2" t="n"/>
      <c r="E4829" s="3" t="n"/>
      <c r="F4829" s="3" t="n"/>
      <c r="G4829" s="84" t="n"/>
      <c r="H4829" s="107" t="n"/>
      <c r="I4829" s="107" t="n"/>
      <c r="J4829" s="107" t="n"/>
      <c r="K4829" s="65" t="n"/>
      <c r="L4829" s="127" t="n"/>
      <c r="M4829" s="5" t="n"/>
      <c r="N4829" s="5" t="n"/>
      <c r="O4829" s="5">
        <f>+M4829+N4829</f>
        <v/>
      </c>
      <c r="P4829" s="4" t="n"/>
      <c r="Q4829" s="87" t="n"/>
      <c r="R4829" s="5" t="n"/>
      <c r="S4829" s="2" t="n"/>
      <c r="T4829" s="3" t="n"/>
      <c r="U4829" s="87" t="n"/>
      <c r="V4829" s="3" t="n"/>
      <c r="W4829" s="108" t="n"/>
      <c r="X4829" s="4" t="n"/>
    </row>
    <row r="4830" ht="24" customHeight="1">
      <c r="A4830" s="2">
        <f>+D4830-S4830</f>
        <v/>
      </c>
      <c r="B4830" s="126" t="n">
        <v>6416</v>
      </c>
      <c r="C4830" s="66" t="n"/>
      <c r="D4830" s="2" t="n"/>
      <c r="E4830" s="3" t="n"/>
      <c r="F4830" s="3" t="n"/>
      <c r="G4830" s="84" t="n"/>
      <c r="H4830" s="107" t="n"/>
      <c r="I4830" s="107" t="n"/>
      <c r="J4830" s="107" t="n"/>
      <c r="K4830" s="65" t="n"/>
      <c r="L4830" s="127" t="n"/>
      <c r="M4830" s="5" t="n"/>
      <c r="N4830" s="5" t="n"/>
      <c r="O4830" s="5">
        <f>+M4830+N4830</f>
        <v/>
      </c>
      <c r="P4830" s="4" t="n"/>
      <c r="Q4830" s="87" t="n"/>
      <c r="R4830" s="5" t="n"/>
      <c r="S4830" s="2" t="n"/>
      <c r="T4830" s="3" t="n"/>
      <c r="U4830" s="87" t="n"/>
      <c r="V4830" s="3" t="n"/>
      <c r="W4830" s="108" t="n"/>
      <c r="X4830" s="4" t="n"/>
    </row>
    <row r="4831" ht="24" customHeight="1">
      <c r="A4831" s="2">
        <f>+D4831-S4831</f>
        <v/>
      </c>
      <c r="B4831" s="126" t="n">
        <v>6417</v>
      </c>
      <c r="C4831" s="66" t="n"/>
      <c r="D4831" s="2" t="n"/>
      <c r="E4831" s="3" t="n"/>
      <c r="F4831" s="3" t="n"/>
      <c r="G4831" s="84" t="n"/>
      <c r="H4831" s="107" t="n"/>
      <c r="I4831" s="107" t="n"/>
      <c r="J4831" s="107" t="n"/>
      <c r="K4831" s="65" t="n"/>
      <c r="L4831" s="127" t="n"/>
      <c r="M4831" s="5" t="n"/>
      <c r="N4831" s="5" t="n"/>
      <c r="O4831" s="5">
        <f>+M4831+N4831</f>
        <v/>
      </c>
      <c r="P4831" s="4" t="n"/>
      <c r="Q4831" s="87" t="n"/>
      <c r="R4831" s="5" t="n"/>
      <c r="S4831" s="2" t="n"/>
      <c r="T4831" s="3" t="n"/>
      <c r="U4831" s="87" t="n"/>
      <c r="V4831" s="3" t="n"/>
      <c r="W4831" s="108" t="n"/>
      <c r="X4831" s="4" t="n"/>
    </row>
    <row r="4832" ht="24" customHeight="1">
      <c r="A4832" s="2">
        <f>+D4832-S4832</f>
        <v/>
      </c>
      <c r="B4832" s="126" t="n">
        <v>6418</v>
      </c>
      <c r="C4832" s="66" t="n"/>
      <c r="D4832" s="2" t="n"/>
      <c r="E4832" s="3" t="n"/>
      <c r="F4832" s="3" t="n"/>
      <c r="G4832" s="84" t="n"/>
      <c r="H4832" s="107" t="n"/>
      <c r="I4832" s="107" t="n"/>
      <c r="J4832" s="107" t="n"/>
      <c r="K4832" s="65" t="n"/>
      <c r="L4832" s="127" t="n"/>
      <c r="M4832" s="5" t="n"/>
      <c r="N4832" s="5" t="n"/>
      <c r="O4832" s="5">
        <f>+M4832+N4832</f>
        <v/>
      </c>
      <c r="P4832" s="4" t="n"/>
      <c r="Q4832" s="87" t="n"/>
      <c r="R4832" s="5" t="n"/>
      <c r="S4832" s="2" t="n"/>
      <c r="T4832" s="3" t="n"/>
      <c r="U4832" s="87" t="n"/>
      <c r="V4832" s="3" t="n"/>
      <c r="W4832" s="108" t="n"/>
      <c r="X4832" s="4" t="n"/>
    </row>
    <row r="4833" ht="24" customHeight="1">
      <c r="A4833" s="2">
        <f>+D4833-S4833</f>
        <v/>
      </c>
      <c r="B4833" s="126" t="n">
        <v>6419</v>
      </c>
      <c r="C4833" s="66" t="n"/>
      <c r="D4833" s="2" t="n"/>
      <c r="E4833" s="3" t="n"/>
      <c r="F4833" s="3" t="n"/>
      <c r="G4833" s="84" t="n"/>
      <c r="H4833" s="107" t="n"/>
      <c r="I4833" s="107" t="n"/>
      <c r="J4833" s="107" t="n"/>
      <c r="K4833" s="65" t="n"/>
      <c r="L4833" s="127" t="n"/>
      <c r="M4833" s="5" t="n"/>
      <c r="N4833" s="5" t="n"/>
      <c r="O4833" s="5">
        <f>+M4833+N4833</f>
        <v/>
      </c>
      <c r="P4833" s="4" t="n"/>
      <c r="Q4833" s="87" t="n"/>
      <c r="R4833" s="5" t="n"/>
      <c r="S4833" s="2" t="n"/>
      <c r="T4833" s="3" t="n"/>
      <c r="U4833" s="87" t="n"/>
      <c r="V4833" s="3" t="n"/>
      <c r="W4833" s="108" t="n"/>
      <c r="X4833" s="4" t="n"/>
    </row>
    <row r="4834" ht="24" customHeight="1">
      <c r="A4834" s="2">
        <f>+D4834-S4834</f>
        <v/>
      </c>
      <c r="B4834" s="126" t="n">
        <v>6420</v>
      </c>
      <c r="C4834" s="66" t="n"/>
      <c r="D4834" s="2" t="n"/>
      <c r="E4834" s="3" t="n"/>
      <c r="F4834" s="3" t="n"/>
      <c r="G4834" s="84" t="n"/>
      <c r="H4834" s="107" t="n"/>
      <c r="I4834" s="107" t="n"/>
      <c r="J4834" s="107" t="n"/>
      <c r="K4834" s="65" t="n"/>
      <c r="L4834" s="127" t="n"/>
      <c r="M4834" s="5" t="n"/>
      <c r="N4834" s="5" t="n"/>
      <c r="O4834" s="5">
        <f>+M4834+N4834</f>
        <v/>
      </c>
      <c r="P4834" s="4" t="n"/>
      <c r="Q4834" s="87" t="n"/>
      <c r="R4834" s="5" t="n"/>
      <c r="S4834" s="2" t="n"/>
      <c r="T4834" s="3" t="n"/>
      <c r="U4834" s="87" t="n"/>
      <c r="V4834" s="3" t="n"/>
      <c r="W4834" s="108" t="n"/>
      <c r="X4834" s="4" t="n"/>
    </row>
    <row r="4835" ht="24" customHeight="1">
      <c r="A4835" s="2">
        <f>+D4835-S4835</f>
        <v/>
      </c>
      <c r="B4835" s="126" t="n">
        <v>6421</v>
      </c>
      <c r="C4835" s="66" t="n"/>
      <c r="D4835" s="2" t="n"/>
      <c r="E4835" s="3" t="n"/>
      <c r="F4835" s="3" t="n"/>
      <c r="G4835" s="84" t="n"/>
      <c r="H4835" s="107" t="n"/>
      <c r="I4835" s="107" t="n"/>
      <c r="J4835" s="107" t="n"/>
      <c r="K4835" s="65" t="n"/>
      <c r="L4835" s="127" t="n"/>
      <c r="M4835" s="5" t="n"/>
      <c r="N4835" s="5" t="n"/>
      <c r="O4835" s="5">
        <f>+M4835+N4835</f>
        <v/>
      </c>
      <c r="P4835" s="4" t="n"/>
      <c r="Q4835" s="87" t="n"/>
      <c r="R4835" s="5" t="n"/>
      <c r="S4835" s="2" t="n"/>
      <c r="T4835" s="3" t="n"/>
      <c r="U4835" s="87" t="n"/>
      <c r="V4835" s="3" t="n"/>
      <c r="W4835" s="108" t="n"/>
      <c r="X4835" s="4" t="n"/>
    </row>
    <row r="4836" ht="24" customHeight="1">
      <c r="A4836" s="2">
        <f>+D4836-S4836</f>
        <v/>
      </c>
      <c r="B4836" s="126" t="n">
        <v>6422</v>
      </c>
      <c r="C4836" s="66" t="n"/>
      <c r="D4836" s="2" t="n"/>
      <c r="E4836" s="3" t="n"/>
      <c r="F4836" s="3" t="n"/>
      <c r="G4836" s="84" t="n"/>
      <c r="H4836" s="131" t="n"/>
      <c r="I4836" s="15" t="n"/>
      <c r="J4836" s="15" t="n"/>
      <c r="K4836" s="65" t="n"/>
      <c r="L4836" s="127" t="n"/>
      <c r="M4836" s="5" t="n"/>
      <c r="N4836" s="5" t="n"/>
      <c r="O4836" s="5">
        <f>+M4836+N4836</f>
        <v/>
      </c>
      <c r="P4836" s="4" t="n"/>
      <c r="Q4836" s="87" t="n"/>
      <c r="R4836" s="5" t="n"/>
      <c r="S4836" s="2" t="n"/>
      <c r="T4836" s="3" t="n"/>
      <c r="U4836" s="87" t="n"/>
      <c r="V4836" s="3" t="n"/>
      <c r="W4836" s="108" t="n"/>
      <c r="X4836" s="4" t="n"/>
    </row>
    <row r="4837" ht="24" customHeight="1">
      <c r="A4837" s="2">
        <f>+D4837-S4837</f>
        <v/>
      </c>
      <c r="B4837" s="126" t="n">
        <v>6423</v>
      </c>
      <c r="C4837" s="66" t="n"/>
      <c r="D4837" s="2" t="n"/>
      <c r="E4837" s="3" t="n"/>
      <c r="F4837" s="3" t="n"/>
      <c r="G4837" s="15" t="n"/>
      <c r="H4837" s="131" t="n"/>
      <c r="I4837" s="15" t="n"/>
      <c r="J4837" s="15" t="n"/>
      <c r="K4837" s="65" t="n"/>
      <c r="L4837" s="127" t="n"/>
      <c r="M4837" s="5" t="n"/>
      <c r="N4837" s="5" t="n"/>
      <c r="O4837" s="5">
        <f>+M4837+N4837</f>
        <v/>
      </c>
      <c r="P4837" s="4" t="n"/>
      <c r="Q4837" s="87" t="n"/>
      <c r="R4837" s="5" t="n"/>
      <c r="S4837" s="2" t="n"/>
      <c r="T4837" s="3" t="n"/>
      <c r="U4837" s="87" t="n"/>
      <c r="V4837" s="3" t="n"/>
      <c r="W4837" s="108" t="n"/>
      <c r="X4837" s="4" t="n"/>
    </row>
    <row r="4838">
      <c r="A4838" s="2">
        <f>+D4838-S4838</f>
        <v/>
      </c>
      <c r="B4838" s="126" t="n">
        <v>6424</v>
      </c>
      <c r="C4838" s="123" t="n"/>
      <c r="D4838" s="2" t="n"/>
      <c r="E4838" s="3" t="n"/>
      <c r="F4838" s="3" t="n"/>
      <c r="G4838" s="15" t="n"/>
      <c r="H4838" s="132" t="n"/>
      <c r="I4838" s="1" t="n"/>
      <c r="J4838" s="1" t="n"/>
      <c r="K4838" s="65" t="n"/>
      <c r="L4838" s="127" t="n"/>
      <c r="M4838" s="5" t="n"/>
      <c r="N4838" s="5" t="n"/>
      <c r="O4838" s="5">
        <f>+M4838+N4838</f>
        <v/>
      </c>
      <c r="P4838" s="4" t="n"/>
      <c r="Q4838" s="87" t="n"/>
      <c r="R4838" s="5" t="n"/>
      <c r="S4838" s="2" t="n"/>
      <c r="T4838" s="3" t="n"/>
      <c r="U4838" s="87" t="n"/>
      <c r="V4838" s="3" t="n"/>
      <c r="W4838" s="108" t="n"/>
      <c r="X4838" s="4" t="n"/>
    </row>
    <row r="4839" ht="15" customHeight="1">
      <c r="C4839" s="137" t="n"/>
      <c r="D4839" s="2" t="n"/>
      <c r="G4839" s="1" t="n"/>
      <c r="H4839" s="133" t="n"/>
      <c r="I4839" s="174" t="n"/>
      <c r="J4839" s="174" t="n"/>
      <c r="K4839" s="125" t="n"/>
      <c r="L4839" s="129" t="n"/>
      <c r="P4839" s="137" t="n"/>
      <c r="Q4839" s="137" t="n"/>
    </row>
    <row r="4840" customFormat="1" s="174">
      <c r="A4840" s="10" t="n"/>
      <c r="B4840" s="81" t="n"/>
      <c r="C4840" s="68" t="n"/>
      <c r="D4840" s="10" t="n"/>
      <c r="E4840" s="16" t="n"/>
      <c r="F4840" s="11" t="n"/>
      <c r="H4840" s="103" t="n"/>
      <c r="I4840" s="103" t="n"/>
      <c r="J4840" s="103" t="n"/>
      <c r="K4840" s="125" t="n"/>
      <c r="L4840" s="129" t="n"/>
      <c r="M4840" s="9" t="n"/>
      <c r="N4840" s="9" t="n"/>
      <c r="O4840" s="9" t="n"/>
      <c r="P4840" s="12" t="n"/>
      <c r="Q4840" s="94" t="n"/>
      <c r="R4840" s="14" t="n"/>
      <c r="S4840" s="6" t="n"/>
      <c r="T4840" s="11" t="n"/>
      <c r="U4840" s="94" t="n"/>
      <c r="V4840" s="11" t="n"/>
      <c r="W4840" s="112" t="n"/>
    </row>
    <row r="4841" ht="15" customHeight="1">
      <c r="A4841" s="58" t="n"/>
      <c r="C4841" s="137" t="n"/>
      <c r="D4841" s="58" t="n"/>
      <c r="K4841" s="125" t="n"/>
      <c r="L4841" s="129" t="n"/>
      <c r="P4841" s="137" t="n"/>
      <c r="Q4841" s="137" t="n"/>
    </row>
    <row r="4842" ht="15" customHeight="1">
      <c r="C4842" s="137" t="n"/>
      <c r="K4842" s="125" t="n"/>
      <c r="L4842" s="129" t="n"/>
      <c r="M4842" s="14" t="n"/>
      <c r="N4842" s="14" t="n"/>
      <c r="O4842" s="14" t="n"/>
      <c r="P4842" s="137" t="n"/>
      <c r="Q4842" s="137" t="n"/>
    </row>
    <row r="4843" ht="15" customHeight="1">
      <c r="C4843" s="137" t="n"/>
      <c r="K4843" s="125" t="n"/>
      <c r="L4843" s="129" t="n"/>
      <c r="M4843" s="58" t="n"/>
      <c r="P4843" s="137" t="n"/>
      <c r="Q4843" s="137" t="n"/>
    </row>
    <row r="4844" ht="15" customHeight="1">
      <c r="C4844" s="137" t="n"/>
      <c r="L4844" s="129" t="n"/>
      <c r="P4844" s="137" t="n"/>
      <c r="Q4844" s="137" t="n"/>
    </row>
    <row r="4845" ht="15" customHeight="1">
      <c r="C4845" s="137" t="n"/>
      <c r="L4845" s="129" t="n"/>
      <c r="M4845" s="59" t="n"/>
      <c r="P4845" s="137" t="n"/>
      <c r="Q4845" s="137" t="n"/>
    </row>
    <row r="4846" ht="15" customHeight="1">
      <c r="C4846" s="137" t="n"/>
      <c r="L4846" s="129" t="n"/>
      <c r="P4846" s="137" t="n"/>
      <c r="Q4846" s="137" t="n"/>
    </row>
    <row r="4847" ht="15" customHeight="1">
      <c r="C4847" s="137" t="n"/>
      <c r="L4847" s="129" t="n"/>
      <c r="P4847" s="137" t="n"/>
      <c r="Q4847" s="137" t="n"/>
    </row>
    <row r="4848" ht="15" customHeight="1">
      <c r="C4848" s="137" t="n"/>
      <c r="L4848" s="129" t="n"/>
      <c r="P4848" s="137" t="n"/>
      <c r="Q4848" s="137" t="n"/>
    </row>
    <row r="4849">
      <c r="L4849" s="129" t="n"/>
    </row>
    <row r="4850">
      <c r="L4850" s="129" t="n"/>
    </row>
    <row r="4851">
      <c r="E4851" s="3" t="n"/>
      <c r="L4851" s="129" t="n"/>
      <c r="M4851" s="28">
        <f>+SUMIFS(M$2:M$4839,$A$2:$A$4839,"&gt;0",$E$2:$E$4839,$E4851)</f>
        <v/>
      </c>
    </row>
    <row r="4852" ht="24" customHeight="1">
      <c r="E4852" s="3" t="inlineStr">
        <is>
          <t>ACCESSORI</t>
        </is>
      </c>
      <c r="L4852" s="129" t="n"/>
      <c r="M4852" s="28">
        <f>+SUMIFS(M$2:M$4839,$A$2:$A$4839,"&gt;0",$E$2:$E$4839,$E4852)</f>
        <v/>
      </c>
    </row>
    <row r="4853" ht="24" customHeight="1">
      <c r="E4853" s="3" t="inlineStr">
        <is>
          <t>CANNA PER CARABINA</t>
        </is>
      </c>
      <c r="L4853" s="129" t="n"/>
      <c r="M4853" s="28">
        <f>+SUMIFS(M$2:M$4839,$A$2:$A$4839,"&gt;0",$E$2:$E$4839,$E4853)</f>
        <v/>
      </c>
    </row>
    <row r="4854" ht="24" customHeight="1">
      <c r="E4854" s="3" t="inlineStr">
        <is>
          <t>CANNA PER FUCILE DOPPIETTA</t>
        </is>
      </c>
      <c r="L4854" s="129" t="n"/>
      <c r="M4854" s="28">
        <f>+SUMIFS(M$2:M$4839,$A$2:$A$4839,"&gt;0",$E$2:$E$4839,$E4854)</f>
        <v/>
      </c>
    </row>
    <row r="4855" ht="24" customHeight="1">
      <c r="E4855" s="3" t="inlineStr">
        <is>
          <t>CANNA PER FUCILE MONOCANNA</t>
        </is>
      </c>
      <c r="L4855" s="129" t="n"/>
      <c r="M4855" s="28">
        <f>+SUMIFS(M$2:M$4839,$A$2:$A$4839,"&gt;0",$E$2:$E$4839,$E4855)</f>
        <v/>
      </c>
    </row>
    <row r="4856" ht="24" customHeight="1">
      <c r="E4856" s="3" t="inlineStr">
        <is>
          <t>CANNA PER FUCILE SEMIAUTOMATICO</t>
        </is>
      </c>
      <c r="L4856" s="129" t="n"/>
      <c r="M4856" s="28">
        <f>+SUMIFS(M$2:M$4839,$A$2:$A$4839,"&gt;0",$E$2:$E$4839,$E4856)</f>
        <v/>
      </c>
    </row>
    <row r="4857" ht="24" customHeight="1">
      <c r="E4857" s="3" t="inlineStr">
        <is>
          <t>CANNA PER FUCILE SOVRAPPOSTO</t>
        </is>
      </c>
      <c r="L4857" s="129" t="n"/>
      <c r="M4857" s="28">
        <f>+SUMIFS(M$2:M$4839,$A$2:$A$4839,"&gt;0",$E$2:$E$4839,$E4857)</f>
        <v/>
      </c>
    </row>
    <row r="4858" ht="24" customHeight="1">
      <c r="E4858" s="3" t="inlineStr">
        <is>
          <t>CANNA PER PISTOLA</t>
        </is>
      </c>
      <c r="L4858" s="129" t="n"/>
      <c r="M4858" s="28">
        <f>+SUMIFS(M$2:M$4839,$A$2:$A$4839,"&gt;0",$E$2:$E$4839,$E4858)</f>
        <v/>
      </c>
    </row>
    <row r="4859" ht="24" customHeight="1">
      <c r="E4859" s="3" t="inlineStr">
        <is>
          <t>CARABINA</t>
        </is>
      </c>
      <c r="L4859" s="129" t="n"/>
      <c r="M4859" s="28">
        <f>+SUMIFS(M$2:M$4839,$A$2:$A$4839,"&gt;0",$E$2:$E$4839,$E4859)</f>
        <v/>
      </c>
    </row>
    <row r="4860" ht="24" customHeight="1">
      <c r="E4860" s="3" t="inlineStr">
        <is>
          <t>CARABINA AD ARIA COMPRESSA</t>
        </is>
      </c>
      <c r="L4860" s="129" t="n"/>
      <c r="M4860" s="28">
        <f>+SUMIFS(M$2:M$4839,$A$2:$A$4839,"&gt;0",$E$2:$E$4839,$E4860)</f>
        <v/>
      </c>
    </row>
    <row r="4861" ht="24" customHeight="1">
      <c r="E4861" s="3" t="inlineStr">
        <is>
          <t>CARABINA AD ARIA COMPRESSA PCP</t>
        </is>
      </c>
      <c r="L4861" s="129" t="n"/>
      <c r="M4861" s="28">
        <f>+SUMIFS(M$2:M$4839,$A$2:$A$4839,"&gt;0",$E$2:$E$4839,$E4861)</f>
        <v/>
      </c>
    </row>
    <row r="4862" ht="24" customHeight="1">
      <c r="E4862" s="3" t="inlineStr">
        <is>
          <t>FUCILE A POMPA</t>
        </is>
      </c>
      <c r="L4862" s="129" t="n"/>
      <c r="M4862" s="28">
        <f>+SUMIFS(M$2:M$4839,$A$2:$A$4839,"&gt;0",$E$2:$E$4839,$E4862)</f>
        <v/>
      </c>
    </row>
    <row r="4863" ht="24" customHeight="1">
      <c r="E4863" s="3" t="inlineStr">
        <is>
          <t>FUCILE AVANCARICA</t>
        </is>
      </c>
      <c r="L4863" s="129" t="n"/>
      <c r="M4863" s="28">
        <f>+SUMIFS(M$2:M$4839,$A$2:$A$4839,"&gt;0",$E$2:$E$4839,$E4863)</f>
        <v/>
      </c>
    </row>
    <row r="4864" ht="24" customHeight="1">
      <c r="E4864" s="3" t="inlineStr">
        <is>
          <t>FUCILE DOPPIETTA</t>
        </is>
      </c>
      <c r="L4864" s="129" t="n"/>
      <c r="M4864" s="28">
        <f>+SUMIFS(M$2:M$4839,$A$2:$A$4839,"&gt;0",$E$2:$E$4839,$E4864)</f>
        <v/>
      </c>
    </row>
    <row r="4865" ht="24" customHeight="1">
      <c r="E4865" s="3" t="inlineStr">
        <is>
          <t>FUCILE DOPPIETTA AVANCARICA</t>
        </is>
      </c>
      <c r="L4865" s="129" t="n"/>
      <c r="M4865" s="28">
        <f>+SUMIFS(M$2:M$4839,$A$2:$A$4839,"&gt;0",$E$2:$E$4839,$E4865)</f>
        <v/>
      </c>
    </row>
    <row r="4866" ht="24" customHeight="1">
      <c r="E4866" s="3" t="inlineStr">
        <is>
          <t>FUCILE MONOCANNA</t>
        </is>
      </c>
      <c r="L4866" s="129" t="n"/>
      <c r="M4866" s="28">
        <f>+SUMIFS(M$2:M$4839,$A$2:$A$4839,"&gt;0",$E$2:$E$4839,$E4866)</f>
        <v/>
      </c>
    </row>
    <row r="4867" ht="24" customHeight="1">
      <c r="E4867" s="3" t="inlineStr">
        <is>
          <t>FUCILE SEMIAUTOMATICO</t>
        </is>
      </c>
      <c r="L4867" s="129" t="n"/>
      <c r="M4867" s="28">
        <f>+SUMIFS(M$2:M$4839,$A$2:$A$4839,"&gt;0",$E$2:$E$4839,$E4867)</f>
        <v/>
      </c>
    </row>
    <row r="4868" ht="24" customHeight="1">
      <c r="E4868" s="3" t="inlineStr">
        <is>
          <t>FUCILE SOVRAPPOSTO</t>
        </is>
      </c>
      <c r="L4868" s="129" t="n"/>
      <c r="M4868" s="28">
        <f>+SUMIFS(M$2:M$4839,$A$2:$A$4839,"&gt;0",$E$2:$E$4839,$E4868)</f>
        <v/>
      </c>
    </row>
    <row r="4869" ht="24" customHeight="1">
      <c r="E4869" s="3" t="inlineStr">
        <is>
          <t>PISTOLA AVANCARICA</t>
        </is>
      </c>
      <c r="L4869" s="129" t="n"/>
      <c r="M4869" s="28">
        <f>+SUMIFS(M$2:M$4839,$A$2:$A$4839,"&gt;0",$E$2:$E$4839,$E4869)</f>
        <v/>
      </c>
    </row>
    <row r="4870" ht="24" customHeight="1">
      <c r="E4870" s="3" t="inlineStr">
        <is>
          <t>PISTOLA SEMIAUTOMATICA</t>
        </is>
      </c>
      <c r="L4870" s="129" t="n"/>
      <c r="M4870" s="28">
        <f>+SUMIFS(M$2:M$4839,$A$2:$A$4839,"&gt;0",$E$2:$E$4839,$E4870)</f>
        <v/>
      </c>
    </row>
    <row r="4871" ht="24" customHeight="1">
      <c r="E4871" s="3" t="inlineStr">
        <is>
          <t>REVOLVER</t>
        </is>
      </c>
      <c r="L4871" s="129" t="n"/>
      <c r="M4871" s="28">
        <f>+SUMIFS(M$2:M$4839,$A$2:$A$4839,"&gt;0",$E$2:$E$4839,$E4871)</f>
        <v/>
      </c>
    </row>
    <row r="4872">
      <c r="E4872" s="3" t="n"/>
      <c r="L4872" s="129" t="n"/>
      <c r="M4872" s="28">
        <f>+SUMIFS(M$2:M$4839,$A$2:$A$4839,"&gt;0",$E$2:$E$4839,$E4872)</f>
        <v/>
      </c>
    </row>
    <row r="4873">
      <c r="L4873" s="129" t="n"/>
    </row>
    <row r="4874">
      <c r="E4874" s="30">
        <f>+COUNTA(E4851:E4873)</f>
        <v/>
      </c>
      <c r="M4874" s="9">
        <f>SUM(M4851:M4873)</f>
        <v/>
      </c>
    </row>
  </sheetData>
  <autoFilter ref="T1:T4874"/>
  <conditionalFormatting sqref="A2:A4838">
    <cfRule type="cellIs" priority="2" operator="lessThan" dxfId="0">
      <formula>0</formula>
    </cfRule>
  </conditionalFormatting>
  <conditionalFormatting sqref="A4841 M4843">
    <cfRule type="cellIs" priority="794" operator="equal" dxfId="0">
      <formula>"ERRORE"</formula>
    </cfRule>
  </conditionalFormatting>
  <conditionalFormatting sqref="A4841">
    <cfRule type="cellIs" priority="802" operator="equal" dxfId="1">
      <formula>"OK"</formula>
    </cfRule>
  </conditionalFormatting>
  <conditionalFormatting sqref="M4843">
    <cfRule type="cellIs" priority="796" operator="equal" dxfId="1">
      <formula>"OK"</formula>
    </cfRule>
  </conditionalFormatting>
  <conditionalFormatting sqref="S2:S4838">
    <cfRule type="cellIs" priority="1" operator="greaterThan" dxfId="0">
      <formula>0</formula>
    </cfRule>
  </conditionalFormatting>
  <pageMargins left="0.7" right="0.7" top="0.75" bottom="0.75" header="0.3" footer="0.3"/>
  <pageSetup orientation="landscape" paperSize="8" scale="62" fitToHeight="0"/>
  <colBreaks count="1" manualBreakCount="1">
    <brk id="17" min="0" max="1048575" man="1"/>
  </colBreaks>
</worksheet>
</file>

<file path=xl/worksheets/sheet4.xml><?xml version="1.0" encoding="utf-8"?>
<worksheet xmlns="http://schemas.openxmlformats.org/spreadsheetml/2006/main">
  <sheetPr>
    <outlinePr summaryBelow="1" summaryRight="1"/>
    <pageSetUpPr fitToPage="1"/>
  </sheetPr>
  <dimension ref="A1:S2323"/>
  <sheetViews>
    <sheetView view="pageBreakPreview" topLeftCell="A2307" zoomScale="90" zoomScaleNormal="90" zoomScaleSheetLayoutView="90" zoomScalePageLayoutView="101" workbookViewId="0">
      <selection activeCell="P1990" sqref="P1990:S1990"/>
    </sheetView>
  </sheetViews>
  <sheetFormatPr baseColWidth="10" defaultColWidth="9.1640625" defaultRowHeight="12"/>
  <cols>
    <col width="5.5" bestFit="1" customWidth="1" style="30" min="1" max="1"/>
    <col width="8.1640625" bestFit="1" customWidth="1" style="31" min="2" max="2"/>
    <col width="3.1640625" customWidth="1" style="32" min="3" max="3"/>
    <col width="14.6640625" customWidth="1" style="17" min="4" max="4"/>
    <col width="8.5" customWidth="1" style="17" min="5" max="5"/>
    <col width="13.5" customWidth="1" style="17" min="6" max="6"/>
    <col width="14.5" customWidth="1" style="17" min="7" max="7"/>
    <col width="10.5" customWidth="1" style="17" min="8" max="10"/>
    <col width="14" customWidth="1" style="17" min="11" max="11"/>
    <col width="9.6640625" bestFit="1" customWidth="1" style="44" min="12" max="12"/>
    <col width="14" customWidth="1" style="33" min="13" max="13"/>
    <col width="8.5" bestFit="1" customWidth="1" style="31" min="14" max="14"/>
    <col width="17.6640625" customWidth="1" style="17" min="15" max="15"/>
    <col width="15.33203125" customWidth="1" style="17" min="16" max="16"/>
    <col width="11" customWidth="1" style="17" min="17" max="17"/>
    <col width="7.6640625" bestFit="1" customWidth="1" style="17" min="18" max="18"/>
    <col width="8.1640625" bestFit="1" customWidth="1" style="31" min="19" max="19"/>
    <col width="9.1640625" customWidth="1" style="1" min="20" max="20"/>
    <col width="9.1640625" customWidth="1" style="1" min="21" max="16384"/>
  </cols>
  <sheetData>
    <row r="1" ht="15" customFormat="1" customHeight="1" s="174">
      <c r="A1" s="168" t="inlineStr">
        <is>
          <t>CARICO</t>
        </is>
      </c>
      <c r="B1" s="158" t="n"/>
      <c r="C1" s="158" t="n"/>
      <c r="D1" s="158" t="n"/>
      <c r="E1" s="158" t="n"/>
      <c r="F1" s="158" t="n"/>
      <c r="G1" s="158" t="n"/>
      <c r="H1" s="158" t="n"/>
      <c r="I1" s="158" t="n"/>
      <c r="J1" s="158" t="n"/>
      <c r="K1" s="158" t="n"/>
      <c r="L1" s="158" t="n"/>
      <c r="M1" s="159" t="n"/>
      <c r="N1" s="157" t="inlineStr">
        <is>
          <t>SCARICO</t>
        </is>
      </c>
      <c r="O1" s="158" t="n"/>
      <c r="P1" s="158" t="n"/>
      <c r="Q1" s="158" t="n"/>
      <c r="R1" s="158" t="n"/>
      <c r="S1" s="159" t="n"/>
    </row>
    <row r="2" ht="12" customFormat="1" customHeight="1" s="174">
      <c r="A2" s="160" t="inlineStr">
        <is>
          <t>N. OPERAZIONE</t>
        </is>
      </c>
      <c r="B2" s="165" t="inlineStr">
        <is>
          <t>DATA</t>
        </is>
      </c>
      <c r="C2" s="167" t="inlineStr">
        <is>
          <t>N. ARMI</t>
        </is>
      </c>
      <c r="D2" s="164" t="inlineStr">
        <is>
          <t>ARMA</t>
        </is>
      </c>
      <c r="E2" s="150" t="n"/>
      <c r="F2" s="150" t="n"/>
      <c r="G2" s="150" t="n"/>
      <c r="H2" s="150" t="n"/>
      <c r="I2" s="150" t="n"/>
      <c r="J2" s="153" t="n"/>
      <c r="K2" s="169" t="inlineStr">
        <is>
          <t>FABBRICANTE O VENDITORE</t>
        </is>
      </c>
      <c r="L2" s="42" t="inlineStr">
        <is>
          <t>PREZZO</t>
        </is>
      </c>
      <c r="M2" s="180" t="inlineStr">
        <is>
          <t>NOTE</t>
        </is>
      </c>
      <c r="N2" s="177" t="inlineStr">
        <is>
          <t>DATA</t>
        </is>
      </c>
      <c r="O2" s="176" t="inlineStr">
        <is>
          <t>ACQUIRENTE</t>
        </is>
      </c>
      <c r="P2" s="170" t="inlineStr">
        <is>
          <t>TITOLO DI ACQUISTO</t>
        </is>
      </c>
      <c r="Q2" s="171" t="n"/>
      <c r="R2" s="171" t="n"/>
      <c r="S2" s="172" t="n"/>
    </row>
    <row r="3" ht="48" customFormat="1" customHeight="1" s="174" thickBot="1">
      <c r="A3" s="161" t="n"/>
      <c r="B3" s="166" t="n"/>
      <c r="C3" s="166" t="n"/>
      <c r="D3" s="169" t="inlineStr">
        <is>
          <t>TIPOLOGIA</t>
        </is>
      </c>
      <c r="E3" s="169" t="inlineStr">
        <is>
          <t>CALIBRO</t>
        </is>
      </c>
      <c r="F3" s="169" t="inlineStr">
        <is>
          <t>MARCA</t>
        </is>
      </c>
      <c r="G3" s="169" t="inlineStr">
        <is>
          <t>MODELLO</t>
        </is>
      </c>
      <c r="H3" s="169" t="inlineStr">
        <is>
          <t>MATR. ARMA</t>
        </is>
      </c>
      <c r="I3" s="169" t="inlineStr">
        <is>
          <t>MATR. CANNA</t>
        </is>
      </c>
      <c r="J3" s="169" t="inlineStr">
        <is>
          <t>MATR. AGG.</t>
        </is>
      </c>
      <c r="K3" s="166" t="n"/>
      <c r="L3" s="43" t="inlineStr">
        <is>
          <t xml:space="preserve">€ </t>
        </is>
      </c>
      <c r="M3" s="181" t="n"/>
      <c r="N3" s="178" t="n"/>
      <c r="O3" s="145" t="n"/>
      <c r="P3" s="173" t="n"/>
      <c r="S3" s="175" t="n"/>
    </row>
    <row r="4" ht="36" customHeight="1">
      <c r="A4" s="46" t="n">
        <v>2334</v>
      </c>
      <c r="B4" s="4">
        <f>+VLOOKUP($A4,MAGAZZINO!$B$2:$M$100000,2,FALSE)</f>
        <v/>
      </c>
      <c r="C4" s="29">
        <f>+VLOOKUP($A4,MAGAZZINO!$B$2:$M$100000,3,FALSE)</f>
        <v/>
      </c>
      <c r="D4" s="3">
        <f>+VLOOKUP($A4,MAGAZZINO!$B$2:$M$100000,4,FALSE)</f>
        <v/>
      </c>
      <c r="E4" s="3">
        <f>+VLOOKUP($A4,MAGAZZINO!$B$2:$M$100000,5,FALSE)</f>
        <v/>
      </c>
      <c r="F4" s="3">
        <f>+VLOOKUP($A4,MAGAZZINO!$B$2:$M$100000,6,FALSE)</f>
        <v/>
      </c>
      <c r="G4" s="3">
        <f>+VLOOKUP($A4,MAGAZZINO!$B$2:$M$100000,7,FALSE)</f>
        <v/>
      </c>
      <c r="H4" s="3">
        <f>+VLOOKUP($A4,MAGAZZINO!$B$2:$M$100000,8,FALSE)</f>
        <v/>
      </c>
      <c r="I4" s="3">
        <f>+VLOOKUP($A4,MAGAZZINO!$B$2:$M$100000,9,FALSE)</f>
        <v/>
      </c>
      <c r="J4" s="3">
        <f>+VLOOKUP($A4,MAGAZZINO!$B$2:$M$100000,10,FALSE)</f>
        <v/>
      </c>
      <c r="K4" s="3">
        <f>+VLOOKUP($A4,MAGAZZINO!$B$2:$M$100000,11,FALSE)</f>
        <v/>
      </c>
      <c r="L4" s="5">
        <f>+VLOOKUP($A4,MAGAZZINO!$B$2:$M$100000,12,FALSE)</f>
        <v/>
      </c>
      <c r="M4" s="45" t="n"/>
      <c r="N4" s="88" t="n">
        <v>45609</v>
      </c>
      <c r="O4" s="91" t="inlineStr">
        <is>
          <t>HS &amp; LLC (OMAN)</t>
        </is>
      </c>
      <c r="P4" s="154" t="inlineStr">
        <is>
          <t>IMPORT LICENSE N. 24/1/2463/1/2024 DEL 05/05/2024                                                              AUT. ESPORTAZIONE MULTIPLA N. 6B/2024/2M RILASCIATA IL 30/07/2024   (LICENZA DI SCARICO N. 6B/2024/1S RILASCIATA IL 06/11/2024)</t>
        </is>
      </c>
      <c r="Q4" s="150" t="n"/>
      <c r="R4" s="150" t="n"/>
      <c r="S4" s="153" t="n"/>
    </row>
    <row r="5" ht="36" customHeight="1">
      <c r="A5" s="46" t="n">
        <v>2335</v>
      </c>
      <c r="B5" s="4">
        <f>+VLOOKUP($A5,MAGAZZINO!$B$2:$M$100000,2,FALSE)</f>
        <v/>
      </c>
      <c r="C5" s="29">
        <f>+VLOOKUP($A5,MAGAZZINO!$B$2:$M$100000,3,FALSE)</f>
        <v/>
      </c>
      <c r="D5" s="3">
        <f>+VLOOKUP($A5,MAGAZZINO!$B$2:$M$100000,4,FALSE)</f>
        <v/>
      </c>
      <c r="E5" s="3">
        <f>+VLOOKUP($A5,MAGAZZINO!$B$2:$M$100000,5,FALSE)</f>
        <v/>
      </c>
      <c r="F5" s="3">
        <f>+VLOOKUP($A5,MAGAZZINO!$B$2:$M$100000,6,FALSE)</f>
        <v/>
      </c>
      <c r="G5" s="3">
        <f>+VLOOKUP($A5,MAGAZZINO!$B$2:$M$100000,7,FALSE)</f>
        <v/>
      </c>
      <c r="H5" s="3">
        <f>+VLOOKUP($A5,MAGAZZINO!$B$2:$M$100000,8,FALSE)</f>
        <v/>
      </c>
      <c r="I5" s="3">
        <f>+VLOOKUP($A5,MAGAZZINO!$B$2:$M$100000,9,FALSE)</f>
        <v/>
      </c>
      <c r="J5" s="3">
        <f>+VLOOKUP($A5,MAGAZZINO!$B$2:$M$100000,10,FALSE)</f>
        <v/>
      </c>
      <c r="K5" s="3">
        <f>+VLOOKUP($A5,MAGAZZINO!$B$2:$M$100000,11,FALSE)</f>
        <v/>
      </c>
      <c r="L5" s="5">
        <f>+VLOOKUP($A5,MAGAZZINO!$B$2:$M$100000,12,FALSE)</f>
        <v/>
      </c>
      <c r="M5" s="47" t="n"/>
      <c r="N5" s="88" t="n">
        <v>45609</v>
      </c>
      <c r="O5" s="91" t="inlineStr">
        <is>
          <t>HS &amp; LLC (OMAN)</t>
        </is>
      </c>
      <c r="P5" s="154" t="inlineStr">
        <is>
          <t>IMPORT LICENSE N. 24/1/2463/1/2024 DEL 05/05/2024                                                              AUT. ESPORTAZIONE MULTIPLA N. 6B/2024/2M RILASCIATA IL 30/07/2024   (LICENZA DI SCARICO N. 6B/2024/1S RILASCIATA IL 06/11/2024)</t>
        </is>
      </c>
      <c r="Q5" s="150" t="n"/>
      <c r="R5" s="150" t="n"/>
      <c r="S5" s="153" t="n"/>
    </row>
    <row r="6" ht="36" customHeight="1">
      <c r="A6" s="46" t="n">
        <v>2336</v>
      </c>
      <c r="B6" s="4">
        <f>+VLOOKUP($A6,MAGAZZINO!$B$2:$M$100000,2,FALSE)</f>
        <v/>
      </c>
      <c r="C6" s="29">
        <f>+VLOOKUP($A6,MAGAZZINO!$B$2:$M$100000,3,FALSE)</f>
        <v/>
      </c>
      <c r="D6" s="3">
        <f>+VLOOKUP($A6,MAGAZZINO!$B$2:$M$100000,4,FALSE)</f>
        <v/>
      </c>
      <c r="E6" s="3">
        <f>+VLOOKUP($A6,MAGAZZINO!$B$2:$M$100000,5,FALSE)</f>
        <v/>
      </c>
      <c r="F6" s="3">
        <f>+VLOOKUP($A6,MAGAZZINO!$B$2:$M$100000,6,FALSE)</f>
        <v/>
      </c>
      <c r="G6" s="3">
        <f>+VLOOKUP($A6,MAGAZZINO!$B$2:$M$100000,7,FALSE)</f>
        <v/>
      </c>
      <c r="H6" s="3">
        <f>+VLOOKUP($A6,MAGAZZINO!$B$2:$M$100000,8,FALSE)</f>
        <v/>
      </c>
      <c r="I6" s="3">
        <f>+VLOOKUP($A6,MAGAZZINO!$B$2:$M$100000,9,FALSE)</f>
        <v/>
      </c>
      <c r="J6" s="3">
        <f>+VLOOKUP($A6,MAGAZZINO!$B$2:$M$100000,10,FALSE)</f>
        <v/>
      </c>
      <c r="K6" s="3">
        <f>+VLOOKUP($A6,MAGAZZINO!$B$2:$M$100000,11,FALSE)</f>
        <v/>
      </c>
      <c r="L6" s="5">
        <f>+VLOOKUP($A6,MAGAZZINO!$B$2:$M$100000,12,FALSE)</f>
        <v/>
      </c>
      <c r="M6" s="47" t="n"/>
      <c r="N6" s="88" t="n">
        <v>45609</v>
      </c>
      <c r="O6" s="91" t="inlineStr">
        <is>
          <t>HS &amp; LLC (OMAN)</t>
        </is>
      </c>
      <c r="P6" s="154" t="inlineStr">
        <is>
          <t>IMPORT LICENSE N. 24/1/2463/1/2024 DEL 05/05/2024                                                              AUT. ESPORTAZIONE MULTIPLA N. 6B/2024/2M RILASCIATA IL 30/07/2024   (LICENZA DI SCARICO N. 6B/2024/1S RILASCIATA IL 06/11/2024)</t>
        </is>
      </c>
      <c r="Q6" s="150" t="n"/>
      <c r="R6" s="150" t="n"/>
      <c r="S6" s="153" t="n"/>
    </row>
    <row r="7" ht="36" customHeight="1">
      <c r="A7" s="46" t="n">
        <v>2337</v>
      </c>
      <c r="B7" s="4">
        <f>+VLOOKUP($A7,MAGAZZINO!$B$2:$M$100000,2,FALSE)</f>
        <v/>
      </c>
      <c r="C7" s="29">
        <f>+VLOOKUP($A7,MAGAZZINO!$B$2:$M$100000,3,FALSE)</f>
        <v/>
      </c>
      <c r="D7" s="3">
        <f>+VLOOKUP($A7,MAGAZZINO!$B$2:$M$100000,4,FALSE)</f>
        <v/>
      </c>
      <c r="E7" s="3">
        <f>+VLOOKUP($A7,MAGAZZINO!$B$2:$M$100000,5,FALSE)</f>
        <v/>
      </c>
      <c r="F7" s="3">
        <f>+VLOOKUP($A7,MAGAZZINO!$B$2:$M$100000,6,FALSE)</f>
        <v/>
      </c>
      <c r="G7" s="3">
        <f>+VLOOKUP($A7,MAGAZZINO!$B$2:$M$100000,7,FALSE)</f>
        <v/>
      </c>
      <c r="H7" s="3">
        <f>+VLOOKUP($A7,MAGAZZINO!$B$2:$M$100000,8,FALSE)</f>
        <v/>
      </c>
      <c r="I7" s="3">
        <f>+VLOOKUP($A7,MAGAZZINO!$B$2:$M$100000,9,FALSE)</f>
        <v/>
      </c>
      <c r="J7" s="3">
        <f>+VLOOKUP($A7,MAGAZZINO!$B$2:$M$100000,10,FALSE)</f>
        <v/>
      </c>
      <c r="K7" s="3">
        <f>+VLOOKUP($A7,MAGAZZINO!$B$2:$M$100000,11,FALSE)</f>
        <v/>
      </c>
      <c r="L7" s="5">
        <f>+VLOOKUP($A7,MAGAZZINO!$B$2:$M$100000,12,FALSE)</f>
        <v/>
      </c>
      <c r="M7" s="47" t="n"/>
      <c r="N7" s="88" t="n">
        <v>45609</v>
      </c>
      <c r="O7" s="91" t="inlineStr">
        <is>
          <t>HS &amp; LLC (OMAN)</t>
        </is>
      </c>
      <c r="P7" s="154" t="inlineStr">
        <is>
          <t>IMPORT LICENSE N. 24/1/2463/1/2024 DEL 05/05/2024                                                              AUT. ESPORTAZIONE MULTIPLA N. 6B/2024/2M RILASCIATA IL 30/07/2024   (LICENZA DI SCARICO N. 6B/2024/1S RILASCIATA IL 06/11/2024)</t>
        </is>
      </c>
      <c r="Q7" s="150" t="n"/>
      <c r="R7" s="150" t="n"/>
      <c r="S7" s="153" t="n"/>
    </row>
    <row r="8" ht="36" customHeight="1">
      <c r="A8" s="46" t="n">
        <v>2338</v>
      </c>
      <c r="B8" s="4">
        <f>+VLOOKUP($A8,MAGAZZINO!$B$2:$M$100000,2,FALSE)</f>
        <v/>
      </c>
      <c r="C8" s="29">
        <f>+VLOOKUP($A8,MAGAZZINO!$B$2:$M$100000,3,FALSE)</f>
        <v/>
      </c>
      <c r="D8" s="3">
        <f>+VLOOKUP($A8,MAGAZZINO!$B$2:$M$100000,4,FALSE)</f>
        <v/>
      </c>
      <c r="E8" s="3">
        <f>+VLOOKUP($A8,MAGAZZINO!$B$2:$M$100000,5,FALSE)</f>
        <v/>
      </c>
      <c r="F8" s="3">
        <f>+VLOOKUP($A8,MAGAZZINO!$B$2:$M$100000,6,FALSE)</f>
        <v/>
      </c>
      <c r="G8" s="3">
        <f>+VLOOKUP($A8,MAGAZZINO!$B$2:$M$100000,7,FALSE)</f>
        <v/>
      </c>
      <c r="H8" s="3">
        <f>+VLOOKUP($A8,MAGAZZINO!$B$2:$M$100000,8,FALSE)</f>
        <v/>
      </c>
      <c r="I8" s="3">
        <f>+VLOOKUP($A8,MAGAZZINO!$B$2:$M$100000,9,FALSE)</f>
        <v/>
      </c>
      <c r="J8" s="3">
        <f>+VLOOKUP($A8,MAGAZZINO!$B$2:$M$100000,10,FALSE)</f>
        <v/>
      </c>
      <c r="K8" s="3">
        <f>+VLOOKUP($A8,MAGAZZINO!$B$2:$M$100000,11,FALSE)</f>
        <v/>
      </c>
      <c r="L8" s="5">
        <f>+VLOOKUP($A8,MAGAZZINO!$B$2:$M$100000,12,FALSE)</f>
        <v/>
      </c>
      <c r="M8" s="47" t="n"/>
      <c r="N8" s="88" t="n">
        <v>45609</v>
      </c>
      <c r="O8" s="91" t="inlineStr">
        <is>
          <t>HS &amp; LLC (OMAN)</t>
        </is>
      </c>
      <c r="P8" s="154" t="inlineStr">
        <is>
          <t>IMPORT LICENSE N. 24/1/2463/1/2024 DEL 05/05/2024                                                              AUT. ESPORTAZIONE MULTIPLA N. 6B/2024/2M RILASCIATA IL 30/07/2024   (LICENZA DI SCARICO N. 6B/2024/1S RILASCIATA IL 06/11/2024)</t>
        </is>
      </c>
      <c r="Q8" s="150" t="n"/>
      <c r="R8" s="150" t="n"/>
      <c r="S8" s="153" t="n"/>
    </row>
    <row r="9" ht="36" customHeight="1">
      <c r="A9" s="46" t="n">
        <v>2339</v>
      </c>
      <c r="B9" s="4">
        <f>+VLOOKUP($A9,MAGAZZINO!$B$2:$M$100000,2,FALSE)</f>
        <v/>
      </c>
      <c r="C9" s="29">
        <f>+VLOOKUP($A9,MAGAZZINO!$B$2:$M$100000,3,FALSE)</f>
        <v/>
      </c>
      <c r="D9" s="3">
        <f>+VLOOKUP($A9,MAGAZZINO!$B$2:$M$100000,4,FALSE)</f>
        <v/>
      </c>
      <c r="E9" s="3">
        <f>+VLOOKUP($A9,MAGAZZINO!$B$2:$M$100000,5,FALSE)</f>
        <v/>
      </c>
      <c r="F9" s="3">
        <f>+VLOOKUP($A9,MAGAZZINO!$B$2:$M$100000,6,FALSE)</f>
        <v/>
      </c>
      <c r="G9" s="3">
        <f>+VLOOKUP($A9,MAGAZZINO!$B$2:$M$100000,7,FALSE)</f>
        <v/>
      </c>
      <c r="H9" s="3">
        <f>+VLOOKUP($A9,MAGAZZINO!$B$2:$M$100000,8,FALSE)</f>
        <v/>
      </c>
      <c r="I9" s="3">
        <f>+VLOOKUP($A9,MAGAZZINO!$B$2:$M$100000,9,FALSE)</f>
        <v/>
      </c>
      <c r="J9" s="3">
        <f>+VLOOKUP($A9,MAGAZZINO!$B$2:$M$100000,10,FALSE)</f>
        <v/>
      </c>
      <c r="K9" s="3">
        <f>+VLOOKUP($A9,MAGAZZINO!$B$2:$M$100000,11,FALSE)</f>
        <v/>
      </c>
      <c r="L9" s="5">
        <f>+VLOOKUP($A9,MAGAZZINO!$B$2:$M$100000,12,FALSE)</f>
        <v/>
      </c>
      <c r="M9" s="47" t="n"/>
      <c r="N9" s="88" t="n">
        <v>45609</v>
      </c>
      <c r="O9" s="91" t="inlineStr">
        <is>
          <t>HS &amp; LLC (OMAN)</t>
        </is>
      </c>
      <c r="P9" s="154" t="inlineStr">
        <is>
          <t>IMPORT LICENSE N. 24/1/2463/1/2024 DEL 05/05/2024                                                              AUT. ESPORTAZIONE MULTIPLA N. 6B/2024/2M RILASCIATA IL 30/07/2024   (LICENZA DI SCARICO N. 6B/2024/1S RILASCIATA IL 06/11/2024)</t>
        </is>
      </c>
      <c r="Q9" s="150" t="n"/>
      <c r="R9" s="150" t="n"/>
      <c r="S9" s="153" t="n"/>
    </row>
    <row r="10" ht="36" customHeight="1">
      <c r="A10" s="46" t="n">
        <v>2340</v>
      </c>
      <c r="B10" s="4">
        <f>+VLOOKUP($A10,MAGAZZINO!$B$2:$M$100000,2,FALSE)</f>
        <v/>
      </c>
      <c r="C10" s="29">
        <f>+VLOOKUP($A10,MAGAZZINO!$B$2:$M$100000,3,FALSE)</f>
        <v/>
      </c>
      <c r="D10" s="3">
        <f>+VLOOKUP($A10,MAGAZZINO!$B$2:$M$100000,4,FALSE)</f>
        <v/>
      </c>
      <c r="E10" s="3">
        <f>+VLOOKUP($A10,MAGAZZINO!$B$2:$M$100000,5,FALSE)</f>
        <v/>
      </c>
      <c r="F10" s="3">
        <f>+VLOOKUP($A10,MAGAZZINO!$B$2:$M$100000,6,FALSE)</f>
        <v/>
      </c>
      <c r="G10" s="3">
        <f>+VLOOKUP($A10,MAGAZZINO!$B$2:$M$100000,7,FALSE)</f>
        <v/>
      </c>
      <c r="H10" s="3">
        <f>+VLOOKUP($A10,MAGAZZINO!$B$2:$M$100000,8,FALSE)</f>
        <v/>
      </c>
      <c r="I10" s="3">
        <f>+VLOOKUP($A10,MAGAZZINO!$B$2:$M$100000,9,FALSE)</f>
        <v/>
      </c>
      <c r="J10" s="3">
        <f>+VLOOKUP($A10,MAGAZZINO!$B$2:$M$100000,10,FALSE)</f>
        <v/>
      </c>
      <c r="K10" s="3">
        <f>+VLOOKUP($A10,MAGAZZINO!$B$2:$M$100000,11,FALSE)</f>
        <v/>
      </c>
      <c r="L10" s="5">
        <f>+VLOOKUP($A10,MAGAZZINO!$B$2:$M$100000,12,FALSE)</f>
        <v/>
      </c>
      <c r="M10" s="47" t="n"/>
      <c r="N10" s="88" t="n">
        <v>45609</v>
      </c>
      <c r="O10" s="91" t="inlineStr">
        <is>
          <t>HS &amp; LLC (OMAN)</t>
        </is>
      </c>
      <c r="P10" s="154" t="inlineStr">
        <is>
          <t>IMPORT LICENSE N. 24/1/2463/1/2024 DEL 05/05/2024                                                              AUT. ESPORTAZIONE MULTIPLA N. 6B/2024/2M RILASCIATA IL 30/07/2024   (LICENZA DI SCARICO N. 6B/2024/1S RILASCIATA IL 06/11/2024)</t>
        </is>
      </c>
      <c r="Q10" s="150" t="n"/>
      <c r="R10" s="150" t="n"/>
      <c r="S10" s="153" t="n"/>
    </row>
    <row r="11" ht="36" customHeight="1">
      <c r="A11" s="46" t="n">
        <v>2341</v>
      </c>
      <c r="B11" s="4">
        <f>+VLOOKUP($A11,MAGAZZINO!$B$2:$M$100000,2,FALSE)</f>
        <v/>
      </c>
      <c r="C11" s="29">
        <f>+VLOOKUP($A11,MAGAZZINO!$B$2:$M$100000,3,FALSE)</f>
        <v/>
      </c>
      <c r="D11" s="3">
        <f>+VLOOKUP($A11,MAGAZZINO!$B$2:$M$100000,4,FALSE)</f>
        <v/>
      </c>
      <c r="E11" s="3">
        <f>+VLOOKUP($A11,MAGAZZINO!$B$2:$M$100000,5,FALSE)</f>
        <v/>
      </c>
      <c r="F11" s="3">
        <f>+VLOOKUP($A11,MAGAZZINO!$B$2:$M$100000,6,FALSE)</f>
        <v/>
      </c>
      <c r="G11" s="3">
        <f>+VLOOKUP($A11,MAGAZZINO!$B$2:$M$100000,7,FALSE)</f>
        <v/>
      </c>
      <c r="H11" s="3">
        <f>+VLOOKUP($A11,MAGAZZINO!$B$2:$M$100000,8,FALSE)</f>
        <v/>
      </c>
      <c r="I11" s="3">
        <f>+VLOOKUP($A11,MAGAZZINO!$B$2:$M$100000,9,FALSE)</f>
        <v/>
      </c>
      <c r="J11" s="3">
        <f>+VLOOKUP($A11,MAGAZZINO!$B$2:$M$100000,10,FALSE)</f>
        <v/>
      </c>
      <c r="K11" s="3">
        <f>+VLOOKUP($A11,MAGAZZINO!$B$2:$M$100000,11,FALSE)</f>
        <v/>
      </c>
      <c r="L11" s="5">
        <f>+VLOOKUP($A11,MAGAZZINO!$B$2:$M$100000,12,FALSE)</f>
        <v/>
      </c>
      <c r="M11" s="47" t="n"/>
      <c r="N11" s="88" t="n">
        <v>45609</v>
      </c>
      <c r="O11" s="91" t="inlineStr">
        <is>
          <t>HS &amp; LLC (OMAN)</t>
        </is>
      </c>
      <c r="P11" s="154" t="inlineStr">
        <is>
          <t>IMPORT LICENSE N. 24/1/2463/1/2024 DEL 05/05/2024                                                              AUT. ESPORTAZIONE MULTIPLA N. 6B/2024/2M RILASCIATA IL 30/07/2024   (LICENZA DI SCARICO N. 6B/2024/1S RILASCIATA IL 06/11/2024)</t>
        </is>
      </c>
      <c r="Q11" s="150" t="n"/>
      <c r="R11" s="150" t="n"/>
      <c r="S11" s="153" t="n"/>
    </row>
    <row r="12" ht="36" customHeight="1">
      <c r="A12" s="46" t="n">
        <v>2342</v>
      </c>
      <c r="B12" s="4">
        <f>+VLOOKUP($A12,MAGAZZINO!$B$2:$M$100000,2,FALSE)</f>
        <v/>
      </c>
      <c r="C12" s="29">
        <f>+VLOOKUP($A12,MAGAZZINO!$B$2:$M$100000,3,FALSE)</f>
        <v/>
      </c>
      <c r="D12" s="3">
        <f>+VLOOKUP($A12,MAGAZZINO!$B$2:$M$100000,4,FALSE)</f>
        <v/>
      </c>
      <c r="E12" s="3">
        <f>+VLOOKUP($A12,MAGAZZINO!$B$2:$M$100000,5,FALSE)</f>
        <v/>
      </c>
      <c r="F12" s="3">
        <f>+VLOOKUP($A12,MAGAZZINO!$B$2:$M$100000,6,FALSE)</f>
        <v/>
      </c>
      <c r="G12" s="3">
        <f>+VLOOKUP($A12,MAGAZZINO!$B$2:$M$100000,7,FALSE)</f>
        <v/>
      </c>
      <c r="H12" s="3">
        <f>+VLOOKUP($A12,MAGAZZINO!$B$2:$M$100000,8,FALSE)</f>
        <v/>
      </c>
      <c r="I12" s="3">
        <f>+VLOOKUP($A12,MAGAZZINO!$B$2:$M$100000,9,FALSE)</f>
        <v/>
      </c>
      <c r="J12" s="3">
        <f>+VLOOKUP($A12,MAGAZZINO!$B$2:$M$100000,10,FALSE)</f>
        <v/>
      </c>
      <c r="K12" s="3">
        <f>+VLOOKUP($A12,MAGAZZINO!$B$2:$M$100000,11,FALSE)</f>
        <v/>
      </c>
      <c r="L12" s="5">
        <f>+VLOOKUP($A12,MAGAZZINO!$B$2:$M$100000,12,FALSE)</f>
        <v/>
      </c>
      <c r="M12" s="47" t="n"/>
      <c r="N12" s="88" t="n">
        <v>45609</v>
      </c>
      <c r="O12" s="91" t="inlineStr">
        <is>
          <t>HS &amp; LLC (OMAN)</t>
        </is>
      </c>
      <c r="P12" s="154" t="inlineStr">
        <is>
          <t>IMPORT LICENSE N. 24/1/2463/1/2024 DEL 05/05/2024                                                              AUT. ESPORTAZIONE MULTIPLA N. 6B/2024/2M RILASCIATA IL 30/07/2024   (LICENZA DI SCARICO N. 6B/2024/1S RILASCIATA IL 06/11/2024)</t>
        </is>
      </c>
      <c r="Q12" s="150" t="n"/>
      <c r="R12" s="150" t="n"/>
      <c r="S12" s="153" t="n"/>
    </row>
    <row r="13" ht="36" customHeight="1">
      <c r="A13" s="46" t="n">
        <v>2343</v>
      </c>
      <c r="B13" s="4">
        <f>+VLOOKUP($A13,MAGAZZINO!$B$2:$M$100000,2,FALSE)</f>
        <v/>
      </c>
      <c r="C13" s="29">
        <f>+VLOOKUP($A13,MAGAZZINO!$B$2:$M$100000,3,FALSE)</f>
        <v/>
      </c>
      <c r="D13" s="3">
        <f>+VLOOKUP($A13,MAGAZZINO!$B$2:$M$100000,4,FALSE)</f>
        <v/>
      </c>
      <c r="E13" s="3">
        <f>+VLOOKUP($A13,MAGAZZINO!$B$2:$M$100000,5,FALSE)</f>
        <v/>
      </c>
      <c r="F13" s="3">
        <f>+VLOOKUP($A13,MAGAZZINO!$B$2:$M$100000,6,FALSE)</f>
        <v/>
      </c>
      <c r="G13" s="3">
        <f>+VLOOKUP($A13,MAGAZZINO!$B$2:$M$100000,7,FALSE)</f>
        <v/>
      </c>
      <c r="H13" s="3">
        <f>+VLOOKUP($A13,MAGAZZINO!$B$2:$M$100000,8,FALSE)</f>
        <v/>
      </c>
      <c r="I13" s="3">
        <f>+VLOOKUP($A13,MAGAZZINO!$B$2:$M$100000,9,FALSE)</f>
        <v/>
      </c>
      <c r="J13" s="3">
        <f>+VLOOKUP($A13,MAGAZZINO!$B$2:$M$100000,10,FALSE)</f>
        <v/>
      </c>
      <c r="K13" s="3">
        <f>+VLOOKUP($A13,MAGAZZINO!$B$2:$M$100000,11,FALSE)</f>
        <v/>
      </c>
      <c r="L13" s="5">
        <f>+VLOOKUP($A13,MAGAZZINO!$B$2:$M$100000,12,FALSE)</f>
        <v/>
      </c>
      <c r="M13" s="47" t="n"/>
      <c r="N13" s="88" t="n">
        <v>45609</v>
      </c>
      <c r="O13" s="91" t="inlineStr">
        <is>
          <t>HS &amp; LLC (OMAN)</t>
        </is>
      </c>
      <c r="P13" s="154" t="inlineStr">
        <is>
          <t>IMPORT LICENSE N. 24/1/2463/1/2024 DEL 05/05/2024                                                              AUT. ESPORTAZIONE MULTIPLA N. 6B/2024/2M RILASCIATA IL 30/07/2024   (LICENZA DI SCARICO N. 6B/2024/1S RILASCIATA IL 06/11/2024)</t>
        </is>
      </c>
      <c r="Q13" s="150" t="n"/>
      <c r="R13" s="150" t="n"/>
      <c r="S13" s="153" t="n"/>
    </row>
    <row r="14" ht="36" customHeight="1">
      <c r="A14" s="46" t="n">
        <v>2344</v>
      </c>
      <c r="B14" s="4">
        <f>+VLOOKUP($A14,MAGAZZINO!$B$2:$M$100000,2,FALSE)</f>
        <v/>
      </c>
      <c r="C14" s="29">
        <f>+VLOOKUP($A14,MAGAZZINO!$B$2:$M$100000,3,FALSE)</f>
        <v/>
      </c>
      <c r="D14" s="3">
        <f>+VLOOKUP($A14,MAGAZZINO!$B$2:$M$100000,4,FALSE)</f>
        <v/>
      </c>
      <c r="E14" s="3">
        <f>+VLOOKUP($A14,MAGAZZINO!$B$2:$M$100000,5,FALSE)</f>
        <v/>
      </c>
      <c r="F14" s="3">
        <f>+VLOOKUP($A14,MAGAZZINO!$B$2:$M$100000,6,FALSE)</f>
        <v/>
      </c>
      <c r="G14" s="3">
        <f>+VLOOKUP($A14,MAGAZZINO!$B$2:$M$100000,7,FALSE)</f>
        <v/>
      </c>
      <c r="H14" s="3">
        <f>+VLOOKUP($A14,MAGAZZINO!$B$2:$M$100000,8,FALSE)</f>
        <v/>
      </c>
      <c r="I14" s="3">
        <f>+VLOOKUP($A14,MAGAZZINO!$B$2:$M$100000,9,FALSE)</f>
        <v/>
      </c>
      <c r="J14" s="3">
        <f>+VLOOKUP($A14,MAGAZZINO!$B$2:$M$100000,10,FALSE)</f>
        <v/>
      </c>
      <c r="K14" s="3">
        <f>+VLOOKUP($A14,MAGAZZINO!$B$2:$M$100000,11,FALSE)</f>
        <v/>
      </c>
      <c r="L14" s="5">
        <f>+VLOOKUP($A14,MAGAZZINO!$B$2:$M$100000,12,FALSE)</f>
        <v/>
      </c>
      <c r="M14" s="47" t="n"/>
      <c r="N14" s="88" t="n">
        <v>45609</v>
      </c>
      <c r="O14" s="91" t="inlineStr">
        <is>
          <t>HS &amp; LLC (OMAN)</t>
        </is>
      </c>
      <c r="P14" s="154" t="inlineStr">
        <is>
          <t>IMPORT LICENSE N. 24/1/2463/1/2024 DEL 05/05/2024                                                              AUT. ESPORTAZIONE MULTIPLA N. 6B/2024/2M RILASCIATA IL 30/07/2024   (LICENZA DI SCARICO N. 6B/2024/1S RILASCIATA IL 06/11/2024)</t>
        </is>
      </c>
      <c r="Q14" s="150" t="n"/>
      <c r="R14" s="150" t="n"/>
      <c r="S14" s="153" t="n"/>
    </row>
    <row r="15" ht="36" customHeight="1">
      <c r="A15" s="46" t="n">
        <v>2345</v>
      </c>
      <c r="B15" s="4">
        <f>+VLOOKUP($A15,MAGAZZINO!$B$2:$M$100000,2,FALSE)</f>
        <v/>
      </c>
      <c r="C15" s="29">
        <f>+VLOOKUP($A15,MAGAZZINO!$B$2:$M$100000,3,FALSE)</f>
        <v/>
      </c>
      <c r="D15" s="3">
        <f>+VLOOKUP($A15,MAGAZZINO!$B$2:$M$100000,4,FALSE)</f>
        <v/>
      </c>
      <c r="E15" s="3">
        <f>+VLOOKUP($A15,MAGAZZINO!$B$2:$M$100000,5,FALSE)</f>
        <v/>
      </c>
      <c r="F15" s="3">
        <f>+VLOOKUP($A15,MAGAZZINO!$B$2:$M$100000,6,FALSE)</f>
        <v/>
      </c>
      <c r="G15" s="3">
        <f>+VLOOKUP($A15,MAGAZZINO!$B$2:$M$100000,7,FALSE)</f>
        <v/>
      </c>
      <c r="H15" s="3">
        <f>+VLOOKUP($A15,MAGAZZINO!$B$2:$M$100000,8,FALSE)</f>
        <v/>
      </c>
      <c r="I15" s="3">
        <f>+VLOOKUP($A15,MAGAZZINO!$B$2:$M$100000,9,FALSE)</f>
        <v/>
      </c>
      <c r="J15" s="3">
        <f>+VLOOKUP($A15,MAGAZZINO!$B$2:$M$100000,10,FALSE)</f>
        <v/>
      </c>
      <c r="K15" s="3">
        <f>+VLOOKUP($A15,MAGAZZINO!$B$2:$M$100000,11,FALSE)</f>
        <v/>
      </c>
      <c r="L15" s="5">
        <f>+VLOOKUP($A15,MAGAZZINO!$B$2:$M$100000,12,FALSE)</f>
        <v/>
      </c>
      <c r="M15" s="47" t="n"/>
      <c r="N15" s="88" t="n">
        <v>45609</v>
      </c>
      <c r="O15" s="91" t="inlineStr">
        <is>
          <t>HS &amp; LLC (OMAN)</t>
        </is>
      </c>
      <c r="P15" s="154" t="inlineStr">
        <is>
          <t>IMPORT LICENSE N. 24/1/2463/1/2024 DEL 05/05/2024                                                              AUT. ESPORTAZIONE MULTIPLA N. 6B/2024/2M RILASCIATA IL 30/07/2024   (LICENZA DI SCARICO N. 6B/2024/1S RILASCIATA IL 06/11/2024)</t>
        </is>
      </c>
      <c r="Q15" s="150" t="n"/>
      <c r="R15" s="150" t="n"/>
      <c r="S15" s="153" t="n"/>
    </row>
    <row r="16" ht="36" customHeight="1">
      <c r="A16" s="46" t="n">
        <v>2346</v>
      </c>
      <c r="B16" s="4">
        <f>+VLOOKUP($A16,MAGAZZINO!$B$2:$M$100000,2,FALSE)</f>
        <v/>
      </c>
      <c r="C16" s="29">
        <f>+VLOOKUP($A16,MAGAZZINO!$B$2:$M$100000,3,FALSE)</f>
        <v/>
      </c>
      <c r="D16" s="3">
        <f>+VLOOKUP($A16,MAGAZZINO!$B$2:$M$100000,4,FALSE)</f>
        <v/>
      </c>
      <c r="E16" s="3">
        <f>+VLOOKUP($A16,MAGAZZINO!$B$2:$M$100000,5,FALSE)</f>
        <v/>
      </c>
      <c r="F16" s="3">
        <f>+VLOOKUP($A16,MAGAZZINO!$B$2:$M$100000,6,FALSE)</f>
        <v/>
      </c>
      <c r="G16" s="3">
        <f>+VLOOKUP($A16,MAGAZZINO!$B$2:$M$100000,7,FALSE)</f>
        <v/>
      </c>
      <c r="H16" s="3">
        <f>+VLOOKUP($A16,MAGAZZINO!$B$2:$M$100000,8,FALSE)</f>
        <v/>
      </c>
      <c r="I16" s="3">
        <f>+VLOOKUP($A16,MAGAZZINO!$B$2:$M$100000,9,FALSE)</f>
        <v/>
      </c>
      <c r="J16" s="3">
        <f>+VLOOKUP($A16,MAGAZZINO!$B$2:$M$100000,10,FALSE)</f>
        <v/>
      </c>
      <c r="K16" s="3">
        <f>+VLOOKUP($A16,MAGAZZINO!$B$2:$M$100000,11,FALSE)</f>
        <v/>
      </c>
      <c r="L16" s="5">
        <f>+VLOOKUP($A16,MAGAZZINO!$B$2:$M$100000,12,FALSE)</f>
        <v/>
      </c>
      <c r="M16" s="47" t="n"/>
      <c r="N16" s="88" t="n">
        <v>45609</v>
      </c>
      <c r="O16" s="91" t="inlineStr">
        <is>
          <t>HS &amp; LLC (OMAN)</t>
        </is>
      </c>
      <c r="P16" s="154" t="inlineStr">
        <is>
          <t>IMPORT LICENSE N. 24/1/2463/1/2024 DEL 05/05/2024                                                              AUT. ESPORTAZIONE MULTIPLA N. 6B/2024/2M RILASCIATA IL 30/07/2024   (LICENZA DI SCARICO N. 6B/2024/1S RILASCIATA IL 06/11/2024)</t>
        </is>
      </c>
      <c r="Q16" s="150" t="n"/>
      <c r="R16" s="150" t="n"/>
      <c r="S16" s="153" t="n"/>
    </row>
    <row r="17" ht="36" customHeight="1">
      <c r="A17" s="46" t="n">
        <v>2347</v>
      </c>
      <c r="B17" s="4">
        <f>+VLOOKUP($A17,MAGAZZINO!$B$2:$M$100000,2,FALSE)</f>
        <v/>
      </c>
      <c r="C17" s="29">
        <f>+VLOOKUP($A17,MAGAZZINO!$B$2:$M$100000,3,FALSE)</f>
        <v/>
      </c>
      <c r="D17" s="3">
        <f>+VLOOKUP($A17,MAGAZZINO!$B$2:$M$100000,4,FALSE)</f>
        <v/>
      </c>
      <c r="E17" s="3">
        <f>+VLOOKUP($A17,MAGAZZINO!$B$2:$M$100000,5,FALSE)</f>
        <v/>
      </c>
      <c r="F17" s="3">
        <f>+VLOOKUP($A17,MAGAZZINO!$B$2:$M$100000,6,FALSE)</f>
        <v/>
      </c>
      <c r="G17" s="3">
        <f>+VLOOKUP($A17,MAGAZZINO!$B$2:$M$100000,7,FALSE)</f>
        <v/>
      </c>
      <c r="H17" s="3">
        <f>+VLOOKUP($A17,MAGAZZINO!$B$2:$M$100000,8,FALSE)</f>
        <v/>
      </c>
      <c r="I17" s="3">
        <f>+VLOOKUP($A17,MAGAZZINO!$B$2:$M$100000,9,FALSE)</f>
        <v/>
      </c>
      <c r="J17" s="3">
        <f>+VLOOKUP($A17,MAGAZZINO!$B$2:$M$100000,10,FALSE)</f>
        <v/>
      </c>
      <c r="K17" s="3">
        <f>+VLOOKUP($A17,MAGAZZINO!$B$2:$M$100000,11,FALSE)</f>
        <v/>
      </c>
      <c r="L17" s="5">
        <f>+VLOOKUP($A17,MAGAZZINO!$B$2:$M$100000,12,FALSE)</f>
        <v/>
      </c>
      <c r="M17" s="47" t="n"/>
      <c r="N17" s="89" t="inlineStr">
        <is>
          <t>08/11/2024   12/11/2024   13/11/2024</t>
        </is>
      </c>
      <c r="O17" s="92" t="inlineStr">
        <is>
          <t>BRUGAR SRL MARCHENO (BS)        B.C.W. SRL RIPRESO IN CARICO              HS &amp; LLC (OMAN)</t>
        </is>
      </c>
      <c r="P17" s="162" t="inlineStr">
        <is>
          <t>D.D.T. N. 15 DEL 08/11/2024  ATA  N. 10  DEL 05/11/2024                                                                                                                                          D.D.T. N. 2024-1820/M RIPRESO IN CARICO  ATA N. 6C-P06012400011801 DEL 08/11/2024                                              IMPORT LICENSE N. 24/1/2463/1/2024 DEL 05/05/2024  AUT. ESPORTAZIONE MULTIPLA N. 6B/2024/2M  RILASCIATA                                         IL 30/07/2024  (LICENZA DI SCARICO N. 6B/2024/1S RILASCIATA IL  N. /11/2024)</t>
        </is>
      </c>
      <c r="Q17" s="150" t="n"/>
      <c r="R17" s="150" t="n"/>
      <c r="S17" s="153" t="n"/>
    </row>
    <row r="18" ht="36" customHeight="1">
      <c r="A18" s="46" t="n">
        <v>2348</v>
      </c>
      <c r="B18" s="4">
        <f>+VLOOKUP($A18,MAGAZZINO!$B$2:$M$100000,2,FALSE)</f>
        <v/>
      </c>
      <c r="C18" s="29">
        <f>+VLOOKUP($A18,MAGAZZINO!$B$2:$M$100000,3,FALSE)</f>
        <v/>
      </c>
      <c r="D18" s="3">
        <f>+VLOOKUP($A18,MAGAZZINO!$B$2:$M$100000,4,FALSE)</f>
        <v/>
      </c>
      <c r="E18" s="3">
        <f>+VLOOKUP($A18,MAGAZZINO!$B$2:$M$100000,5,FALSE)</f>
        <v/>
      </c>
      <c r="F18" s="3">
        <f>+VLOOKUP($A18,MAGAZZINO!$B$2:$M$100000,6,FALSE)</f>
        <v/>
      </c>
      <c r="G18" s="3">
        <f>+VLOOKUP($A18,MAGAZZINO!$B$2:$M$100000,7,FALSE)</f>
        <v/>
      </c>
      <c r="H18" s="3">
        <f>+VLOOKUP($A18,MAGAZZINO!$B$2:$M$100000,8,FALSE)</f>
        <v/>
      </c>
      <c r="I18" s="3">
        <f>+VLOOKUP($A18,MAGAZZINO!$B$2:$M$100000,9,FALSE)</f>
        <v/>
      </c>
      <c r="J18" s="3">
        <f>+VLOOKUP($A18,MAGAZZINO!$B$2:$M$100000,10,FALSE)</f>
        <v/>
      </c>
      <c r="K18" s="3">
        <f>+VLOOKUP($A18,MAGAZZINO!$B$2:$M$100000,11,FALSE)</f>
        <v/>
      </c>
      <c r="L18" s="5">
        <f>+VLOOKUP($A18,MAGAZZINO!$B$2:$M$100000,12,FALSE)</f>
        <v/>
      </c>
      <c r="M18" s="47" t="n"/>
      <c r="N18" s="89" t="inlineStr">
        <is>
          <t>08/11/2024   12/11/2024   13/11/2024</t>
        </is>
      </c>
      <c r="O18" s="92" t="inlineStr">
        <is>
          <t>BRUGAR SRL MARCHENO (BS)        B.C.W. SRL RIPRESO IN CARICO              HS &amp; LLC (OMAN)</t>
        </is>
      </c>
      <c r="P18" s="162" t="inlineStr">
        <is>
          <t>D.D.T. N. 15 DEL 08/11/2024  ATA  N. 10  DEL 05/11/2024                                                                                                                                          D.D.T. N. 2024-1820/M RIPRESO IN CARICO  ATA N. 6C-P06012400011801 DEL 08/11/2024                                              IMPORT LICENSE N. 24/1/2463/1/2024 DEL 05/05/2024  AUT. ESPORTAZIONE MULTIPLA N. 6B/2024/2M  RILASCIATA                                         IL 30/07/2024  (LICENZA DI SCARICO N. 6B/2024/1S RILASCIATA IL  N. /11/2024)</t>
        </is>
      </c>
      <c r="Q18" s="150" t="n"/>
      <c r="R18" s="150" t="n"/>
      <c r="S18" s="153" t="n"/>
    </row>
    <row r="19" ht="36" customHeight="1">
      <c r="A19" s="46" t="n">
        <v>2349</v>
      </c>
      <c r="B19" s="4">
        <f>+VLOOKUP($A19,MAGAZZINO!$B$2:$M$100000,2,FALSE)</f>
        <v/>
      </c>
      <c r="C19" s="29">
        <f>+VLOOKUP($A19,MAGAZZINO!$B$2:$M$100000,3,FALSE)</f>
        <v/>
      </c>
      <c r="D19" s="3">
        <f>+VLOOKUP($A19,MAGAZZINO!$B$2:$M$100000,4,FALSE)</f>
        <v/>
      </c>
      <c r="E19" s="3">
        <f>+VLOOKUP($A19,MAGAZZINO!$B$2:$M$100000,5,FALSE)</f>
        <v/>
      </c>
      <c r="F19" s="3">
        <f>+VLOOKUP($A19,MAGAZZINO!$B$2:$M$100000,6,FALSE)</f>
        <v/>
      </c>
      <c r="G19" s="3">
        <f>+VLOOKUP($A19,MAGAZZINO!$B$2:$M$100000,7,FALSE)</f>
        <v/>
      </c>
      <c r="H19" s="3">
        <f>+VLOOKUP($A19,MAGAZZINO!$B$2:$M$100000,8,FALSE)</f>
        <v/>
      </c>
      <c r="I19" s="3">
        <f>+VLOOKUP($A19,MAGAZZINO!$B$2:$M$100000,9,FALSE)</f>
        <v/>
      </c>
      <c r="J19" s="3">
        <f>+VLOOKUP($A19,MAGAZZINO!$B$2:$M$100000,10,FALSE)</f>
        <v/>
      </c>
      <c r="K19" s="3">
        <f>+VLOOKUP($A19,MAGAZZINO!$B$2:$M$100000,11,FALSE)</f>
        <v/>
      </c>
      <c r="L19" s="5">
        <f>+VLOOKUP($A19,MAGAZZINO!$B$2:$M$100000,12,FALSE)</f>
        <v/>
      </c>
      <c r="M19" s="47" t="n"/>
      <c r="N19" s="88" t="n">
        <v>45609</v>
      </c>
      <c r="O19" s="91" t="inlineStr">
        <is>
          <t>HS &amp; LLC (OMAN)</t>
        </is>
      </c>
      <c r="P19" s="154" t="inlineStr">
        <is>
          <t>IMPORT LICENSE N. 24/1/2463/1/2024 DEL 05/05/2024                                                              AUT. ESPORTAZIONE MULTIPLA N. 6B/2024/2M RILASCIATA IL 30/07/2024   (LICENZA DI SCARICO N. 6B/2024/1S RILASCIATA IL 06/11/2024)</t>
        </is>
      </c>
      <c r="Q19" s="150" t="n"/>
      <c r="R19" s="150" t="n"/>
      <c r="S19" s="153" t="n"/>
    </row>
    <row r="20" ht="36" customHeight="1">
      <c r="A20" s="46" t="n">
        <v>2350</v>
      </c>
      <c r="B20" s="4">
        <f>+VLOOKUP($A20,MAGAZZINO!$B$2:$M$100000,2,FALSE)</f>
        <v/>
      </c>
      <c r="C20" s="29">
        <f>+VLOOKUP($A20,MAGAZZINO!$B$2:$M$100000,3,FALSE)</f>
        <v/>
      </c>
      <c r="D20" s="3">
        <f>+VLOOKUP($A20,MAGAZZINO!$B$2:$M$100000,4,FALSE)</f>
        <v/>
      </c>
      <c r="E20" s="3">
        <f>+VLOOKUP($A20,MAGAZZINO!$B$2:$M$100000,5,FALSE)</f>
        <v/>
      </c>
      <c r="F20" s="3">
        <f>+VLOOKUP($A20,MAGAZZINO!$B$2:$M$100000,6,FALSE)</f>
        <v/>
      </c>
      <c r="G20" s="3">
        <f>+VLOOKUP($A20,MAGAZZINO!$B$2:$M$100000,7,FALSE)</f>
        <v/>
      </c>
      <c r="H20" s="3">
        <f>+VLOOKUP($A20,MAGAZZINO!$B$2:$M$100000,8,FALSE)</f>
        <v/>
      </c>
      <c r="I20" s="3">
        <f>+VLOOKUP($A20,MAGAZZINO!$B$2:$M$100000,9,FALSE)</f>
        <v/>
      </c>
      <c r="J20" s="3">
        <f>+VLOOKUP($A20,MAGAZZINO!$B$2:$M$100000,10,FALSE)</f>
        <v/>
      </c>
      <c r="K20" s="3">
        <f>+VLOOKUP($A20,MAGAZZINO!$B$2:$M$100000,11,FALSE)</f>
        <v/>
      </c>
      <c r="L20" s="5">
        <f>+VLOOKUP($A20,MAGAZZINO!$B$2:$M$100000,12,FALSE)</f>
        <v/>
      </c>
      <c r="M20" s="47" t="n"/>
      <c r="N20" s="88" t="n">
        <v>45609</v>
      </c>
      <c r="O20" s="91" t="inlineStr">
        <is>
          <t>HS &amp; LLC (OMAN)</t>
        </is>
      </c>
      <c r="P20" s="154" t="inlineStr">
        <is>
          <t>IMPORT LICENSE N. 24/1/2463/1/2024 DEL 05/05/2024                                                              AUT. ESPORTAZIONE MULTIPLA N. 6B/2024/2M RILASCIATA IL 30/07/2024   (LICENZA DI SCARICO N. 6B/2024/1S RILASCIATA IL 06/11/2024)</t>
        </is>
      </c>
      <c r="Q20" s="150" t="n"/>
      <c r="R20" s="150" t="n"/>
      <c r="S20" s="153" t="n"/>
    </row>
    <row r="21" ht="36" customHeight="1">
      <c r="A21" s="46" t="n">
        <v>2351</v>
      </c>
      <c r="B21" s="4">
        <f>+VLOOKUP($A21,MAGAZZINO!$B$2:$M$100000,2,FALSE)</f>
        <v/>
      </c>
      <c r="C21" s="29">
        <f>+VLOOKUP($A21,MAGAZZINO!$B$2:$M$100000,3,FALSE)</f>
        <v/>
      </c>
      <c r="D21" s="3">
        <f>+VLOOKUP($A21,MAGAZZINO!$B$2:$M$100000,4,FALSE)</f>
        <v/>
      </c>
      <c r="E21" s="3">
        <f>+VLOOKUP($A21,MAGAZZINO!$B$2:$M$100000,5,FALSE)</f>
        <v/>
      </c>
      <c r="F21" s="3">
        <f>+VLOOKUP($A21,MAGAZZINO!$B$2:$M$100000,6,FALSE)</f>
        <v/>
      </c>
      <c r="G21" s="3">
        <f>+VLOOKUP($A21,MAGAZZINO!$B$2:$M$100000,7,FALSE)</f>
        <v/>
      </c>
      <c r="H21" s="3">
        <f>+VLOOKUP($A21,MAGAZZINO!$B$2:$M$100000,8,FALSE)</f>
        <v/>
      </c>
      <c r="I21" s="3">
        <f>+VLOOKUP($A21,MAGAZZINO!$B$2:$M$100000,9,FALSE)</f>
        <v/>
      </c>
      <c r="J21" s="3">
        <f>+VLOOKUP($A21,MAGAZZINO!$B$2:$M$100000,10,FALSE)</f>
        <v/>
      </c>
      <c r="K21" s="3">
        <f>+VLOOKUP($A21,MAGAZZINO!$B$2:$M$100000,11,FALSE)</f>
        <v/>
      </c>
      <c r="L21" s="5">
        <f>+VLOOKUP($A21,MAGAZZINO!$B$2:$M$100000,12,FALSE)</f>
        <v/>
      </c>
      <c r="M21" s="47" t="n"/>
      <c r="N21" s="88" t="n">
        <v>45609</v>
      </c>
      <c r="O21" s="91" t="inlineStr">
        <is>
          <t>HS &amp; LLC (OMAN)</t>
        </is>
      </c>
      <c r="P21" s="154" t="inlineStr">
        <is>
          <t>IMPORT LICENSE N. 24/1/2463/1/2024 DEL 05/05/2024                                                              AUT. ESPORTAZIONE MULTIPLA N. 6B/2024/2M RILASCIATA IL 30/07/2024   (LICENZA DI SCARICO N. 6B/2024/1S RILASCIATA IL 06/11/2024)</t>
        </is>
      </c>
      <c r="Q21" s="150" t="n"/>
      <c r="R21" s="150" t="n"/>
      <c r="S21" s="153" t="n"/>
    </row>
    <row r="22" ht="36" customHeight="1">
      <c r="A22" s="46" t="n">
        <v>2352</v>
      </c>
      <c r="B22" s="4">
        <f>+VLOOKUP($A22,MAGAZZINO!$B$2:$M$100000,2,FALSE)</f>
        <v/>
      </c>
      <c r="C22" s="29">
        <f>+VLOOKUP($A22,MAGAZZINO!$B$2:$M$100000,3,FALSE)</f>
        <v/>
      </c>
      <c r="D22" s="3">
        <f>+VLOOKUP($A22,MAGAZZINO!$B$2:$M$100000,4,FALSE)</f>
        <v/>
      </c>
      <c r="E22" s="3">
        <f>+VLOOKUP($A22,MAGAZZINO!$B$2:$M$100000,5,FALSE)</f>
        <v/>
      </c>
      <c r="F22" s="3">
        <f>+VLOOKUP($A22,MAGAZZINO!$B$2:$M$100000,6,FALSE)</f>
        <v/>
      </c>
      <c r="G22" s="3">
        <f>+VLOOKUP($A22,MAGAZZINO!$B$2:$M$100000,7,FALSE)</f>
        <v/>
      </c>
      <c r="H22" s="3">
        <f>+VLOOKUP($A22,MAGAZZINO!$B$2:$M$100000,8,FALSE)</f>
        <v/>
      </c>
      <c r="I22" s="3">
        <f>+VLOOKUP($A22,MAGAZZINO!$B$2:$M$100000,9,FALSE)</f>
        <v/>
      </c>
      <c r="J22" s="3">
        <f>+VLOOKUP($A22,MAGAZZINO!$B$2:$M$100000,10,FALSE)</f>
        <v/>
      </c>
      <c r="K22" s="3">
        <f>+VLOOKUP($A22,MAGAZZINO!$B$2:$M$100000,11,FALSE)</f>
        <v/>
      </c>
      <c r="L22" s="5">
        <f>+VLOOKUP($A22,MAGAZZINO!$B$2:$M$100000,12,FALSE)</f>
        <v/>
      </c>
      <c r="M22" s="47" t="n"/>
      <c r="N22" s="88" t="n">
        <v>45609</v>
      </c>
      <c r="O22" s="91" t="inlineStr">
        <is>
          <t>HS &amp; LLC (OMAN)</t>
        </is>
      </c>
      <c r="P22" s="154" t="inlineStr">
        <is>
          <t>IMPORT LICENSE N. 24/1/2463/1/2024 DEL 05/05/2024                                                              AUT. ESPORTAZIONE MULTIPLA N. 6B/2024/2M RILASCIATA IL 30/07/2024   (LICENZA DI SCARICO N. 6B/2024/1S RILASCIATA IL 06/11/2024)</t>
        </is>
      </c>
      <c r="Q22" s="150" t="n"/>
      <c r="R22" s="150" t="n"/>
      <c r="S22" s="153" t="n"/>
    </row>
    <row r="23" ht="36" customHeight="1">
      <c r="A23" s="46" t="n">
        <v>2353</v>
      </c>
      <c r="B23" s="4">
        <f>+VLOOKUP($A23,MAGAZZINO!$B$2:$M$100000,2,FALSE)</f>
        <v/>
      </c>
      <c r="C23" s="29">
        <f>+VLOOKUP($A23,MAGAZZINO!$B$2:$M$100000,3,FALSE)</f>
        <v/>
      </c>
      <c r="D23" s="3">
        <f>+VLOOKUP($A23,MAGAZZINO!$B$2:$M$100000,4,FALSE)</f>
        <v/>
      </c>
      <c r="E23" s="3">
        <f>+VLOOKUP($A23,MAGAZZINO!$B$2:$M$100000,5,FALSE)</f>
        <v/>
      </c>
      <c r="F23" s="3">
        <f>+VLOOKUP($A23,MAGAZZINO!$B$2:$M$100000,6,FALSE)</f>
        <v/>
      </c>
      <c r="G23" s="3">
        <f>+VLOOKUP($A23,MAGAZZINO!$B$2:$M$100000,7,FALSE)</f>
        <v/>
      </c>
      <c r="H23" s="3">
        <f>+VLOOKUP($A23,MAGAZZINO!$B$2:$M$100000,8,FALSE)</f>
        <v/>
      </c>
      <c r="I23" s="3">
        <f>+VLOOKUP($A23,MAGAZZINO!$B$2:$M$100000,9,FALSE)</f>
        <v/>
      </c>
      <c r="J23" s="3">
        <f>+VLOOKUP($A23,MAGAZZINO!$B$2:$M$100000,10,FALSE)</f>
        <v/>
      </c>
      <c r="K23" s="3">
        <f>+VLOOKUP($A23,MAGAZZINO!$B$2:$M$100000,11,FALSE)</f>
        <v/>
      </c>
      <c r="L23" s="5">
        <f>+VLOOKUP($A23,MAGAZZINO!$B$2:$M$100000,12,FALSE)</f>
        <v/>
      </c>
      <c r="M23" s="47" t="n"/>
      <c r="N23" s="88" t="n">
        <v>45609</v>
      </c>
      <c r="O23" s="91" t="inlineStr">
        <is>
          <t>HS &amp; LLC (OMAN)</t>
        </is>
      </c>
      <c r="P23" s="154" t="inlineStr">
        <is>
          <t>IMPORT LICENSE N. 24/1/2463/1/2024 DEL 05/05/2024                                                              AUT. ESPORTAZIONE MULTIPLA N. 6B/2024/2M RILASCIATA IL 30/07/2024   (LICENZA DI SCARICO N. 6B/2024/1S RILASCIATA IL 06/11/2024)</t>
        </is>
      </c>
      <c r="Q23" s="150" t="n"/>
      <c r="R23" s="150" t="n"/>
      <c r="S23" s="153" t="n"/>
    </row>
    <row r="24" ht="36" customHeight="1">
      <c r="A24" s="46" t="n">
        <v>2354</v>
      </c>
      <c r="B24" s="4">
        <f>+VLOOKUP($A24,MAGAZZINO!$B$2:$M$100000,2,FALSE)</f>
        <v/>
      </c>
      <c r="C24" s="29">
        <f>+VLOOKUP($A24,MAGAZZINO!$B$2:$M$100000,3,FALSE)</f>
        <v/>
      </c>
      <c r="D24" s="3">
        <f>+VLOOKUP($A24,MAGAZZINO!$B$2:$M$100000,4,FALSE)</f>
        <v/>
      </c>
      <c r="E24" s="3">
        <f>+VLOOKUP($A24,MAGAZZINO!$B$2:$M$100000,5,FALSE)</f>
        <v/>
      </c>
      <c r="F24" s="3">
        <f>+VLOOKUP($A24,MAGAZZINO!$B$2:$M$100000,6,FALSE)</f>
        <v/>
      </c>
      <c r="G24" s="3">
        <f>+VLOOKUP($A24,MAGAZZINO!$B$2:$M$100000,7,FALSE)</f>
        <v/>
      </c>
      <c r="H24" s="3">
        <f>+VLOOKUP($A24,MAGAZZINO!$B$2:$M$100000,8,FALSE)</f>
        <v/>
      </c>
      <c r="I24" s="3">
        <f>+VLOOKUP($A24,MAGAZZINO!$B$2:$M$100000,9,FALSE)</f>
        <v/>
      </c>
      <c r="J24" s="3">
        <f>+VLOOKUP($A24,MAGAZZINO!$B$2:$M$100000,10,FALSE)</f>
        <v/>
      </c>
      <c r="K24" s="3">
        <f>+VLOOKUP($A24,MAGAZZINO!$B$2:$M$100000,11,FALSE)</f>
        <v/>
      </c>
      <c r="L24" s="5">
        <f>+VLOOKUP($A24,MAGAZZINO!$B$2:$M$100000,12,FALSE)</f>
        <v/>
      </c>
      <c r="M24" s="47" t="n"/>
      <c r="N24" s="88" t="n">
        <v>45609</v>
      </c>
      <c r="O24" s="91" t="inlineStr">
        <is>
          <t>HS &amp; LLC (OMAN)</t>
        </is>
      </c>
      <c r="P24" s="154" t="inlineStr">
        <is>
          <t>IMPORT LICENSE N. 24/1/2463/1/2024 DEL 05/05/2024                                                              AUT. ESPORTAZIONE MULTIPLA N. 6B/2024/2M RILASCIATA IL 30/07/2024   (LICENZA DI SCARICO N. 6B/2024/1S RILASCIATA IL 06/11/2024)</t>
        </is>
      </c>
      <c r="Q24" s="150" t="n"/>
      <c r="R24" s="150" t="n"/>
      <c r="S24" s="153" t="n"/>
    </row>
    <row r="25" ht="36" customHeight="1">
      <c r="A25" s="46" t="n">
        <v>2355</v>
      </c>
      <c r="B25" s="4">
        <f>+VLOOKUP($A25,MAGAZZINO!$B$2:$M$100000,2,FALSE)</f>
        <v/>
      </c>
      <c r="C25" s="29">
        <f>+VLOOKUP($A25,MAGAZZINO!$B$2:$M$100000,3,FALSE)</f>
        <v/>
      </c>
      <c r="D25" s="3">
        <f>+VLOOKUP($A25,MAGAZZINO!$B$2:$M$100000,4,FALSE)</f>
        <v/>
      </c>
      <c r="E25" s="3">
        <f>+VLOOKUP($A25,MAGAZZINO!$B$2:$M$100000,5,FALSE)</f>
        <v/>
      </c>
      <c r="F25" s="3">
        <f>+VLOOKUP($A25,MAGAZZINO!$B$2:$M$100000,6,FALSE)</f>
        <v/>
      </c>
      <c r="G25" s="3">
        <f>+VLOOKUP($A25,MAGAZZINO!$B$2:$M$100000,7,FALSE)</f>
        <v/>
      </c>
      <c r="H25" s="3">
        <f>+VLOOKUP($A25,MAGAZZINO!$B$2:$M$100000,8,FALSE)</f>
        <v/>
      </c>
      <c r="I25" s="3">
        <f>+VLOOKUP($A25,MAGAZZINO!$B$2:$M$100000,9,FALSE)</f>
        <v/>
      </c>
      <c r="J25" s="3">
        <f>+VLOOKUP($A25,MAGAZZINO!$B$2:$M$100000,10,FALSE)</f>
        <v/>
      </c>
      <c r="K25" s="3">
        <f>+VLOOKUP($A25,MAGAZZINO!$B$2:$M$100000,11,FALSE)</f>
        <v/>
      </c>
      <c r="L25" s="5">
        <f>+VLOOKUP($A25,MAGAZZINO!$B$2:$M$100000,12,FALSE)</f>
        <v/>
      </c>
      <c r="M25" s="47" t="n"/>
      <c r="N25" s="88" t="n">
        <v>45609</v>
      </c>
      <c r="O25" s="91" t="inlineStr">
        <is>
          <t>HS &amp; LLC (OMAN)</t>
        </is>
      </c>
      <c r="P25" s="154" t="inlineStr">
        <is>
          <t>IMPORT LICENSE N. 24/1/2463/1/2024 DEL 05/05/2024                                                              AUT. ESPORTAZIONE MULTIPLA N. 6B/2024/2M RILASCIATA IL 30/07/2024   (LICENZA DI SCARICO N. 6B/2024/1S RILASCIATA IL 06/11/2024)</t>
        </is>
      </c>
      <c r="Q25" s="150" t="n"/>
      <c r="R25" s="150" t="n"/>
      <c r="S25" s="153" t="n"/>
    </row>
    <row r="26" ht="36" customHeight="1">
      <c r="A26" s="46" t="n">
        <v>2356</v>
      </c>
      <c r="B26" s="4">
        <f>+VLOOKUP($A26,MAGAZZINO!$B$2:$M$100000,2,FALSE)</f>
        <v/>
      </c>
      <c r="C26" s="29">
        <f>+VLOOKUP($A26,MAGAZZINO!$B$2:$M$100000,3,FALSE)</f>
        <v/>
      </c>
      <c r="D26" s="3">
        <f>+VLOOKUP($A26,MAGAZZINO!$B$2:$M$100000,4,FALSE)</f>
        <v/>
      </c>
      <c r="E26" s="3">
        <f>+VLOOKUP($A26,MAGAZZINO!$B$2:$M$100000,5,FALSE)</f>
        <v/>
      </c>
      <c r="F26" s="3">
        <f>+VLOOKUP($A26,MAGAZZINO!$B$2:$M$100000,6,FALSE)</f>
        <v/>
      </c>
      <c r="G26" s="3">
        <f>+VLOOKUP($A26,MAGAZZINO!$B$2:$M$100000,7,FALSE)</f>
        <v/>
      </c>
      <c r="H26" s="3">
        <f>+VLOOKUP($A26,MAGAZZINO!$B$2:$M$100000,8,FALSE)</f>
        <v/>
      </c>
      <c r="I26" s="3">
        <f>+VLOOKUP($A26,MAGAZZINO!$B$2:$M$100000,9,FALSE)</f>
        <v/>
      </c>
      <c r="J26" s="3">
        <f>+VLOOKUP($A26,MAGAZZINO!$B$2:$M$100000,10,FALSE)</f>
        <v/>
      </c>
      <c r="K26" s="3">
        <f>+VLOOKUP($A26,MAGAZZINO!$B$2:$M$100000,11,FALSE)</f>
        <v/>
      </c>
      <c r="L26" s="5">
        <f>+VLOOKUP($A26,MAGAZZINO!$B$2:$M$100000,12,FALSE)</f>
        <v/>
      </c>
      <c r="M26" s="47" t="n"/>
      <c r="N26" s="88" t="n">
        <v>45609</v>
      </c>
      <c r="O26" s="91" t="inlineStr">
        <is>
          <t>HS &amp; LLC (OMAN)</t>
        </is>
      </c>
      <c r="P26" s="154" t="inlineStr">
        <is>
          <t>IMPORT LICENSE N. 24/1/2463/1/2024 DEL 05/05/2024                                                              AUT. ESPORTAZIONE MULTIPLA N. 6B/2024/2M RILASCIATA IL 30/07/2024   (LICENZA DI SCARICO N. 6B/2024/1S RILASCIATA IL 06/11/2024)</t>
        </is>
      </c>
      <c r="Q26" s="150" t="n"/>
      <c r="R26" s="150" t="n"/>
      <c r="S26" s="153" t="n"/>
    </row>
    <row r="27" ht="36" customHeight="1">
      <c r="A27" s="46" t="n">
        <v>2357</v>
      </c>
      <c r="B27" s="4">
        <f>+VLOOKUP($A27,MAGAZZINO!$B$2:$M$100000,2,FALSE)</f>
        <v/>
      </c>
      <c r="C27" s="29">
        <f>+VLOOKUP($A27,MAGAZZINO!$B$2:$M$100000,3,FALSE)</f>
        <v/>
      </c>
      <c r="D27" s="3">
        <f>+VLOOKUP($A27,MAGAZZINO!$B$2:$M$100000,4,FALSE)</f>
        <v/>
      </c>
      <c r="E27" s="3">
        <f>+VLOOKUP($A27,MAGAZZINO!$B$2:$M$100000,5,FALSE)</f>
        <v/>
      </c>
      <c r="F27" s="3">
        <f>+VLOOKUP($A27,MAGAZZINO!$B$2:$M$100000,6,FALSE)</f>
        <v/>
      </c>
      <c r="G27" s="3">
        <f>+VLOOKUP($A27,MAGAZZINO!$B$2:$M$100000,7,FALSE)</f>
        <v/>
      </c>
      <c r="H27" s="3">
        <f>+VLOOKUP($A27,MAGAZZINO!$B$2:$M$100000,8,FALSE)</f>
        <v/>
      </c>
      <c r="I27" s="3">
        <f>+VLOOKUP($A27,MAGAZZINO!$B$2:$M$100000,9,FALSE)</f>
        <v/>
      </c>
      <c r="J27" s="3">
        <f>+VLOOKUP($A27,MAGAZZINO!$B$2:$M$100000,10,FALSE)</f>
        <v/>
      </c>
      <c r="K27" s="3">
        <f>+VLOOKUP($A27,MAGAZZINO!$B$2:$M$100000,11,FALSE)</f>
        <v/>
      </c>
      <c r="L27" s="5">
        <f>+VLOOKUP($A27,MAGAZZINO!$B$2:$M$100000,12,FALSE)</f>
        <v/>
      </c>
      <c r="M27" s="47" t="n"/>
      <c r="N27" s="88" t="n">
        <v>45609</v>
      </c>
      <c r="O27" s="91" t="inlineStr">
        <is>
          <t>HS &amp; LLC (OMAN)</t>
        </is>
      </c>
      <c r="P27" s="154" t="inlineStr">
        <is>
          <t>IMPORT LICENSE N. 24/1/2463/1/2024 DEL 05/05/2024                                                              AUT. ESPORTAZIONE MULTIPLA N. 6B/2024/2M RILASCIATA IL 30/07/2024   (LICENZA DI SCARICO N. 6B/2024/1S RILASCIATA IL 06/11/2024)</t>
        </is>
      </c>
      <c r="Q27" s="150" t="n"/>
      <c r="R27" s="150" t="n"/>
      <c r="S27" s="153" t="n"/>
    </row>
    <row r="28" ht="36" customHeight="1">
      <c r="A28" s="46" t="n">
        <v>2358</v>
      </c>
      <c r="B28" s="4">
        <f>+VLOOKUP($A28,MAGAZZINO!$B$2:$M$100000,2,FALSE)</f>
        <v/>
      </c>
      <c r="C28" s="29">
        <f>+VLOOKUP($A28,MAGAZZINO!$B$2:$M$100000,3,FALSE)</f>
        <v/>
      </c>
      <c r="D28" s="3">
        <f>+VLOOKUP($A28,MAGAZZINO!$B$2:$M$100000,4,FALSE)</f>
        <v/>
      </c>
      <c r="E28" s="3">
        <f>+VLOOKUP($A28,MAGAZZINO!$B$2:$M$100000,5,FALSE)</f>
        <v/>
      </c>
      <c r="F28" s="3">
        <f>+VLOOKUP($A28,MAGAZZINO!$B$2:$M$100000,6,FALSE)</f>
        <v/>
      </c>
      <c r="G28" s="3">
        <f>+VLOOKUP($A28,MAGAZZINO!$B$2:$M$100000,7,FALSE)</f>
        <v/>
      </c>
      <c r="H28" s="3">
        <f>+VLOOKUP($A28,MAGAZZINO!$B$2:$M$100000,8,FALSE)</f>
        <v/>
      </c>
      <c r="I28" s="3">
        <f>+VLOOKUP($A28,MAGAZZINO!$B$2:$M$100000,9,FALSE)</f>
        <v/>
      </c>
      <c r="J28" s="3">
        <f>+VLOOKUP($A28,MAGAZZINO!$B$2:$M$100000,10,FALSE)</f>
        <v/>
      </c>
      <c r="K28" s="3">
        <f>+VLOOKUP($A28,MAGAZZINO!$B$2:$M$100000,11,FALSE)</f>
        <v/>
      </c>
      <c r="L28" s="5">
        <f>+VLOOKUP($A28,MAGAZZINO!$B$2:$M$100000,12,FALSE)</f>
        <v/>
      </c>
      <c r="M28" s="47" t="n"/>
      <c r="N28" s="88" t="n">
        <v>45609</v>
      </c>
      <c r="O28" s="91" t="inlineStr">
        <is>
          <t>HS &amp; LLC (OMAN)</t>
        </is>
      </c>
      <c r="P28" s="154" t="inlineStr">
        <is>
          <t>IMPORT LICENSE N. 24/1/2463/1/2024 DEL 05/05/2024                                                              AUT. ESPORTAZIONE MULTIPLA N. 6B/2024/2M RILASCIATA IL 30/07/2024   (LICENZA DI SCARICO N. 6B/2024/1S RILASCIATA IL 06/11/2024)</t>
        </is>
      </c>
      <c r="Q28" s="150" t="n"/>
      <c r="R28" s="150" t="n"/>
      <c r="S28" s="153" t="n"/>
    </row>
    <row r="29" ht="36" customHeight="1">
      <c r="A29" s="46" t="n">
        <v>2359</v>
      </c>
      <c r="B29" s="4">
        <f>+VLOOKUP($A29,MAGAZZINO!$B$2:$M$100000,2,FALSE)</f>
        <v/>
      </c>
      <c r="C29" s="29">
        <f>+VLOOKUP($A29,MAGAZZINO!$B$2:$M$100000,3,FALSE)</f>
        <v/>
      </c>
      <c r="D29" s="3">
        <f>+VLOOKUP($A29,MAGAZZINO!$B$2:$M$100000,4,FALSE)</f>
        <v/>
      </c>
      <c r="E29" s="3">
        <f>+VLOOKUP($A29,MAGAZZINO!$B$2:$M$100000,5,FALSE)</f>
        <v/>
      </c>
      <c r="F29" s="3">
        <f>+VLOOKUP($A29,MAGAZZINO!$B$2:$M$100000,6,FALSE)</f>
        <v/>
      </c>
      <c r="G29" s="3">
        <f>+VLOOKUP($A29,MAGAZZINO!$B$2:$M$100000,7,FALSE)</f>
        <v/>
      </c>
      <c r="H29" s="3">
        <f>+VLOOKUP($A29,MAGAZZINO!$B$2:$M$100000,8,FALSE)</f>
        <v/>
      </c>
      <c r="I29" s="3">
        <f>+VLOOKUP($A29,MAGAZZINO!$B$2:$M$100000,9,FALSE)</f>
        <v/>
      </c>
      <c r="J29" s="3">
        <f>+VLOOKUP($A29,MAGAZZINO!$B$2:$M$100000,10,FALSE)</f>
        <v/>
      </c>
      <c r="K29" s="3">
        <f>+VLOOKUP($A29,MAGAZZINO!$B$2:$M$100000,11,FALSE)</f>
        <v/>
      </c>
      <c r="L29" s="5">
        <f>+VLOOKUP($A29,MAGAZZINO!$B$2:$M$100000,12,FALSE)</f>
        <v/>
      </c>
      <c r="M29" s="47" t="n"/>
      <c r="N29" s="88" t="n">
        <v>45609</v>
      </c>
      <c r="O29" s="91" t="inlineStr">
        <is>
          <t>HS &amp; LLC (OMAN)</t>
        </is>
      </c>
      <c r="P29" s="154" t="inlineStr">
        <is>
          <t>IMPORT LICENSE N. 24/1/2463/1/2024 DEL 05/05/2024                                                              AUT. ESPORTAZIONE MULTIPLA N. 6B/2024/2M RILASCIATA IL 30/07/2024   (LICENZA DI SCARICO N. 6B/2024/1S RILASCIATA IL 06/11/2024)</t>
        </is>
      </c>
      <c r="Q29" s="150" t="n"/>
      <c r="R29" s="150" t="n"/>
      <c r="S29" s="153" t="n"/>
    </row>
    <row r="30" ht="36" customHeight="1">
      <c r="A30" s="46" t="n">
        <v>2360</v>
      </c>
      <c r="B30" s="4">
        <f>+VLOOKUP($A30,MAGAZZINO!$B$2:$M$100000,2,FALSE)</f>
        <v/>
      </c>
      <c r="C30" s="29">
        <f>+VLOOKUP($A30,MAGAZZINO!$B$2:$M$100000,3,FALSE)</f>
        <v/>
      </c>
      <c r="D30" s="3">
        <f>+VLOOKUP($A30,MAGAZZINO!$B$2:$M$100000,4,FALSE)</f>
        <v/>
      </c>
      <c r="E30" s="3">
        <f>+VLOOKUP($A30,MAGAZZINO!$B$2:$M$100000,5,FALSE)</f>
        <v/>
      </c>
      <c r="F30" s="3">
        <f>+VLOOKUP($A30,MAGAZZINO!$B$2:$M$100000,6,FALSE)</f>
        <v/>
      </c>
      <c r="G30" s="3">
        <f>+VLOOKUP($A30,MAGAZZINO!$B$2:$M$100000,7,FALSE)</f>
        <v/>
      </c>
      <c r="H30" s="3">
        <f>+VLOOKUP($A30,MAGAZZINO!$B$2:$M$100000,8,FALSE)</f>
        <v/>
      </c>
      <c r="I30" s="3">
        <f>+VLOOKUP($A30,MAGAZZINO!$B$2:$M$100000,9,FALSE)</f>
        <v/>
      </c>
      <c r="J30" s="3">
        <f>+VLOOKUP($A30,MAGAZZINO!$B$2:$M$100000,10,FALSE)</f>
        <v/>
      </c>
      <c r="K30" s="3">
        <f>+VLOOKUP($A30,MAGAZZINO!$B$2:$M$100000,11,FALSE)</f>
        <v/>
      </c>
      <c r="L30" s="5">
        <f>+VLOOKUP($A30,MAGAZZINO!$B$2:$M$100000,12,FALSE)</f>
        <v/>
      </c>
      <c r="M30" s="47" t="n"/>
      <c r="N30" s="88" t="n">
        <v>45609</v>
      </c>
      <c r="O30" s="91" t="inlineStr">
        <is>
          <t>HS &amp; LLC (OMAN)</t>
        </is>
      </c>
      <c r="P30" s="154" t="inlineStr">
        <is>
          <t>IMPORT LICENSE N. 24/1/2463/1/2024 DEL 05/05/2024                                                              AUT. ESPORTAZIONE MULTIPLA N. 6B/2024/2M RILASCIATA IL 30/07/2024   (LICENZA DI SCARICO N. 6B/2024/1S RILASCIATA IL 06/11/2024)</t>
        </is>
      </c>
      <c r="Q30" s="150" t="n"/>
      <c r="R30" s="150" t="n"/>
      <c r="S30" s="153" t="n"/>
    </row>
    <row r="31" ht="36" customHeight="1">
      <c r="A31" s="46" t="n">
        <v>2361</v>
      </c>
      <c r="B31" s="4">
        <f>+VLOOKUP($A31,MAGAZZINO!$B$2:$M$100000,2,FALSE)</f>
        <v/>
      </c>
      <c r="C31" s="29">
        <f>+VLOOKUP($A31,MAGAZZINO!$B$2:$M$100000,3,FALSE)</f>
        <v/>
      </c>
      <c r="D31" s="3">
        <f>+VLOOKUP($A31,MAGAZZINO!$B$2:$M$100000,4,FALSE)</f>
        <v/>
      </c>
      <c r="E31" s="3">
        <f>+VLOOKUP($A31,MAGAZZINO!$B$2:$M$100000,5,FALSE)</f>
        <v/>
      </c>
      <c r="F31" s="3">
        <f>+VLOOKUP($A31,MAGAZZINO!$B$2:$M$100000,6,FALSE)</f>
        <v/>
      </c>
      <c r="G31" s="3">
        <f>+VLOOKUP($A31,MAGAZZINO!$B$2:$M$100000,7,FALSE)</f>
        <v/>
      </c>
      <c r="H31" s="3">
        <f>+VLOOKUP($A31,MAGAZZINO!$B$2:$M$100000,8,FALSE)</f>
        <v/>
      </c>
      <c r="I31" s="3">
        <f>+VLOOKUP($A31,MAGAZZINO!$B$2:$M$100000,9,FALSE)</f>
        <v/>
      </c>
      <c r="J31" s="3">
        <f>+VLOOKUP($A31,MAGAZZINO!$B$2:$M$100000,10,FALSE)</f>
        <v/>
      </c>
      <c r="K31" s="3">
        <f>+VLOOKUP($A31,MAGAZZINO!$B$2:$M$100000,11,FALSE)</f>
        <v/>
      </c>
      <c r="L31" s="5">
        <f>+VLOOKUP($A31,MAGAZZINO!$B$2:$M$100000,12,FALSE)</f>
        <v/>
      </c>
      <c r="M31" s="47" t="n"/>
      <c r="N31" s="88" t="n">
        <v>45609</v>
      </c>
      <c r="O31" s="91" t="inlineStr">
        <is>
          <t>HS &amp; LLC (OMAN)</t>
        </is>
      </c>
      <c r="P31" s="154" t="inlineStr">
        <is>
          <t>IMPORT LICENSE N. 24/1/2463/1/2024 DEL 05/05/2024                                                              AUT. ESPORTAZIONE MULTIPLA N. 6B/2024/2M RILASCIATA IL 30/07/2024   (LICENZA DI SCARICO N. 6B/2024/1S RILASCIATA IL 06/11/2024)</t>
        </is>
      </c>
      <c r="Q31" s="150" t="n"/>
      <c r="R31" s="150" t="n"/>
      <c r="S31" s="153" t="n"/>
    </row>
    <row r="32" ht="36" customHeight="1">
      <c r="A32" s="46" t="n">
        <v>2362</v>
      </c>
      <c r="B32" s="4">
        <f>+VLOOKUP($A32,MAGAZZINO!$B$2:$M$100000,2,FALSE)</f>
        <v/>
      </c>
      <c r="C32" s="29">
        <f>+VLOOKUP($A32,MAGAZZINO!$B$2:$M$100000,3,FALSE)</f>
        <v/>
      </c>
      <c r="D32" s="3">
        <f>+VLOOKUP($A32,MAGAZZINO!$B$2:$M$100000,4,FALSE)</f>
        <v/>
      </c>
      <c r="E32" s="3">
        <f>+VLOOKUP($A32,MAGAZZINO!$B$2:$M$100000,5,FALSE)</f>
        <v/>
      </c>
      <c r="F32" s="3">
        <f>+VLOOKUP($A32,MAGAZZINO!$B$2:$M$100000,6,FALSE)</f>
        <v/>
      </c>
      <c r="G32" s="3">
        <f>+VLOOKUP($A32,MAGAZZINO!$B$2:$M$100000,7,FALSE)</f>
        <v/>
      </c>
      <c r="H32" s="3">
        <f>+VLOOKUP($A32,MAGAZZINO!$B$2:$M$100000,8,FALSE)</f>
        <v/>
      </c>
      <c r="I32" s="3">
        <f>+VLOOKUP($A32,MAGAZZINO!$B$2:$M$100000,9,FALSE)</f>
        <v/>
      </c>
      <c r="J32" s="3">
        <f>+VLOOKUP($A32,MAGAZZINO!$B$2:$M$100000,10,FALSE)</f>
        <v/>
      </c>
      <c r="K32" s="3">
        <f>+VLOOKUP($A32,MAGAZZINO!$B$2:$M$100000,11,FALSE)</f>
        <v/>
      </c>
      <c r="L32" s="5">
        <f>+VLOOKUP($A32,MAGAZZINO!$B$2:$M$100000,12,FALSE)</f>
        <v/>
      </c>
      <c r="M32" s="47" t="n"/>
      <c r="N32" s="88" t="n">
        <v>45609</v>
      </c>
      <c r="O32" s="91" t="inlineStr">
        <is>
          <t>HS &amp; LLC (OMAN)</t>
        </is>
      </c>
      <c r="P32" s="154" t="inlineStr">
        <is>
          <t>IMPORT LICENSE N. 24/1/2463/1/2024 DEL 05/05/2024                                                              AUT. ESPORTAZIONE MULTIPLA N. 6B/2024/2M RILASCIATA IL 30/07/2024   (LICENZA DI SCARICO N. 6B/2024/1S RILASCIATA IL 06/11/2024)</t>
        </is>
      </c>
      <c r="Q32" s="150" t="n"/>
      <c r="R32" s="150" t="n"/>
      <c r="S32" s="153" t="n"/>
    </row>
    <row r="33" ht="36" customHeight="1">
      <c r="A33" s="46" t="n">
        <v>2363</v>
      </c>
      <c r="B33" s="4">
        <f>+VLOOKUP($A33,MAGAZZINO!$B$2:$M$100000,2,FALSE)</f>
        <v/>
      </c>
      <c r="C33" s="29">
        <f>+VLOOKUP($A33,MAGAZZINO!$B$2:$M$100000,3,FALSE)</f>
        <v/>
      </c>
      <c r="D33" s="3">
        <f>+VLOOKUP($A33,MAGAZZINO!$B$2:$M$100000,4,FALSE)</f>
        <v/>
      </c>
      <c r="E33" s="3">
        <f>+VLOOKUP($A33,MAGAZZINO!$B$2:$M$100000,5,FALSE)</f>
        <v/>
      </c>
      <c r="F33" s="3">
        <f>+VLOOKUP($A33,MAGAZZINO!$B$2:$M$100000,6,FALSE)</f>
        <v/>
      </c>
      <c r="G33" s="3">
        <f>+VLOOKUP($A33,MAGAZZINO!$B$2:$M$100000,7,FALSE)</f>
        <v/>
      </c>
      <c r="H33" s="3">
        <f>+VLOOKUP($A33,MAGAZZINO!$B$2:$M$100000,8,FALSE)</f>
        <v/>
      </c>
      <c r="I33" s="3">
        <f>+VLOOKUP($A33,MAGAZZINO!$B$2:$M$100000,9,FALSE)</f>
        <v/>
      </c>
      <c r="J33" s="3">
        <f>+VLOOKUP($A33,MAGAZZINO!$B$2:$M$100000,10,FALSE)</f>
        <v/>
      </c>
      <c r="K33" s="3">
        <f>+VLOOKUP($A33,MAGAZZINO!$B$2:$M$100000,11,FALSE)</f>
        <v/>
      </c>
      <c r="L33" s="5">
        <f>+VLOOKUP($A33,MAGAZZINO!$B$2:$M$100000,12,FALSE)</f>
        <v/>
      </c>
      <c r="M33" s="47" t="n"/>
      <c r="N33" s="88" t="n">
        <v>45609</v>
      </c>
      <c r="O33" s="91" t="inlineStr">
        <is>
          <t>HS &amp; LLC (OMAN)</t>
        </is>
      </c>
      <c r="P33" s="154" t="inlineStr">
        <is>
          <t>IMPORT LICENSE N. 24/1/2463/1/2024 DEL 05/05/2024                                                              AUT. ESPORTAZIONE MULTIPLA N. 6B/2024/2M RILASCIATA IL 30/07/2024   (LICENZA DI SCARICO N. 6B/2024/1S RILASCIATA IL 06/11/2024)</t>
        </is>
      </c>
      <c r="Q33" s="150" t="n"/>
      <c r="R33" s="150" t="n"/>
      <c r="S33" s="153" t="n"/>
    </row>
    <row r="34" ht="36" customHeight="1">
      <c r="A34" s="46" t="n">
        <v>2364</v>
      </c>
      <c r="B34" s="4">
        <f>+VLOOKUP($A34,MAGAZZINO!$B$2:$M$100000,2,FALSE)</f>
        <v/>
      </c>
      <c r="C34" s="29">
        <f>+VLOOKUP($A34,MAGAZZINO!$B$2:$M$100000,3,FALSE)</f>
        <v/>
      </c>
      <c r="D34" s="3">
        <f>+VLOOKUP($A34,MAGAZZINO!$B$2:$M$100000,4,FALSE)</f>
        <v/>
      </c>
      <c r="E34" s="3">
        <f>+VLOOKUP($A34,MAGAZZINO!$B$2:$M$100000,5,FALSE)</f>
        <v/>
      </c>
      <c r="F34" s="3">
        <f>+VLOOKUP($A34,MAGAZZINO!$B$2:$M$100000,6,FALSE)</f>
        <v/>
      </c>
      <c r="G34" s="3">
        <f>+VLOOKUP($A34,MAGAZZINO!$B$2:$M$100000,7,FALSE)</f>
        <v/>
      </c>
      <c r="H34" s="3">
        <f>+VLOOKUP($A34,MAGAZZINO!$B$2:$M$100000,8,FALSE)</f>
        <v/>
      </c>
      <c r="I34" s="3">
        <f>+VLOOKUP($A34,MAGAZZINO!$B$2:$M$100000,9,FALSE)</f>
        <v/>
      </c>
      <c r="J34" s="3">
        <f>+VLOOKUP($A34,MAGAZZINO!$B$2:$M$100000,10,FALSE)</f>
        <v/>
      </c>
      <c r="K34" s="3">
        <f>+VLOOKUP($A34,MAGAZZINO!$B$2:$M$100000,11,FALSE)</f>
        <v/>
      </c>
      <c r="L34" s="5">
        <f>+VLOOKUP($A34,MAGAZZINO!$B$2:$M$100000,12,FALSE)</f>
        <v/>
      </c>
      <c r="M34" s="47" t="n"/>
      <c r="N34" s="88" t="n">
        <v>45609</v>
      </c>
      <c r="O34" s="91" t="inlineStr">
        <is>
          <t>HS &amp; LLC (OMAN)</t>
        </is>
      </c>
      <c r="P34" s="154" t="inlineStr">
        <is>
          <t>IMPORT LICENSE N. 24/1/2463/1/2024 DEL 05/05/2024                                                              AUT. ESPORTAZIONE MULTIPLA N. 6B/2024/2M RILASCIATA IL 30/07/2024   (LICENZA DI SCARICO N. 6B/2024/1S RILASCIATA IL 06/11/2024)</t>
        </is>
      </c>
      <c r="Q34" s="150" t="n"/>
      <c r="R34" s="150" t="n"/>
      <c r="S34" s="153" t="n"/>
    </row>
    <row r="35" ht="36" customHeight="1">
      <c r="A35" s="46" t="n">
        <v>2365</v>
      </c>
      <c r="B35" s="4">
        <f>+VLOOKUP($A35,MAGAZZINO!$B$2:$M$100000,2,FALSE)</f>
        <v/>
      </c>
      <c r="C35" s="29">
        <f>+VLOOKUP($A35,MAGAZZINO!$B$2:$M$100000,3,FALSE)</f>
        <v/>
      </c>
      <c r="D35" s="3">
        <f>+VLOOKUP($A35,MAGAZZINO!$B$2:$M$100000,4,FALSE)</f>
        <v/>
      </c>
      <c r="E35" s="3">
        <f>+VLOOKUP($A35,MAGAZZINO!$B$2:$M$100000,5,FALSE)</f>
        <v/>
      </c>
      <c r="F35" s="3">
        <f>+VLOOKUP($A35,MAGAZZINO!$B$2:$M$100000,6,FALSE)</f>
        <v/>
      </c>
      <c r="G35" s="3">
        <f>+VLOOKUP($A35,MAGAZZINO!$B$2:$M$100000,7,FALSE)</f>
        <v/>
      </c>
      <c r="H35" s="3">
        <f>+VLOOKUP($A35,MAGAZZINO!$B$2:$M$100000,8,FALSE)</f>
        <v/>
      </c>
      <c r="I35" s="3">
        <f>+VLOOKUP($A35,MAGAZZINO!$B$2:$M$100000,9,FALSE)</f>
        <v/>
      </c>
      <c r="J35" s="3">
        <f>+VLOOKUP($A35,MAGAZZINO!$B$2:$M$100000,10,FALSE)</f>
        <v/>
      </c>
      <c r="K35" s="3">
        <f>+VLOOKUP($A35,MAGAZZINO!$B$2:$M$100000,11,FALSE)</f>
        <v/>
      </c>
      <c r="L35" s="5">
        <f>+VLOOKUP($A35,MAGAZZINO!$B$2:$M$100000,12,FALSE)</f>
        <v/>
      </c>
      <c r="M35" s="47" t="n"/>
      <c r="N35" s="88" t="n">
        <v>45609</v>
      </c>
      <c r="O35" s="91" t="inlineStr">
        <is>
          <t>HS &amp; LLC (OMAN)</t>
        </is>
      </c>
      <c r="P35" s="154" t="inlineStr">
        <is>
          <t>IMPORT LICENSE N. 24/1/2463/1/2024 DEL 05/05/2024                                                              AUT. ESPORTAZIONE MULTIPLA N. 6B/2024/2M RILASCIATA IL 30/07/2024   (LICENZA DI SCARICO N. 6B/2024/1S RILASCIATA IL 06/11/2024)</t>
        </is>
      </c>
      <c r="Q35" s="150" t="n"/>
      <c r="R35" s="150" t="n"/>
      <c r="S35" s="153" t="n"/>
    </row>
    <row r="36" ht="36" customHeight="1">
      <c r="A36" s="46" t="n">
        <v>2366</v>
      </c>
      <c r="B36" s="4">
        <f>+VLOOKUP($A36,MAGAZZINO!$B$2:$M$100000,2,FALSE)</f>
        <v/>
      </c>
      <c r="C36" s="29">
        <f>+VLOOKUP($A36,MAGAZZINO!$B$2:$M$100000,3,FALSE)</f>
        <v/>
      </c>
      <c r="D36" s="3">
        <f>+VLOOKUP($A36,MAGAZZINO!$B$2:$M$100000,4,FALSE)</f>
        <v/>
      </c>
      <c r="E36" s="3">
        <f>+VLOOKUP($A36,MAGAZZINO!$B$2:$M$100000,5,FALSE)</f>
        <v/>
      </c>
      <c r="F36" s="3">
        <f>+VLOOKUP($A36,MAGAZZINO!$B$2:$M$100000,6,FALSE)</f>
        <v/>
      </c>
      <c r="G36" s="3">
        <f>+VLOOKUP($A36,MAGAZZINO!$B$2:$M$100000,7,FALSE)</f>
        <v/>
      </c>
      <c r="H36" s="3">
        <f>+VLOOKUP($A36,MAGAZZINO!$B$2:$M$100000,8,FALSE)</f>
        <v/>
      </c>
      <c r="I36" s="3">
        <f>+VLOOKUP($A36,MAGAZZINO!$B$2:$M$100000,9,FALSE)</f>
        <v/>
      </c>
      <c r="J36" s="3">
        <f>+VLOOKUP($A36,MAGAZZINO!$B$2:$M$100000,10,FALSE)</f>
        <v/>
      </c>
      <c r="K36" s="3">
        <f>+VLOOKUP($A36,MAGAZZINO!$B$2:$M$100000,11,FALSE)</f>
        <v/>
      </c>
      <c r="L36" s="5">
        <f>+VLOOKUP($A36,MAGAZZINO!$B$2:$M$100000,12,FALSE)</f>
        <v/>
      </c>
      <c r="M36" s="47" t="n"/>
      <c r="N36" s="88" t="n">
        <v>45609</v>
      </c>
      <c r="O36" s="91" t="inlineStr">
        <is>
          <t>HS &amp; LLC (OMAN)</t>
        </is>
      </c>
      <c r="P36" s="154" t="inlineStr">
        <is>
          <t>IMPORT LICENSE N. 24/1/2463/1/2024 DEL 05/05/2024                                                              AUT. ESPORTAZIONE MULTIPLA N. 6B/2024/2M RILASCIATA IL 30/07/2024   (LICENZA DI SCARICO N. 6B/2024/1S RILASCIATA IL 06/11/2024)</t>
        </is>
      </c>
      <c r="Q36" s="150" t="n"/>
      <c r="R36" s="150" t="n"/>
      <c r="S36" s="153" t="n"/>
    </row>
    <row r="37" ht="36" customHeight="1">
      <c r="A37" s="46" t="n">
        <v>2367</v>
      </c>
      <c r="B37" s="4">
        <f>+VLOOKUP($A37,MAGAZZINO!$B$2:$M$100000,2,FALSE)</f>
        <v/>
      </c>
      <c r="C37" s="29">
        <f>+VLOOKUP($A37,MAGAZZINO!$B$2:$M$100000,3,FALSE)</f>
        <v/>
      </c>
      <c r="D37" s="3">
        <f>+VLOOKUP($A37,MAGAZZINO!$B$2:$M$100000,4,FALSE)</f>
        <v/>
      </c>
      <c r="E37" s="3">
        <f>+VLOOKUP($A37,MAGAZZINO!$B$2:$M$100000,5,FALSE)</f>
        <v/>
      </c>
      <c r="F37" s="3">
        <f>+VLOOKUP($A37,MAGAZZINO!$B$2:$M$100000,6,FALSE)</f>
        <v/>
      </c>
      <c r="G37" s="3">
        <f>+VLOOKUP($A37,MAGAZZINO!$B$2:$M$100000,7,FALSE)</f>
        <v/>
      </c>
      <c r="H37" s="3">
        <f>+VLOOKUP($A37,MAGAZZINO!$B$2:$M$100000,8,FALSE)</f>
        <v/>
      </c>
      <c r="I37" s="3">
        <f>+VLOOKUP($A37,MAGAZZINO!$B$2:$M$100000,9,FALSE)</f>
        <v/>
      </c>
      <c r="J37" s="3">
        <f>+VLOOKUP($A37,MAGAZZINO!$B$2:$M$100000,10,FALSE)</f>
        <v/>
      </c>
      <c r="K37" s="3">
        <f>+VLOOKUP($A37,MAGAZZINO!$B$2:$M$100000,11,FALSE)</f>
        <v/>
      </c>
      <c r="L37" s="5">
        <f>+VLOOKUP($A37,MAGAZZINO!$B$2:$M$100000,12,FALSE)</f>
        <v/>
      </c>
      <c r="M37" s="47" t="n"/>
      <c r="N37" s="88" t="n">
        <v>45609</v>
      </c>
      <c r="O37" s="91" t="inlineStr">
        <is>
          <t>HS &amp; LLC (OMAN)</t>
        </is>
      </c>
      <c r="P37" s="154" t="inlineStr">
        <is>
          <t>IMPORT LICENSE N. 24/1/2463/1/2024 DEL 05/05/2024                                                              AUT. ESPORTAZIONE MULTIPLA N. 6B/2024/2M RILASCIATA IL 30/07/2024   (LICENZA DI SCARICO N. 6B/2024/1S RILASCIATA IL 06/11/2024)</t>
        </is>
      </c>
      <c r="Q37" s="150" t="n"/>
      <c r="R37" s="150" t="n"/>
      <c r="S37" s="153" t="n"/>
    </row>
    <row r="38" ht="36" customHeight="1">
      <c r="A38" s="46" t="n">
        <v>2368</v>
      </c>
      <c r="B38" s="4">
        <f>+VLOOKUP($A38,MAGAZZINO!$B$2:$M$100000,2,FALSE)</f>
        <v/>
      </c>
      <c r="C38" s="29">
        <f>+VLOOKUP($A38,MAGAZZINO!$B$2:$M$100000,3,FALSE)</f>
        <v/>
      </c>
      <c r="D38" s="3">
        <f>+VLOOKUP($A38,MAGAZZINO!$B$2:$M$100000,4,FALSE)</f>
        <v/>
      </c>
      <c r="E38" s="3">
        <f>+VLOOKUP($A38,MAGAZZINO!$B$2:$M$100000,5,FALSE)</f>
        <v/>
      </c>
      <c r="F38" s="3">
        <f>+VLOOKUP($A38,MAGAZZINO!$B$2:$M$100000,6,FALSE)</f>
        <v/>
      </c>
      <c r="G38" s="3">
        <f>+VLOOKUP($A38,MAGAZZINO!$B$2:$M$100000,7,FALSE)</f>
        <v/>
      </c>
      <c r="H38" s="3">
        <f>+VLOOKUP($A38,MAGAZZINO!$B$2:$M$100000,8,FALSE)</f>
        <v/>
      </c>
      <c r="I38" s="3">
        <f>+VLOOKUP($A38,MAGAZZINO!$B$2:$M$100000,9,FALSE)</f>
        <v/>
      </c>
      <c r="J38" s="3">
        <f>+VLOOKUP($A38,MAGAZZINO!$B$2:$M$100000,10,FALSE)</f>
        <v/>
      </c>
      <c r="K38" s="3">
        <f>+VLOOKUP($A38,MAGAZZINO!$B$2:$M$100000,11,FALSE)</f>
        <v/>
      </c>
      <c r="L38" s="5">
        <f>+VLOOKUP($A38,MAGAZZINO!$B$2:$M$100000,12,FALSE)</f>
        <v/>
      </c>
      <c r="M38" s="47" t="n"/>
      <c r="N38" s="88" t="n">
        <v>45609</v>
      </c>
      <c r="O38" s="91" t="inlineStr">
        <is>
          <t>HS &amp; LLC (OMAN)</t>
        </is>
      </c>
      <c r="P38" s="154" t="inlineStr">
        <is>
          <t>IMPORT LICENSE N. 24/1/2463/1/2024 DEL 05/05/2024                                                              AUT. ESPORTAZIONE MULTIPLA N. 6B/2024/2M RILASCIATA IL 30/07/2024   (LICENZA DI SCARICO N. 6B/2024/1S RILASCIATA IL 06/11/2024)</t>
        </is>
      </c>
      <c r="Q38" s="150" t="n"/>
      <c r="R38" s="150" t="n"/>
      <c r="S38" s="153" t="n"/>
    </row>
    <row r="39" ht="36" customHeight="1">
      <c r="A39" s="46" t="n">
        <v>2369</v>
      </c>
      <c r="B39" s="4">
        <f>+VLOOKUP($A39,MAGAZZINO!$B$2:$M$100000,2,FALSE)</f>
        <v/>
      </c>
      <c r="C39" s="29">
        <f>+VLOOKUP($A39,MAGAZZINO!$B$2:$M$100000,3,FALSE)</f>
        <v/>
      </c>
      <c r="D39" s="3">
        <f>+VLOOKUP($A39,MAGAZZINO!$B$2:$M$100000,4,FALSE)</f>
        <v/>
      </c>
      <c r="E39" s="3">
        <f>+VLOOKUP($A39,MAGAZZINO!$B$2:$M$100000,5,FALSE)</f>
        <v/>
      </c>
      <c r="F39" s="3">
        <f>+VLOOKUP($A39,MAGAZZINO!$B$2:$M$100000,6,FALSE)</f>
        <v/>
      </c>
      <c r="G39" s="3">
        <f>+VLOOKUP($A39,MAGAZZINO!$B$2:$M$100000,7,FALSE)</f>
        <v/>
      </c>
      <c r="H39" s="3">
        <f>+VLOOKUP($A39,MAGAZZINO!$B$2:$M$100000,8,FALSE)</f>
        <v/>
      </c>
      <c r="I39" s="3">
        <f>+VLOOKUP($A39,MAGAZZINO!$B$2:$M$100000,9,FALSE)</f>
        <v/>
      </c>
      <c r="J39" s="3">
        <f>+VLOOKUP($A39,MAGAZZINO!$B$2:$M$100000,10,FALSE)</f>
        <v/>
      </c>
      <c r="K39" s="3">
        <f>+VLOOKUP($A39,MAGAZZINO!$B$2:$M$100000,11,FALSE)</f>
        <v/>
      </c>
      <c r="L39" s="5">
        <f>+VLOOKUP($A39,MAGAZZINO!$B$2:$M$100000,12,FALSE)</f>
        <v/>
      </c>
      <c r="M39" s="47" t="n"/>
      <c r="N39" s="88" t="n">
        <v>45609</v>
      </c>
      <c r="O39" s="91" t="inlineStr">
        <is>
          <t>HS &amp; LLC (OMAN)</t>
        </is>
      </c>
      <c r="P39" s="154" t="inlineStr">
        <is>
          <t>IMPORT LICENSE N. 24/1/2463/1/2024 DEL 05/05/2024                                                              AUT. ESPORTAZIONE MULTIPLA N. 6B/2024/2M RILASCIATA IL 30/07/2024   (LICENZA DI SCARICO N. 6B/2024/1S RILASCIATA IL 06/11/2024)</t>
        </is>
      </c>
      <c r="Q39" s="150" t="n"/>
      <c r="R39" s="150" t="n"/>
      <c r="S39" s="153" t="n"/>
    </row>
    <row r="40" ht="36" customHeight="1">
      <c r="A40" s="46" t="n">
        <v>2370</v>
      </c>
      <c r="B40" s="4">
        <f>+VLOOKUP($A40,MAGAZZINO!$B$2:$M$100000,2,FALSE)</f>
        <v/>
      </c>
      <c r="C40" s="29">
        <f>+VLOOKUP($A40,MAGAZZINO!$B$2:$M$100000,3,FALSE)</f>
        <v/>
      </c>
      <c r="D40" s="3">
        <f>+VLOOKUP($A40,MAGAZZINO!$B$2:$M$100000,4,FALSE)</f>
        <v/>
      </c>
      <c r="E40" s="3">
        <f>+VLOOKUP($A40,MAGAZZINO!$B$2:$M$100000,5,FALSE)</f>
        <v/>
      </c>
      <c r="F40" s="3">
        <f>+VLOOKUP($A40,MAGAZZINO!$B$2:$M$100000,6,FALSE)</f>
        <v/>
      </c>
      <c r="G40" s="3">
        <f>+VLOOKUP($A40,MAGAZZINO!$B$2:$M$100000,7,FALSE)</f>
        <v/>
      </c>
      <c r="H40" s="3">
        <f>+VLOOKUP($A40,MAGAZZINO!$B$2:$M$100000,8,FALSE)</f>
        <v/>
      </c>
      <c r="I40" s="3">
        <f>+VLOOKUP($A40,MAGAZZINO!$B$2:$M$100000,9,FALSE)</f>
        <v/>
      </c>
      <c r="J40" s="3">
        <f>+VLOOKUP($A40,MAGAZZINO!$B$2:$M$100000,10,FALSE)</f>
        <v/>
      </c>
      <c r="K40" s="3">
        <f>+VLOOKUP($A40,MAGAZZINO!$B$2:$M$100000,11,FALSE)</f>
        <v/>
      </c>
      <c r="L40" s="5">
        <f>+VLOOKUP($A40,MAGAZZINO!$B$2:$M$100000,12,FALSE)</f>
        <v/>
      </c>
      <c r="M40" s="47" t="n"/>
      <c r="N40" s="88" t="n">
        <v>45609</v>
      </c>
      <c r="O40" s="91" t="inlineStr">
        <is>
          <t>HS &amp; LLC (OMAN)</t>
        </is>
      </c>
      <c r="P40" s="154" t="inlineStr">
        <is>
          <t>IMPORT LICENSE N. 24/1/2463/1/2024 DEL 05/05/2024                                                              AUT. ESPORTAZIONE MULTIPLA N. 6B/2024/2M RILASCIATA IL 30/07/2024   (LICENZA DI SCARICO N. 6B/2024/1S RILASCIATA IL 06/11/2024)</t>
        </is>
      </c>
      <c r="Q40" s="150" t="n"/>
      <c r="R40" s="150" t="n"/>
      <c r="S40" s="153" t="n"/>
    </row>
    <row r="41" ht="36" customHeight="1">
      <c r="A41" s="46" t="n">
        <v>2371</v>
      </c>
      <c r="B41" s="4">
        <f>+VLOOKUP($A41,MAGAZZINO!$B$2:$M$100000,2,FALSE)</f>
        <v/>
      </c>
      <c r="C41" s="29">
        <f>+VLOOKUP($A41,MAGAZZINO!$B$2:$M$100000,3,FALSE)</f>
        <v/>
      </c>
      <c r="D41" s="3">
        <f>+VLOOKUP($A41,MAGAZZINO!$B$2:$M$100000,4,FALSE)</f>
        <v/>
      </c>
      <c r="E41" s="3">
        <f>+VLOOKUP($A41,MAGAZZINO!$B$2:$M$100000,5,FALSE)</f>
        <v/>
      </c>
      <c r="F41" s="3">
        <f>+VLOOKUP($A41,MAGAZZINO!$B$2:$M$100000,6,FALSE)</f>
        <v/>
      </c>
      <c r="G41" s="3">
        <f>+VLOOKUP($A41,MAGAZZINO!$B$2:$M$100000,7,FALSE)</f>
        <v/>
      </c>
      <c r="H41" s="3">
        <f>+VLOOKUP($A41,MAGAZZINO!$B$2:$M$100000,8,FALSE)</f>
        <v/>
      </c>
      <c r="I41" s="3">
        <f>+VLOOKUP($A41,MAGAZZINO!$B$2:$M$100000,9,FALSE)</f>
        <v/>
      </c>
      <c r="J41" s="3">
        <f>+VLOOKUP($A41,MAGAZZINO!$B$2:$M$100000,10,FALSE)</f>
        <v/>
      </c>
      <c r="K41" s="3">
        <f>+VLOOKUP($A41,MAGAZZINO!$B$2:$M$100000,11,FALSE)</f>
        <v/>
      </c>
      <c r="L41" s="5">
        <f>+VLOOKUP($A41,MAGAZZINO!$B$2:$M$100000,12,FALSE)</f>
        <v/>
      </c>
      <c r="M41" s="47" t="n"/>
      <c r="N41" s="88" t="n">
        <v>45609</v>
      </c>
      <c r="O41" s="91" t="inlineStr">
        <is>
          <t>HS &amp; LLC (OMAN)</t>
        </is>
      </c>
      <c r="P41" s="154" t="inlineStr">
        <is>
          <t>IMPORT LICENSE N. 24/1/2463/1/2024 DEL 05/05/2024                                                              AUT. ESPORTAZIONE MULTIPLA N. 6B/2024/2M RILASCIATA IL 30/07/2024   (LICENZA DI SCARICO N. 6B/2024/1S RILASCIATA IL 06/11/2024)</t>
        </is>
      </c>
      <c r="Q41" s="150" t="n"/>
      <c r="R41" s="150" t="n"/>
      <c r="S41" s="153" t="n"/>
    </row>
    <row r="42" ht="36" customHeight="1">
      <c r="A42" s="46" t="n">
        <v>2372</v>
      </c>
      <c r="B42" s="4">
        <f>+VLOOKUP($A42,MAGAZZINO!$B$2:$M$100000,2,FALSE)</f>
        <v/>
      </c>
      <c r="C42" s="29">
        <f>+VLOOKUP($A42,MAGAZZINO!$B$2:$M$100000,3,FALSE)</f>
        <v/>
      </c>
      <c r="D42" s="3">
        <f>+VLOOKUP($A42,MAGAZZINO!$B$2:$M$100000,4,FALSE)</f>
        <v/>
      </c>
      <c r="E42" s="3">
        <f>+VLOOKUP($A42,MAGAZZINO!$B$2:$M$100000,5,FALSE)</f>
        <v/>
      </c>
      <c r="F42" s="3">
        <f>+VLOOKUP($A42,MAGAZZINO!$B$2:$M$100000,6,FALSE)</f>
        <v/>
      </c>
      <c r="G42" s="3">
        <f>+VLOOKUP($A42,MAGAZZINO!$B$2:$M$100000,7,FALSE)</f>
        <v/>
      </c>
      <c r="H42" s="3">
        <f>+VLOOKUP($A42,MAGAZZINO!$B$2:$M$100000,8,FALSE)</f>
        <v/>
      </c>
      <c r="I42" s="3">
        <f>+VLOOKUP($A42,MAGAZZINO!$B$2:$M$100000,9,FALSE)</f>
        <v/>
      </c>
      <c r="J42" s="3">
        <f>+VLOOKUP($A42,MAGAZZINO!$B$2:$M$100000,10,FALSE)</f>
        <v/>
      </c>
      <c r="K42" s="3">
        <f>+VLOOKUP($A42,MAGAZZINO!$B$2:$M$100000,11,FALSE)</f>
        <v/>
      </c>
      <c r="L42" s="5">
        <f>+VLOOKUP($A42,MAGAZZINO!$B$2:$M$100000,12,FALSE)</f>
        <v/>
      </c>
      <c r="M42" s="47" t="n"/>
      <c r="N42" s="88" t="n">
        <v>45609</v>
      </c>
      <c r="O42" s="91" t="inlineStr">
        <is>
          <t>HS &amp; LLC (OMAN)</t>
        </is>
      </c>
      <c r="P42" s="154" t="inlineStr">
        <is>
          <t>IMPORT LICENSE N. 24/1/2463/1/2024 DEL 05/05/2024                                                              AUT. ESPORTAZIONE MULTIPLA N. 6B/2024/2M RILASCIATA IL 30/07/2024   (LICENZA DI SCARICO N. 6B/2024/1S RILASCIATA IL 06/11/2024)</t>
        </is>
      </c>
      <c r="Q42" s="150" t="n"/>
      <c r="R42" s="150" t="n"/>
      <c r="S42" s="153" t="n"/>
    </row>
    <row r="43" ht="36" customHeight="1">
      <c r="A43" s="46" t="n">
        <v>2373</v>
      </c>
      <c r="B43" s="4">
        <f>+VLOOKUP($A43,MAGAZZINO!$B$2:$M$100000,2,FALSE)</f>
        <v/>
      </c>
      <c r="C43" s="29">
        <f>+VLOOKUP($A43,MAGAZZINO!$B$2:$M$100000,3,FALSE)</f>
        <v/>
      </c>
      <c r="D43" s="3">
        <f>+VLOOKUP($A43,MAGAZZINO!$B$2:$M$100000,4,FALSE)</f>
        <v/>
      </c>
      <c r="E43" s="3">
        <f>+VLOOKUP($A43,MAGAZZINO!$B$2:$M$100000,5,FALSE)</f>
        <v/>
      </c>
      <c r="F43" s="3">
        <f>+VLOOKUP($A43,MAGAZZINO!$B$2:$M$100000,6,FALSE)</f>
        <v/>
      </c>
      <c r="G43" s="3">
        <f>+VLOOKUP($A43,MAGAZZINO!$B$2:$M$100000,7,FALSE)</f>
        <v/>
      </c>
      <c r="H43" s="3">
        <f>+VLOOKUP($A43,MAGAZZINO!$B$2:$M$100000,8,FALSE)</f>
        <v/>
      </c>
      <c r="I43" s="3">
        <f>+VLOOKUP($A43,MAGAZZINO!$B$2:$M$100000,9,FALSE)</f>
        <v/>
      </c>
      <c r="J43" s="3">
        <f>+VLOOKUP($A43,MAGAZZINO!$B$2:$M$100000,10,FALSE)</f>
        <v/>
      </c>
      <c r="K43" s="3">
        <f>+VLOOKUP($A43,MAGAZZINO!$B$2:$M$100000,11,FALSE)</f>
        <v/>
      </c>
      <c r="L43" s="5">
        <f>+VLOOKUP($A43,MAGAZZINO!$B$2:$M$100000,12,FALSE)</f>
        <v/>
      </c>
      <c r="M43" s="47" t="n"/>
      <c r="N43" s="88" t="n">
        <v>45609</v>
      </c>
      <c r="O43" s="91" t="inlineStr">
        <is>
          <t>HS &amp; LLC (OMAN)</t>
        </is>
      </c>
      <c r="P43" s="154" t="inlineStr">
        <is>
          <t>IMPORT LICENSE N. 24/1/2463/1/2024 DEL 05/05/2024                                                              AUT. ESPORTAZIONE MULTIPLA N. 6B/2024/2M RILASCIATA IL 30/07/2024   (LICENZA DI SCARICO N. 6B/2024/1S RILASCIATA IL 06/11/2024)</t>
        </is>
      </c>
      <c r="Q43" s="150" t="n"/>
      <c r="R43" s="150" t="n"/>
      <c r="S43" s="153" t="n"/>
    </row>
    <row r="44" ht="36" customHeight="1">
      <c r="A44" s="46" t="n">
        <v>2374</v>
      </c>
      <c r="B44" s="4">
        <f>+VLOOKUP($A44,MAGAZZINO!$B$2:$M$100000,2,FALSE)</f>
        <v/>
      </c>
      <c r="C44" s="29">
        <f>+VLOOKUP($A44,MAGAZZINO!$B$2:$M$100000,3,FALSE)</f>
        <v/>
      </c>
      <c r="D44" s="3">
        <f>+VLOOKUP($A44,MAGAZZINO!$B$2:$M$100000,4,FALSE)</f>
        <v/>
      </c>
      <c r="E44" s="3">
        <f>+VLOOKUP($A44,MAGAZZINO!$B$2:$M$100000,5,FALSE)</f>
        <v/>
      </c>
      <c r="F44" s="3">
        <f>+VLOOKUP($A44,MAGAZZINO!$B$2:$M$100000,6,FALSE)</f>
        <v/>
      </c>
      <c r="G44" s="3">
        <f>+VLOOKUP($A44,MAGAZZINO!$B$2:$M$100000,7,FALSE)</f>
        <v/>
      </c>
      <c r="H44" s="3">
        <f>+VLOOKUP($A44,MAGAZZINO!$B$2:$M$100000,8,FALSE)</f>
        <v/>
      </c>
      <c r="I44" s="3">
        <f>+VLOOKUP($A44,MAGAZZINO!$B$2:$M$100000,9,FALSE)</f>
        <v/>
      </c>
      <c r="J44" s="3">
        <f>+VLOOKUP($A44,MAGAZZINO!$B$2:$M$100000,10,FALSE)</f>
        <v/>
      </c>
      <c r="K44" s="3">
        <f>+VLOOKUP($A44,MAGAZZINO!$B$2:$M$100000,11,FALSE)</f>
        <v/>
      </c>
      <c r="L44" s="5">
        <f>+VLOOKUP($A44,MAGAZZINO!$B$2:$M$100000,12,FALSE)</f>
        <v/>
      </c>
      <c r="M44" s="47" t="n"/>
      <c r="N44" s="88" t="n">
        <v>45609</v>
      </c>
      <c r="O44" s="91" t="inlineStr">
        <is>
          <t>HS &amp; LLC (OMAN)</t>
        </is>
      </c>
      <c r="P44" s="154" t="inlineStr">
        <is>
          <t>IMPORT LICENSE N. 24/1/2463/1/2024 DEL 05/05/2024                                                              AUT. ESPORTAZIONE MULTIPLA N. 6B/2024/2M RILASCIATA IL 30/07/2024   (LICENZA DI SCARICO N. 6B/2024/1S RILASCIATA IL 06/11/2024)</t>
        </is>
      </c>
      <c r="Q44" s="150" t="n"/>
      <c r="R44" s="150" t="n"/>
      <c r="S44" s="153" t="n"/>
    </row>
    <row r="45" ht="36" customHeight="1">
      <c r="A45" s="46" t="n">
        <v>2375</v>
      </c>
      <c r="B45" s="4">
        <f>+VLOOKUP($A45,MAGAZZINO!$B$2:$M$100000,2,FALSE)</f>
        <v/>
      </c>
      <c r="C45" s="29">
        <f>+VLOOKUP($A45,MAGAZZINO!$B$2:$M$100000,3,FALSE)</f>
        <v/>
      </c>
      <c r="D45" s="3">
        <f>+VLOOKUP($A45,MAGAZZINO!$B$2:$M$100000,4,FALSE)</f>
        <v/>
      </c>
      <c r="E45" s="3">
        <f>+VLOOKUP($A45,MAGAZZINO!$B$2:$M$100000,5,FALSE)</f>
        <v/>
      </c>
      <c r="F45" s="3">
        <f>+VLOOKUP($A45,MAGAZZINO!$B$2:$M$100000,6,FALSE)</f>
        <v/>
      </c>
      <c r="G45" s="3">
        <f>+VLOOKUP($A45,MAGAZZINO!$B$2:$M$100000,7,FALSE)</f>
        <v/>
      </c>
      <c r="H45" s="3">
        <f>+VLOOKUP($A45,MAGAZZINO!$B$2:$M$100000,8,FALSE)</f>
        <v/>
      </c>
      <c r="I45" s="3">
        <f>+VLOOKUP($A45,MAGAZZINO!$B$2:$M$100000,9,FALSE)</f>
        <v/>
      </c>
      <c r="J45" s="3">
        <f>+VLOOKUP($A45,MAGAZZINO!$B$2:$M$100000,10,FALSE)</f>
        <v/>
      </c>
      <c r="K45" s="3">
        <f>+VLOOKUP($A45,MAGAZZINO!$B$2:$M$100000,11,FALSE)</f>
        <v/>
      </c>
      <c r="L45" s="5">
        <f>+VLOOKUP($A45,MAGAZZINO!$B$2:$M$100000,12,FALSE)</f>
        <v/>
      </c>
      <c r="M45" s="47" t="n"/>
      <c r="N45" s="88" t="n">
        <v>45609</v>
      </c>
      <c r="O45" s="91" t="inlineStr">
        <is>
          <t>HS &amp; LLC (OMAN)</t>
        </is>
      </c>
      <c r="P45" s="154" t="inlineStr">
        <is>
          <t>IMPORT LICENSE N. 24/1/2463/1/2024 DEL 05/05/2024                                                              AUT. ESPORTAZIONE MULTIPLA N. 6B/2024/2M RILASCIATA IL 30/07/2024   (LICENZA DI SCARICO N. 6B/2024/1S RILASCIATA IL 06/11/2024)</t>
        </is>
      </c>
      <c r="Q45" s="150" t="n"/>
      <c r="R45" s="150" t="n"/>
      <c r="S45" s="153" t="n"/>
    </row>
    <row r="46" ht="36" customHeight="1">
      <c r="A46" s="46" t="n">
        <v>2376</v>
      </c>
      <c r="B46" s="4">
        <f>+VLOOKUP($A46,MAGAZZINO!$B$2:$M$100000,2,FALSE)</f>
        <v/>
      </c>
      <c r="C46" s="29">
        <f>+VLOOKUP($A46,MAGAZZINO!$B$2:$M$100000,3,FALSE)</f>
        <v/>
      </c>
      <c r="D46" s="3">
        <f>+VLOOKUP($A46,MAGAZZINO!$B$2:$M$100000,4,FALSE)</f>
        <v/>
      </c>
      <c r="E46" s="3">
        <f>+VLOOKUP($A46,MAGAZZINO!$B$2:$M$100000,5,FALSE)</f>
        <v/>
      </c>
      <c r="F46" s="3">
        <f>+VLOOKUP($A46,MAGAZZINO!$B$2:$M$100000,6,FALSE)</f>
        <v/>
      </c>
      <c r="G46" s="3">
        <f>+VLOOKUP($A46,MAGAZZINO!$B$2:$M$100000,7,FALSE)</f>
        <v/>
      </c>
      <c r="H46" s="3">
        <f>+VLOOKUP($A46,MAGAZZINO!$B$2:$M$100000,8,FALSE)</f>
        <v/>
      </c>
      <c r="I46" s="3">
        <f>+VLOOKUP($A46,MAGAZZINO!$B$2:$M$100000,9,FALSE)</f>
        <v/>
      </c>
      <c r="J46" s="3">
        <f>+VLOOKUP($A46,MAGAZZINO!$B$2:$M$100000,10,FALSE)</f>
        <v/>
      </c>
      <c r="K46" s="3">
        <f>+VLOOKUP($A46,MAGAZZINO!$B$2:$M$100000,11,FALSE)</f>
        <v/>
      </c>
      <c r="L46" s="5">
        <f>+VLOOKUP($A46,MAGAZZINO!$B$2:$M$100000,12,FALSE)</f>
        <v/>
      </c>
      <c r="M46" s="47" t="n"/>
      <c r="N46" s="88" t="n">
        <v>45609</v>
      </c>
      <c r="O46" s="91" t="inlineStr">
        <is>
          <t>HS &amp; LLC (OMAN)</t>
        </is>
      </c>
      <c r="P46" s="154" t="inlineStr">
        <is>
          <t>IMPORT LICENSE N. 24/1/2463/1/2024 DEL 05/05/2024                                                              AUT. ESPORTAZIONE MULTIPLA N. 6B/2024/2M RILASCIATA IL 30/07/2024   (LICENZA DI SCARICO N. 6B/2024/1S RILASCIATA IL 06/11/2024)</t>
        </is>
      </c>
      <c r="Q46" s="150" t="n"/>
      <c r="R46" s="150" t="n"/>
      <c r="S46" s="153" t="n"/>
    </row>
    <row r="47" ht="36" customHeight="1">
      <c r="A47" s="46" t="n">
        <v>2377</v>
      </c>
      <c r="B47" s="4">
        <f>+VLOOKUP($A47,MAGAZZINO!$B$2:$M$100000,2,FALSE)</f>
        <v/>
      </c>
      <c r="C47" s="29">
        <f>+VLOOKUP($A47,MAGAZZINO!$B$2:$M$100000,3,FALSE)</f>
        <v/>
      </c>
      <c r="D47" s="3">
        <f>+VLOOKUP($A47,MAGAZZINO!$B$2:$M$100000,4,FALSE)</f>
        <v/>
      </c>
      <c r="E47" s="3">
        <f>+VLOOKUP($A47,MAGAZZINO!$B$2:$M$100000,5,FALSE)</f>
        <v/>
      </c>
      <c r="F47" s="3">
        <f>+VLOOKUP($A47,MAGAZZINO!$B$2:$M$100000,6,FALSE)</f>
        <v/>
      </c>
      <c r="G47" s="3">
        <f>+VLOOKUP($A47,MAGAZZINO!$B$2:$M$100000,7,FALSE)</f>
        <v/>
      </c>
      <c r="H47" s="3">
        <f>+VLOOKUP($A47,MAGAZZINO!$B$2:$M$100000,8,FALSE)</f>
        <v/>
      </c>
      <c r="I47" s="3">
        <f>+VLOOKUP($A47,MAGAZZINO!$B$2:$M$100000,9,FALSE)</f>
        <v/>
      </c>
      <c r="J47" s="3">
        <f>+VLOOKUP($A47,MAGAZZINO!$B$2:$M$100000,10,FALSE)</f>
        <v/>
      </c>
      <c r="K47" s="3">
        <f>+VLOOKUP($A47,MAGAZZINO!$B$2:$M$100000,11,FALSE)</f>
        <v/>
      </c>
      <c r="L47" s="5">
        <f>+VLOOKUP($A47,MAGAZZINO!$B$2:$M$100000,12,FALSE)</f>
        <v/>
      </c>
      <c r="M47" s="47" t="n"/>
      <c r="N47" s="88" t="n">
        <v>45609</v>
      </c>
      <c r="O47" s="91" t="inlineStr">
        <is>
          <t>HS &amp; LLC (OMAN)</t>
        </is>
      </c>
      <c r="P47" s="154" t="inlineStr">
        <is>
          <t>IMPORT LICENSE N. 24/1/2463/1/2024 DEL 05/05/2024                                                              AUT. ESPORTAZIONE MULTIPLA N. 6B/2024/2M RILASCIATA IL 30/07/2024   (LICENZA DI SCARICO N. 6B/2024/1S RILASCIATA IL 06/11/2024)</t>
        </is>
      </c>
      <c r="Q47" s="150" t="n"/>
      <c r="R47" s="150" t="n"/>
      <c r="S47" s="153" t="n"/>
    </row>
    <row r="48" ht="36" customHeight="1">
      <c r="A48" s="46" t="n">
        <v>2378</v>
      </c>
      <c r="B48" s="4">
        <f>+VLOOKUP($A48,MAGAZZINO!$B$2:$M$100000,2,FALSE)</f>
        <v/>
      </c>
      <c r="C48" s="29">
        <f>+VLOOKUP($A48,MAGAZZINO!$B$2:$M$100000,3,FALSE)</f>
        <v/>
      </c>
      <c r="D48" s="3">
        <f>+VLOOKUP($A48,MAGAZZINO!$B$2:$M$100000,4,FALSE)</f>
        <v/>
      </c>
      <c r="E48" s="3">
        <f>+VLOOKUP($A48,MAGAZZINO!$B$2:$M$100000,5,FALSE)</f>
        <v/>
      </c>
      <c r="F48" s="3">
        <f>+VLOOKUP($A48,MAGAZZINO!$B$2:$M$100000,6,FALSE)</f>
        <v/>
      </c>
      <c r="G48" s="3">
        <f>+VLOOKUP($A48,MAGAZZINO!$B$2:$M$100000,7,FALSE)</f>
        <v/>
      </c>
      <c r="H48" s="3">
        <f>+VLOOKUP($A48,MAGAZZINO!$B$2:$M$100000,8,FALSE)</f>
        <v/>
      </c>
      <c r="I48" s="3">
        <f>+VLOOKUP($A48,MAGAZZINO!$B$2:$M$100000,9,FALSE)</f>
        <v/>
      </c>
      <c r="J48" s="3">
        <f>+VLOOKUP($A48,MAGAZZINO!$B$2:$M$100000,10,FALSE)</f>
        <v/>
      </c>
      <c r="K48" s="3">
        <f>+VLOOKUP($A48,MAGAZZINO!$B$2:$M$100000,11,FALSE)</f>
        <v/>
      </c>
      <c r="L48" s="5">
        <f>+VLOOKUP($A48,MAGAZZINO!$B$2:$M$100000,12,FALSE)</f>
        <v/>
      </c>
      <c r="M48" s="47" t="n"/>
      <c r="N48" s="88" t="n">
        <v>45609</v>
      </c>
      <c r="O48" s="91" t="inlineStr">
        <is>
          <t>HS &amp; LLC (OMAN)</t>
        </is>
      </c>
      <c r="P48" s="154" t="inlineStr">
        <is>
          <t>IMPORT LICENSE N. 24/1/2463/1/2024 DEL 05/05/2024                                                              AUT. ESPORTAZIONE MULTIPLA N. 6B/2024/2M RILASCIATA IL 30/07/2024   (LICENZA DI SCARICO N. 6B/2024/1S RILASCIATA IL 06/11/2024)</t>
        </is>
      </c>
      <c r="Q48" s="150" t="n"/>
      <c r="R48" s="150" t="n"/>
      <c r="S48" s="153" t="n"/>
    </row>
    <row r="49" ht="36" customHeight="1">
      <c r="A49" s="46" t="n">
        <v>2379</v>
      </c>
      <c r="B49" s="4">
        <f>+VLOOKUP($A49,MAGAZZINO!$B$2:$M$100000,2,FALSE)</f>
        <v/>
      </c>
      <c r="C49" s="29">
        <f>+VLOOKUP($A49,MAGAZZINO!$B$2:$M$100000,3,FALSE)</f>
        <v/>
      </c>
      <c r="D49" s="3">
        <f>+VLOOKUP($A49,MAGAZZINO!$B$2:$M$100000,4,FALSE)</f>
        <v/>
      </c>
      <c r="E49" s="3">
        <f>+VLOOKUP($A49,MAGAZZINO!$B$2:$M$100000,5,FALSE)</f>
        <v/>
      </c>
      <c r="F49" s="3">
        <f>+VLOOKUP($A49,MAGAZZINO!$B$2:$M$100000,6,FALSE)</f>
        <v/>
      </c>
      <c r="G49" s="3">
        <f>+VLOOKUP($A49,MAGAZZINO!$B$2:$M$100000,7,FALSE)</f>
        <v/>
      </c>
      <c r="H49" s="3">
        <f>+VLOOKUP($A49,MAGAZZINO!$B$2:$M$100000,8,FALSE)</f>
        <v/>
      </c>
      <c r="I49" s="3">
        <f>+VLOOKUP($A49,MAGAZZINO!$B$2:$M$100000,9,FALSE)</f>
        <v/>
      </c>
      <c r="J49" s="3">
        <f>+VLOOKUP($A49,MAGAZZINO!$B$2:$M$100000,10,FALSE)</f>
        <v/>
      </c>
      <c r="K49" s="3">
        <f>+VLOOKUP($A49,MAGAZZINO!$B$2:$M$100000,11,FALSE)</f>
        <v/>
      </c>
      <c r="L49" s="5">
        <f>+VLOOKUP($A49,MAGAZZINO!$B$2:$M$100000,12,FALSE)</f>
        <v/>
      </c>
      <c r="M49" s="47" t="n"/>
      <c r="N49" s="88" t="n">
        <v>45609</v>
      </c>
      <c r="O49" s="91" t="inlineStr">
        <is>
          <t>HS &amp; LLC (OMAN)</t>
        </is>
      </c>
      <c r="P49" s="154" t="inlineStr">
        <is>
          <t>IMPORT LICENSE N. 24/1/2463/1/2024 DEL 05/05/2024                                                              AUT. ESPORTAZIONE MULTIPLA N. 6B/2024/2M RILASCIATA IL 30/07/2024   (LICENZA DI SCARICO N. 6B/2024/1S RILASCIATA IL 06/11/2024)</t>
        </is>
      </c>
      <c r="Q49" s="150" t="n"/>
      <c r="R49" s="150" t="n"/>
      <c r="S49" s="153" t="n"/>
    </row>
    <row r="50" ht="36" customHeight="1">
      <c r="A50" s="46" t="n">
        <v>2380</v>
      </c>
      <c r="B50" s="4">
        <f>+VLOOKUP($A50,MAGAZZINO!$B$2:$M$100000,2,FALSE)</f>
        <v/>
      </c>
      <c r="C50" s="29">
        <f>+VLOOKUP($A50,MAGAZZINO!$B$2:$M$100000,3,FALSE)</f>
        <v/>
      </c>
      <c r="D50" s="3">
        <f>+VLOOKUP($A50,MAGAZZINO!$B$2:$M$100000,4,FALSE)</f>
        <v/>
      </c>
      <c r="E50" s="3">
        <f>+VLOOKUP($A50,MAGAZZINO!$B$2:$M$100000,5,FALSE)</f>
        <v/>
      </c>
      <c r="F50" s="3">
        <f>+VLOOKUP($A50,MAGAZZINO!$B$2:$M$100000,6,FALSE)</f>
        <v/>
      </c>
      <c r="G50" s="3">
        <f>+VLOOKUP($A50,MAGAZZINO!$B$2:$M$100000,7,FALSE)</f>
        <v/>
      </c>
      <c r="H50" s="3">
        <f>+VLOOKUP($A50,MAGAZZINO!$B$2:$M$100000,8,FALSE)</f>
        <v/>
      </c>
      <c r="I50" s="3">
        <f>+VLOOKUP($A50,MAGAZZINO!$B$2:$M$100000,9,FALSE)</f>
        <v/>
      </c>
      <c r="J50" s="3">
        <f>+VLOOKUP($A50,MAGAZZINO!$B$2:$M$100000,10,FALSE)</f>
        <v/>
      </c>
      <c r="K50" s="3">
        <f>+VLOOKUP($A50,MAGAZZINO!$B$2:$M$100000,11,FALSE)</f>
        <v/>
      </c>
      <c r="L50" s="5">
        <f>+VLOOKUP($A50,MAGAZZINO!$B$2:$M$100000,12,FALSE)</f>
        <v/>
      </c>
      <c r="M50" s="47" t="n"/>
      <c r="N50" s="88" t="n">
        <v>45609</v>
      </c>
      <c r="O50" s="91" t="inlineStr">
        <is>
          <t>HS &amp; LLC (OMAN)</t>
        </is>
      </c>
      <c r="P50" s="154" t="inlineStr">
        <is>
          <t>IMPORT LICENSE N. 24/1/2463/1/2024 DEL 05/05/2024                                                              AUT. ESPORTAZIONE MULTIPLA N. 6B/2024/2M RILASCIATA IL 30/07/2024   (LICENZA DI SCARICO N. 6B/2024/1S RILASCIATA IL 06/11/2024)</t>
        </is>
      </c>
      <c r="Q50" s="150" t="n"/>
      <c r="R50" s="150" t="n"/>
      <c r="S50" s="153" t="n"/>
    </row>
    <row r="51" ht="36" customHeight="1">
      <c r="A51" s="46" t="n">
        <v>2381</v>
      </c>
      <c r="B51" s="4">
        <f>+VLOOKUP($A51,MAGAZZINO!$B$2:$M$100000,2,FALSE)</f>
        <v/>
      </c>
      <c r="C51" s="29">
        <f>+VLOOKUP($A51,MAGAZZINO!$B$2:$M$100000,3,FALSE)</f>
        <v/>
      </c>
      <c r="D51" s="3">
        <f>+VLOOKUP($A51,MAGAZZINO!$B$2:$M$100000,4,FALSE)</f>
        <v/>
      </c>
      <c r="E51" s="3">
        <f>+VLOOKUP($A51,MAGAZZINO!$B$2:$M$100000,5,FALSE)</f>
        <v/>
      </c>
      <c r="F51" s="3">
        <f>+VLOOKUP($A51,MAGAZZINO!$B$2:$M$100000,6,FALSE)</f>
        <v/>
      </c>
      <c r="G51" s="3">
        <f>+VLOOKUP($A51,MAGAZZINO!$B$2:$M$100000,7,FALSE)</f>
        <v/>
      </c>
      <c r="H51" s="3">
        <f>+VLOOKUP($A51,MAGAZZINO!$B$2:$M$100000,8,FALSE)</f>
        <v/>
      </c>
      <c r="I51" s="3">
        <f>+VLOOKUP($A51,MAGAZZINO!$B$2:$M$100000,9,FALSE)</f>
        <v/>
      </c>
      <c r="J51" s="3">
        <f>+VLOOKUP($A51,MAGAZZINO!$B$2:$M$100000,10,FALSE)</f>
        <v/>
      </c>
      <c r="K51" s="3">
        <f>+VLOOKUP($A51,MAGAZZINO!$B$2:$M$100000,11,FALSE)</f>
        <v/>
      </c>
      <c r="L51" s="5">
        <f>+VLOOKUP($A51,MAGAZZINO!$B$2:$M$100000,12,FALSE)</f>
        <v/>
      </c>
      <c r="M51" s="47" t="n"/>
      <c r="N51" s="88" t="n">
        <v>45609</v>
      </c>
      <c r="O51" s="91" t="inlineStr">
        <is>
          <t>HS &amp; LLC (OMAN)</t>
        </is>
      </c>
      <c r="P51" s="154" t="inlineStr">
        <is>
          <t>IMPORT LICENSE N. 24/1/2463/1/2024 DEL 05/05/2024                                                              AUT. ESPORTAZIONE MULTIPLA N. 6B/2024/2M RILASCIATA IL 30/07/2024   (LICENZA DI SCARICO N. 6B/2024/1S RILASCIATA IL 06/11/2024)</t>
        </is>
      </c>
      <c r="Q51" s="150" t="n"/>
      <c r="R51" s="150" t="n"/>
      <c r="S51" s="153" t="n"/>
    </row>
    <row r="52" ht="36" customHeight="1">
      <c r="A52" s="46" t="n">
        <v>2382</v>
      </c>
      <c r="B52" s="4">
        <f>+VLOOKUP($A52,MAGAZZINO!$B$2:$M$100000,2,FALSE)</f>
        <v/>
      </c>
      <c r="C52" s="29">
        <f>+VLOOKUP($A52,MAGAZZINO!$B$2:$M$100000,3,FALSE)</f>
        <v/>
      </c>
      <c r="D52" s="3">
        <f>+VLOOKUP($A52,MAGAZZINO!$B$2:$M$100000,4,FALSE)</f>
        <v/>
      </c>
      <c r="E52" s="3">
        <f>+VLOOKUP($A52,MAGAZZINO!$B$2:$M$100000,5,FALSE)</f>
        <v/>
      </c>
      <c r="F52" s="3">
        <f>+VLOOKUP($A52,MAGAZZINO!$B$2:$M$100000,6,FALSE)</f>
        <v/>
      </c>
      <c r="G52" s="3">
        <f>+VLOOKUP($A52,MAGAZZINO!$B$2:$M$100000,7,FALSE)</f>
        <v/>
      </c>
      <c r="H52" s="3">
        <f>+VLOOKUP($A52,MAGAZZINO!$B$2:$M$100000,8,FALSE)</f>
        <v/>
      </c>
      <c r="I52" s="3">
        <f>+VLOOKUP($A52,MAGAZZINO!$B$2:$M$100000,9,FALSE)</f>
        <v/>
      </c>
      <c r="J52" s="3">
        <f>+VLOOKUP($A52,MAGAZZINO!$B$2:$M$100000,10,FALSE)</f>
        <v/>
      </c>
      <c r="K52" s="3">
        <f>+VLOOKUP($A52,MAGAZZINO!$B$2:$M$100000,11,FALSE)</f>
        <v/>
      </c>
      <c r="L52" s="5">
        <f>+VLOOKUP($A52,MAGAZZINO!$B$2:$M$100000,12,FALSE)</f>
        <v/>
      </c>
      <c r="M52" s="47" t="n"/>
      <c r="N52" s="88" t="n">
        <v>45609</v>
      </c>
      <c r="O52" s="91" t="inlineStr">
        <is>
          <t>HS &amp; LLC (OMAN)</t>
        </is>
      </c>
      <c r="P52" s="154" t="inlineStr">
        <is>
          <t>IMPORT LICENSE N. 24/1/2463/1/2024 DEL 05/05/2024                                                              AUT. ESPORTAZIONE MULTIPLA N. 6B/2024/2M RILASCIATA IL 30/07/2024   (LICENZA DI SCARICO N. 6B/2024/1S RILASCIATA IL 06/11/2024)</t>
        </is>
      </c>
      <c r="Q52" s="150" t="n"/>
      <c r="R52" s="150" t="n"/>
      <c r="S52" s="153" t="n"/>
    </row>
    <row r="53" ht="36" customHeight="1">
      <c r="A53" s="46" t="n">
        <v>2383</v>
      </c>
      <c r="B53" s="4">
        <f>+VLOOKUP($A53,MAGAZZINO!$B$2:$M$100000,2,FALSE)</f>
        <v/>
      </c>
      <c r="C53" s="29">
        <f>+VLOOKUP($A53,MAGAZZINO!$B$2:$M$100000,3,FALSE)</f>
        <v/>
      </c>
      <c r="D53" s="3">
        <f>+VLOOKUP($A53,MAGAZZINO!$B$2:$M$100000,4,FALSE)</f>
        <v/>
      </c>
      <c r="E53" s="3">
        <f>+VLOOKUP($A53,MAGAZZINO!$B$2:$M$100000,5,FALSE)</f>
        <v/>
      </c>
      <c r="F53" s="3">
        <f>+VLOOKUP($A53,MAGAZZINO!$B$2:$M$100000,6,FALSE)</f>
        <v/>
      </c>
      <c r="G53" s="3">
        <f>+VLOOKUP($A53,MAGAZZINO!$B$2:$M$100000,7,FALSE)</f>
        <v/>
      </c>
      <c r="H53" s="3">
        <f>+VLOOKUP($A53,MAGAZZINO!$B$2:$M$100000,8,FALSE)</f>
        <v/>
      </c>
      <c r="I53" s="3">
        <f>+VLOOKUP($A53,MAGAZZINO!$B$2:$M$100000,9,FALSE)</f>
        <v/>
      </c>
      <c r="J53" s="3">
        <f>+VLOOKUP($A53,MAGAZZINO!$B$2:$M$100000,10,FALSE)</f>
        <v/>
      </c>
      <c r="K53" s="3">
        <f>+VLOOKUP($A53,MAGAZZINO!$B$2:$M$100000,11,FALSE)</f>
        <v/>
      </c>
      <c r="L53" s="5">
        <f>+VLOOKUP($A53,MAGAZZINO!$B$2:$M$100000,12,FALSE)</f>
        <v/>
      </c>
      <c r="M53" s="47" t="n"/>
      <c r="N53" s="88" t="n">
        <v>45609</v>
      </c>
      <c r="O53" s="91" t="inlineStr">
        <is>
          <t>HS &amp; LLC (OMAN)</t>
        </is>
      </c>
      <c r="P53" s="154" t="inlineStr">
        <is>
          <t>IMPORT LICENSE N. 24/1/2463/1/2024 DEL 05/05/2024                                                              AUT. ESPORTAZIONE MULTIPLA N. 6B/2024/2M RILASCIATA IL 30/07/2024   (LICENZA DI SCARICO N. 6B/2024/1S RILASCIATA IL 06/11/2024)</t>
        </is>
      </c>
      <c r="Q53" s="150" t="n"/>
      <c r="R53" s="150" t="n"/>
      <c r="S53" s="153" t="n"/>
    </row>
    <row r="54" ht="36" customHeight="1">
      <c r="A54" s="46" t="n">
        <v>2384</v>
      </c>
      <c r="B54" s="4">
        <f>+VLOOKUP($A54,MAGAZZINO!$B$2:$M$100000,2,FALSE)</f>
        <v/>
      </c>
      <c r="C54" s="29">
        <f>+VLOOKUP($A54,MAGAZZINO!$B$2:$M$100000,3,FALSE)</f>
        <v/>
      </c>
      <c r="D54" s="3">
        <f>+VLOOKUP($A54,MAGAZZINO!$B$2:$M$100000,4,FALSE)</f>
        <v/>
      </c>
      <c r="E54" s="3">
        <f>+VLOOKUP($A54,MAGAZZINO!$B$2:$M$100000,5,FALSE)</f>
        <v/>
      </c>
      <c r="F54" s="3">
        <f>+VLOOKUP($A54,MAGAZZINO!$B$2:$M$100000,6,FALSE)</f>
        <v/>
      </c>
      <c r="G54" s="3">
        <f>+VLOOKUP($A54,MAGAZZINO!$B$2:$M$100000,7,FALSE)</f>
        <v/>
      </c>
      <c r="H54" s="3">
        <f>+VLOOKUP($A54,MAGAZZINO!$B$2:$M$100000,8,FALSE)</f>
        <v/>
      </c>
      <c r="I54" s="3">
        <f>+VLOOKUP($A54,MAGAZZINO!$B$2:$M$100000,9,FALSE)</f>
        <v/>
      </c>
      <c r="J54" s="3">
        <f>+VLOOKUP($A54,MAGAZZINO!$B$2:$M$100000,10,FALSE)</f>
        <v/>
      </c>
      <c r="K54" s="3">
        <f>+VLOOKUP($A54,MAGAZZINO!$B$2:$M$100000,11,FALSE)</f>
        <v/>
      </c>
      <c r="L54" s="5">
        <f>+VLOOKUP($A54,MAGAZZINO!$B$2:$M$100000,12,FALSE)</f>
        <v/>
      </c>
      <c r="M54" s="47" t="n"/>
      <c r="N54" s="88" t="n">
        <v>45609</v>
      </c>
      <c r="O54" s="91" t="inlineStr">
        <is>
          <t>HS &amp; LLC (OMAN)</t>
        </is>
      </c>
      <c r="P54" s="154" t="inlineStr">
        <is>
          <t>IMPORT LICENSE N. 24/1/2463/1/2024 DEL 05/05/2024                                                              AUT. ESPORTAZIONE MULTIPLA N. 6B/2024/2M RILASCIATA IL 30/07/2024   (LICENZA DI SCARICO N. 6B/2024/1S RILASCIATA IL 06/11/2024)</t>
        </is>
      </c>
      <c r="Q54" s="150" t="n"/>
      <c r="R54" s="150" t="n"/>
      <c r="S54" s="153" t="n"/>
    </row>
    <row r="55" ht="36" customHeight="1">
      <c r="A55" s="46" t="n">
        <v>2385</v>
      </c>
      <c r="B55" s="4">
        <f>+VLOOKUP($A55,MAGAZZINO!$B$2:$M$100000,2,FALSE)</f>
        <v/>
      </c>
      <c r="C55" s="29">
        <f>+VLOOKUP($A55,MAGAZZINO!$B$2:$M$100000,3,FALSE)</f>
        <v/>
      </c>
      <c r="D55" s="3">
        <f>+VLOOKUP($A55,MAGAZZINO!$B$2:$M$100000,4,FALSE)</f>
        <v/>
      </c>
      <c r="E55" s="3">
        <f>+VLOOKUP($A55,MAGAZZINO!$B$2:$M$100000,5,FALSE)</f>
        <v/>
      </c>
      <c r="F55" s="3">
        <f>+VLOOKUP($A55,MAGAZZINO!$B$2:$M$100000,6,FALSE)</f>
        <v/>
      </c>
      <c r="G55" s="3">
        <f>+VLOOKUP($A55,MAGAZZINO!$B$2:$M$100000,7,FALSE)</f>
        <v/>
      </c>
      <c r="H55" s="3">
        <f>+VLOOKUP($A55,MAGAZZINO!$B$2:$M$100000,8,FALSE)</f>
        <v/>
      </c>
      <c r="I55" s="3">
        <f>+VLOOKUP($A55,MAGAZZINO!$B$2:$M$100000,9,FALSE)</f>
        <v/>
      </c>
      <c r="J55" s="3">
        <f>+VLOOKUP($A55,MAGAZZINO!$B$2:$M$100000,10,FALSE)</f>
        <v/>
      </c>
      <c r="K55" s="3">
        <f>+VLOOKUP($A55,MAGAZZINO!$B$2:$M$100000,11,FALSE)</f>
        <v/>
      </c>
      <c r="L55" s="5">
        <f>+VLOOKUP($A55,MAGAZZINO!$B$2:$M$100000,12,FALSE)</f>
        <v/>
      </c>
      <c r="M55" s="47" t="n"/>
      <c r="N55" s="88" t="n">
        <v>45609</v>
      </c>
      <c r="O55" s="91" t="inlineStr">
        <is>
          <t>HS &amp; LLC (OMAN)</t>
        </is>
      </c>
      <c r="P55" s="154" t="inlineStr">
        <is>
          <t>IMPORT LICENSE N. 24/1/2463/1/2024 DEL 05/05/2024                                                              AUT. ESPORTAZIONE MULTIPLA N. 6B/2024/2M RILASCIATA IL 30/07/2024   (LICENZA DI SCARICO N. 6B/2024/1S RILASCIATA IL 06/11/2024)</t>
        </is>
      </c>
      <c r="Q55" s="150" t="n"/>
      <c r="R55" s="150" t="n"/>
      <c r="S55" s="153" t="n"/>
    </row>
    <row r="56" ht="36" customHeight="1">
      <c r="A56" s="46" t="n">
        <v>2386</v>
      </c>
      <c r="B56" s="4">
        <f>+VLOOKUP($A56,MAGAZZINO!$B$2:$M$100000,2,FALSE)</f>
        <v/>
      </c>
      <c r="C56" s="29">
        <f>+VLOOKUP($A56,MAGAZZINO!$B$2:$M$100000,3,FALSE)</f>
        <v/>
      </c>
      <c r="D56" s="3">
        <f>+VLOOKUP($A56,MAGAZZINO!$B$2:$M$100000,4,FALSE)</f>
        <v/>
      </c>
      <c r="E56" s="3">
        <f>+VLOOKUP($A56,MAGAZZINO!$B$2:$M$100000,5,FALSE)</f>
        <v/>
      </c>
      <c r="F56" s="3">
        <f>+VLOOKUP($A56,MAGAZZINO!$B$2:$M$100000,6,FALSE)</f>
        <v/>
      </c>
      <c r="G56" s="3">
        <f>+VLOOKUP($A56,MAGAZZINO!$B$2:$M$100000,7,FALSE)</f>
        <v/>
      </c>
      <c r="H56" s="3">
        <f>+VLOOKUP($A56,MAGAZZINO!$B$2:$M$100000,8,FALSE)</f>
        <v/>
      </c>
      <c r="I56" s="3">
        <f>+VLOOKUP($A56,MAGAZZINO!$B$2:$M$100000,9,FALSE)</f>
        <v/>
      </c>
      <c r="J56" s="3">
        <f>+VLOOKUP($A56,MAGAZZINO!$B$2:$M$100000,10,FALSE)</f>
        <v/>
      </c>
      <c r="K56" s="3">
        <f>+VLOOKUP($A56,MAGAZZINO!$B$2:$M$100000,11,FALSE)</f>
        <v/>
      </c>
      <c r="L56" s="5">
        <f>+VLOOKUP($A56,MAGAZZINO!$B$2:$M$100000,12,FALSE)</f>
        <v/>
      </c>
      <c r="M56" s="47" t="n"/>
      <c r="N56" s="88" t="n">
        <v>45609</v>
      </c>
      <c r="O56" s="91" t="inlineStr">
        <is>
          <t>HS &amp; LLC (OMAN)</t>
        </is>
      </c>
      <c r="P56" s="154" t="inlineStr">
        <is>
          <t>IMPORT LICENSE N. 24/1/2463/1/2024 DEL 05/05/2024                                                              AUT. ESPORTAZIONE MULTIPLA N. 6B/2024/2M RILASCIATA IL 30/07/2024   (LICENZA DI SCARICO N. 6B/2024/1S RILASCIATA IL 06/11/2024)</t>
        </is>
      </c>
      <c r="Q56" s="150" t="n"/>
      <c r="R56" s="150" t="n"/>
      <c r="S56" s="153" t="n"/>
    </row>
    <row r="57" ht="36" customHeight="1">
      <c r="A57" s="46" t="n">
        <v>2387</v>
      </c>
      <c r="B57" s="4">
        <f>+VLOOKUP($A57,MAGAZZINO!$B$2:$M$100000,2,FALSE)</f>
        <v/>
      </c>
      <c r="C57" s="29">
        <f>+VLOOKUP($A57,MAGAZZINO!$B$2:$M$100000,3,FALSE)</f>
        <v/>
      </c>
      <c r="D57" s="3">
        <f>+VLOOKUP($A57,MAGAZZINO!$B$2:$M$100000,4,FALSE)</f>
        <v/>
      </c>
      <c r="E57" s="3">
        <f>+VLOOKUP($A57,MAGAZZINO!$B$2:$M$100000,5,FALSE)</f>
        <v/>
      </c>
      <c r="F57" s="3">
        <f>+VLOOKUP($A57,MAGAZZINO!$B$2:$M$100000,6,FALSE)</f>
        <v/>
      </c>
      <c r="G57" s="3">
        <f>+VLOOKUP($A57,MAGAZZINO!$B$2:$M$100000,7,FALSE)</f>
        <v/>
      </c>
      <c r="H57" s="3">
        <f>+VLOOKUP($A57,MAGAZZINO!$B$2:$M$100000,8,FALSE)</f>
        <v/>
      </c>
      <c r="I57" s="3">
        <f>+VLOOKUP($A57,MAGAZZINO!$B$2:$M$100000,9,FALSE)</f>
        <v/>
      </c>
      <c r="J57" s="3">
        <f>+VLOOKUP($A57,MAGAZZINO!$B$2:$M$100000,10,FALSE)</f>
        <v/>
      </c>
      <c r="K57" s="3">
        <f>+VLOOKUP($A57,MAGAZZINO!$B$2:$M$100000,11,FALSE)</f>
        <v/>
      </c>
      <c r="L57" s="5">
        <f>+VLOOKUP($A57,MAGAZZINO!$B$2:$M$100000,12,FALSE)</f>
        <v/>
      </c>
      <c r="M57" s="47" t="n"/>
      <c r="N57" s="88" t="n">
        <v>45609</v>
      </c>
      <c r="O57" s="91" t="inlineStr">
        <is>
          <t>HS &amp; LLC (OMAN)</t>
        </is>
      </c>
      <c r="P57" s="154" t="inlineStr">
        <is>
          <t>IMPORT LICENSE N. 24/1/2463/1/2024 DEL 05/05/2024                                                              AUT. ESPORTAZIONE MULTIPLA N. 6B/2024/2M RILASCIATA IL 30/07/2024   (LICENZA DI SCARICO N. 6B/2024/1S RILASCIATA IL 06/11/2024)</t>
        </is>
      </c>
      <c r="Q57" s="150" t="n"/>
      <c r="R57" s="150" t="n"/>
      <c r="S57" s="153" t="n"/>
    </row>
    <row r="58" ht="36" customHeight="1">
      <c r="A58" s="46" t="n">
        <v>2388</v>
      </c>
      <c r="B58" s="4">
        <f>+VLOOKUP($A58,MAGAZZINO!$B$2:$M$100000,2,FALSE)</f>
        <v/>
      </c>
      <c r="C58" s="29">
        <f>+VLOOKUP($A58,MAGAZZINO!$B$2:$M$100000,3,FALSE)</f>
        <v/>
      </c>
      <c r="D58" s="3">
        <f>+VLOOKUP($A58,MAGAZZINO!$B$2:$M$100000,4,FALSE)</f>
        <v/>
      </c>
      <c r="E58" s="3">
        <f>+VLOOKUP($A58,MAGAZZINO!$B$2:$M$100000,5,FALSE)</f>
        <v/>
      </c>
      <c r="F58" s="3">
        <f>+VLOOKUP($A58,MAGAZZINO!$B$2:$M$100000,6,FALSE)</f>
        <v/>
      </c>
      <c r="G58" s="3">
        <f>+VLOOKUP($A58,MAGAZZINO!$B$2:$M$100000,7,FALSE)</f>
        <v/>
      </c>
      <c r="H58" s="3">
        <f>+VLOOKUP($A58,MAGAZZINO!$B$2:$M$100000,8,FALSE)</f>
        <v/>
      </c>
      <c r="I58" s="3">
        <f>+VLOOKUP($A58,MAGAZZINO!$B$2:$M$100000,9,FALSE)</f>
        <v/>
      </c>
      <c r="J58" s="3">
        <f>+VLOOKUP($A58,MAGAZZINO!$B$2:$M$100000,10,FALSE)</f>
        <v/>
      </c>
      <c r="K58" s="3">
        <f>+VLOOKUP($A58,MAGAZZINO!$B$2:$M$100000,11,FALSE)</f>
        <v/>
      </c>
      <c r="L58" s="5">
        <f>+VLOOKUP($A58,MAGAZZINO!$B$2:$M$100000,12,FALSE)</f>
        <v/>
      </c>
      <c r="M58" s="47" t="n"/>
      <c r="N58" s="88" t="n">
        <v>45609</v>
      </c>
      <c r="O58" s="91" t="inlineStr">
        <is>
          <t>HS &amp; LLC (OMAN)</t>
        </is>
      </c>
      <c r="P58" s="154" t="inlineStr">
        <is>
          <t>IMPORT LICENSE N. 24/1/2463/1/2024 DEL 05/05/2024                                                              AUT. ESPORTAZIONE MULTIPLA N. 6B/2024/2M RILASCIATA IL 30/07/2024   (LICENZA DI SCARICO N. 6B/2024/1S RILASCIATA IL 06/11/2024)</t>
        </is>
      </c>
      <c r="Q58" s="150" t="n"/>
      <c r="R58" s="150" t="n"/>
      <c r="S58" s="153" t="n"/>
    </row>
    <row r="59" ht="36" customHeight="1">
      <c r="A59" s="46" t="n">
        <v>2389</v>
      </c>
      <c r="B59" s="4">
        <f>+VLOOKUP($A59,MAGAZZINO!$B$2:$M$100000,2,FALSE)</f>
        <v/>
      </c>
      <c r="C59" s="29">
        <f>+VLOOKUP($A59,MAGAZZINO!$B$2:$M$100000,3,FALSE)</f>
        <v/>
      </c>
      <c r="D59" s="3">
        <f>+VLOOKUP($A59,MAGAZZINO!$B$2:$M$100000,4,FALSE)</f>
        <v/>
      </c>
      <c r="E59" s="3">
        <f>+VLOOKUP($A59,MAGAZZINO!$B$2:$M$100000,5,FALSE)</f>
        <v/>
      </c>
      <c r="F59" s="3">
        <f>+VLOOKUP($A59,MAGAZZINO!$B$2:$M$100000,6,FALSE)</f>
        <v/>
      </c>
      <c r="G59" s="3">
        <f>+VLOOKUP($A59,MAGAZZINO!$B$2:$M$100000,7,FALSE)</f>
        <v/>
      </c>
      <c r="H59" s="3">
        <f>+VLOOKUP($A59,MAGAZZINO!$B$2:$M$100000,8,FALSE)</f>
        <v/>
      </c>
      <c r="I59" s="3">
        <f>+VLOOKUP($A59,MAGAZZINO!$B$2:$M$100000,9,FALSE)</f>
        <v/>
      </c>
      <c r="J59" s="3">
        <f>+VLOOKUP($A59,MAGAZZINO!$B$2:$M$100000,10,FALSE)</f>
        <v/>
      </c>
      <c r="K59" s="3">
        <f>+VLOOKUP($A59,MAGAZZINO!$B$2:$M$100000,11,FALSE)</f>
        <v/>
      </c>
      <c r="L59" s="5">
        <f>+VLOOKUP($A59,MAGAZZINO!$B$2:$M$100000,12,FALSE)</f>
        <v/>
      </c>
      <c r="M59" s="47" t="n"/>
      <c r="N59" s="88" t="n">
        <v>45609</v>
      </c>
      <c r="O59" s="91" t="inlineStr">
        <is>
          <t>HS &amp; LLC (OMAN)</t>
        </is>
      </c>
      <c r="P59" s="154" t="inlineStr">
        <is>
          <t>IMPORT LICENSE N. 24/1/2463/1/2024 DEL 05/05/2024                                                              AUT. ESPORTAZIONE MULTIPLA N. 6B/2024/2M RILASCIATA IL 30/07/2024   (LICENZA DI SCARICO N. 6B/2024/1S RILASCIATA IL 06/11/2024)</t>
        </is>
      </c>
      <c r="Q59" s="150" t="n"/>
      <c r="R59" s="150" t="n"/>
      <c r="S59" s="153" t="n"/>
    </row>
    <row r="60" ht="36" customHeight="1">
      <c r="A60" s="46" t="n">
        <v>2390</v>
      </c>
      <c r="B60" s="4">
        <f>+VLOOKUP($A60,MAGAZZINO!$B$2:$M$100000,2,FALSE)</f>
        <v/>
      </c>
      <c r="C60" s="29">
        <f>+VLOOKUP($A60,MAGAZZINO!$B$2:$M$100000,3,FALSE)</f>
        <v/>
      </c>
      <c r="D60" s="3">
        <f>+VLOOKUP($A60,MAGAZZINO!$B$2:$M$100000,4,FALSE)</f>
        <v/>
      </c>
      <c r="E60" s="3">
        <f>+VLOOKUP($A60,MAGAZZINO!$B$2:$M$100000,5,FALSE)</f>
        <v/>
      </c>
      <c r="F60" s="3">
        <f>+VLOOKUP($A60,MAGAZZINO!$B$2:$M$100000,6,FALSE)</f>
        <v/>
      </c>
      <c r="G60" s="3">
        <f>+VLOOKUP($A60,MAGAZZINO!$B$2:$M$100000,7,FALSE)</f>
        <v/>
      </c>
      <c r="H60" s="3">
        <f>+VLOOKUP($A60,MAGAZZINO!$B$2:$M$100000,8,FALSE)</f>
        <v/>
      </c>
      <c r="I60" s="3">
        <f>+VLOOKUP($A60,MAGAZZINO!$B$2:$M$100000,9,FALSE)</f>
        <v/>
      </c>
      <c r="J60" s="3">
        <f>+VLOOKUP($A60,MAGAZZINO!$B$2:$M$100000,10,FALSE)</f>
        <v/>
      </c>
      <c r="K60" s="3">
        <f>+VLOOKUP($A60,MAGAZZINO!$B$2:$M$100000,11,FALSE)</f>
        <v/>
      </c>
      <c r="L60" s="5">
        <f>+VLOOKUP($A60,MAGAZZINO!$B$2:$M$100000,12,FALSE)</f>
        <v/>
      </c>
      <c r="M60" s="47" t="n"/>
      <c r="N60" s="88" t="n">
        <v>45609</v>
      </c>
      <c r="O60" s="91" t="inlineStr">
        <is>
          <t>HS &amp; LLC (OMAN)</t>
        </is>
      </c>
      <c r="P60" s="154" t="inlineStr">
        <is>
          <t>IMPORT LICENSE N. 24/1/2463/1/2024 DEL 05/05/2024                                                              AUT. ESPORTAZIONE MULTIPLA N. 6B/2024/2M RILASCIATA IL 30/07/2024   (LICENZA DI SCARICO N. 6B/2024/1S RILASCIATA IL 06/11/2024)</t>
        </is>
      </c>
      <c r="Q60" s="150" t="n"/>
      <c r="R60" s="150" t="n"/>
      <c r="S60" s="153" t="n"/>
    </row>
    <row r="61" ht="36" customHeight="1">
      <c r="A61" s="46" t="n">
        <v>2391</v>
      </c>
      <c r="B61" s="4">
        <f>+VLOOKUP($A61,MAGAZZINO!$B$2:$M$100000,2,FALSE)</f>
        <v/>
      </c>
      <c r="C61" s="29">
        <f>+VLOOKUP($A61,MAGAZZINO!$B$2:$M$100000,3,FALSE)</f>
        <v/>
      </c>
      <c r="D61" s="3">
        <f>+VLOOKUP($A61,MAGAZZINO!$B$2:$M$100000,4,FALSE)</f>
        <v/>
      </c>
      <c r="E61" s="3">
        <f>+VLOOKUP($A61,MAGAZZINO!$B$2:$M$100000,5,FALSE)</f>
        <v/>
      </c>
      <c r="F61" s="3">
        <f>+VLOOKUP($A61,MAGAZZINO!$B$2:$M$100000,6,FALSE)</f>
        <v/>
      </c>
      <c r="G61" s="3">
        <f>+VLOOKUP($A61,MAGAZZINO!$B$2:$M$100000,7,FALSE)</f>
        <v/>
      </c>
      <c r="H61" s="3">
        <f>+VLOOKUP($A61,MAGAZZINO!$B$2:$M$100000,8,FALSE)</f>
        <v/>
      </c>
      <c r="I61" s="3">
        <f>+VLOOKUP($A61,MAGAZZINO!$B$2:$M$100000,9,FALSE)</f>
        <v/>
      </c>
      <c r="J61" s="3">
        <f>+VLOOKUP($A61,MAGAZZINO!$B$2:$M$100000,10,FALSE)</f>
        <v/>
      </c>
      <c r="K61" s="3">
        <f>+VLOOKUP($A61,MAGAZZINO!$B$2:$M$100000,11,FALSE)</f>
        <v/>
      </c>
      <c r="L61" s="5">
        <f>+VLOOKUP($A61,MAGAZZINO!$B$2:$M$100000,12,FALSE)</f>
        <v/>
      </c>
      <c r="M61" s="47" t="n"/>
      <c r="N61" s="88" t="n">
        <v>45609</v>
      </c>
      <c r="O61" s="91" t="inlineStr">
        <is>
          <t>HS &amp; LLC (OMAN)</t>
        </is>
      </c>
      <c r="P61" s="154" t="inlineStr">
        <is>
          <t>IMPORT LICENSE N. 24/1/2463/1/2024 DEL 05/05/2024                                                              AUT. ESPORTAZIONE MULTIPLA N. 6B/2024/2M RILASCIATA IL 30/07/2024   (LICENZA DI SCARICO N. 6B/2024/1S RILASCIATA IL 06/11/2024)</t>
        </is>
      </c>
      <c r="Q61" s="150" t="n"/>
      <c r="R61" s="150" t="n"/>
      <c r="S61" s="153" t="n"/>
    </row>
    <row r="62" ht="36" customHeight="1">
      <c r="A62" s="46" t="n">
        <v>2392</v>
      </c>
      <c r="B62" s="4">
        <f>+VLOOKUP($A62,MAGAZZINO!$B$2:$M$100000,2,FALSE)</f>
        <v/>
      </c>
      <c r="C62" s="29">
        <f>+VLOOKUP($A62,MAGAZZINO!$B$2:$M$100000,3,FALSE)</f>
        <v/>
      </c>
      <c r="D62" s="3">
        <f>+VLOOKUP($A62,MAGAZZINO!$B$2:$M$100000,4,FALSE)</f>
        <v/>
      </c>
      <c r="E62" s="3">
        <f>+VLOOKUP($A62,MAGAZZINO!$B$2:$M$100000,5,FALSE)</f>
        <v/>
      </c>
      <c r="F62" s="3">
        <f>+VLOOKUP($A62,MAGAZZINO!$B$2:$M$100000,6,FALSE)</f>
        <v/>
      </c>
      <c r="G62" s="3">
        <f>+VLOOKUP($A62,MAGAZZINO!$B$2:$M$100000,7,FALSE)</f>
        <v/>
      </c>
      <c r="H62" s="3">
        <f>+VLOOKUP($A62,MAGAZZINO!$B$2:$M$100000,8,FALSE)</f>
        <v/>
      </c>
      <c r="I62" s="3">
        <f>+VLOOKUP($A62,MAGAZZINO!$B$2:$M$100000,9,FALSE)</f>
        <v/>
      </c>
      <c r="J62" s="3">
        <f>+VLOOKUP($A62,MAGAZZINO!$B$2:$M$100000,10,FALSE)</f>
        <v/>
      </c>
      <c r="K62" s="3">
        <f>+VLOOKUP($A62,MAGAZZINO!$B$2:$M$100000,11,FALSE)</f>
        <v/>
      </c>
      <c r="L62" s="5">
        <f>+VLOOKUP($A62,MAGAZZINO!$B$2:$M$100000,12,FALSE)</f>
        <v/>
      </c>
      <c r="M62" s="47" t="n"/>
      <c r="N62" s="88" t="n">
        <v>45609</v>
      </c>
      <c r="O62" s="91" t="inlineStr">
        <is>
          <t>HS &amp; LLC (OMAN)</t>
        </is>
      </c>
      <c r="P62" s="154" t="inlineStr">
        <is>
          <t>IMPORT LICENSE N. 24/1/2463/1/2024 DEL 05/05/2024                                                              AUT. ESPORTAZIONE MULTIPLA N. 6B/2024/2M RILASCIATA IL 30/07/2024   (LICENZA DI SCARICO N. 6B/2024/1S RILASCIATA IL 06/11/2024)</t>
        </is>
      </c>
      <c r="Q62" s="150" t="n"/>
      <c r="R62" s="150" t="n"/>
      <c r="S62" s="153" t="n"/>
    </row>
    <row r="63" ht="36" customHeight="1">
      <c r="A63" s="46" t="n">
        <v>2393</v>
      </c>
      <c r="B63" s="4">
        <f>+VLOOKUP($A63,MAGAZZINO!$B$2:$M$100000,2,FALSE)</f>
        <v/>
      </c>
      <c r="C63" s="29">
        <f>+VLOOKUP($A63,MAGAZZINO!$B$2:$M$100000,3,FALSE)</f>
        <v/>
      </c>
      <c r="D63" s="3">
        <f>+VLOOKUP($A63,MAGAZZINO!$B$2:$M$100000,4,FALSE)</f>
        <v/>
      </c>
      <c r="E63" s="3">
        <f>+VLOOKUP($A63,MAGAZZINO!$B$2:$M$100000,5,FALSE)</f>
        <v/>
      </c>
      <c r="F63" s="3">
        <f>+VLOOKUP($A63,MAGAZZINO!$B$2:$M$100000,6,FALSE)</f>
        <v/>
      </c>
      <c r="G63" s="3">
        <f>+VLOOKUP($A63,MAGAZZINO!$B$2:$M$100000,7,FALSE)</f>
        <v/>
      </c>
      <c r="H63" s="3">
        <f>+VLOOKUP($A63,MAGAZZINO!$B$2:$M$100000,8,FALSE)</f>
        <v/>
      </c>
      <c r="I63" s="3">
        <f>+VLOOKUP($A63,MAGAZZINO!$B$2:$M$100000,9,FALSE)</f>
        <v/>
      </c>
      <c r="J63" s="3">
        <f>+VLOOKUP($A63,MAGAZZINO!$B$2:$M$100000,10,FALSE)</f>
        <v/>
      </c>
      <c r="K63" s="3">
        <f>+VLOOKUP($A63,MAGAZZINO!$B$2:$M$100000,11,FALSE)</f>
        <v/>
      </c>
      <c r="L63" s="5">
        <f>+VLOOKUP($A63,MAGAZZINO!$B$2:$M$100000,12,FALSE)</f>
        <v/>
      </c>
      <c r="M63" s="47" t="n"/>
      <c r="N63" s="88" t="n">
        <v>45609</v>
      </c>
      <c r="O63" s="91" t="inlineStr">
        <is>
          <t>HS &amp; LLC (OMAN)</t>
        </is>
      </c>
      <c r="P63" s="154" t="inlineStr">
        <is>
          <t>IMPORT LICENSE N. 24/1/2463/1/2024 DEL 05/05/2024                                                              AUT. ESPORTAZIONE MULTIPLA N. 6B/2024/2M RILASCIATA IL 30/07/2024   (LICENZA DI SCARICO N. 6B/2024/1S RILASCIATA IL 06/11/2024)</t>
        </is>
      </c>
      <c r="Q63" s="150" t="n"/>
      <c r="R63" s="150" t="n"/>
      <c r="S63" s="153" t="n"/>
    </row>
    <row r="64" ht="36" customHeight="1">
      <c r="A64" s="46" t="n">
        <v>2394</v>
      </c>
      <c r="B64" s="4">
        <f>+VLOOKUP($A64,MAGAZZINO!$B$2:$M$100000,2,FALSE)</f>
        <v/>
      </c>
      <c r="C64" s="29">
        <f>+VLOOKUP($A64,MAGAZZINO!$B$2:$M$100000,3,FALSE)</f>
        <v/>
      </c>
      <c r="D64" s="3">
        <f>+VLOOKUP($A64,MAGAZZINO!$B$2:$M$100000,4,FALSE)</f>
        <v/>
      </c>
      <c r="E64" s="3">
        <f>+VLOOKUP($A64,MAGAZZINO!$B$2:$M$100000,5,FALSE)</f>
        <v/>
      </c>
      <c r="F64" s="3">
        <f>+VLOOKUP($A64,MAGAZZINO!$B$2:$M$100000,6,FALSE)</f>
        <v/>
      </c>
      <c r="G64" s="3">
        <f>+VLOOKUP($A64,MAGAZZINO!$B$2:$M$100000,7,FALSE)</f>
        <v/>
      </c>
      <c r="H64" s="3">
        <f>+VLOOKUP($A64,MAGAZZINO!$B$2:$M$100000,8,FALSE)</f>
        <v/>
      </c>
      <c r="I64" s="3">
        <f>+VLOOKUP($A64,MAGAZZINO!$B$2:$M$100000,9,FALSE)</f>
        <v/>
      </c>
      <c r="J64" s="3">
        <f>+VLOOKUP($A64,MAGAZZINO!$B$2:$M$100000,10,FALSE)</f>
        <v/>
      </c>
      <c r="K64" s="3">
        <f>+VLOOKUP($A64,MAGAZZINO!$B$2:$M$100000,11,FALSE)</f>
        <v/>
      </c>
      <c r="L64" s="5">
        <f>+VLOOKUP($A64,MAGAZZINO!$B$2:$M$100000,12,FALSE)</f>
        <v/>
      </c>
      <c r="M64" s="47" t="n"/>
      <c r="N64" s="88" t="n">
        <v>45609</v>
      </c>
      <c r="O64" s="91" t="inlineStr">
        <is>
          <t>HS &amp; LLC (OMAN)</t>
        </is>
      </c>
      <c r="P64" s="154" t="inlineStr">
        <is>
          <t>IMPORT LICENSE N. 24/1/2463/1/2024 DEL 05/05/2024                                                              AUT. ESPORTAZIONE MULTIPLA N. 6B/2024/2M RILASCIATA IL 30/07/2024   (LICENZA DI SCARICO N. 6B/2024/1S RILASCIATA IL 06/11/2024)</t>
        </is>
      </c>
      <c r="Q64" s="150" t="n"/>
      <c r="R64" s="150" t="n"/>
      <c r="S64" s="153" t="n"/>
    </row>
    <row r="65" ht="36" customHeight="1">
      <c r="A65" s="46" t="n">
        <v>2395</v>
      </c>
      <c r="B65" s="4">
        <f>+VLOOKUP($A65,MAGAZZINO!$B$2:$M$100000,2,FALSE)</f>
        <v/>
      </c>
      <c r="C65" s="29">
        <f>+VLOOKUP($A65,MAGAZZINO!$B$2:$M$100000,3,FALSE)</f>
        <v/>
      </c>
      <c r="D65" s="3">
        <f>+VLOOKUP($A65,MAGAZZINO!$B$2:$M$100000,4,FALSE)</f>
        <v/>
      </c>
      <c r="E65" s="3">
        <f>+VLOOKUP($A65,MAGAZZINO!$B$2:$M$100000,5,FALSE)</f>
        <v/>
      </c>
      <c r="F65" s="3">
        <f>+VLOOKUP($A65,MAGAZZINO!$B$2:$M$100000,6,FALSE)</f>
        <v/>
      </c>
      <c r="G65" s="3">
        <f>+VLOOKUP($A65,MAGAZZINO!$B$2:$M$100000,7,FALSE)</f>
        <v/>
      </c>
      <c r="H65" s="3">
        <f>+VLOOKUP($A65,MAGAZZINO!$B$2:$M$100000,8,FALSE)</f>
        <v/>
      </c>
      <c r="I65" s="3">
        <f>+VLOOKUP($A65,MAGAZZINO!$B$2:$M$100000,9,FALSE)</f>
        <v/>
      </c>
      <c r="J65" s="3">
        <f>+VLOOKUP($A65,MAGAZZINO!$B$2:$M$100000,10,FALSE)</f>
        <v/>
      </c>
      <c r="K65" s="3">
        <f>+VLOOKUP($A65,MAGAZZINO!$B$2:$M$100000,11,FALSE)</f>
        <v/>
      </c>
      <c r="L65" s="5">
        <f>+VLOOKUP($A65,MAGAZZINO!$B$2:$M$100000,12,FALSE)</f>
        <v/>
      </c>
      <c r="M65" s="47" t="n"/>
      <c r="N65" s="88" t="n">
        <v>45609</v>
      </c>
      <c r="O65" s="91" t="inlineStr">
        <is>
          <t>HS &amp; LLC (OMAN)</t>
        </is>
      </c>
      <c r="P65" s="154" t="inlineStr">
        <is>
          <t>IMPORT LICENSE N. 24/1/2463/1/2024 DEL 05/05/2024                                                              AUT. ESPORTAZIONE MULTIPLA N. 6B/2024/2M RILASCIATA IL 30/07/2024   (LICENZA DI SCARICO N. 6B/2024/1S RILASCIATA IL 06/11/2024)</t>
        </is>
      </c>
      <c r="Q65" s="150" t="n"/>
      <c r="R65" s="150" t="n"/>
      <c r="S65" s="153" t="n"/>
    </row>
    <row r="66" ht="36" customHeight="1">
      <c r="A66" s="46" t="n">
        <v>2396</v>
      </c>
      <c r="B66" s="4">
        <f>+VLOOKUP($A66,MAGAZZINO!$B$2:$M$100000,2,FALSE)</f>
        <v/>
      </c>
      <c r="C66" s="29">
        <f>+VLOOKUP($A66,MAGAZZINO!$B$2:$M$100000,3,FALSE)</f>
        <v/>
      </c>
      <c r="D66" s="3">
        <f>+VLOOKUP($A66,MAGAZZINO!$B$2:$M$100000,4,FALSE)</f>
        <v/>
      </c>
      <c r="E66" s="3">
        <f>+VLOOKUP($A66,MAGAZZINO!$B$2:$M$100000,5,FALSE)</f>
        <v/>
      </c>
      <c r="F66" s="3">
        <f>+VLOOKUP($A66,MAGAZZINO!$B$2:$M$100000,6,FALSE)</f>
        <v/>
      </c>
      <c r="G66" s="3">
        <f>+VLOOKUP($A66,MAGAZZINO!$B$2:$M$100000,7,FALSE)</f>
        <v/>
      </c>
      <c r="H66" s="3">
        <f>+VLOOKUP($A66,MAGAZZINO!$B$2:$M$100000,8,FALSE)</f>
        <v/>
      </c>
      <c r="I66" s="3">
        <f>+VLOOKUP($A66,MAGAZZINO!$B$2:$M$100000,9,FALSE)</f>
        <v/>
      </c>
      <c r="J66" s="3">
        <f>+VLOOKUP($A66,MAGAZZINO!$B$2:$M$100000,10,FALSE)</f>
        <v/>
      </c>
      <c r="K66" s="3">
        <f>+VLOOKUP($A66,MAGAZZINO!$B$2:$M$100000,11,FALSE)</f>
        <v/>
      </c>
      <c r="L66" s="5">
        <f>+VLOOKUP($A66,MAGAZZINO!$B$2:$M$100000,12,FALSE)</f>
        <v/>
      </c>
      <c r="M66" s="47" t="n"/>
      <c r="N66" s="88" t="n">
        <v>45609</v>
      </c>
      <c r="O66" s="91" t="inlineStr">
        <is>
          <t>HS &amp; LLC (OMAN)</t>
        </is>
      </c>
      <c r="P66" s="154" t="inlineStr">
        <is>
          <t>IMPORT LICENSE N. 24/1/2463/1/2024 DEL 05/05/2024                                                              AUT. ESPORTAZIONE MULTIPLA N. 6B/2024/2M RILASCIATA IL 30/07/2024   (LICENZA DI SCARICO N. 6B/2024/1S RILASCIATA IL 06/11/2024)</t>
        </is>
      </c>
      <c r="Q66" s="150" t="n"/>
      <c r="R66" s="150" t="n"/>
      <c r="S66" s="153" t="n"/>
    </row>
    <row r="67" ht="36" customHeight="1">
      <c r="A67" s="46" t="n">
        <v>2397</v>
      </c>
      <c r="B67" s="4">
        <f>+VLOOKUP($A67,MAGAZZINO!$B$2:$M$100000,2,FALSE)</f>
        <v/>
      </c>
      <c r="C67" s="29">
        <f>+VLOOKUP($A67,MAGAZZINO!$B$2:$M$100000,3,FALSE)</f>
        <v/>
      </c>
      <c r="D67" s="3">
        <f>+VLOOKUP($A67,MAGAZZINO!$B$2:$M$100000,4,FALSE)</f>
        <v/>
      </c>
      <c r="E67" s="3">
        <f>+VLOOKUP($A67,MAGAZZINO!$B$2:$M$100000,5,FALSE)</f>
        <v/>
      </c>
      <c r="F67" s="3">
        <f>+VLOOKUP($A67,MAGAZZINO!$B$2:$M$100000,6,FALSE)</f>
        <v/>
      </c>
      <c r="G67" s="3">
        <f>+VLOOKUP($A67,MAGAZZINO!$B$2:$M$100000,7,FALSE)</f>
        <v/>
      </c>
      <c r="H67" s="3">
        <f>+VLOOKUP($A67,MAGAZZINO!$B$2:$M$100000,8,FALSE)</f>
        <v/>
      </c>
      <c r="I67" s="3">
        <f>+VLOOKUP($A67,MAGAZZINO!$B$2:$M$100000,9,FALSE)</f>
        <v/>
      </c>
      <c r="J67" s="3">
        <f>+VLOOKUP($A67,MAGAZZINO!$B$2:$M$100000,10,FALSE)</f>
        <v/>
      </c>
      <c r="K67" s="3">
        <f>+VLOOKUP($A67,MAGAZZINO!$B$2:$M$100000,11,FALSE)</f>
        <v/>
      </c>
      <c r="L67" s="5">
        <f>+VLOOKUP($A67,MAGAZZINO!$B$2:$M$100000,12,FALSE)</f>
        <v/>
      </c>
      <c r="M67" s="47" t="n"/>
      <c r="N67" s="88" t="n">
        <v>45609</v>
      </c>
      <c r="O67" s="91" t="inlineStr">
        <is>
          <t>HS &amp; LLC (OMAN)</t>
        </is>
      </c>
      <c r="P67" s="154" t="inlineStr">
        <is>
          <t>IMPORT LICENSE N. 24/1/2463/1/2024 DEL 05/05/2024                                                              AUT. ESPORTAZIONE MULTIPLA N. 6B/2024/2M RILASCIATA IL 30/07/2024   (LICENZA DI SCARICO N. 6B/2024/1S RILASCIATA IL 06/11/2024)</t>
        </is>
      </c>
      <c r="Q67" s="150" t="n"/>
      <c r="R67" s="150" t="n"/>
      <c r="S67" s="153" t="n"/>
    </row>
    <row r="68" ht="36" customHeight="1">
      <c r="A68" s="46" t="n">
        <v>2398</v>
      </c>
      <c r="B68" s="4">
        <f>+VLOOKUP($A68,MAGAZZINO!$B$2:$M$100000,2,FALSE)</f>
        <v/>
      </c>
      <c r="C68" s="29">
        <f>+VLOOKUP($A68,MAGAZZINO!$B$2:$M$100000,3,FALSE)</f>
        <v/>
      </c>
      <c r="D68" s="3">
        <f>+VLOOKUP($A68,MAGAZZINO!$B$2:$M$100000,4,FALSE)</f>
        <v/>
      </c>
      <c r="E68" s="3">
        <f>+VLOOKUP($A68,MAGAZZINO!$B$2:$M$100000,5,FALSE)</f>
        <v/>
      </c>
      <c r="F68" s="3">
        <f>+VLOOKUP($A68,MAGAZZINO!$B$2:$M$100000,6,FALSE)</f>
        <v/>
      </c>
      <c r="G68" s="3">
        <f>+VLOOKUP($A68,MAGAZZINO!$B$2:$M$100000,7,FALSE)</f>
        <v/>
      </c>
      <c r="H68" s="3">
        <f>+VLOOKUP($A68,MAGAZZINO!$B$2:$M$100000,8,FALSE)</f>
        <v/>
      </c>
      <c r="I68" s="3">
        <f>+VLOOKUP($A68,MAGAZZINO!$B$2:$M$100000,9,FALSE)</f>
        <v/>
      </c>
      <c r="J68" s="3">
        <f>+VLOOKUP($A68,MAGAZZINO!$B$2:$M$100000,10,FALSE)</f>
        <v/>
      </c>
      <c r="K68" s="3">
        <f>+VLOOKUP($A68,MAGAZZINO!$B$2:$M$100000,11,FALSE)</f>
        <v/>
      </c>
      <c r="L68" s="5">
        <f>+VLOOKUP($A68,MAGAZZINO!$B$2:$M$100000,12,FALSE)</f>
        <v/>
      </c>
      <c r="M68" s="47" t="n"/>
      <c r="N68" s="88" t="n">
        <v>45609</v>
      </c>
      <c r="O68" s="91" t="inlineStr">
        <is>
          <t>HS &amp; LLC (OMAN)</t>
        </is>
      </c>
      <c r="P68" s="154" t="inlineStr">
        <is>
          <t>IMPORT LICENSE N. 24/1/2463/1/2024 DEL 05/05/2024                                                              AUT. ESPORTAZIONE MULTIPLA N. 6B/2024/2M RILASCIATA IL 30/07/2024   (LICENZA DI SCARICO N. 6B/2024/1S RILASCIATA IL 06/11/2024)</t>
        </is>
      </c>
      <c r="Q68" s="150" t="n"/>
      <c r="R68" s="150" t="n"/>
      <c r="S68" s="153" t="n"/>
    </row>
    <row r="69" ht="36" customHeight="1">
      <c r="A69" s="46" t="n">
        <v>2399</v>
      </c>
      <c r="B69" s="4">
        <f>+VLOOKUP($A69,MAGAZZINO!$B$2:$M$100000,2,FALSE)</f>
        <v/>
      </c>
      <c r="C69" s="29">
        <f>+VLOOKUP($A69,MAGAZZINO!$B$2:$M$100000,3,FALSE)</f>
        <v/>
      </c>
      <c r="D69" s="3">
        <f>+VLOOKUP($A69,MAGAZZINO!$B$2:$M$100000,4,FALSE)</f>
        <v/>
      </c>
      <c r="E69" s="3">
        <f>+VLOOKUP($A69,MAGAZZINO!$B$2:$M$100000,5,FALSE)</f>
        <v/>
      </c>
      <c r="F69" s="3">
        <f>+VLOOKUP($A69,MAGAZZINO!$B$2:$M$100000,6,FALSE)</f>
        <v/>
      </c>
      <c r="G69" s="3">
        <f>+VLOOKUP($A69,MAGAZZINO!$B$2:$M$100000,7,FALSE)</f>
        <v/>
      </c>
      <c r="H69" s="3">
        <f>+VLOOKUP($A69,MAGAZZINO!$B$2:$M$100000,8,FALSE)</f>
        <v/>
      </c>
      <c r="I69" s="3">
        <f>+VLOOKUP($A69,MAGAZZINO!$B$2:$M$100000,9,FALSE)</f>
        <v/>
      </c>
      <c r="J69" s="3">
        <f>+VLOOKUP($A69,MAGAZZINO!$B$2:$M$100000,10,FALSE)</f>
        <v/>
      </c>
      <c r="K69" s="3">
        <f>+VLOOKUP($A69,MAGAZZINO!$B$2:$M$100000,11,FALSE)</f>
        <v/>
      </c>
      <c r="L69" s="5">
        <f>+VLOOKUP($A69,MAGAZZINO!$B$2:$M$100000,12,FALSE)</f>
        <v/>
      </c>
      <c r="M69" s="47" t="n"/>
      <c r="N69" s="88" t="n">
        <v>45609</v>
      </c>
      <c r="O69" s="91" t="inlineStr">
        <is>
          <t>HS &amp; LLC (OMAN)</t>
        </is>
      </c>
      <c r="P69" s="154" t="inlineStr">
        <is>
          <t>IMPORT LICENSE N. 24/1/2463/1/2024 DEL 05/05/2024                                                              AUT. ESPORTAZIONE MULTIPLA N. 6B/2024/2M RILASCIATA IL 30/07/2024   (LICENZA DI SCARICO N. 6B/2024/1S RILASCIATA IL 06/11/2024)</t>
        </is>
      </c>
      <c r="Q69" s="150" t="n"/>
      <c r="R69" s="150" t="n"/>
      <c r="S69" s="153" t="n"/>
    </row>
    <row r="70" ht="36" customHeight="1">
      <c r="A70" s="46" t="n">
        <v>2400</v>
      </c>
      <c r="B70" s="4">
        <f>+VLOOKUP($A70,MAGAZZINO!$B$2:$M$100000,2,FALSE)</f>
        <v/>
      </c>
      <c r="C70" s="29">
        <f>+VLOOKUP($A70,MAGAZZINO!$B$2:$M$100000,3,FALSE)</f>
        <v/>
      </c>
      <c r="D70" s="3">
        <f>+VLOOKUP($A70,MAGAZZINO!$B$2:$M$100000,4,FALSE)</f>
        <v/>
      </c>
      <c r="E70" s="3">
        <f>+VLOOKUP($A70,MAGAZZINO!$B$2:$M$100000,5,FALSE)</f>
        <v/>
      </c>
      <c r="F70" s="3">
        <f>+VLOOKUP($A70,MAGAZZINO!$B$2:$M$100000,6,FALSE)</f>
        <v/>
      </c>
      <c r="G70" s="3">
        <f>+VLOOKUP($A70,MAGAZZINO!$B$2:$M$100000,7,FALSE)</f>
        <v/>
      </c>
      <c r="H70" s="3">
        <f>+VLOOKUP($A70,MAGAZZINO!$B$2:$M$100000,8,FALSE)</f>
        <v/>
      </c>
      <c r="I70" s="3">
        <f>+VLOOKUP($A70,MAGAZZINO!$B$2:$M$100000,9,FALSE)</f>
        <v/>
      </c>
      <c r="J70" s="3">
        <f>+VLOOKUP($A70,MAGAZZINO!$B$2:$M$100000,10,FALSE)</f>
        <v/>
      </c>
      <c r="K70" s="3">
        <f>+VLOOKUP($A70,MAGAZZINO!$B$2:$M$100000,11,FALSE)</f>
        <v/>
      </c>
      <c r="L70" s="5">
        <f>+VLOOKUP($A70,MAGAZZINO!$B$2:$M$100000,12,FALSE)</f>
        <v/>
      </c>
      <c r="M70" s="47" t="n"/>
      <c r="N70" s="88" t="n">
        <v>45609</v>
      </c>
      <c r="O70" s="91" t="inlineStr">
        <is>
          <t>HS &amp; LLC (OMAN)</t>
        </is>
      </c>
      <c r="P70" s="154" t="inlineStr">
        <is>
          <t>IMPORT LICENSE N. 24/1/2463/1/2024 DEL 05/05/2024                                                              AUT. ESPORTAZIONE MULTIPLA N. 6B/2024/2M RILASCIATA IL 30/07/2024   (LICENZA DI SCARICO N. 6B/2024/1S RILASCIATA IL 06/11/2024)</t>
        </is>
      </c>
      <c r="Q70" s="150" t="n"/>
      <c r="R70" s="150" t="n"/>
      <c r="S70" s="153" t="n"/>
    </row>
    <row r="71" ht="36" customHeight="1">
      <c r="A71" s="46" t="n">
        <v>2401</v>
      </c>
      <c r="B71" s="4">
        <f>+VLOOKUP($A71,MAGAZZINO!$B$2:$M$100000,2,FALSE)</f>
        <v/>
      </c>
      <c r="C71" s="29">
        <f>+VLOOKUP($A71,MAGAZZINO!$B$2:$M$100000,3,FALSE)</f>
        <v/>
      </c>
      <c r="D71" s="3">
        <f>+VLOOKUP($A71,MAGAZZINO!$B$2:$M$100000,4,FALSE)</f>
        <v/>
      </c>
      <c r="E71" s="3">
        <f>+VLOOKUP($A71,MAGAZZINO!$B$2:$M$100000,5,FALSE)</f>
        <v/>
      </c>
      <c r="F71" s="3">
        <f>+VLOOKUP($A71,MAGAZZINO!$B$2:$M$100000,6,FALSE)</f>
        <v/>
      </c>
      <c r="G71" s="3">
        <f>+VLOOKUP($A71,MAGAZZINO!$B$2:$M$100000,7,FALSE)</f>
        <v/>
      </c>
      <c r="H71" s="3">
        <f>+VLOOKUP($A71,MAGAZZINO!$B$2:$M$100000,8,FALSE)</f>
        <v/>
      </c>
      <c r="I71" s="3">
        <f>+VLOOKUP($A71,MAGAZZINO!$B$2:$M$100000,9,FALSE)</f>
        <v/>
      </c>
      <c r="J71" s="3">
        <f>+VLOOKUP($A71,MAGAZZINO!$B$2:$M$100000,10,FALSE)</f>
        <v/>
      </c>
      <c r="K71" s="3">
        <f>+VLOOKUP($A71,MAGAZZINO!$B$2:$M$100000,11,FALSE)</f>
        <v/>
      </c>
      <c r="L71" s="5">
        <f>+VLOOKUP($A71,MAGAZZINO!$B$2:$M$100000,12,FALSE)</f>
        <v/>
      </c>
      <c r="M71" s="47" t="n"/>
      <c r="N71" s="88" t="n">
        <v>45609</v>
      </c>
      <c r="O71" s="91" t="inlineStr">
        <is>
          <t>HS &amp; LLC (OMAN)</t>
        </is>
      </c>
      <c r="P71" s="154" t="inlineStr">
        <is>
          <t>IMPORT LICENSE N. 24/1/2463/1/2024 DEL 05/05/2024                                                              AUT. ESPORTAZIONE MULTIPLA N. 6B/2024/2M RILASCIATA IL 30/07/2024   (LICENZA DI SCARICO N. 6B/2024/1S RILASCIATA IL 06/11/2024)</t>
        </is>
      </c>
      <c r="Q71" s="150" t="n"/>
      <c r="R71" s="150" t="n"/>
      <c r="S71" s="153" t="n"/>
    </row>
    <row r="72" ht="36" customHeight="1">
      <c r="A72" s="46" t="n">
        <v>2402</v>
      </c>
      <c r="B72" s="4">
        <f>+VLOOKUP($A72,MAGAZZINO!$B$2:$M$100000,2,FALSE)</f>
        <v/>
      </c>
      <c r="C72" s="29">
        <f>+VLOOKUP($A72,MAGAZZINO!$B$2:$M$100000,3,FALSE)</f>
        <v/>
      </c>
      <c r="D72" s="3">
        <f>+VLOOKUP($A72,MAGAZZINO!$B$2:$M$100000,4,FALSE)</f>
        <v/>
      </c>
      <c r="E72" s="3">
        <f>+VLOOKUP($A72,MAGAZZINO!$B$2:$M$100000,5,FALSE)</f>
        <v/>
      </c>
      <c r="F72" s="3">
        <f>+VLOOKUP($A72,MAGAZZINO!$B$2:$M$100000,6,FALSE)</f>
        <v/>
      </c>
      <c r="G72" s="3">
        <f>+VLOOKUP($A72,MAGAZZINO!$B$2:$M$100000,7,FALSE)</f>
        <v/>
      </c>
      <c r="H72" s="3">
        <f>+VLOOKUP($A72,MAGAZZINO!$B$2:$M$100000,8,FALSE)</f>
        <v/>
      </c>
      <c r="I72" s="3">
        <f>+VLOOKUP($A72,MAGAZZINO!$B$2:$M$100000,9,FALSE)</f>
        <v/>
      </c>
      <c r="J72" s="3">
        <f>+VLOOKUP($A72,MAGAZZINO!$B$2:$M$100000,10,FALSE)</f>
        <v/>
      </c>
      <c r="K72" s="3">
        <f>+VLOOKUP($A72,MAGAZZINO!$B$2:$M$100000,11,FALSE)</f>
        <v/>
      </c>
      <c r="L72" s="5">
        <f>+VLOOKUP($A72,MAGAZZINO!$B$2:$M$100000,12,FALSE)</f>
        <v/>
      </c>
      <c r="M72" s="47" t="n"/>
      <c r="N72" s="88" t="n">
        <v>45609</v>
      </c>
      <c r="O72" s="91" t="inlineStr">
        <is>
          <t>HS &amp; LLC (OMAN)</t>
        </is>
      </c>
      <c r="P72" s="154" t="inlineStr">
        <is>
          <t>IMPORT LICENSE N. 24/1/2463/1/2024 DEL 05/05/2024                                                              AUT. ESPORTAZIONE MULTIPLA N. 6B/2024/2M RILASCIATA IL 30/07/2024   (LICENZA DI SCARICO N. 6B/2024/1S RILASCIATA IL 06/11/2024)</t>
        </is>
      </c>
      <c r="Q72" s="150" t="n"/>
      <c r="R72" s="150" t="n"/>
      <c r="S72" s="153" t="n"/>
    </row>
    <row r="73" ht="36" customHeight="1">
      <c r="A73" s="46" t="n">
        <v>2403</v>
      </c>
      <c r="B73" s="4">
        <f>+VLOOKUP($A73,MAGAZZINO!$B$2:$M$100000,2,FALSE)</f>
        <v/>
      </c>
      <c r="C73" s="29">
        <f>+VLOOKUP($A73,MAGAZZINO!$B$2:$M$100000,3,FALSE)</f>
        <v/>
      </c>
      <c r="D73" s="3">
        <f>+VLOOKUP($A73,MAGAZZINO!$B$2:$M$100000,4,FALSE)</f>
        <v/>
      </c>
      <c r="E73" s="3">
        <f>+VLOOKUP($A73,MAGAZZINO!$B$2:$M$100000,5,FALSE)</f>
        <v/>
      </c>
      <c r="F73" s="3">
        <f>+VLOOKUP($A73,MAGAZZINO!$B$2:$M$100000,6,FALSE)</f>
        <v/>
      </c>
      <c r="G73" s="3">
        <f>+VLOOKUP($A73,MAGAZZINO!$B$2:$M$100000,7,FALSE)</f>
        <v/>
      </c>
      <c r="H73" s="3">
        <f>+VLOOKUP($A73,MAGAZZINO!$B$2:$M$100000,8,FALSE)</f>
        <v/>
      </c>
      <c r="I73" s="3">
        <f>+VLOOKUP($A73,MAGAZZINO!$B$2:$M$100000,9,FALSE)</f>
        <v/>
      </c>
      <c r="J73" s="3">
        <f>+VLOOKUP($A73,MAGAZZINO!$B$2:$M$100000,10,FALSE)</f>
        <v/>
      </c>
      <c r="K73" s="3">
        <f>+VLOOKUP($A73,MAGAZZINO!$B$2:$M$100000,11,FALSE)</f>
        <v/>
      </c>
      <c r="L73" s="5">
        <f>+VLOOKUP($A73,MAGAZZINO!$B$2:$M$100000,12,FALSE)</f>
        <v/>
      </c>
      <c r="M73" s="47" t="n"/>
      <c r="N73" s="88" t="n">
        <v>45609</v>
      </c>
      <c r="O73" s="91" t="inlineStr">
        <is>
          <t>HS &amp; LLC (OMAN)</t>
        </is>
      </c>
      <c r="P73" s="154" t="inlineStr">
        <is>
          <t>IMPORT LICENSE N. 24/1/2463/1/2024 DEL 05/05/2024                                                              AUT. ESPORTAZIONE MULTIPLA N. 6B/2024/2M RILASCIATA IL 30/07/2024   (LICENZA DI SCARICO N. 6B/2024/1S RILASCIATA IL 06/11/2024)</t>
        </is>
      </c>
      <c r="Q73" s="150" t="n"/>
      <c r="R73" s="150" t="n"/>
      <c r="S73" s="153" t="n"/>
    </row>
    <row r="74" ht="36" customHeight="1">
      <c r="A74" s="46" t="n">
        <v>2404</v>
      </c>
      <c r="B74" s="4">
        <f>+VLOOKUP($A74,MAGAZZINO!$B$2:$M$100000,2,FALSE)</f>
        <v/>
      </c>
      <c r="C74" s="29">
        <f>+VLOOKUP($A74,MAGAZZINO!$B$2:$M$100000,3,FALSE)</f>
        <v/>
      </c>
      <c r="D74" s="3">
        <f>+VLOOKUP($A74,MAGAZZINO!$B$2:$M$100000,4,FALSE)</f>
        <v/>
      </c>
      <c r="E74" s="3">
        <f>+VLOOKUP($A74,MAGAZZINO!$B$2:$M$100000,5,FALSE)</f>
        <v/>
      </c>
      <c r="F74" s="3">
        <f>+VLOOKUP($A74,MAGAZZINO!$B$2:$M$100000,6,FALSE)</f>
        <v/>
      </c>
      <c r="G74" s="3">
        <f>+VLOOKUP($A74,MAGAZZINO!$B$2:$M$100000,7,FALSE)</f>
        <v/>
      </c>
      <c r="H74" s="3">
        <f>+VLOOKUP($A74,MAGAZZINO!$B$2:$M$100000,8,FALSE)</f>
        <v/>
      </c>
      <c r="I74" s="3">
        <f>+VLOOKUP($A74,MAGAZZINO!$B$2:$M$100000,9,FALSE)</f>
        <v/>
      </c>
      <c r="J74" s="3">
        <f>+VLOOKUP($A74,MAGAZZINO!$B$2:$M$100000,10,FALSE)</f>
        <v/>
      </c>
      <c r="K74" s="3">
        <f>+VLOOKUP($A74,MAGAZZINO!$B$2:$M$100000,11,FALSE)</f>
        <v/>
      </c>
      <c r="L74" s="5">
        <f>+VLOOKUP($A74,MAGAZZINO!$B$2:$M$100000,12,FALSE)</f>
        <v/>
      </c>
      <c r="M74" s="47" t="n"/>
      <c r="N74" s="88" t="n">
        <v>45609</v>
      </c>
      <c r="O74" s="91" t="inlineStr">
        <is>
          <t>HS &amp; LLC (OMAN)</t>
        </is>
      </c>
      <c r="P74" s="154" t="inlineStr">
        <is>
          <t>IMPORT LICENSE N. 24/1/2463/1/2024 DEL 05/05/2024                                                              AUT. ESPORTAZIONE MULTIPLA N. 6B/2024/2M RILASCIATA IL 30/07/2024   (LICENZA DI SCARICO N. 6B/2024/1S RILASCIATA IL 06/11/2024)</t>
        </is>
      </c>
      <c r="Q74" s="150" t="n"/>
      <c r="R74" s="150" t="n"/>
      <c r="S74" s="153" t="n"/>
    </row>
    <row r="75" ht="36" customHeight="1">
      <c r="A75" s="46" t="n">
        <v>2405</v>
      </c>
      <c r="B75" s="4">
        <f>+VLOOKUP($A75,MAGAZZINO!$B$2:$M$100000,2,FALSE)</f>
        <v/>
      </c>
      <c r="C75" s="29">
        <f>+VLOOKUP($A75,MAGAZZINO!$B$2:$M$100000,3,FALSE)</f>
        <v/>
      </c>
      <c r="D75" s="3">
        <f>+VLOOKUP($A75,MAGAZZINO!$B$2:$M$100000,4,FALSE)</f>
        <v/>
      </c>
      <c r="E75" s="3">
        <f>+VLOOKUP($A75,MAGAZZINO!$B$2:$M$100000,5,FALSE)</f>
        <v/>
      </c>
      <c r="F75" s="3">
        <f>+VLOOKUP($A75,MAGAZZINO!$B$2:$M$100000,6,FALSE)</f>
        <v/>
      </c>
      <c r="G75" s="3">
        <f>+VLOOKUP($A75,MAGAZZINO!$B$2:$M$100000,7,FALSE)</f>
        <v/>
      </c>
      <c r="H75" s="3">
        <f>+VLOOKUP($A75,MAGAZZINO!$B$2:$M$100000,8,FALSE)</f>
        <v/>
      </c>
      <c r="I75" s="3">
        <f>+VLOOKUP($A75,MAGAZZINO!$B$2:$M$100000,9,FALSE)</f>
        <v/>
      </c>
      <c r="J75" s="3">
        <f>+VLOOKUP($A75,MAGAZZINO!$B$2:$M$100000,10,FALSE)</f>
        <v/>
      </c>
      <c r="K75" s="3">
        <f>+VLOOKUP($A75,MAGAZZINO!$B$2:$M$100000,11,FALSE)</f>
        <v/>
      </c>
      <c r="L75" s="5">
        <f>+VLOOKUP($A75,MAGAZZINO!$B$2:$M$100000,12,FALSE)</f>
        <v/>
      </c>
      <c r="M75" s="47" t="n"/>
      <c r="N75" s="88" t="n">
        <v>45609</v>
      </c>
      <c r="O75" s="91" t="inlineStr">
        <is>
          <t>HS &amp; LLC (OMAN)</t>
        </is>
      </c>
      <c r="P75" s="154" t="inlineStr">
        <is>
          <t>IMPORT LICENSE N. 24/1/2463/1/2024 DEL 05/05/2024                                                              AUT. ESPORTAZIONE MULTIPLA N. 6B/2024/2M RILASCIATA IL 30/07/2024   (LICENZA DI SCARICO N. 6B/2024/1S RILASCIATA IL 06/11/2024)</t>
        </is>
      </c>
      <c r="Q75" s="150" t="n"/>
      <c r="R75" s="150" t="n"/>
      <c r="S75" s="153" t="n"/>
    </row>
    <row r="76" ht="36" customHeight="1">
      <c r="A76" s="46" t="n">
        <v>2406</v>
      </c>
      <c r="B76" s="4">
        <f>+VLOOKUP($A76,MAGAZZINO!$B$2:$M$100000,2,FALSE)</f>
        <v/>
      </c>
      <c r="C76" s="29">
        <f>+VLOOKUP($A76,MAGAZZINO!$B$2:$M$100000,3,FALSE)</f>
        <v/>
      </c>
      <c r="D76" s="3">
        <f>+VLOOKUP($A76,MAGAZZINO!$B$2:$M$100000,4,FALSE)</f>
        <v/>
      </c>
      <c r="E76" s="3">
        <f>+VLOOKUP($A76,MAGAZZINO!$B$2:$M$100000,5,FALSE)</f>
        <v/>
      </c>
      <c r="F76" s="3">
        <f>+VLOOKUP($A76,MAGAZZINO!$B$2:$M$100000,6,FALSE)</f>
        <v/>
      </c>
      <c r="G76" s="3">
        <f>+VLOOKUP($A76,MAGAZZINO!$B$2:$M$100000,7,FALSE)</f>
        <v/>
      </c>
      <c r="H76" s="3">
        <f>+VLOOKUP($A76,MAGAZZINO!$B$2:$M$100000,8,FALSE)</f>
        <v/>
      </c>
      <c r="I76" s="3">
        <f>+VLOOKUP($A76,MAGAZZINO!$B$2:$M$100000,9,FALSE)</f>
        <v/>
      </c>
      <c r="J76" s="3">
        <f>+VLOOKUP($A76,MAGAZZINO!$B$2:$M$100000,10,FALSE)</f>
        <v/>
      </c>
      <c r="K76" s="3">
        <f>+VLOOKUP($A76,MAGAZZINO!$B$2:$M$100000,11,FALSE)</f>
        <v/>
      </c>
      <c r="L76" s="5">
        <f>+VLOOKUP($A76,MAGAZZINO!$B$2:$M$100000,12,FALSE)</f>
        <v/>
      </c>
      <c r="M76" s="47" t="n"/>
      <c r="N76" s="88" t="n">
        <v>45609</v>
      </c>
      <c r="O76" s="91" t="inlineStr">
        <is>
          <t>HS &amp; LLC (OMAN)</t>
        </is>
      </c>
      <c r="P76" s="154" t="inlineStr">
        <is>
          <t>IMPORT LICENSE N. 24/1/2463/1/2024 DEL 05/05/2024                                                              AUT. ESPORTAZIONE MULTIPLA N. 6B/2024/2M RILASCIATA IL 30/07/2024   (LICENZA DI SCARICO N. 6B/2024/1S RILASCIATA IL 06/11/2024)</t>
        </is>
      </c>
      <c r="Q76" s="150" t="n"/>
      <c r="R76" s="150" t="n"/>
      <c r="S76" s="153" t="n"/>
    </row>
    <row r="77" ht="36" customHeight="1">
      <c r="A77" s="46" t="n">
        <v>2407</v>
      </c>
      <c r="B77" s="4">
        <f>+VLOOKUP($A77,MAGAZZINO!$B$2:$M$100000,2,FALSE)</f>
        <v/>
      </c>
      <c r="C77" s="29">
        <f>+VLOOKUP($A77,MAGAZZINO!$B$2:$M$100000,3,FALSE)</f>
        <v/>
      </c>
      <c r="D77" s="3">
        <f>+VLOOKUP($A77,MAGAZZINO!$B$2:$M$100000,4,FALSE)</f>
        <v/>
      </c>
      <c r="E77" s="3">
        <f>+VLOOKUP($A77,MAGAZZINO!$B$2:$M$100000,5,FALSE)</f>
        <v/>
      </c>
      <c r="F77" s="3">
        <f>+VLOOKUP($A77,MAGAZZINO!$B$2:$M$100000,6,FALSE)</f>
        <v/>
      </c>
      <c r="G77" s="3">
        <f>+VLOOKUP($A77,MAGAZZINO!$B$2:$M$100000,7,FALSE)</f>
        <v/>
      </c>
      <c r="H77" s="3">
        <f>+VLOOKUP($A77,MAGAZZINO!$B$2:$M$100000,8,FALSE)</f>
        <v/>
      </c>
      <c r="I77" s="3">
        <f>+VLOOKUP($A77,MAGAZZINO!$B$2:$M$100000,9,FALSE)</f>
        <v/>
      </c>
      <c r="J77" s="3">
        <f>+VLOOKUP($A77,MAGAZZINO!$B$2:$M$100000,10,FALSE)</f>
        <v/>
      </c>
      <c r="K77" s="3">
        <f>+VLOOKUP($A77,MAGAZZINO!$B$2:$M$100000,11,FALSE)</f>
        <v/>
      </c>
      <c r="L77" s="5">
        <f>+VLOOKUP($A77,MAGAZZINO!$B$2:$M$100000,12,FALSE)</f>
        <v/>
      </c>
      <c r="M77" s="47" t="n"/>
      <c r="N77" s="88" t="n">
        <v>45609</v>
      </c>
      <c r="O77" s="91" t="inlineStr">
        <is>
          <t>HS &amp; LLC (OMAN)</t>
        </is>
      </c>
      <c r="P77" s="154" t="inlineStr">
        <is>
          <t>IMPORT LICENSE N. 24/1/2463/1/2024 DEL 05/05/2024                                                              AUT. ESPORTAZIONE MULTIPLA N. 6B/2024/2M RILASCIATA IL 30/07/2024   (LICENZA DI SCARICO N. 6B/2024/1S RILASCIATA IL 06/11/2024)</t>
        </is>
      </c>
      <c r="Q77" s="150" t="n"/>
      <c r="R77" s="150" t="n"/>
      <c r="S77" s="153" t="n"/>
    </row>
    <row r="78" ht="36" customHeight="1">
      <c r="A78" s="46" t="n">
        <v>2408</v>
      </c>
      <c r="B78" s="4">
        <f>+VLOOKUP($A78,MAGAZZINO!$B$2:$M$100000,2,FALSE)</f>
        <v/>
      </c>
      <c r="C78" s="29">
        <f>+VLOOKUP($A78,MAGAZZINO!$B$2:$M$100000,3,FALSE)</f>
        <v/>
      </c>
      <c r="D78" s="3">
        <f>+VLOOKUP($A78,MAGAZZINO!$B$2:$M$100000,4,FALSE)</f>
        <v/>
      </c>
      <c r="E78" s="3">
        <f>+VLOOKUP($A78,MAGAZZINO!$B$2:$M$100000,5,FALSE)</f>
        <v/>
      </c>
      <c r="F78" s="3">
        <f>+VLOOKUP($A78,MAGAZZINO!$B$2:$M$100000,6,FALSE)</f>
        <v/>
      </c>
      <c r="G78" s="3">
        <f>+VLOOKUP($A78,MAGAZZINO!$B$2:$M$100000,7,FALSE)</f>
        <v/>
      </c>
      <c r="H78" s="3">
        <f>+VLOOKUP($A78,MAGAZZINO!$B$2:$M$100000,8,FALSE)</f>
        <v/>
      </c>
      <c r="I78" s="3">
        <f>+VLOOKUP($A78,MAGAZZINO!$B$2:$M$100000,9,FALSE)</f>
        <v/>
      </c>
      <c r="J78" s="3">
        <f>+VLOOKUP($A78,MAGAZZINO!$B$2:$M$100000,10,FALSE)</f>
        <v/>
      </c>
      <c r="K78" s="3">
        <f>+VLOOKUP($A78,MAGAZZINO!$B$2:$M$100000,11,FALSE)</f>
        <v/>
      </c>
      <c r="L78" s="5">
        <f>+VLOOKUP($A78,MAGAZZINO!$B$2:$M$100000,12,FALSE)</f>
        <v/>
      </c>
      <c r="M78" s="47" t="n"/>
      <c r="N78" s="88" t="n">
        <v>45609</v>
      </c>
      <c r="O78" s="91" t="inlineStr">
        <is>
          <t>HS &amp; LLC (OMAN)</t>
        </is>
      </c>
      <c r="P78" s="154" t="inlineStr">
        <is>
          <t>IMPORT LICENSE N. 24/1/2463/1/2024 DEL 05/05/2024                                                              AUT. ESPORTAZIONE MULTIPLA N. 6B/2024/2M RILASCIATA IL 30/07/2024   (LICENZA DI SCARICO N. 6B/2024/1S RILASCIATA IL 06/11/2024)</t>
        </is>
      </c>
      <c r="Q78" s="150" t="n"/>
      <c r="R78" s="150" t="n"/>
      <c r="S78" s="153" t="n"/>
    </row>
    <row r="79" ht="36" customHeight="1">
      <c r="A79" s="46" t="n">
        <v>2409</v>
      </c>
      <c r="B79" s="4">
        <f>+VLOOKUP($A79,MAGAZZINO!$B$2:$M$100000,2,FALSE)</f>
        <v/>
      </c>
      <c r="C79" s="29">
        <f>+VLOOKUP($A79,MAGAZZINO!$B$2:$M$100000,3,FALSE)</f>
        <v/>
      </c>
      <c r="D79" s="3">
        <f>+VLOOKUP($A79,MAGAZZINO!$B$2:$M$100000,4,FALSE)</f>
        <v/>
      </c>
      <c r="E79" s="3">
        <f>+VLOOKUP($A79,MAGAZZINO!$B$2:$M$100000,5,FALSE)</f>
        <v/>
      </c>
      <c r="F79" s="3">
        <f>+VLOOKUP($A79,MAGAZZINO!$B$2:$M$100000,6,FALSE)</f>
        <v/>
      </c>
      <c r="G79" s="3">
        <f>+VLOOKUP($A79,MAGAZZINO!$B$2:$M$100000,7,FALSE)</f>
        <v/>
      </c>
      <c r="H79" s="3">
        <f>+VLOOKUP($A79,MAGAZZINO!$B$2:$M$100000,8,FALSE)</f>
        <v/>
      </c>
      <c r="I79" s="3">
        <f>+VLOOKUP($A79,MAGAZZINO!$B$2:$M$100000,9,FALSE)</f>
        <v/>
      </c>
      <c r="J79" s="3">
        <f>+VLOOKUP($A79,MAGAZZINO!$B$2:$M$100000,10,FALSE)</f>
        <v/>
      </c>
      <c r="K79" s="3">
        <f>+VLOOKUP($A79,MAGAZZINO!$B$2:$M$100000,11,FALSE)</f>
        <v/>
      </c>
      <c r="L79" s="5">
        <f>+VLOOKUP($A79,MAGAZZINO!$B$2:$M$100000,12,FALSE)</f>
        <v/>
      </c>
      <c r="M79" s="47" t="n"/>
      <c r="N79" s="88" t="n">
        <v>45609</v>
      </c>
      <c r="O79" s="91" t="inlineStr">
        <is>
          <t>HS &amp; LLC (OMAN)</t>
        </is>
      </c>
      <c r="P79" s="154" t="inlineStr">
        <is>
          <t>IMPORT LICENSE N. 24/1/2463/1/2024 DEL 05/05/2024                                                              AUT. ESPORTAZIONE MULTIPLA N. 6B/2024/2M RILASCIATA IL 30/07/2024   (LICENZA DI SCARICO N. 6B/2024/1S RILASCIATA IL 06/11/2024)</t>
        </is>
      </c>
      <c r="Q79" s="150" t="n"/>
      <c r="R79" s="150" t="n"/>
      <c r="S79" s="153" t="n"/>
    </row>
    <row r="80" ht="36" customHeight="1">
      <c r="A80" s="46" t="n">
        <v>2410</v>
      </c>
      <c r="B80" s="4">
        <f>+VLOOKUP($A80,MAGAZZINO!$B$2:$M$100000,2,FALSE)</f>
        <v/>
      </c>
      <c r="C80" s="29">
        <f>+VLOOKUP($A80,MAGAZZINO!$B$2:$M$100000,3,FALSE)</f>
        <v/>
      </c>
      <c r="D80" s="3">
        <f>+VLOOKUP($A80,MAGAZZINO!$B$2:$M$100000,4,FALSE)</f>
        <v/>
      </c>
      <c r="E80" s="3">
        <f>+VLOOKUP($A80,MAGAZZINO!$B$2:$M$100000,5,FALSE)</f>
        <v/>
      </c>
      <c r="F80" s="3">
        <f>+VLOOKUP($A80,MAGAZZINO!$B$2:$M$100000,6,FALSE)</f>
        <v/>
      </c>
      <c r="G80" s="3">
        <f>+VLOOKUP($A80,MAGAZZINO!$B$2:$M$100000,7,FALSE)</f>
        <v/>
      </c>
      <c r="H80" s="3">
        <f>+VLOOKUP($A80,MAGAZZINO!$B$2:$M$100000,8,FALSE)</f>
        <v/>
      </c>
      <c r="I80" s="3">
        <f>+VLOOKUP($A80,MAGAZZINO!$B$2:$M$100000,9,FALSE)</f>
        <v/>
      </c>
      <c r="J80" s="3">
        <f>+VLOOKUP($A80,MAGAZZINO!$B$2:$M$100000,10,FALSE)</f>
        <v/>
      </c>
      <c r="K80" s="3">
        <f>+VLOOKUP($A80,MAGAZZINO!$B$2:$M$100000,11,FALSE)</f>
        <v/>
      </c>
      <c r="L80" s="5">
        <f>+VLOOKUP($A80,MAGAZZINO!$B$2:$M$100000,12,FALSE)</f>
        <v/>
      </c>
      <c r="M80" s="47" t="n"/>
      <c r="N80" s="88" t="n">
        <v>45609</v>
      </c>
      <c r="O80" s="91" t="inlineStr">
        <is>
          <t>HS &amp; LLC (OMAN)</t>
        </is>
      </c>
      <c r="P80" s="154" t="inlineStr">
        <is>
          <t>IMPORT LICENSE N. 24/1/2463/1/2024 DEL 05/05/2024                                                              AUT. ESPORTAZIONE MULTIPLA N. 6B/2024/2M RILASCIATA IL 30/07/2024   (LICENZA DI SCARICO N. 6B/2024/1S RILASCIATA IL 06/11/2024)</t>
        </is>
      </c>
      <c r="Q80" s="150" t="n"/>
      <c r="R80" s="150" t="n"/>
      <c r="S80" s="153" t="n"/>
    </row>
    <row r="81" ht="36" customHeight="1">
      <c r="A81" s="46" t="n">
        <v>2411</v>
      </c>
      <c r="B81" s="4">
        <f>+VLOOKUP($A81,MAGAZZINO!$B$2:$M$100000,2,FALSE)</f>
        <v/>
      </c>
      <c r="C81" s="29">
        <f>+VLOOKUP($A81,MAGAZZINO!$B$2:$M$100000,3,FALSE)</f>
        <v/>
      </c>
      <c r="D81" s="3">
        <f>+VLOOKUP($A81,MAGAZZINO!$B$2:$M$100000,4,FALSE)</f>
        <v/>
      </c>
      <c r="E81" s="3">
        <f>+VLOOKUP($A81,MAGAZZINO!$B$2:$M$100000,5,FALSE)</f>
        <v/>
      </c>
      <c r="F81" s="3">
        <f>+VLOOKUP($A81,MAGAZZINO!$B$2:$M$100000,6,FALSE)</f>
        <v/>
      </c>
      <c r="G81" s="3">
        <f>+VLOOKUP($A81,MAGAZZINO!$B$2:$M$100000,7,FALSE)</f>
        <v/>
      </c>
      <c r="H81" s="3">
        <f>+VLOOKUP($A81,MAGAZZINO!$B$2:$M$100000,8,FALSE)</f>
        <v/>
      </c>
      <c r="I81" s="3">
        <f>+VLOOKUP($A81,MAGAZZINO!$B$2:$M$100000,9,FALSE)</f>
        <v/>
      </c>
      <c r="J81" s="3">
        <f>+VLOOKUP($A81,MAGAZZINO!$B$2:$M$100000,10,FALSE)</f>
        <v/>
      </c>
      <c r="K81" s="3">
        <f>+VLOOKUP($A81,MAGAZZINO!$B$2:$M$100000,11,FALSE)</f>
        <v/>
      </c>
      <c r="L81" s="5">
        <f>+VLOOKUP($A81,MAGAZZINO!$B$2:$M$100000,12,FALSE)</f>
        <v/>
      </c>
      <c r="M81" s="47" t="n"/>
      <c r="N81" s="88" t="n">
        <v>45609</v>
      </c>
      <c r="O81" s="91" t="inlineStr">
        <is>
          <t>HS &amp; LLC (OMAN)</t>
        </is>
      </c>
      <c r="P81" s="154" t="inlineStr">
        <is>
          <t>IMPORT LICENSE N. 24/1/2463/1/2024 DEL 05/05/2024                                                              AUT. ESPORTAZIONE MULTIPLA N. 6B/2024/2M RILASCIATA IL 30/07/2024   (LICENZA DI SCARICO N. 6B/2024/1S RILASCIATA IL 06/11/2024)</t>
        </is>
      </c>
      <c r="Q81" s="150" t="n"/>
      <c r="R81" s="150" t="n"/>
      <c r="S81" s="153" t="n"/>
    </row>
    <row r="82" ht="36" customHeight="1">
      <c r="A82" s="46" t="n">
        <v>2412</v>
      </c>
      <c r="B82" s="4">
        <f>+VLOOKUP($A82,MAGAZZINO!$B$2:$M$100000,2,FALSE)</f>
        <v/>
      </c>
      <c r="C82" s="29">
        <f>+VLOOKUP($A82,MAGAZZINO!$B$2:$M$100000,3,FALSE)</f>
        <v/>
      </c>
      <c r="D82" s="3">
        <f>+VLOOKUP($A82,MAGAZZINO!$B$2:$M$100000,4,FALSE)</f>
        <v/>
      </c>
      <c r="E82" s="3">
        <f>+VLOOKUP($A82,MAGAZZINO!$B$2:$M$100000,5,FALSE)</f>
        <v/>
      </c>
      <c r="F82" s="3">
        <f>+VLOOKUP($A82,MAGAZZINO!$B$2:$M$100000,6,FALSE)</f>
        <v/>
      </c>
      <c r="G82" s="3">
        <f>+VLOOKUP($A82,MAGAZZINO!$B$2:$M$100000,7,FALSE)</f>
        <v/>
      </c>
      <c r="H82" s="3">
        <f>+VLOOKUP($A82,MAGAZZINO!$B$2:$M$100000,8,FALSE)</f>
        <v/>
      </c>
      <c r="I82" s="3">
        <f>+VLOOKUP($A82,MAGAZZINO!$B$2:$M$100000,9,FALSE)</f>
        <v/>
      </c>
      <c r="J82" s="3">
        <f>+VLOOKUP($A82,MAGAZZINO!$B$2:$M$100000,10,FALSE)</f>
        <v/>
      </c>
      <c r="K82" s="3">
        <f>+VLOOKUP($A82,MAGAZZINO!$B$2:$M$100000,11,FALSE)</f>
        <v/>
      </c>
      <c r="L82" s="5">
        <f>+VLOOKUP($A82,MAGAZZINO!$B$2:$M$100000,12,FALSE)</f>
        <v/>
      </c>
      <c r="M82" s="47" t="n"/>
      <c r="N82" s="88" t="n">
        <v>45609</v>
      </c>
      <c r="O82" s="91" t="inlineStr">
        <is>
          <t>HS &amp; LLC (OMAN)</t>
        </is>
      </c>
      <c r="P82" s="154" t="inlineStr">
        <is>
          <t>IMPORT LICENSE N. 24/1/2463/1/2024 DEL 05/05/2024                                                              AUT. ESPORTAZIONE MULTIPLA N. 6B/2024/2M RILASCIATA IL 30/07/2024   (LICENZA DI SCARICO N. 6B/2024/1S RILASCIATA IL 06/11/2024)</t>
        </is>
      </c>
      <c r="Q82" s="150" t="n"/>
      <c r="R82" s="150" t="n"/>
      <c r="S82" s="153" t="n"/>
    </row>
    <row r="83" ht="36" customHeight="1">
      <c r="A83" s="46" t="n">
        <v>2413</v>
      </c>
      <c r="B83" s="4">
        <f>+VLOOKUP($A83,MAGAZZINO!$B$2:$M$100000,2,FALSE)</f>
        <v/>
      </c>
      <c r="C83" s="29">
        <f>+VLOOKUP($A83,MAGAZZINO!$B$2:$M$100000,3,FALSE)</f>
        <v/>
      </c>
      <c r="D83" s="3">
        <f>+VLOOKUP($A83,MAGAZZINO!$B$2:$M$100000,4,FALSE)</f>
        <v/>
      </c>
      <c r="E83" s="3">
        <f>+VLOOKUP($A83,MAGAZZINO!$B$2:$M$100000,5,FALSE)</f>
        <v/>
      </c>
      <c r="F83" s="3">
        <f>+VLOOKUP($A83,MAGAZZINO!$B$2:$M$100000,6,FALSE)</f>
        <v/>
      </c>
      <c r="G83" s="3">
        <f>+VLOOKUP($A83,MAGAZZINO!$B$2:$M$100000,7,FALSE)</f>
        <v/>
      </c>
      <c r="H83" s="3">
        <f>+VLOOKUP($A83,MAGAZZINO!$B$2:$M$100000,8,FALSE)</f>
        <v/>
      </c>
      <c r="I83" s="3">
        <f>+VLOOKUP($A83,MAGAZZINO!$B$2:$M$100000,9,FALSE)</f>
        <v/>
      </c>
      <c r="J83" s="3">
        <f>+VLOOKUP($A83,MAGAZZINO!$B$2:$M$100000,10,FALSE)</f>
        <v/>
      </c>
      <c r="K83" s="3">
        <f>+VLOOKUP($A83,MAGAZZINO!$B$2:$M$100000,11,FALSE)</f>
        <v/>
      </c>
      <c r="L83" s="5">
        <f>+VLOOKUP($A83,MAGAZZINO!$B$2:$M$100000,12,FALSE)</f>
        <v/>
      </c>
      <c r="M83" s="47" t="n"/>
      <c r="N83" s="88" t="n">
        <v>45609</v>
      </c>
      <c r="O83" s="91" t="inlineStr">
        <is>
          <t>HS &amp; LLC (OMAN)</t>
        </is>
      </c>
      <c r="P83" s="154" t="inlineStr">
        <is>
          <t>IMPORT LICENSE N. 24/1/2463/1/2024 DEL 05/05/2024                                                              AUT. ESPORTAZIONE MULTIPLA N. 6B/2024/2M RILASCIATA IL 30/07/2024   (LICENZA DI SCARICO N. 6B/2024/1S RILASCIATA IL 06/11/2024)</t>
        </is>
      </c>
      <c r="Q83" s="150" t="n"/>
      <c r="R83" s="150" t="n"/>
      <c r="S83" s="153" t="n"/>
    </row>
    <row r="84" ht="36" customHeight="1">
      <c r="A84" s="46" t="n">
        <v>2414</v>
      </c>
      <c r="B84" s="4">
        <f>+VLOOKUP($A84,MAGAZZINO!$B$2:$M$100000,2,FALSE)</f>
        <v/>
      </c>
      <c r="C84" s="29">
        <f>+VLOOKUP($A84,MAGAZZINO!$B$2:$M$100000,3,FALSE)</f>
        <v/>
      </c>
      <c r="D84" s="3">
        <f>+VLOOKUP($A84,MAGAZZINO!$B$2:$M$100000,4,FALSE)</f>
        <v/>
      </c>
      <c r="E84" s="3">
        <f>+VLOOKUP($A84,MAGAZZINO!$B$2:$M$100000,5,FALSE)</f>
        <v/>
      </c>
      <c r="F84" s="3">
        <f>+VLOOKUP($A84,MAGAZZINO!$B$2:$M$100000,6,FALSE)</f>
        <v/>
      </c>
      <c r="G84" s="3">
        <f>+VLOOKUP($A84,MAGAZZINO!$B$2:$M$100000,7,FALSE)</f>
        <v/>
      </c>
      <c r="H84" s="3">
        <f>+VLOOKUP($A84,MAGAZZINO!$B$2:$M$100000,8,FALSE)</f>
        <v/>
      </c>
      <c r="I84" s="3">
        <f>+VLOOKUP($A84,MAGAZZINO!$B$2:$M$100000,9,FALSE)</f>
        <v/>
      </c>
      <c r="J84" s="3">
        <f>+VLOOKUP($A84,MAGAZZINO!$B$2:$M$100000,10,FALSE)</f>
        <v/>
      </c>
      <c r="K84" s="3">
        <f>+VLOOKUP($A84,MAGAZZINO!$B$2:$M$100000,11,FALSE)</f>
        <v/>
      </c>
      <c r="L84" s="5">
        <f>+VLOOKUP($A84,MAGAZZINO!$B$2:$M$100000,12,FALSE)</f>
        <v/>
      </c>
      <c r="M84" s="47" t="n"/>
      <c r="N84" s="88" t="n">
        <v>45609</v>
      </c>
      <c r="O84" s="91" t="inlineStr">
        <is>
          <t>HS &amp; LLC (OMAN)</t>
        </is>
      </c>
      <c r="P84" s="154" t="inlineStr">
        <is>
          <t>IMPORT LICENSE N. 24/1/2463/1/2024 DEL 05/05/2024                                                              AUT. ESPORTAZIONE MULTIPLA N. 6B/2024/2M RILASCIATA IL 30/07/2024   (LICENZA DI SCARICO N. 6B/2024/1S RILASCIATA IL 06/11/2024)</t>
        </is>
      </c>
      <c r="Q84" s="150" t="n"/>
      <c r="R84" s="150" t="n"/>
      <c r="S84" s="153" t="n"/>
    </row>
    <row r="85" ht="36" customHeight="1">
      <c r="A85" s="46" t="n">
        <v>2415</v>
      </c>
      <c r="B85" s="4">
        <f>+VLOOKUP($A85,MAGAZZINO!$B$2:$M$100000,2,FALSE)</f>
        <v/>
      </c>
      <c r="C85" s="29">
        <f>+VLOOKUP($A85,MAGAZZINO!$B$2:$M$100000,3,FALSE)</f>
        <v/>
      </c>
      <c r="D85" s="3">
        <f>+VLOOKUP($A85,MAGAZZINO!$B$2:$M$100000,4,FALSE)</f>
        <v/>
      </c>
      <c r="E85" s="3">
        <f>+VLOOKUP($A85,MAGAZZINO!$B$2:$M$100000,5,FALSE)</f>
        <v/>
      </c>
      <c r="F85" s="3">
        <f>+VLOOKUP($A85,MAGAZZINO!$B$2:$M$100000,6,FALSE)</f>
        <v/>
      </c>
      <c r="G85" s="3">
        <f>+VLOOKUP($A85,MAGAZZINO!$B$2:$M$100000,7,FALSE)</f>
        <v/>
      </c>
      <c r="H85" s="3">
        <f>+VLOOKUP($A85,MAGAZZINO!$B$2:$M$100000,8,FALSE)</f>
        <v/>
      </c>
      <c r="I85" s="3">
        <f>+VLOOKUP($A85,MAGAZZINO!$B$2:$M$100000,9,FALSE)</f>
        <v/>
      </c>
      <c r="J85" s="3">
        <f>+VLOOKUP($A85,MAGAZZINO!$B$2:$M$100000,10,FALSE)</f>
        <v/>
      </c>
      <c r="K85" s="3">
        <f>+VLOOKUP($A85,MAGAZZINO!$B$2:$M$100000,11,FALSE)</f>
        <v/>
      </c>
      <c r="L85" s="5">
        <f>+VLOOKUP($A85,MAGAZZINO!$B$2:$M$100000,12,FALSE)</f>
        <v/>
      </c>
      <c r="M85" s="47" t="n"/>
      <c r="N85" s="88" t="n">
        <v>45609</v>
      </c>
      <c r="O85" s="91" t="inlineStr">
        <is>
          <t>HS &amp; LLC (OMAN)</t>
        </is>
      </c>
      <c r="P85" s="154" t="inlineStr">
        <is>
          <t>IMPORT LICENSE N. 24/1/2463/1/2024 DEL 05/05/2024                                                              AUT. ESPORTAZIONE MULTIPLA N. 6B/2024/2M RILASCIATA IL 30/07/2024   (LICENZA DI SCARICO N. 6B/2024/1S RILASCIATA IL 06/11/2024)</t>
        </is>
      </c>
      <c r="Q85" s="150" t="n"/>
      <c r="R85" s="150" t="n"/>
      <c r="S85" s="153" t="n"/>
    </row>
    <row r="86" ht="36" customHeight="1">
      <c r="A86" s="46" t="n">
        <v>2416</v>
      </c>
      <c r="B86" s="4">
        <f>+VLOOKUP($A86,MAGAZZINO!$B$2:$M$100000,2,FALSE)</f>
        <v/>
      </c>
      <c r="C86" s="29">
        <f>+VLOOKUP($A86,MAGAZZINO!$B$2:$M$100000,3,FALSE)</f>
        <v/>
      </c>
      <c r="D86" s="3">
        <f>+VLOOKUP($A86,MAGAZZINO!$B$2:$M$100000,4,FALSE)</f>
        <v/>
      </c>
      <c r="E86" s="3">
        <f>+VLOOKUP($A86,MAGAZZINO!$B$2:$M$100000,5,FALSE)</f>
        <v/>
      </c>
      <c r="F86" s="3">
        <f>+VLOOKUP($A86,MAGAZZINO!$B$2:$M$100000,6,FALSE)</f>
        <v/>
      </c>
      <c r="G86" s="3">
        <f>+VLOOKUP($A86,MAGAZZINO!$B$2:$M$100000,7,FALSE)</f>
        <v/>
      </c>
      <c r="H86" s="3">
        <f>+VLOOKUP($A86,MAGAZZINO!$B$2:$M$100000,8,FALSE)</f>
        <v/>
      </c>
      <c r="I86" s="3">
        <f>+VLOOKUP($A86,MAGAZZINO!$B$2:$M$100000,9,FALSE)</f>
        <v/>
      </c>
      <c r="J86" s="3">
        <f>+VLOOKUP($A86,MAGAZZINO!$B$2:$M$100000,10,FALSE)</f>
        <v/>
      </c>
      <c r="K86" s="3">
        <f>+VLOOKUP($A86,MAGAZZINO!$B$2:$M$100000,11,FALSE)</f>
        <v/>
      </c>
      <c r="L86" s="5">
        <f>+VLOOKUP($A86,MAGAZZINO!$B$2:$M$100000,12,FALSE)</f>
        <v/>
      </c>
      <c r="M86" s="47" t="n"/>
      <c r="N86" s="88" t="n">
        <v>45609</v>
      </c>
      <c r="O86" s="91" t="inlineStr">
        <is>
          <t>HS &amp; LLC (OMAN)</t>
        </is>
      </c>
      <c r="P86" s="154" t="inlineStr">
        <is>
          <t>IMPORT LICENSE N. 24/1/2463/1/2024 DEL 05/05/2024                                                              AUT. ESPORTAZIONE MULTIPLA N. 6B/2024/2M RILASCIATA IL 30/07/2024   (LICENZA DI SCARICO N. 6B/2024/1S RILASCIATA IL 06/11/2024)</t>
        </is>
      </c>
      <c r="Q86" s="150" t="n"/>
      <c r="R86" s="150" t="n"/>
      <c r="S86" s="153" t="n"/>
    </row>
    <row r="87" ht="36" customHeight="1">
      <c r="A87" s="46" t="n">
        <v>2417</v>
      </c>
      <c r="B87" s="4">
        <f>+VLOOKUP($A87,MAGAZZINO!$B$2:$M$100000,2,FALSE)</f>
        <v/>
      </c>
      <c r="C87" s="29">
        <f>+VLOOKUP($A87,MAGAZZINO!$B$2:$M$100000,3,FALSE)</f>
        <v/>
      </c>
      <c r="D87" s="3">
        <f>+VLOOKUP($A87,MAGAZZINO!$B$2:$M$100000,4,FALSE)</f>
        <v/>
      </c>
      <c r="E87" s="3">
        <f>+VLOOKUP($A87,MAGAZZINO!$B$2:$M$100000,5,FALSE)</f>
        <v/>
      </c>
      <c r="F87" s="3">
        <f>+VLOOKUP($A87,MAGAZZINO!$B$2:$M$100000,6,FALSE)</f>
        <v/>
      </c>
      <c r="G87" s="3">
        <f>+VLOOKUP($A87,MAGAZZINO!$B$2:$M$100000,7,FALSE)</f>
        <v/>
      </c>
      <c r="H87" s="3">
        <f>+VLOOKUP($A87,MAGAZZINO!$B$2:$M$100000,8,FALSE)</f>
        <v/>
      </c>
      <c r="I87" s="3">
        <f>+VLOOKUP($A87,MAGAZZINO!$B$2:$M$100000,9,FALSE)</f>
        <v/>
      </c>
      <c r="J87" s="3">
        <f>+VLOOKUP($A87,MAGAZZINO!$B$2:$M$100000,10,FALSE)</f>
        <v/>
      </c>
      <c r="K87" s="3">
        <f>+VLOOKUP($A87,MAGAZZINO!$B$2:$M$100000,11,FALSE)</f>
        <v/>
      </c>
      <c r="L87" s="5">
        <f>+VLOOKUP($A87,MAGAZZINO!$B$2:$M$100000,12,FALSE)</f>
        <v/>
      </c>
      <c r="M87" s="47" t="n"/>
      <c r="N87" s="88" t="n">
        <v>45609</v>
      </c>
      <c r="O87" s="91" t="inlineStr">
        <is>
          <t>HS &amp; LLC (OMAN)</t>
        </is>
      </c>
      <c r="P87" s="154" t="inlineStr">
        <is>
          <t>IMPORT LICENSE N. 24/1/2463/1/2024 DEL 05/05/2024                                                              AUT. ESPORTAZIONE MULTIPLA N. 6B/2024/2M RILASCIATA IL 30/07/2024   (LICENZA DI SCARICO N. 6B/2024/1S RILASCIATA IL 06/11/2024)</t>
        </is>
      </c>
      <c r="Q87" s="150" t="n"/>
      <c r="R87" s="150" t="n"/>
      <c r="S87" s="153" t="n"/>
    </row>
    <row r="88" ht="36" customHeight="1">
      <c r="A88" s="46" t="n">
        <v>2418</v>
      </c>
      <c r="B88" s="4">
        <f>+VLOOKUP($A88,MAGAZZINO!$B$2:$M$100000,2,FALSE)</f>
        <v/>
      </c>
      <c r="C88" s="29">
        <f>+VLOOKUP($A88,MAGAZZINO!$B$2:$M$100000,3,FALSE)</f>
        <v/>
      </c>
      <c r="D88" s="3">
        <f>+VLOOKUP($A88,MAGAZZINO!$B$2:$M$100000,4,FALSE)</f>
        <v/>
      </c>
      <c r="E88" s="3">
        <f>+VLOOKUP($A88,MAGAZZINO!$B$2:$M$100000,5,FALSE)</f>
        <v/>
      </c>
      <c r="F88" s="3">
        <f>+VLOOKUP($A88,MAGAZZINO!$B$2:$M$100000,6,FALSE)</f>
        <v/>
      </c>
      <c r="G88" s="3">
        <f>+VLOOKUP($A88,MAGAZZINO!$B$2:$M$100000,7,FALSE)</f>
        <v/>
      </c>
      <c r="H88" s="3">
        <f>+VLOOKUP($A88,MAGAZZINO!$B$2:$M$100000,8,FALSE)</f>
        <v/>
      </c>
      <c r="I88" s="3">
        <f>+VLOOKUP($A88,MAGAZZINO!$B$2:$M$100000,9,FALSE)</f>
        <v/>
      </c>
      <c r="J88" s="3">
        <f>+VLOOKUP($A88,MAGAZZINO!$B$2:$M$100000,10,FALSE)</f>
        <v/>
      </c>
      <c r="K88" s="3">
        <f>+VLOOKUP($A88,MAGAZZINO!$B$2:$M$100000,11,FALSE)</f>
        <v/>
      </c>
      <c r="L88" s="5">
        <f>+VLOOKUP($A88,MAGAZZINO!$B$2:$M$100000,12,FALSE)</f>
        <v/>
      </c>
      <c r="M88" s="47" t="n"/>
      <c r="N88" s="88" t="n">
        <v>45609</v>
      </c>
      <c r="O88" s="91" t="inlineStr">
        <is>
          <t>HS &amp; LLC (OMAN)</t>
        </is>
      </c>
      <c r="P88" s="154" t="inlineStr">
        <is>
          <t>IMPORT LICENSE N. 24/1/2463/1/2024 DEL 05/05/2024                                                              AUT. ESPORTAZIONE MULTIPLA N. 6B/2024/2M RILASCIATA IL 30/07/2024   (LICENZA DI SCARICO N. 6B/2024/1S RILASCIATA IL 06/11/2024)</t>
        </is>
      </c>
      <c r="Q88" s="150" t="n"/>
      <c r="R88" s="150" t="n"/>
      <c r="S88" s="153" t="n"/>
    </row>
    <row r="89" ht="36" customHeight="1">
      <c r="A89" s="46" t="n">
        <v>2419</v>
      </c>
      <c r="B89" s="4">
        <f>+VLOOKUP($A89,MAGAZZINO!$B$2:$M$100000,2,FALSE)</f>
        <v/>
      </c>
      <c r="C89" s="29">
        <f>+VLOOKUP($A89,MAGAZZINO!$B$2:$M$100000,3,FALSE)</f>
        <v/>
      </c>
      <c r="D89" s="3">
        <f>+VLOOKUP($A89,MAGAZZINO!$B$2:$M$100000,4,FALSE)</f>
        <v/>
      </c>
      <c r="E89" s="3">
        <f>+VLOOKUP($A89,MAGAZZINO!$B$2:$M$100000,5,FALSE)</f>
        <v/>
      </c>
      <c r="F89" s="3">
        <f>+VLOOKUP($A89,MAGAZZINO!$B$2:$M$100000,6,FALSE)</f>
        <v/>
      </c>
      <c r="G89" s="3">
        <f>+VLOOKUP($A89,MAGAZZINO!$B$2:$M$100000,7,FALSE)</f>
        <v/>
      </c>
      <c r="H89" s="3">
        <f>+VLOOKUP($A89,MAGAZZINO!$B$2:$M$100000,8,FALSE)</f>
        <v/>
      </c>
      <c r="I89" s="3">
        <f>+VLOOKUP($A89,MAGAZZINO!$B$2:$M$100000,9,FALSE)</f>
        <v/>
      </c>
      <c r="J89" s="3">
        <f>+VLOOKUP($A89,MAGAZZINO!$B$2:$M$100000,10,FALSE)</f>
        <v/>
      </c>
      <c r="K89" s="3">
        <f>+VLOOKUP($A89,MAGAZZINO!$B$2:$M$100000,11,FALSE)</f>
        <v/>
      </c>
      <c r="L89" s="5">
        <f>+VLOOKUP($A89,MAGAZZINO!$B$2:$M$100000,12,FALSE)</f>
        <v/>
      </c>
      <c r="M89" s="47" t="n"/>
      <c r="N89" s="88" t="n">
        <v>45609</v>
      </c>
      <c r="O89" s="91" t="inlineStr">
        <is>
          <t>HS &amp; LLC (OMAN)</t>
        </is>
      </c>
      <c r="P89" s="154" t="inlineStr">
        <is>
          <t>IMPORT LICENSE N. 24/1/2463/1/2024 DEL 05/05/2024                                                              AUT. ESPORTAZIONE MULTIPLA N. 6B/2024/2M RILASCIATA IL 30/07/2024   (LICENZA DI SCARICO N. 6B/2024/1S RILASCIATA IL 06/11/2024)</t>
        </is>
      </c>
      <c r="Q89" s="150" t="n"/>
      <c r="R89" s="150" t="n"/>
      <c r="S89" s="153" t="n"/>
    </row>
    <row r="90" ht="36" customHeight="1">
      <c r="A90" s="46" t="n">
        <v>2420</v>
      </c>
      <c r="B90" s="4">
        <f>+VLOOKUP($A90,MAGAZZINO!$B$2:$M$100000,2,FALSE)</f>
        <v/>
      </c>
      <c r="C90" s="29">
        <f>+VLOOKUP($A90,MAGAZZINO!$B$2:$M$100000,3,FALSE)</f>
        <v/>
      </c>
      <c r="D90" s="3">
        <f>+VLOOKUP($A90,MAGAZZINO!$B$2:$M$100000,4,FALSE)</f>
        <v/>
      </c>
      <c r="E90" s="3">
        <f>+VLOOKUP($A90,MAGAZZINO!$B$2:$M$100000,5,FALSE)</f>
        <v/>
      </c>
      <c r="F90" s="3">
        <f>+VLOOKUP($A90,MAGAZZINO!$B$2:$M$100000,6,FALSE)</f>
        <v/>
      </c>
      <c r="G90" s="3">
        <f>+VLOOKUP($A90,MAGAZZINO!$B$2:$M$100000,7,FALSE)</f>
        <v/>
      </c>
      <c r="H90" s="3">
        <f>+VLOOKUP($A90,MAGAZZINO!$B$2:$M$100000,8,FALSE)</f>
        <v/>
      </c>
      <c r="I90" s="3">
        <f>+VLOOKUP($A90,MAGAZZINO!$B$2:$M$100000,9,FALSE)</f>
        <v/>
      </c>
      <c r="J90" s="3">
        <f>+VLOOKUP($A90,MAGAZZINO!$B$2:$M$100000,10,FALSE)</f>
        <v/>
      </c>
      <c r="K90" s="3">
        <f>+VLOOKUP($A90,MAGAZZINO!$B$2:$M$100000,11,FALSE)</f>
        <v/>
      </c>
      <c r="L90" s="5">
        <f>+VLOOKUP($A90,MAGAZZINO!$B$2:$M$100000,12,FALSE)</f>
        <v/>
      </c>
      <c r="M90" s="47" t="n"/>
      <c r="N90" s="88" t="n">
        <v>45609</v>
      </c>
      <c r="O90" s="91" t="inlineStr">
        <is>
          <t>HS &amp; LLC (OMAN)</t>
        </is>
      </c>
      <c r="P90" s="154" t="inlineStr">
        <is>
          <t>IMPORT LICENSE N. 24/1/2463/1/2024 DEL 05/05/2024                                                              AUT. ESPORTAZIONE MULTIPLA N. 6B/2024/2M RILASCIATA IL 30/07/2024   (LICENZA DI SCARICO N. 6B/2024/1S RILASCIATA IL 06/11/2024)</t>
        </is>
      </c>
      <c r="Q90" s="150" t="n"/>
      <c r="R90" s="150" t="n"/>
      <c r="S90" s="153" t="n"/>
    </row>
    <row r="91" ht="36" customHeight="1">
      <c r="A91" s="46" t="n">
        <v>2421</v>
      </c>
      <c r="B91" s="4">
        <f>+VLOOKUP($A91,MAGAZZINO!$B$2:$M$100000,2,FALSE)</f>
        <v/>
      </c>
      <c r="C91" s="29">
        <f>+VLOOKUP($A91,MAGAZZINO!$B$2:$M$100000,3,FALSE)</f>
        <v/>
      </c>
      <c r="D91" s="3">
        <f>+VLOOKUP($A91,MAGAZZINO!$B$2:$M$100000,4,FALSE)</f>
        <v/>
      </c>
      <c r="E91" s="3">
        <f>+VLOOKUP($A91,MAGAZZINO!$B$2:$M$100000,5,FALSE)</f>
        <v/>
      </c>
      <c r="F91" s="3">
        <f>+VLOOKUP($A91,MAGAZZINO!$B$2:$M$100000,6,FALSE)</f>
        <v/>
      </c>
      <c r="G91" s="3">
        <f>+VLOOKUP($A91,MAGAZZINO!$B$2:$M$100000,7,FALSE)</f>
        <v/>
      </c>
      <c r="H91" s="3">
        <f>+VLOOKUP($A91,MAGAZZINO!$B$2:$M$100000,8,FALSE)</f>
        <v/>
      </c>
      <c r="I91" s="3">
        <f>+VLOOKUP($A91,MAGAZZINO!$B$2:$M$100000,9,FALSE)</f>
        <v/>
      </c>
      <c r="J91" s="3">
        <f>+VLOOKUP($A91,MAGAZZINO!$B$2:$M$100000,10,FALSE)</f>
        <v/>
      </c>
      <c r="K91" s="3">
        <f>+VLOOKUP($A91,MAGAZZINO!$B$2:$M$100000,11,FALSE)</f>
        <v/>
      </c>
      <c r="L91" s="5">
        <f>+VLOOKUP($A91,MAGAZZINO!$B$2:$M$100000,12,FALSE)</f>
        <v/>
      </c>
      <c r="M91" s="47" t="n"/>
      <c r="N91" s="88" t="n">
        <v>45609</v>
      </c>
      <c r="O91" s="91" t="inlineStr">
        <is>
          <t>HS &amp; LLC (OMAN)</t>
        </is>
      </c>
      <c r="P91" s="154" t="inlineStr">
        <is>
          <t>IMPORT LICENSE N. 24/1/2463/1/2024 DEL 05/05/2024                                                              AUT. ESPORTAZIONE MULTIPLA N. 6B/2024/2M RILASCIATA IL 30/07/2024   (LICENZA DI SCARICO N. 6B/2024/1S RILASCIATA IL 06/11/2024)</t>
        </is>
      </c>
      <c r="Q91" s="150" t="n"/>
      <c r="R91" s="150" t="n"/>
      <c r="S91" s="153" t="n"/>
    </row>
    <row r="92" ht="36" customHeight="1">
      <c r="A92" s="46" t="n">
        <v>2422</v>
      </c>
      <c r="B92" s="4">
        <f>+VLOOKUP($A92,MAGAZZINO!$B$2:$M$100000,2,FALSE)</f>
        <v/>
      </c>
      <c r="C92" s="29">
        <f>+VLOOKUP($A92,MAGAZZINO!$B$2:$M$100000,3,FALSE)</f>
        <v/>
      </c>
      <c r="D92" s="3">
        <f>+VLOOKUP($A92,MAGAZZINO!$B$2:$M$100000,4,FALSE)</f>
        <v/>
      </c>
      <c r="E92" s="3">
        <f>+VLOOKUP($A92,MAGAZZINO!$B$2:$M$100000,5,FALSE)</f>
        <v/>
      </c>
      <c r="F92" s="3">
        <f>+VLOOKUP($A92,MAGAZZINO!$B$2:$M$100000,6,FALSE)</f>
        <v/>
      </c>
      <c r="G92" s="3">
        <f>+VLOOKUP($A92,MAGAZZINO!$B$2:$M$100000,7,FALSE)</f>
        <v/>
      </c>
      <c r="H92" s="3">
        <f>+VLOOKUP($A92,MAGAZZINO!$B$2:$M$100000,8,FALSE)</f>
        <v/>
      </c>
      <c r="I92" s="3">
        <f>+VLOOKUP($A92,MAGAZZINO!$B$2:$M$100000,9,FALSE)</f>
        <v/>
      </c>
      <c r="J92" s="3">
        <f>+VLOOKUP($A92,MAGAZZINO!$B$2:$M$100000,10,FALSE)</f>
        <v/>
      </c>
      <c r="K92" s="3">
        <f>+VLOOKUP($A92,MAGAZZINO!$B$2:$M$100000,11,FALSE)</f>
        <v/>
      </c>
      <c r="L92" s="5">
        <f>+VLOOKUP($A92,MAGAZZINO!$B$2:$M$100000,12,FALSE)</f>
        <v/>
      </c>
      <c r="M92" s="47" t="n"/>
      <c r="N92" s="88" t="n">
        <v>45609</v>
      </c>
      <c r="O92" s="91" t="inlineStr">
        <is>
          <t>HS &amp; LLC (OMAN)</t>
        </is>
      </c>
      <c r="P92" s="154" t="inlineStr">
        <is>
          <t>IMPORT LICENSE N. 24/1/2463/1/2024 DEL 05/05/2024                                                              AUT. ESPORTAZIONE MULTIPLA N. 6B/2024/2M RILASCIATA IL 30/07/2024   (LICENZA DI SCARICO N. 6B/2024/1S RILASCIATA IL 06/11/2024)</t>
        </is>
      </c>
      <c r="Q92" s="150" t="n"/>
      <c r="R92" s="150" t="n"/>
      <c r="S92" s="153" t="n"/>
    </row>
    <row r="93" ht="36" customHeight="1">
      <c r="A93" s="46" t="n">
        <v>2423</v>
      </c>
      <c r="B93" s="4">
        <f>+VLOOKUP($A93,MAGAZZINO!$B$2:$M$100000,2,FALSE)</f>
        <v/>
      </c>
      <c r="C93" s="29">
        <f>+VLOOKUP($A93,MAGAZZINO!$B$2:$M$100000,3,FALSE)</f>
        <v/>
      </c>
      <c r="D93" s="3">
        <f>+VLOOKUP($A93,MAGAZZINO!$B$2:$M$100000,4,FALSE)</f>
        <v/>
      </c>
      <c r="E93" s="3">
        <f>+VLOOKUP($A93,MAGAZZINO!$B$2:$M$100000,5,FALSE)</f>
        <v/>
      </c>
      <c r="F93" s="3">
        <f>+VLOOKUP($A93,MAGAZZINO!$B$2:$M$100000,6,FALSE)</f>
        <v/>
      </c>
      <c r="G93" s="3">
        <f>+VLOOKUP($A93,MAGAZZINO!$B$2:$M$100000,7,FALSE)</f>
        <v/>
      </c>
      <c r="H93" s="3">
        <f>+VLOOKUP($A93,MAGAZZINO!$B$2:$M$100000,8,FALSE)</f>
        <v/>
      </c>
      <c r="I93" s="3">
        <f>+VLOOKUP($A93,MAGAZZINO!$B$2:$M$100000,9,FALSE)</f>
        <v/>
      </c>
      <c r="J93" s="3">
        <f>+VLOOKUP($A93,MAGAZZINO!$B$2:$M$100000,10,FALSE)</f>
        <v/>
      </c>
      <c r="K93" s="3">
        <f>+VLOOKUP($A93,MAGAZZINO!$B$2:$M$100000,11,FALSE)</f>
        <v/>
      </c>
      <c r="L93" s="5">
        <f>+VLOOKUP($A93,MAGAZZINO!$B$2:$M$100000,12,FALSE)</f>
        <v/>
      </c>
      <c r="M93" s="47" t="n"/>
      <c r="N93" s="88" t="n">
        <v>45609</v>
      </c>
      <c r="O93" s="91" t="inlineStr">
        <is>
          <t>HS &amp; LLC (OMAN)</t>
        </is>
      </c>
      <c r="P93" s="154" t="inlineStr">
        <is>
          <t>IMPORT LICENSE N. 24/1/2463/1/2024 DEL 05/05/2024                                                              AUT. ESPORTAZIONE MULTIPLA N. 6B/2024/2M RILASCIATA IL 30/07/2024   (LICENZA DI SCARICO N. 6B/2024/1S RILASCIATA IL 06/11/2024)</t>
        </is>
      </c>
      <c r="Q93" s="150" t="n"/>
      <c r="R93" s="150" t="n"/>
      <c r="S93" s="153" t="n"/>
    </row>
    <row r="94" ht="36" customHeight="1">
      <c r="A94" s="46" t="n">
        <v>2424</v>
      </c>
      <c r="B94" s="4">
        <f>+VLOOKUP($A94,MAGAZZINO!$B$2:$M$100000,2,FALSE)</f>
        <v/>
      </c>
      <c r="C94" s="29">
        <f>+VLOOKUP($A94,MAGAZZINO!$B$2:$M$100000,3,FALSE)</f>
        <v/>
      </c>
      <c r="D94" s="3">
        <f>+VLOOKUP($A94,MAGAZZINO!$B$2:$M$100000,4,FALSE)</f>
        <v/>
      </c>
      <c r="E94" s="3">
        <f>+VLOOKUP($A94,MAGAZZINO!$B$2:$M$100000,5,FALSE)</f>
        <v/>
      </c>
      <c r="F94" s="3">
        <f>+VLOOKUP($A94,MAGAZZINO!$B$2:$M$100000,6,FALSE)</f>
        <v/>
      </c>
      <c r="G94" s="3">
        <f>+VLOOKUP($A94,MAGAZZINO!$B$2:$M$100000,7,FALSE)</f>
        <v/>
      </c>
      <c r="H94" s="3">
        <f>+VLOOKUP($A94,MAGAZZINO!$B$2:$M$100000,8,FALSE)</f>
        <v/>
      </c>
      <c r="I94" s="3">
        <f>+VLOOKUP($A94,MAGAZZINO!$B$2:$M$100000,9,FALSE)</f>
        <v/>
      </c>
      <c r="J94" s="3">
        <f>+VLOOKUP($A94,MAGAZZINO!$B$2:$M$100000,10,FALSE)</f>
        <v/>
      </c>
      <c r="K94" s="3">
        <f>+VLOOKUP($A94,MAGAZZINO!$B$2:$M$100000,11,FALSE)</f>
        <v/>
      </c>
      <c r="L94" s="5">
        <f>+VLOOKUP($A94,MAGAZZINO!$B$2:$M$100000,12,FALSE)</f>
        <v/>
      </c>
      <c r="M94" s="47" t="n"/>
      <c r="N94" s="88" t="n">
        <v>45609</v>
      </c>
      <c r="O94" s="91" t="inlineStr">
        <is>
          <t>HS &amp; LLC (OMAN)</t>
        </is>
      </c>
      <c r="P94" s="154" t="inlineStr">
        <is>
          <t>IMPORT LICENSE N. 24/1/2463/1/2024 DEL 05/05/2024                                                              AUT. ESPORTAZIONE MULTIPLA N. 6B/2024/2M RILASCIATA IL 30/07/2024   (LICENZA DI SCARICO N. 6B/2024/1S RILASCIATA IL 06/11/2024)</t>
        </is>
      </c>
      <c r="Q94" s="150" t="n"/>
      <c r="R94" s="150" t="n"/>
      <c r="S94" s="153" t="n"/>
    </row>
    <row r="95" ht="36" customHeight="1">
      <c r="A95" s="46" t="n">
        <v>2425</v>
      </c>
      <c r="B95" s="4">
        <f>+VLOOKUP($A95,MAGAZZINO!$B$2:$M$100000,2,FALSE)</f>
        <v/>
      </c>
      <c r="C95" s="29">
        <f>+VLOOKUP($A95,MAGAZZINO!$B$2:$M$100000,3,FALSE)</f>
        <v/>
      </c>
      <c r="D95" s="3">
        <f>+VLOOKUP($A95,MAGAZZINO!$B$2:$M$100000,4,FALSE)</f>
        <v/>
      </c>
      <c r="E95" s="3">
        <f>+VLOOKUP($A95,MAGAZZINO!$B$2:$M$100000,5,FALSE)</f>
        <v/>
      </c>
      <c r="F95" s="3">
        <f>+VLOOKUP($A95,MAGAZZINO!$B$2:$M$100000,6,FALSE)</f>
        <v/>
      </c>
      <c r="G95" s="3">
        <f>+VLOOKUP($A95,MAGAZZINO!$B$2:$M$100000,7,FALSE)</f>
        <v/>
      </c>
      <c r="H95" s="3">
        <f>+VLOOKUP($A95,MAGAZZINO!$B$2:$M$100000,8,FALSE)</f>
        <v/>
      </c>
      <c r="I95" s="3">
        <f>+VLOOKUP($A95,MAGAZZINO!$B$2:$M$100000,9,FALSE)</f>
        <v/>
      </c>
      <c r="J95" s="3">
        <f>+VLOOKUP($A95,MAGAZZINO!$B$2:$M$100000,10,FALSE)</f>
        <v/>
      </c>
      <c r="K95" s="3">
        <f>+VLOOKUP($A95,MAGAZZINO!$B$2:$M$100000,11,FALSE)</f>
        <v/>
      </c>
      <c r="L95" s="5">
        <f>+VLOOKUP($A95,MAGAZZINO!$B$2:$M$100000,12,FALSE)</f>
        <v/>
      </c>
      <c r="M95" s="47" t="n"/>
      <c r="N95" s="88" t="n">
        <v>45609</v>
      </c>
      <c r="O95" s="91" t="inlineStr">
        <is>
          <t>HS &amp; LLC (OMAN)</t>
        </is>
      </c>
      <c r="P95" s="154" t="inlineStr">
        <is>
          <t>IMPORT LICENSE N. 24/1/2463/1/2024 DEL 05/05/2024                                                              AUT. ESPORTAZIONE MULTIPLA N. 6B/2024/2M RILASCIATA IL 30/07/2024   (LICENZA DI SCARICO N. 6B/2024/1S RILASCIATA IL 06/11/2024)</t>
        </is>
      </c>
      <c r="Q95" s="150" t="n"/>
      <c r="R95" s="150" t="n"/>
      <c r="S95" s="153" t="n"/>
    </row>
    <row r="96" ht="36" customHeight="1">
      <c r="A96" s="46" t="n">
        <v>2426</v>
      </c>
      <c r="B96" s="4">
        <f>+VLOOKUP($A96,MAGAZZINO!$B$2:$M$100000,2,FALSE)</f>
        <v/>
      </c>
      <c r="C96" s="29">
        <f>+VLOOKUP($A96,MAGAZZINO!$B$2:$M$100000,3,FALSE)</f>
        <v/>
      </c>
      <c r="D96" s="3">
        <f>+VLOOKUP($A96,MAGAZZINO!$B$2:$M$100000,4,FALSE)</f>
        <v/>
      </c>
      <c r="E96" s="3">
        <f>+VLOOKUP($A96,MAGAZZINO!$B$2:$M$100000,5,FALSE)</f>
        <v/>
      </c>
      <c r="F96" s="3">
        <f>+VLOOKUP($A96,MAGAZZINO!$B$2:$M$100000,6,FALSE)</f>
        <v/>
      </c>
      <c r="G96" s="3">
        <f>+VLOOKUP($A96,MAGAZZINO!$B$2:$M$100000,7,FALSE)</f>
        <v/>
      </c>
      <c r="H96" s="3">
        <f>+VLOOKUP($A96,MAGAZZINO!$B$2:$M$100000,8,FALSE)</f>
        <v/>
      </c>
      <c r="I96" s="3">
        <f>+VLOOKUP($A96,MAGAZZINO!$B$2:$M$100000,9,FALSE)</f>
        <v/>
      </c>
      <c r="J96" s="3">
        <f>+VLOOKUP($A96,MAGAZZINO!$B$2:$M$100000,10,FALSE)</f>
        <v/>
      </c>
      <c r="K96" s="3">
        <f>+VLOOKUP($A96,MAGAZZINO!$B$2:$M$100000,11,FALSE)</f>
        <v/>
      </c>
      <c r="L96" s="5">
        <f>+VLOOKUP($A96,MAGAZZINO!$B$2:$M$100000,12,FALSE)</f>
        <v/>
      </c>
      <c r="M96" s="47" t="n"/>
      <c r="N96" s="88" t="n">
        <v>45609</v>
      </c>
      <c r="O96" s="91" t="inlineStr">
        <is>
          <t>HS &amp; LLC (OMAN)</t>
        </is>
      </c>
      <c r="P96" s="154" t="inlineStr">
        <is>
          <t>IMPORT LICENSE N. 24/1/2463/1/2024 DEL 05/05/2024                                                              AUT. ESPORTAZIONE MULTIPLA N. 6B/2024/2M RILASCIATA IL 30/07/2024   (LICENZA DI SCARICO N. 6B/2024/1S RILASCIATA IL 06/11/2024)</t>
        </is>
      </c>
      <c r="Q96" s="150" t="n"/>
      <c r="R96" s="150" t="n"/>
      <c r="S96" s="153" t="n"/>
    </row>
    <row r="97" ht="36" customHeight="1">
      <c r="A97" s="46" t="n">
        <v>2427</v>
      </c>
      <c r="B97" s="4">
        <f>+VLOOKUP($A97,MAGAZZINO!$B$2:$M$100000,2,FALSE)</f>
        <v/>
      </c>
      <c r="C97" s="29">
        <f>+VLOOKUP($A97,MAGAZZINO!$B$2:$M$100000,3,FALSE)</f>
        <v/>
      </c>
      <c r="D97" s="3">
        <f>+VLOOKUP($A97,MAGAZZINO!$B$2:$M$100000,4,FALSE)</f>
        <v/>
      </c>
      <c r="E97" s="3">
        <f>+VLOOKUP($A97,MAGAZZINO!$B$2:$M$100000,5,FALSE)</f>
        <v/>
      </c>
      <c r="F97" s="3">
        <f>+VLOOKUP($A97,MAGAZZINO!$B$2:$M$100000,6,FALSE)</f>
        <v/>
      </c>
      <c r="G97" s="3">
        <f>+VLOOKUP($A97,MAGAZZINO!$B$2:$M$100000,7,FALSE)</f>
        <v/>
      </c>
      <c r="H97" s="3">
        <f>+VLOOKUP($A97,MAGAZZINO!$B$2:$M$100000,8,FALSE)</f>
        <v/>
      </c>
      <c r="I97" s="3">
        <f>+VLOOKUP($A97,MAGAZZINO!$B$2:$M$100000,9,FALSE)</f>
        <v/>
      </c>
      <c r="J97" s="3">
        <f>+VLOOKUP($A97,MAGAZZINO!$B$2:$M$100000,10,FALSE)</f>
        <v/>
      </c>
      <c r="K97" s="3">
        <f>+VLOOKUP($A97,MAGAZZINO!$B$2:$M$100000,11,FALSE)</f>
        <v/>
      </c>
      <c r="L97" s="5">
        <f>+VLOOKUP($A97,MAGAZZINO!$B$2:$M$100000,12,FALSE)</f>
        <v/>
      </c>
      <c r="M97" s="47" t="n"/>
      <c r="N97" s="88" t="n">
        <v>45609</v>
      </c>
      <c r="O97" s="91" t="inlineStr">
        <is>
          <t>HS &amp; LLC (OMAN)</t>
        </is>
      </c>
      <c r="P97" s="154" t="inlineStr">
        <is>
          <t>IMPORT LICENSE N. 24/1/2463/1/2024 DEL 05/05/2024                                                              AUT. ESPORTAZIONE MULTIPLA N. 6B/2024/2M RILASCIATA IL 30/07/2024   (LICENZA DI SCARICO N. 6B/2024/1S RILASCIATA IL 06/11/2024)</t>
        </is>
      </c>
      <c r="Q97" s="150" t="n"/>
      <c r="R97" s="150" t="n"/>
      <c r="S97" s="153" t="n"/>
    </row>
    <row r="98" ht="36" customHeight="1">
      <c r="A98" s="46" t="n">
        <v>2428</v>
      </c>
      <c r="B98" s="4">
        <f>+VLOOKUP($A98,MAGAZZINO!$B$2:$M$100000,2,FALSE)</f>
        <v/>
      </c>
      <c r="C98" s="29">
        <f>+VLOOKUP($A98,MAGAZZINO!$B$2:$M$100000,3,FALSE)</f>
        <v/>
      </c>
      <c r="D98" s="3">
        <f>+VLOOKUP($A98,MAGAZZINO!$B$2:$M$100000,4,FALSE)</f>
        <v/>
      </c>
      <c r="E98" s="3">
        <f>+VLOOKUP($A98,MAGAZZINO!$B$2:$M$100000,5,FALSE)</f>
        <v/>
      </c>
      <c r="F98" s="3">
        <f>+VLOOKUP($A98,MAGAZZINO!$B$2:$M$100000,6,FALSE)</f>
        <v/>
      </c>
      <c r="G98" s="3">
        <f>+VLOOKUP($A98,MAGAZZINO!$B$2:$M$100000,7,FALSE)</f>
        <v/>
      </c>
      <c r="H98" s="3">
        <f>+VLOOKUP($A98,MAGAZZINO!$B$2:$M$100000,8,FALSE)</f>
        <v/>
      </c>
      <c r="I98" s="3">
        <f>+VLOOKUP($A98,MAGAZZINO!$B$2:$M$100000,9,FALSE)</f>
        <v/>
      </c>
      <c r="J98" s="3">
        <f>+VLOOKUP($A98,MAGAZZINO!$B$2:$M$100000,10,FALSE)</f>
        <v/>
      </c>
      <c r="K98" s="3">
        <f>+VLOOKUP($A98,MAGAZZINO!$B$2:$M$100000,11,FALSE)</f>
        <v/>
      </c>
      <c r="L98" s="5">
        <f>+VLOOKUP($A98,MAGAZZINO!$B$2:$M$100000,12,FALSE)</f>
        <v/>
      </c>
      <c r="M98" s="47" t="n"/>
      <c r="N98" s="88" t="n">
        <v>45609</v>
      </c>
      <c r="O98" s="91" t="inlineStr">
        <is>
          <t>HS &amp; LLC (OMAN)</t>
        </is>
      </c>
      <c r="P98" s="154" t="inlineStr">
        <is>
          <t>IMPORT LICENSE N. 24/1/2463/1/2024 DEL 05/05/2024                                                              AUT. ESPORTAZIONE MULTIPLA N. 6B/2024/2M RILASCIATA IL 30/07/2024   (LICENZA DI SCARICO N. 6B/2024/1S RILASCIATA IL 06/11/2024)</t>
        </is>
      </c>
      <c r="Q98" s="150" t="n"/>
      <c r="R98" s="150" t="n"/>
      <c r="S98" s="153" t="n"/>
    </row>
    <row r="99" ht="36" customHeight="1">
      <c r="A99" s="46" t="n">
        <v>2429</v>
      </c>
      <c r="B99" s="4">
        <f>+VLOOKUP($A99,MAGAZZINO!$B$2:$M$100000,2,FALSE)</f>
        <v/>
      </c>
      <c r="C99" s="29">
        <f>+VLOOKUP($A99,MAGAZZINO!$B$2:$M$100000,3,FALSE)</f>
        <v/>
      </c>
      <c r="D99" s="3">
        <f>+VLOOKUP($A99,MAGAZZINO!$B$2:$M$100000,4,FALSE)</f>
        <v/>
      </c>
      <c r="E99" s="3">
        <f>+VLOOKUP($A99,MAGAZZINO!$B$2:$M$100000,5,FALSE)</f>
        <v/>
      </c>
      <c r="F99" s="3">
        <f>+VLOOKUP($A99,MAGAZZINO!$B$2:$M$100000,6,FALSE)</f>
        <v/>
      </c>
      <c r="G99" s="3">
        <f>+VLOOKUP($A99,MAGAZZINO!$B$2:$M$100000,7,FALSE)</f>
        <v/>
      </c>
      <c r="H99" s="3">
        <f>+VLOOKUP($A99,MAGAZZINO!$B$2:$M$100000,8,FALSE)</f>
        <v/>
      </c>
      <c r="I99" s="3">
        <f>+VLOOKUP($A99,MAGAZZINO!$B$2:$M$100000,9,FALSE)</f>
        <v/>
      </c>
      <c r="J99" s="3">
        <f>+VLOOKUP($A99,MAGAZZINO!$B$2:$M$100000,10,FALSE)</f>
        <v/>
      </c>
      <c r="K99" s="3">
        <f>+VLOOKUP($A99,MAGAZZINO!$B$2:$M$100000,11,FALSE)</f>
        <v/>
      </c>
      <c r="L99" s="5">
        <f>+VLOOKUP($A99,MAGAZZINO!$B$2:$M$100000,12,FALSE)</f>
        <v/>
      </c>
      <c r="M99" s="47" t="n"/>
      <c r="N99" s="88" t="n">
        <v>45609</v>
      </c>
      <c r="O99" s="91" t="inlineStr">
        <is>
          <t>HS &amp; LLC (OMAN)</t>
        </is>
      </c>
      <c r="P99" s="154" t="inlineStr">
        <is>
          <t>IMPORT LICENSE N. 24/1/2463/1/2024 DEL 05/05/2024                                                              AUT. ESPORTAZIONE MULTIPLA N. 6B/2024/2M RILASCIATA IL 30/07/2024   (LICENZA DI SCARICO N. 6B/2024/1S RILASCIATA IL 06/11/2024)</t>
        </is>
      </c>
      <c r="Q99" s="150" t="n"/>
      <c r="R99" s="150" t="n"/>
      <c r="S99" s="153" t="n"/>
    </row>
    <row r="100" ht="36" customHeight="1">
      <c r="A100" s="46" t="n">
        <v>2430</v>
      </c>
      <c r="B100" s="4">
        <f>+VLOOKUP($A100,MAGAZZINO!$B$2:$M$100000,2,FALSE)</f>
        <v/>
      </c>
      <c r="C100" s="29">
        <f>+VLOOKUP($A100,MAGAZZINO!$B$2:$M$100000,3,FALSE)</f>
        <v/>
      </c>
      <c r="D100" s="3">
        <f>+VLOOKUP($A100,MAGAZZINO!$B$2:$M$100000,4,FALSE)</f>
        <v/>
      </c>
      <c r="E100" s="3">
        <f>+VLOOKUP($A100,MAGAZZINO!$B$2:$M$100000,5,FALSE)</f>
        <v/>
      </c>
      <c r="F100" s="3">
        <f>+VLOOKUP($A100,MAGAZZINO!$B$2:$M$100000,6,FALSE)</f>
        <v/>
      </c>
      <c r="G100" s="3">
        <f>+VLOOKUP($A100,MAGAZZINO!$B$2:$M$100000,7,FALSE)</f>
        <v/>
      </c>
      <c r="H100" s="3">
        <f>+VLOOKUP($A100,MAGAZZINO!$B$2:$M$100000,8,FALSE)</f>
        <v/>
      </c>
      <c r="I100" s="3">
        <f>+VLOOKUP($A100,MAGAZZINO!$B$2:$M$100000,9,FALSE)</f>
        <v/>
      </c>
      <c r="J100" s="3">
        <f>+VLOOKUP($A100,MAGAZZINO!$B$2:$M$100000,10,FALSE)</f>
        <v/>
      </c>
      <c r="K100" s="3">
        <f>+VLOOKUP($A100,MAGAZZINO!$B$2:$M$100000,11,FALSE)</f>
        <v/>
      </c>
      <c r="L100" s="5">
        <f>+VLOOKUP($A100,MAGAZZINO!$B$2:$M$100000,12,FALSE)</f>
        <v/>
      </c>
      <c r="M100" s="47" t="n"/>
      <c r="N100" s="88" t="n">
        <v>45609</v>
      </c>
      <c r="O100" s="91" t="inlineStr">
        <is>
          <t>HS &amp; LLC (OMAN)</t>
        </is>
      </c>
      <c r="P100" s="154" t="inlineStr">
        <is>
          <t>IMPORT LICENSE N. 24/1/2463/1/2024 DEL 05/05/2024                                                              AUT. ESPORTAZIONE MULTIPLA N. 6B/2024/2M RILASCIATA IL 30/07/2024   (LICENZA DI SCARICO N. 6B/2024/1S RILASCIATA IL 06/11/2024)</t>
        </is>
      </c>
      <c r="Q100" s="150" t="n"/>
      <c r="R100" s="150" t="n"/>
      <c r="S100" s="153" t="n"/>
    </row>
    <row r="101" ht="36" customHeight="1">
      <c r="A101" s="46" t="n">
        <v>2431</v>
      </c>
      <c r="B101" s="4">
        <f>+VLOOKUP($A101,MAGAZZINO!$B$2:$M$100000,2,FALSE)</f>
        <v/>
      </c>
      <c r="C101" s="29">
        <f>+VLOOKUP($A101,MAGAZZINO!$B$2:$M$100000,3,FALSE)</f>
        <v/>
      </c>
      <c r="D101" s="3">
        <f>+VLOOKUP($A101,MAGAZZINO!$B$2:$M$100000,4,FALSE)</f>
        <v/>
      </c>
      <c r="E101" s="3">
        <f>+VLOOKUP($A101,MAGAZZINO!$B$2:$M$100000,5,FALSE)</f>
        <v/>
      </c>
      <c r="F101" s="3">
        <f>+VLOOKUP($A101,MAGAZZINO!$B$2:$M$100000,6,FALSE)</f>
        <v/>
      </c>
      <c r="G101" s="3">
        <f>+VLOOKUP($A101,MAGAZZINO!$B$2:$M$100000,7,FALSE)</f>
        <v/>
      </c>
      <c r="H101" s="3">
        <f>+VLOOKUP($A101,MAGAZZINO!$B$2:$M$100000,8,FALSE)</f>
        <v/>
      </c>
      <c r="I101" s="3">
        <f>+VLOOKUP($A101,MAGAZZINO!$B$2:$M$100000,9,FALSE)</f>
        <v/>
      </c>
      <c r="J101" s="3">
        <f>+VLOOKUP($A101,MAGAZZINO!$B$2:$M$100000,10,FALSE)</f>
        <v/>
      </c>
      <c r="K101" s="3">
        <f>+VLOOKUP($A101,MAGAZZINO!$B$2:$M$100000,11,FALSE)</f>
        <v/>
      </c>
      <c r="L101" s="5">
        <f>+VLOOKUP($A101,MAGAZZINO!$B$2:$M$100000,12,FALSE)</f>
        <v/>
      </c>
      <c r="M101" s="47" t="n"/>
      <c r="N101" s="88" t="n">
        <v>45609</v>
      </c>
      <c r="O101" s="91" t="inlineStr">
        <is>
          <t>HS &amp; LLC (OMAN)</t>
        </is>
      </c>
      <c r="P101" s="154" t="inlineStr">
        <is>
          <t>IMPORT LICENSE N. 24/1/2463/1/2024 DEL 05/05/2024                                                              AUT. ESPORTAZIONE MULTIPLA N. 6B/2024/2M RILASCIATA IL 30/07/2024   (LICENZA DI SCARICO N. 6B/2024/1S RILASCIATA IL 06/11/2024)</t>
        </is>
      </c>
      <c r="Q101" s="150" t="n"/>
      <c r="R101" s="150" t="n"/>
      <c r="S101" s="153" t="n"/>
    </row>
    <row r="102" ht="36" customHeight="1">
      <c r="A102" s="46" t="n">
        <v>2432</v>
      </c>
      <c r="B102" s="4">
        <f>+VLOOKUP($A102,MAGAZZINO!$B$2:$M$100000,2,FALSE)</f>
        <v/>
      </c>
      <c r="C102" s="29">
        <f>+VLOOKUP($A102,MAGAZZINO!$B$2:$M$100000,3,FALSE)</f>
        <v/>
      </c>
      <c r="D102" s="3">
        <f>+VLOOKUP($A102,MAGAZZINO!$B$2:$M$100000,4,FALSE)</f>
        <v/>
      </c>
      <c r="E102" s="3">
        <f>+VLOOKUP($A102,MAGAZZINO!$B$2:$M$100000,5,FALSE)</f>
        <v/>
      </c>
      <c r="F102" s="3">
        <f>+VLOOKUP($A102,MAGAZZINO!$B$2:$M$100000,6,FALSE)</f>
        <v/>
      </c>
      <c r="G102" s="3">
        <f>+VLOOKUP($A102,MAGAZZINO!$B$2:$M$100000,7,FALSE)</f>
        <v/>
      </c>
      <c r="H102" s="3">
        <f>+VLOOKUP($A102,MAGAZZINO!$B$2:$M$100000,8,FALSE)</f>
        <v/>
      </c>
      <c r="I102" s="3">
        <f>+VLOOKUP($A102,MAGAZZINO!$B$2:$M$100000,9,FALSE)</f>
        <v/>
      </c>
      <c r="J102" s="3">
        <f>+VLOOKUP($A102,MAGAZZINO!$B$2:$M$100000,10,FALSE)</f>
        <v/>
      </c>
      <c r="K102" s="3">
        <f>+VLOOKUP($A102,MAGAZZINO!$B$2:$M$100000,11,FALSE)</f>
        <v/>
      </c>
      <c r="L102" s="5">
        <f>+VLOOKUP($A102,MAGAZZINO!$B$2:$M$100000,12,FALSE)</f>
        <v/>
      </c>
      <c r="M102" s="47" t="n"/>
      <c r="N102" s="88" t="n">
        <v>45609</v>
      </c>
      <c r="O102" s="91" t="inlineStr">
        <is>
          <t>HS &amp; LLC (OMAN)</t>
        </is>
      </c>
      <c r="P102" s="154" t="inlineStr">
        <is>
          <t>IMPORT LICENSE N. 24/1/2463/1/2024 DEL 05/05/2024                                                              AUT. ESPORTAZIONE MULTIPLA N. 6B/2024/2M RILASCIATA IL 30/07/2024   (LICENZA DI SCARICO N. 6B/2024/1S RILASCIATA IL 06/11/2024)</t>
        </is>
      </c>
      <c r="Q102" s="150" t="n"/>
      <c r="R102" s="150" t="n"/>
      <c r="S102" s="153" t="n"/>
    </row>
    <row r="103" ht="36" customHeight="1">
      <c r="A103" s="46" t="n">
        <v>2433</v>
      </c>
      <c r="B103" s="4">
        <f>+VLOOKUP($A103,MAGAZZINO!$B$2:$M$100000,2,FALSE)</f>
        <v/>
      </c>
      <c r="C103" s="29">
        <f>+VLOOKUP($A103,MAGAZZINO!$B$2:$M$100000,3,FALSE)</f>
        <v/>
      </c>
      <c r="D103" s="3">
        <f>+VLOOKUP($A103,MAGAZZINO!$B$2:$M$100000,4,FALSE)</f>
        <v/>
      </c>
      <c r="E103" s="3">
        <f>+VLOOKUP($A103,MAGAZZINO!$B$2:$M$100000,5,FALSE)</f>
        <v/>
      </c>
      <c r="F103" s="3">
        <f>+VLOOKUP($A103,MAGAZZINO!$B$2:$M$100000,6,FALSE)</f>
        <v/>
      </c>
      <c r="G103" s="3">
        <f>+VLOOKUP($A103,MAGAZZINO!$B$2:$M$100000,7,FALSE)</f>
        <v/>
      </c>
      <c r="H103" s="3">
        <f>+VLOOKUP($A103,MAGAZZINO!$B$2:$M$100000,8,FALSE)</f>
        <v/>
      </c>
      <c r="I103" s="3">
        <f>+VLOOKUP($A103,MAGAZZINO!$B$2:$M$100000,9,FALSE)</f>
        <v/>
      </c>
      <c r="J103" s="3">
        <f>+VLOOKUP($A103,MAGAZZINO!$B$2:$M$100000,10,FALSE)</f>
        <v/>
      </c>
      <c r="K103" s="3">
        <f>+VLOOKUP($A103,MAGAZZINO!$B$2:$M$100000,11,FALSE)</f>
        <v/>
      </c>
      <c r="L103" s="5">
        <f>+VLOOKUP($A103,MAGAZZINO!$B$2:$M$100000,12,FALSE)</f>
        <v/>
      </c>
      <c r="M103" s="47" t="n"/>
      <c r="N103" s="88" t="n">
        <v>45609</v>
      </c>
      <c r="O103" s="91" t="inlineStr">
        <is>
          <t>HS &amp; LLC (OMAN)</t>
        </is>
      </c>
      <c r="P103" s="154" t="inlineStr">
        <is>
          <t>IMPORT LICENSE N. 24/1/2463/1/2024 DEL 05/05/2024                                                              AUT. ESPORTAZIONE MULTIPLA N. 6B/2024/2M RILASCIATA IL 30/07/2024   (LICENZA DI SCARICO N. 6B/2024/1S RILASCIATA IL 06/11/2024)</t>
        </is>
      </c>
      <c r="Q103" s="150" t="n"/>
      <c r="R103" s="150" t="n"/>
      <c r="S103" s="153" t="n"/>
    </row>
    <row r="104" ht="36" customHeight="1">
      <c r="A104" s="46" t="n">
        <v>2434</v>
      </c>
      <c r="B104" s="4">
        <f>+VLOOKUP($A104,MAGAZZINO!$B$2:$M$100000,2,FALSE)</f>
        <v/>
      </c>
      <c r="C104" s="29">
        <f>+VLOOKUP($A104,MAGAZZINO!$B$2:$M$100000,3,FALSE)</f>
        <v/>
      </c>
      <c r="D104" s="3">
        <f>+VLOOKUP($A104,MAGAZZINO!$B$2:$M$100000,4,FALSE)</f>
        <v/>
      </c>
      <c r="E104" s="3">
        <f>+VLOOKUP($A104,MAGAZZINO!$B$2:$M$100000,5,FALSE)</f>
        <v/>
      </c>
      <c r="F104" s="3">
        <f>+VLOOKUP($A104,MAGAZZINO!$B$2:$M$100000,6,FALSE)</f>
        <v/>
      </c>
      <c r="G104" s="3">
        <f>+VLOOKUP($A104,MAGAZZINO!$B$2:$M$100000,7,FALSE)</f>
        <v/>
      </c>
      <c r="H104" s="3">
        <f>+VLOOKUP($A104,MAGAZZINO!$B$2:$M$100000,8,FALSE)</f>
        <v/>
      </c>
      <c r="I104" s="3">
        <f>+VLOOKUP($A104,MAGAZZINO!$B$2:$M$100000,9,FALSE)</f>
        <v/>
      </c>
      <c r="J104" s="3">
        <f>+VLOOKUP($A104,MAGAZZINO!$B$2:$M$100000,10,FALSE)</f>
        <v/>
      </c>
      <c r="K104" s="3">
        <f>+VLOOKUP($A104,MAGAZZINO!$B$2:$M$100000,11,FALSE)</f>
        <v/>
      </c>
      <c r="L104" s="5">
        <f>+VLOOKUP($A104,MAGAZZINO!$B$2:$M$100000,12,FALSE)</f>
        <v/>
      </c>
      <c r="M104" s="47" t="n"/>
      <c r="N104" s="88" t="n">
        <v>45609</v>
      </c>
      <c r="O104" s="91" t="inlineStr">
        <is>
          <t>HS &amp; LLC (OMAN)</t>
        </is>
      </c>
      <c r="P104" s="154" t="inlineStr">
        <is>
          <t>IMPORT LICENSE N. 24/1/2463/1/2024 DEL 05/05/2024                                                              AUT. ESPORTAZIONE MULTIPLA N. 6B/2024/2M RILASCIATA IL 30/07/2024   (LICENZA DI SCARICO N. 6B/2024/1S RILASCIATA IL 06/11/2024)</t>
        </is>
      </c>
      <c r="Q104" s="150" t="n"/>
      <c r="R104" s="150" t="n"/>
      <c r="S104" s="153" t="n"/>
    </row>
    <row r="105" ht="36" customHeight="1">
      <c r="A105" s="46" t="n">
        <v>2435</v>
      </c>
      <c r="B105" s="4">
        <f>+VLOOKUP($A105,MAGAZZINO!$B$2:$M$100000,2,FALSE)</f>
        <v/>
      </c>
      <c r="C105" s="29">
        <f>+VLOOKUP($A105,MAGAZZINO!$B$2:$M$100000,3,FALSE)</f>
        <v/>
      </c>
      <c r="D105" s="3">
        <f>+VLOOKUP($A105,MAGAZZINO!$B$2:$M$100000,4,FALSE)</f>
        <v/>
      </c>
      <c r="E105" s="3">
        <f>+VLOOKUP($A105,MAGAZZINO!$B$2:$M$100000,5,FALSE)</f>
        <v/>
      </c>
      <c r="F105" s="3">
        <f>+VLOOKUP($A105,MAGAZZINO!$B$2:$M$100000,6,FALSE)</f>
        <v/>
      </c>
      <c r="G105" s="3">
        <f>+VLOOKUP($A105,MAGAZZINO!$B$2:$M$100000,7,FALSE)</f>
        <v/>
      </c>
      <c r="H105" s="3">
        <f>+VLOOKUP($A105,MAGAZZINO!$B$2:$M$100000,8,FALSE)</f>
        <v/>
      </c>
      <c r="I105" s="3">
        <f>+VLOOKUP($A105,MAGAZZINO!$B$2:$M$100000,9,FALSE)</f>
        <v/>
      </c>
      <c r="J105" s="3">
        <f>+VLOOKUP($A105,MAGAZZINO!$B$2:$M$100000,10,FALSE)</f>
        <v/>
      </c>
      <c r="K105" s="3">
        <f>+VLOOKUP($A105,MAGAZZINO!$B$2:$M$100000,11,FALSE)</f>
        <v/>
      </c>
      <c r="L105" s="5">
        <f>+VLOOKUP($A105,MAGAZZINO!$B$2:$M$100000,12,FALSE)</f>
        <v/>
      </c>
      <c r="M105" s="47" t="n"/>
      <c r="N105" s="88" t="n">
        <v>45609</v>
      </c>
      <c r="O105" s="91" t="inlineStr">
        <is>
          <t>HS &amp; LLC (OMAN)</t>
        </is>
      </c>
      <c r="P105" s="154" t="inlineStr">
        <is>
          <t>IMPORT LICENSE N. 24/1/2463/1/2024 DEL 05/05/2024                                                              AUT. ESPORTAZIONE MULTIPLA N. 6B/2024/2M RILASCIATA IL 30/07/2024   (LICENZA DI SCARICO N. 6B/2024/1S RILASCIATA IL 06/11/2024)</t>
        </is>
      </c>
      <c r="Q105" s="150" t="n"/>
      <c r="R105" s="150" t="n"/>
      <c r="S105" s="153" t="n"/>
    </row>
    <row r="106" ht="36" customHeight="1">
      <c r="A106" s="46" t="n">
        <v>2436</v>
      </c>
      <c r="B106" s="4">
        <f>+VLOOKUP($A106,MAGAZZINO!$B$2:$M$100000,2,FALSE)</f>
        <v/>
      </c>
      <c r="C106" s="29">
        <f>+VLOOKUP($A106,MAGAZZINO!$B$2:$M$100000,3,FALSE)</f>
        <v/>
      </c>
      <c r="D106" s="3">
        <f>+VLOOKUP($A106,MAGAZZINO!$B$2:$M$100000,4,FALSE)</f>
        <v/>
      </c>
      <c r="E106" s="3">
        <f>+VLOOKUP($A106,MAGAZZINO!$B$2:$M$100000,5,FALSE)</f>
        <v/>
      </c>
      <c r="F106" s="3">
        <f>+VLOOKUP($A106,MAGAZZINO!$B$2:$M$100000,6,FALSE)</f>
        <v/>
      </c>
      <c r="G106" s="3">
        <f>+VLOOKUP($A106,MAGAZZINO!$B$2:$M$100000,7,FALSE)</f>
        <v/>
      </c>
      <c r="H106" s="3">
        <f>+VLOOKUP($A106,MAGAZZINO!$B$2:$M$100000,8,FALSE)</f>
        <v/>
      </c>
      <c r="I106" s="3">
        <f>+VLOOKUP($A106,MAGAZZINO!$B$2:$M$100000,9,FALSE)</f>
        <v/>
      </c>
      <c r="J106" s="3">
        <f>+VLOOKUP($A106,MAGAZZINO!$B$2:$M$100000,10,FALSE)</f>
        <v/>
      </c>
      <c r="K106" s="3">
        <f>+VLOOKUP($A106,MAGAZZINO!$B$2:$M$100000,11,FALSE)</f>
        <v/>
      </c>
      <c r="L106" s="5">
        <f>+VLOOKUP($A106,MAGAZZINO!$B$2:$M$100000,12,FALSE)</f>
        <v/>
      </c>
      <c r="M106" s="47" t="n"/>
      <c r="N106" s="88" t="n">
        <v>45609</v>
      </c>
      <c r="O106" s="91" t="inlineStr">
        <is>
          <t>HS &amp; LLC (OMAN)</t>
        </is>
      </c>
      <c r="P106" s="154" t="inlineStr">
        <is>
          <t>IMPORT LICENSE N. 24/1/2463/1/2024 DEL 05/05/2024                                                              AUT. ESPORTAZIONE MULTIPLA N. 6B/2024/2M RILASCIATA IL 30/07/2024   (LICENZA DI SCARICO N. 6B/2024/1S RILASCIATA IL 06/11/2024)</t>
        </is>
      </c>
      <c r="Q106" s="150" t="n"/>
      <c r="R106" s="150" t="n"/>
      <c r="S106" s="153" t="n"/>
    </row>
    <row r="107" ht="36" customHeight="1">
      <c r="A107" s="46" t="n">
        <v>2437</v>
      </c>
      <c r="B107" s="4">
        <f>+VLOOKUP($A107,MAGAZZINO!$B$2:$M$100000,2,FALSE)</f>
        <v/>
      </c>
      <c r="C107" s="29">
        <f>+VLOOKUP($A107,MAGAZZINO!$B$2:$M$100000,3,FALSE)</f>
        <v/>
      </c>
      <c r="D107" s="3">
        <f>+VLOOKUP($A107,MAGAZZINO!$B$2:$M$100000,4,FALSE)</f>
        <v/>
      </c>
      <c r="E107" s="3">
        <f>+VLOOKUP($A107,MAGAZZINO!$B$2:$M$100000,5,FALSE)</f>
        <v/>
      </c>
      <c r="F107" s="3">
        <f>+VLOOKUP($A107,MAGAZZINO!$B$2:$M$100000,6,FALSE)</f>
        <v/>
      </c>
      <c r="G107" s="3">
        <f>+VLOOKUP($A107,MAGAZZINO!$B$2:$M$100000,7,FALSE)</f>
        <v/>
      </c>
      <c r="H107" s="3">
        <f>+VLOOKUP($A107,MAGAZZINO!$B$2:$M$100000,8,FALSE)</f>
        <v/>
      </c>
      <c r="I107" s="3">
        <f>+VLOOKUP($A107,MAGAZZINO!$B$2:$M$100000,9,FALSE)</f>
        <v/>
      </c>
      <c r="J107" s="3">
        <f>+VLOOKUP($A107,MAGAZZINO!$B$2:$M$100000,10,FALSE)</f>
        <v/>
      </c>
      <c r="K107" s="3">
        <f>+VLOOKUP($A107,MAGAZZINO!$B$2:$M$100000,11,FALSE)</f>
        <v/>
      </c>
      <c r="L107" s="5">
        <f>+VLOOKUP($A107,MAGAZZINO!$B$2:$M$100000,12,FALSE)</f>
        <v/>
      </c>
      <c r="M107" s="47" t="n"/>
      <c r="N107" s="88" t="n">
        <v>45609</v>
      </c>
      <c r="O107" s="91" t="inlineStr">
        <is>
          <t>HS &amp; LLC (OMAN)</t>
        </is>
      </c>
      <c r="P107" s="154" t="inlineStr">
        <is>
          <t>IMPORT LICENSE N. 24/1/2463/1/2024 DEL 05/05/2024                                                              AUT. ESPORTAZIONE MULTIPLA N. 6B/2024/2M RILASCIATA IL 30/07/2024   (LICENZA DI SCARICO N. 6B/2024/1S RILASCIATA IL 06/11/2024)</t>
        </is>
      </c>
      <c r="Q107" s="150" t="n"/>
      <c r="R107" s="150" t="n"/>
      <c r="S107" s="153" t="n"/>
    </row>
    <row r="108" ht="36" customHeight="1">
      <c r="A108" s="46" t="n">
        <v>2438</v>
      </c>
      <c r="B108" s="4">
        <f>+VLOOKUP($A108,MAGAZZINO!$B$2:$M$100000,2,FALSE)</f>
        <v/>
      </c>
      <c r="C108" s="29">
        <f>+VLOOKUP($A108,MAGAZZINO!$B$2:$M$100000,3,FALSE)</f>
        <v/>
      </c>
      <c r="D108" s="3">
        <f>+VLOOKUP($A108,MAGAZZINO!$B$2:$M$100000,4,FALSE)</f>
        <v/>
      </c>
      <c r="E108" s="3">
        <f>+VLOOKUP($A108,MAGAZZINO!$B$2:$M$100000,5,FALSE)</f>
        <v/>
      </c>
      <c r="F108" s="3">
        <f>+VLOOKUP($A108,MAGAZZINO!$B$2:$M$100000,6,FALSE)</f>
        <v/>
      </c>
      <c r="G108" s="3">
        <f>+VLOOKUP($A108,MAGAZZINO!$B$2:$M$100000,7,FALSE)</f>
        <v/>
      </c>
      <c r="H108" s="3">
        <f>+VLOOKUP($A108,MAGAZZINO!$B$2:$M$100000,8,FALSE)</f>
        <v/>
      </c>
      <c r="I108" s="3">
        <f>+VLOOKUP($A108,MAGAZZINO!$B$2:$M$100000,9,FALSE)</f>
        <v/>
      </c>
      <c r="J108" s="3">
        <f>+VLOOKUP($A108,MAGAZZINO!$B$2:$M$100000,10,FALSE)</f>
        <v/>
      </c>
      <c r="K108" s="3">
        <f>+VLOOKUP($A108,MAGAZZINO!$B$2:$M$100000,11,FALSE)</f>
        <v/>
      </c>
      <c r="L108" s="5">
        <f>+VLOOKUP($A108,MAGAZZINO!$B$2:$M$100000,12,FALSE)</f>
        <v/>
      </c>
      <c r="M108" s="47" t="n"/>
      <c r="N108" s="88" t="n">
        <v>45609</v>
      </c>
      <c r="O108" s="91" t="inlineStr">
        <is>
          <t>HS &amp; LLC (OMAN)</t>
        </is>
      </c>
      <c r="P108" s="154" t="inlineStr">
        <is>
          <t>IMPORT LICENSE N. 24/1/2463/1/2024 DEL 05/05/2024                                                              AUT. ESPORTAZIONE MULTIPLA N. 6B/2024/2M RILASCIATA IL 30/07/2024   (LICENZA DI SCARICO N. 6B/2024/1S RILASCIATA IL 06/11/2024)</t>
        </is>
      </c>
      <c r="Q108" s="150" t="n"/>
      <c r="R108" s="150" t="n"/>
      <c r="S108" s="153" t="n"/>
    </row>
    <row r="109" ht="36" customHeight="1">
      <c r="A109" s="46" t="n">
        <v>2439</v>
      </c>
      <c r="B109" s="4">
        <f>+VLOOKUP($A109,MAGAZZINO!$B$2:$M$100000,2,FALSE)</f>
        <v/>
      </c>
      <c r="C109" s="29">
        <f>+VLOOKUP($A109,MAGAZZINO!$B$2:$M$100000,3,FALSE)</f>
        <v/>
      </c>
      <c r="D109" s="3">
        <f>+VLOOKUP($A109,MAGAZZINO!$B$2:$M$100000,4,FALSE)</f>
        <v/>
      </c>
      <c r="E109" s="3">
        <f>+VLOOKUP($A109,MAGAZZINO!$B$2:$M$100000,5,FALSE)</f>
        <v/>
      </c>
      <c r="F109" s="3">
        <f>+VLOOKUP($A109,MAGAZZINO!$B$2:$M$100000,6,FALSE)</f>
        <v/>
      </c>
      <c r="G109" s="3">
        <f>+VLOOKUP($A109,MAGAZZINO!$B$2:$M$100000,7,FALSE)</f>
        <v/>
      </c>
      <c r="H109" s="3">
        <f>+VLOOKUP($A109,MAGAZZINO!$B$2:$M$100000,8,FALSE)</f>
        <v/>
      </c>
      <c r="I109" s="3">
        <f>+VLOOKUP($A109,MAGAZZINO!$B$2:$M$100000,9,FALSE)</f>
        <v/>
      </c>
      <c r="J109" s="3">
        <f>+VLOOKUP($A109,MAGAZZINO!$B$2:$M$100000,10,FALSE)</f>
        <v/>
      </c>
      <c r="K109" s="3">
        <f>+VLOOKUP($A109,MAGAZZINO!$B$2:$M$100000,11,FALSE)</f>
        <v/>
      </c>
      <c r="L109" s="5">
        <f>+VLOOKUP($A109,MAGAZZINO!$B$2:$M$100000,12,FALSE)</f>
        <v/>
      </c>
      <c r="M109" s="47" t="n"/>
      <c r="N109" s="88" t="n">
        <v>45609</v>
      </c>
      <c r="O109" s="91" t="inlineStr">
        <is>
          <t>HS &amp; LLC (OMAN)</t>
        </is>
      </c>
      <c r="P109" s="154" t="inlineStr">
        <is>
          <t>IMPORT LICENSE N. 24/1/2463/1/2024 DEL 05/05/2024                                                              AUT. ESPORTAZIONE MULTIPLA N. 6B/2024/2M RILASCIATA IL 30/07/2024   (LICENZA DI SCARICO N. 6B/2024/1S RILASCIATA IL 06/11/2024)</t>
        </is>
      </c>
      <c r="Q109" s="150" t="n"/>
      <c r="R109" s="150" t="n"/>
      <c r="S109" s="153" t="n"/>
    </row>
    <row r="110" ht="36" customHeight="1">
      <c r="A110" s="46" t="n">
        <v>2440</v>
      </c>
      <c r="B110" s="4">
        <f>+VLOOKUP($A110,MAGAZZINO!$B$2:$M$100000,2,FALSE)</f>
        <v/>
      </c>
      <c r="C110" s="29">
        <f>+VLOOKUP($A110,MAGAZZINO!$B$2:$M$100000,3,FALSE)</f>
        <v/>
      </c>
      <c r="D110" s="3">
        <f>+VLOOKUP($A110,MAGAZZINO!$B$2:$M$100000,4,FALSE)</f>
        <v/>
      </c>
      <c r="E110" s="3">
        <f>+VLOOKUP($A110,MAGAZZINO!$B$2:$M$100000,5,FALSE)</f>
        <v/>
      </c>
      <c r="F110" s="3">
        <f>+VLOOKUP($A110,MAGAZZINO!$B$2:$M$100000,6,FALSE)</f>
        <v/>
      </c>
      <c r="G110" s="3">
        <f>+VLOOKUP($A110,MAGAZZINO!$B$2:$M$100000,7,FALSE)</f>
        <v/>
      </c>
      <c r="H110" s="3">
        <f>+VLOOKUP($A110,MAGAZZINO!$B$2:$M$100000,8,FALSE)</f>
        <v/>
      </c>
      <c r="I110" s="3">
        <f>+VLOOKUP($A110,MAGAZZINO!$B$2:$M$100000,9,FALSE)</f>
        <v/>
      </c>
      <c r="J110" s="3">
        <f>+VLOOKUP($A110,MAGAZZINO!$B$2:$M$100000,10,FALSE)</f>
        <v/>
      </c>
      <c r="K110" s="3">
        <f>+VLOOKUP($A110,MAGAZZINO!$B$2:$M$100000,11,FALSE)</f>
        <v/>
      </c>
      <c r="L110" s="5">
        <f>+VLOOKUP($A110,MAGAZZINO!$B$2:$M$100000,12,FALSE)</f>
        <v/>
      </c>
      <c r="M110" s="47" t="n"/>
      <c r="N110" s="88" t="n">
        <v>45874</v>
      </c>
      <c r="O110" s="91" t="inlineStr">
        <is>
          <t>PHILIPPOS CONSTANTINIDES TRADING CO. LTD (CIPRO)</t>
        </is>
      </c>
      <c r="P110" s="154" t="inlineStr">
        <is>
          <t xml:space="preserve">IMPORT LICENSE N. 218 DEL 12/08/2020                                                                                         AUT. TRASFERIMENTO N. 6B/2025/3D RILASCIATA IL 28/07/2025   </t>
        </is>
      </c>
      <c r="Q110" s="150" t="n"/>
      <c r="R110" s="150" t="n"/>
      <c r="S110" s="153" t="n"/>
    </row>
    <row r="111" ht="36" customHeight="1">
      <c r="A111" s="46" t="n">
        <v>2441</v>
      </c>
      <c r="B111" s="4">
        <f>+VLOOKUP($A111,MAGAZZINO!$B$2:$M$100000,2,FALSE)</f>
        <v/>
      </c>
      <c r="C111" s="29">
        <f>+VLOOKUP($A111,MAGAZZINO!$B$2:$M$100000,3,FALSE)</f>
        <v/>
      </c>
      <c r="D111" s="3">
        <f>+VLOOKUP($A111,MAGAZZINO!$B$2:$M$100000,4,FALSE)</f>
        <v/>
      </c>
      <c r="E111" s="3">
        <f>+VLOOKUP($A111,MAGAZZINO!$B$2:$M$100000,5,FALSE)</f>
        <v/>
      </c>
      <c r="F111" s="3">
        <f>+VLOOKUP($A111,MAGAZZINO!$B$2:$M$100000,6,FALSE)</f>
        <v/>
      </c>
      <c r="G111" s="3">
        <f>+VLOOKUP($A111,MAGAZZINO!$B$2:$M$100000,7,FALSE)</f>
        <v/>
      </c>
      <c r="H111" s="3">
        <f>+VLOOKUP($A111,MAGAZZINO!$B$2:$M$100000,8,FALSE)</f>
        <v/>
      </c>
      <c r="I111" s="3">
        <f>+VLOOKUP($A111,MAGAZZINO!$B$2:$M$100000,9,FALSE)</f>
        <v/>
      </c>
      <c r="J111" s="3">
        <f>+VLOOKUP($A111,MAGAZZINO!$B$2:$M$100000,10,FALSE)</f>
        <v/>
      </c>
      <c r="K111" s="3">
        <f>+VLOOKUP($A111,MAGAZZINO!$B$2:$M$100000,11,FALSE)</f>
        <v/>
      </c>
      <c r="L111" s="5">
        <f>+VLOOKUP($A111,MAGAZZINO!$B$2:$M$100000,12,FALSE)</f>
        <v/>
      </c>
      <c r="M111" s="47" t="n"/>
      <c r="N111" s="88" t="n">
        <v>45609</v>
      </c>
      <c r="O111" s="91" t="inlineStr">
        <is>
          <t>HS &amp; LLC (OMAN)</t>
        </is>
      </c>
      <c r="P111" s="154" t="inlineStr">
        <is>
          <t>IMPORT LICENSE N. 24/1/2463/1/2024 DEL 05/05/2024                                                              AUT. ESPORTAZIONE MULTIPLA N. 6B/2024/2M RILASCIATA IL 30/07/2024   (LICENZA DI SCARICO N. 6B/2024/1S RILASCIATA IL 06/11/2024)</t>
        </is>
      </c>
      <c r="Q111" s="150" t="n"/>
      <c r="R111" s="150" t="n"/>
      <c r="S111" s="153" t="n"/>
    </row>
    <row r="112" ht="36" customHeight="1">
      <c r="A112" s="46" t="n">
        <v>2442</v>
      </c>
      <c r="B112" s="4">
        <f>+VLOOKUP($A112,MAGAZZINO!$B$2:$M$100000,2,FALSE)</f>
        <v/>
      </c>
      <c r="C112" s="29">
        <f>+VLOOKUP($A112,MAGAZZINO!$B$2:$M$100000,3,FALSE)</f>
        <v/>
      </c>
      <c r="D112" s="3">
        <f>+VLOOKUP($A112,MAGAZZINO!$B$2:$M$100000,4,FALSE)</f>
        <v/>
      </c>
      <c r="E112" s="3">
        <f>+VLOOKUP($A112,MAGAZZINO!$B$2:$M$100000,5,FALSE)</f>
        <v/>
      </c>
      <c r="F112" s="3">
        <f>+VLOOKUP($A112,MAGAZZINO!$B$2:$M$100000,6,FALSE)</f>
        <v/>
      </c>
      <c r="G112" s="3">
        <f>+VLOOKUP($A112,MAGAZZINO!$B$2:$M$100000,7,FALSE)</f>
        <v/>
      </c>
      <c r="H112" s="3">
        <f>+VLOOKUP($A112,MAGAZZINO!$B$2:$M$100000,8,FALSE)</f>
        <v/>
      </c>
      <c r="I112" s="3">
        <f>+VLOOKUP($A112,MAGAZZINO!$B$2:$M$100000,9,FALSE)</f>
        <v/>
      </c>
      <c r="J112" s="3">
        <f>+VLOOKUP($A112,MAGAZZINO!$B$2:$M$100000,10,FALSE)</f>
        <v/>
      </c>
      <c r="K112" s="3">
        <f>+VLOOKUP($A112,MAGAZZINO!$B$2:$M$100000,11,FALSE)</f>
        <v/>
      </c>
      <c r="L112" s="5">
        <f>+VLOOKUP($A112,MAGAZZINO!$B$2:$M$100000,12,FALSE)</f>
        <v/>
      </c>
      <c r="M112" s="47" t="n"/>
      <c r="N112" s="88" t="n">
        <v>45609</v>
      </c>
      <c r="O112" s="91" t="inlineStr">
        <is>
          <t>HS &amp; LLC (OMAN)</t>
        </is>
      </c>
      <c r="P112" s="154" t="inlineStr">
        <is>
          <t>IMPORT LICENSE N. 24/1/2463/1/2024 DEL 05/05/2024                                                              AUT. ESPORTAZIONE MULTIPLA N. 6B/2024/2M RILASCIATA IL 30/07/2024   (LICENZA DI SCARICO N. 6B/2024/1S RILASCIATA IL 06/11/2024)</t>
        </is>
      </c>
      <c r="Q112" s="150" t="n"/>
      <c r="R112" s="150" t="n"/>
      <c r="S112" s="153" t="n"/>
    </row>
    <row r="113" ht="36" customHeight="1">
      <c r="A113" s="46" t="n">
        <v>2443</v>
      </c>
      <c r="B113" s="4">
        <f>+VLOOKUP($A113,MAGAZZINO!$B$2:$M$100000,2,FALSE)</f>
        <v/>
      </c>
      <c r="C113" s="29">
        <f>+VLOOKUP($A113,MAGAZZINO!$B$2:$M$100000,3,FALSE)</f>
        <v/>
      </c>
      <c r="D113" s="3">
        <f>+VLOOKUP($A113,MAGAZZINO!$B$2:$M$100000,4,FALSE)</f>
        <v/>
      </c>
      <c r="E113" s="3">
        <f>+VLOOKUP($A113,MAGAZZINO!$B$2:$M$100000,5,FALSE)</f>
        <v/>
      </c>
      <c r="F113" s="3">
        <f>+VLOOKUP($A113,MAGAZZINO!$B$2:$M$100000,6,FALSE)</f>
        <v/>
      </c>
      <c r="G113" s="3">
        <f>+VLOOKUP($A113,MAGAZZINO!$B$2:$M$100000,7,FALSE)</f>
        <v/>
      </c>
      <c r="H113" s="3">
        <f>+VLOOKUP($A113,MAGAZZINO!$B$2:$M$100000,8,FALSE)</f>
        <v/>
      </c>
      <c r="I113" s="3">
        <f>+VLOOKUP($A113,MAGAZZINO!$B$2:$M$100000,9,FALSE)</f>
        <v/>
      </c>
      <c r="J113" s="3">
        <f>+VLOOKUP($A113,MAGAZZINO!$B$2:$M$100000,10,FALSE)</f>
        <v/>
      </c>
      <c r="K113" s="3">
        <f>+VLOOKUP($A113,MAGAZZINO!$B$2:$M$100000,11,FALSE)</f>
        <v/>
      </c>
      <c r="L113" s="5">
        <f>+VLOOKUP($A113,MAGAZZINO!$B$2:$M$100000,12,FALSE)</f>
        <v/>
      </c>
      <c r="M113" s="47" t="n"/>
      <c r="N113" s="88" t="n">
        <v>45609</v>
      </c>
      <c r="O113" s="91" t="inlineStr">
        <is>
          <t>HS &amp; LLC (OMAN)</t>
        </is>
      </c>
      <c r="P113" s="154" t="inlineStr">
        <is>
          <t>IMPORT LICENSE N. 24/1/2463/1/2024 DEL 05/05/2024                                                              AUT. ESPORTAZIONE MULTIPLA N. 6B/2024/2M RILASCIATA IL 30/07/2024   (LICENZA DI SCARICO N. 6B/2024/1S RILASCIATA IL 06/11/2024)</t>
        </is>
      </c>
      <c r="Q113" s="150" t="n"/>
      <c r="R113" s="150" t="n"/>
      <c r="S113" s="153" t="n"/>
    </row>
    <row r="114" ht="36" customHeight="1">
      <c r="A114" s="46" t="n">
        <v>2444</v>
      </c>
      <c r="B114" s="4">
        <f>+VLOOKUP($A114,MAGAZZINO!$B$2:$M$100000,2,FALSE)</f>
        <v/>
      </c>
      <c r="C114" s="29">
        <f>+VLOOKUP($A114,MAGAZZINO!$B$2:$M$100000,3,FALSE)</f>
        <v/>
      </c>
      <c r="D114" s="3">
        <f>+VLOOKUP($A114,MAGAZZINO!$B$2:$M$100000,4,FALSE)</f>
        <v/>
      </c>
      <c r="E114" s="3">
        <f>+VLOOKUP($A114,MAGAZZINO!$B$2:$M$100000,5,FALSE)</f>
        <v/>
      </c>
      <c r="F114" s="3">
        <f>+VLOOKUP($A114,MAGAZZINO!$B$2:$M$100000,6,FALSE)</f>
        <v/>
      </c>
      <c r="G114" s="3">
        <f>+VLOOKUP($A114,MAGAZZINO!$B$2:$M$100000,7,FALSE)</f>
        <v/>
      </c>
      <c r="H114" s="3">
        <f>+VLOOKUP($A114,MAGAZZINO!$B$2:$M$100000,8,FALSE)</f>
        <v/>
      </c>
      <c r="I114" s="3">
        <f>+VLOOKUP($A114,MAGAZZINO!$B$2:$M$100000,9,FALSE)</f>
        <v/>
      </c>
      <c r="J114" s="3">
        <f>+VLOOKUP($A114,MAGAZZINO!$B$2:$M$100000,10,FALSE)</f>
        <v/>
      </c>
      <c r="K114" s="3">
        <f>+VLOOKUP($A114,MAGAZZINO!$B$2:$M$100000,11,FALSE)</f>
        <v/>
      </c>
      <c r="L114" s="5">
        <f>+VLOOKUP($A114,MAGAZZINO!$B$2:$M$100000,12,FALSE)</f>
        <v/>
      </c>
      <c r="M114" s="47" t="n"/>
      <c r="N114" s="89" t="inlineStr">
        <is>
          <t>08/11/2024   12/11/2024   13/11/2024</t>
        </is>
      </c>
      <c r="O114" s="92" t="inlineStr">
        <is>
          <t>BRUGAR SRL MARCHENO (BS)        B.C.W. SRL RIPRESO IN CARICO              HS &amp; LLC (OMAN)</t>
        </is>
      </c>
      <c r="P114" s="179" t="inlineStr">
        <is>
          <t>D.D.T. N. 15 DEL 08/11/2024  ATA  N. 10  DEL 05/11/2024                                                                                                                                          D.D.T. N. 2024-1820/M RIPRESO IN CARICO  ATA N. 6C-P06012400011801 DEL 08/11/2024                                              IMPORT LICENSE N. 24/1/2463/1/2024 DEL 05/05/2024  AUT. ESPORTAZIONE MULTIPLA N. 6B/2024/2M  RILASCIATA                                         IL 30/07/2024  (LICENZA DI SCARICO N. 6B/2024/1S RILASCIATA IL  N. /11/2024)</t>
        </is>
      </c>
      <c r="Q114" s="150" t="n"/>
      <c r="R114" s="150" t="n"/>
      <c r="S114" s="151" t="n"/>
    </row>
    <row r="115" ht="36" customHeight="1">
      <c r="A115" s="46" t="n">
        <v>2445</v>
      </c>
      <c r="B115" s="4">
        <f>+VLOOKUP($A115,MAGAZZINO!$B$2:$M$100000,2,FALSE)</f>
        <v/>
      </c>
      <c r="C115" s="29">
        <f>+VLOOKUP($A115,MAGAZZINO!$B$2:$M$100000,3,FALSE)</f>
        <v/>
      </c>
      <c r="D115" s="3">
        <f>+VLOOKUP($A115,MAGAZZINO!$B$2:$M$100000,4,FALSE)</f>
        <v/>
      </c>
      <c r="E115" s="3">
        <f>+VLOOKUP($A115,MAGAZZINO!$B$2:$M$100000,5,FALSE)</f>
        <v/>
      </c>
      <c r="F115" s="3">
        <f>+VLOOKUP($A115,MAGAZZINO!$B$2:$M$100000,6,FALSE)</f>
        <v/>
      </c>
      <c r="G115" s="3">
        <f>+VLOOKUP($A115,MAGAZZINO!$B$2:$M$100000,7,FALSE)</f>
        <v/>
      </c>
      <c r="H115" s="3">
        <f>+VLOOKUP($A115,MAGAZZINO!$B$2:$M$100000,8,FALSE)</f>
        <v/>
      </c>
      <c r="I115" s="3">
        <f>+VLOOKUP($A115,MAGAZZINO!$B$2:$M$100000,9,FALSE)</f>
        <v/>
      </c>
      <c r="J115" s="3">
        <f>+VLOOKUP($A115,MAGAZZINO!$B$2:$M$100000,10,FALSE)</f>
        <v/>
      </c>
      <c r="K115" s="3">
        <f>+VLOOKUP($A115,MAGAZZINO!$B$2:$M$100000,11,FALSE)</f>
        <v/>
      </c>
      <c r="L115" s="5">
        <f>+VLOOKUP($A115,MAGAZZINO!$B$2:$M$100000,12,FALSE)</f>
        <v/>
      </c>
      <c r="M115" s="47" t="n"/>
      <c r="N115" s="88" t="n">
        <v>45609</v>
      </c>
      <c r="O115" s="91" t="inlineStr">
        <is>
          <t>HS &amp; LLC (OMAN)</t>
        </is>
      </c>
      <c r="P115" s="154" t="inlineStr">
        <is>
          <t>IMPORT LICENSE N. 24/1/2463/1/2024 DEL 05/05/2024                                                              AUT. ESPORTAZIONE MULTIPLA N. 6B/2024/2M RILASCIATA IL 30/07/2024   (LICENZA DI SCARICO N. 6B/2024/1S RILASCIATA IL 06/11/2024)</t>
        </is>
      </c>
      <c r="Q115" s="150" t="n"/>
      <c r="R115" s="150" t="n"/>
      <c r="S115" s="153" t="n"/>
    </row>
    <row r="116" ht="36" customHeight="1">
      <c r="A116" s="46" t="n">
        <v>2446</v>
      </c>
      <c r="B116" s="4">
        <f>+VLOOKUP($A116,MAGAZZINO!$B$2:$M$100000,2,FALSE)</f>
        <v/>
      </c>
      <c r="C116" s="29">
        <f>+VLOOKUP($A116,MAGAZZINO!$B$2:$M$100000,3,FALSE)</f>
        <v/>
      </c>
      <c r="D116" s="3">
        <f>+VLOOKUP($A116,MAGAZZINO!$B$2:$M$100000,4,FALSE)</f>
        <v/>
      </c>
      <c r="E116" s="3">
        <f>+VLOOKUP($A116,MAGAZZINO!$B$2:$M$100000,5,FALSE)</f>
        <v/>
      </c>
      <c r="F116" s="3">
        <f>+VLOOKUP($A116,MAGAZZINO!$B$2:$M$100000,6,FALSE)</f>
        <v/>
      </c>
      <c r="G116" s="3">
        <f>+VLOOKUP($A116,MAGAZZINO!$B$2:$M$100000,7,FALSE)</f>
        <v/>
      </c>
      <c r="H116" s="3">
        <f>+VLOOKUP($A116,MAGAZZINO!$B$2:$M$100000,8,FALSE)</f>
        <v/>
      </c>
      <c r="I116" s="3">
        <f>+VLOOKUP($A116,MAGAZZINO!$B$2:$M$100000,9,FALSE)</f>
        <v/>
      </c>
      <c r="J116" s="3">
        <f>+VLOOKUP($A116,MAGAZZINO!$B$2:$M$100000,10,FALSE)</f>
        <v/>
      </c>
      <c r="K116" s="3">
        <f>+VLOOKUP($A116,MAGAZZINO!$B$2:$M$100000,11,FALSE)</f>
        <v/>
      </c>
      <c r="L116" s="5">
        <f>+VLOOKUP($A116,MAGAZZINO!$B$2:$M$100000,12,FALSE)</f>
        <v/>
      </c>
      <c r="M116" s="47" t="n"/>
      <c r="N116" s="88" t="n">
        <v>45609</v>
      </c>
      <c r="O116" s="91" t="inlineStr">
        <is>
          <t>HS &amp; LLC (OMAN)</t>
        </is>
      </c>
      <c r="P116" s="154" t="inlineStr">
        <is>
          <t>IMPORT LICENSE N. 24/1/2463/1/2024 DEL 05/05/2024                                                              AUT. ESPORTAZIONE MULTIPLA N. 6B/2024/2M RILASCIATA IL 30/07/2024   (LICENZA DI SCARICO N. 6B/2024/1S RILASCIATA IL 06/11/2024)</t>
        </is>
      </c>
      <c r="Q116" s="150" t="n"/>
      <c r="R116" s="150" t="n"/>
      <c r="S116" s="153" t="n"/>
    </row>
    <row r="117" ht="36" customHeight="1">
      <c r="A117" s="46" t="n">
        <v>2447</v>
      </c>
      <c r="B117" s="4">
        <f>+VLOOKUP($A117,MAGAZZINO!$B$2:$M$100000,2,FALSE)</f>
        <v/>
      </c>
      <c r="C117" s="29">
        <f>+VLOOKUP($A117,MAGAZZINO!$B$2:$M$100000,3,FALSE)</f>
        <v/>
      </c>
      <c r="D117" s="3">
        <f>+VLOOKUP($A117,MAGAZZINO!$B$2:$M$100000,4,FALSE)</f>
        <v/>
      </c>
      <c r="E117" s="3">
        <f>+VLOOKUP($A117,MAGAZZINO!$B$2:$M$100000,5,FALSE)</f>
        <v/>
      </c>
      <c r="F117" s="3">
        <f>+VLOOKUP($A117,MAGAZZINO!$B$2:$M$100000,6,FALSE)</f>
        <v/>
      </c>
      <c r="G117" s="3">
        <f>+VLOOKUP($A117,MAGAZZINO!$B$2:$M$100000,7,FALSE)</f>
        <v/>
      </c>
      <c r="H117" s="3">
        <f>+VLOOKUP($A117,MAGAZZINO!$B$2:$M$100000,8,FALSE)</f>
        <v/>
      </c>
      <c r="I117" s="3">
        <f>+VLOOKUP($A117,MAGAZZINO!$B$2:$M$100000,9,FALSE)</f>
        <v/>
      </c>
      <c r="J117" s="3">
        <f>+VLOOKUP($A117,MAGAZZINO!$B$2:$M$100000,10,FALSE)</f>
        <v/>
      </c>
      <c r="K117" s="3">
        <f>+VLOOKUP($A117,MAGAZZINO!$B$2:$M$100000,11,FALSE)</f>
        <v/>
      </c>
      <c r="L117" s="5">
        <f>+VLOOKUP($A117,MAGAZZINO!$B$2:$M$100000,12,FALSE)</f>
        <v/>
      </c>
      <c r="M117" s="47" t="n"/>
      <c r="N117" s="88" t="n">
        <v>45609</v>
      </c>
      <c r="O117" s="91" t="inlineStr">
        <is>
          <t>HS &amp; LLC (OMAN)</t>
        </is>
      </c>
      <c r="P117" s="154" t="inlineStr">
        <is>
          <t>IMPORT LICENSE N. 24/1/2463/1/2024 DEL 05/05/2024                                                              AUT. ESPORTAZIONE MULTIPLA N. 6B/2024/2M RILASCIATA IL 30/07/2024   (LICENZA DI SCARICO N. 6B/2024/1S RILASCIATA IL 06/11/2024)</t>
        </is>
      </c>
      <c r="Q117" s="150" t="n"/>
      <c r="R117" s="150" t="n"/>
      <c r="S117" s="153" t="n"/>
    </row>
    <row r="118" ht="36" customHeight="1">
      <c r="A118" s="46" t="n">
        <v>2448</v>
      </c>
      <c r="B118" s="4">
        <f>+VLOOKUP($A118,MAGAZZINO!$B$2:$M$100000,2,FALSE)</f>
        <v/>
      </c>
      <c r="C118" s="29">
        <f>+VLOOKUP($A118,MAGAZZINO!$B$2:$M$100000,3,FALSE)</f>
        <v/>
      </c>
      <c r="D118" s="3">
        <f>+VLOOKUP($A118,MAGAZZINO!$B$2:$M$100000,4,FALSE)</f>
        <v/>
      </c>
      <c r="E118" s="3">
        <f>+VLOOKUP($A118,MAGAZZINO!$B$2:$M$100000,5,FALSE)</f>
        <v/>
      </c>
      <c r="F118" s="3">
        <f>+VLOOKUP($A118,MAGAZZINO!$B$2:$M$100000,6,FALSE)</f>
        <v/>
      </c>
      <c r="G118" s="3">
        <f>+VLOOKUP($A118,MAGAZZINO!$B$2:$M$100000,7,FALSE)</f>
        <v/>
      </c>
      <c r="H118" s="3">
        <f>+VLOOKUP($A118,MAGAZZINO!$B$2:$M$100000,8,FALSE)</f>
        <v/>
      </c>
      <c r="I118" s="3">
        <f>+VLOOKUP($A118,MAGAZZINO!$B$2:$M$100000,9,FALSE)</f>
        <v/>
      </c>
      <c r="J118" s="3">
        <f>+VLOOKUP($A118,MAGAZZINO!$B$2:$M$100000,10,FALSE)</f>
        <v/>
      </c>
      <c r="K118" s="3">
        <f>+VLOOKUP($A118,MAGAZZINO!$B$2:$M$100000,11,FALSE)</f>
        <v/>
      </c>
      <c r="L118" s="5">
        <f>+VLOOKUP($A118,MAGAZZINO!$B$2:$M$100000,12,FALSE)</f>
        <v/>
      </c>
      <c r="M118" s="47" t="n"/>
      <c r="N118" s="89" t="inlineStr">
        <is>
          <t>08/11/2024   12/11/2024   13/11/2024</t>
        </is>
      </c>
      <c r="O118" s="92" t="inlineStr">
        <is>
          <t>BRUGAR SRL MARCHENO (BS)        B.C.W. SRL RIPRESO IN CARICO              HS &amp; LLC (OMAN)</t>
        </is>
      </c>
      <c r="P118" s="162" t="inlineStr">
        <is>
          <t>D.D.T. N. 15 DEL 08/11/2024  ATA  N. 10  DEL 05/11/2024                                                                                                                                          D.D.T. N. 2024-1820/M RIPRESO IN CARICO  ATA N. 6C-P06012400011801 DEL 08/11/2024                                              IMPORT LICENSE N. 24/1/2463/1/2024 DEL 05/05/2024  AUT. ESPORTAZIONE MULTIPLA N. 6B/2024/2M  RILASCIATA                                         IL 30/07/2024  (LICENZA DI SCARICO N. 6B/2024/1S RILASCIATA IL  N. /11/2024)</t>
        </is>
      </c>
      <c r="Q118" s="150" t="n"/>
      <c r="R118" s="150" t="n"/>
      <c r="S118" s="153" t="n"/>
    </row>
    <row r="119" ht="36" customHeight="1">
      <c r="A119" s="46" t="n">
        <v>2449</v>
      </c>
      <c r="B119" s="4">
        <f>+VLOOKUP($A119,MAGAZZINO!$B$2:$M$100000,2,FALSE)</f>
        <v/>
      </c>
      <c r="C119" s="29">
        <f>+VLOOKUP($A119,MAGAZZINO!$B$2:$M$100000,3,FALSE)</f>
        <v/>
      </c>
      <c r="D119" s="3">
        <f>+VLOOKUP($A119,MAGAZZINO!$B$2:$M$100000,4,FALSE)</f>
        <v/>
      </c>
      <c r="E119" s="3">
        <f>+VLOOKUP($A119,MAGAZZINO!$B$2:$M$100000,5,FALSE)</f>
        <v/>
      </c>
      <c r="F119" s="3">
        <f>+VLOOKUP($A119,MAGAZZINO!$B$2:$M$100000,6,FALSE)</f>
        <v/>
      </c>
      <c r="G119" s="3">
        <f>+VLOOKUP($A119,MAGAZZINO!$B$2:$M$100000,7,FALSE)</f>
        <v/>
      </c>
      <c r="H119" s="3">
        <f>+VLOOKUP($A119,MAGAZZINO!$B$2:$M$100000,8,FALSE)</f>
        <v/>
      </c>
      <c r="I119" s="3">
        <f>+VLOOKUP($A119,MAGAZZINO!$B$2:$M$100000,9,FALSE)</f>
        <v/>
      </c>
      <c r="J119" s="3">
        <f>+VLOOKUP($A119,MAGAZZINO!$B$2:$M$100000,10,FALSE)</f>
        <v/>
      </c>
      <c r="K119" s="3">
        <f>+VLOOKUP($A119,MAGAZZINO!$B$2:$M$100000,11,FALSE)</f>
        <v/>
      </c>
      <c r="L119" s="5">
        <f>+VLOOKUP($A119,MAGAZZINO!$B$2:$M$100000,12,FALSE)</f>
        <v/>
      </c>
      <c r="M119" s="47" t="n"/>
      <c r="N119" s="89" t="inlineStr">
        <is>
          <t>08/11/2024   12/11/2024   13/11/2024</t>
        </is>
      </c>
      <c r="O119" s="92" t="inlineStr">
        <is>
          <t>BRUGAR SRL MARCHENO (BS)        B.C.W. SRL RIPRESO IN CARICO              HS &amp; LLC (OMAN)</t>
        </is>
      </c>
      <c r="P119" s="162" t="inlineStr">
        <is>
          <t>D.D.T. N. 15 DEL 08/11/2024  ATA  N. 10  DEL 05/11/2024                                                                                                                                          D.D.T. N. 2024-1820/M RIPRESO IN CARICO  ATA N. 6C-P06012400011801 DEL 08/11/2024                                              IMPORT LICENSE N. 24/1/2463/1/2024 DEL 05/05/2024  AUT. ESPORTAZIONE MULTIPLA N. 6B/2024/2M  RILASCIATA                                         IL 30/07/2024  (LICENZA DI SCARICO N. 6B/2024/1S RILASCIATA IL  N. /11/2024)</t>
        </is>
      </c>
      <c r="Q119" s="150" t="n"/>
      <c r="R119" s="150" t="n"/>
      <c r="S119" s="153" t="n"/>
    </row>
    <row r="120" ht="36" customHeight="1">
      <c r="A120" s="46" t="n">
        <v>2450</v>
      </c>
      <c r="B120" s="4">
        <f>+VLOOKUP($A120,MAGAZZINO!$B$2:$M$100000,2,FALSE)</f>
        <v/>
      </c>
      <c r="C120" s="29">
        <f>+VLOOKUP($A120,MAGAZZINO!$B$2:$M$100000,3,FALSE)</f>
        <v/>
      </c>
      <c r="D120" s="3">
        <f>+VLOOKUP($A120,MAGAZZINO!$B$2:$M$100000,4,FALSE)</f>
        <v/>
      </c>
      <c r="E120" s="3">
        <f>+VLOOKUP($A120,MAGAZZINO!$B$2:$M$100000,5,FALSE)</f>
        <v/>
      </c>
      <c r="F120" s="3">
        <f>+VLOOKUP($A120,MAGAZZINO!$B$2:$M$100000,6,FALSE)</f>
        <v/>
      </c>
      <c r="G120" s="3">
        <f>+VLOOKUP($A120,MAGAZZINO!$B$2:$M$100000,7,FALSE)</f>
        <v/>
      </c>
      <c r="H120" s="3">
        <f>+VLOOKUP($A120,MAGAZZINO!$B$2:$M$100000,8,FALSE)</f>
        <v/>
      </c>
      <c r="I120" s="3">
        <f>+VLOOKUP($A120,MAGAZZINO!$B$2:$M$100000,9,FALSE)</f>
        <v/>
      </c>
      <c r="J120" s="3">
        <f>+VLOOKUP($A120,MAGAZZINO!$B$2:$M$100000,10,FALSE)</f>
        <v/>
      </c>
      <c r="K120" s="3">
        <f>+VLOOKUP($A120,MAGAZZINO!$B$2:$M$100000,11,FALSE)</f>
        <v/>
      </c>
      <c r="L120" s="5">
        <f>+VLOOKUP($A120,MAGAZZINO!$B$2:$M$100000,12,FALSE)</f>
        <v/>
      </c>
      <c r="M120" s="47" t="n"/>
      <c r="N120" s="89" t="inlineStr">
        <is>
          <t>08/11/2024   12/11/2024   13/11/2024</t>
        </is>
      </c>
      <c r="O120" s="92" t="inlineStr">
        <is>
          <t>BRUGAR SRL MARCHENO (BS)        B.C.W. SRL RIPRESO IN CARICO              HS &amp; LLC (OMAN)</t>
        </is>
      </c>
      <c r="P120" s="162" t="inlineStr">
        <is>
          <t>D.D.T. N. 15 DEL 08/11/2024  ATA  N. 10  DEL 05/11/2024                                                                                                                                          D.D.T. N. 2024-1820/M RIPRESO IN CARICO  ATA N. 6C-P06012400011801 DEL 08/11/2024                                              IMPORT LICENSE N. 24/1/2463/1/2024 DEL 05/05/2024  AUT. ESPORTAZIONE MULTIPLA N. 6B/2024/2M  RILASCIATA                                         IL 30/07/2024  (LICENZA DI SCARICO N. 6B/2024/1S RILASCIATA IL  N. /11/2024)</t>
        </is>
      </c>
      <c r="Q120" s="150" t="n"/>
      <c r="R120" s="150" t="n"/>
      <c r="S120" s="153" t="n"/>
    </row>
    <row r="121" ht="36" customHeight="1">
      <c r="A121" s="46" t="n">
        <v>2451</v>
      </c>
      <c r="B121" s="4">
        <f>+VLOOKUP($A121,MAGAZZINO!$B$2:$M$100000,2,FALSE)</f>
        <v/>
      </c>
      <c r="C121" s="29">
        <f>+VLOOKUP($A121,MAGAZZINO!$B$2:$M$100000,3,FALSE)</f>
        <v/>
      </c>
      <c r="D121" s="3">
        <f>+VLOOKUP($A121,MAGAZZINO!$B$2:$M$100000,4,FALSE)</f>
        <v/>
      </c>
      <c r="E121" s="3">
        <f>+VLOOKUP($A121,MAGAZZINO!$B$2:$M$100000,5,FALSE)</f>
        <v/>
      </c>
      <c r="F121" s="3">
        <f>+VLOOKUP($A121,MAGAZZINO!$B$2:$M$100000,6,FALSE)</f>
        <v/>
      </c>
      <c r="G121" s="3">
        <f>+VLOOKUP($A121,MAGAZZINO!$B$2:$M$100000,7,FALSE)</f>
        <v/>
      </c>
      <c r="H121" s="3">
        <f>+VLOOKUP($A121,MAGAZZINO!$B$2:$M$100000,8,FALSE)</f>
        <v/>
      </c>
      <c r="I121" s="3">
        <f>+VLOOKUP($A121,MAGAZZINO!$B$2:$M$100000,9,FALSE)</f>
        <v/>
      </c>
      <c r="J121" s="3">
        <f>+VLOOKUP($A121,MAGAZZINO!$B$2:$M$100000,10,FALSE)</f>
        <v/>
      </c>
      <c r="K121" s="3">
        <f>+VLOOKUP($A121,MAGAZZINO!$B$2:$M$100000,11,FALSE)</f>
        <v/>
      </c>
      <c r="L121" s="5">
        <f>+VLOOKUP($A121,MAGAZZINO!$B$2:$M$100000,12,FALSE)</f>
        <v/>
      </c>
      <c r="M121" s="47" t="n"/>
      <c r="N121" s="88" t="n">
        <v>45609</v>
      </c>
      <c r="O121" s="91" t="inlineStr">
        <is>
          <t>HS &amp; LLC (OMAN)</t>
        </is>
      </c>
      <c r="P121" s="154" t="inlineStr">
        <is>
          <t>IMPORT LICENSE N. 24/1/2463/1/2024 DEL 05/05/2024                                                              AUT. ESPORTAZIONE MULTIPLA N. 6B/2024/2M RILASCIATA IL 30/07/2024   (LICENZA DI SCARICO N. 6B/2024/1S RILASCIATA IL 06/11/2024)</t>
        </is>
      </c>
      <c r="Q121" s="150" t="n"/>
      <c r="R121" s="150" t="n"/>
      <c r="S121" s="153" t="n"/>
    </row>
    <row r="122" ht="36" customHeight="1">
      <c r="A122" s="46" t="n">
        <v>2452</v>
      </c>
      <c r="B122" s="4">
        <f>+VLOOKUP($A122,MAGAZZINO!$B$2:$M$100000,2,FALSE)</f>
        <v/>
      </c>
      <c r="C122" s="29">
        <f>+VLOOKUP($A122,MAGAZZINO!$B$2:$M$100000,3,FALSE)</f>
        <v/>
      </c>
      <c r="D122" s="3">
        <f>+VLOOKUP($A122,MAGAZZINO!$B$2:$M$100000,4,FALSE)</f>
        <v/>
      </c>
      <c r="E122" s="3">
        <f>+VLOOKUP($A122,MAGAZZINO!$B$2:$M$100000,5,FALSE)</f>
        <v/>
      </c>
      <c r="F122" s="3">
        <f>+VLOOKUP($A122,MAGAZZINO!$B$2:$M$100000,6,FALSE)</f>
        <v/>
      </c>
      <c r="G122" s="3">
        <f>+VLOOKUP($A122,MAGAZZINO!$B$2:$M$100000,7,FALSE)</f>
        <v/>
      </c>
      <c r="H122" s="3">
        <f>+VLOOKUP($A122,MAGAZZINO!$B$2:$M$100000,8,FALSE)</f>
        <v/>
      </c>
      <c r="I122" s="3">
        <f>+VLOOKUP($A122,MAGAZZINO!$B$2:$M$100000,9,FALSE)</f>
        <v/>
      </c>
      <c r="J122" s="3">
        <f>+VLOOKUP($A122,MAGAZZINO!$B$2:$M$100000,10,FALSE)</f>
        <v/>
      </c>
      <c r="K122" s="3">
        <f>+VLOOKUP($A122,MAGAZZINO!$B$2:$M$100000,11,FALSE)</f>
        <v/>
      </c>
      <c r="L122" s="5">
        <f>+VLOOKUP($A122,MAGAZZINO!$B$2:$M$100000,12,FALSE)</f>
        <v/>
      </c>
      <c r="M122" s="47" t="n"/>
      <c r="N122" s="88" t="n">
        <v>45609</v>
      </c>
      <c r="O122" s="91" t="inlineStr">
        <is>
          <t>HS &amp; LLC (OMAN)</t>
        </is>
      </c>
      <c r="P122" s="154" t="inlineStr">
        <is>
          <t>IMPORT LICENSE N. 24/1/2463/1/2024 DEL 05/05/2024                                                              AUT. ESPORTAZIONE MULTIPLA N. 6B/2024/2M RILASCIATA IL 30/07/2024   (LICENZA DI SCARICO N. 6B/2024/1S RILASCIATA IL 06/11/2024)</t>
        </is>
      </c>
      <c r="Q122" s="150" t="n"/>
      <c r="R122" s="150" t="n"/>
      <c r="S122" s="153" t="n"/>
    </row>
    <row r="123" ht="36" customHeight="1">
      <c r="A123" s="46" t="n">
        <v>2453</v>
      </c>
      <c r="B123" s="4">
        <f>+VLOOKUP($A123,MAGAZZINO!$B$2:$M$100000,2,FALSE)</f>
        <v/>
      </c>
      <c r="C123" s="29">
        <f>+VLOOKUP($A123,MAGAZZINO!$B$2:$M$100000,3,FALSE)</f>
        <v/>
      </c>
      <c r="D123" s="3">
        <f>+VLOOKUP($A123,MAGAZZINO!$B$2:$M$100000,4,FALSE)</f>
        <v/>
      </c>
      <c r="E123" s="3">
        <f>+VLOOKUP($A123,MAGAZZINO!$B$2:$M$100000,5,FALSE)</f>
        <v/>
      </c>
      <c r="F123" s="3">
        <f>+VLOOKUP($A123,MAGAZZINO!$B$2:$M$100000,6,FALSE)</f>
        <v/>
      </c>
      <c r="G123" s="3">
        <f>+VLOOKUP($A123,MAGAZZINO!$B$2:$M$100000,7,FALSE)</f>
        <v/>
      </c>
      <c r="H123" s="3">
        <f>+VLOOKUP($A123,MAGAZZINO!$B$2:$M$100000,8,FALSE)</f>
        <v/>
      </c>
      <c r="I123" s="3">
        <f>+VLOOKUP($A123,MAGAZZINO!$B$2:$M$100000,9,FALSE)</f>
        <v/>
      </c>
      <c r="J123" s="3">
        <f>+VLOOKUP($A123,MAGAZZINO!$B$2:$M$100000,10,FALSE)</f>
        <v/>
      </c>
      <c r="K123" s="3">
        <f>+VLOOKUP($A123,MAGAZZINO!$B$2:$M$100000,11,FALSE)</f>
        <v/>
      </c>
      <c r="L123" s="5">
        <f>+VLOOKUP($A123,MAGAZZINO!$B$2:$M$100000,12,FALSE)</f>
        <v/>
      </c>
      <c r="M123" s="47" t="n"/>
      <c r="N123" s="88" t="n">
        <v>45609</v>
      </c>
      <c r="O123" s="91" t="inlineStr">
        <is>
          <t>HS &amp; LLC (OMAN)</t>
        </is>
      </c>
      <c r="P123" s="154" t="inlineStr">
        <is>
          <t>IMPORT LICENSE N. 24/1/2463/1/2024 DEL 05/05/2024                                                              AUT. ESPORTAZIONE MULTIPLA N. 6B/2024/2M RILASCIATA IL 30/07/2024   (LICENZA DI SCARICO N. 6B/2024/1S RILASCIATA IL 06/11/2024)</t>
        </is>
      </c>
      <c r="Q123" s="150" t="n"/>
      <c r="R123" s="150" t="n"/>
      <c r="S123" s="153" t="n"/>
    </row>
    <row r="124" ht="36" customHeight="1">
      <c r="A124" s="46" t="n">
        <v>2454</v>
      </c>
      <c r="B124" s="4">
        <f>+VLOOKUP($A124,MAGAZZINO!$B$2:$M$100000,2,FALSE)</f>
        <v/>
      </c>
      <c r="C124" s="29">
        <f>+VLOOKUP($A124,MAGAZZINO!$B$2:$M$100000,3,FALSE)</f>
        <v/>
      </c>
      <c r="D124" s="3">
        <f>+VLOOKUP($A124,MAGAZZINO!$B$2:$M$100000,4,FALSE)</f>
        <v/>
      </c>
      <c r="E124" s="3">
        <f>+VLOOKUP($A124,MAGAZZINO!$B$2:$M$100000,5,FALSE)</f>
        <v/>
      </c>
      <c r="F124" s="3">
        <f>+VLOOKUP($A124,MAGAZZINO!$B$2:$M$100000,6,FALSE)</f>
        <v/>
      </c>
      <c r="G124" s="3">
        <f>+VLOOKUP($A124,MAGAZZINO!$B$2:$M$100000,7,FALSE)</f>
        <v/>
      </c>
      <c r="H124" s="3">
        <f>+VLOOKUP($A124,MAGAZZINO!$B$2:$M$100000,8,FALSE)</f>
        <v/>
      </c>
      <c r="I124" s="3">
        <f>+VLOOKUP($A124,MAGAZZINO!$B$2:$M$100000,9,FALSE)</f>
        <v/>
      </c>
      <c r="J124" s="3">
        <f>+VLOOKUP($A124,MAGAZZINO!$B$2:$M$100000,10,FALSE)</f>
        <v/>
      </c>
      <c r="K124" s="3">
        <f>+VLOOKUP($A124,MAGAZZINO!$B$2:$M$100000,11,FALSE)</f>
        <v/>
      </c>
      <c r="L124" s="5">
        <f>+VLOOKUP($A124,MAGAZZINO!$B$2:$M$100000,12,FALSE)</f>
        <v/>
      </c>
      <c r="M124" s="47" t="n"/>
      <c r="N124" s="88" t="n">
        <v>45609</v>
      </c>
      <c r="O124" s="91" t="inlineStr">
        <is>
          <t>HS &amp; LLC (OMAN)</t>
        </is>
      </c>
      <c r="P124" s="154" t="inlineStr">
        <is>
          <t>IMPORT LICENSE N. 24/1/2463/1/2024 DEL 05/05/2024                                                              AUT. ESPORTAZIONE MULTIPLA N. 6B/2024/2M RILASCIATA IL 30/07/2024   (LICENZA DI SCARICO N. 6B/2024/1S RILASCIATA IL 06/11/2024)</t>
        </is>
      </c>
      <c r="Q124" s="150" t="n"/>
      <c r="R124" s="150" t="n"/>
      <c r="S124" s="153" t="n"/>
    </row>
    <row r="125" ht="36" customHeight="1">
      <c r="A125" s="46" t="n">
        <v>2455</v>
      </c>
      <c r="B125" s="4">
        <f>+VLOOKUP($A125,MAGAZZINO!$B$2:$M$100000,2,FALSE)</f>
        <v/>
      </c>
      <c r="C125" s="29">
        <f>+VLOOKUP($A125,MAGAZZINO!$B$2:$M$100000,3,FALSE)</f>
        <v/>
      </c>
      <c r="D125" s="3">
        <f>+VLOOKUP($A125,MAGAZZINO!$B$2:$M$100000,4,FALSE)</f>
        <v/>
      </c>
      <c r="E125" s="3">
        <f>+VLOOKUP($A125,MAGAZZINO!$B$2:$M$100000,5,FALSE)</f>
        <v/>
      </c>
      <c r="F125" s="3">
        <f>+VLOOKUP($A125,MAGAZZINO!$B$2:$M$100000,6,FALSE)</f>
        <v/>
      </c>
      <c r="G125" s="3">
        <f>+VLOOKUP($A125,MAGAZZINO!$B$2:$M$100000,7,FALSE)</f>
        <v/>
      </c>
      <c r="H125" s="3">
        <f>+VLOOKUP($A125,MAGAZZINO!$B$2:$M$100000,8,FALSE)</f>
        <v/>
      </c>
      <c r="I125" s="3">
        <f>+VLOOKUP($A125,MAGAZZINO!$B$2:$M$100000,9,FALSE)</f>
        <v/>
      </c>
      <c r="J125" s="3">
        <f>+VLOOKUP($A125,MAGAZZINO!$B$2:$M$100000,10,FALSE)</f>
        <v/>
      </c>
      <c r="K125" s="3">
        <f>+VLOOKUP($A125,MAGAZZINO!$B$2:$M$100000,11,FALSE)</f>
        <v/>
      </c>
      <c r="L125" s="5">
        <f>+VLOOKUP($A125,MAGAZZINO!$B$2:$M$100000,12,FALSE)</f>
        <v/>
      </c>
      <c r="M125" s="47" t="n"/>
      <c r="N125" s="88" t="n">
        <v>45609</v>
      </c>
      <c r="O125" s="91" t="inlineStr">
        <is>
          <t>HS &amp; LLC (OMAN)</t>
        </is>
      </c>
      <c r="P125" s="154" t="inlineStr">
        <is>
          <t>IMPORT LICENSE N. 24/1/2463/1/2024 DEL 05/05/2024                                                              AUT. ESPORTAZIONE MULTIPLA N. 6B/2024/2M RILASCIATA IL 30/07/2024   (LICENZA DI SCARICO N. 6B/2024/1S RILASCIATA IL 06/11/2024)</t>
        </is>
      </c>
      <c r="Q125" s="150" t="n"/>
      <c r="R125" s="150" t="n"/>
      <c r="S125" s="153" t="n"/>
    </row>
    <row r="126" ht="36" customHeight="1">
      <c r="A126" s="46" t="n">
        <v>2456</v>
      </c>
      <c r="B126" s="4">
        <f>+VLOOKUP($A126,MAGAZZINO!$B$2:$M$100000,2,FALSE)</f>
        <v/>
      </c>
      <c r="C126" s="29">
        <f>+VLOOKUP($A126,MAGAZZINO!$B$2:$M$100000,3,FALSE)</f>
        <v/>
      </c>
      <c r="D126" s="3">
        <f>+VLOOKUP($A126,MAGAZZINO!$B$2:$M$100000,4,FALSE)</f>
        <v/>
      </c>
      <c r="E126" s="3">
        <f>+VLOOKUP($A126,MAGAZZINO!$B$2:$M$100000,5,FALSE)</f>
        <v/>
      </c>
      <c r="F126" s="3">
        <f>+VLOOKUP($A126,MAGAZZINO!$B$2:$M$100000,6,FALSE)</f>
        <v/>
      </c>
      <c r="G126" s="3">
        <f>+VLOOKUP($A126,MAGAZZINO!$B$2:$M$100000,7,FALSE)</f>
        <v/>
      </c>
      <c r="H126" s="3">
        <f>+VLOOKUP($A126,MAGAZZINO!$B$2:$M$100000,8,FALSE)</f>
        <v/>
      </c>
      <c r="I126" s="3">
        <f>+VLOOKUP($A126,MAGAZZINO!$B$2:$M$100000,9,FALSE)</f>
        <v/>
      </c>
      <c r="J126" s="3">
        <f>+VLOOKUP($A126,MAGAZZINO!$B$2:$M$100000,10,FALSE)</f>
        <v/>
      </c>
      <c r="K126" s="3">
        <f>+VLOOKUP($A126,MAGAZZINO!$B$2:$M$100000,11,FALSE)</f>
        <v/>
      </c>
      <c r="L126" s="5">
        <f>+VLOOKUP($A126,MAGAZZINO!$B$2:$M$100000,12,FALSE)</f>
        <v/>
      </c>
      <c r="M126" s="47" t="n"/>
      <c r="N126" s="88" t="n">
        <v>45609</v>
      </c>
      <c r="O126" s="91" t="inlineStr">
        <is>
          <t>HS &amp; LLC (OMAN)</t>
        </is>
      </c>
      <c r="P126" s="154" t="inlineStr">
        <is>
          <t>IMPORT LICENSE N. 24/1/2463/1/2024 DEL 05/05/2024                                                              AUT. ESPORTAZIONE MULTIPLA N. 6B/2024/2M RILASCIATA IL 30/07/2024   (LICENZA DI SCARICO N. 6B/2024/1S RILASCIATA IL 06/11/2024)</t>
        </is>
      </c>
      <c r="Q126" s="150" t="n"/>
      <c r="R126" s="150" t="n"/>
      <c r="S126" s="153" t="n"/>
    </row>
    <row r="127" ht="36" customHeight="1">
      <c r="A127" s="46" t="n">
        <v>2457</v>
      </c>
      <c r="B127" s="4">
        <f>+VLOOKUP($A127,MAGAZZINO!$B$2:$M$100000,2,FALSE)</f>
        <v/>
      </c>
      <c r="C127" s="29">
        <f>+VLOOKUP($A127,MAGAZZINO!$B$2:$M$100000,3,FALSE)</f>
        <v/>
      </c>
      <c r="D127" s="3">
        <f>+VLOOKUP($A127,MAGAZZINO!$B$2:$M$100000,4,FALSE)</f>
        <v/>
      </c>
      <c r="E127" s="3">
        <f>+VLOOKUP($A127,MAGAZZINO!$B$2:$M$100000,5,FALSE)</f>
        <v/>
      </c>
      <c r="F127" s="3">
        <f>+VLOOKUP($A127,MAGAZZINO!$B$2:$M$100000,6,FALSE)</f>
        <v/>
      </c>
      <c r="G127" s="3">
        <f>+VLOOKUP($A127,MAGAZZINO!$B$2:$M$100000,7,FALSE)</f>
        <v/>
      </c>
      <c r="H127" s="3">
        <f>+VLOOKUP($A127,MAGAZZINO!$B$2:$M$100000,8,FALSE)</f>
        <v/>
      </c>
      <c r="I127" s="3">
        <f>+VLOOKUP($A127,MAGAZZINO!$B$2:$M$100000,9,FALSE)</f>
        <v/>
      </c>
      <c r="J127" s="3">
        <f>+VLOOKUP($A127,MAGAZZINO!$B$2:$M$100000,10,FALSE)</f>
        <v/>
      </c>
      <c r="K127" s="3">
        <f>+VLOOKUP($A127,MAGAZZINO!$B$2:$M$100000,11,FALSE)</f>
        <v/>
      </c>
      <c r="L127" s="5">
        <f>+VLOOKUP($A127,MAGAZZINO!$B$2:$M$100000,12,FALSE)</f>
        <v/>
      </c>
      <c r="M127" s="47" t="n"/>
      <c r="N127" s="88" t="n">
        <v>45609</v>
      </c>
      <c r="O127" s="91" t="inlineStr">
        <is>
          <t>HS &amp; LLC (OMAN)</t>
        </is>
      </c>
      <c r="P127" s="154" t="inlineStr">
        <is>
          <t>IMPORT LICENSE N. 24/1/2463/1/2024 DEL 05/05/2024                                                              AUT. ESPORTAZIONE MULTIPLA N. 6B/2024/2M RILASCIATA IL 30/07/2024   (LICENZA DI SCARICO N. 6B/2024/1S RILASCIATA IL 06/11/2024)</t>
        </is>
      </c>
      <c r="Q127" s="150" t="n"/>
      <c r="R127" s="150" t="n"/>
      <c r="S127" s="153" t="n"/>
    </row>
    <row r="128" ht="36" customHeight="1">
      <c r="A128" s="46" t="n">
        <v>2458</v>
      </c>
      <c r="B128" s="4">
        <f>+VLOOKUP($A128,MAGAZZINO!$B$2:$M$100000,2,FALSE)</f>
        <v/>
      </c>
      <c r="C128" s="29">
        <f>+VLOOKUP($A128,MAGAZZINO!$B$2:$M$100000,3,FALSE)</f>
        <v/>
      </c>
      <c r="D128" s="3">
        <f>+VLOOKUP($A128,MAGAZZINO!$B$2:$M$100000,4,FALSE)</f>
        <v/>
      </c>
      <c r="E128" s="3">
        <f>+VLOOKUP($A128,MAGAZZINO!$B$2:$M$100000,5,FALSE)</f>
        <v/>
      </c>
      <c r="F128" s="3">
        <f>+VLOOKUP($A128,MAGAZZINO!$B$2:$M$100000,6,FALSE)</f>
        <v/>
      </c>
      <c r="G128" s="3">
        <f>+VLOOKUP($A128,MAGAZZINO!$B$2:$M$100000,7,FALSE)</f>
        <v/>
      </c>
      <c r="H128" s="3">
        <f>+VLOOKUP($A128,MAGAZZINO!$B$2:$M$100000,8,FALSE)</f>
        <v/>
      </c>
      <c r="I128" s="3">
        <f>+VLOOKUP($A128,MAGAZZINO!$B$2:$M$100000,9,FALSE)</f>
        <v/>
      </c>
      <c r="J128" s="3">
        <f>+VLOOKUP($A128,MAGAZZINO!$B$2:$M$100000,10,FALSE)</f>
        <v/>
      </c>
      <c r="K128" s="3">
        <f>+VLOOKUP($A128,MAGAZZINO!$B$2:$M$100000,11,FALSE)</f>
        <v/>
      </c>
      <c r="L128" s="5">
        <f>+VLOOKUP($A128,MAGAZZINO!$B$2:$M$100000,12,FALSE)</f>
        <v/>
      </c>
      <c r="M128" s="47" t="n"/>
      <c r="N128" s="88" t="n">
        <v>45609</v>
      </c>
      <c r="O128" s="91" t="inlineStr">
        <is>
          <t>HS &amp; LLC (OMAN)</t>
        </is>
      </c>
      <c r="P128" s="154" t="inlineStr">
        <is>
          <t>IMPORT LICENSE N. 24/1/2463/1/2024 DEL 05/05/2024                                                              AUT. ESPORTAZIONE MULTIPLA N. 6B/2024/2M RILASCIATA IL 30/07/2024   (LICENZA DI SCARICO N. 6B/2024/1S RILASCIATA IL 06/11/2024)</t>
        </is>
      </c>
      <c r="Q128" s="150" t="n"/>
      <c r="R128" s="150" t="n"/>
      <c r="S128" s="153" t="n"/>
    </row>
    <row r="129" ht="36" customHeight="1">
      <c r="A129" s="46" t="n">
        <v>2459</v>
      </c>
      <c r="B129" s="4">
        <f>+VLOOKUP($A129,MAGAZZINO!$B$2:$M$100000,2,FALSE)</f>
        <v/>
      </c>
      <c r="C129" s="29">
        <f>+VLOOKUP($A129,MAGAZZINO!$B$2:$M$100000,3,FALSE)</f>
        <v/>
      </c>
      <c r="D129" s="3">
        <f>+VLOOKUP($A129,MAGAZZINO!$B$2:$M$100000,4,FALSE)</f>
        <v/>
      </c>
      <c r="E129" s="3">
        <f>+VLOOKUP($A129,MAGAZZINO!$B$2:$M$100000,5,FALSE)</f>
        <v/>
      </c>
      <c r="F129" s="3">
        <f>+VLOOKUP($A129,MAGAZZINO!$B$2:$M$100000,6,FALSE)</f>
        <v/>
      </c>
      <c r="G129" s="3">
        <f>+VLOOKUP($A129,MAGAZZINO!$B$2:$M$100000,7,FALSE)</f>
        <v/>
      </c>
      <c r="H129" s="3">
        <f>+VLOOKUP($A129,MAGAZZINO!$B$2:$M$100000,8,FALSE)</f>
        <v/>
      </c>
      <c r="I129" s="3">
        <f>+VLOOKUP($A129,MAGAZZINO!$B$2:$M$100000,9,FALSE)</f>
        <v/>
      </c>
      <c r="J129" s="3">
        <f>+VLOOKUP($A129,MAGAZZINO!$B$2:$M$100000,10,FALSE)</f>
        <v/>
      </c>
      <c r="K129" s="3">
        <f>+VLOOKUP($A129,MAGAZZINO!$B$2:$M$100000,11,FALSE)</f>
        <v/>
      </c>
      <c r="L129" s="5">
        <f>+VLOOKUP($A129,MAGAZZINO!$B$2:$M$100000,12,FALSE)</f>
        <v/>
      </c>
      <c r="M129" s="47" t="n"/>
      <c r="N129" s="88" t="n">
        <v>45609</v>
      </c>
      <c r="O129" s="91" t="inlineStr">
        <is>
          <t>HS &amp; LLC (OMAN)</t>
        </is>
      </c>
      <c r="P129" s="154" t="inlineStr">
        <is>
          <t>IMPORT LICENSE N. 24/1/2463/1/2024 DEL 05/05/2024                                                              AUT. ESPORTAZIONE MULTIPLA N. 6B/2024/2M RILASCIATA IL 30/07/2024   (LICENZA DI SCARICO N. 6B/2024/1S RILASCIATA IL 06/11/2024)</t>
        </is>
      </c>
      <c r="Q129" s="150" t="n"/>
      <c r="R129" s="150" t="n"/>
      <c r="S129" s="153" t="n"/>
    </row>
    <row r="130" ht="36" customHeight="1">
      <c r="A130" s="46" t="n">
        <v>2460</v>
      </c>
      <c r="B130" s="4">
        <f>+VLOOKUP($A130,MAGAZZINO!$B$2:$M$100000,2,FALSE)</f>
        <v/>
      </c>
      <c r="C130" s="29">
        <f>+VLOOKUP($A130,MAGAZZINO!$B$2:$M$100000,3,FALSE)</f>
        <v/>
      </c>
      <c r="D130" s="3">
        <f>+VLOOKUP($A130,MAGAZZINO!$B$2:$M$100000,4,FALSE)</f>
        <v/>
      </c>
      <c r="E130" s="3">
        <f>+VLOOKUP($A130,MAGAZZINO!$B$2:$M$100000,5,FALSE)</f>
        <v/>
      </c>
      <c r="F130" s="3">
        <f>+VLOOKUP($A130,MAGAZZINO!$B$2:$M$100000,6,FALSE)</f>
        <v/>
      </c>
      <c r="G130" s="3">
        <f>+VLOOKUP($A130,MAGAZZINO!$B$2:$M$100000,7,FALSE)</f>
        <v/>
      </c>
      <c r="H130" s="3">
        <f>+VLOOKUP($A130,MAGAZZINO!$B$2:$M$100000,8,FALSE)</f>
        <v/>
      </c>
      <c r="I130" s="3">
        <f>+VLOOKUP($A130,MAGAZZINO!$B$2:$M$100000,9,FALSE)</f>
        <v/>
      </c>
      <c r="J130" s="3">
        <f>+VLOOKUP($A130,MAGAZZINO!$B$2:$M$100000,10,FALSE)</f>
        <v/>
      </c>
      <c r="K130" s="3">
        <f>+VLOOKUP($A130,MAGAZZINO!$B$2:$M$100000,11,FALSE)</f>
        <v/>
      </c>
      <c r="L130" s="5">
        <f>+VLOOKUP($A130,MAGAZZINO!$B$2:$M$100000,12,FALSE)</f>
        <v/>
      </c>
      <c r="M130" s="47" t="n"/>
      <c r="N130" s="88" t="n">
        <v>45609</v>
      </c>
      <c r="O130" s="91" t="inlineStr">
        <is>
          <t>HS &amp; LLC (OMAN)</t>
        </is>
      </c>
      <c r="P130" s="154" t="inlineStr">
        <is>
          <t>IMPORT LICENSE N. 24/1/2463/1/2024 DEL 05/05/2024                                                              AUT. ESPORTAZIONE MULTIPLA N. 6B/2024/2M RILASCIATA IL 30/07/2024   (LICENZA DI SCARICO N. 6B/2024/1S RILASCIATA IL 06/11/2024)</t>
        </is>
      </c>
      <c r="Q130" s="150" t="n"/>
      <c r="R130" s="150" t="n"/>
      <c r="S130" s="153" t="n"/>
    </row>
    <row r="131" ht="36" customHeight="1">
      <c r="A131" s="46" t="n">
        <v>2461</v>
      </c>
      <c r="B131" s="4">
        <f>+VLOOKUP($A131,MAGAZZINO!$B$2:$M$100000,2,FALSE)</f>
        <v/>
      </c>
      <c r="C131" s="29">
        <f>+VLOOKUP($A131,MAGAZZINO!$B$2:$M$100000,3,FALSE)</f>
        <v/>
      </c>
      <c r="D131" s="3">
        <f>+VLOOKUP($A131,MAGAZZINO!$B$2:$M$100000,4,FALSE)</f>
        <v/>
      </c>
      <c r="E131" s="3">
        <f>+VLOOKUP($A131,MAGAZZINO!$B$2:$M$100000,5,FALSE)</f>
        <v/>
      </c>
      <c r="F131" s="3">
        <f>+VLOOKUP($A131,MAGAZZINO!$B$2:$M$100000,6,FALSE)</f>
        <v/>
      </c>
      <c r="G131" s="3">
        <f>+VLOOKUP($A131,MAGAZZINO!$B$2:$M$100000,7,FALSE)</f>
        <v/>
      </c>
      <c r="H131" s="3">
        <f>+VLOOKUP($A131,MAGAZZINO!$B$2:$M$100000,8,FALSE)</f>
        <v/>
      </c>
      <c r="I131" s="3">
        <f>+VLOOKUP($A131,MAGAZZINO!$B$2:$M$100000,9,FALSE)</f>
        <v/>
      </c>
      <c r="J131" s="3">
        <f>+VLOOKUP($A131,MAGAZZINO!$B$2:$M$100000,10,FALSE)</f>
        <v/>
      </c>
      <c r="K131" s="3">
        <f>+VLOOKUP($A131,MAGAZZINO!$B$2:$M$100000,11,FALSE)</f>
        <v/>
      </c>
      <c r="L131" s="5">
        <f>+VLOOKUP($A131,MAGAZZINO!$B$2:$M$100000,12,FALSE)</f>
        <v/>
      </c>
      <c r="M131" s="47" t="n"/>
      <c r="N131" s="88" t="n">
        <v>45609</v>
      </c>
      <c r="O131" s="91" t="inlineStr">
        <is>
          <t>HS &amp; LLC (OMAN)</t>
        </is>
      </c>
      <c r="P131" s="154" t="inlineStr">
        <is>
          <t>IMPORT LICENSE N. 24/1/2463/1/2024 DEL 05/05/2024                                                              AUT. ESPORTAZIONE MULTIPLA N. 6B/2024/2M RILASCIATA IL 30/07/2024   (LICENZA DI SCARICO N. 6B/2024/1S RILASCIATA IL 06/11/2024)</t>
        </is>
      </c>
      <c r="Q131" s="150" t="n"/>
      <c r="R131" s="150" t="n"/>
      <c r="S131" s="153" t="n"/>
    </row>
    <row r="132" ht="36" customHeight="1">
      <c r="A132" s="46" t="n">
        <v>2462</v>
      </c>
      <c r="B132" s="4">
        <f>+VLOOKUP($A132,MAGAZZINO!$B$2:$M$100000,2,FALSE)</f>
        <v/>
      </c>
      <c r="C132" s="29">
        <f>+VLOOKUP($A132,MAGAZZINO!$B$2:$M$100000,3,FALSE)</f>
        <v/>
      </c>
      <c r="D132" s="3">
        <f>+VLOOKUP($A132,MAGAZZINO!$B$2:$M$100000,4,FALSE)</f>
        <v/>
      </c>
      <c r="E132" s="3">
        <f>+VLOOKUP($A132,MAGAZZINO!$B$2:$M$100000,5,FALSE)</f>
        <v/>
      </c>
      <c r="F132" s="3">
        <f>+VLOOKUP($A132,MAGAZZINO!$B$2:$M$100000,6,FALSE)</f>
        <v/>
      </c>
      <c r="G132" s="3">
        <f>+VLOOKUP($A132,MAGAZZINO!$B$2:$M$100000,7,FALSE)</f>
        <v/>
      </c>
      <c r="H132" s="3">
        <f>+VLOOKUP($A132,MAGAZZINO!$B$2:$M$100000,8,FALSE)</f>
        <v/>
      </c>
      <c r="I132" s="3">
        <f>+VLOOKUP($A132,MAGAZZINO!$B$2:$M$100000,9,FALSE)</f>
        <v/>
      </c>
      <c r="J132" s="3">
        <f>+VLOOKUP($A132,MAGAZZINO!$B$2:$M$100000,10,FALSE)</f>
        <v/>
      </c>
      <c r="K132" s="3">
        <f>+VLOOKUP($A132,MAGAZZINO!$B$2:$M$100000,11,FALSE)</f>
        <v/>
      </c>
      <c r="L132" s="5">
        <f>+VLOOKUP($A132,MAGAZZINO!$B$2:$M$100000,12,FALSE)</f>
        <v/>
      </c>
      <c r="M132" s="47" t="n"/>
      <c r="N132" s="88" t="n">
        <v>45609</v>
      </c>
      <c r="O132" s="91" t="inlineStr">
        <is>
          <t>HS &amp; LLC (OMAN)</t>
        </is>
      </c>
      <c r="P132" s="154" t="inlineStr">
        <is>
          <t>IMPORT LICENSE N. 24/1/2463/1/2024 DEL 05/05/2024                                                              AUT. ESPORTAZIONE MULTIPLA N. 6B/2024/2M RILASCIATA IL 30/07/2024   (LICENZA DI SCARICO N. 6B/2024/1S RILASCIATA IL 06/11/2024)</t>
        </is>
      </c>
      <c r="Q132" s="150" t="n"/>
      <c r="R132" s="150" t="n"/>
      <c r="S132" s="153" t="n"/>
    </row>
    <row r="133" ht="36" customHeight="1">
      <c r="A133" s="46" t="n">
        <v>2463</v>
      </c>
      <c r="B133" s="4">
        <f>+VLOOKUP($A133,MAGAZZINO!$B$2:$M$100000,2,FALSE)</f>
        <v/>
      </c>
      <c r="C133" s="29">
        <f>+VLOOKUP($A133,MAGAZZINO!$B$2:$M$100000,3,FALSE)</f>
        <v/>
      </c>
      <c r="D133" s="3">
        <f>+VLOOKUP($A133,MAGAZZINO!$B$2:$M$100000,4,FALSE)</f>
        <v/>
      </c>
      <c r="E133" s="3">
        <f>+VLOOKUP($A133,MAGAZZINO!$B$2:$M$100000,5,FALSE)</f>
        <v/>
      </c>
      <c r="F133" s="3">
        <f>+VLOOKUP($A133,MAGAZZINO!$B$2:$M$100000,6,FALSE)</f>
        <v/>
      </c>
      <c r="G133" s="3">
        <f>+VLOOKUP($A133,MAGAZZINO!$B$2:$M$100000,7,FALSE)</f>
        <v/>
      </c>
      <c r="H133" s="3">
        <f>+VLOOKUP($A133,MAGAZZINO!$B$2:$M$100000,8,FALSE)</f>
        <v/>
      </c>
      <c r="I133" s="3">
        <f>+VLOOKUP($A133,MAGAZZINO!$B$2:$M$100000,9,FALSE)</f>
        <v/>
      </c>
      <c r="J133" s="3">
        <f>+VLOOKUP($A133,MAGAZZINO!$B$2:$M$100000,10,FALSE)</f>
        <v/>
      </c>
      <c r="K133" s="3">
        <f>+VLOOKUP($A133,MAGAZZINO!$B$2:$M$100000,11,FALSE)</f>
        <v/>
      </c>
      <c r="L133" s="5">
        <f>+VLOOKUP($A133,MAGAZZINO!$B$2:$M$100000,12,FALSE)</f>
        <v/>
      </c>
      <c r="M133" s="47" t="n"/>
      <c r="N133" s="88" t="n">
        <v>45609</v>
      </c>
      <c r="O133" s="91" t="inlineStr">
        <is>
          <t>HS &amp; LLC (OMAN)</t>
        </is>
      </c>
      <c r="P133" s="154" t="inlineStr">
        <is>
          <t>IMPORT LICENSE N. 24/1/2463/1/2024 DEL 05/05/2024                                                              AUT. ESPORTAZIONE MULTIPLA N. 6B/2024/2M RILASCIATA IL 30/07/2024   (LICENZA DI SCARICO N. 6B/2024/1S RILASCIATA IL 06/11/2024)</t>
        </is>
      </c>
      <c r="Q133" s="150" t="n"/>
      <c r="R133" s="150" t="n"/>
      <c r="S133" s="153" t="n"/>
    </row>
    <row r="134" ht="36" customHeight="1">
      <c r="A134" s="46" t="n">
        <v>2464</v>
      </c>
      <c r="B134" s="4">
        <f>+VLOOKUP($A134,MAGAZZINO!$B$2:$M$100000,2,FALSE)</f>
        <v/>
      </c>
      <c r="C134" s="29">
        <f>+VLOOKUP($A134,MAGAZZINO!$B$2:$M$100000,3,FALSE)</f>
        <v/>
      </c>
      <c r="D134" s="3">
        <f>+VLOOKUP($A134,MAGAZZINO!$B$2:$M$100000,4,FALSE)</f>
        <v/>
      </c>
      <c r="E134" s="3">
        <f>+VLOOKUP($A134,MAGAZZINO!$B$2:$M$100000,5,FALSE)</f>
        <v/>
      </c>
      <c r="F134" s="3">
        <f>+VLOOKUP($A134,MAGAZZINO!$B$2:$M$100000,6,FALSE)</f>
        <v/>
      </c>
      <c r="G134" s="3">
        <f>+VLOOKUP($A134,MAGAZZINO!$B$2:$M$100000,7,FALSE)</f>
        <v/>
      </c>
      <c r="H134" s="3">
        <f>+VLOOKUP($A134,MAGAZZINO!$B$2:$M$100000,8,FALSE)</f>
        <v/>
      </c>
      <c r="I134" s="3">
        <f>+VLOOKUP($A134,MAGAZZINO!$B$2:$M$100000,9,FALSE)</f>
        <v/>
      </c>
      <c r="J134" s="3">
        <f>+VLOOKUP($A134,MAGAZZINO!$B$2:$M$100000,10,FALSE)</f>
        <v/>
      </c>
      <c r="K134" s="3">
        <f>+VLOOKUP($A134,MAGAZZINO!$B$2:$M$100000,11,FALSE)</f>
        <v/>
      </c>
      <c r="L134" s="5">
        <f>+VLOOKUP($A134,MAGAZZINO!$B$2:$M$100000,12,FALSE)</f>
        <v/>
      </c>
      <c r="M134" s="47" t="n"/>
      <c r="N134" s="88" t="n">
        <v>45609</v>
      </c>
      <c r="O134" s="91" t="inlineStr">
        <is>
          <t>HS &amp; LLC (OMAN)</t>
        </is>
      </c>
      <c r="P134" s="154" t="inlineStr">
        <is>
          <t>IMPORT LICENSE N. 24/1/2463/1/2024 DEL 05/05/2024                                                              AUT. ESPORTAZIONE MULTIPLA N. 6B/2024/2M RILASCIATA IL 30/07/2024   (LICENZA DI SCARICO N. 6B/2024/1S RILASCIATA IL 06/11/2024)</t>
        </is>
      </c>
      <c r="Q134" s="150" t="n"/>
      <c r="R134" s="150" t="n"/>
      <c r="S134" s="153" t="n"/>
    </row>
    <row r="135" ht="36" customHeight="1">
      <c r="A135" s="46" t="n">
        <v>2465</v>
      </c>
      <c r="B135" s="4">
        <f>+VLOOKUP($A135,MAGAZZINO!$B$2:$M$100000,2,FALSE)</f>
        <v/>
      </c>
      <c r="C135" s="29">
        <f>+VLOOKUP($A135,MAGAZZINO!$B$2:$M$100000,3,FALSE)</f>
        <v/>
      </c>
      <c r="D135" s="3">
        <f>+VLOOKUP($A135,MAGAZZINO!$B$2:$M$100000,4,FALSE)</f>
        <v/>
      </c>
      <c r="E135" s="3">
        <f>+VLOOKUP($A135,MAGAZZINO!$B$2:$M$100000,5,FALSE)</f>
        <v/>
      </c>
      <c r="F135" s="3">
        <f>+VLOOKUP($A135,MAGAZZINO!$B$2:$M$100000,6,FALSE)</f>
        <v/>
      </c>
      <c r="G135" s="3">
        <f>+VLOOKUP($A135,MAGAZZINO!$B$2:$M$100000,7,FALSE)</f>
        <v/>
      </c>
      <c r="H135" s="3">
        <f>+VLOOKUP($A135,MAGAZZINO!$B$2:$M$100000,8,FALSE)</f>
        <v/>
      </c>
      <c r="I135" s="3">
        <f>+VLOOKUP($A135,MAGAZZINO!$B$2:$M$100000,9,FALSE)</f>
        <v/>
      </c>
      <c r="J135" s="3">
        <f>+VLOOKUP($A135,MAGAZZINO!$B$2:$M$100000,10,FALSE)</f>
        <v/>
      </c>
      <c r="K135" s="3">
        <f>+VLOOKUP($A135,MAGAZZINO!$B$2:$M$100000,11,FALSE)</f>
        <v/>
      </c>
      <c r="L135" s="5">
        <f>+VLOOKUP($A135,MAGAZZINO!$B$2:$M$100000,12,FALSE)</f>
        <v/>
      </c>
      <c r="M135" s="47" t="n"/>
      <c r="N135" s="88" t="n">
        <v>45609</v>
      </c>
      <c r="O135" s="91" t="inlineStr">
        <is>
          <t>HS &amp; LLC (OMAN)</t>
        </is>
      </c>
      <c r="P135" s="154" t="inlineStr">
        <is>
          <t>IMPORT LICENSE N. 24/1/2463/1/2024 DEL 05/05/2024                                                              AUT. ESPORTAZIONE MULTIPLA N. 6B/2024/2M RILASCIATA IL 30/07/2024   (LICENZA DI SCARICO N. 6B/2024/1S RILASCIATA IL 06/11/2024)</t>
        </is>
      </c>
      <c r="Q135" s="150" t="n"/>
      <c r="R135" s="150" t="n"/>
      <c r="S135" s="153" t="n"/>
    </row>
    <row r="136" ht="36" customHeight="1">
      <c r="A136" s="46" t="n">
        <v>2466</v>
      </c>
      <c r="B136" s="4">
        <f>+VLOOKUP($A136,MAGAZZINO!$B$2:$M$100000,2,FALSE)</f>
        <v/>
      </c>
      <c r="C136" s="29">
        <f>+VLOOKUP($A136,MAGAZZINO!$B$2:$M$100000,3,FALSE)</f>
        <v/>
      </c>
      <c r="D136" s="3">
        <f>+VLOOKUP($A136,MAGAZZINO!$B$2:$M$100000,4,FALSE)</f>
        <v/>
      </c>
      <c r="E136" s="3">
        <f>+VLOOKUP($A136,MAGAZZINO!$B$2:$M$100000,5,FALSE)</f>
        <v/>
      </c>
      <c r="F136" s="3">
        <f>+VLOOKUP($A136,MAGAZZINO!$B$2:$M$100000,6,FALSE)</f>
        <v/>
      </c>
      <c r="G136" s="3">
        <f>+VLOOKUP($A136,MAGAZZINO!$B$2:$M$100000,7,FALSE)</f>
        <v/>
      </c>
      <c r="H136" s="3">
        <f>+VLOOKUP($A136,MAGAZZINO!$B$2:$M$100000,8,FALSE)</f>
        <v/>
      </c>
      <c r="I136" s="3">
        <f>+VLOOKUP($A136,MAGAZZINO!$B$2:$M$100000,9,FALSE)</f>
        <v/>
      </c>
      <c r="J136" s="3">
        <f>+VLOOKUP($A136,MAGAZZINO!$B$2:$M$100000,10,FALSE)</f>
        <v/>
      </c>
      <c r="K136" s="3">
        <f>+VLOOKUP($A136,MAGAZZINO!$B$2:$M$100000,11,FALSE)</f>
        <v/>
      </c>
      <c r="L136" s="5">
        <f>+VLOOKUP($A136,MAGAZZINO!$B$2:$M$100000,12,FALSE)</f>
        <v/>
      </c>
      <c r="M136" s="47" t="n"/>
      <c r="N136" s="88" t="n">
        <v>45609</v>
      </c>
      <c r="O136" s="91" t="inlineStr">
        <is>
          <t>HS &amp; LLC (OMAN)</t>
        </is>
      </c>
      <c r="P136" s="154" t="inlineStr">
        <is>
          <t>IMPORT LICENSE N. 24/1/2463/1/2024 DEL 05/05/2024                                                              AUT. ESPORTAZIONE MULTIPLA N. 6B/2024/2M RILASCIATA IL 30/07/2024   (LICENZA DI SCARICO N. 6B/2024/1S RILASCIATA IL 06/11/2024)</t>
        </is>
      </c>
      <c r="Q136" s="150" t="n"/>
      <c r="R136" s="150" t="n"/>
      <c r="S136" s="153" t="n"/>
    </row>
    <row r="137" ht="36" customHeight="1">
      <c r="A137" s="46" t="n">
        <v>2467</v>
      </c>
      <c r="B137" s="4">
        <f>+VLOOKUP($A137,MAGAZZINO!$B$2:$M$100000,2,FALSE)</f>
        <v/>
      </c>
      <c r="C137" s="29">
        <f>+VLOOKUP($A137,MAGAZZINO!$B$2:$M$100000,3,FALSE)</f>
        <v/>
      </c>
      <c r="D137" s="3">
        <f>+VLOOKUP($A137,MAGAZZINO!$B$2:$M$100000,4,FALSE)</f>
        <v/>
      </c>
      <c r="E137" s="3">
        <f>+VLOOKUP($A137,MAGAZZINO!$B$2:$M$100000,5,FALSE)</f>
        <v/>
      </c>
      <c r="F137" s="3">
        <f>+VLOOKUP($A137,MAGAZZINO!$B$2:$M$100000,6,FALSE)</f>
        <v/>
      </c>
      <c r="G137" s="3">
        <f>+VLOOKUP($A137,MAGAZZINO!$B$2:$M$100000,7,FALSE)</f>
        <v/>
      </c>
      <c r="H137" s="3">
        <f>+VLOOKUP($A137,MAGAZZINO!$B$2:$M$100000,8,FALSE)</f>
        <v/>
      </c>
      <c r="I137" s="3">
        <f>+VLOOKUP($A137,MAGAZZINO!$B$2:$M$100000,9,FALSE)</f>
        <v/>
      </c>
      <c r="J137" s="3">
        <f>+VLOOKUP($A137,MAGAZZINO!$B$2:$M$100000,10,FALSE)</f>
        <v/>
      </c>
      <c r="K137" s="3">
        <f>+VLOOKUP($A137,MAGAZZINO!$B$2:$M$100000,11,FALSE)</f>
        <v/>
      </c>
      <c r="L137" s="5">
        <f>+VLOOKUP($A137,MAGAZZINO!$B$2:$M$100000,12,FALSE)</f>
        <v/>
      </c>
      <c r="M137" s="47" t="n"/>
      <c r="N137" s="88" t="n">
        <v>45609</v>
      </c>
      <c r="O137" s="91" t="inlineStr">
        <is>
          <t>HS &amp; LLC (OMAN)</t>
        </is>
      </c>
      <c r="P137" s="154" t="inlineStr">
        <is>
          <t>IMPORT LICENSE N. 24/1/2463/1/2024 DEL 05/05/2024                                                              AUT. ESPORTAZIONE MULTIPLA N. 6B/2024/2M RILASCIATA IL 30/07/2024   (LICENZA DI SCARICO N. 6B/2024/1S RILASCIATA IL 06/11/2024)</t>
        </is>
      </c>
      <c r="Q137" s="150" t="n"/>
      <c r="R137" s="150" t="n"/>
      <c r="S137" s="153" t="n"/>
    </row>
    <row r="138" ht="36" customHeight="1">
      <c r="A138" s="46" t="n">
        <v>2468</v>
      </c>
      <c r="B138" s="4">
        <f>+VLOOKUP($A138,MAGAZZINO!$B$2:$M$100000,2,FALSE)</f>
        <v/>
      </c>
      <c r="C138" s="29">
        <f>+VLOOKUP($A138,MAGAZZINO!$B$2:$M$100000,3,FALSE)</f>
        <v/>
      </c>
      <c r="D138" s="3">
        <f>+VLOOKUP($A138,MAGAZZINO!$B$2:$M$100000,4,FALSE)</f>
        <v/>
      </c>
      <c r="E138" s="3">
        <f>+VLOOKUP($A138,MAGAZZINO!$B$2:$M$100000,5,FALSE)</f>
        <v/>
      </c>
      <c r="F138" s="3">
        <f>+VLOOKUP($A138,MAGAZZINO!$B$2:$M$100000,6,FALSE)</f>
        <v/>
      </c>
      <c r="G138" s="3">
        <f>+VLOOKUP($A138,MAGAZZINO!$B$2:$M$100000,7,FALSE)</f>
        <v/>
      </c>
      <c r="H138" s="3">
        <f>+VLOOKUP($A138,MAGAZZINO!$B$2:$M$100000,8,FALSE)</f>
        <v/>
      </c>
      <c r="I138" s="3">
        <f>+VLOOKUP($A138,MAGAZZINO!$B$2:$M$100000,9,FALSE)</f>
        <v/>
      </c>
      <c r="J138" s="3">
        <f>+VLOOKUP($A138,MAGAZZINO!$B$2:$M$100000,10,FALSE)</f>
        <v/>
      </c>
      <c r="K138" s="3">
        <f>+VLOOKUP($A138,MAGAZZINO!$B$2:$M$100000,11,FALSE)</f>
        <v/>
      </c>
      <c r="L138" s="5">
        <f>+VLOOKUP($A138,MAGAZZINO!$B$2:$M$100000,12,FALSE)</f>
        <v/>
      </c>
      <c r="M138" s="47" t="n"/>
      <c r="N138" s="88" t="n">
        <v>45609</v>
      </c>
      <c r="O138" s="91" t="inlineStr">
        <is>
          <t>HS &amp; LLC (OMAN)</t>
        </is>
      </c>
      <c r="P138" s="154" t="inlineStr">
        <is>
          <t>IMPORT LICENSE N. 24/1/2463/1/2024 DEL 05/05/2024                                                              AUT. ESPORTAZIONE MULTIPLA N. 6B/2024/2M RILASCIATA IL 30/07/2024   (LICENZA DI SCARICO N. 6B/2024/1S RILASCIATA IL 06/11/2024)</t>
        </is>
      </c>
      <c r="Q138" s="150" t="n"/>
      <c r="R138" s="150" t="n"/>
      <c r="S138" s="153" t="n"/>
    </row>
    <row r="139" ht="36" customHeight="1">
      <c r="A139" s="46" t="n">
        <v>2469</v>
      </c>
      <c r="B139" s="4">
        <f>+VLOOKUP($A139,MAGAZZINO!$B$2:$M$100000,2,FALSE)</f>
        <v/>
      </c>
      <c r="C139" s="29">
        <f>+VLOOKUP($A139,MAGAZZINO!$B$2:$M$100000,3,FALSE)</f>
        <v/>
      </c>
      <c r="D139" s="3">
        <f>+VLOOKUP($A139,MAGAZZINO!$B$2:$M$100000,4,FALSE)</f>
        <v/>
      </c>
      <c r="E139" s="3">
        <f>+VLOOKUP($A139,MAGAZZINO!$B$2:$M$100000,5,FALSE)</f>
        <v/>
      </c>
      <c r="F139" s="3">
        <f>+VLOOKUP($A139,MAGAZZINO!$B$2:$M$100000,6,FALSE)</f>
        <v/>
      </c>
      <c r="G139" s="3">
        <f>+VLOOKUP($A139,MAGAZZINO!$B$2:$M$100000,7,FALSE)</f>
        <v/>
      </c>
      <c r="H139" s="3">
        <f>+VLOOKUP($A139,MAGAZZINO!$B$2:$M$100000,8,FALSE)</f>
        <v/>
      </c>
      <c r="I139" s="3">
        <f>+VLOOKUP($A139,MAGAZZINO!$B$2:$M$100000,9,FALSE)</f>
        <v/>
      </c>
      <c r="J139" s="3">
        <f>+VLOOKUP($A139,MAGAZZINO!$B$2:$M$100000,10,FALSE)</f>
        <v/>
      </c>
      <c r="K139" s="3">
        <f>+VLOOKUP($A139,MAGAZZINO!$B$2:$M$100000,11,FALSE)</f>
        <v/>
      </c>
      <c r="L139" s="5">
        <f>+VLOOKUP($A139,MAGAZZINO!$B$2:$M$100000,12,FALSE)</f>
        <v/>
      </c>
      <c r="M139" s="47" t="n"/>
      <c r="N139" s="88" t="n">
        <v>45609</v>
      </c>
      <c r="O139" s="91" t="inlineStr">
        <is>
          <t>HS &amp; LLC (OMAN)</t>
        </is>
      </c>
      <c r="P139" s="154" t="inlineStr">
        <is>
          <t>IMPORT LICENSE N. 24/1/2463/1/2024 DEL 05/05/2024                                                              AUT. ESPORTAZIONE MULTIPLA N. 6B/2024/2M RILASCIATA IL 30/07/2024   (LICENZA DI SCARICO N. 6B/2024/1S RILASCIATA IL 06/11/2024)</t>
        </is>
      </c>
      <c r="Q139" s="150" t="n"/>
      <c r="R139" s="150" t="n"/>
      <c r="S139" s="153" t="n"/>
    </row>
    <row r="140" ht="36" customHeight="1">
      <c r="A140" s="46" t="n">
        <v>2470</v>
      </c>
      <c r="B140" s="4">
        <f>+VLOOKUP($A140,MAGAZZINO!$B$2:$M$100000,2,FALSE)</f>
        <v/>
      </c>
      <c r="C140" s="29">
        <f>+VLOOKUP($A140,MAGAZZINO!$B$2:$M$100000,3,FALSE)</f>
        <v/>
      </c>
      <c r="D140" s="3">
        <f>+VLOOKUP($A140,MAGAZZINO!$B$2:$M$100000,4,FALSE)</f>
        <v/>
      </c>
      <c r="E140" s="3">
        <f>+VLOOKUP($A140,MAGAZZINO!$B$2:$M$100000,5,FALSE)</f>
        <v/>
      </c>
      <c r="F140" s="3">
        <f>+VLOOKUP($A140,MAGAZZINO!$B$2:$M$100000,6,FALSE)</f>
        <v/>
      </c>
      <c r="G140" s="3">
        <f>+VLOOKUP($A140,MAGAZZINO!$B$2:$M$100000,7,FALSE)</f>
        <v/>
      </c>
      <c r="H140" s="3">
        <f>+VLOOKUP($A140,MAGAZZINO!$B$2:$M$100000,8,FALSE)</f>
        <v/>
      </c>
      <c r="I140" s="3">
        <f>+VLOOKUP($A140,MAGAZZINO!$B$2:$M$100000,9,FALSE)</f>
        <v/>
      </c>
      <c r="J140" s="3">
        <f>+VLOOKUP($A140,MAGAZZINO!$B$2:$M$100000,10,FALSE)</f>
        <v/>
      </c>
      <c r="K140" s="3">
        <f>+VLOOKUP($A140,MAGAZZINO!$B$2:$M$100000,11,FALSE)</f>
        <v/>
      </c>
      <c r="L140" s="5">
        <f>+VLOOKUP($A140,MAGAZZINO!$B$2:$M$100000,12,FALSE)</f>
        <v/>
      </c>
      <c r="M140" s="47" t="n"/>
      <c r="N140" s="88" t="n">
        <v>45609</v>
      </c>
      <c r="O140" s="91" t="inlineStr">
        <is>
          <t>HS &amp; LLC (OMAN)</t>
        </is>
      </c>
      <c r="P140" s="154" t="inlineStr">
        <is>
          <t>IMPORT LICENSE N. 24/1/2463/1/2024 DEL 05/05/2024                                                              AUT. ESPORTAZIONE MULTIPLA N. 6B/2024/2M RILASCIATA IL 30/07/2024   (LICENZA DI SCARICO N. 6B/2024/1S RILASCIATA IL 06/11/2024)</t>
        </is>
      </c>
      <c r="Q140" s="150" t="n"/>
      <c r="R140" s="150" t="n"/>
      <c r="S140" s="153" t="n"/>
    </row>
    <row r="141" ht="36" customHeight="1">
      <c r="A141" s="46" t="n">
        <v>2471</v>
      </c>
      <c r="B141" s="4">
        <f>+VLOOKUP($A141,MAGAZZINO!$B$2:$M$100000,2,FALSE)</f>
        <v/>
      </c>
      <c r="C141" s="29">
        <f>+VLOOKUP($A141,MAGAZZINO!$B$2:$M$100000,3,FALSE)</f>
        <v/>
      </c>
      <c r="D141" s="3">
        <f>+VLOOKUP($A141,MAGAZZINO!$B$2:$M$100000,4,FALSE)</f>
        <v/>
      </c>
      <c r="E141" s="3">
        <f>+VLOOKUP($A141,MAGAZZINO!$B$2:$M$100000,5,FALSE)</f>
        <v/>
      </c>
      <c r="F141" s="3">
        <f>+VLOOKUP($A141,MAGAZZINO!$B$2:$M$100000,6,FALSE)</f>
        <v/>
      </c>
      <c r="G141" s="3">
        <f>+VLOOKUP($A141,MAGAZZINO!$B$2:$M$100000,7,FALSE)</f>
        <v/>
      </c>
      <c r="H141" s="3">
        <f>+VLOOKUP($A141,MAGAZZINO!$B$2:$M$100000,8,FALSE)</f>
        <v/>
      </c>
      <c r="I141" s="3">
        <f>+VLOOKUP($A141,MAGAZZINO!$B$2:$M$100000,9,FALSE)</f>
        <v/>
      </c>
      <c r="J141" s="3">
        <f>+VLOOKUP($A141,MAGAZZINO!$B$2:$M$100000,10,FALSE)</f>
        <v/>
      </c>
      <c r="K141" s="3">
        <f>+VLOOKUP($A141,MAGAZZINO!$B$2:$M$100000,11,FALSE)</f>
        <v/>
      </c>
      <c r="L141" s="5">
        <f>+VLOOKUP($A141,MAGAZZINO!$B$2:$M$100000,12,FALSE)</f>
        <v/>
      </c>
      <c r="M141" s="47" t="n"/>
      <c r="N141" s="88" t="n">
        <v>45609</v>
      </c>
      <c r="O141" s="91" t="inlineStr">
        <is>
          <t>HS &amp; LLC (OMAN)</t>
        </is>
      </c>
      <c r="P141" s="154" t="inlineStr">
        <is>
          <t>IMPORT LICENSE N. 24/1/2463/1/2024 DEL 05/05/2024                                                              AUT. ESPORTAZIONE MULTIPLA N. 6B/2024/2M RILASCIATA IL 30/07/2024   (LICENZA DI SCARICO N. 6B/2024/1S RILASCIATA IL 06/11/2024)</t>
        </is>
      </c>
      <c r="Q141" s="150" t="n"/>
      <c r="R141" s="150" t="n"/>
      <c r="S141" s="153" t="n"/>
    </row>
    <row r="142" ht="36" customHeight="1">
      <c r="A142" s="46" t="n">
        <v>2472</v>
      </c>
      <c r="B142" s="4">
        <f>+VLOOKUP($A142,MAGAZZINO!$B$2:$M$100000,2,FALSE)</f>
        <v/>
      </c>
      <c r="C142" s="29">
        <f>+VLOOKUP($A142,MAGAZZINO!$B$2:$M$100000,3,FALSE)</f>
        <v/>
      </c>
      <c r="D142" s="3">
        <f>+VLOOKUP($A142,MAGAZZINO!$B$2:$M$100000,4,FALSE)</f>
        <v/>
      </c>
      <c r="E142" s="3">
        <f>+VLOOKUP($A142,MAGAZZINO!$B$2:$M$100000,5,FALSE)</f>
        <v/>
      </c>
      <c r="F142" s="3">
        <f>+VLOOKUP($A142,MAGAZZINO!$B$2:$M$100000,6,FALSE)</f>
        <v/>
      </c>
      <c r="G142" s="3">
        <f>+VLOOKUP($A142,MAGAZZINO!$B$2:$M$100000,7,FALSE)</f>
        <v/>
      </c>
      <c r="H142" s="3">
        <f>+VLOOKUP($A142,MAGAZZINO!$B$2:$M$100000,8,FALSE)</f>
        <v/>
      </c>
      <c r="I142" s="3">
        <f>+VLOOKUP($A142,MAGAZZINO!$B$2:$M$100000,9,FALSE)</f>
        <v/>
      </c>
      <c r="J142" s="3">
        <f>+VLOOKUP($A142,MAGAZZINO!$B$2:$M$100000,10,FALSE)</f>
        <v/>
      </c>
      <c r="K142" s="3">
        <f>+VLOOKUP($A142,MAGAZZINO!$B$2:$M$100000,11,FALSE)</f>
        <v/>
      </c>
      <c r="L142" s="5">
        <f>+VLOOKUP($A142,MAGAZZINO!$B$2:$M$100000,12,FALSE)</f>
        <v/>
      </c>
      <c r="M142" s="47" t="n"/>
      <c r="N142" s="88" t="n">
        <v>45609</v>
      </c>
      <c r="O142" s="91" t="inlineStr">
        <is>
          <t>HS &amp; LLC (OMAN)</t>
        </is>
      </c>
      <c r="P142" s="154" t="inlineStr">
        <is>
          <t>IMPORT LICENSE N. 24/1/2463/1/2024 DEL 05/05/2024                                                              AUT. ESPORTAZIONE MULTIPLA N. 6B/2024/2M RILASCIATA IL 30/07/2024   (LICENZA DI SCARICO N. 6B/2024/1S RILASCIATA IL 06/11/2024)</t>
        </is>
      </c>
      <c r="Q142" s="150" t="n"/>
      <c r="R142" s="150" t="n"/>
      <c r="S142" s="153" t="n"/>
    </row>
    <row r="143" ht="36" customHeight="1">
      <c r="A143" s="46" t="n">
        <v>2473</v>
      </c>
      <c r="B143" s="4">
        <f>+VLOOKUP($A143,MAGAZZINO!$B$2:$M$100000,2,FALSE)</f>
        <v/>
      </c>
      <c r="C143" s="29">
        <f>+VLOOKUP($A143,MAGAZZINO!$B$2:$M$100000,3,FALSE)</f>
        <v/>
      </c>
      <c r="D143" s="3">
        <f>+VLOOKUP($A143,MAGAZZINO!$B$2:$M$100000,4,FALSE)</f>
        <v/>
      </c>
      <c r="E143" s="3">
        <f>+VLOOKUP($A143,MAGAZZINO!$B$2:$M$100000,5,FALSE)</f>
        <v/>
      </c>
      <c r="F143" s="3">
        <f>+VLOOKUP($A143,MAGAZZINO!$B$2:$M$100000,6,FALSE)</f>
        <v/>
      </c>
      <c r="G143" s="3">
        <f>+VLOOKUP($A143,MAGAZZINO!$B$2:$M$100000,7,FALSE)</f>
        <v/>
      </c>
      <c r="H143" s="3">
        <f>+VLOOKUP($A143,MAGAZZINO!$B$2:$M$100000,8,FALSE)</f>
        <v/>
      </c>
      <c r="I143" s="3">
        <f>+VLOOKUP($A143,MAGAZZINO!$B$2:$M$100000,9,FALSE)</f>
        <v/>
      </c>
      <c r="J143" s="3">
        <f>+VLOOKUP($A143,MAGAZZINO!$B$2:$M$100000,10,FALSE)</f>
        <v/>
      </c>
      <c r="K143" s="3">
        <f>+VLOOKUP($A143,MAGAZZINO!$B$2:$M$100000,11,FALSE)</f>
        <v/>
      </c>
      <c r="L143" s="5">
        <f>+VLOOKUP($A143,MAGAZZINO!$B$2:$M$100000,12,FALSE)</f>
        <v/>
      </c>
      <c r="M143" s="47" t="n"/>
      <c r="N143" s="88" t="n">
        <v>45609</v>
      </c>
      <c r="O143" s="91" t="inlineStr">
        <is>
          <t>HS &amp; LLC (OMAN)</t>
        </is>
      </c>
      <c r="P143" s="154" t="inlineStr">
        <is>
          <t>IMPORT LICENSE N. 24/1/2463/1/2024 DEL 05/05/2024                                                              AUT. ESPORTAZIONE MULTIPLA N. 6B/2024/2M RILASCIATA IL 30/07/2024   (LICENZA DI SCARICO N. 6B/2024/1S RILASCIATA IL 06/11/2024)</t>
        </is>
      </c>
      <c r="Q143" s="150" t="n"/>
      <c r="R143" s="150" t="n"/>
      <c r="S143" s="153" t="n"/>
    </row>
    <row r="144" ht="36" customHeight="1">
      <c r="A144" s="46" t="n">
        <v>2474</v>
      </c>
      <c r="B144" s="4">
        <f>+VLOOKUP($A144,MAGAZZINO!$B$2:$M$100000,2,FALSE)</f>
        <v/>
      </c>
      <c r="C144" s="29">
        <f>+VLOOKUP($A144,MAGAZZINO!$B$2:$M$100000,3,FALSE)</f>
        <v/>
      </c>
      <c r="D144" s="3">
        <f>+VLOOKUP($A144,MAGAZZINO!$B$2:$M$100000,4,FALSE)</f>
        <v/>
      </c>
      <c r="E144" s="3">
        <f>+VLOOKUP($A144,MAGAZZINO!$B$2:$M$100000,5,FALSE)</f>
        <v/>
      </c>
      <c r="F144" s="3">
        <f>+VLOOKUP($A144,MAGAZZINO!$B$2:$M$100000,6,FALSE)</f>
        <v/>
      </c>
      <c r="G144" s="3">
        <f>+VLOOKUP($A144,MAGAZZINO!$B$2:$M$100000,7,FALSE)</f>
        <v/>
      </c>
      <c r="H144" s="3">
        <f>+VLOOKUP($A144,MAGAZZINO!$B$2:$M$100000,8,FALSE)</f>
        <v/>
      </c>
      <c r="I144" s="3">
        <f>+VLOOKUP($A144,MAGAZZINO!$B$2:$M$100000,9,FALSE)</f>
        <v/>
      </c>
      <c r="J144" s="3">
        <f>+VLOOKUP($A144,MAGAZZINO!$B$2:$M$100000,10,FALSE)</f>
        <v/>
      </c>
      <c r="K144" s="3">
        <f>+VLOOKUP($A144,MAGAZZINO!$B$2:$M$100000,11,FALSE)</f>
        <v/>
      </c>
      <c r="L144" s="5">
        <f>+VLOOKUP($A144,MAGAZZINO!$B$2:$M$100000,12,FALSE)</f>
        <v/>
      </c>
      <c r="M144" s="47" t="n"/>
      <c r="N144" s="88" t="n">
        <v>45609</v>
      </c>
      <c r="O144" s="91" t="inlineStr">
        <is>
          <t>HS &amp; LLC (OMAN)</t>
        </is>
      </c>
      <c r="P144" s="154" t="inlineStr">
        <is>
          <t>IMPORT LICENSE N. 24/1/2463/1/2024 DEL 05/05/2024                                                              AUT. ESPORTAZIONE MULTIPLA N. 6B/2024/2M RILASCIATA IL 30/07/2024   (LICENZA DI SCARICO N. 6B/2024/1S RILASCIATA IL 06/11/2024)</t>
        </is>
      </c>
      <c r="Q144" s="150" t="n"/>
      <c r="R144" s="150" t="n"/>
      <c r="S144" s="153" t="n"/>
    </row>
    <row r="145" ht="36" customHeight="1">
      <c r="A145" s="46" t="n">
        <v>2475</v>
      </c>
      <c r="B145" s="4">
        <f>+VLOOKUP($A145,MAGAZZINO!$B$2:$M$100000,2,FALSE)</f>
        <v/>
      </c>
      <c r="C145" s="29">
        <f>+VLOOKUP($A145,MAGAZZINO!$B$2:$M$100000,3,FALSE)</f>
        <v/>
      </c>
      <c r="D145" s="3">
        <f>+VLOOKUP($A145,MAGAZZINO!$B$2:$M$100000,4,FALSE)</f>
        <v/>
      </c>
      <c r="E145" s="3">
        <f>+VLOOKUP($A145,MAGAZZINO!$B$2:$M$100000,5,FALSE)</f>
        <v/>
      </c>
      <c r="F145" s="3">
        <f>+VLOOKUP($A145,MAGAZZINO!$B$2:$M$100000,6,FALSE)</f>
        <v/>
      </c>
      <c r="G145" s="3">
        <f>+VLOOKUP($A145,MAGAZZINO!$B$2:$M$100000,7,FALSE)</f>
        <v/>
      </c>
      <c r="H145" s="3">
        <f>+VLOOKUP($A145,MAGAZZINO!$B$2:$M$100000,8,FALSE)</f>
        <v/>
      </c>
      <c r="I145" s="3">
        <f>+VLOOKUP($A145,MAGAZZINO!$B$2:$M$100000,9,FALSE)</f>
        <v/>
      </c>
      <c r="J145" s="3">
        <f>+VLOOKUP($A145,MAGAZZINO!$B$2:$M$100000,10,FALSE)</f>
        <v/>
      </c>
      <c r="K145" s="3">
        <f>+VLOOKUP($A145,MAGAZZINO!$B$2:$M$100000,11,FALSE)</f>
        <v/>
      </c>
      <c r="L145" s="5">
        <f>+VLOOKUP($A145,MAGAZZINO!$B$2:$M$100000,12,FALSE)</f>
        <v/>
      </c>
      <c r="M145" s="47" t="n"/>
      <c r="N145" s="88" t="n">
        <v>45609</v>
      </c>
      <c r="O145" s="91" t="inlineStr">
        <is>
          <t>HS &amp; LLC (OMAN)</t>
        </is>
      </c>
      <c r="P145" s="154" t="inlineStr">
        <is>
          <t>IMPORT LICENSE N. 24/1/2463/1/2024 DEL 05/05/2024                                                              AUT. ESPORTAZIONE MULTIPLA N. 6B/2024/2M RILASCIATA IL 30/07/2024   (LICENZA DI SCARICO N. 6B/2024/1S RILASCIATA IL 06/11/2024)</t>
        </is>
      </c>
      <c r="Q145" s="150" t="n"/>
      <c r="R145" s="150" t="n"/>
      <c r="S145" s="153" t="n"/>
    </row>
    <row r="146" ht="36" customHeight="1">
      <c r="A146" s="46" t="n">
        <v>2476</v>
      </c>
      <c r="B146" s="4">
        <f>+VLOOKUP($A146,MAGAZZINO!$B$2:$M$100000,2,FALSE)</f>
        <v/>
      </c>
      <c r="C146" s="29">
        <f>+VLOOKUP($A146,MAGAZZINO!$B$2:$M$100000,3,FALSE)</f>
        <v/>
      </c>
      <c r="D146" s="3">
        <f>+VLOOKUP($A146,MAGAZZINO!$B$2:$M$100000,4,FALSE)</f>
        <v/>
      </c>
      <c r="E146" s="3">
        <f>+VLOOKUP($A146,MAGAZZINO!$B$2:$M$100000,5,FALSE)</f>
        <v/>
      </c>
      <c r="F146" s="3">
        <f>+VLOOKUP($A146,MAGAZZINO!$B$2:$M$100000,6,FALSE)</f>
        <v/>
      </c>
      <c r="G146" s="3">
        <f>+VLOOKUP($A146,MAGAZZINO!$B$2:$M$100000,7,FALSE)</f>
        <v/>
      </c>
      <c r="H146" s="3">
        <f>+VLOOKUP($A146,MAGAZZINO!$B$2:$M$100000,8,FALSE)</f>
        <v/>
      </c>
      <c r="I146" s="3">
        <f>+VLOOKUP($A146,MAGAZZINO!$B$2:$M$100000,9,FALSE)</f>
        <v/>
      </c>
      <c r="J146" s="3">
        <f>+VLOOKUP($A146,MAGAZZINO!$B$2:$M$100000,10,FALSE)</f>
        <v/>
      </c>
      <c r="K146" s="3">
        <f>+VLOOKUP($A146,MAGAZZINO!$B$2:$M$100000,11,FALSE)</f>
        <v/>
      </c>
      <c r="L146" s="5">
        <f>+VLOOKUP($A146,MAGAZZINO!$B$2:$M$100000,12,FALSE)</f>
        <v/>
      </c>
      <c r="M146" s="47" t="n"/>
      <c r="N146" s="90" t="n"/>
      <c r="O146" s="91" t="n"/>
      <c r="P146" s="156" t="n"/>
      <c r="Q146" s="150" t="n"/>
      <c r="R146" s="150" t="n"/>
      <c r="S146" s="153" t="n"/>
    </row>
    <row r="147" ht="36" customHeight="1">
      <c r="A147" s="46" t="n">
        <v>2477</v>
      </c>
      <c r="B147" s="4">
        <f>+VLOOKUP($A147,MAGAZZINO!$B$2:$M$100000,2,FALSE)</f>
        <v/>
      </c>
      <c r="C147" s="29">
        <f>+VLOOKUP($A147,MAGAZZINO!$B$2:$M$100000,3,FALSE)</f>
        <v/>
      </c>
      <c r="D147" s="3">
        <f>+VLOOKUP($A147,MAGAZZINO!$B$2:$M$100000,4,FALSE)</f>
        <v/>
      </c>
      <c r="E147" s="3">
        <f>+VLOOKUP($A147,MAGAZZINO!$B$2:$M$100000,5,FALSE)</f>
        <v/>
      </c>
      <c r="F147" s="3">
        <f>+VLOOKUP($A147,MAGAZZINO!$B$2:$M$100000,6,FALSE)</f>
        <v/>
      </c>
      <c r="G147" s="3">
        <f>+VLOOKUP($A147,MAGAZZINO!$B$2:$M$100000,7,FALSE)</f>
        <v/>
      </c>
      <c r="H147" s="3">
        <f>+VLOOKUP($A147,MAGAZZINO!$B$2:$M$100000,8,FALSE)</f>
        <v/>
      </c>
      <c r="I147" s="3">
        <f>+VLOOKUP($A147,MAGAZZINO!$B$2:$M$100000,9,FALSE)</f>
        <v/>
      </c>
      <c r="J147" s="3">
        <f>+VLOOKUP($A147,MAGAZZINO!$B$2:$M$100000,10,FALSE)</f>
        <v/>
      </c>
      <c r="K147" s="3">
        <f>+VLOOKUP($A147,MAGAZZINO!$B$2:$M$100000,11,FALSE)</f>
        <v/>
      </c>
      <c r="L147" s="5">
        <f>+VLOOKUP($A147,MAGAZZINO!$B$2:$M$100000,12,FALSE)</f>
        <v/>
      </c>
      <c r="M147" s="47" t="n"/>
      <c r="N147" s="90" t="n"/>
      <c r="O147" s="91" t="n"/>
      <c r="P147" s="156" t="n"/>
      <c r="Q147" s="150" t="n"/>
      <c r="R147" s="150" t="n"/>
      <c r="S147" s="153" t="n"/>
    </row>
    <row r="148" ht="36" customHeight="1">
      <c r="A148" s="46" t="n">
        <v>2478</v>
      </c>
      <c r="B148" s="4">
        <f>+VLOOKUP($A148,MAGAZZINO!$B$2:$M$100000,2,FALSE)</f>
        <v/>
      </c>
      <c r="C148" s="29">
        <f>+VLOOKUP($A148,MAGAZZINO!$B$2:$M$100000,3,FALSE)</f>
        <v/>
      </c>
      <c r="D148" s="3">
        <f>+VLOOKUP($A148,MAGAZZINO!$B$2:$M$100000,4,FALSE)</f>
        <v/>
      </c>
      <c r="E148" s="3">
        <f>+VLOOKUP($A148,MAGAZZINO!$B$2:$M$100000,5,FALSE)</f>
        <v/>
      </c>
      <c r="F148" s="3">
        <f>+VLOOKUP($A148,MAGAZZINO!$B$2:$M$100000,6,FALSE)</f>
        <v/>
      </c>
      <c r="G148" s="3">
        <f>+VLOOKUP($A148,MAGAZZINO!$B$2:$M$100000,7,FALSE)</f>
        <v/>
      </c>
      <c r="H148" s="3">
        <f>+VLOOKUP($A148,MAGAZZINO!$B$2:$M$100000,8,FALSE)</f>
        <v/>
      </c>
      <c r="I148" s="3">
        <f>+VLOOKUP($A148,MAGAZZINO!$B$2:$M$100000,9,FALSE)</f>
        <v/>
      </c>
      <c r="J148" s="3">
        <f>+VLOOKUP($A148,MAGAZZINO!$B$2:$M$100000,10,FALSE)</f>
        <v/>
      </c>
      <c r="K148" s="3">
        <f>+VLOOKUP($A148,MAGAZZINO!$B$2:$M$100000,11,FALSE)</f>
        <v/>
      </c>
      <c r="L148" s="5">
        <f>+VLOOKUP($A148,MAGAZZINO!$B$2:$M$100000,12,FALSE)</f>
        <v/>
      </c>
      <c r="M148" s="47" t="n"/>
      <c r="N148" s="90" t="n"/>
      <c r="O148" s="91" t="n"/>
      <c r="P148" s="156" t="n"/>
      <c r="Q148" s="150" t="n"/>
      <c r="R148" s="150" t="n"/>
      <c r="S148" s="153" t="n"/>
    </row>
    <row r="149" ht="36" customHeight="1">
      <c r="A149" s="46" t="n">
        <v>2479</v>
      </c>
      <c r="B149" s="4">
        <f>+VLOOKUP($A149,MAGAZZINO!$B$2:$M$100000,2,FALSE)</f>
        <v/>
      </c>
      <c r="C149" s="29">
        <f>+VLOOKUP($A149,MAGAZZINO!$B$2:$M$100000,3,FALSE)</f>
        <v/>
      </c>
      <c r="D149" s="3">
        <f>+VLOOKUP($A149,MAGAZZINO!$B$2:$M$100000,4,FALSE)</f>
        <v/>
      </c>
      <c r="E149" s="3">
        <f>+VLOOKUP($A149,MAGAZZINO!$B$2:$M$100000,5,FALSE)</f>
        <v/>
      </c>
      <c r="F149" s="3">
        <f>+VLOOKUP($A149,MAGAZZINO!$B$2:$M$100000,6,FALSE)</f>
        <v/>
      </c>
      <c r="G149" s="3">
        <f>+VLOOKUP($A149,MAGAZZINO!$B$2:$M$100000,7,FALSE)</f>
        <v/>
      </c>
      <c r="H149" s="3">
        <f>+VLOOKUP($A149,MAGAZZINO!$B$2:$M$100000,8,FALSE)</f>
        <v/>
      </c>
      <c r="I149" s="3">
        <f>+VLOOKUP($A149,MAGAZZINO!$B$2:$M$100000,9,FALSE)</f>
        <v/>
      </c>
      <c r="J149" s="3">
        <f>+VLOOKUP($A149,MAGAZZINO!$B$2:$M$100000,10,FALSE)</f>
        <v/>
      </c>
      <c r="K149" s="3">
        <f>+VLOOKUP($A149,MAGAZZINO!$B$2:$M$100000,11,FALSE)</f>
        <v/>
      </c>
      <c r="L149" s="5">
        <f>+VLOOKUP($A149,MAGAZZINO!$B$2:$M$100000,12,FALSE)</f>
        <v/>
      </c>
      <c r="M149" s="47" t="n"/>
      <c r="N149" s="90" t="n"/>
      <c r="O149" s="91" t="n"/>
      <c r="P149" s="156" t="n"/>
      <c r="Q149" s="150" t="n"/>
      <c r="R149" s="150" t="n"/>
      <c r="S149" s="153" t="n"/>
    </row>
    <row r="150" ht="36" customHeight="1">
      <c r="A150" s="46" t="n">
        <v>2480</v>
      </c>
      <c r="B150" s="4">
        <f>+VLOOKUP($A150,MAGAZZINO!$B$2:$M$100000,2,FALSE)</f>
        <v/>
      </c>
      <c r="C150" s="29">
        <f>+VLOOKUP($A150,MAGAZZINO!$B$2:$M$100000,3,FALSE)</f>
        <v/>
      </c>
      <c r="D150" s="3">
        <f>+VLOOKUP($A150,MAGAZZINO!$B$2:$M$100000,4,FALSE)</f>
        <v/>
      </c>
      <c r="E150" s="3">
        <f>+VLOOKUP($A150,MAGAZZINO!$B$2:$M$100000,5,FALSE)</f>
        <v/>
      </c>
      <c r="F150" s="3">
        <f>+VLOOKUP($A150,MAGAZZINO!$B$2:$M$100000,6,FALSE)</f>
        <v/>
      </c>
      <c r="G150" s="3">
        <f>+VLOOKUP($A150,MAGAZZINO!$B$2:$M$100000,7,FALSE)</f>
        <v/>
      </c>
      <c r="H150" s="3">
        <f>+VLOOKUP($A150,MAGAZZINO!$B$2:$M$100000,8,FALSE)</f>
        <v/>
      </c>
      <c r="I150" s="3">
        <f>+VLOOKUP($A150,MAGAZZINO!$B$2:$M$100000,9,FALSE)</f>
        <v/>
      </c>
      <c r="J150" s="3">
        <f>+VLOOKUP($A150,MAGAZZINO!$B$2:$M$100000,10,FALSE)</f>
        <v/>
      </c>
      <c r="K150" s="3">
        <f>+VLOOKUP($A150,MAGAZZINO!$B$2:$M$100000,11,FALSE)</f>
        <v/>
      </c>
      <c r="L150" s="5">
        <f>+VLOOKUP($A150,MAGAZZINO!$B$2:$M$100000,12,FALSE)</f>
        <v/>
      </c>
      <c r="M150" s="47" t="n"/>
      <c r="N150" s="90" t="n"/>
      <c r="O150" s="91" t="n"/>
      <c r="P150" s="156" t="n"/>
      <c r="Q150" s="150" t="n"/>
      <c r="R150" s="150" t="n"/>
      <c r="S150" s="153" t="n"/>
    </row>
    <row r="151" ht="36" customHeight="1">
      <c r="A151" s="46" t="n">
        <v>2481</v>
      </c>
      <c r="B151" s="4">
        <f>+VLOOKUP($A151,MAGAZZINO!$B$2:$M$100000,2,FALSE)</f>
        <v/>
      </c>
      <c r="C151" s="29">
        <f>+VLOOKUP($A151,MAGAZZINO!$B$2:$M$100000,3,FALSE)</f>
        <v/>
      </c>
      <c r="D151" s="3">
        <f>+VLOOKUP($A151,MAGAZZINO!$B$2:$M$100000,4,FALSE)</f>
        <v/>
      </c>
      <c r="E151" s="3">
        <f>+VLOOKUP($A151,MAGAZZINO!$B$2:$M$100000,5,FALSE)</f>
        <v/>
      </c>
      <c r="F151" s="3">
        <f>+VLOOKUP($A151,MAGAZZINO!$B$2:$M$100000,6,FALSE)</f>
        <v/>
      </c>
      <c r="G151" s="3">
        <f>+VLOOKUP($A151,MAGAZZINO!$B$2:$M$100000,7,FALSE)</f>
        <v/>
      </c>
      <c r="H151" s="3">
        <f>+VLOOKUP($A151,MAGAZZINO!$B$2:$M$100000,8,FALSE)</f>
        <v/>
      </c>
      <c r="I151" s="3">
        <f>+VLOOKUP($A151,MAGAZZINO!$B$2:$M$100000,9,FALSE)</f>
        <v/>
      </c>
      <c r="J151" s="3">
        <f>+VLOOKUP($A151,MAGAZZINO!$B$2:$M$100000,10,FALSE)</f>
        <v/>
      </c>
      <c r="K151" s="3">
        <f>+VLOOKUP($A151,MAGAZZINO!$B$2:$M$100000,11,FALSE)</f>
        <v/>
      </c>
      <c r="L151" s="5">
        <f>+VLOOKUP($A151,MAGAZZINO!$B$2:$M$100000,12,FALSE)</f>
        <v/>
      </c>
      <c r="M151" s="47" t="n"/>
      <c r="N151" s="90" t="n"/>
      <c r="O151" s="91" t="n"/>
      <c r="P151" s="156" t="n"/>
      <c r="Q151" s="150" t="n"/>
      <c r="R151" s="150" t="n"/>
      <c r="S151" s="153" t="n"/>
    </row>
    <row r="152" ht="36" customHeight="1">
      <c r="A152" s="46" t="n">
        <v>2482</v>
      </c>
      <c r="B152" s="4">
        <f>+VLOOKUP($A152,MAGAZZINO!$B$2:$M$100000,2,FALSE)</f>
        <v/>
      </c>
      <c r="C152" s="29">
        <f>+VLOOKUP($A152,MAGAZZINO!$B$2:$M$100000,3,FALSE)</f>
        <v/>
      </c>
      <c r="D152" s="3">
        <f>+VLOOKUP($A152,MAGAZZINO!$B$2:$M$100000,4,FALSE)</f>
        <v/>
      </c>
      <c r="E152" s="3">
        <f>+VLOOKUP($A152,MAGAZZINO!$B$2:$M$100000,5,FALSE)</f>
        <v/>
      </c>
      <c r="F152" s="3">
        <f>+VLOOKUP($A152,MAGAZZINO!$B$2:$M$100000,6,FALSE)</f>
        <v/>
      </c>
      <c r="G152" s="3">
        <f>+VLOOKUP($A152,MAGAZZINO!$B$2:$M$100000,7,FALSE)</f>
        <v/>
      </c>
      <c r="H152" s="3">
        <f>+VLOOKUP($A152,MAGAZZINO!$B$2:$M$100000,8,FALSE)</f>
        <v/>
      </c>
      <c r="I152" s="3">
        <f>+VLOOKUP($A152,MAGAZZINO!$B$2:$M$100000,9,FALSE)</f>
        <v/>
      </c>
      <c r="J152" s="3">
        <f>+VLOOKUP($A152,MAGAZZINO!$B$2:$M$100000,10,FALSE)</f>
        <v/>
      </c>
      <c r="K152" s="3">
        <f>+VLOOKUP($A152,MAGAZZINO!$B$2:$M$100000,11,FALSE)</f>
        <v/>
      </c>
      <c r="L152" s="5">
        <f>+VLOOKUP($A152,MAGAZZINO!$B$2:$M$100000,12,FALSE)</f>
        <v/>
      </c>
      <c r="M152" s="47" t="n"/>
      <c r="N152" s="90" t="n"/>
      <c r="O152" s="91" t="n"/>
      <c r="P152" s="156" t="n"/>
      <c r="Q152" s="150" t="n"/>
      <c r="R152" s="150" t="n"/>
      <c r="S152" s="153" t="n"/>
    </row>
    <row r="153" ht="36" customHeight="1">
      <c r="A153" s="46" t="n">
        <v>2483</v>
      </c>
      <c r="B153" s="4">
        <f>+VLOOKUP($A153,MAGAZZINO!$B$2:$M$100000,2,FALSE)</f>
        <v/>
      </c>
      <c r="C153" s="29">
        <f>+VLOOKUP($A153,MAGAZZINO!$B$2:$M$100000,3,FALSE)</f>
        <v/>
      </c>
      <c r="D153" s="3">
        <f>+VLOOKUP($A153,MAGAZZINO!$B$2:$M$100000,4,FALSE)</f>
        <v/>
      </c>
      <c r="E153" s="3">
        <f>+VLOOKUP($A153,MAGAZZINO!$B$2:$M$100000,5,FALSE)</f>
        <v/>
      </c>
      <c r="F153" s="3">
        <f>+VLOOKUP($A153,MAGAZZINO!$B$2:$M$100000,6,FALSE)</f>
        <v/>
      </c>
      <c r="G153" s="3">
        <f>+VLOOKUP($A153,MAGAZZINO!$B$2:$M$100000,7,FALSE)</f>
        <v/>
      </c>
      <c r="H153" s="3">
        <f>+VLOOKUP($A153,MAGAZZINO!$B$2:$M$100000,8,FALSE)</f>
        <v/>
      </c>
      <c r="I153" s="3">
        <f>+VLOOKUP($A153,MAGAZZINO!$B$2:$M$100000,9,FALSE)</f>
        <v/>
      </c>
      <c r="J153" s="3">
        <f>+VLOOKUP($A153,MAGAZZINO!$B$2:$M$100000,10,FALSE)</f>
        <v/>
      </c>
      <c r="K153" s="3">
        <f>+VLOOKUP($A153,MAGAZZINO!$B$2:$M$100000,11,FALSE)</f>
        <v/>
      </c>
      <c r="L153" s="5">
        <f>+VLOOKUP($A153,MAGAZZINO!$B$2:$M$100000,12,FALSE)</f>
        <v/>
      </c>
      <c r="M153" s="47" t="n"/>
      <c r="N153" s="90" t="n"/>
      <c r="O153" s="91" t="n"/>
      <c r="P153" s="156" t="n"/>
      <c r="Q153" s="150" t="n"/>
      <c r="R153" s="150" t="n"/>
      <c r="S153" s="153" t="n"/>
    </row>
    <row r="154" ht="36" customHeight="1">
      <c r="A154" s="46" t="n">
        <v>2484</v>
      </c>
      <c r="B154" s="4">
        <f>+VLOOKUP($A154,MAGAZZINO!$B$2:$M$100000,2,FALSE)</f>
        <v/>
      </c>
      <c r="C154" s="29">
        <f>+VLOOKUP($A154,MAGAZZINO!$B$2:$M$100000,3,FALSE)</f>
        <v/>
      </c>
      <c r="D154" s="3">
        <f>+VLOOKUP($A154,MAGAZZINO!$B$2:$M$100000,4,FALSE)</f>
        <v/>
      </c>
      <c r="E154" s="3">
        <f>+VLOOKUP($A154,MAGAZZINO!$B$2:$M$100000,5,FALSE)</f>
        <v/>
      </c>
      <c r="F154" s="3">
        <f>+VLOOKUP($A154,MAGAZZINO!$B$2:$M$100000,6,FALSE)</f>
        <v/>
      </c>
      <c r="G154" s="3">
        <f>+VLOOKUP($A154,MAGAZZINO!$B$2:$M$100000,7,FALSE)</f>
        <v/>
      </c>
      <c r="H154" s="3">
        <f>+VLOOKUP($A154,MAGAZZINO!$B$2:$M$100000,8,FALSE)</f>
        <v/>
      </c>
      <c r="I154" s="3">
        <f>+VLOOKUP($A154,MAGAZZINO!$B$2:$M$100000,9,FALSE)</f>
        <v/>
      </c>
      <c r="J154" s="3">
        <f>+VLOOKUP($A154,MAGAZZINO!$B$2:$M$100000,10,FALSE)</f>
        <v/>
      </c>
      <c r="K154" s="3">
        <f>+VLOOKUP($A154,MAGAZZINO!$B$2:$M$100000,11,FALSE)</f>
        <v/>
      </c>
      <c r="L154" s="5">
        <f>+VLOOKUP($A154,MAGAZZINO!$B$2:$M$100000,12,FALSE)</f>
        <v/>
      </c>
      <c r="M154" s="47" t="n"/>
      <c r="N154" s="90" t="n"/>
      <c r="O154" s="91" t="n"/>
      <c r="P154" s="156" t="n"/>
      <c r="Q154" s="150" t="n"/>
      <c r="R154" s="150" t="n"/>
      <c r="S154" s="153" t="n"/>
    </row>
    <row r="155" ht="36" customHeight="1">
      <c r="A155" s="46" t="n">
        <v>2485</v>
      </c>
      <c r="B155" s="4">
        <f>+VLOOKUP($A155,MAGAZZINO!$B$2:$M$100000,2,FALSE)</f>
        <v/>
      </c>
      <c r="C155" s="29">
        <f>+VLOOKUP($A155,MAGAZZINO!$B$2:$M$100000,3,FALSE)</f>
        <v/>
      </c>
      <c r="D155" s="3">
        <f>+VLOOKUP($A155,MAGAZZINO!$B$2:$M$100000,4,FALSE)</f>
        <v/>
      </c>
      <c r="E155" s="3">
        <f>+VLOOKUP($A155,MAGAZZINO!$B$2:$M$100000,5,FALSE)</f>
        <v/>
      </c>
      <c r="F155" s="3">
        <f>+VLOOKUP($A155,MAGAZZINO!$B$2:$M$100000,6,FALSE)</f>
        <v/>
      </c>
      <c r="G155" s="3">
        <f>+VLOOKUP($A155,MAGAZZINO!$B$2:$M$100000,7,FALSE)</f>
        <v/>
      </c>
      <c r="H155" s="3">
        <f>+VLOOKUP($A155,MAGAZZINO!$B$2:$M$100000,8,FALSE)</f>
        <v/>
      </c>
      <c r="I155" s="3">
        <f>+VLOOKUP($A155,MAGAZZINO!$B$2:$M$100000,9,FALSE)</f>
        <v/>
      </c>
      <c r="J155" s="3">
        <f>+VLOOKUP($A155,MAGAZZINO!$B$2:$M$100000,10,FALSE)</f>
        <v/>
      </c>
      <c r="K155" s="3">
        <f>+VLOOKUP($A155,MAGAZZINO!$B$2:$M$100000,11,FALSE)</f>
        <v/>
      </c>
      <c r="L155" s="5">
        <f>+VLOOKUP($A155,MAGAZZINO!$B$2:$M$100000,12,FALSE)</f>
        <v/>
      </c>
      <c r="M155" s="47" t="n"/>
      <c r="N155" s="90" t="n"/>
      <c r="O155" s="91" t="n"/>
      <c r="P155" s="156" t="n"/>
      <c r="Q155" s="150" t="n"/>
      <c r="R155" s="150" t="n"/>
      <c r="S155" s="153" t="n"/>
    </row>
    <row r="156" ht="36" customHeight="1">
      <c r="A156" s="46" t="n">
        <v>2486</v>
      </c>
      <c r="B156" s="4">
        <f>+VLOOKUP($A156,MAGAZZINO!$B$2:$M$100000,2,FALSE)</f>
        <v/>
      </c>
      <c r="C156" s="29">
        <f>+VLOOKUP($A156,MAGAZZINO!$B$2:$M$100000,3,FALSE)</f>
        <v/>
      </c>
      <c r="D156" s="3">
        <f>+VLOOKUP($A156,MAGAZZINO!$B$2:$M$100000,4,FALSE)</f>
        <v/>
      </c>
      <c r="E156" s="3">
        <f>+VLOOKUP($A156,MAGAZZINO!$B$2:$M$100000,5,FALSE)</f>
        <v/>
      </c>
      <c r="F156" s="3">
        <f>+VLOOKUP($A156,MAGAZZINO!$B$2:$M$100000,6,FALSE)</f>
        <v/>
      </c>
      <c r="G156" s="3">
        <f>+VLOOKUP($A156,MAGAZZINO!$B$2:$M$100000,7,FALSE)</f>
        <v/>
      </c>
      <c r="H156" s="3">
        <f>+VLOOKUP($A156,MAGAZZINO!$B$2:$M$100000,8,FALSE)</f>
        <v/>
      </c>
      <c r="I156" s="3">
        <f>+VLOOKUP($A156,MAGAZZINO!$B$2:$M$100000,9,FALSE)</f>
        <v/>
      </c>
      <c r="J156" s="3">
        <f>+VLOOKUP($A156,MAGAZZINO!$B$2:$M$100000,10,FALSE)</f>
        <v/>
      </c>
      <c r="K156" s="3">
        <f>+VLOOKUP($A156,MAGAZZINO!$B$2:$M$100000,11,FALSE)</f>
        <v/>
      </c>
      <c r="L156" s="5">
        <f>+VLOOKUP($A156,MAGAZZINO!$B$2:$M$100000,12,FALSE)</f>
        <v/>
      </c>
      <c r="M156" s="47" t="n"/>
      <c r="N156" s="88" t="n">
        <v>45609</v>
      </c>
      <c r="O156" s="91" t="inlineStr">
        <is>
          <t>HS &amp; LLC (OMAN)</t>
        </is>
      </c>
      <c r="P156" s="154" t="inlineStr">
        <is>
          <t>IMPORT LICENSE N. 24/1/2463/1/2024 DEL 05/05/2024                                                              AUT. ESPORTAZIONE MULTIPLA N. 6B/2024/2M RILASCIATA IL 30/07/2024   (LICENZA DI SCARICO N. 6B/2024/1S RILASCIATA IL 06/11/2024)</t>
        </is>
      </c>
      <c r="Q156" s="150" t="n"/>
      <c r="R156" s="150" t="n"/>
      <c r="S156" s="153" t="n"/>
    </row>
    <row r="157" ht="36" customHeight="1">
      <c r="A157" s="46" t="n">
        <v>2487</v>
      </c>
      <c r="B157" s="4">
        <f>+VLOOKUP($A157,MAGAZZINO!$B$2:$M$100000,2,FALSE)</f>
        <v/>
      </c>
      <c r="C157" s="29">
        <f>+VLOOKUP($A157,MAGAZZINO!$B$2:$M$100000,3,FALSE)</f>
        <v/>
      </c>
      <c r="D157" s="3">
        <f>+VLOOKUP($A157,MAGAZZINO!$B$2:$M$100000,4,FALSE)</f>
        <v/>
      </c>
      <c r="E157" s="3">
        <f>+VLOOKUP($A157,MAGAZZINO!$B$2:$M$100000,5,FALSE)</f>
        <v/>
      </c>
      <c r="F157" s="3">
        <f>+VLOOKUP($A157,MAGAZZINO!$B$2:$M$100000,6,FALSE)</f>
        <v/>
      </c>
      <c r="G157" s="3">
        <f>+VLOOKUP($A157,MAGAZZINO!$B$2:$M$100000,7,FALSE)</f>
        <v/>
      </c>
      <c r="H157" s="3">
        <f>+VLOOKUP($A157,MAGAZZINO!$B$2:$M$100000,8,FALSE)</f>
        <v/>
      </c>
      <c r="I157" s="3">
        <f>+VLOOKUP($A157,MAGAZZINO!$B$2:$M$100000,9,FALSE)</f>
        <v/>
      </c>
      <c r="J157" s="3">
        <f>+VLOOKUP($A157,MAGAZZINO!$B$2:$M$100000,10,FALSE)</f>
        <v/>
      </c>
      <c r="K157" s="3">
        <f>+VLOOKUP($A157,MAGAZZINO!$B$2:$M$100000,11,FALSE)</f>
        <v/>
      </c>
      <c r="L157" s="5">
        <f>+VLOOKUP($A157,MAGAZZINO!$B$2:$M$100000,12,FALSE)</f>
        <v/>
      </c>
      <c r="M157" s="47" t="n"/>
      <c r="N157" s="88" t="n">
        <v>45609</v>
      </c>
      <c r="O157" s="91" t="inlineStr">
        <is>
          <t>HS &amp; LLC (OMAN)</t>
        </is>
      </c>
      <c r="P157" s="154" t="inlineStr">
        <is>
          <t>IMPORT LICENSE N. 24/1/2463/1/2024 DEL 05/05/2024                                                              AUT. ESPORTAZIONE MULTIPLA N. 6B/2024/2M RILASCIATA IL 30/07/2024   (LICENZA DI SCARICO N. 6B/2024/1S RILASCIATA IL 06/11/2024)</t>
        </is>
      </c>
      <c r="Q157" s="150" t="n"/>
      <c r="R157" s="150" t="n"/>
      <c r="S157" s="153" t="n"/>
    </row>
    <row r="158" ht="36" customHeight="1">
      <c r="A158" s="46" t="n">
        <v>2488</v>
      </c>
      <c r="B158" s="4">
        <f>+VLOOKUP($A158,MAGAZZINO!$B$2:$M$100000,2,FALSE)</f>
        <v/>
      </c>
      <c r="C158" s="29">
        <f>+VLOOKUP($A158,MAGAZZINO!$B$2:$M$100000,3,FALSE)</f>
        <v/>
      </c>
      <c r="D158" s="3">
        <f>+VLOOKUP($A158,MAGAZZINO!$B$2:$M$100000,4,FALSE)</f>
        <v/>
      </c>
      <c r="E158" s="3">
        <f>+VLOOKUP($A158,MAGAZZINO!$B$2:$M$100000,5,FALSE)</f>
        <v/>
      </c>
      <c r="F158" s="3">
        <f>+VLOOKUP($A158,MAGAZZINO!$B$2:$M$100000,6,FALSE)</f>
        <v/>
      </c>
      <c r="G158" s="3">
        <f>+VLOOKUP($A158,MAGAZZINO!$B$2:$M$100000,7,FALSE)</f>
        <v/>
      </c>
      <c r="H158" s="3">
        <f>+VLOOKUP($A158,MAGAZZINO!$B$2:$M$100000,8,FALSE)</f>
        <v/>
      </c>
      <c r="I158" s="3">
        <f>+VLOOKUP($A158,MAGAZZINO!$B$2:$M$100000,9,FALSE)</f>
        <v/>
      </c>
      <c r="J158" s="3">
        <f>+VLOOKUP($A158,MAGAZZINO!$B$2:$M$100000,10,FALSE)</f>
        <v/>
      </c>
      <c r="K158" s="3">
        <f>+VLOOKUP($A158,MAGAZZINO!$B$2:$M$100000,11,FALSE)</f>
        <v/>
      </c>
      <c r="L158" s="5">
        <f>+VLOOKUP($A158,MAGAZZINO!$B$2:$M$100000,12,FALSE)</f>
        <v/>
      </c>
      <c r="M158" s="47" t="n"/>
      <c r="N158" s="88" t="n">
        <v>45609</v>
      </c>
      <c r="O158" s="91" t="inlineStr">
        <is>
          <t>HS &amp; LLC (OMAN)</t>
        </is>
      </c>
      <c r="P158" s="154" t="inlineStr">
        <is>
          <t>IMPORT LICENSE N. 24/1/2463/1/2024 DEL 05/05/2024                                                              AUT. ESPORTAZIONE MULTIPLA N. 6B/2024/2M RILASCIATA IL 30/07/2024   (LICENZA DI SCARICO N. 6B/2024/1S RILASCIATA IL 06/11/2024)</t>
        </is>
      </c>
      <c r="Q158" s="150" t="n"/>
      <c r="R158" s="150" t="n"/>
      <c r="S158" s="153" t="n"/>
    </row>
    <row r="159" ht="36" customHeight="1">
      <c r="A159" s="46" t="n">
        <v>2489</v>
      </c>
      <c r="B159" s="4">
        <f>+VLOOKUP($A159,MAGAZZINO!$B$2:$M$100000,2,FALSE)</f>
        <v/>
      </c>
      <c r="C159" s="29">
        <f>+VLOOKUP($A159,MAGAZZINO!$B$2:$M$100000,3,FALSE)</f>
        <v/>
      </c>
      <c r="D159" s="3">
        <f>+VLOOKUP($A159,MAGAZZINO!$B$2:$M$100000,4,FALSE)</f>
        <v/>
      </c>
      <c r="E159" s="3">
        <f>+VLOOKUP($A159,MAGAZZINO!$B$2:$M$100000,5,FALSE)</f>
        <v/>
      </c>
      <c r="F159" s="3">
        <f>+VLOOKUP($A159,MAGAZZINO!$B$2:$M$100000,6,FALSE)</f>
        <v/>
      </c>
      <c r="G159" s="3">
        <f>+VLOOKUP($A159,MAGAZZINO!$B$2:$M$100000,7,FALSE)</f>
        <v/>
      </c>
      <c r="H159" s="3">
        <f>+VLOOKUP($A159,MAGAZZINO!$B$2:$M$100000,8,FALSE)</f>
        <v/>
      </c>
      <c r="I159" s="3">
        <f>+VLOOKUP($A159,MAGAZZINO!$B$2:$M$100000,9,FALSE)</f>
        <v/>
      </c>
      <c r="J159" s="3">
        <f>+VLOOKUP($A159,MAGAZZINO!$B$2:$M$100000,10,FALSE)</f>
        <v/>
      </c>
      <c r="K159" s="3">
        <f>+VLOOKUP($A159,MAGAZZINO!$B$2:$M$100000,11,FALSE)</f>
        <v/>
      </c>
      <c r="L159" s="5">
        <f>+VLOOKUP($A159,MAGAZZINO!$B$2:$M$100000,12,FALSE)</f>
        <v/>
      </c>
      <c r="M159" s="47" t="n"/>
      <c r="N159" s="88" t="n">
        <v>45609</v>
      </c>
      <c r="O159" s="91" t="inlineStr">
        <is>
          <t>HS &amp; LLC (OMAN)</t>
        </is>
      </c>
      <c r="P159" s="154" t="inlineStr">
        <is>
          <t>IMPORT LICENSE N. 24/1/2463/1/2024 DEL 05/05/2024                                                              AUT. ESPORTAZIONE MULTIPLA N. 6B/2024/2M RILASCIATA IL 30/07/2024   (LICENZA DI SCARICO N. 6B/2024/1S RILASCIATA IL 06/11/2024)</t>
        </is>
      </c>
      <c r="Q159" s="150" t="n"/>
      <c r="R159" s="150" t="n"/>
      <c r="S159" s="153" t="n"/>
    </row>
    <row r="160" ht="36" customHeight="1">
      <c r="A160" s="46" t="n">
        <v>2490</v>
      </c>
      <c r="B160" s="4">
        <f>+VLOOKUP($A160,MAGAZZINO!$B$2:$M$100000,2,FALSE)</f>
        <v/>
      </c>
      <c r="C160" s="29">
        <f>+VLOOKUP($A160,MAGAZZINO!$B$2:$M$100000,3,FALSE)</f>
        <v/>
      </c>
      <c r="D160" s="3">
        <f>+VLOOKUP($A160,MAGAZZINO!$B$2:$M$100000,4,FALSE)</f>
        <v/>
      </c>
      <c r="E160" s="3">
        <f>+VLOOKUP($A160,MAGAZZINO!$B$2:$M$100000,5,FALSE)</f>
        <v/>
      </c>
      <c r="F160" s="3">
        <f>+VLOOKUP($A160,MAGAZZINO!$B$2:$M$100000,6,FALSE)</f>
        <v/>
      </c>
      <c r="G160" s="3">
        <f>+VLOOKUP($A160,MAGAZZINO!$B$2:$M$100000,7,FALSE)</f>
        <v/>
      </c>
      <c r="H160" s="3">
        <f>+VLOOKUP($A160,MAGAZZINO!$B$2:$M$100000,8,FALSE)</f>
        <v/>
      </c>
      <c r="I160" s="3">
        <f>+VLOOKUP($A160,MAGAZZINO!$B$2:$M$100000,9,FALSE)</f>
        <v/>
      </c>
      <c r="J160" s="3">
        <f>+VLOOKUP($A160,MAGAZZINO!$B$2:$M$100000,10,FALSE)</f>
        <v/>
      </c>
      <c r="K160" s="3">
        <f>+VLOOKUP($A160,MAGAZZINO!$B$2:$M$100000,11,FALSE)</f>
        <v/>
      </c>
      <c r="L160" s="5">
        <f>+VLOOKUP($A160,MAGAZZINO!$B$2:$M$100000,12,FALSE)</f>
        <v/>
      </c>
      <c r="M160" s="47" t="n"/>
      <c r="N160" s="88" t="n">
        <v>45609</v>
      </c>
      <c r="O160" s="91" t="inlineStr">
        <is>
          <t>HS &amp; LLC (OMAN)</t>
        </is>
      </c>
      <c r="P160" s="154" t="inlineStr">
        <is>
          <t>IMPORT LICENSE N. 24/1/2463/1/2024 DEL 05/05/2024                                                              AUT. ESPORTAZIONE MULTIPLA N. 6B/2024/2M RILASCIATA IL 30/07/2024   (LICENZA DI SCARICO N. 6B/2024/1S RILASCIATA IL 06/11/2024)</t>
        </is>
      </c>
      <c r="Q160" s="150" t="n"/>
      <c r="R160" s="150" t="n"/>
      <c r="S160" s="153" t="n"/>
    </row>
    <row r="161" ht="36" customHeight="1">
      <c r="A161" s="46" t="n">
        <v>2491</v>
      </c>
      <c r="B161" s="4">
        <f>+VLOOKUP($A161,MAGAZZINO!$B$2:$M$100000,2,FALSE)</f>
        <v/>
      </c>
      <c r="C161" s="29">
        <f>+VLOOKUP($A161,MAGAZZINO!$B$2:$M$100000,3,FALSE)</f>
        <v/>
      </c>
      <c r="D161" s="3">
        <f>+VLOOKUP($A161,MAGAZZINO!$B$2:$M$100000,4,FALSE)</f>
        <v/>
      </c>
      <c r="E161" s="3">
        <f>+VLOOKUP($A161,MAGAZZINO!$B$2:$M$100000,5,FALSE)</f>
        <v/>
      </c>
      <c r="F161" s="3">
        <f>+VLOOKUP($A161,MAGAZZINO!$B$2:$M$100000,6,FALSE)</f>
        <v/>
      </c>
      <c r="G161" s="3">
        <f>+VLOOKUP($A161,MAGAZZINO!$B$2:$M$100000,7,FALSE)</f>
        <v/>
      </c>
      <c r="H161" s="3">
        <f>+VLOOKUP($A161,MAGAZZINO!$B$2:$M$100000,8,FALSE)</f>
        <v/>
      </c>
      <c r="I161" s="3">
        <f>+VLOOKUP($A161,MAGAZZINO!$B$2:$M$100000,9,FALSE)</f>
        <v/>
      </c>
      <c r="J161" s="3">
        <f>+VLOOKUP($A161,MAGAZZINO!$B$2:$M$100000,10,FALSE)</f>
        <v/>
      </c>
      <c r="K161" s="3">
        <f>+VLOOKUP($A161,MAGAZZINO!$B$2:$M$100000,11,FALSE)</f>
        <v/>
      </c>
      <c r="L161" s="5">
        <f>+VLOOKUP($A161,MAGAZZINO!$B$2:$M$100000,12,FALSE)</f>
        <v/>
      </c>
      <c r="M161" s="47" t="n"/>
      <c r="N161" s="88" t="n">
        <v>45609</v>
      </c>
      <c r="O161" s="91" t="inlineStr">
        <is>
          <t>HS &amp; LLC (OMAN)</t>
        </is>
      </c>
      <c r="P161" s="154" t="inlineStr">
        <is>
          <t>IMPORT LICENSE N. 24/1/2463/1/2024 DEL 05/05/2024                                                              AUT. ESPORTAZIONE MULTIPLA N. 6B/2024/2M RILASCIATA IL 30/07/2024   (LICENZA DI SCARICO N. 6B/2024/1S RILASCIATA IL 06/11/2024)</t>
        </is>
      </c>
      <c r="Q161" s="150" t="n"/>
      <c r="R161" s="150" t="n"/>
      <c r="S161" s="153" t="n"/>
    </row>
    <row r="162" ht="36" customHeight="1">
      <c r="A162" s="46" t="n">
        <v>2492</v>
      </c>
      <c r="B162" s="4">
        <f>+VLOOKUP($A162,MAGAZZINO!$B$2:$M$100000,2,FALSE)</f>
        <v/>
      </c>
      <c r="C162" s="29">
        <f>+VLOOKUP($A162,MAGAZZINO!$B$2:$M$100000,3,FALSE)</f>
        <v/>
      </c>
      <c r="D162" s="3">
        <f>+VLOOKUP($A162,MAGAZZINO!$B$2:$M$100000,4,FALSE)</f>
        <v/>
      </c>
      <c r="E162" s="3">
        <f>+VLOOKUP($A162,MAGAZZINO!$B$2:$M$100000,5,FALSE)</f>
        <v/>
      </c>
      <c r="F162" s="3">
        <f>+VLOOKUP($A162,MAGAZZINO!$B$2:$M$100000,6,FALSE)</f>
        <v/>
      </c>
      <c r="G162" s="3">
        <f>+VLOOKUP($A162,MAGAZZINO!$B$2:$M$100000,7,FALSE)</f>
        <v/>
      </c>
      <c r="H162" s="3">
        <f>+VLOOKUP($A162,MAGAZZINO!$B$2:$M$100000,8,FALSE)</f>
        <v/>
      </c>
      <c r="I162" s="3">
        <f>+VLOOKUP($A162,MAGAZZINO!$B$2:$M$100000,9,FALSE)</f>
        <v/>
      </c>
      <c r="J162" s="3">
        <f>+VLOOKUP($A162,MAGAZZINO!$B$2:$M$100000,10,FALSE)</f>
        <v/>
      </c>
      <c r="K162" s="3">
        <f>+VLOOKUP($A162,MAGAZZINO!$B$2:$M$100000,11,FALSE)</f>
        <v/>
      </c>
      <c r="L162" s="5">
        <f>+VLOOKUP($A162,MAGAZZINO!$B$2:$M$100000,12,FALSE)</f>
        <v/>
      </c>
      <c r="M162" s="47" t="n"/>
      <c r="N162" s="88" t="n">
        <v>45609</v>
      </c>
      <c r="O162" s="91" t="inlineStr">
        <is>
          <t>HS &amp; LLC (OMAN)</t>
        </is>
      </c>
      <c r="P162" s="154" t="inlineStr">
        <is>
          <t>IMPORT LICENSE N. 24/1/2463/1/2024 DEL 05/05/2024                                                              AUT. ESPORTAZIONE MULTIPLA N. 6B/2024/2M RILASCIATA IL 30/07/2024   (LICENZA DI SCARICO N. 6B/2024/1S RILASCIATA IL 06/11/2024)</t>
        </is>
      </c>
      <c r="Q162" s="150" t="n"/>
      <c r="R162" s="150" t="n"/>
      <c r="S162" s="153" t="n"/>
    </row>
    <row r="163" ht="36" customHeight="1">
      <c r="A163" s="46" t="n">
        <v>2493</v>
      </c>
      <c r="B163" s="4">
        <f>+VLOOKUP($A163,MAGAZZINO!$B$2:$M$100000,2,FALSE)</f>
        <v/>
      </c>
      <c r="C163" s="29">
        <f>+VLOOKUP($A163,MAGAZZINO!$B$2:$M$100000,3,FALSE)</f>
        <v/>
      </c>
      <c r="D163" s="3">
        <f>+VLOOKUP($A163,MAGAZZINO!$B$2:$M$100000,4,FALSE)</f>
        <v/>
      </c>
      <c r="E163" s="3">
        <f>+VLOOKUP($A163,MAGAZZINO!$B$2:$M$100000,5,FALSE)</f>
        <v/>
      </c>
      <c r="F163" s="3">
        <f>+VLOOKUP($A163,MAGAZZINO!$B$2:$M$100000,6,FALSE)</f>
        <v/>
      </c>
      <c r="G163" s="3">
        <f>+VLOOKUP($A163,MAGAZZINO!$B$2:$M$100000,7,FALSE)</f>
        <v/>
      </c>
      <c r="H163" s="3">
        <f>+VLOOKUP($A163,MAGAZZINO!$B$2:$M$100000,8,FALSE)</f>
        <v/>
      </c>
      <c r="I163" s="3">
        <f>+VLOOKUP($A163,MAGAZZINO!$B$2:$M$100000,9,FALSE)</f>
        <v/>
      </c>
      <c r="J163" s="3">
        <f>+VLOOKUP($A163,MAGAZZINO!$B$2:$M$100000,10,FALSE)</f>
        <v/>
      </c>
      <c r="K163" s="3">
        <f>+VLOOKUP($A163,MAGAZZINO!$B$2:$M$100000,11,FALSE)</f>
        <v/>
      </c>
      <c r="L163" s="5">
        <f>+VLOOKUP($A163,MAGAZZINO!$B$2:$M$100000,12,FALSE)</f>
        <v/>
      </c>
      <c r="M163" s="47" t="n"/>
      <c r="N163" s="88" t="n">
        <v>45609</v>
      </c>
      <c r="O163" s="91" t="inlineStr">
        <is>
          <t>HS &amp; LLC (OMAN)</t>
        </is>
      </c>
      <c r="P163" s="154" t="inlineStr">
        <is>
          <t>IMPORT LICENSE N. 24/1/2463/1/2024 DEL 05/05/2024                                                              AUT. ESPORTAZIONE MULTIPLA N. 6B/2024/2M RILASCIATA IL 30/07/2024   (LICENZA DI SCARICO N. 6B/2024/1S RILASCIATA IL 06/11/2024)</t>
        </is>
      </c>
      <c r="Q163" s="150" t="n"/>
      <c r="R163" s="150" t="n"/>
      <c r="S163" s="153" t="n"/>
    </row>
    <row r="164" ht="36" customHeight="1">
      <c r="A164" s="46" t="n">
        <v>2494</v>
      </c>
      <c r="B164" s="4">
        <f>+VLOOKUP($A164,MAGAZZINO!$B$2:$M$100000,2,FALSE)</f>
        <v/>
      </c>
      <c r="C164" s="29">
        <f>+VLOOKUP($A164,MAGAZZINO!$B$2:$M$100000,3,FALSE)</f>
        <v/>
      </c>
      <c r="D164" s="3">
        <f>+VLOOKUP($A164,MAGAZZINO!$B$2:$M$100000,4,FALSE)</f>
        <v/>
      </c>
      <c r="E164" s="3">
        <f>+VLOOKUP($A164,MAGAZZINO!$B$2:$M$100000,5,FALSE)</f>
        <v/>
      </c>
      <c r="F164" s="3">
        <f>+VLOOKUP($A164,MAGAZZINO!$B$2:$M$100000,6,FALSE)</f>
        <v/>
      </c>
      <c r="G164" s="3">
        <f>+VLOOKUP($A164,MAGAZZINO!$B$2:$M$100000,7,FALSE)</f>
        <v/>
      </c>
      <c r="H164" s="3">
        <f>+VLOOKUP($A164,MAGAZZINO!$B$2:$M$100000,8,FALSE)</f>
        <v/>
      </c>
      <c r="I164" s="3">
        <f>+VLOOKUP($A164,MAGAZZINO!$B$2:$M$100000,9,FALSE)</f>
        <v/>
      </c>
      <c r="J164" s="3">
        <f>+VLOOKUP($A164,MAGAZZINO!$B$2:$M$100000,10,FALSE)</f>
        <v/>
      </c>
      <c r="K164" s="3">
        <f>+VLOOKUP($A164,MAGAZZINO!$B$2:$M$100000,11,FALSE)</f>
        <v/>
      </c>
      <c r="L164" s="5">
        <f>+VLOOKUP($A164,MAGAZZINO!$B$2:$M$100000,12,FALSE)</f>
        <v/>
      </c>
      <c r="M164" s="47" t="n"/>
      <c r="N164" s="88" t="n">
        <v>45609</v>
      </c>
      <c r="O164" s="91" t="inlineStr">
        <is>
          <t>HS &amp; LLC (OMAN)</t>
        </is>
      </c>
      <c r="P164" s="154" t="inlineStr">
        <is>
          <t>IMPORT LICENSE N. 24/1/2463/1/2024 DEL 05/05/2024                                                              AUT. ESPORTAZIONE MULTIPLA N. 6B/2024/2M RILASCIATA IL 30/07/2024   (LICENZA DI SCARICO N. 6B/2024/1S RILASCIATA IL 06/11/2024)</t>
        </is>
      </c>
      <c r="Q164" s="150" t="n"/>
      <c r="R164" s="150" t="n"/>
      <c r="S164" s="153" t="n"/>
    </row>
    <row r="165" ht="36" customHeight="1">
      <c r="A165" s="46" t="n">
        <v>2495</v>
      </c>
      <c r="B165" s="4">
        <f>+VLOOKUP($A165,MAGAZZINO!$B$2:$M$100000,2,FALSE)</f>
        <v/>
      </c>
      <c r="C165" s="29">
        <f>+VLOOKUP($A165,MAGAZZINO!$B$2:$M$100000,3,FALSE)</f>
        <v/>
      </c>
      <c r="D165" s="3">
        <f>+VLOOKUP($A165,MAGAZZINO!$B$2:$M$100000,4,FALSE)</f>
        <v/>
      </c>
      <c r="E165" s="3">
        <f>+VLOOKUP($A165,MAGAZZINO!$B$2:$M$100000,5,FALSE)</f>
        <v/>
      </c>
      <c r="F165" s="3">
        <f>+VLOOKUP($A165,MAGAZZINO!$B$2:$M$100000,6,FALSE)</f>
        <v/>
      </c>
      <c r="G165" s="3">
        <f>+VLOOKUP($A165,MAGAZZINO!$B$2:$M$100000,7,FALSE)</f>
        <v/>
      </c>
      <c r="H165" s="3">
        <f>+VLOOKUP($A165,MAGAZZINO!$B$2:$M$100000,8,FALSE)</f>
        <v/>
      </c>
      <c r="I165" s="3">
        <f>+VLOOKUP($A165,MAGAZZINO!$B$2:$M$100000,9,FALSE)</f>
        <v/>
      </c>
      <c r="J165" s="3">
        <f>+VLOOKUP($A165,MAGAZZINO!$B$2:$M$100000,10,FALSE)</f>
        <v/>
      </c>
      <c r="K165" s="3">
        <f>+VLOOKUP($A165,MAGAZZINO!$B$2:$M$100000,11,FALSE)</f>
        <v/>
      </c>
      <c r="L165" s="5">
        <f>+VLOOKUP($A165,MAGAZZINO!$B$2:$M$100000,12,FALSE)</f>
        <v/>
      </c>
      <c r="M165" s="47" t="n"/>
      <c r="N165" s="88" t="n">
        <v>45609</v>
      </c>
      <c r="O165" s="91" t="inlineStr">
        <is>
          <t>HS &amp; LLC (OMAN)</t>
        </is>
      </c>
      <c r="P165" s="154" t="inlineStr">
        <is>
          <t>IMPORT LICENSE N. 24/1/2463/1/2024 DEL 05/05/2024                                                              AUT. ESPORTAZIONE MULTIPLA N. 6B/2024/2M RILASCIATA IL 30/07/2024   (LICENZA DI SCARICO N. 6B/2024/1S RILASCIATA IL 06/11/2024)</t>
        </is>
      </c>
      <c r="Q165" s="150" t="n"/>
      <c r="R165" s="150" t="n"/>
      <c r="S165" s="153" t="n"/>
    </row>
    <row r="166" ht="36" customHeight="1">
      <c r="A166" s="46" t="n">
        <v>2496</v>
      </c>
      <c r="B166" s="4">
        <f>+VLOOKUP($A166,MAGAZZINO!$B$2:$M$100000,2,FALSE)</f>
        <v/>
      </c>
      <c r="C166" s="29">
        <f>+VLOOKUP($A166,MAGAZZINO!$B$2:$M$100000,3,FALSE)</f>
        <v/>
      </c>
      <c r="D166" s="3">
        <f>+VLOOKUP($A166,MAGAZZINO!$B$2:$M$100000,4,FALSE)</f>
        <v/>
      </c>
      <c r="E166" s="3">
        <f>+VLOOKUP($A166,MAGAZZINO!$B$2:$M$100000,5,FALSE)</f>
        <v/>
      </c>
      <c r="F166" s="3">
        <f>+VLOOKUP($A166,MAGAZZINO!$B$2:$M$100000,6,FALSE)</f>
        <v/>
      </c>
      <c r="G166" s="3">
        <f>+VLOOKUP($A166,MAGAZZINO!$B$2:$M$100000,7,FALSE)</f>
        <v/>
      </c>
      <c r="H166" s="3">
        <f>+VLOOKUP($A166,MAGAZZINO!$B$2:$M$100000,8,FALSE)</f>
        <v/>
      </c>
      <c r="I166" s="3">
        <f>+VLOOKUP($A166,MAGAZZINO!$B$2:$M$100000,9,FALSE)</f>
        <v/>
      </c>
      <c r="J166" s="3">
        <f>+VLOOKUP($A166,MAGAZZINO!$B$2:$M$100000,10,FALSE)</f>
        <v/>
      </c>
      <c r="K166" s="3">
        <f>+VLOOKUP($A166,MAGAZZINO!$B$2:$M$100000,11,FALSE)</f>
        <v/>
      </c>
      <c r="L166" s="5">
        <f>+VLOOKUP($A166,MAGAZZINO!$B$2:$M$100000,12,FALSE)</f>
        <v/>
      </c>
      <c r="M166" s="47" t="n"/>
      <c r="N166" s="88" t="n">
        <v>45609</v>
      </c>
      <c r="O166" s="91" t="inlineStr">
        <is>
          <t>HS &amp; LLC (OMAN)</t>
        </is>
      </c>
      <c r="P166" s="154" t="inlineStr">
        <is>
          <t>IMPORT LICENSE N. 24/1/2463/1/2024 DEL 05/05/2024                                                              AUT. ESPORTAZIONE MULTIPLA N. 6B/2024/2M RILASCIATA IL 30/07/2024   (LICENZA DI SCARICO N. 6B/2024/1S RILASCIATA IL 06/11/2024)</t>
        </is>
      </c>
      <c r="Q166" s="150" t="n"/>
      <c r="R166" s="150" t="n"/>
      <c r="S166" s="153" t="n"/>
    </row>
    <row r="167" ht="36" customHeight="1">
      <c r="A167" s="46" t="n">
        <v>2497</v>
      </c>
      <c r="B167" s="4">
        <f>+VLOOKUP($A167,MAGAZZINO!$B$2:$M$100000,2,FALSE)</f>
        <v/>
      </c>
      <c r="C167" s="29">
        <f>+VLOOKUP($A167,MAGAZZINO!$B$2:$M$100000,3,FALSE)</f>
        <v/>
      </c>
      <c r="D167" s="3">
        <f>+VLOOKUP($A167,MAGAZZINO!$B$2:$M$100000,4,FALSE)</f>
        <v/>
      </c>
      <c r="E167" s="3">
        <f>+VLOOKUP($A167,MAGAZZINO!$B$2:$M$100000,5,FALSE)</f>
        <v/>
      </c>
      <c r="F167" s="3">
        <f>+VLOOKUP($A167,MAGAZZINO!$B$2:$M$100000,6,FALSE)</f>
        <v/>
      </c>
      <c r="G167" s="3">
        <f>+VLOOKUP($A167,MAGAZZINO!$B$2:$M$100000,7,FALSE)</f>
        <v/>
      </c>
      <c r="H167" s="3">
        <f>+VLOOKUP($A167,MAGAZZINO!$B$2:$M$100000,8,FALSE)</f>
        <v/>
      </c>
      <c r="I167" s="3">
        <f>+VLOOKUP($A167,MAGAZZINO!$B$2:$M$100000,9,FALSE)</f>
        <v/>
      </c>
      <c r="J167" s="3">
        <f>+VLOOKUP($A167,MAGAZZINO!$B$2:$M$100000,10,FALSE)</f>
        <v/>
      </c>
      <c r="K167" s="3">
        <f>+VLOOKUP($A167,MAGAZZINO!$B$2:$M$100000,11,FALSE)</f>
        <v/>
      </c>
      <c r="L167" s="5">
        <f>+VLOOKUP($A167,MAGAZZINO!$B$2:$M$100000,12,FALSE)</f>
        <v/>
      </c>
      <c r="M167" s="47" t="n"/>
      <c r="N167" s="88" t="n">
        <v>45609</v>
      </c>
      <c r="O167" s="91" t="inlineStr">
        <is>
          <t>HS &amp; LLC (OMAN)</t>
        </is>
      </c>
      <c r="P167" s="154" t="inlineStr">
        <is>
          <t>IMPORT LICENSE N. 24/1/2463/1/2024 DEL 05/05/2024                                                              AUT. ESPORTAZIONE MULTIPLA N. 6B/2024/2M RILASCIATA IL 30/07/2024   (LICENZA DI SCARICO N. 6B/2024/1S RILASCIATA IL 06/11/2024)</t>
        </is>
      </c>
      <c r="Q167" s="150" t="n"/>
      <c r="R167" s="150" t="n"/>
      <c r="S167" s="153" t="n"/>
    </row>
    <row r="168" ht="36" customHeight="1">
      <c r="A168" s="46" t="n">
        <v>2498</v>
      </c>
      <c r="B168" s="4">
        <f>+VLOOKUP($A168,MAGAZZINO!$B$2:$M$100000,2,FALSE)</f>
        <v/>
      </c>
      <c r="C168" s="29">
        <f>+VLOOKUP($A168,MAGAZZINO!$B$2:$M$100000,3,FALSE)</f>
        <v/>
      </c>
      <c r="D168" s="3">
        <f>+VLOOKUP($A168,MAGAZZINO!$B$2:$M$100000,4,FALSE)</f>
        <v/>
      </c>
      <c r="E168" s="3">
        <f>+VLOOKUP($A168,MAGAZZINO!$B$2:$M$100000,5,FALSE)</f>
        <v/>
      </c>
      <c r="F168" s="3">
        <f>+VLOOKUP($A168,MAGAZZINO!$B$2:$M$100000,6,FALSE)</f>
        <v/>
      </c>
      <c r="G168" s="3">
        <f>+VLOOKUP($A168,MAGAZZINO!$B$2:$M$100000,7,FALSE)</f>
        <v/>
      </c>
      <c r="H168" s="3">
        <f>+VLOOKUP($A168,MAGAZZINO!$B$2:$M$100000,8,FALSE)</f>
        <v/>
      </c>
      <c r="I168" s="3">
        <f>+VLOOKUP($A168,MAGAZZINO!$B$2:$M$100000,9,FALSE)</f>
        <v/>
      </c>
      <c r="J168" s="3">
        <f>+VLOOKUP($A168,MAGAZZINO!$B$2:$M$100000,10,FALSE)</f>
        <v/>
      </c>
      <c r="K168" s="3">
        <f>+VLOOKUP($A168,MAGAZZINO!$B$2:$M$100000,11,FALSE)</f>
        <v/>
      </c>
      <c r="L168" s="5">
        <f>+VLOOKUP($A168,MAGAZZINO!$B$2:$M$100000,12,FALSE)</f>
        <v/>
      </c>
      <c r="M168" s="47" t="n"/>
      <c r="N168" s="88" t="n">
        <v>45609</v>
      </c>
      <c r="O168" s="91" t="inlineStr">
        <is>
          <t>HS &amp; LLC (OMAN)</t>
        </is>
      </c>
      <c r="P168" s="154" t="inlineStr">
        <is>
          <t>IMPORT LICENSE N. 24/1/2463/1/2024 DEL 05/05/2024                                                              AUT. ESPORTAZIONE MULTIPLA N. 6B/2024/2M RILASCIATA IL 30/07/2024   (LICENZA DI SCARICO N. 6B/2024/1S RILASCIATA IL 06/11/2024)</t>
        </is>
      </c>
      <c r="Q168" s="150" t="n"/>
      <c r="R168" s="150" t="n"/>
      <c r="S168" s="153" t="n"/>
    </row>
    <row r="169" ht="36" customHeight="1">
      <c r="A169" s="46" t="n">
        <v>2499</v>
      </c>
      <c r="B169" s="4">
        <f>+VLOOKUP($A169,MAGAZZINO!$B$2:$M$100000,2,FALSE)</f>
        <v/>
      </c>
      <c r="C169" s="29">
        <f>+VLOOKUP($A169,MAGAZZINO!$B$2:$M$100000,3,FALSE)</f>
        <v/>
      </c>
      <c r="D169" s="3">
        <f>+VLOOKUP($A169,MAGAZZINO!$B$2:$M$100000,4,FALSE)</f>
        <v/>
      </c>
      <c r="E169" s="3">
        <f>+VLOOKUP($A169,MAGAZZINO!$B$2:$M$100000,5,FALSE)</f>
        <v/>
      </c>
      <c r="F169" s="3">
        <f>+VLOOKUP($A169,MAGAZZINO!$B$2:$M$100000,6,FALSE)</f>
        <v/>
      </c>
      <c r="G169" s="3">
        <f>+VLOOKUP($A169,MAGAZZINO!$B$2:$M$100000,7,FALSE)</f>
        <v/>
      </c>
      <c r="H169" s="3">
        <f>+VLOOKUP($A169,MAGAZZINO!$B$2:$M$100000,8,FALSE)</f>
        <v/>
      </c>
      <c r="I169" s="3">
        <f>+VLOOKUP($A169,MAGAZZINO!$B$2:$M$100000,9,FALSE)</f>
        <v/>
      </c>
      <c r="J169" s="3">
        <f>+VLOOKUP($A169,MAGAZZINO!$B$2:$M$100000,10,FALSE)</f>
        <v/>
      </c>
      <c r="K169" s="3">
        <f>+VLOOKUP($A169,MAGAZZINO!$B$2:$M$100000,11,FALSE)</f>
        <v/>
      </c>
      <c r="L169" s="5">
        <f>+VLOOKUP($A169,MAGAZZINO!$B$2:$M$100000,12,FALSE)</f>
        <v/>
      </c>
      <c r="M169" s="47" t="n"/>
      <c r="N169" s="88" t="n">
        <v>45609</v>
      </c>
      <c r="O169" s="91" t="inlineStr">
        <is>
          <t>HS &amp; LLC (OMAN)</t>
        </is>
      </c>
      <c r="P169" s="154" t="inlineStr">
        <is>
          <t>IMPORT LICENSE N. 24/1/2463/1/2024 DEL 05/05/2024                                                              AUT. ESPORTAZIONE MULTIPLA N. 6B/2024/2M RILASCIATA IL 30/07/2024   (LICENZA DI SCARICO N. 6B/2024/1S RILASCIATA IL 06/11/2024)</t>
        </is>
      </c>
      <c r="Q169" s="150" t="n"/>
      <c r="R169" s="150" t="n"/>
      <c r="S169" s="153" t="n"/>
    </row>
    <row r="170" ht="36" customHeight="1">
      <c r="A170" s="46" t="n">
        <v>2500</v>
      </c>
      <c r="B170" s="4">
        <f>+VLOOKUP($A170,MAGAZZINO!$B$2:$M$100000,2,FALSE)</f>
        <v/>
      </c>
      <c r="C170" s="29">
        <f>+VLOOKUP($A170,MAGAZZINO!$B$2:$M$100000,3,FALSE)</f>
        <v/>
      </c>
      <c r="D170" s="3">
        <f>+VLOOKUP($A170,MAGAZZINO!$B$2:$M$100000,4,FALSE)</f>
        <v/>
      </c>
      <c r="E170" s="3">
        <f>+VLOOKUP($A170,MAGAZZINO!$B$2:$M$100000,5,FALSE)</f>
        <v/>
      </c>
      <c r="F170" s="3">
        <f>+VLOOKUP($A170,MAGAZZINO!$B$2:$M$100000,6,FALSE)</f>
        <v/>
      </c>
      <c r="G170" s="3">
        <f>+VLOOKUP($A170,MAGAZZINO!$B$2:$M$100000,7,FALSE)</f>
        <v/>
      </c>
      <c r="H170" s="3">
        <f>+VLOOKUP($A170,MAGAZZINO!$B$2:$M$100000,8,FALSE)</f>
        <v/>
      </c>
      <c r="I170" s="3">
        <f>+VLOOKUP($A170,MAGAZZINO!$B$2:$M$100000,9,FALSE)</f>
        <v/>
      </c>
      <c r="J170" s="3">
        <f>+VLOOKUP($A170,MAGAZZINO!$B$2:$M$100000,10,FALSE)</f>
        <v/>
      </c>
      <c r="K170" s="3">
        <f>+VLOOKUP($A170,MAGAZZINO!$B$2:$M$100000,11,FALSE)</f>
        <v/>
      </c>
      <c r="L170" s="5">
        <f>+VLOOKUP($A170,MAGAZZINO!$B$2:$M$100000,12,FALSE)</f>
        <v/>
      </c>
      <c r="M170" s="47" t="n"/>
      <c r="N170" s="88" t="n">
        <v>45609</v>
      </c>
      <c r="O170" s="91" t="inlineStr">
        <is>
          <t>HS &amp; LLC (OMAN)</t>
        </is>
      </c>
      <c r="P170" s="154" t="inlineStr">
        <is>
          <t>IMPORT LICENSE N. 24/1/2463/1/2024 DEL 05/05/2024                                                              AUT. ESPORTAZIONE MULTIPLA N. 6B/2024/2M RILASCIATA IL 30/07/2024   (LICENZA DI SCARICO N. 6B/2024/1S RILASCIATA IL 06/11/2024)</t>
        </is>
      </c>
      <c r="Q170" s="150" t="n"/>
      <c r="R170" s="150" t="n"/>
      <c r="S170" s="153" t="n"/>
    </row>
    <row r="171" ht="36" customHeight="1">
      <c r="A171" s="46" t="n">
        <v>2501</v>
      </c>
      <c r="B171" s="4">
        <f>+VLOOKUP($A171,MAGAZZINO!$B$2:$M$100000,2,FALSE)</f>
        <v/>
      </c>
      <c r="C171" s="29">
        <f>+VLOOKUP($A171,MAGAZZINO!$B$2:$M$100000,3,FALSE)</f>
        <v/>
      </c>
      <c r="D171" s="3">
        <f>+VLOOKUP($A171,MAGAZZINO!$B$2:$M$100000,4,FALSE)</f>
        <v/>
      </c>
      <c r="E171" s="3">
        <f>+VLOOKUP($A171,MAGAZZINO!$B$2:$M$100000,5,FALSE)</f>
        <v/>
      </c>
      <c r="F171" s="3">
        <f>+VLOOKUP($A171,MAGAZZINO!$B$2:$M$100000,6,FALSE)</f>
        <v/>
      </c>
      <c r="G171" s="3">
        <f>+VLOOKUP($A171,MAGAZZINO!$B$2:$M$100000,7,FALSE)</f>
        <v/>
      </c>
      <c r="H171" s="3">
        <f>+VLOOKUP($A171,MAGAZZINO!$B$2:$M$100000,8,FALSE)</f>
        <v/>
      </c>
      <c r="I171" s="3">
        <f>+VLOOKUP($A171,MAGAZZINO!$B$2:$M$100000,9,FALSE)</f>
        <v/>
      </c>
      <c r="J171" s="3">
        <f>+VLOOKUP($A171,MAGAZZINO!$B$2:$M$100000,10,FALSE)</f>
        <v/>
      </c>
      <c r="K171" s="3">
        <f>+VLOOKUP($A171,MAGAZZINO!$B$2:$M$100000,11,FALSE)</f>
        <v/>
      </c>
      <c r="L171" s="5">
        <f>+VLOOKUP($A171,MAGAZZINO!$B$2:$M$100000,12,FALSE)</f>
        <v/>
      </c>
      <c r="M171" s="47" t="n"/>
      <c r="N171" s="88" t="n">
        <v>45609</v>
      </c>
      <c r="O171" s="91" t="inlineStr">
        <is>
          <t>HS &amp; LLC (OMAN)</t>
        </is>
      </c>
      <c r="P171" s="154" t="inlineStr">
        <is>
          <t>IMPORT LICENSE N. 24/1/2463/1/2024 DEL 05/05/2024                                                              AUT. ESPORTAZIONE MULTIPLA N. 6B/2024/2M RILASCIATA IL 30/07/2024   (LICENZA DI SCARICO N. 6B/2024/1S RILASCIATA IL 06/11/2024)</t>
        </is>
      </c>
      <c r="Q171" s="150" t="n"/>
      <c r="R171" s="150" t="n"/>
      <c r="S171" s="153" t="n"/>
    </row>
    <row r="172" ht="36" customHeight="1">
      <c r="A172" s="46" t="n">
        <v>2502</v>
      </c>
      <c r="B172" s="4">
        <f>+VLOOKUP($A172,MAGAZZINO!$B$2:$M$100000,2,FALSE)</f>
        <v/>
      </c>
      <c r="C172" s="29">
        <f>+VLOOKUP($A172,MAGAZZINO!$B$2:$M$100000,3,FALSE)</f>
        <v/>
      </c>
      <c r="D172" s="3">
        <f>+VLOOKUP($A172,MAGAZZINO!$B$2:$M$100000,4,FALSE)</f>
        <v/>
      </c>
      <c r="E172" s="3">
        <f>+VLOOKUP($A172,MAGAZZINO!$B$2:$M$100000,5,FALSE)</f>
        <v/>
      </c>
      <c r="F172" s="3">
        <f>+VLOOKUP($A172,MAGAZZINO!$B$2:$M$100000,6,FALSE)</f>
        <v/>
      </c>
      <c r="G172" s="3">
        <f>+VLOOKUP($A172,MAGAZZINO!$B$2:$M$100000,7,FALSE)</f>
        <v/>
      </c>
      <c r="H172" s="3">
        <f>+VLOOKUP($A172,MAGAZZINO!$B$2:$M$100000,8,FALSE)</f>
        <v/>
      </c>
      <c r="I172" s="3">
        <f>+VLOOKUP($A172,MAGAZZINO!$B$2:$M$100000,9,FALSE)</f>
        <v/>
      </c>
      <c r="J172" s="3">
        <f>+VLOOKUP($A172,MAGAZZINO!$B$2:$M$100000,10,FALSE)</f>
        <v/>
      </c>
      <c r="K172" s="3">
        <f>+VLOOKUP($A172,MAGAZZINO!$B$2:$M$100000,11,FALSE)</f>
        <v/>
      </c>
      <c r="L172" s="5">
        <f>+VLOOKUP($A172,MAGAZZINO!$B$2:$M$100000,12,FALSE)</f>
        <v/>
      </c>
      <c r="M172" s="47" t="n"/>
      <c r="N172" s="88" t="n">
        <v>45609</v>
      </c>
      <c r="O172" s="91" t="inlineStr">
        <is>
          <t>HS &amp; LLC (OMAN)</t>
        </is>
      </c>
      <c r="P172" s="154" t="inlineStr">
        <is>
          <t>IMPORT LICENSE N. 24/1/2463/1/2024 DEL 05/05/2024                                                              AUT. ESPORTAZIONE MULTIPLA N. 6B/2024/2M RILASCIATA IL 30/07/2024   (LICENZA DI SCARICO N. 6B/2024/1S RILASCIATA IL 06/11/2024)</t>
        </is>
      </c>
      <c r="Q172" s="150" t="n"/>
      <c r="R172" s="150" t="n"/>
      <c r="S172" s="153" t="n"/>
    </row>
    <row r="173" ht="36" customHeight="1">
      <c r="A173" s="46" t="n">
        <v>2503</v>
      </c>
      <c r="B173" s="4">
        <f>+VLOOKUP($A173,MAGAZZINO!$B$2:$M$100000,2,FALSE)</f>
        <v/>
      </c>
      <c r="C173" s="29">
        <f>+VLOOKUP($A173,MAGAZZINO!$B$2:$M$100000,3,FALSE)</f>
        <v/>
      </c>
      <c r="D173" s="3">
        <f>+VLOOKUP($A173,MAGAZZINO!$B$2:$M$100000,4,FALSE)</f>
        <v/>
      </c>
      <c r="E173" s="3">
        <f>+VLOOKUP($A173,MAGAZZINO!$B$2:$M$100000,5,FALSE)</f>
        <v/>
      </c>
      <c r="F173" s="3">
        <f>+VLOOKUP($A173,MAGAZZINO!$B$2:$M$100000,6,FALSE)</f>
        <v/>
      </c>
      <c r="G173" s="3">
        <f>+VLOOKUP($A173,MAGAZZINO!$B$2:$M$100000,7,FALSE)</f>
        <v/>
      </c>
      <c r="H173" s="3">
        <f>+VLOOKUP($A173,MAGAZZINO!$B$2:$M$100000,8,FALSE)</f>
        <v/>
      </c>
      <c r="I173" s="3">
        <f>+VLOOKUP($A173,MAGAZZINO!$B$2:$M$100000,9,FALSE)</f>
        <v/>
      </c>
      <c r="J173" s="3">
        <f>+VLOOKUP($A173,MAGAZZINO!$B$2:$M$100000,10,FALSE)</f>
        <v/>
      </c>
      <c r="K173" s="3">
        <f>+VLOOKUP($A173,MAGAZZINO!$B$2:$M$100000,11,FALSE)</f>
        <v/>
      </c>
      <c r="L173" s="5">
        <f>+VLOOKUP($A173,MAGAZZINO!$B$2:$M$100000,12,FALSE)</f>
        <v/>
      </c>
      <c r="M173" s="47" t="n"/>
      <c r="N173" s="88" t="n">
        <v>45609</v>
      </c>
      <c r="O173" s="91" t="inlineStr">
        <is>
          <t>HS &amp; LLC (OMAN)</t>
        </is>
      </c>
      <c r="P173" s="154" t="inlineStr">
        <is>
          <t>IMPORT LICENSE N. 24/1/2463/1/2024 DEL 05/05/2024                                                              AUT. ESPORTAZIONE MULTIPLA N. 6B/2024/2M RILASCIATA IL 30/07/2024   (LICENZA DI SCARICO N. 6B/2024/1S RILASCIATA IL 06/11/2024)</t>
        </is>
      </c>
      <c r="Q173" s="150" t="n"/>
      <c r="R173" s="150" t="n"/>
      <c r="S173" s="153" t="n"/>
    </row>
    <row r="174" ht="36" customHeight="1">
      <c r="A174" s="46" t="n">
        <v>2504</v>
      </c>
      <c r="B174" s="4">
        <f>+VLOOKUP($A174,MAGAZZINO!$B$2:$M$100000,2,FALSE)</f>
        <v/>
      </c>
      <c r="C174" s="29">
        <f>+VLOOKUP($A174,MAGAZZINO!$B$2:$M$100000,3,FALSE)</f>
        <v/>
      </c>
      <c r="D174" s="3">
        <f>+VLOOKUP($A174,MAGAZZINO!$B$2:$M$100000,4,FALSE)</f>
        <v/>
      </c>
      <c r="E174" s="3">
        <f>+VLOOKUP($A174,MAGAZZINO!$B$2:$M$100000,5,FALSE)</f>
        <v/>
      </c>
      <c r="F174" s="3">
        <f>+VLOOKUP($A174,MAGAZZINO!$B$2:$M$100000,6,FALSE)</f>
        <v/>
      </c>
      <c r="G174" s="3">
        <f>+VLOOKUP($A174,MAGAZZINO!$B$2:$M$100000,7,FALSE)</f>
        <v/>
      </c>
      <c r="H174" s="3">
        <f>+VLOOKUP($A174,MAGAZZINO!$B$2:$M$100000,8,FALSE)</f>
        <v/>
      </c>
      <c r="I174" s="3">
        <f>+VLOOKUP($A174,MAGAZZINO!$B$2:$M$100000,9,FALSE)</f>
        <v/>
      </c>
      <c r="J174" s="3">
        <f>+VLOOKUP($A174,MAGAZZINO!$B$2:$M$100000,10,FALSE)</f>
        <v/>
      </c>
      <c r="K174" s="3">
        <f>+VLOOKUP($A174,MAGAZZINO!$B$2:$M$100000,11,FALSE)</f>
        <v/>
      </c>
      <c r="L174" s="5">
        <f>+VLOOKUP($A174,MAGAZZINO!$B$2:$M$100000,12,FALSE)</f>
        <v/>
      </c>
      <c r="M174" s="47" t="n"/>
      <c r="N174" s="88" t="n">
        <v>45609</v>
      </c>
      <c r="O174" s="91" t="inlineStr">
        <is>
          <t>HS &amp; LLC (OMAN)</t>
        </is>
      </c>
      <c r="P174" s="154" t="inlineStr">
        <is>
          <t>IMPORT LICENSE N. 24/1/2463/1/2024 DEL 05/05/2024                                                              AUT. ESPORTAZIONE MULTIPLA N. 6B/2024/2M RILASCIATA IL 30/07/2024   (LICENZA DI SCARICO N. 6B/2024/1S RILASCIATA IL 06/11/2024)</t>
        </is>
      </c>
      <c r="Q174" s="150" t="n"/>
      <c r="R174" s="150" t="n"/>
      <c r="S174" s="153" t="n"/>
    </row>
    <row r="175" ht="36" customHeight="1">
      <c r="A175" s="46" t="n">
        <v>2505</v>
      </c>
      <c r="B175" s="4">
        <f>+VLOOKUP($A175,MAGAZZINO!$B$2:$M$100000,2,FALSE)</f>
        <v/>
      </c>
      <c r="C175" s="29">
        <f>+VLOOKUP($A175,MAGAZZINO!$B$2:$M$100000,3,FALSE)</f>
        <v/>
      </c>
      <c r="D175" s="3">
        <f>+VLOOKUP($A175,MAGAZZINO!$B$2:$M$100000,4,FALSE)</f>
        <v/>
      </c>
      <c r="E175" s="3">
        <f>+VLOOKUP($A175,MAGAZZINO!$B$2:$M$100000,5,FALSE)</f>
        <v/>
      </c>
      <c r="F175" s="3">
        <f>+VLOOKUP($A175,MAGAZZINO!$B$2:$M$100000,6,FALSE)</f>
        <v/>
      </c>
      <c r="G175" s="3">
        <f>+VLOOKUP($A175,MAGAZZINO!$B$2:$M$100000,7,FALSE)</f>
        <v/>
      </c>
      <c r="H175" s="3">
        <f>+VLOOKUP($A175,MAGAZZINO!$B$2:$M$100000,8,FALSE)</f>
        <v/>
      </c>
      <c r="I175" s="3">
        <f>+VLOOKUP($A175,MAGAZZINO!$B$2:$M$100000,9,FALSE)</f>
        <v/>
      </c>
      <c r="J175" s="3">
        <f>+VLOOKUP($A175,MAGAZZINO!$B$2:$M$100000,10,FALSE)</f>
        <v/>
      </c>
      <c r="K175" s="3">
        <f>+VLOOKUP($A175,MAGAZZINO!$B$2:$M$100000,11,FALSE)</f>
        <v/>
      </c>
      <c r="L175" s="5">
        <f>+VLOOKUP($A175,MAGAZZINO!$B$2:$M$100000,12,FALSE)</f>
        <v/>
      </c>
      <c r="M175" s="47" t="n"/>
      <c r="N175" s="88" t="n">
        <v>45609</v>
      </c>
      <c r="O175" s="91" t="inlineStr">
        <is>
          <t>HS &amp; LLC (OMAN)</t>
        </is>
      </c>
      <c r="P175" s="154" t="inlineStr">
        <is>
          <t>IMPORT LICENSE N. 24/1/2463/1/2024 DEL 05/05/2024                                                              AUT. ESPORTAZIONE MULTIPLA N. 6B/2024/2M RILASCIATA IL 30/07/2024   (LICENZA DI SCARICO N. 6B/2024/1S RILASCIATA IL 06/11/2024)</t>
        </is>
      </c>
      <c r="Q175" s="150" t="n"/>
      <c r="R175" s="150" t="n"/>
      <c r="S175" s="153" t="n"/>
    </row>
    <row r="176" ht="36" customHeight="1">
      <c r="A176" s="46" t="n">
        <v>2506</v>
      </c>
      <c r="B176" s="4">
        <f>+VLOOKUP($A176,MAGAZZINO!$B$2:$M$100000,2,FALSE)</f>
        <v/>
      </c>
      <c r="C176" s="29">
        <f>+VLOOKUP($A176,MAGAZZINO!$B$2:$M$100000,3,FALSE)</f>
        <v/>
      </c>
      <c r="D176" s="3">
        <f>+VLOOKUP($A176,MAGAZZINO!$B$2:$M$100000,4,FALSE)</f>
        <v/>
      </c>
      <c r="E176" s="3">
        <f>+VLOOKUP($A176,MAGAZZINO!$B$2:$M$100000,5,FALSE)</f>
        <v/>
      </c>
      <c r="F176" s="3">
        <f>+VLOOKUP($A176,MAGAZZINO!$B$2:$M$100000,6,FALSE)</f>
        <v/>
      </c>
      <c r="G176" s="3">
        <f>+VLOOKUP($A176,MAGAZZINO!$B$2:$M$100000,7,FALSE)</f>
        <v/>
      </c>
      <c r="H176" s="3">
        <f>+VLOOKUP($A176,MAGAZZINO!$B$2:$M$100000,8,FALSE)</f>
        <v/>
      </c>
      <c r="I176" s="3">
        <f>+VLOOKUP($A176,MAGAZZINO!$B$2:$M$100000,9,FALSE)</f>
        <v/>
      </c>
      <c r="J176" s="3">
        <f>+VLOOKUP($A176,MAGAZZINO!$B$2:$M$100000,10,FALSE)</f>
        <v/>
      </c>
      <c r="K176" s="3">
        <f>+VLOOKUP($A176,MAGAZZINO!$B$2:$M$100000,11,FALSE)</f>
        <v/>
      </c>
      <c r="L176" s="5">
        <f>+VLOOKUP($A176,MAGAZZINO!$B$2:$M$100000,12,FALSE)</f>
        <v/>
      </c>
      <c r="M176" s="47" t="n"/>
      <c r="N176" s="88" t="n">
        <v>45609</v>
      </c>
      <c r="O176" s="91" t="inlineStr">
        <is>
          <t>HS &amp; LLC (OMAN)</t>
        </is>
      </c>
      <c r="P176" s="154" t="inlineStr">
        <is>
          <t>IMPORT LICENSE N. 24/1/2463/1/2024 DEL 05/05/2024                                                              AUT. ESPORTAZIONE MULTIPLA N. 6B/2024/2M RILASCIATA IL 30/07/2024   (LICENZA DI SCARICO N. 6B/2024/1S RILASCIATA IL 06/11/2024)</t>
        </is>
      </c>
      <c r="Q176" s="150" t="n"/>
      <c r="R176" s="150" t="n"/>
      <c r="S176" s="153" t="n"/>
    </row>
    <row r="177" ht="36" customHeight="1">
      <c r="A177" s="46" t="n">
        <v>2507</v>
      </c>
      <c r="B177" s="4">
        <f>+VLOOKUP($A177,MAGAZZINO!$B$2:$M$100000,2,FALSE)</f>
        <v/>
      </c>
      <c r="C177" s="29">
        <f>+VLOOKUP($A177,MAGAZZINO!$B$2:$M$100000,3,FALSE)</f>
        <v/>
      </c>
      <c r="D177" s="3">
        <f>+VLOOKUP($A177,MAGAZZINO!$B$2:$M$100000,4,FALSE)</f>
        <v/>
      </c>
      <c r="E177" s="3">
        <f>+VLOOKUP($A177,MAGAZZINO!$B$2:$M$100000,5,FALSE)</f>
        <v/>
      </c>
      <c r="F177" s="3">
        <f>+VLOOKUP($A177,MAGAZZINO!$B$2:$M$100000,6,FALSE)</f>
        <v/>
      </c>
      <c r="G177" s="3">
        <f>+VLOOKUP($A177,MAGAZZINO!$B$2:$M$100000,7,FALSE)</f>
        <v/>
      </c>
      <c r="H177" s="3">
        <f>+VLOOKUP($A177,MAGAZZINO!$B$2:$M$100000,8,FALSE)</f>
        <v/>
      </c>
      <c r="I177" s="3">
        <f>+VLOOKUP($A177,MAGAZZINO!$B$2:$M$100000,9,FALSE)</f>
        <v/>
      </c>
      <c r="J177" s="3">
        <f>+VLOOKUP($A177,MAGAZZINO!$B$2:$M$100000,10,FALSE)</f>
        <v/>
      </c>
      <c r="K177" s="3">
        <f>+VLOOKUP($A177,MAGAZZINO!$B$2:$M$100000,11,FALSE)</f>
        <v/>
      </c>
      <c r="L177" s="5">
        <f>+VLOOKUP($A177,MAGAZZINO!$B$2:$M$100000,12,FALSE)</f>
        <v/>
      </c>
      <c r="M177" s="47" t="n"/>
      <c r="N177" s="88" t="n">
        <v>45609</v>
      </c>
      <c r="O177" s="91" t="inlineStr">
        <is>
          <t>HS &amp; LLC (OMAN)</t>
        </is>
      </c>
      <c r="P177" s="154" t="inlineStr">
        <is>
          <t>IMPORT LICENSE N. 24/1/2463/1/2024 DEL 05/05/2024                                                              AUT. ESPORTAZIONE MULTIPLA N. 6B/2024/2M RILASCIATA IL 30/07/2024   (LICENZA DI SCARICO N. 6B/2024/1S RILASCIATA IL 06/11/2024)</t>
        </is>
      </c>
      <c r="Q177" s="150" t="n"/>
      <c r="R177" s="150" t="n"/>
      <c r="S177" s="153" t="n"/>
    </row>
    <row r="178" ht="36" customHeight="1">
      <c r="A178" s="46" t="n">
        <v>2508</v>
      </c>
      <c r="B178" s="4">
        <f>+VLOOKUP($A178,MAGAZZINO!$B$2:$M$100000,2,FALSE)</f>
        <v/>
      </c>
      <c r="C178" s="29">
        <f>+VLOOKUP($A178,MAGAZZINO!$B$2:$M$100000,3,FALSE)</f>
        <v/>
      </c>
      <c r="D178" s="3">
        <f>+VLOOKUP($A178,MAGAZZINO!$B$2:$M$100000,4,FALSE)</f>
        <v/>
      </c>
      <c r="E178" s="3">
        <f>+VLOOKUP($A178,MAGAZZINO!$B$2:$M$100000,5,FALSE)</f>
        <v/>
      </c>
      <c r="F178" s="3">
        <f>+VLOOKUP($A178,MAGAZZINO!$B$2:$M$100000,6,FALSE)</f>
        <v/>
      </c>
      <c r="G178" s="3">
        <f>+VLOOKUP($A178,MAGAZZINO!$B$2:$M$100000,7,FALSE)</f>
        <v/>
      </c>
      <c r="H178" s="3">
        <f>+VLOOKUP($A178,MAGAZZINO!$B$2:$M$100000,8,FALSE)</f>
        <v/>
      </c>
      <c r="I178" s="3">
        <f>+VLOOKUP($A178,MAGAZZINO!$B$2:$M$100000,9,FALSE)</f>
        <v/>
      </c>
      <c r="J178" s="3">
        <f>+VLOOKUP($A178,MAGAZZINO!$B$2:$M$100000,10,FALSE)</f>
        <v/>
      </c>
      <c r="K178" s="3">
        <f>+VLOOKUP($A178,MAGAZZINO!$B$2:$M$100000,11,FALSE)</f>
        <v/>
      </c>
      <c r="L178" s="5">
        <f>+VLOOKUP($A178,MAGAZZINO!$B$2:$M$100000,12,FALSE)</f>
        <v/>
      </c>
      <c r="M178" s="47" t="n"/>
      <c r="N178" s="88" t="n">
        <v>45609</v>
      </c>
      <c r="O178" s="91" t="inlineStr">
        <is>
          <t>HS &amp; LLC (OMAN)</t>
        </is>
      </c>
      <c r="P178" s="154" t="inlineStr">
        <is>
          <t>IMPORT LICENSE N. 24/1/2463/1/2024 DEL 05/05/2024                                                              AUT. ESPORTAZIONE MULTIPLA N. 6B/2024/2M RILASCIATA IL 30/07/2024   (LICENZA DI SCARICO N. 6B/2024/1S RILASCIATA IL 06/11/2024)</t>
        </is>
      </c>
      <c r="Q178" s="150" t="n"/>
      <c r="R178" s="150" t="n"/>
      <c r="S178" s="153" t="n"/>
    </row>
    <row r="179" ht="36" customHeight="1">
      <c r="A179" s="46" t="n">
        <v>2509</v>
      </c>
      <c r="B179" s="4">
        <f>+VLOOKUP($A179,MAGAZZINO!$B$2:$M$100000,2,FALSE)</f>
        <v/>
      </c>
      <c r="C179" s="29">
        <f>+VLOOKUP($A179,MAGAZZINO!$B$2:$M$100000,3,FALSE)</f>
        <v/>
      </c>
      <c r="D179" s="3">
        <f>+VLOOKUP($A179,MAGAZZINO!$B$2:$M$100000,4,FALSE)</f>
        <v/>
      </c>
      <c r="E179" s="3">
        <f>+VLOOKUP($A179,MAGAZZINO!$B$2:$M$100000,5,FALSE)</f>
        <v/>
      </c>
      <c r="F179" s="3">
        <f>+VLOOKUP($A179,MAGAZZINO!$B$2:$M$100000,6,FALSE)</f>
        <v/>
      </c>
      <c r="G179" s="3">
        <f>+VLOOKUP($A179,MAGAZZINO!$B$2:$M$100000,7,FALSE)</f>
        <v/>
      </c>
      <c r="H179" s="3">
        <f>+VLOOKUP($A179,MAGAZZINO!$B$2:$M$100000,8,FALSE)</f>
        <v/>
      </c>
      <c r="I179" s="3">
        <f>+VLOOKUP($A179,MAGAZZINO!$B$2:$M$100000,9,FALSE)</f>
        <v/>
      </c>
      <c r="J179" s="3">
        <f>+VLOOKUP($A179,MAGAZZINO!$B$2:$M$100000,10,FALSE)</f>
        <v/>
      </c>
      <c r="K179" s="3">
        <f>+VLOOKUP($A179,MAGAZZINO!$B$2:$M$100000,11,FALSE)</f>
        <v/>
      </c>
      <c r="L179" s="5">
        <f>+VLOOKUP($A179,MAGAZZINO!$B$2:$M$100000,12,FALSE)</f>
        <v/>
      </c>
      <c r="M179" s="47" t="n"/>
      <c r="N179" s="88" t="n">
        <v>45609</v>
      </c>
      <c r="O179" s="91" t="inlineStr">
        <is>
          <t>HS &amp; LLC (OMAN)</t>
        </is>
      </c>
      <c r="P179" s="154" t="inlineStr">
        <is>
          <t>IMPORT LICENSE N. 24/1/2463/1/2024 DEL 05/05/2024                                                              AUT. ESPORTAZIONE MULTIPLA N. 6B/2024/2M RILASCIATA IL 30/07/2024   (LICENZA DI SCARICO N. 6B/2024/1S RILASCIATA IL 06/11/2024)</t>
        </is>
      </c>
      <c r="Q179" s="150" t="n"/>
      <c r="R179" s="150" t="n"/>
      <c r="S179" s="153" t="n"/>
    </row>
    <row r="180" ht="36" customHeight="1">
      <c r="A180" s="46" t="n">
        <v>2510</v>
      </c>
      <c r="B180" s="4">
        <f>+VLOOKUP($A180,MAGAZZINO!$B$2:$M$100000,2,FALSE)</f>
        <v/>
      </c>
      <c r="C180" s="29">
        <f>+VLOOKUP($A180,MAGAZZINO!$B$2:$M$100000,3,FALSE)</f>
        <v/>
      </c>
      <c r="D180" s="3">
        <f>+VLOOKUP($A180,MAGAZZINO!$B$2:$M$100000,4,FALSE)</f>
        <v/>
      </c>
      <c r="E180" s="3">
        <f>+VLOOKUP($A180,MAGAZZINO!$B$2:$M$100000,5,FALSE)</f>
        <v/>
      </c>
      <c r="F180" s="3">
        <f>+VLOOKUP($A180,MAGAZZINO!$B$2:$M$100000,6,FALSE)</f>
        <v/>
      </c>
      <c r="G180" s="3">
        <f>+VLOOKUP($A180,MAGAZZINO!$B$2:$M$100000,7,FALSE)</f>
        <v/>
      </c>
      <c r="H180" s="3">
        <f>+VLOOKUP($A180,MAGAZZINO!$B$2:$M$100000,8,FALSE)</f>
        <v/>
      </c>
      <c r="I180" s="3">
        <f>+VLOOKUP($A180,MAGAZZINO!$B$2:$M$100000,9,FALSE)</f>
        <v/>
      </c>
      <c r="J180" s="3">
        <f>+VLOOKUP($A180,MAGAZZINO!$B$2:$M$100000,10,FALSE)</f>
        <v/>
      </c>
      <c r="K180" s="3">
        <f>+VLOOKUP($A180,MAGAZZINO!$B$2:$M$100000,11,FALSE)</f>
        <v/>
      </c>
      <c r="L180" s="5">
        <f>+VLOOKUP($A180,MAGAZZINO!$B$2:$M$100000,12,FALSE)</f>
        <v/>
      </c>
      <c r="M180" s="47" t="n"/>
      <c r="N180" s="88" t="n">
        <v>45609</v>
      </c>
      <c r="O180" s="91" t="inlineStr">
        <is>
          <t>HS &amp; LLC (OMAN)</t>
        </is>
      </c>
      <c r="P180" s="154" t="inlineStr">
        <is>
          <t>IMPORT LICENSE N. 24/1/2463/1/2024 DEL 05/05/2024                                                              AUT. ESPORTAZIONE MULTIPLA N. 6B/2024/2M RILASCIATA IL 30/07/2024   (LICENZA DI SCARICO N. 6B/2024/1S RILASCIATA IL 06/11/2024)</t>
        </is>
      </c>
      <c r="Q180" s="150" t="n"/>
      <c r="R180" s="150" t="n"/>
      <c r="S180" s="153" t="n"/>
    </row>
    <row r="181" ht="36" customHeight="1">
      <c r="A181" s="46" t="n">
        <v>2511</v>
      </c>
      <c r="B181" s="4">
        <f>+VLOOKUP($A181,MAGAZZINO!$B$2:$M$100000,2,FALSE)</f>
        <v/>
      </c>
      <c r="C181" s="29">
        <f>+VLOOKUP($A181,MAGAZZINO!$B$2:$M$100000,3,FALSE)</f>
        <v/>
      </c>
      <c r="D181" s="3">
        <f>+VLOOKUP($A181,MAGAZZINO!$B$2:$M$100000,4,FALSE)</f>
        <v/>
      </c>
      <c r="E181" s="3">
        <f>+VLOOKUP($A181,MAGAZZINO!$B$2:$M$100000,5,FALSE)</f>
        <v/>
      </c>
      <c r="F181" s="3">
        <f>+VLOOKUP($A181,MAGAZZINO!$B$2:$M$100000,6,FALSE)</f>
        <v/>
      </c>
      <c r="G181" s="3">
        <f>+VLOOKUP($A181,MAGAZZINO!$B$2:$M$100000,7,FALSE)</f>
        <v/>
      </c>
      <c r="H181" s="3">
        <f>+VLOOKUP($A181,MAGAZZINO!$B$2:$M$100000,8,FALSE)</f>
        <v/>
      </c>
      <c r="I181" s="3">
        <f>+VLOOKUP($A181,MAGAZZINO!$B$2:$M$100000,9,FALSE)</f>
        <v/>
      </c>
      <c r="J181" s="3">
        <f>+VLOOKUP($A181,MAGAZZINO!$B$2:$M$100000,10,FALSE)</f>
        <v/>
      </c>
      <c r="K181" s="3">
        <f>+VLOOKUP($A181,MAGAZZINO!$B$2:$M$100000,11,FALSE)</f>
        <v/>
      </c>
      <c r="L181" s="5">
        <f>+VLOOKUP($A181,MAGAZZINO!$B$2:$M$100000,12,FALSE)</f>
        <v/>
      </c>
      <c r="M181" s="47" t="n"/>
      <c r="N181" s="88" t="n">
        <v>45609</v>
      </c>
      <c r="O181" s="91" t="inlineStr">
        <is>
          <t>HS &amp; LLC (OMAN)</t>
        </is>
      </c>
      <c r="P181" s="154" t="inlineStr">
        <is>
          <t>IMPORT LICENSE N. 24/1/2463/1/2024 DEL 05/05/2024                                                              AUT. ESPORTAZIONE MULTIPLA N. 6B/2024/2M RILASCIATA IL 30/07/2024   (LICENZA DI SCARICO N. 6B/2024/1S RILASCIATA IL 06/11/2024)</t>
        </is>
      </c>
      <c r="Q181" s="150" t="n"/>
      <c r="R181" s="150" t="n"/>
      <c r="S181" s="153" t="n"/>
    </row>
    <row r="182" ht="36" customHeight="1">
      <c r="A182" s="46" t="n">
        <v>2512</v>
      </c>
      <c r="B182" s="4">
        <f>+VLOOKUP($A182,MAGAZZINO!$B$2:$M$100000,2,FALSE)</f>
        <v/>
      </c>
      <c r="C182" s="29">
        <f>+VLOOKUP($A182,MAGAZZINO!$B$2:$M$100000,3,FALSE)</f>
        <v/>
      </c>
      <c r="D182" s="3">
        <f>+VLOOKUP($A182,MAGAZZINO!$B$2:$M$100000,4,FALSE)</f>
        <v/>
      </c>
      <c r="E182" s="3">
        <f>+VLOOKUP($A182,MAGAZZINO!$B$2:$M$100000,5,FALSE)</f>
        <v/>
      </c>
      <c r="F182" s="3">
        <f>+VLOOKUP($A182,MAGAZZINO!$B$2:$M$100000,6,FALSE)</f>
        <v/>
      </c>
      <c r="G182" s="3">
        <f>+VLOOKUP($A182,MAGAZZINO!$B$2:$M$100000,7,FALSE)</f>
        <v/>
      </c>
      <c r="H182" s="3">
        <f>+VLOOKUP($A182,MAGAZZINO!$B$2:$M$100000,8,FALSE)</f>
        <v/>
      </c>
      <c r="I182" s="3">
        <f>+VLOOKUP($A182,MAGAZZINO!$B$2:$M$100000,9,FALSE)</f>
        <v/>
      </c>
      <c r="J182" s="3">
        <f>+VLOOKUP($A182,MAGAZZINO!$B$2:$M$100000,10,FALSE)</f>
        <v/>
      </c>
      <c r="K182" s="3">
        <f>+VLOOKUP($A182,MAGAZZINO!$B$2:$M$100000,11,FALSE)</f>
        <v/>
      </c>
      <c r="L182" s="5">
        <f>+VLOOKUP($A182,MAGAZZINO!$B$2:$M$100000,12,FALSE)</f>
        <v/>
      </c>
      <c r="M182" s="47" t="n"/>
      <c r="N182" s="88" t="n">
        <v>45609</v>
      </c>
      <c r="O182" s="91" t="inlineStr">
        <is>
          <t>HS &amp; LLC (OMAN)</t>
        </is>
      </c>
      <c r="P182" s="154" t="inlineStr">
        <is>
          <t>IMPORT LICENSE N. 24/1/2463/1/2024 DEL 05/05/2024                                                              AUT. ESPORTAZIONE MULTIPLA N. 6B/2024/2M RILASCIATA IL 30/07/2024   (LICENZA DI SCARICO N. 6B/2024/1S RILASCIATA IL 06/11/2024)</t>
        </is>
      </c>
      <c r="Q182" s="150" t="n"/>
      <c r="R182" s="150" t="n"/>
      <c r="S182" s="153" t="n"/>
    </row>
    <row r="183" ht="36" customHeight="1">
      <c r="A183" s="46" t="n">
        <v>2513</v>
      </c>
      <c r="B183" s="4">
        <f>+VLOOKUP($A183,MAGAZZINO!$B$2:$M$100000,2,FALSE)</f>
        <v/>
      </c>
      <c r="C183" s="29">
        <f>+VLOOKUP($A183,MAGAZZINO!$B$2:$M$100000,3,FALSE)</f>
        <v/>
      </c>
      <c r="D183" s="3">
        <f>+VLOOKUP($A183,MAGAZZINO!$B$2:$M$100000,4,FALSE)</f>
        <v/>
      </c>
      <c r="E183" s="3">
        <f>+VLOOKUP($A183,MAGAZZINO!$B$2:$M$100000,5,FALSE)</f>
        <v/>
      </c>
      <c r="F183" s="3">
        <f>+VLOOKUP($A183,MAGAZZINO!$B$2:$M$100000,6,FALSE)</f>
        <v/>
      </c>
      <c r="G183" s="3">
        <f>+VLOOKUP($A183,MAGAZZINO!$B$2:$M$100000,7,FALSE)</f>
        <v/>
      </c>
      <c r="H183" s="3">
        <f>+VLOOKUP($A183,MAGAZZINO!$B$2:$M$100000,8,FALSE)</f>
        <v/>
      </c>
      <c r="I183" s="3">
        <f>+VLOOKUP($A183,MAGAZZINO!$B$2:$M$100000,9,FALSE)</f>
        <v/>
      </c>
      <c r="J183" s="3">
        <f>+VLOOKUP($A183,MAGAZZINO!$B$2:$M$100000,10,FALSE)</f>
        <v/>
      </c>
      <c r="K183" s="3">
        <f>+VLOOKUP($A183,MAGAZZINO!$B$2:$M$100000,11,FALSE)</f>
        <v/>
      </c>
      <c r="L183" s="5">
        <f>+VLOOKUP($A183,MAGAZZINO!$B$2:$M$100000,12,FALSE)</f>
        <v/>
      </c>
      <c r="M183" s="47" t="n"/>
      <c r="N183" s="88" t="n">
        <v>45609</v>
      </c>
      <c r="O183" s="91" t="inlineStr">
        <is>
          <t>HS &amp; LLC (OMAN)</t>
        </is>
      </c>
      <c r="P183" s="154" t="inlineStr">
        <is>
          <t>IMPORT LICENSE N. 24/1/2463/1/2024 DEL 05/05/2024                                                              AUT. ESPORTAZIONE MULTIPLA N. 6B/2024/2M RILASCIATA IL 30/07/2024   (LICENZA DI SCARICO N. 6B/2024/1S RILASCIATA IL 06/11/2024)</t>
        </is>
      </c>
      <c r="Q183" s="150" t="n"/>
      <c r="R183" s="150" t="n"/>
      <c r="S183" s="153" t="n"/>
    </row>
    <row r="184" ht="36" customHeight="1">
      <c r="A184" s="46" t="n">
        <v>2514</v>
      </c>
      <c r="B184" s="4">
        <f>+VLOOKUP($A184,MAGAZZINO!$B$2:$M$100000,2,FALSE)</f>
        <v/>
      </c>
      <c r="C184" s="29">
        <f>+VLOOKUP($A184,MAGAZZINO!$B$2:$M$100000,3,FALSE)</f>
        <v/>
      </c>
      <c r="D184" s="3">
        <f>+VLOOKUP($A184,MAGAZZINO!$B$2:$M$100000,4,FALSE)</f>
        <v/>
      </c>
      <c r="E184" s="3">
        <f>+VLOOKUP($A184,MAGAZZINO!$B$2:$M$100000,5,FALSE)</f>
        <v/>
      </c>
      <c r="F184" s="3">
        <f>+VLOOKUP($A184,MAGAZZINO!$B$2:$M$100000,6,FALSE)</f>
        <v/>
      </c>
      <c r="G184" s="3">
        <f>+VLOOKUP($A184,MAGAZZINO!$B$2:$M$100000,7,FALSE)</f>
        <v/>
      </c>
      <c r="H184" s="3">
        <f>+VLOOKUP($A184,MAGAZZINO!$B$2:$M$100000,8,FALSE)</f>
        <v/>
      </c>
      <c r="I184" s="3">
        <f>+VLOOKUP($A184,MAGAZZINO!$B$2:$M$100000,9,FALSE)</f>
        <v/>
      </c>
      <c r="J184" s="3">
        <f>+VLOOKUP($A184,MAGAZZINO!$B$2:$M$100000,10,FALSE)</f>
        <v/>
      </c>
      <c r="K184" s="3">
        <f>+VLOOKUP($A184,MAGAZZINO!$B$2:$M$100000,11,FALSE)</f>
        <v/>
      </c>
      <c r="L184" s="5">
        <f>+VLOOKUP($A184,MAGAZZINO!$B$2:$M$100000,12,FALSE)</f>
        <v/>
      </c>
      <c r="M184" s="47" t="n"/>
      <c r="N184" s="88" t="n">
        <v>45609</v>
      </c>
      <c r="O184" s="91" t="inlineStr">
        <is>
          <t>HS &amp; LLC (OMAN)</t>
        </is>
      </c>
      <c r="P184" s="154" t="inlineStr">
        <is>
          <t>IMPORT LICENSE N. 24/1/2463/1/2024 DEL 05/05/2024                                                              AUT. ESPORTAZIONE MULTIPLA N. 6B/2024/2M RILASCIATA IL 30/07/2024   (LICENZA DI SCARICO N. 6B/2024/1S RILASCIATA IL 06/11/2024)</t>
        </is>
      </c>
      <c r="Q184" s="150" t="n"/>
      <c r="R184" s="150" t="n"/>
      <c r="S184" s="153" t="n"/>
    </row>
    <row r="185" ht="36" customHeight="1">
      <c r="A185" s="46" t="n">
        <v>2515</v>
      </c>
      <c r="B185" s="4">
        <f>+VLOOKUP($A185,MAGAZZINO!$B$2:$M$100000,2,FALSE)</f>
        <v/>
      </c>
      <c r="C185" s="29">
        <f>+VLOOKUP($A185,MAGAZZINO!$B$2:$M$100000,3,FALSE)</f>
        <v/>
      </c>
      <c r="D185" s="3">
        <f>+VLOOKUP($A185,MAGAZZINO!$B$2:$M$100000,4,FALSE)</f>
        <v/>
      </c>
      <c r="E185" s="3">
        <f>+VLOOKUP($A185,MAGAZZINO!$B$2:$M$100000,5,FALSE)</f>
        <v/>
      </c>
      <c r="F185" s="3">
        <f>+VLOOKUP($A185,MAGAZZINO!$B$2:$M$100000,6,FALSE)</f>
        <v/>
      </c>
      <c r="G185" s="3">
        <f>+VLOOKUP($A185,MAGAZZINO!$B$2:$M$100000,7,FALSE)</f>
        <v/>
      </c>
      <c r="H185" s="3">
        <f>+VLOOKUP($A185,MAGAZZINO!$B$2:$M$100000,8,FALSE)</f>
        <v/>
      </c>
      <c r="I185" s="3">
        <f>+VLOOKUP($A185,MAGAZZINO!$B$2:$M$100000,9,FALSE)</f>
        <v/>
      </c>
      <c r="J185" s="3">
        <f>+VLOOKUP($A185,MAGAZZINO!$B$2:$M$100000,10,FALSE)</f>
        <v/>
      </c>
      <c r="K185" s="3">
        <f>+VLOOKUP($A185,MAGAZZINO!$B$2:$M$100000,11,FALSE)</f>
        <v/>
      </c>
      <c r="L185" s="5">
        <f>+VLOOKUP($A185,MAGAZZINO!$B$2:$M$100000,12,FALSE)</f>
        <v/>
      </c>
      <c r="M185" s="47" t="n"/>
      <c r="N185" s="88" t="n">
        <v>45609</v>
      </c>
      <c r="O185" s="91" t="inlineStr">
        <is>
          <t>HS &amp; LLC (OMAN)</t>
        </is>
      </c>
      <c r="P185" s="154" t="inlineStr">
        <is>
          <t>IMPORT LICENSE N. 24/1/2463/1/2024 DEL 05/05/2024                                                              AUT. ESPORTAZIONE MULTIPLA N. 6B/2024/2M RILASCIATA IL 30/07/2024   (LICENZA DI SCARICO N. 6B/2024/1S RILASCIATA IL 06/11/2024)</t>
        </is>
      </c>
      <c r="Q185" s="150" t="n"/>
      <c r="R185" s="150" t="n"/>
      <c r="S185" s="153" t="n"/>
    </row>
    <row r="186" ht="36" customHeight="1">
      <c r="A186" s="46" t="n">
        <v>2516</v>
      </c>
      <c r="B186" s="4">
        <f>+VLOOKUP($A186,MAGAZZINO!$B$2:$M$100000,2,FALSE)</f>
        <v/>
      </c>
      <c r="C186" s="29">
        <f>+VLOOKUP($A186,MAGAZZINO!$B$2:$M$100000,3,FALSE)</f>
        <v/>
      </c>
      <c r="D186" s="3">
        <f>+VLOOKUP($A186,MAGAZZINO!$B$2:$M$100000,4,FALSE)</f>
        <v/>
      </c>
      <c r="E186" s="3">
        <f>+VLOOKUP($A186,MAGAZZINO!$B$2:$M$100000,5,FALSE)</f>
        <v/>
      </c>
      <c r="F186" s="3">
        <f>+VLOOKUP($A186,MAGAZZINO!$B$2:$M$100000,6,FALSE)</f>
        <v/>
      </c>
      <c r="G186" s="3">
        <f>+VLOOKUP($A186,MAGAZZINO!$B$2:$M$100000,7,FALSE)</f>
        <v/>
      </c>
      <c r="H186" s="98">
        <f>+VLOOKUP($A186,MAGAZZINO!$B$2:$M$100000,8,FALSE)</f>
        <v/>
      </c>
      <c r="I186" s="3">
        <f>+VLOOKUP($A186,MAGAZZINO!$B$2:$M$100000,9,FALSE)</f>
        <v/>
      </c>
      <c r="J186" s="3">
        <f>+VLOOKUP($A186,MAGAZZINO!$B$2:$M$100000,10,FALSE)</f>
        <v/>
      </c>
      <c r="K186" s="3">
        <f>+VLOOKUP($A186,MAGAZZINO!$B$2:$M$100000,11,FALSE)</f>
        <v/>
      </c>
      <c r="L186" s="5">
        <f>+VLOOKUP($A186,MAGAZZINO!$B$2:$M$100000,12,FALSE)</f>
        <v/>
      </c>
      <c r="M186" s="47" t="n"/>
      <c r="N186" s="88" t="n">
        <v>45874</v>
      </c>
      <c r="O186" s="91" t="inlineStr">
        <is>
          <t>PHILIPPOS CONSTANTINIDES TRADING CO. LTD (CIPRO)</t>
        </is>
      </c>
      <c r="P186" s="154" t="inlineStr">
        <is>
          <t xml:space="preserve">IMPORT LICENSE N. 218 DEL 12/08/2020                                                                                         AUT. TRASFERIMENTO N. 6B/2025/3D RILASCIATA IL 28/07/2025   </t>
        </is>
      </c>
      <c r="Q186" s="150" t="n"/>
      <c r="R186" s="150" t="n"/>
      <c r="S186" s="153" t="n"/>
    </row>
    <row r="187" ht="36" customHeight="1">
      <c r="A187" s="46" t="n">
        <v>2517</v>
      </c>
      <c r="B187" s="4">
        <f>+VLOOKUP($A187,MAGAZZINO!$B$2:$M$100000,2,FALSE)</f>
        <v/>
      </c>
      <c r="C187" s="29">
        <f>+VLOOKUP($A187,MAGAZZINO!$B$2:$M$100000,3,FALSE)</f>
        <v/>
      </c>
      <c r="D187" s="3">
        <f>+VLOOKUP($A187,MAGAZZINO!$B$2:$M$100000,4,FALSE)</f>
        <v/>
      </c>
      <c r="E187" s="3">
        <f>+VLOOKUP($A187,MAGAZZINO!$B$2:$M$100000,5,FALSE)</f>
        <v/>
      </c>
      <c r="F187" s="3">
        <f>+VLOOKUP($A187,MAGAZZINO!$B$2:$M$100000,6,FALSE)</f>
        <v/>
      </c>
      <c r="G187" s="3">
        <f>+VLOOKUP($A187,MAGAZZINO!$B$2:$M$100000,7,FALSE)</f>
        <v/>
      </c>
      <c r="H187" s="3">
        <f>+VLOOKUP($A187,MAGAZZINO!$B$2:$M$100000,8,FALSE)</f>
        <v/>
      </c>
      <c r="I187" s="3">
        <f>+VLOOKUP($A187,MAGAZZINO!$B$2:$M$100000,9,FALSE)</f>
        <v/>
      </c>
      <c r="J187" s="3">
        <f>+VLOOKUP($A187,MAGAZZINO!$B$2:$M$100000,10,FALSE)</f>
        <v/>
      </c>
      <c r="K187" s="3">
        <f>+VLOOKUP($A187,MAGAZZINO!$B$2:$M$100000,11,FALSE)</f>
        <v/>
      </c>
      <c r="L187" s="5">
        <f>+VLOOKUP($A187,MAGAZZINO!$B$2:$M$100000,12,FALSE)</f>
        <v/>
      </c>
      <c r="M187" s="47" t="n"/>
      <c r="N187" s="88" t="n">
        <v>45874</v>
      </c>
      <c r="O187" s="91" t="inlineStr">
        <is>
          <t>PHILIPPOS CONSTANTINIDES TRADING CO. LTD (CIPRO)</t>
        </is>
      </c>
      <c r="P187" s="154" t="inlineStr">
        <is>
          <t xml:space="preserve">IMPORT LICENSE N. 218 DEL 12/08/2020                                                                                         AUT. TRASFERIMENTO N. 6B/2025/3D RILASCIATA IL 28/07/2025   </t>
        </is>
      </c>
      <c r="Q187" s="150" t="n"/>
      <c r="R187" s="150" t="n"/>
      <c r="S187" s="153" t="n"/>
    </row>
    <row r="188" ht="36" customHeight="1">
      <c r="A188" s="46" t="n">
        <v>2518</v>
      </c>
      <c r="B188" s="4">
        <f>+VLOOKUP($A188,MAGAZZINO!$B$2:$M$100000,2,FALSE)</f>
        <v/>
      </c>
      <c r="C188" s="29">
        <f>+VLOOKUP($A188,MAGAZZINO!$B$2:$M$100000,3,FALSE)</f>
        <v/>
      </c>
      <c r="D188" s="3">
        <f>+VLOOKUP($A188,MAGAZZINO!$B$2:$M$100000,4,FALSE)</f>
        <v/>
      </c>
      <c r="E188" s="3">
        <f>+VLOOKUP($A188,MAGAZZINO!$B$2:$M$100000,5,FALSE)</f>
        <v/>
      </c>
      <c r="F188" s="3">
        <f>+VLOOKUP($A188,MAGAZZINO!$B$2:$M$100000,6,FALSE)</f>
        <v/>
      </c>
      <c r="G188" s="3">
        <f>+VLOOKUP($A188,MAGAZZINO!$B$2:$M$100000,7,FALSE)</f>
        <v/>
      </c>
      <c r="H188" s="3">
        <f>+VLOOKUP($A188,MAGAZZINO!$B$2:$M$100000,8,FALSE)</f>
        <v/>
      </c>
      <c r="I188" s="3">
        <f>+VLOOKUP($A188,MAGAZZINO!$B$2:$M$100000,9,FALSE)</f>
        <v/>
      </c>
      <c r="J188" s="3">
        <f>+VLOOKUP($A188,MAGAZZINO!$B$2:$M$100000,10,FALSE)</f>
        <v/>
      </c>
      <c r="K188" s="3">
        <f>+VLOOKUP($A188,MAGAZZINO!$B$2:$M$100000,11,FALSE)</f>
        <v/>
      </c>
      <c r="L188" s="5">
        <f>+VLOOKUP($A188,MAGAZZINO!$B$2:$M$100000,12,FALSE)</f>
        <v/>
      </c>
      <c r="M188" s="47" t="n"/>
      <c r="N188" s="88" t="n">
        <v>45874</v>
      </c>
      <c r="O188" s="91" t="inlineStr">
        <is>
          <t>PHILIPPOS CONSTANTINIDES TRADING CO. LTD (CIPRO)</t>
        </is>
      </c>
      <c r="P188" s="154" t="inlineStr">
        <is>
          <t xml:space="preserve">IMPORT LICENSE N. 218 DEL 12/08/2020                                                                                         AUT. TRASFERIMENTO N. 6B/2025/3D RILASCIATA IL 28/07/2025   </t>
        </is>
      </c>
      <c r="Q188" s="150" t="n"/>
      <c r="R188" s="150" t="n"/>
      <c r="S188" s="153" t="n"/>
    </row>
    <row r="189" ht="36" customHeight="1">
      <c r="A189" s="46" t="n">
        <v>2519</v>
      </c>
      <c r="B189" s="4">
        <f>+VLOOKUP($A189,MAGAZZINO!$B$2:$M$100000,2,FALSE)</f>
        <v/>
      </c>
      <c r="C189" s="29">
        <f>+VLOOKUP($A189,MAGAZZINO!$B$2:$M$100000,3,FALSE)</f>
        <v/>
      </c>
      <c r="D189" s="3">
        <f>+VLOOKUP($A189,MAGAZZINO!$B$2:$M$100000,4,FALSE)</f>
        <v/>
      </c>
      <c r="E189" s="3">
        <f>+VLOOKUP($A189,MAGAZZINO!$B$2:$M$100000,5,FALSE)</f>
        <v/>
      </c>
      <c r="F189" s="3">
        <f>+VLOOKUP($A189,MAGAZZINO!$B$2:$M$100000,6,FALSE)</f>
        <v/>
      </c>
      <c r="G189" s="3">
        <f>+VLOOKUP($A189,MAGAZZINO!$B$2:$M$100000,7,FALSE)</f>
        <v/>
      </c>
      <c r="H189" s="3">
        <f>+VLOOKUP($A189,MAGAZZINO!$B$2:$M$100000,8,FALSE)</f>
        <v/>
      </c>
      <c r="I189" s="3">
        <f>+VLOOKUP($A189,MAGAZZINO!$B$2:$M$100000,9,FALSE)</f>
        <v/>
      </c>
      <c r="J189" s="3">
        <f>+VLOOKUP($A189,MAGAZZINO!$B$2:$M$100000,10,FALSE)</f>
        <v/>
      </c>
      <c r="K189" s="3">
        <f>+VLOOKUP($A189,MAGAZZINO!$B$2:$M$100000,11,FALSE)</f>
        <v/>
      </c>
      <c r="L189" s="5">
        <f>+VLOOKUP($A189,MAGAZZINO!$B$2:$M$100000,12,FALSE)</f>
        <v/>
      </c>
      <c r="M189" s="47" t="n"/>
      <c r="N189" s="88" t="n">
        <v>45609</v>
      </c>
      <c r="O189" s="91" t="inlineStr">
        <is>
          <t>HS &amp; LLC (OMAN)</t>
        </is>
      </c>
      <c r="P189" s="154" t="inlineStr">
        <is>
          <t>IMPORT LICENSE N. 24/1/2463/1/2024 DEL 05/05/2024                                                              AUT. ESPORTAZIONE MULTIPLA N. 6B/2024/2M RILASCIATA IL 30/07/2024   (LICENZA DI SCARICO N. 6B/2024/1S RILASCIATA IL 06/11/2024)</t>
        </is>
      </c>
      <c r="Q189" s="150" t="n"/>
      <c r="R189" s="150" t="n"/>
      <c r="S189" s="153" t="n"/>
    </row>
    <row r="190" ht="36" customHeight="1">
      <c r="A190" s="46" t="n">
        <v>2520</v>
      </c>
      <c r="B190" s="4">
        <f>+VLOOKUP($A190,MAGAZZINO!$B$2:$M$100000,2,FALSE)</f>
        <v/>
      </c>
      <c r="C190" s="29">
        <f>+VLOOKUP($A190,MAGAZZINO!$B$2:$M$100000,3,FALSE)</f>
        <v/>
      </c>
      <c r="D190" s="3">
        <f>+VLOOKUP($A190,MAGAZZINO!$B$2:$M$100000,4,FALSE)</f>
        <v/>
      </c>
      <c r="E190" s="3">
        <f>+VLOOKUP($A190,MAGAZZINO!$B$2:$M$100000,5,FALSE)</f>
        <v/>
      </c>
      <c r="F190" s="3">
        <f>+VLOOKUP($A190,MAGAZZINO!$B$2:$M$100000,6,FALSE)</f>
        <v/>
      </c>
      <c r="G190" s="3">
        <f>+VLOOKUP($A190,MAGAZZINO!$B$2:$M$100000,7,FALSE)</f>
        <v/>
      </c>
      <c r="H190" s="3">
        <f>+VLOOKUP($A190,MAGAZZINO!$B$2:$M$100000,8,FALSE)</f>
        <v/>
      </c>
      <c r="I190" s="3">
        <f>+VLOOKUP($A190,MAGAZZINO!$B$2:$M$100000,9,FALSE)</f>
        <v/>
      </c>
      <c r="J190" s="3">
        <f>+VLOOKUP($A190,MAGAZZINO!$B$2:$M$100000,10,FALSE)</f>
        <v/>
      </c>
      <c r="K190" s="3">
        <f>+VLOOKUP($A190,MAGAZZINO!$B$2:$M$100000,11,FALSE)</f>
        <v/>
      </c>
      <c r="L190" s="5">
        <f>+VLOOKUP($A190,MAGAZZINO!$B$2:$M$100000,12,FALSE)</f>
        <v/>
      </c>
      <c r="M190" s="47" t="n"/>
      <c r="N190" s="88" t="n">
        <v>45609</v>
      </c>
      <c r="O190" s="91" t="inlineStr">
        <is>
          <t>HS &amp; LLC (OMAN)</t>
        </is>
      </c>
      <c r="P190" s="154" t="inlineStr">
        <is>
          <t>IMPORT LICENSE N. 24/1/2463/1/2024 DEL 05/05/2024                                                              AUT. ESPORTAZIONE MULTIPLA N. 6B/2024/2M RILASCIATA IL 30/07/2024   (LICENZA DI SCARICO N. 6B/2024/1S RILASCIATA IL 06/11/2024)</t>
        </is>
      </c>
      <c r="Q190" s="150" t="n"/>
      <c r="R190" s="150" t="n"/>
      <c r="S190" s="153" t="n"/>
    </row>
    <row r="191" ht="36" customHeight="1">
      <c r="A191" s="46" t="n">
        <v>2521</v>
      </c>
      <c r="B191" s="4">
        <f>+VLOOKUP($A191,MAGAZZINO!$B$2:$M$100000,2,FALSE)</f>
        <v/>
      </c>
      <c r="C191" s="29">
        <f>+VLOOKUP($A191,MAGAZZINO!$B$2:$M$100000,3,FALSE)</f>
        <v/>
      </c>
      <c r="D191" s="3">
        <f>+VLOOKUP($A191,MAGAZZINO!$B$2:$M$100000,4,FALSE)</f>
        <v/>
      </c>
      <c r="E191" s="3">
        <f>+VLOOKUP($A191,MAGAZZINO!$B$2:$M$100000,5,FALSE)</f>
        <v/>
      </c>
      <c r="F191" s="3">
        <f>+VLOOKUP($A191,MAGAZZINO!$B$2:$M$100000,6,FALSE)</f>
        <v/>
      </c>
      <c r="G191" s="3">
        <f>+VLOOKUP($A191,MAGAZZINO!$B$2:$M$100000,7,FALSE)</f>
        <v/>
      </c>
      <c r="H191" s="3">
        <f>+VLOOKUP($A191,MAGAZZINO!$B$2:$M$100000,8,FALSE)</f>
        <v/>
      </c>
      <c r="I191" s="3">
        <f>+VLOOKUP($A191,MAGAZZINO!$B$2:$M$100000,9,FALSE)</f>
        <v/>
      </c>
      <c r="J191" s="3">
        <f>+VLOOKUP($A191,MAGAZZINO!$B$2:$M$100000,10,FALSE)</f>
        <v/>
      </c>
      <c r="K191" s="3">
        <f>+VLOOKUP($A191,MAGAZZINO!$B$2:$M$100000,11,FALSE)</f>
        <v/>
      </c>
      <c r="L191" s="5">
        <f>+VLOOKUP($A191,MAGAZZINO!$B$2:$M$100000,12,FALSE)</f>
        <v/>
      </c>
      <c r="M191" s="47" t="n"/>
      <c r="N191" s="88" t="n">
        <v>45609</v>
      </c>
      <c r="O191" s="91" t="inlineStr">
        <is>
          <t>HS &amp; LLC (OMAN)</t>
        </is>
      </c>
      <c r="P191" s="154" t="inlineStr">
        <is>
          <t>IMPORT LICENSE N. 24/1/2463/1/2024 DEL 05/05/2024                                                              AUT. ESPORTAZIONE MULTIPLA N. 6B/2024/2M RILASCIATA IL 30/07/2024   (LICENZA DI SCARICO N. 6B/2024/1S RILASCIATA IL 06/11/2024)</t>
        </is>
      </c>
      <c r="Q191" s="150" t="n"/>
      <c r="R191" s="150" t="n"/>
      <c r="S191" s="153" t="n"/>
    </row>
    <row r="192" ht="36" customHeight="1">
      <c r="A192" s="46" t="n">
        <v>2522</v>
      </c>
      <c r="B192" s="4">
        <f>+VLOOKUP($A192,MAGAZZINO!$B$2:$M$100000,2,FALSE)</f>
        <v/>
      </c>
      <c r="C192" s="29">
        <f>+VLOOKUP($A192,MAGAZZINO!$B$2:$M$100000,3,FALSE)</f>
        <v/>
      </c>
      <c r="D192" s="3">
        <f>+VLOOKUP($A192,MAGAZZINO!$B$2:$M$100000,4,FALSE)</f>
        <v/>
      </c>
      <c r="E192" s="3">
        <f>+VLOOKUP($A192,MAGAZZINO!$B$2:$M$100000,5,FALSE)</f>
        <v/>
      </c>
      <c r="F192" s="3">
        <f>+VLOOKUP($A192,MAGAZZINO!$B$2:$M$100000,6,FALSE)</f>
        <v/>
      </c>
      <c r="G192" s="3">
        <f>+VLOOKUP($A192,MAGAZZINO!$B$2:$M$100000,7,FALSE)</f>
        <v/>
      </c>
      <c r="H192" s="3">
        <f>+VLOOKUP($A192,MAGAZZINO!$B$2:$M$100000,8,FALSE)</f>
        <v/>
      </c>
      <c r="I192" s="3">
        <f>+VLOOKUP($A192,MAGAZZINO!$B$2:$M$100000,9,FALSE)</f>
        <v/>
      </c>
      <c r="J192" s="3">
        <f>+VLOOKUP($A192,MAGAZZINO!$B$2:$M$100000,10,FALSE)</f>
        <v/>
      </c>
      <c r="K192" s="3">
        <f>+VLOOKUP($A192,MAGAZZINO!$B$2:$M$100000,11,FALSE)</f>
        <v/>
      </c>
      <c r="L192" s="5">
        <f>+VLOOKUP($A192,MAGAZZINO!$B$2:$M$100000,12,FALSE)</f>
        <v/>
      </c>
      <c r="M192" s="47" t="n"/>
      <c r="N192" s="88" t="n">
        <v>45609</v>
      </c>
      <c r="O192" s="91" t="inlineStr">
        <is>
          <t>HS &amp; LLC (OMAN)</t>
        </is>
      </c>
      <c r="P192" s="154" t="inlineStr">
        <is>
          <t>IMPORT LICENSE N. 24/1/2463/1/2024 DEL 05/05/2024                                                              AUT. ESPORTAZIONE MULTIPLA N. 6B/2024/2M RILASCIATA IL 30/07/2024   (LICENZA DI SCARICO N. 6B/2024/1S RILASCIATA IL 06/11/2024)</t>
        </is>
      </c>
      <c r="Q192" s="150" t="n"/>
      <c r="R192" s="150" t="n"/>
      <c r="S192" s="153" t="n"/>
    </row>
    <row r="193" ht="36" customHeight="1">
      <c r="A193" s="46" t="n">
        <v>2523</v>
      </c>
      <c r="B193" s="4">
        <f>+VLOOKUP($A193,MAGAZZINO!$B$2:$M$100000,2,FALSE)</f>
        <v/>
      </c>
      <c r="C193" s="29">
        <f>+VLOOKUP($A193,MAGAZZINO!$B$2:$M$100000,3,FALSE)</f>
        <v/>
      </c>
      <c r="D193" s="3">
        <f>+VLOOKUP($A193,MAGAZZINO!$B$2:$M$100000,4,FALSE)</f>
        <v/>
      </c>
      <c r="E193" s="3">
        <f>+VLOOKUP($A193,MAGAZZINO!$B$2:$M$100000,5,FALSE)</f>
        <v/>
      </c>
      <c r="F193" s="3">
        <f>+VLOOKUP($A193,MAGAZZINO!$B$2:$M$100000,6,FALSE)</f>
        <v/>
      </c>
      <c r="G193" s="3">
        <f>+VLOOKUP($A193,MAGAZZINO!$B$2:$M$100000,7,FALSE)</f>
        <v/>
      </c>
      <c r="H193" s="3">
        <f>+VLOOKUP($A193,MAGAZZINO!$B$2:$M$100000,8,FALSE)</f>
        <v/>
      </c>
      <c r="I193" s="3">
        <f>+VLOOKUP($A193,MAGAZZINO!$B$2:$M$100000,9,FALSE)</f>
        <v/>
      </c>
      <c r="J193" s="3">
        <f>+VLOOKUP($A193,MAGAZZINO!$B$2:$M$100000,10,FALSE)</f>
        <v/>
      </c>
      <c r="K193" s="3">
        <f>+VLOOKUP($A193,MAGAZZINO!$B$2:$M$100000,11,FALSE)</f>
        <v/>
      </c>
      <c r="L193" s="5">
        <f>+VLOOKUP($A193,MAGAZZINO!$B$2:$M$100000,12,FALSE)</f>
        <v/>
      </c>
      <c r="M193" s="47" t="n"/>
      <c r="N193" s="88" t="n">
        <v>45609</v>
      </c>
      <c r="O193" s="91" t="inlineStr">
        <is>
          <t>HS &amp; LLC (OMAN)</t>
        </is>
      </c>
      <c r="P193" s="154" t="inlineStr">
        <is>
          <t>IMPORT LICENSE N. 24/1/2463/1/2024 DEL 05/05/2024                                                              AUT. ESPORTAZIONE MULTIPLA N. 6B/2024/2M RILASCIATA IL 30/07/2024   (LICENZA DI SCARICO N. 6B/2024/1S RILASCIATA IL 06/11/2024)</t>
        </is>
      </c>
      <c r="Q193" s="150" t="n"/>
      <c r="R193" s="150" t="n"/>
      <c r="S193" s="153" t="n"/>
    </row>
    <row r="194" ht="36" customHeight="1">
      <c r="A194" s="46" t="n">
        <v>2524</v>
      </c>
      <c r="B194" s="4">
        <f>+VLOOKUP($A194,MAGAZZINO!$B$2:$M$100000,2,FALSE)</f>
        <v/>
      </c>
      <c r="C194" s="29">
        <f>+VLOOKUP($A194,MAGAZZINO!$B$2:$M$100000,3,FALSE)</f>
        <v/>
      </c>
      <c r="D194" s="3">
        <f>+VLOOKUP($A194,MAGAZZINO!$B$2:$M$100000,4,FALSE)</f>
        <v/>
      </c>
      <c r="E194" s="3">
        <f>+VLOOKUP($A194,MAGAZZINO!$B$2:$M$100000,5,FALSE)</f>
        <v/>
      </c>
      <c r="F194" s="3">
        <f>+VLOOKUP($A194,MAGAZZINO!$B$2:$M$100000,6,FALSE)</f>
        <v/>
      </c>
      <c r="G194" s="3">
        <f>+VLOOKUP($A194,MAGAZZINO!$B$2:$M$100000,7,FALSE)</f>
        <v/>
      </c>
      <c r="H194" s="3">
        <f>+VLOOKUP($A194,MAGAZZINO!$B$2:$M$100000,8,FALSE)</f>
        <v/>
      </c>
      <c r="I194" s="3">
        <f>+VLOOKUP($A194,MAGAZZINO!$B$2:$M$100000,9,FALSE)</f>
        <v/>
      </c>
      <c r="J194" s="3">
        <f>+VLOOKUP($A194,MAGAZZINO!$B$2:$M$100000,10,FALSE)</f>
        <v/>
      </c>
      <c r="K194" s="3">
        <f>+VLOOKUP($A194,MAGAZZINO!$B$2:$M$100000,11,FALSE)</f>
        <v/>
      </c>
      <c r="L194" s="5">
        <f>+VLOOKUP($A194,MAGAZZINO!$B$2:$M$100000,12,FALSE)</f>
        <v/>
      </c>
      <c r="M194" s="47" t="n"/>
      <c r="N194" s="88" t="n">
        <v>45609</v>
      </c>
      <c r="O194" s="91" t="inlineStr">
        <is>
          <t>HS &amp; LLC (OMAN)</t>
        </is>
      </c>
      <c r="P194" s="154" t="inlineStr">
        <is>
          <t>IMPORT LICENSE N. 24/1/2463/1/2024 DEL 05/05/2024                                                              AUT. ESPORTAZIONE MULTIPLA N. 6B/2024/2M RILASCIATA IL 30/07/2024   (LICENZA DI SCARICO N. 6B/2024/1S RILASCIATA IL 06/11/2024)</t>
        </is>
      </c>
      <c r="Q194" s="150" t="n"/>
      <c r="R194" s="150" t="n"/>
      <c r="S194" s="153" t="n"/>
    </row>
    <row r="195" ht="36" customHeight="1">
      <c r="A195" s="46" t="n">
        <v>2525</v>
      </c>
      <c r="B195" s="4">
        <f>+VLOOKUP($A195,MAGAZZINO!$B$2:$M$100000,2,FALSE)</f>
        <v/>
      </c>
      <c r="C195" s="29">
        <f>+VLOOKUP($A195,MAGAZZINO!$B$2:$M$100000,3,FALSE)</f>
        <v/>
      </c>
      <c r="D195" s="3">
        <f>+VLOOKUP($A195,MAGAZZINO!$B$2:$M$100000,4,FALSE)</f>
        <v/>
      </c>
      <c r="E195" s="3">
        <f>+VLOOKUP($A195,MAGAZZINO!$B$2:$M$100000,5,FALSE)</f>
        <v/>
      </c>
      <c r="F195" s="3">
        <f>+VLOOKUP($A195,MAGAZZINO!$B$2:$M$100000,6,FALSE)</f>
        <v/>
      </c>
      <c r="G195" s="3">
        <f>+VLOOKUP($A195,MAGAZZINO!$B$2:$M$100000,7,FALSE)</f>
        <v/>
      </c>
      <c r="H195" s="3">
        <f>+VLOOKUP($A195,MAGAZZINO!$B$2:$M$100000,8,FALSE)</f>
        <v/>
      </c>
      <c r="I195" s="3">
        <f>+VLOOKUP($A195,MAGAZZINO!$B$2:$M$100000,9,FALSE)</f>
        <v/>
      </c>
      <c r="J195" s="3">
        <f>+VLOOKUP($A195,MAGAZZINO!$B$2:$M$100000,10,FALSE)</f>
        <v/>
      </c>
      <c r="K195" s="3">
        <f>+VLOOKUP($A195,MAGAZZINO!$B$2:$M$100000,11,FALSE)</f>
        <v/>
      </c>
      <c r="L195" s="5">
        <f>+VLOOKUP($A195,MAGAZZINO!$B$2:$M$100000,12,FALSE)</f>
        <v/>
      </c>
      <c r="M195" s="47" t="n"/>
      <c r="N195" s="88" t="n">
        <v>45609</v>
      </c>
      <c r="O195" s="91" t="inlineStr">
        <is>
          <t>HS &amp; LLC (OMAN)</t>
        </is>
      </c>
      <c r="P195" s="154" t="inlineStr">
        <is>
          <t>IMPORT LICENSE N. 24/1/2463/1/2024 DEL 05/05/2024                                                              AUT. ESPORTAZIONE MULTIPLA N. 6B/2024/2M RILASCIATA IL 30/07/2024   (LICENZA DI SCARICO N. 6B/2024/1S RILASCIATA IL 06/11/2024)</t>
        </is>
      </c>
      <c r="Q195" s="150" t="n"/>
      <c r="R195" s="150" t="n"/>
      <c r="S195" s="153" t="n"/>
    </row>
    <row r="196" ht="36" customHeight="1">
      <c r="A196" s="46" t="n">
        <v>2526</v>
      </c>
      <c r="B196" s="4">
        <f>+VLOOKUP($A196,MAGAZZINO!$B$2:$M$100000,2,FALSE)</f>
        <v/>
      </c>
      <c r="C196" s="29">
        <f>+VLOOKUP($A196,MAGAZZINO!$B$2:$M$100000,3,FALSE)</f>
        <v/>
      </c>
      <c r="D196" s="3">
        <f>+VLOOKUP($A196,MAGAZZINO!$B$2:$M$100000,4,FALSE)</f>
        <v/>
      </c>
      <c r="E196" s="3">
        <f>+VLOOKUP($A196,MAGAZZINO!$B$2:$M$100000,5,FALSE)</f>
        <v/>
      </c>
      <c r="F196" s="3">
        <f>+VLOOKUP($A196,MAGAZZINO!$B$2:$M$100000,6,FALSE)</f>
        <v/>
      </c>
      <c r="G196" s="3">
        <f>+VLOOKUP($A196,MAGAZZINO!$B$2:$M$100000,7,FALSE)</f>
        <v/>
      </c>
      <c r="H196" s="3">
        <f>+VLOOKUP($A196,MAGAZZINO!$B$2:$M$100000,8,FALSE)</f>
        <v/>
      </c>
      <c r="I196" s="3">
        <f>+VLOOKUP($A196,MAGAZZINO!$B$2:$M$100000,9,FALSE)</f>
        <v/>
      </c>
      <c r="J196" s="3">
        <f>+VLOOKUP($A196,MAGAZZINO!$B$2:$M$100000,10,FALSE)</f>
        <v/>
      </c>
      <c r="K196" s="3">
        <f>+VLOOKUP($A196,MAGAZZINO!$B$2:$M$100000,11,FALSE)</f>
        <v/>
      </c>
      <c r="L196" s="5">
        <f>+VLOOKUP($A196,MAGAZZINO!$B$2:$M$100000,12,FALSE)</f>
        <v/>
      </c>
      <c r="M196" s="47" t="n"/>
      <c r="N196" s="88" t="n">
        <v>45609</v>
      </c>
      <c r="O196" s="91" t="inlineStr">
        <is>
          <t>HS &amp; LLC (OMAN)</t>
        </is>
      </c>
      <c r="P196" s="154" t="inlineStr">
        <is>
          <t>IMPORT LICENSE N. 24/1/2463/1/2024 DEL 05/05/2024                                                              AUT. ESPORTAZIONE MULTIPLA N. 6B/2024/2M RILASCIATA IL 30/07/2024   (LICENZA DI SCARICO N. 6B/2024/1S RILASCIATA IL 06/11/2024)</t>
        </is>
      </c>
      <c r="Q196" s="150" t="n"/>
      <c r="R196" s="150" t="n"/>
      <c r="S196" s="153" t="n"/>
    </row>
    <row r="197" ht="36" customHeight="1">
      <c r="A197" s="46" t="n">
        <v>2527</v>
      </c>
      <c r="B197" s="4">
        <f>+VLOOKUP($A197,MAGAZZINO!$B$2:$M$100000,2,FALSE)</f>
        <v/>
      </c>
      <c r="C197" s="29">
        <f>+VLOOKUP($A197,MAGAZZINO!$B$2:$M$100000,3,FALSE)</f>
        <v/>
      </c>
      <c r="D197" s="3">
        <f>+VLOOKUP($A197,MAGAZZINO!$B$2:$M$100000,4,FALSE)</f>
        <v/>
      </c>
      <c r="E197" s="3">
        <f>+VLOOKUP($A197,MAGAZZINO!$B$2:$M$100000,5,FALSE)</f>
        <v/>
      </c>
      <c r="F197" s="3">
        <f>+VLOOKUP($A197,MAGAZZINO!$B$2:$M$100000,6,FALSE)</f>
        <v/>
      </c>
      <c r="G197" s="3">
        <f>+VLOOKUP($A197,MAGAZZINO!$B$2:$M$100000,7,FALSE)</f>
        <v/>
      </c>
      <c r="H197" s="3">
        <f>+VLOOKUP($A197,MAGAZZINO!$B$2:$M$100000,8,FALSE)</f>
        <v/>
      </c>
      <c r="I197" s="3">
        <f>+VLOOKUP($A197,MAGAZZINO!$B$2:$M$100000,9,FALSE)</f>
        <v/>
      </c>
      <c r="J197" s="3">
        <f>+VLOOKUP($A197,MAGAZZINO!$B$2:$M$100000,10,FALSE)</f>
        <v/>
      </c>
      <c r="K197" s="3">
        <f>+VLOOKUP($A197,MAGAZZINO!$B$2:$M$100000,11,FALSE)</f>
        <v/>
      </c>
      <c r="L197" s="5">
        <f>+VLOOKUP($A197,MAGAZZINO!$B$2:$M$100000,12,FALSE)</f>
        <v/>
      </c>
      <c r="M197" s="47" t="n"/>
      <c r="N197" s="88" t="n">
        <v>45609</v>
      </c>
      <c r="O197" s="91" t="inlineStr">
        <is>
          <t>HS &amp; LLC (OMAN)</t>
        </is>
      </c>
      <c r="P197" s="154" t="inlineStr">
        <is>
          <t>IMPORT LICENSE N. 24/1/2463/1/2024 DEL 05/05/2024                                                              AUT. ESPORTAZIONE MULTIPLA N. 6B/2024/2M RILASCIATA IL 30/07/2024   (LICENZA DI SCARICO N. 6B/2024/1S RILASCIATA IL 06/11/2024)</t>
        </is>
      </c>
      <c r="Q197" s="150" t="n"/>
      <c r="R197" s="150" t="n"/>
      <c r="S197" s="153" t="n"/>
    </row>
    <row r="198" ht="36" customHeight="1">
      <c r="A198" s="46" t="n">
        <v>2528</v>
      </c>
      <c r="B198" s="4">
        <f>+VLOOKUP($A198,MAGAZZINO!$B$2:$M$100000,2,FALSE)</f>
        <v/>
      </c>
      <c r="C198" s="29">
        <f>+VLOOKUP($A198,MAGAZZINO!$B$2:$M$100000,3,FALSE)</f>
        <v/>
      </c>
      <c r="D198" s="3">
        <f>+VLOOKUP($A198,MAGAZZINO!$B$2:$M$100000,4,FALSE)</f>
        <v/>
      </c>
      <c r="E198" s="3">
        <f>+VLOOKUP($A198,MAGAZZINO!$B$2:$M$100000,5,FALSE)</f>
        <v/>
      </c>
      <c r="F198" s="3">
        <f>+VLOOKUP($A198,MAGAZZINO!$B$2:$M$100000,6,FALSE)</f>
        <v/>
      </c>
      <c r="G198" s="3">
        <f>+VLOOKUP($A198,MAGAZZINO!$B$2:$M$100000,7,FALSE)</f>
        <v/>
      </c>
      <c r="H198" s="3">
        <f>+VLOOKUP($A198,MAGAZZINO!$B$2:$M$100000,8,FALSE)</f>
        <v/>
      </c>
      <c r="I198" s="3">
        <f>+VLOOKUP($A198,MAGAZZINO!$B$2:$M$100000,9,FALSE)</f>
        <v/>
      </c>
      <c r="J198" s="3">
        <f>+VLOOKUP($A198,MAGAZZINO!$B$2:$M$100000,10,FALSE)</f>
        <v/>
      </c>
      <c r="K198" s="3">
        <f>+VLOOKUP($A198,MAGAZZINO!$B$2:$M$100000,11,FALSE)</f>
        <v/>
      </c>
      <c r="L198" s="5">
        <f>+VLOOKUP($A198,MAGAZZINO!$B$2:$M$100000,12,FALSE)</f>
        <v/>
      </c>
      <c r="M198" s="47" t="n"/>
      <c r="N198" s="88" t="n">
        <v>45609</v>
      </c>
      <c r="O198" s="91" t="inlineStr">
        <is>
          <t>HS &amp; LLC (OMAN)</t>
        </is>
      </c>
      <c r="P198" s="154" t="inlineStr">
        <is>
          <t>IMPORT LICENSE N. 24/1/2463/1/2024 DEL 05/05/2024                                                              AUT. ESPORTAZIONE MULTIPLA N. 6B/2024/2M RILASCIATA IL 30/07/2024   (LICENZA DI SCARICO N. 6B/2024/1S RILASCIATA IL 06/11/2024)</t>
        </is>
      </c>
      <c r="Q198" s="150" t="n"/>
      <c r="R198" s="150" t="n"/>
      <c r="S198" s="153" t="n"/>
    </row>
    <row r="199" ht="36" customHeight="1">
      <c r="A199" s="46" t="n">
        <v>2529</v>
      </c>
      <c r="B199" s="4">
        <f>+VLOOKUP($A199,MAGAZZINO!$B$2:$M$100000,2,FALSE)</f>
        <v/>
      </c>
      <c r="C199" s="29">
        <f>+VLOOKUP($A199,MAGAZZINO!$B$2:$M$100000,3,FALSE)</f>
        <v/>
      </c>
      <c r="D199" s="3">
        <f>+VLOOKUP($A199,MAGAZZINO!$B$2:$M$100000,4,FALSE)</f>
        <v/>
      </c>
      <c r="E199" s="3">
        <f>+VLOOKUP($A199,MAGAZZINO!$B$2:$M$100000,5,FALSE)</f>
        <v/>
      </c>
      <c r="F199" s="3">
        <f>+VLOOKUP($A199,MAGAZZINO!$B$2:$M$100000,6,FALSE)</f>
        <v/>
      </c>
      <c r="G199" s="3">
        <f>+VLOOKUP($A199,MAGAZZINO!$B$2:$M$100000,7,FALSE)</f>
        <v/>
      </c>
      <c r="H199" s="3">
        <f>+VLOOKUP($A199,MAGAZZINO!$B$2:$M$100000,8,FALSE)</f>
        <v/>
      </c>
      <c r="I199" s="3">
        <f>+VLOOKUP($A199,MAGAZZINO!$B$2:$M$100000,9,FALSE)</f>
        <v/>
      </c>
      <c r="J199" s="3">
        <f>+VLOOKUP($A199,MAGAZZINO!$B$2:$M$100000,10,FALSE)</f>
        <v/>
      </c>
      <c r="K199" s="3">
        <f>+VLOOKUP($A199,MAGAZZINO!$B$2:$M$100000,11,FALSE)</f>
        <v/>
      </c>
      <c r="L199" s="5">
        <f>+VLOOKUP($A199,MAGAZZINO!$B$2:$M$100000,12,FALSE)</f>
        <v/>
      </c>
      <c r="M199" s="47" t="n"/>
      <c r="N199" s="88" t="n">
        <v>45874</v>
      </c>
      <c r="O199" s="91" t="inlineStr">
        <is>
          <t>PHILIPPOS CONSTANTINIDES TRADING CO. LTD (CIPRO)</t>
        </is>
      </c>
      <c r="P199" s="154" t="inlineStr">
        <is>
          <t xml:space="preserve">IMPORT LICENSE N. 218 DEL 12/08/2020                                                                                         AUT. TRASFERIMENTO N. 6B/2025/3D RILASCIATA IL 28/07/2025   </t>
        </is>
      </c>
      <c r="Q199" s="150" t="n"/>
      <c r="R199" s="150" t="n"/>
      <c r="S199" s="153" t="n"/>
    </row>
    <row r="200" ht="36" customHeight="1">
      <c r="A200" s="46" t="n">
        <v>2530</v>
      </c>
      <c r="B200" s="4">
        <f>+VLOOKUP($A200,MAGAZZINO!$B$2:$M$100000,2,FALSE)</f>
        <v/>
      </c>
      <c r="C200" s="29">
        <f>+VLOOKUP($A200,MAGAZZINO!$B$2:$M$100000,3,FALSE)</f>
        <v/>
      </c>
      <c r="D200" s="3">
        <f>+VLOOKUP($A200,MAGAZZINO!$B$2:$M$100000,4,FALSE)</f>
        <v/>
      </c>
      <c r="E200" s="3">
        <f>+VLOOKUP($A200,MAGAZZINO!$B$2:$M$100000,5,FALSE)</f>
        <v/>
      </c>
      <c r="F200" s="3">
        <f>+VLOOKUP($A200,MAGAZZINO!$B$2:$M$100000,6,FALSE)</f>
        <v/>
      </c>
      <c r="G200" s="3">
        <f>+VLOOKUP($A200,MAGAZZINO!$B$2:$M$100000,7,FALSE)</f>
        <v/>
      </c>
      <c r="H200" s="3">
        <f>+VLOOKUP($A200,MAGAZZINO!$B$2:$M$100000,8,FALSE)</f>
        <v/>
      </c>
      <c r="I200" s="3">
        <f>+VLOOKUP($A200,MAGAZZINO!$B$2:$M$100000,9,FALSE)</f>
        <v/>
      </c>
      <c r="J200" s="3">
        <f>+VLOOKUP($A200,MAGAZZINO!$B$2:$M$100000,10,FALSE)</f>
        <v/>
      </c>
      <c r="K200" s="3">
        <f>+VLOOKUP($A200,MAGAZZINO!$B$2:$M$100000,11,FALSE)</f>
        <v/>
      </c>
      <c r="L200" s="5">
        <f>+VLOOKUP($A200,MAGAZZINO!$B$2:$M$100000,12,FALSE)</f>
        <v/>
      </c>
      <c r="M200" s="47" t="n"/>
      <c r="N200" s="88" t="n">
        <v>45609</v>
      </c>
      <c r="O200" s="91" t="inlineStr">
        <is>
          <t>HS &amp; LLC (OMAN)</t>
        </is>
      </c>
      <c r="P200" s="154" t="inlineStr">
        <is>
          <t>IMPORT LICENSE N. 24/1/2463/1/2024 DEL 05/05/2024                                                              AUT. ESPORTAZIONE MULTIPLA N. 6B/2024/2M RILASCIATA IL 30/07/2024   (LICENZA DI SCARICO N. 6B/2024/1S RILASCIATA IL 06/11/2024)</t>
        </is>
      </c>
      <c r="Q200" s="150" t="n"/>
      <c r="R200" s="150" t="n"/>
      <c r="S200" s="153" t="n"/>
    </row>
    <row r="201" ht="36" customHeight="1">
      <c r="A201" s="46" t="n">
        <v>2531</v>
      </c>
      <c r="B201" s="4">
        <f>+VLOOKUP($A201,MAGAZZINO!$B$2:$M$100000,2,FALSE)</f>
        <v/>
      </c>
      <c r="C201" s="29">
        <f>+VLOOKUP($A201,MAGAZZINO!$B$2:$M$100000,3,FALSE)</f>
        <v/>
      </c>
      <c r="D201" s="3">
        <f>+VLOOKUP($A201,MAGAZZINO!$B$2:$M$100000,4,FALSE)</f>
        <v/>
      </c>
      <c r="E201" s="3">
        <f>+VLOOKUP($A201,MAGAZZINO!$B$2:$M$100000,5,FALSE)</f>
        <v/>
      </c>
      <c r="F201" s="3">
        <f>+VLOOKUP($A201,MAGAZZINO!$B$2:$M$100000,6,FALSE)</f>
        <v/>
      </c>
      <c r="G201" s="3">
        <f>+VLOOKUP($A201,MAGAZZINO!$B$2:$M$100000,7,FALSE)</f>
        <v/>
      </c>
      <c r="H201" s="3">
        <f>+VLOOKUP($A201,MAGAZZINO!$B$2:$M$100000,8,FALSE)</f>
        <v/>
      </c>
      <c r="I201" s="3">
        <f>+VLOOKUP($A201,MAGAZZINO!$B$2:$M$100000,9,FALSE)</f>
        <v/>
      </c>
      <c r="J201" s="3">
        <f>+VLOOKUP($A201,MAGAZZINO!$B$2:$M$100000,10,FALSE)</f>
        <v/>
      </c>
      <c r="K201" s="3">
        <f>+VLOOKUP($A201,MAGAZZINO!$B$2:$M$100000,11,FALSE)</f>
        <v/>
      </c>
      <c r="L201" s="5">
        <f>+VLOOKUP($A201,MAGAZZINO!$B$2:$M$100000,12,FALSE)</f>
        <v/>
      </c>
      <c r="M201" s="47" t="n"/>
      <c r="N201" s="88" t="n">
        <v>45609</v>
      </c>
      <c r="O201" s="91" t="inlineStr">
        <is>
          <t>HS &amp; LLC (OMAN)</t>
        </is>
      </c>
      <c r="P201" s="154" t="inlineStr">
        <is>
          <t>IMPORT LICENSE N. 24/1/2463/1/2024 DEL 05/05/2024                                                              AUT. ESPORTAZIONE MULTIPLA N. 6B/2024/2M RILASCIATA IL 30/07/2024   (LICENZA DI SCARICO N. 6B/2024/1S RILASCIATA IL 06/11/2024)</t>
        </is>
      </c>
      <c r="Q201" s="150" t="n"/>
      <c r="R201" s="150" t="n"/>
      <c r="S201" s="153" t="n"/>
    </row>
    <row r="202" ht="36" customHeight="1">
      <c r="A202" s="46" t="n">
        <v>2532</v>
      </c>
      <c r="B202" s="4">
        <f>+VLOOKUP($A202,MAGAZZINO!$B$2:$M$100000,2,FALSE)</f>
        <v/>
      </c>
      <c r="C202" s="29">
        <f>+VLOOKUP($A202,MAGAZZINO!$B$2:$M$100000,3,FALSE)</f>
        <v/>
      </c>
      <c r="D202" s="3">
        <f>+VLOOKUP($A202,MAGAZZINO!$B$2:$M$100000,4,FALSE)</f>
        <v/>
      </c>
      <c r="E202" s="3">
        <f>+VLOOKUP($A202,MAGAZZINO!$B$2:$M$100000,5,FALSE)</f>
        <v/>
      </c>
      <c r="F202" s="3">
        <f>+VLOOKUP($A202,MAGAZZINO!$B$2:$M$100000,6,FALSE)</f>
        <v/>
      </c>
      <c r="G202" s="3">
        <f>+VLOOKUP($A202,MAGAZZINO!$B$2:$M$100000,7,FALSE)</f>
        <v/>
      </c>
      <c r="H202" s="3">
        <f>+VLOOKUP($A202,MAGAZZINO!$B$2:$M$100000,8,FALSE)</f>
        <v/>
      </c>
      <c r="I202" s="3">
        <f>+VLOOKUP($A202,MAGAZZINO!$B$2:$M$100000,9,FALSE)</f>
        <v/>
      </c>
      <c r="J202" s="3">
        <f>+VLOOKUP($A202,MAGAZZINO!$B$2:$M$100000,10,FALSE)</f>
        <v/>
      </c>
      <c r="K202" s="3">
        <f>+VLOOKUP($A202,MAGAZZINO!$B$2:$M$100000,11,FALSE)</f>
        <v/>
      </c>
      <c r="L202" s="5">
        <f>+VLOOKUP($A202,MAGAZZINO!$B$2:$M$100000,12,FALSE)</f>
        <v/>
      </c>
      <c r="M202" s="47" t="n"/>
      <c r="N202" s="88" t="n">
        <v>45609</v>
      </c>
      <c r="O202" s="91" t="inlineStr">
        <is>
          <t>HS &amp; LLC (OMAN)</t>
        </is>
      </c>
      <c r="P202" s="154" t="inlineStr">
        <is>
          <t>IMPORT LICENSE N. 24/1/2463/1/2024 DEL 05/05/2024                                                              AUT. ESPORTAZIONE MULTIPLA N. 6B/2024/2M RILASCIATA IL 30/07/2024   (LICENZA DI SCARICO N. 6B/2024/1S RILASCIATA IL 06/11/2024)</t>
        </is>
      </c>
      <c r="Q202" s="150" t="n"/>
      <c r="R202" s="150" t="n"/>
      <c r="S202" s="153" t="n"/>
    </row>
    <row r="203" ht="36" customHeight="1">
      <c r="A203" s="46" t="n">
        <v>2533</v>
      </c>
      <c r="B203" s="4">
        <f>+VLOOKUP($A203,MAGAZZINO!$B$2:$M$100000,2,FALSE)</f>
        <v/>
      </c>
      <c r="C203" s="29">
        <f>+VLOOKUP($A203,MAGAZZINO!$B$2:$M$100000,3,FALSE)</f>
        <v/>
      </c>
      <c r="D203" s="3">
        <f>+VLOOKUP($A203,MAGAZZINO!$B$2:$M$100000,4,FALSE)</f>
        <v/>
      </c>
      <c r="E203" s="3">
        <f>+VLOOKUP($A203,MAGAZZINO!$B$2:$M$100000,5,FALSE)</f>
        <v/>
      </c>
      <c r="F203" s="3">
        <f>+VLOOKUP($A203,MAGAZZINO!$B$2:$M$100000,6,FALSE)</f>
        <v/>
      </c>
      <c r="G203" s="3">
        <f>+VLOOKUP($A203,MAGAZZINO!$B$2:$M$100000,7,FALSE)</f>
        <v/>
      </c>
      <c r="H203" s="3">
        <f>+VLOOKUP($A203,MAGAZZINO!$B$2:$M$100000,8,FALSE)</f>
        <v/>
      </c>
      <c r="I203" s="3">
        <f>+VLOOKUP($A203,MAGAZZINO!$B$2:$M$100000,9,FALSE)</f>
        <v/>
      </c>
      <c r="J203" s="3">
        <f>+VLOOKUP($A203,MAGAZZINO!$B$2:$M$100000,10,FALSE)</f>
        <v/>
      </c>
      <c r="K203" s="3">
        <f>+VLOOKUP($A203,MAGAZZINO!$B$2:$M$100000,11,FALSE)</f>
        <v/>
      </c>
      <c r="L203" s="5">
        <f>+VLOOKUP($A203,MAGAZZINO!$B$2:$M$100000,12,FALSE)</f>
        <v/>
      </c>
      <c r="M203" s="47" t="n"/>
      <c r="N203" s="88" t="n">
        <v>45609</v>
      </c>
      <c r="O203" s="91" t="inlineStr">
        <is>
          <t>HS &amp; LLC (OMAN)</t>
        </is>
      </c>
      <c r="P203" s="154" t="inlineStr">
        <is>
          <t>IMPORT LICENSE N. 24/1/2463/1/2024 DEL 05/05/2024                                                              AUT. ESPORTAZIONE MULTIPLA N. 6B/2024/2M RILASCIATA IL 30/07/2024   (LICENZA DI SCARICO N. 6B/2024/1S RILASCIATA IL 06/11/2024)</t>
        </is>
      </c>
      <c r="Q203" s="150" t="n"/>
      <c r="R203" s="150" t="n"/>
      <c r="S203" s="153" t="n"/>
    </row>
    <row r="204" ht="36" customHeight="1">
      <c r="A204" s="46" t="n">
        <v>2534</v>
      </c>
      <c r="B204" s="4">
        <f>+VLOOKUP($A204,MAGAZZINO!$B$2:$M$100000,2,FALSE)</f>
        <v/>
      </c>
      <c r="C204" s="29">
        <f>+VLOOKUP($A204,MAGAZZINO!$B$2:$M$100000,3,FALSE)</f>
        <v/>
      </c>
      <c r="D204" s="3">
        <f>+VLOOKUP($A204,MAGAZZINO!$B$2:$M$100000,4,FALSE)</f>
        <v/>
      </c>
      <c r="E204" s="3">
        <f>+VLOOKUP($A204,MAGAZZINO!$B$2:$M$100000,5,FALSE)</f>
        <v/>
      </c>
      <c r="F204" s="3">
        <f>+VLOOKUP($A204,MAGAZZINO!$B$2:$M$100000,6,FALSE)</f>
        <v/>
      </c>
      <c r="G204" s="3">
        <f>+VLOOKUP($A204,MAGAZZINO!$B$2:$M$100000,7,FALSE)</f>
        <v/>
      </c>
      <c r="H204" s="3">
        <f>+VLOOKUP($A204,MAGAZZINO!$B$2:$M$100000,8,FALSE)</f>
        <v/>
      </c>
      <c r="I204" s="3">
        <f>+VLOOKUP($A204,MAGAZZINO!$B$2:$M$100000,9,FALSE)</f>
        <v/>
      </c>
      <c r="J204" s="3">
        <f>+VLOOKUP($A204,MAGAZZINO!$B$2:$M$100000,10,FALSE)</f>
        <v/>
      </c>
      <c r="K204" s="3">
        <f>+VLOOKUP($A204,MAGAZZINO!$B$2:$M$100000,11,FALSE)</f>
        <v/>
      </c>
      <c r="L204" s="5">
        <f>+VLOOKUP($A204,MAGAZZINO!$B$2:$M$100000,12,FALSE)</f>
        <v/>
      </c>
      <c r="M204" s="47" t="n"/>
      <c r="N204" s="88" t="n">
        <v>45609</v>
      </c>
      <c r="O204" s="91" t="inlineStr">
        <is>
          <t>HS &amp; LLC (OMAN)</t>
        </is>
      </c>
      <c r="P204" s="154" t="inlineStr">
        <is>
          <t>IMPORT LICENSE N. 24/1/2463/1/2024 DEL 05/05/2024                                                              AUT. ESPORTAZIONE MULTIPLA N. 6B/2024/2M RILASCIATA IL 30/07/2024   (LICENZA DI SCARICO N. 6B/2024/1S RILASCIATA IL 06/11/2024)</t>
        </is>
      </c>
      <c r="Q204" s="150" t="n"/>
      <c r="R204" s="150" t="n"/>
      <c r="S204" s="153" t="n"/>
    </row>
    <row r="205" ht="36" customHeight="1">
      <c r="A205" s="46" t="n">
        <v>2535</v>
      </c>
      <c r="B205" s="4">
        <f>+VLOOKUP($A205,MAGAZZINO!$B$2:$M$100000,2,FALSE)</f>
        <v/>
      </c>
      <c r="C205" s="29">
        <f>+VLOOKUP($A205,MAGAZZINO!$B$2:$M$100000,3,FALSE)</f>
        <v/>
      </c>
      <c r="D205" s="3">
        <f>+VLOOKUP($A205,MAGAZZINO!$B$2:$M$100000,4,FALSE)</f>
        <v/>
      </c>
      <c r="E205" s="3">
        <f>+VLOOKUP($A205,MAGAZZINO!$B$2:$M$100000,5,FALSE)</f>
        <v/>
      </c>
      <c r="F205" s="3">
        <f>+VLOOKUP($A205,MAGAZZINO!$B$2:$M$100000,6,FALSE)</f>
        <v/>
      </c>
      <c r="G205" s="3">
        <f>+VLOOKUP($A205,MAGAZZINO!$B$2:$M$100000,7,FALSE)</f>
        <v/>
      </c>
      <c r="H205" s="3">
        <f>+VLOOKUP($A205,MAGAZZINO!$B$2:$M$100000,8,FALSE)</f>
        <v/>
      </c>
      <c r="I205" s="3">
        <f>+VLOOKUP($A205,MAGAZZINO!$B$2:$M$100000,9,FALSE)</f>
        <v/>
      </c>
      <c r="J205" s="3">
        <f>+VLOOKUP($A205,MAGAZZINO!$B$2:$M$100000,10,FALSE)</f>
        <v/>
      </c>
      <c r="K205" s="3">
        <f>+VLOOKUP($A205,MAGAZZINO!$B$2:$M$100000,11,FALSE)</f>
        <v/>
      </c>
      <c r="L205" s="5">
        <f>+VLOOKUP($A205,MAGAZZINO!$B$2:$M$100000,12,FALSE)</f>
        <v/>
      </c>
      <c r="M205" s="47" t="n"/>
      <c r="N205" s="88" t="n">
        <v>45609</v>
      </c>
      <c r="O205" s="91" t="inlineStr">
        <is>
          <t>HS &amp; LLC (OMAN)</t>
        </is>
      </c>
      <c r="P205" s="154" t="inlineStr">
        <is>
          <t>IMPORT LICENSE N. 24/1/2463/1/2024 DEL 05/05/2024                                                              AUT. ESPORTAZIONE MULTIPLA N. 6B/2024/2M RILASCIATA IL 30/07/2024   (LICENZA DI SCARICO N. 6B/2024/1S RILASCIATA IL 06/11/2024)</t>
        </is>
      </c>
      <c r="Q205" s="150" t="n"/>
      <c r="R205" s="150" t="n"/>
      <c r="S205" s="153" t="n"/>
    </row>
    <row r="206" ht="36" customHeight="1">
      <c r="A206" s="46" t="n">
        <v>2536</v>
      </c>
      <c r="B206" s="4">
        <f>+VLOOKUP($A206,MAGAZZINO!$B$2:$M$100000,2,FALSE)</f>
        <v/>
      </c>
      <c r="C206" s="29">
        <f>+VLOOKUP($A206,MAGAZZINO!$B$2:$M$100000,3,FALSE)</f>
        <v/>
      </c>
      <c r="D206" s="3">
        <f>+VLOOKUP($A206,MAGAZZINO!$B$2:$M$100000,4,FALSE)</f>
        <v/>
      </c>
      <c r="E206" s="3">
        <f>+VLOOKUP($A206,MAGAZZINO!$B$2:$M$100000,5,FALSE)</f>
        <v/>
      </c>
      <c r="F206" s="3">
        <f>+VLOOKUP($A206,MAGAZZINO!$B$2:$M$100000,6,FALSE)</f>
        <v/>
      </c>
      <c r="G206" s="3">
        <f>+VLOOKUP($A206,MAGAZZINO!$B$2:$M$100000,7,FALSE)</f>
        <v/>
      </c>
      <c r="H206" s="3">
        <f>+VLOOKUP($A206,MAGAZZINO!$B$2:$M$100000,8,FALSE)</f>
        <v/>
      </c>
      <c r="I206" s="3">
        <f>+VLOOKUP($A206,MAGAZZINO!$B$2:$M$100000,9,FALSE)</f>
        <v/>
      </c>
      <c r="J206" s="3">
        <f>+VLOOKUP($A206,MAGAZZINO!$B$2:$M$100000,10,FALSE)</f>
        <v/>
      </c>
      <c r="K206" s="3">
        <f>+VLOOKUP($A206,MAGAZZINO!$B$2:$M$100000,11,FALSE)</f>
        <v/>
      </c>
      <c r="L206" s="5">
        <f>+VLOOKUP($A206,MAGAZZINO!$B$2:$M$100000,12,FALSE)</f>
        <v/>
      </c>
      <c r="M206" s="47" t="n"/>
      <c r="N206" s="88" t="n">
        <v>45609</v>
      </c>
      <c r="O206" s="91" t="inlineStr">
        <is>
          <t>HS &amp; LLC (OMAN)</t>
        </is>
      </c>
      <c r="P206" s="154" t="inlineStr">
        <is>
          <t>IMPORT LICENSE N. 24/1/2463/1/2024 DEL 05/05/2024                                                              AUT. ESPORTAZIONE MULTIPLA N. 6B/2024/2M RILASCIATA IL 30/07/2024   (LICENZA DI SCARICO N. 6B/2024/1S RILASCIATA IL 06/11/2024)</t>
        </is>
      </c>
      <c r="Q206" s="150" t="n"/>
      <c r="R206" s="150" t="n"/>
      <c r="S206" s="153" t="n"/>
    </row>
    <row r="207" ht="36" customHeight="1">
      <c r="A207" s="46" t="n">
        <v>2537</v>
      </c>
      <c r="B207" s="4">
        <f>+VLOOKUP($A207,MAGAZZINO!$B$2:$M$100000,2,FALSE)</f>
        <v/>
      </c>
      <c r="C207" s="29">
        <f>+VLOOKUP($A207,MAGAZZINO!$B$2:$M$100000,3,FALSE)</f>
        <v/>
      </c>
      <c r="D207" s="3">
        <f>+VLOOKUP($A207,MAGAZZINO!$B$2:$M$100000,4,FALSE)</f>
        <v/>
      </c>
      <c r="E207" s="3">
        <f>+VLOOKUP($A207,MAGAZZINO!$B$2:$M$100000,5,FALSE)</f>
        <v/>
      </c>
      <c r="F207" s="3">
        <f>+VLOOKUP($A207,MAGAZZINO!$B$2:$M$100000,6,FALSE)</f>
        <v/>
      </c>
      <c r="G207" s="3">
        <f>+VLOOKUP($A207,MAGAZZINO!$B$2:$M$100000,7,FALSE)</f>
        <v/>
      </c>
      <c r="H207" s="98">
        <f>+VLOOKUP($A207,MAGAZZINO!$B$2:$M$100000,8,FALSE)</f>
        <v/>
      </c>
      <c r="I207" s="3">
        <f>+VLOOKUP($A207,MAGAZZINO!$B$2:$M$100000,9,FALSE)</f>
        <v/>
      </c>
      <c r="J207" s="3">
        <f>+VLOOKUP($A207,MAGAZZINO!$B$2:$M$100000,10,FALSE)</f>
        <v/>
      </c>
      <c r="K207" s="3">
        <f>+VLOOKUP($A207,MAGAZZINO!$B$2:$M$100000,11,FALSE)</f>
        <v/>
      </c>
      <c r="L207" s="5">
        <f>+VLOOKUP($A207,MAGAZZINO!$B$2:$M$100000,12,FALSE)</f>
        <v/>
      </c>
      <c r="M207" s="47" t="n"/>
      <c r="N207" s="88" t="n">
        <v>45821</v>
      </c>
      <c r="O207" s="91" t="inlineStr">
        <is>
          <t>PHILIPPOS CONSTANTINIDES TRADING CO. LTD (CIPRO)</t>
        </is>
      </c>
      <c r="P207" s="154" t="inlineStr">
        <is>
          <t xml:space="preserve">IMPORT LICENSE N. 218 DEL 12/08/2020                                                                                         AUT. TRASFERIMENTO N. 6B/2025/1D RILASCIATA IL 30/05/2025   </t>
        </is>
      </c>
      <c r="Q207" s="150" t="n"/>
      <c r="R207" s="150" t="n"/>
      <c r="S207" s="153" t="n"/>
    </row>
    <row r="208" ht="36" customHeight="1">
      <c r="A208" s="46" t="n">
        <v>2538</v>
      </c>
      <c r="B208" s="4">
        <f>+VLOOKUP($A208,MAGAZZINO!$B$2:$M$100000,2,FALSE)</f>
        <v/>
      </c>
      <c r="C208" s="29">
        <f>+VLOOKUP($A208,MAGAZZINO!$B$2:$M$100000,3,FALSE)</f>
        <v/>
      </c>
      <c r="D208" s="3">
        <f>+VLOOKUP($A208,MAGAZZINO!$B$2:$M$100000,4,FALSE)</f>
        <v/>
      </c>
      <c r="E208" s="3">
        <f>+VLOOKUP($A208,MAGAZZINO!$B$2:$M$100000,5,FALSE)</f>
        <v/>
      </c>
      <c r="F208" s="3">
        <f>+VLOOKUP($A208,MAGAZZINO!$B$2:$M$100000,6,FALSE)</f>
        <v/>
      </c>
      <c r="G208" s="3">
        <f>+VLOOKUP($A208,MAGAZZINO!$B$2:$M$100000,7,FALSE)</f>
        <v/>
      </c>
      <c r="H208" s="3">
        <f>+VLOOKUP($A208,MAGAZZINO!$B$2:$M$100000,8,FALSE)</f>
        <v/>
      </c>
      <c r="I208" s="3">
        <f>+VLOOKUP($A208,MAGAZZINO!$B$2:$M$100000,9,FALSE)</f>
        <v/>
      </c>
      <c r="J208" s="3">
        <f>+VLOOKUP($A208,MAGAZZINO!$B$2:$M$100000,10,FALSE)</f>
        <v/>
      </c>
      <c r="K208" s="3">
        <f>+VLOOKUP($A208,MAGAZZINO!$B$2:$M$100000,11,FALSE)</f>
        <v/>
      </c>
      <c r="L208" s="5">
        <f>+VLOOKUP($A208,MAGAZZINO!$B$2:$M$100000,12,FALSE)</f>
        <v/>
      </c>
      <c r="M208" s="47" t="n"/>
      <c r="N208" s="88" t="n">
        <v>45821</v>
      </c>
      <c r="O208" s="91" t="inlineStr">
        <is>
          <t>PHILIPPOS CONSTANTINIDES TRADING CO. LTD (CIPRO)</t>
        </is>
      </c>
      <c r="P208" s="154" t="inlineStr">
        <is>
          <t xml:space="preserve">IMPORT LICENSE N. 218 DEL 12/08/2020                                                                                         AUT. TRASFERIMENTO N. 6B/2025/1D RILASCIATA IL 30/05/2025   </t>
        </is>
      </c>
      <c r="Q208" s="150" t="n"/>
      <c r="R208" s="150" t="n"/>
      <c r="S208" s="153" t="n"/>
    </row>
    <row r="209" ht="36" customHeight="1">
      <c r="A209" s="46" t="n">
        <v>2539</v>
      </c>
      <c r="B209" s="4">
        <f>+VLOOKUP($A209,MAGAZZINO!$B$2:$M$100000,2,FALSE)</f>
        <v/>
      </c>
      <c r="C209" s="29">
        <f>+VLOOKUP($A209,MAGAZZINO!$B$2:$M$100000,3,FALSE)</f>
        <v/>
      </c>
      <c r="D209" s="3">
        <f>+VLOOKUP($A209,MAGAZZINO!$B$2:$M$100000,4,FALSE)</f>
        <v/>
      </c>
      <c r="E209" s="3">
        <f>+VLOOKUP($A209,MAGAZZINO!$B$2:$M$100000,5,FALSE)</f>
        <v/>
      </c>
      <c r="F209" s="3">
        <f>+VLOOKUP($A209,MAGAZZINO!$B$2:$M$100000,6,FALSE)</f>
        <v/>
      </c>
      <c r="G209" s="3">
        <f>+VLOOKUP($A209,MAGAZZINO!$B$2:$M$100000,7,FALSE)</f>
        <v/>
      </c>
      <c r="H209" s="98">
        <f>+VLOOKUP($A209,MAGAZZINO!$B$2:$M$100000,8,FALSE)</f>
        <v/>
      </c>
      <c r="I209" s="3">
        <f>+VLOOKUP($A209,MAGAZZINO!$B$2:$M$100000,9,FALSE)</f>
        <v/>
      </c>
      <c r="J209" s="3">
        <f>+VLOOKUP($A209,MAGAZZINO!$B$2:$M$100000,10,FALSE)</f>
        <v/>
      </c>
      <c r="K209" s="3">
        <f>+VLOOKUP($A209,MAGAZZINO!$B$2:$M$100000,11,FALSE)</f>
        <v/>
      </c>
      <c r="L209" s="5">
        <f>+VLOOKUP($A209,MAGAZZINO!$B$2:$M$100000,12,FALSE)</f>
        <v/>
      </c>
      <c r="M209" s="47" t="n"/>
      <c r="N209" s="88" t="n">
        <v>45821</v>
      </c>
      <c r="O209" s="91" t="inlineStr">
        <is>
          <t>PHILIPPOS CONSTANTINIDES TRADING CO. LTD (CIPRO)</t>
        </is>
      </c>
      <c r="P209" s="154" t="inlineStr">
        <is>
          <t xml:space="preserve">IMPORT LICENSE N. 218 DEL 12/08/2020                                                                                         AUT. TRASFERIMENTO N. 6B/2025/1D RILASCIATA IL 30/05/2025   </t>
        </is>
      </c>
      <c r="Q209" s="150" t="n"/>
      <c r="R209" s="150" t="n"/>
      <c r="S209" s="153" t="n"/>
    </row>
    <row r="210" ht="36" customHeight="1">
      <c r="A210" s="46" t="n">
        <v>2540</v>
      </c>
      <c r="B210" s="4">
        <f>+VLOOKUP($A210,MAGAZZINO!$B$2:$M$100000,2,FALSE)</f>
        <v/>
      </c>
      <c r="C210" s="29">
        <f>+VLOOKUP($A210,MAGAZZINO!$B$2:$M$100000,3,FALSE)</f>
        <v/>
      </c>
      <c r="D210" s="3">
        <f>+VLOOKUP($A210,MAGAZZINO!$B$2:$M$100000,4,FALSE)</f>
        <v/>
      </c>
      <c r="E210" s="3">
        <f>+VLOOKUP($A210,MAGAZZINO!$B$2:$M$100000,5,FALSE)</f>
        <v/>
      </c>
      <c r="F210" s="3">
        <f>+VLOOKUP($A210,MAGAZZINO!$B$2:$M$100000,6,FALSE)</f>
        <v/>
      </c>
      <c r="G210" s="3">
        <f>+VLOOKUP($A210,MAGAZZINO!$B$2:$M$100000,7,FALSE)</f>
        <v/>
      </c>
      <c r="H210" s="3">
        <f>+VLOOKUP($A210,MAGAZZINO!$B$2:$M$100000,8,FALSE)</f>
        <v/>
      </c>
      <c r="I210" s="3">
        <f>+VLOOKUP($A210,MAGAZZINO!$B$2:$M$100000,9,FALSE)</f>
        <v/>
      </c>
      <c r="J210" s="3">
        <f>+VLOOKUP($A210,MAGAZZINO!$B$2:$M$100000,10,FALSE)</f>
        <v/>
      </c>
      <c r="K210" s="3">
        <f>+VLOOKUP($A210,MAGAZZINO!$B$2:$M$100000,11,FALSE)</f>
        <v/>
      </c>
      <c r="L210" s="5">
        <f>+VLOOKUP($A210,MAGAZZINO!$B$2:$M$100000,12,FALSE)</f>
        <v/>
      </c>
      <c r="M210" s="47" t="n"/>
      <c r="N210" s="88" t="n">
        <v>45821</v>
      </c>
      <c r="O210" s="91" t="inlineStr">
        <is>
          <t>PHILIPPOS CONSTANTINIDES TRADING CO. LTD (CIPRO)</t>
        </is>
      </c>
      <c r="P210" s="154" t="inlineStr">
        <is>
          <t xml:space="preserve">IMPORT LICENSE N. 218 DEL 12/08/2020                                                                                         AUT. TRASFERIMENTO N. 6B/2025/1D RILASCIATA IL 30/05/2025   </t>
        </is>
      </c>
      <c r="Q210" s="150" t="n"/>
      <c r="R210" s="150" t="n"/>
      <c r="S210" s="153" t="n"/>
    </row>
    <row r="211" ht="36" customHeight="1">
      <c r="A211" s="46" t="n">
        <v>2541</v>
      </c>
      <c r="B211" s="4">
        <f>+VLOOKUP($A211,MAGAZZINO!$B$2:$M$100000,2,FALSE)</f>
        <v/>
      </c>
      <c r="C211" s="29">
        <f>+VLOOKUP($A211,MAGAZZINO!$B$2:$M$100000,3,FALSE)</f>
        <v/>
      </c>
      <c r="D211" s="3">
        <f>+VLOOKUP($A211,MAGAZZINO!$B$2:$M$100000,4,FALSE)</f>
        <v/>
      </c>
      <c r="E211" s="3">
        <f>+VLOOKUP($A211,MAGAZZINO!$B$2:$M$100000,5,FALSE)</f>
        <v/>
      </c>
      <c r="F211" s="3">
        <f>+VLOOKUP($A211,MAGAZZINO!$B$2:$M$100000,6,FALSE)</f>
        <v/>
      </c>
      <c r="G211" s="3">
        <f>+VLOOKUP($A211,MAGAZZINO!$B$2:$M$100000,7,FALSE)</f>
        <v/>
      </c>
      <c r="H211" s="98">
        <f>+VLOOKUP($A211,MAGAZZINO!$B$2:$M$100000,8,FALSE)</f>
        <v/>
      </c>
      <c r="I211" s="3">
        <f>+VLOOKUP($A211,MAGAZZINO!$B$2:$M$100000,9,FALSE)</f>
        <v/>
      </c>
      <c r="J211" s="3">
        <f>+VLOOKUP($A211,MAGAZZINO!$B$2:$M$100000,10,FALSE)</f>
        <v/>
      </c>
      <c r="K211" s="3">
        <f>+VLOOKUP($A211,MAGAZZINO!$B$2:$M$100000,11,FALSE)</f>
        <v/>
      </c>
      <c r="L211" s="5">
        <f>+VLOOKUP($A211,MAGAZZINO!$B$2:$M$100000,12,FALSE)</f>
        <v/>
      </c>
      <c r="M211" s="47" t="n"/>
      <c r="N211" s="88" t="n">
        <v>45821</v>
      </c>
      <c r="O211" s="91" t="inlineStr">
        <is>
          <t>PHILIPPOS CONSTANTINIDES TRADING CO. LTD (CIPRO)</t>
        </is>
      </c>
      <c r="P211" s="154" t="inlineStr">
        <is>
          <t xml:space="preserve">IMPORT LICENSE N. 218 DEL 12/08/2020                                                                                         AUT. TRASFERIMENTO N. 6B/2025/1D RILASCIATA IL 30/05/2025   </t>
        </is>
      </c>
      <c r="Q211" s="150" t="n"/>
      <c r="R211" s="150" t="n"/>
      <c r="S211" s="153" t="n"/>
    </row>
    <row r="212" ht="36" customHeight="1">
      <c r="A212" s="46" t="n">
        <v>2542</v>
      </c>
      <c r="B212" s="4">
        <f>+VLOOKUP($A212,MAGAZZINO!$B$2:$M$100000,2,FALSE)</f>
        <v/>
      </c>
      <c r="C212" s="29">
        <f>+VLOOKUP($A212,MAGAZZINO!$B$2:$M$100000,3,FALSE)</f>
        <v/>
      </c>
      <c r="D212" s="3">
        <f>+VLOOKUP($A212,MAGAZZINO!$B$2:$M$100000,4,FALSE)</f>
        <v/>
      </c>
      <c r="E212" s="3">
        <f>+VLOOKUP($A212,MAGAZZINO!$B$2:$M$100000,5,FALSE)</f>
        <v/>
      </c>
      <c r="F212" s="3">
        <f>+VLOOKUP($A212,MAGAZZINO!$B$2:$M$100000,6,FALSE)</f>
        <v/>
      </c>
      <c r="G212" s="3">
        <f>+VLOOKUP($A212,MAGAZZINO!$B$2:$M$100000,7,FALSE)</f>
        <v/>
      </c>
      <c r="H212" s="98">
        <f>+VLOOKUP($A212,MAGAZZINO!$B$2:$M$100000,8,FALSE)</f>
        <v/>
      </c>
      <c r="I212" s="3">
        <f>+VLOOKUP($A212,MAGAZZINO!$B$2:$M$100000,9,FALSE)</f>
        <v/>
      </c>
      <c r="J212" s="3">
        <f>+VLOOKUP($A212,MAGAZZINO!$B$2:$M$100000,10,FALSE)</f>
        <v/>
      </c>
      <c r="K212" s="3">
        <f>+VLOOKUP($A212,MAGAZZINO!$B$2:$M$100000,11,FALSE)</f>
        <v/>
      </c>
      <c r="L212" s="5">
        <f>+VLOOKUP($A212,MAGAZZINO!$B$2:$M$100000,12,FALSE)</f>
        <v/>
      </c>
      <c r="M212" s="47" t="n"/>
      <c r="N212" s="88" t="n">
        <v>45821</v>
      </c>
      <c r="O212" s="91" t="inlineStr">
        <is>
          <t>PHILIPPOS CONSTANTINIDES TRADING CO. LTD (CIPRO)</t>
        </is>
      </c>
      <c r="P212" s="154" t="inlineStr">
        <is>
          <t xml:space="preserve">IMPORT LICENSE N. 218 DEL 12/08/2020                                                                                         AUT. TRASFERIMENTO N. 6B/2025/1D RILASCIATA IL 30/05/2025   </t>
        </is>
      </c>
      <c r="Q212" s="150" t="n"/>
      <c r="R212" s="150" t="n"/>
      <c r="S212" s="153" t="n"/>
    </row>
    <row r="213" ht="36" customHeight="1">
      <c r="A213" s="46" t="n">
        <v>2543</v>
      </c>
      <c r="B213" s="4">
        <f>+VLOOKUP($A213,MAGAZZINO!$B$2:$M$100000,2,FALSE)</f>
        <v/>
      </c>
      <c r="C213" s="29">
        <f>+VLOOKUP($A213,MAGAZZINO!$B$2:$M$100000,3,FALSE)</f>
        <v/>
      </c>
      <c r="D213" s="3">
        <f>+VLOOKUP($A213,MAGAZZINO!$B$2:$M$100000,4,FALSE)</f>
        <v/>
      </c>
      <c r="E213" s="3">
        <f>+VLOOKUP($A213,MAGAZZINO!$B$2:$M$100000,5,FALSE)</f>
        <v/>
      </c>
      <c r="F213" s="3">
        <f>+VLOOKUP($A213,MAGAZZINO!$B$2:$M$100000,6,FALSE)</f>
        <v/>
      </c>
      <c r="G213" s="3">
        <f>+VLOOKUP($A213,MAGAZZINO!$B$2:$M$100000,7,FALSE)</f>
        <v/>
      </c>
      <c r="H213" s="98">
        <f>+VLOOKUP($A213,MAGAZZINO!$B$2:$M$100000,8,FALSE)</f>
        <v/>
      </c>
      <c r="I213" s="3">
        <f>+VLOOKUP($A213,MAGAZZINO!$B$2:$M$100000,9,FALSE)</f>
        <v/>
      </c>
      <c r="J213" s="3">
        <f>+VLOOKUP($A213,MAGAZZINO!$B$2:$M$100000,10,FALSE)</f>
        <v/>
      </c>
      <c r="K213" s="3">
        <f>+VLOOKUP($A213,MAGAZZINO!$B$2:$M$100000,11,FALSE)</f>
        <v/>
      </c>
      <c r="L213" s="5">
        <f>+VLOOKUP($A213,MAGAZZINO!$B$2:$M$100000,12,FALSE)</f>
        <v/>
      </c>
      <c r="M213" s="47" t="n"/>
      <c r="N213" s="88" t="n">
        <v>45821</v>
      </c>
      <c r="O213" s="91" t="inlineStr">
        <is>
          <t>PHILIPPOS CONSTANTINIDES TRADING CO. LTD (CIPRO)</t>
        </is>
      </c>
      <c r="P213" s="154" t="inlineStr">
        <is>
          <t xml:space="preserve">IMPORT LICENSE N. 218 DEL 12/08/2020                                                                                         AUT. TRASFERIMENTO N. 6B/2025/1D RILASCIATA IL 30/05/2025   </t>
        </is>
      </c>
      <c r="Q213" s="150" t="n"/>
      <c r="R213" s="150" t="n"/>
      <c r="S213" s="153" t="n"/>
    </row>
    <row r="214" ht="36" customHeight="1">
      <c r="A214" s="46" t="n">
        <v>2544</v>
      </c>
      <c r="B214" s="4">
        <f>+VLOOKUP($A214,MAGAZZINO!$B$2:$M$100000,2,FALSE)</f>
        <v/>
      </c>
      <c r="C214" s="29">
        <f>+VLOOKUP($A214,MAGAZZINO!$B$2:$M$100000,3,FALSE)</f>
        <v/>
      </c>
      <c r="D214" s="3">
        <f>+VLOOKUP($A214,MAGAZZINO!$B$2:$M$100000,4,FALSE)</f>
        <v/>
      </c>
      <c r="E214" s="3">
        <f>+VLOOKUP($A214,MAGAZZINO!$B$2:$M$100000,5,FALSE)</f>
        <v/>
      </c>
      <c r="F214" s="3">
        <f>+VLOOKUP($A214,MAGAZZINO!$B$2:$M$100000,6,FALSE)</f>
        <v/>
      </c>
      <c r="G214" s="3">
        <f>+VLOOKUP($A214,MAGAZZINO!$B$2:$M$100000,7,FALSE)</f>
        <v/>
      </c>
      <c r="H214" s="98">
        <f>+VLOOKUP($A214,MAGAZZINO!$B$2:$M$100000,8,FALSE)</f>
        <v/>
      </c>
      <c r="I214" s="3">
        <f>+VLOOKUP($A214,MAGAZZINO!$B$2:$M$100000,9,FALSE)</f>
        <v/>
      </c>
      <c r="J214" s="3">
        <f>+VLOOKUP($A214,MAGAZZINO!$B$2:$M$100000,10,FALSE)</f>
        <v/>
      </c>
      <c r="K214" s="3">
        <f>+VLOOKUP($A214,MAGAZZINO!$B$2:$M$100000,11,FALSE)</f>
        <v/>
      </c>
      <c r="L214" s="5">
        <f>+VLOOKUP($A214,MAGAZZINO!$B$2:$M$100000,12,FALSE)</f>
        <v/>
      </c>
      <c r="M214" s="47" t="n"/>
      <c r="N214" s="88" t="n">
        <v>45821</v>
      </c>
      <c r="O214" s="91" t="inlineStr">
        <is>
          <t>PHILIPPOS CONSTANTINIDES TRADING CO. LTD (CIPRO)</t>
        </is>
      </c>
      <c r="P214" s="154" t="inlineStr">
        <is>
          <t xml:space="preserve">IMPORT LICENSE N. 218 DEL 12/08/2020                                                                                         AUT. TRASFERIMENTO N. 6B/2025/1D RILASCIATA IL 30/05/2025   </t>
        </is>
      </c>
      <c r="Q214" s="150" t="n"/>
      <c r="R214" s="150" t="n"/>
      <c r="S214" s="153" t="n"/>
    </row>
    <row r="215" ht="36" customHeight="1">
      <c r="A215" s="46" t="n">
        <v>2545</v>
      </c>
      <c r="B215" s="4">
        <f>+VLOOKUP($A215,MAGAZZINO!$B$2:$M$100000,2,FALSE)</f>
        <v/>
      </c>
      <c r="C215" s="29">
        <f>+VLOOKUP($A215,MAGAZZINO!$B$2:$M$100000,3,FALSE)</f>
        <v/>
      </c>
      <c r="D215" s="3">
        <f>+VLOOKUP($A215,MAGAZZINO!$B$2:$M$100000,4,FALSE)</f>
        <v/>
      </c>
      <c r="E215" s="3">
        <f>+VLOOKUP($A215,MAGAZZINO!$B$2:$M$100000,5,FALSE)</f>
        <v/>
      </c>
      <c r="F215" s="3">
        <f>+VLOOKUP($A215,MAGAZZINO!$B$2:$M$100000,6,FALSE)</f>
        <v/>
      </c>
      <c r="G215" s="3">
        <f>+VLOOKUP($A215,MAGAZZINO!$B$2:$M$100000,7,FALSE)</f>
        <v/>
      </c>
      <c r="H215" s="98">
        <f>+VLOOKUP($A215,MAGAZZINO!$B$2:$M$100000,8,FALSE)</f>
        <v/>
      </c>
      <c r="I215" s="3">
        <f>+VLOOKUP($A215,MAGAZZINO!$B$2:$M$100000,9,FALSE)</f>
        <v/>
      </c>
      <c r="J215" s="3">
        <f>+VLOOKUP($A215,MAGAZZINO!$B$2:$M$100000,10,FALSE)</f>
        <v/>
      </c>
      <c r="K215" s="3">
        <f>+VLOOKUP($A215,MAGAZZINO!$B$2:$M$100000,11,FALSE)</f>
        <v/>
      </c>
      <c r="L215" s="5">
        <f>+VLOOKUP($A215,MAGAZZINO!$B$2:$M$100000,12,FALSE)</f>
        <v/>
      </c>
      <c r="M215" s="47" t="n"/>
      <c r="N215" s="88" t="n">
        <v>45821</v>
      </c>
      <c r="O215" s="91" t="inlineStr">
        <is>
          <t>PHILIPPOS CONSTANTINIDES TRADING CO. LTD (CIPRO)</t>
        </is>
      </c>
      <c r="P215" s="154" t="inlineStr">
        <is>
          <t xml:space="preserve">IMPORT LICENSE N. 218 DEL 12/08/2020                                                                                         AUT. TRASFERIMENTO N. 6B/2025/1D RILASCIATA IL 30/05/2025   </t>
        </is>
      </c>
      <c r="Q215" s="150" t="n"/>
      <c r="R215" s="150" t="n"/>
      <c r="S215" s="153" t="n"/>
    </row>
    <row r="216" ht="36" customHeight="1">
      <c r="A216" s="46" t="n">
        <v>2546</v>
      </c>
      <c r="B216" s="4">
        <f>+VLOOKUP($A216,MAGAZZINO!$B$2:$M$100000,2,FALSE)</f>
        <v/>
      </c>
      <c r="C216" s="29">
        <f>+VLOOKUP($A216,MAGAZZINO!$B$2:$M$100000,3,FALSE)</f>
        <v/>
      </c>
      <c r="D216" s="3">
        <f>+VLOOKUP($A216,MAGAZZINO!$B$2:$M$100000,4,FALSE)</f>
        <v/>
      </c>
      <c r="E216" s="3">
        <f>+VLOOKUP($A216,MAGAZZINO!$B$2:$M$100000,5,FALSE)</f>
        <v/>
      </c>
      <c r="F216" s="3">
        <f>+VLOOKUP($A216,MAGAZZINO!$B$2:$M$100000,6,FALSE)</f>
        <v/>
      </c>
      <c r="G216" s="3">
        <f>+VLOOKUP($A216,MAGAZZINO!$B$2:$M$100000,7,FALSE)</f>
        <v/>
      </c>
      <c r="H216" s="98">
        <f>+VLOOKUP($A216,MAGAZZINO!$B$2:$M$100000,8,FALSE)</f>
        <v/>
      </c>
      <c r="I216" s="3">
        <f>+VLOOKUP($A216,MAGAZZINO!$B$2:$M$100000,9,FALSE)</f>
        <v/>
      </c>
      <c r="J216" s="3">
        <f>+VLOOKUP($A216,MAGAZZINO!$B$2:$M$100000,10,FALSE)</f>
        <v/>
      </c>
      <c r="K216" s="3">
        <f>+VLOOKUP($A216,MAGAZZINO!$B$2:$M$100000,11,FALSE)</f>
        <v/>
      </c>
      <c r="L216" s="5">
        <f>+VLOOKUP($A216,MAGAZZINO!$B$2:$M$100000,12,FALSE)</f>
        <v/>
      </c>
      <c r="M216" s="47" t="n"/>
      <c r="N216" s="88" t="n">
        <v>45821</v>
      </c>
      <c r="O216" s="91" t="inlineStr">
        <is>
          <t>PHILIPPOS CONSTANTINIDES TRADING CO. LTD (CIPRO)</t>
        </is>
      </c>
      <c r="P216" s="154" t="inlineStr">
        <is>
          <t xml:space="preserve">IMPORT LICENSE N. 218 DEL 12/08/2020                                                                                         AUT. TRASFERIMENTO N. 6B/2025/1D RILASCIATA IL 30/05/2025   </t>
        </is>
      </c>
      <c r="Q216" s="150" t="n"/>
      <c r="R216" s="150" t="n"/>
      <c r="S216" s="153" t="n"/>
    </row>
    <row r="217" ht="36" customHeight="1">
      <c r="A217" s="46" t="n">
        <v>2547</v>
      </c>
      <c r="B217" s="4">
        <f>+VLOOKUP($A217,MAGAZZINO!$B$2:$M$100000,2,FALSE)</f>
        <v/>
      </c>
      <c r="C217" s="29">
        <f>+VLOOKUP($A217,MAGAZZINO!$B$2:$M$100000,3,FALSE)</f>
        <v/>
      </c>
      <c r="D217" s="3">
        <f>+VLOOKUP($A217,MAGAZZINO!$B$2:$M$100000,4,FALSE)</f>
        <v/>
      </c>
      <c r="E217" s="3">
        <f>+VLOOKUP($A217,MAGAZZINO!$B$2:$M$100000,5,FALSE)</f>
        <v/>
      </c>
      <c r="F217" s="3">
        <f>+VLOOKUP($A217,MAGAZZINO!$B$2:$M$100000,6,FALSE)</f>
        <v/>
      </c>
      <c r="G217" s="3">
        <f>+VLOOKUP($A217,MAGAZZINO!$B$2:$M$100000,7,FALSE)</f>
        <v/>
      </c>
      <c r="H217" s="98">
        <f>+VLOOKUP($A217,MAGAZZINO!$B$2:$M$100000,8,FALSE)</f>
        <v/>
      </c>
      <c r="I217" s="3">
        <f>+VLOOKUP($A217,MAGAZZINO!$B$2:$M$100000,9,FALSE)</f>
        <v/>
      </c>
      <c r="J217" s="3">
        <f>+VLOOKUP($A217,MAGAZZINO!$B$2:$M$100000,10,FALSE)</f>
        <v/>
      </c>
      <c r="K217" s="3">
        <f>+VLOOKUP($A217,MAGAZZINO!$B$2:$M$100000,11,FALSE)</f>
        <v/>
      </c>
      <c r="L217" s="5">
        <f>+VLOOKUP($A217,MAGAZZINO!$B$2:$M$100000,12,FALSE)</f>
        <v/>
      </c>
      <c r="M217" s="47" t="n"/>
      <c r="N217" s="88" t="n">
        <v>45821</v>
      </c>
      <c r="O217" s="91" t="inlineStr">
        <is>
          <t>PHILIPPOS CONSTANTINIDES TRADING CO. LTD (CIPRO)</t>
        </is>
      </c>
      <c r="P217" s="154" t="inlineStr">
        <is>
          <t xml:space="preserve">IMPORT LICENSE N. 218 DEL 12/08/2020                                                                                         AUT. TRASFERIMENTO N. 6B/2025/1D RILASCIATA IL 30/05/2025   </t>
        </is>
      </c>
      <c r="Q217" s="150" t="n"/>
      <c r="R217" s="150" t="n"/>
      <c r="S217" s="153" t="n"/>
    </row>
    <row r="218" ht="36" customHeight="1">
      <c r="A218" s="46" t="n">
        <v>2548</v>
      </c>
      <c r="B218" s="4">
        <f>+VLOOKUP($A218,MAGAZZINO!$B$2:$M$100000,2,FALSE)</f>
        <v/>
      </c>
      <c r="C218" s="29">
        <f>+VLOOKUP($A218,MAGAZZINO!$B$2:$M$100000,3,FALSE)</f>
        <v/>
      </c>
      <c r="D218" s="3">
        <f>+VLOOKUP($A218,MAGAZZINO!$B$2:$M$100000,4,FALSE)</f>
        <v/>
      </c>
      <c r="E218" s="3">
        <f>+VLOOKUP($A218,MAGAZZINO!$B$2:$M$100000,5,FALSE)</f>
        <v/>
      </c>
      <c r="F218" s="3">
        <f>+VLOOKUP($A218,MAGAZZINO!$B$2:$M$100000,6,FALSE)</f>
        <v/>
      </c>
      <c r="G218" s="3">
        <f>+VLOOKUP($A218,MAGAZZINO!$B$2:$M$100000,7,FALSE)</f>
        <v/>
      </c>
      <c r="H218" s="98">
        <f>+VLOOKUP($A218,MAGAZZINO!$B$2:$M$100000,8,FALSE)</f>
        <v/>
      </c>
      <c r="I218" s="3">
        <f>+VLOOKUP($A218,MAGAZZINO!$B$2:$M$100000,9,FALSE)</f>
        <v/>
      </c>
      <c r="J218" s="3">
        <f>+VLOOKUP($A218,MAGAZZINO!$B$2:$M$100000,10,FALSE)</f>
        <v/>
      </c>
      <c r="K218" s="3">
        <f>+VLOOKUP($A218,MAGAZZINO!$B$2:$M$100000,11,FALSE)</f>
        <v/>
      </c>
      <c r="L218" s="5">
        <f>+VLOOKUP($A218,MAGAZZINO!$B$2:$M$100000,12,FALSE)</f>
        <v/>
      </c>
      <c r="M218" s="47" t="n"/>
      <c r="N218" s="88" t="n">
        <v>45821</v>
      </c>
      <c r="O218" s="91" t="inlineStr">
        <is>
          <t>PHILIPPOS CONSTANTINIDES TRADING CO. LTD (CIPRO)</t>
        </is>
      </c>
      <c r="P218" s="154" t="inlineStr">
        <is>
          <t xml:space="preserve">IMPORT LICENSE N. 218 DEL 12/08/2020                                                                                         AUT. TRASFERIMENTO N. 6B/2025/1D RILASCIATA IL 30/05/2025   </t>
        </is>
      </c>
      <c r="Q218" s="150" t="n"/>
      <c r="R218" s="150" t="n"/>
      <c r="S218" s="153" t="n"/>
    </row>
    <row r="219" ht="36" customHeight="1">
      <c r="A219" s="46" t="n">
        <v>2549</v>
      </c>
      <c r="B219" s="4">
        <f>+VLOOKUP($A219,MAGAZZINO!$B$2:$M$100000,2,FALSE)</f>
        <v/>
      </c>
      <c r="C219" s="29">
        <f>+VLOOKUP($A219,MAGAZZINO!$B$2:$M$100000,3,FALSE)</f>
        <v/>
      </c>
      <c r="D219" s="3">
        <f>+VLOOKUP($A219,MAGAZZINO!$B$2:$M$100000,4,FALSE)</f>
        <v/>
      </c>
      <c r="E219" s="3">
        <f>+VLOOKUP($A219,MAGAZZINO!$B$2:$M$100000,5,FALSE)</f>
        <v/>
      </c>
      <c r="F219" s="3">
        <f>+VLOOKUP($A219,MAGAZZINO!$B$2:$M$100000,6,FALSE)</f>
        <v/>
      </c>
      <c r="G219" s="3">
        <f>+VLOOKUP($A219,MAGAZZINO!$B$2:$M$100000,7,FALSE)</f>
        <v/>
      </c>
      <c r="H219" s="98">
        <f>+VLOOKUP($A219,MAGAZZINO!$B$2:$M$100000,8,FALSE)</f>
        <v/>
      </c>
      <c r="I219" s="3">
        <f>+VLOOKUP($A219,MAGAZZINO!$B$2:$M$100000,9,FALSE)</f>
        <v/>
      </c>
      <c r="J219" s="3">
        <f>+VLOOKUP($A219,MAGAZZINO!$B$2:$M$100000,10,FALSE)</f>
        <v/>
      </c>
      <c r="K219" s="3">
        <f>+VLOOKUP($A219,MAGAZZINO!$B$2:$M$100000,11,FALSE)</f>
        <v/>
      </c>
      <c r="L219" s="5">
        <f>+VLOOKUP($A219,MAGAZZINO!$B$2:$M$100000,12,FALSE)</f>
        <v/>
      </c>
      <c r="M219" s="47" t="n"/>
      <c r="N219" s="88" t="n">
        <v>45821</v>
      </c>
      <c r="O219" s="91" t="inlineStr">
        <is>
          <t>PHILIPPOS CONSTANTINIDES TRADING CO. LTD (CIPRO)</t>
        </is>
      </c>
      <c r="P219" s="154" t="inlineStr">
        <is>
          <t xml:space="preserve">IMPORT LICENSE N. 218 DEL 12/08/2020                                                                                         AUT. TRASFERIMENTO N. 6B/2025/1D RILASCIATA IL 30/05/2025   </t>
        </is>
      </c>
      <c r="Q219" s="150" t="n"/>
      <c r="R219" s="150" t="n"/>
      <c r="S219" s="153" t="n"/>
    </row>
    <row r="220" ht="36" customHeight="1">
      <c r="A220" s="46" t="n">
        <v>2550</v>
      </c>
      <c r="B220" s="4">
        <f>+VLOOKUP($A220,MAGAZZINO!$B$2:$M$100000,2,FALSE)</f>
        <v/>
      </c>
      <c r="C220" s="29">
        <f>+VLOOKUP($A220,MAGAZZINO!$B$2:$M$100000,3,FALSE)</f>
        <v/>
      </c>
      <c r="D220" s="3">
        <f>+VLOOKUP($A220,MAGAZZINO!$B$2:$M$100000,4,FALSE)</f>
        <v/>
      </c>
      <c r="E220" s="3">
        <f>+VLOOKUP($A220,MAGAZZINO!$B$2:$M$100000,5,FALSE)</f>
        <v/>
      </c>
      <c r="F220" s="3">
        <f>+VLOOKUP($A220,MAGAZZINO!$B$2:$M$100000,6,FALSE)</f>
        <v/>
      </c>
      <c r="G220" s="3">
        <f>+VLOOKUP($A220,MAGAZZINO!$B$2:$M$100000,7,FALSE)</f>
        <v/>
      </c>
      <c r="H220" s="98">
        <f>+VLOOKUP($A220,MAGAZZINO!$B$2:$M$100000,8,FALSE)</f>
        <v/>
      </c>
      <c r="I220" s="3">
        <f>+VLOOKUP($A220,MAGAZZINO!$B$2:$M$100000,9,FALSE)</f>
        <v/>
      </c>
      <c r="J220" s="3">
        <f>+VLOOKUP($A220,MAGAZZINO!$B$2:$M$100000,10,FALSE)</f>
        <v/>
      </c>
      <c r="K220" s="3">
        <f>+VLOOKUP($A220,MAGAZZINO!$B$2:$M$100000,11,FALSE)</f>
        <v/>
      </c>
      <c r="L220" s="5">
        <f>+VLOOKUP($A220,MAGAZZINO!$B$2:$M$100000,12,FALSE)</f>
        <v/>
      </c>
      <c r="M220" s="47" t="n"/>
      <c r="N220" s="88" t="n">
        <v>45821</v>
      </c>
      <c r="O220" s="91" t="inlineStr">
        <is>
          <t>PHILIPPOS CONSTANTINIDES TRADING CO. LTD (CIPRO)</t>
        </is>
      </c>
      <c r="P220" s="154" t="inlineStr">
        <is>
          <t xml:space="preserve">IMPORT LICENSE N. 218 DEL 12/08/2020                                                                                         AUT. TRASFERIMENTO N. 6B/2025/1D RILASCIATA IL 30/05/2025   </t>
        </is>
      </c>
      <c r="Q220" s="150" t="n"/>
      <c r="R220" s="150" t="n"/>
      <c r="S220" s="153" t="n"/>
    </row>
    <row r="221" ht="36" customHeight="1">
      <c r="A221" s="46" t="n">
        <v>2551</v>
      </c>
      <c r="B221" s="4">
        <f>+VLOOKUP($A221,MAGAZZINO!$B$2:$M$100000,2,FALSE)</f>
        <v/>
      </c>
      <c r="C221" s="29">
        <f>+VLOOKUP($A221,MAGAZZINO!$B$2:$M$100000,3,FALSE)</f>
        <v/>
      </c>
      <c r="D221" s="3">
        <f>+VLOOKUP($A221,MAGAZZINO!$B$2:$M$100000,4,FALSE)</f>
        <v/>
      </c>
      <c r="E221" s="3">
        <f>+VLOOKUP($A221,MAGAZZINO!$B$2:$M$100000,5,FALSE)</f>
        <v/>
      </c>
      <c r="F221" s="3">
        <f>+VLOOKUP($A221,MAGAZZINO!$B$2:$M$100000,6,FALSE)</f>
        <v/>
      </c>
      <c r="G221" s="3">
        <f>+VLOOKUP($A221,MAGAZZINO!$B$2:$M$100000,7,FALSE)</f>
        <v/>
      </c>
      <c r="H221" s="98">
        <f>+VLOOKUP($A221,MAGAZZINO!$B$2:$M$100000,8,FALSE)</f>
        <v/>
      </c>
      <c r="I221" s="3">
        <f>+VLOOKUP($A221,MAGAZZINO!$B$2:$M$100000,9,FALSE)</f>
        <v/>
      </c>
      <c r="J221" s="3">
        <f>+VLOOKUP($A221,MAGAZZINO!$B$2:$M$100000,10,FALSE)</f>
        <v/>
      </c>
      <c r="K221" s="3">
        <f>+VLOOKUP($A221,MAGAZZINO!$B$2:$M$100000,11,FALSE)</f>
        <v/>
      </c>
      <c r="L221" s="5">
        <f>+VLOOKUP($A221,MAGAZZINO!$B$2:$M$100000,12,FALSE)</f>
        <v/>
      </c>
      <c r="M221" s="47" t="n"/>
      <c r="N221" s="88" t="n">
        <v>45821</v>
      </c>
      <c r="O221" s="91" t="inlineStr">
        <is>
          <t>PHILIPPOS CONSTANTINIDES TRADING CO. LTD (CIPRO)</t>
        </is>
      </c>
      <c r="P221" s="154" t="inlineStr">
        <is>
          <t xml:space="preserve">IMPORT LICENSE N. 218 DEL 12/08/2020                                                                                         AUT. TRASFERIMENTO N. 6B/2025/1D RILASCIATA IL 30/05/2025   </t>
        </is>
      </c>
      <c r="Q221" s="150" t="n"/>
      <c r="R221" s="150" t="n"/>
      <c r="S221" s="153" t="n"/>
    </row>
    <row r="222" ht="36" customHeight="1">
      <c r="A222" s="46" t="n">
        <v>2552</v>
      </c>
      <c r="B222" s="4">
        <f>+VLOOKUP($A222,MAGAZZINO!$B$2:$M$100000,2,FALSE)</f>
        <v/>
      </c>
      <c r="C222" s="29">
        <f>+VLOOKUP($A222,MAGAZZINO!$B$2:$M$100000,3,FALSE)</f>
        <v/>
      </c>
      <c r="D222" s="3">
        <f>+VLOOKUP($A222,MAGAZZINO!$B$2:$M$100000,4,FALSE)</f>
        <v/>
      </c>
      <c r="E222" s="3">
        <f>+VLOOKUP($A222,MAGAZZINO!$B$2:$M$100000,5,FALSE)</f>
        <v/>
      </c>
      <c r="F222" s="3">
        <f>+VLOOKUP($A222,MAGAZZINO!$B$2:$M$100000,6,FALSE)</f>
        <v/>
      </c>
      <c r="G222" s="3">
        <f>+VLOOKUP($A222,MAGAZZINO!$B$2:$M$100000,7,FALSE)</f>
        <v/>
      </c>
      <c r="H222" s="98">
        <f>+VLOOKUP($A222,MAGAZZINO!$B$2:$M$100000,8,FALSE)</f>
        <v/>
      </c>
      <c r="I222" s="3">
        <f>+VLOOKUP($A222,MAGAZZINO!$B$2:$M$100000,9,FALSE)</f>
        <v/>
      </c>
      <c r="J222" s="3">
        <f>+VLOOKUP($A222,MAGAZZINO!$B$2:$M$100000,10,FALSE)</f>
        <v/>
      </c>
      <c r="K222" s="3">
        <f>+VLOOKUP($A222,MAGAZZINO!$B$2:$M$100000,11,FALSE)</f>
        <v/>
      </c>
      <c r="L222" s="5">
        <f>+VLOOKUP($A222,MAGAZZINO!$B$2:$M$100000,12,FALSE)</f>
        <v/>
      </c>
      <c r="M222" s="47" t="n"/>
      <c r="N222" s="88" t="n">
        <v>45821</v>
      </c>
      <c r="O222" s="91" t="inlineStr">
        <is>
          <t>PHILIPPOS CONSTANTINIDES TRADING CO. LTD (CIPRO)</t>
        </is>
      </c>
      <c r="P222" s="154" t="inlineStr">
        <is>
          <t xml:space="preserve">IMPORT LICENSE N. 218 DEL 12/08/2020                                                                                         AUT. TRASFERIMENTO N. 6B/2025/1D RILASCIATA IL 30/05/2025   </t>
        </is>
      </c>
      <c r="Q222" s="150" t="n"/>
      <c r="R222" s="150" t="n"/>
      <c r="S222" s="153" t="n"/>
    </row>
    <row r="223" ht="36" customHeight="1">
      <c r="A223" s="46" t="n">
        <v>2553</v>
      </c>
      <c r="B223" s="4">
        <f>+VLOOKUP($A223,MAGAZZINO!$B$2:$M$100000,2,FALSE)</f>
        <v/>
      </c>
      <c r="C223" s="29">
        <f>+VLOOKUP($A223,MAGAZZINO!$B$2:$M$100000,3,FALSE)</f>
        <v/>
      </c>
      <c r="D223" s="3">
        <f>+VLOOKUP($A223,MAGAZZINO!$B$2:$M$100000,4,FALSE)</f>
        <v/>
      </c>
      <c r="E223" s="3">
        <f>+VLOOKUP($A223,MAGAZZINO!$B$2:$M$100000,5,FALSE)</f>
        <v/>
      </c>
      <c r="F223" s="3">
        <f>+VLOOKUP($A223,MAGAZZINO!$B$2:$M$100000,6,FALSE)</f>
        <v/>
      </c>
      <c r="G223" s="3">
        <f>+VLOOKUP($A223,MAGAZZINO!$B$2:$M$100000,7,FALSE)</f>
        <v/>
      </c>
      <c r="H223" s="98">
        <f>+VLOOKUP($A223,MAGAZZINO!$B$2:$M$100000,8,FALSE)</f>
        <v/>
      </c>
      <c r="I223" s="3">
        <f>+VLOOKUP($A223,MAGAZZINO!$B$2:$M$100000,9,FALSE)</f>
        <v/>
      </c>
      <c r="J223" s="3">
        <f>+VLOOKUP($A223,MAGAZZINO!$B$2:$M$100000,10,FALSE)</f>
        <v/>
      </c>
      <c r="K223" s="3">
        <f>+VLOOKUP($A223,MAGAZZINO!$B$2:$M$100000,11,FALSE)</f>
        <v/>
      </c>
      <c r="L223" s="5">
        <f>+VLOOKUP($A223,MAGAZZINO!$B$2:$M$100000,12,FALSE)</f>
        <v/>
      </c>
      <c r="M223" s="47" t="n"/>
      <c r="N223" s="88" t="n">
        <v>45821</v>
      </c>
      <c r="O223" s="91" t="inlineStr">
        <is>
          <t>PHILIPPOS CONSTANTINIDES TRADING CO. LTD (CIPRO)</t>
        </is>
      </c>
      <c r="P223" s="154" t="inlineStr">
        <is>
          <t xml:space="preserve">IMPORT LICENSE N. 218 DEL 12/08/2020                                                                                         AUT. TRASFERIMENTO N. 6B/2025/1D RILASCIATA IL 30/05/2025   </t>
        </is>
      </c>
      <c r="Q223" s="150" t="n"/>
      <c r="R223" s="150" t="n"/>
      <c r="S223" s="153" t="n"/>
    </row>
    <row r="224" ht="36" customHeight="1">
      <c r="A224" s="46" t="n">
        <v>2554</v>
      </c>
      <c r="B224" s="4">
        <f>+VLOOKUP($A224,MAGAZZINO!$B$2:$M$100000,2,FALSE)</f>
        <v/>
      </c>
      <c r="C224" s="29">
        <f>+VLOOKUP($A224,MAGAZZINO!$B$2:$M$100000,3,FALSE)</f>
        <v/>
      </c>
      <c r="D224" s="3">
        <f>+VLOOKUP($A224,MAGAZZINO!$B$2:$M$100000,4,FALSE)</f>
        <v/>
      </c>
      <c r="E224" s="3">
        <f>+VLOOKUP($A224,MAGAZZINO!$B$2:$M$100000,5,FALSE)</f>
        <v/>
      </c>
      <c r="F224" s="3">
        <f>+VLOOKUP($A224,MAGAZZINO!$B$2:$M$100000,6,FALSE)</f>
        <v/>
      </c>
      <c r="G224" s="3">
        <f>+VLOOKUP($A224,MAGAZZINO!$B$2:$M$100000,7,FALSE)</f>
        <v/>
      </c>
      <c r="H224" s="98">
        <f>+VLOOKUP($A224,MAGAZZINO!$B$2:$M$100000,8,FALSE)</f>
        <v/>
      </c>
      <c r="I224" s="3">
        <f>+VLOOKUP($A224,MAGAZZINO!$B$2:$M$100000,9,FALSE)</f>
        <v/>
      </c>
      <c r="J224" s="3">
        <f>+VLOOKUP($A224,MAGAZZINO!$B$2:$M$100000,10,FALSE)</f>
        <v/>
      </c>
      <c r="K224" s="3">
        <f>+VLOOKUP($A224,MAGAZZINO!$B$2:$M$100000,11,FALSE)</f>
        <v/>
      </c>
      <c r="L224" s="5">
        <f>+VLOOKUP($A224,MAGAZZINO!$B$2:$M$100000,12,FALSE)</f>
        <v/>
      </c>
      <c r="M224" s="47" t="n"/>
      <c r="N224" s="88" t="n">
        <v>45821</v>
      </c>
      <c r="O224" s="91" t="inlineStr">
        <is>
          <t>PHILIPPOS CONSTANTINIDES TRADING CO. LTD (CIPRO)</t>
        </is>
      </c>
      <c r="P224" s="154" t="inlineStr">
        <is>
          <t xml:space="preserve">IMPORT LICENSE N. 218 DEL 12/08/2020                                                                                         AUT. TRASFERIMENTO N. 6B/2025/1D RILASCIATA IL 30/05/2025   </t>
        </is>
      </c>
      <c r="Q224" s="150" t="n"/>
      <c r="R224" s="150" t="n"/>
      <c r="S224" s="153" t="n"/>
    </row>
    <row r="225" ht="36" customHeight="1">
      <c r="A225" s="46" t="n">
        <v>2555</v>
      </c>
      <c r="B225" s="4">
        <f>+VLOOKUP($A225,MAGAZZINO!$B$2:$M$100000,2,FALSE)</f>
        <v/>
      </c>
      <c r="C225" s="29">
        <f>+VLOOKUP($A225,MAGAZZINO!$B$2:$M$100000,3,FALSE)</f>
        <v/>
      </c>
      <c r="D225" s="3">
        <f>+VLOOKUP($A225,MAGAZZINO!$B$2:$M$100000,4,FALSE)</f>
        <v/>
      </c>
      <c r="E225" s="3">
        <f>+VLOOKUP($A225,MAGAZZINO!$B$2:$M$100000,5,FALSE)</f>
        <v/>
      </c>
      <c r="F225" s="3">
        <f>+VLOOKUP($A225,MAGAZZINO!$B$2:$M$100000,6,FALSE)</f>
        <v/>
      </c>
      <c r="G225" s="3">
        <f>+VLOOKUP($A225,MAGAZZINO!$B$2:$M$100000,7,FALSE)</f>
        <v/>
      </c>
      <c r="H225" s="98">
        <f>+VLOOKUP($A225,MAGAZZINO!$B$2:$M$100000,8,FALSE)</f>
        <v/>
      </c>
      <c r="I225" s="3">
        <f>+VLOOKUP($A225,MAGAZZINO!$B$2:$M$100000,9,FALSE)</f>
        <v/>
      </c>
      <c r="J225" s="3">
        <f>+VLOOKUP($A225,MAGAZZINO!$B$2:$M$100000,10,FALSE)</f>
        <v/>
      </c>
      <c r="K225" s="3">
        <f>+VLOOKUP($A225,MAGAZZINO!$B$2:$M$100000,11,FALSE)</f>
        <v/>
      </c>
      <c r="L225" s="5">
        <f>+VLOOKUP($A225,MAGAZZINO!$B$2:$M$100000,12,FALSE)</f>
        <v/>
      </c>
      <c r="M225" s="47" t="n"/>
      <c r="N225" s="54" t="n"/>
      <c r="O225" s="3" t="n"/>
      <c r="P225" s="149" t="n"/>
      <c r="Q225" s="150" t="n"/>
      <c r="R225" s="150" t="n"/>
      <c r="S225" s="151" t="n"/>
    </row>
    <row r="226" ht="36" customHeight="1">
      <c r="A226" s="46" t="n">
        <v>2556</v>
      </c>
      <c r="B226" s="4">
        <f>+VLOOKUP($A226,MAGAZZINO!$B$2:$M$100000,2,FALSE)</f>
        <v/>
      </c>
      <c r="C226" s="29">
        <f>+VLOOKUP($A226,MAGAZZINO!$B$2:$M$100000,3,FALSE)</f>
        <v/>
      </c>
      <c r="D226" s="3">
        <f>+VLOOKUP($A226,MAGAZZINO!$B$2:$M$100000,4,FALSE)</f>
        <v/>
      </c>
      <c r="E226" s="3">
        <f>+VLOOKUP($A226,MAGAZZINO!$B$2:$M$100000,5,FALSE)</f>
        <v/>
      </c>
      <c r="F226" s="3">
        <f>+VLOOKUP($A226,MAGAZZINO!$B$2:$M$100000,6,FALSE)</f>
        <v/>
      </c>
      <c r="G226" s="3">
        <f>+VLOOKUP($A226,MAGAZZINO!$B$2:$M$100000,7,FALSE)</f>
        <v/>
      </c>
      <c r="H226" s="98">
        <f>+VLOOKUP($A226,MAGAZZINO!$B$2:$M$100000,8,FALSE)</f>
        <v/>
      </c>
      <c r="I226" s="3">
        <f>+VLOOKUP($A226,MAGAZZINO!$B$2:$M$100000,9,FALSE)</f>
        <v/>
      </c>
      <c r="J226" s="3">
        <f>+VLOOKUP($A226,MAGAZZINO!$B$2:$M$100000,10,FALSE)</f>
        <v/>
      </c>
      <c r="K226" s="3">
        <f>+VLOOKUP($A226,MAGAZZINO!$B$2:$M$100000,11,FALSE)</f>
        <v/>
      </c>
      <c r="L226" s="5">
        <f>+VLOOKUP($A226,MAGAZZINO!$B$2:$M$100000,12,FALSE)</f>
        <v/>
      </c>
      <c r="M226" s="47" t="n"/>
      <c r="N226" s="54" t="n"/>
      <c r="O226" s="3" t="n"/>
      <c r="P226" s="149" t="n"/>
      <c r="Q226" s="150" t="n"/>
      <c r="R226" s="150" t="n"/>
      <c r="S226" s="151" t="n"/>
    </row>
    <row r="227" ht="36" customHeight="1">
      <c r="A227" s="46" t="n">
        <v>2557</v>
      </c>
      <c r="B227" s="4">
        <f>+VLOOKUP($A227,MAGAZZINO!$B$2:$M$100000,2,FALSE)</f>
        <v/>
      </c>
      <c r="C227" s="29">
        <f>+VLOOKUP($A227,MAGAZZINO!$B$2:$M$100000,3,FALSE)</f>
        <v/>
      </c>
      <c r="D227" s="3">
        <f>+VLOOKUP($A227,MAGAZZINO!$B$2:$M$100000,4,FALSE)</f>
        <v/>
      </c>
      <c r="E227" s="3">
        <f>+VLOOKUP($A227,MAGAZZINO!$B$2:$M$100000,5,FALSE)</f>
        <v/>
      </c>
      <c r="F227" s="3">
        <f>+VLOOKUP($A227,MAGAZZINO!$B$2:$M$100000,6,FALSE)</f>
        <v/>
      </c>
      <c r="G227" s="3">
        <f>+VLOOKUP($A227,MAGAZZINO!$B$2:$M$100000,7,FALSE)</f>
        <v/>
      </c>
      <c r="H227" s="98">
        <f>+VLOOKUP($A227,MAGAZZINO!$B$2:$M$100000,8,FALSE)</f>
        <v/>
      </c>
      <c r="I227" s="3">
        <f>+VLOOKUP($A227,MAGAZZINO!$B$2:$M$100000,9,FALSE)</f>
        <v/>
      </c>
      <c r="J227" s="3">
        <f>+VLOOKUP($A227,MAGAZZINO!$B$2:$M$100000,10,FALSE)</f>
        <v/>
      </c>
      <c r="K227" s="3">
        <f>+VLOOKUP($A227,MAGAZZINO!$B$2:$M$100000,11,FALSE)</f>
        <v/>
      </c>
      <c r="L227" s="5">
        <f>+VLOOKUP($A227,MAGAZZINO!$B$2:$M$100000,12,FALSE)</f>
        <v/>
      </c>
      <c r="M227" s="47" t="n"/>
      <c r="N227" s="89" t="n"/>
      <c r="O227" s="91" t="n"/>
      <c r="P227" s="154" t="n"/>
      <c r="Q227" s="150" t="n"/>
      <c r="R227" s="150" t="n"/>
      <c r="S227" s="153" t="n"/>
    </row>
    <row r="228" ht="36" customHeight="1">
      <c r="A228" s="46" t="n">
        <v>2558</v>
      </c>
      <c r="B228" s="4">
        <f>+VLOOKUP($A228,MAGAZZINO!$B$2:$M$100000,2,FALSE)</f>
        <v/>
      </c>
      <c r="C228" s="29">
        <f>+VLOOKUP($A228,MAGAZZINO!$B$2:$M$100000,3,FALSE)</f>
        <v/>
      </c>
      <c r="D228" s="3">
        <f>+VLOOKUP($A228,MAGAZZINO!$B$2:$M$100000,4,FALSE)</f>
        <v/>
      </c>
      <c r="E228" s="3">
        <f>+VLOOKUP($A228,MAGAZZINO!$B$2:$M$100000,5,FALSE)</f>
        <v/>
      </c>
      <c r="F228" s="3">
        <f>+VLOOKUP($A228,MAGAZZINO!$B$2:$M$100000,6,FALSE)</f>
        <v/>
      </c>
      <c r="G228" s="3">
        <f>+VLOOKUP($A228,MAGAZZINO!$B$2:$M$100000,7,FALSE)</f>
        <v/>
      </c>
      <c r="H228" s="98">
        <f>+VLOOKUP($A228,MAGAZZINO!$B$2:$M$100000,8,FALSE)</f>
        <v/>
      </c>
      <c r="I228" s="3">
        <f>+VLOOKUP($A228,MAGAZZINO!$B$2:$M$100000,9,FALSE)</f>
        <v/>
      </c>
      <c r="J228" s="3">
        <f>+VLOOKUP($A228,MAGAZZINO!$B$2:$M$100000,10,FALSE)</f>
        <v/>
      </c>
      <c r="K228" s="3">
        <f>+VLOOKUP($A228,MAGAZZINO!$B$2:$M$100000,11,FALSE)</f>
        <v/>
      </c>
      <c r="L228" s="5">
        <f>+VLOOKUP($A228,MAGAZZINO!$B$2:$M$100000,12,FALSE)</f>
        <v/>
      </c>
      <c r="M228" s="47" t="n"/>
      <c r="N228" s="89" t="n"/>
      <c r="O228" s="91" t="n"/>
      <c r="P228" s="154" t="n"/>
      <c r="Q228" s="150" t="n"/>
      <c r="R228" s="150" t="n"/>
      <c r="S228" s="153" t="n"/>
    </row>
    <row r="229" ht="36" customHeight="1">
      <c r="A229" s="46" t="n">
        <v>2559</v>
      </c>
      <c r="B229" s="4">
        <f>+VLOOKUP($A229,MAGAZZINO!$B$2:$M$100000,2,FALSE)</f>
        <v/>
      </c>
      <c r="C229" s="29">
        <f>+VLOOKUP($A229,MAGAZZINO!$B$2:$M$100000,3,FALSE)</f>
        <v/>
      </c>
      <c r="D229" s="3">
        <f>+VLOOKUP($A229,MAGAZZINO!$B$2:$M$100000,4,FALSE)</f>
        <v/>
      </c>
      <c r="E229" s="3">
        <f>+VLOOKUP($A229,MAGAZZINO!$B$2:$M$100000,5,FALSE)</f>
        <v/>
      </c>
      <c r="F229" s="3">
        <f>+VLOOKUP($A229,MAGAZZINO!$B$2:$M$100000,6,FALSE)</f>
        <v/>
      </c>
      <c r="G229" s="3">
        <f>+VLOOKUP($A229,MAGAZZINO!$B$2:$M$100000,7,FALSE)</f>
        <v/>
      </c>
      <c r="H229" s="98">
        <f>+VLOOKUP($A229,MAGAZZINO!$B$2:$M$100000,8,FALSE)</f>
        <v/>
      </c>
      <c r="I229" s="3">
        <f>+VLOOKUP($A229,MAGAZZINO!$B$2:$M$100000,9,FALSE)</f>
        <v/>
      </c>
      <c r="J229" s="3">
        <f>+VLOOKUP($A229,MAGAZZINO!$B$2:$M$100000,10,FALSE)</f>
        <v/>
      </c>
      <c r="K229" s="3">
        <f>+VLOOKUP($A229,MAGAZZINO!$B$2:$M$100000,11,FALSE)</f>
        <v/>
      </c>
      <c r="L229" s="5">
        <f>+VLOOKUP($A229,MAGAZZINO!$B$2:$M$100000,12,FALSE)</f>
        <v/>
      </c>
      <c r="M229" s="47" t="n"/>
      <c r="N229" s="89" t="n"/>
      <c r="O229" s="91" t="n"/>
      <c r="P229" s="154" t="n"/>
      <c r="Q229" s="150" t="n"/>
      <c r="R229" s="150" t="n"/>
      <c r="S229" s="153" t="n"/>
    </row>
    <row r="230" ht="36" customHeight="1">
      <c r="A230" s="46" t="n">
        <v>2560</v>
      </c>
      <c r="B230" s="4">
        <f>+VLOOKUP($A230,MAGAZZINO!$B$2:$M$100000,2,FALSE)</f>
        <v/>
      </c>
      <c r="C230" s="29">
        <f>+VLOOKUP($A230,MAGAZZINO!$B$2:$M$100000,3,FALSE)</f>
        <v/>
      </c>
      <c r="D230" s="3">
        <f>+VLOOKUP($A230,MAGAZZINO!$B$2:$M$100000,4,FALSE)</f>
        <v/>
      </c>
      <c r="E230" s="3">
        <f>+VLOOKUP($A230,MAGAZZINO!$B$2:$M$100000,5,FALSE)</f>
        <v/>
      </c>
      <c r="F230" s="3">
        <f>+VLOOKUP($A230,MAGAZZINO!$B$2:$M$100000,6,FALSE)</f>
        <v/>
      </c>
      <c r="G230" s="3">
        <f>+VLOOKUP($A230,MAGAZZINO!$B$2:$M$100000,7,FALSE)</f>
        <v/>
      </c>
      <c r="H230" s="98">
        <f>+VLOOKUP($A230,MAGAZZINO!$B$2:$M$100000,8,FALSE)</f>
        <v/>
      </c>
      <c r="I230" s="3">
        <f>+VLOOKUP($A230,MAGAZZINO!$B$2:$M$100000,9,FALSE)</f>
        <v/>
      </c>
      <c r="J230" s="3">
        <f>+VLOOKUP($A230,MAGAZZINO!$B$2:$M$100000,10,FALSE)</f>
        <v/>
      </c>
      <c r="K230" s="3">
        <f>+VLOOKUP($A230,MAGAZZINO!$B$2:$M$100000,11,FALSE)</f>
        <v/>
      </c>
      <c r="L230" s="5">
        <f>+VLOOKUP($A230,MAGAZZINO!$B$2:$M$100000,12,FALSE)</f>
        <v/>
      </c>
      <c r="M230" s="47" t="n"/>
      <c r="N230" s="89" t="n"/>
      <c r="O230" s="91" t="n"/>
      <c r="P230" s="154" t="n"/>
      <c r="Q230" s="150" t="n"/>
      <c r="R230" s="150" t="n"/>
      <c r="S230" s="153" t="n"/>
    </row>
    <row r="231" ht="36" customHeight="1">
      <c r="A231" s="46" t="n">
        <v>2561</v>
      </c>
      <c r="B231" s="4">
        <f>+VLOOKUP($A231,MAGAZZINO!$B$2:$M$100000,2,FALSE)</f>
        <v/>
      </c>
      <c r="C231" s="29">
        <f>+VLOOKUP($A231,MAGAZZINO!$B$2:$M$100000,3,FALSE)</f>
        <v/>
      </c>
      <c r="D231" s="3">
        <f>+VLOOKUP($A231,MAGAZZINO!$B$2:$M$100000,4,FALSE)</f>
        <v/>
      </c>
      <c r="E231" s="3">
        <f>+VLOOKUP($A231,MAGAZZINO!$B$2:$M$100000,5,FALSE)</f>
        <v/>
      </c>
      <c r="F231" s="3">
        <f>+VLOOKUP($A231,MAGAZZINO!$B$2:$M$100000,6,FALSE)</f>
        <v/>
      </c>
      <c r="G231" s="3">
        <f>+VLOOKUP($A231,MAGAZZINO!$B$2:$M$100000,7,FALSE)</f>
        <v/>
      </c>
      <c r="H231" s="98">
        <f>+VLOOKUP($A231,MAGAZZINO!$B$2:$M$100000,8,FALSE)</f>
        <v/>
      </c>
      <c r="I231" s="3">
        <f>+VLOOKUP($A231,MAGAZZINO!$B$2:$M$100000,9,FALSE)</f>
        <v/>
      </c>
      <c r="J231" s="3">
        <f>+VLOOKUP($A231,MAGAZZINO!$B$2:$M$100000,10,FALSE)</f>
        <v/>
      </c>
      <c r="K231" s="3">
        <f>+VLOOKUP($A231,MAGAZZINO!$B$2:$M$100000,11,FALSE)</f>
        <v/>
      </c>
      <c r="L231" s="5">
        <f>+VLOOKUP($A231,MAGAZZINO!$B$2:$M$100000,12,FALSE)</f>
        <v/>
      </c>
      <c r="M231" s="47" t="n"/>
      <c r="N231" s="89" t="n"/>
      <c r="O231" s="91" t="n"/>
      <c r="P231" s="154" t="n"/>
      <c r="Q231" s="150" t="n"/>
      <c r="R231" s="150" t="n"/>
      <c r="S231" s="153" t="n"/>
    </row>
    <row r="232" ht="36" customHeight="1">
      <c r="A232" s="46" t="n">
        <v>2562</v>
      </c>
      <c r="B232" s="4">
        <f>+VLOOKUP($A232,MAGAZZINO!$B$2:$M$100000,2,FALSE)</f>
        <v/>
      </c>
      <c r="C232" s="29">
        <f>+VLOOKUP($A232,MAGAZZINO!$B$2:$M$100000,3,FALSE)</f>
        <v/>
      </c>
      <c r="D232" s="3">
        <f>+VLOOKUP($A232,MAGAZZINO!$B$2:$M$100000,4,FALSE)</f>
        <v/>
      </c>
      <c r="E232" s="3">
        <f>+VLOOKUP($A232,MAGAZZINO!$B$2:$M$100000,5,FALSE)</f>
        <v/>
      </c>
      <c r="F232" s="3">
        <f>+VLOOKUP($A232,MAGAZZINO!$B$2:$M$100000,6,FALSE)</f>
        <v/>
      </c>
      <c r="G232" s="3">
        <f>+VLOOKUP($A232,MAGAZZINO!$B$2:$M$100000,7,FALSE)</f>
        <v/>
      </c>
      <c r="H232" s="98">
        <f>+VLOOKUP($A232,MAGAZZINO!$B$2:$M$100000,8,FALSE)</f>
        <v/>
      </c>
      <c r="I232" s="3">
        <f>+VLOOKUP($A232,MAGAZZINO!$B$2:$M$100000,9,FALSE)</f>
        <v/>
      </c>
      <c r="J232" s="3">
        <f>+VLOOKUP($A232,MAGAZZINO!$B$2:$M$100000,10,FALSE)</f>
        <v/>
      </c>
      <c r="K232" s="3">
        <f>+VLOOKUP($A232,MAGAZZINO!$B$2:$M$100000,11,FALSE)</f>
        <v/>
      </c>
      <c r="L232" s="5">
        <f>+VLOOKUP($A232,MAGAZZINO!$B$2:$M$100000,12,FALSE)</f>
        <v/>
      </c>
      <c r="M232" s="47" t="n"/>
      <c r="N232" s="89" t="n"/>
      <c r="O232" s="91" t="n"/>
      <c r="P232" s="154" t="n"/>
      <c r="Q232" s="150" t="n"/>
      <c r="R232" s="150" t="n"/>
      <c r="S232" s="153" t="n"/>
    </row>
    <row r="233" ht="36" customHeight="1">
      <c r="A233" s="46" t="n">
        <v>2563</v>
      </c>
      <c r="B233" s="4">
        <f>+VLOOKUP($A233,MAGAZZINO!$B$2:$M$100000,2,FALSE)</f>
        <v/>
      </c>
      <c r="C233" s="29">
        <f>+VLOOKUP($A233,MAGAZZINO!$B$2:$M$100000,3,FALSE)</f>
        <v/>
      </c>
      <c r="D233" s="3">
        <f>+VLOOKUP($A233,MAGAZZINO!$B$2:$M$100000,4,FALSE)</f>
        <v/>
      </c>
      <c r="E233" s="3">
        <f>+VLOOKUP($A233,MAGAZZINO!$B$2:$M$100000,5,FALSE)</f>
        <v/>
      </c>
      <c r="F233" s="3">
        <f>+VLOOKUP($A233,MAGAZZINO!$B$2:$M$100000,6,FALSE)</f>
        <v/>
      </c>
      <c r="G233" s="3">
        <f>+VLOOKUP($A233,MAGAZZINO!$B$2:$M$100000,7,FALSE)</f>
        <v/>
      </c>
      <c r="H233" s="98">
        <f>+VLOOKUP($A233,MAGAZZINO!$B$2:$M$100000,8,FALSE)</f>
        <v/>
      </c>
      <c r="I233" s="3">
        <f>+VLOOKUP($A233,MAGAZZINO!$B$2:$M$100000,9,FALSE)</f>
        <v/>
      </c>
      <c r="J233" s="3">
        <f>+VLOOKUP($A233,MAGAZZINO!$B$2:$M$100000,10,FALSE)</f>
        <v/>
      </c>
      <c r="K233" s="3">
        <f>+VLOOKUP($A233,MAGAZZINO!$B$2:$M$100000,11,FALSE)</f>
        <v/>
      </c>
      <c r="L233" s="5">
        <f>+VLOOKUP($A233,MAGAZZINO!$B$2:$M$100000,12,FALSE)</f>
        <v/>
      </c>
      <c r="M233" s="47" t="n"/>
      <c r="N233" s="89" t="n">
        <v>45769</v>
      </c>
      <c r="O233" s="91" t="inlineStr">
        <is>
          <t>HS &amp; LLC (OMAN)</t>
        </is>
      </c>
      <c r="P233" s="154" t="inlineStr">
        <is>
          <t>IMPORT LICENSE N. 24/1/2463/1/2024 DEL 05/05/2024                                                              AUT. ESPORTAZIONE MULTIPLA N. 6B/2024/2M RILASCIATA IL 30/07/2024   (LICENZA DI SCARICO N. 6B/2025/1S RILASCIATA IL 15/04/2025)</t>
        </is>
      </c>
      <c r="Q233" s="150" t="n"/>
      <c r="R233" s="150" t="n"/>
      <c r="S233" s="153" t="n"/>
    </row>
    <row r="234" ht="36" customHeight="1">
      <c r="A234" s="46" t="n">
        <v>2564</v>
      </c>
      <c r="B234" s="4">
        <f>+VLOOKUP($A234,MAGAZZINO!$B$2:$M$100000,2,FALSE)</f>
        <v/>
      </c>
      <c r="C234" s="29">
        <f>+VLOOKUP($A234,MAGAZZINO!$B$2:$M$100000,3,FALSE)</f>
        <v/>
      </c>
      <c r="D234" s="3">
        <f>+VLOOKUP($A234,MAGAZZINO!$B$2:$M$100000,4,FALSE)</f>
        <v/>
      </c>
      <c r="E234" s="3">
        <f>+VLOOKUP($A234,MAGAZZINO!$B$2:$M$100000,5,FALSE)</f>
        <v/>
      </c>
      <c r="F234" s="3">
        <f>+VLOOKUP($A234,MAGAZZINO!$B$2:$M$100000,6,FALSE)</f>
        <v/>
      </c>
      <c r="G234" s="3">
        <f>+VLOOKUP($A234,MAGAZZINO!$B$2:$M$100000,7,FALSE)</f>
        <v/>
      </c>
      <c r="H234" s="98">
        <f>+VLOOKUP($A234,MAGAZZINO!$B$2:$M$100000,8,FALSE)</f>
        <v/>
      </c>
      <c r="I234" s="3">
        <f>+VLOOKUP($A234,MAGAZZINO!$B$2:$M$100000,9,FALSE)</f>
        <v/>
      </c>
      <c r="J234" s="3">
        <f>+VLOOKUP($A234,MAGAZZINO!$B$2:$M$100000,10,FALSE)</f>
        <v/>
      </c>
      <c r="K234" s="3">
        <f>+VLOOKUP($A234,MAGAZZINO!$B$2:$M$100000,11,FALSE)</f>
        <v/>
      </c>
      <c r="L234" s="5">
        <f>+VLOOKUP($A234,MAGAZZINO!$B$2:$M$100000,12,FALSE)</f>
        <v/>
      </c>
      <c r="M234" s="47" t="n"/>
      <c r="N234" s="89" t="n">
        <v>45769</v>
      </c>
      <c r="O234" s="91" t="inlineStr">
        <is>
          <t>HS &amp; LLC (OMAN)</t>
        </is>
      </c>
      <c r="P234" s="154" t="inlineStr">
        <is>
          <t>IMPORT LICENSE N. 24/1/2463/1/2024 DEL 05/05/2024                                                              AUT. ESPORTAZIONE MULTIPLA N. 6B/2024/2M RILASCIATA IL 30/07/2024   (LICENZA DI SCARICO N. 6B/2025/1S RILASCIATA IL 15/04/2025)</t>
        </is>
      </c>
      <c r="Q234" s="150" t="n"/>
      <c r="R234" s="150" t="n"/>
      <c r="S234" s="153" t="n"/>
    </row>
    <row r="235" ht="36" customHeight="1">
      <c r="A235" s="46" t="n">
        <v>2565</v>
      </c>
      <c r="B235" s="4">
        <f>+VLOOKUP($A235,MAGAZZINO!$B$2:$M$100000,2,FALSE)</f>
        <v/>
      </c>
      <c r="C235" s="29">
        <f>+VLOOKUP($A235,MAGAZZINO!$B$2:$M$100000,3,FALSE)</f>
        <v/>
      </c>
      <c r="D235" s="3">
        <f>+VLOOKUP($A235,MAGAZZINO!$B$2:$M$100000,4,FALSE)</f>
        <v/>
      </c>
      <c r="E235" s="3">
        <f>+VLOOKUP($A235,MAGAZZINO!$B$2:$M$100000,5,FALSE)</f>
        <v/>
      </c>
      <c r="F235" s="3">
        <f>+VLOOKUP($A235,MAGAZZINO!$B$2:$M$100000,6,FALSE)</f>
        <v/>
      </c>
      <c r="G235" s="3">
        <f>+VLOOKUP($A235,MAGAZZINO!$B$2:$M$100000,7,FALSE)</f>
        <v/>
      </c>
      <c r="H235" s="98">
        <f>+VLOOKUP($A235,MAGAZZINO!$B$2:$M$100000,8,FALSE)</f>
        <v/>
      </c>
      <c r="I235" s="3">
        <f>+VLOOKUP($A235,MAGAZZINO!$B$2:$M$100000,9,FALSE)</f>
        <v/>
      </c>
      <c r="J235" s="3">
        <f>+VLOOKUP($A235,MAGAZZINO!$B$2:$M$100000,10,FALSE)</f>
        <v/>
      </c>
      <c r="K235" s="3">
        <f>+VLOOKUP($A235,MAGAZZINO!$B$2:$M$100000,11,FALSE)</f>
        <v/>
      </c>
      <c r="L235" s="5">
        <f>+VLOOKUP($A235,MAGAZZINO!$B$2:$M$100000,12,FALSE)</f>
        <v/>
      </c>
      <c r="M235" s="47" t="n"/>
      <c r="N235" s="89" t="n">
        <v>45769</v>
      </c>
      <c r="O235" s="91" t="inlineStr">
        <is>
          <t>HS &amp; LLC (OMAN)</t>
        </is>
      </c>
      <c r="P235" s="154" t="inlineStr">
        <is>
          <t>IMPORT LICENSE N. 24/1/2463/1/2024 DEL 05/05/2024                                                              AUT. ESPORTAZIONE MULTIPLA N. 6B/2024/2M RILASCIATA IL 30/07/2024   (LICENZA DI SCARICO N. 6B/2025/1S RILASCIATA IL 15/04/2025)</t>
        </is>
      </c>
      <c r="Q235" s="150" t="n"/>
      <c r="R235" s="150" t="n"/>
      <c r="S235" s="153" t="n"/>
    </row>
    <row r="236" ht="36" customHeight="1">
      <c r="A236" s="46" t="n">
        <v>2566</v>
      </c>
      <c r="B236" s="4">
        <f>+VLOOKUP($A236,MAGAZZINO!$B$2:$M$100000,2,FALSE)</f>
        <v/>
      </c>
      <c r="C236" s="29">
        <f>+VLOOKUP($A236,MAGAZZINO!$B$2:$M$100000,3,FALSE)</f>
        <v/>
      </c>
      <c r="D236" s="3">
        <f>+VLOOKUP($A236,MAGAZZINO!$B$2:$M$100000,4,FALSE)</f>
        <v/>
      </c>
      <c r="E236" s="3">
        <f>+VLOOKUP($A236,MAGAZZINO!$B$2:$M$100000,5,FALSE)</f>
        <v/>
      </c>
      <c r="F236" s="3">
        <f>+VLOOKUP($A236,MAGAZZINO!$B$2:$M$100000,6,FALSE)</f>
        <v/>
      </c>
      <c r="G236" s="3">
        <f>+VLOOKUP($A236,MAGAZZINO!$B$2:$M$100000,7,FALSE)</f>
        <v/>
      </c>
      <c r="H236" s="98">
        <f>+VLOOKUP($A236,MAGAZZINO!$B$2:$M$100000,8,FALSE)</f>
        <v/>
      </c>
      <c r="I236" s="3">
        <f>+VLOOKUP($A236,MAGAZZINO!$B$2:$M$100000,9,FALSE)</f>
        <v/>
      </c>
      <c r="J236" s="3">
        <f>+VLOOKUP($A236,MAGAZZINO!$B$2:$M$100000,10,FALSE)</f>
        <v/>
      </c>
      <c r="K236" s="3">
        <f>+VLOOKUP($A236,MAGAZZINO!$B$2:$M$100000,11,FALSE)</f>
        <v/>
      </c>
      <c r="L236" s="5">
        <f>+VLOOKUP($A236,MAGAZZINO!$B$2:$M$100000,12,FALSE)</f>
        <v/>
      </c>
      <c r="M236" s="47" t="n"/>
      <c r="N236" s="89" t="n"/>
      <c r="O236" s="91" t="n"/>
      <c r="P236" s="154" t="n"/>
      <c r="Q236" s="150" t="n"/>
      <c r="R236" s="150" t="n"/>
      <c r="S236" s="153" t="n"/>
    </row>
    <row r="237" ht="36" customHeight="1">
      <c r="A237" s="46" t="n">
        <v>2567</v>
      </c>
      <c r="B237" s="4">
        <f>+VLOOKUP($A237,MAGAZZINO!$B$2:$M$100000,2,FALSE)</f>
        <v/>
      </c>
      <c r="C237" s="29">
        <f>+VLOOKUP($A237,MAGAZZINO!$B$2:$M$100000,3,FALSE)</f>
        <v/>
      </c>
      <c r="D237" s="3">
        <f>+VLOOKUP($A237,MAGAZZINO!$B$2:$M$100000,4,FALSE)</f>
        <v/>
      </c>
      <c r="E237" s="3">
        <f>+VLOOKUP($A237,MAGAZZINO!$B$2:$M$100000,5,FALSE)</f>
        <v/>
      </c>
      <c r="F237" s="3">
        <f>+VLOOKUP($A237,MAGAZZINO!$B$2:$M$100000,6,FALSE)</f>
        <v/>
      </c>
      <c r="G237" s="3">
        <f>+VLOOKUP($A237,MAGAZZINO!$B$2:$M$100000,7,FALSE)</f>
        <v/>
      </c>
      <c r="H237" s="98">
        <f>+VLOOKUP($A237,MAGAZZINO!$B$2:$M$100000,8,FALSE)</f>
        <v/>
      </c>
      <c r="I237" s="3">
        <f>+VLOOKUP($A237,MAGAZZINO!$B$2:$M$100000,9,FALSE)</f>
        <v/>
      </c>
      <c r="J237" s="3">
        <f>+VLOOKUP($A237,MAGAZZINO!$B$2:$M$100000,10,FALSE)</f>
        <v/>
      </c>
      <c r="K237" s="3">
        <f>+VLOOKUP($A237,MAGAZZINO!$B$2:$M$100000,11,FALSE)</f>
        <v/>
      </c>
      <c r="L237" s="5">
        <f>+VLOOKUP($A237,MAGAZZINO!$B$2:$M$100000,12,FALSE)</f>
        <v/>
      </c>
      <c r="M237" s="47" t="n"/>
      <c r="N237" s="89" t="n"/>
      <c r="O237" s="91" t="n"/>
      <c r="P237" s="154" t="n"/>
      <c r="Q237" s="150" t="n"/>
      <c r="R237" s="150" t="n"/>
      <c r="S237" s="153" t="n"/>
    </row>
    <row r="238" ht="36" customHeight="1">
      <c r="A238" s="46" t="n">
        <v>2568</v>
      </c>
      <c r="B238" s="4">
        <f>+VLOOKUP($A238,MAGAZZINO!$B$2:$M$100000,2,FALSE)</f>
        <v/>
      </c>
      <c r="C238" s="29">
        <f>+VLOOKUP($A238,MAGAZZINO!$B$2:$M$100000,3,FALSE)</f>
        <v/>
      </c>
      <c r="D238" s="3">
        <f>+VLOOKUP($A238,MAGAZZINO!$B$2:$M$100000,4,FALSE)</f>
        <v/>
      </c>
      <c r="E238" s="3">
        <f>+VLOOKUP($A238,MAGAZZINO!$B$2:$M$100000,5,FALSE)</f>
        <v/>
      </c>
      <c r="F238" s="3">
        <f>+VLOOKUP($A238,MAGAZZINO!$B$2:$M$100000,6,FALSE)</f>
        <v/>
      </c>
      <c r="G238" s="3">
        <f>+VLOOKUP($A238,MAGAZZINO!$B$2:$M$100000,7,FALSE)</f>
        <v/>
      </c>
      <c r="H238" s="98">
        <f>+VLOOKUP($A238,MAGAZZINO!$B$2:$M$100000,8,FALSE)</f>
        <v/>
      </c>
      <c r="I238" s="3">
        <f>+VLOOKUP($A238,MAGAZZINO!$B$2:$M$100000,9,FALSE)</f>
        <v/>
      </c>
      <c r="J238" s="3">
        <f>+VLOOKUP($A238,MAGAZZINO!$B$2:$M$100000,10,FALSE)</f>
        <v/>
      </c>
      <c r="K238" s="3">
        <f>+VLOOKUP($A238,MAGAZZINO!$B$2:$M$100000,11,FALSE)</f>
        <v/>
      </c>
      <c r="L238" s="5">
        <f>+VLOOKUP($A238,MAGAZZINO!$B$2:$M$100000,12,FALSE)</f>
        <v/>
      </c>
      <c r="M238" s="47" t="n"/>
      <c r="N238" s="89" t="n"/>
      <c r="O238" s="91" t="n"/>
      <c r="P238" s="154" t="n"/>
      <c r="Q238" s="150" t="n"/>
      <c r="R238" s="150" t="n"/>
      <c r="S238" s="153" t="n"/>
    </row>
    <row r="239" ht="36" customHeight="1">
      <c r="A239" s="46" t="n">
        <v>2569</v>
      </c>
      <c r="B239" s="4">
        <f>+VLOOKUP($A239,MAGAZZINO!$B$2:$M$100000,2,FALSE)</f>
        <v/>
      </c>
      <c r="C239" s="29">
        <f>+VLOOKUP($A239,MAGAZZINO!$B$2:$M$100000,3,FALSE)</f>
        <v/>
      </c>
      <c r="D239" s="3">
        <f>+VLOOKUP($A239,MAGAZZINO!$B$2:$M$100000,4,FALSE)</f>
        <v/>
      </c>
      <c r="E239" s="3">
        <f>+VLOOKUP($A239,MAGAZZINO!$B$2:$M$100000,5,FALSE)</f>
        <v/>
      </c>
      <c r="F239" s="3">
        <f>+VLOOKUP($A239,MAGAZZINO!$B$2:$M$100000,6,FALSE)</f>
        <v/>
      </c>
      <c r="G239" s="3">
        <f>+VLOOKUP($A239,MAGAZZINO!$B$2:$M$100000,7,FALSE)</f>
        <v/>
      </c>
      <c r="H239" s="98">
        <f>+VLOOKUP($A239,MAGAZZINO!$B$2:$M$100000,8,FALSE)</f>
        <v/>
      </c>
      <c r="I239" s="3">
        <f>+VLOOKUP($A239,MAGAZZINO!$B$2:$M$100000,9,FALSE)</f>
        <v/>
      </c>
      <c r="J239" s="3">
        <f>+VLOOKUP($A239,MAGAZZINO!$B$2:$M$100000,10,FALSE)</f>
        <v/>
      </c>
      <c r="K239" s="3">
        <f>+VLOOKUP($A239,MAGAZZINO!$B$2:$M$100000,11,FALSE)</f>
        <v/>
      </c>
      <c r="L239" s="5">
        <f>+VLOOKUP($A239,MAGAZZINO!$B$2:$M$100000,12,FALSE)</f>
        <v/>
      </c>
      <c r="M239" s="47" t="n"/>
      <c r="N239" s="89" t="n"/>
      <c r="O239" s="91" t="n"/>
      <c r="P239" s="163" t="n"/>
      <c r="Q239" s="150" t="n"/>
      <c r="R239" s="150" t="n"/>
      <c r="S239" s="151" t="n"/>
    </row>
    <row r="240" ht="36" customHeight="1">
      <c r="A240" s="46" t="n">
        <v>2570</v>
      </c>
      <c r="B240" s="4">
        <f>+VLOOKUP($A240,MAGAZZINO!$B$2:$M$100000,2,FALSE)</f>
        <v/>
      </c>
      <c r="C240" s="29">
        <f>+VLOOKUP($A240,MAGAZZINO!$B$2:$M$100000,3,FALSE)</f>
        <v/>
      </c>
      <c r="D240" s="3">
        <f>+VLOOKUP($A240,MAGAZZINO!$B$2:$M$100000,4,FALSE)</f>
        <v/>
      </c>
      <c r="E240" s="3">
        <f>+VLOOKUP($A240,MAGAZZINO!$B$2:$M$100000,5,FALSE)</f>
        <v/>
      </c>
      <c r="F240" s="3">
        <f>+VLOOKUP($A240,MAGAZZINO!$B$2:$M$100000,6,FALSE)</f>
        <v/>
      </c>
      <c r="G240" s="3">
        <f>+VLOOKUP($A240,MAGAZZINO!$B$2:$M$100000,7,FALSE)</f>
        <v/>
      </c>
      <c r="H240" s="98">
        <f>+VLOOKUP($A240,MAGAZZINO!$B$2:$M$100000,8,FALSE)</f>
        <v/>
      </c>
      <c r="I240" s="3">
        <f>+VLOOKUP($A240,MAGAZZINO!$B$2:$M$100000,9,FALSE)</f>
        <v/>
      </c>
      <c r="J240" s="3">
        <f>+VLOOKUP($A240,MAGAZZINO!$B$2:$M$100000,10,FALSE)</f>
        <v/>
      </c>
      <c r="K240" s="3">
        <f>+VLOOKUP($A240,MAGAZZINO!$B$2:$M$100000,11,FALSE)</f>
        <v/>
      </c>
      <c r="L240" s="5">
        <f>+VLOOKUP($A240,MAGAZZINO!$B$2:$M$100000,12,FALSE)</f>
        <v/>
      </c>
      <c r="M240" s="47" t="n"/>
      <c r="N240" s="54" t="n"/>
      <c r="O240" s="3" t="n"/>
      <c r="P240" s="149" t="n"/>
      <c r="Q240" s="150" t="n"/>
      <c r="R240" s="150" t="n"/>
      <c r="S240" s="151" t="n"/>
    </row>
    <row r="241" ht="36" customHeight="1">
      <c r="A241" s="46" t="n">
        <v>2571</v>
      </c>
      <c r="B241" s="4">
        <f>+VLOOKUP($A241,MAGAZZINO!$B$2:$M$100000,2,FALSE)</f>
        <v/>
      </c>
      <c r="C241" s="29">
        <f>+VLOOKUP($A241,MAGAZZINO!$B$2:$M$100000,3,FALSE)</f>
        <v/>
      </c>
      <c r="D241" s="3">
        <f>+VLOOKUP($A241,MAGAZZINO!$B$2:$M$100000,4,FALSE)</f>
        <v/>
      </c>
      <c r="E241" s="3">
        <f>+VLOOKUP($A241,MAGAZZINO!$B$2:$M$100000,5,FALSE)</f>
        <v/>
      </c>
      <c r="F241" s="3">
        <f>+VLOOKUP($A241,MAGAZZINO!$B$2:$M$100000,6,FALSE)</f>
        <v/>
      </c>
      <c r="G241" s="3">
        <f>+VLOOKUP($A241,MAGAZZINO!$B$2:$M$100000,7,FALSE)</f>
        <v/>
      </c>
      <c r="H241" s="98">
        <f>+VLOOKUP($A241,MAGAZZINO!$B$2:$M$100000,8,FALSE)</f>
        <v/>
      </c>
      <c r="I241" s="3">
        <f>+VLOOKUP($A241,MAGAZZINO!$B$2:$M$100000,9,FALSE)</f>
        <v/>
      </c>
      <c r="J241" s="3">
        <f>+VLOOKUP($A241,MAGAZZINO!$B$2:$M$100000,10,FALSE)</f>
        <v/>
      </c>
      <c r="K241" s="3">
        <f>+VLOOKUP($A241,MAGAZZINO!$B$2:$M$100000,11,FALSE)</f>
        <v/>
      </c>
      <c r="L241" s="5">
        <f>+VLOOKUP($A241,MAGAZZINO!$B$2:$M$100000,12,FALSE)</f>
        <v/>
      </c>
      <c r="M241" s="47" t="n"/>
      <c r="N241" s="54" t="n"/>
      <c r="O241" s="3" t="n"/>
      <c r="P241" s="149" t="n"/>
      <c r="Q241" s="150" t="n"/>
      <c r="R241" s="150" t="n"/>
      <c r="S241" s="151" t="n"/>
    </row>
    <row r="242" ht="36" customHeight="1">
      <c r="A242" s="46" t="n">
        <v>2572</v>
      </c>
      <c r="B242" s="4">
        <f>+VLOOKUP($A242,MAGAZZINO!$B$2:$M$100000,2,FALSE)</f>
        <v/>
      </c>
      <c r="C242" s="29">
        <f>+VLOOKUP($A242,MAGAZZINO!$B$2:$M$100000,3,FALSE)</f>
        <v/>
      </c>
      <c r="D242" s="3">
        <f>+VLOOKUP($A242,MAGAZZINO!$B$2:$M$100000,4,FALSE)</f>
        <v/>
      </c>
      <c r="E242" s="3">
        <f>+VLOOKUP($A242,MAGAZZINO!$B$2:$M$100000,5,FALSE)</f>
        <v/>
      </c>
      <c r="F242" s="3">
        <f>+VLOOKUP($A242,MAGAZZINO!$B$2:$M$100000,6,FALSE)</f>
        <v/>
      </c>
      <c r="G242" s="3">
        <f>+VLOOKUP($A242,MAGAZZINO!$B$2:$M$100000,7,FALSE)</f>
        <v/>
      </c>
      <c r="H242" s="3">
        <f>+VLOOKUP($A242,MAGAZZINO!$B$2:$M$100000,8,FALSE)</f>
        <v/>
      </c>
      <c r="I242" s="3">
        <f>+VLOOKUP($A242,MAGAZZINO!$B$2:$M$100000,9,FALSE)</f>
        <v/>
      </c>
      <c r="J242" s="3">
        <f>+VLOOKUP($A242,MAGAZZINO!$B$2:$M$100000,10,FALSE)</f>
        <v/>
      </c>
      <c r="K242" s="3">
        <f>+VLOOKUP($A242,MAGAZZINO!$B$2:$M$100000,11,FALSE)</f>
        <v/>
      </c>
      <c r="L242" s="5">
        <f>+VLOOKUP($A242,MAGAZZINO!$B$2:$M$100000,12,FALSE)</f>
        <v/>
      </c>
      <c r="M242" s="47" t="n"/>
      <c r="N242" s="54" t="n"/>
      <c r="O242" s="3" t="n"/>
      <c r="P242" s="149" t="n"/>
      <c r="Q242" s="150" t="n"/>
      <c r="R242" s="150" t="n"/>
      <c r="S242" s="151" t="n"/>
    </row>
    <row r="243" ht="36" customHeight="1">
      <c r="A243" s="46" t="n">
        <v>2573</v>
      </c>
      <c r="B243" s="4">
        <f>+VLOOKUP($A243,MAGAZZINO!$B$2:$M$100000,2,FALSE)</f>
        <v/>
      </c>
      <c r="C243" s="29">
        <f>+VLOOKUP($A243,MAGAZZINO!$B$2:$M$100000,3,FALSE)</f>
        <v/>
      </c>
      <c r="D243" s="3">
        <f>+VLOOKUP($A243,MAGAZZINO!$B$2:$M$100000,4,FALSE)</f>
        <v/>
      </c>
      <c r="E243" s="3">
        <f>+VLOOKUP($A243,MAGAZZINO!$B$2:$M$100000,5,FALSE)</f>
        <v/>
      </c>
      <c r="F243" s="3">
        <f>+VLOOKUP($A243,MAGAZZINO!$B$2:$M$100000,6,FALSE)</f>
        <v/>
      </c>
      <c r="G243" s="3">
        <f>+VLOOKUP($A243,MAGAZZINO!$B$2:$M$100000,7,FALSE)</f>
        <v/>
      </c>
      <c r="H243" s="3">
        <f>+VLOOKUP($A243,MAGAZZINO!$B$2:$M$100000,8,FALSE)</f>
        <v/>
      </c>
      <c r="I243" s="3">
        <f>+VLOOKUP($A243,MAGAZZINO!$B$2:$M$100000,9,FALSE)</f>
        <v/>
      </c>
      <c r="J243" s="3">
        <f>+VLOOKUP($A243,MAGAZZINO!$B$2:$M$100000,10,FALSE)</f>
        <v/>
      </c>
      <c r="K243" s="3">
        <f>+VLOOKUP($A243,MAGAZZINO!$B$2:$M$100000,11,FALSE)</f>
        <v/>
      </c>
      <c r="L243" s="5">
        <f>+VLOOKUP($A243,MAGAZZINO!$B$2:$M$100000,12,FALSE)</f>
        <v/>
      </c>
      <c r="M243" s="47" t="n"/>
      <c r="N243" s="88" t="n">
        <v>45874</v>
      </c>
      <c r="O243" s="91" t="inlineStr">
        <is>
          <t>PHILIPPOS CONSTANTINIDES TRADING CO. LTD (CIPRO)</t>
        </is>
      </c>
      <c r="P243" s="154" t="inlineStr">
        <is>
          <t xml:space="preserve">IMPORT LICENSE N. 218 DEL 12/08/2020                                                                                         AUT. TRASFERIMENTO N. 6B/2025/3D RILASCIATA IL 28/07/2025   </t>
        </is>
      </c>
      <c r="Q243" s="150" t="n"/>
      <c r="R243" s="150" t="n"/>
      <c r="S243" s="153" t="n"/>
    </row>
    <row r="244" ht="36" customHeight="1">
      <c r="A244" s="46" t="n">
        <v>2574</v>
      </c>
      <c r="B244" s="4">
        <f>+VLOOKUP($A244,MAGAZZINO!$B$2:$M$100000,2,FALSE)</f>
        <v/>
      </c>
      <c r="C244" s="29">
        <f>+VLOOKUP($A244,MAGAZZINO!$B$2:$M$100000,3,FALSE)</f>
        <v/>
      </c>
      <c r="D244" s="3">
        <f>+VLOOKUP($A244,MAGAZZINO!$B$2:$M$100000,4,FALSE)</f>
        <v/>
      </c>
      <c r="E244" s="3">
        <f>+VLOOKUP($A244,MAGAZZINO!$B$2:$M$100000,5,FALSE)</f>
        <v/>
      </c>
      <c r="F244" s="3">
        <f>+VLOOKUP($A244,MAGAZZINO!$B$2:$M$100000,6,FALSE)</f>
        <v/>
      </c>
      <c r="G244" s="3">
        <f>+VLOOKUP($A244,MAGAZZINO!$B$2:$M$100000,7,FALSE)</f>
        <v/>
      </c>
      <c r="H244" s="3">
        <f>+VLOOKUP($A244,MAGAZZINO!$B$2:$M$100000,8,FALSE)</f>
        <v/>
      </c>
      <c r="I244" s="3">
        <f>+VLOOKUP($A244,MAGAZZINO!$B$2:$M$100000,9,FALSE)</f>
        <v/>
      </c>
      <c r="J244" s="3">
        <f>+VLOOKUP($A244,MAGAZZINO!$B$2:$M$100000,10,FALSE)</f>
        <v/>
      </c>
      <c r="K244" s="3">
        <f>+VLOOKUP($A244,MAGAZZINO!$B$2:$M$100000,11,FALSE)</f>
        <v/>
      </c>
      <c r="L244" s="5">
        <f>+VLOOKUP($A244,MAGAZZINO!$B$2:$M$100000,12,FALSE)</f>
        <v/>
      </c>
      <c r="M244" s="47" t="n"/>
      <c r="N244" s="89" t="n">
        <v>45769</v>
      </c>
      <c r="O244" s="91" t="inlineStr">
        <is>
          <t>HS &amp; LLC (OMAN)</t>
        </is>
      </c>
      <c r="P244" s="154" t="inlineStr">
        <is>
          <t>IMPORT LICENSE N. 24/1/2463/1/2024 DEL 05/05/2024                                                              AUT. ESPORTAZIONE MULTIPLA N. 6B/2024/2M RILASCIATA IL 30/07/2024   (LICENZA DI SCARICO N. 6B/2025/1S RILASCIATA IL 15/04/2025)</t>
        </is>
      </c>
      <c r="Q244" s="150" t="n"/>
      <c r="R244" s="150" t="n"/>
      <c r="S244" s="153" t="n"/>
    </row>
    <row r="245" ht="36" customHeight="1">
      <c r="A245" s="46" t="n">
        <v>2575</v>
      </c>
      <c r="B245" s="4">
        <f>+VLOOKUP($A245,MAGAZZINO!$B$2:$M$100000,2,FALSE)</f>
        <v/>
      </c>
      <c r="C245" s="29">
        <f>+VLOOKUP($A245,MAGAZZINO!$B$2:$M$100000,3,FALSE)</f>
        <v/>
      </c>
      <c r="D245" s="3">
        <f>+VLOOKUP($A245,MAGAZZINO!$B$2:$M$100000,4,FALSE)</f>
        <v/>
      </c>
      <c r="E245" s="3">
        <f>+VLOOKUP($A245,MAGAZZINO!$B$2:$M$100000,5,FALSE)</f>
        <v/>
      </c>
      <c r="F245" s="3">
        <f>+VLOOKUP($A245,MAGAZZINO!$B$2:$M$100000,6,FALSE)</f>
        <v/>
      </c>
      <c r="G245" s="3">
        <f>+VLOOKUP($A245,MAGAZZINO!$B$2:$M$100000,7,FALSE)</f>
        <v/>
      </c>
      <c r="H245" s="3">
        <f>+VLOOKUP($A245,MAGAZZINO!$B$2:$M$100000,8,FALSE)</f>
        <v/>
      </c>
      <c r="I245" s="3">
        <f>+VLOOKUP($A245,MAGAZZINO!$B$2:$M$100000,9,FALSE)</f>
        <v/>
      </c>
      <c r="J245" s="3">
        <f>+VLOOKUP($A245,MAGAZZINO!$B$2:$M$100000,10,FALSE)</f>
        <v/>
      </c>
      <c r="K245" s="3">
        <f>+VLOOKUP($A245,MAGAZZINO!$B$2:$M$100000,11,FALSE)</f>
        <v/>
      </c>
      <c r="L245" s="5">
        <f>+VLOOKUP($A245,MAGAZZINO!$B$2:$M$100000,12,FALSE)</f>
        <v/>
      </c>
      <c r="M245" s="47" t="n"/>
      <c r="N245" s="89" t="n">
        <v>45769</v>
      </c>
      <c r="O245" s="91" t="inlineStr">
        <is>
          <t>HS &amp; LLC (OMAN)</t>
        </is>
      </c>
      <c r="P245" s="154" t="inlineStr">
        <is>
          <t>IMPORT LICENSE N. 24/1/2463/1/2024 DEL 05/05/2024                                                              AUT. ESPORTAZIONE MULTIPLA N. 6B/2024/2M RILASCIATA IL 30/07/2024   (LICENZA DI SCARICO N. 6B/2025/1S RILASCIATA IL 15/04/2025)</t>
        </is>
      </c>
      <c r="Q245" s="150" t="n"/>
      <c r="R245" s="150" t="n"/>
      <c r="S245" s="153" t="n"/>
    </row>
    <row r="246" ht="36" customHeight="1">
      <c r="A246" s="46" t="n">
        <v>2576</v>
      </c>
      <c r="B246" s="4">
        <f>+VLOOKUP($A246,MAGAZZINO!$B$2:$M$100000,2,FALSE)</f>
        <v/>
      </c>
      <c r="C246" s="29">
        <f>+VLOOKUP($A246,MAGAZZINO!$B$2:$M$100000,3,FALSE)</f>
        <v/>
      </c>
      <c r="D246" s="3">
        <f>+VLOOKUP($A246,MAGAZZINO!$B$2:$M$100000,4,FALSE)</f>
        <v/>
      </c>
      <c r="E246" s="3">
        <f>+VLOOKUP($A246,MAGAZZINO!$B$2:$M$100000,5,FALSE)</f>
        <v/>
      </c>
      <c r="F246" s="3">
        <f>+VLOOKUP($A246,MAGAZZINO!$B$2:$M$100000,6,FALSE)</f>
        <v/>
      </c>
      <c r="G246" s="3">
        <f>+VLOOKUP($A246,MAGAZZINO!$B$2:$M$100000,7,FALSE)</f>
        <v/>
      </c>
      <c r="H246" s="3">
        <f>+VLOOKUP($A246,MAGAZZINO!$B$2:$M$100000,8,FALSE)</f>
        <v/>
      </c>
      <c r="I246" s="3">
        <f>+VLOOKUP($A246,MAGAZZINO!$B$2:$M$100000,9,FALSE)</f>
        <v/>
      </c>
      <c r="J246" s="3">
        <f>+VLOOKUP($A246,MAGAZZINO!$B$2:$M$100000,10,FALSE)</f>
        <v/>
      </c>
      <c r="K246" s="3">
        <f>+VLOOKUP($A246,MAGAZZINO!$B$2:$M$100000,11,FALSE)</f>
        <v/>
      </c>
      <c r="L246" s="5">
        <f>+VLOOKUP($A246,MAGAZZINO!$B$2:$M$100000,12,FALSE)</f>
        <v/>
      </c>
      <c r="M246" s="47" t="n"/>
      <c r="N246" s="89" t="n">
        <v>45769</v>
      </c>
      <c r="O246" s="91" t="inlineStr">
        <is>
          <t>HS &amp; LLC (OMAN)</t>
        </is>
      </c>
      <c r="P246" s="154" t="inlineStr">
        <is>
          <t>IMPORT LICENSE N. 24/1/2463/1/2024 DEL 05/05/2024                                                              AUT. ESPORTAZIONE MULTIPLA N. 6B/2024/2M RILASCIATA IL 30/07/2024   (LICENZA DI SCARICO N. 6B/2025/1S RILASCIATA IL 15/04/2025)</t>
        </is>
      </c>
      <c r="Q246" s="150" t="n"/>
      <c r="R246" s="150" t="n"/>
      <c r="S246" s="153" t="n"/>
    </row>
    <row r="247" ht="36" customHeight="1">
      <c r="A247" s="46" t="n">
        <v>2577</v>
      </c>
      <c r="B247" s="4">
        <f>+VLOOKUP($A247,MAGAZZINO!$B$2:$M$100000,2,FALSE)</f>
        <v/>
      </c>
      <c r="C247" s="29">
        <f>+VLOOKUP($A247,MAGAZZINO!$B$2:$M$100000,3,FALSE)</f>
        <v/>
      </c>
      <c r="D247" s="3">
        <f>+VLOOKUP($A247,MAGAZZINO!$B$2:$M$100000,4,FALSE)</f>
        <v/>
      </c>
      <c r="E247" s="3">
        <f>+VLOOKUP($A247,MAGAZZINO!$B$2:$M$100000,5,FALSE)</f>
        <v/>
      </c>
      <c r="F247" s="3">
        <f>+VLOOKUP($A247,MAGAZZINO!$B$2:$M$100000,6,FALSE)</f>
        <v/>
      </c>
      <c r="G247" s="3">
        <f>+VLOOKUP($A247,MAGAZZINO!$B$2:$M$100000,7,FALSE)</f>
        <v/>
      </c>
      <c r="H247" s="3">
        <f>+VLOOKUP($A247,MAGAZZINO!$B$2:$M$100000,8,FALSE)</f>
        <v/>
      </c>
      <c r="I247" s="3">
        <f>+VLOOKUP($A247,MAGAZZINO!$B$2:$M$100000,9,FALSE)</f>
        <v/>
      </c>
      <c r="J247" s="3">
        <f>+VLOOKUP($A247,MAGAZZINO!$B$2:$M$100000,10,FALSE)</f>
        <v/>
      </c>
      <c r="K247" s="3">
        <f>+VLOOKUP($A247,MAGAZZINO!$B$2:$M$100000,11,FALSE)</f>
        <v/>
      </c>
      <c r="L247" s="5">
        <f>+VLOOKUP($A247,MAGAZZINO!$B$2:$M$100000,12,FALSE)</f>
        <v/>
      </c>
      <c r="M247" s="47" t="n"/>
      <c r="N247" s="89" t="n">
        <v>45769</v>
      </c>
      <c r="O247" s="91" t="inlineStr">
        <is>
          <t>HS &amp; LLC (OMAN)</t>
        </is>
      </c>
      <c r="P247" s="154" t="inlineStr">
        <is>
          <t>IMPORT LICENSE N. 24/1/2463/1/2024 DEL 05/05/2024                                                              AUT. ESPORTAZIONE MULTIPLA N. 6B/2024/2M RILASCIATA IL 30/07/2024   (LICENZA DI SCARICO N. 6B/2025/1S RILASCIATA IL 15/04/2025)</t>
        </is>
      </c>
      <c r="Q247" s="150" t="n"/>
      <c r="R247" s="150" t="n"/>
      <c r="S247" s="153" t="n"/>
    </row>
    <row r="248" ht="36" customHeight="1">
      <c r="A248" s="46" t="n">
        <v>2578</v>
      </c>
      <c r="B248" s="4">
        <f>+VLOOKUP($A248,MAGAZZINO!$B$2:$M$100000,2,FALSE)</f>
        <v/>
      </c>
      <c r="C248" s="29">
        <f>+VLOOKUP($A248,MAGAZZINO!$B$2:$M$100000,3,FALSE)</f>
        <v/>
      </c>
      <c r="D248" s="3">
        <f>+VLOOKUP($A248,MAGAZZINO!$B$2:$M$100000,4,FALSE)</f>
        <v/>
      </c>
      <c r="E248" s="3">
        <f>+VLOOKUP($A248,MAGAZZINO!$B$2:$M$100000,5,FALSE)</f>
        <v/>
      </c>
      <c r="F248" s="3">
        <f>+VLOOKUP($A248,MAGAZZINO!$B$2:$M$100000,6,FALSE)</f>
        <v/>
      </c>
      <c r="G248" s="3">
        <f>+VLOOKUP($A248,MAGAZZINO!$B$2:$M$100000,7,FALSE)</f>
        <v/>
      </c>
      <c r="H248" s="3">
        <f>+VLOOKUP($A248,MAGAZZINO!$B$2:$M$100000,8,FALSE)</f>
        <v/>
      </c>
      <c r="I248" s="3">
        <f>+VLOOKUP($A248,MAGAZZINO!$B$2:$M$100000,9,FALSE)</f>
        <v/>
      </c>
      <c r="J248" s="3">
        <f>+VLOOKUP($A248,MAGAZZINO!$B$2:$M$100000,10,FALSE)</f>
        <v/>
      </c>
      <c r="K248" s="3">
        <f>+VLOOKUP($A248,MAGAZZINO!$B$2:$M$100000,11,FALSE)</f>
        <v/>
      </c>
      <c r="L248" s="5">
        <f>+VLOOKUP($A248,MAGAZZINO!$B$2:$M$100000,12,FALSE)</f>
        <v/>
      </c>
      <c r="M248" s="47" t="n"/>
      <c r="N248" s="89" t="n">
        <v>45769</v>
      </c>
      <c r="O248" s="91" t="inlineStr">
        <is>
          <t>HS &amp; LLC (OMAN)</t>
        </is>
      </c>
      <c r="P248" s="154" t="inlineStr">
        <is>
          <t>IMPORT LICENSE N. 24/1/2463/1/2024 DEL 05/05/2024                                                              AUT. ESPORTAZIONE MULTIPLA N. 6B/2024/2M RILASCIATA IL 30/07/2024   (LICENZA DI SCARICO N. 6B/2025/1S RILASCIATA IL 15/04/2025)</t>
        </is>
      </c>
      <c r="Q248" s="150" t="n"/>
      <c r="R248" s="150" t="n"/>
      <c r="S248" s="153" t="n"/>
    </row>
    <row r="249" ht="36" customHeight="1">
      <c r="A249" s="46" t="n">
        <v>2579</v>
      </c>
      <c r="B249" s="4">
        <f>+VLOOKUP($A249,MAGAZZINO!$B$2:$M$100000,2,FALSE)</f>
        <v/>
      </c>
      <c r="C249" s="29">
        <f>+VLOOKUP($A249,MAGAZZINO!$B$2:$M$100000,3,FALSE)</f>
        <v/>
      </c>
      <c r="D249" s="3">
        <f>+VLOOKUP($A249,MAGAZZINO!$B$2:$M$100000,4,FALSE)</f>
        <v/>
      </c>
      <c r="E249" s="3">
        <f>+VLOOKUP($A249,MAGAZZINO!$B$2:$M$100000,5,FALSE)</f>
        <v/>
      </c>
      <c r="F249" s="3">
        <f>+VLOOKUP($A249,MAGAZZINO!$B$2:$M$100000,6,FALSE)</f>
        <v/>
      </c>
      <c r="G249" s="3">
        <f>+VLOOKUP($A249,MAGAZZINO!$B$2:$M$100000,7,FALSE)</f>
        <v/>
      </c>
      <c r="H249" s="3">
        <f>+VLOOKUP($A249,MAGAZZINO!$B$2:$M$100000,8,FALSE)</f>
        <v/>
      </c>
      <c r="I249" s="3">
        <f>+VLOOKUP($A249,MAGAZZINO!$B$2:$M$100000,9,FALSE)</f>
        <v/>
      </c>
      <c r="J249" s="3">
        <f>+VLOOKUP($A249,MAGAZZINO!$B$2:$M$100000,10,FALSE)</f>
        <v/>
      </c>
      <c r="K249" s="3">
        <f>+VLOOKUP($A249,MAGAZZINO!$B$2:$M$100000,11,FALSE)</f>
        <v/>
      </c>
      <c r="L249" s="5">
        <f>+VLOOKUP($A249,MAGAZZINO!$B$2:$M$100000,12,FALSE)</f>
        <v/>
      </c>
      <c r="M249" s="47" t="n"/>
      <c r="N249" s="89" t="n">
        <v>45769</v>
      </c>
      <c r="O249" s="91" t="inlineStr">
        <is>
          <t>HS &amp; LLC (OMAN)</t>
        </is>
      </c>
      <c r="P249" s="154" t="inlineStr">
        <is>
          <t>IMPORT LICENSE N. 24/1/2463/1/2024 DEL 05/05/2024                                                              AUT. ESPORTAZIONE MULTIPLA N. 6B/2024/2M RILASCIATA IL 30/07/2024   (LICENZA DI SCARICO N. 6B/2025/1S RILASCIATA IL 15/04/2025)</t>
        </is>
      </c>
      <c r="Q249" s="150" t="n"/>
      <c r="R249" s="150" t="n"/>
      <c r="S249" s="153" t="n"/>
    </row>
    <row r="250" ht="36" customHeight="1">
      <c r="A250" s="46" t="n">
        <v>2580</v>
      </c>
      <c r="B250" s="4">
        <f>+VLOOKUP($A250,MAGAZZINO!$B$2:$M$100000,2,FALSE)</f>
        <v/>
      </c>
      <c r="C250" s="29">
        <f>+VLOOKUP($A250,MAGAZZINO!$B$2:$M$100000,3,FALSE)</f>
        <v/>
      </c>
      <c r="D250" s="3">
        <f>+VLOOKUP($A250,MAGAZZINO!$B$2:$M$100000,4,FALSE)</f>
        <v/>
      </c>
      <c r="E250" s="3">
        <f>+VLOOKUP($A250,MAGAZZINO!$B$2:$M$100000,5,FALSE)</f>
        <v/>
      </c>
      <c r="F250" s="3">
        <f>+VLOOKUP($A250,MAGAZZINO!$B$2:$M$100000,6,FALSE)</f>
        <v/>
      </c>
      <c r="G250" s="3">
        <f>+VLOOKUP($A250,MAGAZZINO!$B$2:$M$100000,7,FALSE)</f>
        <v/>
      </c>
      <c r="H250" s="3">
        <f>+VLOOKUP($A250,MAGAZZINO!$B$2:$M$100000,8,FALSE)</f>
        <v/>
      </c>
      <c r="I250" s="3">
        <f>+VLOOKUP($A250,MAGAZZINO!$B$2:$M$100000,9,FALSE)</f>
        <v/>
      </c>
      <c r="J250" s="3">
        <f>+VLOOKUP($A250,MAGAZZINO!$B$2:$M$100000,10,FALSE)</f>
        <v/>
      </c>
      <c r="K250" s="3">
        <f>+VLOOKUP($A250,MAGAZZINO!$B$2:$M$100000,11,FALSE)</f>
        <v/>
      </c>
      <c r="L250" s="5">
        <f>+VLOOKUP($A250,MAGAZZINO!$B$2:$M$100000,12,FALSE)</f>
        <v/>
      </c>
      <c r="M250" s="47" t="n"/>
      <c r="N250" s="89" t="n">
        <v>45769</v>
      </c>
      <c r="O250" s="91" t="inlineStr">
        <is>
          <t>HS &amp; LLC (OMAN)</t>
        </is>
      </c>
      <c r="P250" s="154" t="inlineStr">
        <is>
          <t>IMPORT LICENSE N. 24/1/2463/1/2024 DEL 05/05/2024                                                              AUT. ESPORTAZIONE MULTIPLA N. 6B/2024/2M RILASCIATA IL 30/07/2024   (LICENZA DI SCARICO N. 6B/2025/1S RILASCIATA IL 15/04/2025)</t>
        </is>
      </c>
      <c r="Q250" s="150" t="n"/>
      <c r="R250" s="150" t="n"/>
      <c r="S250" s="153" t="n"/>
    </row>
    <row r="251" ht="36" customHeight="1">
      <c r="A251" s="46" t="n">
        <v>2581</v>
      </c>
      <c r="B251" s="4">
        <f>+VLOOKUP($A251,MAGAZZINO!$B$2:$M$100000,2,FALSE)</f>
        <v/>
      </c>
      <c r="C251" s="29">
        <f>+VLOOKUP($A251,MAGAZZINO!$B$2:$M$100000,3,FALSE)</f>
        <v/>
      </c>
      <c r="D251" s="3">
        <f>+VLOOKUP($A251,MAGAZZINO!$B$2:$M$100000,4,FALSE)</f>
        <v/>
      </c>
      <c r="E251" s="3">
        <f>+VLOOKUP($A251,MAGAZZINO!$B$2:$M$100000,5,FALSE)</f>
        <v/>
      </c>
      <c r="F251" s="3">
        <f>+VLOOKUP($A251,MAGAZZINO!$B$2:$M$100000,6,FALSE)</f>
        <v/>
      </c>
      <c r="G251" s="3">
        <f>+VLOOKUP($A251,MAGAZZINO!$B$2:$M$100000,7,FALSE)</f>
        <v/>
      </c>
      <c r="H251" s="3">
        <f>+VLOOKUP($A251,MAGAZZINO!$B$2:$M$100000,8,FALSE)</f>
        <v/>
      </c>
      <c r="I251" s="3">
        <f>+VLOOKUP($A251,MAGAZZINO!$B$2:$M$100000,9,FALSE)</f>
        <v/>
      </c>
      <c r="J251" s="3">
        <f>+VLOOKUP($A251,MAGAZZINO!$B$2:$M$100000,10,FALSE)</f>
        <v/>
      </c>
      <c r="K251" s="3">
        <f>+VLOOKUP($A251,MAGAZZINO!$B$2:$M$100000,11,FALSE)</f>
        <v/>
      </c>
      <c r="L251" s="5">
        <f>+VLOOKUP($A251,MAGAZZINO!$B$2:$M$100000,12,FALSE)</f>
        <v/>
      </c>
      <c r="M251" s="47" t="n"/>
      <c r="N251" s="88" t="n">
        <v>45874</v>
      </c>
      <c r="O251" s="91" t="inlineStr">
        <is>
          <t>PHILIPPOS CONSTANTINIDES TRADING CO. LTD (CIPRO)</t>
        </is>
      </c>
      <c r="P251" s="154" t="inlineStr">
        <is>
          <t xml:space="preserve">IMPORT LICENSE N. 218 DEL 12/08/2020                                                                                         AUT. TRASFERIMENTO N. 6B/2025/3D RILASCIATA IL 28/07/2025   </t>
        </is>
      </c>
      <c r="Q251" s="150" t="n"/>
      <c r="R251" s="150" t="n"/>
      <c r="S251" s="153" t="n"/>
    </row>
    <row r="252" ht="36" customHeight="1">
      <c r="A252" s="46" t="n">
        <v>2582</v>
      </c>
      <c r="B252" s="4">
        <f>+VLOOKUP($A252,MAGAZZINO!$B$2:$M$100000,2,FALSE)</f>
        <v/>
      </c>
      <c r="C252" s="29">
        <f>+VLOOKUP($A252,MAGAZZINO!$B$2:$M$100000,3,FALSE)</f>
        <v/>
      </c>
      <c r="D252" s="3">
        <f>+VLOOKUP($A252,MAGAZZINO!$B$2:$M$100000,4,FALSE)</f>
        <v/>
      </c>
      <c r="E252" s="3">
        <f>+VLOOKUP($A252,MAGAZZINO!$B$2:$M$100000,5,FALSE)</f>
        <v/>
      </c>
      <c r="F252" s="3">
        <f>+VLOOKUP($A252,MAGAZZINO!$B$2:$M$100000,6,FALSE)</f>
        <v/>
      </c>
      <c r="G252" s="3">
        <f>+VLOOKUP($A252,MAGAZZINO!$B$2:$M$100000,7,FALSE)</f>
        <v/>
      </c>
      <c r="H252" s="3">
        <f>+VLOOKUP($A252,MAGAZZINO!$B$2:$M$100000,8,FALSE)</f>
        <v/>
      </c>
      <c r="I252" s="3">
        <f>+VLOOKUP($A252,MAGAZZINO!$B$2:$M$100000,9,FALSE)</f>
        <v/>
      </c>
      <c r="J252" s="3">
        <f>+VLOOKUP($A252,MAGAZZINO!$B$2:$M$100000,10,FALSE)</f>
        <v/>
      </c>
      <c r="K252" s="3">
        <f>+VLOOKUP($A252,MAGAZZINO!$B$2:$M$100000,11,FALSE)</f>
        <v/>
      </c>
      <c r="L252" s="5">
        <f>+VLOOKUP($A252,MAGAZZINO!$B$2:$M$100000,12,FALSE)</f>
        <v/>
      </c>
      <c r="M252" s="47" t="n"/>
      <c r="N252" s="88" t="n">
        <v>45874</v>
      </c>
      <c r="O252" s="91" t="inlineStr">
        <is>
          <t>PHILIPPOS CONSTANTINIDES TRADING CO. LTD (CIPRO)</t>
        </is>
      </c>
      <c r="P252" s="154" t="inlineStr">
        <is>
          <t xml:space="preserve">IMPORT LICENSE N. 218 DEL 12/08/2020                                                                                         AUT. TRASFERIMENTO N. 6B/2025/3D RILASCIATA IL 28/07/2025   </t>
        </is>
      </c>
      <c r="Q252" s="150" t="n"/>
      <c r="R252" s="150" t="n"/>
      <c r="S252" s="153" t="n"/>
    </row>
    <row r="253" ht="36" customHeight="1">
      <c r="A253" s="46" t="n">
        <v>2583</v>
      </c>
      <c r="B253" s="4">
        <f>+VLOOKUP($A253,MAGAZZINO!$B$2:$M$100000,2,FALSE)</f>
        <v/>
      </c>
      <c r="C253" s="29">
        <f>+VLOOKUP($A253,MAGAZZINO!$B$2:$M$100000,3,FALSE)</f>
        <v/>
      </c>
      <c r="D253" s="3">
        <f>+VLOOKUP($A253,MAGAZZINO!$B$2:$M$100000,4,FALSE)</f>
        <v/>
      </c>
      <c r="E253" s="3">
        <f>+VLOOKUP($A253,MAGAZZINO!$B$2:$M$100000,5,FALSE)</f>
        <v/>
      </c>
      <c r="F253" s="3">
        <f>+VLOOKUP($A253,MAGAZZINO!$B$2:$M$100000,6,FALSE)</f>
        <v/>
      </c>
      <c r="G253" s="3">
        <f>+VLOOKUP($A253,MAGAZZINO!$B$2:$M$100000,7,FALSE)</f>
        <v/>
      </c>
      <c r="H253" s="3">
        <f>+VLOOKUP($A253,MAGAZZINO!$B$2:$M$100000,8,FALSE)</f>
        <v/>
      </c>
      <c r="I253" s="3">
        <f>+VLOOKUP($A253,MAGAZZINO!$B$2:$M$100000,9,FALSE)</f>
        <v/>
      </c>
      <c r="J253" s="3">
        <f>+VLOOKUP($A253,MAGAZZINO!$B$2:$M$100000,10,FALSE)</f>
        <v/>
      </c>
      <c r="K253" s="3">
        <f>+VLOOKUP($A253,MAGAZZINO!$B$2:$M$100000,11,FALSE)</f>
        <v/>
      </c>
      <c r="L253" s="5">
        <f>+VLOOKUP($A253,MAGAZZINO!$B$2:$M$100000,12,FALSE)</f>
        <v/>
      </c>
      <c r="M253" s="47" t="n"/>
      <c r="N253" s="89" t="n">
        <v>45769</v>
      </c>
      <c r="O253" s="91" t="inlineStr">
        <is>
          <t>HS &amp; LLC (OMAN)</t>
        </is>
      </c>
      <c r="P253" s="154" t="inlineStr">
        <is>
          <t>IMPORT LICENSE N. 24/1/2463/1/2024 DEL 05/05/2024                                                              AUT. ESPORTAZIONE MULTIPLA N. 6B/2024/2M RILASCIATA IL 30/07/2024   (LICENZA DI SCARICO N. 6B/2025/1S RILASCIATA IL 15/04/2025)</t>
        </is>
      </c>
      <c r="Q253" s="150" t="n"/>
      <c r="R253" s="150" t="n"/>
      <c r="S253" s="153" t="n"/>
    </row>
    <row r="254" ht="36" customHeight="1">
      <c r="A254" s="46" t="n">
        <v>2584</v>
      </c>
      <c r="B254" s="4">
        <f>+VLOOKUP($A254,MAGAZZINO!$B$2:$M$100000,2,FALSE)</f>
        <v/>
      </c>
      <c r="C254" s="29">
        <f>+VLOOKUP($A254,MAGAZZINO!$B$2:$M$100000,3,FALSE)</f>
        <v/>
      </c>
      <c r="D254" s="3">
        <f>+VLOOKUP($A254,MAGAZZINO!$B$2:$M$100000,4,FALSE)</f>
        <v/>
      </c>
      <c r="E254" s="3">
        <f>+VLOOKUP($A254,MAGAZZINO!$B$2:$M$100000,5,FALSE)</f>
        <v/>
      </c>
      <c r="F254" s="3">
        <f>+VLOOKUP($A254,MAGAZZINO!$B$2:$M$100000,6,FALSE)</f>
        <v/>
      </c>
      <c r="G254" s="3">
        <f>+VLOOKUP($A254,MAGAZZINO!$B$2:$M$100000,7,FALSE)</f>
        <v/>
      </c>
      <c r="H254" s="3">
        <f>+VLOOKUP($A254,MAGAZZINO!$B$2:$M$100000,8,FALSE)</f>
        <v/>
      </c>
      <c r="I254" s="3">
        <f>+VLOOKUP($A254,MAGAZZINO!$B$2:$M$100000,9,FALSE)</f>
        <v/>
      </c>
      <c r="J254" s="3">
        <f>+VLOOKUP($A254,MAGAZZINO!$B$2:$M$100000,10,FALSE)</f>
        <v/>
      </c>
      <c r="K254" s="3">
        <f>+VLOOKUP($A254,MAGAZZINO!$B$2:$M$100000,11,FALSE)</f>
        <v/>
      </c>
      <c r="L254" s="5">
        <f>+VLOOKUP($A254,MAGAZZINO!$B$2:$M$100000,12,FALSE)</f>
        <v/>
      </c>
      <c r="M254" s="47" t="n"/>
      <c r="N254" s="89" t="n">
        <v>45769</v>
      </c>
      <c r="O254" s="91" t="inlineStr">
        <is>
          <t>HS &amp; LLC (OMAN)</t>
        </is>
      </c>
      <c r="P254" s="154" t="inlineStr">
        <is>
          <t>IMPORT LICENSE N. 24/1/2463/1/2024 DEL 05/05/2024                                                              AUT. ESPORTAZIONE MULTIPLA N. 6B/2024/2M RILASCIATA IL 30/07/2024   (LICENZA DI SCARICO N. 6B/2025/1S RILASCIATA IL 15/04/2025)</t>
        </is>
      </c>
      <c r="Q254" s="150" t="n"/>
      <c r="R254" s="150" t="n"/>
      <c r="S254" s="153" t="n"/>
    </row>
    <row r="255" ht="36" customHeight="1">
      <c r="A255" s="46" t="n">
        <v>2585</v>
      </c>
      <c r="B255" s="4">
        <f>+VLOOKUP($A255,MAGAZZINO!$B$2:$M$100000,2,FALSE)</f>
        <v/>
      </c>
      <c r="C255" s="29">
        <f>+VLOOKUP($A255,MAGAZZINO!$B$2:$M$100000,3,FALSE)</f>
        <v/>
      </c>
      <c r="D255" s="3">
        <f>+VLOOKUP($A255,MAGAZZINO!$B$2:$M$100000,4,FALSE)</f>
        <v/>
      </c>
      <c r="E255" s="3">
        <f>+VLOOKUP($A255,MAGAZZINO!$B$2:$M$100000,5,FALSE)</f>
        <v/>
      </c>
      <c r="F255" s="3">
        <f>+VLOOKUP($A255,MAGAZZINO!$B$2:$M$100000,6,FALSE)</f>
        <v/>
      </c>
      <c r="G255" s="3">
        <f>+VLOOKUP($A255,MAGAZZINO!$B$2:$M$100000,7,FALSE)</f>
        <v/>
      </c>
      <c r="H255" s="3">
        <f>+VLOOKUP($A255,MAGAZZINO!$B$2:$M$100000,8,FALSE)</f>
        <v/>
      </c>
      <c r="I255" s="3">
        <f>+VLOOKUP($A255,MAGAZZINO!$B$2:$M$100000,9,FALSE)</f>
        <v/>
      </c>
      <c r="J255" s="3">
        <f>+VLOOKUP($A255,MAGAZZINO!$B$2:$M$100000,10,FALSE)</f>
        <v/>
      </c>
      <c r="K255" s="3">
        <f>+VLOOKUP($A255,MAGAZZINO!$B$2:$M$100000,11,FALSE)</f>
        <v/>
      </c>
      <c r="L255" s="5">
        <f>+VLOOKUP($A255,MAGAZZINO!$B$2:$M$100000,12,FALSE)</f>
        <v/>
      </c>
      <c r="M255" s="47" t="n"/>
      <c r="N255" s="89" t="n">
        <v>45769</v>
      </c>
      <c r="O255" s="91" t="inlineStr">
        <is>
          <t>HS &amp; LLC (OMAN)</t>
        </is>
      </c>
      <c r="P255" s="154" t="inlineStr">
        <is>
          <t>IMPORT LICENSE N. 24/1/2463/1/2024 DEL 05/05/2024                                                              AUT. ESPORTAZIONE MULTIPLA N. 6B/2024/2M RILASCIATA IL 30/07/2024   (LICENZA DI SCARICO N. 6B/2025/1S RILASCIATA IL 15/04/2025)</t>
        </is>
      </c>
      <c r="Q255" s="150" t="n"/>
      <c r="R255" s="150" t="n"/>
      <c r="S255" s="153" t="n"/>
    </row>
    <row r="256" ht="36" customHeight="1">
      <c r="A256" s="46" t="n">
        <v>2586</v>
      </c>
      <c r="B256" s="4">
        <f>+VLOOKUP($A256,MAGAZZINO!$B$2:$M$100000,2,FALSE)</f>
        <v/>
      </c>
      <c r="C256" s="29">
        <f>+VLOOKUP($A256,MAGAZZINO!$B$2:$M$100000,3,FALSE)</f>
        <v/>
      </c>
      <c r="D256" s="3">
        <f>+VLOOKUP($A256,MAGAZZINO!$B$2:$M$100000,4,FALSE)</f>
        <v/>
      </c>
      <c r="E256" s="3">
        <f>+VLOOKUP($A256,MAGAZZINO!$B$2:$M$100000,5,FALSE)</f>
        <v/>
      </c>
      <c r="F256" s="3">
        <f>+VLOOKUP($A256,MAGAZZINO!$B$2:$M$100000,6,FALSE)</f>
        <v/>
      </c>
      <c r="G256" s="3">
        <f>+VLOOKUP($A256,MAGAZZINO!$B$2:$M$100000,7,FALSE)</f>
        <v/>
      </c>
      <c r="H256" s="3">
        <f>+VLOOKUP($A256,MAGAZZINO!$B$2:$M$100000,8,FALSE)</f>
        <v/>
      </c>
      <c r="I256" s="3">
        <f>+VLOOKUP($A256,MAGAZZINO!$B$2:$M$100000,9,FALSE)</f>
        <v/>
      </c>
      <c r="J256" s="3">
        <f>+VLOOKUP($A256,MAGAZZINO!$B$2:$M$100000,10,FALSE)</f>
        <v/>
      </c>
      <c r="K256" s="3">
        <f>+VLOOKUP($A256,MAGAZZINO!$B$2:$M$100000,11,FALSE)</f>
        <v/>
      </c>
      <c r="L256" s="5">
        <f>+VLOOKUP($A256,MAGAZZINO!$B$2:$M$100000,12,FALSE)</f>
        <v/>
      </c>
      <c r="M256" s="47" t="n"/>
      <c r="N256" s="89" t="n">
        <v>45769</v>
      </c>
      <c r="O256" s="91" t="inlineStr">
        <is>
          <t>HS &amp; LLC (OMAN)</t>
        </is>
      </c>
      <c r="P256" s="154" t="inlineStr">
        <is>
          <t>IMPORT LICENSE N. 24/1/2463/1/2024 DEL 05/05/2024                                                              AUT. ESPORTAZIONE MULTIPLA N. 6B/2024/2M RILASCIATA IL 30/07/2024   (LICENZA DI SCARICO N. 6B/2025/1S RILASCIATA IL 15/04/2025)</t>
        </is>
      </c>
      <c r="Q256" s="150" t="n"/>
      <c r="R256" s="150" t="n"/>
      <c r="S256" s="153" t="n"/>
    </row>
    <row r="257" ht="36" customHeight="1">
      <c r="A257" s="46" t="n">
        <v>2587</v>
      </c>
      <c r="B257" s="4">
        <f>+VLOOKUP($A257,MAGAZZINO!$B$2:$M$100000,2,FALSE)</f>
        <v/>
      </c>
      <c r="C257" s="29">
        <f>+VLOOKUP($A257,MAGAZZINO!$B$2:$M$100000,3,FALSE)</f>
        <v/>
      </c>
      <c r="D257" s="3">
        <f>+VLOOKUP($A257,MAGAZZINO!$B$2:$M$100000,4,FALSE)</f>
        <v/>
      </c>
      <c r="E257" s="3">
        <f>+VLOOKUP($A257,MAGAZZINO!$B$2:$M$100000,5,FALSE)</f>
        <v/>
      </c>
      <c r="F257" s="3">
        <f>+VLOOKUP($A257,MAGAZZINO!$B$2:$M$100000,6,FALSE)</f>
        <v/>
      </c>
      <c r="G257" s="3">
        <f>+VLOOKUP($A257,MAGAZZINO!$B$2:$M$100000,7,FALSE)</f>
        <v/>
      </c>
      <c r="H257" s="3">
        <f>+VLOOKUP($A257,MAGAZZINO!$B$2:$M$100000,8,FALSE)</f>
        <v/>
      </c>
      <c r="I257" s="3">
        <f>+VLOOKUP($A257,MAGAZZINO!$B$2:$M$100000,9,FALSE)</f>
        <v/>
      </c>
      <c r="J257" s="3">
        <f>+VLOOKUP($A257,MAGAZZINO!$B$2:$M$100000,10,FALSE)</f>
        <v/>
      </c>
      <c r="K257" s="3">
        <f>+VLOOKUP($A257,MAGAZZINO!$B$2:$M$100000,11,FALSE)</f>
        <v/>
      </c>
      <c r="L257" s="5">
        <f>+VLOOKUP($A257,MAGAZZINO!$B$2:$M$100000,12,FALSE)</f>
        <v/>
      </c>
      <c r="M257" s="47" t="n"/>
      <c r="N257" s="88" t="n">
        <v>45821</v>
      </c>
      <c r="O257" s="91" t="inlineStr">
        <is>
          <t>PHILIPPOS CONSTANTINIDES TRADING CO. LTD (CIPRO)</t>
        </is>
      </c>
      <c r="P257" s="154" t="inlineStr">
        <is>
          <t xml:space="preserve">IMPORT LICENSE N. 218 DEL 12/08/2020                                                                                         AUT. TRASFERIMENTO N. 6B/2025/1D RILASCIATA IL 30/05/2025   </t>
        </is>
      </c>
      <c r="Q257" s="150" t="n"/>
      <c r="R257" s="150" t="n"/>
      <c r="S257" s="153" t="n"/>
    </row>
    <row r="258" ht="36" customHeight="1">
      <c r="A258" s="46" t="n">
        <v>2588</v>
      </c>
      <c r="B258" s="4">
        <f>+VLOOKUP($A258,MAGAZZINO!$B$2:$M$100000,2,FALSE)</f>
        <v/>
      </c>
      <c r="C258" s="29">
        <f>+VLOOKUP($A258,MAGAZZINO!$B$2:$M$100000,3,FALSE)</f>
        <v/>
      </c>
      <c r="D258" s="3">
        <f>+VLOOKUP($A258,MAGAZZINO!$B$2:$M$100000,4,FALSE)</f>
        <v/>
      </c>
      <c r="E258" s="3">
        <f>+VLOOKUP($A258,MAGAZZINO!$B$2:$M$100000,5,FALSE)</f>
        <v/>
      </c>
      <c r="F258" s="3">
        <f>+VLOOKUP($A258,MAGAZZINO!$B$2:$M$100000,6,FALSE)</f>
        <v/>
      </c>
      <c r="G258" s="3">
        <f>+VLOOKUP($A258,MAGAZZINO!$B$2:$M$100000,7,FALSE)</f>
        <v/>
      </c>
      <c r="H258" s="3">
        <f>+VLOOKUP($A258,MAGAZZINO!$B$2:$M$100000,8,FALSE)</f>
        <v/>
      </c>
      <c r="I258" s="3">
        <f>+VLOOKUP($A258,MAGAZZINO!$B$2:$M$100000,9,FALSE)</f>
        <v/>
      </c>
      <c r="J258" s="3">
        <f>+VLOOKUP($A258,MAGAZZINO!$B$2:$M$100000,10,FALSE)</f>
        <v/>
      </c>
      <c r="K258" s="3">
        <f>+VLOOKUP($A258,MAGAZZINO!$B$2:$M$100000,11,FALSE)</f>
        <v/>
      </c>
      <c r="L258" s="5">
        <f>+VLOOKUP($A258,MAGAZZINO!$B$2:$M$100000,12,FALSE)</f>
        <v/>
      </c>
      <c r="M258" s="47" t="n"/>
      <c r="N258" s="88" t="n">
        <v>45821</v>
      </c>
      <c r="O258" s="91" t="inlineStr">
        <is>
          <t>PHILIPPOS CONSTANTINIDES TRADING CO. LTD (CIPRO)</t>
        </is>
      </c>
      <c r="P258" s="154" t="inlineStr">
        <is>
          <t xml:space="preserve">IMPORT LICENSE N. 218 DEL 12/08/2020                                                                                         AUT. TRASFERIMENTO N. 6B/2025/1D RILASCIATA IL 30/05/2025   </t>
        </is>
      </c>
      <c r="Q258" s="150" t="n"/>
      <c r="R258" s="150" t="n"/>
      <c r="S258" s="153" t="n"/>
    </row>
    <row r="259" ht="36" customHeight="1">
      <c r="A259" s="46" t="n">
        <v>2589</v>
      </c>
      <c r="B259" s="4">
        <f>+VLOOKUP($A259,MAGAZZINO!$B$2:$M$100000,2,FALSE)</f>
        <v/>
      </c>
      <c r="C259" s="29">
        <f>+VLOOKUP($A259,MAGAZZINO!$B$2:$M$100000,3,FALSE)</f>
        <v/>
      </c>
      <c r="D259" s="3">
        <f>+VLOOKUP($A259,MAGAZZINO!$B$2:$M$100000,4,FALSE)</f>
        <v/>
      </c>
      <c r="E259" s="3">
        <f>+VLOOKUP($A259,MAGAZZINO!$B$2:$M$100000,5,FALSE)</f>
        <v/>
      </c>
      <c r="F259" s="3">
        <f>+VLOOKUP($A259,MAGAZZINO!$B$2:$M$100000,6,FALSE)</f>
        <v/>
      </c>
      <c r="G259" s="3">
        <f>+VLOOKUP($A259,MAGAZZINO!$B$2:$M$100000,7,FALSE)</f>
        <v/>
      </c>
      <c r="H259" s="3">
        <f>+VLOOKUP($A259,MAGAZZINO!$B$2:$M$100000,8,FALSE)</f>
        <v/>
      </c>
      <c r="I259" s="3">
        <f>+VLOOKUP($A259,MAGAZZINO!$B$2:$M$100000,9,FALSE)</f>
        <v/>
      </c>
      <c r="J259" s="3">
        <f>+VLOOKUP($A259,MAGAZZINO!$B$2:$M$100000,10,FALSE)</f>
        <v/>
      </c>
      <c r="K259" s="3">
        <f>+VLOOKUP($A259,MAGAZZINO!$B$2:$M$100000,11,FALSE)</f>
        <v/>
      </c>
      <c r="L259" s="5">
        <f>+VLOOKUP($A259,MAGAZZINO!$B$2:$M$100000,12,FALSE)</f>
        <v/>
      </c>
      <c r="M259" s="47" t="n"/>
      <c r="N259" s="88" t="n">
        <v>45821</v>
      </c>
      <c r="O259" s="91" t="inlineStr">
        <is>
          <t>PHILIPPOS CONSTANTINIDES TRADING CO. LTD (CIPRO)</t>
        </is>
      </c>
      <c r="P259" s="154" t="inlineStr">
        <is>
          <t xml:space="preserve">IMPORT LICENSE N. 218 DEL 12/08/2020                                                                                         AUT. TRASFERIMENTO N. 6B/2025/1D RILASCIATA IL 30/05/2025   </t>
        </is>
      </c>
      <c r="Q259" s="150" t="n"/>
      <c r="R259" s="150" t="n"/>
      <c r="S259" s="153" t="n"/>
    </row>
    <row r="260" ht="36" customHeight="1">
      <c r="A260" s="46" t="n">
        <v>2590</v>
      </c>
      <c r="B260" s="4">
        <f>+VLOOKUP($A260,MAGAZZINO!$B$2:$M$100000,2,FALSE)</f>
        <v/>
      </c>
      <c r="C260" s="29">
        <f>+VLOOKUP($A260,MAGAZZINO!$B$2:$M$100000,3,FALSE)</f>
        <v/>
      </c>
      <c r="D260" s="3">
        <f>+VLOOKUP($A260,MAGAZZINO!$B$2:$M$100000,4,FALSE)</f>
        <v/>
      </c>
      <c r="E260" s="3">
        <f>+VLOOKUP($A260,MAGAZZINO!$B$2:$M$100000,5,FALSE)</f>
        <v/>
      </c>
      <c r="F260" s="3">
        <f>+VLOOKUP($A260,MAGAZZINO!$B$2:$M$100000,6,FALSE)</f>
        <v/>
      </c>
      <c r="G260" s="3">
        <f>+VLOOKUP($A260,MAGAZZINO!$B$2:$M$100000,7,FALSE)</f>
        <v/>
      </c>
      <c r="H260" s="3">
        <f>+VLOOKUP($A260,MAGAZZINO!$B$2:$M$100000,8,FALSE)</f>
        <v/>
      </c>
      <c r="I260" s="3">
        <f>+VLOOKUP($A260,MAGAZZINO!$B$2:$M$100000,9,FALSE)</f>
        <v/>
      </c>
      <c r="J260" s="3">
        <f>+VLOOKUP($A260,MAGAZZINO!$B$2:$M$100000,10,FALSE)</f>
        <v/>
      </c>
      <c r="K260" s="3">
        <f>+VLOOKUP($A260,MAGAZZINO!$B$2:$M$100000,11,FALSE)</f>
        <v/>
      </c>
      <c r="L260" s="5">
        <f>+VLOOKUP($A260,MAGAZZINO!$B$2:$M$100000,12,FALSE)</f>
        <v/>
      </c>
      <c r="M260" s="47" t="n"/>
      <c r="N260" s="88" t="n">
        <v>45821</v>
      </c>
      <c r="O260" s="91" t="inlineStr">
        <is>
          <t>PHILIPPOS CONSTANTINIDES TRADING CO. LTD (CIPRO)</t>
        </is>
      </c>
      <c r="P260" s="154" t="inlineStr">
        <is>
          <t xml:space="preserve">IMPORT LICENSE N. 218 DEL 12/08/2020                                                                                         AUT. TRASFERIMENTO N. 6B/2025/1D RILASCIATA IL 30/05/2025   </t>
        </is>
      </c>
      <c r="Q260" s="150" t="n"/>
      <c r="R260" s="150" t="n"/>
      <c r="S260" s="153" t="n"/>
    </row>
    <row r="261" ht="36" customHeight="1">
      <c r="A261" s="46" t="n">
        <v>2591</v>
      </c>
      <c r="B261" s="4">
        <f>+VLOOKUP($A261,MAGAZZINO!$B$2:$M$100000,2,FALSE)</f>
        <v/>
      </c>
      <c r="C261" s="29">
        <f>+VLOOKUP($A261,MAGAZZINO!$B$2:$M$100000,3,FALSE)</f>
        <v/>
      </c>
      <c r="D261" s="3">
        <f>+VLOOKUP($A261,MAGAZZINO!$B$2:$M$100000,4,FALSE)</f>
        <v/>
      </c>
      <c r="E261" s="3">
        <f>+VLOOKUP($A261,MAGAZZINO!$B$2:$M$100000,5,FALSE)</f>
        <v/>
      </c>
      <c r="F261" s="3">
        <f>+VLOOKUP($A261,MAGAZZINO!$B$2:$M$100000,6,FALSE)</f>
        <v/>
      </c>
      <c r="G261" s="3">
        <f>+VLOOKUP($A261,MAGAZZINO!$B$2:$M$100000,7,FALSE)</f>
        <v/>
      </c>
      <c r="H261" s="3">
        <f>+VLOOKUP($A261,MAGAZZINO!$B$2:$M$100000,8,FALSE)</f>
        <v/>
      </c>
      <c r="I261" s="3">
        <f>+VLOOKUP($A261,MAGAZZINO!$B$2:$M$100000,9,FALSE)</f>
        <v/>
      </c>
      <c r="J261" s="3">
        <f>+VLOOKUP($A261,MAGAZZINO!$B$2:$M$100000,10,FALSE)</f>
        <v/>
      </c>
      <c r="K261" s="3">
        <f>+VLOOKUP($A261,MAGAZZINO!$B$2:$M$100000,11,FALSE)</f>
        <v/>
      </c>
      <c r="L261" s="5">
        <f>+VLOOKUP($A261,MAGAZZINO!$B$2:$M$100000,12,FALSE)</f>
        <v/>
      </c>
      <c r="M261" s="47" t="n"/>
      <c r="N261" s="88" t="n">
        <v>45821</v>
      </c>
      <c r="O261" s="91" t="inlineStr">
        <is>
          <t>PHILIPPOS CONSTANTINIDES TRADING CO. LTD (CIPRO)</t>
        </is>
      </c>
      <c r="P261" s="154" t="inlineStr">
        <is>
          <t xml:space="preserve">IMPORT LICENSE N. 218 DEL 12/08/2020                                                                                         AUT. TRASFERIMENTO N. 6B/2025/1D RILASCIATA IL 30/05/2025   </t>
        </is>
      </c>
      <c r="Q261" s="150" t="n"/>
      <c r="R261" s="150" t="n"/>
      <c r="S261" s="153" t="n"/>
    </row>
    <row r="262" ht="36" customHeight="1">
      <c r="A262" s="46" t="n">
        <v>2592</v>
      </c>
      <c r="B262" s="4">
        <f>+VLOOKUP($A262,MAGAZZINO!$B$2:$M$100000,2,FALSE)</f>
        <v/>
      </c>
      <c r="C262" s="29">
        <f>+VLOOKUP($A262,MAGAZZINO!$B$2:$M$100000,3,FALSE)</f>
        <v/>
      </c>
      <c r="D262" s="3">
        <f>+VLOOKUP($A262,MAGAZZINO!$B$2:$M$100000,4,FALSE)</f>
        <v/>
      </c>
      <c r="E262" s="3">
        <f>+VLOOKUP($A262,MAGAZZINO!$B$2:$M$100000,5,FALSE)</f>
        <v/>
      </c>
      <c r="F262" s="3">
        <f>+VLOOKUP($A262,MAGAZZINO!$B$2:$M$100000,6,FALSE)</f>
        <v/>
      </c>
      <c r="G262" s="3">
        <f>+VLOOKUP($A262,MAGAZZINO!$B$2:$M$100000,7,FALSE)</f>
        <v/>
      </c>
      <c r="H262" s="3">
        <f>+VLOOKUP($A262,MAGAZZINO!$B$2:$M$100000,8,FALSE)</f>
        <v/>
      </c>
      <c r="I262" s="3">
        <f>+VLOOKUP($A262,MAGAZZINO!$B$2:$M$100000,9,FALSE)</f>
        <v/>
      </c>
      <c r="J262" s="3">
        <f>+VLOOKUP($A262,MAGAZZINO!$B$2:$M$100000,10,FALSE)</f>
        <v/>
      </c>
      <c r="K262" s="3">
        <f>+VLOOKUP($A262,MAGAZZINO!$B$2:$M$100000,11,FALSE)</f>
        <v/>
      </c>
      <c r="L262" s="5">
        <f>+VLOOKUP($A262,MAGAZZINO!$B$2:$M$100000,12,FALSE)</f>
        <v/>
      </c>
      <c r="M262" s="47" t="n"/>
      <c r="N262" s="88" t="n">
        <v>45821</v>
      </c>
      <c r="O262" s="91" t="inlineStr">
        <is>
          <t>PHILIPPOS CONSTANTINIDES TRADING CO. LTD (CIPRO)</t>
        </is>
      </c>
      <c r="P262" s="154" t="inlineStr">
        <is>
          <t xml:space="preserve">IMPORT LICENSE N. 218 DEL 12/08/2020                                                                                         AUT. TRASFERIMENTO N. 6B/2025/1D RILASCIATA IL 30/05/2025   </t>
        </is>
      </c>
      <c r="Q262" s="150" t="n"/>
      <c r="R262" s="150" t="n"/>
      <c r="S262" s="153" t="n"/>
    </row>
    <row r="263" ht="36" customHeight="1">
      <c r="A263" s="46" t="n">
        <v>2593</v>
      </c>
      <c r="B263" s="4">
        <f>+VLOOKUP($A263,MAGAZZINO!$B$2:$M$100000,2,FALSE)</f>
        <v/>
      </c>
      <c r="C263" s="29">
        <f>+VLOOKUP($A263,MAGAZZINO!$B$2:$M$100000,3,FALSE)</f>
        <v/>
      </c>
      <c r="D263" s="3">
        <f>+VLOOKUP($A263,MAGAZZINO!$B$2:$M$100000,4,FALSE)</f>
        <v/>
      </c>
      <c r="E263" s="3">
        <f>+VLOOKUP($A263,MAGAZZINO!$B$2:$M$100000,5,FALSE)</f>
        <v/>
      </c>
      <c r="F263" s="3">
        <f>+VLOOKUP($A263,MAGAZZINO!$B$2:$M$100000,6,FALSE)</f>
        <v/>
      </c>
      <c r="G263" s="3">
        <f>+VLOOKUP($A263,MAGAZZINO!$B$2:$M$100000,7,FALSE)</f>
        <v/>
      </c>
      <c r="H263" s="3">
        <f>+VLOOKUP($A263,MAGAZZINO!$B$2:$M$100000,8,FALSE)</f>
        <v/>
      </c>
      <c r="I263" s="3">
        <f>+VLOOKUP($A263,MAGAZZINO!$B$2:$M$100000,9,FALSE)</f>
        <v/>
      </c>
      <c r="J263" s="3">
        <f>+VLOOKUP($A263,MAGAZZINO!$B$2:$M$100000,10,FALSE)</f>
        <v/>
      </c>
      <c r="K263" s="3">
        <f>+VLOOKUP($A263,MAGAZZINO!$B$2:$M$100000,11,FALSE)</f>
        <v/>
      </c>
      <c r="L263" s="5">
        <f>+VLOOKUP($A263,MAGAZZINO!$B$2:$M$100000,12,FALSE)</f>
        <v/>
      </c>
      <c r="M263" s="47" t="n"/>
      <c r="N263" s="88" t="n">
        <v>45821</v>
      </c>
      <c r="O263" s="91" t="inlineStr">
        <is>
          <t>PHILIPPOS CONSTANTINIDES TRADING CO. LTD (CIPRO)</t>
        </is>
      </c>
      <c r="P263" s="154" t="inlineStr">
        <is>
          <t xml:space="preserve">IMPORT LICENSE N. 218 DEL 12/08/2020                                                                                         AUT. TRASFERIMENTO N. 6B/2025/1D RILASCIATA IL 30/05/2025   </t>
        </is>
      </c>
      <c r="Q263" s="150" t="n"/>
      <c r="R263" s="150" t="n"/>
      <c r="S263" s="153" t="n"/>
    </row>
    <row r="264" ht="36" customHeight="1">
      <c r="A264" s="46" t="n">
        <v>2594</v>
      </c>
      <c r="B264" s="4">
        <f>+VLOOKUP($A264,MAGAZZINO!$B$2:$M$100000,2,FALSE)</f>
        <v/>
      </c>
      <c r="C264" s="29">
        <f>+VLOOKUP($A264,MAGAZZINO!$B$2:$M$100000,3,FALSE)</f>
        <v/>
      </c>
      <c r="D264" s="3">
        <f>+VLOOKUP($A264,MAGAZZINO!$B$2:$M$100000,4,FALSE)</f>
        <v/>
      </c>
      <c r="E264" s="3">
        <f>+VLOOKUP($A264,MAGAZZINO!$B$2:$M$100000,5,FALSE)</f>
        <v/>
      </c>
      <c r="F264" s="3">
        <f>+VLOOKUP($A264,MAGAZZINO!$B$2:$M$100000,6,FALSE)</f>
        <v/>
      </c>
      <c r="G264" s="3">
        <f>+VLOOKUP($A264,MAGAZZINO!$B$2:$M$100000,7,FALSE)</f>
        <v/>
      </c>
      <c r="H264" s="3">
        <f>+VLOOKUP($A264,MAGAZZINO!$B$2:$M$100000,8,FALSE)</f>
        <v/>
      </c>
      <c r="I264" s="3">
        <f>+VLOOKUP($A264,MAGAZZINO!$B$2:$M$100000,9,FALSE)</f>
        <v/>
      </c>
      <c r="J264" s="3">
        <f>+VLOOKUP($A264,MAGAZZINO!$B$2:$M$100000,10,FALSE)</f>
        <v/>
      </c>
      <c r="K264" s="3">
        <f>+VLOOKUP($A264,MAGAZZINO!$B$2:$M$100000,11,FALSE)</f>
        <v/>
      </c>
      <c r="L264" s="5">
        <f>+VLOOKUP($A264,MAGAZZINO!$B$2:$M$100000,12,FALSE)</f>
        <v/>
      </c>
      <c r="M264" s="47" t="n"/>
      <c r="N264" s="88" t="n">
        <v>45821</v>
      </c>
      <c r="O264" s="91" t="inlineStr">
        <is>
          <t>PHILIPPOS CONSTANTINIDES TRADING CO. LTD (CIPRO)</t>
        </is>
      </c>
      <c r="P264" s="154" t="inlineStr">
        <is>
          <t xml:space="preserve">IMPORT LICENSE N. 218 DEL 12/08/2020                                                                                         AUT. TRASFERIMENTO N. 6B/2025/1D RILASCIATA IL 30/05/2025   </t>
        </is>
      </c>
      <c r="Q264" s="150" t="n"/>
      <c r="R264" s="150" t="n"/>
      <c r="S264" s="153" t="n"/>
    </row>
    <row r="265" ht="36" customHeight="1">
      <c r="A265" s="46" t="n">
        <v>2595</v>
      </c>
      <c r="B265" s="4">
        <f>+VLOOKUP($A265,MAGAZZINO!$B$2:$M$100000,2,FALSE)</f>
        <v/>
      </c>
      <c r="C265" s="29">
        <f>+VLOOKUP($A265,MAGAZZINO!$B$2:$M$100000,3,FALSE)</f>
        <v/>
      </c>
      <c r="D265" s="3">
        <f>+VLOOKUP($A265,MAGAZZINO!$B$2:$M$100000,4,FALSE)</f>
        <v/>
      </c>
      <c r="E265" s="3">
        <f>+VLOOKUP($A265,MAGAZZINO!$B$2:$M$100000,5,FALSE)</f>
        <v/>
      </c>
      <c r="F265" s="3">
        <f>+VLOOKUP($A265,MAGAZZINO!$B$2:$M$100000,6,FALSE)</f>
        <v/>
      </c>
      <c r="G265" s="3">
        <f>+VLOOKUP($A265,MAGAZZINO!$B$2:$M$100000,7,FALSE)</f>
        <v/>
      </c>
      <c r="H265" s="3">
        <f>+VLOOKUP($A265,MAGAZZINO!$B$2:$M$100000,8,FALSE)</f>
        <v/>
      </c>
      <c r="I265" s="3">
        <f>+VLOOKUP($A265,MAGAZZINO!$B$2:$M$100000,9,FALSE)</f>
        <v/>
      </c>
      <c r="J265" s="3">
        <f>+VLOOKUP($A265,MAGAZZINO!$B$2:$M$100000,10,FALSE)</f>
        <v/>
      </c>
      <c r="K265" s="3">
        <f>+VLOOKUP($A265,MAGAZZINO!$B$2:$M$100000,11,FALSE)</f>
        <v/>
      </c>
      <c r="L265" s="5">
        <f>+VLOOKUP($A265,MAGAZZINO!$B$2:$M$100000,12,FALSE)</f>
        <v/>
      </c>
      <c r="M265" s="47" t="n"/>
      <c r="N265" s="88" t="n">
        <v>45821</v>
      </c>
      <c r="O265" s="91" t="inlineStr">
        <is>
          <t>PHILIPPOS CONSTANTINIDES TRADING CO. LTD (CIPRO)</t>
        </is>
      </c>
      <c r="P265" s="154" t="inlineStr">
        <is>
          <t xml:space="preserve">IMPORT LICENSE N. 218 DEL 12/08/2020                                                                                         AUT. TRASFERIMENTO N. 6B/2025/1D RILASCIATA IL 30/05/2025   </t>
        </is>
      </c>
      <c r="Q265" s="150" t="n"/>
      <c r="R265" s="150" t="n"/>
      <c r="S265" s="153" t="n"/>
    </row>
    <row r="266" ht="36" customHeight="1">
      <c r="A266" s="46" t="n">
        <v>2596</v>
      </c>
      <c r="B266" s="4">
        <f>+VLOOKUP($A266,MAGAZZINO!$B$2:$M$100000,2,FALSE)</f>
        <v/>
      </c>
      <c r="C266" s="29">
        <f>+VLOOKUP($A266,MAGAZZINO!$B$2:$M$100000,3,FALSE)</f>
        <v/>
      </c>
      <c r="D266" s="3">
        <f>+VLOOKUP($A266,MAGAZZINO!$B$2:$M$100000,4,FALSE)</f>
        <v/>
      </c>
      <c r="E266" s="3">
        <f>+VLOOKUP($A266,MAGAZZINO!$B$2:$M$100000,5,FALSE)</f>
        <v/>
      </c>
      <c r="F266" s="3">
        <f>+VLOOKUP($A266,MAGAZZINO!$B$2:$M$100000,6,FALSE)</f>
        <v/>
      </c>
      <c r="G266" s="3">
        <f>+VLOOKUP($A266,MAGAZZINO!$B$2:$M$100000,7,FALSE)</f>
        <v/>
      </c>
      <c r="H266" s="3">
        <f>+VLOOKUP($A266,MAGAZZINO!$B$2:$M$100000,8,FALSE)</f>
        <v/>
      </c>
      <c r="I266" s="3">
        <f>+VLOOKUP($A266,MAGAZZINO!$B$2:$M$100000,9,FALSE)</f>
        <v/>
      </c>
      <c r="J266" s="3">
        <f>+VLOOKUP($A266,MAGAZZINO!$B$2:$M$100000,10,FALSE)</f>
        <v/>
      </c>
      <c r="K266" s="3">
        <f>+VLOOKUP($A266,MAGAZZINO!$B$2:$M$100000,11,FALSE)</f>
        <v/>
      </c>
      <c r="L266" s="5">
        <f>+VLOOKUP($A266,MAGAZZINO!$B$2:$M$100000,12,FALSE)</f>
        <v/>
      </c>
      <c r="M266" s="47" t="n"/>
      <c r="N266" s="88" t="n">
        <v>45821</v>
      </c>
      <c r="O266" s="91" t="inlineStr">
        <is>
          <t>PHILIPPOS CONSTANTINIDES TRADING CO. LTD (CIPRO)</t>
        </is>
      </c>
      <c r="P266" s="154" t="inlineStr">
        <is>
          <t xml:space="preserve">IMPORT LICENSE N. 218 DEL 12/08/2020                                                                                         AUT. TRASFERIMENTO N. 6B/2025/1D RILASCIATA IL 30/05/2025   </t>
        </is>
      </c>
      <c r="Q266" s="150" t="n"/>
      <c r="R266" s="150" t="n"/>
      <c r="S266" s="153" t="n"/>
    </row>
    <row r="267" ht="36" customHeight="1">
      <c r="A267" s="46" t="n">
        <v>2597</v>
      </c>
      <c r="B267" s="4">
        <f>+VLOOKUP($A267,MAGAZZINO!$B$2:$M$100000,2,FALSE)</f>
        <v/>
      </c>
      <c r="C267" s="29">
        <f>+VLOOKUP($A267,MAGAZZINO!$B$2:$M$100000,3,FALSE)</f>
        <v/>
      </c>
      <c r="D267" s="3">
        <f>+VLOOKUP($A267,MAGAZZINO!$B$2:$M$100000,4,FALSE)</f>
        <v/>
      </c>
      <c r="E267" s="3">
        <f>+VLOOKUP($A267,MAGAZZINO!$B$2:$M$100000,5,FALSE)</f>
        <v/>
      </c>
      <c r="F267" s="3">
        <f>+VLOOKUP($A267,MAGAZZINO!$B$2:$M$100000,6,FALSE)</f>
        <v/>
      </c>
      <c r="G267" s="3">
        <f>+VLOOKUP($A267,MAGAZZINO!$B$2:$M$100000,7,FALSE)</f>
        <v/>
      </c>
      <c r="H267" s="3">
        <f>+VLOOKUP($A267,MAGAZZINO!$B$2:$M$100000,8,FALSE)</f>
        <v/>
      </c>
      <c r="I267" s="3">
        <f>+VLOOKUP($A267,MAGAZZINO!$B$2:$M$100000,9,FALSE)</f>
        <v/>
      </c>
      <c r="J267" s="3">
        <f>+VLOOKUP($A267,MAGAZZINO!$B$2:$M$100000,10,FALSE)</f>
        <v/>
      </c>
      <c r="K267" s="3">
        <f>+VLOOKUP($A267,MAGAZZINO!$B$2:$M$100000,11,FALSE)</f>
        <v/>
      </c>
      <c r="L267" s="5">
        <f>+VLOOKUP($A267,MAGAZZINO!$B$2:$M$100000,12,FALSE)</f>
        <v/>
      </c>
      <c r="M267" s="47" t="n"/>
      <c r="N267" s="88" t="n">
        <v>45821</v>
      </c>
      <c r="O267" s="91" t="inlineStr">
        <is>
          <t>PHILIPPOS CONSTANTINIDES TRADING CO. LTD (CIPRO)</t>
        </is>
      </c>
      <c r="P267" s="154" t="inlineStr">
        <is>
          <t xml:space="preserve">IMPORT LICENSE N. 218 DEL 12/08/2020                                                                                         AUT. TRASFERIMENTO N. 6B/2025/1D RILASCIATA IL 30/05/2025   </t>
        </is>
      </c>
      <c r="Q267" s="150" t="n"/>
      <c r="R267" s="150" t="n"/>
      <c r="S267" s="153" t="n"/>
    </row>
    <row r="268" ht="36" customHeight="1">
      <c r="A268" s="46" t="n">
        <v>2598</v>
      </c>
      <c r="B268" s="4">
        <f>+VLOOKUP($A268,MAGAZZINO!$B$2:$M$100000,2,FALSE)</f>
        <v/>
      </c>
      <c r="C268" s="29">
        <f>+VLOOKUP($A268,MAGAZZINO!$B$2:$M$100000,3,FALSE)</f>
        <v/>
      </c>
      <c r="D268" s="3">
        <f>+VLOOKUP($A268,MAGAZZINO!$B$2:$M$100000,4,FALSE)</f>
        <v/>
      </c>
      <c r="E268" s="3">
        <f>+VLOOKUP($A268,MAGAZZINO!$B$2:$M$100000,5,FALSE)</f>
        <v/>
      </c>
      <c r="F268" s="3">
        <f>+VLOOKUP($A268,MAGAZZINO!$B$2:$M$100000,6,FALSE)</f>
        <v/>
      </c>
      <c r="G268" s="3">
        <f>+VLOOKUP($A268,MAGAZZINO!$B$2:$M$100000,7,FALSE)</f>
        <v/>
      </c>
      <c r="H268" s="3">
        <f>+VLOOKUP($A268,MAGAZZINO!$B$2:$M$100000,8,FALSE)</f>
        <v/>
      </c>
      <c r="I268" s="3">
        <f>+VLOOKUP($A268,MAGAZZINO!$B$2:$M$100000,9,FALSE)</f>
        <v/>
      </c>
      <c r="J268" s="3">
        <f>+VLOOKUP($A268,MAGAZZINO!$B$2:$M$100000,10,FALSE)</f>
        <v/>
      </c>
      <c r="K268" s="3">
        <f>+VLOOKUP($A268,MAGAZZINO!$B$2:$M$100000,11,FALSE)</f>
        <v/>
      </c>
      <c r="L268" s="5">
        <f>+VLOOKUP($A268,MAGAZZINO!$B$2:$M$100000,12,FALSE)</f>
        <v/>
      </c>
      <c r="M268" s="47" t="n"/>
      <c r="N268" s="88" t="n">
        <v>45821</v>
      </c>
      <c r="O268" s="91" t="inlineStr">
        <is>
          <t>PHILIPPOS CONSTANTINIDES TRADING CO. LTD (CIPRO)</t>
        </is>
      </c>
      <c r="P268" s="154" t="inlineStr">
        <is>
          <t xml:space="preserve">IMPORT LICENSE N. 218 DEL 12/08/2020                                                                                         AUT. TRASFERIMENTO N. 6B/2025/1D RILASCIATA IL 30/05/2025   </t>
        </is>
      </c>
      <c r="Q268" s="150" t="n"/>
      <c r="R268" s="150" t="n"/>
      <c r="S268" s="153" t="n"/>
    </row>
    <row r="269" ht="36" customHeight="1">
      <c r="A269" s="46" t="n">
        <v>2599</v>
      </c>
      <c r="B269" s="4">
        <f>+VLOOKUP($A269,MAGAZZINO!$B$2:$M$100000,2,FALSE)</f>
        <v/>
      </c>
      <c r="C269" s="29">
        <f>+VLOOKUP($A269,MAGAZZINO!$B$2:$M$100000,3,FALSE)</f>
        <v/>
      </c>
      <c r="D269" s="3">
        <f>+VLOOKUP($A269,MAGAZZINO!$B$2:$M$100000,4,FALSE)</f>
        <v/>
      </c>
      <c r="E269" s="3">
        <f>+VLOOKUP($A269,MAGAZZINO!$B$2:$M$100000,5,FALSE)</f>
        <v/>
      </c>
      <c r="F269" s="3">
        <f>+VLOOKUP($A269,MAGAZZINO!$B$2:$M$100000,6,FALSE)</f>
        <v/>
      </c>
      <c r="G269" s="3">
        <f>+VLOOKUP($A269,MAGAZZINO!$B$2:$M$100000,7,FALSE)</f>
        <v/>
      </c>
      <c r="H269" s="3">
        <f>+VLOOKUP($A269,MAGAZZINO!$B$2:$M$100000,8,FALSE)</f>
        <v/>
      </c>
      <c r="I269" s="3">
        <f>+VLOOKUP($A269,MAGAZZINO!$B$2:$M$100000,9,FALSE)</f>
        <v/>
      </c>
      <c r="J269" s="3">
        <f>+VLOOKUP($A269,MAGAZZINO!$B$2:$M$100000,10,FALSE)</f>
        <v/>
      </c>
      <c r="K269" s="3">
        <f>+VLOOKUP($A269,MAGAZZINO!$B$2:$M$100000,11,FALSE)</f>
        <v/>
      </c>
      <c r="L269" s="5">
        <f>+VLOOKUP($A269,MAGAZZINO!$B$2:$M$100000,12,FALSE)</f>
        <v/>
      </c>
      <c r="M269" s="47" t="n"/>
      <c r="N269" s="88" t="n">
        <v>45821</v>
      </c>
      <c r="O269" s="91" t="inlineStr">
        <is>
          <t>PHILIPPOS CONSTANTINIDES TRADING CO. LTD (CIPRO)</t>
        </is>
      </c>
      <c r="P269" s="154" t="inlineStr">
        <is>
          <t xml:space="preserve">IMPORT LICENSE N. 218 DEL 12/08/2020                                                                                         AUT. TRASFERIMENTO N. 6B/2025/1D RILASCIATA IL 30/05/2025   </t>
        </is>
      </c>
      <c r="Q269" s="150" t="n"/>
      <c r="R269" s="150" t="n"/>
      <c r="S269" s="153" t="n"/>
    </row>
    <row r="270" ht="36" customHeight="1">
      <c r="A270" s="46" t="n">
        <v>2600</v>
      </c>
      <c r="B270" s="4">
        <f>+VLOOKUP($A270,MAGAZZINO!$B$2:$M$100000,2,FALSE)</f>
        <v/>
      </c>
      <c r="C270" s="29">
        <f>+VLOOKUP($A270,MAGAZZINO!$B$2:$M$100000,3,FALSE)</f>
        <v/>
      </c>
      <c r="D270" s="3">
        <f>+VLOOKUP($A270,MAGAZZINO!$B$2:$M$100000,4,FALSE)</f>
        <v/>
      </c>
      <c r="E270" s="3">
        <f>+VLOOKUP($A270,MAGAZZINO!$B$2:$M$100000,5,FALSE)</f>
        <v/>
      </c>
      <c r="F270" s="3">
        <f>+VLOOKUP($A270,MAGAZZINO!$B$2:$M$100000,6,FALSE)</f>
        <v/>
      </c>
      <c r="G270" s="3">
        <f>+VLOOKUP($A270,MAGAZZINO!$B$2:$M$100000,7,FALSE)</f>
        <v/>
      </c>
      <c r="H270" s="3">
        <f>+VLOOKUP($A270,MAGAZZINO!$B$2:$M$100000,8,FALSE)</f>
        <v/>
      </c>
      <c r="I270" s="3">
        <f>+VLOOKUP($A270,MAGAZZINO!$B$2:$M$100000,9,FALSE)</f>
        <v/>
      </c>
      <c r="J270" s="3">
        <f>+VLOOKUP($A270,MAGAZZINO!$B$2:$M$100000,10,FALSE)</f>
        <v/>
      </c>
      <c r="K270" s="3">
        <f>+VLOOKUP($A270,MAGAZZINO!$B$2:$M$100000,11,FALSE)</f>
        <v/>
      </c>
      <c r="L270" s="5">
        <f>+VLOOKUP($A270,MAGAZZINO!$B$2:$M$100000,12,FALSE)</f>
        <v/>
      </c>
      <c r="M270" s="47" t="n"/>
      <c r="N270" s="54" t="n"/>
      <c r="O270" s="3" t="n"/>
      <c r="P270" s="149" t="n"/>
      <c r="Q270" s="150" t="n"/>
      <c r="R270" s="150" t="n"/>
      <c r="S270" s="151" t="n"/>
    </row>
    <row r="271" ht="36" customHeight="1">
      <c r="A271" s="46" t="n">
        <v>2601</v>
      </c>
      <c r="B271" s="4">
        <f>+VLOOKUP($A271,MAGAZZINO!$B$2:$M$100000,2,FALSE)</f>
        <v/>
      </c>
      <c r="C271" s="29">
        <f>+VLOOKUP($A271,MAGAZZINO!$B$2:$M$100000,3,FALSE)</f>
        <v/>
      </c>
      <c r="D271" s="3">
        <f>+VLOOKUP($A271,MAGAZZINO!$B$2:$M$100000,4,FALSE)</f>
        <v/>
      </c>
      <c r="E271" s="3">
        <f>+VLOOKUP($A271,MAGAZZINO!$B$2:$M$100000,5,FALSE)</f>
        <v/>
      </c>
      <c r="F271" s="3">
        <f>+VLOOKUP($A271,MAGAZZINO!$B$2:$M$100000,6,FALSE)</f>
        <v/>
      </c>
      <c r="G271" s="3">
        <f>+VLOOKUP($A271,MAGAZZINO!$B$2:$M$100000,7,FALSE)</f>
        <v/>
      </c>
      <c r="H271" s="3">
        <f>+VLOOKUP($A271,MAGAZZINO!$B$2:$M$100000,8,FALSE)</f>
        <v/>
      </c>
      <c r="I271" s="3">
        <f>+VLOOKUP($A271,MAGAZZINO!$B$2:$M$100000,9,FALSE)</f>
        <v/>
      </c>
      <c r="J271" s="3">
        <f>+VLOOKUP($A271,MAGAZZINO!$B$2:$M$100000,10,FALSE)</f>
        <v/>
      </c>
      <c r="K271" s="3">
        <f>+VLOOKUP($A271,MAGAZZINO!$B$2:$M$100000,11,FALSE)</f>
        <v/>
      </c>
      <c r="L271" s="5">
        <f>+VLOOKUP($A271,MAGAZZINO!$B$2:$M$100000,12,FALSE)</f>
        <v/>
      </c>
      <c r="M271" s="47" t="n"/>
      <c r="N271" s="88" t="n">
        <v>45821</v>
      </c>
      <c r="O271" s="91" t="inlineStr">
        <is>
          <t>PHILIPPOS CONSTANTINIDES TRADING CO. LTD (CIPRO)</t>
        </is>
      </c>
      <c r="P271" s="154" t="inlineStr">
        <is>
          <t xml:space="preserve">IMPORT LICENSE N. 218 DEL 12/08/2020                                                                                         AUT. TRASFERIMENTO N. 6B/2025/1D RILASCIATA IL 30/05/2025   </t>
        </is>
      </c>
      <c r="Q271" s="150" t="n"/>
      <c r="R271" s="150" t="n"/>
      <c r="S271" s="153" t="n"/>
    </row>
    <row r="272" ht="36" customHeight="1">
      <c r="A272" s="46" t="n">
        <v>2602</v>
      </c>
      <c r="B272" s="4">
        <f>+VLOOKUP($A272,MAGAZZINO!$B$2:$M$100000,2,FALSE)</f>
        <v/>
      </c>
      <c r="C272" s="29">
        <f>+VLOOKUP($A272,MAGAZZINO!$B$2:$M$100000,3,FALSE)</f>
        <v/>
      </c>
      <c r="D272" s="3">
        <f>+VLOOKUP($A272,MAGAZZINO!$B$2:$M$100000,4,FALSE)</f>
        <v/>
      </c>
      <c r="E272" s="3">
        <f>+VLOOKUP($A272,MAGAZZINO!$B$2:$M$100000,5,FALSE)</f>
        <v/>
      </c>
      <c r="F272" s="3">
        <f>+VLOOKUP($A272,MAGAZZINO!$B$2:$M$100000,6,FALSE)</f>
        <v/>
      </c>
      <c r="G272" s="3">
        <f>+VLOOKUP($A272,MAGAZZINO!$B$2:$M$100000,7,FALSE)</f>
        <v/>
      </c>
      <c r="H272" s="3">
        <f>+VLOOKUP($A272,MAGAZZINO!$B$2:$M$100000,8,FALSE)</f>
        <v/>
      </c>
      <c r="I272" s="3">
        <f>+VLOOKUP($A272,MAGAZZINO!$B$2:$M$100000,9,FALSE)</f>
        <v/>
      </c>
      <c r="J272" s="3">
        <f>+VLOOKUP($A272,MAGAZZINO!$B$2:$M$100000,10,FALSE)</f>
        <v/>
      </c>
      <c r="K272" s="3">
        <f>+VLOOKUP($A272,MAGAZZINO!$B$2:$M$100000,11,FALSE)</f>
        <v/>
      </c>
      <c r="L272" s="5">
        <f>+VLOOKUP($A272,MAGAZZINO!$B$2:$M$100000,12,FALSE)</f>
        <v/>
      </c>
      <c r="M272" s="47" t="n"/>
      <c r="N272" s="88" t="n">
        <v>45821</v>
      </c>
      <c r="O272" s="91" t="inlineStr">
        <is>
          <t>PHILIPPOS CONSTANTINIDES TRADING CO. LTD (CIPRO)</t>
        </is>
      </c>
      <c r="P272" s="154" t="inlineStr">
        <is>
          <t xml:space="preserve">IMPORT LICENSE N. 218 DEL 12/08/2020                                                                                         AUT. TRASFERIMENTO N. 6B/2025/1D RILASCIATA IL 30/05/2025   </t>
        </is>
      </c>
      <c r="Q272" s="150" t="n"/>
      <c r="R272" s="150" t="n"/>
      <c r="S272" s="153" t="n"/>
    </row>
    <row r="273" ht="36" customHeight="1">
      <c r="A273" s="46" t="n">
        <v>2603</v>
      </c>
      <c r="B273" s="4">
        <f>+VLOOKUP($A273,MAGAZZINO!$B$2:$M$100000,2,FALSE)</f>
        <v/>
      </c>
      <c r="C273" s="29">
        <f>+VLOOKUP($A273,MAGAZZINO!$B$2:$M$100000,3,FALSE)</f>
        <v/>
      </c>
      <c r="D273" s="3">
        <f>+VLOOKUP($A273,MAGAZZINO!$B$2:$M$100000,4,FALSE)</f>
        <v/>
      </c>
      <c r="E273" s="3">
        <f>+VLOOKUP($A273,MAGAZZINO!$B$2:$M$100000,5,FALSE)</f>
        <v/>
      </c>
      <c r="F273" s="3">
        <f>+VLOOKUP($A273,MAGAZZINO!$B$2:$M$100000,6,FALSE)</f>
        <v/>
      </c>
      <c r="G273" s="3">
        <f>+VLOOKUP($A273,MAGAZZINO!$B$2:$M$100000,7,FALSE)</f>
        <v/>
      </c>
      <c r="H273" s="3">
        <f>+VLOOKUP($A273,MAGAZZINO!$B$2:$M$100000,8,FALSE)</f>
        <v/>
      </c>
      <c r="I273" s="3">
        <f>+VLOOKUP($A273,MAGAZZINO!$B$2:$M$100000,9,FALSE)</f>
        <v/>
      </c>
      <c r="J273" s="3">
        <f>+VLOOKUP($A273,MAGAZZINO!$B$2:$M$100000,10,FALSE)</f>
        <v/>
      </c>
      <c r="K273" s="3">
        <f>+VLOOKUP($A273,MAGAZZINO!$B$2:$M$100000,11,FALSE)</f>
        <v/>
      </c>
      <c r="L273" s="5">
        <f>+VLOOKUP($A273,MAGAZZINO!$B$2:$M$100000,12,FALSE)</f>
        <v/>
      </c>
      <c r="M273" s="47" t="n"/>
      <c r="N273" s="88" t="n">
        <v>45821</v>
      </c>
      <c r="O273" s="91" t="inlineStr">
        <is>
          <t>PHILIPPOS CONSTANTINIDES TRADING CO. LTD (CIPRO)</t>
        </is>
      </c>
      <c r="P273" s="154" t="inlineStr">
        <is>
          <t xml:space="preserve">IMPORT LICENSE N. 218 DEL 12/08/2020                                                                                         AUT. TRASFERIMENTO N. 6B/2025/1D RILASCIATA IL 30/05/2025   </t>
        </is>
      </c>
      <c r="Q273" s="150" t="n"/>
      <c r="R273" s="150" t="n"/>
      <c r="S273" s="153" t="n"/>
    </row>
    <row r="274" ht="36" customHeight="1">
      <c r="A274" s="46" t="n">
        <v>2604</v>
      </c>
      <c r="B274" s="4">
        <f>+VLOOKUP($A274,MAGAZZINO!$B$2:$M$100000,2,FALSE)</f>
        <v/>
      </c>
      <c r="C274" s="29">
        <f>+VLOOKUP($A274,MAGAZZINO!$B$2:$M$100000,3,FALSE)</f>
        <v/>
      </c>
      <c r="D274" s="3">
        <f>+VLOOKUP($A274,MAGAZZINO!$B$2:$M$100000,4,FALSE)</f>
        <v/>
      </c>
      <c r="E274" s="3">
        <f>+VLOOKUP($A274,MAGAZZINO!$B$2:$M$100000,5,FALSE)</f>
        <v/>
      </c>
      <c r="F274" s="3">
        <f>+VLOOKUP($A274,MAGAZZINO!$B$2:$M$100000,6,FALSE)</f>
        <v/>
      </c>
      <c r="G274" s="3">
        <f>+VLOOKUP($A274,MAGAZZINO!$B$2:$M$100000,7,FALSE)</f>
        <v/>
      </c>
      <c r="H274" s="3">
        <f>+VLOOKUP($A274,MAGAZZINO!$B$2:$M$100000,8,FALSE)</f>
        <v/>
      </c>
      <c r="I274" s="3">
        <f>+VLOOKUP($A274,MAGAZZINO!$B$2:$M$100000,9,FALSE)</f>
        <v/>
      </c>
      <c r="J274" s="3">
        <f>+VLOOKUP($A274,MAGAZZINO!$B$2:$M$100000,10,FALSE)</f>
        <v/>
      </c>
      <c r="K274" s="3">
        <f>+VLOOKUP($A274,MAGAZZINO!$B$2:$M$100000,11,FALSE)</f>
        <v/>
      </c>
      <c r="L274" s="5">
        <f>+VLOOKUP($A274,MAGAZZINO!$B$2:$M$100000,12,FALSE)</f>
        <v/>
      </c>
      <c r="M274" s="47" t="n"/>
      <c r="N274" s="88" t="n">
        <v>45821</v>
      </c>
      <c r="O274" s="91" t="inlineStr">
        <is>
          <t>PHILIPPOS CONSTANTINIDES TRADING CO. LTD (CIPRO)</t>
        </is>
      </c>
      <c r="P274" s="154" t="inlineStr">
        <is>
          <t xml:space="preserve">IMPORT LICENSE N. 218 DEL 12/08/2020                                                                                         AUT. TRASFERIMENTO N. 6B/2025/1D RILASCIATA IL 30/05/2025   </t>
        </is>
      </c>
      <c r="Q274" s="150" t="n"/>
      <c r="R274" s="150" t="n"/>
      <c r="S274" s="153" t="n"/>
    </row>
    <row r="275" ht="36" customHeight="1">
      <c r="A275" s="46" t="n">
        <v>2605</v>
      </c>
      <c r="B275" s="4">
        <f>+VLOOKUP($A275,MAGAZZINO!$B$2:$M$100000,2,FALSE)</f>
        <v/>
      </c>
      <c r="C275" s="29">
        <f>+VLOOKUP($A275,MAGAZZINO!$B$2:$M$100000,3,FALSE)</f>
        <v/>
      </c>
      <c r="D275" s="3">
        <f>+VLOOKUP($A275,MAGAZZINO!$B$2:$M$100000,4,FALSE)</f>
        <v/>
      </c>
      <c r="E275" s="3">
        <f>+VLOOKUP($A275,MAGAZZINO!$B$2:$M$100000,5,FALSE)</f>
        <v/>
      </c>
      <c r="F275" s="3">
        <f>+VLOOKUP($A275,MAGAZZINO!$B$2:$M$100000,6,FALSE)</f>
        <v/>
      </c>
      <c r="G275" s="3">
        <f>+VLOOKUP($A275,MAGAZZINO!$B$2:$M$100000,7,FALSE)</f>
        <v/>
      </c>
      <c r="H275" s="3">
        <f>+VLOOKUP($A275,MAGAZZINO!$B$2:$M$100000,8,FALSE)</f>
        <v/>
      </c>
      <c r="I275" s="3">
        <f>+VLOOKUP($A275,MAGAZZINO!$B$2:$M$100000,9,FALSE)</f>
        <v/>
      </c>
      <c r="J275" s="3">
        <f>+VLOOKUP($A275,MAGAZZINO!$B$2:$M$100000,10,FALSE)</f>
        <v/>
      </c>
      <c r="K275" s="3">
        <f>+VLOOKUP($A275,MAGAZZINO!$B$2:$M$100000,11,FALSE)</f>
        <v/>
      </c>
      <c r="L275" s="5">
        <f>+VLOOKUP($A275,MAGAZZINO!$B$2:$M$100000,12,FALSE)</f>
        <v/>
      </c>
      <c r="M275" s="47" t="n"/>
      <c r="N275" s="88" t="n">
        <v>45821</v>
      </c>
      <c r="O275" s="91" t="inlineStr">
        <is>
          <t>PHILIPPOS CONSTANTINIDES TRADING CO. LTD (CIPRO)</t>
        </is>
      </c>
      <c r="P275" s="154" t="inlineStr">
        <is>
          <t xml:space="preserve">IMPORT LICENSE N. 218 DEL 12/08/2020                                                                                         AUT. TRASFERIMENTO N. 6B/2025/1D RILASCIATA IL 30/05/2025   </t>
        </is>
      </c>
      <c r="Q275" s="150" t="n"/>
      <c r="R275" s="150" t="n"/>
      <c r="S275" s="153" t="n"/>
    </row>
    <row r="276" ht="36" customHeight="1">
      <c r="A276" s="46" t="n">
        <v>2606</v>
      </c>
      <c r="B276" s="4">
        <f>+VLOOKUP($A276,MAGAZZINO!$B$2:$M$100000,2,FALSE)</f>
        <v/>
      </c>
      <c r="C276" s="29">
        <f>+VLOOKUP($A276,MAGAZZINO!$B$2:$M$100000,3,FALSE)</f>
        <v/>
      </c>
      <c r="D276" s="3">
        <f>+VLOOKUP($A276,MAGAZZINO!$B$2:$M$100000,4,FALSE)</f>
        <v/>
      </c>
      <c r="E276" s="3">
        <f>+VLOOKUP($A276,MAGAZZINO!$B$2:$M$100000,5,FALSE)</f>
        <v/>
      </c>
      <c r="F276" s="3">
        <f>+VLOOKUP($A276,MAGAZZINO!$B$2:$M$100000,6,FALSE)</f>
        <v/>
      </c>
      <c r="G276" s="3">
        <f>+VLOOKUP($A276,MAGAZZINO!$B$2:$M$100000,7,FALSE)</f>
        <v/>
      </c>
      <c r="H276" s="3">
        <f>+VLOOKUP($A276,MAGAZZINO!$B$2:$M$100000,8,FALSE)</f>
        <v/>
      </c>
      <c r="I276" s="3">
        <f>+VLOOKUP($A276,MAGAZZINO!$B$2:$M$100000,9,FALSE)</f>
        <v/>
      </c>
      <c r="J276" s="3">
        <f>+VLOOKUP($A276,MAGAZZINO!$B$2:$M$100000,10,FALSE)</f>
        <v/>
      </c>
      <c r="K276" s="3">
        <f>+VLOOKUP($A276,MAGAZZINO!$B$2:$M$100000,11,FALSE)</f>
        <v/>
      </c>
      <c r="L276" s="5">
        <f>+VLOOKUP($A276,MAGAZZINO!$B$2:$M$100000,12,FALSE)</f>
        <v/>
      </c>
      <c r="M276" s="47" t="n"/>
      <c r="N276" s="88" t="n">
        <v>45821</v>
      </c>
      <c r="O276" s="91" t="inlineStr">
        <is>
          <t>PHILIPPOS CONSTANTINIDES TRADING CO. LTD (CIPRO)</t>
        </is>
      </c>
      <c r="P276" s="154" t="inlineStr">
        <is>
          <t xml:space="preserve">IMPORT LICENSE N. 218 DEL 12/08/2020                                                                                         AUT. TRASFERIMENTO N. 6B/2025/1D RILASCIATA IL 30/05/2025   </t>
        </is>
      </c>
      <c r="Q276" s="150" t="n"/>
      <c r="R276" s="150" t="n"/>
      <c r="S276" s="153" t="n"/>
    </row>
    <row r="277" ht="36" customHeight="1">
      <c r="A277" s="46" t="n">
        <v>2607</v>
      </c>
      <c r="B277" s="4">
        <f>+VLOOKUP($A277,MAGAZZINO!$B$2:$M$100000,2,FALSE)</f>
        <v/>
      </c>
      <c r="C277" s="29">
        <f>+VLOOKUP($A277,MAGAZZINO!$B$2:$M$100000,3,FALSE)</f>
        <v/>
      </c>
      <c r="D277" s="3">
        <f>+VLOOKUP($A277,MAGAZZINO!$B$2:$M$100000,4,FALSE)</f>
        <v/>
      </c>
      <c r="E277" s="3">
        <f>+VLOOKUP($A277,MAGAZZINO!$B$2:$M$100000,5,FALSE)</f>
        <v/>
      </c>
      <c r="F277" s="3">
        <f>+VLOOKUP($A277,MAGAZZINO!$B$2:$M$100000,6,FALSE)</f>
        <v/>
      </c>
      <c r="G277" s="3">
        <f>+VLOOKUP($A277,MAGAZZINO!$B$2:$M$100000,7,FALSE)</f>
        <v/>
      </c>
      <c r="H277" s="3">
        <f>+VLOOKUP($A277,MAGAZZINO!$B$2:$M$100000,8,FALSE)</f>
        <v/>
      </c>
      <c r="I277" s="3">
        <f>+VLOOKUP($A277,MAGAZZINO!$B$2:$M$100000,9,FALSE)</f>
        <v/>
      </c>
      <c r="J277" s="3">
        <f>+VLOOKUP($A277,MAGAZZINO!$B$2:$M$100000,10,FALSE)</f>
        <v/>
      </c>
      <c r="K277" s="3">
        <f>+VLOOKUP($A277,MAGAZZINO!$B$2:$M$100000,11,FALSE)</f>
        <v/>
      </c>
      <c r="L277" s="5">
        <f>+VLOOKUP($A277,MAGAZZINO!$B$2:$M$100000,12,FALSE)</f>
        <v/>
      </c>
      <c r="M277" s="47" t="n"/>
      <c r="N277" s="88" t="n">
        <v>45821</v>
      </c>
      <c r="O277" s="91" t="inlineStr">
        <is>
          <t>PHILIPPOS CONSTANTINIDES TRADING CO. LTD (CIPRO)</t>
        </is>
      </c>
      <c r="P277" s="154" t="inlineStr">
        <is>
          <t xml:space="preserve">IMPORT LICENSE N. 218 DEL 12/08/2020                                                                                         AUT. TRASFERIMENTO N. 6B/2025/1D RILASCIATA IL 30/05/2025   </t>
        </is>
      </c>
      <c r="Q277" s="150" t="n"/>
      <c r="R277" s="150" t="n"/>
      <c r="S277" s="153" t="n"/>
    </row>
    <row r="278" ht="36" customHeight="1">
      <c r="A278" s="46" t="n">
        <v>2608</v>
      </c>
      <c r="B278" s="4">
        <f>+VLOOKUP($A278,MAGAZZINO!$B$2:$M$100000,2,FALSE)</f>
        <v/>
      </c>
      <c r="C278" s="29">
        <f>+VLOOKUP($A278,MAGAZZINO!$B$2:$M$100000,3,FALSE)</f>
        <v/>
      </c>
      <c r="D278" s="3">
        <f>+VLOOKUP($A278,MAGAZZINO!$B$2:$M$100000,4,FALSE)</f>
        <v/>
      </c>
      <c r="E278" s="3">
        <f>+VLOOKUP($A278,MAGAZZINO!$B$2:$M$100000,5,FALSE)</f>
        <v/>
      </c>
      <c r="F278" s="3">
        <f>+VLOOKUP($A278,MAGAZZINO!$B$2:$M$100000,6,FALSE)</f>
        <v/>
      </c>
      <c r="G278" s="3">
        <f>+VLOOKUP($A278,MAGAZZINO!$B$2:$M$100000,7,FALSE)</f>
        <v/>
      </c>
      <c r="H278" s="3">
        <f>+VLOOKUP($A278,MAGAZZINO!$B$2:$M$100000,8,FALSE)</f>
        <v/>
      </c>
      <c r="I278" s="3">
        <f>+VLOOKUP($A278,MAGAZZINO!$B$2:$M$100000,9,FALSE)</f>
        <v/>
      </c>
      <c r="J278" s="3">
        <f>+VLOOKUP($A278,MAGAZZINO!$B$2:$M$100000,10,FALSE)</f>
        <v/>
      </c>
      <c r="K278" s="3">
        <f>+VLOOKUP($A278,MAGAZZINO!$B$2:$M$100000,11,FALSE)</f>
        <v/>
      </c>
      <c r="L278" s="5">
        <f>+VLOOKUP($A278,MAGAZZINO!$B$2:$M$100000,12,FALSE)</f>
        <v/>
      </c>
      <c r="M278" s="47" t="n"/>
      <c r="N278" s="88" t="n">
        <v>45821</v>
      </c>
      <c r="O278" s="91" t="inlineStr">
        <is>
          <t>PHILIPPOS CONSTANTINIDES TRADING CO. LTD (CIPRO)</t>
        </is>
      </c>
      <c r="P278" s="154" t="inlineStr">
        <is>
          <t xml:space="preserve">IMPORT LICENSE N. 218 DEL 12/08/2020                                                                                         AUT. TRASFERIMENTO N. 6B/2025/1D RILASCIATA IL 30/05/2025   </t>
        </is>
      </c>
      <c r="Q278" s="150" t="n"/>
      <c r="R278" s="150" t="n"/>
      <c r="S278" s="153" t="n"/>
    </row>
    <row r="279" ht="36" customHeight="1">
      <c r="A279" s="46" t="n">
        <v>2609</v>
      </c>
      <c r="B279" s="4">
        <f>+VLOOKUP($A279,MAGAZZINO!$B$2:$M$100000,2,FALSE)</f>
        <v/>
      </c>
      <c r="C279" s="29">
        <f>+VLOOKUP($A279,MAGAZZINO!$B$2:$M$100000,3,FALSE)</f>
        <v/>
      </c>
      <c r="D279" s="3">
        <f>+VLOOKUP($A279,MAGAZZINO!$B$2:$M$100000,4,FALSE)</f>
        <v/>
      </c>
      <c r="E279" s="3">
        <f>+VLOOKUP($A279,MAGAZZINO!$B$2:$M$100000,5,FALSE)</f>
        <v/>
      </c>
      <c r="F279" s="3">
        <f>+VLOOKUP($A279,MAGAZZINO!$B$2:$M$100000,6,FALSE)</f>
        <v/>
      </c>
      <c r="G279" s="3">
        <f>+VLOOKUP($A279,MAGAZZINO!$B$2:$M$100000,7,FALSE)</f>
        <v/>
      </c>
      <c r="H279" s="3">
        <f>+VLOOKUP($A279,MAGAZZINO!$B$2:$M$100000,8,FALSE)</f>
        <v/>
      </c>
      <c r="I279" s="3">
        <f>+VLOOKUP($A279,MAGAZZINO!$B$2:$M$100000,9,FALSE)</f>
        <v/>
      </c>
      <c r="J279" s="3">
        <f>+VLOOKUP($A279,MAGAZZINO!$B$2:$M$100000,10,FALSE)</f>
        <v/>
      </c>
      <c r="K279" s="3">
        <f>+VLOOKUP($A279,MAGAZZINO!$B$2:$M$100000,11,FALSE)</f>
        <v/>
      </c>
      <c r="L279" s="5">
        <f>+VLOOKUP($A279,MAGAZZINO!$B$2:$M$100000,12,FALSE)</f>
        <v/>
      </c>
      <c r="M279" s="47" t="n"/>
      <c r="N279" s="88" t="n">
        <v>45821</v>
      </c>
      <c r="O279" s="91" t="inlineStr">
        <is>
          <t>PHILIPPOS CONSTANTINIDES TRADING CO. LTD (CIPRO)</t>
        </is>
      </c>
      <c r="P279" s="154" t="inlineStr">
        <is>
          <t xml:space="preserve">IMPORT LICENSE N. 218 DEL 12/08/2020                                                                                         AUT. TRASFERIMENTO N. 6B/2025/1D RILASCIATA IL 30/05/2025   </t>
        </is>
      </c>
      <c r="Q279" s="150" t="n"/>
      <c r="R279" s="150" t="n"/>
      <c r="S279" s="153" t="n"/>
    </row>
    <row r="280" ht="36" customHeight="1">
      <c r="A280" s="46" t="n">
        <v>2610</v>
      </c>
      <c r="B280" s="4">
        <f>+VLOOKUP($A280,MAGAZZINO!$B$2:$M$100000,2,FALSE)</f>
        <v/>
      </c>
      <c r="C280" s="29">
        <f>+VLOOKUP($A280,MAGAZZINO!$B$2:$M$100000,3,FALSE)</f>
        <v/>
      </c>
      <c r="D280" s="3">
        <f>+VLOOKUP($A280,MAGAZZINO!$B$2:$M$100000,4,FALSE)</f>
        <v/>
      </c>
      <c r="E280" s="3">
        <f>+VLOOKUP($A280,MAGAZZINO!$B$2:$M$100000,5,FALSE)</f>
        <v/>
      </c>
      <c r="F280" s="3">
        <f>+VLOOKUP($A280,MAGAZZINO!$B$2:$M$100000,6,FALSE)</f>
        <v/>
      </c>
      <c r="G280" s="3">
        <f>+VLOOKUP($A280,MAGAZZINO!$B$2:$M$100000,7,FALSE)</f>
        <v/>
      </c>
      <c r="H280" s="3">
        <f>+VLOOKUP($A280,MAGAZZINO!$B$2:$M$100000,8,FALSE)</f>
        <v/>
      </c>
      <c r="I280" s="3">
        <f>+VLOOKUP($A280,MAGAZZINO!$B$2:$M$100000,9,FALSE)</f>
        <v/>
      </c>
      <c r="J280" s="3">
        <f>+VLOOKUP($A280,MAGAZZINO!$B$2:$M$100000,10,FALSE)</f>
        <v/>
      </c>
      <c r="K280" s="3">
        <f>+VLOOKUP($A280,MAGAZZINO!$B$2:$M$100000,11,FALSE)</f>
        <v/>
      </c>
      <c r="L280" s="5">
        <f>+VLOOKUP($A280,MAGAZZINO!$B$2:$M$100000,12,FALSE)</f>
        <v/>
      </c>
      <c r="M280" s="47" t="n"/>
      <c r="N280" s="88" t="n">
        <v>45821</v>
      </c>
      <c r="O280" s="91" t="inlineStr">
        <is>
          <t>PHILIPPOS CONSTANTINIDES TRADING CO. LTD (CIPRO)</t>
        </is>
      </c>
      <c r="P280" s="154" t="inlineStr">
        <is>
          <t xml:space="preserve">IMPORT LICENSE N. 218 DEL 12/08/2020                                                                                         AUT. TRASFERIMENTO N. 6B/2025/1D RILASCIATA IL 30/05/2025   </t>
        </is>
      </c>
      <c r="Q280" s="150" t="n"/>
      <c r="R280" s="150" t="n"/>
      <c r="S280" s="153" t="n"/>
    </row>
    <row r="281" ht="36" customHeight="1">
      <c r="A281" s="46" t="n">
        <v>2611</v>
      </c>
      <c r="B281" s="4">
        <f>+VLOOKUP($A281,MAGAZZINO!$B$2:$M$100000,2,FALSE)</f>
        <v/>
      </c>
      <c r="C281" s="29">
        <f>+VLOOKUP($A281,MAGAZZINO!$B$2:$M$100000,3,FALSE)</f>
        <v/>
      </c>
      <c r="D281" s="3">
        <f>+VLOOKUP($A281,MAGAZZINO!$B$2:$M$100000,4,FALSE)</f>
        <v/>
      </c>
      <c r="E281" s="3">
        <f>+VLOOKUP($A281,MAGAZZINO!$B$2:$M$100000,5,FALSE)</f>
        <v/>
      </c>
      <c r="F281" s="3">
        <f>+VLOOKUP($A281,MAGAZZINO!$B$2:$M$100000,6,FALSE)</f>
        <v/>
      </c>
      <c r="G281" s="3">
        <f>+VLOOKUP($A281,MAGAZZINO!$B$2:$M$100000,7,FALSE)</f>
        <v/>
      </c>
      <c r="H281" s="3">
        <f>+VLOOKUP($A281,MAGAZZINO!$B$2:$M$100000,8,FALSE)</f>
        <v/>
      </c>
      <c r="I281" s="3">
        <f>+VLOOKUP($A281,MAGAZZINO!$B$2:$M$100000,9,FALSE)</f>
        <v/>
      </c>
      <c r="J281" s="3">
        <f>+VLOOKUP($A281,MAGAZZINO!$B$2:$M$100000,10,FALSE)</f>
        <v/>
      </c>
      <c r="K281" s="3">
        <f>+VLOOKUP($A281,MAGAZZINO!$B$2:$M$100000,11,FALSE)</f>
        <v/>
      </c>
      <c r="L281" s="5">
        <f>+VLOOKUP($A281,MAGAZZINO!$B$2:$M$100000,12,FALSE)</f>
        <v/>
      </c>
      <c r="M281" s="47" t="n"/>
      <c r="N281" s="88" t="n">
        <v>45821</v>
      </c>
      <c r="O281" s="91" t="inlineStr">
        <is>
          <t>PHILIPPOS CONSTANTINIDES TRADING CO. LTD (CIPRO)</t>
        </is>
      </c>
      <c r="P281" s="154" t="inlineStr">
        <is>
          <t xml:space="preserve">IMPORT LICENSE N. 218 DEL 12/08/2020                                                                                         AUT. TRASFERIMENTO N. 6B/2025/1D RILASCIATA IL 30/05/2025   </t>
        </is>
      </c>
      <c r="Q281" s="150" t="n"/>
      <c r="R281" s="150" t="n"/>
      <c r="S281" s="153" t="n"/>
    </row>
    <row r="282" ht="36" customHeight="1">
      <c r="A282" s="46" t="n">
        <v>2612</v>
      </c>
      <c r="B282" s="4">
        <f>+VLOOKUP($A282,MAGAZZINO!$B$2:$M$100000,2,FALSE)</f>
        <v/>
      </c>
      <c r="C282" s="29">
        <f>+VLOOKUP($A282,MAGAZZINO!$B$2:$M$100000,3,FALSE)</f>
        <v/>
      </c>
      <c r="D282" s="3">
        <f>+VLOOKUP($A282,MAGAZZINO!$B$2:$M$100000,4,FALSE)</f>
        <v/>
      </c>
      <c r="E282" s="3">
        <f>+VLOOKUP($A282,MAGAZZINO!$B$2:$M$100000,5,FALSE)</f>
        <v/>
      </c>
      <c r="F282" s="3">
        <f>+VLOOKUP($A282,MAGAZZINO!$B$2:$M$100000,6,FALSE)</f>
        <v/>
      </c>
      <c r="G282" s="3">
        <f>+VLOOKUP($A282,MAGAZZINO!$B$2:$M$100000,7,FALSE)</f>
        <v/>
      </c>
      <c r="H282" s="3">
        <f>+VLOOKUP($A282,MAGAZZINO!$B$2:$M$100000,8,FALSE)</f>
        <v/>
      </c>
      <c r="I282" s="3">
        <f>+VLOOKUP($A282,MAGAZZINO!$B$2:$M$100000,9,FALSE)</f>
        <v/>
      </c>
      <c r="J282" s="3">
        <f>+VLOOKUP($A282,MAGAZZINO!$B$2:$M$100000,10,FALSE)</f>
        <v/>
      </c>
      <c r="K282" s="3">
        <f>+VLOOKUP($A282,MAGAZZINO!$B$2:$M$100000,11,FALSE)</f>
        <v/>
      </c>
      <c r="L282" s="5">
        <f>+VLOOKUP($A282,MAGAZZINO!$B$2:$M$100000,12,FALSE)</f>
        <v/>
      </c>
      <c r="M282" s="47" t="n"/>
      <c r="N282" s="88" t="n">
        <v>45821</v>
      </c>
      <c r="O282" s="91" t="inlineStr">
        <is>
          <t>PHILIPPOS CONSTANTINIDES TRADING CO. LTD (CIPRO)</t>
        </is>
      </c>
      <c r="P282" s="154" t="inlineStr">
        <is>
          <t xml:space="preserve">IMPORT LICENSE N. 218 DEL 12/08/2020                                                                                         AUT. TRASFERIMENTO N. 6B/2025/1D RILASCIATA IL 30/05/2025   </t>
        </is>
      </c>
      <c r="Q282" s="150" t="n"/>
      <c r="R282" s="150" t="n"/>
      <c r="S282" s="153" t="n"/>
    </row>
    <row r="283" ht="36" customHeight="1">
      <c r="A283" s="46" t="n">
        <v>2613</v>
      </c>
      <c r="B283" s="4">
        <f>+VLOOKUP($A283,MAGAZZINO!$B$2:$M$100000,2,FALSE)</f>
        <v/>
      </c>
      <c r="C283" s="29">
        <f>+VLOOKUP($A283,MAGAZZINO!$B$2:$M$100000,3,FALSE)</f>
        <v/>
      </c>
      <c r="D283" s="3">
        <f>+VLOOKUP($A283,MAGAZZINO!$B$2:$M$100000,4,FALSE)</f>
        <v/>
      </c>
      <c r="E283" s="3">
        <f>+VLOOKUP($A283,MAGAZZINO!$B$2:$M$100000,5,FALSE)</f>
        <v/>
      </c>
      <c r="F283" s="3">
        <f>+VLOOKUP($A283,MAGAZZINO!$B$2:$M$100000,6,FALSE)</f>
        <v/>
      </c>
      <c r="G283" s="3">
        <f>+VLOOKUP($A283,MAGAZZINO!$B$2:$M$100000,7,FALSE)</f>
        <v/>
      </c>
      <c r="H283" s="3">
        <f>+VLOOKUP($A283,MAGAZZINO!$B$2:$M$100000,8,FALSE)</f>
        <v/>
      </c>
      <c r="I283" s="3">
        <f>+VLOOKUP($A283,MAGAZZINO!$B$2:$M$100000,9,FALSE)</f>
        <v/>
      </c>
      <c r="J283" s="3">
        <f>+VLOOKUP($A283,MAGAZZINO!$B$2:$M$100000,10,FALSE)</f>
        <v/>
      </c>
      <c r="K283" s="3">
        <f>+VLOOKUP($A283,MAGAZZINO!$B$2:$M$100000,11,FALSE)</f>
        <v/>
      </c>
      <c r="L283" s="5">
        <f>+VLOOKUP($A283,MAGAZZINO!$B$2:$M$100000,12,FALSE)</f>
        <v/>
      </c>
      <c r="M283" s="47" t="n"/>
      <c r="N283" s="54" t="n"/>
      <c r="O283" s="3" t="n"/>
      <c r="P283" s="149" t="n"/>
      <c r="Q283" s="150" t="n"/>
      <c r="R283" s="150" t="n"/>
      <c r="S283" s="151" t="n"/>
    </row>
    <row r="284" ht="36" customHeight="1">
      <c r="A284" s="46" t="n">
        <v>2614</v>
      </c>
      <c r="B284" s="4">
        <f>+VLOOKUP($A284,MAGAZZINO!$B$2:$M$100000,2,FALSE)</f>
        <v/>
      </c>
      <c r="C284" s="29">
        <f>+VLOOKUP($A284,MAGAZZINO!$B$2:$M$100000,3,FALSE)</f>
        <v/>
      </c>
      <c r="D284" s="3">
        <f>+VLOOKUP($A284,MAGAZZINO!$B$2:$M$100000,4,FALSE)</f>
        <v/>
      </c>
      <c r="E284" s="3">
        <f>+VLOOKUP($A284,MAGAZZINO!$B$2:$M$100000,5,FALSE)</f>
        <v/>
      </c>
      <c r="F284" s="3">
        <f>+VLOOKUP($A284,MAGAZZINO!$B$2:$M$100000,6,FALSE)</f>
        <v/>
      </c>
      <c r="G284" s="3">
        <f>+VLOOKUP($A284,MAGAZZINO!$B$2:$M$100000,7,FALSE)</f>
        <v/>
      </c>
      <c r="H284" s="3">
        <f>+VLOOKUP($A284,MAGAZZINO!$B$2:$M$100000,8,FALSE)</f>
        <v/>
      </c>
      <c r="I284" s="3">
        <f>+VLOOKUP($A284,MAGAZZINO!$B$2:$M$100000,9,FALSE)</f>
        <v/>
      </c>
      <c r="J284" s="3">
        <f>+VLOOKUP($A284,MAGAZZINO!$B$2:$M$100000,10,FALSE)</f>
        <v/>
      </c>
      <c r="K284" s="3">
        <f>+VLOOKUP($A284,MAGAZZINO!$B$2:$M$100000,11,FALSE)</f>
        <v/>
      </c>
      <c r="L284" s="5">
        <f>+VLOOKUP($A284,MAGAZZINO!$B$2:$M$100000,12,FALSE)</f>
        <v/>
      </c>
      <c r="M284" s="47" t="n"/>
      <c r="N284" s="54" t="n"/>
      <c r="O284" s="3" t="n"/>
      <c r="P284" s="149" t="n"/>
      <c r="Q284" s="150" t="n"/>
      <c r="R284" s="150" t="n"/>
      <c r="S284" s="151" t="n"/>
    </row>
    <row r="285" ht="36" customHeight="1">
      <c r="A285" s="46" t="n">
        <v>2615</v>
      </c>
      <c r="B285" s="4">
        <f>+VLOOKUP($A285,MAGAZZINO!$B$2:$M$100000,2,FALSE)</f>
        <v/>
      </c>
      <c r="C285" s="29">
        <f>+VLOOKUP($A285,MAGAZZINO!$B$2:$M$100000,3,FALSE)</f>
        <v/>
      </c>
      <c r="D285" s="3">
        <f>+VLOOKUP($A285,MAGAZZINO!$B$2:$M$100000,4,FALSE)</f>
        <v/>
      </c>
      <c r="E285" s="3">
        <f>+VLOOKUP($A285,MAGAZZINO!$B$2:$M$100000,5,FALSE)</f>
        <v/>
      </c>
      <c r="F285" s="3">
        <f>+VLOOKUP($A285,MAGAZZINO!$B$2:$M$100000,6,FALSE)</f>
        <v/>
      </c>
      <c r="G285" s="3">
        <f>+VLOOKUP($A285,MAGAZZINO!$B$2:$M$100000,7,FALSE)</f>
        <v/>
      </c>
      <c r="H285" s="3">
        <f>+VLOOKUP($A285,MAGAZZINO!$B$2:$M$100000,8,FALSE)</f>
        <v/>
      </c>
      <c r="I285" s="3">
        <f>+VLOOKUP($A285,MAGAZZINO!$B$2:$M$100000,9,FALSE)</f>
        <v/>
      </c>
      <c r="J285" s="3">
        <f>+VLOOKUP($A285,MAGAZZINO!$B$2:$M$100000,10,FALSE)</f>
        <v/>
      </c>
      <c r="K285" s="3">
        <f>+VLOOKUP($A285,MAGAZZINO!$B$2:$M$100000,11,FALSE)</f>
        <v/>
      </c>
      <c r="L285" s="5">
        <f>+VLOOKUP($A285,MAGAZZINO!$B$2:$M$100000,12,FALSE)</f>
        <v/>
      </c>
      <c r="M285" s="47" t="n"/>
      <c r="N285" s="54" t="n"/>
      <c r="O285" s="3" t="n"/>
      <c r="P285" s="149" t="n"/>
      <c r="Q285" s="150" t="n"/>
      <c r="R285" s="150" t="n"/>
      <c r="S285" s="151" t="n"/>
    </row>
    <row r="286" ht="36" customHeight="1">
      <c r="A286" s="46" t="n">
        <v>2616</v>
      </c>
      <c r="B286" s="4">
        <f>+VLOOKUP($A286,MAGAZZINO!$B$2:$M$100000,2,FALSE)</f>
        <v/>
      </c>
      <c r="C286" s="29">
        <f>+VLOOKUP($A286,MAGAZZINO!$B$2:$M$100000,3,FALSE)</f>
        <v/>
      </c>
      <c r="D286" s="3">
        <f>+VLOOKUP($A286,MAGAZZINO!$B$2:$M$100000,4,FALSE)</f>
        <v/>
      </c>
      <c r="E286" s="3">
        <f>+VLOOKUP($A286,MAGAZZINO!$B$2:$M$100000,5,FALSE)</f>
        <v/>
      </c>
      <c r="F286" s="3">
        <f>+VLOOKUP($A286,MAGAZZINO!$B$2:$M$100000,6,FALSE)</f>
        <v/>
      </c>
      <c r="G286" s="3">
        <f>+VLOOKUP($A286,MAGAZZINO!$B$2:$M$100000,7,FALSE)</f>
        <v/>
      </c>
      <c r="H286" s="3">
        <f>+VLOOKUP($A286,MAGAZZINO!$B$2:$M$100000,8,FALSE)</f>
        <v/>
      </c>
      <c r="I286" s="3">
        <f>+VLOOKUP($A286,MAGAZZINO!$B$2:$M$100000,9,FALSE)</f>
        <v/>
      </c>
      <c r="J286" s="3">
        <f>+VLOOKUP($A286,MAGAZZINO!$B$2:$M$100000,10,FALSE)</f>
        <v/>
      </c>
      <c r="K286" s="3">
        <f>+VLOOKUP($A286,MAGAZZINO!$B$2:$M$100000,11,FALSE)</f>
        <v/>
      </c>
      <c r="L286" s="5">
        <f>+VLOOKUP($A286,MAGAZZINO!$B$2:$M$100000,12,FALSE)</f>
        <v/>
      </c>
      <c r="M286" s="47" t="n"/>
      <c r="N286" s="54" t="n"/>
      <c r="O286" s="3" t="n"/>
      <c r="P286" s="149" t="n"/>
      <c r="Q286" s="150" t="n"/>
      <c r="R286" s="150" t="n"/>
      <c r="S286" s="151" t="n"/>
    </row>
    <row r="287" ht="36" customHeight="1">
      <c r="A287" s="46" t="n">
        <v>2617</v>
      </c>
      <c r="B287" s="4">
        <f>+VLOOKUP($A287,MAGAZZINO!$B$2:$M$100000,2,FALSE)</f>
        <v/>
      </c>
      <c r="C287" s="29">
        <f>+VLOOKUP($A287,MAGAZZINO!$B$2:$M$100000,3,FALSE)</f>
        <v/>
      </c>
      <c r="D287" s="3">
        <f>+VLOOKUP($A287,MAGAZZINO!$B$2:$M$100000,4,FALSE)</f>
        <v/>
      </c>
      <c r="E287" s="3">
        <f>+VLOOKUP($A287,MAGAZZINO!$B$2:$M$100000,5,FALSE)</f>
        <v/>
      </c>
      <c r="F287" s="3">
        <f>+VLOOKUP($A287,MAGAZZINO!$B$2:$M$100000,6,FALSE)</f>
        <v/>
      </c>
      <c r="G287" s="3">
        <f>+VLOOKUP($A287,MAGAZZINO!$B$2:$M$100000,7,FALSE)</f>
        <v/>
      </c>
      <c r="H287" s="3">
        <f>+VLOOKUP($A287,MAGAZZINO!$B$2:$M$100000,8,FALSE)</f>
        <v/>
      </c>
      <c r="I287" s="3">
        <f>+VLOOKUP($A287,MAGAZZINO!$B$2:$M$100000,9,FALSE)</f>
        <v/>
      </c>
      <c r="J287" s="3">
        <f>+VLOOKUP($A287,MAGAZZINO!$B$2:$M$100000,10,FALSE)</f>
        <v/>
      </c>
      <c r="K287" s="3">
        <f>+VLOOKUP($A287,MAGAZZINO!$B$2:$M$100000,11,FALSE)</f>
        <v/>
      </c>
      <c r="L287" s="5">
        <f>+VLOOKUP($A287,MAGAZZINO!$B$2:$M$100000,12,FALSE)</f>
        <v/>
      </c>
      <c r="M287" s="47" t="n"/>
      <c r="N287" s="54" t="n"/>
      <c r="O287" s="3" t="n"/>
      <c r="P287" s="149" t="n"/>
      <c r="Q287" s="150" t="n"/>
      <c r="R287" s="150" t="n"/>
      <c r="S287" s="151" t="n"/>
    </row>
    <row r="288" ht="36" customHeight="1">
      <c r="A288" s="46" t="n">
        <v>2618</v>
      </c>
      <c r="B288" s="4">
        <f>+VLOOKUP($A288,MAGAZZINO!$B$2:$M$100000,2,FALSE)</f>
        <v/>
      </c>
      <c r="C288" s="29">
        <f>+VLOOKUP($A288,MAGAZZINO!$B$2:$M$100000,3,FALSE)</f>
        <v/>
      </c>
      <c r="D288" s="3">
        <f>+VLOOKUP($A288,MAGAZZINO!$B$2:$M$100000,4,FALSE)</f>
        <v/>
      </c>
      <c r="E288" s="3">
        <f>+VLOOKUP($A288,MAGAZZINO!$B$2:$M$100000,5,FALSE)</f>
        <v/>
      </c>
      <c r="F288" s="3">
        <f>+VLOOKUP($A288,MAGAZZINO!$B$2:$M$100000,6,FALSE)</f>
        <v/>
      </c>
      <c r="G288" s="3">
        <f>+VLOOKUP($A288,MAGAZZINO!$B$2:$M$100000,7,FALSE)</f>
        <v/>
      </c>
      <c r="H288" s="3">
        <f>+VLOOKUP($A288,MAGAZZINO!$B$2:$M$100000,8,FALSE)</f>
        <v/>
      </c>
      <c r="I288" s="3">
        <f>+VLOOKUP($A288,MAGAZZINO!$B$2:$M$100000,9,FALSE)</f>
        <v/>
      </c>
      <c r="J288" s="3">
        <f>+VLOOKUP($A288,MAGAZZINO!$B$2:$M$100000,10,FALSE)</f>
        <v/>
      </c>
      <c r="K288" s="3">
        <f>+VLOOKUP($A288,MAGAZZINO!$B$2:$M$100000,11,FALSE)</f>
        <v/>
      </c>
      <c r="L288" s="5">
        <f>+VLOOKUP($A288,MAGAZZINO!$B$2:$M$100000,12,FALSE)</f>
        <v/>
      </c>
      <c r="M288" s="47" t="n"/>
      <c r="N288" s="54" t="n"/>
      <c r="O288" s="3" t="n"/>
      <c r="P288" s="149" t="n"/>
      <c r="Q288" s="150" t="n"/>
      <c r="R288" s="150" t="n"/>
      <c r="S288" s="151" t="n"/>
    </row>
    <row r="289" ht="36" customHeight="1">
      <c r="A289" s="46" t="n">
        <v>2619</v>
      </c>
      <c r="B289" s="4">
        <f>+VLOOKUP($A289,MAGAZZINO!$B$2:$M$100000,2,FALSE)</f>
        <v/>
      </c>
      <c r="C289" s="29">
        <f>+VLOOKUP($A289,MAGAZZINO!$B$2:$M$100000,3,FALSE)</f>
        <v/>
      </c>
      <c r="D289" s="3">
        <f>+VLOOKUP($A289,MAGAZZINO!$B$2:$M$100000,4,FALSE)</f>
        <v/>
      </c>
      <c r="E289" s="3">
        <f>+VLOOKUP($A289,MAGAZZINO!$B$2:$M$100000,5,FALSE)</f>
        <v/>
      </c>
      <c r="F289" s="3">
        <f>+VLOOKUP($A289,MAGAZZINO!$B$2:$M$100000,6,FALSE)</f>
        <v/>
      </c>
      <c r="G289" s="3">
        <f>+VLOOKUP($A289,MAGAZZINO!$B$2:$M$100000,7,FALSE)</f>
        <v/>
      </c>
      <c r="H289" s="3">
        <f>+VLOOKUP($A289,MAGAZZINO!$B$2:$M$100000,8,FALSE)</f>
        <v/>
      </c>
      <c r="I289" s="3">
        <f>+VLOOKUP($A289,MAGAZZINO!$B$2:$M$100000,9,FALSE)</f>
        <v/>
      </c>
      <c r="J289" s="3">
        <f>+VLOOKUP($A289,MAGAZZINO!$B$2:$M$100000,10,FALSE)</f>
        <v/>
      </c>
      <c r="K289" s="3">
        <f>+VLOOKUP($A289,MAGAZZINO!$B$2:$M$100000,11,FALSE)</f>
        <v/>
      </c>
      <c r="L289" s="5">
        <f>+VLOOKUP($A289,MAGAZZINO!$B$2:$M$100000,12,FALSE)</f>
        <v/>
      </c>
      <c r="M289" s="47" t="n"/>
      <c r="N289" s="54" t="n"/>
      <c r="O289" s="3" t="n"/>
      <c r="P289" s="149" t="n"/>
      <c r="Q289" s="150" t="n"/>
      <c r="R289" s="150" t="n"/>
      <c r="S289" s="151" t="n"/>
    </row>
    <row r="290" ht="36" customHeight="1">
      <c r="A290" s="46" t="n">
        <v>2620</v>
      </c>
      <c r="B290" s="4">
        <f>+VLOOKUP($A290,MAGAZZINO!$B$2:$M$100000,2,FALSE)</f>
        <v/>
      </c>
      <c r="C290" s="29">
        <f>+VLOOKUP($A290,MAGAZZINO!$B$2:$M$100000,3,FALSE)</f>
        <v/>
      </c>
      <c r="D290" s="3">
        <f>+VLOOKUP($A290,MAGAZZINO!$B$2:$M$100000,4,FALSE)</f>
        <v/>
      </c>
      <c r="E290" s="3">
        <f>+VLOOKUP($A290,MAGAZZINO!$B$2:$M$100000,5,FALSE)</f>
        <v/>
      </c>
      <c r="F290" s="3">
        <f>+VLOOKUP($A290,MAGAZZINO!$B$2:$M$100000,6,FALSE)</f>
        <v/>
      </c>
      <c r="G290" s="3">
        <f>+VLOOKUP($A290,MAGAZZINO!$B$2:$M$100000,7,FALSE)</f>
        <v/>
      </c>
      <c r="H290" s="3">
        <f>+VLOOKUP($A290,MAGAZZINO!$B$2:$M$100000,8,FALSE)</f>
        <v/>
      </c>
      <c r="I290" s="3">
        <f>+VLOOKUP($A290,MAGAZZINO!$B$2:$M$100000,9,FALSE)</f>
        <v/>
      </c>
      <c r="J290" s="3">
        <f>+VLOOKUP($A290,MAGAZZINO!$B$2:$M$100000,10,FALSE)</f>
        <v/>
      </c>
      <c r="K290" s="3">
        <f>+VLOOKUP($A290,MAGAZZINO!$B$2:$M$100000,11,FALSE)</f>
        <v/>
      </c>
      <c r="L290" s="5">
        <f>+VLOOKUP($A290,MAGAZZINO!$B$2:$M$100000,12,FALSE)</f>
        <v/>
      </c>
      <c r="M290" s="47" t="n"/>
      <c r="N290" s="88" t="n">
        <v>45821</v>
      </c>
      <c r="O290" s="91" t="inlineStr">
        <is>
          <t>PHILIPPOS CONSTANTINIDES TRADING CO. LTD (CIPRO)</t>
        </is>
      </c>
      <c r="P290" s="154" t="inlineStr">
        <is>
          <t xml:space="preserve">IMPORT LICENSE N. 218 DEL 12/08/2020                                                                                         AUT. TRASFERIMENTO N. 6B/2025/1D RILASCIATA IL 30/05/2025   </t>
        </is>
      </c>
      <c r="Q290" s="150" t="n"/>
      <c r="R290" s="150" t="n"/>
      <c r="S290" s="153" t="n"/>
    </row>
    <row r="291" ht="36" customHeight="1">
      <c r="A291" s="46" t="n">
        <v>2621</v>
      </c>
      <c r="B291" s="4">
        <f>+VLOOKUP($A291,MAGAZZINO!$B$2:$M$100000,2,FALSE)</f>
        <v/>
      </c>
      <c r="C291" s="29">
        <f>+VLOOKUP($A291,MAGAZZINO!$B$2:$M$100000,3,FALSE)</f>
        <v/>
      </c>
      <c r="D291" s="3">
        <f>+VLOOKUP($A291,MAGAZZINO!$B$2:$M$100000,4,FALSE)</f>
        <v/>
      </c>
      <c r="E291" s="3">
        <f>+VLOOKUP($A291,MAGAZZINO!$B$2:$M$100000,5,FALSE)</f>
        <v/>
      </c>
      <c r="F291" s="3">
        <f>+VLOOKUP($A291,MAGAZZINO!$B$2:$M$100000,6,FALSE)</f>
        <v/>
      </c>
      <c r="G291" s="3">
        <f>+VLOOKUP($A291,MAGAZZINO!$B$2:$M$100000,7,FALSE)</f>
        <v/>
      </c>
      <c r="H291" s="3">
        <f>+VLOOKUP($A291,MAGAZZINO!$B$2:$M$100000,8,FALSE)</f>
        <v/>
      </c>
      <c r="I291" s="3">
        <f>+VLOOKUP($A291,MAGAZZINO!$B$2:$M$100000,9,FALSE)</f>
        <v/>
      </c>
      <c r="J291" s="3">
        <f>+VLOOKUP($A291,MAGAZZINO!$B$2:$M$100000,10,FALSE)</f>
        <v/>
      </c>
      <c r="K291" s="3">
        <f>+VLOOKUP($A291,MAGAZZINO!$B$2:$M$100000,11,FALSE)</f>
        <v/>
      </c>
      <c r="L291" s="5">
        <f>+VLOOKUP($A291,MAGAZZINO!$B$2:$M$100000,12,FALSE)</f>
        <v/>
      </c>
      <c r="M291" s="47" t="n"/>
      <c r="N291" s="54" t="n"/>
      <c r="O291" s="3" t="n"/>
      <c r="P291" s="149" t="n"/>
      <c r="Q291" s="150" t="n"/>
      <c r="R291" s="150" t="n"/>
      <c r="S291" s="151" t="n"/>
    </row>
    <row r="292" ht="36" customHeight="1">
      <c r="A292" s="46" t="n">
        <v>2622</v>
      </c>
      <c r="B292" s="4">
        <f>+VLOOKUP($A292,MAGAZZINO!$B$2:$M$100000,2,FALSE)</f>
        <v/>
      </c>
      <c r="C292" s="29">
        <f>+VLOOKUP($A292,MAGAZZINO!$B$2:$M$100000,3,FALSE)</f>
        <v/>
      </c>
      <c r="D292" s="3">
        <f>+VLOOKUP($A292,MAGAZZINO!$B$2:$M$100000,4,FALSE)</f>
        <v/>
      </c>
      <c r="E292" s="3">
        <f>+VLOOKUP($A292,MAGAZZINO!$B$2:$M$100000,5,FALSE)</f>
        <v/>
      </c>
      <c r="F292" s="3">
        <f>+VLOOKUP($A292,MAGAZZINO!$B$2:$M$100000,6,FALSE)</f>
        <v/>
      </c>
      <c r="G292" s="3">
        <f>+VLOOKUP($A292,MAGAZZINO!$B$2:$M$100000,7,FALSE)</f>
        <v/>
      </c>
      <c r="H292" s="3">
        <f>+VLOOKUP($A292,MAGAZZINO!$B$2:$M$100000,8,FALSE)</f>
        <v/>
      </c>
      <c r="I292" s="3">
        <f>+VLOOKUP($A292,MAGAZZINO!$B$2:$M$100000,9,FALSE)</f>
        <v/>
      </c>
      <c r="J292" s="3">
        <f>+VLOOKUP($A292,MAGAZZINO!$B$2:$M$100000,10,FALSE)</f>
        <v/>
      </c>
      <c r="K292" s="3">
        <f>+VLOOKUP($A292,MAGAZZINO!$B$2:$M$100000,11,FALSE)</f>
        <v/>
      </c>
      <c r="L292" s="5">
        <f>+VLOOKUP($A292,MAGAZZINO!$B$2:$M$100000,12,FALSE)</f>
        <v/>
      </c>
      <c r="M292" s="47" t="n"/>
      <c r="N292" s="54" t="n"/>
      <c r="O292" s="3" t="n"/>
      <c r="P292" s="149" t="n"/>
      <c r="Q292" s="150" t="n"/>
      <c r="R292" s="150" t="n"/>
      <c r="S292" s="151" t="n"/>
    </row>
    <row r="293" ht="36" customHeight="1">
      <c r="A293" s="46" t="n">
        <v>2623</v>
      </c>
      <c r="B293" s="4">
        <f>+VLOOKUP($A293,MAGAZZINO!$B$2:$M$100000,2,FALSE)</f>
        <v/>
      </c>
      <c r="C293" s="29">
        <f>+VLOOKUP($A293,MAGAZZINO!$B$2:$M$100000,3,FALSE)</f>
        <v/>
      </c>
      <c r="D293" s="3">
        <f>+VLOOKUP($A293,MAGAZZINO!$B$2:$M$100000,4,FALSE)</f>
        <v/>
      </c>
      <c r="E293" s="3">
        <f>+VLOOKUP($A293,MAGAZZINO!$B$2:$M$100000,5,FALSE)</f>
        <v/>
      </c>
      <c r="F293" s="3">
        <f>+VLOOKUP($A293,MAGAZZINO!$B$2:$M$100000,6,FALSE)</f>
        <v/>
      </c>
      <c r="G293" s="3">
        <f>+VLOOKUP($A293,MAGAZZINO!$B$2:$M$100000,7,FALSE)</f>
        <v/>
      </c>
      <c r="H293" s="3">
        <f>+VLOOKUP($A293,MAGAZZINO!$B$2:$M$100000,8,FALSE)</f>
        <v/>
      </c>
      <c r="I293" s="3">
        <f>+VLOOKUP($A293,MAGAZZINO!$B$2:$M$100000,9,FALSE)</f>
        <v/>
      </c>
      <c r="J293" s="3">
        <f>+VLOOKUP($A293,MAGAZZINO!$B$2:$M$100000,10,FALSE)</f>
        <v/>
      </c>
      <c r="K293" s="3">
        <f>+VLOOKUP($A293,MAGAZZINO!$B$2:$M$100000,11,FALSE)</f>
        <v/>
      </c>
      <c r="L293" s="5">
        <f>+VLOOKUP($A293,MAGAZZINO!$B$2:$M$100000,12,FALSE)</f>
        <v/>
      </c>
      <c r="M293" s="47" t="n"/>
      <c r="N293" s="54" t="n"/>
      <c r="O293" s="3" t="n"/>
      <c r="P293" s="149" t="n"/>
      <c r="Q293" s="150" t="n"/>
      <c r="R293" s="150" t="n"/>
      <c r="S293" s="151" t="n"/>
    </row>
    <row r="294" ht="36" customHeight="1">
      <c r="A294" s="46" t="n">
        <v>2624</v>
      </c>
      <c r="B294" s="4">
        <f>+VLOOKUP($A294,MAGAZZINO!$B$2:$M$100000,2,FALSE)</f>
        <v/>
      </c>
      <c r="C294" s="29">
        <f>+VLOOKUP($A294,MAGAZZINO!$B$2:$M$100000,3,FALSE)</f>
        <v/>
      </c>
      <c r="D294" s="3">
        <f>+VLOOKUP($A294,MAGAZZINO!$B$2:$M$100000,4,FALSE)</f>
        <v/>
      </c>
      <c r="E294" s="3">
        <f>+VLOOKUP($A294,MAGAZZINO!$B$2:$M$100000,5,FALSE)</f>
        <v/>
      </c>
      <c r="F294" s="3">
        <f>+VLOOKUP($A294,MAGAZZINO!$B$2:$M$100000,6,FALSE)</f>
        <v/>
      </c>
      <c r="G294" s="3">
        <f>+VLOOKUP($A294,MAGAZZINO!$B$2:$M$100000,7,FALSE)</f>
        <v/>
      </c>
      <c r="H294" s="3">
        <f>+VLOOKUP($A294,MAGAZZINO!$B$2:$M$100000,8,FALSE)</f>
        <v/>
      </c>
      <c r="I294" s="3">
        <f>+VLOOKUP($A294,MAGAZZINO!$B$2:$M$100000,9,FALSE)</f>
        <v/>
      </c>
      <c r="J294" s="3">
        <f>+VLOOKUP($A294,MAGAZZINO!$B$2:$M$100000,10,FALSE)</f>
        <v/>
      </c>
      <c r="K294" s="3">
        <f>+VLOOKUP($A294,MAGAZZINO!$B$2:$M$100000,11,FALSE)</f>
        <v/>
      </c>
      <c r="L294" s="5">
        <f>+VLOOKUP($A294,MAGAZZINO!$B$2:$M$100000,12,FALSE)</f>
        <v/>
      </c>
      <c r="M294" s="47" t="n"/>
      <c r="N294" s="54" t="n"/>
      <c r="O294" s="3" t="n"/>
      <c r="P294" s="149" t="n"/>
      <c r="Q294" s="150" t="n"/>
      <c r="R294" s="150" t="n"/>
      <c r="S294" s="151" t="n"/>
    </row>
    <row r="295" ht="36" customHeight="1">
      <c r="A295" s="46" t="n">
        <v>2625</v>
      </c>
      <c r="B295" s="4">
        <f>+VLOOKUP($A295,MAGAZZINO!$B$2:$M$100000,2,FALSE)</f>
        <v/>
      </c>
      <c r="C295" s="29">
        <f>+VLOOKUP($A295,MAGAZZINO!$B$2:$M$100000,3,FALSE)</f>
        <v/>
      </c>
      <c r="D295" s="3">
        <f>+VLOOKUP($A295,MAGAZZINO!$B$2:$M$100000,4,FALSE)</f>
        <v/>
      </c>
      <c r="E295" s="3">
        <f>+VLOOKUP($A295,MAGAZZINO!$B$2:$M$100000,5,FALSE)</f>
        <v/>
      </c>
      <c r="F295" s="3">
        <f>+VLOOKUP($A295,MAGAZZINO!$B$2:$M$100000,6,FALSE)</f>
        <v/>
      </c>
      <c r="G295" s="3">
        <f>+VLOOKUP($A295,MAGAZZINO!$B$2:$M$100000,7,FALSE)</f>
        <v/>
      </c>
      <c r="H295" s="3">
        <f>+VLOOKUP($A295,MAGAZZINO!$B$2:$M$100000,8,FALSE)</f>
        <v/>
      </c>
      <c r="I295" s="3">
        <f>+VLOOKUP($A295,MAGAZZINO!$B$2:$M$100000,9,FALSE)</f>
        <v/>
      </c>
      <c r="J295" s="3">
        <f>+VLOOKUP($A295,MAGAZZINO!$B$2:$M$100000,10,FALSE)</f>
        <v/>
      </c>
      <c r="K295" s="3">
        <f>+VLOOKUP($A295,MAGAZZINO!$B$2:$M$100000,11,FALSE)</f>
        <v/>
      </c>
      <c r="L295" s="5">
        <f>+VLOOKUP($A295,MAGAZZINO!$B$2:$M$100000,12,FALSE)</f>
        <v/>
      </c>
      <c r="M295" s="47" t="n"/>
      <c r="N295" s="54" t="n"/>
      <c r="O295" s="3" t="n"/>
      <c r="P295" s="149" t="n"/>
      <c r="Q295" s="150" t="n"/>
      <c r="R295" s="150" t="n"/>
      <c r="S295" s="151" t="n"/>
    </row>
    <row r="296" ht="36" customHeight="1">
      <c r="A296" s="46" t="n">
        <v>2626</v>
      </c>
      <c r="B296" s="4">
        <f>+VLOOKUP($A296,MAGAZZINO!$B$2:$M$100000,2,FALSE)</f>
        <v/>
      </c>
      <c r="C296" s="29">
        <f>+VLOOKUP($A296,MAGAZZINO!$B$2:$M$100000,3,FALSE)</f>
        <v/>
      </c>
      <c r="D296" s="3">
        <f>+VLOOKUP($A296,MAGAZZINO!$B$2:$M$100000,4,FALSE)</f>
        <v/>
      </c>
      <c r="E296" s="3">
        <f>+VLOOKUP($A296,MAGAZZINO!$B$2:$M$100000,5,FALSE)</f>
        <v/>
      </c>
      <c r="F296" s="3">
        <f>+VLOOKUP($A296,MAGAZZINO!$B$2:$M$100000,6,FALSE)</f>
        <v/>
      </c>
      <c r="G296" s="3">
        <f>+VLOOKUP($A296,MAGAZZINO!$B$2:$M$100000,7,FALSE)</f>
        <v/>
      </c>
      <c r="H296" s="3">
        <f>+VLOOKUP($A296,MAGAZZINO!$B$2:$M$100000,8,FALSE)</f>
        <v/>
      </c>
      <c r="I296" s="3">
        <f>+VLOOKUP($A296,MAGAZZINO!$B$2:$M$100000,9,FALSE)</f>
        <v/>
      </c>
      <c r="J296" s="3">
        <f>+VLOOKUP($A296,MAGAZZINO!$B$2:$M$100000,10,FALSE)</f>
        <v/>
      </c>
      <c r="K296" s="3">
        <f>+VLOOKUP($A296,MAGAZZINO!$B$2:$M$100000,11,FALSE)</f>
        <v/>
      </c>
      <c r="L296" s="5">
        <f>+VLOOKUP($A296,MAGAZZINO!$B$2:$M$100000,12,FALSE)</f>
        <v/>
      </c>
      <c r="M296" s="47" t="n"/>
      <c r="N296" s="54" t="n"/>
      <c r="O296" s="3" t="n"/>
      <c r="P296" s="149" t="n"/>
      <c r="Q296" s="150" t="n"/>
      <c r="R296" s="150" t="n"/>
      <c r="S296" s="151" t="n"/>
    </row>
    <row r="297" ht="36" customHeight="1">
      <c r="A297" s="46" t="n">
        <v>2627</v>
      </c>
      <c r="B297" s="4">
        <f>+VLOOKUP($A297,MAGAZZINO!$B$2:$M$100000,2,FALSE)</f>
        <v/>
      </c>
      <c r="C297" s="29">
        <f>+VLOOKUP($A297,MAGAZZINO!$B$2:$M$100000,3,FALSE)</f>
        <v/>
      </c>
      <c r="D297" s="3">
        <f>+VLOOKUP($A297,MAGAZZINO!$B$2:$M$100000,4,FALSE)</f>
        <v/>
      </c>
      <c r="E297" s="3">
        <f>+VLOOKUP($A297,MAGAZZINO!$B$2:$M$100000,5,FALSE)</f>
        <v/>
      </c>
      <c r="F297" s="3">
        <f>+VLOOKUP($A297,MAGAZZINO!$B$2:$M$100000,6,FALSE)</f>
        <v/>
      </c>
      <c r="G297" s="3">
        <f>+VLOOKUP($A297,MAGAZZINO!$B$2:$M$100000,7,FALSE)</f>
        <v/>
      </c>
      <c r="H297" s="3">
        <f>+VLOOKUP($A297,MAGAZZINO!$B$2:$M$100000,8,FALSE)</f>
        <v/>
      </c>
      <c r="I297" s="3">
        <f>+VLOOKUP($A297,MAGAZZINO!$B$2:$M$100000,9,FALSE)</f>
        <v/>
      </c>
      <c r="J297" s="3">
        <f>+VLOOKUP($A297,MAGAZZINO!$B$2:$M$100000,10,FALSE)</f>
        <v/>
      </c>
      <c r="K297" s="3">
        <f>+VLOOKUP($A297,MAGAZZINO!$B$2:$M$100000,11,FALSE)</f>
        <v/>
      </c>
      <c r="L297" s="5">
        <f>+VLOOKUP($A297,MAGAZZINO!$B$2:$M$100000,12,FALSE)</f>
        <v/>
      </c>
      <c r="M297" s="47" t="n"/>
      <c r="N297" s="54" t="n"/>
      <c r="O297" s="3" t="n"/>
      <c r="P297" s="149" t="n"/>
      <c r="Q297" s="150" t="n"/>
      <c r="R297" s="150" t="n"/>
      <c r="S297" s="151" t="n"/>
    </row>
    <row r="298" ht="36" customHeight="1">
      <c r="A298" s="46" t="n">
        <v>2628</v>
      </c>
      <c r="B298" s="4">
        <f>+VLOOKUP($A298,MAGAZZINO!$B$2:$M$100000,2,FALSE)</f>
        <v/>
      </c>
      <c r="C298" s="29">
        <f>+VLOOKUP($A298,MAGAZZINO!$B$2:$M$100000,3,FALSE)</f>
        <v/>
      </c>
      <c r="D298" s="3">
        <f>+VLOOKUP($A298,MAGAZZINO!$B$2:$M$100000,4,FALSE)</f>
        <v/>
      </c>
      <c r="E298" s="3">
        <f>+VLOOKUP($A298,MAGAZZINO!$B$2:$M$100000,5,FALSE)</f>
        <v/>
      </c>
      <c r="F298" s="3">
        <f>+VLOOKUP($A298,MAGAZZINO!$B$2:$M$100000,6,FALSE)</f>
        <v/>
      </c>
      <c r="G298" s="3">
        <f>+VLOOKUP($A298,MAGAZZINO!$B$2:$M$100000,7,FALSE)</f>
        <v/>
      </c>
      <c r="H298" s="3">
        <f>+VLOOKUP($A298,MAGAZZINO!$B$2:$M$100000,8,FALSE)</f>
        <v/>
      </c>
      <c r="I298" s="3">
        <f>+VLOOKUP($A298,MAGAZZINO!$B$2:$M$100000,9,FALSE)</f>
        <v/>
      </c>
      <c r="J298" s="3">
        <f>+VLOOKUP($A298,MAGAZZINO!$B$2:$M$100000,10,FALSE)</f>
        <v/>
      </c>
      <c r="K298" s="3">
        <f>+VLOOKUP($A298,MAGAZZINO!$B$2:$M$100000,11,FALSE)</f>
        <v/>
      </c>
      <c r="L298" s="5">
        <f>+VLOOKUP($A298,MAGAZZINO!$B$2:$M$100000,12,FALSE)</f>
        <v/>
      </c>
      <c r="M298" s="47" t="n"/>
      <c r="N298" s="54" t="n"/>
      <c r="O298" s="3" t="n"/>
      <c r="P298" s="149" t="n"/>
      <c r="Q298" s="150" t="n"/>
      <c r="R298" s="150" t="n"/>
      <c r="S298" s="151" t="n"/>
    </row>
    <row r="299" ht="36" customHeight="1">
      <c r="A299" s="46" t="n">
        <v>2629</v>
      </c>
      <c r="B299" s="4">
        <f>+VLOOKUP($A299,MAGAZZINO!$B$2:$M$100000,2,FALSE)</f>
        <v/>
      </c>
      <c r="C299" s="29">
        <f>+VLOOKUP($A299,MAGAZZINO!$B$2:$M$100000,3,FALSE)</f>
        <v/>
      </c>
      <c r="D299" s="3">
        <f>+VLOOKUP($A299,MAGAZZINO!$B$2:$M$100000,4,FALSE)</f>
        <v/>
      </c>
      <c r="E299" s="3">
        <f>+VLOOKUP($A299,MAGAZZINO!$B$2:$M$100000,5,FALSE)</f>
        <v/>
      </c>
      <c r="F299" s="3">
        <f>+VLOOKUP($A299,MAGAZZINO!$B$2:$M$100000,6,FALSE)</f>
        <v/>
      </c>
      <c r="G299" s="3">
        <f>+VLOOKUP($A299,MAGAZZINO!$B$2:$M$100000,7,FALSE)</f>
        <v/>
      </c>
      <c r="H299" s="3">
        <f>+VLOOKUP($A299,MAGAZZINO!$B$2:$M$100000,8,FALSE)</f>
        <v/>
      </c>
      <c r="I299" s="3">
        <f>+VLOOKUP($A299,MAGAZZINO!$B$2:$M$100000,9,FALSE)</f>
        <v/>
      </c>
      <c r="J299" s="3">
        <f>+VLOOKUP($A299,MAGAZZINO!$B$2:$M$100000,10,FALSE)</f>
        <v/>
      </c>
      <c r="K299" s="3">
        <f>+VLOOKUP($A299,MAGAZZINO!$B$2:$M$100000,11,FALSE)</f>
        <v/>
      </c>
      <c r="L299" s="5">
        <f>+VLOOKUP($A299,MAGAZZINO!$B$2:$M$100000,12,FALSE)</f>
        <v/>
      </c>
      <c r="M299" s="47" t="n"/>
      <c r="N299" s="54" t="n"/>
      <c r="O299" s="3" t="n"/>
      <c r="P299" s="149" t="n"/>
      <c r="Q299" s="150" t="n"/>
      <c r="R299" s="150" t="n"/>
      <c r="S299" s="151" t="n"/>
    </row>
    <row r="300" ht="36" customHeight="1">
      <c r="A300" s="46" t="n">
        <v>2630</v>
      </c>
      <c r="B300" s="4">
        <f>+VLOOKUP($A300,MAGAZZINO!$B$2:$M$100000,2,FALSE)</f>
        <v/>
      </c>
      <c r="C300" s="29">
        <f>+VLOOKUP($A300,MAGAZZINO!$B$2:$M$100000,3,FALSE)</f>
        <v/>
      </c>
      <c r="D300" s="3">
        <f>+VLOOKUP($A300,MAGAZZINO!$B$2:$M$100000,4,FALSE)</f>
        <v/>
      </c>
      <c r="E300" s="3">
        <f>+VLOOKUP($A300,MAGAZZINO!$B$2:$M$100000,5,FALSE)</f>
        <v/>
      </c>
      <c r="F300" s="3">
        <f>+VLOOKUP($A300,MAGAZZINO!$B$2:$M$100000,6,FALSE)</f>
        <v/>
      </c>
      <c r="G300" s="3">
        <f>+VLOOKUP($A300,MAGAZZINO!$B$2:$M$100000,7,FALSE)</f>
        <v/>
      </c>
      <c r="H300" s="3">
        <f>+VLOOKUP($A300,MAGAZZINO!$B$2:$M$100000,8,FALSE)</f>
        <v/>
      </c>
      <c r="I300" s="3">
        <f>+VLOOKUP($A300,MAGAZZINO!$B$2:$M$100000,9,FALSE)</f>
        <v/>
      </c>
      <c r="J300" s="3">
        <f>+VLOOKUP($A300,MAGAZZINO!$B$2:$M$100000,10,FALSE)</f>
        <v/>
      </c>
      <c r="K300" s="3">
        <f>+VLOOKUP($A300,MAGAZZINO!$B$2:$M$100000,11,FALSE)</f>
        <v/>
      </c>
      <c r="L300" s="5">
        <f>+VLOOKUP($A300,MAGAZZINO!$B$2:$M$100000,12,FALSE)</f>
        <v/>
      </c>
      <c r="M300" s="47" t="n"/>
      <c r="N300" s="54" t="n"/>
      <c r="O300" s="3" t="n"/>
      <c r="P300" s="149" t="n"/>
      <c r="Q300" s="150" t="n"/>
      <c r="R300" s="150" t="n"/>
      <c r="S300" s="151" t="n"/>
    </row>
    <row r="301" ht="36" customHeight="1">
      <c r="A301" s="46" t="n">
        <v>2631</v>
      </c>
      <c r="B301" s="4">
        <f>+VLOOKUP($A301,MAGAZZINO!$B$2:$M$100000,2,FALSE)</f>
        <v/>
      </c>
      <c r="C301" s="29">
        <f>+VLOOKUP($A301,MAGAZZINO!$B$2:$M$100000,3,FALSE)</f>
        <v/>
      </c>
      <c r="D301" s="3">
        <f>+VLOOKUP($A301,MAGAZZINO!$B$2:$M$100000,4,FALSE)</f>
        <v/>
      </c>
      <c r="E301" s="3">
        <f>+VLOOKUP($A301,MAGAZZINO!$B$2:$M$100000,5,FALSE)</f>
        <v/>
      </c>
      <c r="F301" s="3">
        <f>+VLOOKUP($A301,MAGAZZINO!$B$2:$M$100000,6,FALSE)</f>
        <v/>
      </c>
      <c r="G301" s="3">
        <f>+VLOOKUP($A301,MAGAZZINO!$B$2:$M$100000,7,FALSE)</f>
        <v/>
      </c>
      <c r="H301" s="3">
        <f>+VLOOKUP($A301,MAGAZZINO!$B$2:$M$100000,8,FALSE)</f>
        <v/>
      </c>
      <c r="I301" s="3">
        <f>+VLOOKUP($A301,MAGAZZINO!$B$2:$M$100000,9,FALSE)</f>
        <v/>
      </c>
      <c r="J301" s="3">
        <f>+VLOOKUP($A301,MAGAZZINO!$B$2:$M$100000,10,FALSE)</f>
        <v/>
      </c>
      <c r="K301" s="3">
        <f>+VLOOKUP($A301,MAGAZZINO!$B$2:$M$100000,11,FALSE)</f>
        <v/>
      </c>
      <c r="L301" s="5">
        <f>+VLOOKUP($A301,MAGAZZINO!$B$2:$M$100000,12,FALSE)</f>
        <v/>
      </c>
      <c r="M301" s="47" t="n"/>
      <c r="N301" s="54" t="n"/>
      <c r="O301" s="3" t="n"/>
      <c r="P301" s="149" t="n"/>
      <c r="Q301" s="150" t="n"/>
      <c r="R301" s="150" t="n"/>
      <c r="S301" s="151" t="n"/>
    </row>
    <row r="302" ht="36" customHeight="1">
      <c r="A302" s="46" t="n">
        <v>2632</v>
      </c>
      <c r="B302" s="4">
        <f>+VLOOKUP($A302,MAGAZZINO!$B$2:$M$100000,2,FALSE)</f>
        <v/>
      </c>
      <c r="C302" s="29">
        <f>+VLOOKUP($A302,MAGAZZINO!$B$2:$M$100000,3,FALSE)</f>
        <v/>
      </c>
      <c r="D302" s="3">
        <f>+VLOOKUP($A302,MAGAZZINO!$B$2:$M$100000,4,FALSE)</f>
        <v/>
      </c>
      <c r="E302" s="3">
        <f>+VLOOKUP($A302,MAGAZZINO!$B$2:$M$100000,5,FALSE)</f>
        <v/>
      </c>
      <c r="F302" s="3">
        <f>+VLOOKUP($A302,MAGAZZINO!$B$2:$M$100000,6,FALSE)</f>
        <v/>
      </c>
      <c r="G302" s="3">
        <f>+VLOOKUP($A302,MAGAZZINO!$B$2:$M$100000,7,FALSE)</f>
        <v/>
      </c>
      <c r="H302" s="3">
        <f>+VLOOKUP($A302,MAGAZZINO!$B$2:$M$100000,8,FALSE)</f>
        <v/>
      </c>
      <c r="I302" s="3">
        <f>+VLOOKUP($A302,MAGAZZINO!$B$2:$M$100000,9,FALSE)</f>
        <v/>
      </c>
      <c r="J302" s="3">
        <f>+VLOOKUP($A302,MAGAZZINO!$B$2:$M$100000,10,FALSE)</f>
        <v/>
      </c>
      <c r="K302" s="3">
        <f>+VLOOKUP($A302,MAGAZZINO!$B$2:$M$100000,11,FALSE)</f>
        <v/>
      </c>
      <c r="L302" s="5">
        <f>+VLOOKUP($A302,MAGAZZINO!$B$2:$M$100000,12,FALSE)</f>
        <v/>
      </c>
      <c r="M302" s="47" t="n"/>
      <c r="N302" s="54" t="n"/>
      <c r="O302" s="3" t="n"/>
      <c r="P302" s="149" t="n"/>
      <c r="Q302" s="150" t="n"/>
      <c r="R302" s="150" t="n"/>
      <c r="S302" s="151" t="n"/>
    </row>
    <row r="303" ht="36" customHeight="1">
      <c r="A303" s="46" t="n">
        <v>2633</v>
      </c>
      <c r="B303" s="4">
        <f>+VLOOKUP($A303,MAGAZZINO!$B$2:$M$100000,2,FALSE)</f>
        <v/>
      </c>
      <c r="C303" s="29">
        <f>+VLOOKUP($A303,MAGAZZINO!$B$2:$M$100000,3,FALSE)</f>
        <v/>
      </c>
      <c r="D303" s="3">
        <f>+VLOOKUP($A303,MAGAZZINO!$B$2:$M$100000,4,FALSE)</f>
        <v/>
      </c>
      <c r="E303" s="3">
        <f>+VLOOKUP($A303,MAGAZZINO!$B$2:$M$100000,5,FALSE)</f>
        <v/>
      </c>
      <c r="F303" s="3">
        <f>+VLOOKUP($A303,MAGAZZINO!$B$2:$M$100000,6,FALSE)</f>
        <v/>
      </c>
      <c r="G303" s="3">
        <f>+VLOOKUP($A303,MAGAZZINO!$B$2:$M$100000,7,FALSE)</f>
        <v/>
      </c>
      <c r="H303" s="3">
        <f>+VLOOKUP($A303,MAGAZZINO!$B$2:$M$100000,8,FALSE)</f>
        <v/>
      </c>
      <c r="I303" s="3">
        <f>+VLOOKUP($A303,MAGAZZINO!$B$2:$M$100000,9,FALSE)</f>
        <v/>
      </c>
      <c r="J303" s="3">
        <f>+VLOOKUP($A303,MAGAZZINO!$B$2:$M$100000,10,FALSE)</f>
        <v/>
      </c>
      <c r="K303" s="3">
        <f>+VLOOKUP($A303,MAGAZZINO!$B$2:$M$100000,11,FALSE)</f>
        <v/>
      </c>
      <c r="L303" s="5">
        <f>+VLOOKUP($A303,MAGAZZINO!$B$2:$M$100000,12,FALSE)</f>
        <v/>
      </c>
      <c r="M303" s="47" t="n"/>
      <c r="N303" s="54" t="n"/>
      <c r="O303" s="3" t="n"/>
      <c r="P303" s="149" t="n"/>
      <c r="Q303" s="150" t="n"/>
      <c r="R303" s="150" t="n"/>
      <c r="S303" s="151" t="n"/>
    </row>
    <row r="304" ht="36" customHeight="1">
      <c r="A304" s="46" t="n">
        <v>2634</v>
      </c>
      <c r="B304" s="4">
        <f>+VLOOKUP($A304,MAGAZZINO!$B$2:$M$100000,2,FALSE)</f>
        <v/>
      </c>
      <c r="C304" s="29">
        <f>+VLOOKUP($A304,MAGAZZINO!$B$2:$M$100000,3,FALSE)</f>
        <v/>
      </c>
      <c r="D304" s="3">
        <f>+VLOOKUP($A304,MAGAZZINO!$B$2:$M$100000,4,FALSE)</f>
        <v/>
      </c>
      <c r="E304" s="3">
        <f>+VLOOKUP($A304,MAGAZZINO!$B$2:$M$100000,5,FALSE)</f>
        <v/>
      </c>
      <c r="F304" s="3">
        <f>+VLOOKUP($A304,MAGAZZINO!$B$2:$M$100000,6,FALSE)</f>
        <v/>
      </c>
      <c r="G304" s="3">
        <f>+VLOOKUP($A304,MAGAZZINO!$B$2:$M$100000,7,FALSE)</f>
        <v/>
      </c>
      <c r="H304" s="3">
        <f>+VLOOKUP($A304,MAGAZZINO!$B$2:$M$100000,8,FALSE)</f>
        <v/>
      </c>
      <c r="I304" s="3">
        <f>+VLOOKUP($A304,MAGAZZINO!$B$2:$M$100000,9,FALSE)</f>
        <v/>
      </c>
      <c r="J304" s="3">
        <f>+VLOOKUP($A304,MAGAZZINO!$B$2:$M$100000,10,FALSE)</f>
        <v/>
      </c>
      <c r="K304" s="3">
        <f>+VLOOKUP($A304,MAGAZZINO!$B$2:$M$100000,11,FALSE)</f>
        <v/>
      </c>
      <c r="L304" s="5">
        <f>+VLOOKUP($A304,MAGAZZINO!$B$2:$M$100000,12,FALSE)</f>
        <v/>
      </c>
      <c r="M304" s="47" t="n"/>
      <c r="N304" s="54" t="n"/>
      <c r="O304" s="3" t="n"/>
      <c r="P304" s="149" t="n"/>
      <c r="Q304" s="150" t="n"/>
      <c r="R304" s="150" t="n"/>
      <c r="S304" s="151" t="n"/>
    </row>
    <row r="305" ht="36" customHeight="1">
      <c r="A305" s="46" t="n">
        <v>2635</v>
      </c>
      <c r="B305" s="4">
        <f>+VLOOKUP($A305,MAGAZZINO!$B$2:$M$100000,2,FALSE)</f>
        <v/>
      </c>
      <c r="C305" s="29">
        <f>+VLOOKUP($A305,MAGAZZINO!$B$2:$M$100000,3,FALSE)</f>
        <v/>
      </c>
      <c r="D305" s="3">
        <f>+VLOOKUP($A305,MAGAZZINO!$B$2:$M$100000,4,FALSE)</f>
        <v/>
      </c>
      <c r="E305" s="3">
        <f>+VLOOKUP($A305,MAGAZZINO!$B$2:$M$100000,5,FALSE)</f>
        <v/>
      </c>
      <c r="F305" s="3">
        <f>+VLOOKUP($A305,MAGAZZINO!$B$2:$M$100000,6,FALSE)</f>
        <v/>
      </c>
      <c r="G305" s="3">
        <f>+VLOOKUP($A305,MAGAZZINO!$B$2:$M$100000,7,FALSE)</f>
        <v/>
      </c>
      <c r="H305" s="3">
        <f>+VLOOKUP($A305,MAGAZZINO!$B$2:$M$100000,8,FALSE)</f>
        <v/>
      </c>
      <c r="I305" s="3">
        <f>+VLOOKUP($A305,MAGAZZINO!$B$2:$M$100000,9,FALSE)</f>
        <v/>
      </c>
      <c r="J305" s="3">
        <f>+VLOOKUP($A305,MAGAZZINO!$B$2:$M$100000,10,FALSE)</f>
        <v/>
      </c>
      <c r="K305" s="3">
        <f>+VLOOKUP($A305,MAGAZZINO!$B$2:$M$100000,11,FALSE)</f>
        <v/>
      </c>
      <c r="L305" s="5">
        <f>+VLOOKUP($A305,MAGAZZINO!$B$2:$M$100000,12,FALSE)</f>
        <v/>
      </c>
      <c r="M305" s="47" t="n"/>
      <c r="N305" s="54" t="n"/>
      <c r="O305" s="3" t="n"/>
      <c r="P305" s="149" t="n"/>
      <c r="Q305" s="150" t="n"/>
      <c r="R305" s="150" t="n"/>
      <c r="S305" s="151" t="n"/>
    </row>
    <row r="306" ht="36" customHeight="1">
      <c r="A306" s="46" t="n">
        <v>2636</v>
      </c>
      <c r="B306" s="4">
        <f>+VLOOKUP($A306,MAGAZZINO!$B$2:$M$100000,2,FALSE)</f>
        <v/>
      </c>
      <c r="C306" s="29">
        <f>+VLOOKUP($A306,MAGAZZINO!$B$2:$M$100000,3,FALSE)</f>
        <v/>
      </c>
      <c r="D306" s="3">
        <f>+VLOOKUP($A306,MAGAZZINO!$B$2:$M$100000,4,FALSE)</f>
        <v/>
      </c>
      <c r="E306" s="3">
        <f>+VLOOKUP($A306,MAGAZZINO!$B$2:$M$100000,5,FALSE)</f>
        <v/>
      </c>
      <c r="F306" s="3">
        <f>+VLOOKUP($A306,MAGAZZINO!$B$2:$M$100000,6,FALSE)</f>
        <v/>
      </c>
      <c r="G306" s="3">
        <f>+VLOOKUP($A306,MAGAZZINO!$B$2:$M$100000,7,FALSE)</f>
        <v/>
      </c>
      <c r="H306" s="98">
        <f>+VLOOKUP($A306,MAGAZZINO!$B$2:$M$100000,8,FALSE)</f>
        <v/>
      </c>
      <c r="I306" s="3">
        <f>+VLOOKUP($A306,MAGAZZINO!$B$2:$M$100000,9,FALSE)</f>
        <v/>
      </c>
      <c r="J306" s="3">
        <f>+VLOOKUP($A306,MAGAZZINO!$B$2:$M$100000,10,FALSE)</f>
        <v/>
      </c>
      <c r="K306" s="3">
        <f>+VLOOKUP($A306,MAGAZZINO!$B$2:$M$100000,11,FALSE)</f>
        <v/>
      </c>
      <c r="L306" s="5">
        <f>+VLOOKUP($A306,MAGAZZINO!$B$2:$M$100000,12,FALSE)</f>
        <v/>
      </c>
      <c r="M306" s="47" t="n"/>
      <c r="N306" s="54" t="n"/>
      <c r="O306" s="3" t="n"/>
      <c r="P306" s="149" t="n"/>
      <c r="Q306" s="150" t="n"/>
      <c r="R306" s="150" t="n"/>
      <c r="S306" s="151" t="n"/>
    </row>
    <row r="307" ht="36" customHeight="1">
      <c r="A307" s="46" t="n">
        <v>2637</v>
      </c>
      <c r="B307" s="4">
        <f>+VLOOKUP($A307,MAGAZZINO!$B$2:$M$100000,2,FALSE)</f>
        <v/>
      </c>
      <c r="C307" s="29">
        <f>+VLOOKUP($A307,MAGAZZINO!$B$2:$M$100000,3,FALSE)</f>
        <v/>
      </c>
      <c r="D307" s="3">
        <f>+VLOOKUP($A307,MAGAZZINO!$B$2:$M$100000,4,FALSE)</f>
        <v/>
      </c>
      <c r="E307" s="3">
        <f>+VLOOKUP($A307,MAGAZZINO!$B$2:$M$100000,5,FALSE)</f>
        <v/>
      </c>
      <c r="F307" s="3">
        <f>+VLOOKUP($A307,MAGAZZINO!$B$2:$M$100000,6,FALSE)</f>
        <v/>
      </c>
      <c r="G307" s="3">
        <f>+VLOOKUP($A307,MAGAZZINO!$B$2:$M$100000,7,FALSE)</f>
        <v/>
      </c>
      <c r="H307" s="98">
        <f>+VLOOKUP($A307,MAGAZZINO!$B$2:$M$100000,8,FALSE)</f>
        <v/>
      </c>
      <c r="I307" s="3">
        <f>+VLOOKUP($A307,MAGAZZINO!$B$2:$M$100000,9,FALSE)</f>
        <v/>
      </c>
      <c r="J307" s="3">
        <f>+VLOOKUP($A307,MAGAZZINO!$B$2:$M$100000,10,FALSE)</f>
        <v/>
      </c>
      <c r="K307" s="3">
        <f>+VLOOKUP($A307,MAGAZZINO!$B$2:$M$100000,11,FALSE)</f>
        <v/>
      </c>
      <c r="L307" s="5">
        <f>+VLOOKUP($A307,MAGAZZINO!$B$2:$M$100000,12,FALSE)</f>
        <v/>
      </c>
      <c r="M307" s="47" t="n"/>
      <c r="N307" s="54" t="n"/>
      <c r="O307" s="3" t="n"/>
      <c r="P307" s="149" t="n"/>
      <c r="Q307" s="150" t="n"/>
      <c r="R307" s="150" t="n"/>
      <c r="S307" s="151" t="n"/>
    </row>
    <row r="308" ht="36" customHeight="1">
      <c r="A308" s="46" t="n">
        <v>2638</v>
      </c>
      <c r="B308" s="4">
        <f>+VLOOKUP($A308,MAGAZZINO!$B$2:$M$100000,2,FALSE)</f>
        <v/>
      </c>
      <c r="C308" s="29">
        <f>+VLOOKUP($A308,MAGAZZINO!$B$2:$M$100000,3,FALSE)</f>
        <v/>
      </c>
      <c r="D308" s="3">
        <f>+VLOOKUP($A308,MAGAZZINO!$B$2:$M$100000,4,FALSE)</f>
        <v/>
      </c>
      <c r="E308" s="3">
        <f>+VLOOKUP($A308,MAGAZZINO!$B$2:$M$100000,5,FALSE)</f>
        <v/>
      </c>
      <c r="F308" s="3">
        <f>+VLOOKUP($A308,MAGAZZINO!$B$2:$M$100000,6,FALSE)</f>
        <v/>
      </c>
      <c r="G308" s="3">
        <f>+VLOOKUP($A308,MAGAZZINO!$B$2:$M$100000,7,FALSE)</f>
        <v/>
      </c>
      <c r="H308" s="3">
        <f>+VLOOKUP($A308,MAGAZZINO!$B$2:$M$100000,8,FALSE)</f>
        <v/>
      </c>
      <c r="I308" s="3">
        <f>+VLOOKUP($A308,MAGAZZINO!$B$2:$M$100000,9,FALSE)</f>
        <v/>
      </c>
      <c r="J308" s="3">
        <f>+VLOOKUP($A308,MAGAZZINO!$B$2:$M$100000,10,FALSE)</f>
        <v/>
      </c>
      <c r="K308" s="3">
        <f>+VLOOKUP($A308,MAGAZZINO!$B$2:$M$100000,11,FALSE)</f>
        <v/>
      </c>
      <c r="L308" s="5">
        <f>+VLOOKUP($A308,MAGAZZINO!$B$2:$M$100000,12,FALSE)</f>
        <v/>
      </c>
      <c r="M308" s="47" t="n"/>
      <c r="N308" s="54" t="n"/>
      <c r="O308" s="3" t="n"/>
      <c r="P308" s="149" t="n"/>
      <c r="Q308" s="150" t="n"/>
      <c r="R308" s="150" t="n"/>
      <c r="S308" s="151" t="n"/>
    </row>
    <row r="309" ht="36" customHeight="1">
      <c r="A309" s="46" t="n">
        <v>2639</v>
      </c>
      <c r="B309" s="4">
        <f>+VLOOKUP($A309,MAGAZZINO!$B$2:$M$100000,2,FALSE)</f>
        <v/>
      </c>
      <c r="C309" s="29">
        <f>+VLOOKUP($A309,MAGAZZINO!$B$2:$M$100000,3,FALSE)</f>
        <v/>
      </c>
      <c r="D309" s="3">
        <f>+VLOOKUP($A309,MAGAZZINO!$B$2:$M$100000,4,FALSE)</f>
        <v/>
      </c>
      <c r="E309" s="3">
        <f>+VLOOKUP($A309,MAGAZZINO!$B$2:$M$100000,5,FALSE)</f>
        <v/>
      </c>
      <c r="F309" s="3">
        <f>+VLOOKUP($A309,MAGAZZINO!$B$2:$M$100000,6,FALSE)</f>
        <v/>
      </c>
      <c r="G309" s="3">
        <f>+VLOOKUP($A309,MAGAZZINO!$B$2:$M$100000,7,FALSE)</f>
        <v/>
      </c>
      <c r="H309" s="3">
        <f>+VLOOKUP($A309,MAGAZZINO!$B$2:$M$100000,8,FALSE)</f>
        <v/>
      </c>
      <c r="I309" s="3">
        <f>+VLOOKUP($A309,MAGAZZINO!$B$2:$M$100000,9,FALSE)</f>
        <v/>
      </c>
      <c r="J309" s="3">
        <f>+VLOOKUP($A309,MAGAZZINO!$B$2:$M$100000,10,FALSE)</f>
        <v/>
      </c>
      <c r="K309" s="3">
        <f>+VLOOKUP($A309,MAGAZZINO!$B$2:$M$100000,11,FALSE)</f>
        <v/>
      </c>
      <c r="L309" s="5">
        <f>+VLOOKUP($A309,MAGAZZINO!$B$2:$M$100000,12,FALSE)</f>
        <v/>
      </c>
      <c r="M309" s="47" t="n"/>
      <c r="N309" s="54" t="n"/>
      <c r="O309" s="3" t="n"/>
      <c r="P309" s="149" t="n"/>
      <c r="Q309" s="150" t="n"/>
      <c r="R309" s="150" t="n"/>
      <c r="S309" s="151" t="n"/>
    </row>
    <row r="310" ht="36" customHeight="1">
      <c r="A310" s="46" t="n">
        <v>2640</v>
      </c>
      <c r="B310" s="4">
        <f>+VLOOKUP($A310,MAGAZZINO!$B$2:$M$100000,2,FALSE)</f>
        <v/>
      </c>
      <c r="C310" s="29">
        <f>+VLOOKUP($A310,MAGAZZINO!$B$2:$M$100000,3,FALSE)</f>
        <v/>
      </c>
      <c r="D310" s="3">
        <f>+VLOOKUP($A310,MAGAZZINO!$B$2:$M$100000,4,FALSE)</f>
        <v/>
      </c>
      <c r="E310" s="3">
        <f>+VLOOKUP($A310,MAGAZZINO!$B$2:$M$100000,5,FALSE)</f>
        <v/>
      </c>
      <c r="F310" s="3">
        <f>+VLOOKUP($A310,MAGAZZINO!$B$2:$M$100000,6,FALSE)</f>
        <v/>
      </c>
      <c r="G310" s="3">
        <f>+VLOOKUP($A310,MAGAZZINO!$B$2:$M$100000,7,FALSE)</f>
        <v/>
      </c>
      <c r="H310" s="3">
        <f>+VLOOKUP($A310,MAGAZZINO!$B$2:$M$100000,8,FALSE)</f>
        <v/>
      </c>
      <c r="I310" s="3">
        <f>+VLOOKUP($A310,MAGAZZINO!$B$2:$M$100000,9,FALSE)</f>
        <v/>
      </c>
      <c r="J310" s="3">
        <f>+VLOOKUP($A310,MAGAZZINO!$B$2:$M$100000,10,FALSE)</f>
        <v/>
      </c>
      <c r="K310" s="3">
        <f>+VLOOKUP($A310,MAGAZZINO!$B$2:$M$100000,11,FALSE)</f>
        <v/>
      </c>
      <c r="L310" s="5">
        <f>+VLOOKUP($A310,MAGAZZINO!$B$2:$M$100000,12,FALSE)</f>
        <v/>
      </c>
      <c r="M310" s="47" t="n"/>
      <c r="N310" s="54" t="n"/>
      <c r="O310" s="3" t="n"/>
      <c r="P310" s="149" t="n"/>
      <c r="Q310" s="150" t="n"/>
      <c r="R310" s="150" t="n"/>
      <c r="S310" s="151" t="n"/>
    </row>
    <row r="311" ht="36" customHeight="1">
      <c r="A311" s="46" t="n">
        <v>2641</v>
      </c>
      <c r="B311" s="4">
        <f>+VLOOKUP($A311,MAGAZZINO!$B$2:$M$100000,2,FALSE)</f>
        <v/>
      </c>
      <c r="C311" s="29">
        <f>+VLOOKUP($A311,MAGAZZINO!$B$2:$M$100000,3,FALSE)</f>
        <v/>
      </c>
      <c r="D311" s="3">
        <f>+VLOOKUP($A311,MAGAZZINO!$B$2:$M$100000,4,FALSE)</f>
        <v/>
      </c>
      <c r="E311" s="3">
        <f>+VLOOKUP($A311,MAGAZZINO!$B$2:$M$100000,5,FALSE)</f>
        <v/>
      </c>
      <c r="F311" s="3">
        <f>+VLOOKUP($A311,MAGAZZINO!$B$2:$M$100000,6,FALSE)</f>
        <v/>
      </c>
      <c r="G311" s="3">
        <f>+VLOOKUP($A311,MAGAZZINO!$B$2:$M$100000,7,FALSE)</f>
        <v/>
      </c>
      <c r="H311" s="3">
        <f>+VLOOKUP($A311,MAGAZZINO!$B$2:$M$100000,8,FALSE)</f>
        <v/>
      </c>
      <c r="I311" s="3">
        <f>+VLOOKUP($A311,MAGAZZINO!$B$2:$M$100000,9,FALSE)</f>
        <v/>
      </c>
      <c r="J311" s="3">
        <f>+VLOOKUP($A311,MAGAZZINO!$B$2:$M$100000,10,FALSE)</f>
        <v/>
      </c>
      <c r="K311" s="3">
        <f>+VLOOKUP($A311,MAGAZZINO!$B$2:$M$100000,11,FALSE)</f>
        <v/>
      </c>
      <c r="L311" s="5">
        <f>+VLOOKUP($A311,MAGAZZINO!$B$2:$M$100000,12,FALSE)</f>
        <v/>
      </c>
      <c r="M311" s="47" t="n"/>
      <c r="N311" s="54" t="n"/>
      <c r="O311" s="3" t="n"/>
      <c r="P311" s="149" t="n"/>
      <c r="Q311" s="150" t="n"/>
      <c r="R311" s="150" t="n"/>
      <c r="S311" s="151" t="n"/>
    </row>
    <row r="312" ht="36" customHeight="1">
      <c r="A312" s="46" t="n">
        <v>2642</v>
      </c>
      <c r="B312" s="4">
        <f>+VLOOKUP($A312,MAGAZZINO!$B$2:$M$100000,2,FALSE)</f>
        <v/>
      </c>
      <c r="C312" s="29">
        <f>+VLOOKUP($A312,MAGAZZINO!$B$2:$M$100000,3,FALSE)</f>
        <v/>
      </c>
      <c r="D312" s="3">
        <f>+VLOOKUP($A312,MAGAZZINO!$B$2:$M$100000,4,FALSE)</f>
        <v/>
      </c>
      <c r="E312" s="3">
        <f>+VLOOKUP($A312,MAGAZZINO!$B$2:$M$100000,5,FALSE)</f>
        <v/>
      </c>
      <c r="F312" s="3">
        <f>+VLOOKUP($A312,MAGAZZINO!$B$2:$M$100000,6,FALSE)</f>
        <v/>
      </c>
      <c r="G312" s="3">
        <f>+VLOOKUP($A312,MAGAZZINO!$B$2:$M$100000,7,FALSE)</f>
        <v/>
      </c>
      <c r="H312" s="3">
        <f>+VLOOKUP($A312,MAGAZZINO!$B$2:$M$100000,8,FALSE)</f>
        <v/>
      </c>
      <c r="I312" s="3">
        <f>+VLOOKUP($A312,MAGAZZINO!$B$2:$M$100000,9,FALSE)</f>
        <v/>
      </c>
      <c r="J312" s="3">
        <f>+VLOOKUP($A312,MAGAZZINO!$B$2:$M$100000,10,FALSE)</f>
        <v/>
      </c>
      <c r="K312" s="3">
        <f>+VLOOKUP($A312,MAGAZZINO!$B$2:$M$100000,11,FALSE)</f>
        <v/>
      </c>
      <c r="L312" s="5">
        <f>+VLOOKUP($A312,MAGAZZINO!$B$2:$M$100000,12,FALSE)</f>
        <v/>
      </c>
      <c r="M312" s="47" t="n"/>
      <c r="N312" s="54" t="n"/>
      <c r="O312" s="3" t="n"/>
      <c r="P312" s="149" t="n"/>
      <c r="Q312" s="150" t="n"/>
      <c r="R312" s="150" t="n"/>
      <c r="S312" s="151" t="n"/>
    </row>
    <row r="313" ht="36" customHeight="1">
      <c r="A313" s="46" t="n">
        <v>2643</v>
      </c>
      <c r="B313" s="4">
        <f>+VLOOKUP($A313,MAGAZZINO!$B$2:$M$100000,2,FALSE)</f>
        <v/>
      </c>
      <c r="C313" s="29">
        <f>+VLOOKUP($A313,MAGAZZINO!$B$2:$M$100000,3,FALSE)</f>
        <v/>
      </c>
      <c r="D313" s="3">
        <f>+VLOOKUP($A313,MAGAZZINO!$B$2:$M$100000,4,FALSE)</f>
        <v/>
      </c>
      <c r="E313" s="3">
        <f>+VLOOKUP($A313,MAGAZZINO!$B$2:$M$100000,5,FALSE)</f>
        <v/>
      </c>
      <c r="F313" s="3">
        <f>+VLOOKUP($A313,MAGAZZINO!$B$2:$M$100000,6,FALSE)</f>
        <v/>
      </c>
      <c r="G313" s="3">
        <f>+VLOOKUP($A313,MAGAZZINO!$B$2:$M$100000,7,FALSE)</f>
        <v/>
      </c>
      <c r="H313" s="3">
        <f>+VLOOKUP($A313,MAGAZZINO!$B$2:$M$100000,8,FALSE)</f>
        <v/>
      </c>
      <c r="I313" s="3">
        <f>+VLOOKUP($A313,MAGAZZINO!$B$2:$M$100000,9,FALSE)</f>
        <v/>
      </c>
      <c r="J313" s="3">
        <f>+VLOOKUP($A313,MAGAZZINO!$B$2:$M$100000,10,FALSE)</f>
        <v/>
      </c>
      <c r="K313" s="3">
        <f>+VLOOKUP($A313,MAGAZZINO!$B$2:$M$100000,11,FALSE)</f>
        <v/>
      </c>
      <c r="L313" s="5">
        <f>+VLOOKUP($A313,MAGAZZINO!$B$2:$M$100000,12,FALSE)</f>
        <v/>
      </c>
      <c r="M313" s="47" t="n"/>
      <c r="N313" s="54" t="n"/>
      <c r="O313" s="3" t="n"/>
      <c r="P313" s="149" t="n"/>
      <c r="Q313" s="150" t="n"/>
      <c r="R313" s="150" t="n"/>
      <c r="S313" s="151" t="n"/>
    </row>
    <row r="314" ht="36" customHeight="1">
      <c r="A314" s="46" t="n">
        <v>2644</v>
      </c>
      <c r="B314" s="4">
        <f>+VLOOKUP($A314,MAGAZZINO!$B$2:$M$100000,2,FALSE)</f>
        <v/>
      </c>
      <c r="C314" s="29">
        <f>+VLOOKUP($A314,MAGAZZINO!$B$2:$M$100000,3,FALSE)</f>
        <v/>
      </c>
      <c r="D314" s="3">
        <f>+VLOOKUP($A314,MAGAZZINO!$B$2:$M$100000,4,FALSE)</f>
        <v/>
      </c>
      <c r="E314" s="3">
        <f>+VLOOKUP($A314,MAGAZZINO!$B$2:$M$100000,5,FALSE)</f>
        <v/>
      </c>
      <c r="F314" s="3">
        <f>+VLOOKUP($A314,MAGAZZINO!$B$2:$M$100000,6,FALSE)</f>
        <v/>
      </c>
      <c r="G314" s="3">
        <f>+VLOOKUP($A314,MAGAZZINO!$B$2:$M$100000,7,FALSE)</f>
        <v/>
      </c>
      <c r="H314" s="3">
        <f>+VLOOKUP($A314,MAGAZZINO!$B$2:$M$100000,8,FALSE)</f>
        <v/>
      </c>
      <c r="I314" s="3">
        <f>+VLOOKUP($A314,MAGAZZINO!$B$2:$M$100000,9,FALSE)</f>
        <v/>
      </c>
      <c r="J314" s="3">
        <f>+VLOOKUP($A314,MAGAZZINO!$B$2:$M$100000,10,FALSE)</f>
        <v/>
      </c>
      <c r="K314" s="3">
        <f>+VLOOKUP($A314,MAGAZZINO!$B$2:$M$100000,11,FALSE)</f>
        <v/>
      </c>
      <c r="L314" s="5">
        <f>+VLOOKUP($A314,MAGAZZINO!$B$2:$M$100000,12,FALSE)</f>
        <v/>
      </c>
      <c r="M314" s="47" t="n"/>
      <c r="N314" s="54" t="n"/>
      <c r="O314" s="3" t="n"/>
      <c r="P314" s="149" t="n"/>
      <c r="Q314" s="150" t="n"/>
      <c r="R314" s="150" t="n"/>
      <c r="S314" s="151" t="n"/>
    </row>
    <row r="315" ht="36" customHeight="1">
      <c r="A315" s="46" t="n">
        <v>2645</v>
      </c>
      <c r="B315" s="4">
        <f>+VLOOKUP($A315,MAGAZZINO!$B$2:$M$100000,2,FALSE)</f>
        <v/>
      </c>
      <c r="C315" s="29">
        <f>+VLOOKUP($A315,MAGAZZINO!$B$2:$M$100000,3,FALSE)</f>
        <v/>
      </c>
      <c r="D315" s="3">
        <f>+VLOOKUP($A315,MAGAZZINO!$B$2:$M$100000,4,FALSE)</f>
        <v/>
      </c>
      <c r="E315" s="3">
        <f>+VLOOKUP($A315,MAGAZZINO!$B$2:$M$100000,5,FALSE)</f>
        <v/>
      </c>
      <c r="F315" s="3">
        <f>+VLOOKUP($A315,MAGAZZINO!$B$2:$M$100000,6,FALSE)</f>
        <v/>
      </c>
      <c r="G315" s="3">
        <f>+VLOOKUP($A315,MAGAZZINO!$B$2:$M$100000,7,FALSE)</f>
        <v/>
      </c>
      <c r="H315" s="3">
        <f>+VLOOKUP($A315,MAGAZZINO!$B$2:$M$100000,8,FALSE)</f>
        <v/>
      </c>
      <c r="I315" s="3">
        <f>+VLOOKUP($A315,MAGAZZINO!$B$2:$M$100000,9,FALSE)</f>
        <v/>
      </c>
      <c r="J315" s="3">
        <f>+VLOOKUP($A315,MAGAZZINO!$B$2:$M$100000,10,FALSE)</f>
        <v/>
      </c>
      <c r="K315" s="3">
        <f>+VLOOKUP($A315,MAGAZZINO!$B$2:$M$100000,11,FALSE)</f>
        <v/>
      </c>
      <c r="L315" s="5">
        <f>+VLOOKUP($A315,MAGAZZINO!$B$2:$M$100000,12,FALSE)</f>
        <v/>
      </c>
      <c r="M315" s="47" t="n"/>
      <c r="N315" s="54" t="n"/>
      <c r="O315" s="3" t="n"/>
      <c r="P315" s="149" t="n"/>
      <c r="Q315" s="150" t="n"/>
      <c r="R315" s="150" t="n"/>
      <c r="S315" s="151" t="n"/>
    </row>
    <row r="316" ht="36" customHeight="1">
      <c r="A316" s="46" t="n">
        <v>2646</v>
      </c>
      <c r="B316" s="4">
        <f>+VLOOKUP($A316,MAGAZZINO!$B$2:$M$100000,2,FALSE)</f>
        <v/>
      </c>
      <c r="C316" s="29">
        <f>+VLOOKUP($A316,MAGAZZINO!$B$2:$M$100000,3,FALSE)</f>
        <v/>
      </c>
      <c r="D316" s="3">
        <f>+VLOOKUP($A316,MAGAZZINO!$B$2:$M$100000,4,FALSE)</f>
        <v/>
      </c>
      <c r="E316" s="3">
        <f>+VLOOKUP($A316,MAGAZZINO!$B$2:$M$100000,5,FALSE)</f>
        <v/>
      </c>
      <c r="F316" s="3">
        <f>+VLOOKUP($A316,MAGAZZINO!$B$2:$M$100000,6,FALSE)</f>
        <v/>
      </c>
      <c r="G316" s="3">
        <f>+VLOOKUP($A316,MAGAZZINO!$B$2:$M$100000,7,FALSE)</f>
        <v/>
      </c>
      <c r="H316" s="3">
        <f>+VLOOKUP($A316,MAGAZZINO!$B$2:$M$100000,8,FALSE)</f>
        <v/>
      </c>
      <c r="I316" s="3">
        <f>+VLOOKUP($A316,MAGAZZINO!$B$2:$M$100000,9,FALSE)</f>
        <v/>
      </c>
      <c r="J316" s="3">
        <f>+VLOOKUP($A316,MAGAZZINO!$B$2:$M$100000,10,FALSE)</f>
        <v/>
      </c>
      <c r="K316" s="3">
        <f>+VLOOKUP($A316,MAGAZZINO!$B$2:$M$100000,11,FALSE)</f>
        <v/>
      </c>
      <c r="L316" s="5">
        <f>+VLOOKUP($A316,MAGAZZINO!$B$2:$M$100000,12,FALSE)</f>
        <v/>
      </c>
      <c r="M316" s="47" t="n"/>
      <c r="N316" s="54" t="n"/>
      <c r="O316" s="3" t="n"/>
      <c r="P316" s="149" t="n"/>
      <c r="Q316" s="150" t="n"/>
      <c r="R316" s="150" t="n"/>
      <c r="S316" s="151" t="n"/>
    </row>
    <row r="317" ht="36" customHeight="1">
      <c r="A317" s="46" t="n">
        <v>2647</v>
      </c>
      <c r="B317" s="4">
        <f>+VLOOKUP($A317,MAGAZZINO!$B$2:$M$100000,2,FALSE)</f>
        <v/>
      </c>
      <c r="C317" s="29">
        <f>+VLOOKUP($A317,MAGAZZINO!$B$2:$M$100000,3,FALSE)</f>
        <v/>
      </c>
      <c r="D317" s="3">
        <f>+VLOOKUP($A317,MAGAZZINO!$B$2:$M$100000,4,FALSE)</f>
        <v/>
      </c>
      <c r="E317" s="3">
        <f>+VLOOKUP($A317,MAGAZZINO!$B$2:$M$100000,5,FALSE)</f>
        <v/>
      </c>
      <c r="F317" s="3">
        <f>+VLOOKUP($A317,MAGAZZINO!$B$2:$M$100000,6,FALSE)</f>
        <v/>
      </c>
      <c r="G317" s="3">
        <f>+VLOOKUP($A317,MAGAZZINO!$B$2:$M$100000,7,FALSE)</f>
        <v/>
      </c>
      <c r="H317" s="3">
        <f>+VLOOKUP($A317,MAGAZZINO!$B$2:$M$100000,8,FALSE)</f>
        <v/>
      </c>
      <c r="I317" s="3">
        <f>+VLOOKUP($A317,MAGAZZINO!$B$2:$M$100000,9,FALSE)</f>
        <v/>
      </c>
      <c r="J317" s="3">
        <f>+VLOOKUP($A317,MAGAZZINO!$B$2:$M$100000,10,FALSE)</f>
        <v/>
      </c>
      <c r="K317" s="3">
        <f>+VLOOKUP($A317,MAGAZZINO!$B$2:$M$100000,11,FALSE)</f>
        <v/>
      </c>
      <c r="L317" s="5">
        <f>+VLOOKUP($A317,MAGAZZINO!$B$2:$M$100000,12,FALSE)</f>
        <v/>
      </c>
      <c r="M317" s="47" t="n"/>
      <c r="N317" s="54" t="n"/>
      <c r="O317" s="3" t="n"/>
      <c r="P317" s="149" t="n"/>
      <c r="Q317" s="150" t="n"/>
      <c r="R317" s="150" t="n"/>
      <c r="S317" s="151" t="n"/>
    </row>
    <row r="318" ht="36" customHeight="1">
      <c r="A318" s="46" t="n">
        <v>2648</v>
      </c>
      <c r="B318" s="4">
        <f>+VLOOKUP($A318,MAGAZZINO!$B$2:$M$100000,2,FALSE)</f>
        <v/>
      </c>
      <c r="C318" s="29">
        <f>+VLOOKUP($A318,MAGAZZINO!$B$2:$M$100000,3,FALSE)</f>
        <v/>
      </c>
      <c r="D318" s="3">
        <f>+VLOOKUP($A318,MAGAZZINO!$B$2:$M$100000,4,FALSE)</f>
        <v/>
      </c>
      <c r="E318" s="3">
        <f>+VLOOKUP($A318,MAGAZZINO!$B$2:$M$100000,5,FALSE)</f>
        <v/>
      </c>
      <c r="F318" s="3">
        <f>+VLOOKUP($A318,MAGAZZINO!$B$2:$M$100000,6,FALSE)</f>
        <v/>
      </c>
      <c r="G318" s="3">
        <f>+VLOOKUP($A318,MAGAZZINO!$B$2:$M$100000,7,FALSE)</f>
        <v/>
      </c>
      <c r="H318" s="3">
        <f>+VLOOKUP($A318,MAGAZZINO!$B$2:$M$100000,8,FALSE)</f>
        <v/>
      </c>
      <c r="I318" s="3">
        <f>+VLOOKUP($A318,MAGAZZINO!$B$2:$M$100000,9,FALSE)</f>
        <v/>
      </c>
      <c r="J318" s="3">
        <f>+VLOOKUP($A318,MAGAZZINO!$B$2:$M$100000,10,FALSE)</f>
        <v/>
      </c>
      <c r="K318" s="3">
        <f>+VLOOKUP($A318,MAGAZZINO!$B$2:$M$100000,11,FALSE)</f>
        <v/>
      </c>
      <c r="L318" s="5">
        <f>+VLOOKUP($A318,MAGAZZINO!$B$2:$M$100000,12,FALSE)</f>
        <v/>
      </c>
      <c r="M318" s="47" t="n"/>
      <c r="N318" s="54" t="n"/>
      <c r="O318" s="3" t="n"/>
      <c r="P318" s="149" t="n"/>
      <c r="Q318" s="150" t="n"/>
      <c r="R318" s="150" t="n"/>
      <c r="S318" s="151" t="n"/>
    </row>
    <row r="319" ht="36" customHeight="1">
      <c r="A319" s="46" t="n">
        <v>2649</v>
      </c>
      <c r="B319" s="4">
        <f>+VLOOKUP($A319,MAGAZZINO!$B$2:$M$100000,2,FALSE)</f>
        <v/>
      </c>
      <c r="C319" s="29">
        <f>+VLOOKUP($A319,MAGAZZINO!$B$2:$M$100000,3,FALSE)</f>
        <v/>
      </c>
      <c r="D319" s="3">
        <f>+VLOOKUP($A319,MAGAZZINO!$B$2:$M$100000,4,FALSE)</f>
        <v/>
      </c>
      <c r="E319" s="3">
        <f>+VLOOKUP($A319,MAGAZZINO!$B$2:$M$100000,5,FALSE)</f>
        <v/>
      </c>
      <c r="F319" s="3">
        <f>+VLOOKUP($A319,MAGAZZINO!$B$2:$M$100000,6,FALSE)</f>
        <v/>
      </c>
      <c r="G319" s="3">
        <f>+VLOOKUP($A319,MAGAZZINO!$B$2:$M$100000,7,FALSE)</f>
        <v/>
      </c>
      <c r="H319" s="3">
        <f>+VLOOKUP($A319,MAGAZZINO!$B$2:$M$100000,8,FALSE)</f>
        <v/>
      </c>
      <c r="I319" s="3">
        <f>+VLOOKUP($A319,MAGAZZINO!$B$2:$M$100000,9,FALSE)</f>
        <v/>
      </c>
      <c r="J319" s="3">
        <f>+VLOOKUP($A319,MAGAZZINO!$B$2:$M$100000,10,FALSE)</f>
        <v/>
      </c>
      <c r="K319" s="3">
        <f>+VLOOKUP($A319,MAGAZZINO!$B$2:$M$100000,11,FALSE)</f>
        <v/>
      </c>
      <c r="L319" s="5">
        <f>+VLOOKUP($A319,MAGAZZINO!$B$2:$M$100000,12,FALSE)</f>
        <v/>
      </c>
      <c r="M319" s="47" t="n"/>
      <c r="N319" s="54" t="n"/>
      <c r="O319" s="3" t="n"/>
      <c r="P319" s="149" t="n"/>
      <c r="Q319" s="150" t="n"/>
      <c r="R319" s="150" t="n"/>
      <c r="S319" s="151" t="n"/>
    </row>
    <row r="320" ht="36" customHeight="1">
      <c r="A320" s="46" t="n">
        <v>2650</v>
      </c>
      <c r="B320" s="4">
        <f>+VLOOKUP($A320,MAGAZZINO!$B$2:$M$100000,2,FALSE)</f>
        <v/>
      </c>
      <c r="C320" s="29">
        <f>+VLOOKUP($A320,MAGAZZINO!$B$2:$M$100000,3,FALSE)</f>
        <v/>
      </c>
      <c r="D320" s="3">
        <f>+VLOOKUP($A320,MAGAZZINO!$B$2:$M$100000,4,FALSE)</f>
        <v/>
      </c>
      <c r="E320" s="3">
        <f>+VLOOKUP($A320,MAGAZZINO!$B$2:$M$100000,5,FALSE)</f>
        <v/>
      </c>
      <c r="F320" s="3">
        <f>+VLOOKUP($A320,MAGAZZINO!$B$2:$M$100000,6,FALSE)</f>
        <v/>
      </c>
      <c r="G320" s="3">
        <f>+VLOOKUP($A320,MAGAZZINO!$B$2:$M$100000,7,FALSE)</f>
        <v/>
      </c>
      <c r="H320" s="3">
        <f>+VLOOKUP($A320,MAGAZZINO!$B$2:$M$100000,8,FALSE)</f>
        <v/>
      </c>
      <c r="I320" s="3">
        <f>+VLOOKUP($A320,MAGAZZINO!$B$2:$M$100000,9,FALSE)</f>
        <v/>
      </c>
      <c r="J320" s="3">
        <f>+VLOOKUP($A320,MAGAZZINO!$B$2:$M$100000,10,FALSE)</f>
        <v/>
      </c>
      <c r="K320" s="3">
        <f>+VLOOKUP($A320,MAGAZZINO!$B$2:$M$100000,11,FALSE)</f>
        <v/>
      </c>
      <c r="L320" s="5">
        <f>+VLOOKUP($A320,MAGAZZINO!$B$2:$M$100000,12,FALSE)</f>
        <v/>
      </c>
      <c r="M320" s="47" t="n"/>
      <c r="N320" s="54" t="n"/>
      <c r="O320" s="3" t="n"/>
      <c r="P320" s="149" t="n"/>
      <c r="Q320" s="150" t="n"/>
      <c r="R320" s="150" t="n"/>
      <c r="S320" s="151" t="n"/>
    </row>
    <row r="321" ht="36" customHeight="1">
      <c r="A321" s="46" t="n">
        <v>2651</v>
      </c>
      <c r="B321" s="4">
        <f>+VLOOKUP($A321,MAGAZZINO!$B$2:$M$100000,2,FALSE)</f>
        <v/>
      </c>
      <c r="C321" s="29">
        <f>+VLOOKUP($A321,MAGAZZINO!$B$2:$M$100000,3,FALSE)</f>
        <v/>
      </c>
      <c r="D321" s="3">
        <f>+VLOOKUP($A321,MAGAZZINO!$B$2:$M$100000,4,FALSE)</f>
        <v/>
      </c>
      <c r="E321" s="3">
        <f>+VLOOKUP($A321,MAGAZZINO!$B$2:$M$100000,5,FALSE)</f>
        <v/>
      </c>
      <c r="F321" s="3">
        <f>+VLOOKUP($A321,MAGAZZINO!$B$2:$M$100000,6,FALSE)</f>
        <v/>
      </c>
      <c r="G321" s="3">
        <f>+VLOOKUP($A321,MAGAZZINO!$B$2:$M$100000,7,FALSE)</f>
        <v/>
      </c>
      <c r="H321" s="3">
        <f>+VLOOKUP($A321,MAGAZZINO!$B$2:$M$100000,8,FALSE)</f>
        <v/>
      </c>
      <c r="I321" s="3">
        <f>+VLOOKUP($A321,MAGAZZINO!$B$2:$M$100000,9,FALSE)</f>
        <v/>
      </c>
      <c r="J321" s="3">
        <f>+VLOOKUP($A321,MAGAZZINO!$B$2:$M$100000,10,FALSE)</f>
        <v/>
      </c>
      <c r="K321" s="3">
        <f>+VLOOKUP($A321,MAGAZZINO!$B$2:$M$100000,11,FALSE)</f>
        <v/>
      </c>
      <c r="L321" s="5">
        <f>+VLOOKUP($A321,MAGAZZINO!$B$2:$M$100000,12,FALSE)</f>
        <v/>
      </c>
      <c r="M321" s="47" t="n"/>
      <c r="N321" s="54" t="n"/>
      <c r="O321" s="3" t="n"/>
      <c r="P321" s="149" t="n"/>
      <c r="Q321" s="150" t="n"/>
      <c r="R321" s="150" t="n"/>
      <c r="S321" s="151" t="n"/>
    </row>
    <row r="322" ht="36" customHeight="1">
      <c r="A322" s="46" t="n">
        <v>2652</v>
      </c>
      <c r="B322" s="4">
        <f>+VLOOKUP($A322,MAGAZZINO!$B$2:$M$100000,2,FALSE)</f>
        <v/>
      </c>
      <c r="C322" s="29">
        <f>+VLOOKUP($A322,MAGAZZINO!$B$2:$M$100000,3,FALSE)</f>
        <v/>
      </c>
      <c r="D322" s="3">
        <f>+VLOOKUP($A322,MAGAZZINO!$B$2:$M$100000,4,FALSE)</f>
        <v/>
      </c>
      <c r="E322" s="3">
        <f>+VLOOKUP($A322,MAGAZZINO!$B$2:$M$100000,5,FALSE)</f>
        <v/>
      </c>
      <c r="F322" s="3">
        <f>+VLOOKUP($A322,MAGAZZINO!$B$2:$M$100000,6,FALSE)</f>
        <v/>
      </c>
      <c r="G322" s="3">
        <f>+VLOOKUP($A322,MAGAZZINO!$B$2:$M$100000,7,FALSE)</f>
        <v/>
      </c>
      <c r="H322" s="3">
        <f>+VLOOKUP($A322,MAGAZZINO!$B$2:$M$100000,8,FALSE)</f>
        <v/>
      </c>
      <c r="I322" s="3">
        <f>+VLOOKUP($A322,MAGAZZINO!$B$2:$M$100000,9,FALSE)</f>
        <v/>
      </c>
      <c r="J322" s="3">
        <f>+VLOOKUP($A322,MAGAZZINO!$B$2:$M$100000,10,FALSE)</f>
        <v/>
      </c>
      <c r="K322" s="3">
        <f>+VLOOKUP($A322,MAGAZZINO!$B$2:$M$100000,11,FALSE)</f>
        <v/>
      </c>
      <c r="L322" s="5">
        <f>+VLOOKUP($A322,MAGAZZINO!$B$2:$M$100000,12,FALSE)</f>
        <v/>
      </c>
      <c r="M322" s="47" t="n"/>
      <c r="N322" s="54" t="n"/>
      <c r="O322" s="3" t="n"/>
      <c r="P322" s="149" t="n"/>
      <c r="Q322" s="150" t="n"/>
      <c r="R322" s="150" t="n"/>
      <c r="S322" s="151" t="n"/>
    </row>
    <row r="323" ht="36" customHeight="1">
      <c r="A323" s="46" t="n">
        <v>2653</v>
      </c>
      <c r="B323" s="4">
        <f>+VLOOKUP($A323,MAGAZZINO!$B$2:$M$100000,2,FALSE)</f>
        <v/>
      </c>
      <c r="C323" s="29">
        <f>+VLOOKUP($A323,MAGAZZINO!$B$2:$M$100000,3,FALSE)</f>
        <v/>
      </c>
      <c r="D323" s="3">
        <f>+VLOOKUP($A323,MAGAZZINO!$B$2:$M$100000,4,FALSE)</f>
        <v/>
      </c>
      <c r="E323" s="3">
        <f>+VLOOKUP($A323,MAGAZZINO!$B$2:$M$100000,5,FALSE)</f>
        <v/>
      </c>
      <c r="F323" s="3">
        <f>+VLOOKUP($A323,MAGAZZINO!$B$2:$M$100000,6,FALSE)</f>
        <v/>
      </c>
      <c r="G323" s="3">
        <f>+VLOOKUP($A323,MAGAZZINO!$B$2:$M$100000,7,FALSE)</f>
        <v/>
      </c>
      <c r="H323" s="3">
        <f>+VLOOKUP($A323,MAGAZZINO!$B$2:$M$100000,8,FALSE)</f>
        <v/>
      </c>
      <c r="I323" s="3">
        <f>+VLOOKUP($A323,MAGAZZINO!$B$2:$M$100000,9,FALSE)</f>
        <v/>
      </c>
      <c r="J323" s="3">
        <f>+VLOOKUP($A323,MAGAZZINO!$B$2:$M$100000,10,FALSE)</f>
        <v/>
      </c>
      <c r="K323" s="3">
        <f>+VLOOKUP($A323,MAGAZZINO!$B$2:$M$100000,11,FALSE)</f>
        <v/>
      </c>
      <c r="L323" s="5">
        <f>+VLOOKUP($A323,MAGAZZINO!$B$2:$M$100000,12,FALSE)</f>
        <v/>
      </c>
      <c r="M323" s="47" t="n"/>
      <c r="N323" s="54" t="n"/>
      <c r="O323" s="3" t="n"/>
      <c r="P323" s="149" t="n"/>
      <c r="Q323" s="150" t="n"/>
      <c r="R323" s="150" t="n"/>
      <c r="S323" s="151" t="n"/>
    </row>
    <row r="324" ht="36" customHeight="1">
      <c r="A324" s="46" t="n">
        <v>2654</v>
      </c>
      <c r="B324" s="4">
        <f>+VLOOKUP($A324,MAGAZZINO!$B$2:$M$100000,2,FALSE)</f>
        <v/>
      </c>
      <c r="C324" s="29">
        <f>+VLOOKUP($A324,MAGAZZINO!$B$2:$M$100000,3,FALSE)</f>
        <v/>
      </c>
      <c r="D324" s="3">
        <f>+VLOOKUP($A324,MAGAZZINO!$B$2:$M$100000,4,FALSE)</f>
        <v/>
      </c>
      <c r="E324" s="3">
        <f>+VLOOKUP($A324,MAGAZZINO!$B$2:$M$100000,5,FALSE)</f>
        <v/>
      </c>
      <c r="F324" s="3">
        <f>+VLOOKUP($A324,MAGAZZINO!$B$2:$M$100000,6,FALSE)</f>
        <v/>
      </c>
      <c r="G324" s="3">
        <f>+VLOOKUP($A324,MAGAZZINO!$B$2:$M$100000,7,FALSE)</f>
        <v/>
      </c>
      <c r="H324" s="3">
        <f>+VLOOKUP($A324,MAGAZZINO!$B$2:$M$100000,8,FALSE)</f>
        <v/>
      </c>
      <c r="I324" s="3">
        <f>+VLOOKUP($A324,MAGAZZINO!$B$2:$M$100000,9,FALSE)</f>
        <v/>
      </c>
      <c r="J324" s="3">
        <f>+VLOOKUP($A324,MAGAZZINO!$B$2:$M$100000,10,FALSE)</f>
        <v/>
      </c>
      <c r="K324" s="3">
        <f>+VLOOKUP($A324,MAGAZZINO!$B$2:$M$100000,11,FALSE)</f>
        <v/>
      </c>
      <c r="L324" s="5">
        <f>+VLOOKUP($A324,MAGAZZINO!$B$2:$M$100000,12,FALSE)</f>
        <v/>
      </c>
      <c r="M324" s="47" t="n"/>
      <c r="N324" s="54" t="n"/>
      <c r="O324" s="3" t="n"/>
      <c r="P324" s="149" t="n"/>
      <c r="Q324" s="150" t="n"/>
      <c r="R324" s="150" t="n"/>
      <c r="S324" s="151" t="n"/>
    </row>
    <row r="325" ht="36" customHeight="1">
      <c r="A325" s="46" t="n">
        <v>2655</v>
      </c>
      <c r="B325" s="4">
        <f>+VLOOKUP($A325,MAGAZZINO!$B$2:$M$100000,2,FALSE)</f>
        <v/>
      </c>
      <c r="C325" s="29">
        <f>+VLOOKUP($A325,MAGAZZINO!$B$2:$M$100000,3,FALSE)</f>
        <v/>
      </c>
      <c r="D325" s="3">
        <f>+VLOOKUP($A325,MAGAZZINO!$B$2:$M$100000,4,FALSE)</f>
        <v/>
      </c>
      <c r="E325" s="3">
        <f>+VLOOKUP($A325,MAGAZZINO!$B$2:$M$100000,5,FALSE)</f>
        <v/>
      </c>
      <c r="F325" s="3">
        <f>+VLOOKUP($A325,MAGAZZINO!$B$2:$M$100000,6,FALSE)</f>
        <v/>
      </c>
      <c r="G325" s="3">
        <f>+VLOOKUP($A325,MAGAZZINO!$B$2:$M$100000,7,FALSE)</f>
        <v/>
      </c>
      <c r="H325" s="3">
        <f>+VLOOKUP($A325,MAGAZZINO!$B$2:$M$100000,8,FALSE)</f>
        <v/>
      </c>
      <c r="I325" s="3">
        <f>+VLOOKUP($A325,MAGAZZINO!$B$2:$M$100000,9,FALSE)</f>
        <v/>
      </c>
      <c r="J325" s="3">
        <f>+VLOOKUP($A325,MAGAZZINO!$B$2:$M$100000,10,FALSE)</f>
        <v/>
      </c>
      <c r="K325" s="3">
        <f>+VLOOKUP($A325,MAGAZZINO!$B$2:$M$100000,11,FALSE)</f>
        <v/>
      </c>
      <c r="L325" s="5">
        <f>+VLOOKUP($A325,MAGAZZINO!$B$2:$M$100000,12,FALSE)</f>
        <v/>
      </c>
      <c r="M325" s="47" t="n"/>
      <c r="N325" s="54" t="n"/>
      <c r="O325" s="3" t="n"/>
      <c r="P325" s="149" t="n"/>
      <c r="Q325" s="150" t="n"/>
      <c r="R325" s="150" t="n"/>
      <c r="S325" s="151" t="n"/>
    </row>
    <row r="326" ht="36" customHeight="1">
      <c r="A326" s="46" t="n">
        <v>2656</v>
      </c>
      <c r="B326" s="4">
        <f>+VLOOKUP($A326,MAGAZZINO!$B$2:$M$100000,2,FALSE)</f>
        <v/>
      </c>
      <c r="C326" s="29">
        <f>+VLOOKUP($A326,MAGAZZINO!$B$2:$M$100000,3,FALSE)</f>
        <v/>
      </c>
      <c r="D326" s="3">
        <f>+VLOOKUP($A326,MAGAZZINO!$B$2:$M$100000,4,FALSE)</f>
        <v/>
      </c>
      <c r="E326" s="3">
        <f>+VLOOKUP($A326,MAGAZZINO!$B$2:$M$100000,5,FALSE)</f>
        <v/>
      </c>
      <c r="F326" s="3">
        <f>+VLOOKUP($A326,MAGAZZINO!$B$2:$M$100000,6,FALSE)</f>
        <v/>
      </c>
      <c r="G326" s="3">
        <f>+VLOOKUP($A326,MAGAZZINO!$B$2:$M$100000,7,FALSE)</f>
        <v/>
      </c>
      <c r="H326" s="3">
        <f>+VLOOKUP($A326,MAGAZZINO!$B$2:$M$100000,8,FALSE)</f>
        <v/>
      </c>
      <c r="I326" s="3">
        <f>+VLOOKUP($A326,MAGAZZINO!$B$2:$M$100000,9,FALSE)</f>
        <v/>
      </c>
      <c r="J326" s="3">
        <f>+VLOOKUP($A326,MAGAZZINO!$B$2:$M$100000,10,FALSE)</f>
        <v/>
      </c>
      <c r="K326" s="3">
        <f>+VLOOKUP($A326,MAGAZZINO!$B$2:$M$100000,11,FALSE)</f>
        <v/>
      </c>
      <c r="L326" s="5">
        <f>+VLOOKUP($A326,MAGAZZINO!$B$2:$M$100000,12,FALSE)</f>
        <v/>
      </c>
      <c r="M326" s="47" t="n"/>
      <c r="N326" s="54" t="n"/>
      <c r="O326" s="3" t="n"/>
      <c r="P326" s="149" t="n"/>
      <c r="Q326" s="150" t="n"/>
      <c r="R326" s="150" t="n"/>
      <c r="S326" s="151" t="n"/>
    </row>
    <row r="327" ht="36" customHeight="1">
      <c r="A327" s="46" t="n">
        <v>2657</v>
      </c>
      <c r="B327" s="4">
        <f>+VLOOKUP($A327,MAGAZZINO!$B$2:$M$100000,2,FALSE)</f>
        <v/>
      </c>
      <c r="C327" s="29">
        <f>+VLOOKUP($A327,MAGAZZINO!$B$2:$M$100000,3,FALSE)</f>
        <v/>
      </c>
      <c r="D327" s="3">
        <f>+VLOOKUP($A327,MAGAZZINO!$B$2:$M$100000,4,FALSE)</f>
        <v/>
      </c>
      <c r="E327" s="3">
        <f>+VLOOKUP($A327,MAGAZZINO!$B$2:$M$100000,5,FALSE)</f>
        <v/>
      </c>
      <c r="F327" s="3">
        <f>+VLOOKUP($A327,MAGAZZINO!$B$2:$M$100000,6,FALSE)</f>
        <v/>
      </c>
      <c r="G327" s="3">
        <f>+VLOOKUP($A327,MAGAZZINO!$B$2:$M$100000,7,FALSE)</f>
        <v/>
      </c>
      <c r="H327" s="3">
        <f>+VLOOKUP($A327,MAGAZZINO!$B$2:$M$100000,8,FALSE)</f>
        <v/>
      </c>
      <c r="I327" s="3">
        <f>+VLOOKUP($A327,MAGAZZINO!$B$2:$M$100000,9,FALSE)</f>
        <v/>
      </c>
      <c r="J327" s="3">
        <f>+VLOOKUP($A327,MAGAZZINO!$B$2:$M$100000,10,FALSE)</f>
        <v/>
      </c>
      <c r="K327" s="3">
        <f>+VLOOKUP($A327,MAGAZZINO!$B$2:$M$100000,11,FALSE)</f>
        <v/>
      </c>
      <c r="L327" s="5">
        <f>+VLOOKUP($A327,MAGAZZINO!$B$2:$M$100000,12,FALSE)</f>
        <v/>
      </c>
      <c r="M327" s="47" t="n"/>
      <c r="N327" s="54" t="n"/>
      <c r="O327" s="3" t="n"/>
      <c r="P327" s="149" t="n"/>
      <c r="Q327" s="150" t="n"/>
      <c r="R327" s="150" t="n"/>
      <c r="S327" s="151" t="n"/>
    </row>
    <row r="328" ht="36" customHeight="1">
      <c r="A328" s="46" t="n">
        <v>2658</v>
      </c>
      <c r="B328" s="4">
        <f>+VLOOKUP($A328,MAGAZZINO!$B$2:$M$100000,2,FALSE)</f>
        <v/>
      </c>
      <c r="C328" s="29">
        <f>+VLOOKUP($A328,MAGAZZINO!$B$2:$M$100000,3,FALSE)</f>
        <v/>
      </c>
      <c r="D328" s="3">
        <f>+VLOOKUP($A328,MAGAZZINO!$B$2:$M$100000,4,FALSE)</f>
        <v/>
      </c>
      <c r="E328" s="3">
        <f>+VLOOKUP($A328,MAGAZZINO!$B$2:$M$100000,5,FALSE)</f>
        <v/>
      </c>
      <c r="F328" s="3">
        <f>+VLOOKUP($A328,MAGAZZINO!$B$2:$M$100000,6,FALSE)</f>
        <v/>
      </c>
      <c r="G328" s="3">
        <f>+VLOOKUP($A328,MAGAZZINO!$B$2:$M$100000,7,FALSE)</f>
        <v/>
      </c>
      <c r="H328" s="3">
        <f>+VLOOKUP($A328,MAGAZZINO!$B$2:$M$100000,8,FALSE)</f>
        <v/>
      </c>
      <c r="I328" s="3">
        <f>+VLOOKUP($A328,MAGAZZINO!$B$2:$M$100000,9,FALSE)</f>
        <v/>
      </c>
      <c r="J328" s="3">
        <f>+VLOOKUP($A328,MAGAZZINO!$B$2:$M$100000,10,FALSE)</f>
        <v/>
      </c>
      <c r="K328" s="3">
        <f>+VLOOKUP($A328,MAGAZZINO!$B$2:$M$100000,11,FALSE)</f>
        <v/>
      </c>
      <c r="L328" s="5">
        <f>+VLOOKUP($A328,MAGAZZINO!$B$2:$M$100000,12,FALSE)</f>
        <v/>
      </c>
      <c r="M328" s="47" t="n"/>
      <c r="N328" s="54" t="n"/>
      <c r="O328" s="3" t="n"/>
      <c r="P328" s="149" t="n"/>
      <c r="Q328" s="150" t="n"/>
      <c r="R328" s="150" t="n"/>
      <c r="S328" s="151" t="n"/>
    </row>
    <row r="329" ht="36" customHeight="1">
      <c r="A329" s="46" t="n">
        <v>2659</v>
      </c>
      <c r="B329" s="4">
        <f>+VLOOKUP($A329,MAGAZZINO!$B$2:$M$100000,2,FALSE)</f>
        <v/>
      </c>
      <c r="C329" s="29">
        <f>+VLOOKUP($A329,MAGAZZINO!$B$2:$M$100000,3,FALSE)</f>
        <v/>
      </c>
      <c r="D329" s="3">
        <f>+VLOOKUP($A329,MAGAZZINO!$B$2:$M$100000,4,FALSE)</f>
        <v/>
      </c>
      <c r="E329" s="3">
        <f>+VLOOKUP($A329,MAGAZZINO!$B$2:$M$100000,5,FALSE)</f>
        <v/>
      </c>
      <c r="F329" s="3">
        <f>+VLOOKUP($A329,MAGAZZINO!$B$2:$M$100000,6,FALSE)</f>
        <v/>
      </c>
      <c r="G329" s="3">
        <f>+VLOOKUP($A329,MAGAZZINO!$B$2:$M$100000,7,FALSE)</f>
        <v/>
      </c>
      <c r="H329" s="3">
        <f>+VLOOKUP($A329,MAGAZZINO!$B$2:$M$100000,8,FALSE)</f>
        <v/>
      </c>
      <c r="I329" s="3">
        <f>+VLOOKUP($A329,MAGAZZINO!$B$2:$M$100000,9,FALSE)</f>
        <v/>
      </c>
      <c r="J329" s="3">
        <f>+VLOOKUP($A329,MAGAZZINO!$B$2:$M$100000,10,FALSE)</f>
        <v/>
      </c>
      <c r="K329" s="3">
        <f>+VLOOKUP($A329,MAGAZZINO!$B$2:$M$100000,11,FALSE)</f>
        <v/>
      </c>
      <c r="L329" s="5">
        <f>+VLOOKUP($A329,MAGAZZINO!$B$2:$M$100000,12,FALSE)</f>
        <v/>
      </c>
      <c r="M329" s="47" t="n"/>
      <c r="N329" s="54" t="n"/>
      <c r="O329" s="3" t="n"/>
      <c r="P329" s="149" t="n"/>
      <c r="Q329" s="150" t="n"/>
      <c r="R329" s="150" t="n"/>
      <c r="S329" s="151" t="n"/>
    </row>
    <row r="330" ht="36" customHeight="1">
      <c r="A330" s="46" t="n">
        <v>2660</v>
      </c>
      <c r="B330" s="4">
        <f>+VLOOKUP($A330,MAGAZZINO!$B$2:$M$100000,2,FALSE)</f>
        <v/>
      </c>
      <c r="C330" s="29">
        <f>+VLOOKUP($A330,MAGAZZINO!$B$2:$M$100000,3,FALSE)</f>
        <v/>
      </c>
      <c r="D330" s="3">
        <f>+VLOOKUP($A330,MAGAZZINO!$B$2:$M$100000,4,FALSE)</f>
        <v/>
      </c>
      <c r="E330" s="3">
        <f>+VLOOKUP($A330,MAGAZZINO!$B$2:$M$100000,5,FALSE)</f>
        <v/>
      </c>
      <c r="F330" s="3">
        <f>+VLOOKUP($A330,MAGAZZINO!$B$2:$M$100000,6,FALSE)</f>
        <v/>
      </c>
      <c r="G330" s="3">
        <f>+VLOOKUP($A330,MAGAZZINO!$B$2:$M$100000,7,FALSE)</f>
        <v/>
      </c>
      <c r="H330" s="3">
        <f>+VLOOKUP($A330,MAGAZZINO!$B$2:$M$100000,8,FALSE)</f>
        <v/>
      </c>
      <c r="I330" s="3">
        <f>+VLOOKUP($A330,MAGAZZINO!$B$2:$M$100000,9,FALSE)</f>
        <v/>
      </c>
      <c r="J330" s="3">
        <f>+VLOOKUP($A330,MAGAZZINO!$B$2:$M$100000,10,FALSE)</f>
        <v/>
      </c>
      <c r="K330" s="3">
        <f>+VLOOKUP($A330,MAGAZZINO!$B$2:$M$100000,11,FALSE)</f>
        <v/>
      </c>
      <c r="L330" s="5">
        <f>+VLOOKUP($A330,MAGAZZINO!$B$2:$M$100000,12,FALSE)</f>
        <v/>
      </c>
      <c r="M330" s="47" t="n"/>
      <c r="N330" s="54" t="n"/>
      <c r="O330" s="3" t="n"/>
      <c r="P330" s="149" t="n"/>
      <c r="Q330" s="150" t="n"/>
      <c r="R330" s="150" t="n"/>
      <c r="S330" s="151" t="n"/>
    </row>
    <row r="331" ht="36" customHeight="1">
      <c r="A331" s="46" t="n">
        <v>2661</v>
      </c>
      <c r="B331" s="4">
        <f>+VLOOKUP($A331,MAGAZZINO!$B$2:$M$100000,2,FALSE)</f>
        <v/>
      </c>
      <c r="C331" s="29">
        <f>+VLOOKUP($A331,MAGAZZINO!$B$2:$M$100000,3,FALSE)</f>
        <v/>
      </c>
      <c r="D331" s="3">
        <f>+VLOOKUP($A331,MAGAZZINO!$B$2:$M$100000,4,FALSE)</f>
        <v/>
      </c>
      <c r="E331" s="3">
        <f>+VLOOKUP($A331,MAGAZZINO!$B$2:$M$100000,5,FALSE)</f>
        <v/>
      </c>
      <c r="F331" s="3">
        <f>+VLOOKUP($A331,MAGAZZINO!$B$2:$M$100000,6,FALSE)</f>
        <v/>
      </c>
      <c r="G331" s="3">
        <f>+VLOOKUP($A331,MAGAZZINO!$B$2:$M$100000,7,FALSE)</f>
        <v/>
      </c>
      <c r="H331" s="3">
        <f>+VLOOKUP($A331,MAGAZZINO!$B$2:$M$100000,8,FALSE)</f>
        <v/>
      </c>
      <c r="I331" s="3">
        <f>+VLOOKUP($A331,MAGAZZINO!$B$2:$M$100000,9,FALSE)</f>
        <v/>
      </c>
      <c r="J331" s="3">
        <f>+VLOOKUP($A331,MAGAZZINO!$B$2:$M$100000,10,FALSE)</f>
        <v/>
      </c>
      <c r="K331" s="3">
        <f>+VLOOKUP($A331,MAGAZZINO!$B$2:$M$100000,11,FALSE)</f>
        <v/>
      </c>
      <c r="L331" s="5">
        <f>+VLOOKUP($A331,MAGAZZINO!$B$2:$M$100000,12,FALSE)</f>
        <v/>
      </c>
      <c r="M331" s="47" t="n"/>
      <c r="N331" s="54" t="n"/>
      <c r="O331" s="3" t="n"/>
      <c r="P331" s="149" t="n"/>
      <c r="Q331" s="150" t="n"/>
      <c r="R331" s="150" t="n"/>
      <c r="S331" s="151" t="n"/>
    </row>
    <row r="332" ht="36" customHeight="1">
      <c r="A332" s="46" t="n">
        <v>2662</v>
      </c>
      <c r="B332" s="4">
        <f>+VLOOKUP($A332,MAGAZZINO!$B$2:$M$100000,2,FALSE)</f>
        <v/>
      </c>
      <c r="C332" s="29">
        <f>+VLOOKUP($A332,MAGAZZINO!$B$2:$M$100000,3,FALSE)</f>
        <v/>
      </c>
      <c r="D332" s="3">
        <f>+VLOOKUP($A332,MAGAZZINO!$B$2:$M$100000,4,FALSE)</f>
        <v/>
      </c>
      <c r="E332" s="3">
        <f>+VLOOKUP($A332,MAGAZZINO!$B$2:$M$100000,5,FALSE)</f>
        <v/>
      </c>
      <c r="F332" s="3">
        <f>+VLOOKUP($A332,MAGAZZINO!$B$2:$M$100000,6,FALSE)</f>
        <v/>
      </c>
      <c r="G332" s="3">
        <f>+VLOOKUP($A332,MAGAZZINO!$B$2:$M$100000,7,FALSE)</f>
        <v/>
      </c>
      <c r="H332" s="3">
        <f>+VLOOKUP($A332,MAGAZZINO!$B$2:$M$100000,8,FALSE)</f>
        <v/>
      </c>
      <c r="I332" s="3">
        <f>+VLOOKUP($A332,MAGAZZINO!$B$2:$M$100000,9,FALSE)</f>
        <v/>
      </c>
      <c r="J332" s="3">
        <f>+VLOOKUP($A332,MAGAZZINO!$B$2:$M$100000,10,FALSE)</f>
        <v/>
      </c>
      <c r="K332" s="3">
        <f>+VLOOKUP($A332,MAGAZZINO!$B$2:$M$100000,11,FALSE)</f>
        <v/>
      </c>
      <c r="L332" s="5">
        <f>+VLOOKUP($A332,MAGAZZINO!$B$2:$M$100000,12,FALSE)</f>
        <v/>
      </c>
      <c r="M332" s="47" t="n"/>
      <c r="N332" s="54" t="n"/>
      <c r="O332" s="3" t="n"/>
      <c r="P332" s="149" t="n"/>
      <c r="Q332" s="150" t="n"/>
      <c r="R332" s="150" t="n"/>
      <c r="S332" s="151" t="n"/>
    </row>
    <row r="333" ht="36" customHeight="1">
      <c r="A333" s="46" t="n">
        <v>2663</v>
      </c>
      <c r="B333" s="4">
        <f>+VLOOKUP($A333,MAGAZZINO!$B$2:$M$100000,2,FALSE)</f>
        <v/>
      </c>
      <c r="C333" s="29">
        <f>+VLOOKUP($A333,MAGAZZINO!$B$2:$M$100000,3,FALSE)</f>
        <v/>
      </c>
      <c r="D333" s="3">
        <f>+VLOOKUP($A333,MAGAZZINO!$B$2:$M$100000,4,FALSE)</f>
        <v/>
      </c>
      <c r="E333" s="3">
        <f>+VLOOKUP($A333,MAGAZZINO!$B$2:$M$100000,5,FALSE)</f>
        <v/>
      </c>
      <c r="F333" s="3">
        <f>+VLOOKUP($A333,MAGAZZINO!$B$2:$M$100000,6,FALSE)</f>
        <v/>
      </c>
      <c r="G333" s="3">
        <f>+VLOOKUP($A333,MAGAZZINO!$B$2:$M$100000,7,FALSE)</f>
        <v/>
      </c>
      <c r="H333" s="3">
        <f>+VLOOKUP($A333,MAGAZZINO!$B$2:$M$100000,8,FALSE)</f>
        <v/>
      </c>
      <c r="I333" s="3">
        <f>+VLOOKUP($A333,MAGAZZINO!$B$2:$M$100000,9,FALSE)</f>
        <v/>
      </c>
      <c r="J333" s="3">
        <f>+VLOOKUP($A333,MAGAZZINO!$B$2:$M$100000,10,FALSE)</f>
        <v/>
      </c>
      <c r="K333" s="3">
        <f>+VLOOKUP($A333,MAGAZZINO!$B$2:$M$100000,11,FALSE)</f>
        <v/>
      </c>
      <c r="L333" s="5">
        <f>+VLOOKUP($A333,MAGAZZINO!$B$2:$M$100000,12,FALSE)</f>
        <v/>
      </c>
      <c r="M333" s="47" t="n"/>
      <c r="N333" s="54" t="n"/>
      <c r="O333" s="3" t="n"/>
      <c r="P333" s="149" t="n"/>
      <c r="Q333" s="150" t="n"/>
      <c r="R333" s="150" t="n"/>
      <c r="S333" s="151" t="n"/>
    </row>
    <row r="334" ht="36" customHeight="1">
      <c r="A334" s="46" t="n">
        <v>2664</v>
      </c>
      <c r="B334" s="4">
        <f>+VLOOKUP($A334,MAGAZZINO!$B$2:$M$100000,2,FALSE)</f>
        <v/>
      </c>
      <c r="C334" s="29">
        <f>+VLOOKUP($A334,MAGAZZINO!$B$2:$M$100000,3,FALSE)</f>
        <v/>
      </c>
      <c r="D334" s="3">
        <f>+VLOOKUP($A334,MAGAZZINO!$B$2:$M$100000,4,FALSE)</f>
        <v/>
      </c>
      <c r="E334" s="3">
        <f>+VLOOKUP($A334,MAGAZZINO!$B$2:$M$100000,5,FALSE)</f>
        <v/>
      </c>
      <c r="F334" s="3">
        <f>+VLOOKUP($A334,MAGAZZINO!$B$2:$M$100000,6,FALSE)</f>
        <v/>
      </c>
      <c r="G334" s="3">
        <f>+VLOOKUP($A334,MAGAZZINO!$B$2:$M$100000,7,FALSE)</f>
        <v/>
      </c>
      <c r="H334" s="3">
        <f>+VLOOKUP($A334,MAGAZZINO!$B$2:$M$100000,8,FALSE)</f>
        <v/>
      </c>
      <c r="I334" s="3">
        <f>+VLOOKUP($A334,MAGAZZINO!$B$2:$M$100000,9,FALSE)</f>
        <v/>
      </c>
      <c r="J334" s="3">
        <f>+VLOOKUP($A334,MAGAZZINO!$B$2:$M$100000,10,FALSE)</f>
        <v/>
      </c>
      <c r="K334" s="3">
        <f>+VLOOKUP($A334,MAGAZZINO!$B$2:$M$100000,11,FALSE)</f>
        <v/>
      </c>
      <c r="L334" s="5">
        <f>+VLOOKUP($A334,MAGAZZINO!$B$2:$M$100000,12,FALSE)</f>
        <v/>
      </c>
      <c r="M334" s="47" t="n"/>
      <c r="N334" s="54" t="n"/>
      <c r="O334" s="3" t="n"/>
      <c r="P334" s="149" t="n"/>
      <c r="Q334" s="150" t="n"/>
      <c r="R334" s="150" t="n"/>
      <c r="S334" s="151" t="n"/>
    </row>
    <row r="335" ht="36" customHeight="1">
      <c r="A335" s="46" t="n">
        <v>2665</v>
      </c>
      <c r="B335" s="4">
        <f>+VLOOKUP($A335,MAGAZZINO!$B$2:$M$100000,2,FALSE)</f>
        <v/>
      </c>
      <c r="C335" s="29">
        <f>+VLOOKUP($A335,MAGAZZINO!$B$2:$M$100000,3,FALSE)</f>
        <v/>
      </c>
      <c r="D335" s="3">
        <f>+VLOOKUP($A335,MAGAZZINO!$B$2:$M$100000,4,FALSE)</f>
        <v/>
      </c>
      <c r="E335" s="3">
        <f>+VLOOKUP($A335,MAGAZZINO!$B$2:$M$100000,5,FALSE)</f>
        <v/>
      </c>
      <c r="F335" s="3">
        <f>+VLOOKUP($A335,MAGAZZINO!$B$2:$M$100000,6,FALSE)</f>
        <v/>
      </c>
      <c r="G335" s="3">
        <f>+VLOOKUP($A335,MAGAZZINO!$B$2:$M$100000,7,FALSE)</f>
        <v/>
      </c>
      <c r="H335" s="3">
        <f>+VLOOKUP($A335,MAGAZZINO!$B$2:$M$100000,8,FALSE)</f>
        <v/>
      </c>
      <c r="I335" s="3">
        <f>+VLOOKUP($A335,MAGAZZINO!$B$2:$M$100000,9,FALSE)</f>
        <v/>
      </c>
      <c r="J335" s="3">
        <f>+VLOOKUP($A335,MAGAZZINO!$B$2:$M$100000,10,FALSE)</f>
        <v/>
      </c>
      <c r="K335" s="3">
        <f>+VLOOKUP($A335,MAGAZZINO!$B$2:$M$100000,11,FALSE)</f>
        <v/>
      </c>
      <c r="L335" s="5">
        <f>+VLOOKUP($A335,MAGAZZINO!$B$2:$M$100000,12,FALSE)</f>
        <v/>
      </c>
      <c r="M335" s="47" t="n"/>
      <c r="N335" s="54" t="n"/>
      <c r="O335" s="3" t="n"/>
      <c r="P335" s="149" t="n"/>
      <c r="Q335" s="150" t="n"/>
      <c r="R335" s="150" t="n"/>
      <c r="S335" s="151" t="n"/>
    </row>
    <row r="336" ht="36" customHeight="1">
      <c r="A336" s="46" t="n">
        <v>2666</v>
      </c>
      <c r="B336" s="4">
        <f>+VLOOKUP($A336,MAGAZZINO!$B$2:$M$100000,2,FALSE)</f>
        <v/>
      </c>
      <c r="C336" s="29">
        <f>+VLOOKUP($A336,MAGAZZINO!$B$2:$M$100000,3,FALSE)</f>
        <v/>
      </c>
      <c r="D336" s="3">
        <f>+VLOOKUP($A336,MAGAZZINO!$B$2:$M$100000,4,FALSE)</f>
        <v/>
      </c>
      <c r="E336" s="3">
        <f>+VLOOKUP($A336,MAGAZZINO!$B$2:$M$100000,5,FALSE)</f>
        <v/>
      </c>
      <c r="F336" s="3">
        <f>+VLOOKUP($A336,MAGAZZINO!$B$2:$M$100000,6,FALSE)</f>
        <v/>
      </c>
      <c r="G336" s="3">
        <f>+VLOOKUP($A336,MAGAZZINO!$B$2:$M$100000,7,FALSE)</f>
        <v/>
      </c>
      <c r="H336" s="3">
        <f>+VLOOKUP($A336,MAGAZZINO!$B$2:$M$100000,8,FALSE)</f>
        <v/>
      </c>
      <c r="I336" s="3">
        <f>+VLOOKUP($A336,MAGAZZINO!$B$2:$M$100000,9,FALSE)</f>
        <v/>
      </c>
      <c r="J336" s="3">
        <f>+VLOOKUP($A336,MAGAZZINO!$B$2:$M$100000,10,FALSE)</f>
        <v/>
      </c>
      <c r="K336" s="3">
        <f>+VLOOKUP($A336,MAGAZZINO!$B$2:$M$100000,11,FALSE)</f>
        <v/>
      </c>
      <c r="L336" s="5">
        <f>+VLOOKUP($A336,MAGAZZINO!$B$2:$M$100000,12,FALSE)</f>
        <v/>
      </c>
      <c r="M336" s="47" t="n"/>
      <c r="N336" s="54" t="n"/>
      <c r="O336" s="3" t="n"/>
      <c r="P336" s="149" t="n"/>
      <c r="Q336" s="150" t="n"/>
      <c r="R336" s="150" t="n"/>
      <c r="S336" s="151" t="n"/>
    </row>
    <row r="337" ht="36" customHeight="1">
      <c r="A337" s="46" t="n">
        <v>2667</v>
      </c>
      <c r="B337" s="4">
        <f>+VLOOKUP($A337,MAGAZZINO!$B$2:$M$100000,2,FALSE)</f>
        <v/>
      </c>
      <c r="C337" s="29">
        <f>+VLOOKUP($A337,MAGAZZINO!$B$2:$M$100000,3,FALSE)</f>
        <v/>
      </c>
      <c r="D337" s="3">
        <f>+VLOOKUP($A337,MAGAZZINO!$B$2:$M$100000,4,FALSE)</f>
        <v/>
      </c>
      <c r="E337" s="3">
        <f>+VLOOKUP($A337,MAGAZZINO!$B$2:$M$100000,5,FALSE)</f>
        <v/>
      </c>
      <c r="F337" s="3">
        <f>+VLOOKUP($A337,MAGAZZINO!$B$2:$M$100000,6,FALSE)</f>
        <v/>
      </c>
      <c r="G337" s="3">
        <f>+VLOOKUP($A337,MAGAZZINO!$B$2:$M$100000,7,FALSE)</f>
        <v/>
      </c>
      <c r="H337" s="3">
        <f>+VLOOKUP($A337,MAGAZZINO!$B$2:$M$100000,8,FALSE)</f>
        <v/>
      </c>
      <c r="I337" s="3">
        <f>+VLOOKUP($A337,MAGAZZINO!$B$2:$M$100000,9,FALSE)</f>
        <v/>
      </c>
      <c r="J337" s="3">
        <f>+VLOOKUP($A337,MAGAZZINO!$B$2:$M$100000,10,FALSE)</f>
        <v/>
      </c>
      <c r="K337" s="3">
        <f>+VLOOKUP($A337,MAGAZZINO!$B$2:$M$100000,11,FALSE)</f>
        <v/>
      </c>
      <c r="L337" s="5">
        <f>+VLOOKUP($A337,MAGAZZINO!$B$2:$M$100000,12,FALSE)</f>
        <v/>
      </c>
      <c r="M337" s="47" t="n"/>
      <c r="N337" s="88" t="n">
        <v>45874</v>
      </c>
      <c r="O337" s="91" t="inlineStr">
        <is>
          <t>PHILIPPOS CONSTANTINIDES TRADING CO. LTD (CIPRO)</t>
        </is>
      </c>
      <c r="P337" s="163" t="inlineStr">
        <is>
          <t xml:space="preserve">IMPORT LICENSE N. 218 DEL 12/08/2020                                                                                         AUT. TRASFERIMENTO N. 6B/2025/3D RILASCIATA IL 28/07/2025   </t>
        </is>
      </c>
      <c r="Q337" s="150" t="n"/>
      <c r="R337" s="150" t="n"/>
      <c r="S337" s="151" t="n"/>
    </row>
    <row r="338" ht="36" customHeight="1">
      <c r="A338" s="46" t="n">
        <v>2668</v>
      </c>
      <c r="B338" s="4">
        <f>+VLOOKUP($A338,MAGAZZINO!$B$2:$M$100000,2,FALSE)</f>
        <v/>
      </c>
      <c r="C338" s="29">
        <f>+VLOOKUP($A338,MAGAZZINO!$B$2:$M$100000,3,FALSE)</f>
        <v/>
      </c>
      <c r="D338" s="3">
        <f>+VLOOKUP($A338,MAGAZZINO!$B$2:$M$100000,4,FALSE)</f>
        <v/>
      </c>
      <c r="E338" s="3">
        <f>+VLOOKUP($A338,MAGAZZINO!$B$2:$M$100000,5,FALSE)</f>
        <v/>
      </c>
      <c r="F338" s="3">
        <f>+VLOOKUP($A338,MAGAZZINO!$B$2:$M$100000,6,FALSE)</f>
        <v/>
      </c>
      <c r="G338" s="3">
        <f>+VLOOKUP($A338,MAGAZZINO!$B$2:$M$100000,7,FALSE)</f>
        <v/>
      </c>
      <c r="H338" s="3">
        <f>+VLOOKUP($A338,MAGAZZINO!$B$2:$M$100000,8,FALSE)</f>
        <v/>
      </c>
      <c r="I338" s="3">
        <f>+VLOOKUP($A338,MAGAZZINO!$B$2:$M$100000,9,FALSE)</f>
        <v/>
      </c>
      <c r="J338" s="3">
        <f>+VLOOKUP($A338,MAGAZZINO!$B$2:$M$100000,10,FALSE)</f>
        <v/>
      </c>
      <c r="K338" s="3">
        <f>+VLOOKUP($A338,MAGAZZINO!$B$2:$M$100000,11,FALSE)</f>
        <v/>
      </c>
      <c r="L338" s="5">
        <f>+VLOOKUP($A338,MAGAZZINO!$B$2:$M$100000,12,FALSE)</f>
        <v/>
      </c>
      <c r="M338" s="47" t="n"/>
      <c r="N338" s="54" t="n"/>
      <c r="O338" s="3" t="n"/>
      <c r="P338" s="149" t="n"/>
      <c r="Q338" s="150" t="n"/>
      <c r="R338" s="150" t="n"/>
      <c r="S338" s="151" t="n"/>
    </row>
    <row r="339" ht="36" customHeight="1">
      <c r="A339" s="46" t="n">
        <v>2669</v>
      </c>
      <c r="B339" s="4">
        <f>+VLOOKUP($A339,MAGAZZINO!$B$2:$M$100000,2,FALSE)</f>
        <v/>
      </c>
      <c r="C339" s="29">
        <f>+VLOOKUP($A339,MAGAZZINO!$B$2:$M$100000,3,FALSE)</f>
        <v/>
      </c>
      <c r="D339" s="3">
        <f>+VLOOKUP($A339,MAGAZZINO!$B$2:$M$100000,4,FALSE)</f>
        <v/>
      </c>
      <c r="E339" s="3">
        <f>+VLOOKUP($A339,MAGAZZINO!$B$2:$M$100000,5,FALSE)</f>
        <v/>
      </c>
      <c r="F339" s="3">
        <f>+VLOOKUP($A339,MAGAZZINO!$B$2:$M$100000,6,FALSE)</f>
        <v/>
      </c>
      <c r="G339" s="3">
        <f>+VLOOKUP($A339,MAGAZZINO!$B$2:$M$100000,7,FALSE)</f>
        <v/>
      </c>
      <c r="H339" s="3">
        <f>+VLOOKUP($A339,MAGAZZINO!$B$2:$M$100000,8,FALSE)</f>
        <v/>
      </c>
      <c r="I339" s="3">
        <f>+VLOOKUP($A339,MAGAZZINO!$B$2:$M$100000,9,FALSE)</f>
        <v/>
      </c>
      <c r="J339" s="3">
        <f>+VLOOKUP($A339,MAGAZZINO!$B$2:$M$100000,10,FALSE)</f>
        <v/>
      </c>
      <c r="K339" s="3">
        <f>+VLOOKUP($A339,MAGAZZINO!$B$2:$M$100000,11,FALSE)</f>
        <v/>
      </c>
      <c r="L339" s="5">
        <f>+VLOOKUP($A339,MAGAZZINO!$B$2:$M$100000,12,FALSE)</f>
        <v/>
      </c>
      <c r="M339" s="47" t="n"/>
      <c r="N339" s="54" t="n"/>
      <c r="O339" s="3" t="n"/>
      <c r="P339" s="149" t="n"/>
      <c r="Q339" s="150" t="n"/>
      <c r="R339" s="150" t="n"/>
      <c r="S339" s="151" t="n"/>
    </row>
    <row r="340" ht="36" customHeight="1">
      <c r="A340" s="46" t="n">
        <v>2670</v>
      </c>
      <c r="B340" s="4">
        <f>+VLOOKUP($A340,MAGAZZINO!$B$2:$M$100000,2,FALSE)</f>
        <v/>
      </c>
      <c r="C340" s="29">
        <f>+VLOOKUP($A340,MAGAZZINO!$B$2:$M$100000,3,FALSE)</f>
        <v/>
      </c>
      <c r="D340" s="3">
        <f>+VLOOKUP($A340,MAGAZZINO!$B$2:$M$100000,4,FALSE)</f>
        <v/>
      </c>
      <c r="E340" s="3">
        <f>+VLOOKUP($A340,MAGAZZINO!$B$2:$M$100000,5,FALSE)</f>
        <v/>
      </c>
      <c r="F340" s="3">
        <f>+VLOOKUP($A340,MAGAZZINO!$B$2:$M$100000,6,FALSE)</f>
        <v/>
      </c>
      <c r="G340" s="3">
        <f>+VLOOKUP($A340,MAGAZZINO!$B$2:$M$100000,7,FALSE)</f>
        <v/>
      </c>
      <c r="H340" s="3">
        <f>+VLOOKUP($A340,MAGAZZINO!$B$2:$M$100000,8,FALSE)</f>
        <v/>
      </c>
      <c r="I340" s="3">
        <f>+VLOOKUP($A340,MAGAZZINO!$B$2:$M$100000,9,FALSE)</f>
        <v/>
      </c>
      <c r="J340" s="3">
        <f>+VLOOKUP($A340,MAGAZZINO!$B$2:$M$100000,10,FALSE)</f>
        <v/>
      </c>
      <c r="K340" s="3">
        <f>+VLOOKUP($A340,MAGAZZINO!$B$2:$M$100000,11,FALSE)</f>
        <v/>
      </c>
      <c r="L340" s="5">
        <f>+VLOOKUP($A340,MAGAZZINO!$B$2:$M$100000,12,FALSE)</f>
        <v/>
      </c>
      <c r="M340" s="47" t="n"/>
      <c r="N340" s="54" t="n"/>
      <c r="O340" s="3" t="n"/>
      <c r="P340" s="149" t="n"/>
      <c r="Q340" s="150" t="n"/>
      <c r="R340" s="150" t="n"/>
      <c r="S340" s="151" t="n"/>
    </row>
    <row r="341" ht="36" customHeight="1">
      <c r="A341" s="46" t="n">
        <v>2671</v>
      </c>
      <c r="B341" s="4">
        <f>+VLOOKUP($A341,MAGAZZINO!$B$2:$M$100000,2,FALSE)</f>
        <v/>
      </c>
      <c r="C341" s="29">
        <f>+VLOOKUP($A341,MAGAZZINO!$B$2:$M$100000,3,FALSE)</f>
        <v/>
      </c>
      <c r="D341" s="3">
        <f>+VLOOKUP($A341,MAGAZZINO!$B$2:$M$100000,4,FALSE)</f>
        <v/>
      </c>
      <c r="E341" s="3">
        <f>+VLOOKUP($A341,MAGAZZINO!$B$2:$M$100000,5,FALSE)</f>
        <v/>
      </c>
      <c r="F341" s="3">
        <f>+VLOOKUP($A341,MAGAZZINO!$B$2:$M$100000,6,FALSE)</f>
        <v/>
      </c>
      <c r="G341" s="3">
        <f>+VLOOKUP($A341,MAGAZZINO!$B$2:$M$100000,7,FALSE)</f>
        <v/>
      </c>
      <c r="H341" s="3">
        <f>+VLOOKUP($A341,MAGAZZINO!$B$2:$M$100000,8,FALSE)</f>
        <v/>
      </c>
      <c r="I341" s="3">
        <f>+VLOOKUP($A341,MAGAZZINO!$B$2:$M$100000,9,FALSE)</f>
        <v/>
      </c>
      <c r="J341" s="3">
        <f>+VLOOKUP($A341,MAGAZZINO!$B$2:$M$100000,10,FALSE)</f>
        <v/>
      </c>
      <c r="K341" s="3">
        <f>+VLOOKUP($A341,MAGAZZINO!$B$2:$M$100000,11,FALSE)</f>
        <v/>
      </c>
      <c r="L341" s="5">
        <f>+VLOOKUP($A341,MAGAZZINO!$B$2:$M$100000,12,FALSE)</f>
        <v/>
      </c>
      <c r="M341" s="47" t="n"/>
      <c r="N341" s="88" t="n">
        <v>45821</v>
      </c>
      <c r="O341" s="91" t="inlineStr">
        <is>
          <t>PHILIPPOS CONSTANTINIDES TRADING CO. LTD (CIPRO)</t>
        </is>
      </c>
      <c r="P341" s="154" t="inlineStr">
        <is>
          <t xml:space="preserve">IMPORT LICENSE N. 218 DEL 12/08/2020                                                                                         AUT. TRASFERIMENTO N. 6B/2025/1D RILASCIATA IL 30/05/2025   </t>
        </is>
      </c>
      <c r="Q341" s="150" t="n"/>
      <c r="R341" s="150" t="n"/>
      <c r="S341" s="153" t="n"/>
    </row>
    <row r="342" ht="36" customHeight="1">
      <c r="A342" s="46" t="n">
        <v>2672</v>
      </c>
      <c r="B342" s="4">
        <f>+VLOOKUP($A342,MAGAZZINO!$B$2:$M$100000,2,FALSE)</f>
        <v/>
      </c>
      <c r="C342" s="29">
        <f>+VLOOKUP($A342,MAGAZZINO!$B$2:$M$100000,3,FALSE)</f>
        <v/>
      </c>
      <c r="D342" s="3">
        <f>+VLOOKUP($A342,MAGAZZINO!$B$2:$M$100000,4,FALSE)</f>
        <v/>
      </c>
      <c r="E342" s="3">
        <f>+VLOOKUP($A342,MAGAZZINO!$B$2:$M$100000,5,FALSE)</f>
        <v/>
      </c>
      <c r="F342" s="3">
        <f>+VLOOKUP($A342,MAGAZZINO!$B$2:$M$100000,6,FALSE)</f>
        <v/>
      </c>
      <c r="G342" s="3">
        <f>+VLOOKUP($A342,MAGAZZINO!$B$2:$M$100000,7,FALSE)</f>
        <v/>
      </c>
      <c r="H342" s="3">
        <f>+VLOOKUP($A342,MAGAZZINO!$B$2:$M$100000,8,FALSE)</f>
        <v/>
      </c>
      <c r="I342" s="3">
        <f>+VLOOKUP($A342,MAGAZZINO!$B$2:$M$100000,9,FALSE)</f>
        <v/>
      </c>
      <c r="J342" s="3">
        <f>+VLOOKUP($A342,MAGAZZINO!$B$2:$M$100000,10,FALSE)</f>
        <v/>
      </c>
      <c r="K342" s="3">
        <f>+VLOOKUP($A342,MAGAZZINO!$B$2:$M$100000,11,FALSE)</f>
        <v/>
      </c>
      <c r="L342" s="5">
        <f>+VLOOKUP($A342,MAGAZZINO!$B$2:$M$100000,12,FALSE)</f>
        <v/>
      </c>
      <c r="M342" s="47" t="n"/>
      <c r="N342" s="88" t="n">
        <v>45821</v>
      </c>
      <c r="O342" s="91" t="inlineStr">
        <is>
          <t>PHILIPPOS CONSTANTINIDES TRADING CO. LTD (CIPRO)</t>
        </is>
      </c>
      <c r="P342" s="154" t="inlineStr">
        <is>
          <t xml:space="preserve">IMPORT LICENSE N. 218 DEL 12/08/2020                                                                                         AUT. TRASFERIMENTO N. 6B/2025/1D RILASCIATA IL 30/05/2025   </t>
        </is>
      </c>
      <c r="Q342" s="150" t="n"/>
      <c r="R342" s="150" t="n"/>
      <c r="S342" s="153" t="n"/>
    </row>
    <row r="343" ht="36" customHeight="1">
      <c r="A343" s="46" t="n">
        <v>2673</v>
      </c>
      <c r="B343" s="4">
        <f>+VLOOKUP($A343,MAGAZZINO!$B$2:$M$100000,2,FALSE)</f>
        <v/>
      </c>
      <c r="C343" s="29">
        <f>+VLOOKUP($A343,MAGAZZINO!$B$2:$M$100000,3,FALSE)</f>
        <v/>
      </c>
      <c r="D343" s="3">
        <f>+VLOOKUP($A343,MAGAZZINO!$B$2:$M$100000,4,FALSE)</f>
        <v/>
      </c>
      <c r="E343" s="3">
        <f>+VLOOKUP($A343,MAGAZZINO!$B$2:$M$100000,5,FALSE)</f>
        <v/>
      </c>
      <c r="F343" s="3">
        <f>+VLOOKUP($A343,MAGAZZINO!$B$2:$M$100000,6,FALSE)</f>
        <v/>
      </c>
      <c r="G343" s="3">
        <f>+VLOOKUP($A343,MAGAZZINO!$B$2:$M$100000,7,FALSE)</f>
        <v/>
      </c>
      <c r="H343" s="3">
        <f>+VLOOKUP($A343,MAGAZZINO!$B$2:$M$100000,8,FALSE)</f>
        <v/>
      </c>
      <c r="I343" s="3">
        <f>+VLOOKUP($A343,MAGAZZINO!$B$2:$M$100000,9,FALSE)</f>
        <v/>
      </c>
      <c r="J343" s="3">
        <f>+VLOOKUP($A343,MAGAZZINO!$B$2:$M$100000,10,FALSE)</f>
        <v/>
      </c>
      <c r="K343" s="3">
        <f>+VLOOKUP($A343,MAGAZZINO!$B$2:$M$100000,11,FALSE)</f>
        <v/>
      </c>
      <c r="L343" s="5">
        <f>+VLOOKUP($A343,MAGAZZINO!$B$2:$M$100000,12,FALSE)</f>
        <v/>
      </c>
      <c r="M343" s="47" t="n"/>
      <c r="N343" s="88" t="n">
        <v>45821</v>
      </c>
      <c r="O343" s="91" t="inlineStr">
        <is>
          <t>PHILIPPOS CONSTANTINIDES TRADING CO. LTD (CIPRO)</t>
        </is>
      </c>
      <c r="P343" s="154" t="inlineStr">
        <is>
          <t xml:space="preserve">IMPORT LICENSE N. 218 DEL 12/08/2020                                                                                         AUT. TRASFERIMENTO N. 6B/2025/1D RILASCIATA IL 30/05/2025   </t>
        </is>
      </c>
      <c r="Q343" s="150" t="n"/>
      <c r="R343" s="150" t="n"/>
      <c r="S343" s="153" t="n"/>
    </row>
    <row r="344" ht="36" customHeight="1">
      <c r="A344" s="46" t="n">
        <v>2674</v>
      </c>
      <c r="B344" s="4">
        <f>+VLOOKUP($A344,MAGAZZINO!$B$2:$M$100000,2,FALSE)</f>
        <v/>
      </c>
      <c r="C344" s="29">
        <f>+VLOOKUP($A344,MAGAZZINO!$B$2:$M$100000,3,FALSE)</f>
        <v/>
      </c>
      <c r="D344" s="3">
        <f>+VLOOKUP($A344,MAGAZZINO!$B$2:$M$100000,4,FALSE)</f>
        <v/>
      </c>
      <c r="E344" s="3">
        <f>+VLOOKUP($A344,MAGAZZINO!$B$2:$M$100000,5,FALSE)</f>
        <v/>
      </c>
      <c r="F344" s="3">
        <f>+VLOOKUP($A344,MAGAZZINO!$B$2:$M$100000,6,FALSE)</f>
        <v/>
      </c>
      <c r="G344" s="3">
        <f>+VLOOKUP($A344,MAGAZZINO!$B$2:$M$100000,7,FALSE)</f>
        <v/>
      </c>
      <c r="H344" s="3">
        <f>+VLOOKUP($A344,MAGAZZINO!$B$2:$M$100000,8,FALSE)</f>
        <v/>
      </c>
      <c r="I344" s="3">
        <f>+VLOOKUP($A344,MAGAZZINO!$B$2:$M$100000,9,FALSE)</f>
        <v/>
      </c>
      <c r="J344" s="3">
        <f>+VLOOKUP($A344,MAGAZZINO!$B$2:$M$100000,10,FALSE)</f>
        <v/>
      </c>
      <c r="K344" s="3">
        <f>+VLOOKUP($A344,MAGAZZINO!$B$2:$M$100000,11,FALSE)</f>
        <v/>
      </c>
      <c r="L344" s="5">
        <f>+VLOOKUP($A344,MAGAZZINO!$B$2:$M$100000,12,FALSE)</f>
        <v/>
      </c>
      <c r="M344" s="47" t="n"/>
      <c r="N344" s="88" t="n">
        <v>45821</v>
      </c>
      <c r="O344" s="91" t="inlineStr">
        <is>
          <t>PHILIPPOS CONSTANTINIDES TRADING CO. LTD (CIPRO)</t>
        </is>
      </c>
      <c r="P344" s="154" t="inlineStr">
        <is>
          <t xml:space="preserve">IMPORT LICENSE N. 218 DEL 12/08/2020                                                                                         AUT. TRASFERIMENTO N. 6B/2025/1D RILASCIATA IL 30/05/2025   </t>
        </is>
      </c>
      <c r="Q344" s="150" t="n"/>
      <c r="R344" s="150" t="n"/>
      <c r="S344" s="153" t="n"/>
    </row>
    <row r="345" ht="36" customHeight="1">
      <c r="A345" s="46" t="n">
        <v>2675</v>
      </c>
      <c r="B345" s="4">
        <f>+VLOOKUP($A345,MAGAZZINO!$B$2:$M$100000,2,FALSE)</f>
        <v/>
      </c>
      <c r="C345" s="29">
        <f>+VLOOKUP($A345,MAGAZZINO!$B$2:$M$100000,3,FALSE)</f>
        <v/>
      </c>
      <c r="D345" s="3">
        <f>+VLOOKUP($A345,MAGAZZINO!$B$2:$M$100000,4,FALSE)</f>
        <v/>
      </c>
      <c r="E345" s="3">
        <f>+VLOOKUP($A345,MAGAZZINO!$B$2:$M$100000,5,FALSE)</f>
        <v/>
      </c>
      <c r="F345" s="3">
        <f>+VLOOKUP($A345,MAGAZZINO!$B$2:$M$100000,6,FALSE)</f>
        <v/>
      </c>
      <c r="G345" s="3">
        <f>+VLOOKUP($A345,MAGAZZINO!$B$2:$M$100000,7,FALSE)</f>
        <v/>
      </c>
      <c r="H345" s="3">
        <f>+VLOOKUP($A345,MAGAZZINO!$B$2:$M$100000,8,FALSE)</f>
        <v/>
      </c>
      <c r="I345" s="3">
        <f>+VLOOKUP($A345,MAGAZZINO!$B$2:$M$100000,9,FALSE)</f>
        <v/>
      </c>
      <c r="J345" s="3">
        <f>+VLOOKUP($A345,MAGAZZINO!$B$2:$M$100000,10,FALSE)</f>
        <v/>
      </c>
      <c r="K345" s="3">
        <f>+VLOOKUP($A345,MAGAZZINO!$B$2:$M$100000,11,FALSE)</f>
        <v/>
      </c>
      <c r="L345" s="5">
        <f>+VLOOKUP($A345,MAGAZZINO!$B$2:$M$100000,12,FALSE)</f>
        <v/>
      </c>
      <c r="M345" s="47" t="n"/>
      <c r="N345" s="88" t="n">
        <v>45821</v>
      </c>
      <c r="O345" s="91" t="inlineStr">
        <is>
          <t>PHILIPPOS CONSTANTINIDES TRADING CO. LTD (CIPRO)</t>
        </is>
      </c>
      <c r="P345" s="154" t="inlineStr">
        <is>
          <t xml:space="preserve">IMPORT LICENSE N. 218 DEL 12/08/2020                                                                                         AUT. TRASFERIMENTO N. 6B/2025/1D RILASCIATA IL 30/05/2025   </t>
        </is>
      </c>
      <c r="Q345" s="150" t="n"/>
      <c r="R345" s="150" t="n"/>
      <c r="S345" s="153" t="n"/>
    </row>
    <row r="346" ht="36" customHeight="1">
      <c r="A346" s="46" t="n">
        <v>2676</v>
      </c>
      <c r="B346" s="4">
        <f>+VLOOKUP($A346,MAGAZZINO!$B$2:$M$100000,2,FALSE)</f>
        <v/>
      </c>
      <c r="C346" s="29">
        <f>+VLOOKUP($A346,MAGAZZINO!$B$2:$M$100000,3,FALSE)</f>
        <v/>
      </c>
      <c r="D346" s="3">
        <f>+VLOOKUP($A346,MAGAZZINO!$B$2:$M$100000,4,FALSE)</f>
        <v/>
      </c>
      <c r="E346" s="3">
        <f>+VLOOKUP($A346,MAGAZZINO!$B$2:$M$100000,5,FALSE)</f>
        <v/>
      </c>
      <c r="F346" s="3">
        <f>+VLOOKUP($A346,MAGAZZINO!$B$2:$M$100000,6,FALSE)</f>
        <v/>
      </c>
      <c r="G346" s="3">
        <f>+VLOOKUP($A346,MAGAZZINO!$B$2:$M$100000,7,FALSE)</f>
        <v/>
      </c>
      <c r="H346" s="3">
        <f>+VLOOKUP($A346,MAGAZZINO!$B$2:$M$100000,8,FALSE)</f>
        <v/>
      </c>
      <c r="I346" s="3">
        <f>+VLOOKUP($A346,MAGAZZINO!$B$2:$M$100000,9,FALSE)</f>
        <v/>
      </c>
      <c r="J346" s="3">
        <f>+VLOOKUP($A346,MAGAZZINO!$B$2:$M$100000,10,FALSE)</f>
        <v/>
      </c>
      <c r="K346" s="3">
        <f>+VLOOKUP($A346,MAGAZZINO!$B$2:$M$100000,11,FALSE)</f>
        <v/>
      </c>
      <c r="L346" s="5">
        <f>+VLOOKUP($A346,MAGAZZINO!$B$2:$M$100000,12,FALSE)</f>
        <v/>
      </c>
      <c r="M346" s="47" t="n"/>
      <c r="N346" s="88" t="n">
        <v>45821</v>
      </c>
      <c r="O346" s="91" t="inlineStr">
        <is>
          <t>PHILIPPOS CONSTANTINIDES TRADING CO. LTD (CIPRO)</t>
        </is>
      </c>
      <c r="P346" s="154" t="inlineStr">
        <is>
          <t xml:space="preserve">IMPORT LICENSE N. 218 DEL 12/08/2020                                                                                         AUT. TRASFERIMENTO N. 6B/2025/1D RILASCIATA IL 30/05/2025   </t>
        </is>
      </c>
      <c r="Q346" s="150" t="n"/>
      <c r="R346" s="150" t="n"/>
      <c r="S346" s="153" t="n"/>
    </row>
    <row r="347" ht="36" customHeight="1">
      <c r="A347" s="46" t="n">
        <v>2677</v>
      </c>
      <c r="B347" s="4">
        <f>+VLOOKUP($A347,MAGAZZINO!$B$2:$M$100000,2,FALSE)</f>
        <v/>
      </c>
      <c r="C347" s="29">
        <f>+VLOOKUP($A347,MAGAZZINO!$B$2:$M$100000,3,FALSE)</f>
        <v/>
      </c>
      <c r="D347" s="3">
        <f>+VLOOKUP($A347,MAGAZZINO!$B$2:$M$100000,4,FALSE)</f>
        <v/>
      </c>
      <c r="E347" s="3">
        <f>+VLOOKUP($A347,MAGAZZINO!$B$2:$M$100000,5,FALSE)</f>
        <v/>
      </c>
      <c r="F347" s="3">
        <f>+VLOOKUP($A347,MAGAZZINO!$B$2:$M$100000,6,FALSE)</f>
        <v/>
      </c>
      <c r="G347" s="3">
        <f>+VLOOKUP($A347,MAGAZZINO!$B$2:$M$100000,7,FALSE)</f>
        <v/>
      </c>
      <c r="H347" s="3">
        <f>+VLOOKUP($A347,MAGAZZINO!$B$2:$M$100000,8,FALSE)</f>
        <v/>
      </c>
      <c r="I347" s="3">
        <f>+VLOOKUP($A347,MAGAZZINO!$B$2:$M$100000,9,FALSE)</f>
        <v/>
      </c>
      <c r="J347" s="3">
        <f>+VLOOKUP($A347,MAGAZZINO!$B$2:$M$100000,10,FALSE)</f>
        <v/>
      </c>
      <c r="K347" s="3">
        <f>+VLOOKUP($A347,MAGAZZINO!$B$2:$M$100000,11,FALSE)</f>
        <v/>
      </c>
      <c r="L347" s="5">
        <f>+VLOOKUP($A347,MAGAZZINO!$B$2:$M$100000,12,FALSE)</f>
        <v/>
      </c>
      <c r="M347" s="47" t="n"/>
      <c r="N347" s="88" t="n">
        <v>45821</v>
      </c>
      <c r="O347" s="91" t="inlineStr">
        <is>
          <t>PHILIPPOS CONSTANTINIDES TRADING CO. LTD (CIPRO)</t>
        </is>
      </c>
      <c r="P347" s="154" t="inlineStr">
        <is>
          <t xml:space="preserve">IMPORT LICENSE N. 218 DEL 12/08/2020                                                                                         AUT. TRASFERIMENTO N. 6B/2025/1D RILASCIATA IL 30/05/2025   </t>
        </is>
      </c>
      <c r="Q347" s="150" t="n"/>
      <c r="R347" s="150" t="n"/>
      <c r="S347" s="153" t="n"/>
    </row>
    <row r="348" ht="36" customHeight="1">
      <c r="A348" s="46" t="n">
        <v>2678</v>
      </c>
      <c r="B348" s="4">
        <f>+VLOOKUP($A348,MAGAZZINO!$B$2:$M$100000,2,FALSE)</f>
        <v/>
      </c>
      <c r="C348" s="29">
        <f>+VLOOKUP($A348,MAGAZZINO!$B$2:$M$100000,3,FALSE)</f>
        <v/>
      </c>
      <c r="D348" s="3">
        <f>+VLOOKUP($A348,MAGAZZINO!$B$2:$M$100000,4,FALSE)</f>
        <v/>
      </c>
      <c r="E348" s="3">
        <f>+VLOOKUP($A348,MAGAZZINO!$B$2:$M$100000,5,FALSE)</f>
        <v/>
      </c>
      <c r="F348" s="3">
        <f>+VLOOKUP($A348,MAGAZZINO!$B$2:$M$100000,6,FALSE)</f>
        <v/>
      </c>
      <c r="G348" s="3">
        <f>+VLOOKUP($A348,MAGAZZINO!$B$2:$M$100000,7,FALSE)</f>
        <v/>
      </c>
      <c r="H348" s="3">
        <f>+VLOOKUP($A348,MAGAZZINO!$B$2:$M$100000,8,FALSE)</f>
        <v/>
      </c>
      <c r="I348" s="3">
        <f>+VLOOKUP($A348,MAGAZZINO!$B$2:$M$100000,9,FALSE)</f>
        <v/>
      </c>
      <c r="J348" s="3">
        <f>+VLOOKUP($A348,MAGAZZINO!$B$2:$M$100000,10,FALSE)</f>
        <v/>
      </c>
      <c r="K348" s="3">
        <f>+VLOOKUP($A348,MAGAZZINO!$B$2:$M$100000,11,FALSE)</f>
        <v/>
      </c>
      <c r="L348" s="5">
        <f>+VLOOKUP($A348,MAGAZZINO!$B$2:$M$100000,12,FALSE)</f>
        <v/>
      </c>
      <c r="M348" s="47" t="n"/>
      <c r="N348" s="88" t="n">
        <v>45821</v>
      </c>
      <c r="O348" s="91" t="inlineStr">
        <is>
          <t>PHILIPPOS CONSTANTINIDES TRADING CO. LTD (CIPRO)</t>
        </is>
      </c>
      <c r="P348" s="154" t="inlineStr">
        <is>
          <t xml:space="preserve">IMPORT LICENSE N. 218 DEL 12/08/2020                                                                                         AUT. TRASFERIMENTO N. 6B/2025/1D RILASCIATA IL 30/05/2025   </t>
        </is>
      </c>
      <c r="Q348" s="150" t="n"/>
      <c r="R348" s="150" t="n"/>
      <c r="S348" s="153" t="n"/>
    </row>
    <row r="349" ht="36" customHeight="1">
      <c r="A349" s="46" t="n">
        <v>2679</v>
      </c>
      <c r="B349" s="4">
        <f>+VLOOKUP($A349,MAGAZZINO!$B$2:$M$100000,2,FALSE)</f>
        <v/>
      </c>
      <c r="C349" s="29">
        <f>+VLOOKUP($A349,MAGAZZINO!$B$2:$M$100000,3,FALSE)</f>
        <v/>
      </c>
      <c r="D349" s="3">
        <f>+VLOOKUP($A349,MAGAZZINO!$B$2:$M$100000,4,FALSE)</f>
        <v/>
      </c>
      <c r="E349" s="3">
        <f>+VLOOKUP($A349,MAGAZZINO!$B$2:$M$100000,5,FALSE)</f>
        <v/>
      </c>
      <c r="F349" s="3">
        <f>+VLOOKUP($A349,MAGAZZINO!$B$2:$M$100000,6,FALSE)</f>
        <v/>
      </c>
      <c r="G349" s="3">
        <f>+VLOOKUP($A349,MAGAZZINO!$B$2:$M$100000,7,FALSE)</f>
        <v/>
      </c>
      <c r="H349" s="3">
        <f>+VLOOKUP($A349,MAGAZZINO!$B$2:$M$100000,8,FALSE)</f>
        <v/>
      </c>
      <c r="I349" s="3">
        <f>+VLOOKUP($A349,MAGAZZINO!$B$2:$M$100000,9,FALSE)</f>
        <v/>
      </c>
      <c r="J349" s="3">
        <f>+VLOOKUP($A349,MAGAZZINO!$B$2:$M$100000,10,FALSE)</f>
        <v/>
      </c>
      <c r="K349" s="3">
        <f>+VLOOKUP($A349,MAGAZZINO!$B$2:$M$100000,11,FALSE)</f>
        <v/>
      </c>
      <c r="L349" s="5">
        <f>+VLOOKUP($A349,MAGAZZINO!$B$2:$M$100000,12,FALSE)</f>
        <v/>
      </c>
      <c r="M349" s="47" t="n"/>
      <c r="N349" s="88" t="n">
        <v>45821</v>
      </c>
      <c r="O349" s="91" t="inlineStr">
        <is>
          <t>PHILIPPOS CONSTANTINIDES TRADING CO. LTD (CIPRO)</t>
        </is>
      </c>
      <c r="P349" s="154" t="inlineStr">
        <is>
          <t xml:space="preserve">IMPORT LICENSE N. 218 DEL 12/08/2020                                                                                         AUT. TRASFERIMENTO N. 6B/2025/1D RILASCIATA IL 30/05/2025   </t>
        </is>
      </c>
      <c r="Q349" s="150" t="n"/>
      <c r="R349" s="150" t="n"/>
      <c r="S349" s="153" t="n"/>
    </row>
    <row r="350" ht="36" customHeight="1">
      <c r="A350" s="46" t="n">
        <v>2680</v>
      </c>
      <c r="B350" s="4">
        <f>+VLOOKUP($A350,MAGAZZINO!$B$2:$M$100000,2,FALSE)</f>
        <v/>
      </c>
      <c r="C350" s="29">
        <f>+VLOOKUP($A350,MAGAZZINO!$B$2:$M$100000,3,FALSE)</f>
        <v/>
      </c>
      <c r="D350" s="3">
        <f>+VLOOKUP($A350,MAGAZZINO!$B$2:$M$100000,4,FALSE)</f>
        <v/>
      </c>
      <c r="E350" s="3">
        <f>+VLOOKUP($A350,MAGAZZINO!$B$2:$M$100000,5,FALSE)</f>
        <v/>
      </c>
      <c r="F350" s="3">
        <f>+VLOOKUP($A350,MAGAZZINO!$B$2:$M$100000,6,FALSE)</f>
        <v/>
      </c>
      <c r="G350" s="3">
        <f>+VLOOKUP($A350,MAGAZZINO!$B$2:$M$100000,7,FALSE)</f>
        <v/>
      </c>
      <c r="H350" s="3">
        <f>+VLOOKUP($A350,MAGAZZINO!$B$2:$M$100000,8,FALSE)</f>
        <v/>
      </c>
      <c r="I350" s="3">
        <f>+VLOOKUP($A350,MAGAZZINO!$B$2:$M$100000,9,FALSE)</f>
        <v/>
      </c>
      <c r="J350" s="3">
        <f>+VLOOKUP($A350,MAGAZZINO!$B$2:$M$100000,10,FALSE)</f>
        <v/>
      </c>
      <c r="K350" s="3">
        <f>+VLOOKUP($A350,MAGAZZINO!$B$2:$M$100000,11,FALSE)</f>
        <v/>
      </c>
      <c r="L350" s="5">
        <f>+VLOOKUP($A350,MAGAZZINO!$B$2:$M$100000,12,FALSE)</f>
        <v/>
      </c>
      <c r="M350" s="47" t="n"/>
      <c r="N350" s="88" t="n">
        <v>45821</v>
      </c>
      <c r="O350" s="91" t="inlineStr">
        <is>
          <t>PHILIPPOS CONSTANTINIDES TRADING CO. LTD (CIPRO)</t>
        </is>
      </c>
      <c r="P350" s="154" t="inlineStr">
        <is>
          <t xml:space="preserve">IMPORT LICENSE N. 218 DEL 12/08/2020                                                                                         AUT. TRASFERIMENTO N. 6B/2025/1D RILASCIATA IL 30/05/2025   </t>
        </is>
      </c>
      <c r="Q350" s="150" t="n"/>
      <c r="R350" s="150" t="n"/>
      <c r="S350" s="153" t="n"/>
    </row>
    <row r="351" ht="36" customHeight="1">
      <c r="A351" s="46" t="n">
        <v>2681</v>
      </c>
      <c r="B351" s="4">
        <f>+VLOOKUP($A351,MAGAZZINO!$B$2:$M$100000,2,FALSE)</f>
        <v/>
      </c>
      <c r="C351" s="29">
        <f>+VLOOKUP($A351,MAGAZZINO!$B$2:$M$100000,3,FALSE)</f>
        <v/>
      </c>
      <c r="D351" s="3">
        <f>+VLOOKUP($A351,MAGAZZINO!$B$2:$M$100000,4,FALSE)</f>
        <v/>
      </c>
      <c r="E351" s="3">
        <f>+VLOOKUP($A351,MAGAZZINO!$B$2:$M$100000,5,FALSE)</f>
        <v/>
      </c>
      <c r="F351" s="3">
        <f>+VLOOKUP($A351,MAGAZZINO!$B$2:$M$100000,6,FALSE)</f>
        <v/>
      </c>
      <c r="G351" s="3">
        <f>+VLOOKUP($A351,MAGAZZINO!$B$2:$M$100000,7,FALSE)</f>
        <v/>
      </c>
      <c r="H351" s="3">
        <f>+VLOOKUP($A351,MAGAZZINO!$B$2:$M$100000,8,FALSE)</f>
        <v/>
      </c>
      <c r="I351" s="3">
        <f>+VLOOKUP($A351,MAGAZZINO!$B$2:$M$100000,9,FALSE)</f>
        <v/>
      </c>
      <c r="J351" s="3">
        <f>+VLOOKUP($A351,MAGAZZINO!$B$2:$M$100000,10,FALSE)</f>
        <v/>
      </c>
      <c r="K351" s="3">
        <f>+VLOOKUP($A351,MAGAZZINO!$B$2:$M$100000,11,FALSE)</f>
        <v/>
      </c>
      <c r="L351" s="5">
        <f>+VLOOKUP($A351,MAGAZZINO!$B$2:$M$100000,12,FALSE)</f>
        <v/>
      </c>
      <c r="M351" s="47" t="n"/>
      <c r="N351" s="88" t="n">
        <v>45821</v>
      </c>
      <c r="O351" s="91" t="inlineStr">
        <is>
          <t>PHILIPPOS CONSTANTINIDES TRADING CO. LTD (CIPRO)</t>
        </is>
      </c>
      <c r="P351" s="154" t="inlineStr">
        <is>
          <t xml:space="preserve">IMPORT LICENSE N. 218 DEL 12/08/2020                                                                                         AUT. TRASFERIMENTO N. 6B/2025/1D RILASCIATA IL 30/05/2025   </t>
        </is>
      </c>
      <c r="Q351" s="150" t="n"/>
      <c r="R351" s="150" t="n"/>
      <c r="S351" s="153" t="n"/>
    </row>
    <row r="352" ht="36" customHeight="1">
      <c r="A352" s="46" t="n">
        <v>2682</v>
      </c>
      <c r="B352" s="4">
        <f>+VLOOKUP($A352,MAGAZZINO!$B$2:$M$100000,2,FALSE)</f>
        <v/>
      </c>
      <c r="C352" s="29">
        <f>+VLOOKUP($A352,MAGAZZINO!$B$2:$M$100000,3,FALSE)</f>
        <v/>
      </c>
      <c r="D352" s="3">
        <f>+VLOOKUP($A352,MAGAZZINO!$B$2:$M$100000,4,FALSE)</f>
        <v/>
      </c>
      <c r="E352" s="3">
        <f>+VLOOKUP($A352,MAGAZZINO!$B$2:$M$100000,5,FALSE)</f>
        <v/>
      </c>
      <c r="F352" s="3">
        <f>+VLOOKUP($A352,MAGAZZINO!$B$2:$M$100000,6,FALSE)</f>
        <v/>
      </c>
      <c r="G352" s="3">
        <f>+VLOOKUP($A352,MAGAZZINO!$B$2:$M$100000,7,FALSE)</f>
        <v/>
      </c>
      <c r="H352" s="3">
        <f>+VLOOKUP($A352,MAGAZZINO!$B$2:$M$100000,8,FALSE)</f>
        <v/>
      </c>
      <c r="I352" s="3">
        <f>+VLOOKUP($A352,MAGAZZINO!$B$2:$M$100000,9,FALSE)</f>
        <v/>
      </c>
      <c r="J352" s="3">
        <f>+VLOOKUP($A352,MAGAZZINO!$B$2:$M$100000,10,FALSE)</f>
        <v/>
      </c>
      <c r="K352" s="3">
        <f>+VLOOKUP($A352,MAGAZZINO!$B$2:$M$100000,11,FALSE)</f>
        <v/>
      </c>
      <c r="L352" s="5">
        <f>+VLOOKUP($A352,MAGAZZINO!$B$2:$M$100000,12,FALSE)</f>
        <v/>
      </c>
      <c r="M352" s="47" t="n"/>
      <c r="N352" s="89" t="n"/>
      <c r="O352" s="91" t="n"/>
      <c r="P352" s="154" t="n"/>
      <c r="Q352" s="150" t="n"/>
      <c r="R352" s="150" t="n"/>
      <c r="S352" s="153" t="n"/>
    </row>
    <row r="353" ht="36" customHeight="1">
      <c r="A353" s="46" t="n">
        <v>2683</v>
      </c>
      <c r="B353" s="4">
        <f>+VLOOKUP($A353,MAGAZZINO!$B$2:$M$100000,2,FALSE)</f>
        <v/>
      </c>
      <c r="C353" s="29">
        <f>+VLOOKUP($A353,MAGAZZINO!$B$2:$M$100000,3,FALSE)</f>
        <v/>
      </c>
      <c r="D353" s="3">
        <f>+VLOOKUP($A353,MAGAZZINO!$B$2:$M$100000,4,FALSE)</f>
        <v/>
      </c>
      <c r="E353" s="3">
        <f>+VLOOKUP($A353,MAGAZZINO!$B$2:$M$100000,5,FALSE)</f>
        <v/>
      </c>
      <c r="F353" s="3">
        <f>+VLOOKUP($A353,MAGAZZINO!$B$2:$M$100000,6,FALSE)</f>
        <v/>
      </c>
      <c r="G353" s="3">
        <f>+VLOOKUP($A353,MAGAZZINO!$B$2:$M$100000,7,FALSE)</f>
        <v/>
      </c>
      <c r="H353" s="3">
        <f>+VLOOKUP($A353,MAGAZZINO!$B$2:$M$100000,8,FALSE)</f>
        <v/>
      </c>
      <c r="I353" s="3">
        <f>+VLOOKUP($A353,MAGAZZINO!$B$2:$M$100000,9,FALSE)</f>
        <v/>
      </c>
      <c r="J353" s="3">
        <f>+VLOOKUP($A353,MAGAZZINO!$B$2:$M$100000,10,FALSE)</f>
        <v/>
      </c>
      <c r="K353" s="3">
        <f>+VLOOKUP($A353,MAGAZZINO!$B$2:$M$100000,11,FALSE)</f>
        <v/>
      </c>
      <c r="L353" s="5">
        <f>+VLOOKUP($A353,MAGAZZINO!$B$2:$M$100000,12,FALSE)</f>
        <v/>
      </c>
      <c r="M353" s="47" t="n"/>
      <c r="N353" s="89" t="n"/>
      <c r="O353" s="91" t="n"/>
      <c r="P353" s="154" t="n"/>
      <c r="Q353" s="150" t="n"/>
      <c r="R353" s="150" t="n"/>
      <c r="S353" s="153" t="n"/>
    </row>
    <row r="354" ht="36" customHeight="1">
      <c r="A354" s="46" t="n">
        <v>2684</v>
      </c>
      <c r="B354" s="4">
        <f>+VLOOKUP($A354,MAGAZZINO!$B$2:$M$100000,2,FALSE)</f>
        <v/>
      </c>
      <c r="C354" s="29">
        <f>+VLOOKUP($A354,MAGAZZINO!$B$2:$M$100000,3,FALSE)</f>
        <v/>
      </c>
      <c r="D354" s="3">
        <f>+VLOOKUP($A354,MAGAZZINO!$B$2:$M$100000,4,FALSE)</f>
        <v/>
      </c>
      <c r="E354" s="3">
        <f>+VLOOKUP($A354,MAGAZZINO!$B$2:$M$100000,5,FALSE)</f>
        <v/>
      </c>
      <c r="F354" s="3">
        <f>+VLOOKUP($A354,MAGAZZINO!$B$2:$M$100000,6,FALSE)</f>
        <v/>
      </c>
      <c r="G354" s="3">
        <f>+VLOOKUP($A354,MAGAZZINO!$B$2:$M$100000,7,FALSE)</f>
        <v/>
      </c>
      <c r="H354" s="3">
        <f>+VLOOKUP($A354,MAGAZZINO!$B$2:$M$100000,8,FALSE)</f>
        <v/>
      </c>
      <c r="I354" s="3">
        <f>+VLOOKUP($A354,MAGAZZINO!$B$2:$M$100000,9,FALSE)</f>
        <v/>
      </c>
      <c r="J354" s="3">
        <f>+VLOOKUP($A354,MAGAZZINO!$B$2:$M$100000,10,FALSE)</f>
        <v/>
      </c>
      <c r="K354" s="3">
        <f>+VLOOKUP($A354,MAGAZZINO!$B$2:$M$100000,11,FALSE)</f>
        <v/>
      </c>
      <c r="L354" s="5">
        <f>+VLOOKUP($A354,MAGAZZINO!$B$2:$M$100000,12,FALSE)</f>
        <v/>
      </c>
      <c r="M354" s="47" t="n"/>
      <c r="N354" s="89" t="n"/>
      <c r="O354" s="91" t="n"/>
      <c r="P354" s="154" t="n"/>
      <c r="Q354" s="150" t="n"/>
      <c r="R354" s="150" t="n"/>
      <c r="S354" s="153" t="n"/>
    </row>
    <row r="355" ht="36" customHeight="1">
      <c r="A355" s="46" t="n">
        <v>2685</v>
      </c>
      <c r="B355" s="4">
        <f>+VLOOKUP($A355,MAGAZZINO!$B$2:$M$100000,2,FALSE)</f>
        <v/>
      </c>
      <c r="C355" s="29">
        <f>+VLOOKUP($A355,MAGAZZINO!$B$2:$M$100000,3,FALSE)</f>
        <v/>
      </c>
      <c r="D355" s="3">
        <f>+VLOOKUP($A355,MAGAZZINO!$B$2:$M$100000,4,FALSE)</f>
        <v/>
      </c>
      <c r="E355" s="3">
        <f>+VLOOKUP($A355,MAGAZZINO!$B$2:$M$100000,5,FALSE)</f>
        <v/>
      </c>
      <c r="F355" s="3">
        <f>+VLOOKUP($A355,MAGAZZINO!$B$2:$M$100000,6,FALSE)</f>
        <v/>
      </c>
      <c r="G355" s="3">
        <f>+VLOOKUP($A355,MAGAZZINO!$B$2:$M$100000,7,FALSE)</f>
        <v/>
      </c>
      <c r="H355" s="3">
        <f>+VLOOKUP($A355,MAGAZZINO!$B$2:$M$100000,8,FALSE)</f>
        <v/>
      </c>
      <c r="I355" s="3">
        <f>+VLOOKUP($A355,MAGAZZINO!$B$2:$M$100000,9,FALSE)</f>
        <v/>
      </c>
      <c r="J355" s="3">
        <f>+VLOOKUP($A355,MAGAZZINO!$B$2:$M$100000,10,FALSE)</f>
        <v/>
      </c>
      <c r="K355" s="3">
        <f>+VLOOKUP($A355,MAGAZZINO!$B$2:$M$100000,11,FALSE)</f>
        <v/>
      </c>
      <c r="L355" s="5">
        <f>+VLOOKUP($A355,MAGAZZINO!$B$2:$M$100000,12,FALSE)</f>
        <v/>
      </c>
      <c r="M355" s="47" t="n"/>
      <c r="N355" s="89" t="n"/>
      <c r="O355" s="91" t="n"/>
      <c r="P355" s="154" t="n"/>
      <c r="Q355" s="150" t="n"/>
      <c r="R355" s="150" t="n"/>
      <c r="S355" s="153" t="n"/>
    </row>
    <row r="356" ht="36" customHeight="1">
      <c r="A356" s="46" t="n">
        <v>2686</v>
      </c>
      <c r="B356" s="4">
        <f>+VLOOKUP($A356,MAGAZZINO!$B$2:$M$100000,2,FALSE)</f>
        <v/>
      </c>
      <c r="C356" s="29">
        <f>+VLOOKUP($A356,MAGAZZINO!$B$2:$M$100000,3,FALSE)</f>
        <v/>
      </c>
      <c r="D356" s="3">
        <f>+VLOOKUP($A356,MAGAZZINO!$B$2:$M$100000,4,FALSE)</f>
        <v/>
      </c>
      <c r="E356" s="3">
        <f>+VLOOKUP($A356,MAGAZZINO!$B$2:$M$100000,5,FALSE)</f>
        <v/>
      </c>
      <c r="F356" s="3">
        <f>+VLOOKUP($A356,MAGAZZINO!$B$2:$M$100000,6,FALSE)</f>
        <v/>
      </c>
      <c r="G356" s="3">
        <f>+VLOOKUP($A356,MAGAZZINO!$B$2:$M$100000,7,FALSE)</f>
        <v/>
      </c>
      <c r="H356" s="3">
        <f>+VLOOKUP($A356,MAGAZZINO!$B$2:$M$100000,8,FALSE)</f>
        <v/>
      </c>
      <c r="I356" s="3">
        <f>+VLOOKUP($A356,MAGAZZINO!$B$2:$M$100000,9,FALSE)</f>
        <v/>
      </c>
      <c r="J356" s="3">
        <f>+VLOOKUP($A356,MAGAZZINO!$B$2:$M$100000,10,FALSE)</f>
        <v/>
      </c>
      <c r="K356" s="3">
        <f>+VLOOKUP($A356,MAGAZZINO!$B$2:$M$100000,11,FALSE)</f>
        <v/>
      </c>
      <c r="L356" s="5">
        <f>+VLOOKUP($A356,MAGAZZINO!$B$2:$M$100000,12,FALSE)</f>
        <v/>
      </c>
      <c r="M356" s="47" t="n"/>
      <c r="N356" s="89" t="n"/>
      <c r="O356" s="91" t="n"/>
      <c r="P356" s="154" t="n"/>
      <c r="Q356" s="150" t="n"/>
      <c r="R356" s="150" t="n"/>
      <c r="S356" s="153" t="n"/>
    </row>
    <row r="357" ht="36" customHeight="1">
      <c r="A357" s="46" t="n">
        <v>2687</v>
      </c>
      <c r="B357" s="4">
        <f>+VLOOKUP($A357,MAGAZZINO!$B$2:$M$100000,2,FALSE)</f>
        <v/>
      </c>
      <c r="C357" s="29">
        <f>+VLOOKUP($A357,MAGAZZINO!$B$2:$M$100000,3,FALSE)</f>
        <v/>
      </c>
      <c r="D357" s="3">
        <f>+VLOOKUP($A357,MAGAZZINO!$B$2:$M$100000,4,FALSE)</f>
        <v/>
      </c>
      <c r="E357" s="3">
        <f>+VLOOKUP($A357,MAGAZZINO!$B$2:$M$100000,5,FALSE)</f>
        <v/>
      </c>
      <c r="F357" s="3">
        <f>+VLOOKUP($A357,MAGAZZINO!$B$2:$M$100000,6,FALSE)</f>
        <v/>
      </c>
      <c r="G357" s="3">
        <f>+VLOOKUP($A357,MAGAZZINO!$B$2:$M$100000,7,FALSE)</f>
        <v/>
      </c>
      <c r="H357" s="3">
        <f>+VLOOKUP($A357,MAGAZZINO!$B$2:$M$100000,8,FALSE)</f>
        <v/>
      </c>
      <c r="I357" s="3">
        <f>+VLOOKUP($A357,MAGAZZINO!$B$2:$M$100000,9,FALSE)</f>
        <v/>
      </c>
      <c r="J357" s="3">
        <f>+VLOOKUP($A357,MAGAZZINO!$B$2:$M$100000,10,FALSE)</f>
        <v/>
      </c>
      <c r="K357" s="3">
        <f>+VLOOKUP($A357,MAGAZZINO!$B$2:$M$100000,11,FALSE)</f>
        <v/>
      </c>
      <c r="L357" s="5">
        <f>+VLOOKUP($A357,MAGAZZINO!$B$2:$M$100000,12,FALSE)</f>
        <v/>
      </c>
      <c r="M357" s="47" t="n"/>
      <c r="N357" s="89" t="n"/>
      <c r="O357" s="91" t="n"/>
      <c r="P357" s="154" t="n"/>
      <c r="Q357" s="150" t="n"/>
      <c r="R357" s="150" t="n"/>
      <c r="S357" s="153" t="n"/>
    </row>
    <row r="358" ht="36" customHeight="1">
      <c r="A358" s="46" t="n">
        <v>2688</v>
      </c>
      <c r="B358" s="4">
        <f>+VLOOKUP($A358,MAGAZZINO!$B$2:$M$100000,2,FALSE)</f>
        <v/>
      </c>
      <c r="C358" s="29">
        <f>+VLOOKUP($A358,MAGAZZINO!$B$2:$M$100000,3,FALSE)</f>
        <v/>
      </c>
      <c r="D358" s="3">
        <f>+VLOOKUP($A358,MAGAZZINO!$B$2:$M$100000,4,FALSE)</f>
        <v/>
      </c>
      <c r="E358" s="3">
        <f>+VLOOKUP($A358,MAGAZZINO!$B$2:$M$100000,5,FALSE)</f>
        <v/>
      </c>
      <c r="F358" s="3">
        <f>+VLOOKUP($A358,MAGAZZINO!$B$2:$M$100000,6,FALSE)</f>
        <v/>
      </c>
      <c r="G358" s="3">
        <f>+VLOOKUP($A358,MAGAZZINO!$B$2:$M$100000,7,FALSE)</f>
        <v/>
      </c>
      <c r="H358" s="3">
        <f>+VLOOKUP($A358,MAGAZZINO!$B$2:$M$100000,8,FALSE)</f>
        <v/>
      </c>
      <c r="I358" s="3">
        <f>+VLOOKUP($A358,MAGAZZINO!$B$2:$M$100000,9,FALSE)</f>
        <v/>
      </c>
      <c r="J358" s="3">
        <f>+VLOOKUP($A358,MAGAZZINO!$B$2:$M$100000,10,FALSE)</f>
        <v/>
      </c>
      <c r="K358" s="3">
        <f>+VLOOKUP($A358,MAGAZZINO!$B$2:$M$100000,11,FALSE)</f>
        <v/>
      </c>
      <c r="L358" s="5">
        <f>+VLOOKUP($A358,MAGAZZINO!$B$2:$M$100000,12,FALSE)</f>
        <v/>
      </c>
      <c r="M358" s="47" t="n"/>
      <c r="N358" s="89" t="n"/>
      <c r="O358" s="91" t="n"/>
      <c r="P358" s="154" t="n"/>
      <c r="Q358" s="150" t="n"/>
      <c r="R358" s="150" t="n"/>
      <c r="S358" s="153" t="n"/>
    </row>
    <row r="359" ht="36" customHeight="1">
      <c r="A359" s="46" t="n">
        <v>2689</v>
      </c>
      <c r="B359" s="4">
        <f>+VLOOKUP($A359,MAGAZZINO!$B$2:$M$100000,2,FALSE)</f>
        <v/>
      </c>
      <c r="C359" s="29">
        <f>+VLOOKUP($A359,MAGAZZINO!$B$2:$M$100000,3,FALSE)</f>
        <v/>
      </c>
      <c r="D359" s="3">
        <f>+VLOOKUP($A359,MAGAZZINO!$B$2:$M$100000,4,FALSE)</f>
        <v/>
      </c>
      <c r="E359" s="3">
        <f>+VLOOKUP($A359,MAGAZZINO!$B$2:$M$100000,5,FALSE)</f>
        <v/>
      </c>
      <c r="F359" s="3">
        <f>+VLOOKUP($A359,MAGAZZINO!$B$2:$M$100000,6,FALSE)</f>
        <v/>
      </c>
      <c r="G359" s="3">
        <f>+VLOOKUP($A359,MAGAZZINO!$B$2:$M$100000,7,FALSE)</f>
        <v/>
      </c>
      <c r="H359" s="3">
        <f>+VLOOKUP($A359,MAGAZZINO!$B$2:$M$100000,8,FALSE)</f>
        <v/>
      </c>
      <c r="I359" s="3">
        <f>+VLOOKUP($A359,MAGAZZINO!$B$2:$M$100000,9,FALSE)</f>
        <v/>
      </c>
      <c r="J359" s="3">
        <f>+VLOOKUP($A359,MAGAZZINO!$B$2:$M$100000,10,FALSE)</f>
        <v/>
      </c>
      <c r="K359" s="3">
        <f>+VLOOKUP($A359,MAGAZZINO!$B$2:$M$100000,11,FALSE)</f>
        <v/>
      </c>
      <c r="L359" s="5">
        <f>+VLOOKUP($A359,MAGAZZINO!$B$2:$M$100000,12,FALSE)</f>
        <v/>
      </c>
      <c r="M359" s="47" t="n"/>
      <c r="N359" s="89" t="n"/>
      <c r="O359" s="91" t="n"/>
      <c r="P359" s="154" t="n"/>
      <c r="Q359" s="150" t="n"/>
      <c r="R359" s="150" t="n"/>
      <c r="S359" s="153" t="n"/>
    </row>
    <row r="360" ht="36" customHeight="1">
      <c r="A360" s="46" t="n">
        <v>2690</v>
      </c>
      <c r="B360" s="4">
        <f>+VLOOKUP($A360,MAGAZZINO!$B$2:$M$100000,2,FALSE)</f>
        <v/>
      </c>
      <c r="C360" s="29">
        <f>+VLOOKUP($A360,MAGAZZINO!$B$2:$M$100000,3,FALSE)</f>
        <v/>
      </c>
      <c r="D360" s="3">
        <f>+VLOOKUP($A360,MAGAZZINO!$B$2:$M$100000,4,FALSE)</f>
        <v/>
      </c>
      <c r="E360" s="3">
        <f>+VLOOKUP($A360,MAGAZZINO!$B$2:$M$100000,5,FALSE)</f>
        <v/>
      </c>
      <c r="F360" s="3">
        <f>+VLOOKUP($A360,MAGAZZINO!$B$2:$M$100000,6,FALSE)</f>
        <v/>
      </c>
      <c r="G360" s="3">
        <f>+VLOOKUP($A360,MAGAZZINO!$B$2:$M$100000,7,FALSE)</f>
        <v/>
      </c>
      <c r="H360" s="3">
        <f>+VLOOKUP($A360,MAGAZZINO!$B$2:$M$100000,8,FALSE)</f>
        <v/>
      </c>
      <c r="I360" s="3">
        <f>+VLOOKUP($A360,MAGAZZINO!$B$2:$M$100000,9,FALSE)</f>
        <v/>
      </c>
      <c r="J360" s="3">
        <f>+VLOOKUP($A360,MAGAZZINO!$B$2:$M$100000,10,FALSE)</f>
        <v/>
      </c>
      <c r="K360" s="3">
        <f>+VLOOKUP($A360,MAGAZZINO!$B$2:$M$100000,11,FALSE)</f>
        <v/>
      </c>
      <c r="L360" s="5">
        <f>+VLOOKUP($A360,MAGAZZINO!$B$2:$M$100000,12,FALSE)</f>
        <v/>
      </c>
      <c r="M360" s="47" t="n"/>
      <c r="N360" s="88" t="n">
        <v>45874</v>
      </c>
      <c r="O360" s="91" t="inlineStr">
        <is>
          <t>PHILIPPOS CONSTANTINIDES TRADING CO. LTD (CIPRO)</t>
        </is>
      </c>
      <c r="P360" s="154" t="inlineStr">
        <is>
          <t xml:space="preserve">IMPORT LICENSE N. 218 DEL 12/08/2020                                                                                         AUT. TRASFERIMENTO N. 6B/2025/3D RILASCIATA IL 28/07/2025   </t>
        </is>
      </c>
      <c r="Q360" s="150" t="n"/>
      <c r="R360" s="150" t="n"/>
      <c r="S360" s="153" t="n"/>
    </row>
    <row r="361" ht="36" customHeight="1">
      <c r="A361" s="46" t="n">
        <v>2691</v>
      </c>
      <c r="B361" s="4">
        <f>+VLOOKUP($A361,MAGAZZINO!$B$2:$M$100000,2,FALSE)</f>
        <v/>
      </c>
      <c r="C361" s="29">
        <f>+VLOOKUP($A361,MAGAZZINO!$B$2:$M$100000,3,FALSE)</f>
        <v/>
      </c>
      <c r="D361" s="3">
        <f>+VLOOKUP($A361,MAGAZZINO!$B$2:$M$100000,4,FALSE)</f>
        <v/>
      </c>
      <c r="E361" s="3">
        <f>+VLOOKUP($A361,MAGAZZINO!$B$2:$M$100000,5,FALSE)</f>
        <v/>
      </c>
      <c r="F361" s="3">
        <f>+VLOOKUP($A361,MAGAZZINO!$B$2:$M$100000,6,FALSE)</f>
        <v/>
      </c>
      <c r="G361" s="3">
        <f>+VLOOKUP($A361,MAGAZZINO!$B$2:$M$100000,7,FALSE)</f>
        <v/>
      </c>
      <c r="H361" s="3">
        <f>+VLOOKUP($A361,MAGAZZINO!$B$2:$M$100000,8,FALSE)</f>
        <v/>
      </c>
      <c r="I361" s="3">
        <f>+VLOOKUP($A361,MAGAZZINO!$B$2:$M$100000,9,FALSE)</f>
        <v/>
      </c>
      <c r="J361" s="3">
        <f>+VLOOKUP($A361,MAGAZZINO!$B$2:$M$100000,10,FALSE)</f>
        <v/>
      </c>
      <c r="K361" s="3">
        <f>+VLOOKUP($A361,MAGAZZINO!$B$2:$M$100000,11,FALSE)</f>
        <v/>
      </c>
      <c r="L361" s="5">
        <f>+VLOOKUP($A361,MAGAZZINO!$B$2:$M$100000,12,FALSE)</f>
        <v/>
      </c>
      <c r="M361" s="47" t="n"/>
      <c r="N361" s="89" t="n">
        <v>45769</v>
      </c>
      <c r="O361" s="91" t="inlineStr">
        <is>
          <t>HS &amp; LLC (OMAN)</t>
        </is>
      </c>
      <c r="P361" s="154" t="inlineStr">
        <is>
          <t>IMPORT LICENSE N. 24/1/2463/1/2024 DEL 05/05/2024                                                              AUT. ESPORTAZIONE MULTIPLA N. 6B/2024/2M RILASCIATA IL 30/07/2024   (LICENZA DI SCARICO N. 6B/2025/1S RILASCIATA IL 15/04/2025)</t>
        </is>
      </c>
      <c r="Q361" s="150" t="n"/>
      <c r="R361" s="150" t="n"/>
      <c r="S361" s="153" t="n"/>
    </row>
    <row r="362" ht="36" customHeight="1">
      <c r="A362" s="46" t="n">
        <v>2692</v>
      </c>
      <c r="B362" s="4">
        <f>+VLOOKUP($A362,MAGAZZINO!$B$2:$M$100000,2,FALSE)</f>
        <v/>
      </c>
      <c r="C362" s="29">
        <f>+VLOOKUP($A362,MAGAZZINO!$B$2:$M$100000,3,FALSE)</f>
        <v/>
      </c>
      <c r="D362" s="3">
        <f>+VLOOKUP($A362,MAGAZZINO!$B$2:$M$100000,4,FALSE)</f>
        <v/>
      </c>
      <c r="E362" s="3">
        <f>+VLOOKUP($A362,MAGAZZINO!$B$2:$M$100000,5,FALSE)</f>
        <v/>
      </c>
      <c r="F362" s="3">
        <f>+VLOOKUP($A362,MAGAZZINO!$B$2:$M$100000,6,FALSE)</f>
        <v/>
      </c>
      <c r="G362" s="3">
        <f>+VLOOKUP($A362,MAGAZZINO!$B$2:$M$100000,7,FALSE)</f>
        <v/>
      </c>
      <c r="H362" s="3">
        <f>+VLOOKUP($A362,MAGAZZINO!$B$2:$M$100000,8,FALSE)</f>
        <v/>
      </c>
      <c r="I362" s="3">
        <f>+VLOOKUP($A362,MAGAZZINO!$B$2:$M$100000,9,FALSE)</f>
        <v/>
      </c>
      <c r="J362" s="3">
        <f>+VLOOKUP($A362,MAGAZZINO!$B$2:$M$100000,10,FALSE)</f>
        <v/>
      </c>
      <c r="K362" s="3">
        <f>+VLOOKUP($A362,MAGAZZINO!$B$2:$M$100000,11,FALSE)</f>
        <v/>
      </c>
      <c r="L362" s="5">
        <f>+VLOOKUP($A362,MAGAZZINO!$B$2:$M$100000,12,FALSE)</f>
        <v/>
      </c>
      <c r="M362" s="47" t="n"/>
      <c r="N362" s="89" t="n">
        <v>45769</v>
      </c>
      <c r="O362" s="91" t="inlineStr">
        <is>
          <t>HS &amp; LLC (OMAN)</t>
        </is>
      </c>
      <c r="P362" s="154" t="inlineStr">
        <is>
          <t>IMPORT LICENSE N. 24/1/2463/1/2024 DEL 05/05/2024                                                              AUT. ESPORTAZIONE MULTIPLA N. 6B/2024/2M RILASCIATA IL 30/07/2024   (LICENZA DI SCARICO N. 6B/2025/1S RILASCIATA IL 15/04/2025)</t>
        </is>
      </c>
      <c r="Q362" s="150" t="n"/>
      <c r="R362" s="150" t="n"/>
      <c r="S362" s="153" t="n"/>
    </row>
    <row r="363" ht="36" customHeight="1">
      <c r="A363" s="46" t="n">
        <v>2693</v>
      </c>
      <c r="B363" s="4">
        <f>+VLOOKUP($A363,MAGAZZINO!$B$2:$M$100000,2,FALSE)</f>
        <v/>
      </c>
      <c r="C363" s="29">
        <f>+VLOOKUP($A363,MAGAZZINO!$B$2:$M$100000,3,FALSE)</f>
        <v/>
      </c>
      <c r="D363" s="3">
        <f>+VLOOKUP($A363,MAGAZZINO!$B$2:$M$100000,4,FALSE)</f>
        <v/>
      </c>
      <c r="E363" s="3">
        <f>+VLOOKUP($A363,MAGAZZINO!$B$2:$M$100000,5,FALSE)</f>
        <v/>
      </c>
      <c r="F363" s="3">
        <f>+VLOOKUP($A363,MAGAZZINO!$B$2:$M$100000,6,FALSE)</f>
        <v/>
      </c>
      <c r="G363" s="3">
        <f>+VLOOKUP($A363,MAGAZZINO!$B$2:$M$100000,7,FALSE)</f>
        <v/>
      </c>
      <c r="H363" s="3">
        <f>+VLOOKUP($A363,MAGAZZINO!$B$2:$M$100000,8,FALSE)</f>
        <v/>
      </c>
      <c r="I363" s="3">
        <f>+VLOOKUP($A363,MAGAZZINO!$B$2:$M$100000,9,FALSE)</f>
        <v/>
      </c>
      <c r="J363" s="3">
        <f>+VLOOKUP($A363,MAGAZZINO!$B$2:$M$100000,10,FALSE)</f>
        <v/>
      </c>
      <c r="K363" s="3">
        <f>+VLOOKUP($A363,MAGAZZINO!$B$2:$M$100000,11,FALSE)</f>
        <v/>
      </c>
      <c r="L363" s="5">
        <f>+VLOOKUP($A363,MAGAZZINO!$B$2:$M$100000,12,FALSE)</f>
        <v/>
      </c>
      <c r="M363" s="47" t="n"/>
      <c r="N363" s="89" t="n">
        <v>45769</v>
      </c>
      <c r="O363" s="91" t="inlineStr">
        <is>
          <t>HS &amp; LLC (OMAN)</t>
        </is>
      </c>
      <c r="P363" s="154" t="inlineStr">
        <is>
          <t>IMPORT LICENSE N. 24/1/2463/1/2024 DEL 05/05/2024                                                              AUT. ESPORTAZIONE MULTIPLA N. 6B/2024/2M RILASCIATA IL 30/07/2024   (LICENZA DI SCARICO N. 6B/2025/1S RILASCIATA IL 15/04/2025)</t>
        </is>
      </c>
      <c r="Q363" s="150" t="n"/>
      <c r="R363" s="150" t="n"/>
      <c r="S363" s="153" t="n"/>
    </row>
    <row r="364" ht="36" customHeight="1">
      <c r="A364" s="46" t="n">
        <v>2694</v>
      </c>
      <c r="B364" s="4">
        <f>+VLOOKUP($A364,MAGAZZINO!$B$2:$M$100000,2,FALSE)</f>
        <v/>
      </c>
      <c r="C364" s="29">
        <f>+VLOOKUP($A364,MAGAZZINO!$B$2:$M$100000,3,FALSE)</f>
        <v/>
      </c>
      <c r="D364" s="3">
        <f>+VLOOKUP($A364,MAGAZZINO!$B$2:$M$100000,4,FALSE)</f>
        <v/>
      </c>
      <c r="E364" s="3">
        <f>+VLOOKUP($A364,MAGAZZINO!$B$2:$M$100000,5,FALSE)</f>
        <v/>
      </c>
      <c r="F364" s="3">
        <f>+VLOOKUP($A364,MAGAZZINO!$B$2:$M$100000,6,FALSE)</f>
        <v/>
      </c>
      <c r="G364" s="3">
        <f>+VLOOKUP($A364,MAGAZZINO!$B$2:$M$100000,7,FALSE)</f>
        <v/>
      </c>
      <c r="H364" s="3">
        <f>+VLOOKUP($A364,MAGAZZINO!$B$2:$M$100000,8,FALSE)</f>
        <v/>
      </c>
      <c r="I364" s="3">
        <f>+VLOOKUP($A364,MAGAZZINO!$B$2:$M$100000,9,FALSE)</f>
        <v/>
      </c>
      <c r="J364" s="3">
        <f>+VLOOKUP($A364,MAGAZZINO!$B$2:$M$100000,10,FALSE)</f>
        <v/>
      </c>
      <c r="K364" s="3">
        <f>+VLOOKUP($A364,MAGAZZINO!$B$2:$M$100000,11,FALSE)</f>
        <v/>
      </c>
      <c r="L364" s="5">
        <f>+VLOOKUP($A364,MAGAZZINO!$B$2:$M$100000,12,FALSE)</f>
        <v/>
      </c>
      <c r="M364" s="47" t="n"/>
      <c r="N364" s="89" t="n">
        <v>45769</v>
      </c>
      <c r="O364" s="91" t="inlineStr">
        <is>
          <t>HS &amp; LLC (OMAN)</t>
        </is>
      </c>
      <c r="P364" s="154" t="inlineStr">
        <is>
          <t>IMPORT LICENSE N. 24/1/2463/1/2024 DEL 05/05/2024                                                              AUT. ESPORTAZIONE MULTIPLA N. 6B/2024/2M RILASCIATA IL 30/07/2024   (LICENZA DI SCARICO N. 6B/2025/1S RILASCIATA IL 15/04/2025)</t>
        </is>
      </c>
      <c r="Q364" s="150" t="n"/>
      <c r="R364" s="150" t="n"/>
      <c r="S364" s="153" t="n"/>
    </row>
    <row r="365" ht="36" customHeight="1">
      <c r="A365" s="46" t="n">
        <v>2695</v>
      </c>
      <c r="B365" s="4">
        <f>+VLOOKUP($A365,MAGAZZINO!$B$2:$M$100000,2,FALSE)</f>
        <v/>
      </c>
      <c r="C365" s="29">
        <f>+VLOOKUP($A365,MAGAZZINO!$B$2:$M$100000,3,FALSE)</f>
        <v/>
      </c>
      <c r="D365" s="3">
        <f>+VLOOKUP($A365,MAGAZZINO!$B$2:$M$100000,4,FALSE)</f>
        <v/>
      </c>
      <c r="E365" s="3">
        <f>+VLOOKUP($A365,MAGAZZINO!$B$2:$M$100000,5,FALSE)</f>
        <v/>
      </c>
      <c r="F365" s="3">
        <f>+VLOOKUP($A365,MAGAZZINO!$B$2:$M$100000,6,FALSE)</f>
        <v/>
      </c>
      <c r="G365" s="3">
        <f>+VLOOKUP($A365,MAGAZZINO!$B$2:$M$100000,7,FALSE)</f>
        <v/>
      </c>
      <c r="H365" s="3">
        <f>+VLOOKUP($A365,MAGAZZINO!$B$2:$M$100000,8,FALSE)</f>
        <v/>
      </c>
      <c r="I365" s="3">
        <f>+VLOOKUP($A365,MAGAZZINO!$B$2:$M$100000,9,FALSE)</f>
        <v/>
      </c>
      <c r="J365" s="3">
        <f>+VLOOKUP($A365,MAGAZZINO!$B$2:$M$100000,10,FALSE)</f>
        <v/>
      </c>
      <c r="K365" s="3">
        <f>+VLOOKUP($A365,MAGAZZINO!$B$2:$M$100000,11,FALSE)</f>
        <v/>
      </c>
      <c r="L365" s="5">
        <f>+VLOOKUP($A365,MAGAZZINO!$B$2:$M$100000,12,FALSE)</f>
        <v/>
      </c>
      <c r="M365" s="47" t="n"/>
      <c r="N365" s="89" t="n">
        <v>45769</v>
      </c>
      <c r="O365" s="91" t="inlineStr">
        <is>
          <t>HS &amp; LLC (OMAN)</t>
        </is>
      </c>
      <c r="P365" s="154" t="inlineStr">
        <is>
          <t>IMPORT LICENSE N. 24/1/2463/1/2024 DEL 05/05/2024                                                              AUT. ESPORTAZIONE MULTIPLA N. 6B/2024/2M RILASCIATA IL 30/07/2024   (LICENZA DI SCARICO N. 6B/2025/1S RILASCIATA IL 15/04/2025)</t>
        </is>
      </c>
      <c r="Q365" s="150" t="n"/>
      <c r="R365" s="150" t="n"/>
      <c r="S365" s="153" t="n"/>
    </row>
    <row r="366" ht="36" customHeight="1">
      <c r="A366" s="46" t="n">
        <v>2696</v>
      </c>
      <c r="B366" s="4">
        <f>+VLOOKUP($A366,MAGAZZINO!$B$2:$M$100000,2,FALSE)</f>
        <v/>
      </c>
      <c r="C366" s="29">
        <f>+VLOOKUP($A366,MAGAZZINO!$B$2:$M$100000,3,FALSE)</f>
        <v/>
      </c>
      <c r="D366" s="3">
        <f>+VLOOKUP($A366,MAGAZZINO!$B$2:$M$100000,4,FALSE)</f>
        <v/>
      </c>
      <c r="E366" s="3">
        <f>+VLOOKUP($A366,MAGAZZINO!$B$2:$M$100000,5,FALSE)</f>
        <v/>
      </c>
      <c r="F366" s="3">
        <f>+VLOOKUP($A366,MAGAZZINO!$B$2:$M$100000,6,FALSE)</f>
        <v/>
      </c>
      <c r="G366" s="3">
        <f>+VLOOKUP($A366,MAGAZZINO!$B$2:$M$100000,7,FALSE)</f>
        <v/>
      </c>
      <c r="H366" s="3">
        <f>+VLOOKUP($A366,MAGAZZINO!$B$2:$M$100000,8,FALSE)</f>
        <v/>
      </c>
      <c r="I366" s="3">
        <f>+VLOOKUP($A366,MAGAZZINO!$B$2:$M$100000,9,FALSE)</f>
        <v/>
      </c>
      <c r="J366" s="3">
        <f>+VLOOKUP($A366,MAGAZZINO!$B$2:$M$100000,10,FALSE)</f>
        <v/>
      </c>
      <c r="K366" s="3">
        <f>+VLOOKUP($A366,MAGAZZINO!$B$2:$M$100000,11,FALSE)</f>
        <v/>
      </c>
      <c r="L366" s="5">
        <f>+VLOOKUP($A366,MAGAZZINO!$B$2:$M$100000,12,FALSE)</f>
        <v/>
      </c>
      <c r="M366" s="47" t="n"/>
      <c r="N366" s="89" t="n">
        <v>45769</v>
      </c>
      <c r="O366" s="91" t="inlineStr">
        <is>
          <t>HS &amp; LLC (OMAN)</t>
        </is>
      </c>
      <c r="P366" s="154" t="inlineStr">
        <is>
          <t>IMPORT LICENSE N. 24/1/2463/1/2024 DEL 05/05/2024                                                              AUT. ESPORTAZIONE MULTIPLA N. 6B/2024/2M RILASCIATA IL 30/07/2024   (LICENZA DI SCARICO N. 6B/2025/1S RILASCIATA IL 15/04/2025)</t>
        </is>
      </c>
      <c r="Q366" s="150" t="n"/>
      <c r="R366" s="150" t="n"/>
      <c r="S366" s="153" t="n"/>
    </row>
    <row r="367" ht="36" customHeight="1">
      <c r="A367" s="46" t="n">
        <v>2697</v>
      </c>
      <c r="B367" s="4">
        <f>+VLOOKUP($A367,MAGAZZINO!$B$2:$M$100000,2,FALSE)</f>
        <v/>
      </c>
      <c r="C367" s="29">
        <f>+VLOOKUP($A367,MAGAZZINO!$B$2:$M$100000,3,FALSE)</f>
        <v/>
      </c>
      <c r="D367" s="3">
        <f>+VLOOKUP($A367,MAGAZZINO!$B$2:$M$100000,4,FALSE)</f>
        <v/>
      </c>
      <c r="E367" s="3">
        <f>+VLOOKUP($A367,MAGAZZINO!$B$2:$M$100000,5,FALSE)</f>
        <v/>
      </c>
      <c r="F367" s="3">
        <f>+VLOOKUP($A367,MAGAZZINO!$B$2:$M$100000,6,FALSE)</f>
        <v/>
      </c>
      <c r="G367" s="3">
        <f>+VLOOKUP($A367,MAGAZZINO!$B$2:$M$100000,7,FALSE)</f>
        <v/>
      </c>
      <c r="H367" s="3">
        <f>+VLOOKUP($A367,MAGAZZINO!$B$2:$M$100000,8,FALSE)</f>
        <v/>
      </c>
      <c r="I367" s="3">
        <f>+VLOOKUP($A367,MAGAZZINO!$B$2:$M$100000,9,FALSE)</f>
        <v/>
      </c>
      <c r="J367" s="3">
        <f>+VLOOKUP($A367,MAGAZZINO!$B$2:$M$100000,10,FALSE)</f>
        <v/>
      </c>
      <c r="K367" s="3">
        <f>+VLOOKUP($A367,MAGAZZINO!$B$2:$M$100000,11,FALSE)</f>
        <v/>
      </c>
      <c r="L367" s="5">
        <f>+VLOOKUP($A367,MAGAZZINO!$B$2:$M$100000,12,FALSE)</f>
        <v/>
      </c>
      <c r="M367" s="47" t="n"/>
      <c r="N367" s="89" t="n">
        <v>45769</v>
      </c>
      <c r="O367" s="91" t="inlineStr">
        <is>
          <t>HS &amp; LLC (OMAN)</t>
        </is>
      </c>
      <c r="P367" s="154" t="inlineStr">
        <is>
          <t>IMPORT LICENSE N. 24/1/2463/1/2024 DEL 05/05/2024                                                              AUT. ESPORTAZIONE MULTIPLA N. 6B/2024/2M RILASCIATA IL 30/07/2024   (LICENZA DI SCARICO N. 6B/2025/1S RILASCIATA IL 15/04/2025)</t>
        </is>
      </c>
      <c r="Q367" s="150" t="n"/>
      <c r="R367" s="150" t="n"/>
      <c r="S367" s="153" t="n"/>
    </row>
    <row r="368" ht="36" customHeight="1">
      <c r="A368" s="46" t="n">
        <v>2698</v>
      </c>
      <c r="B368" s="4">
        <f>+VLOOKUP($A368,MAGAZZINO!$B$2:$M$100000,2,FALSE)</f>
        <v/>
      </c>
      <c r="C368" s="29">
        <f>+VLOOKUP($A368,MAGAZZINO!$B$2:$M$100000,3,FALSE)</f>
        <v/>
      </c>
      <c r="D368" s="3">
        <f>+VLOOKUP($A368,MAGAZZINO!$B$2:$M$100000,4,FALSE)</f>
        <v/>
      </c>
      <c r="E368" s="3">
        <f>+VLOOKUP($A368,MAGAZZINO!$B$2:$M$100000,5,FALSE)</f>
        <v/>
      </c>
      <c r="F368" s="3">
        <f>+VLOOKUP($A368,MAGAZZINO!$B$2:$M$100000,6,FALSE)</f>
        <v/>
      </c>
      <c r="G368" s="3">
        <f>+VLOOKUP($A368,MAGAZZINO!$B$2:$M$100000,7,FALSE)</f>
        <v/>
      </c>
      <c r="H368" s="3">
        <f>+VLOOKUP($A368,MAGAZZINO!$B$2:$M$100000,8,FALSE)</f>
        <v/>
      </c>
      <c r="I368" s="3">
        <f>+VLOOKUP($A368,MAGAZZINO!$B$2:$M$100000,9,FALSE)</f>
        <v/>
      </c>
      <c r="J368" s="3">
        <f>+VLOOKUP($A368,MAGAZZINO!$B$2:$M$100000,10,FALSE)</f>
        <v/>
      </c>
      <c r="K368" s="3">
        <f>+VLOOKUP($A368,MAGAZZINO!$B$2:$M$100000,11,FALSE)</f>
        <v/>
      </c>
      <c r="L368" s="5">
        <f>+VLOOKUP($A368,MAGAZZINO!$B$2:$M$100000,12,FALSE)</f>
        <v/>
      </c>
      <c r="M368" s="47" t="n"/>
      <c r="N368" s="89" t="n">
        <v>45769</v>
      </c>
      <c r="O368" s="91" t="inlineStr">
        <is>
          <t>HS &amp; LLC (OMAN)</t>
        </is>
      </c>
      <c r="P368" s="154" t="inlineStr">
        <is>
          <t>IMPORT LICENSE N. 24/1/2463/1/2024 DEL 05/05/2024                                                              AUT. ESPORTAZIONE MULTIPLA N. 6B/2024/2M RILASCIATA IL 30/07/2024   (LICENZA DI SCARICO N. 6B/2025/1S RILASCIATA IL 15/04/2025)</t>
        </is>
      </c>
      <c r="Q368" s="150" t="n"/>
      <c r="R368" s="150" t="n"/>
      <c r="S368" s="153" t="n"/>
    </row>
    <row r="369" ht="36" customHeight="1">
      <c r="A369" s="46" t="n">
        <v>2699</v>
      </c>
      <c r="B369" s="4">
        <f>+VLOOKUP($A369,MAGAZZINO!$B$2:$M$100000,2,FALSE)</f>
        <v/>
      </c>
      <c r="C369" s="29">
        <f>+VLOOKUP($A369,MAGAZZINO!$B$2:$M$100000,3,FALSE)</f>
        <v/>
      </c>
      <c r="D369" s="3">
        <f>+VLOOKUP($A369,MAGAZZINO!$B$2:$M$100000,4,FALSE)</f>
        <v/>
      </c>
      <c r="E369" s="3">
        <f>+VLOOKUP($A369,MAGAZZINO!$B$2:$M$100000,5,FALSE)</f>
        <v/>
      </c>
      <c r="F369" s="3">
        <f>+VLOOKUP($A369,MAGAZZINO!$B$2:$M$100000,6,FALSE)</f>
        <v/>
      </c>
      <c r="G369" s="3">
        <f>+VLOOKUP($A369,MAGAZZINO!$B$2:$M$100000,7,FALSE)</f>
        <v/>
      </c>
      <c r="H369" s="3">
        <f>+VLOOKUP($A369,MAGAZZINO!$B$2:$M$100000,8,FALSE)</f>
        <v/>
      </c>
      <c r="I369" s="3">
        <f>+VLOOKUP($A369,MAGAZZINO!$B$2:$M$100000,9,FALSE)</f>
        <v/>
      </c>
      <c r="J369" s="3">
        <f>+VLOOKUP($A369,MAGAZZINO!$B$2:$M$100000,10,FALSE)</f>
        <v/>
      </c>
      <c r="K369" s="3">
        <f>+VLOOKUP($A369,MAGAZZINO!$B$2:$M$100000,11,FALSE)</f>
        <v/>
      </c>
      <c r="L369" s="5">
        <f>+VLOOKUP($A369,MAGAZZINO!$B$2:$M$100000,12,FALSE)</f>
        <v/>
      </c>
      <c r="M369" s="47" t="n"/>
      <c r="N369" s="89" t="n">
        <v>45769</v>
      </c>
      <c r="O369" s="91" t="inlineStr">
        <is>
          <t>HS &amp; LLC (OMAN)</t>
        </is>
      </c>
      <c r="P369" s="154" t="inlineStr">
        <is>
          <t>IMPORT LICENSE N. 24/1/2463/1/2024 DEL 05/05/2024                                                              AUT. ESPORTAZIONE MULTIPLA N. 6B/2024/2M RILASCIATA IL 30/07/2024   (LICENZA DI SCARICO N. 6B/2025/1S RILASCIATA IL 15/04/2025)</t>
        </is>
      </c>
      <c r="Q369" s="150" t="n"/>
      <c r="R369" s="150" t="n"/>
      <c r="S369" s="153" t="n"/>
    </row>
    <row r="370" ht="36" customHeight="1">
      <c r="A370" s="46" t="n">
        <v>2700</v>
      </c>
      <c r="B370" s="4">
        <f>+VLOOKUP($A370,MAGAZZINO!$B$2:$M$100000,2,FALSE)</f>
        <v/>
      </c>
      <c r="C370" s="29">
        <f>+VLOOKUP($A370,MAGAZZINO!$B$2:$M$100000,3,FALSE)</f>
        <v/>
      </c>
      <c r="D370" s="3">
        <f>+VLOOKUP($A370,MAGAZZINO!$B$2:$M$100000,4,FALSE)</f>
        <v/>
      </c>
      <c r="E370" s="3">
        <f>+VLOOKUP($A370,MAGAZZINO!$B$2:$M$100000,5,FALSE)</f>
        <v/>
      </c>
      <c r="F370" s="3">
        <f>+VLOOKUP($A370,MAGAZZINO!$B$2:$M$100000,6,FALSE)</f>
        <v/>
      </c>
      <c r="G370" s="3">
        <f>+VLOOKUP($A370,MAGAZZINO!$B$2:$M$100000,7,FALSE)</f>
        <v/>
      </c>
      <c r="H370" s="3">
        <f>+VLOOKUP($A370,MAGAZZINO!$B$2:$M$100000,8,FALSE)</f>
        <v/>
      </c>
      <c r="I370" s="3">
        <f>+VLOOKUP($A370,MAGAZZINO!$B$2:$M$100000,9,FALSE)</f>
        <v/>
      </c>
      <c r="J370" s="3">
        <f>+VLOOKUP($A370,MAGAZZINO!$B$2:$M$100000,10,FALSE)</f>
        <v/>
      </c>
      <c r="K370" s="3">
        <f>+VLOOKUP($A370,MAGAZZINO!$B$2:$M$100000,11,FALSE)</f>
        <v/>
      </c>
      <c r="L370" s="5">
        <f>+VLOOKUP($A370,MAGAZZINO!$B$2:$M$100000,12,FALSE)</f>
        <v/>
      </c>
      <c r="M370" s="47" t="n"/>
      <c r="N370" s="89" t="n">
        <v>45769</v>
      </c>
      <c r="O370" s="91" t="inlineStr">
        <is>
          <t>HS &amp; LLC (OMAN)</t>
        </is>
      </c>
      <c r="P370" s="154" t="inlineStr">
        <is>
          <t>IMPORT LICENSE N. 24/1/2463/1/2024 DEL 05/05/2024                                                              AUT. ESPORTAZIONE MULTIPLA N. 6B/2024/2M RILASCIATA IL 30/07/2024   (LICENZA DI SCARICO N. 6B/2025/1S RILASCIATA IL 15/04/2025)</t>
        </is>
      </c>
      <c r="Q370" s="150" t="n"/>
      <c r="R370" s="150" t="n"/>
      <c r="S370" s="153" t="n"/>
    </row>
    <row r="371" ht="36" customHeight="1">
      <c r="A371" s="46" t="n">
        <v>2701</v>
      </c>
      <c r="B371" s="4">
        <f>+VLOOKUP($A371,MAGAZZINO!$B$2:$M$100000,2,FALSE)</f>
        <v/>
      </c>
      <c r="C371" s="29">
        <f>+VLOOKUP($A371,MAGAZZINO!$B$2:$M$100000,3,FALSE)</f>
        <v/>
      </c>
      <c r="D371" s="3">
        <f>+VLOOKUP($A371,MAGAZZINO!$B$2:$M$100000,4,FALSE)</f>
        <v/>
      </c>
      <c r="E371" s="3">
        <f>+VLOOKUP($A371,MAGAZZINO!$B$2:$M$100000,5,FALSE)</f>
        <v/>
      </c>
      <c r="F371" s="3">
        <f>+VLOOKUP($A371,MAGAZZINO!$B$2:$M$100000,6,FALSE)</f>
        <v/>
      </c>
      <c r="G371" s="3">
        <f>+VLOOKUP($A371,MAGAZZINO!$B$2:$M$100000,7,FALSE)</f>
        <v/>
      </c>
      <c r="H371" s="3">
        <f>+VLOOKUP($A371,MAGAZZINO!$B$2:$M$100000,8,FALSE)</f>
        <v/>
      </c>
      <c r="I371" s="3">
        <f>+VLOOKUP($A371,MAGAZZINO!$B$2:$M$100000,9,FALSE)</f>
        <v/>
      </c>
      <c r="J371" s="3">
        <f>+VLOOKUP($A371,MAGAZZINO!$B$2:$M$100000,10,FALSE)</f>
        <v/>
      </c>
      <c r="K371" s="3">
        <f>+VLOOKUP($A371,MAGAZZINO!$B$2:$M$100000,11,FALSE)</f>
        <v/>
      </c>
      <c r="L371" s="5">
        <f>+VLOOKUP($A371,MAGAZZINO!$B$2:$M$100000,12,FALSE)</f>
        <v/>
      </c>
      <c r="M371" s="47" t="n"/>
      <c r="N371" s="89" t="n">
        <v>45769</v>
      </c>
      <c r="O371" s="91" t="inlineStr">
        <is>
          <t>HS &amp; LLC (OMAN)</t>
        </is>
      </c>
      <c r="P371" s="154" t="inlineStr">
        <is>
          <t>IMPORT LICENSE N. 24/1/2463/1/2024 DEL 05/05/2024                                                              AUT. ESPORTAZIONE MULTIPLA N. 6B/2024/2M RILASCIATA IL 30/07/2024   (LICENZA DI SCARICO N. 6B/2025/1S RILASCIATA IL 15/04/2025)</t>
        </is>
      </c>
      <c r="Q371" s="150" t="n"/>
      <c r="R371" s="150" t="n"/>
      <c r="S371" s="153" t="n"/>
    </row>
    <row r="372" ht="36" customHeight="1">
      <c r="A372" s="46" t="n">
        <v>2702</v>
      </c>
      <c r="B372" s="4">
        <f>+VLOOKUP($A372,MAGAZZINO!$B$2:$M$100000,2,FALSE)</f>
        <v/>
      </c>
      <c r="C372" s="29">
        <f>+VLOOKUP($A372,MAGAZZINO!$B$2:$M$100000,3,FALSE)</f>
        <v/>
      </c>
      <c r="D372" s="3">
        <f>+VLOOKUP($A372,MAGAZZINO!$B$2:$M$100000,4,FALSE)</f>
        <v/>
      </c>
      <c r="E372" s="3">
        <f>+VLOOKUP($A372,MAGAZZINO!$B$2:$M$100000,5,FALSE)</f>
        <v/>
      </c>
      <c r="F372" s="3">
        <f>+VLOOKUP($A372,MAGAZZINO!$B$2:$M$100000,6,FALSE)</f>
        <v/>
      </c>
      <c r="G372" s="3">
        <f>+VLOOKUP($A372,MAGAZZINO!$B$2:$M$100000,7,FALSE)</f>
        <v/>
      </c>
      <c r="H372" s="3">
        <f>+VLOOKUP($A372,MAGAZZINO!$B$2:$M$100000,8,FALSE)</f>
        <v/>
      </c>
      <c r="I372" s="3">
        <f>+VLOOKUP($A372,MAGAZZINO!$B$2:$M$100000,9,FALSE)</f>
        <v/>
      </c>
      <c r="J372" s="3">
        <f>+VLOOKUP($A372,MAGAZZINO!$B$2:$M$100000,10,FALSE)</f>
        <v/>
      </c>
      <c r="K372" s="3">
        <f>+VLOOKUP($A372,MAGAZZINO!$B$2:$M$100000,11,FALSE)</f>
        <v/>
      </c>
      <c r="L372" s="5">
        <f>+VLOOKUP($A372,MAGAZZINO!$B$2:$M$100000,12,FALSE)</f>
        <v/>
      </c>
      <c r="M372" s="47" t="n"/>
      <c r="N372" s="89" t="n">
        <v>45769</v>
      </c>
      <c r="O372" s="91" t="inlineStr">
        <is>
          <t>HS &amp; LLC (OMAN)</t>
        </is>
      </c>
      <c r="P372" s="154" t="inlineStr">
        <is>
          <t>IMPORT LICENSE N. 24/1/2463/1/2024 DEL 05/05/2024                                                              AUT. ESPORTAZIONE MULTIPLA N. 6B/2024/2M RILASCIATA IL 30/07/2024   (LICENZA DI SCARICO N. 6B/2025/1S RILASCIATA IL 15/04/2025)</t>
        </is>
      </c>
      <c r="Q372" s="150" t="n"/>
      <c r="R372" s="150" t="n"/>
      <c r="S372" s="153" t="n"/>
    </row>
    <row r="373" ht="36" customHeight="1">
      <c r="A373" s="46" t="n">
        <v>2703</v>
      </c>
      <c r="B373" s="4">
        <f>+VLOOKUP($A373,MAGAZZINO!$B$2:$M$100000,2,FALSE)</f>
        <v/>
      </c>
      <c r="C373" s="29">
        <f>+VLOOKUP($A373,MAGAZZINO!$B$2:$M$100000,3,FALSE)</f>
        <v/>
      </c>
      <c r="D373" s="3">
        <f>+VLOOKUP($A373,MAGAZZINO!$B$2:$M$100000,4,FALSE)</f>
        <v/>
      </c>
      <c r="E373" s="3">
        <f>+VLOOKUP($A373,MAGAZZINO!$B$2:$M$100000,5,FALSE)</f>
        <v/>
      </c>
      <c r="F373" s="3">
        <f>+VLOOKUP($A373,MAGAZZINO!$B$2:$M$100000,6,FALSE)</f>
        <v/>
      </c>
      <c r="G373" s="3">
        <f>+VLOOKUP($A373,MAGAZZINO!$B$2:$M$100000,7,FALSE)</f>
        <v/>
      </c>
      <c r="H373" s="3">
        <f>+VLOOKUP($A373,MAGAZZINO!$B$2:$M$100000,8,FALSE)</f>
        <v/>
      </c>
      <c r="I373" s="3">
        <f>+VLOOKUP($A373,MAGAZZINO!$B$2:$M$100000,9,FALSE)</f>
        <v/>
      </c>
      <c r="J373" s="3">
        <f>+VLOOKUP($A373,MAGAZZINO!$B$2:$M$100000,10,FALSE)</f>
        <v/>
      </c>
      <c r="K373" s="3">
        <f>+VLOOKUP($A373,MAGAZZINO!$B$2:$M$100000,11,FALSE)</f>
        <v/>
      </c>
      <c r="L373" s="5">
        <f>+VLOOKUP($A373,MAGAZZINO!$B$2:$M$100000,12,FALSE)</f>
        <v/>
      </c>
      <c r="M373" s="47" t="n"/>
      <c r="N373" s="89" t="n">
        <v>45769</v>
      </c>
      <c r="O373" s="91" t="inlineStr">
        <is>
          <t>HS &amp; LLC (OMAN)</t>
        </is>
      </c>
      <c r="P373" s="154" t="inlineStr">
        <is>
          <t>IMPORT LICENSE N. 24/1/2463/1/2024 DEL 05/05/2024                                                              AUT. ESPORTAZIONE MULTIPLA N. 6B/2024/2M RILASCIATA IL 30/07/2024   (LICENZA DI SCARICO N. 6B/2025/1S RILASCIATA IL 15/04/2025)</t>
        </is>
      </c>
      <c r="Q373" s="150" t="n"/>
      <c r="R373" s="150" t="n"/>
      <c r="S373" s="153" t="n"/>
    </row>
    <row r="374" ht="36" customHeight="1">
      <c r="A374" s="46" t="n">
        <v>2704</v>
      </c>
      <c r="B374" s="4">
        <f>+VLOOKUP($A374,MAGAZZINO!$B$2:$M$100000,2,FALSE)</f>
        <v/>
      </c>
      <c r="C374" s="29">
        <f>+VLOOKUP($A374,MAGAZZINO!$B$2:$M$100000,3,FALSE)</f>
        <v/>
      </c>
      <c r="D374" s="3">
        <f>+VLOOKUP($A374,MAGAZZINO!$B$2:$M$100000,4,FALSE)</f>
        <v/>
      </c>
      <c r="E374" s="3">
        <f>+VLOOKUP($A374,MAGAZZINO!$B$2:$M$100000,5,FALSE)</f>
        <v/>
      </c>
      <c r="F374" s="3">
        <f>+VLOOKUP($A374,MAGAZZINO!$B$2:$M$100000,6,FALSE)</f>
        <v/>
      </c>
      <c r="G374" s="3">
        <f>+VLOOKUP($A374,MAGAZZINO!$B$2:$M$100000,7,FALSE)</f>
        <v/>
      </c>
      <c r="H374" s="3">
        <f>+VLOOKUP($A374,MAGAZZINO!$B$2:$M$100000,8,FALSE)</f>
        <v/>
      </c>
      <c r="I374" s="3">
        <f>+VLOOKUP($A374,MAGAZZINO!$B$2:$M$100000,9,FALSE)</f>
        <v/>
      </c>
      <c r="J374" s="3">
        <f>+VLOOKUP($A374,MAGAZZINO!$B$2:$M$100000,10,FALSE)</f>
        <v/>
      </c>
      <c r="K374" s="3">
        <f>+VLOOKUP($A374,MAGAZZINO!$B$2:$M$100000,11,FALSE)</f>
        <v/>
      </c>
      <c r="L374" s="5">
        <f>+VLOOKUP($A374,MAGAZZINO!$B$2:$M$100000,12,FALSE)</f>
        <v/>
      </c>
      <c r="M374" s="47" t="n"/>
      <c r="N374" s="89" t="n">
        <v>45769</v>
      </c>
      <c r="O374" s="91" t="inlineStr">
        <is>
          <t>HS &amp; LLC (OMAN)</t>
        </is>
      </c>
      <c r="P374" s="154" t="inlineStr">
        <is>
          <t>IMPORT LICENSE N. 24/1/2463/1/2024 DEL 05/05/2024                                                              AUT. ESPORTAZIONE MULTIPLA N. 6B/2024/2M RILASCIATA IL 30/07/2024   (LICENZA DI SCARICO N. 6B/2025/1S RILASCIATA IL 15/04/2025)</t>
        </is>
      </c>
      <c r="Q374" s="150" t="n"/>
      <c r="R374" s="150" t="n"/>
      <c r="S374" s="153" t="n"/>
    </row>
    <row r="375" ht="36" customHeight="1">
      <c r="A375" s="46" t="n">
        <v>2705</v>
      </c>
      <c r="B375" s="4">
        <f>+VLOOKUP($A375,MAGAZZINO!$B$2:$M$100000,2,FALSE)</f>
        <v/>
      </c>
      <c r="C375" s="29">
        <f>+VLOOKUP($A375,MAGAZZINO!$B$2:$M$100000,3,FALSE)</f>
        <v/>
      </c>
      <c r="D375" s="3">
        <f>+VLOOKUP($A375,MAGAZZINO!$B$2:$M$100000,4,FALSE)</f>
        <v/>
      </c>
      <c r="E375" s="3">
        <f>+VLOOKUP($A375,MAGAZZINO!$B$2:$M$100000,5,FALSE)</f>
        <v/>
      </c>
      <c r="F375" s="3">
        <f>+VLOOKUP($A375,MAGAZZINO!$B$2:$M$100000,6,FALSE)</f>
        <v/>
      </c>
      <c r="G375" s="3">
        <f>+VLOOKUP($A375,MAGAZZINO!$B$2:$M$100000,7,FALSE)</f>
        <v/>
      </c>
      <c r="H375" s="3">
        <f>+VLOOKUP($A375,MAGAZZINO!$B$2:$M$100000,8,FALSE)</f>
        <v/>
      </c>
      <c r="I375" s="3">
        <f>+VLOOKUP($A375,MAGAZZINO!$B$2:$M$100000,9,FALSE)</f>
        <v/>
      </c>
      <c r="J375" s="3">
        <f>+VLOOKUP($A375,MAGAZZINO!$B$2:$M$100000,10,FALSE)</f>
        <v/>
      </c>
      <c r="K375" s="3">
        <f>+VLOOKUP($A375,MAGAZZINO!$B$2:$M$100000,11,FALSE)</f>
        <v/>
      </c>
      <c r="L375" s="5">
        <f>+VLOOKUP($A375,MAGAZZINO!$B$2:$M$100000,12,FALSE)</f>
        <v/>
      </c>
      <c r="M375" s="47" t="n"/>
      <c r="N375" s="89" t="n">
        <v>45769</v>
      </c>
      <c r="O375" s="91" t="inlineStr">
        <is>
          <t>HS &amp; LLC (OMAN)</t>
        </is>
      </c>
      <c r="P375" s="154" t="inlineStr">
        <is>
          <t>IMPORT LICENSE N. 24/1/2463/1/2024 DEL 05/05/2024                                                              AUT. ESPORTAZIONE MULTIPLA N. 6B/2024/2M RILASCIATA IL 30/07/2024   (LICENZA DI SCARICO N. 6B/2025/1S RILASCIATA IL 15/04/2025)</t>
        </is>
      </c>
      <c r="Q375" s="150" t="n"/>
      <c r="R375" s="150" t="n"/>
      <c r="S375" s="153" t="n"/>
    </row>
    <row r="376" ht="36" customHeight="1">
      <c r="A376" s="46" t="n">
        <v>2706</v>
      </c>
      <c r="B376" s="4">
        <f>+VLOOKUP($A376,MAGAZZINO!$B$2:$M$100000,2,FALSE)</f>
        <v/>
      </c>
      <c r="C376" s="29">
        <f>+VLOOKUP($A376,MAGAZZINO!$B$2:$M$100000,3,FALSE)</f>
        <v/>
      </c>
      <c r="D376" s="3">
        <f>+VLOOKUP($A376,MAGAZZINO!$B$2:$M$100000,4,FALSE)</f>
        <v/>
      </c>
      <c r="E376" s="3">
        <f>+VLOOKUP($A376,MAGAZZINO!$B$2:$M$100000,5,FALSE)</f>
        <v/>
      </c>
      <c r="F376" s="3">
        <f>+VLOOKUP($A376,MAGAZZINO!$B$2:$M$100000,6,FALSE)</f>
        <v/>
      </c>
      <c r="G376" s="3">
        <f>+VLOOKUP($A376,MAGAZZINO!$B$2:$M$100000,7,FALSE)</f>
        <v/>
      </c>
      <c r="H376" s="3">
        <f>+VLOOKUP($A376,MAGAZZINO!$B$2:$M$100000,8,FALSE)</f>
        <v/>
      </c>
      <c r="I376" s="3">
        <f>+VLOOKUP($A376,MAGAZZINO!$B$2:$M$100000,9,FALSE)</f>
        <v/>
      </c>
      <c r="J376" s="3">
        <f>+VLOOKUP($A376,MAGAZZINO!$B$2:$M$100000,10,FALSE)</f>
        <v/>
      </c>
      <c r="K376" s="3">
        <f>+VLOOKUP($A376,MAGAZZINO!$B$2:$M$100000,11,FALSE)</f>
        <v/>
      </c>
      <c r="L376" s="5">
        <f>+VLOOKUP($A376,MAGAZZINO!$B$2:$M$100000,12,FALSE)</f>
        <v/>
      </c>
      <c r="M376" s="47" t="n"/>
      <c r="N376" s="89" t="n">
        <v>45769</v>
      </c>
      <c r="O376" s="91" t="inlineStr">
        <is>
          <t>HS &amp; LLC (OMAN)</t>
        </is>
      </c>
      <c r="P376" s="154" t="inlineStr">
        <is>
          <t>IMPORT LICENSE N. 24/1/2463/1/2024 DEL 05/05/2024                                                              AUT. ESPORTAZIONE MULTIPLA N. 6B/2024/2M RILASCIATA IL 30/07/2024   (LICENZA DI SCARICO N. 6B/2025/1S RILASCIATA IL 15/04/2025)</t>
        </is>
      </c>
      <c r="Q376" s="150" t="n"/>
      <c r="R376" s="150" t="n"/>
      <c r="S376" s="153" t="n"/>
    </row>
    <row r="377" ht="36" customHeight="1">
      <c r="A377" s="46" t="n">
        <v>2707</v>
      </c>
      <c r="B377" s="4">
        <f>+VLOOKUP($A377,MAGAZZINO!$B$2:$M$100000,2,FALSE)</f>
        <v/>
      </c>
      <c r="C377" s="29">
        <f>+VLOOKUP($A377,MAGAZZINO!$B$2:$M$100000,3,FALSE)</f>
        <v/>
      </c>
      <c r="D377" s="3">
        <f>+VLOOKUP($A377,MAGAZZINO!$B$2:$M$100000,4,FALSE)</f>
        <v/>
      </c>
      <c r="E377" s="3">
        <f>+VLOOKUP($A377,MAGAZZINO!$B$2:$M$100000,5,FALSE)</f>
        <v/>
      </c>
      <c r="F377" s="3">
        <f>+VLOOKUP($A377,MAGAZZINO!$B$2:$M$100000,6,FALSE)</f>
        <v/>
      </c>
      <c r="G377" s="3">
        <f>+VLOOKUP($A377,MAGAZZINO!$B$2:$M$100000,7,FALSE)</f>
        <v/>
      </c>
      <c r="H377" s="3">
        <f>+VLOOKUP($A377,MAGAZZINO!$B$2:$M$100000,8,FALSE)</f>
        <v/>
      </c>
      <c r="I377" s="3">
        <f>+VLOOKUP($A377,MAGAZZINO!$B$2:$M$100000,9,FALSE)</f>
        <v/>
      </c>
      <c r="J377" s="3">
        <f>+VLOOKUP($A377,MAGAZZINO!$B$2:$M$100000,10,FALSE)</f>
        <v/>
      </c>
      <c r="K377" s="3">
        <f>+VLOOKUP($A377,MAGAZZINO!$B$2:$M$100000,11,FALSE)</f>
        <v/>
      </c>
      <c r="L377" s="5">
        <f>+VLOOKUP($A377,MAGAZZINO!$B$2:$M$100000,12,FALSE)</f>
        <v/>
      </c>
      <c r="M377" s="47" t="n"/>
      <c r="N377" s="54" t="n"/>
      <c r="O377" s="3" t="n"/>
      <c r="P377" s="149" t="n"/>
      <c r="Q377" s="150" t="n"/>
      <c r="R377" s="150" t="n"/>
      <c r="S377" s="151" t="n"/>
    </row>
    <row r="378" ht="36" customHeight="1">
      <c r="A378" s="46" t="n">
        <v>2708</v>
      </c>
      <c r="B378" s="4">
        <f>+VLOOKUP($A378,MAGAZZINO!$B$2:$M$100000,2,FALSE)</f>
        <v/>
      </c>
      <c r="C378" s="29">
        <f>+VLOOKUP($A378,MAGAZZINO!$B$2:$M$100000,3,FALSE)</f>
        <v/>
      </c>
      <c r="D378" s="3">
        <f>+VLOOKUP($A378,MAGAZZINO!$B$2:$M$100000,4,FALSE)</f>
        <v/>
      </c>
      <c r="E378" s="3">
        <f>+VLOOKUP($A378,MAGAZZINO!$B$2:$M$100000,5,FALSE)</f>
        <v/>
      </c>
      <c r="F378" s="3">
        <f>+VLOOKUP($A378,MAGAZZINO!$B$2:$M$100000,6,FALSE)</f>
        <v/>
      </c>
      <c r="G378" s="3">
        <f>+VLOOKUP($A378,MAGAZZINO!$B$2:$M$100000,7,FALSE)</f>
        <v/>
      </c>
      <c r="H378" s="3">
        <f>+VLOOKUP($A378,MAGAZZINO!$B$2:$M$100000,8,FALSE)</f>
        <v/>
      </c>
      <c r="I378" s="3">
        <f>+VLOOKUP($A378,MAGAZZINO!$B$2:$M$100000,9,FALSE)</f>
        <v/>
      </c>
      <c r="J378" s="3">
        <f>+VLOOKUP($A378,MAGAZZINO!$B$2:$M$100000,10,FALSE)</f>
        <v/>
      </c>
      <c r="K378" s="3">
        <f>+VLOOKUP($A378,MAGAZZINO!$B$2:$M$100000,11,FALSE)</f>
        <v/>
      </c>
      <c r="L378" s="5">
        <f>+VLOOKUP($A378,MAGAZZINO!$B$2:$M$100000,12,FALSE)</f>
        <v/>
      </c>
      <c r="M378" s="47" t="n"/>
      <c r="N378" s="88" t="n">
        <v>45874</v>
      </c>
      <c r="O378" s="91" t="inlineStr">
        <is>
          <t>PHILIPPOS CONSTANTINIDES TRADING CO. LTD (CIPRO)</t>
        </is>
      </c>
      <c r="P378" s="154" t="inlineStr">
        <is>
          <t xml:space="preserve">IMPORT LICENSE N. 218 DEL 12/08/2020                                                                                         AUT. TRASFERIMENTO N. 6B/2025/3D RILASCIATA IL 28/07/2025   </t>
        </is>
      </c>
      <c r="Q378" s="150" t="n"/>
      <c r="R378" s="150" t="n"/>
      <c r="S378" s="153" t="n"/>
    </row>
    <row r="379" ht="36" customHeight="1">
      <c r="A379" s="46" t="n">
        <v>2709</v>
      </c>
      <c r="B379" s="4">
        <f>+VLOOKUP($A379,MAGAZZINO!$B$2:$M$100000,2,FALSE)</f>
        <v/>
      </c>
      <c r="C379" s="29">
        <f>+VLOOKUP($A379,MAGAZZINO!$B$2:$M$100000,3,FALSE)</f>
        <v/>
      </c>
      <c r="D379" s="3">
        <f>+VLOOKUP($A379,MAGAZZINO!$B$2:$M$100000,4,FALSE)</f>
        <v/>
      </c>
      <c r="E379" s="3">
        <f>+VLOOKUP($A379,MAGAZZINO!$B$2:$M$100000,5,FALSE)</f>
        <v/>
      </c>
      <c r="F379" s="3">
        <f>+VLOOKUP($A379,MAGAZZINO!$B$2:$M$100000,6,FALSE)</f>
        <v/>
      </c>
      <c r="G379" s="3">
        <f>+VLOOKUP($A379,MAGAZZINO!$B$2:$M$100000,7,FALSE)</f>
        <v/>
      </c>
      <c r="H379" s="3">
        <f>+VLOOKUP($A379,MAGAZZINO!$B$2:$M$100000,8,FALSE)</f>
        <v/>
      </c>
      <c r="I379" s="3">
        <f>+VLOOKUP($A379,MAGAZZINO!$B$2:$M$100000,9,FALSE)</f>
        <v/>
      </c>
      <c r="J379" s="3">
        <f>+VLOOKUP($A379,MAGAZZINO!$B$2:$M$100000,10,FALSE)</f>
        <v/>
      </c>
      <c r="K379" s="3">
        <f>+VLOOKUP($A379,MAGAZZINO!$B$2:$M$100000,11,FALSE)</f>
        <v/>
      </c>
      <c r="L379" s="5">
        <f>+VLOOKUP($A379,MAGAZZINO!$B$2:$M$100000,12,FALSE)</f>
        <v/>
      </c>
      <c r="M379" s="47" t="n"/>
      <c r="N379" s="89" t="n">
        <v>45769</v>
      </c>
      <c r="O379" s="91" t="inlineStr">
        <is>
          <t>HS &amp; LLC (OMAN)</t>
        </is>
      </c>
      <c r="P379" s="154" t="inlineStr">
        <is>
          <t>IMPORT LICENSE N. 24/1/2463/1/2024 DEL 05/05/2024                                                              AUT. ESPORTAZIONE MULTIPLA N. 6B/2024/2M RILASCIATA IL 30/07/2024   (LICENZA DI SCARICO N. 6B/2025/1S RILASCIATA IL 15/04/2025)</t>
        </is>
      </c>
      <c r="Q379" s="150" t="n"/>
      <c r="R379" s="150" t="n"/>
      <c r="S379" s="153" t="n"/>
    </row>
    <row r="380" ht="36" customHeight="1">
      <c r="A380" s="46" t="n">
        <v>2710</v>
      </c>
      <c r="B380" s="4">
        <f>+VLOOKUP($A380,MAGAZZINO!$B$2:$M$100000,2,FALSE)</f>
        <v/>
      </c>
      <c r="C380" s="29">
        <f>+VLOOKUP($A380,MAGAZZINO!$B$2:$M$100000,3,FALSE)</f>
        <v/>
      </c>
      <c r="D380" s="3">
        <f>+VLOOKUP($A380,MAGAZZINO!$B$2:$M$100000,4,FALSE)</f>
        <v/>
      </c>
      <c r="E380" s="3">
        <f>+VLOOKUP($A380,MAGAZZINO!$B$2:$M$100000,5,FALSE)</f>
        <v/>
      </c>
      <c r="F380" s="3">
        <f>+VLOOKUP($A380,MAGAZZINO!$B$2:$M$100000,6,FALSE)</f>
        <v/>
      </c>
      <c r="G380" s="3">
        <f>+VLOOKUP($A380,MAGAZZINO!$B$2:$M$100000,7,FALSE)</f>
        <v/>
      </c>
      <c r="H380" s="3">
        <f>+VLOOKUP($A380,MAGAZZINO!$B$2:$M$100000,8,FALSE)</f>
        <v/>
      </c>
      <c r="I380" s="3">
        <f>+VLOOKUP($A380,MAGAZZINO!$B$2:$M$100000,9,FALSE)</f>
        <v/>
      </c>
      <c r="J380" s="3">
        <f>+VLOOKUP($A380,MAGAZZINO!$B$2:$M$100000,10,FALSE)</f>
        <v/>
      </c>
      <c r="K380" s="3">
        <f>+VLOOKUP($A380,MAGAZZINO!$B$2:$M$100000,11,FALSE)</f>
        <v/>
      </c>
      <c r="L380" s="5">
        <f>+VLOOKUP($A380,MAGAZZINO!$B$2:$M$100000,12,FALSE)</f>
        <v/>
      </c>
      <c r="M380" s="47" t="n"/>
      <c r="N380" s="89" t="n">
        <v>45769</v>
      </c>
      <c r="O380" s="91" t="inlineStr">
        <is>
          <t>HS &amp; LLC (OMAN)</t>
        </is>
      </c>
      <c r="P380" s="154" t="inlineStr">
        <is>
          <t>IMPORT LICENSE N. 24/1/2463/1/2024 DEL 05/05/2024                                                              AUT. ESPORTAZIONE MULTIPLA N. 6B/2024/2M RILASCIATA IL 30/07/2024   (LICENZA DI SCARICO N. 6B/2025/1S RILASCIATA IL 15/04/2025)</t>
        </is>
      </c>
      <c r="Q380" s="150" t="n"/>
      <c r="R380" s="150" t="n"/>
      <c r="S380" s="153" t="n"/>
    </row>
    <row r="381" ht="36" customHeight="1">
      <c r="A381" s="46" t="n">
        <v>2711</v>
      </c>
      <c r="B381" s="4">
        <f>+VLOOKUP($A381,MAGAZZINO!$B$2:$M$100000,2,FALSE)</f>
        <v/>
      </c>
      <c r="C381" s="29">
        <f>+VLOOKUP($A381,MAGAZZINO!$B$2:$M$100000,3,FALSE)</f>
        <v/>
      </c>
      <c r="D381" s="3">
        <f>+VLOOKUP($A381,MAGAZZINO!$B$2:$M$100000,4,FALSE)</f>
        <v/>
      </c>
      <c r="E381" s="3">
        <f>+VLOOKUP($A381,MAGAZZINO!$B$2:$M$100000,5,FALSE)</f>
        <v/>
      </c>
      <c r="F381" s="3">
        <f>+VLOOKUP($A381,MAGAZZINO!$B$2:$M$100000,6,FALSE)</f>
        <v/>
      </c>
      <c r="G381" s="3">
        <f>+VLOOKUP($A381,MAGAZZINO!$B$2:$M$100000,7,FALSE)</f>
        <v/>
      </c>
      <c r="H381" s="3">
        <f>+VLOOKUP($A381,MAGAZZINO!$B$2:$M$100000,8,FALSE)</f>
        <v/>
      </c>
      <c r="I381" s="3">
        <f>+VLOOKUP($A381,MAGAZZINO!$B$2:$M$100000,9,FALSE)</f>
        <v/>
      </c>
      <c r="J381" s="3">
        <f>+VLOOKUP($A381,MAGAZZINO!$B$2:$M$100000,10,FALSE)</f>
        <v/>
      </c>
      <c r="K381" s="3">
        <f>+VLOOKUP($A381,MAGAZZINO!$B$2:$M$100000,11,FALSE)</f>
        <v/>
      </c>
      <c r="L381" s="5">
        <f>+VLOOKUP($A381,MAGAZZINO!$B$2:$M$100000,12,FALSE)</f>
        <v/>
      </c>
      <c r="M381" s="47" t="n"/>
      <c r="N381" s="88" t="n"/>
      <c r="O381" s="91" t="n"/>
      <c r="P381" s="154" t="n"/>
      <c r="Q381" s="150" t="n"/>
      <c r="R381" s="150" t="n"/>
      <c r="S381" s="153" t="n"/>
    </row>
    <row r="382" ht="36" customHeight="1">
      <c r="A382" s="46" t="n">
        <v>2712</v>
      </c>
      <c r="B382" s="4">
        <f>+VLOOKUP($A382,MAGAZZINO!$B$2:$M$100000,2,FALSE)</f>
        <v/>
      </c>
      <c r="C382" s="29">
        <f>+VLOOKUP($A382,MAGAZZINO!$B$2:$M$100000,3,FALSE)</f>
        <v/>
      </c>
      <c r="D382" s="3">
        <f>+VLOOKUP($A382,MAGAZZINO!$B$2:$M$100000,4,FALSE)</f>
        <v/>
      </c>
      <c r="E382" s="3">
        <f>+VLOOKUP($A382,MAGAZZINO!$B$2:$M$100000,5,FALSE)</f>
        <v/>
      </c>
      <c r="F382" s="3">
        <f>+VLOOKUP($A382,MAGAZZINO!$B$2:$M$100000,6,FALSE)</f>
        <v/>
      </c>
      <c r="G382" s="3">
        <f>+VLOOKUP($A382,MAGAZZINO!$B$2:$M$100000,7,FALSE)</f>
        <v/>
      </c>
      <c r="H382" s="3">
        <f>+VLOOKUP($A382,MAGAZZINO!$B$2:$M$100000,8,FALSE)</f>
        <v/>
      </c>
      <c r="I382" s="3">
        <f>+VLOOKUP($A382,MAGAZZINO!$B$2:$M$100000,9,FALSE)</f>
        <v/>
      </c>
      <c r="J382" s="3">
        <f>+VLOOKUP($A382,MAGAZZINO!$B$2:$M$100000,10,FALSE)</f>
        <v/>
      </c>
      <c r="K382" s="3">
        <f>+VLOOKUP($A382,MAGAZZINO!$B$2:$M$100000,11,FALSE)</f>
        <v/>
      </c>
      <c r="L382" s="5">
        <f>+VLOOKUP($A382,MAGAZZINO!$B$2:$M$100000,12,FALSE)</f>
        <v/>
      </c>
      <c r="M382" s="47" t="n"/>
      <c r="N382" s="88" t="n">
        <v>45821</v>
      </c>
      <c r="O382" s="91" t="inlineStr">
        <is>
          <t>PHILIPPOS CONSTANTINIDES TRADING CO. LTD (CIPRO)</t>
        </is>
      </c>
      <c r="P382" s="154" t="inlineStr">
        <is>
          <t xml:space="preserve">IMPORT LICENSE N. 218 DEL 12/08/2020                                                                                         AUT. TRASFERIMENTO N. 6B/2025/1D RILASCIATA IL 30/05/2025   </t>
        </is>
      </c>
      <c r="Q382" s="150" t="n"/>
      <c r="R382" s="150" t="n"/>
      <c r="S382" s="153" t="n"/>
    </row>
    <row r="383" ht="36" customHeight="1">
      <c r="A383" s="46" t="n">
        <v>2713</v>
      </c>
      <c r="B383" s="4">
        <f>+VLOOKUP($A383,MAGAZZINO!$B$2:$M$100000,2,FALSE)</f>
        <v/>
      </c>
      <c r="C383" s="29">
        <f>+VLOOKUP($A383,MAGAZZINO!$B$2:$M$100000,3,FALSE)</f>
        <v/>
      </c>
      <c r="D383" s="3">
        <f>+VLOOKUP($A383,MAGAZZINO!$B$2:$M$100000,4,FALSE)</f>
        <v/>
      </c>
      <c r="E383" s="3">
        <f>+VLOOKUP($A383,MAGAZZINO!$B$2:$M$100000,5,FALSE)</f>
        <v/>
      </c>
      <c r="F383" s="3">
        <f>+VLOOKUP($A383,MAGAZZINO!$B$2:$M$100000,6,FALSE)</f>
        <v/>
      </c>
      <c r="G383" s="3">
        <f>+VLOOKUP($A383,MAGAZZINO!$B$2:$M$100000,7,FALSE)</f>
        <v/>
      </c>
      <c r="H383" s="3">
        <f>+VLOOKUP($A383,MAGAZZINO!$B$2:$M$100000,8,FALSE)</f>
        <v/>
      </c>
      <c r="I383" s="3">
        <f>+VLOOKUP($A383,MAGAZZINO!$B$2:$M$100000,9,FALSE)</f>
        <v/>
      </c>
      <c r="J383" s="3">
        <f>+VLOOKUP($A383,MAGAZZINO!$B$2:$M$100000,10,FALSE)</f>
        <v/>
      </c>
      <c r="K383" s="3">
        <f>+VLOOKUP($A383,MAGAZZINO!$B$2:$M$100000,11,FALSE)</f>
        <v/>
      </c>
      <c r="L383" s="5">
        <f>+VLOOKUP($A383,MAGAZZINO!$B$2:$M$100000,12,FALSE)</f>
        <v/>
      </c>
      <c r="M383" s="47" t="n"/>
      <c r="N383" s="88" t="n">
        <v>45821</v>
      </c>
      <c r="O383" s="91" t="inlineStr">
        <is>
          <t>PHILIPPOS CONSTANTINIDES TRADING CO. LTD (CIPRO)</t>
        </is>
      </c>
      <c r="P383" s="154" t="inlineStr">
        <is>
          <t xml:space="preserve">IMPORT LICENSE N. 218 DEL 12/08/2020                                                                                         AUT. TRASFERIMENTO N. 6B/2025/1D RILASCIATA IL 30/05/2025   </t>
        </is>
      </c>
      <c r="Q383" s="150" t="n"/>
      <c r="R383" s="150" t="n"/>
      <c r="S383" s="153" t="n"/>
    </row>
    <row r="384" ht="36" customHeight="1">
      <c r="A384" s="46" t="n">
        <v>2714</v>
      </c>
      <c r="B384" s="4">
        <f>+VLOOKUP($A384,MAGAZZINO!$B$2:$M$100000,2,FALSE)</f>
        <v/>
      </c>
      <c r="C384" s="29">
        <f>+VLOOKUP($A384,MAGAZZINO!$B$2:$M$100000,3,FALSE)</f>
        <v/>
      </c>
      <c r="D384" s="3">
        <f>+VLOOKUP($A384,MAGAZZINO!$B$2:$M$100000,4,FALSE)</f>
        <v/>
      </c>
      <c r="E384" s="3">
        <f>+VLOOKUP($A384,MAGAZZINO!$B$2:$M$100000,5,FALSE)</f>
        <v/>
      </c>
      <c r="F384" s="3">
        <f>+VLOOKUP($A384,MAGAZZINO!$B$2:$M$100000,6,FALSE)</f>
        <v/>
      </c>
      <c r="G384" s="3">
        <f>+VLOOKUP($A384,MAGAZZINO!$B$2:$M$100000,7,FALSE)</f>
        <v/>
      </c>
      <c r="H384" s="3">
        <f>+VLOOKUP($A384,MAGAZZINO!$B$2:$M$100000,8,FALSE)</f>
        <v/>
      </c>
      <c r="I384" s="3">
        <f>+VLOOKUP($A384,MAGAZZINO!$B$2:$M$100000,9,FALSE)</f>
        <v/>
      </c>
      <c r="J384" s="3">
        <f>+VLOOKUP($A384,MAGAZZINO!$B$2:$M$100000,10,FALSE)</f>
        <v/>
      </c>
      <c r="K384" s="3">
        <f>+VLOOKUP($A384,MAGAZZINO!$B$2:$M$100000,11,FALSE)</f>
        <v/>
      </c>
      <c r="L384" s="5">
        <f>+VLOOKUP($A384,MAGAZZINO!$B$2:$M$100000,12,FALSE)</f>
        <v/>
      </c>
      <c r="M384" s="47" t="n"/>
      <c r="N384" s="88" t="n">
        <v>45821</v>
      </c>
      <c r="O384" s="91" t="inlineStr">
        <is>
          <t>PHILIPPOS CONSTANTINIDES TRADING CO. LTD (CIPRO)</t>
        </is>
      </c>
      <c r="P384" s="154" t="inlineStr">
        <is>
          <t xml:space="preserve">IMPORT LICENSE N. 218 DEL 12/08/2020                                                                                         AUT. TRASFERIMENTO N. 6B/2025/1D RILASCIATA IL 30/05/2025   </t>
        </is>
      </c>
      <c r="Q384" s="150" t="n"/>
      <c r="R384" s="150" t="n"/>
      <c r="S384" s="153" t="n"/>
    </row>
    <row r="385" ht="36" customHeight="1">
      <c r="A385" s="46" t="n">
        <v>2715</v>
      </c>
      <c r="B385" s="4">
        <f>+VLOOKUP($A385,MAGAZZINO!$B$2:$M$100000,2,FALSE)</f>
        <v/>
      </c>
      <c r="C385" s="29">
        <f>+VLOOKUP($A385,MAGAZZINO!$B$2:$M$100000,3,FALSE)</f>
        <v/>
      </c>
      <c r="D385" s="3">
        <f>+VLOOKUP($A385,MAGAZZINO!$B$2:$M$100000,4,FALSE)</f>
        <v/>
      </c>
      <c r="E385" s="3">
        <f>+VLOOKUP($A385,MAGAZZINO!$B$2:$M$100000,5,FALSE)</f>
        <v/>
      </c>
      <c r="F385" s="3">
        <f>+VLOOKUP($A385,MAGAZZINO!$B$2:$M$100000,6,FALSE)</f>
        <v/>
      </c>
      <c r="G385" s="3">
        <f>+VLOOKUP($A385,MAGAZZINO!$B$2:$M$100000,7,FALSE)</f>
        <v/>
      </c>
      <c r="H385" s="3">
        <f>+VLOOKUP($A385,MAGAZZINO!$B$2:$M$100000,8,FALSE)</f>
        <v/>
      </c>
      <c r="I385" s="3">
        <f>+VLOOKUP($A385,MAGAZZINO!$B$2:$M$100000,9,FALSE)</f>
        <v/>
      </c>
      <c r="J385" s="3">
        <f>+VLOOKUP($A385,MAGAZZINO!$B$2:$M$100000,10,FALSE)</f>
        <v/>
      </c>
      <c r="K385" s="3">
        <f>+VLOOKUP($A385,MAGAZZINO!$B$2:$M$100000,11,FALSE)</f>
        <v/>
      </c>
      <c r="L385" s="5">
        <f>+VLOOKUP($A385,MAGAZZINO!$B$2:$M$100000,12,FALSE)</f>
        <v/>
      </c>
      <c r="M385" s="47" t="n"/>
      <c r="N385" s="88" t="n">
        <v>45821</v>
      </c>
      <c r="O385" s="91" t="inlineStr">
        <is>
          <t>PHILIPPOS CONSTANTINIDES TRADING CO. LTD (CIPRO)</t>
        </is>
      </c>
      <c r="P385" s="154" t="inlineStr">
        <is>
          <t xml:space="preserve">IMPORT LICENSE N. 218 DEL 12/08/2020                                                                                         AUT. TRASFERIMENTO N. 6B/2025/1D RILASCIATA IL 30/05/2025   </t>
        </is>
      </c>
      <c r="Q385" s="150" t="n"/>
      <c r="R385" s="150" t="n"/>
      <c r="S385" s="153" t="n"/>
    </row>
    <row r="386" ht="36" customHeight="1">
      <c r="A386" s="46" t="n">
        <v>2716</v>
      </c>
      <c r="B386" s="4">
        <f>+VLOOKUP($A386,MAGAZZINO!$B$2:$M$100000,2,FALSE)</f>
        <v/>
      </c>
      <c r="C386" s="29">
        <f>+VLOOKUP($A386,MAGAZZINO!$B$2:$M$100000,3,FALSE)</f>
        <v/>
      </c>
      <c r="D386" s="3">
        <f>+VLOOKUP($A386,MAGAZZINO!$B$2:$M$100000,4,FALSE)</f>
        <v/>
      </c>
      <c r="E386" s="3">
        <f>+VLOOKUP($A386,MAGAZZINO!$B$2:$M$100000,5,FALSE)</f>
        <v/>
      </c>
      <c r="F386" s="3">
        <f>+VLOOKUP($A386,MAGAZZINO!$B$2:$M$100000,6,FALSE)</f>
        <v/>
      </c>
      <c r="G386" s="3">
        <f>+VLOOKUP($A386,MAGAZZINO!$B$2:$M$100000,7,FALSE)</f>
        <v/>
      </c>
      <c r="H386" s="3">
        <f>+VLOOKUP($A386,MAGAZZINO!$B$2:$M$100000,8,FALSE)</f>
        <v/>
      </c>
      <c r="I386" s="3">
        <f>+VLOOKUP($A386,MAGAZZINO!$B$2:$M$100000,9,FALSE)</f>
        <v/>
      </c>
      <c r="J386" s="3">
        <f>+VLOOKUP($A386,MAGAZZINO!$B$2:$M$100000,10,FALSE)</f>
        <v/>
      </c>
      <c r="K386" s="3">
        <f>+VLOOKUP($A386,MAGAZZINO!$B$2:$M$100000,11,FALSE)</f>
        <v/>
      </c>
      <c r="L386" s="5">
        <f>+VLOOKUP($A386,MAGAZZINO!$B$2:$M$100000,12,FALSE)</f>
        <v/>
      </c>
      <c r="M386" s="47" t="n"/>
      <c r="N386" s="88" t="n">
        <v>45821</v>
      </c>
      <c r="O386" s="91" t="inlineStr">
        <is>
          <t>PHILIPPOS CONSTANTINIDES TRADING CO. LTD (CIPRO)</t>
        </is>
      </c>
      <c r="P386" s="154" t="inlineStr">
        <is>
          <t xml:space="preserve">IMPORT LICENSE N. 218 DEL 12/08/2020                                                                                         AUT. TRASFERIMENTO N. 6B/2025/1D RILASCIATA IL 30/05/2025   </t>
        </is>
      </c>
      <c r="Q386" s="150" t="n"/>
      <c r="R386" s="150" t="n"/>
      <c r="S386" s="153" t="n"/>
    </row>
    <row r="387" ht="36" customHeight="1">
      <c r="A387" s="46" t="n">
        <v>2717</v>
      </c>
      <c r="B387" s="4">
        <f>+VLOOKUP($A387,MAGAZZINO!$B$2:$M$100000,2,FALSE)</f>
        <v/>
      </c>
      <c r="C387" s="29">
        <f>+VLOOKUP($A387,MAGAZZINO!$B$2:$M$100000,3,FALSE)</f>
        <v/>
      </c>
      <c r="D387" s="3">
        <f>+VLOOKUP($A387,MAGAZZINO!$B$2:$M$100000,4,FALSE)</f>
        <v/>
      </c>
      <c r="E387" s="3">
        <f>+VLOOKUP($A387,MAGAZZINO!$B$2:$M$100000,5,FALSE)</f>
        <v/>
      </c>
      <c r="F387" s="3">
        <f>+VLOOKUP($A387,MAGAZZINO!$B$2:$M$100000,6,FALSE)</f>
        <v/>
      </c>
      <c r="G387" s="3">
        <f>+VLOOKUP($A387,MAGAZZINO!$B$2:$M$100000,7,FALSE)</f>
        <v/>
      </c>
      <c r="H387" s="3">
        <f>+VLOOKUP($A387,MAGAZZINO!$B$2:$M$100000,8,FALSE)</f>
        <v/>
      </c>
      <c r="I387" s="3">
        <f>+VLOOKUP($A387,MAGAZZINO!$B$2:$M$100000,9,FALSE)</f>
        <v/>
      </c>
      <c r="J387" s="3">
        <f>+VLOOKUP($A387,MAGAZZINO!$B$2:$M$100000,10,FALSE)</f>
        <v/>
      </c>
      <c r="K387" s="3">
        <f>+VLOOKUP($A387,MAGAZZINO!$B$2:$M$100000,11,FALSE)</f>
        <v/>
      </c>
      <c r="L387" s="5">
        <f>+VLOOKUP($A387,MAGAZZINO!$B$2:$M$100000,12,FALSE)</f>
        <v/>
      </c>
      <c r="M387" s="47" t="n"/>
      <c r="N387" s="88" t="n">
        <v>45821</v>
      </c>
      <c r="O387" s="91" t="inlineStr">
        <is>
          <t>PHILIPPOS CONSTANTINIDES TRADING CO. LTD (CIPRO)</t>
        </is>
      </c>
      <c r="P387" s="154" t="inlineStr">
        <is>
          <t xml:space="preserve">IMPORT LICENSE N. 218 DEL 12/08/2020                                                                                         AUT. TRASFERIMENTO N. 6B/2025/1D RILASCIATA IL 30/05/2025   </t>
        </is>
      </c>
      <c r="Q387" s="150" t="n"/>
      <c r="R387" s="150" t="n"/>
      <c r="S387" s="153" t="n"/>
    </row>
    <row r="388" ht="36" customHeight="1">
      <c r="A388" s="46" t="n">
        <v>2718</v>
      </c>
      <c r="B388" s="4">
        <f>+VLOOKUP($A388,MAGAZZINO!$B$2:$M$100000,2,FALSE)</f>
        <v/>
      </c>
      <c r="C388" s="29">
        <f>+VLOOKUP($A388,MAGAZZINO!$B$2:$M$100000,3,FALSE)</f>
        <v/>
      </c>
      <c r="D388" s="3">
        <f>+VLOOKUP($A388,MAGAZZINO!$B$2:$M$100000,4,FALSE)</f>
        <v/>
      </c>
      <c r="E388" s="3">
        <f>+VLOOKUP($A388,MAGAZZINO!$B$2:$M$100000,5,FALSE)</f>
        <v/>
      </c>
      <c r="F388" s="3">
        <f>+VLOOKUP($A388,MAGAZZINO!$B$2:$M$100000,6,FALSE)</f>
        <v/>
      </c>
      <c r="G388" s="3">
        <f>+VLOOKUP($A388,MAGAZZINO!$B$2:$M$100000,7,FALSE)</f>
        <v/>
      </c>
      <c r="H388" s="3">
        <f>+VLOOKUP($A388,MAGAZZINO!$B$2:$M$100000,8,FALSE)</f>
        <v/>
      </c>
      <c r="I388" s="3">
        <f>+VLOOKUP($A388,MAGAZZINO!$B$2:$M$100000,9,FALSE)</f>
        <v/>
      </c>
      <c r="J388" s="3">
        <f>+VLOOKUP($A388,MAGAZZINO!$B$2:$M$100000,10,FALSE)</f>
        <v/>
      </c>
      <c r="K388" s="3">
        <f>+VLOOKUP($A388,MAGAZZINO!$B$2:$M$100000,11,FALSE)</f>
        <v/>
      </c>
      <c r="L388" s="5">
        <f>+VLOOKUP($A388,MAGAZZINO!$B$2:$M$100000,12,FALSE)</f>
        <v/>
      </c>
      <c r="M388" s="47" t="n"/>
      <c r="N388" s="88" t="n">
        <v>45821</v>
      </c>
      <c r="O388" s="91" t="inlineStr">
        <is>
          <t>PHILIPPOS CONSTANTINIDES TRADING CO. LTD (CIPRO)</t>
        </is>
      </c>
      <c r="P388" s="154" t="inlineStr">
        <is>
          <t xml:space="preserve">IMPORT LICENSE N. 218 DEL 12/08/2020                                                                                         AUT. TRASFERIMENTO N. 6B/2025/1D RILASCIATA IL 30/05/2025   </t>
        </is>
      </c>
      <c r="Q388" s="150" t="n"/>
      <c r="R388" s="150" t="n"/>
      <c r="S388" s="153" t="n"/>
    </row>
    <row r="389" ht="36" customHeight="1">
      <c r="A389" s="46" t="n">
        <v>2719</v>
      </c>
      <c r="B389" s="4">
        <f>+VLOOKUP($A389,MAGAZZINO!$B$2:$M$100000,2,FALSE)</f>
        <v/>
      </c>
      <c r="C389" s="29">
        <f>+VLOOKUP($A389,MAGAZZINO!$B$2:$M$100000,3,FALSE)</f>
        <v/>
      </c>
      <c r="D389" s="3">
        <f>+VLOOKUP($A389,MAGAZZINO!$B$2:$M$100000,4,FALSE)</f>
        <v/>
      </c>
      <c r="E389" s="3">
        <f>+VLOOKUP($A389,MAGAZZINO!$B$2:$M$100000,5,FALSE)</f>
        <v/>
      </c>
      <c r="F389" s="3">
        <f>+VLOOKUP($A389,MAGAZZINO!$B$2:$M$100000,6,FALSE)</f>
        <v/>
      </c>
      <c r="G389" s="3">
        <f>+VLOOKUP($A389,MAGAZZINO!$B$2:$M$100000,7,FALSE)</f>
        <v/>
      </c>
      <c r="H389" s="3">
        <f>+VLOOKUP($A389,MAGAZZINO!$B$2:$M$100000,8,FALSE)</f>
        <v/>
      </c>
      <c r="I389" s="3">
        <f>+VLOOKUP($A389,MAGAZZINO!$B$2:$M$100000,9,FALSE)</f>
        <v/>
      </c>
      <c r="J389" s="3">
        <f>+VLOOKUP($A389,MAGAZZINO!$B$2:$M$100000,10,FALSE)</f>
        <v/>
      </c>
      <c r="K389" s="3">
        <f>+VLOOKUP($A389,MAGAZZINO!$B$2:$M$100000,11,FALSE)</f>
        <v/>
      </c>
      <c r="L389" s="5">
        <f>+VLOOKUP($A389,MAGAZZINO!$B$2:$M$100000,12,FALSE)</f>
        <v/>
      </c>
      <c r="M389" s="47" t="n"/>
      <c r="N389" s="88" t="n">
        <v>45821</v>
      </c>
      <c r="O389" s="91" t="inlineStr">
        <is>
          <t>PHILIPPOS CONSTANTINIDES TRADING CO. LTD (CIPRO)</t>
        </is>
      </c>
      <c r="P389" s="154" t="inlineStr">
        <is>
          <t xml:space="preserve">IMPORT LICENSE N. 218 DEL 12/08/2020                                                                                         AUT. TRASFERIMENTO N. 6B/2025/1D RILASCIATA IL 30/05/2025   </t>
        </is>
      </c>
      <c r="Q389" s="150" t="n"/>
      <c r="R389" s="150" t="n"/>
      <c r="S389" s="153" t="n"/>
    </row>
    <row r="390" ht="36" customHeight="1">
      <c r="A390" s="46" t="n">
        <v>2720</v>
      </c>
      <c r="B390" s="4">
        <f>+VLOOKUP($A390,MAGAZZINO!$B$2:$M$100000,2,FALSE)</f>
        <v/>
      </c>
      <c r="C390" s="29">
        <f>+VLOOKUP($A390,MAGAZZINO!$B$2:$M$100000,3,FALSE)</f>
        <v/>
      </c>
      <c r="D390" s="3">
        <f>+VLOOKUP($A390,MAGAZZINO!$B$2:$M$100000,4,FALSE)</f>
        <v/>
      </c>
      <c r="E390" s="3">
        <f>+VLOOKUP($A390,MAGAZZINO!$B$2:$M$100000,5,FALSE)</f>
        <v/>
      </c>
      <c r="F390" s="3">
        <f>+VLOOKUP($A390,MAGAZZINO!$B$2:$M$100000,6,FALSE)</f>
        <v/>
      </c>
      <c r="G390" s="3">
        <f>+VLOOKUP($A390,MAGAZZINO!$B$2:$M$100000,7,FALSE)</f>
        <v/>
      </c>
      <c r="H390" s="3">
        <f>+VLOOKUP($A390,MAGAZZINO!$B$2:$M$100000,8,FALSE)</f>
        <v/>
      </c>
      <c r="I390" s="3">
        <f>+VLOOKUP($A390,MAGAZZINO!$B$2:$M$100000,9,FALSE)</f>
        <v/>
      </c>
      <c r="J390" s="3">
        <f>+VLOOKUP($A390,MAGAZZINO!$B$2:$M$100000,10,FALSE)</f>
        <v/>
      </c>
      <c r="K390" s="3">
        <f>+VLOOKUP($A390,MAGAZZINO!$B$2:$M$100000,11,FALSE)</f>
        <v/>
      </c>
      <c r="L390" s="5">
        <f>+VLOOKUP($A390,MAGAZZINO!$B$2:$M$100000,12,FALSE)</f>
        <v/>
      </c>
      <c r="M390" s="47" t="n"/>
      <c r="N390" s="88" t="n">
        <v>45821</v>
      </c>
      <c r="O390" s="91" t="inlineStr">
        <is>
          <t>PHILIPPOS CONSTANTINIDES TRADING CO. LTD (CIPRO)</t>
        </is>
      </c>
      <c r="P390" s="154" t="inlineStr">
        <is>
          <t xml:space="preserve">IMPORT LICENSE N. 218 DEL 12/08/2020                                                                                         AUT. TRASFERIMENTO N. 6B/2025/1D RILASCIATA IL 30/05/2025   </t>
        </is>
      </c>
      <c r="Q390" s="150" t="n"/>
      <c r="R390" s="150" t="n"/>
      <c r="S390" s="153" t="n"/>
    </row>
    <row r="391" ht="36" customHeight="1">
      <c r="A391" s="46" t="n">
        <v>2721</v>
      </c>
      <c r="B391" s="4">
        <f>+VLOOKUP($A391,MAGAZZINO!$B$2:$M$100000,2,FALSE)</f>
        <v/>
      </c>
      <c r="C391" s="29">
        <f>+VLOOKUP($A391,MAGAZZINO!$B$2:$M$100000,3,FALSE)</f>
        <v/>
      </c>
      <c r="D391" s="3">
        <f>+VLOOKUP($A391,MAGAZZINO!$B$2:$M$100000,4,FALSE)</f>
        <v/>
      </c>
      <c r="E391" s="3">
        <f>+VLOOKUP($A391,MAGAZZINO!$B$2:$M$100000,5,FALSE)</f>
        <v/>
      </c>
      <c r="F391" s="3">
        <f>+VLOOKUP($A391,MAGAZZINO!$B$2:$M$100000,6,FALSE)</f>
        <v/>
      </c>
      <c r="G391" s="3">
        <f>+VLOOKUP($A391,MAGAZZINO!$B$2:$M$100000,7,FALSE)</f>
        <v/>
      </c>
      <c r="H391" s="3">
        <f>+VLOOKUP($A391,MAGAZZINO!$B$2:$M$100000,8,FALSE)</f>
        <v/>
      </c>
      <c r="I391" s="3">
        <f>+VLOOKUP($A391,MAGAZZINO!$B$2:$M$100000,9,FALSE)</f>
        <v/>
      </c>
      <c r="J391" s="3">
        <f>+VLOOKUP($A391,MAGAZZINO!$B$2:$M$100000,10,FALSE)</f>
        <v/>
      </c>
      <c r="K391" s="3">
        <f>+VLOOKUP($A391,MAGAZZINO!$B$2:$M$100000,11,FALSE)</f>
        <v/>
      </c>
      <c r="L391" s="5">
        <f>+VLOOKUP($A391,MAGAZZINO!$B$2:$M$100000,12,FALSE)</f>
        <v/>
      </c>
      <c r="M391" s="47" t="n"/>
      <c r="N391" s="88" t="n">
        <v>45821</v>
      </c>
      <c r="O391" s="91" t="inlineStr">
        <is>
          <t>PHILIPPOS CONSTANTINIDES TRADING CO. LTD (CIPRO)</t>
        </is>
      </c>
      <c r="P391" s="154" t="inlineStr">
        <is>
          <t xml:space="preserve">IMPORT LICENSE N. 218 DEL 12/08/2020                                                                                         AUT. TRASFERIMENTO N. 6B/2025/1D RILASCIATA IL 30/05/2025   </t>
        </is>
      </c>
      <c r="Q391" s="150" t="n"/>
      <c r="R391" s="150" t="n"/>
      <c r="S391" s="153" t="n"/>
    </row>
    <row r="392" ht="36" customHeight="1">
      <c r="A392" s="46" t="n">
        <v>2722</v>
      </c>
      <c r="B392" s="4">
        <f>+VLOOKUP($A392,MAGAZZINO!$B$2:$M$100000,2,FALSE)</f>
        <v/>
      </c>
      <c r="C392" s="29">
        <f>+VLOOKUP($A392,MAGAZZINO!$B$2:$M$100000,3,FALSE)</f>
        <v/>
      </c>
      <c r="D392" s="3">
        <f>+VLOOKUP($A392,MAGAZZINO!$B$2:$M$100000,4,FALSE)</f>
        <v/>
      </c>
      <c r="E392" s="3">
        <f>+VLOOKUP($A392,MAGAZZINO!$B$2:$M$100000,5,FALSE)</f>
        <v/>
      </c>
      <c r="F392" s="3">
        <f>+VLOOKUP($A392,MAGAZZINO!$B$2:$M$100000,6,FALSE)</f>
        <v/>
      </c>
      <c r="G392" s="3">
        <f>+VLOOKUP($A392,MAGAZZINO!$B$2:$M$100000,7,FALSE)</f>
        <v/>
      </c>
      <c r="H392" s="3">
        <f>+VLOOKUP($A392,MAGAZZINO!$B$2:$M$100000,8,FALSE)</f>
        <v/>
      </c>
      <c r="I392" s="3">
        <f>+VLOOKUP($A392,MAGAZZINO!$B$2:$M$100000,9,FALSE)</f>
        <v/>
      </c>
      <c r="J392" s="3">
        <f>+VLOOKUP($A392,MAGAZZINO!$B$2:$M$100000,10,FALSE)</f>
        <v/>
      </c>
      <c r="K392" s="3">
        <f>+VLOOKUP($A392,MAGAZZINO!$B$2:$M$100000,11,FALSE)</f>
        <v/>
      </c>
      <c r="L392" s="5">
        <f>+VLOOKUP($A392,MAGAZZINO!$B$2:$M$100000,12,FALSE)</f>
        <v/>
      </c>
      <c r="M392" s="47" t="n"/>
      <c r="N392" s="88" t="n">
        <v>45821</v>
      </c>
      <c r="O392" s="91" t="inlineStr">
        <is>
          <t>PHILIPPOS CONSTANTINIDES TRADING CO. LTD (CIPRO)</t>
        </is>
      </c>
      <c r="P392" s="154" t="inlineStr">
        <is>
          <t xml:space="preserve">IMPORT LICENSE N. 218 DEL 12/08/2020                                                                                         AUT. TRASFERIMENTO N. 6B/2025/1D RILASCIATA IL 30/05/2025   </t>
        </is>
      </c>
      <c r="Q392" s="150" t="n"/>
      <c r="R392" s="150" t="n"/>
      <c r="S392" s="153" t="n"/>
    </row>
    <row r="393" ht="36" customHeight="1">
      <c r="A393" s="46" t="n">
        <v>2723</v>
      </c>
      <c r="B393" s="4">
        <f>+VLOOKUP($A393,MAGAZZINO!$B$2:$M$100000,2,FALSE)</f>
        <v/>
      </c>
      <c r="C393" s="29">
        <f>+VLOOKUP($A393,MAGAZZINO!$B$2:$M$100000,3,FALSE)</f>
        <v/>
      </c>
      <c r="D393" s="3">
        <f>+VLOOKUP($A393,MAGAZZINO!$B$2:$M$100000,4,FALSE)</f>
        <v/>
      </c>
      <c r="E393" s="3">
        <f>+VLOOKUP($A393,MAGAZZINO!$B$2:$M$100000,5,FALSE)</f>
        <v/>
      </c>
      <c r="F393" s="3">
        <f>+VLOOKUP($A393,MAGAZZINO!$B$2:$M$100000,6,FALSE)</f>
        <v/>
      </c>
      <c r="G393" s="3">
        <f>+VLOOKUP($A393,MAGAZZINO!$B$2:$M$100000,7,FALSE)</f>
        <v/>
      </c>
      <c r="H393" s="3">
        <f>+VLOOKUP($A393,MAGAZZINO!$B$2:$M$100000,8,FALSE)</f>
        <v/>
      </c>
      <c r="I393" s="3">
        <f>+VLOOKUP($A393,MAGAZZINO!$B$2:$M$100000,9,FALSE)</f>
        <v/>
      </c>
      <c r="J393" s="3">
        <f>+VLOOKUP($A393,MAGAZZINO!$B$2:$M$100000,10,FALSE)</f>
        <v/>
      </c>
      <c r="K393" s="3">
        <f>+VLOOKUP($A393,MAGAZZINO!$B$2:$M$100000,11,FALSE)</f>
        <v/>
      </c>
      <c r="L393" s="5">
        <f>+VLOOKUP($A393,MAGAZZINO!$B$2:$M$100000,12,FALSE)</f>
        <v/>
      </c>
      <c r="M393" s="47" t="n"/>
      <c r="N393" s="88" t="n">
        <v>45874</v>
      </c>
      <c r="O393" s="91" t="inlineStr">
        <is>
          <t>PHILIPPOS CONSTANTINIDES TRADING CO. LTD (CIPRO)</t>
        </is>
      </c>
      <c r="P393" s="154" t="inlineStr">
        <is>
          <t xml:space="preserve">IMPORT LICENSE N. 218 DEL 12/08/2020                                                                                         AUT. TRASFERIMENTO N. 6B/2025/3D RILASCIATA IL 28/07/2025   </t>
        </is>
      </c>
      <c r="Q393" s="150" t="n"/>
      <c r="R393" s="150" t="n"/>
      <c r="S393" s="153" t="n"/>
    </row>
    <row r="394" ht="36" customHeight="1">
      <c r="A394" s="46" t="n">
        <v>2724</v>
      </c>
      <c r="B394" s="4">
        <f>+VLOOKUP($A394,MAGAZZINO!$B$2:$M$100000,2,FALSE)</f>
        <v/>
      </c>
      <c r="C394" s="29">
        <f>+VLOOKUP($A394,MAGAZZINO!$B$2:$M$100000,3,FALSE)</f>
        <v/>
      </c>
      <c r="D394" s="3">
        <f>+VLOOKUP($A394,MAGAZZINO!$B$2:$M$100000,4,FALSE)</f>
        <v/>
      </c>
      <c r="E394" s="3">
        <f>+VLOOKUP($A394,MAGAZZINO!$B$2:$M$100000,5,FALSE)</f>
        <v/>
      </c>
      <c r="F394" s="3">
        <f>+VLOOKUP($A394,MAGAZZINO!$B$2:$M$100000,6,FALSE)</f>
        <v/>
      </c>
      <c r="G394" s="3">
        <f>+VLOOKUP($A394,MAGAZZINO!$B$2:$M$100000,7,FALSE)</f>
        <v/>
      </c>
      <c r="H394" s="3">
        <f>+VLOOKUP($A394,MAGAZZINO!$B$2:$M$100000,8,FALSE)</f>
        <v/>
      </c>
      <c r="I394" s="3">
        <f>+VLOOKUP($A394,MAGAZZINO!$B$2:$M$100000,9,FALSE)</f>
        <v/>
      </c>
      <c r="J394" s="3">
        <f>+VLOOKUP($A394,MAGAZZINO!$B$2:$M$100000,10,FALSE)</f>
        <v/>
      </c>
      <c r="K394" s="3">
        <f>+VLOOKUP($A394,MAGAZZINO!$B$2:$M$100000,11,FALSE)</f>
        <v/>
      </c>
      <c r="L394" s="5">
        <f>+VLOOKUP($A394,MAGAZZINO!$B$2:$M$100000,12,FALSE)</f>
        <v/>
      </c>
      <c r="M394" s="47" t="n"/>
      <c r="N394" s="88" t="n">
        <v>45874</v>
      </c>
      <c r="O394" s="91" t="inlineStr">
        <is>
          <t>PHILIPPOS CONSTANTINIDES TRADING CO. LTD (CIPRO)</t>
        </is>
      </c>
      <c r="P394" s="154" t="inlineStr">
        <is>
          <t xml:space="preserve">IMPORT LICENSE N. 218 DEL 12/08/2020                                                                                         AUT. TRASFERIMENTO N. 6B/2025/3D RILASCIATA IL 28/07/2025   </t>
        </is>
      </c>
      <c r="Q394" s="150" t="n"/>
      <c r="R394" s="150" t="n"/>
      <c r="S394" s="153" t="n"/>
    </row>
    <row r="395" ht="36" customHeight="1">
      <c r="A395" s="46" t="n">
        <v>2725</v>
      </c>
      <c r="B395" s="4">
        <f>+VLOOKUP($A395,MAGAZZINO!$B$2:$M$100000,2,FALSE)</f>
        <v/>
      </c>
      <c r="C395" s="29">
        <f>+VLOOKUP($A395,MAGAZZINO!$B$2:$M$100000,3,FALSE)</f>
        <v/>
      </c>
      <c r="D395" s="3">
        <f>+VLOOKUP($A395,MAGAZZINO!$B$2:$M$100000,4,FALSE)</f>
        <v/>
      </c>
      <c r="E395" s="3">
        <f>+VLOOKUP($A395,MAGAZZINO!$B$2:$M$100000,5,FALSE)</f>
        <v/>
      </c>
      <c r="F395" s="3">
        <f>+VLOOKUP($A395,MAGAZZINO!$B$2:$M$100000,6,FALSE)</f>
        <v/>
      </c>
      <c r="G395" s="3">
        <f>+VLOOKUP($A395,MAGAZZINO!$B$2:$M$100000,7,FALSE)</f>
        <v/>
      </c>
      <c r="H395" s="3">
        <f>+VLOOKUP($A395,MAGAZZINO!$B$2:$M$100000,8,FALSE)</f>
        <v/>
      </c>
      <c r="I395" s="3">
        <f>+VLOOKUP($A395,MAGAZZINO!$B$2:$M$100000,9,FALSE)</f>
        <v/>
      </c>
      <c r="J395" s="3">
        <f>+VLOOKUP($A395,MAGAZZINO!$B$2:$M$100000,10,FALSE)</f>
        <v/>
      </c>
      <c r="K395" s="3">
        <f>+VLOOKUP($A395,MAGAZZINO!$B$2:$M$100000,11,FALSE)</f>
        <v/>
      </c>
      <c r="L395" s="5">
        <f>+VLOOKUP($A395,MAGAZZINO!$B$2:$M$100000,12,FALSE)</f>
        <v/>
      </c>
      <c r="M395" s="47" t="n"/>
      <c r="N395" s="88" t="n">
        <v>45874</v>
      </c>
      <c r="O395" s="91" t="inlineStr">
        <is>
          <t>PHILIPPOS CONSTANTINIDES TRADING CO. LTD (CIPRO)</t>
        </is>
      </c>
      <c r="P395" s="154" t="inlineStr">
        <is>
          <t xml:space="preserve">IMPORT LICENSE N. 218 DEL 12/08/2020                                                                                         AUT. TRASFERIMENTO N. 6B/2025/3D RILASCIATA IL 28/07/2025   </t>
        </is>
      </c>
      <c r="Q395" s="150" t="n"/>
      <c r="R395" s="150" t="n"/>
      <c r="S395" s="153" t="n"/>
    </row>
    <row r="396" ht="36" customHeight="1">
      <c r="A396" s="46" t="n">
        <v>2726</v>
      </c>
      <c r="B396" s="4">
        <f>+VLOOKUP($A396,MAGAZZINO!$B$2:$M$100000,2,FALSE)</f>
        <v/>
      </c>
      <c r="C396" s="29">
        <f>+VLOOKUP($A396,MAGAZZINO!$B$2:$M$100000,3,FALSE)</f>
        <v/>
      </c>
      <c r="D396" s="3">
        <f>+VLOOKUP($A396,MAGAZZINO!$B$2:$M$100000,4,FALSE)</f>
        <v/>
      </c>
      <c r="E396" s="3">
        <f>+VLOOKUP($A396,MAGAZZINO!$B$2:$M$100000,5,FALSE)</f>
        <v/>
      </c>
      <c r="F396" s="3">
        <f>+VLOOKUP($A396,MAGAZZINO!$B$2:$M$100000,6,FALSE)</f>
        <v/>
      </c>
      <c r="G396" s="3">
        <f>+VLOOKUP($A396,MAGAZZINO!$B$2:$M$100000,7,FALSE)</f>
        <v/>
      </c>
      <c r="H396" s="3">
        <f>+VLOOKUP($A396,MAGAZZINO!$B$2:$M$100000,8,FALSE)</f>
        <v/>
      </c>
      <c r="I396" s="3">
        <f>+VLOOKUP($A396,MAGAZZINO!$B$2:$M$100000,9,FALSE)</f>
        <v/>
      </c>
      <c r="J396" s="3">
        <f>+VLOOKUP($A396,MAGAZZINO!$B$2:$M$100000,10,FALSE)</f>
        <v/>
      </c>
      <c r="K396" s="3">
        <f>+VLOOKUP($A396,MAGAZZINO!$B$2:$M$100000,11,FALSE)</f>
        <v/>
      </c>
      <c r="L396" s="5">
        <f>+VLOOKUP($A396,MAGAZZINO!$B$2:$M$100000,12,FALSE)</f>
        <v/>
      </c>
      <c r="M396" s="47" t="n"/>
      <c r="N396" s="88" t="n">
        <v>45874</v>
      </c>
      <c r="O396" s="91" t="inlineStr">
        <is>
          <t>PHILIPPOS CONSTANTINIDES TRADING CO. LTD (CIPRO)</t>
        </is>
      </c>
      <c r="P396" s="154" t="inlineStr">
        <is>
          <t xml:space="preserve">IMPORT LICENSE N. 218 DEL 12/08/2020                                                                                         AUT. TRASFERIMENTO N. 6B/2025/3D RILASCIATA IL 28/07/2025   </t>
        </is>
      </c>
      <c r="Q396" s="150" t="n"/>
      <c r="R396" s="150" t="n"/>
      <c r="S396" s="153" t="n"/>
    </row>
    <row r="397" ht="36" customHeight="1">
      <c r="A397" s="46" t="n">
        <v>2727</v>
      </c>
      <c r="B397" s="4">
        <f>+VLOOKUP($A397,MAGAZZINO!$B$2:$M$100000,2,FALSE)</f>
        <v/>
      </c>
      <c r="C397" s="29">
        <f>+VLOOKUP($A397,MAGAZZINO!$B$2:$M$100000,3,FALSE)</f>
        <v/>
      </c>
      <c r="D397" s="3">
        <f>+VLOOKUP($A397,MAGAZZINO!$B$2:$M$100000,4,FALSE)</f>
        <v/>
      </c>
      <c r="E397" s="3">
        <f>+VLOOKUP($A397,MAGAZZINO!$B$2:$M$100000,5,FALSE)</f>
        <v/>
      </c>
      <c r="F397" s="3">
        <f>+VLOOKUP($A397,MAGAZZINO!$B$2:$M$100000,6,FALSE)</f>
        <v/>
      </c>
      <c r="G397" s="3">
        <f>+VLOOKUP($A397,MAGAZZINO!$B$2:$M$100000,7,FALSE)</f>
        <v/>
      </c>
      <c r="H397" s="3">
        <f>+VLOOKUP($A397,MAGAZZINO!$B$2:$M$100000,8,FALSE)</f>
        <v/>
      </c>
      <c r="I397" s="3">
        <f>+VLOOKUP($A397,MAGAZZINO!$B$2:$M$100000,9,FALSE)</f>
        <v/>
      </c>
      <c r="J397" s="3">
        <f>+VLOOKUP($A397,MAGAZZINO!$B$2:$M$100000,10,FALSE)</f>
        <v/>
      </c>
      <c r="K397" s="3">
        <f>+VLOOKUP($A397,MAGAZZINO!$B$2:$M$100000,11,FALSE)</f>
        <v/>
      </c>
      <c r="L397" s="5">
        <f>+VLOOKUP($A397,MAGAZZINO!$B$2:$M$100000,12,FALSE)</f>
        <v/>
      </c>
      <c r="M397" s="47" t="n"/>
      <c r="N397" s="89" t="n">
        <v>45769</v>
      </c>
      <c r="O397" s="91" t="inlineStr">
        <is>
          <t>HS &amp; LLC (OMAN)</t>
        </is>
      </c>
      <c r="P397" s="154" t="inlineStr">
        <is>
          <t>IMPORT LICENSE N. 24/1/2463/1/2024 DEL 05/05/2024                                                              AUT. ESPORTAZIONE MULTIPLA N. 6B/2024/2M RILASCIATA IL 30/07/2024   (LICENZA DI SCARICO N. 6B/2025/1S RILASCIATA IL 15/04/2025)</t>
        </is>
      </c>
      <c r="Q397" s="150" t="n"/>
      <c r="R397" s="150" t="n"/>
      <c r="S397" s="153" t="n"/>
    </row>
    <row r="398" ht="36" customHeight="1">
      <c r="A398" s="46" t="n">
        <v>2728</v>
      </c>
      <c r="B398" s="4">
        <f>+VLOOKUP($A398,MAGAZZINO!$B$2:$M$100000,2,FALSE)</f>
        <v/>
      </c>
      <c r="C398" s="29">
        <f>+VLOOKUP($A398,MAGAZZINO!$B$2:$M$100000,3,FALSE)</f>
        <v/>
      </c>
      <c r="D398" s="3">
        <f>+VLOOKUP($A398,MAGAZZINO!$B$2:$M$100000,4,FALSE)</f>
        <v/>
      </c>
      <c r="E398" s="3">
        <f>+VLOOKUP($A398,MAGAZZINO!$B$2:$M$100000,5,FALSE)</f>
        <v/>
      </c>
      <c r="F398" s="3">
        <f>+VLOOKUP($A398,MAGAZZINO!$B$2:$M$100000,6,FALSE)</f>
        <v/>
      </c>
      <c r="G398" s="3">
        <f>+VLOOKUP($A398,MAGAZZINO!$B$2:$M$100000,7,FALSE)</f>
        <v/>
      </c>
      <c r="H398" s="3">
        <f>+VLOOKUP($A398,MAGAZZINO!$B$2:$M$100000,8,FALSE)</f>
        <v/>
      </c>
      <c r="I398" s="3">
        <f>+VLOOKUP($A398,MAGAZZINO!$B$2:$M$100000,9,FALSE)</f>
        <v/>
      </c>
      <c r="J398" s="3">
        <f>+VLOOKUP($A398,MAGAZZINO!$B$2:$M$100000,10,FALSE)</f>
        <v/>
      </c>
      <c r="K398" s="3">
        <f>+VLOOKUP($A398,MAGAZZINO!$B$2:$M$100000,11,FALSE)</f>
        <v/>
      </c>
      <c r="L398" s="5">
        <f>+VLOOKUP($A398,MAGAZZINO!$B$2:$M$100000,12,FALSE)</f>
        <v/>
      </c>
      <c r="M398" s="47" t="n"/>
      <c r="N398" s="89" t="n">
        <v>45769</v>
      </c>
      <c r="O398" s="91" t="inlineStr">
        <is>
          <t>HS &amp; LLC (OMAN)</t>
        </is>
      </c>
      <c r="P398" s="154" t="inlineStr">
        <is>
          <t>IMPORT LICENSE N. 24/1/2463/1/2024 DEL 05/05/2024                                                              AUT. ESPORTAZIONE MULTIPLA N. 6B/2024/2M RILASCIATA IL 30/07/2024   (LICENZA DI SCARICO N. 6B/2025/1S RILASCIATA IL 15/04/2025)</t>
        </is>
      </c>
      <c r="Q398" s="150" t="n"/>
      <c r="R398" s="150" t="n"/>
      <c r="S398" s="153" t="n"/>
    </row>
    <row r="399" ht="36" customHeight="1">
      <c r="A399" s="46" t="n">
        <v>2729</v>
      </c>
      <c r="B399" s="4">
        <f>+VLOOKUP($A399,MAGAZZINO!$B$2:$M$100000,2,FALSE)</f>
        <v/>
      </c>
      <c r="C399" s="29">
        <f>+VLOOKUP($A399,MAGAZZINO!$B$2:$M$100000,3,FALSE)</f>
        <v/>
      </c>
      <c r="D399" s="3">
        <f>+VLOOKUP($A399,MAGAZZINO!$B$2:$M$100000,4,FALSE)</f>
        <v/>
      </c>
      <c r="E399" s="3">
        <f>+VLOOKUP($A399,MAGAZZINO!$B$2:$M$100000,5,FALSE)</f>
        <v/>
      </c>
      <c r="F399" s="3">
        <f>+VLOOKUP($A399,MAGAZZINO!$B$2:$M$100000,6,FALSE)</f>
        <v/>
      </c>
      <c r="G399" s="3">
        <f>+VLOOKUP($A399,MAGAZZINO!$B$2:$M$100000,7,FALSE)</f>
        <v/>
      </c>
      <c r="H399" s="3">
        <f>+VLOOKUP($A399,MAGAZZINO!$B$2:$M$100000,8,FALSE)</f>
        <v/>
      </c>
      <c r="I399" s="3">
        <f>+VLOOKUP($A399,MAGAZZINO!$B$2:$M$100000,9,FALSE)</f>
        <v/>
      </c>
      <c r="J399" s="3">
        <f>+VLOOKUP($A399,MAGAZZINO!$B$2:$M$100000,10,FALSE)</f>
        <v/>
      </c>
      <c r="K399" s="3">
        <f>+VLOOKUP($A399,MAGAZZINO!$B$2:$M$100000,11,FALSE)</f>
        <v/>
      </c>
      <c r="L399" s="5">
        <f>+VLOOKUP($A399,MAGAZZINO!$B$2:$M$100000,12,FALSE)</f>
        <v/>
      </c>
      <c r="M399" s="47" t="n"/>
      <c r="N399" s="89" t="n">
        <v>45769</v>
      </c>
      <c r="O399" s="91" t="inlineStr">
        <is>
          <t>HS &amp; LLC (OMAN)</t>
        </is>
      </c>
      <c r="P399" s="154" t="inlineStr">
        <is>
          <t>IMPORT LICENSE N. 24/1/2463/1/2024 DEL 05/05/2024                                                              AUT. ESPORTAZIONE MULTIPLA N. 6B/2024/2M RILASCIATA IL 30/07/2024   (LICENZA DI SCARICO N. 6B/2025/1S RILASCIATA IL 15/04/2025)</t>
        </is>
      </c>
      <c r="Q399" s="150" t="n"/>
      <c r="R399" s="150" t="n"/>
      <c r="S399" s="153" t="n"/>
    </row>
    <row r="400" ht="36" customHeight="1">
      <c r="A400" s="46" t="n">
        <v>2730</v>
      </c>
      <c r="B400" s="4">
        <f>+VLOOKUP($A400,MAGAZZINO!$B$2:$M$100000,2,FALSE)</f>
        <v/>
      </c>
      <c r="C400" s="29">
        <f>+VLOOKUP($A400,MAGAZZINO!$B$2:$M$100000,3,FALSE)</f>
        <v/>
      </c>
      <c r="D400" s="3">
        <f>+VLOOKUP($A400,MAGAZZINO!$B$2:$M$100000,4,FALSE)</f>
        <v/>
      </c>
      <c r="E400" s="3">
        <f>+VLOOKUP($A400,MAGAZZINO!$B$2:$M$100000,5,FALSE)</f>
        <v/>
      </c>
      <c r="F400" s="3">
        <f>+VLOOKUP($A400,MAGAZZINO!$B$2:$M$100000,6,FALSE)</f>
        <v/>
      </c>
      <c r="G400" s="3">
        <f>+VLOOKUP($A400,MAGAZZINO!$B$2:$M$100000,7,FALSE)</f>
        <v/>
      </c>
      <c r="H400" s="3">
        <f>+VLOOKUP($A400,MAGAZZINO!$B$2:$M$100000,8,FALSE)</f>
        <v/>
      </c>
      <c r="I400" s="3">
        <f>+VLOOKUP($A400,MAGAZZINO!$B$2:$M$100000,9,FALSE)</f>
        <v/>
      </c>
      <c r="J400" s="3">
        <f>+VLOOKUP($A400,MAGAZZINO!$B$2:$M$100000,10,FALSE)</f>
        <v/>
      </c>
      <c r="K400" s="3">
        <f>+VLOOKUP($A400,MAGAZZINO!$B$2:$M$100000,11,FALSE)</f>
        <v/>
      </c>
      <c r="L400" s="5">
        <f>+VLOOKUP($A400,MAGAZZINO!$B$2:$M$100000,12,FALSE)</f>
        <v/>
      </c>
      <c r="M400" s="47" t="n"/>
      <c r="N400" s="89" t="n">
        <v>45769</v>
      </c>
      <c r="O400" s="91" t="inlineStr">
        <is>
          <t>HS &amp; LLC (OMAN)</t>
        </is>
      </c>
      <c r="P400" s="154" t="inlineStr">
        <is>
          <t>IMPORT LICENSE N. 24/1/2463/1/2024 DEL 05/05/2024                                                              AUT. ESPORTAZIONE MULTIPLA N. 6B/2024/2M RILASCIATA IL 30/07/2024   (LICENZA DI SCARICO N. 6B/2025/1S RILASCIATA IL 15/04/2025)</t>
        </is>
      </c>
      <c r="Q400" s="150" t="n"/>
      <c r="R400" s="150" t="n"/>
      <c r="S400" s="153" t="n"/>
    </row>
    <row r="401" ht="36" customHeight="1">
      <c r="A401" s="46" t="n">
        <v>2731</v>
      </c>
      <c r="B401" s="4">
        <f>+VLOOKUP($A401,MAGAZZINO!$B$2:$M$100000,2,FALSE)</f>
        <v/>
      </c>
      <c r="C401" s="29">
        <f>+VLOOKUP($A401,MAGAZZINO!$B$2:$M$100000,3,FALSE)</f>
        <v/>
      </c>
      <c r="D401" s="3">
        <f>+VLOOKUP($A401,MAGAZZINO!$B$2:$M$100000,4,FALSE)</f>
        <v/>
      </c>
      <c r="E401" s="3">
        <f>+VLOOKUP($A401,MAGAZZINO!$B$2:$M$100000,5,FALSE)</f>
        <v/>
      </c>
      <c r="F401" s="3">
        <f>+VLOOKUP($A401,MAGAZZINO!$B$2:$M$100000,6,FALSE)</f>
        <v/>
      </c>
      <c r="G401" s="3">
        <f>+VLOOKUP($A401,MAGAZZINO!$B$2:$M$100000,7,FALSE)</f>
        <v/>
      </c>
      <c r="H401" s="3">
        <f>+VLOOKUP($A401,MAGAZZINO!$B$2:$M$100000,8,FALSE)</f>
        <v/>
      </c>
      <c r="I401" s="3">
        <f>+VLOOKUP($A401,MAGAZZINO!$B$2:$M$100000,9,FALSE)</f>
        <v/>
      </c>
      <c r="J401" s="3">
        <f>+VLOOKUP($A401,MAGAZZINO!$B$2:$M$100000,10,FALSE)</f>
        <v/>
      </c>
      <c r="K401" s="3">
        <f>+VLOOKUP($A401,MAGAZZINO!$B$2:$M$100000,11,FALSE)</f>
        <v/>
      </c>
      <c r="L401" s="5">
        <f>+VLOOKUP($A401,MAGAZZINO!$B$2:$M$100000,12,FALSE)</f>
        <v/>
      </c>
      <c r="M401" s="47" t="n"/>
      <c r="N401" s="89" t="n">
        <v>45769</v>
      </c>
      <c r="O401" s="91" t="inlineStr">
        <is>
          <t>HS &amp; LLC (OMAN)</t>
        </is>
      </c>
      <c r="P401" s="154" t="inlineStr">
        <is>
          <t>IMPORT LICENSE N. 24/1/2463/1/2024 DEL 05/05/2024                                                              AUT. ESPORTAZIONE MULTIPLA N. 6B/2024/2M RILASCIATA IL 30/07/2024   (LICENZA DI SCARICO N. 6B/2025/1S RILASCIATA IL 15/04/2025)</t>
        </is>
      </c>
      <c r="Q401" s="150" t="n"/>
      <c r="R401" s="150" t="n"/>
      <c r="S401" s="153" t="n"/>
    </row>
    <row r="402" ht="36" customHeight="1">
      <c r="A402" s="46" t="n">
        <v>2732</v>
      </c>
      <c r="B402" s="4">
        <f>+VLOOKUP($A402,MAGAZZINO!$B$2:$M$100000,2,FALSE)</f>
        <v/>
      </c>
      <c r="C402" s="29">
        <f>+VLOOKUP($A402,MAGAZZINO!$B$2:$M$100000,3,FALSE)</f>
        <v/>
      </c>
      <c r="D402" s="3">
        <f>+VLOOKUP($A402,MAGAZZINO!$B$2:$M$100000,4,FALSE)</f>
        <v/>
      </c>
      <c r="E402" s="3">
        <f>+VLOOKUP($A402,MAGAZZINO!$B$2:$M$100000,5,FALSE)</f>
        <v/>
      </c>
      <c r="F402" s="3">
        <f>+VLOOKUP($A402,MAGAZZINO!$B$2:$M$100000,6,FALSE)</f>
        <v/>
      </c>
      <c r="G402" s="3">
        <f>+VLOOKUP($A402,MAGAZZINO!$B$2:$M$100000,7,FALSE)</f>
        <v/>
      </c>
      <c r="H402" s="3">
        <f>+VLOOKUP($A402,MAGAZZINO!$B$2:$M$100000,8,FALSE)</f>
        <v/>
      </c>
      <c r="I402" s="3">
        <f>+VLOOKUP($A402,MAGAZZINO!$B$2:$M$100000,9,FALSE)</f>
        <v/>
      </c>
      <c r="J402" s="3">
        <f>+VLOOKUP($A402,MAGAZZINO!$B$2:$M$100000,10,FALSE)</f>
        <v/>
      </c>
      <c r="K402" s="3">
        <f>+VLOOKUP($A402,MAGAZZINO!$B$2:$M$100000,11,FALSE)</f>
        <v/>
      </c>
      <c r="L402" s="5">
        <f>+VLOOKUP($A402,MAGAZZINO!$B$2:$M$100000,12,FALSE)</f>
        <v/>
      </c>
      <c r="M402" s="47" t="n"/>
      <c r="N402" s="88" t="n">
        <v>45874</v>
      </c>
      <c r="O402" s="91" t="inlineStr">
        <is>
          <t>PHILIPPOS CONSTANTINIDES TRADING CO. LTD (CIPRO)</t>
        </is>
      </c>
      <c r="P402" s="154" t="inlineStr">
        <is>
          <t xml:space="preserve">IMPORT LICENSE N. 218 DEL 12/08/2020                                                                                         AUT. TRASFERIMENTO N. 6B/2025/3D RILASCIATA IL 28/07/2025   </t>
        </is>
      </c>
      <c r="Q402" s="150" t="n"/>
      <c r="R402" s="150" t="n"/>
      <c r="S402" s="153" t="n"/>
    </row>
    <row r="403" ht="36" customHeight="1">
      <c r="A403" s="46" t="n">
        <v>2733</v>
      </c>
      <c r="B403" s="4">
        <f>+VLOOKUP($A403,MAGAZZINO!$B$2:$M$100000,2,FALSE)</f>
        <v/>
      </c>
      <c r="C403" s="29">
        <f>+VLOOKUP($A403,MAGAZZINO!$B$2:$M$100000,3,FALSE)</f>
        <v/>
      </c>
      <c r="D403" s="3">
        <f>+VLOOKUP($A403,MAGAZZINO!$B$2:$M$100000,4,FALSE)</f>
        <v/>
      </c>
      <c r="E403" s="3">
        <f>+VLOOKUP($A403,MAGAZZINO!$B$2:$M$100000,5,FALSE)</f>
        <v/>
      </c>
      <c r="F403" s="3">
        <f>+VLOOKUP($A403,MAGAZZINO!$B$2:$M$100000,6,FALSE)</f>
        <v/>
      </c>
      <c r="G403" s="3">
        <f>+VLOOKUP($A403,MAGAZZINO!$B$2:$M$100000,7,FALSE)</f>
        <v/>
      </c>
      <c r="H403" s="3">
        <f>+VLOOKUP($A403,MAGAZZINO!$B$2:$M$100000,8,FALSE)</f>
        <v/>
      </c>
      <c r="I403" s="3">
        <f>+VLOOKUP($A403,MAGAZZINO!$B$2:$M$100000,9,FALSE)</f>
        <v/>
      </c>
      <c r="J403" s="3">
        <f>+VLOOKUP($A403,MAGAZZINO!$B$2:$M$100000,10,FALSE)</f>
        <v/>
      </c>
      <c r="K403" s="3">
        <f>+VLOOKUP($A403,MAGAZZINO!$B$2:$M$100000,11,FALSE)</f>
        <v/>
      </c>
      <c r="L403" s="5">
        <f>+VLOOKUP($A403,MAGAZZINO!$B$2:$M$100000,12,FALSE)</f>
        <v/>
      </c>
      <c r="M403" s="47" t="n"/>
      <c r="N403" s="88" t="n">
        <v>45874</v>
      </c>
      <c r="O403" s="91" t="inlineStr">
        <is>
          <t>PHILIPPOS CONSTANTINIDES TRADING CO. LTD (CIPRO)</t>
        </is>
      </c>
      <c r="P403" s="154" t="inlineStr">
        <is>
          <t xml:space="preserve">IMPORT LICENSE N. 218 DEL 12/08/2020                                                                                         AUT. TRASFERIMENTO N. 6B/2025/3D RILASCIATA IL 28/07/2025   </t>
        </is>
      </c>
      <c r="Q403" s="150" t="n"/>
      <c r="R403" s="150" t="n"/>
      <c r="S403" s="153" t="n"/>
    </row>
    <row r="404" ht="36" customHeight="1">
      <c r="A404" s="46" t="n">
        <v>2734</v>
      </c>
      <c r="B404" s="4">
        <f>+VLOOKUP($A404,MAGAZZINO!$B$2:$M$100000,2,FALSE)</f>
        <v/>
      </c>
      <c r="C404" s="29">
        <f>+VLOOKUP($A404,MAGAZZINO!$B$2:$M$100000,3,FALSE)</f>
        <v/>
      </c>
      <c r="D404" s="3">
        <f>+VLOOKUP($A404,MAGAZZINO!$B$2:$M$100000,4,FALSE)</f>
        <v/>
      </c>
      <c r="E404" s="3">
        <f>+VLOOKUP($A404,MAGAZZINO!$B$2:$M$100000,5,FALSE)</f>
        <v/>
      </c>
      <c r="F404" s="3">
        <f>+VLOOKUP($A404,MAGAZZINO!$B$2:$M$100000,6,FALSE)</f>
        <v/>
      </c>
      <c r="G404" s="3">
        <f>+VLOOKUP($A404,MAGAZZINO!$B$2:$M$100000,7,FALSE)</f>
        <v/>
      </c>
      <c r="H404" s="3">
        <f>+VLOOKUP($A404,MAGAZZINO!$B$2:$M$100000,8,FALSE)</f>
        <v/>
      </c>
      <c r="I404" s="3">
        <f>+VLOOKUP($A404,MAGAZZINO!$B$2:$M$100000,9,FALSE)</f>
        <v/>
      </c>
      <c r="J404" s="3">
        <f>+VLOOKUP($A404,MAGAZZINO!$B$2:$M$100000,10,FALSE)</f>
        <v/>
      </c>
      <c r="K404" s="3">
        <f>+VLOOKUP($A404,MAGAZZINO!$B$2:$M$100000,11,FALSE)</f>
        <v/>
      </c>
      <c r="L404" s="5">
        <f>+VLOOKUP($A404,MAGAZZINO!$B$2:$M$100000,12,FALSE)</f>
        <v/>
      </c>
      <c r="M404" s="47" t="n"/>
      <c r="N404" s="88" t="n">
        <v>45874</v>
      </c>
      <c r="O404" s="91" t="inlineStr">
        <is>
          <t>PHILIPPOS CONSTANTINIDES TRADING CO. LTD (CIPRO)</t>
        </is>
      </c>
      <c r="P404" s="154" t="inlineStr">
        <is>
          <t xml:space="preserve">IMPORT LICENSE N. 218 DEL 12/08/2020                                                                                         AUT. TRASFERIMENTO N. 6B/2025/3D RILASCIATA IL 28/07/2025   </t>
        </is>
      </c>
      <c r="Q404" s="150" t="n"/>
      <c r="R404" s="150" t="n"/>
      <c r="S404" s="153" t="n"/>
    </row>
    <row r="405" ht="36" customHeight="1">
      <c r="A405" s="46" t="n">
        <v>2735</v>
      </c>
      <c r="B405" s="4">
        <f>+VLOOKUP($A405,MAGAZZINO!$B$2:$M$100000,2,FALSE)</f>
        <v/>
      </c>
      <c r="C405" s="29">
        <f>+VLOOKUP($A405,MAGAZZINO!$B$2:$M$100000,3,FALSE)</f>
        <v/>
      </c>
      <c r="D405" s="3">
        <f>+VLOOKUP($A405,MAGAZZINO!$B$2:$M$100000,4,FALSE)</f>
        <v/>
      </c>
      <c r="E405" s="3">
        <f>+VLOOKUP($A405,MAGAZZINO!$B$2:$M$100000,5,FALSE)</f>
        <v/>
      </c>
      <c r="F405" s="3">
        <f>+VLOOKUP($A405,MAGAZZINO!$B$2:$M$100000,6,FALSE)</f>
        <v/>
      </c>
      <c r="G405" s="3">
        <f>+VLOOKUP($A405,MAGAZZINO!$B$2:$M$100000,7,FALSE)</f>
        <v/>
      </c>
      <c r="H405" s="3">
        <f>+VLOOKUP($A405,MAGAZZINO!$B$2:$M$100000,8,FALSE)</f>
        <v/>
      </c>
      <c r="I405" s="3">
        <f>+VLOOKUP($A405,MAGAZZINO!$B$2:$M$100000,9,FALSE)</f>
        <v/>
      </c>
      <c r="J405" s="3">
        <f>+VLOOKUP($A405,MAGAZZINO!$B$2:$M$100000,10,FALSE)</f>
        <v/>
      </c>
      <c r="K405" s="3">
        <f>+VLOOKUP($A405,MAGAZZINO!$B$2:$M$100000,11,FALSE)</f>
        <v/>
      </c>
      <c r="L405" s="5">
        <f>+VLOOKUP($A405,MAGAZZINO!$B$2:$M$100000,12,FALSE)</f>
        <v/>
      </c>
      <c r="M405" s="47" t="n"/>
      <c r="N405" s="88" t="n">
        <v>45874</v>
      </c>
      <c r="O405" s="91" t="inlineStr">
        <is>
          <t>PHILIPPOS CONSTANTINIDES TRADING CO. LTD (CIPRO)</t>
        </is>
      </c>
      <c r="P405" s="154" t="inlineStr">
        <is>
          <t xml:space="preserve">IMPORT LICENSE N. 218 DEL 12/08/2020                                                                                         AUT. TRASFERIMENTO N. 6B/2025/3D RILASCIATA IL 28/07/2025   </t>
        </is>
      </c>
      <c r="Q405" s="150" t="n"/>
      <c r="R405" s="150" t="n"/>
      <c r="S405" s="153" t="n"/>
    </row>
    <row r="406" ht="36" customHeight="1">
      <c r="A406" s="46" t="n">
        <v>2736</v>
      </c>
      <c r="B406" s="4">
        <f>+VLOOKUP($A406,MAGAZZINO!$B$2:$M$100000,2,FALSE)</f>
        <v/>
      </c>
      <c r="C406" s="29">
        <f>+VLOOKUP($A406,MAGAZZINO!$B$2:$M$100000,3,FALSE)</f>
        <v/>
      </c>
      <c r="D406" s="3">
        <f>+VLOOKUP($A406,MAGAZZINO!$B$2:$M$100000,4,FALSE)</f>
        <v/>
      </c>
      <c r="E406" s="3">
        <f>+VLOOKUP($A406,MAGAZZINO!$B$2:$M$100000,5,FALSE)</f>
        <v/>
      </c>
      <c r="F406" s="3">
        <f>+VLOOKUP($A406,MAGAZZINO!$B$2:$M$100000,6,FALSE)</f>
        <v/>
      </c>
      <c r="G406" s="3">
        <f>+VLOOKUP($A406,MAGAZZINO!$B$2:$M$100000,7,FALSE)</f>
        <v/>
      </c>
      <c r="H406" s="3">
        <f>+VLOOKUP($A406,MAGAZZINO!$B$2:$M$100000,8,FALSE)</f>
        <v/>
      </c>
      <c r="I406" s="3">
        <f>+VLOOKUP($A406,MAGAZZINO!$B$2:$M$100000,9,FALSE)</f>
        <v/>
      </c>
      <c r="J406" s="3">
        <f>+VLOOKUP($A406,MAGAZZINO!$B$2:$M$100000,10,FALSE)</f>
        <v/>
      </c>
      <c r="K406" s="3">
        <f>+VLOOKUP($A406,MAGAZZINO!$B$2:$M$100000,11,FALSE)</f>
        <v/>
      </c>
      <c r="L406" s="5">
        <f>+VLOOKUP($A406,MAGAZZINO!$B$2:$M$100000,12,FALSE)</f>
        <v/>
      </c>
      <c r="M406" s="47" t="n"/>
      <c r="N406" s="88" t="n">
        <v>45874</v>
      </c>
      <c r="O406" s="91" t="inlineStr">
        <is>
          <t>PHILIPPOS CONSTANTINIDES TRADING CO. LTD (CIPRO)</t>
        </is>
      </c>
      <c r="P406" s="154" t="inlineStr">
        <is>
          <t xml:space="preserve">IMPORT LICENSE N. 218 DEL 12/08/2020                                                                                         AUT. TRASFERIMENTO N. 6B/2025/3D RILASCIATA IL 28/07/2025   </t>
        </is>
      </c>
      <c r="Q406" s="150" t="n"/>
      <c r="R406" s="150" t="n"/>
      <c r="S406" s="153" t="n"/>
    </row>
    <row r="407" ht="36" customHeight="1">
      <c r="A407" s="46" t="n">
        <v>2737</v>
      </c>
      <c r="B407" s="4">
        <f>+VLOOKUP($A407,MAGAZZINO!$B$2:$M$100000,2,FALSE)</f>
        <v/>
      </c>
      <c r="C407" s="29">
        <f>+VLOOKUP($A407,MAGAZZINO!$B$2:$M$100000,3,FALSE)</f>
        <v/>
      </c>
      <c r="D407" s="3">
        <f>+VLOOKUP($A407,MAGAZZINO!$B$2:$M$100000,4,FALSE)</f>
        <v/>
      </c>
      <c r="E407" s="3">
        <f>+VLOOKUP($A407,MAGAZZINO!$B$2:$M$100000,5,FALSE)</f>
        <v/>
      </c>
      <c r="F407" s="3">
        <f>+VLOOKUP($A407,MAGAZZINO!$B$2:$M$100000,6,FALSE)</f>
        <v/>
      </c>
      <c r="G407" s="3">
        <f>+VLOOKUP($A407,MAGAZZINO!$B$2:$M$100000,7,FALSE)</f>
        <v/>
      </c>
      <c r="H407" s="3">
        <f>+VLOOKUP($A407,MAGAZZINO!$B$2:$M$100000,8,FALSE)</f>
        <v/>
      </c>
      <c r="I407" s="3">
        <f>+VLOOKUP($A407,MAGAZZINO!$B$2:$M$100000,9,FALSE)</f>
        <v/>
      </c>
      <c r="J407" s="3">
        <f>+VLOOKUP($A407,MAGAZZINO!$B$2:$M$100000,10,FALSE)</f>
        <v/>
      </c>
      <c r="K407" s="3">
        <f>+VLOOKUP($A407,MAGAZZINO!$B$2:$M$100000,11,FALSE)</f>
        <v/>
      </c>
      <c r="L407" s="5">
        <f>+VLOOKUP($A407,MAGAZZINO!$B$2:$M$100000,12,FALSE)</f>
        <v/>
      </c>
      <c r="M407" s="47" t="n"/>
      <c r="N407" s="88" t="n">
        <v>45874</v>
      </c>
      <c r="O407" s="91" t="inlineStr">
        <is>
          <t>PHILIPPOS CONSTANTINIDES TRADING CO. LTD (CIPRO)</t>
        </is>
      </c>
      <c r="P407" s="154" t="inlineStr">
        <is>
          <t xml:space="preserve">IMPORT LICENSE N. 218 DEL 12/08/2020                                                                                         AUT. TRASFERIMENTO N. 6B/2025/3D RILASCIATA IL 28/07/2025   </t>
        </is>
      </c>
      <c r="Q407" s="150" t="n"/>
      <c r="R407" s="150" t="n"/>
      <c r="S407" s="153" t="n"/>
    </row>
    <row r="408" ht="36" customHeight="1">
      <c r="A408" s="46" t="n">
        <v>2738</v>
      </c>
      <c r="B408" s="4">
        <f>+VLOOKUP($A408,MAGAZZINO!$B$2:$M$100000,2,FALSE)</f>
        <v/>
      </c>
      <c r="C408" s="29">
        <f>+VLOOKUP($A408,MAGAZZINO!$B$2:$M$100000,3,FALSE)</f>
        <v/>
      </c>
      <c r="D408" s="3">
        <f>+VLOOKUP($A408,MAGAZZINO!$B$2:$M$100000,4,FALSE)</f>
        <v/>
      </c>
      <c r="E408" s="3">
        <f>+VLOOKUP($A408,MAGAZZINO!$B$2:$M$100000,5,FALSE)</f>
        <v/>
      </c>
      <c r="F408" s="3">
        <f>+VLOOKUP($A408,MAGAZZINO!$B$2:$M$100000,6,FALSE)</f>
        <v/>
      </c>
      <c r="G408" s="3">
        <f>+VLOOKUP($A408,MAGAZZINO!$B$2:$M$100000,7,FALSE)</f>
        <v/>
      </c>
      <c r="H408" s="3">
        <f>+VLOOKUP($A408,MAGAZZINO!$B$2:$M$100000,8,FALSE)</f>
        <v/>
      </c>
      <c r="I408" s="3">
        <f>+VLOOKUP($A408,MAGAZZINO!$B$2:$M$100000,9,FALSE)</f>
        <v/>
      </c>
      <c r="J408" s="3">
        <f>+VLOOKUP($A408,MAGAZZINO!$B$2:$M$100000,10,FALSE)</f>
        <v/>
      </c>
      <c r="K408" s="3">
        <f>+VLOOKUP($A408,MAGAZZINO!$B$2:$M$100000,11,FALSE)</f>
        <v/>
      </c>
      <c r="L408" s="5">
        <f>+VLOOKUP($A408,MAGAZZINO!$B$2:$M$100000,12,FALSE)</f>
        <v/>
      </c>
      <c r="M408" s="47" t="n"/>
      <c r="N408" s="88" t="n">
        <v>45874</v>
      </c>
      <c r="O408" s="91" t="inlineStr">
        <is>
          <t>PHILIPPOS CONSTANTINIDES TRADING CO. LTD (CIPRO)</t>
        </is>
      </c>
      <c r="P408" s="154" t="inlineStr">
        <is>
          <t xml:space="preserve">IMPORT LICENSE N. 218 DEL 12/08/2020                                                                                         AUT. TRASFERIMENTO N. 6B/2025/3D RILASCIATA IL 28/07/2025   </t>
        </is>
      </c>
      <c r="Q408" s="150" t="n"/>
      <c r="R408" s="150" t="n"/>
      <c r="S408" s="153" t="n"/>
    </row>
    <row r="409" ht="36" customHeight="1">
      <c r="A409" s="46" t="n">
        <v>2739</v>
      </c>
      <c r="B409" s="4">
        <f>+VLOOKUP($A409,MAGAZZINO!$B$2:$M$100000,2,FALSE)</f>
        <v/>
      </c>
      <c r="C409" s="29">
        <f>+VLOOKUP($A409,MAGAZZINO!$B$2:$M$100000,3,FALSE)</f>
        <v/>
      </c>
      <c r="D409" s="3">
        <f>+VLOOKUP($A409,MAGAZZINO!$B$2:$M$100000,4,FALSE)</f>
        <v/>
      </c>
      <c r="E409" s="3">
        <f>+VLOOKUP($A409,MAGAZZINO!$B$2:$M$100000,5,FALSE)</f>
        <v/>
      </c>
      <c r="F409" s="3">
        <f>+VLOOKUP($A409,MAGAZZINO!$B$2:$M$100000,6,FALSE)</f>
        <v/>
      </c>
      <c r="G409" s="3">
        <f>+VLOOKUP($A409,MAGAZZINO!$B$2:$M$100000,7,FALSE)</f>
        <v/>
      </c>
      <c r="H409" s="3">
        <f>+VLOOKUP($A409,MAGAZZINO!$B$2:$M$100000,8,FALSE)</f>
        <v/>
      </c>
      <c r="I409" s="3">
        <f>+VLOOKUP($A409,MAGAZZINO!$B$2:$M$100000,9,FALSE)</f>
        <v/>
      </c>
      <c r="J409" s="3">
        <f>+VLOOKUP($A409,MAGAZZINO!$B$2:$M$100000,10,FALSE)</f>
        <v/>
      </c>
      <c r="K409" s="3">
        <f>+VLOOKUP($A409,MAGAZZINO!$B$2:$M$100000,11,FALSE)</f>
        <v/>
      </c>
      <c r="L409" s="5">
        <f>+VLOOKUP($A409,MAGAZZINO!$B$2:$M$100000,12,FALSE)</f>
        <v/>
      </c>
      <c r="M409" s="47" t="n"/>
      <c r="N409" s="88" t="n">
        <v>45874</v>
      </c>
      <c r="O409" s="91" t="inlineStr">
        <is>
          <t>PHILIPPOS CONSTANTINIDES TRADING CO. LTD (CIPRO)</t>
        </is>
      </c>
      <c r="P409" s="154" t="inlineStr">
        <is>
          <t xml:space="preserve">IMPORT LICENSE N. 218 DEL 12/08/2020                                                                                         AUT. TRASFERIMENTO N. 6B/2025/3D RILASCIATA IL 28/07/2025   </t>
        </is>
      </c>
      <c r="Q409" s="150" t="n"/>
      <c r="R409" s="150" t="n"/>
      <c r="S409" s="153" t="n"/>
    </row>
    <row r="410" ht="36" customHeight="1">
      <c r="A410" s="46" t="n">
        <v>2740</v>
      </c>
      <c r="B410" s="4">
        <f>+VLOOKUP($A410,MAGAZZINO!$B$2:$M$100000,2,FALSE)</f>
        <v/>
      </c>
      <c r="C410" s="29">
        <f>+VLOOKUP($A410,MAGAZZINO!$B$2:$M$100000,3,FALSE)</f>
        <v/>
      </c>
      <c r="D410" s="3">
        <f>+VLOOKUP($A410,MAGAZZINO!$B$2:$M$100000,4,FALSE)</f>
        <v/>
      </c>
      <c r="E410" s="3">
        <f>+VLOOKUP($A410,MAGAZZINO!$B$2:$M$100000,5,FALSE)</f>
        <v/>
      </c>
      <c r="F410" s="3">
        <f>+VLOOKUP($A410,MAGAZZINO!$B$2:$M$100000,6,FALSE)</f>
        <v/>
      </c>
      <c r="G410" s="3">
        <f>+VLOOKUP($A410,MAGAZZINO!$B$2:$M$100000,7,FALSE)</f>
        <v/>
      </c>
      <c r="H410" s="3">
        <f>+VLOOKUP($A410,MAGAZZINO!$B$2:$M$100000,8,FALSE)</f>
        <v/>
      </c>
      <c r="I410" s="3">
        <f>+VLOOKUP($A410,MAGAZZINO!$B$2:$M$100000,9,FALSE)</f>
        <v/>
      </c>
      <c r="J410" s="3">
        <f>+VLOOKUP($A410,MAGAZZINO!$B$2:$M$100000,10,FALSE)</f>
        <v/>
      </c>
      <c r="K410" s="3">
        <f>+VLOOKUP($A410,MAGAZZINO!$B$2:$M$100000,11,FALSE)</f>
        <v/>
      </c>
      <c r="L410" s="5">
        <f>+VLOOKUP($A410,MAGAZZINO!$B$2:$M$100000,12,FALSE)</f>
        <v/>
      </c>
      <c r="M410" s="47" t="n"/>
      <c r="N410" s="88" t="n">
        <v>45874</v>
      </c>
      <c r="O410" s="91" t="inlineStr">
        <is>
          <t>PHILIPPOS CONSTANTINIDES TRADING CO. LTD (CIPRO)</t>
        </is>
      </c>
      <c r="P410" s="154" t="inlineStr">
        <is>
          <t xml:space="preserve">IMPORT LICENSE N. 218 DEL 12/08/2020                                                                                         AUT. TRASFERIMENTO N. 6B/2025/3D RILASCIATA IL 28/07/2025   </t>
        </is>
      </c>
      <c r="Q410" s="150" t="n"/>
      <c r="R410" s="150" t="n"/>
      <c r="S410" s="153" t="n"/>
    </row>
    <row r="411" ht="36" customHeight="1">
      <c r="A411" s="46" t="n">
        <v>2741</v>
      </c>
      <c r="B411" s="4">
        <f>+VLOOKUP($A411,MAGAZZINO!$B$2:$M$100000,2,FALSE)</f>
        <v/>
      </c>
      <c r="C411" s="29">
        <f>+VLOOKUP($A411,MAGAZZINO!$B$2:$M$100000,3,FALSE)</f>
        <v/>
      </c>
      <c r="D411" s="3">
        <f>+VLOOKUP($A411,MAGAZZINO!$B$2:$M$100000,4,FALSE)</f>
        <v/>
      </c>
      <c r="E411" s="3">
        <f>+VLOOKUP($A411,MAGAZZINO!$B$2:$M$100000,5,FALSE)</f>
        <v/>
      </c>
      <c r="F411" s="3">
        <f>+VLOOKUP($A411,MAGAZZINO!$B$2:$M$100000,6,FALSE)</f>
        <v/>
      </c>
      <c r="G411" s="3">
        <f>+VLOOKUP($A411,MAGAZZINO!$B$2:$M$100000,7,FALSE)</f>
        <v/>
      </c>
      <c r="H411" s="3">
        <f>+VLOOKUP($A411,MAGAZZINO!$B$2:$M$100000,8,FALSE)</f>
        <v/>
      </c>
      <c r="I411" s="3">
        <f>+VLOOKUP($A411,MAGAZZINO!$B$2:$M$100000,9,FALSE)</f>
        <v/>
      </c>
      <c r="J411" s="3">
        <f>+VLOOKUP($A411,MAGAZZINO!$B$2:$M$100000,10,FALSE)</f>
        <v/>
      </c>
      <c r="K411" s="3">
        <f>+VLOOKUP($A411,MAGAZZINO!$B$2:$M$100000,11,FALSE)</f>
        <v/>
      </c>
      <c r="L411" s="5">
        <f>+VLOOKUP($A411,MAGAZZINO!$B$2:$M$100000,12,FALSE)</f>
        <v/>
      </c>
      <c r="M411" s="47" t="n"/>
      <c r="N411" s="88" t="n">
        <v>45874</v>
      </c>
      <c r="O411" s="91" t="inlineStr">
        <is>
          <t>PHILIPPOS CONSTANTINIDES TRADING CO. LTD (CIPRO)</t>
        </is>
      </c>
      <c r="P411" s="154" t="inlineStr">
        <is>
          <t xml:space="preserve">IMPORT LICENSE N. 218 DEL 12/08/2020                                                                                         AUT. TRASFERIMENTO N. 6B/2025/3D RILASCIATA IL 28/07/2025   </t>
        </is>
      </c>
      <c r="Q411" s="150" t="n"/>
      <c r="R411" s="150" t="n"/>
      <c r="S411" s="153" t="n"/>
    </row>
    <row r="412" ht="36" customHeight="1">
      <c r="A412" s="46" t="n">
        <v>2742</v>
      </c>
      <c r="B412" s="4">
        <f>+VLOOKUP($A412,MAGAZZINO!$B$2:$M$100000,2,FALSE)</f>
        <v/>
      </c>
      <c r="C412" s="29">
        <f>+VLOOKUP($A412,MAGAZZINO!$B$2:$M$100000,3,FALSE)</f>
        <v/>
      </c>
      <c r="D412" s="3">
        <f>+VLOOKUP($A412,MAGAZZINO!$B$2:$M$100000,4,FALSE)</f>
        <v/>
      </c>
      <c r="E412" s="3">
        <f>+VLOOKUP($A412,MAGAZZINO!$B$2:$M$100000,5,FALSE)</f>
        <v/>
      </c>
      <c r="F412" s="3">
        <f>+VLOOKUP($A412,MAGAZZINO!$B$2:$M$100000,6,FALSE)</f>
        <v/>
      </c>
      <c r="G412" s="3">
        <f>+VLOOKUP($A412,MAGAZZINO!$B$2:$M$100000,7,FALSE)</f>
        <v/>
      </c>
      <c r="H412" s="3">
        <f>+VLOOKUP($A412,MAGAZZINO!$B$2:$M$100000,8,FALSE)</f>
        <v/>
      </c>
      <c r="I412" s="3">
        <f>+VLOOKUP($A412,MAGAZZINO!$B$2:$M$100000,9,FALSE)</f>
        <v/>
      </c>
      <c r="J412" s="3">
        <f>+VLOOKUP($A412,MAGAZZINO!$B$2:$M$100000,10,FALSE)</f>
        <v/>
      </c>
      <c r="K412" s="3">
        <f>+VLOOKUP($A412,MAGAZZINO!$B$2:$M$100000,11,FALSE)</f>
        <v/>
      </c>
      <c r="L412" s="5">
        <f>+VLOOKUP($A412,MAGAZZINO!$B$2:$M$100000,12,FALSE)</f>
        <v/>
      </c>
      <c r="M412" s="47" t="n"/>
      <c r="N412" s="88" t="n">
        <v>45874</v>
      </c>
      <c r="O412" s="91" t="inlineStr">
        <is>
          <t>PHILIPPOS CONSTANTINIDES TRADING CO. LTD (CIPRO)</t>
        </is>
      </c>
      <c r="P412" s="154" t="inlineStr">
        <is>
          <t xml:space="preserve">IMPORT LICENSE N. 218 DEL 12/08/2020                                                                                         AUT. TRASFERIMENTO N. 6B/2025/3D RILASCIATA IL 28/07/2025   </t>
        </is>
      </c>
      <c r="Q412" s="150" t="n"/>
      <c r="R412" s="150" t="n"/>
      <c r="S412" s="153" t="n"/>
    </row>
    <row r="413" ht="36" customHeight="1">
      <c r="A413" s="46" t="n">
        <v>2743</v>
      </c>
      <c r="B413" s="4">
        <f>+VLOOKUP($A413,MAGAZZINO!$B$2:$M$100000,2,FALSE)</f>
        <v/>
      </c>
      <c r="C413" s="29">
        <f>+VLOOKUP($A413,MAGAZZINO!$B$2:$M$100000,3,FALSE)</f>
        <v/>
      </c>
      <c r="D413" s="3">
        <f>+VLOOKUP($A413,MAGAZZINO!$B$2:$M$100000,4,FALSE)</f>
        <v/>
      </c>
      <c r="E413" s="3">
        <f>+VLOOKUP($A413,MAGAZZINO!$B$2:$M$100000,5,FALSE)</f>
        <v/>
      </c>
      <c r="F413" s="3">
        <f>+VLOOKUP($A413,MAGAZZINO!$B$2:$M$100000,6,FALSE)</f>
        <v/>
      </c>
      <c r="G413" s="3">
        <f>+VLOOKUP($A413,MAGAZZINO!$B$2:$M$100000,7,FALSE)</f>
        <v/>
      </c>
      <c r="H413" s="3">
        <f>+VLOOKUP($A413,MAGAZZINO!$B$2:$M$100000,8,FALSE)</f>
        <v/>
      </c>
      <c r="I413" s="3">
        <f>+VLOOKUP($A413,MAGAZZINO!$B$2:$M$100000,9,FALSE)</f>
        <v/>
      </c>
      <c r="J413" s="3">
        <f>+VLOOKUP($A413,MAGAZZINO!$B$2:$M$100000,10,FALSE)</f>
        <v/>
      </c>
      <c r="K413" s="3">
        <f>+VLOOKUP($A413,MAGAZZINO!$B$2:$M$100000,11,FALSE)</f>
        <v/>
      </c>
      <c r="L413" s="5">
        <f>+VLOOKUP($A413,MAGAZZINO!$B$2:$M$100000,12,FALSE)</f>
        <v/>
      </c>
      <c r="M413" s="47" t="n"/>
      <c r="N413" s="88" t="n">
        <v>45874</v>
      </c>
      <c r="O413" s="91" t="inlineStr">
        <is>
          <t>PHILIPPOS CONSTANTINIDES TRADING CO. LTD (CIPRO)</t>
        </is>
      </c>
      <c r="P413" s="154" t="inlineStr">
        <is>
          <t xml:space="preserve">IMPORT LICENSE N. 218 DEL 12/08/2020                                                                                         AUT. TRASFERIMENTO N. 6B/2025/3D RILASCIATA IL 28/07/2025   </t>
        </is>
      </c>
      <c r="Q413" s="150" t="n"/>
      <c r="R413" s="150" t="n"/>
      <c r="S413" s="153" t="n"/>
    </row>
    <row r="414" ht="36" customHeight="1">
      <c r="A414" s="46" t="n">
        <v>2744</v>
      </c>
      <c r="B414" s="4">
        <f>+VLOOKUP($A414,MAGAZZINO!$B$2:$M$100000,2,FALSE)</f>
        <v/>
      </c>
      <c r="C414" s="29">
        <f>+VLOOKUP($A414,MAGAZZINO!$B$2:$M$100000,3,FALSE)</f>
        <v/>
      </c>
      <c r="D414" s="3">
        <f>+VLOOKUP($A414,MAGAZZINO!$B$2:$M$100000,4,FALSE)</f>
        <v/>
      </c>
      <c r="E414" s="3">
        <f>+VLOOKUP($A414,MAGAZZINO!$B$2:$M$100000,5,FALSE)</f>
        <v/>
      </c>
      <c r="F414" s="3">
        <f>+VLOOKUP($A414,MAGAZZINO!$B$2:$M$100000,6,FALSE)</f>
        <v/>
      </c>
      <c r="G414" s="3">
        <f>+VLOOKUP($A414,MAGAZZINO!$B$2:$M$100000,7,FALSE)</f>
        <v/>
      </c>
      <c r="H414" s="3">
        <f>+VLOOKUP($A414,MAGAZZINO!$B$2:$M$100000,8,FALSE)</f>
        <v/>
      </c>
      <c r="I414" s="3">
        <f>+VLOOKUP($A414,MAGAZZINO!$B$2:$M$100000,9,FALSE)</f>
        <v/>
      </c>
      <c r="J414" s="3">
        <f>+VLOOKUP($A414,MAGAZZINO!$B$2:$M$100000,10,FALSE)</f>
        <v/>
      </c>
      <c r="K414" s="3">
        <f>+VLOOKUP($A414,MAGAZZINO!$B$2:$M$100000,11,FALSE)</f>
        <v/>
      </c>
      <c r="L414" s="5">
        <f>+VLOOKUP($A414,MAGAZZINO!$B$2:$M$100000,12,FALSE)</f>
        <v/>
      </c>
      <c r="M414" s="47" t="n"/>
      <c r="N414" s="88" t="n">
        <v>45874</v>
      </c>
      <c r="O414" s="91" t="inlineStr">
        <is>
          <t>PHILIPPOS CONSTANTINIDES TRADING CO. LTD (CIPRO)</t>
        </is>
      </c>
      <c r="P414" s="154" t="inlineStr">
        <is>
          <t xml:space="preserve">IMPORT LICENSE N. 218 DEL 12/08/2020                                                                                         AUT. TRASFERIMENTO N. 6B/2025/3D RILASCIATA IL 28/07/2025   </t>
        </is>
      </c>
      <c r="Q414" s="150" t="n"/>
      <c r="R414" s="150" t="n"/>
      <c r="S414" s="153" t="n"/>
    </row>
    <row r="415" ht="36" customHeight="1">
      <c r="A415" s="46" t="n">
        <v>2745</v>
      </c>
      <c r="B415" s="4">
        <f>+VLOOKUP($A415,MAGAZZINO!$B$2:$M$100000,2,FALSE)</f>
        <v/>
      </c>
      <c r="C415" s="29">
        <f>+VLOOKUP($A415,MAGAZZINO!$B$2:$M$100000,3,FALSE)</f>
        <v/>
      </c>
      <c r="D415" s="3">
        <f>+VLOOKUP($A415,MAGAZZINO!$B$2:$M$100000,4,FALSE)</f>
        <v/>
      </c>
      <c r="E415" s="3">
        <f>+VLOOKUP($A415,MAGAZZINO!$B$2:$M$100000,5,FALSE)</f>
        <v/>
      </c>
      <c r="F415" s="3">
        <f>+VLOOKUP($A415,MAGAZZINO!$B$2:$M$100000,6,FALSE)</f>
        <v/>
      </c>
      <c r="G415" s="3">
        <f>+VLOOKUP($A415,MAGAZZINO!$B$2:$M$100000,7,FALSE)</f>
        <v/>
      </c>
      <c r="H415" s="3">
        <f>+VLOOKUP($A415,MAGAZZINO!$B$2:$M$100000,8,FALSE)</f>
        <v/>
      </c>
      <c r="I415" s="3">
        <f>+VLOOKUP($A415,MAGAZZINO!$B$2:$M$100000,9,FALSE)</f>
        <v/>
      </c>
      <c r="J415" s="3">
        <f>+VLOOKUP($A415,MAGAZZINO!$B$2:$M$100000,10,FALSE)</f>
        <v/>
      </c>
      <c r="K415" s="3">
        <f>+VLOOKUP($A415,MAGAZZINO!$B$2:$M$100000,11,FALSE)</f>
        <v/>
      </c>
      <c r="L415" s="5">
        <f>+VLOOKUP($A415,MAGAZZINO!$B$2:$M$100000,12,FALSE)</f>
        <v/>
      </c>
      <c r="M415" s="47" t="n"/>
      <c r="N415" s="88" t="n">
        <v>45874</v>
      </c>
      <c r="O415" s="91" t="inlineStr">
        <is>
          <t>PHILIPPOS CONSTANTINIDES TRADING CO. LTD (CIPRO)</t>
        </is>
      </c>
      <c r="P415" s="154" t="inlineStr">
        <is>
          <t xml:space="preserve">IMPORT LICENSE N. 218 DEL 12/08/2020                                                                                         AUT. TRASFERIMENTO N. 6B/2025/3D RILASCIATA IL 28/07/2025   </t>
        </is>
      </c>
      <c r="Q415" s="150" t="n"/>
      <c r="R415" s="150" t="n"/>
      <c r="S415" s="153" t="n"/>
    </row>
    <row r="416" ht="36" customHeight="1">
      <c r="A416" s="46" t="n">
        <v>2746</v>
      </c>
      <c r="B416" s="4">
        <f>+VLOOKUP($A416,MAGAZZINO!$B$2:$M$100000,2,FALSE)</f>
        <v/>
      </c>
      <c r="C416" s="29">
        <f>+VLOOKUP($A416,MAGAZZINO!$B$2:$M$100000,3,FALSE)</f>
        <v/>
      </c>
      <c r="D416" s="3">
        <f>+VLOOKUP($A416,MAGAZZINO!$B$2:$M$100000,4,FALSE)</f>
        <v/>
      </c>
      <c r="E416" s="3">
        <f>+VLOOKUP($A416,MAGAZZINO!$B$2:$M$100000,5,FALSE)</f>
        <v/>
      </c>
      <c r="F416" s="3">
        <f>+VLOOKUP($A416,MAGAZZINO!$B$2:$M$100000,6,FALSE)</f>
        <v/>
      </c>
      <c r="G416" s="3">
        <f>+VLOOKUP($A416,MAGAZZINO!$B$2:$M$100000,7,FALSE)</f>
        <v/>
      </c>
      <c r="H416" s="3">
        <f>+VLOOKUP($A416,MAGAZZINO!$B$2:$M$100000,8,FALSE)</f>
        <v/>
      </c>
      <c r="I416" s="3">
        <f>+VLOOKUP($A416,MAGAZZINO!$B$2:$M$100000,9,FALSE)</f>
        <v/>
      </c>
      <c r="J416" s="3">
        <f>+VLOOKUP($A416,MAGAZZINO!$B$2:$M$100000,10,FALSE)</f>
        <v/>
      </c>
      <c r="K416" s="3">
        <f>+VLOOKUP($A416,MAGAZZINO!$B$2:$M$100000,11,FALSE)</f>
        <v/>
      </c>
      <c r="L416" s="5">
        <f>+VLOOKUP($A416,MAGAZZINO!$B$2:$M$100000,12,FALSE)</f>
        <v/>
      </c>
      <c r="M416" s="47" t="n"/>
      <c r="N416" s="88" t="n">
        <v>45874</v>
      </c>
      <c r="O416" s="91" t="inlineStr">
        <is>
          <t>PHILIPPOS CONSTANTINIDES TRADING CO. LTD (CIPRO)</t>
        </is>
      </c>
      <c r="P416" s="154" t="inlineStr">
        <is>
          <t xml:space="preserve">IMPORT LICENSE N. 218 DEL 12/08/2020                                                                                         AUT. TRASFERIMENTO N. 6B/2025/3D RILASCIATA IL 28/07/2025   </t>
        </is>
      </c>
      <c r="Q416" s="150" t="n"/>
      <c r="R416" s="150" t="n"/>
      <c r="S416" s="153" t="n"/>
    </row>
    <row r="417" ht="36" customHeight="1">
      <c r="A417" s="46" t="n">
        <v>2747</v>
      </c>
      <c r="B417" s="4">
        <f>+VLOOKUP($A417,MAGAZZINO!$B$2:$M$100000,2,FALSE)</f>
        <v/>
      </c>
      <c r="C417" s="29">
        <f>+VLOOKUP($A417,MAGAZZINO!$B$2:$M$100000,3,FALSE)</f>
        <v/>
      </c>
      <c r="D417" s="3">
        <f>+VLOOKUP($A417,MAGAZZINO!$B$2:$M$100000,4,FALSE)</f>
        <v/>
      </c>
      <c r="E417" s="3">
        <f>+VLOOKUP($A417,MAGAZZINO!$B$2:$M$100000,5,FALSE)</f>
        <v/>
      </c>
      <c r="F417" s="3">
        <f>+VLOOKUP($A417,MAGAZZINO!$B$2:$M$100000,6,FALSE)</f>
        <v/>
      </c>
      <c r="G417" s="3">
        <f>+VLOOKUP($A417,MAGAZZINO!$B$2:$M$100000,7,FALSE)</f>
        <v/>
      </c>
      <c r="H417" s="3">
        <f>+VLOOKUP($A417,MAGAZZINO!$B$2:$M$100000,8,FALSE)</f>
        <v/>
      </c>
      <c r="I417" s="3">
        <f>+VLOOKUP($A417,MAGAZZINO!$B$2:$M$100000,9,FALSE)</f>
        <v/>
      </c>
      <c r="J417" s="3">
        <f>+VLOOKUP($A417,MAGAZZINO!$B$2:$M$100000,10,FALSE)</f>
        <v/>
      </c>
      <c r="K417" s="3">
        <f>+VLOOKUP($A417,MAGAZZINO!$B$2:$M$100000,11,FALSE)</f>
        <v/>
      </c>
      <c r="L417" s="5">
        <f>+VLOOKUP($A417,MAGAZZINO!$B$2:$M$100000,12,FALSE)</f>
        <v/>
      </c>
      <c r="M417" s="47" t="n"/>
      <c r="N417" s="88" t="n">
        <v>45874</v>
      </c>
      <c r="O417" s="91" t="inlineStr">
        <is>
          <t>PHILIPPOS CONSTANTINIDES TRADING CO. LTD (CIPRO)</t>
        </is>
      </c>
      <c r="P417" s="154" t="inlineStr">
        <is>
          <t xml:space="preserve">IMPORT LICENSE N. 218 DEL 12/08/2020                                                                                         AUT. TRASFERIMENTO N. 6B/2025/3D RILASCIATA IL 28/07/2025   </t>
        </is>
      </c>
      <c r="Q417" s="150" t="n"/>
      <c r="R417" s="150" t="n"/>
      <c r="S417" s="153" t="n"/>
    </row>
    <row r="418" ht="36" customHeight="1">
      <c r="A418" s="46" t="n">
        <v>2748</v>
      </c>
      <c r="B418" s="4">
        <f>+VLOOKUP($A418,MAGAZZINO!$B$2:$M$100000,2,FALSE)</f>
        <v/>
      </c>
      <c r="C418" s="29">
        <f>+VLOOKUP($A418,MAGAZZINO!$B$2:$M$100000,3,FALSE)</f>
        <v/>
      </c>
      <c r="D418" s="3">
        <f>+VLOOKUP($A418,MAGAZZINO!$B$2:$M$100000,4,FALSE)</f>
        <v/>
      </c>
      <c r="E418" s="3">
        <f>+VLOOKUP($A418,MAGAZZINO!$B$2:$M$100000,5,FALSE)</f>
        <v/>
      </c>
      <c r="F418" s="3">
        <f>+VLOOKUP($A418,MAGAZZINO!$B$2:$M$100000,6,FALSE)</f>
        <v/>
      </c>
      <c r="G418" s="3">
        <f>+VLOOKUP($A418,MAGAZZINO!$B$2:$M$100000,7,FALSE)</f>
        <v/>
      </c>
      <c r="H418" s="3">
        <f>+VLOOKUP($A418,MAGAZZINO!$B$2:$M$100000,8,FALSE)</f>
        <v/>
      </c>
      <c r="I418" s="3">
        <f>+VLOOKUP($A418,MAGAZZINO!$B$2:$M$100000,9,FALSE)</f>
        <v/>
      </c>
      <c r="J418" s="3">
        <f>+VLOOKUP($A418,MAGAZZINO!$B$2:$M$100000,10,FALSE)</f>
        <v/>
      </c>
      <c r="K418" s="3">
        <f>+VLOOKUP($A418,MAGAZZINO!$B$2:$M$100000,11,FALSE)</f>
        <v/>
      </c>
      <c r="L418" s="5">
        <f>+VLOOKUP($A418,MAGAZZINO!$B$2:$M$100000,12,FALSE)</f>
        <v/>
      </c>
      <c r="M418" s="47" t="n"/>
      <c r="N418" s="88" t="n">
        <v>45874</v>
      </c>
      <c r="O418" s="91" t="inlineStr">
        <is>
          <t>PHILIPPOS CONSTANTINIDES TRADING CO. LTD (CIPRO)</t>
        </is>
      </c>
      <c r="P418" s="154" t="inlineStr">
        <is>
          <t xml:space="preserve">IMPORT LICENSE N. 218 DEL 12/08/2020                                                                                         AUT. TRASFERIMENTO N. 6B/2025/3D RILASCIATA IL 28/07/2025   </t>
        </is>
      </c>
      <c r="Q418" s="150" t="n"/>
      <c r="R418" s="150" t="n"/>
      <c r="S418" s="153" t="n"/>
    </row>
    <row r="419" ht="36" customHeight="1">
      <c r="A419" s="46" t="n">
        <v>2749</v>
      </c>
      <c r="B419" s="4">
        <f>+VLOOKUP($A419,MAGAZZINO!$B$2:$M$100000,2,FALSE)</f>
        <v/>
      </c>
      <c r="C419" s="29">
        <f>+VLOOKUP($A419,MAGAZZINO!$B$2:$M$100000,3,FALSE)</f>
        <v/>
      </c>
      <c r="D419" s="3">
        <f>+VLOOKUP($A419,MAGAZZINO!$B$2:$M$100000,4,FALSE)</f>
        <v/>
      </c>
      <c r="E419" s="3">
        <f>+VLOOKUP($A419,MAGAZZINO!$B$2:$M$100000,5,FALSE)</f>
        <v/>
      </c>
      <c r="F419" s="3">
        <f>+VLOOKUP($A419,MAGAZZINO!$B$2:$M$100000,6,FALSE)</f>
        <v/>
      </c>
      <c r="G419" s="3">
        <f>+VLOOKUP($A419,MAGAZZINO!$B$2:$M$100000,7,FALSE)</f>
        <v/>
      </c>
      <c r="H419" s="3">
        <f>+VLOOKUP($A419,MAGAZZINO!$B$2:$M$100000,8,FALSE)</f>
        <v/>
      </c>
      <c r="I419" s="3">
        <f>+VLOOKUP($A419,MAGAZZINO!$B$2:$M$100000,9,FALSE)</f>
        <v/>
      </c>
      <c r="J419" s="3">
        <f>+VLOOKUP($A419,MAGAZZINO!$B$2:$M$100000,10,FALSE)</f>
        <v/>
      </c>
      <c r="K419" s="3">
        <f>+VLOOKUP($A419,MAGAZZINO!$B$2:$M$100000,11,FALSE)</f>
        <v/>
      </c>
      <c r="L419" s="5">
        <f>+VLOOKUP($A419,MAGAZZINO!$B$2:$M$100000,12,FALSE)</f>
        <v/>
      </c>
      <c r="M419" s="47" t="n"/>
      <c r="N419" s="88" t="n">
        <v>45874</v>
      </c>
      <c r="O419" s="91" t="inlineStr">
        <is>
          <t>PHILIPPOS CONSTANTINIDES TRADING CO. LTD (CIPRO)</t>
        </is>
      </c>
      <c r="P419" s="154" t="inlineStr">
        <is>
          <t xml:space="preserve">IMPORT LICENSE N. 218 DEL 12/08/2020                                                                                         AUT. TRASFERIMENTO N. 6B/2025/3D RILASCIATA IL 28/07/2025   </t>
        </is>
      </c>
      <c r="Q419" s="150" t="n"/>
      <c r="R419" s="150" t="n"/>
      <c r="S419" s="153" t="n"/>
    </row>
    <row r="420" ht="36" customHeight="1">
      <c r="A420" s="46" t="n">
        <v>2750</v>
      </c>
      <c r="B420" s="4">
        <f>+VLOOKUP($A420,MAGAZZINO!$B$2:$M$100000,2,FALSE)</f>
        <v/>
      </c>
      <c r="C420" s="29">
        <f>+VLOOKUP($A420,MAGAZZINO!$B$2:$M$100000,3,FALSE)</f>
        <v/>
      </c>
      <c r="D420" s="3">
        <f>+VLOOKUP($A420,MAGAZZINO!$B$2:$M$100000,4,FALSE)</f>
        <v/>
      </c>
      <c r="E420" s="3">
        <f>+VLOOKUP($A420,MAGAZZINO!$B$2:$M$100000,5,FALSE)</f>
        <v/>
      </c>
      <c r="F420" s="3">
        <f>+VLOOKUP($A420,MAGAZZINO!$B$2:$M$100000,6,FALSE)</f>
        <v/>
      </c>
      <c r="G420" s="3">
        <f>+VLOOKUP($A420,MAGAZZINO!$B$2:$M$100000,7,FALSE)</f>
        <v/>
      </c>
      <c r="H420" s="3">
        <f>+VLOOKUP($A420,MAGAZZINO!$B$2:$M$100000,8,FALSE)</f>
        <v/>
      </c>
      <c r="I420" s="3">
        <f>+VLOOKUP($A420,MAGAZZINO!$B$2:$M$100000,9,FALSE)</f>
        <v/>
      </c>
      <c r="J420" s="3">
        <f>+VLOOKUP($A420,MAGAZZINO!$B$2:$M$100000,10,FALSE)</f>
        <v/>
      </c>
      <c r="K420" s="3">
        <f>+VLOOKUP($A420,MAGAZZINO!$B$2:$M$100000,11,FALSE)</f>
        <v/>
      </c>
      <c r="L420" s="5">
        <f>+VLOOKUP($A420,MAGAZZINO!$B$2:$M$100000,12,FALSE)</f>
        <v/>
      </c>
      <c r="M420" s="47" t="n"/>
      <c r="N420" s="88" t="n">
        <v>45874</v>
      </c>
      <c r="O420" s="91" t="inlineStr">
        <is>
          <t>PHILIPPOS CONSTANTINIDES TRADING CO. LTD (CIPRO)</t>
        </is>
      </c>
      <c r="P420" s="154" t="inlineStr">
        <is>
          <t xml:space="preserve">IMPORT LICENSE N. 218 DEL 12/08/2020                                                                                         AUT. TRASFERIMENTO N. 6B/2025/3D RILASCIATA IL 28/07/2025   </t>
        </is>
      </c>
      <c r="Q420" s="150" t="n"/>
      <c r="R420" s="150" t="n"/>
      <c r="S420" s="153" t="n"/>
    </row>
    <row r="421" ht="36" customHeight="1">
      <c r="A421" s="46" t="n">
        <v>2751</v>
      </c>
      <c r="B421" s="4">
        <f>+VLOOKUP($A421,MAGAZZINO!$B$2:$M$100000,2,FALSE)</f>
        <v/>
      </c>
      <c r="C421" s="29">
        <f>+VLOOKUP($A421,MAGAZZINO!$B$2:$M$100000,3,FALSE)</f>
        <v/>
      </c>
      <c r="D421" s="3">
        <f>+VLOOKUP($A421,MAGAZZINO!$B$2:$M$100000,4,FALSE)</f>
        <v/>
      </c>
      <c r="E421" s="3">
        <f>+VLOOKUP($A421,MAGAZZINO!$B$2:$M$100000,5,FALSE)</f>
        <v/>
      </c>
      <c r="F421" s="3">
        <f>+VLOOKUP($A421,MAGAZZINO!$B$2:$M$100000,6,FALSE)</f>
        <v/>
      </c>
      <c r="G421" s="3">
        <f>+VLOOKUP($A421,MAGAZZINO!$B$2:$M$100000,7,FALSE)</f>
        <v/>
      </c>
      <c r="H421" s="3">
        <f>+VLOOKUP($A421,MAGAZZINO!$B$2:$M$100000,8,FALSE)</f>
        <v/>
      </c>
      <c r="I421" s="3">
        <f>+VLOOKUP($A421,MAGAZZINO!$B$2:$M$100000,9,FALSE)</f>
        <v/>
      </c>
      <c r="J421" s="3">
        <f>+VLOOKUP($A421,MAGAZZINO!$B$2:$M$100000,10,FALSE)</f>
        <v/>
      </c>
      <c r="K421" s="3">
        <f>+VLOOKUP($A421,MAGAZZINO!$B$2:$M$100000,11,FALSE)</f>
        <v/>
      </c>
      <c r="L421" s="5">
        <f>+VLOOKUP($A421,MAGAZZINO!$B$2:$M$100000,12,FALSE)</f>
        <v/>
      </c>
      <c r="M421" s="47" t="n"/>
      <c r="N421" s="88" t="n">
        <v>45874</v>
      </c>
      <c r="O421" s="91" t="inlineStr">
        <is>
          <t>PHILIPPOS CONSTANTINIDES TRADING CO. LTD (CIPRO)</t>
        </is>
      </c>
      <c r="P421" s="154" t="inlineStr">
        <is>
          <t xml:space="preserve">IMPORT LICENSE N. 218 DEL 12/08/2020                                                                                         AUT. TRASFERIMENTO N. 6B/2025/3D RILASCIATA IL 28/07/2025   </t>
        </is>
      </c>
      <c r="Q421" s="150" t="n"/>
      <c r="R421" s="150" t="n"/>
      <c r="S421" s="153" t="n"/>
    </row>
    <row r="422" ht="36" customHeight="1">
      <c r="A422" s="46" t="n">
        <v>2752</v>
      </c>
      <c r="B422" s="4">
        <f>+VLOOKUP($A422,MAGAZZINO!$B$2:$M$100000,2,FALSE)</f>
        <v/>
      </c>
      <c r="C422" s="29">
        <f>+VLOOKUP($A422,MAGAZZINO!$B$2:$M$100000,3,FALSE)</f>
        <v/>
      </c>
      <c r="D422" s="3">
        <f>+VLOOKUP($A422,MAGAZZINO!$B$2:$M$100000,4,FALSE)</f>
        <v/>
      </c>
      <c r="E422" s="3">
        <f>+VLOOKUP($A422,MAGAZZINO!$B$2:$M$100000,5,FALSE)</f>
        <v/>
      </c>
      <c r="F422" s="3">
        <f>+VLOOKUP($A422,MAGAZZINO!$B$2:$M$100000,6,FALSE)</f>
        <v/>
      </c>
      <c r="G422" s="3">
        <f>+VLOOKUP($A422,MAGAZZINO!$B$2:$M$100000,7,FALSE)</f>
        <v/>
      </c>
      <c r="H422" s="3">
        <f>+VLOOKUP($A422,MAGAZZINO!$B$2:$M$100000,8,FALSE)</f>
        <v/>
      </c>
      <c r="I422" s="3">
        <f>+VLOOKUP($A422,MAGAZZINO!$B$2:$M$100000,9,FALSE)</f>
        <v/>
      </c>
      <c r="J422" s="3">
        <f>+VLOOKUP($A422,MAGAZZINO!$B$2:$M$100000,10,FALSE)</f>
        <v/>
      </c>
      <c r="K422" s="3">
        <f>+VLOOKUP($A422,MAGAZZINO!$B$2:$M$100000,11,FALSE)</f>
        <v/>
      </c>
      <c r="L422" s="5">
        <f>+VLOOKUP($A422,MAGAZZINO!$B$2:$M$100000,12,FALSE)</f>
        <v/>
      </c>
      <c r="M422" s="47" t="n"/>
      <c r="N422" s="88" t="n">
        <v>45874</v>
      </c>
      <c r="O422" s="91" t="inlineStr">
        <is>
          <t>PHILIPPOS CONSTANTINIDES TRADING CO. LTD (CIPRO)</t>
        </is>
      </c>
      <c r="P422" s="154" t="inlineStr">
        <is>
          <t xml:space="preserve">IMPORT LICENSE N. 218 DEL 12/08/2020                                                                                         AUT. TRASFERIMENTO N. 6B/2025/3D RILASCIATA IL 28/07/2025   </t>
        </is>
      </c>
      <c r="Q422" s="150" t="n"/>
      <c r="R422" s="150" t="n"/>
      <c r="S422" s="153" t="n"/>
    </row>
    <row r="423" ht="36" customHeight="1">
      <c r="A423" s="46" t="n">
        <v>2753</v>
      </c>
      <c r="B423" s="4">
        <f>+VLOOKUP($A423,MAGAZZINO!$B$2:$M$100000,2,FALSE)</f>
        <v/>
      </c>
      <c r="C423" s="29">
        <f>+VLOOKUP($A423,MAGAZZINO!$B$2:$M$100000,3,FALSE)</f>
        <v/>
      </c>
      <c r="D423" s="3">
        <f>+VLOOKUP($A423,MAGAZZINO!$B$2:$M$100000,4,FALSE)</f>
        <v/>
      </c>
      <c r="E423" s="3">
        <f>+VLOOKUP($A423,MAGAZZINO!$B$2:$M$100000,5,FALSE)</f>
        <v/>
      </c>
      <c r="F423" s="3">
        <f>+VLOOKUP($A423,MAGAZZINO!$B$2:$M$100000,6,FALSE)</f>
        <v/>
      </c>
      <c r="G423" s="3">
        <f>+VLOOKUP($A423,MAGAZZINO!$B$2:$M$100000,7,FALSE)</f>
        <v/>
      </c>
      <c r="H423" s="3">
        <f>+VLOOKUP($A423,MAGAZZINO!$B$2:$M$100000,8,FALSE)</f>
        <v/>
      </c>
      <c r="I423" s="3">
        <f>+VLOOKUP($A423,MAGAZZINO!$B$2:$M$100000,9,FALSE)</f>
        <v/>
      </c>
      <c r="J423" s="3">
        <f>+VLOOKUP($A423,MAGAZZINO!$B$2:$M$100000,10,FALSE)</f>
        <v/>
      </c>
      <c r="K423" s="3">
        <f>+VLOOKUP($A423,MAGAZZINO!$B$2:$M$100000,11,FALSE)</f>
        <v/>
      </c>
      <c r="L423" s="5">
        <f>+VLOOKUP($A423,MAGAZZINO!$B$2:$M$100000,12,FALSE)</f>
        <v/>
      </c>
      <c r="M423" s="47" t="n"/>
      <c r="N423" s="88" t="n">
        <v>45874</v>
      </c>
      <c r="O423" s="91" t="inlineStr">
        <is>
          <t>PHILIPPOS CONSTANTINIDES TRADING CO. LTD (CIPRO)</t>
        </is>
      </c>
      <c r="P423" s="154" t="inlineStr">
        <is>
          <t xml:space="preserve">IMPORT LICENSE N. 218 DEL 12/08/2020                                                                                         AUT. TRASFERIMENTO N. 6B/2025/3D RILASCIATA IL 28/07/2025   </t>
        </is>
      </c>
      <c r="Q423" s="150" t="n"/>
      <c r="R423" s="150" t="n"/>
      <c r="S423" s="153" t="n"/>
    </row>
    <row r="424" ht="36" customHeight="1">
      <c r="A424" s="46" t="n">
        <v>2754</v>
      </c>
      <c r="B424" s="4">
        <f>+VLOOKUP($A424,MAGAZZINO!$B$2:$M$100000,2,FALSE)</f>
        <v/>
      </c>
      <c r="C424" s="29">
        <f>+VLOOKUP($A424,MAGAZZINO!$B$2:$M$100000,3,FALSE)</f>
        <v/>
      </c>
      <c r="D424" s="3">
        <f>+VLOOKUP($A424,MAGAZZINO!$B$2:$M$100000,4,FALSE)</f>
        <v/>
      </c>
      <c r="E424" s="3">
        <f>+VLOOKUP($A424,MAGAZZINO!$B$2:$M$100000,5,FALSE)</f>
        <v/>
      </c>
      <c r="F424" s="3">
        <f>+VLOOKUP($A424,MAGAZZINO!$B$2:$M$100000,6,FALSE)</f>
        <v/>
      </c>
      <c r="G424" s="3">
        <f>+VLOOKUP($A424,MAGAZZINO!$B$2:$M$100000,7,FALSE)</f>
        <v/>
      </c>
      <c r="H424" s="3">
        <f>+VLOOKUP($A424,MAGAZZINO!$B$2:$M$100000,8,FALSE)</f>
        <v/>
      </c>
      <c r="I424" s="3">
        <f>+VLOOKUP($A424,MAGAZZINO!$B$2:$M$100000,9,FALSE)</f>
        <v/>
      </c>
      <c r="J424" s="3">
        <f>+VLOOKUP($A424,MAGAZZINO!$B$2:$M$100000,10,FALSE)</f>
        <v/>
      </c>
      <c r="K424" s="3">
        <f>+VLOOKUP($A424,MAGAZZINO!$B$2:$M$100000,11,FALSE)</f>
        <v/>
      </c>
      <c r="L424" s="5">
        <f>+VLOOKUP($A424,MAGAZZINO!$B$2:$M$100000,12,FALSE)</f>
        <v/>
      </c>
      <c r="M424" s="47" t="n"/>
      <c r="N424" s="88" t="n">
        <v>45874</v>
      </c>
      <c r="O424" s="91" t="inlineStr">
        <is>
          <t>PHILIPPOS CONSTANTINIDES TRADING CO. LTD (CIPRO)</t>
        </is>
      </c>
      <c r="P424" s="154" t="inlineStr">
        <is>
          <t xml:space="preserve">IMPORT LICENSE N. 218 DEL 12/08/2020                                                                                         AUT. TRASFERIMENTO N. 6B/2025/3D RILASCIATA IL 28/07/2025   </t>
        </is>
      </c>
      <c r="Q424" s="150" t="n"/>
      <c r="R424" s="150" t="n"/>
      <c r="S424" s="153" t="n"/>
    </row>
    <row r="425" ht="36" customHeight="1">
      <c r="A425" s="46" t="n">
        <v>2755</v>
      </c>
      <c r="B425" s="4">
        <f>+VLOOKUP($A425,MAGAZZINO!$B$2:$M$100000,2,FALSE)</f>
        <v/>
      </c>
      <c r="C425" s="29">
        <f>+VLOOKUP($A425,MAGAZZINO!$B$2:$M$100000,3,FALSE)</f>
        <v/>
      </c>
      <c r="D425" s="3">
        <f>+VLOOKUP($A425,MAGAZZINO!$B$2:$M$100000,4,FALSE)</f>
        <v/>
      </c>
      <c r="E425" s="3">
        <f>+VLOOKUP($A425,MAGAZZINO!$B$2:$M$100000,5,FALSE)</f>
        <v/>
      </c>
      <c r="F425" s="3">
        <f>+VLOOKUP($A425,MAGAZZINO!$B$2:$M$100000,6,FALSE)</f>
        <v/>
      </c>
      <c r="G425" s="3">
        <f>+VLOOKUP($A425,MAGAZZINO!$B$2:$M$100000,7,FALSE)</f>
        <v/>
      </c>
      <c r="H425" s="3">
        <f>+VLOOKUP($A425,MAGAZZINO!$B$2:$M$100000,8,FALSE)</f>
        <v/>
      </c>
      <c r="I425" s="3">
        <f>+VLOOKUP($A425,MAGAZZINO!$B$2:$M$100000,9,FALSE)</f>
        <v/>
      </c>
      <c r="J425" s="3">
        <f>+VLOOKUP($A425,MAGAZZINO!$B$2:$M$100000,10,FALSE)</f>
        <v/>
      </c>
      <c r="K425" s="3">
        <f>+VLOOKUP($A425,MAGAZZINO!$B$2:$M$100000,11,FALSE)</f>
        <v/>
      </c>
      <c r="L425" s="5">
        <f>+VLOOKUP($A425,MAGAZZINO!$B$2:$M$100000,12,FALSE)</f>
        <v/>
      </c>
      <c r="M425" s="47" t="n"/>
      <c r="N425" s="88" t="n">
        <v>45874</v>
      </c>
      <c r="O425" s="91" t="inlineStr">
        <is>
          <t>PHILIPPOS CONSTANTINIDES TRADING CO. LTD (CIPRO)</t>
        </is>
      </c>
      <c r="P425" s="154" t="inlineStr">
        <is>
          <t xml:space="preserve">IMPORT LICENSE N. 218 DEL 12/08/2020                                                                                         AUT. TRASFERIMENTO N. 6B/2025/3D RILASCIATA IL 28/07/2025   </t>
        </is>
      </c>
      <c r="Q425" s="150" t="n"/>
      <c r="R425" s="150" t="n"/>
      <c r="S425" s="153" t="n"/>
    </row>
    <row r="426" ht="36" customHeight="1">
      <c r="A426" s="46" t="n">
        <v>2756</v>
      </c>
      <c r="B426" s="4">
        <f>+VLOOKUP($A426,MAGAZZINO!$B$2:$M$100000,2,FALSE)</f>
        <v/>
      </c>
      <c r="C426" s="29">
        <f>+VLOOKUP($A426,MAGAZZINO!$B$2:$M$100000,3,FALSE)</f>
        <v/>
      </c>
      <c r="D426" s="3">
        <f>+VLOOKUP($A426,MAGAZZINO!$B$2:$M$100000,4,FALSE)</f>
        <v/>
      </c>
      <c r="E426" s="3">
        <f>+VLOOKUP($A426,MAGAZZINO!$B$2:$M$100000,5,FALSE)</f>
        <v/>
      </c>
      <c r="F426" s="3">
        <f>+VLOOKUP($A426,MAGAZZINO!$B$2:$M$100000,6,FALSE)</f>
        <v/>
      </c>
      <c r="G426" s="3">
        <f>+VLOOKUP($A426,MAGAZZINO!$B$2:$M$100000,7,FALSE)</f>
        <v/>
      </c>
      <c r="H426" s="3">
        <f>+VLOOKUP($A426,MAGAZZINO!$B$2:$M$100000,8,FALSE)</f>
        <v/>
      </c>
      <c r="I426" s="3">
        <f>+VLOOKUP($A426,MAGAZZINO!$B$2:$M$100000,9,FALSE)</f>
        <v/>
      </c>
      <c r="J426" s="3">
        <f>+VLOOKUP($A426,MAGAZZINO!$B$2:$M$100000,10,FALSE)</f>
        <v/>
      </c>
      <c r="K426" s="3">
        <f>+VLOOKUP($A426,MAGAZZINO!$B$2:$M$100000,11,FALSE)</f>
        <v/>
      </c>
      <c r="L426" s="5">
        <f>+VLOOKUP($A426,MAGAZZINO!$B$2:$M$100000,12,FALSE)</f>
        <v/>
      </c>
      <c r="M426" s="47" t="n"/>
      <c r="N426" s="88" t="n">
        <v>45874</v>
      </c>
      <c r="O426" s="91" t="inlineStr">
        <is>
          <t>PHILIPPOS CONSTANTINIDES TRADING CO. LTD (CIPRO)</t>
        </is>
      </c>
      <c r="P426" s="154" t="inlineStr">
        <is>
          <t xml:space="preserve">IMPORT LICENSE N. 218 DEL 12/08/2020                                                                                         AUT. TRASFERIMENTO N. 6B/2025/3D RILASCIATA IL 28/07/2025   </t>
        </is>
      </c>
      <c r="Q426" s="150" t="n"/>
      <c r="R426" s="150" t="n"/>
      <c r="S426" s="153" t="n"/>
    </row>
    <row r="427" ht="36" customHeight="1">
      <c r="A427" s="46" t="n">
        <v>2757</v>
      </c>
      <c r="B427" s="4">
        <f>+VLOOKUP($A427,MAGAZZINO!$B$2:$M$100000,2,FALSE)</f>
        <v/>
      </c>
      <c r="C427" s="29">
        <f>+VLOOKUP($A427,MAGAZZINO!$B$2:$M$100000,3,FALSE)</f>
        <v/>
      </c>
      <c r="D427" s="3">
        <f>+VLOOKUP($A427,MAGAZZINO!$B$2:$M$100000,4,FALSE)</f>
        <v/>
      </c>
      <c r="E427" s="3">
        <f>+VLOOKUP($A427,MAGAZZINO!$B$2:$M$100000,5,FALSE)</f>
        <v/>
      </c>
      <c r="F427" s="3">
        <f>+VLOOKUP($A427,MAGAZZINO!$B$2:$M$100000,6,FALSE)</f>
        <v/>
      </c>
      <c r="G427" s="3">
        <f>+VLOOKUP($A427,MAGAZZINO!$B$2:$M$100000,7,FALSE)</f>
        <v/>
      </c>
      <c r="H427" s="3">
        <f>+VLOOKUP($A427,MAGAZZINO!$B$2:$M$100000,8,FALSE)</f>
        <v/>
      </c>
      <c r="I427" s="3">
        <f>+VLOOKUP($A427,MAGAZZINO!$B$2:$M$100000,9,FALSE)</f>
        <v/>
      </c>
      <c r="J427" s="3">
        <f>+VLOOKUP($A427,MAGAZZINO!$B$2:$M$100000,10,FALSE)</f>
        <v/>
      </c>
      <c r="K427" s="3">
        <f>+VLOOKUP($A427,MAGAZZINO!$B$2:$M$100000,11,FALSE)</f>
        <v/>
      </c>
      <c r="L427" s="5">
        <f>+VLOOKUP($A427,MAGAZZINO!$B$2:$M$100000,12,FALSE)</f>
        <v/>
      </c>
      <c r="M427" s="47" t="n"/>
      <c r="N427" s="88" t="n">
        <v>45874</v>
      </c>
      <c r="O427" s="91" t="inlineStr">
        <is>
          <t>PHILIPPOS CONSTANTINIDES TRADING CO. LTD (CIPRO)</t>
        </is>
      </c>
      <c r="P427" s="154" t="inlineStr">
        <is>
          <t xml:space="preserve">IMPORT LICENSE N. 218 DEL 12/08/2020                                                                                         AUT. TRASFERIMENTO N. 6B/2025/3D RILASCIATA IL 28/07/2025   </t>
        </is>
      </c>
      <c r="Q427" s="150" t="n"/>
      <c r="R427" s="150" t="n"/>
      <c r="S427" s="153" t="n"/>
    </row>
    <row r="428" ht="36" customHeight="1">
      <c r="A428" s="46" t="n">
        <v>2758</v>
      </c>
      <c r="B428" s="4">
        <f>+VLOOKUP($A428,MAGAZZINO!$B$2:$M$100000,2,FALSE)</f>
        <v/>
      </c>
      <c r="C428" s="29">
        <f>+VLOOKUP($A428,MAGAZZINO!$B$2:$M$100000,3,FALSE)</f>
        <v/>
      </c>
      <c r="D428" s="3">
        <f>+VLOOKUP($A428,MAGAZZINO!$B$2:$M$100000,4,FALSE)</f>
        <v/>
      </c>
      <c r="E428" s="3">
        <f>+VLOOKUP($A428,MAGAZZINO!$B$2:$M$100000,5,FALSE)</f>
        <v/>
      </c>
      <c r="F428" s="3">
        <f>+VLOOKUP($A428,MAGAZZINO!$B$2:$M$100000,6,FALSE)</f>
        <v/>
      </c>
      <c r="G428" s="3">
        <f>+VLOOKUP($A428,MAGAZZINO!$B$2:$M$100000,7,FALSE)</f>
        <v/>
      </c>
      <c r="H428" s="3">
        <f>+VLOOKUP($A428,MAGAZZINO!$B$2:$M$100000,8,FALSE)</f>
        <v/>
      </c>
      <c r="I428" s="3">
        <f>+VLOOKUP($A428,MAGAZZINO!$B$2:$M$100000,9,FALSE)</f>
        <v/>
      </c>
      <c r="J428" s="3">
        <f>+VLOOKUP($A428,MAGAZZINO!$B$2:$M$100000,10,FALSE)</f>
        <v/>
      </c>
      <c r="K428" s="3">
        <f>+VLOOKUP($A428,MAGAZZINO!$B$2:$M$100000,11,FALSE)</f>
        <v/>
      </c>
      <c r="L428" s="5">
        <f>+VLOOKUP($A428,MAGAZZINO!$B$2:$M$100000,12,FALSE)</f>
        <v/>
      </c>
      <c r="M428" s="47" t="n"/>
      <c r="N428" s="88" t="n">
        <v>45874</v>
      </c>
      <c r="O428" s="91" t="inlineStr">
        <is>
          <t>PHILIPPOS CONSTANTINIDES TRADING CO. LTD (CIPRO)</t>
        </is>
      </c>
      <c r="P428" s="154" t="inlineStr">
        <is>
          <t xml:space="preserve">IMPORT LICENSE N. 218 DEL 12/08/2020                                                                                         AUT. TRASFERIMENTO N. 6B/2025/3D RILASCIATA IL 28/07/2025   </t>
        </is>
      </c>
      <c r="Q428" s="150" t="n"/>
      <c r="R428" s="150" t="n"/>
      <c r="S428" s="153" t="n"/>
    </row>
    <row r="429" ht="36" customHeight="1">
      <c r="A429" s="46" t="n">
        <v>2759</v>
      </c>
      <c r="B429" s="4">
        <f>+VLOOKUP($A429,MAGAZZINO!$B$2:$M$100000,2,FALSE)</f>
        <v/>
      </c>
      <c r="C429" s="29">
        <f>+VLOOKUP($A429,MAGAZZINO!$B$2:$M$100000,3,FALSE)</f>
        <v/>
      </c>
      <c r="D429" s="3">
        <f>+VLOOKUP($A429,MAGAZZINO!$B$2:$M$100000,4,FALSE)</f>
        <v/>
      </c>
      <c r="E429" s="3">
        <f>+VLOOKUP($A429,MAGAZZINO!$B$2:$M$100000,5,FALSE)</f>
        <v/>
      </c>
      <c r="F429" s="3">
        <f>+VLOOKUP($A429,MAGAZZINO!$B$2:$M$100000,6,FALSE)</f>
        <v/>
      </c>
      <c r="G429" s="3">
        <f>+VLOOKUP($A429,MAGAZZINO!$B$2:$M$100000,7,FALSE)</f>
        <v/>
      </c>
      <c r="H429" s="3">
        <f>+VLOOKUP($A429,MAGAZZINO!$B$2:$M$100000,8,FALSE)</f>
        <v/>
      </c>
      <c r="I429" s="3">
        <f>+VLOOKUP($A429,MAGAZZINO!$B$2:$M$100000,9,FALSE)</f>
        <v/>
      </c>
      <c r="J429" s="3">
        <f>+VLOOKUP($A429,MAGAZZINO!$B$2:$M$100000,10,FALSE)</f>
        <v/>
      </c>
      <c r="K429" s="3">
        <f>+VLOOKUP($A429,MAGAZZINO!$B$2:$M$100000,11,FALSE)</f>
        <v/>
      </c>
      <c r="L429" s="5">
        <f>+VLOOKUP($A429,MAGAZZINO!$B$2:$M$100000,12,FALSE)</f>
        <v/>
      </c>
      <c r="M429" s="47" t="n"/>
      <c r="N429" s="88" t="n">
        <v>45874</v>
      </c>
      <c r="O429" s="91" t="inlineStr">
        <is>
          <t>PHILIPPOS CONSTANTINIDES TRADING CO. LTD (CIPRO)</t>
        </is>
      </c>
      <c r="P429" s="154" t="inlineStr">
        <is>
          <t xml:space="preserve">IMPORT LICENSE N. 218 DEL 12/08/2020                                                                                         AUT. TRASFERIMENTO N. 6B/2025/3D RILASCIATA IL 28/07/2025   </t>
        </is>
      </c>
      <c r="Q429" s="150" t="n"/>
      <c r="R429" s="150" t="n"/>
      <c r="S429" s="153" t="n"/>
    </row>
    <row r="430" ht="36" customHeight="1">
      <c r="A430" s="46" t="n">
        <v>2760</v>
      </c>
      <c r="B430" s="4">
        <f>+VLOOKUP($A430,MAGAZZINO!$B$2:$M$100000,2,FALSE)</f>
        <v/>
      </c>
      <c r="C430" s="29">
        <f>+VLOOKUP($A430,MAGAZZINO!$B$2:$M$100000,3,FALSE)</f>
        <v/>
      </c>
      <c r="D430" s="3">
        <f>+VLOOKUP($A430,MAGAZZINO!$B$2:$M$100000,4,FALSE)</f>
        <v/>
      </c>
      <c r="E430" s="3">
        <f>+VLOOKUP($A430,MAGAZZINO!$B$2:$M$100000,5,FALSE)</f>
        <v/>
      </c>
      <c r="F430" s="3">
        <f>+VLOOKUP($A430,MAGAZZINO!$B$2:$M$100000,6,FALSE)</f>
        <v/>
      </c>
      <c r="G430" s="3">
        <f>+VLOOKUP($A430,MAGAZZINO!$B$2:$M$100000,7,FALSE)</f>
        <v/>
      </c>
      <c r="H430" s="3">
        <f>+VLOOKUP($A430,MAGAZZINO!$B$2:$M$100000,8,FALSE)</f>
        <v/>
      </c>
      <c r="I430" s="3">
        <f>+VLOOKUP($A430,MAGAZZINO!$B$2:$M$100000,9,FALSE)</f>
        <v/>
      </c>
      <c r="J430" s="3">
        <f>+VLOOKUP($A430,MAGAZZINO!$B$2:$M$100000,10,FALSE)</f>
        <v/>
      </c>
      <c r="K430" s="3">
        <f>+VLOOKUP($A430,MAGAZZINO!$B$2:$M$100000,11,FALSE)</f>
        <v/>
      </c>
      <c r="L430" s="5">
        <f>+VLOOKUP($A430,MAGAZZINO!$B$2:$M$100000,12,FALSE)</f>
        <v/>
      </c>
      <c r="M430" s="47" t="n"/>
      <c r="N430" s="88" t="n">
        <v>45874</v>
      </c>
      <c r="O430" s="91" t="inlineStr">
        <is>
          <t>PHILIPPOS CONSTANTINIDES TRADING CO. LTD (CIPRO)</t>
        </is>
      </c>
      <c r="P430" s="154" t="inlineStr">
        <is>
          <t xml:space="preserve">IMPORT LICENSE N. 218 DEL 12/08/2020                                                                                         AUT. TRASFERIMENTO N. 6B/2025/3D RILASCIATA IL 28/07/2025   </t>
        </is>
      </c>
      <c r="Q430" s="150" t="n"/>
      <c r="R430" s="150" t="n"/>
      <c r="S430" s="153" t="n"/>
    </row>
    <row r="431" ht="36" customHeight="1">
      <c r="A431" s="46" t="n">
        <v>2761</v>
      </c>
      <c r="B431" s="4">
        <f>+VLOOKUP($A431,MAGAZZINO!$B$2:$M$100000,2,FALSE)</f>
        <v/>
      </c>
      <c r="C431" s="29">
        <f>+VLOOKUP($A431,MAGAZZINO!$B$2:$M$100000,3,FALSE)</f>
        <v/>
      </c>
      <c r="D431" s="3">
        <f>+VLOOKUP($A431,MAGAZZINO!$B$2:$M$100000,4,FALSE)</f>
        <v/>
      </c>
      <c r="E431" s="3">
        <f>+VLOOKUP($A431,MAGAZZINO!$B$2:$M$100000,5,FALSE)</f>
        <v/>
      </c>
      <c r="F431" s="3">
        <f>+VLOOKUP($A431,MAGAZZINO!$B$2:$M$100000,6,FALSE)</f>
        <v/>
      </c>
      <c r="G431" s="3">
        <f>+VLOOKUP($A431,MAGAZZINO!$B$2:$M$100000,7,FALSE)</f>
        <v/>
      </c>
      <c r="H431" s="3">
        <f>+VLOOKUP($A431,MAGAZZINO!$B$2:$M$100000,8,FALSE)</f>
        <v/>
      </c>
      <c r="I431" s="3">
        <f>+VLOOKUP($A431,MAGAZZINO!$B$2:$M$100000,9,FALSE)</f>
        <v/>
      </c>
      <c r="J431" s="3">
        <f>+VLOOKUP($A431,MAGAZZINO!$B$2:$M$100000,10,FALSE)</f>
        <v/>
      </c>
      <c r="K431" s="3">
        <f>+VLOOKUP($A431,MAGAZZINO!$B$2:$M$100000,11,FALSE)</f>
        <v/>
      </c>
      <c r="L431" s="5">
        <f>+VLOOKUP($A431,MAGAZZINO!$B$2:$M$100000,12,FALSE)</f>
        <v/>
      </c>
      <c r="M431" s="47" t="n"/>
      <c r="N431" s="88" t="n">
        <v>45874</v>
      </c>
      <c r="O431" s="91" t="inlineStr">
        <is>
          <t>PHILIPPOS CONSTANTINIDES TRADING CO. LTD (CIPRO)</t>
        </is>
      </c>
      <c r="P431" s="154" t="inlineStr">
        <is>
          <t xml:space="preserve">IMPORT LICENSE N. 218 DEL 12/08/2020                                                                                         AUT. TRASFERIMENTO N. 6B/2025/3D RILASCIATA IL 28/07/2025   </t>
        </is>
      </c>
      <c r="Q431" s="150" t="n"/>
      <c r="R431" s="150" t="n"/>
      <c r="S431" s="153" t="n"/>
    </row>
    <row r="432" ht="36" customHeight="1">
      <c r="A432" s="46" t="n">
        <v>2762</v>
      </c>
      <c r="B432" s="4">
        <f>+VLOOKUP($A432,MAGAZZINO!$B$2:$M$100000,2,FALSE)</f>
        <v/>
      </c>
      <c r="C432" s="29">
        <f>+VLOOKUP($A432,MAGAZZINO!$B$2:$M$100000,3,FALSE)</f>
        <v/>
      </c>
      <c r="D432" s="3">
        <f>+VLOOKUP($A432,MAGAZZINO!$B$2:$M$100000,4,FALSE)</f>
        <v/>
      </c>
      <c r="E432" s="3">
        <f>+VLOOKUP($A432,MAGAZZINO!$B$2:$M$100000,5,FALSE)</f>
        <v/>
      </c>
      <c r="F432" s="3">
        <f>+VLOOKUP($A432,MAGAZZINO!$B$2:$M$100000,6,FALSE)</f>
        <v/>
      </c>
      <c r="G432" s="3">
        <f>+VLOOKUP($A432,MAGAZZINO!$B$2:$M$100000,7,FALSE)</f>
        <v/>
      </c>
      <c r="H432" s="3">
        <f>+VLOOKUP($A432,MAGAZZINO!$B$2:$M$100000,8,FALSE)</f>
        <v/>
      </c>
      <c r="I432" s="3">
        <f>+VLOOKUP($A432,MAGAZZINO!$B$2:$M$100000,9,FALSE)</f>
        <v/>
      </c>
      <c r="J432" s="3">
        <f>+VLOOKUP($A432,MAGAZZINO!$B$2:$M$100000,10,FALSE)</f>
        <v/>
      </c>
      <c r="K432" s="3">
        <f>+VLOOKUP($A432,MAGAZZINO!$B$2:$M$100000,11,FALSE)</f>
        <v/>
      </c>
      <c r="L432" s="5">
        <f>+VLOOKUP($A432,MAGAZZINO!$B$2:$M$100000,12,FALSE)</f>
        <v/>
      </c>
      <c r="M432" s="47" t="n"/>
      <c r="N432" s="88" t="n">
        <v>45874</v>
      </c>
      <c r="O432" s="91" t="inlineStr">
        <is>
          <t>PHILIPPOS CONSTANTINIDES TRADING CO. LTD (CIPRO)</t>
        </is>
      </c>
      <c r="P432" s="154" t="inlineStr">
        <is>
          <t xml:space="preserve">IMPORT LICENSE N. 218 DEL 12/08/2020                                                                                         AUT. TRASFERIMENTO N. 6B/2025/3D RILASCIATA IL 28/07/2025   </t>
        </is>
      </c>
      <c r="Q432" s="150" t="n"/>
      <c r="R432" s="150" t="n"/>
      <c r="S432" s="153" t="n"/>
    </row>
    <row r="433" ht="36" customHeight="1">
      <c r="A433" s="46" t="n">
        <v>2763</v>
      </c>
      <c r="B433" s="4">
        <f>+VLOOKUP($A433,MAGAZZINO!$B$2:$M$100000,2,FALSE)</f>
        <v/>
      </c>
      <c r="C433" s="29">
        <f>+VLOOKUP($A433,MAGAZZINO!$B$2:$M$100000,3,FALSE)</f>
        <v/>
      </c>
      <c r="D433" s="3">
        <f>+VLOOKUP($A433,MAGAZZINO!$B$2:$M$100000,4,FALSE)</f>
        <v/>
      </c>
      <c r="E433" s="3">
        <f>+VLOOKUP($A433,MAGAZZINO!$B$2:$M$100000,5,FALSE)</f>
        <v/>
      </c>
      <c r="F433" s="3">
        <f>+VLOOKUP($A433,MAGAZZINO!$B$2:$M$100000,6,FALSE)</f>
        <v/>
      </c>
      <c r="G433" s="3">
        <f>+VLOOKUP($A433,MAGAZZINO!$B$2:$M$100000,7,FALSE)</f>
        <v/>
      </c>
      <c r="H433" s="3">
        <f>+VLOOKUP($A433,MAGAZZINO!$B$2:$M$100000,8,FALSE)</f>
        <v/>
      </c>
      <c r="I433" s="3">
        <f>+VLOOKUP($A433,MAGAZZINO!$B$2:$M$100000,9,FALSE)</f>
        <v/>
      </c>
      <c r="J433" s="3">
        <f>+VLOOKUP($A433,MAGAZZINO!$B$2:$M$100000,10,FALSE)</f>
        <v/>
      </c>
      <c r="K433" s="3">
        <f>+VLOOKUP($A433,MAGAZZINO!$B$2:$M$100000,11,FALSE)</f>
        <v/>
      </c>
      <c r="L433" s="5">
        <f>+VLOOKUP($A433,MAGAZZINO!$B$2:$M$100000,12,FALSE)</f>
        <v/>
      </c>
      <c r="M433" s="47" t="n"/>
      <c r="N433" s="88" t="n">
        <v>45874</v>
      </c>
      <c r="O433" s="91" t="inlineStr">
        <is>
          <t>PHILIPPOS CONSTANTINIDES TRADING CO. LTD (CIPRO)</t>
        </is>
      </c>
      <c r="P433" s="154" t="inlineStr">
        <is>
          <t xml:space="preserve">IMPORT LICENSE N. 218 DEL 12/08/2020                                                                                         AUT. TRASFERIMENTO N. 6B/2025/3D RILASCIATA IL 28/07/2025   </t>
        </is>
      </c>
      <c r="Q433" s="150" t="n"/>
      <c r="R433" s="150" t="n"/>
      <c r="S433" s="153" t="n"/>
    </row>
    <row r="434" ht="36" customHeight="1">
      <c r="A434" s="46" t="n">
        <v>2764</v>
      </c>
      <c r="B434" s="4">
        <f>+VLOOKUP($A434,MAGAZZINO!$B$2:$M$100000,2,FALSE)</f>
        <v/>
      </c>
      <c r="C434" s="29">
        <f>+VLOOKUP($A434,MAGAZZINO!$B$2:$M$100000,3,FALSE)</f>
        <v/>
      </c>
      <c r="D434" s="3">
        <f>+VLOOKUP($A434,MAGAZZINO!$B$2:$M$100000,4,FALSE)</f>
        <v/>
      </c>
      <c r="E434" s="3">
        <f>+VLOOKUP($A434,MAGAZZINO!$B$2:$M$100000,5,FALSE)</f>
        <v/>
      </c>
      <c r="F434" s="3">
        <f>+VLOOKUP($A434,MAGAZZINO!$B$2:$M$100000,6,FALSE)</f>
        <v/>
      </c>
      <c r="G434" s="3">
        <f>+VLOOKUP($A434,MAGAZZINO!$B$2:$M$100000,7,FALSE)</f>
        <v/>
      </c>
      <c r="H434" s="3">
        <f>+VLOOKUP($A434,MAGAZZINO!$B$2:$M$100000,8,FALSE)</f>
        <v/>
      </c>
      <c r="I434" s="3">
        <f>+VLOOKUP($A434,MAGAZZINO!$B$2:$M$100000,9,FALSE)</f>
        <v/>
      </c>
      <c r="J434" s="3">
        <f>+VLOOKUP($A434,MAGAZZINO!$B$2:$M$100000,10,FALSE)</f>
        <v/>
      </c>
      <c r="K434" s="3">
        <f>+VLOOKUP($A434,MAGAZZINO!$B$2:$M$100000,11,FALSE)</f>
        <v/>
      </c>
      <c r="L434" s="5">
        <f>+VLOOKUP($A434,MAGAZZINO!$B$2:$M$100000,12,FALSE)</f>
        <v/>
      </c>
      <c r="M434" s="47" t="n"/>
      <c r="N434" s="88" t="n">
        <v>45874</v>
      </c>
      <c r="O434" s="91" t="inlineStr">
        <is>
          <t>PHILIPPOS CONSTANTINIDES TRADING CO. LTD (CIPRO)</t>
        </is>
      </c>
      <c r="P434" s="154" t="inlineStr">
        <is>
          <t xml:space="preserve">IMPORT LICENSE N. 218 DEL 12/08/2020                                                                                         AUT. TRASFERIMENTO N. 6B/2025/3D RILASCIATA IL 28/07/2025   </t>
        </is>
      </c>
      <c r="Q434" s="150" t="n"/>
      <c r="R434" s="150" t="n"/>
      <c r="S434" s="153" t="n"/>
    </row>
    <row r="435" ht="36" customHeight="1">
      <c r="A435" s="46" t="n">
        <v>2765</v>
      </c>
      <c r="B435" s="4">
        <f>+VLOOKUP($A435,MAGAZZINO!$B$2:$M$100000,2,FALSE)</f>
        <v/>
      </c>
      <c r="C435" s="29">
        <f>+VLOOKUP($A435,MAGAZZINO!$B$2:$M$100000,3,FALSE)</f>
        <v/>
      </c>
      <c r="D435" s="3">
        <f>+VLOOKUP($A435,MAGAZZINO!$B$2:$M$100000,4,FALSE)</f>
        <v/>
      </c>
      <c r="E435" s="3">
        <f>+VLOOKUP($A435,MAGAZZINO!$B$2:$M$100000,5,FALSE)</f>
        <v/>
      </c>
      <c r="F435" s="3">
        <f>+VLOOKUP($A435,MAGAZZINO!$B$2:$M$100000,6,FALSE)</f>
        <v/>
      </c>
      <c r="G435" s="3">
        <f>+VLOOKUP($A435,MAGAZZINO!$B$2:$M$100000,7,FALSE)</f>
        <v/>
      </c>
      <c r="H435" s="3">
        <f>+VLOOKUP($A435,MAGAZZINO!$B$2:$M$100000,8,FALSE)</f>
        <v/>
      </c>
      <c r="I435" s="3">
        <f>+VLOOKUP($A435,MAGAZZINO!$B$2:$M$100000,9,FALSE)</f>
        <v/>
      </c>
      <c r="J435" s="3">
        <f>+VLOOKUP($A435,MAGAZZINO!$B$2:$M$100000,10,FALSE)</f>
        <v/>
      </c>
      <c r="K435" s="3">
        <f>+VLOOKUP($A435,MAGAZZINO!$B$2:$M$100000,11,FALSE)</f>
        <v/>
      </c>
      <c r="L435" s="5">
        <f>+VLOOKUP($A435,MAGAZZINO!$B$2:$M$100000,12,FALSE)</f>
        <v/>
      </c>
      <c r="M435" s="47" t="n"/>
      <c r="N435" s="88" t="n">
        <v>45771</v>
      </c>
      <c r="O435" s="156" t="inlineStr">
        <is>
          <t>BIN HUMAID NATIONAL TRADING CO. (ARABIA SAUDITA)</t>
        </is>
      </c>
      <c r="P435" s="154" t="inlineStr">
        <is>
          <t>IMPORT LICENSE N. 7004424417/8/B/81 VALIDA FINO AL 28/04/2027                                                              AUT. ESPORTAZIONE MULTIPLA N. 6B/2025/1M RILASCIATA IL 24/02/2025   (LICENZA DI SCARICO N. 6B/2025/2S RILASCIATA IL 15/04/2025)</t>
        </is>
      </c>
      <c r="Q435" s="150" t="n"/>
      <c r="R435" s="150" t="n"/>
      <c r="S435" s="153" t="n"/>
    </row>
    <row r="436" ht="36" customHeight="1">
      <c r="A436" s="46" t="n">
        <v>2766</v>
      </c>
      <c r="B436" s="4">
        <f>+VLOOKUP($A436,MAGAZZINO!$B$2:$M$100000,2,FALSE)</f>
        <v/>
      </c>
      <c r="C436" s="29">
        <f>+VLOOKUP($A436,MAGAZZINO!$B$2:$M$100000,3,FALSE)</f>
        <v/>
      </c>
      <c r="D436" s="3">
        <f>+VLOOKUP($A436,MAGAZZINO!$B$2:$M$100000,4,FALSE)</f>
        <v/>
      </c>
      <c r="E436" s="3">
        <f>+VLOOKUP($A436,MAGAZZINO!$B$2:$M$100000,5,FALSE)</f>
        <v/>
      </c>
      <c r="F436" s="3">
        <f>+VLOOKUP($A436,MAGAZZINO!$B$2:$M$100000,6,FALSE)</f>
        <v/>
      </c>
      <c r="G436" s="3">
        <f>+VLOOKUP($A436,MAGAZZINO!$B$2:$M$100000,7,FALSE)</f>
        <v/>
      </c>
      <c r="H436" s="3">
        <f>+VLOOKUP($A436,MAGAZZINO!$B$2:$M$100000,8,FALSE)</f>
        <v/>
      </c>
      <c r="I436" s="3">
        <f>+VLOOKUP($A436,MAGAZZINO!$B$2:$M$100000,9,FALSE)</f>
        <v/>
      </c>
      <c r="J436" s="3">
        <f>+VLOOKUP($A436,MAGAZZINO!$B$2:$M$100000,10,FALSE)</f>
        <v/>
      </c>
      <c r="K436" s="3">
        <f>+VLOOKUP($A436,MAGAZZINO!$B$2:$M$100000,11,FALSE)</f>
        <v/>
      </c>
      <c r="L436" s="5">
        <f>+VLOOKUP($A436,MAGAZZINO!$B$2:$M$100000,12,FALSE)</f>
        <v/>
      </c>
      <c r="M436" s="47" t="n"/>
      <c r="N436" s="88" t="n">
        <v>45771</v>
      </c>
      <c r="O436" s="156" t="inlineStr">
        <is>
          <t>BIN HUMAID NATIONAL TRADING CO. (ARABIA SAUDITA)</t>
        </is>
      </c>
      <c r="P436" s="154" t="inlineStr">
        <is>
          <t>IMPORT LICENSE N. 7004424417/8/B/81 VALIDA FINO AL 28/04/2027                                                              AUT. ESPORTAZIONE MULTIPLA N. 6B/2025/1M RILASCIATA IL 24/02/2025   (LICENZA DI SCARICO N. 6B/2025/2S RILASCIATA IL 15/04/2025)</t>
        </is>
      </c>
      <c r="Q436" s="150" t="n"/>
      <c r="R436" s="150" t="n"/>
      <c r="S436" s="153" t="n"/>
    </row>
    <row r="437" ht="36" customHeight="1">
      <c r="A437" s="46" t="n">
        <v>2767</v>
      </c>
      <c r="B437" s="4">
        <f>+VLOOKUP($A437,MAGAZZINO!$B$2:$M$100000,2,FALSE)</f>
        <v/>
      </c>
      <c r="C437" s="29">
        <f>+VLOOKUP($A437,MAGAZZINO!$B$2:$M$100000,3,FALSE)</f>
        <v/>
      </c>
      <c r="D437" s="3">
        <f>+VLOOKUP($A437,MAGAZZINO!$B$2:$M$100000,4,FALSE)</f>
        <v/>
      </c>
      <c r="E437" s="3">
        <f>+VLOOKUP($A437,MAGAZZINO!$B$2:$M$100000,5,FALSE)</f>
        <v/>
      </c>
      <c r="F437" s="3">
        <f>+VLOOKUP($A437,MAGAZZINO!$B$2:$M$100000,6,FALSE)</f>
        <v/>
      </c>
      <c r="G437" s="3">
        <f>+VLOOKUP($A437,MAGAZZINO!$B$2:$M$100000,7,FALSE)</f>
        <v/>
      </c>
      <c r="H437" s="3">
        <f>+VLOOKUP($A437,MAGAZZINO!$B$2:$M$100000,8,FALSE)</f>
        <v/>
      </c>
      <c r="I437" s="3">
        <f>+VLOOKUP($A437,MAGAZZINO!$B$2:$M$100000,9,FALSE)</f>
        <v/>
      </c>
      <c r="J437" s="3">
        <f>+VLOOKUP($A437,MAGAZZINO!$B$2:$M$100000,10,FALSE)</f>
        <v/>
      </c>
      <c r="K437" s="3">
        <f>+VLOOKUP($A437,MAGAZZINO!$B$2:$M$100000,11,FALSE)</f>
        <v/>
      </c>
      <c r="L437" s="5">
        <f>+VLOOKUP($A437,MAGAZZINO!$B$2:$M$100000,12,FALSE)</f>
        <v/>
      </c>
      <c r="M437" s="47" t="n"/>
      <c r="N437" s="88" t="n">
        <v>45771</v>
      </c>
      <c r="O437" s="156" t="inlineStr">
        <is>
          <t>BIN HUMAID NATIONAL TRADING CO. (ARABIA SAUDITA)</t>
        </is>
      </c>
      <c r="P437" s="154" t="inlineStr">
        <is>
          <t>IMPORT LICENSE N. 7004424417/8/B/81 VALIDA FINO AL 28/04/2027                                                              AUT. ESPORTAZIONE MULTIPLA N. 6B/2025/1M RILASCIATA IL 24/02/2025   (LICENZA DI SCARICO N. 6B/2025/2S RILASCIATA IL 15/04/2025)</t>
        </is>
      </c>
      <c r="Q437" s="150" t="n"/>
      <c r="R437" s="150" t="n"/>
      <c r="S437" s="153" t="n"/>
    </row>
    <row r="438" ht="36" customHeight="1">
      <c r="A438" s="46" t="n">
        <v>2768</v>
      </c>
      <c r="B438" s="4">
        <f>+VLOOKUP($A438,MAGAZZINO!$B$2:$M$100000,2,FALSE)</f>
        <v/>
      </c>
      <c r="C438" s="29">
        <f>+VLOOKUP($A438,MAGAZZINO!$B$2:$M$100000,3,FALSE)</f>
        <v/>
      </c>
      <c r="D438" s="3">
        <f>+VLOOKUP($A438,MAGAZZINO!$B$2:$M$100000,4,FALSE)</f>
        <v/>
      </c>
      <c r="E438" s="3">
        <f>+VLOOKUP($A438,MAGAZZINO!$B$2:$M$100000,5,FALSE)</f>
        <v/>
      </c>
      <c r="F438" s="3">
        <f>+VLOOKUP($A438,MAGAZZINO!$B$2:$M$100000,6,FALSE)</f>
        <v/>
      </c>
      <c r="G438" s="3">
        <f>+VLOOKUP($A438,MAGAZZINO!$B$2:$M$100000,7,FALSE)</f>
        <v/>
      </c>
      <c r="H438" s="3">
        <f>+VLOOKUP($A438,MAGAZZINO!$B$2:$M$100000,8,FALSE)</f>
        <v/>
      </c>
      <c r="I438" s="3">
        <f>+VLOOKUP($A438,MAGAZZINO!$B$2:$M$100000,9,FALSE)</f>
        <v/>
      </c>
      <c r="J438" s="3">
        <f>+VLOOKUP($A438,MAGAZZINO!$B$2:$M$100000,10,FALSE)</f>
        <v/>
      </c>
      <c r="K438" s="3">
        <f>+VLOOKUP($A438,MAGAZZINO!$B$2:$M$100000,11,FALSE)</f>
        <v/>
      </c>
      <c r="L438" s="5">
        <f>+VLOOKUP($A438,MAGAZZINO!$B$2:$M$100000,12,FALSE)</f>
        <v/>
      </c>
      <c r="M438" s="47" t="n"/>
      <c r="N438" s="88" t="n">
        <v>45771</v>
      </c>
      <c r="O438" s="156" t="inlineStr">
        <is>
          <t>BIN HUMAID NATIONAL TRADING CO. (ARABIA SAUDITA)</t>
        </is>
      </c>
      <c r="P438" s="154" t="inlineStr">
        <is>
          <t>IMPORT LICENSE N. 7004424417/8/B/81 VALIDA FINO AL 28/04/2027                                                              AUT. ESPORTAZIONE MULTIPLA N. 6B/2025/1M RILASCIATA IL 24/02/2025   (LICENZA DI SCARICO N. 6B/2025/2S RILASCIATA IL 15/04/2025)</t>
        </is>
      </c>
      <c r="Q438" s="150" t="n"/>
      <c r="R438" s="150" t="n"/>
      <c r="S438" s="153" t="n"/>
    </row>
    <row r="439" ht="36" customHeight="1">
      <c r="A439" s="46" t="n">
        <v>2769</v>
      </c>
      <c r="B439" s="4">
        <f>+VLOOKUP($A439,MAGAZZINO!$B$2:$M$100000,2,FALSE)</f>
        <v/>
      </c>
      <c r="C439" s="29">
        <f>+VLOOKUP($A439,MAGAZZINO!$B$2:$M$100000,3,FALSE)</f>
        <v/>
      </c>
      <c r="D439" s="3">
        <f>+VLOOKUP($A439,MAGAZZINO!$B$2:$M$100000,4,FALSE)</f>
        <v/>
      </c>
      <c r="E439" s="3">
        <f>+VLOOKUP($A439,MAGAZZINO!$B$2:$M$100000,5,FALSE)</f>
        <v/>
      </c>
      <c r="F439" s="3">
        <f>+VLOOKUP($A439,MAGAZZINO!$B$2:$M$100000,6,FALSE)</f>
        <v/>
      </c>
      <c r="G439" s="3">
        <f>+VLOOKUP($A439,MAGAZZINO!$B$2:$M$100000,7,FALSE)</f>
        <v/>
      </c>
      <c r="H439" s="3">
        <f>+VLOOKUP($A439,MAGAZZINO!$B$2:$M$100000,8,FALSE)</f>
        <v/>
      </c>
      <c r="I439" s="3">
        <f>+VLOOKUP($A439,MAGAZZINO!$B$2:$M$100000,9,FALSE)</f>
        <v/>
      </c>
      <c r="J439" s="3">
        <f>+VLOOKUP($A439,MAGAZZINO!$B$2:$M$100000,10,FALSE)</f>
        <v/>
      </c>
      <c r="K439" s="3">
        <f>+VLOOKUP($A439,MAGAZZINO!$B$2:$M$100000,11,FALSE)</f>
        <v/>
      </c>
      <c r="L439" s="5">
        <f>+VLOOKUP($A439,MAGAZZINO!$B$2:$M$100000,12,FALSE)</f>
        <v/>
      </c>
      <c r="M439" s="47" t="n"/>
      <c r="N439" s="88" t="n">
        <v>45771</v>
      </c>
      <c r="O439" s="156" t="inlineStr">
        <is>
          <t>BIN HUMAID NATIONAL TRADING CO. (ARABIA SAUDITA)</t>
        </is>
      </c>
      <c r="P439" s="154" t="inlineStr">
        <is>
          <t>IMPORT LICENSE N. 7004424417/8/B/81 VALIDA FINO AL 28/04/2027                                                              AUT. ESPORTAZIONE MULTIPLA N. 6B/2025/1M RILASCIATA IL 24/02/2025   (LICENZA DI SCARICO N. 6B/2025/2S RILASCIATA IL 15/04/2025)</t>
        </is>
      </c>
      <c r="Q439" s="150" t="n"/>
      <c r="R439" s="150" t="n"/>
      <c r="S439" s="153" t="n"/>
    </row>
    <row r="440" ht="36" customHeight="1">
      <c r="A440" s="46" t="n">
        <v>2770</v>
      </c>
      <c r="B440" s="4">
        <f>+VLOOKUP($A440,MAGAZZINO!$B$2:$M$100000,2,FALSE)</f>
        <v/>
      </c>
      <c r="C440" s="29">
        <f>+VLOOKUP($A440,MAGAZZINO!$B$2:$M$100000,3,FALSE)</f>
        <v/>
      </c>
      <c r="D440" s="3">
        <f>+VLOOKUP($A440,MAGAZZINO!$B$2:$M$100000,4,FALSE)</f>
        <v/>
      </c>
      <c r="E440" s="3">
        <f>+VLOOKUP($A440,MAGAZZINO!$B$2:$M$100000,5,FALSE)</f>
        <v/>
      </c>
      <c r="F440" s="3">
        <f>+VLOOKUP($A440,MAGAZZINO!$B$2:$M$100000,6,FALSE)</f>
        <v/>
      </c>
      <c r="G440" s="3">
        <f>+VLOOKUP($A440,MAGAZZINO!$B$2:$M$100000,7,FALSE)</f>
        <v/>
      </c>
      <c r="H440" s="3">
        <f>+VLOOKUP($A440,MAGAZZINO!$B$2:$M$100000,8,FALSE)</f>
        <v/>
      </c>
      <c r="I440" s="3">
        <f>+VLOOKUP($A440,MAGAZZINO!$B$2:$M$100000,9,FALSE)</f>
        <v/>
      </c>
      <c r="J440" s="3">
        <f>+VLOOKUP($A440,MAGAZZINO!$B$2:$M$100000,10,FALSE)</f>
        <v/>
      </c>
      <c r="K440" s="3">
        <f>+VLOOKUP($A440,MAGAZZINO!$B$2:$M$100000,11,FALSE)</f>
        <v/>
      </c>
      <c r="L440" s="5">
        <f>+VLOOKUP($A440,MAGAZZINO!$B$2:$M$100000,12,FALSE)</f>
        <v/>
      </c>
      <c r="M440" s="47" t="n"/>
      <c r="N440" s="88" t="n">
        <v>45771</v>
      </c>
      <c r="O440" s="156" t="inlineStr">
        <is>
          <t>BIN HUMAID NATIONAL TRADING CO. (ARABIA SAUDITA)</t>
        </is>
      </c>
      <c r="P440" s="154" t="inlineStr">
        <is>
          <t>IMPORT LICENSE N. 7004424417/8/B/81 VALIDA FINO AL 28/04/2027                                                              AUT. ESPORTAZIONE MULTIPLA N. 6B/2025/1M RILASCIATA IL 24/02/2025   (LICENZA DI SCARICO N. 6B/2025/2S RILASCIATA IL 15/04/2025)</t>
        </is>
      </c>
      <c r="Q440" s="150" t="n"/>
      <c r="R440" s="150" t="n"/>
      <c r="S440" s="153" t="n"/>
    </row>
    <row r="441" ht="36" customHeight="1">
      <c r="A441" s="46" t="n">
        <v>2771</v>
      </c>
      <c r="B441" s="4">
        <f>+VLOOKUP($A441,MAGAZZINO!$B$2:$M$100000,2,FALSE)</f>
        <v/>
      </c>
      <c r="C441" s="29">
        <f>+VLOOKUP($A441,MAGAZZINO!$B$2:$M$100000,3,FALSE)</f>
        <v/>
      </c>
      <c r="D441" s="3">
        <f>+VLOOKUP($A441,MAGAZZINO!$B$2:$M$100000,4,FALSE)</f>
        <v/>
      </c>
      <c r="E441" s="3">
        <f>+VLOOKUP($A441,MAGAZZINO!$B$2:$M$100000,5,FALSE)</f>
        <v/>
      </c>
      <c r="F441" s="3">
        <f>+VLOOKUP($A441,MAGAZZINO!$B$2:$M$100000,6,FALSE)</f>
        <v/>
      </c>
      <c r="G441" s="3">
        <f>+VLOOKUP($A441,MAGAZZINO!$B$2:$M$100000,7,FALSE)</f>
        <v/>
      </c>
      <c r="H441" s="3">
        <f>+VLOOKUP($A441,MAGAZZINO!$B$2:$M$100000,8,FALSE)</f>
        <v/>
      </c>
      <c r="I441" s="3">
        <f>+VLOOKUP($A441,MAGAZZINO!$B$2:$M$100000,9,FALSE)</f>
        <v/>
      </c>
      <c r="J441" s="3">
        <f>+VLOOKUP($A441,MAGAZZINO!$B$2:$M$100000,10,FALSE)</f>
        <v/>
      </c>
      <c r="K441" s="3">
        <f>+VLOOKUP($A441,MAGAZZINO!$B$2:$M$100000,11,FALSE)</f>
        <v/>
      </c>
      <c r="L441" s="5">
        <f>+VLOOKUP($A441,MAGAZZINO!$B$2:$M$100000,12,FALSE)</f>
        <v/>
      </c>
      <c r="M441" s="47" t="n"/>
      <c r="N441" s="88" t="n">
        <v>45771</v>
      </c>
      <c r="O441" s="156" t="inlineStr">
        <is>
          <t>BIN HUMAID NATIONAL TRADING CO. (ARABIA SAUDITA)</t>
        </is>
      </c>
      <c r="P441" s="154" t="inlineStr">
        <is>
          <t>IMPORT LICENSE N. 7004424417/8/B/81 VALIDA FINO AL 28/04/2027                                                              AUT. ESPORTAZIONE MULTIPLA N. 6B/2025/1M RILASCIATA IL 24/02/2025   (LICENZA DI SCARICO N. 6B/2025/2S RILASCIATA IL 15/04/2025)</t>
        </is>
      </c>
      <c r="Q441" s="150" t="n"/>
      <c r="R441" s="150" t="n"/>
      <c r="S441" s="153" t="n"/>
    </row>
    <row r="442" ht="36" customHeight="1">
      <c r="A442" s="46" t="n">
        <v>2772</v>
      </c>
      <c r="B442" s="4">
        <f>+VLOOKUP($A442,MAGAZZINO!$B$2:$M$100000,2,FALSE)</f>
        <v/>
      </c>
      <c r="C442" s="29">
        <f>+VLOOKUP($A442,MAGAZZINO!$B$2:$M$100000,3,FALSE)</f>
        <v/>
      </c>
      <c r="D442" s="3">
        <f>+VLOOKUP($A442,MAGAZZINO!$B$2:$M$100000,4,FALSE)</f>
        <v/>
      </c>
      <c r="E442" s="3">
        <f>+VLOOKUP($A442,MAGAZZINO!$B$2:$M$100000,5,FALSE)</f>
        <v/>
      </c>
      <c r="F442" s="3">
        <f>+VLOOKUP($A442,MAGAZZINO!$B$2:$M$100000,6,FALSE)</f>
        <v/>
      </c>
      <c r="G442" s="3">
        <f>+VLOOKUP($A442,MAGAZZINO!$B$2:$M$100000,7,FALSE)</f>
        <v/>
      </c>
      <c r="H442" s="3">
        <f>+VLOOKUP($A442,MAGAZZINO!$B$2:$M$100000,8,FALSE)</f>
        <v/>
      </c>
      <c r="I442" s="3">
        <f>+VLOOKUP($A442,MAGAZZINO!$B$2:$M$100000,9,FALSE)</f>
        <v/>
      </c>
      <c r="J442" s="3">
        <f>+VLOOKUP($A442,MAGAZZINO!$B$2:$M$100000,10,FALSE)</f>
        <v/>
      </c>
      <c r="K442" s="3">
        <f>+VLOOKUP($A442,MAGAZZINO!$B$2:$M$100000,11,FALSE)</f>
        <v/>
      </c>
      <c r="L442" s="5">
        <f>+VLOOKUP($A442,MAGAZZINO!$B$2:$M$100000,12,FALSE)</f>
        <v/>
      </c>
      <c r="M442" s="47" t="n"/>
      <c r="N442" s="88" t="n">
        <v>45771</v>
      </c>
      <c r="O442" s="156" t="inlineStr">
        <is>
          <t>BIN HUMAID NATIONAL TRADING CO. (ARABIA SAUDITA)</t>
        </is>
      </c>
      <c r="P442" s="154" t="inlineStr">
        <is>
          <t>IMPORT LICENSE N. 7004424417/8/B/81 VALIDA FINO AL 28/04/2027                                                              AUT. ESPORTAZIONE MULTIPLA N. 6B/2025/1M RILASCIATA IL 24/02/2025   (LICENZA DI SCARICO N. 6B/2025/2S RILASCIATA IL 15/04/2025)</t>
        </is>
      </c>
      <c r="Q442" s="150" t="n"/>
      <c r="R442" s="150" t="n"/>
      <c r="S442" s="153" t="n"/>
    </row>
    <row r="443" ht="36" customHeight="1">
      <c r="A443" s="46" t="n">
        <v>2773</v>
      </c>
      <c r="B443" s="4">
        <f>+VLOOKUP($A443,MAGAZZINO!$B$2:$M$100000,2,FALSE)</f>
        <v/>
      </c>
      <c r="C443" s="29">
        <f>+VLOOKUP($A443,MAGAZZINO!$B$2:$M$100000,3,FALSE)</f>
        <v/>
      </c>
      <c r="D443" s="3">
        <f>+VLOOKUP($A443,MAGAZZINO!$B$2:$M$100000,4,FALSE)</f>
        <v/>
      </c>
      <c r="E443" s="3">
        <f>+VLOOKUP($A443,MAGAZZINO!$B$2:$M$100000,5,FALSE)</f>
        <v/>
      </c>
      <c r="F443" s="3">
        <f>+VLOOKUP($A443,MAGAZZINO!$B$2:$M$100000,6,FALSE)</f>
        <v/>
      </c>
      <c r="G443" s="3">
        <f>+VLOOKUP($A443,MAGAZZINO!$B$2:$M$100000,7,FALSE)</f>
        <v/>
      </c>
      <c r="H443" s="3">
        <f>+VLOOKUP($A443,MAGAZZINO!$B$2:$M$100000,8,FALSE)</f>
        <v/>
      </c>
      <c r="I443" s="3">
        <f>+VLOOKUP($A443,MAGAZZINO!$B$2:$M$100000,9,FALSE)</f>
        <v/>
      </c>
      <c r="J443" s="3">
        <f>+VLOOKUP($A443,MAGAZZINO!$B$2:$M$100000,10,FALSE)</f>
        <v/>
      </c>
      <c r="K443" s="3">
        <f>+VLOOKUP($A443,MAGAZZINO!$B$2:$M$100000,11,FALSE)</f>
        <v/>
      </c>
      <c r="L443" s="5">
        <f>+VLOOKUP($A443,MAGAZZINO!$B$2:$M$100000,12,FALSE)</f>
        <v/>
      </c>
      <c r="M443" s="47" t="n"/>
      <c r="N443" s="88" t="n">
        <v>45771</v>
      </c>
      <c r="O443" s="156" t="inlineStr">
        <is>
          <t>BIN HUMAID NATIONAL TRADING CO. (ARABIA SAUDITA)</t>
        </is>
      </c>
      <c r="P443" s="154" t="inlineStr">
        <is>
          <t>IMPORT LICENSE N. 7004424417/8/B/81 VALIDA FINO AL 28/04/2027                                                              AUT. ESPORTAZIONE MULTIPLA N. 6B/2025/1M RILASCIATA IL 24/02/2025   (LICENZA DI SCARICO N. 6B/2025/2S RILASCIATA IL 15/04/2025)</t>
        </is>
      </c>
      <c r="Q443" s="150" t="n"/>
      <c r="R443" s="150" t="n"/>
      <c r="S443" s="153" t="n"/>
    </row>
    <row r="444" ht="36" customHeight="1">
      <c r="A444" s="46" t="n">
        <v>2774</v>
      </c>
      <c r="B444" s="4">
        <f>+VLOOKUP($A444,MAGAZZINO!$B$2:$M$100000,2,FALSE)</f>
        <v/>
      </c>
      <c r="C444" s="29">
        <f>+VLOOKUP($A444,MAGAZZINO!$B$2:$M$100000,3,FALSE)</f>
        <v/>
      </c>
      <c r="D444" s="3">
        <f>+VLOOKUP($A444,MAGAZZINO!$B$2:$M$100000,4,FALSE)</f>
        <v/>
      </c>
      <c r="E444" s="3">
        <f>+VLOOKUP($A444,MAGAZZINO!$B$2:$M$100000,5,FALSE)</f>
        <v/>
      </c>
      <c r="F444" s="3">
        <f>+VLOOKUP($A444,MAGAZZINO!$B$2:$M$100000,6,FALSE)</f>
        <v/>
      </c>
      <c r="G444" s="3">
        <f>+VLOOKUP($A444,MAGAZZINO!$B$2:$M$100000,7,FALSE)</f>
        <v/>
      </c>
      <c r="H444" s="3">
        <f>+VLOOKUP($A444,MAGAZZINO!$B$2:$M$100000,8,FALSE)</f>
        <v/>
      </c>
      <c r="I444" s="3">
        <f>+VLOOKUP($A444,MAGAZZINO!$B$2:$M$100000,9,FALSE)</f>
        <v/>
      </c>
      <c r="J444" s="3">
        <f>+VLOOKUP($A444,MAGAZZINO!$B$2:$M$100000,10,FALSE)</f>
        <v/>
      </c>
      <c r="K444" s="3">
        <f>+VLOOKUP($A444,MAGAZZINO!$B$2:$M$100000,11,FALSE)</f>
        <v/>
      </c>
      <c r="L444" s="5">
        <f>+VLOOKUP($A444,MAGAZZINO!$B$2:$M$100000,12,FALSE)</f>
        <v/>
      </c>
      <c r="M444" s="47" t="n"/>
      <c r="N444" s="88" t="n">
        <v>45771</v>
      </c>
      <c r="O444" s="156" t="inlineStr">
        <is>
          <t>BIN HUMAID NATIONAL TRADING CO. (ARABIA SAUDITA)</t>
        </is>
      </c>
      <c r="P444" s="154" t="inlineStr">
        <is>
          <t>IMPORT LICENSE N. 7004424417/8/B/81 VALIDA FINO AL 28/04/2027                                                              AUT. ESPORTAZIONE MULTIPLA N. 6B/2025/1M RILASCIATA IL 24/02/2025   (LICENZA DI SCARICO N. 6B/2025/2S RILASCIATA IL 15/04/2025)</t>
        </is>
      </c>
      <c r="Q444" s="150" t="n"/>
      <c r="R444" s="150" t="n"/>
      <c r="S444" s="153" t="n"/>
    </row>
    <row r="445" ht="36" customHeight="1">
      <c r="A445" s="46" t="n">
        <v>2775</v>
      </c>
      <c r="B445" s="4">
        <f>+VLOOKUP($A445,MAGAZZINO!$B$2:$M$100000,2,FALSE)</f>
        <v/>
      </c>
      <c r="C445" s="29">
        <f>+VLOOKUP($A445,MAGAZZINO!$B$2:$M$100000,3,FALSE)</f>
        <v/>
      </c>
      <c r="D445" s="3">
        <f>+VLOOKUP($A445,MAGAZZINO!$B$2:$M$100000,4,FALSE)</f>
        <v/>
      </c>
      <c r="E445" s="3">
        <f>+VLOOKUP($A445,MAGAZZINO!$B$2:$M$100000,5,FALSE)</f>
        <v/>
      </c>
      <c r="F445" s="3">
        <f>+VLOOKUP($A445,MAGAZZINO!$B$2:$M$100000,6,FALSE)</f>
        <v/>
      </c>
      <c r="G445" s="3">
        <f>+VLOOKUP($A445,MAGAZZINO!$B$2:$M$100000,7,FALSE)</f>
        <v/>
      </c>
      <c r="H445" s="3">
        <f>+VLOOKUP($A445,MAGAZZINO!$B$2:$M$100000,8,FALSE)</f>
        <v/>
      </c>
      <c r="I445" s="3">
        <f>+VLOOKUP($A445,MAGAZZINO!$B$2:$M$100000,9,FALSE)</f>
        <v/>
      </c>
      <c r="J445" s="3">
        <f>+VLOOKUP($A445,MAGAZZINO!$B$2:$M$100000,10,FALSE)</f>
        <v/>
      </c>
      <c r="K445" s="3">
        <f>+VLOOKUP($A445,MAGAZZINO!$B$2:$M$100000,11,FALSE)</f>
        <v/>
      </c>
      <c r="L445" s="5">
        <f>+VLOOKUP($A445,MAGAZZINO!$B$2:$M$100000,12,FALSE)</f>
        <v/>
      </c>
      <c r="M445" s="47" t="n"/>
      <c r="N445" s="88" t="n">
        <v>45771</v>
      </c>
      <c r="O445" s="156" t="inlineStr">
        <is>
          <t>BIN HUMAID NATIONAL TRADING CO. (ARABIA SAUDITA)</t>
        </is>
      </c>
      <c r="P445" s="154" t="inlineStr">
        <is>
          <t>IMPORT LICENSE N. 7004424417/8/B/81 VALIDA FINO AL 28/04/2027                                                              AUT. ESPORTAZIONE MULTIPLA N. 6B/2025/1M RILASCIATA IL 24/02/2025   (LICENZA DI SCARICO N. 6B/2025/2S RILASCIATA IL 15/04/2025)</t>
        </is>
      </c>
      <c r="Q445" s="150" t="n"/>
      <c r="R445" s="150" t="n"/>
      <c r="S445" s="153" t="n"/>
    </row>
    <row r="446" ht="36" customHeight="1">
      <c r="A446" s="46" t="n">
        <v>2776</v>
      </c>
      <c r="B446" s="4">
        <f>+VLOOKUP($A446,MAGAZZINO!$B$2:$M$100000,2,FALSE)</f>
        <v/>
      </c>
      <c r="C446" s="29">
        <f>+VLOOKUP($A446,MAGAZZINO!$B$2:$M$100000,3,FALSE)</f>
        <v/>
      </c>
      <c r="D446" s="3">
        <f>+VLOOKUP($A446,MAGAZZINO!$B$2:$M$100000,4,FALSE)</f>
        <v/>
      </c>
      <c r="E446" s="3">
        <f>+VLOOKUP($A446,MAGAZZINO!$B$2:$M$100000,5,FALSE)</f>
        <v/>
      </c>
      <c r="F446" s="3">
        <f>+VLOOKUP($A446,MAGAZZINO!$B$2:$M$100000,6,FALSE)</f>
        <v/>
      </c>
      <c r="G446" s="3">
        <f>+VLOOKUP($A446,MAGAZZINO!$B$2:$M$100000,7,FALSE)</f>
        <v/>
      </c>
      <c r="H446" s="3">
        <f>+VLOOKUP($A446,MAGAZZINO!$B$2:$M$100000,8,FALSE)</f>
        <v/>
      </c>
      <c r="I446" s="3">
        <f>+VLOOKUP($A446,MAGAZZINO!$B$2:$M$100000,9,FALSE)</f>
        <v/>
      </c>
      <c r="J446" s="3">
        <f>+VLOOKUP($A446,MAGAZZINO!$B$2:$M$100000,10,FALSE)</f>
        <v/>
      </c>
      <c r="K446" s="3">
        <f>+VLOOKUP($A446,MAGAZZINO!$B$2:$M$100000,11,FALSE)</f>
        <v/>
      </c>
      <c r="L446" s="5">
        <f>+VLOOKUP($A446,MAGAZZINO!$B$2:$M$100000,12,FALSE)</f>
        <v/>
      </c>
      <c r="M446" s="47" t="n"/>
      <c r="N446" s="88" t="n">
        <v>45771</v>
      </c>
      <c r="O446" s="156" t="inlineStr">
        <is>
          <t>BIN HUMAID NATIONAL TRADING CO. (ARABIA SAUDITA)</t>
        </is>
      </c>
      <c r="P446" s="154" t="inlineStr">
        <is>
          <t>IMPORT LICENSE N. 7004424417/8/B/81 VALIDA FINO AL 28/04/2027                                                              AUT. ESPORTAZIONE MULTIPLA N. 6B/2025/1M RILASCIATA IL 24/02/2025   (LICENZA DI SCARICO N. 6B/2025/2S RILASCIATA IL 15/04/2025)</t>
        </is>
      </c>
      <c r="Q446" s="150" t="n"/>
      <c r="R446" s="150" t="n"/>
      <c r="S446" s="153" t="n"/>
    </row>
    <row r="447" ht="36" customHeight="1">
      <c r="A447" s="46" t="n">
        <v>2777</v>
      </c>
      <c r="B447" s="4">
        <f>+VLOOKUP($A447,MAGAZZINO!$B$2:$M$100000,2,FALSE)</f>
        <v/>
      </c>
      <c r="C447" s="29">
        <f>+VLOOKUP($A447,MAGAZZINO!$B$2:$M$100000,3,FALSE)</f>
        <v/>
      </c>
      <c r="D447" s="3">
        <f>+VLOOKUP($A447,MAGAZZINO!$B$2:$M$100000,4,FALSE)</f>
        <v/>
      </c>
      <c r="E447" s="3">
        <f>+VLOOKUP($A447,MAGAZZINO!$B$2:$M$100000,5,FALSE)</f>
        <v/>
      </c>
      <c r="F447" s="3">
        <f>+VLOOKUP($A447,MAGAZZINO!$B$2:$M$100000,6,FALSE)</f>
        <v/>
      </c>
      <c r="G447" s="3">
        <f>+VLOOKUP($A447,MAGAZZINO!$B$2:$M$100000,7,FALSE)</f>
        <v/>
      </c>
      <c r="H447" s="3">
        <f>+VLOOKUP($A447,MAGAZZINO!$B$2:$M$100000,8,FALSE)</f>
        <v/>
      </c>
      <c r="I447" s="3">
        <f>+VLOOKUP($A447,MAGAZZINO!$B$2:$M$100000,9,FALSE)</f>
        <v/>
      </c>
      <c r="J447" s="3">
        <f>+VLOOKUP($A447,MAGAZZINO!$B$2:$M$100000,10,FALSE)</f>
        <v/>
      </c>
      <c r="K447" s="3">
        <f>+VLOOKUP($A447,MAGAZZINO!$B$2:$M$100000,11,FALSE)</f>
        <v/>
      </c>
      <c r="L447" s="5">
        <f>+VLOOKUP($A447,MAGAZZINO!$B$2:$M$100000,12,FALSE)</f>
        <v/>
      </c>
      <c r="M447" s="47" t="n"/>
      <c r="N447" s="88" t="n">
        <v>45771</v>
      </c>
      <c r="O447" s="156" t="inlineStr">
        <is>
          <t>BIN HUMAID NATIONAL TRADING CO. (ARABIA SAUDITA)</t>
        </is>
      </c>
      <c r="P447" s="154" t="inlineStr">
        <is>
          <t>IMPORT LICENSE N. 7004424417/8/B/81 VALIDA FINO AL 28/04/2027                                                              AUT. ESPORTAZIONE MULTIPLA N. 6B/2025/1M RILASCIATA IL 24/02/2025   (LICENZA DI SCARICO N. 6B/2025/2S RILASCIATA IL 15/04/2025)</t>
        </is>
      </c>
      <c r="Q447" s="150" t="n"/>
      <c r="R447" s="150" t="n"/>
      <c r="S447" s="153" t="n"/>
    </row>
    <row r="448" ht="36" customHeight="1">
      <c r="A448" s="46" t="n">
        <v>2778</v>
      </c>
      <c r="B448" s="4">
        <f>+VLOOKUP($A448,MAGAZZINO!$B$2:$M$100000,2,FALSE)</f>
        <v/>
      </c>
      <c r="C448" s="29">
        <f>+VLOOKUP($A448,MAGAZZINO!$B$2:$M$100000,3,FALSE)</f>
        <v/>
      </c>
      <c r="D448" s="3">
        <f>+VLOOKUP($A448,MAGAZZINO!$B$2:$M$100000,4,FALSE)</f>
        <v/>
      </c>
      <c r="E448" s="3">
        <f>+VLOOKUP($A448,MAGAZZINO!$B$2:$M$100000,5,FALSE)</f>
        <v/>
      </c>
      <c r="F448" s="3">
        <f>+VLOOKUP($A448,MAGAZZINO!$B$2:$M$100000,6,FALSE)</f>
        <v/>
      </c>
      <c r="G448" s="3">
        <f>+VLOOKUP($A448,MAGAZZINO!$B$2:$M$100000,7,FALSE)</f>
        <v/>
      </c>
      <c r="H448" s="3">
        <f>+VLOOKUP($A448,MAGAZZINO!$B$2:$M$100000,8,FALSE)</f>
        <v/>
      </c>
      <c r="I448" s="3">
        <f>+VLOOKUP($A448,MAGAZZINO!$B$2:$M$100000,9,FALSE)</f>
        <v/>
      </c>
      <c r="J448" s="3">
        <f>+VLOOKUP($A448,MAGAZZINO!$B$2:$M$100000,10,FALSE)</f>
        <v/>
      </c>
      <c r="K448" s="3">
        <f>+VLOOKUP($A448,MAGAZZINO!$B$2:$M$100000,11,FALSE)</f>
        <v/>
      </c>
      <c r="L448" s="5">
        <f>+VLOOKUP($A448,MAGAZZINO!$B$2:$M$100000,12,FALSE)</f>
        <v/>
      </c>
      <c r="M448" s="47" t="n"/>
      <c r="N448" s="88" t="n">
        <v>45771</v>
      </c>
      <c r="O448" s="156" t="inlineStr">
        <is>
          <t>BIN HUMAID NATIONAL TRADING CO. (ARABIA SAUDITA)</t>
        </is>
      </c>
      <c r="P448" s="154" t="inlineStr">
        <is>
          <t>IMPORT LICENSE N. 7004424417/8/B/81 VALIDA FINO AL 28/04/2027                                                              AUT. ESPORTAZIONE MULTIPLA N. 6B/2025/1M RILASCIATA IL 24/02/2025   (LICENZA DI SCARICO N. 6B/2025/2S RILASCIATA IL 15/04/2025)</t>
        </is>
      </c>
      <c r="Q448" s="150" t="n"/>
      <c r="R448" s="150" t="n"/>
      <c r="S448" s="153" t="n"/>
    </row>
    <row r="449" ht="36" customHeight="1">
      <c r="A449" s="46" t="n">
        <v>2779</v>
      </c>
      <c r="B449" s="4">
        <f>+VLOOKUP($A449,MAGAZZINO!$B$2:$M$100000,2,FALSE)</f>
        <v/>
      </c>
      <c r="C449" s="29">
        <f>+VLOOKUP($A449,MAGAZZINO!$B$2:$M$100000,3,FALSE)</f>
        <v/>
      </c>
      <c r="D449" s="3">
        <f>+VLOOKUP($A449,MAGAZZINO!$B$2:$M$100000,4,FALSE)</f>
        <v/>
      </c>
      <c r="E449" s="3">
        <f>+VLOOKUP($A449,MAGAZZINO!$B$2:$M$100000,5,FALSE)</f>
        <v/>
      </c>
      <c r="F449" s="3">
        <f>+VLOOKUP($A449,MAGAZZINO!$B$2:$M$100000,6,FALSE)</f>
        <v/>
      </c>
      <c r="G449" s="3">
        <f>+VLOOKUP($A449,MAGAZZINO!$B$2:$M$100000,7,FALSE)</f>
        <v/>
      </c>
      <c r="H449" s="3">
        <f>+VLOOKUP($A449,MAGAZZINO!$B$2:$M$100000,8,FALSE)</f>
        <v/>
      </c>
      <c r="I449" s="3">
        <f>+VLOOKUP($A449,MAGAZZINO!$B$2:$M$100000,9,FALSE)</f>
        <v/>
      </c>
      <c r="J449" s="3">
        <f>+VLOOKUP($A449,MAGAZZINO!$B$2:$M$100000,10,FALSE)</f>
        <v/>
      </c>
      <c r="K449" s="3">
        <f>+VLOOKUP($A449,MAGAZZINO!$B$2:$M$100000,11,FALSE)</f>
        <v/>
      </c>
      <c r="L449" s="5">
        <f>+VLOOKUP($A449,MAGAZZINO!$B$2:$M$100000,12,FALSE)</f>
        <v/>
      </c>
      <c r="M449" s="47" t="n"/>
      <c r="N449" s="88" t="n">
        <v>45771</v>
      </c>
      <c r="O449" s="156" t="inlineStr">
        <is>
          <t>BIN HUMAID NATIONAL TRADING CO. (ARABIA SAUDITA)</t>
        </is>
      </c>
      <c r="P449" s="154" t="inlineStr">
        <is>
          <t>IMPORT LICENSE N. 7004424417/8/B/81 VALIDA FINO AL 28/04/2027                                                              AUT. ESPORTAZIONE MULTIPLA N. 6B/2025/1M RILASCIATA IL 24/02/2025   (LICENZA DI SCARICO N. 6B/2025/2S RILASCIATA IL 15/04/2025)</t>
        </is>
      </c>
      <c r="Q449" s="150" t="n"/>
      <c r="R449" s="150" t="n"/>
      <c r="S449" s="153" t="n"/>
    </row>
    <row r="450" ht="36" customHeight="1">
      <c r="A450" s="46" t="n">
        <v>2780</v>
      </c>
      <c r="B450" s="4">
        <f>+VLOOKUP($A450,MAGAZZINO!$B$2:$M$100000,2,FALSE)</f>
        <v/>
      </c>
      <c r="C450" s="29">
        <f>+VLOOKUP($A450,MAGAZZINO!$B$2:$M$100000,3,FALSE)</f>
        <v/>
      </c>
      <c r="D450" s="3">
        <f>+VLOOKUP($A450,MAGAZZINO!$B$2:$M$100000,4,FALSE)</f>
        <v/>
      </c>
      <c r="E450" s="3">
        <f>+VLOOKUP($A450,MAGAZZINO!$B$2:$M$100000,5,FALSE)</f>
        <v/>
      </c>
      <c r="F450" s="3">
        <f>+VLOOKUP($A450,MAGAZZINO!$B$2:$M$100000,6,FALSE)</f>
        <v/>
      </c>
      <c r="G450" s="3">
        <f>+VLOOKUP($A450,MAGAZZINO!$B$2:$M$100000,7,FALSE)</f>
        <v/>
      </c>
      <c r="H450" s="3">
        <f>+VLOOKUP($A450,MAGAZZINO!$B$2:$M$100000,8,FALSE)</f>
        <v/>
      </c>
      <c r="I450" s="3">
        <f>+VLOOKUP($A450,MAGAZZINO!$B$2:$M$100000,9,FALSE)</f>
        <v/>
      </c>
      <c r="J450" s="3">
        <f>+VLOOKUP($A450,MAGAZZINO!$B$2:$M$100000,10,FALSE)</f>
        <v/>
      </c>
      <c r="K450" s="3">
        <f>+VLOOKUP($A450,MAGAZZINO!$B$2:$M$100000,11,FALSE)</f>
        <v/>
      </c>
      <c r="L450" s="5">
        <f>+VLOOKUP($A450,MAGAZZINO!$B$2:$M$100000,12,FALSE)</f>
        <v/>
      </c>
      <c r="M450" s="47" t="n"/>
      <c r="N450" s="88" t="n">
        <v>45771</v>
      </c>
      <c r="O450" s="156" t="inlineStr">
        <is>
          <t>BIN HUMAID NATIONAL TRADING CO. (ARABIA SAUDITA)</t>
        </is>
      </c>
      <c r="P450" s="154" t="inlineStr">
        <is>
          <t>IMPORT LICENSE N. 7004424417/8/B/81 VALIDA FINO AL 28/04/2027                                                              AUT. ESPORTAZIONE MULTIPLA N. 6B/2025/1M RILASCIATA IL 24/02/2025   (LICENZA DI SCARICO N. 6B/2025/2S RILASCIATA IL 15/04/2025)</t>
        </is>
      </c>
      <c r="Q450" s="150" t="n"/>
      <c r="R450" s="150" t="n"/>
      <c r="S450" s="153" t="n"/>
    </row>
    <row r="451" ht="36" customHeight="1">
      <c r="A451" s="46" t="n">
        <v>2781</v>
      </c>
      <c r="B451" s="4">
        <f>+VLOOKUP($A451,MAGAZZINO!$B$2:$M$100000,2,FALSE)</f>
        <v/>
      </c>
      <c r="C451" s="29">
        <f>+VLOOKUP($A451,MAGAZZINO!$B$2:$M$100000,3,FALSE)</f>
        <v/>
      </c>
      <c r="D451" s="3">
        <f>+VLOOKUP($A451,MAGAZZINO!$B$2:$M$100000,4,FALSE)</f>
        <v/>
      </c>
      <c r="E451" s="3">
        <f>+VLOOKUP($A451,MAGAZZINO!$B$2:$M$100000,5,FALSE)</f>
        <v/>
      </c>
      <c r="F451" s="3">
        <f>+VLOOKUP($A451,MAGAZZINO!$B$2:$M$100000,6,FALSE)</f>
        <v/>
      </c>
      <c r="G451" s="3">
        <f>+VLOOKUP($A451,MAGAZZINO!$B$2:$M$100000,7,FALSE)</f>
        <v/>
      </c>
      <c r="H451" s="3">
        <f>+VLOOKUP($A451,MAGAZZINO!$B$2:$M$100000,8,FALSE)</f>
        <v/>
      </c>
      <c r="I451" s="3">
        <f>+VLOOKUP($A451,MAGAZZINO!$B$2:$M$100000,9,FALSE)</f>
        <v/>
      </c>
      <c r="J451" s="3">
        <f>+VLOOKUP($A451,MAGAZZINO!$B$2:$M$100000,10,FALSE)</f>
        <v/>
      </c>
      <c r="K451" s="3">
        <f>+VLOOKUP($A451,MAGAZZINO!$B$2:$M$100000,11,FALSE)</f>
        <v/>
      </c>
      <c r="L451" s="5">
        <f>+VLOOKUP($A451,MAGAZZINO!$B$2:$M$100000,12,FALSE)</f>
        <v/>
      </c>
      <c r="M451" s="47" t="n"/>
      <c r="N451" s="88" t="n">
        <v>45771</v>
      </c>
      <c r="O451" s="156" t="inlineStr">
        <is>
          <t>BIN HUMAID NATIONAL TRADING CO. (ARABIA SAUDITA)</t>
        </is>
      </c>
      <c r="P451" s="154" t="inlineStr">
        <is>
          <t>IMPORT LICENSE N. 7004424417/8/B/81 VALIDA FINO AL 28/04/2027                                                              AUT. ESPORTAZIONE MULTIPLA N. 6B/2025/1M RILASCIATA IL 24/02/2025   (LICENZA DI SCARICO N. 6B/2025/2S RILASCIATA IL 15/04/2025)</t>
        </is>
      </c>
      <c r="Q451" s="150" t="n"/>
      <c r="R451" s="150" t="n"/>
      <c r="S451" s="153" t="n"/>
    </row>
    <row r="452" ht="36" customHeight="1">
      <c r="A452" s="46" t="n">
        <v>2782</v>
      </c>
      <c r="B452" s="4">
        <f>+VLOOKUP($A452,MAGAZZINO!$B$2:$M$100000,2,FALSE)</f>
        <v/>
      </c>
      <c r="C452" s="29">
        <f>+VLOOKUP($A452,MAGAZZINO!$B$2:$M$100000,3,FALSE)</f>
        <v/>
      </c>
      <c r="D452" s="3">
        <f>+VLOOKUP($A452,MAGAZZINO!$B$2:$M$100000,4,FALSE)</f>
        <v/>
      </c>
      <c r="E452" s="3">
        <f>+VLOOKUP($A452,MAGAZZINO!$B$2:$M$100000,5,FALSE)</f>
        <v/>
      </c>
      <c r="F452" s="3">
        <f>+VLOOKUP($A452,MAGAZZINO!$B$2:$M$100000,6,FALSE)</f>
        <v/>
      </c>
      <c r="G452" s="3">
        <f>+VLOOKUP($A452,MAGAZZINO!$B$2:$M$100000,7,FALSE)</f>
        <v/>
      </c>
      <c r="H452" s="3">
        <f>+VLOOKUP($A452,MAGAZZINO!$B$2:$M$100000,8,FALSE)</f>
        <v/>
      </c>
      <c r="I452" s="3">
        <f>+VLOOKUP($A452,MAGAZZINO!$B$2:$M$100000,9,FALSE)</f>
        <v/>
      </c>
      <c r="J452" s="3">
        <f>+VLOOKUP($A452,MAGAZZINO!$B$2:$M$100000,10,FALSE)</f>
        <v/>
      </c>
      <c r="K452" s="3">
        <f>+VLOOKUP($A452,MAGAZZINO!$B$2:$M$100000,11,FALSE)</f>
        <v/>
      </c>
      <c r="L452" s="5">
        <f>+VLOOKUP($A452,MAGAZZINO!$B$2:$M$100000,12,FALSE)</f>
        <v/>
      </c>
      <c r="M452" s="47" t="n"/>
      <c r="N452" s="88" t="n">
        <v>45771</v>
      </c>
      <c r="O452" s="156" t="inlineStr">
        <is>
          <t>BIN HUMAID NATIONAL TRADING CO. (ARABIA SAUDITA)</t>
        </is>
      </c>
      <c r="P452" s="154" t="inlineStr">
        <is>
          <t>IMPORT LICENSE N. 7004424417/8/B/81 VALIDA FINO AL 28/04/2027                                                              AUT. ESPORTAZIONE MULTIPLA N. 6B/2025/1M RILASCIATA IL 24/02/2025   (LICENZA DI SCARICO N. 6B/2025/2S RILASCIATA IL 15/04/2025)</t>
        </is>
      </c>
      <c r="Q452" s="150" t="n"/>
      <c r="R452" s="150" t="n"/>
      <c r="S452" s="153" t="n"/>
    </row>
    <row r="453" ht="36" customHeight="1">
      <c r="A453" s="46" t="n">
        <v>2783</v>
      </c>
      <c r="B453" s="4">
        <f>+VLOOKUP($A453,MAGAZZINO!$B$2:$M$100000,2,FALSE)</f>
        <v/>
      </c>
      <c r="C453" s="29">
        <f>+VLOOKUP($A453,MAGAZZINO!$B$2:$M$100000,3,FALSE)</f>
        <v/>
      </c>
      <c r="D453" s="3">
        <f>+VLOOKUP($A453,MAGAZZINO!$B$2:$M$100000,4,FALSE)</f>
        <v/>
      </c>
      <c r="E453" s="3">
        <f>+VLOOKUP($A453,MAGAZZINO!$B$2:$M$100000,5,FALSE)</f>
        <v/>
      </c>
      <c r="F453" s="3">
        <f>+VLOOKUP($A453,MAGAZZINO!$B$2:$M$100000,6,FALSE)</f>
        <v/>
      </c>
      <c r="G453" s="3">
        <f>+VLOOKUP($A453,MAGAZZINO!$B$2:$M$100000,7,FALSE)</f>
        <v/>
      </c>
      <c r="H453" s="3">
        <f>+VLOOKUP($A453,MAGAZZINO!$B$2:$M$100000,8,FALSE)</f>
        <v/>
      </c>
      <c r="I453" s="3">
        <f>+VLOOKUP($A453,MAGAZZINO!$B$2:$M$100000,9,FALSE)</f>
        <v/>
      </c>
      <c r="J453" s="3">
        <f>+VLOOKUP($A453,MAGAZZINO!$B$2:$M$100000,10,FALSE)</f>
        <v/>
      </c>
      <c r="K453" s="3">
        <f>+VLOOKUP($A453,MAGAZZINO!$B$2:$M$100000,11,FALSE)</f>
        <v/>
      </c>
      <c r="L453" s="5">
        <f>+VLOOKUP($A453,MAGAZZINO!$B$2:$M$100000,12,FALSE)</f>
        <v/>
      </c>
      <c r="M453" s="47" t="n"/>
      <c r="N453" s="88" t="n">
        <v>45771</v>
      </c>
      <c r="O453" s="156" t="inlineStr">
        <is>
          <t>BIN HUMAID NATIONAL TRADING CO. (ARABIA SAUDITA)</t>
        </is>
      </c>
      <c r="P453" s="154" t="inlineStr">
        <is>
          <t>IMPORT LICENSE N. 7004424417/8/B/81 VALIDA FINO AL 28/04/2027                                                              AUT. ESPORTAZIONE MULTIPLA N. 6B/2025/1M RILASCIATA IL 24/02/2025   (LICENZA DI SCARICO N. 6B/2025/2S RILASCIATA IL 15/04/2025)</t>
        </is>
      </c>
      <c r="Q453" s="150" t="n"/>
      <c r="R453" s="150" t="n"/>
      <c r="S453" s="153" t="n"/>
    </row>
    <row r="454" ht="36" customHeight="1">
      <c r="A454" s="46" t="n">
        <v>2784</v>
      </c>
      <c r="B454" s="4">
        <f>+VLOOKUP($A454,MAGAZZINO!$B$2:$M$100000,2,FALSE)</f>
        <v/>
      </c>
      <c r="C454" s="29">
        <f>+VLOOKUP($A454,MAGAZZINO!$B$2:$M$100000,3,FALSE)</f>
        <v/>
      </c>
      <c r="D454" s="3">
        <f>+VLOOKUP($A454,MAGAZZINO!$B$2:$M$100000,4,FALSE)</f>
        <v/>
      </c>
      <c r="E454" s="3">
        <f>+VLOOKUP($A454,MAGAZZINO!$B$2:$M$100000,5,FALSE)</f>
        <v/>
      </c>
      <c r="F454" s="3">
        <f>+VLOOKUP($A454,MAGAZZINO!$B$2:$M$100000,6,FALSE)</f>
        <v/>
      </c>
      <c r="G454" s="3">
        <f>+VLOOKUP($A454,MAGAZZINO!$B$2:$M$100000,7,FALSE)</f>
        <v/>
      </c>
      <c r="H454" s="3">
        <f>+VLOOKUP($A454,MAGAZZINO!$B$2:$M$100000,8,FALSE)</f>
        <v/>
      </c>
      <c r="I454" s="3">
        <f>+VLOOKUP($A454,MAGAZZINO!$B$2:$M$100000,9,FALSE)</f>
        <v/>
      </c>
      <c r="J454" s="3">
        <f>+VLOOKUP($A454,MAGAZZINO!$B$2:$M$100000,10,FALSE)</f>
        <v/>
      </c>
      <c r="K454" s="3">
        <f>+VLOOKUP($A454,MAGAZZINO!$B$2:$M$100000,11,FALSE)</f>
        <v/>
      </c>
      <c r="L454" s="5">
        <f>+VLOOKUP($A454,MAGAZZINO!$B$2:$M$100000,12,FALSE)</f>
        <v/>
      </c>
      <c r="M454" s="47" t="n"/>
      <c r="N454" s="88" t="n">
        <v>45771</v>
      </c>
      <c r="O454" s="156" t="inlineStr">
        <is>
          <t>BIN HUMAID NATIONAL TRADING CO. (ARABIA SAUDITA)</t>
        </is>
      </c>
      <c r="P454" s="154" t="inlineStr">
        <is>
          <t>IMPORT LICENSE N. 7004424417/8/B/81 VALIDA FINO AL 28/04/2027                                                              AUT. ESPORTAZIONE MULTIPLA N. 6B/2025/1M RILASCIATA IL 24/02/2025   (LICENZA DI SCARICO N. 6B/2025/2S RILASCIATA IL 15/04/2025)</t>
        </is>
      </c>
      <c r="Q454" s="150" t="n"/>
      <c r="R454" s="150" t="n"/>
      <c r="S454" s="153" t="n"/>
    </row>
    <row r="455" ht="36" customHeight="1">
      <c r="A455" s="46" t="n">
        <v>2785</v>
      </c>
      <c r="B455" s="4">
        <f>+VLOOKUP($A455,MAGAZZINO!$B$2:$M$100000,2,FALSE)</f>
        <v/>
      </c>
      <c r="C455" s="29">
        <f>+VLOOKUP($A455,MAGAZZINO!$B$2:$M$100000,3,FALSE)</f>
        <v/>
      </c>
      <c r="D455" s="3">
        <f>+VLOOKUP($A455,MAGAZZINO!$B$2:$M$100000,4,FALSE)</f>
        <v/>
      </c>
      <c r="E455" s="3">
        <f>+VLOOKUP($A455,MAGAZZINO!$B$2:$M$100000,5,FALSE)</f>
        <v/>
      </c>
      <c r="F455" s="3">
        <f>+VLOOKUP($A455,MAGAZZINO!$B$2:$M$100000,6,FALSE)</f>
        <v/>
      </c>
      <c r="G455" s="3">
        <f>+VLOOKUP($A455,MAGAZZINO!$B$2:$M$100000,7,FALSE)</f>
        <v/>
      </c>
      <c r="H455" s="3">
        <f>+VLOOKUP($A455,MAGAZZINO!$B$2:$M$100000,8,FALSE)</f>
        <v/>
      </c>
      <c r="I455" s="3">
        <f>+VLOOKUP($A455,MAGAZZINO!$B$2:$M$100000,9,FALSE)</f>
        <v/>
      </c>
      <c r="J455" s="3">
        <f>+VLOOKUP($A455,MAGAZZINO!$B$2:$M$100000,10,FALSE)</f>
        <v/>
      </c>
      <c r="K455" s="3">
        <f>+VLOOKUP($A455,MAGAZZINO!$B$2:$M$100000,11,FALSE)</f>
        <v/>
      </c>
      <c r="L455" s="5">
        <f>+VLOOKUP($A455,MAGAZZINO!$B$2:$M$100000,12,FALSE)</f>
        <v/>
      </c>
      <c r="M455" s="47" t="n"/>
      <c r="N455" s="88" t="n">
        <v>45771</v>
      </c>
      <c r="O455" s="156" t="inlineStr">
        <is>
          <t>BIN HUMAID NATIONAL TRADING CO. (ARABIA SAUDITA)</t>
        </is>
      </c>
      <c r="P455" s="154" t="inlineStr">
        <is>
          <t>IMPORT LICENSE N. 7004424417/8/B/81 VALIDA FINO AL 28/04/2027                                                              AUT. ESPORTAZIONE MULTIPLA N. 6B/2025/1M RILASCIATA IL 24/02/2025   (LICENZA DI SCARICO N. 6B/2025/2S RILASCIATA IL 15/04/2025)</t>
        </is>
      </c>
      <c r="Q455" s="150" t="n"/>
      <c r="R455" s="150" t="n"/>
      <c r="S455" s="153" t="n"/>
    </row>
    <row r="456" ht="36" customHeight="1">
      <c r="A456" s="46" t="n">
        <v>2786</v>
      </c>
      <c r="B456" s="4">
        <f>+VLOOKUP($A456,MAGAZZINO!$B$2:$M$100000,2,FALSE)</f>
        <v/>
      </c>
      <c r="C456" s="29">
        <f>+VLOOKUP($A456,MAGAZZINO!$B$2:$M$100000,3,FALSE)</f>
        <v/>
      </c>
      <c r="D456" s="3">
        <f>+VLOOKUP($A456,MAGAZZINO!$B$2:$M$100000,4,FALSE)</f>
        <v/>
      </c>
      <c r="E456" s="3">
        <f>+VLOOKUP($A456,MAGAZZINO!$B$2:$M$100000,5,FALSE)</f>
        <v/>
      </c>
      <c r="F456" s="3">
        <f>+VLOOKUP($A456,MAGAZZINO!$B$2:$M$100000,6,FALSE)</f>
        <v/>
      </c>
      <c r="G456" s="3">
        <f>+VLOOKUP($A456,MAGAZZINO!$B$2:$M$100000,7,FALSE)</f>
        <v/>
      </c>
      <c r="H456" s="3">
        <f>+VLOOKUP($A456,MAGAZZINO!$B$2:$M$100000,8,FALSE)</f>
        <v/>
      </c>
      <c r="I456" s="3">
        <f>+VLOOKUP($A456,MAGAZZINO!$B$2:$M$100000,9,FALSE)</f>
        <v/>
      </c>
      <c r="J456" s="3">
        <f>+VLOOKUP($A456,MAGAZZINO!$B$2:$M$100000,10,FALSE)</f>
        <v/>
      </c>
      <c r="K456" s="3">
        <f>+VLOOKUP($A456,MAGAZZINO!$B$2:$M$100000,11,FALSE)</f>
        <v/>
      </c>
      <c r="L456" s="5">
        <f>+VLOOKUP($A456,MAGAZZINO!$B$2:$M$100000,12,FALSE)</f>
        <v/>
      </c>
      <c r="M456" s="47" t="n"/>
      <c r="N456" s="88" t="n">
        <v>45771</v>
      </c>
      <c r="O456" s="156" t="inlineStr">
        <is>
          <t>BIN HUMAID NATIONAL TRADING CO. (ARABIA SAUDITA)</t>
        </is>
      </c>
      <c r="P456" s="154" t="inlineStr">
        <is>
          <t>IMPORT LICENSE N. 7004424417/8/B/81 VALIDA FINO AL 28/04/2027                                                              AUT. ESPORTAZIONE MULTIPLA N. 6B/2025/1M RILASCIATA IL 24/02/2025   (LICENZA DI SCARICO N. 6B/2025/2S RILASCIATA IL 15/04/2025)</t>
        </is>
      </c>
      <c r="Q456" s="150" t="n"/>
      <c r="R456" s="150" t="n"/>
      <c r="S456" s="153" t="n"/>
    </row>
    <row r="457" ht="36" customHeight="1">
      <c r="A457" s="46" t="n">
        <v>2787</v>
      </c>
      <c r="B457" s="4">
        <f>+VLOOKUP($A457,MAGAZZINO!$B$2:$M$100000,2,FALSE)</f>
        <v/>
      </c>
      <c r="C457" s="29">
        <f>+VLOOKUP($A457,MAGAZZINO!$B$2:$M$100000,3,FALSE)</f>
        <v/>
      </c>
      <c r="D457" s="3">
        <f>+VLOOKUP($A457,MAGAZZINO!$B$2:$M$100000,4,FALSE)</f>
        <v/>
      </c>
      <c r="E457" s="3">
        <f>+VLOOKUP($A457,MAGAZZINO!$B$2:$M$100000,5,FALSE)</f>
        <v/>
      </c>
      <c r="F457" s="3">
        <f>+VLOOKUP($A457,MAGAZZINO!$B$2:$M$100000,6,FALSE)</f>
        <v/>
      </c>
      <c r="G457" s="3">
        <f>+VLOOKUP($A457,MAGAZZINO!$B$2:$M$100000,7,FALSE)</f>
        <v/>
      </c>
      <c r="H457" s="3">
        <f>+VLOOKUP($A457,MAGAZZINO!$B$2:$M$100000,8,FALSE)</f>
        <v/>
      </c>
      <c r="I457" s="3">
        <f>+VLOOKUP($A457,MAGAZZINO!$B$2:$M$100000,9,FALSE)</f>
        <v/>
      </c>
      <c r="J457" s="3">
        <f>+VLOOKUP($A457,MAGAZZINO!$B$2:$M$100000,10,FALSE)</f>
        <v/>
      </c>
      <c r="K457" s="3">
        <f>+VLOOKUP($A457,MAGAZZINO!$B$2:$M$100000,11,FALSE)</f>
        <v/>
      </c>
      <c r="L457" s="5">
        <f>+VLOOKUP($A457,MAGAZZINO!$B$2:$M$100000,12,FALSE)</f>
        <v/>
      </c>
      <c r="M457" s="47" t="n"/>
      <c r="N457" s="88" t="n">
        <v>45771</v>
      </c>
      <c r="O457" s="156" t="inlineStr">
        <is>
          <t>BIN HUMAID NATIONAL TRADING CO. (ARABIA SAUDITA)</t>
        </is>
      </c>
      <c r="P457" s="154" t="inlineStr">
        <is>
          <t>IMPORT LICENSE N. 7004424417/8/B/81 VALIDA FINO AL 28/04/2027                                                              AUT. ESPORTAZIONE MULTIPLA N. 6B/2025/1M RILASCIATA IL 24/02/2025   (LICENZA DI SCARICO N. 6B/2025/2S RILASCIATA IL 15/04/2025)</t>
        </is>
      </c>
      <c r="Q457" s="150" t="n"/>
      <c r="R457" s="150" t="n"/>
      <c r="S457" s="153" t="n"/>
    </row>
    <row r="458" ht="36" customHeight="1">
      <c r="A458" s="46" t="n">
        <v>2788</v>
      </c>
      <c r="B458" s="4">
        <f>+VLOOKUP($A458,MAGAZZINO!$B$2:$M$100000,2,FALSE)</f>
        <v/>
      </c>
      <c r="C458" s="29">
        <f>+VLOOKUP($A458,MAGAZZINO!$B$2:$M$100000,3,FALSE)</f>
        <v/>
      </c>
      <c r="D458" s="3">
        <f>+VLOOKUP($A458,MAGAZZINO!$B$2:$M$100000,4,FALSE)</f>
        <v/>
      </c>
      <c r="E458" s="3">
        <f>+VLOOKUP($A458,MAGAZZINO!$B$2:$M$100000,5,FALSE)</f>
        <v/>
      </c>
      <c r="F458" s="3">
        <f>+VLOOKUP($A458,MAGAZZINO!$B$2:$M$100000,6,FALSE)</f>
        <v/>
      </c>
      <c r="G458" s="3">
        <f>+VLOOKUP($A458,MAGAZZINO!$B$2:$M$100000,7,FALSE)</f>
        <v/>
      </c>
      <c r="H458" s="3">
        <f>+VLOOKUP($A458,MAGAZZINO!$B$2:$M$100000,8,FALSE)</f>
        <v/>
      </c>
      <c r="I458" s="3">
        <f>+VLOOKUP($A458,MAGAZZINO!$B$2:$M$100000,9,FALSE)</f>
        <v/>
      </c>
      <c r="J458" s="3">
        <f>+VLOOKUP($A458,MAGAZZINO!$B$2:$M$100000,10,FALSE)</f>
        <v/>
      </c>
      <c r="K458" s="3">
        <f>+VLOOKUP($A458,MAGAZZINO!$B$2:$M$100000,11,FALSE)</f>
        <v/>
      </c>
      <c r="L458" s="5">
        <f>+VLOOKUP($A458,MAGAZZINO!$B$2:$M$100000,12,FALSE)</f>
        <v/>
      </c>
      <c r="M458" s="47" t="n"/>
      <c r="N458" s="88" t="n">
        <v>45771</v>
      </c>
      <c r="O458" s="156" t="inlineStr">
        <is>
          <t>BIN HUMAID NATIONAL TRADING CO. (ARABIA SAUDITA)</t>
        </is>
      </c>
      <c r="P458" s="154" t="inlineStr">
        <is>
          <t>IMPORT LICENSE N. 7004424417/8/B/81 VALIDA FINO AL 28/04/2027                                                              AUT. ESPORTAZIONE MULTIPLA N. 6B/2025/1M RILASCIATA IL 24/02/2025   (LICENZA DI SCARICO N. 6B/2025/2S RILASCIATA IL 15/04/2025)</t>
        </is>
      </c>
      <c r="Q458" s="150" t="n"/>
      <c r="R458" s="150" t="n"/>
      <c r="S458" s="153" t="n"/>
    </row>
    <row r="459" ht="36" customHeight="1">
      <c r="A459" s="46" t="n">
        <v>2789</v>
      </c>
      <c r="B459" s="4">
        <f>+VLOOKUP($A459,MAGAZZINO!$B$2:$M$100000,2,FALSE)</f>
        <v/>
      </c>
      <c r="C459" s="29">
        <f>+VLOOKUP($A459,MAGAZZINO!$B$2:$M$100000,3,FALSE)</f>
        <v/>
      </c>
      <c r="D459" s="3">
        <f>+VLOOKUP($A459,MAGAZZINO!$B$2:$M$100000,4,FALSE)</f>
        <v/>
      </c>
      <c r="E459" s="3">
        <f>+VLOOKUP($A459,MAGAZZINO!$B$2:$M$100000,5,FALSE)</f>
        <v/>
      </c>
      <c r="F459" s="3">
        <f>+VLOOKUP($A459,MAGAZZINO!$B$2:$M$100000,6,FALSE)</f>
        <v/>
      </c>
      <c r="G459" s="3">
        <f>+VLOOKUP($A459,MAGAZZINO!$B$2:$M$100000,7,FALSE)</f>
        <v/>
      </c>
      <c r="H459" s="3">
        <f>+VLOOKUP($A459,MAGAZZINO!$B$2:$M$100000,8,FALSE)</f>
        <v/>
      </c>
      <c r="I459" s="3">
        <f>+VLOOKUP($A459,MAGAZZINO!$B$2:$M$100000,9,FALSE)</f>
        <v/>
      </c>
      <c r="J459" s="3">
        <f>+VLOOKUP($A459,MAGAZZINO!$B$2:$M$100000,10,FALSE)</f>
        <v/>
      </c>
      <c r="K459" s="3">
        <f>+VLOOKUP($A459,MAGAZZINO!$B$2:$M$100000,11,FALSE)</f>
        <v/>
      </c>
      <c r="L459" s="5">
        <f>+VLOOKUP($A459,MAGAZZINO!$B$2:$M$100000,12,FALSE)</f>
        <v/>
      </c>
      <c r="M459" s="47" t="n"/>
      <c r="N459" s="88" t="n">
        <v>45771</v>
      </c>
      <c r="O459" s="156" t="inlineStr">
        <is>
          <t>BIN HUMAID NATIONAL TRADING CO. (ARABIA SAUDITA)</t>
        </is>
      </c>
      <c r="P459" s="154" t="inlineStr">
        <is>
          <t>IMPORT LICENSE N. 7004424417/8/B/81 VALIDA FINO AL 28/04/2027                                                              AUT. ESPORTAZIONE MULTIPLA N. 6B/2025/1M RILASCIATA IL 24/02/2025   (LICENZA DI SCARICO N. 6B/2025/2S RILASCIATA IL 15/04/2025)</t>
        </is>
      </c>
      <c r="Q459" s="150" t="n"/>
      <c r="R459" s="150" t="n"/>
      <c r="S459" s="153" t="n"/>
    </row>
    <row r="460" ht="36" customHeight="1">
      <c r="A460" s="46" t="n">
        <v>2790</v>
      </c>
      <c r="B460" s="4">
        <f>+VLOOKUP($A460,MAGAZZINO!$B$2:$M$100000,2,FALSE)</f>
        <v/>
      </c>
      <c r="C460" s="29">
        <f>+VLOOKUP($A460,MAGAZZINO!$B$2:$M$100000,3,FALSE)</f>
        <v/>
      </c>
      <c r="D460" s="3">
        <f>+VLOOKUP($A460,MAGAZZINO!$B$2:$M$100000,4,FALSE)</f>
        <v/>
      </c>
      <c r="E460" s="3">
        <f>+VLOOKUP($A460,MAGAZZINO!$B$2:$M$100000,5,FALSE)</f>
        <v/>
      </c>
      <c r="F460" s="3">
        <f>+VLOOKUP($A460,MAGAZZINO!$B$2:$M$100000,6,FALSE)</f>
        <v/>
      </c>
      <c r="G460" s="3">
        <f>+VLOOKUP($A460,MAGAZZINO!$B$2:$M$100000,7,FALSE)</f>
        <v/>
      </c>
      <c r="H460" s="3">
        <f>+VLOOKUP($A460,MAGAZZINO!$B$2:$M$100000,8,FALSE)</f>
        <v/>
      </c>
      <c r="I460" s="3">
        <f>+VLOOKUP($A460,MAGAZZINO!$B$2:$M$100000,9,FALSE)</f>
        <v/>
      </c>
      <c r="J460" s="3">
        <f>+VLOOKUP($A460,MAGAZZINO!$B$2:$M$100000,10,FALSE)</f>
        <v/>
      </c>
      <c r="K460" s="3">
        <f>+VLOOKUP($A460,MAGAZZINO!$B$2:$M$100000,11,FALSE)</f>
        <v/>
      </c>
      <c r="L460" s="5">
        <f>+VLOOKUP($A460,MAGAZZINO!$B$2:$M$100000,12,FALSE)</f>
        <v/>
      </c>
      <c r="M460" s="47" t="n"/>
      <c r="N460" s="88" t="n">
        <v>45771</v>
      </c>
      <c r="O460" s="156" t="inlineStr">
        <is>
          <t>BIN HUMAID NATIONAL TRADING CO. (ARABIA SAUDITA)</t>
        </is>
      </c>
      <c r="P460" s="154" t="inlineStr">
        <is>
          <t>IMPORT LICENSE N. 7004424417/8/B/81 VALIDA FINO AL 28/04/2027                                                              AUT. ESPORTAZIONE MULTIPLA N. 6B/2025/1M RILASCIATA IL 24/02/2025   (LICENZA DI SCARICO N. 6B/2025/2S RILASCIATA IL 15/04/2025)</t>
        </is>
      </c>
      <c r="Q460" s="150" t="n"/>
      <c r="R460" s="150" t="n"/>
      <c r="S460" s="153" t="n"/>
    </row>
    <row r="461" ht="36" customHeight="1">
      <c r="A461" s="46" t="n">
        <v>2791</v>
      </c>
      <c r="B461" s="4">
        <f>+VLOOKUP($A461,MAGAZZINO!$B$2:$M$100000,2,FALSE)</f>
        <v/>
      </c>
      <c r="C461" s="29">
        <f>+VLOOKUP($A461,MAGAZZINO!$B$2:$M$100000,3,FALSE)</f>
        <v/>
      </c>
      <c r="D461" s="3">
        <f>+VLOOKUP($A461,MAGAZZINO!$B$2:$M$100000,4,FALSE)</f>
        <v/>
      </c>
      <c r="E461" s="3">
        <f>+VLOOKUP($A461,MAGAZZINO!$B$2:$M$100000,5,FALSE)</f>
        <v/>
      </c>
      <c r="F461" s="3">
        <f>+VLOOKUP($A461,MAGAZZINO!$B$2:$M$100000,6,FALSE)</f>
        <v/>
      </c>
      <c r="G461" s="3">
        <f>+VLOOKUP($A461,MAGAZZINO!$B$2:$M$100000,7,FALSE)</f>
        <v/>
      </c>
      <c r="H461" s="3">
        <f>+VLOOKUP($A461,MAGAZZINO!$B$2:$M$100000,8,FALSE)</f>
        <v/>
      </c>
      <c r="I461" s="3">
        <f>+VLOOKUP($A461,MAGAZZINO!$B$2:$M$100000,9,FALSE)</f>
        <v/>
      </c>
      <c r="J461" s="3">
        <f>+VLOOKUP($A461,MAGAZZINO!$B$2:$M$100000,10,FALSE)</f>
        <v/>
      </c>
      <c r="K461" s="3">
        <f>+VLOOKUP($A461,MAGAZZINO!$B$2:$M$100000,11,FALSE)</f>
        <v/>
      </c>
      <c r="L461" s="5">
        <f>+VLOOKUP($A461,MAGAZZINO!$B$2:$M$100000,12,FALSE)</f>
        <v/>
      </c>
      <c r="M461" s="47" t="n"/>
      <c r="N461" s="88" t="n">
        <v>45771</v>
      </c>
      <c r="O461" s="156" t="inlineStr">
        <is>
          <t>BIN HUMAID NATIONAL TRADING CO. (ARABIA SAUDITA)</t>
        </is>
      </c>
      <c r="P461" s="154" t="inlineStr">
        <is>
          <t>IMPORT LICENSE N. 7004424417/8/B/81 VALIDA FINO AL 28/04/2027                                                              AUT. ESPORTAZIONE MULTIPLA N. 6B/2025/1M RILASCIATA IL 24/02/2025   (LICENZA DI SCARICO N. 6B/2025/2S RILASCIATA IL 15/04/2025)</t>
        </is>
      </c>
      <c r="Q461" s="150" t="n"/>
      <c r="R461" s="150" t="n"/>
      <c r="S461" s="153" t="n"/>
    </row>
    <row r="462" ht="36" customHeight="1">
      <c r="A462" s="46" t="n">
        <v>2792</v>
      </c>
      <c r="B462" s="4">
        <f>+VLOOKUP($A462,MAGAZZINO!$B$2:$M$100000,2,FALSE)</f>
        <v/>
      </c>
      <c r="C462" s="29">
        <f>+VLOOKUP($A462,MAGAZZINO!$B$2:$M$100000,3,FALSE)</f>
        <v/>
      </c>
      <c r="D462" s="3">
        <f>+VLOOKUP($A462,MAGAZZINO!$B$2:$M$100000,4,FALSE)</f>
        <v/>
      </c>
      <c r="E462" s="3">
        <f>+VLOOKUP($A462,MAGAZZINO!$B$2:$M$100000,5,FALSE)</f>
        <v/>
      </c>
      <c r="F462" s="3">
        <f>+VLOOKUP($A462,MAGAZZINO!$B$2:$M$100000,6,FALSE)</f>
        <v/>
      </c>
      <c r="G462" s="3">
        <f>+VLOOKUP($A462,MAGAZZINO!$B$2:$M$100000,7,FALSE)</f>
        <v/>
      </c>
      <c r="H462" s="3">
        <f>+VLOOKUP($A462,MAGAZZINO!$B$2:$M$100000,8,FALSE)</f>
        <v/>
      </c>
      <c r="I462" s="3">
        <f>+VLOOKUP($A462,MAGAZZINO!$B$2:$M$100000,9,FALSE)</f>
        <v/>
      </c>
      <c r="J462" s="3">
        <f>+VLOOKUP($A462,MAGAZZINO!$B$2:$M$100000,10,FALSE)</f>
        <v/>
      </c>
      <c r="K462" s="3">
        <f>+VLOOKUP($A462,MAGAZZINO!$B$2:$M$100000,11,FALSE)</f>
        <v/>
      </c>
      <c r="L462" s="5">
        <f>+VLOOKUP($A462,MAGAZZINO!$B$2:$M$100000,12,FALSE)</f>
        <v/>
      </c>
      <c r="M462" s="47" t="n"/>
      <c r="N462" s="88" t="n">
        <v>45771</v>
      </c>
      <c r="O462" s="156" t="inlineStr">
        <is>
          <t>BIN HUMAID NATIONAL TRADING CO. (ARABIA SAUDITA)</t>
        </is>
      </c>
      <c r="P462" s="154" t="inlineStr">
        <is>
          <t>IMPORT LICENSE N. 7004424417/8/B/81 VALIDA FINO AL 28/04/2027                                                              AUT. ESPORTAZIONE MULTIPLA N. 6B/2025/1M RILASCIATA IL 24/02/2025   (LICENZA DI SCARICO N. 6B/2025/2S RILASCIATA IL 15/04/2025)</t>
        </is>
      </c>
      <c r="Q462" s="150" t="n"/>
      <c r="R462" s="150" t="n"/>
      <c r="S462" s="153" t="n"/>
    </row>
    <row r="463" ht="36" customHeight="1">
      <c r="A463" s="46" t="n">
        <v>2793</v>
      </c>
      <c r="B463" s="4">
        <f>+VLOOKUP($A463,MAGAZZINO!$B$2:$M$100000,2,FALSE)</f>
        <v/>
      </c>
      <c r="C463" s="29">
        <f>+VLOOKUP($A463,MAGAZZINO!$B$2:$M$100000,3,FALSE)</f>
        <v/>
      </c>
      <c r="D463" s="3">
        <f>+VLOOKUP($A463,MAGAZZINO!$B$2:$M$100000,4,FALSE)</f>
        <v/>
      </c>
      <c r="E463" s="3">
        <f>+VLOOKUP($A463,MAGAZZINO!$B$2:$M$100000,5,FALSE)</f>
        <v/>
      </c>
      <c r="F463" s="3">
        <f>+VLOOKUP($A463,MAGAZZINO!$B$2:$M$100000,6,FALSE)</f>
        <v/>
      </c>
      <c r="G463" s="3">
        <f>+VLOOKUP($A463,MAGAZZINO!$B$2:$M$100000,7,FALSE)</f>
        <v/>
      </c>
      <c r="H463" s="3">
        <f>+VLOOKUP($A463,MAGAZZINO!$B$2:$M$100000,8,FALSE)</f>
        <v/>
      </c>
      <c r="I463" s="3">
        <f>+VLOOKUP($A463,MAGAZZINO!$B$2:$M$100000,9,FALSE)</f>
        <v/>
      </c>
      <c r="J463" s="3">
        <f>+VLOOKUP($A463,MAGAZZINO!$B$2:$M$100000,10,FALSE)</f>
        <v/>
      </c>
      <c r="K463" s="3">
        <f>+VLOOKUP($A463,MAGAZZINO!$B$2:$M$100000,11,FALSE)</f>
        <v/>
      </c>
      <c r="L463" s="5">
        <f>+VLOOKUP($A463,MAGAZZINO!$B$2:$M$100000,12,FALSE)</f>
        <v/>
      </c>
      <c r="M463" s="47" t="n"/>
      <c r="N463" s="88" t="n">
        <v>45771</v>
      </c>
      <c r="O463" s="156" t="inlineStr">
        <is>
          <t>BIN HUMAID NATIONAL TRADING CO. (ARABIA SAUDITA)</t>
        </is>
      </c>
      <c r="P463" s="154" t="inlineStr">
        <is>
          <t>IMPORT LICENSE N. 7004424417/8/B/81 VALIDA FINO AL 28/04/2027                                                              AUT. ESPORTAZIONE MULTIPLA N. 6B/2025/1M RILASCIATA IL 24/02/2025   (LICENZA DI SCARICO N. 6B/2025/2S RILASCIATA IL 15/04/2025)</t>
        </is>
      </c>
      <c r="Q463" s="150" t="n"/>
      <c r="R463" s="150" t="n"/>
      <c r="S463" s="153" t="n"/>
    </row>
    <row r="464" ht="36" customHeight="1">
      <c r="A464" s="46" t="n">
        <v>2794</v>
      </c>
      <c r="B464" s="4">
        <f>+VLOOKUP($A464,MAGAZZINO!$B$2:$M$100000,2,FALSE)</f>
        <v/>
      </c>
      <c r="C464" s="29">
        <f>+VLOOKUP($A464,MAGAZZINO!$B$2:$M$100000,3,FALSE)</f>
        <v/>
      </c>
      <c r="D464" s="3">
        <f>+VLOOKUP($A464,MAGAZZINO!$B$2:$M$100000,4,FALSE)</f>
        <v/>
      </c>
      <c r="E464" s="3">
        <f>+VLOOKUP($A464,MAGAZZINO!$B$2:$M$100000,5,FALSE)</f>
        <v/>
      </c>
      <c r="F464" s="3">
        <f>+VLOOKUP($A464,MAGAZZINO!$B$2:$M$100000,6,FALSE)</f>
        <v/>
      </c>
      <c r="G464" s="3">
        <f>+VLOOKUP($A464,MAGAZZINO!$B$2:$M$100000,7,FALSE)</f>
        <v/>
      </c>
      <c r="H464" s="3">
        <f>+VLOOKUP($A464,MAGAZZINO!$B$2:$M$100000,8,FALSE)</f>
        <v/>
      </c>
      <c r="I464" s="3">
        <f>+VLOOKUP($A464,MAGAZZINO!$B$2:$M$100000,9,FALSE)</f>
        <v/>
      </c>
      <c r="J464" s="3">
        <f>+VLOOKUP($A464,MAGAZZINO!$B$2:$M$100000,10,FALSE)</f>
        <v/>
      </c>
      <c r="K464" s="3">
        <f>+VLOOKUP($A464,MAGAZZINO!$B$2:$M$100000,11,FALSE)</f>
        <v/>
      </c>
      <c r="L464" s="5">
        <f>+VLOOKUP($A464,MAGAZZINO!$B$2:$M$100000,12,FALSE)</f>
        <v/>
      </c>
      <c r="M464" s="47" t="n"/>
      <c r="N464" s="88" t="n">
        <v>45771</v>
      </c>
      <c r="O464" s="156" t="inlineStr">
        <is>
          <t>BIN HUMAID NATIONAL TRADING CO. (ARABIA SAUDITA)</t>
        </is>
      </c>
      <c r="P464" s="154" t="inlineStr">
        <is>
          <t>IMPORT LICENSE N. 7004424417/8/B/81 VALIDA FINO AL 28/04/2027                                                              AUT. ESPORTAZIONE MULTIPLA N. 6B/2025/1M RILASCIATA IL 24/02/2025   (LICENZA DI SCARICO N. 6B/2025/2S RILASCIATA IL 15/04/2025)</t>
        </is>
      </c>
      <c r="Q464" s="150" t="n"/>
      <c r="R464" s="150" t="n"/>
      <c r="S464" s="153" t="n"/>
    </row>
    <row r="465" ht="36" customHeight="1">
      <c r="A465" s="46" t="n">
        <v>2795</v>
      </c>
      <c r="B465" s="4">
        <f>+VLOOKUP($A465,MAGAZZINO!$B$2:$M$100000,2,FALSE)</f>
        <v/>
      </c>
      <c r="C465" s="29">
        <f>+VLOOKUP($A465,MAGAZZINO!$B$2:$M$100000,3,FALSE)</f>
        <v/>
      </c>
      <c r="D465" s="3">
        <f>+VLOOKUP($A465,MAGAZZINO!$B$2:$M$100000,4,FALSE)</f>
        <v/>
      </c>
      <c r="E465" s="3">
        <f>+VLOOKUP($A465,MAGAZZINO!$B$2:$M$100000,5,FALSE)</f>
        <v/>
      </c>
      <c r="F465" s="3">
        <f>+VLOOKUP($A465,MAGAZZINO!$B$2:$M$100000,6,FALSE)</f>
        <v/>
      </c>
      <c r="G465" s="3">
        <f>+VLOOKUP($A465,MAGAZZINO!$B$2:$M$100000,7,FALSE)</f>
        <v/>
      </c>
      <c r="H465" s="3">
        <f>+VLOOKUP($A465,MAGAZZINO!$B$2:$M$100000,8,FALSE)</f>
        <v/>
      </c>
      <c r="I465" s="3">
        <f>+VLOOKUP($A465,MAGAZZINO!$B$2:$M$100000,9,FALSE)</f>
        <v/>
      </c>
      <c r="J465" s="3">
        <f>+VLOOKUP($A465,MAGAZZINO!$B$2:$M$100000,10,FALSE)</f>
        <v/>
      </c>
      <c r="K465" s="3">
        <f>+VLOOKUP($A465,MAGAZZINO!$B$2:$M$100000,11,FALSE)</f>
        <v/>
      </c>
      <c r="L465" s="5">
        <f>+VLOOKUP($A465,MAGAZZINO!$B$2:$M$100000,12,FALSE)</f>
        <v/>
      </c>
      <c r="M465" s="47" t="n"/>
      <c r="N465" s="88" t="n">
        <v>45771</v>
      </c>
      <c r="O465" s="156" t="inlineStr">
        <is>
          <t>BIN HUMAID NATIONAL TRADING CO. (ARABIA SAUDITA)</t>
        </is>
      </c>
      <c r="P465" s="154" t="inlineStr">
        <is>
          <t>IMPORT LICENSE N. 7004424417/8/B/81 VALIDA FINO AL 28/04/2027                                                              AUT. ESPORTAZIONE MULTIPLA N. 6B/2025/1M RILASCIATA IL 24/02/2025   (LICENZA DI SCARICO N. 6B/2025/2S RILASCIATA IL 15/04/2025)</t>
        </is>
      </c>
      <c r="Q465" s="150" t="n"/>
      <c r="R465" s="150" t="n"/>
      <c r="S465" s="153" t="n"/>
    </row>
    <row r="466" ht="36" customHeight="1">
      <c r="A466" s="46" t="n">
        <v>2796</v>
      </c>
      <c r="B466" s="4">
        <f>+VLOOKUP($A466,MAGAZZINO!$B$2:$M$100000,2,FALSE)</f>
        <v/>
      </c>
      <c r="C466" s="29">
        <f>+VLOOKUP($A466,MAGAZZINO!$B$2:$M$100000,3,FALSE)</f>
        <v/>
      </c>
      <c r="D466" s="3">
        <f>+VLOOKUP($A466,MAGAZZINO!$B$2:$M$100000,4,FALSE)</f>
        <v/>
      </c>
      <c r="E466" s="3">
        <f>+VLOOKUP($A466,MAGAZZINO!$B$2:$M$100000,5,FALSE)</f>
        <v/>
      </c>
      <c r="F466" s="3">
        <f>+VLOOKUP($A466,MAGAZZINO!$B$2:$M$100000,6,FALSE)</f>
        <v/>
      </c>
      <c r="G466" s="3">
        <f>+VLOOKUP($A466,MAGAZZINO!$B$2:$M$100000,7,FALSE)</f>
        <v/>
      </c>
      <c r="H466" s="3">
        <f>+VLOOKUP($A466,MAGAZZINO!$B$2:$M$100000,8,FALSE)</f>
        <v/>
      </c>
      <c r="I466" s="3">
        <f>+VLOOKUP($A466,MAGAZZINO!$B$2:$M$100000,9,FALSE)</f>
        <v/>
      </c>
      <c r="J466" s="3">
        <f>+VLOOKUP($A466,MAGAZZINO!$B$2:$M$100000,10,FALSE)</f>
        <v/>
      </c>
      <c r="K466" s="3">
        <f>+VLOOKUP($A466,MAGAZZINO!$B$2:$M$100000,11,FALSE)</f>
        <v/>
      </c>
      <c r="L466" s="5">
        <f>+VLOOKUP($A466,MAGAZZINO!$B$2:$M$100000,12,FALSE)</f>
        <v/>
      </c>
      <c r="M466" s="47" t="n"/>
      <c r="N466" s="88" t="n">
        <v>45771</v>
      </c>
      <c r="O466" s="156" t="inlineStr">
        <is>
          <t>BIN HUMAID NATIONAL TRADING CO. (ARABIA SAUDITA)</t>
        </is>
      </c>
      <c r="P466" s="154" t="inlineStr">
        <is>
          <t>IMPORT LICENSE N. 7004424417/8/B/81 VALIDA FINO AL 28/04/2027                                                              AUT. ESPORTAZIONE MULTIPLA N. 6B/2025/1M RILASCIATA IL 24/02/2025   (LICENZA DI SCARICO N. 6B/2025/2S RILASCIATA IL 15/04/2025)</t>
        </is>
      </c>
      <c r="Q466" s="150" t="n"/>
      <c r="R466" s="150" t="n"/>
      <c r="S466" s="153" t="n"/>
    </row>
    <row r="467" ht="36" customHeight="1">
      <c r="A467" s="46" t="n">
        <v>2797</v>
      </c>
      <c r="B467" s="4">
        <f>+VLOOKUP($A467,MAGAZZINO!$B$2:$M$100000,2,FALSE)</f>
        <v/>
      </c>
      <c r="C467" s="29">
        <f>+VLOOKUP($A467,MAGAZZINO!$B$2:$M$100000,3,FALSE)</f>
        <v/>
      </c>
      <c r="D467" s="3">
        <f>+VLOOKUP($A467,MAGAZZINO!$B$2:$M$100000,4,FALSE)</f>
        <v/>
      </c>
      <c r="E467" s="3">
        <f>+VLOOKUP($A467,MAGAZZINO!$B$2:$M$100000,5,FALSE)</f>
        <v/>
      </c>
      <c r="F467" s="3">
        <f>+VLOOKUP($A467,MAGAZZINO!$B$2:$M$100000,6,FALSE)</f>
        <v/>
      </c>
      <c r="G467" s="3">
        <f>+VLOOKUP($A467,MAGAZZINO!$B$2:$M$100000,7,FALSE)</f>
        <v/>
      </c>
      <c r="H467" s="3">
        <f>+VLOOKUP($A467,MAGAZZINO!$B$2:$M$100000,8,FALSE)</f>
        <v/>
      </c>
      <c r="I467" s="3">
        <f>+VLOOKUP($A467,MAGAZZINO!$B$2:$M$100000,9,FALSE)</f>
        <v/>
      </c>
      <c r="J467" s="3">
        <f>+VLOOKUP($A467,MAGAZZINO!$B$2:$M$100000,10,FALSE)</f>
        <v/>
      </c>
      <c r="K467" s="3">
        <f>+VLOOKUP($A467,MAGAZZINO!$B$2:$M$100000,11,FALSE)</f>
        <v/>
      </c>
      <c r="L467" s="5">
        <f>+VLOOKUP($A467,MAGAZZINO!$B$2:$M$100000,12,FALSE)</f>
        <v/>
      </c>
      <c r="M467" s="47" t="n"/>
      <c r="N467" s="88" t="n">
        <v>45771</v>
      </c>
      <c r="O467" s="156" t="inlineStr">
        <is>
          <t>BIN HUMAID NATIONAL TRADING CO. (ARABIA SAUDITA)</t>
        </is>
      </c>
      <c r="P467" s="154" t="inlineStr">
        <is>
          <t>IMPORT LICENSE N. 7004424417/8/B/81 VALIDA FINO AL 28/04/2027                                                              AUT. ESPORTAZIONE MULTIPLA N. 6B/2025/1M RILASCIATA IL 24/02/2025   (LICENZA DI SCARICO N. 6B/2025/2S RILASCIATA IL 15/04/2025)</t>
        </is>
      </c>
      <c r="Q467" s="150" t="n"/>
      <c r="R467" s="150" t="n"/>
      <c r="S467" s="153" t="n"/>
    </row>
    <row r="468" ht="36" customHeight="1">
      <c r="A468" s="46" t="n">
        <v>2798</v>
      </c>
      <c r="B468" s="4">
        <f>+VLOOKUP($A468,MAGAZZINO!$B$2:$M$100000,2,FALSE)</f>
        <v/>
      </c>
      <c r="C468" s="29">
        <f>+VLOOKUP($A468,MAGAZZINO!$B$2:$M$100000,3,FALSE)</f>
        <v/>
      </c>
      <c r="D468" s="3">
        <f>+VLOOKUP($A468,MAGAZZINO!$B$2:$M$100000,4,FALSE)</f>
        <v/>
      </c>
      <c r="E468" s="3">
        <f>+VLOOKUP($A468,MAGAZZINO!$B$2:$M$100000,5,FALSE)</f>
        <v/>
      </c>
      <c r="F468" s="3">
        <f>+VLOOKUP($A468,MAGAZZINO!$B$2:$M$100000,6,FALSE)</f>
        <v/>
      </c>
      <c r="G468" s="3">
        <f>+VLOOKUP($A468,MAGAZZINO!$B$2:$M$100000,7,FALSE)</f>
        <v/>
      </c>
      <c r="H468" s="3">
        <f>+VLOOKUP($A468,MAGAZZINO!$B$2:$M$100000,8,FALSE)</f>
        <v/>
      </c>
      <c r="I468" s="3">
        <f>+VLOOKUP($A468,MAGAZZINO!$B$2:$M$100000,9,FALSE)</f>
        <v/>
      </c>
      <c r="J468" s="3">
        <f>+VLOOKUP($A468,MAGAZZINO!$B$2:$M$100000,10,FALSE)</f>
        <v/>
      </c>
      <c r="K468" s="3">
        <f>+VLOOKUP($A468,MAGAZZINO!$B$2:$M$100000,11,FALSE)</f>
        <v/>
      </c>
      <c r="L468" s="5">
        <f>+VLOOKUP($A468,MAGAZZINO!$B$2:$M$100000,12,FALSE)</f>
        <v/>
      </c>
      <c r="M468" s="47" t="n"/>
      <c r="N468" s="88" t="n">
        <v>45771</v>
      </c>
      <c r="O468" s="156" t="inlineStr">
        <is>
          <t>BIN HUMAID NATIONAL TRADING CO. (ARABIA SAUDITA)</t>
        </is>
      </c>
      <c r="P468" s="154" t="inlineStr">
        <is>
          <t>IMPORT LICENSE N. 7004424417/8/B/81 VALIDA FINO AL 28/04/2027                                                              AUT. ESPORTAZIONE MULTIPLA N. 6B/2025/1M RILASCIATA IL 24/02/2025   (LICENZA DI SCARICO N. 6B/2025/2S RILASCIATA IL 15/04/2025)</t>
        </is>
      </c>
      <c r="Q468" s="150" t="n"/>
      <c r="R468" s="150" t="n"/>
      <c r="S468" s="153" t="n"/>
    </row>
    <row r="469" ht="36" customHeight="1">
      <c r="A469" s="46" t="n">
        <v>2799</v>
      </c>
      <c r="B469" s="4">
        <f>+VLOOKUP($A469,MAGAZZINO!$B$2:$M$100000,2,FALSE)</f>
        <v/>
      </c>
      <c r="C469" s="29">
        <f>+VLOOKUP($A469,MAGAZZINO!$B$2:$M$100000,3,FALSE)</f>
        <v/>
      </c>
      <c r="D469" s="3">
        <f>+VLOOKUP($A469,MAGAZZINO!$B$2:$M$100000,4,FALSE)</f>
        <v/>
      </c>
      <c r="E469" s="3">
        <f>+VLOOKUP($A469,MAGAZZINO!$B$2:$M$100000,5,FALSE)</f>
        <v/>
      </c>
      <c r="F469" s="3">
        <f>+VLOOKUP($A469,MAGAZZINO!$B$2:$M$100000,6,FALSE)</f>
        <v/>
      </c>
      <c r="G469" s="3">
        <f>+VLOOKUP($A469,MAGAZZINO!$B$2:$M$100000,7,FALSE)</f>
        <v/>
      </c>
      <c r="H469" s="3">
        <f>+VLOOKUP($A469,MAGAZZINO!$B$2:$M$100000,8,FALSE)</f>
        <v/>
      </c>
      <c r="I469" s="3">
        <f>+VLOOKUP($A469,MAGAZZINO!$B$2:$M$100000,9,FALSE)</f>
        <v/>
      </c>
      <c r="J469" s="3">
        <f>+VLOOKUP($A469,MAGAZZINO!$B$2:$M$100000,10,FALSE)</f>
        <v/>
      </c>
      <c r="K469" s="3">
        <f>+VLOOKUP($A469,MAGAZZINO!$B$2:$M$100000,11,FALSE)</f>
        <v/>
      </c>
      <c r="L469" s="5">
        <f>+VLOOKUP($A469,MAGAZZINO!$B$2:$M$100000,12,FALSE)</f>
        <v/>
      </c>
      <c r="M469" s="47" t="n"/>
      <c r="N469" s="88" t="n">
        <v>45771</v>
      </c>
      <c r="O469" s="156" t="inlineStr">
        <is>
          <t>BIN HUMAID NATIONAL TRADING CO. (ARABIA SAUDITA)</t>
        </is>
      </c>
      <c r="P469" s="154" t="inlineStr">
        <is>
          <t>IMPORT LICENSE N. 7004424417/8/B/81 VALIDA FINO AL 28/04/2027                                                              AUT. ESPORTAZIONE MULTIPLA N. 6B/2025/1M RILASCIATA IL 24/02/2025   (LICENZA DI SCARICO N. 6B/2025/2S RILASCIATA IL 15/04/2025)</t>
        </is>
      </c>
      <c r="Q469" s="150" t="n"/>
      <c r="R469" s="150" t="n"/>
      <c r="S469" s="153" t="n"/>
    </row>
    <row r="470" ht="36" customHeight="1">
      <c r="A470" s="46" t="n">
        <v>2800</v>
      </c>
      <c r="B470" s="4">
        <f>+VLOOKUP($A470,MAGAZZINO!$B$2:$M$100000,2,FALSE)</f>
        <v/>
      </c>
      <c r="C470" s="29">
        <f>+VLOOKUP($A470,MAGAZZINO!$B$2:$M$100000,3,FALSE)</f>
        <v/>
      </c>
      <c r="D470" s="3">
        <f>+VLOOKUP($A470,MAGAZZINO!$B$2:$M$100000,4,FALSE)</f>
        <v/>
      </c>
      <c r="E470" s="3">
        <f>+VLOOKUP($A470,MAGAZZINO!$B$2:$M$100000,5,FALSE)</f>
        <v/>
      </c>
      <c r="F470" s="3">
        <f>+VLOOKUP($A470,MAGAZZINO!$B$2:$M$100000,6,FALSE)</f>
        <v/>
      </c>
      <c r="G470" s="3">
        <f>+VLOOKUP($A470,MAGAZZINO!$B$2:$M$100000,7,FALSE)</f>
        <v/>
      </c>
      <c r="H470" s="3">
        <f>+VLOOKUP($A470,MAGAZZINO!$B$2:$M$100000,8,FALSE)</f>
        <v/>
      </c>
      <c r="I470" s="3">
        <f>+VLOOKUP($A470,MAGAZZINO!$B$2:$M$100000,9,FALSE)</f>
        <v/>
      </c>
      <c r="J470" s="3">
        <f>+VLOOKUP($A470,MAGAZZINO!$B$2:$M$100000,10,FALSE)</f>
        <v/>
      </c>
      <c r="K470" s="3">
        <f>+VLOOKUP($A470,MAGAZZINO!$B$2:$M$100000,11,FALSE)</f>
        <v/>
      </c>
      <c r="L470" s="5">
        <f>+VLOOKUP($A470,MAGAZZINO!$B$2:$M$100000,12,FALSE)</f>
        <v/>
      </c>
      <c r="M470" s="47" t="n"/>
      <c r="N470" s="88" t="n">
        <v>45771</v>
      </c>
      <c r="O470" s="156" t="inlineStr">
        <is>
          <t>BIN HUMAID NATIONAL TRADING CO. (ARABIA SAUDITA)</t>
        </is>
      </c>
      <c r="P470" s="154" t="inlineStr">
        <is>
          <t>IMPORT LICENSE N. 7004424417/8/B/81 VALIDA FINO AL 28/04/2027                                                              AUT. ESPORTAZIONE MULTIPLA N. 6B/2025/1M RILASCIATA IL 24/02/2025   (LICENZA DI SCARICO N. 6B/2025/2S RILASCIATA IL 15/04/2025)</t>
        </is>
      </c>
      <c r="Q470" s="150" t="n"/>
      <c r="R470" s="150" t="n"/>
      <c r="S470" s="153" t="n"/>
    </row>
    <row r="471" ht="36" customHeight="1">
      <c r="A471" s="46" t="n">
        <v>2801</v>
      </c>
      <c r="B471" s="4">
        <f>+VLOOKUP($A471,MAGAZZINO!$B$2:$M$100000,2,FALSE)</f>
        <v/>
      </c>
      <c r="C471" s="29">
        <f>+VLOOKUP($A471,MAGAZZINO!$B$2:$M$100000,3,FALSE)</f>
        <v/>
      </c>
      <c r="D471" s="3">
        <f>+VLOOKUP($A471,MAGAZZINO!$B$2:$M$100000,4,FALSE)</f>
        <v/>
      </c>
      <c r="E471" s="3">
        <f>+VLOOKUP($A471,MAGAZZINO!$B$2:$M$100000,5,FALSE)</f>
        <v/>
      </c>
      <c r="F471" s="3">
        <f>+VLOOKUP($A471,MAGAZZINO!$B$2:$M$100000,6,FALSE)</f>
        <v/>
      </c>
      <c r="G471" s="3">
        <f>+VLOOKUP($A471,MAGAZZINO!$B$2:$M$100000,7,FALSE)</f>
        <v/>
      </c>
      <c r="H471" s="3">
        <f>+VLOOKUP($A471,MAGAZZINO!$B$2:$M$100000,8,FALSE)</f>
        <v/>
      </c>
      <c r="I471" s="3">
        <f>+VLOOKUP($A471,MAGAZZINO!$B$2:$M$100000,9,FALSE)</f>
        <v/>
      </c>
      <c r="J471" s="3">
        <f>+VLOOKUP($A471,MAGAZZINO!$B$2:$M$100000,10,FALSE)</f>
        <v/>
      </c>
      <c r="K471" s="3">
        <f>+VLOOKUP($A471,MAGAZZINO!$B$2:$M$100000,11,FALSE)</f>
        <v/>
      </c>
      <c r="L471" s="5">
        <f>+VLOOKUP($A471,MAGAZZINO!$B$2:$M$100000,12,FALSE)</f>
        <v/>
      </c>
      <c r="M471" s="47" t="n"/>
      <c r="N471" s="88" t="n">
        <v>45771</v>
      </c>
      <c r="O471" s="156" t="inlineStr">
        <is>
          <t>BIN HUMAID NATIONAL TRADING CO. (ARABIA SAUDITA)</t>
        </is>
      </c>
      <c r="P471" s="154" t="inlineStr">
        <is>
          <t>IMPORT LICENSE N. 7004424417/8/B/81 VALIDA FINO AL 28/04/2027                                                              AUT. ESPORTAZIONE MULTIPLA N. 6B/2025/1M RILASCIATA IL 24/02/2025   (LICENZA DI SCARICO N. 6B/2025/2S RILASCIATA IL 15/04/2025)</t>
        </is>
      </c>
      <c r="Q471" s="150" t="n"/>
      <c r="R471" s="150" t="n"/>
      <c r="S471" s="153" t="n"/>
    </row>
    <row r="472" ht="36" customHeight="1">
      <c r="A472" s="46" t="n">
        <v>2802</v>
      </c>
      <c r="B472" s="4">
        <f>+VLOOKUP($A472,MAGAZZINO!$B$2:$M$100000,2,FALSE)</f>
        <v/>
      </c>
      <c r="C472" s="29">
        <f>+VLOOKUP($A472,MAGAZZINO!$B$2:$M$100000,3,FALSE)</f>
        <v/>
      </c>
      <c r="D472" s="3">
        <f>+VLOOKUP($A472,MAGAZZINO!$B$2:$M$100000,4,FALSE)</f>
        <v/>
      </c>
      <c r="E472" s="3">
        <f>+VLOOKUP($A472,MAGAZZINO!$B$2:$M$100000,5,FALSE)</f>
        <v/>
      </c>
      <c r="F472" s="3">
        <f>+VLOOKUP($A472,MAGAZZINO!$B$2:$M$100000,6,FALSE)</f>
        <v/>
      </c>
      <c r="G472" s="3">
        <f>+VLOOKUP($A472,MAGAZZINO!$B$2:$M$100000,7,FALSE)</f>
        <v/>
      </c>
      <c r="H472" s="3">
        <f>+VLOOKUP($A472,MAGAZZINO!$B$2:$M$100000,8,FALSE)</f>
        <v/>
      </c>
      <c r="I472" s="3">
        <f>+VLOOKUP($A472,MAGAZZINO!$B$2:$M$100000,9,FALSE)</f>
        <v/>
      </c>
      <c r="J472" s="3">
        <f>+VLOOKUP($A472,MAGAZZINO!$B$2:$M$100000,10,FALSE)</f>
        <v/>
      </c>
      <c r="K472" s="3">
        <f>+VLOOKUP($A472,MAGAZZINO!$B$2:$M$100000,11,FALSE)</f>
        <v/>
      </c>
      <c r="L472" s="5">
        <f>+VLOOKUP($A472,MAGAZZINO!$B$2:$M$100000,12,FALSE)</f>
        <v/>
      </c>
      <c r="M472" s="47" t="n"/>
      <c r="N472" s="88" t="n">
        <v>45771</v>
      </c>
      <c r="O472" s="156" t="inlineStr">
        <is>
          <t>BIN HUMAID NATIONAL TRADING CO. (ARABIA SAUDITA)</t>
        </is>
      </c>
      <c r="P472" s="154" t="inlineStr">
        <is>
          <t>IMPORT LICENSE N. 7004424417/8/B/81 VALIDA FINO AL 28/04/2027                                                              AUT. ESPORTAZIONE MULTIPLA N. 6B/2025/1M RILASCIATA IL 24/02/2025   (LICENZA DI SCARICO N. 6B/2025/2S RILASCIATA IL 15/04/2025)</t>
        </is>
      </c>
      <c r="Q472" s="150" t="n"/>
      <c r="R472" s="150" t="n"/>
      <c r="S472" s="153" t="n"/>
    </row>
    <row r="473" ht="36" customHeight="1">
      <c r="A473" s="46" t="n">
        <v>2803</v>
      </c>
      <c r="B473" s="4">
        <f>+VLOOKUP($A473,MAGAZZINO!$B$2:$M$100000,2,FALSE)</f>
        <v/>
      </c>
      <c r="C473" s="29">
        <f>+VLOOKUP($A473,MAGAZZINO!$B$2:$M$100000,3,FALSE)</f>
        <v/>
      </c>
      <c r="D473" s="3">
        <f>+VLOOKUP($A473,MAGAZZINO!$B$2:$M$100000,4,FALSE)</f>
        <v/>
      </c>
      <c r="E473" s="3">
        <f>+VLOOKUP($A473,MAGAZZINO!$B$2:$M$100000,5,FALSE)</f>
        <v/>
      </c>
      <c r="F473" s="3">
        <f>+VLOOKUP($A473,MAGAZZINO!$B$2:$M$100000,6,FALSE)</f>
        <v/>
      </c>
      <c r="G473" s="3">
        <f>+VLOOKUP($A473,MAGAZZINO!$B$2:$M$100000,7,FALSE)</f>
        <v/>
      </c>
      <c r="H473" s="3">
        <f>+VLOOKUP($A473,MAGAZZINO!$B$2:$M$100000,8,FALSE)</f>
        <v/>
      </c>
      <c r="I473" s="3">
        <f>+VLOOKUP($A473,MAGAZZINO!$B$2:$M$100000,9,FALSE)</f>
        <v/>
      </c>
      <c r="J473" s="3">
        <f>+VLOOKUP($A473,MAGAZZINO!$B$2:$M$100000,10,FALSE)</f>
        <v/>
      </c>
      <c r="K473" s="3">
        <f>+VLOOKUP($A473,MAGAZZINO!$B$2:$M$100000,11,FALSE)</f>
        <v/>
      </c>
      <c r="L473" s="5">
        <f>+VLOOKUP($A473,MAGAZZINO!$B$2:$M$100000,12,FALSE)</f>
        <v/>
      </c>
      <c r="M473" s="47" t="n"/>
      <c r="N473" s="88" t="n">
        <v>45771</v>
      </c>
      <c r="O473" s="156" t="inlineStr">
        <is>
          <t>BIN HUMAID NATIONAL TRADING CO. (ARABIA SAUDITA)</t>
        </is>
      </c>
      <c r="P473" s="154" t="inlineStr">
        <is>
          <t>IMPORT LICENSE N. 7004424417/8/B/81 VALIDA FINO AL 28/04/2027                                                              AUT. ESPORTAZIONE MULTIPLA N. 6B/2025/1M RILASCIATA IL 24/02/2025   (LICENZA DI SCARICO N. 6B/2025/2S RILASCIATA IL 15/04/2025)</t>
        </is>
      </c>
      <c r="Q473" s="150" t="n"/>
      <c r="R473" s="150" t="n"/>
      <c r="S473" s="153" t="n"/>
    </row>
    <row r="474" ht="36" customHeight="1">
      <c r="A474" s="46" t="n">
        <v>2804</v>
      </c>
      <c r="B474" s="4">
        <f>+VLOOKUP($A474,MAGAZZINO!$B$2:$M$100000,2,FALSE)</f>
        <v/>
      </c>
      <c r="C474" s="29">
        <f>+VLOOKUP($A474,MAGAZZINO!$B$2:$M$100000,3,FALSE)</f>
        <v/>
      </c>
      <c r="D474" s="3">
        <f>+VLOOKUP($A474,MAGAZZINO!$B$2:$M$100000,4,FALSE)</f>
        <v/>
      </c>
      <c r="E474" s="3">
        <f>+VLOOKUP($A474,MAGAZZINO!$B$2:$M$100000,5,FALSE)</f>
        <v/>
      </c>
      <c r="F474" s="3">
        <f>+VLOOKUP($A474,MAGAZZINO!$B$2:$M$100000,6,FALSE)</f>
        <v/>
      </c>
      <c r="G474" s="3">
        <f>+VLOOKUP($A474,MAGAZZINO!$B$2:$M$100000,7,FALSE)</f>
        <v/>
      </c>
      <c r="H474" s="3">
        <f>+VLOOKUP($A474,MAGAZZINO!$B$2:$M$100000,8,FALSE)</f>
        <v/>
      </c>
      <c r="I474" s="3">
        <f>+VLOOKUP($A474,MAGAZZINO!$B$2:$M$100000,9,FALSE)</f>
        <v/>
      </c>
      <c r="J474" s="3">
        <f>+VLOOKUP($A474,MAGAZZINO!$B$2:$M$100000,10,FALSE)</f>
        <v/>
      </c>
      <c r="K474" s="3">
        <f>+VLOOKUP($A474,MAGAZZINO!$B$2:$M$100000,11,FALSE)</f>
        <v/>
      </c>
      <c r="L474" s="5">
        <f>+VLOOKUP($A474,MAGAZZINO!$B$2:$M$100000,12,FALSE)</f>
        <v/>
      </c>
      <c r="M474" s="47" t="n"/>
      <c r="N474" s="88" t="n">
        <v>45771</v>
      </c>
      <c r="O474" s="156" t="inlineStr">
        <is>
          <t>BIN HUMAID NATIONAL TRADING CO. (ARABIA SAUDITA)</t>
        </is>
      </c>
      <c r="P474" s="154" t="inlineStr">
        <is>
          <t>IMPORT LICENSE N. 7004424417/8/B/81 VALIDA FINO AL 28/04/2027                                                              AUT. ESPORTAZIONE MULTIPLA N. 6B/2025/1M RILASCIATA IL 24/02/2025   (LICENZA DI SCARICO N. 6B/2025/2S RILASCIATA IL 15/04/2025)</t>
        </is>
      </c>
      <c r="Q474" s="150" t="n"/>
      <c r="R474" s="150" t="n"/>
      <c r="S474" s="153" t="n"/>
    </row>
    <row r="475" ht="36" customHeight="1">
      <c r="A475" s="46" t="n">
        <v>2805</v>
      </c>
      <c r="B475" s="4">
        <f>+VLOOKUP($A475,MAGAZZINO!$B$2:$M$100000,2,FALSE)</f>
        <v/>
      </c>
      <c r="C475" s="29">
        <f>+VLOOKUP($A475,MAGAZZINO!$B$2:$M$100000,3,FALSE)</f>
        <v/>
      </c>
      <c r="D475" s="3">
        <f>+VLOOKUP($A475,MAGAZZINO!$B$2:$M$100000,4,FALSE)</f>
        <v/>
      </c>
      <c r="E475" s="3">
        <f>+VLOOKUP($A475,MAGAZZINO!$B$2:$M$100000,5,FALSE)</f>
        <v/>
      </c>
      <c r="F475" s="3">
        <f>+VLOOKUP($A475,MAGAZZINO!$B$2:$M$100000,6,FALSE)</f>
        <v/>
      </c>
      <c r="G475" s="3">
        <f>+VLOOKUP($A475,MAGAZZINO!$B$2:$M$100000,7,FALSE)</f>
        <v/>
      </c>
      <c r="H475" s="3">
        <f>+VLOOKUP($A475,MAGAZZINO!$B$2:$M$100000,8,FALSE)</f>
        <v/>
      </c>
      <c r="I475" s="3">
        <f>+VLOOKUP($A475,MAGAZZINO!$B$2:$M$100000,9,FALSE)</f>
        <v/>
      </c>
      <c r="J475" s="3">
        <f>+VLOOKUP($A475,MAGAZZINO!$B$2:$M$100000,10,FALSE)</f>
        <v/>
      </c>
      <c r="K475" s="3">
        <f>+VLOOKUP($A475,MAGAZZINO!$B$2:$M$100000,11,FALSE)</f>
        <v/>
      </c>
      <c r="L475" s="5">
        <f>+VLOOKUP($A475,MAGAZZINO!$B$2:$M$100000,12,FALSE)</f>
        <v/>
      </c>
      <c r="M475" s="47" t="n"/>
      <c r="N475" s="88" t="n">
        <v>45771</v>
      </c>
      <c r="O475" s="156" t="inlineStr">
        <is>
          <t>BIN HUMAID NATIONAL TRADING CO. (ARABIA SAUDITA)</t>
        </is>
      </c>
      <c r="P475" s="154" t="inlineStr">
        <is>
          <t>IMPORT LICENSE N. 7004424417/8/B/81 VALIDA FINO AL 28/04/2027                                                              AUT. ESPORTAZIONE MULTIPLA N. 6B/2025/1M RILASCIATA IL 24/02/2025   (LICENZA DI SCARICO N. 6B/2025/2S RILASCIATA IL 15/04/2025)</t>
        </is>
      </c>
      <c r="Q475" s="150" t="n"/>
      <c r="R475" s="150" t="n"/>
      <c r="S475" s="153" t="n"/>
    </row>
    <row r="476" ht="36" customHeight="1">
      <c r="A476" s="46" t="n">
        <v>2806</v>
      </c>
      <c r="B476" s="4">
        <f>+VLOOKUP($A476,MAGAZZINO!$B$2:$M$100000,2,FALSE)</f>
        <v/>
      </c>
      <c r="C476" s="29">
        <f>+VLOOKUP($A476,MAGAZZINO!$B$2:$M$100000,3,FALSE)</f>
        <v/>
      </c>
      <c r="D476" s="3">
        <f>+VLOOKUP($A476,MAGAZZINO!$B$2:$M$100000,4,FALSE)</f>
        <v/>
      </c>
      <c r="E476" s="3">
        <f>+VLOOKUP($A476,MAGAZZINO!$B$2:$M$100000,5,FALSE)</f>
        <v/>
      </c>
      <c r="F476" s="3">
        <f>+VLOOKUP($A476,MAGAZZINO!$B$2:$M$100000,6,FALSE)</f>
        <v/>
      </c>
      <c r="G476" s="3">
        <f>+VLOOKUP($A476,MAGAZZINO!$B$2:$M$100000,7,FALSE)</f>
        <v/>
      </c>
      <c r="H476" s="3">
        <f>+VLOOKUP($A476,MAGAZZINO!$B$2:$M$100000,8,FALSE)</f>
        <v/>
      </c>
      <c r="I476" s="3">
        <f>+VLOOKUP($A476,MAGAZZINO!$B$2:$M$100000,9,FALSE)</f>
        <v/>
      </c>
      <c r="J476" s="3">
        <f>+VLOOKUP($A476,MAGAZZINO!$B$2:$M$100000,10,FALSE)</f>
        <v/>
      </c>
      <c r="K476" s="3">
        <f>+VLOOKUP($A476,MAGAZZINO!$B$2:$M$100000,11,FALSE)</f>
        <v/>
      </c>
      <c r="L476" s="5">
        <f>+VLOOKUP($A476,MAGAZZINO!$B$2:$M$100000,12,FALSE)</f>
        <v/>
      </c>
      <c r="M476" s="47" t="n"/>
      <c r="N476" s="88" t="n">
        <v>45771</v>
      </c>
      <c r="O476" s="156" t="inlineStr">
        <is>
          <t>BIN HUMAID NATIONAL TRADING CO. (ARABIA SAUDITA)</t>
        </is>
      </c>
      <c r="P476" s="154" t="inlineStr">
        <is>
          <t>IMPORT LICENSE N. 7004424417/8/B/81 VALIDA FINO AL 28/04/2027                                                              AUT. ESPORTAZIONE MULTIPLA N. 6B/2025/1M RILASCIATA IL 24/02/2025   (LICENZA DI SCARICO N. 6B/2025/2S RILASCIATA IL 15/04/2025)</t>
        </is>
      </c>
      <c r="Q476" s="150" t="n"/>
      <c r="R476" s="150" t="n"/>
      <c r="S476" s="153" t="n"/>
    </row>
    <row r="477" ht="36" customHeight="1">
      <c r="A477" s="46" t="n">
        <v>2807</v>
      </c>
      <c r="B477" s="4">
        <f>+VLOOKUP($A477,MAGAZZINO!$B$2:$M$100000,2,FALSE)</f>
        <v/>
      </c>
      <c r="C477" s="29">
        <f>+VLOOKUP($A477,MAGAZZINO!$B$2:$M$100000,3,FALSE)</f>
        <v/>
      </c>
      <c r="D477" s="3">
        <f>+VLOOKUP($A477,MAGAZZINO!$B$2:$M$100000,4,FALSE)</f>
        <v/>
      </c>
      <c r="E477" s="3">
        <f>+VLOOKUP($A477,MAGAZZINO!$B$2:$M$100000,5,FALSE)</f>
        <v/>
      </c>
      <c r="F477" s="3">
        <f>+VLOOKUP($A477,MAGAZZINO!$B$2:$M$100000,6,FALSE)</f>
        <v/>
      </c>
      <c r="G477" s="3">
        <f>+VLOOKUP($A477,MAGAZZINO!$B$2:$M$100000,7,FALSE)</f>
        <v/>
      </c>
      <c r="H477" s="3">
        <f>+VLOOKUP($A477,MAGAZZINO!$B$2:$M$100000,8,FALSE)</f>
        <v/>
      </c>
      <c r="I477" s="3">
        <f>+VLOOKUP($A477,MAGAZZINO!$B$2:$M$100000,9,FALSE)</f>
        <v/>
      </c>
      <c r="J477" s="3">
        <f>+VLOOKUP($A477,MAGAZZINO!$B$2:$M$100000,10,FALSE)</f>
        <v/>
      </c>
      <c r="K477" s="3">
        <f>+VLOOKUP($A477,MAGAZZINO!$B$2:$M$100000,11,FALSE)</f>
        <v/>
      </c>
      <c r="L477" s="5">
        <f>+VLOOKUP($A477,MAGAZZINO!$B$2:$M$100000,12,FALSE)</f>
        <v/>
      </c>
      <c r="M477" s="47" t="n"/>
      <c r="N477" s="88" t="n">
        <v>45771</v>
      </c>
      <c r="O477" s="156" t="inlineStr">
        <is>
          <t>BIN HUMAID NATIONAL TRADING CO. (ARABIA SAUDITA)</t>
        </is>
      </c>
      <c r="P477" s="154" t="inlineStr">
        <is>
          <t>IMPORT LICENSE N. 7004424417/8/B/81 VALIDA FINO AL 28/04/2027                                                              AUT. ESPORTAZIONE MULTIPLA N. 6B/2025/1M RILASCIATA IL 24/02/2025   (LICENZA DI SCARICO N. 6B/2025/2S RILASCIATA IL 15/04/2025)</t>
        </is>
      </c>
      <c r="Q477" s="150" t="n"/>
      <c r="R477" s="150" t="n"/>
      <c r="S477" s="153" t="n"/>
    </row>
    <row r="478" ht="36" customHeight="1">
      <c r="A478" s="46" t="n">
        <v>2808</v>
      </c>
      <c r="B478" s="4">
        <f>+VLOOKUP($A478,MAGAZZINO!$B$2:$M$100000,2,FALSE)</f>
        <v/>
      </c>
      <c r="C478" s="29">
        <f>+VLOOKUP($A478,MAGAZZINO!$B$2:$M$100000,3,FALSE)</f>
        <v/>
      </c>
      <c r="D478" s="3">
        <f>+VLOOKUP($A478,MAGAZZINO!$B$2:$M$100000,4,FALSE)</f>
        <v/>
      </c>
      <c r="E478" s="3">
        <f>+VLOOKUP($A478,MAGAZZINO!$B$2:$M$100000,5,FALSE)</f>
        <v/>
      </c>
      <c r="F478" s="3">
        <f>+VLOOKUP($A478,MAGAZZINO!$B$2:$M$100000,6,FALSE)</f>
        <v/>
      </c>
      <c r="G478" s="3">
        <f>+VLOOKUP($A478,MAGAZZINO!$B$2:$M$100000,7,FALSE)</f>
        <v/>
      </c>
      <c r="H478" s="3">
        <f>+VLOOKUP($A478,MAGAZZINO!$B$2:$M$100000,8,FALSE)</f>
        <v/>
      </c>
      <c r="I478" s="3">
        <f>+VLOOKUP($A478,MAGAZZINO!$B$2:$M$100000,9,FALSE)</f>
        <v/>
      </c>
      <c r="J478" s="3">
        <f>+VLOOKUP($A478,MAGAZZINO!$B$2:$M$100000,10,FALSE)</f>
        <v/>
      </c>
      <c r="K478" s="3">
        <f>+VLOOKUP($A478,MAGAZZINO!$B$2:$M$100000,11,FALSE)</f>
        <v/>
      </c>
      <c r="L478" s="5">
        <f>+VLOOKUP($A478,MAGAZZINO!$B$2:$M$100000,12,FALSE)</f>
        <v/>
      </c>
      <c r="M478" s="47" t="n"/>
      <c r="N478" s="88" t="n">
        <v>45771</v>
      </c>
      <c r="O478" s="156" t="inlineStr">
        <is>
          <t>BIN HUMAID NATIONAL TRADING CO. (ARABIA SAUDITA)</t>
        </is>
      </c>
      <c r="P478" s="154" t="inlineStr">
        <is>
          <t>IMPORT LICENSE N. 7004424417/8/B/81 VALIDA FINO AL 28/04/2027                                                              AUT. ESPORTAZIONE MULTIPLA N. 6B/2025/1M RILASCIATA IL 24/02/2025   (LICENZA DI SCARICO N. 6B/2025/2S RILASCIATA IL 15/04/2025)</t>
        </is>
      </c>
      <c r="Q478" s="150" t="n"/>
      <c r="R478" s="150" t="n"/>
      <c r="S478" s="153" t="n"/>
    </row>
    <row r="479" ht="36" customHeight="1">
      <c r="A479" s="46" t="n">
        <v>2809</v>
      </c>
      <c r="B479" s="4">
        <f>+VLOOKUP($A479,MAGAZZINO!$B$2:$M$100000,2,FALSE)</f>
        <v/>
      </c>
      <c r="C479" s="29">
        <f>+VLOOKUP($A479,MAGAZZINO!$B$2:$M$100000,3,FALSE)</f>
        <v/>
      </c>
      <c r="D479" s="3">
        <f>+VLOOKUP($A479,MAGAZZINO!$B$2:$M$100000,4,FALSE)</f>
        <v/>
      </c>
      <c r="E479" s="3">
        <f>+VLOOKUP($A479,MAGAZZINO!$B$2:$M$100000,5,FALSE)</f>
        <v/>
      </c>
      <c r="F479" s="3">
        <f>+VLOOKUP($A479,MAGAZZINO!$B$2:$M$100000,6,FALSE)</f>
        <v/>
      </c>
      <c r="G479" s="3">
        <f>+VLOOKUP($A479,MAGAZZINO!$B$2:$M$100000,7,FALSE)</f>
        <v/>
      </c>
      <c r="H479" s="3">
        <f>+VLOOKUP($A479,MAGAZZINO!$B$2:$M$100000,8,FALSE)</f>
        <v/>
      </c>
      <c r="I479" s="3">
        <f>+VLOOKUP($A479,MAGAZZINO!$B$2:$M$100000,9,FALSE)</f>
        <v/>
      </c>
      <c r="J479" s="3">
        <f>+VLOOKUP($A479,MAGAZZINO!$B$2:$M$100000,10,FALSE)</f>
        <v/>
      </c>
      <c r="K479" s="3">
        <f>+VLOOKUP($A479,MAGAZZINO!$B$2:$M$100000,11,FALSE)</f>
        <v/>
      </c>
      <c r="L479" s="5">
        <f>+VLOOKUP($A479,MAGAZZINO!$B$2:$M$100000,12,FALSE)</f>
        <v/>
      </c>
      <c r="M479" s="47" t="n"/>
      <c r="N479" s="88" t="n">
        <v>45771</v>
      </c>
      <c r="O479" s="156" t="inlineStr">
        <is>
          <t>BIN HUMAID NATIONAL TRADING CO. (ARABIA SAUDITA)</t>
        </is>
      </c>
      <c r="P479" s="154" t="inlineStr">
        <is>
          <t>IMPORT LICENSE N. 7004424417/8/B/81 VALIDA FINO AL 28/04/2027                                                              AUT. ESPORTAZIONE MULTIPLA N. 6B/2025/1M RILASCIATA IL 24/02/2025   (LICENZA DI SCARICO N. 6B/2025/2S RILASCIATA IL 15/04/2025)</t>
        </is>
      </c>
      <c r="Q479" s="150" t="n"/>
      <c r="R479" s="150" t="n"/>
      <c r="S479" s="153" t="n"/>
    </row>
    <row r="480" ht="36" customHeight="1">
      <c r="A480" s="46" t="n">
        <v>2810</v>
      </c>
      <c r="B480" s="4">
        <f>+VLOOKUP($A480,MAGAZZINO!$B$2:$M$100000,2,FALSE)</f>
        <v/>
      </c>
      <c r="C480" s="29">
        <f>+VLOOKUP($A480,MAGAZZINO!$B$2:$M$100000,3,FALSE)</f>
        <v/>
      </c>
      <c r="D480" s="3">
        <f>+VLOOKUP($A480,MAGAZZINO!$B$2:$M$100000,4,FALSE)</f>
        <v/>
      </c>
      <c r="E480" s="3">
        <f>+VLOOKUP($A480,MAGAZZINO!$B$2:$M$100000,5,FALSE)</f>
        <v/>
      </c>
      <c r="F480" s="3">
        <f>+VLOOKUP($A480,MAGAZZINO!$B$2:$M$100000,6,FALSE)</f>
        <v/>
      </c>
      <c r="G480" s="3">
        <f>+VLOOKUP($A480,MAGAZZINO!$B$2:$M$100000,7,FALSE)</f>
        <v/>
      </c>
      <c r="H480" s="3">
        <f>+VLOOKUP($A480,MAGAZZINO!$B$2:$M$100000,8,FALSE)</f>
        <v/>
      </c>
      <c r="I480" s="3">
        <f>+VLOOKUP($A480,MAGAZZINO!$B$2:$M$100000,9,FALSE)</f>
        <v/>
      </c>
      <c r="J480" s="3">
        <f>+VLOOKUP($A480,MAGAZZINO!$B$2:$M$100000,10,FALSE)</f>
        <v/>
      </c>
      <c r="K480" s="3">
        <f>+VLOOKUP($A480,MAGAZZINO!$B$2:$M$100000,11,FALSE)</f>
        <v/>
      </c>
      <c r="L480" s="5">
        <f>+VLOOKUP($A480,MAGAZZINO!$B$2:$M$100000,12,FALSE)</f>
        <v/>
      </c>
      <c r="M480" s="47" t="n"/>
      <c r="N480" s="88" t="n">
        <v>45771</v>
      </c>
      <c r="O480" s="156" t="inlineStr">
        <is>
          <t>BIN HUMAID NATIONAL TRADING CO. (ARABIA SAUDITA)</t>
        </is>
      </c>
      <c r="P480" s="154" t="inlineStr">
        <is>
          <t>IMPORT LICENSE N. 7004424417/8/B/81 VALIDA FINO AL 28/04/2027                                                              AUT. ESPORTAZIONE MULTIPLA N. 6B/2025/1M RILASCIATA IL 24/02/2025   (LICENZA DI SCARICO N. 6B/2025/2S RILASCIATA IL 15/04/2025)</t>
        </is>
      </c>
      <c r="Q480" s="150" t="n"/>
      <c r="R480" s="150" t="n"/>
      <c r="S480" s="153" t="n"/>
    </row>
    <row r="481" ht="36" customHeight="1">
      <c r="A481" s="46" t="n">
        <v>2811</v>
      </c>
      <c r="B481" s="4">
        <f>+VLOOKUP($A481,MAGAZZINO!$B$2:$M$100000,2,FALSE)</f>
        <v/>
      </c>
      <c r="C481" s="29">
        <f>+VLOOKUP($A481,MAGAZZINO!$B$2:$M$100000,3,FALSE)</f>
        <v/>
      </c>
      <c r="D481" s="3">
        <f>+VLOOKUP($A481,MAGAZZINO!$B$2:$M$100000,4,FALSE)</f>
        <v/>
      </c>
      <c r="E481" s="3">
        <f>+VLOOKUP($A481,MAGAZZINO!$B$2:$M$100000,5,FALSE)</f>
        <v/>
      </c>
      <c r="F481" s="3">
        <f>+VLOOKUP($A481,MAGAZZINO!$B$2:$M$100000,6,FALSE)</f>
        <v/>
      </c>
      <c r="G481" s="3">
        <f>+VLOOKUP($A481,MAGAZZINO!$B$2:$M$100000,7,FALSE)</f>
        <v/>
      </c>
      <c r="H481" s="3">
        <f>+VLOOKUP($A481,MAGAZZINO!$B$2:$M$100000,8,FALSE)</f>
        <v/>
      </c>
      <c r="I481" s="3">
        <f>+VLOOKUP($A481,MAGAZZINO!$B$2:$M$100000,9,FALSE)</f>
        <v/>
      </c>
      <c r="J481" s="3">
        <f>+VLOOKUP($A481,MAGAZZINO!$B$2:$M$100000,10,FALSE)</f>
        <v/>
      </c>
      <c r="K481" s="3">
        <f>+VLOOKUP($A481,MAGAZZINO!$B$2:$M$100000,11,FALSE)</f>
        <v/>
      </c>
      <c r="L481" s="5">
        <f>+VLOOKUP($A481,MAGAZZINO!$B$2:$M$100000,12,FALSE)</f>
        <v/>
      </c>
      <c r="M481" s="47" t="n"/>
      <c r="N481" s="88" t="n">
        <v>45771</v>
      </c>
      <c r="O481" s="156" t="inlineStr">
        <is>
          <t>BIN HUMAID NATIONAL TRADING CO. (ARABIA SAUDITA)</t>
        </is>
      </c>
      <c r="P481" s="154" t="inlineStr">
        <is>
          <t>IMPORT LICENSE N. 7004424417/8/B/81 VALIDA FINO AL 28/04/2027                                                              AUT. ESPORTAZIONE MULTIPLA N. 6B/2025/1M RILASCIATA IL 24/02/2025   (LICENZA DI SCARICO N. 6B/2025/2S RILASCIATA IL 15/04/2025)</t>
        </is>
      </c>
      <c r="Q481" s="150" t="n"/>
      <c r="R481" s="150" t="n"/>
      <c r="S481" s="153" t="n"/>
    </row>
    <row r="482" ht="36" customHeight="1">
      <c r="A482" s="46" t="n">
        <v>2812</v>
      </c>
      <c r="B482" s="4">
        <f>+VLOOKUP($A482,MAGAZZINO!$B$2:$M$100000,2,FALSE)</f>
        <v/>
      </c>
      <c r="C482" s="29">
        <f>+VLOOKUP($A482,MAGAZZINO!$B$2:$M$100000,3,FALSE)</f>
        <v/>
      </c>
      <c r="D482" s="3">
        <f>+VLOOKUP($A482,MAGAZZINO!$B$2:$M$100000,4,FALSE)</f>
        <v/>
      </c>
      <c r="E482" s="3">
        <f>+VLOOKUP($A482,MAGAZZINO!$B$2:$M$100000,5,FALSE)</f>
        <v/>
      </c>
      <c r="F482" s="3">
        <f>+VLOOKUP($A482,MAGAZZINO!$B$2:$M$100000,6,FALSE)</f>
        <v/>
      </c>
      <c r="G482" s="3">
        <f>+VLOOKUP($A482,MAGAZZINO!$B$2:$M$100000,7,FALSE)</f>
        <v/>
      </c>
      <c r="H482" s="3">
        <f>+VLOOKUP($A482,MAGAZZINO!$B$2:$M$100000,8,FALSE)</f>
        <v/>
      </c>
      <c r="I482" s="3">
        <f>+VLOOKUP($A482,MAGAZZINO!$B$2:$M$100000,9,FALSE)</f>
        <v/>
      </c>
      <c r="J482" s="3">
        <f>+VLOOKUP($A482,MAGAZZINO!$B$2:$M$100000,10,FALSE)</f>
        <v/>
      </c>
      <c r="K482" s="3">
        <f>+VLOOKUP($A482,MAGAZZINO!$B$2:$M$100000,11,FALSE)</f>
        <v/>
      </c>
      <c r="L482" s="5">
        <f>+VLOOKUP($A482,MAGAZZINO!$B$2:$M$100000,12,FALSE)</f>
        <v/>
      </c>
      <c r="M482" s="47" t="n"/>
      <c r="N482" s="88" t="n">
        <v>45771</v>
      </c>
      <c r="O482" s="156" t="inlineStr">
        <is>
          <t>BIN HUMAID NATIONAL TRADING CO. (ARABIA SAUDITA)</t>
        </is>
      </c>
      <c r="P482" s="154" t="inlineStr">
        <is>
          <t>IMPORT LICENSE N. 7004424417/8/B/81 VALIDA FINO AL 28/04/2027                                                              AUT. ESPORTAZIONE MULTIPLA N. 6B/2025/1M RILASCIATA IL 24/02/2025   (LICENZA DI SCARICO N. 6B/2025/2S RILASCIATA IL 15/04/2025)</t>
        </is>
      </c>
      <c r="Q482" s="150" t="n"/>
      <c r="R482" s="150" t="n"/>
      <c r="S482" s="153" t="n"/>
    </row>
    <row r="483" ht="36" customHeight="1">
      <c r="A483" s="46" t="n">
        <v>2813</v>
      </c>
      <c r="B483" s="4">
        <f>+VLOOKUP($A483,MAGAZZINO!$B$2:$M$100000,2,FALSE)</f>
        <v/>
      </c>
      <c r="C483" s="29">
        <f>+VLOOKUP($A483,MAGAZZINO!$B$2:$M$100000,3,FALSE)</f>
        <v/>
      </c>
      <c r="D483" s="3">
        <f>+VLOOKUP($A483,MAGAZZINO!$B$2:$M$100000,4,FALSE)</f>
        <v/>
      </c>
      <c r="E483" s="3">
        <f>+VLOOKUP($A483,MAGAZZINO!$B$2:$M$100000,5,FALSE)</f>
        <v/>
      </c>
      <c r="F483" s="3">
        <f>+VLOOKUP($A483,MAGAZZINO!$B$2:$M$100000,6,FALSE)</f>
        <v/>
      </c>
      <c r="G483" s="3">
        <f>+VLOOKUP($A483,MAGAZZINO!$B$2:$M$100000,7,FALSE)</f>
        <v/>
      </c>
      <c r="H483" s="3">
        <f>+VLOOKUP($A483,MAGAZZINO!$B$2:$M$100000,8,FALSE)</f>
        <v/>
      </c>
      <c r="I483" s="3">
        <f>+VLOOKUP($A483,MAGAZZINO!$B$2:$M$100000,9,FALSE)</f>
        <v/>
      </c>
      <c r="J483" s="3">
        <f>+VLOOKUP($A483,MAGAZZINO!$B$2:$M$100000,10,FALSE)</f>
        <v/>
      </c>
      <c r="K483" s="3">
        <f>+VLOOKUP($A483,MAGAZZINO!$B$2:$M$100000,11,FALSE)</f>
        <v/>
      </c>
      <c r="L483" s="5">
        <f>+VLOOKUP($A483,MAGAZZINO!$B$2:$M$100000,12,FALSE)</f>
        <v/>
      </c>
      <c r="M483" s="47" t="n"/>
      <c r="N483" s="88" t="n">
        <v>45771</v>
      </c>
      <c r="O483" s="156" t="inlineStr">
        <is>
          <t>BIN HUMAID NATIONAL TRADING CO. (ARABIA SAUDITA)</t>
        </is>
      </c>
      <c r="P483" s="154" t="inlineStr">
        <is>
          <t>IMPORT LICENSE N. 7004424417/8/B/81 VALIDA FINO AL 28/04/2027                                                              AUT. ESPORTAZIONE MULTIPLA N. 6B/2025/1M RILASCIATA IL 24/02/2025   (LICENZA DI SCARICO N. 6B/2025/2S RILASCIATA IL 15/04/2025)</t>
        </is>
      </c>
      <c r="Q483" s="150" t="n"/>
      <c r="R483" s="150" t="n"/>
      <c r="S483" s="153" t="n"/>
    </row>
    <row r="484" ht="36" customHeight="1">
      <c r="A484" s="46" t="n">
        <v>2814</v>
      </c>
      <c r="B484" s="4">
        <f>+VLOOKUP($A484,MAGAZZINO!$B$2:$M$100000,2,FALSE)</f>
        <v/>
      </c>
      <c r="C484" s="29">
        <f>+VLOOKUP($A484,MAGAZZINO!$B$2:$M$100000,3,FALSE)</f>
        <v/>
      </c>
      <c r="D484" s="3">
        <f>+VLOOKUP($A484,MAGAZZINO!$B$2:$M$100000,4,FALSE)</f>
        <v/>
      </c>
      <c r="E484" s="3">
        <f>+VLOOKUP($A484,MAGAZZINO!$B$2:$M$100000,5,FALSE)</f>
        <v/>
      </c>
      <c r="F484" s="3">
        <f>+VLOOKUP($A484,MAGAZZINO!$B$2:$M$100000,6,FALSE)</f>
        <v/>
      </c>
      <c r="G484" s="3">
        <f>+VLOOKUP($A484,MAGAZZINO!$B$2:$M$100000,7,FALSE)</f>
        <v/>
      </c>
      <c r="H484" s="3">
        <f>+VLOOKUP($A484,MAGAZZINO!$B$2:$M$100000,8,FALSE)</f>
        <v/>
      </c>
      <c r="I484" s="3">
        <f>+VLOOKUP($A484,MAGAZZINO!$B$2:$M$100000,9,FALSE)</f>
        <v/>
      </c>
      <c r="J484" s="3">
        <f>+VLOOKUP($A484,MAGAZZINO!$B$2:$M$100000,10,FALSE)</f>
        <v/>
      </c>
      <c r="K484" s="3">
        <f>+VLOOKUP($A484,MAGAZZINO!$B$2:$M$100000,11,FALSE)</f>
        <v/>
      </c>
      <c r="L484" s="5">
        <f>+VLOOKUP($A484,MAGAZZINO!$B$2:$M$100000,12,FALSE)</f>
        <v/>
      </c>
      <c r="M484" s="47" t="n"/>
      <c r="N484" s="88" t="n">
        <v>45771</v>
      </c>
      <c r="O484" s="156" t="inlineStr">
        <is>
          <t>BIN HUMAID NATIONAL TRADING CO. (ARABIA SAUDITA)</t>
        </is>
      </c>
      <c r="P484" s="154" t="inlineStr">
        <is>
          <t>IMPORT LICENSE N. 7004424417/8/B/81 VALIDA FINO AL 28/04/2027                                                              AUT. ESPORTAZIONE MULTIPLA N. 6B/2025/1M RILASCIATA IL 24/02/2025   (LICENZA DI SCARICO N. 6B/2025/2S RILASCIATA IL 15/04/2025)</t>
        </is>
      </c>
      <c r="Q484" s="150" t="n"/>
      <c r="R484" s="150" t="n"/>
      <c r="S484" s="153" t="n"/>
    </row>
    <row r="485" ht="36" customHeight="1">
      <c r="A485" s="46" t="n">
        <v>2815</v>
      </c>
      <c r="B485" s="4">
        <f>+VLOOKUP($A485,MAGAZZINO!$B$2:$M$100000,2,FALSE)</f>
        <v/>
      </c>
      <c r="C485" s="29">
        <f>+VLOOKUP($A485,MAGAZZINO!$B$2:$M$100000,3,FALSE)</f>
        <v/>
      </c>
      <c r="D485" s="3">
        <f>+VLOOKUP($A485,MAGAZZINO!$B$2:$M$100000,4,FALSE)</f>
        <v/>
      </c>
      <c r="E485" s="3">
        <f>+VLOOKUP($A485,MAGAZZINO!$B$2:$M$100000,5,FALSE)</f>
        <v/>
      </c>
      <c r="F485" s="3">
        <f>+VLOOKUP($A485,MAGAZZINO!$B$2:$M$100000,6,FALSE)</f>
        <v/>
      </c>
      <c r="G485" s="3">
        <f>+VLOOKUP($A485,MAGAZZINO!$B$2:$M$100000,7,FALSE)</f>
        <v/>
      </c>
      <c r="H485" s="3">
        <f>+VLOOKUP($A485,MAGAZZINO!$B$2:$M$100000,8,FALSE)</f>
        <v/>
      </c>
      <c r="I485" s="3">
        <f>+VLOOKUP($A485,MAGAZZINO!$B$2:$M$100000,9,FALSE)</f>
        <v/>
      </c>
      <c r="J485" s="3">
        <f>+VLOOKUP($A485,MAGAZZINO!$B$2:$M$100000,10,FALSE)</f>
        <v/>
      </c>
      <c r="K485" s="3">
        <f>+VLOOKUP($A485,MAGAZZINO!$B$2:$M$100000,11,FALSE)</f>
        <v/>
      </c>
      <c r="L485" s="5">
        <f>+VLOOKUP($A485,MAGAZZINO!$B$2:$M$100000,12,FALSE)</f>
        <v/>
      </c>
      <c r="M485" s="47" t="n"/>
      <c r="N485" s="88" t="n">
        <v>45771</v>
      </c>
      <c r="O485" s="156" t="inlineStr">
        <is>
          <t>BIN HUMAID NATIONAL TRADING CO. (ARABIA SAUDITA)</t>
        </is>
      </c>
      <c r="P485" s="154" t="inlineStr">
        <is>
          <t>IMPORT LICENSE N. 7004424417/8/B/81 VALIDA FINO AL 28/04/2027                                                              AUT. ESPORTAZIONE MULTIPLA N. 6B/2025/1M RILASCIATA IL 24/02/2025   (LICENZA DI SCARICO N. 6B/2025/2S RILASCIATA IL 15/04/2025)</t>
        </is>
      </c>
      <c r="Q485" s="150" t="n"/>
      <c r="R485" s="150" t="n"/>
      <c r="S485" s="153" t="n"/>
    </row>
    <row r="486" ht="36" customHeight="1">
      <c r="A486" s="46" t="n">
        <v>2816</v>
      </c>
      <c r="B486" s="4">
        <f>+VLOOKUP($A486,MAGAZZINO!$B$2:$M$100000,2,FALSE)</f>
        <v/>
      </c>
      <c r="C486" s="29">
        <f>+VLOOKUP($A486,MAGAZZINO!$B$2:$M$100000,3,FALSE)</f>
        <v/>
      </c>
      <c r="D486" s="3">
        <f>+VLOOKUP($A486,MAGAZZINO!$B$2:$M$100000,4,FALSE)</f>
        <v/>
      </c>
      <c r="E486" s="3">
        <f>+VLOOKUP($A486,MAGAZZINO!$B$2:$M$100000,5,FALSE)</f>
        <v/>
      </c>
      <c r="F486" s="3">
        <f>+VLOOKUP($A486,MAGAZZINO!$B$2:$M$100000,6,FALSE)</f>
        <v/>
      </c>
      <c r="G486" s="3">
        <f>+VLOOKUP($A486,MAGAZZINO!$B$2:$M$100000,7,FALSE)</f>
        <v/>
      </c>
      <c r="H486" s="3">
        <f>+VLOOKUP($A486,MAGAZZINO!$B$2:$M$100000,8,FALSE)</f>
        <v/>
      </c>
      <c r="I486" s="3">
        <f>+VLOOKUP($A486,MAGAZZINO!$B$2:$M$100000,9,FALSE)</f>
        <v/>
      </c>
      <c r="J486" s="3">
        <f>+VLOOKUP($A486,MAGAZZINO!$B$2:$M$100000,10,FALSE)</f>
        <v/>
      </c>
      <c r="K486" s="3">
        <f>+VLOOKUP($A486,MAGAZZINO!$B$2:$M$100000,11,FALSE)</f>
        <v/>
      </c>
      <c r="L486" s="5">
        <f>+VLOOKUP($A486,MAGAZZINO!$B$2:$M$100000,12,FALSE)</f>
        <v/>
      </c>
      <c r="M486" s="47" t="n"/>
      <c r="N486" s="88" t="n">
        <v>45771</v>
      </c>
      <c r="O486" s="156" t="inlineStr">
        <is>
          <t>BIN HUMAID NATIONAL TRADING CO. (ARABIA SAUDITA)</t>
        </is>
      </c>
      <c r="P486" s="154" t="inlineStr">
        <is>
          <t>IMPORT LICENSE N. 7004424417/8/B/81 VALIDA FINO AL 28/04/2027                                                              AUT. ESPORTAZIONE MULTIPLA N. 6B/2025/1M RILASCIATA IL 24/02/2025   (LICENZA DI SCARICO N. 6B/2025/2S RILASCIATA IL 15/04/2025)</t>
        </is>
      </c>
      <c r="Q486" s="150" t="n"/>
      <c r="R486" s="150" t="n"/>
      <c r="S486" s="153" t="n"/>
    </row>
    <row r="487" ht="36" customHeight="1">
      <c r="A487" s="46" t="n">
        <v>2817</v>
      </c>
      <c r="B487" s="4">
        <f>+VLOOKUP($A487,MAGAZZINO!$B$2:$M$100000,2,FALSE)</f>
        <v/>
      </c>
      <c r="C487" s="29">
        <f>+VLOOKUP($A487,MAGAZZINO!$B$2:$M$100000,3,FALSE)</f>
        <v/>
      </c>
      <c r="D487" s="3">
        <f>+VLOOKUP($A487,MAGAZZINO!$B$2:$M$100000,4,FALSE)</f>
        <v/>
      </c>
      <c r="E487" s="3">
        <f>+VLOOKUP($A487,MAGAZZINO!$B$2:$M$100000,5,FALSE)</f>
        <v/>
      </c>
      <c r="F487" s="3">
        <f>+VLOOKUP($A487,MAGAZZINO!$B$2:$M$100000,6,FALSE)</f>
        <v/>
      </c>
      <c r="G487" s="3">
        <f>+VLOOKUP($A487,MAGAZZINO!$B$2:$M$100000,7,FALSE)</f>
        <v/>
      </c>
      <c r="H487" s="3">
        <f>+VLOOKUP($A487,MAGAZZINO!$B$2:$M$100000,8,FALSE)</f>
        <v/>
      </c>
      <c r="I487" s="3">
        <f>+VLOOKUP($A487,MAGAZZINO!$B$2:$M$100000,9,FALSE)</f>
        <v/>
      </c>
      <c r="J487" s="3">
        <f>+VLOOKUP($A487,MAGAZZINO!$B$2:$M$100000,10,FALSE)</f>
        <v/>
      </c>
      <c r="K487" s="3">
        <f>+VLOOKUP($A487,MAGAZZINO!$B$2:$M$100000,11,FALSE)</f>
        <v/>
      </c>
      <c r="L487" s="5">
        <f>+VLOOKUP($A487,MAGAZZINO!$B$2:$M$100000,12,FALSE)</f>
        <v/>
      </c>
      <c r="M487" s="47" t="n"/>
      <c r="N487" s="88" t="n">
        <v>45771</v>
      </c>
      <c r="O487" s="156" t="inlineStr">
        <is>
          <t>BIN HUMAID NATIONAL TRADING CO. (ARABIA SAUDITA)</t>
        </is>
      </c>
      <c r="P487" s="154" t="inlineStr">
        <is>
          <t>IMPORT LICENSE N. 7004424417/8/B/81 VALIDA FINO AL 28/04/2027                                                              AUT. ESPORTAZIONE MULTIPLA N. 6B/2025/1M RILASCIATA IL 24/02/2025   (LICENZA DI SCARICO N. 6B/2025/2S RILASCIATA IL 15/04/2025)</t>
        </is>
      </c>
      <c r="Q487" s="150" t="n"/>
      <c r="R487" s="150" t="n"/>
      <c r="S487" s="153" t="n"/>
    </row>
    <row r="488" ht="36" customHeight="1">
      <c r="A488" s="46" t="n">
        <v>2818</v>
      </c>
      <c r="B488" s="4">
        <f>+VLOOKUP($A488,MAGAZZINO!$B$2:$M$100000,2,FALSE)</f>
        <v/>
      </c>
      <c r="C488" s="29">
        <f>+VLOOKUP($A488,MAGAZZINO!$B$2:$M$100000,3,FALSE)</f>
        <v/>
      </c>
      <c r="D488" s="3">
        <f>+VLOOKUP($A488,MAGAZZINO!$B$2:$M$100000,4,FALSE)</f>
        <v/>
      </c>
      <c r="E488" s="3">
        <f>+VLOOKUP($A488,MAGAZZINO!$B$2:$M$100000,5,FALSE)</f>
        <v/>
      </c>
      <c r="F488" s="3">
        <f>+VLOOKUP($A488,MAGAZZINO!$B$2:$M$100000,6,FALSE)</f>
        <v/>
      </c>
      <c r="G488" s="3">
        <f>+VLOOKUP($A488,MAGAZZINO!$B$2:$M$100000,7,FALSE)</f>
        <v/>
      </c>
      <c r="H488" s="3">
        <f>+VLOOKUP($A488,MAGAZZINO!$B$2:$M$100000,8,FALSE)</f>
        <v/>
      </c>
      <c r="I488" s="3">
        <f>+VLOOKUP($A488,MAGAZZINO!$B$2:$M$100000,9,FALSE)</f>
        <v/>
      </c>
      <c r="J488" s="3">
        <f>+VLOOKUP($A488,MAGAZZINO!$B$2:$M$100000,10,FALSE)</f>
        <v/>
      </c>
      <c r="K488" s="3">
        <f>+VLOOKUP($A488,MAGAZZINO!$B$2:$M$100000,11,FALSE)</f>
        <v/>
      </c>
      <c r="L488" s="5">
        <f>+VLOOKUP($A488,MAGAZZINO!$B$2:$M$100000,12,FALSE)</f>
        <v/>
      </c>
      <c r="M488" s="47" t="n"/>
      <c r="N488" s="88" t="n">
        <v>45771</v>
      </c>
      <c r="O488" s="156" t="inlineStr">
        <is>
          <t>BIN HUMAID NATIONAL TRADING CO. (ARABIA SAUDITA)</t>
        </is>
      </c>
      <c r="P488" s="154" t="inlineStr">
        <is>
          <t>IMPORT LICENSE N. 7004424417/8/B/81 VALIDA FINO AL 28/04/2027                                                              AUT. ESPORTAZIONE MULTIPLA N. 6B/2025/1M RILASCIATA IL 24/02/2025   (LICENZA DI SCARICO N. 6B/2025/2S RILASCIATA IL 15/04/2025)</t>
        </is>
      </c>
      <c r="Q488" s="150" t="n"/>
      <c r="R488" s="150" t="n"/>
      <c r="S488" s="153" t="n"/>
    </row>
    <row r="489" ht="36" customHeight="1">
      <c r="A489" s="46" t="n">
        <v>2819</v>
      </c>
      <c r="B489" s="4">
        <f>+VLOOKUP($A489,MAGAZZINO!$B$2:$M$100000,2,FALSE)</f>
        <v/>
      </c>
      <c r="C489" s="29">
        <f>+VLOOKUP($A489,MAGAZZINO!$B$2:$M$100000,3,FALSE)</f>
        <v/>
      </c>
      <c r="D489" s="3">
        <f>+VLOOKUP($A489,MAGAZZINO!$B$2:$M$100000,4,FALSE)</f>
        <v/>
      </c>
      <c r="E489" s="3">
        <f>+VLOOKUP($A489,MAGAZZINO!$B$2:$M$100000,5,FALSE)</f>
        <v/>
      </c>
      <c r="F489" s="3">
        <f>+VLOOKUP($A489,MAGAZZINO!$B$2:$M$100000,6,FALSE)</f>
        <v/>
      </c>
      <c r="G489" s="3">
        <f>+VLOOKUP($A489,MAGAZZINO!$B$2:$M$100000,7,FALSE)</f>
        <v/>
      </c>
      <c r="H489" s="3">
        <f>+VLOOKUP($A489,MAGAZZINO!$B$2:$M$100000,8,FALSE)</f>
        <v/>
      </c>
      <c r="I489" s="3">
        <f>+VLOOKUP($A489,MAGAZZINO!$B$2:$M$100000,9,FALSE)</f>
        <v/>
      </c>
      <c r="J489" s="3">
        <f>+VLOOKUP($A489,MAGAZZINO!$B$2:$M$100000,10,FALSE)</f>
        <v/>
      </c>
      <c r="K489" s="3">
        <f>+VLOOKUP($A489,MAGAZZINO!$B$2:$M$100000,11,FALSE)</f>
        <v/>
      </c>
      <c r="L489" s="5">
        <f>+VLOOKUP($A489,MAGAZZINO!$B$2:$M$100000,12,FALSE)</f>
        <v/>
      </c>
      <c r="M489" s="47" t="n"/>
      <c r="N489" s="88" t="n">
        <v>45771</v>
      </c>
      <c r="O489" s="156" t="inlineStr">
        <is>
          <t>BIN HUMAID NATIONAL TRADING CO. (ARABIA SAUDITA)</t>
        </is>
      </c>
      <c r="P489" s="154" t="inlineStr">
        <is>
          <t>IMPORT LICENSE N. 7004424417/8/B/81 VALIDA FINO AL 28/04/2027                                                              AUT. ESPORTAZIONE MULTIPLA N. 6B/2025/1M RILASCIATA IL 24/02/2025   (LICENZA DI SCARICO N. 6B/2025/2S RILASCIATA IL 15/04/2025)</t>
        </is>
      </c>
      <c r="Q489" s="150" t="n"/>
      <c r="R489" s="150" t="n"/>
      <c r="S489" s="153" t="n"/>
    </row>
    <row r="490" ht="36" customHeight="1">
      <c r="A490" s="46" t="n">
        <v>2820</v>
      </c>
      <c r="B490" s="4">
        <f>+VLOOKUP($A490,MAGAZZINO!$B$2:$M$100000,2,FALSE)</f>
        <v/>
      </c>
      <c r="C490" s="29">
        <f>+VLOOKUP($A490,MAGAZZINO!$B$2:$M$100000,3,FALSE)</f>
        <v/>
      </c>
      <c r="D490" s="3">
        <f>+VLOOKUP($A490,MAGAZZINO!$B$2:$M$100000,4,FALSE)</f>
        <v/>
      </c>
      <c r="E490" s="3">
        <f>+VLOOKUP($A490,MAGAZZINO!$B$2:$M$100000,5,FALSE)</f>
        <v/>
      </c>
      <c r="F490" s="3">
        <f>+VLOOKUP($A490,MAGAZZINO!$B$2:$M$100000,6,FALSE)</f>
        <v/>
      </c>
      <c r="G490" s="3">
        <f>+VLOOKUP($A490,MAGAZZINO!$B$2:$M$100000,7,FALSE)</f>
        <v/>
      </c>
      <c r="H490" s="3">
        <f>+VLOOKUP($A490,MAGAZZINO!$B$2:$M$100000,8,FALSE)</f>
        <v/>
      </c>
      <c r="I490" s="3">
        <f>+VLOOKUP($A490,MAGAZZINO!$B$2:$M$100000,9,FALSE)</f>
        <v/>
      </c>
      <c r="J490" s="3">
        <f>+VLOOKUP($A490,MAGAZZINO!$B$2:$M$100000,10,FALSE)</f>
        <v/>
      </c>
      <c r="K490" s="3">
        <f>+VLOOKUP($A490,MAGAZZINO!$B$2:$M$100000,11,FALSE)</f>
        <v/>
      </c>
      <c r="L490" s="5">
        <f>+VLOOKUP($A490,MAGAZZINO!$B$2:$M$100000,12,FALSE)</f>
        <v/>
      </c>
      <c r="M490" s="47" t="n"/>
      <c r="N490" s="88" t="n">
        <v>45771</v>
      </c>
      <c r="O490" s="156" t="inlineStr">
        <is>
          <t>BIN HUMAID NATIONAL TRADING CO. (ARABIA SAUDITA)</t>
        </is>
      </c>
      <c r="P490" s="154" t="inlineStr">
        <is>
          <t>IMPORT LICENSE N. 7004424417/8/B/81 VALIDA FINO AL 28/04/2027                                                              AUT. ESPORTAZIONE MULTIPLA N. 6B/2025/1M RILASCIATA IL 24/02/2025   (LICENZA DI SCARICO N. 6B/2025/2S RILASCIATA IL 15/04/2025)</t>
        </is>
      </c>
      <c r="Q490" s="150" t="n"/>
      <c r="R490" s="150" t="n"/>
      <c r="S490" s="153" t="n"/>
    </row>
    <row r="491" ht="36" customHeight="1">
      <c r="A491" s="46" t="n">
        <v>2821</v>
      </c>
      <c r="B491" s="4">
        <f>+VLOOKUP($A491,MAGAZZINO!$B$2:$M$100000,2,FALSE)</f>
        <v/>
      </c>
      <c r="C491" s="29">
        <f>+VLOOKUP($A491,MAGAZZINO!$B$2:$M$100000,3,FALSE)</f>
        <v/>
      </c>
      <c r="D491" s="3">
        <f>+VLOOKUP($A491,MAGAZZINO!$B$2:$M$100000,4,FALSE)</f>
        <v/>
      </c>
      <c r="E491" s="3">
        <f>+VLOOKUP($A491,MAGAZZINO!$B$2:$M$100000,5,FALSE)</f>
        <v/>
      </c>
      <c r="F491" s="3">
        <f>+VLOOKUP($A491,MAGAZZINO!$B$2:$M$100000,6,FALSE)</f>
        <v/>
      </c>
      <c r="G491" s="3">
        <f>+VLOOKUP($A491,MAGAZZINO!$B$2:$M$100000,7,FALSE)</f>
        <v/>
      </c>
      <c r="H491" s="3">
        <f>+VLOOKUP($A491,MAGAZZINO!$B$2:$M$100000,8,FALSE)</f>
        <v/>
      </c>
      <c r="I491" s="3">
        <f>+VLOOKUP($A491,MAGAZZINO!$B$2:$M$100000,9,FALSE)</f>
        <v/>
      </c>
      <c r="J491" s="3">
        <f>+VLOOKUP($A491,MAGAZZINO!$B$2:$M$100000,10,FALSE)</f>
        <v/>
      </c>
      <c r="K491" s="3">
        <f>+VLOOKUP($A491,MAGAZZINO!$B$2:$M$100000,11,FALSE)</f>
        <v/>
      </c>
      <c r="L491" s="5">
        <f>+VLOOKUP($A491,MAGAZZINO!$B$2:$M$100000,12,FALSE)</f>
        <v/>
      </c>
      <c r="M491" s="47" t="n"/>
      <c r="N491" s="88" t="n">
        <v>45771</v>
      </c>
      <c r="O491" s="156" t="inlineStr">
        <is>
          <t>BIN HUMAID NATIONAL TRADING CO. (ARABIA SAUDITA)</t>
        </is>
      </c>
      <c r="P491" s="154" t="inlineStr">
        <is>
          <t>IMPORT LICENSE N. 7004424417/8/B/81 VALIDA FINO AL 28/04/2027                                                              AUT. ESPORTAZIONE MULTIPLA N. 6B/2025/1M RILASCIATA IL 24/02/2025   (LICENZA DI SCARICO N. 6B/2025/2S RILASCIATA IL 15/04/2025)</t>
        </is>
      </c>
      <c r="Q491" s="150" t="n"/>
      <c r="R491" s="150" t="n"/>
      <c r="S491" s="153" t="n"/>
    </row>
    <row r="492" ht="36" customHeight="1">
      <c r="A492" s="46" t="n">
        <v>2822</v>
      </c>
      <c r="B492" s="4">
        <f>+VLOOKUP($A492,MAGAZZINO!$B$2:$M$100000,2,FALSE)</f>
        <v/>
      </c>
      <c r="C492" s="29">
        <f>+VLOOKUP($A492,MAGAZZINO!$B$2:$M$100000,3,FALSE)</f>
        <v/>
      </c>
      <c r="D492" s="3">
        <f>+VLOOKUP($A492,MAGAZZINO!$B$2:$M$100000,4,FALSE)</f>
        <v/>
      </c>
      <c r="E492" s="3">
        <f>+VLOOKUP($A492,MAGAZZINO!$B$2:$M$100000,5,FALSE)</f>
        <v/>
      </c>
      <c r="F492" s="3">
        <f>+VLOOKUP($A492,MAGAZZINO!$B$2:$M$100000,6,FALSE)</f>
        <v/>
      </c>
      <c r="G492" s="3">
        <f>+VLOOKUP($A492,MAGAZZINO!$B$2:$M$100000,7,FALSE)</f>
        <v/>
      </c>
      <c r="H492" s="3">
        <f>+VLOOKUP($A492,MAGAZZINO!$B$2:$M$100000,8,FALSE)</f>
        <v/>
      </c>
      <c r="I492" s="3">
        <f>+VLOOKUP($A492,MAGAZZINO!$B$2:$M$100000,9,FALSE)</f>
        <v/>
      </c>
      <c r="J492" s="3">
        <f>+VLOOKUP($A492,MAGAZZINO!$B$2:$M$100000,10,FALSE)</f>
        <v/>
      </c>
      <c r="K492" s="3">
        <f>+VLOOKUP($A492,MAGAZZINO!$B$2:$M$100000,11,FALSE)</f>
        <v/>
      </c>
      <c r="L492" s="5">
        <f>+VLOOKUP($A492,MAGAZZINO!$B$2:$M$100000,12,FALSE)</f>
        <v/>
      </c>
      <c r="M492" s="47" t="n"/>
      <c r="N492" s="88" t="n">
        <v>45771</v>
      </c>
      <c r="O492" s="156" t="inlineStr">
        <is>
          <t>BIN HUMAID NATIONAL TRADING CO. (ARABIA SAUDITA)</t>
        </is>
      </c>
      <c r="P492" s="154" t="inlineStr">
        <is>
          <t>IMPORT LICENSE N. 7004424417/8/B/81 VALIDA FINO AL 28/04/2027                                                              AUT. ESPORTAZIONE MULTIPLA N. 6B/2025/1M RILASCIATA IL 24/02/2025   (LICENZA DI SCARICO N. 6B/2025/2S RILASCIATA IL 15/04/2025)</t>
        </is>
      </c>
      <c r="Q492" s="150" t="n"/>
      <c r="R492" s="150" t="n"/>
      <c r="S492" s="153" t="n"/>
    </row>
    <row r="493" ht="36" customHeight="1">
      <c r="A493" s="46" t="n">
        <v>2823</v>
      </c>
      <c r="B493" s="4">
        <f>+VLOOKUP($A493,MAGAZZINO!$B$2:$M$100000,2,FALSE)</f>
        <v/>
      </c>
      <c r="C493" s="29">
        <f>+VLOOKUP($A493,MAGAZZINO!$B$2:$M$100000,3,FALSE)</f>
        <v/>
      </c>
      <c r="D493" s="3">
        <f>+VLOOKUP($A493,MAGAZZINO!$B$2:$M$100000,4,FALSE)</f>
        <v/>
      </c>
      <c r="E493" s="3">
        <f>+VLOOKUP($A493,MAGAZZINO!$B$2:$M$100000,5,FALSE)</f>
        <v/>
      </c>
      <c r="F493" s="3">
        <f>+VLOOKUP($A493,MAGAZZINO!$B$2:$M$100000,6,FALSE)</f>
        <v/>
      </c>
      <c r="G493" s="3">
        <f>+VLOOKUP($A493,MAGAZZINO!$B$2:$M$100000,7,FALSE)</f>
        <v/>
      </c>
      <c r="H493" s="3">
        <f>+VLOOKUP($A493,MAGAZZINO!$B$2:$M$100000,8,FALSE)</f>
        <v/>
      </c>
      <c r="I493" s="3">
        <f>+VLOOKUP($A493,MAGAZZINO!$B$2:$M$100000,9,FALSE)</f>
        <v/>
      </c>
      <c r="J493" s="3">
        <f>+VLOOKUP($A493,MAGAZZINO!$B$2:$M$100000,10,FALSE)</f>
        <v/>
      </c>
      <c r="K493" s="3">
        <f>+VLOOKUP($A493,MAGAZZINO!$B$2:$M$100000,11,FALSE)</f>
        <v/>
      </c>
      <c r="L493" s="5">
        <f>+VLOOKUP($A493,MAGAZZINO!$B$2:$M$100000,12,FALSE)</f>
        <v/>
      </c>
      <c r="M493" s="47" t="n"/>
      <c r="N493" s="88" t="n">
        <v>45771</v>
      </c>
      <c r="O493" s="156" t="inlineStr">
        <is>
          <t>BIN HUMAID NATIONAL TRADING CO. (ARABIA SAUDITA)</t>
        </is>
      </c>
      <c r="P493" s="154" t="inlineStr">
        <is>
          <t>IMPORT LICENSE N. 7004424417/8/B/81 VALIDA FINO AL 28/04/2027                                                              AUT. ESPORTAZIONE MULTIPLA N. 6B/2025/1M RILASCIATA IL 24/02/2025   (LICENZA DI SCARICO N. 6B/2025/2S RILASCIATA IL 15/04/2025)</t>
        </is>
      </c>
      <c r="Q493" s="150" t="n"/>
      <c r="R493" s="150" t="n"/>
      <c r="S493" s="153" t="n"/>
    </row>
    <row r="494" ht="36" customHeight="1">
      <c r="A494" s="46" t="n">
        <v>2824</v>
      </c>
      <c r="B494" s="4">
        <f>+VLOOKUP($A494,MAGAZZINO!$B$2:$M$100000,2,FALSE)</f>
        <v/>
      </c>
      <c r="C494" s="29">
        <f>+VLOOKUP($A494,MAGAZZINO!$B$2:$M$100000,3,FALSE)</f>
        <v/>
      </c>
      <c r="D494" s="3">
        <f>+VLOOKUP($A494,MAGAZZINO!$B$2:$M$100000,4,FALSE)</f>
        <v/>
      </c>
      <c r="E494" s="3">
        <f>+VLOOKUP($A494,MAGAZZINO!$B$2:$M$100000,5,FALSE)</f>
        <v/>
      </c>
      <c r="F494" s="3">
        <f>+VLOOKUP($A494,MAGAZZINO!$B$2:$M$100000,6,FALSE)</f>
        <v/>
      </c>
      <c r="G494" s="3">
        <f>+VLOOKUP($A494,MAGAZZINO!$B$2:$M$100000,7,FALSE)</f>
        <v/>
      </c>
      <c r="H494" s="3">
        <f>+VLOOKUP($A494,MAGAZZINO!$B$2:$M$100000,8,FALSE)</f>
        <v/>
      </c>
      <c r="I494" s="3">
        <f>+VLOOKUP($A494,MAGAZZINO!$B$2:$M$100000,9,FALSE)</f>
        <v/>
      </c>
      <c r="J494" s="3">
        <f>+VLOOKUP($A494,MAGAZZINO!$B$2:$M$100000,10,FALSE)</f>
        <v/>
      </c>
      <c r="K494" s="3">
        <f>+VLOOKUP($A494,MAGAZZINO!$B$2:$M$100000,11,FALSE)</f>
        <v/>
      </c>
      <c r="L494" s="5">
        <f>+VLOOKUP($A494,MAGAZZINO!$B$2:$M$100000,12,FALSE)</f>
        <v/>
      </c>
      <c r="M494" s="47" t="n"/>
      <c r="N494" s="88" t="n">
        <v>45771</v>
      </c>
      <c r="O494" s="156" t="inlineStr">
        <is>
          <t>BIN HUMAID NATIONAL TRADING CO. (ARABIA SAUDITA)</t>
        </is>
      </c>
      <c r="P494" s="154" t="inlineStr">
        <is>
          <t>IMPORT LICENSE N. 7004424417/8/B/81 VALIDA FINO AL 28/04/2027                                                              AUT. ESPORTAZIONE MULTIPLA N. 6B/2025/1M RILASCIATA IL 24/02/2025   (LICENZA DI SCARICO N. 6B/2025/2S RILASCIATA IL 15/04/2025)</t>
        </is>
      </c>
      <c r="Q494" s="150" t="n"/>
      <c r="R494" s="150" t="n"/>
      <c r="S494" s="153" t="n"/>
    </row>
    <row r="495" ht="36" customHeight="1">
      <c r="A495" s="46" t="n">
        <v>2825</v>
      </c>
      <c r="B495" s="4">
        <f>+VLOOKUP($A495,MAGAZZINO!$B$2:$M$100000,2,FALSE)</f>
        <v/>
      </c>
      <c r="C495" s="29">
        <f>+VLOOKUP($A495,MAGAZZINO!$B$2:$M$100000,3,FALSE)</f>
        <v/>
      </c>
      <c r="D495" s="3">
        <f>+VLOOKUP($A495,MAGAZZINO!$B$2:$M$100000,4,FALSE)</f>
        <v/>
      </c>
      <c r="E495" s="3">
        <f>+VLOOKUP($A495,MAGAZZINO!$B$2:$M$100000,5,FALSE)</f>
        <v/>
      </c>
      <c r="F495" s="3">
        <f>+VLOOKUP($A495,MAGAZZINO!$B$2:$M$100000,6,FALSE)</f>
        <v/>
      </c>
      <c r="G495" s="3">
        <f>+VLOOKUP($A495,MAGAZZINO!$B$2:$M$100000,7,FALSE)</f>
        <v/>
      </c>
      <c r="H495" s="3">
        <f>+VLOOKUP($A495,MAGAZZINO!$B$2:$M$100000,8,FALSE)</f>
        <v/>
      </c>
      <c r="I495" s="3">
        <f>+VLOOKUP($A495,MAGAZZINO!$B$2:$M$100000,9,FALSE)</f>
        <v/>
      </c>
      <c r="J495" s="3">
        <f>+VLOOKUP($A495,MAGAZZINO!$B$2:$M$100000,10,FALSE)</f>
        <v/>
      </c>
      <c r="K495" s="3">
        <f>+VLOOKUP($A495,MAGAZZINO!$B$2:$M$100000,11,FALSE)</f>
        <v/>
      </c>
      <c r="L495" s="5">
        <f>+VLOOKUP($A495,MAGAZZINO!$B$2:$M$100000,12,FALSE)</f>
        <v/>
      </c>
      <c r="M495" s="47" t="n"/>
      <c r="N495" s="88" t="n">
        <v>45771</v>
      </c>
      <c r="O495" s="156" t="inlineStr">
        <is>
          <t>BIN HUMAID NATIONAL TRADING CO. (ARABIA SAUDITA)</t>
        </is>
      </c>
      <c r="P495" s="154" t="inlineStr">
        <is>
          <t>IMPORT LICENSE N. 7004424417/8/B/81 VALIDA FINO AL 28/04/2027                                                              AUT. ESPORTAZIONE MULTIPLA N. 6B/2025/1M RILASCIATA IL 24/02/2025   (LICENZA DI SCARICO N. 6B/2025/2S RILASCIATA IL 15/04/2025)</t>
        </is>
      </c>
      <c r="Q495" s="150" t="n"/>
      <c r="R495" s="150" t="n"/>
      <c r="S495" s="153" t="n"/>
    </row>
    <row r="496" ht="36" customHeight="1">
      <c r="A496" s="46" t="n">
        <v>2826</v>
      </c>
      <c r="B496" s="4">
        <f>+VLOOKUP($A496,MAGAZZINO!$B$2:$M$100000,2,FALSE)</f>
        <v/>
      </c>
      <c r="C496" s="29">
        <f>+VLOOKUP($A496,MAGAZZINO!$B$2:$M$100000,3,FALSE)</f>
        <v/>
      </c>
      <c r="D496" s="3">
        <f>+VLOOKUP($A496,MAGAZZINO!$B$2:$M$100000,4,FALSE)</f>
        <v/>
      </c>
      <c r="E496" s="3">
        <f>+VLOOKUP($A496,MAGAZZINO!$B$2:$M$100000,5,FALSE)</f>
        <v/>
      </c>
      <c r="F496" s="3">
        <f>+VLOOKUP($A496,MAGAZZINO!$B$2:$M$100000,6,FALSE)</f>
        <v/>
      </c>
      <c r="G496" s="3">
        <f>+VLOOKUP($A496,MAGAZZINO!$B$2:$M$100000,7,FALSE)</f>
        <v/>
      </c>
      <c r="H496" s="3">
        <f>+VLOOKUP($A496,MAGAZZINO!$B$2:$M$100000,8,FALSE)</f>
        <v/>
      </c>
      <c r="I496" s="3">
        <f>+VLOOKUP($A496,MAGAZZINO!$B$2:$M$100000,9,FALSE)</f>
        <v/>
      </c>
      <c r="J496" s="3">
        <f>+VLOOKUP($A496,MAGAZZINO!$B$2:$M$100000,10,FALSE)</f>
        <v/>
      </c>
      <c r="K496" s="3">
        <f>+VLOOKUP($A496,MAGAZZINO!$B$2:$M$100000,11,FALSE)</f>
        <v/>
      </c>
      <c r="L496" s="5">
        <f>+VLOOKUP($A496,MAGAZZINO!$B$2:$M$100000,12,FALSE)</f>
        <v/>
      </c>
      <c r="M496" s="47" t="n"/>
      <c r="N496" s="88" t="n">
        <v>45771</v>
      </c>
      <c r="O496" s="156" t="inlineStr">
        <is>
          <t>BIN HUMAID NATIONAL TRADING CO. (ARABIA SAUDITA)</t>
        </is>
      </c>
      <c r="P496" s="154" t="inlineStr">
        <is>
          <t>IMPORT LICENSE N. 7004424417/8/B/81 VALIDA FINO AL 28/04/2027                                                              AUT. ESPORTAZIONE MULTIPLA N. 6B/2025/1M RILASCIATA IL 24/02/2025   (LICENZA DI SCARICO N. 6B/2025/2S RILASCIATA IL 15/04/2025)</t>
        </is>
      </c>
      <c r="Q496" s="150" t="n"/>
      <c r="R496" s="150" t="n"/>
      <c r="S496" s="153" t="n"/>
    </row>
    <row r="497" ht="36" customHeight="1">
      <c r="A497" s="46" t="n">
        <v>2827</v>
      </c>
      <c r="B497" s="4">
        <f>+VLOOKUP($A497,MAGAZZINO!$B$2:$M$100000,2,FALSE)</f>
        <v/>
      </c>
      <c r="C497" s="29">
        <f>+VLOOKUP($A497,MAGAZZINO!$B$2:$M$100000,3,FALSE)</f>
        <v/>
      </c>
      <c r="D497" s="3">
        <f>+VLOOKUP($A497,MAGAZZINO!$B$2:$M$100000,4,FALSE)</f>
        <v/>
      </c>
      <c r="E497" s="3">
        <f>+VLOOKUP($A497,MAGAZZINO!$B$2:$M$100000,5,FALSE)</f>
        <v/>
      </c>
      <c r="F497" s="3">
        <f>+VLOOKUP($A497,MAGAZZINO!$B$2:$M$100000,6,FALSE)</f>
        <v/>
      </c>
      <c r="G497" s="3">
        <f>+VLOOKUP($A497,MAGAZZINO!$B$2:$M$100000,7,FALSE)</f>
        <v/>
      </c>
      <c r="H497" s="3">
        <f>+VLOOKUP($A497,MAGAZZINO!$B$2:$M$100000,8,FALSE)</f>
        <v/>
      </c>
      <c r="I497" s="3">
        <f>+VLOOKUP($A497,MAGAZZINO!$B$2:$M$100000,9,FALSE)</f>
        <v/>
      </c>
      <c r="J497" s="3">
        <f>+VLOOKUP($A497,MAGAZZINO!$B$2:$M$100000,10,FALSE)</f>
        <v/>
      </c>
      <c r="K497" s="3">
        <f>+VLOOKUP($A497,MAGAZZINO!$B$2:$M$100000,11,FALSE)</f>
        <v/>
      </c>
      <c r="L497" s="5">
        <f>+VLOOKUP($A497,MAGAZZINO!$B$2:$M$100000,12,FALSE)</f>
        <v/>
      </c>
      <c r="M497" s="47" t="n"/>
      <c r="N497" s="88" t="n">
        <v>45771</v>
      </c>
      <c r="O497" s="156" t="inlineStr">
        <is>
          <t>BIN HUMAID NATIONAL TRADING CO. (ARABIA SAUDITA)</t>
        </is>
      </c>
      <c r="P497" s="154" t="inlineStr">
        <is>
          <t>IMPORT LICENSE N. 7004424417/8/B/81 VALIDA FINO AL 28/04/2027                                                              AUT. ESPORTAZIONE MULTIPLA N. 6B/2025/1M RILASCIATA IL 24/02/2025   (LICENZA DI SCARICO N. 6B/2025/2S RILASCIATA IL 15/04/2025)</t>
        </is>
      </c>
      <c r="Q497" s="150" t="n"/>
      <c r="R497" s="150" t="n"/>
      <c r="S497" s="153" t="n"/>
    </row>
    <row r="498" ht="36" customHeight="1">
      <c r="A498" s="46" t="n">
        <v>2828</v>
      </c>
      <c r="B498" s="4">
        <f>+VLOOKUP($A498,MAGAZZINO!$B$2:$M$100000,2,FALSE)</f>
        <v/>
      </c>
      <c r="C498" s="29">
        <f>+VLOOKUP($A498,MAGAZZINO!$B$2:$M$100000,3,FALSE)</f>
        <v/>
      </c>
      <c r="D498" s="3">
        <f>+VLOOKUP($A498,MAGAZZINO!$B$2:$M$100000,4,FALSE)</f>
        <v/>
      </c>
      <c r="E498" s="3">
        <f>+VLOOKUP($A498,MAGAZZINO!$B$2:$M$100000,5,FALSE)</f>
        <v/>
      </c>
      <c r="F498" s="3">
        <f>+VLOOKUP($A498,MAGAZZINO!$B$2:$M$100000,6,FALSE)</f>
        <v/>
      </c>
      <c r="G498" s="3">
        <f>+VLOOKUP($A498,MAGAZZINO!$B$2:$M$100000,7,FALSE)</f>
        <v/>
      </c>
      <c r="H498" s="3">
        <f>+VLOOKUP($A498,MAGAZZINO!$B$2:$M$100000,8,FALSE)</f>
        <v/>
      </c>
      <c r="I498" s="3">
        <f>+VLOOKUP($A498,MAGAZZINO!$B$2:$M$100000,9,FALSE)</f>
        <v/>
      </c>
      <c r="J498" s="3">
        <f>+VLOOKUP($A498,MAGAZZINO!$B$2:$M$100000,10,FALSE)</f>
        <v/>
      </c>
      <c r="K498" s="3">
        <f>+VLOOKUP($A498,MAGAZZINO!$B$2:$M$100000,11,FALSE)</f>
        <v/>
      </c>
      <c r="L498" s="5">
        <f>+VLOOKUP($A498,MAGAZZINO!$B$2:$M$100000,12,FALSE)</f>
        <v/>
      </c>
      <c r="M498" s="47" t="n"/>
      <c r="N498" s="88" t="n">
        <v>45771</v>
      </c>
      <c r="O498" s="156" t="inlineStr">
        <is>
          <t>BIN HUMAID NATIONAL TRADING CO. (ARABIA SAUDITA)</t>
        </is>
      </c>
      <c r="P498" s="154" t="inlineStr">
        <is>
          <t>IMPORT LICENSE N. 7004424417/8/B/81 VALIDA FINO AL 28/04/2027                                                              AUT. ESPORTAZIONE MULTIPLA N. 6B/2025/1M RILASCIATA IL 24/02/2025   (LICENZA DI SCARICO N. 6B/2025/2S RILASCIATA IL 15/04/2025)</t>
        </is>
      </c>
      <c r="Q498" s="150" t="n"/>
      <c r="R498" s="150" t="n"/>
      <c r="S498" s="153" t="n"/>
    </row>
    <row r="499" ht="36" customHeight="1">
      <c r="A499" s="46" t="n">
        <v>2829</v>
      </c>
      <c r="B499" s="4">
        <f>+VLOOKUP($A499,MAGAZZINO!$B$2:$M$100000,2,FALSE)</f>
        <v/>
      </c>
      <c r="C499" s="29">
        <f>+VLOOKUP($A499,MAGAZZINO!$B$2:$M$100000,3,FALSE)</f>
        <v/>
      </c>
      <c r="D499" s="3">
        <f>+VLOOKUP($A499,MAGAZZINO!$B$2:$M$100000,4,FALSE)</f>
        <v/>
      </c>
      <c r="E499" s="3">
        <f>+VLOOKUP($A499,MAGAZZINO!$B$2:$M$100000,5,FALSE)</f>
        <v/>
      </c>
      <c r="F499" s="3">
        <f>+VLOOKUP($A499,MAGAZZINO!$B$2:$M$100000,6,FALSE)</f>
        <v/>
      </c>
      <c r="G499" s="3">
        <f>+VLOOKUP($A499,MAGAZZINO!$B$2:$M$100000,7,FALSE)</f>
        <v/>
      </c>
      <c r="H499" s="3">
        <f>+VLOOKUP($A499,MAGAZZINO!$B$2:$M$100000,8,FALSE)</f>
        <v/>
      </c>
      <c r="I499" s="3">
        <f>+VLOOKUP($A499,MAGAZZINO!$B$2:$M$100000,9,FALSE)</f>
        <v/>
      </c>
      <c r="J499" s="3">
        <f>+VLOOKUP($A499,MAGAZZINO!$B$2:$M$100000,10,FALSE)</f>
        <v/>
      </c>
      <c r="K499" s="3">
        <f>+VLOOKUP($A499,MAGAZZINO!$B$2:$M$100000,11,FALSE)</f>
        <v/>
      </c>
      <c r="L499" s="5">
        <f>+VLOOKUP($A499,MAGAZZINO!$B$2:$M$100000,12,FALSE)</f>
        <v/>
      </c>
      <c r="M499" s="47" t="n"/>
      <c r="N499" s="88" t="n">
        <v>45771</v>
      </c>
      <c r="O499" s="156" t="inlineStr">
        <is>
          <t>BIN HUMAID NATIONAL TRADING CO. (ARABIA SAUDITA)</t>
        </is>
      </c>
      <c r="P499" s="154" t="inlineStr">
        <is>
          <t>IMPORT LICENSE N. 7004424417/8/B/81 VALIDA FINO AL 28/04/2027                                                              AUT. ESPORTAZIONE MULTIPLA N. 6B/2025/1M RILASCIATA IL 24/02/2025   (LICENZA DI SCARICO N. 6B/2025/2S RILASCIATA IL 15/04/2025)</t>
        </is>
      </c>
      <c r="Q499" s="150" t="n"/>
      <c r="R499" s="150" t="n"/>
      <c r="S499" s="153" t="n"/>
    </row>
    <row r="500" ht="36" customHeight="1">
      <c r="A500" s="46" t="n">
        <v>2830</v>
      </c>
      <c r="B500" s="4">
        <f>+VLOOKUP($A500,MAGAZZINO!$B$2:$M$100000,2,FALSE)</f>
        <v/>
      </c>
      <c r="C500" s="29">
        <f>+VLOOKUP($A500,MAGAZZINO!$B$2:$M$100000,3,FALSE)</f>
        <v/>
      </c>
      <c r="D500" s="3">
        <f>+VLOOKUP($A500,MAGAZZINO!$B$2:$M$100000,4,FALSE)</f>
        <v/>
      </c>
      <c r="E500" s="3">
        <f>+VLOOKUP($A500,MAGAZZINO!$B$2:$M$100000,5,FALSE)</f>
        <v/>
      </c>
      <c r="F500" s="3">
        <f>+VLOOKUP($A500,MAGAZZINO!$B$2:$M$100000,6,FALSE)</f>
        <v/>
      </c>
      <c r="G500" s="3">
        <f>+VLOOKUP($A500,MAGAZZINO!$B$2:$M$100000,7,FALSE)</f>
        <v/>
      </c>
      <c r="H500" s="3">
        <f>+VLOOKUP($A500,MAGAZZINO!$B$2:$M$100000,8,FALSE)</f>
        <v/>
      </c>
      <c r="I500" s="3">
        <f>+VLOOKUP($A500,MAGAZZINO!$B$2:$M$100000,9,FALSE)</f>
        <v/>
      </c>
      <c r="J500" s="3">
        <f>+VLOOKUP($A500,MAGAZZINO!$B$2:$M$100000,10,FALSE)</f>
        <v/>
      </c>
      <c r="K500" s="3">
        <f>+VLOOKUP($A500,MAGAZZINO!$B$2:$M$100000,11,FALSE)</f>
        <v/>
      </c>
      <c r="L500" s="5">
        <f>+VLOOKUP($A500,MAGAZZINO!$B$2:$M$100000,12,FALSE)</f>
        <v/>
      </c>
      <c r="M500" s="47" t="n"/>
      <c r="N500" s="88" t="n">
        <v>45771</v>
      </c>
      <c r="O500" s="156" t="inlineStr">
        <is>
          <t>BIN HUMAID NATIONAL TRADING CO. (ARABIA SAUDITA)</t>
        </is>
      </c>
      <c r="P500" s="154" t="inlineStr">
        <is>
          <t>IMPORT LICENSE N. 7004424417/8/B/81 VALIDA FINO AL 28/04/2027                                                              AUT. ESPORTAZIONE MULTIPLA N. 6B/2025/1M RILASCIATA IL 24/02/2025   (LICENZA DI SCARICO N. 6B/2025/2S RILASCIATA IL 15/04/2025)</t>
        </is>
      </c>
      <c r="Q500" s="150" t="n"/>
      <c r="R500" s="150" t="n"/>
      <c r="S500" s="153" t="n"/>
    </row>
    <row r="501" ht="36" customHeight="1">
      <c r="A501" s="46" t="n">
        <v>2831</v>
      </c>
      <c r="B501" s="4">
        <f>+VLOOKUP($A501,MAGAZZINO!$B$2:$M$100000,2,FALSE)</f>
        <v/>
      </c>
      <c r="C501" s="29">
        <f>+VLOOKUP($A501,MAGAZZINO!$B$2:$M$100000,3,FALSE)</f>
        <v/>
      </c>
      <c r="D501" s="3">
        <f>+VLOOKUP($A501,MAGAZZINO!$B$2:$M$100000,4,FALSE)</f>
        <v/>
      </c>
      <c r="E501" s="3">
        <f>+VLOOKUP($A501,MAGAZZINO!$B$2:$M$100000,5,FALSE)</f>
        <v/>
      </c>
      <c r="F501" s="3">
        <f>+VLOOKUP($A501,MAGAZZINO!$B$2:$M$100000,6,FALSE)</f>
        <v/>
      </c>
      <c r="G501" s="3">
        <f>+VLOOKUP($A501,MAGAZZINO!$B$2:$M$100000,7,FALSE)</f>
        <v/>
      </c>
      <c r="H501" s="3">
        <f>+VLOOKUP($A501,MAGAZZINO!$B$2:$M$100000,8,FALSE)</f>
        <v/>
      </c>
      <c r="I501" s="3">
        <f>+VLOOKUP($A501,MAGAZZINO!$B$2:$M$100000,9,FALSE)</f>
        <v/>
      </c>
      <c r="J501" s="3">
        <f>+VLOOKUP($A501,MAGAZZINO!$B$2:$M$100000,10,FALSE)</f>
        <v/>
      </c>
      <c r="K501" s="3">
        <f>+VLOOKUP($A501,MAGAZZINO!$B$2:$M$100000,11,FALSE)</f>
        <v/>
      </c>
      <c r="L501" s="5">
        <f>+VLOOKUP($A501,MAGAZZINO!$B$2:$M$100000,12,FALSE)</f>
        <v/>
      </c>
      <c r="M501" s="47" t="n"/>
      <c r="N501" s="88" t="n">
        <v>45771</v>
      </c>
      <c r="O501" s="156" t="inlineStr">
        <is>
          <t>BIN HUMAID NATIONAL TRADING CO. (ARABIA SAUDITA)</t>
        </is>
      </c>
      <c r="P501" s="154" t="inlineStr">
        <is>
          <t>IMPORT LICENSE N. 7004424417/8/B/81 VALIDA FINO AL 28/04/2027                                                              AUT. ESPORTAZIONE MULTIPLA N. 6B/2025/1M RILASCIATA IL 24/02/2025   (LICENZA DI SCARICO N. 6B/2025/2S RILASCIATA IL 15/04/2025)</t>
        </is>
      </c>
      <c r="Q501" s="150" t="n"/>
      <c r="R501" s="150" t="n"/>
      <c r="S501" s="153" t="n"/>
    </row>
    <row r="502" ht="36" customHeight="1">
      <c r="A502" s="46" t="n">
        <v>2832</v>
      </c>
      <c r="B502" s="4">
        <f>+VLOOKUP($A502,MAGAZZINO!$B$2:$M$100000,2,FALSE)</f>
        <v/>
      </c>
      <c r="C502" s="29">
        <f>+VLOOKUP($A502,MAGAZZINO!$B$2:$M$100000,3,FALSE)</f>
        <v/>
      </c>
      <c r="D502" s="3">
        <f>+VLOOKUP($A502,MAGAZZINO!$B$2:$M$100000,4,FALSE)</f>
        <v/>
      </c>
      <c r="E502" s="3">
        <f>+VLOOKUP($A502,MAGAZZINO!$B$2:$M$100000,5,FALSE)</f>
        <v/>
      </c>
      <c r="F502" s="3">
        <f>+VLOOKUP($A502,MAGAZZINO!$B$2:$M$100000,6,FALSE)</f>
        <v/>
      </c>
      <c r="G502" s="3">
        <f>+VLOOKUP($A502,MAGAZZINO!$B$2:$M$100000,7,FALSE)</f>
        <v/>
      </c>
      <c r="H502" s="3">
        <f>+VLOOKUP($A502,MAGAZZINO!$B$2:$M$100000,8,FALSE)</f>
        <v/>
      </c>
      <c r="I502" s="3">
        <f>+VLOOKUP($A502,MAGAZZINO!$B$2:$M$100000,9,FALSE)</f>
        <v/>
      </c>
      <c r="J502" s="3">
        <f>+VLOOKUP($A502,MAGAZZINO!$B$2:$M$100000,10,FALSE)</f>
        <v/>
      </c>
      <c r="K502" s="3">
        <f>+VLOOKUP($A502,MAGAZZINO!$B$2:$M$100000,11,FALSE)</f>
        <v/>
      </c>
      <c r="L502" s="5">
        <f>+VLOOKUP($A502,MAGAZZINO!$B$2:$M$100000,12,FALSE)</f>
        <v/>
      </c>
      <c r="M502" s="47" t="n"/>
      <c r="N502" s="88" t="n">
        <v>45771</v>
      </c>
      <c r="O502" s="156" t="inlineStr">
        <is>
          <t>BIN HUMAID NATIONAL TRADING CO. (ARABIA SAUDITA)</t>
        </is>
      </c>
      <c r="P502" s="154" t="inlineStr">
        <is>
          <t>IMPORT LICENSE N. 7004424417/8/B/81 VALIDA FINO AL 28/04/2027                                                              AUT. ESPORTAZIONE MULTIPLA N. 6B/2025/1M RILASCIATA IL 24/02/2025   (LICENZA DI SCARICO N. 6B/2025/2S RILASCIATA IL 15/04/2025)</t>
        </is>
      </c>
      <c r="Q502" s="150" t="n"/>
      <c r="R502" s="150" t="n"/>
      <c r="S502" s="153" t="n"/>
    </row>
    <row r="503" ht="36" customHeight="1">
      <c r="A503" s="46" t="n">
        <v>2833</v>
      </c>
      <c r="B503" s="4">
        <f>+VLOOKUP($A503,MAGAZZINO!$B$2:$M$100000,2,FALSE)</f>
        <v/>
      </c>
      <c r="C503" s="29">
        <f>+VLOOKUP($A503,MAGAZZINO!$B$2:$M$100000,3,FALSE)</f>
        <v/>
      </c>
      <c r="D503" s="3">
        <f>+VLOOKUP($A503,MAGAZZINO!$B$2:$M$100000,4,FALSE)</f>
        <v/>
      </c>
      <c r="E503" s="3">
        <f>+VLOOKUP($A503,MAGAZZINO!$B$2:$M$100000,5,FALSE)</f>
        <v/>
      </c>
      <c r="F503" s="3">
        <f>+VLOOKUP($A503,MAGAZZINO!$B$2:$M$100000,6,FALSE)</f>
        <v/>
      </c>
      <c r="G503" s="3">
        <f>+VLOOKUP($A503,MAGAZZINO!$B$2:$M$100000,7,FALSE)</f>
        <v/>
      </c>
      <c r="H503" s="3">
        <f>+VLOOKUP($A503,MAGAZZINO!$B$2:$M$100000,8,FALSE)</f>
        <v/>
      </c>
      <c r="I503" s="3">
        <f>+VLOOKUP($A503,MAGAZZINO!$B$2:$M$100000,9,FALSE)</f>
        <v/>
      </c>
      <c r="J503" s="3">
        <f>+VLOOKUP($A503,MAGAZZINO!$B$2:$M$100000,10,FALSE)</f>
        <v/>
      </c>
      <c r="K503" s="3">
        <f>+VLOOKUP($A503,MAGAZZINO!$B$2:$M$100000,11,FALSE)</f>
        <v/>
      </c>
      <c r="L503" s="5">
        <f>+VLOOKUP($A503,MAGAZZINO!$B$2:$M$100000,12,FALSE)</f>
        <v/>
      </c>
      <c r="M503" s="47" t="n"/>
      <c r="N503" s="88" t="n">
        <v>45771</v>
      </c>
      <c r="O503" s="156" t="inlineStr">
        <is>
          <t>BIN HUMAID NATIONAL TRADING CO. (ARABIA SAUDITA)</t>
        </is>
      </c>
      <c r="P503" s="154" t="inlineStr">
        <is>
          <t>IMPORT LICENSE N. 7004424417/8/B/81 VALIDA FINO AL 28/04/2027                                                              AUT. ESPORTAZIONE MULTIPLA N. 6B/2025/1M RILASCIATA IL 24/02/2025   (LICENZA DI SCARICO N. 6B/2025/2S RILASCIATA IL 15/04/2025)</t>
        </is>
      </c>
      <c r="Q503" s="150" t="n"/>
      <c r="R503" s="150" t="n"/>
      <c r="S503" s="153" t="n"/>
    </row>
    <row r="504" ht="36" customHeight="1">
      <c r="A504" s="46" t="n">
        <v>2834</v>
      </c>
      <c r="B504" s="4">
        <f>+VLOOKUP($A504,MAGAZZINO!$B$2:$M$100000,2,FALSE)</f>
        <v/>
      </c>
      <c r="C504" s="29">
        <f>+VLOOKUP($A504,MAGAZZINO!$B$2:$M$100000,3,FALSE)</f>
        <v/>
      </c>
      <c r="D504" s="3">
        <f>+VLOOKUP($A504,MAGAZZINO!$B$2:$M$100000,4,FALSE)</f>
        <v/>
      </c>
      <c r="E504" s="3">
        <f>+VLOOKUP($A504,MAGAZZINO!$B$2:$M$100000,5,FALSE)</f>
        <v/>
      </c>
      <c r="F504" s="3">
        <f>+VLOOKUP($A504,MAGAZZINO!$B$2:$M$100000,6,FALSE)</f>
        <v/>
      </c>
      <c r="G504" s="3">
        <f>+VLOOKUP($A504,MAGAZZINO!$B$2:$M$100000,7,FALSE)</f>
        <v/>
      </c>
      <c r="H504" s="3">
        <f>+VLOOKUP($A504,MAGAZZINO!$B$2:$M$100000,8,FALSE)</f>
        <v/>
      </c>
      <c r="I504" s="3">
        <f>+VLOOKUP($A504,MAGAZZINO!$B$2:$M$100000,9,FALSE)</f>
        <v/>
      </c>
      <c r="J504" s="3">
        <f>+VLOOKUP($A504,MAGAZZINO!$B$2:$M$100000,10,FALSE)</f>
        <v/>
      </c>
      <c r="K504" s="3">
        <f>+VLOOKUP($A504,MAGAZZINO!$B$2:$M$100000,11,FALSE)</f>
        <v/>
      </c>
      <c r="L504" s="5">
        <f>+VLOOKUP($A504,MAGAZZINO!$B$2:$M$100000,12,FALSE)</f>
        <v/>
      </c>
      <c r="M504" s="47" t="n"/>
      <c r="N504" s="88" t="n">
        <v>45771</v>
      </c>
      <c r="O504" s="156" t="inlineStr">
        <is>
          <t>BIN HUMAID NATIONAL TRADING CO. (ARABIA SAUDITA)</t>
        </is>
      </c>
      <c r="P504" s="154" t="inlineStr">
        <is>
          <t>IMPORT LICENSE N. 7004424417/8/B/81 VALIDA FINO AL 28/04/2027                                                              AUT. ESPORTAZIONE MULTIPLA N. 6B/2025/1M RILASCIATA IL 24/02/2025   (LICENZA DI SCARICO N. 6B/2025/2S RILASCIATA IL 15/04/2025)</t>
        </is>
      </c>
      <c r="Q504" s="150" t="n"/>
      <c r="R504" s="150" t="n"/>
      <c r="S504" s="153" t="n"/>
    </row>
    <row r="505" ht="36" customHeight="1">
      <c r="A505" s="46" t="n">
        <v>2835</v>
      </c>
      <c r="B505" s="4">
        <f>+VLOOKUP($A505,MAGAZZINO!$B$2:$M$100000,2,FALSE)</f>
        <v/>
      </c>
      <c r="C505" s="29">
        <f>+VLOOKUP($A505,MAGAZZINO!$B$2:$M$100000,3,FALSE)</f>
        <v/>
      </c>
      <c r="D505" s="3">
        <f>+VLOOKUP($A505,MAGAZZINO!$B$2:$M$100000,4,FALSE)</f>
        <v/>
      </c>
      <c r="E505" s="3">
        <f>+VLOOKUP($A505,MAGAZZINO!$B$2:$M$100000,5,FALSE)</f>
        <v/>
      </c>
      <c r="F505" s="3">
        <f>+VLOOKUP($A505,MAGAZZINO!$B$2:$M$100000,6,FALSE)</f>
        <v/>
      </c>
      <c r="G505" s="3">
        <f>+VLOOKUP($A505,MAGAZZINO!$B$2:$M$100000,7,FALSE)</f>
        <v/>
      </c>
      <c r="H505" s="3">
        <f>+VLOOKUP($A505,MAGAZZINO!$B$2:$M$100000,8,FALSE)</f>
        <v/>
      </c>
      <c r="I505" s="3">
        <f>+VLOOKUP($A505,MAGAZZINO!$B$2:$M$100000,9,FALSE)</f>
        <v/>
      </c>
      <c r="J505" s="3">
        <f>+VLOOKUP($A505,MAGAZZINO!$B$2:$M$100000,10,FALSE)</f>
        <v/>
      </c>
      <c r="K505" s="3">
        <f>+VLOOKUP($A505,MAGAZZINO!$B$2:$M$100000,11,FALSE)</f>
        <v/>
      </c>
      <c r="L505" s="5">
        <f>+VLOOKUP($A505,MAGAZZINO!$B$2:$M$100000,12,FALSE)</f>
        <v/>
      </c>
      <c r="M505" s="47" t="n"/>
      <c r="N505" s="88" t="n">
        <v>45771</v>
      </c>
      <c r="O505" s="156" t="inlineStr">
        <is>
          <t>BIN HUMAID NATIONAL TRADING CO. (ARABIA SAUDITA)</t>
        </is>
      </c>
      <c r="P505" s="154" t="inlineStr">
        <is>
          <t>IMPORT LICENSE N. 7004424417/8/B/81 VALIDA FINO AL 28/04/2027                                                              AUT. ESPORTAZIONE MULTIPLA N. 6B/2025/1M RILASCIATA IL 24/02/2025   (LICENZA DI SCARICO N. 6B/2025/2S RILASCIATA IL 15/04/2025)</t>
        </is>
      </c>
      <c r="Q505" s="150" t="n"/>
      <c r="R505" s="150" t="n"/>
      <c r="S505" s="153" t="n"/>
    </row>
    <row r="506" ht="36" customHeight="1">
      <c r="A506" s="46" t="n">
        <v>2836</v>
      </c>
      <c r="B506" s="4">
        <f>+VLOOKUP($A506,MAGAZZINO!$B$2:$M$100000,2,FALSE)</f>
        <v/>
      </c>
      <c r="C506" s="29">
        <f>+VLOOKUP($A506,MAGAZZINO!$B$2:$M$100000,3,FALSE)</f>
        <v/>
      </c>
      <c r="D506" s="3">
        <f>+VLOOKUP($A506,MAGAZZINO!$B$2:$M$100000,4,FALSE)</f>
        <v/>
      </c>
      <c r="E506" s="3">
        <f>+VLOOKUP($A506,MAGAZZINO!$B$2:$M$100000,5,FALSE)</f>
        <v/>
      </c>
      <c r="F506" s="3">
        <f>+VLOOKUP($A506,MAGAZZINO!$B$2:$M$100000,6,FALSE)</f>
        <v/>
      </c>
      <c r="G506" s="3">
        <f>+VLOOKUP($A506,MAGAZZINO!$B$2:$M$100000,7,FALSE)</f>
        <v/>
      </c>
      <c r="H506" s="3">
        <f>+VLOOKUP($A506,MAGAZZINO!$B$2:$M$100000,8,FALSE)</f>
        <v/>
      </c>
      <c r="I506" s="3">
        <f>+VLOOKUP($A506,MAGAZZINO!$B$2:$M$100000,9,FALSE)</f>
        <v/>
      </c>
      <c r="J506" s="3">
        <f>+VLOOKUP($A506,MAGAZZINO!$B$2:$M$100000,10,FALSE)</f>
        <v/>
      </c>
      <c r="K506" s="3">
        <f>+VLOOKUP($A506,MAGAZZINO!$B$2:$M$100000,11,FALSE)</f>
        <v/>
      </c>
      <c r="L506" s="5">
        <f>+VLOOKUP($A506,MAGAZZINO!$B$2:$M$100000,12,FALSE)</f>
        <v/>
      </c>
      <c r="M506" s="47" t="n"/>
      <c r="N506" s="88" t="n">
        <v>45771</v>
      </c>
      <c r="O506" s="156" t="inlineStr">
        <is>
          <t>BIN HUMAID NATIONAL TRADING CO. (ARABIA SAUDITA)</t>
        </is>
      </c>
      <c r="P506" s="154" t="inlineStr">
        <is>
          <t>IMPORT LICENSE N. 7004424417/8/B/81 VALIDA FINO AL 28/04/2027                                                              AUT. ESPORTAZIONE MULTIPLA N. 6B/2025/1M RILASCIATA IL 24/02/2025   (LICENZA DI SCARICO N. 6B/2025/2S RILASCIATA IL 15/04/2025)</t>
        </is>
      </c>
      <c r="Q506" s="150" t="n"/>
      <c r="R506" s="150" t="n"/>
      <c r="S506" s="153" t="n"/>
    </row>
    <row r="507" ht="36" customHeight="1">
      <c r="A507" s="46" t="n">
        <v>2837</v>
      </c>
      <c r="B507" s="4">
        <f>+VLOOKUP($A507,MAGAZZINO!$B$2:$M$100000,2,FALSE)</f>
        <v/>
      </c>
      <c r="C507" s="29">
        <f>+VLOOKUP($A507,MAGAZZINO!$B$2:$M$100000,3,FALSE)</f>
        <v/>
      </c>
      <c r="D507" s="3">
        <f>+VLOOKUP($A507,MAGAZZINO!$B$2:$M$100000,4,FALSE)</f>
        <v/>
      </c>
      <c r="E507" s="3">
        <f>+VLOOKUP($A507,MAGAZZINO!$B$2:$M$100000,5,FALSE)</f>
        <v/>
      </c>
      <c r="F507" s="3">
        <f>+VLOOKUP($A507,MAGAZZINO!$B$2:$M$100000,6,FALSE)</f>
        <v/>
      </c>
      <c r="G507" s="3">
        <f>+VLOOKUP($A507,MAGAZZINO!$B$2:$M$100000,7,FALSE)</f>
        <v/>
      </c>
      <c r="H507" s="3">
        <f>+VLOOKUP($A507,MAGAZZINO!$B$2:$M$100000,8,FALSE)</f>
        <v/>
      </c>
      <c r="I507" s="3">
        <f>+VLOOKUP($A507,MAGAZZINO!$B$2:$M$100000,9,FALSE)</f>
        <v/>
      </c>
      <c r="J507" s="3">
        <f>+VLOOKUP($A507,MAGAZZINO!$B$2:$M$100000,10,FALSE)</f>
        <v/>
      </c>
      <c r="K507" s="3">
        <f>+VLOOKUP($A507,MAGAZZINO!$B$2:$M$100000,11,FALSE)</f>
        <v/>
      </c>
      <c r="L507" s="5">
        <f>+VLOOKUP($A507,MAGAZZINO!$B$2:$M$100000,12,FALSE)</f>
        <v/>
      </c>
      <c r="M507" s="47" t="n"/>
      <c r="N507" s="88" t="n">
        <v>45771</v>
      </c>
      <c r="O507" s="156" t="inlineStr">
        <is>
          <t>BIN HUMAID NATIONAL TRADING CO. (ARABIA SAUDITA)</t>
        </is>
      </c>
      <c r="P507" s="154" t="inlineStr">
        <is>
          <t>IMPORT LICENSE N. 7004424417/8/B/81 VALIDA FINO AL 28/04/2027                                                              AUT. ESPORTAZIONE MULTIPLA N. 6B/2025/1M RILASCIATA IL 24/02/2025   (LICENZA DI SCARICO N. 6B/2025/2S RILASCIATA IL 15/04/2025)</t>
        </is>
      </c>
      <c r="Q507" s="150" t="n"/>
      <c r="R507" s="150" t="n"/>
      <c r="S507" s="153" t="n"/>
    </row>
    <row r="508" ht="36" customHeight="1">
      <c r="A508" s="46" t="n">
        <v>2838</v>
      </c>
      <c r="B508" s="4">
        <f>+VLOOKUP($A508,MAGAZZINO!$B$2:$M$100000,2,FALSE)</f>
        <v/>
      </c>
      <c r="C508" s="29">
        <f>+VLOOKUP($A508,MAGAZZINO!$B$2:$M$100000,3,FALSE)</f>
        <v/>
      </c>
      <c r="D508" s="3">
        <f>+VLOOKUP($A508,MAGAZZINO!$B$2:$M$100000,4,FALSE)</f>
        <v/>
      </c>
      <c r="E508" s="3">
        <f>+VLOOKUP($A508,MAGAZZINO!$B$2:$M$100000,5,FALSE)</f>
        <v/>
      </c>
      <c r="F508" s="3">
        <f>+VLOOKUP($A508,MAGAZZINO!$B$2:$M$100000,6,FALSE)</f>
        <v/>
      </c>
      <c r="G508" s="3">
        <f>+VLOOKUP($A508,MAGAZZINO!$B$2:$M$100000,7,FALSE)</f>
        <v/>
      </c>
      <c r="H508" s="3">
        <f>+VLOOKUP($A508,MAGAZZINO!$B$2:$M$100000,8,FALSE)</f>
        <v/>
      </c>
      <c r="I508" s="3">
        <f>+VLOOKUP($A508,MAGAZZINO!$B$2:$M$100000,9,FALSE)</f>
        <v/>
      </c>
      <c r="J508" s="3">
        <f>+VLOOKUP($A508,MAGAZZINO!$B$2:$M$100000,10,FALSE)</f>
        <v/>
      </c>
      <c r="K508" s="3">
        <f>+VLOOKUP($A508,MAGAZZINO!$B$2:$M$100000,11,FALSE)</f>
        <v/>
      </c>
      <c r="L508" s="5">
        <f>+VLOOKUP($A508,MAGAZZINO!$B$2:$M$100000,12,FALSE)</f>
        <v/>
      </c>
      <c r="M508" s="47" t="n"/>
      <c r="N508" s="88" t="n">
        <v>45771</v>
      </c>
      <c r="O508" s="156" t="inlineStr">
        <is>
          <t>BIN HUMAID NATIONAL TRADING CO. (ARABIA SAUDITA)</t>
        </is>
      </c>
      <c r="P508" s="154" t="inlineStr">
        <is>
          <t>IMPORT LICENSE N. 7004424417/8/B/81 VALIDA FINO AL 28/04/2027                                                              AUT. ESPORTAZIONE MULTIPLA N. 6B/2025/1M RILASCIATA IL 24/02/2025   (LICENZA DI SCARICO N. 6B/2025/2S RILASCIATA IL 15/04/2025)</t>
        </is>
      </c>
      <c r="Q508" s="150" t="n"/>
      <c r="R508" s="150" t="n"/>
      <c r="S508" s="153" t="n"/>
    </row>
    <row r="509" ht="36" customHeight="1">
      <c r="A509" s="46" t="n">
        <v>2839</v>
      </c>
      <c r="B509" s="4">
        <f>+VLOOKUP($A509,MAGAZZINO!$B$2:$M$100000,2,FALSE)</f>
        <v/>
      </c>
      <c r="C509" s="29">
        <f>+VLOOKUP($A509,MAGAZZINO!$B$2:$M$100000,3,FALSE)</f>
        <v/>
      </c>
      <c r="D509" s="3">
        <f>+VLOOKUP($A509,MAGAZZINO!$B$2:$M$100000,4,FALSE)</f>
        <v/>
      </c>
      <c r="E509" s="3">
        <f>+VLOOKUP($A509,MAGAZZINO!$B$2:$M$100000,5,FALSE)</f>
        <v/>
      </c>
      <c r="F509" s="3">
        <f>+VLOOKUP($A509,MAGAZZINO!$B$2:$M$100000,6,FALSE)</f>
        <v/>
      </c>
      <c r="G509" s="3">
        <f>+VLOOKUP($A509,MAGAZZINO!$B$2:$M$100000,7,FALSE)</f>
        <v/>
      </c>
      <c r="H509" s="3">
        <f>+VLOOKUP($A509,MAGAZZINO!$B$2:$M$100000,8,FALSE)</f>
        <v/>
      </c>
      <c r="I509" s="3">
        <f>+VLOOKUP($A509,MAGAZZINO!$B$2:$M$100000,9,FALSE)</f>
        <v/>
      </c>
      <c r="J509" s="3">
        <f>+VLOOKUP($A509,MAGAZZINO!$B$2:$M$100000,10,FALSE)</f>
        <v/>
      </c>
      <c r="K509" s="3">
        <f>+VLOOKUP($A509,MAGAZZINO!$B$2:$M$100000,11,FALSE)</f>
        <v/>
      </c>
      <c r="L509" s="5">
        <f>+VLOOKUP($A509,MAGAZZINO!$B$2:$M$100000,12,FALSE)</f>
        <v/>
      </c>
      <c r="M509" s="47" t="n"/>
      <c r="N509" s="88" t="n">
        <v>45771</v>
      </c>
      <c r="O509" s="156" t="inlineStr">
        <is>
          <t>BIN HUMAID NATIONAL TRADING CO. (ARABIA SAUDITA)</t>
        </is>
      </c>
      <c r="P509" s="154" t="inlineStr">
        <is>
          <t>IMPORT LICENSE N. 7004424417/8/B/81 VALIDA FINO AL 28/04/2027                                                              AUT. ESPORTAZIONE MULTIPLA N. 6B/2025/1M RILASCIATA IL 24/02/2025   (LICENZA DI SCARICO N. 6B/2025/2S RILASCIATA IL 15/04/2025)</t>
        </is>
      </c>
      <c r="Q509" s="150" t="n"/>
      <c r="R509" s="150" t="n"/>
      <c r="S509" s="153" t="n"/>
    </row>
    <row r="510" ht="36" customHeight="1">
      <c r="A510" s="46" t="n">
        <v>2840</v>
      </c>
      <c r="B510" s="4">
        <f>+VLOOKUP($A510,MAGAZZINO!$B$2:$M$100000,2,FALSE)</f>
        <v/>
      </c>
      <c r="C510" s="29">
        <f>+VLOOKUP($A510,MAGAZZINO!$B$2:$M$100000,3,FALSE)</f>
        <v/>
      </c>
      <c r="D510" s="3">
        <f>+VLOOKUP($A510,MAGAZZINO!$B$2:$M$100000,4,FALSE)</f>
        <v/>
      </c>
      <c r="E510" s="3">
        <f>+VLOOKUP($A510,MAGAZZINO!$B$2:$M$100000,5,FALSE)</f>
        <v/>
      </c>
      <c r="F510" s="3">
        <f>+VLOOKUP($A510,MAGAZZINO!$B$2:$M$100000,6,FALSE)</f>
        <v/>
      </c>
      <c r="G510" s="3">
        <f>+VLOOKUP($A510,MAGAZZINO!$B$2:$M$100000,7,FALSE)</f>
        <v/>
      </c>
      <c r="H510" s="3">
        <f>+VLOOKUP($A510,MAGAZZINO!$B$2:$M$100000,8,FALSE)</f>
        <v/>
      </c>
      <c r="I510" s="3">
        <f>+VLOOKUP($A510,MAGAZZINO!$B$2:$M$100000,9,FALSE)</f>
        <v/>
      </c>
      <c r="J510" s="3">
        <f>+VLOOKUP($A510,MAGAZZINO!$B$2:$M$100000,10,FALSE)</f>
        <v/>
      </c>
      <c r="K510" s="3">
        <f>+VLOOKUP($A510,MAGAZZINO!$B$2:$M$100000,11,FALSE)</f>
        <v/>
      </c>
      <c r="L510" s="5">
        <f>+VLOOKUP($A510,MAGAZZINO!$B$2:$M$100000,12,FALSE)</f>
        <v/>
      </c>
      <c r="M510" s="47" t="n"/>
      <c r="N510" s="88" t="n">
        <v>45771</v>
      </c>
      <c r="O510" s="156" t="inlineStr">
        <is>
          <t>BIN HUMAID NATIONAL TRADING CO. (ARABIA SAUDITA)</t>
        </is>
      </c>
      <c r="P510" s="154" t="inlineStr">
        <is>
          <t>IMPORT LICENSE N. 7004424417/8/B/81 VALIDA FINO AL 28/04/2027                                                              AUT. ESPORTAZIONE MULTIPLA N. 6B/2025/1M RILASCIATA IL 24/02/2025   (LICENZA DI SCARICO N. 6B/2025/2S RILASCIATA IL 15/04/2025)</t>
        </is>
      </c>
      <c r="Q510" s="150" t="n"/>
      <c r="R510" s="150" t="n"/>
      <c r="S510" s="153" t="n"/>
    </row>
    <row r="511" ht="36" customHeight="1">
      <c r="A511" s="46" t="n">
        <v>2841</v>
      </c>
      <c r="B511" s="4">
        <f>+VLOOKUP($A511,MAGAZZINO!$B$2:$M$100000,2,FALSE)</f>
        <v/>
      </c>
      <c r="C511" s="29">
        <f>+VLOOKUP($A511,MAGAZZINO!$B$2:$M$100000,3,FALSE)</f>
        <v/>
      </c>
      <c r="D511" s="3">
        <f>+VLOOKUP($A511,MAGAZZINO!$B$2:$M$100000,4,FALSE)</f>
        <v/>
      </c>
      <c r="E511" s="3">
        <f>+VLOOKUP($A511,MAGAZZINO!$B$2:$M$100000,5,FALSE)</f>
        <v/>
      </c>
      <c r="F511" s="3">
        <f>+VLOOKUP($A511,MAGAZZINO!$B$2:$M$100000,6,FALSE)</f>
        <v/>
      </c>
      <c r="G511" s="3">
        <f>+VLOOKUP($A511,MAGAZZINO!$B$2:$M$100000,7,FALSE)</f>
        <v/>
      </c>
      <c r="H511" s="3">
        <f>+VLOOKUP($A511,MAGAZZINO!$B$2:$M$100000,8,FALSE)</f>
        <v/>
      </c>
      <c r="I511" s="3">
        <f>+VLOOKUP($A511,MAGAZZINO!$B$2:$M$100000,9,FALSE)</f>
        <v/>
      </c>
      <c r="J511" s="3">
        <f>+VLOOKUP($A511,MAGAZZINO!$B$2:$M$100000,10,FALSE)</f>
        <v/>
      </c>
      <c r="K511" s="3">
        <f>+VLOOKUP($A511,MAGAZZINO!$B$2:$M$100000,11,FALSE)</f>
        <v/>
      </c>
      <c r="L511" s="5">
        <f>+VLOOKUP($A511,MAGAZZINO!$B$2:$M$100000,12,FALSE)</f>
        <v/>
      </c>
      <c r="M511" s="47" t="n"/>
      <c r="N511" s="88" t="n">
        <v>45771</v>
      </c>
      <c r="O511" s="156" t="inlineStr">
        <is>
          <t>BIN HUMAID NATIONAL TRADING CO. (ARABIA SAUDITA)</t>
        </is>
      </c>
      <c r="P511" s="154" t="inlineStr">
        <is>
          <t>IMPORT LICENSE N. 7004424417/8/B/81 VALIDA FINO AL 28/04/2027                                                              AUT. ESPORTAZIONE MULTIPLA N. 6B/2025/1M RILASCIATA IL 24/02/2025   (LICENZA DI SCARICO N. 6B/2025/2S RILASCIATA IL 15/04/2025)</t>
        </is>
      </c>
      <c r="Q511" s="150" t="n"/>
      <c r="R511" s="150" t="n"/>
      <c r="S511" s="153" t="n"/>
    </row>
    <row r="512" ht="36" customHeight="1">
      <c r="A512" s="46" t="n">
        <v>2842</v>
      </c>
      <c r="B512" s="4">
        <f>+VLOOKUP($A512,MAGAZZINO!$B$2:$M$100000,2,FALSE)</f>
        <v/>
      </c>
      <c r="C512" s="29">
        <f>+VLOOKUP($A512,MAGAZZINO!$B$2:$M$100000,3,FALSE)</f>
        <v/>
      </c>
      <c r="D512" s="3">
        <f>+VLOOKUP($A512,MAGAZZINO!$B$2:$M$100000,4,FALSE)</f>
        <v/>
      </c>
      <c r="E512" s="3">
        <f>+VLOOKUP($A512,MAGAZZINO!$B$2:$M$100000,5,FALSE)</f>
        <v/>
      </c>
      <c r="F512" s="3">
        <f>+VLOOKUP($A512,MAGAZZINO!$B$2:$M$100000,6,FALSE)</f>
        <v/>
      </c>
      <c r="G512" s="3">
        <f>+VLOOKUP($A512,MAGAZZINO!$B$2:$M$100000,7,FALSE)</f>
        <v/>
      </c>
      <c r="H512" s="3">
        <f>+VLOOKUP($A512,MAGAZZINO!$B$2:$M$100000,8,FALSE)</f>
        <v/>
      </c>
      <c r="I512" s="3">
        <f>+VLOOKUP($A512,MAGAZZINO!$B$2:$M$100000,9,FALSE)</f>
        <v/>
      </c>
      <c r="J512" s="3">
        <f>+VLOOKUP($A512,MAGAZZINO!$B$2:$M$100000,10,FALSE)</f>
        <v/>
      </c>
      <c r="K512" s="3">
        <f>+VLOOKUP($A512,MAGAZZINO!$B$2:$M$100000,11,FALSE)</f>
        <v/>
      </c>
      <c r="L512" s="5">
        <f>+VLOOKUP($A512,MAGAZZINO!$B$2:$M$100000,12,FALSE)</f>
        <v/>
      </c>
      <c r="M512" s="47" t="n"/>
      <c r="N512" s="88" t="n">
        <v>45771</v>
      </c>
      <c r="O512" s="156" t="inlineStr">
        <is>
          <t>BIN HUMAID NATIONAL TRADING CO. (ARABIA SAUDITA)</t>
        </is>
      </c>
      <c r="P512" s="154" t="inlineStr">
        <is>
          <t>IMPORT LICENSE N. 7004424417/8/B/81 VALIDA FINO AL 28/04/2027                                                              AUT. ESPORTAZIONE MULTIPLA N. 6B/2025/1M RILASCIATA IL 24/02/2025   (LICENZA DI SCARICO N. 6B/2025/2S RILASCIATA IL 15/04/2025)</t>
        </is>
      </c>
      <c r="Q512" s="150" t="n"/>
      <c r="R512" s="150" t="n"/>
      <c r="S512" s="153" t="n"/>
    </row>
    <row r="513" ht="36" customHeight="1">
      <c r="A513" s="46" t="n">
        <v>2843</v>
      </c>
      <c r="B513" s="4">
        <f>+VLOOKUP($A513,MAGAZZINO!$B$2:$M$100000,2,FALSE)</f>
        <v/>
      </c>
      <c r="C513" s="29">
        <f>+VLOOKUP($A513,MAGAZZINO!$B$2:$M$100000,3,FALSE)</f>
        <v/>
      </c>
      <c r="D513" s="3">
        <f>+VLOOKUP($A513,MAGAZZINO!$B$2:$M$100000,4,FALSE)</f>
        <v/>
      </c>
      <c r="E513" s="3">
        <f>+VLOOKUP($A513,MAGAZZINO!$B$2:$M$100000,5,FALSE)</f>
        <v/>
      </c>
      <c r="F513" s="3">
        <f>+VLOOKUP($A513,MAGAZZINO!$B$2:$M$100000,6,FALSE)</f>
        <v/>
      </c>
      <c r="G513" s="3">
        <f>+VLOOKUP($A513,MAGAZZINO!$B$2:$M$100000,7,FALSE)</f>
        <v/>
      </c>
      <c r="H513" s="3">
        <f>+VLOOKUP($A513,MAGAZZINO!$B$2:$M$100000,8,FALSE)</f>
        <v/>
      </c>
      <c r="I513" s="3">
        <f>+VLOOKUP($A513,MAGAZZINO!$B$2:$M$100000,9,FALSE)</f>
        <v/>
      </c>
      <c r="J513" s="3">
        <f>+VLOOKUP($A513,MAGAZZINO!$B$2:$M$100000,10,FALSE)</f>
        <v/>
      </c>
      <c r="K513" s="3">
        <f>+VLOOKUP($A513,MAGAZZINO!$B$2:$M$100000,11,FALSE)</f>
        <v/>
      </c>
      <c r="L513" s="5">
        <f>+VLOOKUP($A513,MAGAZZINO!$B$2:$M$100000,12,FALSE)</f>
        <v/>
      </c>
      <c r="M513" s="47" t="n"/>
      <c r="N513" s="88" t="n">
        <v>45771</v>
      </c>
      <c r="O513" s="156" t="inlineStr">
        <is>
          <t>BIN HUMAID NATIONAL TRADING CO. (ARABIA SAUDITA)</t>
        </is>
      </c>
      <c r="P513" s="154" t="inlineStr">
        <is>
          <t>IMPORT LICENSE N. 7004424417/8/B/81 VALIDA FINO AL 28/04/2027                                                              AUT. ESPORTAZIONE MULTIPLA N. 6B/2025/1M RILASCIATA IL 24/02/2025   (LICENZA DI SCARICO N. 6B/2025/2S RILASCIATA IL 15/04/2025)</t>
        </is>
      </c>
      <c r="Q513" s="150" t="n"/>
      <c r="R513" s="150" t="n"/>
      <c r="S513" s="153" t="n"/>
    </row>
    <row r="514" ht="36" customHeight="1">
      <c r="A514" s="46" t="n">
        <v>2844</v>
      </c>
      <c r="B514" s="4">
        <f>+VLOOKUP($A514,MAGAZZINO!$B$2:$M$100000,2,FALSE)</f>
        <v/>
      </c>
      <c r="C514" s="29">
        <f>+VLOOKUP($A514,MAGAZZINO!$B$2:$M$100000,3,FALSE)</f>
        <v/>
      </c>
      <c r="D514" s="3">
        <f>+VLOOKUP($A514,MAGAZZINO!$B$2:$M$100000,4,FALSE)</f>
        <v/>
      </c>
      <c r="E514" s="3">
        <f>+VLOOKUP($A514,MAGAZZINO!$B$2:$M$100000,5,FALSE)</f>
        <v/>
      </c>
      <c r="F514" s="3">
        <f>+VLOOKUP($A514,MAGAZZINO!$B$2:$M$100000,6,FALSE)</f>
        <v/>
      </c>
      <c r="G514" s="3">
        <f>+VLOOKUP($A514,MAGAZZINO!$B$2:$M$100000,7,FALSE)</f>
        <v/>
      </c>
      <c r="H514" s="3">
        <f>+VLOOKUP($A514,MAGAZZINO!$B$2:$M$100000,8,FALSE)</f>
        <v/>
      </c>
      <c r="I514" s="3">
        <f>+VLOOKUP($A514,MAGAZZINO!$B$2:$M$100000,9,FALSE)</f>
        <v/>
      </c>
      <c r="J514" s="3">
        <f>+VLOOKUP($A514,MAGAZZINO!$B$2:$M$100000,10,FALSE)</f>
        <v/>
      </c>
      <c r="K514" s="3">
        <f>+VLOOKUP($A514,MAGAZZINO!$B$2:$M$100000,11,FALSE)</f>
        <v/>
      </c>
      <c r="L514" s="5">
        <f>+VLOOKUP($A514,MAGAZZINO!$B$2:$M$100000,12,FALSE)</f>
        <v/>
      </c>
      <c r="M514" s="47" t="n"/>
      <c r="N514" s="88" t="n">
        <v>45771</v>
      </c>
      <c r="O514" s="156" t="inlineStr">
        <is>
          <t>BIN HUMAID NATIONAL TRADING CO. (ARABIA SAUDITA)</t>
        </is>
      </c>
      <c r="P514" s="154" t="inlineStr">
        <is>
          <t>IMPORT LICENSE N. 7004424417/8/B/81 VALIDA FINO AL 28/04/2027                                                              AUT. ESPORTAZIONE MULTIPLA N. 6B/2025/1M RILASCIATA IL 24/02/2025   (LICENZA DI SCARICO N. 6B/2025/2S RILASCIATA IL 15/04/2025)</t>
        </is>
      </c>
      <c r="Q514" s="150" t="n"/>
      <c r="R514" s="150" t="n"/>
      <c r="S514" s="153" t="n"/>
    </row>
    <row r="515" ht="36" customHeight="1">
      <c r="A515" s="46" t="n">
        <v>2845</v>
      </c>
      <c r="B515" s="4">
        <f>+VLOOKUP($A515,MAGAZZINO!$B$2:$M$100000,2,FALSE)</f>
        <v/>
      </c>
      <c r="C515" s="29">
        <f>+VLOOKUP($A515,MAGAZZINO!$B$2:$M$100000,3,FALSE)</f>
        <v/>
      </c>
      <c r="D515" s="3">
        <f>+VLOOKUP($A515,MAGAZZINO!$B$2:$M$100000,4,FALSE)</f>
        <v/>
      </c>
      <c r="E515" s="3">
        <f>+VLOOKUP($A515,MAGAZZINO!$B$2:$M$100000,5,FALSE)</f>
        <v/>
      </c>
      <c r="F515" s="3">
        <f>+VLOOKUP($A515,MAGAZZINO!$B$2:$M$100000,6,FALSE)</f>
        <v/>
      </c>
      <c r="G515" s="3">
        <f>+VLOOKUP($A515,MAGAZZINO!$B$2:$M$100000,7,FALSE)</f>
        <v/>
      </c>
      <c r="H515" s="3">
        <f>+VLOOKUP($A515,MAGAZZINO!$B$2:$M$100000,8,FALSE)</f>
        <v/>
      </c>
      <c r="I515" s="3">
        <f>+VLOOKUP($A515,MAGAZZINO!$B$2:$M$100000,9,FALSE)</f>
        <v/>
      </c>
      <c r="J515" s="3">
        <f>+VLOOKUP($A515,MAGAZZINO!$B$2:$M$100000,10,FALSE)</f>
        <v/>
      </c>
      <c r="K515" s="3">
        <f>+VLOOKUP($A515,MAGAZZINO!$B$2:$M$100000,11,FALSE)</f>
        <v/>
      </c>
      <c r="L515" s="5">
        <f>+VLOOKUP($A515,MAGAZZINO!$B$2:$M$100000,12,FALSE)</f>
        <v/>
      </c>
      <c r="M515" s="47" t="n"/>
      <c r="N515" s="88" t="n">
        <v>45771</v>
      </c>
      <c r="O515" s="156" t="inlineStr">
        <is>
          <t>BIN HUMAID NATIONAL TRADING CO. (ARABIA SAUDITA)</t>
        </is>
      </c>
      <c r="P515" s="154" t="inlineStr">
        <is>
          <t>IMPORT LICENSE N. 7004424417/8/B/81 VALIDA FINO AL 28/04/2027                                                              AUT. ESPORTAZIONE MULTIPLA N. 6B/2025/1M RILASCIATA IL 24/02/2025   (LICENZA DI SCARICO N. 6B/2025/2S RILASCIATA IL 15/04/2025)</t>
        </is>
      </c>
      <c r="Q515" s="150" t="n"/>
      <c r="R515" s="150" t="n"/>
      <c r="S515" s="153" t="n"/>
    </row>
    <row r="516" ht="36" customHeight="1">
      <c r="A516" s="46" t="n">
        <v>2846</v>
      </c>
      <c r="B516" s="4">
        <f>+VLOOKUP($A516,MAGAZZINO!$B$2:$M$100000,2,FALSE)</f>
        <v/>
      </c>
      <c r="C516" s="29">
        <f>+VLOOKUP($A516,MAGAZZINO!$B$2:$M$100000,3,FALSE)</f>
        <v/>
      </c>
      <c r="D516" s="3">
        <f>+VLOOKUP($A516,MAGAZZINO!$B$2:$M$100000,4,FALSE)</f>
        <v/>
      </c>
      <c r="E516" s="3">
        <f>+VLOOKUP($A516,MAGAZZINO!$B$2:$M$100000,5,FALSE)</f>
        <v/>
      </c>
      <c r="F516" s="3">
        <f>+VLOOKUP($A516,MAGAZZINO!$B$2:$M$100000,6,FALSE)</f>
        <v/>
      </c>
      <c r="G516" s="3">
        <f>+VLOOKUP($A516,MAGAZZINO!$B$2:$M$100000,7,FALSE)</f>
        <v/>
      </c>
      <c r="H516" s="3">
        <f>+VLOOKUP($A516,MAGAZZINO!$B$2:$M$100000,8,FALSE)</f>
        <v/>
      </c>
      <c r="I516" s="3">
        <f>+VLOOKUP($A516,MAGAZZINO!$B$2:$M$100000,9,FALSE)</f>
        <v/>
      </c>
      <c r="J516" s="3">
        <f>+VLOOKUP($A516,MAGAZZINO!$B$2:$M$100000,10,FALSE)</f>
        <v/>
      </c>
      <c r="K516" s="3">
        <f>+VLOOKUP($A516,MAGAZZINO!$B$2:$M$100000,11,FALSE)</f>
        <v/>
      </c>
      <c r="L516" s="5">
        <f>+VLOOKUP($A516,MAGAZZINO!$B$2:$M$100000,12,FALSE)</f>
        <v/>
      </c>
      <c r="M516" s="47" t="n"/>
      <c r="N516" s="88" t="n">
        <v>45771</v>
      </c>
      <c r="O516" s="156" t="inlineStr">
        <is>
          <t>BIN HUMAID NATIONAL TRADING CO. (ARABIA SAUDITA)</t>
        </is>
      </c>
      <c r="P516" s="154" t="inlineStr">
        <is>
          <t>IMPORT LICENSE N. 7004424417/8/B/81 VALIDA FINO AL 28/04/2027                                                              AUT. ESPORTAZIONE MULTIPLA N. 6B/2025/1M RILASCIATA IL 24/02/2025   (LICENZA DI SCARICO N. 6B/2025/2S RILASCIATA IL 15/04/2025)</t>
        </is>
      </c>
      <c r="Q516" s="150" t="n"/>
      <c r="R516" s="150" t="n"/>
      <c r="S516" s="153" t="n"/>
    </row>
    <row r="517" ht="36" customHeight="1">
      <c r="A517" s="46" t="n">
        <v>2847</v>
      </c>
      <c r="B517" s="4">
        <f>+VLOOKUP($A517,MAGAZZINO!$B$2:$M$100000,2,FALSE)</f>
        <v/>
      </c>
      <c r="C517" s="29">
        <f>+VLOOKUP($A517,MAGAZZINO!$B$2:$M$100000,3,FALSE)</f>
        <v/>
      </c>
      <c r="D517" s="3">
        <f>+VLOOKUP($A517,MAGAZZINO!$B$2:$M$100000,4,FALSE)</f>
        <v/>
      </c>
      <c r="E517" s="3">
        <f>+VLOOKUP($A517,MAGAZZINO!$B$2:$M$100000,5,FALSE)</f>
        <v/>
      </c>
      <c r="F517" s="3">
        <f>+VLOOKUP($A517,MAGAZZINO!$B$2:$M$100000,6,FALSE)</f>
        <v/>
      </c>
      <c r="G517" s="3">
        <f>+VLOOKUP($A517,MAGAZZINO!$B$2:$M$100000,7,FALSE)</f>
        <v/>
      </c>
      <c r="H517" s="3">
        <f>+VLOOKUP($A517,MAGAZZINO!$B$2:$M$100000,8,FALSE)</f>
        <v/>
      </c>
      <c r="I517" s="3">
        <f>+VLOOKUP($A517,MAGAZZINO!$B$2:$M$100000,9,FALSE)</f>
        <v/>
      </c>
      <c r="J517" s="3">
        <f>+VLOOKUP($A517,MAGAZZINO!$B$2:$M$100000,10,FALSE)</f>
        <v/>
      </c>
      <c r="K517" s="3">
        <f>+VLOOKUP($A517,MAGAZZINO!$B$2:$M$100000,11,FALSE)</f>
        <v/>
      </c>
      <c r="L517" s="5">
        <f>+VLOOKUP($A517,MAGAZZINO!$B$2:$M$100000,12,FALSE)</f>
        <v/>
      </c>
      <c r="M517" s="47" t="n"/>
      <c r="N517" s="88" t="n">
        <v>45771</v>
      </c>
      <c r="O517" s="156" t="inlineStr">
        <is>
          <t>BIN HUMAID NATIONAL TRADING CO. (ARABIA SAUDITA)</t>
        </is>
      </c>
      <c r="P517" s="154" t="inlineStr">
        <is>
          <t>IMPORT LICENSE N. 7004424417/8/B/81 VALIDA FINO AL 28/04/2027                                                              AUT. ESPORTAZIONE MULTIPLA N. 6B/2025/1M RILASCIATA IL 24/02/2025   (LICENZA DI SCARICO N. 6B/2025/2S RILASCIATA IL 15/04/2025)</t>
        </is>
      </c>
      <c r="Q517" s="150" t="n"/>
      <c r="R517" s="150" t="n"/>
      <c r="S517" s="153" t="n"/>
    </row>
    <row r="518" ht="36" customHeight="1">
      <c r="A518" s="46" t="n">
        <v>2848</v>
      </c>
      <c r="B518" s="4">
        <f>+VLOOKUP($A518,MAGAZZINO!$B$2:$M$100000,2,FALSE)</f>
        <v/>
      </c>
      <c r="C518" s="29">
        <f>+VLOOKUP($A518,MAGAZZINO!$B$2:$M$100000,3,FALSE)</f>
        <v/>
      </c>
      <c r="D518" s="3">
        <f>+VLOOKUP($A518,MAGAZZINO!$B$2:$M$100000,4,FALSE)</f>
        <v/>
      </c>
      <c r="E518" s="3">
        <f>+VLOOKUP($A518,MAGAZZINO!$B$2:$M$100000,5,FALSE)</f>
        <v/>
      </c>
      <c r="F518" s="3">
        <f>+VLOOKUP($A518,MAGAZZINO!$B$2:$M$100000,6,FALSE)</f>
        <v/>
      </c>
      <c r="G518" s="3">
        <f>+VLOOKUP($A518,MAGAZZINO!$B$2:$M$100000,7,FALSE)</f>
        <v/>
      </c>
      <c r="H518" s="3">
        <f>+VLOOKUP($A518,MAGAZZINO!$B$2:$M$100000,8,FALSE)</f>
        <v/>
      </c>
      <c r="I518" s="3">
        <f>+VLOOKUP($A518,MAGAZZINO!$B$2:$M$100000,9,FALSE)</f>
        <v/>
      </c>
      <c r="J518" s="3">
        <f>+VLOOKUP($A518,MAGAZZINO!$B$2:$M$100000,10,FALSE)</f>
        <v/>
      </c>
      <c r="K518" s="3">
        <f>+VLOOKUP($A518,MAGAZZINO!$B$2:$M$100000,11,FALSE)</f>
        <v/>
      </c>
      <c r="L518" s="5">
        <f>+VLOOKUP($A518,MAGAZZINO!$B$2:$M$100000,12,FALSE)</f>
        <v/>
      </c>
      <c r="M518" s="47" t="n"/>
      <c r="N518" s="88" t="n">
        <v>45771</v>
      </c>
      <c r="O518" s="156" t="inlineStr">
        <is>
          <t>BIN HUMAID NATIONAL TRADING CO. (ARABIA SAUDITA)</t>
        </is>
      </c>
      <c r="P518" s="154" t="inlineStr">
        <is>
          <t>IMPORT LICENSE N. 7004424417/8/B/81 VALIDA FINO AL 28/04/2027                                                              AUT. ESPORTAZIONE MULTIPLA N. 6B/2025/1M RILASCIATA IL 24/02/2025   (LICENZA DI SCARICO N. 6B/2025/2S RILASCIATA IL 15/04/2025)</t>
        </is>
      </c>
      <c r="Q518" s="150" t="n"/>
      <c r="R518" s="150" t="n"/>
      <c r="S518" s="153" t="n"/>
    </row>
    <row r="519" ht="36" customHeight="1">
      <c r="A519" s="46" t="n">
        <v>2849</v>
      </c>
      <c r="B519" s="4">
        <f>+VLOOKUP($A519,MAGAZZINO!$B$2:$M$100000,2,FALSE)</f>
        <v/>
      </c>
      <c r="C519" s="29">
        <f>+VLOOKUP($A519,MAGAZZINO!$B$2:$M$100000,3,FALSE)</f>
        <v/>
      </c>
      <c r="D519" s="3">
        <f>+VLOOKUP($A519,MAGAZZINO!$B$2:$M$100000,4,FALSE)</f>
        <v/>
      </c>
      <c r="E519" s="3">
        <f>+VLOOKUP($A519,MAGAZZINO!$B$2:$M$100000,5,FALSE)</f>
        <v/>
      </c>
      <c r="F519" s="3">
        <f>+VLOOKUP($A519,MAGAZZINO!$B$2:$M$100000,6,FALSE)</f>
        <v/>
      </c>
      <c r="G519" s="3">
        <f>+VLOOKUP($A519,MAGAZZINO!$B$2:$M$100000,7,FALSE)</f>
        <v/>
      </c>
      <c r="H519" s="3">
        <f>+VLOOKUP($A519,MAGAZZINO!$B$2:$M$100000,8,FALSE)</f>
        <v/>
      </c>
      <c r="I519" s="3">
        <f>+VLOOKUP($A519,MAGAZZINO!$B$2:$M$100000,9,FALSE)</f>
        <v/>
      </c>
      <c r="J519" s="3">
        <f>+VLOOKUP($A519,MAGAZZINO!$B$2:$M$100000,10,FALSE)</f>
        <v/>
      </c>
      <c r="K519" s="3">
        <f>+VLOOKUP($A519,MAGAZZINO!$B$2:$M$100000,11,FALSE)</f>
        <v/>
      </c>
      <c r="L519" s="5">
        <f>+VLOOKUP($A519,MAGAZZINO!$B$2:$M$100000,12,FALSE)</f>
        <v/>
      </c>
      <c r="M519" s="47" t="n"/>
      <c r="N519" s="88" t="n">
        <v>45771</v>
      </c>
      <c r="O519" s="156" t="inlineStr">
        <is>
          <t>BIN HUMAID NATIONAL TRADING CO. (ARABIA SAUDITA)</t>
        </is>
      </c>
      <c r="P519" s="154" t="inlineStr">
        <is>
          <t>IMPORT LICENSE N. 7004424417/8/B/81 VALIDA FINO AL 28/04/2027                                                              AUT. ESPORTAZIONE MULTIPLA N. 6B/2025/1M RILASCIATA IL 24/02/2025   (LICENZA DI SCARICO N. 6B/2025/2S RILASCIATA IL 15/04/2025)</t>
        </is>
      </c>
      <c r="Q519" s="150" t="n"/>
      <c r="R519" s="150" t="n"/>
      <c r="S519" s="153" t="n"/>
    </row>
    <row r="520" ht="36" customHeight="1">
      <c r="A520" s="46" t="n">
        <v>2850</v>
      </c>
      <c r="B520" s="4">
        <f>+VLOOKUP($A520,MAGAZZINO!$B$2:$M$100000,2,FALSE)</f>
        <v/>
      </c>
      <c r="C520" s="29">
        <f>+VLOOKUP($A520,MAGAZZINO!$B$2:$M$100000,3,FALSE)</f>
        <v/>
      </c>
      <c r="D520" s="3">
        <f>+VLOOKUP($A520,MAGAZZINO!$B$2:$M$100000,4,FALSE)</f>
        <v/>
      </c>
      <c r="E520" s="3">
        <f>+VLOOKUP($A520,MAGAZZINO!$B$2:$M$100000,5,FALSE)</f>
        <v/>
      </c>
      <c r="F520" s="3">
        <f>+VLOOKUP($A520,MAGAZZINO!$B$2:$M$100000,6,FALSE)</f>
        <v/>
      </c>
      <c r="G520" s="3">
        <f>+VLOOKUP($A520,MAGAZZINO!$B$2:$M$100000,7,FALSE)</f>
        <v/>
      </c>
      <c r="H520" s="3">
        <f>+VLOOKUP($A520,MAGAZZINO!$B$2:$M$100000,8,FALSE)</f>
        <v/>
      </c>
      <c r="I520" s="3">
        <f>+VLOOKUP($A520,MAGAZZINO!$B$2:$M$100000,9,FALSE)</f>
        <v/>
      </c>
      <c r="J520" s="3">
        <f>+VLOOKUP($A520,MAGAZZINO!$B$2:$M$100000,10,FALSE)</f>
        <v/>
      </c>
      <c r="K520" s="3">
        <f>+VLOOKUP($A520,MAGAZZINO!$B$2:$M$100000,11,FALSE)</f>
        <v/>
      </c>
      <c r="L520" s="5">
        <f>+VLOOKUP($A520,MAGAZZINO!$B$2:$M$100000,12,FALSE)</f>
        <v/>
      </c>
      <c r="M520" s="47" t="n"/>
      <c r="N520" s="88" t="n">
        <v>45771</v>
      </c>
      <c r="O520" s="156" t="inlineStr">
        <is>
          <t>BIN HUMAID NATIONAL TRADING CO. (ARABIA SAUDITA)</t>
        </is>
      </c>
      <c r="P520" s="154" t="inlineStr">
        <is>
          <t>IMPORT LICENSE N. 7004424417/8/B/81 VALIDA FINO AL 28/04/2027                                                              AUT. ESPORTAZIONE MULTIPLA N. 6B/2025/1M RILASCIATA IL 24/02/2025   (LICENZA DI SCARICO N. 6B/2025/2S RILASCIATA IL 15/04/2025)</t>
        </is>
      </c>
      <c r="Q520" s="150" t="n"/>
      <c r="R520" s="150" t="n"/>
      <c r="S520" s="153" t="n"/>
    </row>
    <row r="521" ht="36" customHeight="1">
      <c r="A521" s="46" t="n">
        <v>2851</v>
      </c>
      <c r="B521" s="4">
        <f>+VLOOKUP($A521,MAGAZZINO!$B$2:$M$100000,2,FALSE)</f>
        <v/>
      </c>
      <c r="C521" s="29">
        <f>+VLOOKUP($A521,MAGAZZINO!$B$2:$M$100000,3,FALSE)</f>
        <v/>
      </c>
      <c r="D521" s="3">
        <f>+VLOOKUP($A521,MAGAZZINO!$B$2:$M$100000,4,FALSE)</f>
        <v/>
      </c>
      <c r="E521" s="3">
        <f>+VLOOKUP($A521,MAGAZZINO!$B$2:$M$100000,5,FALSE)</f>
        <v/>
      </c>
      <c r="F521" s="3">
        <f>+VLOOKUP($A521,MAGAZZINO!$B$2:$M$100000,6,FALSE)</f>
        <v/>
      </c>
      <c r="G521" s="3">
        <f>+VLOOKUP($A521,MAGAZZINO!$B$2:$M$100000,7,FALSE)</f>
        <v/>
      </c>
      <c r="H521" s="3">
        <f>+VLOOKUP($A521,MAGAZZINO!$B$2:$M$100000,8,FALSE)</f>
        <v/>
      </c>
      <c r="I521" s="3">
        <f>+VLOOKUP($A521,MAGAZZINO!$B$2:$M$100000,9,FALSE)</f>
        <v/>
      </c>
      <c r="J521" s="3">
        <f>+VLOOKUP($A521,MAGAZZINO!$B$2:$M$100000,10,FALSE)</f>
        <v/>
      </c>
      <c r="K521" s="3">
        <f>+VLOOKUP($A521,MAGAZZINO!$B$2:$M$100000,11,FALSE)</f>
        <v/>
      </c>
      <c r="L521" s="5">
        <f>+VLOOKUP($A521,MAGAZZINO!$B$2:$M$100000,12,FALSE)</f>
        <v/>
      </c>
      <c r="M521" s="47" t="n"/>
      <c r="N521" s="88" t="n">
        <v>45771</v>
      </c>
      <c r="O521" s="156" t="inlineStr">
        <is>
          <t>BIN HUMAID NATIONAL TRADING CO. (ARABIA SAUDITA)</t>
        </is>
      </c>
      <c r="P521" s="154" t="inlineStr">
        <is>
          <t>IMPORT LICENSE N. 7004424417/8/B/81 VALIDA FINO AL 28/04/2027                                                              AUT. ESPORTAZIONE MULTIPLA N. 6B/2025/1M RILASCIATA IL 24/02/2025   (LICENZA DI SCARICO N. 6B/2025/2S RILASCIATA IL 15/04/2025)</t>
        </is>
      </c>
      <c r="Q521" s="150" t="n"/>
      <c r="R521" s="150" t="n"/>
      <c r="S521" s="153" t="n"/>
    </row>
    <row r="522" ht="36" customHeight="1">
      <c r="A522" s="46" t="n">
        <v>2852</v>
      </c>
      <c r="B522" s="4">
        <f>+VLOOKUP($A522,MAGAZZINO!$B$2:$M$100000,2,FALSE)</f>
        <v/>
      </c>
      <c r="C522" s="29">
        <f>+VLOOKUP($A522,MAGAZZINO!$B$2:$M$100000,3,FALSE)</f>
        <v/>
      </c>
      <c r="D522" s="3">
        <f>+VLOOKUP($A522,MAGAZZINO!$B$2:$M$100000,4,FALSE)</f>
        <v/>
      </c>
      <c r="E522" s="3">
        <f>+VLOOKUP($A522,MAGAZZINO!$B$2:$M$100000,5,FALSE)</f>
        <v/>
      </c>
      <c r="F522" s="3">
        <f>+VLOOKUP($A522,MAGAZZINO!$B$2:$M$100000,6,FALSE)</f>
        <v/>
      </c>
      <c r="G522" s="3">
        <f>+VLOOKUP($A522,MAGAZZINO!$B$2:$M$100000,7,FALSE)</f>
        <v/>
      </c>
      <c r="H522" s="3">
        <f>+VLOOKUP($A522,MAGAZZINO!$B$2:$M$100000,8,FALSE)</f>
        <v/>
      </c>
      <c r="I522" s="3">
        <f>+VLOOKUP($A522,MAGAZZINO!$B$2:$M$100000,9,FALSE)</f>
        <v/>
      </c>
      <c r="J522" s="3">
        <f>+VLOOKUP($A522,MAGAZZINO!$B$2:$M$100000,10,FALSE)</f>
        <v/>
      </c>
      <c r="K522" s="3">
        <f>+VLOOKUP($A522,MAGAZZINO!$B$2:$M$100000,11,FALSE)</f>
        <v/>
      </c>
      <c r="L522" s="5">
        <f>+VLOOKUP($A522,MAGAZZINO!$B$2:$M$100000,12,FALSE)</f>
        <v/>
      </c>
      <c r="M522" s="47" t="n"/>
      <c r="N522" s="88" t="n">
        <v>45771</v>
      </c>
      <c r="O522" s="156" t="inlineStr">
        <is>
          <t>BIN HUMAID NATIONAL TRADING CO. (ARABIA SAUDITA)</t>
        </is>
      </c>
      <c r="P522" s="154" t="inlineStr">
        <is>
          <t>IMPORT LICENSE N. 7004424417/8/B/81 VALIDA FINO AL 28/04/2027                                                              AUT. ESPORTAZIONE MULTIPLA N. 6B/2025/1M RILASCIATA IL 24/02/2025   (LICENZA DI SCARICO N. 6B/2025/2S RILASCIATA IL 15/04/2025)</t>
        </is>
      </c>
      <c r="Q522" s="150" t="n"/>
      <c r="R522" s="150" t="n"/>
      <c r="S522" s="153" t="n"/>
    </row>
    <row r="523" ht="36" customHeight="1">
      <c r="A523" s="46" t="n">
        <v>2853</v>
      </c>
      <c r="B523" s="4">
        <f>+VLOOKUP($A523,MAGAZZINO!$B$2:$M$100000,2,FALSE)</f>
        <v/>
      </c>
      <c r="C523" s="29">
        <f>+VLOOKUP($A523,MAGAZZINO!$B$2:$M$100000,3,FALSE)</f>
        <v/>
      </c>
      <c r="D523" s="3">
        <f>+VLOOKUP($A523,MAGAZZINO!$B$2:$M$100000,4,FALSE)</f>
        <v/>
      </c>
      <c r="E523" s="3">
        <f>+VLOOKUP($A523,MAGAZZINO!$B$2:$M$100000,5,FALSE)</f>
        <v/>
      </c>
      <c r="F523" s="3">
        <f>+VLOOKUP($A523,MAGAZZINO!$B$2:$M$100000,6,FALSE)</f>
        <v/>
      </c>
      <c r="G523" s="3">
        <f>+VLOOKUP($A523,MAGAZZINO!$B$2:$M$100000,7,FALSE)</f>
        <v/>
      </c>
      <c r="H523" s="3">
        <f>+VLOOKUP($A523,MAGAZZINO!$B$2:$M$100000,8,FALSE)</f>
        <v/>
      </c>
      <c r="I523" s="3">
        <f>+VLOOKUP($A523,MAGAZZINO!$B$2:$M$100000,9,FALSE)</f>
        <v/>
      </c>
      <c r="J523" s="3">
        <f>+VLOOKUP($A523,MAGAZZINO!$B$2:$M$100000,10,FALSE)</f>
        <v/>
      </c>
      <c r="K523" s="3">
        <f>+VLOOKUP($A523,MAGAZZINO!$B$2:$M$100000,11,FALSE)</f>
        <v/>
      </c>
      <c r="L523" s="5">
        <f>+VLOOKUP($A523,MAGAZZINO!$B$2:$M$100000,12,FALSE)</f>
        <v/>
      </c>
      <c r="M523" s="47" t="n"/>
      <c r="N523" s="88" t="n">
        <v>45771</v>
      </c>
      <c r="O523" s="156" t="inlineStr">
        <is>
          <t>BIN HUMAID NATIONAL TRADING CO. (ARABIA SAUDITA)</t>
        </is>
      </c>
      <c r="P523" s="154" t="inlineStr">
        <is>
          <t>IMPORT LICENSE N. 7004424417/8/B/81 VALIDA FINO AL 28/04/2027                                                              AUT. ESPORTAZIONE MULTIPLA N. 6B/2025/1M RILASCIATA IL 24/02/2025   (LICENZA DI SCARICO N. 6B/2025/2S RILASCIATA IL 15/04/2025)</t>
        </is>
      </c>
      <c r="Q523" s="150" t="n"/>
      <c r="R523" s="150" t="n"/>
      <c r="S523" s="153" t="n"/>
    </row>
    <row r="524" ht="36" customHeight="1">
      <c r="A524" s="46" t="n">
        <v>2854</v>
      </c>
      <c r="B524" s="4">
        <f>+VLOOKUP($A524,MAGAZZINO!$B$2:$M$100000,2,FALSE)</f>
        <v/>
      </c>
      <c r="C524" s="29">
        <f>+VLOOKUP($A524,MAGAZZINO!$B$2:$M$100000,3,FALSE)</f>
        <v/>
      </c>
      <c r="D524" s="3">
        <f>+VLOOKUP($A524,MAGAZZINO!$B$2:$M$100000,4,FALSE)</f>
        <v/>
      </c>
      <c r="E524" s="3">
        <f>+VLOOKUP($A524,MAGAZZINO!$B$2:$M$100000,5,FALSE)</f>
        <v/>
      </c>
      <c r="F524" s="3">
        <f>+VLOOKUP($A524,MAGAZZINO!$B$2:$M$100000,6,FALSE)</f>
        <v/>
      </c>
      <c r="G524" s="3">
        <f>+VLOOKUP($A524,MAGAZZINO!$B$2:$M$100000,7,FALSE)</f>
        <v/>
      </c>
      <c r="H524" s="3">
        <f>+VLOOKUP($A524,MAGAZZINO!$B$2:$M$100000,8,FALSE)</f>
        <v/>
      </c>
      <c r="I524" s="3">
        <f>+VLOOKUP($A524,MAGAZZINO!$B$2:$M$100000,9,FALSE)</f>
        <v/>
      </c>
      <c r="J524" s="3">
        <f>+VLOOKUP($A524,MAGAZZINO!$B$2:$M$100000,10,FALSE)</f>
        <v/>
      </c>
      <c r="K524" s="3">
        <f>+VLOOKUP($A524,MAGAZZINO!$B$2:$M$100000,11,FALSE)</f>
        <v/>
      </c>
      <c r="L524" s="5">
        <f>+VLOOKUP($A524,MAGAZZINO!$B$2:$M$100000,12,FALSE)</f>
        <v/>
      </c>
      <c r="M524" s="47" t="n"/>
      <c r="N524" s="88" t="n">
        <v>45771</v>
      </c>
      <c r="O524" s="156" t="inlineStr">
        <is>
          <t>BIN HUMAID NATIONAL TRADING CO. (ARABIA SAUDITA)</t>
        </is>
      </c>
      <c r="P524" s="154" t="inlineStr">
        <is>
          <t>IMPORT LICENSE N. 7004424417/8/B/81 VALIDA FINO AL 28/04/2027                                                              AUT. ESPORTAZIONE MULTIPLA N. 6B/2025/1M RILASCIATA IL 24/02/2025   (LICENZA DI SCARICO N. 6B/2025/2S RILASCIATA IL 15/04/2025)</t>
        </is>
      </c>
      <c r="Q524" s="150" t="n"/>
      <c r="R524" s="150" t="n"/>
      <c r="S524" s="153" t="n"/>
    </row>
    <row r="525" ht="36" customHeight="1">
      <c r="A525" s="46" t="n">
        <v>2855</v>
      </c>
      <c r="B525" s="4">
        <f>+VLOOKUP($A525,MAGAZZINO!$B$2:$M$100000,2,FALSE)</f>
        <v/>
      </c>
      <c r="C525" s="29">
        <f>+VLOOKUP($A525,MAGAZZINO!$B$2:$M$100000,3,FALSE)</f>
        <v/>
      </c>
      <c r="D525" s="3">
        <f>+VLOOKUP($A525,MAGAZZINO!$B$2:$M$100000,4,FALSE)</f>
        <v/>
      </c>
      <c r="E525" s="3">
        <f>+VLOOKUP($A525,MAGAZZINO!$B$2:$M$100000,5,FALSE)</f>
        <v/>
      </c>
      <c r="F525" s="3">
        <f>+VLOOKUP($A525,MAGAZZINO!$B$2:$M$100000,6,FALSE)</f>
        <v/>
      </c>
      <c r="G525" s="3">
        <f>+VLOOKUP($A525,MAGAZZINO!$B$2:$M$100000,7,FALSE)</f>
        <v/>
      </c>
      <c r="H525" s="3">
        <f>+VLOOKUP($A525,MAGAZZINO!$B$2:$M$100000,8,FALSE)</f>
        <v/>
      </c>
      <c r="I525" s="3">
        <f>+VLOOKUP($A525,MAGAZZINO!$B$2:$M$100000,9,FALSE)</f>
        <v/>
      </c>
      <c r="J525" s="3">
        <f>+VLOOKUP($A525,MAGAZZINO!$B$2:$M$100000,10,FALSE)</f>
        <v/>
      </c>
      <c r="K525" s="3">
        <f>+VLOOKUP($A525,MAGAZZINO!$B$2:$M$100000,11,FALSE)</f>
        <v/>
      </c>
      <c r="L525" s="5">
        <f>+VLOOKUP($A525,MAGAZZINO!$B$2:$M$100000,12,FALSE)</f>
        <v/>
      </c>
      <c r="M525" s="47" t="n"/>
      <c r="N525" s="88" t="n">
        <v>45771</v>
      </c>
      <c r="O525" s="156" t="inlineStr">
        <is>
          <t>BIN HUMAID NATIONAL TRADING CO. (ARABIA SAUDITA)</t>
        </is>
      </c>
      <c r="P525" s="154" t="inlineStr">
        <is>
          <t>IMPORT LICENSE N. 7004424417/8/B/81 VALIDA FINO AL 28/04/2027                                                              AUT. ESPORTAZIONE MULTIPLA N. 6B/2025/1M RILASCIATA IL 24/02/2025   (LICENZA DI SCARICO N. 6B/2025/2S RILASCIATA IL 15/04/2025)</t>
        </is>
      </c>
      <c r="Q525" s="150" t="n"/>
      <c r="R525" s="150" t="n"/>
      <c r="S525" s="153" t="n"/>
    </row>
    <row r="526" ht="36" customHeight="1">
      <c r="A526" s="46" t="n">
        <v>2856</v>
      </c>
      <c r="B526" s="4">
        <f>+VLOOKUP($A526,MAGAZZINO!$B$2:$M$100000,2,FALSE)</f>
        <v/>
      </c>
      <c r="C526" s="29">
        <f>+VLOOKUP($A526,MAGAZZINO!$B$2:$M$100000,3,FALSE)</f>
        <v/>
      </c>
      <c r="D526" s="3">
        <f>+VLOOKUP($A526,MAGAZZINO!$B$2:$M$100000,4,FALSE)</f>
        <v/>
      </c>
      <c r="E526" s="3">
        <f>+VLOOKUP($A526,MAGAZZINO!$B$2:$M$100000,5,FALSE)</f>
        <v/>
      </c>
      <c r="F526" s="3">
        <f>+VLOOKUP($A526,MAGAZZINO!$B$2:$M$100000,6,FALSE)</f>
        <v/>
      </c>
      <c r="G526" s="3">
        <f>+VLOOKUP($A526,MAGAZZINO!$B$2:$M$100000,7,FALSE)</f>
        <v/>
      </c>
      <c r="H526" s="3">
        <f>+VLOOKUP($A526,MAGAZZINO!$B$2:$M$100000,8,FALSE)</f>
        <v/>
      </c>
      <c r="I526" s="3">
        <f>+VLOOKUP($A526,MAGAZZINO!$B$2:$M$100000,9,FALSE)</f>
        <v/>
      </c>
      <c r="J526" s="3">
        <f>+VLOOKUP($A526,MAGAZZINO!$B$2:$M$100000,10,FALSE)</f>
        <v/>
      </c>
      <c r="K526" s="3">
        <f>+VLOOKUP($A526,MAGAZZINO!$B$2:$M$100000,11,FALSE)</f>
        <v/>
      </c>
      <c r="L526" s="5">
        <f>+VLOOKUP($A526,MAGAZZINO!$B$2:$M$100000,12,FALSE)</f>
        <v/>
      </c>
      <c r="M526" s="47" t="n"/>
      <c r="N526" s="88" t="n">
        <v>45771</v>
      </c>
      <c r="O526" s="156" t="inlineStr">
        <is>
          <t>BIN HUMAID NATIONAL TRADING CO. (ARABIA SAUDITA)</t>
        </is>
      </c>
      <c r="P526" s="154" t="inlineStr">
        <is>
          <t>IMPORT LICENSE N. 7004424417/8/B/81 VALIDA FINO AL 28/04/2027                                                              AUT. ESPORTAZIONE MULTIPLA N. 6B/2025/1M RILASCIATA IL 24/02/2025   (LICENZA DI SCARICO N. 6B/2025/2S RILASCIATA IL 15/04/2025)</t>
        </is>
      </c>
      <c r="Q526" s="150" t="n"/>
      <c r="R526" s="150" t="n"/>
      <c r="S526" s="153" t="n"/>
    </row>
    <row r="527" ht="36" customHeight="1">
      <c r="A527" s="46" t="n">
        <v>2857</v>
      </c>
      <c r="B527" s="4">
        <f>+VLOOKUP($A527,MAGAZZINO!$B$2:$M$100000,2,FALSE)</f>
        <v/>
      </c>
      <c r="C527" s="29">
        <f>+VLOOKUP($A527,MAGAZZINO!$B$2:$M$100000,3,FALSE)</f>
        <v/>
      </c>
      <c r="D527" s="3">
        <f>+VLOOKUP($A527,MAGAZZINO!$B$2:$M$100000,4,FALSE)</f>
        <v/>
      </c>
      <c r="E527" s="3">
        <f>+VLOOKUP($A527,MAGAZZINO!$B$2:$M$100000,5,FALSE)</f>
        <v/>
      </c>
      <c r="F527" s="3">
        <f>+VLOOKUP($A527,MAGAZZINO!$B$2:$M$100000,6,FALSE)</f>
        <v/>
      </c>
      <c r="G527" s="3">
        <f>+VLOOKUP($A527,MAGAZZINO!$B$2:$M$100000,7,FALSE)</f>
        <v/>
      </c>
      <c r="H527" s="3">
        <f>+VLOOKUP($A527,MAGAZZINO!$B$2:$M$100000,8,FALSE)</f>
        <v/>
      </c>
      <c r="I527" s="3">
        <f>+VLOOKUP($A527,MAGAZZINO!$B$2:$M$100000,9,FALSE)</f>
        <v/>
      </c>
      <c r="J527" s="3">
        <f>+VLOOKUP($A527,MAGAZZINO!$B$2:$M$100000,10,FALSE)</f>
        <v/>
      </c>
      <c r="K527" s="3">
        <f>+VLOOKUP($A527,MAGAZZINO!$B$2:$M$100000,11,FALSE)</f>
        <v/>
      </c>
      <c r="L527" s="5">
        <f>+VLOOKUP($A527,MAGAZZINO!$B$2:$M$100000,12,FALSE)</f>
        <v/>
      </c>
      <c r="M527" s="47" t="n"/>
      <c r="N527" s="88" t="n">
        <v>45771</v>
      </c>
      <c r="O527" s="156" t="inlineStr">
        <is>
          <t>BIN HUMAID NATIONAL TRADING CO. (ARABIA SAUDITA)</t>
        </is>
      </c>
      <c r="P527" s="154" t="inlineStr">
        <is>
          <t>IMPORT LICENSE N. 7004424417/8/B/81 VALIDA FINO AL 28/04/2027                                                              AUT. ESPORTAZIONE MULTIPLA N. 6B/2025/1M RILASCIATA IL 24/02/2025   (LICENZA DI SCARICO N. 6B/2025/2S RILASCIATA IL 15/04/2025)</t>
        </is>
      </c>
      <c r="Q527" s="150" t="n"/>
      <c r="R527" s="150" t="n"/>
      <c r="S527" s="153" t="n"/>
    </row>
    <row r="528" ht="36" customHeight="1">
      <c r="A528" s="46" t="n">
        <v>2858</v>
      </c>
      <c r="B528" s="4">
        <f>+VLOOKUP($A528,MAGAZZINO!$B$2:$M$100000,2,FALSE)</f>
        <v/>
      </c>
      <c r="C528" s="29">
        <f>+VLOOKUP($A528,MAGAZZINO!$B$2:$M$100000,3,FALSE)</f>
        <v/>
      </c>
      <c r="D528" s="3">
        <f>+VLOOKUP($A528,MAGAZZINO!$B$2:$M$100000,4,FALSE)</f>
        <v/>
      </c>
      <c r="E528" s="3">
        <f>+VLOOKUP($A528,MAGAZZINO!$B$2:$M$100000,5,FALSE)</f>
        <v/>
      </c>
      <c r="F528" s="3">
        <f>+VLOOKUP($A528,MAGAZZINO!$B$2:$M$100000,6,FALSE)</f>
        <v/>
      </c>
      <c r="G528" s="3">
        <f>+VLOOKUP($A528,MAGAZZINO!$B$2:$M$100000,7,FALSE)</f>
        <v/>
      </c>
      <c r="H528" s="3">
        <f>+VLOOKUP($A528,MAGAZZINO!$B$2:$M$100000,8,FALSE)</f>
        <v/>
      </c>
      <c r="I528" s="3">
        <f>+VLOOKUP($A528,MAGAZZINO!$B$2:$M$100000,9,FALSE)</f>
        <v/>
      </c>
      <c r="J528" s="3">
        <f>+VLOOKUP($A528,MAGAZZINO!$B$2:$M$100000,10,FALSE)</f>
        <v/>
      </c>
      <c r="K528" s="3">
        <f>+VLOOKUP($A528,MAGAZZINO!$B$2:$M$100000,11,FALSE)</f>
        <v/>
      </c>
      <c r="L528" s="5">
        <f>+VLOOKUP($A528,MAGAZZINO!$B$2:$M$100000,12,FALSE)</f>
        <v/>
      </c>
      <c r="M528" s="47" t="n"/>
      <c r="N528" s="88" t="n">
        <v>45771</v>
      </c>
      <c r="O528" s="156" t="inlineStr">
        <is>
          <t>BIN HUMAID NATIONAL TRADING CO. (ARABIA SAUDITA)</t>
        </is>
      </c>
      <c r="P528" s="154" t="inlineStr">
        <is>
          <t>IMPORT LICENSE N. 7004424417/8/B/81 VALIDA FINO AL 28/04/2027                                                              AUT. ESPORTAZIONE MULTIPLA N. 6B/2025/1M RILASCIATA IL 24/02/2025   (LICENZA DI SCARICO N. 6B/2025/2S RILASCIATA IL 15/04/2025)</t>
        </is>
      </c>
      <c r="Q528" s="150" t="n"/>
      <c r="R528" s="150" t="n"/>
      <c r="S528" s="153" t="n"/>
    </row>
    <row r="529" ht="36" customHeight="1">
      <c r="A529" s="46" t="n">
        <v>2859</v>
      </c>
      <c r="B529" s="4">
        <f>+VLOOKUP($A529,MAGAZZINO!$B$2:$M$100000,2,FALSE)</f>
        <v/>
      </c>
      <c r="C529" s="29">
        <f>+VLOOKUP($A529,MAGAZZINO!$B$2:$M$100000,3,FALSE)</f>
        <v/>
      </c>
      <c r="D529" s="3">
        <f>+VLOOKUP($A529,MAGAZZINO!$B$2:$M$100000,4,FALSE)</f>
        <v/>
      </c>
      <c r="E529" s="3">
        <f>+VLOOKUP($A529,MAGAZZINO!$B$2:$M$100000,5,FALSE)</f>
        <v/>
      </c>
      <c r="F529" s="3">
        <f>+VLOOKUP($A529,MAGAZZINO!$B$2:$M$100000,6,FALSE)</f>
        <v/>
      </c>
      <c r="G529" s="3">
        <f>+VLOOKUP($A529,MAGAZZINO!$B$2:$M$100000,7,FALSE)</f>
        <v/>
      </c>
      <c r="H529" s="3">
        <f>+VLOOKUP($A529,MAGAZZINO!$B$2:$M$100000,8,FALSE)</f>
        <v/>
      </c>
      <c r="I529" s="3">
        <f>+VLOOKUP($A529,MAGAZZINO!$B$2:$M$100000,9,FALSE)</f>
        <v/>
      </c>
      <c r="J529" s="3">
        <f>+VLOOKUP($A529,MAGAZZINO!$B$2:$M$100000,10,FALSE)</f>
        <v/>
      </c>
      <c r="K529" s="3">
        <f>+VLOOKUP($A529,MAGAZZINO!$B$2:$M$100000,11,FALSE)</f>
        <v/>
      </c>
      <c r="L529" s="5">
        <f>+VLOOKUP($A529,MAGAZZINO!$B$2:$M$100000,12,FALSE)</f>
        <v/>
      </c>
      <c r="M529" s="47" t="n"/>
      <c r="N529" s="88" t="n">
        <v>45771</v>
      </c>
      <c r="O529" s="156" t="inlineStr">
        <is>
          <t>BIN HUMAID NATIONAL TRADING CO. (ARABIA SAUDITA)</t>
        </is>
      </c>
      <c r="P529" s="154" t="inlineStr">
        <is>
          <t>IMPORT LICENSE N. 7004424417/8/B/81 VALIDA FINO AL 28/04/2027                                                              AUT. ESPORTAZIONE MULTIPLA N. 6B/2025/1M RILASCIATA IL 24/02/2025   (LICENZA DI SCARICO N. 6B/2025/2S RILASCIATA IL 15/04/2025)</t>
        </is>
      </c>
      <c r="Q529" s="150" t="n"/>
      <c r="R529" s="150" t="n"/>
      <c r="S529" s="153" t="n"/>
    </row>
    <row r="530" ht="36" customHeight="1">
      <c r="A530" s="46" t="n">
        <v>2860</v>
      </c>
      <c r="B530" s="4">
        <f>+VLOOKUP($A530,MAGAZZINO!$B$2:$M$100000,2,FALSE)</f>
        <v/>
      </c>
      <c r="C530" s="29">
        <f>+VLOOKUP($A530,MAGAZZINO!$B$2:$M$100000,3,FALSE)</f>
        <v/>
      </c>
      <c r="D530" s="3">
        <f>+VLOOKUP($A530,MAGAZZINO!$B$2:$M$100000,4,FALSE)</f>
        <v/>
      </c>
      <c r="E530" s="3">
        <f>+VLOOKUP($A530,MAGAZZINO!$B$2:$M$100000,5,FALSE)</f>
        <v/>
      </c>
      <c r="F530" s="3">
        <f>+VLOOKUP($A530,MAGAZZINO!$B$2:$M$100000,6,FALSE)</f>
        <v/>
      </c>
      <c r="G530" s="3">
        <f>+VLOOKUP($A530,MAGAZZINO!$B$2:$M$100000,7,FALSE)</f>
        <v/>
      </c>
      <c r="H530" s="3">
        <f>+VLOOKUP($A530,MAGAZZINO!$B$2:$M$100000,8,FALSE)</f>
        <v/>
      </c>
      <c r="I530" s="3">
        <f>+VLOOKUP($A530,MAGAZZINO!$B$2:$M$100000,9,FALSE)</f>
        <v/>
      </c>
      <c r="J530" s="3">
        <f>+VLOOKUP($A530,MAGAZZINO!$B$2:$M$100000,10,FALSE)</f>
        <v/>
      </c>
      <c r="K530" s="3">
        <f>+VLOOKUP($A530,MAGAZZINO!$B$2:$M$100000,11,FALSE)</f>
        <v/>
      </c>
      <c r="L530" s="5">
        <f>+VLOOKUP($A530,MAGAZZINO!$B$2:$M$100000,12,FALSE)</f>
        <v/>
      </c>
      <c r="M530" s="47" t="n"/>
      <c r="N530" s="88" t="n">
        <v>45771</v>
      </c>
      <c r="O530" s="156" t="inlineStr">
        <is>
          <t>BIN HUMAID NATIONAL TRADING CO. (ARABIA SAUDITA)</t>
        </is>
      </c>
      <c r="P530" s="154" t="inlineStr">
        <is>
          <t>IMPORT LICENSE N. 7004424417/8/B/81 VALIDA FINO AL 28/04/2027                                                              AUT. ESPORTAZIONE MULTIPLA N. 6B/2025/1M RILASCIATA IL 24/02/2025   (LICENZA DI SCARICO N. 6B/2025/2S RILASCIATA IL 15/04/2025)</t>
        </is>
      </c>
      <c r="Q530" s="150" t="n"/>
      <c r="R530" s="150" t="n"/>
      <c r="S530" s="153" t="n"/>
    </row>
    <row r="531" ht="36" customHeight="1">
      <c r="A531" s="46" t="n">
        <v>2861</v>
      </c>
      <c r="B531" s="4">
        <f>+VLOOKUP($A531,MAGAZZINO!$B$2:$M$100000,2,FALSE)</f>
        <v/>
      </c>
      <c r="C531" s="29">
        <f>+VLOOKUP($A531,MAGAZZINO!$B$2:$M$100000,3,FALSE)</f>
        <v/>
      </c>
      <c r="D531" s="3">
        <f>+VLOOKUP($A531,MAGAZZINO!$B$2:$M$100000,4,FALSE)</f>
        <v/>
      </c>
      <c r="E531" s="3">
        <f>+VLOOKUP($A531,MAGAZZINO!$B$2:$M$100000,5,FALSE)</f>
        <v/>
      </c>
      <c r="F531" s="3">
        <f>+VLOOKUP($A531,MAGAZZINO!$B$2:$M$100000,6,FALSE)</f>
        <v/>
      </c>
      <c r="G531" s="3">
        <f>+VLOOKUP($A531,MAGAZZINO!$B$2:$M$100000,7,FALSE)</f>
        <v/>
      </c>
      <c r="H531" s="3">
        <f>+VLOOKUP($A531,MAGAZZINO!$B$2:$M$100000,8,FALSE)</f>
        <v/>
      </c>
      <c r="I531" s="3">
        <f>+VLOOKUP($A531,MAGAZZINO!$B$2:$M$100000,9,FALSE)</f>
        <v/>
      </c>
      <c r="J531" s="3">
        <f>+VLOOKUP($A531,MAGAZZINO!$B$2:$M$100000,10,FALSE)</f>
        <v/>
      </c>
      <c r="K531" s="3">
        <f>+VLOOKUP($A531,MAGAZZINO!$B$2:$M$100000,11,FALSE)</f>
        <v/>
      </c>
      <c r="L531" s="5">
        <f>+VLOOKUP($A531,MAGAZZINO!$B$2:$M$100000,12,FALSE)</f>
        <v/>
      </c>
      <c r="M531" s="47" t="n"/>
      <c r="N531" s="88" t="n">
        <v>45771</v>
      </c>
      <c r="O531" s="156" t="inlineStr">
        <is>
          <t>BIN HUMAID NATIONAL TRADING CO. (ARABIA SAUDITA)</t>
        </is>
      </c>
      <c r="P531" s="154" t="inlineStr">
        <is>
          <t>IMPORT LICENSE N. 7004424417/8/B/81 VALIDA FINO AL 28/04/2027                                                              AUT. ESPORTAZIONE MULTIPLA N. 6B/2025/1M RILASCIATA IL 24/02/2025   (LICENZA DI SCARICO N. 6B/2025/2S RILASCIATA IL 15/04/2025)</t>
        </is>
      </c>
      <c r="Q531" s="150" t="n"/>
      <c r="R531" s="150" t="n"/>
      <c r="S531" s="153" t="n"/>
    </row>
    <row r="532" ht="36" customHeight="1">
      <c r="A532" s="46" t="n">
        <v>2862</v>
      </c>
      <c r="B532" s="4">
        <f>+VLOOKUP($A532,MAGAZZINO!$B$2:$M$100000,2,FALSE)</f>
        <v/>
      </c>
      <c r="C532" s="29">
        <f>+VLOOKUP($A532,MAGAZZINO!$B$2:$M$100000,3,FALSE)</f>
        <v/>
      </c>
      <c r="D532" s="3">
        <f>+VLOOKUP($A532,MAGAZZINO!$B$2:$M$100000,4,FALSE)</f>
        <v/>
      </c>
      <c r="E532" s="3">
        <f>+VLOOKUP($A532,MAGAZZINO!$B$2:$M$100000,5,FALSE)</f>
        <v/>
      </c>
      <c r="F532" s="3">
        <f>+VLOOKUP($A532,MAGAZZINO!$B$2:$M$100000,6,FALSE)</f>
        <v/>
      </c>
      <c r="G532" s="3">
        <f>+VLOOKUP($A532,MAGAZZINO!$B$2:$M$100000,7,FALSE)</f>
        <v/>
      </c>
      <c r="H532" s="3">
        <f>+VLOOKUP($A532,MAGAZZINO!$B$2:$M$100000,8,FALSE)</f>
        <v/>
      </c>
      <c r="I532" s="3">
        <f>+VLOOKUP($A532,MAGAZZINO!$B$2:$M$100000,9,FALSE)</f>
        <v/>
      </c>
      <c r="J532" s="3">
        <f>+VLOOKUP($A532,MAGAZZINO!$B$2:$M$100000,10,FALSE)</f>
        <v/>
      </c>
      <c r="K532" s="3">
        <f>+VLOOKUP($A532,MAGAZZINO!$B$2:$M$100000,11,FALSE)</f>
        <v/>
      </c>
      <c r="L532" s="5">
        <f>+VLOOKUP($A532,MAGAZZINO!$B$2:$M$100000,12,FALSE)</f>
        <v/>
      </c>
      <c r="M532" s="47" t="n"/>
      <c r="N532" s="88" t="n">
        <v>45771</v>
      </c>
      <c r="O532" s="156" t="inlineStr">
        <is>
          <t>BIN HUMAID NATIONAL TRADING CO. (ARABIA SAUDITA)</t>
        </is>
      </c>
      <c r="P532" s="154" t="inlineStr">
        <is>
          <t>IMPORT LICENSE N. 7004424417/8/B/81 VALIDA FINO AL 28/04/2027                                                              AUT. ESPORTAZIONE MULTIPLA N. 6B/2025/1M RILASCIATA IL 24/02/2025   (LICENZA DI SCARICO N. 6B/2025/2S RILASCIATA IL 15/04/2025)</t>
        </is>
      </c>
      <c r="Q532" s="150" t="n"/>
      <c r="R532" s="150" t="n"/>
      <c r="S532" s="153" t="n"/>
    </row>
    <row r="533" ht="36" customHeight="1">
      <c r="A533" s="46" t="n">
        <v>2863</v>
      </c>
      <c r="B533" s="4">
        <f>+VLOOKUP($A533,MAGAZZINO!$B$2:$M$100000,2,FALSE)</f>
        <v/>
      </c>
      <c r="C533" s="29">
        <f>+VLOOKUP($A533,MAGAZZINO!$B$2:$M$100000,3,FALSE)</f>
        <v/>
      </c>
      <c r="D533" s="3">
        <f>+VLOOKUP($A533,MAGAZZINO!$B$2:$M$100000,4,FALSE)</f>
        <v/>
      </c>
      <c r="E533" s="3">
        <f>+VLOOKUP($A533,MAGAZZINO!$B$2:$M$100000,5,FALSE)</f>
        <v/>
      </c>
      <c r="F533" s="3">
        <f>+VLOOKUP($A533,MAGAZZINO!$B$2:$M$100000,6,FALSE)</f>
        <v/>
      </c>
      <c r="G533" s="3">
        <f>+VLOOKUP($A533,MAGAZZINO!$B$2:$M$100000,7,FALSE)</f>
        <v/>
      </c>
      <c r="H533" s="3">
        <f>+VLOOKUP($A533,MAGAZZINO!$B$2:$M$100000,8,FALSE)</f>
        <v/>
      </c>
      <c r="I533" s="3">
        <f>+VLOOKUP($A533,MAGAZZINO!$B$2:$M$100000,9,FALSE)</f>
        <v/>
      </c>
      <c r="J533" s="3">
        <f>+VLOOKUP($A533,MAGAZZINO!$B$2:$M$100000,10,FALSE)</f>
        <v/>
      </c>
      <c r="K533" s="3">
        <f>+VLOOKUP($A533,MAGAZZINO!$B$2:$M$100000,11,FALSE)</f>
        <v/>
      </c>
      <c r="L533" s="5">
        <f>+VLOOKUP($A533,MAGAZZINO!$B$2:$M$100000,12,FALSE)</f>
        <v/>
      </c>
      <c r="M533" s="47" t="n"/>
      <c r="N533" s="88" t="n">
        <v>45771</v>
      </c>
      <c r="O533" s="156" t="inlineStr">
        <is>
          <t>BIN HUMAID NATIONAL TRADING CO. (ARABIA SAUDITA)</t>
        </is>
      </c>
      <c r="P533" s="154" t="inlineStr">
        <is>
          <t>IMPORT LICENSE N. 7004424417/8/B/81 VALIDA FINO AL 28/04/2027                                                              AUT. ESPORTAZIONE MULTIPLA N. 6B/2025/1M RILASCIATA IL 24/02/2025   (LICENZA DI SCARICO N. 6B/2025/2S RILASCIATA IL 15/04/2025)</t>
        </is>
      </c>
      <c r="Q533" s="150" t="n"/>
      <c r="R533" s="150" t="n"/>
      <c r="S533" s="153" t="n"/>
    </row>
    <row r="534" ht="36" customHeight="1">
      <c r="A534" s="46" t="n">
        <v>2864</v>
      </c>
      <c r="B534" s="4">
        <f>+VLOOKUP($A534,MAGAZZINO!$B$2:$M$100000,2,FALSE)</f>
        <v/>
      </c>
      <c r="C534" s="29">
        <f>+VLOOKUP($A534,MAGAZZINO!$B$2:$M$100000,3,FALSE)</f>
        <v/>
      </c>
      <c r="D534" s="3">
        <f>+VLOOKUP($A534,MAGAZZINO!$B$2:$M$100000,4,FALSE)</f>
        <v/>
      </c>
      <c r="E534" s="3">
        <f>+VLOOKUP($A534,MAGAZZINO!$B$2:$M$100000,5,FALSE)</f>
        <v/>
      </c>
      <c r="F534" s="3">
        <f>+VLOOKUP($A534,MAGAZZINO!$B$2:$M$100000,6,FALSE)</f>
        <v/>
      </c>
      <c r="G534" s="3">
        <f>+VLOOKUP($A534,MAGAZZINO!$B$2:$M$100000,7,FALSE)</f>
        <v/>
      </c>
      <c r="H534" s="3">
        <f>+VLOOKUP($A534,MAGAZZINO!$B$2:$M$100000,8,FALSE)</f>
        <v/>
      </c>
      <c r="I534" s="3">
        <f>+VLOOKUP($A534,MAGAZZINO!$B$2:$M$100000,9,FALSE)</f>
        <v/>
      </c>
      <c r="J534" s="3">
        <f>+VLOOKUP($A534,MAGAZZINO!$B$2:$M$100000,10,FALSE)</f>
        <v/>
      </c>
      <c r="K534" s="3">
        <f>+VLOOKUP($A534,MAGAZZINO!$B$2:$M$100000,11,FALSE)</f>
        <v/>
      </c>
      <c r="L534" s="5">
        <f>+VLOOKUP($A534,MAGAZZINO!$B$2:$M$100000,12,FALSE)</f>
        <v/>
      </c>
      <c r="M534" s="47" t="n"/>
      <c r="N534" s="88" t="n">
        <v>45771</v>
      </c>
      <c r="O534" s="156" t="inlineStr">
        <is>
          <t>BIN HUMAID NATIONAL TRADING CO. (ARABIA SAUDITA)</t>
        </is>
      </c>
      <c r="P534" s="154" t="inlineStr">
        <is>
          <t>IMPORT LICENSE N. 7004424417/8/B/81 VALIDA FINO AL 28/04/2027                                                              AUT. ESPORTAZIONE MULTIPLA N. 6B/2025/1M RILASCIATA IL 24/02/2025   (LICENZA DI SCARICO N. 6B/2025/2S RILASCIATA IL 15/04/2025)</t>
        </is>
      </c>
      <c r="Q534" s="150" t="n"/>
      <c r="R534" s="150" t="n"/>
      <c r="S534" s="153" t="n"/>
    </row>
    <row r="535" ht="36" customHeight="1">
      <c r="A535" s="46" t="n">
        <v>2865</v>
      </c>
      <c r="B535" s="4">
        <f>+VLOOKUP($A535,MAGAZZINO!$B$2:$M$100000,2,FALSE)</f>
        <v/>
      </c>
      <c r="C535" s="29">
        <f>+VLOOKUP($A535,MAGAZZINO!$B$2:$M$100000,3,FALSE)</f>
        <v/>
      </c>
      <c r="D535" s="3">
        <f>+VLOOKUP($A535,MAGAZZINO!$B$2:$M$100000,4,FALSE)</f>
        <v/>
      </c>
      <c r="E535" s="3">
        <f>+VLOOKUP($A535,MAGAZZINO!$B$2:$M$100000,5,FALSE)</f>
        <v/>
      </c>
      <c r="F535" s="3">
        <f>+VLOOKUP($A535,MAGAZZINO!$B$2:$M$100000,6,FALSE)</f>
        <v/>
      </c>
      <c r="G535" s="3">
        <f>+VLOOKUP($A535,MAGAZZINO!$B$2:$M$100000,7,FALSE)</f>
        <v/>
      </c>
      <c r="H535" s="3">
        <f>+VLOOKUP($A535,MAGAZZINO!$B$2:$M$100000,8,FALSE)</f>
        <v/>
      </c>
      <c r="I535" s="3">
        <f>+VLOOKUP($A535,MAGAZZINO!$B$2:$M$100000,9,FALSE)</f>
        <v/>
      </c>
      <c r="J535" s="3">
        <f>+VLOOKUP($A535,MAGAZZINO!$B$2:$M$100000,10,FALSE)</f>
        <v/>
      </c>
      <c r="K535" s="3">
        <f>+VLOOKUP($A535,MAGAZZINO!$B$2:$M$100000,11,FALSE)</f>
        <v/>
      </c>
      <c r="L535" s="5">
        <f>+VLOOKUP($A535,MAGAZZINO!$B$2:$M$100000,12,FALSE)</f>
        <v/>
      </c>
      <c r="M535" s="47" t="n"/>
      <c r="N535" s="88" t="n">
        <v>45771</v>
      </c>
      <c r="O535" s="156" t="inlineStr">
        <is>
          <t>BIN HUMAID NATIONAL TRADING CO. (ARABIA SAUDITA)</t>
        </is>
      </c>
      <c r="P535" s="154" t="inlineStr">
        <is>
          <t>IMPORT LICENSE N. 7004424417/8/B/81 VALIDA FINO AL 28/04/2027                                                              AUT. ESPORTAZIONE MULTIPLA N. 6B/2025/1M RILASCIATA IL 24/02/2025   (LICENZA DI SCARICO N. 6B/2025/2S RILASCIATA IL 15/04/2025)</t>
        </is>
      </c>
      <c r="Q535" s="150" t="n"/>
      <c r="R535" s="150" t="n"/>
      <c r="S535" s="153" t="n"/>
    </row>
    <row r="536" ht="36" customHeight="1">
      <c r="A536" s="46" t="n">
        <v>2866</v>
      </c>
      <c r="B536" s="4">
        <f>+VLOOKUP($A536,MAGAZZINO!$B$2:$M$100000,2,FALSE)</f>
        <v/>
      </c>
      <c r="C536" s="29">
        <f>+VLOOKUP($A536,MAGAZZINO!$B$2:$M$100000,3,FALSE)</f>
        <v/>
      </c>
      <c r="D536" s="3">
        <f>+VLOOKUP($A536,MAGAZZINO!$B$2:$M$100000,4,FALSE)</f>
        <v/>
      </c>
      <c r="E536" s="3">
        <f>+VLOOKUP($A536,MAGAZZINO!$B$2:$M$100000,5,FALSE)</f>
        <v/>
      </c>
      <c r="F536" s="3">
        <f>+VLOOKUP($A536,MAGAZZINO!$B$2:$M$100000,6,FALSE)</f>
        <v/>
      </c>
      <c r="G536" s="3">
        <f>+VLOOKUP($A536,MAGAZZINO!$B$2:$M$100000,7,FALSE)</f>
        <v/>
      </c>
      <c r="H536" s="3">
        <f>+VLOOKUP($A536,MAGAZZINO!$B$2:$M$100000,8,FALSE)</f>
        <v/>
      </c>
      <c r="I536" s="3">
        <f>+VLOOKUP($A536,MAGAZZINO!$B$2:$M$100000,9,FALSE)</f>
        <v/>
      </c>
      <c r="J536" s="3">
        <f>+VLOOKUP($A536,MAGAZZINO!$B$2:$M$100000,10,FALSE)</f>
        <v/>
      </c>
      <c r="K536" s="3">
        <f>+VLOOKUP($A536,MAGAZZINO!$B$2:$M$100000,11,FALSE)</f>
        <v/>
      </c>
      <c r="L536" s="5">
        <f>+VLOOKUP($A536,MAGAZZINO!$B$2:$M$100000,12,FALSE)</f>
        <v/>
      </c>
      <c r="M536" s="47" t="n"/>
      <c r="N536" s="88" t="n">
        <v>45771</v>
      </c>
      <c r="O536" s="156" t="inlineStr">
        <is>
          <t>BIN HUMAID NATIONAL TRADING CO. (ARABIA SAUDITA)</t>
        </is>
      </c>
      <c r="P536" s="154" t="inlineStr">
        <is>
          <t>IMPORT LICENSE N. 7004424417/8/B/81 VALIDA FINO AL 28/04/2027                                                              AUT. ESPORTAZIONE MULTIPLA N. 6B/2025/1M RILASCIATA IL 24/02/2025   (LICENZA DI SCARICO N. 6B/2025/2S RILASCIATA IL 15/04/2025)</t>
        </is>
      </c>
      <c r="Q536" s="150" t="n"/>
      <c r="R536" s="150" t="n"/>
      <c r="S536" s="153" t="n"/>
    </row>
    <row r="537" ht="36" customHeight="1">
      <c r="A537" s="46" t="n">
        <v>2867</v>
      </c>
      <c r="B537" s="4">
        <f>+VLOOKUP($A537,MAGAZZINO!$B$2:$M$100000,2,FALSE)</f>
        <v/>
      </c>
      <c r="C537" s="29">
        <f>+VLOOKUP($A537,MAGAZZINO!$B$2:$M$100000,3,FALSE)</f>
        <v/>
      </c>
      <c r="D537" s="3">
        <f>+VLOOKUP($A537,MAGAZZINO!$B$2:$M$100000,4,FALSE)</f>
        <v/>
      </c>
      <c r="E537" s="3">
        <f>+VLOOKUP($A537,MAGAZZINO!$B$2:$M$100000,5,FALSE)</f>
        <v/>
      </c>
      <c r="F537" s="3">
        <f>+VLOOKUP($A537,MAGAZZINO!$B$2:$M$100000,6,FALSE)</f>
        <v/>
      </c>
      <c r="G537" s="3">
        <f>+VLOOKUP($A537,MAGAZZINO!$B$2:$M$100000,7,FALSE)</f>
        <v/>
      </c>
      <c r="H537" s="3">
        <f>+VLOOKUP($A537,MAGAZZINO!$B$2:$M$100000,8,FALSE)</f>
        <v/>
      </c>
      <c r="I537" s="3">
        <f>+VLOOKUP($A537,MAGAZZINO!$B$2:$M$100000,9,FALSE)</f>
        <v/>
      </c>
      <c r="J537" s="3">
        <f>+VLOOKUP($A537,MAGAZZINO!$B$2:$M$100000,10,FALSE)</f>
        <v/>
      </c>
      <c r="K537" s="3">
        <f>+VLOOKUP($A537,MAGAZZINO!$B$2:$M$100000,11,FALSE)</f>
        <v/>
      </c>
      <c r="L537" s="5">
        <f>+VLOOKUP($A537,MAGAZZINO!$B$2:$M$100000,12,FALSE)</f>
        <v/>
      </c>
      <c r="M537" s="47" t="n"/>
      <c r="N537" s="88" t="n">
        <v>45771</v>
      </c>
      <c r="O537" s="156" t="inlineStr">
        <is>
          <t>BIN HUMAID NATIONAL TRADING CO. (ARABIA SAUDITA)</t>
        </is>
      </c>
      <c r="P537" s="154" t="inlineStr">
        <is>
          <t>IMPORT LICENSE N. 7004424417/8/B/81 VALIDA FINO AL 28/04/2027                                                              AUT. ESPORTAZIONE MULTIPLA N. 6B/2025/1M RILASCIATA IL 24/02/2025   (LICENZA DI SCARICO N. 6B/2025/2S RILASCIATA IL 15/04/2025)</t>
        </is>
      </c>
      <c r="Q537" s="150" t="n"/>
      <c r="R537" s="150" t="n"/>
      <c r="S537" s="153" t="n"/>
    </row>
    <row r="538" ht="36" customHeight="1">
      <c r="A538" s="46" t="n">
        <v>2868</v>
      </c>
      <c r="B538" s="4">
        <f>+VLOOKUP($A538,MAGAZZINO!$B$2:$M$100000,2,FALSE)</f>
        <v/>
      </c>
      <c r="C538" s="29">
        <f>+VLOOKUP($A538,MAGAZZINO!$B$2:$M$100000,3,FALSE)</f>
        <v/>
      </c>
      <c r="D538" s="3">
        <f>+VLOOKUP($A538,MAGAZZINO!$B$2:$M$100000,4,FALSE)</f>
        <v/>
      </c>
      <c r="E538" s="3">
        <f>+VLOOKUP($A538,MAGAZZINO!$B$2:$M$100000,5,FALSE)</f>
        <v/>
      </c>
      <c r="F538" s="3">
        <f>+VLOOKUP($A538,MAGAZZINO!$B$2:$M$100000,6,FALSE)</f>
        <v/>
      </c>
      <c r="G538" s="3">
        <f>+VLOOKUP($A538,MAGAZZINO!$B$2:$M$100000,7,FALSE)</f>
        <v/>
      </c>
      <c r="H538" s="3">
        <f>+VLOOKUP($A538,MAGAZZINO!$B$2:$M$100000,8,FALSE)</f>
        <v/>
      </c>
      <c r="I538" s="3">
        <f>+VLOOKUP($A538,MAGAZZINO!$B$2:$M$100000,9,FALSE)</f>
        <v/>
      </c>
      <c r="J538" s="3">
        <f>+VLOOKUP($A538,MAGAZZINO!$B$2:$M$100000,10,FALSE)</f>
        <v/>
      </c>
      <c r="K538" s="3">
        <f>+VLOOKUP($A538,MAGAZZINO!$B$2:$M$100000,11,FALSE)</f>
        <v/>
      </c>
      <c r="L538" s="5">
        <f>+VLOOKUP($A538,MAGAZZINO!$B$2:$M$100000,12,FALSE)</f>
        <v/>
      </c>
      <c r="M538" s="47" t="n"/>
      <c r="N538" s="88" t="n">
        <v>45771</v>
      </c>
      <c r="O538" s="156" t="inlineStr">
        <is>
          <t>BIN HUMAID NATIONAL TRADING CO. (ARABIA SAUDITA)</t>
        </is>
      </c>
      <c r="P538" s="154" t="inlineStr">
        <is>
          <t>IMPORT LICENSE N. 7004424417/8/B/81 VALIDA FINO AL 28/04/2027                                                              AUT. ESPORTAZIONE MULTIPLA N. 6B/2025/1M RILASCIATA IL 24/02/2025   (LICENZA DI SCARICO N. 6B/2025/2S RILASCIATA IL 15/04/2025)</t>
        </is>
      </c>
      <c r="Q538" s="150" t="n"/>
      <c r="R538" s="150" t="n"/>
      <c r="S538" s="153" t="n"/>
    </row>
    <row r="539" ht="36" customHeight="1">
      <c r="A539" s="46" t="n">
        <v>2869</v>
      </c>
      <c r="B539" s="4">
        <f>+VLOOKUP($A539,MAGAZZINO!$B$2:$M$100000,2,FALSE)</f>
        <v/>
      </c>
      <c r="C539" s="29">
        <f>+VLOOKUP($A539,MAGAZZINO!$B$2:$M$100000,3,FALSE)</f>
        <v/>
      </c>
      <c r="D539" s="3">
        <f>+VLOOKUP($A539,MAGAZZINO!$B$2:$M$100000,4,FALSE)</f>
        <v/>
      </c>
      <c r="E539" s="3">
        <f>+VLOOKUP($A539,MAGAZZINO!$B$2:$M$100000,5,FALSE)</f>
        <v/>
      </c>
      <c r="F539" s="3">
        <f>+VLOOKUP($A539,MAGAZZINO!$B$2:$M$100000,6,FALSE)</f>
        <v/>
      </c>
      <c r="G539" s="3">
        <f>+VLOOKUP($A539,MAGAZZINO!$B$2:$M$100000,7,FALSE)</f>
        <v/>
      </c>
      <c r="H539" s="3">
        <f>+VLOOKUP($A539,MAGAZZINO!$B$2:$M$100000,8,FALSE)</f>
        <v/>
      </c>
      <c r="I539" s="3">
        <f>+VLOOKUP($A539,MAGAZZINO!$B$2:$M$100000,9,FALSE)</f>
        <v/>
      </c>
      <c r="J539" s="3">
        <f>+VLOOKUP($A539,MAGAZZINO!$B$2:$M$100000,10,FALSE)</f>
        <v/>
      </c>
      <c r="K539" s="3">
        <f>+VLOOKUP($A539,MAGAZZINO!$B$2:$M$100000,11,FALSE)</f>
        <v/>
      </c>
      <c r="L539" s="5">
        <f>+VLOOKUP($A539,MAGAZZINO!$B$2:$M$100000,12,FALSE)</f>
        <v/>
      </c>
      <c r="M539" s="47" t="n"/>
      <c r="N539" s="88" t="n">
        <v>45771</v>
      </c>
      <c r="O539" s="156" t="inlineStr">
        <is>
          <t>BIN HUMAID NATIONAL TRADING CO. (ARABIA SAUDITA)</t>
        </is>
      </c>
      <c r="P539" s="154" t="inlineStr">
        <is>
          <t>IMPORT LICENSE N. 7004424417/8/B/81 VALIDA FINO AL 28/04/2027                                                              AUT. ESPORTAZIONE MULTIPLA N. 6B/2025/1M RILASCIATA IL 24/02/2025   (LICENZA DI SCARICO N. 6B/2025/2S RILASCIATA IL 15/04/2025)</t>
        </is>
      </c>
      <c r="Q539" s="150" t="n"/>
      <c r="R539" s="150" t="n"/>
      <c r="S539" s="153" t="n"/>
    </row>
    <row r="540" ht="36" customHeight="1">
      <c r="A540" s="46" t="n">
        <v>2870</v>
      </c>
      <c r="B540" s="4">
        <f>+VLOOKUP($A540,MAGAZZINO!$B$2:$M$100000,2,FALSE)</f>
        <v/>
      </c>
      <c r="C540" s="29">
        <f>+VLOOKUP($A540,MAGAZZINO!$B$2:$M$100000,3,FALSE)</f>
        <v/>
      </c>
      <c r="D540" s="3">
        <f>+VLOOKUP($A540,MAGAZZINO!$B$2:$M$100000,4,FALSE)</f>
        <v/>
      </c>
      <c r="E540" s="3">
        <f>+VLOOKUP($A540,MAGAZZINO!$B$2:$M$100000,5,FALSE)</f>
        <v/>
      </c>
      <c r="F540" s="3">
        <f>+VLOOKUP($A540,MAGAZZINO!$B$2:$M$100000,6,FALSE)</f>
        <v/>
      </c>
      <c r="G540" s="3">
        <f>+VLOOKUP($A540,MAGAZZINO!$B$2:$M$100000,7,FALSE)</f>
        <v/>
      </c>
      <c r="H540" s="3">
        <f>+VLOOKUP($A540,MAGAZZINO!$B$2:$M$100000,8,FALSE)</f>
        <v/>
      </c>
      <c r="I540" s="3">
        <f>+VLOOKUP($A540,MAGAZZINO!$B$2:$M$100000,9,FALSE)</f>
        <v/>
      </c>
      <c r="J540" s="3">
        <f>+VLOOKUP($A540,MAGAZZINO!$B$2:$M$100000,10,FALSE)</f>
        <v/>
      </c>
      <c r="K540" s="3">
        <f>+VLOOKUP($A540,MAGAZZINO!$B$2:$M$100000,11,FALSE)</f>
        <v/>
      </c>
      <c r="L540" s="5">
        <f>+VLOOKUP($A540,MAGAZZINO!$B$2:$M$100000,12,FALSE)</f>
        <v/>
      </c>
      <c r="M540" s="47" t="n"/>
      <c r="N540" s="88" t="n">
        <v>45771</v>
      </c>
      <c r="O540" s="156" t="inlineStr">
        <is>
          <t>BIN HUMAID NATIONAL TRADING CO. (ARABIA SAUDITA)</t>
        </is>
      </c>
      <c r="P540" s="154" t="inlineStr">
        <is>
          <t>IMPORT LICENSE N. 7004424417/8/B/81 VALIDA FINO AL 28/04/2027                                                              AUT. ESPORTAZIONE MULTIPLA N. 6B/2025/1M RILASCIATA IL 24/02/2025   (LICENZA DI SCARICO N. 6B/2025/2S RILASCIATA IL 15/04/2025)</t>
        </is>
      </c>
      <c r="Q540" s="150" t="n"/>
      <c r="R540" s="150" t="n"/>
      <c r="S540" s="153" t="n"/>
    </row>
    <row r="541" ht="36" customHeight="1">
      <c r="A541" s="46" t="n">
        <v>2871</v>
      </c>
      <c r="B541" s="4">
        <f>+VLOOKUP($A541,MAGAZZINO!$B$2:$M$100000,2,FALSE)</f>
        <v/>
      </c>
      <c r="C541" s="29">
        <f>+VLOOKUP($A541,MAGAZZINO!$B$2:$M$100000,3,FALSE)</f>
        <v/>
      </c>
      <c r="D541" s="3">
        <f>+VLOOKUP($A541,MAGAZZINO!$B$2:$M$100000,4,FALSE)</f>
        <v/>
      </c>
      <c r="E541" s="3">
        <f>+VLOOKUP($A541,MAGAZZINO!$B$2:$M$100000,5,FALSE)</f>
        <v/>
      </c>
      <c r="F541" s="3">
        <f>+VLOOKUP($A541,MAGAZZINO!$B$2:$M$100000,6,FALSE)</f>
        <v/>
      </c>
      <c r="G541" s="3">
        <f>+VLOOKUP($A541,MAGAZZINO!$B$2:$M$100000,7,FALSE)</f>
        <v/>
      </c>
      <c r="H541" s="3">
        <f>+VLOOKUP($A541,MAGAZZINO!$B$2:$M$100000,8,FALSE)</f>
        <v/>
      </c>
      <c r="I541" s="3">
        <f>+VLOOKUP($A541,MAGAZZINO!$B$2:$M$100000,9,FALSE)</f>
        <v/>
      </c>
      <c r="J541" s="3">
        <f>+VLOOKUP($A541,MAGAZZINO!$B$2:$M$100000,10,FALSE)</f>
        <v/>
      </c>
      <c r="K541" s="3">
        <f>+VLOOKUP($A541,MAGAZZINO!$B$2:$M$100000,11,FALSE)</f>
        <v/>
      </c>
      <c r="L541" s="5">
        <f>+VLOOKUP($A541,MAGAZZINO!$B$2:$M$100000,12,FALSE)</f>
        <v/>
      </c>
      <c r="M541" s="47" t="n"/>
      <c r="N541" s="88" t="n">
        <v>45771</v>
      </c>
      <c r="O541" s="156" t="inlineStr">
        <is>
          <t>BIN HUMAID NATIONAL TRADING CO. (ARABIA SAUDITA)</t>
        </is>
      </c>
      <c r="P541" s="154" t="inlineStr">
        <is>
          <t>IMPORT LICENSE N. 7004424417/8/B/81 VALIDA FINO AL 28/04/2027                                                              AUT. ESPORTAZIONE MULTIPLA N. 6B/2025/1M RILASCIATA IL 24/02/2025   (LICENZA DI SCARICO N. 6B/2025/2S RILASCIATA IL 15/04/2025)</t>
        </is>
      </c>
      <c r="Q541" s="150" t="n"/>
      <c r="R541" s="150" t="n"/>
      <c r="S541" s="153" t="n"/>
    </row>
    <row r="542" ht="36" customHeight="1">
      <c r="A542" s="46" t="n">
        <v>2872</v>
      </c>
      <c r="B542" s="4">
        <f>+VLOOKUP($A542,MAGAZZINO!$B$2:$M$100000,2,FALSE)</f>
        <v/>
      </c>
      <c r="C542" s="29">
        <f>+VLOOKUP($A542,MAGAZZINO!$B$2:$M$100000,3,FALSE)</f>
        <v/>
      </c>
      <c r="D542" s="3">
        <f>+VLOOKUP($A542,MAGAZZINO!$B$2:$M$100000,4,FALSE)</f>
        <v/>
      </c>
      <c r="E542" s="3">
        <f>+VLOOKUP($A542,MAGAZZINO!$B$2:$M$100000,5,FALSE)</f>
        <v/>
      </c>
      <c r="F542" s="3">
        <f>+VLOOKUP($A542,MAGAZZINO!$B$2:$M$100000,6,FALSE)</f>
        <v/>
      </c>
      <c r="G542" s="3">
        <f>+VLOOKUP($A542,MAGAZZINO!$B$2:$M$100000,7,FALSE)</f>
        <v/>
      </c>
      <c r="H542" s="3">
        <f>+VLOOKUP($A542,MAGAZZINO!$B$2:$M$100000,8,FALSE)</f>
        <v/>
      </c>
      <c r="I542" s="3">
        <f>+VLOOKUP($A542,MAGAZZINO!$B$2:$M$100000,9,FALSE)</f>
        <v/>
      </c>
      <c r="J542" s="3">
        <f>+VLOOKUP($A542,MAGAZZINO!$B$2:$M$100000,10,FALSE)</f>
        <v/>
      </c>
      <c r="K542" s="3">
        <f>+VLOOKUP($A542,MAGAZZINO!$B$2:$M$100000,11,FALSE)</f>
        <v/>
      </c>
      <c r="L542" s="5">
        <f>+VLOOKUP($A542,MAGAZZINO!$B$2:$M$100000,12,FALSE)</f>
        <v/>
      </c>
      <c r="M542" s="47" t="n"/>
      <c r="N542" s="88" t="n">
        <v>45771</v>
      </c>
      <c r="O542" s="156" t="inlineStr">
        <is>
          <t>BIN HUMAID NATIONAL TRADING CO. (ARABIA SAUDITA)</t>
        </is>
      </c>
      <c r="P542" s="154" t="inlineStr">
        <is>
          <t>IMPORT LICENSE N. 7004424417/8/B/81 VALIDA FINO AL 28/04/2027                                                              AUT. ESPORTAZIONE MULTIPLA N. 6B/2025/1M RILASCIATA IL 24/02/2025   (LICENZA DI SCARICO N. 6B/2025/2S RILASCIATA IL 15/04/2025)</t>
        </is>
      </c>
      <c r="Q542" s="150" t="n"/>
      <c r="R542" s="150" t="n"/>
      <c r="S542" s="153" t="n"/>
    </row>
    <row r="543" ht="36" customHeight="1">
      <c r="A543" s="46" t="n">
        <v>2873</v>
      </c>
      <c r="B543" s="4">
        <f>+VLOOKUP($A543,MAGAZZINO!$B$2:$M$100000,2,FALSE)</f>
        <v/>
      </c>
      <c r="C543" s="29">
        <f>+VLOOKUP($A543,MAGAZZINO!$B$2:$M$100000,3,FALSE)</f>
        <v/>
      </c>
      <c r="D543" s="3">
        <f>+VLOOKUP($A543,MAGAZZINO!$B$2:$M$100000,4,FALSE)</f>
        <v/>
      </c>
      <c r="E543" s="3">
        <f>+VLOOKUP($A543,MAGAZZINO!$B$2:$M$100000,5,FALSE)</f>
        <v/>
      </c>
      <c r="F543" s="3">
        <f>+VLOOKUP($A543,MAGAZZINO!$B$2:$M$100000,6,FALSE)</f>
        <v/>
      </c>
      <c r="G543" s="3">
        <f>+VLOOKUP($A543,MAGAZZINO!$B$2:$M$100000,7,FALSE)</f>
        <v/>
      </c>
      <c r="H543" s="3">
        <f>+VLOOKUP($A543,MAGAZZINO!$B$2:$M$100000,8,FALSE)</f>
        <v/>
      </c>
      <c r="I543" s="3">
        <f>+VLOOKUP($A543,MAGAZZINO!$B$2:$M$100000,9,FALSE)</f>
        <v/>
      </c>
      <c r="J543" s="3">
        <f>+VLOOKUP($A543,MAGAZZINO!$B$2:$M$100000,10,FALSE)</f>
        <v/>
      </c>
      <c r="K543" s="3">
        <f>+VLOOKUP($A543,MAGAZZINO!$B$2:$M$100000,11,FALSE)</f>
        <v/>
      </c>
      <c r="L543" s="5">
        <f>+VLOOKUP($A543,MAGAZZINO!$B$2:$M$100000,12,FALSE)</f>
        <v/>
      </c>
      <c r="M543" s="47" t="n"/>
      <c r="N543" s="88" t="n">
        <v>45771</v>
      </c>
      <c r="O543" s="156" t="inlineStr">
        <is>
          <t>BIN HUMAID NATIONAL TRADING CO. (ARABIA SAUDITA)</t>
        </is>
      </c>
      <c r="P543" s="154" t="inlineStr">
        <is>
          <t>IMPORT LICENSE N. 7004424417/8/B/81 VALIDA FINO AL 28/04/2027                                                              AUT. ESPORTAZIONE MULTIPLA N. 6B/2025/1M RILASCIATA IL 24/02/2025   (LICENZA DI SCARICO N. 6B/2025/2S RILASCIATA IL 15/04/2025)</t>
        </is>
      </c>
      <c r="Q543" s="150" t="n"/>
      <c r="R543" s="150" t="n"/>
      <c r="S543" s="153" t="n"/>
    </row>
    <row r="544" ht="36" customHeight="1">
      <c r="A544" s="46" t="n">
        <v>2874</v>
      </c>
      <c r="B544" s="4">
        <f>+VLOOKUP($A544,MAGAZZINO!$B$2:$M$100000,2,FALSE)</f>
        <v/>
      </c>
      <c r="C544" s="29">
        <f>+VLOOKUP($A544,MAGAZZINO!$B$2:$M$100000,3,FALSE)</f>
        <v/>
      </c>
      <c r="D544" s="3">
        <f>+VLOOKUP($A544,MAGAZZINO!$B$2:$M$100000,4,FALSE)</f>
        <v/>
      </c>
      <c r="E544" s="3">
        <f>+VLOOKUP($A544,MAGAZZINO!$B$2:$M$100000,5,FALSE)</f>
        <v/>
      </c>
      <c r="F544" s="3">
        <f>+VLOOKUP($A544,MAGAZZINO!$B$2:$M$100000,6,FALSE)</f>
        <v/>
      </c>
      <c r="G544" s="3">
        <f>+VLOOKUP($A544,MAGAZZINO!$B$2:$M$100000,7,FALSE)</f>
        <v/>
      </c>
      <c r="H544" s="3">
        <f>+VLOOKUP($A544,MAGAZZINO!$B$2:$M$100000,8,FALSE)</f>
        <v/>
      </c>
      <c r="I544" s="3">
        <f>+VLOOKUP($A544,MAGAZZINO!$B$2:$M$100000,9,FALSE)</f>
        <v/>
      </c>
      <c r="J544" s="3">
        <f>+VLOOKUP($A544,MAGAZZINO!$B$2:$M$100000,10,FALSE)</f>
        <v/>
      </c>
      <c r="K544" s="3">
        <f>+VLOOKUP($A544,MAGAZZINO!$B$2:$M$100000,11,FALSE)</f>
        <v/>
      </c>
      <c r="L544" s="5">
        <f>+VLOOKUP($A544,MAGAZZINO!$B$2:$M$100000,12,FALSE)</f>
        <v/>
      </c>
      <c r="M544" s="47" t="n"/>
      <c r="N544" s="88" t="n">
        <v>45771</v>
      </c>
      <c r="O544" s="156" t="inlineStr">
        <is>
          <t>BIN HUMAID NATIONAL TRADING CO. (ARABIA SAUDITA)</t>
        </is>
      </c>
      <c r="P544" s="154" t="inlineStr">
        <is>
          <t>IMPORT LICENSE N. 7004424417/8/B/81 VALIDA FINO AL 28/04/2027                                                              AUT. ESPORTAZIONE MULTIPLA N. 6B/2025/1M RILASCIATA IL 24/02/2025   (LICENZA DI SCARICO N. 6B/2025/2S RILASCIATA IL 15/04/2025)</t>
        </is>
      </c>
      <c r="Q544" s="150" t="n"/>
      <c r="R544" s="150" t="n"/>
      <c r="S544" s="153" t="n"/>
    </row>
    <row r="545" ht="36" customHeight="1">
      <c r="A545" s="46" t="n">
        <v>2875</v>
      </c>
      <c r="B545" s="4">
        <f>+VLOOKUP($A545,MAGAZZINO!$B$2:$M$100000,2,FALSE)</f>
        <v/>
      </c>
      <c r="C545" s="29">
        <f>+VLOOKUP($A545,MAGAZZINO!$B$2:$M$100000,3,FALSE)</f>
        <v/>
      </c>
      <c r="D545" s="3">
        <f>+VLOOKUP($A545,MAGAZZINO!$B$2:$M$100000,4,FALSE)</f>
        <v/>
      </c>
      <c r="E545" s="3">
        <f>+VLOOKUP($A545,MAGAZZINO!$B$2:$M$100000,5,FALSE)</f>
        <v/>
      </c>
      <c r="F545" s="3">
        <f>+VLOOKUP($A545,MAGAZZINO!$B$2:$M$100000,6,FALSE)</f>
        <v/>
      </c>
      <c r="G545" s="3">
        <f>+VLOOKUP($A545,MAGAZZINO!$B$2:$M$100000,7,FALSE)</f>
        <v/>
      </c>
      <c r="H545" s="3">
        <f>+VLOOKUP($A545,MAGAZZINO!$B$2:$M$100000,8,FALSE)</f>
        <v/>
      </c>
      <c r="I545" s="3">
        <f>+VLOOKUP($A545,MAGAZZINO!$B$2:$M$100000,9,FALSE)</f>
        <v/>
      </c>
      <c r="J545" s="3">
        <f>+VLOOKUP($A545,MAGAZZINO!$B$2:$M$100000,10,FALSE)</f>
        <v/>
      </c>
      <c r="K545" s="3">
        <f>+VLOOKUP($A545,MAGAZZINO!$B$2:$M$100000,11,FALSE)</f>
        <v/>
      </c>
      <c r="L545" s="5">
        <f>+VLOOKUP($A545,MAGAZZINO!$B$2:$M$100000,12,FALSE)</f>
        <v/>
      </c>
      <c r="M545" s="47" t="n"/>
      <c r="N545" s="88" t="n">
        <v>45771</v>
      </c>
      <c r="O545" s="156" t="inlineStr">
        <is>
          <t>BIN HUMAID NATIONAL TRADING CO. (ARABIA SAUDITA)</t>
        </is>
      </c>
      <c r="P545" s="154" t="inlineStr">
        <is>
          <t>IMPORT LICENSE N. 7004424417/8/B/81 VALIDA FINO AL 28/04/2027                                                              AUT. ESPORTAZIONE MULTIPLA N. 6B/2025/1M RILASCIATA IL 24/02/2025   (LICENZA DI SCARICO N. 6B/2025/2S RILASCIATA IL 15/04/2025)</t>
        </is>
      </c>
      <c r="Q545" s="150" t="n"/>
      <c r="R545" s="150" t="n"/>
      <c r="S545" s="153" t="n"/>
    </row>
    <row r="546" ht="36" customHeight="1">
      <c r="A546" s="46" t="n">
        <v>2876</v>
      </c>
      <c r="B546" s="4">
        <f>+VLOOKUP($A546,MAGAZZINO!$B$2:$M$100000,2,FALSE)</f>
        <v/>
      </c>
      <c r="C546" s="29">
        <f>+VLOOKUP($A546,MAGAZZINO!$B$2:$M$100000,3,FALSE)</f>
        <v/>
      </c>
      <c r="D546" s="3">
        <f>+VLOOKUP($A546,MAGAZZINO!$B$2:$M$100000,4,FALSE)</f>
        <v/>
      </c>
      <c r="E546" s="3">
        <f>+VLOOKUP($A546,MAGAZZINO!$B$2:$M$100000,5,FALSE)</f>
        <v/>
      </c>
      <c r="F546" s="3">
        <f>+VLOOKUP($A546,MAGAZZINO!$B$2:$M$100000,6,FALSE)</f>
        <v/>
      </c>
      <c r="G546" s="3">
        <f>+VLOOKUP($A546,MAGAZZINO!$B$2:$M$100000,7,FALSE)</f>
        <v/>
      </c>
      <c r="H546" s="3">
        <f>+VLOOKUP($A546,MAGAZZINO!$B$2:$M$100000,8,FALSE)</f>
        <v/>
      </c>
      <c r="I546" s="3">
        <f>+VLOOKUP($A546,MAGAZZINO!$B$2:$M$100000,9,FALSE)</f>
        <v/>
      </c>
      <c r="J546" s="3">
        <f>+VLOOKUP($A546,MAGAZZINO!$B$2:$M$100000,10,FALSE)</f>
        <v/>
      </c>
      <c r="K546" s="3">
        <f>+VLOOKUP($A546,MAGAZZINO!$B$2:$M$100000,11,FALSE)</f>
        <v/>
      </c>
      <c r="L546" s="5">
        <f>+VLOOKUP($A546,MAGAZZINO!$B$2:$M$100000,12,FALSE)</f>
        <v/>
      </c>
      <c r="M546" s="47" t="n"/>
      <c r="N546" s="88" t="n">
        <v>45771</v>
      </c>
      <c r="O546" s="156" t="inlineStr">
        <is>
          <t>BIN HUMAID NATIONAL TRADING CO. (ARABIA SAUDITA)</t>
        </is>
      </c>
      <c r="P546" s="154" t="inlineStr">
        <is>
          <t>IMPORT LICENSE N. 7004424417/8/B/81 VALIDA FINO AL 28/04/2027                                                              AUT. ESPORTAZIONE MULTIPLA N. 6B/2025/1M RILASCIATA IL 24/02/2025   (LICENZA DI SCARICO N. 6B/2025/2S RILASCIATA IL 15/04/2025)</t>
        </is>
      </c>
      <c r="Q546" s="150" t="n"/>
      <c r="R546" s="150" t="n"/>
      <c r="S546" s="153" t="n"/>
    </row>
    <row r="547" ht="36" customHeight="1">
      <c r="A547" s="46" t="n">
        <v>2877</v>
      </c>
      <c r="B547" s="4">
        <f>+VLOOKUP($A547,MAGAZZINO!$B$2:$M$100000,2,FALSE)</f>
        <v/>
      </c>
      <c r="C547" s="29">
        <f>+VLOOKUP($A547,MAGAZZINO!$B$2:$M$100000,3,FALSE)</f>
        <v/>
      </c>
      <c r="D547" s="3">
        <f>+VLOOKUP($A547,MAGAZZINO!$B$2:$M$100000,4,FALSE)</f>
        <v/>
      </c>
      <c r="E547" s="3">
        <f>+VLOOKUP($A547,MAGAZZINO!$B$2:$M$100000,5,FALSE)</f>
        <v/>
      </c>
      <c r="F547" s="3">
        <f>+VLOOKUP($A547,MAGAZZINO!$B$2:$M$100000,6,FALSE)</f>
        <v/>
      </c>
      <c r="G547" s="3">
        <f>+VLOOKUP($A547,MAGAZZINO!$B$2:$M$100000,7,FALSE)</f>
        <v/>
      </c>
      <c r="H547" s="3">
        <f>+VLOOKUP($A547,MAGAZZINO!$B$2:$M$100000,8,FALSE)</f>
        <v/>
      </c>
      <c r="I547" s="3">
        <f>+VLOOKUP($A547,MAGAZZINO!$B$2:$M$100000,9,FALSE)</f>
        <v/>
      </c>
      <c r="J547" s="3">
        <f>+VLOOKUP($A547,MAGAZZINO!$B$2:$M$100000,10,FALSE)</f>
        <v/>
      </c>
      <c r="K547" s="3">
        <f>+VLOOKUP($A547,MAGAZZINO!$B$2:$M$100000,11,FALSE)</f>
        <v/>
      </c>
      <c r="L547" s="5">
        <f>+VLOOKUP($A547,MAGAZZINO!$B$2:$M$100000,12,FALSE)</f>
        <v/>
      </c>
      <c r="M547" s="47" t="n"/>
      <c r="N547" s="88" t="n">
        <v>45771</v>
      </c>
      <c r="O547" s="156" t="inlineStr">
        <is>
          <t>BIN HUMAID NATIONAL TRADING CO. (ARABIA SAUDITA)</t>
        </is>
      </c>
      <c r="P547" s="154" t="inlineStr">
        <is>
          <t>IMPORT LICENSE N. 7004424417/8/B/81 VALIDA FINO AL 28/04/2027                                                              AUT. ESPORTAZIONE MULTIPLA N. 6B/2025/1M RILASCIATA IL 24/02/2025   (LICENZA DI SCARICO N. 6B/2025/2S RILASCIATA IL 15/04/2025)</t>
        </is>
      </c>
      <c r="Q547" s="150" t="n"/>
      <c r="R547" s="150" t="n"/>
      <c r="S547" s="153" t="n"/>
    </row>
    <row r="548" ht="36" customHeight="1">
      <c r="A548" s="46" t="n">
        <v>2878</v>
      </c>
      <c r="B548" s="4">
        <f>+VLOOKUP($A548,MAGAZZINO!$B$2:$M$100000,2,FALSE)</f>
        <v/>
      </c>
      <c r="C548" s="29">
        <f>+VLOOKUP($A548,MAGAZZINO!$B$2:$M$100000,3,FALSE)</f>
        <v/>
      </c>
      <c r="D548" s="3">
        <f>+VLOOKUP($A548,MAGAZZINO!$B$2:$M$100000,4,FALSE)</f>
        <v/>
      </c>
      <c r="E548" s="3">
        <f>+VLOOKUP($A548,MAGAZZINO!$B$2:$M$100000,5,FALSE)</f>
        <v/>
      </c>
      <c r="F548" s="3">
        <f>+VLOOKUP($A548,MAGAZZINO!$B$2:$M$100000,6,FALSE)</f>
        <v/>
      </c>
      <c r="G548" s="3">
        <f>+VLOOKUP($A548,MAGAZZINO!$B$2:$M$100000,7,FALSE)</f>
        <v/>
      </c>
      <c r="H548" s="3">
        <f>+VLOOKUP($A548,MAGAZZINO!$B$2:$M$100000,8,FALSE)</f>
        <v/>
      </c>
      <c r="I548" s="3">
        <f>+VLOOKUP($A548,MAGAZZINO!$B$2:$M$100000,9,FALSE)</f>
        <v/>
      </c>
      <c r="J548" s="3">
        <f>+VLOOKUP($A548,MAGAZZINO!$B$2:$M$100000,10,FALSE)</f>
        <v/>
      </c>
      <c r="K548" s="3">
        <f>+VLOOKUP($A548,MAGAZZINO!$B$2:$M$100000,11,FALSE)</f>
        <v/>
      </c>
      <c r="L548" s="5">
        <f>+VLOOKUP($A548,MAGAZZINO!$B$2:$M$100000,12,FALSE)</f>
        <v/>
      </c>
      <c r="M548" s="47" t="n"/>
      <c r="N548" s="88" t="n">
        <v>45771</v>
      </c>
      <c r="O548" s="156" t="inlineStr">
        <is>
          <t>BIN HUMAID NATIONAL TRADING CO. (ARABIA SAUDITA)</t>
        </is>
      </c>
      <c r="P548" s="154" t="inlineStr">
        <is>
          <t>IMPORT LICENSE N. 7004424417/8/B/81 VALIDA FINO AL 28/04/2027                                                              AUT. ESPORTAZIONE MULTIPLA N. 6B/2025/1M RILASCIATA IL 24/02/2025   (LICENZA DI SCARICO N. 6B/2025/2S RILASCIATA IL 15/04/2025)</t>
        </is>
      </c>
      <c r="Q548" s="150" t="n"/>
      <c r="R548" s="150" t="n"/>
      <c r="S548" s="153" t="n"/>
    </row>
    <row r="549" ht="36" customHeight="1">
      <c r="A549" s="46" t="n">
        <v>2879</v>
      </c>
      <c r="B549" s="4">
        <f>+VLOOKUP($A549,MAGAZZINO!$B$2:$M$100000,2,FALSE)</f>
        <v/>
      </c>
      <c r="C549" s="29">
        <f>+VLOOKUP($A549,MAGAZZINO!$B$2:$M$100000,3,FALSE)</f>
        <v/>
      </c>
      <c r="D549" s="3">
        <f>+VLOOKUP($A549,MAGAZZINO!$B$2:$M$100000,4,FALSE)</f>
        <v/>
      </c>
      <c r="E549" s="3">
        <f>+VLOOKUP($A549,MAGAZZINO!$B$2:$M$100000,5,FALSE)</f>
        <v/>
      </c>
      <c r="F549" s="3">
        <f>+VLOOKUP($A549,MAGAZZINO!$B$2:$M$100000,6,FALSE)</f>
        <v/>
      </c>
      <c r="G549" s="3">
        <f>+VLOOKUP($A549,MAGAZZINO!$B$2:$M$100000,7,FALSE)</f>
        <v/>
      </c>
      <c r="H549" s="3">
        <f>+VLOOKUP($A549,MAGAZZINO!$B$2:$M$100000,8,FALSE)</f>
        <v/>
      </c>
      <c r="I549" s="3">
        <f>+VLOOKUP($A549,MAGAZZINO!$B$2:$M$100000,9,FALSE)</f>
        <v/>
      </c>
      <c r="J549" s="3">
        <f>+VLOOKUP($A549,MAGAZZINO!$B$2:$M$100000,10,FALSE)</f>
        <v/>
      </c>
      <c r="K549" s="3">
        <f>+VLOOKUP($A549,MAGAZZINO!$B$2:$M$100000,11,FALSE)</f>
        <v/>
      </c>
      <c r="L549" s="5">
        <f>+VLOOKUP($A549,MAGAZZINO!$B$2:$M$100000,12,FALSE)</f>
        <v/>
      </c>
      <c r="M549" s="47" t="n"/>
      <c r="N549" s="88" t="n">
        <v>45771</v>
      </c>
      <c r="O549" s="156" t="inlineStr">
        <is>
          <t>BIN HUMAID NATIONAL TRADING CO. (ARABIA SAUDITA)</t>
        </is>
      </c>
      <c r="P549" s="154" t="inlineStr">
        <is>
          <t>IMPORT LICENSE N. 7004424417/8/B/81 VALIDA FINO AL 28/04/2027                                                              AUT. ESPORTAZIONE MULTIPLA N. 6B/2025/1M RILASCIATA IL 24/02/2025   (LICENZA DI SCARICO N. 6B/2025/2S RILASCIATA IL 15/04/2025)</t>
        </is>
      </c>
      <c r="Q549" s="150" t="n"/>
      <c r="R549" s="150" t="n"/>
      <c r="S549" s="153" t="n"/>
    </row>
    <row r="550" ht="36" customHeight="1">
      <c r="A550" s="46" t="n">
        <v>2880</v>
      </c>
      <c r="B550" s="4">
        <f>+VLOOKUP($A550,MAGAZZINO!$B$2:$M$100000,2,FALSE)</f>
        <v/>
      </c>
      <c r="C550" s="29">
        <f>+VLOOKUP($A550,MAGAZZINO!$B$2:$M$100000,3,FALSE)</f>
        <v/>
      </c>
      <c r="D550" s="3">
        <f>+VLOOKUP($A550,MAGAZZINO!$B$2:$M$100000,4,FALSE)</f>
        <v/>
      </c>
      <c r="E550" s="3">
        <f>+VLOOKUP($A550,MAGAZZINO!$B$2:$M$100000,5,FALSE)</f>
        <v/>
      </c>
      <c r="F550" s="3">
        <f>+VLOOKUP($A550,MAGAZZINO!$B$2:$M$100000,6,FALSE)</f>
        <v/>
      </c>
      <c r="G550" s="3">
        <f>+VLOOKUP($A550,MAGAZZINO!$B$2:$M$100000,7,FALSE)</f>
        <v/>
      </c>
      <c r="H550" s="3">
        <f>+VLOOKUP($A550,MAGAZZINO!$B$2:$M$100000,8,FALSE)</f>
        <v/>
      </c>
      <c r="I550" s="3">
        <f>+VLOOKUP($A550,MAGAZZINO!$B$2:$M$100000,9,FALSE)</f>
        <v/>
      </c>
      <c r="J550" s="3">
        <f>+VLOOKUP($A550,MAGAZZINO!$B$2:$M$100000,10,FALSE)</f>
        <v/>
      </c>
      <c r="K550" s="3">
        <f>+VLOOKUP($A550,MAGAZZINO!$B$2:$M$100000,11,FALSE)</f>
        <v/>
      </c>
      <c r="L550" s="5">
        <f>+VLOOKUP($A550,MAGAZZINO!$B$2:$M$100000,12,FALSE)</f>
        <v/>
      </c>
      <c r="M550" s="47" t="n"/>
      <c r="N550" s="88" t="n">
        <v>45771</v>
      </c>
      <c r="O550" s="156" t="inlineStr">
        <is>
          <t>BIN HUMAID NATIONAL TRADING CO. (ARABIA SAUDITA)</t>
        </is>
      </c>
      <c r="P550" s="154" t="inlineStr">
        <is>
          <t>IMPORT LICENSE N. 7004424417/8/B/81 VALIDA FINO AL 28/04/2027                                                              AUT. ESPORTAZIONE MULTIPLA N. 6B/2025/1M RILASCIATA IL 24/02/2025   (LICENZA DI SCARICO N. 6B/2025/2S RILASCIATA IL 15/04/2025)</t>
        </is>
      </c>
      <c r="Q550" s="150" t="n"/>
      <c r="R550" s="150" t="n"/>
      <c r="S550" s="153" t="n"/>
    </row>
    <row r="551" ht="36" customHeight="1">
      <c r="A551" s="46" t="n">
        <v>2881</v>
      </c>
      <c r="B551" s="4">
        <f>+VLOOKUP($A551,MAGAZZINO!$B$2:$M$100000,2,FALSE)</f>
        <v/>
      </c>
      <c r="C551" s="29">
        <f>+VLOOKUP($A551,MAGAZZINO!$B$2:$M$100000,3,FALSE)</f>
        <v/>
      </c>
      <c r="D551" s="3">
        <f>+VLOOKUP($A551,MAGAZZINO!$B$2:$M$100000,4,FALSE)</f>
        <v/>
      </c>
      <c r="E551" s="3">
        <f>+VLOOKUP($A551,MAGAZZINO!$B$2:$M$100000,5,FALSE)</f>
        <v/>
      </c>
      <c r="F551" s="3">
        <f>+VLOOKUP($A551,MAGAZZINO!$B$2:$M$100000,6,FALSE)</f>
        <v/>
      </c>
      <c r="G551" s="3">
        <f>+VLOOKUP($A551,MAGAZZINO!$B$2:$M$100000,7,FALSE)</f>
        <v/>
      </c>
      <c r="H551" s="3">
        <f>+VLOOKUP($A551,MAGAZZINO!$B$2:$M$100000,8,FALSE)</f>
        <v/>
      </c>
      <c r="I551" s="3">
        <f>+VLOOKUP($A551,MAGAZZINO!$B$2:$M$100000,9,FALSE)</f>
        <v/>
      </c>
      <c r="J551" s="3">
        <f>+VLOOKUP($A551,MAGAZZINO!$B$2:$M$100000,10,FALSE)</f>
        <v/>
      </c>
      <c r="K551" s="3">
        <f>+VLOOKUP($A551,MAGAZZINO!$B$2:$M$100000,11,FALSE)</f>
        <v/>
      </c>
      <c r="L551" s="5">
        <f>+VLOOKUP($A551,MAGAZZINO!$B$2:$M$100000,12,FALSE)</f>
        <v/>
      </c>
      <c r="M551" s="47" t="n"/>
      <c r="N551" s="88" t="n">
        <v>45771</v>
      </c>
      <c r="O551" s="156" t="inlineStr">
        <is>
          <t>BIN HUMAID NATIONAL TRADING CO. (ARABIA SAUDITA)</t>
        </is>
      </c>
      <c r="P551" s="154" t="inlineStr">
        <is>
          <t>IMPORT LICENSE N. 7004424417/8/B/81 VALIDA FINO AL 28/04/2027                                                              AUT. ESPORTAZIONE MULTIPLA N. 6B/2025/1M RILASCIATA IL 24/02/2025   (LICENZA DI SCARICO N. 6B/2025/2S RILASCIATA IL 15/04/2025)</t>
        </is>
      </c>
      <c r="Q551" s="150" t="n"/>
      <c r="R551" s="150" t="n"/>
      <c r="S551" s="153" t="n"/>
    </row>
    <row r="552" ht="36" customHeight="1">
      <c r="A552" s="46" t="n">
        <v>2882</v>
      </c>
      <c r="B552" s="4">
        <f>+VLOOKUP($A552,MAGAZZINO!$B$2:$M$100000,2,FALSE)</f>
        <v/>
      </c>
      <c r="C552" s="29">
        <f>+VLOOKUP($A552,MAGAZZINO!$B$2:$M$100000,3,FALSE)</f>
        <v/>
      </c>
      <c r="D552" s="3">
        <f>+VLOOKUP($A552,MAGAZZINO!$B$2:$M$100000,4,FALSE)</f>
        <v/>
      </c>
      <c r="E552" s="3">
        <f>+VLOOKUP($A552,MAGAZZINO!$B$2:$M$100000,5,FALSE)</f>
        <v/>
      </c>
      <c r="F552" s="3">
        <f>+VLOOKUP($A552,MAGAZZINO!$B$2:$M$100000,6,FALSE)</f>
        <v/>
      </c>
      <c r="G552" s="3">
        <f>+VLOOKUP($A552,MAGAZZINO!$B$2:$M$100000,7,FALSE)</f>
        <v/>
      </c>
      <c r="H552" s="3">
        <f>+VLOOKUP($A552,MAGAZZINO!$B$2:$M$100000,8,FALSE)</f>
        <v/>
      </c>
      <c r="I552" s="3">
        <f>+VLOOKUP($A552,MAGAZZINO!$B$2:$M$100000,9,FALSE)</f>
        <v/>
      </c>
      <c r="J552" s="3">
        <f>+VLOOKUP($A552,MAGAZZINO!$B$2:$M$100000,10,FALSE)</f>
        <v/>
      </c>
      <c r="K552" s="3">
        <f>+VLOOKUP($A552,MAGAZZINO!$B$2:$M$100000,11,FALSE)</f>
        <v/>
      </c>
      <c r="L552" s="5">
        <f>+VLOOKUP($A552,MAGAZZINO!$B$2:$M$100000,12,FALSE)</f>
        <v/>
      </c>
      <c r="M552" s="47" t="n"/>
      <c r="N552" s="88" t="n">
        <v>45771</v>
      </c>
      <c r="O552" s="156" t="inlineStr">
        <is>
          <t>BIN HUMAID NATIONAL TRADING CO. (ARABIA SAUDITA)</t>
        </is>
      </c>
      <c r="P552" s="154" t="inlineStr">
        <is>
          <t>IMPORT LICENSE N. 7004424417/8/B/81 VALIDA FINO AL 28/04/2027                                                              AUT. ESPORTAZIONE MULTIPLA N. 6B/2025/1M RILASCIATA IL 24/02/2025   (LICENZA DI SCARICO N. 6B/2025/2S RILASCIATA IL 15/04/2025)</t>
        </is>
      </c>
      <c r="Q552" s="150" t="n"/>
      <c r="R552" s="150" t="n"/>
      <c r="S552" s="153" t="n"/>
    </row>
    <row r="553" ht="36" customHeight="1">
      <c r="A553" s="46" t="n">
        <v>2883</v>
      </c>
      <c r="B553" s="4">
        <f>+VLOOKUP($A553,MAGAZZINO!$B$2:$M$100000,2,FALSE)</f>
        <v/>
      </c>
      <c r="C553" s="29">
        <f>+VLOOKUP($A553,MAGAZZINO!$B$2:$M$100000,3,FALSE)</f>
        <v/>
      </c>
      <c r="D553" s="3">
        <f>+VLOOKUP($A553,MAGAZZINO!$B$2:$M$100000,4,FALSE)</f>
        <v/>
      </c>
      <c r="E553" s="3">
        <f>+VLOOKUP($A553,MAGAZZINO!$B$2:$M$100000,5,FALSE)</f>
        <v/>
      </c>
      <c r="F553" s="3">
        <f>+VLOOKUP($A553,MAGAZZINO!$B$2:$M$100000,6,FALSE)</f>
        <v/>
      </c>
      <c r="G553" s="3">
        <f>+VLOOKUP($A553,MAGAZZINO!$B$2:$M$100000,7,FALSE)</f>
        <v/>
      </c>
      <c r="H553" s="3">
        <f>+VLOOKUP($A553,MAGAZZINO!$B$2:$M$100000,8,FALSE)</f>
        <v/>
      </c>
      <c r="I553" s="3">
        <f>+VLOOKUP($A553,MAGAZZINO!$B$2:$M$100000,9,FALSE)</f>
        <v/>
      </c>
      <c r="J553" s="3">
        <f>+VLOOKUP($A553,MAGAZZINO!$B$2:$M$100000,10,FALSE)</f>
        <v/>
      </c>
      <c r="K553" s="3">
        <f>+VLOOKUP($A553,MAGAZZINO!$B$2:$M$100000,11,FALSE)</f>
        <v/>
      </c>
      <c r="L553" s="5">
        <f>+VLOOKUP($A553,MAGAZZINO!$B$2:$M$100000,12,FALSE)</f>
        <v/>
      </c>
      <c r="M553" s="47" t="n"/>
      <c r="N553" s="88" t="n">
        <v>45771</v>
      </c>
      <c r="O553" s="156" t="inlineStr">
        <is>
          <t>BIN HUMAID NATIONAL TRADING CO. (ARABIA SAUDITA)</t>
        </is>
      </c>
      <c r="P553" s="154" t="inlineStr">
        <is>
          <t>IMPORT LICENSE N. 7004424417/8/B/81 VALIDA FINO AL 28/04/2027                                                              AUT. ESPORTAZIONE MULTIPLA N. 6B/2025/1M RILASCIATA IL 24/02/2025   (LICENZA DI SCARICO N. 6B/2025/2S RILASCIATA IL 15/04/2025)</t>
        </is>
      </c>
      <c r="Q553" s="150" t="n"/>
      <c r="R553" s="150" t="n"/>
      <c r="S553" s="153" t="n"/>
    </row>
    <row r="554" ht="36" customHeight="1">
      <c r="A554" s="46" t="n">
        <v>2884</v>
      </c>
      <c r="B554" s="4">
        <f>+VLOOKUP($A554,MAGAZZINO!$B$2:$M$100000,2,FALSE)</f>
        <v/>
      </c>
      <c r="C554" s="29">
        <f>+VLOOKUP($A554,MAGAZZINO!$B$2:$M$100000,3,FALSE)</f>
        <v/>
      </c>
      <c r="D554" s="3">
        <f>+VLOOKUP($A554,MAGAZZINO!$B$2:$M$100000,4,FALSE)</f>
        <v/>
      </c>
      <c r="E554" s="3">
        <f>+VLOOKUP($A554,MAGAZZINO!$B$2:$M$100000,5,FALSE)</f>
        <v/>
      </c>
      <c r="F554" s="3">
        <f>+VLOOKUP($A554,MAGAZZINO!$B$2:$M$100000,6,FALSE)</f>
        <v/>
      </c>
      <c r="G554" s="3">
        <f>+VLOOKUP($A554,MAGAZZINO!$B$2:$M$100000,7,FALSE)</f>
        <v/>
      </c>
      <c r="H554" s="3">
        <f>+VLOOKUP($A554,MAGAZZINO!$B$2:$M$100000,8,FALSE)</f>
        <v/>
      </c>
      <c r="I554" s="3">
        <f>+VLOOKUP($A554,MAGAZZINO!$B$2:$M$100000,9,FALSE)</f>
        <v/>
      </c>
      <c r="J554" s="3">
        <f>+VLOOKUP($A554,MAGAZZINO!$B$2:$M$100000,10,FALSE)</f>
        <v/>
      </c>
      <c r="K554" s="3">
        <f>+VLOOKUP($A554,MAGAZZINO!$B$2:$M$100000,11,FALSE)</f>
        <v/>
      </c>
      <c r="L554" s="5">
        <f>+VLOOKUP($A554,MAGAZZINO!$B$2:$M$100000,12,FALSE)</f>
        <v/>
      </c>
      <c r="M554" s="47" t="n"/>
      <c r="N554" s="88" t="n">
        <v>45771</v>
      </c>
      <c r="O554" s="156" t="inlineStr">
        <is>
          <t>BIN HUMAID NATIONAL TRADING CO. (ARABIA SAUDITA)</t>
        </is>
      </c>
      <c r="P554" s="154" t="inlineStr">
        <is>
          <t>IMPORT LICENSE N. 7004424417/8/B/81 VALIDA FINO AL 28/04/2027                                                              AUT. ESPORTAZIONE MULTIPLA N. 6B/2025/1M RILASCIATA IL 24/02/2025   (LICENZA DI SCARICO N. 6B/2025/2S RILASCIATA IL 15/04/2025)</t>
        </is>
      </c>
      <c r="Q554" s="150" t="n"/>
      <c r="R554" s="150" t="n"/>
      <c r="S554" s="153" t="n"/>
    </row>
    <row r="555" ht="36" customHeight="1">
      <c r="A555" s="46" t="n">
        <v>2885</v>
      </c>
      <c r="B555" s="4">
        <f>+VLOOKUP($A555,MAGAZZINO!$B$2:$M$100000,2,FALSE)</f>
        <v/>
      </c>
      <c r="C555" s="29">
        <f>+VLOOKUP($A555,MAGAZZINO!$B$2:$M$100000,3,FALSE)</f>
        <v/>
      </c>
      <c r="D555" s="3">
        <f>+VLOOKUP($A555,MAGAZZINO!$B$2:$M$100000,4,FALSE)</f>
        <v/>
      </c>
      <c r="E555" s="3">
        <f>+VLOOKUP($A555,MAGAZZINO!$B$2:$M$100000,5,FALSE)</f>
        <v/>
      </c>
      <c r="F555" s="3">
        <f>+VLOOKUP($A555,MAGAZZINO!$B$2:$M$100000,6,FALSE)</f>
        <v/>
      </c>
      <c r="G555" s="3">
        <f>+VLOOKUP($A555,MAGAZZINO!$B$2:$M$100000,7,FALSE)</f>
        <v/>
      </c>
      <c r="H555" s="3">
        <f>+VLOOKUP($A555,MAGAZZINO!$B$2:$M$100000,8,FALSE)</f>
        <v/>
      </c>
      <c r="I555" s="3">
        <f>+VLOOKUP($A555,MAGAZZINO!$B$2:$M$100000,9,FALSE)</f>
        <v/>
      </c>
      <c r="J555" s="3">
        <f>+VLOOKUP($A555,MAGAZZINO!$B$2:$M$100000,10,FALSE)</f>
        <v/>
      </c>
      <c r="K555" s="3">
        <f>+VLOOKUP($A555,MAGAZZINO!$B$2:$M$100000,11,FALSE)</f>
        <v/>
      </c>
      <c r="L555" s="5">
        <f>+VLOOKUP($A555,MAGAZZINO!$B$2:$M$100000,12,FALSE)</f>
        <v/>
      </c>
      <c r="M555" s="47" t="n"/>
      <c r="N555" s="88" t="n">
        <v>45771</v>
      </c>
      <c r="O555" s="156" t="inlineStr">
        <is>
          <t>BIN HUMAID NATIONAL TRADING CO. (ARABIA SAUDITA)</t>
        </is>
      </c>
      <c r="P555" s="154" t="inlineStr">
        <is>
          <t>IMPORT LICENSE N. 7004424417/8/B/81 VALIDA FINO AL 28/04/2027                                                              AUT. ESPORTAZIONE MULTIPLA N. 6B/2025/1M RILASCIATA IL 24/02/2025   (LICENZA DI SCARICO N. 6B/2025/2S RILASCIATA IL 15/04/2025)</t>
        </is>
      </c>
      <c r="Q555" s="150" t="n"/>
      <c r="R555" s="150" t="n"/>
      <c r="S555" s="153" t="n"/>
    </row>
    <row r="556" ht="36" customHeight="1">
      <c r="A556" s="46" t="n">
        <v>2886</v>
      </c>
      <c r="B556" s="4">
        <f>+VLOOKUP($A556,MAGAZZINO!$B$2:$M$100000,2,FALSE)</f>
        <v/>
      </c>
      <c r="C556" s="29">
        <f>+VLOOKUP($A556,MAGAZZINO!$B$2:$M$100000,3,FALSE)</f>
        <v/>
      </c>
      <c r="D556" s="3">
        <f>+VLOOKUP($A556,MAGAZZINO!$B$2:$M$100000,4,FALSE)</f>
        <v/>
      </c>
      <c r="E556" s="3">
        <f>+VLOOKUP($A556,MAGAZZINO!$B$2:$M$100000,5,FALSE)</f>
        <v/>
      </c>
      <c r="F556" s="3">
        <f>+VLOOKUP($A556,MAGAZZINO!$B$2:$M$100000,6,FALSE)</f>
        <v/>
      </c>
      <c r="G556" s="3">
        <f>+VLOOKUP($A556,MAGAZZINO!$B$2:$M$100000,7,FALSE)</f>
        <v/>
      </c>
      <c r="H556" s="3">
        <f>+VLOOKUP($A556,MAGAZZINO!$B$2:$M$100000,8,FALSE)</f>
        <v/>
      </c>
      <c r="I556" s="3">
        <f>+VLOOKUP($A556,MAGAZZINO!$B$2:$M$100000,9,FALSE)</f>
        <v/>
      </c>
      <c r="J556" s="3">
        <f>+VLOOKUP($A556,MAGAZZINO!$B$2:$M$100000,10,FALSE)</f>
        <v/>
      </c>
      <c r="K556" s="3">
        <f>+VLOOKUP($A556,MAGAZZINO!$B$2:$M$100000,11,FALSE)</f>
        <v/>
      </c>
      <c r="L556" s="5">
        <f>+VLOOKUP($A556,MAGAZZINO!$B$2:$M$100000,12,FALSE)</f>
        <v/>
      </c>
      <c r="M556" s="47" t="n"/>
      <c r="N556" s="88" t="n">
        <v>45771</v>
      </c>
      <c r="O556" s="156" t="inlineStr">
        <is>
          <t>BIN HUMAID NATIONAL TRADING CO. (ARABIA SAUDITA)</t>
        </is>
      </c>
      <c r="P556" s="154" t="inlineStr">
        <is>
          <t>IMPORT LICENSE N. 7004424417/8/B/81 VALIDA FINO AL 28/04/2027                                                              AUT. ESPORTAZIONE MULTIPLA N. 6B/2025/1M RILASCIATA IL 24/02/2025   (LICENZA DI SCARICO N. 6B/2025/2S RILASCIATA IL 15/04/2025)</t>
        </is>
      </c>
      <c r="Q556" s="150" t="n"/>
      <c r="R556" s="150" t="n"/>
      <c r="S556" s="153" t="n"/>
    </row>
    <row r="557" ht="36" customHeight="1">
      <c r="A557" s="46" t="n">
        <v>2887</v>
      </c>
      <c r="B557" s="4">
        <f>+VLOOKUP($A557,MAGAZZINO!$B$2:$M$100000,2,FALSE)</f>
        <v/>
      </c>
      <c r="C557" s="29">
        <f>+VLOOKUP($A557,MAGAZZINO!$B$2:$M$100000,3,FALSE)</f>
        <v/>
      </c>
      <c r="D557" s="3">
        <f>+VLOOKUP($A557,MAGAZZINO!$B$2:$M$100000,4,FALSE)</f>
        <v/>
      </c>
      <c r="E557" s="3">
        <f>+VLOOKUP($A557,MAGAZZINO!$B$2:$M$100000,5,FALSE)</f>
        <v/>
      </c>
      <c r="F557" s="3">
        <f>+VLOOKUP($A557,MAGAZZINO!$B$2:$M$100000,6,FALSE)</f>
        <v/>
      </c>
      <c r="G557" s="3">
        <f>+VLOOKUP($A557,MAGAZZINO!$B$2:$M$100000,7,FALSE)</f>
        <v/>
      </c>
      <c r="H557" s="3">
        <f>+VLOOKUP($A557,MAGAZZINO!$B$2:$M$100000,8,FALSE)</f>
        <v/>
      </c>
      <c r="I557" s="3">
        <f>+VLOOKUP($A557,MAGAZZINO!$B$2:$M$100000,9,FALSE)</f>
        <v/>
      </c>
      <c r="J557" s="3">
        <f>+VLOOKUP($A557,MAGAZZINO!$B$2:$M$100000,10,FALSE)</f>
        <v/>
      </c>
      <c r="K557" s="3">
        <f>+VLOOKUP($A557,MAGAZZINO!$B$2:$M$100000,11,FALSE)</f>
        <v/>
      </c>
      <c r="L557" s="5">
        <f>+VLOOKUP($A557,MAGAZZINO!$B$2:$M$100000,12,FALSE)</f>
        <v/>
      </c>
      <c r="M557" s="47" t="n"/>
      <c r="N557" s="88" t="n">
        <v>45771</v>
      </c>
      <c r="O557" s="156" t="inlineStr">
        <is>
          <t>BIN HUMAID NATIONAL TRADING CO. (ARABIA SAUDITA)</t>
        </is>
      </c>
      <c r="P557" s="154" t="inlineStr">
        <is>
          <t>IMPORT LICENSE N. 7004424417/8/B/81 VALIDA FINO AL 28/04/2027                                                              AUT. ESPORTAZIONE MULTIPLA N. 6B/2025/1M RILASCIATA IL 24/02/2025   (LICENZA DI SCARICO N. 6B/2025/2S RILASCIATA IL 15/04/2025)</t>
        </is>
      </c>
      <c r="Q557" s="150" t="n"/>
      <c r="R557" s="150" t="n"/>
      <c r="S557" s="153" t="n"/>
    </row>
    <row r="558" ht="36" customHeight="1">
      <c r="A558" s="46" t="n">
        <v>2888</v>
      </c>
      <c r="B558" s="4">
        <f>+VLOOKUP($A558,MAGAZZINO!$B$2:$M$100000,2,FALSE)</f>
        <v/>
      </c>
      <c r="C558" s="29">
        <f>+VLOOKUP($A558,MAGAZZINO!$B$2:$M$100000,3,FALSE)</f>
        <v/>
      </c>
      <c r="D558" s="3">
        <f>+VLOOKUP($A558,MAGAZZINO!$B$2:$M$100000,4,FALSE)</f>
        <v/>
      </c>
      <c r="E558" s="3">
        <f>+VLOOKUP($A558,MAGAZZINO!$B$2:$M$100000,5,FALSE)</f>
        <v/>
      </c>
      <c r="F558" s="3">
        <f>+VLOOKUP($A558,MAGAZZINO!$B$2:$M$100000,6,FALSE)</f>
        <v/>
      </c>
      <c r="G558" s="3">
        <f>+VLOOKUP($A558,MAGAZZINO!$B$2:$M$100000,7,FALSE)</f>
        <v/>
      </c>
      <c r="H558" s="3">
        <f>+VLOOKUP($A558,MAGAZZINO!$B$2:$M$100000,8,FALSE)</f>
        <v/>
      </c>
      <c r="I558" s="3">
        <f>+VLOOKUP($A558,MAGAZZINO!$B$2:$M$100000,9,FALSE)</f>
        <v/>
      </c>
      <c r="J558" s="3">
        <f>+VLOOKUP($A558,MAGAZZINO!$B$2:$M$100000,10,FALSE)</f>
        <v/>
      </c>
      <c r="K558" s="3">
        <f>+VLOOKUP($A558,MAGAZZINO!$B$2:$M$100000,11,FALSE)</f>
        <v/>
      </c>
      <c r="L558" s="5">
        <f>+VLOOKUP($A558,MAGAZZINO!$B$2:$M$100000,12,FALSE)</f>
        <v/>
      </c>
      <c r="M558" s="47" t="n"/>
      <c r="N558" s="88" t="n">
        <v>45771</v>
      </c>
      <c r="O558" s="156" t="inlineStr">
        <is>
          <t>BIN HUMAID NATIONAL TRADING CO. (ARABIA SAUDITA)</t>
        </is>
      </c>
      <c r="P558" s="154" t="inlineStr">
        <is>
          <t>IMPORT LICENSE N. 7004424417/8/B/81 VALIDA FINO AL 28/04/2027                                                              AUT. ESPORTAZIONE MULTIPLA N. 6B/2025/1M RILASCIATA IL 24/02/2025   (LICENZA DI SCARICO N. 6B/2025/2S RILASCIATA IL 15/04/2025)</t>
        </is>
      </c>
      <c r="Q558" s="150" t="n"/>
      <c r="R558" s="150" t="n"/>
      <c r="S558" s="153" t="n"/>
    </row>
    <row r="559" ht="36" customHeight="1">
      <c r="A559" s="46" t="n">
        <v>2889</v>
      </c>
      <c r="B559" s="4">
        <f>+VLOOKUP($A559,MAGAZZINO!$B$2:$M$100000,2,FALSE)</f>
        <v/>
      </c>
      <c r="C559" s="29">
        <f>+VLOOKUP($A559,MAGAZZINO!$B$2:$M$100000,3,FALSE)</f>
        <v/>
      </c>
      <c r="D559" s="3">
        <f>+VLOOKUP($A559,MAGAZZINO!$B$2:$M$100000,4,FALSE)</f>
        <v/>
      </c>
      <c r="E559" s="3">
        <f>+VLOOKUP($A559,MAGAZZINO!$B$2:$M$100000,5,FALSE)</f>
        <v/>
      </c>
      <c r="F559" s="3">
        <f>+VLOOKUP($A559,MAGAZZINO!$B$2:$M$100000,6,FALSE)</f>
        <v/>
      </c>
      <c r="G559" s="3">
        <f>+VLOOKUP($A559,MAGAZZINO!$B$2:$M$100000,7,FALSE)</f>
        <v/>
      </c>
      <c r="H559" s="3">
        <f>+VLOOKUP($A559,MAGAZZINO!$B$2:$M$100000,8,FALSE)</f>
        <v/>
      </c>
      <c r="I559" s="3">
        <f>+VLOOKUP($A559,MAGAZZINO!$B$2:$M$100000,9,FALSE)</f>
        <v/>
      </c>
      <c r="J559" s="3">
        <f>+VLOOKUP($A559,MAGAZZINO!$B$2:$M$100000,10,FALSE)</f>
        <v/>
      </c>
      <c r="K559" s="3">
        <f>+VLOOKUP($A559,MAGAZZINO!$B$2:$M$100000,11,FALSE)</f>
        <v/>
      </c>
      <c r="L559" s="5">
        <f>+VLOOKUP($A559,MAGAZZINO!$B$2:$M$100000,12,FALSE)</f>
        <v/>
      </c>
      <c r="M559" s="47" t="n"/>
      <c r="N559" s="88" t="n">
        <v>45771</v>
      </c>
      <c r="O559" s="156" t="inlineStr">
        <is>
          <t>BIN HUMAID NATIONAL TRADING CO. (ARABIA SAUDITA)</t>
        </is>
      </c>
      <c r="P559" s="154" t="inlineStr">
        <is>
          <t>IMPORT LICENSE N. 7004424417/8/B/81 VALIDA FINO AL 28/04/2027                                                              AUT. ESPORTAZIONE MULTIPLA N. 6B/2025/1M RILASCIATA IL 24/02/2025   (LICENZA DI SCARICO N. 6B/2025/2S RILASCIATA IL 15/04/2025)</t>
        </is>
      </c>
      <c r="Q559" s="150" t="n"/>
      <c r="R559" s="150" t="n"/>
      <c r="S559" s="153" t="n"/>
    </row>
    <row r="560" ht="36" customHeight="1">
      <c r="A560" s="46" t="n">
        <v>2890</v>
      </c>
      <c r="B560" s="4">
        <f>+VLOOKUP($A560,MAGAZZINO!$B$2:$M$100000,2,FALSE)</f>
        <v/>
      </c>
      <c r="C560" s="29">
        <f>+VLOOKUP($A560,MAGAZZINO!$B$2:$M$100000,3,FALSE)</f>
        <v/>
      </c>
      <c r="D560" s="3">
        <f>+VLOOKUP($A560,MAGAZZINO!$B$2:$M$100000,4,FALSE)</f>
        <v/>
      </c>
      <c r="E560" s="3">
        <f>+VLOOKUP($A560,MAGAZZINO!$B$2:$M$100000,5,FALSE)</f>
        <v/>
      </c>
      <c r="F560" s="3">
        <f>+VLOOKUP($A560,MAGAZZINO!$B$2:$M$100000,6,FALSE)</f>
        <v/>
      </c>
      <c r="G560" s="3">
        <f>+VLOOKUP($A560,MAGAZZINO!$B$2:$M$100000,7,FALSE)</f>
        <v/>
      </c>
      <c r="H560" s="3">
        <f>+VLOOKUP($A560,MAGAZZINO!$B$2:$M$100000,8,FALSE)</f>
        <v/>
      </c>
      <c r="I560" s="3">
        <f>+VLOOKUP($A560,MAGAZZINO!$B$2:$M$100000,9,FALSE)</f>
        <v/>
      </c>
      <c r="J560" s="3">
        <f>+VLOOKUP($A560,MAGAZZINO!$B$2:$M$100000,10,FALSE)</f>
        <v/>
      </c>
      <c r="K560" s="3">
        <f>+VLOOKUP($A560,MAGAZZINO!$B$2:$M$100000,11,FALSE)</f>
        <v/>
      </c>
      <c r="L560" s="5">
        <f>+VLOOKUP($A560,MAGAZZINO!$B$2:$M$100000,12,FALSE)</f>
        <v/>
      </c>
      <c r="M560" s="47" t="n"/>
      <c r="N560" s="88" t="n">
        <v>45771</v>
      </c>
      <c r="O560" s="156" t="inlineStr">
        <is>
          <t>BIN HUMAID NATIONAL TRADING CO. (ARABIA SAUDITA)</t>
        </is>
      </c>
      <c r="P560" s="154" t="inlineStr">
        <is>
          <t>IMPORT LICENSE N. 7004424417/8/B/81 VALIDA FINO AL 28/04/2027                                                              AUT. ESPORTAZIONE MULTIPLA N. 6B/2025/1M RILASCIATA IL 24/02/2025   (LICENZA DI SCARICO N. 6B/2025/2S RILASCIATA IL 15/04/2025)</t>
        </is>
      </c>
      <c r="Q560" s="150" t="n"/>
      <c r="R560" s="150" t="n"/>
      <c r="S560" s="153" t="n"/>
    </row>
    <row r="561" ht="36" customHeight="1">
      <c r="A561" s="46" t="n">
        <v>2891</v>
      </c>
      <c r="B561" s="4">
        <f>+VLOOKUP($A561,MAGAZZINO!$B$2:$M$100000,2,FALSE)</f>
        <v/>
      </c>
      <c r="C561" s="29">
        <f>+VLOOKUP($A561,MAGAZZINO!$B$2:$M$100000,3,FALSE)</f>
        <v/>
      </c>
      <c r="D561" s="3">
        <f>+VLOOKUP($A561,MAGAZZINO!$B$2:$M$100000,4,FALSE)</f>
        <v/>
      </c>
      <c r="E561" s="3">
        <f>+VLOOKUP($A561,MAGAZZINO!$B$2:$M$100000,5,FALSE)</f>
        <v/>
      </c>
      <c r="F561" s="3">
        <f>+VLOOKUP($A561,MAGAZZINO!$B$2:$M$100000,6,FALSE)</f>
        <v/>
      </c>
      <c r="G561" s="3">
        <f>+VLOOKUP($A561,MAGAZZINO!$B$2:$M$100000,7,FALSE)</f>
        <v/>
      </c>
      <c r="H561" s="3">
        <f>+VLOOKUP($A561,MAGAZZINO!$B$2:$M$100000,8,FALSE)</f>
        <v/>
      </c>
      <c r="I561" s="3">
        <f>+VLOOKUP($A561,MAGAZZINO!$B$2:$M$100000,9,FALSE)</f>
        <v/>
      </c>
      <c r="J561" s="3">
        <f>+VLOOKUP($A561,MAGAZZINO!$B$2:$M$100000,10,FALSE)</f>
        <v/>
      </c>
      <c r="K561" s="3">
        <f>+VLOOKUP($A561,MAGAZZINO!$B$2:$M$100000,11,FALSE)</f>
        <v/>
      </c>
      <c r="L561" s="5">
        <f>+VLOOKUP($A561,MAGAZZINO!$B$2:$M$100000,12,FALSE)</f>
        <v/>
      </c>
      <c r="M561" s="47" t="n"/>
      <c r="N561" s="88" t="n">
        <v>45771</v>
      </c>
      <c r="O561" s="156" t="inlineStr">
        <is>
          <t>BIN HUMAID NATIONAL TRADING CO. (ARABIA SAUDITA)</t>
        </is>
      </c>
      <c r="P561" s="154" t="inlineStr">
        <is>
          <t>IMPORT LICENSE N. 7004424417/8/B/81 VALIDA FINO AL 28/04/2027                                                              AUT. ESPORTAZIONE MULTIPLA N. 6B/2025/1M RILASCIATA IL 24/02/2025   (LICENZA DI SCARICO N. 6B/2025/2S RILASCIATA IL 15/04/2025)</t>
        </is>
      </c>
      <c r="Q561" s="150" t="n"/>
      <c r="R561" s="150" t="n"/>
      <c r="S561" s="153" t="n"/>
    </row>
    <row r="562" ht="36" customHeight="1">
      <c r="A562" s="46" t="n">
        <v>2892</v>
      </c>
      <c r="B562" s="4">
        <f>+VLOOKUP($A562,MAGAZZINO!$B$2:$M$100000,2,FALSE)</f>
        <v/>
      </c>
      <c r="C562" s="29">
        <f>+VLOOKUP($A562,MAGAZZINO!$B$2:$M$100000,3,FALSE)</f>
        <v/>
      </c>
      <c r="D562" s="3">
        <f>+VLOOKUP($A562,MAGAZZINO!$B$2:$M$100000,4,FALSE)</f>
        <v/>
      </c>
      <c r="E562" s="3">
        <f>+VLOOKUP($A562,MAGAZZINO!$B$2:$M$100000,5,FALSE)</f>
        <v/>
      </c>
      <c r="F562" s="3">
        <f>+VLOOKUP($A562,MAGAZZINO!$B$2:$M$100000,6,FALSE)</f>
        <v/>
      </c>
      <c r="G562" s="3">
        <f>+VLOOKUP($A562,MAGAZZINO!$B$2:$M$100000,7,FALSE)</f>
        <v/>
      </c>
      <c r="H562" s="3">
        <f>+VLOOKUP($A562,MAGAZZINO!$B$2:$M$100000,8,FALSE)</f>
        <v/>
      </c>
      <c r="I562" s="3">
        <f>+VLOOKUP($A562,MAGAZZINO!$B$2:$M$100000,9,FALSE)</f>
        <v/>
      </c>
      <c r="J562" s="3">
        <f>+VLOOKUP($A562,MAGAZZINO!$B$2:$M$100000,10,FALSE)</f>
        <v/>
      </c>
      <c r="K562" s="3">
        <f>+VLOOKUP($A562,MAGAZZINO!$B$2:$M$100000,11,FALSE)</f>
        <v/>
      </c>
      <c r="L562" s="5">
        <f>+VLOOKUP($A562,MAGAZZINO!$B$2:$M$100000,12,FALSE)</f>
        <v/>
      </c>
      <c r="M562" s="47" t="n"/>
      <c r="N562" s="88" t="n">
        <v>45771</v>
      </c>
      <c r="O562" s="156" t="inlineStr">
        <is>
          <t>BIN HUMAID NATIONAL TRADING CO. (ARABIA SAUDITA)</t>
        </is>
      </c>
      <c r="P562" s="154" t="inlineStr">
        <is>
          <t>IMPORT LICENSE N. 7004424417/8/B/81 VALIDA FINO AL 28/04/2027                                                              AUT. ESPORTAZIONE MULTIPLA N. 6B/2025/1M RILASCIATA IL 24/02/2025   (LICENZA DI SCARICO N. 6B/2025/2S RILASCIATA IL 15/04/2025)</t>
        </is>
      </c>
      <c r="Q562" s="150" t="n"/>
      <c r="R562" s="150" t="n"/>
      <c r="S562" s="153" t="n"/>
    </row>
    <row r="563" ht="36" customHeight="1">
      <c r="A563" s="46" t="n">
        <v>2893</v>
      </c>
      <c r="B563" s="4">
        <f>+VLOOKUP($A563,MAGAZZINO!$B$2:$M$100000,2,FALSE)</f>
        <v/>
      </c>
      <c r="C563" s="29">
        <f>+VLOOKUP($A563,MAGAZZINO!$B$2:$M$100000,3,FALSE)</f>
        <v/>
      </c>
      <c r="D563" s="3">
        <f>+VLOOKUP($A563,MAGAZZINO!$B$2:$M$100000,4,FALSE)</f>
        <v/>
      </c>
      <c r="E563" s="3">
        <f>+VLOOKUP($A563,MAGAZZINO!$B$2:$M$100000,5,FALSE)</f>
        <v/>
      </c>
      <c r="F563" s="3">
        <f>+VLOOKUP($A563,MAGAZZINO!$B$2:$M$100000,6,FALSE)</f>
        <v/>
      </c>
      <c r="G563" s="3">
        <f>+VLOOKUP($A563,MAGAZZINO!$B$2:$M$100000,7,FALSE)</f>
        <v/>
      </c>
      <c r="H563" s="3">
        <f>+VLOOKUP($A563,MAGAZZINO!$B$2:$M$100000,8,FALSE)</f>
        <v/>
      </c>
      <c r="I563" s="3">
        <f>+VLOOKUP($A563,MAGAZZINO!$B$2:$M$100000,9,FALSE)</f>
        <v/>
      </c>
      <c r="J563" s="3">
        <f>+VLOOKUP($A563,MAGAZZINO!$B$2:$M$100000,10,FALSE)</f>
        <v/>
      </c>
      <c r="K563" s="3">
        <f>+VLOOKUP($A563,MAGAZZINO!$B$2:$M$100000,11,FALSE)</f>
        <v/>
      </c>
      <c r="L563" s="5">
        <f>+VLOOKUP($A563,MAGAZZINO!$B$2:$M$100000,12,FALSE)</f>
        <v/>
      </c>
      <c r="M563" s="47" t="n"/>
      <c r="N563" s="88" t="n">
        <v>45771</v>
      </c>
      <c r="O563" s="156" t="inlineStr">
        <is>
          <t>BIN HUMAID NATIONAL TRADING CO. (ARABIA SAUDITA)</t>
        </is>
      </c>
      <c r="P563" s="154" t="inlineStr">
        <is>
          <t>IMPORT LICENSE N. 7004424417/8/B/81 VALIDA FINO AL 28/04/2027                                                              AUT. ESPORTAZIONE MULTIPLA N. 6B/2025/1M RILASCIATA IL 24/02/2025   (LICENZA DI SCARICO N. 6B/2025/2S RILASCIATA IL 15/04/2025)</t>
        </is>
      </c>
      <c r="Q563" s="150" t="n"/>
      <c r="R563" s="150" t="n"/>
      <c r="S563" s="153" t="n"/>
    </row>
    <row r="564" ht="36" customHeight="1">
      <c r="A564" s="46" t="n">
        <v>2894</v>
      </c>
      <c r="B564" s="4">
        <f>+VLOOKUP($A564,MAGAZZINO!$B$2:$M$100000,2,FALSE)</f>
        <v/>
      </c>
      <c r="C564" s="29">
        <f>+VLOOKUP($A564,MAGAZZINO!$B$2:$M$100000,3,FALSE)</f>
        <v/>
      </c>
      <c r="D564" s="3">
        <f>+VLOOKUP($A564,MAGAZZINO!$B$2:$M$100000,4,FALSE)</f>
        <v/>
      </c>
      <c r="E564" s="3">
        <f>+VLOOKUP($A564,MAGAZZINO!$B$2:$M$100000,5,FALSE)</f>
        <v/>
      </c>
      <c r="F564" s="3">
        <f>+VLOOKUP($A564,MAGAZZINO!$B$2:$M$100000,6,FALSE)</f>
        <v/>
      </c>
      <c r="G564" s="3">
        <f>+VLOOKUP($A564,MAGAZZINO!$B$2:$M$100000,7,FALSE)</f>
        <v/>
      </c>
      <c r="H564" s="3">
        <f>+VLOOKUP($A564,MAGAZZINO!$B$2:$M$100000,8,FALSE)</f>
        <v/>
      </c>
      <c r="I564" s="3">
        <f>+VLOOKUP($A564,MAGAZZINO!$B$2:$M$100000,9,FALSE)</f>
        <v/>
      </c>
      <c r="J564" s="3">
        <f>+VLOOKUP($A564,MAGAZZINO!$B$2:$M$100000,10,FALSE)</f>
        <v/>
      </c>
      <c r="K564" s="3">
        <f>+VLOOKUP($A564,MAGAZZINO!$B$2:$M$100000,11,FALSE)</f>
        <v/>
      </c>
      <c r="L564" s="5">
        <f>+VLOOKUP($A564,MAGAZZINO!$B$2:$M$100000,12,FALSE)</f>
        <v/>
      </c>
      <c r="M564" s="47" t="n"/>
      <c r="N564" s="88" t="n">
        <v>45771</v>
      </c>
      <c r="O564" s="156" t="inlineStr">
        <is>
          <t>BIN HUMAID NATIONAL TRADING CO. (ARABIA SAUDITA)</t>
        </is>
      </c>
      <c r="P564" s="154" t="inlineStr">
        <is>
          <t>IMPORT LICENSE N. 7004424417/8/B/81 VALIDA FINO AL 28/04/2027                                                              AUT. ESPORTAZIONE MULTIPLA N. 6B/2025/1M RILASCIATA IL 24/02/2025   (LICENZA DI SCARICO N. 6B/2025/2S RILASCIATA IL 15/04/2025)</t>
        </is>
      </c>
      <c r="Q564" s="150" t="n"/>
      <c r="R564" s="150" t="n"/>
      <c r="S564" s="153" t="n"/>
    </row>
    <row r="565" ht="36" customHeight="1">
      <c r="A565" s="46" t="n">
        <v>2895</v>
      </c>
      <c r="B565" s="4">
        <f>+VLOOKUP($A565,MAGAZZINO!$B$2:$M$100000,2,FALSE)</f>
        <v/>
      </c>
      <c r="C565" s="29">
        <f>+VLOOKUP($A565,MAGAZZINO!$B$2:$M$100000,3,FALSE)</f>
        <v/>
      </c>
      <c r="D565" s="3">
        <f>+VLOOKUP($A565,MAGAZZINO!$B$2:$M$100000,4,FALSE)</f>
        <v/>
      </c>
      <c r="E565" s="3">
        <f>+VLOOKUP($A565,MAGAZZINO!$B$2:$M$100000,5,FALSE)</f>
        <v/>
      </c>
      <c r="F565" s="3">
        <f>+VLOOKUP($A565,MAGAZZINO!$B$2:$M$100000,6,FALSE)</f>
        <v/>
      </c>
      <c r="G565" s="3">
        <f>+VLOOKUP($A565,MAGAZZINO!$B$2:$M$100000,7,FALSE)</f>
        <v/>
      </c>
      <c r="H565" s="3">
        <f>+VLOOKUP($A565,MAGAZZINO!$B$2:$M$100000,8,FALSE)</f>
        <v/>
      </c>
      <c r="I565" s="3">
        <f>+VLOOKUP($A565,MAGAZZINO!$B$2:$M$100000,9,FALSE)</f>
        <v/>
      </c>
      <c r="J565" s="3">
        <f>+VLOOKUP($A565,MAGAZZINO!$B$2:$M$100000,10,FALSE)</f>
        <v/>
      </c>
      <c r="K565" s="3">
        <f>+VLOOKUP($A565,MAGAZZINO!$B$2:$M$100000,11,FALSE)</f>
        <v/>
      </c>
      <c r="L565" s="5">
        <f>+VLOOKUP($A565,MAGAZZINO!$B$2:$M$100000,12,FALSE)</f>
        <v/>
      </c>
      <c r="M565" s="47" t="n"/>
      <c r="N565" s="88" t="n">
        <v>45771</v>
      </c>
      <c r="O565" s="156" t="inlineStr">
        <is>
          <t>BIN HUMAID NATIONAL TRADING CO. (ARABIA SAUDITA)</t>
        </is>
      </c>
      <c r="P565" s="154" t="inlineStr">
        <is>
          <t>IMPORT LICENSE N. 7004424417/8/B/81 VALIDA FINO AL 28/04/2027                                                              AUT. ESPORTAZIONE MULTIPLA N. 6B/2025/1M RILASCIATA IL 24/02/2025   (LICENZA DI SCARICO N. 6B/2025/2S RILASCIATA IL 15/04/2025)</t>
        </is>
      </c>
      <c r="Q565" s="150" t="n"/>
      <c r="R565" s="150" t="n"/>
      <c r="S565" s="153" t="n"/>
    </row>
    <row r="566" ht="36" customHeight="1">
      <c r="A566" s="46" t="n">
        <v>2896</v>
      </c>
      <c r="B566" s="4">
        <f>+VLOOKUP($A566,MAGAZZINO!$B$2:$M$100000,2,FALSE)</f>
        <v/>
      </c>
      <c r="C566" s="29">
        <f>+VLOOKUP($A566,MAGAZZINO!$B$2:$M$100000,3,FALSE)</f>
        <v/>
      </c>
      <c r="D566" s="3">
        <f>+VLOOKUP($A566,MAGAZZINO!$B$2:$M$100000,4,FALSE)</f>
        <v/>
      </c>
      <c r="E566" s="3">
        <f>+VLOOKUP($A566,MAGAZZINO!$B$2:$M$100000,5,FALSE)</f>
        <v/>
      </c>
      <c r="F566" s="3">
        <f>+VLOOKUP($A566,MAGAZZINO!$B$2:$M$100000,6,FALSE)</f>
        <v/>
      </c>
      <c r="G566" s="3">
        <f>+VLOOKUP($A566,MAGAZZINO!$B$2:$M$100000,7,FALSE)</f>
        <v/>
      </c>
      <c r="H566" s="3">
        <f>+VLOOKUP($A566,MAGAZZINO!$B$2:$M$100000,8,FALSE)</f>
        <v/>
      </c>
      <c r="I566" s="3">
        <f>+VLOOKUP($A566,MAGAZZINO!$B$2:$M$100000,9,FALSE)</f>
        <v/>
      </c>
      <c r="J566" s="3">
        <f>+VLOOKUP($A566,MAGAZZINO!$B$2:$M$100000,10,FALSE)</f>
        <v/>
      </c>
      <c r="K566" s="3">
        <f>+VLOOKUP($A566,MAGAZZINO!$B$2:$M$100000,11,FALSE)</f>
        <v/>
      </c>
      <c r="L566" s="5">
        <f>+VLOOKUP($A566,MAGAZZINO!$B$2:$M$100000,12,FALSE)</f>
        <v/>
      </c>
      <c r="M566" s="47" t="n"/>
      <c r="N566" s="88" t="n">
        <v>45771</v>
      </c>
      <c r="O566" s="156" t="inlineStr">
        <is>
          <t>BIN HUMAID NATIONAL TRADING CO. (ARABIA SAUDITA)</t>
        </is>
      </c>
      <c r="P566" s="154" t="inlineStr">
        <is>
          <t>IMPORT LICENSE N. 7004424417/8/B/81 VALIDA FINO AL 28/04/2027                                                              AUT. ESPORTAZIONE MULTIPLA N. 6B/2025/1M RILASCIATA IL 24/02/2025   (LICENZA DI SCARICO N. 6B/2025/2S RILASCIATA IL 15/04/2025)</t>
        </is>
      </c>
      <c r="Q566" s="150" t="n"/>
      <c r="R566" s="150" t="n"/>
      <c r="S566" s="153" t="n"/>
    </row>
    <row r="567" ht="36" customHeight="1">
      <c r="A567" s="46" t="n">
        <v>2897</v>
      </c>
      <c r="B567" s="4">
        <f>+VLOOKUP($A567,MAGAZZINO!$B$2:$M$100000,2,FALSE)</f>
        <v/>
      </c>
      <c r="C567" s="29">
        <f>+VLOOKUP($A567,MAGAZZINO!$B$2:$M$100000,3,FALSE)</f>
        <v/>
      </c>
      <c r="D567" s="3">
        <f>+VLOOKUP($A567,MAGAZZINO!$B$2:$M$100000,4,FALSE)</f>
        <v/>
      </c>
      <c r="E567" s="3">
        <f>+VLOOKUP($A567,MAGAZZINO!$B$2:$M$100000,5,FALSE)</f>
        <v/>
      </c>
      <c r="F567" s="3">
        <f>+VLOOKUP($A567,MAGAZZINO!$B$2:$M$100000,6,FALSE)</f>
        <v/>
      </c>
      <c r="G567" s="3">
        <f>+VLOOKUP($A567,MAGAZZINO!$B$2:$M$100000,7,FALSE)</f>
        <v/>
      </c>
      <c r="H567" s="3">
        <f>+VLOOKUP($A567,MAGAZZINO!$B$2:$M$100000,8,FALSE)</f>
        <v/>
      </c>
      <c r="I567" s="3">
        <f>+VLOOKUP($A567,MAGAZZINO!$B$2:$M$100000,9,FALSE)</f>
        <v/>
      </c>
      <c r="J567" s="3">
        <f>+VLOOKUP($A567,MAGAZZINO!$B$2:$M$100000,10,FALSE)</f>
        <v/>
      </c>
      <c r="K567" s="3">
        <f>+VLOOKUP($A567,MAGAZZINO!$B$2:$M$100000,11,FALSE)</f>
        <v/>
      </c>
      <c r="L567" s="5">
        <f>+VLOOKUP($A567,MAGAZZINO!$B$2:$M$100000,12,FALSE)</f>
        <v/>
      </c>
      <c r="M567" s="47" t="n"/>
      <c r="N567" s="88" t="n">
        <v>45771</v>
      </c>
      <c r="O567" s="156" t="inlineStr">
        <is>
          <t>BIN HUMAID NATIONAL TRADING CO. (ARABIA SAUDITA)</t>
        </is>
      </c>
      <c r="P567" s="154" t="inlineStr">
        <is>
          <t>IMPORT LICENSE N. 7004424417/8/B/81 VALIDA FINO AL 28/04/2027                                                              AUT. ESPORTAZIONE MULTIPLA N. 6B/2025/1M RILASCIATA IL 24/02/2025   (LICENZA DI SCARICO N. 6B/2025/2S RILASCIATA IL 15/04/2025)</t>
        </is>
      </c>
      <c r="Q567" s="150" t="n"/>
      <c r="R567" s="150" t="n"/>
      <c r="S567" s="153" t="n"/>
    </row>
    <row r="568" ht="36" customHeight="1">
      <c r="A568" s="46" t="n">
        <v>2898</v>
      </c>
      <c r="B568" s="4">
        <f>+VLOOKUP($A568,MAGAZZINO!$B$2:$M$100000,2,FALSE)</f>
        <v/>
      </c>
      <c r="C568" s="29">
        <f>+VLOOKUP($A568,MAGAZZINO!$B$2:$M$100000,3,FALSE)</f>
        <v/>
      </c>
      <c r="D568" s="3">
        <f>+VLOOKUP($A568,MAGAZZINO!$B$2:$M$100000,4,FALSE)</f>
        <v/>
      </c>
      <c r="E568" s="3">
        <f>+VLOOKUP($A568,MAGAZZINO!$B$2:$M$100000,5,FALSE)</f>
        <v/>
      </c>
      <c r="F568" s="3">
        <f>+VLOOKUP($A568,MAGAZZINO!$B$2:$M$100000,6,FALSE)</f>
        <v/>
      </c>
      <c r="G568" s="3">
        <f>+VLOOKUP($A568,MAGAZZINO!$B$2:$M$100000,7,FALSE)</f>
        <v/>
      </c>
      <c r="H568" s="3">
        <f>+VLOOKUP($A568,MAGAZZINO!$B$2:$M$100000,8,FALSE)</f>
        <v/>
      </c>
      <c r="I568" s="3">
        <f>+VLOOKUP($A568,MAGAZZINO!$B$2:$M$100000,9,FALSE)</f>
        <v/>
      </c>
      <c r="J568" s="3">
        <f>+VLOOKUP($A568,MAGAZZINO!$B$2:$M$100000,10,FALSE)</f>
        <v/>
      </c>
      <c r="K568" s="3">
        <f>+VLOOKUP($A568,MAGAZZINO!$B$2:$M$100000,11,FALSE)</f>
        <v/>
      </c>
      <c r="L568" s="5">
        <f>+VLOOKUP($A568,MAGAZZINO!$B$2:$M$100000,12,FALSE)</f>
        <v/>
      </c>
      <c r="M568" s="47" t="n"/>
      <c r="N568" s="88" t="n">
        <v>45771</v>
      </c>
      <c r="O568" s="156" t="inlineStr">
        <is>
          <t>BIN HUMAID NATIONAL TRADING CO. (ARABIA SAUDITA)</t>
        </is>
      </c>
      <c r="P568" s="154" t="inlineStr">
        <is>
          <t>IMPORT LICENSE N. 7004424417/8/B/81 VALIDA FINO AL 28/04/2027                                                              AUT. ESPORTAZIONE MULTIPLA N. 6B/2025/1M RILASCIATA IL 24/02/2025   (LICENZA DI SCARICO N. 6B/2025/2S RILASCIATA IL 15/04/2025)</t>
        </is>
      </c>
      <c r="Q568" s="150" t="n"/>
      <c r="R568" s="150" t="n"/>
      <c r="S568" s="153" t="n"/>
    </row>
    <row r="569" ht="36" customHeight="1">
      <c r="A569" s="46" t="n">
        <v>2899</v>
      </c>
      <c r="B569" s="4">
        <f>+VLOOKUP($A569,MAGAZZINO!$B$2:$M$100000,2,FALSE)</f>
        <v/>
      </c>
      <c r="C569" s="29">
        <f>+VLOOKUP($A569,MAGAZZINO!$B$2:$M$100000,3,FALSE)</f>
        <v/>
      </c>
      <c r="D569" s="3">
        <f>+VLOOKUP($A569,MAGAZZINO!$B$2:$M$100000,4,FALSE)</f>
        <v/>
      </c>
      <c r="E569" s="3">
        <f>+VLOOKUP($A569,MAGAZZINO!$B$2:$M$100000,5,FALSE)</f>
        <v/>
      </c>
      <c r="F569" s="3">
        <f>+VLOOKUP($A569,MAGAZZINO!$B$2:$M$100000,6,FALSE)</f>
        <v/>
      </c>
      <c r="G569" s="3">
        <f>+VLOOKUP($A569,MAGAZZINO!$B$2:$M$100000,7,FALSE)</f>
        <v/>
      </c>
      <c r="H569" s="3">
        <f>+VLOOKUP($A569,MAGAZZINO!$B$2:$M$100000,8,FALSE)</f>
        <v/>
      </c>
      <c r="I569" s="3">
        <f>+VLOOKUP($A569,MAGAZZINO!$B$2:$M$100000,9,FALSE)</f>
        <v/>
      </c>
      <c r="J569" s="3">
        <f>+VLOOKUP($A569,MAGAZZINO!$B$2:$M$100000,10,FALSE)</f>
        <v/>
      </c>
      <c r="K569" s="3">
        <f>+VLOOKUP($A569,MAGAZZINO!$B$2:$M$100000,11,FALSE)</f>
        <v/>
      </c>
      <c r="L569" s="5">
        <f>+VLOOKUP($A569,MAGAZZINO!$B$2:$M$100000,12,FALSE)</f>
        <v/>
      </c>
      <c r="M569" s="47" t="n"/>
      <c r="N569" s="88" t="n">
        <v>45771</v>
      </c>
      <c r="O569" s="156" t="inlineStr">
        <is>
          <t>BIN HUMAID NATIONAL TRADING CO. (ARABIA SAUDITA)</t>
        </is>
      </c>
      <c r="P569" s="154" t="inlineStr">
        <is>
          <t>IMPORT LICENSE N. 7004424417/8/B/81 VALIDA FINO AL 28/04/2027                                                              AUT. ESPORTAZIONE MULTIPLA N. 6B/2025/1M RILASCIATA IL 24/02/2025   (LICENZA DI SCARICO N. 6B/2025/2S RILASCIATA IL 15/04/2025)</t>
        </is>
      </c>
      <c r="Q569" s="150" t="n"/>
      <c r="R569" s="150" t="n"/>
      <c r="S569" s="153" t="n"/>
    </row>
    <row r="570" ht="36" customHeight="1">
      <c r="A570" s="46" t="n">
        <v>2900</v>
      </c>
      <c r="B570" s="4">
        <f>+VLOOKUP($A570,MAGAZZINO!$B$2:$M$100000,2,FALSE)</f>
        <v/>
      </c>
      <c r="C570" s="29">
        <f>+VLOOKUP($A570,MAGAZZINO!$B$2:$M$100000,3,FALSE)</f>
        <v/>
      </c>
      <c r="D570" s="3">
        <f>+VLOOKUP($A570,MAGAZZINO!$B$2:$M$100000,4,FALSE)</f>
        <v/>
      </c>
      <c r="E570" s="3">
        <f>+VLOOKUP($A570,MAGAZZINO!$B$2:$M$100000,5,FALSE)</f>
        <v/>
      </c>
      <c r="F570" s="3">
        <f>+VLOOKUP($A570,MAGAZZINO!$B$2:$M$100000,6,FALSE)</f>
        <v/>
      </c>
      <c r="G570" s="3">
        <f>+VLOOKUP($A570,MAGAZZINO!$B$2:$M$100000,7,FALSE)</f>
        <v/>
      </c>
      <c r="H570" s="3">
        <f>+VLOOKUP($A570,MAGAZZINO!$B$2:$M$100000,8,FALSE)</f>
        <v/>
      </c>
      <c r="I570" s="3">
        <f>+VLOOKUP($A570,MAGAZZINO!$B$2:$M$100000,9,FALSE)</f>
        <v/>
      </c>
      <c r="J570" s="3">
        <f>+VLOOKUP($A570,MAGAZZINO!$B$2:$M$100000,10,FALSE)</f>
        <v/>
      </c>
      <c r="K570" s="3">
        <f>+VLOOKUP($A570,MAGAZZINO!$B$2:$M$100000,11,FALSE)</f>
        <v/>
      </c>
      <c r="L570" s="5">
        <f>+VLOOKUP($A570,MAGAZZINO!$B$2:$M$100000,12,FALSE)</f>
        <v/>
      </c>
      <c r="M570" s="47" t="n"/>
      <c r="N570" s="88" t="n">
        <v>45771</v>
      </c>
      <c r="O570" s="156" t="inlineStr">
        <is>
          <t>BIN HUMAID NATIONAL TRADING CO. (ARABIA SAUDITA)</t>
        </is>
      </c>
      <c r="P570" s="154" t="inlineStr">
        <is>
          <t>IMPORT LICENSE N. 7004424417/8/B/81 VALIDA FINO AL 28/04/2027                                                              AUT. ESPORTAZIONE MULTIPLA N. 6B/2025/1M RILASCIATA IL 24/02/2025   (LICENZA DI SCARICO N. 6B/2025/2S RILASCIATA IL 15/04/2025)</t>
        </is>
      </c>
      <c r="Q570" s="150" t="n"/>
      <c r="R570" s="150" t="n"/>
      <c r="S570" s="153" t="n"/>
    </row>
    <row r="571" ht="36" customHeight="1">
      <c r="A571" s="46" t="n">
        <v>2901</v>
      </c>
      <c r="B571" s="4">
        <f>+VLOOKUP($A571,MAGAZZINO!$B$2:$M$100000,2,FALSE)</f>
        <v/>
      </c>
      <c r="C571" s="29">
        <f>+VLOOKUP($A571,MAGAZZINO!$B$2:$M$100000,3,FALSE)</f>
        <v/>
      </c>
      <c r="D571" s="3">
        <f>+VLOOKUP($A571,MAGAZZINO!$B$2:$M$100000,4,FALSE)</f>
        <v/>
      </c>
      <c r="E571" s="3">
        <f>+VLOOKUP($A571,MAGAZZINO!$B$2:$M$100000,5,FALSE)</f>
        <v/>
      </c>
      <c r="F571" s="3">
        <f>+VLOOKUP($A571,MAGAZZINO!$B$2:$M$100000,6,FALSE)</f>
        <v/>
      </c>
      <c r="G571" s="3">
        <f>+VLOOKUP($A571,MAGAZZINO!$B$2:$M$100000,7,FALSE)</f>
        <v/>
      </c>
      <c r="H571" s="3">
        <f>+VLOOKUP($A571,MAGAZZINO!$B$2:$M$100000,8,FALSE)</f>
        <v/>
      </c>
      <c r="I571" s="3">
        <f>+VLOOKUP($A571,MAGAZZINO!$B$2:$M$100000,9,FALSE)</f>
        <v/>
      </c>
      <c r="J571" s="3">
        <f>+VLOOKUP($A571,MAGAZZINO!$B$2:$M$100000,10,FALSE)</f>
        <v/>
      </c>
      <c r="K571" s="3">
        <f>+VLOOKUP($A571,MAGAZZINO!$B$2:$M$100000,11,FALSE)</f>
        <v/>
      </c>
      <c r="L571" s="5">
        <f>+VLOOKUP($A571,MAGAZZINO!$B$2:$M$100000,12,FALSE)</f>
        <v/>
      </c>
      <c r="M571" s="47" t="n"/>
      <c r="N571" s="88" t="n">
        <v>45771</v>
      </c>
      <c r="O571" s="156" t="inlineStr">
        <is>
          <t>BIN HUMAID NATIONAL TRADING CO. (ARABIA SAUDITA)</t>
        </is>
      </c>
      <c r="P571" s="154" t="inlineStr">
        <is>
          <t>IMPORT LICENSE N. 7004424417/8/B/81 VALIDA FINO AL 28/04/2027                                                              AUT. ESPORTAZIONE MULTIPLA N. 6B/2025/1M RILASCIATA IL 24/02/2025   (LICENZA DI SCARICO N. 6B/2025/2S RILASCIATA IL 15/04/2025)</t>
        </is>
      </c>
      <c r="Q571" s="150" t="n"/>
      <c r="R571" s="150" t="n"/>
      <c r="S571" s="153" t="n"/>
    </row>
    <row r="572" ht="36" customHeight="1">
      <c r="A572" s="46" t="n">
        <v>2902</v>
      </c>
      <c r="B572" s="4">
        <f>+VLOOKUP($A572,MAGAZZINO!$B$2:$M$100000,2,FALSE)</f>
        <v/>
      </c>
      <c r="C572" s="29">
        <f>+VLOOKUP($A572,MAGAZZINO!$B$2:$M$100000,3,FALSE)</f>
        <v/>
      </c>
      <c r="D572" s="3">
        <f>+VLOOKUP($A572,MAGAZZINO!$B$2:$M$100000,4,FALSE)</f>
        <v/>
      </c>
      <c r="E572" s="3">
        <f>+VLOOKUP($A572,MAGAZZINO!$B$2:$M$100000,5,FALSE)</f>
        <v/>
      </c>
      <c r="F572" s="3">
        <f>+VLOOKUP($A572,MAGAZZINO!$B$2:$M$100000,6,FALSE)</f>
        <v/>
      </c>
      <c r="G572" s="3">
        <f>+VLOOKUP($A572,MAGAZZINO!$B$2:$M$100000,7,FALSE)</f>
        <v/>
      </c>
      <c r="H572" s="3">
        <f>+VLOOKUP($A572,MAGAZZINO!$B$2:$M$100000,8,FALSE)</f>
        <v/>
      </c>
      <c r="I572" s="3">
        <f>+VLOOKUP($A572,MAGAZZINO!$B$2:$M$100000,9,FALSE)</f>
        <v/>
      </c>
      <c r="J572" s="3">
        <f>+VLOOKUP($A572,MAGAZZINO!$B$2:$M$100000,10,FALSE)</f>
        <v/>
      </c>
      <c r="K572" s="3">
        <f>+VLOOKUP($A572,MAGAZZINO!$B$2:$M$100000,11,FALSE)</f>
        <v/>
      </c>
      <c r="L572" s="5">
        <f>+VLOOKUP($A572,MAGAZZINO!$B$2:$M$100000,12,FALSE)</f>
        <v/>
      </c>
      <c r="M572" s="47" t="n"/>
      <c r="N572" s="88" t="n">
        <v>45771</v>
      </c>
      <c r="O572" s="156" t="inlineStr">
        <is>
          <t>BIN HUMAID NATIONAL TRADING CO. (ARABIA SAUDITA)</t>
        </is>
      </c>
      <c r="P572" s="154" t="inlineStr">
        <is>
          <t>IMPORT LICENSE N. 7004424417/8/B/81 VALIDA FINO AL 28/04/2027                                                              AUT. ESPORTAZIONE MULTIPLA N. 6B/2025/1M RILASCIATA IL 24/02/2025   (LICENZA DI SCARICO N. 6B/2025/2S RILASCIATA IL 15/04/2025)</t>
        </is>
      </c>
      <c r="Q572" s="150" t="n"/>
      <c r="R572" s="150" t="n"/>
      <c r="S572" s="153" t="n"/>
    </row>
    <row r="573" ht="36" customHeight="1">
      <c r="A573" s="46" t="n">
        <v>2903</v>
      </c>
      <c r="B573" s="4">
        <f>+VLOOKUP($A573,MAGAZZINO!$B$2:$M$100000,2,FALSE)</f>
        <v/>
      </c>
      <c r="C573" s="29">
        <f>+VLOOKUP($A573,MAGAZZINO!$B$2:$M$100000,3,FALSE)</f>
        <v/>
      </c>
      <c r="D573" s="3">
        <f>+VLOOKUP($A573,MAGAZZINO!$B$2:$M$100000,4,FALSE)</f>
        <v/>
      </c>
      <c r="E573" s="3">
        <f>+VLOOKUP($A573,MAGAZZINO!$B$2:$M$100000,5,FALSE)</f>
        <v/>
      </c>
      <c r="F573" s="3">
        <f>+VLOOKUP($A573,MAGAZZINO!$B$2:$M$100000,6,FALSE)</f>
        <v/>
      </c>
      <c r="G573" s="3">
        <f>+VLOOKUP($A573,MAGAZZINO!$B$2:$M$100000,7,FALSE)</f>
        <v/>
      </c>
      <c r="H573" s="3">
        <f>+VLOOKUP($A573,MAGAZZINO!$B$2:$M$100000,8,FALSE)</f>
        <v/>
      </c>
      <c r="I573" s="3">
        <f>+VLOOKUP($A573,MAGAZZINO!$B$2:$M$100000,9,FALSE)</f>
        <v/>
      </c>
      <c r="J573" s="3">
        <f>+VLOOKUP($A573,MAGAZZINO!$B$2:$M$100000,10,FALSE)</f>
        <v/>
      </c>
      <c r="K573" s="3">
        <f>+VLOOKUP($A573,MAGAZZINO!$B$2:$M$100000,11,FALSE)</f>
        <v/>
      </c>
      <c r="L573" s="5">
        <f>+VLOOKUP($A573,MAGAZZINO!$B$2:$M$100000,12,FALSE)</f>
        <v/>
      </c>
      <c r="M573" s="47" t="n"/>
      <c r="N573" s="88" t="n">
        <v>45771</v>
      </c>
      <c r="O573" s="156" t="inlineStr">
        <is>
          <t>BIN HUMAID NATIONAL TRADING CO. (ARABIA SAUDITA)</t>
        </is>
      </c>
      <c r="P573" s="154" t="inlineStr">
        <is>
          <t>IMPORT LICENSE N. 7004424417/8/B/81 VALIDA FINO AL 28/04/2027                                                              AUT. ESPORTAZIONE MULTIPLA N. 6B/2025/1M RILASCIATA IL 24/02/2025   (LICENZA DI SCARICO N. 6B/2025/2S RILASCIATA IL 15/04/2025)</t>
        </is>
      </c>
      <c r="Q573" s="150" t="n"/>
      <c r="R573" s="150" t="n"/>
      <c r="S573" s="153" t="n"/>
    </row>
    <row r="574" ht="36" customHeight="1">
      <c r="A574" s="46" t="n">
        <v>2904</v>
      </c>
      <c r="B574" s="4">
        <f>+VLOOKUP($A574,MAGAZZINO!$B$2:$M$100000,2,FALSE)</f>
        <v/>
      </c>
      <c r="C574" s="29">
        <f>+VLOOKUP($A574,MAGAZZINO!$B$2:$M$100000,3,FALSE)</f>
        <v/>
      </c>
      <c r="D574" s="3">
        <f>+VLOOKUP($A574,MAGAZZINO!$B$2:$M$100000,4,FALSE)</f>
        <v/>
      </c>
      <c r="E574" s="3">
        <f>+VLOOKUP($A574,MAGAZZINO!$B$2:$M$100000,5,FALSE)</f>
        <v/>
      </c>
      <c r="F574" s="3">
        <f>+VLOOKUP($A574,MAGAZZINO!$B$2:$M$100000,6,FALSE)</f>
        <v/>
      </c>
      <c r="G574" s="3">
        <f>+VLOOKUP($A574,MAGAZZINO!$B$2:$M$100000,7,FALSE)</f>
        <v/>
      </c>
      <c r="H574" s="3">
        <f>+VLOOKUP($A574,MAGAZZINO!$B$2:$M$100000,8,FALSE)</f>
        <v/>
      </c>
      <c r="I574" s="3">
        <f>+VLOOKUP($A574,MAGAZZINO!$B$2:$M$100000,9,FALSE)</f>
        <v/>
      </c>
      <c r="J574" s="3">
        <f>+VLOOKUP($A574,MAGAZZINO!$B$2:$M$100000,10,FALSE)</f>
        <v/>
      </c>
      <c r="K574" s="3">
        <f>+VLOOKUP($A574,MAGAZZINO!$B$2:$M$100000,11,FALSE)</f>
        <v/>
      </c>
      <c r="L574" s="5">
        <f>+VLOOKUP($A574,MAGAZZINO!$B$2:$M$100000,12,FALSE)</f>
        <v/>
      </c>
      <c r="M574" s="47" t="n"/>
      <c r="N574" s="88" t="n">
        <v>45771</v>
      </c>
      <c r="O574" s="156" t="inlineStr">
        <is>
          <t>BIN HUMAID NATIONAL TRADING CO. (ARABIA SAUDITA)</t>
        </is>
      </c>
      <c r="P574" s="154" t="inlineStr">
        <is>
          <t>IMPORT LICENSE N. 7004424417/8/B/81 VALIDA FINO AL 28/04/2027                                                              AUT. ESPORTAZIONE MULTIPLA N. 6B/2025/1M RILASCIATA IL 24/02/2025   (LICENZA DI SCARICO N. 6B/2025/2S RILASCIATA IL 15/04/2025)</t>
        </is>
      </c>
      <c r="Q574" s="150" t="n"/>
      <c r="R574" s="150" t="n"/>
      <c r="S574" s="153" t="n"/>
    </row>
    <row r="575" ht="36" customHeight="1">
      <c r="A575" s="46" t="n">
        <v>2905</v>
      </c>
      <c r="B575" s="4">
        <f>+VLOOKUP($A575,MAGAZZINO!$B$2:$M$100000,2,FALSE)</f>
        <v/>
      </c>
      <c r="C575" s="29">
        <f>+VLOOKUP($A575,MAGAZZINO!$B$2:$M$100000,3,FALSE)</f>
        <v/>
      </c>
      <c r="D575" s="3">
        <f>+VLOOKUP($A575,MAGAZZINO!$B$2:$M$100000,4,FALSE)</f>
        <v/>
      </c>
      <c r="E575" s="3">
        <f>+VLOOKUP($A575,MAGAZZINO!$B$2:$M$100000,5,FALSE)</f>
        <v/>
      </c>
      <c r="F575" s="3">
        <f>+VLOOKUP($A575,MAGAZZINO!$B$2:$M$100000,6,FALSE)</f>
        <v/>
      </c>
      <c r="G575" s="3">
        <f>+VLOOKUP($A575,MAGAZZINO!$B$2:$M$100000,7,FALSE)</f>
        <v/>
      </c>
      <c r="H575" s="3">
        <f>+VLOOKUP($A575,MAGAZZINO!$B$2:$M$100000,8,FALSE)</f>
        <v/>
      </c>
      <c r="I575" s="3">
        <f>+VLOOKUP($A575,MAGAZZINO!$B$2:$M$100000,9,FALSE)</f>
        <v/>
      </c>
      <c r="J575" s="3">
        <f>+VLOOKUP($A575,MAGAZZINO!$B$2:$M$100000,10,FALSE)</f>
        <v/>
      </c>
      <c r="K575" s="3">
        <f>+VLOOKUP($A575,MAGAZZINO!$B$2:$M$100000,11,FALSE)</f>
        <v/>
      </c>
      <c r="L575" s="5">
        <f>+VLOOKUP($A575,MAGAZZINO!$B$2:$M$100000,12,FALSE)</f>
        <v/>
      </c>
      <c r="M575" s="47" t="n"/>
      <c r="N575" s="88" t="n">
        <v>45771</v>
      </c>
      <c r="O575" s="156" t="inlineStr">
        <is>
          <t>BIN HUMAID NATIONAL TRADING CO. (ARABIA SAUDITA)</t>
        </is>
      </c>
      <c r="P575" s="154" t="inlineStr">
        <is>
          <t>IMPORT LICENSE N. 7004424417/8/B/81 VALIDA FINO AL 28/04/2027                                                              AUT. ESPORTAZIONE MULTIPLA N. 6B/2025/1M RILASCIATA IL 24/02/2025   (LICENZA DI SCARICO N. 6B/2025/2S RILASCIATA IL 15/04/2025)</t>
        </is>
      </c>
      <c r="Q575" s="150" t="n"/>
      <c r="R575" s="150" t="n"/>
      <c r="S575" s="153" t="n"/>
    </row>
    <row r="576" ht="36" customHeight="1">
      <c r="A576" s="46" t="n">
        <v>2906</v>
      </c>
      <c r="B576" s="4">
        <f>+VLOOKUP($A576,MAGAZZINO!$B$2:$M$100000,2,FALSE)</f>
        <v/>
      </c>
      <c r="C576" s="29">
        <f>+VLOOKUP($A576,MAGAZZINO!$B$2:$M$100000,3,FALSE)</f>
        <v/>
      </c>
      <c r="D576" s="3">
        <f>+VLOOKUP($A576,MAGAZZINO!$B$2:$M$100000,4,FALSE)</f>
        <v/>
      </c>
      <c r="E576" s="3">
        <f>+VLOOKUP($A576,MAGAZZINO!$B$2:$M$100000,5,FALSE)</f>
        <v/>
      </c>
      <c r="F576" s="3">
        <f>+VLOOKUP($A576,MAGAZZINO!$B$2:$M$100000,6,FALSE)</f>
        <v/>
      </c>
      <c r="G576" s="3">
        <f>+VLOOKUP($A576,MAGAZZINO!$B$2:$M$100000,7,FALSE)</f>
        <v/>
      </c>
      <c r="H576" s="3">
        <f>+VLOOKUP($A576,MAGAZZINO!$B$2:$M$100000,8,FALSE)</f>
        <v/>
      </c>
      <c r="I576" s="3">
        <f>+VLOOKUP($A576,MAGAZZINO!$B$2:$M$100000,9,FALSE)</f>
        <v/>
      </c>
      <c r="J576" s="3">
        <f>+VLOOKUP($A576,MAGAZZINO!$B$2:$M$100000,10,FALSE)</f>
        <v/>
      </c>
      <c r="K576" s="3">
        <f>+VLOOKUP($A576,MAGAZZINO!$B$2:$M$100000,11,FALSE)</f>
        <v/>
      </c>
      <c r="L576" s="5">
        <f>+VLOOKUP($A576,MAGAZZINO!$B$2:$M$100000,12,FALSE)</f>
        <v/>
      </c>
      <c r="M576" s="47" t="n"/>
      <c r="N576" s="88" t="n">
        <v>45771</v>
      </c>
      <c r="O576" s="156" t="inlineStr">
        <is>
          <t>BIN HUMAID NATIONAL TRADING CO. (ARABIA SAUDITA)</t>
        </is>
      </c>
      <c r="P576" s="154" t="inlineStr">
        <is>
          <t>IMPORT LICENSE N. 7004424417/8/B/81 VALIDA FINO AL 28/04/2027                                                              AUT. ESPORTAZIONE MULTIPLA N. 6B/2025/1M RILASCIATA IL 24/02/2025   (LICENZA DI SCARICO N. 6B/2025/2S RILASCIATA IL 15/04/2025)</t>
        </is>
      </c>
      <c r="Q576" s="150" t="n"/>
      <c r="R576" s="150" t="n"/>
      <c r="S576" s="153" t="n"/>
    </row>
    <row r="577" ht="36" customHeight="1">
      <c r="A577" s="46" t="n">
        <v>2907</v>
      </c>
      <c r="B577" s="4">
        <f>+VLOOKUP($A577,MAGAZZINO!$B$2:$M$100000,2,FALSE)</f>
        <v/>
      </c>
      <c r="C577" s="29">
        <f>+VLOOKUP($A577,MAGAZZINO!$B$2:$M$100000,3,FALSE)</f>
        <v/>
      </c>
      <c r="D577" s="3">
        <f>+VLOOKUP($A577,MAGAZZINO!$B$2:$M$100000,4,FALSE)</f>
        <v/>
      </c>
      <c r="E577" s="3">
        <f>+VLOOKUP($A577,MAGAZZINO!$B$2:$M$100000,5,FALSE)</f>
        <v/>
      </c>
      <c r="F577" s="3">
        <f>+VLOOKUP($A577,MAGAZZINO!$B$2:$M$100000,6,FALSE)</f>
        <v/>
      </c>
      <c r="G577" s="3">
        <f>+VLOOKUP($A577,MAGAZZINO!$B$2:$M$100000,7,FALSE)</f>
        <v/>
      </c>
      <c r="H577" s="3">
        <f>+VLOOKUP($A577,MAGAZZINO!$B$2:$M$100000,8,FALSE)</f>
        <v/>
      </c>
      <c r="I577" s="3">
        <f>+VLOOKUP($A577,MAGAZZINO!$B$2:$M$100000,9,FALSE)</f>
        <v/>
      </c>
      <c r="J577" s="3">
        <f>+VLOOKUP($A577,MAGAZZINO!$B$2:$M$100000,10,FALSE)</f>
        <v/>
      </c>
      <c r="K577" s="3">
        <f>+VLOOKUP($A577,MAGAZZINO!$B$2:$M$100000,11,FALSE)</f>
        <v/>
      </c>
      <c r="L577" s="5">
        <f>+VLOOKUP($A577,MAGAZZINO!$B$2:$M$100000,12,FALSE)</f>
        <v/>
      </c>
      <c r="M577" s="47" t="n"/>
      <c r="N577" s="88" t="n">
        <v>45771</v>
      </c>
      <c r="O577" s="156" t="inlineStr">
        <is>
          <t>BIN HUMAID NATIONAL TRADING CO. (ARABIA SAUDITA)</t>
        </is>
      </c>
      <c r="P577" s="154" t="inlineStr">
        <is>
          <t>IMPORT LICENSE N. 7004424417/8/B/81 VALIDA FINO AL 28/04/2027                                                              AUT. ESPORTAZIONE MULTIPLA N. 6B/2025/1M RILASCIATA IL 24/02/2025   (LICENZA DI SCARICO N. 6B/2025/2S RILASCIATA IL 15/04/2025)</t>
        </is>
      </c>
      <c r="Q577" s="150" t="n"/>
      <c r="R577" s="150" t="n"/>
      <c r="S577" s="153" t="n"/>
    </row>
    <row r="578" ht="36" customHeight="1">
      <c r="A578" s="46" t="n">
        <v>2908</v>
      </c>
      <c r="B578" s="4">
        <f>+VLOOKUP($A578,MAGAZZINO!$B$2:$M$100000,2,FALSE)</f>
        <v/>
      </c>
      <c r="C578" s="29">
        <f>+VLOOKUP($A578,MAGAZZINO!$B$2:$M$100000,3,FALSE)</f>
        <v/>
      </c>
      <c r="D578" s="3">
        <f>+VLOOKUP($A578,MAGAZZINO!$B$2:$M$100000,4,FALSE)</f>
        <v/>
      </c>
      <c r="E578" s="3">
        <f>+VLOOKUP($A578,MAGAZZINO!$B$2:$M$100000,5,FALSE)</f>
        <v/>
      </c>
      <c r="F578" s="3">
        <f>+VLOOKUP($A578,MAGAZZINO!$B$2:$M$100000,6,FALSE)</f>
        <v/>
      </c>
      <c r="G578" s="3">
        <f>+VLOOKUP($A578,MAGAZZINO!$B$2:$M$100000,7,FALSE)</f>
        <v/>
      </c>
      <c r="H578" s="3">
        <f>+VLOOKUP($A578,MAGAZZINO!$B$2:$M$100000,8,FALSE)</f>
        <v/>
      </c>
      <c r="I578" s="3">
        <f>+VLOOKUP($A578,MAGAZZINO!$B$2:$M$100000,9,FALSE)</f>
        <v/>
      </c>
      <c r="J578" s="3">
        <f>+VLOOKUP($A578,MAGAZZINO!$B$2:$M$100000,10,FALSE)</f>
        <v/>
      </c>
      <c r="K578" s="3">
        <f>+VLOOKUP($A578,MAGAZZINO!$B$2:$M$100000,11,FALSE)</f>
        <v/>
      </c>
      <c r="L578" s="5">
        <f>+VLOOKUP($A578,MAGAZZINO!$B$2:$M$100000,12,FALSE)</f>
        <v/>
      </c>
      <c r="M578" s="47" t="n"/>
      <c r="N578" s="88" t="n">
        <v>45771</v>
      </c>
      <c r="O578" s="156" t="inlineStr">
        <is>
          <t>BIN HUMAID NATIONAL TRADING CO. (ARABIA SAUDITA)</t>
        </is>
      </c>
      <c r="P578" s="154" t="inlineStr">
        <is>
          <t>IMPORT LICENSE N. 7004424417/8/B/81 VALIDA FINO AL 28/04/2027                                                              AUT. ESPORTAZIONE MULTIPLA N. 6B/2025/1M RILASCIATA IL 24/02/2025   (LICENZA DI SCARICO N. 6B/2025/2S RILASCIATA IL 15/04/2025)</t>
        </is>
      </c>
      <c r="Q578" s="150" t="n"/>
      <c r="R578" s="150" t="n"/>
      <c r="S578" s="153" t="n"/>
    </row>
    <row r="579" ht="36" customHeight="1">
      <c r="A579" s="46" t="n">
        <v>2909</v>
      </c>
      <c r="B579" s="4">
        <f>+VLOOKUP($A579,MAGAZZINO!$B$2:$M$100000,2,FALSE)</f>
        <v/>
      </c>
      <c r="C579" s="29">
        <f>+VLOOKUP($A579,MAGAZZINO!$B$2:$M$100000,3,FALSE)</f>
        <v/>
      </c>
      <c r="D579" s="3">
        <f>+VLOOKUP($A579,MAGAZZINO!$B$2:$M$100000,4,FALSE)</f>
        <v/>
      </c>
      <c r="E579" s="3">
        <f>+VLOOKUP($A579,MAGAZZINO!$B$2:$M$100000,5,FALSE)</f>
        <v/>
      </c>
      <c r="F579" s="3">
        <f>+VLOOKUP($A579,MAGAZZINO!$B$2:$M$100000,6,FALSE)</f>
        <v/>
      </c>
      <c r="G579" s="3">
        <f>+VLOOKUP($A579,MAGAZZINO!$B$2:$M$100000,7,FALSE)</f>
        <v/>
      </c>
      <c r="H579" s="3">
        <f>+VLOOKUP($A579,MAGAZZINO!$B$2:$M$100000,8,FALSE)</f>
        <v/>
      </c>
      <c r="I579" s="3">
        <f>+VLOOKUP($A579,MAGAZZINO!$B$2:$M$100000,9,FALSE)</f>
        <v/>
      </c>
      <c r="J579" s="3">
        <f>+VLOOKUP($A579,MAGAZZINO!$B$2:$M$100000,10,FALSE)</f>
        <v/>
      </c>
      <c r="K579" s="3">
        <f>+VLOOKUP($A579,MAGAZZINO!$B$2:$M$100000,11,FALSE)</f>
        <v/>
      </c>
      <c r="L579" s="5">
        <f>+VLOOKUP($A579,MAGAZZINO!$B$2:$M$100000,12,FALSE)</f>
        <v/>
      </c>
      <c r="M579" s="47" t="n"/>
      <c r="N579" s="88" t="n">
        <v>45771</v>
      </c>
      <c r="O579" s="156" t="inlineStr">
        <is>
          <t>BIN HUMAID NATIONAL TRADING CO. (ARABIA SAUDITA)</t>
        </is>
      </c>
      <c r="P579" s="154" t="inlineStr">
        <is>
          <t>IMPORT LICENSE N. 7004424417/8/B/81 VALIDA FINO AL 28/04/2027                                                              AUT. ESPORTAZIONE MULTIPLA N. 6B/2025/1M RILASCIATA IL 24/02/2025   (LICENZA DI SCARICO N. 6B/2025/2S RILASCIATA IL 15/04/2025)</t>
        </is>
      </c>
      <c r="Q579" s="150" t="n"/>
      <c r="R579" s="150" t="n"/>
      <c r="S579" s="153" t="n"/>
    </row>
    <row r="580" ht="36" customHeight="1">
      <c r="A580" s="46" t="n">
        <v>2910</v>
      </c>
      <c r="B580" s="4">
        <f>+VLOOKUP($A580,MAGAZZINO!$B$2:$M$100000,2,FALSE)</f>
        <v/>
      </c>
      <c r="C580" s="29">
        <f>+VLOOKUP($A580,MAGAZZINO!$B$2:$M$100000,3,FALSE)</f>
        <v/>
      </c>
      <c r="D580" s="3">
        <f>+VLOOKUP($A580,MAGAZZINO!$B$2:$M$100000,4,FALSE)</f>
        <v/>
      </c>
      <c r="E580" s="3">
        <f>+VLOOKUP($A580,MAGAZZINO!$B$2:$M$100000,5,FALSE)</f>
        <v/>
      </c>
      <c r="F580" s="3">
        <f>+VLOOKUP($A580,MAGAZZINO!$B$2:$M$100000,6,FALSE)</f>
        <v/>
      </c>
      <c r="G580" s="3">
        <f>+VLOOKUP($A580,MAGAZZINO!$B$2:$M$100000,7,FALSE)</f>
        <v/>
      </c>
      <c r="H580" s="3">
        <f>+VLOOKUP($A580,MAGAZZINO!$B$2:$M$100000,8,FALSE)</f>
        <v/>
      </c>
      <c r="I580" s="3">
        <f>+VLOOKUP($A580,MAGAZZINO!$B$2:$M$100000,9,FALSE)</f>
        <v/>
      </c>
      <c r="J580" s="3">
        <f>+VLOOKUP($A580,MAGAZZINO!$B$2:$M$100000,10,FALSE)</f>
        <v/>
      </c>
      <c r="K580" s="3">
        <f>+VLOOKUP($A580,MAGAZZINO!$B$2:$M$100000,11,FALSE)</f>
        <v/>
      </c>
      <c r="L580" s="5">
        <f>+VLOOKUP($A580,MAGAZZINO!$B$2:$M$100000,12,FALSE)</f>
        <v/>
      </c>
      <c r="M580" s="47" t="n"/>
      <c r="N580" s="88" t="n">
        <v>45771</v>
      </c>
      <c r="O580" s="156" t="inlineStr">
        <is>
          <t>BIN HUMAID NATIONAL TRADING CO. (ARABIA SAUDITA)</t>
        </is>
      </c>
      <c r="P580" s="154" t="inlineStr">
        <is>
          <t>IMPORT LICENSE N. 7004424417/8/B/81 VALIDA FINO AL 28/04/2027                                                              AUT. ESPORTAZIONE MULTIPLA N. 6B/2025/1M RILASCIATA IL 24/02/2025   (LICENZA DI SCARICO N. 6B/2025/2S RILASCIATA IL 15/04/2025)</t>
        </is>
      </c>
      <c r="Q580" s="150" t="n"/>
      <c r="R580" s="150" t="n"/>
      <c r="S580" s="153" t="n"/>
    </row>
    <row r="581" ht="36" customHeight="1">
      <c r="A581" s="46" t="n">
        <v>2911</v>
      </c>
      <c r="B581" s="4">
        <f>+VLOOKUP($A581,MAGAZZINO!$B$2:$M$100000,2,FALSE)</f>
        <v/>
      </c>
      <c r="C581" s="29">
        <f>+VLOOKUP($A581,MAGAZZINO!$B$2:$M$100000,3,FALSE)</f>
        <v/>
      </c>
      <c r="D581" s="3">
        <f>+VLOOKUP($A581,MAGAZZINO!$B$2:$M$100000,4,FALSE)</f>
        <v/>
      </c>
      <c r="E581" s="3">
        <f>+VLOOKUP($A581,MAGAZZINO!$B$2:$M$100000,5,FALSE)</f>
        <v/>
      </c>
      <c r="F581" s="3">
        <f>+VLOOKUP($A581,MAGAZZINO!$B$2:$M$100000,6,FALSE)</f>
        <v/>
      </c>
      <c r="G581" s="3">
        <f>+VLOOKUP($A581,MAGAZZINO!$B$2:$M$100000,7,FALSE)</f>
        <v/>
      </c>
      <c r="H581" s="3">
        <f>+VLOOKUP($A581,MAGAZZINO!$B$2:$M$100000,8,FALSE)</f>
        <v/>
      </c>
      <c r="I581" s="3">
        <f>+VLOOKUP($A581,MAGAZZINO!$B$2:$M$100000,9,FALSE)</f>
        <v/>
      </c>
      <c r="J581" s="3">
        <f>+VLOOKUP($A581,MAGAZZINO!$B$2:$M$100000,10,FALSE)</f>
        <v/>
      </c>
      <c r="K581" s="3">
        <f>+VLOOKUP($A581,MAGAZZINO!$B$2:$M$100000,11,FALSE)</f>
        <v/>
      </c>
      <c r="L581" s="5">
        <f>+VLOOKUP($A581,MAGAZZINO!$B$2:$M$100000,12,FALSE)</f>
        <v/>
      </c>
      <c r="M581" s="47" t="n"/>
      <c r="N581" s="88" t="n">
        <v>45771</v>
      </c>
      <c r="O581" s="156" t="inlineStr">
        <is>
          <t>BIN HUMAID NATIONAL TRADING CO. (ARABIA SAUDITA)</t>
        </is>
      </c>
      <c r="P581" s="154" t="inlineStr">
        <is>
          <t>IMPORT LICENSE N. 7004424417/8/B/81 VALIDA FINO AL 28/04/2027                                                              AUT. ESPORTAZIONE MULTIPLA N. 6B/2025/1M RILASCIATA IL 24/02/2025   (LICENZA DI SCARICO N. 6B/2025/2S RILASCIATA IL 15/04/2025)</t>
        </is>
      </c>
      <c r="Q581" s="150" t="n"/>
      <c r="R581" s="150" t="n"/>
      <c r="S581" s="153" t="n"/>
    </row>
    <row r="582" ht="36" customHeight="1">
      <c r="A582" s="46" t="n">
        <v>2912</v>
      </c>
      <c r="B582" s="4">
        <f>+VLOOKUP($A582,MAGAZZINO!$B$2:$M$100000,2,FALSE)</f>
        <v/>
      </c>
      <c r="C582" s="29">
        <f>+VLOOKUP($A582,MAGAZZINO!$B$2:$M$100000,3,FALSE)</f>
        <v/>
      </c>
      <c r="D582" s="3">
        <f>+VLOOKUP($A582,MAGAZZINO!$B$2:$M$100000,4,FALSE)</f>
        <v/>
      </c>
      <c r="E582" s="3">
        <f>+VLOOKUP($A582,MAGAZZINO!$B$2:$M$100000,5,FALSE)</f>
        <v/>
      </c>
      <c r="F582" s="3">
        <f>+VLOOKUP($A582,MAGAZZINO!$B$2:$M$100000,6,FALSE)</f>
        <v/>
      </c>
      <c r="G582" s="3">
        <f>+VLOOKUP($A582,MAGAZZINO!$B$2:$M$100000,7,FALSE)</f>
        <v/>
      </c>
      <c r="H582" s="3">
        <f>+VLOOKUP($A582,MAGAZZINO!$B$2:$M$100000,8,FALSE)</f>
        <v/>
      </c>
      <c r="I582" s="3">
        <f>+VLOOKUP($A582,MAGAZZINO!$B$2:$M$100000,9,FALSE)</f>
        <v/>
      </c>
      <c r="J582" s="3">
        <f>+VLOOKUP($A582,MAGAZZINO!$B$2:$M$100000,10,FALSE)</f>
        <v/>
      </c>
      <c r="K582" s="3">
        <f>+VLOOKUP($A582,MAGAZZINO!$B$2:$M$100000,11,FALSE)</f>
        <v/>
      </c>
      <c r="L582" s="5">
        <f>+VLOOKUP($A582,MAGAZZINO!$B$2:$M$100000,12,FALSE)</f>
        <v/>
      </c>
      <c r="M582" s="47" t="n"/>
      <c r="N582" s="88" t="n">
        <v>45771</v>
      </c>
      <c r="O582" s="156" t="inlineStr">
        <is>
          <t>BIN HUMAID NATIONAL TRADING CO. (ARABIA SAUDITA)</t>
        </is>
      </c>
      <c r="P582" s="154" t="inlineStr">
        <is>
          <t>IMPORT LICENSE N. 7004424417/8/B/81 VALIDA FINO AL 28/04/2027                                                              AUT. ESPORTAZIONE MULTIPLA N. 6B/2025/1M RILASCIATA IL 24/02/2025   (LICENZA DI SCARICO N. 6B/2025/2S RILASCIATA IL 15/04/2025)</t>
        </is>
      </c>
      <c r="Q582" s="150" t="n"/>
      <c r="R582" s="150" t="n"/>
      <c r="S582" s="153" t="n"/>
    </row>
    <row r="583" ht="36" customHeight="1">
      <c r="A583" s="46" t="n">
        <v>2913</v>
      </c>
      <c r="B583" s="4">
        <f>+VLOOKUP($A583,MAGAZZINO!$B$2:$M$100000,2,FALSE)</f>
        <v/>
      </c>
      <c r="C583" s="29">
        <f>+VLOOKUP($A583,MAGAZZINO!$B$2:$M$100000,3,FALSE)</f>
        <v/>
      </c>
      <c r="D583" s="3">
        <f>+VLOOKUP($A583,MAGAZZINO!$B$2:$M$100000,4,FALSE)</f>
        <v/>
      </c>
      <c r="E583" s="3">
        <f>+VLOOKUP($A583,MAGAZZINO!$B$2:$M$100000,5,FALSE)</f>
        <v/>
      </c>
      <c r="F583" s="3">
        <f>+VLOOKUP($A583,MAGAZZINO!$B$2:$M$100000,6,FALSE)</f>
        <v/>
      </c>
      <c r="G583" s="3">
        <f>+VLOOKUP($A583,MAGAZZINO!$B$2:$M$100000,7,FALSE)</f>
        <v/>
      </c>
      <c r="H583" s="3">
        <f>+VLOOKUP($A583,MAGAZZINO!$B$2:$M$100000,8,FALSE)</f>
        <v/>
      </c>
      <c r="I583" s="3">
        <f>+VLOOKUP($A583,MAGAZZINO!$B$2:$M$100000,9,FALSE)</f>
        <v/>
      </c>
      <c r="J583" s="3">
        <f>+VLOOKUP($A583,MAGAZZINO!$B$2:$M$100000,10,FALSE)</f>
        <v/>
      </c>
      <c r="K583" s="3">
        <f>+VLOOKUP($A583,MAGAZZINO!$B$2:$M$100000,11,FALSE)</f>
        <v/>
      </c>
      <c r="L583" s="5">
        <f>+VLOOKUP($A583,MAGAZZINO!$B$2:$M$100000,12,FALSE)</f>
        <v/>
      </c>
      <c r="M583" s="47" t="n"/>
      <c r="N583" s="88" t="n">
        <v>45771</v>
      </c>
      <c r="O583" s="156" t="inlineStr">
        <is>
          <t>BIN HUMAID NATIONAL TRADING CO. (ARABIA SAUDITA)</t>
        </is>
      </c>
      <c r="P583" s="154" t="inlineStr">
        <is>
          <t>IMPORT LICENSE N. 7004424417/8/B/81 VALIDA FINO AL 28/04/2027                                                              AUT. ESPORTAZIONE MULTIPLA N. 6B/2025/1M RILASCIATA IL 24/02/2025   (LICENZA DI SCARICO N. 6B/2025/2S RILASCIATA IL 15/04/2025)</t>
        </is>
      </c>
      <c r="Q583" s="150" t="n"/>
      <c r="R583" s="150" t="n"/>
      <c r="S583" s="153" t="n"/>
    </row>
    <row r="584" ht="36" customHeight="1">
      <c r="A584" s="46" t="n">
        <v>2914</v>
      </c>
      <c r="B584" s="4">
        <f>+VLOOKUP($A584,MAGAZZINO!$B$2:$M$100000,2,FALSE)</f>
        <v/>
      </c>
      <c r="C584" s="29">
        <f>+VLOOKUP($A584,MAGAZZINO!$B$2:$M$100000,3,FALSE)</f>
        <v/>
      </c>
      <c r="D584" s="3">
        <f>+VLOOKUP($A584,MAGAZZINO!$B$2:$M$100000,4,FALSE)</f>
        <v/>
      </c>
      <c r="E584" s="3">
        <f>+VLOOKUP($A584,MAGAZZINO!$B$2:$M$100000,5,FALSE)</f>
        <v/>
      </c>
      <c r="F584" s="3">
        <f>+VLOOKUP($A584,MAGAZZINO!$B$2:$M$100000,6,FALSE)</f>
        <v/>
      </c>
      <c r="G584" s="3">
        <f>+VLOOKUP($A584,MAGAZZINO!$B$2:$M$100000,7,FALSE)</f>
        <v/>
      </c>
      <c r="H584" s="3">
        <f>+VLOOKUP($A584,MAGAZZINO!$B$2:$M$100000,8,FALSE)</f>
        <v/>
      </c>
      <c r="I584" s="3">
        <f>+VLOOKUP($A584,MAGAZZINO!$B$2:$M$100000,9,FALSE)</f>
        <v/>
      </c>
      <c r="J584" s="3">
        <f>+VLOOKUP($A584,MAGAZZINO!$B$2:$M$100000,10,FALSE)</f>
        <v/>
      </c>
      <c r="K584" s="3">
        <f>+VLOOKUP($A584,MAGAZZINO!$B$2:$M$100000,11,FALSE)</f>
        <v/>
      </c>
      <c r="L584" s="5">
        <f>+VLOOKUP($A584,MAGAZZINO!$B$2:$M$100000,12,FALSE)</f>
        <v/>
      </c>
      <c r="M584" s="47" t="n"/>
      <c r="N584" s="88" t="n">
        <v>45771</v>
      </c>
      <c r="O584" s="156" t="inlineStr">
        <is>
          <t>BIN HUMAID NATIONAL TRADING CO. (ARABIA SAUDITA)</t>
        </is>
      </c>
      <c r="P584" s="154" t="inlineStr">
        <is>
          <t>IMPORT LICENSE N. 7004424417/8/B/81 VALIDA FINO AL 28/04/2027                                                              AUT. ESPORTAZIONE MULTIPLA N. 6B/2025/1M RILASCIATA IL 24/02/2025   (LICENZA DI SCARICO N. 6B/2025/2S RILASCIATA IL 15/04/2025)</t>
        </is>
      </c>
      <c r="Q584" s="150" t="n"/>
      <c r="R584" s="150" t="n"/>
      <c r="S584" s="153" t="n"/>
    </row>
    <row r="585" ht="36" customHeight="1">
      <c r="A585" s="46" t="n">
        <v>2915</v>
      </c>
      <c r="B585" s="4">
        <f>+VLOOKUP($A585,MAGAZZINO!$B$2:$M$100000,2,FALSE)</f>
        <v/>
      </c>
      <c r="C585" s="29">
        <f>+VLOOKUP($A585,MAGAZZINO!$B$2:$M$100000,3,FALSE)</f>
        <v/>
      </c>
      <c r="D585" s="3">
        <f>+VLOOKUP($A585,MAGAZZINO!$B$2:$M$100000,4,FALSE)</f>
        <v/>
      </c>
      <c r="E585" s="3">
        <f>+VLOOKUP($A585,MAGAZZINO!$B$2:$M$100000,5,FALSE)</f>
        <v/>
      </c>
      <c r="F585" s="3">
        <f>+VLOOKUP($A585,MAGAZZINO!$B$2:$M$100000,6,FALSE)</f>
        <v/>
      </c>
      <c r="G585" s="3">
        <f>+VLOOKUP($A585,MAGAZZINO!$B$2:$M$100000,7,FALSE)</f>
        <v/>
      </c>
      <c r="H585" s="3">
        <f>+VLOOKUP($A585,MAGAZZINO!$B$2:$M$100000,8,FALSE)</f>
        <v/>
      </c>
      <c r="I585" s="3">
        <f>+VLOOKUP($A585,MAGAZZINO!$B$2:$M$100000,9,FALSE)</f>
        <v/>
      </c>
      <c r="J585" s="3">
        <f>+VLOOKUP($A585,MAGAZZINO!$B$2:$M$100000,10,FALSE)</f>
        <v/>
      </c>
      <c r="K585" s="3">
        <f>+VLOOKUP($A585,MAGAZZINO!$B$2:$M$100000,11,FALSE)</f>
        <v/>
      </c>
      <c r="L585" s="5">
        <f>+VLOOKUP($A585,MAGAZZINO!$B$2:$M$100000,12,FALSE)</f>
        <v/>
      </c>
      <c r="M585" s="47" t="n"/>
      <c r="N585" s="88" t="n">
        <v>45771</v>
      </c>
      <c r="O585" s="156" t="inlineStr">
        <is>
          <t>BIN HUMAID NATIONAL TRADING CO. (ARABIA SAUDITA)</t>
        </is>
      </c>
      <c r="P585" s="154" t="inlineStr">
        <is>
          <t>IMPORT LICENSE N. 7004424417/8/B/81 VALIDA FINO AL 28/04/2027                                                              AUT. ESPORTAZIONE MULTIPLA N. 6B/2025/1M RILASCIATA IL 24/02/2025   (LICENZA DI SCARICO N. 6B/2025/2S RILASCIATA IL 15/04/2025)</t>
        </is>
      </c>
      <c r="Q585" s="150" t="n"/>
      <c r="R585" s="150" t="n"/>
      <c r="S585" s="153" t="n"/>
    </row>
    <row r="586" ht="36" customHeight="1">
      <c r="A586" s="46" t="n">
        <v>2916</v>
      </c>
      <c r="B586" s="4">
        <f>+VLOOKUP($A586,MAGAZZINO!$B$2:$M$100000,2,FALSE)</f>
        <v/>
      </c>
      <c r="C586" s="29">
        <f>+VLOOKUP($A586,MAGAZZINO!$B$2:$M$100000,3,FALSE)</f>
        <v/>
      </c>
      <c r="D586" s="3">
        <f>+VLOOKUP($A586,MAGAZZINO!$B$2:$M$100000,4,FALSE)</f>
        <v/>
      </c>
      <c r="E586" s="3">
        <f>+VLOOKUP($A586,MAGAZZINO!$B$2:$M$100000,5,FALSE)</f>
        <v/>
      </c>
      <c r="F586" s="3">
        <f>+VLOOKUP($A586,MAGAZZINO!$B$2:$M$100000,6,FALSE)</f>
        <v/>
      </c>
      <c r="G586" s="3">
        <f>+VLOOKUP($A586,MAGAZZINO!$B$2:$M$100000,7,FALSE)</f>
        <v/>
      </c>
      <c r="H586" s="3">
        <f>+VLOOKUP($A586,MAGAZZINO!$B$2:$M$100000,8,FALSE)</f>
        <v/>
      </c>
      <c r="I586" s="3">
        <f>+VLOOKUP($A586,MAGAZZINO!$B$2:$M$100000,9,FALSE)</f>
        <v/>
      </c>
      <c r="J586" s="3">
        <f>+VLOOKUP($A586,MAGAZZINO!$B$2:$M$100000,10,FALSE)</f>
        <v/>
      </c>
      <c r="K586" s="3">
        <f>+VLOOKUP($A586,MAGAZZINO!$B$2:$M$100000,11,FALSE)</f>
        <v/>
      </c>
      <c r="L586" s="5">
        <f>+VLOOKUP($A586,MAGAZZINO!$B$2:$M$100000,12,FALSE)</f>
        <v/>
      </c>
      <c r="M586" s="47" t="n"/>
      <c r="N586" s="88" t="n">
        <v>45771</v>
      </c>
      <c r="O586" s="156" t="inlineStr">
        <is>
          <t>BIN HUMAID NATIONAL TRADING CO. (ARABIA SAUDITA)</t>
        </is>
      </c>
      <c r="P586" s="154" t="inlineStr">
        <is>
          <t>IMPORT LICENSE N. 7004424417/8/B/81 VALIDA FINO AL 28/04/2027                                                              AUT. ESPORTAZIONE MULTIPLA N. 6B/2025/1M RILASCIATA IL 24/02/2025   (LICENZA DI SCARICO N. 6B/2025/2S RILASCIATA IL 15/04/2025)</t>
        </is>
      </c>
      <c r="Q586" s="150" t="n"/>
      <c r="R586" s="150" t="n"/>
      <c r="S586" s="153" t="n"/>
    </row>
    <row r="587" ht="36" customHeight="1">
      <c r="A587" s="46" t="n">
        <v>2917</v>
      </c>
      <c r="B587" s="4">
        <f>+VLOOKUP($A587,MAGAZZINO!$B$2:$M$100000,2,FALSE)</f>
        <v/>
      </c>
      <c r="C587" s="29">
        <f>+VLOOKUP($A587,MAGAZZINO!$B$2:$M$100000,3,FALSE)</f>
        <v/>
      </c>
      <c r="D587" s="3">
        <f>+VLOOKUP($A587,MAGAZZINO!$B$2:$M$100000,4,FALSE)</f>
        <v/>
      </c>
      <c r="E587" s="3">
        <f>+VLOOKUP($A587,MAGAZZINO!$B$2:$M$100000,5,FALSE)</f>
        <v/>
      </c>
      <c r="F587" s="3">
        <f>+VLOOKUP($A587,MAGAZZINO!$B$2:$M$100000,6,FALSE)</f>
        <v/>
      </c>
      <c r="G587" s="3">
        <f>+VLOOKUP($A587,MAGAZZINO!$B$2:$M$100000,7,FALSE)</f>
        <v/>
      </c>
      <c r="H587" s="3">
        <f>+VLOOKUP($A587,MAGAZZINO!$B$2:$M$100000,8,FALSE)</f>
        <v/>
      </c>
      <c r="I587" s="3">
        <f>+VLOOKUP($A587,MAGAZZINO!$B$2:$M$100000,9,FALSE)</f>
        <v/>
      </c>
      <c r="J587" s="3">
        <f>+VLOOKUP($A587,MAGAZZINO!$B$2:$M$100000,10,FALSE)</f>
        <v/>
      </c>
      <c r="K587" s="3">
        <f>+VLOOKUP($A587,MAGAZZINO!$B$2:$M$100000,11,FALSE)</f>
        <v/>
      </c>
      <c r="L587" s="5">
        <f>+VLOOKUP($A587,MAGAZZINO!$B$2:$M$100000,12,FALSE)</f>
        <v/>
      </c>
      <c r="M587" s="47" t="n"/>
      <c r="N587" s="88" t="n">
        <v>45771</v>
      </c>
      <c r="O587" s="156" t="inlineStr">
        <is>
          <t>BIN HUMAID NATIONAL TRADING CO. (ARABIA SAUDITA)</t>
        </is>
      </c>
      <c r="P587" s="154" t="inlineStr">
        <is>
          <t>IMPORT LICENSE N. 7004424417/8/B/81 VALIDA FINO AL 28/04/2027                                                              AUT. ESPORTAZIONE MULTIPLA N. 6B/2025/1M RILASCIATA IL 24/02/2025   (LICENZA DI SCARICO N. 6B/2025/2S RILASCIATA IL 15/04/2025)</t>
        </is>
      </c>
      <c r="Q587" s="150" t="n"/>
      <c r="R587" s="150" t="n"/>
      <c r="S587" s="153" t="n"/>
    </row>
    <row r="588" ht="36" customHeight="1">
      <c r="A588" s="46" t="n">
        <v>2918</v>
      </c>
      <c r="B588" s="4">
        <f>+VLOOKUP($A588,MAGAZZINO!$B$2:$M$100000,2,FALSE)</f>
        <v/>
      </c>
      <c r="C588" s="29">
        <f>+VLOOKUP($A588,MAGAZZINO!$B$2:$M$100000,3,FALSE)</f>
        <v/>
      </c>
      <c r="D588" s="3">
        <f>+VLOOKUP($A588,MAGAZZINO!$B$2:$M$100000,4,FALSE)</f>
        <v/>
      </c>
      <c r="E588" s="3">
        <f>+VLOOKUP($A588,MAGAZZINO!$B$2:$M$100000,5,FALSE)</f>
        <v/>
      </c>
      <c r="F588" s="3">
        <f>+VLOOKUP($A588,MAGAZZINO!$B$2:$M$100000,6,FALSE)</f>
        <v/>
      </c>
      <c r="G588" s="3">
        <f>+VLOOKUP($A588,MAGAZZINO!$B$2:$M$100000,7,FALSE)</f>
        <v/>
      </c>
      <c r="H588" s="3">
        <f>+VLOOKUP($A588,MAGAZZINO!$B$2:$M$100000,8,FALSE)</f>
        <v/>
      </c>
      <c r="I588" s="3">
        <f>+VLOOKUP($A588,MAGAZZINO!$B$2:$M$100000,9,FALSE)</f>
        <v/>
      </c>
      <c r="J588" s="3">
        <f>+VLOOKUP($A588,MAGAZZINO!$B$2:$M$100000,10,FALSE)</f>
        <v/>
      </c>
      <c r="K588" s="3">
        <f>+VLOOKUP($A588,MAGAZZINO!$B$2:$M$100000,11,FALSE)</f>
        <v/>
      </c>
      <c r="L588" s="5">
        <f>+VLOOKUP($A588,MAGAZZINO!$B$2:$M$100000,12,FALSE)</f>
        <v/>
      </c>
      <c r="M588" s="47" t="n"/>
      <c r="N588" s="88" t="n">
        <v>45771</v>
      </c>
      <c r="O588" s="156" t="inlineStr">
        <is>
          <t>BIN HUMAID NATIONAL TRADING CO. (ARABIA SAUDITA)</t>
        </is>
      </c>
      <c r="P588" s="154" t="inlineStr">
        <is>
          <t>IMPORT LICENSE N. 7004424417/8/B/81 VALIDA FINO AL 28/04/2027                                                              AUT. ESPORTAZIONE MULTIPLA N. 6B/2025/1M RILASCIATA IL 24/02/2025   (LICENZA DI SCARICO N. 6B/2025/2S RILASCIATA IL 15/04/2025)</t>
        </is>
      </c>
      <c r="Q588" s="150" t="n"/>
      <c r="R588" s="150" t="n"/>
      <c r="S588" s="153" t="n"/>
    </row>
    <row r="589" ht="36" customHeight="1">
      <c r="A589" s="46" t="n">
        <v>2919</v>
      </c>
      <c r="B589" s="4">
        <f>+VLOOKUP($A589,MAGAZZINO!$B$2:$M$100000,2,FALSE)</f>
        <v/>
      </c>
      <c r="C589" s="29">
        <f>+VLOOKUP($A589,MAGAZZINO!$B$2:$M$100000,3,FALSE)</f>
        <v/>
      </c>
      <c r="D589" s="3">
        <f>+VLOOKUP($A589,MAGAZZINO!$B$2:$M$100000,4,FALSE)</f>
        <v/>
      </c>
      <c r="E589" s="3">
        <f>+VLOOKUP($A589,MAGAZZINO!$B$2:$M$100000,5,FALSE)</f>
        <v/>
      </c>
      <c r="F589" s="3">
        <f>+VLOOKUP($A589,MAGAZZINO!$B$2:$M$100000,6,FALSE)</f>
        <v/>
      </c>
      <c r="G589" s="3">
        <f>+VLOOKUP($A589,MAGAZZINO!$B$2:$M$100000,7,FALSE)</f>
        <v/>
      </c>
      <c r="H589" s="3">
        <f>+VLOOKUP($A589,MAGAZZINO!$B$2:$M$100000,8,FALSE)</f>
        <v/>
      </c>
      <c r="I589" s="3">
        <f>+VLOOKUP($A589,MAGAZZINO!$B$2:$M$100000,9,FALSE)</f>
        <v/>
      </c>
      <c r="J589" s="3">
        <f>+VLOOKUP($A589,MAGAZZINO!$B$2:$M$100000,10,FALSE)</f>
        <v/>
      </c>
      <c r="K589" s="3">
        <f>+VLOOKUP($A589,MAGAZZINO!$B$2:$M$100000,11,FALSE)</f>
        <v/>
      </c>
      <c r="L589" s="5">
        <f>+VLOOKUP($A589,MAGAZZINO!$B$2:$M$100000,12,FALSE)</f>
        <v/>
      </c>
      <c r="M589" s="47" t="n"/>
      <c r="N589" s="88" t="n">
        <v>45771</v>
      </c>
      <c r="O589" s="156" t="inlineStr">
        <is>
          <t>BIN HUMAID NATIONAL TRADING CO. (ARABIA SAUDITA)</t>
        </is>
      </c>
      <c r="P589" s="154" t="inlineStr">
        <is>
          <t>IMPORT LICENSE N. 7004424417/8/B/81 VALIDA FINO AL 28/04/2027                                                              AUT. ESPORTAZIONE MULTIPLA N. 6B/2025/1M RILASCIATA IL 24/02/2025   (LICENZA DI SCARICO N. 6B/2025/2S RILASCIATA IL 15/04/2025)</t>
        </is>
      </c>
      <c r="Q589" s="150" t="n"/>
      <c r="R589" s="150" t="n"/>
      <c r="S589" s="153" t="n"/>
    </row>
    <row r="590" ht="36" customHeight="1">
      <c r="A590" s="46" t="n">
        <v>2920</v>
      </c>
      <c r="B590" s="4">
        <f>+VLOOKUP($A590,MAGAZZINO!$B$2:$M$100000,2,FALSE)</f>
        <v/>
      </c>
      <c r="C590" s="29">
        <f>+VLOOKUP($A590,MAGAZZINO!$B$2:$M$100000,3,FALSE)</f>
        <v/>
      </c>
      <c r="D590" s="3">
        <f>+VLOOKUP($A590,MAGAZZINO!$B$2:$M$100000,4,FALSE)</f>
        <v/>
      </c>
      <c r="E590" s="3">
        <f>+VLOOKUP($A590,MAGAZZINO!$B$2:$M$100000,5,FALSE)</f>
        <v/>
      </c>
      <c r="F590" s="3">
        <f>+VLOOKUP($A590,MAGAZZINO!$B$2:$M$100000,6,FALSE)</f>
        <v/>
      </c>
      <c r="G590" s="3">
        <f>+VLOOKUP($A590,MAGAZZINO!$B$2:$M$100000,7,FALSE)</f>
        <v/>
      </c>
      <c r="H590" s="3">
        <f>+VLOOKUP($A590,MAGAZZINO!$B$2:$M$100000,8,FALSE)</f>
        <v/>
      </c>
      <c r="I590" s="3">
        <f>+VLOOKUP($A590,MAGAZZINO!$B$2:$M$100000,9,FALSE)</f>
        <v/>
      </c>
      <c r="J590" s="3">
        <f>+VLOOKUP($A590,MAGAZZINO!$B$2:$M$100000,10,FALSE)</f>
        <v/>
      </c>
      <c r="K590" s="3">
        <f>+VLOOKUP($A590,MAGAZZINO!$B$2:$M$100000,11,FALSE)</f>
        <v/>
      </c>
      <c r="L590" s="5">
        <f>+VLOOKUP($A590,MAGAZZINO!$B$2:$M$100000,12,FALSE)</f>
        <v/>
      </c>
      <c r="M590" s="47" t="n"/>
      <c r="N590" s="88" t="n">
        <v>45771</v>
      </c>
      <c r="O590" s="156" t="inlineStr">
        <is>
          <t>BIN HUMAID NATIONAL TRADING CO. (ARABIA SAUDITA)</t>
        </is>
      </c>
      <c r="P590" s="154" t="inlineStr">
        <is>
          <t>IMPORT LICENSE N. 7004424417/8/B/81 VALIDA FINO AL 28/04/2027                                                              AUT. ESPORTAZIONE MULTIPLA N. 6B/2025/1M RILASCIATA IL 24/02/2025   (LICENZA DI SCARICO N. 6B/2025/2S RILASCIATA IL 15/04/2025)</t>
        </is>
      </c>
      <c r="Q590" s="150" t="n"/>
      <c r="R590" s="150" t="n"/>
      <c r="S590" s="153" t="n"/>
    </row>
    <row r="591" ht="36" customHeight="1">
      <c r="A591" s="46" t="n">
        <v>2921</v>
      </c>
      <c r="B591" s="4">
        <f>+VLOOKUP($A591,MAGAZZINO!$B$2:$M$100000,2,FALSE)</f>
        <v/>
      </c>
      <c r="C591" s="29">
        <f>+VLOOKUP($A591,MAGAZZINO!$B$2:$M$100000,3,FALSE)</f>
        <v/>
      </c>
      <c r="D591" s="3">
        <f>+VLOOKUP($A591,MAGAZZINO!$B$2:$M$100000,4,FALSE)</f>
        <v/>
      </c>
      <c r="E591" s="3">
        <f>+VLOOKUP($A591,MAGAZZINO!$B$2:$M$100000,5,FALSE)</f>
        <v/>
      </c>
      <c r="F591" s="3">
        <f>+VLOOKUP($A591,MAGAZZINO!$B$2:$M$100000,6,FALSE)</f>
        <v/>
      </c>
      <c r="G591" s="3">
        <f>+VLOOKUP($A591,MAGAZZINO!$B$2:$M$100000,7,FALSE)</f>
        <v/>
      </c>
      <c r="H591" s="3">
        <f>+VLOOKUP($A591,MAGAZZINO!$B$2:$M$100000,8,FALSE)</f>
        <v/>
      </c>
      <c r="I591" s="3">
        <f>+VLOOKUP($A591,MAGAZZINO!$B$2:$M$100000,9,FALSE)</f>
        <v/>
      </c>
      <c r="J591" s="3">
        <f>+VLOOKUP($A591,MAGAZZINO!$B$2:$M$100000,10,FALSE)</f>
        <v/>
      </c>
      <c r="K591" s="3">
        <f>+VLOOKUP($A591,MAGAZZINO!$B$2:$M$100000,11,FALSE)</f>
        <v/>
      </c>
      <c r="L591" s="5">
        <f>+VLOOKUP($A591,MAGAZZINO!$B$2:$M$100000,12,FALSE)</f>
        <v/>
      </c>
      <c r="M591" s="47" t="n"/>
      <c r="N591" s="88" t="n">
        <v>45771</v>
      </c>
      <c r="O591" s="156" t="inlineStr">
        <is>
          <t>BIN HUMAID NATIONAL TRADING CO. (ARABIA SAUDITA)</t>
        </is>
      </c>
      <c r="P591" s="154" t="inlineStr">
        <is>
          <t>IMPORT LICENSE N. 7004424417/8/B/81 VALIDA FINO AL 28/04/2027                                                              AUT. ESPORTAZIONE MULTIPLA N. 6B/2025/1M RILASCIATA IL 24/02/2025   (LICENZA DI SCARICO N. 6B/2025/2S RILASCIATA IL 15/04/2025)</t>
        </is>
      </c>
      <c r="Q591" s="150" t="n"/>
      <c r="R591" s="150" t="n"/>
      <c r="S591" s="153" t="n"/>
    </row>
    <row r="592" ht="36" customHeight="1">
      <c r="A592" s="46" t="n">
        <v>2922</v>
      </c>
      <c r="B592" s="4">
        <f>+VLOOKUP($A592,MAGAZZINO!$B$2:$M$100000,2,FALSE)</f>
        <v/>
      </c>
      <c r="C592" s="29">
        <f>+VLOOKUP($A592,MAGAZZINO!$B$2:$M$100000,3,FALSE)</f>
        <v/>
      </c>
      <c r="D592" s="3">
        <f>+VLOOKUP($A592,MAGAZZINO!$B$2:$M$100000,4,FALSE)</f>
        <v/>
      </c>
      <c r="E592" s="3">
        <f>+VLOOKUP($A592,MAGAZZINO!$B$2:$M$100000,5,FALSE)</f>
        <v/>
      </c>
      <c r="F592" s="3">
        <f>+VLOOKUP($A592,MAGAZZINO!$B$2:$M$100000,6,FALSE)</f>
        <v/>
      </c>
      <c r="G592" s="3">
        <f>+VLOOKUP($A592,MAGAZZINO!$B$2:$M$100000,7,FALSE)</f>
        <v/>
      </c>
      <c r="H592" s="3">
        <f>+VLOOKUP($A592,MAGAZZINO!$B$2:$M$100000,8,FALSE)</f>
        <v/>
      </c>
      <c r="I592" s="3">
        <f>+VLOOKUP($A592,MAGAZZINO!$B$2:$M$100000,9,FALSE)</f>
        <v/>
      </c>
      <c r="J592" s="3">
        <f>+VLOOKUP($A592,MAGAZZINO!$B$2:$M$100000,10,FALSE)</f>
        <v/>
      </c>
      <c r="K592" s="3">
        <f>+VLOOKUP($A592,MAGAZZINO!$B$2:$M$100000,11,FALSE)</f>
        <v/>
      </c>
      <c r="L592" s="5">
        <f>+VLOOKUP($A592,MAGAZZINO!$B$2:$M$100000,12,FALSE)</f>
        <v/>
      </c>
      <c r="M592" s="47" t="n"/>
      <c r="N592" s="88" t="n">
        <v>45771</v>
      </c>
      <c r="O592" s="156" t="inlineStr">
        <is>
          <t>BIN HUMAID NATIONAL TRADING CO. (ARABIA SAUDITA)</t>
        </is>
      </c>
      <c r="P592" s="154" t="inlineStr">
        <is>
          <t>IMPORT LICENSE N. 7004424417/8/B/81 VALIDA FINO AL 28/04/2027                                                              AUT. ESPORTAZIONE MULTIPLA N. 6B/2025/1M RILASCIATA IL 24/02/2025   (LICENZA DI SCARICO N. 6B/2025/2S RILASCIATA IL 15/04/2025)</t>
        </is>
      </c>
      <c r="Q592" s="150" t="n"/>
      <c r="R592" s="150" t="n"/>
      <c r="S592" s="153" t="n"/>
    </row>
    <row r="593" ht="36" customHeight="1">
      <c r="A593" s="46" t="n">
        <v>2923</v>
      </c>
      <c r="B593" s="4">
        <f>+VLOOKUP($A593,MAGAZZINO!$B$2:$M$100000,2,FALSE)</f>
        <v/>
      </c>
      <c r="C593" s="29">
        <f>+VLOOKUP($A593,MAGAZZINO!$B$2:$M$100000,3,FALSE)</f>
        <v/>
      </c>
      <c r="D593" s="3">
        <f>+VLOOKUP($A593,MAGAZZINO!$B$2:$M$100000,4,FALSE)</f>
        <v/>
      </c>
      <c r="E593" s="3">
        <f>+VLOOKUP($A593,MAGAZZINO!$B$2:$M$100000,5,FALSE)</f>
        <v/>
      </c>
      <c r="F593" s="3">
        <f>+VLOOKUP($A593,MAGAZZINO!$B$2:$M$100000,6,FALSE)</f>
        <v/>
      </c>
      <c r="G593" s="3">
        <f>+VLOOKUP($A593,MAGAZZINO!$B$2:$M$100000,7,FALSE)</f>
        <v/>
      </c>
      <c r="H593" s="3">
        <f>+VLOOKUP($A593,MAGAZZINO!$B$2:$M$100000,8,FALSE)</f>
        <v/>
      </c>
      <c r="I593" s="3">
        <f>+VLOOKUP($A593,MAGAZZINO!$B$2:$M$100000,9,FALSE)</f>
        <v/>
      </c>
      <c r="J593" s="3">
        <f>+VLOOKUP($A593,MAGAZZINO!$B$2:$M$100000,10,FALSE)</f>
        <v/>
      </c>
      <c r="K593" s="3">
        <f>+VLOOKUP($A593,MAGAZZINO!$B$2:$M$100000,11,FALSE)</f>
        <v/>
      </c>
      <c r="L593" s="5">
        <f>+VLOOKUP($A593,MAGAZZINO!$B$2:$M$100000,12,FALSE)</f>
        <v/>
      </c>
      <c r="M593" s="47" t="n"/>
      <c r="N593" s="88" t="n">
        <v>45771</v>
      </c>
      <c r="O593" s="156" t="inlineStr">
        <is>
          <t>BIN HUMAID NATIONAL TRADING CO. (ARABIA SAUDITA)</t>
        </is>
      </c>
      <c r="P593" s="154" t="inlineStr">
        <is>
          <t>IMPORT LICENSE N. 7004424417/8/B/81 VALIDA FINO AL 28/04/2027                                                              AUT. ESPORTAZIONE MULTIPLA N. 6B/2025/1M RILASCIATA IL 24/02/2025   (LICENZA DI SCARICO N. 6B/2025/2S RILASCIATA IL 15/04/2025)</t>
        </is>
      </c>
      <c r="Q593" s="150" t="n"/>
      <c r="R593" s="150" t="n"/>
      <c r="S593" s="153" t="n"/>
    </row>
    <row r="594" ht="36" customHeight="1">
      <c r="A594" s="46" t="n">
        <v>2924</v>
      </c>
      <c r="B594" s="4">
        <f>+VLOOKUP($A594,MAGAZZINO!$B$2:$M$100000,2,FALSE)</f>
        <v/>
      </c>
      <c r="C594" s="29">
        <f>+VLOOKUP($A594,MAGAZZINO!$B$2:$M$100000,3,FALSE)</f>
        <v/>
      </c>
      <c r="D594" s="3">
        <f>+VLOOKUP($A594,MAGAZZINO!$B$2:$M$100000,4,FALSE)</f>
        <v/>
      </c>
      <c r="E594" s="3">
        <f>+VLOOKUP($A594,MAGAZZINO!$B$2:$M$100000,5,FALSE)</f>
        <v/>
      </c>
      <c r="F594" s="3">
        <f>+VLOOKUP($A594,MAGAZZINO!$B$2:$M$100000,6,FALSE)</f>
        <v/>
      </c>
      <c r="G594" s="3">
        <f>+VLOOKUP($A594,MAGAZZINO!$B$2:$M$100000,7,FALSE)</f>
        <v/>
      </c>
      <c r="H594" s="3">
        <f>+VLOOKUP($A594,MAGAZZINO!$B$2:$M$100000,8,FALSE)</f>
        <v/>
      </c>
      <c r="I594" s="3">
        <f>+VLOOKUP($A594,MAGAZZINO!$B$2:$M$100000,9,FALSE)</f>
        <v/>
      </c>
      <c r="J594" s="3">
        <f>+VLOOKUP($A594,MAGAZZINO!$B$2:$M$100000,10,FALSE)</f>
        <v/>
      </c>
      <c r="K594" s="3">
        <f>+VLOOKUP($A594,MAGAZZINO!$B$2:$M$100000,11,FALSE)</f>
        <v/>
      </c>
      <c r="L594" s="5">
        <f>+VLOOKUP($A594,MAGAZZINO!$B$2:$M$100000,12,FALSE)</f>
        <v/>
      </c>
      <c r="M594" s="47" t="n"/>
      <c r="N594" s="88" t="n">
        <v>45771</v>
      </c>
      <c r="O594" s="156" t="inlineStr">
        <is>
          <t>BIN HUMAID NATIONAL TRADING CO. (ARABIA SAUDITA)</t>
        </is>
      </c>
      <c r="P594" s="154" t="inlineStr">
        <is>
          <t>IMPORT LICENSE N. 7004424417/8/B/81 VALIDA FINO AL 28/04/2027                                                              AUT. ESPORTAZIONE MULTIPLA N. 6B/2025/1M RILASCIATA IL 24/02/2025   (LICENZA DI SCARICO N. 6B/2025/2S RILASCIATA IL 15/04/2025)</t>
        </is>
      </c>
      <c r="Q594" s="150" t="n"/>
      <c r="R594" s="150" t="n"/>
      <c r="S594" s="153" t="n"/>
    </row>
    <row r="595" ht="36" customHeight="1">
      <c r="A595" s="46" t="n">
        <v>2925</v>
      </c>
      <c r="B595" s="4">
        <f>+VLOOKUP($A595,MAGAZZINO!$B$2:$M$100000,2,FALSE)</f>
        <v/>
      </c>
      <c r="C595" s="29">
        <f>+VLOOKUP($A595,MAGAZZINO!$B$2:$M$100000,3,FALSE)</f>
        <v/>
      </c>
      <c r="D595" s="3">
        <f>+VLOOKUP($A595,MAGAZZINO!$B$2:$M$100000,4,FALSE)</f>
        <v/>
      </c>
      <c r="E595" s="3">
        <f>+VLOOKUP($A595,MAGAZZINO!$B$2:$M$100000,5,FALSE)</f>
        <v/>
      </c>
      <c r="F595" s="3">
        <f>+VLOOKUP($A595,MAGAZZINO!$B$2:$M$100000,6,FALSE)</f>
        <v/>
      </c>
      <c r="G595" s="3">
        <f>+VLOOKUP($A595,MAGAZZINO!$B$2:$M$100000,7,FALSE)</f>
        <v/>
      </c>
      <c r="H595" s="3">
        <f>+VLOOKUP($A595,MAGAZZINO!$B$2:$M$100000,8,FALSE)</f>
        <v/>
      </c>
      <c r="I595" s="3">
        <f>+VLOOKUP($A595,MAGAZZINO!$B$2:$M$100000,9,FALSE)</f>
        <v/>
      </c>
      <c r="J595" s="3">
        <f>+VLOOKUP($A595,MAGAZZINO!$B$2:$M$100000,10,FALSE)</f>
        <v/>
      </c>
      <c r="K595" s="3">
        <f>+VLOOKUP($A595,MAGAZZINO!$B$2:$M$100000,11,FALSE)</f>
        <v/>
      </c>
      <c r="L595" s="5">
        <f>+VLOOKUP($A595,MAGAZZINO!$B$2:$M$100000,12,FALSE)</f>
        <v/>
      </c>
      <c r="M595" s="47" t="n"/>
      <c r="N595" s="88" t="n">
        <v>45771</v>
      </c>
      <c r="O595" s="156" t="inlineStr">
        <is>
          <t>BIN HUMAID NATIONAL TRADING CO. (ARABIA SAUDITA)</t>
        </is>
      </c>
      <c r="P595" s="154" t="inlineStr">
        <is>
          <t>IMPORT LICENSE N. 7004424417/8/B/81 VALIDA FINO AL 28/04/2027                                                              AUT. ESPORTAZIONE MULTIPLA N. 6B/2025/1M RILASCIATA IL 24/02/2025   (LICENZA DI SCARICO N. 6B/2025/2S RILASCIATA IL 15/04/2025)</t>
        </is>
      </c>
      <c r="Q595" s="150" t="n"/>
      <c r="R595" s="150" t="n"/>
      <c r="S595" s="153" t="n"/>
    </row>
    <row r="596" ht="36" customHeight="1">
      <c r="A596" s="46" t="n">
        <v>2926</v>
      </c>
      <c r="B596" s="4">
        <f>+VLOOKUP($A596,MAGAZZINO!$B$2:$M$100000,2,FALSE)</f>
        <v/>
      </c>
      <c r="C596" s="29">
        <f>+VLOOKUP($A596,MAGAZZINO!$B$2:$M$100000,3,FALSE)</f>
        <v/>
      </c>
      <c r="D596" s="3">
        <f>+VLOOKUP($A596,MAGAZZINO!$B$2:$M$100000,4,FALSE)</f>
        <v/>
      </c>
      <c r="E596" s="3">
        <f>+VLOOKUP($A596,MAGAZZINO!$B$2:$M$100000,5,FALSE)</f>
        <v/>
      </c>
      <c r="F596" s="3">
        <f>+VLOOKUP($A596,MAGAZZINO!$B$2:$M$100000,6,FALSE)</f>
        <v/>
      </c>
      <c r="G596" s="3">
        <f>+VLOOKUP($A596,MAGAZZINO!$B$2:$M$100000,7,FALSE)</f>
        <v/>
      </c>
      <c r="H596" s="3">
        <f>+VLOOKUP($A596,MAGAZZINO!$B$2:$M$100000,8,FALSE)</f>
        <v/>
      </c>
      <c r="I596" s="3">
        <f>+VLOOKUP($A596,MAGAZZINO!$B$2:$M$100000,9,FALSE)</f>
        <v/>
      </c>
      <c r="J596" s="3">
        <f>+VLOOKUP($A596,MAGAZZINO!$B$2:$M$100000,10,FALSE)</f>
        <v/>
      </c>
      <c r="K596" s="3">
        <f>+VLOOKUP($A596,MAGAZZINO!$B$2:$M$100000,11,FALSE)</f>
        <v/>
      </c>
      <c r="L596" s="5">
        <f>+VLOOKUP($A596,MAGAZZINO!$B$2:$M$100000,12,FALSE)</f>
        <v/>
      </c>
      <c r="M596" s="47" t="n"/>
      <c r="N596" s="88" t="n">
        <v>45771</v>
      </c>
      <c r="O596" s="156" t="inlineStr">
        <is>
          <t>BIN HUMAID NATIONAL TRADING CO. (ARABIA SAUDITA)</t>
        </is>
      </c>
      <c r="P596" s="154" t="inlineStr">
        <is>
          <t>IMPORT LICENSE N. 7004424417/8/B/81 VALIDA FINO AL 28/04/2027                                                              AUT. ESPORTAZIONE MULTIPLA N. 6B/2025/1M RILASCIATA IL 24/02/2025   (LICENZA DI SCARICO N. 6B/2025/2S RILASCIATA IL 15/04/2025)</t>
        </is>
      </c>
      <c r="Q596" s="150" t="n"/>
      <c r="R596" s="150" t="n"/>
      <c r="S596" s="153" t="n"/>
    </row>
    <row r="597" ht="36" customHeight="1">
      <c r="A597" s="46" t="n">
        <v>2927</v>
      </c>
      <c r="B597" s="4">
        <f>+VLOOKUP($A597,MAGAZZINO!$B$2:$M$100000,2,FALSE)</f>
        <v/>
      </c>
      <c r="C597" s="29">
        <f>+VLOOKUP($A597,MAGAZZINO!$B$2:$M$100000,3,FALSE)</f>
        <v/>
      </c>
      <c r="D597" s="3">
        <f>+VLOOKUP($A597,MAGAZZINO!$B$2:$M$100000,4,FALSE)</f>
        <v/>
      </c>
      <c r="E597" s="3">
        <f>+VLOOKUP($A597,MAGAZZINO!$B$2:$M$100000,5,FALSE)</f>
        <v/>
      </c>
      <c r="F597" s="3">
        <f>+VLOOKUP($A597,MAGAZZINO!$B$2:$M$100000,6,FALSE)</f>
        <v/>
      </c>
      <c r="G597" s="3">
        <f>+VLOOKUP($A597,MAGAZZINO!$B$2:$M$100000,7,FALSE)</f>
        <v/>
      </c>
      <c r="H597" s="3">
        <f>+VLOOKUP($A597,MAGAZZINO!$B$2:$M$100000,8,FALSE)</f>
        <v/>
      </c>
      <c r="I597" s="3">
        <f>+VLOOKUP($A597,MAGAZZINO!$B$2:$M$100000,9,FALSE)</f>
        <v/>
      </c>
      <c r="J597" s="3">
        <f>+VLOOKUP($A597,MAGAZZINO!$B$2:$M$100000,10,FALSE)</f>
        <v/>
      </c>
      <c r="K597" s="3">
        <f>+VLOOKUP($A597,MAGAZZINO!$B$2:$M$100000,11,FALSE)</f>
        <v/>
      </c>
      <c r="L597" s="5">
        <f>+VLOOKUP($A597,MAGAZZINO!$B$2:$M$100000,12,FALSE)</f>
        <v/>
      </c>
      <c r="M597" s="47" t="n"/>
      <c r="N597" s="88" t="n">
        <v>45771</v>
      </c>
      <c r="O597" s="156" t="inlineStr">
        <is>
          <t>BIN HUMAID NATIONAL TRADING CO. (ARABIA SAUDITA)</t>
        </is>
      </c>
      <c r="P597" s="154" t="inlineStr">
        <is>
          <t>IMPORT LICENSE N. 7004424417/8/B/81 VALIDA FINO AL 28/04/2027                                                              AUT. ESPORTAZIONE MULTIPLA N. 6B/2025/1M RILASCIATA IL 24/02/2025   (LICENZA DI SCARICO N. 6B/2025/2S RILASCIATA IL 15/04/2025)</t>
        </is>
      </c>
      <c r="Q597" s="150" t="n"/>
      <c r="R597" s="150" t="n"/>
      <c r="S597" s="153" t="n"/>
    </row>
    <row r="598" ht="36" customHeight="1">
      <c r="A598" s="46" t="n">
        <v>2928</v>
      </c>
      <c r="B598" s="4">
        <f>+VLOOKUP($A598,MAGAZZINO!$B$2:$M$100000,2,FALSE)</f>
        <v/>
      </c>
      <c r="C598" s="29">
        <f>+VLOOKUP($A598,MAGAZZINO!$B$2:$M$100000,3,FALSE)</f>
        <v/>
      </c>
      <c r="D598" s="3">
        <f>+VLOOKUP($A598,MAGAZZINO!$B$2:$M$100000,4,FALSE)</f>
        <v/>
      </c>
      <c r="E598" s="3">
        <f>+VLOOKUP($A598,MAGAZZINO!$B$2:$M$100000,5,FALSE)</f>
        <v/>
      </c>
      <c r="F598" s="3">
        <f>+VLOOKUP($A598,MAGAZZINO!$B$2:$M$100000,6,FALSE)</f>
        <v/>
      </c>
      <c r="G598" s="3">
        <f>+VLOOKUP($A598,MAGAZZINO!$B$2:$M$100000,7,FALSE)</f>
        <v/>
      </c>
      <c r="H598" s="3">
        <f>+VLOOKUP($A598,MAGAZZINO!$B$2:$M$100000,8,FALSE)</f>
        <v/>
      </c>
      <c r="I598" s="3">
        <f>+VLOOKUP($A598,MAGAZZINO!$B$2:$M$100000,9,FALSE)</f>
        <v/>
      </c>
      <c r="J598" s="3">
        <f>+VLOOKUP($A598,MAGAZZINO!$B$2:$M$100000,10,FALSE)</f>
        <v/>
      </c>
      <c r="K598" s="3">
        <f>+VLOOKUP($A598,MAGAZZINO!$B$2:$M$100000,11,FALSE)</f>
        <v/>
      </c>
      <c r="L598" s="5">
        <f>+VLOOKUP($A598,MAGAZZINO!$B$2:$M$100000,12,FALSE)</f>
        <v/>
      </c>
      <c r="M598" s="47" t="n"/>
      <c r="N598" s="88" t="n">
        <v>45771</v>
      </c>
      <c r="O598" s="156" t="inlineStr">
        <is>
          <t>BIN HUMAID NATIONAL TRADING CO. (ARABIA SAUDITA)</t>
        </is>
      </c>
      <c r="P598" s="154" t="inlineStr">
        <is>
          <t>IMPORT LICENSE N. 7004424417/8/B/81 VALIDA FINO AL 28/04/2027                                                              AUT. ESPORTAZIONE MULTIPLA N. 6B/2025/1M RILASCIATA IL 24/02/2025   (LICENZA DI SCARICO N. 6B/2025/2S RILASCIATA IL 15/04/2025)</t>
        </is>
      </c>
      <c r="Q598" s="150" t="n"/>
      <c r="R598" s="150" t="n"/>
      <c r="S598" s="153" t="n"/>
    </row>
    <row r="599" ht="36" customHeight="1">
      <c r="A599" s="46" t="n">
        <v>2929</v>
      </c>
      <c r="B599" s="4">
        <f>+VLOOKUP($A599,MAGAZZINO!$B$2:$M$100000,2,FALSE)</f>
        <v/>
      </c>
      <c r="C599" s="29">
        <f>+VLOOKUP($A599,MAGAZZINO!$B$2:$M$100000,3,FALSE)</f>
        <v/>
      </c>
      <c r="D599" s="3">
        <f>+VLOOKUP($A599,MAGAZZINO!$B$2:$M$100000,4,FALSE)</f>
        <v/>
      </c>
      <c r="E599" s="3">
        <f>+VLOOKUP($A599,MAGAZZINO!$B$2:$M$100000,5,FALSE)</f>
        <v/>
      </c>
      <c r="F599" s="3">
        <f>+VLOOKUP($A599,MAGAZZINO!$B$2:$M$100000,6,FALSE)</f>
        <v/>
      </c>
      <c r="G599" s="3">
        <f>+VLOOKUP($A599,MAGAZZINO!$B$2:$M$100000,7,FALSE)</f>
        <v/>
      </c>
      <c r="H599" s="3">
        <f>+VLOOKUP($A599,MAGAZZINO!$B$2:$M$100000,8,FALSE)</f>
        <v/>
      </c>
      <c r="I599" s="3">
        <f>+VLOOKUP($A599,MAGAZZINO!$B$2:$M$100000,9,FALSE)</f>
        <v/>
      </c>
      <c r="J599" s="3">
        <f>+VLOOKUP($A599,MAGAZZINO!$B$2:$M$100000,10,FALSE)</f>
        <v/>
      </c>
      <c r="K599" s="3">
        <f>+VLOOKUP($A599,MAGAZZINO!$B$2:$M$100000,11,FALSE)</f>
        <v/>
      </c>
      <c r="L599" s="5">
        <f>+VLOOKUP($A599,MAGAZZINO!$B$2:$M$100000,12,FALSE)</f>
        <v/>
      </c>
      <c r="M599" s="47" t="n"/>
      <c r="N599" s="88" t="n">
        <v>45771</v>
      </c>
      <c r="O599" s="156" t="inlineStr">
        <is>
          <t>BIN HUMAID NATIONAL TRADING CO. (ARABIA SAUDITA)</t>
        </is>
      </c>
      <c r="P599" s="154" t="inlineStr">
        <is>
          <t>IMPORT LICENSE N. 7004424417/8/B/81 VALIDA FINO AL 28/04/2027                                                              AUT. ESPORTAZIONE MULTIPLA N. 6B/2025/1M RILASCIATA IL 24/02/2025   (LICENZA DI SCARICO N. 6B/2025/2S RILASCIATA IL 15/04/2025)</t>
        </is>
      </c>
      <c r="Q599" s="150" t="n"/>
      <c r="R599" s="150" t="n"/>
      <c r="S599" s="153" t="n"/>
    </row>
    <row r="600" ht="36" customHeight="1">
      <c r="A600" s="46" t="n">
        <v>2930</v>
      </c>
      <c r="B600" s="4">
        <f>+VLOOKUP($A600,MAGAZZINO!$B$2:$M$100000,2,FALSE)</f>
        <v/>
      </c>
      <c r="C600" s="29">
        <f>+VLOOKUP($A600,MAGAZZINO!$B$2:$M$100000,3,FALSE)</f>
        <v/>
      </c>
      <c r="D600" s="3">
        <f>+VLOOKUP($A600,MAGAZZINO!$B$2:$M$100000,4,FALSE)</f>
        <v/>
      </c>
      <c r="E600" s="3">
        <f>+VLOOKUP($A600,MAGAZZINO!$B$2:$M$100000,5,FALSE)</f>
        <v/>
      </c>
      <c r="F600" s="3">
        <f>+VLOOKUP($A600,MAGAZZINO!$B$2:$M$100000,6,FALSE)</f>
        <v/>
      </c>
      <c r="G600" s="3">
        <f>+VLOOKUP($A600,MAGAZZINO!$B$2:$M$100000,7,FALSE)</f>
        <v/>
      </c>
      <c r="H600" s="3">
        <f>+VLOOKUP($A600,MAGAZZINO!$B$2:$M$100000,8,FALSE)</f>
        <v/>
      </c>
      <c r="I600" s="3">
        <f>+VLOOKUP($A600,MAGAZZINO!$B$2:$M$100000,9,FALSE)</f>
        <v/>
      </c>
      <c r="J600" s="3">
        <f>+VLOOKUP($A600,MAGAZZINO!$B$2:$M$100000,10,FALSE)</f>
        <v/>
      </c>
      <c r="K600" s="3">
        <f>+VLOOKUP($A600,MAGAZZINO!$B$2:$M$100000,11,FALSE)</f>
        <v/>
      </c>
      <c r="L600" s="5">
        <f>+VLOOKUP($A600,MAGAZZINO!$B$2:$M$100000,12,FALSE)</f>
        <v/>
      </c>
      <c r="M600" s="47" t="n"/>
      <c r="N600" s="88" t="n">
        <v>45771</v>
      </c>
      <c r="O600" s="156" t="inlineStr">
        <is>
          <t>BIN HUMAID NATIONAL TRADING CO. (ARABIA SAUDITA)</t>
        </is>
      </c>
      <c r="P600" s="154" t="inlineStr">
        <is>
          <t>IMPORT LICENSE N. 7004424417/8/B/81 VALIDA FINO AL 28/04/2027                                                              AUT. ESPORTAZIONE MULTIPLA N. 6B/2025/1M RILASCIATA IL 24/02/2025   (LICENZA DI SCARICO N. 6B/2025/2S RILASCIATA IL 15/04/2025)</t>
        </is>
      </c>
      <c r="Q600" s="150" t="n"/>
      <c r="R600" s="150" t="n"/>
      <c r="S600" s="153" t="n"/>
    </row>
    <row r="601" ht="36" customHeight="1">
      <c r="A601" s="46" t="n">
        <v>2931</v>
      </c>
      <c r="B601" s="4">
        <f>+VLOOKUP($A601,MAGAZZINO!$B$2:$M$100000,2,FALSE)</f>
        <v/>
      </c>
      <c r="C601" s="29">
        <f>+VLOOKUP($A601,MAGAZZINO!$B$2:$M$100000,3,FALSE)</f>
        <v/>
      </c>
      <c r="D601" s="3">
        <f>+VLOOKUP($A601,MAGAZZINO!$B$2:$M$100000,4,FALSE)</f>
        <v/>
      </c>
      <c r="E601" s="3">
        <f>+VLOOKUP($A601,MAGAZZINO!$B$2:$M$100000,5,FALSE)</f>
        <v/>
      </c>
      <c r="F601" s="3">
        <f>+VLOOKUP($A601,MAGAZZINO!$B$2:$M$100000,6,FALSE)</f>
        <v/>
      </c>
      <c r="G601" s="3">
        <f>+VLOOKUP($A601,MAGAZZINO!$B$2:$M$100000,7,FALSE)</f>
        <v/>
      </c>
      <c r="H601" s="3">
        <f>+VLOOKUP($A601,MAGAZZINO!$B$2:$M$100000,8,FALSE)</f>
        <v/>
      </c>
      <c r="I601" s="3">
        <f>+VLOOKUP($A601,MAGAZZINO!$B$2:$M$100000,9,FALSE)</f>
        <v/>
      </c>
      <c r="J601" s="3">
        <f>+VLOOKUP($A601,MAGAZZINO!$B$2:$M$100000,10,FALSE)</f>
        <v/>
      </c>
      <c r="K601" s="3">
        <f>+VLOOKUP($A601,MAGAZZINO!$B$2:$M$100000,11,FALSE)</f>
        <v/>
      </c>
      <c r="L601" s="5">
        <f>+VLOOKUP($A601,MAGAZZINO!$B$2:$M$100000,12,FALSE)</f>
        <v/>
      </c>
      <c r="M601" s="47" t="n"/>
      <c r="N601" s="88" t="n">
        <v>45771</v>
      </c>
      <c r="O601" s="156" t="inlineStr">
        <is>
          <t>BIN HUMAID NATIONAL TRADING CO. (ARABIA SAUDITA)</t>
        </is>
      </c>
      <c r="P601" s="154" t="inlineStr">
        <is>
          <t>IMPORT LICENSE N. 7004424417/8/B/81 VALIDA FINO AL 28/04/2027                                                              AUT. ESPORTAZIONE MULTIPLA N. 6B/2025/1M RILASCIATA IL 24/02/2025   (LICENZA DI SCARICO N. 6B/2025/2S RILASCIATA IL 15/04/2025)</t>
        </is>
      </c>
      <c r="Q601" s="150" t="n"/>
      <c r="R601" s="150" t="n"/>
      <c r="S601" s="153" t="n"/>
    </row>
    <row r="602" ht="36" customHeight="1">
      <c r="A602" s="46" t="n">
        <v>2932</v>
      </c>
      <c r="B602" s="4">
        <f>+VLOOKUP($A602,MAGAZZINO!$B$2:$M$100000,2,FALSE)</f>
        <v/>
      </c>
      <c r="C602" s="29">
        <f>+VLOOKUP($A602,MAGAZZINO!$B$2:$M$100000,3,FALSE)</f>
        <v/>
      </c>
      <c r="D602" s="3">
        <f>+VLOOKUP($A602,MAGAZZINO!$B$2:$M$100000,4,FALSE)</f>
        <v/>
      </c>
      <c r="E602" s="3">
        <f>+VLOOKUP($A602,MAGAZZINO!$B$2:$M$100000,5,FALSE)</f>
        <v/>
      </c>
      <c r="F602" s="3">
        <f>+VLOOKUP($A602,MAGAZZINO!$B$2:$M$100000,6,FALSE)</f>
        <v/>
      </c>
      <c r="G602" s="3">
        <f>+VLOOKUP($A602,MAGAZZINO!$B$2:$M$100000,7,FALSE)</f>
        <v/>
      </c>
      <c r="H602" s="3">
        <f>+VLOOKUP($A602,MAGAZZINO!$B$2:$M$100000,8,FALSE)</f>
        <v/>
      </c>
      <c r="I602" s="3">
        <f>+VLOOKUP($A602,MAGAZZINO!$B$2:$M$100000,9,FALSE)</f>
        <v/>
      </c>
      <c r="J602" s="3">
        <f>+VLOOKUP($A602,MAGAZZINO!$B$2:$M$100000,10,FALSE)</f>
        <v/>
      </c>
      <c r="K602" s="3">
        <f>+VLOOKUP($A602,MAGAZZINO!$B$2:$M$100000,11,FALSE)</f>
        <v/>
      </c>
      <c r="L602" s="5">
        <f>+VLOOKUP($A602,MAGAZZINO!$B$2:$M$100000,12,FALSE)</f>
        <v/>
      </c>
      <c r="M602" s="47" t="n"/>
      <c r="N602" s="88" t="n">
        <v>45771</v>
      </c>
      <c r="O602" s="156" t="inlineStr">
        <is>
          <t>BIN HUMAID NATIONAL TRADING CO. (ARABIA SAUDITA)</t>
        </is>
      </c>
      <c r="P602" s="154" t="inlineStr">
        <is>
          <t>IMPORT LICENSE N. 7004424417/8/B/81 VALIDA FINO AL 28/04/2027                                                              AUT. ESPORTAZIONE MULTIPLA N. 6B/2025/1M RILASCIATA IL 24/02/2025   (LICENZA DI SCARICO N. 6B/2025/2S RILASCIATA IL 15/04/2025)</t>
        </is>
      </c>
      <c r="Q602" s="150" t="n"/>
      <c r="R602" s="150" t="n"/>
      <c r="S602" s="153" t="n"/>
    </row>
    <row r="603" ht="36" customHeight="1">
      <c r="A603" s="46" t="n">
        <v>2933</v>
      </c>
      <c r="B603" s="4">
        <f>+VLOOKUP($A603,MAGAZZINO!$B$2:$M$100000,2,FALSE)</f>
        <v/>
      </c>
      <c r="C603" s="29">
        <f>+VLOOKUP($A603,MAGAZZINO!$B$2:$M$100000,3,FALSE)</f>
        <v/>
      </c>
      <c r="D603" s="3">
        <f>+VLOOKUP($A603,MAGAZZINO!$B$2:$M$100000,4,FALSE)</f>
        <v/>
      </c>
      <c r="E603" s="3">
        <f>+VLOOKUP($A603,MAGAZZINO!$B$2:$M$100000,5,FALSE)</f>
        <v/>
      </c>
      <c r="F603" s="3">
        <f>+VLOOKUP($A603,MAGAZZINO!$B$2:$M$100000,6,FALSE)</f>
        <v/>
      </c>
      <c r="G603" s="3">
        <f>+VLOOKUP($A603,MAGAZZINO!$B$2:$M$100000,7,FALSE)</f>
        <v/>
      </c>
      <c r="H603" s="3">
        <f>+VLOOKUP($A603,MAGAZZINO!$B$2:$M$100000,8,FALSE)</f>
        <v/>
      </c>
      <c r="I603" s="3">
        <f>+VLOOKUP($A603,MAGAZZINO!$B$2:$M$100000,9,FALSE)</f>
        <v/>
      </c>
      <c r="J603" s="3">
        <f>+VLOOKUP($A603,MAGAZZINO!$B$2:$M$100000,10,FALSE)</f>
        <v/>
      </c>
      <c r="K603" s="3">
        <f>+VLOOKUP($A603,MAGAZZINO!$B$2:$M$100000,11,FALSE)</f>
        <v/>
      </c>
      <c r="L603" s="5">
        <f>+VLOOKUP($A603,MAGAZZINO!$B$2:$M$100000,12,FALSE)</f>
        <v/>
      </c>
      <c r="M603" s="47" t="n"/>
      <c r="N603" s="88" t="n">
        <v>45771</v>
      </c>
      <c r="O603" s="156" t="inlineStr">
        <is>
          <t>BIN HUMAID NATIONAL TRADING CO. (ARABIA SAUDITA)</t>
        </is>
      </c>
      <c r="P603" s="154" t="inlineStr">
        <is>
          <t>IMPORT LICENSE N. 7004424417/8/B/81 VALIDA FINO AL 28/04/2027                                                              AUT. ESPORTAZIONE MULTIPLA N. 6B/2025/1M RILASCIATA IL 24/02/2025   (LICENZA DI SCARICO N. 6B/2025/2S RILASCIATA IL 15/04/2025)</t>
        </is>
      </c>
      <c r="Q603" s="150" t="n"/>
      <c r="R603" s="150" t="n"/>
      <c r="S603" s="153" t="n"/>
    </row>
    <row r="604" ht="36" customHeight="1">
      <c r="A604" s="46" t="n">
        <v>2934</v>
      </c>
      <c r="B604" s="4">
        <f>+VLOOKUP($A604,MAGAZZINO!$B$2:$M$100000,2,FALSE)</f>
        <v/>
      </c>
      <c r="C604" s="29">
        <f>+VLOOKUP($A604,MAGAZZINO!$B$2:$M$100000,3,FALSE)</f>
        <v/>
      </c>
      <c r="D604" s="3">
        <f>+VLOOKUP($A604,MAGAZZINO!$B$2:$M$100000,4,FALSE)</f>
        <v/>
      </c>
      <c r="E604" s="3">
        <f>+VLOOKUP($A604,MAGAZZINO!$B$2:$M$100000,5,FALSE)</f>
        <v/>
      </c>
      <c r="F604" s="3">
        <f>+VLOOKUP($A604,MAGAZZINO!$B$2:$M$100000,6,FALSE)</f>
        <v/>
      </c>
      <c r="G604" s="3">
        <f>+VLOOKUP($A604,MAGAZZINO!$B$2:$M$100000,7,FALSE)</f>
        <v/>
      </c>
      <c r="H604" s="3">
        <f>+VLOOKUP($A604,MAGAZZINO!$B$2:$M$100000,8,FALSE)</f>
        <v/>
      </c>
      <c r="I604" s="3">
        <f>+VLOOKUP($A604,MAGAZZINO!$B$2:$M$100000,9,FALSE)</f>
        <v/>
      </c>
      <c r="J604" s="3">
        <f>+VLOOKUP($A604,MAGAZZINO!$B$2:$M$100000,10,FALSE)</f>
        <v/>
      </c>
      <c r="K604" s="3">
        <f>+VLOOKUP($A604,MAGAZZINO!$B$2:$M$100000,11,FALSE)</f>
        <v/>
      </c>
      <c r="L604" s="5">
        <f>+VLOOKUP($A604,MAGAZZINO!$B$2:$M$100000,12,FALSE)</f>
        <v/>
      </c>
      <c r="M604" s="47" t="n"/>
      <c r="N604" s="88" t="n">
        <v>45771</v>
      </c>
      <c r="O604" s="156" t="inlineStr">
        <is>
          <t>BIN HUMAID NATIONAL TRADING CO. (ARABIA SAUDITA)</t>
        </is>
      </c>
      <c r="P604" s="154" t="inlineStr">
        <is>
          <t>IMPORT LICENSE N. 7004424417/8/B/81 VALIDA FINO AL 28/04/2027                                                              AUT. ESPORTAZIONE MULTIPLA N. 6B/2025/1M RILASCIATA IL 24/02/2025   (LICENZA DI SCARICO N. 6B/2025/2S RILASCIATA IL 15/04/2025)</t>
        </is>
      </c>
      <c r="Q604" s="150" t="n"/>
      <c r="R604" s="150" t="n"/>
      <c r="S604" s="153" t="n"/>
    </row>
    <row r="605" ht="36" customHeight="1">
      <c r="A605" s="46" t="n">
        <v>2935</v>
      </c>
      <c r="B605" s="4">
        <f>+VLOOKUP($A605,MAGAZZINO!$B$2:$M$100000,2,FALSE)</f>
        <v/>
      </c>
      <c r="C605" s="29">
        <f>+VLOOKUP($A605,MAGAZZINO!$B$2:$M$100000,3,FALSE)</f>
        <v/>
      </c>
      <c r="D605" s="3">
        <f>+VLOOKUP($A605,MAGAZZINO!$B$2:$M$100000,4,FALSE)</f>
        <v/>
      </c>
      <c r="E605" s="3">
        <f>+VLOOKUP($A605,MAGAZZINO!$B$2:$M$100000,5,FALSE)</f>
        <v/>
      </c>
      <c r="F605" s="3">
        <f>+VLOOKUP($A605,MAGAZZINO!$B$2:$M$100000,6,FALSE)</f>
        <v/>
      </c>
      <c r="G605" s="3">
        <f>+VLOOKUP($A605,MAGAZZINO!$B$2:$M$100000,7,FALSE)</f>
        <v/>
      </c>
      <c r="H605" s="3">
        <f>+VLOOKUP($A605,MAGAZZINO!$B$2:$M$100000,8,FALSE)</f>
        <v/>
      </c>
      <c r="I605" s="3">
        <f>+VLOOKUP($A605,MAGAZZINO!$B$2:$M$100000,9,FALSE)</f>
        <v/>
      </c>
      <c r="J605" s="3">
        <f>+VLOOKUP($A605,MAGAZZINO!$B$2:$M$100000,10,FALSE)</f>
        <v/>
      </c>
      <c r="K605" s="3">
        <f>+VLOOKUP($A605,MAGAZZINO!$B$2:$M$100000,11,FALSE)</f>
        <v/>
      </c>
      <c r="L605" s="5">
        <f>+VLOOKUP($A605,MAGAZZINO!$B$2:$M$100000,12,FALSE)</f>
        <v/>
      </c>
      <c r="M605" s="47" t="n"/>
      <c r="N605" s="88" t="n">
        <v>45771</v>
      </c>
      <c r="O605" s="156" t="inlineStr">
        <is>
          <t>BIN HUMAID NATIONAL TRADING CO. (ARABIA SAUDITA)</t>
        </is>
      </c>
      <c r="P605" s="154" t="inlineStr">
        <is>
          <t>IMPORT LICENSE N. 7004424417/8/B/81 VALIDA FINO AL 28/04/2027                                                              AUT. ESPORTAZIONE MULTIPLA N. 6B/2025/1M RILASCIATA IL 24/02/2025   (LICENZA DI SCARICO N. 6B/2025/2S RILASCIATA IL 15/04/2025)</t>
        </is>
      </c>
      <c r="Q605" s="150" t="n"/>
      <c r="R605" s="150" t="n"/>
      <c r="S605" s="153" t="n"/>
    </row>
    <row r="606" ht="36" customHeight="1">
      <c r="A606" s="46" t="n">
        <v>2936</v>
      </c>
      <c r="B606" s="4">
        <f>+VLOOKUP($A606,MAGAZZINO!$B$2:$M$100000,2,FALSE)</f>
        <v/>
      </c>
      <c r="C606" s="29">
        <f>+VLOOKUP($A606,MAGAZZINO!$B$2:$M$100000,3,FALSE)</f>
        <v/>
      </c>
      <c r="D606" s="3">
        <f>+VLOOKUP($A606,MAGAZZINO!$B$2:$M$100000,4,FALSE)</f>
        <v/>
      </c>
      <c r="E606" s="3">
        <f>+VLOOKUP($A606,MAGAZZINO!$B$2:$M$100000,5,FALSE)</f>
        <v/>
      </c>
      <c r="F606" s="3">
        <f>+VLOOKUP($A606,MAGAZZINO!$B$2:$M$100000,6,FALSE)</f>
        <v/>
      </c>
      <c r="G606" s="3">
        <f>+VLOOKUP($A606,MAGAZZINO!$B$2:$M$100000,7,FALSE)</f>
        <v/>
      </c>
      <c r="H606" s="3">
        <f>+VLOOKUP($A606,MAGAZZINO!$B$2:$M$100000,8,FALSE)</f>
        <v/>
      </c>
      <c r="I606" s="3">
        <f>+VLOOKUP($A606,MAGAZZINO!$B$2:$M$100000,9,FALSE)</f>
        <v/>
      </c>
      <c r="J606" s="3">
        <f>+VLOOKUP($A606,MAGAZZINO!$B$2:$M$100000,10,FALSE)</f>
        <v/>
      </c>
      <c r="K606" s="3">
        <f>+VLOOKUP($A606,MAGAZZINO!$B$2:$M$100000,11,FALSE)</f>
        <v/>
      </c>
      <c r="L606" s="5">
        <f>+VLOOKUP($A606,MAGAZZINO!$B$2:$M$100000,12,FALSE)</f>
        <v/>
      </c>
      <c r="M606" s="47" t="n"/>
      <c r="N606" s="88" t="n">
        <v>45771</v>
      </c>
      <c r="O606" s="156" t="inlineStr">
        <is>
          <t>BIN HUMAID NATIONAL TRADING CO. (ARABIA SAUDITA)</t>
        </is>
      </c>
      <c r="P606" s="154" t="inlineStr">
        <is>
          <t>IMPORT LICENSE N. 7004424417/8/B/81 VALIDA FINO AL 28/04/2027                                                              AUT. ESPORTAZIONE MULTIPLA N. 6B/2025/1M RILASCIATA IL 24/02/2025   (LICENZA DI SCARICO N. 6B/2025/2S RILASCIATA IL 15/04/2025)</t>
        </is>
      </c>
      <c r="Q606" s="150" t="n"/>
      <c r="R606" s="150" t="n"/>
      <c r="S606" s="153" t="n"/>
    </row>
    <row r="607" ht="36" customHeight="1">
      <c r="A607" s="46" t="n">
        <v>2937</v>
      </c>
      <c r="B607" s="4">
        <f>+VLOOKUP($A607,MAGAZZINO!$B$2:$M$100000,2,FALSE)</f>
        <v/>
      </c>
      <c r="C607" s="29">
        <f>+VLOOKUP($A607,MAGAZZINO!$B$2:$M$100000,3,FALSE)</f>
        <v/>
      </c>
      <c r="D607" s="3">
        <f>+VLOOKUP($A607,MAGAZZINO!$B$2:$M$100000,4,FALSE)</f>
        <v/>
      </c>
      <c r="E607" s="3">
        <f>+VLOOKUP($A607,MAGAZZINO!$B$2:$M$100000,5,FALSE)</f>
        <v/>
      </c>
      <c r="F607" s="3">
        <f>+VLOOKUP($A607,MAGAZZINO!$B$2:$M$100000,6,FALSE)</f>
        <v/>
      </c>
      <c r="G607" s="3">
        <f>+VLOOKUP($A607,MAGAZZINO!$B$2:$M$100000,7,FALSE)</f>
        <v/>
      </c>
      <c r="H607" s="3">
        <f>+VLOOKUP($A607,MAGAZZINO!$B$2:$M$100000,8,FALSE)</f>
        <v/>
      </c>
      <c r="I607" s="3">
        <f>+VLOOKUP($A607,MAGAZZINO!$B$2:$M$100000,9,FALSE)</f>
        <v/>
      </c>
      <c r="J607" s="3">
        <f>+VLOOKUP($A607,MAGAZZINO!$B$2:$M$100000,10,FALSE)</f>
        <v/>
      </c>
      <c r="K607" s="3">
        <f>+VLOOKUP($A607,MAGAZZINO!$B$2:$M$100000,11,FALSE)</f>
        <v/>
      </c>
      <c r="L607" s="5">
        <f>+VLOOKUP($A607,MAGAZZINO!$B$2:$M$100000,12,FALSE)</f>
        <v/>
      </c>
      <c r="M607" s="47" t="n"/>
      <c r="N607" s="88" t="n">
        <v>45771</v>
      </c>
      <c r="O607" s="156" t="inlineStr">
        <is>
          <t>BIN HUMAID NATIONAL TRADING CO. (ARABIA SAUDITA)</t>
        </is>
      </c>
      <c r="P607" s="154" t="inlineStr">
        <is>
          <t>IMPORT LICENSE N. 7004424417/8/B/81 VALIDA FINO AL 28/04/2027                                                              AUT. ESPORTAZIONE MULTIPLA N. 6B/2025/1M RILASCIATA IL 24/02/2025   (LICENZA DI SCARICO N. 6B/2025/2S RILASCIATA IL 15/04/2025)</t>
        </is>
      </c>
      <c r="Q607" s="150" t="n"/>
      <c r="R607" s="150" t="n"/>
      <c r="S607" s="153" t="n"/>
    </row>
    <row r="608" ht="36" customHeight="1">
      <c r="A608" s="46" t="n">
        <v>2938</v>
      </c>
      <c r="B608" s="4">
        <f>+VLOOKUP($A608,MAGAZZINO!$B$2:$M$100000,2,FALSE)</f>
        <v/>
      </c>
      <c r="C608" s="29">
        <f>+VLOOKUP($A608,MAGAZZINO!$B$2:$M$100000,3,FALSE)</f>
        <v/>
      </c>
      <c r="D608" s="3">
        <f>+VLOOKUP($A608,MAGAZZINO!$B$2:$M$100000,4,FALSE)</f>
        <v/>
      </c>
      <c r="E608" s="3">
        <f>+VLOOKUP($A608,MAGAZZINO!$B$2:$M$100000,5,FALSE)</f>
        <v/>
      </c>
      <c r="F608" s="3">
        <f>+VLOOKUP($A608,MAGAZZINO!$B$2:$M$100000,6,FALSE)</f>
        <v/>
      </c>
      <c r="G608" s="3">
        <f>+VLOOKUP($A608,MAGAZZINO!$B$2:$M$100000,7,FALSE)</f>
        <v/>
      </c>
      <c r="H608" s="3">
        <f>+VLOOKUP($A608,MAGAZZINO!$B$2:$M$100000,8,FALSE)</f>
        <v/>
      </c>
      <c r="I608" s="3">
        <f>+VLOOKUP($A608,MAGAZZINO!$B$2:$M$100000,9,FALSE)</f>
        <v/>
      </c>
      <c r="J608" s="3">
        <f>+VLOOKUP($A608,MAGAZZINO!$B$2:$M$100000,10,FALSE)</f>
        <v/>
      </c>
      <c r="K608" s="3">
        <f>+VLOOKUP($A608,MAGAZZINO!$B$2:$M$100000,11,FALSE)</f>
        <v/>
      </c>
      <c r="L608" s="5">
        <f>+VLOOKUP($A608,MAGAZZINO!$B$2:$M$100000,12,FALSE)</f>
        <v/>
      </c>
      <c r="M608" s="47" t="n"/>
      <c r="N608" s="88" t="n">
        <v>45771</v>
      </c>
      <c r="O608" s="156" t="inlineStr">
        <is>
          <t>BIN HUMAID NATIONAL TRADING CO. (ARABIA SAUDITA)</t>
        </is>
      </c>
      <c r="P608" s="154" t="inlineStr">
        <is>
          <t>IMPORT LICENSE N. 7004424417/8/B/81 VALIDA FINO AL 28/04/2027                                                              AUT. ESPORTAZIONE MULTIPLA N. 6B/2025/1M RILASCIATA IL 24/02/2025   (LICENZA DI SCARICO N. 6B/2025/2S RILASCIATA IL 15/04/2025)</t>
        </is>
      </c>
      <c r="Q608" s="150" t="n"/>
      <c r="R608" s="150" t="n"/>
      <c r="S608" s="153" t="n"/>
    </row>
    <row r="609" ht="36" customHeight="1">
      <c r="A609" s="46" t="n">
        <v>2939</v>
      </c>
      <c r="B609" s="4">
        <f>+VLOOKUP($A609,MAGAZZINO!$B$2:$M$100000,2,FALSE)</f>
        <v/>
      </c>
      <c r="C609" s="29">
        <f>+VLOOKUP($A609,MAGAZZINO!$B$2:$M$100000,3,FALSE)</f>
        <v/>
      </c>
      <c r="D609" s="3">
        <f>+VLOOKUP($A609,MAGAZZINO!$B$2:$M$100000,4,FALSE)</f>
        <v/>
      </c>
      <c r="E609" s="3">
        <f>+VLOOKUP($A609,MAGAZZINO!$B$2:$M$100000,5,FALSE)</f>
        <v/>
      </c>
      <c r="F609" s="3">
        <f>+VLOOKUP($A609,MAGAZZINO!$B$2:$M$100000,6,FALSE)</f>
        <v/>
      </c>
      <c r="G609" s="3">
        <f>+VLOOKUP($A609,MAGAZZINO!$B$2:$M$100000,7,FALSE)</f>
        <v/>
      </c>
      <c r="H609" s="3">
        <f>+VLOOKUP($A609,MAGAZZINO!$B$2:$M$100000,8,FALSE)</f>
        <v/>
      </c>
      <c r="I609" s="3">
        <f>+VLOOKUP($A609,MAGAZZINO!$B$2:$M$100000,9,FALSE)</f>
        <v/>
      </c>
      <c r="J609" s="3">
        <f>+VLOOKUP($A609,MAGAZZINO!$B$2:$M$100000,10,FALSE)</f>
        <v/>
      </c>
      <c r="K609" s="3">
        <f>+VLOOKUP($A609,MAGAZZINO!$B$2:$M$100000,11,FALSE)</f>
        <v/>
      </c>
      <c r="L609" s="5">
        <f>+VLOOKUP($A609,MAGAZZINO!$B$2:$M$100000,12,FALSE)</f>
        <v/>
      </c>
      <c r="M609" s="47" t="n"/>
      <c r="N609" s="88" t="n">
        <v>45771</v>
      </c>
      <c r="O609" s="156" t="inlineStr">
        <is>
          <t>BIN HUMAID NATIONAL TRADING CO. (ARABIA SAUDITA)</t>
        </is>
      </c>
      <c r="P609" s="154" t="inlineStr">
        <is>
          <t>IMPORT LICENSE N. 7004424417/8/B/81 VALIDA FINO AL 28/04/2027                                                              AUT. ESPORTAZIONE MULTIPLA N. 6B/2025/1M RILASCIATA IL 24/02/2025   (LICENZA DI SCARICO N. 6B/2025/2S RILASCIATA IL 15/04/2025)</t>
        </is>
      </c>
      <c r="Q609" s="150" t="n"/>
      <c r="R609" s="150" t="n"/>
      <c r="S609" s="153" t="n"/>
    </row>
    <row r="610" ht="36" customHeight="1">
      <c r="A610" s="46" t="n">
        <v>2940</v>
      </c>
      <c r="B610" s="4">
        <f>+VLOOKUP($A610,MAGAZZINO!$B$2:$M$100000,2,FALSE)</f>
        <v/>
      </c>
      <c r="C610" s="29">
        <f>+VLOOKUP($A610,MAGAZZINO!$B$2:$M$100000,3,FALSE)</f>
        <v/>
      </c>
      <c r="D610" s="3">
        <f>+VLOOKUP($A610,MAGAZZINO!$B$2:$M$100000,4,FALSE)</f>
        <v/>
      </c>
      <c r="E610" s="3">
        <f>+VLOOKUP($A610,MAGAZZINO!$B$2:$M$100000,5,FALSE)</f>
        <v/>
      </c>
      <c r="F610" s="3">
        <f>+VLOOKUP($A610,MAGAZZINO!$B$2:$M$100000,6,FALSE)</f>
        <v/>
      </c>
      <c r="G610" s="3">
        <f>+VLOOKUP($A610,MAGAZZINO!$B$2:$M$100000,7,FALSE)</f>
        <v/>
      </c>
      <c r="H610" s="3">
        <f>+VLOOKUP($A610,MAGAZZINO!$B$2:$M$100000,8,FALSE)</f>
        <v/>
      </c>
      <c r="I610" s="3">
        <f>+VLOOKUP($A610,MAGAZZINO!$B$2:$M$100000,9,FALSE)</f>
        <v/>
      </c>
      <c r="J610" s="3">
        <f>+VLOOKUP($A610,MAGAZZINO!$B$2:$M$100000,10,FALSE)</f>
        <v/>
      </c>
      <c r="K610" s="3">
        <f>+VLOOKUP($A610,MAGAZZINO!$B$2:$M$100000,11,FALSE)</f>
        <v/>
      </c>
      <c r="L610" s="5">
        <f>+VLOOKUP($A610,MAGAZZINO!$B$2:$M$100000,12,FALSE)</f>
        <v/>
      </c>
      <c r="M610" s="47" t="n"/>
      <c r="N610" s="88" t="n">
        <v>45771</v>
      </c>
      <c r="O610" s="156" t="inlineStr">
        <is>
          <t>BIN HUMAID NATIONAL TRADING CO. (ARABIA SAUDITA)</t>
        </is>
      </c>
      <c r="P610" s="154" t="inlineStr">
        <is>
          <t>IMPORT LICENSE N. 7004424417/8/B/81 VALIDA FINO AL 28/04/2027                                                              AUT. ESPORTAZIONE MULTIPLA N. 6B/2025/1M RILASCIATA IL 24/02/2025   (LICENZA DI SCARICO N. 6B/2025/2S RILASCIATA IL 15/04/2025)</t>
        </is>
      </c>
      <c r="Q610" s="150" t="n"/>
      <c r="R610" s="150" t="n"/>
      <c r="S610" s="153" t="n"/>
    </row>
    <row r="611" ht="36" customHeight="1">
      <c r="A611" s="46" t="n">
        <v>2941</v>
      </c>
      <c r="B611" s="4">
        <f>+VLOOKUP($A611,MAGAZZINO!$B$2:$M$100000,2,FALSE)</f>
        <v/>
      </c>
      <c r="C611" s="29">
        <f>+VLOOKUP($A611,MAGAZZINO!$B$2:$M$100000,3,FALSE)</f>
        <v/>
      </c>
      <c r="D611" s="3">
        <f>+VLOOKUP($A611,MAGAZZINO!$B$2:$M$100000,4,FALSE)</f>
        <v/>
      </c>
      <c r="E611" s="3">
        <f>+VLOOKUP($A611,MAGAZZINO!$B$2:$M$100000,5,FALSE)</f>
        <v/>
      </c>
      <c r="F611" s="3">
        <f>+VLOOKUP($A611,MAGAZZINO!$B$2:$M$100000,6,FALSE)</f>
        <v/>
      </c>
      <c r="G611" s="3">
        <f>+VLOOKUP($A611,MAGAZZINO!$B$2:$M$100000,7,FALSE)</f>
        <v/>
      </c>
      <c r="H611" s="3">
        <f>+VLOOKUP($A611,MAGAZZINO!$B$2:$M$100000,8,FALSE)</f>
        <v/>
      </c>
      <c r="I611" s="3">
        <f>+VLOOKUP($A611,MAGAZZINO!$B$2:$M$100000,9,FALSE)</f>
        <v/>
      </c>
      <c r="J611" s="3">
        <f>+VLOOKUP($A611,MAGAZZINO!$B$2:$M$100000,10,FALSE)</f>
        <v/>
      </c>
      <c r="K611" s="3">
        <f>+VLOOKUP($A611,MAGAZZINO!$B$2:$M$100000,11,FALSE)</f>
        <v/>
      </c>
      <c r="L611" s="5">
        <f>+VLOOKUP($A611,MAGAZZINO!$B$2:$M$100000,12,FALSE)</f>
        <v/>
      </c>
      <c r="M611" s="47" t="n"/>
      <c r="N611" s="88" t="n">
        <v>45771</v>
      </c>
      <c r="O611" s="156" t="inlineStr">
        <is>
          <t>BIN HUMAID NATIONAL TRADING CO. (ARABIA SAUDITA)</t>
        </is>
      </c>
      <c r="P611" s="154" t="inlineStr">
        <is>
          <t>IMPORT LICENSE N. 7004424417/8/B/81 VALIDA FINO AL 28/04/2027                                                              AUT. ESPORTAZIONE MULTIPLA N. 6B/2025/1M RILASCIATA IL 24/02/2025   (LICENZA DI SCARICO N. 6B/2025/2S RILASCIATA IL 15/04/2025)</t>
        </is>
      </c>
      <c r="Q611" s="150" t="n"/>
      <c r="R611" s="150" t="n"/>
      <c r="S611" s="153" t="n"/>
    </row>
    <row r="612" ht="36" customHeight="1">
      <c r="A612" s="46" t="n">
        <v>2942</v>
      </c>
      <c r="B612" s="4">
        <f>+VLOOKUP($A612,MAGAZZINO!$B$2:$M$100000,2,FALSE)</f>
        <v/>
      </c>
      <c r="C612" s="29">
        <f>+VLOOKUP($A612,MAGAZZINO!$B$2:$M$100000,3,FALSE)</f>
        <v/>
      </c>
      <c r="D612" s="3">
        <f>+VLOOKUP($A612,MAGAZZINO!$B$2:$M$100000,4,FALSE)</f>
        <v/>
      </c>
      <c r="E612" s="3">
        <f>+VLOOKUP($A612,MAGAZZINO!$B$2:$M$100000,5,FALSE)</f>
        <v/>
      </c>
      <c r="F612" s="3">
        <f>+VLOOKUP($A612,MAGAZZINO!$B$2:$M$100000,6,FALSE)</f>
        <v/>
      </c>
      <c r="G612" s="3">
        <f>+VLOOKUP($A612,MAGAZZINO!$B$2:$M$100000,7,FALSE)</f>
        <v/>
      </c>
      <c r="H612" s="3">
        <f>+VLOOKUP($A612,MAGAZZINO!$B$2:$M$100000,8,FALSE)</f>
        <v/>
      </c>
      <c r="I612" s="3">
        <f>+VLOOKUP($A612,MAGAZZINO!$B$2:$M$100000,9,FALSE)</f>
        <v/>
      </c>
      <c r="J612" s="3">
        <f>+VLOOKUP($A612,MAGAZZINO!$B$2:$M$100000,10,FALSE)</f>
        <v/>
      </c>
      <c r="K612" s="3">
        <f>+VLOOKUP($A612,MAGAZZINO!$B$2:$M$100000,11,FALSE)</f>
        <v/>
      </c>
      <c r="L612" s="5">
        <f>+VLOOKUP($A612,MAGAZZINO!$B$2:$M$100000,12,FALSE)</f>
        <v/>
      </c>
      <c r="M612" s="47" t="n"/>
      <c r="N612" s="88" t="n">
        <v>45771</v>
      </c>
      <c r="O612" s="156" t="inlineStr">
        <is>
          <t>BIN HUMAID NATIONAL TRADING CO. (ARABIA SAUDITA)</t>
        </is>
      </c>
      <c r="P612" s="154" t="inlineStr">
        <is>
          <t>IMPORT LICENSE N. 7004424417/8/B/81 VALIDA FINO AL 28/04/2027                                                              AUT. ESPORTAZIONE MULTIPLA N. 6B/2025/1M RILASCIATA IL 24/02/2025   (LICENZA DI SCARICO N. 6B/2025/2S RILASCIATA IL 15/04/2025)</t>
        </is>
      </c>
      <c r="Q612" s="150" t="n"/>
      <c r="R612" s="150" t="n"/>
      <c r="S612" s="153" t="n"/>
    </row>
    <row r="613" ht="36" customHeight="1">
      <c r="A613" s="46" t="n">
        <v>2943</v>
      </c>
      <c r="B613" s="4">
        <f>+VLOOKUP($A613,MAGAZZINO!$B$2:$M$100000,2,FALSE)</f>
        <v/>
      </c>
      <c r="C613" s="29">
        <f>+VLOOKUP($A613,MAGAZZINO!$B$2:$M$100000,3,FALSE)</f>
        <v/>
      </c>
      <c r="D613" s="3">
        <f>+VLOOKUP($A613,MAGAZZINO!$B$2:$M$100000,4,FALSE)</f>
        <v/>
      </c>
      <c r="E613" s="3">
        <f>+VLOOKUP($A613,MAGAZZINO!$B$2:$M$100000,5,FALSE)</f>
        <v/>
      </c>
      <c r="F613" s="3">
        <f>+VLOOKUP($A613,MAGAZZINO!$B$2:$M$100000,6,FALSE)</f>
        <v/>
      </c>
      <c r="G613" s="3">
        <f>+VLOOKUP($A613,MAGAZZINO!$B$2:$M$100000,7,FALSE)</f>
        <v/>
      </c>
      <c r="H613" s="3">
        <f>+VLOOKUP($A613,MAGAZZINO!$B$2:$M$100000,8,FALSE)</f>
        <v/>
      </c>
      <c r="I613" s="3">
        <f>+VLOOKUP($A613,MAGAZZINO!$B$2:$M$100000,9,FALSE)</f>
        <v/>
      </c>
      <c r="J613" s="3">
        <f>+VLOOKUP($A613,MAGAZZINO!$B$2:$M$100000,10,FALSE)</f>
        <v/>
      </c>
      <c r="K613" s="3">
        <f>+VLOOKUP($A613,MAGAZZINO!$B$2:$M$100000,11,FALSE)</f>
        <v/>
      </c>
      <c r="L613" s="5">
        <f>+VLOOKUP($A613,MAGAZZINO!$B$2:$M$100000,12,FALSE)</f>
        <v/>
      </c>
      <c r="M613" s="47" t="n"/>
      <c r="N613" s="88" t="n">
        <v>45771</v>
      </c>
      <c r="O613" s="156" t="inlineStr">
        <is>
          <t>BIN HUMAID NATIONAL TRADING CO. (ARABIA SAUDITA)</t>
        </is>
      </c>
      <c r="P613" s="154" t="inlineStr">
        <is>
          <t>IMPORT LICENSE N. 7004424417/8/B/81 VALIDA FINO AL 28/04/2027                                                              AUT. ESPORTAZIONE MULTIPLA N. 6B/2025/1M RILASCIATA IL 24/02/2025   (LICENZA DI SCARICO N. 6B/2025/2S RILASCIATA IL 15/04/2025)</t>
        </is>
      </c>
      <c r="Q613" s="150" t="n"/>
      <c r="R613" s="150" t="n"/>
      <c r="S613" s="153" t="n"/>
    </row>
    <row r="614" ht="36" customHeight="1">
      <c r="A614" s="46" t="n">
        <v>2944</v>
      </c>
      <c r="B614" s="4">
        <f>+VLOOKUP($A614,MAGAZZINO!$B$2:$M$100000,2,FALSE)</f>
        <v/>
      </c>
      <c r="C614" s="29">
        <f>+VLOOKUP($A614,MAGAZZINO!$B$2:$M$100000,3,FALSE)</f>
        <v/>
      </c>
      <c r="D614" s="3">
        <f>+VLOOKUP($A614,MAGAZZINO!$B$2:$M$100000,4,FALSE)</f>
        <v/>
      </c>
      <c r="E614" s="3">
        <f>+VLOOKUP($A614,MAGAZZINO!$B$2:$M$100000,5,FALSE)</f>
        <v/>
      </c>
      <c r="F614" s="3">
        <f>+VLOOKUP($A614,MAGAZZINO!$B$2:$M$100000,6,FALSE)</f>
        <v/>
      </c>
      <c r="G614" s="3">
        <f>+VLOOKUP($A614,MAGAZZINO!$B$2:$M$100000,7,FALSE)</f>
        <v/>
      </c>
      <c r="H614" s="3">
        <f>+VLOOKUP($A614,MAGAZZINO!$B$2:$M$100000,8,FALSE)</f>
        <v/>
      </c>
      <c r="I614" s="3">
        <f>+VLOOKUP($A614,MAGAZZINO!$B$2:$M$100000,9,FALSE)</f>
        <v/>
      </c>
      <c r="J614" s="3">
        <f>+VLOOKUP($A614,MAGAZZINO!$B$2:$M$100000,10,FALSE)</f>
        <v/>
      </c>
      <c r="K614" s="3">
        <f>+VLOOKUP($A614,MAGAZZINO!$B$2:$M$100000,11,FALSE)</f>
        <v/>
      </c>
      <c r="L614" s="5">
        <f>+VLOOKUP($A614,MAGAZZINO!$B$2:$M$100000,12,FALSE)</f>
        <v/>
      </c>
      <c r="M614" s="47" t="n"/>
      <c r="N614" s="88" t="n">
        <v>45771</v>
      </c>
      <c r="O614" s="156" t="inlineStr">
        <is>
          <t>BIN HUMAID NATIONAL TRADING CO. (ARABIA SAUDITA)</t>
        </is>
      </c>
      <c r="P614" s="154" t="inlineStr">
        <is>
          <t>IMPORT LICENSE N. 7004424417/8/B/81 VALIDA FINO AL 28/04/2027                                                              AUT. ESPORTAZIONE MULTIPLA N. 6B/2025/1M RILASCIATA IL 24/02/2025   (LICENZA DI SCARICO N. 6B/2025/2S RILASCIATA IL 15/04/2025)</t>
        </is>
      </c>
      <c r="Q614" s="150" t="n"/>
      <c r="R614" s="150" t="n"/>
      <c r="S614" s="153" t="n"/>
    </row>
    <row r="615" ht="36" customHeight="1">
      <c r="A615" s="46" t="n">
        <v>2945</v>
      </c>
      <c r="B615" s="4">
        <f>+VLOOKUP($A615,MAGAZZINO!$B$2:$M$100000,2,FALSE)</f>
        <v/>
      </c>
      <c r="C615" s="29">
        <f>+VLOOKUP($A615,MAGAZZINO!$B$2:$M$100000,3,FALSE)</f>
        <v/>
      </c>
      <c r="D615" s="3">
        <f>+VLOOKUP($A615,MAGAZZINO!$B$2:$M$100000,4,FALSE)</f>
        <v/>
      </c>
      <c r="E615" s="3">
        <f>+VLOOKUP($A615,MAGAZZINO!$B$2:$M$100000,5,FALSE)</f>
        <v/>
      </c>
      <c r="F615" s="3">
        <f>+VLOOKUP($A615,MAGAZZINO!$B$2:$M$100000,6,FALSE)</f>
        <v/>
      </c>
      <c r="G615" s="3">
        <f>+VLOOKUP($A615,MAGAZZINO!$B$2:$M$100000,7,FALSE)</f>
        <v/>
      </c>
      <c r="H615" s="3">
        <f>+VLOOKUP($A615,MAGAZZINO!$B$2:$M$100000,8,FALSE)</f>
        <v/>
      </c>
      <c r="I615" s="3">
        <f>+VLOOKUP($A615,MAGAZZINO!$B$2:$M$100000,9,FALSE)</f>
        <v/>
      </c>
      <c r="J615" s="3">
        <f>+VLOOKUP($A615,MAGAZZINO!$B$2:$M$100000,10,FALSE)</f>
        <v/>
      </c>
      <c r="K615" s="3">
        <f>+VLOOKUP($A615,MAGAZZINO!$B$2:$M$100000,11,FALSE)</f>
        <v/>
      </c>
      <c r="L615" s="5">
        <f>+VLOOKUP($A615,MAGAZZINO!$B$2:$M$100000,12,FALSE)</f>
        <v/>
      </c>
      <c r="M615" s="47" t="n"/>
      <c r="N615" s="88" t="n">
        <v>45771</v>
      </c>
      <c r="O615" s="156" t="inlineStr">
        <is>
          <t>BIN HUMAID NATIONAL TRADING CO. (ARABIA SAUDITA)</t>
        </is>
      </c>
      <c r="P615" s="154" t="inlineStr">
        <is>
          <t>IMPORT LICENSE N. 7004424417/8/B/81 VALIDA FINO AL 28/04/2027                                                              AUT. ESPORTAZIONE MULTIPLA N. 6B/2025/1M RILASCIATA IL 24/02/2025   (LICENZA DI SCARICO N. 6B/2025/2S RILASCIATA IL 15/04/2025)</t>
        </is>
      </c>
      <c r="Q615" s="150" t="n"/>
      <c r="R615" s="150" t="n"/>
      <c r="S615" s="153" t="n"/>
    </row>
    <row r="616" ht="36" customHeight="1">
      <c r="A616" s="46" t="n">
        <v>2946</v>
      </c>
      <c r="B616" s="4">
        <f>+VLOOKUP($A616,MAGAZZINO!$B$2:$M$100000,2,FALSE)</f>
        <v/>
      </c>
      <c r="C616" s="29">
        <f>+VLOOKUP($A616,MAGAZZINO!$B$2:$M$100000,3,FALSE)</f>
        <v/>
      </c>
      <c r="D616" s="3">
        <f>+VLOOKUP($A616,MAGAZZINO!$B$2:$M$100000,4,FALSE)</f>
        <v/>
      </c>
      <c r="E616" s="3">
        <f>+VLOOKUP($A616,MAGAZZINO!$B$2:$M$100000,5,FALSE)</f>
        <v/>
      </c>
      <c r="F616" s="3">
        <f>+VLOOKUP($A616,MAGAZZINO!$B$2:$M$100000,6,FALSE)</f>
        <v/>
      </c>
      <c r="G616" s="3">
        <f>+VLOOKUP($A616,MAGAZZINO!$B$2:$M$100000,7,FALSE)</f>
        <v/>
      </c>
      <c r="H616" s="3">
        <f>+VLOOKUP($A616,MAGAZZINO!$B$2:$M$100000,8,FALSE)</f>
        <v/>
      </c>
      <c r="I616" s="3">
        <f>+VLOOKUP($A616,MAGAZZINO!$B$2:$M$100000,9,FALSE)</f>
        <v/>
      </c>
      <c r="J616" s="3">
        <f>+VLOOKUP($A616,MAGAZZINO!$B$2:$M$100000,10,FALSE)</f>
        <v/>
      </c>
      <c r="K616" s="3">
        <f>+VLOOKUP($A616,MAGAZZINO!$B$2:$M$100000,11,FALSE)</f>
        <v/>
      </c>
      <c r="L616" s="5">
        <f>+VLOOKUP($A616,MAGAZZINO!$B$2:$M$100000,12,FALSE)</f>
        <v/>
      </c>
      <c r="M616" s="47" t="n"/>
      <c r="N616" s="88" t="n">
        <v>45771</v>
      </c>
      <c r="O616" s="156" t="inlineStr">
        <is>
          <t>BIN HUMAID NATIONAL TRADING CO. (ARABIA SAUDITA)</t>
        </is>
      </c>
      <c r="P616" s="154" t="inlineStr">
        <is>
          <t>IMPORT LICENSE N. 7004424417/8/B/81 VALIDA FINO AL 28/04/2027                                                              AUT. ESPORTAZIONE MULTIPLA N. 6B/2025/1M RILASCIATA IL 24/02/2025   (LICENZA DI SCARICO N. 6B/2025/2S RILASCIATA IL 15/04/2025)</t>
        </is>
      </c>
      <c r="Q616" s="150" t="n"/>
      <c r="R616" s="150" t="n"/>
      <c r="S616" s="153" t="n"/>
    </row>
    <row r="617" ht="36" customHeight="1">
      <c r="A617" s="46" t="n">
        <v>2947</v>
      </c>
      <c r="B617" s="4">
        <f>+VLOOKUP($A617,MAGAZZINO!$B$2:$M$100000,2,FALSE)</f>
        <v/>
      </c>
      <c r="C617" s="29">
        <f>+VLOOKUP($A617,MAGAZZINO!$B$2:$M$100000,3,FALSE)</f>
        <v/>
      </c>
      <c r="D617" s="3">
        <f>+VLOOKUP($A617,MAGAZZINO!$B$2:$M$100000,4,FALSE)</f>
        <v/>
      </c>
      <c r="E617" s="3">
        <f>+VLOOKUP($A617,MAGAZZINO!$B$2:$M$100000,5,FALSE)</f>
        <v/>
      </c>
      <c r="F617" s="3">
        <f>+VLOOKUP($A617,MAGAZZINO!$B$2:$M$100000,6,FALSE)</f>
        <v/>
      </c>
      <c r="G617" s="3">
        <f>+VLOOKUP($A617,MAGAZZINO!$B$2:$M$100000,7,FALSE)</f>
        <v/>
      </c>
      <c r="H617" s="3">
        <f>+VLOOKUP($A617,MAGAZZINO!$B$2:$M$100000,8,FALSE)</f>
        <v/>
      </c>
      <c r="I617" s="3">
        <f>+VLOOKUP($A617,MAGAZZINO!$B$2:$M$100000,9,FALSE)</f>
        <v/>
      </c>
      <c r="J617" s="3">
        <f>+VLOOKUP($A617,MAGAZZINO!$B$2:$M$100000,10,FALSE)</f>
        <v/>
      </c>
      <c r="K617" s="3">
        <f>+VLOOKUP($A617,MAGAZZINO!$B$2:$M$100000,11,FALSE)</f>
        <v/>
      </c>
      <c r="L617" s="5">
        <f>+VLOOKUP($A617,MAGAZZINO!$B$2:$M$100000,12,FALSE)</f>
        <v/>
      </c>
      <c r="M617" s="47" t="n"/>
      <c r="N617" s="88" t="n">
        <v>45771</v>
      </c>
      <c r="O617" s="156" t="inlineStr">
        <is>
          <t>BIN HUMAID NATIONAL TRADING CO. (ARABIA SAUDITA)</t>
        </is>
      </c>
      <c r="P617" s="154" t="inlineStr">
        <is>
          <t>IMPORT LICENSE N. 7004424417/8/B/81 VALIDA FINO AL 28/04/2027                                                              AUT. ESPORTAZIONE MULTIPLA N. 6B/2025/1M RILASCIATA IL 24/02/2025   (LICENZA DI SCARICO N. 6B/2025/2S RILASCIATA IL 15/04/2025)</t>
        </is>
      </c>
      <c r="Q617" s="150" t="n"/>
      <c r="R617" s="150" t="n"/>
      <c r="S617" s="153" t="n"/>
    </row>
    <row r="618" ht="36" customHeight="1">
      <c r="A618" s="46" t="n">
        <v>2948</v>
      </c>
      <c r="B618" s="4">
        <f>+VLOOKUP($A618,MAGAZZINO!$B$2:$M$100000,2,FALSE)</f>
        <v/>
      </c>
      <c r="C618" s="29">
        <f>+VLOOKUP($A618,MAGAZZINO!$B$2:$M$100000,3,FALSE)</f>
        <v/>
      </c>
      <c r="D618" s="3">
        <f>+VLOOKUP($A618,MAGAZZINO!$B$2:$M$100000,4,FALSE)</f>
        <v/>
      </c>
      <c r="E618" s="3">
        <f>+VLOOKUP($A618,MAGAZZINO!$B$2:$M$100000,5,FALSE)</f>
        <v/>
      </c>
      <c r="F618" s="3">
        <f>+VLOOKUP($A618,MAGAZZINO!$B$2:$M$100000,6,FALSE)</f>
        <v/>
      </c>
      <c r="G618" s="3">
        <f>+VLOOKUP($A618,MAGAZZINO!$B$2:$M$100000,7,FALSE)</f>
        <v/>
      </c>
      <c r="H618" s="3">
        <f>+VLOOKUP($A618,MAGAZZINO!$B$2:$M$100000,8,FALSE)</f>
        <v/>
      </c>
      <c r="I618" s="3">
        <f>+VLOOKUP($A618,MAGAZZINO!$B$2:$M$100000,9,FALSE)</f>
        <v/>
      </c>
      <c r="J618" s="3">
        <f>+VLOOKUP($A618,MAGAZZINO!$B$2:$M$100000,10,FALSE)</f>
        <v/>
      </c>
      <c r="K618" s="3">
        <f>+VLOOKUP($A618,MAGAZZINO!$B$2:$M$100000,11,FALSE)</f>
        <v/>
      </c>
      <c r="L618" s="5">
        <f>+VLOOKUP($A618,MAGAZZINO!$B$2:$M$100000,12,FALSE)</f>
        <v/>
      </c>
      <c r="M618" s="47" t="n"/>
      <c r="N618" s="88" t="n">
        <v>45771</v>
      </c>
      <c r="O618" s="156" t="inlineStr">
        <is>
          <t>BIN HUMAID NATIONAL TRADING CO. (ARABIA SAUDITA)</t>
        </is>
      </c>
      <c r="P618" s="154" t="inlineStr">
        <is>
          <t>IMPORT LICENSE N. 7004424417/8/B/81 VALIDA FINO AL 28/04/2027                                                              AUT. ESPORTAZIONE MULTIPLA N. 6B/2025/1M RILASCIATA IL 24/02/2025   (LICENZA DI SCARICO N. 6B/2025/2S RILASCIATA IL 15/04/2025)</t>
        </is>
      </c>
      <c r="Q618" s="150" t="n"/>
      <c r="R618" s="150" t="n"/>
      <c r="S618" s="153" t="n"/>
    </row>
    <row r="619" ht="36" customHeight="1">
      <c r="A619" s="46" t="n">
        <v>2949</v>
      </c>
      <c r="B619" s="4">
        <f>+VLOOKUP($A619,MAGAZZINO!$B$2:$M$100000,2,FALSE)</f>
        <v/>
      </c>
      <c r="C619" s="29">
        <f>+VLOOKUP($A619,MAGAZZINO!$B$2:$M$100000,3,FALSE)</f>
        <v/>
      </c>
      <c r="D619" s="3">
        <f>+VLOOKUP($A619,MAGAZZINO!$B$2:$M$100000,4,FALSE)</f>
        <v/>
      </c>
      <c r="E619" s="3">
        <f>+VLOOKUP($A619,MAGAZZINO!$B$2:$M$100000,5,FALSE)</f>
        <v/>
      </c>
      <c r="F619" s="3">
        <f>+VLOOKUP($A619,MAGAZZINO!$B$2:$M$100000,6,FALSE)</f>
        <v/>
      </c>
      <c r="G619" s="3">
        <f>+VLOOKUP($A619,MAGAZZINO!$B$2:$M$100000,7,FALSE)</f>
        <v/>
      </c>
      <c r="H619" s="3">
        <f>+VLOOKUP($A619,MAGAZZINO!$B$2:$M$100000,8,FALSE)</f>
        <v/>
      </c>
      <c r="I619" s="3">
        <f>+VLOOKUP($A619,MAGAZZINO!$B$2:$M$100000,9,FALSE)</f>
        <v/>
      </c>
      <c r="J619" s="3">
        <f>+VLOOKUP($A619,MAGAZZINO!$B$2:$M$100000,10,FALSE)</f>
        <v/>
      </c>
      <c r="K619" s="3">
        <f>+VLOOKUP($A619,MAGAZZINO!$B$2:$M$100000,11,FALSE)</f>
        <v/>
      </c>
      <c r="L619" s="5">
        <f>+VLOOKUP($A619,MAGAZZINO!$B$2:$M$100000,12,FALSE)</f>
        <v/>
      </c>
      <c r="M619" s="47" t="n"/>
      <c r="N619" s="88" t="n">
        <v>45771</v>
      </c>
      <c r="O619" s="156" t="inlineStr">
        <is>
          <t>BIN HUMAID NATIONAL TRADING CO. (ARABIA SAUDITA)</t>
        </is>
      </c>
      <c r="P619" s="154" t="inlineStr">
        <is>
          <t>IMPORT LICENSE N. 7004424417/8/B/81 VALIDA FINO AL 28/04/2027                                                              AUT. ESPORTAZIONE MULTIPLA N. 6B/2025/1M RILASCIATA IL 24/02/2025   (LICENZA DI SCARICO N. 6B/2025/2S RILASCIATA IL 15/04/2025)</t>
        </is>
      </c>
      <c r="Q619" s="150" t="n"/>
      <c r="R619" s="150" t="n"/>
      <c r="S619" s="153" t="n"/>
    </row>
    <row r="620" ht="36" customHeight="1">
      <c r="A620" s="46" t="n">
        <v>2950</v>
      </c>
      <c r="B620" s="4">
        <f>+VLOOKUP($A620,MAGAZZINO!$B$2:$M$100000,2,FALSE)</f>
        <v/>
      </c>
      <c r="C620" s="29">
        <f>+VLOOKUP($A620,MAGAZZINO!$B$2:$M$100000,3,FALSE)</f>
        <v/>
      </c>
      <c r="D620" s="3">
        <f>+VLOOKUP($A620,MAGAZZINO!$B$2:$M$100000,4,FALSE)</f>
        <v/>
      </c>
      <c r="E620" s="3">
        <f>+VLOOKUP($A620,MAGAZZINO!$B$2:$M$100000,5,FALSE)</f>
        <v/>
      </c>
      <c r="F620" s="3">
        <f>+VLOOKUP($A620,MAGAZZINO!$B$2:$M$100000,6,FALSE)</f>
        <v/>
      </c>
      <c r="G620" s="3">
        <f>+VLOOKUP($A620,MAGAZZINO!$B$2:$M$100000,7,FALSE)</f>
        <v/>
      </c>
      <c r="H620" s="3">
        <f>+VLOOKUP($A620,MAGAZZINO!$B$2:$M$100000,8,FALSE)</f>
        <v/>
      </c>
      <c r="I620" s="3">
        <f>+VLOOKUP($A620,MAGAZZINO!$B$2:$M$100000,9,FALSE)</f>
        <v/>
      </c>
      <c r="J620" s="3">
        <f>+VLOOKUP($A620,MAGAZZINO!$B$2:$M$100000,10,FALSE)</f>
        <v/>
      </c>
      <c r="K620" s="3">
        <f>+VLOOKUP($A620,MAGAZZINO!$B$2:$M$100000,11,FALSE)</f>
        <v/>
      </c>
      <c r="L620" s="5">
        <f>+VLOOKUP($A620,MAGAZZINO!$B$2:$M$100000,12,FALSE)</f>
        <v/>
      </c>
      <c r="M620" s="47" t="n"/>
      <c r="N620" s="88" t="n">
        <v>45771</v>
      </c>
      <c r="O620" s="156" t="inlineStr">
        <is>
          <t>BIN HUMAID NATIONAL TRADING CO. (ARABIA SAUDITA)</t>
        </is>
      </c>
      <c r="P620" s="154" t="inlineStr">
        <is>
          <t>IMPORT LICENSE N. 7004424417/8/B/81 VALIDA FINO AL 28/04/2027                                                              AUT. ESPORTAZIONE MULTIPLA N. 6B/2025/1M RILASCIATA IL 24/02/2025   (LICENZA DI SCARICO N. 6B/2025/2S RILASCIATA IL 15/04/2025)</t>
        </is>
      </c>
      <c r="Q620" s="150" t="n"/>
      <c r="R620" s="150" t="n"/>
      <c r="S620" s="153" t="n"/>
    </row>
    <row r="621" ht="36" customHeight="1">
      <c r="A621" s="46" t="n">
        <v>2951</v>
      </c>
      <c r="B621" s="4">
        <f>+VLOOKUP($A621,MAGAZZINO!$B$2:$M$100000,2,FALSE)</f>
        <v/>
      </c>
      <c r="C621" s="29">
        <f>+VLOOKUP($A621,MAGAZZINO!$B$2:$M$100000,3,FALSE)</f>
        <v/>
      </c>
      <c r="D621" s="3">
        <f>+VLOOKUP($A621,MAGAZZINO!$B$2:$M$100000,4,FALSE)</f>
        <v/>
      </c>
      <c r="E621" s="3">
        <f>+VLOOKUP($A621,MAGAZZINO!$B$2:$M$100000,5,FALSE)</f>
        <v/>
      </c>
      <c r="F621" s="3">
        <f>+VLOOKUP($A621,MAGAZZINO!$B$2:$M$100000,6,FALSE)</f>
        <v/>
      </c>
      <c r="G621" s="3">
        <f>+VLOOKUP($A621,MAGAZZINO!$B$2:$M$100000,7,FALSE)</f>
        <v/>
      </c>
      <c r="H621" s="3">
        <f>+VLOOKUP($A621,MAGAZZINO!$B$2:$M$100000,8,FALSE)</f>
        <v/>
      </c>
      <c r="I621" s="3">
        <f>+VLOOKUP($A621,MAGAZZINO!$B$2:$M$100000,9,FALSE)</f>
        <v/>
      </c>
      <c r="J621" s="3">
        <f>+VLOOKUP($A621,MAGAZZINO!$B$2:$M$100000,10,FALSE)</f>
        <v/>
      </c>
      <c r="K621" s="3">
        <f>+VLOOKUP($A621,MAGAZZINO!$B$2:$M$100000,11,FALSE)</f>
        <v/>
      </c>
      <c r="L621" s="5">
        <f>+VLOOKUP($A621,MAGAZZINO!$B$2:$M$100000,12,FALSE)</f>
        <v/>
      </c>
      <c r="M621" s="47" t="n"/>
      <c r="N621" s="88" t="n">
        <v>45771</v>
      </c>
      <c r="O621" s="156" t="inlineStr">
        <is>
          <t>BIN HUMAID NATIONAL TRADING CO. (ARABIA SAUDITA)</t>
        </is>
      </c>
      <c r="P621" s="154" t="inlineStr">
        <is>
          <t>IMPORT LICENSE N. 7004424417/8/B/81 VALIDA FINO AL 28/04/2027                                                              AUT. ESPORTAZIONE MULTIPLA N. 6B/2025/1M RILASCIATA IL 24/02/2025   (LICENZA DI SCARICO N. 6B/2025/2S RILASCIATA IL 15/04/2025)</t>
        </is>
      </c>
      <c r="Q621" s="150" t="n"/>
      <c r="R621" s="150" t="n"/>
      <c r="S621" s="153" t="n"/>
    </row>
    <row r="622" ht="36" customHeight="1">
      <c r="A622" s="46" t="n">
        <v>2952</v>
      </c>
      <c r="B622" s="4">
        <f>+VLOOKUP($A622,MAGAZZINO!$B$2:$M$100000,2,FALSE)</f>
        <v/>
      </c>
      <c r="C622" s="29">
        <f>+VLOOKUP($A622,MAGAZZINO!$B$2:$M$100000,3,FALSE)</f>
        <v/>
      </c>
      <c r="D622" s="3">
        <f>+VLOOKUP($A622,MAGAZZINO!$B$2:$M$100000,4,FALSE)</f>
        <v/>
      </c>
      <c r="E622" s="3">
        <f>+VLOOKUP($A622,MAGAZZINO!$B$2:$M$100000,5,FALSE)</f>
        <v/>
      </c>
      <c r="F622" s="3">
        <f>+VLOOKUP($A622,MAGAZZINO!$B$2:$M$100000,6,FALSE)</f>
        <v/>
      </c>
      <c r="G622" s="3">
        <f>+VLOOKUP($A622,MAGAZZINO!$B$2:$M$100000,7,FALSE)</f>
        <v/>
      </c>
      <c r="H622" s="3">
        <f>+VLOOKUP($A622,MAGAZZINO!$B$2:$M$100000,8,FALSE)</f>
        <v/>
      </c>
      <c r="I622" s="3">
        <f>+VLOOKUP($A622,MAGAZZINO!$B$2:$M$100000,9,FALSE)</f>
        <v/>
      </c>
      <c r="J622" s="3">
        <f>+VLOOKUP($A622,MAGAZZINO!$B$2:$M$100000,10,FALSE)</f>
        <v/>
      </c>
      <c r="K622" s="3">
        <f>+VLOOKUP($A622,MAGAZZINO!$B$2:$M$100000,11,FALSE)</f>
        <v/>
      </c>
      <c r="L622" s="5">
        <f>+VLOOKUP($A622,MAGAZZINO!$B$2:$M$100000,12,FALSE)</f>
        <v/>
      </c>
      <c r="M622" s="47" t="n"/>
      <c r="N622" s="88" t="n">
        <v>45771</v>
      </c>
      <c r="O622" s="156" t="inlineStr">
        <is>
          <t>BIN HUMAID NATIONAL TRADING CO. (ARABIA SAUDITA)</t>
        </is>
      </c>
      <c r="P622" s="154" t="inlineStr">
        <is>
          <t>IMPORT LICENSE N. 7004424417/8/B/81 VALIDA FINO AL 28/04/2027                                                              AUT. ESPORTAZIONE MULTIPLA N. 6B/2025/1M RILASCIATA IL 24/02/2025   (LICENZA DI SCARICO N. 6B/2025/2S RILASCIATA IL 15/04/2025)</t>
        </is>
      </c>
      <c r="Q622" s="150" t="n"/>
      <c r="R622" s="150" t="n"/>
      <c r="S622" s="153" t="n"/>
    </row>
    <row r="623" ht="36" customHeight="1">
      <c r="A623" s="46" t="n">
        <v>2953</v>
      </c>
      <c r="B623" s="4">
        <f>+VLOOKUP($A623,MAGAZZINO!$B$2:$M$100000,2,FALSE)</f>
        <v/>
      </c>
      <c r="C623" s="29">
        <f>+VLOOKUP($A623,MAGAZZINO!$B$2:$M$100000,3,FALSE)</f>
        <v/>
      </c>
      <c r="D623" s="3">
        <f>+VLOOKUP($A623,MAGAZZINO!$B$2:$M$100000,4,FALSE)</f>
        <v/>
      </c>
      <c r="E623" s="3">
        <f>+VLOOKUP($A623,MAGAZZINO!$B$2:$M$100000,5,FALSE)</f>
        <v/>
      </c>
      <c r="F623" s="3">
        <f>+VLOOKUP($A623,MAGAZZINO!$B$2:$M$100000,6,FALSE)</f>
        <v/>
      </c>
      <c r="G623" s="3">
        <f>+VLOOKUP($A623,MAGAZZINO!$B$2:$M$100000,7,FALSE)</f>
        <v/>
      </c>
      <c r="H623" s="3">
        <f>+VLOOKUP($A623,MAGAZZINO!$B$2:$M$100000,8,FALSE)</f>
        <v/>
      </c>
      <c r="I623" s="3">
        <f>+VLOOKUP($A623,MAGAZZINO!$B$2:$M$100000,9,FALSE)</f>
        <v/>
      </c>
      <c r="J623" s="3">
        <f>+VLOOKUP($A623,MAGAZZINO!$B$2:$M$100000,10,FALSE)</f>
        <v/>
      </c>
      <c r="K623" s="3">
        <f>+VLOOKUP($A623,MAGAZZINO!$B$2:$M$100000,11,FALSE)</f>
        <v/>
      </c>
      <c r="L623" s="5">
        <f>+VLOOKUP($A623,MAGAZZINO!$B$2:$M$100000,12,FALSE)</f>
        <v/>
      </c>
      <c r="M623" s="47" t="n"/>
      <c r="N623" s="88" t="n">
        <v>45771</v>
      </c>
      <c r="O623" s="156" t="inlineStr">
        <is>
          <t>BIN HUMAID NATIONAL TRADING CO. (ARABIA SAUDITA)</t>
        </is>
      </c>
      <c r="P623" s="154" t="inlineStr">
        <is>
          <t>IMPORT LICENSE N. 7004424417/8/B/81 VALIDA FINO AL 28/04/2027                                                              AUT. ESPORTAZIONE MULTIPLA N. 6B/2025/1M RILASCIATA IL 24/02/2025   (LICENZA DI SCARICO N. 6B/2025/2S RILASCIATA IL 15/04/2025)</t>
        </is>
      </c>
      <c r="Q623" s="150" t="n"/>
      <c r="R623" s="150" t="n"/>
      <c r="S623" s="153" t="n"/>
    </row>
    <row r="624" ht="36" customHeight="1">
      <c r="A624" s="46" t="n">
        <v>2954</v>
      </c>
      <c r="B624" s="4">
        <f>+VLOOKUP($A624,MAGAZZINO!$B$2:$M$100000,2,FALSE)</f>
        <v/>
      </c>
      <c r="C624" s="29">
        <f>+VLOOKUP($A624,MAGAZZINO!$B$2:$M$100000,3,FALSE)</f>
        <v/>
      </c>
      <c r="D624" s="3">
        <f>+VLOOKUP($A624,MAGAZZINO!$B$2:$M$100000,4,FALSE)</f>
        <v/>
      </c>
      <c r="E624" s="3">
        <f>+VLOOKUP($A624,MAGAZZINO!$B$2:$M$100000,5,FALSE)</f>
        <v/>
      </c>
      <c r="F624" s="3">
        <f>+VLOOKUP($A624,MAGAZZINO!$B$2:$M$100000,6,FALSE)</f>
        <v/>
      </c>
      <c r="G624" s="3">
        <f>+VLOOKUP($A624,MAGAZZINO!$B$2:$M$100000,7,FALSE)</f>
        <v/>
      </c>
      <c r="H624" s="3">
        <f>+VLOOKUP($A624,MAGAZZINO!$B$2:$M$100000,8,FALSE)</f>
        <v/>
      </c>
      <c r="I624" s="3">
        <f>+VLOOKUP($A624,MAGAZZINO!$B$2:$M$100000,9,FALSE)</f>
        <v/>
      </c>
      <c r="J624" s="3">
        <f>+VLOOKUP($A624,MAGAZZINO!$B$2:$M$100000,10,FALSE)</f>
        <v/>
      </c>
      <c r="K624" s="3">
        <f>+VLOOKUP($A624,MAGAZZINO!$B$2:$M$100000,11,FALSE)</f>
        <v/>
      </c>
      <c r="L624" s="5">
        <f>+VLOOKUP($A624,MAGAZZINO!$B$2:$M$100000,12,FALSE)</f>
        <v/>
      </c>
      <c r="M624" s="47" t="n"/>
      <c r="N624" s="88" t="n">
        <v>45771</v>
      </c>
      <c r="O624" s="156" t="inlineStr">
        <is>
          <t>BIN HUMAID NATIONAL TRADING CO. (ARABIA SAUDITA)</t>
        </is>
      </c>
      <c r="P624" s="154" t="inlineStr">
        <is>
          <t>IMPORT LICENSE N. 7004424417/8/B/81 VALIDA FINO AL 28/04/2027                                                              AUT. ESPORTAZIONE MULTIPLA N. 6B/2025/1M RILASCIATA IL 24/02/2025   (LICENZA DI SCARICO N. 6B/2025/2S RILASCIATA IL 15/04/2025)</t>
        </is>
      </c>
      <c r="Q624" s="150" t="n"/>
      <c r="R624" s="150" t="n"/>
      <c r="S624" s="153" t="n"/>
    </row>
    <row r="625" ht="36" customHeight="1">
      <c r="A625" s="46" t="n">
        <v>2955</v>
      </c>
      <c r="B625" s="4">
        <f>+VLOOKUP($A625,MAGAZZINO!$B$2:$M$100000,2,FALSE)</f>
        <v/>
      </c>
      <c r="C625" s="29">
        <f>+VLOOKUP($A625,MAGAZZINO!$B$2:$M$100000,3,FALSE)</f>
        <v/>
      </c>
      <c r="D625" s="3">
        <f>+VLOOKUP($A625,MAGAZZINO!$B$2:$M$100000,4,FALSE)</f>
        <v/>
      </c>
      <c r="E625" s="3">
        <f>+VLOOKUP($A625,MAGAZZINO!$B$2:$M$100000,5,FALSE)</f>
        <v/>
      </c>
      <c r="F625" s="3">
        <f>+VLOOKUP($A625,MAGAZZINO!$B$2:$M$100000,6,FALSE)</f>
        <v/>
      </c>
      <c r="G625" s="3">
        <f>+VLOOKUP($A625,MAGAZZINO!$B$2:$M$100000,7,FALSE)</f>
        <v/>
      </c>
      <c r="H625" s="3">
        <f>+VLOOKUP($A625,MAGAZZINO!$B$2:$M$100000,8,FALSE)</f>
        <v/>
      </c>
      <c r="I625" s="3">
        <f>+VLOOKUP($A625,MAGAZZINO!$B$2:$M$100000,9,FALSE)</f>
        <v/>
      </c>
      <c r="J625" s="3">
        <f>+VLOOKUP($A625,MAGAZZINO!$B$2:$M$100000,10,FALSE)</f>
        <v/>
      </c>
      <c r="K625" s="3">
        <f>+VLOOKUP($A625,MAGAZZINO!$B$2:$M$100000,11,FALSE)</f>
        <v/>
      </c>
      <c r="L625" s="5">
        <f>+VLOOKUP($A625,MAGAZZINO!$B$2:$M$100000,12,FALSE)</f>
        <v/>
      </c>
      <c r="M625" s="47" t="n"/>
      <c r="N625" s="88" t="n">
        <v>45771</v>
      </c>
      <c r="O625" s="156" t="inlineStr">
        <is>
          <t>BIN HUMAID NATIONAL TRADING CO. (ARABIA SAUDITA)</t>
        </is>
      </c>
      <c r="P625" s="154" t="inlineStr">
        <is>
          <t>IMPORT LICENSE N. 7004424417/8/B/81 VALIDA FINO AL 28/04/2027                                                              AUT. ESPORTAZIONE MULTIPLA N. 6B/2025/1M RILASCIATA IL 24/02/2025   (LICENZA DI SCARICO N. 6B/2025/2S RILASCIATA IL 15/04/2025)</t>
        </is>
      </c>
      <c r="Q625" s="150" t="n"/>
      <c r="R625" s="150" t="n"/>
      <c r="S625" s="153" t="n"/>
    </row>
    <row r="626" ht="36" customHeight="1">
      <c r="A626" s="46" t="n">
        <v>2956</v>
      </c>
      <c r="B626" s="4">
        <f>+VLOOKUP($A626,MAGAZZINO!$B$2:$M$100000,2,FALSE)</f>
        <v/>
      </c>
      <c r="C626" s="29">
        <f>+VLOOKUP($A626,MAGAZZINO!$B$2:$M$100000,3,FALSE)</f>
        <v/>
      </c>
      <c r="D626" s="3">
        <f>+VLOOKUP($A626,MAGAZZINO!$B$2:$M$100000,4,FALSE)</f>
        <v/>
      </c>
      <c r="E626" s="3">
        <f>+VLOOKUP($A626,MAGAZZINO!$B$2:$M$100000,5,FALSE)</f>
        <v/>
      </c>
      <c r="F626" s="3">
        <f>+VLOOKUP($A626,MAGAZZINO!$B$2:$M$100000,6,FALSE)</f>
        <v/>
      </c>
      <c r="G626" s="3">
        <f>+VLOOKUP($A626,MAGAZZINO!$B$2:$M$100000,7,FALSE)</f>
        <v/>
      </c>
      <c r="H626" s="3">
        <f>+VLOOKUP($A626,MAGAZZINO!$B$2:$M$100000,8,FALSE)</f>
        <v/>
      </c>
      <c r="I626" s="3">
        <f>+VLOOKUP($A626,MAGAZZINO!$B$2:$M$100000,9,FALSE)</f>
        <v/>
      </c>
      <c r="J626" s="3">
        <f>+VLOOKUP($A626,MAGAZZINO!$B$2:$M$100000,10,FALSE)</f>
        <v/>
      </c>
      <c r="K626" s="3">
        <f>+VLOOKUP($A626,MAGAZZINO!$B$2:$M$100000,11,FALSE)</f>
        <v/>
      </c>
      <c r="L626" s="5">
        <f>+VLOOKUP($A626,MAGAZZINO!$B$2:$M$100000,12,FALSE)</f>
        <v/>
      </c>
      <c r="M626" s="47" t="n"/>
      <c r="N626" s="88" t="n">
        <v>45771</v>
      </c>
      <c r="O626" s="156" t="inlineStr">
        <is>
          <t>BIN HUMAID NATIONAL TRADING CO. (ARABIA SAUDITA)</t>
        </is>
      </c>
      <c r="P626" s="154" t="inlineStr">
        <is>
          <t>IMPORT LICENSE N. 7004424417/8/B/81 VALIDA FINO AL 28/04/2027                                                              AUT. ESPORTAZIONE MULTIPLA N. 6B/2025/1M RILASCIATA IL 24/02/2025   (LICENZA DI SCARICO N. 6B/2025/2S RILASCIATA IL 15/04/2025)</t>
        </is>
      </c>
      <c r="Q626" s="150" t="n"/>
      <c r="R626" s="150" t="n"/>
      <c r="S626" s="153" t="n"/>
    </row>
    <row r="627" ht="36" customHeight="1">
      <c r="A627" s="46" t="n">
        <v>2957</v>
      </c>
      <c r="B627" s="4">
        <f>+VLOOKUP($A627,MAGAZZINO!$B$2:$M$100000,2,FALSE)</f>
        <v/>
      </c>
      <c r="C627" s="29">
        <f>+VLOOKUP($A627,MAGAZZINO!$B$2:$M$100000,3,FALSE)</f>
        <v/>
      </c>
      <c r="D627" s="3">
        <f>+VLOOKUP($A627,MAGAZZINO!$B$2:$M$100000,4,FALSE)</f>
        <v/>
      </c>
      <c r="E627" s="3">
        <f>+VLOOKUP($A627,MAGAZZINO!$B$2:$M$100000,5,FALSE)</f>
        <v/>
      </c>
      <c r="F627" s="3">
        <f>+VLOOKUP($A627,MAGAZZINO!$B$2:$M$100000,6,FALSE)</f>
        <v/>
      </c>
      <c r="G627" s="3">
        <f>+VLOOKUP($A627,MAGAZZINO!$B$2:$M$100000,7,FALSE)</f>
        <v/>
      </c>
      <c r="H627" s="3">
        <f>+VLOOKUP($A627,MAGAZZINO!$B$2:$M$100000,8,FALSE)</f>
        <v/>
      </c>
      <c r="I627" s="3">
        <f>+VLOOKUP($A627,MAGAZZINO!$B$2:$M$100000,9,FALSE)</f>
        <v/>
      </c>
      <c r="J627" s="3">
        <f>+VLOOKUP($A627,MAGAZZINO!$B$2:$M$100000,10,FALSE)</f>
        <v/>
      </c>
      <c r="K627" s="3">
        <f>+VLOOKUP($A627,MAGAZZINO!$B$2:$M$100000,11,FALSE)</f>
        <v/>
      </c>
      <c r="L627" s="5">
        <f>+VLOOKUP($A627,MAGAZZINO!$B$2:$M$100000,12,FALSE)</f>
        <v/>
      </c>
      <c r="M627" s="47" t="n"/>
      <c r="N627" s="88" t="n">
        <v>45771</v>
      </c>
      <c r="O627" s="156" t="inlineStr">
        <is>
          <t>BIN HUMAID NATIONAL TRADING CO. (ARABIA SAUDITA)</t>
        </is>
      </c>
      <c r="P627" s="154" t="inlineStr">
        <is>
          <t>IMPORT LICENSE N. 7004424417/8/B/81 VALIDA FINO AL 28/04/2027                                                              AUT. ESPORTAZIONE MULTIPLA N. 6B/2025/1M RILASCIATA IL 24/02/2025   (LICENZA DI SCARICO N. 6B/2025/2S RILASCIATA IL 15/04/2025)</t>
        </is>
      </c>
      <c r="Q627" s="150" t="n"/>
      <c r="R627" s="150" t="n"/>
      <c r="S627" s="153" t="n"/>
    </row>
    <row r="628" ht="36" customHeight="1">
      <c r="A628" s="46" t="n">
        <v>2958</v>
      </c>
      <c r="B628" s="4">
        <f>+VLOOKUP($A628,MAGAZZINO!$B$2:$M$100000,2,FALSE)</f>
        <v/>
      </c>
      <c r="C628" s="29">
        <f>+VLOOKUP($A628,MAGAZZINO!$B$2:$M$100000,3,FALSE)</f>
        <v/>
      </c>
      <c r="D628" s="3">
        <f>+VLOOKUP($A628,MAGAZZINO!$B$2:$M$100000,4,FALSE)</f>
        <v/>
      </c>
      <c r="E628" s="3">
        <f>+VLOOKUP($A628,MAGAZZINO!$B$2:$M$100000,5,FALSE)</f>
        <v/>
      </c>
      <c r="F628" s="3">
        <f>+VLOOKUP($A628,MAGAZZINO!$B$2:$M$100000,6,FALSE)</f>
        <v/>
      </c>
      <c r="G628" s="3">
        <f>+VLOOKUP($A628,MAGAZZINO!$B$2:$M$100000,7,FALSE)</f>
        <v/>
      </c>
      <c r="H628" s="3">
        <f>+VLOOKUP($A628,MAGAZZINO!$B$2:$M$100000,8,FALSE)</f>
        <v/>
      </c>
      <c r="I628" s="3">
        <f>+VLOOKUP($A628,MAGAZZINO!$B$2:$M$100000,9,FALSE)</f>
        <v/>
      </c>
      <c r="J628" s="3">
        <f>+VLOOKUP($A628,MAGAZZINO!$B$2:$M$100000,10,FALSE)</f>
        <v/>
      </c>
      <c r="K628" s="3">
        <f>+VLOOKUP($A628,MAGAZZINO!$B$2:$M$100000,11,FALSE)</f>
        <v/>
      </c>
      <c r="L628" s="5">
        <f>+VLOOKUP($A628,MAGAZZINO!$B$2:$M$100000,12,FALSE)</f>
        <v/>
      </c>
      <c r="M628" s="47" t="n"/>
      <c r="N628" s="88" t="n">
        <v>45771</v>
      </c>
      <c r="O628" s="156" t="inlineStr">
        <is>
          <t>BIN HUMAID NATIONAL TRADING CO. (ARABIA SAUDITA)</t>
        </is>
      </c>
      <c r="P628" s="154" t="inlineStr">
        <is>
          <t>IMPORT LICENSE N. 7004424417/8/B/81 VALIDA FINO AL 28/04/2027                                                              AUT. ESPORTAZIONE MULTIPLA N. 6B/2025/1M RILASCIATA IL 24/02/2025   (LICENZA DI SCARICO N. 6B/2025/2S RILASCIATA IL 15/04/2025)</t>
        </is>
      </c>
      <c r="Q628" s="150" t="n"/>
      <c r="R628" s="150" t="n"/>
      <c r="S628" s="153" t="n"/>
    </row>
    <row r="629" ht="36" customHeight="1">
      <c r="A629" s="46" t="n">
        <v>2959</v>
      </c>
      <c r="B629" s="4">
        <f>+VLOOKUP($A629,MAGAZZINO!$B$2:$M$100000,2,FALSE)</f>
        <v/>
      </c>
      <c r="C629" s="29">
        <f>+VLOOKUP($A629,MAGAZZINO!$B$2:$M$100000,3,FALSE)</f>
        <v/>
      </c>
      <c r="D629" s="3">
        <f>+VLOOKUP($A629,MAGAZZINO!$B$2:$M$100000,4,FALSE)</f>
        <v/>
      </c>
      <c r="E629" s="3">
        <f>+VLOOKUP($A629,MAGAZZINO!$B$2:$M$100000,5,FALSE)</f>
        <v/>
      </c>
      <c r="F629" s="3">
        <f>+VLOOKUP($A629,MAGAZZINO!$B$2:$M$100000,6,FALSE)</f>
        <v/>
      </c>
      <c r="G629" s="3">
        <f>+VLOOKUP($A629,MAGAZZINO!$B$2:$M$100000,7,FALSE)</f>
        <v/>
      </c>
      <c r="H629" s="3">
        <f>+VLOOKUP($A629,MAGAZZINO!$B$2:$M$100000,8,FALSE)</f>
        <v/>
      </c>
      <c r="I629" s="3">
        <f>+VLOOKUP($A629,MAGAZZINO!$B$2:$M$100000,9,FALSE)</f>
        <v/>
      </c>
      <c r="J629" s="3">
        <f>+VLOOKUP($A629,MAGAZZINO!$B$2:$M$100000,10,FALSE)</f>
        <v/>
      </c>
      <c r="K629" s="3">
        <f>+VLOOKUP($A629,MAGAZZINO!$B$2:$M$100000,11,FALSE)</f>
        <v/>
      </c>
      <c r="L629" s="5">
        <f>+VLOOKUP($A629,MAGAZZINO!$B$2:$M$100000,12,FALSE)</f>
        <v/>
      </c>
      <c r="M629" s="47" t="n"/>
      <c r="N629" s="88" t="n">
        <v>45771</v>
      </c>
      <c r="O629" s="156" t="inlineStr">
        <is>
          <t>BIN HUMAID NATIONAL TRADING CO. (ARABIA SAUDITA)</t>
        </is>
      </c>
      <c r="P629" s="154" t="inlineStr">
        <is>
          <t>IMPORT LICENSE N. 7004424417/8/B/81 VALIDA FINO AL 28/04/2027                                                              AUT. ESPORTAZIONE MULTIPLA N. 6B/2025/1M RILASCIATA IL 24/02/2025   (LICENZA DI SCARICO N. 6B/2025/2S RILASCIATA IL 15/04/2025)</t>
        </is>
      </c>
      <c r="Q629" s="150" t="n"/>
      <c r="R629" s="150" t="n"/>
      <c r="S629" s="153" t="n"/>
    </row>
    <row r="630" ht="36" customHeight="1">
      <c r="A630" s="46" t="n">
        <v>2960</v>
      </c>
      <c r="B630" s="4">
        <f>+VLOOKUP($A630,MAGAZZINO!$B$2:$M$100000,2,FALSE)</f>
        <v/>
      </c>
      <c r="C630" s="29">
        <f>+VLOOKUP($A630,MAGAZZINO!$B$2:$M$100000,3,FALSE)</f>
        <v/>
      </c>
      <c r="D630" s="3">
        <f>+VLOOKUP($A630,MAGAZZINO!$B$2:$M$100000,4,FALSE)</f>
        <v/>
      </c>
      <c r="E630" s="3">
        <f>+VLOOKUP($A630,MAGAZZINO!$B$2:$M$100000,5,FALSE)</f>
        <v/>
      </c>
      <c r="F630" s="3">
        <f>+VLOOKUP($A630,MAGAZZINO!$B$2:$M$100000,6,FALSE)</f>
        <v/>
      </c>
      <c r="G630" s="3">
        <f>+VLOOKUP($A630,MAGAZZINO!$B$2:$M$100000,7,FALSE)</f>
        <v/>
      </c>
      <c r="H630" s="3">
        <f>+VLOOKUP($A630,MAGAZZINO!$B$2:$M$100000,8,FALSE)</f>
        <v/>
      </c>
      <c r="I630" s="3">
        <f>+VLOOKUP($A630,MAGAZZINO!$B$2:$M$100000,9,FALSE)</f>
        <v/>
      </c>
      <c r="J630" s="3">
        <f>+VLOOKUP($A630,MAGAZZINO!$B$2:$M$100000,10,FALSE)</f>
        <v/>
      </c>
      <c r="K630" s="3">
        <f>+VLOOKUP($A630,MAGAZZINO!$B$2:$M$100000,11,FALSE)</f>
        <v/>
      </c>
      <c r="L630" s="5">
        <f>+VLOOKUP($A630,MAGAZZINO!$B$2:$M$100000,12,FALSE)</f>
        <v/>
      </c>
      <c r="M630" s="47" t="n"/>
      <c r="N630" s="88" t="n">
        <v>45771</v>
      </c>
      <c r="O630" s="156" t="inlineStr">
        <is>
          <t>BIN HUMAID NATIONAL TRADING CO. (ARABIA SAUDITA)</t>
        </is>
      </c>
      <c r="P630" s="154" t="inlineStr">
        <is>
          <t>IMPORT LICENSE N. 7004424417/8/B/81 VALIDA FINO AL 28/04/2027                                                              AUT. ESPORTAZIONE MULTIPLA N. 6B/2025/1M RILASCIATA IL 24/02/2025   (LICENZA DI SCARICO N. 6B/2025/2S RILASCIATA IL 15/04/2025)</t>
        </is>
      </c>
      <c r="Q630" s="150" t="n"/>
      <c r="R630" s="150" t="n"/>
      <c r="S630" s="153" t="n"/>
    </row>
    <row r="631" ht="36" customHeight="1">
      <c r="A631" s="46" t="n">
        <v>2961</v>
      </c>
      <c r="B631" s="4">
        <f>+VLOOKUP($A631,MAGAZZINO!$B$2:$M$100000,2,FALSE)</f>
        <v/>
      </c>
      <c r="C631" s="29">
        <f>+VLOOKUP($A631,MAGAZZINO!$B$2:$M$100000,3,FALSE)</f>
        <v/>
      </c>
      <c r="D631" s="3">
        <f>+VLOOKUP($A631,MAGAZZINO!$B$2:$M$100000,4,FALSE)</f>
        <v/>
      </c>
      <c r="E631" s="3">
        <f>+VLOOKUP($A631,MAGAZZINO!$B$2:$M$100000,5,FALSE)</f>
        <v/>
      </c>
      <c r="F631" s="3">
        <f>+VLOOKUP($A631,MAGAZZINO!$B$2:$M$100000,6,FALSE)</f>
        <v/>
      </c>
      <c r="G631" s="3">
        <f>+VLOOKUP($A631,MAGAZZINO!$B$2:$M$100000,7,FALSE)</f>
        <v/>
      </c>
      <c r="H631" s="3">
        <f>+VLOOKUP($A631,MAGAZZINO!$B$2:$M$100000,8,FALSE)</f>
        <v/>
      </c>
      <c r="I631" s="3">
        <f>+VLOOKUP($A631,MAGAZZINO!$B$2:$M$100000,9,FALSE)</f>
        <v/>
      </c>
      <c r="J631" s="3">
        <f>+VLOOKUP($A631,MAGAZZINO!$B$2:$M$100000,10,FALSE)</f>
        <v/>
      </c>
      <c r="K631" s="3">
        <f>+VLOOKUP($A631,MAGAZZINO!$B$2:$M$100000,11,FALSE)</f>
        <v/>
      </c>
      <c r="L631" s="5">
        <f>+VLOOKUP($A631,MAGAZZINO!$B$2:$M$100000,12,FALSE)</f>
        <v/>
      </c>
      <c r="M631" s="47" t="n"/>
      <c r="N631" s="88" t="n">
        <v>45771</v>
      </c>
      <c r="O631" s="156" t="inlineStr">
        <is>
          <t>BIN HUMAID NATIONAL TRADING CO. (ARABIA SAUDITA)</t>
        </is>
      </c>
      <c r="P631" s="154" t="inlineStr">
        <is>
          <t>IMPORT LICENSE N. 7004424417/8/B/81 VALIDA FINO AL 28/04/2027                                                              AUT. ESPORTAZIONE MULTIPLA N. 6B/2025/1M RILASCIATA IL 24/02/2025   (LICENZA DI SCARICO N. 6B/2025/2S RILASCIATA IL 15/04/2025)</t>
        </is>
      </c>
      <c r="Q631" s="150" t="n"/>
      <c r="R631" s="150" t="n"/>
      <c r="S631" s="153" t="n"/>
    </row>
    <row r="632" ht="36" customHeight="1">
      <c r="A632" s="46" t="n">
        <v>2962</v>
      </c>
      <c r="B632" s="4">
        <f>+VLOOKUP($A632,MAGAZZINO!$B$2:$M$100000,2,FALSE)</f>
        <v/>
      </c>
      <c r="C632" s="29">
        <f>+VLOOKUP($A632,MAGAZZINO!$B$2:$M$100000,3,FALSE)</f>
        <v/>
      </c>
      <c r="D632" s="3">
        <f>+VLOOKUP($A632,MAGAZZINO!$B$2:$M$100000,4,FALSE)</f>
        <v/>
      </c>
      <c r="E632" s="3">
        <f>+VLOOKUP($A632,MAGAZZINO!$B$2:$M$100000,5,FALSE)</f>
        <v/>
      </c>
      <c r="F632" s="3">
        <f>+VLOOKUP($A632,MAGAZZINO!$B$2:$M$100000,6,FALSE)</f>
        <v/>
      </c>
      <c r="G632" s="3">
        <f>+VLOOKUP($A632,MAGAZZINO!$B$2:$M$100000,7,FALSE)</f>
        <v/>
      </c>
      <c r="H632" s="3">
        <f>+VLOOKUP($A632,MAGAZZINO!$B$2:$M$100000,8,FALSE)</f>
        <v/>
      </c>
      <c r="I632" s="3">
        <f>+VLOOKUP($A632,MAGAZZINO!$B$2:$M$100000,9,FALSE)</f>
        <v/>
      </c>
      <c r="J632" s="3">
        <f>+VLOOKUP($A632,MAGAZZINO!$B$2:$M$100000,10,FALSE)</f>
        <v/>
      </c>
      <c r="K632" s="3">
        <f>+VLOOKUP($A632,MAGAZZINO!$B$2:$M$100000,11,FALSE)</f>
        <v/>
      </c>
      <c r="L632" s="5">
        <f>+VLOOKUP($A632,MAGAZZINO!$B$2:$M$100000,12,FALSE)</f>
        <v/>
      </c>
      <c r="M632" s="47" t="n"/>
      <c r="N632" s="88" t="n">
        <v>45771</v>
      </c>
      <c r="O632" s="156" t="inlineStr">
        <is>
          <t>BIN HUMAID NATIONAL TRADING CO. (ARABIA SAUDITA)</t>
        </is>
      </c>
      <c r="P632" s="154" t="inlineStr">
        <is>
          <t>IMPORT LICENSE N. 7004424417/8/B/81 VALIDA FINO AL 28/04/2027                                                              AUT. ESPORTAZIONE MULTIPLA N. 6B/2025/1M RILASCIATA IL 24/02/2025   (LICENZA DI SCARICO N. 6B/2025/2S RILASCIATA IL 15/04/2025)</t>
        </is>
      </c>
      <c r="Q632" s="150" t="n"/>
      <c r="R632" s="150" t="n"/>
      <c r="S632" s="153" t="n"/>
    </row>
    <row r="633" ht="36" customHeight="1">
      <c r="A633" s="46" t="n">
        <v>2963</v>
      </c>
      <c r="B633" s="4">
        <f>+VLOOKUP($A633,MAGAZZINO!$B$2:$M$100000,2,FALSE)</f>
        <v/>
      </c>
      <c r="C633" s="29">
        <f>+VLOOKUP($A633,MAGAZZINO!$B$2:$M$100000,3,FALSE)</f>
        <v/>
      </c>
      <c r="D633" s="3">
        <f>+VLOOKUP($A633,MAGAZZINO!$B$2:$M$100000,4,FALSE)</f>
        <v/>
      </c>
      <c r="E633" s="3">
        <f>+VLOOKUP($A633,MAGAZZINO!$B$2:$M$100000,5,FALSE)</f>
        <v/>
      </c>
      <c r="F633" s="3">
        <f>+VLOOKUP($A633,MAGAZZINO!$B$2:$M$100000,6,FALSE)</f>
        <v/>
      </c>
      <c r="G633" s="3">
        <f>+VLOOKUP($A633,MAGAZZINO!$B$2:$M$100000,7,FALSE)</f>
        <v/>
      </c>
      <c r="H633" s="3">
        <f>+VLOOKUP($A633,MAGAZZINO!$B$2:$M$100000,8,FALSE)</f>
        <v/>
      </c>
      <c r="I633" s="3">
        <f>+VLOOKUP($A633,MAGAZZINO!$B$2:$M$100000,9,FALSE)</f>
        <v/>
      </c>
      <c r="J633" s="3">
        <f>+VLOOKUP($A633,MAGAZZINO!$B$2:$M$100000,10,FALSE)</f>
        <v/>
      </c>
      <c r="K633" s="3">
        <f>+VLOOKUP($A633,MAGAZZINO!$B$2:$M$100000,11,FALSE)</f>
        <v/>
      </c>
      <c r="L633" s="5">
        <f>+VLOOKUP($A633,MAGAZZINO!$B$2:$M$100000,12,FALSE)</f>
        <v/>
      </c>
      <c r="M633" s="47" t="n"/>
      <c r="N633" s="88" t="n">
        <v>45771</v>
      </c>
      <c r="O633" s="156" t="inlineStr">
        <is>
          <t>BIN HUMAID NATIONAL TRADING CO. (ARABIA SAUDITA)</t>
        </is>
      </c>
      <c r="P633" s="154" t="inlineStr">
        <is>
          <t>IMPORT LICENSE N. 7004424417/8/B/81 VALIDA FINO AL 28/04/2027                                                              AUT. ESPORTAZIONE MULTIPLA N. 6B/2025/1M RILASCIATA IL 24/02/2025   (LICENZA DI SCARICO N. 6B/2025/2S RILASCIATA IL 15/04/2025)</t>
        </is>
      </c>
      <c r="Q633" s="150" t="n"/>
      <c r="R633" s="150" t="n"/>
      <c r="S633" s="153" t="n"/>
    </row>
    <row r="634" ht="36" customHeight="1">
      <c r="A634" s="46" t="n">
        <v>2964</v>
      </c>
      <c r="B634" s="4">
        <f>+VLOOKUP($A634,MAGAZZINO!$B$2:$M$100000,2,FALSE)</f>
        <v/>
      </c>
      <c r="C634" s="29">
        <f>+VLOOKUP($A634,MAGAZZINO!$B$2:$M$100000,3,FALSE)</f>
        <v/>
      </c>
      <c r="D634" s="3">
        <f>+VLOOKUP($A634,MAGAZZINO!$B$2:$M$100000,4,FALSE)</f>
        <v/>
      </c>
      <c r="E634" s="3">
        <f>+VLOOKUP($A634,MAGAZZINO!$B$2:$M$100000,5,FALSE)</f>
        <v/>
      </c>
      <c r="F634" s="3">
        <f>+VLOOKUP($A634,MAGAZZINO!$B$2:$M$100000,6,FALSE)</f>
        <v/>
      </c>
      <c r="G634" s="3">
        <f>+VLOOKUP($A634,MAGAZZINO!$B$2:$M$100000,7,FALSE)</f>
        <v/>
      </c>
      <c r="H634" s="3">
        <f>+VLOOKUP($A634,MAGAZZINO!$B$2:$M$100000,8,FALSE)</f>
        <v/>
      </c>
      <c r="I634" s="3">
        <f>+VLOOKUP($A634,MAGAZZINO!$B$2:$M$100000,9,FALSE)</f>
        <v/>
      </c>
      <c r="J634" s="3">
        <f>+VLOOKUP($A634,MAGAZZINO!$B$2:$M$100000,10,FALSE)</f>
        <v/>
      </c>
      <c r="K634" s="3">
        <f>+VLOOKUP($A634,MAGAZZINO!$B$2:$M$100000,11,FALSE)</f>
        <v/>
      </c>
      <c r="L634" s="5">
        <f>+VLOOKUP($A634,MAGAZZINO!$B$2:$M$100000,12,FALSE)</f>
        <v/>
      </c>
      <c r="M634" s="47" t="n"/>
      <c r="N634" s="88" t="n">
        <v>45771</v>
      </c>
      <c r="O634" s="156" t="inlineStr">
        <is>
          <t>BIN HUMAID NATIONAL TRADING CO. (ARABIA SAUDITA)</t>
        </is>
      </c>
      <c r="P634" s="154" t="inlineStr">
        <is>
          <t>IMPORT LICENSE N. 7004424417/8/B/81 VALIDA FINO AL 28/04/2027                                                              AUT. ESPORTAZIONE MULTIPLA N. 6B/2025/1M RILASCIATA IL 24/02/2025   (LICENZA DI SCARICO N. 6B/2025/2S RILASCIATA IL 15/04/2025)</t>
        </is>
      </c>
      <c r="Q634" s="150" t="n"/>
      <c r="R634" s="150" t="n"/>
      <c r="S634" s="153" t="n"/>
    </row>
    <row r="635" ht="36" customHeight="1">
      <c r="A635" s="46" t="n">
        <v>2965</v>
      </c>
      <c r="B635" s="4">
        <f>+VLOOKUP($A635,MAGAZZINO!$B$2:$M$100000,2,FALSE)</f>
        <v/>
      </c>
      <c r="C635" s="29">
        <f>+VLOOKUP($A635,MAGAZZINO!$B$2:$M$100000,3,FALSE)</f>
        <v/>
      </c>
      <c r="D635" s="3">
        <f>+VLOOKUP($A635,MAGAZZINO!$B$2:$M$100000,4,FALSE)</f>
        <v/>
      </c>
      <c r="E635" s="3">
        <f>+VLOOKUP($A635,MAGAZZINO!$B$2:$M$100000,5,FALSE)</f>
        <v/>
      </c>
      <c r="F635" s="3">
        <f>+VLOOKUP($A635,MAGAZZINO!$B$2:$M$100000,6,FALSE)</f>
        <v/>
      </c>
      <c r="G635" s="3">
        <f>+VLOOKUP($A635,MAGAZZINO!$B$2:$M$100000,7,FALSE)</f>
        <v/>
      </c>
      <c r="H635" s="3">
        <f>+VLOOKUP($A635,MAGAZZINO!$B$2:$M$100000,8,FALSE)</f>
        <v/>
      </c>
      <c r="I635" s="3">
        <f>+VLOOKUP($A635,MAGAZZINO!$B$2:$M$100000,9,FALSE)</f>
        <v/>
      </c>
      <c r="J635" s="3">
        <f>+VLOOKUP($A635,MAGAZZINO!$B$2:$M$100000,10,FALSE)</f>
        <v/>
      </c>
      <c r="K635" s="3">
        <f>+VLOOKUP($A635,MAGAZZINO!$B$2:$M$100000,11,FALSE)</f>
        <v/>
      </c>
      <c r="L635" s="5">
        <f>+VLOOKUP($A635,MAGAZZINO!$B$2:$M$100000,12,FALSE)</f>
        <v/>
      </c>
      <c r="M635" s="47" t="n"/>
      <c r="N635" s="88" t="n">
        <v>45771</v>
      </c>
      <c r="O635" s="156" t="inlineStr">
        <is>
          <t>BIN HUMAID NATIONAL TRADING CO. (ARABIA SAUDITA)</t>
        </is>
      </c>
      <c r="P635" s="154" t="inlineStr">
        <is>
          <t>IMPORT LICENSE N. 7004424417/8/B/81 VALIDA FINO AL 28/04/2027                                                              AUT. ESPORTAZIONE MULTIPLA N. 6B/2025/1M RILASCIATA IL 24/02/2025   (LICENZA DI SCARICO N. 6B/2025/2S RILASCIATA IL 15/04/2025)</t>
        </is>
      </c>
      <c r="Q635" s="150" t="n"/>
      <c r="R635" s="150" t="n"/>
      <c r="S635" s="153" t="n"/>
    </row>
    <row r="636" ht="36" customHeight="1">
      <c r="A636" s="46" t="n">
        <v>2966</v>
      </c>
      <c r="B636" s="4">
        <f>+VLOOKUP($A636,MAGAZZINO!$B$2:$M$100000,2,FALSE)</f>
        <v/>
      </c>
      <c r="C636" s="29">
        <f>+VLOOKUP($A636,MAGAZZINO!$B$2:$M$100000,3,FALSE)</f>
        <v/>
      </c>
      <c r="D636" s="3">
        <f>+VLOOKUP($A636,MAGAZZINO!$B$2:$M$100000,4,FALSE)</f>
        <v/>
      </c>
      <c r="E636" s="3">
        <f>+VLOOKUP($A636,MAGAZZINO!$B$2:$M$100000,5,FALSE)</f>
        <v/>
      </c>
      <c r="F636" s="3">
        <f>+VLOOKUP($A636,MAGAZZINO!$B$2:$M$100000,6,FALSE)</f>
        <v/>
      </c>
      <c r="G636" s="3">
        <f>+VLOOKUP($A636,MAGAZZINO!$B$2:$M$100000,7,FALSE)</f>
        <v/>
      </c>
      <c r="H636" s="3">
        <f>+VLOOKUP($A636,MAGAZZINO!$B$2:$M$100000,8,FALSE)</f>
        <v/>
      </c>
      <c r="I636" s="3">
        <f>+VLOOKUP($A636,MAGAZZINO!$B$2:$M$100000,9,FALSE)</f>
        <v/>
      </c>
      <c r="J636" s="3">
        <f>+VLOOKUP($A636,MAGAZZINO!$B$2:$M$100000,10,FALSE)</f>
        <v/>
      </c>
      <c r="K636" s="3">
        <f>+VLOOKUP($A636,MAGAZZINO!$B$2:$M$100000,11,FALSE)</f>
        <v/>
      </c>
      <c r="L636" s="5">
        <f>+VLOOKUP($A636,MAGAZZINO!$B$2:$M$100000,12,FALSE)</f>
        <v/>
      </c>
      <c r="M636" s="47" t="n"/>
      <c r="N636" s="88" t="n">
        <v>45771</v>
      </c>
      <c r="O636" s="156" t="inlineStr">
        <is>
          <t>BIN HUMAID NATIONAL TRADING CO. (ARABIA SAUDITA)</t>
        </is>
      </c>
      <c r="P636" s="154" t="inlineStr">
        <is>
          <t>IMPORT LICENSE N. 7004424417/8/B/81 VALIDA FINO AL 28/04/2027                                                              AUT. ESPORTAZIONE MULTIPLA N. 6B/2025/1M RILASCIATA IL 24/02/2025   (LICENZA DI SCARICO N. 6B/2025/2S RILASCIATA IL 15/04/2025)</t>
        </is>
      </c>
      <c r="Q636" s="150" t="n"/>
      <c r="R636" s="150" t="n"/>
      <c r="S636" s="153" t="n"/>
    </row>
    <row r="637" ht="36" customHeight="1">
      <c r="A637" s="46" t="n">
        <v>2967</v>
      </c>
      <c r="B637" s="4">
        <f>+VLOOKUP($A637,MAGAZZINO!$B$2:$M$100000,2,FALSE)</f>
        <v/>
      </c>
      <c r="C637" s="29">
        <f>+VLOOKUP($A637,MAGAZZINO!$B$2:$M$100000,3,FALSE)</f>
        <v/>
      </c>
      <c r="D637" s="3">
        <f>+VLOOKUP($A637,MAGAZZINO!$B$2:$M$100000,4,FALSE)</f>
        <v/>
      </c>
      <c r="E637" s="3">
        <f>+VLOOKUP($A637,MAGAZZINO!$B$2:$M$100000,5,FALSE)</f>
        <v/>
      </c>
      <c r="F637" s="3">
        <f>+VLOOKUP($A637,MAGAZZINO!$B$2:$M$100000,6,FALSE)</f>
        <v/>
      </c>
      <c r="G637" s="3">
        <f>+VLOOKUP($A637,MAGAZZINO!$B$2:$M$100000,7,FALSE)</f>
        <v/>
      </c>
      <c r="H637" s="3">
        <f>+VLOOKUP($A637,MAGAZZINO!$B$2:$M$100000,8,FALSE)</f>
        <v/>
      </c>
      <c r="I637" s="3">
        <f>+VLOOKUP($A637,MAGAZZINO!$B$2:$M$100000,9,FALSE)</f>
        <v/>
      </c>
      <c r="J637" s="3">
        <f>+VLOOKUP($A637,MAGAZZINO!$B$2:$M$100000,10,FALSE)</f>
        <v/>
      </c>
      <c r="K637" s="3">
        <f>+VLOOKUP($A637,MAGAZZINO!$B$2:$M$100000,11,FALSE)</f>
        <v/>
      </c>
      <c r="L637" s="5">
        <f>+VLOOKUP($A637,MAGAZZINO!$B$2:$M$100000,12,FALSE)</f>
        <v/>
      </c>
      <c r="M637" s="47" t="n"/>
      <c r="N637" s="88" t="n">
        <v>45771</v>
      </c>
      <c r="O637" s="156" t="inlineStr">
        <is>
          <t>BIN HUMAID NATIONAL TRADING CO. (ARABIA SAUDITA)</t>
        </is>
      </c>
      <c r="P637" s="154" t="inlineStr">
        <is>
          <t>IMPORT LICENSE N. 7004424417/8/B/81 VALIDA FINO AL 28/04/2027                                                              AUT. ESPORTAZIONE MULTIPLA N. 6B/2025/1M RILASCIATA IL 24/02/2025   (LICENZA DI SCARICO N. 6B/2025/2S RILASCIATA IL 15/04/2025)</t>
        </is>
      </c>
      <c r="Q637" s="150" t="n"/>
      <c r="R637" s="150" t="n"/>
      <c r="S637" s="153" t="n"/>
    </row>
    <row r="638" ht="36" customHeight="1">
      <c r="A638" s="46" t="n">
        <v>2968</v>
      </c>
      <c r="B638" s="4">
        <f>+VLOOKUP($A638,MAGAZZINO!$B$2:$M$100000,2,FALSE)</f>
        <v/>
      </c>
      <c r="C638" s="29">
        <f>+VLOOKUP($A638,MAGAZZINO!$B$2:$M$100000,3,FALSE)</f>
        <v/>
      </c>
      <c r="D638" s="3">
        <f>+VLOOKUP($A638,MAGAZZINO!$B$2:$M$100000,4,FALSE)</f>
        <v/>
      </c>
      <c r="E638" s="3">
        <f>+VLOOKUP($A638,MAGAZZINO!$B$2:$M$100000,5,FALSE)</f>
        <v/>
      </c>
      <c r="F638" s="3">
        <f>+VLOOKUP($A638,MAGAZZINO!$B$2:$M$100000,6,FALSE)</f>
        <v/>
      </c>
      <c r="G638" s="3">
        <f>+VLOOKUP($A638,MAGAZZINO!$B$2:$M$100000,7,FALSE)</f>
        <v/>
      </c>
      <c r="H638" s="3">
        <f>+VLOOKUP($A638,MAGAZZINO!$B$2:$M$100000,8,FALSE)</f>
        <v/>
      </c>
      <c r="I638" s="3">
        <f>+VLOOKUP($A638,MAGAZZINO!$B$2:$M$100000,9,FALSE)</f>
        <v/>
      </c>
      <c r="J638" s="3">
        <f>+VLOOKUP($A638,MAGAZZINO!$B$2:$M$100000,10,FALSE)</f>
        <v/>
      </c>
      <c r="K638" s="3">
        <f>+VLOOKUP($A638,MAGAZZINO!$B$2:$M$100000,11,FALSE)</f>
        <v/>
      </c>
      <c r="L638" s="5">
        <f>+VLOOKUP($A638,MAGAZZINO!$B$2:$M$100000,12,FALSE)</f>
        <v/>
      </c>
      <c r="M638" s="47" t="n"/>
      <c r="N638" s="88" t="n">
        <v>45771</v>
      </c>
      <c r="O638" s="156" t="inlineStr">
        <is>
          <t>BIN HUMAID NATIONAL TRADING CO. (ARABIA SAUDITA)</t>
        </is>
      </c>
      <c r="P638" s="154" t="inlineStr">
        <is>
          <t>IMPORT LICENSE N. 7004424417/8/B/81 VALIDA FINO AL 28/04/2027                                                              AUT. ESPORTAZIONE MULTIPLA N. 6B/2025/1M RILASCIATA IL 24/02/2025   (LICENZA DI SCARICO N. 6B/2025/2S RILASCIATA IL 15/04/2025)</t>
        </is>
      </c>
      <c r="Q638" s="150" t="n"/>
      <c r="R638" s="150" t="n"/>
      <c r="S638" s="153" t="n"/>
    </row>
    <row r="639" ht="36" customHeight="1">
      <c r="A639" s="46" t="n">
        <v>2969</v>
      </c>
      <c r="B639" s="4">
        <f>+VLOOKUP($A639,MAGAZZINO!$B$2:$M$100000,2,FALSE)</f>
        <v/>
      </c>
      <c r="C639" s="29">
        <f>+VLOOKUP($A639,MAGAZZINO!$B$2:$M$100000,3,FALSE)</f>
        <v/>
      </c>
      <c r="D639" s="3">
        <f>+VLOOKUP($A639,MAGAZZINO!$B$2:$M$100000,4,FALSE)</f>
        <v/>
      </c>
      <c r="E639" s="3">
        <f>+VLOOKUP($A639,MAGAZZINO!$B$2:$M$100000,5,FALSE)</f>
        <v/>
      </c>
      <c r="F639" s="3">
        <f>+VLOOKUP($A639,MAGAZZINO!$B$2:$M$100000,6,FALSE)</f>
        <v/>
      </c>
      <c r="G639" s="3">
        <f>+VLOOKUP($A639,MAGAZZINO!$B$2:$M$100000,7,FALSE)</f>
        <v/>
      </c>
      <c r="H639" s="3">
        <f>+VLOOKUP($A639,MAGAZZINO!$B$2:$M$100000,8,FALSE)</f>
        <v/>
      </c>
      <c r="I639" s="3">
        <f>+VLOOKUP($A639,MAGAZZINO!$B$2:$M$100000,9,FALSE)</f>
        <v/>
      </c>
      <c r="J639" s="3">
        <f>+VLOOKUP($A639,MAGAZZINO!$B$2:$M$100000,10,FALSE)</f>
        <v/>
      </c>
      <c r="K639" s="3">
        <f>+VLOOKUP($A639,MAGAZZINO!$B$2:$M$100000,11,FALSE)</f>
        <v/>
      </c>
      <c r="L639" s="5">
        <f>+VLOOKUP($A639,MAGAZZINO!$B$2:$M$100000,12,FALSE)</f>
        <v/>
      </c>
      <c r="M639" s="47" t="n"/>
      <c r="N639" s="88" t="n">
        <v>45771</v>
      </c>
      <c r="O639" s="156" t="inlineStr">
        <is>
          <t>BIN HUMAID NATIONAL TRADING CO. (ARABIA SAUDITA)</t>
        </is>
      </c>
      <c r="P639" s="154" t="inlineStr">
        <is>
          <t>IMPORT LICENSE N. 7004424417/8/B/81 VALIDA FINO AL 28/04/2027                                                              AUT. ESPORTAZIONE MULTIPLA N. 6B/2025/1M RILASCIATA IL 24/02/2025   (LICENZA DI SCARICO N. 6B/2025/2S RILASCIATA IL 15/04/2025)</t>
        </is>
      </c>
      <c r="Q639" s="150" t="n"/>
      <c r="R639" s="150" t="n"/>
      <c r="S639" s="153" t="n"/>
    </row>
    <row r="640" ht="36" customHeight="1">
      <c r="A640" s="46" t="n">
        <v>2970</v>
      </c>
      <c r="B640" s="4">
        <f>+VLOOKUP($A640,MAGAZZINO!$B$2:$M$100000,2,FALSE)</f>
        <v/>
      </c>
      <c r="C640" s="29">
        <f>+VLOOKUP($A640,MAGAZZINO!$B$2:$M$100000,3,FALSE)</f>
        <v/>
      </c>
      <c r="D640" s="3">
        <f>+VLOOKUP($A640,MAGAZZINO!$B$2:$M$100000,4,FALSE)</f>
        <v/>
      </c>
      <c r="E640" s="3">
        <f>+VLOOKUP($A640,MAGAZZINO!$B$2:$M$100000,5,FALSE)</f>
        <v/>
      </c>
      <c r="F640" s="3">
        <f>+VLOOKUP($A640,MAGAZZINO!$B$2:$M$100000,6,FALSE)</f>
        <v/>
      </c>
      <c r="G640" s="3">
        <f>+VLOOKUP($A640,MAGAZZINO!$B$2:$M$100000,7,FALSE)</f>
        <v/>
      </c>
      <c r="H640" s="3">
        <f>+VLOOKUP($A640,MAGAZZINO!$B$2:$M$100000,8,FALSE)</f>
        <v/>
      </c>
      <c r="I640" s="3">
        <f>+VLOOKUP($A640,MAGAZZINO!$B$2:$M$100000,9,FALSE)</f>
        <v/>
      </c>
      <c r="J640" s="3">
        <f>+VLOOKUP($A640,MAGAZZINO!$B$2:$M$100000,10,FALSE)</f>
        <v/>
      </c>
      <c r="K640" s="3">
        <f>+VLOOKUP($A640,MAGAZZINO!$B$2:$M$100000,11,FALSE)</f>
        <v/>
      </c>
      <c r="L640" s="5">
        <f>+VLOOKUP($A640,MAGAZZINO!$B$2:$M$100000,12,FALSE)</f>
        <v/>
      </c>
      <c r="M640" s="47" t="n"/>
      <c r="N640" s="88" t="n">
        <v>45771</v>
      </c>
      <c r="O640" s="156" t="inlineStr">
        <is>
          <t>BIN HUMAID NATIONAL TRADING CO. (ARABIA SAUDITA)</t>
        </is>
      </c>
      <c r="P640" s="154" t="inlineStr">
        <is>
          <t>IMPORT LICENSE N. 7004424417/8/B/81 VALIDA FINO AL 28/04/2027                                                              AUT. ESPORTAZIONE MULTIPLA N. 6B/2025/1M RILASCIATA IL 24/02/2025   (LICENZA DI SCARICO N. 6B/2025/2S RILASCIATA IL 15/04/2025)</t>
        </is>
      </c>
      <c r="Q640" s="150" t="n"/>
      <c r="R640" s="150" t="n"/>
      <c r="S640" s="153" t="n"/>
    </row>
    <row r="641" ht="36" customHeight="1">
      <c r="A641" s="46" t="n">
        <v>2971</v>
      </c>
      <c r="B641" s="4">
        <f>+VLOOKUP($A641,MAGAZZINO!$B$2:$M$100000,2,FALSE)</f>
        <v/>
      </c>
      <c r="C641" s="29">
        <f>+VLOOKUP($A641,MAGAZZINO!$B$2:$M$100000,3,FALSE)</f>
        <v/>
      </c>
      <c r="D641" s="3">
        <f>+VLOOKUP($A641,MAGAZZINO!$B$2:$M$100000,4,FALSE)</f>
        <v/>
      </c>
      <c r="E641" s="3">
        <f>+VLOOKUP($A641,MAGAZZINO!$B$2:$M$100000,5,FALSE)</f>
        <v/>
      </c>
      <c r="F641" s="3">
        <f>+VLOOKUP($A641,MAGAZZINO!$B$2:$M$100000,6,FALSE)</f>
        <v/>
      </c>
      <c r="G641" s="3">
        <f>+VLOOKUP($A641,MAGAZZINO!$B$2:$M$100000,7,FALSE)</f>
        <v/>
      </c>
      <c r="H641" s="3">
        <f>+VLOOKUP($A641,MAGAZZINO!$B$2:$M$100000,8,FALSE)</f>
        <v/>
      </c>
      <c r="I641" s="3">
        <f>+VLOOKUP($A641,MAGAZZINO!$B$2:$M$100000,9,FALSE)</f>
        <v/>
      </c>
      <c r="J641" s="3">
        <f>+VLOOKUP($A641,MAGAZZINO!$B$2:$M$100000,10,FALSE)</f>
        <v/>
      </c>
      <c r="K641" s="3">
        <f>+VLOOKUP($A641,MAGAZZINO!$B$2:$M$100000,11,FALSE)</f>
        <v/>
      </c>
      <c r="L641" s="5">
        <f>+VLOOKUP($A641,MAGAZZINO!$B$2:$M$100000,12,FALSE)</f>
        <v/>
      </c>
      <c r="M641" s="47" t="n"/>
      <c r="N641" s="88" t="n">
        <v>45771</v>
      </c>
      <c r="O641" s="156" t="inlineStr">
        <is>
          <t>BIN HUMAID NATIONAL TRADING CO. (ARABIA SAUDITA)</t>
        </is>
      </c>
      <c r="P641" s="154" t="inlineStr">
        <is>
          <t>IMPORT LICENSE N. 7004424417/8/B/81 VALIDA FINO AL 28/04/2027                                                              AUT. ESPORTAZIONE MULTIPLA N. 6B/2025/1M RILASCIATA IL 24/02/2025   (LICENZA DI SCARICO N. 6B/2025/2S RILASCIATA IL 15/04/2025)</t>
        </is>
      </c>
      <c r="Q641" s="150" t="n"/>
      <c r="R641" s="150" t="n"/>
      <c r="S641" s="153" t="n"/>
    </row>
    <row r="642" ht="36" customHeight="1">
      <c r="A642" s="46" t="n">
        <v>2972</v>
      </c>
      <c r="B642" s="4">
        <f>+VLOOKUP($A642,MAGAZZINO!$B$2:$M$100000,2,FALSE)</f>
        <v/>
      </c>
      <c r="C642" s="29">
        <f>+VLOOKUP($A642,MAGAZZINO!$B$2:$M$100000,3,FALSE)</f>
        <v/>
      </c>
      <c r="D642" s="3">
        <f>+VLOOKUP($A642,MAGAZZINO!$B$2:$M$100000,4,FALSE)</f>
        <v/>
      </c>
      <c r="E642" s="3">
        <f>+VLOOKUP($A642,MAGAZZINO!$B$2:$M$100000,5,FALSE)</f>
        <v/>
      </c>
      <c r="F642" s="3">
        <f>+VLOOKUP($A642,MAGAZZINO!$B$2:$M$100000,6,FALSE)</f>
        <v/>
      </c>
      <c r="G642" s="3">
        <f>+VLOOKUP($A642,MAGAZZINO!$B$2:$M$100000,7,FALSE)</f>
        <v/>
      </c>
      <c r="H642" s="3">
        <f>+VLOOKUP($A642,MAGAZZINO!$B$2:$M$100000,8,FALSE)</f>
        <v/>
      </c>
      <c r="I642" s="3">
        <f>+VLOOKUP($A642,MAGAZZINO!$B$2:$M$100000,9,FALSE)</f>
        <v/>
      </c>
      <c r="J642" s="3">
        <f>+VLOOKUP($A642,MAGAZZINO!$B$2:$M$100000,10,FALSE)</f>
        <v/>
      </c>
      <c r="K642" s="3">
        <f>+VLOOKUP($A642,MAGAZZINO!$B$2:$M$100000,11,FALSE)</f>
        <v/>
      </c>
      <c r="L642" s="5">
        <f>+VLOOKUP($A642,MAGAZZINO!$B$2:$M$100000,12,FALSE)</f>
        <v/>
      </c>
      <c r="M642" s="47" t="n"/>
      <c r="N642" s="88" t="n">
        <v>45771</v>
      </c>
      <c r="O642" s="156" t="inlineStr">
        <is>
          <t>BIN HUMAID NATIONAL TRADING CO. (ARABIA SAUDITA)</t>
        </is>
      </c>
      <c r="P642" s="154" t="inlineStr">
        <is>
          <t>IMPORT LICENSE N. 7004424417/8/B/81 VALIDA FINO AL 28/04/2027                                                              AUT. ESPORTAZIONE MULTIPLA N. 6B/2025/1M RILASCIATA IL 24/02/2025   (LICENZA DI SCARICO N. 6B/2025/2S RILASCIATA IL 15/04/2025)</t>
        </is>
      </c>
      <c r="Q642" s="150" t="n"/>
      <c r="R642" s="150" t="n"/>
      <c r="S642" s="153" t="n"/>
    </row>
    <row r="643" ht="36" customHeight="1">
      <c r="A643" s="46" t="n">
        <v>2973</v>
      </c>
      <c r="B643" s="4">
        <f>+VLOOKUP($A643,MAGAZZINO!$B$2:$M$100000,2,FALSE)</f>
        <v/>
      </c>
      <c r="C643" s="29">
        <f>+VLOOKUP($A643,MAGAZZINO!$B$2:$M$100000,3,FALSE)</f>
        <v/>
      </c>
      <c r="D643" s="3">
        <f>+VLOOKUP($A643,MAGAZZINO!$B$2:$M$100000,4,FALSE)</f>
        <v/>
      </c>
      <c r="E643" s="3">
        <f>+VLOOKUP($A643,MAGAZZINO!$B$2:$M$100000,5,FALSE)</f>
        <v/>
      </c>
      <c r="F643" s="3">
        <f>+VLOOKUP($A643,MAGAZZINO!$B$2:$M$100000,6,FALSE)</f>
        <v/>
      </c>
      <c r="G643" s="3">
        <f>+VLOOKUP($A643,MAGAZZINO!$B$2:$M$100000,7,FALSE)</f>
        <v/>
      </c>
      <c r="H643" s="3">
        <f>+VLOOKUP($A643,MAGAZZINO!$B$2:$M$100000,8,FALSE)</f>
        <v/>
      </c>
      <c r="I643" s="3">
        <f>+VLOOKUP($A643,MAGAZZINO!$B$2:$M$100000,9,FALSE)</f>
        <v/>
      </c>
      <c r="J643" s="3">
        <f>+VLOOKUP($A643,MAGAZZINO!$B$2:$M$100000,10,FALSE)</f>
        <v/>
      </c>
      <c r="K643" s="3">
        <f>+VLOOKUP($A643,MAGAZZINO!$B$2:$M$100000,11,FALSE)</f>
        <v/>
      </c>
      <c r="L643" s="5">
        <f>+VLOOKUP($A643,MAGAZZINO!$B$2:$M$100000,12,FALSE)</f>
        <v/>
      </c>
      <c r="M643" s="47" t="n"/>
      <c r="N643" s="88" t="n">
        <v>45771</v>
      </c>
      <c r="O643" s="156" t="inlineStr">
        <is>
          <t>BIN HUMAID NATIONAL TRADING CO. (ARABIA SAUDITA)</t>
        </is>
      </c>
      <c r="P643" s="154" t="inlineStr">
        <is>
          <t>IMPORT LICENSE N. 7004424417/8/B/81 VALIDA FINO AL 28/04/2027                                                              AUT. ESPORTAZIONE MULTIPLA N. 6B/2025/1M RILASCIATA IL 24/02/2025   (LICENZA DI SCARICO N. 6B/2025/2S RILASCIATA IL 15/04/2025)</t>
        </is>
      </c>
      <c r="Q643" s="150" t="n"/>
      <c r="R643" s="150" t="n"/>
      <c r="S643" s="153" t="n"/>
    </row>
    <row r="644" ht="36" customHeight="1">
      <c r="A644" s="46" t="n">
        <v>2974</v>
      </c>
      <c r="B644" s="4">
        <f>+VLOOKUP($A644,MAGAZZINO!$B$2:$M$100000,2,FALSE)</f>
        <v/>
      </c>
      <c r="C644" s="29">
        <f>+VLOOKUP($A644,MAGAZZINO!$B$2:$M$100000,3,FALSE)</f>
        <v/>
      </c>
      <c r="D644" s="3">
        <f>+VLOOKUP($A644,MAGAZZINO!$B$2:$M$100000,4,FALSE)</f>
        <v/>
      </c>
      <c r="E644" s="3">
        <f>+VLOOKUP($A644,MAGAZZINO!$B$2:$M$100000,5,FALSE)</f>
        <v/>
      </c>
      <c r="F644" s="3">
        <f>+VLOOKUP($A644,MAGAZZINO!$B$2:$M$100000,6,FALSE)</f>
        <v/>
      </c>
      <c r="G644" s="3">
        <f>+VLOOKUP($A644,MAGAZZINO!$B$2:$M$100000,7,FALSE)</f>
        <v/>
      </c>
      <c r="H644" s="3">
        <f>+VLOOKUP($A644,MAGAZZINO!$B$2:$M$100000,8,FALSE)</f>
        <v/>
      </c>
      <c r="I644" s="3">
        <f>+VLOOKUP($A644,MAGAZZINO!$B$2:$M$100000,9,FALSE)</f>
        <v/>
      </c>
      <c r="J644" s="3">
        <f>+VLOOKUP($A644,MAGAZZINO!$B$2:$M$100000,10,FALSE)</f>
        <v/>
      </c>
      <c r="K644" s="3">
        <f>+VLOOKUP($A644,MAGAZZINO!$B$2:$M$100000,11,FALSE)</f>
        <v/>
      </c>
      <c r="L644" s="5">
        <f>+VLOOKUP($A644,MAGAZZINO!$B$2:$M$100000,12,FALSE)</f>
        <v/>
      </c>
      <c r="M644" s="47" t="n"/>
      <c r="N644" s="88" t="n">
        <v>45771</v>
      </c>
      <c r="O644" s="156" t="inlineStr">
        <is>
          <t>BIN HUMAID NATIONAL TRADING CO. (ARABIA SAUDITA)</t>
        </is>
      </c>
      <c r="P644" s="154" t="inlineStr">
        <is>
          <t>IMPORT LICENSE N. 7004424417/8/B/81 VALIDA FINO AL 28/04/2027                                                              AUT. ESPORTAZIONE MULTIPLA N. 6B/2025/1M RILASCIATA IL 24/02/2025   (LICENZA DI SCARICO N. 6B/2025/2S RILASCIATA IL 15/04/2025)</t>
        </is>
      </c>
      <c r="Q644" s="150" t="n"/>
      <c r="R644" s="150" t="n"/>
      <c r="S644" s="153" t="n"/>
    </row>
    <row r="645" ht="36" customHeight="1">
      <c r="A645" s="46" t="n">
        <v>2975</v>
      </c>
      <c r="B645" s="4">
        <f>+VLOOKUP($A645,MAGAZZINO!$B$2:$M$100000,2,FALSE)</f>
        <v/>
      </c>
      <c r="C645" s="29">
        <f>+VLOOKUP($A645,MAGAZZINO!$B$2:$M$100000,3,FALSE)</f>
        <v/>
      </c>
      <c r="D645" s="3">
        <f>+VLOOKUP($A645,MAGAZZINO!$B$2:$M$100000,4,FALSE)</f>
        <v/>
      </c>
      <c r="E645" s="3">
        <f>+VLOOKUP($A645,MAGAZZINO!$B$2:$M$100000,5,FALSE)</f>
        <v/>
      </c>
      <c r="F645" s="3">
        <f>+VLOOKUP($A645,MAGAZZINO!$B$2:$M$100000,6,FALSE)</f>
        <v/>
      </c>
      <c r="G645" s="3">
        <f>+VLOOKUP($A645,MAGAZZINO!$B$2:$M$100000,7,FALSE)</f>
        <v/>
      </c>
      <c r="H645" s="3">
        <f>+VLOOKUP($A645,MAGAZZINO!$B$2:$M$100000,8,FALSE)</f>
        <v/>
      </c>
      <c r="I645" s="3">
        <f>+VLOOKUP($A645,MAGAZZINO!$B$2:$M$100000,9,FALSE)</f>
        <v/>
      </c>
      <c r="J645" s="3">
        <f>+VLOOKUP($A645,MAGAZZINO!$B$2:$M$100000,10,FALSE)</f>
        <v/>
      </c>
      <c r="K645" s="3">
        <f>+VLOOKUP($A645,MAGAZZINO!$B$2:$M$100000,11,FALSE)</f>
        <v/>
      </c>
      <c r="L645" s="5">
        <f>+VLOOKUP($A645,MAGAZZINO!$B$2:$M$100000,12,FALSE)</f>
        <v/>
      </c>
      <c r="M645" s="47" t="n"/>
      <c r="N645" s="88" t="n">
        <v>45771</v>
      </c>
      <c r="O645" s="156" t="inlineStr">
        <is>
          <t>BIN HUMAID NATIONAL TRADING CO. (ARABIA SAUDITA)</t>
        </is>
      </c>
      <c r="P645" s="154" t="inlineStr">
        <is>
          <t>IMPORT LICENSE N. 7004424417/8/B/81 VALIDA FINO AL 28/04/2027                                                              AUT. ESPORTAZIONE MULTIPLA N. 6B/2025/1M RILASCIATA IL 24/02/2025   (LICENZA DI SCARICO N. 6B/2025/2S RILASCIATA IL 15/04/2025)</t>
        </is>
      </c>
      <c r="Q645" s="150" t="n"/>
      <c r="R645" s="150" t="n"/>
      <c r="S645" s="153" t="n"/>
    </row>
    <row r="646" ht="36" customHeight="1">
      <c r="A646" s="46" t="n">
        <v>2976</v>
      </c>
      <c r="B646" s="4">
        <f>+VLOOKUP($A646,MAGAZZINO!$B$2:$M$100000,2,FALSE)</f>
        <v/>
      </c>
      <c r="C646" s="29">
        <f>+VLOOKUP($A646,MAGAZZINO!$B$2:$M$100000,3,FALSE)</f>
        <v/>
      </c>
      <c r="D646" s="3">
        <f>+VLOOKUP($A646,MAGAZZINO!$B$2:$M$100000,4,FALSE)</f>
        <v/>
      </c>
      <c r="E646" s="3">
        <f>+VLOOKUP($A646,MAGAZZINO!$B$2:$M$100000,5,FALSE)</f>
        <v/>
      </c>
      <c r="F646" s="3">
        <f>+VLOOKUP($A646,MAGAZZINO!$B$2:$M$100000,6,FALSE)</f>
        <v/>
      </c>
      <c r="G646" s="3">
        <f>+VLOOKUP($A646,MAGAZZINO!$B$2:$M$100000,7,FALSE)</f>
        <v/>
      </c>
      <c r="H646" s="3">
        <f>+VLOOKUP($A646,MAGAZZINO!$B$2:$M$100000,8,FALSE)</f>
        <v/>
      </c>
      <c r="I646" s="3">
        <f>+VLOOKUP($A646,MAGAZZINO!$B$2:$M$100000,9,FALSE)</f>
        <v/>
      </c>
      <c r="J646" s="3">
        <f>+VLOOKUP($A646,MAGAZZINO!$B$2:$M$100000,10,FALSE)</f>
        <v/>
      </c>
      <c r="K646" s="3">
        <f>+VLOOKUP($A646,MAGAZZINO!$B$2:$M$100000,11,FALSE)</f>
        <v/>
      </c>
      <c r="L646" s="5">
        <f>+VLOOKUP($A646,MAGAZZINO!$B$2:$M$100000,12,FALSE)</f>
        <v/>
      </c>
      <c r="M646" s="47" t="n"/>
      <c r="N646" s="88" t="n">
        <v>45771</v>
      </c>
      <c r="O646" s="156" t="inlineStr">
        <is>
          <t>BIN HUMAID NATIONAL TRADING CO. (ARABIA SAUDITA)</t>
        </is>
      </c>
      <c r="P646" s="154" t="inlineStr">
        <is>
          <t>IMPORT LICENSE N. 7004424417/8/B/81 VALIDA FINO AL 28/04/2027                                                              AUT. ESPORTAZIONE MULTIPLA N. 6B/2025/1M RILASCIATA IL 24/02/2025   (LICENZA DI SCARICO N. 6B/2025/2S RILASCIATA IL 15/04/2025)</t>
        </is>
      </c>
      <c r="Q646" s="150" t="n"/>
      <c r="R646" s="150" t="n"/>
      <c r="S646" s="153" t="n"/>
    </row>
    <row r="647" ht="36" customHeight="1">
      <c r="A647" s="46" t="n">
        <v>2977</v>
      </c>
      <c r="B647" s="4">
        <f>+VLOOKUP($A647,MAGAZZINO!$B$2:$M$100000,2,FALSE)</f>
        <v/>
      </c>
      <c r="C647" s="29">
        <f>+VLOOKUP($A647,MAGAZZINO!$B$2:$M$100000,3,FALSE)</f>
        <v/>
      </c>
      <c r="D647" s="3">
        <f>+VLOOKUP($A647,MAGAZZINO!$B$2:$M$100000,4,FALSE)</f>
        <v/>
      </c>
      <c r="E647" s="3">
        <f>+VLOOKUP($A647,MAGAZZINO!$B$2:$M$100000,5,FALSE)</f>
        <v/>
      </c>
      <c r="F647" s="3">
        <f>+VLOOKUP($A647,MAGAZZINO!$B$2:$M$100000,6,FALSE)</f>
        <v/>
      </c>
      <c r="G647" s="3">
        <f>+VLOOKUP($A647,MAGAZZINO!$B$2:$M$100000,7,FALSE)</f>
        <v/>
      </c>
      <c r="H647" s="3">
        <f>+VLOOKUP($A647,MAGAZZINO!$B$2:$M$100000,8,FALSE)</f>
        <v/>
      </c>
      <c r="I647" s="3">
        <f>+VLOOKUP($A647,MAGAZZINO!$B$2:$M$100000,9,FALSE)</f>
        <v/>
      </c>
      <c r="J647" s="3">
        <f>+VLOOKUP($A647,MAGAZZINO!$B$2:$M$100000,10,FALSE)</f>
        <v/>
      </c>
      <c r="K647" s="3">
        <f>+VLOOKUP($A647,MAGAZZINO!$B$2:$M$100000,11,FALSE)</f>
        <v/>
      </c>
      <c r="L647" s="5">
        <f>+VLOOKUP($A647,MAGAZZINO!$B$2:$M$100000,12,FALSE)</f>
        <v/>
      </c>
      <c r="M647" s="47" t="n"/>
      <c r="N647" s="88" t="n">
        <v>45771</v>
      </c>
      <c r="O647" s="156" t="inlineStr">
        <is>
          <t>BIN HUMAID NATIONAL TRADING CO. (ARABIA SAUDITA)</t>
        </is>
      </c>
      <c r="P647" s="154" t="inlineStr">
        <is>
          <t>IMPORT LICENSE N. 7004424417/8/B/81 VALIDA FINO AL 28/04/2027                                                              AUT. ESPORTAZIONE MULTIPLA N. 6B/2025/1M RILASCIATA IL 24/02/2025   (LICENZA DI SCARICO N. 6B/2025/2S RILASCIATA IL 15/04/2025)</t>
        </is>
      </c>
      <c r="Q647" s="150" t="n"/>
      <c r="R647" s="150" t="n"/>
      <c r="S647" s="153" t="n"/>
    </row>
    <row r="648" ht="36" customHeight="1">
      <c r="A648" s="46" t="n">
        <v>2978</v>
      </c>
      <c r="B648" s="4">
        <f>+VLOOKUP($A648,MAGAZZINO!$B$2:$M$100000,2,FALSE)</f>
        <v/>
      </c>
      <c r="C648" s="29">
        <f>+VLOOKUP($A648,MAGAZZINO!$B$2:$M$100000,3,FALSE)</f>
        <v/>
      </c>
      <c r="D648" s="3">
        <f>+VLOOKUP($A648,MAGAZZINO!$B$2:$M$100000,4,FALSE)</f>
        <v/>
      </c>
      <c r="E648" s="3">
        <f>+VLOOKUP($A648,MAGAZZINO!$B$2:$M$100000,5,FALSE)</f>
        <v/>
      </c>
      <c r="F648" s="3">
        <f>+VLOOKUP($A648,MAGAZZINO!$B$2:$M$100000,6,FALSE)</f>
        <v/>
      </c>
      <c r="G648" s="3">
        <f>+VLOOKUP($A648,MAGAZZINO!$B$2:$M$100000,7,FALSE)</f>
        <v/>
      </c>
      <c r="H648" s="3">
        <f>+VLOOKUP($A648,MAGAZZINO!$B$2:$M$100000,8,FALSE)</f>
        <v/>
      </c>
      <c r="I648" s="3">
        <f>+VLOOKUP($A648,MAGAZZINO!$B$2:$M$100000,9,FALSE)</f>
        <v/>
      </c>
      <c r="J648" s="3">
        <f>+VLOOKUP($A648,MAGAZZINO!$B$2:$M$100000,10,FALSE)</f>
        <v/>
      </c>
      <c r="K648" s="3">
        <f>+VLOOKUP($A648,MAGAZZINO!$B$2:$M$100000,11,FALSE)</f>
        <v/>
      </c>
      <c r="L648" s="5">
        <f>+VLOOKUP($A648,MAGAZZINO!$B$2:$M$100000,12,FALSE)</f>
        <v/>
      </c>
      <c r="M648" s="47" t="n"/>
      <c r="N648" s="88" t="n">
        <v>45771</v>
      </c>
      <c r="O648" s="156" t="inlineStr">
        <is>
          <t>BIN HUMAID NATIONAL TRADING CO. (ARABIA SAUDITA)</t>
        </is>
      </c>
      <c r="P648" s="154" t="inlineStr">
        <is>
          <t>IMPORT LICENSE N. 7004424417/8/B/81 VALIDA FINO AL 28/04/2027                                                              AUT. ESPORTAZIONE MULTIPLA N. 6B/2025/1M RILASCIATA IL 24/02/2025   (LICENZA DI SCARICO N. 6B/2025/2S RILASCIATA IL 15/04/2025)</t>
        </is>
      </c>
      <c r="Q648" s="150" t="n"/>
      <c r="R648" s="150" t="n"/>
      <c r="S648" s="153" t="n"/>
    </row>
    <row r="649" ht="36" customHeight="1">
      <c r="A649" s="46" t="n">
        <v>2979</v>
      </c>
      <c r="B649" s="4">
        <f>+VLOOKUP($A649,MAGAZZINO!$B$2:$M$100000,2,FALSE)</f>
        <v/>
      </c>
      <c r="C649" s="29">
        <f>+VLOOKUP($A649,MAGAZZINO!$B$2:$M$100000,3,FALSE)</f>
        <v/>
      </c>
      <c r="D649" s="3">
        <f>+VLOOKUP($A649,MAGAZZINO!$B$2:$M$100000,4,FALSE)</f>
        <v/>
      </c>
      <c r="E649" s="3">
        <f>+VLOOKUP($A649,MAGAZZINO!$B$2:$M$100000,5,FALSE)</f>
        <v/>
      </c>
      <c r="F649" s="3">
        <f>+VLOOKUP($A649,MAGAZZINO!$B$2:$M$100000,6,FALSE)</f>
        <v/>
      </c>
      <c r="G649" s="3">
        <f>+VLOOKUP($A649,MAGAZZINO!$B$2:$M$100000,7,FALSE)</f>
        <v/>
      </c>
      <c r="H649" s="3">
        <f>+VLOOKUP($A649,MAGAZZINO!$B$2:$M$100000,8,FALSE)</f>
        <v/>
      </c>
      <c r="I649" s="3">
        <f>+VLOOKUP($A649,MAGAZZINO!$B$2:$M$100000,9,FALSE)</f>
        <v/>
      </c>
      <c r="J649" s="3">
        <f>+VLOOKUP($A649,MAGAZZINO!$B$2:$M$100000,10,FALSE)</f>
        <v/>
      </c>
      <c r="K649" s="3">
        <f>+VLOOKUP($A649,MAGAZZINO!$B$2:$M$100000,11,FALSE)</f>
        <v/>
      </c>
      <c r="L649" s="5">
        <f>+VLOOKUP($A649,MAGAZZINO!$B$2:$M$100000,12,FALSE)</f>
        <v/>
      </c>
      <c r="M649" s="47" t="n"/>
      <c r="N649" s="88" t="n">
        <v>45771</v>
      </c>
      <c r="O649" s="156" t="inlineStr">
        <is>
          <t>BIN HUMAID NATIONAL TRADING CO. (ARABIA SAUDITA)</t>
        </is>
      </c>
      <c r="P649" s="154" t="inlineStr">
        <is>
          <t>IMPORT LICENSE N. 7004424417/8/B/81 VALIDA FINO AL 28/04/2027                                                              AUT. ESPORTAZIONE MULTIPLA N. 6B/2025/1M RILASCIATA IL 24/02/2025   (LICENZA DI SCARICO N. 6B/2025/2S RILASCIATA IL 15/04/2025)</t>
        </is>
      </c>
      <c r="Q649" s="150" t="n"/>
      <c r="R649" s="150" t="n"/>
      <c r="S649" s="153" t="n"/>
    </row>
    <row r="650" ht="36" customHeight="1">
      <c r="A650" s="46" t="n">
        <v>2980</v>
      </c>
      <c r="B650" s="4">
        <f>+VLOOKUP($A650,MAGAZZINO!$B$2:$M$100000,2,FALSE)</f>
        <v/>
      </c>
      <c r="C650" s="29">
        <f>+VLOOKUP($A650,MAGAZZINO!$B$2:$M$100000,3,FALSE)</f>
        <v/>
      </c>
      <c r="D650" s="3">
        <f>+VLOOKUP($A650,MAGAZZINO!$B$2:$M$100000,4,FALSE)</f>
        <v/>
      </c>
      <c r="E650" s="3">
        <f>+VLOOKUP($A650,MAGAZZINO!$B$2:$M$100000,5,FALSE)</f>
        <v/>
      </c>
      <c r="F650" s="3">
        <f>+VLOOKUP($A650,MAGAZZINO!$B$2:$M$100000,6,FALSE)</f>
        <v/>
      </c>
      <c r="G650" s="3">
        <f>+VLOOKUP($A650,MAGAZZINO!$B$2:$M$100000,7,FALSE)</f>
        <v/>
      </c>
      <c r="H650" s="3">
        <f>+VLOOKUP($A650,MAGAZZINO!$B$2:$M$100000,8,FALSE)</f>
        <v/>
      </c>
      <c r="I650" s="3">
        <f>+VLOOKUP($A650,MAGAZZINO!$B$2:$M$100000,9,FALSE)</f>
        <v/>
      </c>
      <c r="J650" s="3">
        <f>+VLOOKUP($A650,MAGAZZINO!$B$2:$M$100000,10,FALSE)</f>
        <v/>
      </c>
      <c r="K650" s="3">
        <f>+VLOOKUP($A650,MAGAZZINO!$B$2:$M$100000,11,FALSE)</f>
        <v/>
      </c>
      <c r="L650" s="5">
        <f>+VLOOKUP($A650,MAGAZZINO!$B$2:$M$100000,12,FALSE)</f>
        <v/>
      </c>
      <c r="M650" s="47" t="n"/>
      <c r="N650" s="88" t="n">
        <v>45771</v>
      </c>
      <c r="O650" s="156" t="inlineStr">
        <is>
          <t>BIN HUMAID NATIONAL TRADING CO. (ARABIA SAUDITA)</t>
        </is>
      </c>
      <c r="P650" s="154" t="inlineStr">
        <is>
          <t>IMPORT LICENSE N. 7004424417/8/B/81 VALIDA FINO AL 28/04/2027                                                              AUT. ESPORTAZIONE MULTIPLA N. 6B/2025/1M RILASCIATA IL 24/02/2025   (LICENZA DI SCARICO N. 6B/2025/2S RILASCIATA IL 15/04/2025)</t>
        </is>
      </c>
      <c r="Q650" s="150" t="n"/>
      <c r="R650" s="150" t="n"/>
      <c r="S650" s="153" t="n"/>
    </row>
    <row r="651" ht="36" customHeight="1">
      <c r="A651" s="46" t="n">
        <v>2981</v>
      </c>
      <c r="B651" s="4">
        <f>+VLOOKUP($A651,MAGAZZINO!$B$2:$M$100000,2,FALSE)</f>
        <v/>
      </c>
      <c r="C651" s="29">
        <f>+VLOOKUP($A651,MAGAZZINO!$B$2:$M$100000,3,FALSE)</f>
        <v/>
      </c>
      <c r="D651" s="3">
        <f>+VLOOKUP($A651,MAGAZZINO!$B$2:$M$100000,4,FALSE)</f>
        <v/>
      </c>
      <c r="E651" s="3">
        <f>+VLOOKUP($A651,MAGAZZINO!$B$2:$M$100000,5,FALSE)</f>
        <v/>
      </c>
      <c r="F651" s="3">
        <f>+VLOOKUP($A651,MAGAZZINO!$B$2:$M$100000,6,FALSE)</f>
        <v/>
      </c>
      <c r="G651" s="3">
        <f>+VLOOKUP($A651,MAGAZZINO!$B$2:$M$100000,7,FALSE)</f>
        <v/>
      </c>
      <c r="H651" s="3">
        <f>+VLOOKUP($A651,MAGAZZINO!$B$2:$M$100000,8,FALSE)</f>
        <v/>
      </c>
      <c r="I651" s="3">
        <f>+VLOOKUP($A651,MAGAZZINO!$B$2:$M$100000,9,FALSE)</f>
        <v/>
      </c>
      <c r="J651" s="3">
        <f>+VLOOKUP($A651,MAGAZZINO!$B$2:$M$100000,10,FALSE)</f>
        <v/>
      </c>
      <c r="K651" s="3">
        <f>+VLOOKUP($A651,MAGAZZINO!$B$2:$M$100000,11,FALSE)</f>
        <v/>
      </c>
      <c r="L651" s="5">
        <f>+VLOOKUP($A651,MAGAZZINO!$B$2:$M$100000,12,FALSE)</f>
        <v/>
      </c>
      <c r="M651" s="47" t="n"/>
      <c r="N651" s="88" t="n">
        <v>45771</v>
      </c>
      <c r="O651" s="156" t="inlineStr">
        <is>
          <t>BIN HUMAID NATIONAL TRADING CO. (ARABIA SAUDITA)</t>
        </is>
      </c>
      <c r="P651" s="154" t="inlineStr">
        <is>
          <t>IMPORT LICENSE N. 7004424417/8/B/81 VALIDA FINO AL 28/04/2027                                                              AUT. ESPORTAZIONE MULTIPLA N. 6B/2025/1M RILASCIATA IL 24/02/2025   (LICENZA DI SCARICO N. 6B/2025/2S RILASCIATA IL 15/04/2025)</t>
        </is>
      </c>
      <c r="Q651" s="150" t="n"/>
      <c r="R651" s="150" t="n"/>
      <c r="S651" s="153" t="n"/>
    </row>
    <row r="652" ht="36" customHeight="1">
      <c r="A652" s="46" t="n">
        <v>2982</v>
      </c>
      <c r="B652" s="4">
        <f>+VLOOKUP($A652,MAGAZZINO!$B$2:$M$100000,2,FALSE)</f>
        <v/>
      </c>
      <c r="C652" s="29">
        <f>+VLOOKUP($A652,MAGAZZINO!$B$2:$M$100000,3,FALSE)</f>
        <v/>
      </c>
      <c r="D652" s="3">
        <f>+VLOOKUP($A652,MAGAZZINO!$B$2:$M$100000,4,FALSE)</f>
        <v/>
      </c>
      <c r="E652" s="3">
        <f>+VLOOKUP($A652,MAGAZZINO!$B$2:$M$100000,5,FALSE)</f>
        <v/>
      </c>
      <c r="F652" s="3">
        <f>+VLOOKUP($A652,MAGAZZINO!$B$2:$M$100000,6,FALSE)</f>
        <v/>
      </c>
      <c r="G652" s="3">
        <f>+VLOOKUP($A652,MAGAZZINO!$B$2:$M$100000,7,FALSE)</f>
        <v/>
      </c>
      <c r="H652" s="3">
        <f>+VLOOKUP($A652,MAGAZZINO!$B$2:$M$100000,8,FALSE)</f>
        <v/>
      </c>
      <c r="I652" s="3">
        <f>+VLOOKUP($A652,MAGAZZINO!$B$2:$M$100000,9,FALSE)</f>
        <v/>
      </c>
      <c r="J652" s="3">
        <f>+VLOOKUP($A652,MAGAZZINO!$B$2:$M$100000,10,FALSE)</f>
        <v/>
      </c>
      <c r="K652" s="3">
        <f>+VLOOKUP($A652,MAGAZZINO!$B$2:$M$100000,11,FALSE)</f>
        <v/>
      </c>
      <c r="L652" s="5">
        <f>+VLOOKUP($A652,MAGAZZINO!$B$2:$M$100000,12,FALSE)</f>
        <v/>
      </c>
      <c r="M652" s="47" t="n"/>
      <c r="N652" s="88" t="n">
        <v>45771</v>
      </c>
      <c r="O652" s="156" t="inlineStr">
        <is>
          <t>BIN HUMAID NATIONAL TRADING CO. (ARABIA SAUDITA)</t>
        </is>
      </c>
      <c r="P652" s="154" t="inlineStr">
        <is>
          <t>IMPORT LICENSE N. 7004424417/8/B/81 VALIDA FINO AL 28/04/2027                                                              AUT. ESPORTAZIONE MULTIPLA N. 6B/2025/1M RILASCIATA IL 24/02/2025   (LICENZA DI SCARICO N. 6B/2025/2S RILASCIATA IL 15/04/2025)</t>
        </is>
      </c>
      <c r="Q652" s="150" t="n"/>
      <c r="R652" s="150" t="n"/>
      <c r="S652" s="153" t="n"/>
    </row>
    <row r="653" ht="36" customHeight="1">
      <c r="A653" s="46" t="n">
        <v>2983</v>
      </c>
      <c r="B653" s="4">
        <f>+VLOOKUP($A653,MAGAZZINO!$B$2:$M$100000,2,FALSE)</f>
        <v/>
      </c>
      <c r="C653" s="29">
        <f>+VLOOKUP($A653,MAGAZZINO!$B$2:$M$100000,3,FALSE)</f>
        <v/>
      </c>
      <c r="D653" s="3">
        <f>+VLOOKUP($A653,MAGAZZINO!$B$2:$M$100000,4,FALSE)</f>
        <v/>
      </c>
      <c r="E653" s="3">
        <f>+VLOOKUP($A653,MAGAZZINO!$B$2:$M$100000,5,FALSE)</f>
        <v/>
      </c>
      <c r="F653" s="3">
        <f>+VLOOKUP($A653,MAGAZZINO!$B$2:$M$100000,6,FALSE)</f>
        <v/>
      </c>
      <c r="G653" s="3">
        <f>+VLOOKUP($A653,MAGAZZINO!$B$2:$M$100000,7,FALSE)</f>
        <v/>
      </c>
      <c r="H653" s="3">
        <f>+VLOOKUP($A653,MAGAZZINO!$B$2:$M$100000,8,FALSE)</f>
        <v/>
      </c>
      <c r="I653" s="3">
        <f>+VLOOKUP($A653,MAGAZZINO!$B$2:$M$100000,9,FALSE)</f>
        <v/>
      </c>
      <c r="J653" s="3">
        <f>+VLOOKUP($A653,MAGAZZINO!$B$2:$M$100000,10,FALSE)</f>
        <v/>
      </c>
      <c r="K653" s="3">
        <f>+VLOOKUP($A653,MAGAZZINO!$B$2:$M$100000,11,FALSE)</f>
        <v/>
      </c>
      <c r="L653" s="5">
        <f>+VLOOKUP($A653,MAGAZZINO!$B$2:$M$100000,12,FALSE)</f>
        <v/>
      </c>
      <c r="M653" s="47" t="n"/>
      <c r="N653" s="88" t="n">
        <v>45771</v>
      </c>
      <c r="O653" s="156" t="inlineStr">
        <is>
          <t>BIN HUMAID NATIONAL TRADING CO. (ARABIA SAUDITA)</t>
        </is>
      </c>
      <c r="P653" s="154" t="inlineStr">
        <is>
          <t>IMPORT LICENSE N. 7004424417/8/B/81 VALIDA FINO AL 28/04/2027                                                              AUT. ESPORTAZIONE MULTIPLA N. 6B/2025/1M RILASCIATA IL 24/02/2025   (LICENZA DI SCARICO N. 6B/2025/2S RILASCIATA IL 15/04/2025)</t>
        </is>
      </c>
      <c r="Q653" s="150" t="n"/>
      <c r="R653" s="150" t="n"/>
      <c r="S653" s="153" t="n"/>
    </row>
    <row r="654" ht="36" customHeight="1">
      <c r="A654" s="46" t="n">
        <v>2984</v>
      </c>
      <c r="B654" s="4">
        <f>+VLOOKUP($A654,MAGAZZINO!$B$2:$M$100000,2,FALSE)</f>
        <v/>
      </c>
      <c r="C654" s="29">
        <f>+VLOOKUP($A654,MAGAZZINO!$B$2:$M$100000,3,FALSE)</f>
        <v/>
      </c>
      <c r="D654" s="3">
        <f>+VLOOKUP($A654,MAGAZZINO!$B$2:$M$100000,4,FALSE)</f>
        <v/>
      </c>
      <c r="E654" s="3">
        <f>+VLOOKUP($A654,MAGAZZINO!$B$2:$M$100000,5,FALSE)</f>
        <v/>
      </c>
      <c r="F654" s="3">
        <f>+VLOOKUP($A654,MAGAZZINO!$B$2:$M$100000,6,FALSE)</f>
        <v/>
      </c>
      <c r="G654" s="3">
        <f>+VLOOKUP($A654,MAGAZZINO!$B$2:$M$100000,7,FALSE)</f>
        <v/>
      </c>
      <c r="H654" s="3">
        <f>+VLOOKUP($A654,MAGAZZINO!$B$2:$M$100000,8,FALSE)</f>
        <v/>
      </c>
      <c r="I654" s="3">
        <f>+VLOOKUP($A654,MAGAZZINO!$B$2:$M$100000,9,FALSE)</f>
        <v/>
      </c>
      <c r="J654" s="3">
        <f>+VLOOKUP($A654,MAGAZZINO!$B$2:$M$100000,10,FALSE)</f>
        <v/>
      </c>
      <c r="K654" s="3">
        <f>+VLOOKUP($A654,MAGAZZINO!$B$2:$M$100000,11,FALSE)</f>
        <v/>
      </c>
      <c r="L654" s="5">
        <f>+VLOOKUP($A654,MAGAZZINO!$B$2:$M$100000,12,FALSE)</f>
        <v/>
      </c>
      <c r="M654" s="47" t="n"/>
      <c r="N654" s="88" t="n">
        <v>45771</v>
      </c>
      <c r="O654" s="156" t="inlineStr">
        <is>
          <t>BIN HUMAID NATIONAL TRADING CO. (ARABIA SAUDITA)</t>
        </is>
      </c>
      <c r="P654" s="154" t="inlineStr">
        <is>
          <t>IMPORT LICENSE N. 7004424417/8/B/81 VALIDA FINO AL 28/04/2027                                                              AUT. ESPORTAZIONE MULTIPLA N. 6B/2025/1M RILASCIATA IL 24/02/2025   (LICENZA DI SCARICO N. 6B/2025/2S RILASCIATA IL 15/04/2025)</t>
        </is>
      </c>
      <c r="Q654" s="150" t="n"/>
      <c r="R654" s="150" t="n"/>
      <c r="S654" s="153" t="n"/>
    </row>
    <row r="655" ht="36" customHeight="1">
      <c r="A655" s="46" t="n">
        <v>2985</v>
      </c>
      <c r="B655" s="4">
        <f>+VLOOKUP($A655,MAGAZZINO!$B$2:$M$100000,2,FALSE)</f>
        <v/>
      </c>
      <c r="C655" s="29">
        <f>+VLOOKUP($A655,MAGAZZINO!$B$2:$M$100000,3,FALSE)</f>
        <v/>
      </c>
      <c r="D655" s="3">
        <f>+VLOOKUP($A655,MAGAZZINO!$B$2:$M$100000,4,FALSE)</f>
        <v/>
      </c>
      <c r="E655" s="3">
        <f>+VLOOKUP($A655,MAGAZZINO!$B$2:$M$100000,5,FALSE)</f>
        <v/>
      </c>
      <c r="F655" s="3">
        <f>+VLOOKUP($A655,MAGAZZINO!$B$2:$M$100000,6,FALSE)</f>
        <v/>
      </c>
      <c r="G655" s="3">
        <f>+VLOOKUP($A655,MAGAZZINO!$B$2:$M$100000,7,FALSE)</f>
        <v/>
      </c>
      <c r="H655" s="3">
        <f>+VLOOKUP($A655,MAGAZZINO!$B$2:$M$100000,8,FALSE)</f>
        <v/>
      </c>
      <c r="I655" s="3">
        <f>+VLOOKUP($A655,MAGAZZINO!$B$2:$M$100000,9,FALSE)</f>
        <v/>
      </c>
      <c r="J655" s="3">
        <f>+VLOOKUP($A655,MAGAZZINO!$B$2:$M$100000,10,FALSE)</f>
        <v/>
      </c>
      <c r="K655" s="3">
        <f>+VLOOKUP($A655,MAGAZZINO!$B$2:$M$100000,11,FALSE)</f>
        <v/>
      </c>
      <c r="L655" s="5">
        <f>+VLOOKUP($A655,MAGAZZINO!$B$2:$M$100000,12,FALSE)</f>
        <v/>
      </c>
      <c r="M655" s="47" t="n"/>
      <c r="N655" s="88" t="n">
        <v>45771</v>
      </c>
      <c r="O655" s="156" t="inlineStr">
        <is>
          <t>BIN HUMAID NATIONAL TRADING CO. (ARABIA SAUDITA)</t>
        </is>
      </c>
      <c r="P655" s="154" t="inlineStr">
        <is>
          <t>IMPORT LICENSE N. 7004424417/8/B/81 VALIDA FINO AL 28/04/2027                                                              AUT. ESPORTAZIONE MULTIPLA N. 6B/2025/1M RILASCIATA IL 24/02/2025   (LICENZA DI SCARICO N. 6B/2025/2S RILASCIATA IL 15/04/2025)</t>
        </is>
      </c>
      <c r="Q655" s="150" t="n"/>
      <c r="R655" s="150" t="n"/>
      <c r="S655" s="153" t="n"/>
    </row>
    <row r="656" ht="36" customHeight="1">
      <c r="A656" s="46" t="n">
        <v>2986</v>
      </c>
      <c r="B656" s="4">
        <f>+VLOOKUP($A656,MAGAZZINO!$B$2:$M$100000,2,FALSE)</f>
        <v/>
      </c>
      <c r="C656" s="29">
        <f>+VLOOKUP($A656,MAGAZZINO!$B$2:$M$100000,3,FALSE)</f>
        <v/>
      </c>
      <c r="D656" s="3">
        <f>+VLOOKUP($A656,MAGAZZINO!$B$2:$M$100000,4,FALSE)</f>
        <v/>
      </c>
      <c r="E656" s="3">
        <f>+VLOOKUP($A656,MAGAZZINO!$B$2:$M$100000,5,FALSE)</f>
        <v/>
      </c>
      <c r="F656" s="3">
        <f>+VLOOKUP($A656,MAGAZZINO!$B$2:$M$100000,6,FALSE)</f>
        <v/>
      </c>
      <c r="G656" s="3">
        <f>+VLOOKUP($A656,MAGAZZINO!$B$2:$M$100000,7,FALSE)</f>
        <v/>
      </c>
      <c r="H656" s="3">
        <f>+VLOOKUP($A656,MAGAZZINO!$B$2:$M$100000,8,FALSE)</f>
        <v/>
      </c>
      <c r="I656" s="3">
        <f>+VLOOKUP($A656,MAGAZZINO!$B$2:$M$100000,9,FALSE)</f>
        <v/>
      </c>
      <c r="J656" s="3">
        <f>+VLOOKUP($A656,MAGAZZINO!$B$2:$M$100000,10,FALSE)</f>
        <v/>
      </c>
      <c r="K656" s="3">
        <f>+VLOOKUP($A656,MAGAZZINO!$B$2:$M$100000,11,FALSE)</f>
        <v/>
      </c>
      <c r="L656" s="5">
        <f>+VLOOKUP($A656,MAGAZZINO!$B$2:$M$100000,12,FALSE)</f>
        <v/>
      </c>
      <c r="M656" s="47" t="n"/>
      <c r="N656" s="88" t="n">
        <v>45771</v>
      </c>
      <c r="O656" s="156" t="inlineStr">
        <is>
          <t>BIN HUMAID NATIONAL TRADING CO. (ARABIA SAUDITA)</t>
        </is>
      </c>
      <c r="P656" s="154" t="inlineStr">
        <is>
          <t>IMPORT LICENSE N. 7004424417/8/B/81 VALIDA FINO AL 28/04/2027                                                              AUT. ESPORTAZIONE MULTIPLA N. 6B/2025/1M RILASCIATA IL 24/02/2025   (LICENZA DI SCARICO N. 6B/2025/2S RILASCIATA IL 15/04/2025)</t>
        </is>
      </c>
      <c r="Q656" s="150" t="n"/>
      <c r="R656" s="150" t="n"/>
      <c r="S656" s="153" t="n"/>
    </row>
    <row r="657" ht="36" customHeight="1">
      <c r="A657" s="46" t="n">
        <v>2987</v>
      </c>
      <c r="B657" s="4">
        <f>+VLOOKUP($A657,MAGAZZINO!$B$2:$M$100000,2,FALSE)</f>
        <v/>
      </c>
      <c r="C657" s="29">
        <f>+VLOOKUP($A657,MAGAZZINO!$B$2:$M$100000,3,FALSE)</f>
        <v/>
      </c>
      <c r="D657" s="3">
        <f>+VLOOKUP($A657,MAGAZZINO!$B$2:$M$100000,4,FALSE)</f>
        <v/>
      </c>
      <c r="E657" s="3">
        <f>+VLOOKUP($A657,MAGAZZINO!$B$2:$M$100000,5,FALSE)</f>
        <v/>
      </c>
      <c r="F657" s="3">
        <f>+VLOOKUP($A657,MAGAZZINO!$B$2:$M$100000,6,FALSE)</f>
        <v/>
      </c>
      <c r="G657" s="3">
        <f>+VLOOKUP($A657,MAGAZZINO!$B$2:$M$100000,7,FALSE)</f>
        <v/>
      </c>
      <c r="H657" s="3">
        <f>+VLOOKUP($A657,MAGAZZINO!$B$2:$M$100000,8,FALSE)</f>
        <v/>
      </c>
      <c r="I657" s="3">
        <f>+VLOOKUP($A657,MAGAZZINO!$B$2:$M$100000,9,FALSE)</f>
        <v/>
      </c>
      <c r="J657" s="3">
        <f>+VLOOKUP($A657,MAGAZZINO!$B$2:$M$100000,10,FALSE)</f>
        <v/>
      </c>
      <c r="K657" s="3">
        <f>+VLOOKUP($A657,MAGAZZINO!$B$2:$M$100000,11,FALSE)</f>
        <v/>
      </c>
      <c r="L657" s="5">
        <f>+VLOOKUP($A657,MAGAZZINO!$B$2:$M$100000,12,FALSE)</f>
        <v/>
      </c>
      <c r="M657" s="47" t="n"/>
      <c r="N657" s="88" t="n">
        <v>45771</v>
      </c>
      <c r="O657" s="156" t="inlineStr">
        <is>
          <t>BIN HUMAID NATIONAL TRADING CO. (ARABIA SAUDITA)</t>
        </is>
      </c>
      <c r="P657" s="154" t="inlineStr">
        <is>
          <t>IMPORT LICENSE N. 7004424417/8/B/81 VALIDA FINO AL 28/04/2027                                                              AUT. ESPORTAZIONE MULTIPLA N. 6B/2025/1M RILASCIATA IL 24/02/2025   (LICENZA DI SCARICO N. 6B/2025/2S RILASCIATA IL 15/04/2025)</t>
        </is>
      </c>
      <c r="Q657" s="150" t="n"/>
      <c r="R657" s="150" t="n"/>
      <c r="S657" s="153" t="n"/>
    </row>
    <row r="658" ht="36" customHeight="1">
      <c r="A658" s="46" t="n">
        <v>2988</v>
      </c>
      <c r="B658" s="4">
        <f>+VLOOKUP($A658,MAGAZZINO!$B$2:$M$100000,2,FALSE)</f>
        <v/>
      </c>
      <c r="C658" s="29">
        <f>+VLOOKUP($A658,MAGAZZINO!$B$2:$M$100000,3,FALSE)</f>
        <v/>
      </c>
      <c r="D658" s="3">
        <f>+VLOOKUP($A658,MAGAZZINO!$B$2:$M$100000,4,FALSE)</f>
        <v/>
      </c>
      <c r="E658" s="3">
        <f>+VLOOKUP($A658,MAGAZZINO!$B$2:$M$100000,5,FALSE)</f>
        <v/>
      </c>
      <c r="F658" s="3">
        <f>+VLOOKUP($A658,MAGAZZINO!$B$2:$M$100000,6,FALSE)</f>
        <v/>
      </c>
      <c r="G658" s="3">
        <f>+VLOOKUP($A658,MAGAZZINO!$B$2:$M$100000,7,FALSE)</f>
        <v/>
      </c>
      <c r="H658" s="3">
        <f>+VLOOKUP($A658,MAGAZZINO!$B$2:$M$100000,8,FALSE)</f>
        <v/>
      </c>
      <c r="I658" s="3">
        <f>+VLOOKUP($A658,MAGAZZINO!$B$2:$M$100000,9,FALSE)</f>
        <v/>
      </c>
      <c r="J658" s="3">
        <f>+VLOOKUP($A658,MAGAZZINO!$B$2:$M$100000,10,FALSE)</f>
        <v/>
      </c>
      <c r="K658" s="3">
        <f>+VLOOKUP($A658,MAGAZZINO!$B$2:$M$100000,11,FALSE)</f>
        <v/>
      </c>
      <c r="L658" s="5">
        <f>+VLOOKUP($A658,MAGAZZINO!$B$2:$M$100000,12,FALSE)</f>
        <v/>
      </c>
      <c r="M658" s="47" t="n"/>
      <c r="N658" s="89" t="n">
        <v>45769</v>
      </c>
      <c r="O658" s="91" t="inlineStr">
        <is>
          <t>HS &amp; LLC (OMAN)</t>
        </is>
      </c>
      <c r="P658" s="154" t="inlineStr">
        <is>
          <t>IMPORT LICENSE N. 24/1/2463/1/2024 DEL 05/05/2024                                                              AUT. ESPORTAZIONE MULTIPLA N. 6B/2024/2M RILASCIATA IL 30/07/2024   (LICENZA DI SCARICO N. 6B/2025/1S RILASCIATA IL 15/04/2025)</t>
        </is>
      </c>
      <c r="Q658" s="150" t="n"/>
      <c r="R658" s="150" t="n"/>
      <c r="S658" s="153" t="n"/>
    </row>
    <row r="659" ht="36" customHeight="1">
      <c r="A659" s="46" t="n">
        <v>2989</v>
      </c>
      <c r="B659" s="4">
        <f>+VLOOKUP($A659,MAGAZZINO!$B$2:$M$100000,2,FALSE)</f>
        <v/>
      </c>
      <c r="C659" s="29">
        <f>+VLOOKUP($A659,MAGAZZINO!$B$2:$M$100000,3,FALSE)</f>
        <v/>
      </c>
      <c r="D659" s="3">
        <f>+VLOOKUP($A659,MAGAZZINO!$B$2:$M$100000,4,FALSE)</f>
        <v/>
      </c>
      <c r="E659" s="3">
        <f>+VLOOKUP($A659,MAGAZZINO!$B$2:$M$100000,5,FALSE)</f>
        <v/>
      </c>
      <c r="F659" s="3">
        <f>+VLOOKUP($A659,MAGAZZINO!$B$2:$M$100000,6,FALSE)</f>
        <v/>
      </c>
      <c r="G659" s="3">
        <f>+VLOOKUP($A659,MAGAZZINO!$B$2:$M$100000,7,FALSE)</f>
        <v/>
      </c>
      <c r="H659" s="3">
        <f>+VLOOKUP($A659,MAGAZZINO!$B$2:$M$100000,8,FALSE)</f>
        <v/>
      </c>
      <c r="I659" s="3">
        <f>+VLOOKUP($A659,MAGAZZINO!$B$2:$M$100000,9,FALSE)</f>
        <v/>
      </c>
      <c r="J659" s="3">
        <f>+VLOOKUP($A659,MAGAZZINO!$B$2:$M$100000,10,FALSE)</f>
        <v/>
      </c>
      <c r="K659" s="3">
        <f>+VLOOKUP($A659,MAGAZZINO!$B$2:$M$100000,11,FALSE)</f>
        <v/>
      </c>
      <c r="L659" s="5">
        <f>+VLOOKUP($A659,MAGAZZINO!$B$2:$M$100000,12,FALSE)</f>
        <v/>
      </c>
      <c r="M659" s="47" t="n"/>
      <c r="N659" s="89" t="n">
        <v>45769</v>
      </c>
      <c r="O659" s="91" t="inlineStr">
        <is>
          <t>HS &amp; LLC (OMAN)</t>
        </is>
      </c>
      <c r="P659" s="154" t="inlineStr">
        <is>
          <t>IMPORT LICENSE N. 24/1/2463/1/2024 DEL 05/05/2024                                                              AUT. ESPORTAZIONE MULTIPLA N. 6B/2024/2M RILASCIATA IL 30/07/2024   (LICENZA DI SCARICO N. 6B/2025/1S RILASCIATA IL 15/04/2025)</t>
        </is>
      </c>
      <c r="Q659" s="150" t="n"/>
      <c r="R659" s="150" t="n"/>
      <c r="S659" s="153" t="n"/>
    </row>
    <row r="660" ht="36" customHeight="1">
      <c r="A660" s="46" t="n">
        <v>2990</v>
      </c>
      <c r="B660" s="4">
        <f>+VLOOKUP($A660,MAGAZZINO!$B$2:$M$100000,2,FALSE)</f>
        <v/>
      </c>
      <c r="C660" s="29">
        <f>+VLOOKUP($A660,MAGAZZINO!$B$2:$M$100000,3,FALSE)</f>
        <v/>
      </c>
      <c r="D660" s="3">
        <f>+VLOOKUP($A660,MAGAZZINO!$B$2:$M$100000,4,FALSE)</f>
        <v/>
      </c>
      <c r="E660" s="3">
        <f>+VLOOKUP($A660,MAGAZZINO!$B$2:$M$100000,5,FALSE)</f>
        <v/>
      </c>
      <c r="F660" s="3">
        <f>+VLOOKUP($A660,MAGAZZINO!$B$2:$M$100000,6,FALSE)</f>
        <v/>
      </c>
      <c r="G660" s="3">
        <f>+VLOOKUP($A660,MAGAZZINO!$B$2:$M$100000,7,FALSE)</f>
        <v/>
      </c>
      <c r="H660" s="3">
        <f>+VLOOKUP($A660,MAGAZZINO!$B$2:$M$100000,8,FALSE)</f>
        <v/>
      </c>
      <c r="I660" s="3">
        <f>+VLOOKUP($A660,MAGAZZINO!$B$2:$M$100000,9,FALSE)</f>
        <v/>
      </c>
      <c r="J660" s="3">
        <f>+VLOOKUP($A660,MAGAZZINO!$B$2:$M$100000,10,FALSE)</f>
        <v/>
      </c>
      <c r="K660" s="3">
        <f>+VLOOKUP($A660,MAGAZZINO!$B$2:$M$100000,11,FALSE)</f>
        <v/>
      </c>
      <c r="L660" s="5">
        <f>+VLOOKUP($A660,MAGAZZINO!$B$2:$M$100000,12,FALSE)</f>
        <v/>
      </c>
      <c r="M660" s="47" t="n"/>
      <c r="N660" s="88" t="n">
        <v>45874</v>
      </c>
      <c r="O660" s="91" t="inlineStr">
        <is>
          <t>PHILIPPOS CONSTANTINIDES TRADING CO. LTD (CIPRO)</t>
        </is>
      </c>
      <c r="P660" s="163" t="inlineStr">
        <is>
          <t xml:space="preserve">IMPORT LICENSE N. 218 DEL 12/08/2020                                                                                         AUT. TRASFERIMENTO N. 6B/2025/3D RILASCIATA IL 28/07/2025   </t>
        </is>
      </c>
      <c r="Q660" s="150" t="n"/>
      <c r="R660" s="150" t="n"/>
      <c r="S660" s="151" t="n"/>
    </row>
    <row r="661" ht="36" customHeight="1">
      <c r="A661" s="46" t="n">
        <v>2991</v>
      </c>
      <c r="B661" s="4">
        <f>+VLOOKUP($A661,MAGAZZINO!$B$2:$M$100000,2,FALSE)</f>
        <v/>
      </c>
      <c r="C661" s="29">
        <f>+VLOOKUP($A661,MAGAZZINO!$B$2:$M$100000,3,FALSE)</f>
        <v/>
      </c>
      <c r="D661" s="3">
        <f>+VLOOKUP($A661,MAGAZZINO!$B$2:$M$100000,4,FALSE)</f>
        <v/>
      </c>
      <c r="E661" s="3">
        <f>+VLOOKUP($A661,MAGAZZINO!$B$2:$M$100000,5,FALSE)</f>
        <v/>
      </c>
      <c r="F661" s="3">
        <f>+VLOOKUP($A661,MAGAZZINO!$B$2:$M$100000,6,FALSE)</f>
        <v/>
      </c>
      <c r="G661" s="3">
        <f>+VLOOKUP($A661,MAGAZZINO!$B$2:$M$100000,7,FALSE)</f>
        <v/>
      </c>
      <c r="H661" s="3">
        <f>+VLOOKUP($A661,MAGAZZINO!$B$2:$M$100000,8,FALSE)</f>
        <v/>
      </c>
      <c r="I661" s="3">
        <f>+VLOOKUP($A661,MAGAZZINO!$B$2:$M$100000,9,FALSE)</f>
        <v/>
      </c>
      <c r="J661" s="3">
        <f>+VLOOKUP($A661,MAGAZZINO!$B$2:$M$100000,10,FALSE)</f>
        <v/>
      </c>
      <c r="K661" s="3">
        <f>+VLOOKUP($A661,MAGAZZINO!$B$2:$M$100000,11,FALSE)</f>
        <v/>
      </c>
      <c r="L661" s="5">
        <f>+VLOOKUP($A661,MAGAZZINO!$B$2:$M$100000,12,FALSE)</f>
        <v/>
      </c>
      <c r="M661" s="47" t="n"/>
      <c r="N661" s="54" t="n"/>
      <c r="O661" s="3" t="n"/>
      <c r="P661" s="149" t="n"/>
      <c r="Q661" s="150" t="n"/>
      <c r="R661" s="150" t="n"/>
      <c r="S661" s="151" t="n"/>
    </row>
    <row r="662" ht="36" customHeight="1">
      <c r="A662" s="46" t="n">
        <v>2992</v>
      </c>
      <c r="B662" s="4">
        <f>+VLOOKUP($A662,MAGAZZINO!$B$2:$M$100000,2,FALSE)</f>
        <v/>
      </c>
      <c r="C662" s="29">
        <f>+VLOOKUP($A662,MAGAZZINO!$B$2:$M$100000,3,FALSE)</f>
        <v/>
      </c>
      <c r="D662" s="3">
        <f>+VLOOKUP($A662,MAGAZZINO!$B$2:$M$100000,4,FALSE)</f>
        <v/>
      </c>
      <c r="E662" s="3">
        <f>+VLOOKUP($A662,MAGAZZINO!$B$2:$M$100000,5,FALSE)</f>
        <v/>
      </c>
      <c r="F662" s="3">
        <f>+VLOOKUP($A662,MAGAZZINO!$B$2:$M$100000,6,FALSE)</f>
        <v/>
      </c>
      <c r="G662" s="3">
        <f>+VLOOKUP($A662,MAGAZZINO!$B$2:$M$100000,7,FALSE)</f>
        <v/>
      </c>
      <c r="H662" s="3">
        <f>+VLOOKUP($A662,MAGAZZINO!$B$2:$M$100000,8,FALSE)</f>
        <v/>
      </c>
      <c r="I662" s="3">
        <f>+VLOOKUP($A662,MAGAZZINO!$B$2:$M$100000,9,FALSE)</f>
        <v/>
      </c>
      <c r="J662" s="3">
        <f>+VLOOKUP($A662,MAGAZZINO!$B$2:$M$100000,10,FALSE)</f>
        <v/>
      </c>
      <c r="K662" s="3">
        <f>+VLOOKUP($A662,MAGAZZINO!$B$2:$M$100000,11,FALSE)</f>
        <v/>
      </c>
      <c r="L662" s="5">
        <f>+VLOOKUP($A662,MAGAZZINO!$B$2:$M$100000,12,FALSE)</f>
        <v/>
      </c>
      <c r="M662" s="47" t="n"/>
      <c r="N662" s="88" t="n">
        <v>45874</v>
      </c>
      <c r="O662" s="91" t="inlineStr">
        <is>
          <t>PHILIPPOS CONSTANTINIDES TRADING CO. LTD (CIPRO)</t>
        </is>
      </c>
      <c r="P662" s="154" t="inlineStr">
        <is>
          <t xml:space="preserve">IMPORT LICENSE N. 218 DEL 12/08/2020                                                                                         AUT. TRASFERIMENTO N. 6B/2025/3D RILASCIATA IL 28/07/2025   </t>
        </is>
      </c>
      <c r="Q662" s="150" t="n"/>
      <c r="R662" s="150" t="n"/>
      <c r="S662" s="153" t="n"/>
    </row>
    <row r="663" ht="36" customHeight="1">
      <c r="A663" s="46" t="n">
        <v>2993</v>
      </c>
      <c r="B663" s="4">
        <f>+VLOOKUP($A663,MAGAZZINO!$B$2:$M$100000,2,FALSE)</f>
        <v/>
      </c>
      <c r="C663" s="29">
        <f>+VLOOKUP($A663,MAGAZZINO!$B$2:$M$100000,3,FALSE)</f>
        <v/>
      </c>
      <c r="D663" s="3">
        <f>+VLOOKUP($A663,MAGAZZINO!$B$2:$M$100000,4,FALSE)</f>
        <v/>
      </c>
      <c r="E663" s="3">
        <f>+VLOOKUP($A663,MAGAZZINO!$B$2:$M$100000,5,FALSE)</f>
        <v/>
      </c>
      <c r="F663" s="3">
        <f>+VLOOKUP($A663,MAGAZZINO!$B$2:$M$100000,6,FALSE)</f>
        <v/>
      </c>
      <c r="G663" s="3">
        <f>+VLOOKUP($A663,MAGAZZINO!$B$2:$M$100000,7,FALSE)</f>
        <v/>
      </c>
      <c r="H663" s="3">
        <f>+VLOOKUP($A663,MAGAZZINO!$B$2:$M$100000,8,FALSE)</f>
        <v/>
      </c>
      <c r="I663" s="3">
        <f>+VLOOKUP($A663,MAGAZZINO!$B$2:$M$100000,9,FALSE)</f>
        <v/>
      </c>
      <c r="J663" s="3">
        <f>+VLOOKUP($A663,MAGAZZINO!$B$2:$M$100000,10,FALSE)</f>
        <v/>
      </c>
      <c r="K663" s="3">
        <f>+VLOOKUP($A663,MAGAZZINO!$B$2:$M$100000,11,FALSE)</f>
        <v/>
      </c>
      <c r="L663" s="5">
        <f>+VLOOKUP($A663,MAGAZZINO!$B$2:$M$100000,12,FALSE)</f>
        <v/>
      </c>
      <c r="M663" s="47" t="n"/>
      <c r="N663" s="88" t="n">
        <v>45874</v>
      </c>
      <c r="O663" s="91" t="inlineStr">
        <is>
          <t>PHILIPPOS CONSTANTINIDES TRADING CO. LTD (CIPRO)</t>
        </is>
      </c>
      <c r="P663" s="154" t="inlineStr">
        <is>
          <t xml:space="preserve">IMPORT LICENSE N. 218 DEL 12/08/2020                                                                                         AUT. TRASFERIMENTO N. 6B/2025/3D RILASCIATA IL 28/07/2025   </t>
        </is>
      </c>
      <c r="Q663" s="150" t="n"/>
      <c r="R663" s="150" t="n"/>
      <c r="S663" s="153" t="n"/>
    </row>
    <row r="664" ht="36" customHeight="1">
      <c r="A664" s="46" t="n">
        <v>2994</v>
      </c>
      <c r="B664" s="4">
        <f>+VLOOKUP($A664,MAGAZZINO!$B$2:$M$100000,2,FALSE)</f>
        <v/>
      </c>
      <c r="C664" s="29">
        <f>+VLOOKUP($A664,MAGAZZINO!$B$2:$M$100000,3,FALSE)</f>
        <v/>
      </c>
      <c r="D664" s="3">
        <f>+VLOOKUP($A664,MAGAZZINO!$B$2:$M$100000,4,FALSE)</f>
        <v/>
      </c>
      <c r="E664" s="3">
        <f>+VLOOKUP($A664,MAGAZZINO!$B$2:$M$100000,5,FALSE)</f>
        <v/>
      </c>
      <c r="F664" s="3">
        <f>+VLOOKUP($A664,MAGAZZINO!$B$2:$M$100000,6,FALSE)</f>
        <v/>
      </c>
      <c r="G664" s="3">
        <f>+VLOOKUP($A664,MAGAZZINO!$B$2:$M$100000,7,FALSE)</f>
        <v/>
      </c>
      <c r="H664" s="3">
        <f>+VLOOKUP($A664,MAGAZZINO!$B$2:$M$100000,8,FALSE)</f>
        <v/>
      </c>
      <c r="I664" s="3">
        <f>+VLOOKUP($A664,MAGAZZINO!$B$2:$M$100000,9,FALSE)</f>
        <v/>
      </c>
      <c r="J664" s="3">
        <f>+VLOOKUP($A664,MAGAZZINO!$B$2:$M$100000,10,FALSE)</f>
        <v/>
      </c>
      <c r="K664" s="3">
        <f>+VLOOKUP($A664,MAGAZZINO!$B$2:$M$100000,11,FALSE)</f>
        <v/>
      </c>
      <c r="L664" s="5">
        <f>+VLOOKUP($A664,MAGAZZINO!$B$2:$M$100000,12,FALSE)</f>
        <v/>
      </c>
      <c r="M664" s="47" t="n"/>
      <c r="N664" s="88" t="n">
        <v>45874</v>
      </c>
      <c r="O664" s="91" t="inlineStr">
        <is>
          <t>PHILIPPOS CONSTANTINIDES TRADING CO. LTD (CIPRO)</t>
        </is>
      </c>
      <c r="P664" s="154" t="inlineStr">
        <is>
          <t xml:space="preserve">IMPORT LICENSE N. 218 DEL 12/08/2020                                                                                         AUT. TRASFERIMENTO N. 6B/2025/3D RILASCIATA IL 28/07/2025   </t>
        </is>
      </c>
      <c r="Q664" s="150" t="n"/>
      <c r="R664" s="150" t="n"/>
      <c r="S664" s="153" t="n"/>
    </row>
    <row r="665" ht="36" customHeight="1">
      <c r="A665" s="46" t="n">
        <v>2995</v>
      </c>
      <c r="B665" s="4">
        <f>+VLOOKUP($A665,MAGAZZINO!$B$2:$M$100000,2,FALSE)</f>
        <v/>
      </c>
      <c r="C665" s="29">
        <f>+VLOOKUP($A665,MAGAZZINO!$B$2:$M$100000,3,FALSE)</f>
        <v/>
      </c>
      <c r="D665" s="3">
        <f>+VLOOKUP($A665,MAGAZZINO!$B$2:$M$100000,4,FALSE)</f>
        <v/>
      </c>
      <c r="E665" s="3">
        <f>+VLOOKUP($A665,MAGAZZINO!$B$2:$M$100000,5,FALSE)</f>
        <v/>
      </c>
      <c r="F665" s="3">
        <f>+VLOOKUP($A665,MAGAZZINO!$B$2:$M$100000,6,FALSE)</f>
        <v/>
      </c>
      <c r="G665" s="3">
        <f>+VLOOKUP($A665,MAGAZZINO!$B$2:$M$100000,7,FALSE)</f>
        <v/>
      </c>
      <c r="H665" s="3">
        <f>+VLOOKUP($A665,MAGAZZINO!$B$2:$M$100000,8,FALSE)</f>
        <v/>
      </c>
      <c r="I665" s="3">
        <f>+VLOOKUP($A665,MAGAZZINO!$B$2:$M$100000,9,FALSE)</f>
        <v/>
      </c>
      <c r="J665" s="3">
        <f>+VLOOKUP($A665,MAGAZZINO!$B$2:$M$100000,10,FALSE)</f>
        <v/>
      </c>
      <c r="K665" s="3">
        <f>+VLOOKUP($A665,MAGAZZINO!$B$2:$M$100000,11,FALSE)</f>
        <v/>
      </c>
      <c r="L665" s="5">
        <f>+VLOOKUP($A665,MAGAZZINO!$B$2:$M$100000,12,FALSE)</f>
        <v/>
      </c>
      <c r="M665" s="47" t="n"/>
      <c r="N665" s="88" t="n">
        <v>45874</v>
      </c>
      <c r="O665" s="91" t="inlineStr">
        <is>
          <t>PHILIPPOS CONSTANTINIDES TRADING CO. LTD (CIPRO)</t>
        </is>
      </c>
      <c r="P665" s="154" t="inlineStr">
        <is>
          <t xml:space="preserve">IMPORT LICENSE N. 218 DEL 12/08/2020                                                                                         AUT. TRASFERIMENTO N. 6B/2025/3D RILASCIATA IL 28/07/2025   </t>
        </is>
      </c>
      <c r="Q665" s="150" t="n"/>
      <c r="R665" s="150" t="n"/>
      <c r="S665" s="153" t="n"/>
    </row>
    <row r="666" ht="36" customHeight="1">
      <c r="A666" s="46" t="n">
        <v>2996</v>
      </c>
      <c r="B666" s="4">
        <f>+VLOOKUP($A666,MAGAZZINO!$B$2:$M$100000,2,FALSE)</f>
        <v/>
      </c>
      <c r="C666" s="29">
        <f>+VLOOKUP($A666,MAGAZZINO!$B$2:$M$100000,3,FALSE)</f>
        <v/>
      </c>
      <c r="D666" s="3">
        <f>+VLOOKUP($A666,MAGAZZINO!$B$2:$M$100000,4,FALSE)</f>
        <v/>
      </c>
      <c r="E666" s="3">
        <f>+VLOOKUP($A666,MAGAZZINO!$B$2:$M$100000,5,FALSE)</f>
        <v/>
      </c>
      <c r="F666" s="3">
        <f>+VLOOKUP($A666,MAGAZZINO!$B$2:$M$100000,6,FALSE)</f>
        <v/>
      </c>
      <c r="G666" s="3">
        <f>+VLOOKUP($A666,MAGAZZINO!$B$2:$M$100000,7,FALSE)</f>
        <v/>
      </c>
      <c r="H666" s="3">
        <f>+VLOOKUP($A666,MAGAZZINO!$B$2:$M$100000,8,FALSE)</f>
        <v/>
      </c>
      <c r="I666" s="3">
        <f>+VLOOKUP($A666,MAGAZZINO!$B$2:$M$100000,9,FALSE)</f>
        <v/>
      </c>
      <c r="J666" s="3">
        <f>+VLOOKUP($A666,MAGAZZINO!$B$2:$M$100000,10,FALSE)</f>
        <v/>
      </c>
      <c r="K666" s="3">
        <f>+VLOOKUP($A666,MAGAZZINO!$B$2:$M$100000,11,FALSE)</f>
        <v/>
      </c>
      <c r="L666" s="5">
        <f>+VLOOKUP($A666,MAGAZZINO!$B$2:$M$100000,12,FALSE)</f>
        <v/>
      </c>
      <c r="M666" s="47" t="n"/>
      <c r="N666" s="88" t="n">
        <v>45874</v>
      </c>
      <c r="O666" s="91" t="inlineStr">
        <is>
          <t>PHILIPPOS CONSTANTINIDES TRADING CO. LTD (CIPRO)</t>
        </is>
      </c>
      <c r="P666" s="154" t="inlineStr">
        <is>
          <t xml:space="preserve">IMPORT LICENSE N. 218 DEL 12/08/2020                                                                                         AUT. TRASFERIMENTO N. 6B/2025/3D RILASCIATA IL 28/07/2025   </t>
        </is>
      </c>
      <c r="Q666" s="150" t="n"/>
      <c r="R666" s="150" t="n"/>
      <c r="S666" s="153" t="n"/>
    </row>
    <row r="667" ht="36" customHeight="1">
      <c r="A667" s="46" t="n">
        <v>2997</v>
      </c>
      <c r="B667" s="4">
        <f>+VLOOKUP($A667,MAGAZZINO!$B$2:$M$100000,2,FALSE)</f>
        <v/>
      </c>
      <c r="C667" s="29">
        <f>+VLOOKUP($A667,MAGAZZINO!$B$2:$M$100000,3,FALSE)</f>
        <v/>
      </c>
      <c r="D667" s="3">
        <f>+VLOOKUP($A667,MAGAZZINO!$B$2:$M$100000,4,FALSE)</f>
        <v/>
      </c>
      <c r="E667" s="3">
        <f>+VLOOKUP($A667,MAGAZZINO!$B$2:$M$100000,5,FALSE)</f>
        <v/>
      </c>
      <c r="F667" s="3">
        <f>+VLOOKUP($A667,MAGAZZINO!$B$2:$M$100000,6,FALSE)</f>
        <v/>
      </c>
      <c r="G667" s="3">
        <f>+VLOOKUP($A667,MAGAZZINO!$B$2:$M$100000,7,FALSE)</f>
        <v/>
      </c>
      <c r="H667" s="3">
        <f>+VLOOKUP($A667,MAGAZZINO!$B$2:$M$100000,8,FALSE)</f>
        <v/>
      </c>
      <c r="I667" s="3">
        <f>+VLOOKUP($A667,MAGAZZINO!$B$2:$M$100000,9,FALSE)</f>
        <v/>
      </c>
      <c r="J667" s="3">
        <f>+VLOOKUP($A667,MAGAZZINO!$B$2:$M$100000,10,FALSE)</f>
        <v/>
      </c>
      <c r="K667" s="3">
        <f>+VLOOKUP($A667,MAGAZZINO!$B$2:$M$100000,11,FALSE)</f>
        <v/>
      </c>
      <c r="L667" s="5">
        <f>+VLOOKUP($A667,MAGAZZINO!$B$2:$M$100000,12,FALSE)</f>
        <v/>
      </c>
      <c r="M667" s="47" t="n"/>
      <c r="N667" s="88" t="n">
        <v>45874</v>
      </c>
      <c r="O667" s="91" t="inlineStr">
        <is>
          <t>PHILIPPOS CONSTANTINIDES TRADING CO. LTD (CIPRO)</t>
        </is>
      </c>
      <c r="P667" s="154" t="inlineStr">
        <is>
          <t xml:space="preserve">IMPORT LICENSE N. 218 DEL 12/08/2020                                                                                         AUT. TRASFERIMENTO N. 6B/2025/3D RILASCIATA IL 28/07/2025   </t>
        </is>
      </c>
      <c r="Q667" s="150" t="n"/>
      <c r="R667" s="150" t="n"/>
      <c r="S667" s="153" t="n"/>
    </row>
    <row r="668" ht="36" customHeight="1">
      <c r="A668" s="46" t="n">
        <v>2998</v>
      </c>
      <c r="B668" s="4">
        <f>+VLOOKUP($A668,MAGAZZINO!$B$2:$M$100000,2,FALSE)</f>
        <v/>
      </c>
      <c r="C668" s="29">
        <f>+VLOOKUP($A668,MAGAZZINO!$B$2:$M$100000,3,FALSE)</f>
        <v/>
      </c>
      <c r="D668" s="3">
        <f>+VLOOKUP($A668,MAGAZZINO!$B$2:$M$100000,4,FALSE)</f>
        <v/>
      </c>
      <c r="E668" s="3">
        <f>+VLOOKUP($A668,MAGAZZINO!$B$2:$M$100000,5,FALSE)</f>
        <v/>
      </c>
      <c r="F668" s="3">
        <f>+VLOOKUP($A668,MAGAZZINO!$B$2:$M$100000,6,FALSE)</f>
        <v/>
      </c>
      <c r="G668" s="3">
        <f>+VLOOKUP($A668,MAGAZZINO!$B$2:$M$100000,7,FALSE)</f>
        <v/>
      </c>
      <c r="H668" s="3">
        <f>+VLOOKUP($A668,MAGAZZINO!$B$2:$M$100000,8,FALSE)</f>
        <v/>
      </c>
      <c r="I668" s="3">
        <f>+VLOOKUP($A668,MAGAZZINO!$B$2:$M$100000,9,FALSE)</f>
        <v/>
      </c>
      <c r="J668" s="3">
        <f>+VLOOKUP($A668,MAGAZZINO!$B$2:$M$100000,10,FALSE)</f>
        <v/>
      </c>
      <c r="K668" s="3">
        <f>+VLOOKUP($A668,MAGAZZINO!$B$2:$M$100000,11,FALSE)</f>
        <v/>
      </c>
      <c r="L668" s="5">
        <f>+VLOOKUP($A668,MAGAZZINO!$B$2:$M$100000,12,FALSE)</f>
        <v/>
      </c>
      <c r="M668" s="47" t="n"/>
      <c r="N668" s="88" t="n">
        <v>45874</v>
      </c>
      <c r="O668" s="91" t="inlineStr">
        <is>
          <t>PHILIPPOS CONSTANTINIDES TRADING CO. LTD (CIPRO)</t>
        </is>
      </c>
      <c r="P668" s="154" t="inlineStr">
        <is>
          <t xml:space="preserve">IMPORT LICENSE N. 218 DEL 12/08/2020                                                                                         AUT. TRASFERIMENTO N. 6B/2025/3D RILASCIATA IL 28/07/2025   </t>
        </is>
      </c>
      <c r="Q668" s="150" t="n"/>
      <c r="R668" s="150" t="n"/>
      <c r="S668" s="153" t="n"/>
    </row>
    <row r="669" ht="36" customHeight="1">
      <c r="A669" s="46" t="n">
        <v>2999</v>
      </c>
      <c r="B669" s="4">
        <f>+VLOOKUP($A669,MAGAZZINO!$B$2:$M$100000,2,FALSE)</f>
        <v/>
      </c>
      <c r="C669" s="29">
        <f>+VLOOKUP($A669,MAGAZZINO!$B$2:$M$100000,3,FALSE)</f>
        <v/>
      </c>
      <c r="D669" s="3">
        <f>+VLOOKUP($A669,MAGAZZINO!$B$2:$M$100000,4,FALSE)</f>
        <v/>
      </c>
      <c r="E669" s="3">
        <f>+VLOOKUP($A669,MAGAZZINO!$B$2:$M$100000,5,FALSE)</f>
        <v/>
      </c>
      <c r="F669" s="3">
        <f>+VLOOKUP($A669,MAGAZZINO!$B$2:$M$100000,6,FALSE)</f>
        <v/>
      </c>
      <c r="G669" s="3">
        <f>+VLOOKUP($A669,MAGAZZINO!$B$2:$M$100000,7,FALSE)</f>
        <v/>
      </c>
      <c r="H669" s="3">
        <f>+VLOOKUP($A669,MAGAZZINO!$B$2:$M$100000,8,FALSE)</f>
        <v/>
      </c>
      <c r="I669" s="3">
        <f>+VLOOKUP($A669,MAGAZZINO!$B$2:$M$100000,9,FALSE)</f>
        <v/>
      </c>
      <c r="J669" s="3">
        <f>+VLOOKUP($A669,MAGAZZINO!$B$2:$M$100000,10,FALSE)</f>
        <v/>
      </c>
      <c r="K669" s="3">
        <f>+VLOOKUP($A669,MAGAZZINO!$B$2:$M$100000,11,FALSE)</f>
        <v/>
      </c>
      <c r="L669" s="5">
        <f>+VLOOKUP($A669,MAGAZZINO!$B$2:$M$100000,12,FALSE)</f>
        <v/>
      </c>
      <c r="M669" s="47" t="n"/>
      <c r="N669" s="54" t="n"/>
      <c r="O669" s="3" t="n"/>
      <c r="P669" s="99" t="n"/>
      <c r="Q669" s="100" t="n"/>
      <c r="R669" s="100" t="n"/>
      <c r="S669" s="101" t="n"/>
    </row>
    <row r="670" ht="36" customHeight="1">
      <c r="A670" s="46" t="n">
        <v>3000</v>
      </c>
      <c r="B670" s="4">
        <f>+VLOOKUP($A670,MAGAZZINO!$B$2:$M$100000,2,FALSE)</f>
        <v/>
      </c>
      <c r="C670" s="29">
        <f>+VLOOKUP($A670,MAGAZZINO!$B$2:$M$100000,3,FALSE)</f>
        <v/>
      </c>
      <c r="D670" s="3">
        <f>+VLOOKUP($A670,MAGAZZINO!$B$2:$M$100000,4,FALSE)</f>
        <v/>
      </c>
      <c r="E670" s="3">
        <f>+VLOOKUP($A670,MAGAZZINO!$B$2:$M$100000,5,FALSE)</f>
        <v/>
      </c>
      <c r="F670" s="3">
        <f>+VLOOKUP($A670,MAGAZZINO!$B$2:$M$100000,6,FALSE)</f>
        <v/>
      </c>
      <c r="G670" s="3">
        <f>+VLOOKUP($A670,MAGAZZINO!$B$2:$M$100000,7,FALSE)</f>
        <v/>
      </c>
      <c r="H670" s="3">
        <f>+VLOOKUP($A670,MAGAZZINO!$B$2:$M$100000,8,FALSE)</f>
        <v/>
      </c>
      <c r="I670" s="3">
        <f>+VLOOKUP($A670,MAGAZZINO!$B$2:$M$100000,9,FALSE)</f>
        <v/>
      </c>
      <c r="J670" s="3">
        <f>+VLOOKUP($A670,MAGAZZINO!$B$2:$M$100000,10,FALSE)</f>
        <v/>
      </c>
      <c r="K670" s="3">
        <f>+VLOOKUP($A670,MAGAZZINO!$B$2:$M$100000,11,FALSE)</f>
        <v/>
      </c>
      <c r="L670" s="5">
        <f>+VLOOKUP($A670,MAGAZZINO!$B$2:$M$100000,12,FALSE)</f>
        <v/>
      </c>
      <c r="M670" s="47" t="n"/>
      <c r="N670" s="54" t="n"/>
      <c r="O670" s="3" t="n"/>
      <c r="P670" s="99" t="n"/>
      <c r="Q670" s="100" t="n"/>
      <c r="R670" s="100" t="n"/>
      <c r="S670" s="101" t="n"/>
    </row>
    <row r="671" ht="36" customHeight="1">
      <c r="A671" s="46" t="n">
        <v>3001</v>
      </c>
      <c r="B671" s="4">
        <f>+VLOOKUP($A671,MAGAZZINO!$B$2:$M$100000,2,FALSE)</f>
        <v/>
      </c>
      <c r="C671" s="29">
        <f>+VLOOKUP($A671,MAGAZZINO!$B$2:$M$100000,3,FALSE)</f>
        <v/>
      </c>
      <c r="D671" s="3">
        <f>+VLOOKUP($A671,MAGAZZINO!$B$2:$M$100000,4,FALSE)</f>
        <v/>
      </c>
      <c r="E671" s="3">
        <f>+VLOOKUP($A671,MAGAZZINO!$B$2:$M$100000,5,FALSE)</f>
        <v/>
      </c>
      <c r="F671" s="3">
        <f>+VLOOKUP($A671,MAGAZZINO!$B$2:$M$100000,6,FALSE)</f>
        <v/>
      </c>
      <c r="G671" s="3" t="inlineStr">
        <is>
          <t>T-BOLT TGT/VMT BLUED GREY LAMINATE ADJ THR 19''</t>
        </is>
      </c>
      <c r="H671" s="3">
        <f>+VLOOKUP($A671,MAGAZZINO!$B$2:$M$100000,8,FALSE)</f>
        <v/>
      </c>
      <c r="I671" s="3">
        <f>+VLOOKUP($A671,MAGAZZINO!$B$2:$M$100000,9,FALSE)</f>
        <v/>
      </c>
      <c r="J671" s="3">
        <f>+VLOOKUP($A671,MAGAZZINO!$B$2:$M$100000,10,FALSE)</f>
        <v/>
      </c>
      <c r="K671" s="3">
        <f>+VLOOKUP($A671,MAGAZZINO!$B$2:$M$100000,11,FALSE)</f>
        <v/>
      </c>
      <c r="L671" s="5">
        <f>+VLOOKUP($A671,MAGAZZINO!$B$2:$M$100000,12,FALSE)</f>
        <v/>
      </c>
      <c r="M671" s="47" t="n"/>
      <c r="N671" s="88" t="n">
        <v>45874</v>
      </c>
      <c r="O671" s="91" t="inlineStr">
        <is>
          <t>PHILIPPOS CONSTANTINIDES TRADING CO. LTD (CIPRO)</t>
        </is>
      </c>
      <c r="P671" s="154" t="inlineStr">
        <is>
          <t xml:space="preserve">IMPORT LICENSE N. 218 DEL 12/08/2020                                                                                         AUT. TRASFERIMENTO N. 6B/2025/3D RILASCIATA IL 28/07/2025   </t>
        </is>
      </c>
      <c r="Q671" s="150" t="n"/>
      <c r="R671" s="150" t="n"/>
      <c r="S671" s="153" t="n"/>
    </row>
    <row r="672" ht="36" customHeight="1">
      <c r="A672" s="46" t="n">
        <v>3002</v>
      </c>
      <c r="B672" s="4">
        <f>+VLOOKUP($A672,MAGAZZINO!$B$2:$M$100000,2,FALSE)</f>
        <v/>
      </c>
      <c r="C672" s="29">
        <f>+VLOOKUP($A672,MAGAZZINO!$B$2:$M$100000,3,FALSE)</f>
        <v/>
      </c>
      <c r="D672" s="3">
        <f>+VLOOKUP($A672,MAGAZZINO!$B$2:$M$100000,4,FALSE)</f>
        <v/>
      </c>
      <c r="E672" s="3">
        <f>+VLOOKUP($A672,MAGAZZINO!$B$2:$M$100000,5,FALSE)</f>
        <v/>
      </c>
      <c r="F672" s="3">
        <f>+VLOOKUP($A672,MAGAZZINO!$B$2:$M$100000,6,FALSE)</f>
        <v/>
      </c>
      <c r="G672" s="3">
        <f>+VLOOKUP($A672,MAGAZZINO!$B$2:$M$100000,7,FALSE)</f>
        <v/>
      </c>
      <c r="H672" s="3">
        <f>+VLOOKUP($A672,MAGAZZINO!$B$2:$M$100000,8,FALSE)</f>
        <v/>
      </c>
      <c r="I672" s="3">
        <f>+VLOOKUP($A672,MAGAZZINO!$B$2:$M$100000,9,FALSE)</f>
        <v/>
      </c>
      <c r="J672" s="3">
        <f>+VLOOKUP($A672,MAGAZZINO!$B$2:$M$100000,10,FALSE)</f>
        <v/>
      </c>
      <c r="K672" s="3">
        <f>+VLOOKUP($A672,MAGAZZINO!$B$2:$M$100000,11,FALSE)</f>
        <v/>
      </c>
      <c r="L672" s="5">
        <f>+VLOOKUP($A672,MAGAZZINO!$B$2:$M$100000,12,FALSE)</f>
        <v/>
      </c>
      <c r="M672" s="47" t="n"/>
      <c r="N672" s="88" t="n">
        <v>45874</v>
      </c>
      <c r="O672" s="91" t="inlineStr">
        <is>
          <t>PHILIPPOS CONSTANTINIDES TRADING CO. LTD (CIPRO)</t>
        </is>
      </c>
      <c r="P672" s="154" t="inlineStr">
        <is>
          <t xml:space="preserve">IMPORT LICENSE N. 218 DEL 12/08/2020                                                                                         AUT. TRASFERIMENTO N. 6B/2025/3D RILASCIATA IL 28/07/2025   </t>
        </is>
      </c>
      <c r="Q672" s="150" t="n"/>
      <c r="R672" s="150" t="n"/>
      <c r="S672" s="153" t="n"/>
    </row>
    <row r="673" ht="36" customHeight="1">
      <c r="A673" s="46" t="n">
        <v>3003</v>
      </c>
      <c r="B673" s="4">
        <f>+VLOOKUP($A673,MAGAZZINO!$B$2:$M$100000,2,FALSE)</f>
        <v/>
      </c>
      <c r="C673" s="29">
        <f>+VLOOKUP($A673,MAGAZZINO!$B$2:$M$100000,3,FALSE)</f>
        <v/>
      </c>
      <c r="D673" s="3">
        <f>+VLOOKUP($A673,MAGAZZINO!$B$2:$M$100000,4,FALSE)</f>
        <v/>
      </c>
      <c r="E673" s="3">
        <f>+VLOOKUP($A673,MAGAZZINO!$B$2:$M$100000,5,FALSE)</f>
        <v/>
      </c>
      <c r="F673" s="3">
        <f>+VLOOKUP($A673,MAGAZZINO!$B$2:$M$100000,6,FALSE)</f>
        <v/>
      </c>
      <c r="G673" s="3">
        <f>+VLOOKUP($A673,MAGAZZINO!$B$2:$M$100000,7,FALSE)</f>
        <v/>
      </c>
      <c r="H673" s="3">
        <f>+VLOOKUP($A673,MAGAZZINO!$B$2:$M$100000,8,FALSE)</f>
        <v/>
      </c>
      <c r="I673" s="3">
        <f>+VLOOKUP($A673,MAGAZZINO!$B$2:$M$100000,9,FALSE)</f>
        <v/>
      </c>
      <c r="J673" s="3">
        <f>+VLOOKUP($A673,MAGAZZINO!$B$2:$M$100000,10,FALSE)</f>
        <v/>
      </c>
      <c r="K673" s="3">
        <f>+VLOOKUP($A673,MAGAZZINO!$B$2:$M$100000,11,FALSE)</f>
        <v/>
      </c>
      <c r="L673" s="5">
        <f>+VLOOKUP($A673,MAGAZZINO!$B$2:$M$100000,12,FALSE)</f>
        <v/>
      </c>
      <c r="M673" s="47" t="n"/>
      <c r="N673" s="88" t="n">
        <v>45874</v>
      </c>
      <c r="O673" s="91" t="inlineStr">
        <is>
          <t>PHILIPPOS CONSTANTINIDES TRADING CO. LTD (CIPRO)</t>
        </is>
      </c>
      <c r="P673" s="154" t="inlineStr">
        <is>
          <t xml:space="preserve">IMPORT LICENSE N. 218 DEL 12/08/2020                                                                                         AUT. TRASFERIMENTO N. 6B/2025/3D RILASCIATA IL 28/07/2025   </t>
        </is>
      </c>
      <c r="Q673" s="150" t="n"/>
      <c r="R673" s="150" t="n"/>
      <c r="S673" s="153" t="n"/>
    </row>
    <row r="674" ht="36" customHeight="1">
      <c r="A674" s="46" t="n">
        <v>3004</v>
      </c>
      <c r="B674" s="4">
        <f>+VLOOKUP($A674,MAGAZZINO!$B$2:$M$100000,2,FALSE)</f>
        <v/>
      </c>
      <c r="C674" s="29">
        <f>+VLOOKUP($A674,MAGAZZINO!$B$2:$M$100000,3,FALSE)</f>
        <v/>
      </c>
      <c r="D674" s="3">
        <f>+VLOOKUP($A674,MAGAZZINO!$B$2:$M$100000,4,FALSE)</f>
        <v/>
      </c>
      <c r="E674" s="3">
        <f>+VLOOKUP($A674,MAGAZZINO!$B$2:$M$100000,5,FALSE)</f>
        <v/>
      </c>
      <c r="F674" s="3">
        <f>+VLOOKUP($A674,MAGAZZINO!$B$2:$M$100000,6,FALSE)</f>
        <v/>
      </c>
      <c r="G674" s="3">
        <f>+VLOOKUP($A674,MAGAZZINO!$B$2:$M$100000,7,FALSE)</f>
        <v/>
      </c>
      <c r="H674" s="3">
        <f>+VLOOKUP($A674,MAGAZZINO!$B$2:$M$100000,8,FALSE)</f>
        <v/>
      </c>
      <c r="I674" s="3">
        <f>+VLOOKUP($A674,MAGAZZINO!$B$2:$M$100000,9,FALSE)</f>
        <v/>
      </c>
      <c r="J674" s="3">
        <f>+VLOOKUP($A674,MAGAZZINO!$B$2:$M$100000,10,FALSE)</f>
        <v/>
      </c>
      <c r="K674" s="3">
        <f>+VLOOKUP($A674,MAGAZZINO!$B$2:$M$100000,11,FALSE)</f>
        <v/>
      </c>
      <c r="L674" s="5">
        <f>+VLOOKUP($A674,MAGAZZINO!$B$2:$M$100000,12,FALSE)</f>
        <v/>
      </c>
      <c r="M674" s="47" t="n"/>
      <c r="N674" s="88" t="n">
        <v>45874</v>
      </c>
      <c r="O674" s="91" t="inlineStr">
        <is>
          <t>PHILIPPOS CONSTANTINIDES TRADING CO. LTD (CIPRO)</t>
        </is>
      </c>
      <c r="P674" s="154" t="inlineStr">
        <is>
          <t xml:space="preserve">IMPORT LICENSE N. 218 DEL 12/08/2020                                                                                         AUT. TRASFERIMENTO N. 6B/2025/3D RILASCIATA IL 28/07/2025   </t>
        </is>
      </c>
      <c r="Q674" s="150" t="n"/>
      <c r="R674" s="150" t="n"/>
      <c r="S674" s="153" t="n"/>
    </row>
    <row r="675" ht="36" customHeight="1">
      <c r="A675" s="46" t="n">
        <v>3005</v>
      </c>
      <c r="B675" s="4">
        <f>+VLOOKUP($A675,MAGAZZINO!$B$2:$M$100000,2,FALSE)</f>
        <v/>
      </c>
      <c r="C675" s="29">
        <f>+VLOOKUP($A675,MAGAZZINO!$B$2:$M$100000,3,FALSE)</f>
        <v/>
      </c>
      <c r="D675" s="3">
        <f>+VLOOKUP($A675,MAGAZZINO!$B$2:$M$100000,4,FALSE)</f>
        <v/>
      </c>
      <c r="E675" s="3">
        <f>+VLOOKUP($A675,MAGAZZINO!$B$2:$M$100000,5,FALSE)</f>
        <v/>
      </c>
      <c r="F675" s="3">
        <f>+VLOOKUP($A675,MAGAZZINO!$B$2:$M$100000,6,FALSE)</f>
        <v/>
      </c>
      <c r="G675" s="3">
        <f>+VLOOKUP($A675,MAGAZZINO!$B$2:$M$100000,7,FALSE)</f>
        <v/>
      </c>
      <c r="H675" s="3">
        <f>+VLOOKUP($A675,MAGAZZINO!$B$2:$M$100000,8,FALSE)</f>
        <v/>
      </c>
      <c r="I675" s="3">
        <f>+VLOOKUP($A675,MAGAZZINO!$B$2:$M$100000,9,FALSE)</f>
        <v/>
      </c>
      <c r="J675" s="3">
        <f>+VLOOKUP($A675,MAGAZZINO!$B$2:$M$100000,10,FALSE)</f>
        <v/>
      </c>
      <c r="K675" s="3">
        <f>+VLOOKUP($A675,MAGAZZINO!$B$2:$M$100000,11,FALSE)</f>
        <v/>
      </c>
      <c r="L675" s="5">
        <f>+VLOOKUP($A675,MAGAZZINO!$B$2:$M$100000,12,FALSE)</f>
        <v/>
      </c>
      <c r="M675" s="47" t="n"/>
      <c r="N675" s="88" t="n"/>
      <c r="O675" s="91" t="n"/>
      <c r="P675" s="154" t="n"/>
      <c r="Q675" s="150" t="n"/>
      <c r="R675" s="150" t="n"/>
      <c r="S675" s="153" t="n"/>
    </row>
    <row r="676" ht="36" customHeight="1">
      <c r="A676" s="46" t="n">
        <v>3006</v>
      </c>
      <c r="B676" s="4">
        <f>+VLOOKUP($A676,MAGAZZINO!$B$2:$M$100000,2,FALSE)</f>
        <v/>
      </c>
      <c r="C676" s="29">
        <f>+VLOOKUP($A676,MAGAZZINO!$B$2:$M$100000,3,FALSE)</f>
        <v/>
      </c>
      <c r="D676" s="3">
        <f>+VLOOKUP($A676,MAGAZZINO!$B$2:$M$100000,4,FALSE)</f>
        <v/>
      </c>
      <c r="E676" s="3">
        <f>+VLOOKUP($A676,MAGAZZINO!$B$2:$M$100000,5,FALSE)</f>
        <v/>
      </c>
      <c r="F676" s="3">
        <f>+VLOOKUP($A676,MAGAZZINO!$B$2:$M$100000,6,FALSE)</f>
        <v/>
      </c>
      <c r="G676" s="3">
        <f>+VLOOKUP($A676,MAGAZZINO!$B$2:$M$100000,7,FALSE)</f>
        <v/>
      </c>
      <c r="H676" s="3">
        <f>+VLOOKUP($A676,MAGAZZINO!$B$2:$M$100000,8,FALSE)</f>
        <v/>
      </c>
      <c r="I676" s="3">
        <f>+VLOOKUP($A676,MAGAZZINO!$B$2:$M$100000,9,FALSE)</f>
        <v/>
      </c>
      <c r="J676" s="3">
        <f>+VLOOKUP($A676,MAGAZZINO!$B$2:$M$100000,10,FALSE)</f>
        <v/>
      </c>
      <c r="K676" s="3">
        <f>+VLOOKUP($A676,MAGAZZINO!$B$2:$M$100000,11,FALSE)</f>
        <v/>
      </c>
      <c r="L676" s="5">
        <f>+VLOOKUP($A676,MAGAZZINO!$B$2:$M$100000,12,FALSE)</f>
        <v/>
      </c>
      <c r="M676" s="47" t="n"/>
      <c r="N676" s="88" t="n">
        <v>45874</v>
      </c>
      <c r="O676" s="91" t="inlineStr">
        <is>
          <t>PHILIPPOS CONSTANTINIDES TRADING CO. LTD (CIPRO)</t>
        </is>
      </c>
      <c r="P676" s="154" t="inlineStr">
        <is>
          <t xml:space="preserve">IMPORT LICENSE N. 218 DEL 12/08/2020                                                                                         AUT. TRASFERIMENTO N. 6B/2025/3D RILASCIATA IL 28/07/2025   </t>
        </is>
      </c>
      <c r="Q676" s="150" t="n"/>
      <c r="R676" s="150" t="n"/>
      <c r="S676" s="153" t="n"/>
    </row>
    <row r="677" ht="36" customHeight="1">
      <c r="A677" s="46" t="n">
        <v>3007</v>
      </c>
      <c r="B677" s="4">
        <f>+VLOOKUP($A677,MAGAZZINO!$B$2:$M$100000,2,FALSE)</f>
        <v/>
      </c>
      <c r="C677" s="29">
        <f>+VLOOKUP($A677,MAGAZZINO!$B$2:$M$100000,3,FALSE)</f>
        <v/>
      </c>
      <c r="D677" s="3">
        <f>+VLOOKUP($A677,MAGAZZINO!$B$2:$M$100000,4,FALSE)</f>
        <v/>
      </c>
      <c r="E677" s="3">
        <f>+VLOOKUP($A677,MAGAZZINO!$B$2:$M$100000,5,FALSE)</f>
        <v/>
      </c>
      <c r="F677" s="3">
        <f>+VLOOKUP($A677,MAGAZZINO!$B$2:$M$100000,6,FALSE)</f>
        <v/>
      </c>
      <c r="G677" s="3">
        <f>+VLOOKUP($A677,MAGAZZINO!$B$2:$M$100000,7,FALSE)</f>
        <v/>
      </c>
      <c r="H677" s="3">
        <f>+VLOOKUP($A677,MAGAZZINO!$B$2:$M$100000,8,FALSE)</f>
        <v/>
      </c>
      <c r="I677" s="3">
        <f>+VLOOKUP($A677,MAGAZZINO!$B$2:$M$100000,9,FALSE)</f>
        <v/>
      </c>
      <c r="J677" s="3">
        <f>+VLOOKUP($A677,MAGAZZINO!$B$2:$M$100000,10,FALSE)</f>
        <v/>
      </c>
      <c r="K677" s="3">
        <f>+VLOOKUP($A677,MAGAZZINO!$B$2:$M$100000,11,FALSE)</f>
        <v/>
      </c>
      <c r="L677" s="5">
        <f>+VLOOKUP($A677,MAGAZZINO!$B$2:$M$100000,12,FALSE)</f>
        <v/>
      </c>
      <c r="M677" s="47" t="n"/>
      <c r="N677" s="88" t="n">
        <v>45874</v>
      </c>
      <c r="O677" s="91" t="inlineStr">
        <is>
          <t>PHILIPPOS CONSTANTINIDES TRADING CO. LTD (CIPRO)</t>
        </is>
      </c>
      <c r="P677" s="154" t="inlineStr">
        <is>
          <t xml:space="preserve">IMPORT LICENSE N. 218 DEL 12/08/2020                                                                                         AUT. TRASFERIMENTO N. 6B/2025/3D RILASCIATA IL 28/07/2025   </t>
        </is>
      </c>
      <c r="Q677" s="150" t="n"/>
      <c r="R677" s="150" t="n"/>
      <c r="S677" s="153" t="n"/>
    </row>
    <row r="678" ht="36" customHeight="1">
      <c r="A678" s="46" t="n">
        <v>3008</v>
      </c>
      <c r="B678" s="4">
        <f>+VLOOKUP($A678,MAGAZZINO!$B$2:$M$100000,2,FALSE)</f>
        <v/>
      </c>
      <c r="C678" s="29">
        <f>+VLOOKUP($A678,MAGAZZINO!$B$2:$M$100000,3,FALSE)</f>
        <v/>
      </c>
      <c r="D678" s="3">
        <f>+VLOOKUP($A678,MAGAZZINO!$B$2:$M$100000,4,FALSE)</f>
        <v/>
      </c>
      <c r="E678" s="3">
        <f>+VLOOKUP($A678,MAGAZZINO!$B$2:$M$100000,5,FALSE)</f>
        <v/>
      </c>
      <c r="F678" s="3">
        <f>+VLOOKUP($A678,MAGAZZINO!$B$2:$M$100000,6,FALSE)</f>
        <v/>
      </c>
      <c r="G678" s="3">
        <f>+VLOOKUP($A678,MAGAZZINO!$B$2:$M$100000,7,FALSE)</f>
        <v/>
      </c>
      <c r="H678" s="3">
        <f>+VLOOKUP($A678,MAGAZZINO!$B$2:$M$100000,8,FALSE)</f>
        <v/>
      </c>
      <c r="I678" s="3">
        <f>+VLOOKUP($A678,MAGAZZINO!$B$2:$M$100000,9,FALSE)</f>
        <v/>
      </c>
      <c r="J678" s="3">
        <f>+VLOOKUP($A678,MAGAZZINO!$B$2:$M$100000,10,FALSE)</f>
        <v/>
      </c>
      <c r="K678" s="3">
        <f>+VLOOKUP($A678,MAGAZZINO!$B$2:$M$100000,11,FALSE)</f>
        <v/>
      </c>
      <c r="L678" s="5">
        <f>+VLOOKUP($A678,MAGAZZINO!$B$2:$M$100000,12,FALSE)</f>
        <v/>
      </c>
      <c r="M678" s="47" t="n"/>
      <c r="N678" s="88" t="n">
        <v>45874</v>
      </c>
      <c r="O678" s="91" t="inlineStr">
        <is>
          <t>PHILIPPOS CONSTANTINIDES TRADING CO. LTD (CIPRO)</t>
        </is>
      </c>
      <c r="P678" s="154" t="inlineStr">
        <is>
          <t xml:space="preserve">IMPORT LICENSE N. 218 DEL 12/08/2020                                                                                         AUT. TRASFERIMENTO N. 6B/2025/3D RILASCIATA IL 28/07/2025   </t>
        </is>
      </c>
      <c r="Q678" s="150" t="n"/>
      <c r="R678" s="150" t="n"/>
      <c r="S678" s="153" t="n"/>
    </row>
    <row r="679" ht="36" customHeight="1">
      <c r="A679" s="46" t="n">
        <v>3009</v>
      </c>
      <c r="B679" s="4">
        <f>+VLOOKUP($A679,MAGAZZINO!$B$2:$M$100000,2,FALSE)</f>
        <v/>
      </c>
      <c r="C679" s="29">
        <f>+VLOOKUP($A679,MAGAZZINO!$B$2:$M$100000,3,FALSE)</f>
        <v/>
      </c>
      <c r="D679" s="3">
        <f>+VLOOKUP($A679,MAGAZZINO!$B$2:$M$100000,4,FALSE)</f>
        <v/>
      </c>
      <c r="E679" s="3">
        <f>+VLOOKUP($A679,MAGAZZINO!$B$2:$M$100000,5,FALSE)</f>
        <v/>
      </c>
      <c r="F679" s="3">
        <f>+VLOOKUP($A679,MAGAZZINO!$B$2:$M$100000,6,FALSE)</f>
        <v/>
      </c>
      <c r="G679" s="3">
        <f>+VLOOKUP($A679,MAGAZZINO!$B$2:$M$100000,7,FALSE)</f>
        <v/>
      </c>
      <c r="H679" s="3">
        <f>+VLOOKUP($A679,MAGAZZINO!$B$2:$M$100000,8,FALSE)</f>
        <v/>
      </c>
      <c r="I679" s="3">
        <f>+VLOOKUP($A679,MAGAZZINO!$B$2:$M$100000,9,FALSE)</f>
        <v/>
      </c>
      <c r="J679" s="3">
        <f>+VLOOKUP($A679,MAGAZZINO!$B$2:$M$100000,10,FALSE)</f>
        <v/>
      </c>
      <c r="K679" s="3">
        <f>+VLOOKUP($A679,MAGAZZINO!$B$2:$M$100000,11,FALSE)</f>
        <v/>
      </c>
      <c r="L679" s="5">
        <f>+VLOOKUP($A679,MAGAZZINO!$B$2:$M$100000,12,FALSE)</f>
        <v/>
      </c>
      <c r="M679" s="47" t="n"/>
      <c r="N679" s="88" t="n">
        <v>45874</v>
      </c>
      <c r="O679" s="91" t="inlineStr">
        <is>
          <t>PHILIPPOS CONSTANTINIDES TRADING CO. LTD (CIPRO)</t>
        </is>
      </c>
      <c r="P679" s="154" t="inlineStr">
        <is>
          <t xml:space="preserve">IMPORT LICENSE N. 218 DEL 12/08/2020                                                                                         AUT. TRASFERIMENTO N. 6B/2025/3D RILASCIATA IL 28/07/2025   </t>
        </is>
      </c>
      <c r="Q679" s="150" t="n"/>
      <c r="R679" s="150" t="n"/>
      <c r="S679" s="153" t="n"/>
    </row>
    <row r="680" ht="36" customHeight="1">
      <c r="A680" s="46" t="n">
        <v>3010</v>
      </c>
      <c r="B680" s="4">
        <f>+VLOOKUP($A680,MAGAZZINO!$B$2:$M$100000,2,FALSE)</f>
        <v/>
      </c>
      <c r="C680" s="29">
        <f>+VLOOKUP($A680,MAGAZZINO!$B$2:$M$100000,3,FALSE)</f>
        <v/>
      </c>
      <c r="D680" s="3">
        <f>+VLOOKUP($A680,MAGAZZINO!$B$2:$M$100000,4,FALSE)</f>
        <v/>
      </c>
      <c r="E680" s="3">
        <f>+VLOOKUP($A680,MAGAZZINO!$B$2:$M$100000,5,FALSE)</f>
        <v/>
      </c>
      <c r="F680" s="3">
        <f>+VLOOKUP($A680,MAGAZZINO!$B$2:$M$100000,6,FALSE)</f>
        <v/>
      </c>
      <c r="G680" s="3">
        <f>+VLOOKUP($A680,MAGAZZINO!$B$2:$M$100000,7,FALSE)</f>
        <v/>
      </c>
      <c r="H680" s="3">
        <f>+VLOOKUP($A680,MAGAZZINO!$B$2:$M$100000,8,FALSE)</f>
        <v/>
      </c>
      <c r="I680" s="3">
        <f>+VLOOKUP($A680,MAGAZZINO!$B$2:$M$100000,9,FALSE)</f>
        <v/>
      </c>
      <c r="J680" s="3">
        <f>+VLOOKUP($A680,MAGAZZINO!$B$2:$M$100000,10,FALSE)</f>
        <v/>
      </c>
      <c r="K680" s="3">
        <f>+VLOOKUP($A680,MAGAZZINO!$B$2:$M$100000,11,FALSE)</f>
        <v/>
      </c>
      <c r="L680" s="5">
        <f>+VLOOKUP($A680,MAGAZZINO!$B$2:$M$100000,12,FALSE)</f>
        <v/>
      </c>
      <c r="M680" s="47" t="n"/>
      <c r="N680" s="88" t="n">
        <v>45769</v>
      </c>
      <c r="O680" s="91" t="inlineStr">
        <is>
          <t>HS &amp; LLC (OMAN)</t>
        </is>
      </c>
      <c r="P680" s="154" t="inlineStr">
        <is>
          <t>IMPORT LICENSE N. 24/1/2463/1/2024 DEL 05/05/2024                                                              AUT. ESPORTAZIONE MULTIPLA N. 6B/2024/2M RILASCIATA IL 30/07/2024   (LICENZA DI SCARICO N. 6B/2025/1S RILASCIATA IL 15/04/2025)</t>
        </is>
      </c>
      <c r="Q680" s="150" t="n"/>
      <c r="R680" s="150" t="n"/>
      <c r="S680" s="153" t="n"/>
    </row>
    <row r="681" ht="36" customHeight="1">
      <c r="A681" s="46" t="n">
        <v>3011</v>
      </c>
      <c r="B681" s="4">
        <f>+VLOOKUP($A681,MAGAZZINO!$B$2:$M$100000,2,FALSE)</f>
        <v/>
      </c>
      <c r="C681" s="29">
        <f>+VLOOKUP($A681,MAGAZZINO!$B$2:$M$100000,3,FALSE)</f>
        <v/>
      </c>
      <c r="D681" s="3">
        <f>+VLOOKUP($A681,MAGAZZINO!$B$2:$M$100000,4,FALSE)</f>
        <v/>
      </c>
      <c r="E681" s="3">
        <f>+VLOOKUP($A681,MAGAZZINO!$B$2:$M$100000,5,FALSE)</f>
        <v/>
      </c>
      <c r="F681" s="3">
        <f>+VLOOKUP($A681,MAGAZZINO!$B$2:$M$100000,6,FALSE)</f>
        <v/>
      </c>
      <c r="G681" s="3">
        <f>+VLOOKUP($A681,MAGAZZINO!$B$2:$M$100000,7,FALSE)</f>
        <v/>
      </c>
      <c r="H681" s="3">
        <f>+VLOOKUP($A681,MAGAZZINO!$B$2:$M$100000,8,FALSE)</f>
        <v/>
      </c>
      <c r="I681" s="3">
        <f>+VLOOKUP($A681,MAGAZZINO!$B$2:$M$100000,9,FALSE)</f>
        <v/>
      </c>
      <c r="J681" s="3">
        <f>+VLOOKUP($A681,MAGAZZINO!$B$2:$M$100000,10,FALSE)</f>
        <v/>
      </c>
      <c r="K681" s="3">
        <f>+VLOOKUP($A681,MAGAZZINO!$B$2:$M$100000,11,FALSE)</f>
        <v/>
      </c>
      <c r="L681" s="5">
        <f>+VLOOKUP($A681,MAGAZZINO!$B$2:$M$100000,12,FALSE)</f>
        <v/>
      </c>
      <c r="M681" s="47" t="n"/>
      <c r="N681" s="88" t="n">
        <v>45769</v>
      </c>
      <c r="O681" s="91" t="inlineStr">
        <is>
          <t>HS &amp; LLC (OMAN)</t>
        </is>
      </c>
      <c r="P681" s="154" t="inlineStr">
        <is>
          <t>IMPORT LICENSE N. 24/1/2463/1/2024 DEL 05/05/2024                                                              AUT. ESPORTAZIONE MULTIPLA N. 6B/2024/2M RILASCIATA IL 30/07/2024   (LICENZA DI SCARICO N. 6B/2025/1S RILASCIATA IL 15/04/2025)</t>
        </is>
      </c>
      <c r="Q681" s="150" t="n"/>
      <c r="R681" s="150" t="n"/>
      <c r="S681" s="153" t="n"/>
    </row>
    <row r="682" ht="36" customHeight="1">
      <c r="A682" s="46" t="n">
        <v>3012</v>
      </c>
      <c r="B682" s="4">
        <f>+VLOOKUP($A682,MAGAZZINO!$B$2:$M$100000,2,FALSE)</f>
        <v/>
      </c>
      <c r="C682" s="29">
        <f>+VLOOKUP($A682,MAGAZZINO!$B$2:$M$100000,3,FALSE)</f>
        <v/>
      </c>
      <c r="D682" s="3">
        <f>+VLOOKUP($A682,MAGAZZINO!$B$2:$M$100000,4,FALSE)</f>
        <v/>
      </c>
      <c r="E682" s="3">
        <f>+VLOOKUP($A682,MAGAZZINO!$B$2:$M$100000,5,FALSE)</f>
        <v/>
      </c>
      <c r="F682" s="3">
        <f>+VLOOKUP($A682,MAGAZZINO!$B$2:$M$100000,6,FALSE)</f>
        <v/>
      </c>
      <c r="G682" s="3">
        <f>+VLOOKUP($A682,MAGAZZINO!$B$2:$M$100000,7,FALSE)</f>
        <v/>
      </c>
      <c r="H682" s="3">
        <f>+VLOOKUP($A682,MAGAZZINO!$B$2:$M$100000,8,FALSE)</f>
        <v/>
      </c>
      <c r="I682" s="3">
        <f>+VLOOKUP($A682,MAGAZZINO!$B$2:$M$100000,9,FALSE)</f>
        <v/>
      </c>
      <c r="J682" s="3">
        <f>+VLOOKUP($A682,MAGAZZINO!$B$2:$M$100000,10,FALSE)</f>
        <v/>
      </c>
      <c r="K682" s="3">
        <f>+VLOOKUP($A682,MAGAZZINO!$B$2:$M$100000,11,FALSE)</f>
        <v/>
      </c>
      <c r="L682" s="5">
        <f>+VLOOKUP($A682,MAGAZZINO!$B$2:$M$100000,12,FALSE)</f>
        <v/>
      </c>
      <c r="M682" s="47" t="n"/>
      <c r="N682" s="88" t="n">
        <v>45769</v>
      </c>
      <c r="O682" s="91" t="inlineStr">
        <is>
          <t>HS &amp; LLC (OMAN)</t>
        </is>
      </c>
      <c r="P682" s="154" t="inlineStr">
        <is>
          <t>IMPORT LICENSE N. 24/1/2463/1/2024 DEL 05/05/2024                                                              AUT. ESPORTAZIONE MULTIPLA N. 6B/2024/2M RILASCIATA IL 30/07/2024   (LICENZA DI SCARICO N. 6B/2025/1S RILASCIATA IL 15/04/2025)</t>
        </is>
      </c>
      <c r="Q682" s="150" t="n"/>
      <c r="R682" s="150" t="n"/>
      <c r="S682" s="153" t="n"/>
    </row>
    <row r="683" ht="36" customHeight="1">
      <c r="A683" s="46" t="n">
        <v>3013</v>
      </c>
      <c r="B683" s="4">
        <f>+VLOOKUP($A683,MAGAZZINO!$B$2:$M$100000,2,FALSE)</f>
        <v/>
      </c>
      <c r="C683" s="29">
        <f>+VLOOKUP($A683,MAGAZZINO!$B$2:$M$100000,3,FALSE)</f>
        <v/>
      </c>
      <c r="D683" s="3">
        <f>+VLOOKUP($A683,MAGAZZINO!$B$2:$M$100000,4,FALSE)</f>
        <v/>
      </c>
      <c r="E683" s="3">
        <f>+VLOOKUP($A683,MAGAZZINO!$B$2:$M$100000,5,FALSE)</f>
        <v/>
      </c>
      <c r="F683" s="3">
        <f>+VLOOKUP($A683,MAGAZZINO!$B$2:$M$100000,6,FALSE)</f>
        <v/>
      </c>
      <c r="G683" s="3">
        <f>+VLOOKUP($A683,MAGAZZINO!$B$2:$M$100000,7,FALSE)</f>
        <v/>
      </c>
      <c r="H683" s="3">
        <f>+VLOOKUP($A683,MAGAZZINO!$B$2:$M$100000,8,FALSE)</f>
        <v/>
      </c>
      <c r="I683" s="3">
        <f>+VLOOKUP($A683,MAGAZZINO!$B$2:$M$100000,9,FALSE)</f>
        <v/>
      </c>
      <c r="J683" s="3">
        <f>+VLOOKUP($A683,MAGAZZINO!$B$2:$M$100000,10,FALSE)</f>
        <v/>
      </c>
      <c r="K683" s="3">
        <f>+VLOOKUP($A683,MAGAZZINO!$B$2:$M$100000,11,FALSE)</f>
        <v/>
      </c>
      <c r="L683" s="5">
        <f>+VLOOKUP($A683,MAGAZZINO!$B$2:$M$100000,12,FALSE)</f>
        <v/>
      </c>
      <c r="M683" s="47" t="n"/>
      <c r="N683" s="88" t="n">
        <v>45769</v>
      </c>
      <c r="O683" s="91" t="inlineStr">
        <is>
          <t>HS &amp; LLC (OMAN)</t>
        </is>
      </c>
      <c r="P683" s="154" t="inlineStr">
        <is>
          <t>IMPORT LICENSE N. 24/1/2463/1/2024 DEL 05/05/2024                                                              AUT. ESPORTAZIONE MULTIPLA N. 6B/2024/2M RILASCIATA IL 30/07/2024   (LICENZA DI SCARICO N. 6B/2025/1S RILASCIATA IL 15/04/2025)</t>
        </is>
      </c>
      <c r="Q683" s="150" t="n"/>
      <c r="R683" s="150" t="n"/>
      <c r="S683" s="153" t="n"/>
    </row>
    <row r="684" ht="36" customHeight="1">
      <c r="A684" s="46" t="n">
        <v>3014</v>
      </c>
      <c r="B684" s="4">
        <f>+VLOOKUP($A684,MAGAZZINO!$B$2:$M$100000,2,FALSE)</f>
        <v/>
      </c>
      <c r="C684" s="29">
        <f>+VLOOKUP($A684,MAGAZZINO!$B$2:$M$100000,3,FALSE)</f>
        <v/>
      </c>
      <c r="D684" s="3">
        <f>+VLOOKUP($A684,MAGAZZINO!$B$2:$M$100000,4,FALSE)</f>
        <v/>
      </c>
      <c r="E684" s="3">
        <f>+VLOOKUP($A684,MAGAZZINO!$B$2:$M$100000,5,FALSE)</f>
        <v/>
      </c>
      <c r="F684" s="3">
        <f>+VLOOKUP($A684,MAGAZZINO!$B$2:$M$100000,6,FALSE)</f>
        <v/>
      </c>
      <c r="G684" s="3">
        <f>+VLOOKUP($A684,MAGAZZINO!$B$2:$M$100000,7,FALSE)</f>
        <v/>
      </c>
      <c r="H684" s="3">
        <f>+VLOOKUP($A684,MAGAZZINO!$B$2:$M$100000,8,FALSE)</f>
        <v/>
      </c>
      <c r="I684" s="3">
        <f>+VLOOKUP($A684,MAGAZZINO!$B$2:$M$100000,9,FALSE)</f>
        <v/>
      </c>
      <c r="J684" s="3">
        <f>+VLOOKUP($A684,MAGAZZINO!$B$2:$M$100000,10,FALSE)</f>
        <v/>
      </c>
      <c r="K684" s="3">
        <f>+VLOOKUP($A684,MAGAZZINO!$B$2:$M$100000,11,FALSE)</f>
        <v/>
      </c>
      <c r="L684" s="5">
        <f>+VLOOKUP($A684,MAGAZZINO!$B$2:$M$100000,12,FALSE)</f>
        <v/>
      </c>
      <c r="M684" s="47" t="n"/>
      <c r="N684" s="88" t="n">
        <v>45769</v>
      </c>
      <c r="O684" s="91" t="inlineStr">
        <is>
          <t>HS &amp; LLC (OMAN)</t>
        </is>
      </c>
      <c r="P684" s="154" t="inlineStr">
        <is>
          <t>IMPORT LICENSE N. 24/1/2463/1/2024 DEL 05/05/2024                                                              AUT. ESPORTAZIONE MULTIPLA N. 6B/2024/2M RILASCIATA IL 30/07/2024   (LICENZA DI SCARICO N. 6B/2025/1S RILASCIATA IL 15/04/2025)</t>
        </is>
      </c>
      <c r="Q684" s="150" t="n"/>
      <c r="R684" s="150" t="n"/>
      <c r="S684" s="153" t="n"/>
    </row>
    <row r="685" ht="36" customHeight="1">
      <c r="A685" s="46" t="n">
        <v>3015</v>
      </c>
      <c r="B685" s="4">
        <f>+VLOOKUP($A685,MAGAZZINO!$B$2:$M$100000,2,FALSE)</f>
        <v/>
      </c>
      <c r="C685" s="29">
        <f>+VLOOKUP($A685,MAGAZZINO!$B$2:$M$100000,3,FALSE)</f>
        <v/>
      </c>
      <c r="D685" s="3">
        <f>+VLOOKUP($A685,MAGAZZINO!$B$2:$M$100000,4,FALSE)</f>
        <v/>
      </c>
      <c r="E685" s="3">
        <f>+VLOOKUP($A685,MAGAZZINO!$B$2:$M$100000,5,FALSE)</f>
        <v/>
      </c>
      <c r="F685" s="3">
        <f>+VLOOKUP($A685,MAGAZZINO!$B$2:$M$100000,6,FALSE)</f>
        <v/>
      </c>
      <c r="G685" s="3">
        <f>+VLOOKUP($A685,MAGAZZINO!$B$2:$M$100000,7,FALSE)</f>
        <v/>
      </c>
      <c r="H685" s="3">
        <f>+VLOOKUP($A685,MAGAZZINO!$B$2:$M$100000,8,FALSE)</f>
        <v/>
      </c>
      <c r="I685" s="3">
        <f>+VLOOKUP($A685,MAGAZZINO!$B$2:$M$100000,9,FALSE)</f>
        <v/>
      </c>
      <c r="J685" s="3">
        <f>+VLOOKUP($A685,MAGAZZINO!$B$2:$M$100000,10,FALSE)</f>
        <v/>
      </c>
      <c r="K685" s="3">
        <f>+VLOOKUP($A685,MAGAZZINO!$B$2:$M$100000,11,FALSE)</f>
        <v/>
      </c>
      <c r="L685" s="5">
        <f>+VLOOKUP($A685,MAGAZZINO!$B$2:$M$100000,12,FALSE)</f>
        <v/>
      </c>
      <c r="M685" s="47" t="n"/>
      <c r="N685" s="88" t="n">
        <v>45769</v>
      </c>
      <c r="O685" s="91" t="inlineStr">
        <is>
          <t>HS &amp; LLC (OMAN)</t>
        </is>
      </c>
      <c r="P685" s="154" t="inlineStr">
        <is>
          <t>IMPORT LICENSE N. 24/1/2463/1/2024 DEL 05/05/2024                                                              AUT. ESPORTAZIONE MULTIPLA N. 6B/2024/2M RILASCIATA IL 30/07/2024   (LICENZA DI SCARICO N. 6B/2025/1S RILASCIATA IL 15/04/2025)</t>
        </is>
      </c>
      <c r="Q685" s="150" t="n"/>
      <c r="R685" s="150" t="n"/>
      <c r="S685" s="153" t="n"/>
    </row>
    <row r="686" ht="36" customHeight="1">
      <c r="A686" s="46" t="n">
        <v>3016</v>
      </c>
      <c r="B686" s="4">
        <f>+VLOOKUP($A686,MAGAZZINO!$B$2:$M$100000,2,FALSE)</f>
        <v/>
      </c>
      <c r="C686" s="29">
        <f>+VLOOKUP($A686,MAGAZZINO!$B$2:$M$100000,3,FALSE)</f>
        <v/>
      </c>
      <c r="D686" s="3">
        <f>+VLOOKUP($A686,MAGAZZINO!$B$2:$M$100000,4,FALSE)</f>
        <v/>
      </c>
      <c r="E686" s="3">
        <f>+VLOOKUP($A686,MAGAZZINO!$B$2:$M$100000,5,FALSE)</f>
        <v/>
      </c>
      <c r="F686" s="3">
        <f>+VLOOKUP($A686,MAGAZZINO!$B$2:$M$100000,6,FALSE)</f>
        <v/>
      </c>
      <c r="G686" s="3">
        <f>+VLOOKUP($A686,MAGAZZINO!$B$2:$M$100000,7,FALSE)</f>
        <v/>
      </c>
      <c r="H686" s="3">
        <f>+VLOOKUP($A686,MAGAZZINO!$B$2:$M$100000,8,FALSE)</f>
        <v/>
      </c>
      <c r="I686" s="3">
        <f>+VLOOKUP($A686,MAGAZZINO!$B$2:$M$100000,9,FALSE)</f>
        <v/>
      </c>
      <c r="J686" s="3">
        <f>+VLOOKUP($A686,MAGAZZINO!$B$2:$M$100000,10,FALSE)</f>
        <v/>
      </c>
      <c r="K686" s="3">
        <f>+VLOOKUP($A686,MAGAZZINO!$B$2:$M$100000,11,FALSE)</f>
        <v/>
      </c>
      <c r="L686" s="5">
        <f>+VLOOKUP($A686,MAGAZZINO!$B$2:$M$100000,12,FALSE)</f>
        <v/>
      </c>
      <c r="M686" s="47" t="n"/>
      <c r="N686" s="88" t="n">
        <v>45769</v>
      </c>
      <c r="O686" s="91" t="inlineStr">
        <is>
          <t>HS &amp; LLC (OMAN)</t>
        </is>
      </c>
      <c r="P686" s="154" t="inlineStr">
        <is>
          <t>IMPORT LICENSE N. 24/1/2463/1/2024 DEL 05/05/2024                                                              AUT. ESPORTAZIONE MULTIPLA N. 6B/2024/2M RILASCIATA IL 30/07/2024   (LICENZA DI SCARICO N. 6B/2025/1S RILASCIATA IL 15/04/2025)</t>
        </is>
      </c>
      <c r="Q686" s="150" t="n"/>
      <c r="R686" s="150" t="n"/>
      <c r="S686" s="153" t="n"/>
    </row>
    <row r="687" ht="36" customHeight="1">
      <c r="A687" s="46" t="n">
        <v>3017</v>
      </c>
      <c r="B687" s="4">
        <f>+VLOOKUP($A687,MAGAZZINO!$B$2:$M$100000,2,FALSE)</f>
        <v/>
      </c>
      <c r="C687" s="29">
        <f>+VLOOKUP($A687,MAGAZZINO!$B$2:$M$100000,3,FALSE)</f>
        <v/>
      </c>
      <c r="D687" s="3">
        <f>+VLOOKUP($A687,MAGAZZINO!$B$2:$M$100000,4,FALSE)</f>
        <v/>
      </c>
      <c r="E687" s="3">
        <f>+VLOOKUP($A687,MAGAZZINO!$B$2:$M$100000,5,FALSE)</f>
        <v/>
      </c>
      <c r="F687" s="3">
        <f>+VLOOKUP($A687,MAGAZZINO!$B$2:$M$100000,6,FALSE)</f>
        <v/>
      </c>
      <c r="G687" s="3">
        <f>+VLOOKUP($A687,MAGAZZINO!$B$2:$M$100000,7,FALSE)</f>
        <v/>
      </c>
      <c r="H687" s="3">
        <f>+VLOOKUP($A687,MAGAZZINO!$B$2:$M$100000,8,FALSE)</f>
        <v/>
      </c>
      <c r="I687" s="3">
        <f>+VLOOKUP($A687,MAGAZZINO!$B$2:$M$100000,9,FALSE)</f>
        <v/>
      </c>
      <c r="J687" s="3">
        <f>+VLOOKUP($A687,MAGAZZINO!$B$2:$M$100000,10,FALSE)</f>
        <v/>
      </c>
      <c r="K687" s="3">
        <f>+VLOOKUP($A687,MAGAZZINO!$B$2:$M$100000,11,FALSE)</f>
        <v/>
      </c>
      <c r="L687" s="5">
        <f>+VLOOKUP($A687,MAGAZZINO!$B$2:$M$100000,12,FALSE)</f>
        <v/>
      </c>
      <c r="M687" s="47" t="n"/>
      <c r="N687" s="88" t="n">
        <v>45769</v>
      </c>
      <c r="O687" s="91" t="inlineStr">
        <is>
          <t>HS &amp; LLC (OMAN)</t>
        </is>
      </c>
      <c r="P687" s="154" t="inlineStr">
        <is>
          <t>IMPORT LICENSE N. 24/1/2463/1/2024 DEL 05/05/2024                                                              AUT. ESPORTAZIONE MULTIPLA N. 6B/2024/2M RILASCIATA IL 30/07/2024   (LICENZA DI SCARICO N. 6B/2025/1S RILASCIATA IL 15/04/2025)</t>
        </is>
      </c>
      <c r="Q687" s="150" t="n"/>
      <c r="R687" s="150" t="n"/>
      <c r="S687" s="153" t="n"/>
    </row>
    <row r="688" ht="36" customHeight="1">
      <c r="A688" s="46" t="n">
        <v>3018</v>
      </c>
      <c r="B688" s="4">
        <f>+VLOOKUP($A688,MAGAZZINO!$B$2:$M$100000,2,FALSE)</f>
        <v/>
      </c>
      <c r="C688" s="29">
        <f>+VLOOKUP($A688,MAGAZZINO!$B$2:$M$100000,3,FALSE)</f>
        <v/>
      </c>
      <c r="D688" s="3">
        <f>+VLOOKUP($A688,MAGAZZINO!$B$2:$M$100000,4,FALSE)</f>
        <v/>
      </c>
      <c r="E688" s="3">
        <f>+VLOOKUP($A688,MAGAZZINO!$B$2:$M$100000,5,FALSE)</f>
        <v/>
      </c>
      <c r="F688" s="3">
        <f>+VLOOKUP($A688,MAGAZZINO!$B$2:$M$100000,6,FALSE)</f>
        <v/>
      </c>
      <c r="G688" s="3">
        <f>+VLOOKUP($A688,MAGAZZINO!$B$2:$M$100000,7,FALSE)</f>
        <v/>
      </c>
      <c r="H688" s="3">
        <f>+VLOOKUP($A688,MAGAZZINO!$B$2:$M$100000,8,FALSE)</f>
        <v/>
      </c>
      <c r="I688" s="3">
        <f>+VLOOKUP($A688,MAGAZZINO!$B$2:$M$100000,9,FALSE)</f>
        <v/>
      </c>
      <c r="J688" s="3">
        <f>+VLOOKUP($A688,MAGAZZINO!$B$2:$M$100000,10,FALSE)</f>
        <v/>
      </c>
      <c r="K688" s="3">
        <f>+VLOOKUP($A688,MAGAZZINO!$B$2:$M$100000,11,FALSE)</f>
        <v/>
      </c>
      <c r="L688" s="5">
        <f>+VLOOKUP($A688,MAGAZZINO!$B$2:$M$100000,12,FALSE)</f>
        <v/>
      </c>
      <c r="M688" s="47" t="n"/>
      <c r="N688" s="88" t="n">
        <v>45769</v>
      </c>
      <c r="O688" s="91" t="inlineStr">
        <is>
          <t>HS &amp; LLC (OMAN)</t>
        </is>
      </c>
      <c r="P688" s="154" t="inlineStr">
        <is>
          <t>IMPORT LICENSE N. 24/1/2463/1/2024 DEL 05/05/2024                                                              AUT. ESPORTAZIONE MULTIPLA N. 6B/2024/2M RILASCIATA IL 30/07/2024   (LICENZA DI SCARICO N. 6B/2025/1S RILASCIATA IL 15/04/2025)</t>
        </is>
      </c>
      <c r="Q688" s="150" t="n"/>
      <c r="R688" s="150" t="n"/>
      <c r="S688" s="153" t="n"/>
    </row>
    <row r="689" ht="36" customHeight="1">
      <c r="A689" s="46" t="n">
        <v>3019</v>
      </c>
      <c r="B689" s="4">
        <f>+VLOOKUP($A689,MAGAZZINO!$B$2:$M$100000,2,FALSE)</f>
        <v/>
      </c>
      <c r="C689" s="29">
        <f>+VLOOKUP($A689,MAGAZZINO!$B$2:$M$100000,3,FALSE)</f>
        <v/>
      </c>
      <c r="D689" s="3">
        <f>+VLOOKUP($A689,MAGAZZINO!$B$2:$M$100000,4,FALSE)</f>
        <v/>
      </c>
      <c r="E689" s="3">
        <f>+VLOOKUP($A689,MAGAZZINO!$B$2:$M$100000,5,FALSE)</f>
        <v/>
      </c>
      <c r="F689" s="3">
        <f>+VLOOKUP($A689,MAGAZZINO!$B$2:$M$100000,6,FALSE)</f>
        <v/>
      </c>
      <c r="G689" s="3">
        <f>+VLOOKUP($A689,MAGAZZINO!$B$2:$M$100000,7,FALSE)</f>
        <v/>
      </c>
      <c r="H689" s="3">
        <f>+VLOOKUP($A689,MAGAZZINO!$B$2:$M$100000,8,FALSE)</f>
        <v/>
      </c>
      <c r="I689" s="3">
        <f>+VLOOKUP($A689,MAGAZZINO!$B$2:$M$100000,9,FALSE)</f>
        <v/>
      </c>
      <c r="J689" s="3">
        <f>+VLOOKUP($A689,MAGAZZINO!$B$2:$M$100000,10,FALSE)</f>
        <v/>
      </c>
      <c r="K689" s="3">
        <f>+VLOOKUP($A689,MAGAZZINO!$B$2:$M$100000,11,FALSE)</f>
        <v/>
      </c>
      <c r="L689" s="5">
        <f>+VLOOKUP($A689,MAGAZZINO!$B$2:$M$100000,12,FALSE)</f>
        <v/>
      </c>
      <c r="M689" s="47" t="n"/>
      <c r="N689" s="88" t="n">
        <v>45769</v>
      </c>
      <c r="O689" s="91" t="inlineStr">
        <is>
          <t>HS &amp; LLC (OMAN)</t>
        </is>
      </c>
      <c r="P689" s="154" t="inlineStr">
        <is>
          <t>IMPORT LICENSE N. 24/1/2463/1/2024 DEL 05/05/2024                                                              AUT. ESPORTAZIONE MULTIPLA N. 6B/2024/2M RILASCIATA IL 30/07/2024   (LICENZA DI SCARICO N. 6B/2025/1S RILASCIATA IL 15/04/2025)</t>
        </is>
      </c>
      <c r="Q689" s="150" t="n"/>
      <c r="R689" s="150" t="n"/>
      <c r="S689" s="153" t="n"/>
    </row>
    <row r="690" ht="36" customHeight="1">
      <c r="A690" s="46" t="n">
        <v>3020</v>
      </c>
      <c r="B690" s="4">
        <f>+VLOOKUP($A690,MAGAZZINO!$B$2:$M$100000,2,FALSE)</f>
        <v/>
      </c>
      <c r="C690" s="29">
        <f>+VLOOKUP($A690,MAGAZZINO!$B$2:$M$100000,3,FALSE)</f>
        <v/>
      </c>
      <c r="D690" s="3">
        <f>+VLOOKUP($A690,MAGAZZINO!$B$2:$M$100000,4,FALSE)</f>
        <v/>
      </c>
      <c r="E690" s="3">
        <f>+VLOOKUP($A690,MAGAZZINO!$B$2:$M$100000,5,FALSE)</f>
        <v/>
      </c>
      <c r="F690" s="3">
        <f>+VLOOKUP($A690,MAGAZZINO!$B$2:$M$100000,6,FALSE)</f>
        <v/>
      </c>
      <c r="G690" s="3">
        <f>+VLOOKUP($A690,MAGAZZINO!$B$2:$M$100000,7,FALSE)</f>
        <v/>
      </c>
      <c r="H690" s="3">
        <f>+VLOOKUP($A690,MAGAZZINO!$B$2:$M$100000,8,FALSE)</f>
        <v/>
      </c>
      <c r="I690" s="3">
        <f>+VLOOKUP($A690,MAGAZZINO!$B$2:$M$100000,9,FALSE)</f>
        <v/>
      </c>
      <c r="J690" s="3">
        <f>+VLOOKUP($A690,MAGAZZINO!$B$2:$M$100000,10,FALSE)</f>
        <v/>
      </c>
      <c r="K690" s="3">
        <f>+VLOOKUP($A690,MAGAZZINO!$B$2:$M$100000,11,FALSE)</f>
        <v/>
      </c>
      <c r="L690" s="5">
        <f>+VLOOKUP($A690,MAGAZZINO!$B$2:$M$100000,12,FALSE)</f>
        <v/>
      </c>
      <c r="M690" s="47" t="n"/>
      <c r="N690" s="88" t="n">
        <v>45769</v>
      </c>
      <c r="O690" s="91" t="inlineStr">
        <is>
          <t>HS &amp; LLC (OMAN)</t>
        </is>
      </c>
      <c r="P690" s="154" t="inlineStr">
        <is>
          <t>IMPORT LICENSE N. 24/1/2463/1/2024 DEL 05/05/2024                                                              AUT. ESPORTAZIONE MULTIPLA N. 6B/2024/2M RILASCIATA IL 30/07/2024   (LICENZA DI SCARICO N. 6B/2025/1S RILASCIATA IL 15/04/2025)</t>
        </is>
      </c>
      <c r="Q690" s="150" t="n"/>
      <c r="R690" s="150" t="n"/>
      <c r="S690" s="153" t="n"/>
    </row>
    <row r="691" ht="36" customHeight="1">
      <c r="A691" s="46" t="n">
        <v>3021</v>
      </c>
      <c r="B691" s="4">
        <f>+VLOOKUP($A691,MAGAZZINO!$B$2:$M$100000,2,FALSE)</f>
        <v/>
      </c>
      <c r="C691" s="29">
        <f>+VLOOKUP($A691,MAGAZZINO!$B$2:$M$100000,3,FALSE)</f>
        <v/>
      </c>
      <c r="D691" s="3">
        <f>+VLOOKUP($A691,MAGAZZINO!$B$2:$M$100000,4,FALSE)</f>
        <v/>
      </c>
      <c r="E691" s="3">
        <f>+VLOOKUP($A691,MAGAZZINO!$B$2:$M$100000,5,FALSE)</f>
        <v/>
      </c>
      <c r="F691" s="3">
        <f>+VLOOKUP($A691,MAGAZZINO!$B$2:$M$100000,6,FALSE)</f>
        <v/>
      </c>
      <c r="G691" s="3">
        <f>+VLOOKUP($A691,MAGAZZINO!$B$2:$M$100000,7,FALSE)</f>
        <v/>
      </c>
      <c r="H691" s="3">
        <f>+VLOOKUP($A691,MAGAZZINO!$B$2:$M$100000,8,FALSE)</f>
        <v/>
      </c>
      <c r="I691" s="3">
        <f>+VLOOKUP($A691,MAGAZZINO!$B$2:$M$100000,9,FALSE)</f>
        <v/>
      </c>
      <c r="J691" s="3">
        <f>+VLOOKUP($A691,MAGAZZINO!$B$2:$M$100000,10,FALSE)</f>
        <v/>
      </c>
      <c r="K691" s="3">
        <f>+VLOOKUP($A691,MAGAZZINO!$B$2:$M$100000,11,FALSE)</f>
        <v/>
      </c>
      <c r="L691" s="5">
        <f>+VLOOKUP($A691,MAGAZZINO!$B$2:$M$100000,12,FALSE)</f>
        <v/>
      </c>
      <c r="M691" s="47" t="n"/>
      <c r="N691" s="88" t="n">
        <v>45769</v>
      </c>
      <c r="O691" s="91" t="inlineStr">
        <is>
          <t>HS &amp; LLC (OMAN)</t>
        </is>
      </c>
      <c r="P691" s="154" t="inlineStr">
        <is>
          <t>IMPORT LICENSE N. 24/1/2463/1/2024 DEL 05/05/2024                                                              AUT. ESPORTAZIONE MULTIPLA N. 6B/2024/2M RILASCIATA IL 30/07/2024   (LICENZA DI SCARICO N. 6B/2025/1S RILASCIATA IL 15/04/2025)</t>
        </is>
      </c>
      <c r="Q691" s="150" t="n"/>
      <c r="R691" s="150" t="n"/>
      <c r="S691" s="153" t="n"/>
    </row>
    <row r="692" ht="36" customHeight="1">
      <c r="A692" s="46" t="n">
        <v>3022</v>
      </c>
      <c r="B692" s="4">
        <f>+VLOOKUP($A692,MAGAZZINO!$B$2:$M$100000,2,FALSE)</f>
        <v/>
      </c>
      <c r="C692" s="29">
        <f>+VLOOKUP($A692,MAGAZZINO!$B$2:$M$100000,3,FALSE)</f>
        <v/>
      </c>
      <c r="D692" s="3">
        <f>+VLOOKUP($A692,MAGAZZINO!$B$2:$M$100000,4,FALSE)</f>
        <v/>
      </c>
      <c r="E692" s="3">
        <f>+VLOOKUP($A692,MAGAZZINO!$B$2:$M$100000,5,FALSE)</f>
        <v/>
      </c>
      <c r="F692" s="3">
        <f>+VLOOKUP($A692,MAGAZZINO!$B$2:$M$100000,6,FALSE)</f>
        <v/>
      </c>
      <c r="G692" s="3">
        <f>+VLOOKUP($A692,MAGAZZINO!$B$2:$M$100000,7,FALSE)</f>
        <v/>
      </c>
      <c r="H692" s="3">
        <f>+VLOOKUP($A692,MAGAZZINO!$B$2:$M$100000,8,FALSE)</f>
        <v/>
      </c>
      <c r="I692" s="3">
        <f>+VLOOKUP($A692,MAGAZZINO!$B$2:$M$100000,9,FALSE)</f>
        <v/>
      </c>
      <c r="J692" s="3">
        <f>+VLOOKUP($A692,MAGAZZINO!$B$2:$M$100000,10,FALSE)</f>
        <v/>
      </c>
      <c r="K692" s="3">
        <f>+VLOOKUP($A692,MAGAZZINO!$B$2:$M$100000,11,FALSE)</f>
        <v/>
      </c>
      <c r="L692" s="5">
        <f>+VLOOKUP($A692,MAGAZZINO!$B$2:$M$100000,12,FALSE)</f>
        <v/>
      </c>
      <c r="M692" s="47" t="n"/>
      <c r="N692" s="88" t="n">
        <v>45874</v>
      </c>
      <c r="O692" s="91" t="inlineStr">
        <is>
          <t>PHILIPPOS CONSTANTINIDES TRADING CO. LTD (CIPRO)</t>
        </is>
      </c>
      <c r="P692" s="154" t="inlineStr">
        <is>
          <t xml:space="preserve">IMPORT LICENSE N. 218 DEL 12/08/2020                                                                                         AUT. TRASFERIMENTO N. 6B/2025/3D RILASCIATA IL 28/07/2025   </t>
        </is>
      </c>
      <c r="Q692" s="150" t="n"/>
      <c r="R692" s="150" t="n"/>
      <c r="S692" s="153" t="n"/>
    </row>
    <row r="693" ht="36" customHeight="1">
      <c r="A693" s="46" t="n">
        <v>3023</v>
      </c>
      <c r="B693" s="4">
        <f>+VLOOKUP($A693,MAGAZZINO!$B$2:$M$100000,2,FALSE)</f>
        <v/>
      </c>
      <c r="C693" s="29">
        <f>+VLOOKUP($A693,MAGAZZINO!$B$2:$M$100000,3,FALSE)</f>
        <v/>
      </c>
      <c r="D693" s="3">
        <f>+VLOOKUP($A693,MAGAZZINO!$B$2:$M$100000,4,FALSE)</f>
        <v/>
      </c>
      <c r="E693" s="3">
        <f>+VLOOKUP($A693,MAGAZZINO!$B$2:$M$100000,5,FALSE)</f>
        <v/>
      </c>
      <c r="F693" s="3">
        <f>+VLOOKUP($A693,MAGAZZINO!$B$2:$M$100000,6,FALSE)</f>
        <v/>
      </c>
      <c r="G693" s="3">
        <f>+VLOOKUP($A693,MAGAZZINO!$B$2:$M$100000,7,FALSE)</f>
        <v/>
      </c>
      <c r="H693" s="3">
        <f>+VLOOKUP($A693,MAGAZZINO!$B$2:$M$100000,8,FALSE)</f>
        <v/>
      </c>
      <c r="I693" s="3">
        <f>+VLOOKUP($A693,MAGAZZINO!$B$2:$M$100000,9,FALSE)</f>
        <v/>
      </c>
      <c r="J693" s="3">
        <f>+VLOOKUP($A693,MAGAZZINO!$B$2:$M$100000,10,FALSE)</f>
        <v/>
      </c>
      <c r="K693" s="3">
        <f>+VLOOKUP($A693,MAGAZZINO!$B$2:$M$100000,11,FALSE)</f>
        <v/>
      </c>
      <c r="L693" s="5">
        <f>+VLOOKUP($A693,MAGAZZINO!$B$2:$M$100000,12,FALSE)</f>
        <v/>
      </c>
      <c r="M693" s="47" t="n"/>
      <c r="N693" s="88" t="n">
        <v>45874</v>
      </c>
      <c r="O693" s="91" t="inlineStr">
        <is>
          <t>PHILIPPOS CONSTANTINIDES TRADING CO. LTD (CIPRO)</t>
        </is>
      </c>
      <c r="P693" s="154" t="inlineStr">
        <is>
          <t xml:space="preserve">IMPORT LICENSE N. 218 DEL 12/08/2020                                                                                         AUT. TRASFERIMENTO N. 6B/2025/3D RILASCIATA IL 28/07/2025   </t>
        </is>
      </c>
      <c r="Q693" s="150" t="n"/>
      <c r="R693" s="150" t="n"/>
      <c r="S693" s="153" t="n"/>
    </row>
    <row r="694" ht="36" customHeight="1">
      <c r="A694" s="46" t="n">
        <v>3024</v>
      </c>
      <c r="B694" s="4">
        <f>+VLOOKUP($A694,MAGAZZINO!$B$2:$M$100000,2,FALSE)</f>
        <v/>
      </c>
      <c r="C694" s="29">
        <f>+VLOOKUP($A694,MAGAZZINO!$B$2:$M$100000,3,FALSE)</f>
        <v/>
      </c>
      <c r="D694" s="3">
        <f>+VLOOKUP($A694,MAGAZZINO!$B$2:$M$100000,4,FALSE)</f>
        <v/>
      </c>
      <c r="E694" s="3">
        <f>+VLOOKUP($A694,MAGAZZINO!$B$2:$M$100000,5,FALSE)</f>
        <v/>
      </c>
      <c r="F694" s="3">
        <f>+VLOOKUP($A694,MAGAZZINO!$B$2:$M$100000,6,FALSE)</f>
        <v/>
      </c>
      <c r="G694" s="3">
        <f>+VLOOKUP($A694,MAGAZZINO!$B$2:$M$100000,7,FALSE)</f>
        <v/>
      </c>
      <c r="H694" s="3">
        <f>+VLOOKUP($A694,MAGAZZINO!$B$2:$M$100000,8,FALSE)</f>
        <v/>
      </c>
      <c r="I694" s="3">
        <f>+VLOOKUP($A694,MAGAZZINO!$B$2:$M$100000,9,FALSE)</f>
        <v/>
      </c>
      <c r="J694" s="3">
        <f>+VLOOKUP($A694,MAGAZZINO!$B$2:$M$100000,10,FALSE)</f>
        <v/>
      </c>
      <c r="K694" s="3">
        <f>+VLOOKUP($A694,MAGAZZINO!$B$2:$M$100000,11,FALSE)</f>
        <v/>
      </c>
      <c r="L694" s="5">
        <f>+VLOOKUP($A694,MAGAZZINO!$B$2:$M$100000,12,FALSE)</f>
        <v/>
      </c>
      <c r="M694" s="47" t="n"/>
      <c r="N694" s="88" t="n">
        <v>45874</v>
      </c>
      <c r="O694" s="91" t="inlineStr">
        <is>
          <t>PHILIPPOS CONSTANTINIDES TRADING CO. LTD (CIPRO)</t>
        </is>
      </c>
      <c r="P694" s="154" t="inlineStr">
        <is>
          <t xml:space="preserve">IMPORT LICENSE N. 218 DEL 12/08/2020                                                                                         AUT. TRASFERIMENTO N. 6B/2025/3D RILASCIATA IL 28/07/2025   </t>
        </is>
      </c>
      <c r="Q694" s="150" t="n"/>
      <c r="R694" s="150" t="n"/>
      <c r="S694" s="153" t="n"/>
    </row>
    <row r="695" ht="36" customHeight="1">
      <c r="A695" s="46" t="n">
        <v>3025</v>
      </c>
      <c r="B695" s="4">
        <f>+VLOOKUP($A695,MAGAZZINO!$B$2:$M$100000,2,FALSE)</f>
        <v/>
      </c>
      <c r="C695" s="29">
        <f>+VLOOKUP($A695,MAGAZZINO!$B$2:$M$100000,3,FALSE)</f>
        <v/>
      </c>
      <c r="D695" s="3">
        <f>+VLOOKUP($A695,MAGAZZINO!$B$2:$M$100000,4,FALSE)</f>
        <v/>
      </c>
      <c r="E695" s="3">
        <f>+VLOOKUP($A695,MAGAZZINO!$B$2:$M$100000,5,FALSE)</f>
        <v/>
      </c>
      <c r="F695" s="3">
        <f>+VLOOKUP($A695,MAGAZZINO!$B$2:$M$100000,6,FALSE)</f>
        <v/>
      </c>
      <c r="G695" s="3">
        <f>+VLOOKUP($A695,MAGAZZINO!$B$2:$M$100000,7,FALSE)</f>
        <v/>
      </c>
      <c r="H695" s="3">
        <f>+VLOOKUP($A695,MAGAZZINO!$B$2:$M$100000,8,FALSE)</f>
        <v/>
      </c>
      <c r="I695" s="3">
        <f>+VLOOKUP($A695,MAGAZZINO!$B$2:$M$100000,9,FALSE)</f>
        <v/>
      </c>
      <c r="J695" s="3">
        <f>+VLOOKUP($A695,MAGAZZINO!$B$2:$M$100000,10,FALSE)</f>
        <v/>
      </c>
      <c r="K695" s="3">
        <f>+VLOOKUP($A695,MAGAZZINO!$B$2:$M$100000,11,FALSE)</f>
        <v/>
      </c>
      <c r="L695" s="5">
        <f>+VLOOKUP($A695,MAGAZZINO!$B$2:$M$100000,12,FALSE)</f>
        <v/>
      </c>
      <c r="M695" s="47" t="n"/>
      <c r="N695" s="54" t="n"/>
      <c r="O695" s="3" t="n"/>
      <c r="P695" s="149" t="n"/>
      <c r="Q695" s="150" t="n"/>
      <c r="R695" s="150" t="n"/>
      <c r="S695" s="151" t="n"/>
    </row>
    <row r="696" ht="36" customHeight="1">
      <c r="A696" s="46" t="n">
        <v>3026</v>
      </c>
      <c r="B696" s="4">
        <f>+VLOOKUP($A696,MAGAZZINO!$B$2:$M$100000,2,FALSE)</f>
        <v/>
      </c>
      <c r="C696" s="29">
        <f>+VLOOKUP($A696,MAGAZZINO!$B$2:$M$100000,3,FALSE)</f>
        <v/>
      </c>
      <c r="D696" s="3">
        <f>+VLOOKUP($A696,MAGAZZINO!$B$2:$M$100000,4,FALSE)</f>
        <v/>
      </c>
      <c r="E696" s="3">
        <f>+VLOOKUP($A696,MAGAZZINO!$B$2:$M$100000,5,FALSE)</f>
        <v/>
      </c>
      <c r="F696" s="3">
        <f>+VLOOKUP($A696,MAGAZZINO!$B$2:$M$100000,6,FALSE)</f>
        <v/>
      </c>
      <c r="G696" s="3">
        <f>+VLOOKUP($A696,MAGAZZINO!$B$2:$M$100000,7,FALSE)</f>
        <v/>
      </c>
      <c r="H696" s="3">
        <f>+VLOOKUP($A696,MAGAZZINO!$B$2:$M$100000,8,FALSE)</f>
        <v/>
      </c>
      <c r="I696" s="3">
        <f>+VLOOKUP($A696,MAGAZZINO!$B$2:$M$100000,9,FALSE)</f>
        <v/>
      </c>
      <c r="J696" s="3">
        <f>+VLOOKUP($A696,MAGAZZINO!$B$2:$M$100000,10,FALSE)</f>
        <v/>
      </c>
      <c r="K696" s="3">
        <f>+VLOOKUP($A696,MAGAZZINO!$B$2:$M$100000,11,FALSE)</f>
        <v/>
      </c>
      <c r="L696" s="5">
        <f>+VLOOKUP($A696,MAGAZZINO!$B$2:$M$100000,12,FALSE)</f>
        <v/>
      </c>
      <c r="M696" s="47" t="n"/>
      <c r="N696" s="89" t="n"/>
      <c r="O696" s="91" t="n"/>
      <c r="P696" s="154" t="n"/>
      <c r="Q696" s="150" t="n"/>
      <c r="R696" s="150" t="n"/>
      <c r="S696" s="153" t="n"/>
    </row>
    <row r="697" ht="36" customHeight="1">
      <c r="A697" s="46" t="n">
        <v>3027</v>
      </c>
      <c r="B697" s="4">
        <f>+VLOOKUP($A697,MAGAZZINO!$B$2:$M$100000,2,FALSE)</f>
        <v/>
      </c>
      <c r="C697" s="29">
        <f>+VLOOKUP($A697,MAGAZZINO!$B$2:$M$100000,3,FALSE)</f>
        <v/>
      </c>
      <c r="D697" s="3">
        <f>+VLOOKUP($A697,MAGAZZINO!$B$2:$M$100000,4,FALSE)</f>
        <v/>
      </c>
      <c r="E697" s="3">
        <f>+VLOOKUP($A697,MAGAZZINO!$B$2:$M$100000,5,FALSE)</f>
        <v/>
      </c>
      <c r="F697" s="3">
        <f>+VLOOKUP($A697,MAGAZZINO!$B$2:$M$100000,6,FALSE)</f>
        <v/>
      </c>
      <c r="G697" s="3">
        <f>+VLOOKUP($A697,MAGAZZINO!$B$2:$M$100000,7,FALSE)</f>
        <v/>
      </c>
      <c r="H697" s="3">
        <f>+VLOOKUP($A697,MAGAZZINO!$B$2:$M$100000,8,FALSE)</f>
        <v/>
      </c>
      <c r="I697" s="3">
        <f>+VLOOKUP($A697,MAGAZZINO!$B$2:$M$100000,9,FALSE)</f>
        <v/>
      </c>
      <c r="J697" s="3">
        <f>+VLOOKUP($A697,MAGAZZINO!$B$2:$M$100000,10,FALSE)</f>
        <v/>
      </c>
      <c r="K697" s="3">
        <f>+VLOOKUP($A697,MAGAZZINO!$B$2:$M$100000,11,FALSE)</f>
        <v/>
      </c>
      <c r="L697" s="5">
        <f>+VLOOKUP($A697,MAGAZZINO!$B$2:$M$100000,12,FALSE)</f>
        <v/>
      </c>
      <c r="M697" s="47" t="n"/>
      <c r="N697" s="54" t="n"/>
      <c r="O697" s="3" t="n"/>
      <c r="P697" s="149" t="n"/>
      <c r="Q697" s="150" t="n"/>
      <c r="R697" s="150" t="n"/>
      <c r="S697" s="151" t="n"/>
    </row>
    <row r="698" ht="36" customHeight="1">
      <c r="A698" s="46" t="n">
        <v>3028</v>
      </c>
      <c r="B698" s="4">
        <f>+VLOOKUP($A698,MAGAZZINO!$B$2:$M$100000,2,FALSE)</f>
        <v/>
      </c>
      <c r="C698" s="29">
        <f>+VLOOKUP($A698,MAGAZZINO!$B$2:$M$100000,3,FALSE)</f>
        <v/>
      </c>
      <c r="D698" s="3">
        <f>+VLOOKUP($A698,MAGAZZINO!$B$2:$M$100000,4,FALSE)</f>
        <v/>
      </c>
      <c r="E698" s="3">
        <f>+VLOOKUP($A698,MAGAZZINO!$B$2:$M$100000,5,FALSE)</f>
        <v/>
      </c>
      <c r="F698" s="3">
        <f>+VLOOKUP($A698,MAGAZZINO!$B$2:$M$100000,6,FALSE)</f>
        <v/>
      </c>
      <c r="G698" s="3">
        <f>+VLOOKUP($A698,MAGAZZINO!$B$2:$M$100000,7,FALSE)</f>
        <v/>
      </c>
      <c r="H698" s="3">
        <f>+VLOOKUP($A698,MAGAZZINO!$B$2:$M$100000,8,FALSE)</f>
        <v/>
      </c>
      <c r="I698" s="3">
        <f>+VLOOKUP($A698,MAGAZZINO!$B$2:$M$100000,9,FALSE)</f>
        <v/>
      </c>
      <c r="J698" s="3">
        <f>+VLOOKUP($A698,MAGAZZINO!$B$2:$M$100000,10,FALSE)</f>
        <v/>
      </c>
      <c r="K698" s="3">
        <f>+VLOOKUP($A698,MAGAZZINO!$B$2:$M$100000,11,FALSE)</f>
        <v/>
      </c>
      <c r="L698" s="5">
        <f>+VLOOKUP($A698,MAGAZZINO!$B$2:$M$100000,12,FALSE)</f>
        <v/>
      </c>
      <c r="M698" s="47" t="n"/>
      <c r="N698" s="54" t="n"/>
      <c r="O698" s="3" t="n"/>
      <c r="P698" s="149" t="n"/>
      <c r="Q698" s="150" t="n"/>
      <c r="R698" s="150" t="n"/>
      <c r="S698" s="151" t="n"/>
    </row>
    <row r="699" ht="36" customHeight="1">
      <c r="A699" s="46" t="n">
        <v>3029</v>
      </c>
      <c r="B699" s="4">
        <f>+VLOOKUP($A699,MAGAZZINO!$B$2:$M$100000,2,FALSE)</f>
        <v/>
      </c>
      <c r="C699" s="29">
        <f>+VLOOKUP($A699,MAGAZZINO!$B$2:$M$100000,3,FALSE)</f>
        <v/>
      </c>
      <c r="D699" s="3">
        <f>+VLOOKUP($A699,MAGAZZINO!$B$2:$M$100000,4,FALSE)</f>
        <v/>
      </c>
      <c r="E699" s="3">
        <f>+VLOOKUP($A699,MAGAZZINO!$B$2:$M$100000,5,FALSE)</f>
        <v/>
      </c>
      <c r="F699" s="3">
        <f>+VLOOKUP($A699,MAGAZZINO!$B$2:$M$100000,6,FALSE)</f>
        <v/>
      </c>
      <c r="G699" s="3">
        <f>+VLOOKUP($A699,MAGAZZINO!$B$2:$M$100000,7,FALSE)</f>
        <v/>
      </c>
      <c r="H699" s="3">
        <f>+VLOOKUP($A699,MAGAZZINO!$B$2:$M$100000,8,FALSE)</f>
        <v/>
      </c>
      <c r="I699" s="3">
        <f>+VLOOKUP($A699,MAGAZZINO!$B$2:$M$100000,9,FALSE)</f>
        <v/>
      </c>
      <c r="J699" s="3">
        <f>+VLOOKUP($A699,MAGAZZINO!$B$2:$M$100000,10,FALSE)</f>
        <v/>
      </c>
      <c r="K699" s="3">
        <f>+VLOOKUP($A699,MAGAZZINO!$B$2:$M$100000,11,FALSE)</f>
        <v/>
      </c>
      <c r="L699" s="5">
        <f>+VLOOKUP($A699,MAGAZZINO!$B$2:$M$100000,12,FALSE)</f>
        <v/>
      </c>
      <c r="M699" s="47" t="n"/>
      <c r="N699" s="88" t="n">
        <v>45874</v>
      </c>
      <c r="O699" s="91" t="inlineStr">
        <is>
          <t>PHILIPPOS CONSTANTINIDES TRADING CO. LTD (CIPRO)</t>
        </is>
      </c>
      <c r="P699" s="154" t="inlineStr">
        <is>
          <t xml:space="preserve">IMPORT LICENSE N. 218 DEL 12/08/2020                                                                                         AUT. TRASFERIMENTO N. 6B/2025/3D RILASCIATA IL 28/07/2025   </t>
        </is>
      </c>
      <c r="Q699" s="150" t="n"/>
      <c r="R699" s="150" t="n"/>
      <c r="S699" s="153" t="n"/>
    </row>
    <row r="700" ht="36" customHeight="1">
      <c r="A700" s="46" t="n">
        <v>3030</v>
      </c>
      <c r="B700" s="4">
        <f>+VLOOKUP($A700,MAGAZZINO!$B$2:$M$100000,2,FALSE)</f>
        <v/>
      </c>
      <c r="C700" s="29">
        <f>+VLOOKUP($A700,MAGAZZINO!$B$2:$M$100000,3,FALSE)</f>
        <v/>
      </c>
      <c r="D700" s="3">
        <f>+VLOOKUP($A700,MAGAZZINO!$B$2:$M$100000,4,FALSE)</f>
        <v/>
      </c>
      <c r="E700" s="3">
        <f>+VLOOKUP($A700,MAGAZZINO!$B$2:$M$100000,5,FALSE)</f>
        <v/>
      </c>
      <c r="F700" s="3">
        <f>+VLOOKUP($A700,MAGAZZINO!$B$2:$M$100000,6,FALSE)</f>
        <v/>
      </c>
      <c r="G700" s="3">
        <f>+VLOOKUP($A700,MAGAZZINO!$B$2:$M$100000,7,FALSE)</f>
        <v/>
      </c>
      <c r="H700" s="3">
        <f>+VLOOKUP($A700,MAGAZZINO!$B$2:$M$100000,8,FALSE)</f>
        <v/>
      </c>
      <c r="I700" s="3">
        <f>+VLOOKUP($A700,MAGAZZINO!$B$2:$M$100000,9,FALSE)</f>
        <v/>
      </c>
      <c r="J700" s="3">
        <f>+VLOOKUP($A700,MAGAZZINO!$B$2:$M$100000,10,FALSE)</f>
        <v/>
      </c>
      <c r="K700" s="3">
        <f>+VLOOKUP($A700,MAGAZZINO!$B$2:$M$100000,11,FALSE)</f>
        <v/>
      </c>
      <c r="L700" s="5">
        <f>+VLOOKUP($A700,MAGAZZINO!$B$2:$M$100000,12,FALSE)</f>
        <v/>
      </c>
      <c r="M700" s="47" t="n"/>
      <c r="N700" s="88" t="n">
        <v>45874</v>
      </c>
      <c r="O700" s="91" t="inlineStr">
        <is>
          <t>PHILIPPOS CONSTANTINIDES TRADING CO. LTD (CIPRO)</t>
        </is>
      </c>
      <c r="P700" s="154" t="inlineStr">
        <is>
          <t xml:space="preserve">IMPORT LICENSE N. 218 DEL 12/08/2020                                                                                         AUT. TRASFERIMENTO N. 6B/2025/3D RILASCIATA IL 28/07/2025   </t>
        </is>
      </c>
      <c r="Q700" s="150" t="n"/>
      <c r="R700" s="150" t="n"/>
      <c r="S700" s="153" t="n"/>
    </row>
    <row r="701" ht="36" customHeight="1">
      <c r="A701" s="46" t="n">
        <v>3031</v>
      </c>
      <c r="B701" s="4">
        <f>+VLOOKUP($A701,MAGAZZINO!$B$2:$M$100000,2,FALSE)</f>
        <v/>
      </c>
      <c r="C701" s="29">
        <f>+VLOOKUP($A701,MAGAZZINO!$B$2:$M$100000,3,FALSE)</f>
        <v/>
      </c>
      <c r="D701" s="3">
        <f>+VLOOKUP($A701,MAGAZZINO!$B$2:$M$100000,4,FALSE)</f>
        <v/>
      </c>
      <c r="E701" s="3">
        <f>+VLOOKUP($A701,MAGAZZINO!$B$2:$M$100000,5,FALSE)</f>
        <v/>
      </c>
      <c r="F701" s="3">
        <f>+VLOOKUP($A701,MAGAZZINO!$B$2:$M$100000,6,FALSE)</f>
        <v/>
      </c>
      <c r="G701" s="3">
        <f>+VLOOKUP($A701,MAGAZZINO!$B$2:$M$100000,7,FALSE)</f>
        <v/>
      </c>
      <c r="H701" s="3">
        <f>+VLOOKUP($A701,MAGAZZINO!$B$2:$M$100000,8,FALSE)</f>
        <v/>
      </c>
      <c r="I701" s="3">
        <f>+VLOOKUP($A701,MAGAZZINO!$B$2:$M$100000,9,FALSE)</f>
        <v/>
      </c>
      <c r="J701" s="3">
        <f>+VLOOKUP($A701,MAGAZZINO!$B$2:$M$100000,10,FALSE)</f>
        <v/>
      </c>
      <c r="K701" s="3">
        <f>+VLOOKUP($A701,MAGAZZINO!$B$2:$M$100000,11,FALSE)</f>
        <v/>
      </c>
      <c r="L701" s="5">
        <f>+VLOOKUP($A701,MAGAZZINO!$B$2:$M$100000,12,FALSE)</f>
        <v/>
      </c>
      <c r="M701" s="47" t="n"/>
      <c r="N701" s="88" t="n">
        <v>45874</v>
      </c>
      <c r="O701" s="91" t="inlineStr">
        <is>
          <t>PHILIPPOS CONSTANTINIDES TRADING CO. LTD (CIPRO)</t>
        </is>
      </c>
      <c r="P701" s="154" t="inlineStr">
        <is>
          <t xml:space="preserve">IMPORT LICENSE N. 218 DEL 12/08/2020                                                                                         AUT. TRASFERIMENTO N. 6B/2025/3D RILASCIATA IL 28/07/2025   </t>
        </is>
      </c>
      <c r="Q701" s="150" t="n"/>
      <c r="R701" s="150" t="n"/>
      <c r="S701" s="153" t="n"/>
    </row>
    <row r="702" ht="36" customHeight="1">
      <c r="A702" s="46" t="n">
        <v>3032</v>
      </c>
      <c r="B702" s="4">
        <f>+VLOOKUP($A702,MAGAZZINO!$B$2:$M$100000,2,FALSE)</f>
        <v/>
      </c>
      <c r="C702" s="29">
        <f>+VLOOKUP($A702,MAGAZZINO!$B$2:$M$100000,3,FALSE)</f>
        <v/>
      </c>
      <c r="D702" s="3">
        <f>+VLOOKUP($A702,MAGAZZINO!$B$2:$M$100000,4,FALSE)</f>
        <v/>
      </c>
      <c r="E702" s="3">
        <f>+VLOOKUP($A702,MAGAZZINO!$B$2:$M$100000,5,FALSE)</f>
        <v/>
      </c>
      <c r="F702" s="3">
        <f>+VLOOKUP($A702,MAGAZZINO!$B$2:$M$100000,6,FALSE)</f>
        <v/>
      </c>
      <c r="G702" s="3">
        <f>+VLOOKUP($A702,MAGAZZINO!$B$2:$M$100000,7,FALSE)</f>
        <v/>
      </c>
      <c r="H702" s="3">
        <f>+VLOOKUP($A702,MAGAZZINO!$B$2:$M$100000,8,FALSE)</f>
        <v/>
      </c>
      <c r="I702" s="3">
        <f>+VLOOKUP($A702,MAGAZZINO!$B$2:$M$100000,9,FALSE)</f>
        <v/>
      </c>
      <c r="J702" s="3">
        <f>+VLOOKUP($A702,MAGAZZINO!$B$2:$M$100000,10,FALSE)</f>
        <v/>
      </c>
      <c r="K702" s="3">
        <f>+VLOOKUP($A702,MAGAZZINO!$B$2:$M$100000,11,FALSE)</f>
        <v/>
      </c>
      <c r="L702" s="5">
        <f>+VLOOKUP($A702,MAGAZZINO!$B$2:$M$100000,12,FALSE)</f>
        <v/>
      </c>
      <c r="M702" s="47" t="n"/>
      <c r="N702" s="88" t="n">
        <v>45874</v>
      </c>
      <c r="O702" s="91" t="inlineStr">
        <is>
          <t>PHILIPPOS CONSTANTINIDES TRADING CO. LTD (CIPRO)</t>
        </is>
      </c>
      <c r="P702" s="163" t="inlineStr">
        <is>
          <t xml:space="preserve">IMPORT LICENSE N. 218 DEL 12/08/2020                                                                                         AUT. TRASFERIMENTO N. 6B/2025/3D RILASCIATA IL 28/07/2025   </t>
        </is>
      </c>
      <c r="Q702" s="150" t="n"/>
      <c r="R702" s="150" t="n"/>
      <c r="S702" s="151" t="n"/>
    </row>
    <row r="703" ht="36" customHeight="1">
      <c r="A703" s="46" t="n">
        <v>3033</v>
      </c>
      <c r="B703" s="4">
        <f>+VLOOKUP($A703,MAGAZZINO!$B$2:$M$100000,2,FALSE)</f>
        <v/>
      </c>
      <c r="C703" s="29">
        <f>+VLOOKUP($A703,MAGAZZINO!$B$2:$M$100000,3,FALSE)</f>
        <v/>
      </c>
      <c r="D703" s="3">
        <f>+VLOOKUP($A703,MAGAZZINO!$B$2:$M$100000,4,FALSE)</f>
        <v/>
      </c>
      <c r="E703" s="3">
        <f>+VLOOKUP($A703,MAGAZZINO!$B$2:$M$100000,5,FALSE)</f>
        <v/>
      </c>
      <c r="F703" s="3">
        <f>+VLOOKUP($A703,MAGAZZINO!$B$2:$M$100000,6,FALSE)</f>
        <v/>
      </c>
      <c r="G703" s="3">
        <f>+VLOOKUP($A703,MAGAZZINO!$B$2:$M$100000,7,FALSE)</f>
        <v/>
      </c>
      <c r="H703" s="3">
        <f>+VLOOKUP($A703,MAGAZZINO!$B$2:$M$100000,8,FALSE)</f>
        <v/>
      </c>
      <c r="I703" s="3">
        <f>+VLOOKUP($A703,MAGAZZINO!$B$2:$M$100000,9,FALSE)</f>
        <v/>
      </c>
      <c r="J703" s="3">
        <f>+VLOOKUP($A703,MAGAZZINO!$B$2:$M$100000,10,FALSE)</f>
        <v/>
      </c>
      <c r="K703" s="3">
        <f>+VLOOKUP($A703,MAGAZZINO!$B$2:$M$100000,11,FALSE)</f>
        <v/>
      </c>
      <c r="L703" s="5">
        <f>+VLOOKUP($A703,MAGAZZINO!$B$2:$M$100000,12,FALSE)</f>
        <v/>
      </c>
      <c r="M703" s="47" t="n"/>
      <c r="N703" s="88" t="n">
        <v>45874</v>
      </c>
      <c r="O703" s="91" t="inlineStr">
        <is>
          <t>PHILIPPOS CONSTANTINIDES TRADING CO. LTD (CIPRO)</t>
        </is>
      </c>
      <c r="P703" s="163" t="inlineStr">
        <is>
          <t xml:space="preserve">IMPORT LICENSE N. 218 DEL 12/08/2020                                                                                         AUT. TRASFERIMENTO N. 6B/2025/3D RILASCIATA IL 28/07/2025   </t>
        </is>
      </c>
      <c r="Q703" s="150" t="n"/>
      <c r="R703" s="150" t="n"/>
      <c r="S703" s="151" t="n"/>
    </row>
    <row r="704" ht="36" customHeight="1">
      <c r="A704" s="46" t="n">
        <v>3034</v>
      </c>
      <c r="B704" s="4">
        <f>+VLOOKUP($A704,MAGAZZINO!$B$2:$M$100000,2,FALSE)</f>
        <v/>
      </c>
      <c r="C704" s="29">
        <f>+VLOOKUP($A704,MAGAZZINO!$B$2:$M$100000,3,FALSE)</f>
        <v/>
      </c>
      <c r="D704" s="3">
        <f>+VLOOKUP($A704,MAGAZZINO!$B$2:$M$100000,4,FALSE)</f>
        <v/>
      </c>
      <c r="E704" s="3">
        <f>+VLOOKUP($A704,MAGAZZINO!$B$2:$M$100000,5,FALSE)</f>
        <v/>
      </c>
      <c r="F704" s="3">
        <f>+VLOOKUP($A704,MAGAZZINO!$B$2:$M$100000,6,FALSE)</f>
        <v/>
      </c>
      <c r="G704" s="3">
        <f>+VLOOKUP($A704,MAGAZZINO!$B$2:$M$100000,7,FALSE)</f>
        <v/>
      </c>
      <c r="H704" s="3">
        <f>+VLOOKUP($A704,MAGAZZINO!$B$2:$M$100000,8,FALSE)</f>
        <v/>
      </c>
      <c r="I704" s="3">
        <f>+VLOOKUP($A704,MAGAZZINO!$B$2:$M$100000,9,FALSE)</f>
        <v/>
      </c>
      <c r="J704" s="3">
        <f>+VLOOKUP($A704,MAGAZZINO!$B$2:$M$100000,10,FALSE)</f>
        <v/>
      </c>
      <c r="K704" s="3">
        <f>+VLOOKUP($A704,MAGAZZINO!$B$2:$M$100000,11,FALSE)</f>
        <v/>
      </c>
      <c r="L704" s="5">
        <f>+VLOOKUP($A704,MAGAZZINO!$B$2:$M$100000,12,FALSE)</f>
        <v/>
      </c>
      <c r="M704" s="47" t="n"/>
      <c r="N704" s="88" t="n">
        <v>45874</v>
      </c>
      <c r="O704" s="91" t="inlineStr">
        <is>
          <t>PHILIPPOS CONSTANTINIDES TRADING CO. LTD (CIPRO)</t>
        </is>
      </c>
      <c r="P704" s="154" t="inlineStr">
        <is>
          <t xml:space="preserve">IMPORT LICENSE N. 218 DEL 12/08/2020                                                                                         AUT. TRASFERIMENTO N. 6B/2025/3D RILASCIATA IL 28/07/2025   </t>
        </is>
      </c>
      <c r="Q704" s="150" t="n"/>
      <c r="R704" s="150" t="n"/>
      <c r="S704" s="153" t="n"/>
    </row>
    <row r="705" ht="36" customHeight="1">
      <c r="A705" s="46" t="n">
        <v>3035</v>
      </c>
      <c r="B705" s="4">
        <f>+VLOOKUP($A705,MAGAZZINO!$B$2:$M$100000,2,FALSE)</f>
        <v/>
      </c>
      <c r="C705" s="29">
        <f>+VLOOKUP($A705,MAGAZZINO!$B$2:$M$100000,3,FALSE)</f>
        <v/>
      </c>
      <c r="D705" s="3">
        <f>+VLOOKUP($A705,MAGAZZINO!$B$2:$M$100000,4,FALSE)</f>
        <v/>
      </c>
      <c r="E705" s="3">
        <f>+VLOOKUP($A705,MAGAZZINO!$B$2:$M$100000,5,FALSE)</f>
        <v/>
      </c>
      <c r="F705" s="3">
        <f>+VLOOKUP($A705,MAGAZZINO!$B$2:$M$100000,6,FALSE)</f>
        <v/>
      </c>
      <c r="G705" s="3">
        <f>+VLOOKUP($A705,MAGAZZINO!$B$2:$M$100000,7,FALSE)</f>
        <v/>
      </c>
      <c r="H705" s="3">
        <f>+VLOOKUP($A705,MAGAZZINO!$B$2:$M$100000,8,FALSE)</f>
        <v/>
      </c>
      <c r="I705" s="3">
        <f>+VLOOKUP($A705,MAGAZZINO!$B$2:$M$100000,9,FALSE)</f>
        <v/>
      </c>
      <c r="J705" s="3">
        <f>+VLOOKUP($A705,MAGAZZINO!$B$2:$M$100000,10,FALSE)</f>
        <v/>
      </c>
      <c r="K705" s="3">
        <f>+VLOOKUP($A705,MAGAZZINO!$B$2:$M$100000,11,FALSE)</f>
        <v/>
      </c>
      <c r="L705" s="5">
        <f>+VLOOKUP($A705,MAGAZZINO!$B$2:$M$100000,12,FALSE)</f>
        <v/>
      </c>
      <c r="M705" s="47" t="n"/>
      <c r="N705" s="88" t="n">
        <v>45874</v>
      </c>
      <c r="O705" s="91" t="inlineStr">
        <is>
          <t>PHILIPPOS CONSTANTINIDES TRADING CO. LTD (CIPRO)</t>
        </is>
      </c>
      <c r="P705" s="154" t="inlineStr">
        <is>
          <t xml:space="preserve">IMPORT LICENSE N. 218 DEL 12/08/2020                                                                                         AUT. TRASFERIMENTO N. 6B/2025/3D RILASCIATA IL 28/07/2025   </t>
        </is>
      </c>
      <c r="Q705" s="150" t="n"/>
      <c r="R705" s="150" t="n"/>
      <c r="S705" s="153" t="n"/>
    </row>
    <row r="706" ht="36" customHeight="1">
      <c r="A706" s="46" t="n">
        <v>3036</v>
      </c>
      <c r="B706" s="4">
        <f>+VLOOKUP($A706,MAGAZZINO!$B$2:$M$100000,2,FALSE)</f>
        <v/>
      </c>
      <c r="C706" s="29">
        <f>+VLOOKUP($A706,MAGAZZINO!$B$2:$M$100000,3,FALSE)</f>
        <v/>
      </c>
      <c r="D706" s="3">
        <f>+VLOOKUP($A706,MAGAZZINO!$B$2:$M$100000,4,FALSE)</f>
        <v/>
      </c>
      <c r="E706" s="3">
        <f>+VLOOKUP($A706,MAGAZZINO!$B$2:$M$100000,5,FALSE)</f>
        <v/>
      </c>
      <c r="F706" s="3">
        <f>+VLOOKUP($A706,MAGAZZINO!$B$2:$M$100000,6,FALSE)</f>
        <v/>
      </c>
      <c r="G706" s="3">
        <f>+VLOOKUP($A706,MAGAZZINO!$B$2:$M$100000,7,FALSE)</f>
        <v/>
      </c>
      <c r="H706" s="3">
        <f>+VLOOKUP($A706,MAGAZZINO!$B$2:$M$100000,8,FALSE)</f>
        <v/>
      </c>
      <c r="I706" s="3">
        <f>+VLOOKUP($A706,MAGAZZINO!$B$2:$M$100000,9,FALSE)</f>
        <v/>
      </c>
      <c r="J706" s="3">
        <f>+VLOOKUP($A706,MAGAZZINO!$B$2:$M$100000,10,FALSE)</f>
        <v/>
      </c>
      <c r="K706" s="3">
        <f>+VLOOKUP($A706,MAGAZZINO!$B$2:$M$100000,11,FALSE)</f>
        <v/>
      </c>
      <c r="L706" s="5">
        <f>+VLOOKUP($A706,MAGAZZINO!$B$2:$M$100000,12,FALSE)</f>
        <v/>
      </c>
      <c r="M706" s="47" t="n"/>
      <c r="N706" s="88" t="n">
        <v>45874</v>
      </c>
      <c r="O706" s="91" t="inlineStr">
        <is>
          <t>PHILIPPOS CONSTANTINIDES TRADING CO. LTD (CIPRO)</t>
        </is>
      </c>
      <c r="P706" s="154" t="inlineStr">
        <is>
          <t xml:space="preserve">IMPORT LICENSE N. 218 DEL 12/08/2020                                                                                         AUT. TRASFERIMENTO N. 6B/2025/3D RILASCIATA IL 28/07/2025   </t>
        </is>
      </c>
      <c r="Q706" s="150" t="n"/>
      <c r="R706" s="150" t="n"/>
      <c r="S706" s="153" t="n"/>
    </row>
    <row r="707" ht="36" customHeight="1">
      <c r="A707" s="46" t="n">
        <v>3037</v>
      </c>
      <c r="B707" s="4">
        <f>+VLOOKUP($A707,MAGAZZINO!$B$2:$M$100000,2,FALSE)</f>
        <v/>
      </c>
      <c r="C707" s="29">
        <f>+VLOOKUP($A707,MAGAZZINO!$B$2:$M$100000,3,FALSE)</f>
        <v/>
      </c>
      <c r="D707" s="3">
        <f>+VLOOKUP($A707,MAGAZZINO!$B$2:$M$100000,4,FALSE)</f>
        <v/>
      </c>
      <c r="E707" s="3">
        <f>+VLOOKUP($A707,MAGAZZINO!$B$2:$M$100000,5,FALSE)</f>
        <v/>
      </c>
      <c r="F707" s="3">
        <f>+VLOOKUP($A707,MAGAZZINO!$B$2:$M$100000,6,FALSE)</f>
        <v/>
      </c>
      <c r="G707" s="3">
        <f>+VLOOKUP($A707,MAGAZZINO!$B$2:$M$100000,7,FALSE)</f>
        <v/>
      </c>
      <c r="H707" s="3">
        <f>+VLOOKUP($A707,MAGAZZINO!$B$2:$M$100000,8,FALSE)</f>
        <v/>
      </c>
      <c r="I707" s="3">
        <f>+VLOOKUP($A707,MAGAZZINO!$B$2:$M$100000,9,FALSE)</f>
        <v/>
      </c>
      <c r="J707" s="3">
        <f>+VLOOKUP($A707,MAGAZZINO!$B$2:$M$100000,10,FALSE)</f>
        <v/>
      </c>
      <c r="K707" s="3">
        <f>+VLOOKUP($A707,MAGAZZINO!$B$2:$M$100000,11,FALSE)</f>
        <v/>
      </c>
      <c r="L707" s="5">
        <f>+VLOOKUP($A707,MAGAZZINO!$B$2:$M$100000,12,FALSE)</f>
        <v/>
      </c>
      <c r="M707" s="47" t="n"/>
      <c r="N707" s="88" t="n">
        <v>45874</v>
      </c>
      <c r="O707" s="91" t="inlineStr">
        <is>
          <t>PHILIPPOS CONSTANTINIDES TRADING CO. LTD (CIPRO)</t>
        </is>
      </c>
      <c r="P707" s="154" t="inlineStr">
        <is>
          <t xml:space="preserve">IMPORT LICENSE N. 218 DEL 12/08/2020                                                                                         AUT. TRASFERIMENTO N. 6B/2025/3D RILASCIATA IL 28/07/2025   </t>
        </is>
      </c>
      <c r="Q707" s="150" t="n"/>
      <c r="R707" s="150" t="n"/>
      <c r="S707" s="153" t="n"/>
    </row>
    <row r="708" ht="36" customHeight="1">
      <c r="A708" s="46" t="n">
        <v>3038</v>
      </c>
      <c r="B708" s="4">
        <f>+VLOOKUP($A708,MAGAZZINO!$B$2:$M$100000,2,FALSE)</f>
        <v/>
      </c>
      <c r="C708" s="29">
        <f>+VLOOKUP($A708,MAGAZZINO!$B$2:$M$100000,3,FALSE)</f>
        <v/>
      </c>
      <c r="D708" s="3">
        <f>+VLOOKUP($A708,MAGAZZINO!$B$2:$M$100000,4,FALSE)</f>
        <v/>
      </c>
      <c r="E708" s="3">
        <f>+VLOOKUP($A708,MAGAZZINO!$B$2:$M$100000,5,FALSE)</f>
        <v/>
      </c>
      <c r="F708" s="3">
        <f>+VLOOKUP($A708,MAGAZZINO!$B$2:$M$100000,6,FALSE)</f>
        <v/>
      </c>
      <c r="G708" s="3">
        <f>+VLOOKUP($A708,MAGAZZINO!$B$2:$M$100000,7,FALSE)</f>
        <v/>
      </c>
      <c r="H708" s="3">
        <f>+VLOOKUP($A708,MAGAZZINO!$B$2:$M$100000,8,FALSE)</f>
        <v/>
      </c>
      <c r="I708" s="3">
        <f>+VLOOKUP($A708,MAGAZZINO!$B$2:$M$100000,9,FALSE)</f>
        <v/>
      </c>
      <c r="J708" s="3">
        <f>+VLOOKUP($A708,MAGAZZINO!$B$2:$M$100000,10,FALSE)</f>
        <v/>
      </c>
      <c r="K708" s="3">
        <f>+VLOOKUP($A708,MAGAZZINO!$B$2:$M$100000,11,FALSE)</f>
        <v/>
      </c>
      <c r="L708" s="5">
        <f>+VLOOKUP($A708,MAGAZZINO!$B$2:$M$100000,12,FALSE)</f>
        <v/>
      </c>
      <c r="M708" s="47" t="n"/>
      <c r="N708" s="54" t="n"/>
      <c r="O708" s="3" t="n"/>
      <c r="P708" s="149" t="n"/>
      <c r="Q708" s="150" t="n"/>
      <c r="R708" s="150" t="n"/>
      <c r="S708" s="151" t="n"/>
    </row>
    <row r="709" ht="36" customHeight="1">
      <c r="A709" s="46" t="n">
        <v>3039</v>
      </c>
      <c r="B709" s="4">
        <f>+VLOOKUP($A709,MAGAZZINO!$B$2:$M$100000,2,FALSE)</f>
        <v/>
      </c>
      <c r="C709" s="29">
        <f>+VLOOKUP($A709,MAGAZZINO!$B$2:$M$100000,3,FALSE)</f>
        <v/>
      </c>
      <c r="D709" s="3">
        <f>+VLOOKUP($A709,MAGAZZINO!$B$2:$M$100000,4,FALSE)</f>
        <v/>
      </c>
      <c r="E709" s="3">
        <f>+VLOOKUP($A709,MAGAZZINO!$B$2:$M$100000,5,FALSE)</f>
        <v/>
      </c>
      <c r="F709" s="3">
        <f>+VLOOKUP($A709,MAGAZZINO!$B$2:$M$100000,6,FALSE)</f>
        <v/>
      </c>
      <c r="G709" s="3">
        <f>+VLOOKUP($A709,MAGAZZINO!$B$2:$M$100000,7,FALSE)</f>
        <v/>
      </c>
      <c r="H709" s="3">
        <f>+VLOOKUP($A709,MAGAZZINO!$B$2:$M$100000,8,FALSE)</f>
        <v/>
      </c>
      <c r="I709" s="3">
        <f>+VLOOKUP($A709,MAGAZZINO!$B$2:$M$100000,9,FALSE)</f>
        <v/>
      </c>
      <c r="J709" s="3">
        <f>+VLOOKUP($A709,MAGAZZINO!$B$2:$M$100000,10,FALSE)</f>
        <v/>
      </c>
      <c r="K709" s="3">
        <f>+VLOOKUP($A709,MAGAZZINO!$B$2:$M$100000,11,FALSE)</f>
        <v/>
      </c>
      <c r="L709" s="5">
        <f>+VLOOKUP($A709,MAGAZZINO!$B$2:$M$100000,12,FALSE)</f>
        <v/>
      </c>
      <c r="M709" s="47" t="n"/>
      <c r="N709" s="54" t="n"/>
      <c r="O709" s="3" t="n"/>
      <c r="P709" s="149" t="n"/>
      <c r="Q709" s="150" t="n"/>
      <c r="R709" s="150" t="n"/>
      <c r="S709" s="151" t="n"/>
    </row>
    <row r="710" ht="36" customHeight="1">
      <c r="A710" s="46" t="n">
        <v>3040</v>
      </c>
      <c r="B710" s="4">
        <f>+VLOOKUP($A710,MAGAZZINO!$B$2:$M$100000,2,FALSE)</f>
        <v/>
      </c>
      <c r="C710" s="29">
        <f>+VLOOKUP($A710,MAGAZZINO!$B$2:$M$100000,3,FALSE)</f>
        <v/>
      </c>
      <c r="D710" s="3">
        <f>+VLOOKUP($A710,MAGAZZINO!$B$2:$M$100000,4,FALSE)</f>
        <v/>
      </c>
      <c r="E710" s="3">
        <f>+VLOOKUP($A710,MAGAZZINO!$B$2:$M$100000,5,FALSE)</f>
        <v/>
      </c>
      <c r="F710" s="3">
        <f>+VLOOKUP($A710,MAGAZZINO!$B$2:$M$100000,6,FALSE)</f>
        <v/>
      </c>
      <c r="G710" s="3">
        <f>+VLOOKUP($A710,MAGAZZINO!$B$2:$M$100000,7,FALSE)</f>
        <v/>
      </c>
      <c r="H710" s="3">
        <f>+VLOOKUP($A710,MAGAZZINO!$B$2:$M$100000,8,FALSE)</f>
        <v/>
      </c>
      <c r="I710" s="3">
        <f>+VLOOKUP($A710,MAGAZZINO!$B$2:$M$100000,9,FALSE)</f>
        <v/>
      </c>
      <c r="J710" s="3">
        <f>+VLOOKUP($A710,MAGAZZINO!$B$2:$M$100000,10,FALSE)</f>
        <v/>
      </c>
      <c r="K710" s="3">
        <f>+VLOOKUP($A710,MAGAZZINO!$B$2:$M$100000,11,FALSE)</f>
        <v/>
      </c>
      <c r="L710" s="5">
        <f>+VLOOKUP($A710,MAGAZZINO!$B$2:$M$100000,12,FALSE)</f>
        <v/>
      </c>
      <c r="M710" s="47" t="n"/>
      <c r="N710" s="54" t="n"/>
      <c r="O710" s="3" t="n"/>
      <c r="P710" s="149" t="n"/>
      <c r="Q710" s="150" t="n"/>
      <c r="R710" s="150" t="n"/>
      <c r="S710" s="151" t="n"/>
    </row>
    <row r="711" ht="36" customHeight="1">
      <c r="A711" s="46" t="n">
        <v>3041</v>
      </c>
      <c r="B711" s="4">
        <f>+VLOOKUP($A711,MAGAZZINO!$B$2:$M$100000,2,FALSE)</f>
        <v/>
      </c>
      <c r="C711" s="29">
        <f>+VLOOKUP($A711,MAGAZZINO!$B$2:$M$100000,3,FALSE)</f>
        <v/>
      </c>
      <c r="D711" s="3">
        <f>+VLOOKUP($A711,MAGAZZINO!$B$2:$M$100000,4,FALSE)</f>
        <v/>
      </c>
      <c r="E711" s="3">
        <f>+VLOOKUP($A711,MAGAZZINO!$B$2:$M$100000,5,FALSE)</f>
        <v/>
      </c>
      <c r="F711" s="3">
        <f>+VLOOKUP($A711,MAGAZZINO!$B$2:$M$100000,6,FALSE)</f>
        <v/>
      </c>
      <c r="G711" s="3">
        <f>+VLOOKUP($A711,MAGAZZINO!$B$2:$M$100000,7,FALSE)</f>
        <v/>
      </c>
      <c r="H711" s="3">
        <f>+VLOOKUP($A711,MAGAZZINO!$B$2:$M$100000,8,FALSE)</f>
        <v/>
      </c>
      <c r="I711" s="3">
        <f>+VLOOKUP($A711,MAGAZZINO!$B$2:$M$100000,9,FALSE)</f>
        <v/>
      </c>
      <c r="J711" s="3">
        <f>+VLOOKUP($A711,MAGAZZINO!$B$2:$M$100000,10,FALSE)</f>
        <v/>
      </c>
      <c r="K711" s="3">
        <f>+VLOOKUP($A711,MAGAZZINO!$B$2:$M$100000,11,FALSE)</f>
        <v/>
      </c>
      <c r="L711" s="5">
        <f>+VLOOKUP($A711,MAGAZZINO!$B$2:$M$100000,12,FALSE)</f>
        <v/>
      </c>
      <c r="M711" s="47" t="n"/>
      <c r="N711" s="54" t="n"/>
      <c r="O711" s="3" t="n"/>
      <c r="P711" s="149" t="n"/>
      <c r="Q711" s="150" t="n"/>
      <c r="R711" s="150" t="n"/>
      <c r="S711" s="151" t="n"/>
    </row>
    <row r="712" ht="36" customHeight="1">
      <c r="A712" s="46" t="n">
        <v>3042</v>
      </c>
      <c r="B712" s="4">
        <f>+VLOOKUP($A712,MAGAZZINO!$B$2:$M$100000,2,FALSE)</f>
        <v/>
      </c>
      <c r="C712" s="29">
        <f>+VLOOKUP($A712,MAGAZZINO!$B$2:$M$100000,3,FALSE)</f>
        <v/>
      </c>
      <c r="D712" s="3">
        <f>+VLOOKUP($A712,MAGAZZINO!$B$2:$M$100000,4,FALSE)</f>
        <v/>
      </c>
      <c r="E712" s="3">
        <f>+VLOOKUP($A712,MAGAZZINO!$B$2:$M$100000,5,FALSE)</f>
        <v/>
      </c>
      <c r="F712" s="3">
        <f>+VLOOKUP($A712,MAGAZZINO!$B$2:$M$100000,6,FALSE)</f>
        <v/>
      </c>
      <c r="G712" s="3">
        <f>+VLOOKUP($A712,MAGAZZINO!$B$2:$M$100000,7,FALSE)</f>
        <v/>
      </c>
      <c r="H712" s="3">
        <f>+VLOOKUP($A712,MAGAZZINO!$B$2:$M$100000,8,FALSE)</f>
        <v/>
      </c>
      <c r="I712" s="3">
        <f>+VLOOKUP($A712,MAGAZZINO!$B$2:$M$100000,9,FALSE)</f>
        <v/>
      </c>
      <c r="J712" s="3">
        <f>+VLOOKUP($A712,MAGAZZINO!$B$2:$M$100000,10,FALSE)</f>
        <v/>
      </c>
      <c r="K712" s="3">
        <f>+VLOOKUP($A712,MAGAZZINO!$B$2:$M$100000,11,FALSE)</f>
        <v/>
      </c>
      <c r="L712" s="5">
        <f>+VLOOKUP($A712,MAGAZZINO!$B$2:$M$100000,12,FALSE)</f>
        <v/>
      </c>
      <c r="M712" s="47" t="n"/>
      <c r="N712" s="88" t="n">
        <v>45874</v>
      </c>
      <c r="O712" s="91" t="inlineStr">
        <is>
          <t>PHILIPPOS CONSTANTINIDES TRADING CO. LTD (CIPRO)</t>
        </is>
      </c>
      <c r="P712" s="163" t="inlineStr">
        <is>
          <t xml:space="preserve">IMPORT LICENSE N. 218 DEL 12/08/2020                                                                                         AUT. TRASFERIMENTO N. 6B/2025/3D RILASCIATA IL 28/07/2025   </t>
        </is>
      </c>
      <c r="Q712" s="150" t="n"/>
      <c r="R712" s="150" t="n"/>
      <c r="S712" s="151" t="n"/>
    </row>
    <row r="713" ht="36" customHeight="1">
      <c r="A713" s="46" t="n">
        <v>3043</v>
      </c>
      <c r="B713" s="4">
        <f>+VLOOKUP($A713,MAGAZZINO!$B$2:$M$100000,2,FALSE)</f>
        <v/>
      </c>
      <c r="C713" s="29">
        <f>+VLOOKUP($A713,MAGAZZINO!$B$2:$M$100000,3,FALSE)</f>
        <v/>
      </c>
      <c r="D713" s="3">
        <f>+VLOOKUP($A713,MAGAZZINO!$B$2:$M$100000,4,FALSE)</f>
        <v/>
      </c>
      <c r="E713" s="3">
        <f>+VLOOKUP($A713,MAGAZZINO!$B$2:$M$100000,5,FALSE)</f>
        <v/>
      </c>
      <c r="F713" s="3">
        <f>+VLOOKUP($A713,MAGAZZINO!$B$2:$M$100000,6,FALSE)</f>
        <v/>
      </c>
      <c r="G713" s="3">
        <f>+VLOOKUP($A713,MAGAZZINO!$B$2:$M$100000,7,FALSE)</f>
        <v/>
      </c>
      <c r="H713" s="3">
        <f>+VLOOKUP($A713,MAGAZZINO!$B$2:$M$100000,8,FALSE)</f>
        <v/>
      </c>
      <c r="I713" s="3">
        <f>+VLOOKUP($A713,MAGAZZINO!$B$2:$M$100000,9,FALSE)</f>
        <v/>
      </c>
      <c r="J713" s="3">
        <f>+VLOOKUP($A713,MAGAZZINO!$B$2:$M$100000,10,FALSE)</f>
        <v/>
      </c>
      <c r="K713" s="3">
        <f>+VLOOKUP($A713,MAGAZZINO!$B$2:$M$100000,11,FALSE)</f>
        <v/>
      </c>
      <c r="L713" s="5">
        <f>+VLOOKUP($A713,MAGAZZINO!$B$2:$M$100000,12,FALSE)</f>
        <v/>
      </c>
      <c r="M713" s="47" t="n"/>
      <c r="N713" s="88" t="n">
        <v>45874</v>
      </c>
      <c r="O713" s="91" t="inlineStr">
        <is>
          <t>PHILIPPOS CONSTANTINIDES TRADING CO. LTD (CIPRO)</t>
        </is>
      </c>
      <c r="P713" s="163" t="inlineStr">
        <is>
          <t xml:space="preserve">IMPORT LICENSE N. 218 DEL 12/08/2020                                                                                         AUT. TRASFERIMENTO N. 6B/2025/3D RILASCIATA IL 28/07/2025   </t>
        </is>
      </c>
      <c r="Q713" s="150" t="n"/>
      <c r="R713" s="150" t="n"/>
      <c r="S713" s="151" t="n"/>
    </row>
    <row r="714" ht="36" customHeight="1">
      <c r="A714" s="46" t="n">
        <v>3044</v>
      </c>
      <c r="B714" s="4">
        <f>+VLOOKUP($A714,MAGAZZINO!$B$2:$M$100000,2,FALSE)</f>
        <v/>
      </c>
      <c r="C714" s="29">
        <f>+VLOOKUP($A714,MAGAZZINO!$B$2:$M$100000,3,FALSE)</f>
        <v/>
      </c>
      <c r="D714" s="3">
        <f>+VLOOKUP($A714,MAGAZZINO!$B$2:$M$100000,4,FALSE)</f>
        <v/>
      </c>
      <c r="E714" s="3">
        <f>+VLOOKUP($A714,MAGAZZINO!$B$2:$M$100000,5,FALSE)</f>
        <v/>
      </c>
      <c r="F714" s="3">
        <f>+VLOOKUP($A714,MAGAZZINO!$B$2:$M$100000,6,FALSE)</f>
        <v/>
      </c>
      <c r="G714" s="3">
        <f>+VLOOKUP($A714,MAGAZZINO!$B$2:$M$100000,7,FALSE)</f>
        <v/>
      </c>
      <c r="H714" s="3">
        <f>+VLOOKUP($A714,MAGAZZINO!$B$2:$M$100000,8,FALSE)</f>
        <v/>
      </c>
      <c r="I714" s="3">
        <f>+VLOOKUP($A714,MAGAZZINO!$B$2:$M$100000,9,FALSE)</f>
        <v/>
      </c>
      <c r="J714" s="3">
        <f>+VLOOKUP($A714,MAGAZZINO!$B$2:$M$100000,10,FALSE)</f>
        <v/>
      </c>
      <c r="K714" s="3">
        <f>+VLOOKUP($A714,MAGAZZINO!$B$2:$M$100000,11,FALSE)</f>
        <v/>
      </c>
      <c r="L714" s="5">
        <f>+VLOOKUP($A714,MAGAZZINO!$B$2:$M$100000,12,FALSE)</f>
        <v/>
      </c>
      <c r="M714" s="47" t="n"/>
      <c r="N714" s="88" t="n">
        <v>45874</v>
      </c>
      <c r="O714" s="91" t="inlineStr">
        <is>
          <t>PHILIPPOS CONSTANTINIDES TRADING CO. LTD (CIPRO)</t>
        </is>
      </c>
      <c r="P714" s="154" t="inlineStr">
        <is>
          <t xml:space="preserve">IMPORT LICENSE N. 218 DEL 12/08/2020                                                                                         AUT. TRASFERIMENTO N. 6B/2025/3D RILASCIATA IL 28/07/2025   </t>
        </is>
      </c>
      <c r="Q714" s="150" t="n"/>
      <c r="R714" s="150" t="n"/>
      <c r="S714" s="153" t="n"/>
    </row>
    <row r="715" ht="36" customHeight="1">
      <c r="A715" s="46" t="n">
        <v>3045</v>
      </c>
      <c r="B715" s="4">
        <f>+VLOOKUP($A715,MAGAZZINO!$B$2:$M$100000,2,FALSE)</f>
        <v/>
      </c>
      <c r="C715" s="29">
        <f>+VLOOKUP($A715,MAGAZZINO!$B$2:$M$100000,3,FALSE)</f>
        <v/>
      </c>
      <c r="D715" s="3">
        <f>+VLOOKUP($A715,MAGAZZINO!$B$2:$M$100000,4,FALSE)</f>
        <v/>
      </c>
      <c r="E715" s="3">
        <f>+VLOOKUP($A715,MAGAZZINO!$B$2:$M$100000,5,FALSE)</f>
        <v/>
      </c>
      <c r="F715" s="3">
        <f>+VLOOKUP($A715,MAGAZZINO!$B$2:$M$100000,6,FALSE)</f>
        <v/>
      </c>
      <c r="G715" s="3">
        <f>+VLOOKUP($A715,MAGAZZINO!$B$2:$M$100000,7,FALSE)</f>
        <v/>
      </c>
      <c r="H715" s="3">
        <f>+VLOOKUP($A715,MAGAZZINO!$B$2:$M$100000,8,FALSE)</f>
        <v/>
      </c>
      <c r="I715" s="3">
        <f>+VLOOKUP($A715,MAGAZZINO!$B$2:$M$100000,9,FALSE)</f>
        <v/>
      </c>
      <c r="J715" s="3">
        <f>+VLOOKUP($A715,MAGAZZINO!$B$2:$M$100000,10,FALSE)</f>
        <v/>
      </c>
      <c r="K715" s="3">
        <f>+VLOOKUP($A715,MAGAZZINO!$B$2:$M$100000,11,FALSE)</f>
        <v/>
      </c>
      <c r="L715" s="5">
        <f>+VLOOKUP($A715,MAGAZZINO!$B$2:$M$100000,12,FALSE)</f>
        <v/>
      </c>
      <c r="M715" s="47" t="n"/>
      <c r="N715" s="54" t="n"/>
      <c r="O715" s="3" t="n"/>
      <c r="P715" s="149" t="n"/>
      <c r="Q715" s="150" t="n"/>
      <c r="R715" s="150" t="n"/>
      <c r="S715" s="151" t="n"/>
    </row>
    <row r="716" ht="36" customHeight="1">
      <c r="A716" s="46" t="n">
        <v>3046</v>
      </c>
      <c r="B716" s="4">
        <f>+VLOOKUP($A716,MAGAZZINO!$B$2:$M$100000,2,FALSE)</f>
        <v/>
      </c>
      <c r="C716" s="29">
        <f>+VLOOKUP($A716,MAGAZZINO!$B$2:$M$100000,3,FALSE)</f>
        <v/>
      </c>
      <c r="D716" s="3">
        <f>+VLOOKUP($A716,MAGAZZINO!$B$2:$M$100000,4,FALSE)</f>
        <v/>
      </c>
      <c r="E716" s="3">
        <f>+VLOOKUP($A716,MAGAZZINO!$B$2:$M$100000,5,FALSE)</f>
        <v/>
      </c>
      <c r="F716" s="3">
        <f>+VLOOKUP($A716,MAGAZZINO!$B$2:$M$100000,6,FALSE)</f>
        <v/>
      </c>
      <c r="G716" s="3">
        <f>+VLOOKUP($A716,MAGAZZINO!$B$2:$M$100000,7,FALSE)</f>
        <v/>
      </c>
      <c r="H716" s="3">
        <f>+VLOOKUP($A716,MAGAZZINO!$B$2:$M$100000,8,FALSE)</f>
        <v/>
      </c>
      <c r="I716" s="3">
        <f>+VLOOKUP($A716,MAGAZZINO!$B$2:$M$100000,9,FALSE)</f>
        <v/>
      </c>
      <c r="J716" s="3">
        <f>+VLOOKUP($A716,MAGAZZINO!$B$2:$M$100000,10,FALSE)</f>
        <v/>
      </c>
      <c r="K716" s="3">
        <f>+VLOOKUP($A716,MAGAZZINO!$B$2:$M$100000,11,FALSE)</f>
        <v/>
      </c>
      <c r="L716" s="5">
        <f>+VLOOKUP($A716,MAGAZZINO!$B$2:$M$100000,12,FALSE)</f>
        <v/>
      </c>
      <c r="M716" s="47" t="n"/>
      <c r="N716" s="88" t="n">
        <v>45874</v>
      </c>
      <c r="O716" s="91" t="inlineStr">
        <is>
          <t>PHILIPPOS CONSTANTINIDES TRADING CO. LTD (CIPRO)</t>
        </is>
      </c>
      <c r="P716" s="154" t="inlineStr">
        <is>
          <t xml:space="preserve">IMPORT LICENSE N. 218 DEL 12/08/2020                                                                                         AUT. TRASFERIMENTO N. 6B/2025/3D RILASCIATA IL 28/07/2025   </t>
        </is>
      </c>
      <c r="Q716" s="150" t="n"/>
      <c r="R716" s="150" t="n"/>
      <c r="S716" s="153" t="n"/>
    </row>
    <row r="717" ht="36" customHeight="1">
      <c r="A717" s="46" t="n">
        <v>3047</v>
      </c>
      <c r="B717" s="4">
        <f>+VLOOKUP($A717,MAGAZZINO!$B$2:$M$100000,2,FALSE)</f>
        <v/>
      </c>
      <c r="C717" s="29">
        <f>+VLOOKUP($A717,MAGAZZINO!$B$2:$M$100000,3,FALSE)</f>
        <v/>
      </c>
      <c r="D717" s="3">
        <f>+VLOOKUP($A717,MAGAZZINO!$B$2:$M$100000,4,FALSE)</f>
        <v/>
      </c>
      <c r="E717" s="3">
        <f>+VLOOKUP($A717,MAGAZZINO!$B$2:$M$100000,5,FALSE)</f>
        <v/>
      </c>
      <c r="F717" s="3">
        <f>+VLOOKUP($A717,MAGAZZINO!$B$2:$M$100000,6,FALSE)</f>
        <v/>
      </c>
      <c r="G717" s="3">
        <f>+VLOOKUP($A717,MAGAZZINO!$B$2:$M$100000,7,FALSE)</f>
        <v/>
      </c>
      <c r="H717" s="3">
        <f>+VLOOKUP($A717,MAGAZZINO!$B$2:$M$100000,8,FALSE)</f>
        <v/>
      </c>
      <c r="I717" s="3">
        <f>+VLOOKUP($A717,MAGAZZINO!$B$2:$M$100000,9,FALSE)</f>
        <v/>
      </c>
      <c r="J717" s="3">
        <f>+VLOOKUP($A717,MAGAZZINO!$B$2:$M$100000,10,FALSE)</f>
        <v/>
      </c>
      <c r="K717" s="3">
        <f>+VLOOKUP($A717,MAGAZZINO!$B$2:$M$100000,11,FALSE)</f>
        <v/>
      </c>
      <c r="L717" s="5">
        <f>+VLOOKUP($A717,MAGAZZINO!$B$2:$M$100000,12,FALSE)</f>
        <v/>
      </c>
      <c r="M717" s="47" t="n"/>
      <c r="N717" s="88" t="n">
        <v>45874</v>
      </c>
      <c r="O717" s="91" t="inlineStr">
        <is>
          <t>PHILIPPOS CONSTANTINIDES TRADING CO. LTD (CIPRO)</t>
        </is>
      </c>
      <c r="P717" s="154" t="inlineStr">
        <is>
          <t xml:space="preserve">IMPORT LICENSE N. 218 DEL 12/08/2020                                                                                         AUT. TRASFERIMENTO N. 6B/2025/3D RILASCIATA IL 28/07/2025   </t>
        </is>
      </c>
      <c r="Q717" s="150" t="n"/>
      <c r="R717" s="150" t="n"/>
      <c r="S717" s="153" t="n"/>
    </row>
    <row r="718" ht="36" customHeight="1">
      <c r="A718" s="46" t="n">
        <v>3048</v>
      </c>
      <c r="B718" s="4">
        <f>+VLOOKUP($A718,MAGAZZINO!$B$2:$M$100000,2,FALSE)</f>
        <v/>
      </c>
      <c r="C718" s="29">
        <f>+VLOOKUP($A718,MAGAZZINO!$B$2:$M$100000,3,FALSE)</f>
        <v/>
      </c>
      <c r="D718" s="3">
        <f>+VLOOKUP($A718,MAGAZZINO!$B$2:$M$100000,4,FALSE)</f>
        <v/>
      </c>
      <c r="E718" s="3">
        <f>+VLOOKUP($A718,MAGAZZINO!$B$2:$M$100000,5,FALSE)</f>
        <v/>
      </c>
      <c r="F718" s="3">
        <f>+VLOOKUP($A718,MAGAZZINO!$B$2:$M$100000,6,FALSE)</f>
        <v/>
      </c>
      <c r="G718" s="3">
        <f>+VLOOKUP($A718,MAGAZZINO!$B$2:$M$100000,7,FALSE)</f>
        <v/>
      </c>
      <c r="H718" s="3">
        <f>+VLOOKUP($A718,MAGAZZINO!$B$2:$M$100000,8,FALSE)</f>
        <v/>
      </c>
      <c r="I718" s="3">
        <f>+VLOOKUP($A718,MAGAZZINO!$B$2:$M$100000,9,FALSE)</f>
        <v/>
      </c>
      <c r="J718" s="3">
        <f>+VLOOKUP($A718,MAGAZZINO!$B$2:$M$100000,10,FALSE)</f>
        <v/>
      </c>
      <c r="K718" s="3">
        <f>+VLOOKUP($A718,MAGAZZINO!$B$2:$M$100000,11,FALSE)</f>
        <v/>
      </c>
      <c r="L718" s="5">
        <f>+VLOOKUP($A718,MAGAZZINO!$B$2:$M$100000,12,FALSE)</f>
        <v/>
      </c>
      <c r="M718" s="47" t="n"/>
      <c r="N718" s="88" t="n">
        <v>45874</v>
      </c>
      <c r="O718" s="91" t="inlineStr">
        <is>
          <t>PHILIPPOS CONSTANTINIDES TRADING CO. LTD (CIPRO)</t>
        </is>
      </c>
      <c r="P718" s="154" t="inlineStr">
        <is>
          <t xml:space="preserve">IMPORT LICENSE N. 218 DEL 12/08/2020                                                                                         AUT. TRASFERIMENTO N. 6B/2025/3D RILASCIATA IL 28/07/2025   </t>
        </is>
      </c>
      <c r="Q718" s="150" t="n"/>
      <c r="R718" s="150" t="n"/>
      <c r="S718" s="153" t="n"/>
    </row>
    <row r="719" ht="36" customHeight="1">
      <c r="A719" s="46" t="n">
        <v>3049</v>
      </c>
      <c r="B719" s="4">
        <f>+VLOOKUP($A719,MAGAZZINO!$B$2:$M$100000,2,FALSE)</f>
        <v/>
      </c>
      <c r="C719" s="29">
        <f>+VLOOKUP($A719,MAGAZZINO!$B$2:$M$100000,3,FALSE)</f>
        <v/>
      </c>
      <c r="D719" s="3">
        <f>+VLOOKUP($A719,MAGAZZINO!$B$2:$M$100000,4,FALSE)</f>
        <v/>
      </c>
      <c r="E719" s="3">
        <f>+VLOOKUP($A719,MAGAZZINO!$B$2:$M$100000,5,FALSE)</f>
        <v/>
      </c>
      <c r="F719" s="3">
        <f>+VLOOKUP($A719,MAGAZZINO!$B$2:$M$100000,6,FALSE)</f>
        <v/>
      </c>
      <c r="G719" s="3">
        <f>+VLOOKUP($A719,MAGAZZINO!$B$2:$M$100000,7,FALSE)</f>
        <v/>
      </c>
      <c r="H719" s="3">
        <f>+VLOOKUP($A719,MAGAZZINO!$B$2:$M$100000,8,FALSE)</f>
        <v/>
      </c>
      <c r="I719" s="3">
        <f>+VLOOKUP($A719,MAGAZZINO!$B$2:$M$100000,9,FALSE)</f>
        <v/>
      </c>
      <c r="J719" s="3">
        <f>+VLOOKUP($A719,MAGAZZINO!$B$2:$M$100000,10,FALSE)</f>
        <v/>
      </c>
      <c r="K719" s="3">
        <f>+VLOOKUP($A719,MAGAZZINO!$B$2:$M$100000,11,FALSE)</f>
        <v/>
      </c>
      <c r="L719" s="5">
        <f>+VLOOKUP($A719,MAGAZZINO!$B$2:$M$100000,12,FALSE)</f>
        <v/>
      </c>
      <c r="M719" s="47" t="n"/>
      <c r="N719" s="88" t="n">
        <v>45874</v>
      </c>
      <c r="O719" s="91" t="inlineStr">
        <is>
          <t>PHILIPPOS CONSTANTINIDES TRADING CO. LTD (CIPRO)</t>
        </is>
      </c>
      <c r="P719" s="154" t="inlineStr">
        <is>
          <t xml:space="preserve">IMPORT LICENSE N. 218 DEL 12/08/2020                                                                                         AUT. TRASFERIMENTO N. 6B/2025/3D RILASCIATA IL 28/07/2025   </t>
        </is>
      </c>
      <c r="Q719" s="150" t="n"/>
      <c r="R719" s="150" t="n"/>
      <c r="S719" s="153" t="n"/>
    </row>
    <row r="720" ht="36" customHeight="1">
      <c r="A720" s="46" t="n">
        <v>3050</v>
      </c>
      <c r="B720" s="4">
        <f>+VLOOKUP($A720,MAGAZZINO!$B$2:$M$100000,2,FALSE)</f>
        <v/>
      </c>
      <c r="C720" s="29">
        <f>+VLOOKUP($A720,MAGAZZINO!$B$2:$M$100000,3,FALSE)</f>
        <v/>
      </c>
      <c r="D720" s="3">
        <f>+VLOOKUP($A720,MAGAZZINO!$B$2:$M$100000,4,FALSE)</f>
        <v/>
      </c>
      <c r="E720" s="3">
        <f>+VLOOKUP($A720,MAGAZZINO!$B$2:$M$100000,5,FALSE)</f>
        <v/>
      </c>
      <c r="F720" s="3">
        <f>+VLOOKUP($A720,MAGAZZINO!$B$2:$M$100000,6,FALSE)</f>
        <v/>
      </c>
      <c r="G720" s="3">
        <f>+VLOOKUP($A720,MAGAZZINO!$B$2:$M$100000,7,FALSE)</f>
        <v/>
      </c>
      <c r="H720" s="3">
        <f>+VLOOKUP($A720,MAGAZZINO!$B$2:$M$100000,8,FALSE)</f>
        <v/>
      </c>
      <c r="I720" s="3">
        <f>+VLOOKUP($A720,MAGAZZINO!$B$2:$M$100000,9,FALSE)</f>
        <v/>
      </c>
      <c r="J720" s="3">
        <f>+VLOOKUP($A720,MAGAZZINO!$B$2:$M$100000,10,FALSE)</f>
        <v/>
      </c>
      <c r="K720" s="3">
        <f>+VLOOKUP($A720,MAGAZZINO!$B$2:$M$100000,11,FALSE)</f>
        <v/>
      </c>
      <c r="L720" s="5">
        <f>+VLOOKUP($A720,MAGAZZINO!$B$2:$M$100000,12,FALSE)</f>
        <v/>
      </c>
      <c r="M720" s="47" t="n"/>
      <c r="N720" s="88" t="n">
        <v>45874</v>
      </c>
      <c r="O720" s="91" t="inlineStr">
        <is>
          <t>PHILIPPOS CONSTANTINIDES TRADING CO. LTD (CIPRO)</t>
        </is>
      </c>
      <c r="P720" s="154" t="inlineStr">
        <is>
          <t xml:space="preserve">IMPORT LICENSE N. 218 DEL 12/08/2020                                                                                         AUT. TRASFERIMENTO N. 6B/2025/3D RILASCIATA IL 28/07/2025   </t>
        </is>
      </c>
      <c r="Q720" s="150" t="n"/>
      <c r="R720" s="150" t="n"/>
      <c r="S720" s="153" t="n"/>
    </row>
    <row r="721" ht="36" customHeight="1">
      <c r="A721" s="46" t="n">
        <v>3051</v>
      </c>
      <c r="B721" s="4">
        <f>+VLOOKUP($A721,MAGAZZINO!$B$2:$M$100000,2,FALSE)</f>
        <v/>
      </c>
      <c r="C721" s="29">
        <f>+VLOOKUP($A721,MAGAZZINO!$B$2:$M$100000,3,FALSE)</f>
        <v/>
      </c>
      <c r="D721" s="3">
        <f>+VLOOKUP($A721,MAGAZZINO!$B$2:$M$100000,4,FALSE)</f>
        <v/>
      </c>
      <c r="E721" s="3">
        <f>+VLOOKUP($A721,MAGAZZINO!$B$2:$M$100000,5,FALSE)</f>
        <v/>
      </c>
      <c r="F721" s="3">
        <f>+VLOOKUP($A721,MAGAZZINO!$B$2:$M$100000,6,FALSE)</f>
        <v/>
      </c>
      <c r="G721" s="3">
        <f>+VLOOKUP($A721,MAGAZZINO!$B$2:$M$100000,7,FALSE)</f>
        <v/>
      </c>
      <c r="H721" s="3">
        <f>+VLOOKUP($A721,MAGAZZINO!$B$2:$M$100000,8,FALSE)</f>
        <v/>
      </c>
      <c r="I721" s="3">
        <f>+VLOOKUP($A721,MAGAZZINO!$B$2:$M$100000,9,FALSE)</f>
        <v/>
      </c>
      <c r="J721" s="3">
        <f>+VLOOKUP($A721,MAGAZZINO!$B$2:$M$100000,10,FALSE)</f>
        <v/>
      </c>
      <c r="K721" s="3">
        <f>+VLOOKUP($A721,MAGAZZINO!$B$2:$M$100000,11,FALSE)</f>
        <v/>
      </c>
      <c r="L721" s="5">
        <f>+VLOOKUP($A721,MAGAZZINO!$B$2:$M$100000,12,FALSE)</f>
        <v/>
      </c>
      <c r="M721" s="47" t="n"/>
      <c r="N721" s="88" t="n">
        <v>45874</v>
      </c>
      <c r="O721" s="91" t="inlineStr">
        <is>
          <t>PHILIPPOS CONSTANTINIDES TRADING CO. LTD (CIPRO)</t>
        </is>
      </c>
      <c r="P721" s="154" t="inlineStr">
        <is>
          <t xml:space="preserve">IMPORT LICENSE N. 218 DEL 12/08/2020                                                                                         AUT. TRASFERIMENTO N. 6B/2025/3D RILASCIATA IL 28/07/2025   </t>
        </is>
      </c>
      <c r="Q721" s="150" t="n"/>
      <c r="R721" s="150" t="n"/>
      <c r="S721" s="153" t="n"/>
    </row>
    <row r="722" ht="36" customHeight="1">
      <c r="A722" s="46" t="n">
        <v>3052</v>
      </c>
      <c r="B722" s="4">
        <f>+VLOOKUP($A722,MAGAZZINO!$B$2:$M$100000,2,FALSE)</f>
        <v/>
      </c>
      <c r="C722" s="29">
        <f>+VLOOKUP($A722,MAGAZZINO!$B$2:$M$100000,3,FALSE)</f>
        <v/>
      </c>
      <c r="D722" s="3">
        <f>+VLOOKUP($A722,MAGAZZINO!$B$2:$M$100000,4,FALSE)</f>
        <v/>
      </c>
      <c r="E722" s="3">
        <f>+VLOOKUP($A722,MAGAZZINO!$B$2:$M$100000,5,FALSE)</f>
        <v/>
      </c>
      <c r="F722" s="3">
        <f>+VLOOKUP($A722,MAGAZZINO!$B$2:$M$100000,6,FALSE)</f>
        <v/>
      </c>
      <c r="G722" s="3">
        <f>+VLOOKUP($A722,MAGAZZINO!$B$2:$M$100000,7,FALSE)</f>
        <v/>
      </c>
      <c r="H722" s="3">
        <f>+VLOOKUP($A722,MAGAZZINO!$B$2:$M$100000,8,FALSE)</f>
        <v/>
      </c>
      <c r="I722" s="3">
        <f>+VLOOKUP($A722,MAGAZZINO!$B$2:$M$100000,9,FALSE)</f>
        <v/>
      </c>
      <c r="J722" s="3">
        <f>+VLOOKUP($A722,MAGAZZINO!$B$2:$M$100000,10,FALSE)</f>
        <v/>
      </c>
      <c r="K722" s="3">
        <f>+VLOOKUP($A722,MAGAZZINO!$B$2:$M$100000,11,FALSE)</f>
        <v/>
      </c>
      <c r="L722" s="5">
        <f>+VLOOKUP($A722,MAGAZZINO!$B$2:$M$100000,12,FALSE)</f>
        <v/>
      </c>
      <c r="M722" s="47" t="n"/>
      <c r="N722" s="88" t="n">
        <v>45874</v>
      </c>
      <c r="O722" s="91" t="inlineStr">
        <is>
          <t>PHILIPPOS CONSTANTINIDES TRADING CO. LTD (CIPRO)</t>
        </is>
      </c>
      <c r="P722" s="154" t="inlineStr">
        <is>
          <t xml:space="preserve">IMPORT LICENSE N. 218 DEL 12/08/2020                                                                                         AUT. TRASFERIMENTO N. 6B/2025/3D RILASCIATA IL 28/07/2025   </t>
        </is>
      </c>
      <c r="Q722" s="150" t="n"/>
      <c r="R722" s="150" t="n"/>
      <c r="S722" s="153" t="n"/>
    </row>
    <row r="723" ht="36" customHeight="1">
      <c r="A723" s="46" t="n">
        <v>3053</v>
      </c>
      <c r="B723" s="4">
        <f>+VLOOKUP($A723,MAGAZZINO!$B$2:$M$100000,2,FALSE)</f>
        <v/>
      </c>
      <c r="C723" s="29">
        <f>+VLOOKUP($A723,MAGAZZINO!$B$2:$M$100000,3,FALSE)</f>
        <v/>
      </c>
      <c r="D723" s="3">
        <f>+VLOOKUP($A723,MAGAZZINO!$B$2:$M$100000,4,FALSE)</f>
        <v/>
      </c>
      <c r="E723" s="3">
        <f>+VLOOKUP($A723,MAGAZZINO!$B$2:$M$100000,5,FALSE)</f>
        <v/>
      </c>
      <c r="F723" s="3">
        <f>+VLOOKUP($A723,MAGAZZINO!$B$2:$M$100000,6,FALSE)</f>
        <v/>
      </c>
      <c r="G723" s="3">
        <f>+VLOOKUP($A723,MAGAZZINO!$B$2:$M$100000,7,FALSE)</f>
        <v/>
      </c>
      <c r="H723" s="3">
        <f>+VLOOKUP($A723,MAGAZZINO!$B$2:$M$100000,8,FALSE)</f>
        <v/>
      </c>
      <c r="I723" s="3">
        <f>+VLOOKUP($A723,MAGAZZINO!$B$2:$M$100000,9,FALSE)</f>
        <v/>
      </c>
      <c r="J723" s="3">
        <f>+VLOOKUP($A723,MAGAZZINO!$B$2:$M$100000,10,FALSE)</f>
        <v/>
      </c>
      <c r="K723" s="3">
        <f>+VLOOKUP($A723,MAGAZZINO!$B$2:$M$100000,11,FALSE)</f>
        <v/>
      </c>
      <c r="L723" s="5">
        <f>+VLOOKUP($A723,MAGAZZINO!$B$2:$M$100000,12,FALSE)</f>
        <v/>
      </c>
      <c r="M723" s="47" t="n"/>
      <c r="N723" s="88" t="n">
        <v>45874</v>
      </c>
      <c r="O723" s="91" t="inlineStr">
        <is>
          <t>PHILIPPOS CONSTANTINIDES TRADING CO. LTD (CIPRO)</t>
        </is>
      </c>
      <c r="P723" s="163" t="inlineStr">
        <is>
          <t xml:space="preserve">IMPORT LICENSE N. 218 DEL 12/08/2020                                                                                         AUT. TRASFERIMENTO N. 6B/2025/3D RILASCIATA IL 28/07/2025   </t>
        </is>
      </c>
      <c r="Q723" s="150" t="n"/>
      <c r="R723" s="150" t="n"/>
      <c r="S723" s="151" t="n"/>
    </row>
    <row r="724" ht="36" customHeight="1">
      <c r="A724" s="46" t="n">
        <v>3054</v>
      </c>
      <c r="B724" s="4">
        <f>+VLOOKUP($A724,MAGAZZINO!$B$2:$M$100000,2,FALSE)</f>
        <v/>
      </c>
      <c r="C724" s="29">
        <f>+VLOOKUP($A724,MAGAZZINO!$B$2:$M$100000,3,FALSE)</f>
        <v/>
      </c>
      <c r="D724" s="3">
        <f>+VLOOKUP($A724,MAGAZZINO!$B$2:$M$100000,4,FALSE)</f>
        <v/>
      </c>
      <c r="E724" s="3">
        <f>+VLOOKUP($A724,MAGAZZINO!$B$2:$M$100000,5,FALSE)</f>
        <v/>
      </c>
      <c r="F724" s="3">
        <f>+VLOOKUP($A724,MAGAZZINO!$B$2:$M$100000,6,FALSE)</f>
        <v/>
      </c>
      <c r="G724" s="3">
        <f>+VLOOKUP($A724,MAGAZZINO!$B$2:$M$100000,7,FALSE)</f>
        <v/>
      </c>
      <c r="H724" s="3">
        <f>+VLOOKUP($A724,MAGAZZINO!$B$2:$M$100000,8,FALSE)</f>
        <v/>
      </c>
      <c r="I724" s="3">
        <f>+VLOOKUP($A724,MAGAZZINO!$B$2:$M$100000,9,FALSE)</f>
        <v/>
      </c>
      <c r="J724" s="3">
        <f>+VLOOKUP($A724,MAGAZZINO!$B$2:$M$100000,10,FALSE)</f>
        <v/>
      </c>
      <c r="K724" s="3">
        <f>+VLOOKUP($A724,MAGAZZINO!$B$2:$M$100000,11,FALSE)</f>
        <v/>
      </c>
      <c r="L724" s="5">
        <f>+VLOOKUP($A724,MAGAZZINO!$B$2:$M$100000,12,FALSE)</f>
        <v/>
      </c>
      <c r="M724" s="47" t="n"/>
      <c r="N724" s="88" t="n">
        <v>45874</v>
      </c>
      <c r="O724" s="91" t="inlineStr">
        <is>
          <t>PHILIPPOS CONSTANTINIDES TRADING CO. LTD (CIPRO)</t>
        </is>
      </c>
      <c r="P724" s="154" t="inlineStr">
        <is>
          <t xml:space="preserve">IMPORT LICENSE N. 218 DEL 12/08/2020                                                                                         AUT. TRASFERIMENTO N. 6B/2025/3D RILASCIATA IL 28/07/2025   </t>
        </is>
      </c>
      <c r="Q724" s="150" t="n"/>
      <c r="R724" s="150" t="n"/>
      <c r="S724" s="153" t="n"/>
    </row>
    <row r="725" ht="36" customHeight="1">
      <c r="A725" s="46" t="n">
        <v>3055</v>
      </c>
      <c r="B725" s="4">
        <f>+VLOOKUP($A725,MAGAZZINO!$B$2:$M$100000,2,FALSE)</f>
        <v/>
      </c>
      <c r="C725" s="29">
        <f>+VLOOKUP($A725,MAGAZZINO!$B$2:$M$100000,3,FALSE)</f>
        <v/>
      </c>
      <c r="D725" s="3">
        <f>+VLOOKUP($A725,MAGAZZINO!$B$2:$M$100000,4,FALSE)</f>
        <v/>
      </c>
      <c r="E725" s="3">
        <f>+VLOOKUP($A725,MAGAZZINO!$B$2:$M$100000,5,FALSE)</f>
        <v/>
      </c>
      <c r="F725" s="3">
        <f>+VLOOKUP($A725,MAGAZZINO!$B$2:$M$100000,6,FALSE)</f>
        <v/>
      </c>
      <c r="G725" s="3">
        <f>+VLOOKUP($A725,MAGAZZINO!$B$2:$M$100000,7,FALSE)</f>
        <v/>
      </c>
      <c r="H725" s="3">
        <f>+VLOOKUP($A725,MAGAZZINO!$B$2:$M$100000,8,FALSE)</f>
        <v/>
      </c>
      <c r="I725" s="3">
        <f>+VLOOKUP($A725,MAGAZZINO!$B$2:$M$100000,9,FALSE)</f>
        <v/>
      </c>
      <c r="J725" s="3">
        <f>+VLOOKUP($A725,MAGAZZINO!$B$2:$M$100000,10,FALSE)</f>
        <v/>
      </c>
      <c r="K725" s="3">
        <f>+VLOOKUP($A725,MAGAZZINO!$B$2:$M$100000,11,FALSE)</f>
        <v/>
      </c>
      <c r="L725" s="5">
        <f>+VLOOKUP($A725,MAGAZZINO!$B$2:$M$100000,12,FALSE)</f>
        <v/>
      </c>
      <c r="M725" s="47" t="n"/>
      <c r="N725" s="88" t="n">
        <v>45874</v>
      </c>
      <c r="O725" s="91" t="inlineStr">
        <is>
          <t>PHILIPPOS CONSTANTINIDES TRADING CO. LTD (CIPRO)</t>
        </is>
      </c>
      <c r="P725" s="154" t="inlineStr">
        <is>
          <t xml:space="preserve">IMPORT LICENSE N. 218 DEL 12/08/2020                                                                                         AUT. TRASFERIMENTO N. 6B/2025/3D RILASCIATA IL 28/07/2025   </t>
        </is>
      </c>
      <c r="Q725" s="150" t="n"/>
      <c r="R725" s="150" t="n"/>
      <c r="S725" s="153" t="n"/>
    </row>
    <row r="726" ht="36" customHeight="1">
      <c r="A726" s="46" t="n">
        <v>3056</v>
      </c>
      <c r="B726" s="4">
        <f>+VLOOKUP($A726,MAGAZZINO!$B$2:$M$100000,2,FALSE)</f>
        <v/>
      </c>
      <c r="C726" s="29">
        <f>+VLOOKUP($A726,MAGAZZINO!$B$2:$M$100000,3,FALSE)</f>
        <v/>
      </c>
      <c r="D726" s="3">
        <f>+VLOOKUP($A726,MAGAZZINO!$B$2:$M$100000,4,FALSE)</f>
        <v/>
      </c>
      <c r="E726" s="3">
        <f>+VLOOKUP($A726,MAGAZZINO!$B$2:$M$100000,5,FALSE)</f>
        <v/>
      </c>
      <c r="F726" s="3">
        <f>+VLOOKUP($A726,MAGAZZINO!$B$2:$M$100000,6,FALSE)</f>
        <v/>
      </c>
      <c r="G726" s="3">
        <f>+VLOOKUP($A726,MAGAZZINO!$B$2:$M$100000,7,FALSE)</f>
        <v/>
      </c>
      <c r="H726" s="3">
        <f>+VLOOKUP($A726,MAGAZZINO!$B$2:$M$100000,8,FALSE)</f>
        <v/>
      </c>
      <c r="I726" s="3">
        <f>+VLOOKUP($A726,MAGAZZINO!$B$2:$M$100000,9,FALSE)</f>
        <v/>
      </c>
      <c r="J726" s="3">
        <f>+VLOOKUP($A726,MAGAZZINO!$B$2:$M$100000,10,FALSE)</f>
        <v/>
      </c>
      <c r="K726" s="3">
        <f>+VLOOKUP($A726,MAGAZZINO!$B$2:$M$100000,11,FALSE)</f>
        <v/>
      </c>
      <c r="L726" s="5">
        <f>+VLOOKUP($A726,MAGAZZINO!$B$2:$M$100000,12,FALSE)</f>
        <v/>
      </c>
      <c r="M726" s="47" t="n"/>
      <c r="N726" s="88" t="n">
        <v>45874</v>
      </c>
      <c r="O726" s="91" t="inlineStr">
        <is>
          <t>PHILIPPOS CONSTANTINIDES TRADING CO. LTD (CIPRO)</t>
        </is>
      </c>
      <c r="P726" s="154" t="inlineStr">
        <is>
          <t xml:space="preserve">IMPORT LICENSE N. 218 DEL 12/08/2020                                                                                         AUT. TRASFERIMENTO N. 6B/2025/3D RILASCIATA IL 28/07/2025   </t>
        </is>
      </c>
      <c r="Q726" s="150" t="n"/>
      <c r="R726" s="150" t="n"/>
      <c r="S726" s="153" t="n"/>
    </row>
    <row r="727" ht="36" customHeight="1">
      <c r="A727" s="46" t="n">
        <v>3057</v>
      </c>
      <c r="B727" s="4">
        <f>+VLOOKUP($A727,MAGAZZINO!$B$2:$M$100000,2,FALSE)</f>
        <v/>
      </c>
      <c r="C727" s="29">
        <f>+VLOOKUP($A727,MAGAZZINO!$B$2:$M$100000,3,FALSE)</f>
        <v/>
      </c>
      <c r="D727" s="3">
        <f>+VLOOKUP($A727,MAGAZZINO!$B$2:$M$100000,4,FALSE)</f>
        <v/>
      </c>
      <c r="E727" s="3">
        <f>+VLOOKUP($A727,MAGAZZINO!$B$2:$M$100000,5,FALSE)</f>
        <v/>
      </c>
      <c r="F727" s="3">
        <f>+VLOOKUP($A727,MAGAZZINO!$B$2:$M$100000,6,FALSE)</f>
        <v/>
      </c>
      <c r="G727" s="3">
        <f>+VLOOKUP($A727,MAGAZZINO!$B$2:$M$100000,7,FALSE)</f>
        <v/>
      </c>
      <c r="H727" s="3">
        <f>+VLOOKUP($A727,MAGAZZINO!$B$2:$M$100000,8,FALSE)</f>
        <v/>
      </c>
      <c r="I727" s="3">
        <f>+VLOOKUP($A727,MAGAZZINO!$B$2:$M$100000,9,FALSE)</f>
        <v/>
      </c>
      <c r="J727" s="3">
        <f>+VLOOKUP($A727,MAGAZZINO!$B$2:$M$100000,10,FALSE)</f>
        <v/>
      </c>
      <c r="K727" s="3">
        <f>+VLOOKUP($A727,MAGAZZINO!$B$2:$M$100000,11,FALSE)</f>
        <v/>
      </c>
      <c r="L727" s="5">
        <f>+VLOOKUP($A727,MAGAZZINO!$B$2:$M$100000,12,FALSE)</f>
        <v/>
      </c>
      <c r="M727" s="47" t="n"/>
      <c r="N727" s="88" t="n">
        <v>45874</v>
      </c>
      <c r="O727" s="91" t="inlineStr">
        <is>
          <t>PHILIPPOS CONSTANTINIDES TRADING CO. LTD (CIPRO)</t>
        </is>
      </c>
      <c r="P727" s="154" t="inlineStr">
        <is>
          <t xml:space="preserve">IMPORT LICENSE N. 218 DEL 12/08/2020                                                                                         AUT. TRASFERIMENTO N. 6B/2025/3D RILASCIATA IL 28/07/2025   </t>
        </is>
      </c>
      <c r="Q727" s="150" t="n"/>
      <c r="R727" s="150" t="n"/>
      <c r="S727" s="153" t="n"/>
    </row>
    <row r="728" ht="36" customHeight="1">
      <c r="A728" s="46" t="n">
        <v>3058</v>
      </c>
      <c r="B728" s="4">
        <f>+VLOOKUP($A728,MAGAZZINO!$B$2:$M$100000,2,FALSE)</f>
        <v/>
      </c>
      <c r="C728" s="29">
        <f>+VLOOKUP($A728,MAGAZZINO!$B$2:$M$100000,3,FALSE)</f>
        <v/>
      </c>
      <c r="D728" s="3">
        <f>+VLOOKUP($A728,MAGAZZINO!$B$2:$M$100000,4,FALSE)</f>
        <v/>
      </c>
      <c r="E728" s="3">
        <f>+VLOOKUP($A728,MAGAZZINO!$B$2:$M$100000,5,FALSE)</f>
        <v/>
      </c>
      <c r="F728" s="3">
        <f>+VLOOKUP($A728,MAGAZZINO!$B$2:$M$100000,6,FALSE)</f>
        <v/>
      </c>
      <c r="G728" s="3">
        <f>+VLOOKUP($A728,MAGAZZINO!$B$2:$M$100000,7,FALSE)</f>
        <v/>
      </c>
      <c r="H728" s="3">
        <f>+VLOOKUP($A728,MAGAZZINO!$B$2:$M$100000,8,FALSE)</f>
        <v/>
      </c>
      <c r="I728" s="3">
        <f>+VLOOKUP($A728,MAGAZZINO!$B$2:$M$100000,9,FALSE)</f>
        <v/>
      </c>
      <c r="J728" s="3">
        <f>+VLOOKUP($A728,MAGAZZINO!$B$2:$M$100000,10,FALSE)</f>
        <v/>
      </c>
      <c r="K728" s="3">
        <f>+VLOOKUP($A728,MAGAZZINO!$B$2:$M$100000,11,FALSE)</f>
        <v/>
      </c>
      <c r="L728" s="5">
        <f>+VLOOKUP($A728,MAGAZZINO!$B$2:$M$100000,12,FALSE)</f>
        <v/>
      </c>
      <c r="M728" s="47" t="n"/>
      <c r="N728" s="88" t="n">
        <v>45874</v>
      </c>
      <c r="O728" s="91" t="inlineStr">
        <is>
          <t>PHILIPPOS CONSTANTINIDES TRADING CO. LTD (CIPRO)</t>
        </is>
      </c>
      <c r="P728" s="154" t="inlineStr">
        <is>
          <t xml:space="preserve">IMPORT LICENSE N. 218 DEL 12/08/2020                                                                                         AUT. TRASFERIMENTO N. 6B/2025/3D RILASCIATA IL 28/07/2025   </t>
        </is>
      </c>
      <c r="Q728" s="150" t="n"/>
      <c r="R728" s="150" t="n"/>
      <c r="S728" s="153" t="n"/>
    </row>
    <row r="729" ht="36" customHeight="1">
      <c r="A729" s="46" t="n">
        <v>3059</v>
      </c>
      <c r="B729" s="4">
        <f>+VLOOKUP($A729,MAGAZZINO!$B$2:$M$100000,2,FALSE)</f>
        <v/>
      </c>
      <c r="C729" s="29">
        <f>+VLOOKUP($A729,MAGAZZINO!$B$2:$M$100000,3,FALSE)</f>
        <v/>
      </c>
      <c r="D729" s="3">
        <f>+VLOOKUP($A729,MAGAZZINO!$B$2:$M$100000,4,FALSE)</f>
        <v/>
      </c>
      <c r="E729" s="3">
        <f>+VLOOKUP($A729,MAGAZZINO!$B$2:$M$100000,5,FALSE)</f>
        <v/>
      </c>
      <c r="F729" s="3">
        <f>+VLOOKUP($A729,MAGAZZINO!$B$2:$M$100000,6,FALSE)</f>
        <v/>
      </c>
      <c r="G729" s="3">
        <f>+VLOOKUP($A729,MAGAZZINO!$B$2:$M$100000,7,FALSE)</f>
        <v/>
      </c>
      <c r="H729" s="3">
        <f>+VLOOKUP($A729,MAGAZZINO!$B$2:$M$100000,8,FALSE)</f>
        <v/>
      </c>
      <c r="I729" s="3">
        <f>+VLOOKUP($A729,MAGAZZINO!$B$2:$M$100000,9,FALSE)</f>
        <v/>
      </c>
      <c r="J729" s="3">
        <f>+VLOOKUP($A729,MAGAZZINO!$B$2:$M$100000,10,FALSE)</f>
        <v/>
      </c>
      <c r="K729" s="3">
        <f>+VLOOKUP($A729,MAGAZZINO!$B$2:$M$100000,11,FALSE)</f>
        <v/>
      </c>
      <c r="L729" s="5">
        <f>+VLOOKUP($A729,MAGAZZINO!$B$2:$M$100000,12,FALSE)</f>
        <v/>
      </c>
      <c r="M729" s="47" t="n"/>
      <c r="N729" s="88" t="n">
        <v>45874</v>
      </c>
      <c r="O729" s="91" t="inlineStr">
        <is>
          <t>PHILIPPOS CONSTANTINIDES TRADING CO. LTD (CIPRO)</t>
        </is>
      </c>
      <c r="P729" s="154" t="inlineStr">
        <is>
          <t xml:space="preserve">IMPORT LICENSE N. 218 DEL 12/08/2020                                                                                         AUT. TRASFERIMENTO N. 6B/2025/3D RILASCIATA IL 28/07/2025   </t>
        </is>
      </c>
      <c r="Q729" s="150" t="n"/>
      <c r="R729" s="150" t="n"/>
      <c r="S729" s="153" t="n"/>
    </row>
    <row r="730" ht="36" customHeight="1">
      <c r="A730" s="46" t="n">
        <v>3060</v>
      </c>
      <c r="B730" s="4">
        <f>+VLOOKUP($A730,MAGAZZINO!$B$2:$M$100000,2,FALSE)</f>
        <v/>
      </c>
      <c r="C730" s="29">
        <f>+VLOOKUP($A730,MAGAZZINO!$B$2:$M$100000,3,FALSE)</f>
        <v/>
      </c>
      <c r="D730" s="3">
        <f>+VLOOKUP($A730,MAGAZZINO!$B$2:$M$100000,4,FALSE)</f>
        <v/>
      </c>
      <c r="E730" s="3">
        <f>+VLOOKUP($A730,MAGAZZINO!$B$2:$M$100000,5,FALSE)</f>
        <v/>
      </c>
      <c r="F730" s="3">
        <f>+VLOOKUP($A730,MAGAZZINO!$B$2:$M$100000,6,FALSE)</f>
        <v/>
      </c>
      <c r="G730" s="3">
        <f>+VLOOKUP($A730,MAGAZZINO!$B$2:$M$100000,7,FALSE)</f>
        <v/>
      </c>
      <c r="H730" s="3">
        <f>+VLOOKUP($A730,MAGAZZINO!$B$2:$M$100000,8,FALSE)</f>
        <v/>
      </c>
      <c r="I730" s="3">
        <f>+VLOOKUP($A730,MAGAZZINO!$B$2:$M$100000,9,FALSE)</f>
        <v/>
      </c>
      <c r="J730" s="3">
        <f>+VLOOKUP($A730,MAGAZZINO!$B$2:$M$100000,10,FALSE)</f>
        <v/>
      </c>
      <c r="K730" s="3">
        <f>+VLOOKUP($A730,MAGAZZINO!$B$2:$M$100000,11,FALSE)</f>
        <v/>
      </c>
      <c r="L730" s="5">
        <f>+VLOOKUP($A730,MAGAZZINO!$B$2:$M$100000,12,FALSE)</f>
        <v/>
      </c>
      <c r="M730" s="47" t="n"/>
      <c r="N730" s="88" t="n">
        <v>45874</v>
      </c>
      <c r="O730" s="91" t="inlineStr">
        <is>
          <t>PHILIPPOS CONSTANTINIDES TRADING CO. LTD (CIPRO)</t>
        </is>
      </c>
      <c r="P730" s="154" t="inlineStr">
        <is>
          <t xml:space="preserve">IMPORT LICENSE N. 218 DEL 12/08/2020                                                                                         AUT. TRASFERIMENTO N. 6B/2025/3D RILASCIATA IL 28/07/2025   </t>
        </is>
      </c>
      <c r="Q730" s="150" t="n"/>
      <c r="R730" s="150" t="n"/>
      <c r="S730" s="153" t="n"/>
    </row>
    <row r="731" ht="36" customHeight="1">
      <c r="A731" s="46" t="n">
        <v>3061</v>
      </c>
      <c r="B731" s="4">
        <f>+VLOOKUP($A731,MAGAZZINO!$B$2:$M$100000,2,FALSE)</f>
        <v/>
      </c>
      <c r="C731" s="29">
        <f>+VLOOKUP($A731,MAGAZZINO!$B$2:$M$100000,3,FALSE)</f>
        <v/>
      </c>
      <c r="D731" s="3">
        <f>+VLOOKUP($A731,MAGAZZINO!$B$2:$M$100000,4,FALSE)</f>
        <v/>
      </c>
      <c r="E731" s="3">
        <f>+VLOOKUP($A731,MAGAZZINO!$B$2:$M$100000,5,FALSE)</f>
        <v/>
      </c>
      <c r="F731" s="3">
        <f>+VLOOKUP($A731,MAGAZZINO!$B$2:$M$100000,6,FALSE)</f>
        <v/>
      </c>
      <c r="G731" s="3">
        <f>+VLOOKUP($A731,MAGAZZINO!$B$2:$M$100000,7,FALSE)</f>
        <v/>
      </c>
      <c r="H731" s="3">
        <f>+VLOOKUP($A731,MAGAZZINO!$B$2:$M$100000,8,FALSE)</f>
        <v/>
      </c>
      <c r="I731" s="3">
        <f>+VLOOKUP($A731,MAGAZZINO!$B$2:$M$100000,9,FALSE)</f>
        <v/>
      </c>
      <c r="J731" s="3">
        <f>+VLOOKUP($A731,MAGAZZINO!$B$2:$M$100000,10,FALSE)</f>
        <v/>
      </c>
      <c r="K731" s="3">
        <f>+VLOOKUP($A731,MAGAZZINO!$B$2:$M$100000,11,FALSE)</f>
        <v/>
      </c>
      <c r="L731" s="5">
        <f>+VLOOKUP($A731,MAGAZZINO!$B$2:$M$100000,12,FALSE)</f>
        <v/>
      </c>
      <c r="M731" s="47" t="n"/>
      <c r="N731" s="54" t="n"/>
      <c r="O731" s="3" t="n"/>
      <c r="P731" s="149" t="n"/>
      <c r="Q731" s="150" t="n"/>
      <c r="R731" s="150" t="n"/>
      <c r="S731" s="151" t="n"/>
    </row>
    <row r="732" ht="36" customHeight="1">
      <c r="A732" s="46" t="n">
        <v>3062</v>
      </c>
      <c r="B732" s="4">
        <f>+VLOOKUP($A732,MAGAZZINO!$B$2:$M$100000,2,FALSE)</f>
        <v/>
      </c>
      <c r="C732" s="29">
        <f>+VLOOKUP($A732,MAGAZZINO!$B$2:$M$100000,3,FALSE)</f>
        <v/>
      </c>
      <c r="D732" s="3">
        <f>+VLOOKUP($A732,MAGAZZINO!$B$2:$M$100000,4,FALSE)</f>
        <v/>
      </c>
      <c r="E732" s="3">
        <f>+VLOOKUP($A732,MAGAZZINO!$B$2:$M$100000,5,FALSE)</f>
        <v/>
      </c>
      <c r="F732" s="3">
        <f>+VLOOKUP($A732,MAGAZZINO!$B$2:$M$100000,6,FALSE)</f>
        <v/>
      </c>
      <c r="G732" s="3">
        <f>+VLOOKUP($A732,MAGAZZINO!$B$2:$M$100000,7,FALSE)</f>
        <v/>
      </c>
      <c r="H732" s="3">
        <f>+VLOOKUP($A732,MAGAZZINO!$B$2:$M$100000,8,FALSE)</f>
        <v/>
      </c>
      <c r="I732" s="3">
        <f>+VLOOKUP($A732,MAGAZZINO!$B$2:$M$100000,9,FALSE)</f>
        <v/>
      </c>
      <c r="J732" s="3">
        <f>+VLOOKUP($A732,MAGAZZINO!$B$2:$M$100000,10,FALSE)</f>
        <v/>
      </c>
      <c r="K732" s="3">
        <f>+VLOOKUP($A732,MAGAZZINO!$B$2:$M$100000,11,FALSE)</f>
        <v/>
      </c>
      <c r="L732" s="5">
        <f>+VLOOKUP($A732,MAGAZZINO!$B$2:$M$100000,12,FALSE)</f>
        <v/>
      </c>
      <c r="M732" s="47" t="n"/>
      <c r="N732" s="54" t="n"/>
      <c r="O732" s="3" t="n"/>
      <c r="P732" s="149" t="n"/>
      <c r="Q732" s="150" t="n"/>
      <c r="R732" s="150" t="n"/>
      <c r="S732" s="151" t="n"/>
    </row>
    <row r="733" ht="36" customHeight="1">
      <c r="A733" s="46" t="n">
        <v>3063</v>
      </c>
      <c r="B733" s="4">
        <f>+VLOOKUP($A733,MAGAZZINO!$B$2:$M$100000,2,FALSE)</f>
        <v/>
      </c>
      <c r="C733" s="29">
        <f>+VLOOKUP($A733,MAGAZZINO!$B$2:$M$100000,3,FALSE)</f>
        <v/>
      </c>
      <c r="D733" s="3">
        <f>+VLOOKUP($A733,MAGAZZINO!$B$2:$M$100000,4,FALSE)</f>
        <v/>
      </c>
      <c r="E733" s="3">
        <f>+VLOOKUP($A733,MAGAZZINO!$B$2:$M$100000,5,FALSE)</f>
        <v/>
      </c>
      <c r="F733" s="3">
        <f>+VLOOKUP($A733,MAGAZZINO!$B$2:$M$100000,6,FALSE)</f>
        <v/>
      </c>
      <c r="G733" s="3">
        <f>+VLOOKUP($A733,MAGAZZINO!$B$2:$M$100000,7,FALSE)</f>
        <v/>
      </c>
      <c r="H733" s="3">
        <f>+VLOOKUP($A733,MAGAZZINO!$B$2:$M$100000,8,FALSE)</f>
        <v/>
      </c>
      <c r="I733" s="3">
        <f>+VLOOKUP($A733,MAGAZZINO!$B$2:$M$100000,9,FALSE)</f>
        <v/>
      </c>
      <c r="J733" s="3">
        <f>+VLOOKUP($A733,MAGAZZINO!$B$2:$M$100000,10,FALSE)</f>
        <v/>
      </c>
      <c r="K733" s="3">
        <f>+VLOOKUP($A733,MAGAZZINO!$B$2:$M$100000,11,FALSE)</f>
        <v/>
      </c>
      <c r="L733" s="5">
        <f>+VLOOKUP($A733,MAGAZZINO!$B$2:$M$100000,12,FALSE)</f>
        <v/>
      </c>
      <c r="M733" s="47" t="n"/>
      <c r="N733" s="54" t="n"/>
      <c r="O733" s="3" t="n"/>
      <c r="P733" s="149" t="n"/>
      <c r="Q733" s="150" t="n"/>
      <c r="R733" s="150" t="n"/>
      <c r="S733" s="151" t="n"/>
    </row>
    <row r="734" ht="36" customHeight="1">
      <c r="A734" s="46" t="n">
        <v>3064</v>
      </c>
      <c r="B734" s="4">
        <f>+VLOOKUP($A734,MAGAZZINO!$B$2:$M$100000,2,FALSE)</f>
        <v/>
      </c>
      <c r="C734" s="29">
        <f>+VLOOKUP($A734,MAGAZZINO!$B$2:$M$100000,3,FALSE)</f>
        <v/>
      </c>
      <c r="D734" s="3">
        <f>+VLOOKUP($A734,MAGAZZINO!$B$2:$M$100000,4,FALSE)</f>
        <v/>
      </c>
      <c r="E734" s="3">
        <f>+VLOOKUP($A734,MAGAZZINO!$B$2:$M$100000,5,FALSE)</f>
        <v/>
      </c>
      <c r="F734" s="3">
        <f>+VLOOKUP($A734,MAGAZZINO!$B$2:$M$100000,6,FALSE)</f>
        <v/>
      </c>
      <c r="G734" s="3">
        <f>+VLOOKUP($A734,MAGAZZINO!$B$2:$M$100000,7,FALSE)</f>
        <v/>
      </c>
      <c r="H734" s="3">
        <f>+VLOOKUP($A734,MAGAZZINO!$B$2:$M$100000,8,FALSE)</f>
        <v/>
      </c>
      <c r="I734" s="3">
        <f>+VLOOKUP($A734,MAGAZZINO!$B$2:$M$100000,9,FALSE)</f>
        <v/>
      </c>
      <c r="J734" s="3">
        <f>+VLOOKUP($A734,MAGAZZINO!$B$2:$M$100000,10,FALSE)</f>
        <v/>
      </c>
      <c r="K734" s="3">
        <f>+VLOOKUP($A734,MAGAZZINO!$B$2:$M$100000,11,FALSE)</f>
        <v/>
      </c>
      <c r="L734" s="5">
        <f>+VLOOKUP($A734,MAGAZZINO!$B$2:$M$100000,12,FALSE)</f>
        <v/>
      </c>
      <c r="M734" s="47" t="n"/>
      <c r="N734" s="54" t="n"/>
      <c r="O734" s="3" t="n"/>
      <c r="P734" s="149" t="n"/>
      <c r="Q734" s="150" t="n"/>
      <c r="R734" s="150" t="n"/>
      <c r="S734" s="151" t="n"/>
    </row>
    <row r="735" ht="36" customHeight="1">
      <c r="A735" s="46" t="n">
        <v>3065</v>
      </c>
      <c r="B735" s="4">
        <f>+VLOOKUP($A735,MAGAZZINO!$B$2:$M$100000,2,FALSE)</f>
        <v/>
      </c>
      <c r="C735" s="29">
        <f>+VLOOKUP($A735,MAGAZZINO!$B$2:$M$100000,3,FALSE)</f>
        <v/>
      </c>
      <c r="D735" s="3">
        <f>+VLOOKUP($A735,MAGAZZINO!$B$2:$M$100000,4,FALSE)</f>
        <v/>
      </c>
      <c r="E735" s="3">
        <f>+VLOOKUP($A735,MAGAZZINO!$B$2:$M$100000,5,FALSE)</f>
        <v/>
      </c>
      <c r="F735" s="3">
        <f>+VLOOKUP($A735,MAGAZZINO!$B$2:$M$100000,6,FALSE)</f>
        <v/>
      </c>
      <c r="G735" s="3">
        <f>+VLOOKUP($A735,MAGAZZINO!$B$2:$M$100000,7,FALSE)</f>
        <v/>
      </c>
      <c r="H735" s="3">
        <f>+VLOOKUP($A735,MAGAZZINO!$B$2:$M$100000,8,FALSE)</f>
        <v/>
      </c>
      <c r="I735" s="3">
        <f>+VLOOKUP($A735,MAGAZZINO!$B$2:$M$100000,9,FALSE)</f>
        <v/>
      </c>
      <c r="J735" s="3">
        <f>+VLOOKUP($A735,MAGAZZINO!$B$2:$M$100000,10,FALSE)</f>
        <v/>
      </c>
      <c r="K735" s="3">
        <f>+VLOOKUP($A735,MAGAZZINO!$B$2:$M$100000,11,FALSE)</f>
        <v/>
      </c>
      <c r="L735" s="5">
        <f>+VLOOKUP($A735,MAGAZZINO!$B$2:$M$100000,12,FALSE)</f>
        <v/>
      </c>
      <c r="M735" s="47" t="n"/>
      <c r="N735" s="54" t="n"/>
      <c r="O735" s="3" t="n"/>
      <c r="P735" s="149" t="n"/>
      <c r="Q735" s="150" t="n"/>
      <c r="R735" s="150" t="n"/>
      <c r="S735" s="151" t="n"/>
    </row>
    <row r="736" ht="36" customHeight="1">
      <c r="A736" s="46" t="n">
        <v>3066</v>
      </c>
      <c r="B736" s="4">
        <f>+VLOOKUP($A736,MAGAZZINO!$B$2:$M$100000,2,FALSE)</f>
        <v/>
      </c>
      <c r="C736" s="29">
        <f>+VLOOKUP($A736,MAGAZZINO!$B$2:$M$100000,3,FALSE)</f>
        <v/>
      </c>
      <c r="D736" s="3">
        <f>+VLOOKUP($A736,MAGAZZINO!$B$2:$M$100000,4,FALSE)</f>
        <v/>
      </c>
      <c r="E736" s="3">
        <f>+VLOOKUP($A736,MAGAZZINO!$B$2:$M$100000,5,FALSE)</f>
        <v/>
      </c>
      <c r="F736" s="3">
        <f>+VLOOKUP($A736,MAGAZZINO!$B$2:$M$100000,6,FALSE)</f>
        <v/>
      </c>
      <c r="G736" s="3">
        <f>+VLOOKUP($A736,MAGAZZINO!$B$2:$M$100000,7,FALSE)</f>
        <v/>
      </c>
      <c r="H736" s="3">
        <f>+VLOOKUP($A736,MAGAZZINO!$B$2:$M$100000,8,FALSE)</f>
        <v/>
      </c>
      <c r="I736" s="3">
        <f>+VLOOKUP($A736,MAGAZZINO!$B$2:$M$100000,9,FALSE)</f>
        <v/>
      </c>
      <c r="J736" s="3">
        <f>+VLOOKUP($A736,MAGAZZINO!$B$2:$M$100000,10,FALSE)</f>
        <v/>
      </c>
      <c r="K736" s="3">
        <f>+VLOOKUP($A736,MAGAZZINO!$B$2:$M$100000,11,FALSE)</f>
        <v/>
      </c>
      <c r="L736" s="5">
        <f>+VLOOKUP($A736,MAGAZZINO!$B$2:$M$100000,12,FALSE)</f>
        <v/>
      </c>
      <c r="M736" s="47" t="n"/>
      <c r="N736" s="54" t="n"/>
      <c r="O736" s="3" t="n"/>
      <c r="P736" s="149" t="n"/>
      <c r="Q736" s="150" t="n"/>
      <c r="R736" s="150" t="n"/>
      <c r="S736" s="151" t="n"/>
    </row>
    <row r="737" ht="36" customHeight="1">
      <c r="A737" s="46" t="n">
        <v>3067</v>
      </c>
      <c r="B737" s="4">
        <f>+VLOOKUP($A737,MAGAZZINO!$B$2:$M$100000,2,FALSE)</f>
        <v/>
      </c>
      <c r="C737" s="29">
        <f>+VLOOKUP($A737,MAGAZZINO!$B$2:$M$100000,3,FALSE)</f>
        <v/>
      </c>
      <c r="D737" s="3">
        <f>+VLOOKUP($A737,MAGAZZINO!$B$2:$M$100000,4,FALSE)</f>
        <v/>
      </c>
      <c r="E737" s="3">
        <f>+VLOOKUP($A737,MAGAZZINO!$B$2:$M$100000,5,FALSE)</f>
        <v/>
      </c>
      <c r="F737" s="3">
        <f>+VLOOKUP($A737,MAGAZZINO!$B$2:$M$100000,6,FALSE)</f>
        <v/>
      </c>
      <c r="G737" s="3">
        <f>+VLOOKUP($A737,MAGAZZINO!$B$2:$M$100000,7,FALSE)</f>
        <v/>
      </c>
      <c r="H737" s="3">
        <f>+VLOOKUP($A737,MAGAZZINO!$B$2:$M$100000,8,FALSE)</f>
        <v/>
      </c>
      <c r="I737" s="3">
        <f>+VLOOKUP($A737,MAGAZZINO!$B$2:$M$100000,9,FALSE)</f>
        <v/>
      </c>
      <c r="J737" s="3">
        <f>+VLOOKUP($A737,MAGAZZINO!$B$2:$M$100000,10,FALSE)</f>
        <v/>
      </c>
      <c r="K737" s="3">
        <f>+VLOOKUP($A737,MAGAZZINO!$B$2:$M$100000,11,FALSE)</f>
        <v/>
      </c>
      <c r="L737" s="5">
        <f>+VLOOKUP($A737,MAGAZZINO!$B$2:$M$100000,12,FALSE)</f>
        <v/>
      </c>
      <c r="M737" s="47" t="n"/>
      <c r="N737" s="54" t="n"/>
      <c r="O737" s="3" t="n"/>
      <c r="P737" s="149" t="n"/>
      <c r="Q737" s="150" t="n"/>
      <c r="R737" s="150" t="n"/>
      <c r="S737" s="151" t="n"/>
    </row>
    <row r="738" ht="36" customHeight="1">
      <c r="A738" s="46" t="n">
        <v>3068</v>
      </c>
      <c r="B738" s="4">
        <f>+VLOOKUP($A738,MAGAZZINO!$B$2:$M$100000,2,FALSE)</f>
        <v/>
      </c>
      <c r="C738" s="29">
        <f>+VLOOKUP($A738,MAGAZZINO!$B$2:$M$100000,3,FALSE)</f>
        <v/>
      </c>
      <c r="D738" s="3">
        <f>+VLOOKUP($A738,MAGAZZINO!$B$2:$M$100000,4,FALSE)</f>
        <v/>
      </c>
      <c r="E738" s="3">
        <f>+VLOOKUP($A738,MAGAZZINO!$B$2:$M$100000,5,FALSE)</f>
        <v/>
      </c>
      <c r="F738" s="3">
        <f>+VLOOKUP($A738,MAGAZZINO!$B$2:$M$100000,6,FALSE)</f>
        <v/>
      </c>
      <c r="G738" s="3">
        <f>+VLOOKUP($A738,MAGAZZINO!$B$2:$M$100000,7,FALSE)</f>
        <v/>
      </c>
      <c r="H738" s="3">
        <f>+VLOOKUP($A738,MAGAZZINO!$B$2:$M$100000,8,FALSE)</f>
        <v/>
      </c>
      <c r="I738" s="3">
        <f>+VLOOKUP($A738,MAGAZZINO!$B$2:$M$100000,9,FALSE)</f>
        <v/>
      </c>
      <c r="J738" s="3">
        <f>+VLOOKUP($A738,MAGAZZINO!$B$2:$M$100000,10,FALSE)</f>
        <v/>
      </c>
      <c r="K738" s="3">
        <f>+VLOOKUP($A738,MAGAZZINO!$B$2:$M$100000,11,FALSE)</f>
        <v/>
      </c>
      <c r="L738" s="5">
        <f>+VLOOKUP($A738,MAGAZZINO!$B$2:$M$100000,12,FALSE)</f>
        <v/>
      </c>
      <c r="M738" s="47" t="n"/>
      <c r="N738" s="54" t="n"/>
      <c r="O738" s="3" t="n"/>
      <c r="P738" s="149" t="n"/>
      <c r="Q738" s="150" t="n"/>
      <c r="R738" s="150" t="n"/>
      <c r="S738" s="151" t="n"/>
    </row>
    <row r="739" ht="36" customHeight="1">
      <c r="A739" s="46" t="n">
        <v>3069</v>
      </c>
      <c r="B739" s="4">
        <f>+VLOOKUP($A739,MAGAZZINO!$B$2:$M$100000,2,FALSE)</f>
        <v/>
      </c>
      <c r="C739" s="29">
        <f>+VLOOKUP($A739,MAGAZZINO!$B$2:$M$100000,3,FALSE)</f>
        <v/>
      </c>
      <c r="D739" s="3">
        <f>+VLOOKUP($A739,MAGAZZINO!$B$2:$M$100000,4,FALSE)</f>
        <v/>
      </c>
      <c r="E739" s="3">
        <f>+VLOOKUP($A739,MAGAZZINO!$B$2:$M$100000,5,FALSE)</f>
        <v/>
      </c>
      <c r="F739" s="3">
        <f>+VLOOKUP($A739,MAGAZZINO!$B$2:$M$100000,6,FALSE)</f>
        <v/>
      </c>
      <c r="G739" s="3">
        <f>+VLOOKUP($A739,MAGAZZINO!$B$2:$M$100000,7,FALSE)</f>
        <v/>
      </c>
      <c r="H739" s="3">
        <f>+VLOOKUP($A739,MAGAZZINO!$B$2:$M$100000,8,FALSE)</f>
        <v/>
      </c>
      <c r="I739" s="3">
        <f>+VLOOKUP($A739,MAGAZZINO!$B$2:$M$100000,9,FALSE)</f>
        <v/>
      </c>
      <c r="J739" s="3">
        <f>+VLOOKUP($A739,MAGAZZINO!$B$2:$M$100000,10,FALSE)</f>
        <v/>
      </c>
      <c r="K739" s="3">
        <f>+VLOOKUP($A739,MAGAZZINO!$B$2:$M$100000,11,FALSE)</f>
        <v/>
      </c>
      <c r="L739" s="5">
        <f>+VLOOKUP($A739,MAGAZZINO!$B$2:$M$100000,12,FALSE)</f>
        <v/>
      </c>
      <c r="M739" s="47" t="n"/>
      <c r="N739" s="54" t="n"/>
      <c r="O739" s="3" t="n"/>
      <c r="P739" s="149" t="n"/>
      <c r="Q739" s="150" t="n"/>
      <c r="R739" s="150" t="n"/>
      <c r="S739" s="151" t="n"/>
    </row>
    <row r="740" ht="36" customHeight="1">
      <c r="A740" s="46" t="n">
        <v>3070</v>
      </c>
      <c r="B740" s="4">
        <f>+VLOOKUP($A740,MAGAZZINO!$B$2:$M$100000,2,FALSE)</f>
        <v/>
      </c>
      <c r="C740" s="29">
        <f>+VLOOKUP($A740,MAGAZZINO!$B$2:$M$100000,3,FALSE)</f>
        <v/>
      </c>
      <c r="D740" s="3">
        <f>+VLOOKUP($A740,MAGAZZINO!$B$2:$M$100000,4,FALSE)</f>
        <v/>
      </c>
      <c r="E740" s="3">
        <f>+VLOOKUP($A740,MAGAZZINO!$B$2:$M$100000,5,FALSE)</f>
        <v/>
      </c>
      <c r="F740" s="3">
        <f>+VLOOKUP($A740,MAGAZZINO!$B$2:$M$100000,6,FALSE)</f>
        <v/>
      </c>
      <c r="G740" s="3">
        <f>+VLOOKUP($A740,MAGAZZINO!$B$2:$M$100000,7,FALSE)</f>
        <v/>
      </c>
      <c r="H740" s="3">
        <f>+VLOOKUP($A740,MAGAZZINO!$B$2:$M$100000,8,FALSE)</f>
        <v/>
      </c>
      <c r="I740" s="3">
        <f>+VLOOKUP($A740,MAGAZZINO!$B$2:$M$100000,9,FALSE)</f>
        <v/>
      </c>
      <c r="J740" s="3">
        <f>+VLOOKUP($A740,MAGAZZINO!$B$2:$M$100000,10,FALSE)</f>
        <v/>
      </c>
      <c r="K740" s="3">
        <f>+VLOOKUP($A740,MAGAZZINO!$B$2:$M$100000,11,FALSE)</f>
        <v/>
      </c>
      <c r="L740" s="5">
        <f>+VLOOKUP($A740,MAGAZZINO!$B$2:$M$100000,12,FALSE)</f>
        <v/>
      </c>
      <c r="M740" s="47" t="n"/>
      <c r="N740" s="54" t="n"/>
      <c r="O740" s="3" t="n"/>
      <c r="P740" s="149" t="n"/>
      <c r="Q740" s="150" t="n"/>
      <c r="R740" s="150" t="n"/>
      <c r="S740" s="151" t="n"/>
    </row>
    <row r="741" ht="36" customHeight="1">
      <c r="A741" s="46" t="n">
        <v>3071</v>
      </c>
      <c r="B741" s="4">
        <f>+VLOOKUP($A741,MAGAZZINO!$B$2:$M$100000,2,FALSE)</f>
        <v/>
      </c>
      <c r="C741" s="29">
        <f>+VLOOKUP($A741,MAGAZZINO!$B$2:$M$100000,3,FALSE)</f>
        <v/>
      </c>
      <c r="D741" s="3">
        <f>+VLOOKUP($A741,MAGAZZINO!$B$2:$M$100000,4,FALSE)</f>
        <v/>
      </c>
      <c r="E741" s="3">
        <f>+VLOOKUP($A741,MAGAZZINO!$B$2:$M$100000,5,FALSE)</f>
        <v/>
      </c>
      <c r="F741" s="3">
        <f>+VLOOKUP($A741,MAGAZZINO!$B$2:$M$100000,6,FALSE)</f>
        <v/>
      </c>
      <c r="G741" s="3">
        <f>+VLOOKUP($A741,MAGAZZINO!$B$2:$M$100000,7,FALSE)</f>
        <v/>
      </c>
      <c r="H741" s="3">
        <f>+VLOOKUP($A741,MAGAZZINO!$B$2:$M$100000,8,FALSE)</f>
        <v/>
      </c>
      <c r="I741" s="3">
        <f>+VLOOKUP($A741,MAGAZZINO!$B$2:$M$100000,9,FALSE)</f>
        <v/>
      </c>
      <c r="J741" s="3">
        <f>+VLOOKUP($A741,MAGAZZINO!$B$2:$M$100000,10,FALSE)</f>
        <v/>
      </c>
      <c r="K741" s="3">
        <f>+VLOOKUP($A741,MAGAZZINO!$B$2:$M$100000,11,FALSE)</f>
        <v/>
      </c>
      <c r="L741" s="5">
        <f>+VLOOKUP($A741,MAGAZZINO!$B$2:$M$100000,12,FALSE)</f>
        <v/>
      </c>
      <c r="M741" s="47" t="n"/>
      <c r="N741" s="54" t="n"/>
      <c r="O741" s="3" t="n"/>
      <c r="P741" s="149" t="n"/>
      <c r="Q741" s="150" t="n"/>
      <c r="R741" s="150" t="n"/>
      <c r="S741" s="151" t="n"/>
    </row>
    <row r="742" ht="36" customHeight="1">
      <c r="A742" s="46" t="n">
        <v>3072</v>
      </c>
      <c r="B742" s="4">
        <f>+VLOOKUP($A742,MAGAZZINO!$B$2:$M$100000,2,FALSE)</f>
        <v/>
      </c>
      <c r="C742" s="29">
        <f>+VLOOKUP($A742,MAGAZZINO!$B$2:$M$100000,3,FALSE)</f>
        <v/>
      </c>
      <c r="D742" s="3">
        <f>+VLOOKUP($A742,MAGAZZINO!$B$2:$M$100000,4,FALSE)</f>
        <v/>
      </c>
      <c r="E742" s="3">
        <f>+VLOOKUP($A742,MAGAZZINO!$B$2:$M$100000,5,FALSE)</f>
        <v/>
      </c>
      <c r="F742" s="3">
        <f>+VLOOKUP($A742,MAGAZZINO!$B$2:$M$100000,6,FALSE)</f>
        <v/>
      </c>
      <c r="G742" s="3">
        <f>+VLOOKUP($A742,MAGAZZINO!$B$2:$M$100000,7,FALSE)</f>
        <v/>
      </c>
      <c r="H742" s="3">
        <f>+VLOOKUP($A742,MAGAZZINO!$B$2:$M$100000,8,FALSE)</f>
        <v/>
      </c>
      <c r="I742" s="3">
        <f>+VLOOKUP($A742,MAGAZZINO!$B$2:$M$100000,9,FALSE)</f>
        <v/>
      </c>
      <c r="J742" s="3">
        <f>+VLOOKUP($A742,MAGAZZINO!$B$2:$M$100000,10,FALSE)</f>
        <v/>
      </c>
      <c r="K742" s="3">
        <f>+VLOOKUP($A742,MAGAZZINO!$B$2:$M$100000,11,FALSE)</f>
        <v/>
      </c>
      <c r="L742" s="5">
        <f>+VLOOKUP($A742,MAGAZZINO!$B$2:$M$100000,12,FALSE)</f>
        <v/>
      </c>
      <c r="M742" s="47" t="n"/>
      <c r="N742" s="54" t="n"/>
      <c r="O742" s="3" t="n"/>
      <c r="P742" s="149" t="n"/>
      <c r="Q742" s="150" t="n"/>
      <c r="R742" s="150" t="n"/>
      <c r="S742" s="151" t="n"/>
    </row>
    <row r="743" ht="36" customHeight="1">
      <c r="A743" s="46" t="n">
        <v>3073</v>
      </c>
      <c r="B743" s="4">
        <f>+VLOOKUP($A743,MAGAZZINO!$B$2:$M$100000,2,FALSE)</f>
        <v/>
      </c>
      <c r="C743" s="29">
        <f>+VLOOKUP($A743,MAGAZZINO!$B$2:$M$100000,3,FALSE)</f>
        <v/>
      </c>
      <c r="D743" s="3">
        <f>+VLOOKUP($A743,MAGAZZINO!$B$2:$M$100000,4,FALSE)</f>
        <v/>
      </c>
      <c r="E743" s="3">
        <f>+VLOOKUP($A743,MAGAZZINO!$B$2:$M$100000,5,FALSE)</f>
        <v/>
      </c>
      <c r="F743" s="3">
        <f>+VLOOKUP($A743,MAGAZZINO!$B$2:$M$100000,6,FALSE)</f>
        <v/>
      </c>
      <c r="G743" s="3">
        <f>+VLOOKUP($A743,MAGAZZINO!$B$2:$M$100000,7,FALSE)</f>
        <v/>
      </c>
      <c r="H743" s="3">
        <f>+VLOOKUP($A743,MAGAZZINO!$B$2:$M$100000,8,FALSE)</f>
        <v/>
      </c>
      <c r="I743" s="3">
        <f>+VLOOKUP($A743,MAGAZZINO!$B$2:$M$100000,9,FALSE)</f>
        <v/>
      </c>
      <c r="J743" s="3">
        <f>+VLOOKUP($A743,MAGAZZINO!$B$2:$M$100000,10,FALSE)</f>
        <v/>
      </c>
      <c r="K743" s="3">
        <f>+VLOOKUP($A743,MAGAZZINO!$B$2:$M$100000,11,FALSE)</f>
        <v/>
      </c>
      <c r="L743" s="5">
        <f>+VLOOKUP($A743,MAGAZZINO!$B$2:$M$100000,12,FALSE)</f>
        <v/>
      </c>
      <c r="M743" s="47" t="n"/>
      <c r="N743" s="54" t="n"/>
      <c r="O743" s="3" t="n"/>
      <c r="P743" s="149" t="n"/>
      <c r="Q743" s="150" t="n"/>
      <c r="R743" s="150" t="n"/>
      <c r="S743" s="151" t="n"/>
    </row>
    <row r="744" ht="36" customHeight="1">
      <c r="A744" s="46" t="n">
        <v>3074</v>
      </c>
      <c r="B744" s="4">
        <f>+VLOOKUP($A744,MAGAZZINO!$B$2:$M$100000,2,FALSE)</f>
        <v/>
      </c>
      <c r="C744" s="29">
        <f>+VLOOKUP($A744,MAGAZZINO!$B$2:$M$100000,3,FALSE)</f>
        <v/>
      </c>
      <c r="D744" s="3">
        <f>+VLOOKUP($A744,MAGAZZINO!$B$2:$M$100000,4,FALSE)</f>
        <v/>
      </c>
      <c r="E744" s="3">
        <f>+VLOOKUP($A744,MAGAZZINO!$B$2:$M$100000,5,FALSE)</f>
        <v/>
      </c>
      <c r="F744" s="3">
        <f>+VLOOKUP($A744,MAGAZZINO!$B$2:$M$100000,6,FALSE)</f>
        <v/>
      </c>
      <c r="G744" s="3">
        <f>+VLOOKUP($A744,MAGAZZINO!$B$2:$M$100000,7,FALSE)</f>
        <v/>
      </c>
      <c r="H744" s="3">
        <f>+VLOOKUP($A744,MAGAZZINO!$B$2:$M$100000,8,FALSE)</f>
        <v/>
      </c>
      <c r="I744" s="3">
        <f>+VLOOKUP($A744,MAGAZZINO!$B$2:$M$100000,9,FALSE)</f>
        <v/>
      </c>
      <c r="J744" s="3">
        <f>+VLOOKUP($A744,MAGAZZINO!$B$2:$M$100000,10,FALSE)</f>
        <v/>
      </c>
      <c r="K744" s="3">
        <f>+VLOOKUP($A744,MAGAZZINO!$B$2:$M$100000,11,FALSE)</f>
        <v/>
      </c>
      <c r="L744" s="5">
        <f>+VLOOKUP($A744,MAGAZZINO!$B$2:$M$100000,12,FALSE)</f>
        <v/>
      </c>
      <c r="M744" s="47" t="n"/>
      <c r="N744" s="54" t="n"/>
      <c r="O744" s="3" t="n"/>
      <c r="P744" s="149" t="n"/>
      <c r="Q744" s="150" t="n"/>
      <c r="R744" s="150" t="n"/>
      <c r="S744" s="151" t="n"/>
    </row>
    <row r="745" ht="36" customHeight="1">
      <c r="A745" s="46" t="n">
        <v>3075</v>
      </c>
      <c r="B745" s="4">
        <f>+VLOOKUP($A745,MAGAZZINO!$B$2:$M$100000,2,FALSE)</f>
        <v/>
      </c>
      <c r="C745" s="29">
        <f>+VLOOKUP($A745,MAGAZZINO!$B$2:$M$100000,3,FALSE)</f>
        <v/>
      </c>
      <c r="D745" s="3">
        <f>+VLOOKUP($A745,MAGAZZINO!$B$2:$M$100000,4,FALSE)</f>
        <v/>
      </c>
      <c r="E745" s="3">
        <f>+VLOOKUP($A745,MAGAZZINO!$B$2:$M$100000,5,FALSE)</f>
        <v/>
      </c>
      <c r="F745" s="3">
        <f>+VLOOKUP($A745,MAGAZZINO!$B$2:$M$100000,6,FALSE)</f>
        <v/>
      </c>
      <c r="G745" s="3">
        <f>+VLOOKUP($A745,MAGAZZINO!$B$2:$M$100000,7,FALSE)</f>
        <v/>
      </c>
      <c r="H745" s="3">
        <f>+VLOOKUP($A745,MAGAZZINO!$B$2:$M$100000,8,FALSE)</f>
        <v/>
      </c>
      <c r="I745" s="3">
        <f>+VLOOKUP($A745,MAGAZZINO!$B$2:$M$100000,9,FALSE)</f>
        <v/>
      </c>
      <c r="J745" s="3">
        <f>+VLOOKUP($A745,MAGAZZINO!$B$2:$M$100000,10,FALSE)</f>
        <v/>
      </c>
      <c r="K745" s="3">
        <f>+VLOOKUP($A745,MAGAZZINO!$B$2:$M$100000,11,FALSE)</f>
        <v/>
      </c>
      <c r="L745" s="5">
        <f>+VLOOKUP($A745,MAGAZZINO!$B$2:$M$100000,12,FALSE)</f>
        <v/>
      </c>
      <c r="M745" s="47" t="n"/>
      <c r="N745" s="54" t="n"/>
      <c r="O745" s="3" t="n"/>
      <c r="P745" s="149" t="n"/>
      <c r="Q745" s="150" t="n"/>
      <c r="R745" s="150" t="n"/>
      <c r="S745" s="151" t="n"/>
    </row>
    <row r="746" ht="36" customHeight="1">
      <c r="A746" s="46" t="n">
        <v>3076</v>
      </c>
      <c r="B746" s="4">
        <f>+VLOOKUP($A746,MAGAZZINO!$B$2:$M$100000,2,FALSE)</f>
        <v/>
      </c>
      <c r="C746" s="29">
        <f>+VLOOKUP($A746,MAGAZZINO!$B$2:$M$100000,3,FALSE)</f>
        <v/>
      </c>
      <c r="D746" s="3">
        <f>+VLOOKUP($A746,MAGAZZINO!$B$2:$M$100000,4,FALSE)</f>
        <v/>
      </c>
      <c r="E746" s="3">
        <f>+VLOOKUP($A746,MAGAZZINO!$B$2:$M$100000,5,FALSE)</f>
        <v/>
      </c>
      <c r="F746" s="3">
        <f>+VLOOKUP($A746,MAGAZZINO!$B$2:$M$100000,6,FALSE)</f>
        <v/>
      </c>
      <c r="G746" s="3">
        <f>+VLOOKUP($A746,MAGAZZINO!$B$2:$M$100000,7,FALSE)</f>
        <v/>
      </c>
      <c r="H746" s="3">
        <f>+VLOOKUP($A746,MAGAZZINO!$B$2:$M$100000,8,FALSE)</f>
        <v/>
      </c>
      <c r="I746" s="3">
        <f>+VLOOKUP($A746,MAGAZZINO!$B$2:$M$100000,9,FALSE)</f>
        <v/>
      </c>
      <c r="J746" s="3">
        <f>+VLOOKUP($A746,MAGAZZINO!$B$2:$M$100000,10,FALSE)</f>
        <v/>
      </c>
      <c r="K746" s="3">
        <f>+VLOOKUP($A746,MAGAZZINO!$B$2:$M$100000,11,FALSE)</f>
        <v/>
      </c>
      <c r="L746" s="5">
        <f>+VLOOKUP($A746,MAGAZZINO!$B$2:$M$100000,12,FALSE)</f>
        <v/>
      </c>
      <c r="M746" s="47" t="n"/>
      <c r="N746" s="54" t="n"/>
      <c r="O746" s="3" t="n"/>
      <c r="P746" s="149" t="n"/>
      <c r="Q746" s="150" t="n"/>
      <c r="R746" s="150" t="n"/>
      <c r="S746" s="151" t="n"/>
    </row>
    <row r="747" ht="36" customHeight="1">
      <c r="A747" s="46" t="n">
        <v>3077</v>
      </c>
      <c r="B747" s="4">
        <f>+VLOOKUP($A747,MAGAZZINO!$B$2:$M$100000,2,FALSE)</f>
        <v/>
      </c>
      <c r="C747" s="29">
        <f>+VLOOKUP($A747,MAGAZZINO!$B$2:$M$100000,3,FALSE)</f>
        <v/>
      </c>
      <c r="D747" s="3">
        <f>+VLOOKUP($A747,MAGAZZINO!$B$2:$M$100000,4,FALSE)</f>
        <v/>
      </c>
      <c r="E747" s="3">
        <f>+VLOOKUP($A747,MAGAZZINO!$B$2:$M$100000,5,FALSE)</f>
        <v/>
      </c>
      <c r="F747" s="3">
        <f>+VLOOKUP($A747,MAGAZZINO!$B$2:$M$100000,6,FALSE)</f>
        <v/>
      </c>
      <c r="G747" s="3">
        <f>+VLOOKUP($A747,MAGAZZINO!$B$2:$M$100000,7,FALSE)</f>
        <v/>
      </c>
      <c r="H747" s="3">
        <f>+VLOOKUP($A747,MAGAZZINO!$B$2:$M$100000,8,FALSE)</f>
        <v/>
      </c>
      <c r="I747" s="3">
        <f>+VLOOKUP($A747,MAGAZZINO!$B$2:$M$100000,9,FALSE)</f>
        <v/>
      </c>
      <c r="J747" s="3">
        <f>+VLOOKUP($A747,MAGAZZINO!$B$2:$M$100000,10,FALSE)</f>
        <v/>
      </c>
      <c r="K747" s="3">
        <f>+VLOOKUP($A747,MAGAZZINO!$B$2:$M$100000,11,FALSE)</f>
        <v/>
      </c>
      <c r="L747" s="5">
        <f>+VLOOKUP($A747,MAGAZZINO!$B$2:$M$100000,12,FALSE)</f>
        <v/>
      </c>
      <c r="M747" s="47" t="n"/>
      <c r="N747" s="54" t="n"/>
      <c r="O747" s="3" t="n"/>
      <c r="P747" s="149" t="n"/>
      <c r="Q747" s="150" t="n"/>
      <c r="R747" s="150" t="n"/>
      <c r="S747" s="151" t="n"/>
    </row>
    <row r="748" ht="36" customHeight="1">
      <c r="A748" s="46" t="n">
        <v>3078</v>
      </c>
      <c r="B748" s="4">
        <f>+VLOOKUP($A748,MAGAZZINO!$B$2:$M$100000,2,FALSE)</f>
        <v/>
      </c>
      <c r="C748" s="29">
        <f>+VLOOKUP($A748,MAGAZZINO!$B$2:$M$100000,3,FALSE)</f>
        <v/>
      </c>
      <c r="D748" s="3">
        <f>+VLOOKUP($A748,MAGAZZINO!$B$2:$M$100000,4,FALSE)</f>
        <v/>
      </c>
      <c r="E748" s="3">
        <f>+VLOOKUP($A748,MAGAZZINO!$B$2:$M$100000,5,FALSE)</f>
        <v/>
      </c>
      <c r="F748" s="3">
        <f>+VLOOKUP($A748,MAGAZZINO!$B$2:$M$100000,6,FALSE)</f>
        <v/>
      </c>
      <c r="G748" s="3">
        <f>+VLOOKUP($A748,MAGAZZINO!$B$2:$M$100000,7,FALSE)</f>
        <v/>
      </c>
      <c r="H748" s="3">
        <f>+VLOOKUP($A748,MAGAZZINO!$B$2:$M$100000,8,FALSE)</f>
        <v/>
      </c>
      <c r="I748" s="3">
        <f>+VLOOKUP($A748,MAGAZZINO!$B$2:$M$100000,9,FALSE)</f>
        <v/>
      </c>
      <c r="J748" s="3">
        <f>+VLOOKUP($A748,MAGAZZINO!$B$2:$M$100000,10,FALSE)</f>
        <v/>
      </c>
      <c r="K748" s="3">
        <f>+VLOOKUP($A748,MAGAZZINO!$B$2:$M$100000,11,FALSE)</f>
        <v/>
      </c>
      <c r="L748" s="5">
        <f>+VLOOKUP($A748,MAGAZZINO!$B$2:$M$100000,12,FALSE)</f>
        <v/>
      </c>
      <c r="M748" s="47" t="n"/>
      <c r="N748" s="54" t="n"/>
      <c r="O748" s="3" t="n"/>
      <c r="P748" s="149" t="n"/>
      <c r="Q748" s="150" t="n"/>
      <c r="R748" s="150" t="n"/>
      <c r="S748" s="151" t="n"/>
    </row>
    <row r="749" ht="36" customHeight="1">
      <c r="A749" s="46" t="n">
        <v>3079</v>
      </c>
      <c r="B749" s="4">
        <f>+VLOOKUP($A749,MAGAZZINO!$B$2:$M$100000,2,FALSE)</f>
        <v/>
      </c>
      <c r="C749" s="29">
        <f>+VLOOKUP($A749,MAGAZZINO!$B$2:$M$100000,3,FALSE)</f>
        <v/>
      </c>
      <c r="D749" s="3">
        <f>+VLOOKUP($A749,MAGAZZINO!$B$2:$M$100000,4,FALSE)</f>
        <v/>
      </c>
      <c r="E749" s="3">
        <f>+VLOOKUP($A749,MAGAZZINO!$B$2:$M$100000,5,FALSE)</f>
        <v/>
      </c>
      <c r="F749" s="3">
        <f>+VLOOKUP($A749,MAGAZZINO!$B$2:$M$100000,6,FALSE)</f>
        <v/>
      </c>
      <c r="G749" s="3">
        <f>+VLOOKUP($A749,MAGAZZINO!$B$2:$M$100000,7,FALSE)</f>
        <v/>
      </c>
      <c r="H749" s="3">
        <f>+VLOOKUP($A749,MAGAZZINO!$B$2:$M$100000,8,FALSE)</f>
        <v/>
      </c>
      <c r="I749" s="3">
        <f>+VLOOKUP($A749,MAGAZZINO!$B$2:$M$100000,9,FALSE)</f>
        <v/>
      </c>
      <c r="J749" s="3">
        <f>+VLOOKUP($A749,MAGAZZINO!$B$2:$M$100000,10,FALSE)</f>
        <v/>
      </c>
      <c r="K749" s="3">
        <f>+VLOOKUP($A749,MAGAZZINO!$B$2:$M$100000,11,FALSE)</f>
        <v/>
      </c>
      <c r="L749" s="5">
        <f>+VLOOKUP($A749,MAGAZZINO!$B$2:$M$100000,12,FALSE)</f>
        <v/>
      </c>
      <c r="M749" s="47" t="n"/>
      <c r="N749" s="54" t="n"/>
      <c r="O749" s="3" t="n"/>
      <c r="P749" s="149" t="n"/>
      <c r="Q749" s="150" t="n"/>
      <c r="R749" s="150" t="n"/>
      <c r="S749" s="151" t="n"/>
    </row>
    <row r="750" ht="36" customHeight="1">
      <c r="A750" s="46" t="n">
        <v>3080</v>
      </c>
      <c r="B750" s="4">
        <f>+VLOOKUP($A750,MAGAZZINO!$B$2:$M$100000,2,FALSE)</f>
        <v/>
      </c>
      <c r="C750" s="29">
        <f>+VLOOKUP($A750,MAGAZZINO!$B$2:$M$100000,3,FALSE)</f>
        <v/>
      </c>
      <c r="D750" s="3">
        <f>+VLOOKUP($A750,MAGAZZINO!$B$2:$M$100000,4,FALSE)</f>
        <v/>
      </c>
      <c r="E750" s="3">
        <f>+VLOOKUP($A750,MAGAZZINO!$B$2:$M$100000,5,FALSE)</f>
        <v/>
      </c>
      <c r="F750" s="3">
        <f>+VLOOKUP($A750,MAGAZZINO!$B$2:$M$100000,6,FALSE)</f>
        <v/>
      </c>
      <c r="G750" s="3">
        <f>+VLOOKUP($A750,MAGAZZINO!$B$2:$M$100000,7,FALSE)</f>
        <v/>
      </c>
      <c r="H750" s="3">
        <f>+VLOOKUP($A750,MAGAZZINO!$B$2:$M$100000,8,FALSE)</f>
        <v/>
      </c>
      <c r="I750" s="3">
        <f>+VLOOKUP($A750,MAGAZZINO!$B$2:$M$100000,9,FALSE)</f>
        <v/>
      </c>
      <c r="J750" s="3">
        <f>+VLOOKUP($A750,MAGAZZINO!$B$2:$M$100000,10,FALSE)</f>
        <v/>
      </c>
      <c r="K750" s="3">
        <f>+VLOOKUP($A750,MAGAZZINO!$B$2:$M$100000,11,FALSE)</f>
        <v/>
      </c>
      <c r="L750" s="5">
        <f>+VLOOKUP($A750,MAGAZZINO!$B$2:$M$100000,12,FALSE)</f>
        <v/>
      </c>
      <c r="M750" s="47" t="n"/>
      <c r="N750" s="54" t="n"/>
      <c r="O750" s="3" t="n"/>
      <c r="P750" s="149" t="n"/>
      <c r="Q750" s="150" t="n"/>
      <c r="R750" s="150" t="n"/>
      <c r="S750" s="151" t="n"/>
    </row>
    <row r="751" ht="36" customHeight="1">
      <c r="A751" s="46" t="n">
        <v>3081</v>
      </c>
      <c r="B751" s="4">
        <f>+VLOOKUP($A751,MAGAZZINO!$B$2:$M$100000,2,FALSE)</f>
        <v/>
      </c>
      <c r="C751" s="29">
        <f>+VLOOKUP($A751,MAGAZZINO!$B$2:$M$100000,3,FALSE)</f>
        <v/>
      </c>
      <c r="D751" s="3">
        <f>+VLOOKUP($A751,MAGAZZINO!$B$2:$M$100000,4,FALSE)</f>
        <v/>
      </c>
      <c r="E751" s="3">
        <f>+VLOOKUP($A751,MAGAZZINO!$B$2:$M$100000,5,FALSE)</f>
        <v/>
      </c>
      <c r="F751" s="3">
        <f>+VLOOKUP($A751,MAGAZZINO!$B$2:$M$100000,6,FALSE)</f>
        <v/>
      </c>
      <c r="G751" s="3">
        <f>+VLOOKUP($A751,MAGAZZINO!$B$2:$M$100000,7,FALSE)</f>
        <v/>
      </c>
      <c r="H751" s="3">
        <f>+VLOOKUP($A751,MAGAZZINO!$B$2:$M$100000,8,FALSE)</f>
        <v/>
      </c>
      <c r="I751" s="3">
        <f>+VLOOKUP($A751,MAGAZZINO!$B$2:$M$100000,9,FALSE)</f>
        <v/>
      </c>
      <c r="J751" s="3">
        <f>+VLOOKUP($A751,MAGAZZINO!$B$2:$M$100000,10,FALSE)</f>
        <v/>
      </c>
      <c r="K751" s="3">
        <f>+VLOOKUP($A751,MAGAZZINO!$B$2:$M$100000,11,FALSE)</f>
        <v/>
      </c>
      <c r="L751" s="5">
        <f>+VLOOKUP($A751,MAGAZZINO!$B$2:$M$100000,12,FALSE)</f>
        <v/>
      </c>
      <c r="M751" s="47" t="n"/>
      <c r="N751" s="54" t="n"/>
      <c r="O751" s="3" t="n"/>
      <c r="P751" s="149" t="n"/>
      <c r="Q751" s="150" t="n"/>
      <c r="R751" s="150" t="n"/>
      <c r="S751" s="151" t="n"/>
    </row>
    <row r="752" ht="36" customHeight="1">
      <c r="A752" s="46" t="n">
        <v>3082</v>
      </c>
      <c r="B752" s="4">
        <f>+VLOOKUP($A752,MAGAZZINO!$B$2:$M$100000,2,FALSE)</f>
        <v/>
      </c>
      <c r="C752" s="29">
        <f>+VLOOKUP($A752,MAGAZZINO!$B$2:$M$100000,3,FALSE)</f>
        <v/>
      </c>
      <c r="D752" s="3">
        <f>+VLOOKUP($A752,MAGAZZINO!$B$2:$M$100000,4,FALSE)</f>
        <v/>
      </c>
      <c r="E752" s="3">
        <f>+VLOOKUP($A752,MAGAZZINO!$B$2:$M$100000,5,FALSE)</f>
        <v/>
      </c>
      <c r="F752" s="3">
        <f>+VLOOKUP($A752,MAGAZZINO!$B$2:$M$100000,6,FALSE)</f>
        <v/>
      </c>
      <c r="G752" s="3">
        <f>+VLOOKUP($A752,MAGAZZINO!$B$2:$M$100000,7,FALSE)</f>
        <v/>
      </c>
      <c r="H752" s="3">
        <f>+VLOOKUP($A752,MAGAZZINO!$B$2:$M$100000,8,FALSE)</f>
        <v/>
      </c>
      <c r="I752" s="3">
        <f>+VLOOKUP($A752,MAGAZZINO!$B$2:$M$100000,9,FALSE)</f>
        <v/>
      </c>
      <c r="J752" s="3">
        <f>+VLOOKUP($A752,MAGAZZINO!$B$2:$M$100000,10,FALSE)</f>
        <v/>
      </c>
      <c r="K752" s="3">
        <f>+VLOOKUP($A752,MAGAZZINO!$B$2:$M$100000,11,FALSE)</f>
        <v/>
      </c>
      <c r="L752" s="5">
        <f>+VLOOKUP($A752,MAGAZZINO!$B$2:$M$100000,12,FALSE)</f>
        <v/>
      </c>
      <c r="M752" s="47" t="n"/>
      <c r="N752" s="54" t="n"/>
      <c r="O752" s="3" t="n"/>
      <c r="P752" s="149" t="n"/>
      <c r="Q752" s="150" t="n"/>
      <c r="R752" s="150" t="n"/>
      <c r="S752" s="151" t="n"/>
    </row>
    <row r="753" ht="36" customHeight="1">
      <c r="A753" s="46" t="n">
        <v>3083</v>
      </c>
      <c r="B753" s="4">
        <f>+VLOOKUP($A753,MAGAZZINO!$B$2:$M$100000,2,FALSE)</f>
        <v/>
      </c>
      <c r="C753" s="29">
        <f>+VLOOKUP($A753,MAGAZZINO!$B$2:$M$100000,3,FALSE)</f>
        <v/>
      </c>
      <c r="D753" s="3">
        <f>+VLOOKUP($A753,MAGAZZINO!$B$2:$M$100000,4,FALSE)</f>
        <v/>
      </c>
      <c r="E753" s="3">
        <f>+VLOOKUP($A753,MAGAZZINO!$B$2:$M$100000,5,FALSE)</f>
        <v/>
      </c>
      <c r="F753" s="3">
        <f>+VLOOKUP($A753,MAGAZZINO!$B$2:$M$100000,6,FALSE)</f>
        <v/>
      </c>
      <c r="G753" s="3">
        <f>+VLOOKUP($A753,MAGAZZINO!$B$2:$M$100000,7,FALSE)</f>
        <v/>
      </c>
      <c r="H753" s="3">
        <f>+VLOOKUP($A753,MAGAZZINO!$B$2:$M$100000,8,FALSE)</f>
        <v/>
      </c>
      <c r="I753" s="3">
        <f>+VLOOKUP($A753,MAGAZZINO!$B$2:$M$100000,9,FALSE)</f>
        <v/>
      </c>
      <c r="J753" s="3">
        <f>+VLOOKUP($A753,MAGAZZINO!$B$2:$M$100000,10,FALSE)</f>
        <v/>
      </c>
      <c r="K753" s="3">
        <f>+VLOOKUP($A753,MAGAZZINO!$B$2:$M$100000,11,FALSE)</f>
        <v/>
      </c>
      <c r="L753" s="5">
        <f>+VLOOKUP($A753,MAGAZZINO!$B$2:$M$100000,12,FALSE)</f>
        <v/>
      </c>
      <c r="M753" s="47" t="n"/>
      <c r="N753" s="54" t="n"/>
      <c r="O753" s="3" t="n"/>
      <c r="P753" s="149" t="n"/>
      <c r="Q753" s="150" t="n"/>
      <c r="R753" s="150" t="n"/>
      <c r="S753" s="151" t="n"/>
    </row>
    <row r="754" ht="36" customHeight="1">
      <c r="A754" s="46" t="n">
        <v>3084</v>
      </c>
      <c r="B754" s="4">
        <f>+VLOOKUP($A754,MAGAZZINO!$B$2:$M$100000,2,FALSE)</f>
        <v/>
      </c>
      <c r="C754" s="29">
        <f>+VLOOKUP($A754,MAGAZZINO!$B$2:$M$100000,3,FALSE)</f>
        <v/>
      </c>
      <c r="D754" s="3">
        <f>+VLOOKUP($A754,MAGAZZINO!$B$2:$M$100000,4,FALSE)</f>
        <v/>
      </c>
      <c r="E754" s="3">
        <f>+VLOOKUP($A754,MAGAZZINO!$B$2:$M$100000,5,FALSE)</f>
        <v/>
      </c>
      <c r="F754" s="3">
        <f>+VLOOKUP($A754,MAGAZZINO!$B$2:$M$100000,6,FALSE)</f>
        <v/>
      </c>
      <c r="G754" s="3">
        <f>+VLOOKUP($A754,MAGAZZINO!$B$2:$M$100000,7,FALSE)</f>
        <v/>
      </c>
      <c r="H754" s="3">
        <f>+VLOOKUP($A754,MAGAZZINO!$B$2:$M$100000,8,FALSE)</f>
        <v/>
      </c>
      <c r="I754" s="3">
        <f>+VLOOKUP($A754,MAGAZZINO!$B$2:$M$100000,9,FALSE)</f>
        <v/>
      </c>
      <c r="J754" s="3">
        <f>+VLOOKUP($A754,MAGAZZINO!$B$2:$M$100000,10,FALSE)</f>
        <v/>
      </c>
      <c r="K754" s="3">
        <f>+VLOOKUP($A754,MAGAZZINO!$B$2:$M$100000,11,FALSE)</f>
        <v/>
      </c>
      <c r="L754" s="5">
        <f>+VLOOKUP($A754,MAGAZZINO!$B$2:$M$100000,12,FALSE)</f>
        <v/>
      </c>
      <c r="M754" s="47" t="n"/>
      <c r="N754" s="54" t="n"/>
      <c r="O754" s="3" t="n"/>
      <c r="P754" s="149" t="n"/>
      <c r="Q754" s="150" t="n"/>
      <c r="R754" s="150" t="n"/>
      <c r="S754" s="151" t="n"/>
    </row>
    <row r="755" ht="36" customHeight="1">
      <c r="A755" s="46" t="n">
        <v>3085</v>
      </c>
      <c r="B755" s="4">
        <f>+VLOOKUP($A755,MAGAZZINO!$B$2:$M$100000,2,FALSE)</f>
        <v/>
      </c>
      <c r="C755" s="29">
        <f>+VLOOKUP($A755,MAGAZZINO!$B$2:$M$100000,3,FALSE)</f>
        <v/>
      </c>
      <c r="D755" s="3">
        <f>+VLOOKUP($A755,MAGAZZINO!$B$2:$M$100000,4,FALSE)</f>
        <v/>
      </c>
      <c r="E755" s="3">
        <f>+VLOOKUP($A755,MAGAZZINO!$B$2:$M$100000,5,FALSE)</f>
        <v/>
      </c>
      <c r="F755" s="3">
        <f>+VLOOKUP($A755,MAGAZZINO!$B$2:$M$100000,6,FALSE)</f>
        <v/>
      </c>
      <c r="G755" s="3">
        <f>+VLOOKUP($A755,MAGAZZINO!$B$2:$M$100000,7,FALSE)</f>
        <v/>
      </c>
      <c r="H755" s="3">
        <f>+VLOOKUP($A755,MAGAZZINO!$B$2:$M$100000,8,FALSE)</f>
        <v/>
      </c>
      <c r="I755" s="3">
        <f>+VLOOKUP($A755,MAGAZZINO!$B$2:$M$100000,9,FALSE)</f>
        <v/>
      </c>
      <c r="J755" s="3">
        <f>+VLOOKUP($A755,MAGAZZINO!$B$2:$M$100000,10,FALSE)</f>
        <v/>
      </c>
      <c r="K755" s="3">
        <f>+VLOOKUP($A755,MAGAZZINO!$B$2:$M$100000,11,FALSE)</f>
        <v/>
      </c>
      <c r="L755" s="5">
        <f>+VLOOKUP($A755,MAGAZZINO!$B$2:$M$100000,12,FALSE)</f>
        <v/>
      </c>
      <c r="M755" s="47" t="n"/>
      <c r="N755" s="54" t="n"/>
      <c r="O755" s="3" t="n"/>
      <c r="P755" s="149" t="n"/>
      <c r="Q755" s="150" t="n"/>
      <c r="R755" s="150" t="n"/>
      <c r="S755" s="151" t="n"/>
    </row>
    <row r="756" ht="36" customHeight="1">
      <c r="A756" s="46" t="n">
        <v>3086</v>
      </c>
      <c r="B756" s="4">
        <f>+VLOOKUP($A756,MAGAZZINO!$B$2:$M$100000,2,FALSE)</f>
        <v/>
      </c>
      <c r="C756" s="29">
        <f>+VLOOKUP($A756,MAGAZZINO!$B$2:$M$100000,3,FALSE)</f>
        <v/>
      </c>
      <c r="D756" s="3">
        <f>+VLOOKUP($A756,MAGAZZINO!$B$2:$M$100000,4,FALSE)</f>
        <v/>
      </c>
      <c r="E756" s="3">
        <f>+VLOOKUP($A756,MAGAZZINO!$B$2:$M$100000,5,FALSE)</f>
        <v/>
      </c>
      <c r="F756" s="3">
        <f>+VLOOKUP($A756,MAGAZZINO!$B$2:$M$100000,6,FALSE)</f>
        <v/>
      </c>
      <c r="G756" s="3">
        <f>+VLOOKUP($A756,MAGAZZINO!$B$2:$M$100000,7,FALSE)</f>
        <v/>
      </c>
      <c r="H756" s="3">
        <f>+VLOOKUP($A756,MAGAZZINO!$B$2:$M$100000,8,FALSE)</f>
        <v/>
      </c>
      <c r="I756" s="3">
        <f>+VLOOKUP($A756,MAGAZZINO!$B$2:$M$100000,9,FALSE)</f>
        <v/>
      </c>
      <c r="J756" s="3">
        <f>+VLOOKUP($A756,MAGAZZINO!$B$2:$M$100000,10,FALSE)</f>
        <v/>
      </c>
      <c r="K756" s="3">
        <f>+VLOOKUP($A756,MAGAZZINO!$B$2:$M$100000,11,FALSE)</f>
        <v/>
      </c>
      <c r="L756" s="5">
        <f>+VLOOKUP($A756,MAGAZZINO!$B$2:$M$100000,12,FALSE)</f>
        <v/>
      </c>
      <c r="M756" s="47" t="n"/>
      <c r="N756" s="54" t="n"/>
      <c r="O756" s="3" t="n"/>
      <c r="P756" s="149" t="n"/>
      <c r="Q756" s="150" t="n"/>
      <c r="R756" s="150" t="n"/>
      <c r="S756" s="151" t="n"/>
    </row>
    <row r="757" ht="36" customHeight="1">
      <c r="A757" s="46" t="n">
        <v>3087</v>
      </c>
      <c r="B757" s="4">
        <f>+VLOOKUP($A757,MAGAZZINO!$B$2:$M$100000,2,FALSE)</f>
        <v/>
      </c>
      <c r="C757" s="29">
        <f>+VLOOKUP($A757,MAGAZZINO!$B$2:$M$100000,3,FALSE)</f>
        <v/>
      </c>
      <c r="D757" s="3">
        <f>+VLOOKUP($A757,MAGAZZINO!$B$2:$M$100000,4,FALSE)</f>
        <v/>
      </c>
      <c r="E757" s="3">
        <f>+VLOOKUP($A757,MAGAZZINO!$B$2:$M$100000,5,FALSE)</f>
        <v/>
      </c>
      <c r="F757" s="3">
        <f>+VLOOKUP($A757,MAGAZZINO!$B$2:$M$100000,6,FALSE)</f>
        <v/>
      </c>
      <c r="G757" s="3">
        <f>+VLOOKUP($A757,MAGAZZINO!$B$2:$M$100000,7,FALSE)</f>
        <v/>
      </c>
      <c r="H757" s="3">
        <f>+VLOOKUP($A757,MAGAZZINO!$B$2:$M$100000,8,FALSE)</f>
        <v/>
      </c>
      <c r="I757" s="3">
        <f>+VLOOKUP($A757,MAGAZZINO!$B$2:$M$100000,9,FALSE)</f>
        <v/>
      </c>
      <c r="J757" s="3">
        <f>+VLOOKUP($A757,MAGAZZINO!$B$2:$M$100000,10,FALSE)</f>
        <v/>
      </c>
      <c r="K757" s="3">
        <f>+VLOOKUP($A757,MAGAZZINO!$B$2:$M$100000,11,FALSE)</f>
        <v/>
      </c>
      <c r="L757" s="5">
        <f>+VLOOKUP($A757,MAGAZZINO!$B$2:$M$100000,12,FALSE)</f>
        <v/>
      </c>
      <c r="M757" s="47" t="n"/>
      <c r="N757" s="54" t="n"/>
      <c r="O757" s="3" t="n"/>
      <c r="P757" s="149" t="n"/>
      <c r="Q757" s="150" t="n"/>
      <c r="R757" s="150" t="n"/>
      <c r="S757" s="151" t="n"/>
    </row>
    <row r="758" ht="36" customHeight="1">
      <c r="A758" s="46" t="n">
        <v>3088</v>
      </c>
      <c r="B758" s="4">
        <f>+VLOOKUP($A758,MAGAZZINO!$B$2:$M$100000,2,FALSE)</f>
        <v/>
      </c>
      <c r="C758" s="29">
        <f>+VLOOKUP($A758,MAGAZZINO!$B$2:$M$100000,3,FALSE)</f>
        <v/>
      </c>
      <c r="D758" s="3">
        <f>+VLOOKUP($A758,MAGAZZINO!$B$2:$M$100000,4,FALSE)</f>
        <v/>
      </c>
      <c r="E758" s="3">
        <f>+VLOOKUP($A758,MAGAZZINO!$B$2:$M$100000,5,FALSE)</f>
        <v/>
      </c>
      <c r="F758" s="3">
        <f>+VLOOKUP($A758,MAGAZZINO!$B$2:$M$100000,6,FALSE)</f>
        <v/>
      </c>
      <c r="G758" s="3">
        <f>+VLOOKUP($A758,MAGAZZINO!$B$2:$M$100000,7,FALSE)</f>
        <v/>
      </c>
      <c r="H758" s="3">
        <f>+VLOOKUP($A758,MAGAZZINO!$B$2:$M$100000,8,FALSE)</f>
        <v/>
      </c>
      <c r="I758" s="3">
        <f>+VLOOKUP($A758,MAGAZZINO!$B$2:$M$100000,9,FALSE)</f>
        <v/>
      </c>
      <c r="J758" s="3">
        <f>+VLOOKUP($A758,MAGAZZINO!$B$2:$M$100000,10,FALSE)</f>
        <v/>
      </c>
      <c r="K758" s="3">
        <f>+VLOOKUP($A758,MAGAZZINO!$B$2:$M$100000,11,FALSE)</f>
        <v/>
      </c>
      <c r="L758" s="5">
        <f>+VLOOKUP($A758,MAGAZZINO!$B$2:$M$100000,12,FALSE)</f>
        <v/>
      </c>
      <c r="M758" s="47" t="n"/>
      <c r="N758" s="54" t="n"/>
      <c r="O758" s="3" t="n"/>
      <c r="P758" s="149" t="n"/>
      <c r="Q758" s="150" t="n"/>
      <c r="R758" s="150" t="n"/>
      <c r="S758" s="151" t="n"/>
    </row>
    <row r="759" ht="36" customHeight="1">
      <c r="A759" s="46" t="n">
        <v>3089</v>
      </c>
      <c r="B759" s="4">
        <f>+VLOOKUP($A759,MAGAZZINO!$B$2:$M$100000,2,FALSE)</f>
        <v/>
      </c>
      <c r="C759" s="29">
        <f>+VLOOKUP($A759,MAGAZZINO!$B$2:$M$100000,3,FALSE)</f>
        <v/>
      </c>
      <c r="D759" s="3">
        <f>+VLOOKUP($A759,MAGAZZINO!$B$2:$M$100000,4,FALSE)</f>
        <v/>
      </c>
      <c r="E759" s="3">
        <f>+VLOOKUP($A759,MAGAZZINO!$B$2:$M$100000,5,FALSE)</f>
        <v/>
      </c>
      <c r="F759" s="3">
        <f>+VLOOKUP($A759,MAGAZZINO!$B$2:$M$100000,6,FALSE)</f>
        <v/>
      </c>
      <c r="G759" s="3">
        <f>+VLOOKUP($A759,MAGAZZINO!$B$2:$M$100000,7,FALSE)</f>
        <v/>
      </c>
      <c r="H759" s="3">
        <f>+VLOOKUP($A759,MAGAZZINO!$B$2:$M$100000,8,FALSE)</f>
        <v/>
      </c>
      <c r="I759" s="3">
        <f>+VLOOKUP($A759,MAGAZZINO!$B$2:$M$100000,9,FALSE)</f>
        <v/>
      </c>
      <c r="J759" s="3">
        <f>+VLOOKUP($A759,MAGAZZINO!$B$2:$M$100000,10,FALSE)</f>
        <v/>
      </c>
      <c r="K759" s="3">
        <f>+VLOOKUP($A759,MAGAZZINO!$B$2:$M$100000,11,FALSE)</f>
        <v/>
      </c>
      <c r="L759" s="5">
        <f>+VLOOKUP($A759,MAGAZZINO!$B$2:$M$100000,12,FALSE)</f>
        <v/>
      </c>
      <c r="M759" s="47" t="n"/>
      <c r="N759" s="54" t="n"/>
      <c r="O759" s="3" t="n"/>
      <c r="P759" s="149" t="n"/>
      <c r="Q759" s="150" t="n"/>
      <c r="R759" s="150" t="n"/>
      <c r="S759" s="151" t="n"/>
    </row>
    <row r="760" ht="36" customHeight="1">
      <c r="A760" s="46" t="n">
        <v>3090</v>
      </c>
      <c r="B760" s="4">
        <f>+VLOOKUP($A760,MAGAZZINO!$B$2:$M$100000,2,FALSE)</f>
        <v/>
      </c>
      <c r="C760" s="29">
        <f>+VLOOKUP($A760,MAGAZZINO!$B$2:$M$100000,3,FALSE)</f>
        <v/>
      </c>
      <c r="D760" s="3">
        <f>+VLOOKUP($A760,MAGAZZINO!$B$2:$M$100000,4,FALSE)</f>
        <v/>
      </c>
      <c r="E760" s="3">
        <f>+VLOOKUP($A760,MAGAZZINO!$B$2:$M$100000,5,FALSE)</f>
        <v/>
      </c>
      <c r="F760" s="3">
        <f>+VLOOKUP($A760,MAGAZZINO!$B$2:$M$100000,6,FALSE)</f>
        <v/>
      </c>
      <c r="G760" s="3">
        <f>+VLOOKUP($A760,MAGAZZINO!$B$2:$M$100000,7,FALSE)</f>
        <v/>
      </c>
      <c r="H760" s="3">
        <f>+VLOOKUP($A760,MAGAZZINO!$B$2:$M$100000,8,FALSE)</f>
        <v/>
      </c>
      <c r="I760" s="3">
        <f>+VLOOKUP($A760,MAGAZZINO!$B$2:$M$100000,9,FALSE)</f>
        <v/>
      </c>
      <c r="J760" s="3">
        <f>+VLOOKUP($A760,MAGAZZINO!$B$2:$M$100000,10,FALSE)</f>
        <v/>
      </c>
      <c r="K760" s="3">
        <f>+VLOOKUP($A760,MAGAZZINO!$B$2:$M$100000,11,FALSE)</f>
        <v/>
      </c>
      <c r="L760" s="5">
        <f>+VLOOKUP($A760,MAGAZZINO!$B$2:$M$100000,12,FALSE)</f>
        <v/>
      </c>
      <c r="M760" s="47" t="n"/>
      <c r="N760" s="54" t="n"/>
      <c r="O760" s="3" t="n"/>
      <c r="P760" s="149" t="n"/>
      <c r="Q760" s="150" t="n"/>
      <c r="R760" s="150" t="n"/>
      <c r="S760" s="151" t="n"/>
    </row>
    <row r="761" ht="36" customHeight="1">
      <c r="A761" s="46" t="n">
        <v>3091</v>
      </c>
      <c r="B761" s="4">
        <f>+VLOOKUP($A761,MAGAZZINO!$B$2:$M$100000,2,FALSE)</f>
        <v/>
      </c>
      <c r="C761" s="29">
        <f>+VLOOKUP($A761,MAGAZZINO!$B$2:$M$100000,3,FALSE)</f>
        <v/>
      </c>
      <c r="D761" s="3">
        <f>+VLOOKUP($A761,MAGAZZINO!$B$2:$M$100000,4,FALSE)</f>
        <v/>
      </c>
      <c r="E761" s="3">
        <f>+VLOOKUP($A761,MAGAZZINO!$B$2:$M$100000,5,FALSE)</f>
        <v/>
      </c>
      <c r="F761" s="3">
        <f>+VLOOKUP($A761,MAGAZZINO!$B$2:$M$100000,6,FALSE)</f>
        <v/>
      </c>
      <c r="G761" s="3">
        <f>+VLOOKUP($A761,MAGAZZINO!$B$2:$M$100000,7,FALSE)</f>
        <v/>
      </c>
      <c r="H761" s="3">
        <f>+VLOOKUP($A761,MAGAZZINO!$B$2:$M$100000,8,FALSE)</f>
        <v/>
      </c>
      <c r="I761" s="3">
        <f>+VLOOKUP($A761,MAGAZZINO!$B$2:$M$100000,9,FALSE)</f>
        <v/>
      </c>
      <c r="J761" s="3">
        <f>+VLOOKUP($A761,MAGAZZINO!$B$2:$M$100000,10,FALSE)</f>
        <v/>
      </c>
      <c r="K761" s="3">
        <f>+VLOOKUP($A761,MAGAZZINO!$B$2:$M$100000,11,FALSE)</f>
        <v/>
      </c>
      <c r="L761" s="5">
        <f>+VLOOKUP($A761,MAGAZZINO!$B$2:$M$100000,12,FALSE)</f>
        <v/>
      </c>
      <c r="M761" s="47" t="n"/>
      <c r="N761" s="54" t="n"/>
      <c r="O761" s="3" t="n"/>
      <c r="P761" s="149" t="n"/>
      <c r="Q761" s="150" t="n"/>
      <c r="R761" s="150" t="n"/>
      <c r="S761" s="151" t="n"/>
    </row>
    <row r="762" ht="36" customHeight="1">
      <c r="A762" s="46" t="n">
        <v>3092</v>
      </c>
      <c r="B762" s="4">
        <f>+VLOOKUP($A762,MAGAZZINO!$B$2:$M$100000,2,FALSE)</f>
        <v/>
      </c>
      <c r="C762" s="29">
        <f>+VLOOKUP($A762,MAGAZZINO!$B$2:$M$100000,3,FALSE)</f>
        <v/>
      </c>
      <c r="D762" s="3">
        <f>+VLOOKUP($A762,MAGAZZINO!$B$2:$M$100000,4,FALSE)</f>
        <v/>
      </c>
      <c r="E762" s="3">
        <f>+VLOOKUP($A762,MAGAZZINO!$B$2:$M$100000,5,FALSE)</f>
        <v/>
      </c>
      <c r="F762" s="3">
        <f>+VLOOKUP($A762,MAGAZZINO!$B$2:$M$100000,6,FALSE)</f>
        <v/>
      </c>
      <c r="G762" s="3">
        <f>+VLOOKUP($A762,MAGAZZINO!$B$2:$M$100000,7,FALSE)</f>
        <v/>
      </c>
      <c r="H762" s="3">
        <f>+VLOOKUP($A762,MAGAZZINO!$B$2:$M$100000,8,FALSE)</f>
        <v/>
      </c>
      <c r="I762" s="3">
        <f>+VLOOKUP($A762,MAGAZZINO!$B$2:$M$100000,9,FALSE)</f>
        <v/>
      </c>
      <c r="J762" s="3">
        <f>+VLOOKUP($A762,MAGAZZINO!$B$2:$M$100000,10,FALSE)</f>
        <v/>
      </c>
      <c r="K762" s="3">
        <f>+VLOOKUP($A762,MAGAZZINO!$B$2:$M$100000,11,FALSE)</f>
        <v/>
      </c>
      <c r="L762" s="5">
        <f>+VLOOKUP($A762,MAGAZZINO!$B$2:$M$100000,12,FALSE)</f>
        <v/>
      </c>
      <c r="M762" s="47" t="n"/>
      <c r="N762" s="54" t="n"/>
      <c r="O762" s="3" t="n"/>
      <c r="P762" s="149" t="n"/>
      <c r="Q762" s="150" t="n"/>
      <c r="R762" s="150" t="n"/>
      <c r="S762" s="151" t="n"/>
    </row>
    <row r="763" ht="36" customHeight="1">
      <c r="A763" s="46" t="n">
        <v>3093</v>
      </c>
      <c r="B763" s="4">
        <f>+VLOOKUP($A763,MAGAZZINO!$B$2:$M$100000,2,FALSE)</f>
        <v/>
      </c>
      <c r="C763" s="29">
        <f>+VLOOKUP($A763,MAGAZZINO!$B$2:$M$100000,3,FALSE)</f>
        <v/>
      </c>
      <c r="D763" s="3">
        <f>+VLOOKUP($A763,MAGAZZINO!$B$2:$M$100000,4,FALSE)</f>
        <v/>
      </c>
      <c r="E763" s="3">
        <f>+VLOOKUP($A763,MAGAZZINO!$B$2:$M$100000,5,FALSE)</f>
        <v/>
      </c>
      <c r="F763" s="3">
        <f>+VLOOKUP($A763,MAGAZZINO!$B$2:$M$100000,6,FALSE)</f>
        <v/>
      </c>
      <c r="G763" s="3">
        <f>+VLOOKUP($A763,MAGAZZINO!$B$2:$M$100000,7,FALSE)</f>
        <v/>
      </c>
      <c r="H763" s="3">
        <f>+VLOOKUP($A763,MAGAZZINO!$B$2:$M$100000,8,FALSE)</f>
        <v/>
      </c>
      <c r="I763" s="3">
        <f>+VLOOKUP($A763,MAGAZZINO!$B$2:$M$100000,9,FALSE)</f>
        <v/>
      </c>
      <c r="J763" s="3">
        <f>+VLOOKUP($A763,MAGAZZINO!$B$2:$M$100000,10,FALSE)</f>
        <v/>
      </c>
      <c r="K763" s="3">
        <f>+VLOOKUP($A763,MAGAZZINO!$B$2:$M$100000,11,FALSE)</f>
        <v/>
      </c>
      <c r="L763" s="5">
        <f>+VLOOKUP($A763,MAGAZZINO!$B$2:$M$100000,12,FALSE)</f>
        <v/>
      </c>
      <c r="M763" s="47" t="n"/>
      <c r="N763" s="54" t="n"/>
      <c r="O763" s="3" t="n"/>
      <c r="P763" s="149" t="n"/>
      <c r="Q763" s="150" t="n"/>
      <c r="R763" s="150" t="n"/>
      <c r="S763" s="151" t="n"/>
    </row>
    <row r="764" ht="36" customHeight="1">
      <c r="A764" s="46" t="n">
        <v>3094</v>
      </c>
      <c r="B764" s="4">
        <f>+VLOOKUP($A764,MAGAZZINO!$B$2:$M$100000,2,FALSE)</f>
        <v/>
      </c>
      <c r="C764" s="29">
        <f>+VLOOKUP($A764,MAGAZZINO!$B$2:$M$100000,3,FALSE)</f>
        <v/>
      </c>
      <c r="D764" s="3">
        <f>+VLOOKUP($A764,MAGAZZINO!$B$2:$M$100000,4,FALSE)</f>
        <v/>
      </c>
      <c r="E764" s="3">
        <f>+VLOOKUP($A764,MAGAZZINO!$B$2:$M$100000,5,FALSE)</f>
        <v/>
      </c>
      <c r="F764" s="3">
        <f>+VLOOKUP($A764,MAGAZZINO!$B$2:$M$100000,6,FALSE)</f>
        <v/>
      </c>
      <c r="G764" s="3">
        <f>+VLOOKUP($A764,MAGAZZINO!$B$2:$M$100000,7,FALSE)</f>
        <v/>
      </c>
      <c r="H764" s="3">
        <f>+VLOOKUP($A764,MAGAZZINO!$B$2:$M$100000,8,FALSE)</f>
        <v/>
      </c>
      <c r="I764" s="3">
        <f>+VLOOKUP($A764,MAGAZZINO!$B$2:$M$100000,9,FALSE)</f>
        <v/>
      </c>
      <c r="J764" s="3">
        <f>+VLOOKUP($A764,MAGAZZINO!$B$2:$M$100000,10,FALSE)</f>
        <v/>
      </c>
      <c r="K764" s="3">
        <f>+VLOOKUP($A764,MAGAZZINO!$B$2:$M$100000,11,FALSE)</f>
        <v/>
      </c>
      <c r="L764" s="5">
        <f>+VLOOKUP($A764,MAGAZZINO!$B$2:$M$100000,12,FALSE)</f>
        <v/>
      </c>
      <c r="M764" s="47" t="n"/>
      <c r="N764" s="54" t="n"/>
      <c r="O764" s="3" t="n"/>
      <c r="P764" s="149" t="n"/>
      <c r="Q764" s="150" t="n"/>
      <c r="R764" s="150" t="n"/>
      <c r="S764" s="151" t="n"/>
    </row>
    <row r="765" ht="36" customHeight="1">
      <c r="A765" s="46" t="n">
        <v>3095</v>
      </c>
      <c r="B765" s="4">
        <f>+VLOOKUP($A765,MAGAZZINO!$B$2:$M$100000,2,FALSE)</f>
        <v/>
      </c>
      <c r="C765" s="29">
        <f>+VLOOKUP($A765,MAGAZZINO!$B$2:$M$100000,3,FALSE)</f>
        <v/>
      </c>
      <c r="D765" s="3">
        <f>+VLOOKUP($A765,MAGAZZINO!$B$2:$M$100000,4,FALSE)</f>
        <v/>
      </c>
      <c r="E765" s="3">
        <f>+VLOOKUP($A765,MAGAZZINO!$B$2:$M$100000,5,FALSE)</f>
        <v/>
      </c>
      <c r="F765" s="3">
        <f>+VLOOKUP($A765,MAGAZZINO!$B$2:$M$100000,6,FALSE)</f>
        <v/>
      </c>
      <c r="G765" s="3">
        <f>+VLOOKUP($A765,MAGAZZINO!$B$2:$M$100000,7,FALSE)</f>
        <v/>
      </c>
      <c r="H765" s="3">
        <f>+VLOOKUP($A765,MAGAZZINO!$B$2:$M$100000,8,FALSE)</f>
        <v/>
      </c>
      <c r="I765" s="3">
        <f>+VLOOKUP($A765,MAGAZZINO!$B$2:$M$100000,9,FALSE)</f>
        <v/>
      </c>
      <c r="J765" s="3">
        <f>+VLOOKUP($A765,MAGAZZINO!$B$2:$M$100000,10,FALSE)</f>
        <v/>
      </c>
      <c r="K765" s="3">
        <f>+VLOOKUP($A765,MAGAZZINO!$B$2:$M$100000,11,FALSE)</f>
        <v/>
      </c>
      <c r="L765" s="5">
        <f>+VLOOKUP($A765,MAGAZZINO!$B$2:$M$100000,12,FALSE)</f>
        <v/>
      </c>
      <c r="M765" s="47" t="n"/>
      <c r="N765" s="54" t="n"/>
      <c r="O765" s="3" t="n"/>
      <c r="P765" s="149" t="n"/>
      <c r="Q765" s="150" t="n"/>
      <c r="R765" s="150" t="n"/>
      <c r="S765" s="151" t="n"/>
    </row>
    <row r="766" ht="36" customHeight="1">
      <c r="A766" s="46" t="n">
        <v>3096</v>
      </c>
      <c r="B766" s="4">
        <f>+VLOOKUP($A766,MAGAZZINO!$B$2:$M$100000,2,FALSE)</f>
        <v/>
      </c>
      <c r="C766" s="29">
        <f>+VLOOKUP($A766,MAGAZZINO!$B$2:$M$100000,3,FALSE)</f>
        <v/>
      </c>
      <c r="D766" s="3">
        <f>+VLOOKUP($A766,MAGAZZINO!$B$2:$M$100000,4,FALSE)</f>
        <v/>
      </c>
      <c r="E766" s="3">
        <f>+VLOOKUP($A766,MAGAZZINO!$B$2:$M$100000,5,FALSE)</f>
        <v/>
      </c>
      <c r="F766" s="3">
        <f>+VLOOKUP($A766,MAGAZZINO!$B$2:$M$100000,6,FALSE)</f>
        <v/>
      </c>
      <c r="G766" s="3">
        <f>+VLOOKUP($A766,MAGAZZINO!$B$2:$M$100000,7,FALSE)</f>
        <v/>
      </c>
      <c r="H766" s="3">
        <f>+VLOOKUP($A766,MAGAZZINO!$B$2:$M$100000,8,FALSE)</f>
        <v/>
      </c>
      <c r="I766" s="3">
        <f>+VLOOKUP($A766,MAGAZZINO!$B$2:$M$100000,9,FALSE)</f>
        <v/>
      </c>
      <c r="J766" s="3">
        <f>+VLOOKUP($A766,MAGAZZINO!$B$2:$M$100000,10,FALSE)</f>
        <v/>
      </c>
      <c r="K766" s="3">
        <f>+VLOOKUP($A766,MAGAZZINO!$B$2:$M$100000,11,FALSE)</f>
        <v/>
      </c>
      <c r="L766" s="5">
        <f>+VLOOKUP($A766,MAGAZZINO!$B$2:$M$100000,12,FALSE)</f>
        <v/>
      </c>
      <c r="M766" s="47" t="n"/>
      <c r="N766" s="54" t="n"/>
      <c r="O766" s="3" t="n"/>
      <c r="P766" s="149" t="n"/>
      <c r="Q766" s="150" t="n"/>
      <c r="R766" s="150" t="n"/>
      <c r="S766" s="151" t="n"/>
    </row>
    <row r="767" ht="36" customHeight="1">
      <c r="A767" s="46" t="n">
        <v>3097</v>
      </c>
      <c r="B767" s="4">
        <f>+VLOOKUP($A767,MAGAZZINO!$B$2:$M$100000,2,FALSE)</f>
        <v/>
      </c>
      <c r="C767" s="29">
        <f>+VLOOKUP($A767,MAGAZZINO!$B$2:$M$100000,3,FALSE)</f>
        <v/>
      </c>
      <c r="D767" s="3">
        <f>+VLOOKUP($A767,MAGAZZINO!$B$2:$M$100000,4,FALSE)</f>
        <v/>
      </c>
      <c r="E767" s="3">
        <f>+VLOOKUP($A767,MAGAZZINO!$B$2:$M$100000,5,FALSE)</f>
        <v/>
      </c>
      <c r="F767" s="3">
        <f>+VLOOKUP($A767,MAGAZZINO!$B$2:$M$100000,6,FALSE)</f>
        <v/>
      </c>
      <c r="G767" s="3">
        <f>+VLOOKUP($A767,MAGAZZINO!$B$2:$M$100000,7,FALSE)</f>
        <v/>
      </c>
      <c r="H767" s="3">
        <f>+VLOOKUP($A767,MAGAZZINO!$B$2:$M$100000,8,FALSE)</f>
        <v/>
      </c>
      <c r="I767" s="3">
        <f>+VLOOKUP($A767,MAGAZZINO!$B$2:$M$100000,9,FALSE)</f>
        <v/>
      </c>
      <c r="J767" s="3">
        <f>+VLOOKUP($A767,MAGAZZINO!$B$2:$M$100000,10,FALSE)</f>
        <v/>
      </c>
      <c r="K767" s="3">
        <f>+VLOOKUP($A767,MAGAZZINO!$B$2:$M$100000,11,FALSE)</f>
        <v/>
      </c>
      <c r="L767" s="5">
        <f>+VLOOKUP($A767,MAGAZZINO!$B$2:$M$100000,12,FALSE)</f>
        <v/>
      </c>
      <c r="M767" s="47" t="n"/>
      <c r="N767" s="54" t="n"/>
      <c r="O767" s="3" t="n"/>
      <c r="P767" s="149" t="n"/>
      <c r="Q767" s="150" t="n"/>
      <c r="R767" s="150" t="n"/>
      <c r="S767" s="151" t="n"/>
    </row>
    <row r="768" ht="36" customHeight="1">
      <c r="A768" s="46" t="n">
        <v>3098</v>
      </c>
      <c r="B768" s="4">
        <f>+VLOOKUP($A768,MAGAZZINO!$B$2:$M$100000,2,FALSE)</f>
        <v/>
      </c>
      <c r="C768" s="29">
        <f>+VLOOKUP($A768,MAGAZZINO!$B$2:$M$100000,3,FALSE)</f>
        <v/>
      </c>
      <c r="D768" s="3">
        <f>+VLOOKUP($A768,MAGAZZINO!$B$2:$M$100000,4,FALSE)</f>
        <v/>
      </c>
      <c r="E768" s="3">
        <f>+VLOOKUP($A768,MAGAZZINO!$B$2:$M$100000,5,FALSE)</f>
        <v/>
      </c>
      <c r="F768" s="3">
        <f>+VLOOKUP($A768,MAGAZZINO!$B$2:$M$100000,6,FALSE)</f>
        <v/>
      </c>
      <c r="G768" s="3">
        <f>+VLOOKUP($A768,MAGAZZINO!$B$2:$M$100000,7,FALSE)</f>
        <v/>
      </c>
      <c r="H768" s="3">
        <f>+VLOOKUP($A768,MAGAZZINO!$B$2:$M$100000,8,FALSE)</f>
        <v/>
      </c>
      <c r="I768" s="3">
        <f>+VLOOKUP($A768,MAGAZZINO!$B$2:$M$100000,9,FALSE)</f>
        <v/>
      </c>
      <c r="J768" s="3">
        <f>+VLOOKUP($A768,MAGAZZINO!$B$2:$M$100000,10,FALSE)</f>
        <v/>
      </c>
      <c r="K768" s="3">
        <f>+VLOOKUP($A768,MAGAZZINO!$B$2:$M$100000,11,FALSE)</f>
        <v/>
      </c>
      <c r="L768" s="5">
        <f>+VLOOKUP($A768,MAGAZZINO!$B$2:$M$100000,12,FALSE)</f>
        <v/>
      </c>
      <c r="M768" s="47" t="n"/>
      <c r="N768" s="54" t="n"/>
      <c r="O768" s="3" t="n"/>
      <c r="P768" s="149" t="n"/>
      <c r="Q768" s="150" t="n"/>
      <c r="R768" s="150" t="n"/>
      <c r="S768" s="151" t="n"/>
    </row>
    <row r="769" ht="36" customHeight="1">
      <c r="A769" s="46" t="n">
        <v>3099</v>
      </c>
      <c r="B769" s="4">
        <f>+VLOOKUP($A769,MAGAZZINO!$B$2:$M$100000,2,FALSE)</f>
        <v/>
      </c>
      <c r="C769" s="29">
        <f>+VLOOKUP($A769,MAGAZZINO!$B$2:$M$100000,3,FALSE)</f>
        <v/>
      </c>
      <c r="D769" s="3">
        <f>+VLOOKUP($A769,MAGAZZINO!$B$2:$M$100000,4,FALSE)</f>
        <v/>
      </c>
      <c r="E769" s="3">
        <f>+VLOOKUP($A769,MAGAZZINO!$B$2:$M$100000,5,FALSE)</f>
        <v/>
      </c>
      <c r="F769" s="3">
        <f>+VLOOKUP($A769,MAGAZZINO!$B$2:$M$100000,6,FALSE)</f>
        <v/>
      </c>
      <c r="G769" s="3">
        <f>+VLOOKUP($A769,MAGAZZINO!$B$2:$M$100000,7,FALSE)</f>
        <v/>
      </c>
      <c r="H769" s="3">
        <f>+VLOOKUP($A769,MAGAZZINO!$B$2:$M$100000,8,FALSE)</f>
        <v/>
      </c>
      <c r="I769" s="3">
        <f>+VLOOKUP($A769,MAGAZZINO!$B$2:$M$100000,9,FALSE)</f>
        <v/>
      </c>
      <c r="J769" s="3">
        <f>+VLOOKUP($A769,MAGAZZINO!$B$2:$M$100000,10,FALSE)</f>
        <v/>
      </c>
      <c r="K769" s="3">
        <f>+VLOOKUP($A769,MAGAZZINO!$B$2:$M$100000,11,FALSE)</f>
        <v/>
      </c>
      <c r="L769" s="5">
        <f>+VLOOKUP($A769,MAGAZZINO!$B$2:$M$100000,12,FALSE)</f>
        <v/>
      </c>
      <c r="M769" s="47" t="n"/>
      <c r="N769" s="54" t="n"/>
      <c r="O769" s="3" t="n"/>
      <c r="P769" s="149" t="n"/>
      <c r="Q769" s="150" t="n"/>
      <c r="R769" s="150" t="n"/>
      <c r="S769" s="151" t="n"/>
    </row>
    <row r="770" ht="36" customHeight="1">
      <c r="A770" s="46" t="n">
        <v>3100</v>
      </c>
      <c r="B770" s="4">
        <f>+VLOOKUP($A770,MAGAZZINO!$B$2:$M$100000,2,FALSE)</f>
        <v/>
      </c>
      <c r="C770" s="29">
        <f>+VLOOKUP($A770,MAGAZZINO!$B$2:$M$100000,3,FALSE)</f>
        <v/>
      </c>
      <c r="D770" s="3">
        <f>+VLOOKUP($A770,MAGAZZINO!$B$2:$M$100000,4,FALSE)</f>
        <v/>
      </c>
      <c r="E770" s="3">
        <f>+VLOOKUP($A770,MAGAZZINO!$B$2:$M$100000,5,FALSE)</f>
        <v/>
      </c>
      <c r="F770" s="3">
        <f>+VLOOKUP($A770,MAGAZZINO!$B$2:$M$100000,6,FALSE)</f>
        <v/>
      </c>
      <c r="G770" s="3">
        <f>+VLOOKUP($A770,MAGAZZINO!$B$2:$M$100000,7,FALSE)</f>
        <v/>
      </c>
      <c r="H770" s="3">
        <f>+VLOOKUP($A770,MAGAZZINO!$B$2:$M$100000,8,FALSE)</f>
        <v/>
      </c>
      <c r="I770" s="3">
        <f>+VLOOKUP($A770,MAGAZZINO!$B$2:$M$100000,9,FALSE)</f>
        <v/>
      </c>
      <c r="J770" s="3">
        <f>+VLOOKUP($A770,MAGAZZINO!$B$2:$M$100000,10,FALSE)</f>
        <v/>
      </c>
      <c r="K770" s="3">
        <f>+VLOOKUP($A770,MAGAZZINO!$B$2:$M$100000,11,FALSE)</f>
        <v/>
      </c>
      <c r="L770" s="5">
        <f>+VLOOKUP($A770,MAGAZZINO!$B$2:$M$100000,12,FALSE)</f>
        <v/>
      </c>
      <c r="M770" s="47" t="n"/>
      <c r="N770" s="54" t="n"/>
      <c r="O770" s="3" t="n"/>
      <c r="P770" s="149" t="n"/>
      <c r="Q770" s="150" t="n"/>
      <c r="R770" s="150" t="n"/>
      <c r="S770" s="151" t="n"/>
    </row>
    <row r="771" ht="36" customHeight="1">
      <c r="A771" s="46" t="n">
        <v>3101</v>
      </c>
      <c r="B771" s="4">
        <f>+VLOOKUP($A771,MAGAZZINO!$B$2:$M$100000,2,FALSE)</f>
        <v/>
      </c>
      <c r="C771" s="29">
        <f>+VLOOKUP($A771,MAGAZZINO!$B$2:$M$100000,3,FALSE)</f>
        <v/>
      </c>
      <c r="D771" s="3">
        <f>+VLOOKUP($A771,MAGAZZINO!$B$2:$M$100000,4,FALSE)</f>
        <v/>
      </c>
      <c r="E771" s="3">
        <f>+VLOOKUP($A771,MAGAZZINO!$B$2:$M$100000,5,FALSE)</f>
        <v/>
      </c>
      <c r="F771" s="3">
        <f>+VLOOKUP($A771,MAGAZZINO!$B$2:$M$100000,6,FALSE)</f>
        <v/>
      </c>
      <c r="G771" s="3">
        <f>+VLOOKUP($A771,MAGAZZINO!$B$2:$M$100000,7,FALSE)</f>
        <v/>
      </c>
      <c r="H771" s="3">
        <f>+VLOOKUP($A771,MAGAZZINO!$B$2:$M$100000,8,FALSE)</f>
        <v/>
      </c>
      <c r="I771" s="3">
        <f>+VLOOKUP($A771,MAGAZZINO!$B$2:$M$100000,9,FALSE)</f>
        <v/>
      </c>
      <c r="J771" s="3">
        <f>+VLOOKUP($A771,MAGAZZINO!$B$2:$M$100000,10,FALSE)</f>
        <v/>
      </c>
      <c r="K771" s="3">
        <f>+VLOOKUP($A771,MAGAZZINO!$B$2:$M$100000,11,FALSE)</f>
        <v/>
      </c>
      <c r="L771" s="5">
        <f>+VLOOKUP($A771,MAGAZZINO!$B$2:$M$100000,12,FALSE)</f>
        <v/>
      </c>
      <c r="M771" s="47" t="n"/>
      <c r="N771" s="54" t="n"/>
      <c r="O771" s="3" t="n"/>
      <c r="P771" s="149" t="n"/>
      <c r="Q771" s="150" t="n"/>
      <c r="R771" s="150" t="n"/>
      <c r="S771" s="151" t="n"/>
    </row>
    <row r="772" ht="36" customHeight="1">
      <c r="A772" s="46" t="n">
        <v>3102</v>
      </c>
      <c r="B772" s="4">
        <f>+VLOOKUP($A772,MAGAZZINO!$B$2:$M$100000,2,FALSE)</f>
        <v/>
      </c>
      <c r="C772" s="29">
        <f>+VLOOKUP($A772,MAGAZZINO!$B$2:$M$100000,3,FALSE)</f>
        <v/>
      </c>
      <c r="D772" s="3">
        <f>+VLOOKUP($A772,MAGAZZINO!$B$2:$M$100000,4,FALSE)</f>
        <v/>
      </c>
      <c r="E772" s="3">
        <f>+VLOOKUP($A772,MAGAZZINO!$B$2:$M$100000,5,FALSE)</f>
        <v/>
      </c>
      <c r="F772" s="3">
        <f>+VLOOKUP($A772,MAGAZZINO!$B$2:$M$100000,6,FALSE)</f>
        <v/>
      </c>
      <c r="G772" s="3">
        <f>+VLOOKUP($A772,MAGAZZINO!$B$2:$M$100000,7,FALSE)</f>
        <v/>
      </c>
      <c r="H772" s="3">
        <f>+VLOOKUP($A772,MAGAZZINO!$B$2:$M$100000,8,FALSE)</f>
        <v/>
      </c>
      <c r="I772" s="3">
        <f>+VLOOKUP($A772,MAGAZZINO!$B$2:$M$100000,9,FALSE)</f>
        <v/>
      </c>
      <c r="J772" s="3">
        <f>+VLOOKUP($A772,MAGAZZINO!$B$2:$M$100000,10,FALSE)</f>
        <v/>
      </c>
      <c r="K772" s="3">
        <f>+VLOOKUP($A772,MAGAZZINO!$B$2:$M$100000,11,FALSE)</f>
        <v/>
      </c>
      <c r="L772" s="5">
        <f>+VLOOKUP($A772,MAGAZZINO!$B$2:$M$100000,12,FALSE)</f>
        <v/>
      </c>
      <c r="M772" s="47" t="n"/>
      <c r="N772" s="54" t="n"/>
      <c r="O772" s="3" t="n"/>
      <c r="P772" s="149" t="n"/>
      <c r="Q772" s="150" t="n"/>
      <c r="R772" s="150" t="n"/>
      <c r="S772" s="151" t="n"/>
    </row>
    <row r="773" ht="36" customHeight="1">
      <c r="A773" s="46" t="n">
        <v>3103</v>
      </c>
      <c r="B773" s="4">
        <f>+VLOOKUP($A773,MAGAZZINO!$B$2:$M$100000,2,FALSE)</f>
        <v/>
      </c>
      <c r="C773" s="29">
        <f>+VLOOKUP($A773,MAGAZZINO!$B$2:$M$100000,3,FALSE)</f>
        <v/>
      </c>
      <c r="D773" s="3">
        <f>+VLOOKUP($A773,MAGAZZINO!$B$2:$M$100000,4,FALSE)</f>
        <v/>
      </c>
      <c r="E773" s="3">
        <f>+VLOOKUP($A773,MAGAZZINO!$B$2:$M$100000,5,FALSE)</f>
        <v/>
      </c>
      <c r="F773" s="3">
        <f>+VLOOKUP($A773,MAGAZZINO!$B$2:$M$100000,6,FALSE)</f>
        <v/>
      </c>
      <c r="G773" s="3">
        <f>+VLOOKUP($A773,MAGAZZINO!$B$2:$M$100000,7,FALSE)</f>
        <v/>
      </c>
      <c r="H773" s="3">
        <f>+VLOOKUP($A773,MAGAZZINO!$B$2:$M$100000,8,FALSE)</f>
        <v/>
      </c>
      <c r="I773" s="3">
        <f>+VLOOKUP($A773,MAGAZZINO!$B$2:$M$100000,9,FALSE)</f>
        <v/>
      </c>
      <c r="J773" s="3">
        <f>+VLOOKUP($A773,MAGAZZINO!$B$2:$M$100000,10,FALSE)</f>
        <v/>
      </c>
      <c r="K773" s="3">
        <f>+VLOOKUP($A773,MAGAZZINO!$B$2:$M$100000,11,FALSE)</f>
        <v/>
      </c>
      <c r="L773" s="5">
        <f>+VLOOKUP($A773,MAGAZZINO!$B$2:$M$100000,12,FALSE)</f>
        <v/>
      </c>
      <c r="M773" s="47" t="n"/>
      <c r="N773" s="54" t="n"/>
      <c r="O773" s="3" t="n"/>
      <c r="P773" s="149" t="n"/>
      <c r="Q773" s="150" t="n"/>
      <c r="R773" s="150" t="n"/>
      <c r="S773" s="151" t="n"/>
    </row>
    <row r="774" ht="36" customHeight="1">
      <c r="A774" s="46" t="n">
        <v>3104</v>
      </c>
      <c r="B774" s="4">
        <f>+VLOOKUP($A774,MAGAZZINO!$B$2:$M$100000,2,FALSE)</f>
        <v/>
      </c>
      <c r="C774" s="29">
        <f>+VLOOKUP($A774,MAGAZZINO!$B$2:$M$100000,3,FALSE)</f>
        <v/>
      </c>
      <c r="D774" s="3">
        <f>+VLOOKUP($A774,MAGAZZINO!$B$2:$M$100000,4,FALSE)</f>
        <v/>
      </c>
      <c r="E774" s="3">
        <f>+VLOOKUP($A774,MAGAZZINO!$B$2:$M$100000,5,FALSE)</f>
        <v/>
      </c>
      <c r="F774" s="3">
        <f>+VLOOKUP($A774,MAGAZZINO!$B$2:$M$100000,6,FALSE)</f>
        <v/>
      </c>
      <c r="G774" s="3">
        <f>+VLOOKUP($A774,MAGAZZINO!$B$2:$M$100000,7,FALSE)</f>
        <v/>
      </c>
      <c r="H774" s="3">
        <f>+VLOOKUP($A774,MAGAZZINO!$B$2:$M$100000,8,FALSE)</f>
        <v/>
      </c>
      <c r="I774" s="3">
        <f>+VLOOKUP($A774,MAGAZZINO!$B$2:$M$100000,9,FALSE)</f>
        <v/>
      </c>
      <c r="J774" s="3">
        <f>+VLOOKUP($A774,MAGAZZINO!$B$2:$M$100000,10,FALSE)</f>
        <v/>
      </c>
      <c r="K774" s="3">
        <f>+VLOOKUP($A774,MAGAZZINO!$B$2:$M$100000,11,FALSE)</f>
        <v/>
      </c>
      <c r="L774" s="5">
        <f>+VLOOKUP($A774,MAGAZZINO!$B$2:$M$100000,12,FALSE)</f>
        <v/>
      </c>
      <c r="M774" s="47" t="n"/>
      <c r="N774" s="54" t="n"/>
      <c r="O774" s="3" t="n"/>
      <c r="P774" s="149" t="n"/>
      <c r="Q774" s="150" t="n"/>
      <c r="R774" s="150" t="n"/>
      <c r="S774" s="151" t="n"/>
    </row>
    <row r="775" ht="36" customHeight="1">
      <c r="A775" s="46" t="n">
        <v>3105</v>
      </c>
      <c r="B775" s="4">
        <f>+VLOOKUP($A775,MAGAZZINO!$B$2:$M$100000,2,FALSE)</f>
        <v/>
      </c>
      <c r="C775" s="29">
        <f>+VLOOKUP($A775,MAGAZZINO!$B$2:$M$100000,3,FALSE)</f>
        <v/>
      </c>
      <c r="D775" s="3">
        <f>+VLOOKUP($A775,MAGAZZINO!$B$2:$M$100000,4,FALSE)</f>
        <v/>
      </c>
      <c r="E775" s="3">
        <f>+VLOOKUP($A775,MAGAZZINO!$B$2:$M$100000,5,FALSE)</f>
        <v/>
      </c>
      <c r="F775" s="3">
        <f>+VLOOKUP($A775,MAGAZZINO!$B$2:$M$100000,6,FALSE)</f>
        <v/>
      </c>
      <c r="G775" s="3">
        <f>+VLOOKUP($A775,MAGAZZINO!$B$2:$M$100000,7,FALSE)</f>
        <v/>
      </c>
      <c r="H775" s="3">
        <f>+VLOOKUP($A775,MAGAZZINO!$B$2:$M$100000,8,FALSE)</f>
        <v/>
      </c>
      <c r="I775" s="3">
        <f>+VLOOKUP($A775,MAGAZZINO!$B$2:$M$100000,9,FALSE)</f>
        <v/>
      </c>
      <c r="J775" s="3">
        <f>+VLOOKUP($A775,MAGAZZINO!$B$2:$M$100000,10,FALSE)</f>
        <v/>
      </c>
      <c r="K775" s="3">
        <f>+VLOOKUP($A775,MAGAZZINO!$B$2:$M$100000,11,FALSE)</f>
        <v/>
      </c>
      <c r="L775" s="5">
        <f>+VLOOKUP($A775,MAGAZZINO!$B$2:$M$100000,12,FALSE)</f>
        <v/>
      </c>
      <c r="M775" s="47" t="n"/>
      <c r="N775" s="54" t="n"/>
      <c r="O775" s="3" t="n"/>
      <c r="P775" s="149" t="n"/>
      <c r="Q775" s="150" t="n"/>
      <c r="R775" s="150" t="n"/>
      <c r="S775" s="151" t="n"/>
    </row>
    <row r="776" ht="36" customHeight="1">
      <c r="A776" s="46" t="n">
        <v>3106</v>
      </c>
      <c r="B776" s="4">
        <f>+VLOOKUP($A776,MAGAZZINO!$B$2:$M$100000,2,FALSE)</f>
        <v/>
      </c>
      <c r="C776" s="29">
        <f>+VLOOKUP($A776,MAGAZZINO!$B$2:$M$100000,3,FALSE)</f>
        <v/>
      </c>
      <c r="D776" s="3">
        <f>+VLOOKUP($A776,MAGAZZINO!$B$2:$M$100000,4,FALSE)</f>
        <v/>
      </c>
      <c r="E776" s="3">
        <f>+VLOOKUP($A776,MAGAZZINO!$B$2:$M$100000,5,FALSE)</f>
        <v/>
      </c>
      <c r="F776" s="3">
        <f>+VLOOKUP($A776,MAGAZZINO!$B$2:$M$100000,6,FALSE)</f>
        <v/>
      </c>
      <c r="G776" s="3">
        <f>+VLOOKUP($A776,MAGAZZINO!$B$2:$M$100000,7,FALSE)</f>
        <v/>
      </c>
      <c r="H776" s="3">
        <f>+VLOOKUP($A776,MAGAZZINO!$B$2:$M$100000,8,FALSE)</f>
        <v/>
      </c>
      <c r="I776" s="3">
        <f>+VLOOKUP($A776,MAGAZZINO!$B$2:$M$100000,9,FALSE)</f>
        <v/>
      </c>
      <c r="J776" s="3">
        <f>+VLOOKUP($A776,MAGAZZINO!$B$2:$M$100000,10,FALSE)</f>
        <v/>
      </c>
      <c r="K776" s="3">
        <f>+VLOOKUP($A776,MAGAZZINO!$B$2:$M$100000,11,FALSE)</f>
        <v/>
      </c>
      <c r="L776" s="5">
        <f>+VLOOKUP($A776,MAGAZZINO!$B$2:$M$100000,12,FALSE)</f>
        <v/>
      </c>
      <c r="M776" s="47" t="n"/>
      <c r="N776" s="54" t="n"/>
      <c r="O776" s="3" t="n"/>
      <c r="P776" s="149" t="n"/>
      <c r="Q776" s="150" t="n"/>
      <c r="R776" s="150" t="n"/>
      <c r="S776" s="151" t="n"/>
    </row>
    <row r="777" ht="36" customHeight="1">
      <c r="A777" s="46" t="n">
        <v>3107</v>
      </c>
      <c r="B777" s="4">
        <f>+VLOOKUP($A777,MAGAZZINO!$B$2:$M$100000,2,FALSE)</f>
        <v/>
      </c>
      <c r="C777" s="29">
        <f>+VLOOKUP($A777,MAGAZZINO!$B$2:$M$100000,3,FALSE)</f>
        <v/>
      </c>
      <c r="D777" s="3">
        <f>+VLOOKUP($A777,MAGAZZINO!$B$2:$M$100000,4,FALSE)</f>
        <v/>
      </c>
      <c r="E777" s="3">
        <f>+VLOOKUP($A777,MAGAZZINO!$B$2:$M$100000,5,FALSE)</f>
        <v/>
      </c>
      <c r="F777" s="3">
        <f>+VLOOKUP($A777,MAGAZZINO!$B$2:$M$100000,6,FALSE)</f>
        <v/>
      </c>
      <c r="G777" s="3">
        <f>+VLOOKUP($A777,MAGAZZINO!$B$2:$M$100000,7,FALSE)</f>
        <v/>
      </c>
      <c r="H777" s="3">
        <f>+VLOOKUP($A777,MAGAZZINO!$B$2:$M$100000,8,FALSE)</f>
        <v/>
      </c>
      <c r="I777" s="3">
        <f>+VLOOKUP($A777,MAGAZZINO!$B$2:$M$100000,9,FALSE)</f>
        <v/>
      </c>
      <c r="J777" s="3">
        <f>+VLOOKUP($A777,MAGAZZINO!$B$2:$M$100000,10,FALSE)</f>
        <v/>
      </c>
      <c r="K777" s="3">
        <f>+VLOOKUP($A777,MAGAZZINO!$B$2:$M$100000,11,FALSE)</f>
        <v/>
      </c>
      <c r="L777" s="5">
        <f>+VLOOKUP($A777,MAGAZZINO!$B$2:$M$100000,12,FALSE)</f>
        <v/>
      </c>
      <c r="M777" s="47" t="n"/>
      <c r="N777" s="54" t="n"/>
      <c r="O777" s="3" t="n"/>
      <c r="P777" s="149" t="n"/>
      <c r="Q777" s="150" t="n"/>
      <c r="R777" s="150" t="n"/>
      <c r="S777" s="151" t="n"/>
    </row>
    <row r="778" ht="36" customHeight="1">
      <c r="A778" s="46" t="n">
        <v>3108</v>
      </c>
      <c r="B778" s="4">
        <f>+VLOOKUP($A778,MAGAZZINO!$B$2:$M$100000,2,FALSE)</f>
        <v/>
      </c>
      <c r="C778" s="29">
        <f>+VLOOKUP($A778,MAGAZZINO!$B$2:$M$100000,3,FALSE)</f>
        <v/>
      </c>
      <c r="D778" s="3">
        <f>+VLOOKUP($A778,MAGAZZINO!$B$2:$M$100000,4,FALSE)</f>
        <v/>
      </c>
      <c r="E778" s="3">
        <f>+VLOOKUP($A778,MAGAZZINO!$B$2:$M$100000,5,FALSE)</f>
        <v/>
      </c>
      <c r="F778" s="3">
        <f>+VLOOKUP($A778,MAGAZZINO!$B$2:$M$100000,6,FALSE)</f>
        <v/>
      </c>
      <c r="G778" s="3">
        <f>+VLOOKUP($A778,MAGAZZINO!$B$2:$M$100000,7,FALSE)</f>
        <v/>
      </c>
      <c r="H778" s="3">
        <f>+VLOOKUP($A778,MAGAZZINO!$B$2:$M$100000,8,FALSE)</f>
        <v/>
      </c>
      <c r="I778" s="3">
        <f>+VLOOKUP($A778,MAGAZZINO!$B$2:$M$100000,9,FALSE)</f>
        <v/>
      </c>
      <c r="J778" s="3">
        <f>+VLOOKUP($A778,MAGAZZINO!$B$2:$M$100000,10,FALSE)</f>
        <v/>
      </c>
      <c r="K778" s="3">
        <f>+VLOOKUP($A778,MAGAZZINO!$B$2:$M$100000,11,FALSE)</f>
        <v/>
      </c>
      <c r="L778" s="5">
        <f>+VLOOKUP($A778,MAGAZZINO!$B$2:$M$100000,12,FALSE)</f>
        <v/>
      </c>
      <c r="M778" s="47" t="n"/>
      <c r="N778" s="54" t="n"/>
      <c r="O778" s="3" t="n"/>
      <c r="P778" s="149" t="n"/>
      <c r="Q778" s="150" t="n"/>
      <c r="R778" s="150" t="n"/>
      <c r="S778" s="151" t="n"/>
    </row>
    <row r="779" ht="36" customHeight="1">
      <c r="A779" s="46" t="n">
        <v>3109</v>
      </c>
      <c r="B779" s="4">
        <f>+VLOOKUP($A779,MAGAZZINO!$B$2:$M$100000,2,FALSE)</f>
        <v/>
      </c>
      <c r="C779" s="29">
        <f>+VLOOKUP($A779,MAGAZZINO!$B$2:$M$100000,3,FALSE)</f>
        <v/>
      </c>
      <c r="D779" s="3">
        <f>+VLOOKUP($A779,MAGAZZINO!$B$2:$M$100000,4,FALSE)</f>
        <v/>
      </c>
      <c r="E779" s="3">
        <f>+VLOOKUP($A779,MAGAZZINO!$B$2:$M$100000,5,FALSE)</f>
        <v/>
      </c>
      <c r="F779" s="3">
        <f>+VLOOKUP($A779,MAGAZZINO!$B$2:$M$100000,6,FALSE)</f>
        <v/>
      </c>
      <c r="G779" s="3">
        <f>+VLOOKUP($A779,MAGAZZINO!$B$2:$M$100000,7,FALSE)</f>
        <v/>
      </c>
      <c r="H779" s="3">
        <f>+VLOOKUP($A779,MAGAZZINO!$B$2:$M$100000,8,FALSE)</f>
        <v/>
      </c>
      <c r="I779" s="3">
        <f>+VLOOKUP($A779,MAGAZZINO!$B$2:$M$100000,9,FALSE)</f>
        <v/>
      </c>
      <c r="J779" s="3">
        <f>+VLOOKUP($A779,MAGAZZINO!$B$2:$M$100000,10,FALSE)</f>
        <v/>
      </c>
      <c r="K779" s="3">
        <f>+VLOOKUP($A779,MAGAZZINO!$B$2:$M$100000,11,FALSE)</f>
        <v/>
      </c>
      <c r="L779" s="5">
        <f>+VLOOKUP($A779,MAGAZZINO!$B$2:$M$100000,12,FALSE)</f>
        <v/>
      </c>
      <c r="M779" s="47" t="n"/>
      <c r="N779" s="54" t="n"/>
      <c r="O779" s="3" t="n"/>
      <c r="P779" s="149" t="n"/>
      <c r="Q779" s="150" t="n"/>
      <c r="R779" s="150" t="n"/>
      <c r="S779" s="151" t="n"/>
    </row>
    <row r="780" ht="36" customHeight="1">
      <c r="A780" s="46" t="n">
        <v>3110</v>
      </c>
      <c r="B780" s="4">
        <f>+VLOOKUP($A780,MAGAZZINO!$B$2:$M$100000,2,FALSE)</f>
        <v/>
      </c>
      <c r="C780" s="29">
        <f>+VLOOKUP($A780,MAGAZZINO!$B$2:$M$100000,3,FALSE)</f>
        <v/>
      </c>
      <c r="D780" s="3">
        <f>+VLOOKUP($A780,MAGAZZINO!$B$2:$M$100000,4,FALSE)</f>
        <v/>
      </c>
      <c r="E780" s="3">
        <f>+VLOOKUP($A780,MAGAZZINO!$B$2:$M$100000,5,FALSE)</f>
        <v/>
      </c>
      <c r="F780" s="3">
        <f>+VLOOKUP($A780,MAGAZZINO!$B$2:$M$100000,6,FALSE)</f>
        <v/>
      </c>
      <c r="G780" s="3">
        <f>+VLOOKUP($A780,MAGAZZINO!$B$2:$M$100000,7,FALSE)</f>
        <v/>
      </c>
      <c r="H780" s="3">
        <f>+VLOOKUP($A780,MAGAZZINO!$B$2:$M$100000,8,FALSE)</f>
        <v/>
      </c>
      <c r="I780" s="3">
        <f>+VLOOKUP($A780,MAGAZZINO!$B$2:$M$100000,9,FALSE)</f>
        <v/>
      </c>
      <c r="J780" s="3">
        <f>+VLOOKUP($A780,MAGAZZINO!$B$2:$M$100000,10,FALSE)</f>
        <v/>
      </c>
      <c r="K780" s="3">
        <f>+VLOOKUP($A780,MAGAZZINO!$B$2:$M$100000,11,FALSE)</f>
        <v/>
      </c>
      <c r="L780" s="5">
        <f>+VLOOKUP($A780,MAGAZZINO!$B$2:$M$100000,12,FALSE)</f>
        <v/>
      </c>
      <c r="M780" s="47" t="n"/>
      <c r="N780" s="54" t="n"/>
      <c r="O780" s="3" t="n"/>
      <c r="P780" s="149" t="n"/>
      <c r="Q780" s="150" t="n"/>
      <c r="R780" s="150" t="n"/>
      <c r="S780" s="151" t="n"/>
    </row>
    <row r="781" ht="36" customHeight="1">
      <c r="A781" s="46" t="n">
        <v>3111</v>
      </c>
      <c r="B781" s="4">
        <f>+VLOOKUP($A781,MAGAZZINO!$B$2:$M$100000,2,FALSE)</f>
        <v/>
      </c>
      <c r="C781" s="29">
        <f>+VLOOKUP($A781,MAGAZZINO!$B$2:$M$100000,3,FALSE)</f>
        <v/>
      </c>
      <c r="D781" s="3">
        <f>+VLOOKUP($A781,MAGAZZINO!$B$2:$M$100000,4,FALSE)</f>
        <v/>
      </c>
      <c r="E781" s="3">
        <f>+VLOOKUP($A781,MAGAZZINO!$B$2:$M$100000,5,FALSE)</f>
        <v/>
      </c>
      <c r="F781" s="3">
        <f>+VLOOKUP($A781,MAGAZZINO!$B$2:$M$100000,6,FALSE)</f>
        <v/>
      </c>
      <c r="G781" s="3">
        <f>+VLOOKUP($A781,MAGAZZINO!$B$2:$M$100000,7,FALSE)</f>
        <v/>
      </c>
      <c r="H781" s="3">
        <f>+VLOOKUP($A781,MAGAZZINO!$B$2:$M$100000,8,FALSE)</f>
        <v/>
      </c>
      <c r="I781" s="3">
        <f>+VLOOKUP($A781,MAGAZZINO!$B$2:$M$100000,9,FALSE)</f>
        <v/>
      </c>
      <c r="J781" s="3">
        <f>+VLOOKUP($A781,MAGAZZINO!$B$2:$M$100000,10,FALSE)</f>
        <v/>
      </c>
      <c r="K781" s="3">
        <f>+VLOOKUP($A781,MAGAZZINO!$B$2:$M$100000,11,FALSE)</f>
        <v/>
      </c>
      <c r="L781" s="5">
        <f>+VLOOKUP($A781,MAGAZZINO!$B$2:$M$100000,12,FALSE)</f>
        <v/>
      </c>
      <c r="M781" s="47" t="n"/>
      <c r="N781" s="54" t="n"/>
      <c r="O781" s="3" t="n"/>
      <c r="P781" s="149" t="n"/>
      <c r="Q781" s="150" t="n"/>
      <c r="R781" s="150" t="n"/>
      <c r="S781" s="151" t="n"/>
    </row>
    <row r="782" ht="36" customHeight="1">
      <c r="A782" s="46" t="n">
        <v>3112</v>
      </c>
      <c r="B782" s="4">
        <f>+VLOOKUP($A782,MAGAZZINO!$B$2:$M$100000,2,FALSE)</f>
        <v/>
      </c>
      <c r="C782" s="29">
        <f>+VLOOKUP($A782,MAGAZZINO!$B$2:$M$100000,3,FALSE)</f>
        <v/>
      </c>
      <c r="D782" s="3">
        <f>+VLOOKUP($A782,MAGAZZINO!$B$2:$M$100000,4,FALSE)</f>
        <v/>
      </c>
      <c r="E782" s="3">
        <f>+VLOOKUP($A782,MAGAZZINO!$B$2:$M$100000,5,FALSE)</f>
        <v/>
      </c>
      <c r="F782" s="3">
        <f>+VLOOKUP($A782,MAGAZZINO!$B$2:$M$100000,6,FALSE)</f>
        <v/>
      </c>
      <c r="G782" s="3">
        <f>+VLOOKUP($A782,MAGAZZINO!$B$2:$M$100000,7,FALSE)</f>
        <v/>
      </c>
      <c r="H782" s="3">
        <f>+VLOOKUP($A782,MAGAZZINO!$B$2:$M$100000,8,FALSE)</f>
        <v/>
      </c>
      <c r="I782" s="3">
        <f>+VLOOKUP($A782,MAGAZZINO!$B$2:$M$100000,9,FALSE)</f>
        <v/>
      </c>
      <c r="J782" s="3">
        <f>+VLOOKUP($A782,MAGAZZINO!$B$2:$M$100000,10,FALSE)</f>
        <v/>
      </c>
      <c r="K782" s="3">
        <f>+VLOOKUP($A782,MAGAZZINO!$B$2:$M$100000,11,FALSE)</f>
        <v/>
      </c>
      <c r="L782" s="5">
        <f>+VLOOKUP($A782,MAGAZZINO!$B$2:$M$100000,12,FALSE)</f>
        <v/>
      </c>
      <c r="M782" s="47" t="n"/>
      <c r="N782" s="54" t="n"/>
      <c r="O782" s="3" t="n"/>
      <c r="P782" s="149" t="n"/>
      <c r="Q782" s="150" t="n"/>
      <c r="R782" s="150" t="n"/>
      <c r="S782" s="151" t="n"/>
    </row>
    <row r="783" ht="36" customHeight="1">
      <c r="A783" s="46" t="n">
        <v>3113</v>
      </c>
      <c r="B783" s="4">
        <f>+VLOOKUP($A783,MAGAZZINO!$B$2:$M$100000,2,FALSE)</f>
        <v/>
      </c>
      <c r="C783" s="29">
        <f>+VLOOKUP($A783,MAGAZZINO!$B$2:$M$100000,3,FALSE)</f>
        <v/>
      </c>
      <c r="D783" s="3">
        <f>+VLOOKUP($A783,MAGAZZINO!$B$2:$M$100000,4,FALSE)</f>
        <v/>
      </c>
      <c r="E783" s="3">
        <f>+VLOOKUP($A783,MAGAZZINO!$B$2:$M$100000,5,FALSE)</f>
        <v/>
      </c>
      <c r="F783" s="3">
        <f>+VLOOKUP($A783,MAGAZZINO!$B$2:$M$100000,6,FALSE)</f>
        <v/>
      </c>
      <c r="G783" s="3">
        <f>+VLOOKUP($A783,MAGAZZINO!$B$2:$M$100000,7,FALSE)</f>
        <v/>
      </c>
      <c r="H783" s="3">
        <f>+VLOOKUP($A783,MAGAZZINO!$B$2:$M$100000,8,FALSE)</f>
        <v/>
      </c>
      <c r="I783" s="3">
        <f>+VLOOKUP($A783,MAGAZZINO!$B$2:$M$100000,9,FALSE)</f>
        <v/>
      </c>
      <c r="J783" s="3">
        <f>+VLOOKUP($A783,MAGAZZINO!$B$2:$M$100000,10,FALSE)</f>
        <v/>
      </c>
      <c r="K783" s="3">
        <f>+VLOOKUP($A783,MAGAZZINO!$B$2:$M$100000,11,FALSE)</f>
        <v/>
      </c>
      <c r="L783" s="5">
        <f>+VLOOKUP($A783,MAGAZZINO!$B$2:$M$100000,12,FALSE)</f>
        <v/>
      </c>
      <c r="M783" s="47" t="n"/>
      <c r="N783" s="54" t="n"/>
      <c r="O783" s="3" t="n"/>
      <c r="P783" s="149" t="n"/>
      <c r="Q783" s="150" t="n"/>
      <c r="R783" s="150" t="n"/>
      <c r="S783" s="151" t="n"/>
    </row>
    <row r="784" ht="36" customHeight="1">
      <c r="A784" s="46" t="n">
        <v>3114</v>
      </c>
      <c r="B784" s="4">
        <f>+VLOOKUP($A784,MAGAZZINO!$B$2:$M$100000,2,FALSE)</f>
        <v/>
      </c>
      <c r="C784" s="29">
        <f>+VLOOKUP($A784,MAGAZZINO!$B$2:$M$100000,3,FALSE)</f>
        <v/>
      </c>
      <c r="D784" s="3">
        <f>+VLOOKUP($A784,MAGAZZINO!$B$2:$M$100000,4,FALSE)</f>
        <v/>
      </c>
      <c r="E784" s="3">
        <f>+VLOOKUP($A784,MAGAZZINO!$B$2:$M$100000,5,FALSE)</f>
        <v/>
      </c>
      <c r="F784" s="3">
        <f>+VLOOKUP($A784,MAGAZZINO!$B$2:$M$100000,6,FALSE)</f>
        <v/>
      </c>
      <c r="G784" s="3">
        <f>+VLOOKUP($A784,MAGAZZINO!$B$2:$M$100000,7,FALSE)</f>
        <v/>
      </c>
      <c r="H784" s="3">
        <f>+VLOOKUP($A784,MAGAZZINO!$B$2:$M$100000,8,FALSE)</f>
        <v/>
      </c>
      <c r="I784" s="3">
        <f>+VLOOKUP($A784,MAGAZZINO!$B$2:$M$100000,9,FALSE)</f>
        <v/>
      </c>
      <c r="J784" s="3">
        <f>+VLOOKUP($A784,MAGAZZINO!$B$2:$M$100000,10,FALSE)</f>
        <v/>
      </c>
      <c r="K784" s="3">
        <f>+VLOOKUP($A784,MAGAZZINO!$B$2:$M$100000,11,FALSE)</f>
        <v/>
      </c>
      <c r="L784" s="5">
        <f>+VLOOKUP($A784,MAGAZZINO!$B$2:$M$100000,12,FALSE)</f>
        <v/>
      </c>
      <c r="M784" s="47" t="n"/>
      <c r="N784" s="54" t="n"/>
      <c r="O784" s="3" t="n"/>
      <c r="P784" s="149" t="n"/>
      <c r="Q784" s="150" t="n"/>
      <c r="R784" s="150" t="n"/>
      <c r="S784" s="151" t="n"/>
    </row>
    <row r="785" ht="36" customHeight="1">
      <c r="A785" s="46" t="n">
        <v>3115</v>
      </c>
      <c r="B785" s="4">
        <f>+VLOOKUP($A785,MAGAZZINO!$B$2:$M$100000,2,FALSE)</f>
        <v/>
      </c>
      <c r="C785" s="29">
        <f>+VLOOKUP($A785,MAGAZZINO!$B$2:$M$100000,3,FALSE)</f>
        <v/>
      </c>
      <c r="D785" s="3">
        <f>+VLOOKUP($A785,MAGAZZINO!$B$2:$M$100000,4,FALSE)</f>
        <v/>
      </c>
      <c r="E785" s="3">
        <f>+VLOOKUP($A785,MAGAZZINO!$B$2:$M$100000,5,FALSE)</f>
        <v/>
      </c>
      <c r="F785" s="3">
        <f>+VLOOKUP($A785,MAGAZZINO!$B$2:$M$100000,6,FALSE)</f>
        <v/>
      </c>
      <c r="G785" s="3">
        <f>+VLOOKUP($A785,MAGAZZINO!$B$2:$M$100000,7,FALSE)</f>
        <v/>
      </c>
      <c r="H785" s="3">
        <f>+VLOOKUP($A785,MAGAZZINO!$B$2:$M$100000,8,FALSE)</f>
        <v/>
      </c>
      <c r="I785" s="3">
        <f>+VLOOKUP($A785,MAGAZZINO!$B$2:$M$100000,9,FALSE)</f>
        <v/>
      </c>
      <c r="J785" s="3">
        <f>+VLOOKUP($A785,MAGAZZINO!$B$2:$M$100000,10,FALSE)</f>
        <v/>
      </c>
      <c r="K785" s="3">
        <f>+VLOOKUP($A785,MAGAZZINO!$B$2:$M$100000,11,FALSE)</f>
        <v/>
      </c>
      <c r="L785" s="5">
        <f>+VLOOKUP($A785,MAGAZZINO!$B$2:$M$100000,12,FALSE)</f>
        <v/>
      </c>
      <c r="M785" s="47" t="n"/>
      <c r="N785" s="54" t="n"/>
      <c r="O785" s="3" t="n"/>
      <c r="P785" s="149" t="n"/>
      <c r="Q785" s="150" t="n"/>
      <c r="R785" s="150" t="n"/>
      <c r="S785" s="151" t="n"/>
    </row>
    <row r="786" ht="36" customHeight="1">
      <c r="A786" s="46" t="n">
        <v>3116</v>
      </c>
      <c r="B786" s="4">
        <f>+VLOOKUP($A786,MAGAZZINO!$B$2:$M$100000,2,FALSE)</f>
        <v/>
      </c>
      <c r="C786" s="29">
        <f>+VLOOKUP($A786,MAGAZZINO!$B$2:$M$100000,3,FALSE)</f>
        <v/>
      </c>
      <c r="D786" s="3">
        <f>+VLOOKUP($A786,MAGAZZINO!$B$2:$M$100000,4,FALSE)</f>
        <v/>
      </c>
      <c r="E786" s="3">
        <f>+VLOOKUP($A786,MAGAZZINO!$B$2:$M$100000,5,FALSE)</f>
        <v/>
      </c>
      <c r="F786" s="3">
        <f>+VLOOKUP($A786,MAGAZZINO!$B$2:$M$100000,6,FALSE)</f>
        <v/>
      </c>
      <c r="G786" s="3">
        <f>+VLOOKUP($A786,MAGAZZINO!$B$2:$M$100000,7,FALSE)</f>
        <v/>
      </c>
      <c r="H786" s="3">
        <f>+VLOOKUP($A786,MAGAZZINO!$B$2:$M$100000,8,FALSE)</f>
        <v/>
      </c>
      <c r="I786" s="3">
        <f>+VLOOKUP($A786,MAGAZZINO!$B$2:$M$100000,9,FALSE)</f>
        <v/>
      </c>
      <c r="J786" s="3">
        <f>+VLOOKUP($A786,MAGAZZINO!$B$2:$M$100000,10,FALSE)</f>
        <v/>
      </c>
      <c r="K786" s="3">
        <f>+VLOOKUP($A786,MAGAZZINO!$B$2:$M$100000,11,FALSE)</f>
        <v/>
      </c>
      <c r="L786" s="5">
        <f>+VLOOKUP($A786,MAGAZZINO!$B$2:$M$100000,12,FALSE)</f>
        <v/>
      </c>
      <c r="M786" s="47" t="n"/>
      <c r="N786" s="54" t="n"/>
      <c r="O786" s="3" t="n"/>
      <c r="P786" s="149" t="n"/>
      <c r="Q786" s="150" t="n"/>
      <c r="R786" s="150" t="n"/>
      <c r="S786" s="151" t="n"/>
    </row>
    <row r="787" ht="36" customHeight="1">
      <c r="A787" s="46" t="n">
        <v>3117</v>
      </c>
      <c r="B787" s="4">
        <f>+VLOOKUP($A787,MAGAZZINO!$B$2:$M$100000,2,FALSE)</f>
        <v/>
      </c>
      <c r="C787" s="29">
        <f>+VLOOKUP($A787,MAGAZZINO!$B$2:$M$100000,3,FALSE)</f>
        <v/>
      </c>
      <c r="D787" s="3">
        <f>+VLOOKUP($A787,MAGAZZINO!$B$2:$M$100000,4,FALSE)</f>
        <v/>
      </c>
      <c r="E787" s="3">
        <f>+VLOOKUP($A787,MAGAZZINO!$B$2:$M$100000,5,FALSE)</f>
        <v/>
      </c>
      <c r="F787" s="3">
        <f>+VLOOKUP($A787,MAGAZZINO!$B$2:$M$100000,6,FALSE)</f>
        <v/>
      </c>
      <c r="G787" s="3">
        <f>+VLOOKUP($A787,MAGAZZINO!$B$2:$M$100000,7,FALSE)</f>
        <v/>
      </c>
      <c r="H787" s="3">
        <f>+VLOOKUP($A787,MAGAZZINO!$B$2:$M$100000,8,FALSE)</f>
        <v/>
      </c>
      <c r="I787" s="3">
        <f>+VLOOKUP($A787,MAGAZZINO!$B$2:$M$100000,9,FALSE)</f>
        <v/>
      </c>
      <c r="J787" s="3">
        <f>+VLOOKUP($A787,MAGAZZINO!$B$2:$M$100000,10,FALSE)</f>
        <v/>
      </c>
      <c r="K787" s="3">
        <f>+VLOOKUP($A787,MAGAZZINO!$B$2:$M$100000,11,FALSE)</f>
        <v/>
      </c>
      <c r="L787" s="5">
        <f>+VLOOKUP($A787,MAGAZZINO!$B$2:$M$100000,12,FALSE)</f>
        <v/>
      </c>
      <c r="M787" s="47" t="n"/>
      <c r="N787" s="54" t="n"/>
      <c r="O787" s="3" t="n"/>
      <c r="P787" s="149" t="n"/>
      <c r="Q787" s="150" t="n"/>
      <c r="R787" s="150" t="n"/>
      <c r="S787" s="151" t="n"/>
    </row>
    <row r="788" ht="36" customHeight="1">
      <c r="A788" s="46" t="n">
        <v>3118</v>
      </c>
      <c r="B788" s="4">
        <f>+VLOOKUP($A788,MAGAZZINO!$B$2:$M$100000,2,FALSE)</f>
        <v/>
      </c>
      <c r="C788" s="29">
        <f>+VLOOKUP($A788,MAGAZZINO!$B$2:$M$100000,3,FALSE)</f>
        <v/>
      </c>
      <c r="D788" s="3">
        <f>+VLOOKUP($A788,MAGAZZINO!$B$2:$M$100000,4,FALSE)</f>
        <v/>
      </c>
      <c r="E788" s="3">
        <f>+VLOOKUP($A788,MAGAZZINO!$B$2:$M$100000,5,FALSE)</f>
        <v/>
      </c>
      <c r="F788" s="3">
        <f>+VLOOKUP($A788,MAGAZZINO!$B$2:$M$100000,6,FALSE)</f>
        <v/>
      </c>
      <c r="G788" s="3">
        <f>+VLOOKUP($A788,MAGAZZINO!$B$2:$M$100000,7,FALSE)</f>
        <v/>
      </c>
      <c r="H788" s="3">
        <f>+VLOOKUP($A788,MAGAZZINO!$B$2:$M$100000,8,FALSE)</f>
        <v/>
      </c>
      <c r="I788" s="3">
        <f>+VLOOKUP($A788,MAGAZZINO!$B$2:$M$100000,9,FALSE)</f>
        <v/>
      </c>
      <c r="J788" s="3">
        <f>+VLOOKUP($A788,MAGAZZINO!$B$2:$M$100000,10,FALSE)</f>
        <v/>
      </c>
      <c r="K788" s="3">
        <f>+VLOOKUP($A788,MAGAZZINO!$B$2:$M$100000,11,FALSE)</f>
        <v/>
      </c>
      <c r="L788" s="5">
        <f>+VLOOKUP($A788,MAGAZZINO!$B$2:$M$100000,12,FALSE)</f>
        <v/>
      </c>
      <c r="M788" s="47" t="n"/>
      <c r="N788" s="54" t="n"/>
      <c r="O788" s="3" t="n"/>
      <c r="P788" s="149" t="n"/>
      <c r="Q788" s="150" t="n"/>
      <c r="R788" s="150" t="n"/>
      <c r="S788" s="151" t="n"/>
    </row>
    <row r="789" ht="36" customHeight="1">
      <c r="A789" s="46" t="n">
        <v>3119</v>
      </c>
      <c r="B789" s="4">
        <f>+VLOOKUP($A789,MAGAZZINO!$B$2:$M$100000,2,FALSE)</f>
        <v/>
      </c>
      <c r="C789" s="29">
        <f>+VLOOKUP($A789,MAGAZZINO!$B$2:$M$100000,3,FALSE)</f>
        <v/>
      </c>
      <c r="D789" s="3">
        <f>+VLOOKUP($A789,MAGAZZINO!$B$2:$M$100000,4,FALSE)</f>
        <v/>
      </c>
      <c r="E789" s="3">
        <f>+VLOOKUP($A789,MAGAZZINO!$B$2:$M$100000,5,FALSE)</f>
        <v/>
      </c>
      <c r="F789" s="3">
        <f>+VLOOKUP($A789,MAGAZZINO!$B$2:$M$100000,6,FALSE)</f>
        <v/>
      </c>
      <c r="G789" s="3">
        <f>+VLOOKUP($A789,MAGAZZINO!$B$2:$M$100000,7,FALSE)</f>
        <v/>
      </c>
      <c r="H789" s="3">
        <f>+VLOOKUP($A789,MAGAZZINO!$B$2:$M$100000,8,FALSE)</f>
        <v/>
      </c>
      <c r="I789" s="3">
        <f>+VLOOKUP($A789,MAGAZZINO!$B$2:$M$100000,9,FALSE)</f>
        <v/>
      </c>
      <c r="J789" s="3">
        <f>+VLOOKUP($A789,MAGAZZINO!$B$2:$M$100000,10,FALSE)</f>
        <v/>
      </c>
      <c r="K789" s="3">
        <f>+VLOOKUP($A789,MAGAZZINO!$B$2:$M$100000,11,FALSE)</f>
        <v/>
      </c>
      <c r="L789" s="5">
        <f>+VLOOKUP($A789,MAGAZZINO!$B$2:$M$100000,12,FALSE)</f>
        <v/>
      </c>
      <c r="M789" s="47" t="n"/>
      <c r="N789" s="54" t="n"/>
      <c r="O789" s="3" t="n"/>
      <c r="P789" s="149" t="n"/>
      <c r="Q789" s="150" t="n"/>
      <c r="R789" s="150" t="n"/>
      <c r="S789" s="151" t="n"/>
    </row>
    <row r="790" ht="36" customHeight="1">
      <c r="A790" s="46" t="n">
        <v>3120</v>
      </c>
      <c r="B790" s="4">
        <f>+VLOOKUP($A790,MAGAZZINO!$B$2:$M$100000,2,FALSE)</f>
        <v/>
      </c>
      <c r="C790" s="29">
        <f>+VLOOKUP($A790,MAGAZZINO!$B$2:$M$100000,3,FALSE)</f>
        <v/>
      </c>
      <c r="D790" s="3">
        <f>+VLOOKUP($A790,MAGAZZINO!$B$2:$M$100000,4,FALSE)</f>
        <v/>
      </c>
      <c r="E790" s="3">
        <f>+VLOOKUP($A790,MAGAZZINO!$B$2:$M$100000,5,FALSE)</f>
        <v/>
      </c>
      <c r="F790" s="3">
        <f>+VLOOKUP($A790,MAGAZZINO!$B$2:$M$100000,6,FALSE)</f>
        <v/>
      </c>
      <c r="G790" s="3">
        <f>+VLOOKUP($A790,MAGAZZINO!$B$2:$M$100000,7,FALSE)</f>
        <v/>
      </c>
      <c r="H790" s="3">
        <f>+VLOOKUP($A790,MAGAZZINO!$B$2:$M$100000,8,FALSE)</f>
        <v/>
      </c>
      <c r="I790" s="3">
        <f>+VLOOKUP($A790,MAGAZZINO!$B$2:$M$100000,9,FALSE)</f>
        <v/>
      </c>
      <c r="J790" s="3">
        <f>+VLOOKUP($A790,MAGAZZINO!$B$2:$M$100000,10,FALSE)</f>
        <v/>
      </c>
      <c r="K790" s="3">
        <f>+VLOOKUP($A790,MAGAZZINO!$B$2:$M$100000,11,FALSE)</f>
        <v/>
      </c>
      <c r="L790" s="5">
        <f>+VLOOKUP($A790,MAGAZZINO!$B$2:$M$100000,12,FALSE)</f>
        <v/>
      </c>
      <c r="M790" s="47" t="n"/>
      <c r="N790" s="54" t="n"/>
      <c r="O790" s="3" t="n"/>
      <c r="P790" s="149" t="n"/>
      <c r="Q790" s="150" t="n"/>
      <c r="R790" s="150" t="n"/>
      <c r="S790" s="151" t="n"/>
    </row>
    <row r="791" ht="36" customHeight="1">
      <c r="A791" s="46" t="n">
        <v>3121</v>
      </c>
      <c r="B791" s="4">
        <f>+VLOOKUP($A791,MAGAZZINO!$B$2:$M$100000,2,FALSE)</f>
        <v/>
      </c>
      <c r="C791" s="29">
        <f>+VLOOKUP($A791,MAGAZZINO!$B$2:$M$100000,3,FALSE)</f>
        <v/>
      </c>
      <c r="D791" s="3">
        <f>+VLOOKUP($A791,MAGAZZINO!$B$2:$M$100000,4,FALSE)</f>
        <v/>
      </c>
      <c r="E791" s="3">
        <f>+VLOOKUP($A791,MAGAZZINO!$B$2:$M$100000,5,FALSE)</f>
        <v/>
      </c>
      <c r="F791" s="3">
        <f>+VLOOKUP($A791,MAGAZZINO!$B$2:$M$100000,6,FALSE)</f>
        <v/>
      </c>
      <c r="G791" s="3">
        <f>+VLOOKUP($A791,MAGAZZINO!$B$2:$M$100000,7,FALSE)</f>
        <v/>
      </c>
      <c r="H791" s="3">
        <f>+VLOOKUP($A791,MAGAZZINO!$B$2:$M$100000,8,FALSE)</f>
        <v/>
      </c>
      <c r="I791" s="3">
        <f>+VLOOKUP($A791,MAGAZZINO!$B$2:$M$100000,9,FALSE)</f>
        <v/>
      </c>
      <c r="J791" s="3">
        <f>+VLOOKUP($A791,MAGAZZINO!$B$2:$M$100000,10,FALSE)</f>
        <v/>
      </c>
      <c r="K791" s="3">
        <f>+VLOOKUP($A791,MAGAZZINO!$B$2:$M$100000,11,FALSE)</f>
        <v/>
      </c>
      <c r="L791" s="5">
        <f>+VLOOKUP($A791,MAGAZZINO!$B$2:$M$100000,12,FALSE)</f>
        <v/>
      </c>
      <c r="M791" s="47" t="n"/>
      <c r="N791" s="54" t="n"/>
      <c r="O791" s="3" t="n"/>
      <c r="P791" s="149" t="n"/>
      <c r="Q791" s="150" t="n"/>
      <c r="R791" s="150" t="n"/>
      <c r="S791" s="151" t="n"/>
    </row>
    <row r="792" ht="36" customHeight="1">
      <c r="A792" s="46" t="n">
        <v>3122</v>
      </c>
      <c r="B792" s="4">
        <f>+VLOOKUP($A792,MAGAZZINO!$B$2:$M$100000,2,FALSE)</f>
        <v/>
      </c>
      <c r="C792" s="29">
        <f>+VLOOKUP($A792,MAGAZZINO!$B$2:$M$100000,3,FALSE)</f>
        <v/>
      </c>
      <c r="D792" s="3">
        <f>+VLOOKUP($A792,MAGAZZINO!$B$2:$M$100000,4,FALSE)</f>
        <v/>
      </c>
      <c r="E792" s="3">
        <f>+VLOOKUP($A792,MAGAZZINO!$B$2:$M$100000,5,FALSE)</f>
        <v/>
      </c>
      <c r="F792" s="3">
        <f>+VLOOKUP($A792,MAGAZZINO!$B$2:$M$100000,6,FALSE)</f>
        <v/>
      </c>
      <c r="G792" s="3">
        <f>+VLOOKUP($A792,MAGAZZINO!$B$2:$M$100000,7,FALSE)</f>
        <v/>
      </c>
      <c r="H792" s="3">
        <f>+VLOOKUP($A792,MAGAZZINO!$B$2:$M$100000,8,FALSE)</f>
        <v/>
      </c>
      <c r="I792" s="3">
        <f>+VLOOKUP($A792,MAGAZZINO!$B$2:$M$100000,9,FALSE)</f>
        <v/>
      </c>
      <c r="J792" s="3">
        <f>+VLOOKUP($A792,MAGAZZINO!$B$2:$M$100000,10,FALSE)</f>
        <v/>
      </c>
      <c r="K792" s="3">
        <f>+VLOOKUP($A792,MAGAZZINO!$B$2:$M$100000,11,FALSE)</f>
        <v/>
      </c>
      <c r="L792" s="5">
        <f>+VLOOKUP($A792,MAGAZZINO!$B$2:$M$100000,12,FALSE)</f>
        <v/>
      </c>
      <c r="M792" s="47" t="n"/>
      <c r="N792" s="54" t="n"/>
      <c r="O792" s="3" t="n"/>
      <c r="P792" s="149" t="n"/>
      <c r="Q792" s="150" t="n"/>
      <c r="R792" s="150" t="n"/>
      <c r="S792" s="151" t="n"/>
    </row>
    <row r="793" ht="36" customHeight="1">
      <c r="A793" s="46" t="n">
        <v>3123</v>
      </c>
      <c r="B793" s="4">
        <f>+VLOOKUP($A793,MAGAZZINO!$B$2:$M$100000,2,FALSE)</f>
        <v/>
      </c>
      <c r="C793" s="29">
        <f>+VLOOKUP($A793,MAGAZZINO!$B$2:$M$100000,3,FALSE)</f>
        <v/>
      </c>
      <c r="D793" s="3">
        <f>+VLOOKUP($A793,MAGAZZINO!$B$2:$M$100000,4,FALSE)</f>
        <v/>
      </c>
      <c r="E793" s="3">
        <f>+VLOOKUP($A793,MAGAZZINO!$B$2:$M$100000,5,FALSE)</f>
        <v/>
      </c>
      <c r="F793" s="3">
        <f>+VLOOKUP($A793,MAGAZZINO!$B$2:$M$100000,6,FALSE)</f>
        <v/>
      </c>
      <c r="G793" s="3">
        <f>+VLOOKUP($A793,MAGAZZINO!$B$2:$M$100000,7,FALSE)</f>
        <v/>
      </c>
      <c r="H793" s="3">
        <f>+VLOOKUP($A793,MAGAZZINO!$B$2:$M$100000,8,FALSE)</f>
        <v/>
      </c>
      <c r="I793" s="3">
        <f>+VLOOKUP($A793,MAGAZZINO!$B$2:$M$100000,9,FALSE)</f>
        <v/>
      </c>
      <c r="J793" s="3">
        <f>+VLOOKUP($A793,MAGAZZINO!$B$2:$M$100000,10,FALSE)</f>
        <v/>
      </c>
      <c r="K793" s="3">
        <f>+VLOOKUP($A793,MAGAZZINO!$B$2:$M$100000,11,FALSE)</f>
        <v/>
      </c>
      <c r="L793" s="5">
        <f>+VLOOKUP($A793,MAGAZZINO!$B$2:$M$100000,12,FALSE)</f>
        <v/>
      </c>
      <c r="M793" s="47" t="n"/>
      <c r="N793" s="54" t="n"/>
      <c r="O793" s="3" t="n"/>
      <c r="P793" s="149" t="n"/>
      <c r="Q793" s="150" t="n"/>
      <c r="R793" s="150" t="n"/>
      <c r="S793" s="151" t="n"/>
    </row>
    <row r="794" ht="36" customHeight="1">
      <c r="A794" s="46" t="n">
        <v>3124</v>
      </c>
      <c r="B794" s="4">
        <f>+VLOOKUP($A794,MAGAZZINO!$B$2:$M$100000,2,FALSE)</f>
        <v/>
      </c>
      <c r="C794" s="29">
        <f>+VLOOKUP($A794,MAGAZZINO!$B$2:$M$100000,3,FALSE)</f>
        <v/>
      </c>
      <c r="D794" s="3">
        <f>+VLOOKUP($A794,MAGAZZINO!$B$2:$M$100000,4,FALSE)</f>
        <v/>
      </c>
      <c r="E794" s="3">
        <f>+VLOOKUP($A794,MAGAZZINO!$B$2:$M$100000,5,FALSE)</f>
        <v/>
      </c>
      <c r="F794" s="3">
        <f>+VLOOKUP($A794,MAGAZZINO!$B$2:$M$100000,6,FALSE)</f>
        <v/>
      </c>
      <c r="G794" s="3">
        <f>+VLOOKUP($A794,MAGAZZINO!$B$2:$M$100000,7,FALSE)</f>
        <v/>
      </c>
      <c r="H794" s="3">
        <f>+VLOOKUP($A794,MAGAZZINO!$B$2:$M$100000,8,FALSE)</f>
        <v/>
      </c>
      <c r="I794" s="3">
        <f>+VLOOKUP($A794,MAGAZZINO!$B$2:$M$100000,9,FALSE)</f>
        <v/>
      </c>
      <c r="J794" s="3">
        <f>+VLOOKUP($A794,MAGAZZINO!$B$2:$M$100000,10,FALSE)</f>
        <v/>
      </c>
      <c r="K794" s="3">
        <f>+VLOOKUP($A794,MAGAZZINO!$B$2:$M$100000,11,FALSE)</f>
        <v/>
      </c>
      <c r="L794" s="5">
        <f>+VLOOKUP($A794,MAGAZZINO!$B$2:$M$100000,12,FALSE)</f>
        <v/>
      </c>
      <c r="M794" s="47" t="n"/>
      <c r="N794" s="54" t="n"/>
      <c r="O794" s="3" t="n"/>
      <c r="P794" s="149" t="n"/>
      <c r="Q794" s="150" t="n"/>
      <c r="R794" s="150" t="n"/>
      <c r="S794" s="151" t="n"/>
    </row>
    <row r="795" ht="36" customHeight="1">
      <c r="A795" s="46" t="n">
        <v>3125</v>
      </c>
      <c r="B795" s="4">
        <f>+VLOOKUP($A795,MAGAZZINO!$B$2:$M$100000,2,FALSE)</f>
        <v/>
      </c>
      <c r="C795" s="29">
        <f>+VLOOKUP($A795,MAGAZZINO!$B$2:$M$100000,3,FALSE)</f>
        <v/>
      </c>
      <c r="D795" s="3">
        <f>+VLOOKUP($A795,MAGAZZINO!$B$2:$M$100000,4,FALSE)</f>
        <v/>
      </c>
      <c r="E795" s="3">
        <f>+VLOOKUP($A795,MAGAZZINO!$B$2:$M$100000,5,FALSE)</f>
        <v/>
      </c>
      <c r="F795" s="3">
        <f>+VLOOKUP($A795,MAGAZZINO!$B$2:$M$100000,6,FALSE)</f>
        <v/>
      </c>
      <c r="G795" s="3">
        <f>+VLOOKUP($A795,MAGAZZINO!$B$2:$M$100000,7,FALSE)</f>
        <v/>
      </c>
      <c r="H795" s="3">
        <f>+VLOOKUP($A795,MAGAZZINO!$B$2:$M$100000,8,FALSE)</f>
        <v/>
      </c>
      <c r="I795" s="3">
        <f>+VLOOKUP($A795,MAGAZZINO!$B$2:$M$100000,9,FALSE)</f>
        <v/>
      </c>
      <c r="J795" s="3">
        <f>+VLOOKUP($A795,MAGAZZINO!$B$2:$M$100000,10,FALSE)</f>
        <v/>
      </c>
      <c r="K795" s="3">
        <f>+VLOOKUP($A795,MAGAZZINO!$B$2:$M$100000,11,FALSE)</f>
        <v/>
      </c>
      <c r="L795" s="5">
        <f>+VLOOKUP($A795,MAGAZZINO!$B$2:$M$100000,12,FALSE)</f>
        <v/>
      </c>
      <c r="M795" s="47" t="n"/>
      <c r="N795" s="54" t="n"/>
      <c r="O795" s="3" t="n"/>
      <c r="P795" s="149" t="n"/>
      <c r="Q795" s="150" t="n"/>
      <c r="R795" s="150" t="n"/>
      <c r="S795" s="151" t="n"/>
    </row>
    <row r="796" ht="36" customHeight="1">
      <c r="A796" s="46" t="n">
        <v>3126</v>
      </c>
      <c r="B796" s="4">
        <f>+VLOOKUP($A796,MAGAZZINO!$B$2:$M$100000,2,FALSE)</f>
        <v/>
      </c>
      <c r="C796" s="29">
        <f>+VLOOKUP($A796,MAGAZZINO!$B$2:$M$100000,3,FALSE)</f>
        <v/>
      </c>
      <c r="D796" s="3">
        <f>+VLOOKUP($A796,MAGAZZINO!$B$2:$M$100000,4,FALSE)</f>
        <v/>
      </c>
      <c r="E796" s="3">
        <f>+VLOOKUP($A796,MAGAZZINO!$B$2:$M$100000,5,FALSE)</f>
        <v/>
      </c>
      <c r="F796" s="3">
        <f>+VLOOKUP($A796,MAGAZZINO!$B$2:$M$100000,6,FALSE)</f>
        <v/>
      </c>
      <c r="G796" s="3">
        <f>+VLOOKUP($A796,MAGAZZINO!$B$2:$M$100000,7,FALSE)</f>
        <v/>
      </c>
      <c r="H796" s="3">
        <f>+VLOOKUP($A796,MAGAZZINO!$B$2:$M$100000,8,FALSE)</f>
        <v/>
      </c>
      <c r="I796" s="3">
        <f>+VLOOKUP($A796,MAGAZZINO!$B$2:$M$100000,9,FALSE)</f>
        <v/>
      </c>
      <c r="J796" s="3">
        <f>+VLOOKUP($A796,MAGAZZINO!$B$2:$M$100000,10,FALSE)</f>
        <v/>
      </c>
      <c r="K796" s="3">
        <f>+VLOOKUP($A796,MAGAZZINO!$B$2:$M$100000,11,FALSE)</f>
        <v/>
      </c>
      <c r="L796" s="5">
        <f>+VLOOKUP($A796,MAGAZZINO!$B$2:$M$100000,12,FALSE)</f>
        <v/>
      </c>
      <c r="M796" s="47" t="n"/>
      <c r="N796" s="54" t="n"/>
      <c r="O796" s="3" t="n"/>
      <c r="P796" s="149" t="n"/>
      <c r="Q796" s="150" t="n"/>
      <c r="R796" s="150" t="n"/>
      <c r="S796" s="151" t="n"/>
    </row>
    <row r="797" ht="36" customHeight="1">
      <c r="A797" s="46" t="n">
        <v>3127</v>
      </c>
      <c r="B797" s="4">
        <f>+VLOOKUP($A797,MAGAZZINO!$B$2:$M$100000,2,FALSE)</f>
        <v/>
      </c>
      <c r="C797" s="29">
        <f>+VLOOKUP($A797,MAGAZZINO!$B$2:$M$100000,3,FALSE)</f>
        <v/>
      </c>
      <c r="D797" s="3">
        <f>+VLOOKUP($A797,MAGAZZINO!$B$2:$M$100000,4,FALSE)</f>
        <v/>
      </c>
      <c r="E797" s="3">
        <f>+VLOOKUP($A797,MAGAZZINO!$B$2:$M$100000,5,FALSE)</f>
        <v/>
      </c>
      <c r="F797" s="3">
        <f>+VLOOKUP($A797,MAGAZZINO!$B$2:$M$100000,6,FALSE)</f>
        <v/>
      </c>
      <c r="G797" s="3">
        <f>+VLOOKUP($A797,MAGAZZINO!$B$2:$M$100000,7,FALSE)</f>
        <v/>
      </c>
      <c r="H797" s="3">
        <f>+VLOOKUP($A797,MAGAZZINO!$B$2:$M$100000,8,FALSE)</f>
        <v/>
      </c>
      <c r="I797" s="3">
        <f>+VLOOKUP($A797,MAGAZZINO!$B$2:$M$100000,9,FALSE)</f>
        <v/>
      </c>
      <c r="J797" s="3">
        <f>+VLOOKUP($A797,MAGAZZINO!$B$2:$M$100000,10,FALSE)</f>
        <v/>
      </c>
      <c r="K797" s="3">
        <f>+VLOOKUP($A797,MAGAZZINO!$B$2:$M$100000,11,FALSE)</f>
        <v/>
      </c>
      <c r="L797" s="5">
        <f>+VLOOKUP($A797,MAGAZZINO!$B$2:$M$100000,12,FALSE)</f>
        <v/>
      </c>
      <c r="M797" s="47" t="n"/>
      <c r="N797" s="54" t="n"/>
      <c r="O797" s="3" t="n"/>
      <c r="P797" s="149" t="n"/>
      <c r="Q797" s="150" t="n"/>
      <c r="R797" s="150" t="n"/>
      <c r="S797" s="151" t="n"/>
    </row>
    <row r="798" ht="36" customHeight="1">
      <c r="A798" s="46" t="n">
        <v>3128</v>
      </c>
      <c r="B798" s="4">
        <f>+VLOOKUP($A798,MAGAZZINO!$B$2:$M$100000,2,FALSE)</f>
        <v/>
      </c>
      <c r="C798" s="29">
        <f>+VLOOKUP($A798,MAGAZZINO!$B$2:$M$100000,3,FALSE)</f>
        <v/>
      </c>
      <c r="D798" s="3">
        <f>+VLOOKUP($A798,MAGAZZINO!$B$2:$M$100000,4,FALSE)</f>
        <v/>
      </c>
      <c r="E798" s="3">
        <f>+VLOOKUP($A798,MAGAZZINO!$B$2:$M$100000,5,FALSE)</f>
        <v/>
      </c>
      <c r="F798" s="3">
        <f>+VLOOKUP($A798,MAGAZZINO!$B$2:$M$100000,6,FALSE)</f>
        <v/>
      </c>
      <c r="G798" s="3">
        <f>+VLOOKUP($A798,MAGAZZINO!$B$2:$M$100000,7,FALSE)</f>
        <v/>
      </c>
      <c r="H798" s="3">
        <f>+VLOOKUP($A798,MAGAZZINO!$B$2:$M$100000,8,FALSE)</f>
        <v/>
      </c>
      <c r="I798" s="3">
        <f>+VLOOKUP($A798,MAGAZZINO!$B$2:$M$100000,9,FALSE)</f>
        <v/>
      </c>
      <c r="J798" s="3">
        <f>+VLOOKUP($A798,MAGAZZINO!$B$2:$M$100000,10,FALSE)</f>
        <v/>
      </c>
      <c r="K798" s="3">
        <f>+VLOOKUP($A798,MAGAZZINO!$B$2:$M$100000,11,FALSE)</f>
        <v/>
      </c>
      <c r="L798" s="5">
        <f>+VLOOKUP($A798,MAGAZZINO!$B$2:$M$100000,12,FALSE)</f>
        <v/>
      </c>
      <c r="M798" s="47" t="n"/>
      <c r="N798" s="54" t="n"/>
      <c r="O798" s="3" t="n"/>
      <c r="P798" s="149" t="n"/>
      <c r="Q798" s="150" t="n"/>
      <c r="R798" s="150" t="n"/>
      <c r="S798" s="151" t="n"/>
    </row>
    <row r="799" ht="36" customHeight="1">
      <c r="A799" s="46" t="n">
        <v>3129</v>
      </c>
      <c r="B799" s="4">
        <f>+VLOOKUP($A799,MAGAZZINO!$B$2:$M$100000,2,FALSE)</f>
        <v/>
      </c>
      <c r="C799" s="29">
        <f>+VLOOKUP($A799,MAGAZZINO!$B$2:$M$100000,3,FALSE)</f>
        <v/>
      </c>
      <c r="D799" s="3">
        <f>+VLOOKUP($A799,MAGAZZINO!$B$2:$M$100000,4,FALSE)</f>
        <v/>
      </c>
      <c r="E799" s="3">
        <f>+VLOOKUP($A799,MAGAZZINO!$B$2:$M$100000,5,FALSE)</f>
        <v/>
      </c>
      <c r="F799" s="3">
        <f>+VLOOKUP($A799,MAGAZZINO!$B$2:$M$100000,6,FALSE)</f>
        <v/>
      </c>
      <c r="G799" s="3">
        <f>+VLOOKUP($A799,MAGAZZINO!$B$2:$M$100000,7,FALSE)</f>
        <v/>
      </c>
      <c r="H799" s="3">
        <f>+VLOOKUP($A799,MAGAZZINO!$B$2:$M$100000,8,FALSE)</f>
        <v/>
      </c>
      <c r="I799" s="3">
        <f>+VLOOKUP($A799,MAGAZZINO!$B$2:$M$100000,9,FALSE)</f>
        <v/>
      </c>
      <c r="J799" s="3">
        <f>+VLOOKUP($A799,MAGAZZINO!$B$2:$M$100000,10,FALSE)</f>
        <v/>
      </c>
      <c r="K799" s="3">
        <f>+VLOOKUP($A799,MAGAZZINO!$B$2:$M$100000,11,FALSE)</f>
        <v/>
      </c>
      <c r="L799" s="5">
        <f>+VLOOKUP($A799,MAGAZZINO!$B$2:$M$100000,12,FALSE)</f>
        <v/>
      </c>
      <c r="M799" s="47" t="n"/>
      <c r="N799" s="54" t="n"/>
      <c r="O799" s="3" t="n"/>
      <c r="P799" s="149" t="n"/>
      <c r="Q799" s="150" t="n"/>
      <c r="R799" s="150" t="n"/>
      <c r="S799" s="151" t="n"/>
    </row>
    <row r="800" ht="36" customHeight="1">
      <c r="A800" s="46" t="n">
        <v>3130</v>
      </c>
      <c r="B800" s="4">
        <f>+VLOOKUP($A800,MAGAZZINO!$B$2:$M$100000,2,FALSE)</f>
        <v/>
      </c>
      <c r="C800" s="29">
        <f>+VLOOKUP($A800,MAGAZZINO!$B$2:$M$100000,3,FALSE)</f>
        <v/>
      </c>
      <c r="D800" s="3">
        <f>+VLOOKUP($A800,MAGAZZINO!$B$2:$M$100000,4,FALSE)</f>
        <v/>
      </c>
      <c r="E800" s="3">
        <f>+VLOOKUP($A800,MAGAZZINO!$B$2:$M$100000,5,FALSE)</f>
        <v/>
      </c>
      <c r="F800" s="3">
        <f>+VLOOKUP($A800,MAGAZZINO!$B$2:$M$100000,6,FALSE)</f>
        <v/>
      </c>
      <c r="G800" s="3">
        <f>+VLOOKUP($A800,MAGAZZINO!$B$2:$M$100000,7,FALSE)</f>
        <v/>
      </c>
      <c r="H800" s="3">
        <f>+VLOOKUP($A800,MAGAZZINO!$B$2:$M$100000,8,FALSE)</f>
        <v/>
      </c>
      <c r="I800" s="3">
        <f>+VLOOKUP($A800,MAGAZZINO!$B$2:$M$100000,9,FALSE)</f>
        <v/>
      </c>
      <c r="J800" s="3">
        <f>+VLOOKUP($A800,MAGAZZINO!$B$2:$M$100000,10,FALSE)</f>
        <v/>
      </c>
      <c r="K800" s="3">
        <f>+VLOOKUP($A800,MAGAZZINO!$B$2:$M$100000,11,FALSE)</f>
        <v/>
      </c>
      <c r="L800" s="5">
        <f>+VLOOKUP($A800,MAGAZZINO!$B$2:$M$100000,12,FALSE)</f>
        <v/>
      </c>
      <c r="M800" s="47" t="n"/>
      <c r="N800" s="54" t="n"/>
      <c r="O800" s="3" t="n"/>
      <c r="P800" s="149" t="n"/>
      <c r="Q800" s="150" t="n"/>
      <c r="R800" s="150" t="n"/>
      <c r="S800" s="151" t="n"/>
    </row>
    <row r="801" ht="36" customHeight="1">
      <c r="A801" s="46" t="n">
        <v>3131</v>
      </c>
      <c r="B801" s="4">
        <f>+VLOOKUP($A801,MAGAZZINO!$B$2:$M$100000,2,FALSE)</f>
        <v/>
      </c>
      <c r="C801" s="29">
        <f>+VLOOKUP($A801,MAGAZZINO!$B$2:$M$100000,3,FALSE)</f>
        <v/>
      </c>
      <c r="D801" s="3">
        <f>+VLOOKUP($A801,MAGAZZINO!$B$2:$M$100000,4,FALSE)</f>
        <v/>
      </c>
      <c r="E801" s="3">
        <f>+VLOOKUP($A801,MAGAZZINO!$B$2:$M$100000,5,FALSE)</f>
        <v/>
      </c>
      <c r="F801" s="3">
        <f>+VLOOKUP($A801,MAGAZZINO!$B$2:$M$100000,6,FALSE)</f>
        <v/>
      </c>
      <c r="G801" s="3">
        <f>+VLOOKUP($A801,MAGAZZINO!$B$2:$M$100000,7,FALSE)</f>
        <v/>
      </c>
      <c r="H801" s="3">
        <f>+VLOOKUP($A801,MAGAZZINO!$B$2:$M$100000,8,FALSE)</f>
        <v/>
      </c>
      <c r="I801" s="3">
        <f>+VLOOKUP($A801,MAGAZZINO!$B$2:$M$100000,9,FALSE)</f>
        <v/>
      </c>
      <c r="J801" s="3">
        <f>+VLOOKUP($A801,MAGAZZINO!$B$2:$M$100000,10,FALSE)</f>
        <v/>
      </c>
      <c r="K801" s="3">
        <f>+VLOOKUP($A801,MAGAZZINO!$B$2:$M$100000,11,FALSE)</f>
        <v/>
      </c>
      <c r="L801" s="5">
        <f>+VLOOKUP($A801,MAGAZZINO!$B$2:$M$100000,12,FALSE)</f>
        <v/>
      </c>
      <c r="M801" s="47" t="n"/>
      <c r="N801" s="54" t="n"/>
      <c r="O801" s="3" t="n"/>
      <c r="P801" s="149" t="n"/>
      <c r="Q801" s="150" t="n"/>
      <c r="R801" s="150" t="n"/>
      <c r="S801" s="151" t="n"/>
    </row>
    <row r="802" ht="36" customHeight="1">
      <c r="A802" s="46" t="n">
        <v>3132</v>
      </c>
      <c r="B802" s="4">
        <f>+VLOOKUP($A802,MAGAZZINO!$B$2:$M$100000,2,FALSE)</f>
        <v/>
      </c>
      <c r="C802" s="29">
        <f>+VLOOKUP($A802,MAGAZZINO!$B$2:$M$100000,3,FALSE)</f>
        <v/>
      </c>
      <c r="D802" s="3">
        <f>+VLOOKUP($A802,MAGAZZINO!$B$2:$M$100000,4,FALSE)</f>
        <v/>
      </c>
      <c r="E802" s="3">
        <f>+VLOOKUP($A802,MAGAZZINO!$B$2:$M$100000,5,FALSE)</f>
        <v/>
      </c>
      <c r="F802" s="3">
        <f>+VLOOKUP($A802,MAGAZZINO!$B$2:$M$100000,6,FALSE)</f>
        <v/>
      </c>
      <c r="G802" s="3">
        <f>+VLOOKUP($A802,MAGAZZINO!$B$2:$M$100000,7,FALSE)</f>
        <v/>
      </c>
      <c r="H802" s="3">
        <f>+VLOOKUP($A802,MAGAZZINO!$B$2:$M$100000,8,FALSE)</f>
        <v/>
      </c>
      <c r="I802" s="3">
        <f>+VLOOKUP($A802,MAGAZZINO!$B$2:$M$100000,9,FALSE)</f>
        <v/>
      </c>
      <c r="J802" s="3">
        <f>+VLOOKUP($A802,MAGAZZINO!$B$2:$M$100000,10,FALSE)</f>
        <v/>
      </c>
      <c r="K802" s="3">
        <f>+VLOOKUP($A802,MAGAZZINO!$B$2:$M$100000,11,FALSE)</f>
        <v/>
      </c>
      <c r="L802" s="5">
        <f>+VLOOKUP($A802,MAGAZZINO!$B$2:$M$100000,12,FALSE)</f>
        <v/>
      </c>
      <c r="M802" s="47" t="n"/>
      <c r="N802" s="54" t="n"/>
      <c r="O802" s="3" t="n"/>
      <c r="P802" s="149" t="n"/>
      <c r="Q802" s="150" t="n"/>
      <c r="R802" s="150" t="n"/>
      <c r="S802" s="151" t="n"/>
    </row>
    <row r="803" ht="36" customHeight="1">
      <c r="A803" s="46" t="n">
        <v>3133</v>
      </c>
      <c r="B803" s="4">
        <f>+VLOOKUP($A803,MAGAZZINO!$B$2:$M$100000,2,FALSE)</f>
        <v/>
      </c>
      <c r="C803" s="29">
        <f>+VLOOKUP($A803,MAGAZZINO!$B$2:$M$100000,3,FALSE)</f>
        <v/>
      </c>
      <c r="D803" s="3">
        <f>+VLOOKUP($A803,MAGAZZINO!$B$2:$M$100000,4,FALSE)</f>
        <v/>
      </c>
      <c r="E803" s="3">
        <f>+VLOOKUP($A803,MAGAZZINO!$B$2:$M$100000,5,FALSE)</f>
        <v/>
      </c>
      <c r="F803" s="3">
        <f>+VLOOKUP($A803,MAGAZZINO!$B$2:$M$100000,6,FALSE)</f>
        <v/>
      </c>
      <c r="G803" s="3">
        <f>+VLOOKUP($A803,MAGAZZINO!$B$2:$M$100000,7,FALSE)</f>
        <v/>
      </c>
      <c r="H803" s="3">
        <f>+VLOOKUP($A803,MAGAZZINO!$B$2:$M$100000,8,FALSE)</f>
        <v/>
      </c>
      <c r="I803" s="3">
        <f>+VLOOKUP($A803,MAGAZZINO!$B$2:$M$100000,9,FALSE)</f>
        <v/>
      </c>
      <c r="J803" s="3">
        <f>+VLOOKUP($A803,MAGAZZINO!$B$2:$M$100000,10,FALSE)</f>
        <v/>
      </c>
      <c r="K803" s="3">
        <f>+VLOOKUP($A803,MAGAZZINO!$B$2:$M$100000,11,FALSE)</f>
        <v/>
      </c>
      <c r="L803" s="5">
        <f>+VLOOKUP($A803,MAGAZZINO!$B$2:$M$100000,12,FALSE)</f>
        <v/>
      </c>
      <c r="M803" s="47" t="n"/>
      <c r="N803" s="54" t="n"/>
      <c r="O803" s="3" t="n"/>
      <c r="P803" s="149" t="n"/>
      <c r="Q803" s="150" t="n"/>
      <c r="R803" s="150" t="n"/>
      <c r="S803" s="151" t="n"/>
    </row>
    <row r="804" ht="36" customHeight="1">
      <c r="A804" s="46" t="n">
        <v>3134</v>
      </c>
      <c r="B804" s="4">
        <f>+VLOOKUP($A804,MAGAZZINO!$B$2:$M$100000,2,FALSE)</f>
        <v/>
      </c>
      <c r="C804" s="29">
        <f>+VLOOKUP($A804,MAGAZZINO!$B$2:$M$100000,3,FALSE)</f>
        <v/>
      </c>
      <c r="D804" s="3">
        <f>+VLOOKUP($A804,MAGAZZINO!$B$2:$M$100000,4,FALSE)</f>
        <v/>
      </c>
      <c r="E804" s="3">
        <f>+VLOOKUP($A804,MAGAZZINO!$B$2:$M$100000,5,FALSE)</f>
        <v/>
      </c>
      <c r="F804" s="3">
        <f>+VLOOKUP($A804,MAGAZZINO!$B$2:$M$100000,6,FALSE)</f>
        <v/>
      </c>
      <c r="G804" s="3">
        <f>+VLOOKUP($A804,MAGAZZINO!$B$2:$M$100000,7,FALSE)</f>
        <v/>
      </c>
      <c r="H804" s="3">
        <f>+VLOOKUP($A804,MAGAZZINO!$B$2:$M$100000,8,FALSE)</f>
        <v/>
      </c>
      <c r="I804" s="3">
        <f>+VLOOKUP($A804,MAGAZZINO!$B$2:$M$100000,9,FALSE)</f>
        <v/>
      </c>
      <c r="J804" s="3">
        <f>+VLOOKUP($A804,MAGAZZINO!$B$2:$M$100000,10,FALSE)</f>
        <v/>
      </c>
      <c r="K804" s="3">
        <f>+VLOOKUP($A804,MAGAZZINO!$B$2:$M$100000,11,FALSE)</f>
        <v/>
      </c>
      <c r="L804" s="5">
        <f>+VLOOKUP($A804,MAGAZZINO!$B$2:$M$100000,12,FALSE)</f>
        <v/>
      </c>
      <c r="M804" s="47" t="n"/>
      <c r="N804" s="54" t="n"/>
      <c r="O804" s="3" t="n"/>
      <c r="P804" s="149" t="n"/>
      <c r="Q804" s="150" t="n"/>
      <c r="R804" s="150" t="n"/>
      <c r="S804" s="151" t="n"/>
    </row>
    <row r="805" ht="36" customHeight="1">
      <c r="A805" s="46" t="n">
        <v>3135</v>
      </c>
      <c r="B805" s="4">
        <f>+VLOOKUP($A805,MAGAZZINO!$B$2:$M$100000,2,FALSE)</f>
        <v/>
      </c>
      <c r="C805" s="29">
        <f>+VLOOKUP($A805,MAGAZZINO!$B$2:$M$100000,3,FALSE)</f>
        <v/>
      </c>
      <c r="D805" s="3">
        <f>+VLOOKUP($A805,MAGAZZINO!$B$2:$M$100000,4,FALSE)</f>
        <v/>
      </c>
      <c r="E805" s="3">
        <f>+VLOOKUP($A805,MAGAZZINO!$B$2:$M$100000,5,FALSE)</f>
        <v/>
      </c>
      <c r="F805" s="3">
        <f>+VLOOKUP($A805,MAGAZZINO!$B$2:$M$100000,6,FALSE)</f>
        <v/>
      </c>
      <c r="G805" s="3">
        <f>+VLOOKUP($A805,MAGAZZINO!$B$2:$M$100000,7,FALSE)</f>
        <v/>
      </c>
      <c r="H805" s="3">
        <f>+VLOOKUP($A805,MAGAZZINO!$B$2:$M$100000,8,FALSE)</f>
        <v/>
      </c>
      <c r="I805" s="3">
        <f>+VLOOKUP($A805,MAGAZZINO!$B$2:$M$100000,9,FALSE)</f>
        <v/>
      </c>
      <c r="J805" s="3">
        <f>+VLOOKUP($A805,MAGAZZINO!$B$2:$M$100000,10,FALSE)</f>
        <v/>
      </c>
      <c r="K805" s="3">
        <f>+VLOOKUP($A805,MAGAZZINO!$B$2:$M$100000,11,FALSE)</f>
        <v/>
      </c>
      <c r="L805" s="5">
        <f>+VLOOKUP($A805,MAGAZZINO!$B$2:$M$100000,12,FALSE)</f>
        <v/>
      </c>
      <c r="M805" s="47" t="n"/>
      <c r="N805" s="54" t="n"/>
      <c r="O805" s="3" t="n"/>
      <c r="P805" s="149" t="n"/>
      <c r="Q805" s="150" t="n"/>
      <c r="R805" s="150" t="n"/>
      <c r="S805" s="151" t="n"/>
    </row>
    <row r="806" ht="36" customHeight="1">
      <c r="A806" s="46" t="n">
        <v>3136</v>
      </c>
      <c r="B806" s="4">
        <f>+VLOOKUP($A806,MAGAZZINO!$B$2:$M$100000,2,FALSE)</f>
        <v/>
      </c>
      <c r="C806" s="29">
        <f>+VLOOKUP($A806,MAGAZZINO!$B$2:$M$100000,3,FALSE)</f>
        <v/>
      </c>
      <c r="D806" s="3">
        <f>+VLOOKUP($A806,MAGAZZINO!$B$2:$M$100000,4,FALSE)</f>
        <v/>
      </c>
      <c r="E806" s="3">
        <f>+VLOOKUP($A806,MAGAZZINO!$B$2:$M$100000,5,FALSE)</f>
        <v/>
      </c>
      <c r="F806" s="3">
        <f>+VLOOKUP($A806,MAGAZZINO!$B$2:$M$100000,6,FALSE)</f>
        <v/>
      </c>
      <c r="G806" s="3">
        <f>+VLOOKUP($A806,MAGAZZINO!$B$2:$M$100000,7,FALSE)</f>
        <v/>
      </c>
      <c r="H806" s="3">
        <f>+VLOOKUP($A806,MAGAZZINO!$B$2:$M$100000,8,FALSE)</f>
        <v/>
      </c>
      <c r="I806" s="3">
        <f>+VLOOKUP($A806,MAGAZZINO!$B$2:$M$100000,9,FALSE)</f>
        <v/>
      </c>
      <c r="J806" s="3">
        <f>+VLOOKUP($A806,MAGAZZINO!$B$2:$M$100000,10,FALSE)</f>
        <v/>
      </c>
      <c r="K806" s="3">
        <f>+VLOOKUP($A806,MAGAZZINO!$B$2:$M$100000,11,FALSE)</f>
        <v/>
      </c>
      <c r="L806" s="5">
        <f>+VLOOKUP($A806,MAGAZZINO!$B$2:$M$100000,12,FALSE)</f>
        <v/>
      </c>
      <c r="M806" s="47" t="n"/>
      <c r="N806" s="54" t="n"/>
      <c r="O806" s="3" t="n"/>
      <c r="P806" s="149" t="n"/>
      <c r="Q806" s="150" t="n"/>
      <c r="R806" s="150" t="n"/>
      <c r="S806" s="151" t="n"/>
    </row>
    <row r="807" ht="36" customHeight="1">
      <c r="A807" s="46" t="n">
        <v>3137</v>
      </c>
      <c r="B807" s="4">
        <f>+VLOOKUP($A807,MAGAZZINO!$B$2:$M$100000,2,FALSE)</f>
        <v/>
      </c>
      <c r="C807" s="29">
        <f>+VLOOKUP($A807,MAGAZZINO!$B$2:$M$100000,3,FALSE)</f>
        <v/>
      </c>
      <c r="D807" s="3">
        <f>+VLOOKUP($A807,MAGAZZINO!$B$2:$M$100000,4,FALSE)</f>
        <v/>
      </c>
      <c r="E807" s="3">
        <f>+VLOOKUP($A807,MAGAZZINO!$B$2:$M$100000,5,FALSE)</f>
        <v/>
      </c>
      <c r="F807" s="3">
        <f>+VLOOKUP($A807,MAGAZZINO!$B$2:$M$100000,6,FALSE)</f>
        <v/>
      </c>
      <c r="G807" s="3">
        <f>+VLOOKUP($A807,MAGAZZINO!$B$2:$M$100000,7,FALSE)</f>
        <v/>
      </c>
      <c r="H807" s="3">
        <f>+VLOOKUP($A807,MAGAZZINO!$B$2:$M$100000,8,FALSE)</f>
        <v/>
      </c>
      <c r="I807" s="3">
        <f>+VLOOKUP($A807,MAGAZZINO!$B$2:$M$100000,9,FALSE)</f>
        <v/>
      </c>
      <c r="J807" s="3">
        <f>+VLOOKUP($A807,MAGAZZINO!$B$2:$M$100000,10,FALSE)</f>
        <v/>
      </c>
      <c r="K807" s="3">
        <f>+VLOOKUP($A807,MAGAZZINO!$B$2:$M$100000,11,FALSE)</f>
        <v/>
      </c>
      <c r="L807" s="5">
        <f>+VLOOKUP($A807,MAGAZZINO!$B$2:$M$100000,12,FALSE)</f>
        <v/>
      </c>
      <c r="M807" s="47" t="n"/>
      <c r="N807" s="54" t="n"/>
      <c r="O807" s="3" t="n"/>
      <c r="P807" s="149" t="n"/>
      <c r="Q807" s="150" t="n"/>
      <c r="R807" s="150" t="n"/>
      <c r="S807" s="151" t="n"/>
    </row>
    <row r="808" ht="36" customHeight="1">
      <c r="A808" s="46" t="n">
        <v>3138</v>
      </c>
      <c r="B808" s="4">
        <f>+VLOOKUP($A808,MAGAZZINO!$B$2:$M$100000,2,FALSE)</f>
        <v/>
      </c>
      <c r="C808" s="29">
        <f>+VLOOKUP($A808,MAGAZZINO!$B$2:$M$100000,3,FALSE)</f>
        <v/>
      </c>
      <c r="D808" s="3">
        <f>+VLOOKUP($A808,MAGAZZINO!$B$2:$M$100000,4,FALSE)</f>
        <v/>
      </c>
      <c r="E808" s="3">
        <f>+VLOOKUP($A808,MAGAZZINO!$B$2:$M$100000,5,FALSE)</f>
        <v/>
      </c>
      <c r="F808" s="3">
        <f>+VLOOKUP($A808,MAGAZZINO!$B$2:$M$100000,6,FALSE)</f>
        <v/>
      </c>
      <c r="G808" s="3">
        <f>+VLOOKUP($A808,MAGAZZINO!$B$2:$M$100000,7,FALSE)</f>
        <v/>
      </c>
      <c r="H808" s="3">
        <f>+VLOOKUP($A808,MAGAZZINO!$B$2:$M$100000,8,FALSE)</f>
        <v/>
      </c>
      <c r="I808" s="3">
        <f>+VLOOKUP($A808,MAGAZZINO!$B$2:$M$100000,9,FALSE)</f>
        <v/>
      </c>
      <c r="J808" s="3">
        <f>+VLOOKUP($A808,MAGAZZINO!$B$2:$M$100000,10,FALSE)</f>
        <v/>
      </c>
      <c r="K808" s="3">
        <f>+VLOOKUP($A808,MAGAZZINO!$B$2:$M$100000,11,FALSE)</f>
        <v/>
      </c>
      <c r="L808" s="5">
        <f>+VLOOKUP($A808,MAGAZZINO!$B$2:$M$100000,12,FALSE)</f>
        <v/>
      </c>
      <c r="M808" s="47" t="n"/>
      <c r="N808" s="54" t="n"/>
      <c r="O808" s="3" t="n"/>
      <c r="P808" s="149" t="n"/>
      <c r="Q808" s="150" t="n"/>
      <c r="R808" s="150" t="n"/>
      <c r="S808" s="151" t="n"/>
    </row>
    <row r="809" ht="36" customHeight="1">
      <c r="A809" s="46" t="n">
        <v>3139</v>
      </c>
      <c r="B809" s="4">
        <f>+VLOOKUP($A809,MAGAZZINO!$B$2:$M$100000,2,FALSE)</f>
        <v/>
      </c>
      <c r="C809" s="29">
        <f>+VLOOKUP($A809,MAGAZZINO!$B$2:$M$100000,3,FALSE)</f>
        <v/>
      </c>
      <c r="D809" s="3">
        <f>+VLOOKUP($A809,MAGAZZINO!$B$2:$M$100000,4,FALSE)</f>
        <v/>
      </c>
      <c r="E809" s="3">
        <f>+VLOOKUP($A809,MAGAZZINO!$B$2:$M$100000,5,FALSE)</f>
        <v/>
      </c>
      <c r="F809" s="3">
        <f>+VLOOKUP($A809,MAGAZZINO!$B$2:$M$100000,6,FALSE)</f>
        <v/>
      </c>
      <c r="G809" s="3">
        <f>+VLOOKUP($A809,MAGAZZINO!$B$2:$M$100000,7,FALSE)</f>
        <v/>
      </c>
      <c r="H809" s="3">
        <f>+VLOOKUP($A809,MAGAZZINO!$B$2:$M$100000,8,FALSE)</f>
        <v/>
      </c>
      <c r="I809" s="3">
        <f>+VLOOKUP($A809,MAGAZZINO!$B$2:$M$100000,9,FALSE)</f>
        <v/>
      </c>
      <c r="J809" s="3">
        <f>+VLOOKUP($A809,MAGAZZINO!$B$2:$M$100000,10,FALSE)</f>
        <v/>
      </c>
      <c r="K809" s="3">
        <f>+VLOOKUP($A809,MAGAZZINO!$B$2:$M$100000,11,FALSE)</f>
        <v/>
      </c>
      <c r="L809" s="5">
        <f>+VLOOKUP($A809,MAGAZZINO!$B$2:$M$100000,12,FALSE)</f>
        <v/>
      </c>
      <c r="M809" s="47" t="n"/>
      <c r="N809" s="54" t="n"/>
      <c r="O809" s="3" t="n"/>
      <c r="P809" s="149" t="n"/>
      <c r="Q809" s="150" t="n"/>
      <c r="R809" s="150" t="n"/>
      <c r="S809" s="151" t="n"/>
    </row>
    <row r="810" ht="36" customHeight="1">
      <c r="A810" s="46" t="n">
        <v>3140</v>
      </c>
      <c r="B810" s="4">
        <f>+VLOOKUP($A810,MAGAZZINO!$B$2:$M$100000,2,FALSE)</f>
        <v/>
      </c>
      <c r="C810" s="29">
        <f>+VLOOKUP($A810,MAGAZZINO!$B$2:$M$100000,3,FALSE)</f>
        <v/>
      </c>
      <c r="D810" s="3">
        <f>+VLOOKUP($A810,MAGAZZINO!$B$2:$M$100000,4,FALSE)</f>
        <v/>
      </c>
      <c r="E810" s="3">
        <f>+VLOOKUP($A810,MAGAZZINO!$B$2:$M$100000,5,FALSE)</f>
        <v/>
      </c>
      <c r="F810" s="3">
        <f>+VLOOKUP($A810,MAGAZZINO!$B$2:$M$100000,6,FALSE)</f>
        <v/>
      </c>
      <c r="G810" s="3">
        <f>+VLOOKUP($A810,MAGAZZINO!$B$2:$M$100000,7,FALSE)</f>
        <v/>
      </c>
      <c r="H810" s="3">
        <f>+VLOOKUP($A810,MAGAZZINO!$B$2:$M$100000,8,FALSE)</f>
        <v/>
      </c>
      <c r="I810" s="3">
        <f>+VLOOKUP($A810,MAGAZZINO!$B$2:$M$100000,9,FALSE)</f>
        <v/>
      </c>
      <c r="J810" s="3">
        <f>+VLOOKUP($A810,MAGAZZINO!$B$2:$M$100000,10,FALSE)</f>
        <v/>
      </c>
      <c r="K810" s="3">
        <f>+VLOOKUP($A810,MAGAZZINO!$B$2:$M$100000,11,FALSE)</f>
        <v/>
      </c>
      <c r="L810" s="5">
        <f>+VLOOKUP($A810,MAGAZZINO!$B$2:$M$100000,12,FALSE)</f>
        <v/>
      </c>
      <c r="M810" s="47" t="n"/>
      <c r="N810" s="54" t="n"/>
      <c r="O810" s="3" t="n"/>
      <c r="P810" s="149" t="n"/>
      <c r="Q810" s="150" t="n"/>
      <c r="R810" s="150" t="n"/>
      <c r="S810" s="151" t="n"/>
    </row>
    <row r="811" ht="36" customHeight="1">
      <c r="A811" s="46" t="n">
        <v>3141</v>
      </c>
      <c r="B811" s="4">
        <f>+VLOOKUP($A811,MAGAZZINO!$B$2:$M$100000,2,FALSE)</f>
        <v/>
      </c>
      <c r="C811" s="29">
        <f>+VLOOKUP($A811,MAGAZZINO!$B$2:$M$100000,3,FALSE)</f>
        <v/>
      </c>
      <c r="D811" s="3">
        <f>+VLOOKUP($A811,MAGAZZINO!$B$2:$M$100000,4,FALSE)</f>
        <v/>
      </c>
      <c r="E811" s="3">
        <f>+VLOOKUP($A811,MAGAZZINO!$B$2:$M$100000,5,FALSE)</f>
        <v/>
      </c>
      <c r="F811" s="3">
        <f>+VLOOKUP($A811,MAGAZZINO!$B$2:$M$100000,6,FALSE)</f>
        <v/>
      </c>
      <c r="G811" s="3">
        <f>+VLOOKUP($A811,MAGAZZINO!$B$2:$M$100000,7,FALSE)</f>
        <v/>
      </c>
      <c r="H811" s="3">
        <f>+VLOOKUP($A811,MAGAZZINO!$B$2:$M$100000,8,FALSE)</f>
        <v/>
      </c>
      <c r="I811" s="3">
        <f>+VLOOKUP($A811,MAGAZZINO!$B$2:$M$100000,9,FALSE)</f>
        <v/>
      </c>
      <c r="J811" s="3">
        <f>+VLOOKUP($A811,MAGAZZINO!$B$2:$M$100000,10,FALSE)</f>
        <v/>
      </c>
      <c r="K811" s="3">
        <f>+VLOOKUP($A811,MAGAZZINO!$B$2:$M$100000,11,FALSE)</f>
        <v/>
      </c>
      <c r="L811" s="5">
        <f>+VLOOKUP($A811,MAGAZZINO!$B$2:$M$100000,12,FALSE)</f>
        <v/>
      </c>
      <c r="M811" s="47" t="n"/>
      <c r="N811" s="54" t="n"/>
      <c r="O811" s="3" t="n"/>
      <c r="P811" s="149" t="n"/>
      <c r="Q811" s="150" t="n"/>
      <c r="R811" s="150" t="n"/>
      <c r="S811" s="151" t="n"/>
    </row>
    <row r="812" ht="36" customHeight="1">
      <c r="A812" s="46" t="n">
        <v>3142</v>
      </c>
      <c r="B812" s="4">
        <f>+VLOOKUP($A812,MAGAZZINO!$B$2:$M$100000,2,FALSE)</f>
        <v/>
      </c>
      <c r="C812" s="29">
        <f>+VLOOKUP($A812,MAGAZZINO!$B$2:$M$100000,3,FALSE)</f>
        <v/>
      </c>
      <c r="D812" s="3">
        <f>+VLOOKUP($A812,MAGAZZINO!$B$2:$M$100000,4,FALSE)</f>
        <v/>
      </c>
      <c r="E812" s="3">
        <f>+VLOOKUP($A812,MAGAZZINO!$B$2:$M$100000,5,FALSE)</f>
        <v/>
      </c>
      <c r="F812" s="3">
        <f>+VLOOKUP($A812,MAGAZZINO!$B$2:$M$100000,6,FALSE)</f>
        <v/>
      </c>
      <c r="G812" s="3">
        <f>+VLOOKUP($A812,MAGAZZINO!$B$2:$M$100000,7,FALSE)</f>
        <v/>
      </c>
      <c r="H812" s="3">
        <f>+VLOOKUP($A812,MAGAZZINO!$B$2:$M$100000,8,FALSE)</f>
        <v/>
      </c>
      <c r="I812" s="3">
        <f>+VLOOKUP($A812,MAGAZZINO!$B$2:$M$100000,9,FALSE)</f>
        <v/>
      </c>
      <c r="J812" s="3">
        <f>+VLOOKUP($A812,MAGAZZINO!$B$2:$M$100000,10,FALSE)</f>
        <v/>
      </c>
      <c r="K812" s="3">
        <f>+VLOOKUP($A812,MAGAZZINO!$B$2:$M$100000,11,FALSE)</f>
        <v/>
      </c>
      <c r="L812" s="5">
        <f>+VLOOKUP($A812,MAGAZZINO!$B$2:$M$100000,12,FALSE)</f>
        <v/>
      </c>
      <c r="M812" s="47" t="n"/>
      <c r="N812" s="54" t="n"/>
      <c r="O812" s="3" t="n"/>
      <c r="P812" s="149" t="n"/>
      <c r="Q812" s="150" t="n"/>
      <c r="R812" s="150" t="n"/>
      <c r="S812" s="151" t="n"/>
    </row>
    <row r="813" ht="36" customHeight="1">
      <c r="A813" s="46" t="n">
        <v>3143</v>
      </c>
      <c r="B813" s="4">
        <f>+VLOOKUP($A813,MAGAZZINO!$B$2:$M$100000,2,FALSE)</f>
        <v/>
      </c>
      <c r="C813" s="29">
        <f>+VLOOKUP($A813,MAGAZZINO!$B$2:$M$100000,3,FALSE)</f>
        <v/>
      </c>
      <c r="D813" s="3">
        <f>+VLOOKUP($A813,MAGAZZINO!$B$2:$M$100000,4,FALSE)</f>
        <v/>
      </c>
      <c r="E813" s="3">
        <f>+VLOOKUP($A813,MAGAZZINO!$B$2:$M$100000,5,FALSE)</f>
        <v/>
      </c>
      <c r="F813" s="3">
        <f>+VLOOKUP($A813,MAGAZZINO!$B$2:$M$100000,6,FALSE)</f>
        <v/>
      </c>
      <c r="G813" s="3">
        <f>+VLOOKUP($A813,MAGAZZINO!$B$2:$M$100000,7,FALSE)</f>
        <v/>
      </c>
      <c r="H813" s="3">
        <f>+VLOOKUP($A813,MAGAZZINO!$B$2:$M$100000,8,FALSE)</f>
        <v/>
      </c>
      <c r="I813" s="3">
        <f>+VLOOKUP($A813,MAGAZZINO!$B$2:$M$100000,9,FALSE)</f>
        <v/>
      </c>
      <c r="J813" s="3">
        <f>+VLOOKUP($A813,MAGAZZINO!$B$2:$M$100000,10,FALSE)</f>
        <v/>
      </c>
      <c r="K813" s="3">
        <f>+VLOOKUP($A813,MAGAZZINO!$B$2:$M$100000,11,FALSE)</f>
        <v/>
      </c>
      <c r="L813" s="5">
        <f>+VLOOKUP($A813,MAGAZZINO!$B$2:$M$100000,12,FALSE)</f>
        <v/>
      </c>
      <c r="M813" s="47" t="n"/>
      <c r="N813" s="54" t="n"/>
      <c r="O813" s="3" t="n"/>
      <c r="P813" s="149" t="n"/>
      <c r="Q813" s="150" t="n"/>
      <c r="R813" s="150" t="n"/>
      <c r="S813" s="151" t="n"/>
    </row>
    <row r="814" ht="36" customHeight="1">
      <c r="A814" s="46" t="n">
        <v>3144</v>
      </c>
      <c r="B814" s="4">
        <f>+VLOOKUP($A814,MAGAZZINO!$B$2:$M$100000,2,FALSE)</f>
        <v/>
      </c>
      <c r="C814" s="29">
        <f>+VLOOKUP($A814,MAGAZZINO!$B$2:$M$100000,3,FALSE)</f>
        <v/>
      </c>
      <c r="D814" s="3">
        <f>+VLOOKUP($A814,MAGAZZINO!$B$2:$M$100000,4,FALSE)</f>
        <v/>
      </c>
      <c r="E814" s="3">
        <f>+VLOOKUP($A814,MAGAZZINO!$B$2:$M$100000,5,FALSE)</f>
        <v/>
      </c>
      <c r="F814" s="3">
        <f>+VLOOKUP($A814,MAGAZZINO!$B$2:$M$100000,6,FALSE)</f>
        <v/>
      </c>
      <c r="G814" s="3">
        <f>+VLOOKUP($A814,MAGAZZINO!$B$2:$M$100000,7,FALSE)</f>
        <v/>
      </c>
      <c r="H814" s="3">
        <f>+VLOOKUP($A814,MAGAZZINO!$B$2:$M$100000,8,FALSE)</f>
        <v/>
      </c>
      <c r="I814" s="3">
        <f>+VLOOKUP($A814,MAGAZZINO!$B$2:$M$100000,9,FALSE)</f>
        <v/>
      </c>
      <c r="J814" s="3">
        <f>+VLOOKUP($A814,MAGAZZINO!$B$2:$M$100000,10,FALSE)</f>
        <v/>
      </c>
      <c r="K814" s="3">
        <f>+VLOOKUP($A814,MAGAZZINO!$B$2:$M$100000,11,FALSE)</f>
        <v/>
      </c>
      <c r="L814" s="5">
        <f>+VLOOKUP($A814,MAGAZZINO!$B$2:$M$100000,12,FALSE)</f>
        <v/>
      </c>
      <c r="M814" s="47" t="n"/>
      <c r="N814" s="54" t="n"/>
      <c r="O814" s="3" t="n"/>
      <c r="P814" s="149" t="n"/>
      <c r="Q814" s="150" t="n"/>
      <c r="R814" s="150" t="n"/>
      <c r="S814" s="151" t="n"/>
    </row>
    <row r="815" ht="36" customHeight="1">
      <c r="A815" s="46" t="n">
        <v>3145</v>
      </c>
      <c r="B815" s="4">
        <f>+VLOOKUP($A815,MAGAZZINO!$B$2:$M$100000,2,FALSE)</f>
        <v/>
      </c>
      <c r="C815" s="29">
        <f>+VLOOKUP($A815,MAGAZZINO!$B$2:$M$100000,3,FALSE)</f>
        <v/>
      </c>
      <c r="D815" s="3">
        <f>+VLOOKUP($A815,MAGAZZINO!$B$2:$M$100000,4,FALSE)</f>
        <v/>
      </c>
      <c r="E815" s="3">
        <f>+VLOOKUP($A815,MAGAZZINO!$B$2:$M$100000,5,FALSE)</f>
        <v/>
      </c>
      <c r="F815" s="3">
        <f>+VLOOKUP($A815,MAGAZZINO!$B$2:$M$100000,6,FALSE)</f>
        <v/>
      </c>
      <c r="G815" s="3">
        <f>+VLOOKUP($A815,MAGAZZINO!$B$2:$M$100000,7,FALSE)</f>
        <v/>
      </c>
      <c r="H815" s="3">
        <f>+VLOOKUP($A815,MAGAZZINO!$B$2:$M$100000,8,FALSE)</f>
        <v/>
      </c>
      <c r="I815" s="3">
        <f>+VLOOKUP($A815,MAGAZZINO!$B$2:$M$100000,9,FALSE)</f>
        <v/>
      </c>
      <c r="J815" s="3">
        <f>+VLOOKUP($A815,MAGAZZINO!$B$2:$M$100000,10,FALSE)</f>
        <v/>
      </c>
      <c r="K815" s="3">
        <f>+VLOOKUP($A815,MAGAZZINO!$B$2:$M$100000,11,FALSE)</f>
        <v/>
      </c>
      <c r="L815" s="5">
        <f>+VLOOKUP($A815,MAGAZZINO!$B$2:$M$100000,12,FALSE)</f>
        <v/>
      </c>
      <c r="M815" s="47" t="n"/>
      <c r="N815" s="54" t="n"/>
      <c r="O815" s="3" t="n"/>
      <c r="P815" s="149" t="n"/>
      <c r="Q815" s="150" t="n"/>
      <c r="R815" s="150" t="n"/>
      <c r="S815" s="151" t="n"/>
    </row>
    <row r="816" ht="36" customHeight="1">
      <c r="A816" s="46" t="n">
        <v>3146</v>
      </c>
      <c r="B816" s="4">
        <f>+VLOOKUP($A816,MAGAZZINO!$B$2:$M$100000,2,FALSE)</f>
        <v/>
      </c>
      <c r="C816" s="29">
        <f>+VLOOKUP($A816,MAGAZZINO!$B$2:$M$100000,3,FALSE)</f>
        <v/>
      </c>
      <c r="D816" s="3">
        <f>+VLOOKUP($A816,MAGAZZINO!$B$2:$M$100000,4,FALSE)</f>
        <v/>
      </c>
      <c r="E816" s="3">
        <f>+VLOOKUP($A816,MAGAZZINO!$B$2:$M$100000,5,FALSE)</f>
        <v/>
      </c>
      <c r="F816" s="3">
        <f>+VLOOKUP($A816,MAGAZZINO!$B$2:$M$100000,6,FALSE)</f>
        <v/>
      </c>
      <c r="G816" s="3">
        <f>+VLOOKUP($A816,MAGAZZINO!$B$2:$M$100000,7,FALSE)</f>
        <v/>
      </c>
      <c r="H816" s="3">
        <f>+VLOOKUP($A816,MAGAZZINO!$B$2:$M$100000,8,FALSE)</f>
        <v/>
      </c>
      <c r="I816" s="3">
        <f>+VLOOKUP($A816,MAGAZZINO!$B$2:$M$100000,9,FALSE)</f>
        <v/>
      </c>
      <c r="J816" s="3">
        <f>+VLOOKUP($A816,MAGAZZINO!$B$2:$M$100000,10,FALSE)</f>
        <v/>
      </c>
      <c r="K816" s="3">
        <f>+VLOOKUP($A816,MAGAZZINO!$B$2:$M$100000,11,FALSE)</f>
        <v/>
      </c>
      <c r="L816" s="5">
        <f>+VLOOKUP($A816,MAGAZZINO!$B$2:$M$100000,12,FALSE)</f>
        <v/>
      </c>
      <c r="M816" s="47" t="n"/>
      <c r="N816" s="54" t="n"/>
      <c r="O816" s="3" t="n"/>
      <c r="P816" s="149" t="n"/>
      <c r="Q816" s="150" t="n"/>
      <c r="R816" s="150" t="n"/>
      <c r="S816" s="151" t="n"/>
    </row>
    <row r="817" ht="36" customHeight="1">
      <c r="A817" s="46" t="n">
        <v>3147</v>
      </c>
      <c r="B817" s="4">
        <f>+VLOOKUP($A817,MAGAZZINO!$B$2:$M$100000,2,FALSE)</f>
        <v/>
      </c>
      <c r="C817" s="29">
        <f>+VLOOKUP($A817,MAGAZZINO!$B$2:$M$100000,3,FALSE)</f>
        <v/>
      </c>
      <c r="D817" s="3">
        <f>+VLOOKUP($A817,MAGAZZINO!$B$2:$M$100000,4,FALSE)</f>
        <v/>
      </c>
      <c r="E817" s="3">
        <f>+VLOOKUP($A817,MAGAZZINO!$B$2:$M$100000,5,FALSE)</f>
        <v/>
      </c>
      <c r="F817" s="3">
        <f>+VLOOKUP($A817,MAGAZZINO!$B$2:$M$100000,6,FALSE)</f>
        <v/>
      </c>
      <c r="G817" s="3">
        <f>+VLOOKUP($A817,MAGAZZINO!$B$2:$M$100000,7,FALSE)</f>
        <v/>
      </c>
      <c r="H817" s="3">
        <f>+VLOOKUP($A817,MAGAZZINO!$B$2:$M$100000,8,FALSE)</f>
        <v/>
      </c>
      <c r="I817" s="3">
        <f>+VLOOKUP($A817,MAGAZZINO!$B$2:$M$100000,9,FALSE)</f>
        <v/>
      </c>
      <c r="J817" s="3">
        <f>+VLOOKUP($A817,MAGAZZINO!$B$2:$M$100000,10,FALSE)</f>
        <v/>
      </c>
      <c r="K817" s="3">
        <f>+VLOOKUP($A817,MAGAZZINO!$B$2:$M$100000,11,FALSE)</f>
        <v/>
      </c>
      <c r="L817" s="5">
        <f>+VLOOKUP($A817,MAGAZZINO!$B$2:$M$100000,12,FALSE)</f>
        <v/>
      </c>
      <c r="M817" s="47" t="n"/>
      <c r="N817" s="54" t="n"/>
      <c r="O817" s="3" t="n"/>
      <c r="P817" s="149" t="n"/>
      <c r="Q817" s="150" t="n"/>
      <c r="R817" s="150" t="n"/>
      <c r="S817" s="151" t="n"/>
    </row>
    <row r="818" ht="36" customHeight="1">
      <c r="A818" s="46" t="n">
        <v>3148</v>
      </c>
      <c r="B818" s="4">
        <f>+VLOOKUP($A818,MAGAZZINO!$B$2:$M$100000,2,FALSE)</f>
        <v/>
      </c>
      <c r="C818" s="29">
        <f>+VLOOKUP($A818,MAGAZZINO!$B$2:$M$100000,3,FALSE)</f>
        <v/>
      </c>
      <c r="D818" s="3">
        <f>+VLOOKUP($A818,MAGAZZINO!$B$2:$M$100000,4,FALSE)</f>
        <v/>
      </c>
      <c r="E818" s="3">
        <f>+VLOOKUP($A818,MAGAZZINO!$B$2:$M$100000,5,FALSE)</f>
        <v/>
      </c>
      <c r="F818" s="3">
        <f>+VLOOKUP($A818,MAGAZZINO!$B$2:$M$100000,6,FALSE)</f>
        <v/>
      </c>
      <c r="G818" s="3">
        <f>+VLOOKUP($A818,MAGAZZINO!$B$2:$M$100000,7,FALSE)</f>
        <v/>
      </c>
      <c r="H818" s="3">
        <f>+VLOOKUP($A818,MAGAZZINO!$B$2:$M$100000,8,FALSE)</f>
        <v/>
      </c>
      <c r="I818" s="3">
        <f>+VLOOKUP($A818,MAGAZZINO!$B$2:$M$100000,9,FALSE)</f>
        <v/>
      </c>
      <c r="J818" s="3">
        <f>+VLOOKUP($A818,MAGAZZINO!$B$2:$M$100000,10,FALSE)</f>
        <v/>
      </c>
      <c r="K818" s="3">
        <f>+VLOOKUP($A818,MAGAZZINO!$B$2:$M$100000,11,FALSE)</f>
        <v/>
      </c>
      <c r="L818" s="5">
        <f>+VLOOKUP($A818,MAGAZZINO!$B$2:$M$100000,12,FALSE)</f>
        <v/>
      </c>
      <c r="M818" s="47" t="n"/>
      <c r="N818" s="54" t="n"/>
      <c r="O818" s="3" t="n"/>
      <c r="P818" s="149" t="n"/>
      <c r="Q818" s="150" t="n"/>
      <c r="R818" s="150" t="n"/>
      <c r="S818" s="151" t="n"/>
    </row>
    <row r="819" ht="36" customHeight="1">
      <c r="A819" s="46" t="n">
        <v>3149</v>
      </c>
      <c r="B819" s="4">
        <f>+VLOOKUP($A819,MAGAZZINO!$B$2:$M$100000,2,FALSE)</f>
        <v/>
      </c>
      <c r="C819" s="29">
        <f>+VLOOKUP($A819,MAGAZZINO!$B$2:$M$100000,3,FALSE)</f>
        <v/>
      </c>
      <c r="D819" s="3">
        <f>+VLOOKUP($A819,MAGAZZINO!$B$2:$M$100000,4,FALSE)</f>
        <v/>
      </c>
      <c r="E819" s="3">
        <f>+VLOOKUP($A819,MAGAZZINO!$B$2:$M$100000,5,FALSE)</f>
        <v/>
      </c>
      <c r="F819" s="3">
        <f>+VLOOKUP($A819,MAGAZZINO!$B$2:$M$100000,6,FALSE)</f>
        <v/>
      </c>
      <c r="G819" s="3">
        <f>+VLOOKUP($A819,MAGAZZINO!$B$2:$M$100000,7,FALSE)</f>
        <v/>
      </c>
      <c r="H819" s="3">
        <f>+VLOOKUP($A819,MAGAZZINO!$B$2:$M$100000,8,FALSE)</f>
        <v/>
      </c>
      <c r="I819" s="3">
        <f>+VLOOKUP($A819,MAGAZZINO!$B$2:$M$100000,9,FALSE)</f>
        <v/>
      </c>
      <c r="J819" s="3">
        <f>+VLOOKUP($A819,MAGAZZINO!$B$2:$M$100000,10,FALSE)</f>
        <v/>
      </c>
      <c r="K819" s="3">
        <f>+VLOOKUP($A819,MAGAZZINO!$B$2:$M$100000,11,FALSE)</f>
        <v/>
      </c>
      <c r="L819" s="5">
        <f>+VLOOKUP($A819,MAGAZZINO!$B$2:$M$100000,12,FALSE)</f>
        <v/>
      </c>
      <c r="M819" s="47" t="n"/>
      <c r="N819" s="54" t="n"/>
      <c r="O819" s="3" t="n"/>
      <c r="P819" s="149" t="n"/>
      <c r="Q819" s="150" t="n"/>
      <c r="R819" s="150" t="n"/>
      <c r="S819" s="151" t="n"/>
    </row>
    <row r="820" ht="36" customHeight="1">
      <c r="A820" s="46" t="n">
        <v>3150</v>
      </c>
      <c r="B820" s="4">
        <f>+VLOOKUP($A820,MAGAZZINO!$B$2:$M$100000,2,FALSE)</f>
        <v/>
      </c>
      <c r="C820" s="29">
        <f>+VLOOKUP($A820,MAGAZZINO!$B$2:$M$100000,3,FALSE)</f>
        <v/>
      </c>
      <c r="D820" s="3">
        <f>+VLOOKUP($A820,MAGAZZINO!$B$2:$M$100000,4,FALSE)</f>
        <v/>
      </c>
      <c r="E820" s="3">
        <f>+VLOOKUP($A820,MAGAZZINO!$B$2:$M$100000,5,FALSE)</f>
        <v/>
      </c>
      <c r="F820" s="3">
        <f>+VLOOKUP($A820,MAGAZZINO!$B$2:$M$100000,6,FALSE)</f>
        <v/>
      </c>
      <c r="G820" s="3">
        <f>+VLOOKUP($A820,MAGAZZINO!$B$2:$M$100000,7,FALSE)</f>
        <v/>
      </c>
      <c r="H820" s="3">
        <f>+VLOOKUP($A820,MAGAZZINO!$B$2:$M$100000,8,FALSE)</f>
        <v/>
      </c>
      <c r="I820" s="3">
        <f>+VLOOKUP($A820,MAGAZZINO!$B$2:$M$100000,9,FALSE)</f>
        <v/>
      </c>
      <c r="J820" s="3">
        <f>+VLOOKUP($A820,MAGAZZINO!$B$2:$M$100000,10,FALSE)</f>
        <v/>
      </c>
      <c r="K820" s="3">
        <f>+VLOOKUP($A820,MAGAZZINO!$B$2:$M$100000,11,FALSE)</f>
        <v/>
      </c>
      <c r="L820" s="5">
        <f>+VLOOKUP($A820,MAGAZZINO!$B$2:$M$100000,12,FALSE)</f>
        <v/>
      </c>
      <c r="M820" s="47" t="n"/>
      <c r="N820" s="54" t="n"/>
      <c r="O820" s="3" t="n"/>
      <c r="P820" s="149" t="n"/>
      <c r="Q820" s="150" t="n"/>
      <c r="R820" s="150" t="n"/>
      <c r="S820" s="151" t="n"/>
    </row>
    <row r="821" ht="36" customHeight="1">
      <c r="A821" s="46" t="n">
        <v>3151</v>
      </c>
      <c r="B821" s="4">
        <f>+VLOOKUP($A821,MAGAZZINO!$B$2:$M$100000,2,FALSE)</f>
        <v/>
      </c>
      <c r="C821" s="29">
        <f>+VLOOKUP($A821,MAGAZZINO!$B$2:$M$100000,3,FALSE)</f>
        <v/>
      </c>
      <c r="D821" s="3">
        <f>+VLOOKUP($A821,MAGAZZINO!$B$2:$M$100000,4,FALSE)</f>
        <v/>
      </c>
      <c r="E821" s="3">
        <f>+VLOOKUP($A821,MAGAZZINO!$B$2:$M$100000,5,FALSE)</f>
        <v/>
      </c>
      <c r="F821" s="3">
        <f>+VLOOKUP($A821,MAGAZZINO!$B$2:$M$100000,6,FALSE)</f>
        <v/>
      </c>
      <c r="G821" s="3">
        <f>+VLOOKUP($A821,MAGAZZINO!$B$2:$M$100000,7,FALSE)</f>
        <v/>
      </c>
      <c r="H821" s="3">
        <f>+VLOOKUP($A821,MAGAZZINO!$B$2:$M$100000,8,FALSE)</f>
        <v/>
      </c>
      <c r="I821" s="3">
        <f>+VLOOKUP($A821,MAGAZZINO!$B$2:$M$100000,9,FALSE)</f>
        <v/>
      </c>
      <c r="J821" s="3">
        <f>+VLOOKUP($A821,MAGAZZINO!$B$2:$M$100000,10,FALSE)</f>
        <v/>
      </c>
      <c r="K821" s="3">
        <f>+VLOOKUP($A821,MAGAZZINO!$B$2:$M$100000,11,FALSE)</f>
        <v/>
      </c>
      <c r="L821" s="5">
        <f>+VLOOKUP($A821,MAGAZZINO!$B$2:$M$100000,12,FALSE)</f>
        <v/>
      </c>
      <c r="M821" s="47" t="n"/>
      <c r="N821" s="54" t="n"/>
      <c r="O821" s="3" t="n"/>
      <c r="P821" s="149" t="n"/>
      <c r="Q821" s="150" t="n"/>
      <c r="R821" s="150" t="n"/>
      <c r="S821" s="151" t="n"/>
    </row>
    <row r="822" ht="36" customHeight="1">
      <c r="A822" s="46" t="n">
        <v>3152</v>
      </c>
      <c r="B822" s="4">
        <f>+VLOOKUP($A822,MAGAZZINO!$B$2:$M$100000,2,FALSE)</f>
        <v/>
      </c>
      <c r="C822" s="29">
        <f>+VLOOKUP($A822,MAGAZZINO!$B$2:$M$100000,3,FALSE)</f>
        <v/>
      </c>
      <c r="D822" s="3">
        <f>+VLOOKUP($A822,MAGAZZINO!$B$2:$M$100000,4,FALSE)</f>
        <v/>
      </c>
      <c r="E822" s="3">
        <f>+VLOOKUP($A822,MAGAZZINO!$B$2:$M$100000,5,FALSE)</f>
        <v/>
      </c>
      <c r="F822" s="3">
        <f>+VLOOKUP($A822,MAGAZZINO!$B$2:$M$100000,6,FALSE)</f>
        <v/>
      </c>
      <c r="G822" s="3">
        <f>+VLOOKUP($A822,MAGAZZINO!$B$2:$M$100000,7,FALSE)</f>
        <v/>
      </c>
      <c r="H822" s="3">
        <f>+VLOOKUP($A822,MAGAZZINO!$B$2:$M$100000,8,FALSE)</f>
        <v/>
      </c>
      <c r="I822" s="3">
        <f>+VLOOKUP($A822,MAGAZZINO!$B$2:$M$100000,9,FALSE)</f>
        <v/>
      </c>
      <c r="J822" s="3">
        <f>+VLOOKUP($A822,MAGAZZINO!$B$2:$M$100000,10,FALSE)</f>
        <v/>
      </c>
      <c r="K822" s="3">
        <f>+VLOOKUP($A822,MAGAZZINO!$B$2:$M$100000,11,FALSE)</f>
        <v/>
      </c>
      <c r="L822" s="5">
        <f>+VLOOKUP($A822,MAGAZZINO!$B$2:$M$100000,12,FALSE)</f>
        <v/>
      </c>
      <c r="M822" s="47" t="n"/>
      <c r="N822" s="54" t="n"/>
      <c r="O822" s="3" t="n"/>
      <c r="P822" s="149" t="n"/>
      <c r="Q822" s="150" t="n"/>
      <c r="R822" s="150" t="n"/>
      <c r="S822" s="151" t="n"/>
    </row>
    <row r="823" ht="36" customHeight="1">
      <c r="A823" s="46" t="n">
        <v>3153</v>
      </c>
      <c r="B823" s="4">
        <f>+VLOOKUP($A823,MAGAZZINO!$B$2:$M$100000,2,FALSE)</f>
        <v/>
      </c>
      <c r="C823" s="29">
        <f>+VLOOKUP($A823,MAGAZZINO!$B$2:$M$100000,3,FALSE)</f>
        <v/>
      </c>
      <c r="D823" s="3">
        <f>+VLOOKUP($A823,MAGAZZINO!$B$2:$M$100000,4,FALSE)</f>
        <v/>
      </c>
      <c r="E823" s="3">
        <f>+VLOOKUP($A823,MAGAZZINO!$B$2:$M$100000,5,FALSE)</f>
        <v/>
      </c>
      <c r="F823" s="3">
        <f>+VLOOKUP($A823,MAGAZZINO!$B$2:$M$100000,6,FALSE)</f>
        <v/>
      </c>
      <c r="G823" s="3">
        <f>+VLOOKUP($A823,MAGAZZINO!$B$2:$M$100000,7,FALSE)</f>
        <v/>
      </c>
      <c r="H823" s="3">
        <f>+VLOOKUP($A823,MAGAZZINO!$B$2:$M$100000,8,FALSE)</f>
        <v/>
      </c>
      <c r="I823" s="3">
        <f>+VLOOKUP($A823,MAGAZZINO!$B$2:$M$100000,9,FALSE)</f>
        <v/>
      </c>
      <c r="J823" s="3">
        <f>+VLOOKUP($A823,MAGAZZINO!$B$2:$M$100000,10,FALSE)</f>
        <v/>
      </c>
      <c r="K823" s="3">
        <f>+VLOOKUP($A823,MAGAZZINO!$B$2:$M$100000,11,FALSE)</f>
        <v/>
      </c>
      <c r="L823" s="5">
        <f>+VLOOKUP($A823,MAGAZZINO!$B$2:$M$100000,12,FALSE)</f>
        <v/>
      </c>
      <c r="M823" s="47" t="n"/>
      <c r="N823" s="54" t="n"/>
      <c r="O823" s="3" t="n"/>
      <c r="P823" s="149" t="n"/>
      <c r="Q823" s="150" t="n"/>
      <c r="R823" s="150" t="n"/>
      <c r="S823" s="151" t="n"/>
    </row>
    <row r="824" ht="36" customHeight="1">
      <c r="A824" s="46" t="n">
        <v>3154</v>
      </c>
      <c r="B824" s="4">
        <f>+VLOOKUP($A824,MAGAZZINO!$B$2:$M$100000,2,FALSE)</f>
        <v/>
      </c>
      <c r="C824" s="29">
        <f>+VLOOKUP($A824,MAGAZZINO!$B$2:$M$100000,3,FALSE)</f>
        <v/>
      </c>
      <c r="D824" s="3">
        <f>+VLOOKUP($A824,MAGAZZINO!$B$2:$M$100000,4,FALSE)</f>
        <v/>
      </c>
      <c r="E824" s="3">
        <f>+VLOOKUP($A824,MAGAZZINO!$B$2:$M$100000,5,FALSE)</f>
        <v/>
      </c>
      <c r="F824" s="3">
        <f>+VLOOKUP($A824,MAGAZZINO!$B$2:$M$100000,6,FALSE)</f>
        <v/>
      </c>
      <c r="G824" s="3">
        <f>+VLOOKUP($A824,MAGAZZINO!$B$2:$M$100000,7,FALSE)</f>
        <v/>
      </c>
      <c r="H824" s="3">
        <f>+VLOOKUP($A824,MAGAZZINO!$B$2:$M$100000,8,FALSE)</f>
        <v/>
      </c>
      <c r="I824" s="3">
        <f>+VLOOKUP($A824,MAGAZZINO!$B$2:$M$100000,9,FALSE)</f>
        <v/>
      </c>
      <c r="J824" s="3">
        <f>+VLOOKUP($A824,MAGAZZINO!$B$2:$M$100000,10,FALSE)</f>
        <v/>
      </c>
      <c r="K824" s="3">
        <f>+VLOOKUP($A824,MAGAZZINO!$B$2:$M$100000,11,FALSE)</f>
        <v/>
      </c>
      <c r="L824" s="5">
        <f>+VLOOKUP($A824,MAGAZZINO!$B$2:$M$100000,12,FALSE)</f>
        <v/>
      </c>
      <c r="M824" s="47" t="n"/>
      <c r="N824" s="54" t="n"/>
      <c r="O824" s="3" t="n"/>
      <c r="P824" s="149" t="n"/>
      <c r="Q824" s="150" t="n"/>
      <c r="R824" s="150" t="n"/>
      <c r="S824" s="151" t="n"/>
    </row>
    <row r="825" ht="36" customHeight="1">
      <c r="A825" s="46" t="n">
        <v>3155</v>
      </c>
      <c r="B825" s="4">
        <f>+VLOOKUP($A825,MAGAZZINO!$B$2:$M$100000,2,FALSE)</f>
        <v/>
      </c>
      <c r="C825" s="29">
        <f>+VLOOKUP($A825,MAGAZZINO!$B$2:$M$100000,3,FALSE)</f>
        <v/>
      </c>
      <c r="D825" s="3">
        <f>+VLOOKUP($A825,MAGAZZINO!$B$2:$M$100000,4,FALSE)</f>
        <v/>
      </c>
      <c r="E825" s="3">
        <f>+VLOOKUP($A825,MAGAZZINO!$B$2:$M$100000,5,FALSE)</f>
        <v/>
      </c>
      <c r="F825" s="3">
        <f>+VLOOKUP($A825,MAGAZZINO!$B$2:$M$100000,6,FALSE)</f>
        <v/>
      </c>
      <c r="G825" s="3">
        <f>+VLOOKUP($A825,MAGAZZINO!$B$2:$M$100000,7,FALSE)</f>
        <v/>
      </c>
      <c r="H825" s="3">
        <f>+VLOOKUP($A825,MAGAZZINO!$B$2:$M$100000,8,FALSE)</f>
        <v/>
      </c>
      <c r="I825" s="3">
        <f>+VLOOKUP($A825,MAGAZZINO!$B$2:$M$100000,9,FALSE)</f>
        <v/>
      </c>
      <c r="J825" s="3">
        <f>+VLOOKUP($A825,MAGAZZINO!$B$2:$M$100000,10,FALSE)</f>
        <v/>
      </c>
      <c r="K825" s="3">
        <f>+VLOOKUP($A825,MAGAZZINO!$B$2:$M$100000,11,FALSE)</f>
        <v/>
      </c>
      <c r="L825" s="5">
        <f>+VLOOKUP($A825,MAGAZZINO!$B$2:$M$100000,12,FALSE)</f>
        <v/>
      </c>
      <c r="M825" s="47" t="n"/>
      <c r="N825" s="54" t="n"/>
      <c r="O825" s="3" t="n"/>
      <c r="P825" s="149" t="n"/>
      <c r="Q825" s="150" t="n"/>
      <c r="R825" s="150" t="n"/>
      <c r="S825" s="151" t="n"/>
    </row>
    <row r="826" ht="36" customHeight="1">
      <c r="A826" s="46" t="n">
        <v>3156</v>
      </c>
      <c r="B826" s="4">
        <f>+VLOOKUP($A826,MAGAZZINO!$B$2:$M$100000,2,FALSE)</f>
        <v/>
      </c>
      <c r="C826" s="29">
        <f>+VLOOKUP($A826,MAGAZZINO!$B$2:$M$100000,3,FALSE)</f>
        <v/>
      </c>
      <c r="D826" s="3">
        <f>+VLOOKUP($A826,MAGAZZINO!$B$2:$M$100000,4,FALSE)</f>
        <v/>
      </c>
      <c r="E826" s="3">
        <f>+VLOOKUP($A826,MAGAZZINO!$B$2:$M$100000,5,FALSE)</f>
        <v/>
      </c>
      <c r="F826" s="3">
        <f>+VLOOKUP($A826,MAGAZZINO!$B$2:$M$100000,6,FALSE)</f>
        <v/>
      </c>
      <c r="G826" s="3">
        <f>+VLOOKUP($A826,MAGAZZINO!$B$2:$M$100000,7,FALSE)</f>
        <v/>
      </c>
      <c r="H826" s="3">
        <f>+VLOOKUP($A826,MAGAZZINO!$B$2:$M$100000,8,FALSE)</f>
        <v/>
      </c>
      <c r="I826" s="3">
        <f>+VLOOKUP($A826,MAGAZZINO!$B$2:$M$100000,9,FALSE)</f>
        <v/>
      </c>
      <c r="J826" s="3">
        <f>+VLOOKUP($A826,MAGAZZINO!$B$2:$M$100000,10,FALSE)</f>
        <v/>
      </c>
      <c r="K826" s="3">
        <f>+VLOOKUP($A826,MAGAZZINO!$B$2:$M$100000,11,FALSE)</f>
        <v/>
      </c>
      <c r="L826" s="5">
        <f>+VLOOKUP($A826,MAGAZZINO!$B$2:$M$100000,12,FALSE)</f>
        <v/>
      </c>
      <c r="M826" s="47" t="n"/>
      <c r="N826" s="54" t="n"/>
      <c r="O826" s="3" t="n"/>
      <c r="P826" s="149" t="n"/>
      <c r="Q826" s="150" t="n"/>
      <c r="R826" s="150" t="n"/>
      <c r="S826" s="151" t="n"/>
    </row>
    <row r="827" ht="36" customHeight="1">
      <c r="A827" s="46" t="n">
        <v>3157</v>
      </c>
      <c r="B827" s="4">
        <f>+VLOOKUP($A827,MAGAZZINO!$B$2:$M$100000,2,FALSE)</f>
        <v/>
      </c>
      <c r="C827" s="29">
        <f>+VLOOKUP($A827,MAGAZZINO!$B$2:$M$100000,3,FALSE)</f>
        <v/>
      </c>
      <c r="D827" s="3">
        <f>+VLOOKUP($A827,MAGAZZINO!$B$2:$M$100000,4,FALSE)</f>
        <v/>
      </c>
      <c r="E827" s="3">
        <f>+VLOOKUP($A827,MAGAZZINO!$B$2:$M$100000,5,FALSE)</f>
        <v/>
      </c>
      <c r="F827" s="3">
        <f>+VLOOKUP($A827,MAGAZZINO!$B$2:$M$100000,6,FALSE)</f>
        <v/>
      </c>
      <c r="G827" s="3">
        <f>+VLOOKUP($A827,MAGAZZINO!$B$2:$M$100000,7,FALSE)</f>
        <v/>
      </c>
      <c r="H827" s="3">
        <f>+VLOOKUP($A827,MAGAZZINO!$B$2:$M$100000,8,FALSE)</f>
        <v/>
      </c>
      <c r="I827" s="3">
        <f>+VLOOKUP($A827,MAGAZZINO!$B$2:$M$100000,9,FALSE)</f>
        <v/>
      </c>
      <c r="J827" s="3">
        <f>+VLOOKUP($A827,MAGAZZINO!$B$2:$M$100000,10,FALSE)</f>
        <v/>
      </c>
      <c r="K827" s="3">
        <f>+VLOOKUP($A827,MAGAZZINO!$B$2:$M$100000,11,FALSE)</f>
        <v/>
      </c>
      <c r="L827" s="5">
        <f>+VLOOKUP($A827,MAGAZZINO!$B$2:$M$100000,12,FALSE)</f>
        <v/>
      </c>
      <c r="M827" s="47" t="n"/>
      <c r="N827" s="54" t="n"/>
      <c r="O827" s="3" t="n"/>
      <c r="P827" s="149" t="n"/>
      <c r="Q827" s="150" t="n"/>
      <c r="R827" s="150" t="n"/>
      <c r="S827" s="151" t="n"/>
    </row>
    <row r="828" ht="36" customHeight="1">
      <c r="A828" s="46" t="n">
        <v>3158</v>
      </c>
      <c r="B828" s="4">
        <f>+VLOOKUP($A828,MAGAZZINO!$B$2:$M$100000,2,FALSE)</f>
        <v/>
      </c>
      <c r="C828" s="29">
        <f>+VLOOKUP($A828,MAGAZZINO!$B$2:$M$100000,3,FALSE)</f>
        <v/>
      </c>
      <c r="D828" s="3">
        <f>+VLOOKUP($A828,MAGAZZINO!$B$2:$M$100000,4,FALSE)</f>
        <v/>
      </c>
      <c r="E828" s="3">
        <f>+VLOOKUP($A828,MAGAZZINO!$B$2:$M$100000,5,FALSE)</f>
        <v/>
      </c>
      <c r="F828" s="3">
        <f>+VLOOKUP($A828,MAGAZZINO!$B$2:$M$100000,6,FALSE)</f>
        <v/>
      </c>
      <c r="G828" s="3">
        <f>+VLOOKUP($A828,MAGAZZINO!$B$2:$M$100000,7,FALSE)</f>
        <v/>
      </c>
      <c r="H828" s="3">
        <f>+VLOOKUP($A828,MAGAZZINO!$B$2:$M$100000,8,FALSE)</f>
        <v/>
      </c>
      <c r="I828" s="3">
        <f>+VLOOKUP($A828,MAGAZZINO!$B$2:$M$100000,9,FALSE)</f>
        <v/>
      </c>
      <c r="J828" s="3">
        <f>+VLOOKUP($A828,MAGAZZINO!$B$2:$M$100000,10,FALSE)</f>
        <v/>
      </c>
      <c r="K828" s="3">
        <f>+VLOOKUP($A828,MAGAZZINO!$B$2:$M$100000,11,FALSE)</f>
        <v/>
      </c>
      <c r="L828" s="5">
        <f>+VLOOKUP($A828,MAGAZZINO!$B$2:$M$100000,12,FALSE)</f>
        <v/>
      </c>
      <c r="M828" s="47" t="n"/>
      <c r="N828" s="54" t="n"/>
      <c r="O828" s="3" t="n"/>
      <c r="P828" s="149" t="n"/>
      <c r="Q828" s="150" t="n"/>
      <c r="R828" s="150" t="n"/>
      <c r="S828" s="151" t="n"/>
    </row>
    <row r="829" ht="36" customHeight="1">
      <c r="A829" s="46" t="n">
        <v>3159</v>
      </c>
      <c r="B829" s="4">
        <f>+VLOOKUP($A829,MAGAZZINO!$B$2:$M$100000,2,FALSE)</f>
        <v/>
      </c>
      <c r="C829" s="29">
        <f>+VLOOKUP($A829,MAGAZZINO!$B$2:$M$100000,3,FALSE)</f>
        <v/>
      </c>
      <c r="D829" s="3">
        <f>+VLOOKUP($A829,MAGAZZINO!$B$2:$M$100000,4,FALSE)</f>
        <v/>
      </c>
      <c r="E829" s="3">
        <f>+VLOOKUP($A829,MAGAZZINO!$B$2:$M$100000,5,FALSE)</f>
        <v/>
      </c>
      <c r="F829" s="3">
        <f>+VLOOKUP($A829,MAGAZZINO!$B$2:$M$100000,6,FALSE)</f>
        <v/>
      </c>
      <c r="G829" s="3">
        <f>+VLOOKUP($A829,MAGAZZINO!$B$2:$M$100000,7,FALSE)</f>
        <v/>
      </c>
      <c r="H829" s="3">
        <f>+VLOOKUP($A829,MAGAZZINO!$B$2:$M$100000,8,FALSE)</f>
        <v/>
      </c>
      <c r="I829" s="3">
        <f>+VLOOKUP($A829,MAGAZZINO!$B$2:$M$100000,9,FALSE)</f>
        <v/>
      </c>
      <c r="J829" s="3">
        <f>+VLOOKUP($A829,MAGAZZINO!$B$2:$M$100000,10,FALSE)</f>
        <v/>
      </c>
      <c r="K829" s="3">
        <f>+VLOOKUP($A829,MAGAZZINO!$B$2:$M$100000,11,FALSE)</f>
        <v/>
      </c>
      <c r="L829" s="5">
        <f>+VLOOKUP($A829,MAGAZZINO!$B$2:$M$100000,12,FALSE)</f>
        <v/>
      </c>
      <c r="M829" s="47" t="n"/>
      <c r="N829" s="54" t="n"/>
      <c r="O829" s="3" t="n"/>
      <c r="P829" s="149" t="n"/>
      <c r="Q829" s="150" t="n"/>
      <c r="R829" s="150" t="n"/>
      <c r="S829" s="151" t="n"/>
    </row>
    <row r="830" ht="36" customHeight="1">
      <c r="A830" s="46" t="n">
        <v>3160</v>
      </c>
      <c r="B830" s="4">
        <f>+VLOOKUP($A830,MAGAZZINO!$B$2:$M$100000,2,FALSE)</f>
        <v/>
      </c>
      <c r="C830" s="29">
        <f>+VLOOKUP($A830,MAGAZZINO!$B$2:$M$100000,3,FALSE)</f>
        <v/>
      </c>
      <c r="D830" s="3">
        <f>+VLOOKUP($A830,MAGAZZINO!$B$2:$M$100000,4,FALSE)</f>
        <v/>
      </c>
      <c r="E830" s="3">
        <f>+VLOOKUP($A830,MAGAZZINO!$B$2:$M$100000,5,FALSE)</f>
        <v/>
      </c>
      <c r="F830" s="3">
        <f>+VLOOKUP($A830,MAGAZZINO!$B$2:$M$100000,6,FALSE)</f>
        <v/>
      </c>
      <c r="G830" s="3">
        <f>+VLOOKUP($A830,MAGAZZINO!$B$2:$M$100000,7,FALSE)</f>
        <v/>
      </c>
      <c r="H830" s="3">
        <f>+VLOOKUP($A830,MAGAZZINO!$B$2:$M$100000,8,FALSE)</f>
        <v/>
      </c>
      <c r="I830" s="3">
        <f>+VLOOKUP($A830,MAGAZZINO!$B$2:$M$100000,9,FALSE)</f>
        <v/>
      </c>
      <c r="J830" s="3">
        <f>+VLOOKUP($A830,MAGAZZINO!$B$2:$M$100000,10,FALSE)</f>
        <v/>
      </c>
      <c r="K830" s="3">
        <f>+VLOOKUP($A830,MAGAZZINO!$B$2:$M$100000,11,FALSE)</f>
        <v/>
      </c>
      <c r="L830" s="5">
        <f>+VLOOKUP($A830,MAGAZZINO!$B$2:$M$100000,12,FALSE)</f>
        <v/>
      </c>
      <c r="M830" s="47" t="n"/>
      <c r="N830" s="54" t="n"/>
      <c r="O830" s="3" t="n"/>
      <c r="P830" s="149" t="n"/>
      <c r="Q830" s="150" t="n"/>
      <c r="R830" s="150" t="n"/>
      <c r="S830" s="151" t="n"/>
    </row>
    <row r="831" ht="36" customHeight="1">
      <c r="A831" s="46" t="n">
        <v>3161</v>
      </c>
      <c r="B831" s="4">
        <f>+VLOOKUP($A831,MAGAZZINO!$B$2:$M$100000,2,FALSE)</f>
        <v/>
      </c>
      <c r="C831" s="29">
        <f>+VLOOKUP($A831,MAGAZZINO!$B$2:$M$100000,3,FALSE)</f>
        <v/>
      </c>
      <c r="D831" s="3">
        <f>+VLOOKUP($A831,MAGAZZINO!$B$2:$M$100000,4,FALSE)</f>
        <v/>
      </c>
      <c r="E831" s="3">
        <f>+VLOOKUP($A831,MAGAZZINO!$B$2:$M$100000,5,FALSE)</f>
        <v/>
      </c>
      <c r="F831" s="3">
        <f>+VLOOKUP($A831,MAGAZZINO!$B$2:$M$100000,6,FALSE)</f>
        <v/>
      </c>
      <c r="G831" s="3">
        <f>+VLOOKUP($A831,MAGAZZINO!$B$2:$M$100000,7,FALSE)</f>
        <v/>
      </c>
      <c r="H831" s="3">
        <f>+VLOOKUP($A831,MAGAZZINO!$B$2:$M$100000,8,FALSE)</f>
        <v/>
      </c>
      <c r="I831" s="3">
        <f>+VLOOKUP($A831,MAGAZZINO!$B$2:$M$100000,9,FALSE)</f>
        <v/>
      </c>
      <c r="J831" s="3">
        <f>+VLOOKUP($A831,MAGAZZINO!$B$2:$M$100000,10,FALSE)</f>
        <v/>
      </c>
      <c r="K831" s="3">
        <f>+VLOOKUP($A831,MAGAZZINO!$B$2:$M$100000,11,FALSE)</f>
        <v/>
      </c>
      <c r="L831" s="5">
        <f>+VLOOKUP($A831,MAGAZZINO!$B$2:$M$100000,12,FALSE)</f>
        <v/>
      </c>
      <c r="M831" s="47" t="n"/>
      <c r="N831" s="54" t="n"/>
      <c r="O831" s="3" t="n"/>
      <c r="P831" s="149" t="n"/>
      <c r="Q831" s="150" t="n"/>
      <c r="R831" s="150" t="n"/>
      <c r="S831" s="151" t="n"/>
    </row>
    <row r="832" ht="36" customHeight="1">
      <c r="A832" s="46" t="n">
        <v>3162</v>
      </c>
      <c r="B832" s="4">
        <f>+VLOOKUP($A832,MAGAZZINO!$B$2:$M$100000,2,FALSE)</f>
        <v/>
      </c>
      <c r="C832" s="29">
        <f>+VLOOKUP($A832,MAGAZZINO!$B$2:$M$100000,3,FALSE)</f>
        <v/>
      </c>
      <c r="D832" s="3">
        <f>+VLOOKUP($A832,MAGAZZINO!$B$2:$M$100000,4,FALSE)</f>
        <v/>
      </c>
      <c r="E832" s="3">
        <f>+VLOOKUP($A832,MAGAZZINO!$B$2:$M$100000,5,FALSE)</f>
        <v/>
      </c>
      <c r="F832" s="3">
        <f>+VLOOKUP($A832,MAGAZZINO!$B$2:$M$100000,6,FALSE)</f>
        <v/>
      </c>
      <c r="G832" s="3">
        <f>+VLOOKUP($A832,MAGAZZINO!$B$2:$M$100000,7,FALSE)</f>
        <v/>
      </c>
      <c r="H832" s="3">
        <f>+VLOOKUP($A832,MAGAZZINO!$B$2:$M$100000,8,FALSE)</f>
        <v/>
      </c>
      <c r="I832" s="3">
        <f>+VLOOKUP($A832,MAGAZZINO!$B$2:$M$100000,9,FALSE)</f>
        <v/>
      </c>
      <c r="J832" s="3">
        <f>+VLOOKUP($A832,MAGAZZINO!$B$2:$M$100000,10,FALSE)</f>
        <v/>
      </c>
      <c r="K832" s="3">
        <f>+VLOOKUP($A832,MAGAZZINO!$B$2:$M$100000,11,FALSE)</f>
        <v/>
      </c>
      <c r="L832" s="5">
        <f>+VLOOKUP($A832,MAGAZZINO!$B$2:$M$100000,12,FALSE)</f>
        <v/>
      </c>
      <c r="M832" s="47" t="n"/>
      <c r="N832" s="54" t="n"/>
      <c r="O832" s="3" t="n"/>
      <c r="P832" s="149" t="n"/>
      <c r="Q832" s="150" t="n"/>
      <c r="R832" s="150" t="n"/>
      <c r="S832" s="151" t="n"/>
    </row>
    <row r="833" ht="36" customHeight="1">
      <c r="A833" s="46" t="n">
        <v>3163</v>
      </c>
      <c r="B833" s="4">
        <f>+VLOOKUP($A833,MAGAZZINO!$B$2:$M$100000,2,FALSE)</f>
        <v/>
      </c>
      <c r="C833" s="29">
        <f>+VLOOKUP($A833,MAGAZZINO!$B$2:$M$100000,3,FALSE)</f>
        <v/>
      </c>
      <c r="D833" s="3">
        <f>+VLOOKUP($A833,MAGAZZINO!$B$2:$M$100000,4,FALSE)</f>
        <v/>
      </c>
      <c r="E833" s="3">
        <f>+VLOOKUP($A833,MAGAZZINO!$B$2:$M$100000,5,FALSE)</f>
        <v/>
      </c>
      <c r="F833" s="3">
        <f>+VLOOKUP($A833,MAGAZZINO!$B$2:$M$100000,6,FALSE)</f>
        <v/>
      </c>
      <c r="G833" s="3">
        <f>+VLOOKUP($A833,MAGAZZINO!$B$2:$M$100000,7,FALSE)</f>
        <v/>
      </c>
      <c r="H833" s="3">
        <f>+VLOOKUP($A833,MAGAZZINO!$B$2:$M$100000,8,FALSE)</f>
        <v/>
      </c>
      <c r="I833" s="3">
        <f>+VLOOKUP($A833,MAGAZZINO!$B$2:$M$100000,9,FALSE)</f>
        <v/>
      </c>
      <c r="J833" s="3">
        <f>+VLOOKUP($A833,MAGAZZINO!$B$2:$M$100000,10,FALSE)</f>
        <v/>
      </c>
      <c r="K833" s="3">
        <f>+VLOOKUP($A833,MAGAZZINO!$B$2:$M$100000,11,FALSE)</f>
        <v/>
      </c>
      <c r="L833" s="5">
        <f>+VLOOKUP($A833,MAGAZZINO!$B$2:$M$100000,12,FALSE)</f>
        <v/>
      </c>
      <c r="M833" s="47" t="n"/>
      <c r="N833" s="54" t="n"/>
      <c r="O833" s="3" t="n"/>
      <c r="P833" s="149" t="n"/>
      <c r="Q833" s="150" t="n"/>
      <c r="R833" s="150" t="n"/>
      <c r="S833" s="151" t="n"/>
    </row>
    <row r="834" ht="36" customHeight="1">
      <c r="A834" s="46" t="n">
        <v>3164</v>
      </c>
      <c r="B834" s="4">
        <f>+VLOOKUP($A834,MAGAZZINO!$B$2:$M$100000,2,FALSE)</f>
        <v/>
      </c>
      <c r="C834" s="29">
        <f>+VLOOKUP($A834,MAGAZZINO!$B$2:$M$100000,3,FALSE)</f>
        <v/>
      </c>
      <c r="D834" s="3">
        <f>+VLOOKUP($A834,MAGAZZINO!$B$2:$M$100000,4,FALSE)</f>
        <v/>
      </c>
      <c r="E834" s="3">
        <f>+VLOOKUP($A834,MAGAZZINO!$B$2:$M$100000,5,FALSE)</f>
        <v/>
      </c>
      <c r="F834" s="3">
        <f>+VLOOKUP($A834,MAGAZZINO!$B$2:$M$100000,6,FALSE)</f>
        <v/>
      </c>
      <c r="G834" s="3">
        <f>+VLOOKUP($A834,MAGAZZINO!$B$2:$M$100000,7,FALSE)</f>
        <v/>
      </c>
      <c r="H834" s="3">
        <f>+VLOOKUP($A834,MAGAZZINO!$B$2:$M$100000,8,FALSE)</f>
        <v/>
      </c>
      <c r="I834" s="3">
        <f>+VLOOKUP($A834,MAGAZZINO!$B$2:$M$100000,9,FALSE)</f>
        <v/>
      </c>
      <c r="J834" s="3">
        <f>+VLOOKUP($A834,MAGAZZINO!$B$2:$M$100000,10,FALSE)</f>
        <v/>
      </c>
      <c r="K834" s="3">
        <f>+VLOOKUP($A834,MAGAZZINO!$B$2:$M$100000,11,FALSE)</f>
        <v/>
      </c>
      <c r="L834" s="5">
        <f>+VLOOKUP($A834,MAGAZZINO!$B$2:$M$100000,12,FALSE)</f>
        <v/>
      </c>
      <c r="M834" s="47" t="n"/>
      <c r="N834" s="54" t="n"/>
      <c r="O834" s="3" t="n"/>
      <c r="P834" s="149" t="n"/>
      <c r="Q834" s="150" t="n"/>
      <c r="R834" s="150" t="n"/>
      <c r="S834" s="151" t="n"/>
    </row>
    <row r="835" ht="36" customHeight="1">
      <c r="A835" s="46" t="n">
        <v>3165</v>
      </c>
      <c r="B835" s="4">
        <f>+VLOOKUP($A835,MAGAZZINO!$B$2:$M$100000,2,FALSE)</f>
        <v/>
      </c>
      <c r="C835" s="29">
        <f>+VLOOKUP($A835,MAGAZZINO!$B$2:$M$100000,3,FALSE)</f>
        <v/>
      </c>
      <c r="D835" s="3">
        <f>+VLOOKUP($A835,MAGAZZINO!$B$2:$M$100000,4,FALSE)</f>
        <v/>
      </c>
      <c r="E835" s="3">
        <f>+VLOOKUP($A835,MAGAZZINO!$B$2:$M$100000,5,FALSE)</f>
        <v/>
      </c>
      <c r="F835" s="3">
        <f>+VLOOKUP($A835,MAGAZZINO!$B$2:$M$100000,6,FALSE)</f>
        <v/>
      </c>
      <c r="G835" s="3">
        <f>+VLOOKUP($A835,MAGAZZINO!$B$2:$M$100000,7,FALSE)</f>
        <v/>
      </c>
      <c r="H835" s="3">
        <f>+VLOOKUP($A835,MAGAZZINO!$B$2:$M$100000,8,FALSE)</f>
        <v/>
      </c>
      <c r="I835" s="3">
        <f>+VLOOKUP($A835,MAGAZZINO!$B$2:$M$100000,9,FALSE)</f>
        <v/>
      </c>
      <c r="J835" s="3">
        <f>+VLOOKUP($A835,MAGAZZINO!$B$2:$M$100000,10,FALSE)</f>
        <v/>
      </c>
      <c r="K835" s="3">
        <f>+VLOOKUP($A835,MAGAZZINO!$B$2:$M$100000,11,FALSE)</f>
        <v/>
      </c>
      <c r="L835" s="5">
        <f>+VLOOKUP($A835,MAGAZZINO!$B$2:$M$100000,12,FALSE)</f>
        <v/>
      </c>
      <c r="M835" s="47" t="n"/>
      <c r="N835" s="54" t="n"/>
      <c r="O835" s="3" t="n"/>
      <c r="P835" s="149" t="n"/>
      <c r="Q835" s="150" t="n"/>
      <c r="R835" s="150" t="n"/>
      <c r="S835" s="151" t="n"/>
    </row>
    <row r="836" ht="36" customHeight="1">
      <c r="A836" s="46" t="n">
        <v>3166</v>
      </c>
      <c r="B836" s="4">
        <f>+VLOOKUP($A836,MAGAZZINO!$B$2:$M$100000,2,FALSE)</f>
        <v/>
      </c>
      <c r="C836" s="29">
        <f>+VLOOKUP($A836,MAGAZZINO!$B$2:$M$100000,3,FALSE)</f>
        <v/>
      </c>
      <c r="D836" s="3">
        <f>+VLOOKUP($A836,MAGAZZINO!$B$2:$M$100000,4,FALSE)</f>
        <v/>
      </c>
      <c r="E836" s="3">
        <f>+VLOOKUP($A836,MAGAZZINO!$B$2:$M$100000,5,FALSE)</f>
        <v/>
      </c>
      <c r="F836" s="3">
        <f>+VLOOKUP($A836,MAGAZZINO!$B$2:$M$100000,6,FALSE)</f>
        <v/>
      </c>
      <c r="G836" s="3">
        <f>+VLOOKUP($A836,MAGAZZINO!$B$2:$M$100000,7,FALSE)</f>
        <v/>
      </c>
      <c r="H836" s="3">
        <f>+VLOOKUP($A836,MAGAZZINO!$B$2:$M$100000,8,FALSE)</f>
        <v/>
      </c>
      <c r="I836" s="3">
        <f>+VLOOKUP($A836,MAGAZZINO!$B$2:$M$100000,9,FALSE)</f>
        <v/>
      </c>
      <c r="J836" s="3">
        <f>+VLOOKUP($A836,MAGAZZINO!$B$2:$M$100000,10,FALSE)</f>
        <v/>
      </c>
      <c r="K836" s="3">
        <f>+VLOOKUP($A836,MAGAZZINO!$B$2:$M$100000,11,FALSE)</f>
        <v/>
      </c>
      <c r="L836" s="5">
        <f>+VLOOKUP($A836,MAGAZZINO!$B$2:$M$100000,12,FALSE)</f>
        <v/>
      </c>
      <c r="M836" s="47" t="n"/>
      <c r="N836" s="54" t="n"/>
      <c r="O836" s="3" t="n"/>
      <c r="P836" s="149" t="n"/>
      <c r="Q836" s="150" t="n"/>
      <c r="R836" s="150" t="n"/>
      <c r="S836" s="151" t="n"/>
    </row>
    <row r="837" ht="36" customHeight="1">
      <c r="A837" s="46" t="n">
        <v>3167</v>
      </c>
      <c r="B837" s="4">
        <f>+VLOOKUP($A837,MAGAZZINO!$B$2:$M$100000,2,FALSE)</f>
        <v/>
      </c>
      <c r="C837" s="29">
        <f>+VLOOKUP($A837,MAGAZZINO!$B$2:$M$100000,3,FALSE)</f>
        <v/>
      </c>
      <c r="D837" s="3">
        <f>+VLOOKUP($A837,MAGAZZINO!$B$2:$M$100000,4,FALSE)</f>
        <v/>
      </c>
      <c r="E837" s="3">
        <f>+VLOOKUP($A837,MAGAZZINO!$B$2:$M$100000,5,FALSE)</f>
        <v/>
      </c>
      <c r="F837" s="3">
        <f>+VLOOKUP($A837,MAGAZZINO!$B$2:$M$100000,6,FALSE)</f>
        <v/>
      </c>
      <c r="G837" s="3">
        <f>+VLOOKUP($A837,MAGAZZINO!$B$2:$M$100000,7,FALSE)</f>
        <v/>
      </c>
      <c r="H837" s="3">
        <f>+VLOOKUP($A837,MAGAZZINO!$B$2:$M$100000,8,FALSE)</f>
        <v/>
      </c>
      <c r="I837" s="3">
        <f>+VLOOKUP($A837,MAGAZZINO!$B$2:$M$100000,9,FALSE)</f>
        <v/>
      </c>
      <c r="J837" s="3">
        <f>+VLOOKUP($A837,MAGAZZINO!$B$2:$M$100000,10,FALSE)</f>
        <v/>
      </c>
      <c r="K837" s="3">
        <f>+VLOOKUP($A837,MAGAZZINO!$B$2:$M$100000,11,FALSE)</f>
        <v/>
      </c>
      <c r="L837" s="5">
        <f>+VLOOKUP($A837,MAGAZZINO!$B$2:$M$100000,12,FALSE)</f>
        <v/>
      </c>
      <c r="M837" s="47" t="n"/>
      <c r="N837" s="54" t="n"/>
      <c r="O837" s="3" t="n"/>
      <c r="P837" s="149" t="n"/>
      <c r="Q837" s="150" t="n"/>
      <c r="R837" s="150" t="n"/>
      <c r="S837" s="151" t="n"/>
    </row>
    <row r="838" ht="36" customHeight="1">
      <c r="A838" s="46" t="n">
        <v>3168</v>
      </c>
      <c r="B838" s="4">
        <f>+VLOOKUP($A838,MAGAZZINO!$B$2:$M$100000,2,FALSE)</f>
        <v/>
      </c>
      <c r="C838" s="29">
        <f>+VLOOKUP($A838,MAGAZZINO!$B$2:$M$100000,3,FALSE)</f>
        <v/>
      </c>
      <c r="D838" s="3">
        <f>+VLOOKUP($A838,MAGAZZINO!$B$2:$M$100000,4,FALSE)</f>
        <v/>
      </c>
      <c r="E838" s="3">
        <f>+VLOOKUP($A838,MAGAZZINO!$B$2:$M$100000,5,FALSE)</f>
        <v/>
      </c>
      <c r="F838" s="3">
        <f>+VLOOKUP($A838,MAGAZZINO!$B$2:$M$100000,6,FALSE)</f>
        <v/>
      </c>
      <c r="G838" s="3">
        <f>+VLOOKUP($A838,MAGAZZINO!$B$2:$M$100000,7,FALSE)</f>
        <v/>
      </c>
      <c r="H838" s="3">
        <f>+VLOOKUP($A838,MAGAZZINO!$B$2:$M$100000,8,FALSE)</f>
        <v/>
      </c>
      <c r="I838" s="3">
        <f>+VLOOKUP($A838,MAGAZZINO!$B$2:$M$100000,9,FALSE)</f>
        <v/>
      </c>
      <c r="J838" s="3">
        <f>+VLOOKUP($A838,MAGAZZINO!$B$2:$M$100000,10,FALSE)</f>
        <v/>
      </c>
      <c r="K838" s="3">
        <f>+VLOOKUP($A838,MAGAZZINO!$B$2:$M$100000,11,FALSE)</f>
        <v/>
      </c>
      <c r="L838" s="5">
        <f>+VLOOKUP($A838,MAGAZZINO!$B$2:$M$100000,12,FALSE)</f>
        <v/>
      </c>
      <c r="M838" s="47" t="n"/>
      <c r="N838" s="54" t="n"/>
      <c r="O838" s="3" t="n"/>
      <c r="P838" s="149" t="n"/>
      <c r="Q838" s="150" t="n"/>
      <c r="R838" s="150" t="n"/>
      <c r="S838" s="151" t="n"/>
    </row>
    <row r="839" ht="36" customHeight="1">
      <c r="A839" s="46" t="n">
        <v>3169</v>
      </c>
      <c r="B839" s="4">
        <f>+VLOOKUP($A839,MAGAZZINO!$B$2:$M$100000,2,FALSE)</f>
        <v/>
      </c>
      <c r="C839" s="29">
        <f>+VLOOKUP($A839,MAGAZZINO!$B$2:$M$100000,3,FALSE)</f>
        <v/>
      </c>
      <c r="D839" s="3">
        <f>+VLOOKUP($A839,MAGAZZINO!$B$2:$M$100000,4,FALSE)</f>
        <v/>
      </c>
      <c r="E839" s="3">
        <f>+VLOOKUP($A839,MAGAZZINO!$B$2:$M$100000,5,FALSE)</f>
        <v/>
      </c>
      <c r="F839" s="3">
        <f>+VLOOKUP($A839,MAGAZZINO!$B$2:$M$100000,6,FALSE)</f>
        <v/>
      </c>
      <c r="G839" s="3">
        <f>+VLOOKUP($A839,MAGAZZINO!$B$2:$M$100000,7,FALSE)</f>
        <v/>
      </c>
      <c r="H839" s="3">
        <f>+VLOOKUP($A839,MAGAZZINO!$B$2:$M$100000,8,FALSE)</f>
        <v/>
      </c>
      <c r="I839" s="3">
        <f>+VLOOKUP($A839,MAGAZZINO!$B$2:$M$100000,9,FALSE)</f>
        <v/>
      </c>
      <c r="J839" s="3">
        <f>+VLOOKUP($A839,MAGAZZINO!$B$2:$M$100000,10,FALSE)</f>
        <v/>
      </c>
      <c r="K839" s="3">
        <f>+VLOOKUP($A839,MAGAZZINO!$B$2:$M$100000,11,FALSE)</f>
        <v/>
      </c>
      <c r="L839" s="5">
        <f>+VLOOKUP($A839,MAGAZZINO!$B$2:$M$100000,12,FALSE)</f>
        <v/>
      </c>
      <c r="M839" s="47" t="n"/>
      <c r="N839" s="54" t="n"/>
      <c r="O839" s="3" t="n"/>
      <c r="P839" s="149" t="n"/>
      <c r="Q839" s="150" t="n"/>
      <c r="R839" s="150" t="n"/>
      <c r="S839" s="151" t="n"/>
    </row>
    <row r="840" ht="36" customHeight="1">
      <c r="A840" s="46" t="n">
        <v>3170</v>
      </c>
      <c r="B840" s="4">
        <f>+VLOOKUP($A840,MAGAZZINO!$B$2:$M$100000,2,FALSE)</f>
        <v/>
      </c>
      <c r="C840" s="29">
        <f>+VLOOKUP($A840,MAGAZZINO!$B$2:$M$100000,3,FALSE)</f>
        <v/>
      </c>
      <c r="D840" s="3">
        <f>+VLOOKUP($A840,MAGAZZINO!$B$2:$M$100000,4,FALSE)</f>
        <v/>
      </c>
      <c r="E840" s="3">
        <f>+VLOOKUP($A840,MAGAZZINO!$B$2:$M$100000,5,FALSE)</f>
        <v/>
      </c>
      <c r="F840" s="3">
        <f>+VLOOKUP($A840,MAGAZZINO!$B$2:$M$100000,6,FALSE)</f>
        <v/>
      </c>
      <c r="G840" s="3">
        <f>+VLOOKUP($A840,MAGAZZINO!$B$2:$M$100000,7,FALSE)</f>
        <v/>
      </c>
      <c r="H840" s="3">
        <f>+VLOOKUP($A840,MAGAZZINO!$B$2:$M$100000,8,FALSE)</f>
        <v/>
      </c>
      <c r="I840" s="3">
        <f>+VLOOKUP($A840,MAGAZZINO!$B$2:$M$100000,9,FALSE)</f>
        <v/>
      </c>
      <c r="J840" s="3">
        <f>+VLOOKUP($A840,MAGAZZINO!$B$2:$M$100000,10,FALSE)</f>
        <v/>
      </c>
      <c r="K840" s="3">
        <f>+VLOOKUP($A840,MAGAZZINO!$B$2:$M$100000,11,FALSE)</f>
        <v/>
      </c>
      <c r="L840" s="5">
        <f>+VLOOKUP($A840,MAGAZZINO!$B$2:$M$100000,12,FALSE)</f>
        <v/>
      </c>
      <c r="M840" s="47" t="n"/>
      <c r="N840" s="54" t="n"/>
      <c r="O840" s="3" t="n"/>
      <c r="P840" s="149" t="n"/>
      <c r="Q840" s="150" t="n"/>
      <c r="R840" s="150" t="n"/>
      <c r="S840" s="151" t="n"/>
    </row>
    <row r="841" ht="36" customHeight="1">
      <c r="A841" s="46" t="n">
        <v>3171</v>
      </c>
      <c r="B841" s="4">
        <f>+VLOOKUP($A841,MAGAZZINO!$B$2:$M$100000,2,FALSE)</f>
        <v/>
      </c>
      <c r="C841" s="29">
        <f>+VLOOKUP($A841,MAGAZZINO!$B$2:$M$100000,3,FALSE)</f>
        <v/>
      </c>
      <c r="D841" s="3">
        <f>+VLOOKUP($A841,MAGAZZINO!$B$2:$M$100000,4,FALSE)</f>
        <v/>
      </c>
      <c r="E841" s="3">
        <f>+VLOOKUP($A841,MAGAZZINO!$B$2:$M$100000,5,FALSE)</f>
        <v/>
      </c>
      <c r="F841" s="3">
        <f>+VLOOKUP($A841,MAGAZZINO!$B$2:$M$100000,6,FALSE)</f>
        <v/>
      </c>
      <c r="G841" s="3">
        <f>+VLOOKUP($A841,MAGAZZINO!$B$2:$M$100000,7,FALSE)</f>
        <v/>
      </c>
      <c r="H841" s="3">
        <f>+VLOOKUP($A841,MAGAZZINO!$B$2:$M$100000,8,FALSE)</f>
        <v/>
      </c>
      <c r="I841" s="3">
        <f>+VLOOKUP($A841,MAGAZZINO!$B$2:$M$100000,9,FALSE)</f>
        <v/>
      </c>
      <c r="J841" s="3">
        <f>+VLOOKUP($A841,MAGAZZINO!$B$2:$M$100000,10,FALSE)</f>
        <v/>
      </c>
      <c r="K841" s="3">
        <f>+VLOOKUP($A841,MAGAZZINO!$B$2:$M$100000,11,FALSE)</f>
        <v/>
      </c>
      <c r="L841" s="5">
        <f>+VLOOKUP($A841,MAGAZZINO!$B$2:$M$100000,12,FALSE)</f>
        <v/>
      </c>
      <c r="M841" s="47" t="n"/>
      <c r="N841" s="54" t="n"/>
      <c r="O841" s="3" t="n"/>
      <c r="P841" s="149" t="n"/>
      <c r="Q841" s="150" t="n"/>
      <c r="R841" s="150" t="n"/>
      <c r="S841" s="151" t="n"/>
    </row>
    <row r="842" ht="36" customHeight="1">
      <c r="A842" s="46" t="n">
        <v>3172</v>
      </c>
      <c r="B842" s="4">
        <f>+VLOOKUP($A842,MAGAZZINO!$B$2:$M$100000,2,FALSE)</f>
        <v/>
      </c>
      <c r="C842" s="29">
        <f>+VLOOKUP($A842,MAGAZZINO!$B$2:$M$100000,3,FALSE)</f>
        <v/>
      </c>
      <c r="D842" s="3">
        <f>+VLOOKUP($A842,MAGAZZINO!$B$2:$M$100000,4,FALSE)</f>
        <v/>
      </c>
      <c r="E842" s="3">
        <f>+VLOOKUP($A842,MAGAZZINO!$B$2:$M$100000,5,FALSE)</f>
        <v/>
      </c>
      <c r="F842" s="3">
        <f>+VLOOKUP($A842,MAGAZZINO!$B$2:$M$100000,6,FALSE)</f>
        <v/>
      </c>
      <c r="G842" s="3">
        <f>+VLOOKUP($A842,MAGAZZINO!$B$2:$M$100000,7,FALSE)</f>
        <v/>
      </c>
      <c r="H842" s="3">
        <f>+VLOOKUP($A842,MAGAZZINO!$B$2:$M$100000,8,FALSE)</f>
        <v/>
      </c>
      <c r="I842" s="3">
        <f>+VLOOKUP($A842,MAGAZZINO!$B$2:$M$100000,9,FALSE)</f>
        <v/>
      </c>
      <c r="J842" s="3">
        <f>+VLOOKUP($A842,MAGAZZINO!$B$2:$M$100000,10,FALSE)</f>
        <v/>
      </c>
      <c r="K842" s="3">
        <f>+VLOOKUP($A842,MAGAZZINO!$B$2:$M$100000,11,FALSE)</f>
        <v/>
      </c>
      <c r="L842" s="5">
        <f>+VLOOKUP($A842,MAGAZZINO!$B$2:$M$100000,12,FALSE)</f>
        <v/>
      </c>
      <c r="M842" s="47" t="n"/>
      <c r="N842" s="54" t="n"/>
      <c r="O842" s="3" t="n"/>
      <c r="P842" s="149" t="n"/>
      <c r="Q842" s="150" t="n"/>
      <c r="R842" s="150" t="n"/>
      <c r="S842" s="151" t="n"/>
    </row>
    <row r="843" ht="36" customHeight="1">
      <c r="A843" s="46" t="n">
        <v>3173</v>
      </c>
      <c r="B843" s="4">
        <f>+VLOOKUP($A843,MAGAZZINO!$B$2:$M$100000,2,FALSE)</f>
        <v/>
      </c>
      <c r="C843" s="29">
        <f>+VLOOKUP($A843,MAGAZZINO!$B$2:$M$100000,3,FALSE)</f>
        <v/>
      </c>
      <c r="D843" s="3">
        <f>+VLOOKUP($A843,MAGAZZINO!$B$2:$M$100000,4,FALSE)</f>
        <v/>
      </c>
      <c r="E843" s="3">
        <f>+VLOOKUP($A843,MAGAZZINO!$B$2:$M$100000,5,FALSE)</f>
        <v/>
      </c>
      <c r="F843" s="3">
        <f>+VLOOKUP($A843,MAGAZZINO!$B$2:$M$100000,6,FALSE)</f>
        <v/>
      </c>
      <c r="G843" s="3">
        <f>+VLOOKUP($A843,MAGAZZINO!$B$2:$M$100000,7,FALSE)</f>
        <v/>
      </c>
      <c r="H843" s="3">
        <f>+VLOOKUP($A843,MAGAZZINO!$B$2:$M$100000,8,FALSE)</f>
        <v/>
      </c>
      <c r="I843" s="3">
        <f>+VLOOKUP($A843,MAGAZZINO!$B$2:$M$100000,9,FALSE)</f>
        <v/>
      </c>
      <c r="J843" s="3">
        <f>+VLOOKUP($A843,MAGAZZINO!$B$2:$M$100000,10,FALSE)</f>
        <v/>
      </c>
      <c r="K843" s="3">
        <f>+VLOOKUP($A843,MAGAZZINO!$B$2:$M$100000,11,FALSE)</f>
        <v/>
      </c>
      <c r="L843" s="5">
        <f>+VLOOKUP($A843,MAGAZZINO!$B$2:$M$100000,12,FALSE)</f>
        <v/>
      </c>
      <c r="M843" s="47" t="n"/>
      <c r="N843" s="54" t="n"/>
      <c r="O843" s="3" t="n"/>
      <c r="P843" s="149" t="n"/>
      <c r="Q843" s="150" t="n"/>
      <c r="R843" s="150" t="n"/>
      <c r="S843" s="151" t="n"/>
    </row>
    <row r="844" ht="36" customHeight="1">
      <c r="A844" s="46" t="n">
        <v>3174</v>
      </c>
      <c r="B844" s="4">
        <f>+VLOOKUP($A844,MAGAZZINO!$B$2:$M$100000,2,FALSE)</f>
        <v/>
      </c>
      <c r="C844" s="29">
        <f>+VLOOKUP($A844,MAGAZZINO!$B$2:$M$100000,3,FALSE)</f>
        <v/>
      </c>
      <c r="D844" s="3">
        <f>+VLOOKUP($A844,MAGAZZINO!$B$2:$M$100000,4,FALSE)</f>
        <v/>
      </c>
      <c r="E844" s="3">
        <f>+VLOOKUP($A844,MAGAZZINO!$B$2:$M$100000,5,FALSE)</f>
        <v/>
      </c>
      <c r="F844" s="3">
        <f>+VLOOKUP($A844,MAGAZZINO!$B$2:$M$100000,6,FALSE)</f>
        <v/>
      </c>
      <c r="G844" s="3">
        <f>+VLOOKUP($A844,MAGAZZINO!$B$2:$M$100000,7,FALSE)</f>
        <v/>
      </c>
      <c r="H844" s="3">
        <f>+VLOOKUP($A844,MAGAZZINO!$B$2:$M$100000,8,FALSE)</f>
        <v/>
      </c>
      <c r="I844" s="3">
        <f>+VLOOKUP($A844,MAGAZZINO!$B$2:$M$100000,9,FALSE)</f>
        <v/>
      </c>
      <c r="J844" s="3">
        <f>+VLOOKUP($A844,MAGAZZINO!$B$2:$M$100000,10,FALSE)</f>
        <v/>
      </c>
      <c r="K844" s="3">
        <f>+VLOOKUP($A844,MAGAZZINO!$B$2:$M$100000,11,FALSE)</f>
        <v/>
      </c>
      <c r="L844" s="5">
        <f>+VLOOKUP($A844,MAGAZZINO!$B$2:$M$100000,12,FALSE)</f>
        <v/>
      </c>
      <c r="M844" s="47" t="n"/>
      <c r="N844" s="54" t="n"/>
      <c r="O844" s="3" t="n"/>
      <c r="P844" s="149" t="n"/>
      <c r="Q844" s="150" t="n"/>
      <c r="R844" s="150" t="n"/>
      <c r="S844" s="151" t="n"/>
    </row>
    <row r="845" ht="36" customHeight="1">
      <c r="A845" s="46" t="n">
        <v>3175</v>
      </c>
      <c r="B845" s="4">
        <f>+VLOOKUP($A845,MAGAZZINO!$B$2:$M$100000,2,FALSE)</f>
        <v/>
      </c>
      <c r="C845" s="29">
        <f>+VLOOKUP($A845,MAGAZZINO!$B$2:$M$100000,3,FALSE)</f>
        <v/>
      </c>
      <c r="D845" s="3">
        <f>+VLOOKUP($A845,MAGAZZINO!$B$2:$M$100000,4,FALSE)</f>
        <v/>
      </c>
      <c r="E845" s="3">
        <f>+VLOOKUP($A845,MAGAZZINO!$B$2:$M$100000,5,FALSE)</f>
        <v/>
      </c>
      <c r="F845" s="3">
        <f>+VLOOKUP($A845,MAGAZZINO!$B$2:$M$100000,6,FALSE)</f>
        <v/>
      </c>
      <c r="G845" s="3">
        <f>+VLOOKUP($A845,MAGAZZINO!$B$2:$M$100000,7,FALSE)</f>
        <v/>
      </c>
      <c r="H845" s="3">
        <f>+VLOOKUP($A845,MAGAZZINO!$B$2:$M$100000,8,FALSE)</f>
        <v/>
      </c>
      <c r="I845" s="3">
        <f>+VLOOKUP($A845,MAGAZZINO!$B$2:$M$100000,9,FALSE)</f>
        <v/>
      </c>
      <c r="J845" s="3">
        <f>+VLOOKUP($A845,MAGAZZINO!$B$2:$M$100000,10,FALSE)</f>
        <v/>
      </c>
      <c r="K845" s="3">
        <f>+VLOOKUP($A845,MAGAZZINO!$B$2:$M$100000,11,FALSE)</f>
        <v/>
      </c>
      <c r="L845" s="5">
        <f>+VLOOKUP($A845,MAGAZZINO!$B$2:$M$100000,12,FALSE)</f>
        <v/>
      </c>
      <c r="M845" s="47" t="n"/>
      <c r="N845" s="54" t="n"/>
      <c r="O845" s="3" t="n"/>
      <c r="P845" s="149" t="n"/>
      <c r="Q845" s="150" t="n"/>
      <c r="R845" s="150" t="n"/>
      <c r="S845" s="151" t="n"/>
    </row>
    <row r="846" ht="36" customHeight="1">
      <c r="A846" s="46" t="n">
        <v>3176</v>
      </c>
      <c r="B846" s="4">
        <f>+VLOOKUP($A846,MAGAZZINO!$B$2:$M$100000,2,FALSE)</f>
        <v/>
      </c>
      <c r="C846" s="29">
        <f>+VLOOKUP($A846,MAGAZZINO!$B$2:$M$100000,3,FALSE)</f>
        <v/>
      </c>
      <c r="D846" s="3">
        <f>+VLOOKUP($A846,MAGAZZINO!$B$2:$M$100000,4,FALSE)</f>
        <v/>
      </c>
      <c r="E846" s="3">
        <f>+VLOOKUP($A846,MAGAZZINO!$B$2:$M$100000,5,FALSE)</f>
        <v/>
      </c>
      <c r="F846" s="3">
        <f>+VLOOKUP($A846,MAGAZZINO!$B$2:$M$100000,6,FALSE)</f>
        <v/>
      </c>
      <c r="G846" s="3">
        <f>+VLOOKUP($A846,MAGAZZINO!$B$2:$M$100000,7,FALSE)</f>
        <v/>
      </c>
      <c r="H846" s="3">
        <f>+VLOOKUP($A846,MAGAZZINO!$B$2:$M$100000,8,FALSE)</f>
        <v/>
      </c>
      <c r="I846" s="3">
        <f>+VLOOKUP($A846,MAGAZZINO!$B$2:$M$100000,9,FALSE)</f>
        <v/>
      </c>
      <c r="J846" s="3">
        <f>+VLOOKUP($A846,MAGAZZINO!$B$2:$M$100000,10,FALSE)</f>
        <v/>
      </c>
      <c r="K846" s="3">
        <f>+VLOOKUP($A846,MAGAZZINO!$B$2:$M$100000,11,FALSE)</f>
        <v/>
      </c>
      <c r="L846" s="5">
        <f>+VLOOKUP($A846,MAGAZZINO!$B$2:$M$100000,12,FALSE)</f>
        <v/>
      </c>
      <c r="M846" s="47" t="n"/>
      <c r="N846" s="54" t="n"/>
      <c r="O846" s="3" t="n"/>
      <c r="P846" s="149" t="n"/>
      <c r="Q846" s="150" t="n"/>
      <c r="R846" s="150" t="n"/>
      <c r="S846" s="151" t="n"/>
    </row>
    <row r="847" ht="36" customHeight="1">
      <c r="A847" s="46" t="n">
        <v>3177</v>
      </c>
      <c r="B847" s="4">
        <f>+VLOOKUP($A847,MAGAZZINO!$B$2:$M$100000,2,FALSE)</f>
        <v/>
      </c>
      <c r="C847" s="29">
        <f>+VLOOKUP($A847,MAGAZZINO!$B$2:$M$100000,3,FALSE)</f>
        <v/>
      </c>
      <c r="D847" s="3">
        <f>+VLOOKUP($A847,MAGAZZINO!$B$2:$M$100000,4,FALSE)</f>
        <v/>
      </c>
      <c r="E847" s="3">
        <f>+VLOOKUP($A847,MAGAZZINO!$B$2:$M$100000,5,FALSE)</f>
        <v/>
      </c>
      <c r="F847" s="3">
        <f>+VLOOKUP($A847,MAGAZZINO!$B$2:$M$100000,6,FALSE)</f>
        <v/>
      </c>
      <c r="G847" s="3">
        <f>+VLOOKUP($A847,MAGAZZINO!$B$2:$M$100000,7,FALSE)</f>
        <v/>
      </c>
      <c r="H847" s="3">
        <f>+VLOOKUP($A847,MAGAZZINO!$B$2:$M$100000,8,FALSE)</f>
        <v/>
      </c>
      <c r="I847" s="3">
        <f>+VLOOKUP($A847,MAGAZZINO!$B$2:$M$100000,9,FALSE)</f>
        <v/>
      </c>
      <c r="J847" s="3">
        <f>+VLOOKUP($A847,MAGAZZINO!$B$2:$M$100000,10,FALSE)</f>
        <v/>
      </c>
      <c r="K847" s="3">
        <f>+VLOOKUP($A847,MAGAZZINO!$B$2:$M$100000,11,FALSE)</f>
        <v/>
      </c>
      <c r="L847" s="5">
        <f>+VLOOKUP($A847,MAGAZZINO!$B$2:$M$100000,12,FALSE)</f>
        <v/>
      </c>
      <c r="M847" s="47" t="n"/>
      <c r="N847" s="54" t="n"/>
      <c r="O847" s="3" t="n"/>
      <c r="P847" s="149" t="n"/>
      <c r="Q847" s="150" t="n"/>
      <c r="R847" s="150" t="n"/>
      <c r="S847" s="151" t="n"/>
    </row>
    <row r="848" ht="36" customHeight="1">
      <c r="A848" s="46" t="n">
        <v>3178</v>
      </c>
      <c r="B848" s="4">
        <f>+VLOOKUP($A848,MAGAZZINO!$B$2:$M$100000,2,FALSE)</f>
        <v/>
      </c>
      <c r="C848" s="29">
        <f>+VLOOKUP($A848,MAGAZZINO!$B$2:$M$100000,3,FALSE)</f>
        <v/>
      </c>
      <c r="D848" s="3">
        <f>+VLOOKUP($A848,MAGAZZINO!$B$2:$M$100000,4,FALSE)</f>
        <v/>
      </c>
      <c r="E848" s="3">
        <f>+VLOOKUP($A848,MAGAZZINO!$B$2:$M$100000,5,FALSE)</f>
        <v/>
      </c>
      <c r="F848" s="3">
        <f>+VLOOKUP($A848,MAGAZZINO!$B$2:$M$100000,6,FALSE)</f>
        <v/>
      </c>
      <c r="G848" s="3">
        <f>+VLOOKUP($A848,MAGAZZINO!$B$2:$M$100000,7,FALSE)</f>
        <v/>
      </c>
      <c r="H848" s="3">
        <f>+VLOOKUP($A848,MAGAZZINO!$B$2:$M$100000,8,FALSE)</f>
        <v/>
      </c>
      <c r="I848" s="3">
        <f>+VLOOKUP($A848,MAGAZZINO!$B$2:$M$100000,9,FALSE)</f>
        <v/>
      </c>
      <c r="J848" s="3">
        <f>+VLOOKUP($A848,MAGAZZINO!$B$2:$M$100000,10,FALSE)</f>
        <v/>
      </c>
      <c r="K848" s="3">
        <f>+VLOOKUP($A848,MAGAZZINO!$B$2:$M$100000,11,FALSE)</f>
        <v/>
      </c>
      <c r="L848" s="5">
        <f>+VLOOKUP($A848,MAGAZZINO!$B$2:$M$100000,12,FALSE)</f>
        <v/>
      </c>
      <c r="M848" s="47" t="n"/>
      <c r="N848" s="54" t="n"/>
      <c r="O848" s="3" t="n"/>
      <c r="P848" s="149" t="n"/>
      <c r="Q848" s="150" t="n"/>
      <c r="R848" s="150" t="n"/>
      <c r="S848" s="151" t="n"/>
    </row>
    <row r="849" ht="36" customHeight="1">
      <c r="A849" s="46" t="n">
        <v>3179</v>
      </c>
      <c r="B849" s="4">
        <f>+VLOOKUP($A849,MAGAZZINO!$B$2:$M$100000,2,FALSE)</f>
        <v/>
      </c>
      <c r="C849" s="29">
        <f>+VLOOKUP($A849,MAGAZZINO!$B$2:$M$100000,3,FALSE)</f>
        <v/>
      </c>
      <c r="D849" s="3">
        <f>+VLOOKUP($A849,MAGAZZINO!$B$2:$M$100000,4,FALSE)</f>
        <v/>
      </c>
      <c r="E849" s="3">
        <f>+VLOOKUP($A849,MAGAZZINO!$B$2:$M$100000,5,FALSE)</f>
        <v/>
      </c>
      <c r="F849" s="3">
        <f>+VLOOKUP($A849,MAGAZZINO!$B$2:$M$100000,6,FALSE)</f>
        <v/>
      </c>
      <c r="G849" s="3">
        <f>+VLOOKUP($A849,MAGAZZINO!$B$2:$M$100000,7,FALSE)</f>
        <v/>
      </c>
      <c r="H849" s="3">
        <f>+VLOOKUP($A849,MAGAZZINO!$B$2:$M$100000,8,FALSE)</f>
        <v/>
      </c>
      <c r="I849" s="3">
        <f>+VLOOKUP($A849,MAGAZZINO!$B$2:$M$100000,9,FALSE)</f>
        <v/>
      </c>
      <c r="J849" s="3">
        <f>+VLOOKUP($A849,MAGAZZINO!$B$2:$M$100000,10,FALSE)</f>
        <v/>
      </c>
      <c r="K849" s="3">
        <f>+VLOOKUP($A849,MAGAZZINO!$B$2:$M$100000,11,FALSE)</f>
        <v/>
      </c>
      <c r="L849" s="5">
        <f>+VLOOKUP($A849,MAGAZZINO!$B$2:$M$100000,12,FALSE)</f>
        <v/>
      </c>
      <c r="M849" s="47" t="n"/>
      <c r="N849" s="54" t="n"/>
      <c r="O849" s="3" t="n"/>
      <c r="P849" s="149" t="n"/>
      <c r="Q849" s="150" t="n"/>
      <c r="R849" s="150" t="n"/>
      <c r="S849" s="151" t="n"/>
    </row>
    <row r="850" ht="36" customHeight="1">
      <c r="A850" s="46" t="n">
        <v>3180</v>
      </c>
      <c r="B850" s="4">
        <f>+VLOOKUP($A850,MAGAZZINO!$B$2:$M$100000,2,FALSE)</f>
        <v/>
      </c>
      <c r="C850" s="29">
        <f>+VLOOKUP($A850,MAGAZZINO!$B$2:$M$100000,3,FALSE)</f>
        <v/>
      </c>
      <c r="D850" s="3">
        <f>+VLOOKUP($A850,MAGAZZINO!$B$2:$M$100000,4,FALSE)</f>
        <v/>
      </c>
      <c r="E850" s="3">
        <f>+VLOOKUP($A850,MAGAZZINO!$B$2:$M$100000,5,FALSE)</f>
        <v/>
      </c>
      <c r="F850" s="3">
        <f>+VLOOKUP($A850,MAGAZZINO!$B$2:$M$100000,6,FALSE)</f>
        <v/>
      </c>
      <c r="G850" s="3">
        <f>+VLOOKUP($A850,MAGAZZINO!$B$2:$M$100000,7,FALSE)</f>
        <v/>
      </c>
      <c r="H850" s="3">
        <f>+VLOOKUP($A850,MAGAZZINO!$B$2:$M$100000,8,FALSE)</f>
        <v/>
      </c>
      <c r="I850" s="3">
        <f>+VLOOKUP($A850,MAGAZZINO!$B$2:$M$100000,9,FALSE)</f>
        <v/>
      </c>
      <c r="J850" s="3">
        <f>+VLOOKUP($A850,MAGAZZINO!$B$2:$M$100000,10,FALSE)</f>
        <v/>
      </c>
      <c r="K850" s="3">
        <f>+VLOOKUP($A850,MAGAZZINO!$B$2:$M$100000,11,FALSE)</f>
        <v/>
      </c>
      <c r="L850" s="5">
        <f>+VLOOKUP($A850,MAGAZZINO!$B$2:$M$100000,12,FALSE)</f>
        <v/>
      </c>
      <c r="M850" s="47" t="n"/>
      <c r="N850" s="54" t="n"/>
      <c r="O850" s="3" t="n"/>
      <c r="P850" s="149" t="n"/>
      <c r="Q850" s="150" t="n"/>
      <c r="R850" s="150" t="n"/>
      <c r="S850" s="151" t="n"/>
    </row>
    <row r="851" ht="36" customHeight="1">
      <c r="A851" s="46" t="n">
        <v>3181</v>
      </c>
      <c r="B851" s="4">
        <f>+VLOOKUP($A851,MAGAZZINO!$B$2:$M$100000,2,FALSE)</f>
        <v/>
      </c>
      <c r="C851" s="29">
        <f>+VLOOKUP($A851,MAGAZZINO!$B$2:$M$100000,3,FALSE)</f>
        <v/>
      </c>
      <c r="D851" s="3">
        <f>+VLOOKUP($A851,MAGAZZINO!$B$2:$M$100000,4,FALSE)</f>
        <v/>
      </c>
      <c r="E851" s="3">
        <f>+VLOOKUP($A851,MAGAZZINO!$B$2:$M$100000,5,FALSE)</f>
        <v/>
      </c>
      <c r="F851" s="3">
        <f>+VLOOKUP($A851,MAGAZZINO!$B$2:$M$100000,6,FALSE)</f>
        <v/>
      </c>
      <c r="G851" s="3">
        <f>+VLOOKUP($A851,MAGAZZINO!$B$2:$M$100000,7,FALSE)</f>
        <v/>
      </c>
      <c r="H851" s="3">
        <f>+VLOOKUP($A851,MAGAZZINO!$B$2:$M$100000,8,FALSE)</f>
        <v/>
      </c>
      <c r="I851" s="3">
        <f>+VLOOKUP($A851,MAGAZZINO!$B$2:$M$100000,9,FALSE)</f>
        <v/>
      </c>
      <c r="J851" s="3">
        <f>+VLOOKUP($A851,MAGAZZINO!$B$2:$M$100000,10,FALSE)</f>
        <v/>
      </c>
      <c r="K851" s="3">
        <f>+VLOOKUP($A851,MAGAZZINO!$B$2:$M$100000,11,FALSE)</f>
        <v/>
      </c>
      <c r="L851" s="5">
        <f>+VLOOKUP($A851,MAGAZZINO!$B$2:$M$100000,12,FALSE)</f>
        <v/>
      </c>
      <c r="M851" s="47" t="n"/>
      <c r="N851" s="54" t="n"/>
      <c r="O851" s="3" t="n"/>
      <c r="P851" s="149" t="n"/>
      <c r="Q851" s="150" t="n"/>
      <c r="R851" s="150" t="n"/>
      <c r="S851" s="151" t="n"/>
    </row>
    <row r="852" ht="36" customHeight="1">
      <c r="A852" s="46" t="n">
        <v>3182</v>
      </c>
      <c r="B852" s="4">
        <f>+VLOOKUP($A852,MAGAZZINO!$B$2:$M$100000,2,FALSE)</f>
        <v/>
      </c>
      <c r="C852" s="29">
        <f>+VLOOKUP($A852,MAGAZZINO!$B$2:$M$100000,3,FALSE)</f>
        <v/>
      </c>
      <c r="D852" s="3">
        <f>+VLOOKUP($A852,MAGAZZINO!$B$2:$M$100000,4,FALSE)</f>
        <v/>
      </c>
      <c r="E852" s="3">
        <f>+VLOOKUP($A852,MAGAZZINO!$B$2:$M$100000,5,FALSE)</f>
        <v/>
      </c>
      <c r="F852" s="3">
        <f>+VLOOKUP($A852,MAGAZZINO!$B$2:$M$100000,6,FALSE)</f>
        <v/>
      </c>
      <c r="G852" s="3">
        <f>+VLOOKUP($A852,MAGAZZINO!$B$2:$M$100000,7,FALSE)</f>
        <v/>
      </c>
      <c r="H852" s="3">
        <f>+VLOOKUP($A852,MAGAZZINO!$B$2:$M$100000,8,FALSE)</f>
        <v/>
      </c>
      <c r="I852" s="3">
        <f>+VLOOKUP($A852,MAGAZZINO!$B$2:$M$100000,9,FALSE)</f>
        <v/>
      </c>
      <c r="J852" s="3">
        <f>+VLOOKUP($A852,MAGAZZINO!$B$2:$M$100000,10,FALSE)</f>
        <v/>
      </c>
      <c r="K852" s="3">
        <f>+VLOOKUP($A852,MAGAZZINO!$B$2:$M$100000,11,FALSE)</f>
        <v/>
      </c>
      <c r="L852" s="5">
        <f>+VLOOKUP($A852,MAGAZZINO!$B$2:$M$100000,12,FALSE)</f>
        <v/>
      </c>
      <c r="M852" s="47" t="n"/>
      <c r="N852" s="54" t="n"/>
      <c r="O852" s="3" t="n"/>
      <c r="P852" s="149" t="n"/>
      <c r="Q852" s="150" t="n"/>
      <c r="R852" s="150" t="n"/>
      <c r="S852" s="151" t="n"/>
    </row>
    <row r="853" ht="36" customHeight="1">
      <c r="A853" s="46" t="n">
        <v>3183</v>
      </c>
      <c r="B853" s="4">
        <f>+VLOOKUP($A853,MAGAZZINO!$B$2:$M$100000,2,FALSE)</f>
        <v/>
      </c>
      <c r="C853" s="29">
        <f>+VLOOKUP($A853,MAGAZZINO!$B$2:$M$100000,3,FALSE)</f>
        <v/>
      </c>
      <c r="D853" s="3">
        <f>+VLOOKUP($A853,MAGAZZINO!$B$2:$M$100000,4,FALSE)</f>
        <v/>
      </c>
      <c r="E853" s="3">
        <f>+VLOOKUP($A853,MAGAZZINO!$B$2:$M$100000,5,FALSE)</f>
        <v/>
      </c>
      <c r="F853" s="3">
        <f>+VLOOKUP($A853,MAGAZZINO!$B$2:$M$100000,6,FALSE)</f>
        <v/>
      </c>
      <c r="G853" s="3">
        <f>+VLOOKUP($A853,MAGAZZINO!$B$2:$M$100000,7,FALSE)</f>
        <v/>
      </c>
      <c r="H853" s="3">
        <f>+VLOOKUP($A853,MAGAZZINO!$B$2:$M$100000,8,FALSE)</f>
        <v/>
      </c>
      <c r="I853" s="3">
        <f>+VLOOKUP($A853,MAGAZZINO!$B$2:$M$100000,9,FALSE)</f>
        <v/>
      </c>
      <c r="J853" s="3">
        <f>+VLOOKUP($A853,MAGAZZINO!$B$2:$M$100000,10,FALSE)</f>
        <v/>
      </c>
      <c r="K853" s="3">
        <f>+VLOOKUP($A853,MAGAZZINO!$B$2:$M$100000,11,FALSE)</f>
        <v/>
      </c>
      <c r="L853" s="5">
        <f>+VLOOKUP($A853,MAGAZZINO!$B$2:$M$100000,12,FALSE)</f>
        <v/>
      </c>
      <c r="M853" s="47" t="n"/>
      <c r="N853" s="54" t="n"/>
      <c r="O853" s="3" t="n"/>
      <c r="P853" s="149" t="n"/>
      <c r="Q853" s="150" t="n"/>
      <c r="R853" s="150" t="n"/>
      <c r="S853" s="151" t="n"/>
    </row>
    <row r="854" ht="36" customHeight="1">
      <c r="A854" s="46" t="n">
        <v>3184</v>
      </c>
      <c r="B854" s="4">
        <f>+VLOOKUP($A854,MAGAZZINO!$B$2:$M$100000,2,FALSE)</f>
        <v/>
      </c>
      <c r="C854" s="29">
        <f>+VLOOKUP($A854,MAGAZZINO!$B$2:$M$100000,3,FALSE)</f>
        <v/>
      </c>
      <c r="D854" s="3">
        <f>+VLOOKUP($A854,MAGAZZINO!$B$2:$M$100000,4,FALSE)</f>
        <v/>
      </c>
      <c r="E854" s="3">
        <f>+VLOOKUP($A854,MAGAZZINO!$B$2:$M$100000,5,FALSE)</f>
        <v/>
      </c>
      <c r="F854" s="3">
        <f>+VLOOKUP($A854,MAGAZZINO!$B$2:$M$100000,6,FALSE)</f>
        <v/>
      </c>
      <c r="G854" s="3">
        <f>+VLOOKUP($A854,MAGAZZINO!$B$2:$M$100000,7,FALSE)</f>
        <v/>
      </c>
      <c r="H854" s="3">
        <f>+VLOOKUP($A854,MAGAZZINO!$B$2:$M$100000,8,FALSE)</f>
        <v/>
      </c>
      <c r="I854" s="3">
        <f>+VLOOKUP($A854,MAGAZZINO!$B$2:$M$100000,9,FALSE)</f>
        <v/>
      </c>
      <c r="J854" s="3">
        <f>+VLOOKUP($A854,MAGAZZINO!$B$2:$M$100000,10,FALSE)</f>
        <v/>
      </c>
      <c r="K854" s="3">
        <f>+VLOOKUP($A854,MAGAZZINO!$B$2:$M$100000,11,FALSE)</f>
        <v/>
      </c>
      <c r="L854" s="5">
        <f>+VLOOKUP($A854,MAGAZZINO!$B$2:$M$100000,12,FALSE)</f>
        <v/>
      </c>
      <c r="M854" s="47" t="n"/>
      <c r="N854" s="54" t="n"/>
      <c r="O854" s="3" t="n"/>
      <c r="P854" s="149" t="n"/>
      <c r="Q854" s="150" t="n"/>
      <c r="R854" s="150" t="n"/>
      <c r="S854" s="151" t="n"/>
    </row>
    <row r="855" ht="36" customHeight="1">
      <c r="A855" s="46" t="n">
        <v>3185</v>
      </c>
      <c r="B855" s="4">
        <f>+VLOOKUP($A855,MAGAZZINO!$B$2:$M$100000,2,FALSE)</f>
        <v/>
      </c>
      <c r="C855" s="29">
        <f>+VLOOKUP($A855,MAGAZZINO!$B$2:$M$100000,3,FALSE)</f>
        <v/>
      </c>
      <c r="D855" s="3">
        <f>+VLOOKUP($A855,MAGAZZINO!$B$2:$M$100000,4,FALSE)</f>
        <v/>
      </c>
      <c r="E855" s="3">
        <f>+VLOOKUP($A855,MAGAZZINO!$B$2:$M$100000,5,FALSE)</f>
        <v/>
      </c>
      <c r="F855" s="3">
        <f>+VLOOKUP($A855,MAGAZZINO!$B$2:$M$100000,6,FALSE)</f>
        <v/>
      </c>
      <c r="G855" s="3">
        <f>+VLOOKUP($A855,MAGAZZINO!$B$2:$M$100000,7,FALSE)</f>
        <v/>
      </c>
      <c r="H855" s="3">
        <f>+VLOOKUP($A855,MAGAZZINO!$B$2:$M$100000,8,FALSE)</f>
        <v/>
      </c>
      <c r="I855" s="3">
        <f>+VLOOKUP($A855,MAGAZZINO!$B$2:$M$100000,9,FALSE)</f>
        <v/>
      </c>
      <c r="J855" s="3">
        <f>+VLOOKUP($A855,MAGAZZINO!$B$2:$M$100000,10,FALSE)</f>
        <v/>
      </c>
      <c r="K855" s="3">
        <f>+VLOOKUP($A855,MAGAZZINO!$B$2:$M$100000,11,FALSE)</f>
        <v/>
      </c>
      <c r="L855" s="5">
        <f>+VLOOKUP($A855,MAGAZZINO!$B$2:$M$100000,12,FALSE)</f>
        <v/>
      </c>
      <c r="M855" s="47" t="n"/>
      <c r="N855" s="54" t="n"/>
      <c r="O855" s="3" t="n"/>
      <c r="P855" s="149" t="n"/>
      <c r="Q855" s="150" t="n"/>
      <c r="R855" s="150" t="n"/>
      <c r="S855" s="151" t="n"/>
    </row>
    <row r="856" ht="36" customHeight="1">
      <c r="A856" s="46" t="n">
        <v>3186</v>
      </c>
      <c r="B856" s="4">
        <f>+VLOOKUP($A856,MAGAZZINO!$B$2:$M$100000,2,FALSE)</f>
        <v/>
      </c>
      <c r="C856" s="29">
        <f>+VLOOKUP($A856,MAGAZZINO!$B$2:$M$100000,3,FALSE)</f>
        <v/>
      </c>
      <c r="D856" s="3">
        <f>+VLOOKUP($A856,MAGAZZINO!$B$2:$M$100000,4,FALSE)</f>
        <v/>
      </c>
      <c r="E856" s="3">
        <f>+VLOOKUP($A856,MAGAZZINO!$B$2:$M$100000,5,FALSE)</f>
        <v/>
      </c>
      <c r="F856" s="3">
        <f>+VLOOKUP($A856,MAGAZZINO!$B$2:$M$100000,6,FALSE)</f>
        <v/>
      </c>
      <c r="G856" s="3">
        <f>+VLOOKUP($A856,MAGAZZINO!$B$2:$M$100000,7,FALSE)</f>
        <v/>
      </c>
      <c r="H856" s="3">
        <f>+VLOOKUP($A856,MAGAZZINO!$B$2:$M$100000,8,FALSE)</f>
        <v/>
      </c>
      <c r="I856" s="3">
        <f>+VLOOKUP($A856,MAGAZZINO!$B$2:$M$100000,9,FALSE)</f>
        <v/>
      </c>
      <c r="J856" s="3">
        <f>+VLOOKUP($A856,MAGAZZINO!$B$2:$M$100000,10,FALSE)</f>
        <v/>
      </c>
      <c r="K856" s="3">
        <f>+VLOOKUP($A856,MAGAZZINO!$B$2:$M$100000,11,FALSE)</f>
        <v/>
      </c>
      <c r="L856" s="5">
        <f>+VLOOKUP($A856,MAGAZZINO!$B$2:$M$100000,12,FALSE)</f>
        <v/>
      </c>
      <c r="M856" s="47" t="n"/>
      <c r="N856" s="54" t="n"/>
      <c r="O856" s="3" t="n"/>
      <c r="P856" s="149" t="n"/>
      <c r="Q856" s="150" t="n"/>
      <c r="R856" s="150" t="n"/>
      <c r="S856" s="151" t="n"/>
    </row>
    <row r="857" ht="36" customHeight="1">
      <c r="A857" s="46" t="n">
        <v>3187</v>
      </c>
      <c r="B857" s="4">
        <f>+VLOOKUP($A857,MAGAZZINO!$B$2:$M$100000,2,FALSE)</f>
        <v/>
      </c>
      <c r="C857" s="29">
        <f>+VLOOKUP($A857,MAGAZZINO!$B$2:$M$100000,3,FALSE)</f>
        <v/>
      </c>
      <c r="D857" s="3">
        <f>+VLOOKUP($A857,MAGAZZINO!$B$2:$M$100000,4,FALSE)</f>
        <v/>
      </c>
      <c r="E857" s="3">
        <f>+VLOOKUP($A857,MAGAZZINO!$B$2:$M$100000,5,FALSE)</f>
        <v/>
      </c>
      <c r="F857" s="3">
        <f>+VLOOKUP($A857,MAGAZZINO!$B$2:$M$100000,6,FALSE)</f>
        <v/>
      </c>
      <c r="G857" s="3">
        <f>+VLOOKUP($A857,MAGAZZINO!$B$2:$M$100000,7,FALSE)</f>
        <v/>
      </c>
      <c r="H857" s="3">
        <f>+VLOOKUP($A857,MAGAZZINO!$B$2:$M$100000,8,FALSE)</f>
        <v/>
      </c>
      <c r="I857" s="3">
        <f>+VLOOKUP($A857,MAGAZZINO!$B$2:$M$100000,9,FALSE)</f>
        <v/>
      </c>
      <c r="J857" s="3">
        <f>+VLOOKUP($A857,MAGAZZINO!$B$2:$M$100000,10,FALSE)</f>
        <v/>
      </c>
      <c r="K857" s="3">
        <f>+VLOOKUP($A857,MAGAZZINO!$B$2:$M$100000,11,FALSE)</f>
        <v/>
      </c>
      <c r="L857" s="5">
        <f>+VLOOKUP($A857,MAGAZZINO!$B$2:$M$100000,12,FALSE)</f>
        <v/>
      </c>
      <c r="M857" s="47" t="n"/>
      <c r="N857" s="54" t="n"/>
      <c r="O857" s="3" t="n"/>
      <c r="P857" s="149" t="n"/>
      <c r="Q857" s="150" t="n"/>
      <c r="R857" s="150" t="n"/>
      <c r="S857" s="151" t="n"/>
    </row>
    <row r="858" ht="36" customHeight="1">
      <c r="A858" s="46" t="n">
        <v>3188</v>
      </c>
      <c r="B858" s="4">
        <f>+VLOOKUP($A858,MAGAZZINO!$B$2:$M$100000,2,FALSE)</f>
        <v/>
      </c>
      <c r="C858" s="29">
        <f>+VLOOKUP($A858,MAGAZZINO!$B$2:$M$100000,3,FALSE)</f>
        <v/>
      </c>
      <c r="D858" s="3">
        <f>+VLOOKUP($A858,MAGAZZINO!$B$2:$M$100000,4,FALSE)</f>
        <v/>
      </c>
      <c r="E858" s="3">
        <f>+VLOOKUP($A858,MAGAZZINO!$B$2:$M$100000,5,FALSE)</f>
        <v/>
      </c>
      <c r="F858" s="3">
        <f>+VLOOKUP($A858,MAGAZZINO!$B$2:$M$100000,6,FALSE)</f>
        <v/>
      </c>
      <c r="G858" s="3">
        <f>+VLOOKUP($A858,MAGAZZINO!$B$2:$M$100000,7,FALSE)</f>
        <v/>
      </c>
      <c r="H858" s="3">
        <f>+VLOOKUP($A858,MAGAZZINO!$B$2:$M$100000,8,FALSE)</f>
        <v/>
      </c>
      <c r="I858" s="3">
        <f>+VLOOKUP($A858,MAGAZZINO!$B$2:$M$100000,9,FALSE)</f>
        <v/>
      </c>
      <c r="J858" s="3">
        <f>+VLOOKUP($A858,MAGAZZINO!$B$2:$M$100000,10,FALSE)</f>
        <v/>
      </c>
      <c r="K858" s="3">
        <f>+VLOOKUP($A858,MAGAZZINO!$B$2:$M$100000,11,FALSE)</f>
        <v/>
      </c>
      <c r="L858" s="5">
        <f>+VLOOKUP($A858,MAGAZZINO!$B$2:$M$100000,12,FALSE)</f>
        <v/>
      </c>
      <c r="M858" s="47" t="n"/>
      <c r="N858" s="54" t="n"/>
      <c r="O858" s="3" t="n"/>
      <c r="P858" s="149" t="n"/>
      <c r="Q858" s="150" t="n"/>
      <c r="R858" s="150" t="n"/>
      <c r="S858" s="151" t="n"/>
    </row>
    <row r="859" ht="36" customHeight="1">
      <c r="A859" s="46" t="n">
        <v>3189</v>
      </c>
      <c r="B859" s="4">
        <f>+VLOOKUP($A859,MAGAZZINO!$B$2:$M$100000,2,FALSE)</f>
        <v/>
      </c>
      <c r="C859" s="29">
        <f>+VLOOKUP($A859,MAGAZZINO!$B$2:$M$100000,3,FALSE)</f>
        <v/>
      </c>
      <c r="D859" s="3">
        <f>+VLOOKUP($A859,MAGAZZINO!$B$2:$M$100000,4,FALSE)</f>
        <v/>
      </c>
      <c r="E859" s="3">
        <f>+VLOOKUP($A859,MAGAZZINO!$B$2:$M$100000,5,FALSE)</f>
        <v/>
      </c>
      <c r="F859" s="3">
        <f>+VLOOKUP($A859,MAGAZZINO!$B$2:$M$100000,6,FALSE)</f>
        <v/>
      </c>
      <c r="G859" s="3">
        <f>+VLOOKUP($A859,MAGAZZINO!$B$2:$M$100000,7,FALSE)</f>
        <v/>
      </c>
      <c r="H859" s="3">
        <f>+VLOOKUP($A859,MAGAZZINO!$B$2:$M$100000,8,FALSE)</f>
        <v/>
      </c>
      <c r="I859" s="3">
        <f>+VLOOKUP($A859,MAGAZZINO!$B$2:$M$100000,9,FALSE)</f>
        <v/>
      </c>
      <c r="J859" s="3">
        <f>+VLOOKUP($A859,MAGAZZINO!$B$2:$M$100000,10,FALSE)</f>
        <v/>
      </c>
      <c r="K859" s="3">
        <f>+VLOOKUP($A859,MAGAZZINO!$B$2:$M$100000,11,FALSE)</f>
        <v/>
      </c>
      <c r="L859" s="5">
        <f>+VLOOKUP($A859,MAGAZZINO!$B$2:$M$100000,12,FALSE)</f>
        <v/>
      </c>
      <c r="M859" s="47" t="n"/>
      <c r="N859" s="54" t="n"/>
      <c r="O859" s="3" t="n"/>
      <c r="P859" s="149" t="n"/>
      <c r="Q859" s="150" t="n"/>
      <c r="R859" s="150" t="n"/>
      <c r="S859" s="151" t="n"/>
    </row>
    <row r="860" ht="36" customHeight="1">
      <c r="A860" s="46" t="n">
        <v>3190</v>
      </c>
      <c r="B860" s="4">
        <f>+VLOOKUP($A860,MAGAZZINO!$B$2:$M$100000,2,FALSE)</f>
        <v/>
      </c>
      <c r="C860" s="29">
        <f>+VLOOKUP($A860,MAGAZZINO!$B$2:$M$100000,3,FALSE)</f>
        <v/>
      </c>
      <c r="D860" s="3">
        <f>+VLOOKUP($A860,MAGAZZINO!$B$2:$M$100000,4,FALSE)</f>
        <v/>
      </c>
      <c r="E860" s="3">
        <f>+VLOOKUP($A860,MAGAZZINO!$B$2:$M$100000,5,FALSE)</f>
        <v/>
      </c>
      <c r="F860" s="3">
        <f>+VLOOKUP($A860,MAGAZZINO!$B$2:$M$100000,6,FALSE)</f>
        <v/>
      </c>
      <c r="G860" s="3">
        <f>+VLOOKUP($A860,MAGAZZINO!$B$2:$M$100000,7,FALSE)</f>
        <v/>
      </c>
      <c r="H860" s="3">
        <f>+VLOOKUP($A860,MAGAZZINO!$B$2:$M$100000,8,FALSE)</f>
        <v/>
      </c>
      <c r="I860" s="3">
        <f>+VLOOKUP($A860,MAGAZZINO!$B$2:$M$100000,9,FALSE)</f>
        <v/>
      </c>
      <c r="J860" s="3">
        <f>+VLOOKUP($A860,MAGAZZINO!$B$2:$M$100000,10,FALSE)</f>
        <v/>
      </c>
      <c r="K860" s="3">
        <f>+VLOOKUP($A860,MAGAZZINO!$B$2:$M$100000,11,FALSE)</f>
        <v/>
      </c>
      <c r="L860" s="5">
        <f>+VLOOKUP($A860,MAGAZZINO!$B$2:$M$100000,12,FALSE)</f>
        <v/>
      </c>
      <c r="M860" s="47" t="n"/>
      <c r="N860" s="54" t="n"/>
      <c r="O860" s="3" t="n"/>
      <c r="P860" s="149" t="n"/>
      <c r="Q860" s="150" t="n"/>
      <c r="R860" s="150" t="n"/>
      <c r="S860" s="151" t="n"/>
    </row>
    <row r="861" ht="36" customHeight="1">
      <c r="A861" s="46" t="n">
        <v>3191</v>
      </c>
      <c r="B861" s="4">
        <f>+VLOOKUP($A861,MAGAZZINO!$B$2:$M$100000,2,FALSE)</f>
        <v/>
      </c>
      <c r="C861" s="29">
        <f>+VLOOKUP($A861,MAGAZZINO!$B$2:$M$100000,3,FALSE)</f>
        <v/>
      </c>
      <c r="D861" s="3">
        <f>+VLOOKUP($A861,MAGAZZINO!$B$2:$M$100000,4,FALSE)</f>
        <v/>
      </c>
      <c r="E861" s="3">
        <f>+VLOOKUP($A861,MAGAZZINO!$B$2:$M$100000,5,FALSE)</f>
        <v/>
      </c>
      <c r="F861" s="3">
        <f>+VLOOKUP($A861,MAGAZZINO!$B$2:$M$100000,6,FALSE)</f>
        <v/>
      </c>
      <c r="G861" s="3">
        <f>+VLOOKUP($A861,MAGAZZINO!$B$2:$M$100000,7,FALSE)</f>
        <v/>
      </c>
      <c r="H861" s="3">
        <f>+VLOOKUP($A861,MAGAZZINO!$B$2:$M$100000,8,FALSE)</f>
        <v/>
      </c>
      <c r="I861" s="3">
        <f>+VLOOKUP($A861,MAGAZZINO!$B$2:$M$100000,9,FALSE)</f>
        <v/>
      </c>
      <c r="J861" s="3">
        <f>+VLOOKUP($A861,MAGAZZINO!$B$2:$M$100000,10,FALSE)</f>
        <v/>
      </c>
      <c r="K861" s="3">
        <f>+VLOOKUP($A861,MAGAZZINO!$B$2:$M$100000,11,FALSE)</f>
        <v/>
      </c>
      <c r="L861" s="5">
        <f>+VLOOKUP($A861,MAGAZZINO!$B$2:$M$100000,12,FALSE)</f>
        <v/>
      </c>
      <c r="M861" s="47" t="n"/>
      <c r="N861" s="54" t="n"/>
      <c r="O861" s="3" t="n"/>
      <c r="P861" s="149" t="n"/>
      <c r="Q861" s="150" t="n"/>
      <c r="R861" s="150" t="n"/>
      <c r="S861" s="151" t="n"/>
    </row>
    <row r="862" ht="36" customHeight="1">
      <c r="A862" s="46" t="n">
        <v>3192</v>
      </c>
      <c r="B862" s="4">
        <f>+VLOOKUP($A862,MAGAZZINO!$B$2:$M$100000,2,FALSE)</f>
        <v/>
      </c>
      <c r="C862" s="29">
        <f>+VLOOKUP($A862,MAGAZZINO!$B$2:$M$100000,3,FALSE)</f>
        <v/>
      </c>
      <c r="D862" s="3">
        <f>+VLOOKUP($A862,MAGAZZINO!$B$2:$M$100000,4,FALSE)</f>
        <v/>
      </c>
      <c r="E862" s="3">
        <f>+VLOOKUP($A862,MAGAZZINO!$B$2:$M$100000,5,FALSE)</f>
        <v/>
      </c>
      <c r="F862" s="3">
        <f>+VLOOKUP($A862,MAGAZZINO!$B$2:$M$100000,6,FALSE)</f>
        <v/>
      </c>
      <c r="G862" s="3">
        <f>+VLOOKUP($A862,MAGAZZINO!$B$2:$M$100000,7,FALSE)</f>
        <v/>
      </c>
      <c r="H862" s="3">
        <f>+VLOOKUP($A862,MAGAZZINO!$B$2:$M$100000,8,FALSE)</f>
        <v/>
      </c>
      <c r="I862" s="3">
        <f>+VLOOKUP($A862,MAGAZZINO!$B$2:$M$100000,9,FALSE)</f>
        <v/>
      </c>
      <c r="J862" s="3">
        <f>+VLOOKUP($A862,MAGAZZINO!$B$2:$M$100000,10,FALSE)</f>
        <v/>
      </c>
      <c r="K862" s="3">
        <f>+VLOOKUP($A862,MAGAZZINO!$B$2:$M$100000,11,FALSE)</f>
        <v/>
      </c>
      <c r="L862" s="5">
        <f>+VLOOKUP($A862,MAGAZZINO!$B$2:$M$100000,12,FALSE)</f>
        <v/>
      </c>
      <c r="M862" s="47" t="n"/>
      <c r="N862" s="54" t="n"/>
      <c r="O862" s="3" t="n"/>
      <c r="P862" s="149" t="n"/>
      <c r="Q862" s="150" t="n"/>
      <c r="R862" s="150" t="n"/>
      <c r="S862" s="151" t="n"/>
    </row>
    <row r="863" ht="36" customHeight="1">
      <c r="A863" s="46" t="n">
        <v>3193</v>
      </c>
      <c r="B863" s="4">
        <f>+VLOOKUP($A863,MAGAZZINO!$B$2:$M$100000,2,FALSE)</f>
        <v/>
      </c>
      <c r="C863" s="29">
        <f>+VLOOKUP($A863,MAGAZZINO!$B$2:$M$100000,3,FALSE)</f>
        <v/>
      </c>
      <c r="D863" s="3">
        <f>+VLOOKUP($A863,MAGAZZINO!$B$2:$M$100000,4,FALSE)</f>
        <v/>
      </c>
      <c r="E863" s="3">
        <f>+VLOOKUP($A863,MAGAZZINO!$B$2:$M$100000,5,FALSE)</f>
        <v/>
      </c>
      <c r="F863" s="3">
        <f>+VLOOKUP($A863,MAGAZZINO!$B$2:$M$100000,6,FALSE)</f>
        <v/>
      </c>
      <c r="G863" s="3">
        <f>+VLOOKUP($A863,MAGAZZINO!$B$2:$M$100000,7,FALSE)</f>
        <v/>
      </c>
      <c r="H863" s="3">
        <f>+VLOOKUP($A863,MAGAZZINO!$B$2:$M$100000,8,FALSE)</f>
        <v/>
      </c>
      <c r="I863" s="3">
        <f>+VLOOKUP($A863,MAGAZZINO!$B$2:$M$100000,9,FALSE)</f>
        <v/>
      </c>
      <c r="J863" s="3">
        <f>+VLOOKUP($A863,MAGAZZINO!$B$2:$M$100000,10,FALSE)</f>
        <v/>
      </c>
      <c r="K863" s="3">
        <f>+VLOOKUP($A863,MAGAZZINO!$B$2:$M$100000,11,FALSE)</f>
        <v/>
      </c>
      <c r="L863" s="5">
        <f>+VLOOKUP($A863,MAGAZZINO!$B$2:$M$100000,12,FALSE)</f>
        <v/>
      </c>
      <c r="M863" s="47" t="n"/>
      <c r="N863" s="54" t="n"/>
      <c r="O863" s="3" t="n"/>
      <c r="P863" s="149" t="n"/>
      <c r="Q863" s="150" t="n"/>
      <c r="R863" s="150" t="n"/>
      <c r="S863" s="151" t="n"/>
    </row>
    <row r="864" ht="36" customHeight="1">
      <c r="A864" s="46" t="n">
        <v>3194</v>
      </c>
      <c r="B864" s="4">
        <f>+VLOOKUP($A864,MAGAZZINO!$B$2:$M$100000,2,FALSE)</f>
        <v/>
      </c>
      <c r="C864" s="29">
        <f>+VLOOKUP($A864,MAGAZZINO!$B$2:$M$100000,3,FALSE)</f>
        <v/>
      </c>
      <c r="D864" s="3">
        <f>+VLOOKUP($A864,MAGAZZINO!$B$2:$M$100000,4,FALSE)</f>
        <v/>
      </c>
      <c r="E864" s="3">
        <f>+VLOOKUP($A864,MAGAZZINO!$B$2:$M$100000,5,FALSE)</f>
        <v/>
      </c>
      <c r="F864" s="3">
        <f>+VLOOKUP($A864,MAGAZZINO!$B$2:$M$100000,6,FALSE)</f>
        <v/>
      </c>
      <c r="G864" s="3">
        <f>+VLOOKUP($A864,MAGAZZINO!$B$2:$M$100000,7,FALSE)</f>
        <v/>
      </c>
      <c r="H864" s="3">
        <f>+VLOOKUP($A864,MAGAZZINO!$B$2:$M$100000,8,FALSE)</f>
        <v/>
      </c>
      <c r="I864" s="3">
        <f>+VLOOKUP($A864,MAGAZZINO!$B$2:$M$100000,9,FALSE)</f>
        <v/>
      </c>
      <c r="J864" s="3">
        <f>+VLOOKUP($A864,MAGAZZINO!$B$2:$M$100000,10,FALSE)</f>
        <v/>
      </c>
      <c r="K864" s="3">
        <f>+VLOOKUP($A864,MAGAZZINO!$B$2:$M$100000,11,FALSE)</f>
        <v/>
      </c>
      <c r="L864" s="5">
        <f>+VLOOKUP($A864,MAGAZZINO!$B$2:$M$100000,12,FALSE)</f>
        <v/>
      </c>
      <c r="M864" s="47" t="n"/>
      <c r="N864" s="54" t="n"/>
      <c r="O864" s="3" t="n"/>
      <c r="P864" s="149" t="n"/>
      <c r="Q864" s="150" t="n"/>
      <c r="R864" s="150" t="n"/>
      <c r="S864" s="151" t="n"/>
    </row>
    <row r="865" ht="36" customHeight="1">
      <c r="A865" s="46" t="n">
        <v>3195</v>
      </c>
      <c r="B865" s="4">
        <f>+VLOOKUP($A865,MAGAZZINO!$B$2:$M$100000,2,FALSE)</f>
        <v/>
      </c>
      <c r="C865" s="29">
        <f>+VLOOKUP($A865,MAGAZZINO!$B$2:$M$100000,3,FALSE)</f>
        <v/>
      </c>
      <c r="D865" s="3">
        <f>+VLOOKUP($A865,MAGAZZINO!$B$2:$M$100000,4,FALSE)</f>
        <v/>
      </c>
      <c r="E865" s="3">
        <f>+VLOOKUP($A865,MAGAZZINO!$B$2:$M$100000,5,FALSE)</f>
        <v/>
      </c>
      <c r="F865" s="3">
        <f>+VLOOKUP($A865,MAGAZZINO!$B$2:$M$100000,6,FALSE)</f>
        <v/>
      </c>
      <c r="G865" s="3">
        <f>+VLOOKUP($A865,MAGAZZINO!$B$2:$M$100000,7,FALSE)</f>
        <v/>
      </c>
      <c r="H865" s="3">
        <f>+VLOOKUP($A865,MAGAZZINO!$B$2:$M$100000,8,FALSE)</f>
        <v/>
      </c>
      <c r="I865" s="3">
        <f>+VLOOKUP($A865,MAGAZZINO!$B$2:$M$100000,9,FALSE)</f>
        <v/>
      </c>
      <c r="J865" s="3">
        <f>+VLOOKUP($A865,MAGAZZINO!$B$2:$M$100000,10,FALSE)</f>
        <v/>
      </c>
      <c r="K865" s="3">
        <f>+VLOOKUP($A865,MAGAZZINO!$B$2:$M$100000,11,FALSE)</f>
        <v/>
      </c>
      <c r="L865" s="5">
        <f>+VLOOKUP($A865,MAGAZZINO!$B$2:$M$100000,12,FALSE)</f>
        <v/>
      </c>
      <c r="M865" s="47" t="n"/>
      <c r="N865" s="54" t="n"/>
      <c r="O865" s="3" t="n"/>
      <c r="P865" s="149" t="n"/>
      <c r="Q865" s="150" t="n"/>
      <c r="R865" s="150" t="n"/>
      <c r="S865" s="151" t="n"/>
    </row>
    <row r="866" ht="36" customHeight="1">
      <c r="A866" s="46" t="n">
        <v>3196</v>
      </c>
      <c r="B866" s="4">
        <f>+VLOOKUP($A866,MAGAZZINO!$B$2:$M$100000,2,FALSE)</f>
        <v/>
      </c>
      <c r="C866" s="29">
        <f>+VLOOKUP($A866,MAGAZZINO!$B$2:$M$100000,3,FALSE)</f>
        <v/>
      </c>
      <c r="D866" s="3">
        <f>+VLOOKUP($A866,MAGAZZINO!$B$2:$M$100000,4,FALSE)</f>
        <v/>
      </c>
      <c r="E866" s="3">
        <f>+VLOOKUP($A866,MAGAZZINO!$B$2:$M$100000,5,FALSE)</f>
        <v/>
      </c>
      <c r="F866" s="3">
        <f>+VLOOKUP($A866,MAGAZZINO!$B$2:$M$100000,6,FALSE)</f>
        <v/>
      </c>
      <c r="G866" s="3">
        <f>+VLOOKUP($A866,MAGAZZINO!$B$2:$M$100000,7,FALSE)</f>
        <v/>
      </c>
      <c r="H866" s="3">
        <f>+VLOOKUP($A866,MAGAZZINO!$B$2:$M$100000,8,FALSE)</f>
        <v/>
      </c>
      <c r="I866" s="3">
        <f>+VLOOKUP($A866,MAGAZZINO!$B$2:$M$100000,9,FALSE)</f>
        <v/>
      </c>
      <c r="J866" s="3">
        <f>+VLOOKUP($A866,MAGAZZINO!$B$2:$M$100000,10,FALSE)</f>
        <v/>
      </c>
      <c r="K866" s="3">
        <f>+VLOOKUP($A866,MAGAZZINO!$B$2:$M$100000,11,FALSE)</f>
        <v/>
      </c>
      <c r="L866" s="5">
        <f>+VLOOKUP($A866,MAGAZZINO!$B$2:$M$100000,12,FALSE)</f>
        <v/>
      </c>
      <c r="M866" s="47" t="n"/>
      <c r="N866" s="54" t="n"/>
      <c r="O866" s="3" t="n"/>
      <c r="P866" s="149" t="n"/>
      <c r="Q866" s="150" t="n"/>
      <c r="R866" s="150" t="n"/>
      <c r="S866" s="151" t="n"/>
    </row>
    <row r="867" ht="36" customHeight="1">
      <c r="A867" s="46" t="n">
        <v>3197</v>
      </c>
      <c r="B867" s="4">
        <f>+VLOOKUP($A867,MAGAZZINO!$B$2:$M$100000,2,FALSE)</f>
        <v/>
      </c>
      <c r="C867" s="29">
        <f>+VLOOKUP($A867,MAGAZZINO!$B$2:$M$100000,3,FALSE)</f>
        <v/>
      </c>
      <c r="D867" s="3">
        <f>+VLOOKUP($A867,MAGAZZINO!$B$2:$M$100000,4,FALSE)</f>
        <v/>
      </c>
      <c r="E867" s="3">
        <f>+VLOOKUP($A867,MAGAZZINO!$B$2:$M$100000,5,FALSE)</f>
        <v/>
      </c>
      <c r="F867" s="3">
        <f>+VLOOKUP($A867,MAGAZZINO!$B$2:$M$100000,6,FALSE)</f>
        <v/>
      </c>
      <c r="G867" s="3">
        <f>+VLOOKUP($A867,MAGAZZINO!$B$2:$M$100000,7,FALSE)</f>
        <v/>
      </c>
      <c r="H867" s="3">
        <f>+VLOOKUP($A867,MAGAZZINO!$B$2:$M$100000,8,FALSE)</f>
        <v/>
      </c>
      <c r="I867" s="3">
        <f>+VLOOKUP($A867,MAGAZZINO!$B$2:$M$100000,9,FALSE)</f>
        <v/>
      </c>
      <c r="J867" s="3">
        <f>+VLOOKUP($A867,MAGAZZINO!$B$2:$M$100000,10,FALSE)</f>
        <v/>
      </c>
      <c r="K867" s="3">
        <f>+VLOOKUP($A867,MAGAZZINO!$B$2:$M$100000,11,FALSE)</f>
        <v/>
      </c>
      <c r="L867" s="5">
        <f>+VLOOKUP($A867,MAGAZZINO!$B$2:$M$100000,12,FALSE)</f>
        <v/>
      </c>
      <c r="M867" s="47" t="n"/>
      <c r="N867" s="54" t="n"/>
      <c r="O867" s="3" t="n"/>
      <c r="P867" s="149" t="n"/>
      <c r="Q867" s="150" t="n"/>
      <c r="R867" s="150" t="n"/>
      <c r="S867" s="151" t="n"/>
    </row>
    <row r="868" ht="36" customHeight="1">
      <c r="A868" s="46" t="n">
        <v>3198</v>
      </c>
      <c r="B868" s="4">
        <f>+VLOOKUP($A868,MAGAZZINO!$B$2:$M$100000,2,FALSE)</f>
        <v/>
      </c>
      <c r="C868" s="29">
        <f>+VLOOKUP($A868,MAGAZZINO!$B$2:$M$100000,3,FALSE)</f>
        <v/>
      </c>
      <c r="D868" s="3">
        <f>+VLOOKUP($A868,MAGAZZINO!$B$2:$M$100000,4,FALSE)</f>
        <v/>
      </c>
      <c r="E868" s="3">
        <f>+VLOOKUP($A868,MAGAZZINO!$B$2:$M$100000,5,FALSE)</f>
        <v/>
      </c>
      <c r="F868" s="3">
        <f>+VLOOKUP($A868,MAGAZZINO!$B$2:$M$100000,6,FALSE)</f>
        <v/>
      </c>
      <c r="G868" s="3">
        <f>+VLOOKUP($A868,MAGAZZINO!$B$2:$M$100000,7,FALSE)</f>
        <v/>
      </c>
      <c r="H868" s="3">
        <f>+VLOOKUP($A868,MAGAZZINO!$B$2:$M$100000,8,FALSE)</f>
        <v/>
      </c>
      <c r="I868" s="3">
        <f>+VLOOKUP($A868,MAGAZZINO!$B$2:$M$100000,9,FALSE)</f>
        <v/>
      </c>
      <c r="J868" s="3">
        <f>+VLOOKUP($A868,MAGAZZINO!$B$2:$M$100000,10,FALSE)</f>
        <v/>
      </c>
      <c r="K868" s="3">
        <f>+VLOOKUP($A868,MAGAZZINO!$B$2:$M$100000,11,FALSE)</f>
        <v/>
      </c>
      <c r="L868" s="5">
        <f>+VLOOKUP($A868,MAGAZZINO!$B$2:$M$100000,12,FALSE)</f>
        <v/>
      </c>
      <c r="M868" s="47" t="n"/>
      <c r="N868" s="54" t="n"/>
      <c r="O868" s="3" t="n"/>
      <c r="P868" s="149" t="n"/>
      <c r="Q868" s="150" t="n"/>
      <c r="R868" s="150" t="n"/>
      <c r="S868" s="151" t="n"/>
    </row>
    <row r="869" ht="36" customHeight="1">
      <c r="A869" s="46" t="n">
        <v>3199</v>
      </c>
      <c r="B869" s="4">
        <f>+VLOOKUP($A869,MAGAZZINO!$B$2:$M$100000,2,FALSE)</f>
        <v/>
      </c>
      <c r="C869" s="29">
        <f>+VLOOKUP($A869,MAGAZZINO!$B$2:$M$100000,3,FALSE)</f>
        <v/>
      </c>
      <c r="D869" s="3">
        <f>+VLOOKUP($A869,MAGAZZINO!$B$2:$M$100000,4,FALSE)</f>
        <v/>
      </c>
      <c r="E869" s="3">
        <f>+VLOOKUP($A869,MAGAZZINO!$B$2:$M$100000,5,FALSE)</f>
        <v/>
      </c>
      <c r="F869" s="3">
        <f>+VLOOKUP($A869,MAGAZZINO!$B$2:$M$100000,6,FALSE)</f>
        <v/>
      </c>
      <c r="G869" s="3">
        <f>+VLOOKUP($A869,MAGAZZINO!$B$2:$M$100000,7,FALSE)</f>
        <v/>
      </c>
      <c r="H869" s="3">
        <f>+VLOOKUP($A869,MAGAZZINO!$B$2:$M$100000,8,FALSE)</f>
        <v/>
      </c>
      <c r="I869" s="3">
        <f>+VLOOKUP($A869,MAGAZZINO!$B$2:$M$100000,9,FALSE)</f>
        <v/>
      </c>
      <c r="J869" s="3">
        <f>+VLOOKUP($A869,MAGAZZINO!$B$2:$M$100000,10,FALSE)</f>
        <v/>
      </c>
      <c r="K869" s="3">
        <f>+VLOOKUP($A869,MAGAZZINO!$B$2:$M$100000,11,FALSE)</f>
        <v/>
      </c>
      <c r="L869" s="5">
        <f>+VLOOKUP($A869,MAGAZZINO!$B$2:$M$100000,12,FALSE)</f>
        <v/>
      </c>
      <c r="M869" s="47" t="n"/>
      <c r="N869" s="54" t="n"/>
      <c r="O869" s="3" t="n"/>
      <c r="P869" s="149" t="n"/>
      <c r="Q869" s="150" t="n"/>
      <c r="R869" s="150" t="n"/>
      <c r="S869" s="151" t="n"/>
    </row>
    <row r="870" ht="36" customHeight="1">
      <c r="A870" s="46" t="n">
        <v>3200</v>
      </c>
      <c r="B870" s="4">
        <f>+VLOOKUP($A870,MAGAZZINO!$B$2:$M$100000,2,FALSE)</f>
        <v/>
      </c>
      <c r="C870" s="29">
        <f>+VLOOKUP($A870,MAGAZZINO!$B$2:$M$100000,3,FALSE)</f>
        <v/>
      </c>
      <c r="D870" s="3">
        <f>+VLOOKUP($A870,MAGAZZINO!$B$2:$M$100000,4,FALSE)</f>
        <v/>
      </c>
      <c r="E870" s="3">
        <f>+VLOOKUP($A870,MAGAZZINO!$B$2:$M$100000,5,FALSE)</f>
        <v/>
      </c>
      <c r="F870" s="3">
        <f>+VLOOKUP($A870,MAGAZZINO!$B$2:$M$100000,6,FALSE)</f>
        <v/>
      </c>
      <c r="G870" s="3">
        <f>+VLOOKUP($A870,MAGAZZINO!$B$2:$M$100000,7,FALSE)</f>
        <v/>
      </c>
      <c r="H870" s="3">
        <f>+VLOOKUP($A870,MAGAZZINO!$B$2:$M$100000,8,FALSE)</f>
        <v/>
      </c>
      <c r="I870" s="3">
        <f>+VLOOKUP($A870,MAGAZZINO!$B$2:$M$100000,9,FALSE)</f>
        <v/>
      </c>
      <c r="J870" s="3">
        <f>+VLOOKUP($A870,MAGAZZINO!$B$2:$M$100000,10,FALSE)</f>
        <v/>
      </c>
      <c r="K870" s="3">
        <f>+VLOOKUP($A870,MAGAZZINO!$B$2:$M$100000,11,FALSE)</f>
        <v/>
      </c>
      <c r="L870" s="5">
        <f>+VLOOKUP($A870,MAGAZZINO!$B$2:$M$100000,12,FALSE)</f>
        <v/>
      </c>
      <c r="M870" s="47" t="n"/>
      <c r="N870" s="54" t="n"/>
      <c r="O870" s="3" t="n"/>
      <c r="P870" s="149" t="n"/>
      <c r="Q870" s="150" t="n"/>
      <c r="R870" s="150" t="n"/>
      <c r="S870" s="151" t="n"/>
    </row>
    <row r="871" ht="36" customHeight="1">
      <c r="A871" s="46" t="n">
        <v>3201</v>
      </c>
      <c r="B871" s="4">
        <f>+VLOOKUP($A871,MAGAZZINO!$B$2:$M$100000,2,FALSE)</f>
        <v/>
      </c>
      <c r="C871" s="29">
        <f>+VLOOKUP($A871,MAGAZZINO!$B$2:$M$100000,3,FALSE)</f>
        <v/>
      </c>
      <c r="D871" s="3">
        <f>+VLOOKUP($A871,MAGAZZINO!$B$2:$M$100000,4,FALSE)</f>
        <v/>
      </c>
      <c r="E871" s="3">
        <f>+VLOOKUP($A871,MAGAZZINO!$B$2:$M$100000,5,FALSE)</f>
        <v/>
      </c>
      <c r="F871" s="3">
        <f>+VLOOKUP($A871,MAGAZZINO!$B$2:$M$100000,6,FALSE)</f>
        <v/>
      </c>
      <c r="G871" s="3">
        <f>+VLOOKUP($A871,MAGAZZINO!$B$2:$M$100000,7,FALSE)</f>
        <v/>
      </c>
      <c r="H871" s="3">
        <f>+VLOOKUP($A871,MAGAZZINO!$B$2:$M$100000,8,FALSE)</f>
        <v/>
      </c>
      <c r="I871" s="3">
        <f>+VLOOKUP($A871,MAGAZZINO!$B$2:$M$100000,9,FALSE)</f>
        <v/>
      </c>
      <c r="J871" s="3">
        <f>+VLOOKUP($A871,MAGAZZINO!$B$2:$M$100000,10,FALSE)</f>
        <v/>
      </c>
      <c r="K871" s="3">
        <f>+VLOOKUP($A871,MAGAZZINO!$B$2:$M$100000,11,FALSE)</f>
        <v/>
      </c>
      <c r="L871" s="5">
        <f>+VLOOKUP($A871,MAGAZZINO!$B$2:$M$100000,12,FALSE)</f>
        <v/>
      </c>
      <c r="M871" s="47" t="n"/>
      <c r="N871" s="54" t="n"/>
      <c r="O871" s="3" t="n"/>
      <c r="P871" s="149" t="n"/>
      <c r="Q871" s="150" t="n"/>
      <c r="R871" s="150" t="n"/>
      <c r="S871" s="151" t="n"/>
    </row>
    <row r="872" ht="36" customHeight="1">
      <c r="A872" s="46" t="n">
        <v>3202</v>
      </c>
      <c r="B872" s="4">
        <f>+VLOOKUP($A872,MAGAZZINO!$B$2:$M$100000,2,FALSE)</f>
        <v/>
      </c>
      <c r="C872" s="29">
        <f>+VLOOKUP($A872,MAGAZZINO!$B$2:$M$100000,3,FALSE)</f>
        <v/>
      </c>
      <c r="D872" s="3">
        <f>+VLOOKUP($A872,MAGAZZINO!$B$2:$M$100000,4,FALSE)</f>
        <v/>
      </c>
      <c r="E872" s="3">
        <f>+VLOOKUP($A872,MAGAZZINO!$B$2:$M$100000,5,FALSE)</f>
        <v/>
      </c>
      <c r="F872" s="3">
        <f>+VLOOKUP($A872,MAGAZZINO!$B$2:$M$100000,6,FALSE)</f>
        <v/>
      </c>
      <c r="G872" s="3">
        <f>+VLOOKUP($A872,MAGAZZINO!$B$2:$M$100000,7,FALSE)</f>
        <v/>
      </c>
      <c r="H872" s="3">
        <f>+VLOOKUP($A872,MAGAZZINO!$B$2:$M$100000,8,FALSE)</f>
        <v/>
      </c>
      <c r="I872" s="3">
        <f>+VLOOKUP($A872,MAGAZZINO!$B$2:$M$100000,9,FALSE)</f>
        <v/>
      </c>
      <c r="J872" s="3">
        <f>+VLOOKUP($A872,MAGAZZINO!$B$2:$M$100000,10,FALSE)</f>
        <v/>
      </c>
      <c r="K872" s="3">
        <f>+VLOOKUP($A872,MAGAZZINO!$B$2:$M$100000,11,FALSE)</f>
        <v/>
      </c>
      <c r="L872" s="5">
        <f>+VLOOKUP($A872,MAGAZZINO!$B$2:$M$100000,12,FALSE)</f>
        <v/>
      </c>
      <c r="M872" s="47" t="n"/>
      <c r="N872" s="54" t="n"/>
      <c r="O872" s="3" t="n"/>
      <c r="P872" s="149" t="n"/>
      <c r="Q872" s="150" t="n"/>
      <c r="R872" s="150" t="n"/>
      <c r="S872" s="151" t="n"/>
    </row>
    <row r="873" ht="36" customHeight="1">
      <c r="A873" s="46" t="n">
        <v>3203</v>
      </c>
      <c r="B873" s="4">
        <f>+VLOOKUP($A873,MAGAZZINO!$B$2:$M$100000,2,FALSE)</f>
        <v/>
      </c>
      <c r="C873" s="29">
        <f>+VLOOKUP($A873,MAGAZZINO!$B$2:$M$100000,3,FALSE)</f>
        <v/>
      </c>
      <c r="D873" s="3">
        <f>+VLOOKUP($A873,MAGAZZINO!$B$2:$M$100000,4,FALSE)</f>
        <v/>
      </c>
      <c r="E873" s="3">
        <f>+VLOOKUP($A873,MAGAZZINO!$B$2:$M$100000,5,FALSE)</f>
        <v/>
      </c>
      <c r="F873" s="3">
        <f>+VLOOKUP($A873,MAGAZZINO!$B$2:$M$100000,6,FALSE)</f>
        <v/>
      </c>
      <c r="G873" s="3">
        <f>+VLOOKUP($A873,MAGAZZINO!$B$2:$M$100000,7,FALSE)</f>
        <v/>
      </c>
      <c r="H873" s="3">
        <f>+VLOOKUP($A873,MAGAZZINO!$B$2:$M$100000,8,FALSE)</f>
        <v/>
      </c>
      <c r="I873" s="3">
        <f>+VLOOKUP($A873,MAGAZZINO!$B$2:$M$100000,9,FALSE)</f>
        <v/>
      </c>
      <c r="J873" s="3">
        <f>+VLOOKUP($A873,MAGAZZINO!$B$2:$M$100000,10,FALSE)</f>
        <v/>
      </c>
      <c r="K873" s="3">
        <f>+VLOOKUP($A873,MAGAZZINO!$B$2:$M$100000,11,FALSE)</f>
        <v/>
      </c>
      <c r="L873" s="5">
        <f>+VLOOKUP($A873,MAGAZZINO!$B$2:$M$100000,12,FALSE)</f>
        <v/>
      </c>
      <c r="M873" s="47" t="n"/>
      <c r="N873" s="54" t="n"/>
      <c r="O873" s="3" t="n"/>
      <c r="P873" s="149" t="n"/>
      <c r="Q873" s="150" t="n"/>
      <c r="R873" s="150" t="n"/>
      <c r="S873" s="151" t="n"/>
    </row>
    <row r="874" ht="36" customHeight="1">
      <c r="A874" s="46" t="n">
        <v>3204</v>
      </c>
      <c r="B874" s="4">
        <f>+VLOOKUP($A874,MAGAZZINO!$B$2:$M$100000,2,FALSE)</f>
        <v/>
      </c>
      <c r="C874" s="29">
        <f>+VLOOKUP($A874,MAGAZZINO!$B$2:$M$100000,3,FALSE)</f>
        <v/>
      </c>
      <c r="D874" s="3">
        <f>+VLOOKUP($A874,MAGAZZINO!$B$2:$M$100000,4,FALSE)</f>
        <v/>
      </c>
      <c r="E874" s="3">
        <f>+VLOOKUP($A874,MAGAZZINO!$B$2:$M$100000,5,FALSE)</f>
        <v/>
      </c>
      <c r="F874" s="3">
        <f>+VLOOKUP($A874,MAGAZZINO!$B$2:$M$100000,6,FALSE)</f>
        <v/>
      </c>
      <c r="G874" s="3">
        <f>+VLOOKUP($A874,MAGAZZINO!$B$2:$M$100000,7,FALSE)</f>
        <v/>
      </c>
      <c r="H874" s="3">
        <f>+VLOOKUP($A874,MAGAZZINO!$B$2:$M$100000,8,FALSE)</f>
        <v/>
      </c>
      <c r="I874" s="3">
        <f>+VLOOKUP($A874,MAGAZZINO!$B$2:$M$100000,9,FALSE)</f>
        <v/>
      </c>
      <c r="J874" s="3">
        <f>+VLOOKUP($A874,MAGAZZINO!$B$2:$M$100000,10,FALSE)</f>
        <v/>
      </c>
      <c r="K874" s="3">
        <f>+VLOOKUP($A874,MAGAZZINO!$B$2:$M$100000,11,FALSE)</f>
        <v/>
      </c>
      <c r="L874" s="5">
        <f>+VLOOKUP($A874,MAGAZZINO!$B$2:$M$100000,12,FALSE)</f>
        <v/>
      </c>
      <c r="M874" s="47" t="n"/>
      <c r="N874" s="54" t="n"/>
      <c r="O874" s="3" t="n"/>
      <c r="P874" s="149" t="n"/>
      <c r="Q874" s="150" t="n"/>
      <c r="R874" s="150" t="n"/>
      <c r="S874" s="151" t="n"/>
    </row>
    <row r="875" ht="36" customHeight="1">
      <c r="A875" s="46" t="n">
        <v>3205</v>
      </c>
      <c r="B875" s="4">
        <f>+VLOOKUP($A875,MAGAZZINO!$B$2:$M$100000,2,FALSE)</f>
        <v/>
      </c>
      <c r="C875" s="29">
        <f>+VLOOKUP($A875,MAGAZZINO!$B$2:$M$100000,3,FALSE)</f>
        <v/>
      </c>
      <c r="D875" s="3">
        <f>+VLOOKUP($A875,MAGAZZINO!$B$2:$M$100000,4,FALSE)</f>
        <v/>
      </c>
      <c r="E875" s="3">
        <f>+VLOOKUP($A875,MAGAZZINO!$B$2:$M$100000,5,FALSE)</f>
        <v/>
      </c>
      <c r="F875" s="3">
        <f>+VLOOKUP($A875,MAGAZZINO!$B$2:$M$100000,6,FALSE)</f>
        <v/>
      </c>
      <c r="G875" s="3">
        <f>+VLOOKUP($A875,MAGAZZINO!$B$2:$M$100000,7,FALSE)</f>
        <v/>
      </c>
      <c r="H875" s="3">
        <f>+VLOOKUP($A875,MAGAZZINO!$B$2:$M$100000,8,FALSE)</f>
        <v/>
      </c>
      <c r="I875" s="3">
        <f>+VLOOKUP($A875,MAGAZZINO!$B$2:$M$100000,9,FALSE)</f>
        <v/>
      </c>
      <c r="J875" s="3">
        <f>+VLOOKUP($A875,MAGAZZINO!$B$2:$M$100000,10,FALSE)</f>
        <v/>
      </c>
      <c r="K875" s="3">
        <f>+VLOOKUP($A875,MAGAZZINO!$B$2:$M$100000,11,FALSE)</f>
        <v/>
      </c>
      <c r="L875" s="5">
        <f>+VLOOKUP($A875,MAGAZZINO!$B$2:$M$100000,12,FALSE)</f>
        <v/>
      </c>
      <c r="M875" s="47" t="n"/>
      <c r="N875" s="54" t="n"/>
      <c r="O875" s="3" t="n"/>
      <c r="P875" s="149" t="n"/>
      <c r="Q875" s="150" t="n"/>
      <c r="R875" s="150" t="n"/>
      <c r="S875" s="151" t="n"/>
    </row>
    <row r="876" ht="36" customHeight="1">
      <c r="A876" s="46" t="n">
        <v>3206</v>
      </c>
      <c r="B876" s="4">
        <f>+VLOOKUP($A876,MAGAZZINO!$B$2:$M$100000,2,FALSE)</f>
        <v/>
      </c>
      <c r="C876" s="29">
        <f>+VLOOKUP($A876,MAGAZZINO!$B$2:$M$100000,3,FALSE)</f>
        <v/>
      </c>
      <c r="D876" s="3">
        <f>+VLOOKUP($A876,MAGAZZINO!$B$2:$M$100000,4,FALSE)</f>
        <v/>
      </c>
      <c r="E876" s="3">
        <f>+VLOOKUP($A876,MAGAZZINO!$B$2:$M$100000,5,FALSE)</f>
        <v/>
      </c>
      <c r="F876" s="3">
        <f>+VLOOKUP($A876,MAGAZZINO!$B$2:$M$100000,6,FALSE)</f>
        <v/>
      </c>
      <c r="G876" s="3">
        <f>+VLOOKUP($A876,MAGAZZINO!$B$2:$M$100000,7,FALSE)</f>
        <v/>
      </c>
      <c r="H876" s="3">
        <f>+VLOOKUP($A876,MAGAZZINO!$B$2:$M$100000,8,FALSE)</f>
        <v/>
      </c>
      <c r="I876" s="3">
        <f>+VLOOKUP($A876,MAGAZZINO!$B$2:$M$100000,9,FALSE)</f>
        <v/>
      </c>
      <c r="J876" s="3">
        <f>+VLOOKUP($A876,MAGAZZINO!$B$2:$M$100000,10,FALSE)</f>
        <v/>
      </c>
      <c r="K876" s="3">
        <f>+VLOOKUP($A876,MAGAZZINO!$B$2:$M$100000,11,FALSE)</f>
        <v/>
      </c>
      <c r="L876" s="5">
        <f>+VLOOKUP($A876,MAGAZZINO!$B$2:$M$100000,12,FALSE)</f>
        <v/>
      </c>
      <c r="M876" s="47" t="n"/>
      <c r="N876" s="54" t="n"/>
      <c r="O876" s="3" t="n"/>
      <c r="P876" s="149" t="n"/>
      <c r="Q876" s="150" t="n"/>
      <c r="R876" s="150" t="n"/>
      <c r="S876" s="151" t="n"/>
    </row>
    <row r="877" ht="36" customHeight="1">
      <c r="A877" s="46" t="n">
        <v>3207</v>
      </c>
      <c r="B877" s="4">
        <f>+VLOOKUP($A877,MAGAZZINO!$B$2:$M$100000,2,FALSE)</f>
        <v/>
      </c>
      <c r="C877" s="29">
        <f>+VLOOKUP($A877,MAGAZZINO!$B$2:$M$100000,3,FALSE)</f>
        <v/>
      </c>
      <c r="D877" s="3">
        <f>+VLOOKUP($A877,MAGAZZINO!$B$2:$M$100000,4,FALSE)</f>
        <v/>
      </c>
      <c r="E877" s="3">
        <f>+VLOOKUP($A877,MAGAZZINO!$B$2:$M$100000,5,FALSE)</f>
        <v/>
      </c>
      <c r="F877" s="3">
        <f>+VLOOKUP($A877,MAGAZZINO!$B$2:$M$100000,6,FALSE)</f>
        <v/>
      </c>
      <c r="G877" s="3">
        <f>+VLOOKUP($A877,MAGAZZINO!$B$2:$M$100000,7,FALSE)</f>
        <v/>
      </c>
      <c r="H877" s="3">
        <f>+VLOOKUP($A877,MAGAZZINO!$B$2:$M$100000,8,FALSE)</f>
        <v/>
      </c>
      <c r="I877" s="3">
        <f>+VLOOKUP($A877,MAGAZZINO!$B$2:$M$100000,9,FALSE)</f>
        <v/>
      </c>
      <c r="J877" s="3">
        <f>+VLOOKUP($A877,MAGAZZINO!$B$2:$M$100000,10,FALSE)</f>
        <v/>
      </c>
      <c r="K877" s="3">
        <f>+VLOOKUP($A877,MAGAZZINO!$B$2:$M$100000,11,FALSE)</f>
        <v/>
      </c>
      <c r="L877" s="5">
        <f>+VLOOKUP($A877,MAGAZZINO!$B$2:$M$100000,12,FALSE)</f>
        <v/>
      </c>
      <c r="M877" s="47" t="n"/>
      <c r="N877" s="54" t="n"/>
      <c r="O877" s="3" t="n"/>
      <c r="P877" s="149" t="n"/>
      <c r="Q877" s="150" t="n"/>
      <c r="R877" s="150" t="n"/>
      <c r="S877" s="151" t="n"/>
    </row>
    <row r="878" ht="36" customHeight="1">
      <c r="A878" s="46" t="n">
        <v>3208</v>
      </c>
      <c r="B878" s="4">
        <f>+VLOOKUP($A878,MAGAZZINO!$B$2:$M$100000,2,FALSE)</f>
        <v/>
      </c>
      <c r="C878" s="29">
        <f>+VLOOKUP($A878,MAGAZZINO!$B$2:$M$100000,3,FALSE)</f>
        <v/>
      </c>
      <c r="D878" s="3">
        <f>+VLOOKUP($A878,MAGAZZINO!$B$2:$M$100000,4,FALSE)</f>
        <v/>
      </c>
      <c r="E878" s="3">
        <f>+VLOOKUP($A878,MAGAZZINO!$B$2:$M$100000,5,FALSE)</f>
        <v/>
      </c>
      <c r="F878" s="3">
        <f>+VLOOKUP($A878,MAGAZZINO!$B$2:$M$100000,6,FALSE)</f>
        <v/>
      </c>
      <c r="G878" s="3">
        <f>+VLOOKUP($A878,MAGAZZINO!$B$2:$M$100000,7,FALSE)</f>
        <v/>
      </c>
      <c r="H878" s="3">
        <f>+VLOOKUP($A878,MAGAZZINO!$B$2:$M$100000,8,FALSE)</f>
        <v/>
      </c>
      <c r="I878" s="3">
        <f>+VLOOKUP($A878,MAGAZZINO!$B$2:$M$100000,9,FALSE)</f>
        <v/>
      </c>
      <c r="J878" s="3">
        <f>+VLOOKUP($A878,MAGAZZINO!$B$2:$M$100000,10,FALSE)</f>
        <v/>
      </c>
      <c r="K878" s="3">
        <f>+VLOOKUP($A878,MAGAZZINO!$B$2:$M$100000,11,FALSE)</f>
        <v/>
      </c>
      <c r="L878" s="5">
        <f>+VLOOKUP($A878,MAGAZZINO!$B$2:$M$100000,12,FALSE)</f>
        <v/>
      </c>
      <c r="M878" s="47" t="n"/>
      <c r="N878" s="54" t="n"/>
      <c r="O878" s="3" t="n"/>
      <c r="P878" s="149" t="n"/>
      <c r="Q878" s="150" t="n"/>
      <c r="R878" s="150" t="n"/>
      <c r="S878" s="151" t="n"/>
    </row>
    <row r="879" ht="36" customHeight="1">
      <c r="A879" s="46" t="n">
        <v>3209</v>
      </c>
      <c r="B879" s="4">
        <f>+VLOOKUP($A879,MAGAZZINO!$B$2:$M$100000,2,FALSE)</f>
        <v/>
      </c>
      <c r="C879" s="29">
        <f>+VLOOKUP($A879,MAGAZZINO!$B$2:$M$100000,3,FALSE)</f>
        <v/>
      </c>
      <c r="D879" s="3">
        <f>+VLOOKUP($A879,MAGAZZINO!$B$2:$M$100000,4,FALSE)</f>
        <v/>
      </c>
      <c r="E879" s="3">
        <f>+VLOOKUP($A879,MAGAZZINO!$B$2:$M$100000,5,FALSE)</f>
        <v/>
      </c>
      <c r="F879" s="3">
        <f>+VLOOKUP($A879,MAGAZZINO!$B$2:$M$100000,6,FALSE)</f>
        <v/>
      </c>
      <c r="G879" s="3">
        <f>+VLOOKUP($A879,MAGAZZINO!$B$2:$M$100000,7,FALSE)</f>
        <v/>
      </c>
      <c r="H879" s="3">
        <f>+VLOOKUP($A879,MAGAZZINO!$B$2:$M$100000,8,FALSE)</f>
        <v/>
      </c>
      <c r="I879" s="3">
        <f>+VLOOKUP($A879,MAGAZZINO!$B$2:$M$100000,9,FALSE)</f>
        <v/>
      </c>
      <c r="J879" s="3">
        <f>+VLOOKUP($A879,MAGAZZINO!$B$2:$M$100000,10,FALSE)</f>
        <v/>
      </c>
      <c r="K879" s="3">
        <f>+VLOOKUP($A879,MAGAZZINO!$B$2:$M$100000,11,FALSE)</f>
        <v/>
      </c>
      <c r="L879" s="5">
        <f>+VLOOKUP($A879,MAGAZZINO!$B$2:$M$100000,12,FALSE)</f>
        <v/>
      </c>
      <c r="M879" s="47" t="n"/>
      <c r="N879" s="54" t="n"/>
      <c r="O879" s="3" t="n"/>
      <c r="P879" s="149" t="n"/>
      <c r="Q879" s="150" t="n"/>
      <c r="R879" s="150" t="n"/>
      <c r="S879" s="151" t="n"/>
    </row>
    <row r="880" ht="36" customHeight="1">
      <c r="A880" s="46" t="n">
        <v>3210</v>
      </c>
      <c r="B880" s="4">
        <f>+VLOOKUP($A880,MAGAZZINO!$B$2:$M$100000,2,FALSE)</f>
        <v/>
      </c>
      <c r="C880" s="29">
        <f>+VLOOKUP($A880,MAGAZZINO!$B$2:$M$100000,3,FALSE)</f>
        <v/>
      </c>
      <c r="D880" s="3">
        <f>+VLOOKUP($A880,MAGAZZINO!$B$2:$M$100000,4,FALSE)</f>
        <v/>
      </c>
      <c r="E880" s="3">
        <f>+VLOOKUP($A880,MAGAZZINO!$B$2:$M$100000,5,FALSE)</f>
        <v/>
      </c>
      <c r="F880" s="3">
        <f>+VLOOKUP($A880,MAGAZZINO!$B$2:$M$100000,6,FALSE)</f>
        <v/>
      </c>
      <c r="G880" s="3">
        <f>+VLOOKUP($A880,MAGAZZINO!$B$2:$M$100000,7,FALSE)</f>
        <v/>
      </c>
      <c r="H880" s="3">
        <f>+VLOOKUP($A880,MAGAZZINO!$B$2:$M$100000,8,FALSE)</f>
        <v/>
      </c>
      <c r="I880" s="3">
        <f>+VLOOKUP($A880,MAGAZZINO!$B$2:$M$100000,9,FALSE)</f>
        <v/>
      </c>
      <c r="J880" s="3">
        <f>+VLOOKUP($A880,MAGAZZINO!$B$2:$M$100000,10,FALSE)</f>
        <v/>
      </c>
      <c r="K880" s="3">
        <f>+VLOOKUP($A880,MAGAZZINO!$B$2:$M$100000,11,FALSE)</f>
        <v/>
      </c>
      <c r="L880" s="5">
        <f>+VLOOKUP($A880,MAGAZZINO!$B$2:$M$100000,12,FALSE)</f>
        <v/>
      </c>
      <c r="M880" s="47" t="n"/>
      <c r="N880" s="54" t="n"/>
      <c r="O880" s="3" t="n"/>
      <c r="P880" s="149" t="n"/>
      <c r="Q880" s="150" t="n"/>
      <c r="R880" s="150" t="n"/>
      <c r="S880" s="151" t="n"/>
    </row>
    <row r="881" ht="36" customHeight="1">
      <c r="A881" s="46" t="n">
        <v>3211</v>
      </c>
      <c r="B881" s="4">
        <f>+VLOOKUP($A881,MAGAZZINO!$B$2:$M$100000,2,FALSE)</f>
        <v/>
      </c>
      <c r="C881" s="29">
        <f>+VLOOKUP($A881,MAGAZZINO!$B$2:$M$100000,3,FALSE)</f>
        <v/>
      </c>
      <c r="D881" s="3">
        <f>+VLOOKUP($A881,MAGAZZINO!$B$2:$M$100000,4,FALSE)</f>
        <v/>
      </c>
      <c r="E881" s="3">
        <f>+VLOOKUP($A881,MAGAZZINO!$B$2:$M$100000,5,FALSE)</f>
        <v/>
      </c>
      <c r="F881" s="3">
        <f>+VLOOKUP($A881,MAGAZZINO!$B$2:$M$100000,6,FALSE)</f>
        <v/>
      </c>
      <c r="G881" s="3">
        <f>+VLOOKUP($A881,MAGAZZINO!$B$2:$M$100000,7,FALSE)</f>
        <v/>
      </c>
      <c r="H881" s="3">
        <f>+VLOOKUP($A881,MAGAZZINO!$B$2:$M$100000,8,FALSE)</f>
        <v/>
      </c>
      <c r="I881" s="3">
        <f>+VLOOKUP($A881,MAGAZZINO!$B$2:$M$100000,9,FALSE)</f>
        <v/>
      </c>
      <c r="J881" s="3">
        <f>+VLOOKUP($A881,MAGAZZINO!$B$2:$M$100000,10,FALSE)</f>
        <v/>
      </c>
      <c r="K881" s="3">
        <f>+VLOOKUP($A881,MAGAZZINO!$B$2:$M$100000,11,FALSE)</f>
        <v/>
      </c>
      <c r="L881" s="5">
        <f>+VLOOKUP($A881,MAGAZZINO!$B$2:$M$100000,12,FALSE)</f>
        <v/>
      </c>
      <c r="M881" s="47" t="n"/>
      <c r="N881" s="54" t="n"/>
      <c r="O881" s="3" t="n"/>
      <c r="P881" s="149" t="n"/>
      <c r="Q881" s="150" t="n"/>
      <c r="R881" s="150" t="n"/>
      <c r="S881" s="151" t="n"/>
    </row>
    <row r="882" ht="36" customHeight="1">
      <c r="A882" s="46" t="n">
        <v>3212</v>
      </c>
      <c r="B882" s="4">
        <f>+VLOOKUP($A882,MAGAZZINO!$B$2:$M$100000,2,FALSE)</f>
        <v/>
      </c>
      <c r="C882" s="29">
        <f>+VLOOKUP($A882,MAGAZZINO!$B$2:$M$100000,3,FALSE)</f>
        <v/>
      </c>
      <c r="D882" s="3">
        <f>+VLOOKUP($A882,MAGAZZINO!$B$2:$M$100000,4,FALSE)</f>
        <v/>
      </c>
      <c r="E882" s="3">
        <f>+VLOOKUP($A882,MAGAZZINO!$B$2:$M$100000,5,FALSE)</f>
        <v/>
      </c>
      <c r="F882" s="3">
        <f>+VLOOKUP($A882,MAGAZZINO!$B$2:$M$100000,6,FALSE)</f>
        <v/>
      </c>
      <c r="G882" s="3">
        <f>+VLOOKUP($A882,MAGAZZINO!$B$2:$M$100000,7,FALSE)</f>
        <v/>
      </c>
      <c r="H882" s="3">
        <f>+VLOOKUP($A882,MAGAZZINO!$B$2:$M$100000,8,FALSE)</f>
        <v/>
      </c>
      <c r="I882" s="3">
        <f>+VLOOKUP($A882,MAGAZZINO!$B$2:$M$100000,9,FALSE)</f>
        <v/>
      </c>
      <c r="J882" s="3">
        <f>+VLOOKUP($A882,MAGAZZINO!$B$2:$M$100000,10,FALSE)</f>
        <v/>
      </c>
      <c r="K882" s="3">
        <f>+VLOOKUP($A882,MAGAZZINO!$B$2:$M$100000,11,FALSE)</f>
        <v/>
      </c>
      <c r="L882" s="5">
        <f>+VLOOKUP($A882,MAGAZZINO!$B$2:$M$100000,12,FALSE)</f>
        <v/>
      </c>
      <c r="M882" s="47" t="n"/>
      <c r="N882" s="54" t="n"/>
      <c r="O882" s="3" t="n"/>
      <c r="P882" s="149" t="n"/>
      <c r="Q882" s="150" t="n"/>
      <c r="R882" s="150" t="n"/>
      <c r="S882" s="151" t="n"/>
    </row>
    <row r="883" ht="36" customHeight="1">
      <c r="A883" s="46" t="n">
        <v>3213</v>
      </c>
      <c r="B883" s="4">
        <f>+VLOOKUP($A883,MAGAZZINO!$B$2:$M$100000,2,FALSE)</f>
        <v/>
      </c>
      <c r="C883" s="29">
        <f>+VLOOKUP($A883,MAGAZZINO!$B$2:$M$100000,3,FALSE)</f>
        <v/>
      </c>
      <c r="D883" s="3">
        <f>+VLOOKUP($A883,MAGAZZINO!$B$2:$M$100000,4,FALSE)</f>
        <v/>
      </c>
      <c r="E883" s="3">
        <f>+VLOOKUP($A883,MAGAZZINO!$B$2:$M$100000,5,FALSE)</f>
        <v/>
      </c>
      <c r="F883" s="3">
        <f>+VLOOKUP($A883,MAGAZZINO!$B$2:$M$100000,6,FALSE)</f>
        <v/>
      </c>
      <c r="G883" s="3">
        <f>+VLOOKUP($A883,MAGAZZINO!$B$2:$M$100000,7,FALSE)</f>
        <v/>
      </c>
      <c r="H883" s="3">
        <f>+VLOOKUP($A883,MAGAZZINO!$B$2:$M$100000,8,FALSE)</f>
        <v/>
      </c>
      <c r="I883" s="3">
        <f>+VLOOKUP($A883,MAGAZZINO!$B$2:$M$100000,9,FALSE)</f>
        <v/>
      </c>
      <c r="J883" s="3">
        <f>+VLOOKUP($A883,MAGAZZINO!$B$2:$M$100000,10,FALSE)</f>
        <v/>
      </c>
      <c r="K883" s="3">
        <f>+VLOOKUP($A883,MAGAZZINO!$B$2:$M$100000,11,FALSE)</f>
        <v/>
      </c>
      <c r="L883" s="5">
        <f>+VLOOKUP($A883,MAGAZZINO!$B$2:$M$100000,12,FALSE)</f>
        <v/>
      </c>
      <c r="M883" s="47" t="n"/>
      <c r="N883" s="54" t="n"/>
      <c r="O883" s="3" t="n"/>
      <c r="P883" s="149" t="n"/>
      <c r="Q883" s="150" t="n"/>
      <c r="R883" s="150" t="n"/>
      <c r="S883" s="151" t="n"/>
    </row>
    <row r="884" ht="36" customHeight="1">
      <c r="A884" s="46" t="n">
        <v>3214</v>
      </c>
      <c r="B884" s="4">
        <f>+VLOOKUP($A884,MAGAZZINO!$B$2:$M$100000,2,FALSE)</f>
        <v/>
      </c>
      <c r="C884" s="29">
        <f>+VLOOKUP($A884,MAGAZZINO!$B$2:$M$100000,3,FALSE)</f>
        <v/>
      </c>
      <c r="D884" s="3">
        <f>+VLOOKUP($A884,MAGAZZINO!$B$2:$M$100000,4,FALSE)</f>
        <v/>
      </c>
      <c r="E884" s="3">
        <f>+VLOOKUP($A884,MAGAZZINO!$B$2:$M$100000,5,FALSE)</f>
        <v/>
      </c>
      <c r="F884" s="3">
        <f>+VLOOKUP($A884,MAGAZZINO!$B$2:$M$100000,6,FALSE)</f>
        <v/>
      </c>
      <c r="G884" s="3">
        <f>+VLOOKUP($A884,MAGAZZINO!$B$2:$M$100000,7,FALSE)</f>
        <v/>
      </c>
      <c r="H884" s="3">
        <f>+VLOOKUP($A884,MAGAZZINO!$B$2:$M$100000,8,FALSE)</f>
        <v/>
      </c>
      <c r="I884" s="3">
        <f>+VLOOKUP($A884,MAGAZZINO!$B$2:$M$100000,9,FALSE)</f>
        <v/>
      </c>
      <c r="J884" s="3">
        <f>+VLOOKUP($A884,MAGAZZINO!$B$2:$M$100000,10,FALSE)</f>
        <v/>
      </c>
      <c r="K884" s="3">
        <f>+VLOOKUP($A884,MAGAZZINO!$B$2:$M$100000,11,FALSE)</f>
        <v/>
      </c>
      <c r="L884" s="5">
        <f>+VLOOKUP($A884,MAGAZZINO!$B$2:$M$100000,12,FALSE)</f>
        <v/>
      </c>
      <c r="M884" s="47" t="n"/>
      <c r="N884" s="54" t="n"/>
      <c r="O884" s="3" t="n"/>
      <c r="P884" s="149" t="n"/>
      <c r="Q884" s="150" t="n"/>
      <c r="R884" s="150" t="n"/>
      <c r="S884" s="151" t="n"/>
    </row>
    <row r="885" ht="36" customHeight="1">
      <c r="A885" s="46" t="n">
        <v>3215</v>
      </c>
      <c r="B885" s="4">
        <f>+VLOOKUP($A885,MAGAZZINO!$B$2:$M$100000,2,FALSE)</f>
        <v/>
      </c>
      <c r="C885" s="29">
        <f>+VLOOKUP($A885,MAGAZZINO!$B$2:$M$100000,3,FALSE)</f>
        <v/>
      </c>
      <c r="D885" s="3">
        <f>+VLOOKUP($A885,MAGAZZINO!$B$2:$M$100000,4,FALSE)</f>
        <v/>
      </c>
      <c r="E885" s="3">
        <f>+VLOOKUP($A885,MAGAZZINO!$B$2:$M$100000,5,FALSE)</f>
        <v/>
      </c>
      <c r="F885" s="3">
        <f>+VLOOKUP($A885,MAGAZZINO!$B$2:$M$100000,6,FALSE)</f>
        <v/>
      </c>
      <c r="G885" s="3">
        <f>+VLOOKUP($A885,MAGAZZINO!$B$2:$M$100000,7,FALSE)</f>
        <v/>
      </c>
      <c r="H885" s="3">
        <f>+VLOOKUP($A885,MAGAZZINO!$B$2:$M$100000,8,FALSE)</f>
        <v/>
      </c>
      <c r="I885" s="3">
        <f>+VLOOKUP($A885,MAGAZZINO!$B$2:$M$100000,9,FALSE)</f>
        <v/>
      </c>
      <c r="J885" s="3">
        <f>+VLOOKUP($A885,MAGAZZINO!$B$2:$M$100000,10,FALSE)</f>
        <v/>
      </c>
      <c r="K885" s="3">
        <f>+VLOOKUP($A885,MAGAZZINO!$B$2:$M$100000,11,FALSE)</f>
        <v/>
      </c>
      <c r="L885" s="5">
        <f>+VLOOKUP($A885,MAGAZZINO!$B$2:$M$100000,12,FALSE)</f>
        <v/>
      </c>
      <c r="M885" s="47" t="n"/>
      <c r="N885" s="54" t="n"/>
      <c r="O885" s="3" t="n"/>
      <c r="P885" s="149" t="n"/>
      <c r="Q885" s="150" t="n"/>
      <c r="R885" s="150" t="n"/>
      <c r="S885" s="151" t="n"/>
    </row>
    <row r="886" ht="36" customHeight="1">
      <c r="A886" s="46" t="n">
        <v>3216</v>
      </c>
      <c r="B886" s="4">
        <f>+VLOOKUP($A886,MAGAZZINO!$B$2:$M$100000,2,FALSE)</f>
        <v/>
      </c>
      <c r="C886" s="29">
        <f>+VLOOKUP($A886,MAGAZZINO!$B$2:$M$100000,3,FALSE)</f>
        <v/>
      </c>
      <c r="D886" s="3">
        <f>+VLOOKUP($A886,MAGAZZINO!$B$2:$M$100000,4,FALSE)</f>
        <v/>
      </c>
      <c r="E886" s="3">
        <f>+VLOOKUP($A886,MAGAZZINO!$B$2:$M$100000,5,FALSE)</f>
        <v/>
      </c>
      <c r="F886" s="3">
        <f>+VLOOKUP($A886,MAGAZZINO!$B$2:$M$100000,6,FALSE)</f>
        <v/>
      </c>
      <c r="G886" s="3">
        <f>+VLOOKUP($A886,MAGAZZINO!$B$2:$M$100000,7,FALSE)</f>
        <v/>
      </c>
      <c r="H886" s="3">
        <f>+VLOOKUP($A886,MAGAZZINO!$B$2:$M$100000,8,FALSE)</f>
        <v/>
      </c>
      <c r="I886" s="3">
        <f>+VLOOKUP($A886,MAGAZZINO!$B$2:$M$100000,9,FALSE)</f>
        <v/>
      </c>
      <c r="J886" s="3">
        <f>+VLOOKUP($A886,MAGAZZINO!$B$2:$M$100000,10,FALSE)</f>
        <v/>
      </c>
      <c r="K886" s="3">
        <f>+VLOOKUP($A886,MAGAZZINO!$B$2:$M$100000,11,FALSE)</f>
        <v/>
      </c>
      <c r="L886" s="5">
        <f>+VLOOKUP($A886,MAGAZZINO!$B$2:$M$100000,12,FALSE)</f>
        <v/>
      </c>
      <c r="M886" s="47" t="n"/>
      <c r="N886" s="54" t="n"/>
      <c r="O886" s="3" t="n"/>
      <c r="P886" s="149" t="n"/>
      <c r="Q886" s="150" t="n"/>
      <c r="R886" s="150" t="n"/>
      <c r="S886" s="151" t="n"/>
    </row>
    <row r="887" ht="36" customHeight="1">
      <c r="A887" s="46" t="n">
        <v>3217</v>
      </c>
      <c r="B887" s="4">
        <f>+VLOOKUP($A887,MAGAZZINO!$B$2:$M$100000,2,FALSE)</f>
        <v/>
      </c>
      <c r="C887" s="29">
        <f>+VLOOKUP($A887,MAGAZZINO!$B$2:$M$100000,3,FALSE)</f>
        <v/>
      </c>
      <c r="D887" s="3">
        <f>+VLOOKUP($A887,MAGAZZINO!$B$2:$M$100000,4,FALSE)</f>
        <v/>
      </c>
      <c r="E887" s="3">
        <f>+VLOOKUP($A887,MAGAZZINO!$B$2:$M$100000,5,FALSE)</f>
        <v/>
      </c>
      <c r="F887" s="3">
        <f>+VLOOKUP($A887,MAGAZZINO!$B$2:$M$100000,6,FALSE)</f>
        <v/>
      </c>
      <c r="G887" s="3">
        <f>+VLOOKUP($A887,MAGAZZINO!$B$2:$M$100000,7,FALSE)</f>
        <v/>
      </c>
      <c r="H887" s="3">
        <f>+VLOOKUP($A887,MAGAZZINO!$B$2:$M$100000,8,FALSE)</f>
        <v/>
      </c>
      <c r="I887" s="3">
        <f>+VLOOKUP($A887,MAGAZZINO!$B$2:$M$100000,9,FALSE)</f>
        <v/>
      </c>
      <c r="J887" s="3">
        <f>+VLOOKUP($A887,MAGAZZINO!$B$2:$M$100000,10,FALSE)</f>
        <v/>
      </c>
      <c r="K887" s="3">
        <f>+VLOOKUP($A887,MAGAZZINO!$B$2:$M$100000,11,FALSE)</f>
        <v/>
      </c>
      <c r="L887" s="5">
        <f>+VLOOKUP($A887,MAGAZZINO!$B$2:$M$100000,12,FALSE)</f>
        <v/>
      </c>
      <c r="M887" s="47" t="n"/>
      <c r="N887" s="54" t="n"/>
      <c r="O887" s="3" t="n"/>
      <c r="P887" s="149" t="n"/>
      <c r="Q887" s="150" t="n"/>
      <c r="R887" s="150" t="n"/>
      <c r="S887" s="151" t="n"/>
    </row>
    <row r="888" ht="36" customHeight="1">
      <c r="A888" s="46" t="n">
        <v>3218</v>
      </c>
      <c r="B888" s="4">
        <f>+VLOOKUP($A888,MAGAZZINO!$B$2:$M$100000,2,FALSE)</f>
        <v/>
      </c>
      <c r="C888" s="29">
        <f>+VLOOKUP($A888,MAGAZZINO!$B$2:$M$100000,3,FALSE)</f>
        <v/>
      </c>
      <c r="D888" s="3">
        <f>+VLOOKUP($A888,MAGAZZINO!$B$2:$M$100000,4,FALSE)</f>
        <v/>
      </c>
      <c r="E888" s="3">
        <f>+VLOOKUP($A888,MAGAZZINO!$B$2:$M$100000,5,FALSE)</f>
        <v/>
      </c>
      <c r="F888" s="3">
        <f>+VLOOKUP($A888,MAGAZZINO!$B$2:$M$100000,6,FALSE)</f>
        <v/>
      </c>
      <c r="G888" s="3">
        <f>+VLOOKUP($A888,MAGAZZINO!$B$2:$M$100000,7,FALSE)</f>
        <v/>
      </c>
      <c r="H888" s="3">
        <f>+VLOOKUP($A888,MAGAZZINO!$B$2:$M$100000,8,FALSE)</f>
        <v/>
      </c>
      <c r="I888" s="3">
        <f>+VLOOKUP($A888,MAGAZZINO!$B$2:$M$100000,9,FALSE)</f>
        <v/>
      </c>
      <c r="J888" s="3">
        <f>+VLOOKUP($A888,MAGAZZINO!$B$2:$M$100000,10,FALSE)</f>
        <v/>
      </c>
      <c r="K888" s="3">
        <f>+VLOOKUP($A888,MAGAZZINO!$B$2:$M$100000,11,FALSE)</f>
        <v/>
      </c>
      <c r="L888" s="5">
        <f>+VLOOKUP($A888,MAGAZZINO!$B$2:$M$100000,12,FALSE)</f>
        <v/>
      </c>
      <c r="M888" s="47" t="n"/>
      <c r="N888" s="54" t="n"/>
      <c r="O888" s="3" t="n"/>
      <c r="P888" s="149" t="n"/>
      <c r="Q888" s="150" t="n"/>
      <c r="R888" s="150" t="n"/>
      <c r="S888" s="151" t="n"/>
    </row>
    <row r="889" ht="36" customHeight="1">
      <c r="A889" s="46" t="n">
        <v>3219</v>
      </c>
      <c r="B889" s="4">
        <f>+VLOOKUP($A889,MAGAZZINO!$B$2:$M$100000,2,FALSE)</f>
        <v/>
      </c>
      <c r="C889" s="29">
        <f>+VLOOKUP($A889,MAGAZZINO!$B$2:$M$100000,3,FALSE)</f>
        <v/>
      </c>
      <c r="D889" s="3">
        <f>+VLOOKUP($A889,MAGAZZINO!$B$2:$M$100000,4,FALSE)</f>
        <v/>
      </c>
      <c r="E889" s="3">
        <f>+VLOOKUP($A889,MAGAZZINO!$B$2:$M$100000,5,FALSE)</f>
        <v/>
      </c>
      <c r="F889" s="3">
        <f>+VLOOKUP($A889,MAGAZZINO!$B$2:$M$100000,6,FALSE)</f>
        <v/>
      </c>
      <c r="G889" s="3">
        <f>+VLOOKUP($A889,MAGAZZINO!$B$2:$M$100000,7,FALSE)</f>
        <v/>
      </c>
      <c r="H889" s="3">
        <f>+VLOOKUP($A889,MAGAZZINO!$B$2:$M$100000,8,FALSE)</f>
        <v/>
      </c>
      <c r="I889" s="3">
        <f>+VLOOKUP($A889,MAGAZZINO!$B$2:$M$100000,9,FALSE)</f>
        <v/>
      </c>
      <c r="J889" s="3">
        <f>+VLOOKUP($A889,MAGAZZINO!$B$2:$M$100000,10,FALSE)</f>
        <v/>
      </c>
      <c r="K889" s="3">
        <f>+VLOOKUP($A889,MAGAZZINO!$B$2:$M$100000,11,FALSE)</f>
        <v/>
      </c>
      <c r="L889" s="5">
        <f>+VLOOKUP($A889,MAGAZZINO!$B$2:$M$100000,12,FALSE)</f>
        <v/>
      </c>
      <c r="M889" s="47" t="n"/>
      <c r="N889" s="54" t="n"/>
      <c r="O889" s="3" t="n"/>
      <c r="P889" s="149" t="n"/>
      <c r="Q889" s="150" t="n"/>
      <c r="R889" s="150" t="n"/>
      <c r="S889" s="151" t="n"/>
    </row>
    <row r="890" ht="36" customHeight="1">
      <c r="A890" s="46" t="n">
        <v>3220</v>
      </c>
      <c r="B890" s="4">
        <f>+VLOOKUP($A890,MAGAZZINO!$B$2:$M$100000,2,FALSE)</f>
        <v/>
      </c>
      <c r="C890" s="29">
        <f>+VLOOKUP($A890,MAGAZZINO!$B$2:$M$100000,3,FALSE)</f>
        <v/>
      </c>
      <c r="D890" s="3">
        <f>+VLOOKUP($A890,MAGAZZINO!$B$2:$M$100000,4,FALSE)</f>
        <v/>
      </c>
      <c r="E890" s="3">
        <f>+VLOOKUP($A890,MAGAZZINO!$B$2:$M$100000,5,FALSE)</f>
        <v/>
      </c>
      <c r="F890" s="3">
        <f>+VLOOKUP($A890,MAGAZZINO!$B$2:$M$100000,6,FALSE)</f>
        <v/>
      </c>
      <c r="G890" s="3">
        <f>+VLOOKUP($A890,MAGAZZINO!$B$2:$M$100000,7,FALSE)</f>
        <v/>
      </c>
      <c r="H890" s="3">
        <f>+VLOOKUP($A890,MAGAZZINO!$B$2:$M$100000,8,FALSE)</f>
        <v/>
      </c>
      <c r="I890" s="3">
        <f>+VLOOKUP($A890,MAGAZZINO!$B$2:$M$100000,9,FALSE)</f>
        <v/>
      </c>
      <c r="J890" s="3">
        <f>+VLOOKUP($A890,MAGAZZINO!$B$2:$M$100000,10,FALSE)</f>
        <v/>
      </c>
      <c r="K890" s="3">
        <f>+VLOOKUP($A890,MAGAZZINO!$B$2:$M$100000,11,FALSE)</f>
        <v/>
      </c>
      <c r="L890" s="5">
        <f>+VLOOKUP($A890,MAGAZZINO!$B$2:$M$100000,12,FALSE)</f>
        <v/>
      </c>
      <c r="M890" s="47" t="n"/>
      <c r="N890" s="54" t="n"/>
      <c r="O890" s="3" t="n"/>
      <c r="P890" s="149" t="n"/>
      <c r="Q890" s="150" t="n"/>
      <c r="R890" s="150" t="n"/>
      <c r="S890" s="151" t="n"/>
    </row>
    <row r="891" ht="36" customHeight="1">
      <c r="A891" s="46" t="n">
        <v>3221</v>
      </c>
      <c r="B891" s="4">
        <f>+VLOOKUP($A891,MAGAZZINO!$B$2:$M$100000,2,FALSE)</f>
        <v/>
      </c>
      <c r="C891" s="29">
        <f>+VLOOKUP($A891,MAGAZZINO!$B$2:$M$100000,3,FALSE)</f>
        <v/>
      </c>
      <c r="D891" s="3">
        <f>+VLOOKUP($A891,MAGAZZINO!$B$2:$M$100000,4,FALSE)</f>
        <v/>
      </c>
      <c r="E891" s="3">
        <f>+VLOOKUP($A891,MAGAZZINO!$B$2:$M$100000,5,FALSE)</f>
        <v/>
      </c>
      <c r="F891" s="3">
        <f>+VLOOKUP($A891,MAGAZZINO!$B$2:$M$100000,6,FALSE)</f>
        <v/>
      </c>
      <c r="G891" s="3">
        <f>+VLOOKUP($A891,MAGAZZINO!$B$2:$M$100000,7,FALSE)</f>
        <v/>
      </c>
      <c r="H891" s="3">
        <f>+VLOOKUP($A891,MAGAZZINO!$B$2:$M$100000,8,FALSE)</f>
        <v/>
      </c>
      <c r="I891" s="3">
        <f>+VLOOKUP($A891,MAGAZZINO!$B$2:$M$100000,9,FALSE)</f>
        <v/>
      </c>
      <c r="J891" s="3">
        <f>+VLOOKUP($A891,MAGAZZINO!$B$2:$M$100000,10,FALSE)</f>
        <v/>
      </c>
      <c r="K891" s="3">
        <f>+VLOOKUP($A891,MAGAZZINO!$B$2:$M$100000,11,FALSE)</f>
        <v/>
      </c>
      <c r="L891" s="5">
        <f>+VLOOKUP($A891,MAGAZZINO!$B$2:$M$100000,12,FALSE)</f>
        <v/>
      </c>
      <c r="M891" s="47" t="n"/>
      <c r="N891" s="54" t="n"/>
      <c r="O891" s="3" t="n"/>
      <c r="P891" s="149" t="n"/>
      <c r="Q891" s="150" t="n"/>
      <c r="R891" s="150" t="n"/>
      <c r="S891" s="151" t="n"/>
    </row>
    <row r="892" ht="36" customHeight="1">
      <c r="A892" s="46" t="n">
        <v>3222</v>
      </c>
      <c r="B892" s="4">
        <f>+VLOOKUP($A892,MAGAZZINO!$B$2:$M$100000,2,FALSE)</f>
        <v/>
      </c>
      <c r="C892" s="29">
        <f>+VLOOKUP($A892,MAGAZZINO!$B$2:$M$100000,3,FALSE)</f>
        <v/>
      </c>
      <c r="D892" s="3">
        <f>+VLOOKUP($A892,MAGAZZINO!$B$2:$M$100000,4,FALSE)</f>
        <v/>
      </c>
      <c r="E892" s="3">
        <f>+VLOOKUP($A892,MAGAZZINO!$B$2:$M$100000,5,FALSE)</f>
        <v/>
      </c>
      <c r="F892" s="3">
        <f>+VLOOKUP($A892,MAGAZZINO!$B$2:$M$100000,6,FALSE)</f>
        <v/>
      </c>
      <c r="G892" s="3">
        <f>+VLOOKUP($A892,MAGAZZINO!$B$2:$M$100000,7,FALSE)</f>
        <v/>
      </c>
      <c r="H892" s="3">
        <f>+VLOOKUP($A892,MAGAZZINO!$B$2:$M$100000,8,FALSE)</f>
        <v/>
      </c>
      <c r="I892" s="3">
        <f>+VLOOKUP($A892,MAGAZZINO!$B$2:$M$100000,9,FALSE)</f>
        <v/>
      </c>
      <c r="J892" s="3">
        <f>+VLOOKUP($A892,MAGAZZINO!$B$2:$M$100000,10,FALSE)</f>
        <v/>
      </c>
      <c r="K892" s="3">
        <f>+VLOOKUP($A892,MAGAZZINO!$B$2:$M$100000,11,FALSE)</f>
        <v/>
      </c>
      <c r="L892" s="5">
        <f>+VLOOKUP($A892,MAGAZZINO!$B$2:$M$100000,12,FALSE)</f>
        <v/>
      </c>
      <c r="M892" s="47" t="n"/>
      <c r="N892" s="54" t="n"/>
      <c r="O892" s="3" t="n"/>
      <c r="P892" s="149" t="n"/>
      <c r="Q892" s="150" t="n"/>
      <c r="R892" s="150" t="n"/>
      <c r="S892" s="151" t="n"/>
    </row>
    <row r="893" ht="36" customHeight="1">
      <c r="A893" s="46" t="n">
        <v>3223</v>
      </c>
      <c r="B893" s="4">
        <f>+VLOOKUP($A893,MAGAZZINO!$B$2:$M$100000,2,FALSE)</f>
        <v/>
      </c>
      <c r="C893" s="29">
        <f>+VLOOKUP($A893,MAGAZZINO!$B$2:$M$100000,3,FALSE)</f>
        <v/>
      </c>
      <c r="D893" s="3">
        <f>+VLOOKUP($A893,MAGAZZINO!$B$2:$M$100000,4,FALSE)</f>
        <v/>
      </c>
      <c r="E893" s="3">
        <f>+VLOOKUP($A893,MAGAZZINO!$B$2:$M$100000,5,FALSE)</f>
        <v/>
      </c>
      <c r="F893" s="3">
        <f>+VLOOKUP($A893,MAGAZZINO!$B$2:$M$100000,6,FALSE)</f>
        <v/>
      </c>
      <c r="G893" s="3">
        <f>+VLOOKUP($A893,MAGAZZINO!$B$2:$M$100000,7,FALSE)</f>
        <v/>
      </c>
      <c r="H893" s="3">
        <f>+VLOOKUP($A893,MAGAZZINO!$B$2:$M$100000,8,FALSE)</f>
        <v/>
      </c>
      <c r="I893" s="3">
        <f>+VLOOKUP($A893,MAGAZZINO!$B$2:$M$100000,9,FALSE)</f>
        <v/>
      </c>
      <c r="J893" s="3">
        <f>+VLOOKUP($A893,MAGAZZINO!$B$2:$M$100000,10,FALSE)</f>
        <v/>
      </c>
      <c r="K893" s="3">
        <f>+VLOOKUP($A893,MAGAZZINO!$B$2:$M$100000,11,FALSE)</f>
        <v/>
      </c>
      <c r="L893" s="5">
        <f>+VLOOKUP($A893,MAGAZZINO!$B$2:$M$100000,12,FALSE)</f>
        <v/>
      </c>
      <c r="M893" s="47" t="n"/>
      <c r="N893" s="54" t="n"/>
      <c r="O893" s="3" t="n"/>
      <c r="P893" s="149" t="n"/>
      <c r="Q893" s="150" t="n"/>
      <c r="R893" s="150" t="n"/>
      <c r="S893" s="151" t="n"/>
    </row>
    <row r="894" ht="36" customHeight="1">
      <c r="A894" s="46" t="n">
        <v>3224</v>
      </c>
      <c r="B894" s="4">
        <f>+VLOOKUP($A894,MAGAZZINO!$B$2:$M$100000,2,FALSE)</f>
        <v/>
      </c>
      <c r="C894" s="29">
        <f>+VLOOKUP($A894,MAGAZZINO!$B$2:$M$100000,3,FALSE)</f>
        <v/>
      </c>
      <c r="D894" s="3">
        <f>+VLOOKUP($A894,MAGAZZINO!$B$2:$M$100000,4,FALSE)</f>
        <v/>
      </c>
      <c r="E894" s="3">
        <f>+VLOOKUP($A894,MAGAZZINO!$B$2:$M$100000,5,FALSE)</f>
        <v/>
      </c>
      <c r="F894" s="3">
        <f>+VLOOKUP($A894,MAGAZZINO!$B$2:$M$100000,6,FALSE)</f>
        <v/>
      </c>
      <c r="G894" s="3">
        <f>+VLOOKUP($A894,MAGAZZINO!$B$2:$M$100000,7,FALSE)</f>
        <v/>
      </c>
      <c r="H894" s="3">
        <f>+VLOOKUP($A894,MAGAZZINO!$B$2:$M$100000,8,FALSE)</f>
        <v/>
      </c>
      <c r="I894" s="3">
        <f>+VLOOKUP($A894,MAGAZZINO!$B$2:$M$100000,9,FALSE)</f>
        <v/>
      </c>
      <c r="J894" s="3">
        <f>+VLOOKUP($A894,MAGAZZINO!$B$2:$M$100000,10,FALSE)</f>
        <v/>
      </c>
      <c r="K894" s="3">
        <f>+VLOOKUP($A894,MAGAZZINO!$B$2:$M$100000,11,FALSE)</f>
        <v/>
      </c>
      <c r="L894" s="5">
        <f>+VLOOKUP($A894,MAGAZZINO!$B$2:$M$100000,12,FALSE)</f>
        <v/>
      </c>
      <c r="M894" s="47" t="n"/>
      <c r="N894" s="54" t="n"/>
      <c r="O894" s="3" t="n"/>
      <c r="P894" s="149" t="n"/>
      <c r="Q894" s="150" t="n"/>
      <c r="R894" s="150" t="n"/>
      <c r="S894" s="151" t="n"/>
    </row>
    <row r="895" ht="36" customHeight="1">
      <c r="A895" s="46" t="n">
        <v>3225</v>
      </c>
      <c r="B895" s="4">
        <f>+VLOOKUP($A895,MAGAZZINO!$B$2:$M$100000,2,FALSE)</f>
        <v/>
      </c>
      <c r="C895" s="29">
        <f>+VLOOKUP($A895,MAGAZZINO!$B$2:$M$100000,3,FALSE)</f>
        <v/>
      </c>
      <c r="D895" s="3">
        <f>+VLOOKUP($A895,MAGAZZINO!$B$2:$M$100000,4,FALSE)</f>
        <v/>
      </c>
      <c r="E895" s="3">
        <f>+VLOOKUP($A895,MAGAZZINO!$B$2:$M$100000,5,FALSE)</f>
        <v/>
      </c>
      <c r="F895" s="3">
        <f>+VLOOKUP($A895,MAGAZZINO!$B$2:$M$100000,6,FALSE)</f>
        <v/>
      </c>
      <c r="G895" s="3">
        <f>+VLOOKUP($A895,MAGAZZINO!$B$2:$M$100000,7,FALSE)</f>
        <v/>
      </c>
      <c r="H895" s="3">
        <f>+VLOOKUP($A895,MAGAZZINO!$B$2:$M$100000,8,FALSE)</f>
        <v/>
      </c>
      <c r="I895" s="3">
        <f>+VLOOKUP($A895,MAGAZZINO!$B$2:$M$100000,9,FALSE)</f>
        <v/>
      </c>
      <c r="J895" s="3">
        <f>+VLOOKUP($A895,MAGAZZINO!$B$2:$M$100000,10,FALSE)</f>
        <v/>
      </c>
      <c r="K895" s="3">
        <f>+VLOOKUP($A895,MAGAZZINO!$B$2:$M$100000,11,FALSE)</f>
        <v/>
      </c>
      <c r="L895" s="5">
        <f>+VLOOKUP($A895,MAGAZZINO!$B$2:$M$100000,12,FALSE)</f>
        <v/>
      </c>
      <c r="M895" s="47" t="n"/>
      <c r="N895" s="54" t="n"/>
      <c r="O895" s="3" t="n"/>
      <c r="P895" s="149" t="n"/>
      <c r="Q895" s="150" t="n"/>
      <c r="R895" s="150" t="n"/>
      <c r="S895" s="151" t="n"/>
    </row>
    <row r="896" ht="36" customHeight="1">
      <c r="A896" s="46" t="n">
        <v>3226</v>
      </c>
      <c r="B896" s="4">
        <f>+VLOOKUP($A896,MAGAZZINO!$B$2:$M$100000,2,FALSE)</f>
        <v/>
      </c>
      <c r="C896" s="29">
        <f>+VLOOKUP($A896,MAGAZZINO!$B$2:$M$100000,3,FALSE)</f>
        <v/>
      </c>
      <c r="D896" s="3">
        <f>+VLOOKUP($A896,MAGAZZINO!$B$2:$M$100000,4,FALSE)</f>
        <v/>
      </c>
      <c r="E896" s="3">
        <f>+VLOOKUP($A896,MAGAZZINO!$B$2:$M$100000,5,FALSE)</f>
        <v/>
      </c>
      <c r="F896" s="3">
        <f>+VLOOKUP($A896,MAGAZZINO!$B$2:$M$100000,6,FALSE)</f>
        <v/>
      </c>
      <c r="G896" s="3">
        <f>+VLOOKUP($A896,MAGAZZINO!$B$2:$M$100000,7,FALSE)</f>
        <v/>
      </c>
      <c r="H896" s="3">
        <f>+VLOOKUP($A896,MAGAZZINO!$B$2:$M$100000,8,FALSE)</f>
        <v/>
      </c>
      <c r="I896" s="3">
        <f>+VLOOKUP($A896,MAGAZZINO!$B$2:$M$100000,9,FALSE)</f>
        <v/>
      </c>
      <c r="J896" s="3">
        <f>+VLOOKUP($A896,MAGAZZINO!$B$2:$M$100000,10,FALSE)</f>
        <v/>
      </c>
      <c r="K896" s="3">
        <f>+VLOOKUP($A896,MAGAZZINO!$B$2:$M$100000,11,FALSE)</f>
        <v/>
      </c>
      <c r="L896" s="5">
        <f>+VLOOKUP($A896,MAGAZZINO!$B$2:$M$100000,12,FALSE)</f>
        <v/>
      </c>
      <c r="M896" s="47" t="n"/>
      <c r="N896" s="54" t="n"/>
      <c r="O896" s="3" t="n"/>
      <c r="P896" s="149" t="n"/>
      <c r="Q896" s="150" t="n"/>
      <c r="R896" s="150" t="n"/>
      <c r="S896" s="151" t="n"/>
    </row>
    <row r="897" ht="36" customHeight="1">
      <c r="A897" s="46" t="n">
        <v>3227</v>
      </c>
      <c r="B897" s="4">
        <f>+VLOOKUP($A897,MAGAZZINO!$B$2:$M$100000,2,FALSE)</f>
        <v/>
      </c>
      <c r="C897" s="29">
        <f>+VLOOKUP($A897,MAGAZZINO!$B$2:$M$100000,3,FALSE)</f>
        <v/>
      </c>
      <c r="D897" s="3">
        <f>+VLOOKUP($A897,MAGAZZINO!$B$2:$M$100000,4,FALSE)</f>
        <v/>
      </c>
      <c r="E897" s="3">
        <f>+VLOOKUP($A897,MAGAZZINO!$B$2:$M$100000,5,FALSE)</f>
        <v/>
      </c>
      <c r="F897" s="3">
        <f>+VLOOKUP($A897,MAGAZZINO!$B$2:$M$100000,6,FALSE)</f>
        <v/>
      </c>
      <c r="G897" s="3">
        <f>+VLOOKUP($A897,MAGAZZINO!$B$2:$M$100000,7,FALSE)</f>
        <v/>
      </c>
      <c r="H897" s="3">
        <f>+VLOOKUP($A897,MAGAZZINO!$B$2:$M$100000,8,FALSE)</f>
        <v/>
      </c>
      <c r="I897" s="3">
        <f>+VLOOKUP($A897,MAGAZZINO!$B$2:$M$100000,9,FALSE)</f>
        <v/>
      </c>
      <c r="J897" s="3">
        <f>+VLOOKUP($A897,MAGAZZINO!$B$2:$M$100000,10,FALSE)</f>
        <v/>
      </c>
      <c r="K897" s="3">
        <f>+VLOOKUP($A897,MAGAZZINO!$B$2:$M$100000,11,FALSE)</f>
        <v/>
      </c>
      <c r="L897" s="5">
        <f>+VLOOKUP($A897,MAGAZZINO!$B$2:$M$100000,12,FALSE)</f>
        <v/>
      </c>
      <c r="M897" s="47" t="n"/>
      <c r="N897" s="54" t="n"/>
      <c r="O897" s="3" t="n"/>
      <c r="P897" s="149" t="n"/>
      <c r="Q897" s="150" t="n"/>
      <c r="R897" s="150" t="n"/>
      <c r="S897" s="151" t="n"/>
    </row>
    <row r="898" ht="36" customHeight="1">
      <c r="A898" s="46" t="n">
        <v>3228</v>
      </c>
      <c r="B898" s="4">
        <f>+VLOOKUP($A898,MAGAZZINO!$B$2:$M$100000,2,FALSE)</f>
        <v/>
      </c>
      <c r="C898" s="29">
        <f>+VLOOKUP($A898,MAGAZZINO!$B$2:$M$100000,3,FALSE)</f>
        <v/>
      </c>
      <c r="D898" s="3">
        <f>+VLOOKUP($A898,MAGAZZINO!$B$2:$M$100000,4,FALSE)</f>
        <v/>
      </c>
      <c r="E898" s="3">
        <f>+VLOOKUP($A898,MAGAZZINO!$B$2:$M$100000,5,FALSE)</f>
        <v/>
      </c>
      <c r="F898" s="3">
        <f>+VLOOKUP($A898,MAGAZZINO!$B$2:$M$100000,6,FALSE)</f>
        <v/>
      </c>
      <c r="G898" s="3">
        <f>+VLOOKUP($A898,MAGAZZINO!$B$2:$M$100000,7,FALSE)</f>
        <v/>
      </c>
      <c r="H898" s="3">
        <f>+VLOOKUP($A898,MAGAZZINO!$B$2:$M$100000,8,FALSE)</f>
        <v/>
      </c>
      <c r="I898" s="3">
        <f>+VLOOKUP($A898,MAGAZZINO!$B$2:$M$100000,9,FALSE)</f>
        <v/>
      </c>
      <c r="J898" s="3">
        <f>+VLOOKUP($A898,MAGAZZINO!$B$2:$M$100000,10,FALSE)</f>
        <v/>
      </c>
      <c r="K898" s="3">
        <f>+VLOOKUP($A898,MAGAZZINO!$B$2:$M$100000,11,FALSE)</f>
        <v/>
      </c>
      <c r="L898" s="5">
        <f>+VLOOKUP($A898,MAGAZZINO!$B$2:$M$100000,12,FALSE)</f>
        <v/>
      </c>
      <c r="M898" s="47" t="n"/>
      <c r="N898" s="54" t="n"/>
      <c r="O898" s="3" t="n"/>
      <c r="P898" s="149" t="n"/>
      <c r="Q898" s="150" t="n"/>
      <c r="R898" s="150" t="n"/>
      <c r="S898" s="151" t="n"/>
    </row>
    <row r="899" ht="36" customHeight="1">
      <c r="A899" s="46" t="n">
        <v>3229</v>
      </c>
      <c r="B899" s="4">
        <f>+VLOOKUP($A899,MAGAZZINO!$B$2:$M$100000,2,FALSE)</f>
        <v/>
      </c>
      <c r="C899" s="29">
        <f>+VLOOKUP($A899,MAGAZZINO!$B$2:$M$100000,3,FALSE)</f>
        <v/>
      </c>
      <c r="D899" s="3">
        <f>+VLOOKUP($A899,MAGAZZINO!$B$2:$M$100000,4,FALSE)</f>
        <v/>
      </c>
      <c r="E899" s="3">
        <f>+VLOOKUP($A899,MAGAZZINO!$B$2:$M$100000,5,FALSE)</f>
        <v/>
      </c>
      <c r="F899" s="3">
        <f>+VLOOKUP($A899,MAGAZZINO!$B$2:$M$100000,6,FALSE)</f>
        <v/>
      </c>
      <c r="G899" s="3">
        <f>+VLOOKUP($A899,MAGAZZINO!$B$2:$M$100000,7,FALSE)</f>
        <v/>
      </c>
      <c r="H899" s="3">
        <f>+VLOOKUP($A899,MAGAZZINO!$B$2:$M$100000,8,FALSE)</f>
        <v/>
      </c>
      <c r="I899" s="3">
        <f>+VLOOKUP($A899,MAGAZZINO!$B$2:$M$100000,9,FALSE)</f>
        <v/>
      </c>
      <c r="J899" s="3">
        <f>+VLOOKUP($A899,MAGAZZINO!$B$2:$M$100000,10,FALSE)</f>
        <v/>
      </c>
      <c r="K899" s="3">
        <f>+VLOOKUP($A899,MAGAZZINO!$B$2:$M$100000,11,FALSE)</f>
        <v/>
      </c>
      <c r="L899" s="5">
        <f>+VLOOKUP($A899,MAGAZZINO!$B$2:$M$100000,12,FALSE)</f>
        <v/>
      </c>
      <c r="M899" s="47" t="n"/>
      <c r="N899" s="54" t="n"/>
      <c r="O899" s="3" t="n"/>
      <c r="P899" s="149" t="n"/>
      <c r="Q899" s="150" t="n"/>
      <c r="R899" s="150" t="n"/>
      <c r="S899" s="151" t="n"/>
    </row>
    <row r="900" ht="36" customHeight="1">
      <c r="A900" s="46" t="n">
        <v>3230</v>
      </c>
      <c r="B900" s="4">
        <f>+VLOOKUP($A900,MAGAZZINO!$B$2:$M$100000,2,FALSE)</f>
        <v/>
      </c>
      <c r="C900" s="29">
        <f>+VLOOKUP($A900,MAGAZZINO!$B$2:$M$100000,3,FALSE)</f>
        <v/>
      </c>
      <c r="D900" s="3">
        <f>+VLOOKUP($A900,MAGAZZINO!$B$2:$M$100000,4,FALSE)</f>
        <v/>
      </c>
      <c r="E900" s="3">
        <f>+VLOOKUP($A900,MAGAZZINO!$B$2:$M$100000,5,FALSE)</f>
        <v/>
      </c>
      <c r="F900" s="3">
        <f>+VLOOKUP($A900,MAGAZZINO!$B$2:$M$100000,6,FALSE)</f>
        <v/>
      </c>
      <c r="G900" s="3">
        <f>+VLOOKUP($A900,MAGAZZINO!$B$2:$M$100000,7,FALSE)</f>
        <v/>
      </c>
      <c r="H900" s="3">
        <f>+VLOOKUP($A900,MAGAZZINO!$B$2:$M$100000,8,FALSE)</f>
        <v/>
      </c>
      <c r="I900" s="3">
        <f>+VLOOKUP($A900,MAGAZZINO!$B$2:$M$100000,9,FALSE)</f>
        <v/>
      </c>
      <c r="J900" s="3">
        <f>+VLOOKUP($A900,MAGAZZINO!$B$2:$M$100000,10,FALSE)</f>
        <v/>
      </c>
      <c r="K900" s="3">
        <f>+VLOOKUP($A900,MAGAZZINO!$B$2:$M$100000,11,FALSE)</f>
        <v/>
      </c>
      <c r="L900" s="5">
        <f>+VLOOKUP($A900,MAGAZZINO!$B$2:$M$100000,12,FALSE)</f>
        <v/>
      </c>
      <c r="M900" s="47" t="n"/>
      <c r="N900" s="54" t="n"/>
      <c r="O900" s="3" t="n"/>
      <c r="P900" s="149" t="n"/>
      <c r="Q900" s="150" t="n"/>
      <c r="R900" s="150" t="n"/>
      <c r="S900" s="151" t="n"/>
    </row>
    <row r="901" ht="36" customHeight="1">
      <c r="A901" s="46" t="n">
        <v>3231</v>
      </c>
      <c r="B901" s="4">
        <f>+VLOOKUP($A901,MAGAZZINO!$B$2:$M$100000,2,FALSE)</f>
        <v/>
      </c>
      <c r="C901" s="29">
        <f>+VLOOKUP($A901,MAGAZZINO!$B$2:$M$100000,3,FALSE)</f>
        <v/>
      </c>
      <c r="D901" s="3">
        <f>+VLOOKUP($A901,MAGAZZINO!$B$2:$M$100000,4,FALSE)</f>
        <v/>
      </c>
      <c r="E901" s="3">
        <f>+VLOOKUP($A901,MAGAZZINO!$B$2:$M$100000,5,FALSE)</f>
        <v/>
      </c>
      <c r="F901" s="3">
        <f>+VLOOKUP($A901,MAGAZZINO!$B$2:$M$100000,6,FALSE)</f>
        <v/>
      </c>
      <c r="G901" s="3">
        <f>+VLOOKUP($A901,MAGAZZINO!$B$2:$M$100000,7,FALSE)</f>
        <v/>
      </c>
      <c r="H901" s="3">
        <f>+VLOOKUP($A901,MAGAZZINO!$B$2:$M$100000,8,FALSE)</f>
        <v/>
      </c>
      <c r="I901" s="3">
        <f>+VLOOKUP($A901,MAGAZZINO!$B$2:$M$100000,9,FALSE)</f>
        <v/>
      </c>
      <c r="J901" s="3">
        <f>+VLOOKUP($A901,MAGAZZINO!$B$2:$M$100000,10,FALSE)</f>
        <v/>
      </c>
      <c r="K901" s="3">
        <f>+VLOOKUP($A901,MAGAZZINO!$B$2:$M$100000,11,FALSE)</f>
        <v/>
      </c>
      <c r="L901" s="5">
        <f>+VLOOKUP($A901,MAGAZZINO!$B$2:$M$100000,12,FALSE)</f>
        <v/>
      </c>
      <c r="M901" s="47" t="n"/>
      <c r="N901" s="54" t="n"/>
      <c r="O901" s="3" t="n"/>
      <c r="P901" s="149" t="n"/>
      <c r="Q901" s="150" t="n"/>
      <c r="R901" s="150" t="n"/>
      <c r="S901" s="151" t="n"/>
    </row>
    <row r="902" ht="36" customHeight="1">
      <c r="A902" s="46" t="n">
        <v>3232</v>
      </c>
      <c r="B902" s="4">
        <f>+VLOOKUP($A902,MAGAZZINO!$B$2:$M$100000,2,FALSE)</f>
        <v/>
      </c>
      <c r="C902" s="29">
        <f>+VLOOKUP($A902,MAGAZZINO!$B$2:$M$100000,3,FALSE)</f>
        <v/>
      </c>
      <c r="D902" s="3">
        <f>+VLOOKUP($A902,MAGAZZINO!$B$2:$M$100000,4,FALSE)</f>
        <v/>
      </c>
      <c r="E902" s="3">
        <f>+VLOOKUP($A902,MAGAZZINO!$B$2:$M$100000,5,FALSE)</f>
        <v/>
      </c>
      <c r="F902" s="3">
        <f>+VLOOKUP($A902,MAGAZZINO!$B$2:$M$100000,6,FALSE)</f>
        <v/>
      </c>
      <c r="G902" s="3">
        <f>+VLOOKUP($A902,MAGAZZINO!$B$2:$M$100000,7,FALSE)</f>
        <v/>
      </c>
      <c r="H902" s="3">
        <f>+VLOOKUP($A902,MAGAZZINO!$B$2:$M$100000,8,FALSE)</f>
        <v/>
      </c>
      <c r="I902" s="3">
        <f>+VLOOKUP($A902,MAGAZZINO!$B$2:$M$100000,9,FALSE)</f>
        <v/>
      </c>
      <c r="J902" s="3">
        <f>+VLOOKUP($A902,MAGAZZINO!$B$2:$M$100000,10,FALSE)</f>
        <v/>
      </c>
      <c r="K902" s="3">
        <f>+VLOOKUP($A902,MAGAZZINO!$B$2:$M$100000,11,FALSE)</f>
        <v/>
      </c>
      <c r="L902" s="5">
        <f>+VLOOKUP($A902,MAGAZZINO!$B$2:$M$100000,12,FALSE)</f>
        <v/>
      </c>
      <c r="M902" s="47" t="n"/>
      <c r="N902" s="54" t="n"/>
      <c r="O902" s="3" t="n"/>
      <c r="P902" s="149" t="n"/>
      <c r="Q902" s="150" t="n"/>
      <c r="R902" s="150" t="n"/>
      <c r="S902" s="151" t="n"/>
    </row>
    <row r="903" ht="36" customHeight="1">
      <c r="A903" s="46" t="n">
        <v>3233</v>
      </c>
      <c r="B903" s="4">
        <f>+VLOOKUP($A903,MAGAZZINO!$B$2:$M$100000,2,FALSE)</f>
        <v/>
      </c>
      <c r="C903" s="29">
        <f>+VLOOKUP($A903,MAGAZZINO!$B$2:$M$100000,3,FALSE)</f>
        <v/>
      </c>
      <c r="D903" s="3">
        <f>+VLOOKUP($A903,MAGAZZINO!$B$2:$M$100000,4,FALSE)</f>
        <v/>
      </c>
      <c r="E903" s="3">
        <f>+VLOOKUP($A903,MAGAZZINO!$B$2:$M$100000,5,FALSE)</f>
        <v/>
      </c>
      <c r="F903" s="3">
        <f>+VLOOKUP($A903,MAGAZZINO!$B$2:$M$100000,6,FALSE)</f>
        <v/>
      </c>
      <c r="G903" s="3">
        <f>+VLOOKUP($A903,MAGAZZINO!$B$2:$M$100000,7,FALSE)</f>
        <v/>
      </c>
      <c r="H903" s="3">
        <f>+VLOOKUP($A903,MAGAZZINO!$B$2:$M$100000,8,FALSE)</f>
        <v/>
      </c>
      <c r="I903" s="3">
        <f>+VLOOKUP($A903,MAGAZZINO!$B$2:$M$100000,9,FALSE)</f>
        <v/>
      </c>
      <c r="J903" s="3">
        <f>+VLOOKUP($A903,MAGAZZINO!$B$2:$M$100000,10,FALSE)</f>
        <v/>
      </c>
      <c r="K903" s="3">
        <f>+VLOOKUP($A903,MAGAZZINO!$B$2:$M$100000,11,FALSE)</f>
        <v/>
      </c>
      <c r="L903" s="5">
        <f>+VLOOKUP($A903,MAGAZZINO!$B$2:$M$100000,12,FALSE)</f>
        <v/>
      </c>
      <c r="M903" s="47" t="n"/>
      <c r="N903" s="54" t="n"/>
      <c r="O903" s="3" t="n"/>
      <c r="P903" s="149" t="n"/>
      <c r="Q903" s="150" t="n"/>
      <c r="R903" s="150" t="n"/>
      <c r="S903" s="151" t="n"/>
    </row>
    <row r="904" ht="36" customHeight="1">
      <c r="A904" s="46" t="n">
        <v>3234</v>
      </c>
      <c r="B904" s="4">
        <f>+VLOOKUP($A904,MAGAZZINO!$B$2:$M$100000,2,FALSE)</f>
        <v/>
      </c>
      <c r="C904" s="29">
        <f>+VLOOKUP($A904,MAGAZZINO!$B$2:$M$100000,3,FALSE)</f>
        <v/>
      </c>
      <c r="D904" s="3">
        <f>+VLOOKUP($A904,MAGAZZINO!$B$2:$M$100000,4,FALSE)</f>
        <v/>
      </c>
      <c r="E904" s="3">
        <f>+VLOOKUP($A904,MAGAZZINO!$B$2:$M$100000,5,FALSE)</f>
        <v/>
      </c>
      <c r="F904" s="3">
        <f>+VLOOKUP($A904,MAGAZZINO!$B$2:$M$100000,6,FALSE)</f>
        <v/>
      </c>
      <c r="G904" s="3">
        <f>+VLOOKUP($A904,MAGAZZINO!$B$2:$M$100000,7,FALSE)</f>
        <v/>
      </c>
      <c r="H904" s="3">
        <f>+VLOOKUP($A904,MAGAZZINO!$B$2:$M$100000,8,FALSE)</f>
        <v/>
      </c>
      <c r="I904" s="3">
        <f>+VLOOKUP($A904,MAGAZZINO!$B$2:$M$100000,9,FALSE)</f>
        <v/>
      </c>
      <c r="J904" s="3">
        <f>+VLOOKUP($A904,MAGAZZINO!$B$2:$M$100000,10,FALSE)</f>
        <v/>
      </c>
      <c r="K904" s="3">
        <f>+VLOOKUP($A904,MAGAZZINO!$B$2:$M$100000,11,FALSE)</f>
        <v/>
      </c>
      <c r="L904" s="5">
        <f>+VLOOKUP($A904,MAGAZZINO!$B$2:$M$100000,12,FALSE)</f>
        <v/>
      </c>
      <c r="M904" s="47" t="n"/>
      <c r="N904" s="54" t="n"/>
      <c r="O904" s="3" t="n"/>
      <c r="P904" s="149" t="n"/>
      <c r="Q904" s="150" t="n"/>
      <c r="R904" s="150" t="n"/>
      <c r="S904" s="151" t="n"/>
    </row>
    <row r="905" ht="36" customHeight="1">
      <c r="A905" s="46" t="n">
        <v>3235</v>
      </c>
      <c r="B905" s="4">
        <f>+VLOOKUP($A905,MAGAZZINO!$B$2:$M$100000,2,FALSE)</f>
        <v/>
      </c>
      <c r="C905" s="29">
        <f>+VLOOKUP($A905,MAGAZZINO!$B$2:$M$100000,3,FALSE)</f>
        <v/>
      </c>
      <c r="D905" s="3">
        <f>+VLOOKUP($A905,MAGAZZINO!$B$2:$M$100000,4,FALSE)</f>
        <v/>
      </c>
      <c r="E905" s="3">
        <f>+VLOOKUP($A905,MAGAZZINO!$B$2:$M$100000,5,FALSE)</f>
        <v/>
      </c>
      <c r="F905" s="3">
        <f>+VLOOKUP($A905,MAGAZZINO!$B$2:$M$100000,6,FALSE)</f>
        <v/>
      </c>
      <c r="G905" s="3">
        <f>+VLOOKUP($A905,MAGAZZINO!$B$2:$M$100000,7,FALSE)</f>
        <v/>
      </c>
      <c r="H905" s="3">
        <f>+VLOOKUP($A905,MAGAZZINO!$B$2:$M$100000,8,FALSE)</f>
        <v/>
      </c>
      <c r="I905" s="3">
        <f>+VLOOKUP($A905,MAGAZZINO!$B$2:$M$100000,9,FALSE)</f>
        <v/>
      </c>
      <c r="J905" s="3">
        <f>+VLOOKUP($A905,MAGAZZINO!$B$2:$M$100000,10,FALSE)</f>
        <v/>
      </c>
      <c r="K905" s="3">
        <f>+VLOOKUP($A905,MAGAZZINO!$B$2:$M$100000,11,FALSE)</f>
        <v/>
      </c>
      <c r="L905" s="5">
        <f>+VLOOKUP($A905,MAGAZZINO!$B$2:$M$100000,12,FALSE)</f>
        <v/>
      </c>
      <c r="M905" s="47" t="n"/>
      <c r="N905" s="54" t="n"/>
      <c r="O905" s="3" t="n"/>
      <c r="P905" s="149" t="n"/>
      <c r="Q905" s="150" t="n"/>
      <c r="R905" s="150" t="n"/>
      <c r="S905" s="151" t="n"/>
    </row>
    <row r="906" ht="36" customHeight="1">
      <c r="A906" s="46" t="n">
        <v>3236</v>
      </c>
      <c r="B906" s="4">
        <f>+VLOOKUP($A906,MAGAZZINO!$B$2:$M$100000,2,FALSE)</f>
        <v/>
      </c>
      <c r="C906" s="29">
        <f>+VLOOKUP($A906,MAGAZZINO!$B$2:$M$100000,3,FALSE)</f>
        <v/>
      </c>
      <c r="D906" s="3">
        <f>+VLOOKUP($A906,MAGAZZINO!$B$2:$M$100000,4,FALSE)</f>
        <v/>
      </c>
      <c r="E906" s="3">
        <f>+VLOOKUP($A906,MAGAZZINO!$B$2:$M$100000,5,FALSE)</f>
        <v/>
      </c>
      <c r="F906" s="3">
        <f>+VLOOKUP($A906,MAGAZZINO!$B$2:$M$100000,6,FALSE)</f>
        <v/>
      </c>
      <c r="G906" s="3">
        <f>+VLOOKUP($A906,MAGAZZINO!$B$2:$M$100000,7,FALSE)</f>
        <v/>
      </c>
      <c r="H906" s="3">
        <f>+VLOOKUP($A906,MAGAZZINO!$B$2:$M$100000,8,FALSE)</f>
        <v/>
      </c>
      <c r="I906" s="3">
        <f>+VLOOKUP($A906,MAGAZZINO!$B$2:$M$100000,9,FALSE)</f>
        <v/>
      </c>
      <c r="J906" s="3">
        <f>+VLOOKUP($A906,MAGAZZINO!$B$2:$M$100000,10,FALSE)</f>
        <v/>
      </c>
      <c r="K906" s="3">
        <f>+VLOOKUP($A906,MAGAZZINO!$B$2:$M$100000,11,FALSE)</f>
        <v/>
      </c>
      <c r="L906" s="5">
        <f>+VLOOKUP($A906,MAGAZZINO!$B$2:$M$100000,12,FALSE)</f>
        <v/>
      </c>
      <c r="M906" s="47" t="n"/>
      <c r="N906" s="54" t="n"/>
      <c r="O906" s="3" t="n"/>
      <c r="P906" s="149" t="n"/>
      <c r="Q906" s="150" t="n"/>
      <c r="R906" s="150" t="n"/>
      <c r="S906" s="151" t="n"/>
    </row>
    <row r="907" ht="36" customHeight="1">
      <c r="A907" s="46" t="n">
        <v>3237</v>
      </c>
      <c r="B907" s="4">
        <f>+VLOOKUP($A907,MAGAZZINO!$B$2:$M$100000,2,FALSE)</f>
        <v/>
      </c>
      <c r="C907" s="29">
        <f>+VLOOKUP($A907,MAGAZZINO!$B$2:$M$100000,3,FALSE)</f>
        <v/>
      </c>
      <c r="D907" s="3">
        <f>+VLOOKUP($A907,MAGAZZINO!$B$2:$M$100000,4,FALSE)</f>
        <v/>
      </c>
      <c r="E907" s="3">
        <f>+VLOOKUP($A907,MAGAZZINO!$B$2:$M$100000,5,FALSE)</f>
        <v/>
      </c>
      <c r="F907" s="3">
        <f>+VLOOKUP($A907,MAGAZZINO!$B$2:$M$100000,6,FALSE)</f>
        <v/>
      </c>
      <c r="G907" s="3">
        <f>+VLOOKUP($A907,MAGAZZINO!$B$2:$M$100000,7,FALSE)</f>
        <v/>
      </c>
      <c r="H907" s="3">
        <f>+VLOOKUP($A907,MAGAZZINO!$B$2:$M$100000,8,FALSE)</f>
        <v/>
      </c>
      <c r="I907" s="3">
        <f>+VLOOKUP($A907,MAGAZZINO!$B$2:$M$100000,9,FALSE)</f>
        <v/>
      </c>
      <c r="J907" s="3">
        <f>+VLOOKUP($A907,MAGAZZINO!$B$2:$M$100000,10,FALSE)</f>
        <v/>
      </c>
      <c r="K907" s="3">
        <f>+VLOOKUP($A907,MAGAZZINO!$B$2:$M$100000,11,FALSE)</f>
        <v/>
      </c>
      <c r="L907" s="5">
        <f>+VLOOKUP($A907,MAGAZZINO!$B$2:$M$100000,12,FALSE)</f>
        <v/>
      </c>
      <c r="M907" s="47" t="n"/>
      <c r="N907" s="54" t="n"/>
      <c r="O907" s="3" t="n"/>
      <c r="P907" s="149" t="n"/>
      <c r="Q907" s="150" t="n"/>
      <c r="R907" s="150" t="n"/>
      <c r="S907" s="151" t="n"/>
    </row>
    <row r="908" ht="36" customHeight="1">
      <c r="A908" s="46" t="n">
        <v>3238</v>
      </c>
      <c r="B908" s="4">
        <f>+VLOOKUP($A908,MAGAZZINO!$B$2:$M$100000,2,FALSE)</f>
        <v/>
      </c>
      <c r="C908" s="29">
        <f>+VLOOKUP($A908,MAGAZZINO!$B$2:$M$100000,3,FALSE)</f>
        <v/>
      </c>
      <c r="D908" s="3">
        <f>+VLOOKUP($A908,MAGAZZINO!$B$2:$M$100000,4,FALSE)</f>
        <v/>
      </c>
      <c r="E908" s="3">
        <f>+VLOOKUP($A908,MAGAZZINO!$B$2:$M$100000,5,FALSE)</f>
        <v/>
      </c>
      <c r="F908" s="3">
        <f>+VLOOKUP($A908,MAGAZZINO!$B$2:$M$100000,6,FALSE)</f>
        <v/>
      </c>
      <c r="G908" s="3">
        <f>+VLOOKUP($A908,MAGAZZINO!$B$2:$M$100000,7,FALSE)</f>
        <v/>
      </c>
      <c r="H908" s="3">
        <f>+VLOOKUP($A908,MAGAZZINO!$B$2:$M$100000,8,FALSE)</f>
        <v/>
      </c>
      <c r="I908" s="3">
        <f>+VLOOKUP($A908,MAGAZZINO!$B$2:$M$100000,9,FALSE)</f>
        <v/>
      </c>
      <c r="J908" s="3">
        <f>+VLOOKUP($A908,MAGAZZINO!$B$2:$M$100000,10,FALSE)</f>
        <v/>
      </c>
      <c r="K908" s="3">
        <f>+VLOOKUP($A908,MAGAZZINO!$B$2:$M$100000,11,FALSE)</f>
        <v/>
      </c>
      <c r="L908" s="5">
        <f>+VLOOKUP($A908,MAGAZZINO!$B$2:$M$100000,12,FALSE)</f>
        <v/>
      </c>
      <c r="M908" s="47" t="n"/>
      <c r="N908" s="54" t="n"/>
      <c r="O908" s="3" t="n"/>
      <c r="P908" s="149" t="n"/>
      <c r="Q908" s="150" t="n"/>
      <c r="R908" s="150" t="n"/>
      <c r="S908" s="151" t="n"/>
    </row>
    <row r="909" ht="36" customHeight="1">
      <c r="A909" s="46" t="n">
        <v>3239</v>
      </c>
      <c r="B909" s="4">
        <f>+VLOOKUP($A909,MAGAZZINO!$B$2:$M$100000,2,FALSE)</f>
        <v/>
      </c>
      <c r="C909" s="29">
        <f>+VLOOKUP($A909,MAGAZZINO!$B$2:$M$100000,3,FALSE)</f>
        <v/>
      </c>
      <c r="D909" s="3">
        <f>+VLOOKUP($A909,MAGAZZINO!$B$2:$M$100000,4,FALSE)</f>
        <v/>
      </c>
      <c r="E909" s="3">
        <f>+VLOOKUP($A909,MAGAZZINO!$B$2:$M$100000,5,FALSE)</f>
        <v/>
      </c>
      <c r="F909" s="3">
        <f>+VLOOKUP($A909,MAGAZZINO!$B$2:$M$100000,6,FALSE)</f>
        <v/>
      </c>
      <c r="G909" s="3">
        <f>+VLOOKUP($A909,MAGAZZINO!$B$2:$M$100000,7,FALSE)</f>
        <v/>
      </c>
      <c r="H909" s="3">
        <f>+VLOOKUP($A909,MAGAZZINO!$B$2:$M$100000,8,FALSE)</f>
        <v/>
      </c>
      <c r="I909" s="3">
        <f>+VLOOKUP($A909,MAGAZZINO!$B$2:$M$100000,9,FALSE)</f>
        <v/>
      </c>
      <c r="J909" s="3">
        <f>+VLOOKUP($A909,MAGAZZINO!$B$2:$M$100000,10,FALSE)</f>
        <v/>
      </c>
      <c r="K909" s="3">
        <f>+VLOOKUP($A909,MAGAZZINO!$B$2:$M$100000,11,FALSE)</f>
        <v/>
      </c>
      <c r="L909" s="5">
        <f>+VLOOKUP($A909,MAGAZZINO!$B$2:$M$100000,12,FALSE)</f>
        <v/>
      </c>
      <c r="M909" s="47" t="n"/>
      <c r="N909" s="54" t="n"/>
      <c r="O909" s="3" t="n"/>
      <c r="P909" s="149" t="n"/>
      <c r="Q909" s="150" t="n"/>
      <c r="R909" s="150" t="n"/>
      <c r="S909" s="151" t="n"/>
    </row>
    <row r="910" ht="36" customHeight="1">
      <c r="A910" s="46" t="n">
        <v>3240</v>
      </c>
      <c r="B910" s="4">
        <f>+VLOOKUP($A910,MAGAZZINO!$B$2:$M$100000,2,FALSE)</f>
        <v/>
      </c>
      <c r="C910" s="29">
        <f>+VLOOKUP($A910,MAGAZZINO!$B$2:$M$100000,3,FALSE)</f>
        <v/>
      </c>
      <c r="D910" s="3">
        <f>+VLOOKUP($A910,MAGAZZINO!$B$2:$M$100000,4,FALSE)</f>
        <v/>
      </c>
      <c r="E910" s="3">
        <f>+VLOOKUP($A910,MAGAZZINO!$B$2:$M$100000,5,FALSE)</f>
        <v/>
      </c>
      <c r="F910" s="3">
        <f>+VLOOKUP($A910,MAGAZZINO!$B$2:$M$100000,6,FALSE)</f>
        <v/>
      </c>
      <c r="G910" s="3">
        <f>+VLOOKUP($A910,MAGAZZINO!$B$2:$M$100000,7,FALSE)</f>
        <v/>
      </c>
      <c r="H910" s="3">
        <f>+VLOOKUP($A910,MAGAZZINO!$B$2:$M$100000,8,FALSE)</f>
        <v/>
      </c>
      <c r="I910" s="3">
        <f>+VLOOKUP($A910,MAGAZZINO!$B$2:$M$100000,9,FALSE)</f>
        <v/>
      </c>
      <c r="J910" s="3">
        <f>+VLOOKUP($A910,MAGAZZINO!$B$2:$M$100000,10,FALSE)</f>
        <v/>
      </c>
      <c r="K910" s="3">
        <f>+VLOOKUP($A910,MAGAZZINO!$B$2:$M$100000,11,FALSE)</f>
        <v/>
      </c>
      <c r="L910" s="5">
        <f>+VLOOKUP($A910,MAGAZZINO!$B$2:$M$100000,12,FALSE)</f>
        <v/>
      </c>
      <c r="M910" s="47" t="n"/>
      <c r="N910" s="54" t="n"/>
      <c r="O910" s="3" t="n"/>
      <c r="P910" s="149" t="n"/>
      <c r="Q910" s="150" t="n"/>
      <c r="R910" s="150" t="n"/>
      <c r="S910" s="151" t="n"/>
    </row>
    <row r="911" ht="36" customHeight="1">
      <c r="A911" s="46" t="n">
        <v>3241</v>
      </c>
      <c r="B911" s="4">
        <f>+VLOOKUP($A911,MAGAZZINO!$B$2:$M$100000,2,FALSE)</f>
        <v/>
      </c>
      <c r="C911" s="29">
        <f>+VLOOKUP($A911,MAGAZZINO!$B$2:$M$100000,3,FALSE)</f>
        <v/>
      </c>
      <c r="D911" s="3">
        <f>+VLOOKUP($A911,MAGAZZINO!$B$2:$M$100000,4,FALSE)</f>
        <v/>
      </c>
      <c r="E911" s="3">
        <f>+VLOOKUP($A911,MAGAZZINO!$B$2:$M$100000,5,FALSE)</f>
        <v/>
      </c>
      <c r="F911" s="3">
        <f>+VLOOKUP($A911,MAGAZZINO!$B$2:$M$100000,6,FALSE)</f>
        <v/>
      </c>
      <c r="G911" s="3">
        <f>+VLOOKUP($A911,MAGAZZINO!$B$2:$M$100000,7,FALSE)</f>
        <v/>
      </c>
      <c r="H911" s="3">
        <f>+VLOOKUP($A911,MAGAZZINO!$B$2:$M$100000,8,FALSE)</f>
        <v/>
      </c>
      <c r="I911" s="3">
        <f>+VLOOKUP($A911,MAGAZZINO!$B$2:$M$100000,9,FALSE)</f>
        <v/>
      </c>
      <c r="J911" s="3">
        <f>+VLOOKUP($A911,MAGAZZINO!$B$2:$M$100000,10,FALSE)</f>
        <v/>
      </c>
      <c r="K911" s="3">
        <f>+VLOOKUP($A911,MAGAZZINO!$B$2:$M$100000,11,FALSE)</f>
        <v/>
      </c>
      <c r="L911" s="5">
        <f>+VLOOKUP($A911,MAGAZZINO!$B$2:$M$100000,12,FALSE)</f>
        <v/>
      </c>
      <c r="M911" s="47" t="n"/>
      <c r="N911" s="54" t="n"/>
      <c r="O911" s="3" t="n"/>
      <c r="P911" s="149" t="n"/>
      <c r="Q911" s="150" t="n"/>
      <c r="R911" s="150" t="n"/>
      <c r="S911" s="151" t="n"/>
    </row>
    <row r="912" ht="36" customHeight="1">
      <c r="A912" s="46" t="n">
        <v>3242</v>
      </c>
      <c r="B912" s="4">
        <f>+VLOOKUP($A912,MAGAZZINO!$B$2:$M$100000,2,FALSE)</f>
        <v/>
      </c>
      <c r="C912" s="29">
        <f>+VLOOKUP($A912,MAGAZZINO!$B$2:$M$100000,3,FALSE)</f>
        <v/>
      </c>
      <c r="D912" s="3">
        <f>+VLOOKUP($A912,MAGAZZINO!$B$2:$M$100000,4,FALSE)</f>
        <v/>
      </c>
      <c r="E912" s="3">
        <f>+VLOOKUP($A912,MAGAZZINO!$B$2:$M$100000,5,FALSE)</f>
        <v/>
      </c>
      <c r="F912" s="3">
        <f>+VLOOKUP($A912,MAGAZZINO!$B$2:$M$100000,6,FALSE)</f>
        <v/>
      </c>
      <c r="G912" s="3">
        <f>+VLOOKUP($A912,MAGAZZINO!$B$2:$M$100000,7,FALSE)</f>
        <v/>
      </c>
      <c r="H912" s="3">
        <f>+VLOOKUP($A912,MAGAZZINO!$B$2:$M$100000,8,FALSE)</f>
        <v/>
      </c>
      <c r="I912" s="3">
        <f>+VLOOKUP($A912,MAGAZZINO!$B$2:$M$100000,9,FALSE)</f>
        <v/>
      </c>
      <c r="J912" s="3">
        <f>+VLOOKUP($A912,MAGAZZINO!$B$2:$M$100000,10,FALSE)</f>
        <v/>
      </c>
      <c r="K912" s="3">
        <f>+VLOOKUP($A912,MAGAZZINO!$B$2:$M$100000,11,FALSE)</f>
        <v/>
      </c>
      <c r="L912" s="5">
        <f>+VLOOKUP($A912,MAGAZZINO!$B$2:$M$100000,12,FALSE)</f>
        <v/>
      </c>
      <c r="M912" s="47" t="n"/>
      <c r="N912" s="54" t="n"/>
      <c r="O912" s="3" t="n"/>
      <c r="P912" s="149" t="n"/>
      <c r="Q912" s="150" t="n"/>
      <c r="R912" s="150" t="n"/>
      <c r="S912" s="151" t="n"/>
    </row>
    <row r="913" ht="36" customHeight="1">
      <c r="A913" s="46" t="n">
        <v>3243</v>
      </c>
      <c r="B913" s="4">
        <f>+VLOOKUP($A913,MAGAZZINO!$B$2:$M$100000,2,FALSE)</f>
        <v/>
      </c>
      <c r="C913" s="29">
        <f>+VLOOKUP($A913,MAGAZZINO!$B$2:$M$100000,3,FALSE)</f>
        <v/>
      </c>
      <c r="D913" s="3">
        <f>+VLOOKUP($A913,MAGAZZINO!$B$2:$M$100000,4,FALSE)</f>
        <v/>
      </c>
      <c r="E913" s="3">
        <f>+VLOOKUP($A913,MAGAZZINO!$B$2:$M$100000,5,FALSE)</f>
        <v/>
      </c>
      <c r="F913" s="3">
        <f>+VLOOKUP($A913,MAGAZZINO!$B$2:$M$100000,6,FALSE)</f>
        <v/>
      </c>
      <c r="G913" s="3">
        <f>+VLOOKUP($A913,MAGAZZINO!$B$2:$M$100000,7,FALSE)</f>
        <v/>
      </c>
      <c r="H913" s="3">
        <f>+VLOOKUP($A913,MAGAZZINO!$B$2:$M$100000,8,FALSE)</f>
        <v/>
      </c>
      <c r="I913" s="3">
        <f>+VLOOKUP($A913,MAGAZZINO!$B$2:$M$100000,9,FALSE)</f>
        <v/>
      </c>
      <c r="J913" s="3">
        <f>+VLOOKUP($A913,MAGAZZINO!$B$2:$M$100000,10,FALSE)</f>
        <v/>
      </c>
      <c r="K913" s="3">
        <f>+VLOOKUP($A913,MAGAZZINO!$B$2:$M$100000,11,FALSE)</f>
        <v/>
      </c>
      <c r="L913" s="5">
        <f>+VLOOKUP($A913,MAGAZZINO!$B$2:$M$100000,12,FALSE)</f>
        <v/>
      </c>
      <c r="M913" s="47" t="n"/>
      <c r="N913" s="54" t="n"/>
      <c r="O913" s="3" t="n"/>
      <c r="P913" s="149" t="n"/>
      <c r="Q913" s="150" t="n"/>
      <c r="R913" s="150" t="n"/>
      <c r="S913" s="151" t="n"/>
    </row>
    <row r="914" ht="36" customHeight="1">
      <c r="A914" s="46" t="n">
        <v>3244</v>
      </c>
      <c r="B914" s="4">
        <f>+VLOOKUP($A914,MAGAZZINO!$B$2:$M$100000,2,FALSE)</f>
        <v/>
      </c>
      <c r="C914" s="29">
        <f>+VLOOKUP($A914,MAGAZZINO!$B$2:$M$100000,3,FALSE)</f>
        <v/>
      </c>
      <c r="D914" s="3">
        <f>+VLOOKUP($A914,MAGAZZINO!$B$2:$M$100000,4,FALSE)</f>
        <v/>
      </c>
      <c r="E914" s="3">
        <f>+VLOOKUP($A914,MAGAZZINO!$B$2:$M$100000,5,FALSE)</f>
        <v/>
      </c>
      <c r="F914" s="3">
        <f>+VLOOKUP($A914,MAGAZZINO!$B$2:$M$100000,6,FALSE)</f>
        <v/>
      </c>
      <c r="G914" s="3">
        <f>+VLOOKUP($A914,MAGAZZINO!$B$2:$M$100000,7,FALSE)</f>
        <v/>
      </c>
      <c r="H914" s="3">
        <f>+VLOOKUP($A914,MAGAZZINO!$B$2:$M$100000,8,FALSE)</f>
        <v/>
      </c>
      <c r="I914" s="3">
        <f>+VLOOKUP($A914,MAGAZZINO!$B$2:$M$100000,9,FALSE)</f>
        <v/>
      </c>
      <c r="J914" s="3">
        <f>+VLOOKUP($A914,MAGAZZINO!$B$2:$M$100000,10,FALSE)</f>
        <v/>
      </c>
      <c r="K914" s="3">
        <f>+VLOOKUP($A914,MAGAZZINO!$B$2:$M$100000,11,FALSE)</f>
        <v/>
      </c>
      <c r="L914" s="5">
        <f>+VLOOKUP($A914,MAGAZZINO!$B$2:$M$100000,12,FALSE)</f>
        <v/>
      </c>
      <c r="M914" s="47" t="n"/>
      <c r="N914" s="54" t="n"/>
      <c r="O914" s="3" t="n"/>
      <c r="P914" s="149" t="n"/>
      <c r="Q914" s="150" t="n"/>
      <c r="R914" s="150" t="n"/>
      <c r="S914" s="151" t="n"/>
    </row>
    <row r="915" ht="36" customHeight="1">
      <c r="A915" s="46" t="n">
        <v>3245</v>
      </c>
      <c r="B915" s="4">
        <f>+VLOOKUP($A915,MAGAZZINO!$B$2:$M$100000,2,FALSE)</f>
        <v/>
      </c>
      <c r="C915" s="29">
        <f>+VLOOKUP($A915,MAGAZZINO!$B$2:$M$100000,3,FALSE)</f>
        <v/>
      </c>
      <c r="D915" s="3">
        <f>+VLOOKUP($A915,MAGAZZINO!$B$2:$M$100000,4,FALSE)</f>
        <v/>
      </c>
      <c r="E915" s="3">
        <f>+VLOOKUP($A915,MAGAZZINO!$B$2:$M$100000,5,FALSE)</f>
        <v/>
      </c>
      <c r="F915" s="3">
        <f>+VLOOKUP($A915,MAGAZZINO!$B$2:$M$100000,6,FALSE)</f>
        <v/>
      </c>
      <c r="G915" s="3">
        <f>+VLOOKUP($A915,MAGAZZINO!$B$2:$M$100000,7,FALSE)</f>
        <v/>
      </c>
      <c r="H915" s="3">
        <f>+VLOOKUP($A915,MAGAZZINO!$B$2:$M$100000,8,FALSE)</f>
        <v/>
      </c>
      <c r="I915" s="3">
        <f>+VLOOKUP($A915,MAGAZZINO!$B$2:$M$100000,9,FALSE)</f>
        <v/>
      </c>
      <c r="J915" s="3">
        <f>+VLOOKUP($A915,MAGAZZINO!$B$2:$M$100000,10,FALSE)</f>
        <v/>
      </c>
      <c r="K915" s="3">
        <f>+VLOOKUP($A915,MAGAZZINO!$B$2:$M$100000,11,FALSE)</f>
        <v/>
      </c>
      <c r="L915" s="5">
        <f>+VLOOKUP($A915,MAGAZZINO!$B$2:$M$100000,12,FALSE)</f>
        <v/>
      </c>
      <c r="M915" s="47" t="n"/>
      <c r="N915" s="54" t="n"/>
      <c r="O915" s="3" t="n"/>
      <c r="P915" s="149" t="n"/>
      <c r="Q915" s="150" t="n"/>
      <c r="R915" s="150" t="n"/>
      <c r="S915" s="151" t="n"/>
    </row>
    <row r="916" ht="36" customHeight="1">
      <c r="A916" s="46" t="n">
        <v>3246</v>
      </c>
      <c r="B916" s="4">
        <f>+VLOOKUP($A916,MAGAZZINO!$B$2:$M$100000,2,FALSE)</f>
        <v/>
      </c>
      <c r="C916" s="29">
        <f>+VLOOKUP($A916,MAGAZZINO!$B$2:$M$100000,3,FALSE)</f>
        <v/>
      </c>
      <c r="D916" s="3">
        <f>+VLOOKUP($A916,MAGAZZINO!$B$2:$M$100000,4,FALSE)</f>
        <v/>
      </c>
      <c r="E916" s="3">
        <f>+VLOOKUP($A916,MAGAZZINO!$B$2:$M$100000,5,FALSE)</f>
        <v/>
      </c>
      <c r="F916" s="3">
        <f>+VLOOKUP($A916,MAGAZZINO!$B$2:$M$100000,6,FALSE)</f>
        <v/>
      </c>
      <c r="G916" s="3">
        <f>+VLOOKUP($A916,MAGAZZINO!$B$2:$M$100000,7,FALSE)</f>
        <v/>
      </c>
      <c r="H916" s="3">
        <f>+VLOOKUP($A916,MAGAZZINO!$B$2:$M$100000,8,FALSE)</f>
        <v/>
      </c>
      <c r="I916" s="3">
        <f>+VLOOKUP($A916,MAGAZZINO!$B$2:$M$100000,9,FALSE)</f>
        <v/>
      </c>
      <c r="J916" s="3">
        <f>+VLOOKUP($A916,MAGAZZINO!$B$2:$M$100000,10,FALSE)</f>
        <v/>
      </c>
      <c r="K916" s="3">
        <f>+VLOOKUP($A916,MAGAZZINO!$B$2:$M$100000,11,FALSE)</f>
        <v/>
      </c>
      <c r="L916" s="5">
        <f>+VLOOKUP($A916,MAGAZZINO!$B$2:$M$100000,12,FALSE)</f>
        <v/>
      </c>
      <c r="M916" s="47" t="n"/>
      <c r="N916" s="54" t="n"/>
      <c r="O916" s="3" t="n"/>
      <c r="P916" s="149" t="n"/>
      <c r="Q916" s="150" t="n"/>
      <c r="R916" s="150" t="n"/>
      <c r="S916" s="151" t="n"/>
    </row>
    <row r="917" ht="36" customHeight="1">
      <c r="A917" s="46" t="n">
        <v>3247</v>
      </c>
      <c r="B917" s="4">
        <f>+VLOOKUP($A917,MAGAZZINO!$B$2:$M$100000,2,FALSE)</f>
        <v/>
      </c>
      <c r="C917" s="29">
        <f>+VLOOKUP($A917,MAGAZZINO!$B$2:$M$100000,3,FALSE)</f>
        <v/>
      </c>
      <c r="D917" s="3">
        <f>+VLOOKUP($A917,MAGAZZINO!$B$2:$M$100000,4,FALSE)</f>
        <v/>
      </c>
      <c r="E917" s="3">
        <f>+VLOOKUP($A917,MAGAZZINO!$B$2:$M$100000,5,FALSE)</f>
        <v/>
      </c>
      <c r="F917" s="3">
        <f>+VLOOKUP($A917,MAGAZZINO!$B$2:$M$100000,6,FALSE)</f>
        <v/>
      </c>
      <c r="G917" s="3">
        <f>+VLOOKUP($A917,MAGAZZINO!$B$2:$M$100000,7,FALSE)</f>
        <v/>
      </c>
      <c r="H917" s="3">
        <f>+VLOOKUP($A917,MAGAZZINO!$B$2:$M$100000,8,FALSE)</f>
        <v/>
      </c>
      <c r="I917" s="3">
        <f>+VLOOKUP($A917,MAGAZZINO!$B$2:$M$100000,9,FALSE)</f>
        <v/>
      </c>
      <c r="J917" s="3">
        <f>+VLOOKUP($A917,MAGAZZINO!$B$2:$M$100000,10,FALSE)</f>
        <v/>
      </c>
      <c r="K917" s="3">
        <f>+VLOOKUP($A917,MAGAZZINO!$B$2:$M$100000,11,FALSE)</f>
        <v/>
      </c>
      <c r="L917" s="5">
        <f>+VLOOKUP($A917,MAGAZZINO!$B$2:$M$100000,12,FALSE)</f>
        <v/>
      </c>
      <c r="M917" s="47" t="n"/>
      <c r="N917" s="54" t="n"/>
      <c r="O917" s="3" t="n"/>
      <c r="P917" s="149" t="n"/>
      <c r="Q917" s="150" t="n"/>
      <c r="R917" s="150" t="n"/>
      <c r="S917" s="151" t="n"/>
    </row>
    <row r="918" ht="36" customHeight="1">
      <c r="A918" s="46" t="n">
        <v>3248</v>
      </c>
      <c r="B918" s="4">
        <f>+VLOOKUP($A918,MAGAZZINO!$B$2:$M$100000,2,FALSE)</f>
        <v/>
      </c>
      <c r="C918" s="29">
        <f>+VLOOKUP($A918,MAGAZZINO!$B$2:$M$100000,3,FALSE)</f>
        <v/>
      </c>
      <c r="D918" s="3">
        <f>+VLOOKUP($A918,MAGAZZINO!$B$2:$M$100000,4,FALSE)</f>
        <v/>
      </c>
      <c r="E918" s="3">
        <f>+VLOOKUP($A918,MAGAZZINO!$B$2:$M$100000,5,FALSE)</f>
        <v/>
      </c>
      <c r="F918" s="3">
        <f>+VLOOKUP($A918,MAGAZZINO!$B$2:$M$100000,6,FALSE)</f>
        <v/>
      </c>
      <c r="G918" s="3">
        <f>+VLOOKUP($A918,MAGAZZINO!$B$2:$M$100000,7,FALSE)</f>
        <v/>
      </c>
      <c r="H918" s="3">
        <f>+VLOOKUP($A918,MAGAZZINO!$B$2:$M$100000,8,FALSE)</f>
        <v/>
      </c>
      <c r="I918" s="3">
        <f>+VLOOKUP($A918,MAGAZZINO!$B$2:$M$100000,9,FALSE)</f>
        <v/>
      </c>
      <c r="J918" s="3">
        <f>+VLOOKUP($A918,MAGAZZINO!$B$2:$M$100000,10,FALSE)</f>
        <v/>
      </c>
      <c r="K918" s="3">
        <f>+VLOOKUP($A918,MAGAZZINO!$B$2:$M$100000,11,FALSE)</f>
        <v/>
      </c>
      <c r="L918" s="5">
        <f>+VLOOKUP($A918,MAGAZZINO!$B$2:$M$100000,12,FALSE)</f>
        <v/>
      </c>
      <c r="M918" s="47" t="n"/>
      <c r="N918" s="54" t="n"/>
      <c r="O918" s="3" t="n"/>
      <c r="P918" s="149" t="n"/>
      <c r="Q918" s="150" t="n"/>
      <c r="R918" s="150" t="n"/>
      <c r="S918" s="151" t="n"/>
    </row>
    <row r="919" ht="36" customHeight="1">
      <c r="A919" s="46" t="n">
        <v>3249</v>
      </c>
      <c r="B919" s="4">
        <f>+VLOOKUP($A919,MAGAZZINO!$B$2:$M$100000,2,FALSE)</f>
        <v/>
      </c>
      <c r="C919" s="29">
        <f>+VLOOKUP($A919,MAGAZZINO!$B$2:$M$100000,3,FALSE)</f>
        <v/>
      </c>
      <c r="D919" s="3">
        <f>+VLOOKUP($A919,MAGAZZINO!$B$2:$M$100000,4,FALSE)</f>
        <v/>
      </c>
      <c r="E919" s="3">
        <f>+VLOOKUP($A919,MAGAZZINO!$B$2:$M$100000,5,FALSE)</f>
        <v/>
      </c>
      <c r="F919" s="3">
        <f>+VLOOKUP($A919,MAGAZZINO!$B$2:$M$100000,6,FALSE)</f>
        <v/>
      </c>
      <c r="G919" s="3">
        <f>+VLOOKUP($A919,MAGAZZINO!$B$2:$M$100000,7,FALSE)</f>
        <v/>
      </c>
      <c r="H919" s="3">
        <f>+VLOOKUP($A919,MAGAZZINO!$B$2:$M$100000,8,FALSE)</f>
        <v/>
      </c>
      <c r="I919" s="3">
        <f>+VLOOKUP($A919,MAGAZZINO!$B$2:$M$100000,9,FALSE)</f>
        <v/>
      </c>
      <c r="J919" s="3">
        <f>+VLOOKUP($A919,MAGAZZINO!$B$2:$M$100000,10,FALSE)</f>
        <v/>
      </c>
      <c r="K919" s="3">
        <f>+VLOOKUP($A919,MAGAZZINO!$B$2:$M$100000,11,FALSE)</f>
        <v/>
      </c>
      <c r="L919" s="5">
        <f>+VLOOKUP($A919,MAGAZZINO!$B$2:$M$100000,12,FALSE)</f>
        <v/>
      </c>
      <c r="M919" s="47" t="n"/>
      <c r="N919" s="54" t="n"/>
      <c r="O919" s="3" t="n"/>
      <c r="P919" s="149" t="n"/>
      <c r="Q919" s="150" t="n"/>
      <c r="R919" s="150" t="n"/>
      <c r="S919" s="151" t="n"/>
    </row>
    <row r="920" ht="36" customHeight="1">
      <c r="A920" s="46" t="n">
        <v>3250</v>
      </c>
      <c r="B920" s="4">
        <f>+VLOOKUP($A920,MAGAZZINO!$B$2:$M$100000,2,FALSE)</f>
        <v/>
      </c>
      <c r="C920" s="29">
        <f>+VLOOKUP($A920,MAGAZZINO!$B$2:$M$100000,3,FALSE)</f>
        <v/>
      </c>
      <c r="D920" s="3">
        <f>+VLOOKUP($A920,MAGAZZINO!$B$2:$M$100000,4,FALSE)</f>
        <v/>
      </c>
      <c r="E920" s="3">
        <f>+VLOOKUP($A920,MAGAZZINO!$B$2:$M$100000,5,FALSE)</f>
        <v/>
      </c>
      <c r="F920" s="3">
        <f>+VLOOKUP($A920,MAGAZZINO!$B$2:$M$100000,6,FALSE)</f>
        <v/>
      </c>
      <c r="G920" s="3">
        <f>+VLOOKUP($A920,MAGAZZINO!$B$2:$M$100000,7,FALSE)</f>
        <v/>
      </c>
      <c r="H920" s="3">
        <f>+VLOOKUP($A920,MAGAZZINO!$B$2:$M$100000,8,FALSE)</f>
        <v/>
      </c>
      <c r="I920" s="3">
        <f>+VLOOKUP($A920,MAGAZZINO!$B$2:$M$100000,9,FALSE)</f>
        <v/>
      </c>
      <c r="J920" s="3">
        <f>+VLOOKUP($A920,MAGAZZINO!$B$2:$M$100000,10,FALSE)</f>
        <v/>
      </c>
      <c r="K920" s="3">
        <f>+VLOOKUP($A920,MAGAZZINO!$B$2:$M$100000,11,FALSE)</f>
        <v/>
      </c>
      <c r="L920" s="5">
        <f>+VLOOKUP($A920,MAGAZZINO!$B$2:$M$100000,12,FALSE)</f>
        <v/>
      </c>
      <c r="M920" s="47" t="n"/>
      <c r="N920" s="54" t="n"/>
      <c r="O920" s="3" t="n"/>
      <c r="P920" s="149" t="n"/>
      <c r="Q920" s="150" t="n"/>
      <c r="R920" s="150" t="n"/>
      <c r="S920" s="151" t="n"/>
    </row>
    <row r="921" ht="36" customHeight="1">
      <c r="A921" s="46" t="n">
        <v>3251</v>
      </c>
      <c r="B921" s="4">
        <f>+VLOOKUP($A921,MAGAZZINO!$B$2:$M$100000,2,FALSE)</f>
        <v/>
      </c>
      <c r="C921" s="29">
        <f>+VLOOKUP($A921,MAGAZZINO!$B$2:$M$100000,3,FALSE)</f>
        <v/>
      </c>
      <c r="D921" s="3">
        <f>+VLOOKUP($A921,MAGAZZINO!$B$2:$M$100000,4,FALSE)</f>
        <v/>
      </c>
      <c r="E921" s="3">
        <f>+VLOOKUP($A921,MAGAZZINO!$B$2:$M$100000,5,FALSE)</f>
        <v/>
      </c>
      <c r="F921" s="3">
        <f>+VLOOKUP($A921,MAGAZZINO!$B$2:$M$100000,6,FALSE)</f>
        <v/>
      </c>
      <c r="G921" s="3">
        <f>+VLOOKUP($A921,MAGAZZINO!$B$2:$M$100000,7,FALSE)</f>
        <v/>
      </c>
      <c r="H921" s="3">
        <f>+VLOOKUP($A921,MAGAZZINO!$B$2:$M$100000,8,FALSE)</f>
        <v/>
      </c>
      <c r="I921" s="3">
        <f>+VLOOKUP($A921,MAGAZZINO!$B$2:$M$100000,9,FALSE)</f>
        <v/>
      </c>
      <c r="J921" s="3">
        <f>+VLOOKUP($A921,MAGAZZINO!$B$2:$M$100000,10,FALSE)</f>
        <v/>
      </c>
      <c r="K921" s="3">
        <f>+VLOOKUP($A921,MAGAZZINO!$B$2:$M$100000,11,FALSE)</f>
        <v/>
      </c>
      <c r="L921" s="5">
        <f>+VLOOKUP($A921,MAGAZZINO!$B$2:$M$100000,12,FALSE)</f>
        <v/>
      </c>
      <c r="M921" s="47" t="n"/>
      <c r="N921" s="54" t="n"/>
      <c r="O921" s="3" t="n"/>
      <c r="P921" s="149" t="n"/>
      <c r="Q921" s="150" t="n"/>
      <c r="R921" s="150" t="n"/>
      <c r="S921" s="151" t="n"/>
    </row>
    <row r="922" ht="36" customHeight="1">
      <c r="A922" s="46" t="n">
        <v>3252</v>
      </c>
      <c r="B922" s="4">
        <f>+VLOOKUP($A922,MAGAZZINO!$B$2:$M$100000,2,FALSE)</f>
        <v/>
      </c>
      <c r="C922" s="29">
        <f>+VLOOKUP($A922,MAGAZZINO!$B$2:$M$100000,3,FALSE)</f>
        <v/>
      </c>
      <c r="D922" s="3">
        <f>+VLOOKUP($A922,MAGAZZINO!$B$2:$M$100000,4,FALSE)</f>
        <v/>
      </c>
      <c r="E922" s="3">
        <f>+VLOOKUP($A922,MAGAZZINO!$B$2:$M$100000,5,FALSE)</f>
        <v/>
      </c>
      <c r="F922" s="3">
        <f>+VLOOKUP($A922,MAGAZZINO!$B$2:$M$100000,6,FALSE)</f>
        <v/>
      </c>
      <c r="G922" s="3">
        <f>+VLOOKUP($A922,MAGAZZINO!$B$2:$M$100000,7,FALSE)</f>
        <v/>
      </c>
      <c r="H922" s="3">
        <f>+VLOOKUP($A922,MAGAZZINO!$B$2:$M$100000,8,FALSE)</f>
        <v/>
      </c>
      <c r="I922" s="3">
        <f>+VLOOKUP($A922,MAGAZZINO!$B$2:$M$100000,9,FALSE)</f>
        <v/>
      </c>
      <c r="J922" s="3">
        <f>+VLOOKUP($A922,MAGAZZINO!$B$2:$M$100000,10,FALSE)</f>
        <v/>
      </c>
      <c r="K922" s="3">
        <f>+VLOOKUP($A922,MAGAZZINO!$B$2:$M$100000,11,FALSE)</f>
        <v/>
      </c>
      <c r="L922" s="5">
        <f>+VLOOKUP($A922,MAGAZZINO!$B$2:$M$100000,12,FALSE)</f>
        <v/>
      </c>
      <c r="M922" s="47" t="n"/>
      <c r="N922" s="54" t="n"/>
      <c r="O922" s="3" t="n"/>
      <c r="P922" s="149" t="n"/>
      <c r="Q922" s="150" t="n"/>
      <c r="R922" s="150" t="n"/>
      <c r="S922" s="151" t="n"/>
    </row>
    <row r="923" ht="36" customHeight="1">
      <c r="A923" s="46" t="n">
        <v>3253</v>
      </c>
      <c r="B923" s="4">
        <f>+VLOOKUP($A923,MAGAZZINO!$B$2:$M$100000,2,FALSE)</f>
        <v/>
      </c>
      <c r="C923" s="29">
        <f>+VLOOKUP($A923,MAGAZZINO!$B$2:$M$100000,3,FALSE)</f>
        <v/>
      </c>
      <c r="D923" s="3">
        <f>+VLOOKUP($A923,MAGAZZINO!$B$2:$M$100000,4,FALSE)</f>
        <v/>
      </c>
      <c r="E923" s="3">
        <f>+VLOOKUP($A923,MAGAZZINO!$B$2:$M$100000,5,FALSE)</f>
        <v/>
      </c>
      <c r="F923" s="3">
        <f>+VLOOKUP($A923,MAGAZZINO!$B$2:$M$100000,6,FALSE)</f>
        <v/>
      </c>
      <c r="G923" s="3">
        <f>+VLOOKUP($A923,MAGAZZINO!$B$2:$M$100000,7,FALSE)</f>
        <v/>
      </c>
      <c r="H923" s="3">
        <f>+VLOOKUP($A923,MAGAZZINO!$B$2:$M$100000,8,FALSE)</f>
        <v/>
      </c>
      <c r="I923" s="3">
        <f>+VLOOKUP($A923,MAGAZZINO!$B$2:$M$100000,9,FALSE)</f>
        <v/>
      </c>
      <c r="J923" s="3">
        <f>+VLOOKUP($A923,MAGAZZINO!$B$2:$M$100000,10,FALSE)</f>
        <v/>
      </c>
      <c r="K923" s="3">
        <f>+VLOOKUP($A923,MAGAZZINO!$B$2:$M$100000,11,FALSE)</f>
        <v/>
      </c>
      <c r="L923" s="5">
        <f>+VLOOKUP($A923,MAGAZZINO!$B$2:$M$100000,12,FALSE)</f>
        <v/>
      </c>
      <c r="M923" s="47" t="n"/>
      <c r="N923" s="54" t="n"/>
      <c r="O923" s="3" t="n"/>
      <c r="P923" s="149" t="n"/>
      <c r="Q923" s="150" t="n"/>
      <c r="R923" s="150" t="n"/>
      <c r="S923" s="151" t="n"/>
    </row>
    <row r="924" ht="36" customHeight="1">
      <c r="A924" s="46" t="n">
        <v>3254</v>
      </c>
      <c r="B924" s="4">
        <f>+VLOOKUP($A924,MAGAZZINO!$B$2:$M$100000,2,FALSE)</f>
        <v/>
      </c>
      <c r="C924" s="29">
        <f>+VLOOKUP($A924,MAGAZZINO!$B$2:$M$100000,3,FALSE)</f>
        <v/>
      </c>
      <c r="D924" s="3">
        <f>+VLOOKUP($A924,MAGAZZINO!$B$2:$M$100000,4,FALSE)</f>
        <v/>
      </c>
      <c r="E924" s="3">
        <f>+VLOOKUP($A924,MAGAZZINO!$B$2:$M$100000,5,FALSE)</f>
        <v/>
      </c>
      <c r="F924" s="3">
        <f>+VLOOKUP($A924,MAGAZZINO!$B$2:$M$100000,6,FALSE)</f>
        <v/>
      </c>
      <c r="G924" s="3">
        <f>+VLOOKUP($A924,MAGAZZINO!$B$2:$M$100000,7,FALSE)</f>
        <v/>
      </c>
      <c r="H924" s="3">
        <f>+VLOOKUP($A924,MAGAZZINO!$B$2:$M$100000,8,FALSE)</f>
        <v/>
      </c>
      <c r="I924" s="3">
        <f>+VLOOKUP($A924,MAGAZZINO!$B$2:$M$100000,9,FALSE)</f>
        <v/>
      </c>
      <c r="J924" s="3">
        <f>+VLOOKUP($A924,MAGAZZINO!$B$2:$M$100000,10,FALSE)</f>
        <v/>
      </c>
      <c r="K924" s="3">
        <f>+VLOOKUP($A924,MAGAZZINO!$B$2:$M$100000,11,FALSE)</f>
        <v/>
      </c>
      <c r="L924" s="5">
        <f>+VLOOKUP($A924,MAGAZZINO!$B$2:$M$100000,12,FALSE)</f>
        <v/>
      </c>
      <c r="M924" s="47" t="n"/>
      <c r="N924" s="54" t="n"/>
      <c r="O924" s="3" t="n"/>
      <c r="P924" s="149" t="n"/>
      <c r="Q924" s="150" t="n"/>
      <c r="R924" s="150" t="n"/>
      <c r="S924" s="151" t="n"/>
    </row>
    <row r="925" ht="36" customHeight="1">
      <c r="A925" s="46" t="n">
        <v>3255</v>
      </c>
      <c r="B925" s="4">
        <f>+VLOOKUP($A925,MAGAZZINO!$B$2:$M$100000,2,FALSE)</f>
        <v/>
      </c>
      <c r="C925" s="29">
        <f>+VLOOKUP($A925,MAGAZZINO!$B$2:$M$100000,3,FALSE)</f>
        <v/>
      </c>
      <c r="D925" s="3">
        <f>+VLOOKUP($A925,MAGAZZINO!$B$2:$M$100000,4,FALSE)</f>
        <v/>
      </c>
      <c r="E925" s="3">
        <f>+VLOOKUP($A925,MAGAZZINO!$B$2:$M$100000,5,FALSE)</f>
        <v/>
      </c>
      <c r="F925" s="3">
        <f>+VLOOKUP($A925,MAGAZZINO!$B$2:$M$100000,6,FALSE)</f>
        <v/>
      </c>
      <c r="G925" s="3">
        <f>+VLOOKUP($A925,MAGAZZINO!$B$2:$M$100000,7,FALSE)</f>
        <v/>
      </c>
      <c r="H925" s="3">
        <f>+VLOOKUP($A925,MAGAZZINO!$B$2:$M$100000,8,FALSE)</f>
        <v/>
      </c>
      <c r="I925" s="3">
        <f>+VLOOKUP($A925,MAGAZZINO!$B$2:$M$100000,9,FALSE)</f>
        <v/>
      </c>
      <c r="J925" s="3">
        <f>+VLOOKUP($A925,MAGAZZINO!$B$2:$M$100000,10,FALSE)</f>
        <v/>
      </c>
      <c r="K925" s="3">
        <f>+VLOOKUP($A925,MAGAZZINO!$B$2:$M$100000,11,FALSE)</f>
        <v/>
      </c>
      <c r="L925" s="5">
        <f>+VLOOKUP($A925,MAGAZZINO!$B$2:$M$100000,12,FALSE)</f>
        <v/>
      </c>
      <c r="M925" s="47" t="n"/>
      <c r="N925" s="54" t="n"/>
      <c r="O925" s="3" t="n"/>
      <c r="P925" s="149" t="n"/>
      <c r="Q925" s="150" t="n"/>
      <c r="R925" s="150" t="n"/>
      <c r="S925" s="151" t="n"/>
    </row>
    <row r="926" ht="36" customHeight="1">
      <c r="A926" s="46" t="n">
        <v>3256</v>
      </c>
      <c r="B926" s="4">
        <f>+VLOOKUP($A926,MAGAZZINO!$B$2:$M$100000,2,FALSE)</f>
        <v/>
      </c>
      <c r="C926" s="29">
        <f>+VLOOKUP($A926,MAGAZZINO!$B$2:$M$100000,3,FALSE)</f>
        <v/>
      </c>
      <c r="D926" s="3">
        <f>+VLOOKUP($A926,MAGAZZINO!$B$2:$M$100000,4,FALSE)</f>
        <v/>
      </c>
      <c r="E926" s="3">
        <f>+VLOOKUP($A926,MAGAZZINO!$B$2:$M$100000,5,FALSE)</f>
        <v/>
      </c>
      <c r="F926" s="3">
        <f>+VLOOKUP($A926,MAGAZZINO!$B$2:$M$100000,6,FALSE)</f>
        <v/>
      </c>
      <c r="G926" s="3">
        <f>+VLOOKUP($A926,MAGAZZINO!$B$2:$M$100000,7,FALSE)</f>
        <v/>
      </c>
      <c r="H926" s="3">
        <f>+VLOOKUP($A926,MAGAZZINO!$B$2:$M$100000,8,FALSE)</f>
        <v/>
      </c>
      <c r="I926" s="3">
        <f>+VLOOKUP($A926,MAGAZZINO!$B$2:$M$100000,9,FALSE)</f>
        <v/>
      </c>
      <c r="J926" s="3">
        <f>+VLOOKUP($A926,MAGAZZINO!$B$2:$M$100000,10,FALSE)</f>
        <v/>
      </c>
      <c r="K926" s="3">
        <f>+VLOOKUP($A926,MAGAZZINO!$B$2:$M$100000,11,FALSE)</f>
        <v/>
      </c>
      <c r="L926" s="5">
        <f>+VLOOKUP($A926,MAGAZZINO!$B$2:$M$100000,12,FALSE)</f>
        <v/>
      </c>
      <c r="M926" s="47" t="n"/>
      <c r="N926" s="54" t="n"/>
      <c r="O926" s="3" t="n"/>
      <c r="P926" s="149" t="n"/>
      <c r="Q926" s="150" t="n"/>
      <c r="R926" s="150" t="n"/>
      <c r="S926" s="151" t="n"/>
    </row>
    <row r="927" ht="36" customHeight="1">
      <c r="A927" s="46" t="n">
        <v>3257</v>
      </c>
      <c r="B927" s="4">
        <f>+VLOOKUP($A927,MAGAZZINO!$B$2:$M$100000,2,FALSE)</f>
        <v/>
      </c>
      <c r="C927" s="29">
        <f>+VLOOKUP($A927,MAGAZZINO!$B$2:$M$100000,3,FALSE)</f>
        <v/>
      </c>
      <c r="D927" s="3">
        <f>+VLOOKUP($A927,MAGAZZINO!$B$2:$M$100000,4,FALSE)</f>
        <v/>
      </c>
      <c r="E927" s="3">
        <f>+VLOOKUP($A927,MAGAZZINO!$B$2:$M$100000,5,FALSE)</f>
        <v/>
      </c>
      <c r="F927" s="3">
        <f>+VLOOKUP($A927,MAGAZZINO!$B$2:$M$100000,6,FALSE)</f>
        <v/>
      </c>
      <c r="G927" s="3">
        <f>+VLOOKUP($A927,MAGAZZINO!$B$2:$M$100000,7,FALSE)</f>
        <v/>
      </c>
      <c r="H927" s="3">
        <f>+VLOOKUP($A927,MAGAZZINO!$B$2:$M$100000,8,FALSE)</f>
        <v/>
      </c>
      <c r="I927" s="3">
        <f>+VLOOKUP($A927,MAGAZZINO!$B$2:$M$100000,9,FALSE)</f>
        <v/>
      </c>
      <c r="J927" s="3">
        <f>+VLOOKUP($A927,MAGAZZINO!$B$2:$M$100000,10,FALSE)</f>
        <v/>
      </c>
      <c r="K927" s="3">
        <f>+VLOOKUP($A927,MAGAZZINO!$B$2:$M$100000,11,FALSE)</f>
        <v/>
      </c>
      <c r="L927" s="5">
        <f>+VLOOKUP($A927,MAGAZZINO!$B$2:$M$100000,12,FALSE)</f>
        <v/>
      </c>
      <c r="M927" s="47" t="n"/>
      <c r="N927" s="88" t="n">
        <v>45874</v>
      </c>
      <c r="O927" s="91" t="inlineStr">
        <is>
          <t>PHILIPPOS CONSTANTINIDES TRADING CO. LTD (CIPRO)</t>
        </is>
      </c>
      <c r="P927" s="154" t="inlineStr">
        <is>
          <t xml:space="preserve">IMPORT LICENSE N. 218 DEL 12/08/2020                                                                                         AUT. TRASFERIMENTO N. 6B/2025/3D RILASCIATA IL 28/07/2025   </t>
        </is>
      </c>
      <c r="Q927" s="150" t="n"/>
      <c r="R927" s="150" t="n"/>
      <c r="S927" s="153" t="n"/>
    </row>
    <row r="928" ht="36" customHeight="1">
      <c r="A928" s="46" t="n">
        <v>3258</v>
      </c>
      <c r="B928" s="4">
        <f>+VLOOKUP($A928,MAGAZZINO!$B$2:$M$100000,2,FALSE)</f>
        <v/>
      </c>
      <c r="C928" s="29">
        <f>+VLOOKUP($A928,MAGAZZINO!$B$2:$M$100000,3,FALSE)</f>
        <v/>
      </c>
      <c r="D928" s="3">
        <f>+VLOOKUP($A928,MAGAZZINO!$B$2:$M$100000,4,FALSE)</f>
        <v/>
      </c>
      <c r="E928" s="3">
        <f>+VLOOKUP($A928,MAGAZZINO!$B$2:$M$100000,5,FALSE)</f>
        <v/>
      </c>
      <c r="F928" s="3">
        <f>+VLOOKUP($A928,MAGAZZINO!$B$2:$M$100000,6,FALSE)</f>
        <v/>
      </c>
      <c r="G928" s="3">
        <f>+VLOOKUP($A928,MAGAZZINO!$B$2:$M$100000,7,FALSE)</f>
        <v/>
      </c>
      <c r="H928" s="3">
        <f>+VLOOKUP($A928,MAGAZZINO!$B$2:$M$100000,8,FALSE)</f>
        <v/>
      </c>
      <c r="I928" s="3">
        <f>+VLOOKUP($A928,MAGAZZINO!$B$2:$M$100000,9,FALSE)</f>
        <v/>
      </c>
      <c r="J928" s="3">
        <f>+VLOOKUP($A928,MAGAZZINO!$B$2:$M$100000,10,FALSE)</f>
        <v/>
      </c>
      <c r="K928" s="3">
        <f>+VLOOKUP($A928,MAGAZZINO!$B$2:$M$100000,11,FALSE)</f>
        <v/>
      </c>
      <c r="L928" s="5">
        <f>+VLOOKUP($A928,MAGAZZINO!$B$2:$M$100000,12,FALSE)</f>
        <v/>
      </c>
      <c r="M928" s="47" t="n"/>
      <c r="N928" s="88" t="n">
        <v>45874</v>
      </c>
      <c r="O928" s="91" t="inlineStr">
        <is>
          <t>PHILIPPOS CONSTANTINIDES TRADING CO. LTD (CIPRO)</t>
        </is>
      </c>
      <c r="P928" s="154" t="inlineStr">
        <is>
          <t xml:space="preserve">IMPORT LICENSE N. 218 DEL 12/08/2020                                                                                         AUT. TRASFERIMENTO N. 6B/2025/3D RILASCIATA IL 28/07/2025   </t>
        </is>
      </c>
      <c r="Q928" s="150" t="n"/>
      <c r="R928" s="150" t="n"/>
      <c r="S928" s="153" t="n"/>
    </row>
    <row r="929" ht="36" customHeight="1">
      <c r="A929" s="46" t="n">
        <v>3259</v>
      </c>
      <c r="B929" s="4">
        <f>+VLOOKUP($A929,MAGAZZINO!$B$2:$M$100000,2,FALSE)</f>
        <v/>
      </c>
      <c r="C929" s="29">
        <f>+VLOOKUP($A929,MAGAZZINO!$B$2:$M$100000,3,FALSE)</f>
        <v/>
      </c>
      <c r="D929" s="3">
        <f>+VLOOKUP($A929,MAGAZZINO!$B$2:$M$100000,4,FALSE)</f>
        <v/>
      </c>
      <c r="E929" s="3">
        <f>+VLOOKUP($A929,MAGAZZINO!$B$2:$M$100000,5,FALSE)</f>
        <v/>
      </c>
      <c r="F929" s="3">
        <f>+VLOOKUP($A929,MAGAZZINO!$B$2:$M$100000,6,FALSE)</f>
        <v/>
      </c>
      <c r="G929" s="3">
        <f>+VLOOKUP($A929,MAGAZZINO!$B$2:$M$100000,7,FALSE)</f>
        <v/>
      </c>
      <c r="H929" s="3">
        <f>+VLOOKUP($A929,MAGAZZINO!$B$2:$M$100000,8,FALSE)</f>
        <v/>
      </c>
      <c r="I929" s="3">
        <f>+VLOOKUP($A929,MAGAZZINO!$B$2:$M$100000,9,FALSE)</f>
        <v/>
      </c>
      <c r="J929" s="3">
        <f>+VLOOKUP($A929,MAGAZZINO!$B$2:$M$100000,10,FALSE)</f>
        <v/>
      </c>
      <c r="K929" s="3">
        <f>+VLOOKUP($A929,MAGAZZINO!$B$2:$M$100000,11,FALSE)</f>
        <v/>
      </c>
      <c r="L929" s="5">
        <f>+VLOOKUP($A929,MAGAZZINO!$B$2:$M$100000,12,FALSE)</f>
        <v/>
      </c>
      <c r="M929" s="47" t="n"/>
      <c r="N929" s="88" t="n">
        <v>45874</v>
      </c>
      <c r="O929" s="91" t="inlineStr">
        <is>
          <t>PHILIPPOS CONSTANTINIDES TRADING CO. LTD (CIPRO)</t>
        </is>
      </c>
      <c r="P929" s="154" t="inlineStr">
        <is>
          <t xml:space="preserve">IMPORT LICENSE N. 218 DEL 12/08/2020                                                                                         AUT. TRASFERIMENTO N. 6B/2025/3D RILASCIATA IL 28/07/2025   </t>
        </is>
      </c>
      <c r="Q929" s="150" t="n"/>
      <c r="R929" s="150" t="n"/>
      <c r="S929" s="153" t="n"/>
    </row>
    <row r="930" ht="36" customHeight="1">
      <c r="A930" s="46" t="n">
        <v>3260</v>
      </c>
      <c r="B930" s="4">
        <f>+VLOOKUP($A930,MAGAZZINO!$B$2:$M$100000,2,FALSE)</f>
        <v/>
      </c>
      <c r="C930" s="29">
        <f>+VLOOKUP($A930,MAGAZZINO!$B$2:$M$100000,3,FALSE)</f>
        <v/>
      </c>
      <c r="D930" s="3">
        <f>+VLOOKUP($A930,MAGAZZINO!$B$2:$M$100000,4,FALSE)</f>
        <v/>
      </c>
      <c r="E930" s="3">
        <f>+VLOOKUP($A930,MAGAZZINO!$B$2:$M$100000,5,FALSE)</f>
        <v/>
      </c>
      <c r="F930" s="3">
        <f>+VLOOKUP($A930,MAGAZZINO!$B$2:$M$100000,6,FALSE)</f>
        <v/>
      </c>
      <c r="G930" s="3">
        <f>+VLOOKUP($A930,MAGAZZINO!$B$2:$M$100000,7,FALSE)</f>
        <v/>
      </c>
      <c r="H930" s="3">
        <f>+VLOOKUP($A930,MAGAZZINO!$B$2:$M$100000,8,FALSE)</f>
        <v/>
      </c>
      <c r="I930" s="3">
        <f>+VLOOKUP($A930,MAGAZZINO!$B$2:$M$100000,9,FALSE)</f>
        <v/>
      </c>
      <c r="J930" s="3">
        <f>+VLOOKUP($A930,MAGAZZINO!$B$2:$M$100000,10,FALSE)</f>
        <v/>
      </c>
      <c r="K930" s="3">
        <f>+VLOOKUP($A930,MAGAZZINO!$B$2:$M$100000,11,FALSE)</f>
        <v/>
      </c>
      <c r="L930" s="5">
        <f>+VLOOKUP($A930,MAGAZZINO!$B$2:$M$100000,12,FALSE)</f>
        <v/>
      </c>
      <c r="M930" s="47" t="n"/>
      <c r="N930" s="88" t="n">
        <v>45874</v>
      </c>
      <c r="O930" s="91" t="inlineStr">
        <is>
          <t>PHILIPPOS CONSTANTINIDES TRADING CO. LTD (CIPRO)</t>
        </is>
      </c>
      <c r="P930" s="154" t="inlineStr">
        <is>
          <t xml:space="preserve">IMPORT LICENSE N. 218 DEL 12/08/2020                                                                                         AUT. TRASFERIMENTO N. 6B/2025/3D RILASCIATA IL 28/07/2025   </t>
        </is>
      </c>
      <c r="Q930" s="150" t="n"/>
      <c r="R930" s="150" t="n"/>
      <c r="S930" s="153" t="n"/>
    </row>
    <row r="931" ht="36" customHeight="1">
      <c r="A931" s="46" t="n">
        <v>3261</v>
      </c>
      <c r="B931" s="4">
        <f>+VLOOKUP($A931,MAGAZZINO!$B$2:$M$100000,2,FALSE)</f>
        <v/>
      </c>
      <c r="C931" s="29">
        <f>+VLOOKUP($A931,MAGAZZINO!$B$2:$M$100000,3,FALSE)</f>
        <v/>
      </c>
      <c r="D931" s="3">
        <f>+VLOOKUP($A931,MAGAZZINO!$B$2:$M$100000,4,FALSE)</f>
        <v/>
      </c>
      <c r="E931" s="3">
        <f>+VLOOKUP($A931,MAGAZZINO!$B$2:$M$100000,5,FALSE)</f>
        <v/>
      </c>
      <c r="F931" s="3">
        <f>+VLOOKUP($A931,MAGAZZINO!$B$2:$M$100000,6,FALSE)</f>
        <v/>
      </c>
      <c r="G931" s="3">
        <f>+VLOOKUP($A931,MAGAZZINO!$B$2:$M$100000,7,FALSE)</f>
        <v/>
      </c>
      <c r="H931" s="3">
        <f>+VLOOKUP($A931,MAGAZZINO!$B$2:$M$100000,8,FALSE)</f>
        <v/>
      </c>
      <c r="I931" s="3">
        <f>+VLOOKUP($A931,MAGAZZINO!$B$2:$M$100000,9,FALSE)</f>
        <v/>
      </c>
      <c r="J931" s="3">
        <f>+VLOOKUP($A931,MAGAZZINO!$B$2:$M$100000,10,FALSE)</f>
        <v/>
      </c>
      <c r="K931" s="3">
        <f>+VLOOKUP($A931,MAGAZZINO!$B$2:$M$100000,11,FALSE)</f>
        <v/>
      </c>
      <c r="L931" s="5">
        <f>+VLOOKUP($A931,MAGAZZINO!$B$2:$M$100000,12,FALSE)</f>
        <v/>
      </c>
      <c r="M931" s="47" t="n"/>
      <c r="N931" s="88" t="n">
        <v>45874</v>
      </c>
      <c r="O931" s="91" t="inlineStr">
        <is>
          <t>PHILIPPOS CONSTANTINIDES TRADING CO. LTD (CIPRO)</t>
        </is>
      </c>
      <c r="P931" s="154" t="inlineStr">
        <is>
          <t xml:space="preserve">IMPORT LICENSE N. 218 DEL 12/08/2020                                                                                         AUT. TRASFERIMENTO N. 6B/2025/3D RILASCIATA IL 28/07/2025   </t>
        </is>
      </c>
      <c r="Q931" s="150" t="n"/>
      <c r="R931" s="150" t="n"/>
      <c r="S931" s="153" t="n"/>
    </row>
    <row r="932" ht="36" customHeight="1">
      <c r="A932" s="46" t="n">
        <v>3262</v>
      </c>
      <c r="B932" s="4">
        <f>+VLOOKUP($A932,MAGAZZINO!$B$2:$M$100000,2,FALSE)</f>
        <v/>
      </c>
      <c r="C932" s="29">
        <f>+VLOOKUP($A932,MAGAZZINO!$B$2:$M$100000,3,FALSE)</f>
        <v/>
      </c>
      <c r="D932" s="3">
        <f>+VLOOKUP($A932,MAGAZZINO!$B$2:$M$100000,4,FALSE)</f>
        <v/>
      </c>
      <c r="E932" s="3">
        <f>+VLOOKUP($A932,MAGAZZINO!$B$2:$M$100000,5,FALSE)</f>
        <v/>
      </c>
      <c r="F932" s="3">
        <f>+VLOOKUP($A932,MAGAZZINO!$B$2:$M$100000,6,FALSE)</f>
        <v/>
      </c>
      <c r="G932" s="3">
        <f>+VLOOKUP($A932,MAGAZZINO!$B$2:$M$100000,7,FALSE)</f>
        <v/>
      </c>
      <c r="H932" s="3">
        <f>+VLOOKUP($A932,MAGAZZINO!$B$2:$M$100000,8,FALSE)</f>
        <v/>
      </c>
      <c r="I932" s="3">
        <f>+VLOOKUP($A932,MAGAZZINO!$B$2:$M$100000,9,FALSE)</f>
        <v/>
      </c>
      <c r="J932" s="3">
        <f>+VLOOKUP($A932,MAGAZZINO!$B$2:$M$100000,10,FALSE)</f>
        <v/>
      </c>
      <c r="K932" s="3">
        <f>+VLOOKUP($A932,MAGAZZINO!$B$2:$M$100000,11,FALSE)</f>
        <v/>
      </c>
      <c r="L932" s="5">
        <f>+VLOOKUP($A932,MAGAZZINO!$B$2:$M$100000,12,FALSE)</f>
        <v/>
      </c>
      <c r="M932" s="47" t="n"/>
      <c r="N932" s="88" t="n">
        <v>45874</v>
      </c>
      <c r="O932" s="91" t="inlineStr">
        <is>
          <t>PHILIPPOS CONSTANTINIDES TRADING CO. LTD (CIPRO)</t>
        </is>
      </c>
      <c r="P932" s="154" t="inlineStr">
        <is>
          <t xml:space="preserve">IMPORT LICENSE N. 218 DEL 12/08/2020                                                                                         AUT. TRASFERIMENTO N. 6B/2025/3D RILASCIATA IL 28/07/2025   </t>
        </is>
      </c>
      <c r="Q932" s="150" t="n"/>
      <c r="R932" s="150" t="n"/>
      <c r="S932" s="153" t="n"/>
    </row>
    <row r="933" ht="36" customHeight="1">
      <c r="A933" s="46" t="n">
        <v>3263</v>
      </c>
      <c r="B933" s="4">
        <f>+VLOOKUP($A933,MAGAZZINO!$B$2:$M$100000,2,FALSE)</f>
        <v/>
      </c>
      <c r="C933" s="29">
        <f>+VLOOKUP($A933,MAGAZZINO!$B$2:$M$100000,3,FALSE)</f>
        <v/>
      </c>
      <c r="D933" s="3">
        <f>+VLOOKUP($A933,MAGAZZINO!$B$2:$M$100000,4,FALSE)</f>
        <v/>
      </c>
      <c r="E933" s="3">
        <f>+VLOOKUP($A933,MAGAZZINO!$B$2:$M$100000,5,FALSE)</f>
        <v/>
      </c>
      <c r="F933" s="3">
        <f>+VLOOKUP($A933,MAGAZZINO!$B$2:$M$100000,6,FALSE)</f>
        <v/>
      </c>
      <c r="G933" s="3">
        <f>+VLOOKUP($A933,MAGAZZINO!$B$2:$M$100000,7,FALSE)</f>
        <v/>
      </c>
      <c r="H933" s="3">
        <f>+VLOOKUP($A933,MAGAZZINO!$B$2:$M$100000,8,FALSE)</f>
        <v/>
      </c>
      <c r="I933" s="3">
        <f>+VLOOKUP($A933,MAGAZZINO!$B$2:$M$100000,9,FALSE)</f>
        <v/>
      </c>
      <c r="J933" s="3">
        <f>+VLOOKUP($A933,MAGAZZINO!$B$2:$M$100000,10,FALSE)</f>
        <v/>
      </c>
      <c r="K933" s="3">
        <f>+VLOOKUP($A933,MAGAZZINO!$B$2:$M$100000,11,FALSE)</f>
        <v/>
      </c>
      <c r="L933" s="5">
        <f>+VLOOKUP($A933,MAGAZZINO!$B$2:$M$100000,12,FALSE)</f>
        <v/>
      </c>
      <c r="M933" s="47" t="n"/>
      <c r="N933" s="88" t="n">
        <v>45874</v>
      </c>
      <c r="O933" s="91" t="inlineStr">
        <is>
          <t>PHILIPPOS CONSTANTINIDES TRADING CO. LTD (CIPRO)</t>
        </is>
      </c>
      <c r="P933" s="154" t="inlineStr">
        <is>
          <t xml:space="preserve">IMPORT LICENSE N. 218 DEL 12/08/2020                                                                                         AUT. TRASFERIMENTO N. 6B/2025/3D RILASCIATA IL 28/07/2025   </t>
        </is>
      </c>
      <c r="Q933" s="150" t="n"/>
      <c r="R933" s="150" t="n"/>
      <c r="S933" s="153" t="n"/>
    </row>
    <row r="934" ht="36" customHeight="1">
      <c r="A934" s="46" t="n">
        <v>3264</v>
      </c>
      <c r="B934" s="4">
        <f>+VLOOKUP($A934,MAGAZZINO!$B$2:$M$100000,2,FALSE)</f>
        <v/>
      </c>
      <c r="C934" s="29">
        <f>+VLOOKUP($A934,MAGAZZINO!$B$2:$M$100000,3,FALSE)</f>
        <v/>
      </c>
      <c r="D934" s="3">
        <f>+VLOOKUP($A934,MAGAZZINO!$B$2:$M$100000,4,FALSE)</f>
        <v/>
      </c>
      <c r="E934" s="3">
        <f>+VLOOKUP($A934,MAGAZZINO!$B$2:$M$100000,5,FALSE)</f>
        <v/>
      </c>
      <c r="F934" s="3">
        <f>+VLOOKUP($A934,MAGAZZINO!$B$2:$M$100000,6,FALSE)</f>
        <v/>
      </c>
      <c r="G934" s="3">
        <f>+VLOOKUP($A934,MAGAZZINO!$B$2:$M$100000,7,FALSE)</f>
        <v/>
      </c>
      <c r="H934" s="3">
        <f>+VLOOKUP($A934,MAGAZZINO!$B$2:$M$100000,8,FALSE)</f>
        <v/>
      </c>
      <c r="I934" s="3">
        <f>+VLOOKUP($A934,MAGAZZINO!$B$2:$M$100000,9,FALSE)</f>
        <v/>
      </c>
      <c r="J934" s="3">
        <f>+VLOOKUP($A934,MAGAZZINO!$B$2:$M$100000,10,FALSE)</f>
        <v/>
      </c>
      <c r="K934" s="3">
        <f>+VLOOKUP($A934,MAGAZZINO!$B$2:$M$100000,11,FALSE)</f>
        <v/>
      </c>
      <c r="L934" s="5">
        <f>+VLOOKUP($A934,MAGAZZINO!$B$2:$M$100000,12,FALSE)</f>
        <v/>
      </c>
      <c r="M934" s="47" t="n"/>
      <c r="N934" s="88" t="n">
        <v>45874</v>
      </c>
      <c r="O934" s="91" t="inlineStr">
        <is>
          <t>PHILIPPOS CONSTANTINIDES TRADING CO. LTD (CIPRO)</t>
        </is>
      </c>
      <c r="P934" s="154" t="inlineStr">
        <is>
          <t xml:space="preserve">IMPORT LICENSE N. 218 DEL 12/08/2020                                                                                         AUT. TRASFERIMENTO N. 6B/2025/3D RILASCIATA IL 28/07/2025   </t>
        </is>
      </c>
      <c r="Q934" s="150" t="n"/>
      <c r="R934" s="150" t="n"/>
      <c r="S934" s="153" t="n"/>
    </row>
    <row r="935" ht="36" customHeight="1">
      <c r="A935" s="46" t="n">
        <v>3265</v>
      </c>
      <c r="B935" s="4">
        <f>+VLOOKUP($A935,MAGAZZINO!$B$2:$M$100000,2,FALSE)</f>
        <v/>
      </c>
      <c r="C935" s="29">
        <f>+VLOOKUP($A935,MAGAZZINO!$B$2:$M$100000,3,FALSE)</f>
        <v/>
      </c>
      <c r="D935" s="3">
        <f>+VLOOKUP($A935,MAGAZZINO!$B$2:$M$100000,4,FALSE)</f>
        <v/>
      </c>
      <c r="E935" s="3">
        <f>+VLOOKUP($A935,MAGAZZINO!$B$2:$M$100000,5,FALSE)</f>
        <v/>
      </c>
      <c r="F935" s="3">
        <f>+VLOOKUP($A935,MAGAZZINO!$B$2:$M$100000,6,FALSE)</f>
        <v/>
      </c>
      <c r="G935" s="3">
        <f>+VLOOKUP($A935,MAGAZZINO!$B$2:$M$100000,7,FALSE)</f>
        <v/>
      </c>
      <c r="H935" s="3">
        <f>+VLOOKUP($A935,MAGAZZINO!$B$2:$M$100000,8,FALSE)</f>
        <v/>
      </c>
      <c r="I935" s="3">
        <f>+VLOOKUP($A935,MAGAZZINO!$B$2:$M$100000,9,FALSE)</f>
        <v/>
      </c>
      <c r="J935" s="3">
        <f>+VLOOKUP($A935,MAGAZZINO!$B$2:$M$100000,10,FALSE)</f>
        <v/>
      </c>
      <c r="K935" s="3">
        <f>+VLOOKUP($A935,MAGAZZINO!$B$2:$M$100000,11,FALSE)</f>
        <v/>
      </c>
      <c r="L935" s="5">
        <f>+VLOOKUP($A935,MAGAZZINO!$B$2:$M$100000,12,FALSE)</f>
        <v/>
      </c>
      <c r="M935" s="47" t="n"/>
      <c r="N935" s="88" t="n">
        <v>45874</v>
      </c>
      <c r="O935" s="91" t="inlineStr">
        <is>
          <t>PHILIPPOS CONSTANTINIDES TRADING CO. LTD (CIPRO)</t>
        </is>
      </c>
      <c r="P935" s="154" t="inlineStr">
        <is>
          <t xml:space="preserve">IMPORT LICENSE N. 218 DEL 12/08/2020                                                                                         AUT. TRASFERIMENTO N. 6B/2025/3D RILASCIATA IL 28/07/2025   </t>
        </is>
      </c>
      <c r="Q935" s="150" t="n"/>
      <c r="R935" s="150" t="n"/>
      <c r="S935" s="153" t="n"/>
    </row>
    <row r="936" ht="36" customHeight="1">
      <c r="A936" s="46" t="n">
        <v>3266</v>
      </c>
      <c r="B936" s="4">
        <f>+VLOOKUP($A936,MAGAZZINO!$B$2:$M$100000,2,FALSE)</f>
        <v/>
      </c>
      <c r="C936" s="29">
        <f>+VLOOKUP($A936,MAGAZZINO!$B$2:$M$100000,3,FALSE)</f>
        <v/>
      </c>
      <c r="D936" s="3">
        <f>+VLOOKUP($A936,MAGAZZINO!$B$2:$M$100000,4,FALSE)</f>
        <v/>
      </c>
      <c r="E936" s="3">
        <f>+VLOOKUP($A936,MAGAZZINO!$B$2:$M$100000,5,FALSE)</f>
        <v/>
      </c>
      <c r="F936" s="3">
        <f>+VLOOKUP($A936,MAGAZZINO!$B$2:$M$100000,6,FALSE)</f>
        <v/>
      </c>
      <c r="G936" s="3">
        <f>+VLOOKUP($A936,MAGAZZINO!$B$2:$M$100000,7,FALSE)</f>
        <v/>
      </c>
      <c r="H936" s="3">
        <f>+VLOOKUP($A936,MAGAZZINO!$B$2:$M$100000,8,FALSE)</f>
        <v/>
      </c>
      <c r="I936" s="3">
        <f>+VLOOKUP($A936,MAGAZZINO!$B$2:$M$100000,9,FALSE)</f>
        <v/>
      </c>
      <c r="J936" s="3">
        <f>+VLOOKUP($A936,MAGAZZINO!$B$2:$M$100000,10,FALSE)</f>
        <v/>
      </c>
      <c r="K936" s="3">
        <f>+VLOOKUP($A936,MAGAZZINO!$B$2:$M$100000,11,FALSE)</f>
        <v/>
      </c>
      <c r="L936" s="5">
        <f>+VLOOKUP($A936,MAGAZZINO!$B$2:$M$100000,12,FALSE)</f>
        <v/>
      </c>
      <c r="M936" s="47" t="n"/>
      <c r="N936" s="88" t="n">
        <v>45874</v>
      </c>
      <c r="O936" s="91" t="inlineStr">
        <is>
          <t>PHILIPPOS CONSTANTINIDES TRADING CO. LTD (CIPRO)</t>
        </is>
      </c>
      <c r="P936" s="154" t="inlineStr">
        <is>
          <t xml:space="preserve">IMPORT LICENSE N. 218 DEL 12/08/2020                                                                                         AUT. TRASFERIMENTO N. 6B/2025/3D RILASCIATA IL 28/07/2025   </t>
        </is>
      </c>
      <c r="Q936" s="150" t="n"/>
      <c r="R936" s="150" t="n"/>
      <c r="S936" s="153" t="n"/>
    </row>
    <row r="937" ht="36" customHeight="1">
      <c r="A937" s="46" t="n">
        <v>3267</v>
      </c>
      <c r="B937" s="4">
        <f>+VLOOKUP($A937,MAGAZZINO!$B$2:$M$100000,2,FALSE)</f>
        <v/>
      </c>
      <c r="C937" s="29">
        <f>+VLOOKUP($A937,MAGAZZINO!$B$2:$M$100000,3,FALSE)</f>
        <v/>
      </c>
      <c r="D937" s="3">
        <f>+VLOOKUP($A937,MAGAZZINO!$B$2:$M$100000,4,FALSE)</f>
        <v/>
      </c>
      <c r="E937" s="3">
        <f>+VLOOKUP($A937,MAGAZZINO!$B$2:$M$100000,5,FALSE)</f>
        <v/>
      </c>
      <c r="F937" s="3">
        <f>+VLOOKUP($A937,MAGAZZINO!$B$2:$M$100000,6,FALSE)</f>
        <v/>
      </c>
      <c r="G937" s="3">
        <f>+VLOOKUP($A937,MAGAZZINO!$B$2:$M$100000,7,FALSE)</f>
        <v/>
      </c>
      <c r="H937" s="3">
        <f>+VLOOKUP($A937,MAGAZZINO!$B$2:$M$100000,8,FALSE)</f>
        <v/>
      </c>
      <c r="I937" s="3">
        <f>+VLOOKUP($A937,MAGAZZINO!$B$2:$M$100000,9,FALSE)</f>
        <v/>
      </c>
      <c r="J937" s="3">
        <f>+VLOOKUP($A937,MAGAZZINO!$B$2:$M$100000,10,FALSE)</f>
        <v/>
      </c>
      <c r="K937" s="3">
        <f>+VLOOKUP($A937,MAGAZZINO!$B$2:$M$100000,11,FALSE)</f>
        <v/>
      </c>
      <c r="L937" s="5">
        <f>+VLOOKUP($A937,MAGAZZINO!$B$2:$M$100000,12,FALSE)</f>
        <v/>
      </c>
      <c r="M937" s="47" t="n"/>
      <c r="N937" s="88" t="n">
        <v>45874</v>
      </c>
      <c r="O937" s="91" t="inlineStr">
        <is>
          <t>PHILIPPOS CONSTANTINIDES TRADING CO. LTD (CIPRO)</t>
        </is>
      </c>
      <c r="P937" s="154" t="inlineStr">
        <is>
          <t xml:space="preserve">IMPORT LICENSE N. 218 DEL 12/08/2020                                                                                         AUT. TRASFERIMENTO N. 6B/2025/3D RILASCIATA IL 28/07/2025   </t>
        </is>
      </c>
      <c r="Q937" s="150" t="n"/>
      <c r="R937" s="150" t="n"/>
      <c r="S937" s="153" t="n"/>
    </row>
    <row r="938" ht="36" customHeight="1">
      <c r="A938" s="46" t="n">
        <v>3268</v>
      </c>
      <c r="B938" s="4">
        <f>+VLOOKUP($A938,MAGAZZINO!$B$2:$M$100000,2,FALSE)</f>
        <v/>
      </c>
      <c r="C938" s="29">
        <f>+VLOOKUP($A938,MAGAZZINO!$B$2:$M$100000,3,FALSE)</f>
        <v/>
      </c>
      <c r="D938" s="3">
        <f>+VLOOKUP($A938,MAGAZZINO!$B$2:$M$100000,4,FALSE)</f>
        <v/>
      </c>
      <c r="E938" s="3">
        <f>+VLOOKUP($A938,MAGAZZINO!$B$2:$M$100000,5,FALSE)</f>
        <v/>
      </c>
      <c r="F938" s="3">
        <f>+VLOOKUP($A938,MAGAZZINO!$B$2:$M$100000,6,FALSE)</f>
        <v/>
      </c>
      <c r="G938" s="3">
        <f>+VLOOKUP($A938,MAGAZZINO!$B$2:$M$100000,7,FALSE)</f>
        <v/>
      </c>
      <c r="H938" s="3">
        <f>+VLOOKUP($A938,MAGAZZINO!$B$2:$M$100000,8,FALSE)</f>
        <v/>
      </c>
      <c r="I938" s="3">
        <f>+VLOOKUP($A938,MAGAZZINO!$B$2:$M$100000,9,FALSE)</f>
        <v/>
      </c>
      <c r="J938" s="3">
        <f>+VLOOKUP($A938,MAGAZZINO!$B$2:$M$100000,10,FALSE)</f>
        <v/>
      </c>
      <c r="K938" s="3">
        <f>+VLOOKUP($A938,MAGAZZINO!$B$2:$M$100000,11,FALSE)</f>
        <v/>
      </c>
      <c r="L938" s="5">
        <f>+VLOOKUP($A938,MAGAZZINO!$B$2:$M$100000,12,FALSE)</f>
        <v/>
      </c>
      <c r="M938" s="47" t="n"/>
      <c r="N938" s="88" t="n">
        <v>45874</v>
      </c>
      <c r="O938" s="91" t="inlineStr">
        <is>
          <t>PHILIPPOS CONSTANTINIDES TRADING CO. LTD (CIPRO)</t>
        </is>
      </c>
      <c r="P938" s="154" t="inlineStr">
        <is>
          <t xml:space="preserve">IMPORT LICENSE N. 218 DEL 12/08/2020                                                                                         AUT. TRASFERIMENTO N. 6B/2025/3D RILASCIATA IL 28/07/2025   </t>
        </is>
      </c>
      <c r="Q938" s="150" t="n"/>
      <c r="R938" s="150" t="n"/>
      <c r="S938" s="153" t="n"/>
    </row>
    <row r="939" ht="36" customHeight="1">
      <c r="A939" s="46" t="n">
        <v>3269</v>
      </c>
      <c r="B939" s="4">
        <f>+VLOOKUP($A939,MAGAZZINO!$B$2:$M$100000,2,FALSE)</f>
        <v/>
      </c>
      <c r="C939" s="29">
        <f>+VLOOKUP($A939,MAGAZZINO!$B$2:$M$100000,3,FALSE)</f>
        <v/>
      </c>
      <c r="D939" s="3">
        <f>+VLOOKUP($A939,MAGAZZINO!$B$2:$M$100000,4,FALSE)</f>
        <v/>
      </c>
      <c r="E939" s="3">
        <f>+VLOOKUP($A939,MAGAZZINO!$B$2:$M$100000,5,FALSE)</f>
        <v/>
      </c>
      <c r="F939" s="3">
        <f>+VLOOKUP($A939,MAGAZZINO!$B$2:$M$100000,6,FALSE)</f>
        <v/>
      </c>
      <c r="G939" s="3">
        <f>+VLOOKUP($A939,MAGAZZINO!$B$2:$M$100000,7,FALSE)</f>
        <v/>
      </c>
      <c r="H939" s="3">
        <f>+VLOOKUP($A939,MAGAZZINO!$B$2:$M$100000,8,FALSE)</f>
        <v/>
      </c>
      <c r="I939" s="3">
        <f>+VLOOKUP($A939,MAGAZZINO!$B$2:$M$100000,9,FALSE)</f>
        <v/>
      </c>
      <c r="J939" s="3">
        <f>+VLOOKUP($A939,MAGAZZINO!$B$2:$M$100000,10,FALSE)</f>
        <v/>
      </c>
      <c r="K939" s="3">
        <f>+VLOOKUP($A939,MAGAZZINO!$B$2:$M$100000,11,FALSE)</f>
        <v/>
      </c>
      <c r="L939" s="5">
        <f>+VLOOKUP($A939,MAGAZZINO!$B$2:$M$100000,12,FALSE)</f>
        <v/>
      </c>
      <c r="M939" s="47" t="n"/>
      <c r="N939" s="88" t="n">
        <v>45874</v>
      </c>
      <c r="O939" s="91" t="inlineStr">
        <is>
          <t>PHILIPPOS CONSTANTINIDES TRADING CO. LTD (CIPRO)</t>
        </is>
      </c>
      <c r="P939" s="154" t="inlineStr">
        <is>
          <t xml:space="preserve">IMPORT LICENSE N. 218 DEL 12/08/2020                                                                                         AUT. TRASFERIMENTO N. 6B/2025/3D RILASCIATA IL 28/07/2025   </t>
        </is>
      </c>
      <c r="Q939" s="150" t="n"/>
      <c r="R939" s="150" t="n"/>
      <c r="S939" s="153" t="n"/>
    </row>
    <row r="940" ht="36" customHeight="1">
      <c r="A940" s="46" t="n">
        <v>3270</v>
      </c>
      <c r="B940" s="4">
        <f>+VLOOKUP($A940,MAGAZZINO!$B$2:$M$100000,2,FALSE)</f>
        <v/>
      </c>
      <c r="C940" s="29">
        <f>+VLOOKUP($A940,MAGAZZINO!$B$2:$M$100000,3,FALSE)</f>
        <v/>
      </c>
      <c r="D940" s="3">
        <f>+VLOOKUP($A940,MAGAZZINO!$B$2:$M$100000,4,FALSE)</f>
        <v/>
      </c>
      <c r="E940" s="3">
        <f>+VLOOKUP($A940,MAGAZZINO!$B$2:$M$100000,5,FALSE)</f>
        <v/>
      </c>
      <c r="F940" s="3">
        <f>+VLOOKUP($A940,MAGAZZINO!$B$2:$M$100000,6,FALSE)</f>
        <v/>
      </c>
      <c r="G940" s="3">
        <f>+VLOOKUP($A940,MAGAZZINO!$B$2:$M$100000,7,FALSE)</f>
        <v/>
      </c>
      <c r="H940" s="3">
        <f>+VLOOKUP($A940,MAGAZZINO!$B$2:$M$100000,8,FALSE)</f>
        <v/>
      </c>
      <c r="I940" s="3">
        <f>+VLOOKUP($A940,MAGAZZINO!$B$2:$M$100000,9,FALSE)</f>
        <v/>
      </c>
      <c r="J940" s="3">
        <f>+VLOOKUP($A940,MAGAZZINO!$B$2:$M$100000,10,FALSE)</f>
        <v/>
      </c>
      <c r="K940" s="3">
        <f>+VLOOKUP($A940,MAGAZZINO!$B$2:$M$100000,11,FALSE)</f>
        <v/>
      </c>
      <c r="L940" s="5">
        <f>+VLOOKUP($A940,MAGAZZINO!$B$2:$M$100000,12,FALSE)</f>
        <v/>
      </c>
      <c r="M940" s="47" t="n"/>
      <c r="N940" s="88" t="n">
        <v>45874</v>
      </c>
      <c r="O940" s="91" t="inlineStr">
        <is>
          <t>PHILIPPOS CONSTANTINIDES TRADING CO. LTD (CIPRO)</t>
        </is>
      </c>
      <c r="P940" s="154" t="inlineStr">
        <is>
          <t xml:space="preserve">IMPORT LICENSE N. 218 DEL 12/08/2020                                                                                         AUT. TRASFERIMENTO N. 6B/2025/3D RILASCIATA IL 28/07/2025   </t>
        </is>
      </c>
      <c r="Q940" s="150" t="n"/>
      <c r="R940" s="150" t="n"/>
      <c r="S940" s="153" t="n"/>
    </row>
    <row r="941" ht="36" customHeight="1">
      <c r="A941" s="46" t="n">
        <v>3271</v>
      </c>
      <c r="B941" s="4">
        <f>+VLOOKUP($A941,MAGAZZINO!$B$2:$M$100000,2,FALSE)</f>
        <v/>
      </c>
      <c r="C941" s="29">
        <f>+VLOOKUP($A941,MAGAZZINO!$B$2:$M$100000,3,FALSE)</f>
        <v/>
      </c>
      <c r="D941" s="3">
        <f>+VLOOKUP($A941,MAGAZZINO!$B$2:$M$100000,4,FALSE)</f>
        <v/>
      </c>
      <c r="E941" s="3">
        <f>+VLOOKUP($A941,MAGAZZINO!$B$2:$M$100000,5,FALSE)</f>
        <v/>
      </c>
      <c r="F941" s="3">
        <f>+VLOOKUP($A941,MAGAZZINO!$B$2:$M$100000,6,FALSE)</f>
        <v/>
      </c>
      <c r="G941" s="3">
        <f>+VLOOKUP($A941,MAGAZZINO!$B$2:$M$100000,7,FALSE)</f>
        <v/>
      </c>
      <c r="H941" s="3">
        <f>+VLOOKUP($A941,MAGAZZINO!$B$2:$M$100000,8,FALSE)</f>
        <v/>
      </c>
      <c r="I941" s="3">
        <f>+VLOOKUP($A941,MAGAZZINO!$B$2:$M$100000,9,FALSE)</f>
        <v/>
      </c>
      <c r="J941" s="3">
        <f>+VLOOKUP($A941,MAGAZZINO!$B$2:$M$100000,10,FALSE)</f>
        <v/>
      </c>
      <c r="K941" s="3">
        <f>+VLOOKUP($A941,MAGAZZINO!$B$2:$M$100000,11,FALSE)</f>
        <v/>
      </c>
      <c r="L941" s="5">
        <f>+VLOOKUP($A941,MAGAZZINO!$B$2:$M$100000,12,FALSE)</f>
        <v/>
      </c>
      <c r="M941" s="47" t="n"/>
      <c r="N941" s="88" t="n">
        <v>45874</v>
      </c>
      <c r="O941" s="91" t="inlineStr">
        <is>
          <t>PHILIPPOS CONSTANTINIDES TRADING CO. LTD (CIPRO)</t>
        </is>
      </c>
      <c r="P941" s="154" t="inlineStr">
        <is>
          <t xml:space="preserve">IMPORT LICENSE N. 218 DEL 12/08/2020                                                                                         AUT. TRASFERIMENTO N. 6B/2025/3D RILASCIATA IL 28/07/2025   </t>
        </is>
      </c>
      <c r="Q941" s="150" t="n"/>
      <c r="R941" s="150" t="n"/>
      <c r="S941" s="153" t="n"/>
    </row>
    <row r="942" ht="36" customHeight="1">
      <c r="A942" s="46" t="n">
        <v>3272</v>
      </c>
      <c r="B942" s="4">
        <f>+VLOOKUP($A942,MAGAZZINO!$B$2:$M$100000,2,FALSE)</f>
        <v/>
      </c>
      <c r="C942" s="29">
        <f>+VLOOKUP($A942,MAGAZZINO!$B$2:$M$100000,3,FALSE)</f>
        <v/>
      </c>
      <c r="D942" s="3">
        <f>+VLOOKUP($A942,MAGAZZINO!$B$2:$M$100000,4,FALSE)</f>
        <v/>
      </c>
      <c r="E942" s="3">
        <f>+VLOOKUP($A942,MAGAZZINO!$B$2:$M$100000,5,FALSE)</f>
        <v/>
      </c>
      <c r="F942" s="3">
        <f>+VLOOKUP($A942,MAGAZZINO!$B$2:$M$100000,6,FALSE)</f>
        <v/>
      </c>
      <c r="G942" s="3">
        <f>+VLOOKUP($A942,MAGAZZINO!$B$2:$M$100000,7,FALSE)</f>
        <v/>
      </c>
      <c r="H942" s="3">
        <f>+VLOOKUP($A942,MAGAZZINO!$B$2:$M$100000,8,FALSE)</f>
        <v/>
      </c>
      <c r="I942" s="3">
        <f>+VLOOKUP($A942,MAGAZZINO!$B$2:$M$100000,9,FALSE)</f>
        <v/>
      </c>
      <c r="J942" s="3">
        <f>+VLOOKUP($A942,MAGAZZINO!$B$2:$M$100000,10,FALSE)</f>
        <v/>
      </c>
      <c r="K942" s="3">
        <f>+VLOOKUP($A942,MAGAZZINO!$B$2:$M$100000,11,FALSE)</f>
        <v/>
      </c>
      <c r="L942" s="5">
        <f>+VLOOKUP($A942,MAGAZZINO!$B$2:$M$100000,12,FALSE)</f>
        <v/>
      </c>
      <c r="M942" s="47" t="n"/>
      <c r="N942" s="88" t="n">
        <v>45874</v>
      </c>
      <c r="O942" s="91" t="inlineStr">
        <is>
          <t>PHILIPPOS CONSTANTINIDES TRADING CO. LTD (CIPRO)</t>
        </is>
      </c>
      <c r="P942" s="154" t="inlineStr">
        <is>
          <t xml:space="preserve">IMPORT LICENSE N. 218 DEL 12/08/2020                                                                                         AUT. TRASFERIMENTO N. 6B/2025/3D RILASCIATA IL 28/07/2025   </t>
        </is>
      </c>
      <c r="Q942" s="150" t="n"/>
      <c r="R942" s="150" t="n"/>
      <c r="S942" s="153" t="n"/>
    </row>
    <row r="943" ht="36" customHeight="1">
      <c r="A943" s="46" t="n">
        <v>3273</v>
      </c>
      <c r="B943" s="4">
        <f>+VLOOKUP($A943,MAGAZZINO!$B$2:$M$100000,2,FALSE)</f>
        <v/>
      </c>
      <c r="C943" s="29">
        <f>+VLOOKUP($A943,MAGAZZINO!$B$2:$M$100000,3,FALSE)</f>
        <v/>
      </c>
      <c r="D943" s="3">
        <f>+VLOOKUP($A943,MAGAZZINO!$B$2:$M$100000,4,FALSE)</f>
        <v/>
      </c>
      <c r="E943" s="3">
        <f>+VLOOKUP($A943,MAGAZZINO!$B$2:$M$100000,5,FALSE)</f>
        <v/>
      </c>
      <c r="F943" s="3">
        <f>+VLOOKUP($A943,MAGAZZINO!$B$2:$M$100000,6,FALSE)</f>
        <v/>
      </c>
      <c r="G943" s="3">
        <f>+VLOOKUP($A943,MAGAZZINO!$B$2:$M$100000,7,FALSE)</f>
        <v/>
      </c>
      <c r="H943" s="3">
        <f>+VLOOKUP($A943,MAGAZZINO!$B$2:$M$100000,8,FALSE)</f>
        <v/>
      </c>
      <c r="I943" s="3">
        <f>+VLOOKUP($A943,MAGAZZINO!$B$2:$M$100000,9,FALSE)</f>
        <v/>
      </c>
      <c r="J943" s="3">
        <f>+VLOOKUP($A943,MAGAZZINO!$B$2:$M$100000,10,FALSE)</f>
        <v/>
      </c>
      <c r="K943" s="3">
        <f>+VLOOKUP($A943,MAGAZZINO!$B$2:$M$100000,11,FALSE)</f>
        <v/>
      </c>
      <c r="L943" s="5">
        <f>+VLOOKUP($A943,MAGAZZINO!$B$2:$M$100000,12,FALSE)</f>
        <v/>
      </c>
      <c r="M943" s="47" t="n"/>
      <c r="N943" s="54" t="n"/>
      <c r="O943" s="3" t="n"/>
      <c r="P943" s="149" t="n"/>
      <c r="Q943" s="150" t="n"/>
      <c r="R943" s="150" t="n"/>
      <c r="S943" s="151" t="n"/>
    </row>
    <row r="944" ht="36" customHeight="1">
      <c r="A944" s="46" t="n">
        <v>3274</v>
      </c>
      <c r="B944" s="4">
        <f>+VLOOKUP($A944,MAGAZZINO!$B$2:$M$100000,2,FALSE)</f>
        <v/>
      </c>
      <c r="C944" s="29">
        <f>+VLOOKUP($A944,MAGAZZINO!$B$2:$M$100000,3,FALSE)</f>
        <v/>
      </c>
      <c r="D944" s="3">
        <f>+VLOOKUP($A944,MAGAZZINO!$B$2:$M$100000,4,FALSE)</f>
        <v/>
      </c>
      <c r="E944" s="3">
        <f>+VLOOKUP($A944,MAGAZZINO!$B$2:$M$100000,5,FALSE)</f>
        <v/>
      </c>
      <c r="F944" s="3">
        <f>+VLOOKUP($A944,MAGAZZINO!$B$2:$M$100000,6,FALSE)</f>
        <v/>
      </c>
      <c r="G944" s="3">
        <f>+VLOOKUP($A944,MAGAZZINO!$B$2:$M$100000,7,FALSE)</f>
        <v/>
      </c>
      <c r="H944" s="3">
        <f>+VLOOKUP($A944,MAGAZZINO!$B$2:$M$100000,8,FALSE)</f>
        <v/>
      </c>
      <c r="I944" s="3">
        <f>+VLOOKUP($A944,MAGAZZINO!$B$2:$M$100000,9,FALSE)</f>
        <v/>
      </c>
      <c r="J944" s="3">
        <f>+VLOOKUP($A944,MAGAZZINO!$B$2:$M$100000,10,FALSE)</f>
        <v/>
      </c>
      <c r="K944" s="3">
        <f>+VLOOKUP($A944,MAGAZZINO!$B$2:$M$100000,11,FALSE)</f>
        <v/>
      </c>
      <c r="L944" s="5">
        <f>+VLOOKUP($A944,MAGAZZINO!$B$2:$M$100000,12,FALSE)</f>
        <v/>
      </c>
      <c r="M944" s="47" t="n"/>
      <c r="N944" s="54" t="n"/>
      <c r="O944" s="3" t="n"/>
      <c r="P944" s="149" t="n"/>
      <c r="Q944" s="150" t="n"/>
      <c r="R944" s="150" t="n"/>
      <c r="S944" s="151" t="n"/>
    </row>
    <row r="945" ht="36" customHeight="1">
      <c r="A945" s="46" t="n">
        <v>3275</v>
      </c>
      <c r="B945" s="4">
        <f>+VLOOKUP($A945,MAGAZZINO!$B$2:$M$100000,2,FALSE)</f>
        <v/>
      </c>
      <c r="C945" s="29">
        <f>+VLOOKUP($A945,MAGAZZINO!$B$2:$M$100000,3,FALSE)</f>
        <v/>
      </c>
      <c r="D945" s="3">
        <f>+VLOOKUP($A945,MAGAZZINO!$B$2:$M$100000,4,FALSE)</f>
        <v/>
      </c>
      <c r="E945" s="3">
        <f>+VLOOKUP($A945,MAGAZZINO!$B$2:$M$100000,5,FALSE)</f>
        <v/>
      </c>
      <c r="F945" s="3">
        <f>+VLOOKUP($A945,MAGAZZINO!$B$2:$M$100000,6,FALSE)</f>
        <v/>
      </c>
      <c r="G945" s="3">
        <f>+VLOOKUP($A945,MAGAZZINO!$B$2:$M$100000,7,FALSE)</f>
        <v/>
      </c>
      <c r="H945" s="3">
        <f>+VLOOKUP($A945,MAGAZZINO!$B$2:$M$100000,8,FALSE)</f>
        <v/>
      </c>
      <c r="I945" s="3">
        <f>+VLOOKUP($A945,MAGAZZINO!$B$2:$M$100000,9,FALSE)</f>
        <v/>
      </c>
      <c r="J945" s="3">
        <f>+VLOOKUP($A945,MAGAZZINO!$B$2:$M$100000,10,FALSE)</f>
        <v/>
      </c>
      <c r="K945" s="3">
        <f>+VLOOKUP($A945,MAGAZZINO!$B$2:$M$100000,11,FALSE)</f>
        <v/>
      </c>
      <c r="L945" s="5">
        <f>+VLOOKUP($A945,MAGAZZINO!$B$2:$M$100000,12,FALSE)</f>
        <v/>
      </c>
      <c r="M945" s="47" t="n"/>
      <c r="N945" s="88" t="n">
        <v>45874</v>
      </c>
      <c r="O945" s="91" t="inlineStr">
        <is>
          <t>PHILIPPOS CONSTANTINIDES TRADING CO. LTD (CIPRO)</t>
        </is>
      </c>
      <c r="P945" s="154" t="inlineStr">
        <is>
          <t xml:space="preserve">IMPORT LICENSE N. 218 DEL 12/08/2020                                                                                         AUT. TRASFERIMENTO N. 6B/2025/3D RILASCIATA IL 28/07/2025   </t>
        </is>
      </c>
      <c r="Q945" s="150" t="n"/>
      <c r="R945" s="150" t="n"/>
      <c r="S945" s="153" t="n"/>
    </row>
    <row r="946" ht="36" customHeight="1">
      <c r="A946" s="46" t="n">
        <v>3276</v>
      </c>
      <c r="B946" s="4">
        <f>+VLOOKUP($A946,MAGAZZINO!$B$2:$M$100000,2,FALSE)</f>
        <v/>
      </c>
      <c r="C946" s="29">
        <f>+VLOOKUP($A946,MAGAZZINO!$B$2:$M$100000,3,FALSE)</f>
        <v/>
      </c>
      <c r="D946" s="3">
        <f>+VLOOKUP($A946,MAGAZZINO!$B$2:$M$100000,4,FALSE)</f>
        <v/>
      </c>
      <c r="E946" s="3">
        <f>+VLOOKUP($A946,MAGAZZINO!$B$2:$M$100000,5,FALSE)</f>
        <v/>
      </c>
      <c r="F946" s="3">
        <f>+VLOOKUP($A946,MAGAZZINO!$B$2:$M$100000,6,FALSE)</f>
        <v/>
      </c>
      <c r="G946" s="3">
        <f>+VLOOKUP($A946,MAGAZZINO!$B$2:$M$100000,7,FALSE)</f>
        <v/>
      </c>
      <c r="H946" s="3">
        <f>+VLOOKUP($A946,MAGAZZINO!$B$2:$M$100000,8,FALSE)</f>
        <v/>
      </c>
      <c r="I946" s="3">
        <f>+VLOOKUP($A946,MAGAZZINO!$B$2:$M$100000,9,FALSE)</f>
        <v/>
      </c>
      <c r="J946" s="3">
        <f>+VLOOKUP($A946,MAGAZZINO!$B$2:$M$100000,10,FALSE)</f>
        <v/>
      </c>
      <c r="K946" s="3">
        <f>+VLOOKUP($A946,MAGAZZINO!$B$2:$M$100000,11,FALSE)</f>
        <v/>
      </c>
      <c r="L946" s="5">
        <f>+VLOOKUP($A946,MAGAZZINO!$B$2:$M$100000,12,FALSE)</f>
        <v/>
      </c>
      <c r="M946" s="47" t="n"/>
      <c r="N946" s="88" t="n">
        <v>45887</v>
      </c>
      <c r="O946" s="91" t="inlineStr">
        <is>
          <t>PHILIPPOS CONSTANTINIDES TRADING CO. LTD (CIPRO)</t>
        </is>
      </c>
      <c r="P946" s="154" t="inlineStr">
        <is>
          <t xml:space="preserve">IMPORT LICENSE N. 267 DEL 21/07/2025                                                                                         AUT. TRASFERIMENTO N. 6B/2025/4D RILASCIATA IL 28/07/2025   </t>
        </is>
      </c>
      <c r="Q946" s="150" t="n"/>
      <c r="R946" s="150" t="n"/>
      <c r="S946" s="153" t="n"/>
    </row>
    <row r="947" ht="36" customHeight="1">
      <c r="A947" s="46" t="n">
        <v>3277</v>
      </c>
      <c r="B947" s="4">
        <f>+VLOOKUP($A947,MAGAZZINO!$B$2:$M$100000,2,FALSE)</f>
        <v/>
      </c>
      <c r="C947" s="29">
        <f>+VLOOKUP($A947,MAGAZZINO!$B$2:$M$100000,3,FALSE)</f>
        <v/>
      </c>
      <c r="D947" s="3">
        <f>+VLOOKUP($A947,MAGAZZINO!$B$2:$M$100000,4,FALSE)</f>
        <v/>
      </c>
      <c r="E947" s="3">
        <f>+VLOOKUP($A947,MAGAZZINO!$B$2:$M$100000,5,FALSE)</f>
        <v/>
      </c>
      <c r="F947" s="3">
        <f>+VLOOKUP($A947,MAGAZZINO!$B$2:$M$100000,6,FALSE)</f>
        <v/>
      </c>
      <c r="G947" s="3">
        <f>+VLOOKUP($A947,MAGAZZINO!$B$2:$M$100000,7,FALSE)</f>
        <v/>
      </c>
      <c r="H947" s="3">
        <f>+VLOOKUP($A947,MAGAZZINO!$B$2:$M$100000,8,FALSE)</f>
        <v/>
      </c>
      <c r="I947" s="3">
        <f>+VLOOKUP($A947,MAGAZZINO!$B$2:$M$100000,9,FALSE)</f>
        <v/>
      </c>
      <c r="J947" s="3">
        <f>+VLOOKUP($A947,MAGAZZINO!$B$2:$M$100000,10,FALSE)</f>
        <v/>
      </c>
      <c r="K947" s="3">
        <f>+VLOOKUP($A947,MAGAZZINO!$B$2:$M$100000,11,FALSE)</f>
        <v/>
      </c>
      <c r="L947" s="5">
        <f>+VLOOKUP($A947,MAGAZZINO!$B$2:$M$100000,12,FALSE)</f>
        <v/>
      </c>
      <c r="M947" s="47" t="n"/>
      <c r="N947" s="88" t="n">
        <v>45887</v>
      </c>
      <c r="O947" s="91" t="inlineStr">
        <is>
          <t>PHILIPPOS CONSTANTINIDES TRADING CO. LTD (CIPRO)</t>
        </is>
      </c>
      <c r="P947" s="154" t="inlineStr">
        <is>
          <t xml:space="preserve">IMPORT LICENSE N. 267 DEL 21/07/2025                                                                                         AUT. TRASFERIMENTO N. 6B/2025/4D RILASCIATA IL 28/07/2025   </t>
        </is>
      </c>
      <c r="Q947" s="150" t="n"/>
      <c r="R947" s="150" t="n"/>
      <c r="S947" s="153" t="n"/>
    </row>
    <row r="948" ht="36" customHeight="1">
      <c r="A948" s="46" t="n">
        <v>3278</v>
      </c>
      <c r="B948" s="4">
        <f>+VLOOKUP($A948,MAGAZZINO!$B$2:$M$100000,2,FALSE)</f>
        <v/>
      </c>
      <c r="C948" s="29">
        <f>+VLOOKUP($A948,MAGAZZINO!$B$2:$M$100000,3,FALSE)</f>
        <v/>
      </c>
      <c r="D948" s="3">
        <f>+VLOOKUP($A948,MAGAZZINO!$B$2:$M$100000,4,FALSE)</f>
        <v/>
      </c>
      <c r="E948" s="3">
        <f>+VLOOKUP($A948,MAGAZZINO!$B$2:$M$100000,5,FALSE)</f>
        <v/>
      </c>
      <c r="F948" s="3">
        <f>+VLOOKUP($A948,MAGAZZINO!$B$2:$M$100000,6,FALSE)</f>
        <v/>
      </c>
      <c r="G948" s="3">
        <f>+VLOOKUP($A948,MAGAZZINO!$B$2:$M$100000,7,FALSE)</f>
        <v/>
      </c>
      <c r="H948" s="3">
        <f>+VLOOKUP($A948,MAGAZZINO!$B$2:$M$100000,8,FALSE)</f>
        <v/>
      </c>
      <c r="I948" s="3">
        <f>+VLOOKUP($A948,MAGAZZINO!$B$2:$M$100000,9,FALSE)</f>
        <v/>
      </c>
      <c r="J948" s="3">
        <f>+VLOOKUP($A948,MAGAZZINO!$B$2:$M$100000,10,FALSE)</f>
        <v/>
      </c>
      <c r="K948" s="3">
        <f>+VLOOKUP($A948,MAGAZZINO!$B$2:$M$100000,11,FALSE)</f>
        <v/>
      </c>
      <c r="L948" s="5">
        <f>+VLOOKUP($A948,MAGAZZINO!$B$2:$M$100000,12,FALSE)</f>
        <v/>
      </c>
      <c r="M948" s="47" t="n"/>
      <c r="N948" s="88" t="n">
        <v>45887</v>
      </c>
      <c r="O948" s="91" t="inlineStr">
        <is>
          <t>PHILIPPOS CONSTANTINIDES TRADING CO. LTD (CIPRO)</t>
        </is>
      </c>
      <c r="P948" s="154" t="inlineStr">
        <is>
          <t xml:space="preserve">IMPORT LICENSE N. 267 DEL 21/07/2025                                                                                         AUT. TRASFERIMENTO N. 6B/2025/4D RILASCIATA IL 28/07/2025   </t>
        </is>
      </c>
      <c r="Q948" s="150" t="n"/>
      <c r="R948" s="150" t="n"/>
      <c r="S948" s="153" t="n"/>
    </row>
    <row r="949" ht="36" customHeight="1">
      <c r="A949" s="46" t="n">
        <v>3279</v>
      </c>
      <c r="B949" s="4">
        <f>+VLOOKUP($A949,MAGAZZINO!$B$2:$M$100000,2,FALSE)</f>
        <v/>
      </c>
      <c r="C949" s="29">
        <f>+VLOOKUP($A949,MAGAZZINO!$B$2:$M$100000,3,FALSE)</f>
        <v/>
      </c>
      <c r="D949" s="3">
        <f>+VLOOKUP($A949,MAGAZZINO!$B$2:$M$100000,4,FALSE)</f>
        <v/>
      </c>
      <c r="E949" s="3">
        <f>+VLOOKUP($A949,MAGAZZINO!$B$2:$M$100000,5,FALSE)</f>
        <v/>
      </c>
      <c r="F949" s="3">
        <f>+VLOOKUP($A949,MAGAZZINO!$B$2:$M$100000,6,FALSE)</f>
        <v/>
      </c>
      <c r="G949" s="3">
        <f>+VLOOKUP($A949,MAGAZZINO!$B$2:$M$100000,7,FALSE)</f>
        <v/>
      </c>
      <c r="H949" s="3">
        <f>+VLOOKUP($A949,MAGAZZINO!$B$2:$M$100000,8,FALSE)</f>
        <v/>
      </c>
      <c r="I949" s="3">
        <f>+VLOOKUP($A949,MAGAZZINO!$B$2:$M$100000,9,FALSE)</f>
        <v/>
      </c>
      <c r="J949" s="3">
        <f>+VLOOKUP($A949,MAGAZZINO!$B$2:$M$100000,10,FALSE)</f>
        <v/>
      </c>
      <c r="K949" s="3">
        <f>+VLOOKUP($A949,MAGAZZINO!$B$2:$M$100000,11,FALSE)</f>
        <v/>
      </c>
      <c r="L949" s="5">
        <f>+VLOOKUP($A949,MAGAZZINO!$B$2:$M$100000,12,FALSE)</f>
        <v/>
      </c>
      <c r="M949" s="47" t="n"/>
      <c r="N949" s="88" t="n">
        <v>45874</v>
      </c>
      <c r="O949" s="91" t="inlineStr">
        <is>
          <t>PHILIPPOS CONSTANTINIDES TRADING CO. LTD (CIPRO)</t>
        </is>
      </c>
      <c r="P949" s="154" t="inlineStr">
        <is>
          <t xml:space="preserve">IMPORT LICENSE N. 218 DEL 12/08/2020                                                                                         AUT. TRASFERIMENTO N. 6B/2025/3D RILASCIATA IL 28/07/2025   </t>
        </is>
      </c>
      <c r="Q949" s="150" t="n"/>
      <c r="R949" s="150" t="n"/>
      <c r="S949" s="153" t="n"/>
    </row>
    <row r="950" ht="36" customHeight="1">
      <c r="A950" s="46" t="n">
        <v>3280</v>
      </c>
      <c r="B950" s="4">
        <f>+VLOOKUP($A950,MAGAZZINO!$B$2:$M$100000,2,FALSE)</f>
        <v/>
      </c>
      <c r="C950" s="29">
        <f>+VLOOKUP($A950,MAGAZZINO!$B$2:$M$100000,3,FALSE)</f>
        <v/>
      </c>
      <c r="D950" s="3">
        <f>+VLOOKUP($A950,MAGAZZINO!$B$2:$M$100000,4,FALSE)</f>
        <v/>
      </c>
      <c r="E950" s="3">
        <f>+VLOOKUP($A950,MAGAZZINO!$B$2:$M$100000,5,FALSE)</f>
        <v/>
      </c>
      <c r="F950" s="3">
        <f>+VLOOKUP($A950,MAGAZZINO!$B$2:$M$100000,6,FALSE)</f>
        <v/>
      </c>
      <c r="G950" s="3">
        <f>+VLOOKUP($A950,MAGAZZINO!$B$2:$M$100000,7,FALSE)</f>
        <v/>
      </c>
      <c r="H950" s="3">
        <f>+VLOOKUP($A950,MAGAZZINO!$B$2:$M$100000,8,FALSE)</f>
        <v/>
      </c>
      <c r="I950" s="3">
        <f>+VLOOKUP($A950,MAGAZZINO!$B$2:$M$100000,9,FALSE)</f>
        <v/>
      </c>
      <c r="J950" s="3">
        <f>+VLOOKUP($A950,MAGAZZINO!$B$2:$M$100000,10,FALSE)</f>
        <v/>
      </c>
      <c r="K950" s="3">
        <f>+VLOOKUP($A950,MAGAZZINO!$B$2:$M$100000,11,FALSE)</f>
        <v/>
      </c>
      <c r="L950" s="5">
        <f>+VLOOKUP($A950,MAGAZZINO!$B$2:$M$100000,12,FALSE)</f>
        <v/>
      </c>
      <c r="M950" s="47" t="n"/>
      <c r="N950" s="88" t="n">
        <v>45874</v>
      </c>
      <c r="O950" s="91" t="inlineStr">
        <is>
          <t>PHILIPPOS CONSTANTINIDES TRADING CO. LTD (CIPRO)</t>
        </is>
      </c>
      <c r="P950" s="154" t="inlineStr">
        <is>
          <t xml:space="preserve">IMPORT LICENSE N. 218 DEL 12/08/2020                                                                                         AUT. TRASFERIMENTO N. 6B/2025/3D RILASCIATA IL 28/07/2025   </t>
        </is>
      </c>
      <c r="Q950" s="150" t="n"/>
      <c r="R950" s="150" t="n"/>
      <c r="S950" s="153" t="n"/>
    </row>
    <row r="951" ht="36" customHeight="1">
      <c r="A951" s="46" t="n">
        <v>3281</v>
      </c>
      <c r="B951" s="4">
        <f>+VLOOKUP($A951,MAGAZZINO!$B$2:$M$100000,2,FALSE)</f>
        <v/>
      </c>
      <c r="C951" s="29">
        <f>+VLOOKUP($A951,MAGAZZINO!$B$2:$M$100000,3,FALSE)</f>
        <v/>
      </c>
      <c r="D951" s="3">
        <f>+VLOOKUP($A951,MAGAZZINO!$B$2:$M$100000,4,FALSE)</f>
        <v/>
      </c>
      <c r="E951" s="3">
        <f>+VLOOKUP($A951,MAGAZZINO!$B$2:$M$100000,5,FALSE)</f>
        <v/>
      </c>
      <c r="F951" s="3">
        <f>+VLOOKUP($A951,MAGAZZINO!$B$2:$M$100000,6,FALSE)</f>
        <v/>
      </c>
      <c r="G951" s="3">
        <f>+VLOOKUP($A951,MAGAZZINO!$B$2:$M$100000,7,FALSE)</f>
        <v/>
      </c>
      <c r="H951" s="3">
        <f>+VLOOKUP($A951,MAGAZZINO!$B$2:$M$100000,8,FALSE)</f>
        <v/>
      </c>
      <c r="I951" s="3">
        <f>+VLOOKUP($A951,MAGAZZINO!$B$2:$M$100000,9,FALSE)</f>
        <v/>
      </c>
      <c r="J951" s="3">
        <f>+VLOOKUP($A951,MAGAZZINO!$B$2:$M$100000,10,FALSE)</f>
        <v/>
      </c>
      <c r="K951" s="3">
        <f>+VLOOKUP($A951,MAGAZZINO!$B$2:$M$100000,11,FALSE)</f>
        <v/>
      </c>
      <c r="L951" s="5">
        <f>+VLOOKUP($A951,MAGAZZINO!$B$2:$M$100000,12,FALSE)</f>
        <v/>
      </c>
      <c r="M951" s="47" t="n"/>
      <c r="N951" s="88" t="n">
        <v>45874</v>
      </c>
      <c r="O951" s="91" t="inlineStr">
        <is>
          <t>PHILIPPOS CONSTANTINIDES TRADING CO. LTD (CIPRO)</t>
        </is>
      </c>
      <c r="P951" s="154" t="inlineStr">
        <is>
          <t xml:space="preserve">IMPORT LICENSE N. 218 DEL 12/08/2020                                                                                         AUT. TRASFERIMENTO N. 6B/2025/3D RILASCIATA IL 28/07/2025   </t>
        </is>
      </c>
      <c r="Q951" s="150" t="n"/>
      <c r="R951" s="150" t="n"/>
      <c r="S951" s="153" t="n"/>
    </row>
    <row r="952" ht="36" customHeight="1">
      <c r="A952" s="46" t="n">
        <v>3282</v>
      </c>
      <c r="B952" s="4">
        <f>+VLOOKUP($A952,MAGAZZINO!$B$2:$M$100000,2,FALSE)</f>
        <v/>
      </c>
      <c r="C952" s="29">
        <f>+VLOOKUP($A952,MAGAZZINO!$B$2:$M$100000,3,FALSE)</f>
        <v/>
      </c>
      <c r="D952" s="3">
        <f>+VLOOKUP($A952,MAGAZZINO!$B$2:$M$100000,4,FALSE)</f>
        <v/>
      </c>
      <c r="E952" s="3">
        <f>+VLOOKUP($A952,MAGAZZINO!$B$2:$M$100000,5,FALSE)</f>
        <v/>
      </c>
      <c r="F952" s="3">
        <f>+VLOOKUP($A952,MAGAZZINO!$B$2:$M$100000,6,FALSE)</f>
        <v/>
      </c>
      <c r="G952" s="3">
        <f>+VLOOKUP($A952,MAGAZZINO!$B$2:$M$100000,7,FALSE)</f>
        <v/>
      </c>
      <c r="H952" s="3">
        <f>+VLOOKUP($A952,MAGAZZINO!$B$2:$M$100000,8,FALSE)</f>
        <v/>
      </c>
      <c r="I952" s="3">
        <f>+VLOOKUP($A952,MAGAZZINO!$B$2:$M$100000,9,FALSE)</f>
        <v/>
      </c>
      <c r="J952" s="3">
        <f>+VLOOKUP($A952,MAGAZZINO!$B$2:$M$100000,10,FALSE)</f>
        <v/>
      </c>
      <c r="K952" s="3">
        <f>+VLOOKUP($A952,MAGAZZINO!$B$2:$M$100000,11,FALSE)</f>
        <v/>
      </c>
      <c r="L952" s="5">
        <f>+VLOOKUP($A952,MAGAZZINO!$B$2:$M$100000,12,FALSE)</f>
        <v/>
      </c>
      <c r="M952" s="47" t="n"/>
      <c r="N952" s="88" t="n">
        <v>45874</v>
      </c>
      <c r="O952" s="91" t="inlineStr">
        <is>
          <t>PHILIPPOS CONSTANTINIDES TRADING CO. LTD (CIPRO)</t>
        </is>
      </c>
      <c r="P952" s="154" t="inlineStr">
        <is>
          <t xml:space="preserve">IMPORT LICENSE N. 218 DEL 12/08/2020                                                                                         AUT. TRASFERIMENTO N. 6B/2025/3D RILASCIATA IL 28/07/2025   </t>
        </is>
      </c>
      <c r="Q952" s="150" t="n"/>
      <c r="R952" s="150" t="n"/>
      <c r="S952" s="153" t="n"/>
    </row>
    <row r="953" ht="36" customHeight="1">
      <c r="A953" s="46" t="n">
        <v>3283</v>
      </c>
      <c r="B953" s="4">
        <f>+VLOOKUP($A953,MAGAZZINO!$B$2:$M$100000,2,FALSE)</f>
        <v/>
      </c>
      <c r="C953" s="29">
        <f>+VLOOKUP($A953,MAGAZZINO!$B$2:$M$100000,3,FALSE)</f>
        <v/>
      </c>
      <c r="D953" s="3">
        <f>+VLOOKUP($A953,MAGAZZINO!$B$2:$M$100000,4,FALSE)</f>
        <v/>
      </c>
      <c r="E953" s="3">
        <f>+VLOOKUP($A953,MAGAZZINO!$B$2:$M$100000,5,FALSE)</f>
        <v/>
      </c>
      <c r="F953" s="3">
        <f>+VLOOKUP($A953,MAGAZZINO!$B$2:$M$100000,6,FALSE)</f>
        <v/>
      </c>
      <c r="G953" s="3">
        <f>+VLOOKUP($A953,MAGAZZINO!$B$2:$M$100000,7,FALSE)</f>
        <v/>
      </c>
      <c r="H953" s="3">
        <f>+VLOOKUP($A953,MAGAZZINO!$B$2:$M$100000,8,FALSE)</f>
        <v/>
      </c>
      <c r="I953" s="3">
        <f>+VLOOKUP($A953,MAGAZZINO!$B$2:$M$100000,9,FALSE)</f>
        <v/>
      </c>
      <c r="J953" s="3">
        <f>+VLOOKUP($A953,MAGAZZINO!$B$2:$M$100000,10,FALSE)</f>
        <v/>
      </c>
      <c r="K953" s="3">
        <f>+VLOOKUP($A953,MAGAZZINO!$B$2:$M$100000,11,FALSE)</f>
        <v/>
      </c>
      <c r="L953" s="5">
        <f>+VLOOKUP($A953,MAGAZZINO!$B$2:$M$100000,12,FALSE)</f>
        <v/>
      </c>
      <c r="M953" s="47" t="n"/>
      <c r="N953" s="88" t="n">
        <v>45874</v>
      </c>
      <c r="O953" s="91" t="inlineStr">
        <is>
          <t>PHILIPPOS CONSTANTINIDES TRADING CO. LTD (CIPRO)</t>
        </is>
      </c>
      <c r="P953" s="154" t="inlineStr">
        <is>
          <t xml:space="preserve">IMPORT LICENSE N. 218 DEL 12/08/2020                                                                                         AUT. TRASFERIMENTO N. 6B/2025/3D RILASCIATA IL 28/07/2025   </t>
        </is>
      </c>
      <c r="Q953" s="150" t="n"/>
      <c r="R953" s="150" t="n"/>
      <c r="S953" s="153" t="n"/>
    </row>
    <row r="954" ht="36" customHeight="1">
      <c r="A954" s="46" t="n">
        <v>3284</v>
      </c>
      <c r="B954" s="4">
        <f>+VLOOKUP($A954,MAGAZZINO!$B$2:$M$100000,2,FALSE)</f>
        <v/>
      </c>
      <c r="C954" s="29">
        <f>+VLOOKUP($A954,MAGAZZINO!$B$2:$M$100000,3,FALSE)</f>
        <v/>
      </c>
      <c r="D954" s="3">
        <f>+VLOOKUP($A954,MAGAZZINO!$B$2:$M$100000,4,FALSE)</f>
        <v/>
      </c>
      <c r="E954" s="3">
        <f>+VLOOKUP($A954,MAGAZZINO!$B$2:$M$100000,5,FALSE)</f>
        <v/>
      </c>
      <c r="F954" s="3">
        <f>+VLOOKUP($A954,MAGAZZINO!$B$2:$M$100000,6,FALSE)</f>
        <v/>
      </c>
      <c r="G954" s="3">
        <f>+VLOOKUP($A954,MAGAZZINO!$B$2:$M$100000,7,FALSE)</f>
        <v/>
      </c>
      <c r="H954" s="3">
        <f>+VLOOKUP($A954,MAGAZZINO!$B$2:$M$100000,8,FALSE)</f>
        <v/>
      </c>
      <c r="I954" s="3">
        <f>+VLOOKUP($A954,MAGAZZINO!$B$2:$M$100000,9,FALSE)</f>
        <v/>
      </c>
      <c r="J954" s="3">
        <f>+VLOOKUP($A954,MAGAZZINO!$B$2:$M$100000,10,FALSE)</f>
        <v/>
      </c>
      <c r="K954" s="3">
        <f>+VLOOKUP($A954,MAGAZZINO!$B$2:$M$100000,11,FALSE)</f>
        <v/>
      </c>
      <c r="L954" s="5">
        <f>+VLOOKUP($A954,MAGAZZINO!$B$2:$M$100000,12,FALSE)</f>
        <v/>
      </c>
      <c r="M954" s="47" t="n"/>
      <c r="N954" s="88" t="n">
        <v>45874</v>
      </c>
      <c r="O954" s="91" t="inlineStr">
        <is>
          <t>PHILIPPOS CONSTANTINIDES TRADING CO. LTD (CIPRO)</t>
        </is>
      </c>
      <c r="P954" s="154" t="inlineStr">
        <is>
          <t xml:space="preserve">IMPORT LICENSE N. 218 DEL 12/08/2020                                                                                         AUT. TRASFERIMENTO N. 6B/2025/3D RILASCIATA IL 28/07/2025   </t>
        </is>
      </c>
      <c r="Q954" s="150" t="n"/>
      <c r="R954" s="150" t="n"/>
      <c r="S954" s="153" t="n"/>
    </row>
    <row r="955" ht="36" customHeight="1">
      <c r="A955" s="46" t="n">
        <v>3285</v>
      </c>
      <c r="B955" s="4">
        <f>+VLOOKUP($A955,MAGAZZINO!$B$2:$M$100000,2,FALSE)</f>
        <v/>
      </c>
      <c r="C955" s="29">
        <f>+VLOOKUP($A955,MAGAZZINO!$B$2:$M$100000,3,FALSE)</f>
        <v/>
      </c>
      <c r="D955" s="3">
        <f>+VLOOKUP($A955,MAGAZZINO!$B$2:$M$100000,4,FALSE)</f>
        <v/>
      </c>
      <c r="E955" s="3">
        <f>+VLOOKUP($A955,MAGAZZINO!$B$2:$M$100000,5,FALSE)</f>
        <v/>
      </c>
      <c r="F955" s="3">
        <f>+VLOOKUP($A955,MAGAZZINO!$B$2:$M$100000,6,FALSE)</f>
        <v/>
      </c>
      <c r="G955" s="3">
        <f>+VLOOKUP($A955,MAGAZZINO!$B$2:$M$100000,7,FALSE)</f>
        <v/>
      </c>
      <c r="H955" s="3">
        <f>+VLOOKUP($A955,MAGAZZINO!$B$2:$M$100000,8,FALSE)</f>
        <v/>
      </c>
      <c r="I955" s="3">
        <f>+VLOOKUP($A955,MAGAZZINO!$B$2:$M$100000,9,FALSE)</f>
        <v/>
      </c>
      <c r="J955" s="3">
        <f>+VLOOKUP($A955,MAGAZZINO!$B$2:$M$100000,10,FALSE)</f>
        <v/>
      </c>
      <c r="K955" s="3">
        <f>+VLOOKUP($A955,MAGAZZINO!$B$2:$M$100000,11,FALSE)</f>
        <v/>
      </c>
      <c r="L955" s="5">
        <f>+VLOOKUP($A955,MAGAZZINO!$B$2:$M$100000,12,FALSE)</f>
        <v/>
      </c>
      <c r="M955" s="47" t="n"/>
      <c r="N955" s="88" t="n">
        <v>45874</v>
      </c>
      <c r="O955" s="91" t="inlineStr">
        <is>
          <t>PHILIPPOS CONSTANTINIDES TRADING CO. LTD (CIPRO)</t>
        </is>
      </c>
      <c r="P955" s="154" t="inlineStr">
        <is>
          <t xml:space="preserve">IMPORT LICENSE N. 218 DEL 12/08/2020                                                                                         AUT. TRASFERIMENTO N. 6B/2025/3D RILASCIATA IL 28/07/2025   </t>
        </is>
      </c>
      <c r="Q955" s="150" t="n"/>
      <c r="R955" s="150" t="n"/>
      <c r="S955" s="153" t="n"/>
    </row>
    <row r="956" ht="36" customHeight="1">
      <c r="A956" s="46" t="n">
        <v>3286</v>
      </c>
      <c r="B956" s="4">
        <f>+VLOOKUP($A956,MAGAZZINO!$B$2:$M$100000,2,FALSE)</f>
        <v/>
      </c>
      <c r="C956" s="29">
        <f>+VLOOKUP($A956,MAGAZZINO!$B$2:$M$100000,3,FALSE)</f>
        <v/>
      </c>
      <c r="D956" s="3">
        <f>+VLOOKUP($A956,MAGAZZINO!$B$2:$M$100000,4,FALSE)</f>
        <v/>
      </c>
      <c r="E956" s="3">
        <f>+VLOOKUP($A956,MAGAZZINO!$B$2:$M$100000,5,FALSE)</f>
        <v/>
      </c>
      <c r="F956" s="3">
        <f>+VLOOKUP($A956,MAGAZZINO!$B$2:$M$100000,6,FALSE)</f>
        <v/>
      </c>
      <c r="G956" s="3">
        <f>+VLOOKUP($A956,MAGAZZINO!$B$2:$M$100000,7,FALSE)</f>
        <v/>
      </c>
      <c r="H956" s="3">
        <f>+VLOOKUP($A956,MAGAZZINO!$B$2:$M$100000,8,FALSE)</f>
        <v/>
      </c>
      <c r="I956" s="3">
        <f>+VLOOKUP($A956,MAGAZZINO!$B$2:$M$100000,9,FALSE)</f>
        <v/>
      </c>
      <c r="J956" s="3">
        <f>+VLOOKUP($A956,MAGAZZINO!$B$2:$M$100000,10,FALSE)</f>
        <v/>
      </c>
      <c r="K956" s="3">
        <f>+VLOOKUP($A956,MAGAZZINO!$B$2:$M$100000,11,FALSE)</f>
        <v/>
      </c>
      <c r="L956" s="5">
        <f>+VLOOKUP($A956,MAGAZZINO!$B$2:$M$100000,12,FALSE)</f>
        <v/>
      </c>
      <c r="M956" s="47" t="n"/>
      <c r="N956" s="54" t="n"/>
      <c r="O956" s="3" t="n"/>
      <c r="P956" s="149" t="n"/>
      <c r="Q956" s="150" t="n"/>
      <c r="R956" s="150" t="n"/>
      <c r="S956" s="151" t="n"/>
    </row>
    <row r="957" ht="36" customHeight="1">
      <c r="A957" s="46" t="n">
        <v>3287</v>
      </c>
      <c r="B957" s="4">
        <f>+VLOOKUP($A957,MAGAZZINO!$B$2:$M$100000,2,FALSE)</f>
        <v/>
      </c>
      <c r="C957" s="29">
        <f>+VLOOKUP($A957,MAGAZZINO!$B$2:$M$100000,3,FALSE)</f>
        <v/>
      </c>
      <c r="D957" s="3">
        <f>+VLOOKUP($A957,MAGAZZINO!$B$2:$M$100000,4,FALSE)</f>
        <v/>
      </c>
      <c r="E957" s="3">
        <f>+VLOOKUP($A957,MAGAZZINO!$B$2:$M$100000,5,FALSE)</f>
        <v/>
      </c>
      <c r="F957" s="3">
        <f>+VLOOKUP($A957,MAGAZZINO!$B$2:$M$100000,6,FALSE)</f>
        <v/>
      </c>
      <c r="G957" s="3">
        <f>+VLOOKUP($A957,MAGAZZINO!$B$2:$M$100000,7,FALSE)</f>
        <v/>
      </c>
      <c r="H957" s="3">
        <f>+VLOOKUP($A957,MAGAZZINO!$B$2:$M$100000,8,FALSE)</f>
        <v/>
      </c>
      <c r="I957" s="3">
        <f>+VLOOKUP($A957,MAGAZZINO!$B$2:$M$100000,9,FALSE)</f>
        <v/>
      </c>
      <c r="J957" s="3">
        <f>+VLOOKUP($A957,MAGAZZINO!$B$2:$M$100000,10,FALSE)</f>
        <v/>
      </c>
      <c r="K957" s="3">
        <f>+VLOOKUP($A957,MAGAZZINO!$B$2:$M$100000,11,FALSE)</f>
        <v/>
      </c>
      <c r="L957" s="5">
        <f>+VLOOKUP($A957,MAGAZZINO!$B$2:$M$100000,12,FALSE)</f>
        <v/>
      </c>
      <c r="M957" s="47" t="n"/>
      <c r="N957" s="88" t="n">
        <v>45874</v>
      </c>
      <c r="O957" s="91" t="inlineStr">
        <is>
          <t>PHILIPPOS CONSTANTINIDES TRADING CO. LTD (CIPRO)</t>
        </is>
      </c>
      <c r="P957" s="154" t="inlineStr">
        <is>
          <t xml:space="preserve">IMPORT LICENSE N. 218 DEL 12/08/2020                                                                                         AUT. TRASFERIMENTO N. 6B/2025/3D RILASCIATA IL 28/07/2025   </t>
        </is>
      </c>
      <c r="Q957" s="150" t="n"/>
      <c r="R957" s="150" t="n"/>
      <c r="S957" s="153" t="n"/>
    </row>
    <row r="958" ht="36" customHeight="1">
      <c r="A958" s="46" t="n">
        <v>3288</v>
      </c>
      <c r="B958" s="4">
        <f>+VLOOKUP($A958,MAGAZZINO!$B$2:$M$100000,2,FALSE)</f>
        <v/>
      </c>
      <c r="C958" s="29">
        <f>+VLOOKUP($A958,MAGAZZINO!$B$2:$M$100000,3,FALSE)</f>
        <v/>
      </c>
      <c r="D958" s="3">
        <f>+VLOOKUP($A958,MAGAZZINO!$B$2:$M$100000,4,FALSE)</f>
        <v/>
      </c>
      <c r="E958" s="3">
        <f>+VLOOKUP($A958,MAGAZZINO!$B$2:$M$100000,5,FALSE)</f>
        <v/>
      </c>
      <c r="F958" s="3">
        <f>+VLOOKUP($A958,MAGAZZINO!$B$2:$M$100000,6,FALSE)</f>
        <v/>
      </c>
      <c r="G958" s="3">
        <f>+VLOOKUP($A958,MAGAZZINO!$B$2:$M$100000,7,FALSE)</f>
        <v/>
      </c>
      <c r="H958" s="3">
        <f>+VLOOKUP($A958,MAGAZZINO!$B$2:$M$100000,8,FALSE)</f>
        <v/>
      </c>
      <c r="I958" s="3">
        <f>+VLOOKUP($A958,MAGAZZINO!$B$2:$M$100000,9,FALSE)</f>
        <v/>
      </c>
      <c r="J958" s="3">
        <f>+VLOOKUP($A958,MAGAZZINO!$B$2:$M$100000,10,FALSE)</f>
        <v/>
      </c>
      <c r="K958" s="3">
        <f>+VLOOKUP($A958,MAGAZZINO!$B$2:$M$100000,11,FALSE)</f>
        <v/>
      </c>
      <c r="L958" s="5">
        <f>+VLOOKUP($A958,MAGAZZINO!$B$2:$M$100000,12,FALSE)</f>
        <v/>
      </c>
      <c r="M958" s="47" t="n"/>
      <c r="N958" s="88" t="n">
        <v>45874</v>
      </c>
      <c r="O958" s="91" t="inlineStr">
        <is>
          <t>PHILIPPOS CONSTANTINIDES TRADING CO. LTD (CIPRO)</t>
        </is>
      </c>
      <c r="P958" s="154" t="inlineStr">
        <is>
          <t xml:space="preserve">IMPORT LICENSE N. 218 DEL 12/08/2020                                                                                         AUT. TRASFERIMENTO N. 6B/2025/3D RILASCIATA IL 28/07/2025   </t>
        </is>
      </c>
      <c r="Q958" s="150" t="n"/>
      <c r="R958" s="150" t="n"/>
      <c r="S958" s="153" t="n"/>
    </row>
    <row r="959" ht="36" customHeight="1">
      <c r="A959" s="46" t="n">
        <v>3289</v>
      </c>
      <c r="B959" s="4">
        <f>+VLOOKUP($A959,MAGAZZINO!$B$2:$M$100000,2,FALSE)</f>
        <v/>
      </c>
      <c r="C959" s="29">
        <f>+VLOOKUP($A959,MAGAZZINO!$B$2:$M$100000,3,FALSE)</f>
        <v/>
      </c>
      <c r="D959" s="3">
        <f>+VLOOKUP($A959,MAGAZZINO!$B$2:$M$100000,4,FALSE)</f>
        <v/>
      </c>
      <c r="E959" s="3">
        <f>+VLOOKUP($A959,MAGAZZINO!$B$2:$M$100000,5,FALSE)</f>
        <v/>
      </c>
      <c r="F959" s="3">
        <f>+VLOOKUP($A959,MAGAZZINO!$B$2:$M$100000,6,FALSE)</f>
        <v/>
      </c>
      <c r="G959" s="3">
        <f>+VLOOKUP($A959,MAGAZZINO!$B$2:$M$100000,7,FALSE)</f>
        <v/>
      </c>
      <c r="H959" s="3">
        <f>+VLOOKUP($A959,MAGAZZINO!$B$2:$M$100000,8,FALSE)</f>
        <v/>
      </c>
      <c r="I959" s="3">
        <f>+VLOOKUP($A959,MAGAZZINO!$B$2:$M$100000,9,FALSE)</f>
        <v/>
      </c>
      <c r="J959" s="3">
        <f>+VLOOKUP($A959,MAGAZZINO!$B$2:$M$100000,10,FALSE)</f>
        <v/>
      </c>
      <c r="K959" s="3">
        <f>+VLOOKUP($A959,MAGAZZINO!$B$2:$M$100000,11,FALSE)</f>
        <v/>
      </c>
      <c r="L959" s="5">
        <f>+VLOOKUP($A959,MAGAZZINO!$B$2:$M$100000,12,FALSE)</f>
        <v/>
      </c>
      <c r="M959" s="47" t="n"/>
      <c r="N959" s="88" t="n">
        <v>45874</v>
      </c>
      <c r="O959" s="91" t="inlineStr">
        <is>
          <t>PHILIPPOS CONSTANTINIDES TRADING CO. LTD (CIPRO)</t>
        </is>
      </c>
      <c r="P959" s="154" t="inlineStr">
        <is>
          <t xml:space="preserve">IMPORT LICENSE N. 218 DEL 12/08/2020                                                                                         AUT. TRASFERIMENTO N. 6B/2025/3D RILASCIATA IL 28/07/2025   </t>
        </is>
      </c>
      <c r="Q959" s="150" t="n"/>
      <c r="R959" s="150" t="n"/>
      <c r="S959" s="153" t="n"/>
    </row>
    <row r="960" ht="36" customHeight="1">
      <c r="A960" s="46" t="n">
        <v>3290</v>
      </c>
      <c r="B960" s="4">
        <f>+VLOOKUP($A960,MAGAZZINO!$B$2:$M$100000,2,FALSE)</f>
        <v/>
      </c>
      <c r="C960" s="29">
        <f>+VLOOKUP($A960,MAGAZZINO!$B$2:$M$100000,3,FALSE)</f>
        <v/>
      </c>
      <c r="D960" s="3">
        <f>+VLOOKUP($A960,MAGAZZINO!$B$2:$M$100000,4,FALSE)</f>
        <v/>
      </c>
      <c r="E960" s="3">
        <f>+VLOOKUP($A960,MAGAZZINO!$B$2:$M$100000,5,FALSE)</f>
        <v/>
      </c>
      <c r="F960" s="3">
        <f>+VLOOKUP($A960,MAGAZZINO!$B$2:$M$100000,6,FALSE)</f>
        <v/>
      </c>
      <c r="G960" s="3">
        <f>+VLOOKUP($A960,MAGAZZINO!$B$2:$M$100000,7,FALSE)</f>
        <v/>
      </c>
      <c r="H960" s="3">
        <f>+VLOOKUP($A960,MAGAZZINO!$B$2:$M$100000,8,FALSE)</f>
        <v/>
      </c>
      <c r="I960" s="3">
        <f>+VLOOKUP($A960,MAGAZZINO!$B$2:$M$100000,9,FALSE)</f>
        <v/>
      </c>
      <c r="J960" s="3">
        <f>+VLOOKUP($A960,MAGAZZINO!$B$2:$M$100000,10,FALSE)</f>
        <v/>
      </c>
      <c r="K960" s="3">
        <f>+VLOOKUP($A960,MAGAZZINO!$B$2:$M$100000,11,FALSE)</f>
        <v/>
      </c>
      <c r="L960" s="5">
        <f>+VLOOKUP($A960,MAGAZZINO!$B$2:$M$100000,12,FALSE)</f>
        <v/>
      </c>
      <c r="M960" s="47" t="n"/>
      <c r="N960" s="88" t="n">
        <v>45874</v>
      </c>
      <c r="O960" s="91" t="inlineStr">
        <is>
          <t>PHILIPPOS CONSTANTINIDES TRADING CO. LTD (CIPRO)</t>
        </is>
      </c>
      <c r="P960" s="154" t="inlineStr">
        <is>
          <t xml:space="preserve">IMPORT LICENSE N. 218 DEL 12/08/2020                                                                                         AUT. TRASFERIMENTO N. 6B/2025/3D RILASCIATA IL 28/07/2025   </t>
        </is>
      </c>
      <c r="Q960" s="150" t="n"/>
      <c r="R960" s="150" t="n"/>
      <c r="S960" s="153" t="n"/>
    </row>
    <row r="961" ht="36" customHeight="1">
      <c r="A961" s="46" t="n">
        <v>3291</v>
      </c>
      <c r="B961" s="4">
        <f>+VLOOKUP($A961,MAGAZZINO!$B$2:$M$100000,2,FALSE)</f>
        <v/>
      </c>
      <c r="C961" s="29">
        <f>+VLOOKUP($A961,MAGAZZINO!$B$2:$M$100000,3,FALSE)</f>
        <v/>
      </c>
      <c r="D961" s="3">
        <f>+VLOOKUP($A961,MAGAZZINO!$B$2:$M$100000,4,FALSE)</f>
        <v/>
      </c>
      <c r="E961" s="3">
        <f>+VLOOKUP($A961,MAGAZZINO!$B$2:$M$100000,5,FALSE)</f>
        <v/>
      </c>
      <c r="F961" s="3">
        <f>+VLOOKUP($A961,MAGAZZINO!$B$2:$M$100000,6,FALSE)</f>
        <v/>
      </c>
      <c r="G961" s="3">
        <f>+VLOOKUP($A961,MAGAZZINO!$B$2:$M$100000,7,FALSE)</f>
        <v/>
      </c>
      <c r="H961" s="3">
        <f>+VLOOKUP($A961,MAGAZZINO!$B$2:$M$100000,8,FALSE)</f>
        <v/>
      </c>
      <c r="I961" s="3">
        <f>+VLOOKUP($A961,MAGAZZINO!$B$2:$M$100000,9,FALSE)</f>
        <v/>
      </c>
      <c r="J961" s="3">
        <f>+VLOOKUP($A961,MAGAZZINO!$B$2:$M$100000,10,FALSE)</f>
        <v/>
      </c>
      <c r="K961" s="3">
        <f>+VLOOKUP($A961,MAGAZZINO!$B$2:$M$100000,11,FALSE)</f>
        <v/>
      </c>
      <c r="L961" s="5">
        <f>+VLOOKUP($A961,MAGAZZINO!$B$2:$M$100000,12,FALSE)</f>
        <v/>
      </c>
      <c r="M961" s="47" t="n"/>
      <c r="N961" s="88" t="n">
        <v>45874</v>
      </c>
      <c r="O961" s="91" t="inlineStr">
        <is>
          <t>PHILIPPOS CONSTANTINIDES TRADING CO. LTD (CIPRO)</t>
        </is>
      </c>
      <c r="P961" s="154" t="inlineStr">
        <is>
          <t xml:space="preserve">IMPORT LICENSE N. 218 DEL 12/08/2020                                                                                         AUT. TRASFERIMENTO N. 6B/2025/3D RILASCIATA IL 28/07/2025   </t>
        </is>
      </c>
      <c r="Q961" s="150" t="n"/>
      <c r="R961" s="150" t="n"/>
      <c r="S961" s="153" t="n"/>
    </row>
    <row r="962" ht="36" customHeight="1">
      <c r="A962" s="46" t="n">
        <v>3292</v>
      </c>
      <c r="B962" s="4">
        <f>+VLOOKUP($A962,MAGAZZINO!$B$2:$M$100000,2,FALSE)</f>
        <v/>
      </c>
      <c r="C962" s="29">
        <f>+VLOOKUP($A962,MAGAZZINO!$B$2:$M$100000,3,FALSE)</f>
        <v/>
      </c>
      <c r="D962" s="3">
        <f>+VLOOKUP($A962,MAGAZZINO!$B$2:$M$100000,4,FALSE)</f>
        <v/>
      </c>
      <c r="E962" s="3">
        <f>+VLOOKUP($A962,MAGAZZINO!$B$2:$M$100000,5,FALSE)</f>
        <v/>
      </c>
      <c r="F962" s="3">
        <f>+VLOOKUP($A962,MAGAZZINO!$B$2:$M$100000,6,FALSE)</f>
        <v/>
      </c>
      <c r="G962" s="3">
        <f>+VLOOKUP($A962,MAGAZZINO!$B$2:$M$100000,7,FALSE)</f>
        <v/>
      </c>
      <c r="H962" s="3">
        <f>+VLOOKUP($A962,MAGAZZINO!$B$2:$M$100000,8,FALSE)</f>
        <v/>
      </c>
      <c r="I962" s="3">
        <f>+VLOOKUP($A962,MAGAZZINO!$B$2:$M$100000,9,FALSE)</f>
        <v/>
      </c>
      <c r="J962" s="3">
        <f>+VLOOKUP($A962,MAGAZZINO!$B$2:$M$100000,10,FALSE)</f>
        <v/>
      </c>
      <c r="K962" s="3">
        <f>+VLOOKUP($A962,MAGAZZINO!$B$2:$M$100000,11,FALSE)</f>
        <v/>
      </c>
      <c r="L962" s="5">
        <f>+VLOOKUP($A962,MAGAZZINO!$B$2:$M$100000,12,FALSE)</f>
        <v/>
      </c>
      <c r="M962" s="47" t="n"/>
      <c r="N962" s="88" t="n">
        <v>45874</v>
      </c>
      <c r="O962" s="91" t="inlineStr">
        <is>
          <t>PHILIPPOS CONSTANTINIDES TRADING CO. LTD (CIPRO)</t>
        </is>
      </c>
      <c r="P962" s="154" t="inlineStr">
        <is>
          <t xml:space="preserve">IMPORT LICENSE N. 218 DEL 12/08/2020                                                                                         AUT. TRASFERIMENTO N. 6B/2025/3D RILASCIATA IL 28/07/2025   </t>
        </is>
      </c>
      <c r="Q962" s="150" t="n"/>
      <c r="R962" s="150" t="n"/>
      <c r="S962" s="153" t="n"/>
    </row>
    <row r="963" ht="36" customHeight="1">
      <c r="A963" s="46" t="n">
        <v>3293</v>
      </c>
      <c r="B963" s="4">
        <f>+VLOOKUP($A963,MAGAZZINO!$B$2:$M$100000,2,FALSE)</f>
        <v/>
      </c>
      <c r="C963" s="29">
        <f>+VLOOKUP($A963,MAGAZZINO!$B$2:$M$100000,3,FALSE)</f>
        <v/>
      </c>
      <c r="D963" s="3">
        <f>+VLOOKUP($A963,MAGAZZINO!$B$2:$M$100000,4,FALSE)</f>
        <v/>
      </c>
      <c r="E963" s="3">
        <f>+VLOOKUP($A963,MAGAZZINO!$B$2:$M$100000,5,FALSE)</f>
        <v/>
      </c>
      <c r="F963" s="3">
        <f>+VLOOKUP($A963,MAGAZZINO!$B$2:$M$100000,6,FALSE)</f>
        <v/>
      </c>
      <c r="G963" s="3">
        <f>+VLOOKUP($A963,MAGAZZINO!$B$2:$M$100000,7,FALSE)</f>
        <v/>
      </c>
      <c r="H963" s="3">
        <f>+VLOOKUP($A963,MAGAZZINO!$B$2:$M$100000,8,FALSE)</f>
        <v/>
      </c>
      <c r="I963" s="3">
        <f>+VLOOKUP($A963,MAGAZZINO!$B$2:$M$100000,9,FALSE)</f>
        <v/>
      </c>
      <c r="J963" s="3">
        <f>+VLOOKUP($A963,MAGAZZINO!$B$2:$M$100000,10,FALSE)</f>
        <v/>
      </c>
      <c r="K963" s="3">
        <f>+VLOOKUP($A963,MAGAZZINO!$B$2:$M$100000,11,FALSE)</f>
        <v/>
      </c>
      <c r="L963" s="5">
        <f>+VLOOKUP($A963,MAGAZZINO!$B$2:$M$100000,12,FALSE)</f>
        <v/>
      </c>
      <c r="M963" s="47" t="n"/>
      <c r="N963" s="88" t="n">
        <v>45874</v>
      </c>
      <c r="O963" s="91" t="inlineStr">
        <is>
          <t>PHILIPPOS CONSTANTINIDES TRADING CO. LTD (CIPRO)</t>
        </is>
      </c>
      <c r="P963" s="154" t="inlineStr">
        <is>
          <t xml:space="preserve">IMPORT LICENSE N. 218 DEL 12/08/2020                                                                                         AUT. TRASFERIMENTO N. 6B/2025/3D RILASCIATA IL 28/07/2025   </t>
        </is>
      </c>
      <c r="Q963" s="150" t="n"/>
      <c r="R963" s="150" t="n"/>
      <c r="S963" s="153" t="n"/>
    </row>
    <row r="964" ht="36" customHeight="1">
      <c r="A964" s="46" t="n">
        <v>3294</v>
      </c>
      <c r="B964" s="4">
        <f>+VLOOKUP($A964,MAGAZZINO!$B$2:$M$100000,2,FALSE)</f>
        <v/>
      </c>
      <c r="C964" s="29">
        <f>+VLOOKUP($A964,MAGAZZINO!$B$2:$M$100000,3,FALSE)</f>
        <v/>
      </c>
      <c r="D964" s="3">
        <f>+VLOOKUP($A964,MAGAZZINO!$B$2:$M$100000,4,FALSE)</f>
        <v/>
      </c>
      <c r="E964" s="3">
        <f>+VLOOKUP($A964,MAGAZZINO!$B$2:$M$100000,5,FALSE)</f>
        <v/>
      </c>
      <c r="F964" s="3">
        <f>+VLOOKUP($A964,MAGAZZINO!$B$2:$M$100000,6,FALSE)</f>
        <v/>
      </c>
      <c r="G964" s="3">
        <f>+VLOOKUP($A964,MAGAZZINO!$B$2:$M$100000,7,FALSE)</f>
        <v/>
      </c>
      <c r="H964" s="3">
        <f>+VLOOKUP($A964,MAGAZZINO!$B$2:$M$100000,8,FALSE)</f>
        <v/>
      </c>
      <c r="I964" s="3">
        <f>+VLOOKUP($A964,MAGAZZINO!$B$2:$M$100000,9,FALSE)</f>
        <v/>
      </c>
      <c r="J964" s="3">
        <f>+VLOOKUP($A964,MAGAZZINO!$B$2:$M$100000,10,FALSE)</f>
        <v/>
      </c>
      <c r="K964" s="3">
        <f>+VLOOKUP($A964,MAGAZZINO!$B$2:$M$100000,11,FALSE)</f>
        <v/>
      </c>
      <c r="L964" s="5">
        <f>+VLOOKUP($A964,MAGAZZINO!$B$2:$M$100000,12,FALSE)</f>
        <v/>
      </c>
      <c r="M964" s="47" t="n"/>
      <c r="N964" s="88" t="n">
        <v>45874</v>
      </c>
      <c r="O964" s="91" t="inlineStr">
        <is>
          <t>PHILIPPOS CONSTANTINIDES TRADING CO. LTD (CIPRO)</t>
        </is>
      </c>
      <c r="P964" s="154" t="inlineStr">
        <is>
          <t xml:space="preserve">IMPORT LICENSE N. 218 DEL 12/08/2020                                                                                         AUT. TRASFERIMENTO N. 6B/2025/3D RILASCIATA IL 28/07/2025   </t>
        </is>
      </c>
      <c r="Q964" s="150" t="n"/>
      <c r="R964" s="150" t="n"/>
      <c r="S964" s="153" t="n"/>
    </row>
    <row r="965" ht="36" customHeight="1">
      <c r="A965" s="46" t="n">
        <v>3295</v>
      </c>
      <c r="B965" s="4">
        <f>+VLOOKUP($A965,MAGAZZINO!$B$2:$M$100000,2,FALSE)</f>
        <v/>
      </c>
      <c r="C965" s="29">
        <f>+VLOOKUP($A965,MAGAZZINO!$B$2:$M$100000,3,FALSE)</f>
        <v/>
      </c>
      <c r="D965" s="3">
        <f>+VLOOKUP($A965,MAGAZZINO!$B$2:$M$100000,4,FALSE)</f>
        <v/>
      </c>
      <c r="E965" s="3">
        <f>+VLOOKUP($A965,MAGAZZINO!$B$2:$M$100000,5,FALSE)</f>
        <v/>
      </c>
      <c r="F965" s="3">
        <f>+VLOOKUP($A965,MAGAZZINO!$B$2:$M$100000,6,FALSE)</f>
        <v/>
      </c>
      <c r="G965" s="3">
        <f>+VLOOKUP($A965,MAGAZZINO!$B$2:$M$100000,7,FALSE)</f>
        <v/>
      </c>
      <c r="H965" s="3">
        <f>+VLOOKUP($A965,MAGAZZINO!$B$2:$M$100000,8,FALSE)</f>
        <v/>
      </c>
      <c r="I965" s="3">
        <f>+VLOOKUP($A965,MAGAZZINO!$B$2:$M$100000,9,FALSE)</f>
        <v/>
      </c>
      <c r="J965" s="3">
        <f>+VLOOKUP($A965,MAGAZZINO!$B$2:$M$100000,10,FALSE)</f>
        <v/>
      </c>
      <c r="K965" s="3">
        <f>+VLOOKUP($A965,MAGAZZINO!$B$2:$M$100000,11,FALSE)</f>
        <v/>
      </c>
      <c r="L965" s="5">
        <f>+VLOOKUP($A965,MAGAZZINO!$B$2:$M$100000,12,FALSE)</f>
        <v/>
      </c>
      <c r="M965" s="47" t="n"/>
      <c r="N965" s="88" t="n">
        <v>45874</v>
      </c>
      <c r="O965" s="91" t="inlineStr">
        <is>
          <t>PHILIPPOS CONSTANTINIDES TRADING CO. LTD (CIPRO)</t>
        </is>
      </c>
      <c r="P965" s="154" t="inlineStr">
        <is>
          <t xml:space="preserve">IMPORT LICENSE N. 218 DEL 12/08/2020                                                                                         AUT. TRASFERIMENTO N. 6B/2025/3D RILASCIATA IL 28/07/2025   </t>
        </is>
      </c>
      <c r="Q965" s="150" t="n"/>
      <c r="R965" s="150" t="n"/>
      <c r="S965" s="153" t="n"/>
    </row>
    <row r="966" ht="36" customHeight="1">
      <c r="A966" s="46" t="n">
        <v>3296</v>
      </c>
      <c r="B966" s="4">
        <f>+VLOOKUP($A966,MAGAZZINO!$B$2:$M$100000,2,FALSE)</f>
        <v/>
      </c>
      <c r="C966" s="29">
        <f>+VLOOKUP($A966,MAGAZZINO!$B$2:$M$100000,3,FALSE)</f>
        <v/>
      </c>
      <c r="D966" s="3">
        <f>+VLOOKUP($A966,MAGAZZINO!$B$2:$M$100000,4,FALSE)</f>
        <v/>
      </c>
      <c r="E966" s="3">
        <f>+VLOOKUP($A966,MAGAZZINO!$B$2:$M$100000,5,FALSE)</f>
        <v/>
      </c>
      <c r="F966" s="3">
        <f>+VLOOKUP($A966,MAGAZZINO!$B$2:$M$100000,6,FALSE)</f>
        <v/>
      </c>
      <c r="G966" s="3">
        <f>+VLOOKUP($A966,MAGAZZINO!$B$2:$M$100000,7,FALSE)</f>
        <v/>
      </c>
      <c r="H966" s="3">
        <f>+VLOOKUP($A966,MAGAZZINO!$B$2:$M$100000,8,FALSE)</f>
        <v/>
      </c>
      <c r="I966" s="3">
        <f>+VLOOKUP($A966,MAGAZZINO!$B$2:$M$100000,9,FALSE)</f>
        <v/>
      </c>
      <c r="J966" s="3">
        <f>+VLOOKUP($A966,MAGAZZINO!$B$2:$M$100000,10,FALSE)</f>
        <v/>
      </c>
      <c r="K966" s="3">
        <f>+VLOOKUP($A966,MAGAZZINO!$B$2:$M$100000,11,FALSE)</f>
        <v/>
      </c>
      <c r="L966" s="5">
        <f>+VLOOKUP($A966,MAGAZZINO!$B$2:$M$100000,12,FALSE)</f>
        <v/>
      </c>
      <c r="M966" s="47" t="n"/>
      <c r="N966" s="88" t="n">
        <v>45874</v>
      </c>
      <c r="O966" s="91" t="inlineStr">
        <is>
          <t>PHILIPPOS CONSTANTINIDES TRADING CO. LTD (CIPRO)</t>
        </is>
      </c>
      <c r="P966" s="154" t="inlineStr">
        <is>
          <t xml:space="preserve">IMPORT LICENSE N. 218 DEL 12/08/2020                                                                                         AUT. TRASFERIMENTO N. 6B/2025/3D RILASCIATA IL 28/07/2025   </t>
        </is>
      </c>
      <c r="Q966" s="150" t="n"/>
      <c r="R966" s="150" t="n"/>
      <c r="S966" s="153" t="n"/>
    </row>
    <row r="967" ht="36" customHeight="1">
      <c r="A967" s="46" t="n">
        <v>3297</v>
      </c>
      <c r="B967" s="4">
        <f>+VLOOKUP($A967,MAGAZZINO!$B$2:$M$100000,2,FALSE)</f>
        <v/>
      </c>
      <c r="C967" s="29">
        <f>+VLOOKUP($A967,MAGAZZINO!$B$2:$M$100000,3,FALSE)</f>
        <v/>
      </c>
      <c r="D967" s="3">
        <f>+VLOOKUP($A967,MAGAZZINO!$B$2:$M$100000,4,FALSE)</f>
        <v/>
      </c>
      <c r="E967" s="3">
        <f>+VLOOKUP($A967,MAGAZZINO!$B$2:$M$100000,5,FALSE)</f>
        <v/>
      </c>
      <c r="F967" s="3">
        <f>+VLOOKUP($A967,MAGAZZINO!$B$2:$M$100000,6,FALSE)</f>
        <v/>
      </c>
      <c r="G967" s="3">
        <f>+VLOOKUP($A967,MAGAZZINO!$B$2:$M$100000,7,FALSE)</f>
        <v/>
      </c>
      <c r="H967" s="3">
        <f>+VLOOKUP($A967,MAGAZZINO!$B$2:$M$100000,8,FALSE)</f>
        <v/>
      </c>
      <c r="I967" s="3">
        <f>+VLOOKUP($A967,MAGAZZINO!$B$2:$M$100000,9,FALSE)</f>
        <v/>
      </c>
      <c r="J967" s="3">
        <f>+VLOOKUP($A967,MAGAZZINO!$B$2:$M$100000,10,FALSE)</f>
        <v/>
      </c>
      <c r="K967" s="3">
        <f>+VLOOKUP($A967,MAGAZZINO!$B$2:$M$100000,11,FALSE)</f>
        <v/>
      </c>
      <c r="L967" s="5">
        <f>+VLOOKUP($A967,MAGAZZINO!$B$2:$M$100000,12,FALSE)</f>
        <v/>
      </c>
      <c r="M967" s="47" t="n"/>
      <c r="N967" s="88" t="n">
        <v>45874</v>
      </c>
      <c r="O967" s="91" t="inlineStr">
        <is>
          <t>PHILIPPOS CONSTANTINIDES TRADING CO. LTD (CIPRO)</t>
        </is>
      </c>
      <c r="P967" s="154" t="inlineStr">
        <is>
          <t xml:space="preserve">IMPORT LICENSE N. 218 DEL 12/08/2020                                                                                         AUT. TRASFERIMENTO N. 6B/2025/3D RILASCIATA IL 28/07/2025   </t>
        </is>
      </c>
      <c r="Q967" s="150" t="n"/>
      <c r="R967" s="150" t="n"/>
      <c r="S967" s="153" t="n"/>
    </row>
    <row r="968" ht="36" customHeight="1">
      <c r="A968" s="46" t="n">
        <v>3298</v>
      </c>
      <c r="B968" s="4">
        <f>+VLOOKUP($A968,MAGAZZINO!$B$2:$M$100000,2,FALSE)</f>
        <v/>
      </c>
      <c r="C968" s="29">
        <f>+VLOOKUP($A968,MAGAZZINO!$B$2:$M$100000,3,FALSE)</f>
        <v/>
      </c>
      <c r="D968" s="3">
        <f>+VLOOKUP($A968,MAGAZZINO!$B$2:$M$100000,4,FALSE)</f>
        <v/>
      </c>
      <c r="E968" s="3">
        <f>+VLOOKUP($A968,MAGAZZINO!$B$2:$M$100000,5,FALSE)</f>
        <v/>
      </c>
      <c r="F968" s="3">
        <f>+VLOOKUP($A968,MAGAZZINO!$B$2:$M$100000,6,FALSE)</f>
        <v/>
      </c>
      <c r="G968" s="3">
        <f>+VLOOKUP($A968,MAGAZZINO!$B$2:$M$100000,7,FALSE)</f>
        <v/>
      </c>
      <c r="H968" s="3">
        <f>+VLOOKUP($A968,MAGAZZINO!$B$2:$M$100000,8,FALSE)</f>
        <v/>
      </c>
      <c r="I968" s="3">
        <f>+VLOOKUP($A968,MAGAZZINO!$B$2:$M$100000,9,FALSE)</f>
        <v/>
      </c>
      <c r="J968" s="3">
        <f>+VLOOKUP($A968,MAGAZZINO!$B$2:$M$100000,10,FALSE)</f>
        <v/>
      </c>
      <c r="K968" s="3">
        <f>+VLOOKUP($A968,MAGAZZINO!$B$2:$M$100000,11,FALSE)</f>
        <v/>
      </c>
      <c r="L968" s="5">
        <f>+VLOOKUP($A968,MAGAZZINO!$B$2:$M$100000,12,FALSE)</f>
        <v/>
      </c>
      <c r="M968" s="47" t="n"/>
      <c r="N968" s="88" t="n">
        <v>45874</v>
      </c>
      <c r="O968" s="91" t="inlineStr">
        <is>
          <t>PHILIPPOS CONSTANTINIDES TRADING CO. LTD (CIPRO)</t>
        </is>
      </c>
      <c r="P968" s="154" t="inlineStr">
        <is>
          <t xml:space="preserve">IMPORT LICENSE N. 218 DEL 12/08/2020                                                                                         AUT. TRASFERIMENTO N. 6B/2025/3D RILASCIATA IL 28/07/2025   </t>
        </is>
      </c>
      <c r="Q968" s="150" t="n"/>
      <c r="R968" s="150" t="n"/>
      <c r="S968" s="153" t="n"/>
    </row>
    <row r="969" ht="36" customHeight="1">
      <c r="A969" s="46" t="n">
        <v>3299</v>
      </c>
      <c r="B969" s="4">
        <f>+VLOOKUP($A969,MAGAZZINO!$B$2:$M$100000,2,FALSE)</f>
        <v/>
      </c>
      <c r="C969" s="29">
        <f>+VLOOKUP($A969,MAGAZZINO!$B$2:$M$100000,3,FALSE)</f>
        <v/>
      </c>
      <c r="D969" s="3">
        <f>+VLOOKUP($A969,MAGAZZINO!$B$2:$M$100000,4,FALSE)</f>
        <v/>
      </c>
      <c r="E969" s="3">
        <f>+VLOOKUP($A969,MAGAZZINO!$B$2:$M$100000,5,FALSE)</f>
        <v/>
      </c>
      <c r="F969" s="3">
        <f>+VLOOKUP($A969,MAGAZZINO!$B$2:$M$100000,6,FALSE)</f>
        <v/>
      </c>
      <c r="G969" s="3">
        <f>+VLOOKUP($A969,MAGAZZINO!$B$2:$M$100000,7,FALSE)</f>
        <v/>
      </c>
      <c r="H969" s="3">
        <f>+VLOOKUP($A969,MAGAZZINO!$B$2:$M$100000,8,FALSE)</f>
        <v/>
      </c>
      <c r="I969" s="3">
        <f>+VLOOKUP($A969,MAGAZZINO!$B$2:$M$100000,9,FALSE)</f>
        <v/>
      </c>
      <c r="J969" s="3">
        <f>+VLOOKUP($A969,MAGAZZINO!$B$2:$M$100000,10,FALSE)</f>
        <v/>
      </c>
      <c r="K969" s="3">
        <f>+VLOOKUP($A969,MAGAZZINO!$B$2:$M$100000,11,FALSE)</f>
        <v/>
      </c>
      <c r="L969" s="5">
        <f>+VLOOKUP($A969,MAGAZZINO!$B$2:$M$100000,12,FALSE)</f>
        <v/>
      </c>
      <c r="M969" s="47" t="n"/>
      <c r="N969" s="88" t="n">
        <v>45874</v>
      </c>
      <c r="O969" s="91" t="inlineStr">
        <is>
          <t>PHILIPPOS CONSTANTINIDES TRADING CO. LTD (CIPRO)</t>
        </is>
      </c>
      <c r="P969" s="154" t="inlineStr">
        <is>
          <t xml:space="preserve">IMPORT LICENSE N. 218 DEL 12/08/2020                                                                                         AUT. TRASFERIMENTO N. 6B/2025/3D RILASCIATA IL 28/07/2025   </t>
        </is>
      </c>
      <c r="Q969" s="150" t="n"/>
      <c r="R969" s="150" t="n"/>
      <c r="S969" s="153" t="n"/>
    </row>
    <row r="970" ht="36" customHeight="1">
      <c r="A970" s="46" t="n">
        <v>3300</v>
      </c>
      <c r="B970" s="4">
        <f>+VLOOKUP($A970,MAGAZZINO!$B$2:$M$100000,2,FALSE)</f>
        <v/>
      </c>
      <c r="C970" s="29">
        <f>+VLOOKUP($A970,MAGAZZINO!$B$2:$M$100000,3,FALSE)</f>
        <v/>
      </c>
      <c r="D970" s="3">
        <f>+VLOOKUP($A970,MAGAZZINO!$B$2:$M$100000,4,FALSE)</f>
        <v/>
      </c>
      <c r="E970" s="3">
        <f>+VLOOKUP($A970,MAGAZZINO!$B$2:$M$100000,5,FALSE)</f>
        <v/>
      </c>
      <c r="F970" s="3">
        <f>+VLOOKUP($A970,MAGAZZINO!$B$2:$M$100000,6,FALSE)</f>
        <v/>
      </c>
      <c r="G970" s="3">
        <f>+VLOOKUP($A970,MAGAZZINO!$B$2:$M$100000,7,FALSE)</f>
        <v/>
      </c>
      <c r="H970" s="3">
        <f>+VLOOKUP($A970,MAGAZZINO!$B$2:$M$100000,8,FALSE)</f>
        <v/>
      </c>
      <c r="I970" s="3">
        <f>+VLOOKUP($A970,MAGAZZINO!$B$2:$M$100000,9,FALSE)</f>
        <v/>
      </c>
      <c r="J970" s="3">
        <f>+VLOOKUP($A970,MAGAZZINO!$B$2:$M$100000,10,FALSE)</f>
        <v/>
      </c>
      <c r="K970" s="3">
        <f>+VLOOKUP($A970,MAGAZZINO!$B$2:$M$100000,11,FALSE)</f>
        <v/>
      </c>
      <c r="L970" s="5">
        <f>+VLOOKUP($A970,MAGAZZINO!$B$2:$M$100000,12,FALSE)</f>
        <v/>
      </c>
      <c r="M970" s="47" t="n"/>
      <c r="N970" s="88" t="n">
        <v>45874</v>
      </c>
      <c r="O970" s="91" t="inlineStr">
        <is>
          <t>PHILIPPOS CONSTANTINIDES TRADING CO. LTD (CIPRO)</t>
        </is>
      </c>
      <c r="P970" s="154" t="inlineStr">
        <is>
          <t xml:space="preserve">IMPORT LICENSE N. 218 DEL 12/08/2020                                                                                         AUT. TRASFERIMENTO N. 6B/2025/3D RILASCIATA IL 28/07/2025   </t>
        </is>
      </c>
      <c r="Q970" s="150" t="n"/>
      <c r="R970" s="150" t="n"/>
      <c r="S970" s="153" t="n"/>
    </row>
    <row r="971" ht="36" customHeight="1">
      <c r="A971" s="46" t="n">
        <v>3301</v>
      </c>
      <c r="B971" s="4">
        <f>+VLOOKUP($A971,MAGAZZINO!$B$2:$M$100000,2,FALSE)</f>
        <v/>
      </c>
      <c r="C971" s="29">
        <f>+VLOOKUP($A971,MAGAZZINO!$B$2:$M$100000,3,FALSE)</f>
        <v/>
      </c>
      <c r="D971" s="3">
        <f>+VLOOKUP($A971,MAGAZZINO!$B$2:$M$100000,4,FALSE)</f>
        <v/>
      </c>
      <c r="E971" s="3">
        <f>+VLOOKUP($A971,MAGAZZINO!$B$2:$M$100000,5,FALSE)</f>
        <v/>
      </c>
      <c r="F971" s="3">
        <f>+VLOOKUP($A971,MAGAZZINO!$B$2:$M$100000,6,FALSE)</f>
        <v/>
      </c>
      <c r="G971" s="3">
        <f>+VLOOKUP($A971,MAGAZZINO!$B$2:$M$100000,7,FALSE)</f>
        <v/>
      </c>
      <c r="H971" s="3">
        <f>+VLOOKUP($A971,MAGAZZINO!$B$2:$M$100000,8,FALSE)</f>
        <v/>
      </c>
      <c r="I971" s="3">
        <f>+VLOOKUP($A971,MAGAZZINO!$B$2:$M$100000,9,FALSE)</f>
        <v/>
      </c>
      <c r="J971" s="3">
        <f>+VLOOKUP($A971,MAGAZZINO!$B$2:$M$100000,10,FALSE)</f>
        <v/>
      </c>
      <c r="K971" s="3">
        <f>+VLOOKUP($A971,MAGAZZINO!$B$2:$M$100000,11,FALSE)</f>
        <v/>
      </c>
      <c r="L971" s="5">
        <f>+VLOOKUP($A971,MAGAZZINO!$B$2:$M$100000,12,FALSE)</f>
        <v/>
      </c>
      <c r="M971" s="47" t="n"/>
      <c r="N971" s="88" t="n">
        <v>45874</v>
      </c>
      <c r="O971" s="91" t="inlineStr">
        <is>
          <t>PHILIPPOS CONSTANTINIDES TRADING CO. LTD (CIPRO)</t>
        </is>
      </c>
      <c r="P971" s="154" t="inlineStr">
        <is>
          <t xml:space="preserve">IMPORT LICENSE N. 218 DEL 12/08/2020                                                                                         AUT. TRASFERIMENTO N. 6B/2025/3D RILASCIATA IL 28/07/2025   </t>
        </is>
      </c>
      <c r="Q971" s="150" t="n"/>
      <c r="R971" s="150" t="n"/>
      <c r="S971" s="153" t="n"/>
    </row>
    <row r="972" ht="36" customHeight="1">
      <c r="A972" s="46" t="n">
        <v>3302</v>
      </c>
      <c r="B972" s="4">
        <f>+VLOOKUP($A972,MAGAZZINO!$B$2:$M$100000,2,FALSE)</f>
        <v/>
      </c>
      <c r="C972" s="29">
        <f>+VLOOKUP($A972,MAGAZZINO!$B$2:$M$100000,3,FALSE)</f>
        <v/>
      </c>
      <c r="D972" s="3">
        <f>+VLOOKUP($A972,MAGAZZINO!$B$2:$M$100000,4,FALSE)</f>
        <v/>
      </c>
      <c r="E972" s="3">
        <f>+VLOOKUP($A972,MAGAZZINO!$B$2:$M$100000,5,FALSE)</f>
        <v/>
      </c>
      <c r="F972" s="3">
        <f>+VLOOKUP($A972,MAGAZZINO!$B$2:$M$100000,6,FALSE)</f>
        <v/>
      </c>
      <c r="G972" s="3">
        <f>+VLOOKUP($A972,MAGAZZINO!$B$2:$M$100000,7,FALSE)</f>
        <v/>
      </c>
      <c r="H972" s="3">
        <f>+VLOOKUP($A972,MAGAZZINO!$B$2:$M$100000,8,FALSE)</f>
        <v/>
      </c>
      <c r="I972" s="3">
        <f>+VLOOKUP($A972,MAGAZZINO!$B$2:$M$100000,9,FALSE)</f>
        <v/>
      </c>
      <c r="J972" s="3">
        <f>+VLOOKUP($A972,MAGAZZINO!$B$2:$M$100000,10,FALSE)</f>
        <v/>
      </c>
      <c r="K972" s="3">
        <f>+VLOOKUP($A972,MAGAZZINO!$B$2:$M$100000,11,FALSE)</f>
        <v/>
      </c>
      <c r="L972" s="5">
        <f>+VLOOKUP($A972,MAGAZZINO!$B$2:$M$100000,12,FALSE)</f>
        <v/>
      </c>
      <c r="M972" s="47" t="n"/>
      <c r="N972" s="88" t="n">
        <v>45874</v>
      </c>
      <c r="O972" s="91" t="inlineStr">
        <is>
          <t>PHILIPPOS CONSTANTINIDES TRADING CO. LTD (CIPRO)</t>
        </is>
      </c>
      <c r="P972" s="154" t="inlineStr">
        <is>
          <t xml:space="preserve">IMPORT LICENSE N. 218 DEL 12/08/2020                                                                                         AUT. TRASFERIMENTO N. 6B/2025/3D RILASCIATA IL 28/07/2025   </t>
        </is>
      </c>
      <c r="Q972" s="150" t="n"/>
      <c r="R972" s="150" t="n"/>
      <c r="S972" s="153" t="n"/>
    </row>
    <row r="973" ht="36" customHeight="1">
      <c r="A973" s="46" t="n">
        <v>3303</v>
      </c>
      <c r="B973" s="4">
        <f>+VLOOKUP($A973,MAGAZZINO!$B$2:$M$100000,2,FALSE)</f>
        <v/>
      </c>
      <c r="C973" s="29">
        <f>+VLOOKUP($A973,MAGAZZINO!$B$2:$M$100000,3,FALSE)</f>
        <v/>
      </c>
      <c r="D973" s="3">
        <f>+VLOOKUP($A973,MAGAZZINO!$B$2:$M$100000,4,FALSE)</f>
        <v/>
      </c>
      <c r="E973" s="3">
        <f>+VLOOKUP($A973,MAGAZZINO!$B$2:$M$100000,5,FALSE)</f>
        <v/>
      </c>
      <c r="F973" s="3">
        <f>+VLOOKUP($A973,MAGAZZINO!$B$2:$M$100000,6,FALSE)</f>
        <v/>
      </c>
      <c r="G973" s="3">
        <f>+VLOOKUP($A973,MAGAZZINO!$B$2:$M$100000,7,FALSE)</f>
        <v/>
      </c>
      <c r="H973" s="3">
        <f>+VLOOKUP($A973,MAGAZZINO!$B$2:$M$100000,8,FALSE)</f>
        <v/>
      </c>
      <c r="I973" s="3">
        <f>+VLOOKUP($A973,MAGAZZINO!$B$2:$M$100000,9,FALSE)</f>
        <v/>
      </c>
      <c r="J973" s="3">
        <f>+VLOOKUP($A973,MAGAZZINO!$B$2:$M$100000,10,FALSE)</f>
        <v/>
      </c>
      <c r="K973" s="3">
        <f>+VLOOKUP($A973,MAGAZZINO!$B$2:$M$100000,11,FALSE)</f>
        <v/>
      </c>
      <c r="L973" s="5">
        <f>+VLOOKUP($A973,MAGAZZINO!$B$2:$M$100000,12,FALSE)</f>
        <v/>
      </c>
      <c r="M973" s="47" t="n"/>
      <c r="N973" s="88" t="n">
        <v>45874</v>
      </c>
      <c r="O973" s="91" t="inlineStr">
        <is>
          <t>PHILIPPOS CONSTANTINIDES TRADING CO. LTD (CIPRO)</t>
        </is>
      </c>
      <c r="P973" s="154" t="inlineStr">
        <is>
          <t xml:space="preserve">IMPORT LICENSE N. 218 DEL 12/08/2020                                                                                         AUT. TRASFERIMENTO N. 6B/2025/3D RILASCIATA IL 28/07/2025   </t>
        </is>
      </c>
      <c r="Q973" s="150" t="n"/>
      <c r="R973" s="150" t="n"/>
      <c r="S973" s="153" t="n"/>
    </row>
    <row r="974" ht="36" customHeight="1">
      <c r="A974" s="46" t="n">
        <v>3304</v>
      </c>
      <c r="B974" s="4">
        <f>+VLOOKUP($A974,MAGAZZINO!$B$2:$M$100000,2,FALSE)</f>
        <v/>
      </c>
      <c r="C974" s="29">
        <f>+VLOOKUP($A974,MAGAZZINO!$B$2:$M$100000,3,FALSE)</f>
        <v/>
      </c>
      <c r="D974" s="3">
        <f>+VLOOKUP($A974,MAGAZZINO!$B$2:$M$100000,4,FALSE)</f>
        <v/>
      </c>
      <c r="E974" s="3">
        <f>+VLOOKUP($A974,MAGAZZINO!$B$2:$M$100000,5,FALSE)</f>
        <v/>
      </c>
      <c r="F974" s="3">
        <f>+VLOOKUP($A974,MAGAZZINO!$B$2:$M$100000,6,FALSE)</f>
        <v/>
      </c>
      <c r="G974" s="3">
        <f>+VLOOKUP($A974,MAGAZZINO!$B$2:$M$100000,7,FALSE)</f>
        <v/>
      </c>
      <c r="H974" s="3">
        <f>+VLOOKUP($A974,MAGAZZINO!$B$2:$M$100000,8,FALSE)</f>
        <v/>
      </c>
      <c r="I974" s="3">
        <f>+VLOOKUP($A974,MAGAZZINO!$B$2:$M$100000,9,FALSE)</f>
        <v/>
      </c>
      <c r="J974" s="3">
        <f>+VLOOKUP($A974,MAGAZZINO!$B$2:$M$100000,10,FALSE)</f>
        <v/>
      </c>
      <c r="K974" s="3">
        <f>+VLOOKUP($A974,MAGAZZINO!$B$2:$M$100000,11,FALSE)</f>
        <v/>
      </c>
      <c r="L974" s="5">
        <f>+VLOOKUP($A974,MAGAZZINO!$B$2:$M$100000,12,FALSE)</f>
        <v/>
      </c>
      <c r="M974" s="47" t="n"/>
      <c r="N974" s="88" t="n">
        <v>45874</v>
      </c>
      <c r="O974" s="91" t="inlineStr">
        <is>
          <t>PHILIPPOS CONSTANTINIDES TRADING CO. LTD (CIPRO)</t>
        </is>
      </c>
      <c r="P974" s="154" t="inlineStr">
        <is>
          <t xml:space="preserve">IMPORT LICENSE N. 218 DEL 12/08/2020                                                                                         AUT. TRASFERIMENTO N. 6B/2025/3D RILASCIATA IL 28/07/2025   </t>
        </is>
      </c>
      <c r="Q974" s="150" t="n"/>
      <c r="R974" s="150" t="n"/>
      <c r="S974" s="153" t="n"/>
    </row>
    <row r="975" ht="36" customHeight="1">
      <c r="A975" s="46" t="n">
        <v>3305</v>
      </c>
      <c r="B975" s="4">
        <f>+VLOOKUP($A975,MAGAZZINO!$B$2:$M$100000,2,FALSE)</f>
        <v/>
      </c>
      <c r="C975" s="29">
        <f>+VLOOKUP($A975,MAGAZZINO!$B$2:$M$100000,3,FALSE)</f>
        <v/>
      </c>
      <c r="D975" s="3">
        <f>+VLOOKUP($A975,MAGAZZINO!$B$2:$M$100000,4,FALSE)</f>
        <v/>
      </c>
      <c r="E975" s="3">
        <f>+VLOOKUP($A975,MAGAZZINO!$B$2:$M$100000,5,FALSE)</f>
        <v/>
      </c>
      <c r="F975" s="3">
        <f>+VLOOKUP($A975,MAGAZZINO!$B$2:$M$100000,6,FALSE)</f>
        <v/>
      </c>
      <c r="G975" s="3">
        <f>+VLOOKUP($A975,MAGAZZINO!$B$2:$M$100000,7,FALSE)</f>
        <v/>
      </c>
      <c r="H975" s="3">
        <f>+VLOOKUP($A975,MAGAZZINO!$B$2:$M$100000,8,FALSE)</f>
        <v/>
      </c>
      <c r="I975" s="3">
        <f>+VLOOKUP($A975,MAGAZZINO!$B$2:$M$100000,9,FALSE)</f>
        <v/>
      </c>
      <c r="J975" s="3">
        <f>+VLOOKUP($A975,MAGAZZINO!$B$2:$M$100000,10,FALSE)</f>
        <v/>
      </c>
      <c r="K975" s="3">
        <f>+VLOOKUP($A975,MAGAZZINO!$B$2:$M$100000,11,FALSE)</f>
        <v/>
      </c>
      <c r="L975" s="5">
        <f>+VLOOKUP($A975,MAGAZZINO!$B$2:$M$100000,12,FALSE)</f>
        <v/>
      </c>
      <c r="M975" s="47" t="n"/>
      <c r="N975" s="88" t="n">
        <v>45874</v>
      </c>
      <c r="O975" s="91" t="inlineStr">
        <is>
          <t>PHILIPPOS CONSTANTINIDES TRADING CO. LTD (CIPRO)</t>
        </is>
      </c>
      <c r="P975" s="154" t="inlineStr">
        <is>
          <t xml:space="preserve">IMPORT LICENSE N. 218 DEL 12/08/2020                                                                                         AUT. TRASFERIMENTO N. 6B/2025/3D RILASCIATA IL 28/07/2025   </t>
        </is>
      </c>
      <c r="Q975" s="150" t="n"/>
      <c r="R975" s="150" t="n"/>
      <c r="S975" s="153" t="n"/>
    </row>
    <row r="976" ht="36" customHeight="1">
      <c r="A976" s="46" t="n">
        <v>3306</v>
      </c>
      <c r="B976" s="4">
        <f>+VLOOKUP($A976,MAGAZZINO!$B$2:$M$100000,2,FALSE)</f>
        <v/>
      </c>
      <c r="C976" s="29">
        <f>+VLOOKUP($A976,MAGAZZINO!$B$2:$M$100000,3,FALSE)</f>
        <v/>
      </c>
      <c r="D976" s="3">
        <f>+VLOOKUP($A976,MAGAZZINO!$B$2:$M$100000,4,FALSE)</f>
        <v/>
      </c>
      <c r="E976" s="3">
        <f>+VLOOKUP($A976,MAGAZZINO!$B$2:$M$100000,5,FALSE)</f>
        <v/>
      </c>
      <c r="F976" s="3">
        <f>+VLOOKUP($A976,MAGAZZINO!$B$2:$M$100000,6,FALSE)</f>
        <v/>
      </c>
      <c r="G976" s="3">
        <f>+VLOOKUP($A976,MAGAZZINO!$B$2:$M$100000,7,FALSE)</f>
        <v/>
      </c>
      <c r="H976" s="3">
        <f>+VLOOKUP($A976,MAGAZZINO!$B$2:$M$100000,8,FALSE)</f>
        <v/>
      </c>
      <c r="I976" s="3">
        <f>+VLOOKUP($A976,MAGAZZINO!$B$2:$M$100000,9,FALSE)</f>
        <v/>
      </c>
      <c r="J976" s="3">
        <f>+VLOOKUP($A976,MAGAZZINO!$B$2:$M$100000,10,FALSE)</f>
        <v/>
      </c>
      <c r="K976" s="3">
        <f>+VLOOKUP($A976,MAGAZZINO!$B$2:$M$100000,11,FALSE)</f>
        <v/>
      </c>
      <c r="L976" s="5">
        <f>+VLOOKUP($A976,MAGAZZINO!$B$2:$M$100000,12,FALSE)</f>
        <v/>
      </c>
      <c r="M976" s="47" t="n"/>
      <c r="N976" s="88" t="n">
        <v>45874</v>
      </c>
      <c r="O976" s="91" t="inlineStr">
        <is>
          <t>PHILIPPOS CONSTANTINIDES TRADING CO. LTD (CIPRO)</t>
        </is>
      </c>
      <c r="P976" s="154" t="inlineStr">
        <is>
          <t xml:space="preserve">IMPORT LICENSE N. 218 DEL 12/08/2020                                                                                         AUT. TRASFERIMENTO N. 6B/2025/3D RILASCIATA IL 28/07/2025   </t>
        </is>
      </c>
      <c r="Q976" s="150" t="n"/>
      <c r="R976" s="150" t="n"/>
      <c r="S976" s="153" t="n"/>
    </row>
    <row r="977" ht="36" customHeight="1">
      <c r="A977" s="46" t="n">
        <v>3307</v>
      </c>
      <c r="B977" s="4">
        <f>+VLOOKUP($A977,MAGAZZINO!$B$2:$M$100000,2,FALSE)</f>
        <v/>
      </c>
      <c r="C977" s="29">
        <f>+VLOOKUP($A977,MAGAZZINO!$B$2:$M$100000,3,FALSE)</f>
        <v/>
      </c>
      <c r="D977" s="3">
        <f>+VLOOKUP($A977,MAGAZZINO!$B$2:$M$100000,4,FALSE)</f>
        <v/>
      </c>
      <c r="E977" s="3">
        <f>+VLOOKUP($A977,MAGAZZINO!$B$2:$M$100000,5,FALSE)</f>
        <v/>
      </c>
      <c r="F977" s="3">
        <f>+VLOOKUP($A977,MAGAZZINO!$B$2:$M$100000,6,FALSE)</f>
        <v/>
      </c>
      <c r="G977" s="3">
        <f>+VLOOKUP($A977,MAGAZZINO!$B$2:$M$100000,7,FALSE)</f>
        <v/>
      </c>
      <c r="H977" s="3">
        <f>+VLOOKUP($A977,MAGAZZINO!$B$2:$M$100000,8,FALSE)</f>
        <v/>
      </c>
      <c r="I977" s="3">
        <f>+VLOOKUP($A977,MAGAZZINO!$B$2:$M$100000,9,FALSE)</f>
        <v/>
      </c>
      <c r="J977" s="3">
        <f>+VLOOKUP($A977,MAGAZZINO!$B$2:$M$100000,10,FALSE)</f>
        <v/>
      </c>
      <c r="K977" s="3">
        <f>+VLOOKUP($A977,MAGAZZINO!$B$2:$M$100000,11,FALSE)</f>
        <v/>
      </c>
      <c r="L977" s="5">
        <f>+VLOOKUP($A977,MAGAZZINO!$B$2:$M$100000,12,FALSE)</f>
        <v/>
      </c>
      <c r="M977" s="47" t="n"/>
      <c r="N977" s="88" t="n">
        <v>45874</v>
      </c>
      <c r="O977" s="91" t="inlineStr">
        <is>
          <t>PHILIPPOS CONSTANTINIDES TRADING CO. LTD (CIPRO)</t>
        </is>
      </c>
      <c r="P977" s="154" t="inlineStr">
        <is>
          <t xml:space="preserve">IMPORT LICENSE N. 218 DEL 12/08/2020                                                                                         AUT. TRASFERIMENTO N. 6B/2025/3D RILASCIATA IL 28/07/2025   </t>
        </is>
      </c>
      <c r="Q977" s="150" t="n"/>
      <c r="R977" s="150" t="n"/>
      <c r="S977" s="153" t="n"/>
    </row>
    <row r="978" ht="36" customHeight="1">
      <c r="A978" s="46" t="n">
        <v>3308</v>
      </c>
      <c r="B978" s="4">
        <f>+VLOOKUP($A978,MAGAZZINO!$B$2:$M$100000,2,FALSE)</f>
        <v/>
      </c>
      <c r="C978" s="29">
        <f>+VLOOKUP($A978,MAGAZZINO!$B$2:$M$100000,3,FALSE)</f>
        <v/>
      </c>
      <c r="D978" s="3">
        <f>+VLOOKUP($A978,MAGAZZINO!$B$2:$M$100000,4,FALSE)</f>
        <v/>
      </c>
      <c r="E978" s="3">
        <f>+VLOOKUP($A978,MAGAZZINO!$B$2:$M$100000,5,FALSE)</f>
        <v/>
      </c>
      <c r="F978" s="3">
        <f>+VLOOKUP($A978,MAGAZZINO!$B$2:$M$100000,6,FALSE)</f>
        <v/>
      </c>
      <c r="G978" s="3">
        <f>+VLOOKUP($A978,MAGAZZINO!$B$2:$M$100000,7,FALSE)</f>
        <v/>
      </c>
      <c r="H978" s="3">
        <f>+VLOOKUP($A978,MAGAZZINO!$B$2:$M$100000,8,FALSE)</f>
        <v/>
      </c>
      <c r="I978" s="3">
        <f>+VLOOKUP($A978,MAGAZZINO!$B$2:$M$100000,9,FALSE)</f>
        <v/>
      </c>
      <c r="J978" s="3">
        <f>+VLOOKUP($A978,MAGAZZINO!$B$2:$M$100000,10,FALSE)</f>
        <v/>
      </c>
      <c r="K978" s="3">
        <f>+VLOOKUP($A978,MAGAZZINO!$B$2:$M$100000,11,FALSE)</f>
        <v/>
      </c>
      <c r="L978" s="5">
        <f>+VLOOKUP($A978,MAGAZZINO!$B$2:$M$100000,12,FALSE)</f>
        <v/>
      </c>
      <c r="M978" s="47" t="n"/>
      <c r="N978" s="88" t="n">
        <v>45874</v>
      </c>
      <c r="O978" s="91" t="inlineStr">
        <is>
          <t>PHILIPPOS CONSTANTINIDES TRADING CO. LTD (CIPRO)</t>
        </is>
      </c>
      <c r="P978" s="154" t="inlineStr">
        <is>
          <t xml:space="preserve">IMPORT LICENSE N. 218 DEL 12/08/2020                                                                                         AUT. TRASFERIMENTO N. 6B/2025/3D RILASCIATA IL 28/07/2025   </t>
        </is>
      </c>
      <c r="Q978" s="150" t="n"/>
      <c r="R978" s="150" t="n"/>
      <c r="S978" s="153" t="n"/>
    </row>
    <row r="979" ht="36" customHeight="1">
      <c r="A979" s="46" t="n">
        <v>3309</v>
      </c>
      <c r="B979" s="4">
        <f>+VLOOKUP($A979,MAGAZZINO!$B$2:$M$100000,2,FALSE)</f>
        <v/>
      </c>
      <c r="C979" s="29">
        <f>+VLOOKUP($A979,MAGAZZINO!$B$2:$M$100000,3,FALSE)</f>
        <v/>
      </c>
      <c r="D979" s="3">
        <f>+VLOOKUP($A979,MAGAZZINO!$B$2:$M$100000,4,FALSE)</f>
        <v/>
      </c>
      <c r="E979" s="3">
        <f>+VLOOKUP($A979,MAGAZZINO!$B$2:$M$100000,5,FALSE)</f>
        <v/>
      </c>
      <c r="F979" s="3">
        <f>+VLOOKUP($A979,MAGAZZINO!$B$2:$M$100000,6,FALSE)</f>
        <v/>
      </c>
      <c r="G979" s="3">
        <f>+VLOOKUP($A979,MAGAZZINO!$B$2:$M$100000,7,FALSE)</f>
        <v/>
      </c>
      <c r="H979" s="3">
        <f>+VLOOKUP($A979,MAGAZZINO!$B$2:$M$100000,8,FALSE)</f>
        <v/>
      </c>
      <c r="I979" s="3">
        <f>+VLOOKUP($A979,MAGAZZINO!$B$2:$M$100000,9,FALSE)</f>
        <v/>
      </c>
      <c r="J979" s="3">
        <f>+VLOOKUP($A979,MAGAZZINO!$B$2:$M$100000,10,FALSE)</f>
        <v/>
      </c>
      <c r="K979" s="3">
        <f>+VLOOKUP($A979,MAGAZZINO!$B$2:$M$100000,11,FALSE)</f>
        <v/>
      </c>
      <c r="L979" s="5">
        <f>+VLOOKUP($A979,MAGAZZINO!$B$2:$M$100000,12,FALSE)</f>
        <v/>
      </c>
      <c r="M979" s="47" t="n"/>
      <c r="N979" s="88" t="n">
        <v>45874</v>
      </c>
      <c r="O979" s="91" t="inlineStr">
        <is>
          <t>PHILIPPOS CONSTANTINIDES TRADING CO. LTD (CIPRO)</t>
        </is>
      </c>
      <c r="P979" s="154" t="inlineStr">
        <is>
          <t xml:space="preserve">IMPORT LICENSE N. 218 DEL 12/08/2020                                                                                         AUT. TRASFERIMENTO N. 6B/2025/3D RILASCIATA IL 28/07/2025   </t>
        </is>
      </c>
      <c r="Q979" s="150" t="n"/>
      <c r="R979" s="150" t="n"/>
      <c r="S979" s="153" t="n"/>
    </row>
    <row r="980" ht="36" customHeight="1">
      <c r="A980" s="46" t="n">
        <v>3310</v>
      </c>
      <c r="B980" s="4">
        <f>+VLOOKUP($A980,MAGAZZINO!$B$2:$M$100000,2,FALSE)</f>
        <v/>
      </c>
      <c r="C980" s="29">
        <f>+VLOOKUP($A980,MAGAZZINO!$B$2:$M$100000,3,FALSE)</f>
        <v/>
      </c>
      <c r="D980" s="3">
        <f>+VLOOKUP($A980,MAGAZZINO!$B$2:$M$100000,4,FALSE)</f>
        <v/>
      </c>
      <c r="E980" s="3">
        <f>+VLOOKUP($A980,MAGAZZINO!$B$2:$M$100000,5,FALSE)</f>
        <v/>
      </c>
      <c r="F980" s="3">
        <f>+VLOOKUP($A980,MAGAZZINO!$B$2:$M$100000,6,FALSE)</f>
        <v/>
      </c>
      <c r="G980" s="3">
        <f>+VLOOKUP($A980,MAGAZZINO!$B$2:$M$100000,7,FALSE)</f>
        <v/>
      </c>
      <c r="H980" s="3">
        <f>+VLOOKUP($A980,MAGAZZINO!$B$2:$M$100000,8,FALSE)</f>
        <v/>
      </c>
      <c r="I980" s="3">
        <f>+VLOOKUP($A980,MAGAZZINO!$B$2:$M$100000,9,FALSE)</f>
        <v/>
      </c>
      <c r="J980" s="3">
        <f>+VLOOKUP($A980,MAGAZZINO!$B$2:$M$100000,10,FALSE)</f>
        <v/>
      </c>
      <c r="K980" s="3">
        <f>+VLOOKUP($A980,MAGAZZINO!$B$2:$M$100000,11,FALSE)</f>
        <v/>
      </c>
      <c r="L980" s="5">
        <f>+VLOOKUP($A980,MAGAZZINO!$B$2:$M$100000,12,FALSE)</f>
        <v/>
      </c>
      <c r="M980" s="47" t="n"/>
      <c r="N980" s="88" t="n">
        <v>45874</v>
      </c>
      <c r="O980" s="91" t="inlineStr">
        <is>
          <t>PHILIPPOS CONSTANTINIDES TRADING CO. LTD (CIPRO)</t>
        </is>
      </c>
      <c r="P980" s="154" t="inlineStr">
        <is>
          <t xml:space="preserve">IMPORT LICENSE N. 218 DEL 12/08/2020                                                                                         AUT. TRASFERIMENTO N. 6B/2025/3D RILASCIATA IL 28/07/2025   </t>
        </is>
      </c>
      <c r="Q980" s="150" t="n"/>
      <c r="R980" s="150" t="n"/>
      <c r="S980" s="153" t="n"/>
    </row>
    <row r="981" ht="36" customHeight="1">
      <c r="A981" s="46" t="n">
        <v>3311</v>
      </c>
      <c r="B981" s="4">
        <f>+VLOOKUP($A981,MAGAZZINO!$B$2:$M$100000,2,FALSE)</f>
        <v/>
      </c>
      <c r="C981" s="29">
        <f>+VLOOKUP($A981,MAGAZZINO!$B$2:$M$100000,3,FALSE)</f>
        <v/>
      </c>
      <c r="D981" s="3">
        <f>+VLOOKUP($A981,MAGAZZINO!$B$2:$M$100000,4,FALSE)</f>
        <v/>
      </c>
      <c r="E981" s="3">
        <f>+VLOOKUP($A981,MAGAZZINO!$B$2:$M$100000,5,FALSE)</f>
        <v/>
      </c>
      <c r="F981" s="3">
        <f>+VLOOKUP($A981,MAGAZZINO!$B$2:$M$100000,6,FALSE)</f>
        <v/>
      </c>
      <c r="G981" s="3">
        <f>+VLOOKUP($A981,MAGAZZINO!$B$2:$M$100000,7,FALSE)</f>
        <v/>
      </c>
      <c r="H981" s="3">
        <f>+VLOOKUP($A981,MAGAZZINO!$B$2:$M$100000,8,FALSE)</f>
        <v/>
      </c>
      <c r="I981" s="3">
        <f>+VLOOKUP($A981,MAGAZZINO!$B$2:$M$100000,9,FALSE)</f>
        <v/>
      </c>
      <c r="J981" s="3">
        <f>+VLOOKUP($A981,MAGAZZINO!$B$2:$M$100000,10,FALSE)</f>
        <v/>
      </c>
      <c r="K981" s="3">
        <f>+VLOOKUP($A981,MAGAZZINO!$B$2:$M$100000,11,FALSE)</f>
        <v/>
      </c>
      <c r="L981" s="5">
        <f>+VLOOKUP($A981,MAGAZZINO!$B$2:$M$100000,12,FALSE)</f>
        <v/>
      </c>
      <c r="M981" s="47" t="n"/>
      <c r="N981" s="88" t="n">
        <v>45874</v>
      </c>
      <c r="O981" s="91" t="inlineStr">
        <is>
          <t>PHILIPPOS CONSTANTINIDES TRADING CO. LTD (CIPRO)</t>
        </is>
      </c>
      <c r="P981" s="154" t="inlineStr">
        <is>
          <t xml:space="preserve">IMPORT LICENSE N. 218 DEL 12/08/2020                                                                                         AUT. TRASFERIMENTO N. 6B/2025/3D RILASCIATA IL 28/07/2025   </t>
        </is>
      </c>
      <c r="Q981" s="150" t="n"/>
      <c r="R981" s="150" t="n"/>
      <c r="S981" s="153" t="n"/>
    </row>
    <row r="982" ht="36" customHeight="1">
      <c r="A982" s="46" t="n">
        <v>3312</v>
      </c>
      <c r="B982" s="4">
        <f>+VLOOKUP($A982,MAGAZZINO!$B$2:$M$100000,2,FALSE)</f>
        <v/>
      </c>
      <c r="C982" s="29">
        <f>+VLOOKUP($A982,MAGAZZINO!$B$2:$M$100000,3,FALSE)</f>
        <v/>
      </c>
      <c r="D982" s="3">
        <f>+VLOOKUP($A982,MAGAZZINO!$B$2:$M$100000,4,FALSE)</f>
        <v/>
      </c>
      <c r="E982" s="3">
        <f>+VLOOKUP($A982,MAGAZZINO!$B$2:$M$100000,5,FALSE)</f>
        <v/>
      </c>
      <c r="F982" s="3">
        <f>+VLOOKUP($A982,MAGAZZINO!$B$2:$M$100000,6,FALSE)</f>
        <v/>
      </c>
      <c r="G982" s="3">
        <f>+VLOOKUP($A982,MAGAZZINO!$B$2:$M$100000,7,FALSE)</f>
        <v/>
      </c>
      <c r="H982" s="3">
        <f>+VLOOKUP($A982,MAGAZZINO!$B$2:$M$100000,8,FALSE)</f>
        <v/>
      </c>
      <c r="I982" s="3">
        <f>+VLOOKUP($A982,MAGAZZINO!$B$2:$M$100000,9,FALSE)</f>
        <v/>
      </c>
      <c r="J982" s="3">
        <f>+VLOOKUP($A982,MAGAZZINO!$B$2:$M$100000,10,FALSE)</f>
        <v/>
      </c>
      <c r="K982" s="3">
        <f>+VLOOKUP($A982,MAGAZZINO!$B$2:$M$100000,11,FALSE)</f>
        <v/>
      </c>
      <c r="L982" s="5">
        <f>+VLOOKUP($A982,MAGAZZINO!$B$2:$M$100000,12,FALSE)</f>
        <v/>
      </c>
      <c r="M982" s="47" t="n"/>
      <c r="N982" s="88" t="n">
        <v>45874</v>
      </c>
      <c r="O982" s="91" t="inlineStr">
        <is>
          <t>PHILIPPOS CONSTANTINIDES TRADING CO. LTD (CIPRO)</t>
        </is>
      </c>
      <c r="P982" s="154" t="inlineStr">
        <is>
          <t xml:space="preserve">IMPORT LICENSE N. 218 DEL 12/08/2020                                                                                         AUT. TRASFERIMENTO N. 6B/2025/3D RILASCIATA IL 28/07/2025   </t>
        </is>
      </c>
      <c r="Q982" s="150" t="n"/>
      <c r="R982" s="150" t="n"/>
      <c r="S982" s="153" t="n"/>
    </row>
    <row r="983" ht="36" customHeight="1">
      <c r="A983" s="46" t="n">
        <v>3313</v>
      </c>
      <c r="B983" s="4">
        <f>+VLOOKUP($A983,MAGAZZINO!$B$2:$M$100000,2,FALSE)</f>
        <v/>
      </c>
      <c r="C983" s="29">
        <f>+VLOOKUP($A983,MAGAZZINO!$B$2:$M$100000,3,FALSE)</f>
        <v/>
      </c>
      <c r="D983" s="3">
        <f>+VLOOKUP($A983,MAGAZZINO!$B$2:$M$100000,4,FALSE)</f>
        <v/>
      </c>
      <c r="E983" s="3">
        <f>+VLOOKUP($A983,MAGAZZINO!$B$2:$M$100000,5,FALSE)</f>
        <v/>
      </c>
      <c r="F983" s="3">
        <f>+VLOOKUP($A983,MAGAZZINO!$B$2:$M$100000,6,FALSE)</f>
        <v/>
      </c>
      <c r="G983" s="3">
        <f>+VLOOKUP($A983,MAGAZZINO!$B$2:$M$100000,7,FALSE)</f>
        <v/>
      </c>
      <c r="H983" s="3">
        <f>+VLOOKUP($A983,MAGAZZINO!$B$2:$M$100000,8,FALSE)</f>
        <v/>
      </c>
      <c r="I983" s="3">
        <f>+VLOOKUP($A983,MAGAZZINO!$B$2:$M$100000,9,FALSE)</f>
        <v/>
      </c>
      <c r="J983" s="3">
        <f>+VLOOKUP($A983,MAGAZZINO!$B$2:$M$100000,10,FALSE)</f>
        <v/>
      </c>
      <c r="K983" s="3">
        <f>+VLOOKUP($A983,MAGAZZINO!$B$2:$M$100000,11,FALSE)</f>
        <v/>
      </c>
      <c r="L983" s="5">
        <f>+VLOOKUP($A983,MAGAZZINO!$B$2:$M$100000,12,FALSE)</f>
        <v/>
      </c>
      <c r="M983" s="47" t="n"/>
      <c r="N983" s="88" t="n">
        <v>45874</v>
      </c>
      <c r="O983" s="91" t="inlineStr">
        <is>
          <t>PHILIPPOS CONSTANTINIDES TRADING CO. LTD (CIPRO)</t>
        </is>
      </c>
      <c r="P983" s="154" t="inlineStr">
        <is>
          <t xml:space="preserve">IMPORT LICENSE N. 218 DEL 12/08/2020                                                                                         AUT. TRASFERIMENTO N. 6B/2025/3D RILASCIATA IL 28/07/2025   </t>
        </is>
      </c>
      <c r="Q983" s="150" t="n"/>
      <c r="R983" s="150" t="n"/>
      <c r="S983" s="153" t="n"/>
    </row>
    <row r="984" ht="36" customHeight="1">
      <c r="A984" s="46" t="n">
        <v>3314</v>
      </c>
      <c r="B984" s="4">
        <f>+VLOOKUP($A984,MAGAZZINO!$B$2:$M$100000,2,FALSE)</f>
        <v/>
      </c>
      <c r="C984" s="29">
        <f>+VLOOKUP($A984,MAGAZZINO!$B$2:$M$100000,3,FALSE)</f>
        <v/>
      </c>
      <c r="D984" s="3">
        <f>+VLOOKUP($A984,MAGAZZINO!$B$2:$M$100000,4,FALSE)</f>
        <v/>
      </c>
      <c r="E984" s="3">
        <f>+VLOOKUP($A984,MAGAZZINO!$B$2:$M$100000,5,FALSE)</f>
        <v/>
      </c>
      <c r="F984" s="3">
        <f>+VLOOKUP($A984,MAGAZZINO!$B$2:$M$100000,6,FALSE)</f>
        <v/>
      </c>
      <c r="G984" s="3">
        <f>+VLOOKUP($A984,MAGAZZINO!$B$2:$M$100000,7,FALSE)</f>
        <v/>
      </c>
      <c r="H984" s="3">
        <f>+VLOOKUP($A984,MAGAZZINO!$B$2:$M$100000,8,FALSE)</f>
        <v/>
      </c>
      <c r="I984" s="3">
        <f>+VLOOKUP($A984,MAGAZZINO!$B$2:$M$100000,9,FALSE)</f>
        <v/>
      </c>
      <c r="J984" s="3">
        <f>+VLOOKUP($A984,MAGAZZINO!$B$2:$M$100000,10,FALSE)</f>
        <v/>
      </c>
      <c r="K984" s="3">
        <f>+VLOOKUP($A984,MAGAZZINO!$B$2:$M$100000,11,FALSE)</f>
        <v/>
      </c>
      <c r="L984" s="5">
        <f>+VLOOKUP($A984,MAGAZZINO!$B$2:$M$100000,12,FALSE)</f>
        <v/>
      </c>
      <c r="M984" s="47" t="n"/>
      <c r="N984" s="88" t="n">
        <v>45874</v>
      </c>
      <c r="O984" s="91" t="inlineStr">
        <is>
          <t>PHILIPPOS CONSTANTINIDES TRADING CO. LTD (CIPRO)</t>
        </is>
      </c>
      <c r="P984" s="154" t="inlineStr">
        <is>
          <t xml:space="preserve">IMPORT LICENSE N. 218 DEL 12/08/2020                                                                                         AUT. TRASFERIMENTO N. 6B/2025/3D RILASCIATA IL 28/07/2025   </t>
        </is>
      </c>
      <c r="Q984" s="150" t="n"/>
      <c r="R984" s="150" t="n"/>
      <c r="S984" s="153" t="n"/>
    </row>
    <row r="985" ht="36" customHeight="1">
      <c r="A985" s="46" t="n">
        <v>3315</v>
      </c>
      <c r="B985" s="4">
        <f>+VLOOKUP($A985,MAGAZZINO!$B$2:$M$100000,2,FALSE)</f>
        <v/>
      </c>
      <c r="C985" s="29">
        <f>+VLOOKUP($A985,MAGAZZINO!$B$2:$M$100000,3,FALSE)</f>
        <v/>
      </c>
      <c r="D985" s="3">
        <f>+VLOOKUP($A985,MAGAZZINO!$B$2:$M$100000,4,FALSE)</f>
        <v/>
      </c>
      <c r="E985" s="3">
        <f>+VLOOKUP($A985,MAGAZZINO!$B$2:$M$100000,5,FALSE)</f>
        <v/>
      </c>
      <c r="F985" s="3">
        <f>+VLOOKUP($A985,MAGAZZINO!$B$2:$M$100000,6,FALSE)</f>
        <v/>
      </c>
      <c r="G985" s="3">
        <f>+VLOOKUP($A985,MAGAZZINO!$B$2:$M$100000,7,FALSE)</f>
        <v/>
      </c>
      <c r="H985" s="3">
        <f>+VLOOKUP($A985,MAGAZZINO!$B$2:$M$100000,8,FALSE)</f>
        <v/>
      </c>
      <c r="I985" s="3">
        <f>+VLOOKUP($A985,MAGAZZINO!$B$2:$M$100000,9,FALSE)</f>
        <v/>
      </c>
      <c r="J985" s="3">
        <f>+VLOOKUP($A985,MAGAZZINO!$B$2:$M$100000,10,FALSE)</f>
        <v/>
      </c>
      <c r="K985" s="3">
        <f>+VLOOKUP($A985,MAGAZZINO!$B$2:$M$100000,11,FALSE)</f>
        <v/>
      </c>
      <c r="L985" s="5">
        <f>+VLOOKUP($A985,MAGAZZINO!$B$2:$M$100000,12,FALSE)</f>
        <v/>
      </c>
      <c r="M985" s="47" t="n"/>
      <c r="N985" s="88" t="n">
        <v>45874</v>
      </c>
      <c r="O985" s="91" t="inlineStr">
        <is>
          <t>PHILIPPOS CONSTANTINIDES TRADING CO. LTD (CIPRO)</t>
        </is>
      </c>
      <c r="P985" s="154" t="inlineStr">
        <is>
          <t xml:space="preserve">IMPORT LICENSE N. 218 DEL 12/08/2020                                                                                         AUT. TRASFERIMENTO N. 6B/2025/3D RILASCIATA IL 28/07/2025   </t>
        </is>
      </c>
      <c r="Q985" s="150" t="n"/>
      <c r="R985" s="150" t="n"/>
      <c r="S985" s="153" t="n"/>
    </row>
    <row r="986" ht="36" customHeight="1">
      <c r="A986" s="46" t="n">
        <v>3316</v>
      </c>
      <c r="B986" s="4">
        <f>+VLOOKUP($A986,MAGAZZINO!$B$2:$M$100000,2,FALSE)</f>
        <v/>
      </c>
      <c r="C986" s="29">
        <f>+VLOOKUP($A986,MAGAZZINO!$B$2:$M$100000,3,FALSE)</f>
        <v/>
      </c>
      <c r="D986" s="3">
        <f>+VLOOKUP($A986,MAGAZZINO!$B$2:$M$100000,4,FALSE)</f>
        <v/>
      </c>
      <c r="E986" s="3">
        <f>+VLOOKUP($A986,MAGAZZINO!$B$2:$M$100000,5,FALSE)</f>
        <v/>
      </c>
      <c r="F986" s="3">
        <f>+VLOOKUP($A986,MAGAZZINO!$B$2:$M$100000,6,FALSE)</f>
        <v/>
      </c>
      <c r="G986" s="3">
        <f>+VLOOKUP($A986,MAGAZZINO!$B$2:$M$100000,7,FALSE)</f>
        <v/>
      </c>
      <c r="H986" s="3">
        <f>+VLOOKUP($A986,MAGAZZINO!$B$2:$M$100000,8,FALSE)</f>
        <v/>
      </c>
      <c r="I986" s="3">
        <f>+VLOOKUP($A986,MAGAZZINO!$B$2:$M$100000,9,FALSE)</f>
        <v/>
      </c>
      <c r="J986" s="3">
        <f>+VLOOKUP($A986,MAGAZZINO!$B$2:$M$100000,10,FALSE)</f>
        <v/>
      </c>
      <c r="K986" s="3">
        <f>+VLOOKUP($A986,MAGAZZINO!$B$2:$M$100000,11,FALSE)</f>
        <v/>
      </c>
      <c r="L986" s="5">
        <f>+VLOOKUP($A986,MAGAZZINO!$B$2:$M$100000,12,FALSE)</f>
        <v/>
      </c>
      <c r="M986" s="47" t="n"/>
      <c r="N986" s="54" t="n"/>
      <c r="O986" s="3" t="n"/>
      <c r="P986" s="149" t="n"/>
      <c r="Q986" s="150" t="n"/>
      <c r="R986" s="150" t="n"/>
      <c r="S986" s="151" t="n"/>
    </row>
    <row r="987" ht="36" customHeight="1">
      <c r="A987" s="46" t="n">
        <v>3317</v>
      </c>
      <c r="B987" s="4">
        <f>+VLOOKUP($A987,MAGAZZINO!$B$2:$M$100000,2,FALSE)</f>
        <v/>
      </c>
      <c r="C987" s="29">
        <f>+VLOOKUP($A987,MAGAZZINO!$B$2:$M$100000,3,FALSE)</f>
        <v/>
      </c>
      <c r="D987" s="3">
        <f>+VLOOKUP($A987,MAGAZZINO!$B$2:$M$100000,4,FALSE)</f>
        <v/>
      </c>
      <c r="E987" s="3">
        <f>+VLOOKUP($A987,MAGAZZINO!$B$2:$M$100000,5,FALSE)</f>
        <v/>
      </c>
      <c r="F987" s="3">
        <f>+VLOOKUP($A987,MAGAZZINO!$B$2:$M$100000,6,FALSE)</f>
        <v/>
      </c>
      <c r="G987" s="3">
        <f>+VLOOKUP($A987,MAGAZZINO!$B$2:$M$100000,7,FALSE)</f>
        <v/>
      </c>
      <c r="H987" s="3">
        <f>+VLOOKUP($A987,MAGAZZINO!$B$2:$M$100000,8,FALSE)</f>
        <v/>
      </c>
      <c r="I987" s="3">
        <f>+VLOOKUP($A987,MAGAZZINO!$B$2:$M$100000,9,FALSE)</f>
        <v/>
      </c>
      <c r="J987" s="3">
        <f>+VLOOKUP($A987,MAGAZZINO!$B$2:$M$100000,10,FALSE)</f>
        <v/>
      </c>
      <c r="K987" s="3">
        <f>+VLOOKUP($A987,MAGAZZINO!$B$2:$M$100000,11,FALSE)</f>
        <v/>
      </c>
      <c r="L987" s="5">
        <f>+VLOOKUP($A987,MAGAZZINO!$B$2:$M$100000,12,FALSE)</f>
        <v/>
      </c>
      <c r="M987" s="47" t="n"/>
      <c r="N987" s="88" t="n">
        <v>45874</v>
      </c>
      <c r="O987" s="91" t="inlineStr">
        <is>
          <t>PHILIPPOS CONSTANTINIDES TRADING CO. LTD (CIPRO)</t>
        </is>
      </c>
      <c r="P987" s="154" t="inlineStr">
        <is>
          <t xml:space="preserve">IMPORT LICENSE N. 218 DEL 12/08/2020                                                                                         AUT. TRASFERIMENTO N. 6B/2025/3D RILASCIATA IL 28/07/2025   </t>
        </is>
      </c>
      <c r="Q987" s="150" t="n"/>
      <c r="R987" s="150" t="n"/>
      <c r="S987" s="153" t="n"/>
    </row>
    <row r="988" ht="36" customHeight="1">
      <c r="A988" s="46" t="n">
        <v>3318</v>
      </c>
      <c r="B988" s="4">
        <f>+VLOOKUP($A988,MAGAZZINO!$B$2:$M$100000,2,FALSE)</f>
        <v/>
      </c>
      <c r="C988" s="29">
        <f>+VLOOKUP($A988,MAGAZZINO!$B$2:$M$100000,3,FALSE)</f>
        <v/>
      </c>
      <c r="D988" s="3">
        <f>+VLOOKUP($A988,MAGAZZINO!$B$2:$M$100000,4,FALSE)</f>
        <v/>
      </c>
      <c r="E988" s="3">
        <f>+VLOOKUP($A988,MAGAZZINO!$B$2:$M$100000,5,FALSE)</f>
        <v/>
      </c>
      <c r="F988" s="3">
        <f>+VLOOKUP($A988,MAGAZZINO!$B$2:$M$100000,6,FALSE)</f>
        <v/>
      </c>
      <c r="G988" s="3">
        <f>+VLOOKUP($A988,MAGAZZINO!$B$2:$M$100000,7,FALSE)</f>
        <v/>
      </c>
      <c r="H988" s="3">
        <f>+VLOOKUP($A988,MAGAZZINO!$B$2:$M$100000,8,FALSE)</f>
        <v/>
      </c>
      <c r="I988" s="3">
        <f>+VLOOKUP($A988,MAGAZZINO!$B$2:$M$100000,9,FALSE)</f>
        <v/>
      </c>
      <c r="J988" s="3">
        <f>+VLOOKUP($A988,MAGAZZINO!$B$2:$M$100000,10,FALSE)</f>
        <v/>
      </c>
      <c r="K988" s="3">
        <f>+VLOOKUP($A988,MAGAZZINO!$B$2:$M$100000,11,FALSE)</f>
        <v/>
      </c>
      <c r="L988" s="5">
        <f>+VLOOKUP($A988,MAGAZZINO!$B$2:$M$100000,12,FALSE)</f>
        <v/>
      </c>
      <c r="M988" s="47" t="n"/>
      <c r="N988" s="88" t="n">
        <v>45874</v>
      </c>
      <c r="O988" s="91" t="inlineStr">
        <is>
          <t>PHILIPPOS CONSTANTINIDES TRADING CO. LTD (CIPRO)</t>
        </is>
      </c>
      <c r="P988" s="154" t="inlineStr">
        <is>
          <t xml:space="preserve">IMPORT LICENSE N. 218 DEL 12/08/2020                                                                                         AUT. TRASFERIMENTO N. 6B/2025/3D RILASCIATA IL 28/07/2025   </t>
        </is>
      </c>
      <c r="Q988" s="150" t="n"/>
      <c r="R988" s="150" t="n"/>
      <c r="S988" s="153" t="n"/>
    </row>
    <row r="989" ht="36" customHeight="1">
      <c r="A989" s="46" t="n">
        <v>3319</v>
      </c>
      <c r="B989" s="4">
        <f>+VLOOKUP($A989,MAGAZZINO!$B$2:$M$100000,2,FALSE)</f>
        <v/>
      </c>
      <c r="C989" s="29">
        <f>+VLOOKUP($A989,MAGAZZINO!$B$2:$M$100000,3,FALSE)</f>
        <v/>
      </c>
      <c r="D989" s="3">
        <f>+VLOOKUP($A989,MAGAZZINO!$B$2:$M$100000,4,FALSE)</f>
        <v/>
      </c>
      <c r="E989" s="3">
        <f>+VLOOKUP($A989,MAGAZZINO!$B$2:$M$100000,5,FALSE)</f>
        <v/>
      </c>
      <c r="F989" s="3">
        <f>+VLOOKUP($A989,MAGAZZINO!$B$2:$M$100000,6,FALSE)</f>
        <v/>
      </c>
      <c r="G989" s="3">
        <f>+VLOOKUP($A989,MAGAZZINO!$B$2:$M$100000,7,FALSE)</f>
        <v/>
      </c>
      <c r="H989" s="3">
        <f>+VLOOKUP($A989,MAGAZZINO!$B$2:$M$100000,8,FALSE)</f>
        <v/>
      </c>
      <c r="I989" s="3">
        <f>+VLOOKUP($A989,MAGAZZINO!$B$2:$M$100000,9,FALSE)</f>
        <v/>
      </c>
      <c r="J989" s="3">
        <f>+VLOOKUP($A989,MAGAZZINO!$B$2:$M$100000,10,FALSE)</f>
        <v/>
      </c>
      <c r="K989" s="3">
        <f>+VLOOKUP($A989,MAGAZZINO!$B$2:$M$100000,11,FALSE)</f>
        <v/>
      </c>
      <c r="L989" s="5">
        <f>+VLOOKUP($A989,MAGAZZINO!$B$2:$M$100000,12,FALSE)</f>
        <v/>
      </c>
      <c r="M989" s="47" t="n"/>
      <c r="N989" s="88" t="n">
        <v>45874</v>
      </c>
      <c r="O989" s="91" t="inlineStr">
        <is>
          <t>PHILIPPOS CONSTANTINIDES TRADING CO. LTD (CIPRO)</t>
        </is>
      </c>
      <c r="P989" s="154" t="inlineStr">
        <is>
          <t xml:space="preserve">IMPORT LICENSE N. 218 DEL 12/08/2020                                                                                         AUT. TRASFERIMENTO N. 6B/2025/3D RILASCIATA IL 28/07/2025   </t>
        </is>
      </c>
      <c r="Q989" s="150" t="n"/>
      <c r="R989" s="150" t="n"/>
      <c r="S989" s="153" t="n"/>
    </row>
    <row r="990" ht="36" customHeight="1">
      <c r="A990" s="46" t="n">
        <v>3320</v>
      </c>
      <c r="B990" s="4">
        <f>+VLOOKUP($A990,MAGAZZINO!$B$2:$M$100000,2,FALSE)</f>
        <v/>
      </c>
      <c r="C990" s="29">
        <f>+VLOOKUP($A990,MAGAZZINO!$B$2:$M$100000,3,FALSE)</f>
        <v/>
      </c>
      <c r="D990" s="3">
        <f>+VLOOKUP($A990,MAGAZZINO!$B$2:$M$100000,4,FALSE)</f>
        <v/>
      </c>
      <c r="E990" s="3">
        <f>+VLOOKUP($A990,MAGAZZINO!$B$2:$M$100000,5,FALSE)</f>
        <v/>
      </c>
      <c r="F990" s="3">
        <f>+VLOOKUP($A990,MAGAZZINO!$B$2:$M$100000,6,FALSE)</f>
        <v/>
      </c>
      <c r="G990" s="3">
        <f>+VLOOKUP($A990,MAGAZZINO!$B$2:$M$100000,7,FALSE)</f>
        <v/>
      </c>
      <c r="H990" s="3">
        <f>+VLOOKUP($A990,MAGAZZINO!$B$2:$M$100000,8,FALSE)</f>
        <v/>
      </c>
      <c r="I990" s="3">
        <f>+VLOOKUP($A990,MAGAZZINO!$B$2:$M$100000,9,FALSE)</f>
        <v/>
      </c>
      <c r="J990" s="3">
        <f>+VLOOKUP($A990,MAGAZZINO!$B$2:$M$100000,10,FALSE)</f>
        <v/>
      </c>
      <c r="K990" s="3">
        <f>+VLOOKUP($A990,MAGAZZINO!$B$2:$M$100000,11,FALSE)</f>
        <v/>
      </c>
      <c r="L990" s="5">
        <f>+VLOOKUP($A990,MAGAZZINO!$B$2:$M$100000,12,FALSE)</f>
        <v/>
      </c>
      <c r="M990" s="47" t="n"/>
      <c r="N990" s="88" t="n">
        <v>45874</v>
      </c>
      <c r="O990" s="91" t="inlineStr">
        <is>
          <t>PHILIPPOS CONSTANTINIDES TRADING CO. LTD (CIPRO)</t>
        </is>
      </c>
      <c r="P990" s="154" t="inlineStr">
        <is>
          <t xml:space="preserve">IMPORT LICENSE N. 218 DEL 12/08/2020                                                                                         AUT. TRASFERIMENTO N. 6B/2025/3D RILASCIATA IL 28/07/2025   </t>
        </is>
      </c>
      <c r="Q990" s="150" t="n"/>
      <c r="R990" s="150" t="n"/>
      <c r="S990" s="153" t="n"/>
    </row>
    <row r="991" ht="36" customHeight="1">
      <c r="A991" s="46" t="n">
        <v>3321</v>
      </c>
      <c r="B991" s="4">
        <f>+VLOOKUP($A991,MAGAZZINO!$B$2:$M$100000,2,FALSE)</f>
        <v/>
      </c>
      <c r="C991" s="29">
        <f>+VLOOKUP($A991,MAGAZZINO!$B$2:$M$100000,3,FALSE)</f>
        <v/>
      </c>
      <c r="D991" s="3">
        <f>+VLOOKUP($A991,MAGAZZINO!$B$2:$M$100000,4,FALSE)</f>
        <v/>
      </c>
      <c r="E991" s="3">
        <f>+VLOOKUP($A991,MAGAZZINO!$B$2:$M$100000,5,FALSE)</f>
        <v/>
      </c>
      <c r="F991" s="3">
        <f>+VLOOKUP($A991,MAGAZZINO!$B$2:$M$100000,6,FALSE)</f>
        <v/>
      </c>
      <c r="G991" s="3">
        <f>+VLOOKUP($A991,MAGAZZINO!$B$2:$M$100000,7,FALSE)</f>
        <v/>
      </c>
      <c r="H991" s="3">
        <f>+VLOOKUP($A991,MAGAZZINO!$B$2:$M$100000,8,FALSE)</f>
        <v/>
      </c>
      <c r="I991" s="3">
        <f>+VLOOKUP($A991,MAGAZZINO!$B$2:$M$100000,9,FALSE)</f>
        <v/>
      </c>
      <c r="J991" s="3">
        <f>+VLOOKUP($A991,MAGAZZINO!$B$2:$M$100000,10,FALSE)</f>
        <v/>
      </c>
      <c r="K991" s="3">
        <f>+VLOOKUP($A991,MAGAZZINO!$B$2:$M$100000,11,FALSE)</f>
        <v/>
      </c>
      <c r="L991" s="5">
        <f>+VLOOKUP($A991,MAGAZZINO!$B$2:$M$100000,12,FALSE)</f>
        <v/>
      </c>
      <c r="M991" s="47" t="n"/>
      <c r="N991" s="88" t="n">
        <v>45874</v>
      </c>
      <c r="O991" s="91" t="inlineStr">
        <is>
          <t>PHILIPPOS CONSTANTINIDES TRADING CO. LTD (CIPRO)</t>
        </is>
      </c>
      <c r="P991" s="154" t="inlineStr">
        <is>
          <t xml:space="preserve">IMPORT LICENSE N. 218 DEL 12/08/2020                                                                                         AUT. TRASFERIMENTO N. 6B/2025/3D RILASCIATA IL 28/07/2025   </t>
        </is>
      </c>
      <c r="Q991" s="150" t="n"/>
      <c r="R991" s="150" t="n"/>
      <c r="S991" s="153" t="n"/>
    </row>
    <row r="992" ht="36" customHeight="1">
      <c r="A992" s="46" t="n">
        <v>3322</v>
      </c>
      <c r="B992" s="4">
        <f>+VLOOKUP($A992,MAGAZZINO!$B$2:$M$100000,2,FALSE)</f>
        <v/>
      </c>
      <c r="C992" s="29">
        <f>+VLOOKUP($A992,MAGAZZINO!$B$2:$M$100000,3,FALSE)</f>
        <v/>
      </c>
      <c r="D992" s="3">
        <f>+VLOOKUP($A992,MAGAZZINO!$B$2:$M$100000,4,FALSE)</f>
        <v/>
      </c>
      <c r="E992" s="3">
        <f>+VLOOKUP($A992,MAGAZZINO!$B$2:$M$100000,5,FALSE)</f>
        <v/>
      </c>
      <c r="F992" s="3">
        <f>+VLOOKUP($A992,MAGAZZINO!$B$2:$M$100000,6,FALSE)</f>
        <v/>
      </c>
      <c r="G992" s="3">
        <f>+VLOOKUP($A992,MAGAZZINO!$B$2:$M$100000,7,FALSE)</f>
        <v/>
      </c>
      <c r="H992" s="3">
        <f>+VLOOKUP($A992,MAGAZZINO!$B$2:$M$100000,8,FALSE)</f>
        <v/>
      </c>
      <c r="I992" s="3">
        <f>+VLOOKUP($A992,MAGAZZINO!$B$2:$M$100000,9,FALSE)</f>
        <v/>
      </c>
      <c r="J992" s="3">
        <f>+VLOOKUP($A992,MAGAZZINO!$B$2:$M$100000,10,FALSE)</f>
        <v/>
      </c>
      <c r="K992" s="3">
        <f>+VLOOKUP($A992,MAGAZZINO!$B$2:$M$100000,11,FALSE)</f>
        <v/>
      </c>
      <c r="L992" s="5">
        <f>+VLOOKUP($A992,MAGAZZINO!$B$2:$M$100000,12,FALSE)</f>
        <v/>
      </c>
      <c r="M992" s="47" t="n"/>
      <c r="N992" s="88" t="n">
        <v>45874</v>
      </c>
      <c r="O992" s="91" t="inlineStr">
        <is>
          <t>PHILIPPOS CONSTANTINIDES TRADING CO. LTD (CIPRO)</t>
        </is>
      </c>
      <c r="P992" s="154" t="inlineStr">
        <is>
          <t xml:space="preserve">IMPORT LICENSE N. 218 DEL 12/08/2020                                                                                         AUT. TRASFERIMENTO N. 6B/2025/3D RILASCIATA IL 28/07/2025   </t>
        </is>
      </c>
      <c r="Q992" s="150" t="n"/>
      <c r="R992" s="150" t="n"/>
      <c r="S992" s="153" t="n"/>
    </row>
    <row r="993" ht="36" customHeight="1">
      <c r="A993" s="46" t="n">
        <v>3323</v>
      </c>
      <c r="B993" s="4">
        <f>+VLOOKUP($A993,MAGAZZINO!$B$2:$M$100000,2,FALSE)</f>
        <v/>
      </c>
      <c r="C993" s="29">
        <f>+VLOOKUP($A993,MAGAZZINO!$B$2:$M$100000,3,FALSE)</f>
        <v/>
      </c>
      <c r="D993" s="3">
        <f>+VLOOKUP($A993,MAGAZZINO!$B$2:$M$100000,4,FALSE)</f>
        <v/>
      </c>
      <c r="E993" s="3">
        <f>+VLOOKUP($A993,MAGAZZINO!$B$2:$M$100000,5,FALSE)</f>
        <v/>
      </c>
      <c r="F993" s="3">
        <f>+VLOOKUP($A993,MAGAZZINO!$B$2:$M$100000,6,FALSE)</f>
        <v/>
      </c>
      <c r="G993" s="3">
        <f>+VLOOKUP($A993,MAGAZZINO!$B$2:$M$100000,7,FALSE)</f>
        <v/>
      </c>
      <c r="H993" s="3">
        <f>+VLOOKUP($A993,MAGAZZINO!$B$2:$M$100000,8,FALSE)</f>
        <v/>
      </c>
      <c r="I993" s="3">
        <f>+VLOOKUP($A993,MAGAZZINO!$B$2:$M$100000,9,FALSE)</f>
        <v/>
      </c>
      <c r="J993" s="3">
        <f>+VLOOKUP($A993,MAGAZZINO!$B$2:$M$100000,10,FALSE)</f>
        <v/>
      </c>
      <c r="K993" s="3">
        <f>+VLOOKUP($A993,MAGAZZINO!$B$2:$M$100000,11,FALSE)</f>
        <v/>
      </c>
      <c r="L993" s="5">
        <f>+VLOOKUP($A993,MAGAZZINO!$B$2:$M$100000,12,FALSE)</f>
        <v/>
      </c>
      <c r="M993" s="47" t="n"/>
      <c r="N993" s="88" t="n">
        <v>45874</v>
      </c>
      <c r="O993" s="91" t="inlineStr">
        <is>
          <t>PHILIPPOS CONSTANTINIDES TRADING CO. LTD (CIPRO)</t>
        </is>
      </c>
      <c r="P993" s="154" t="inlineStr">
        <is>
          <t xml:space="preserve">IMPORT LICENSE N. 218 DEL 12/08/2020                                                                                         AUT. TRASFERIMENTO N. 6B/2025/3D RILASCIATA IL 28/07/2025   </t>
        </is>
      </c>
      <c r="Q993" s="150" t="n"/>
      <c r="R993" s="150" t="n"/>
      <c r="S993" s="153" t="n"/>
    </row>
    <row r="994" ht="36" customHeight="1">
      <c r="A994" s="46" t="n">
        <v>3324</v>
      </c>
      <c r="B994" s="4">
        <f>+VLOOKUP($A994,MAGAZZINO!$B$2:$M$100000,2,FALSE)</f>
        <v/>
      </c>
      <c r="C994" s="29">
        <f>+VLOOKUP($A994,MAGAZZINO!$B$2:$M$100000,3,FALSE)</f>
        <v/>
      </c>
      <c r="D994" s="3">
        <f>+VLOOKUP($A994,MAGAZZINO!$B$2:$M$100000,4,FALSE)</f>
        <v/>
      </c>
      <c r="E994" s="3">
        <f>+VLOOKUP($A994,MAGAZZINO!$B$2:$M$100000,5,FALSE)</f>
        <v/>
      </c>
      <c r="F994" s="3">
        <f>+VLOOKUP($A994,MAGAZZINO!$B$2:$M$100000,6,FALSE)</f>
        <v/>
      </c>
      <c r="G994" s="3">
        <f>+VLOOKUP($A994,MAGAZZINO!$B$2:$M$100000,7,FALSE)</f>
        <v/>
      </c>
      <c r="H994" s="3">
        <f>+VLOOKUP($A994,MAGAZZINO!$B$2:$M$100000,8,FALSE)</f>
        <v/>
      </c>
      <c r="I994" s="3">
        <f>+VLOOKUP($A994,MAGAZZINO!$B$2:$M$100000,9,FALSE)</f>
        <v/>
      </c>
      <c r="J994" s="3">
        <f>+VLOOKUP($A994,MAGAZZINO!$B$2:$M$100000,10,FALSE)</f>
        <v/>
      </c>
      <c r="K994" s="3">
        <f>+VLOOKUP($A994,MAGAZZINO!$B$2:$M$100000,11,FALSE)</f>
        <v/>
      </c>
      <c r="L994" s="5">
        <f>+VLOOKUP($A994,MAGAZZINO!$B$2:$M$100000,12,FALSE)</f>
        <v/>
      </c>
      <c r="M994" s="47" t="n"/>
      <c r="N994" s="88" t="n">
        <v>45874</v>
      </c>
      <c r="O994" s="91" t="inlineStr">
        <is>
          <t>PHILIPPOS CONSTANTINIDES TRADING CO. LTD (CIPRO)</t>
        </is>
      </c>
      <c r="P994" s="154" t="inlineStr">
        <is>
          <t xml:space="preserve">IMPORT LICENSE N. 218 DEL 12/08/2020                                                                                         AUT. TRASFERIMENTO N. 6B/2025/3D RILASCIATA IL 28/07/2025   </t>
        </is>
      </c>
      <c r="Q994" s="150" t="n"/>
      <c r="R994" s="150" t="n"/>
      <c r="S994" s="153" t="n"/>
    </row>
    <row r="995" ht="36" customHeight="1">
      <c r="A995" s="46" t="n">
        <v>3325</v>
      </c>
      <c r="B995" s="4">
        <f>+VLOOKUP($A995,MAGAZZINO!$B$2:$M$100000,2,FALSE)</f>
        <v/>
      </c>
      <c r="C995" s="29">
        <f>+VLOOKUP($A995,MAGAZZINO!$B$2:$M$100000,3,FALSE)</f>
        <v/>
      </c>
      <c r="D995" s="3">
        <f>+VLOOKUP($A995,MAGAZZINO!$B$2:$M$100000,4,FALSE)</f>
        <v/>
      </c>
      <c r="E995" s="3">
        <f>+VLOOKUP($A995,MAGAZZINO!$B$2:$M$100000,5,FALSE)</f>
        <v/>
      </c>
      <c r="F995" s="3">
        <f>+VLOOKUP($A995,MAGAZZINO!$B$2:$M$100000,6,FALSE)</f>
        <v/>
      </c>
      <c r="G995" s="3">
        <f>+VLOOKUP($A995,MAGAZZINO!$B$2:$M$100000,7,FALSE)</f>
        <v/>
      </c>
      <c r="H995" s="3">
        <f>+VLOOKUP($A995,MAGAZZINO!$B$2:$M$100000,8,FALSE)</f>
        <v/>
      </c>
      <c r="I995" s="3">
        <f>+VLOOKUP($A995,MAGAZZINO!$B$2:$M$100000,9,FALSE)</f>
        <v/>
      </c>
      <c r="J995" s="3">
        <f>+VLOOKUP($A995,MAGAZZINO!$B$2:$M$100000,10,FALSE)</f>
        <v/>
      </c>
      <c r="K995" s="3">
        <f>+VLOOKUP($A995,MAGAZZINO!$B$2:$M$100000,11,FALSE)</f>
        <v/>
      </c>
      <c r="L995" s="5">
        <f>+VLOOKUP($A995,MAGAZZINO!$B$2:$M$100000,12,FALSE)</f>
        <v/>
      </c>
      <c r="M995" s="47" t="n"/>
      <c r="N995" s="88" t="n">
        <v>45874</v>
      </c>
      <c r="O995" s="91" t="inlineStr">
        <is>
          <t>PHILIPPOS CONSTANTINIDES TRADING CO. LTD (CIPRO)</t>
        </is>
      </c>
      <c r="P995" s="154" t="inlineStr">
        <is>
          <t xml:space="preserve">IMPORT LICENSE N. 218 DEL 12/08/2020                                                                                         AUT. TRASFERIMENTO N. 6B/2025/3D RILASCIATA IL 28/07/2025   </t>
        </is>
      </c>
      <c r="Q995" s="150" t="n"/>
      <c r="R995" s="150" t="n"/>
      <c r="S995" s="153" t="n"/>
    </row>
    <row r="996" ht="36" customHeight="1">
      <c r="A996" s="46" t="n">
        <v>3326</v>
      </c>
      <c r="B996" s="4">
        <f>+VLOOKUP($A996,MAGAZZINO!$B$2:$M$100000,2,FALSE)</f>
        <v/>
      </c>
      <c r="C996" s="29">
        <f>+VLOOKUP($A996,MAGAZZINO!$B$2:$M$100000,3,FALSE)</f>
        <v/>
      </c>
      <c r="D996" s="3">
        <f>+VLOOKUP($A996,MAGAZZINO!$B$2:$M$100000,4,FALSE)</f>
        <v/>
      </c>
      <c r="E996" s="3">
        <f>+VLOOKUP($A996,MAGAZZINO!$B$2:$M$100000,5,FALSE)</f>
        <v/>
      </c>
      <c r="F996" s="3">
        <f>+VLOOKUP($A996,MAGAZZINO!$B$2:$M$100000,6,FALSE)</f>
        <v/>
      </c>
      <c r="G996" s="3">
        <f>+VLOOKUP($A996,MAGAZZINO!$B$2:$M$100000,7,FALSE)</f>
        <v/>
      </c>
      <c r="H996" s="3">
        <f>+VLOOKUP($A996,MAGAZZINO!$B$2:$M$100000,8,FALSE)</f>
        <v/>
      </c>
      <c r="I996" s="3">
        <f>+VLOOKUP($A996,MAGAZZINO!$B$2:$M$100000,9,FALSE)</f>
        <v/>
      </c>
      <c r="J996" s="3">
        <f>+VLOOKUP($A996,MAGAZZINO!$B$2:$M$100000,10,FALSE)</f>
        <v/>
      </c>
      <c r="K996" s="3">
        <f>+VLOOKUP($A996,MAGAZZINO!$B$2:$M$100000,11,FALSE)</f>
        <v/>
      </c>
      <c r="L996" s="5">
        <f>+VLOOKUP($A996,MAGAZZINO!$B$2:$M$100000,12,FALSE)</f>
        <v/>
      </c>
      <c r="M996" s="47" t="n"/>
      <c r="N996" s="88" t="n">
        <v>45874</v>
      </c>
      <c r="O996" s="91" t="inlineStr">
        <is>
          <t>PHILIPPOS CONSTANTINIDES TRADING CO. LTD (CIPRO)</t>
        </is>
      </c>
      <c r="P996" s="154" t="inlineStr">
        <is>
          <t xml:space="preserve">IMPORT LICENSE N. 218 DEL 12/08/2020                                                                                         AUT. TRASFERIMENTO N. 6B/2025/3D RILASCIATA IL 28/07/2025   </t>
        </is>
      </c>
      <c r="Q996" s="150" t="n"/>
      <c r="R996" s="150" t="n"/>
      <c r="S996" s="153" t="n"/>
    </row>
    <row r="997" ht="36" customHeight="1">
      <c r="A997" s="46" t="n">
        <v>3327</v>
      </c>
      <c r="B997" s="4">
        <f>+VLOOKUP($A997,MAGAZZINO!$B$2:$M$100000,2,FALSE)</f>
        <v/>
      </c>
      <c r="C997" s="29">
        <f>+VLOOKUP($A997,MAGAZZINO!$B$2:$M$100000,3,FALSE)</f>
        <v/>
      </c>
      <c r="D997" s="3">
        <f>+VLOOKUP($A997,MAGAZZINO!$B$2:$M$100000,4,FALSE)</f>
        <v/>
      </c>
      <c r="E997" s="3">
        <f>+VLOOKUP($A997,MAGAZZINO!$B$2:$M$100000,5,FALSE)</f>
        <v/>
      </c>
      <c r="F997" s="3">
        <f>+VLOOKUP($A997,MAGAZZINO!$B$2:$M$100000,6,FALSE)</f>
        <v/>
      </c>
      <c r="G997" s="3">
        <f>+VLOOKUP($A997,MAGAZZINO!$B$2:$M$100000,7,FALSE)</f>
        <v/>
      </c>
      <c r="H997" s="3">
        <f>+VLOOKUP($A997,MAGAZZINO!$B$2:$M$100000,8,FALSE)</f>
        <v/>
      </c>
      <c r="I997" s="3">
        <f>+VLOOKUP($A997,MAGAZZINO!$B$2:$M$100000,9,FALSE)</f>
        <v/>
      </c>
      <c r="J997" s="3">
        <f>+VLOOKUP($A997,MAGAZZINO!$B$2:$M$100000,10,FALSE)</f>
        <v/>
      </c>
      <c r="K997" s="3">
        <f>+VLOOKUP($A997,MAGAZZINO!$B$2:$M$100000,11,FALSE)</f>
        <v/>
      </c>
      <c r="L997" s="5">
        <f>+VLOOKUP($A997,MAGAZZINO!$B$2:$M$100000,12,FALSE)</f>
        <v/>
      </c>
      <c r="M997" s="47" t="n"/>
      <c r="N997" s="88" t="n">
        <v>45874</v>
      </c>
      <c r="O997" s="91" t="inlineStr">
        <is>
          <t>PHILIPPOS CONSTANTINIDES TRADING CO. LTD (CIPRO)</t>
        </is>
      </c>
      <c r="P997" s="154" t="inlineStr">
        <is>
          <t xml:space="preserve">IMPORT LICENSE N. 218 DEL 12/08/2020                                                                                         AUT. TRASFERIMENTO N. 6B/2025/3D RILASCIATA IL 28/07/2025   </t>
        </is>
      </c>
      <c r="Q997" s="150" t="n"/>
      <c r="R997" s="150" t="n"/>
      <c r="S997" s="153" t="n"/>
    </row>
    <row r="998" ht="36" customHeight="1">
      <c r="A998" s="46" t="n">
        <v>3328</v>
      </c>
      <c r="B998" s="4">
        <f>+VLOOKUP($A998,MAGAZZINO!$B$2:$M$100000,2,FALSE)</f>
        <v/>
      </c>
      <c r="C998" s="29">
        <f>+VLOOKUP($A998,MAGAZZINO!$B$2:$M$100000,3,FALSE)</f>
        <v/>
      </c>
      <c r="D998" s="3">
        <f>+VLOOKUP($A998,MAGAZZINO!$B$2:$M$100000,4,FALSE)</f>
        <v/>
      </c>
      <c r="E998" s="3">
        <f>+VLOOKUP($A998,MAGAZZINO!$B$2:$M$100000,5,FALSE)</f>
        <v/>
      </c>
      <c r="F998" s="3">
        <f>+VLOOKUP($A998,MAGAZZINO!$B$2:$M$100000,6,FALSE)</f>
        <v/>
      </c>
      <c r="G998" s="3">
        <f>+VLOOKUP($A998,MAGAZZINO!$B$2:$M$100000,7,FALSE)</f>
        <v/>
      </c>
      <c r="H998" s="3">
        <f>+VLOOKUP($A998,MAGAZZINO!$B$2:$M$100000,8,FALSE)</f>
        <v/>
      </c>
      <c r="I998" s="3">
        <f>+VLOOKUP($A998,MAGAZZINO!$B$2:$M$100000,9,FALSE)</f>
        <v/>
      </c>
      <c r="J998" s="3">
        <f>+VLOOKUP($A998,MAGAZZINO!$B$2:$M$100000,10,FALSE)</f>
        <v/>
      </c>
      <c r="K998" s="3">
        <f>+VLOOKUP($A998,MAGAZZINO!$B$2:$M$100000,11,FALSE)</f>
        <v/>
      </c>
      <c r="L998" s="5">
        <f>+VLOOKUP($A998,MAGAZZINO!$B$2:$M$100000,12,FALSE)</f>
        <v/>
      </c>
      <c r="M998" s="47" t="n"/>
      <c r="N998" s="88" t="n">
        <v>45874</v>
      </c>
      <c r="O998" s="91" t="inlineStr">
        <is>
          <t>PHILIPPOS CONSTANTINIDES TRADING CO. LTD (CIPRO)</t>
        </is>
      </c>
      <c r="P998" s="154" t="inlineStr">
        <is>
          <t xml:space="preserve">IMPORT LICENSE N. 218 DEL 12/08/2020                                                                                         AUT. TRASFERIMENTO N. 6B/2025/3D RILASCIATA IL 28/07/2025   </t>
        </is>
      </c>
      <c r="Q998" s="150" t="n"/>
      <c r="R998" s="150" t="n"/>
      <c r="S998" s="153" t="n"/>
    </row>
    <row r="999" ht="36" customHeight="1">
      <c r="A999" s="46" t="n">
        <v>3329</v>
      </c>
      <c r="B999" s="4">
        <f>+VLOOKUP($A999,MAGAZZINO!$B$2:$M$100000,2,FALSE)</f>
        <v/>
      </c>
      <c r="C999" s="29">
        <f>+VLOOKUP($A999,MAGAZZINO!$B$2:$M$100000,3,FALSE)</f>
        <v/>
      </c>
      <c r="D999" s="3">
        <f>+VLOOKUP($A999,MAGAZZINO!$B$2:$M$100000,4,FALSE)</f>
        <v/>
      </c>
      <c r="E999" s="3">
        <f>+VLOOKUP($A999,MAGAZZINO!$B$2:$M$100000,5,FALSE)</f>
        <v/>
      </c>
      <c r="F999" s="3">
        <f>+VLOOKUP($A999,MAGAZZINO!$B$2:$M$100000,6,FALSE)</f>
        <v/>
      </c>
      <c r="G999" s="3">
        <f>+VLOOKUP($A999,MAGAZZINO!$B$2:$M$100000,7,FALSE)</f>
        <v/>
      </c>
      <c r="H999" s="3">
        <f>+VLOOKUP($A999,MAGAZZINO!$B$2:$M$100000,8,FALSE)</f>
        <v/>
      </c>
      <c r="I999" s="3">
        <f>+VLOOKUP($A999,MAGAZZINO!$B$2:$M$100000,9,FALSE)</f>
        <v/>
      </c>
      <c r="J999" s="3">
        <f>+VLOOKUP($A999,MAGAZZINO!$B$2:$M$100000,10,FALSE)</f>
        <v/>
      </c>
      <c r="K999" s="3">
        <f>+VLOOKUP($A999,MAGAZZINO!$B$2:$M$100000,11,FALSE)</f>
        <v/>
      </c>
      <c r="L999" s="5">
        <f>+VLOOKUP($A999,MAGAZZINO!$B$2:$M$100000,12,FALSE)</f>
        <v/>
      </c>
      <c r="M999" s="47" t="n"/>
      <c r="N999" s="54" t="n"/>
      <c r="O999" s="3" t="n"/>
      <c r="P999" s="149" t="n"/>
      <c r="Q999" s="150" t="n"/>
      <c r="R999" s="150" t="n"/>
      <c r="S999" s="151" t="n"/>
    </row>
    <row r="1000" ht="36" customHeight="1">
      <c r="A1000" s="46" t="n">
        <v>3330</v>
      </c>
      <c r="B1000" s="4">
        <f>+VLOOKUP($A1000,MAGAZZINO!$B$2:$M$100000,2,FALSE)</f>
        <v/>
      </c>
      <c r="C1000" s="29">
        <f>+VLOOKUP($A1000,MAGAZZINO!$B$2:$M$100000,3,FALSE)</f>
        <v/>
      </c>
      <c r="D1000" s="3">
        <f>+VLOOKUP($A1000,MAGAZZINO!$B$2:$M$100000,4,FALSE)</f>
        <v/>
      </c>
      <c r="E1000" s="3">
        <f>+VLOOKUP($A1000,MAGAZZINO!$B$2:$M$100000,5,FALSE)</f>
        <v/>
      </c>
      <c r="F1000" s="3">
        <f>+VLOOKUP($A1000,MAGAZZINO!$B$2:$M$100000,6,FALSE)</f>
        <v/>
      </c>
      <c r="G1000" s="3">
        <f>+VLOOKUP($A1000,MAGAZZINO!$B$2:$M$100000,7,FALSE)</f>
        <v/>
      </c>
      <c r="H1000" s="3">
        <f>+VLOOKUP($A1000,MAGAZZINO!$B$2:$M$100000,8,FALSE)</f>
        <v/>
      </c>
      <c r="I1000" s="3">
        <f>+VLOOKUP($A1000,MAGAZZINO!$B$2:$M$100000,9,FALSE)</f>
        <v/>
      </c>
      <c r="J1000" s="3">
        <f>+VLOOKUP($A1000,MAGAZZINO!$B$2:$M$100000,10,FALSE)</f>
        <v/>
      </c>
      <c r="K1000" s="3">
        <f>+VLOOKUP($A1000,MAGAZZINO!$B$2:$M$100000,11,FALSE)</f>
        <v/>
      </c>
      <c r="L1000" s="5">
        <f>+VLOOKUP($A1000,MAGAZZINO!$B$2:$M$100000,12,FALSE)</f>
        <v/>
      </c>
      <c r="M1000" s="47" t="n"/>
      <c r="N1000" s="54" t="n"/>
      <c r="O1000" s="3" t="n"/>
      <c r="P1000" s="149" t="n"/>
      <c r="Q1000" s="150" t="n"/>
      <c r="R1000" s="150" t="n"/>
      <c r="S1000" s="151" t="n"/>
    </row>
    <row r="1001" ht="36" customHeight="1">
      <c r="A1001" s="46" t="n">
        <v>3331</v>
      </c>
      <c r="B1001" s="4">
        <f>+VLOOKUP($A1001,MAGAZZINO!$B$2:$M$100000,2,FALSE)</f>
        <v/>
      </c>
      <c r="C1001" s="29">
        <f>+VLOOKUP($A1001,MAGAZZINO!$B$2:$M$100000,3,FALSE)</f>
        <v/>
      </c>
      <c r="D1001" s="3">
        <f>+VLOOKUP($A1001,MAGAZZINO!$B$2:$M$100000,4,FALSE)</f>
        <v/>
      </c>
      <c r="E1001" s="3">
        <f>+VLOOKUP($A1001,MAGAZZINO!$B$2:$M$100000,5,FALSE)</f>
        <v/>
      </c>
      <c r="F1001" s="3">
        <f>+VLOOKUP($A1001,MAGAZZINO!$B$2:$M$100000,6,FALSE)</f>
        <v/>
      </c>
      <c r="G1001" s="3">
        <f>+VLOOKUP($A1001,MAGAZZINO!$B$2:$M$100000,7,FALSE)</f>
        <v/>
      </c>
      <c r="H1001" s="3">
        <f>+VLOOKUP($A1001,MAGAZZINO!$B$2:$M$100000,8,FALSE)</f>
        <v/>
      </c>
      <c r="I1001" s="3">
        <f>+VLOOKUP($A1001,MAGAZZINO!$B$2:$M$100000,9,FALSE)</f>
        <v/>
      </c>
      <c r="J1001" s="3">
        <f>+VLOOKUP($A1001,MAGAZZINO!$B$2:$M$100000,10,FALSE)</f>
        <v/>
      </c>
      <c r="K1001" s="3">
        <f>+VLOOKUP($A1001,MAGAZZINO!$B$2:$M$100000,11,FALSE)</f>
        <v/>
      </c>
      <c r="L1001" s="5">
        <f>+VLOOKUP($A1001,MAGAZZINO!$B$2:$M$100000,12,FALSE)</f>
        <v/>
      </c>
      <c r="M1001" s="47" t="n"/>
      <c r="N1001" s="54" t="n"/>
      <c r="O1001" s="3" t="n"/>
      <c r="P1001" s="149" t="n"/>
      <c r="Q1001" s="150" t="n"/>
      <c r="R1001" s="150" t="n"/>
      <c r="S1001" s="151" t="n"/>
    </row>
    <row r="1002" ht="36" customHeight="1">
      <c r="A1002" s="46" t="n">
        <v>3332</v>
      </c>
      <c r="B1002" s="4">
        <f>+VLOOKUP($A1002,MAGAZZINO!$B$2:$M$100000,2,FALSE)</f>
        <v/>
      </c>
      <c r="C1002" s="29">
        <f>+VLOOKUP($A1002,MAGAZZINO!$B$2:$M$100000,3,FALSE)</f>
        <v/>
      </c>
      <c r="D1002" s="3">
        <f>+VLOOKUP($A1002,MAGAZZINO!$B$2:$M$100000,4,FALSE)</f>
        <v/>
      </c>
      <c r="E1002" s="3">
        <f>+VLOOKUP($A1002,MAGAZZINO!$B$2:$M$100000,5,FALSE)</f>
        <v/>
      </c>
      <c r="F1002" s="3">
        <f>+VLOOKUP($A1002,MAGAZZINO!$B$2:$M$100000,6,FALSE)</f>
        <v/>
      </c>
      <c r="G1002" s="3">
        <f>+VLOOKUP($A1002,MAGAZZINO!$B$2:$M$100000,7,FALSE)</f>
        <v/>
      </c>
      <c r="H1002" s="3">
        <f>+VLOOKUP($A1002,MAGAZZINO!$B$2:$M$100000,8,FALSE)</f>
        <v/>
      </c>
      <c r="I1002" s="3">
        <f>+VLOOKUP($A1002,MAGAZZINO!$B$2:$M$100000,9,FALSE)</f>
        <v/>
      </c>
      <c r="J1002" s="3">
        <f>+VLOOKUP($A1002,MAGAZZINO!$B$2:$M$100000,10,FALSE)</f>
        <v/>
      </c>
      <c r="K1002" s="3">
        <f>+VLOOKUP($A1002,MAGAZZINO!$B$2:$M$100000,11,FALSE)</f>
        <v/>
      </c>
      <c r="L1002" s="5">
        <f>+VLOOKUP($A1002,MAGAZZINO!$B$2:$M$100000,12,FALSE)</f>
        <v/>
      </c>
      <c r="M1002" s="47" t="n"/>
      <c r="N1002" s="54" t="n"/>
      <c r="O1002" s="3" t="n"/>
      <c r="P1002" s="149" t="n"/>
      <c r="Q1002" s="150" t="n"/>
      <c r="R1002" s="150" t="n"/>
      <c r="S1002" s="151" t="n"/>
    </row>
    <row r="1003" ht="36" customHeight="1">
      <c r="A1003" s="46" t="n">
        <v>3333</v>
      </c>
      <c r="B1003" s="4">
        <f>+VLOOKUP($A1003,MAGAZZINO!$B$2:$M$100000,2,FALSE)</f>
        <v/>
      </c>
      <c r="C1003" s="29">
        <f>+VLOOKUP($A1003,MAGAZZINO!$B$2:$M$100000,3,FALSE)</f>
        <v/>
      </c>
      <c r="D1003" s="3">
        <f>+VLOOKUP($A1003,MAGAZZINO!$B$2:$M$100000,4,FALSE)</f>
        <v/>
      </c>
      <c r="E1003" s="3">
        <f>+VLOOKUP($A1003,MAGAZZINO!$B$2:$M$100000,5,FALSE)</f>
        <v/>
      </c>
      <c r="F1003" s="3">
        <f>+VLOOKUP($A1003,MAGAZZINO!$B$2:$M$100000,6,FALSE)</f>
        <v/>
      </c>
      <c r="G1003" s="3">
        <f>+VLOOKUP($A1003,MAGAZZINO!$B$2:$M$100000,7,FALSE)</f>
        <v/>
      </c>
      <c r="H1003" s="3">
        <f>+VLOOKUP($A1003,MAGAZZINO!$B$2:$M$100000,8,FALSE)</f>
        <v/>
      </c>
      <c r="I1003" s="3">
        <f>+VLOOKUP($A1003,MAGAZZINO!$B$2:$M$100000,9,FALSE)</f>
        <v/>
      </c>
      <c r="J1003" s="3">
        <f>+VLOOKUP($A1003,MAGAZZINO!$B$2:$M$100000,10,FALSE)</f>
        <v/>
      </c>
      <c r="K1003" s="3">
        <f>+VLOOKUP($A1003,MAGAZZINO!$B$2:$M$100000,11,FALSE)</f>
        <v/>
      </c>
      <c r="L1003" s="5">
        <f>+VLOOKUP($A1003,MAGAZZINO!$B$2:$M$100000,12,FALSE)</f>
        <v/>
      </c>
      <c r="M1003" s="47" t="n"/>
      <c r="N1003" s="54" t="n"/>
      <c r="O1003" s="3" t="n"/>
      <c r="P1003" s="149" t="n"/>
      <c r="Q1003" s="150" t="n"/>
      <c r="R1003" s="150" t="n"/>
      <c r="S1003" s="151" t="n"/>
    </row>
    <row r="1004" ht="36" customHeight="1">
      <c r="A1004" s="46" t="n">
        <v>3334</v>
      </c>
      <c r="B1004" s="4">
        <f>+VLOOKUP($A1004,MAGAZZINO!$B$2:$M$100000,2,FALSE)</f>
        <v/>
      </c>
      <c r="C1004" s="29">
        <f>+VLOOKUP($A1004,MAGAZZINO!$B$2:$M$100000,3,FALSE)</f>
        <v/>
      </c>
      <c r="D1004" s="3">
        <f>+VLOOKUP($A1004,MAGAZZINO!$B$2:$M$100000,4,FALSE)</f>
        <v/>
      </c>
      <c r="E1004" s="3">
        <f>+VLOOKUP($A1004,MAGAZZINO!$B$2:$M$100000,5,FALSE)</f>
        <v/>
      </c>
      <c r="F1004" s="3">
        <f>+VLOOKUP($A1004,MAGAZZINO!$B$2:$M$100000,6,FALSE)</f>
        <v/>
      </c>
      <c r="G1004" s="3">
        <f>+VLOOKUP($A1004,MAGAZZINO!$B$2:$M$100000,7,FALSE)</f>
        <v/>
      </c>
      <c r="H1004" s="3">
        <f>+VLOOKUP($A1004,MAGAZZINO!$B$2:$M$100000,8,FALSE)</f>
        <v/>
      </c>
      <c r="I1004" s="3">
        <f>+VLOOKUP($A1004,MAGAZZINO!$B$2:$M$100000,9,FALSE)</f>
        <v/>
      </c>
      <c r="J1004" s="3">
        <f>+VLOOKUP($A1004,MAGAZZINO!$B$2:$M$100000,10,FALSE)</f>
        <v/>
      </c>
      <c r="K1004" s="3">
        <f>+VLOOKUP($A1004,MAGAZZINO!$B$2:$M$100000,11,FALSE)</f>
        <v/>
      </c>
      <c r="L1004" s="5">
        <f>+VLOOKUP($A1004,MAGAZZINO!$B$2:$M$100000,12,FALSE)</f>
        <v/>
      </c>
      <c r="M1004" s="47" t="n"/>
      <c r="N1004" s="54" t="n"/>
      <c r="O1004" s="3" t="n"/>
      <c r="P1004" s="149" t="n"/>
      <c r="Q1004" s="150" t="n"/>
      <c r="R1004" s="150" t="n"/>
      <c r="S1004" s="151" t="n"/>
    </row>
    <row r="1005" ht="36" customHeight="1">
      <c r="A1005" s="46" t="n">
        <v>3335</v>
      </c>
      <c r="B1005" s="4">
        <f>+VLOOKUP($A1005,MAGAZZINO!$B$2:$M$100000,2,FALSE)</f>
        <v/>
      </c>
      <c r="C1005" s="29">
        <f>+VLOOKUP($A1005,MAGAZZINO!$B$2:$M$100000,3,FALSE)</f>
        <v/>
      </c>
      <c r="D1005" s="3">
        <f>+VLOOKUP($A1005,MAGAZZINO!$B$2:$M$100000,4,FALSE)</f>
        <v/>
      </c>
      <c r="E1005" s="3">
        <f>+VLOOKUP($A1005,MAGAZZINO!$B$2:$M$100000,5,FALSE)</f>
        <v/>
      </c>
      <c r="F1005" s="3">
        <f>+VLOOKUP($A1005,MAGAZZINO!$B$2:$M$100000,6,FALSE)</f>
        <v/>
      </c>
      <c r="G1005" s="3">
        <f>+VLOOKUP($A1005,MAGAZZINO!$B$2:$M$100000,7,FALSE)</f>
        <v/>
      </c>
      <c r="H1005" s="3">
        <f>+VLOOKUP($A1005,MAGAZZINO!$B$2:$M$100000,8,FALSE)</f>
        <v/>
      </c>
      <c r="I1005" s="3">
        <f>+VLOOKUP($A1005,MAGAZZINO!$B$2:$M$100000,9,FALSE)</f>
        <v/>
      </c>
      <c r="J1005" s="3">
        <f>+VLOOKUP($A1005,MAGAZZINO!$B$2:$M$100000,10,FALSE)</f>
        <v/>
      </c>
      <c r="K1005" s="3">
        <f>+VLOOKUP($A1005,MAGAZZINO!$B$2:$M$100000,11,FALSE)</f>
        <v/>
      </c>
      <c r="L1005" s="5">
        <f>+VLOOKUP($A1005,MAGAZZINO!$B$2:$M$100000,12,FALSE)</f>
        <v/>
      </c>
      <c r="M1005" s="47" t="n"/>
      <c r="N1005" s="54" t="n"/>
      <c r="O1005" s="3" t="n"/>
      <c r="P1005" s="149" t="n"/>
      <c r="Q1005" s="150" t="n"/>
      <c r="R1005" s="150" t="n"/>
      <c r="S1005" s="151" t="n"/>
    </row>
    <row r="1006" ht="36" customHeight="1">
      <c r="A1006" s="46" t="n">
        <v>3336</v>
      </c>
      <c r="B1006" s="4">
        <f>+VLOOKUP($A1006,MAGAZZINO!$B$2:$M$100000,2,FALSE)</f>
        <v/>
      </c>
      <c r="C1006" s="29">
        <f>+VLOOKUP($A1006,MAGAZZINO!$B$2:$M$100000,3,FALSE)</f>
        <v/>
      </c>
      <c r="D1006" s="3">
        <f>+VLOOKUP($A1006,MAGAZZINO!$B$2:$M$100000,4,FALSE)</f>
        <v/>
      </c>
      <c r="E1006" s="3">
        <f>+VLOOKUP($A1006,MAGAZZINO!$B$2:$M$100000,5,FALSE)</f>
        <v/>
      </c>
      <c r="F1006" s="3">
        <f>+VLOOKUP($A1006,MAGAZZINO!$B$2:$M$100000,6,FALSE)</f>
        <v/>
      </c>
      <c r="G1006" s="3">
        <f>+VLOOKUP($A1006,MAGAZZINO!$B$2:$M$100000,7,FALSE)</f>
        <v/>
      </c>
      <c r="H1006" s="3">
        <f>+VLOOKUP($A1006,MAGAZZINO!$B$2:$M$100000,8,FALSE)</f>
        <v/>
      </c>
      <c r="I1006" s="3">
        <f>+VLOOKUP($A1006,MAGAZZINO!$B$2:$M$100000,9,FALSE)</f>
        <v/>
      </c>
      <c r="J1006" s="3">
        <f>+VLOOKUP($A1006,MAGAZZINO!$B$2:$M$100000,10,FALSE)</f>
        <v/>
      </c>
      <c r="K1006" s="3">
        <f>+VLOOKUP($A1006,MAGAZZINO!$B$2:$M$100000,11,FALSE)</f>
        <v/>
      </c>
      <c r="L1006" s="5">
        <f>+VLOOKUP($A1006,MAGAZZINO!$B$2:$M$100000,12,FALSE)</f>
        <v/>
      </c>
      <c r="M1006" s="47" t="n"/>
      <c r="N1006" s="54" t="n"/>
      <c r="O1006" s="3" t="n"/>
      <c r="P1006" s="149" t="n"/>
      <c r="Q1006" s="150" t="n"/>
      <c r="R1006" s="150" t="n"/>
      <c r="S1006" s="151" t="n"/>
    </row>
    <row r="1007" ht="36" customHeight="1">
      <c r="A1007" s="46" t="n">
        <v>3337</v>
      </c>
      <c r="B1007" s="4">
        <f>+VLOOKUP($A1007,MAGAZZINO!$B$2:$M$100000,2,FALSE)</f>
        <v/>
      </c>
      <c r="C1007" s="29">
        <f>+VLOOKUP($A1007,MAGAZZINO!$B$2:$M$100000,3,FALSE)</f>
        <v/>
      </c>
      <c r="D1007" s="3">
        <f>+VLOOKUP($A1007,MAGAZZINO!$B$2:$M$100000,4,FALSE)</f>
        <v/>
      </c>
      <c r="E1007" s="3">
        <f>+VLOOKUP($A1007,MAGAZZINO!$B$2:$M$100000,5,FALSE)</f>
        <v/>
      </c>
      <c r="F1007" s="3">
        <f>+VLOOKUP($A1007,MAGAZZINO!$B$2:$M$100000,6,FALSE)</f>
        <v/>
      </c>
      <c r="G1007" s="3">
        <f>+VLOOKUP($A1007,MAGAZZINO!$B$2:$M$100000,7,FALSE)</f>
        <v/>
      </c>
      <c r="H1007" s="3">
        <f>+VLOOKUP($A1007,MAGAZZINO!$B$2:$M$100000,8,FALSE)</f>
        <v/>
      </c>
      <c r="I1007" s="3">
        <f>+VLOOKUP($A1007,MAGAZZINO!$B$2:$M$100000,9,FALSE)</f>
        <v/>
      </c>
      <c r="J1007" s="3">
        <f>+VLOOKUP($A1007,MAGAZZINO!$B$2:$M$100000,10,FALSE)</f>
        <v/>
      </c>
      <c r="K1007" s="3">
        <f>+VLOOKUP($A1007,MAGAZZINO!$B$2:$M$100000,11,FALSE)</f>
        <v/>
      </c>
      <c r="L1007" s="5">
        <f>+VLOOKUP($A1007,MAGAZZINO!$B$2:$M$100000,12,FALSE)</f>
        <v/>
      </c>
      <c r="M1007" s="47" t="n"/>
      <c r="N1007" s="54" t="n"/>
      <c r="O1007" s="3" t="n"/>
      <c r="P1007" s="149" t="n"/>
      <c r="Q1007" s="150" t="n"/>
      <c r="R1007" s="150" t="n"/>
      <c r="S1007" s="151" t="n"/>
    </row>
    <row r="1008" ht="36" customHeight="1">
      <c r="A1008" s="46" t="n">
        <v>3338</v>
      </c>
      <c r="B1008" s="4">
        <f>+VLOOKUP($A1008,MAGAZZINO!$B$2:$M$100000,2,FALSE)</f>
        <v/>
      </c>
      <c r="C1008" s="29">
        <f>+VLOOKUP($A1008,MAGAZZINO!$B$2:$M$100000,3,FALSE)</f>
        <v/>
      </c>
      <c r="D1008" s="3">
        <f>+VLOOKUP($A1008,MAGAZZINO!$B$2:$M$100000,4,FALSE)</f>
        <v/>
      </c>
      <c r="E1008" s="3">
        <f>+VLOOKUP($A1008,MAGAZZINO!$B$2:$M$100000,5,FALSE)</f>
        <v/>
      </c>
      <c r="F1008" s="3">
        <f>+VLOOKUP($A1008,MAGAZZINO!$B$2:$M$100000,6,FALSE)</f>
        <v/>
      </c>
      <c r="G1008" s="3">
        <f>+VLOOKUP($A1008,MAGAZZINO!$B$2:$M$100000,7,FALSE)</f>
        <v/>
      </c>
      <c r="H1008" s="3">
        <f>+VLOOKUP($A1008,MAGAZZINO!$B$2:$M$100000,8,FALSE)</f>
        <v/>
      </c>
      <c r="I1008" s="3">
        <f>+VLOOKUP($A1008,MAGAZZINO!$B$2:$M$100000,9,FALSE)</f>
        <v/>
      </c>
      <c r="J1008" s="3">
        <f>+VLOOKUP($A1008,MAGAZZINO!$B$2:$M$100000,10,FALSE)</f>
        <v/>
      </c>
      <c r="K1008" s="3">
        <f>+VLOOKUP($A1008,MAGAZZINO!$B$2:$M$100000,11,FALSE)</f>
        <v/>
      </c>
      <c r="L1008" s="5">
        <f>+VLOOKUP($A1008,MAGAZZINO!$B$2:$M$100000,12,FALSE)</f>
        <v/>
      </c>
      <c r="M1008" s="47" t="n"/>
      <c r="N1008" s="54" t="n"/>
      <c r="O1008" s="3" t="n"/>
      <c r="P1008" s="149" t="n"/>
      <c r="Q1008" s="150" t="n"/>
      <c r="R1008" s="150" t="n"/>
      <c r="S1008" s="151" t="n"/>
    </row>
    <row r="1009" ht="36" customHeight="1">
      <c r="A1009" s="46" t="n">
        <v>3339</v>
      </c>
      <c r="B1009" s="4">
        <f>+VLOOKUP($A1009,MAGAZZINO!$B$2:$M$100000,2,FALSE)</f>
        <v/>
      </c>
      <c r="C1009" s="29">
        <f>+VLOOKUP($A1009,MAGAZZINO!$B$2:$M$100000,3,FALSE)</f>
        <v/>
      </c>
      <c r="D1009" s="3">
        <f>+VLOOKUP($A1009,MAGAZZINO!$B$2:$M$100000,4,FALSE)</f>
        <v/>
      </c>
      <c r="E1009" s="3">
        <f>+VLOOKUP($A1009,MAGAZZINO!$B$2:$M$100000,5,FALSE)</f>
        <v/>
      </c>
      <c r="F1009" s="3">
        <f>+VLOOKUP($A1009,MAGAZZINO!$B$2:$M$100000,6,FALSE)</f>
        <v/>
      </c>
      <c r="G1009" s="3">
        <f>+VLOOKUP($A1009,MAGAZZINO!$B$2:$M$100000,7,FALSE)</f>
        <v/>
      </c>
      <c r="H1009" s="3">
        <f>+VLOOKUP($A1009,MAGAZZINO!$B$2:$M$100000,8,FALSE)</f>
        <v/>
      </c>
      <c r="I1009" s="3">
        <f>+VLOOKUP($A1009,MAGAZZINO!$B$2:$M$100000,9,FALSE)</f>
        <v/>
      </c>
      <c r="J1009" s="3">
        <f>+VLOOKUP($A1009,MAGAZZINO!$B$2:$M$100000,10,FALSE)</f>
        <v/>
      </c>
      <c r="K1009" s="3">
        <f>+VLOOKUP($A1009,MAGAZZINO!$B$2:$M$100000,11,FALSE)</f>
        <v/>
      </c>
      <c r="L1009" s="5">
        <f>+VLOOKUP($A1009,MAGAZZINO!$B$2:$M$100000,12,FALSE)</f>
        <v/>
      </c>
      <c r="M1009" s="47" t="n"/>
      <c r="N1009" s="54" t="n"/>
      <c r="O1009" s="3" t="n"/>
      <c r="P1009" s="149" t="n"/>
      <c r="Q1009" s="150" t="n"/>
      <c r="R1009" s="150" t="n"/>
      <c r="S1009" s="151" t="n"/>
    </row>
    <row r="1010" ht="36" customHeight="1">
      <c r="A1010" s="46" t="n">
        <v>3340</v>
      </c>
      <c r="B1010" s="4">
        <f>+VLOOKUP($A1010,MAGAZZINO!$B$2:$M$100000,2,FALSE)</f>
        <v/>
      </c>
      <c r="C1010" s="29">
        <f>+VLOOKUP($A1010,MAGAZZINO!$B$2:$M$100000,3,FALSE)</f>
        <v/>
      </c>
      <c r="D1010" s="3">
        <f>+VLOOKUP($A1010,MAGAZZINO!$B$2:$M$100000,4,FALSE)</f>
        <v/>
      </c>
      <c r="E1010" s="3">
        <f>+VLOOKUP($A1010,MAGAZZINO!$B$2:$M$100000,5,FALSE)</f>
        <v/>
      </c>
      <c r="F1010" s="3">
        <f>+VLOOKUP($A1010,MAGAZZINO!$B$2:$M$100000,6,FALSE)</f>
        <v/>
      </c>
      <c r="G1010" s="3">
        <f>+VLOOKUP($A1010,MAGAZZINO!$B$2:$M$100000,7,FALSE)</f>
        <v/>
      </c>
      <c r="H1010" s="3">
        <f>+VLOOKUP($A1010,MAGAZZINO!$B$2:$M$100000,8,FALSE)</f>
        <v/>
      </c>
      <c r="I1010" s="3">
        <f>+VLOOKUP($A1010,MAGAZZINO!$B$2:$M$100000,9,FALSE)</f>
        <v/>
      </c>
      <c r="J1010" s="3">
        <f>+VLOOKUP($A1010,MAGAZZINO!$B$2:$M$100000,10,FALSE)</f>
        <v/>
      </c>
      <c r="K1010" s="3">
        <f>+VLOOKUP($A1010,MAGAZZINO!$B$2:$M$100000,11,FALSE)</f>
        <v/>
      </c>
      <c r="L1010" s="5">
        <f>+VLOOKUP($A1010,MAGAZZINO!$B$2:$M$100000,12,FALSE)</f>
        <v/>
      </c>
      <c r="M1010" s="47" t="n"/>
      <c r="N1010" s="54" t="n"/>
      <c r="O1010" s="3" t="n"/>
      <c r="P1010" s="149" t="n"/>
      <c r="Q1010" s="150" t="n"/>
      <c r="R1010" s="150" t="n"/>
      <c r="S1010" s="151" t="n"/>
    </row>
    <row r="1011" ht="36" customHeight="1">
      <c r="A1011" s="46" t="n">
        <v>3341</v>
      </c>
      <c r="B1011" s="4">
        <f>+VLOOKUP($A1011,MAGAZZINO!$B$2:$M$100000,2,FALSE)</f>
        <v/>
      </c>
      <c r="C1011" s="29">
        <f>+VLOOKUP($A1011,MAGAZZINO!$B$2:$M$100000,3,FALSE)</f>
        <v/>
      </c>
      <c r="D1011" s="3">
        <f>+VLOOKUP($A1011,MAGAZZINO!$B$2:$M$100000,4,FALSE)</f>
        <v/>
      </c>
      <c r="E1011" s="3">
        <f>+VLOOKUP($A1011,MAGAZZINO!$B$2:$M$100000,5,FALSE)</f>
        <v/>
      </c>
      <c r="F1011" s="3">
        <f>+VLOOKUP($A1011,MAGAZZINO!$B$2:$M$100000,6,FALSE)</f>
        <v/>
      </c>
      <c r="G1011" s="3">
        <f>+VLOOKUP($A1011,MAGAZZINO!$B$2:$M$100000,7,FALSE)</f>
        <v/>
      </c>
      <c r="H1011" s="3">
        <f>+VLOOKUP($A1011,MAGAZZINO!$B$2:$M$100000,8,FALSE)</f>
        <v/>
      </c>
      <c r="I1011" s="3">
        <f>+VLOOKUP($A1011,MAGAZZINO!$B$2:$M$100000,9,FALSE)</f>
        <v/>
      </c>
      <c r="J1011" s="3">
        <f>+VLOOKUP($A1011,MAGAZZINO!$B$2:$M$100000,10,FALSE)</f>
        <v/>
      </c>
      <c r="K1011" s="3">
        <f>+VLOOKUP($A1011,MAGAZZINO!$B$2:$M$100000,11,FALSE)</f>
        <v/>
      </c>
      <c r="L1011" s="5">
        <f>+VLOOKUP($A1011,MAGAZZINO!$B$2:$M$100000,12,FALSE)</f>
        <v/>
      </c>
      <c r="M1011" s="47" t="n"/>
      <c r="N1011" s="54" t="n"/>
      <c r="O1011" s="3" t="n"/>
      <c r="P1011" s="149" t="n"/>
      <c r="Q1011" s="150" t="n"/>
      <c r="R1011" s="150" t="n"/>
      <c r="S1011" s="151" t="n"/>
    </row>
    <row r="1012" ht="36" customHeight="1">
      <c r="A1012" s="46" t="n">
        <v>3342</v>
      </c>
      <c r="B1012" s="4">
        <f>+VLOOKUP($A1012,MAGAZZINO!$B$2:$M$100000,2,FALSE)</f>
        <v/>
      </c>
      <c r="C1012" s="29">
        <f>+VLOOKUP($A1012,MAGAZZINO!$B$2:$M$100000,3,FALSE)</f>
        <v/>
      </c>
      <c r="D1012" s="3">
        <f>+VLOOKUP($A1012,MAGAZZINO!$B$2:$M$100000,4,FALSE)</f>
        <v/>
      </c>
      <c r="E1012" s="3">
        <f>+VLOOKUP($A1012,MAGAZZINO!$B$2:$M$100000,5,FALSE)</f>
        <v/>
      </c>
      <c r="F1012" s="3">
        <f>+VLOOKUP($A1012,MAGAZZINO!$B$2:$M$100000,6,FALSE)</f>
        <v/>
      </c>
      <c r="G1012" s="3">
        <f>+VLOOKUP($A1012,MAGAZZINO!$B$2:$M$100000,7,FALSE)</f>
        <v/>
      </c>
      <c r="H1012" s="3">
        <f>+VLOOKUP($A1012,MAGAZZINO!$B$2:$M$100000,8,FALSE)</f>
        <v/>
      </c>
      <c r="I1012" s="3">
        <f>+VLOOKUP($A1012,MAGAZZINO!$B$2:$M$100000,9,FALSE)</f>
        <v/>
      </c>
      <c r="J1012" s="3">
        <f>+VLOOKUP($A1012,MAGAZZINO!$B$2:$M$100000,10,FALSE)</f>
        <v/>
      </c>
      <c r="K1012" s="3">
        <f>+VLOOKUP($A1012,MAGAZZINO!$B$2:$M$100000,11,FALSE)</f>
        <v/>
      </c>
      <c r="L1012" s="5">
        <f>+VLOOKUP($A1012,MAGAZZINO!$B$2:$M$100000,12,FALSE)</f>
        <v/>
      </c>
      <c r="M1012" s="47" t="n"/>
      <c r="N1012" s="54" t="n"/>
      <c r="O1012" s="3" t="n"/>
      <c r="P1012" s="149" t="n"/>
      <c r="Q1012" s="150" t="n"/>
      <c r="R1012" s="150" t="n"/>
      <c r="S1012" s="151" t="n"/>
    </row>
    <row r="1013" ht="36" customHeight="1">
      <c r="A1013" s="46" t="n">
        <v>3343</v>
      </c>
      <c r="B1013" s="4">
        <f>+VLOOKUP($A1013,MAGAZZINO!$B$2:$M$100000,2,FALSE)</f>
        <v/>
      </c>
      <c r="C1013" s="29">
        <f>+VLOOKUP($A1013,MAGAZZINO!$B$2:$M$100000,3,FALSE)</f>
        <v/>
      </c>
      <c r="D1013" s="3">
        <f>+VLOOKUP($A1013,MAGAZZINO!$B$2:$M$100000,4,FALSE)</f>
        <v/>
      </c>
      <c r="E1013" s="3">
        <f>+VLOOKUP($A1013,MAGAZZINO!$B$2:$M$100000,5,FALSE)</f>
        <v/>
      </c>
      <c r="F1013" s="3">
        <f>+VLOOKUP($A1013,MAGAZZINO!$B$2:$M$100000,6,FALSE)</f>
        <v/>
      </c>
      <c r="G1013" s="3">
        <f>+VLOOKUP($A1013,MAGAZZINO!$B$2:$M$100000,7,FALSE)</f>
        <v/>
      </c>
      <c r="H1013" s="3">
        <f>+VLOOKUP($A1013,MAGAZZINO!$B$2:$M$100000,8,FALSE)</f>
        <v/>
      </c>
      <c r="I1013" s="3">
        <f>+VLOOKUP($A1013,MAGAZZINO!$B$2:$M$100000,9,FALSE)</f>
        <v/>
      </c>
      <c r="J1013" s="3">
        <f>+VLOOKUP($A1013,MAGAZZINO!$B$2:$M$100000,10,FALSE)</f>
        <v/>
      </c>
      <c r="K1013" s="3">
        <f>+VLOOKUP($A1013,MAGAZZINO!$B$2:$M$100000,11,FALSE)</f>
        <v/>
      </c>
      <c r="L1013" s="5">
        <f>+VLOOKUP($A1013,MAGAZZINO!$B$2:$M$100000,12,FALSE)</f>
        <v/>
      </c>
      <c r="M1013" s="47" t="n"/>
      <c r="N1013" s="54" t="n"/>
      <c r="O1013" s="3" t="n"/>
      <c r="P1013" s="149" t="n"/>
      <c r="Q1013" s="150" t="n"/>
      <c r="R1013" s="150" t="n"/>
      <c r="S1013" s="151" t="n"/>
    </row>
    <row r="1014" ht="36" customHeight="1">
      <c r="A1014" s="46" t="n">
        <v>3344</v>
      </c>
      <c r="B1014" s="4">
        <f>+VLOOKUP($A1014,MAGAZZINO!$B$2:$M$100000,2,FALSE)</f>
        <v/>
      </c>
      <c r="C1014" s="29">
        <f>+VLOOKUP($A1014,MAGAZZINO!$B$2:$M$100000,3,FALSE)</f>
        <v/>
      </c>
      <c r="D1014" s="3">
        <f>+VLOOKUP($A1014,MAGAZZINO!$B$2:$M$100000,4,FALSE)</f>
        <v/>
      </c>
      <c r="E1014" s="3">
        <f>+VLOOKUP($A1014,MAGAZZINO!$B$2:$M$100000,5,FALSE)</f>
        <v/>
      </c>
      <c r="F1014" s="3">
        <f>+VLOOKUP($A1014,MAGAZZINO!$B$2:$M$100000,6,FALSE)</f>
        <v/>
      </c>
      <c r="G1014" s="3">
        <f>+VLOOKUP($A1014,MAGAZZINO!$B$2:$M$100000,7,FALSE)</f>
        <v/>
      </c>
      <c r="H1014" s="3">
        <f>+VLOOKUP($A1014,MAGAZZINO!$B$2:$M$100000,8,FALSE)</f>
        <v/>
      </c>
      <c r="I1014" s="3">
        <f>+VLOOKUP($A1014,MAGAZZINO!$B$2:$M$100000,9,FALSE)</f>
        <v/>
      </c>
      <c r="J1014" s="3">
        <f>+VLOOKUP($A1014,MAGAZZINO!$B$2:$M$100000,10,FALSE)</f>
        <v/>
      </c>
      <c r="K1014" s="3">
        <f>+VLOOKUP($A1014,MAGAZZINO!$B$2:$M$100000,11,FALSE)</f>
        <v/>
      </c>
      <c r="L1014" s="5">
        <f>+VLOOKUP($A1014,MAGAZZINO!$B$2:$M$100000,12,FALSE)</f>
        <v/>
      </c>
      <c r="M1014" s="47" t="n"/>
      <c r="N1014" s="54" t="n"/>
      <c r="O1014" s="3" t="n"/>
      <c r="P1014" s="149" t="n"/>
      <c r="Q1014" s="150" t="n"/>
      <c r="R1014" s="150" t="n"/>
      <c r="S1014" s="151" t="n"/>
    </row>
    <row r="1015" ht="36" customHeight="1">
      <c r="A1015" s="46" t="n">
        <v>3345</v>
      </c>
      <c r="B1015" s="4">
        <f>+VLOOKUP($A1015,MAGAZZINO!$B$2:$M$100000,2,FALSE)</f>
        <v/>
      </c>
      <c r="C1015" s="29">
        <f>+VLOOKUP($A1015,MAGAZZINO!$B$2:$M$100000,3,FALSE)</f>
        <v/>
      </c>
      <c r="D1015" s="3">
        <f>+VLOOKUP($A1015,MAGAZZINO!$B$2:$M$100000,4,FALSE)</f>
        <v/>
      </c>
      <c r="E1015" s="3">
        <f>+VLOOKUP($A1015,MAGAZZINO!$B$2:$M$100000,5,FALSE)</f>
        <v/>
      </c>
      <c r="F1015" s="3">
        <f>+VLOOKUP($A1015,MAGAZZINO!$B$2:$M$100000,6,FALSE)</f>
        <v/>
      </c>
      <c r="G1015" s="3">
        <f>+VLOOKUP($A1015,MAGAZZINO!$B$2:$M$100000,7,FALSE)</f>
        <v/>
      </c>
      <c r="H1015" s="3">
        <f>+VLOOKUP($A1015,MAGAZZINO!$B$2:$M$100000,8,FALSE)</f>
        <v/>
      </c>
      <c r="I1015" s="3">
        <f>+VLOOKUP($A1015,MAGAZZINO!$B$2:$M$100000,9,FALSE)</f>
        <v/>
      </c>
      <c r="J1015" s="3">
        <f>+VLOOKUP($A1015,MAGAZZINO!$B$2:$M$100000,10,FALSE)</f>
        <v/>
      </c>
      <c r="K1015" s="3">
        <f>+VLOOKUP($A1015,MAGAZZINO!$B$2:$M$100000,11,FALSE)</f>
        <v/>
      </c>
      <c r="L1015" s="5">
        <f>+VLOOKUP($A1015,MAGAZZINO!$B$2:$M$100000,12,FALSE)</f>
        <v/>
      </c>
      <c r="M1015" s="47" t="n"/>
      <c r="N1015" s="54" t="n"/>
      <c r="O1015" s="3" t="n"/>
      <c r="P1015" s="149" t="n"/>
      <c r="Q1015" s="150" t="n"/>
      <c r="R1015" s="150" t="n"/>
      <c r="S1015" s="151" t="n"/>
    </row>
    <row r="1016" ht="36" customHeight="1">
      <c r="A1016" s="46" t="n">
        <v>3346</v>
      </c>
      <c r="B1016" s="4">
        <f>+VLOOKUP($A1016,MAGAZZINO!$B$2:$M$100000,2,FALSE)</f>
        <v/>
      </c>
      <c r="C1016" s="29">
        <f>+VLOOKUP($A1016,MAGAZZINO!$B$2:$M$100000,3,FALSE)</f>
        <v/>
      </c>
      <c r="D1016" s="3">
        <f>+VLOOKUP($A1016,MAGAZZINO!$B$2:$M$100000,4,FALSE)</f>
        <v/>
      </c>
      <c r="E1016" s="3">
        <f>+VLOOKUP($A1016,MAGAZZINO!$B$2:$M$100000,5,FALSE)</f>
        <v/>
      </c>
      <c r="F1016" s="3">
        <f>+VLOOKUP($A1016,MAGAZZINO!$B$2:$M$100000,6,FALSE)</f>
        <v/>
      </c>
      <c r="G1016" s="3">
        <f>+VLOOKUP($A1016,MAGAZZINO!$B$2:$M$100000,7,FALSE)</f>
        <v/>
      </c>
      <c r="H1016" s="3">
        <f>+VLOOKUP($A1016,MAGAZZINO!$B$2:$M$100000,8,FALSE)</f>
        <v/>
      </c>
      <c r="I1016" s="3">
        <f>+VLOOKUP($A1016,MAGAZZINO!$B$2:$M$100000,9,FALSE)</f>
        <v/>
      </c>
      <c r="J1016" s="3">
        <f>+VLOOKUP($A1016,MAGAZZINO!$B$2:$M$100000,10,FALSE)</f>
        <v/>
      </c>
      <c r="K1016" s="3">
        <f>+VLOOKUP($A1016,MAGAZZINO!$B$2:$M$100000,11,FALSE)</f>
        <v/>
      </c>
      <c r="L1016" s="5">
        <f>+VLOOKUP($A1016,MAGAZZINO!$B$2:$M$100000,12,FALSE)</f>
        <v/>
      </c>
      <c r="M1016" s="47" t="n"/>
      <c r="N1016" s="54" t="n"/>
      <c r="O1016" s="3" t="n"/>
      <c r="P1016" s="149" t="n"/>
      <c r="Q1016" s="150" t="n"/>
      <c r="R1016" s="150" t="n"/>
      <c r="S1016" s="151" t="n"/>
    </row>
    <row r="1017" ht="36" customHeight="1">
      <c r="A1017" s="46" t="n">
        <v>3347</v>
      </c>
      <c r="B1017" s="4">
        <f>+VLOOKUP($A1017,MAGAZZINO!$B$2:$M$100000,2,FALSE)</f>
        <v/>
      </c>
      <c r="C1017" s="29">
        <f>+VLOOKUP($A1017,MAGAZZINO!$B$2:$M$100000,3,FALSE)</f>
        <v/>
      </c>
      <c r="D1017" s="3">
        <f>+VLOOKUP($A1017,MAGAZZINO!$B$2:$M$100000,4,FALSE)</f>
        <v/>
      </c>
      <c r="E1017" s="3">
        <f>+VLOOKUP($A1017,MAGAZZINO!$B$2:$M$100000,5,FALSE)</f>
        <v/>
      </c>
      <c r="F1017" s="3">
        <f>+VLOOKUP($A1017,MAGAZZINO!$B$2:$M$100000,6,FALSE)</f>
        <v/>
      </c>
      <c r="G1017" s="3">
        <f>+VLOOKUP($A1017,MAGAZZINO!$B$2:$M$100000,7,FALSE)</f>
        <v/>
      </c>
      <c r="H1017" s="3">
        <f>+VLOOKUP($A1017,MAGAZZINO!$B$2:$M$100000,8,FALSE)</f>
        <v/>
      </c>
      <c r="I1017" s="3">
        <f>+VLOOKUP($A1017,MAGAZZINO!$B$2:$M$100000,9,FALSE)</f>
        <v/>
      </c>
      <c r="J1017" s="3">
        <f>+VLOOKUP($A1017,MAGAZZINO!$B$2:$M$100000,10,FALSE)</f>
        <v/>
      </c>
      <c r="K1017" s="3">
        <f>+VLOOKUP($A1017,MAGAZZINO!$B$2:$M$100000,11,FALSE)</f>
        <v/>
      </c>
      <c r="L1017" s="5">
        <f>+VLOOKUP($A1017,MAGAZZINO!$B$2:$M$100000,12,FALSE)</f>
        <v/>
      </c>
      <c r="M1017" s="47" t="n"/>
      <c r="N1017" s="54" t="n"/>
      <c r="O1017" s="3" t="n"/>
      <c r="P1017" s="149" t="n"/>
      <c r="Q1017" s="150" t="n"/>
      <c r="R1017" s="150" t="n"/>
      <c r="S1017" s="151" t="n"/>
    </row>
    <row r="1018" ht="36" customHeight="1">
      <c r="A1018" s="46" t="n">
        <v>3348</v>
      </c>
      <c r="B1018" s="4">
        <f>+VLOOKUP($A1018,MAGAZZINO!$B$2:$M$100000,2,FALSE)</f>
        <v/>
      </c>
      <c r="C1018" s="29">
        <f>+VLOOKUP($A1018,MAGAZZINO!$B$2:$M$100000,3,FALSE)</f>
        <v/>
      </c>
      <c r="D1018" s="3">
        <f>+VLOOKUP($A1018,MAGAZZINO!$B$2:$M$100000,4,FALSE)</f>
        <v/>
      </c>
      <c r="E1018" s="3">
        <f>+VLOOKUP($A1018,MAGAZZINO!$B$2:$M$100000,5,FALSE)</f>
        <v/>
      </c>
      <c r="F1018" s="3">
        <f>+VLOOKUP($A1018,MAGAZZINO!$B$2:$M$100000,6,FALSE)</f>
        <v/>
      </c>
      <c r="G1018" s="3">
        <f>+VLOOKUP($A1018,MAGAZZINO!$B$2:$M$100000,7,FALSE)</f>
        <v/>
      </c>
      <c r="H1018" s="3">
        <f>+VLOOKUP($A1018,MAGAZZINO!$B$2:$M$100000,8,FALSE)</f>
        <v/>
      </c>
      <c r="I1018" s="3">
        <f>+VLOOKUP($A1018,MAGAZZINO!$B$2:$M$100000,9,FALSE)</f>
        <v/>
      </c>
      <c r="J1018" s="3">
        <f>+VLOOKUP($A1018,MAGAZZINO!$B$2:$M$100000,10,FALSE)</f>
        <v/>
      </c>
      <c r="K1018" s="3">
        <f>+VLOOKUP($A1018,MAGAZZINO!$B$2:$M$100000,11,FALSE)</f>
        <v/>
      </c>
      <c r="L1018" s="5">
        <f>+VLOOKUP($A1018,MAGAZZINO!$B$2:$M$100000,12,FALSE)</f>
        <v/>
      </c>
      <c r="M1018" s="47" t="n"/>
      <c r="N1018" s="54" t="n"/>
      <c r="O1018" s="3" t="n"/>
      <c r="P1018" s="149" t="n"/>
      <c r="Q1018" s="150" t="n"/>
      <c r="R1018" s="150" t="n"/>
      <c r="S1018" s="151" t="n"/>
    </row>
    <row r="1019" ht="36" customHeight="1">
      <c r="A1019" s="46" t="n">
        <v>3349</v>
      </c>
      <c r="B1019" s="4">
        <f>+VLOOKUP($A1019,MAGAZZINO!$B$2:$M$100000,2,FALSE)</f>
        <v/>
      </c>
      <c r="C1019" s="29">
        <f>+VLOOKUP($A1019,MAGAZZINO!$B$2:$M$100000,3,FALSE)</f>
        <v/>
      </c>
      <c r="D1019" s="3">
        <f>+VLOOKUP($A1019,MAGAZZINO!$B$2:$M$100000,4,FALSE)</f>
        <v/>
      </c>
      <c r="E1019" s="3">
        <f>+VLOOKUP($A1019,MAGAZZINO!$B$2:$M$100000,5,FALSE)</f>
        <v/>
      </c>
      <c r="F1019" s="3">
        <f>+VLOOKUP($A1019,MAGAZZINO!$B$2:$M$100000,6,FALSE)</f>
        <v/>
      </c>
      <c r="G1019" s="3">
        <f>+VLOOKUP($A1019,MAGAZZINO!$B$2:$M$100000,7,FALSE)</f>
        <v/>
      </c>
      <c r="H1019" s="3">
        <f>+VLOOKUP($A1019,MAGAZZINO!$B$2:$M$100000,8,FALSE)</f>
        <v/>
      </c>
      <c r="I1019" s="3">
        <f>+VLOOKUP($A1019,MAGAZZINO!$B$2:$M$100000,9,FALSE)</f>
        <v/>
      </c>
      <c r="J1019" s="3">
        <f>+VLOOKUP($A1019,MAGAZZINO!$B$2:$M$100000,10,FALSE)</f>
        <v/>
      </c>
      <c r="K1019" s="3">
        <f>+VLOOKUP($A1019,MAGAZZINO!$B$2:$M$100000,11,FALSE)</f>
        <v/>
      </c>
      <c r="L1019" s="5">
        <f>+VLOOKUP($A1019,MAGAZZINO!$B$2:$M$100000,12,FALSE)</f>
        <v/>
      </c>
      <c r="M1019" s="47" t="n"/>
      <c r="N1019" s="54" t="n"/>
      <c r="O1019" s="3" t="n"/>
      <c r="P1019" s="149" t="n"/>
      <c r="Q1019" s="150" t="n"/>
      <c r="R1019" s="150" t="n"/>
      <c r="S1019" s="151" t="n"/>
    </row>
    <row r="1020" ht="36" customHeight="1">
      <c r="A1020" s="46" t="n">
        <v>3350</v>
      </c>
      <c r="B1020" s="4">
        <f>+VLOOKUP($A1020,MAGAZZINO!$B$2:$M$100000,2,FALSE)</f>
        <v/>
      </c>
      <c r="C1020" s="29">
        <f>+VLOOKUP($A1020,MAGAZZINO!$B$2:$M$100000,3,FALSE)</f>
        <v/>
      </c>
      <c r="D1020" s="3">
        <f>+VLOOKUP($A1020,MAGAZZINO!$B$2:$M$100000,4,FALSE)</f>
        <v/>
      </c>
      <c r="E1020" s="3">
        <f>+VLOOKUP($A1020,MAGAZZINO!$B$2:$M$100000,5,FALSE)</f>
        <v/>
      </c>
      <c r="F1020" s="3">
        <f>+VLOOKUP($A1020,MAGAZZINO!$B$2:$M$100000,6,FALSE)</f>
        <v/>
      </c>
      <c r="G1020" s="3">
        <f>+VLOOKUP($A1020,MAGAZZINO!$B$2:$M$100000,7,FALSE)</f>
        <v/>
      </c>
      <c r="H1020" s="3">
        <f>+VLOOKUP($A1020,MAGAZZINO!$B$2:$M$100000,8,FALSE)</f>
        <v/>
      </c>
      <c r="I1020" s="3">
        <f>+VLOOKUP($A1020,MAGAZZINO!$B$2:$M$100000,9,FALSE)</f>
        <v/>
      </c>
      <c r="J1020" s="3">
        <f>+VLOOKUP($A1020,MAGAZZINO!$B$2:$M$100000,10,FALSE)</f>
        <v/>
      </c>
      <c r="K1020" s="3">
        <f>+VLOOKUP($A1020,MAGAZZINO!$B$2:$M$100000,11,FALSE)</f>
        <v/>
      </c>
      <c r="L1020" s="5">
        <f>+VLOOKUP($A1020,MAGAZZINO!$B$2:$M$100000,12,FALSE)</f>
        <v/>
      </c>
      <c r="M1020" s="47" t="n"/>
      <c r="N1020" s="54" t="n"/>
      <c r="O1020" s="3" t="n"/>
      <c r="P1020" s="149" t="n"/>
      <c r="Q1020" s="150" t="n"/>
      <c r="R1020" s="150" t="n"/>
      <c r="S1020" s="151" t="n"/>
    </row>
    <row r="1021" ht="36" customHeight="1">
      <c r="A1021" s="46" t="n">
        <v>3351</v>
      </c>
      <c r="B1021" s="4">
        <f>+VLOOKUP($A1021,MAGAZZINO!$B$2:$M$100000,2,FALSE)</f>
        <v/>
      </c>
      <c r="C1021" s="29">
        <f>+VLOOKUP($A1021,MAGAZZINO!$B$2:$M$100000,3,FALSE)</f>
        <v/>
      </c>
      <c r="D1021" s="3">
        <f>+VLOOKUP($A1021,MAGAZZINO!$B$2:$M$100000,4,FALSE)</f>
        <v/>
      </c>
      <c r="E1021" s="3">
        <f>+VLOOKUP($A1021,MAGAZZINO!$B$2:$M$100000,5,FALSE)</f>
        <v/>
      </c>
      <c r="F1021" s="3">
        <f>+VLOOKUP($A1021,MAGAZZINO!$B$2:$M$100000,6,FALSE)</f>
        <v/>
      </c>
      <c r="G1021" s="3">
        <f>+VLOOKUP($A1021,MAGAZZINO!$B$2:$M$100000,7,FALSE)</f>
        <v/>
      </c>
      <c r="H1021" s="3">
        <f>+VLOOKUP($A1021,MAGAZZINO!$B$2:$M$100000,8,FALSE)</f>
        <v/>
      </c>
      <c r="I1021" s="3">
        <f>+VLOOKUP($A1021,MAGAZZINO!$B$2:$M$100000,9,FALSE)</f>
        <v/>
      </c>
      <c r="J1021" s="3">
        <f>+VLOOKUP($A1021,MAGAZZINO!$B$2:$M$100000,10,FALSE)</f>
        <v/>
      </c>
      <c r="K1021" s="3">
        <f>+VLOOKUP($A1021,MAGAZZINO!$B$2:$M$100000,11,FALSE)</f>
        <v/>
      </c>
      <c r="L1021" s="5">
        <f>+VLOOKUP($A1021,MAGAZZINO!$B$2:$M$100000,12,FALSE)</f>
        <v/>
      </c>
      <c r="M1021" s="47" t="n"/>
      <c r="N1021" s="54" t="n"/>
      <c r="O1021" s="3" t="n"/>
      <c r="P1021" s="149" t="n"/>
      <c r="Q1021" s="150" t="n"/>
      <c r="R1021" s="150" t="n"/>
      <c r="S1021" s="151" t="n"/>
    </row>
    <row r="1022" ht="36" customHeight="1">
      <c r="A1022" s="46" t="n">
        <v>3352</v>
      </c>
      <c r="B1022" s="4">
        <f>+VLOOKUP($A1022,MAGAZZINO!$B$2:$M$100000,2,FALSE)</f>
        <v/>
      </c>
      <c r="C1022" s="29">
        <f>+VLOOKUP($A1022,MAGAZZINO!$B$2:$M$100000,3,FALSE)</f>
        <v/>
      </c>
      <c r="D1022" s="3">
        <f>+VLOOKUP($A1022,MAGAZZINO!$B$2:$M$100000,4,FALSE)</f>
        <v/>
      </c>
      <c r="E1022" s="3">
        <f>+VLOOKUP($A1022,MAGAZZINO!$B$2:$M$100000,5,FALSE)</f>
        <v/>
      </c>
      <c r="F1022" s="3">
        <f>+VLOOKUP($A1022,MAGAZZINO!$B$2:$M$100000,6,FALSE)</f>
        <v/>
      </c>
      <c r="G1022" s="3">
        <f>+VLOOKUP($A1022,MAGAZZINO!$B$2:$M$100000,7,FALSE)</f>
        <v/>
      </c>
      <c r="H1022" s="3">
        <f>+VLOOKUP($A1022,MAGAZZINO!$B$2:$M$100000,8,FALSE)</f>
        <v/>
      </c>
      <c r="I1022" s="3">
        <f>+VLOOKUP($A1022,MAGAZZINO!$B$2:$M$100000,9,FALSE)</f>
        <v/>
      </c>
      <c r="J1022" s="3">
        <f>+VLOOKUP($A1022,MAGAZZINO!$B$2:$M$100000,10,FALSE)</f>
        <v/>
      </c>
      <c r="K1022" s="3">
        <f>+VLOOKUP($A1022,MAGAZZINO!$B$2:$M$100000,11,FALSE)</f>
        <v/>
      </c>
      <c r="L1022" s="5">
        <f>+VLOOKUP($A1022,MAGAZZINO!$B$2:$M$100000,12,FALSE)</f>
        <v/>
      </c>
      <c r="M1022" s="47" t="n"/>
      <c r="N1022" s="54" t="n"/>
      <c r="O1022" s="3" t="n"/>
      <c r="P1022" s="149" t="n"/>
      <c r="Q1022" s="150" t="n"/>
      <c r="R1022" s="150" t="n"/>
      <c r="S1022" s="151" t="n"/>
    </row>
    <row r="1023" ht="36" customHeight="1">
      <c r="A1023" s="46" t="n">
        <v>3353</v>
      </c>
      <c r="B1023" s="4">
        <f>+VLOOKUP($A1023,MAGAZZINO!$B$2:$M$100000,2,FALSE)</f>
        <v/>
      </c>
      <c r="C1023" s="29">
        <f>+VLOOKUP($A1023,MAGAZZINO!$B$2:$M$100000,3,FALSE)</f>
        <v/>
      </c>
      <c r="D1023" s="3">
        <f>+VLOOKUP($A1023,MAGAZZINO!$B$2:$M$100000,4,FALSE)</f>
        <v/>
      </c>
      <c r="E1023" s="3">
        <f>+VLOOKUP($A1023,MAGAZZINO!$B$2:$M$100000,5,FALSE)</f>
        <v/>
      </c>
      <c r="F1023" s="3">
        <f>+VLOOKUP($A1023,MAGAZZINO!$B$2:$M$100000,6,FALSE)</f>
        <v/>
      </c>
      <c r="G1023" s="3">
        <f>+VLOOKUP($A1023,MAGAZZINO!$B$2:$M$100000,7,FALSE)</f>
        <v/>
      </c>
      <c r="H1023" s="3">
        <f>+VLOOKUP($A1023,MAGAZZINO!$B$2:$M$100000,8,FALSE)</f>
        <v/>
      </c>
      <c r="I1023" s="3">
        <f>+VLOOKUP($A1023,MAGAZZINO!$B$2:$M$100000,9,FALSE)</f>
        <v/>
      </c>
      <c r="J1023" s="3">
        <f>+VLOOKUP($A1023,MAGAZZINO!$B$2:$M$100000,10,FALSE)</f>
        <v/>
      </c>
      <c r="K1023" s="3">
        <f>+VLOOKUP($A1023,MAGAZZINO!$B$2:$M$100000,11,FALSE)</f>
        <v/>
      </c>
      <c r="L1023" s="5">
        <f>+VLOOKUP($A1023,MAGAZZINO!$B$2:$M$100000,12,FALSE)</f>
        <v/>
      </c>
      <c r="M1023" s="47" t="n"/>
      <c r="N1023" s="54" t="n"/>
      <c r="O1023" s="3" t="n"/>
      <c r="P1023" s="149" t="n"/>
      <c r="Q1023" s="150" t="n"/>
      <c r="R1023" s="150" t="n"/>
      <c r="S1023" s="151" t="n"/>
    </row>
    <row r="1024" ht="36" customHeight="1">
      <c r="A1024" s="46" t="n">
        <v>3354</v>
      </c>
      <c r="B1024" s="4">
        <f>+VLOOKUP($A1024,MAGAZZINO!$B$2:$M$100000,2,FALSE)</f>
        <v/>
      </c>
      <c r="C1024" s="29">
        <f>+VLOOKUP($A1024,MAGAZZINO!$B$2:$M$100000,3,FALSE)</f>
        <v/>
      </c>
      <c r="D1024" s="3">
        <f>+VLOOKUP($A1024,MAGAZZINO!$B$2:$M$100000,4,FALSE)</f>
        <v/>
      </c>
      <c r="E1024" s="3">
        <f>+VLOOKUP($A1024,MAGAZZINO!$B$2:$M$100000,5,FALSE)</f>
        <v/>
      </c>
      <c r="F1024" s="3">
        <f>+VLOOKUP($A1024,MAGAZZINO!$B$2:$M$100000,6,FALSE)</f>
        <v/>
      </c>
      <c r="G1024" s="3">
        <f>+VLOOKUP($A1024,MAGAZZINO!$B$2:$M$100000,7,FALSE)</f>
        <v/>
      </c>
      <c r="H1024" s="3">
        <f>+VLOOKUP($A1024,MAGAZZINO!$B$2:$M$100000,8,FALSE)</f>
        <v/>
      </c>
      <c r="I1024" s="3">
        <f>+VLOOKUP($A1024,MAGAZZINO!$B$2:$M$100000,9,FALSE)</f>
        <v/>
      </c>
      <c r="J1024" s="3">
        <f>+VLOOKUP($A1024,MAGAZZINO!$B$2:$M$100000,10,FALSE)</f>
        <v/>
      </c>
      <c r="K1024" s="3">
        <f>+VLOOKUP($A1024,MAGAZZINO!$B$2:$M$100000,11,FALSE)</f>
        <v/>
      </c>
      <c r="L1024" s="5">
        <f>+VLOOKUP($A1024,MAGAZZINO!$B$2:$M$100000,12,FALSE)</f>
        <v/>
      </c>
      <c r="M1024" s="47" t="n"/>
      <c r="N1024" s="54" t="n"/>
      <c r="O1024" s="3" t="n"/>
      <c r="P1024" s="149" t="n"/>
      <c r="Q1024" s="150" t="n"/>
      <c r="R1024" s="150" t="n"/>
      <c r="S1024" s="151" t="n"/>
    </row>
    <row r="1025" ht="36" customHeight="1">
      <c r="A1025" s="46" t="n">
        <v>3355</v>
      </c>
      <c r="B1025" s="4">
        <f>+VLOOKUP($A1025,MAGAZZINO!$B$2:$M$100000,2,FALSE)</f>
        <v/>
      </c>
      <c r="C1025" s="29">
        <f>+VLOOKUP($A1025,MAGAZZINO!$B$2:$M$100000,3,FALSE)</f>
        <v/>
      </c>
      <c r="D1025" s="3">
        <f>+VLOOKUP($A1025,MAGAZZINO!$B$2:$M$100000,4,FALSE)</f>
        <v/>
      </c>
      <c r="E1025" s="3">
        <f>+VLOOKUP($A1025,MAGAZZINO!$B$2:$M$100000,5,FALSE)</f>
        <v/>
      </c>
      <c r="F1025" s="3">
        <f>+VLOOKUP($A1025,MAGAZZINO!$B$2:$M$100000,6,FALSE)</f>
        <v/>
      </c>
      <c r="G1025" s="3">
        <f>+VLOOKUP($A1025,MAGAZZINO!$B$2:$M$100000,7,FALSE)</f>
        <v/>
      </c>
      <c r="H1025" s="3">
        <f>+VLOOKUP($A1025,MAGAZZINO!$B$2:$M$100000,8,FALSE)</f>
        <v/>
      </c>
      <c r="I1025" s="3">
        <f>+VLOOKUP($A1025,MAGAZZINO!$B$2:$M$100000,9,FALSE)</f>
        <v/>
      </c>
      <c r="J1025" s="3">
        <f>+VLOOKUP($A1025,MAGAZZINO!$B$2:$M$100000,10,FALSE)</f>
        <v/>
      </c>
      <c r="K1025" s="3">
        <f>+VLOOKUP($A1025,MAGAZZINO!$B$2:$M$100000,11,FALSE)</f>
        <v/>
      </c>
      <c r="L1025" s="5">
        <f>+VLOOKUP($A1025,MAGAZZINO!$B$2:$M$100000,12,FALSE)</f>
        <v/>
      </c>
      <c r="M1025" s="47" t="n"/>
      <c r="N1025" s="54" t="n"/>
      <c r="O1025" s="3" t="n"/>
      <c r="P1025" s="149" t="n"/>
      <c r="Q1025" s="150" t="n"/>
      <c r="R1025" s="150" t="n"/>
      <c r="S1025" s="151" t="n"/>
    </row>
    <row r="1026" ht="36" customHeight="1">
      <c r="A1026" s="46" t="n">
        <v>3356</v>
      </c>
      <c r="B1026" s="4">
        <f>+VLOOKUP($A1026,MAGAZZINO!$B$2:$M$100000,2,FALSE)</f>
        <v/>
      </c>
      <c r="C1026" s="29">
        <f>+VLOOKUP($A1026,MAGAZZINO!$B$2:$M$100000,3,FALSE)</f>
        <v/>
      </c>
      <c r="D1026" s="3">
        <f>+VLOOKUP($A1026,MAGAZZINO!$B$2:$M$100000,4,FALSE)</f>
        <v/>
      </c>
      <c r="E1026" s="3">
        <f>+VLOOKUP($A1026,MAGAZZINO!$B$2:$M$100000,5,FALSE)</f>
        <v/>
      </c>
      <c r="F1026" s="3">
        <f>+VLOOKUP($A1026,MAGAZZINO!$B$2:$M$100000,6,FALSE)</f>
        <v/>
      </c>
      <c r="G1026" s="3">
        <f>+VLOOKUP($A1026,MAGAZZINO!$B$2:$M$100000,7,FALSE)</f>
        <v/>
      </c>
      <c r="H1026" s="3">
        <f>+VLOOKUP($A1026,MAGAZZINO!$B$2:$M$100000,8,FALSE)</f>
        <v/>
      </c>
      <c r="I1026" s="3">
        <f>+VLOOKUP($A1026,MAGAZZINO!$B$2:$M$100000,9,FALSE)</f>
        <v/>
      </c>
      <c r="J1026" s="3">
        <f>+VLOOKUP($A1026,MAGAZZINO!$B$2:$M$100000,10,FALSE)</f>
        <v/>
      </c>
      <c r="K1026" s="3">
        <f>+VLOOKUP($A1026,MAGAZZINO!$B$2:$M$100000,11,FALSE)</f>
        <v/>
      </c>
      <c r="L1026" s="5">
        <f>+VLOOKUP($A1026,MAGAZZINO!$B$2:$M$100000,12,FALSE)</f>
        <v/>
      </c>
      <c r="M1026" s="47" t="n"/>
      <c r="N1026" s="54" t="n"/>
      <c r="O1026" s="3" t="n"/>
      <c r="P1026" s="149" t="n"/>
      <c r="Q1026" s="150" t="n"/>
      <c r="R1026" s="150" t="n"/>
      <c r="S1026" s="151" t="n"/>
    </row>
    <row r="1027" ht="36" customHeight="1">
      <c r="A1027" s="46" t="n">
        <v>3357</v>
      </c>
      <c r="B1027" s="4">
        <f>+VLOOKUP($A1027,MAGAZZINO!$B$2:$M$100000,2,FALSE)</f>
        <v/>
      </c>
      <c r="C1027" s="29">
        <f>+VLOOKUP($A1027,MAGAZZINO!$B$2:$M$100000,3,FALSE)</f>
        <v/>
      </c>
      <c r="D1027" s="3">
        <f>+VLOOKUP($A1027,MAGAZZINO!$B$2:$M$100000,4,FALSE)</f>
        <v/>
      </c>
      <c r="E1027" s="3">
        <f>+VLOOKUP($A1027,MAGAZZINO!$B$2:$M$100000,5,FALSE)</f>
        <v/>
      </c>
      <c r="F1027" s="3">
        <f>+VLOOKUP($A1027,MAGAZZINO!$B$2:$M$100000,6,FALSE)</f>
        <v/>
      </c>
      <c r="G1027" s="3">
        <f>+VLOOKUP($A1027,MAGAZZINO!$B$2:$M$100000,7,FALSE)</f>
        <v/>
      </c>
      <c r="H1027" s="3">
        <f>+VLOOKUP($A1027,MAGAZZINO!$B$2:$M$100000,8,FALSE)</f>
        <v/>
      </c>
      <c r="I1027" s="3">
        <f>+VLOOKUP($A1027,MAGAZZINO!$B$2:$M$100000,9,FALSE)</f>
        <v/>
      </c>
      <c r="J1027" s="3">
        <f>+VLOOKUP($A1027,MAGAZZINO!$B$2:$M$100000,10,FALSE)</f>
        <v/>
      </c>
      <c r="K1027" s="3">
        <f>+VLOOKUP($A1027,MAGAZZINO!$B$2:$M$100000,11,FALSE)</f>
        <v/>
      </c>
      <c r="L1027" s="5">
        <f>+VLOOKUP($A1027,MAGAZZINO!$B$2:$M$100000,12,FALSE)</f>
        <v/>
      </c>
      <c r="M1027" s="47" t="n"/>
      <c r="N1027" s="54" t="n"/>
      <c r="O1027" s="3" t="n"/>
      <c r="P1027" s="149" t="n"/>
      <c r="Q1027" s="150" t="n"/>
      <c r="R1027" s="150" t="n"/>
      <c r="S1027" s="151" t="n"/>
    </row>
    <row r="1028" ht="36" customHeight="1">
      <c r="A1028" s="46" t="n">
        <v>3358</v>
      </c>
      <c r="B1028" s="4">
        <f>+VLOOKUP($A1028,MAGAZZINO!$B$2:$M$100000,2,FALSE)</f>
        <v/>
      </c>
      <c r="C1028" s="29">
        <f>+VLOOKUP($A1028,MAGAZZINO!$B$2:$M$100000,3,FALSE)</f>
        <v/>
      </c>
      <c r="D1028" s="3">
        <f>+VLOOKUP($A1028,MAGAZZINO!$B$2:$M$100000,4,FALSE)</f>
        <v/>
      </c>
      <c r="E1028" s="3">
        <f>+VLOOKUP($A1028,MAGAZZINO!$B$2:$M$100000,5,FALSE)</f>
        <v/>
      </c>
      <c r="F1028" s="3">
        <f>+VLOOKUP($A1028,MAGAZZINO!$B$2:$M$100000,6,FALSE)</f>
        <v/>
      </c>
      <c r="G1028" s="3">
        <f>+VLOOKUP($A1028,MAGAZZINO!$B$2:$M$100000,7,FALSE)</f>
        <v/>
      </c>
      <c r="H1028" s="3">
        <f>+VLOOKUP($A1028,MAGAZZINO!$B$2:$M$100000,8,FALSE)</f>
        <v/>
      </c>
      <c r="I1028" s="3">
        <f>+VLOOKUP($A1028,MAGAZZINO!$B$2:$M$100000,9,FALSE)</f>
        <v/>
      </c>
      <c r="J1028" s="3">
        <f>+VLOOKUP($A1028,MAGAZZINO!$B$2:$M$100000,10,FALSE)</f>
        <v/>
      </c>
      <c r="K1028" s="3">
        <f>+VLOOKUP($A1028,MAGAZZINO!$B$2:$M$100000,11,FALSE)</f>
        <v/>
      </c>
      <c r="L1028" s="5">
        <f>+VLOOKUP($A1028,MAGAZZINO!$B$2:$M$100000,12,FALSE)</f>
        <v/>
      </c>
      <c r="M1028" s="47" t="n"/>
      <c r="N1028" s="54" t="n"/>
      <c r="O1028" s="3" t="n"/>
      <c r="P1028" s="149" t="n"/>
      <c r="Q1028" s="150" t="n"/>
      <c r="R1028" s="150" t="n"/>
      <c r="S1028" s="151" t="n"/>
    </row>
    <row r="1029" ht="36" customHeight="1">
      <c r="A1029" s="46" t="n">
        <v>3359</v>
      </c>
      <c r="B1029" s="4">
        <f>+VLOOKUP($A1029,MAGAZZINO!$B$2:$M$100000,2,FALSE)</f>
        <v/>
      </c>
      <c r="C1029" s="29">
        <f>+VLOOKUP($A1029,MAGAZZINO!$B$2:$M$100000,3,FALSE)</f>
        <v/>
      </c>
      <c r="D1029" s="3">
        <f>+VLOOKUP($A1029,MAGAZZINO!$B$2:$M$100000,4,FALSE)</f>
        <v/>
      </c>
      <c r="E1029" s="3">
        <f>+VLOOKUP($A1029,MAGAZZINO!$B$2:$M$100000,5,FALSE)</f>
        <v/>
      </c>
      <c r="F1029" s="3">
        <f>+VLOOKUP($A1029,MAGAZZINO!$B$2:$M$100000,6,FALSE)</f>
        <v/>
      </c>
      <c r="G1029" s="3">
        <f>+VLOOKUP($A1029,MAGAZZINO!$B$2:$M$100000,7,FALSE)</f>
        <v/>
      </c>
      <c r="H1029" s="3">
        <f>+VLOOKUP($A1029,MAGAZZINO!$B$2:$M$100000,8,FALSE)</f>
        <v/>
      </c>
      <c r="I1029" s="3">
        <f>+VLOOKUP($A1029,MAGAZZINO!$B$2:$M$100000,9,FALSE)</f>
        <v/>
      </c>
      <c r="J1029" s="3">
        <f>+VLOOKUP($A1029,MAGAZZINO!$B$2:$M$100000,10,FALSE)</f>
        <v/>
      </c>
      <c r="K1029" s="3">
        <f>+VLOOKUP($A1029,MAGAZZINO!$B$2:$M$100000,11,FALSE)</f>
        <v/>
      </c>
      <c r="L1029" s="5">
        <f>+VLOOKUP($A1029,MAGAZZINO!$B$2:$M$100000,12,FALSE)</f>
        <v/>
      </c>
      <c r="M1029" s="47" t="n"/>
      <c r="N1029" s="54" t="n"/>
      <c r="O1029" s="3" t="n"/>
      <c r="P1029" s="149" t="n"/>
      <c r="Q1029" s="150" t="n"/>
      <c r="R1029" s="150" t="n"/>
      <c r="S1029" s="151" t="n"/>
    </row>
    <row r="1030" ht="36" customHeight="1">
      <c r="A1030" s="46" t="n">
        <v>3360</v>
      </c>
      <c r="B1030" s="4">
        <f>+VLOOKUP($A1030,MAGAZZINO!$B$2:$M$100000,2,FALSE)</f>
        <v/>
      </c>
      <c r="C1030" s="29">
        <f>+VLOOKUP($A1030,MAGAZZINO!$B$2:$M$100000,3,FALSE)</f>
        <v/>
      </c>
      <c r="D1030" s="3">
        <f>+VLOOKUP($A1030,MAGAZZINO!$B$2:$M$100000,4,FALSE)</f>
        <v/>
      </c>
      <c r="E1030" s="3">
        <f>+VLOOKUP($A1030,MAGAZZINO!$B$2:$M$100000,5,FALSE)</f>
        <v/>
      </c>
      <c r="F1030" s="3">
        <f>+VLOOKUP($A1030,MAGAZZINO!$B$2:$M$100000,6,FALSE)</f>
        <v/>
      </c>
      <c r="G1030" s="3">
        <f>+VLOOKUP($A1030,MAGAZZINO!$B$2:$M$100000,7,FALSE)</f>
        <v/>
      </c>
      <c r="H1030" s="3">
        <f>+VLOOKUP($A1030,MAGAZZINO!$B$2:$M$100000,8,FALSE)</f>
        <v/>
      </c>
      <c r="I1030" s="3">
        <f>+VLOOKUP($A1030,MAGAZZINO!$B$2:$M$100000,9,FALSE)</f>
        <v/>
      </c>
      <c r="J1030" s="3">
        <f>+VLOOKUP($A1030,MAGAZZINO!$B$2:$M$100000,10,FALSE)</f>
        <v/>
      </c>
      <c r="K1030" s="3">
        <f>+VLOOKUP($A1030,MAGAZZINO!$B$2:$M$100000,11,FALSE)</f>
        <v/>
      </c>
      <c r="L1030" s="5">
        <f>+VLOOKUP($A1030,MAGAZZINO!$B$2:$M$100000,12,FALSE)</f>
        <v/>
      </c>
      <c r="M1030" s="47" t="n"/>
      <c r="N1030" s="54" t="n"/>
      <c r="O1030" s="3" t="n"/>
      <c r="P1030" s="149" t="n"/>
      <c r="Q1030" s="150" t="n"/>
      <c r="R1030" s="150" t="n"/>
      <c r="S1030" s="151" t="n"/>
    </row>
    <row r="1031" ht="36" customHeight="1">
      <c r="A1031" s="46" t="n">
        <v>3361</v>
      </c>
      <c r="B1031" s="4">
        <f>+VLOOKUP($A1031,MAGAZZINO!$B$2:$M$100000,2,FALSE)</f>
        <v/>
      </c>
      <c r="C1031" s="29">
        <f>+VLOOKUP($A1031,MAGAZZINO!$B$2:$M$100000,3,FALSE)</f>
        <v/>
      </c>
      <c r="D1031" s="3">
        <f>+VLOOKUP($A1031,MAGAZZINO!$B$2:$M$100000,4,FALSE)</f>
        <v/>
      </c>
      <c r="E1031" s="3">
        <f>+VLOOKUP($A1031,MAGAZZINO!$B$2:$M$100000,5,FALSE)</f>
        <v/>
      </c>
      <c r="F1031" s="3">
        <f>+VLOOKUP($A1031,MAGAZZINO!$B$2:$M$100000,6,FALSE)</f>
        <v/>
      </c>
      <c r="G1031" s="3">
        <f>+VLOOKUP($A1031,MAGAZZINO!$B$2:$M$100000,7,FALSE)</f>
        <v/>
      </c>
      <c r="H1031" s="3">
        <f>+VLOOKUP($A1031,MAGAZZINO!$B$2:$M$100000,8,FALSE)</f>
        <v/>
      </c>
      <c r="I1031" s="3">
        <f>+VLOOKUP($A1031,MAGAZZINO!$B$2:$M$100000,9,FALSE)</f>
        <v/>
      </c>
      <c r="J1031" s="3">
        <f>+VLOOKUP($A1031,MAGAZZINO!$B$2:$M$100000,10,FALSE)</f>
        <v/>
      </c>
      <c r="K1031" s="3">
        <f>+VLOOKUP($A1031,MAGAZZINO!$B$2:$M$100000,11,FALSE)</f>
        <v/>
      </c>
      <c r="L1031" s="5">
        <f>+VLOOKUP($A1031,MAGAZZINO!$B$2:$M$100000,12,FALSE)</f>
        <v/>
      </c>
      <c r="M1031" s="47" t="n"/>
      <c r="N1031" s="54" t="n"/>
      <c r="O1031" s="3" t="n"/>
      <c r="P1031" s="149" t="n"/>
      <c r="Q1031" s="150" t="n"/>
      <c r="R1031" s="150" t="n"/>
      <c r="S1031" s="151" t="n"/>
    </row>
    <row r="1032" ht="36" customHeight="1">
      <c r="A1032" s="46" t="n">
        <v>3362</v>
      </c>
      <c r="B1032" s="4">
        <f>+VLOOKUP($A1032,MAGAZZINO!$B$2:$M$100000,2,FALSE)</f>
        <v/>
      </c>
      <c r="C1032" s="29">
        <f>+VLOOKUP($A1032,MAGAZZINO!$B$2:$M$100000,3,FALSE)</f>
        <v/>
      </c>
      <c r="D1032" s="3">
        <f>+VLOOKUP($A1032,MAGAZZINO!$B$2:$M$100000,4,FALSE)</f>
        <v/>
      </c>
      <c r="E1032" s="3">
        <f>+VLOOKUP($A1032,MAGAZZINO!$B$2:$M$100000,5,FALSE)</f>
        <v/>
      </c>
      <c r="F1032" s="3">
        <f>+VLOOKUP($A1032,MAGAZZINO!$B$2:$M$100000,6,FALSE)</f>
        <v/>
      </c>
      <c r="G1032" s="3">
        <f>+VLOOKUP($A1032,MAGAZZINO!$B$2:$M$100000,7,FALSE)</f>
        <v/>
      </c>
      <c r="H1032" s="3">
        <f>+VLOOKUP($A1032,MAGAZZINO!$B$2:$M$100000,8,FALSE)</f>
        <v/>
      </c>
      <c r="I1032" s="3">
        <f>+VLOOKUP($A1032,MAGAZZINO!$B$2:$M$100000,9,FALSE)</f>
        <v/>
      </c>
      <c r="J1032" s="3">
        <f>+VLOOKUP($A1032,MAGAZZINO!$B$2:$M$100000,10,FALSE)</f>
        <v/>
      </c>
      <c r="K1032" s="3">
        <f>+VLOOKUP($A1032,MAGAZZINO!$B$2:$M$100000,11,FALSE)</f>
        <v/>
      </c>
      <c r="L1032" s="5">
        <f>+VLOOKUP($A1032,MAGAZZINO!$B$2:$M$100000,12,FALSE)</f>
        <v/>
      </c>
      <c r="M1032" s="47" t="n"/>
      <c r="N1032" s="54" t="n"/>
      <c r="O1032" s="3" t="n"/>
      <c r="P1032" s="149" t="n"/>
      <c r="Q1032" s="150" t="n"/>
      <c r="R1032" s="150" t="n"/>
      <c r="S1032" s="151" t="n"/>
    </row>
    <row r="1033" ht="36" customHeight="1">
      <c r="A1033" s="46" t="n">
        <v>3363</v>
      </c>
      <c r="B1033" s="4">
        <f>+VLOOKUP($A1033,MAGAZZINO!$B$2:$M$100000,2,FALSE)</f>
        <v/>
      </c>
      <c r="C1033" s="29">
        <f>+VLOOKUP($A1033,MAGAZZINO!$B$2:$M$100000,3,FALSE)</f>
        <v/>
      </c>
      <c r="D1033" s="3">
        <f>+VLOOKUP($A1033,MAGAZZINO!$B$2:$M$100000,4,FALSE)</f>
        <v/>
      </c>
      <c r="E1033" s="3">
        <f>+VLOOKUP($A1033,MAGAZZINO!$B$2:$M$100000,5,FALSE)</f>
        <v/>
      </c>
      <c r="F1033" s="3">
        <f>+VLOOKUP($A1033,MAGAZZINO!$B$2:$M$100000,6,FALSE)</f>
        <v/>
      </c>
      <c r="G1033" s="3">
        <f>+VLOOKUP($A1033,MAGAZZINO!$B$2:$M$100000,7,FALSE)</f>
        <v/>
      </c>
      <c r="H1033" s="3">
        <f>+VLOOKUP($A1033,MAGAZZINO!$B$2:$M$100000,8,FALSE)</f>
        <v/>
      </c>
      <c r="I1033" s="3">
        <f>+VLOOKUP($A1033,MAGAZZINO!$B$2:$M$100000,9,FALSE)</f>
        <v/>
      </c>
      <c r="J1033" s="3">
        <f>+VLOOKUP($A1033,MAGAZZINO!$B$2:$M$100000,10,FALSE)</f>
        <v/>
      </c>
      <c r="K1033" s="3">
        <f>+VLOOKUP($A1033,MAGAZZINO!$B$2:$M$100000,11,FALSE)</f>
        <v/>
      </c>
      <c r="L1033" s="5">
        <f>+VLOOKUP($A1033,MAGAZZINO!$B$2:$M$100000,12,FALSE)</f>
        <v/>
      </c>
      <c r="M1033" s="47" t="n"/>
      <c r="N1033" s="54" t="n"/>
      <c r="O1033" s="3" t="n"/>
      <c r="P1033" s="149" t="n"/>
      <c r="Q1033" s="150" t="n"/>
      <c r="R1033" s="150" t="n"/>
      <c r="S1033" s="151" t="n"/>
    </row>
    <row r="1034" ht="36" customHeight="1">
      <c r="A1034" s="46" t="n">
        <v>3364</v>
      </c>
      <c r="B1034" s="4">
        <f>+VLOOKUP($A1034,MAGAZZINO!$B$2:$M$100000,2,FALSE)</f>
        <v/>
      </c>
      <c r="C1034" s="29">
        <f>+VLOOKUP($A1034,MAGAZZINO!$B$2:$M$100000,3,FALSE)</f>
        <v/>
      </c>
      <c r="D1034" s="3">
        <f>+VLOOKUP($A1034,MAGAZZINO!$B$2:$M$100000,4,FALSE)</f>
        <v/>
      </c>
      <c r="E1034" s="3">
        <f>+VLOOKUP($A1034,MAGAZZINO!$B$2:$M$100000,5,FALSE)</f>
        <v/>
      </c>
      <c r="F1034" s="3">
        <f>+VLOOKUP($A1034,MAGAZZINO!$B$2:$M$100000,6,FALSE)</f>
        <v/>
      </c>
      <c r="G1034" s="3">
        <f>+VLOOKUP($A1034,MAGAZZINO!$B$2:$M$100000,7,FALSE)</f>
        <v/>
      </c>
      <c r="H1034" s="3">
        <f>+VLOOKUP($A1034,MAGAZZINO!$B$2:$M$100000,8,FALSE)</f>
        <v/>
      </c>
      <c r="I1034" s="3">
        <f>+VLOOKUP($A1034,MAGAZZINO!$B$2:$M$100000,9,FALSE)</f>
        <v/>
      </c>
      <c r="J1034" s="3">
        <f>+VLOOKUP($A1034,MAGAZZINO!$B$2:$M$100000,10,FALSE)</f>
        <v/>
      </c>
      <c r="K1034" s="3">
        <f>+VLOOKUP($A1034,MAGAZZINO!$B$2:$M$100000,11,FALSE)</f>
        <v/>
      </c>
      <c r="L1034" s="5">
        <f>+VLOOKUP($A1034,MAGAZZINO!$B$2:$M$100000,12,FALSE)</f>
        <v/>
      </c>
      <c r="M1034" s="47" t="n"/>
      <c r="N1034" s="54" t="n"/>
      <c r="O1034" s="3" t="n"/>
      <c r="P1034" s="149" t="n"/>
      <c r="Q1034" s="150" t="n"/>
      <c r="R1034" s="150" t="n"/>
      <c r="S1034" s="151" t="n"/>
    </row>
    <row r="1035" ht="36" customHeight="1">
      <c r="A1035" s="46" t="n">
        <v>3365</v>
      </c>
      <c r="B1035" s="4">
        <f>+VLOOKUP($A1035,MAGAZZINO!$B$2:$M$100000,2,FALSE)</f>
        <v/>
      </c>
      <c r="C1035" s="29">
        <f>+VLOOKUP($A1035,MAGAZZINO!$B$2:$M$100000,3,FALSE)</f>
        <v/>
      </c>
      <c r="D1035" s="3">
        <f>+VLOOKUP($A1035,MAGAZZINO!$B$2:$M$100000,4,FALSE)</f>
        <v/>
      </c>
      <c r="E1035" s="3">
        <f>+VLOOKUP($A1035,MAGAZZINO!$B$2:$M$100000,5,FALSE)</f>
        <v/>
      </c>
      <c r="F1035" s="3">
        <f>+VLOOKUP($A1035,MAGAZZINO!$B$2:$M$100000,6,FALSE)</f>
        <v/>
      </c>
      <c r="G1035" s="3">
        <f>+VLOOKUP($A1035,MAGAZZINO!$B$2:$M$100000,7,FALSE)</f>
        <v/>
      </c>
      <c r="H1035" s="3">
        <f>+VLOOKUP($A1035,MAGAZZINO!$B$2:$M$100000,8,FALSE)</f>
        <v/>
      </c>
      <c r="I1035" s="3">
        <f>+VLOOKUP($A1035,MAGAZZINO!$B$2:$M$100000,9,FALSE)</f>
        <v/>
      </c>
      <c r="J1035" s="3">
        <f>+VLOOKUP($A1035,MAGAZZINO!$B$2:$M$100000,10,FALSE)</f>
        <v/>
      </c>
      <c r="K1035" s="3">
        <f>+VLOOKUP($A1035,MAGAZZINO!$B$2:$M$100000,11,FALSE)</f>
        <v/>
      </c>
      <c r="L1035" s="5">
        <f>+VLOOKUP($A1035,MAGAZZINO!$B$2:$M$100000,12,FALSE)</f>
        <v/>
      </c>
      <c r="M1035" s="47" t="n"/>
      <c r="N1035" s="54" t="n"/>
      <c r="O1035" s="3" t="n"/>
      <c r="P1035" s="149" t="n"/>
      <c r="Q1035" s="150" t="n"/>
      <c r="R1035" s="150" t="n"/>
      <c r="S1035" s="151" t="n"/>
    </row>
    <row r="1036" ht="36" customHeight="1">
      <c r="A1036" s="46" t="n">
        <v>3366</v>
      </c>
      <c r="B1036" s="4">
        <f>+VLOOKUP($A1036,MAGAZZINO!$B$2:$M$100000,2,FALSE)</f>
        <v/>
      </c>
      <c r="C1036" s="29">
        <f>+VLOOKUP($A1036,MAGAZZINO!$B$2:$M$100000,3,FALSE)</f>
        <v/>
      </c>
      <c r="D1036" s="3">
        <f>+VLOOKUP($A1036,MAGAZZINO!$B$2:$M$100000,4,FALSE)</f>
        <v/>
      </c>
      <c r="E1036" s="3">
        <f>+VLOOKUP($A1036,MAGAZZINO!$B$2:$M$100000,5,FALSE)</f>
        <v/>
      </c>
      <c r="F1036" s="3">
        <f>+VLOOKUP($A1036,MAGAZZINO!$B$2:$M$100000,6,FALSE)</f>
        <v/>
      </c>
      <c r="G1036" s="3">
        <f>+VLOOKUP($A1036,MAGAZZINO!$B$2:$M$100000,7,FALSE)</f>
        <v/>
      </c>
      <c r="H1036" s="3">
        <f>+VLOOKUP($A1036,MAGAZZINO!$B$2:$M$100000,8,FALSE)</f>
        <v/>
      </c>
      <c r="I1036" s="3">
        <f>+VLOOKUP($A1036,MAGAZZINO!$B$2:$M$100000,9,FALSE)</f>
        <v/>
      </c>
      <c r="J1036" s="3">
        <f>+VLOOKUP($A1036,MAGAZZINO!$B$2:$M$100000,10,FALSE)</f>
        <v/>
      </c>
      <c r="K1036" s="3">
        <f>+VLOOKUP($A1036,MAGAZZINO!$B$2:$M$100000,11,FALSE)</f>
        <v/>
      </c>
      <c r="L1036" s="5">
        <f>+VLOOKUP($A1036,MAGAZZINO!$B$2:$M$100000,12,FALSE)</f>
        <v/>
      </c>
      <c r="M1036" s="47" t="n"/>
      <c r="N1036" s="54" t="n"/>
      <c r="O1036" s="3" t="n"/>
      <c r="P1036" s="149" t="n"/>
      <c r="Q1036" s="150" t="n"/>
      <c r="R1036" s="150" t="n"/>
      <c r="S1036" s="151" t="n"/>
    </row>
    <row r="1037" ht="36" customHeight="1">
      <c r="A1037" s="46" t="n">
        <v>3367</v>
      </c>
      <c r="B1037" s="4">
        <f>+VLOOKUP($A1037,MAGAZZINO!$B$2:$M$100000,2,FALSE)</f>
        <v/>
      </c>
      <c r="C1037" s="29">
        <f>+VLOOKUP($A1037,MAGAZZINO!$B$2:$M$100000,3,FALSE)</f>
        <v/>
      </c>
      <c r="D1037" s="3">
        <f>+VLOOKUP($A1037,MAGAZZINO!$B$2:$M$100000,4,FALSE)</f>
        <v/>
      </c>
      <c r="E1037" s="3">
        <f>+VLOOKUP($A1037,MAGAZZINO!$B$2:$M$100000,5,FALSE)</f>
        <v/>
      </c>
      <c r="F1037" s="3">
        <f>+VLOOKUP($A1037,MAGAZZINO!$B$2:$M$100000,6,FALSE)</f>
        <v/>
      </c>
      <c r="G1037" s="3">
        <f>+VLOOKUP($A1037,MAGAZZINO!$B$2:$M$100000,7,FALSE)</f>
        <v/>
      </c>
      <c r="H1037" s="3">
        <f>+VLOOKUP($A1037,MAGAZZINO!$B$2:$M$100000,8,FALSE)</f>
        <v/>
      </c>
      <c r="I1037" s="3">
        <f>+VLOOKUP($A1037,MAGAZZINO!$B$2:$M$100000,9,FALSE)</f>
        <v/>
      </c>
      <c r="J1037" s="3">
        <f>+VLOOKUP($A1037,MAGAZZINO!$B$2:$M$100000,10,FALSE)</f>
        <v/>
      </c>
      <c r="K1037" s="3">
        <f>+VLOOKUP($A1037,MAGAZZINO!$B$2:$M$100000,11,FALSE)</f>
        <v/>
      </c>
      <c r="L1037" s="5">
        <f>+VLOOKUP($A1037,MAGAZZINO!$B$2:$M$100000,12,FALSE)</f>
        <v/>
      </c>
      <c r="M1037" s="47" t="n"/>
      <c r="N1037" s="54" t="n"/>
      <c r="O1037" s="3" t="n"/>
      <c r="P1037" s="149" t="n"/>
      <c r="Q1037" s="150" t="n"/>
      <c r="R1037" s="150" t="n"/>
      <c r="S1037" s="151" t="n"/>
    </row>
    <row r="1038" ht="36" customHeight="1">
      <c r="A1038" s="46" t="n">
        <v>3368</v>
      </c>
      <c r="B1038" s="4">
        <f>+VLOOKUP($A1038,MAGAZZINO!$B$2:$M$100000,2,FALSE)</f>
        <v/>
      </c>
      <c r="C1038" s="29">
        <f>+VLOOKUP($A1038,MAGAZZINO!$B$2:$M$100000,3,FALSE)</f>
        <v/>
      </c>
      <c r="D1038" s="3">
        <f>+VLOOKUP($A1038,MAGAZZINO!$B$2:$M$100000,4,FALSE)</f>
        <v/>
      </c>
      <c r="E1038" s="3">
        <f>+VLOOKUP($A1038,MAGAZZINO!$B$2:$M$100000,5,FALSE)</f>
        <v/>
      </c>
      <c r="F1038" s="3">
        <f>+VLOOKUP($A1038,MAGAZZINO!$B$2:$M$100000,6,FALSE)</f>
        <v/>
      </c>
      <c r="G1038" s="3">
        <f>+VLOOKUP($A1038,MAGAZZINO!$B$2:$M$100000,7,FALSE)</f>
        <v/>
      </c>
      <c r="H1038" s="3">
        <f>+VLOOKUP($A1038,MAGAZZINO!$B$2:$M$100000,8,FALSE)</f>
        <v/>
      </c>
      <c r="I1038" s="3">
        <f>+VLOOKUP($A1038,MAGAZZINO!$B$2:$M$100000,9,FALSE)</f>
        <v/>
      </c>
      <c r="J1038" s="3">
        <f>+VLOOKUP($A1038,MAGAZZINO!$B$2:$M$100000,10,FALSE)</f>
        <v/>
      </c>
      <c r="K1038" s="3">
        <f>+VLOOKUP($A1038,MAGAZZINO!$B$2:$M$100000,11,FALSE)</f>
        <v/>
      </c>
      <c r="L1038" s="5">
        <f>+VLOOKUP($A1038,MAGAZZINO!$B$2:$M$100000,12,FALSE)</f>
        <v/>
      </c>
      <c r="M1038" s="47" t="n"/>
      <c r="N1038" s="54" t="n"/>
      <c r="O1038" s="3" t="n"/>
      <c r="P1038" s="149" t="n"/>
      <c r="Q1038" s="150" t="n"/>
      <c r="R1038" s="150" t="n"/>
      <c r="S1038" s="151" t="n"/>
    </row>
    <row r="1039" ht="36" customHeight="1">
      <c r="A1039" s="46" t="n">
        <v>3369</v>
      </c>
      <c r="B1039" s="4">
        <f>+VLOOKUP($A1039,MAGAZZINO!$B$2:$M$100000,2,FALSE)</f>
        <v/>
      </c>
      <c r="C1039" s="29">
        <f>+VLOOKUP($A1039,MAGAZZINO!$B$2:$M$100000,3,FALSE)</f>
        <v/>
      </c>
      <c r="D1039" s="3">
        <f>+VLOOKUP($A1039,MAGAZZINO!$B$2:$M$100000,4,FALSE)</f>
        <v/>
      </c>
      <c r="E1039" s="3">
        <f>+VLOOKUP($A1039,MAGAZZINO!$B$2:$M$100000,5,FALSE)</f>
        <v/>
      </c>
      <c r="F1039" s="3">
        <f>+VLOOKUP($A1039,MAGAZZINO!$B$2:$M$100000,6,FALSE)</f>
        <v/>
      </c>
      <c r="G1039" s="3">
        <f>+VLOOKUP($A1039,MAGAZZINO!$B$2:$M$100000,7,FALSE)</f>
        <v/>
      </c>
      <c r="H1039" s="3">
        <f>+VLOOKUP($A1039,MAGAZZINO!$B$2:$M$100000,8,FALSE)</f>
        <v/>
      </c>
      <c r="I1039" s="3">
        <f>+VLOOKUP($A1039,MAGAZZINO!$B$2:$M$100000,9,FALSE)</f>
        <v/>
      </c>
      <c r="J1039" s="3">
        <f>+VLOOKUP($A1039,MAGAZZINO!$B$2:$M$100000,10,FALSE)</f>
        <v/>
      </c>
      <c r="K1039" s="3">
        <f>+VLOOKUP($A1039,MAGAZZINO!$B$2:$M$100000,11,FALSE)</f>
        <v/>
      </c>
      <c r="L1039" s="5">
        <f>+VLOOKUP($A1039,MAGAZZINO!$B$2:$M$100000,12,FALSE)</f>
        <v/>
      </c>
      <c r="M1039" s="47" t="n"/>
      <c r="N1039" s="54" t="n"/>
      <c r="O1039" s="3" t="n"/>
      <c r="P1039" s="149" t="n"/>
      <c r="Q1039" s="150" t="n"/>
      <c r="R1039" s="150" t="n"/>
      <c r="S1039" s="151" t="n"/>
    </row>
    <row r="1040" ht="36" customHeight="1">
      <c r="A1040" s="46" t="n">
        <v>3370</v>
      </c>
      <c r="B1040" s="4">
        <f>+VLOOKUP($A1040,MAGAZZINO!$B$2:$M$100000,2,FALSE)</f>
        <v/>
      </c>
      <c r="C1040" s="29">
        <f>+VLOOKUP($A1040,MAGAZZINO!$B$2:$M$100000,3,FALSE)</f>
        <v/>
      </c>
      <c r="D1040" s="3">
        <f>+VLOOKUP($A1040,MAGAZZINO!$B$2:$M$100000,4,FALSE)</f>
        <v/>
      </c>
      <c r="E1040" s="3">
        <f>+VLOOKUP($A1040,MAGAZZINO!$B$2:$M$100000,5,FALSE)</f>
        <v/>
      </c>
      <c r="F1040" s="3">
        <f>+VLOOKUP($A1040,MAGAZZINO!$B$2:$M$100000,6,FALSE)</f>
        <v/>
      </c>
      <c r="G1040" s="3">
        <f>+VLOOKUP($A1040,MAGAZZINO!$B$2:$M$100000,7,FALSE)</f>
        <v/>
      </c>
      <c r="H1040" s="3">
        <f>+VLOOKUP($A1040,MAGAZZINO!$B$2:$M$100000,8,FALSE)</f>
        <v/>
      </c>
      <c r="I1040" s="3">
        <f>+VLOOKUP($A1040,MAGAZZINO!$B$2:$M$100000,9,FALSE)</f>
        <v/>
      </c>
      <c r="J1040" s="3">
        <f>+VLOOKUP($A1040,MAGAZZINO!$B$2:$M$100000,10,FALSE)</f>
        <v/>
      </c>
      <c r="K1040" s="3">
        <f>+VLOOKUP($A1040,MAGAZZINO!$B$2:$M$100000,11,FALSE)</f>
        <v/>
      </c>
      <c r="L1040" s="5">
        <f>+VLOOKUP($A1040,MAGAZZINO!$B$2:$M$100000,12,FALSE)</f>
        <v/>
      </c>
      <c r="M1040" s="47" t="n"/>
      <c r="N1040" s="54" t="n"/>
      <c r="O1040" s="3" t="n"/>
      <c r="P1040" s="149" t="n"/>
      <c r="Q1040" s="150" t="n"/>
      <c r="R1040" s="150" t="n"/>
      <c r="S1040" s="151" t="n"/>
    </row>
    <row r="1041" ht="36" customHeight="1">
      <c r="A1041" s="46" t="n">
        <v>3371</v>
      </c>
      <c r="B1041" s="4">
        <f>+VLOOKUP($A1041,MAGAZZINO!$B$2:$M$100000,2,FALSE)</f>
        <v/>
      </c>
      <c r="C1041" s="29">
        <f>+VLOOKUP($A1041,MAGAZZINO!$B$2:$M$100000,3,FALSE)</f>
        <v/>
      </c>
      <c r="D1041" s="3">
        <f>+VLOOKUP($A1041,MAGAZZINO!$B$2:$M$100000,4,FALSE)</f>
        <v/>
      </c>
      <c r="E1041" s="3">
        <f>+VLOOKUP($A1041,MAGAZZINO!$B$2:$M$100000,5,FALSE)</f>
        <v/>
      </c>
      <c r="F1041" s="3">
        <f>+VLOOKUP($A1041,MAGAZZINO!$B$2:$M$100000,6,FALSE)</f>
        <v/>
      </c>
      <c r="G1041" s="3">
        <f>+VLOOKUP($A1041,MAGAZZINO!$B$2:$M$100000,7,FALSE)</f>
        <v/>
      </c>
      <c r="H1041" s="3">
        <f>+VLOOKUP($A1041,MAGAZZINO!$B$2:$M$100000,8,FALSE)</f>
        <v/>
      </c>
      <c r="I1041" s="3">
        <f>+VLOOKUP($A1041,MAGAZZINO!$B$2:$M$100000,9,FALSE)</f>
        <v/>
      </c>
      <c r="J1041" s="3">
        <f>+VLOOKUP($A1041,MAGAZZINO!$B$2:$M$100000,10,FALSE)</f>
        <v/>
      </c>
      <c r="K1041" s="3">
        <f>+VLOOKUP($A1041,MAGAZZINO!$B$2:$M$100000,11,FALSE)</f>
        <v/>
      </c>
      <c r="L1041" s="5">
        <f>+VLOOKUP($A1041,MAGAZZINO!$B$2:$M$100000,12,FALSE)</f>
        <v/>
      </c>
      <c r="M1041" s="47" t="n"/>
      <c r="N1041" s="54" t="n"/>
      <c r="O1041" s="3" t="n"/>
      <c r="P1041" s="149" t="n"/>
      <c r="Q1041" s="150" t="n"/>
      <c r="R1041" s="150" t="n"/>
      <c r="S1041" s="151" t="n"/>
    </row>
    <row r="1042" ht="36" customHeight="1">
      <c r="A1042" s="46" t="n">
        <v>3372</v>
      </c>
      <c r="B1042" s="4">
        <f>+VLOOKUP($A1042,MAGAZZINO!$B$2:$M$100000,2,FALSE)</f>
        <v/>
      </c>
      <c r="C1042" s="29">
        <f>+VLOOKUP($A1042,MAGAZZINO!$B$2:$M$100000,3,FALSE)</f>
        <v/>
      </c>
      <c r="D1042" s="3">
        <f>+VLOOKUP($A1042,MAGAZZINO!$B$2:$M$100000,4,FALSE)</f>
        <v/>
      </c>
      <c r="E1042" s="3">
        <f>+VLOOKUP($A1042,MAGAZZINO!$B$2:$M$100000,5,FALSE)</f>
        <v/>
      </c>
      <c r="F1042" s="3">
        <f>+VLOOKUP($A1042,MAGAZZINO!$B$2:$M$100000,6,FALSE)</f>
        <v/>
      </c>
      <c r="G1042" s="3">
        <f>+VLOOKUP($A1042,MAGAZZINO!$B$2:$M$100000,7,FALSE)</f>
        <v/>
      </c>
      <c r="H1042" s="3">
        <f>+VLOOKUP($A1042,MAGAZZINO!$B$2:$M$100000,8,FALSE)</f>
        <v/>
      </c>
      <c r="I1042" s="3">
        <f>+VLOOKUP($A1042,MAGAZZINO!$B$2:$M$100000,9,FALSE)</f>
        <v/>
      </c>
      <c r="J1042" s="3">
        <f>+VLOOKUP($A1042,MAGAZZINO!$B$2:$M$100000,10,FALSE)</f>
        <v/>
      </c>
      <c r="K1042" s="3">
        <f>+VLOOKUP($A1042,MAGAZZINO!$B$2:$M$100000,11,FALSE)</f>
        <v/>
      </c>
      <c r="L1042" s="5">
        <f>+VLOOKUP($A1042,MAGAZZINO!$B$2:$M$100000,12,FALSE)</f>
        <v/>
      </c>
      <c r="M1042" s="47" t="n"/>
      <c r="N1042" s="54" t="n"/>
      <c r="O1042" s="3" t="n"/>
      <c r="P1042" s="149" t="n"/>
      <c r="Q1042" s="150" t="n"/>
      <c r="R1042" s="150" t="n"/>
      <c r="S1042" s="151" t="n"/>
    </row>
    <row r="1043" ht="36" customHeight="1">
      <c r="A1043" s="46" t="n">
        <v>3373</v>
      </c>
      <c r="B1043" s="4">
        <f>+VLOOKUP($A1043,MAGAZZINO!$B$2:$M$100000,2,FALSE)</f>
        <v/>
      </c>
      <c r="C1043" s="29">
        <f>+VLOOKUP($A1043,MAGAZZINO!$B$2:$M$100000,3,FALSE)</f>
        <v/>
      </c>
      <c r="D1043" s="3">
        <f>+VLOOKUP($A1043,MAGAZZINO!$B$2:$M$100000,4,FALSE)</f>
        <v/>
      </c>
      <c r="E1043" s="3">
        <f>+VLOOKUP($A1043,MAGAZZINO!$B$2:$M$100000,5,FALSE)</f>
        <v/>
      </c>
      <c r="F1043" s="3">
        <f>+VLOOKUP($A1043,MAGAZZINO!$B$2:$M$100000,6,FALSE)</f>
        <v/>
      </c>
      <c r="G1043" s="3">
        <f>+VLOOKUP($A1043,MAGAZZINO!$B$2:$M$100000,7,FALSE)</f>
        <v/>
      </c>
      <c r="H1043" s="3">
        <f>+VLOOKUP($A1043,MAGAZZINO!$B$2:$M$100000,8,FALSE)</f>
        <v/>
      </c>
      <c r="I1043" s="3">
        <f>+VLOOKUP($A1043,MAGAZZINO!$B$2:$M$100000,9,FALSE)</f>
        <v/>
      </c>
      <c r="J1043" s="3">
        <f>+VLOOKUP($A1043,MAGAZZINO!$B$2:$M$100000,10,FALSE)</f>
        <v/>
      </c>
      <c r="K1043" s="3">
        <f>+VLOOKUP($A1043,MAGAZZINO!$B$2:$M$100000,11,FALSE)</f>
        <v/>
      </c>
      <c r="L1043" s="5">
        <f>+VLOOKUP($A1043,MAGAZZINO!$B$2:$M$100000,12,FALSE)</f>
        <v/>
      </c>
      <c r="M1043" s="47" t="n"/>
      <c r="N1043" s="54" t="n"/>
      <c r="O1043" s="3" t="n"/>
      <c r="P1043" s="149" t="n"/>
      <c r="Q1043" s="150" t="n"/>
      <c r="R1043" s="150" t="n"/>
      <c r="S1043" s="151" t="n"/>
    </row>
    <row r="1044" ht="36" customHeight="1">
      <c r="A1044" s="46" t="n">
        <v>3374</v>
      </c>
      <c r="B1044" s="4">
        <f>+VLOOKUP($A1044,MAGAZZINO!$B$2:$M$100000,2,FALSE)</f>
        <v/>
      </c>
      <c r="C1044" s="29">
        <f>+VLOOKUP($A1044,MAGAZZINO!$B$2:$M$100000,3,FALSE)</f>
        <v/>
      </c>
      <c r="D1044" s="3">
        <f>+VLOOKUP($A1044,MAGAZZINO!$B$2:$M$100000,4,FALSE)</f>
        <v/>
      </c>
      <c r="E1044" s="3">
        <f>+VLOOKUP($A1044,MAGAZZINO!$B$2:$M$100000,5,FALSE)</f>
        <v/>
      </c>
      <c r="F1044" s="3">
        <f>+VLOOKUP($A1044,MAGAZZINO!$B$2:$M$100000,6,FALSE)</f>
        <v/>
      </c>
      <c r="G1044" s="3">
        <f>+VLOOKUP($A1044,MAGAZZINO!$B$2:$M$100000,7,FALSE)</f>
        <v/>
      </c>
      <c r="H1044" s="3">
        <f>+VLOOKUP($A1044,MAGAZZINO!$B$2:$M$100000,8,FALSE)</f>
        <v/>
      </c>
      <c r="I1044" s="3">
        <f>+VLOOKUP($A1044,MAGAZZINO!$B$2:$M$100000,9,FALSE)</f>
        <v/>
      </c>
      <c r="J1044" s="3">
        <f>+VLOOKUP($A1044,MAGAZZINO!$B$2:$M$100000,10,FALSE)</f>
        <v/>
      </c>
      <c r="K1044" s="3">
        <f>+VLOOKUP($A1044,MAGAZZINO!$B$2:$M$100000,11,FALSE)</f>
        <v/>
      </c>
      <c r="L1044" s="5">
        <f>+VLOOKUP($A1044,MAGAZZINO!$B$2:$M$100000,12,FALSE)</f>
        <v/>
      </c>
      <c r="M1044" s="47" t="n"/>
      <c r="N1044" s="54" t="n"/>
      <c r="O1044" s="3" t="n"/>
      <c r="P1044" s="149" t="n"/>
      <c r="Q1044" s="150" t="n"/>
      <c r="R1044" s="150" t="n"/>
      <c r="S1044" s="151" t="n"/>
    </row>
    <row r="1045" ht="36" customHeight="1">
      <c r="A1045" s="46" t="n">
        <v>3375</v>
      </c>
      <c r="B1045" s="4">
        <f>+VLOOKUP($A1045,MAGAZZINO!$B$2:$M$100000,2,FALSE)</f>
        <v/>
      </c>
      <c r="C1045" s="29">
        <f>+VLOOKUP($A1045,MAGAZZINO!$B$2:$M$100000,3,FALSE)</f>
        <v/>
      </c>
      <c r="D1045" s="3">
        <f>+VLOOKUP($A1045,MAGAZZINO!$B$2:$M$100000,4,FALSE)</f>
        <v/>
      </c>
      <c r="E1045" s="3">
        <f>+VLOOKUP($A1045,MAGAZZINO!$B$2:$M$100000,5,FALSE)</f>
        <v/>
      </c>
      <c r="F1045" s="3">
        <f>+VLOOKUP($A1045,MAGAZZINO!$B$2:$M$100000,6,FALSE)</f>
        <v/>
      </c>
      <c r="G1045" s="3">
        <f>+VLOOKUP($A1045,MAGAZZINO!$B$2:$M$100000,7,FALSE)</f>
        <v/>
      </c>
      <c r="H1045" s="3">
        <f>+VLOOKUP($A1045,MAGAZZINO!$B$2:$M$100000,8,FALSE)</f>
        <v/>
      </c>
      <c r="I1045" s="3">
        <f>+VLOOKUP($A1045,MAGAZZINO!$B$2:$M$100000,9,FALSE)</f>
        <v/>
      </c>
      <c r="J1045" s="3">
        <f>+VLOOKUP($A1045,MAGAZZINO!$B$2:$M$100000,10,FALSE)</f>
        <v/>
      </c>
      <c r="K1045" s="3">
        <f>+VLOOKUP($A1045,MAGAZZINO!$B$2:$M$100000,11,FALSE)</f>
        <v/>
      </c>
      <c r="L1045" s="5">
        <f>+VLOOKUP($A1045,MAGAZZINO!$B$2:$M$100000,12,FALSE)</f>
        <v/>
      </c>
      <c r="M1045" s="47" t="n"/>
      <c r="N1045" s="54" t="n"/>
      <c r="O1045" s="3" t="n"/>
      <c r="P1045" s="149" t="n"/>
      <c r="Q1045" s="150" t="n"/>
      <c r="R1045" s="150" t="n"/>
      <c r="S1045" s="151" t="n"/>
    </row>
    <row r="1046" ht="36" customHeight="1">
      <c r="A1046" s="46" t="n">
        <v>3376</v>
      </c>
      <c r="B1046" s="4">
        <f>+VLOOKUP($A1046,MAGAZZINO!$B$2:$M$100000,2,FALSE)</f>
        <v/>
      </c>
      <c r="C1046" s="29">
        <f>+VLOOKUP($A1046,MAGAZZINO!$B$2:$M$100000,3,FALSE)</f>
        <v/>
      </c>
      <c r="D1046" s="3">
        <f>+VLOOKUP($A1046,MAGAZZINO!$B$2:$M$100000,4,FALSE)</f>
        <v/>
      </c>
      <c r="E1046" s="3">
        <f>+VLOOKUP($A1046,MAGAZZINO!$B$2:$M$100000,5,FALSE)</f>
        <v/>
      </c>
      <c r="F1046" s="3">
        <f>+VLOOKUP($A1046,MAGAZZINO!$B$2:$M$100000,6,FALSE)</f>
        <v/>
      </c>
      <c r="G1046" s="3">
        <f>+VLOOKUP($A1046,MAGAZZINO!$B$2:$M$100000,7,FALSE)</f>
        <v/>
      </c>
      <c r="H1046" s="3">
        <f>+VLOOKUP($A1046,MAGAZZINO!$B$2:$M$100000,8,FALSE)</f>
        <v/>
      </c>
      <c r="I1046" s="3">
        <f>+VLOOKUP($A1046,MAGAZZINO!$B$2:$M$100000,9,FALSE)</f>
        <v/>
      </c>
      <c r="J1046" s="3">
        <f>+VLOOKUP($A1046,MAGAZZINO!$B$2:$M$100000,10,FALSE)</f>
        <v/>
      </c>
      <c r="K1046" s="3">
        <f>+VLOOKUP($A1046,MAGAZZINO!$B$2:$M$100000,11,FALSE)</f>
        <v/>
      </c>
      <c r="L1046" s="5">
        <f>+VLOOKUP($A1046,MAGAZZINO!$B$2:$M$100000,12,FALSE)</f>
        <v/>
      </c>
      <c r="M1046" s="47" t="n"/>
      <c r="N1046" s="54" t="n"/>
      <c r="O1046" s="3" t="n"/>
      <c r="P1046" s="149" t="n"/>
      <c r="Q1046" s="150" t="n"/>
      <c r="R1046" s="150" t="n"/>
      <c r="S1046" s="151" t="n"/>
    </row>
    <row r="1047" ht="36" customHeight="1">
      <c r="A1047" s="46" t="n">
        <v>3377</v>
      </c>
      <c r="B1047" s="4">
        <f>+VLOOKUP($A1047,MAGAZZINO!$B$2:$M$100000,2,FALSE)</f>
        <v/>
      </c>
      <c r="C1047" s="29">
        <f>+VLOOKUP($A1047,MAGAZZINO!$B$2:$M$100000,3,FALSE)</f>
        <v/>
      </c>
      <c r="D1047" s="3">
        <f>+VLOOKUP($A1047,MAGAZZINO!$B$2:$M$100000,4,FALSE)</f>
        <v/>
      </c>
      <c r="E1047" s="3">
        <f>+VLOOKUP($A1047,MAGAZZINO!$B$2:$M$100000,5,FALSE)</f>
        <v/>
      </c>
      <c r="F1047" s="3">
        <f>+VLOOKUP($A1047,MAGAZZINO!$B$2:$M$100000,6,FALSE)</f>
        <v/>
      </c>
      <c r="G1047" s="3">
        <f>+VLOOKUP($A1047,MAGAZZINO!$B$2:$M$100000,7,FALSE)</f>
        <v/>
      </c>
      <c r="H1047" s="3">
        <f>+VLOOKUP($A1047,MAGAZZINO!$B$2:$M$100000,8,FALSE)</f>
        <v/>
      </c>
      <c r="I1047" s="3">
        <f>+VLOOKUP($A1047,MAGAZZINO!$B$2:$M$100000,9,FALSE)</f>
        <v/>
      </c>
      <c r="J1047" s="3">
        <f>+VLOOKUP($A1047,MAGAZZINO!$B$2:$M$100000,10,FALSE)</f>
        <v/>
      </c>
      <c r="K1047" s="3">
        <f>+VLOOKUP($A1047,MAGAZZINO!$B$2:$M$100000,11,FALSE)</f>
        <v/>
      </c>
      <c r="L1047" s="5">
        <f>+VLOOKUP($A1047,MAGAZZINO!$B$2:$M$100000,12,FALSE)</f>
        <v/>
      </c>
      <c r="M1047" s="47" t="n"/>
      <c r="N1047" s="54" t="n"/>
      <c r="O1047" s="3" t="n"/>
      <c r="P1047" s="149" t="n"/>
      <c r="Q1047" s="150" t="n"/>
      <c r="R1047" s="150" t="n"/>
      <c r="S1047" s="151" t="n"/>
    </row>
    <row r="1048" ht="36" customHeight="1">
      <c r="A1048" s="46" t="n">
        <v>3378</v>
      </c>
      <c r="B1048" s="4">
        <f>+VLOOKUP($A1048,MAGAZZINO!$B$2:$M$100000,2,FALSE)</f>
        <v/>
      </c>
      <c r="C1048" s="29">
        <f>+VLOOKUP($A1048,MAGAZZINO!$B$2:$M$100000,3,FALSE)</f>
        <v/>
      </c>
      <c r="D1048" s="3">
        <f>+VLOOKUP($A1048,MAGAZZINO!$B$2:$M$100000,4,FALSE)</f>
        <v/>
      </c>
      <c r="E1048" s="3">
        <f>+VLOOKUP($A1048,MAGAZZINO!$B$2:$M$100000,5,FALSE)</f>
        <v/>
      </c>
      <c r="F1048" s="3">
        <f>+VLOOKUP($A1048,MAGAZZINO!$B$2:$M$100000,6,FALSE)</f>
        <v/>
      </c>
      <c r="G1048" s="3">
        <f>+VLOOKUP($A1048,MAGAZZINO!$B$2:$M$100000,7,FALSE)</f>
        <v/>
      </c>
      <c r="H1048" s="3">
        <f>+VLOOKUP($A1048,MAGAZZINO!$B$2:$M$100000,8,FALSE)</f>
        <v/>
      </c>
      <c r="I1048" s="3">
        <f>+VLOOKUP($A1048,MAGAZZINO!$B$2:$M$100000,9,FALSE)</f>
        <v/>
      </c>
      <c r="J1048" s="3">
        <f>+VLOOKUP($A1048,MAGAZZINO!$B$2:$M$100000,10,FALSE)</f>
        <v/>
      </c>
      <c r="K1048" s="3">
        <f>+VLOOKUP($A1048,MAGAZZINO!$B$2:$M$100000,11,FALSE)</f>
        <v/>
      </c>
      <c r="L1048" s="5">
        <f>+VLOOKUP($A1048,MAGAZZINO!$B$2:$M$100000,12,FALSE)</f>
        <v/>
      </c>
      <c r="M1048" s="47" t="n"/>
      <c r="N1048" s="88" t="n">
        <v>45874</v>
      </c>
      <c r="O1048" s="91" t="inlineStr">
        <is>
          <t>PHILIPPOS CONSTANTINIDES TRADING CO. LTD (CIPRO)</t>
        </is>
      </c>
      <c r="P1048" s="154" t="inlineStr">
        <is>
          <t xml:space="preserve">IMPORT LICENSE N. 218 DEL 12/08/2020                                                                                         AUT. TRASFERIMENTO N. 6B/2025/3D RILASCIATA IL 28/07/2025   </t>
        </is>
      </c>
      <c r="Q1048" s="150" t="n"/>
      <c r="R1048" s="150" t="n"/>
      <c r="S1048" s="153" t="n"/>
    </row>
    <row r="1049" ht="36" customHeight="1">
      <c r="A1049" s="46" t="n">
        <v>3379</v>
      </c>
      <c r="B1049" s="4">
        <f>+VLOOKUP($A1049,MAGAZZINO!$B$2:$M$100000,2,FALSE)</f>
        <v/>
      </c>
      <c r="C1049" s="29">
        <f>+VLOOKUP($A1049,MAGAZZINO!$B$2:$M$100000,3,FALSE)</f>
        <v/>
      </c>
      <c r="D1049" s="3">
        <f>+VLOOKUP($A1049,MAGAZZINO!$B$2:$M$100000,4,FALSE)</f>
        <v/>
      </c>
      <c r="E1049" s="3">
        <f>+VLOOKUP($A1049,MAGAZZINO!$B$2:$M$100000,5,FALSE)</f>
        <v/>
      </c>
      <c r="F1049" s="3">
        <f>+VLOOKUP($A1049,MAGAZZINO!$B$2:$M$100000,6,FALSE)</f>
        <v/>
      </c>
      <c r="G1049" s="3">
        <f>+VLOOKUP($A1049,MAGAZZINO!$B$2:$M$100000,7,FALSE)</f>
        <v/>
      </c>
      <c r="H1049" s="3">
        <f>+VLOOKUP($A1049,MAGAZZINO!$B$2:$M$100000,8,FALSE)</f>
        <v/>
      </c>
      <c r="I1049" s="3">
        <f>+VLOOKUP($A1049,MAGAZZINO!$B$2:$M$100000,9,FALSE)</f>
        <v/>
      </c>
      <c r="J1049" s="3">
        <f>+VLOOKUP($A1049,MAGAZZINO!$B$2:$M$100000,10,FALSE)</f>
        <v/>
      </c>
      <c r="K1049" s="3">
        <f>+VLOOKUP($A1049,MAGAZZINO!$B$2:$M$100000,11,FALSE)</f>
        <v/>
      </c>
      <c r="L1049" s="5">
        <f>+VLOOKUP($A1049,MAGAZZINO!$B$2:$M$100000,12,FALSE)</f>
        <v/>
      </c>
      <c r="M1049" s="47" t="n"/>
      <c r="N1049" s="88" t="n">
        <v>45874</v>
      </c>
      <c r="O1049" s="91" t="inlineStr">
        <is>
          <t>PHILIPPOS CONSTANTINIDES TRADING CO. LTD (CIPRO)</t>
        </is>
      </c>
      <c r="P1049" s="154" t="inlineStr">
        <is>
          <t xml:space="preserve">IMPORT LICENSE N. 218 DEL 12/08/2020                                                                                         AUT. TRASFERIMENTO N. 6B/2025/3D RILASCIATA IL 28/07/2025   </t>
        </is>
      </c>
      <c r="Q1049" s="150" t="n"/>
      <c r="R1049" s="150" t="n"/>
      <c r="S1049" s="153" t="n"/>
    </row>
    <row r="1050" ht="36" customHeight="1">
      <c r="A1050" s="46" t="n">
        <v>3380</v>
      </c>
      <c r="B1050" s="4">
        <f>+VLOOKUP($A1050,MAGAZZINO!$B$2:$M$100000,2,FALSE)</f>
        <v/>
      </c>
      <c r="C1050" s="29">
        <f>+VLOOKUP($A1050,MAGAZZINO!$B$2:$M$100000,3,FALSE)</f>
        <v/>
      </c>
      <c r="D1050" s="3">
        <f>+VLOOKUP($A1050,MAGAZZINO!$B$2:$M$100000,4,FALSE)</f>
        <v/>
      </c>
      <c r="E1050" s="3">
        <f>+VLOOKUP($A1050,MAGAZZINO!$B$2:$M$100000,5,FALSE)</f>
        <v/>
      </c>
      <c r="F1050" s="3">
        <f>+VLOOKUP($A1050,MAGAZZINO!$B$2:$M$100000,6,FALSE)</f>
        <v/>
      </c>
      <c r="G1050" s="3">
        <f>+VLOOKUP($A1050,MAGAZZINO!$B$2:$M$100000,7,FALSE)</f>
        <v/>
      </c>
      <c r="H1050" s="3">
        <f>+VLOOKUP($A1050,MAGAZZINO!$B$2:$M$100000,8,FALSE)</f>
        <v/>
      </c>
      <c r="I1050" s="3">
        <f>+VLOOKUP($A1050,MAGAZZINO!$B$2:$M$100000,9,FALSE)</f>
        <v/>
      </c>
      <c r="J1050" s="3">
        <f>+VLOOKUP($A1050,MAGAZZINO!$B$2:$M$100000,10,FALSE)</f>
        <v/>
      </c>
      <c r="K1050" s="3">
        <f>+VLOOKUP($A1050,MAGAZZINO!$B$2:$M$100000,11,FALSE)</f>
        <v/>
      </c>
      <c r="L1050" s="5">
        <f>+VLOOKUP($A1050,MAGAZZINO!$B$2:$M$100000,12,FALSE)</f>
        <v/>
      </c>
      <c r="M1050" s="47" t="n"/>
      <c r="N1050" s="88" t="n">
        <v>45874</v>
      </c>
      <c r="O1050" s="91" t="inlineStr">
        <is>
          <t>PHILIPPOS CONSTANTINIDES TRADING CO. LTD (CIPRO)</t>
        </is>
      </c>
      <c r="P1050" s="154" t="inlineStr">
        <is>
          <t xml:space="preserve">IMPORT LICENSE N. 218 DEL 12/08/2020                                                                                         AUT. TRASFERIMENTO N. 6B/2025/3D RILASCIATA IL 28/07/2025   </t>
        </is>
      </c>
      <c r="Q1050" s="150" t="n"/>
      <c r="R1050" s="150" t="n"/>
      <c r="S1050" s="153" t="n"/>
    </row>
    <row r="1051" ht="36" customHeight="1">
      <c r="A1051" s="46" t="n">
        <v>3381</v>
      </c>
      <c r="B1051" s="4">
        <f>+VLOOKUP($A1051,MAGAZZINO!$B$2:$M$100000,2,FALSE)</f>
        <v/>
      </c>
      <c r="C1051" s="29">
        <f>+VLOOKUP($A1051,MAGAZZINO!$B$2:$M$100000,3,FALSE)</f>
        <v/>
      </c>
      <c r="D1051" s="3">
        <f>+VLOOKUP($A1051,MAGAZZINO!$B$2:$M$100000,4,FALSE)</f>
        <v/>
      </c>
      <c r="E1051" s="3">
        <f>+VLOOKUP($A1051,MAGAZZINO!$B$2:$M$100000,5,FALSE)</f>
        <v/>
      </c>
      <c r="F1051" s="3">
        <f>+VLOOKUP($A1051,MAGAZZINO!$B$2:$M$100000,6,FALSE)</f>
        <v/>
      </c>
      <c r="G1051" s="3">
        <f>+VLOOKUP($A1051,MAGAZZINO!$B$2:$M$100000,7,FALSE)</f>
        <v/>
      </c>
      <c r="H1051" s="3">
        <f>+VLOOKUP($A1051,MAGAZZINO!$B$2:$M$100000,8,FALSE)</f>
        <v/>
      </c>
      <c r="I1051" s="3">
        <f>+VLOOKUP($A1051,MAGAZZINO!$B$2:$M$100000,9,FALSE)</f>
        <v/>
      </c>
      <c r="J1051" s="3">
        <f>+VLOOKUP($A1051,MAGAZZINO!$B$2:$M$100000,10,FALSE)</f>
        <v/>
      </c>
      <c r="K1051" s="3">
        <f>+VLOOKUP($A1051,MAGAZZINO!$B$2:$M$100000,11,FALSE)</f>
        <v/>
      </c>
      <c r="L1051" s="5">
        <f>+VLOOKUP($A1051,MAGAZZINO!$B$2:$M$100000,12,FALSE)</f>
        <v/>
      </c>
      <c r="M1051" s="47" t="n"/>
      <c r="N1051" s="88" t="n">
        <v>45874</v>
      </c>
      <c r="O1051" s="91" t="inlineStr">
        <is>
          <t>PHILIPPOS CONSTANTINIDES TRADING CO. LTD (CIPRO)</t>
        </is>
      </c>
      <c r="P1051" s="154" t="inlineStr">
        <is>
          <t xml:space="preserve">IMPORT LICENSE N. 218 DEL 12/08/2020                                                                                         AUT. TRASFERIMENTO N. 6B/2025/3D RILASCIATA IL 28/07/2025   </t>
        </is>
      </c>
      <c r="Q1051" s="150" t="n"/>
      <c r="R1051" s="150" t="n"/>
      <c r="S1051" s="153" t="n"/>
    </row>
    <row r="1052" ht="36" customHeight="1">
      <c r="A1052" s="46" t="n">
        <v>3382</v>
      </c>
      <c r="B1052" s="4">
        <f>+VLOOKUP($A1052,MAGAZZINO!$B$2:$M$100000,2,FALSE)</f>
        <v/>
      </c>
      <c r="C1052" s="29">
        <f>+VLOOKUP($A1052,MAGAZZINO!$B$2:$M$100000,3,FALSE)</f>
        <v/>
      </c>
      <c r="D1052" s="3">
        <f>+VLOOKUP($A1052,MAGAZZINO!$B$2:$M$100000,4,FALSE)</f>
        <v/>
      </c>
      <c r="E1052" s="3">
        <f>+VLOOKUP($A1052,MAGAZZINO!$B$2:$M$100000,5,FALSE)</f>
        <v/>
      </c>
      <c r="F1052" s="3">
        <f>+VLOOKUP($A1052,MAGAZZINO!$B$2:$M$100000,6,FALSE)</f>
        <v/>
      </c>
      <c r="G1052" s="3">
        <f>+VLOOKUP($A1052,MAGAZZINO!$B$2:$M$100000,7,FALSE)</f>
        <v/>
      </c>
      <c r="H1052" s="3">
        <f>+VLOOKUP($A1052,MAGAZZINO!$B$2:$M$100000,8,FALSE)</f>
        <v/>
      </c>
      <c r="I1052" s="3">
        <f>+VLOOKUP($A1052,MAGAZZINO!$B$2:$M$100000,9,FALSE)</f>
        <v/>
      </c>
      <c r="J1052" s="3">
        <f>+VLOOKUP($A1052,MAGAZZINO!$B$2:$M$100000,10,FALSE)</f>
        <v/>
      </c>
      <c r="K1052" s="3">
        <f>+VLOOKUP($A1052,MAGAZZINO!$B$2:$M$100000,11,FALSE)</f>
        <v/>
      </c>
      <c r="L1052" s="5">
        <f>+VLOOKUP($A1052,MAGAZZINO!$B$2:$M$100000,12,FALSE)</f>
        <v/>
      </c>
      <c r="M1052" s="47" t="n"/>
      <c r="N1052" s="88" t="n">
        <v>45874</v>
      </c>
      <c r="O1052" s="91" t="inlineStr">
        <is>
          <t>PHILIPPOS CONSTANTINIDES TRADING CO. LTD (CIPRO)</t>
        </is>
      </c>
      <c r="P1052" s="154" t="inlineStr">
        <is>
          <t xml:space="preserve">IMPORT LICENSE N. 218 DEL 12/08/2020                                                                                         AUT. TRASFERIMENTO N. 6B/2025/3D RILASCIATA IL 28/07/2025   </t>
        </is>
      </c>
      <c r="Q1052" s="150" t="n"/>
      <c r="R1052" s="150" t="n"/>
      <c r="S1052" s="153" t="n"/>
    </row>
    <row r="1053" ht="36" customHeight="1">
      <c r="A1053" s="46" t="n">
        <v>3383</v>
      </c>
      <c r="B1053" s="4">
        <f>+VLOOKUP($A1053,MAGAZZINO!$B$2:$M$100000,2,FALSE)</f>
        <v/>
      </c>
      <c r="C1053" s="29">
        <f>+VLOOKUP($A1053,MAGAZZINO!$B$2:$M$100000,3,FALSE)</f>
        <v/>
      </c>
      <c r="D1053" s="3">
        <f>+VLOOKUP($A1053,MAGAZZINO!$B$2:$M$100000,4,FALSE)</f>
        <v/>
      </c>
      <c r="E1053" s="3">
        <f>+VLOOKUP($A1053,MAGAZZINO!$B$2:$M$100000,5,FALSE)</f>
        <v/>
      </c>
      <c r="F1053" s="3">
        <f>+VLOOKUP($A1053,MAGAZZINO!$B$2:$M$100000,6,FALSE)</f>
        <v/>
      </c>
      <c r="G1053" s="3">
        <f>+VLOOKUP($A1053,MAGAZZINO!$B$2:$M$100000,7,FALSE)</f>
        <v/>
      </c>
      <c r="H1053" s="3">
        <f>+VLOOKUP($A1053,MAGAZZINO!$B$2:$M$100000,8,FALSE)</f>
        <v/>
      </c>
      <c r="I1053" s="3">
        <f>+VLOOKUP($A1053,MAGAZZINO!$B$2:$M$100000,9,FALSE)</f>
        <v/>
      </c>
      <c r="J1053" s="3">
        <f>+VLOOKUP($A1053,MAGAZZINO!$B$2:$M$100000,10,FALSE)</f>
        <v/>
      </c>
      <c r="K1053" s="3">
        <f>+VLOOKUP($A1053,MAGAZZINO!$B$2:$M$100000,11,FALSE)</f>
        <v/>
      </c>
      <c r="L1053" s="5">
        <f>+VLOOKUP($A1053,MAGAZZINO!$B$2:$M$100000,12,FALSE)</f>
        <v/>
      </c>
      <c r="M1053" s="47" t="n"/>
      <c r="N1053" s="88" t="n">
        <v>45874</v>
      </c>
      <c r="O1053" s="91" t="inlineStr">
        <is>
          <t>PHILIPPOS CONSTANTINIDES TRADING CO. LTD (CIPRO)</t>
        </is>
      </c>
      <c r="P1053" s="154" t="inlineStr">
        <is>
          <t xml:space="preserve">IMPORT LICENSE N. 218 DEL 12/08/2020                                                                                         AUT. TRASFERIMENTO N. 6B/2025/3D RILASCIATA IL 28/07/2025   </t>
        </is>
      </c>
      <c r="Q1053" s="150" t="n"/>
      <c r="R1053" s="150" t="n"/>
      <c r="S1053" s="153" t="n"/>
    </row>
    <row r="1054" ht="36" customHeight="1">
      <c r="A1054" s="46" t="n">
        <v>3384</v>
      </c>
      <c r="B1054" s="4">
        <f>+VLOOKUP($A1054,MAGAZZINO!$B$2:$M$100000,2,FALSE)</f>
        <v/>
      </c>
      <c r="C1054" s="29">
        <f>+VLOOKUP($A1054,MAGAZZINO!$B$2:$M$100000,3,FALSE)</f>
        <v/>
      </c>
      <c r="D1054" s="3">
        <f>+VLOOKUP($A1054,MAGAZZINO!$B$2:$M$100000,4,FALSE)</f>
        <v/>
      </c>
      <c r="E1054" s="3">
        <f>+VLOOKUP($A1054,MAGAZZINO!$B$2:$M$100000,5,FALSE)</f>
        <v/>
      </c>
      <c r="F1054" s="3">
        <f>+VLOOKUP($A1054,MAGAZZINO!$B$2:$M$100000,6,FALSE)</f>
        <v/>
      </c>
      <c r="G1054" s="3">
        <f>+VLOOKUP($A1054,MAGAZZINO!$B$2:$M$100000,7,FALSE)</f>
        <v/>
      </c>
      <c r="H1054" s="3">
        <f>+VLOOKUP($A1054,MAGAZZINO!$B$2:$M$100000,8,FALSE)</f>
        <v/>
      </c>
      <c r="I1054" s="3">
        <f>+VLOOKUP($A1054,MAGAZZINO!$B$2:$M$100000,9,FALSE)</f>
        <v/>
      </c>
      <c r="J1054" s="3">
        <f>+VLOOKUP($A1054,MAGAZZINO!$B$2:$M$100000,10,FALSE)</f>
        <v/>
      </c>
      <c r="K1054" s="3">
        <f>+VLOOKUP($A1054,MAGAZZINO!$B$2:$M$100000,11,FALSE)</f>
        <v/>
      </c>
      <c r="L1054" s="5">
        <f>+VLOOKUP($A1054,MAGAZZINO!$B$2:$M$100000,12,FALSE)</f>
        <v/>
      </c>
      <c r="M1054" s="47" t="n"/>
      <c r="N1054" s="88" t="n">
        <v>45874</v>
      </c>
      <c r="O1054" s="91" t="inlineStr">
        <is>
          <t>PHILIPPOS CONSTANTINIDES TRADING CO. LTD (CIPRO)</t>
        </is>
      </c>
      <c r="P1054" s="154" t="inlineStr">
        <is>
          <t xml:space="preserve">IMPORT LICENSE N. 218 DEL 12/08/2020                                                                                         AUT. TRASFERIMENTO N. 6B/2025/3D RILASCIATA IL 28/07/2025   </t>
        </is>
      </c>
      <c r="Q1054" s="150" t="n"/>
      <c r="R1054" s="150" t="n"/>
      <c r="S1054" s="153" t="n"/>
    </row>
    <row r="1055" ht="36" customHeight="1">
      <c r="A1055" s="46" t="n">
        <v>3385</v>
      </c>
      <c r="B1055" s="4">
        <f>+VLOOKUP($A1055,MAGAZZINO!$B$2:$M$100000,2,FALSE)</f>
        <v/>
      </c>
      <c r="C1055" s="29">
        <f>+VLOOKUP($A1055,MAGAZZINO!$B$2:$M$100000,3,FALSE)</f>
        <v/>
      </c>
      <c r="D1055" s="3">
        <f>+VLOOKUP($A1055,MAGAZZINO!$B$2:$M$100000,4,FALSE)</f>
        <v/>
      </c>
      <c r="E1055" s="3">
        <f>+VLOOKUP($A1055,MAGAZZINO!$B$2:$M$100000,5,FALSE)</f>
        <v/>
      </c>
      <c r="F1055" s="3">
        <f>+VLOOKUP($A1055,MAGAZZINO!$B$2:$M$100000,6,FALSE)</f>
        <v/>
      </c>
      <c r="G1055" s="3">
        <f>+VLOOKUP($A1055,MAGAZZINO!$B$2:$M$100000,7,FALSE)</f>
        <v/>
      </c>
      <c r="H1055" s="3">
        <f>+VLOOKUP($A1055,MAGAZZINO!$B$2:$M$100000,8,FALSE)</f>
        <v/>
      </c>
      <c r="I1055" s="3">
        <f>+VLOOKUP($A1055,MAGAZZINO!$B$2:$M$100000,9,FALSE)</f>
        <v/>
      </c>
      <c r="J1055" s="3">
        <f>+VLOOKUP($A1055,MAGAZZINO!$B$2:$M$100000,10,FALSE)</f>
        <v/>
      </c>
      <c r="K1055" s="3">
        <f>+VLOOKUP($A1055,MAGAZZINO!$B$2:$M$100000,11,FALSE)</f>
        <v/>
      </c>
      <c r="L1055" s="5">
        <f>+VLOOKUP($A1055,MAGAZZINO!$B$2:$M$100000,12,FALSE)</f>
        <v/>
      </c>
      <c r="M1055" s="47" t="n"/>
      <c r="N1055" s="88" t="n">
        <v>45874</v>
      </c>
      <c r="O1055" s="91" t="inlineStr">
        <is>
          <t>PHILIPPOS CONSTANTINIDES TRADING CO. LTD (CIPRO)</t>
        </is>
      </c>
      <c r="P1055" s="154" t="inlineStr">
        <is>
          <t xml:space="preserve">IMPORT LICENSE N. 218 DEL 12/08/2020                                                                                         AUT. TRASFERIMENTO N. 6B/2025/3D RILASCIATA IL 28/07/2025   </t>
        </is>
      </c>
      <c r="Q1055" s="150" t="n"/>
      <c r="R1055" s="150" t="n"/>
      <c r="S1055" s="153" t="n"/>
    </row>
    <row r="1056" ht="36" customHeight="1">
      <c r="A1056" s="46" t="n">
        <v>3386</v>
      </c>
      <c r="B1056" s="4">
        <f>+VLOOKUP($A1056,MAGAZZINO!$B$2:$M$100000,2,FALSE)</f>
        <v/>
      </c>
      <c r="C1056" s="29">
        <f>+VLOOKUP($A1056,MAGAZZINO!$B$2:$M$100000,3,FALSE)</f>
        <v/>
      </c>
      <c r="D1056" s="3">
        <f>+VLOOKUP($A1056,MAGAZZINO!$B$2:$M$100000,4,FALSE)</f>
        <v/>
      </c>
      <c r="E1056" s="3">
        <f>+VLOOKUP($A1056,MAGAZZINO!$B$2:$M$100000,5,FALSE)</f>
        <v/>
      </c>
      <c r="F1056" s="3">
        <f>+VLOOKUP($A1056,MAGAZZINO!$B$2:$M$100000,6,FALSE)</f>
        <v/>
      </c>
      <c r="G1056" s="3">
        <f>+VLOOKUP($A1056,MAGAZZINO!$B$2:$M$100000,7,FALSE)</f>
        <v/>
      </c>
      <c r="H1056" s="3">
        <f>+VLOOKUP($A1056,MAGAZZINO!$B$2:$M$100000,8,FALSE)</f>
        <v/>
      </c>
      <c r="I1056" s="3">
        <f>+VLOOKUP($A1056,MAGAZZINO!$B$2:$M$100000,9,FALSE)</f>
        <v/>
      </c>
      <c r="J1056" s="3">
        <f>+VLOOKUP($A1056,MAGAZZINO!$B$2:$M$100000,10,FALSE)</f>
        <v/>
      </c>
      <c r="K1056" s="3">
        <f>+VLOOKUP($A1056,MAGAZZINO!$B$2:$M$100000,11,FALSE)</f>
        <v/>
      </c>
      <c r="L1056" s="5">
        <f>+VLOOKUP($A1056,MAGAZZINO!$B$2:$M$100000,12,FALSE)</f>
        <v/>
      </c>
      <c r="M1056" s="47" t="n"/>
      <c r="N1056" s="88" t="n">
        <v>45874</v>
      </c>
      <c r="O1056" s="91" t="inlineStr">
        <is>
          <t>PHILIPPOS CONSTANTINIDES TRADING CO. LTD (CIPRO)</t>
        </is>
      </c>
      <c r="P1056" s="154" t="inlineStr">
        <is>
          <t xml:space="preserve">IMPORT LICENSE N. 218 DEL 12/08/2020                                                                                         AUT. TRASFERIMENTO N. 6B/2025/3D RILASCIATA IL 28/07/2025   </t>
        </is>
      </c>
      <c r="Q1056" s="150" t="n"/>
      <c r="R1056" s="150" t="n"/>
      <c r="S1056" s="153" t="n"/>
    </row>
    <row r="1057" ht="36" customHeight="1">
      <c r="A1057" s="46" t="n">
        <v>3387</v>
      </c>
      <c r="B1057" s="4">
        <f>+VLOOKUP($A1057,MAGAZZINO!$B$2:$M$100000,2,FALSE)</f>
        <v/>
      </c>
      <c r="C1057" s="29">
        <f>+VLOOKUP($A1057,MAGAZZINO!$B$2:$M$100000,3,FALSE)</f>
        <v/>
      </c>
      <c r="D1057" s="3">
        <f>+VLOOKUP($A1057,MAGAZZINO!$B$2:$M$100000,4,FALSE)</f>
        <v/>
      </c>
      <c r="E1057" s="3">
        <f>+VLOOKUP($A1057,MAGAZZINO!$B$2:$M$100000,5,FALSE)</f>
        <v/>
      </c>
      <c r="F1057" s="3">
        <f>+VLOOKUP($A1057,MAGAZZINO!$B$2:$M$100000,6,FALSE)</f>
        <v/>
      </c>
      <c r="G1057" s="3">
        <f>+VLOOKUP($A1057,MAGAZZINO!$B$2:$M$100000,7,FALSE)</f>
        <v/>
      </c>
      <c r="H1057" s="3">
        <f>+VLOOKUP($A1057,MAGAZZINO!$B$2:$M$100000,8,FALSE)</f>
        <v/>
      </c>
      <c r="I1057" s="3">
        <f>+VLOOKUP($A1057,MAGAZZINO!$B$2:$M$100000,9,FALSE)</f>
        <v/>
      </c>
      <c r="J1057" s="3">
        <f>+VLOOKUP($A1057,MAGAZZINO!$B$2:$M$100000,10,FALSE)</f>
        <v/>
      </c>
      <c r="K1057" s="3">
        <f>+VLOOKUP($A1057,MAGAZZINO!$B$2:$M$100000,11,FALSE)</f>
        <v/>
      </c>
      <c r="L1057" s="5">
        <f>+VLOOKUP($A1057,MAGAZZINO!$B$2:$M$100000,12,FALSE)</f>
        <v/>
      </c>
      <c r="M1057" s="47" t="n"/>
      <c r="N1057" s="88" t="n">
        <v>45874</v>
      </c>
      <c r="O1057" s="91" t="inlineStr">
        <is>
          <t>PHILIPPOS CONSTANTINIDES TRADING CO. LTD (CIPRO)</t>
        </is>
      </c>
      <c r="P1057" s="154" t="inlineStr">
        <is>
          <t xml:space="preserve">IMPORT LICENSE N. 218 DEL 12/08/2020                                                                                         AUT. TRASFERIMENTO N. 6B/2025/3D RILASCIATA IL 28/07/2025   </t>
        </is>
      </c>
      <c r="Q1057" s="150" t="n"/>
      <c r="R1057" s="150" t="n"/>
      <c r="S1057" s="153" t="n"/>
    </row>
    <row r="1058" ht="36" customHeight="1">
      <c r="A1058" s="46" t="n">
        <v>3388</v>
      </c>
      <c r="B1058" s="4">
        <f>+VLOOKUP($A1058,MAGAZZINO!$B$2:$M$100000,2,FALSE)</f>
        <v/>
      </c>
      <c r="C1058" s="29">
        <f>+VLOOKUP($A1058,MAGAZZINO!$B$2:$M$100000,3,FALSE)</f>
        <v/>
      </c>
      <c r="D1058" s="3">
        <f>+VLOOKUP($A1058,MAGAZZINO!$B$2:$M$100000,4,FALSE)</f>
        <v/>
      </c>
      <c r="E1058" s="3">
        <f>+VLOOKUP($A1058,MAGAZZINO!$B$2:$M$100000,5,FALSE)</f>
        <v/>
      </c>
      <c r="F1058" s="3">
        <f>+VLOOKUP($A1058,MAGAZZINO!$B$2:$M$100000,6,FALSE)</f>
        <v/>
      </c>
      <c r="G1058" s="3">
        <f>+VLOOKUP($A1058,MAGAZZINO!$B$2:$M$100000,7,FALSE)</f>
        <v/>
      </c>
      <c r="H1058" s="3">
        <f>+VLOOKUP($A1058,MAGAZZINO!$B$2:$M$100000,8,FALSE)</f>
        <v/>
      </c>
      <c r="I1058" s="3">
        <f>+VLOOKUP($A1058,MAGAZZINO!$B$2:$M$100000,9,FALSE)</f>
        <v/>
      </c>
      <c r="J1058" s="3">
        <f>+VLOOKUP($A1058,MAGAZZINO!$B$2:$M$100000,10,FALSE)</f>
        <v/>
      </c>
      <c r="K1058" s="3">
        <f>+VLOOKUP($A1058,MAGAZZINO!$B$2:$M$100000,11,FALSE)</f>
        <v/>
      </c>
      <c r="L1058" s="5">
        <f>+VLOOKUP($A1058,MAGAZZINO!$B$2:$M$100000,12,FALSE)</f>
        <v/>
      </c>
      <c r="M1058" s="47" t="n"/>
      <c r="N1058" s="88" t="n">
        <v>45874</v>
      </c>
      <c r="O1058" s="91" t="inlineStr">
        <is>
          <t>PHILIPPOS CONSTANTINIDES TRADING CO. LTD (CIPRO)</t>
        </is>
      </c>
      <c r="P1058" s="154" t="inlineStr">
        <is>
          <t xml:space="preserve">IMPORT LICENSE N. 218 DEL 12/08/2020                                                                                         AUT. TRASFERIMENTO N. 6B/2025/3D RILASCIATA IL 28/07/2025   </t>
        </is>
      </c>
      <c r="Q1058" s="150" t="n"/>
      <c r="R1058" s="150" t="n"/>
      <c r="S1058" s="153" t="n"/>
    </row>
    <row r="1059" ht="36" customHeight="1">
      <c r="A1059" s="46" t="n">
        <v>3389</v>
      </c>
      <c r="B1059" s="4">
        <f>+VLOOKUP($A1059,MAGAZZINO!$B$2:$M$100000,2,FALSE)</f>
        <v/>
      </c>
      <c r="C1059" s="29">
        <f>+VLOOKUP($A1059,MAGAZZINO!$B$2:$M$100000,3,FALSE)</f>
        <v/>
      </c>
      <c r="D1059" s="3">
        <f>+VLOOKUP($A1059,MAGAZZINO!$B$2:$M$100000,4,FALSE)</f>
        <v/>
      </c>
      <c r="E1059" s="3">
        <f>+VLOOKUP($A1059,MAGAZZINO!$B$2:$M$100000,5,FALSE)</f>
        <v/>
      </c>
      <c r="F1059" s="3">
        <f>+VLOOKUP($A1059,MAGAZZINO!$B$2:$M$100000,6,FALSE)</f>
        <v/>
      </c>
      <c r="G1059" s="3">
        <f>+VLOOKUP($A1059,MAGAZZINO!$B$2:$M$100000,7,FALSE)</f>
        <v/>
      </c>
      <c r="H1059" s="3">
        <f>+VLOOKUP($A1059,MAGAZZINO!$B$2:$M$100000,8,FALSE)</f>
        <v/>
      </c>
      <c r="I1059" s="3">
        <f>+VLOOKUP($A1059,MAGAZZINO!$B$2:$M$100000,9,FALSE)</f>
        <v/>
      </c>
      <c r="J1059" s="3">
        <f>+VLOOKUP($A1059,MAGAZZINO!$B$2:$M$100000,10,FALSE)</f>
        <v/>
      </c>
      <c r="K1059" s="3">
        <f>+VLOOKUP($A1059,MAGAZZINO!$B$2:$M$100000,11,FALSE)</f>
        <v/>
      </c>
      <c r="L1059" s="5">
        <f>+VLOOKUP($A1059,MAGAZZINO!$B$2:$M$100000,12,FALSE)</f>
        <v/>
      </c>
      <c r="M1059" s="47" t="n"/>
      <c r="N1059" s="88" t="n">
        <v>45874</v>
      </c>
      <c r="O1059" s="91" t="inlineStr">
        <is>
          <t>PHILIPPOS CONSTANTINIDES TRADING CO. LTD (CIPRO)</t>
        </is>
      </c>
      <c r="P1059" s="154" t="inlineStr">
        <is>
          <t xml:space="preserve">IMPORT LICENSE N. 218 DEL 12/08/2020                                                                                         AUT. TRASFERIMENTO N. 6B/2025/3D RILASCIATA IL 28/07/2025   </t>
        </is>
      </c>
      <c r="Q1059" s="150" t="n"/>
      <c r="R1059" s="150" t="n"/>
      <c r="S1059" s="153" t="n"/>
    </row>
    <row r="1060" ht="36" customHeight="1">
      <c r="A1060" s="46" t="n">
        <v>3390</v>
      </c>
      <c r="B1060" s="4">
        <f>+VLOOKUP($A1060,MAGAZZINO!$B$2:$M$100000,2,FALSE)</f>
        <v/>
      </c>
      <c r="C1060" s="29">
        <f>+VLOOKUP($A1060,MAGAZZINO!$B$2:$M$100000,3,FALSE)</f>
        <v/>
      </c>
      <c r="D1060" s="3">
        <f>+VLOOKUP($A1060,MAGAZZINO!$B$2:$M$100000,4,FALSE)</f>
        <v/>
      </c>
      <c r="E1060" s="3">
        <f>+VLOOKUP($A1060,MAGAZZINO!$B$2:$M$100000,5,FALSE)</f>
        <v/>
      </c>
      <c r="F1060" s="3">
        <f>+VLOOKUP($A1060,MAGAZZINO!$B$2:$M$100000,6,FALSE)</f>
        <v/>
      </c>
      <c r="G1060" s="3">
        <f>+VLOOKUP($A1060,MAGAZZINO!$B$2:$M$100000,7,FALSE)</f>
        <v/>
      </c>
      <c r="H1060" s="3">
        <f>+VLOOKUP($A1060,MAGAZZINO!$B$2:$M$100000,8,FALSE)</f>
        <v/>
      </c>
      <c r="I1060" s="3">
        <f>+VLOOKUP($A1060,MAGAZZINO!$B$2:$M$100000,9,FALSE)</f>
        <v/>
      </c>
      <c r="J1060" s="3">
        <f>+VLOOKUP($A1060,MAGAZZINO!$B$2:$M$100000,10,FALSE)</f>
        <v/>
      </c>
      <c r="K1060" s="3">
        <f>+VLOOKUP($A1060,MAGAZZINO!$B$2:$M$100000,11,FALSE)</f>
        <v/>
      </c>
      <c r="L1060" s="5">
        <f>+VLOOKUP($A1060,MAGAZZINO!$B$2:$M$100000,12,FALSE)</f>
        <v/>
      </c>
      <c r="M1060" s="47" t="n"/>
      <c r="N1060" s="88" t="n">
        <v>45874</v>
      </c>
      <c r="O1060" s="91" t="inlineStr">
        <is>
          <t>PHILIPPOS CONSTANTINIDES TRADING CO. LTD (CIPRO)</t>
        </is>
      </c>
      <c r="P1060" s="154" t="inlineStr">
        <is>
          <t xml:space="preserve">IMPORT LICENSE N. 218 DEL 12/08/2020                                                                                         AUT. TRASFERIMENTO N. 6B/2025/3D RILASCIATA IL 28/07/2025   </t>
        </is>
      </c>
      <c r="Q1060" s="150" t="n"/>
      <c r="R1060" s="150" t="n"/>
      <c r="S1060" s="153" t="n"/>
    </row>
    <row r="1061" ht="36" customHeight="1">
      <c r="A1061" s="46" t="n">
        <v>3391</v>
      </c>
      <c r="B1061" s="4">
        <f>+VLOOKUP($A1061,MAGAZZINO!$B$2:$M$100000,2,FALSE)</f>
        <v/>
      </c>
      <c r="C1061" s="29">
        <f>+VLOOKUP($A1061,MAGAZZINO!$B$2:$M$100000,3,FALSE)</f>
        <v/>
      </c>
      <c r="D1061" s="3">
        <f>+VLOOKUP($A1061,MAGAZZINO!$B$2:$M$100000,4,FALSE)</f>
        <v/>
      </c>
      <c r="E1061" s="3">
        <f>+VLOOKUP($A1061,MAGAZZINO!$B$2:$M$100000,5,FALSE)</f>
        <v/>
      </c>
      <c r="F1061" s="3">
        <f>+VLOOKUP($A1061,MAGAZZINO!$B$2:$M$100000,6,FALSE)</f>
        <v/>
      </c>
      <c r="G1061" s="3">
        <f>+VLOOKUP($A1061,MAGAZZINO!$B$2:$M$100000,7,FALSE)</f>
        <v/>
      </c>
      <c r="H1061" s="3">
        <f>+VLOOKUP($A1061,MAGAZZINO!$B$2:$M$100000,8,FALSE)</f>
        <v/>
      </c>
      <c r="I1061" s="3">
        <f>+VLOOKUP($A1061,MAGAZZINO!$B$2:$M$100000,9,FALSE)</f>
        <v/>
      </c>
      <c r="J1061" s="3">
        <f>+VLOOKUP($A1061,MAGAZZINO!$B$2:$M$100000,10,FALSE)</f>
        <v/>
      </c>
      <c r="K1061" s="3">
        <f>+VLOOKUP($A1061,MAGAZZINO!$B$2:$M$100000,11,FALSE)</f>
        <v/>
      </c>
      <c r="L1061" s="5">
        <f>+VLOOKUP($A1061,MAGAZZINO!$B$2:$M$100000,12,FALSE)</f>
        <v/>
      </c>
      <c r="M1061" s="47" t="n"/>
      <c r="N1061" s="88" t="n">
        <v>45874</v>
      </c>
      <c r="O1061" s="91" t="inlineStr">
        <is>
          <t>PHILIPPOS CONSTANTINIDES TRADING CO. LTD (CIPRO)</t>
        </is>
      </c>
      <c r="P1061" s="154" t="inlineStr">
        <is>
          <t xml:space="preserve">IMPORT LICENSE N. 218 DEL 12/08/2020                                                                                         AUT. TRASFERIMENTO N. 6B/2025/3D RILASCIATA IL 28/07/2025   </t>
        </is>
      </c>
      <c r="Q1061" s="150" t="n"/>
      <c r="R1061" s="150" t="n"/>
      <c r="S1061" s="153" t="n"/>
    </row>
    <row r="1062" ht="36" customHeight="1">
      <c r="A1062" s="46" t="n">
        <v>3392</v>
      </c>
      <c r="B1062" s="4">
        <f>+VLOOKUP($A1062,MAGAZZINO!$B$2:$M$100000,2,FALSE)</f>
        <v/>
      </c>
      <c r="C1062" s="29">
        <f>+VLOOKUP($A1062,MAGAZZINO!$B$2:$M$100000,3,FALSE)</f>
        <v/>
      </c>
      <c r="D1062" s="3">
        <f>+VLOOKUP($A1062,MAGAZZINO!$B$2:$M$100000,4,FALSE)</f>
        <v/>
      </c>
      <c r="E1062" s="3">
        <f>+VLOOKUP($A1062,MAGAZZINO!$B$2:$M$100000,5,FALSE)</f>
        <v/>
      </c>
      <c r="F1062" s="3">
        <f>+VLOOKUP($A1062,MAGAZZINO!$B$2:$M$100000,6,FALSE)</f>
        <v/>
      </c>
      <c r="G1062" s="3">
        <f>+VLOOKUP($A1062,MAGAZZINO!$B$2:$M$100000,7,FALSE)</f>
        <v/>
      </c>
      <c r="H1062" s="3">
        <f>+VLOOKUP($A1062,MAGAZZINO!$B$2:$M$100000,8,FALSE)</f>
        <v/>
      </c>
      <c r="I1062" s="3">
        <f>+VLOOKUP($A1062,MAGAZZINO!$B$2:$M$100000,9,FALSE)</f>
        <v/>
      </c>
      <c r="J1062" s="3">
        <f>+VLOOKUP($A1062,MAGAZZINO!$B$2:$M$100000,10,FALSE)</f>
        <v/>
      </c>
      <c r="K1062" s="3">
        <f>+VLOOKUP($A1062,MAGAZZINO!$B$2:$M$100000,11,FALSE)</f>
        <v/>
      </c>
      <c r="L1062" s="5">
        <f>+VLOOKUP($A1062,MAGAZZINO!$B$2:$M$100000,12,FALSE)</f>
        <v/>
      </c>
      <c r="M1062" s="47" t="n"/>
      <c r="N1062" s="88" t="n">
        <v>45874</v>
      </c>
      <c r="O1062" s="91" t="inlineStr">
        <is>
          <t>PHILIPPOS CONSTANTINIDES TRADING CO. LTD (CIPRO)</t>
        </is>
      </c>
      <c r="P1062" s="154" t="inlineStr">
        <is>
          <t xml:space="preserve">IMPORT LICENSE N. 218 DEL 12/08/2020                                                                                         AUT. TRASFERIMENTO N. 6B/2025/3D RILASCIATA IL 28/07/2025   </t>
        </is>
      </c>
      <c r="Q1062" s="150" t="n"/>
      <c r="R1062" s="150" t="n"/>
      <c r="S1062" s="153" t="n"/>
    </row>
    <row r="1063" ht="36" customHeight="1">
      <c r="A1063" s="46" t="n">
        <v>3393</v>
      </c>
      <c r="B1063" s="4">
        <f>+VLOOKUP($A1063,MAGAZZINO!$B$2:$M$100000,2,FALSE)</f>
        <v/>
      </c>
      <c r="C1063" s="29">
        <f>+VLOOKUP($A1063,MAGAZZINO!$B$2:$M$100000,3,FALSE)</f>
        <v/>
      </c>
      <c r="D1063" s="3">
        <f>+VLOOKUP($A1063,MAGAZZINO!$B$2:$M$100000,4,FALSE)</f>
        <v/>
      </c>
      <c r="E1063" s="3">
        <f>+VLOOKUP($A1063,MAGAZZINO!$B$2:$M$100000,5,FALSE)</f>
        <v/>
      </c>
      <c r="F1063" s="3">
        <f>+VLOOKUP($A1063,MAGAZZINO!$B$2:$M$100000,6,FALSE)</f>
        <v/>
      </c>
      <c r="G1063" s="3">
        <f>+VLOOKUP($A1063,MAGAZZINO!$B$2:$M$100000,7,FALSE)</f>
        <v/>
      </c>
      <c r="H1063" s="3">
        <f>+VLOOKUP($A1063,MAGAZZINO!$B$2:$M$100000,8,FALSE)</f>
        <v/>
      </c>
      <c r="I1063" s="3">
        <f>+VLOOKUP($A1063,MAGAZZINO!$B$2:$M$100000,9,FALSE)</f>
        <v/>
      </c>
      <c r="J1063" s="3">
        <f>+VLOOKUP($A1063,MAGAZZINO!$B$2:$M$100000,10,FALSE)</f>
        <v/>
      </c>
      <c r="K1063" s="3">
        <f>+VLOOKUP($A1063,MAGAZZINO!$B$2:$M$100000,11,FALSE)</f>
        <v/>
      </c>
      <c r="L1063" s="5">
        <f>+VLOOKUP($A1063,MAGAZZINO!$B$2:$M$100000,12,FALSE)</f>
        <v/>
      </c>
      <c r="M1063" s="47" t="n"/>
      <c r="N1063" s="54" t="n"/>
      <c r="O1063" s="3" t="n"/>
      <c r="P1063" s="149" t="n"/>
      <c r="Q1063" s="150" t="n"/>
      <c r="R1063" s="150" t="n"/>
      <c r="S1063" s="151" t="n"/>
    </row>
    <row r="1064" ht="36" customHeight="1">
      <c r="A1064" s="46" t="n">
        <v>3394</v>
      </c>
      <c r="B1064" s="4">
        <f>+VLOOKUP($A1064,MAGAZZINO!$B$2:$M$100000,2,FALSE)</f>
        <v/>
      </c>
      <c r="C1064" s="29">
        <f>+VLOOKUP($A1064,MAGAZZINO!$B$2:$M$100000,3,FALSE)</f>
        <v/>
      </c>
      <c r="D1064" s="3">
        <f>+VLOOKUP($A1064,MAGAZZINO!$B$2:$M$100000,4,FALSE)</f>
        <v/>
      </c>
      <c r="E1064" s="3">
        <f>+VLOOKUP($A1064,MAGAZZINO!$B$2:$M$100000,5,FALSE)</f>
        <v/>
      </c>
      <c r="F1064" s="3">
        <f>+VLOOKUP($A1064,MAGAZZINO!$B$2:$M$100000,6,FALSE)</f>
        <v/>
      </c>
      <c r="G1064" s="3">
        <f>+VLOOKUP($A1064,MAGAZZINO!$B$2:$M$100000,7,FALSE)</f>
        <v/>
      </c>
      <c r="H1064" s="3">
        <f>+VLOOKUP($A1064,MAGAZZINO!$B$2:$M$100000,8,FALSE)</f>
        <v/>
      </c>
      <c r="I1064" s="3">
        <f>+VLOOKUP($A1064,MAGAZZINO!$B$2:$M$100000,9,FALSE)</f>
        <v/>
      </c>
      <c r="J1064" s="3">
        <f>+VLOOKUP($A1064,MAGAZZINO!$B$2:$M$100000,10,FALSE)</f>
        <v/>
      </c>
      <c r="K1064" s="3">
        <f>+VLOOKUP($A1064,MAGAZZINO!$B$2:$M$100000,11,FALSE)</f>
        <v/>
      </c>
      <c r="L1064" s="5">
        <f>+VLOOKUP($A1064,MAGAZZINO!$B$2:$M$100000,12,FALSE)</f>
        <v/>
      </c>
      <c r="M1064" s="47" t="n"/>
      <c r="N1064" s="54" t="n"/>
      <c r="O1064" s="3" t="n"/>
      <c r="P1064" s="149" t="n"/>
      <c r="Q1064" s="150" t="n"/>
      <c r="R1064" s="150" t="n"/>
      <c r="S1064" s="151" t="n"/>
    </row>
    <row r="1065" ht="36" customHeight="1">
      <c r="A1065" s="46" t="n">
        <v>3395</v>
      </c>
      <c r="B1065" s="4">
        <f>+VLOOKUP($A1065,MAGAZZINO!$B$2:$M$100000,2,FALSE)</f>
        <v/>
      </c>
      <c r="C1065" s="29">
        <f>+VLOOKUP($A1065,MAGAZZINO!$B$2:$M$100000,3,FALSE)</f>
        <v/>
      </c>
      <c r="D1065" s="3">
        <f>+VLOOKUP($A1065,MAGAZZINO!$B$2:$M$100000,4,FALSE)</f>
        <v/>
      </c>
      <c r="E1065" s="3">
        <f>+VLOOKUP($A1065,MAGAZZINO!$B$2:$M$100000,5,FALSE)</f>
        <v/>
      </c>
      <c r="F1065" s="3">
        <f>+VLOOKUP($A1065,MAGAZZINO!$B$2:$M$100000,6,FALSE)</f>
        <v/>
      </c>
      <c r="G1065" s="3">
        <f>+VLOOKUP($A1065,MAGAZZINO!$B$2:$M$100000,7,FALSE)</f>
        <v/>
      </c>
      <c r="H1065" s="3">
        <f>+VLOOKUP($A1065,MAGAZZINO!$B$2:$M$100000,8,FALSE)</f>
        <v/>
      </c>
      <c r="I1065" s="3">
        <f>+VLOOKUP($A1065,MAGAZZINO!$B$2:$M$100000,9,FALSE)</f>
        <v/>
      </c>
      <c r="J1065" s="3">
        <f>+VLOOKUP($A1065,MAGAZZINO!$B$2:$M$100000,10,FALSE)</f>
        <v/>
      </c>
      <c r="K1065" s="3">
        <f>+VLOOKUP($A1065,MAGAZZINO!$B$2:$M$100000,11,FALSE)</f>
        <v/>
      </c>
      <c r="L1065" s="5">
        <f>+VLOOKUP($A1065,MAGAZZINO!$B$2:$M$100000,12,FALSE)</f>
        <v/>
      </c>
      <c r="M1065" s="47" t="n"/>
      <c r="N1065" s="54" t="n"/>
      <c r="O1065" s="3" t="n"/>
      <c r="P1065" s="149" t="n"/>
      <c r="Q1065" s="150" t="n"/>
      <c r="R1065" s="150" t="n"/>
      <c r="S1065" s="151" t="n"/>
    </row>
    <row r="1066" ht="36" customHeight="1">
      <c r="A1066" s="46" t="n">
        <v>3396</v>
      </c>
      <c r="B1066" s="4">
        <f>+VLOOKUP($A1066,MAGAZZINO!$B$2:$M$100000,2,FALSE)</f>
        <v/>
      </c>
      <c r="C1066" s="29">
        <f>+VLOOKUP($A1066,MAGAZZINO!$B$2:$M$100000,3,FALSE)</f>
        <v/>
      </c>
      <c r="D1066" s="3">
        <f>+VLOOKUP($A1066,MAGAZZINO!$B$2:$M$100000,4,FALSE)</f>
        <v/>
      </c>
      <c r="E1066" s="3">
        <f>+VLOOKUP($A1066,MAGAZZINO!$B$2:$M$100000,5,FALSE)</f>
        <v/>
      </c>
      <c r="F1066" s="3">
        <f>+VLOOKUP($A1066,MAGAZZINO!$B$2:$M$100000,6,FALSE)</f>
        <v/>
      </c>
      <c r="G1066" s="3">
        <f>+VLOOKUP($A1066,MAGAZZINO!$B$2:$M$100000,7,FALSE)</f>
        <v/>
      </c>
      <c r="H1066" s="3">
        <f>+VLOOKUP($A1066,MAGAZZINO!$B$2:$M$100000,8,FALSE)</f>
        <v/>
      </c>
      <c r="I1066" s="3">
        <f>+VLOOKUP($A1066,MAGAZZINO!$B$2:$M$100000,9,FALSE)</f>
        <v/>
      </c>
      <c r="J1066" s="3">
        <f>+VLOOKUP($A1066,MAGAZZINO!$B$2:$M$100000,10,FALSE)</f>
        <v/>
      </c>
      <c r="K1066" s="3">
        <f>+VLOOKUP($A1066,MAGAZZINO!$B$2:$M$100000,11,FALSE)</f>
        <v/>
      </c>
      <c r="L1066" s="5">
        <f>+VLOOKUP($A1066,MAGAZZINO!$B$2:$M$100000,12,FALSE)</f>
        <v/>
      </c>
      <c r="M1066" s="47" t="n"/>
      <c r="N1066" s="54" t="n"/>
      <c r="O1066" s="3" t="n"/>
      <c r="P1066" s="149" t="n"/>
      <c r="Q1066" s="150" t="n"/>
      <c r="R1066" s="150" t="n"/>
      <c r="S1066" s="151" t="n"/>
    </row>
    <row r="1067" ht="36" customHeight="1">
      <c r="A1067" s="46" t="n">
        <v>3397</v>
      </c>
      <c r="B1067" s="4">
        <f>+VLOOKUP($A1067,MAGAZZINO!$B$2:$M$100000,2,FALSE)</f>
        <v/>
      </c>
      <c r="C1067" s="29">
        <f>+VLOOKUP($A1067,MAGAZZINO!$B$2:$M$100000,3,FALSE)</f>
        <v/>
      </c>
      <c r="D1067" s="3">
        <f>+VLOOKUP($A1067,MAGAZZINO!$B$2:$M$100000,4,FALSE)</f>
        <v/>
      </c>
      <c r="E1067" s="3">
        <f>+VLOOKUP($A1067,MAGAZZINO!$B$2:$M$100000,5,FALSE)</f>
        <v/>
      </c>
      <c r="F1067" s="3">
        <f>+VLOOKUP($A1067,MAGAZZINO!$B$2:$M$100000,6,FALSE)</f>
        <v/>
      </c>
      <c r="G1067" s="3">
        <f>+VLOOKUP($A1067,MAGAZZINO!$B$2:$M$100000,7,FALSE)</f>
        <v/>
      </c>
      <c r="H1067" s="3">
        <f>+VLOOKUP($A1067,MAGAZZINO!$B$2:$M$100000,8,FALSE)</f>
        <v/>
      </c>
      <c r="I1067" s="3">
        <f>+VLOOKUP($A1067,MAGAZZINO!$B$2:$M$100000,9,FALSE)</f>
        <v/>
      </c>
      <c r="J1067" s="3">
        <f>+VLOOKUP($A1067,MAGAZZINO!$B$2:$M$100000,10,FALSE)</f>
        <v/>
      </c>
      <c r="K1067" s="3">
        <f>+VLOOKUP($A1067,MAGAZZINO!$B$2:$M$100000,11,FALSE)</f>
        <v/>
      </c>
      <c r="L1067" s="5">
        <f>+VLOOKUP($A1067,MAGAZZINO!$B$2:$M$100000,12,FALSE)</f>
        <v/>
      </c>
      <c r="M1067" s="47" t="n"/>
      <c r="N1067" s="54" t="n"/>
      <c r="O1067" s="3" t="n"/>
      <c r="P1067" s="149" t="n"/>
      <c r="Q1067" s="150" t="n"/>
      <c r="R1067" s="150" t="n"/>
      <c r="S1067" s="151" t="n"/>
    </row>
    <row r="1068" ht="36" customHeight="1">
      <c r="A1068" s="46" t="n">
        <v>3398</v>
      </c>
      <c r="B1068" s="4">
        <f>+VLOOKUP($A1068,MAGAZZINO!$B$2:$M$100000,2,FALSE)</f>
        <v/>
      </c>
      <c r="C1068" s="29">
        <f>+VLOOKUP($A1068,MAGAZZINO!$B$2:$M$100000,3,FALSE)</f>
        <v/>
      </c>
      <c r="D1068" s="3">
        <f>+VLOOKUP($A1068,MAGAZZINO!$B$2:$M$100000,4,FALSE)</f>
        <v/>
      </c>
      <c r="E1068" s="3">
        <f>+VLOOKUP($A1068,MAGAZZINO!$B$2:$M$100000,5,FALSE)</f>
        <v/>
      </c>
      <c r="F1068" s="3">
        <f>+VLOOKUP($A1068,MAGAZZINO!$B$2:$M$100000,6,FALSE)</f>
        <v/>
      </c>
      <c r="G1068" s="3">
        <f>+VLOOKUP($A1068,MAGAZZINO!$B$2:$M$100000,7,FALSE)</f>
        <v/>
      </c>
      <c r="H1068" s="3">
        <f>+VLOOKUP($A1068,MAGAZZINO!$B$2:$M$100000,8,FALSE)</f>
        <v/>
      </c>
      <c r="I1068" s="3">
        <f>+VLOOKUP($A1068,MAGAZZINO!$B$2:$M$100000,9,FALSE)</f>
        <v/>
      </c>
      <c r="J1068" s="3">
        <f>+VLOOKUP($A1068,MAGAZZINO!$B$2:$M$100000,10,FALSE)</f>
        <v/>
      </c>
      <c r="K1068" s="3">
        <f>+VLOOKUP($A1068,MAGAZZINO!$B$2:$M$100000,11,FALSE)</f>
        <v/>
      </c>
      <c r="L1068" s="5">
        <f>+VLOOKUP($A1068,MAGAZZINO!$B$2:$M$100000,12,FALSE)</f>
        <v/>
      </c>
      <c r="M1068" s="47" t="n"/>
      <c r="N1068" s="54" t="n"/>
      <c r="O1068" s="3" t="n"/>
      <c r="P1068" s="149" t="n"/>
      <c r="Q1068" s="150" t="n"/>
      <c r="R1068" s="150" t="n"/>
      <c r="S1068" s="151" t="n"/>
    </row>
    <row r="1069" ht="36" customHeight="1">
      <c r="A1069" s="46" t="n">
        <v>3399</v>
      </c>
      <c r="B1069" s="4">
        <f>+VLOOKUP($A1069,MAGAZZINO!$B$2:$M$100000,2,FALSE)</f>
        <v/>
      </c>
      <c r="C1069" s="29">
        <f>+VLOOKUP($A1069,MAGAZZINO!$B$2:$M$100000,3,FALSE)</f>
        <v/>
      </c>
      <c r="D1069" s="3">
        <f>+VLOOKUP($A1069,MAGAZZINO!$B$2:$M$100000,4,FALSE)</f>
        <v/>
      </c>
      <c r="E1069" s="3">
        <f>+VLOOKUP($A1069,MAGAZZINO!$B$2:$M$100000,5,FALSE)</f>
        <v/>
      </c>
      <c r="F1069" s="3">
        <f>+VLOOKUP($A1069,MAGAZZINO!$B$2:$M$100000,6,FALSE)</f>
        <v/>
      </c>
      <c r="G1069" s="3">
        <f>+VLOOKUP($A1069,MAGAZZINO!$B$2:$M$100000,7,FALSE)</f>
        <v/>
      </c>
      <c r="H1069" s="3">
        <f>+VLOOKUP($A1069,MAGAZZINO!$B$2:$M$100000,8,FALSE)</f>
        <v/>
      </c>
      <c r="I1069" s="3">
        <f>+VLOOKUP($A1069,MAGAZZINO!$B$2:$M$100000,9,FALSE)</f>
        <v/>
      </c>
      <c r="J1069" s="3">
        <f>+VLOOKUP($A1069,MAGAZZINO!$B$2:$M$100000,10,FALSE)</f>
        <v/>
      </c>
      <c r="K1069" s="3">
        <f>+VLOOKUP($A1069,MAGAZZINO!$B$2:$M$100000,11,FALSE)</f>
        <v/>
      </c>
      <c r="L1069" s="5">
        <f>+VLOOKUP($A1069,MAGAZZINO!$B$2:$M$100000,12,FALSE)</f>
        <v/>
      </c>
      <c r="M1069" s="47" t="n"/>
      <c r="N1069" s="54" t="n"/>
      <c r="O1069" s="3" t="n"/>
      <c r="P1069" s="149" t="n"/>
      <c r="Q1069" s="150" t="n"/>
      <c r="R1069" s="150" t="n"/>
      <c r="S1069" s="151" t="n"/>
    </row>
    <row r="1070" ht="36" customHeight="1">
      <c r="A1070" s="46" t="n">
        <v>3400</v>
      </c>
      <c r="B1070" s="4">
        <f>+VLOOKUP($A1070,MAGAZZINO!$B$2:$M$100000,2,FALSE)</f>
        <v/>
      </c>
      <c r="C1070" s="29">
        <f>+VLOOKUP($A1070,MAGAZZINO!$B$2:$M$100000,3,FALSE)</f>
        <v/>
      </c>
      <c r="D1070" s="3">
        <f>+VLOOKUP($A1070,MAGAZZINO!$B$2:$M$100000,4,FALSE)</f>
        <v/>
      </c>
      <c r="E1070" s="3">
        <f>+VLOOKUP($A1070,MAGAZZINO!$B$2:$M$100000,5,FALSE)</f>
        <v/>
      </c>
      <c r="F1070" s="3">
        <f>+VLOOKUP($A1070,MAGAZZINO!$B$2:$M$100000,6,FALSE)</f>
        <v/>
      </c>
      <c r="G1070" s="3">
        <f>+VLOOKUP($A1070,MAGAZZINO!$B$2:$M$100000,7,FALSE)</f>
        <v/>
      </c>
      <c r="H1070" s="3">
        <f>+VLOOKUP($A1070,MAGAZZINO!$B$2:$M$100000,8,FALSE)</f>
        <v/>
      </c>
      <c r="I1070" s="3">
        <f>+VLOOKUP($A1070,MAGAZZINO!$B$2:$M$100000,9,FALSE)</f>
        <v/>
      </c>
      <c r="J1070" s="3">
        <f>+VLOOKUP($A1070,MAGAZZINO!$B$2:$M$100000,10,FALSE)</f>
        <v/>
      </c>
      <c r="K1070" s="3">
        <f>+VLOOKUP($A1070,MAGAZZINO!$B$2:$M$100000,11,FALSE)</f>
        <v/>
      </c>
      <c r="L1070" s="5">
        <f>+VLOOKUP($A1070,MAGAZZINO!$B$2:$M$100000,12,FALSE)</f>
        <v/>
      </c>
      <c r="M1070" s="47" t="n"/>
      <c r="N1070" s="54" t="n"/>
      <c r="O1070" s="3" t="n"/>
      <c r="P1070" s="149" t="n"/>
      <c r="Q1070" s="150" t="n"/>
      <c r="R1070" s="150" t="n"/>
      <c r="S1070" s="151" t="n"/>
    </row>
    <row r="1071" ht="36" customHeight="1">
      <c r="A1071" s="46" t="n">
        <v>3401</v>
      </c>
      <c r="B1071" s="4">
        <f>+VLOOKUP($A1071,MAGAZZINO!$B$2:$M$100000,2,FALSE)</f>
        <v/>
      </c>
      <c r="C1071" s="29">
        <f>+VLOOKUP($A1071,MAGAZZINO!$B$2:$M$100000,3,FALSE)</f>
        <v/>
      </c>
      <c r="D1071" s="3">
        <f>+VLOOKUP($A1071,MAGAZZINO!$B$2:$M$100000,4,FALSE)</f>
        <v/>
      </c>
      <c r="E1071" s="3">
        <f>+VLOOKUP($A1071,MAGAZZINO!$B$2:$M$100000,5,FALSE)</f>
        <v/>
      </c>
      <c r="F1071" s="3">
        <f>+VLOOKUP($A1071,MAGAZZINO!$B$2:$M$100000,6,FALSE)</f>
        <v/>
      </c>
      <c r="G1071" s="3">
        <f>+VLOOKUP($A1071,MAGAZZINO!$B$2:$M$100000,7,FALSE)</f>
        <v/>
      </c>
      <c r="H1071" s="3">
        <f>+VLOOKUP($A1071,MAGAZZINO!$B$2:$M$100000,8,FALSE)</f>
        <v/>
      </c>
      <c r="I1071" s="3">
        <f>+VLOOKUP($A1071,MAGAZZINO!$B$2:$M$100000,9,FALSE)</f>
        <v/>
      </c>
      <c r="J1071" s="3">
        <f>+VLOOKUP($A1071,MAGAZZINO!$B$2:$M$100000,10,FALSE)</f>
        <v/>
      </c>
      <c r="K1071" s="3">
        <f>+VLOOKUP($A1071,MAGAZZINO!$B$2:$M$100000,11,FALSE)</f>
        <v/>
      </c>
      <c r="L1071" s="5">
        <f>+VLOOKUP($A1071,MAGAZZINO!$B$2:$M$100000,12,FALSE)</f>
        <v/>
      </c>
      <c r="M1071" s="47" t="n"/>
      <c r="N1071" s="54" t="n"/>
      <c r="O1071" s="3" t="n"/>
      <c r="P1071" s="149" t="n"/>
      <c r="Q1071" s="150" t="n"/>
      <c r="R1071" s="150" t="n"/>
      <c r="S1071" s="151" t="n"/>
    </row>
    <row r="1072" ht="36" customHeight="1">
      <c r="A1072" s="46" t="n">
        <v>3402</v>
      </c>
      <c r="B1072" s="4">
        <f>+VLOOKUP($A1072,MAGAZZINO!$B$2:$M$100000,2,FALSE)</f>
        <v/>
      </c>
      <c r="C1072" s="29">
        <f>+VLOOKUP($A1072,MAGAZZINO!$B$2:$M$100000,3,FALSE)</f>
        <v/>
      </c>
      <c r="D1072" s="3">
        <f>+VLOOKUP($A1072,MAGAZZINO!$B$2:$M$100000,4,FALSE)</f>
        <v/>
      </c>
      <c r="E1072" s="3">
        <f>+VLOOKUP($A1072,MAGAZZINO!$B$2:$M$100000,5,FALSE)</f>
        <v/>
      </c>
      <c r="F1072" s="3">
        <f>+VLOOKUP($A1072,MAGAZZINO!$B$2:$M$100000,6,FALSE)</f>
        <v/>
      </c>
      <c r="G1072" s="3">
        <f>+VLOOKUP($A1072,MAGAZZINO!$B$2:$M$100000,7,FALSE)</f>
        <v/>
      </c>
      <c r="H1072" s="3">
        <f>+VLOOKUP($A1072,MAGAZZINO!$B$2:$M$100000,8,FALSE)</f>
        <v/>
      </c>
      <c r="I1072" s="3">
        <f>+VLOOKUP($A1072,MAGAZZINO!$B$2:$M$100000,9,FALSE)</f>
        <v/>
      </c>
      <c r="J1072" s="3">
        <f>+VLOOKUP($A1072,MAGAZZINO!$B$2:$M$100000,10,FALSE)</f>
        <v/>
      </c>
      <c r="K1072" s="3">
        <f>+VLOOKUP($A1072,MAGAZZINO!$B$2:$M$100000,11,FALSE)</f>
        <v/>
      </c>
      <c r="L1072" s="5">
        <f>+VLOOKUP($A1072,MAGAZZINO!$B$2:$M$100000,12,FALSE)</f>
        <v/>
      </c>
      <c r="M1072" s="47" t="n"/>
      <c r="N1072" s="54" t="n"/>
      <c r="O1072" s="3" t="n"/>
      <c r="P1072" s="149" t="n"/>
      <c r="Q1072" s="150" t="n"/>
      <c r="R1072" s="150" t="n"/>
      <c r="S1072" s="151" t="n"/>
    </row>
    <row r="1073" ht="36" customHeight="1">
      <c r="A1073" s="46" t="n">
        <v>3403</v>
      </c>
      <c r="B1073" s="4">
        <f>+VLOOKUP($A1073,MAGAZZINO!$B$2:$M$100000,2,FALSE)</f>
        <v/>
      </c>
      <c r="C1073" s="29">
        <f>+VLOOKUP($A1073,MAGAZZINO!$B$2:$M$100000,3,FALSE)</f>
        <v/>
      </c>
      <c r="D1073" s="3">
        <f>+VLOOKUP($A1073,MAGAZZINO!$B$2:$M$100000,4,FALSE)</f>
        <v/>
      </c>
      <c r="E1073" s="3">
        <f>+VLOOKUP($A1073,MAGAZZINO!$B$2:$M$100000,5,FALSE)</f>
        <v/>
      </c>
      <c r="F1073" s="3">
        <f>+VLOOKUP($A1073,MAGAZZINO!$B$2:$M$100000,6,FALSE)</f>
        <v/>
      </c>
      <c r="G1073" s="3">
        <f>+VLOOKUP($A1073,MAGAZZINO!$B$2:$M$100000,7,FALSE)</f>
        <v/>
      </c>
      <c r="H1073" s="3">
        <f>+VLOOKUP($A1073,MAGAZZINO!$B$2:$M$100000,8,FALSE)</f>
        <v/>
      </c>
      <c r="I1073" s="3">
        <f>+VLOOKUP($A1073,MAGAZZINO!$B$2:$M$100000,9,FALSE)</f>
        <v/>
      </c>
      <c r="J1073" s="3">
        <f>+VLOOKUP($A1073,MAGAZZINO!$B$2:$M$100000,10,FALSE)</f>
        <v/>
      </c>
      <c r="K1073" s="3">
        <f>+VLOOKUP($A1073,MAGAZZINO!$B$2:$M$100000,11,FALSE)</f>
        <v/>
      </c>
      <c r="L1073" s="5">
        <f>+VLOOKUP($A1073,MAGAZZINO!$B$2:$M$100000,12,FALSE)</f>
        <v/>
      </c>
      <c r="M1073" s="47" t="n"/>
      <c r="N1073" s="54" t="n"/>
      <c r="O1073" s="3" t="n"/>
      <c r="P1073" s="149" t="n"/>
      <c r="Q1073" s="150" t="n"/>
      <c r="R1073" s="150" t="n"/>
      <c r="S1073" s="151" t="n"/>
    </row>
    <row r="1074" ht="36" customHeight="1">
      <c r="A1074" s="46" t="n">
        <v>3404</v>
      </c>
      <c r="B1074" s="4">
        <f>+VLOOKUP($A1074,MAGAZZINO!$B$2:$M$100000,2,FALSE)</f>
        <v/>
      </c>
      <c r="C1074" s="29">
        <f>+VLOOKUP($A1074,MAGAZZINO!$B$2:$M$100000,3,FALSE)</f>
        <v/>
      </c>
      <c r="D1074" s="3">
        <f>+VLOOKUP($A1074,MAGAZZINO!$B$2:$M$100000,4,FALSE)</f>
        <v/>
      </c>
      <c r="E1074" s="3">
        <f>+VLOOKUP($A1074,MAGAZZINO!$B$2:$M$100000,5,FALSE)</f>
        <v/>
      </c>
      <c r="F1074" s="3">
        <f>+VLOOKUP($A1074,MAGAZZINO!$B$2:$M$100000,6,FALSE)</f>
        <v/>
      </c>
      <c r="G1074" s="3">
        <f>+VLOOKUP($A1074,MAGAZZINO!$B$2:$M$100000,7,FALSE)</f>
        <v/>
      </c>
      <c r="H1074" s="3">
        <f>+VLOOKUP($A1074,MAGAZZINO!$B$2:$M$100000,8,FALSE)</f>
        <v/>
      </c>
      <c r="I1074" s="3">
        <f>+VLOOKUP($A1074,MAGAZZINO!$B$2:$M$100000,9,FALSE)</f>
        <v/>
      </c>
      <c r="J1074" s="3">
        <f>+VLOOKUP($A1074,MAGAZZINO!$B$2:$M$100000,10,FALSE)</f>
        <v/>
      </c>
      <c r="K1074" s="3">
        <f>+VLOOKUP($A1074,MAGAZZINO!$B$2:$M$100000,11,FALSE)</f>
        <v/>
      </c>
      <c r="L1074" s="5">
        <f>+VLOOKUP($A1074,MAGAZZINO!$B$2:$M$100000,12,FALSE)</f>
        <v/>
      </c>
      <c r="M1074" s="47" t="n"/>
      <c r="N1074" s="54" t="n"/>
      <c r="O1074" s="3" t="n"/>
      <c r="P1074" s="149" t="n"/>
      <c r="Q1074" s="150" t="n"/>
      <c r="R1074" s="150" t="n"/>
      <c r="S1074" s="151" t="n"/>
    </row>
    <row r="1075" ht="36" customHeight="1">
      <c r="A1075" s="46" t="n">
        <v>3405</v>
      </c>
      <c r="B1075" s="4">
        <f>+VLOOKUP($A1075,MAGAZZINO!$B$2:$M$100000,2,FALSE)</f>
        <v/>
      </c>
      <c r="C1075" s="29">
        <f>+VLOOKUP($A1075,MAGAZZINO!$B$2:$M$100000,3,FALSE)</f>
        <v/>
      </c>
      <c r="D1075" s="3">
        <f>+VLOOKUP($A1075,MAGAZZINO!$B$2:$M$100000,4,FALSE)</f>
        <v/>
      </c>
      <c r="E1075" s="3">
        <f>+VLOOKUP($A1075,MAGAZZINO!$B$2:$M$100000,5,FALSE)</f>
        <v/>
      </c>
      <c r="F1075" s="3">
        <f>+VLOOKUP($A1075,MAGAZZINO!$B$2:$M$100000,6,FALSE)</f>
        <v/>
      </c>
      <c r="G1075" s="3">
        <f>+VLOOKUP($A1075,MAGAZZINO!$B$2:$M$100000,7,FALSE)</f>
        <v/>
      </c>
      <c r="H1075" s="3">
        <f>+VLOOKUP($A1075,MAGAZZINO!$B$2:$M$100000,8,FALSE)</f>
        <v/>
      </c>
      <c r="I1075" s="3">
        <f>+VLOOKUP($A1075,MAGAZZINO!$B$2:$M$100000,9,FALSE)</f>
        <v/>
      </c>
      <c r="J1075" s="3">
        <f>+VLOOKUP($A1075,MAGAZZINO!$B$2:$M$100000,10,FALSE)</f>
        <v/>
      </c>
      <c r="K1075" s="3">
        <f>+VLOOKUP($A1075,MAGAZZINO!$B$2:$M$100000,11,FALSE)</f>
        <v/>
      </c>
      <c r="L1075" s="5">
        <f>+VLOOKUP($A1075,MAGAZZINO!$B$2:$M$100000,12,FALSE)</f>
        <v/>
      </c>
      <c r="M1075" s="47" t="n"/>
      <c r="N1075" s="54" t="n"/>
      <c r="O1075" s="3" t="n"/>
      <c r="P1075" s="149" t="n"/>
      <c r="Q1075" s="150" t="n"/>
      <c r="R1075" s="150" t="n"/>
      <c r="S1075" s="151" t="n"/>
    </row>
    <row r="1076" ht="36" customHeight="1">
      <c r="A1076" s="46" t="n">
        <v>3406</v>
      </c>
      <c r="B1076" s="4">
        <f>+VLOOKUP($A1076,MAGAZZINO!$B$2:$M$100000,2,FALSE)</f>
        <v/>
      </c>
      <c r="C1076" s="29">
        <f>+VLOOKUP($A1076,MAGAZZINO!$B$2:$M$100000,3,FALSE)</f>
        <v/>
      </c>
      <c r="D1076" s="3">
        <f>+VLOOKUP($A1076,MAGAZZINO!$B$2:$M$100000,4,FALSE)</f>
        <v/>
      </c>
      <c r="E1076" s="3">
        <f>+VLOOKUP($A1076,MAGAZZINO!$B$2:$M$100000,5,FALSE)</f>
        <v/>
      </c>
      <c r="F1076" s="3">
        <f>+VLOOKUP($A1076,MAGAZZINO!$B$2:$M$100000,6,FALSE)</f>
        <v/>
      </c>
      <c r="G1076" s="3">
        <f>+VLOOKUP($A1076,MAGAZZINO!$B$2:$M$100000,7,FALSE)</f>
        <v/>
      </c>
      <c r="H1076" s="3">
        <f>+VLOOKUP($A1076,MAGAZZINO!$B$2:$M$100000,8,FALSE)</f>
        <v/>
      </c>
      <c r="I1076" s="3">
        <f>+VLOOKUP($A1076,MAGAZZINO!$B$2:$M$100000,9,FALSE)</f>
        <v/>
      </c>
      <c r="J1076" s="3">
        <f>+VLOOKUP($A1076,MAGAZZINO!$B$2:$M$100000,10,FALSE)</f>
        <v/>
      </c>
      <c r="K1076" s="3">
        <f>+VLOOKUP($A1076,MAGAZZINO!$B$2:$M$100000,11,FALSE)</f>
        <v/>
      </c>
      <c r="L1076" s="5">
        <f>+VLOOKUP($A1076,MAGAZZINO!$B$2:$M$100000,12,FALSE)</f>
        <v/>
      </c>
      <c r="M1076" s="47" t="n"/>
      <c r="N1076" s="54" t="n"/>
      <c r="O1076" s="3" t="n"/>
      <c r="P1076" s="149" t="n"/>
      <c r="Q1076" s="150" t="n"/>
      <c r="R1076" s="150" t="n"/>
      <c r="S1076" s="151" t="n"/>
    </row>
    <row r="1077" ht="36" customHeight="1">
      <c r="A1077" s="46" t="n">
        <v>3407</v>
      </c>
      <c r="B1077" s="4">
        <f>+VLOOKUP($A1077,MAGAZZINO!$B$2:$M$100000,2,FALSE)</f>
        <v/>
      </c>
      <c r="C1077" s="29">
        <f>+VLOOKUP($A1077,MAGAZZINO!$B$2:$M$100000,3,FALSE)</f>
        <v/>
      </c>
      <c r="D1077" s="3">
        <f>+VLOOKUP($A1077,MAGAZZINO!$B$2:$M$100000,4,FALSE)</f>
        <v/>
      </c>
      <c r="E1077" s="3">
        <f>+VLOOKUP($A1077,MAGAZZINO!$B$2:$M$100000,5,FALSE)</f>
        <v/>
      </c>
      <c r="F1077" s="3">
        <f>+VLOOKUP($A1077,MAGAZZINO!$B$2:$M$100000,6,FALSE)</f>
        <v/>
      </c>
      <c r="G1077" s="3">
        <f>+VLOOKUP($A1077,MAGAZZINO!$B$2:$M$100000,7,FALSE)</f>
        <v/>
      </c>
      <c r="H1077" s="3">
        <f>+VLOOKUP($A1077,MAGAZZINO!$B$2:$M$100000,8,FALSE)</f>
        <v/>
      </c>
      <c r="I1077" s="3">
        <f>+VLOOKUP($A1077,MAGAZZINO!$B$2:$M$100000,9,FALSE)</f>
        <v/>
      </c>
      <c r="J1077" s="3">
        <f>+VLOOKUP($A1077,MAGAZZINO!$B$2:$M$100000,10,FALSE)</f>
        <v/>
      </c>
      <c r="K1077" s="3">
        <f>+VLOOKUP($A1077,MAGAZZINO!$B$2:$M$100000,11,FALSE)</f>
        <v/>
      </c>
      <c r="L1077" s="5">
        <f>+VLOOKUP($A1077,MAGAZZINO!$B$2:$M$100000,12,FALSE)</f>
        <v/>
      </c>
      <c r="M1077" s="47" t="n"/>
      <c r="N1077" s="54" t="n"/>
      <c r="O1077" s="3" t="n"/>
      <c r="P1077" s="149" t="n"/>
      <c r="Q1077" s="150" t="n"/>
      <c r="R1077" s="150" t="n"/>
      <c r="S1077" s="151" t="n"/>
    </row>
    <row r="1078" ht="36" customHeight="1">
      <c r="A1078" s="46" t="n">
        <v>3408</v>
      </c>
      <c r="B1078" s="4">
        <f>+VLOOKUP($A1078,MAGAZZINO!$B$2:$M$100000,2,FALSE)</f>
        <v/>
      </c>
      <c r="C1078" s="29">
        <f>+VLOOKUP($A1078,MAGAZZINO!$B$2:$M$100000,3,FALSE)</f>
        <v/>
      </c>
      <c r="D1078" s="3">
        <f>+VLOOKUP($A1078,MAGAZZINO!$B$2:$M$100000,4,FALSE)</f>
        <v/>
      </c>
      <c r="E1078" s="3">
        <f>+VLOOKUP($A1078,MAGAZZINO!$B$2:$M$100000,5,FALSE)</f>
        <v/>
      </c>
      <c r="F1078" s="3">
        <f>+VLOOKUP($A1078,MAGAZZINO!$B$2:$M$100000,6,FALSE)</f>
        <v/>
      </c>
      <c r="G1078" s="3">
        <f>+VLOOKUP($A1078,MAGAZZINO!$B$2:$M$100000,7,FALSE)</f>
        <v/>
      </c>
      <c r="H1078" s="3">
        <f>+VLOOKUP($A1078,MAGAZZINO!$B$2:$M$100000,8,FALSE)</f>
        <v/>
      </c>
      <c r="I1078" s="3">
        <f>+VLOOKUP($A1078,MAGAZZINO!$B$2:$M$100000,9,FALSE)</f>
        <v/>
      </c>
      <c r="J1078" s="3">
        <f>+VLOOKUP($A1078,MAGAZZINO!$B$2:$M$100000,10,FALSE)</f>
        <v/>
      </c>
      <c r="K1078" s="3">
        <f>+VLOOKUP($A1078,MAGAZZINO!$B$2:$M$100000,11,FALSE)</f>
        <v/>
      </c>
      <c r="L1078" s="5">
        <f>+VLOOKUP($A1078,MAGAZZINO!$B$2:$M$100000,12,FALSE)</f>
        <v/>
      </c>
      <c r="M1078" s="47" t="n"/>
      <c r="N1078" s="54" t="n"/>
      <c r="O1078" s="3" t="n"/>
      <c r="P1078" s="149" t="n"/>
      <c r="Q1078" s="150" t="n"/>
      <c r="R1078" s="150" t="n"/>
      <c r="S1078" s="151" t="n"/>
    </row>
    <row r="1079" ht="36" customHeight="1">
      <c r="A1079" s="46" t="n">
        <v>3409</v>
      </c>
      <c r="B1079" s="4">
        <f>+VLOOKUP($A1079,MAGAZZINO!$B$2:$M$100000,2,FALSE)</f>
        <v/>
      </c>
      <c r="C1079" s="29">
        <f>+VLOOKUP($A1079,MAGAZZINO!$B$2:$M$100000,3,FALSE)</f>
        <v/>
      </c>
      <c r="D1079" s="3">
        <f>+VLOOKUP($A1079,MAGAZZINO!$B$2:$M$100000,4,FALSE)</f>
        <v/>
      </c>
      <c r="E1079" s="3">
        <f>+VLOOKUP($A1079,MAGAZZINO!$B$2:$M$100000,5,FALSE)</f>
        <v/>
      </c>
      <c r="F1079" s="3">
        <f>+VLOOKUP($A1079,MAGAZZINO!$B$2:$M$100000,6,FALSE)</f>
        <v/>
      </c>
      <c r="G1079" s="3">
        <f>+VLOOKUP($A1079,MAGAZZINO!$B$2:$M$100000,7,FALSE)</f>
        <v/>
      </c>
      <c r="H1079" s="3">
        <f>+VLOOKUP($A1079,MAGAZZINO!$B$2:$M$100000,8,FALSE)</f>
        <v/>
      </c>
      <c r="I1079" s="3">
        <f>+VLOOKUP($A1079,MAGAZZINO!$B$2:$M$100000,9,FALSE)</f>
        <v/>
      </c>
      <c r="J1079" s="3">
        <f>+VLOOKUP($A1079,MAGAZZINO!$B$2:$M$100000,10,FALSE)</f>
        <v/>
      </c>
      <c r="K1079" s="3">
        <f>+VLOOKUP($A1079,MAGAZZINO!$B$2:$M$100000,11,FALSE)</f>
        <v/>
      </c>
      <c r="L1079" s="5">
        <f>+VLOOKUP($A1079,MAGAZZINO!$B$2:$M$100000,12,FALSE)</f>
        <v/>
      </c>
      <c r="M1079" s="47" t="n"/>
      <c r="N1079" s="54" t="n"/>
      <c r="O1079" s="3" t="n"/>
      <c r="P1079" s="149" t="n"/>
      <c r="Q1079" s="150" t="n"/>
      <c r="R1079" s="150" t="n"/>
      <c r="S1079" s="151" t="n"/>
    </row>
    <row r="1080" ht="36" customHeight="1">
      <c r="A1080" s="46" t="n">
        <v>3410</v>
      </c>
      <c r="B1080" s="4">
        <f>+VLOOKUP($A1080,MAGAZZINO!$B$2:$M$100000,2,FALSE)</f>
        <v/>
      </c>
      <c r="C1080" s="29">
        <f>+VLOOKUP($A1080,MAGAZZINO!$B$2:$M$100000,3,FALSE)</f>
        <v/>
      </c>
      <c r="D1080" s="3">
        <f>+VLOOKUP($A1080,MAGAZZINO!$B$2:$M$100000,4,FALSE)</f>
        <v/>
      </c>
      <c r="E1080" s="3">
        <f>+VLOOKUP($A1080,MAGAZZINO!$B$2:$M$100000,5,FALSE)</f>
        <v/>
      </c>
      <c r="F1080" s="3">
        <f>+VLOOKUP($A1080,MAGAZZINO!$B$2:$M$100000,6,FALSE)</f>
        <v/>
      </c>
      <c r="G1080" s="3">
        <f>+VLOOKUP($A1080,MAGAZZINO!$B$2:$M$100000,7,FALSE)</f>
        <v/>
      </c>
      <c r="H1080" s="3">
        <f>+VLOOKUP($A1080,MAGAZZINO!$B$2:$M$100000,8,FALSE)</f>
        <v/>
      </c>
      <c r="I1080" s="3">
        <f>+VLOOKUP($A1080,MAGAZZINO!$B$2:$M$100000,9,FALSE)</f>
        <v/>
      </c>
      <c r="J1080" s="3">
        <f>+VLOOKUP($A1080,MAGAZZINO!$B$2:$M$100000,10,FALSE)</f>
        <v/>
      </c>
      <c r="K1080" s="3">
        <f>+VLOOKUP($A1080,MAGAZZINO!$B$2:$M$100000,11,FALSE)</f>
        <v/>
      </c>
      <c r="L1080" s="5">
        <f>+VLOOKUP($A1080,MAGAZZINO!$B$2:$M$100000,12,FALSE)</f>
        <v/>
      </c>
      <c r="M1080" s="47" t="n"/>
      <c r="N1080" s="54" t="n"/>
      <c r="O1080" s="3" t="n"/>
      <c r="P1080" s="149" t="n"/>
      <c r="Q1080" s="150" t="n"/>
      <c r="R1080" s="150" t="n"/>
      <c r="S1080" s="151" t="n"/>
    </row>
    <row r="1081" ht="36" customHeight="1">
      <c r="A1081" s="46" t="n">
        <v>3411</v>
      </c>
      <c r="B1081" s="4">
        <f>+VLOOKUP($A1081,MAGAZZINO!$B$2:$M$100000,2,FALSE)</f>
        <v/>
      </c>
      <c r="C1081" s="29">
        <f>+VLOOKUP($A1081,MAGAZZINO!$B$2:$M$100000,3,FALSE)</f>
        <v/>
      </c>
      <c r="D1081" s="3">
        <f>+VLOOKUP($A1081,MAGAZZINO!$B$2:$M$100000,4,FALSE)</f>
        <v/>
      </c>
      <c r="E1081" s="3">
        <f>+VLOOKUP($A1081,MAGAZZINO!$B$2:$M$100000,5,FALSE)</f>
        <v/>
      </c>
      <c r="F1081" s="3">
        <f>+VLOOKUP($A1081,MAGAZZINO!$B$2:$M$100000,6,FALSE)</f>
        <v/>
      </c>
      <c r="G1081" s="3">
        <f>+VLOOKUP($A1081,MAGAZZINO!$B$2:$M$100000,7,FALSE)</f>
        <v/>
      </c>
      <c r="H1081" s="3">
        <f>+VLOOKUP($A1081,MAGAZZINO!$B$2:$M$100000,8,FALSE)</f>
        <v/>
      </c>
      <c r="I1081" s="3">
        <f>+VLOOKUP($A1081,MAGAZZINO!$B$2:$M$100000,9,FALSE)</f>
        <v/>
      </c>
      <c r="J1081" s="3">
        <f>+VLOOKUP($A1081,MAGAZZINO!$B$2:$M$100000,10,FALSE)</f>
        <v/>
      </c>
      <c r="K1081" s="3">
        <f>+VLOOKUP($A1081,MAGAZZINO!$B$2:$M$100000,11,FALSE)</f>
        <v/>
      </c>
      <c r="L1081" s="5">
        <f>+VLOOKUP($A1081,MAGAZZINO!$B$2:$M$100000,12,FALSE)</f>
        <v/>
      </c>
      <c r="M1081" s="47" t="n"/>
      <c r="N1081" s="54" t="n"/>
      <c r="O1081" s="3" t="n"/>
      <c r="P1081" s="149" t="n"/>
      <c r="Q1081" s="150" t="n"/>
      <c r="R1081" s="150" t="n"/>
      <c r="S1081" s="151" t="n"/>
    </row>
    <row r="1082" ht="36" customHeight="1">
      <c r="A1082" s="46" t="n">
        <v>3412</v>
      </c>
      <c r="B1082" s="4">
        <f>+VLOOKUP($A1082,MAGAZZINO!$B$2:$M$100000,2,FALSE)</f>
        <v/>
      </c>
      <c r="C1082" s="29">
        <f>+VLOOKUP($A1082,MAGAZZINO!$B$2:$M$100000,3,FALSE)</f>
        <v/>
      </c>
      <c r="D1082" s="3">
        <f>+VLOOKUP($A1082,MAGAZZINO!$B$2:$M$100000,4,FALSE)</f>
        <v/>
      </c>
      <c r="E1082" s="3">
        <f>+VLOOKUP($A1082,MAGAZZINO!$B$2:$M$100000,5,FALSE)</f>
        <v/>
      </c>
      <c r="F1082" s="3">
        <f>+VLOOKUP($A1082,MAGAZZINO!$B$2:$M$100000,6,FALSE)</f>
        <v/>
      </c>
      <c r="G1082" s="3">
        <f>+VLOOKUP($A1082,MAGAZZINO!$B$2:$M$100000,7,FALSE)</f>
        <v/>
      </c>
      <c r="H1082" s="3">
        <f>+VLOOKUP($A1082,MAGAZZINO!$B$2:$M$100000,8,FALSE)</f>
        <v/>
      </c>
      <c r="I1082" s="3">
        <f>+VLOOKUP($A1082,MAGAZZINO!$B$2:$M$100000,9,FALSE)</f>
        <v/>
      </c>
      <c r="J1082" s="3">
        <f>+VLOOKUP($A1082,MAGAZZINO!$B$2:$M$100000,10,FALSE)</f>
        <v/>
      </c>
      <c r="K1082" s="3">
        <f>+VLOOKUP($A1082,MAGAZZINO!$B$2:$M$100000,11,FALSE)</f>
        <v/>
      </c>
      <c r="L1082" s="5">
        <f>+VLOOKUP($A1082,MAGAZZINO!$B$2:$M$100000,12,FALSE)</f>
        <v/>
      </c>
      <c r="M1082" s="47" t="n"/>
      <c r="N1082" s="54" t="n"/>
      <c r="O1082" s="3" t="n"/>
      <c r="P1082" s="149" t="n"/>
      <c r="Q1082" s="150" t="n"/>
      <c r="R1082" s="150" t="n"/>
      <c r="S1082" s="151" t="n"/>
    </row>
    <row r="1083" ht="36" customHeight="1">
      <c r="A1083" s="46" t="n">
        <v>3413</v>
      </c>
      <c r="B1083" s="4">
        <f>+VLOOKUP($A1083,MAGAZZINO!$B$2:$M$100000,2,FALSE)</f>
        <v/>
      </c>
      <c r="C1083" s="29">
        <f>+VLOOKUP($A1083,MAGAZZINO!$B$2:$M$100000,3,FALSE)</f>
        <v/>
      </c>
      <c r="D1083" s="3">
        <f>+VLOOKUP($A1083,MAGAZZINO!$B$2:$M$100000,4,FALSE)</f>
        <v/>
      </c>
      <c r="E1083" s="3">
        <f>+VLOOKUP($A1083,MAGAZZINO!$B$2:$M$100000,5,FALSE)</f>
        <v/>
      </c>
      <c r="F1083" s="3">
        <f>+VLOOKUP($A1083,MAGAZZINO!$B$2:$M$100000,6,FALSE)</f>
        <v/>
      </c>
      <c r="G1083" s="3">
        <f>+VLOOKUP($A1083,MAGAZZINO!$B$2:$M$100000,7,FALSE)</f>
        <v/>
      </c>
      <c r="H1083" s="3">
        <f>+VLOOKUP($A1083,MAGAZZINO!$B$2:$M$100000,8,FALSE)</f>
        <v/>
      </c>
      <c r="I1083" s="3">
        <f>+VLOOKUP($A1083,MAGAZZINO!$B$2:$M$100000,9,FALSE)</f>
        <v/>
      </c>
      <c r="J1083" s="3">
        <f>+VLOOKUP($A1083,MAGAZZINO!$B$2:$M$100000,10,FALSE)</f>
        <v/>
      </c>
      <c r="K1083" s="3">
        <f>+VLOOKUP($A1083,MAGAZZINO!$B$2:$M$100000,11,FALSE)</f>
        <v/>
      </c>
      <c r="L1083" s="5">
        <f>+VLOOKUP($A1083,MAGAZZINO!$B$2:$M$100000,12,FALSE)</f>
        <v/>
      </c>
      <c r="M1083" s="47" t="n"/>
      <c r="N1083" s="54" t="n"/>
      <c r="O1083" s="3" t="n"/>
      <c r="P1083" s="149" t="n"/>
      <c r="Q1083" s="150" t="n"/>
      <c r="R1083" s="150" t="n"/>
      <c r="S1083" s="151" t="n"/>
    </row>
    <row r="1084" ht="36" customHeight="1">
      <c r="A1084" s="46" t="n">
        <v>3414</v>
      </c>
      <c r="B1084" s="4">
        <f>+VLOOKUP($A1084,MAGAZZINO!$B$2:$M$100000,2,FALSE)</f>
        <v/>
      </c>
      <c r="C1084" s="29">
        <f>+VLOOKUP($A1084,MAGAZZINO!$B$2:$M$100000,3,FALSE)</f>
        <v/>
      </c>
      <c r="D1084" s="3">
        <f>+VLOOKUP($A1084,MAGAZZINO!$B$2:$M$100000,4,FALSE)</f>
        <v/>
      </c>
      <c r="E1084" s="3">
        <f>+VLOOKUP($A1084,MAGAZZINO!$B$2:$M$100000,5,FALSE)</f>
        <v/>
      </c>
      <c r="F1084" s="3">
        <f>+VLOOKUP($A1084,MAGAZZINO!$B$2:$M$100000,6,FALSE)</f>
        <v/>
      </c>
      <c r="G1084" s="3">
        <f>+VLOOKUP($A1084,MAGAZZINO!$B$2:$M$100000,7,FALSE)</f>
        <v/>
      </c>
      <c r="H1084" s="3">
        <f>+VLOOKUP($A1084,MAGAZZINO!$B$2:$M$100000,8,FALSE)</f>
        <v/>
      </c>
      <c r="I1084" s="3">
        <f>+VLOOKUP($A1084,MAGAZZINO!$B$2:$M$100000,9,FALSE)</f>
        <v/>
      </c>
      <c r="J1084" s="3">
        <f>+VLOOKUP($A1084,MAGAZZINO!$B$2:$M$100000,10,FALSE)</f>
        <v/>
      </c>
      <c r="K1084" s="3">
        <f>+VLOOKUP($A1084,MAGAZZINO!$B$2:$M$100000,11,FALSE)</f>
        <v/>
      </c>
      <c r="L1084" s="5">
        <f>+VLOOKUP($A1084,MAGAZZINO!$B$2:$M$100000,12,FALSE)</f>
        <v/>
      </c>
      <c r="M1084" s="47" t="n"/>
      <c r="N1084" s="54" t="n"/>
      <c r="O1084" s="3" t="n"/>
      <c r="P1084" s="149" t="n"/>
      <c r="Q1084" s="150" t="n"/>
      <c r="R1084" s="150" t="n"/>
      <c r="S1084" s="151" t="n"/>
    </row>
    <row r="1085" ht="36" customHeight="1">
      <c r="A1085" s="46" t="n">
        <v>3415</v>
      </c>
      <c r="B1085" s="4">
        <f>+VLOOKUP($A1085,MAGAZZINO!$B$2:$M$100000,2,FALSE)</f>
        <v/>
      </c>
      <c r="C1085" s="29">
        <f>+VLOOKUP($A1085,MAGAZZINO!$B$2:$M$100000,3,FALSE)</f>
        <v/>
      </c>
      <c r="D1085" s="3">
        <f>+VLOOKUP($A1085,MAGAZZINO!$B$2:$M$100000,4,FALSE)</f>
        <v/>
      </c>
      <c r="E1085" s="3">
        <f>+VLOOKUP($A1085,MAGAZZINO!$B$2:$M$100000,5,FALSE)</f>
        <v/>
      </c>
      <c r="F1085" s="3">
        <f>+VLOOKUP($A1085,MAGAZZINO!$B$2:$M$100000,6,FALSE)</f>
        <v/>
      </c>
      <c r="G1085" s="3">
        <f>+VLOOKUP($A1085,MAGAZZINO!$B$2:$M$100000,7,FALSE)</f>
        <v/>
      </c>
      <c r="H1085" s="3">
        <f>+VLOOKUP($A1085,MAGAZZINO!$B$2:$M$100000,8,FALSE)</f>
        <v/>
      </c>
      <c r="I1085" s="3">
        <f>+VLOOKUP($A1085,MAGAZZINO!$B$2:$M$100000,9,FALSE)</f>
        <v/>
      </c>
      <c r="J1085" s="3">
        <f>+VLOOKUP($A1085,MAGAZZINO!$B$2:$M$100000,10,FALSE)</f>
        <v/>
      </c>
      <c r="K1085" s="3">
        <f>+VLOOKUP($A1085,MAGAZZINO!$B$2:$M$100000,11,FALSE)</f>
        <v/>
      </c>
      <c r="L1085" s="5">
        <f>+VLOOKUP($A1085,MAGAZZINO!$B$2:$M$100000,12,FALSE)</f>
        <v/>
      </c>
      <c r="M1085" s="47" t="n"/>
      <c r="N1085" s="54" t="n"/>
      <c r="O1085" s="3" t="n"/>
      <c r="P1085" s="149" t="n"/>
      <c r="Q1085" s="150" t="n"/>
      <c r="R1085" s="150" t="n"/>
      <c r="S1085" s="151" t="n"/>
    </row>
    <row r="1086" ht="36" customHeight="1">
      <c r="A1086" s="46" t="n">
        <v>3416</v>
      </c>
      <c r="B1086" s="4">
        <f>+VLOOKUP($A1086,MAGAZZINO!$B$2:$M$100000,2,FALSE)</f>
        <v/>
      </c>
      <c r="C1086" s="29">
        <f>+VLOOKUP($A1086,MAGAZZINO!$B$2:$M$100000,3,FALSE)</f>
        <v/>
      </c>
      <c r="D1086" s="3">
        <f>+VLOOKUP($A1086,MAGAZZINO!$B$2:$M$100000,4,FALSE)</f>
        <v/>
      </c>
      <c r="E1086" s="3">
        <f>+VLOOKUP($A1086,MAGAZZINO!$B$2:$M$100000,5,FALSE)</f>
        <v/>
      </c>
      <c r="F1086" s="3">
        <f>+VLOOKUP($A1086,MAGAZZINO!$B$2:$M$100000,6,FALSE)</f>
        <v/>
      </c>
      <c r="G1086" s="3">
        <f>+VLOOKUP($A1086,MAGAZZINO!$B$2:$M$100000,7,FALSE)</f>
        <v/>
      </c>
      <c r="H1086" s="3">
        <f>+VLOOKUP($A1086,MAGAZZINO!$B$2:$M$100000,8,FALSE)</f>
        <v/>
      </c>
      <c r="I1086" s="3">
        <f>+VLOOKUP($A1086,MAGAZZINO!$B$2:$M$100000,9,FALSE)</f>
        <v/>
      </c>
      <c r="J1086" s="3">
        <f>+VLOOKUP($A1086,MAGAZZINO!$B$2:$M$100000,10,FALSE)</f>
        <v/>
      </c>
      <c r="K1086" s="3">
        <f>+VLOOKUP($A1086,MAGAZZINO!$B$2:$M$100000,11,FALSE)</f>
        <v/>
      </c>
      <c r="L1086" s="5">
        <f>+VLOOKUP($A1086,MAGAZZINO!$B$2:$M$100000,12,FALSE)</f>
        <v/>
      </c>
      <c r="M1086" s="47" t="n"/>
      <c r="N1086" s="54" t="n"/>
      <c r="O1086" s="3" t="n"/>
      <c r="P1086" s="149" t="n"/>
      <c r="Q1086" s="150" t="n"/>
      <c r="R1086" s="150" t="n"/>
      <c r="S1086" s="151" t="n"/>
    </row>
    <row r="1087" ht="36" customHeight="1">
      <c r="A1087" s="46" t="n">
        <v>3417</v>
      </c>
      <c r="B1087" s="4">
        <f>+VLOOKUP($A1087,MAGAZZINO!$B$2:$M$100000,2,FALSE)</f>
        <v/>
      </c>
      <c r="C1087" s="29">
        <f>+VLOOKUP($A1087,MAGAZZINO!$B$2:$M$100000,3,FALSE)</f>
        <v/>
      </c>
      <c r="D1087" s="3">
        <f>+VLOOKUP($A1087,MAGAZZINO!$B$2:$M$100000,4,FALSE)</f>
        <v/>
      </c>
      <c r="E1087" s="3">
        <f>+VLOOKUP($A1087,MAGAZZINO!$B$2:$M$100000,5,FALSE)</f>
        <v/>
      </c>
      <c r="F1087" s="3">
        <f>+VLOOKUP($A1087,MAGAZZINO!$B$2:$M$100000,6,FALSE)</f>
        <v/>
      </c>
      <c r="G1087" s="3">
        <f>+VLOOKUP($A1087,MAGAZZINO!$B$2:$M$100000,7,FALSE)</f>
        <v/>
      </c>
      <c r="H1087" s="3">
        <f>+VLOOKUP($A1087,MAGAZZINO!$B$2:$M$100000,8,FALSE)</f>
        <v/>
      </c>
      <c r="I1087" s="3">
        <f>+VLOOKUP($A1087,MAGAZZINO!$B$2:$M$100000,9,FALSE)</f>
        <v/>
      </c>
      <c r="J1087" s="3">
        <f>+VLOOKUP($A1087,MAGAZZINO!$B$2:$M$100000,10,FALSE)</f>
        <v/>
      </c>
      <c r="K1087" s="3">
        <f>+VLOOKUP($A1087,MAGAZZINO!$B$2:$M$100000,11,FALSE)</f>
        <v/>
      </c>
      <c r="L1087" s="5">
        <f>+VLOOKUP($A1087,MAGAZZINO!$B$2:$M$100000,12,FALSE)</f>
        <v/>
      </c>
      <c r="M1087" s="47" t="n"/>
      <c r="N1087" s="54" t="n"/>
      <c r="O1087" s="3" t="n"/>
      <c r="P1087" s="149" t="n"/>
      <c r="Q1087" s="150" t="n"/>
      <c r="R1087" s="150" t="n"/>
      <c r="S1087" s="151" t="n"/>
    </row>
    <row r="1088" ht="36" customHeight="1">
      <c r="A1088" s="46" t="n">
        <v>3418</v>
      </c>
      <c r="B1088" s="4">
        <f>+VLOOKUP($A1088,MAGAZZINO!$B$2:$M$100000,2,FALSE)</f>
        <v/>
      </c>
      <c r="C1088" s="29">
        <f>+VLOOKUP($A1088,MAGAZZINO!$B$2:$M$100000,3,FALSE)</f>
        <v/>
      </c>
      <c r="D1088" s="3">
        <f>+VLOOKUP($A1088,MAGAZZINO!$B$2:$M$100000,4,FALSE)</f>
        <v/>
      </c>
      <c r="E1088" s="3">
        <f>+VLOOKUP($A1088,MAGAZZINO!$B$2:$M$100000,5,FALSE)</f>
        <v/>
      </c>
      <c r="F1088" s="3">
        <f>+VLOOKUP($A1088,MAGAZZINO!$B$2:$M$100000,6,FALSE)</f>
        <v/>
      </c>
      <c r="G1088" s="3">
        <f>+VLOOKUP($A1088,MAGAZZINO!$B$2:$M$100000,7,FALSE)</f>
        <v/>
      </c>
      <c r="H1088" s="3">
        <f>+VLOOKUP($A1088,MAGAZZINO!$B$2:$M$100000,8,FALSE)</f>
        <v/>
      </c>
      <c r="I1088" s="3">
        <f>+VLOOKUP($A1088,MAGAZZINO!$B$2:$M$100000,9,FALSE)</f>
        <v/>
      </c>
      <c r="J1088" s="3">
        <f>+VLOOKUP($A1088,MAGAZZINO!$B$2:$M$100000,10,FALSE)</f>
        <v/>
      </c>
      <c r="K1088" s="3">
        <f>+VLOOKUP($A1088,MAGAZZINO!$B$2:$M$100000,11,FALSE)</f>
        <v/>
      </c>
      <c r="L1088" s="5">
        <f>+VLOOKUP($A1088,MAGAZZINO!$B$2:$M$100000,12,FALSE)</f>
        <v/>
      </c>
      <c r="M1088" s="47" t="n"/>
      <c r="N1088" s="54" t="n"/>
      <c r="O1088" s="3" t="n"/>
      <c r="P1088" s="149" t="n"/>
      <c r="Q1088" s="150" t="n"/>
      <c r="R1088" s="150" t="n"/>
      <c r="S1088" s="151" t="n"/>
    </row>
    <row r="1089" ht="36" customHeight="1">
      <c r="A1089" s="46" t="n">
        <v>3419</v>
      </c>
      <c r="B1089" s="4">
        <f>+VLOOKUP($A1089,MAGAZZINO!$B$2:$M$100000,2,FALSE)</f>
        <v/>
      </c>
      <c r="C1089" s="29">
        <f>+VLOOKUP($A1089,MAGAZZINO!$B$2:$M$100000,3,FALSE)</f>
        <v/>
      </c>
      <c r="D1089" s="3">
        <f>+VLOOKUP($A1089,MAGAZZINO!$B$2:$M$100000,4,FALSE)</f>
        <v/>
      </c>
      <c r="E1089" s="3">
        <f>+VLOOKUP($A1089,MAGAZZINO!$B$2:$M$100000,5,FALSE)</f>
        <v/>
      </c>
      <c r="F1089" s="3">
        <f>+VLOOKUP($A1089,MAGAZZINO!$B$2:$M$100000,6,FALSE)</f>
        <v/>
      </c>
      <c r="G1089" s="3">
        <f>+VLOOKUP($A1089,MAGAZZINO!$B$2:$M$100000,7,FALSE)</f>
        <v/>
      </c>
      <c r="H1089" s="3">
        <f>+VLOOKUP($A1089,MAGAZZINO!$B$2:$M$100000,8,FALSE)</f>
        <v/>
      </c>
      <c r="I1089" s="3">
        <f>+VLOOKUP($A1089,MAGAZZINO!$B$2:$M$100000,9,FALSE)</f>
        <v/>
      </c>
      <c r="J1089" s="3">
        <f>+VLOOKUP($A1089,MAGAZZINO!$B$2:$M$100000,10,FALSE)</f>
        <v/>
      </c>
      <c r="K1089" s="3">
        <f>+VLOOKUP($A1089,MAGAZZINO!$B$2:$M$100000,11,FALSE)</f>
        <v/>
      </c>
      <c r="L1089" s="5">
        <f>+VLOOKUP($A1089,MAGAZZINO!$B$2:$M$100000,12,FALSE)</f>
        <v/>
      </c>
      <c r="M1089" s="47" t="n"/>
      <c r="N1089" s="54" t="n"/>
      <c r="O1089" s="3" t="n"/>
      <c r="P1089" s="149" t="n"/>
      <c r="Q1089" s="150" t="n"/>
      <c r="R1089" s="150" t="n"/>
      <c r="S1089" s="151" t="n"/>
    </row>
    <row r="1090" ht="36" customHeight="1">
      <c r="A1090" s="46" t="n">
        <v>3420</v>
      </c>
      <c r="B1090" s="4">
        <f>+VLOOKUP($A1090,MAGAZZINO!$B$2:$M$100000,2,FALSE)</f>
        <v/>
      </c>
      <c r="C1090" s="29">
        <f>+VLOOKUP($A1090,MAGAZZINO!$B$2:$M$100000,3,FALSE)</f>
        <v/>
      </c>
      <c r="D1090" s="3">
        <f>+VLOOKUP($A1090,MAGAZZINO!$B$2:$M$100000,4,FALSE)</f>
        <v/>
      </c>
      <c r="E1090" s="3">
        <f>+VLOOKUP($A1090,MAGAZZINO!$B$2:$M$100000,5,FALSE)</f>
        <v/>
      </c>
      <c r="F1090" s="3">
        <f>+VLOOKUP($A1090,MAGAZZINO!$B$2:$M$100000,6,FALSE)</f>
        <v/>
      </c>
      <c r="G1090" s="3">
        <f>+VLOOKUP($A1090,MAGAZZINO!$B$2:$M$100000,7,FALSE)</f>
        <v/>
      </c>
      <c r="H1090" s="3">
        <f>+VLOOKUP($A1090,MAGAZZINO!$B$2:$M$100000,8,FALSE)</f>
        <v/>
      </c>
      <c r="I1090" s="3">
        <f>+VLOOKUP($A1090,MAGAZZINO!$B$2:$M$100000,9,FALSE)</f>
        <v/>
      </c>
      <c r="J1090" s="3">
        <f>+VLOOKUP($A1090,MAGAZZINO!$B$2:$M$100000,10,FALSE)</f>
        <v/>
      </c>
      <c r="K1090" s="3">
        <f>+VLOOKUP($A1090,MAGAZZINO!$B$2:$M$100000,11,FALSE)</f>
        <v/>
      </c>
      <c r="L1090" s="5">
        <f>+VLOOKUP($A1090,MAGAZZINO!$B$2:$M$100000,12,FALSE)</f>
        <v/>
      </c>
      <c r="M1090" s="47" t="n"/>
      <c r="N1090" s="54" t="n"/>
      <c r="O1090" s="3" t="n"/>
      <c r="P1090" s="149" t="n"/>
      <c r="Q1090" s="150" t="n"/>
      <c r="R1090" s="150" t="n"/>
      <c r="S1090" s="151" t="n"/>
    </row>
    <row r="1091" ht="36" customHeight="1">
      <c r="A1091" s="46" t="n">
        <v>3421</v>
      </c>
      <c r="B1091" s="4">
        <f>+VLOOKUP($A1091,MAGAZZINO!$B$2:$M$100000,2,FALSE)</f>
        <v/>
      </c>
      <c r="C1091" s="29">
        <f>+VLOOKUP($A1091,MAGAZZINO!$B$2:$M$100000,3,FALSE)</f>
        <v/>
      </c>
      <c r="D1091" s="3">
        <f>+VLOOKUP($A1091,MAGAZZINO!$B$2:$M$100000,4,FALSE)</f>
        <v/>
      </c>
      <c r="E1091" s="3">
        <f>+VLOOKUP($A1091,MAGAZZINO!$B$2:$M$100000,5,FALSE)</f>
        <v/>
      </c>
      <c r="F1091" s="3">
        <f>+VLOOKUP($A1091,MAGAZZINO!$B$2:$M$100000,6,FALSE)</f>
        <v/>
      </c>
      <c r="G1091" s="3">
        <f>+VLOOKUP($A1091,MAGAZZINO!$B$2:$M$100000,7,FALSE)</f>
        <v/>
      </c>
      <c r="H1091" s="3">
        <f>+VLOOKUP($A1091,MAGAZZINO!$B$2:$M$100000,8,FALSE)</f>
        <v/>
      </c>
      <c r="I1091" s="3">
        <f>+VLOOKUP($A1091,MAGAZZINO!$B$2:$M$100000,9,FALSE)</f>
        <v/>
      </c>
      <c r="J1091" s="3">
        <f>+VLOOKUP($A1091,MAGAZZINO!$B$2:$M$100000,10,FALSE)</f>
        <v/>
      </c>
      <c r="K1091" s="3">
        <f>+VLOOKUP($A1091,MAGAZZINO!$B$2:$M$100000,11,FALSE)</f>
        <v/>
      </c>
      <c r="L1091" s="5">
        <f>+VLOOKUP($A1091,MAGAZZINO!$B$2:$M$100000,12,FALSE)</f>
        <v/>
      </c>
      <c r="M1091" s="47" t="n"/>
      <c r="N1091" s="54" t="n"/>
      <c r="O1091" s="3" t="n"/>
      <c r="P1091" s="149" t="n"/>
      <c r="Q1091" s="150" t="n"/>
      <c r="R1091" s="150" t="n"/>
      <c r="S1091" s="151" t="n"/>
    </row>
    <row r="1092" ht="36" customHeight="1">
      <c r="A1092" s="46" t="n">
        <v>3422</v>
      </c>
      <c r="B1092" s="4">
        <f>+VLOOKUP($A1092,MAGAZZINO!$B$2:$M$100000,2,FALSE)</f>
        <v/>
      </c>
      <c r="C1092" s="29">
        <f>+VLOOKUP($A1092,MAGAZZINO!$B$2:$M$100000,3,FALSE)</f>
        <v/>
      </c>
      <c r="D1092" s="3">
        <f>+VLOOKUP($A1092,MAGAZZINO!$B$2:$M$100000,4,FALSE)</f>
        <v/>
      </c>
      <c r="E1092" s="3">
        <f>+VLOOKUP($A1092,MAGAZZINO!$B$2:$M$100000,5,FALSE)</f>
        <v/>
      </c>
      <c r="F1092" s="3">
        <f>+VLOOKUP($A1092,MAGAZZINO!$B$2:$M$100000,6,FALSE)</f>
        <v/>
      </c>
      <c r="G1092" s="3">
        <f>+VLOOKUP($A1092,MAGAZZINO!$B$2:$M$100000,7,FALSE)</f>
        <v/>
      </c>
      <c r="H1092" s="3">
        <f>+VLOOKUP($A1092,MAGAZZINO!$B$2:$M$100000,8,FALSE)</f>
        <v/>
      </c>
      <c r="I1092" s="3">
        <f>+VLOOKUP($A1092,MAGAZZINO!$B$2:$M$100000,9,FALSE)</f>
        <v/>
      </c>
      <c r="J1092" s="3">
        <f>+VLOOKUP($A1092,MAGAZZINO!$B$2:$M$100000,10,FALSE)</f>
        <v/>
      </c>
      <c r="K1092" s="3">
        <f>+VLOOKUP($A1092,MAGAZZINO!$B$2:$M$100000,11,FALSE)</f>
        <v/>
      </c>
      <c r="L1092" s="5">
        <f>+VLOOKUP($A1092,MAGAZZINO!$B$2:$M$100000,12,FALSE)</f>
        <v/>
      </c>
      <c r="M1092" s="47" t="n"/>
      <c r="N1092" s="54" t="n"/>
      <c r="O1092" s="3" t="n"/>
      <c r="P1092" s="149" t="n"/>
      <c r="Q1092" s="150" t="n"/>
      <c r="R1092" s="150" t="n"/>
      <c r="S1092" s="151" t="n"/>
    </row>
    <row r="1093" ht="36" customHeight="1">
      <c r="A1093" s="46" t="n">
        <v>3423</v>
      </c>
      <c r="B1093" s="4">
        <f>+VLOOKUP($A1093,MAGAZZINO!$B$2:$M$100000,2,FALSE)</f>
        <v/>
      </c>
      <c r="C1093" s="29">
        <f>+VLOOKUP($A1093,MAGAZZINO!$B$2:$M$100000,3,FALSE)</f>
        <v/>
      </c>
      <c r="D1093" s="3">
        <f>+VLOOKUP($A1093,MAGAZZINO!$B$2:$M$100000,4,FALSE)</f>
        <v/>
      </c>
      <c r="E1093" s="3">
        <f>+VLOOKUP($A1093,MAGAZZINO!$B$2:$M$100000,5,FALSE)</f>
        <v/>
      </c>
      <c r="F1093" s="3">
        <f>+VLOOKUP($A1093,MAGAZZINO!$B$2:$M$100000,6,FALSE)</f>
        <v/>
      </c>
      <c r="G1093" s="3">
        <f>+VLOOKUP($A1093,MAGAZZINO!$B$2:$M$100000,7,FALSE)</f>
        <v/>
      </c>
      <c r="H1093" s="3">
        <f>+VLOOKUP($A1093,MAGAZZINO!$B$2:$M$100000,8,FALSE)</f>
        <v/>
      </c>
      <c r="I1093" s="3">
        <f>+VLOOKUP($A1093,MAGAZZINO!$B$2:$M$100000,9,FALSE)</f>
        <v/>
      </c>
      <c r="J1093" s="3">
        <f>+VLOOKUP($A1093,MAGAZZINO!$B$2:$M$100000,10,FALSE)</f>
        <v/>
      </c>
      <c r="K1093" s="3">
        <f>+VLOOKUP($A1093,MAGAZZINO!$B$2:$M$100000,11,FALSE)</f>
        <v/>
      </c>
      <c r="L1093" s="5">
        <f>+VLOOKUP($A1093,MAGAZZINO!$B$2:$M$100000,12,FALSE)</f>
        <v/>
      </c>
      <c r="M1093" s="47" t="n"/>
      <c r="N1093" s="54" t="n"/>
      <c r="O1093" s="3" t="n"/>
      <c r="P1093" s="149" t="n"/>
      <c r="Q1093" s="150" t="n"/>
      <c r="R1093" s="150" t="n"/>
      <c r="S1093" s="151" t="n"/>
    </row>
    <row r="1094" ht="36" customHeight="1">
      <c r="A1094" s="46" t="n">
        <v>3424</v>
      </c>
      <c r="B1094" s="4">
        <f>+VLOOKUP($A1094,MAGAZZINO!$B$2:$M$100000,2,FALSE)</f>
        <v/>
      </c>
      <c r="C1094" s="29">
        <f>+VLOOKUP($A1094,MAGAZZINO!$B$2:$M$100000,3,FALSE)</f>
        <v/>
      </c>
      <c r="D1094" s="3">
        <f>+VLOOKUP($A1094,MAGAZZINO!$B$2:$M$100000,4,FALSE)</f>
        <v/>
      </c>
      <c r="E1094" s="3">
        <f>+VLOOKUP($A1094,MAGAZZINO!$B$2:$M$100000,5,FALSE)</f>
        <v/>
      </c>
      <c r="F1094" s="3">
        <f>+VLOOKUP($A1094,MAGAZZINO!$B$2:$M$100000,6,FALSE)</f>
        <v/>
      </c>
      <c r="G1094" s="3">
        <f>+VLOOKUP($A1094,MAGAZZINO!$B$2:$M$100000,7,FALSE)</f>
        <v/>
      </c>
      <c r="H1094" s="3">
        <f>+VLOOKUP($A1094,MAGAZZINO!$B$2:$M$100000,8,FALSE)</f>
        <v/>
      </c>
      <c r="I1094" s="3">
        <f>+VLOOKUP($A1094,MAGAZZINO!$B$2:$M$100000,9,FALSE)</f>
        <v/>
      </c>
      <c r="J1094" s="3">
        <f>+VLOOKUP($A1094,MAGAZZINO!$B$2:$M$100000,10,FALSE)</f>
        <v/>
      </c>
      <c r="K1094" s="3">
        <f>+VLOOKUP($A1094,MAGAZZINO!$B$2:$M$100000,11,FALSE)</f>
        <v/>
      </c>
      <c r="L1094" s="5">
        <f>+VLOOKUP($A1094,MAGAZZINO!$B$2:$M$100000,12,FALSE)</f>
        <v/>
      </c>
      <c r="M1094" s="47" t="n"/>
      <c r="N1094" s="54" t="n"/>
      <c r="O1094" s="3" t="n"/>
      <c r="P1094" s="149" t="n"/>
      <c r="Q1094" s="150" t="n"/>
      <c r="R1094" s="150" t="n"/>
      <c r="S1094" s="151" t="n"/>
    </row>
    <row r="1095" ht="36" customHeight="1">
      <c r="A1095" s="46" t="n">
        <v>3425</v>
      </c>
      <c r="B1095" s="4">
        <f>+VLOOKUP($A1095,MAGAZZINO!$B$2:$M$100000,2,FALSE)</f>
        <v/>
      </c>
      <c r="C1095" s="29">
        <f>+VLOOKUP($A1095,MAGAZZINO!$B$2:$M$100000,3,FALSE)</f>
        <v/>
      </c>
      <c r="D1095" s="3">
        <f>+VLOOKUP($A1095,MAGAZZINO!$B$2:$M$100000,4,FALSE)</f>
        <v/>
      </c>
      <c r="E1095" s="3">
        <f>+VLOOKUP($A1095,MAGAZZINO!$B$2:$M$100000,5,FALSE)</f>
        <v/>
      </c>
      <c r="F1095" s="3">
        <f>+VLOOKUP($A1095,MAGAZZINO!$B$2:$M$100000,6,FALSE)</f>
        <v/>
      </c>
      <c r="G1095" s="3">
        <f>+VLOOKUP($A1095,MAGAZZINO!$B$2:$M$100000,7,FALSE)</f>
        <v/>
      </c>
      <c r="H1095" s="3">
        <f>+VLOOKUP($A1095,MAGAZZINO!$B$2:$M$100000,8,FALSE)</f>
        <v/>
      </c>
      <c r="I1095" s="3">
        <f>+VLOOKUP($A1095,MAGAZZINO!$B$2:$M$100000,9,FALSE)</f>
        <v/>
      </c>
      <c r="J1095" s="3">
        <f>+VLOOKUP($A1095,MAGAZZINO!$B$2:$M$100000,10,FALSE)</f>
        <v/>
      </c>
      <c r="K1095" s="3">
        <f>+VLOOKUP($A1095,MAGAZZINO!$B$2:$M$100000,11,FALSE)</f>
        <v/>
      </c>
      <c r="L1095" s="5">
        <f>+VLOOKUP($A1095,MAGAZZINO!$B$2:$M$100000,12,FALSE)</f>
        <v/>
      </c>
      <c r="M1095" s="47" t="n"/>
      <c r="N1095" s="54" t="n"/>
      <c r="O1095" s="3" t="n"/>
      <c r="P1095" s="149" t="n"/>
      <c r="Q1095" s="150" t="n"/>
      <c r="R1095" s="150" t="n"/>
      <c r="S1095" s="151" t="n"/>
    </row>
    <row r="1096" ht="36" customHeight="1">
      <c r="A1096" s="46" t="n">
        <v>3426</v>
      </c>
      <c r="B1096" s="4">
        <f>+VLOOKUP($A1096,MAGAZZINO!$B$2:$M$100000,2,FALSE)</f>
        <v/>
      </c>
      <c r="C1096" s="29">
        <f>+VLOOKUP($A1096,MAGAZZINO!$B$2:$M$100000,3,FALSE)</f>
        <v/>
      </c>
      <c r="D1096" s="3">
        <f>+VLOOKUP($A1096,MAGAZZINO!$B$2:$M$100000,4,FALSE)</f>
        <v/>
      </c>
      <c r="E1096" s="3">
        <f>+VLOOKUP($A1096,MAGAZZINO!$B$2:$M$100000,5,FALSE)</f>
        <v/>
      </c>
      <c r="F1096" s="3">
        <f>+VLOOKUP($A1096,MAGAZZINO!$B$2:$M$100000,6,FALSE)</f>
        <v/>
      </c>
      <c r="G1096" s="3">
        <f>+VLOOKUP($A1096,MAGAZZINO!$B$2:$M$100000,7,FALSE)</f>
        <v/>
      </c>
      <c r="H1096" s="3">
        <f>+VLOOKUP($A1096,MAGAZZINO!$B$2:$M$100000,8,FALSE)</f>
        <v/>
      </c>
      <c r="I1096" s="3">
        <f>+VLOOKUP($A1096,MAGAZZINO!$B$2:$M$100000,9,FALSE)</f>
        <v/>
      </c>
      <c r="J1096" s="3">
        <f>+VLOOKUP($A1096,MAGAZZINO!$B$2:$M$100000,10,FALSE)</f>
        <v/>
      </c>
      <c r="K1096" s="3">
        <f>+VLOOKUP($A1096,MAGAZZINO!$B$2:$M$100000,11,FALSE)</f>
        <v/>
      </c>
      <c r="L1096" s="5">
        <f>+VLOOKUP($A1096,MAGAZZINO!$B$2:$M$100000,12,FALSE)</f>
        <v/>
      </c>
      <c r="M1096" s="47" t="n"/>
      <c r="N1096" s="54" t="n"/>
      <c r="O1096" s="3" t="n"/>
      <c r="P1096" s="149" t="n"/>
      <c r="Q1096" s="150" t="n"/>
      <c r="R1096" s="150" t="n"/>
      <c r="S1096" s="151" t="n"/>
    </row>
    <row r="1097" ht="36" customHeight="1">
      <c r="A1097" s="46" t="n">
        <v>3427</v>
      </c>
      <c r="B1097" s="4">
        <f>+VLOOKUP($A1097,MAGAZZINO!$B$2:$M$100000,2,FALSE)</f>
        <v/>
      </c>
      <c r="C1097" s="29">
        <f>+VLOOKUP($A1097,MAGAZZINO!$B$2:$M$100000,3,FALSE)</f>
        <v/>
      </c>
      <c r="D1097" s="3">
        <f>+VLOOKUP($A1097,MAGAZZINO!$B$2:$M$100000,4,FALSE)</f>
        <v/>
      </c>
      <c r="E1097" s="3">
        <f>+VLOOKUP($A1097,MAGAZZINO!$B$2:$M$100000,5,FALSE)</f>
        <v/>
      </c>
      <c r="F1097" s="3">
        <f>+VLOOKUP($A1097,MAGAZZINO!$B$2:$M$100000,6,FALSE)</f>
        <v/>
      </c>
      <c r="G1097" s="3">
        <f>+VLOOKUP($A1097,MAGAZZINO!$B$2:$M$100000,7,FALSE)</f>
        <v/>
      </c>
      <c r="H1097" s="3">
        <f>+VLOOKUP($A1097,MAGAZZINO!$B$2:$M$100000,8,FALSE)</f>
        <v/>
      </c>
      <c r="I1097" s="3">
        <f>+VLOOKUP($A1097,MAGAZZINO!$B$2:$M$100000,9,FALSE)</f>
        <v/>
      </c>
      <c r="J1097" s="3">
        <f>+VLOOKUP($A1097,MAGAZZINO!$B$2:$M$100000,10,FALSE)</f>
        <v/>
      </c>
      <c r="K1097" s="3">
        <f>+VLOOKUP($A1097,MAGAZZINO!$B$2:$M$100000,11,FALSE)</f>
        <v/>
      </c>
      <c r="L1097" s="5">
        <f>+VLOOKUP($A1097,MAGAZZINO!$B$2:$M$100000,12,FALSE)</f>
        <v/>
      </c>
      <c r="M1097" s="47" t="n"/>
      <c r="N1097" s="54" t="n"/>
      <c r="O1097" s="3" t="n"/>
      <c r="P1097" s="149" t="n"/>
      <c r="Q1097" s="150" t="n"/>
      <c r="R1097" s="150" t="n"/>
      <c r="S1097" s="151" t="n"/>
    </row>
    <row r="1098" ht="36" customHeight="1">
      <c r="A1098" s="46" t="n">
        <v>3428</v>
      </c>
      <c r="B1098" s="4">
        <f>+VLOOKUP($A1098,MAGAZZINO!$B$2:$M$100000,2,FALSE)</f>
        <v/>
      </c>
      <c r="C1098" s="29">
        <f>+VLOOKUP($A1098,MAGAZZINO!$B$2:$M$100000,3,FALSE)</f>
        <v/>
      </c>
      <c r="D1098" s="3">
        <f>+VLOOKUP($A1098,MAGAZZINO!$B$2:$M$100000,4,FALSE)</f>
        <v/>
      </c>
      <c r="E1098" s="3">
        <f>+VLOOKUP($A1098,MAGAZZINO!$B$2:$M$100000,5,FALSE)</f>
        <v/>
      </c>
      <c r="F1098" s="3">
        <f>+VLOOKUP($A1098,MAGAZZINO!$B$2:$M$100000,6,FALSE)</f>
        <v/>
      </c>
      <c r="G1098" s="3">
        <f>+VLOOKUP($A1098,MAGAZZINO!$B$2:$M$100000,7,FALSE)</f>
        <v/>
      </c>
      <c r="H1098" s="3">
        <f>+VLOOKUP($A1098,MAGAZZINO!$B$2:$M$100000,8,FALSE)</f>
        <v/>
      </c>
      <c r="I1098" s="3">
        <f>+VLOOKUP($A1098,MAGAZZINO!$B$2:$M$100000,9,FALSE)</f>
        <v/>
      </c>
      <c r="J1098" s="3">
        <f>+VLOOKUP($A1098,MAGAZZINO!$B$2:$M$100000,10,FALSE)</f>
        <v/>
      </c>
      <c r="K1098" s="3">
        <f>+VLOOKUP($A1098,MAGAZZINO!$B$2:$M$100000,11,FALSE)</f>
        <v/>
      </c>
      <c r="L1098" s="5">
        <f>+VLOOKUP($A1098,MAGAZZINO!$B$2:$M$100000,12,FALSE)</f>
        <v/>
      </c>
      <c r="M1098" s="47" t="n"/>
      <c r="N1098" s="54" t="n"/>
      <c r="O1098" s="3" t="n"/>
      <c r="P1098" s="149" t="n"/>
      <c r="Q1098" s="150" t="n"/>
      <c r="R1098" s="150" t="n"/>
      <c r="S1098" s="151" t="n"/>
    </row>
    <row r="1099" ht="36" customHeight="1">
      <c r="A1099" s="46" t="n">
        <v>3429</v>
      </c>
      <c r="B1099" s="4">
        <f>+VLOOKUP($A1099,MAGAZZINO!$B$2:$M$100000,2,FALSE)</f>
        <v/>
      </c>
      <c r="C1099" s="29">
        <f>+VLOOKUP($A1099,MAGAZZINO!$B$2:$M$100000,3,FALSE)</f>
        <v/>
      </c>
      <c r="D1099" s="3">
        <f>+VLOOKUP($A1099,MAGAZZINO!$B$2:$M$100000,4,FALSE)</f>
        <v/>
      </c>
      <c r="E1099" s="3">
        <f>+VLOOKUP($A1099,MAGAZZINO!$B$2:$M$100000,5,FALSE)</f>
        <v/>
      </c>
      <c r="F1099" s="3">
        <f>+VLOOKUP($A1099,MAGAZZINO!$B$2:$M$100000,6,FALSE)</f>
        <v/>
      </c>
      <c r="G1099" s="3">
        <f>+VLOOKUP($A1099,MAGAZZINO!$B$2:$M$100000,7,FALSE)</f>
        <v/>
      </c>
      <c r="H1099" s="3">
        <f>+VLOOKUP($A1099,MAGAZZINO!$B$2:$M$100000,8,FALSE)</f>
        <v/>
      </c>
      <c r="I1099" s="3">
        <f>+VLOOKUP($A1099,MAGAZZINO!$B$2:$M$100000,9,FALSE)</f>
        <v/>
      </c>
      <c r="J1099" s="3">
        <f>+VLOOKUP($A1099,MAGAZZINO!$B$2:$M$100000,10,FALSE)</f>
        <v/>
      </c>
      <c r="K1099" s="3">
        <f>+VLOOKUP($A1099,MAGAZZINO!$B$2:$M$100000,11,FALSE)</f>
        <v/>
      </c>
      <c r="L1099" s="5">
        <f>+VLOOKUP($A1099,MAGAZZINO!$B$2:$M$100000,12,FALSE)</f>
        <v/>
      </c>
      <c r="M1099" s="47" t="n"/>
      <c r="N1099" s="54" t="n"/>
      <c r="O1099" s="3" t="n"/>
      <c r="P1099" s="149" t="n"/>
      <c r="Q1099" s="150" t="n"/>
      <c r="R1099" s="150" t="n"/>
      <c r="S1099" s="151" t="n"/>
    </row>
    <row r="1100" ht="36" customHeight="1">
      <c r="A1100" s="46" t="n">
        <v>3430</v>
      </c>
      <c r="B1100" s="4">
        <f>+VLOOKUP($A1100,MAGAZZINO!$B$2:$M$100000,2,FALSE)</f>
        <v/>
      </c>
      <c r="C1100" s="29">
        <f>+VLOOKUP($A1100,MAGAZZINO!$B$2:$M$100000,3,FALSE)</f>
        <v/>
      </c>
      <c r="D1100" s="3">
        <f>+VLOOKUP($A1100,MAGAZZINO!$B$2:$M$100000,4,FALSE)</f>
        <v/>
      </c>
      <c r="E1100" s="3">
        <f>+VLOOKUP($A1100,MAGAZZINO!$B$2:$M$100000,5,FALSE)</f>
        <v/>
      </c>
      <c r="F1100" s="3">
        <f>+VLOOKUP($A1100,MAGAZZINO!$B$2:$M$100000,6,FALSE)</f>
        <v/>
      </c>
      <c r="G1100" s="3">
        <f>+VLOOKUP($A1100,MAGAZZINO!$B$2:$M$100000,7,FALSE)</f>
        <v/>
      </c>
      <c r="H1100" s="3">
        <f>+VLOOKUP($A1100,MAGAZZINO!$B$2:$M$100000,8,FALSE)</f>
        <v/>
      </c>
      <c r="I1100" s="3">
        <f>+VLOOKUP($A1100,MAGAZZINO!$B$2:$M$100000,9,FALSE)</f>
        <v/>
      </c>
      <c r="J1100" s="3">
        <f>+VLOOKUP($A1100,MAGAZZINO!$B$2:$M$100000,10,FALSE)</f>
        <v/>
      </c>
      <c r="K1100" s="3">
        <f>+VLOOKUP($A1100,MAGAZZINO!$B$2:$M$100000,11,FALSE)</f>
        <v/>
      </c>
      <c r="L1100" s="5">
        <f>+VLOOKUP($A1100,MAGAZZINO!$B$2:$M$100000,12,FALSE)</f>
        <v/>
      </c>
      <c r="M1100" s="47" t="n"/>
      <c r="N1100" s="54" t="n"/>
      <c r="O1100" s="3" t="n"/>
      <c r="P1100" s="149" t="n"/>
      <c r="Q1100" s="150" t="n"/>
      <c r="R1100" s="150" t="n"/>
      <c r="S1100" s="151" t="n"/>
    </row>
    <row r="1101" ht="36" customHeight="1">
      <c r="A1101" s="46" t="n">
        <v>3431</v>
      </c>
      <c r="B1101" s="4">
        <f>+VLOOKUP($A1101,MAGAZZINO!$B$2:$M$100000,2,FALSE)</f>
        <v/>
      </c>
      <c r="C1101" s="29">
        <f>+VLOOKUP($A1101,MAGAZZINO!$B$2:$M$100000,3,FALSE)</f>
        <v/>
      </c>
      <c r="D1101" s="3">
        <f>+VLOOKUP($A1101,MAGAZZINO!$B$2:$M$100000,4,FALSE)</f>
        <v/>
      </c>
      <c r="E1101" s="3">
        <f>+VLOOKUP($A1101,MAGAZZINO!$B$2:$M$100000,5,FALSE)</f>
        <v/>
      </c>
      <c r="F1101" s="3">
        <f>+VLOOKUP($A1101,MAGAZZINO!$B$2:$M$100000,6,FALSE)</f>
        <v/>
      </c>
      <c r="G1101" s="3">
        <f>+VLOOKUP($A1101,MAGAZZINO!$B$2:$M$100000,7,FALSE)</f>
        <v/>
      </c>
      <c r="H1101" s="3">
        <f>+VLOOKUP($A1101,MAGAZZINO!$B$2:$M$100000,8,FALSE)</f>
        <v/>
      </c>
      <c r="I1101" s="3">
        <f>+VLOOKUP($A1101,MAGAZZINO!$B$2:$M$100000,9,FALSE)</f>
        <v/>
      </c>
      <c r="J1101" s="3">
        <f>+VLOOKUP($A1101,MAGAZZINO!$B$2:$M$100000,10,FALSE)</f>
        <v/>
      </c>
      <c r="K1101" s="3">
        <f>+VLOOKUP($A1101,MAGAZZINO!$B$2:$M$100000,11,FALSE)</f>
        <v/>
      </c>
      <c r="L1101" s="5">
        <f>+VLOOKUP($A1101,MAGAZZINO!$B$2:$M$100000,12,FALSE)</f>
        <v/>
      </c>
      <c r="M1101" s="47" t="n"/>
      <c r="N1101" s="54" t="n"/>
      <c r="O1101" s="3" t="n"/>
      <c r="P1101" s="149" t="n"/>
      <c r="Q1101" s="150" t="n"/>
      <c r="R1101" s="150" t="n"/>
      <c r="S1101" s="151" t="n"/>
    </row>
    <row r="1102" ht="36" customHeight="1">
      <c r="A1102" s="46" t="n">
        <v>3432</v>
      </c>
      <c r="B1102" s="4">
        <f>+VLOOKUP($A1102,MAGAZZINO!$B$2:$M$100000,2,FALSE)</f>
        <v/>
      </c>
      <c r="C1102" s="29">
        <f>+VLOOKUP($A1102,MAGAZZINO!$B$2:$M$100000,3,FALSE)</f>
        <v/>
      </c>
      <c r="D1102" s="3">
        <f>+VLOOKUP($A1102,MAGAZZINO!$B$2:$M$100000,4,FALSE)</f>
        <v/>
      </c>
      <c r="E1102" s="3">
        <f>+VLOOKUP($A1102,MAGAZZINO!$B$2:$M$100000,5,FALSE)</f>
        <v/>
      </c>
      <c r="F1102" s="3">
        <f>+VLOOKUP($A1102,MAGAZZINO!$B$2:$M$100000,6,FALSE)</f>
        <v/>
      </c>
      <c r="G1102" s="3">
        <f>+VLOOKUP($A1102,MAGAZZINO!$B$2:$M$100000,7,FALSE)</f>
        <v/>
      </c>
      <c r="H1102" s="3">
        <f>+VLOOKUP($A1102,MAGAZZINO!$B$2:$M$100000,8,FALSE)</f>
        <v/>
      </c>
      <c r="I1102" s="3">
        <f>+VLOOKUP($A1102,MAGAZZINO!$B$2:$M$100000,9,FALSE)</f>
        <v/>
      </c>
      <c r="J1102" s="3">
        <f>+VLOOKUP($A1102,MAGAZZINO!$B$2:$M$100000,10,FALSE)</f>
        <v/>
      </c>
      <c r="K1102" s="3">
        <f>+VLOOKUP($A1102,MAGAZZINO!$B$2:$M$100000,11,FALSE)</f>
        <v/>
      </c>
      <c r="L1102" s="5">
        <f>+VLOOKUP($A1102,MAGAZZINO!$B$2:$M$100000,12,FALSE)</f>
        <v/>
      </c>
      <c r="M1102" s="47" t="n"/>
      <c r="N1102" s="54" t="n"/>
      <c r="O1102" s="3" t="n"/>
      <c r="P1102" s="149" t="n"/>
      <c r="Q1102" s="150" t="n"/>
      <c r="R1102" s="150" t="n"/>
      <c r="S1102" s="151" t="n"/>
    </row>
    <row r="1103" ht="36" customHeight="1">
      <c r="A1103" s="46" t="n">
        <v>3433</v>
      </c>
      <c r="B1103" s="4">
        <f>+VLOOKUP($A1103,MAGAZZINO!$B$2:$M$100000,2,FALSE)</f>
        <v/>
      </c>
      <c r="C1103" s="29">
        <f>+VLOOKUP($A1103,MAGAZZINO!$B$2:$M$100000,3,FALSE)</f>
        <v/>
      </c>
      <c r="D1103" s="3">
        <f>+VLOOKUP($A1103,MAGAZZINO!$B$2:$M$100000,4,FALSE)</f>
        <v/>
      </c>
      <c r="E1103" s="3">
        <f>+VLOOKUP($A1103,MAGAZZINO!$B$2:$M$100000,5,FALSE)</f>
        <v/>
      </c>
      <c r="F1103" s="3">
        <f>+VLOOKUP($A1103,MAGAZZINO!$B$2:$M$100000,6,FALSE)</f>
        <v/>
      </c>
      <c r="G1103" s="3">
        <f>+VLOOKUP($A1103,MAGAZZINO!$B$2:$M$100000,7,FALSE)</f>
        <v/>
      </c>
      <c r="H1103" s="3">
        <f>+VLOOKUP($A1103,MAGAZZINO!$B$2:$M$100000,8,FALSE)</f>
        <v/>
      </c>
      <c r="I1103" s="3">
        <f>+VLOOKUP($A1103,MAGAZZINO!$B$2:$M$100000,9,FALSE)</f>
        <v/>
      </c>
      <c r="J1103" s="3">
        <f>+VLOOKUP($A1103,MAGAZZINO!$B$2:$M$100000,10,FALSE)</f>
        <v/>
      </c>
      <c r="K1103" s="3">
        <f>+VLOOKUP($A1103,MAGAZZINO!$B$2:$M$100000,11,FALSE)</f>
        <v/>
      </c>
      <c r="L1103" s="5">
        <f>+VLOOKUP($A1103,MAGAZZINO!$B$2:$M$100000,12,FALSE)</f>
        <v/>
      </c>
      <c r="M1103" s="47" t="n"/>
      <c r="N1103" s="54" t="n"/>
      <c r="O1103" s="3" t="n"/>
      <c r="P1103" s="149" t="n"/>
      <c r="Q1103" s="150" t="n"/>
      <c r="R1103" s="150" t="n"/>
      <c r="S1103" s="151" t="n"/>
    </row>
    <row r="1104" ht="36" customHeight="1">
      <c r="A1104" s="46" t="n">
        <v>3434</v>
      </c>
      <c r="B1104" s="4">
        <f>+VLOOKUP($A1104,MAGAZZINO!$B$2:$M$100000,2,FALSE)</f>
        <v/>
      </c>
      <c r="C1104" s="29">
        <f>+VLOOKUP($A1104,MAGAZZINO!$B$2:$M$100000,3,FALSE)</f>
        <v/>
      </c>
      <c r="D1104" s="3">
        <f>+VLOOKUP($A1104,MAGAZZINO!$B$2:$M$100000,4,FALSE)</f>
        <v/>
      </c>
      <c r="E1104" s="3">
        <f>+VLOOKUP($A1104,MAGAZZINO!$B$2:$M$100000,5,FALSE)</f>
        <v/>
      </c>
      <c r="F1104" s="3">
        <f>+VLOOKUP($A1104,MAGAZZINO!$B$2:$M$100000,6,FALSE)</f>
        <v/>
      </c>
      <c r="G1104" s="3">
        <f>+VLOOKUP($A1104,MAGAZZINO!$B$2:$M$100000,7,FALSE)</f>
        <v/>
      </c>
      <c r="H1104" s="3">
        <f>+VLOOKUP($A1104,MAGAZZINO!$B$2:$M$100000,8,FALSE)</f>
        <v/>
      </c>
      <c r="I1104" s="3">
        <f>+VLOOKUP($A1104,MAGAZZINO!$B$2:$M$100000,9,FALSE)</f>
        <v/>
      </c>
      <c r="J1104" s="3">
        <f>+VLOOKUP($A1104,MAGAZZINO!$B$2:$M$100000,10,FALSE)</f>
        <v/>
      </c>
      <c r="K1104" s="3">
        <f>+VLOOKUP($A1104,MAGAZZINO!$B$2:$M$100000,11,FALSE)</f>
        <v/>
      </c>
      <c r="L1104" s="5">
        <f>+VLOOKUP($A1104,MAGAZZINO!$B$2:$M$100000,12,FALSE)</f>
        <v/>
      </c>
      <c r="M1104" s="47" t="n"/>
      <c r="N1104" s="54" t="n"/>
      <c r="O1104" s="3" t="n"/>
      <c r="P1104" s="149" t="n"/>
      <c r="Q1104" s="150" t="n"/>
      <c r="R1104" s="150" t="n"/>
      <c r="S1104" s="151" t="n"/>
    </row>
    <row r="1105" ht="36" customHeight="1">
      <c r="A1105" s="46" t="n">
        <v>3435</v>
      </c>
      <c r="B1105" s="4">
        <f>+VLOOKUP($A1105,MAGAZZINO!$B$2:$M$100000,2,FALSE)</f>
        <v/>
      </c>
      <c r="C1105" s="29">
        <f>+VLOOKUP($A1105,MAGAZZINO!$B$2:$M$100000,3,FALSE)</f>
        <v/>
      </c>
      <c r="D1105" s="3">
        <f>+VLOOKUP($A1105,MAGAZZINO!$B$2:$M$100000,4,FALSE)</f>
        <v/>
      </c>
      <c r="E1105" s="3">
        <f>+VLOOKUP($A1105,MAGAZZINO!$B$2:$M$100000,5,FALSE)</f>
        <v/>
      </c>
      <c r="F1105" s="3">
        <f>+VLOOKUP($A1105,MAGAZZINO!$B$2:$M$100000,6,FALSE)</f>
        <v/>
      </c>
      <c r="G1105" s="3">
        <f>+VLOOKUP($A1105,MAGAZZINO!$B$2:$M$100000,7,FALSE)</f>
        <v/>
      </c>
      <c r="H1105" s="3">
        <f>+VLOOKUP($A1105,MAGAZZINO!$B$2:$M$100000,8,FALSE)</f>
        <v/>
      </c>
      <c r="I1105" s="3">
        <f>+VLOOKUP($A1105,MAGAZZINO!$B$2:$M$100000,9,FALSE)</f>
        <v/>
      </c>
      <c r="J1105" s="3">
        <f>+VLOOKUP($A1105,MAGAZZINO!$B$2:$M$100000,10,FALSE)</f>
        <v/>
      </c>
      <c r="K1105" s="3">
        <f>+VLOOKUP($A1105,MAGAZZINO!$B$2:$M$100000,11,FALSE)</f>
        <v/>
      </c>
      <c r="L1105" s="5">
        <f>+VLOOKUP($A1105,MAGAZZINO!$B$2:$M$100000,12,FALSE)</f>
        <v/>
      </c>
      <c r="M1105" s="47" t="n"/>
      <c r="N1105" s="54" t="n"/>
      <c r="O1105" s="3" t="n"/>
      <c r="P1105" s="149" t="n"/>
      <c r="Q1105" s="150" t="n"/>
      <c r="R1105" s="150" t="n"/>
      <c r="S1105" s="151" t="n"/>
    </row>
    <row r="1106" ht="36" customHeight="1">
      <c r="A1106" s="46" t="n">
        <v>3436</v>
      </c>
      <c r="B1106" s="4">
        <f>+VLOOKUP($A1106,MAGAZZINO!$B$2:$M$100000,2,FALSE)</f>
        <v/>
      </c>
      <c r="C1106" s="29">
        <f>+VLOOKUP($A1106,MAGAZZINO!$B$2:$M$100000,3,FALSE)</f>
        <v/>
      </c>
      <c r="D1106" s="3">
        <f>+VLOOKUP($A1106,MAGAZZINO!$B$2:$M$100000,4,FALSE)</f>
        <v/>
      </c>
      <c r="E1106" s="3">
        <f>+VLOOKUP($A1106,MAGAZZINO!$B$2:$M$100000,5,FALSE)</f>
        <v/>
      </c>
      <c r="F1106" s="3">
        <f>+VLOOKUP($A1106,MAGAZZINO!$B$2:$M$100000,6,FALSE)</f>
        <v/>
      </c>
      <c r="G1106" s="3">
        <f>+VLOOKUP($A1106,MAGAZZINO!$B$2:$M$100000,7,FALSE)</f>
        <v/>
      </c>
      <c r="H1106" s="3">
        <f>+VLOOKUP($A1106,MAGAZZINO!$B$2:$M$100000,8,FALSE)</f>
        <v/>
      </c>
      <c r="I1106" s="3">
        <f>+VLOOKUP($A1106,MAGAZZINO!$B$2:$M$100000,9,FALSE)</f>
        <v/>
      </c>
      <c r="J1106" s="3">
        <f>+VLOOKUP($A1106,MAGAZZINO!$B$2:$M$100000,10,FALSE)</f>
        <v/>
      </c>
      <c r="K1106" s="3">
        <f>+VLOOKUP($A1106,MAGAZZINO!$B$2:$M$100000,11,FALSE)</f>
        <v/>
      </c>
      <c r="L1106" s="5">
        <f>+VLOOKUP($A1106,MAGAZZINO!$B$2:$M$100000,12,FALSE)</f>
        <v/>
      </c>
      <c r="M1106" s="47" t="n"/>
      <c r="N1106" s="54" t="n"/>
      <c r="O1106" s="3" t="n"/>
      <c r="P1106" s="149" t="n"/>
      <c r="Q1106" s="150" t="n"/>
      <c r="R1106" s="150" t="n"/>
      <c r="S1106" s="151" t="n"/>
    </row>
    <row r="1107" ht="36" customHeight="1">
      <c r="A1107" s="46" t="n">
        <v>3437</v>
      </c>
      <c r="B1107" s="4">
        <f>+VLOOKUP($A1107,MAGAZZINO!$B$2:$M$100000,2,FALSE)</f>
        <v/>
      </c>
      <c r="C1107" s="29">
        <f>+VLOOKUP($A1107,MAGAZZINO!$B$2:$M$100000,3,FALSE)</f>
        <v/>
      </c>
      <c r="D1107" s="3">
        <f>+VLOOKUP($A1107,MAGAZZINO!$B$2:$M$100000,4,FALSE)</f>
        <v/>
      </c>
      <c r="E1107" s="3">
        <f>+VLOOKUP($A1107,MAGAZZINO!$B$2:$M$100000,5,FALSE)</f>
        <v/>
      </c>
      <c r="F1107" s="3">
        <f>+VLOOKUP($A1107,MAGAZZINO!$B$2:$M$100000,6,FALSE)</f>
        <v/>
      </c>
      <c r="G1107" s="3">
        <f>+VLOOKUP($A1107,MAGAZZINO!$B$2:$M$100000,7,FALSE)</f>
        <v/>
      </c>
      <c r="H1107" s="3">
        <f>+VLOOKUP($A1107,MAGAZZINO!$B$2:$M$100000,8,FALSE)</f>
        <v/>
      </c>
      <c r="I1107" s="3">
        <f>+VLOOKUP($A1107,MAGAZZINO!$B$2:$M$100000,9,FALSE)</f>
        <v/>
      </c>
      <c r="J1107" s="3">
        <f>+VLOOKUP($A1107,MAGAZZINO!$B$2:$M$100000,10,FALSE)</f>
        <v/>
      </c>
      <c r="K1107" s="3">
        <f>+VLOOKUP($A1107,MAGAZZINO!$B$2:$M$100000,11,FALSE)</f>
        <v/>
      </c>
      <c r="L1107" s="5">
        <f>+VLOOKUP($A1107,MAGAZZINO!$B$2:$M$100000,12,FALSE)</f>
        <v/>
      </c>
      <c r="M1107" s="47" t="n"/>
      <c r="N1107" s="54" t="n"/>
      <c r="O1107" s="3" t="n"/>
      <c r="P1107" s="149" t="n"/>
      <c r="Q1107" s="150" t="n"/>
      <c r="R1107" s="150" t="n"/>
      <c r="S1107" s="151" t="n"/>
    </row>
    <row r="1108" ht="36" customHeight="1">
      <c r="A1108" s="46" t="n">
        <v>3438</v>
      </c>
      <c r="B1108" s="4">
        <f>+VLOOKUP($A1108,MAGAZZINO!$B$2:$M$100000,2,FALSE)</f>
        <v/>
      </c>
      <c r="C1108" s="29">
        <f>+VLOOKUP($A1108,MAGAZZINO!$B$2:$M$100000,3,FALSE)</f>
        <v/>
      </c>
      <c r="D1108" s="3">
        <f>+VLOOKUP($A1108,MAGAZZINO!$B$2:$M$100000,4,FALSE)</f>
        <v/>
      </c>
      <c r="E1108" s="3">
        <f>+VLOOKUP($A1108,MAGAZZINO!$B$2:$M$100000,5,FALSE)</f>
        <v/>
      </c>
      <c r="F1108" s="3">
        <f>+VLOOKUP($A1108,MAGAZZINO!$B$2:$M$100000,6,FALSE)</f>
        <v/>
      </c>
      <c r="G1108" s="3">
        <f>+VLOOKUP($A1108,MAGAZZINO!$B$2:$M$100000,7,FALSE)</f>
        <v/>
      </c>
      <c r="H1108" s="3">
        <f>+VLOOKUP($A1108,MAGAZZINO!$B$2:$M$100000,8,FALSE)</f>
        <v/>
      </c>
      <c r="I1108" s="3">
        <f>+VLOOKUP($A1108,MAGAZZINO!$B$2:$M$100000,9,FALSE)</f>
        <v/>
      </c>
      <c r="J1108" s="3">
        <f>+VLOOKUP($A1108,MAGAZZINO!$B$2:$M$100000,10,FALSE)</f>
        <v/>
      </c>
      <c r="K1108" s="3">
        <f>+VLOOKUP($A1108,MAGAZZINO!$B$2:$M$100000,11,FALSE)</f>
        <v/>
      </c>
      <c r="L1108" s="5">
        <f>+VLOOKUP($A1108,MAGAZZINO!$B$2:$M$100000,12,FALSE)</f>
        <v/>
      </c>
      <c r="M1108" s="47" t="n"/>
      <c r="N1108" s="54" t="n"/>
      <c r="O1108" s="3" t="n"/>
      <c r="P1108" s="149" t="n"/>
      <c r="Q1108" s="150" t="n"/>
      <c r="R1108" s="150" t="n"/>
      <c r="S1108" s="151" t="n"/>
    </row>
    <row r="1109" ht="36" customHeight="1">
      <c r="A1109" s="46" t="n">
        <v>3439</v>
      </c>
      <c r="B1109" s="4">
        <f>+VLOOKUP($A1109,MAGAZZINO!$B$2:$M$100000,2,FALSE)</f>
        <v/>
      </c>
      <c r="C1109" s="29">
        <f>+VLOOKUP($A1109,MAGAZZINO!$B$2:$M$100000,3,FALSE)</f>
        <v/>
      </c>
      <c r="D1109" s="3">
        <f>+VLOOKUP($A1109,MAGAZZINO!$B$2:$M$100000,4,FALSE)</f>
        <v/>
      </c>
      <c r="E1109" s="3">
        <f>+VLOOKUP($A1109,MAGAZZINO!$B$2:$M$100000,5,FALSE)</f>
        <v/>
      </c>
      <c r="F1109" s="3">
        <f>+VLOOKUP($A1109,MAGAZZINO!$B$2:$M$100000,6,FALSE)</f>
        <v/>
      </c>
      <c r="G1109" s="3">
        <f>+VLOOKUP($A1109,MAGAZZINO!$B$2:$M$100000,7,FALSE)</f>
        <v/>
      </c>
      <c r="H1109" s="3">
        <f>+VLOOKUP($A1109,MAGAZZINO!$B$2:$M$100000,8,FALSE)</f>
        <v/>
      </c>
      <c r="I1109" s="3">
        <f>+VLOOKUP($A1109,MAGAZZINO!$B$2:$M$100000,9,FALSE)</f>
        <v/>
      </c>
      <c r="J1109" s="3">
        <f>+VLOOKUP($A1109,MAGAZZINO!$B$2:$M$100000,10,FALSE)</f>
        <v/>
      </c>
      <c r="K1109" s="3">
        <f>+VLOOKUP($A1109,MAGAZZINO!$B$2:$M$100000,11,FALSE)</f>
        <v/>
      </c>
      <c r="L1109" s="5">
        <f>+VLOOKUP($A1109,MAGAZZINO!$B$2:$M$100000,12,FALSE)</f>
        <v/>
      </c>
      <c r="M1109" s="47" t="n"/>
      <c r="N1109" s="54" t="n"/>
      <c r="O1109" s="3" t="n"/>
      <c r="P1109" s="149" t="n"/>
      <c r="Q1109" s="150" t="n"/>
      <c r="R1109" s="150" t="n"/>
      <c r="S1109" s="151" t="n"/>
    </row>
    <row r="1110" ht="36" customHeight="1">
      <c r="A1110" s="46" t="n">
        <v>3440</v>
      </c>
      <c r="B1110" s="4">
        <f>+VLOOKUP($A1110,MAGAZZINO!$B$2:$M$100000,2,FALSE)</f>
        <v/>
      </c>
      <c r="C1110" s="29">
        <f>+VLOOKUP($A1110,MAGAZZINO!$B$2:$M$100000,3,FALSE)</f>
        <v/>
      </c>
      <c r="D1110" s="3">
        <f>+VLOOKUP($A1110,MAGAZZINO!$B$2:$M$100000,4,FALSE)</f>
        <v/>
      </c>
      <c r="E1110" s="3">
        <f>+VLOOKUP($A1110,MAGAZZINO!$B$2:$M$100000,5,FALSE)</f>
        <v/>
      </c>
      <c r="F1110" s="3">
        <f>+VLOOKUP($A1110,MAGAZZINO!$B$2:$M$100000,6,FALSE)</f>
        <v/>
      </c>
      <c r="G1110" s="3">
        <f>+VLOOKUP($A1110,MAGAZZINO!$B$2:$M$100000,7,FALSE)</f>
        <v/>
      </c>
      <c r="H1110" s="3">
        <f>+VLOOKUP($A1110,MAGAZZINO!$B$2:$M$100000,8,FALSE)</f>
        <v/>
      </c>
      <c r="I1110" s="3">
        <f>+VLOOKUP($A1110,MAGAZZINO!$B$2:$M$100000,9,FALSE)</f>
        <v/>
      </c>
      <c r="J1110" s="3">
        <f>+VLOOKUP($A1110,MAGAZZINO!$B$2:$M$100000,10,FALSE)</f>
        <v/>
      </c>
      <c r="K1110" s="3">
        <f>+VLOOKUP($A1110,MAGAZZINO!$B$2:$M$100000,11,FALSE)</f>
        <v/>
      </c>
      <c r="L1110" s="5">
        <f>+VLOOKUP($A1110,MAGAZZINO!$B$2:$M$100000,12,FALSE)</f>
        <v/>
      </c>
      <c r="M1110" s="47" t="n"/>
      <c r="N1110" s="54" t="n"/>
      <c r="O1110" s="3" t="n"/>
      <c r="P1110" s="149" t="n"/>
      <c r="Q1110" s="150" t="n"/>
      <c r="R1110" s="150" t="n"/>
      <c r="S1110" s="151" t="n"/>
    </row>
    <row r="1111" ht="36" customHeight="1">
      <c r="A1111" s="46" t="n">
        <v>3441</v>
      </c>
      <c r="B1111" s="4">
        <f>+VLOOKUP($A1111,MAGAZZINO!$B$2:$M$100000,2,FALSE)</f>
        <v/>
      </c>
      <c r="C1111" s="29">
        <f>+VLOOKUP($A1111,MAGAZZINO!$B$2:$M$100000,3,FALSE)</f>
        <v/>
      </c>
      <c r="D1111" s="3">
        <f>+VLOOKUP($A1111,MAGAZZINO!$B$2:$M$100000,4,FALSE)</f>
        <v/>
      </c>
      <c r="E1111" s="3">
        <f>+VLOOKUP($A1111,MAGAZZINO!$B$2:$M$100000,5,FALSE)</f>
        <v/>
      </c>
      <c r="F1111" s="3">
        <f>+VLOOKUP($A1111,MAGAZZINO!$B$2:$M$100000,6,FALSE)</f>
        <v/>
      </c>
      <c r="G1111" s="3">
        <f>+VLOOKUP($A1111,MAGAZZINO!$B$2:$M$100000,7,FALSE)</f>
        <v/>
      </c>
      <c r="H1111" s="3">
        <f>+VLOOKUP($A1111,MAGAZZINO!$B$2:$M$100000,8,FALSE)</f>
        <v/>
      </c>
      <c r="I1111" s="3">
        <f>+VLOOKUP($A1111,MAGAZZINO!$B$2:$M$100000,9,FALSE)</f>
        <v/>
      </c>
      <c r="J1111" s="3">
        <f>+VLOOKUP($A1111,MAGAZZINO!$B$2:$M$100000,10,FALSE)</f>
        <v/>
      </c>
      <c r="K1111" s="3">
        <f>+VLOOKUP($A1111,MAGAZZINO!$B$2:$M$100000,11,FALSE)</f>
        <v/>
      </c>
      <c r="L1111" s="5">
        <f>+VLOOKUP($A1111,MAGAZZINO!$B$2:$M$100000,12,FALSE)</f>
        <v/>
      </c>
      <c r="M1111" s="47" t="n"/>
      <c r="N1111" s="54" t="n"/>
      <c r="O1111" s="3" t="n"/>
      <c r="P1111" s="149" t="n"/>
      <c r="Q1111" s="150" t="n"/>
      <c r="R1111" s="150" t="n"/>
      <c r="S1111" s="151" t="n"/>
    </row>
    <row r="1112" ht="36" customHeight="1">
      <c r="A1112" s="46" t="n">
        <v>3442</v>
      </c>
      <c r="B1112" s="4">
        <f>+VLOOKUP($A1112,MAGAZZINO!$B$2:$M$100000,2,FALSE)</f>
        <v/>
      </c>
      <c r="C1112" s="29">
        <f>+VLOOKUP($A1112,MAGAZZINO!$B$2:$M$100000,3,FALSE)</f>
        <v/>
      </c>
      <c r="D1112" s="3">
        <f>+VLOOKUP($A1112,MAGAZZINO!$B$2:$M$100000,4,FALSE)</f>
        <v/>
      </c>
      <c r="E1112" s="3">
        <f>+VLOOKUP($A1112,MAGAZZINO!$B$2:$M$100000,5,FALSE)</f>
        <v/>
      </c>
      <c r="F1112" s="3">
        <f>+VLOOKUP($A1112,MAGAZZINO!$B$2:$M$100000,6,FALSE)</f>
        <v/>
      </c>
      <c r="G1112" s="3">
        <f>+VLOOKUP($A1112,MAGAZZINO!$B$2:$M$100000,7,FALSE)</f>
        <v/>
      </c>
      <c r="H1112" s="3">
        <f>+VLOOKUP($A1112,MAGAZZINO!$B$2:$M$100000,8,FALSE)</f>
        <v/>
      </c>
      <c r="I1112" s="3">
        <f>+VLOOKUP($A1112,MAGAZZINO!$B$2:$M$100000,9,FALSE)</f>
        <v/>
      </c>
      <c r="J1112" s="3">
        <f>+VLOOKUP($A1112,MAGAZZINO!$B$2:$M$100000,10,FALSE)</f>
        <v/>
      </c>
      <c r="K1112" s="3">
        <f>+VLOOKUP($A1112,MAGAZZINO!$B$2:$M$100000,11,FALSE)</f>
        <v/>
      </c>
      <c r="L1112" s="5">
        <f>+VLOOKUP($A1112,MAGAZZINO!$B$2:$M$100000,12,FALSE)</f>
        <v/>
      </c>
      <c r="M1112" s="47" t="n"/>
      <c r="N1112" s="54" t="n"/>
      <c r="O1112" s="3" t="n"/>
      <c r="P1112" s="149" t="n"/>
      <c r="Q1112" s="150" t="n"/>
      <c r="R1112" s="150" t="n"/>
      <c r="S1112" s="151" t="n"/>
    </row>
    <row r="1113" ht="36" customHeight="1">
      <c r="A1113" s="46" t="n">
        <v>3443</v>
      </c>
      <c r="B1113" s="4">
        <f>+VLOOKUP($A1113,MAGAZZINO!$B$2:$M$100000,2,FALSE)</f>
        <v/>
      </c>
      <c r="C1113" s="29">
        <f>+VLOOKUP($A1113,MAGAZZINO!$B$2:$M$100000,3,FALSE)</f>
        <v/>
      </c>
      <c r="D1113" s="3">
        <f>+VLOOKUP($A1113,MAGAZZINO!$B$2:$M$100000,4,FALSE)</f>
        <v/>
      </c>
      <c r="E1113" s="3">
        <f>+VLOOKUP($A1113,MAGAZZINO!$B$2:$M$100000,5,FALSE)</f>
        <v/>
      </c>
      <c r="F1113" s="3">
        <f>+VLOOKUP($A1113,MAGAZZINO!$B$2:$M$100000,6,FALSE)</f>
        <v/>
      </c>
      <c r="G1113" s="3">
        <f>+VLOOKUP($A1113,MAGAZZINO!$B$2:$M$100000,7,FALSE)</f>
        <v/>
      </c>
      <c r="H1113" s="3">
        <f>+VLOOKUP($A1113,MAGAZZINO!$B$2:$M$100000,8,FALSE)</f>
        <v/>
      </c>
      <c r="I1113" s="3">
        <f>+VLOOKUP($A1113,MAGAZZINO!$B$2:$M$100000,9,FALSE)</f>
        <v/>
      </c>
      <c r="J1113" s="3">
        <f>+VLOOKUP($A1113,MAGAZZINO!$B$2:$M$100000,10,FALSE)</f>
        <v/>
      </c>
      <c r="K1113" s="3">
        <f>+VLOOKUP($A1113,MAGAZZINO!$B$2:$M$100000,11,FALSE)</f>
        <v/>
      </c>
      <c r="L1113" s="5">
        <f>+VLOOKUP($A1113,MAGAZZINO!$B$2:$M$100000,12,FALSE)</f>
        <v/>
      </c>
      <c r="M1113" s="47" t="n"/>
      <c r="N1113" s="54" t="n"/>
      <c r="O1113" s="3" t="n"/>
      <c r="P1113" s="149" t="n"/>
      <c r="Q1113" s="150" t="n"/>
      <c r="R1113" s="150" t="n"/>
      <c r="S1113" s="151" t="n"/>
    </row>
    <row r="1114" ht="36" customHeight="1">
      <c r="A1114" s="46" t="n">
        <v>3444</v>
      </c>
      <c r="B1114" s="4">
        <f>+VLOOKUP($A1114,MAGAZZINO!$B$2:$M$100000,2,FALSE)</f>
        <v/>
      </c>
      <c r="C1114" s="29">
        <f>+VLOOKUP($A1114,MAGAZZINO!$B$2:$M$100000,3,FALSE)</f>
        <v/>
      </c>
      <c r="D1114" s="3">
        <f>+VLOOKUP($A1114,MAGAZZINO!$B$2:$M$100000,4,FALSE)</f>
        <v/>
      </c>
      <c r="E1114" s="3">
        <f>+VLOOKUP($A1114,MAGAZZINO!$B$2:$M$100000,5,FALSE)</f>
        <v/>
      </c>
      <c r="F1114" s="3">
        <f>+VLOOKUP($A1114,MAGAZZINO!$B$2:$M$100000,6,FALSE)</f>
        <v/>
      </c>
      <c r="G1114" s="3">
        <f>+VLOOKUP($A1114,MAGAZZINO!$B$2:$M$100000,7,FALSE)</f>
        <v/>
      </c>
      <c r="H1114" s="3">
        <f>+VLOOKUP($A1114,MAGAZZINO!$B$2:$M$100000,8,FALSE)</f>
        <v/>
      </c>
      <c r="I1114" s="3">
        <f>+VLOOKUP($A1114,MAGAZZINO!$B$2:$M$100000,9,FALSE)</f>
        <v/>
      </c>
      <c r="J1114" s="3">
        <f>+VLOOKUP($A1114,MAGAZZINO!$B$2:$M$100000,10,FALSE)</f>
        <v/>
      </c>
      <c r="K1114" s="3">
        <f>+VLOOKUP($A1114,MAGAZZINO!$B$2:$M$100000,11,FALSE)</f>
        <v/>
      </c>
      <c r="L1114" s="5">
        <f>+VLOOKUP($A1114,MAGAZZINO!$B$2:$M$100000,12,FALSE)</f>
        <v/>
      </c>
      <c r="M1114" s="47" t="n"/>
      <c r="N1114" s="54" t="n"/>
      <c r="O1114" s="3" t="n"/>
      <c r="P1114" s="149" t="n"/>
      <c r="Q1114" s="150" t="n"/>
      <c r="R1114" s="150" t="n"/>
      <c r="S1114" s="151" t="n"/>
    </row>
    <row r="1115" ht="36" customHeight="1">
      <c r="A1115" s="46" t="n">
        <v>3445</v>
      </c>
      <c r="B1115" s="4">
        <f>+VLOOKUP($A1115,MAGAZZINO!$B$2:$M$100000,2,FALSE)</f>
        <v/>
      </c>
      <c r="C1115" s="29">
        <f>+VLOOKUP($A1115,MAGAZZINO!$B$2:$M$100000,3,FALSE)</f>
        <v/>
      </c>
      <c r="D1115" s="3">
        <f>+VLOOKUP($A1115,MAGAZZINO!$B$2:$M$100000,4,FALSE)</f>
        <v/>
      </c>
      <c r="E1115" s="3">
        <f>+VLOOKUP($A1115,MAGAZZINO!$B$2:$M$100000,5,FALSE)</f>
        <v/>
      </c>
      <c r="F1115" s="3">
        <f>+VLOOKUP($A1115,MAGAZZINO!$B$2:$M$100000,6,FALSE)</f>
        <v/>
      </c>
      <c r="G1115" s="3">
        <f>+VLOOKUP($A1115,MAGAZZINO!$B$2:$M$100000,7,FALSE)</f>
        <v/>
      </c>
      <c r="H1115" s="3">
        <f>+VLOOKUP($A1115,MAGAZZINO!$B$2:$M$100000,8,FALSE)</f>
        <v/>
      </c>
      <c r="I1115" s="3">
        <f>+VLOOKUP($A1115,MAGAZZINO!$B$2:$M$100000,9,FALSE)</f>
        <v/>
      </c>
      <c r="J1115" s="3">
        <f>+VLOOKUP($A1115,MAGAZZINO!$B$2:$M$100000,10,FALSE)</f>
        <v/>
      </c>
      <c r="K1115" s="3">
        <f>+VLOOKUP($A1115,MAGAZZINO!$B$2:$M$100000,11,FALSE)</f>
        <v/>
      </c>
      <c r="L1115" s="5">
        <f>+VLOOKUP($A1115,MAGAZZINO!$B$2:$M$100000,12,FALSE)</f>
        <v/>
      </c>
      <c r="M1115" s="47" t="n"/>
      <c r="N1115" s="54" t="n"/>
      <c r="O1115" s="3" t="n"/>
      <c r="P1115" s="149" t="n"/>
      <c r="Q1115" s="150" t="n"/>
      <c r="R1115" s="150" t="n"/>
      <c r="S1115" s="151" t="n"/>
    </row>
    <row r="1116" ht="36" customHeight="1">
      <c r="A1116" s="46" t="n">
        <v>3446</v>
      </c>
      <c r="B1116" s="4">
        <f>+VLOOKUP($A1116,MAGAZZINO!$B$2:$M$100000,2,FALSE)</f>
        <v/>
      </c>
      <c r="C1116" s="29">
        <f>+VLOOKUP($A1116,MAGAZZINO!$B$2:$M$100000,3,FALSE)</f>
        <v/>
      </c>
      <c r="D1116" s="3">
        <f>+VLOOKUP($A1116,MAGAZZINO!$B$2:$M$100000,4,FALSE)</f>
        <v/>
      </c>
      <c r="E1116" s="3">
        <f>+VLOOKUP($A1116,MAGAZZINO!$B$2:$M$100000,5,FALSE)</f>
        <v/>
      </c>
      <c r="F1116" s="3">
        <f>+VLOOKUP($A1116,MAGAZZINO!$B$2:$M$100000,6,FALSE)</f>
        <v/>
      </c>
      <c r="G1116" s="3">
        <f>+VLOOKUP($A1116,MAGAZZINO!$B$2:$M$100000,7,FALSE)</f>
        <v/>
      </c>
      <c r="H1116" s="3">
        <f>+VLOOKUP($A1116,MAGAZZINO!$B$2:$M$100000,8,FALSE)</f>
        <v/>
      </c>
      <c r="I1116" s="3">
        <f>+VLOOKUP($A1116,MAGAZZINO!$B$2:$M$100000,9,FALSE)</f>
        <v/>
      </c>
      <c r="J1116" s="3">
        <f>+VLOOKUP($A1116,MAGAZZINO!$B$2:$M$100000,10,FALSE)</f>
        <v/>
      </c>
      <c r="K1116" s="3">
        <f>+VLOOKUP($A1116,MAGAZZINO!$B$2:$M$100000,11,FALSE)</f>
        <v/>
      </c>
      <c r="L1116" s="5">
        <f>+VLOOKUP($A1116,MAGAZZINO!$B$2:$M$100000,12,FALSE)</f>
        <v/>
      </c>
      <c r="M1116" s="47" t="n"/>
      <c r="N1116" s="54" t="n"/>
      <c r="O1116" s="3" t="n"/>
      <c r="P1116" s="149" t="n"/>
      <c r="Q1116" s="150" t="n"/>
      <c r="R1116" s="150" t="n"/>
      <c r="S1116" s="151" t="n"/>
    </row>
    <row r="1117" ht="36" customHeight="1">
      <c r="A1117" s="46" t="n">
        <v>3447</v>
      </c>
      <c r="B1117" s="4">
        <f>+VLOOKUP($A1117,MAGAZZINO!$B$2:$M$100000,2,FALSE)</f>
        <v/>
      </c>
      <c r="C1117" s="29">
        <f>+VLOOKUP($A1117,MAGAZZINO!$B$2:$M$100000,3,FALSE)</f>
        <v/>
      </c>
      <c r="D1117" s="3">
        <f>+VLOOKUP($A1117,MAGAZZINO!$B$2:$M$100000,4,FALSE)</f>
        <v/>
      </c>
      <c r="E1117" s="3">
        <f>+VLOOKUP($A1117,MAGAZZINO!$B$2:$M$100000,5,FALSE)</f>
        <v/>
      </c>
      <c r="F1117" s="3">
        <f>+VLOOKUP($A1117,MAGAZZINO!$B$2:$M$100000,6,FALSE)</f>
        <v/>
      </c>
      <c r="G1117" s="3">
        <f>+VLOOKUP($A1117,MAGAZZINO!$B$2:$M$100000,7,FALSE)</f>
        <v/>
      </c>
      <c r="H1117" s="3">
        <f>+VLOOKUP($A1117,MAGAZZINO!$B$2:$M$100000,8,FALSE)</f>
        <v/>
      </c>
      <c r="I1117" s="3">
        <f>+VLOOKUP($A1117,MAGAZZINO!$B$2:$M$100000,9,FALSE)</f>
        <v/>
      </c>
      <c r="J1117" s="3">
        <f>+VLOOKUP($A1117,MAGAZZINO!$B$2:$M$100000,10,FALSE)</f>
        <v/>
      </c>
      <c r="K1117" s="3">
        <f>+VLOOKUP($A1117,MAGAZZINO!$B$2:$M$100000,11,FALSE)</f>
        <v/>
      </c>
      <c r="L1117" s="5">
        <f>+VLOOKUP($A1117,MAGAZZINO!$B$2:$M$100000,12,FALSE)</f>
        <v/>
      </c>
      <c r="M1117" s="47" t="n"/>
      <c r="N1117" s="54" t="n"/>
      <c r="O1117" s="3" t="n"/>
      <c r="P1117" s="149" t="n"/>
      <c r="Q1117" s="150" t="n"/>
      <c r="R1117" s="150" t="n"/>
      <c r="S1117" s="151" t="n"/>
    </row>
    <row r="1118" ht="36" customHeight="1">
      <c r="A1118" s="46" t="n">
        <v>3448</v>
      </c>
      <c r="B1118" s="4">
        <f>+VLOOKUP($A1118,MAGAZZINO!$B$2:$M$100000,2,FALSE)</f>
        <v/>
      </c>
      <c r="C1118" s="29">
        <f>+VLOOKUP($A1118,MAGAZZINO!$B$2:$M$100000,3,FALSE)</f>
        <v/>
      </c>
      <c r="D1118" s="3">
        <f>+VLOOKUP($A1118,MAGAZZINO!$B$2:$M$100000,4,FALSE)</f>
        <v/>
      </c>
      <c r="E1118" s="3">
        <f>+VLOOKUP($A1118,MAGAZZINO!$B$2:$M$100000,5,FALSE)</f>
        <v/>
      </c>
      <c r="F1118" s="3">
        <f>+VLOOKUP($A1118,MAGAZZINO!$B$2:$M$100000,6,FALSE)</f>
        <v/>
      </c>
      <c r="G1118" s="3">
        <f>+VLOOKUP($A1118,MAGAZZINO!$B$2:$M$100000,7,FALSE)</f>
        <v/>
      </c>
      <c r="H1118" s="3">
        <f>+VLOOKUP($A1118,MAGAZZINO!$B$2:$M$100000,8,FALSE)</f>
        <v/>
      </c>
      <c r="I1118" s="3">
        <f>+VLOOKUP($A1118,MAGAZZINO!$B$2:$M$100000,9,FALSE)</f>
        <v/>
      </c>
      <c r="J1118" s="3">
        <f>+VLOOKUP($A1118,MAGAZZINO!$B$2:$M$100000,10,FALSE)</f>
        <v/>
      </c>
      <c r="K1118" s="3">
        <f>+VLOOKUP($A1118,MAGAZZINO!$B$2:$M$100000,11,FALSE)</f>
        <v/>
      </c>
      <c r="L1118" s="5">
        <f>+VLOOKUP($A1118,MAGAZZINO!$B$2:$M$100000,12,FALSE)</f>
        <v/>
      </c>
      <c r="M1118" s="47" t="n"/>
      <c r="N1118" s="54" t="n"/>
      <c r="O1118" s="3" t="n"/>
      <c r="P1118" s="149" t="n"/>
      <c r="Q1118" s="150" t="n"/>
      <c r="R1118" s="150" t="n"/>
      <c r="S1118" s="151" t="n"/>
    </row>
    <row r="1119" ht="36" customHeight="1">
      <c r="A1119" s="46" t="n">
        <v>3449</v>
      </c>
      <c r="B1119" s="4">
        <f>+VLOOKUP($A1119,MAGAZZINO!$B$2:$M$100000,2,FALSE)</f>
        <v/>
      </c>
      <c r="C1119" s="29">
        <f>+VLOOKUP($A1119,MAGAZZINO!$B$2:$M$100000,3,FALSE)</f>
        <v/>
      </c>
      <c r="D1119" s="3">
        <f>+VLOOKUP($A1119,MAGAZZINO!$B$2:$M$100000,4,FALSE)</f>
        <v/>
      </c>
      <c r="E1119" s="3">
        <f>+VLOOKUP($A1119,MAGAZZINO!$B$2:$M$100000,5,FALSE)</f>
        <v/>
      </c>
      <c r="F1119" s="3">
        <f>+VLOOKUP($A1119,MAGAZZINO!$B$2:$M$100000,6,FALSE)</f>
        <v/>
      </c>
      <c r="G1119" s="3">
        <f>+VLOOKUP($A1119,MAGAZZINO!$B$2:$M$100000,7,FALSE)</f>
        <v/>
      </c>
      <c r="H1119" s="3">
        <f>+VLOOKUP($A1119,MAGAZZINO!$B$2:$M$100000,8,FALSE)</f>
        <v/>
      </c>
      <c r="I1119" s="3">
        <f>+VLOOKUP($A1119,MAGAZZINO!$B$2:$M$100000,9,FALSE)</f>
        <v/>
      </c>
      <c r="J1119" s="3">
        <f>+VLOOKUP($A1119,MAGAZZINO!$B$2:$M$100000,10,FALSE)</f>
        <v/>
      </c>
      <c r="K1119" s="3">
        <f>+VLOOKUP($A1119,MAGAZZINO!$B$2:$M$100000,11,FALSE)</f>
        <v/>
      </c>
      <c r="L1119" s="5">
        <f>+VLOOKUP($A1119,MAGAZZINO!$B$2:$M$100000,12,FALSE)</f>
        <v/>
      </c>
      <c r="M1119" s="47" t="n"/>
      <c r="N1119" s="54" t="n"/>
      <c r="O1119" s="3" t="n"/>
      <c r="P1119" s="149" t="n"/>
      <c r="Q1119" s="150" t="n"/>
      <c r="R1119" s="150" t="n"/>
      <c r="S1119" s="151" t="n"/>
    </row>
    <row r="1120" ht="36" customHeight="1">
      <c r="A1120" s="46" t="n">
        <v>3450</v>
      </c>
      <c r="B1120" s="4">
        <f>+VLOOKUP($A1120,MAGAZZINO!$B$2:$M$100000,2,FALSE)</f>
        <v/>
      </c>
      <c r="C1120" s="29">
        <f>+VLOOKUP($A1120,MAGAZZINO!$B$2:$M$100000,3,FALSE)</f>
        <v/>
      </c>
      <c r="D1120" s="3">
        <f>+VLOOKUP($A1120,MAGAZZINO!$B$2:$M$100000,4,FALSE)</f>
        <v/>
      </c>
      <c r="E1120" s="3">
        <f>+VLOOKUP($A1120,MAGAZZINO!$B$2:$M$100000,5,FALSE)</f>
        <v/>
      </c>
      <c r="F1120" s="3">
        <f>+VLOOKUP($A1120,MAGAZZINO!$B$2:$M$100000,6,FALSE)</f>
        <v/>
      </c>
      <c r="G1120" s="3">
        <f>+VLOOKUP($A1120,MAGAZZINO!$B$2:$M$100000,7,FALSE)</f>
        <v/>
      </c>
      <c r="H1120" s="3">
        <f>+VLOOKUP($A1120,MAGAZZINO!$B$2:$M$100000,8,FALSE)</f>
        <v/>
      </c>
      <c r="I1120" s="3">
        <f>+VLOOKUP($A1120,MAGAZZINO!$B$2:$M$100000,9,FALSE)</f>
        <v/>
      </c>
      <c r="J1120" s="3">
        <f>+VLOOKUP($A1120,MAGAZZINO!$B$2:$M$100000,10,FALSE)</f>
        <v/>
      </c>
      <c r="K1120" s="3">
        <f>+VLOOKUP($A1120,MAGAZZINO!$B$2:$M$100000,11,FALSE)</f>
        <v/>
      </c>
      <c r="L1120" s="5">
        <f>+VLOOKUP($A1120,MAGAZZINO!$B$2:$M$100000,12,FALSE)</f>
        <v/>
      </c>
      <c r="M1120" s="47" t="n"/>
      <c r="N1120" s="54" t="n"/>
      <c r="O1120" s="3" t="n"/>
      <c r="P1120" s="149" t="n"/>
      <c r="Q1120" s="150" t="n"/>
      <c r="R1120" s="150" t="n"/>
      <c r="S1120" s="151" t="n"/>
    </row>
    <row r="1121" ht="36" customHeight="1">
      <c r="A1121" s="46" t="n">
        <v>3451</v>
      </c>
      <c r="B1121" s="4">
        <f>+VLOOKUP($A1121,MAGAZZINO!$B$2:$M$100000,2,FALSE)</f>
        <v/>
      </c>
      <c r="C1121" s="29">
        <f>+VLOOKUP($A1121,MAGAZZINO!$B$2:$M$100000,3,FALSE)</f>
        <v/>
      </c>
      <c r="D1121" s="3">
        <f>+VLOOKUP($A1121,MAGAZZINO!$B$2:$M$100000,4,FALSE)</f>
        <v/>
      </c>
      <c r="E1121" s="3">
        <f>+VLOOKUP($A1121,MAGAZZINO!$B$2:$M$100000,5,FALSE)</f>
        <v/>
      </c>
      <c r="F1121" s="3">
        <f>+VLOOKUP($A1121,MAGAZZINO!$B$2:$M$100000,6,FALSE)</f>
        <v/>
      </c>
      <c r="G1121" s="3">
        <f>+VLOOKUP($A1121,MAGAZZINO!$B$2:$M$100000,7,FALSE)</f>
        <v/>
      </c>
      <c r="H1121" s="3">
        <f>+VLOOKUP($A1121,MAGAZZINO!$B$2:$M$100000,8,FALSE)</f>
        <v/>
      </c>
      <c r="I1121" s="3">
        <f>+VLOOKUP($A1121,MAGAZZINO!$B$2:$M$100000,9,FALSE)</f>
        <v/>
      </c>
      <c r="J1121" s="3">
        <f>+VLOOKUP($A1121,MAGAZZINO!$B$2:$M$100000,10,FALSE)</f>
        <v/>
      </c>
      <c r="K1121" s="3">
        <f>+VLOOKUP($A1121,MAGAZZINO!$B$2:$M$100000,11,FALSE)</f>
        <v/>
      </c>
      <c r="L1121" s="5">
        <f>+VLOOKUP($A1121,MAGAZZINO!$B$2:$M$100000,12,FALSE)</f>
        <v/>
      </c>
      <c r="M1121" s="47" t="n"/>
      <c r="N1121" s="54" t="n"/>
      <c r="O1121" s="3" t="n"/>
      <c r="P1121" s="149" t="n"/>
      <c r="Q1121" s="150" t="n"/>
      <c r="R1121" s="150" t="n"/>
      <c r="S1121" s="151" t="n"/>
    </row>
    <row r="1122" ht="36" customHeight="1">
      <c r="A1122" s="46" t="n">
        <v>3452</v>
      </c>
      <c r="B1122" s="4">
        <f>+VLOOKUP($A1122,MAGAZZINO!$B$2:$M$100000,2,FALSE)</f>
        <v/>
      </c>
      <c r="C1122" s="29">
        <f>+VLOOKUP($A1122,MAGAZZINO!$B$2:$M$100000,3,FALSE)</f>
        <v/>
      </c>
      <c r="D1122" s="3">
        <f>+VLOOKUP($A1122,MAGAZZINO!$B$2:$M$100000,4,FALSE)</f>
        <v/>
      </c>
      <c r="E1122" s="3">
        <f>+VLOOKUP($A1122,MAGAZZINO!$B$2:$M$100000,5,FALSE)</f>
        <v/>
      </c>
      <c r="F1122" s="3">
        <f>+VLOOKUP($A1122,MAGAZZINO!$B$2:$M$100000,6,FALSE)</f>
        <v/>
      </c>
      <c r="G1122" s="3">
        <f>+VLOOKUP($A1122,MAGAZZINO!$B$2:$M$100000,7,FALSE)</f>
        <v/>
      </c>
      <c r="H1122" s="3">
        <f>+VLOOKUP($A1122,MAGAZZINO!$B$2:$M$100000,8,FALSE)</f>
        <v/>
      </c>
      <c r="I1122" s="3">
        <f>+VLOOKUP($A1122,MAGAZZINO!$B$2:$M$100000,9,FALSE)</f>
        <v/>
      </c>
      <c r="J1122" s="3">
        <f>+VLOOKUP($A1122,MAGAZZINO!$B$2:$M$100000,10,FALSE)</f>
        <v/>
      </c>
      <c r="K1122" s="3">
        <f>+VLOOKUP($A1122,MAGAZZINO!$B$2:$M$100000,11,FALSE)</f>
        <v/>
      </c>
      <c r="L1122" s="5">
        <f>+VLOOKUP($A1122,MAGAZZINO!$B$2:$M$100000,12,FALSE)</f>
        <v/>
      </c>
      <c r="M1122" s="47" t="n"/>
      <c r="N1122" s="88" t="n">
        <v>45873</v>
      </c>
      <c r="O1122" s="156" t="inlineStr">
        <is>
          <t>BIN HUMAID NATIONAL TRADING CO. (ARABIA SAUDITA)</t>
        </is>
      </c>
      <c r="P1122" s="154" t="inlineStr">
        <is>
          <t>IMPORT LICENSE N. 319167  (END USER CERTIFICATE)                                                                                                                                  AUT. ESPORTAZIONE SINGOLA N. 6B/2025/2D RILASCIATA IL 29/07/2025</t>
        </is>
      </c>
      <c r="Q1122" s="150" t="n"/>
      <c r="R1122" s="150" t="n"/>
      <c r="S1122" s="153" t="n"/>
    </row>
    <row r="1123" ht="36" customHeight="1">
      <c r="A1123" s="46" t="n">
        <v>3453</v>
      </c>
      <c r="B1123" s="4">
        <f>+VLOOKUP($A1123,MAGAZZINO!$B$2:$M$100000,2,FALSE)</f>
        <v/>
      </c>
      <c r="C1123" s="29">
        <f>+VLOOKUP($A1123,MAGAZZINO!$B$2:$M$100000,3,FALSE)</f>
        <v/>
      </c>
      <c r="D1123" s="3">
        <f>+VLOOKUP($A1123,MAGAZZINO!$B$2:$M$100000,4,FALSE)</f>
        <v/>
      </c>
      <c r="E1123" s="3">
        <f>+VLOOKUP($A1123,MAGAZZINO!$B$2:$M$100000,5,FALSE)</f>
        <v/>
      </c>
      <c r="F1123" s="3">
        <f>+VLOOKUP($A1123,MAGAZZINO!$B$2:$M$100000,6,FALSE)</f>
        <v/>
      </c>
      <c r="G1123" s="3">
        <f>+VLOOKUP($A1123,MAGAZZINO!$B$2:$M$100000,7,FALSE)</f>
        <v/>
      </c>
      <c r="H1123" s="3">
        <f>+VLOOKUP($A1123,MAGAZZINO!$B$2:$M$100000,8,FALSE)</f>
        <v/>
      </c>
      <c r="I1123" s="3">
        <f>+VLOOKUP($A1123,MAGAZZINO!$B$2:$M$100000,9,FALSE)</f>
        <v/>
      </c>
      <c r="J1123" s="3">
        <f>+VLOOKUP($A1123,MAGAZZINO!$B$2:$M$100000,10,FALSE)</f>
        <v/>
      </c>
      <c r="K1123" s="3">
        <f>+VLOOKUP($A1123,MAGAZZINO!$B$2:$M$100000,11,FALSE)</f>
        <v/>
      </c>
      <c r="L1123" s="5">
        <f>+VLOOKUP($A1123,MAGAZZINO!$B$2:$M$100000,12,FALSE)</f>
        <v/>
      </c>
      <c r="M1123" s="47" t="n"/>
      <c r="N1123" s="88" t="n">
        <v>45874</v>
      </c>
      <c r="O1123" s="91" t="inlineStr">
        <is>
          <t>PHILIPPOS CONSTANTINIDES TRADING CO. LTD (CIPRO)</t>
        </is>
      </c>
      <c r="P1123" s="154" t="inlineStr">
        <is>
          <t xml:space="preserve">IMPORT LICENSE N. 218 DEL 12/08/2020                                                                                         AUT. TRASFERIMENTO N. 6B/2025/3D RILASCIATA IL 28/07/2025   </t>
        </is>
      </c>
      <c r="Q1123" s="150" t="n"/>
      <c r="R1123" s="150" t="n"/>
      <c r="S1123" s="153" t="n"/>
    </row>
    <row r="1124" ht="36" customHeight="1">
      <c r="A1124" s="46" t="n">
        <v>3454</v>
      </c>
      <c r="B1124" s="4">
        <f>+VLOOKUP($A1124,MAGAZZINO!$B$2:$M$100000,2,FALSE)</f>
        <v/>
      </c>
      <c r="C1124" s="29">
        <f>+VLOOKUP($A1124,MAGAZZINO!$B$2:$M$100000,3,FALSE)</f>
        <v/>
      </c>
      <c r="D1124" s="3">
        <f>+VLOOKUP($A1124,MAGAZZINO!$B$2:$M$100000,4,FALSE)</f>
        <v/>
      </c>
      <c r="E1124" s="3">
        <f>+VLOOKUP($A1124,MAGAZZINO!$B$2:$M$100000,5,FALSE)</f>
        <v/>
      </c>
      <c r="F1124" s="3">
        <f>+VLOOKUP($A1124,MAGAZZINO!$B$2:$M$100000,6,FALSE)</f>
        <v/>
      </c>
      <c r="G1124" s="3">
        <f>+VLOOKUP($A1124,MAGAZZINO!$B$2:$M$100000,7,FALSE)</f>
        <v/>
      </c>
      <c r="H1124" s="3">
        <f>+VLOOKUP($A1124,MAGAZZINO!$B$2:$M$100000,8,FALSE)</f>
        <v/>
      </c>
      <c r="I1124" s="3">
        <f>+VLOOKUP($A1124,MAGAZZINO!$B$2:$M$100000,9,FALSE)</f>
        <v/>
      </c>
      <c r="J1124" s="3">
        <f>+VLOOKUP($A1124,MAGAZZINO!$B$2:$M$100000,10,FALSE)</f>
        <v/>
      </c>
      <c r="K1124" s="3">
        <f>+VLOOKUP($A1124,MAGAZZINO!$B$2:$M$100000,11,FALSE)</f>
        <v/>
      </c>
      <c r="L1124" s="5">
        <f>+VLOOKUP($A1124,MAGAZZINO!$B$2:$M$100000,12,FALSE)</f>
        <v/>
      </c>
      <c r="M1124" s="47" t="n"/>
      <c r="N1124" s="88" t="n">
        <v>45874</v>
      </c>
      <c r="O1124" s="91" t="inlineStr">
        <is>
          <t>PHILIPPOS CONSTANTINIDES TRADING CO. LTD (CIPRO)</t>
        </is>
      </c>
      <c r="P1124" s="154" t="inlineStr">
        <is>
          <t xml:space="preserve">IMPORT LICENSE N. 218 DEL 12/08/2020                                                                                         AUT. TRASFERIMENTO N. 6B/2025/3D RILASCIATA IL 28/07/2025   </t>
        </is>
      </c>
      <c r="Q1124" s="150" t="n"/>
      <c r="R1124" s="150" t="n"/>
      <c r="S1124" s="153" t="n"/>
    </row>
    <row r="1125" ht="36" customHeight="1">
      <c r="A1125" s="46" t="n">
        <v>3455</v>
      </c>
      <c r="B1125" s="4">
        <f>+VLOOKUP($A1125,MAGAZZINO!$B$2:$M$100000,2,FALSE)</f>
        <v/>
      </c>
      <c r="C1125" s="29">
        <f>+VLOOKUP($A1125,MAGAZZINO!$B$2:$M$100000,3,FALSE)</f>
        <v/>
      </c>
      <c r="D1125" s="3">
        <f>+VLOOKUP($A1125,MAGAZZINO!$B$2:$M$100000,4,FALSE)</f>
        <v/>
      </c>
      <c r="E1125" s="3">
        <f>+VLOOKUP($A1125,MAGAZZINO!$B$2:$M$100000,5,FALSE)</f>
        <v/>
      </c>
      <c r="F1125" s="3">
        <f>+VLOOKUP($A1125,MAGAZZINO!$B$2:$M$100000,6,FALSE)</f>
        <v/>
      </c>
      <c r="G1125" s="3">
        <f>+VLOOKUP($A1125,MAGAZZINO!$B$2:$M$100000,7,FALSE)</f>
        <v/>
      </c>
      <c r="H1125" s="3">
        <f>+VLOOKUP($A1125,MAGAZZINO!$B$2:$M$100000,8,FALSE)</f>
        <v/>
      </c>
      <c r="I1125" s="3">
        <f>+VLOOKUP($A1125,MAGAZZINO!$B$2:$M$100000,9,FALSE)</f>
        <v/>
      </c>
      <c r="J1125" s="3">
        <f>+VLOOKUP($A1125,MAGAZZINO!$B$2:$M$100000,10,FALSE)</f>
        <v/>
      </c>
      <c r="K1125" s="3">
        <f>+VLOOKUP($A1125,MAGAZZINO!$B$2:$M$100000,11,FALSE)</f>
        <v/>
      </c>
      <c r="L1125" s="5">
        <f>+VLOOKUP($A1125,MAGAZZINO!$B$2:$M$100000,12,FALSE)</f>
        <v/>
      </c>
      <c r="M1125" s="47" t="n"/>
      <c r="N1125" s="88" t="n">
        <v>45965</v>
      </c>
      <c r="O1125" s="156" t="inlineStr">
        <is>
          <t>BIN HUMAID NATIONAL TRADING CO. (ARABIA SAUDITA)</t>
        </is>
      </c>
      <c r="P1125" s="154" t="inlineStr">
        <is>
          <t>IMPORT LICENSE N. 248813 DEL 16/03/2025                                                                                  AUT. ESPORTAZIONE MULTIPLA N. 6B/2025/3M RILASCIATA IL 26/05/2025                   (LICENZA DI SCARICO N. 6B/2025/3S RILASCIATA IL 03/11/2025)</t>
        </is>
      </c>
      <c r="Q1125" s="150" t="n"/>
      <c r="R1125" s="150" t="n"/>
      <c r="S1125" s="153" t="n"/>
    </row>
    <row r="1126" ht="36" customHeight="1">
      <c r="A1126" s="46" t="n">
        <v>3456</v>
      </c>
      <c r="B1126" s="4">
        <f>+VLOOKUP($A1126,MAGAZZINO!$B$2:$M$100000,2,FALSE)</f>
        <v/>
      </c>
      <c r="C1126" s="29">
        <f>+VLOOKUP($A1126,MAGAZZINO!$B$2:$M$100000,3,FALSE)</f>
        <v/>
      </c>
      <c r="D1126" s="3">
        <f>+VLOOKUP($A1126,MAGAZZINO!$B$2:$M$100000,4,FALSE)</f>
        <v/>
      </c>
      <c r="E1126" s="3">
        <f>+VLOOKUP($A1126,MAGAZZINO!$B$2:$M$100000,5,FALSE)</f>
        <v/>
      </c>
      <c r="F1126" s="3">
        <f>+VLOOKUP($A1126,MAGAZZINO!$B$2:$M$100000,6,FALSE)</f>
        <v/>
      </c>
      <c r="G1126" s="3">
        <f>+VLOOKUP($A1126,MAGAZZINO!$B$2:$M$100000,7,FALSE)</f>
        <v/>
      </c>
      <c r="H1126" s="3">
        <f>+VLOOKUP($A1126,MAGAZZINO!$B$2:$M$100000,8,FALSE)</f>
        <v/>
      </c>
      <c r="I1126" s="3">
        <f>+VLOOKUP($A1126,MAGAZZINO!$B$2:$M$100000,9,FALSE)</f>
        <v/>
      </c>
      <c r="J1126" s="3">
        <f>+VLOOKUP($A1126,MAGAZZINO!$B$2:$M$100000,10,FALSE)</f>
        <v/>
      </c>
      <c r="K1126" s="3">
        <f>+VLOOKUP($A1126,MAGAZZINO!$B$2:$M$100000,11,FALSE)</f>
        <v/>
      </c>
      <c r="L1126" s="5">
        <f>+VLOOKUP($A1126,MAGAZZINO!$B$2:$M$100000,12,FALSE)</f>
        <v/>
      </c>
      <c r="M1126" s="47" t="n"/>
      <c r="N1126" s="88" t="n">
        <v>45965</v>
      </c>
      <c r="O1126" s="156" t="inlineStr">
        <is>
          <t>BIN HUMAID NATIONAL TRADING CO. (ARABIA SAUDITA)</t>
        </is>
      </c>
      <c r="P1126" s="154" t="inlineStr">
        <is>
          <t>IMPORT LICENSE N. 248813 DEL 16/03/2025                                                                                  AUT. ESPORTAZIONE MULTIPLA N. 6B/2025/3M RILASCIATA IL 26/05/2025                   (LICENZA DI SCARICO N. 6B/2025/3S RILASCIATA IL 03/11/2025)</t>
        </is>
      </c>
      <c r="Q1126" s="150" t="n"/>
      <c r="R1126" s="150" t="n"/>
      <c r="S1126" s="153" t="n"/>
    </row>
    <row r="1127" ht="36" customHeight="1">
      <c r="A1127" s="46" t="n">
        <v>3457</v>
      </c>
      <c r="B1127" s="4">
        <f>+VLOOKUP($A1127,MAGAZZINO!$B$2:$M$100000,2,FALSE)</f>
        <v/>
      </c>
      <c r="C1127" s="29">
        <f>+VLOOKUP($A1127,MAGAZZINO!$B$2:$M$100000,3,FALSE)</f>
        <v/>
      </c>
      <c r="D1127" s="3">
        <f>+VLOOKUP($A1127,MAGAZZINO!$B$2:$M$100000,4,FALSE)</f>
        <v/>
      </c>
      <c r="E1127" s="3">
        <f>+VLOOKUP($A1127,MAGAZZINO!$B$2:$M$100000,5,FALSE)</f>
        <v/>
      </c>
      <c r="F1127" s="3">
        <f>+VLOOKUP($A1127,MAGAZZINO!$B$2:$M$100000,6,FALSE)</f>
        <v/>
      </c>
      <c r="G1127" s="3">
        <f>+VLOOKUP($A1127,MAGAZZINO!$B$2:$M$100000,7,FALSE)</f>
        <v/>
      </c>
      <c r="H1127" s="3">
        <f>+VLOOKUP($A1127,MAGAZZINO!$B$2:$M$100000,8,FALSE)</f>
        <v/>
      </c>
      <c r="I1127" s="3">
        <f>+VLOOKUP($A1127,MAGAZZINO!$B$2:$M$100000,9,FALSE)</f>
        <v/>
      </c>
      <c r="J1127" s="3">
        <f>+VLOOKUP($A1127,MAGAZZINO!$B$2:$M$100000,10,FALSE)</f>
        <v/>
      </c>
      <c r="K1127" s="3">
        <f>+VLOOKUP($A1127,MAGAZZINO!$B$2:$M$100000,11,FALSE)</f>
        <v/>
      </c>
      <c r="L1127" s="5">
        <f>+VLOOKUP($A1127,MAGAZZINO!$B$2:$M$100000,12,FALSE)</f>
        <v/>
      </c>
      <c r="M1127" s="47" t="n"/>
      <c r="N1127" s="88" t="n">
        <v>45965</v>
      </c>
      <c r="O1127" s="156" t="inlineStr">
        <is>
          <t>BIN HUMAID NATIONAL TRADING CO. (ARABIA SAUDITA)</t>
        </is>
      </c>
      <c r="P1127" s="154" t="inlineStr">
        <is>
          <t>IMPORT LICENSE N. 248813 DEL 16/03/2025                                                                                  AUT. ESPORTAZIONE MULTIPLA N. 6B/2025/3M RILASCIATA IL 26/05/2025                   (LICENZA DI SCARICO N. 6B/2025/3S RILASCIATA IL 03/11/2025)</t>
        </is>
      </c>
      <c r="Q1127" s="150" t="n"/>
      <c r="R1127" s="150" t="n"/>
      <c r="S1127" s="153" t="n"/>
    </row>
    <row r="1128" ht="36" customHeight="1">
      <c r="A1128" s="46" t="n">
        <v>3458</v>
      </c>
      <c r="B1128" s="4">
        <f>+VLOOKUP($A1128,MAGAZZINO!$B$2:$M$100000,2,FALSE)</f>
        <v/>
      </c>
      <c r="C1128" s="29">
        <f>+VLOOKUP($A1128,MAGAZZINO!$B$2:$M$100000,3,FALSE)</f>
        <v/>
      </c>
      <c r="D1128" s="3">
        <f>+VLOOKUP($A1128,MAGAZZINO!$B$2:$M$100000,4,FALSE)</f>
        <v/>
      </c>
      <c r="E1128" s="3">
        <f>+VLOOKUP($A1128,MAGAZZINO!$B$2:$M$100000,5,FALSE)</f>
        <v/>
      </c>
      <c r="F1128" s="3">
        <f>+VLOOKUP($A1128,MAGAZZINO!$B$2:$M$100000,6,FALSE)</f>
        <v/>
      </c>
      <c r="G1128" s="3">
        <f>+VLOOKUP($A1128,MAGAZZINO!$B$2:$M$100000,7,FALSE)</f>
        <v/>
      </c>
      <c r="H1128" s="3">
        <f>+VLOOKUP($A1128,MAGAZZINO!$B$2:$M$100000,8,FALSE)</f>
        <v/>
      </c>
      <c r="I1128" s="3">
        <f>+VLOOKUP($A1128,MAGAZZINO!$B$2:$M$100000,9,FALSE)</f>
        <v/>
      </c>
      <c r="J1128" s="3">
        <f>+VLOOKUP($A1128,MAGAZZINO!$B$2:$M$100000,10,FALSE)</f>
        <v/>
      </c>
      <c r="K1128" s="3">
        <f>+VLOOKUP($A1128,MAGAZZINO!$B$2:$M$100000,11,FALSE)</f>
        <v/>
      </c>
      <c r="L1128" s="5">
        <f>+VLOOKUP($A1128,MAGAZZINO!$B$2:$M$100000,12,FALSE)</f>
        <v/>
      </c>
      <c r="M1128" s="47" t="n"/>
      <c r="N1128" s="88" t="n">
        <v>45965</v>
      </c>
      <c r="O1128" s="156" t="inlineStr">
        <is>
          <t>BIN HUMAID NATIONAL TRADING CO. (ARABIA SAUDITA)</t>
        </is>
      </c>
      <c r="P1128" s="154" t="inlineStr">
        <is>
          <t>IMPORT LICENSE N. 248813 DEL 16/03/2025                                                                                  AUT. ESPORTAZIONE MULTIPLA N. 6B/2025/3M RILASCIATA IL 26/05/2025                   (LICENZA DI SCARICO N. 6B/2025/3S RILASCIATA IL 03/11/2025)</t>
        </is>
      </c>
      <c r="Q1128" s="150" t="n"/>
      <c r="R1128" s="150" t="n"/>
      <c r="S1128" s="153" t="n"/>
    </row>
    <row r="1129" ht="36" customHeight="1">
      <c r="A1129" s="46" t="n">
        <v>3459</v>
      </c>
      <c r="B1129" s="4">
        <f>+VLOOKUP($A1129,MAGAZZINO!$B$2:$M$100000,2,FALSE)</f>
        <v/>
      </c>
      <c r="C1129" s="29">
        <f>+VLOOKUP($A1129,MAGAZZINO!$B$2:$M$100000,3,FALSE)</f>
        <v/>
      </c>
      <c r="D1129" s="3">
        <f>+VLOOKUP($A1129,MAGAZZINO!$B$2:$M$100000,4,FALSE)</f>
        <v/>
      </c>
      <c r="E1129" s="3">
        <f>+VLOOKUP($A1129,MAGAZZINO!$B$2:$M$100000,5,FALSE)</f>
        <v/>
      </c>
      <c r="F1129" s="3">
        <f>+VLOOKUP($A1129,MAGAZZINO!$B$2:$M$100000,6,FALSE)</f>
        <v/>
      </c>
      <c r="G1129" s="3">
        <f>+VLOOKUP($A1129,MAGAZZINO!$B$2:$M$100000,7,FALSE)</f>
        <v/>
      </c>
      <c r="H1129" s="3">
        <f>+VLOOKUP($A1129,MAGAZZINO!$B$2:$M$100000,8,FALSE)</f>
        <v/>
      </c>
      <c r="I1129" s="3">
        <f>+VLOOKUP($A1129,MAGAZZINO!$B$2:$M$100000,9,FALSE)</f>
        <v/>
      </c>
      <c r="J1129" s="3">
        <f>+VLOOKUP($A1129,MAGAZZINO!$B$2:$M$100000,10,FALSE)</f>
        <v/>
      </c>
      <c r="K1129" s="3">
        <f>+VLOOKUP($A1129,MAGAZZINO!$B$2:$M$100000,11,FALSE)</f>
        <v/>
      </c>
      <c r="L1129" s="5">
        <f>+VLOOKUP($A1129,MAGAZZINO!$B$2:$M$100000,12,FALSE)</f>
        <v/>
      </c>
      <c r="M1129" s="47" t="n"/>
      <c r="N1129" s="88" t="n">
        <v>45965</v>
      </c>
      <c r="O1129" s="156" t="inlineStr">
        <is>
          <t>BIN HUMAID NATIONAL TRADING CO. (ARABIA SAUDITA)</t>
        </is>
      </c>
      <c r="P1129" s="154" t="inlineStr">
        <is>
          <t>IMPORT LICENSE N. 248813 DEL 16/03/2025                                                                                  AUT. ESPORTAZIONE MULTIPLA N. 6B/2025/3M RILASCIATA IL 26/05/2025                   (LICENZA DI SCARICO N. 6B/2025/3S RILASCIATA IL 03/11/2025)</t>
        </is>
      </c>
      <c r="Q1129" s="150" t="n"/>
      <c r="R1129" s="150" t="n"/>
      <c r="S1129" s="153" t="n"/>
    </row>
    <row r="1130" ht="36" customHeight="1">
      <c r="A1130" s="46" t="n">
        <v>3460</v>
      </c>
      <c r="B1130" s="4">
        <f>+VLOOKUP($A1130,MAGAZZINO!$B$2:$M$100000,2,FALSE)</f>
        <v/>
      </c>
      <c r="C1130" s="29">
        <f>+VLOOKUP($A1130,MAGAZZINO!$B$2:$M$100000,3,FALSE)</f>
        <v/>
      </c>
      <c r="D1130" s="3">
        <f>+VLOOKUP($A1130,MAGAZZINO!$B$2:$M$100000,4,FALSE)</f>
        <v/>
      </c>
      <c r="E1130" s="3">
        <f>+VLOOKUP($A1130,MAGAZZINO!$B$2:$M$100000,5,FALSE)</f>
        <v/>
      </c>
      <c r="F1130" s="3">
        <f>+VLOOKUP($A1130,MAGAZZINO!$B$2:$M$100000,6,FALSE)</f>
        <v/>
      </c>
      <c r="G1130" s="3">
        <f>+VLOOKUP($A1130,MAGAZZINO!$B$2:$M$100000,7,FALSE)</f>
        <v/>
      </c>
      <c r="H1130" s="3">
        <f>+VLOOKUP($A1130,MAGAZZINO!$B$2:$M$100000,8,FALSE)</f>
        <v/>
      </c>
      <c r="I1130" s="3">
        <f>+VLOOKUP($A1130,MAGAZZINO!$B$2:$M$100000,9,FALSE)</f>
        <v/>
      </c>
      <c r="J1130" s="3">
        <f>+VLOOKUP($A1130,MAGAZZINO!$B$2:$M$100000,10,FALSE)</f>
        <v/>
      </c>
      <c r="K1130" s="3">
        <f>+VLOOKUP($A1130,MAGAZZINO!$B$2:$M$100000,11,FALSE)</f>
        <v/>
      </c>
      <c r="L1130" s="5">
        <f>+VLOOKUP($A1130,MAGAZZINO!$B$2:$M$100000,12,FALSE)</f>
        <v/>
      </c>
      <c r="M1130" s="47" t="n"/>
      <c r="N1130" s="88" t="n">
        <v>45965</v>
      </c>
      <c r="O1130" s="156" t="inlineStr">
        <is>
          <t>BIN HUMAID NATIONAL TRADING CO. (ARABIA SAUDITA)</t>
        </is>
      </c>
      <c r="P1130" s="154" t="inlineStr">
        <is>
          <t>IMPORT LICENSE N. 248813 DEL 16/03/2025                                                                                  AUT. ESPORTAZIONE MULTIPLA N. 6B/2025/3M RILASCIATA IL 26/05/2025                   (LICENZA DI SCARICO N. 6B/2025/3S RILASCIATA IL 03/11/2025)</t>
        </is>
      </c>
      <c r="Q1130" s="150" t="n"/>
      <c r="R1130" s="150" t="n"/>
      <c r="S1130" s="153" t="n"/>
    </row>
    <row r="1131" ht="36" customHeight="1">
      <c r="A1131" s="46" t="n">
        <v>3461</v>
      </c>
      <c r="B1131" s="4">
        <f>+VLOOKUP($A1131,MAGAZZINO!$B$2:$M$100000,2,FALSE)</f>
        <v/>
      </c>
      <c r="C1131" s="29">
        <f>+VLOOKUP($A1131,MAGAZZINO!$B$2:$M$100000,3,FALSE)</f>
        <v/>
      </c>
      <c r="D1131" s="3">
        <f>+VLOOKUP($A1131,MAGAZZINO!$B$2:$M$100000,4,FALSE)</f>
        <v/>
      </c>
      <c r="E1131" s="3">
        <f>+VLOOKUP($A1131,MAGAZZINO!$B$2:$M$100000,5,FALSE)</f>
        <v/>
      </c>
      <c r="F1131" s="3">
        <f>+VLOOKUP($A1131,MAGAZZINO!$B$2:$M$100000,6,FALSE)</f>
        <v/>
      </c>
      <c r="G1131" s="3">
        <f>+VLOOKUP($A1131,MAGAZZINO!$B$2:$M$100000,7,FALSE)</f>
        <v/>
      </c>
      <c r="H1131" s="3">
        <f>+VLOOKUP($A1131,MAGAZZINO!$B$2:$M$100000,8,FALSE)</f>
        <v/>
      </c>
      <c r="I1131" s="3">
        <f>+VLOOKUP($A1131,MAGAZZINO!$B$2:$M$100000,9,FALSE)</f>
        <v/>
      </c>
      <c r="J1131" s="3">
        <f>+VLOOKUP($A1131,MAGAZZINO!$B$2:$M$100000,10,FALSE)</f>
        <v/>
      </c>
      <c r="K1131" s="3">
        <f>+VLOOKUP($A1131,MAGAZZINO!$B$2:$M$100000,11,FALSE)</f>
        <v/>
      </c>
      <c r="L1131" s="5">
        <f>+VLOOKUP($A1131,MAGAZZINO!$B$2:$M$100000,12,FALSE)</f>
        <v/>
      </c>
      <c r="M1131" s="47" t="n"/>
      <c r="N1131" s="88" t="n">
        <v>45965</v>
      </c>
      <c r="O1131" s="156" t="inlineStr">
        <is>
          <t>BIN HUMAID NATIONAL TRADING CO. (ARABIA SAUDITA)</t>
        </is>
      </c>
      <c r="P1131" s="154" t="inlineStr">
        <is>
          <t>IMPORT LICENSE N. 248813 DEL 16/03/2025                                                                                  AUT. ESPORTAZIONE MULTIPLA N. 6B/2025/3M RILASCIATA IL 26/05/2025                   (LICENZA DI SCARICO N. 6B/2025/3S RILASCIATA IL 03/11/2025)</t>
        </is>
      </c>
      <c r="Q1131" s="150" t="n"/>
      <c r="R1131" s="150" t="n"/>
      <c r="S1131" s="153" t="n"/>
    </row>
    <row r="1132" ht="36" customHeight="1">
      <c r="A1132" s="46" t="n">
        <v>3462</v>
      </c>
      <c r="B1132" s="4">
        <f>+VLOOKUP($A1132,MAGAZZINO!$B$2:$M$100000,2,FALSE)</f>
        <v/>
      </c>
      <c r="C1132" s="29">
        <f>+VLOOKUP($A1132,MAGAZZINO!$B$2:$M$100000,3,FALSE)</f>
        <v/>
      </c>
      <c r="D1132" s="3">
        <f>+VLOOKUP($A1132,MAGAZZINO!$B$2:$M$100000,4,FALSE)</f>
        <v/>
      </c>
      <c r="E1132" s="3">
        <f>+VLOOKUP($A1132,MAGAZZINO!$B$2:$M$100000,5,FALSE)</f>
        <v/>
      </c>
      <c r="F1132" s="3">
        <f>+VLOOKUP($A1132,MAGAZZINO!$B$2:$M$100000,6,FALSE)</f>
        <v/>
      </c>
      <c r="G1132" s="3">
        <f>+VLOOKUP($A1132,MAGAZZINO!$B$2:$M$100000,7,FALSE)</f>
        <v/>
      </c>
      <c r="H1132" s="3">
        <f>+VLOOKUP($A1132,MAGAZZINO!$B$2:$M$100000,8,FALSE)</f>
        <v/>
      </c>
      <c r="I1132" s="3">
        <f>+VLOOKUP($A1132,MAGAZZINO!$B$2:$M$100000,9,FALSE)</f>
        <v/>
      </c>
      <c r="J1132" s="3">
        <f>+VLOOKUP($A1132,MAGAZZINO!$B$2:$M$100000,10,FALSE)</f>
        <v/>
      </c>
      <c r="K1132" s="3">
        <f>+VLOOKUP($A1132,MAGAZZINO!$B$2:$M$100000,11,FALSE)</f>
        <v/>
      </c>
      <c r="L1132" s="5">
        <f>+VLOOKUP($A1132,MAGAZZINO!$B$2:$M$100000,12,FALSE)</f>
        <v/>
      </c>
      <c r="M1132" s="47" t="n"/>
      <c r="N1132" s="88" t="n">
        <v>45965</v>
      </c>
      <c r="O1132" s="156" t="inlineStr">
        <is>
          <t>BIN HUMAID NATIONAL TRADING CO. (ARABIA SAUDITA)</t>
        </is>
      </c>
      <c r="P1132" s="154" t="inlineStr">
        <is>
          <t>IMPORT LICENSE N. 248813 DEL 16/03/2025                                                                                  AUT. ESPORTAZIONE MULTIPLA N. 6B/2025/3M RILASCIATA IL 26/05/2025                   (LICENZA DI SCARICO N. 6B/2025/3S RILASCIATA IL 03/11/2025)</t>
        </is>
      </c>
      <c r="Q1132" s="150" t="n"/>
      <c r="R1132" s="150" t="n"/>
      <c r="S1132" s="153" t="n"/>
    </row>
    <row r="1133" ht="36" customHeight="1">
      <c r="A1133" s="46" t="n">
        <v>3463</v>
      </c>
      <c r="B1133" s="4">
        <f>+VLOOKUP($A1133,MAGAZZINO!$B$2:$M$100000,2,FALSE)</f>
        <v/>
      </c>
      <c r="C1133" s="29">
        <f>+VLOOKUP($A1133,MAGAZZINO!$B$2:$M$100000,3,FALSE)</f>
        <v/>
      </c>
      <c r="D1133" s="3">
        <f>+VLOOKUP($A1133,MAGAZZINO!$B$2:$M$100000,4,FALSE)</f>
        <v/>
      </c>
      <c r="E1133" s="3">
        <f>+VLOOKUP($A1133,MAGAZZINO!$B$2:$M$100000,5,FALSE)</f>
        <v/>
      </c>
      <c r="F1133" s="3">
        <f>+VLOOKUP($A1133,MAGAZZINO!$B$2:$M$100000,6,FALSE)</f>
        <v/>
      </c>
      <c r="G1133" s="3">
        <f>+VLOOKUP($A1133,MAGAZZINO!$B$2:$M$100000,7,FALSE)</f>
        <v/>
      </c>
      <c r="H1133" s="3">
        <f>+VLOOKUP($A1133,MAGAZZINO!$B$2:$M$100000,8,FALSE)</f>
        <v/>
      </c>
      <c r="I1133" s="3">
        <f>+VLOOKUP($A1133,MAGAZZINO!$B$2:$M$100000,9,FALSE)</f>
        <v/>
      </c>
      <c r="J1133" s="3">
        <f>+VLOOKUP($A1133,MAGAZZINO!$B$2:$M$100000,10,FALSE)</f>
        <v/>
      </c>
      <c r="K1133" s="3">
        <f>+VLOOKUP($A1133,MAGAZZINO!$B$2:$M$100000,11,FALSE)</f>
        <v/>
      </c>
      <c r="L1133" s="5">
        <f>+VLOOKUP($A1133,MAGAZZINO!$B$2:$M$100000,12,FALSE)</f>
        <v/>
      </c>
      <c r="M1133" s="47" t="n"/>
      <c r="N1133" s="88" t="n">
        <v>45874</v>
      </c>
      <c r="O1133" s="91" t="inlineStr">
        <is>
          <t>PHILIPPOS CONSTANTINIDES TRADING CO. LTD (CIPRO)</t>
        </is>
      </c>
      <c r="P1133" s="154" t="inlineStr">
        <is>
          <t xml:space="preserve">IMPORT LICENSE N. 218 DEL 12/08/2020                                                                                         AUT. TRASFERIMENTO N. 6B/2025/3D RILASCIATA IL 28/07/2025   </t>
        </is>
      </c>
      <c r="Q1133" s="150" t="n"/>
      <c r="R1133" s="150" t="n"/>
      <c r="S1133" s="153" t="n"/>
    </row>
    <row r="1134" ht="36" customHeight="1">
      <c r="A1134" s="46" t="n">
        <v>3464</v>
      </c>
      <c r="B1134" s="4">
        <f>+VLOOKUP($A1134,MAGAZZINO!$B$2:$M$100000,2,FALSE)</f>
        <v/>
      </c>
      <c r="C1134" s="29">
        <f>+VLOOKUP($A1134,MAGAZZINO!$B$2:$M$100000,3,FALSE)</f>
        <v/>
      </c>
      <c r="D1134" s="3">
        <f>+VLOOKUP($A1134,MAGAZZINO!$B$2:$M$100000,4,FALSE)</f>
        <v/>
      </c>
      <c r="E1134" s="3">
        <f>+VLOOKUP($A1134,MAGAZZINO!$B$2:$M$100000,5,FALSE)</f>
        <v/>
      </c>
      <c r="F1134" s="3">
        <f>+VLOOKUP($A1134,MAGAZZINO!$B$2:$M$100000,6,FALSE)</f>
        <v/>
      </c>
      <c r="G1134" s="3">
        <f>+VLOOKUP($A1134,MAGAZZINO!$B$2:$M$100000,7,FALSE)</f>
        <v/>
      </c>
      <c r="H1134" s="3">
        <f>+VLOOKUP($A1134,MAGAZZINO!$B$2:$M$100000,8,FALSE)</f>
        <v/>
      </c>
      <c r="I1134" s="3">
        <f>+VLOOKUP($A1134,MAGAZZINO!$B$2:$M$100000,9,FALSE)</f>
        <v/>
      </c>
      <c r="J1134" s="3">
        <f>+VLOOKUP($A1134,MAGAZZINO!$B$2:$M$100000,10,FALSE)</f>
        <v/>
      </c>
      <c r="K1134" s="3">
        <f>+VLOOKUP($A1134,MAGAZZINO!$B$2:$M$100000,11,FALSE)</f>
        <v/>
      </c>
      <c r="L1134" s="5">
        <f>+VLOOKUP($A1134,MAGAZZINO!$B$2:$M$100000,12,FALSE)</f>
        <v/>
      </c>
      <c r="M1134" s="47" t="n"/>
      <c r="N1134" s="88" t="n">
        <v>45874</v>
      </c>
      <c r="O1134" s="91" t="inlineStr">
        <is>
          <t>PHILIPPOS CONSTANTINIDES TRADING CO. LTD (CIPRO)</t>
        </is>
      </c>
      <c r="P1134" s="154" t="inlineStr">
        <is>
          <t xml:space="preserve">IMPORT LICENSE N. 218 DEL 12/08/2020                                                                                         AUT. TRASFERIMENTO N. 6B/2025/3D RILASCIATA IL 28/07/2025   </t>
        </is>
      </c>
      <c r="Q1134" s="150" t="n"/>
      <c r="R1134" s="150" t="n"/>
      <c r="S1134" s="153" t="n"/>
    </row>
    <row r="1135" ht="36" customHeight="1">
      <c r="A1135" s="46" t="n">
        <v>3465</v>
      </c>
      <c r="B1135" s="4">
        <f>+VLOOKUP($A1135,MAGAZZINO!$B$2:$M$100000,2,FALSE)</f>
        <v/>
      </c>
      <c r="C1135" s="29">
        <f>+VLOOKUP($A1135,MAGAZZINO!$B$2:$M$100000,3,FALSE)</f>
        <v/>
      </c>
      <c r="D1135" s="3">
        <f>+VLOOKUP($A1135,MAGAZZINO!$B$2:$M$100000,4,FALSE)</f>
        <v/>
      </c>
      <c r="E1135" s="3">
        <f>+VLOOKUP($A1135,MAGAZZINO!$B$2:$M$100000,5,FALSE)</f>
        <v/>
      </c>
      <c r="F1135" s="3">
        <f>+VLOOKUP($A1135,MAGAZZINO!$B$2:$M$100000,6,FALSE)</f>
        <v/>
      </c>
      <c r="G1135" s="3">
        <f>+VLOOKUP($A1135,MAGAZZINO!$B$2:$M$100000,7,FALSE)</f>
        <v/>
      </c>
      <c r="H1135" s="3">
        <f>+VLOOKUP($A1135,MAGAZZINO!$B$2:$M$100000,8,FALSE)</f>
        <v/>
      </c>
      <c r="I1135" s="3">
        <f>+VLOOKUP($A1135,MAGAZZINO!$B$2:$M$100000,9,FALSE)</f>
        <v/>
      </c>
      <c r="J1135" s="3">
        <f>+VLOOKUP($A1135,MAGAZZINO!$B$2:$M$100000,10,FALSE)</f>
        <v/>
      </c>
      <c r="K1135" s="3">
        <f>+VLOOKUP($A1135,MAGAZZINO!$B$2:$M$100000,11,FALSE)</f>
        <v/>
      </c>
      <c r="L1135" s="5">
        <f>+VLOOKUP($A1135,MAGAZZINO!$B$2:$M$100000,12,FALSE)</f>
        <v/>
      </c>
      <c r="M1135" s="47" t="n"/>
      <c r="N1135" s="88" t="n">
        <v>45965</v>
      </c>
      <c r="O1135" s="156" t="inlineStr">
        <is>
          <t>BIN HUMAID NATIONAL TRADING CO. (ARABIA SAUDITA)</t>
        </is>
      </c>
      <c r="P1135" s="154" t="inlineStr">
        <is>
          <t>IMPORT LICENSE N. 248813 DEL 16/03/2025                                                                                  AUT. ESPORTAZIONE MULTIPLA N. 6B/2025/3M RILASCIATA IL 26/05/2025                   (LICENZA DI SCARICO N. 6B/2025/3S RILASCIATA IL 03/11/2025)</t>
        </is>
      </c>
      <c r="Q1135" s="150" t="n"/>
      <c r="R1135" s="150" t="n"/>
      <c r="S1135" s="153" t="n"/>
    </row>
    <row r="1136" ht="36" customHeight="1">
      <c r="A1136" s="46" t="n">
        <v>3466</v>
      </c>
      <c r="B1136" s="4">
        <f>+VLOOKUP($A1136,MAGAZZINO!$B$2:$M$100000,2,FALSE)</f>
        <v/>
      </c>
      <c r="C1136" s="29">
        <f>+VLOOKUP($A1136,MAGAZZINO!$B$2:$M$100000,3,FALSE)</f>
        <v/>
      </c>
      <c r="D1136" s="3">
        <f>+VLOOKUP($A1136,MAGAZZINO!$B$2:$M$100000,4,FALSE)</f>
        <v/>
      </c>
      <c r="E1136" s="3">
        <f>+VLOOKUP($A1136,MAGAZZINO!$B$2:$M$100000,5,FALSE)</f>
        <v/>
      </c>
      <c r="F1136" s="3">
        <f>+VLOOKUP($A1136,MAGAZZINO!$B$2:$M$100000,6,FALSE)</f>
        <v/>
      </c>
      <c r="G1136" s="3">
        <f>+VLOOKUP($A1136,MAGAZZINO!$B$2:$M$100000,7,FALSE)</f>
        <v/>
      </c>
      <c r="H1136" s="3">
        <f>+VLOOKUP($A1136,MAGAZZINO!$B$2:$M$100000,8,FALSE)</f>
        <v/>
      </c>
      <c r="I1136" s="3">
        <f>+VLOOKUP($A1136,MAGAZZINO!$B$2:$M$100000,9,FALSE)</f>
        <v/>
      </c>
      <c r="J1136" s="3">
        <f>+VLOOKUP($A1136,MAGAZZINO!$B$2:$M$100000,10,FALSE)</f>
        <v/>
      </c>
      <c r="K1136" s="3">
        <f>+VLOOKUP($A1136,MAGAZZINO!$B$2:$M$100000,11,FALSE)</f>
        <v/>
      </c>
      <c r="L1136" s="5">
        <f>+VLOOKUP($A1136,MAGAZZINO!$B$2:$M$100000,12,FALSE)</f>
        <v/>
      </c>
      <c r="M1136" s="47" t="n"/>
      <c r="N1136" s="88" t="n">
        <v>45965</v>
      </c>
      <c r="O1136" s="156" t="inlineStr">
        <is>
          <t>BIN HUMAID NATIONAL TRADING CO. (ARABIA SAUDITA)</t>
        </is>
      </c>
      <c r="P1136" s="154" t="inlineStr">
        <is>
          <t>IMPORT LICENSE N. 248813 DEL 16/03/2025                                                                                  AUT. ESPORTAZIONE MULTIPLA N. 6B/2025/3M RILASCIATA IL 26/05/2025                   (LICENZA DI SCARICO N. 6B/2025/3S RILASCIATA IL 03/11/2025)</t>
        </is>
      </c>
      <c r="Q1136" s="150" t="n"/>
      <c r="R1136" s="150" t="n"/>
      <c r="S1136" s="153" t="n"/>
    </row>
    <row r="1137" ht="36" customHeight="1">
      <c r="A1137" s="46" t="n">
        <v>3467</v>
      </c>
      <c r="B1137" s="4">
        <f>+VLOOKUP($A1137,MAGAZZINO!$B$2:$M$100000,2,FALSE)</f>
        <v/>
      </c>
      <c r="C1137" s="29">
        <f>+VLOOKUP($A1137,MAGAZZINO!$B$2:$M$100000,3,FALSE)</f>
        <v/>
      </c>
      <c r="D1137" s="3">
        <f>+VLOOKUP($A1137,MAGAZZINO!$B$2:$M$100000,4,FALSE)</f>
        <v/>
      </c>
      <c r="E1137" s="3">
        <f>+VLOOKUP($A1137,MAGAZZINO!$B$2:$M$100000,5,FALSE)</f>
        <v/>
      </c>
      <c r="F1137" s="3">
        <f>+VLOOKUP($A1137,MAGAZZINO!$B$2:$M$100000,6,FALSE)</f>
        <v/>
      </c>
      <c r="G1137" s="3">
        <f>+VLOOKUP($A1137,MAGAZZINO!$B$2:$M$100000,7,FALSE)</f>
        <v/>
      </c>
      <c r="H1137" s="3">
        <f>+VLOOKUP($A1137,MAGAZZINO!$B$2:$M$100000,8,FALSE)</f>
        <v/>
      </c>
      <c r="I1137" s="3">
        <f>+VLOOKUP($A1137,MAGAZZINO!$B$2:$M$100000,9,FALSE)</f>
        <v/>
      </c>
      <c r="J1137" s="3">
        <f>+VLOOKUP($A1137,MAGAZZINO!$B$2:$M$100000,10,FALSE)</f>
        <v/>
      </c>
      <c r="K1137" s="3">
        <f>+VLOOKUP($A1137,MAGAZZINO!$B$2:$M$100000,11,FALSE)</f>
        <v/>
      </c>
      <c r="L1137" s="5">
        <f>+VLOOKUP($A1137,MAGAZZINO!$B$2:$M$100000,12,FALSE)</f>
        <v/>
      </c>
      <c r="M1137" s="47" t="n"/>
      <c r="N1137" s="88" t="n">
        <v>45887</v>
      </c>
      <c r="O1137" s="91" t="inlineStr">
        <is>
          <t>PHILIPPOS CONSTANTINIDES TRADING CO. LTD (CIPRO)</t>
        </is>
      </c>
      <c r="P1137" s="154" t="inlineStr">
        <is>
          <t xml:space="preserve">IMPORT LICENSE N. 267 DEL 21/07/2025                                                                                         AUT. TRASFERIMENTO N. 6B/2025/4D RILASCIATA IL 28/07/2025   </t>
        </is>
      </c>
      <c r="Q1137" s="150" t="n"/>
      <c r="R1137" s="150" t="n"/>
      <c r="S1137" s="153" t="n"/>
    </row>
    <row r="1138" ht="36" customHeight="1">
      <c r="A1138" s="46" t="n">
        <v>3468</v>
      </c>
      <c r="B1138" s="4">
        <f>+VLOOKUP($A1138,MAGAZZINO!$B$2:$M$100000,2,FALSE)</f>
        <v/>
      </c>
      <c r="C1138" s="29">
        <f>+VLOOKUP($A1138,MAGAZZINO!$B$2:$M$100000,3,FALSE)</f>
        <v/>
      </c>
      <c r="D1138" s="3">
        <f>+VLOOKUP($A1138,MAGAZZINO!$B$2:$M$100000,4,FALSE)</f>
        <v/>
      </c>
      <c r="E1138" s="3">
        <f>+VLOOKUP($A1138,MAGAZZINO!$B$2:$M$100000,5,FALSE)</f>
        <v/>
      </c>
      <c r="F1138" s="3">
        <f>+VLOOKUP($A1138,MAGAZZINO!$B$2:$M$100000,6,FALSE)</f>
        <v/>
      </c>
      <c r="G1138" s="3">
        <f>+VLOOKUP($A1138,MAGAZZINO!$B$2:$M$100000,7,FALSE)</f>
        <v/>
      </c>
      <c r="H1138" s="3">
        <f>+VLOOKUP($A1138,MAGAZZINO!$B$2:$M$100000,8,FALSE)</f>
        <v/>
      </c>
      <c r="I1138" s="3">
        <f>+VLOOKUP($A1138,MAGAZZINO!$B$2:$M$100000,9,FALSE)</f>
        <v/>
      </c>
      <c r="J1138" s="3">
        <f>+VLOOKUP($A1138,MAGAZZINO!$B$2:$M$100000,10,FALSE)</f>
        <v/>
      </c>
      <c r="K1138" s="3">
        <f>+VLOOKUP($A1138,MAGAZZINO!$B$2:$M$100000,11,FALSE)</f>
        <v/>
      </c>
      <c r="L1138" s="5">
        <f>+VLOOKUP($A1138,MAGAZZINO!$B$2:$M$100000,12,FALSE)</f>
        <v/>
      </c>
      <c r="M1138" s="47" t="n"/>
      <c r="N1138" s="88" t="n">
        <v>45887</v>
      </c>
      <c r="O1138" s="91" t="inlineStr">
        <is>
          <t>PHILIPPOS CONSTANTINIDES TRADING CO. LTD (CIPRO)</t>
        </is>
      </c>
      <c r="P1138" s="154" t="inlineStr">
        <is>
          <t xml:space="preserve">IMPORT LICENSE N. 267 DEL 21/07/2025                                                                                         AUT. TRASFERIMENTO N. 6B/2025/4D RILASCIATA IL 28/07/2025   </t>
        </is>
      </c>
      <c r="Q1138" s="150" t="n"/>
      <c r="R1138" s="150" t="n"/>
      <c r="S1138" s="153" t="n"/>
    </row>
    <row r="1139" ht="36" customHeight="1">
      <c r="A1139" s="46" t="n">
        <v>3469</v>
      </c>
      <c r="B1139" s="4">
        <f>+VLOOKUP($A1139,MAGAZZINO!$B$2:$M$100000,2,FALSE)</f>
        <v/>
      </c>
      <c r="C1139" s="29">
        <f>+VLOOKUP($A1139,MAGAZZINO!$B$2:$M$100000,3,FALSE)</f>
        <v/>
      </c>
      <c r="D1139" s="3">
        <f>+VLOOKUP($A1139,MAGAZZINO!$B$2:$M$100000,4,FALSE)</f>
        <v/>
      </c>
      <c r="E1139" s="3">
        <f>+VLOOKUP($A1139,MAGAZZINO!$B$2:$M$100000,5,FALSE)</f>
        <v/>
      </c>
      <c r="F1139" s="3">
        <f>+VLOOKUP($A1139,MAGAZZINO!$B$2:$M$100000,6,FALSE)</f>
        <v/>
      </c>
      <c r="G1139" s="3">
        <f>+VLOOKUP($A1139,MAGAZZINO!$B$2:$M$100000,7,FALSE)</f>
        <v/>
      </c>
      <c r="H1139" s="3">
        <f>+VLOOKUP($A1139,MAGAZZINO!$B$2:$M$100000,8,FALSE)</f>
        <v/>
      </c>
      <c r="I1139" s="3">
        <f>+VLOOKUP($A1139,MAGAZZINO!$B$2:$M$100000,9,FALSE)</f>
        <v/>
      </c>
      <c r="J1139" s="3">
        <f>+VLOOKUP($A1139,MAGAZZINO!$B$2:$M$100000,10,FALSE)</f>
        <v/>
      </c>
      <c r="K1139" s="3">
        <f>+VLOOKUP($A1139,MAGAZZINO!$B$2:$M$100000,11,FALSE)</f>
        <v/>
      </c>
      <c r="L1139" s="5">
        <f>+VLOOKUP($A1139,MAGAZZINO!$B$2:$M$100000,12,FALSE)</f>
        <v/>
      </c>
      <c r="M1139" s="47" t="n"/>
      <c r="N1139" s="88" t="n">
        <v>45887</v>
      </c>
      <c r="O1139" s="91" t="inlineStr">
        <is>
          <t>PHILIPPOS CONSTANTINIDES TRADING CO. LTD (CIPRO)</t>
        </is>
      </c>
      <c r="P1139" s="154" t="inlineStr">
        <is>
          <t xml:space="preserve">IMPORT LICENSE N. 267 DEL 21/07/2025                                                                                         AUT. TRASFERIMENTO N. 6B/2025/4D RILASCIATA IL 28/07/2025   </t>
        </is>
      </c>
      <c r="Q1139" s="150" t="n"/>
      <c r="R1139" s="150" t="n"/>
      <c r="S1139" s="153" t="n"/>
    </row>
    <row r="1140" ht="36" customHeight="1">
      <c r="A1140" s="46" t="n">
        <v>3470</v>
      </c>
      <c r="B1140" s="4">
        <f>+VLOOKUP($A1140,MAGAZZINO!$B$2:$M$100000,2,FALSE)</f>
        <v/>
      </c>
      <c r="C1140" s="29">
        <f>+VLOOKUP($A1140,MAGAZZINO!$B$2:$M$100000,3,FALSE)</f>
        <v/>
      </c>
      <c r="D1140" s="3">
        <f>+VLOOKUP($A1140,MAGAZZINO!$B$2:$M$100000,4,FALSE)</f>
        <v/>
      </c>
      <c r="E1140" s="3">
        <f>+VLOOKUP($A1140,MAGAZZINO!$B$2:$M$100000,5,FALSE)</f>
        <v/>
      </c>
      <c r="F1140" s="3">
        <f>+VLOOKUP($A1140,MAGAZZINO!$B$2:$M$100000,6,FALSE)</f>
        <v/>
      </c>
      <c r="G1140" s="3">
        <f>+VLOOKUP($A1140,MAGAZZINO!$B$2:$M$100000,7,FALSE)</f>
        <v/>
      </c>
      <c r="H1140" s="3">
        <f>+VLOOKUP($A1140,MAGAZZINO!$B$2:$M$100000,8,FALSE)</f>
        <v/>
      </c>
      <c r="I1140" s="3">
        <f>+VLOOKUP($A1140,MAGAZZINO!$B$2:$M$100000,9,FALSE)</f>
        <v/>
      </c>
      <c r="J1140" s="3">
        <f>+VLOOKUP($A1140,MAGAZZINO!$B$2:$M$100000,10,FALSE)</f>
        <v/>
      </c>
      <c r="K1140" s="3">
        <f>+VLOOKUP($A1140,MAGAZZINO!$B$2:$M$100000,11,FALSE)</f>
        <v/>
      </c>
      <c r="L1140" s="5">
        <f>+VLOOKUP($A1140,MAGAZZINO!$B$2:$M$100000,12,FALSE)</f>
        <v/>
      </c>
      <c r="M1140" s="47" t="n"/>
      <c r="N1140" s="88" t="n">
        <v>45887</v>
      </c>
      <c r="O1140" s="91" t="inlineStr">
        <is>
          <t>PHILIPPOS CONSTANTINIDES TRADING CO. LTD (CIPRO)</t>
        </is>
      </c>
      <c r="P1140" s="154" t="inlineStr">
        <is>
          <t xml:space="preserve">IMPORT LICENSE N. 267 DEL 21/07/2025                                                                                         AUT. TRASFERIMENTO N. 6B/2025/4D RILASCIATA IL 28/07/2025   </t>
        </is>
      </c>
      <c r="Q1140" s="150" t="n"/>
      <c r="R1140" s="150" t="n"/>
      <c r="S1140" s="153" t="n"/>
    </row>
    <row r="1141" ht="36" customHeight="1">
      <c r="A1141" s="46" t="n">
        <v>3471</v>
      </c>
      <c r="B1141" s="4">
        <f>+VLOOKUP($A1141,MAGAZZINO!$B$2:$M$100000,2,FALSE)</f>
        <v/>
      </c>
      <c r="C1141" s="29">
        <f>+VLOOKUP($A1141,MAGAZZINO!$B$2:$M$100000,3,FALSE)</f>
        <v/>
      </c>
      <c r="D1141" s="3">
        <f>+VLOOKUP($A1141,MAGAZZINO!$B$2:$M$100000,4,FALSE)</f>
        <v/>
      </c>
      <c r="E1141" s="3">
        <f>+VLOOKUP($A1141,MAGAZZINO!$B$2:$M$100000,5,FALSE)</f>
        <v/>
      </c>
      <c r="F1141" s="3">
        <f>+VLOOKUP($A1141,MAGAZZINO!$B$2:$M$100000,6,FALSE)</f>
        <v/>
      </c>
      <c r="G1141" s="3">
        <f>+VLOOKUP($A1141,MAGAZZINO!$B$2:$M$100000,7,FALSE)</f>
        <v/>
      </c>
      <c r="H1141" s="3">
        <f>+VLOOKUP($A1141,MAGAZZINO!$B$2:$M$100000,8,FALSE)</f>
        <v/>
      </c>
      <c r="I1141" s="3">
        <f>+VLOOKUP($A1141,MAGAZZINO!$B$2:$M$100000,9,FALSE)</f>
        <v/>
      </c>
      <c r="J1141" s="3">
        <f>+VLOOKUP($A1141,MAGAZZINO!$B$2:$M$100000,10,FALSE)</f>
        <v/>
      </c>
      <c r="K1141" s="3">
        <f>+VLOOKUP($A1141,MAGAZZINO!$B$2:$M$100000,11,FALSE)</f>
        <v/>
      </c>
      <c r="L1141" s="5">
        <f>+VLOOKUP($A1141,MAGAZZINO!$B$2:$M$100000,12,FALSE)</f>
        <v/>
      </c>
      <c r="M1141" s="47" t="n"/>
      <c r="N1141" s="88" t="n">
        <v>45887</v>
      </c>
      <c r="O1141" s="91" t="inlineStr">
        <is>
          <t>PHILIPPOS CONSTANTINIDES TRADING CO. LTD (CIPRO)</t>
        </is>
      </c>
      <c r="P1141" s="154" t="inlineStr">
        <is>
          <t xml:space="preserve">IMPORT LICENSE N. 267 DEL 21/07/2025                                                                                         AUT. TRASFERIMENTO N. 6B/2025/4D RILASCIATA IL 28/07/2025   </t>
        </is>
      </c>
      <c r="Q1141" s="150" t="n"/>
      <c r="R1141" s="150" t="n"/>
      <c r="S1141" s="153" t="n"/>
    </row>
    <row r="1142" ht="36" customHeight="1">
      <c r="A1142" s="46" t="n">
        <v>3472</v>
      </c>
      <c r="B1142" s="4">
        <f>+VLOOKUP($A1142,MAGAZZINO!$B$2:$M$100000,2,FALSE)</f>
        <v/>
      </c>
      <c r="C1142" s="29">
        <f>+VLOOKUP($A1142,MAGAZZINO!$B$2:$M$100000,3,FALSE)</f>
        <v/>
      </c>
      <c r="D1142" s="3">
        <f>+VLOOKUP($A1142,MAGAZZINO!$B$2:$M$100000,4,FALSE)</f>
        <v/>
      </c>
      <c r="E1142" s="3">
        <f>+VLOOKUP($A1142,MAGAZZINO!$B$2:$M$100000,5,FALSE)</f>
        <v/>
      </c>
      <c r="F1142" s="3">
        <f>+VLOOKUP($A1142,MAGAZZINO!$B$2:$M$100000,6,FALSE)</f>
        <v/>
      </c>
      <c r="G1142" s="3">
        <f>+VLOOKUP($A1142,MAGAZZINO!$B$2:$M$100000,7,FALSE)</f>
        <v/>
      </c>
      <c r="H1142" s="3">
        <f>+VLOOKUP($A1142,MAGAZZINO!$B$2:$M$100000,8,FALSE)</f>
        <v/>
      </c>
      <c r="I1142" s="3">
        <f>+VLOOKUP($A1142,MAGAZZINO!$B$2:$M$100000,9,FALSE)</f>
        <v/>
      </c>
      <c r="J1142" s="3">
        <f>+VLOOKUP($A1142,MAGAZZINO!$B$2:$M$100000,10,FALSE)</f>
        <v/>
      </c>
      <c r="K1142" s="3">
        <f>+VLOOKUP($A1142,MAGAZZINO!$B$2:$M$100000,11,FALSE)</f>
        <v/>
      </c>
      <c r="L1142" s="5">
        <f>+VLOOKUP($A1142,MAGAZZINO!$B$2:$M$100000,12,FALSE)</f>
        <v/>
      </c>
      <c r="M1142" s="47" t="n"/>
      <c r="N1142" s="88" t="n">
        <v>45887</v>
      </c>
      <c r="O1142" s="91" t="inlineStr">
        <is>
          <t>PHILIPPOS CONSTANTINIDES TRADING CO. LTD (CIPRO)</t>
        </is>
      </c>
      <c r="P1142" s="154" t="inlineStr">
        <is>
          <t xml:space="preserve">IMPORT LICENSE N. 267 DEL 21/07/2025                                                                                         AUT. TRASFERIMENTO N. 6B/2025/4D RILASCIATA IL 28/07/2025   </t>
        </is>
      </c>
      <c r="Q1142" s="150" t="n"/>
      <c r="R1142" s="150" t="n"/>
      <c r="S1142" s="153" t="n"/>
    </row>
    <row r="1143" ht="36" customHeight="1">
      <c r="A1143" s="46" t="n">
        <v>3473</v>
      </c>
      <c r="B1143" s="4">
        <f>+VLOOKUP($A1143,MAGAZZINO!$B$2:$M$100000,2,FALSE)</f>
        <v/>
      </c>
      <c r="C1143" s="29">
        <f>+VLOOKUP($A1143,MAGAZZINO!$B$2:$M$100000,3,FALSE)</f>
        <v/>
      </c>
      <c r="D1143" s="3">
        <f>+VLOOKUP($A1143,MAGAZZINO!$B$2:$M$100000,4,FALSE)</f>
        <v/>
      </c>
      <c r="E1143" s="3">
        <f>+VLOOKUP($A1143,MAGAZZINO!$B$2:$M$100000,5,FALSE)</f>
        <v/>
      </c>
      <c r="F1143" s="3">
        <f>+VLOOKUP($A1143,MAGAZZINO!$B$2:$M$100000,6,FALSE)</f>
        <v/>
      </c>
      <c r="G1143" s="3">
        <f>+VLOOKUP($A1143,MAGAZZINO!$B$2:$M$100000,7,FALSE)</f>
        <v/>
      </c>
      <c r="H1143" s="3">
        <f>+VLOOKUP($A1143,MAGAZZINO!$B$2:$M$100000,8,FALSE)</f>
        <v/>
      </c>
      <c r="I1143" s="3">
        <f>+VLOOKUP($A1143,MAGAZZINO!$B$2:$M$100000,9,FALSE)</f>
        <v/>
      </c>
      <c r="J1143" s="3">
        <f>+VLOOKUP($A1143,MAGAZZINO!$B$2:$M$100000,10,FALSE)</f>
        <v/>
      </c>
      <c r="K1143" s="3">
        <f>+VLOOKUP($A1143,MAGAZZINO!$B$2:$M$100000,11,FALSE)</f>
        <v/>
      </c>
      <c r="L1143" s="5">
        <f>+VLOOKUP($A1143,MAGAZZINO!$B$2:$M$100000,12,FALSE)</f>
        <v/>
      </c>
      <c r="M1143" s="47" t="n"/>
      <c r="N1143" s="88" t="n">
        <v>45887</v>
      </c>
      <c r="O1143" s="91" t="inlineStr">
        <is>
          <t>PHILIPPOS CONSTANTINIDES TRADING CO. LTD (CIPRO)</t>
        </is>
      </c>
      <c r="P1143" s="154" t="inlineStr">
        <is>
          <t xml:space="preserve">IMPORT LICENSE N. 267 DEL 21/07/2025                                                                                         AUT. TRASFERIMENTO N. 6B/2025/4D RILASCIATA IL 28/07/2025   </t>
        </is>
      </c>
      <c r="Q1143" s="150" t="n"/>
      <c r="R1143" s="150" t="n"/>
      <c r="S1143" s="153" t="n"/>
    </row>
    <row r="1144" ht="36" customHeight="1">
      <c r="A1144" s="46" t="n">
        <v>3474</v>
      </c>
      <c r="B1144" s="4">
        <f>+VLOOKUP($A1144,MAGAZZINO!$B$2:$M$100000,2,FALSE)</f>
        <v/>
      </c>
      <c r="C1144" s="29">
        <f>+VLOOKUP($A1144,MAGAZZINO!$B$2:$M$100000,3,FALSE)</f>
        <v/>
      </c>
      <c r="D1144" s="3">
        <f>+VLOOKUP($A1144,MAGAZZINO!$B$2:$M$100000,4,FALSE)</f>
        <v/>
      </c>
      <c r="E1144" s="3">
        <f>+VLOOKUP($A1144,MAGAZZINO!$B$2:$M$100000,5,FALSE)</f>
        <v/>
      </c>
      <c r="F1144" s="3">
        <f>+VLOOKUP($A1144,MAGAZZINO!$B$2:$M$100000,6,FALSE)</f>
        <v/>
      </c>
      <c r="G1144" s="3">
        <f>+VLOOKUP($A1144,MAGAZZINO!$B$2:$M$100000,7,FALSE)</f>
        <v/>
      </c>
      <c r="H1144" s="3">
        <f>+VLOOKUP($A1144,MAGAZZINO!$B$2:$M$100000,8,FALSE)</f>
        <v/>
      </c>
      <c r="I1144" s="3">
        <f>+VLOOKUP($A1144,MAGAZZINO!$B$2:$M$100000,9,FALSE)</f>
        <v/>
      </c>
      <c r="J1144" s="3">
        <f>+VLOOKUP($A1144,MAGAZZINO!$B$2:$M$100000,10,FALSE)</f>
        <v/>
      </c>
      <c r="K1144" s="3">
        <f>+VLOOKUP($A1144,MAGAZZINO!$B$2:$M$100000,11,FALSE)</f>
        <v/>
      </c>
      <c r="L1144" s="5">
        <f>+VLOOKUP($A1144,MAGAZZINO!$B$2:$M$100000,12,FALSE)</f>
        <v/>
      </c>
      <c r="M1144" s="47" t="n"/>
      <c r="N1144" s="88" t="n">
        <v>45887</v>
      </c>
      <c r="O1144" s="91" t="inlineStr">
        <is>
          <t>PHILIPPOS CONSTANTINIDES TRADING CO. LTD (CIPRO)</t>
        </is>
      </c>
      <c r="P1144" s="154" t="inlineStr">
        <is>
          <t xml:space="preserve">IMPORT LICENSE N. 267 DEL 21/07/2025                                                                                         AUT. TRASFERIMENTO N. 6B/2025/4D RILASCIATA IL 28/07/2025   </t>
        </is>
      </c>
      <c r="Q1144" s="150" t="n"/>
      <c r="R1144" s="150" t="n"/>
      <c r="S1144" s="153" t="n"/>
    </row>
    <row r="1145" ht="36" customHeight="1">
      <c r="A1145" s="46" t="n">
        <v>3475</v>
      </c>
      <c r="B1145" s="4">
        <f>+VLOOKUP($A1145,MAGAZZINO!$B$2:$M$100000,2,FALSE)</f>
        <v/>
      </c>
      <c r="C1145" s="29">
        <f>+VLOOKUP($A1145,MAGAZZINO!$B$2:$M$100000,3,FALSE)</f>
        <v/>
      </c>
      <c r="D1145" s="3">
        <f>+VLOOKUP($A1145,MAGAZZINO!$B$2:$M$100000,4,FALSE)</f>
        <v/>
      </c>
      <c r="E1145" s="3">
        <f>+VLOOKUP($A1145,MAGAZZINO!$B$2:$M$100000,5,FALSE)</f>
        <v/>
      </c>
      <c r="F1145" s="3">
        <f>+VLOOKUP($A1145,MAGAZZINO!$B$2:$M$100000,6,FALSE)</f>
        <v/>
      </c>
      <c r="G1145" s="3">
        <f>+VLOOKUP($A1145,MAGAZZINO!$B$2:$M$100000,7,FALSE)</f>
        <v/>
      </c>
      <c r="H1145" s="3">
        <f>+VLOOKUP($A1145,MAGAZZINO!$B$2:$M$100000,8,FALSE)</f>
        <v/>
      </c>
      <c r="I1145" s="3">
        <f>+VLOOKUP($A1145,MAGAZZINO!$B$2:$M$100000,9,FALSE)</f>
        <v/>
      </c>
      <c r="J1145" s="3">
        <f>+VLOOKUP($A1145,MAGAZZINO!$B$2:$M$100000,10,FALSE)</f>
        <v/>
      </c>
      <c r="K1145" s="3">
        <f>+VLOOKUP($A1145,MAGAZZINO!$B$2:$M$100000,11,FALSE)</f>
        <v/>
      </c>
      <c r="L1145" s="5">
        <f>+VLOOKUP($A1145,MAGAZZINO!$B$2:$M$100000,12,FALSE)</f>
        <v/>
      </c>
      <c r="M1145" s="47" t="n"/>
      <c r="N1145" s="88" t="n">
        <v>45887</v>
      </c>
      <c r="O1145" s="91" t="inlineStr">
        <is>
          <t>PHILIPPOS CONSTANTINIDES TRADING CO. LTD (CIPRO)</t>
        </is>
      </c>
      <c r="P1145" s="154" t="inlineStr">
        <is>
          <t xml:space="preserve">IMPORT LICENSE N. 267 DEL 21/07/2025                                                                                         AUT. TRASFERIMENTO N. 6B/2025/4D RILASCIATA IL 28/07/2025   </t>
        </is>
      </c>
      <c r="Q1145" s="150" t="n"/>
      <c r="R1145" s="150" t="n"/>
      <c r="S1145" s="153" t="n"/>
    </row>
    <row r="1146" ht="36" customHeight="1">
      <c r="A1146" s="46" t="n">
        <v>3476</v>
      </c>
      <c r="B1146" s="4">
        <f>+VLOOKUP($A1146,MAGAZZINO!$B$2:$M$100000,2,FALSE)</f>
        <v/>
      </c>
      <c r="C1146" s="29">
        <f>+VLOOKUP($A1146,MAGAZZINO!$B$2:$M$100000,3,FALSE)</f>
        <v/>
      </c>
      <c r="D1146" s="3">
        <f>+VLOOKUP($A1146,MAGAZZINO!$B$2:$M$100000,4,FALSE)</f>
        <v/>
      </c>
      <c r="E1146" s="3">
        <f>+VLOOKUP($A1146,MAGAZZINO!$B$2:$M$100000,5,FALSE)</f>
        <v/>
      </c>
      <c r="F1146" s="3">
        <f>+VLOOKUP($A1146,MAGAZZINO!$B$2:$M$100000,6,FALSE)</f>
        <v/>
      </c>
      <c r="G1146" s="3">
        <f>+VLOOKUP($A1146,MAGAZZINO!$B$2:$M$100000,7,FALSE)</f>
        <v/>
      </c>
      <c r="H1146" s="3">
        <f>+VLOOKUP($A1146,MAGAZZINO!$B$2:$M$100000,8,FALSE)</f>
        <v/>
      </c>
      <c r="I1146" s="3">
        <f>+VLOOKUP($A1146,MAGAZZINO!$B$2:$M$100000,9,FALSE)</f>
        <v/>
      </c>
      <c r="J1146" s="3">
        <f>+VLOOKUP($A1146,MAGAZZINO!$B$2:$M$100000,10,FALSE)</f>
        <v/>
      </c>
      <c r="K1146" s="3">
        <f>+VLOOKUP($A1146,MAGAZZINO!$B$2:$M$100000,11,FALSE)</f>
        <v/>
      </c>
      <c r="L1146" s="5">
        <f>+VLOOKUP($A1146,MAGAZZINO!$B$2:$M$100000,12,FALSE)</f>
        <v/>
      </c>
      <c r="M1146" s="47" t="n"/>
      <c r="N1146" s="88" t="n">
        <v>45887</v>
      </c>
      <c r="O1146" s="91" t="inlineStr">
        <is>
          <t>PHILIPPOS CONSTANTINIDES TRADING CO. LTD (CIPRO)</t>
        </is>
      </c>
      <c r="P1146" s="154" t="inlineStr">
        <is>
          <t xml:space="preserve">IMPORT LICENSE N. 267 DEL 21/07/2025                                                                                         AUT. TRASFERIMENTO N. 6B/2025/4D RILASCIATA IL 28/07/2025   </t>
        </is>
      </c>
      <c r="Q1146" s="150" t="n"/>
      <c r="R1146" s="150" t="n"/>
      <c r="S1146" s="153" t="n"/>
    </row>
    <row r="1147" ht="36" customHeight="1">
      <c r="A1147" s="46" t="n">
        <v>3477</v>
      </c>
      <c r="B1147" s="4">
        <f>+VLOOKUP($A1147,MAGAZZINO!$B$2:$M$100000,2,FALSE)</f>
        <v/>
      </c>
      <c r="C1147" s="29">
        <f>+VLOOKUP($A1147,MAGAZZINO!$B$2:$M$100000,3,FALSE)</f>
        <v/>
      </c>
      <c r="D1147" s="3">
        <f>+VLOOKUP($A1147,MAGAZZINO!$B$2:$M$100000,4,FALSE)</f>
        <v/>
      </c>
      <c r="E1147" s="3">
        <f>+VLOOKUP($A1147,MAGAZZINO!$B$2:$M$100000,5,FALSE)</f>
        <v/>
      </c>
      <c r="F1147" s="3">
        <f>+VLOOKUP($A1147,MAGAZZINO!$B$2:$M$100000,6,FALSE)</f>
        <v/>
      </c>
      <c r="G1147" s="3">
        <f>+VLOOKUP($A1147,MAGAZZINO!$B$2:$M$100000,7,FALSE)</f>
        <v/>
      </c>
      <c r="H1147" s="3">
        <f>+VLOOKUP($A1147,MAGAZZINO!$B$2:$M$100000,8,FALSE)</f>
        <v/>
      </c>
      <c r="I1147" s="3">
        <f>+VLOOKUP($A1147,MAGAZZINO!$B$2:$M$100000,9,FALSE)</f>
        <v/>
      </c>
      <c r="J1147" s="3">
        <f>+VLOOKUP($A1147,MAGAZZINO!$B$2:$M$100000,10,FALSE)</f>
        <v/>
      </c>
      <c r="K1147" s="3">
        <f>+VLOOKUP($A1147,MAGAZZINO!$B$2:$M$100000,11,FALSE)</f>
        <v/>
      </c>
      <c r="L1147" s="5">
        <f>+VLOOKUP($A1147,MAGAZZINO!$B$2:$M$100000,12,FALSE)</f>
        <v/>
      </c>
      <c r="M1147" s="47" t="n"/>
      <c r="N1147" s="88" t="n">
        <v>45887</v>
      </c>
      <c r="O1147" s="91" t="inlineStr">
        <is>
          <t>PHILIPPOS CONSTANTINIDES TRADING CO. LTD (CIPRO)</t>
        </is>
      </c>
      <c r="P1147" s="154" t="inlineStr">
        <is>
          <t xml:space="preserve">IMPORT LICENSE N. 267 DEL 21/07/2025                                                                                         AUT. TRASFERIMENTO N. 6B/2025/4D RILASCIATA IL 28/07/2025   </t>
        </is>
      </c>
      <c r="Q1147" s="150" t="n"/>
      <c r="R1147" s="150" t="n"/>
      <c r="S1147" s="153" t="n"/>
    </row>
    <row r="1148" ht="36" customHeight="1">
      <c r="A1148" s="46" t="n">
        <v>3478</v>
      </c>
      <c r="B1148" s="4">
        <f>+VLOOKUP($A1148,MAGAZZINO!$B$2:$M$100000,2,FALSE)</f>
        <v/>
      </c>
      <c r="C1148" s="29">
        <f>+VLOOKUP($A1148,MAGAZZINO!$B$2:$M$100000,3,FALSE)</f>
        <v/>
      </c>
      <c r="D1148" s="3">
        <f>+VLOOKUP($A1148,MAGAZZINO!$B$2:$M$100000,4,FALSE)</f>
        <v/>
      </c>
      <c r="E1148" s="3">
        <f>+VLOOKUP($A1148,MAGAZZINO!$B$2:$M$100000,5,FALSE)</f>
        <v/>
      </c>
      <c r="F1148" s="3">
        <f>+VLOOKUP($A1148,MAGAZZINO!$B$2:$M$100000,6,FALSE)</f>
        <v/>
      </c>
      <c r="G1148" s="3">
        <f>+VLOOKUP($A1148,MAGAZZINO!$B$2:$M$100000,7,FALSE)</f>
        <v/>
      </c>
      <c r="H1148" s="3">
        <f>+VLOOKUP($A1148,MAGAZZINO!$B$2:$M$100000,8,FALSE)</f>
        <v/>
      </c>
      <c r="I1148" s="3">
        <f>+VLOOKUP($A1148,MAGAZZINO!$B$2:$M$100000,9,FALSE)</f>
        <v/>
      </c>
      <c r="J1148" s="3">
        <f>+VLOOKUP($A1148,MAGAZZINO!$B$2:$M$100000,10,FALSE)</f>
        <v/>
      </c>
      <c r="K1148" s="3">
        <f>+VLOOKUP($A1148,MAGAZZINO!$B$2:$M$100000,11,FALSE)</f>
        <v/>
      </c>
      <c r="L1148" s="5">
        <f>+VLOOKUP($A1148,MAGAZZINO!$B$2:$M$100000,12,FALSE)</f>
        <v/>
      </c>
      <c r="M1148" s="47" t="n"/>
      <c r="N1148" s="88" t="n">
        <v>45887</v>
      </c>
      <c r="O1148" s="91" t="inlineStr">
        <is>
          <t>PHILIPPOS CONSTANTINIDES TRADING CO. LTD (CIPRO)</t>
        </is>
      </c>
      <c r="P1148" s="154" t="inlineStr">
        <is>
          <t xml:space="preserve">IMPORT LICENSE N. 267 DEL 21/07/2025                                                                                         AUT. TRASFERIMENTO N. 6B/2025/4D RILASCIATA IL 28/07/2025   </t>
        </is>
      </c>
      <c r="Q1148" s="150" t="n"/>
      <c r="R1148" s="150" t="n"/>
      <c r="S1148" s="153" t="n"/>
    </row>
    <row r="1149" ht="36" customHeight="1">
      <c r="A1149" s="46" t="n">
        <v>3479</v>
      </c>
      <c r="B1149" s="4">
        <f>+VLOOKUP($A1149,MAGAZZINO!$B$2:$M$100000,2,FALSE)</f>
        <v/>
      </c>
      <c r="C1149" s="29">
        <f>+VLOOKUP($A1149,MAGAZZINO!$B$2:$M$100000,3,FALSE)</f>
        <v/>
      </c>
      <c r="D1149" s="3">
        <f>+VLOOKUP($A1149,MAGAZZINO!$B$2:$M$100000,4,FALSE)</f>
        <v/>
      </c>
      <c r="E1149" s="3">
        <f>+VLOOKUP($A1149,MAGAZZINO!$B$2:$M$100000,5,FALSE)</f>
        <v/>
      </c>
      <c r="F1149" s="3">
        <f>+VLOOKUP($A1149,MAGAZZINO!$B$2:$M$100000,6,FALSE)</f>
        <v/>
      </c>
      <c r="G1149" s="3">
        <f>+VLOOKUP($A1149,MAGAZZINO!$B$2:$M$100000,7,FALSE)</f>
        <v/>
      </c>
      <c r="H1149" s="3">
        <f>+VLOOKUP($A1149,MAGAZZINO!$B$2:$M$100000,8,FALSE)</f>
        <v/>
      </c>
      <c r="I1149" s="3">
        <f>+VLOOKUP($A1149,MAGAZZINO!$B$2:$M$100000,9,FALSE)</f>
        <v/>
      </c>
      <c r="J1149" s="3">
        <f>+VLOOKUP($A1149,MAGAZZINO!$B$2:$M$100000,10,FALSE)</f>
        <v/>
      </c>
      <c r="K1149" s="3">
        <f>+VLOOKUP($A1149,MAGAZZINO!$B$2:$M$100000,11,FALSE)</f>
        <v/>
      </c>
      <c r="L1149" s="5">
        <f>+VLOOKUP($A1149,MAGAZZINO!$B$2:$M$100000,12,FALSE)</f>
        <v/>
      </c>
      <c r="M1149" s="47" t="n"/>
      <c r="N1149" s="88" t="n">
        <v>45887</v>
      </c>
      <c r="O1149" s="91" t="inlineStr">
        <is>
          <t>PHILIPPOS CONSTANTINIDES TRADING CO. LTD (CIPRO)</t>
        </is>
      </c>
      <c r="P1149" s="154" t="inlineStr">
        <is>
          <t xml:space="preserve">IMPORT LICENSE N. 267 DEL 21/07/2025                                                                                         AUT. TRASFERIMENTO N. 6B/2025/4D RILASCIATA IL 28/07/2025   </t>
        </is>
      </c>
      <c r="Q1149" s="150" t="n"/>
      <c r="R1149" s="150" t="n"/>
      <c r="S1149" s="153" t="n"/>
    </row>
    <row r="1150" ht="36" customHeight="1">
      <c r="A1150" s="46" t="n">
        <v>3480</v>
      </c>
      <c r="B1150" s="4">
        <f>+VLOOKUP($A1150,MAGAZZINO!$B$2:$M$100000,2,FALSE)</f>
        <v/>
      </c>
      <c r="C1150" s="29">
        <f>+VLOOKUP($A1150,MAGAZZINO!$B$2:$M$100000,3,FALSE)</f>
        <v/>
      </c>
      <c r="D1150" s="3">
        <f>+VLOOKUP($A1150,MAGAZZINO!$B$2:$M$100000,4,FALSE)</f>
        <v/>
      </c>
      <c r="E1150" s="3">
        <f>+VLOOKUP($A1150,MAGAZZINO!$B$2:$M$100000,5,FALSE)</f>
        <v/>
      </c>
      <c r="F1150" s="3">
        <f>+VLOOKUP($A1150,MAGAZZINO!$B$2:$M$100000,6,FALSE)</f>
        <v/>
      </c>
      <c r="G1150" s="3">
        <f>+VLOOKUP($A1150,MAGAZZINO!$B$2:$M$100000,7,FALSE)</f>
        <v/>
      </c>
      <c r="H1150" s="3">
        <f>+VLOOKUP($A1150,MAGAZZINO!$B$2:$M$100000,8,FALSE)</f>
        <v/>
      </c>
      <c r="I1150" s="3">
        <f>+VLOOKUP($A1150,MAGAZZINO!$B$2:$M$100000,9,FALSE)</f>
        <v/>
      </c>
      <c r="J1150" s="3">
        <f>+VLOOKUP($A1150,MAGAZZINO!$B$2:$M$100000,10,FALSE)</f>
        <v/>
      </c>
      <c r="K1150" s="3">
        <f>+VLOOKUP($A1150,MAGAZZINO!$B$2:$M$100000,11,FALSE)</f>
        <v/>
      </c>
      <c r="L1150" s="5">
        <f>+VLOOKUP($A1150,MAGAZZINO!$B$2:$M$100000,12,FALSE)</f>
        <v/>
      </c>
      <c r="M1150" s="47" t="n"/>
      <c r="N1150" s="88" t="n">
        <v>45887</v>
      </c>
      <c r="O1150" s="91" t="inlineStr">
        <is>
          <t>PHILIPPOS CONSTANTINIDES TRADING CO. LTD (CIPRO)</t>
        </is>
      </c>
      <c r="P1150" s="154" t="inlineStr">
        <is>
          <t xml:space="preserve">IMPORT LICENSE N. 267 DEL 21/07/2025                                                                                         AUT. TRASFERIMENTO N. 6B/2025/4D RILASCIATA IL 28/07/2025   </t>
        </is>
      </c>
      <c r="Q1150" s="150" t="n"/>
      <c r="R1150" s="150" t="n"/>
      <c r="S1150" s="153" t="n"/>
    </row>
    <row r="1151" ht="36" customHeight="1">
      <c r="A1151" s="46" t="n">
        <v>3481</v>
      </c>
      <c r="B1151" s="4">
        <f>+VLOOKUP($A1151,MAGAZZINO!$B$2:$M$100000,2,FALSE)</f>
        <v/>
      </c>
      <c r="C1151" s="29">
        <f>+VLOOKUP($A1151,MAGAZZINO!$B$2:$M$100000,3,FALSE)</f>
        <v/>
      </c>
      <c r="D1151" s="3">
        <f>+VLOOKUP($A1151,MAGAZZINO!$B$2:$M$100000,4,FALSE)</f>
        <v/>
      </c>
      <c r="E1151" s="3">
        <f>+VLOOKUP($A1151,MAGAZZINO!$B$2:$M$100000,5,FALSE)</f>
        <v/>
      </c>
      <c r="F1151" s="3">
        <f>+VLOOKUP($A1151,MAGAZZINO!$B$2:$M$100000,6,FALSE)</f>
        <v/>
      </c>
      <c r="G1151" s="3">
        <f>+VLOOKUP($A1151,MAGAZZINO!$B$2:$M$100000,7,FALSE)</f>
        <v/>
      </c>
      <c r="H1151" s="3">
        <f>+VLOOKUP($A1151,MAGAZZINO!$B$2:$M$100000,8,FALSE)</f>
        <v/>
      </c>
      <c r="I1151" s="3">
        <f>+VLOOKUP($A1151,MAGAZZINO!$B$2:$M$100000,9,FALSE)</f>
        <v/>
      </c>
      <c r="J1151" s="3">
        <f>+VLOOKUP($A1151,MAGAZZINO!$B$2:$M$100000,10,FALSE)</f>
        <v/>
      </c>
      <c r="K1151" s="3">
        <f>+VLOOKUP($A1151,MAGAZZINO!$B$2:$M$100000,11,FALSE)</f>
        <v/>
      </c>
      <c r="L1151" s="5">
        <f>+VLOOKUP($A1151,MAGAZZINO!$B$2:$M$100000,12,FALSE)</f>
        <v/>
      </c>
      <c r="M1151" s="47" t="n"/>
      <c r="N1151" s="88" t="n">
        <v>45887</v>
      </c>
      <c r="O1151" s="91" t="inlineStr">
        <is>
          <t>PHILIPPOS CONSTANTINIDES TRADING CO. LTD (CIPRO)</t>
        </is>
      </c>
      <c r="P1151" s="154" t="inlineStr">
        <is>
          <t xml:space="preserve">IMPORT LICENSE N. 267 DEL 21/07/2025                                                                                         AUT. TRASFERIMENTO N. 6B/2025/4D RILASCIATA IL 28/07/2025   </t>
        </is>
      </c>
      <c r="Q1151" s="150" t="n"/>
      <c r="R1151" s="150" t="n"/>
      <c r="S1151" s="153" t="n"/>
    </row>
    <row r="1152" ht="36" customHeight="1">
      <c r="A1152" s="46" t="n">
        <v>3482</v>
      </c>
      <c r="B1152" s="4">
        <f>+VLOOKUP($A1152,MAGAZZINO!$B$2:$M$100000,2,FALSE)</f>
        <v/>
      </c>
      <c r="C1152" s="29">
        <f>+VLOOKUP($A1152,MAGAZZINO!$B$2:$M$100000,3,FALSE)</f>
        <v/>
      </c>
      <c r="D1152" s="3">
        <f>+VLOOKUP($A1152,MAGAZZINO!$B$2:$M$100000,4,FALSE)</f>
        <v/>
      </c>
      <c r="E1152" s="3">
        <f>+VLOOKUP($A1152,MAGAZZINO!$B$2:$M$100000,5,FALSE)</f>
        <v/>
      </c>
      <c r="F1152" s="3">
        <f>+VLOOKUP($A1152,MAGAZZINO!$B$2:$M$100000,6,FALSE)</f>
        <v/>
      </c>
      <c r="G1152" s="3">
        <f>+VLOOKUP($A1152,MAGAZZINO!$B$2:$M$100000,7,FALSE)</f>
        <v/>
      </c>
      <c r="H1152" s="3">
        <f>+VLOOKUP($A1152,MAGAZZINO!$B$2:$M$100000,8,FALSE)</f>
        <v/>
      </c>
      <c r="I1152" s="3">
        <f>+VLOOKUP($A1152,MAGAZZINO!$B$2:$M$100000,9,FALSE)</f>
        <v/>
      </c>
      <c r="J1152" s="3">
        <f>+VLOOKUP($A1152,MAGAZZINO!$B$2:$M$100000,10,FALSE)</f>
        <v/>
      </c>
      <c r="K1152" s="3">
        <f>+VLOOKUP($A1152,MAGAZZINO!$B$2:$M$100000,11,FALSE)</f>
        <v/>
      </c>
      <c r="L1152" s="5">
        <f>+VLOOKUP($A1152,MAGAZZINO!$B$2:$M$100000,12,FALSE)</f>
        <v/>
      </c>
      <c r="M1152" s="47" t="n"/>
      <c r="N1152" s="88" t="n">
        <v>45887</v>
      </c>
      <c r="O1152" s="91" t="inlineStr">
        <is>
          <t>PHILIPPOS CONSTANTINIDES TRADING CO. LTD (CIPRO)</t>
        </is>
      </c>
      <c r="P1152" s="154" t="inlineStr">
        <is>
          <t xml:space="preserve">IMPORT LICENSE N. 267 DEL 21/07/2025                                                                                         AUT. TRASFERIMENTO N. 6B/2025/4D RILASCIATA IL 28/07/2025   </t>
        </is>
      </c>
      <c r="Q1152" s="150" t="n"/>
      <c r="R1152" s="150" t="n"/>
      <c r="S1152" s="153" t="n"/>
    </row>
    <row r="1153" ht="36" customHeight="1">
      <c r="A1153" s="46" t="n">
        <v>3483</v>
      </c>
      <c r="B1153" s="4">
        <f>+VLOOKUP($A1153,MAGAZZINO!$B$2:$M$100000,2,FALSE)</f>
        <v/>
      </c>
      <c r="C1153" s="29">
        <f>+VLOOKUP($A1153,MAGAZZINO!$B$2:$M$100000,3,FALSE)</f>
        <v/>
      </c>
      <c r="D1153" s="3">
        <f>+VLOOKUP($A1153,MAGAZZINO!$B$2:$M$100000,4,FALSE)</f>
        <v/>
      </c>
      <c r="E1153" s="3">
        <f>+VLOOKUP($A1153,MAGAZZINO!$B$2:$M$100000,5,FALSE)</f>
        <v/>
      </c>
      <c r="F1153" s="3">
        <f>+VLOOKUP($A1153,MAGAZZINO!$B$2:$M$100000,6,FALSE)</f>
        <v/>
      </c>
      <c r="G1153" s="3">
        <f>+VLOOKUP($A1153,MAGAZZINO!$B$2:$M$100000,7,FALSE)</f>
        <v/>
      </c>
      <c r="H1153" s="3">
        <f>+VLOOKUP($A1153,MAGAZZINO!$B$2:$M$100000,8,FALSE)</f>
        <v/>
      </c>
      <c r="I1153" s="3">
        <f>+VLOOKUP($A1153,MAGAZZINO!$B$2:$M$100000,9,FALSE)</f>
        <v/>
      </c>
      <c r="J1153" s="3">
        <f>+VLOOKUP($A1153,MAGAZZINO!$B$2:$M$100000,10,FALSE)</f>
        <v/>
      </c>
      <c r="K1153" s="3">
        <f>+VLOOKUP($A1153,MAGAZZINO!$B$2:$M$100000,11,FALSE)</f>
        <v/>
      </c>
      <c r="L1153" s="5">
        <f>+VLOOKUP($A1153,MAGAZZINO!$B$2:$M$100000,12,FALSE)</f>
        <v/>
      </c>
      <c r="M1153" s="47" t="n"/>
      <c r="N1153" s="88" t="n">
        <v>45887</v>
      </c>
      <c r="O1153" s="91" t="inlineStr">
        <is>
          <t>PHILIPPOS CONSTANTINIDES TRADING CO. LTD (CIPRO)</t>
        </is>
      </c>
      <c r="P1153" s="154" t="inlineStr">
        <is>
          <t xml:space="preserve">IMPORT LICENSE N. 267 DEL 21/07/2025                                                                                         AUT. TRASFERIMENTO N. 6B/2025/4D RILASCIATA IL 28/07/2025   </t>
        </is>
      </c>
      <c r="Q1153" s="150" t="n"/>
      <c r="R1153" s="150" t="n"/>
      <c r="S1153" s="153" t="n"/>
    </row>
    <row r="1154" ht="36" customHeight="1">
      <c r="A1154" s="46" t="n">
        <v>3484</v>
      </c>
      <c r="B1154" s="4">
        <f>+VLOOKUP($A1154,MAGAZZINO!$B$2:$M$100000,2,FALSE)</f>
        <v/>
      </c>
      <c r="C1154" s="29">
        <f>+VLOOKUP($A1154,MAGAZZINO!$B$2:$M$100000,3,FALSE)</f>
        <v/>
      </c>
      <c r="D1154" s="3">
        <f>+VLOOKUP($A1154,MAGAZZINO!$B$2:$M$100000,4,FALSE)</f>
        <v/>
      </c>
      <c r="E1154" s="3">
        <f>+VLOOKUP($A1154,MAGAZZINO!$B$2:$M$100000,5,FALSE)</f>
        <v/>
      </c>
      <c r="F1154" s="3">
        <f>+VLOOKUP($A1154,MAGAZZINO!$B$2:$M$100000,6,FALSE)</f>
        <v/>
      </c>
      <c r="G1154" s="3">
        <f>+VLOOKUP($A1154,MAGAZZINO!$B$2:$M$100000,7,FALSE)</f>
        <v/>
      </c>
      <c r="H1154" s="3">
        <f>+VLOOKUP($A1154,MAGAZZINO!$B$2:$M$100000,8,FALSE)</f>
        <v/>
      </c>
      <c r="I1154" s="3">
        <f>+VLOOKUP($A1154,MAGAZZINO!$B$2:$M$100000,9,FALSE)</f>
        <v/>
      </c>
      <c r="J1154" s="3">
        <f>+VLOOKUP($A1154,MAGAZZINO!$B$2:$M$100000,10,FALSE)</f>
        <v/>
      </c>
      <c r="K1154" s="3">
        <f>+VLOOKUP($A1154,MAGAZZINO!$B$2:$M$100000,11,FALSE)</f>
        <v/>
      </c>
      <c r="L1154" s="5">
        <f>+VLOOKUP($A1154,MAGAZZINO!$B$2:$M$100000,12,FALSE)</f>
        <v/>
      </c>
      <c r="M1154" s="47" t="n"/>
      <c r="N1154" s="88" t="n">
        <v>45887</v>
      </c>
      <c r="O1154" s="91" t="inlineStr">
        <is>
          <t>PHILIPPOS CONSTANTINIDES TRADING CO. LTD (CIPRO)</t>
        </is>
      </c>
      <c r="P1154" s="154" t="inlineStr">
        <is>
          <t xml:space="preserve">IMPORT LICENSE N. 267 DEL 21/07/2025                                                                                         AUT. TRASFERIMENTO N. 6B/2025/4D RILASCIATA IL 28/07/2025   </t>
        </is>
      </c>
      <c r="Q1154" s="150" t="n"/>
      <c r="R1154" s="150" t="n"/>
      <c r="S1154" s="153" t="n"/>
    </row>
    <row r="1155" ht="36" customHeight="1">
      <c r="A1155" s="46" t="n">
        <v>3485</v>
      </c>
      <c r="B1155" s="4">
        <f>+VLOOKUP($A1155,MAGAZZINO!$B$2:$M$100000,2,FALSE)</f>
        <v/>
      </c>
      <c r="C1155" s="29">
        <f>+VLOOKUP($A1155,MAGAZZINO!$B$2:$M$100000,3,FALSE)</f>
        <v/>
      </c>
      <c r="D1155" s="3">
        <f>+VLOOKUP($A1155,MAGAZZINO!$B$2:$M$100000,4,FALSE)</f>
        <v/>
      </c>
      <c r="E1155" s="3">
        <f>+VLOOKUP($A1155,MAGAZZINO!$B$2:$M$100000,5,FALSE)</f>
        <v/>
      </c>
      <c r="F1155" s="3">
        <f>+VLOOKUP($A1155,MAGAZZINO!$B$2:$M$100000,6,FALSE)</f>
        <v/>
      </c>
      <c r="G1155" s="3">
        <f>+VLOOKUP($A1155,MAGAZZINO!$B$2:$M$100000,7,FALSE)</f>
        <v/>
      </c>
      <c r="H1155" s="3">
        <f>+VLOOKUP($A1155,MAGAZZINO!$B$2:$M$100000,8,FALSE)</f>
        <v/>
      </c>
      <c r="I1155" s="3">
        <f>+VLOOKUP($A1155,MAGAZZINO!$B$2:$M$100000,9,FALSE)</f>
        <v/>
      </c>
      <c r="J1155" s="3">
        <f>+VLOOKUP($A1155,MAGAZZINO!$B$2:$M$100000,10,FALSE)</f>
        <v/>
      </c>
      <c r="K1155" s="3">
        <f>+VLOOKUP($A1155,MAGAZZINO!$B$2:$M$100000,11,FALSE)</f>
        <v/>
      </c>
      <c r="L1155" s="5">
        <f>+VLOOKUP($A1155,MAGAZZINO!$B$2:$M$100000,12,FALSE)</f>
        <v/>
      </c>
      <c r="M1155" s="47" t="n"/>
      <c r="N1155" s="88" t="n">
        <v>45887</v>
      </c>
      <c r="O1155" s="91" t="inlineStr">
        <is>
          <t>PHILIPPOS CONSTANTINIDES TRADING CO. LTD (CIPRO)</t>
        </is>
      </c>
      <c r="P1155" s="154" t="inlineStr">
        <is>
          <t xml:space="preserve">IMPORT LICENSE N. 267 DEL 21/07/2025                                                                                         AUT. TRASFERIMENTO N. 6B/2025/4D RILASCIATA IL 28/07/2025   </t>
        </is>
      </c>
      <c r="Q1155" s="150" t="n"/>
      <c r="R1155" s="150" t="n"/>
      <c r="S1155" s="153" t="n"/>
    </row>
    <row r="1156" ht="36" customHeight="1">
      <c r="A1156" s="46" t="n">
        <v>3486</v>
      </c>
      <c r="B1156" s="4">
        <f>+VLOOKUP($A1156,MAGAZZINO!$B$2:$M$100000,2,FALSE)</f>
        <v/>
      </c>
      <c r="C1156" s="29">
        <f>+VLOOKUP($A1156,MAGAZZINO!$B$2:$M$100000,3,FALSE)</f>
        <v/>
      </c>
      <c r="D1156" s="3">
        <f>+VLOOKUP($A1156,MAGAZZINO!$B$2:$M$100000,4,FALSE)</f>
        <v/>
      </c>
      <c r="E1156" s="3">
        <f>+VLOOKUP($A1156,MAGAZZINO!$B$2:$M$100000,5,FALSE)</f>
        <v/>
      </c>
      <c r="F1156" s="3">
        <f>+VLOOKUP($A1156,MAGAZZINO!$B$2:$M$100000,6,FALSE)</f>
        <v/>
      </c>
      <c r="G1156" s="3">
        <f>+VLOOKUP($A1156,MAGAZZINO!$B$2:$M$100000,7,FALSE)</f>
        <v/>
      </c>
      <c r="H1156" s="3">
        <f>+VLOOKUP($A1156,MAGAZZINO!$B$2:$M$100000,8,FALSE)</f>
        <v/>
      </c>
      <c r="I1156" s="3">
        <f>+VLOOKUP($A1156,MAGAZZINO!$B$2:$M$100000,9,FALSE)</f>
        <v/>
      </c>
      <c r="J1156" s="3">
        <f>+VLOOKUP($A1156,MAGAZZINO!$B$2:$M$100000,10,FALSE)</f>
        <v/>
      </c>
      <c r="K1156" s="3">
        <f>+VLOOKUP($A1156,MAGAZZINO!$B$2:$M$100000,11,FALSE)</f>
        <v/>
      </c>
      <c r="L1156" s="5">
        <f>+VLOOKUP($A1156,MAGAZZINO!$B$2:$M$100000,12,FALSE)</f>
        <v/>
      </c>
      <c r="M1156" s="47" t="n"/>
      <c r="N1156" s="88" t="n">
        <v>45887</v>
      </c>
      <c r="O1156" s="91" t="inlineStr">
        <is>
          <t>PHILIPPOS CONSTANTINIDES TRADING CO. LTD (CIPRO)</t>
        </is>
      </c>
      <c r="P1156" s="154" t="inlineStr">
        <is>
          <t xml:space="preserve">IMPORT LICENSE N. 267 DEL 21/07/2025                                                                                         AUT. TRASFERIMENTO N. 6B/2025/4D RILASCIATA IL 28/07/2025   </t>
        </is>
      </c>
      <c r="Q1156" s="150" t="n"/>
      <c r="R1156" s="150" t="n"/>
      <c r="S1156" s="153" t="n"/>
    </row>
    <row r="1157" ht="36" customHeight="1">
      <c r="A1157" s="46" t="n">
        <v>3487</v>
      </c>
      <c r="B1157" s="4">
        <f>+VLOOKUP($A1157,MAGAZZINO!$B$2:$M$100000,2,FALSE)</f>
        <v/>
      </c>
      <c r="C1157" s="29">
        <f>+VLOOKUP($A1157,MAGAZZINO!$B$2:$M$100000,3,FALSE)</f>
        <v/>
      </c>
      <c r="D1157" s="3">
        <f>+VLOOKUP($A1157,MAGAZZINO!$B$2:$M$100000,4,FALSE)</f>
        <v/>
      </c>
      <c r="E1157" s="3">
        <f>+VLOOKUP($A1157,MAGAZZINO!$B$2:$M$100000,5,FALSE)</f>
        <v/>
      </c>
      <c r="F1157" s="3">
        <f>+VLOOKUP($A1157,MAGAZZINO!$B$2:$M$100000,6,FALSE)</f>
        <v/>
      </c>
      <c r="G1157" s="3">
        <f>+VLOOKUP($A1157,MAGAZZINO!$B$2:$M$100000,7,FALSE)</f>
        <v/>
      </c>
      <c r="H1157" s="3">
        <f>+VLOOKUP($A1157,MAGAZZINO!$B$2:$M$100000,8,FALSE)</f>
        <v/>
      </c>
      <c r="I1157" s="3">
        <f>+VLOOKUP($A1157,MAGAZZINO!$B$2:$M$100000,9,FALSE)</f>
        <v/>
      </c>
      <c r="J1157" s="3">
        <f>+VLOOKUP($A1157,MAGAZZINO!$B$2:$M$100000,10,FALSE)</f>
        <v/>
      </c>
      <c r="K1157" s="3">
        <f>+VLOOKUP($A1157,MAGAZZINO!$B$2:$M$100000,11,FALSE)</f>
        <v/>
      </c>
      <c r="L1157" s="5">
        <f>+VLOOKUP($A1157,MAGAZZINO!$B$2:$M$100000,12,FALSE)</f>
        <v/>
      </c>
      <c r="M1157" s="47" t="n"/>
      <c r="N1157" s="88" t="n">
        <v>45887</v>
      </c>
      <c r="O1157" s="91" t="inlineStr">
        <is>
          <t>PHILIPPOS CONSTANTINIDES TRADING CO. LTD (CIPRO)</t>
        </is>
      </c>
      <c r="P1157" s="154" t="inlineStr">
        <is>
          <t xml:space="preserve">IMPORT LICENSE N. 267 DEL 21/07/2025                                                                                         AUT. TRASFERIMENTO N. 6B/2025/4D RILASCIATA IL 28/07/2025   </t>
        </is>
      </c>
      <c r="Q1157" s="150" t="n"/>
      <c r="R1157" s="150" t="n"/>
      <c r="S1157" s="153" t="n"/>
    </row>
    <row r="1158" ht="36" customHeight="1">
      <c r="A1158" s="46" t="n">
        <v>3488</v>
      </c>
      <c r="B1158" s="4">
        <f>+VLOOKUP($A1158,MAGAZZINO!$B$2:$M$100000,2,FALSE)</f>
        <v/>
      </c>
      <c r="C1158" s="29">
        <f>+VLOOKUP($A1158,MAGAZZINO!$B$2:$M$100000,3,FALSE)</f>
        <v/>
      </c>
      <c r="D1158" s="3">
        <f>+VLOOKUP($A1158,MAGAZZINO!$B$2:$M$100000,4,FALSE)</f>
        <v/>
      </c>
      <c r="E1158" s="3">
        <f>+VLOOKUP($A1158,MAGAZZINO!$B$2:$M$100000,5,FALSE)</f>
        <v/>
      </c>
      <c r="F1158" s="3">
        <f>+VLOOKUP($A1158,MAGAZZINO!$B$2:$M$100000,6,FALSE)</f>
        <v/>
      </c>
      <c r="G1158" s="3">
        <f>+VLOOKUP($A1158,MAGAZZINO!$B$2:$M$100000,7,FALSE)</f>
        <v/>
      </c>
      <c r="H1158" s="3">
        <f>+VLOOKUP($A1158,MAGAZZINO!$B$2:$M$100000,8,FALSE)</f>
        <v/>
      </c>
      <c r="I1158" s="3">
        <f>+VLOOKUP($A1158,MAGAZZINO!$B$2:$M$100000,9,FALSE)</f>
        <v/>
      </c>
      <c r="J1158" s="3">
        <f>+VLOOKUP($A1158,MAGAZZINO!$B$2:$M$100000,10,FALSE)</f>
        <v/>
      </c>
      <c r="K1158" s="3">
        <f>+VLOOKUP($A1158,MAGAZZINO!$B$2:$M$100000,11,FALSE)</f>
        <v/>
      </c>
      <c r="L1158" s="5">
        <f>+VLOOKUP($A1158,MAGAZZINO!$B$2:$M$100000,12,FALSE)</f>
        <v/>
      </c>
      <c r="M1158" s="47" t="n"/>
      <c r="N1158" s="54" t="n"/>
      <c r="O1158" s="3" t="n"/>
      <c r="P1158" s="149" t="n"/>
      <c r="Q1158" s="150" t="n"/>
      <c r="R1158" s="150" t="n"/>
      <c r="S1158" s="151" t="n"/>
    </row>
    <row r="1159" ht="36" customHeight="1">
      <c r="A1159" s="46" t="n">
        <v>3489</v>
      </c>
      <c r="B1159" s="4">
        <f>+VLOOKUP($A1159,MAGAZZINO!$B$2:$M$100000,2,FALSE)</f>
        <v/>
      </c>
      <c r="C1159" s="29">
        <f>+VLOOKUP($A1159,MAGAZZINO!$B$2:$M$100000,3,FALSE)</f>
        <v/>
      </c>
      <c r="D1159" s="3">
        <f>+VLOOKUP($A1159,MAGAZZINO!$B$2:$M$100000,4,FALSE)</f>
        <v/>
      </c>
      <c r="E1159" s="3">
        <f>+VLOOKUP($A1159,MAGAZZINO!$B$2:$M$100000,5,FALSE)</f>
        <v/>
      </c>
      <c r="F1159" s="3">
        <f>+VLOOKUP($A1159,MAGAZZINO!$B$2:$M$100000,6,FALSE)</f>
        <v/>
      </c>
      <c r="G1159" s="3">
        <f>+VLOOKUP($A1159,MAGAZZINO!$B$2:$M$100000,7,FALSE)</f>
        <v/>
      </c>
      <c r="H1159" s="3">
        <f>+VLOOKUP($A1159,MAGAZZINO!$B$2:$M$100000,8,FALSE)</f>
        <v/>
      </c>
      <c r="I1159" s="3">
        <f>+VLOOKUP($A1159,MAGAZZINO!$B$2:$M$100000,9,FALSE)</f>
        <v/>
      </c>
      <c r="J1159" s="3">
        <f>+VLOOKUP($A1159,MAGAZZINO!$B$2:$M$100000,10,FALSE)</f>
        <v/>
      </c>
      <c r="K1159" s="3">
        <f>+VLOOKUP($A1159,MAGAZZINO!$B$2:$M$100000,11,FALSE)</f>
        <v/>
      </c>
      <c r="L1159" s="5">
        <f>+VLOOKUP($A1159,MAGAZZINO!$B$2:$M$100000,12,FALSE)</f>
        <v/>
      </c>
      <c r="M1159" s="47" t="n"/>
      <c r="N1159" s="88" t="n">
        <v>45887</v>
      </c>
      <c r="O1159" s="91" t="inlineStr">
        <is>
          <t>PHILIPPOS CONSTANTINIDES TRADING CO. LTD (CIPRO)</t>
        </is>
      </c>
      <c r="P1159" s="154" t="inlineStr">
        <is>
          <t xml:space="preserve">IMPORT LICENSE N. 267 DEL 21/07/2025                                                                                         AUT. TRASFERIMENTO N. 6B/2025/4D RILASCIATA IL 28/07/2025   </t>
        </is>
      </c>
      <c r="Q1159" s="150" t="n"/>
      <c r="R1159" s="150" t="n"/>
      <c r="S1159" s="153" t="n"/>
    </row>
    <row r="1160" ht="36" customHeight="1">
      <c r="A1160" s="46" t="n">
        <v>3490</v>
      </c>
      <c r="B1160" s="4">
        <f>+VLOOKUP($A1160,MAGAZZINO!$B$2:$M$100000,2,FALSE)</f>
        <v/>
      </c>
      <c r="C1160" s="29">
        <f>+VLOOKUP($A1160,MAGAZZINO!$B$2:$M$100000,3,FALSE)</f>
        <v/>
      </c>
      <c r="D1160" s="3">
        <f>+VLOOKUP($A1160,MAGAZZINO!$B$2:$M$100000,4,FALSE)</f>
        <v/>
      </c>
      <c r="E1160" s="3">
        <f>+VLOOKUP($A1160,MAGAZZINO!$B$2:$M$100000,5,FALSE)</f>
        <v/>
      </c>
      <c r="F1160" s="3">
        <f>+VLOOKUP($A1160,MAGAZZINO!$B$2:$M$100000,6,FALSE)</f>
        <v/>
      </c>
      <c r="G1160" s="3">
        <f>+VLOOKUP($A1160,MAGAZZINO!$B$2:$M$100000,7,FALSE)</f>
        <v/>
      </c>
      <c r="H1160" s="3">
        <f>+VLOOKUP($A1160,MAGAZZINO!$B$2:$M$100000,8,FALSE)</f>
        <v/>
      </c>
      <c r="I1160" s="3">
        <f>+VLOOKUP($A1160,MAGAZZINO!$B$2:$M$100000,9,FALSE)</f>
        <v/>
      </c>
      <c r="J1160" s="3">
        <f>+VLOOKUP($A1160,MAGAZZINO!$B$2:$M$100000,10,FALSE)</f>
        <v/>
      </c>
      <c r="K1160" s="3">
        <f>+VLOOKUP($A1160,MAGAZZINO!$B$2:$M$100000,11,FALSE)</f>
        <v/>
      </c>
      <c r="L1160" s="5">
        <f>+VLOOKUP($A1160,MAGAZZINO!$B$2:$M$100000,12,FALSE)</f>
        <v/>
      </c>
      <c r="M1160" s="47" t="n"/>
      <c r="N1160" s="88" t="n">
        <v>45887</v>
      </c>
      <c r="O1160" s="91" t="inlineStr">
        <is>
          <t>PHILIPPOS CONSTANTINIDES TRADING CO. LTD (CIPRO)</t>
        </is>
      </c>
      <c r="P1160" s="154" t="inlineStr">
        <is>
          <t xml:space="preserve">IMPORT LICENSE N. 267 DEL 21/07/2025                                                                                         AUT. TRASFERIMENTO N. 6B/2025/4D RILASCIATA IL 28/07/2025   </t>
        </is>
      </c>
      <c r="Q1160" s="150" t="n"/>
      <c r="R1160" s="150" t="n"/>
      <c r="S1160" s="153" t="n"/>
    </row>
    <row r="1161" ht="36" customHeight="1">
      <c r="A1161" s="46" t="n">
        <v>3491</v>
      </c>
      <c r="B1161" s="4">
        <f>+VLOOKUP($A1161,MAGAZZINO!$B$2:$M$100000,2,FALSE)</f>
        <v/>
      </c>
      <c r="C1161" s="29">
        <f>+VLOOKUP($A1161,MAGAZZINO!$B$2:$M$100000,3,FALSE)</f>
        <v/>
      </c>
      <c r="D1161" s="3">
        <f>+VLOOKUP($A1161,MAGAZZINO!$B$2:$M$100000,4,FALSE)</f>
        <v/>
      </c>
      <c r="E1161" s="3">
        <f>+VLOOKUP($A1161,MAGAZZINO!$B$2:$M$100000,5,FALSE)</f>
        <v/>
      </c>
      <c r="F1161" s="3">
        <f>+VLOOKUP($A1161,MAGAZZINO!$B$2:$M$100000,6,FALSE)</f>
        <v/>
      </c>
      <c r="G1161" s="3">
        <f>+VLOOKUP($A1161,MAGAZZINO!$B$2:$M$100000,7,FALSE)</f>
        <v/>
      </c>
      <c r="H1161" s="3">
        <f>+VLOOKUP($A1161,MAGAZZINO!$B$2:$M$100000,8,FALSE)</f>
        <v/>
      </c>
      <c r="I1161" s="3">
        <f>+VLOOKUP($A1161,MAGAZZINO!$B$2:$M$100000,9,FALSE)</f>
        <v/>
      </c>
      <c r="J1161" s="3">
        <f>+VLOOKUP($A1161,MAGAZZINO!$B$2:$M$100000,10,FALSE)</f>
        <v/>
      </c>
      <c r="K1161" s="3">
        <f>+VLOOKUP($A1161,MAGAZZINO!$B$2:$M$100000,11,FALSE)</f>
        <v/>
      </c>
      <c r="L1161" s="5">
        <f>+VLOOKUP($A1161,MAGAZZINO!$B$2:$M$100000,12,FALSE)</f>
        <v/>
      </c>
      <c r="M1161" s="47" t="n"/>
      <c r="N1161" s="88" t="n">
        <v>45887</v>
      </c>
      <c r="O1161" s="91" t="inlineStr">
        <is>
          <t>PHILIPPOS CONSTANTINIDES TRADING CO. LTD (CIPRO)</t>
        </is>
      </c>
      <c r="P1161" s="154" t="inlineStr">
        <is>
          <t xml:space="preserve">IMPORT LICENSE N. 267 DEL 21/07/2025                                                                                         AUT. TRASFERIMENTO N. 6B/2025/4D RILASCIATA IL 28/07/2025   </t>
        </is>
      </c>
      <c r="Q1161" s="150" t="n"/>
      <c r="R1161" s="150" t="n"/>
      <c r="S1161" s="153" t="n"/>
    </row>
    <row r="1162" ht="36" customHeight="1">
      <c r="A1162" s="46" t="n">
        <v>3492</v>
      </c>
      <c r="B1162" s="4">
        <f>+VLOOKUP($A1162,MAGAZZINO!$B$2:$M$100000,2,FALSE)</f>
        <v/>
      </c>
      <c r="C1162" s="29">
        <f>+VLOOKUP($A1162,MAGAZZINO!$B$2:$M$100000,3,FALSE)</f>
        <v/>
      </c>
      <c r="D1162" s="3">
        <f>+VLOOKUP($A1162,MAGAZZINO!$B$2:$M$100000,4,FALSE)</f>
        <v/>
      </c>
      <c r="E1162" s="3">
        <f>+VLOOKUP($A1162,MAGAZZINO!$B$2:$M$100000,5,FALSE)</f>
        <v/>
      </c>
      <c r="F1162" s="3">
        <f>+VLOOKUP($A1162,MAGAZZINO!$B$2:$M$100000,6,FALSE)</f>
        <v/>
      </c>
      <c r="G1162" s="3">
        <f>+VLOOKUP($A1162,MAGAZZINO!$B$2:$M$100000,7,FALSE)</f>
        <v/>
      </c>
      <c r="H1162" s="3">
        <f>+VLOOKUP($A1162,MAGAZZINO!$B$2:$M$100000,8,FALSE)</f>
        <v/>
      </c>
      <c r="I1162" s="3">
        <f>+VLOOKUP($A1162,MAGAZZINO!$B$2:$M$100000,9,FALSE)</f>
        <v/>
      </c>
      <c r="J1162" s="3">
        <f>+VLOOKUP($A1162,MAGAZZINO!$B$2:$M$100000,10,FALSE)</f>
        <v/>
      </c>
      <c r="K1162" s="3">
        <f>+VLOOKUP($A1162,MAGAZZINO!$B$2:$M$100000,11,FALSE)</f>
        <v/>
      </c>
      <c r="L1162" s="5">
        <f>+VLOOKUP($A1162,MAGAZZINO!$B$2:$M$100000,12,FALSE)</f>
        <v/>
      </c>
      <c r="M1162" s="47" t="n"/>
      <c r="N1162" s="88" t="n">
        <v>45887</v>
      </c>
      <c r="O1162" s="91" t="inlineStr">
        <is>
          <t>PHILIPPOS CONSTANTINIDES TRADING CO. LTD (CIPRO)</t>
        </is>
      </c>
      <c r="P1162" s="154" t="inlineStr">
        <is>
          <t xml:space="preserve">IMPORT LICENSE N. 267 DEL 21/07/2025                                                                                         AUT. TRASFERIMENTO N. 6B/2025/4D RILASCIATA IL 28/07/2025   </t>
        </is>
      </c>
      <c r="Q1162" s="150" t="n"/>
      <c r="R1162" s="150" t="n"/>
      <c r="S1162" s="153" t="n"/>
    </row>
    <row r="1163" ht="36" customHeight="1">
      <c r="A1163" s="46" t="n">
        <v>3493</v>
      </c>
      <c r="B1163" s="4">
        <f>+VLOOKUP($A1163,MAGAZZINO!$B$2:$M$100000,2,FALSE)</f>
        <v/>
      </c>
      <c r="C1163" s="29">
        <f>+VLOOKUP($A1163,MAGAZZINO!$B$2:$M$100000,3,FALSE)</f>
        <v/>
      </c>
      <c r="D1163" s="3">
        <f>+VLOOKUP($A1163,MAGAZZINO!$B$2:$M$100000,4,FALSE)</f>
        <v/>
      </c>
      <c r="E1163" s="3">
        <f>+VLOOKUP($A1163,MAGAZZINO!$B$2:$M$100000,5,FALSE)</f>
        <v/>
      </c>
      <c r="F1163" s="3">
        <f>+VLOOKUP($A1163,MAGAZZINO!$B$2:$M$100000,6,FALSE)</f>
        <v/>
      </c>
      <c r="G1163" s="3">
        <f>+VLOOKUP($A1163,MAGAZZINO!$B$2:$M$100000,7,FALSE)</f>
        <v/>
      </c>
      <c r="H1163" s="3">
        <f>+VLOOKUP($A1163,MAGAZZINO!$B$2:$M$100000,8,FALSE)</f>
        <v/>
      </c>
      <c r="I1163" s="3">
        <f>+VLOOKUP($A1163,MAGAZZINO!$B$2:$M$100000,9,FALSE)</f>
        <v/>
      </c>
      <c r="J1163" s="3">
        <f>+VLOOKUP($A1163,MAGAZZINO!$B$2:$M$100000,10,FALSE)</f>
        <v/>
      </c>
      <c r="K1163" s="3">
        <f>+VLOOKUP($A1163,MAGAZZINO!$B$2:$M$100000,11,FALSE)</f>
        <v/>
      </c>
      <c r="L1163" s="5">
        <f>+VLOOKUP($A1163,MAGAZZINO!$B$2:$M$100000,12,FALSE)</f>
        <v/>
      </c>
      <c r="M1163" s="47" t="n"/>
      <c r="N1163" s="88" t="n">
        <v>45887</v>
      </c>
      <c r="O1163" s="91" t="inlineStr">
        <is>
          <t>PHILIPPOS CONSTANTINIDES TRADING CO. LTD (CIPRO)</t>
        </is>
      </c>
      <c r="P1163" s="154" t="inlineStr">
        <is>
          <t xml:space="preserve">IMPORT LICENSE N. 267 DEL 21/07/2025                                                                                         AUT. TRASFERIMENTO N. 6B/2025/4D RILASCIATA IL 28/07/2025   </t>
        </is>
      </c>
      <c r="Q1163" s="150" t="n"/>
      <c r="R1163" s="150" t="n"/>
      <c r="S1163" s="153" t="n"/>
    </row>
    <row r="1164" ht="36" customHeight="1">
      <c r="A1164" s="46" t="n">
        <v>3494</v>
      </c>
      <c r="B1164" s="4">
        <f>+VLOOKUP($A1164,MAGAZZINO!$B$2:$M$100000,2,FALSE)</f>
        <v/>
      </c>
      <c r="C1164" s="29">
        <f>+VLOOKUP($A1164,MAGAZZINO!$B$2:$M$100000,3,FALSE)</f>
        <v/>
      </c>
      <c r="D1164" s="3">
        <f>+VLOOKUP($A1164,MAGAZZINO!$B$2:$M$100000,4,FALSE)</f>
        <v/>
      </c>
      <c r="E1164" s="3">
        <f>+VLOOKUP($A1164,MAGAZZINO!$B$2:$M$100000,5,FALSE)</f>
        <v/>
      </c>
      <c r="F1164" s="3">
        <f>+VLOOKUP($A1164,MAGAZZINO!$B$2:$M$100000,6,FALSE)</f>
        <v/>
      </c>
      <c r="G1164" s="3">
        <f>+VLOOKUP($A1164,MAGAZZINO!$B$2:$M$100000,7,FALSE)</f>
        <v/>
      </c>
      <c r="H1164" s="3">
        <f>+VLOOKUP($A1164,MAGAZZINO!$B$2:$M$100000,8,FALSE)</f>
        <v/>
      </c>
      <c r="I1164" s="3">
        <f>+VLOOKUP($A1164,MAGAZZINO!$B$2:$M$100000,9,FALSE)</f>
        <v/>
      </c>
      <c r="J1164" s="3">
        <f>+VLOOKUP($A1164,MAGAZZINO!$B$2:$M$100000,10,FALSE)</f>
        <v/>
      </c>
      <c r="K1164" s="3">
        <f>+VLOOKUP($A1164,MAGAZZINO!$B$2:$M$100000,11,FALSE)</f>
        <v/>
      </c>
      <c r="L1164" s="5">
        <f>+VLOOKUP($A1164,MAGAZZINO!$B$2:$M$100000,12,FALSE)</f>
        <v/>
      </c>
      <c r="M1164" s="47" t="n"/>
      <c r="N1164" s="88" t="n">
        <v>45887</v>
      </c>
      <c r="O1164" s="91" t="inlineStr">
        <is>
          <t>PHILIPPOS CONSTANTINIDES TRADING CO. LTD (CIPRO)</t>
        </is>
      </c>
      <c r="P1164" s="154" t="inlineStr">
        <is>
          <t xml:space="preserve">IMPORT LICENSE N. 267 DEL 21/07/2025                                                                                         AUT. TRASFERIMENTO N. 6B/2025/4D RILASCIATA IL 28/07/2025   </t>
        </is>
      </c>
      <c r="Q1164" s="150" t="n"/>
      <c r="R1164" s="150" t="n"/>
      <c r="S1164" s="153" t="n"/>
    </row>
    <row r="1165" ht="36" customHeight="1">
      <c r="A1165" s="46" t="n">
        <v>3495</v>
      </c>
      <c r="B1165" s="4">
        <f>+VLOOKUP($A1165,MAGAZZINO!$B$2:$M$100000,2,FALSE)</f>
        <v/>
      </c>
      <c r="C1165" s="29">
        <f>+VLOOKUP($A1165,MAGAZZINO!$B$2:$M$100000,3,FALSE)</f>
        <v/>
      </c>
      <c r="D1165" s="3">
        <f>+VLOOKUP($A1165,MAGAZZINO!$B$2:$M$100000,4,FALSE)</f>
        <v/>
      </c>
      <c r="E1165" s="3">
        <f>+VLOOKUP($A1165,MAGAZZINO!$B$2:$M$100000,5,FALSE)</f>
        <v/>
      </c>
      <c r="F1165" s="3">
        <f>+VLOOKUP($A1165,MAGAZZINO!$B$2:$M$100000,6,FALSE)</f>
        <v/>
      </c>
      <c r="G1165" s="3">
        <f>+VLOOKUP($A1165,MAGAZZINO!$B$2:$M$100000,7,FALSE)</f>
        <v/>
      </c>
      <c r="H1165" s="3">
        <f>+VLOOKUP($A1165,MAGAZZINO!$B$2:$M$100000,8,FALSE)</f>
        <v/>
      </c>
      <c r="I1165" s="3">
        <f>+VLOOKUP($A1165,MAGAZZINO!$B$2:$M$100000,9,FALSE)</f>
        <v/>
      </c>
      <c r="J1165" s="3">
        <f>+VLOOKUP($A1165,MAGAZZINO!$B$2:$M$100000,10,FALSE)</f>
        <v/>
      </c>
      <c r="K1165" s="3">
        <f>+VLOOKUP($A1165,MAGAZZINO!$B$2:$M$100000,11,FALSE)</f>
        <v/>
      </c>
      <c r="L1165" s="5">
        <f>+VLOOKUP($A1165,MAGAZZINO!$B$2:$M$100000,12,FALSE)</f>
        <v/>
      </c>
      <c r="M1165" s="47" t="n"/>
      <c r="N1165" s="88" t="n">
        <v>45887</v>
      </c>
      <c r="O1165" s="91" t="inlineStr">
        <is>
          <t>PHILIPPOS CONSTANTINIDES TRADING CO. LTD (CIPRO)</t>
        </is>
      </c>
      <c r="P1165" s="154" t="inlineStr">
        <is>
          <t xml:space="preserve">IMPORT LICENSE N. 267 DEL 21/07/2025                                                                                         AUT. TRASFERIMENTO N. 6B/2025/4D RILASCIATA IL 28/07/2025   </t>
        </is>
      </c>
      <c r="Q1165" s="150" t="n"/>
      <c r="R1165" s="150" t="n"/>
      <c r="S1165" s="153" t="n"/>
    </row>
    <row r="1166" ht="36" customHeight="1">
      <c r="A1166" s="46" t="n">
        <v>3496</v>
      </c>
      <c r="B1166" s="4">
        <f>+VLOOKUP($A1166,MAGAZZINO!$B$2:$M$100000,2,FALSE)</f>
        <v/>
      </c>
      <c r="C1166" s="29">
        <f>+VLOOKUP($A1166,MAGAZZINO!$B$2:$M$100000,3,FALSE)</f>
        <v/>
      </c>
      <c r="D1166" s="3">
        <f>+VLOOKUP($A1166,MAGAZZINO!$B$2:$M$100000,4,FALSE)</f>
        <v/>
      </c>
      <c r="E1166" s="3">
        <f>+VLOOKUP($A1166,MAGAZZINO!$B$2:$M$100000,5,FALSE)</f>
        <v/>
      </c>
      <c r="F1166" s="3">
        <f>+VLOOKUP($A1166,MAGAZZINO!$B$2:$M$100000,6,FALSE)</f>
        <v/>
      </c>
      <c r="G1166" s="3">
        <f>+VLOOKUP($A1166,MAGAZZINO!$B$2:$M$100000,7,FALSE)</f>
        <v/>
      </c>
      <c r="H1166" s="3">
        <f>+VLOOKUP($A1166,MAGAZZINO!$B$2:$M$100000,8,FALSE)</f>
        <v/>
      </c>
      <c r="I1166" s="3">
        <f>+VLOOKUP($A1166,MAGAZZINO!$B$2:$M$100000,9,FALSE)</f>
        <v/>
      </c>
      <c r="J1166" s="3">
        <f>+VLOOKUP($A1166,MAGAZZINO!$B$2:$M$100000,10,FALSE)</f>
        <v/>
      </c>
      <c r="K1166" s="3">
        <f>+VLOOKUP($A1166,MAGAZZINO!$B$2:$M$100000,11,FALSE)</f>
        <v/>
      </c>
      <c r="L1166" s="5">
        <f>+VLOOKUP($A1166,MAGAZZINO!$B$2:$M$100000,12,FALSE)</f>
        <v/>
      </c>
      <c r="M1166" s="47" t="n"/>
      <c r="N1166" s="88" t="n">
        <v>45887</v>
      </c>
      <c r="O1166" s="91" t="inlineStr">
        <is>
          <t>PHILIPPOS CONSTANTINIDES TRADING CO. LTD (CIPRO)</t>
        </is>
      </c>
      <c r="P1166" s="154" t="inlineStr">
        <is>
          <t xml:space="preserve">IMPORT LICENSE N. 267 DEL 21/07/2025                                                                                         AUT. TRASFERIMENTO N. 6B/2025/4D RILASCIATA IL 28/07/2025   </t>
        </is>
      </c>
      <c r="Q1166" s="150" t="n"/>
      <c r="R1166" s="150" t="n"/>
      <c r="S1166" s="153" t="n"/>
    </row>
    <row r="1167" ht="36" customHeight="1">
      <c r="A1167" s="46" t="n">
        <v>3497</v>
      </c>
      <c r="B1167" s="4">
        <f>+VLOOKUP($A1167,MAGAZZINO!$B$2:$M$100000,2,FALSE)</f>
        <v/>
      </c>
      <c r="C1167" s="29">
        <f>+VLOOKUP($A1167,MAGAZZINO!$B$2:$M$100000,3,FALSE)</f>
        <v/>
      </c>
      <c r="D1167" s="3">
        <f>+VLOOKUP($A1167,MAGAZZINO!$B$2:$M$100000,4,FALSE)</f>
        <v/>
      </c>
      <c r="E1167" s="3">
        <f>+VLOOKUP($A1167,MAGAZZINO!$B$2:$M$100000,5,FALSE)</f>
        <v/>
      </c>
      <c r="F1167" s="3">
        <f>+VLOOKUP($A1167,MAGAZZINO!$B$2:$M$100000,6,FALSE)</f>
        <v/>
      </c>
      <c r="G1167" s="3">
        <f>+VLOOKUP($A1167,MAGAZZINO!$B$2:$M$100000,7,FALSE)</f>
        <v/>
      </c>
      <c r="H1167" s="3">
        <f>+VLOOKUP($A1167,MAGAZZINO!$B$2:$M$100000,8,FALSE)</f>
        <v/>
      </c>
      <c r="I1167" s="3">
        <f>+VLOOKUP($A1167,MAGAZZINO!$B$2:$M$100000,9,FALSE)</f>
        <v/>
      </c>
      <c r="J1167" s="3">
        <f>+VLOOKUP($A1167,MAGAZZINO!$B$2:$M$100000,10,FALSE)</f>
        <v/>
      </c>
      <c r="K1167" s="3">
        <f>+VLOOKUP($A1167,MAGAZZINO!$B$2:$M$100000,11,FALSE)</f>
        <v/>
      </c>
      <c r="L1167" s="5">
        <f>+VLOOKUP($A1167,MAGAZZINO!$B$2:$M$100000,12,FALSE)</f>
        <v/>
      </c>
      <c r="M1167" s="47" t="n"/>
      <c r="N1167" s="88" t="n">
        <v>45887</v>
      </c>
      <c r="O1167" s="91" t="inlineStr">
        <is>
          <t>PHILIPPOS CONSTANTINIDES TRADING CO. LTD (CIPRO)</t>
        </is>
      </c>
      <c r="P1167" s="154" t="inlineStr">
        <is>
          <t xml:space="preserve">IMPORT LICENSE N. 267 DEL 21/07/2025                                                                                         AUT. TRASFERIMENTO N. 6B/2025/4D RILASCIATA IL 28/07/2025   </t>
        </is>
      </c>
      <c r="Q1167" s="150" t="n"/>
      <c r="R1167" s="150" t="n"/>
      <c r="S1167" s="153" t="n"/>
    </row>
    <row r="1168" ht="36" customHeight="1">
      <c r="A1168" s="46" t="n">
        <v>3498</v>
      </c>
      <c r="B1168" s="4">
        <f>+VLOOKUP($A1168,MAGAZZINO!$B$2:$M$100000,2,FALSE)</f>
        <v/>
      </c>
      <c r="C1168" s="29">
        <f>+VLOOKUP($A1168,MAGAZZINO!$B$2:$M$100000,3,FALSE)</f>
        <v/>
      </c>
      <c r="D1168" s="3">
        <f>+VLOOKUP($A1168,MAGAZZINO!$B$2:$M$100000,4,FALSE)</f>
        <v/>
      </c>
      <c r="E1168" s="3">
        <f>+VLOOKUP($A1168,MAGAZZINO!$B$2:$M$100000,5,FALSE)</f>
        <v/>
      </c>
      <c r="F1168" s="3">
        <f>+VLOOKUP($A1168,MAGAZZINO!$B$2:$M$100000,6,FALSE)</f>
        <v/>
      </c>
      <c r="G1168" s="3">
        <f>+VLOOKUP($A1168,MAGAZZINO!$B$2:$M$100000,7,FALSE)</f>
        <v/>
      </c>
      <c r="H1168" s="3">
        <f>+VLOOKUP($A1168,MAGAZZINO!$B$2:$M$100000,8,FALSE)</f>
        <v/>
      </c>
      <c r="I1168" s="3">
        <f>+VLOOKUP($A1168,MAGAZZINO!$B$2:$M$100000,9,FALSE)</f>
        <v/>
      </c>
      <c r="J1168" s="3">
        <f>+VLOOKUP($A1168,MAGAZZINO!$B$2:$M$100000,10,FALSE)</f>
        <v/>
      </c>
      <c r="K1168" s="3">
        <f>+VLOOKUP($A1168,MAGAZZINO!$B$2:$M$100000,11,FALSE)</f>
        <v/>
      </c>
      <c r="L1168" s="5">
        <f>+VLOOKUP($A1168,MAGAZZINO!$B$2:$M$100000,12,FALSE)</f>
        <v/>
      </c>
      <c r="M1168" s="47" t="n"/>
      <c r="N1168" s="88" t="n">
        <v>45887</v>
      </c>
      <c r="O1168" s="91" t="inlineStr">
        <is>
          <t>PHILIPPOS CONSTANTINIDES TRADING CO. LTD (CIPRO)</t>
        </is>
      </c>
      <c r="P1168" s="154" t="inlineStr">
        <is>
          <t xml:space="preserve">IMPORT LICENSE N. 267 DEL 21/07/2025                                                                                         AUT. TRASFERIMENTO N. 6B/2025/4D RILASCIATA IL 28/07/2025   </t>
        </is>
      </c>
      <c r="Q1168" s="150" t="n"/>
      <c r="R1168" s="150" t="n"/>
      <c r="S1168" s="153" t="n"/>
    </row>
    <row r="1169" ht="36" customHeight="1">
      <c r="A1169" s="46" t="n">
        <v>3499</v>
      </c>
      <c r="B1169" s="4">
        <f>+VLOOKUP($A1169,MAGAZZINO!$B$2:$M$100000,2,FALSE)</f>
        <v/>
      </c>
      <c r="C1169" s="29">
        <f>+VLOOKUP($A1169,MAGAZZINO!$B$2:$M$100000,3,FALSE)</f>
        <v/>
      </c>
      <c r="D1169" s="3">
        <f>+VLOOKUP($A1169,MAGAZZINO!$B$2:$M$100000,4,FALSE)</f>
        <v/>
      </c>
      <c r="E1169" s="3">
        <f>+VLOOKUP($A1169,MAGAZZINO!$B$2:$M$100000,5,FALSE)</f>
        <v/>
      </c>
      <c r="F1169" s="3">
        <f>+VLOOKUP($A1169,MAGAZZINO!$B$2:$M$100000,6,FALSE)</f>
        <v/>
      </c>
      <c r="G1169" s="3">
        <f>+VLOOKUP($A1169,MAGAZZINO!$B$2:$M$100000,7,FALSE)</f>
        <v/>
      </c>
      <c r="H1169" s="3">
        <f>+VLOOKUP($A1169,MAGAZZINO!$B$2:$M$100000,8,FALSE)</f>
        <v/>
      </c>
      <c r="I1169" s="3">
        <f>+VLOOKUP($A1169,MAGAZZINO!$B$2:$M$100000,9,FALSE)</f>
        <v/>
      </c>
      <c r="J1169" s="3">
        <f>+VLOOKUP($A1169,MAGAZZINO!$B$2:$M$100000,10,FALSE)</f>
        <v/>
      </c>
      <c r="K1169" s="3">
        <f>+VLOOKUP($A1169,MAGAZZINO!$B$2:$M$100000,11,FALSE)</f>
        <v/>
      </c>
      <c r="L1169" s="5">
        <f>+VLOOKUP($A1169,MAGAZZINO!$B$2:$M$100000,12,FALSE)</f>
        <v/>
      </c>
      <c r="M1169" s="47" t="n"/>
      <c r="N1169" s="88" t="n">
        <v>45887</v>
      </c>
      <c r="O1169" s="91" t="inlineStr">
        <is>
          <t>PHILIPPOS CONSTANTINIDES TRADING CO. LTD (CIPRO)</t>
        </is>
      </c>
      <c r="P1169" s="154" t="inlineStr">
        <is>
          <t xml:space="preserve">IMPORT LICENSE N. 267 DEL 21/07/2025                                                                                         AUT. TRASFERIMENTO N. 6B/2025/4D RILASCIATA IL 28/07/2025   </t>
        </is>
      </c>
      <c r="Q1169" s="150" t="n"/>
      <c r="R1169" s="150" t="n"/>
      <c r="S1169" s="153" t="n"/>
    </row>
    <row r="1170" ht="36" customHeight="1">
      <c r="A1170" s="46" t="n">
        <v>3500</v>
      </c>
      <c r="B1170" s="4">
        <f>+VLOOKUP($A1170,MAGAZZINO!$B$2:$M$100000,2,FALSE)</f>
        <v/>
      </c>
      <c r="C1170" s="29">
        <f>+VLOOKUP($A1170,MAGAZZINO!$B$2:$M$100000,3,FALSE)</f>
        <v/>
      </c>
      <c r="D1170" s="3">
        <f>+VLOOKUP($A1170,MAGAZZINO!$B$2:$M$100000,4,FALSE)</f>
        <v/>
      </c>
      <c r="E1170" s="3">
        <f>+VLOOKUP($A1170,MAGAZZINO!$B$2:$M$100000,5,FALSE)</f>
        <v/>
      </c>
      <c r="F1170" s="3">
        <f>+VLOOKUP($A1170,MAGAZZINO!$B$2:$M$100000,6,FALSE)</f>
        <v/>
      </c>
      <c r="G1170" s="3">
        <f>+VLOOKUP($A1170,MAGAZZINO!$B$2:$M$100000,7,FALSE)</f>
        <v/>
      </c>
      <c r="H1170" s="3">
        <f>+VLOOKUP($A1170,MAGAZZINO!$B$2:$M$100000,8,FALSE)</f>
        <v/>
      </c>
      <c r="I1170" s="3">
        <f>+VLOOKUP($A1170,MAGAZZINO!$B$2:$M$100000,9,FALSE)</f>
        <v/>
      </c>
      <c r="J1170" s="3">
        <f>+VLOOKUP($A1170,MAGAZZINO!$B$2:$M$100000,10,FALSE)</f>
        <v/>
      </c>
      <c r="K1170" s="3">
        <f>+VLOOKUP($A1170,MAGAZZINO!$B$2:$M$100000,11,FALSE)</f>
        <v/>
      </c>
      <c r="L1170" s="5">
        <f>+VLOOKUP($A1170,MAGAZZINO!$B$2:$M$100000,12,FALSE)</f>
        <v/>
      </c>
      <c r="M1170" s="47" t="n"/>
      <c r="N1170" s="88" t="n">
        <v>45887</v>
      </c>
      <c r="O1170" s="91" t="inlineStr">
        <is>
          <t>PHILIPPOS CONSTANTINIDES TRADING CO. LTD (CIPRO)</t>
        </is>
      </c>
      <c r="P1170" s="154" t="inlineStr">
        <is>
          <t xml:space="preserve">IMPORT LICENSE N. 267 DEL 21/07/2025                                                                                         AUT. TRASFERIMENTO N. 6B/2025/4D RILASCIATA IL 28/07/2025   </t>
        </is>
      </c>
      <c r="Q1170" s="150" t="n"/>
      <c r="R1170" s="150" t="n"/>
      <c r="S1170" s="153" t="n"/>
    </row>
    <row r="1171" ht="36" customHeight="1">
      <c r="A1171" s="46" t="n">
        <v>3501</v>
      </c>
      <c r="B1171" s="4">
        <f>+VLOOKUP($A1171,MAGAZZINO!$B$2:$M$100000,2,FALSE)</f>
        <v/>
      </c>
      <c r="C1171" s="29">
        <f>+VLOOKUP($A1171,MAGAZZINO!$B$2:$M$100000,3,FALSE)</f>
        <v/>
      </c>
      <c r="D1171" s="3">
        <f>+VLOOKUP($A1171,MAGAZZINO!$B$2:$M$100000,4,FALSE)</f>
        <v/>
      </c>
      <c r="E1171" s="3">
        <f>+VLOOKUP($A1171,MAGAZZINO!$B$2:$M$100000,5,FALSE)</f>
        <v/>
      </c>
      <c r="F1171" s="3">
        <f>+VLOOKUP($A1171,MAGAZZINO!$B$2:$M$100000,6,FALSE)</f>
        <v/>
      </c>
      <c r="G1171" s="3">
        <f>+VLOOKUP($A1171,MAGAZZINO!$B$2:$M$100000,7,FALSE)</f>
        <v/>
      </c>
      <c r="H1171" s="3">
        <f>+VLOOKUP($A1171,MAGAZZINO!$B$2:$M$100000,8,FALSE)</f>
        <v/>
      </c>
      <c r="I1171" s="3">
        <f>+VLOOKUP($A1171,MAGAZZINO!$B$2:$M$100000,9,FALSE)</f>
        <v/>
      </c>
      <c r="J1171" s="3">
        <f>+VLOOKUP($A1171,MAGAZZINO!$B$2:$M$100000,10,FALSE)</f>
        <v/>
      </c>
      <c r="K1171" s="3">
        <f>+VLOOKUP($A1171,MAGAZZINO!$B$2:$M$100000,11,FALSE)</f>
        <v/>
      </c>
      <c r="L1171" s="5">
        <f>+VLOOKUP($A1171,MAGAZZINO!$B$2:$M$100000,12,FALSE)</f>
        <v/>
      </c>
      <c r="M1171" s="47" t="n"/>
      <c r="N1171" s="88" t="n">
        <v>45887</v>
      </c>
      <c r="O1171" s="91" t="inlineStr">
        <is>
          <t>PHILIPPOS CONSTANTINIDES TRADING CO. LTD (CIPRO)</t>
        </is>
      </c>
      <c r="P1171" s="154" t="inlineStr">
        <is>
          <t xml:space="preserve">IMPORT LICENSE N. 267 DEL 21/07/2025                                                                                         AUT. TRASFERIMENTO N. 6B/2025/4D RILASCIATA IL 28/07/2025   </t>
        </is>
      </c>
      <c r="Q1171" s="150" t="n"/>
      <c r="R1171" s="150" t="n"/>
      <c r="S1171" s="153" t="n"/>
    </row>
    <row r="1172" ht="36" customHeight="1">
      <c r="A1172" s="46" t="n">
        <v>3502</v>
      </c>
      <c r="B1172" s="4">
        <f>+VLOOKUP($A1172,MAGAZZINO!$B$2:$M$100000,2,FALSE)</f>
        <v/>
      </c>
      <c r="C1172" s="29">
        <f>+VLOOKUP($A1172,MAGAZZINO!$B$2:$M$100000,3,FALSE)</f>
        <v/>
      </c>
      <c r="D1172" s="3">
        <f>+VLOOKUP($A1172,MAGAZZINO!$B$2:$M$100000,4,FALSE)</f>
        <v/>
      </c>
      <c r="E1172" s="3">
        <f>+VLOOKUP($A1172,MAGAZZINO!$B$2:$M$100000,5,FALSE)</f>
        <v/>
      </c>
      <c r="F1172" s="3">
        <f>+VLOOKUP($A1172,MAGAZZINO!$B$2:$M$100000,6,FALSE)</f>
        <v/>
      </c>
      <c r="G1172" s="3">
        <f>+VLOOKUP($A1172,MAGAZZINO!$B$2:$M$100000,7,FALSE)</f>
        <v/>
      </c>
      <c r="H1172" s="3">
        <f>+VLOOKUP($A1172,MAGAZZINO!$B$2:$M$100000,8,FALSE)</f>
        <v/>
      </c>
      <c r="I1172" s="3">
        <f>+VLOOKUP($A1172,MAGAZZINO!$B$2:$M$100000,9,FALSE)</f>
        <v/>
      </c>
      <c r="J1172" s="3">
        <f>+VLOOKUP($A1172,MAGAZZINO!$B$2:$M$100000,10,FALSE)</f>
        <v/>
      </c>
      <c r="K1172" s="3">
        <f>+VLOOKUP($A1172,MAGAZZINO!$B$2:$M$100000,11,FALSE)</f>
        <v/>
      </c>
      <c r="L1172" s="5">
        <f>+VLOOKUP($A1172,MAGAZZINO!$B$2:$M$100000,12,FALSE)</f>
        <v/>
      </c>
      <c r="M1172" s="47" t="n"/>
      <c r="N1172" s="88" t="n">
        <v>45887</v>
      </c>
      <c r="O1172" s="91" t="inlineStr">
        <is>
          <t>PHILIPPOS CONSTANTINIDES TRADING CO. LTD (CIPRO)</t>
        </is>
      </c>
      <c r="P1172" s="154" t="inlineStr">
        <is>
          <t xml:space="preserve">IMPORT LICENSE N. 267 DEL 21/07/2025                                                                                         AUT. TRASFERIMENTO N. 6B/2025/4D RILASCIATA IL 28/07/2025   </t>
        </is>
      </c>
      <c r="Q1172" s="150" t="n"/>
      <c r="R1172" s="150" t="n"/>
      <c r="S1172" s="153" t="n"/>
    </row>
    <row r="1173" ht="36" customHeight="1">
      <c r="A1173" s="46" t="n">
        <v>3503</v>
      </c>
      <c r="B1173" s="4">
        <f>+VLOOKUP($A1173,MAGAZZINO!$B$2:$M$100000,2,FALSE)</f>
        <v/>
      </c>
      <c r="C1173" s="29">
        <f>+VLOOKUP($A1173,MAGAZZINO!$B$2:$M$100000,3,FALSE)</f>
        <v/>
      </c>
      <c r="D1173" s="3">
        <f>+VLOOKUP($A1173,MAGAZZINO!$B$2:$M$100000,4,FALSE)</f>
        <v/>
      </c>
      <c r="E1173" s="3">
        <f>+VLOOKUP($A1173,MAGAZZINO!$B$2:$M$100000,5,FALSE)</f>
        <v/>
      </c>
      <c r="F1173" s="3">
        <f>+VLOOKUP($A1173,MAGAZZINO!$B$2:$M$100000,6,FALSE)</f>
        <v/>
      </c>
      <c r="G1173" s="3">
        <f>+VLOOKUP($A1173,MAGAZZINO!$B$2:$M$100000,7,FALSE)</f>
        <v/>
      </c>
      <c r="H1173" s="3">
        <f>+VLOOKUP($A1173,MAGAZZINO!$B$2:$M$100000,8,FALSE)</f>
        <v/>
      </c>
      <c r="I1173" s="3">
        <f>+VLOOKUP($A1173,MAGAZZINO!$B$2:$M$100000,9,FALSE)</f>
        <v/>
      </c>
      <c r="J1173" s="3">
        <f>+VLOOKUP($A1173,MAGAZZINO!$B$2:$M$100000,10,FALSE)</f>
        <v/>
      </c>
      <c r="K1173" s="3">
        <f>+VLOOKUP($A1173,MAGAZZINO!$B$2:$M$100000,11,FALSE)</f>
        <v/>
      </c>
      <c r="L1173" s="5">
        <f>+VLOOKUP($A1173,MAGAZZINO!$B$2:$M$100000,12,FALSE)</f>
        <v/>
      </c>
      <c r="M1173" s="47" t="n"/>
      <c r="N1173" s="88" t="n">
        <v>45874</v>
      </c>
      <c r="O1173" s="91" t="inlineStr">
        <is>
          <t>PHILIPPOS CONSTANTINIDES TRADING CO. LTD (CIPRO)</t>
        </is>
      </c>
      <c r="P1173" s="154" t="inlineStr">
        <is>
          <t xml:space="preserve">IMPORT LICENSE N. 218 DEL 12/08/2020                                                                                         AUT. TRASFERIMENTO N. 6B/2025/3D RILASCIATA IL 28/07/2025   </t>
        </is>
      </c>
      <c r="Q1173" s="150" t="n"/>
      <c r="R1173" s="150" t="n"/>
      <c r="S1173" s="153" t="n"/>
    </row>
    <row r="1174" ht="36" customHeight="1">
      <c r="A1174" s="46" t="n">
        <v>3504</v>
      </c>
      <c r="B1174" s="4">
        <f>+VLOOKUP($A1174,MAGAZZINO!$B$2:$M$100000,2,FALSE)</f>
        <v/>
      </c>
      <c r="C1174" s="29">
        <f>+VLOOKUP($A1174,MAGAZZINO!$B$2:$M$100000,3,FALSE)</f>
        <v/>
      </c>
      <c r="D1174" s="3">
        <f>+VLOOKUP($A1174,MAGAZZINO!$B$2:$M$100000,4,FALSE)</f>
        <v/>
      </c>
      <c r="E1174" s="3">
        <f>+VLOOKUP($A1174,MAGAZZINO!$B$2:$M$100000,5,FALSE)</f>
        <v/>
      </c>
      <c r="F1174" s="3">
        <f>+VLOOKUP($A1174,MAGAZZINO!$B$2:$M$100000,6,FALSE)</f>
        <v/>
      </c>
      <c r="G1174" s="3">
        <f>+VLOOKUP($A1174,MAGAZZINO!$B$2:$M$100000,7,FALSE)</f>
        <v/>
      </c>
      <c r="H1174" s="3">
        <f>+VLOOKUP($A1174,MAGAZZINO!$B$2:$M$100000,8,FALSE)</f>
        <v/>
      </c>
      <c r="I1174" s="3">
        <f>+VLOOKUP($A1174,MAGAZZINO!$B$2:$M$100000,9,FALSE)</f>
        <v/>
      </c>
      <c r="J1174" s="3">
        <f>+VLOOKUP($A1174,MAGAZZINO!$B$2:$M$100000,10,FALSE)</f>
        <v/>
      </c>
      <c r="K1174" s="3">
        <f>+VLOOKUP($A1174,MAGAZZINO!$B$2:$M$100000,11,FALSE)</f>
        <v/>
      </c>
      <c r="L1174" s="5">
        <f>+VLOOKUP($A1174,MAGAZZINO!$B$2:$M$100000,12,FALSE)</f>
        <v/>
      </c>
      <c r="M1174" s="47" t="n"/>
      <c r="N1174" s="88" t="n">
        <v>45874</v>
      </c>
      <c r="O1174" s="91" t="inlineStr">
        <is>
          <t>PHILIPPOS CONSTANTINIDES TRADING CO. LTD (CIPRO)</t>
        </is>
      </c>
      <c r="P1174" s="154" t="inlineStr">
        <is>
          <t xml:space="preserve">IMPORT LICENSE N. 218 DEL 12/08/2020                                                                                         AUT. TRASFERIMENTO N. 6B/2025/3D RILASCIATA IL 28/07/2025   </t>
        </is>
      </c>
      <c r="Q1174" s="150" t="n"/>
      <c r="R1174" s="150" t="n"/>
      <c r="S1174" s="153" t="n"/>
    </row>
    <row r="1175" ht="36" customHeight="1">
      <c r="A1175" s="46" t="n">
        <v>3505</v>
      </c>
      <c r="B1175" s="4">
        <f>+VLOOKUP($A1175,MAGAZZINO!$B$2:$M$100000,2,FALSE)</f>
        <v/>
      </c>
      <c r="C1175" s="29">
        <f>+VLOOKUP($A1175,MAGAZZINO!$B$2:$M$100000,3,FALSE)</f>
        <v/>
      </c>
      <c r="D1175" s="3">
        <f>+VLOOKUP($A1175,MAGAZZINO!$B$2:$M$100000,4,FALSE)</f>
        <v/>
      </c>
      <c r="E1175" s="3">
        <f>+VLOOKUP($A1175,MAGAZZINO!$B$2:$M$100000,5,FALSE)</f>
        <v/>
      </c>
      <c r="F1175" s="3">
        <f>+VLOOKUP($A1175,MAGAZZINO!$B$2:$M$100000,6,FALSE)</f>
        <v/>
      </c>
      <c r="G1175" s="3">
        <f>+VLOOKUP($A1175,MAGAZZINO!$B$2:$M$100000,7,FALSE)</f>
        <v/>
      </c>
      <c r="H1175" s="3">
        <f>+VLOOKUP($A1175,MAGAZZINO!$B$2:$M$100000,8,FALSE)</f>
        <v/>
      </c>
      <c r="I1175" s="3">
        <f>+VLOOKUP($A1175,MAGAZZINO!$B$2:$M$100000,9,FALSE)</f>
        <v/>
      </c>
      <c r="J1175" s="3">
        <f>+VLOOKUP($A1175,MAGAZZINO!$B$2:$M$100000,10,FALSE)</f>
        <v/>
      </c>
      <c r="K1175" s="3">
        <f>+VLOOKUP($A1175,MAGAZZINO!$B$2:$M$100000,11,FALSE)</f>
        <v/>
      </c>
      <c r="L1175" s="5">
        <f>+VLOOKUP($A1175,MAGAZZINO!$B$2:$M$100000,12,FALSE)</f>
        <v/>
      </c>
      <c r="M1175" s="47" t="n"/>
      <c r="N1175" s="88" t="n">
        <v>45874</v>
      </c>
      <c r="O1175" s="91" t="inlineStr">
        <is>
          <t>PHILIPPOS CONSTANTINIDES TRADING CO. LTD (CIPRO)</t>
        </is>
      </c>
      <c r="P1175" s="154" t="inlineStr">
        <is>
          <t xml:space="preserve">IMPORT LICENSE N. 218 DEL 12/08/2020                                                                                         AUT. TRASFERIMENTO N. 6B/2025/3D RILASCIATA IL 28/07/2025   </t>
        </is>
      </c>
      <c r="Q1175" s="150" t="n"/>
      <c r="R1175" s="150" t="n"/>
      <c r="S1175" s="153" t="n"/>
    </row>
    <row r="1176" ht="36" customHeight="1">
      <c r="A1176" s="46" t="n">
        <v>3506</v>
      </c>
      <c r="B1176" s="4">
        <f>+VLOOKUP($A1176,MAGAZZINO!$B$2:$M$100000,2,FALSE)</f>
        <v/>
      </c>
      <c r="C1176" s="29">
        <f>+VLOOKUP($A1176,MAGAZZINO!$B$2:$M$100000,3,FALSE)</f>
        <v/>
      </c>
      <c r="D1176" s="3">
        <f>+VLOOKUP($A1176,MAGAZZINO!$B$2:$M$100000,4,FALSE)</f>
        <v/>
      </c>
      <c r="E1176" s="3">
        <f>+VLOOKUP($A1176,MAGAZZINO!$B$2:$M$100000,5,FALSE)</f>
        <v/>
      </c>
      <c r="F1176" s="3">
        <f>+VLOOKUP($A1176,MAGAZZINO!$B$2:$M$100000,6,FALSE)</f>
        <v/>
      </c>
      <c r="G1176" s="3">
        <f>+VLOOKUP($A1176,MAGAZZINO!$B$2:$M$100000,7,FALSE)</f>
        <v/>
      </c>
      <c r="H1176" s="3">
        <f>+VLOOKUP($A1176,MAGAZZINO!$B$2:$M$100000,8,FALSE)</f>
        <v/>
      </c>
      <c r="I1176" s="3">
        <f>+VLOOKUP($A1176,MAGAZZINO!$B$2:$M$100000,9,FALSE)</f>
        <v/>
      </c>
      <c r="J1176" s="3">
        <f>+VLOOKUP($A1176,MAGAZZINO!$B$2:$M$100000,10,FALSE)</f>
        <v/>
      </c>
      <c r="K1176" s="3">
        <f>+VLOOKUP($A1176,MAGAZZINO!$B$2:$M$100000,11,FALSE)</f>
        <v/>
      </c>
      <c r="L1176" s="5">
        <f>+VLOOKUP($A1176,MAGAZZINO!$B$2:$M$100000,12,FALSE)</f>
        <v/>
      </c>
      <c r="M1176" s="47" t="n"/>
      <c r="N1176" s="88" t="n">
        <v>45874</v>
      </c>
      <c r="O1176" s="91" t="inlineStr">
        <is>
          <t>PHILIPPOS CONSTANTINIDES TRADING CO. LTD (CIPRO)</t>
        </is>
      </c>
      <c r="P1176" s="154" t="inlineStr">
        <is>
          <t xml:space="preserve">IMPORT LICENSE N. 218 DEL 12/08/2020                                                                                         AUT. TRASFERIMENTO N. 6B/2025/3D RILASCIATA IL 28/07/2025   </t>
        </is>
      </c>
      <c r="Q1176" s="150" t="n"/>
      <c r="R1176" s="150" t="n"/>
      <c r="S1176" s="153" t="n"/>
    </row>
    <row r="1177" ht="36" customHeight="1">
      <c r="A1177" s="46" t="n">
        <v>3507</v>
      </c>
      <c r="B1177" s="4">
        <f>+VLOOKUP($A1177,MAGAZZINO!$B$2:$M$100000,2,FALSE)</f>
        <v/>
      </c>
      <c r="C1177" s="29">
        <f>+VLOOKUP($A1177,MAGAZZINO!$B$2:$M$100000,3,FALSE)</f>
        <v/>
      </c>
      <c r="D1177" s="3">
        <f>+VLOOKUP($A1177,MAGAZZINO!$B$2:$M$100000,4,FALSE)</f>
        <v/>
      </c>
      <c r="E1177" s="3">
        <f>+VLOOKUP($A1177,MAGAZZINO!$B$2:$M$100000,5,FALSE)</f>
        <v/>
      </c>
      <c r="F1177" s="3">
        <f>+VLOOKUP($A1177,MAGAZZINO!$B$2:$M$100000,6,FALSE)</f>
        <v/>
      </c>
      <c r="G1177" s="3">
        <f>+VLOOKUP($A1177,MAGAZZINO!$B$2:$M$100000,7,FALSE)</f>
        <v/>
      </c>
      <c r="H1177" s="3">
        <f>+VLOOKUP($A1177,MAGAZZINO!$B$2:$M$100000,8,FALSE)</f>
        <v/>
      </c>
      <c r="I1177" s="3">
        <f>+VLOOKUP($A1177,MAGAZZINO!$B$2:$M$100000,9,FALSE)</f>
        <v/>
      </c>
      <c r="J1177" s="3">
        <f>+VLOOKUP($A1177,MAGAZZINO!$B$2:$M$100000,10,FALSE)</f>
        <v/>
      </c>
      <c r="K1177" s="3">
        <f>+VLOOKUP($A1177,MAGAZZINO!$B$2:$M$100000,11,FALSE)</f>
        <v/>
      </c>
      <c r="L1177" s="5">
        <f>+VLOOKUP($A1177,MAGAZZINO!$B$2:$M$100000,12,FALSE)</f>
        <v/>
      </c>
      <c r="M1177" s="47" t="n"/>
      <c r="N1177" s="88" t="n">
        <v>45874</v>
      </c>
      <c r="O1177" s="91" t="inlineStr">
        <is>
          <t>PHILIPPOS CONSTANTINIDES TRADING CO. LTD (CIPRO)</t>
        </is>
      </c>
      <c r="P1177" s="154" t="inlineStr">
        <is>
          <t xml:space="preserve">IMPORT LICENSE N. 218 DEL 12/08/2020                                                                                         AUT. TRASFERIMENTO N. 6B/2025/3D RILASCIATA IL 28/07/2025   </t>
        </is>
      </c>
      <c r="Q1177" s="150" t="n"/>
      <c r="R1177" s="150" t="n"/>
      <c r="S1177" s="153" t="n"/>
    </row>
    <row r="1178" ht="36" customHeight="1">
      <c r="A1178" s="46" t="n">
        <v>3508</v>
      </c>
      <c r="B1178" s="4">
        <f>+VLOOKUP($A1178,MAGAZZINO!$B$2:$M$100000,2,FALSE)</f>
        <v/>
      </c>
      <c r="C1178" s="29">
        <f>+VLOOKUP($A1178,MAGAZZINO!$B$2:$M$100000,3,FALSE)</f>
        <v/>
      </c>
      <c r="D1178" s="3">
        <f>+VLOOKUP($A1178,MAGAZZINO!$B$2:$M$100000,4,FALSE)</f>
        <v/>
      </c>
      <c r="E1178" s="3">
        <f>+VLOOKUP($A1178,MAGAZZINO!$B$2:$M$100000,5,FALSE)</f>
        <v/>
      </c>
      <c r="F1178" s="3">
        <f>+VLOOKUP($A1178,MAGAZZINO!$B$2:$M$100000,6,FALSE)</f>
        <v/>
      </c>
      <c r="G1178" s="3">
        <f>+VLOOKUP($A1178,MAGAZZINO!$B$2:$M$100000,7,FALSE)</f>
        <v/>
      </c>
      <c r="H1178" s="3">
        <f>+VLOOKUP($A1178,MAGAZZINO!$B$2:$M$100000,8,FALSE)</f>
        <v/>
      </c>
      <c r="I1178" s="3">
        <f>+VLOOKUP($A1178,MAGAZZINO!$B$2:$M$100000,9,FALSE)</f>
        <v/>
      </c>
      <c r="J1178" s="3">
        <f>+VLOOKUP($A1178,MAGAZZINO!$B$2:$M$100000,10,FALSE)</f>
        <v/>
      </c>
      <c r="K1178" s="3">
        <f>+VLOOKUP($A1178,MAGAZZINO!$B$2:$M$100000,11,FALSE)</f>
        <v/>
      </c>
      <c r="L1178" s="5">
        <f>+VLOOKUP($A1178,MAGAZZINO!$B$2:$M$100000,12,FALSE)</f>
        <v/>
      </c>
      <c r="M1178" s="47" t="n"/>
      <c r="N1178" s="88" t="n">
        <v>45874</v>
      </c>
      <c r="O1178" s="91" t="inlineStr">
        <is>
          <t>PHILIPPOS CONSTANTINIDES TRADING CO. LTD (CIPRO)</t>
        </is>
      </c>
      <c r="P1178" s="154" t="inlineStr">
        <is>
          <t xml:space="preserve">IMPORT LICENSE N. 218 DEL 12/08/2020                                                                                         AUT. TRASFERIMENTO N. 6B/2025/3D RILASCIATA IL 28/07/2025   </t>
        </is>
      </c>
      <c r="Q1178" s="150" t="n"/>
      <c r="R1178" s="150" t="n"/>
      <c r="S1178" s="153" t="n"/>
    </row>
    <row r="1179" ht="36" customHeight="1">
      <c r="A1179" s="46" t="n">
        <v>3509</v>
      </c>
      <c r="B1179" s="4">
        <f>+VLOOKUP($A1179,MAGAZZINO!$B$2:$M$100000,2,FALSE)</f>
        <v/>
      </c>
      <c r="C1179" s="29">
        <f>+VLOOKUP($A1179,MAGAZZINO!$B$2:$M$100000,3,FALSE)</f>
        <v/>
      </c>
      <c r="D1179" s="3">
        <f>+VLOOKUP($A1179,MAGAZZINO!$B$2:$M$100000,4,FALSE)</f>
        <v/>
      </c>
      <c r="E1179" s="3">
        <f>+VLOOKUP($A1179,MAGAZZINO!$B$2:$M$100000,5,FALSE)</f>
        <v/>
      </c>
      <c r="F1179" s="3">
        <f>+VLOOKUP($A1179,MAGAZZINO!$B$2:$M$100000,6,FALSE)</f>
        <v/>
      </c>
      <c r="G1179" s="3">
        <f>+VLOOKUP($A1179,MAGAZZINO!$B$2:$M$100000,7,FALSE)</f>
        <v/>
      </c>
      <c r="H1179" s="3">
        <f>+VLOOKUP($A1179,MAGAZZINO!$B$2:$M$100000,8,FALSE)</f>
        <v/>
      </c>
      <c r="I1179" s="3">
        <f>+VLOOKUP($A1179,MAGAZZINO!$B$2:$M$100000,9,FALSE)</f>
        <v/>
      </c>
      <c r="J1179" s="3">
        <f>+VLOOKUP($A1179,MAGAZZINO!$B$2:$M$100000,10,FALSE)</f>
        <v/>
      </c>
      <c r="K1179" s="3">
        <f>+VLOOKUP($A1179,MAGAZZINO!$B$2:$M$100000,11,FALSE)</f>
        <v/>
      </c>
      <c r="L1179" s="5">
        <f>+VLOOKUP($A1179,MAGAZZINO!$B$2:$M$100000,12,FALSE)</f>
        <v/>
      </c>
      <c r="M1179" s="47" t="n"/>
      <c r="N1179" s="88" t="n">
        <v>45874</v>
      </c>
      <c r="O1179" s="91" t="inlineStr">
        <is>
          <t>PHILIPPOS CONSTANTINIDES TRADING CO. LTD (CIPRO)</t>
        </is>
      </c>
      <c r="P1179" s="154" t="inlineStr">
        <is>
          <t xml:space="preserve">IMPORT LICENSE N. 218 DEL 12/08/2020                                                                                         AUT. TRASFERIMENTO N. 6B/2025/3D RILASCIATA IL 28/07/2025   </t>
        </is>
      </c>
      <c r="Q1179" s="150" t="n"/>
      <c r="R1179" s="150" t="n"/>
      <c r="S1179" s="153" t="n"/>
    </row>
    <row r="1180" ht="36" customHeight="1">
      <c r="A1180" s="46" t="n">
        <v>3510</v>
      </c>
      <c r="B1180" s="4">
        <f>+VLOOKUP($A1180,MAGAZZINO!$B$2:$M$100000,2,FALSE)</f>
        <v/>
      </c>
      <c r="C1180" s="29">
        <f>+VLOOKUP($A1180,MAGAZZINO!$B$2:$M$100000,3,FALSE)</f>
        <v/>
      </c>
      <c r="D1180" s="3">
        <f>+VLOOKUP($A1180,MAGAZZINO!$B$2:$M$100000,4,FALSE)</f>
        <v/>
      </c>
      <c r="E1180" s="3">
        <f>+VLOOKUP($A1180,MAGAZZINO!$B$2:$M$100000,5,FALSE)</f>
        <v/>
      </c>
      <c r="F1180" s="3">
        <f>+VLOOKUP($A1180,MAGAZZINO!$B$2:$M$100000,6,FALSE)</f>
        <v/>
      </c>
      <c r="G1180" s="3">
        <f>+VLOOKUP($A1180,MAGAZZINO!$B$2:$M$100000,7,FALSE)</f>
        <v/>
      </c>
      <c r="H1180" s="3">
        <f>+VLOOKUP($A1180,MAGAZZINO!$B$2:$M$100000,8,FALSE)</f>
        <v/>
      </c>
      <c r="I1180" s="3">
        <f>+VLOOKUP($A1180,MAGAZZINO!$B$2:$M$100000,9,FALSE)</f>
        <v/>
      </c>
      <c r="J1180" s="3">
        <f>+VLOOKUP($A1180,MAGAZZINO!$B$2:$M$100000,10,FALSE)</f>
        <v/>
      </c>
      <c r="K1180" s="3">
        <f>+VLOOKUP($A1180,MAGAZZINO!$B$2:$M$100000,11,FALSE)</f>
        <v/>
      </c>
      <c r="L1180" s="5">
        <f>+VLOOKUP($A1180,MAGAZZINO!$B$2:$M$100000,12,FALSE)</f>
        <v/>
      </c>
      <c r="M1180" s="47" t="n"/>
      <c r="N1180" s="88" t="n">
        <v>45874</v>
      </c>
      <c r="O1180" s="91" t="inlineStr">
        <is>
          <t>PHILIPPOS CONSTANTINIDES TRADING CO. LTD (CIPRO)</t>
        </is>
      </c>
      <c r="P1180" s="154" t="inlineStr">
        <is>
          <t xml:space="preserve">IMPORT LICENSE N. 218 DEL 12/08/2020                                                                                         AUT. TRASFERIMENTO N. 6B/2025/3D RILASCIATA IL 28/07/2025   </t>
        </is>
      </c>
      <c r="Q1180" s="150" t="n"/>
      <c r="R1180" s="150" t="n"/>
      <c r="S1180" s="153" t="n"/>
    </row>
    <row r="1181" ht="36" customHeight="1">
      <c r="A1181" s="46" t="n">
        <v>3511</v>
      </c>
      <c r="B1181" s="4">
        <f>+VLOOKUP($A1181,MAGAZZINO!$B$2:$M$100000,2,FALSE)</f>
        <v/>
      </c>
      <c r="C1181" s="29">
        <f>+VLOOKUP($A1181,MAGAZZINO!$B$2:$M$100000,3,FALSE)</f>
        <v/>
      </c>
      <c r="D1181" s="3">
        <f>+VLOOKUP($A1181,MAGAZZINO!$B$2:$M$100000,4,FALSE)</f>
        <v/>
      </c>
      <c r="E1181" s="3">
        <f>+VLOOKUP($A1181,MAGAZZINO!$B$2:$M$100000,5,FALSE)</f>
        <v/>
      </c>
      <c r="F1181" s="3">
        <f>+VLOOKUP($A1181,MAGAZZINO!$B$2:$M$100000,6,FALSE)</f>
        <v/>
      </c>
      <c r="G1181" s="3">
        <f>+VLOOKUP($A1181,MAGAZZINO!$B$2:$M$100000,7,FALSE)</f>
        <v/>
      </c>
      <c r="H1181" s="3">
        <f>+VLOOKUP($A1181,MAGAZZINO!$B$2:$M$100000,8,FALSE)</f>
        <v/>
      </c>
      <c r="I1181" s="3">
        <f>+VLOOKUP($A1181,MAGAZZINO!$B$2:$M$100000,9,FALSE)</f>
        <v/>
      </c>
      <c r="J1181" s="3">
        <f>+VLOOKUP($A1181,MAGAZZINO!$B$2:$M$100000,10,FALSE)</f>
        <v/>
      </c>
      <c r="K1181" s="3">
        <f>+VLOOKUP($A1181,MAGAZZINO!$B$2:$M$100000,11,FALSE)</f>
        <v/>
      </c>
      <c r="L1181" s="5">
        <f>+VLOOKUP($A1181,MAGAZZINO!$B$2:$M$100000,12,FALSE)</f>
        <v/>
      </c>
      <c r="M1181" s="47" t="n"/>
      <c r="N1181" s="88" t="n">
        <v>45874</v>
      </c>
      <c r="O1181" s="91" t="inlineStr">
        <is>
          <t>PHILIPPOS CONSTANTINIDES TRADING CO. LTD (CIPRO)</t>
        </is>
      </c>
      <c r="P1181" s="154" t="inlineStr">
        <is>
          <t xml:space="preserve">IMPORT LICENSE N. 218 DEL 12/08/2020                                                                                         AUT. TRASFERIMENTO N. 6B/2025/3D RILASCIATA IL 28/07/2025   </t>
        </is>
      </c>
      <c r="Q1181" s="150" t="n"/>
      <c r="R1181" s="150" t="n"/>
      <c r="S1181" s="153" t="n"/>
    </row>
    <row r="1182" ht="36" customHeight="1">
      <c r="A1182" s="46" t="n">
        <v>3512</v>
      </c>
      <c r="B1182" s="4">
        <f>+VLOOKUP($A1182,MAGAZZINO!$B$2:$M$100000,2,FALSE)</f>
        <v/>
      </c>
      <c r="C1182" s="29">
        <f>+VLOOKUP($A1182,MAGAZZINO!$B$2:$M$100000,3,FALSE)</f>
        <v/>
      </c>
      <c r="D1182" s="3">
        <f>+VLOOKUP($A1182,MAGAZZINO!$B$2:$M$100000,4,FALSE)</f>
        <v/>
      </c>
      <c r="E1182" s="3">
        <f>+VLOOKUP($A1182,MAGAZZINO!$B$2:$M$100000,5,FALSE)</f>
        <v/>
      </c>
      <c r="F1182" s="3">
        <f>+VLOOKUP($A1182,MAGAZZINO!$B$2:$M$100000,6,FALSE)</f>
        <v/>
      </c>
      <c r="G1182" s="3">
        <f>+VLOOKUP($A1182,MAGAZZINO!$B$2:$M$100000,7,FALSE)</f>
        <v/>
      </c>
      <c r="H1182" s="3">
        <f>+VLOOKUP($A1182,MAGAZZINO!$B$2:$M$100000,8,FALSE)</f>
        <v/>
      </c>
      <c r="I1182" s="3">
        <f>+VLOOKUP($A1182,MAGAZZINO!$B$2:$M$100000,9,FALSE)</f>
        <v/>
      </c>
      <c r="J1182" s="3">
        <f>+VLOOKUP($A1182,MAGAZZINO!$B$2:$M$100000,10,FALSE)</f>
        <v/>
      </c>
      <c r="K1182" s="3">
        <f>+VLOOKUP($A1182,MAGAZZINO!$B$2:$M$100000,11,FALSE)</f>
        <v/>
      </c>
      <c r="L1182" s="5">
        <f>+VLOOKUP($A1182,MAGAZZINO!$B$2:$M$100000,12,FALSE)</f>
        <v/>
      </c>
      <c r="M1182" s="47" t="n"/>
      <c r="N1182" s="88" t="n">
        <v>45874</v>
      </c>
      <c r="O1182" s="91" t="inlineStr">
        <is>
          <t>PHILIPPOS CONSTANTINIDES TRADING CO. LTD (CIPRO)</t>
        </is>
      </c>
      <c r="P1182" s="154" t="inlineStr">
        <is>
          <t xml:space="preserve">IMPORT LICENSE N. 218 DEL 12/08/2020                                                                                         AUT. TRASFERIMENTO N. 6B/2025/3D RILASCIATA IL 28/07/2025   </t>
        </is>
      </c>
      <c r="Q1182" s="150" t="n"/>
      <c r="R1182" s="150" t="n"/>
      <c r="S1182" s="153" t="n"/>
    </row>
    <row r="1183" ht="36" customHeight="1">
      <c r="A1183" s="46" t="n">
        <v>3513</v>
      </c>
      <c r="B1183" s="4">
        <f>+VLOOKUP($A1183,MAGAZZINO!$B$2:$M$100000,2,FALSE)</f>
        <v/>
      </c>
      <c r="C1183" s="29">
        <f>+VLOOKUP($A1183,MAGAZZINO!$B$2:$M$100000,3,FALSE)</f>
        <v/>
      </c>
      <c r="D1183" s="3">
        <f>+VLOOKUP($A1183,MAGAZZINO!$B$2:$M$100000,4,FALSE)</f>
        <v/>
      </c>
      <c r="E1183" s="3">
        <f>+VLOOKUP($A1183,MAGAZZINO!$B$2:$M$100000,5,FALSE)</f>
        <v/>
      </c>
      <c r="F1183" s="3">
        <f>+VLOOKUP($A1183,MAGAZZINO!$B$2:$M$100000,6,FALSE)</f>
        <v/>
      </c>
      <c r="G1183" s="3">
        <f>+VLOOKUP($A1183,MAGAZZINO!$B$2:$M$100000,7,FALSE)</f>
        <v/>
      </c>
      <c r="H1183" s="3">
        <f>+VLOOKUP($A1183,MAGAZZINO!$B$2:$M$100000,8,FALSE)</f>
        <v/>
      </c>
      <c r="I1183" s="3">
        <f>+VLOOKUP($A1183,MAGAZZINO!$B$2:$M$100000,9,FALSE)</f>
        <v/>
      </c>
      <c r="J1183" s="3">
        <f>+VLOOKUP($A1183,MAGAZZINO!$B$2:$M$100000,10,FALSE)</f>
        <v/>
      </c>
      <c r="K1183" s="3">
        <f>+VLOOKUP($A1183,MAGAZZINO!$B$2:$M$100000,11,FALSE)</f>
        <v/>
      </c>
      <c r="L1183" s="5">
        <f>+VLOOKUP($A1183,MAGAZZINO!$B$2:$M$100000,12,FALSE)</f>
        <v/>
      </c>
      <c r="M1183" s="47" t="n"/>
      <c r="N1183" s="88" t="n">
        <v>45874</v>
      </c>
      <c r="O1183" s="91" t="inlineStr">
        <is>
          <t>PHILIPPOS CONSTANTINIDES TRADING CO. LTD (CIPRO)</t>
        </is>
      </c>
      <c r="P1183" s="154" t="inlineStr">
        <is>
          <t xml:space="preserve">IMPORT LICENSE N. 218 DEL 12/08/2020                                                                                         AUT. TRASFERIMENTO N. 6B/2025/3D RILASCIATA IL 28/07/2025   </t>
        </is>
      </c>
      <c r="Q1183" s="150" t="n"/>
      <c r="R1183" s="150" t="n"/>
      <c r="S1183" s="153" t="n"/>
    </row>
    <row r="1184" ht="36" customHeight="1">
      <c r="A1184" s="46" t="n">
        <v>3514</v>
      </c>
      <c r="B1184" s="4">
        <f>+VLOOKUP($A1184,MAGAZZINO!$B$2:$M$100000,2,FALSE)</f>
        <v/>
      </c>
      <c r="C1184" s="29">
        <f>+VLOOKUP($A1184,MAGAZZINO!$B$2:$M$100000,3,FALSE)</f>
        <v/>
      </c>
      <c r="D1184" s="3">
        <f>+VLOOKUP($A1184,MAGAZZINO!$B$2:$M$100000,4,FALSE)</f>
        <v/>
      </c>
      <c r="E1184" s="3">
        <f>+VLOOKUP($A1184,MAGAZZINO!$B$2:$M$100000,5,FALSE)</f>
        <v/>
      </c>
      <c r="F1184" s="3">
        <f>+VLOOKUP($A1184,MAGAZZINO!$B$2:$M$100000,6,FALSE)</f>
        <v/>
      </c>
      <c r="G1184" s="3">
        <f>+VLOOKUP($A1184,MAGAZZINO!$B$2:$M$100000,7,FALSE)</f>
        <v/>
      </c>
      <c r="H1184" s="3">
        <f>+VLOOKUP($A1184,MAGAZZINO!$B$2:$M$100000,8,FALSE)</f>
        <v/>
      </c>
      <c r="I1184" s="3">
        <f>+VLOOKUP($A1184,MAGAZZINO!$B$2:$M$100000,9,FALSE)</f>
        <v/>
      </c>
      <c r="J1184" s="3">
        <f>+VLOOKUP($A1184,MAGAZZINO!$B$2:$M$100000,10,FALSE)</f>
        <v/>
      </c>
      <c r="K1184" s="3">
        <f>+VLOOKUP($A1184,MAGAZZINO!$B$2:$M$100000,11,FALSE)</f>
        <v/>
      </c>
      <c r="L1184" s="5">
        <f>+VLOOKUP($A1184,MAGAZZINO!$B$2:$M$100000,12,FALSE)</f>
        <v/>
      </c>
      <c r="M1184" s="47" t="n"/>
      <c r="N1184" s="88" t="n">
        <v>45874</v>
      </c>
      <c r="O1184" s="91" t="inlineStr">
        <is>
          <t>PHILIPPOS CONSTANTINIDES TRADING CO. LTD (CIPRO)</t>
        </is>
      </c>
      <c r="P1184" s="154" t="inlineStr">
        <is>
          <t xml:space="preserve">IMPORT LICENSE N. 218 DEL 12/08/2020                                                                                         AUT. TRASFERIMENTO N. 6B/2025/3D RILASCIATA IL 28/07/2025   </t>
        </is>
      </c>
      <c r="Q1184" s="150" t="n"/>
      <c r="R1184" s="150" t="n"/>
      <c r="S1184" s="153" t="n"/>
    </row>
    <row r="1185" ht="36" customHeight="1">
      <c r="A1185" s="46" t="n">
        <v>3515</v>
      </c>
      <c r="B1185" s="4">
        <f>+VLOOKUP($A1185,MAGAZZINO!$B$2:$M$100000,2,FALSE)</f>
        <v/>
      </c>
      <c r="C1185" s="29">
        <f>+VLOOKUP($A1185,MAGAZZINO!$B$2:$M$100000,3,FALSE)</f>
        <v/>
      </c>
      <c r="D1185" s="3">
        <f>+VLOOKUP($A1185,MAGAZZINO!$B$2:$M$100000,4,FALSE)</f>
        <v/>
      </c>
      <c r="E1185" s="3">
        <f>+VLOOKUP($A1185,MAGAZZINO!$B$2:$M$100000,5,FALSE)</f>
        <v/>
      </c>
      <c r="F1185" s="3">
        <f>+VLOOKUP($A1185,MAGAZZINO!$B$2:$M$100000,6,FALSE)</f>
        <v/>
      </c>
      <c r="G1185" s="3">
        <f>+VLOOKUP($A1185,MAGAZZINO!$B$2:$M$100000,7,FALSE)</f>
        <v/>
      </c>
      <c r="H1185" s="3">
        <f>+VLOOKUP($A1185,MAGAZZINO!$B$2:$M$100000,8,FALSE)</f>
        <v/>
      </c>
      <c r="I1185" s="3">
        <f>+VLOOKUP($A1185,MAGAZZINO!$B$2:$M$100000,9,FALSE)</f>
        <v/>
      </c>
      <c r="J1185" s="3">
        <f>+VLOOKUP($A1185,MAGAZZINO!$B$2:$M$100000,10,FALSE)</f>
        <v/>
      </c>
      <c r="K1185" s="3">
        <f>+VLOOKUP($A1185,MAGAZZINO!$B$2:$M$100000,11,FALSE)</f>
        <v/>
      </c>
      <c r="L1185" s="5">
        <f>+VLOOKUP($A1185,MAGAZZINO!$B$2:$M$100000,12,FALSE)</f>
        <v/>
      </c>
      <c r="M1185" s="47" t="n"/>
      <c r="N1185" s="88" t="n">
        <v>45874</v>
      </c>
      <c r="O1185" s="91" t="inlineStr">
        <is>
          <t>PHILIPPOS CONSTANTINIDES TRADING CO. LTD (CIPRO)</t>
        </is>
      </c>
      <c r="P1185" s="154" t="inlineStr">
        <is>
          <t xml:space="preserve">IMPORT LICENSE N. 218 DEL 12/08/2020                                                                                         AUT. TRASFERIMENTO N. 6B/2025/3D RILASCIATA IL 28/07/2025   </t>
        </is>
      </c>
      <c r="Q1185" s="150" t="n"/>
      <c r="R1185" s="150" t="n"/>
      <c r="S1185" s="153" t="n"/>
    </row>
    <row r="1186" ht="36" customHeight="1">
      <c r="A1186" s="46" t="n">
        <v>3516</v>
      </c>
      <c r="B1186" s="4">
        <f>+VLOOKUP($A1186,MAGAZZINO!$B$2:$M$100000,2,FALSE)</f>
        <v/>
      </c>
      <c r="C1186" s="29">
        <f>+VLOOKUP($A1186,MAGAZZINO!$B$2:$M$100000,3,FALSE)</f>
        <v/>
      </c>
      <c r="D1186" s="3">
        <f>+VLOOKUP($A1186,MAGAZZINO!$B$2:$M$100000,4,FALSE)</f>
        <v/>
      </c>
      <c r="E1186" s="3">
        <f>+VLOOKUP($A1186,MAGAZZINO!$B$2:$M$100000,5,FALSE)</f>
        <v/>
      </c>
      <c r="F1186" s="3">
        <f>+VLOOKUP($A1186,MAGAZZINO!$B$2:$M$100000,6,FALSE)</f>
        <v/>
      </c>
      <c r="G1186" s="3">
        <f>+VLOOKUP($A1186,MAGAZZINO!$B$2:$M$100000,7,FALSE)</f>
        <v/>
      </c>
      <c r="H1186" s="3">
        <f>+VLOOKUP($A1186,MAGAZZINO!$B$2:$M$100000,8,FALSE)</f>
        <v/>
      </c>
      <c r="I1186" s="3">
        <f>+VLOOKUP($A1186,MAGAZZINO!$B$2:$M$100000,9,FALSE)</f>
        <v/>
      </c>
      <c r="J1186" s="3">
        <f>+VLOOKUP($A1186,MAGAZZINO!$B$2:$M$100000,10,FALSE)</f>
        <v/>
      </c>
      <c r="K1186" s="3">
        <f>+VLOOKUP($A1186,MAGAZZINO!$B$2:$M$100000,11,FALSE)</f>
        <v/>
      </c>
      <c r="L1186" s="5">
        <f>+VLOOKUP($A1186,MAGAZZINO!$B$2:$M$100000,12,FALSE)</f>
        <v/>
      </c>
      <c r="M1186" s="47" t="n"/>
      <c r="N1186" s="88" t="n">
        <v>45874</v>
      </c>
      <c r="O1186" s="91" t="inlineStr">
        <is>
          <t>PHILIPPOS CONSTANTINIDES TRADING CO. LTD (CIPRO)</t>
        </is>
      </c>
      <c r="P1186" s="154" t="inlineStr">
        <is>
          <t xml:space="preserve">IMPORT LICENSE N. 218 DEL 12/08/2020                                                                                         AUT. TRASFERIMENTO N. 6B/2025/3D RILASCIATA IL 28/07/2025   </t>
        </is>
      </c>
      <c r="Q1186" s="150" t="n"/>
      <c r="R1186" s="150" t="n"/>
      <c r="S1186" s="153" t="n"/>
    </row>
    <row r="1187" ht="36" customHeight="1">
      <c r="A1187" s="46" t="n">
        <v>3517</v>
      </c>
      <c r="B1187" s="4">
        <f>+VLOOKUP($A1187,MAGAZZINO!$B$2:$M$100000,2,FALSE)</f>
        <v/>
      </c>
      <c r="C1187" s="29">
        <f>+VLOOKUP($A1187,MAGAZZINO!$B$2:$M$100000,3,FALSE)</f>
        <v/>
      </c>
      <c r="D1187" s="3">
        <f>+VLOOKUP($A1187,MAGAZZINO!$B$2:$M$100000,4,FALSE)</f>
        <v/>
      </c>
      <c r="E1187" s="3">
        <f>+VLOOKUP($A1187,MAGAZZINO!$B$2:$M$100000,5,FALSE)</f>
        <v/>
      </c>
      <c r="F1187" s="3">
        <f>+VLOOKUP($A1187,MAGAZZINO!$B$2:$M$100000,6,FALSE)</f>
        <v/>
      </c>
      <c r="G1187" s="3">
        <f>+VLOOKUP($A1187,MAGAZZINO!$B$2:$M$100000,7,FALSE)</f>
        <v/>
      </c>
      <c r="H1187" s="3">
        <f>+VLOOKUP($A1187,MAGAZZINO!$B$2:$M$100000,8,FALSE)</f>
        <v/>
      </c>
      <c r="I1187" s="3">
        <f>+VLOOKUP($A1187,MAGAZZINO!$B$2:$M$100000,9,FALSE)</f>
        <v/>
      </c>
      <c r="J1187" s="3">
        <f>+VLOOKUP($A1187,MAGAZZINO!$B$2:$M$100000,10,FALSE)</f>
        <v/>
      </c>
      <c r="K1187" s="3">
        <f>+VLOOKUP($A1187,MAGAZZINO!$B$2:$M$100000,11,FALSE)</f>
        <v/>
      </c>
      <c r="L1187" s="5">
        <f>+VLOOKUP($A1187,MAGAZZINO!$B$2:$M$100000,12,FALSE)</f>
        <v/>
      </c>
      <c r="M1187" s="47" t="n"/>
      <c r="N1187" s="54" t="n"/>
      <c r="O1187" s="3" t="n"/>
      <c r="P1187" s="149" t="n"/>
      <c r="Q1187" s="150" t="n"/>
      <c r="R1187" s="150" t="n"/>
      <c r="S1187" s="151" t="n"/>
    </row>
    <row r="1188" ht="36" customHeight="1">
      <c r="A1188" s="46" t="n">
        <v>3518</v>
      </c>
      <c r="B1188" s="4">
        <f>+VLOOKUP($A1188,MAGAZZINO!$B$2:$M$100000,2,FALSE)</f>
        <v/>
      </c>
      <c r="C1188" s="29">
        <f>+VLOOKUP($A1188,MAGAZZINO!$B$2:$M$100000,3,FALSE)</f>
        <v/>
      </c>
      <c r="D1188" s="3">
        <f>+VLOOKUP($A1188,MAGAZZINO!$B$2:$M$100000,4,FALSE)</f>
        <v/>
      </c>
      <c r="E1188" s="3">
        <f>+VLOOKUP($A1188,MAGAZZINO!$B$2:$M$100000,5,FALSE)</f>
        <v/>
      </c>
      <c r="F1188" s="3">
        <f>+VLOOKUP($A1188,MAGAZZINO!$B$2:$M$100000,6,FALSE)</f>
        <v/>
      </c>
      <c r="G1188" s="3">
        <f>+VLOOKUP($A1188,MAGAZZINO!$B$2:$M$100000,7,FALSE)</f>
        <v/>
      </c>
      <c r="H1188" s="3">
        <f>+VLOOKUP($A1188,MAGAZZINO!$B$2:$M$100000,8,FALSE)</f>
        <v/>
      </c>
      <c r="I1188" s="3">
        <f>+VLOOKUP($A1188,MAGAZZINO!$B$2:$M$100000,9,FALSE)</f>
        <v/>
      </c>
      <c r="J1188" s="3">
        <f>+VLOOKUP($A1188,MAGAZZINO!$B$2:$M$100000,10,FALSE)</f>
        <v/>
      </c>
      <c r="K1188" s="3">
        <f>+VLOOKUP($A1188,MAGAZZINO!$B$2:$M$100000,11,FALSE)</f>
        <v/>
      </c>
      <c r="L1188" s="5">
        <f>+VLOOKUP($A1188,MAGAZZINO!$B$2:$M$100000,12,FALSE)</f>
        <v/>
      </c>
      <c r="M1188" s="47" t="n"/>
      <c r="N1188" s="88" t="n">
        <v>45874</v>
      </c>
      <c r="O1188" s="91" t="inlineStr">
        <is>
          <t>PHILIPPOS CONSTANTINIDES TRADING CO. LTD (CIPRO)</t>
        </is>
      </c>
      <c r="P1188" s="154" t="inlineStr">
        <is>
          <t xml:space="preserve">IMPORT LICENSE N. 218 DEL 12/08/2020                                                                                         AUT. TRASFERIMENTO N. 6B/2025/3D RILASCIATA IL 28/07/2025   </t>
        </is>
      </c>
      <c r="Q1188" s="150" t="n"/>
      <c r="R1188" s="150" t="n"/>
      <c r="S1188" s="153" t="n"/>
    </row>
    <row r="1189" ht="36" customHeight="1">
      <c r="A1189" s="46" t="n">
        <v>3519</v>
      </c>
      <c r="B1189" s="4">
        <f>+VLOOKUP($A1189,MAGAZZINO!$B$2:$M$100000,2,FALSE)</f>
        <v/>
      </c>
      <c r="C1189" s="29">
        <f>+VLOOKUP($A1189,MAGAZZINO!$B$2:$M$100000,3,FALSE)</f>
        <v/>
      </c>
      <c r="D1189" s="3">
        <f>+VLOOKUP($A1189,MAGAZZINO!$B$2:$M$100000,4,FALSE)</f>
        <v/>
      </c>
      <c r="E1189" s="3">
        <f>+VLOOKUP($A1189,MAGAZZINO!$B$2:$M$100000,5,FALSE)</f>
        <v/>
      </c>
      <c r="F1189" s="3">
        <f>+VLOOKUP($A1189,MAGAZZINO!$B$2:$M$100000,6,FALSE)</f>
        <v/>
      </c>
      <c r="G1189" s="3">
        <f>+VLOOKUP($A1189,MAGAZZINO!$B$2:$M$100000,7,FALSE)</f>
        <v/>
      </c>
      <c r="H1189" s="3">
        <f>+VLOOKUP($A1189,MAGAZZINO!$B$2:$M$100000,8,FALSE)</f>
        <v/>
      </c>
      <c r="I1189" s="3">
        <f>+VLOOKUP($A1189,MAGAZZINO!$B$2:$M$100000,9,FALSE)</f>
        <v/>
      </c>
      <c r="J1189" s="3">
        <f>+VLOOKUP($A1189,MAGAZZINO!$B$2:$M$100000,10,FALSE)</f>
        <v/>
      </c>
      <c r="K1189" s="3">
        <f>+VLOOKUP($A1189,MAGAZZINO!$B$2:$M$100000,11,FALSE)</f>
        <v/>
      </c>
      <c r="L1189" s="5">
        <f>+VLOOKUP($A1189,MAGAZZINO!$B$2:$M$100000,12,FALSE)</f>
        <v/>
      </c>
      <c r="M1189" s="47" t="n"/>
      <c r="N1189" s="54" t="n"/>
      <c r="O1189" s="3" t="n"/>
      <c r="P1189" s="149" t="n"/>
      <c r="Q1189" s="150" t="n"/>
      <c r="R1189" s="150" t="n"/>
      <c r="S1189" s="151" t="n"/>
    </row>
    <row r="1190" ht="36" customHeight="1">
      <c r="A1190" s="46" t="n">
        <v>3520</v>
      </c>
      <c r="B1190" s="4">
        <f>+VLOOKUP($A1190,MAGAZZINO!$B$2:$M$100000,2,FALSE)</f>
        <v/>
      </c>
      <c r="C1190" s="29">
        <f>+VLOOKUP($A1190,MAGAZZINO!$B$2:$M$100000,3,FALSE)</f>
        <v/>
      </c>
      <c r="D1190" s="3">
        <f>+VLOOKUP($A1190,MAGAZZINO!$B$2:$M$100000,4,FALSE)</f>
        <v/>
      </c>
      <c r="E1190" s="3">
        <f>+VLOOKUP($A1190,MAGAZZINO!$B$2:$M$100000,5,FALSE)</f>
        <v/>
      </c>
      <c r="F1190" s="3">
        <f>+VLOOKUP($A1190,MAGAZZINO!$B$2:$M$100000,6,FALSE)</f>
        <v/>
      </c>
      <c r="G1190" s="3">
        <f>+VLOOKUP($A1190,MAGAZZINO!$B$2:$M$100000,7,FALSE)</f>
        <v/>
      </c>
      <c r="H1190" s="3">
        <f>+VLOOKUP($A1190,MAGAZZINO!$B$2:$M$100000,8,FALSE)</f>
        <v/>
      </c>
      <c r="I1190" s="3">
        <f>+VLOOKUP($A1190,MAGAZZINO!$B$2:$M$100000,9,FALSE)</f>
        <v/>
      </c>
      <c r="J1190" s="3">
        <f>+VLOOKUP($A1190,MAGAZZINO!$B$2:$M$100000,10,FALSE)</f>
        <v/>
      </c>
      <c r="K1190" s="3">
        <f>+VLOOKUP($A1190,MAGAZZINO!$B$2:$M$100000,11,FALSE)</f>
        <v/>
      </c>
      <c r="L1190" s="5">
        <f>+VLOOKUP($A1190,MAGAZZINO!$B$2:$M$100000,12,FALSE)</f>
        <v/>
      </c>
      <c r="M1190" s="47" t="n"/>
      <c r="N1190" s="88" t="n">
        <v>45874</v>
      </c>
      <c r="O1190" s="91" t="inlineStr">
        <is>
          <t>PHILIPPOS CONSTANTINIDES TRADING CO. LTD (CIPRO)</t>
        </is>
      </c>
      <c r="P1190" s="163" t="inlineStr">
        <is>
          <t xml:space="preserve">IMPORT LICENSE N. 218 DEL 12/08/2020                                                                                         AUT. TRASFERIMENTO N. 6B/2025/3D RILASCIATA IL 28/07/2025   </t>
        </is>
      </c>
      <c r="Q1190" s="150" t="n"/>
      <c r="R1190" s="150" t="n"/>
      <c r="S1190" s="151" t="n"/>
    </row>
    <row r="1191" ht="36" customHeight="1">
      <c r="A1191" s="46" t="n">
        <v>3521</v>
      </c>
      <c r="B1191" s="4">
        <f>+VLOOKUP($A1191,MAGAZZINO!$B$2:$M$100000,2,FALSE)</f>
        <v/>
      </c>
      <c r="C1191" s="29">
        <f>+VLOOKUP($A1191,MAGAZZINO!$B$2:$M$100000,3,FALSE)</f>
        <v/>
      </c>
      <c r="D1191" s="3">
        <f>+VLOOKUP($A1191,MAGAZZINO!$B$2:$M$100000,4,FALSE)</f>
        <v/>
      </c>
      <c r="E1191" s="3">
        <f>+VLOOKUP($A1191,MAGAZZINO!$B$2:$M$100000,5,FALSE)</f>
        <v/>
      </c>
      <c r="F1191" s="3">
        <f>+VLOOKUP($A1191,MAGAZZINO!$B$2:$M$100000,6,FALSE)</f>
        <v/>
      </c>
      <c r="G1191" s="3">
        <f>+VLOOKUP($A1191,MAGAZZINO!$B$2:$M$100000,7,FALSE)</f>
        <v/>
      </c>
      <c r="H1191" s="3">
        <f>+VLOOKUP($A1191,MAGAZZINO!$B$2:$M$100000,8,FALSE)</f>
        <v/>
      </c>
      <c r="I1191" s="3">
        <f>+VLOOKUP($A1191,MAGAZZINO!$B$2:$M$100000,9,FALSE)</f>
        <v/>
      </c>
      <c r="J1191" s="3">
        <f>+VLOOKUP($A1191,MAGAZZINO!$B$2:$M$100000,10,FALSE)</f>
        <v/>
      </c>
      <c r="K1191" s="3">
        <f>+VLOOKUP($A1191,MAGAZZINO!$B$2:$M$100000,11,FALSE)</f>
        <v/>
      </c>
      <c r="L1191" s="5">
        <f>+VLOOKUP($A1191,MAGAZZINO!$B$2:$M$100000,12,FALSE)</f>
        <v/>
      </c>
      <c r="M1191" s="47" t="n"/>
      <c r="N1191" s="88" t="n">
        <v>45874</v>
      </c>
      <c r="O1191" s="91" t="inlineStr">
        <is>
          <t>PHILIPPOS CONSTANTINIDES TRADING CO. LTD (CIPRO)</t>
        </is>
      </c>
      <c r="P1191" s="163" t="inlineStr">
        <is>
          <t xml:space="preserve">IMPORT LICENSE N. 218 DEL 12/08/2020                                                                                         AUT. TRASFERIMENTO N. 6B/2025/3D RILASCIATA IL 28/07/2025   </t>
        </is>
      </c>
      <c r="Q1191" s="150" t="n"/>
      <c r="R1191" s="150" t="n"/>
      <c r="S1191" s="151" t="n"/>
    </row>
    <row r="1192" ht="36" customHeight="1">
      <c r="A1192" s="46" t="n">
        <v>3522</v>
      </c>
      <c r="B1192" s="4">
        <f>+VLOOKUP($A1192,MAGAZZINO!$B$2:$M$100000,2,FALSE)</f>
        <v/>
      </c>
      <c r="C1192" s="29">
        <f>+VLOOKUP($A1192,MAGAZZINO!$B$2:$M$100000,3,FALSE)</f>
        <v/>
      </c>
      <c r="D1192" s="3">
        <f>+VLOOKUP($A1192,MAGAZZINO!$B$2:$M$100000,4,FALSE)</f>
        <v/>
      </c>
      <c r="E1192" s="3">
        <f>+VLOOKUP($A1192,MAGAZZINO!$B$2:$M$100000,5,FALSE)</f>
        <v/>
      </c>
      <c r="F1192" s="3">
        <f>+VLOOKUP($A1192,MAGAZZINO!$B$2:$M$100000,6,FALSE)</f>
        <v/>
      </c>
      <c r="G1192" s="3">
        <f>+VLOOKUP($A1192,MAGAZZINO!$B$2:$M$100000,7,FALSE)</f>
        <v/>
      </c>
      <c r="H1192" s="3">
        <f>+VLOOKUP($A1192,MAGAZZINO!$B$2:$M$100000,8,FALSE)</f>
        <v/>
      </c>
      <c r="I1192" s="3">
        <f>+VLOOKUP($A1192,MAGAZZINO!$B$2:$M$100000,9,FALSE)</f>
        <v/>
      </c>
      <c r="J1192" s="3">
        <f>+VLOOKUP($A1192,MAGAZZINO!$B$2:$M$100000,10,FALSE)</f>
        <v/>
      </c>
      <c r="K1192" s="3">
        <f>+VLOOKUP($A1192,MAGAZZINO!$B$2:$M$100000,11,FALSE)</f>
        <v/>
      </c>
      <c r="L1192" s="5">
        <f>+VLOOKUP($A1192,MAGAZZINO!$B$2:$M$100000,12,FALSE)</f>
        <v/>
      </c>
      <c r="M1192" s="47" t="n"/>
      <c r="N1192" s="88" t="n">
        <v>45874</v>
      </c>
      <c r="O1192" s="91" t="inlineStr">
        <is>
          <t>PHILIPPOS CONSTANTINIDES TRADING CO. LTD (CIPRO)</t>
        </is>
      </c>
      <c r="P1192" s="163" t="inlineStr">
        <is>
          <t xml:space="preserve">IMPORT LICENSE N. 218 DEL 12/08/2020                                                                                         AUT. TRASFERIMENTO N. 6B/2025/3D RILASCIATA IL 28/07/2025   </t>
        </is>
      </c>
      <c r="Q1192" s="150" t="n"/>
      <c r="R1192" s="150" t="n"/>
      <c r="S1192" s="151" t="n"/>
    </row>
    <row r="1193" ht="36" customHeight="1">
      <c r="A1193" s="46" t="n">
        <v>3523</v>
      </c>
      <c r="B1193" s="4">
        <f>+VLOOKUP($A1193,MAGAZZINO!$B$2:$M$100000,2,FALSE)</f>
        <v/>
      </c>
      <c r="C1193" s="29">
        <f>+VLOOKUP($A1193,MAGAZZINO!$B$2:$M$100000,3,FALSE)</f>
        <v/>
      </c>
      <c r="D1193" s="3">
        <f>+VLOOKUP($A1193,MAGAZZINO!$B$2:$M$100000,4,FALSE)</f>
        <v/>
      </c>
      <c r="E1193" s="3">
        <f>+VLOOKUP($A1193,MAGAZZINO!$B$2:$M$100000,5,FALSE)</f>
        <v/>
      </c>
      <c r="F1193" s="3">
        <f>+VLOOKUP($A1193,MAGAZZINO!$B$2:$M$100000,6,FALSE)</f>
        <v/>
      </c>
      <c r="G1193" s="3">
        <f>+VLOOKUP($A1193,MAGAZZINO!$B$2:$M$100000,7,FALSE)</f>
        <v/>
      </c>
      <c r="H1193" s="3">
        <f>+VLOOKUP($A1193,MAGAZZINO!$B$2:$M$100000,8,FALSE)</f>
        <v/>
      </c>
      <c r="I1193" s="3">
        <f>+VLOOKUP($A1193,MAGAZZINO!$B$2:$M$100000,9,FALSE)</f>
        <v/>
      </c>
      <c r="J1193" s="3">
        <f>+VLOOKUP($A1193,MAGAZZINO!$B$2:$M$100000,10,FALSE)</f>
        <v/>
      </c>
      <c r="K1193" s="3">
        <f>+VLOOKUP($A1193,MAGAZZINO!$B$2:$M$100000,11,FALSE)</f>
        <v/>
      </c>
      <c r="L1193" s="5">
        <f>+VLOOKUP($A1193,MAGAZZINO!$B$2:$M$100000,12,FALSE)</f>
        <v/>
      </c>
      <c r="M1193" s="47" t="n"/>
      <c r="N1193" s="88" t="n">
        <v>45874</v>
      </c>
      <c r="O1193" s="91" t="inlineStr">
        <is>
          <t>PHILIPPOS CONSTANTINIDES TRADING CO. LTD (CIPRO)</t>
        </is>
      </c>
      <c r="P1193" s="163" t="inlineStr">
        <is>
          <t xml:space="preserve">IMPORT LICENSE N. 218 DEL 12/08/2020                                                                                         AUT. TRASFERIMENTO N. 6B/2025/3D RILASCIATA IL 28/07/2025   </t>
        </is>
      </c>
      <c r="Q1193" s="150" t="n"/>
      <c r="R1193" s="150" t="n"/>
      <c r="S1193" s="151" t="n"/>
    </row>
    <row r="1194" ht="36" customHeight="1">
      <c r="A1194" s="46" t="n">
        <v>3524</v>
      </c>
      <c r="B1194" s="4">
        <f>+VLOOKUP($A1194,MAGAZZINO!$B$2:$M$100000,2,FALSE)</f>
        <v/>
      </c>
      <c r="C1194" s="29">
        <f>+VLOOKUP($A1194,MAGAZZINO!$B$2:$M$100000,3,FALSE)</f>
        <v/>
      </c>
      <c r="D1194" s="3">
        <f>+VLOOKUP($A1194,MAGAZZINO!$B$2:$M$100000,4,FALSE)</f>
        <v/>
      </c>
      <c r="E1194" s="3">
        <f>+VLOOKUP($A1194,MAGAZZINO!$B$2:$M$100000,5,FALSE)</f>
        <v/>
      </c>
      <c r="F1194" s="3">
        <f>+VLOOKUP($A1194,MAGAZZINO!$B$2:$M$100000,6,FALSE)</f>
        <v/>
      </c>
      <c r="G1194" s="3">
        <f>+VLOOKUP($A1194,MAGAZZINO!$B$2:$M$100000,7,FALSE)</f>
        <v/>
      </c>
      <c r="H1194" s="3">
        <f>+VLOOKUP($A1194,MAGAZZINO!$B$2:$M$100000,8,FALSE)</f>
        <v/>
      </c>
      <c r="I1194" s="3">
        <f>+VLOOKUP($A1194,MAGAZZINO!$B$2:$M$100000,9,FALSE)</f>
        <v/>
      </c>
      <c r="J1194" s="3">
        <f>+VLOOKUP($A1194,MAGAZZINO!$B$2:$M$100000,10,FALSE)</f>
        <v/>
      </c>
      <c r="K1194" s="3">
        <f>+VLOOKUP($A1194,MAGAZZINO!$B$2:$M$100000,11,FALSE)</f>
        <v/>
      </c>
      <c r="L1194" s="5">
        <f>+VLOOKUP($A1194,MAGAZZINO!$B$2:$M$100000,12,FALSE)</f>
        <v/>
      </c>
      <c r="M1194" s="47" t="n"/>
      <c r="N1194" s="88" t="n">
        <v>45874</v>
      </c>
      <c r="O1194" s="91" t="inlineStr">
        <is>
          <t>PHILIPPOS CONSTANTINIDES TRADING CO. LTD (CIPRO)</t>
        </is>
      </c>
      <c r="P1194" s="163" t="inlineStr">
        <is>
          <t xml:space="preserve">IMPORT LICENSE N. 218 DEL 12/08/2020                                                                                         AUT. TRASFERIMENTO N. 6B/2025/3D RILASCIATA IL 28/07/2025   </t>
        </is>
      </c>
      <c r="Q1194" s="150" t="n"/>
      <c r="R1194" s="150" t="n"/>
      <c r="S1194" s="151" t="n"/>
    </row>
    <row r="1195" ht="36" customHeight="1">
      <c r="A1195" s="46" t="n">
        <v>3525</v>
      </c>
      <c r="B1195" s="4">
        <f>+VLOOKUP($A1195,MAGAZZINO!$B$2:$M$100000,2,FALSE)</f>
        <v/>
      </c>
      <c r="C1195" s="29">
        <f>+VLOOKUP($A1195,MAGAZZINO!$B$2:$M$100000,3,FALSE)</f>
        <v/>
      </c>
      <c r="D1195" s="3">
        <f>+VLOOKUP($A1195,MAGAZZINO!$B$2:$M$100000,4,FALSE)</f>
        <v/>
      </c>
      <c r="E1195" s="3">
        <f>+VLOOKUP($A1195,MAGAZZINO!$B$2:$M$100000,5,FALSE)</f>
        <v/>
      </c>
      <c r="F1195" s="3">
        <f>+VLOOKUP($A1195,MAGAZZINO!$B$2:$M$100000,6,FALSE)</f>
        <v/>
      </c>
      <c r="G1195" s="3">
        <f>+VLOOKUP($A1195,MAGAZZINO!$B$2:$M$100000,7,FALSE)</f>
        <v/>
      </c>
      <c r="H1195" s="3">
        <f>+VLOOKUP($A1195,MAGAZZINO!$B$2:$M$100000,8,FALSE)</f>
        <v/>
      </c>
      <c r="I1195" s="3">
        <f>+VLOOKUP($A1195,MAGAZZINO!$B$2:$M$100000,9,FALSE)</f>
        <v/>
      </c>
      <c r="J1195" s="3">
        <f>+VLOOKUP($A1195,MAGAZZINO!$B$2:$M$100000,10,FALSE)</f>
        <v/>
      </c>
      <c r="K1195" s="3">
        <f>+VLOOKUP($A1195,MAGAZZINO!$B$2:$M$100000,11,FALSE)</f>
        <v/>
      </c>
      <c r="L1195" s="5">
        <f>+VLOOKUP($A1195,MAGAZZINO!$B$2:$M$100000,12,FALSE)</f>
        <v/>
      </c>
      <c r="M1195" s="47" t="n"/>
      <c r="N1195" s="54" t="n"/>
      <c r="O1195" s="3" t="n"/>
      <c r="P1195" s="149" t="n"/>
      <c r="Q1195" s="150" t="n"/>
      <c r="R1195" s="150" t="n"/>
      <c r="S1195" s="151" t="n"/>
    </row>
    <row r="1196" ht="36" customHeight="1">
      <c r="A1196" s="46" t="n">
        <v>3526</v>
      </c>
      <c r="B1196" s="4">
        <f>+VLOOKUP($A1196,MAGAZZINO!$B$2:$M$100000,2,FALSE)</f>
        <v/>
      </c>
      <c r="C1196" s="29">
        <f>+VLOOKUP($A1196,MAGAZZINO!$B$2:$M$100000,3,FALSE)</f>
        <v/>
      </c>
      <c r="D1196" s="3">
        <f>+VLOOKUP($A1196,MAGAZZINO!$B$2:$M$100000,4,FALSE)</f>
        <v/>
      </c>
      <c r="E1196" s="3">
        <f>+VLOOKUP($A1196,MAGAZZINO!$B$2:$M$100000,5,FALSE)</f>
        <v/>
      </c>
      <c r="F1196" s="3">
        <f>+VLOOKUP($A1196,MAGAZZINO!$B$2:$M$100000,6,FALSE)</f>
        <v/>
      </c>
      <c r="G1196" s="3">
        <f>+VLOOKUP($A1196,MAGAZZINO!$B$2:$M$100000,7,FALSE)</f>
        <v/>
      </c>
      <c r="H1196" s="3">
        <f>+VLOOKUP($A1196,MAGAZZINO!$B$2:$M$100000,8,FALSE)</f>
        <v/>
      </c>
      <c r="I1196" s="3">
        <f>+VLOOKUP($A1196,MAGAZZINO!$B$2:$M$100000,9,FALSE)</f>
        <v/>
      </c>
      <c r="J1196" s="3">
        <f>+VLOOKUP($A1196,MAGAZZINO!$B$2:$M$100000,10,FALSE)</f>
        <v/>
      </c>
      <c r="K1196" s="3">
        <f>+VLOOKUP($A1196,MAGAZZINO!$B$2:$M$100000,11,FALSE)</f>
        <v/>
      </c>
      <c r="L1196" s="5">
        <f>+VLOOKUP($A1196,MAGAZZINO!$B$2:$M$100000,12,FALSE)</f>
        <v/>
      </c>
      <c r="M1196" s="47" t="n"/>
      <c r="N1196" s="54" t="n"/>
      <c r="O1196" s="3" t="n"/>
      <c r="P1196" s="149" t="n"/>
      <c r="Q1196" s="150" t="n"/>
      <c r="R1196" s="150" t="n"/>
      <c r="S1196" s="151" t="n"/>
    </row>
    <row r="1197" ht="36" customHeight="1">
      <c r="A1197" s="46" t="n">
        <v>3527</v>
      </c>
      <c r="B1197" s="4">
        <f>+VLOOKUP($A1197,MAGAZZINO!$B$2:$M$100000,2,FALSE)</f>
        <v/>
      </c>
      <c r="C1197" s="29">
        <f>+VLOOKUP($A1197,MAGAZZINO!$B$2:$M$100000,3,FALSE)</f>
        <v/>
      </c>
      <c r="D1197" s="3">
        <f>+VLOOKUP($A1197,MAGAZZINO!$B$2:$M$100000,4,FALSE)</f>
        <v/>
      </c>
      <c r="E1197" s="3">
        <f>+VLOOKUP($A1197,MAGAZZINO!$B$2:$M$100000,5,FALSE)</f>
        <v/>
      </c>
      <c r="F1197" s="3">
        <f>+VLOOKUP($A1197,MAGAZZINO!$B$2:$M$100000,6,FALSE)</f>
        <v/>
      </c>
      <c r="G1197" s="3">
        <f>+VLOOKUP($A1197,MAGAZZINO!$B$2:$M$100000,7,FALSE)</f>
        <v/>
      </c>
      <c r="H1197" s="3">
        <f>+VLOOKUP($A1197,MAGAZZINO!$B$2:$M$100000,8,FALSE)</f>
        <v/>
      </c>
      <c r="I1197" s="3">
        <f>+VLOOKUP($A1197,MAGAZZINO!$B$2:$M$100000,9,FALSE)</f>
        <v/>
      </c>
      <c r="J1197" s="3">
        <f>+VLOOKUP($A1197,MAGAZZINO!$B$2:$M$100000,10,FALSE)</f>
        <v/>
      </c>
      <c r="K1197" s="3">
        <f>+VLOOKUP($A1197,MAGAZZINO!$B$2:$M$100000,11,FALSE)</f>
        <v/>
      </c>
      <c r="L1197" s="5">
        <f>+VLOOKUP($A1197,MAGAZZINO!$B$2:$M$100000,12,FALSE)</f>
        <v/>
      </c>
      <c r="M1197" s="47" t="n"/>
      <c r="N1197" s="88" t="n">
        <v>45874</v>
      </c>
      <c r="O1197" s="91" t="inlineStr">
        <is>
          <t>PHILIPPOS CONSTANTINIDES TRADING CO. LTD (CIPRO)</t>
        </is>
      </c>
      <c r="P1197" s="154" t="inlineStr">
        <is>
          <t xml:space="preserve">IMPORT LICENSE N. 218 DEL 12/08/2020                                                                                         AUT. TRASFERIMENTO N. 6B/2025/3D RILASCIATA IL 28/07/2025   </t>
        </is>
      </c>
      <c r="Q1197" s="150" t="n"/>
      <c r="R1197" s="150" t="n"/>
      <c r="S1197" s="153" t="n"/>
    </row>
    <row r="1198" ht="36" customHeight="1">
      <c r="A1198" s="46" t="n">
        <v>3528</v>
      </c>
      <c r="B1198" s="4">
        <f>+VLOOKUP($A1198,MAGAZZINO!$B$2:$M$100000,2,FALSE)</f>
        <v/>
      </c>
      <c r="C1198" s="29">
        <f>+VLOOKUP($A1198,MAGAZZINO!$B$2:$M$100000,3,FALSE)</f>
        <v/>
      </c>
      <c r="D1198" s="3">
        <f>+VLOOKUP($A1198,MAGAZZINO!$B$2:$M$100000,4,FALSE)</f>
        <v/>
      </c>
      <c r="E1198" s="3">
        <f>+VLOOKUP($A1198,MAGAZZINO!$B$2:$M$100000,5,FALSE)</f>
        <v/>
      </c>
      <c r="F1198" s="3">
        <f>+VLOOKUP($A1198,MAGAZZINO!$B$2:$M$100000,6,FALSE)</f>
        <v/>
      </c>
      <c r="G1198" s="3">
        <f>+VLOOKUP($A1198,MAGAZZINO!$B$2:$M$100000,7,FALSE)</f>
        <v/>
      </c>
      <c r="H1198" s="3">
        <f>+VLOOKUP($A1198,MAGAZZINO!$B$2:$M$100000,8,FALSE)</f>
        <v/>
      </c>
      <c r="I1198" s="3">
        <f>+VLOOKUP($A1198,MAGAZZINO!$B$2:$M$100000,9,FALSE)</f>
        <v/>
      </c>
      <c r="J1198" s="3">
        <f>+VLOOKUP($A1198,MAGAZZINO!$B$2:$M$100000,10,FALSE)</f>
        <v/>
      </c>
      <c r="K1198" s="3">
        <f>+VLOOKUP($A1198,MAGAZZINO!$B$2:$M$100000,11,FALSE)</f>
        <v/>
      </c>
      <c r="L1198" s="5">
        <f>+VLOOKUP($A1198,MAGAZZINO!$B$2:$M$100000,12,FALSE)</f>
        <v/>
      </c>
      <c r="M1198" s="47" t="n"/>
      <c r="N1198" s="88" t="n">
        <v>45874</v>
      </c>
      <c r="O1198" s="91" t="inlineStr">
        <is>
          <t>PHILIPPOS CONSTANTINIDES TRADING CO. LTD (CIPRO)</t>
        </is>
      </c>
      <c r="P1198" s="154" t="inlineStr">
        <is>
          <t xml:space="preserve">IMPORT LICENSE N. 218 DEL 12/08/2020                                                                                         AUT. TRASFERIMENTO N. 6B/2025/3D RILASCIATA IL 28/07/2025   </t>
        </is>
      </c>
      <c r="Q1198" s="150" t="n"/>
      <c r="R1198" s="150" t="n"/>
      <c r="S1198" s="153" t="n"/>
    </row>
    <row r="1199" ht="36" customHeight="1">
      <c r="A1199" s="46" t="n">
        <v>3529</v>
      </c>
      <c r="B1199" s="4">
        <f>+VLOOKUP($A1199,MAGAZZINO!$B$2:$M$100000,2,FALSE)</f>
        <v/>
      </c>
      <c r="C1199" s="29">
        <f>+VLOOKUP($A1199,MAGAZZINO!$B$2:$M$100000,3,FALSE)</f>
        <v/>
      </c>
      <c r="D1199" s="3">
        <f>+VLOOKUP($A1199,MAGAZZINO!$B$2:$M$100000,4,FALSE)</f>
        <v/>
      </c>
      <c r="E1199" s="3">
        <f>+VLOOKUP($A1199,MAGAZZINO!$B$2:$M$100000,5,FALSE)</f>
        <v/>
      </c>
      <c r="F1199" s="3">
        <f>+VLOOKUP($A1199,MAGAZZINO!$B$2:$M$100000,6,FALSE)</f>
        <v/>
      </c>
      <c r="G1199" s="3">
        <f>+VLOOKUP($A1199,MAGAZZINO!$B$2:$M$100000,7,FALSE)</f>
        <v/>
      </c>
      <c r="H1199" s="3">
        <f>+VLOOKUP($A1199,MAGAZZINO!$B$2:$M$100000,8,FALSE)</f>
        <v/>
      </c>
      <c r="I1199" s="3">
        <f>+VLOOKUP($A1199,MAGAZZINO!$B$2:$M$100000,9,FALSE)</f>
        <v/>
      </c>
      <c r="J1199" s="3">
        <f>+VLOOKUP($A1199,MAGAZZINO!$B$2:$M$100000,10,FALSE)</f>
        <v/>
      </c>
      <c r="K1199" s="3">
        <f>+VLOOKUP($A1199,MAGAZZINO!$B$2:$M$100000,11,FALSE)</f>
        <v/>
      </c>
      <c r="L1199" s="5">
        <f>+VLOOKUP($A1199,MAGAZZINO!$B$2:$M$100000,12,FALSE)</f>
        <v/>
      </c>
      <c r="M1199" s="47" t="n"/>
      <c r="N1199" s="88" t="n">
        <v>45874</v>
      </c>
      <c r="O1199" s="91" t="inlineStr">
        <is>
          <t>PHILIPPOS CONSTANTINIDES TRADING CO. LTD (CIPRO)</t>
        </is>
      </c>
      <c r="P1199" s="154" t="inlineStr">
        <is>
          <t xml:space="preserve">IMPORT LICENSE N. 218 DEL 12/08/2020                                                                                         AUT. TRASFERIMENTO N. 6B/2025/3D RILASCIATA IL 28/07/2025   </t>
        </is>
      </c>
      <c r="Q1199" s="150" t="n"/>
      <c r="R1199" s="150" t="n"/>
      <c r="S1199" s="153" t="n"/>
    </row>
    <row r="1200" ht="36" customHeight="1">
      <c r="A1200" s="46" t="n">
        <v>3530</v>
      </c>
      <c r="B1200" s="4">
        <f>+VLOOKUP($A1200,MAGAZZINO!$B$2:$M$100000,2,FALSE)</f>
        <v/>
      </c>
      <c r="C1200" s="29">
        <f>+VLOOKUP($A1200,MAGAZZINO!$B$2:$M$100000,3,FALSE)</f>
        <v/>
      </c>
      <c r="D1200" s="3">
        <f>+VLOOKUP($A1200,MAGAZZINO!$B$2:$M$100000,4,FALSE)</f>
        <v/>
      </c>
      <c r="E1200" s="3">
        <f>+VLOOKUP($A1200,MAGAZZINO!$B$2:$M$100000,5,FALSE)</f>
        <v/>
      </c>
      <c r="F1200" s="3">
        <f>+VLOOKUP($A1200,MAGAZZINO!$B$2:$M$100000,6,FALSE)</f>
        <v/>
      </c>
      <c r="G1200" s="3">
        <f>+VLOOKUP($A1200,MAGAZZINO!$B$2:$M$100000,7,FALSE)</f>
        <v/>
      </c>
      <c r="H1200" s="3">
        <f>+VLOOKUP($A1200,MAGAZZINO!$B$2:$M$100000,8,FALSE)</f>
        <v/>
      </c>
      <c r="I1200" s="3">
        <f>+VLOOKUP($A1200,MAGAZZINO!$B$2:$M$100000,9,FALSE)</f>
        <v/>
      </c>
      <c r="J1200" s="3">
        <f>+VLOOKUP($A1200,MAGAZZINO!$B$2:$M$100000,10,FALSE)</f>
        <v/>
      </c>
      <c r="K1200" s="3">
        <f>+VLOOKUP($A1200,MAGAZZINO!$B$2:$M$100000,11,FALSE)</f>
        <v/>
      </c>
      <c r="L1200" s="5">
        <f>+VLOOKUP($A1200,MAGAZZINO!$B$2:$M$100000,12,FALSE)</f>
        <v/>
      </c>
      <c r="M1200" s="47" t="n"/>
      <c r="N1200" s="88" t="n">
        <v>45874</v>
      </c>
      <c r="O1200" s="91" t="inlineStr">
        <is>
          <t>PHILIPPOS CONSTANTINIDES TRADING CO. LTD (CIPRO)</t>
        </is>
      </c>
      <c r="P1200" s="154" t="inlineStr">
        <is>
          <t xml:space="preserve">IMPORT LICENSE N. 218 DEL 12/08/2020                                                                                         AUT. TRASFERIMENTO N. 6B/2025/3D RILASCIATA IL 28/07/2025   </t>
        </is>
      </c>
      <c r="Q1200" s="150" t="n"/>
      <c r="R1200" s="150" t="n"/>
      <c r="S1200" s="153" t="n"/>
    </row>
    <row r="1201" ht="36" customHeight="1">
      <c r="A1201" s="46" t="n">
        <v>3531</v>
      </c>
      <c r="B1201" s="4">
        <f>+VLOOKUP($A1201,MAGAZZINO!$B$2:$M$100000,2,FALSE)</f>
        <v/>
      </c>
      <c r="C1201" s="29">
        <f>+VLOOKUP($A1201,MAGAZZINO!$B$2:$M$100000,3,FALSE)</f>
        <v/>
      </c>
      <c r="D1201" s="3">
        <f>+VLOOKUP($A1201,MAGAZZINO!$B$2:$M$100000,4,FALSE)</f>
        <v/>
      </c>
      <c r="E1201" s="3">
        <f>+VLOOKUP($A1201,MAGAZZINO!$B$2:$M$100000,5,FALSE)</f>
        <v/>
      </c>
      <c r="F1201" s="3">
        <f>+VLOOKUP($A1201,MAGAZZINO!$B$2:$M$100000,6,FALSE)</f>
        <v/>
      </c>
      <c r="G1201" s="3">
        <f>+VLOOKUP($A1201,MAGAZZINO!$B$2:$M$100000,7,FALSE)</f>
        <v/>
      </c>
      <c r="H1201" s="3">
        <f>+VLOOKUP($A1201,MAGAZZINO!$B$2:$M$100000,8,FALSE)</f>
        <v/>
      </c>
      <c r="I1201" s="3">
        <f>+VLOOKUP($A1201,MAGAZZINO!$B$2:$M$100000,9,FALSE)</f>
        <v/>
      </c>
      <c r="J1201" s="3">
        <f>+VLOOKUP($A1201,MAGAZZINO!$B$2:$M$100000,10,FALSE)</f>
        <v/>
      </c>
      <c r="K1201" s="3">
        <f>+VLOOKUP($A1201,MAGAZZINO!$B$2:$M$100000,11,FALSE)</f>
        <v/>
      </c>
      <c r="L1201" s="5">
        <f>+VLOOKUP($A1201,MAGAZZINO!$B$2:$M$100000,12,FALSE)</f>
        <v/>
      </c>
      <c r="M1201" s="47" t="n"/>
      <c r="N1201" s="88" t="n">
        <v>45874</v>
      </c>
      <c r="O1201" s="91" t="inlineStr">
        <is>
          <t>PHILIPPOS CONSTANTINIDES TRADING CO. LTD (CIPRO)</t>
        </is>
      </c>
      <c r="P1201" s="154" t="inlineStr">
        <is>
          <t xml:space="preserve">IMPORT LICENSE N. 218 DEL 12/08/2020                                                                                         AUT. TRASFERIMENTO N. 6B/2025/3D RILASCIATA IL 28/07/2025   </t>
        </is>
      </c>
      <c r="Q1201" s="150" t="n"/>
      <c r="R1201" s="150" t="n"/>
      <c r="S1201" s="153" t="n"/>
    </row>
    <row r="1202" ht="36" customHeight="1">
      <c r="A1202" s="46" t="n">
        <v>3532</v>
      </c>
      <c r="B1202" s="4">
        <f>+VLOOKUP($A1202,MAGAZZINO!$B$2:$M$100000,2,FALSE)</f>
        <v/>
      </c>
      <c r="C1202" s="29">
        <f>+VLOOKUP($A1202,MAGAZZINO!$B$2:$M$100000,3,FALSE)</f>
        <v/>
      </c>
      <c r="D1202" s="3">
        <f>+VLOOKUP($A1202,MAGAZZINO!$B$2:$M$100000,4,FALSE)</f>
        <v/>
      </c>
      <c r="E1202" s="3">
        <f>+VLOOKUP($A1202,MAGAZZINO!$B$2:$M$100000,5,FALSE)</f>
        <v/>
      </c>
      <c r="F1202" s="3">
        <f>+VLOOKUP($A1202,MAGAZZINO!$B$2:$M$100000,6,FALSE)</f>
        <v/>
      </c>
      <c r="G1202" s="3">
        <f>+VLOOKUP($A1202,MAGAZZINO!$B$2:$M$100000,7,FALSE)</f>
        <v/>
      </c>
      <c r="H1202" s="3">
        <f>+VLOOKUP($A1202,MAGAZZINO!$B$2:$M$100000,8,FALSE)</f>
        <v/>
      </c>
      <c r="I1202" s="3">
        <f>+VLOOKUP($A1202,MAGAZZINO!$B$2:$M$100000,9,FALSE)</f>
        <v/>
      </c>
      <c r="J1202" s="3">
        <f>+VLOOKUP($A1202,MAGAZZINO!$B$2:$M$100000,10,FALSE)</f>
        <v/>
      </c>
      <c r="K1202" s="3">
        <f>+VLOOKUP($A1202,MAGAZZINO!$B$2:$M$100000,11,FALSE)</f>
        <v/>
      </c>
      <c r="L1202" s="5">
        <f>+VLOOKUP($A1202,MAGAZZINO!$B$2:$M$100000,12,FALSE)</f>
        <v/>
      </c>
      <c r="M1202" s="47" t="n"/>
      <c r="N1202" s="88" t="n">
        <v>45874</v>
      </c>
      <c r="O1202" s="91" t="inlineStr">
        <is>
          <t>PHILIPPOS CONSTANTINIDES TRADING CO. LTD (CIPRO)</t>
        </is>
      </c>
      <c r="P1202" s="154" t="inlineStr">
        <is>
          <t xml:space="preserve">IMPORT LICENSE N. 218 DEL 12/08/2020                                                                                         AUT. TRASFERIMENTO N. 6B/2025/3D RILASCIATA IL 28/07/2025   </t>
        </is>
      </c>
      <c r="Q1202" s="150" t="n"/>
      <c r="R1202" s="150" t="n"/>
      <c r="S1202" s="153" t="n"/>
    </row>
    <row r="1203" ht="36" customHeight="1">
      <c r="A1203" s="46" t="n">
        <v>3533</v>
      </c>
      <c r="B1203" s="4">
        <f>+VLOOKUP($A1203,MAGAZZINO!$B$2:$M$100000,2,FALSE)</f>
        <v/>
      </c>
      <c r="C1203" s="29">
        <f>+VLOOKUP($A1203,MAGAZZINO!$B$2:$M$100000,3,FALSE)</f>
        <v/>
      </c>
      <c r="D1203" s="3">
        <f>+VLOOKUP($A1203,MAGAZZINO!$B$2:$M$100000,4,FALSE)</f>
        <v/>
      </c>
      <c r="E1203" s="3">
        <f>+VLOOKUP($A1203,MAGAZZINO!$B$2:$M$100000,5,FALSE)</f>
        <v/>
      </c>
      <c r="F1203" s="3">
        <f>+VLOOKUP($A1203,MAGAZZINO!$B$2:$M$100000,6,FALSE)</f>
        <v/>
      </c>
      <c r="G1203" s="3">
        <f>+VLOOKUP($A1203,MAGAZZINO!$B$2:$M$100000,7,FALSE)</f>
        <v/>
      </c>
      <c r="H1203" s="3">
        <f>+VLOOKUP($A1203,MAGAZZINO!$B$2:$M$100000,8,FALSE)</f>
        <v/>
      </c>
      <c r="I1203" s="3">
        <f>+VLOOKUP($A1203,MAGAZZINO!$B$2:$M$100000,9,FALSE)</f>
        <v/>
      </c>
      <c r="J1203" s="3">
        <f>+VLOOKUP($A1203,MAGAZZINO!$B$2:$M$100000,10,FALSE)</f>
        <v/>
      </c>
      <c r="K1203" s="3">
        <f>+VLOOKUP($A1203,MAGAZZINO!$B$2:$M$100000,11,FALSE)</f>
        <v/>
      </c>
      <c r="L1203" s="5">
        <f>+VLOOKUP($A1203,MAGAZZINO!$B$2:$M$100000,12,FALSE)</f>
        <v/>
      </c>
      <c r="M1203" s="47" t="n"/>
      <c r="N1203" s="88" t="n">
        <v>45874</v>
      </c>
      <c r="O1203" s="91" t="inlineStr">
        <is>
          <t>PHILIPPOS CONSTANTINIDES TRADING CO. LTD (CIPRO)</t>
        </is>
      </c>
      <c r="P1203" s="154" t="inlineStr">
        <is>
          <t xml:space="preserve">IMPORT LICENSE N. 218 DEL 12/08/2020                                                                                         AUT. TRASFERIMENTO N. 6B/2025/3D RILASCIATA IL 28/07/2025   </t>
        </is>
      </c>
      <c r="Q1203" s="150" t="n"/>
      <c r="R1203" s="150" t="n"/>
      <c r="S1203" s="153" t="n"/>
    </row>
    <row r="1204" ht="36" customHeight="1">
      <c r="A1204" s="46" t="n">
        <v>3534</v>
      </c>
      <c r="B1204" s="4">
        <f>+VLOOKUP($A1204,MAGAZZINO!$B$2:$M$100000,2,FALSE)</f>
        <v/>
      </c>
      <c r="C1204" s="29">
        <f>+VLOOKUP($A1204,MAGAZZINO!$B$2:$M$100000,3,FALSE)</f>
        <v/>
      </c>
      <c r="D1204" s="3">
        <f>+VLOOKUP($A1204,MAGAZZINO!$B$2:$M$100000,4,FALSE)</f>
        <v/>
      </c>
      <c r="E1204" s="3">
        <f>+VLOOKUP($A1204,MAGAZZINO!$B$2:$M$100000,5,FALSE)</f>
        <v/>
      </c>
      <c r="F1204" s="3">
        <f>+VLOOKUP($A1204,MAGAZZINO!$B$2:$M$100000,6,FALSE)</f>
        <v/>
      </c>
      <c r="G1204" s="3">
        <f>+VLOOKUP($A1204,MAGAZZINO!$B$2:$M$100000,7,FALSE)</f>
        <v/>
      </c>
      <c r="H1204" s="3">
        <f>+VLOOKUP($A1204,MAGAZZINO!$B$2:$M$100000,8,FALSE)</f>
        <v/>
      </c>
      <c r="I1204" s="3">
        <f>+VLOOKUP($A1204,MAGAZZINO!$B$2:$M$100000,9,FALSE)</f>
        <v/>
      </c>
      <c r="J1204" s="3">
        <f>+VLOOKUP($A1204,MAGAZZINO!$B$2:$M$100000,10,FALSE)</f>
        <v/>
      </c>
      <c r="K1204" s="3">
        <f>+VLOOKUP($A1204,MAGAZZINO!$B$2:$M$100000,11,FALSE)</f>
        <v/>
      </c>
      <c r="L1204" s="5">
        <f>+VLOOKUP($A1204,MAGAZZINO!$B$2:$M$100000,12,FALSE)</f>
        <v/>
      </c>
      <c r="M1204" s="47" t="n"/>
      <c r="N1204" s="88" t="n">
        <v>45874</v>
      </c>
      <c r="O1204" s="91" t="inlineStr">
        <is>
          <t>PHILIPPOS CONSTANTINIDES TRADING CO. LTD (CIPRO)</t>
        </is>
      </c>
      <c r="P1204" s="154" t="inlineStr">
        <is>
          <t xml:space="preserve">IMPORT LICENSE N. 218 DEL 12/08/2020                                                                                         AUT. TRASFERIMENTO N. 6B/2025/3D RILASCIATA IL 28/07/2025   </t>
        </is>
      </c>
      <c r="Q1204" s="150" t="n"/>
      <c r="R1204" s="150" t="n"/>
      <c r="S1204" s="153" t="n"/>
    </row>
    <row r="1205" ht="36" customHeight="1">
      <c r="A1205" s="46" t="n">
        <v>3535</v>
      </c>
      <c r="B1205" s="4">
        <f>+VLOOKUP($A1205,MAGAZZINO!$B$2:$M$100000,2,FALSE)</f>
        <v/>
      </c>
      <c r="C1205" s="29">
        <f>+VLOOKUP($A1205,MAGAZZINO!$B$2:$M$100000,3,FALSE)</f>
        <v/>
      </c>
      <c r="D1205" s="3">
        <f>+VLOOKUP($A1205,MAGAZZINO!$B$2:$M$100000,4,FALSE)</f>
        <v/>
      </c>
      <c r="E1205" s="3">
        <f>+VLOOKUP($A1205,MAGAZZINO!$B$2:$M$100000,5,FALSE)</f>
        <v/>
      </c>
      <c r="F1205" s="3">
        <f>+VLOOKUP($A1205,MAGAZZINO!$B$2:$M$100000,6,FALSE)</f>
        <v/>
      </c>
      <c r="G1205" s="3">
        <f>+VLOOKUP($A1205,MAGAZZINO!$B$2:$M$100000,7,FALSE)</f>
        <v/>
      </c>
      <c r="H1205" s="3">
        <f>+VLOOKUP($A1205,MAGAZZINO!$B$2:$M$100000,8,FALSE)</f>
        <v/>
      </c>
      <c r="I1205" s="3">
        <f>+VLOOKUP($A1205,MAGAZZINO!$B$2:$M$100000,9,FALSE)</f>
        <v/>
      </c>
      <c r="J1205" s="3">
        <f>+VLOOKUP($A1205,MAGAZZINO!$B$2:$M$100000,10,FALSE)</f>
        <v/>
      </c>
      <c r="K1205" s="3">
        <f>+VLOOKUP($A1205,MAGAZZINO!$B$2:$M$100000,11,FALSE)</f>
        <v/>
      </c>
      <c r="L1205" s="5">
        <f>+VLOOKUP($A1205,MAGAZZINO!$B$2:$M$100000,12,FALSE)</f>
        <v/>
      </c>
      <c r="M1205" s="47" t="n"/>
      <c r="N1205" s="88" t="n">
        <v>45874</v>
      </c>
      <c r="O1205" s="91" t="inlineStr">
        <is>
          <t>PHILIPPOS CONSTANTINIDES TRADING CO. LTD (CIPRO)</t>
        </is>
      </c>
      <c r="P1205" s="154" t="inlineStr">
        <is>
          <t xml:space="preserve">IMPORT LICENSE N. 218 DEL 12/08/2020                                                                                         AUT. TRASFERIMENTO N. 6B/2025/3D RILASCIATA IL 28/07/2025   </t>
        </is>
      </c>
      <c r="Q1205" s="150" t="n"/>
      <c r="R1205" s="150" t="n"/>
      <c r="S1205" s="153" t="n"/>
    </row>
    <row r="1206" ht="36" customHeight="1">
      <c r="A1206" s="46" t="n">
        <v>3536</v>
      </c>
      <c r="B1206" s="4">
        <f>+VLOOKUP($A1206,MAGAZZINO!$B$2:$M$100000,2,FALSE)</f>
        <v/>
      </c>
      <c r="C1206" s="29">
        <f>+VLOOKUP($A1206,MAGAZZINO!$B$2:$M$100000,3,FALSE)</f>
        <v/>
      </c>
      <c r="D1206" s="3">
        <f>+VLOOKUP($A1206,MAGAZZINO!$B$2:$M$100000,4,FALSE)</f>
        <v/>
      </c>
      <c r="E1206" s="3">
        <f>+VLOOKUP($A1206,MAGAZZINO!$B$2:$M$100000,5,FALSE)</f>
        <v/>
      </c>
      <c r="F1206" s="3">
        <f>+VLOOKUP($A1206,MAGAZZINO!$B$2:$M$100000,6,FALSE)</f>
        <v/>
      </c>
      <c r="G1206" s="3">
        <f>+VLOOKUP($A1206,MAGAZZINO!$B$2:$M$100000,7,FALSE)</f>
        <v/>
      </c>
      <c r="H1206" s="3">
        <f>+VLOOKUP($A1206,MAGAZZINO!$B$2:$M$100000,8,FALSE)</f>
        <v/>
      </c>
      <c r="I1206" s="3">
        <f>+VLOOKUP($A1206,MAGAZZINO!$B$2:$M$100000,9,FALSE)</f>
        <v/>
      </c>
      <c r="J1206" s="3">
        <f>+VLOOKUP($A1206,MAGAZZINO!$B$2:$M$100000,10,FALSE)</f>
        <v/>
      </c>
      <c r="K1206" s="3">
        <f>+VLOOKUP($A1206,MAGAZZINO!$B$2:$M$100000,11,FALSE)</f>
        <v/>
      </c>
      <c r="L1206" s="5">
        <f>+VLOOKUP($A1206,MAGAZZINO!$B$2:$M$100000,12,FALSE)</f>
        <v/>
      </c>
      <c r="M1206" s="47" t="n"/>
      <c r="N1206" s="88" t="n">
        <v>45874</v>
      </c>
      <c r="O1206" s="91" t="inlineStr">
        <is>
          <t>PHILIPPOS CONSTANTINIDES TRADING CO. LTD (CIPRO)</t>
        </is>
      </c>
      <c r="P1206" s="154" t="inlineStr">
        <is>
          <t xml:space="preserve">IMPORT LICENSE N. 218 DEL 12/08/2020                                                                                         AUT. TRASFERIMENTO N. 6B/2025/3D RILASCIATA IL 28/07/2025   </t>
        </is>
      </c>
      <c r="Q1206" s="150" t="n"/>
      <c r="R1206" s="150" t="n"/>
      <c r="S1206" s="153" t="n"/>
    </row>
    <row r="1207" ht="36" customHeight="1">
      <c r="A1207" s="46" t="n">
        <v>3537</v>
      </c>
      <c r="B1207" s="4">
        <f>+VLOOKUP($A1207,MAGAZZINO!$B$2:$M$100000,2,FALSE)</f>
        <v/>
      </c>
      <c r="C1207" s="29">
        <f>+VLOOKUP($A1207,MAGAZZINO!$B$2:$M$100000,3,FALSE)</f>
        <v/>
      </c>
      <c r="D1207" s="3">
        <f>+VLOOKUP($A1207,MAGAZZINO!$B$2:$M$100000,4,FALSE)</f>
        <v/>
      </c>
      <c r="E1207" s="3">
        <f>+VLOOKUP($A1207,MAGAZZINO!$B$2:$M$100000,5,FALSE)</f>
        <v/>
      </c>
      <c r="F1207" s="3">
        <f>+VLOOKUP($A1207,MAGAZZINO!$B$2:$M$100000,6,FALSE)</f>
        <v/>
      </c>
      <c r="G1207" s="3">
        <f>+VLOOKUP($A1207,MAGAZZINO!$B$2:$M$100000,7,FALSE)</f>
        <v/>
      </c>
      <c r="H1207" s="3">
        <f>+VLOOKUP($A1207,MAGAZZINO!$B$2:$M$100000,8,FALSE)</f>
        <v/>
      </c>
      <c r="I1207" s="3">
        <f>+VLOOKUP($A1207,MAGAZZINO!$B$2:$M$100000,9,FALSE)</f>
        <v/>
      </c>
      <c r="J1207" s="3">
        <f>+VLOOKUP($A1207,MAGAZZINO!$B$2:$M$100000,10,FALSE)</f>
        <v/>
      </c>
      <c r="K1207" s="3">
        <f>+VLOOKUP($A1207,MAGAZZINO!$B$2:$M$100000,11,FALSE)</f>
        <v/>
      </c>
      <c r="L1207" s="5">
        <f>+VLOOKUP($A1207,MAGAZZINO!$B$2:$M$100000,12,FALSE)</f>
        <v/>
      </c>
      <c r="M1207" s="47" t="n"/>
      <c r="N1207" s="88" t="n">
        <v>45874</v>
      </c>
      <c r="O1207" s="91" t="inlineStr">
        <is>
          <t>PHILIPPOS CONSTANTINIDES TRADING CO. LTD (CIPRO)</t>
        </is>
      </c>
      <c r="P1207" s="154" t="inlineStr">
        <is>
          <t xml:space="preserve">IMPORT LICENSE N. 218 DEL 12/08/2020                                                                                         AUT. TRASFERIMENTO N. 6B/2025/3D RILASCIATA IL 28/07/2025   </t>
        </is>
      </c>
      <c r="Q1207" s="150" t="n"/>
      <c r="R1207" s="150" t="n"/>
      <c r="S1207" s="153" t="n"/>
    </row>
    <row r="1208" ht="36" customHeight="1">
      <c r="A1208" s="46" t="n">
        <v>3538</v>
      </c>
      <c r="B1208" s="4">
        <f>+VLOOKUP($A1208,MAGAZZINO!$B$2:$M$100000,2,FALSE)</f>
        <v/>
      </c>
      <c r="C1208" s="29">
        <f>+VLOOKUP($A1208,MAGAZZINO!$B$2:$M$100000,3,FALSE)</f>
        <v/>
      </c>
      <c r="D1208" s="3">
        <f>+VLOOKUP($A1208,MAGAZZINO!$B$2:$M$100000,4,FALSE)</f>
        <v/>
      </c>
      <c r="E1208" s="3">
        <f>+VLOOKUP($A1208,MAGAZZINO!$B$2:$M$100000,5,FALSE)</f>
        <v/>
      </c>
      <c r="F1208" s="3">
        <f>+VLOOKUP($A1208,MAGAZZINO!$B$2:$M$100000,6,FALSE)</f>
        <v/>
      </c>
      <c r="G1208" s="3">
        <f>+VLOOKUP($A1208,MAGAZZINO!$B$2:$M$100000,7,FALSE)</f>
        <v/>
      </c>
      <c r="H1208" s="3">
        <f>+VLOOKUP($A1208,MAGAZZINO!$B$2:$M$100000,8,FALSE)</f>
        <v/>
      </c>
      <c r="I1208" s="3">
        <f>+VLOOKUP($A1208,MAGAZZINO!$B$2:$M$100000,9,FALSE)</f>
        <v/>
      </c>
      <c r="J1208" s="3">
        <f>+VLOOKUP($A1208,MAGAZZINO!$B$2:$M$100000,10,FALSE)</f>
        <v/>
      </c>
      <c r="K1208" s="3">
        <f>+VLOOKUP($A1208,MAGAZZINO!$B$2:$M$100000,11,FALSE)</f>
        <v/>
      </c>
      <c r="L1208" s="5">
        <f>+VLOOKUP($A1208,MAGAZZINO!$B$2:$M$100000,12,FALSE)</f>
        <v/>
      </c>
      <c r="M1208" s="47" t="n"/>
      <c r="N1208" s="88" t="n"/>
      <c r="O1208" s="91" t="n"/>
      <c r="P1208" s="154" t="inlineStr">
        <is>
          <t xml:space="preserve">                                                   </t>
        </is>
      </c>
      <c r="Q1208" s="150" t="n"/>
      <c r="R1208" s="150" t="n"/>
      <c r="S1208" s="153" t="n"/>
    </row>
    <row r="1209" ht="36" customHeight="1">
      <c r="A1209" s="46" t="n">
        <v>3539</v>
      </c>
      <c r="B1209" s="4">
        <f>+VLOOKUP($A1209,MAGAZZINO!$B$2:$M$100000,2,FALSE)</f>
        <v/>
      </c>
      <c r="C1209" s="29">
        <f>+VLOOKUP($A1209,MAGAZZINO!$B$2:$M$100000,3,FALSE)</f>
        <v/>
      </c>
      <c r="D1209" s="3">
        <f>+VLOOKUP($A1209,MAGAZZINO!$B$2:$M$100000,4,FALSE)</f>
        <v/>
      </c>
      <c r="E1209" s="3">
        <f>+VLOOKUP($A1209,MAGAZZINO!$B$2:$M$100000,5,FALSE)</f>
        <v/>
      </c>
      <c r="F1209" s="3">
        <f>+VLOOKUP($A1209,MAGAZZINO!$B$2:$M$100000,6,FALSE)</f>
        <v/>
      </c>
      <c r="G1209" s="3">
        <f>+VLOOKUP($A1209,MAGAZZINO!$B$2:$M$100000,7,FALSE)</f>
        <v/>
      </c>
      <c r="H1209" s="3">
        <f>+VLOOKUP($A1209,MAGAZZINO!$B$2:$M$100000,8,FALSE)</f>
        <v/>
      </c>
      <c r="I1209" s="3">
        <f>+VLOOKUP($A1209,MAGAZZINO!$B$2:$M$100000,9,FALSE)</f>
        <v/>
      </c>
      <c r="J1209" s="3">
        <f>+VLOOKUP($A1209,MAGAZZINO!$B$2:$M$100000,10,FALSE)</f>
        <v/>
      </c>
      <c r="K1209" s="3">
        <f>+VLOOKUP($A1209,MAGAZZINO!$B$2:$M$100000,11,FALSE)</f>
        <v/>
      </c>
      <c r="L1209" s="5">
        <f>+VLOOKUP($A1209,MAGAZZINO!$B$2:$M$100000,12,FALSE)</f>
        <v/>
      </c>
      <c r="M1209" s="47" t="n"/>
      <c r="N1209" s="54" t="n"/>
      <c r="O1209" s="3" t="n"/>
      <c r="P1209" s="149" t="n"/>
      <c r="Q1209" s="150" t="n"/>
      <c r="R1209" s="150" t="n"/>
      <c r="S1209" s="151" t="n"/>
    </row>
    <row r="1210" ht="36" customHeight="1">
      <c r="A1210" s="46" t="n">
        <v>3540</v>
      </c>
      <c r="B1210" s="4">
        <f>+VLOOKUP($A1210,MAGAZZINO!$B$2:$M$100000,2,FALSE)</f>
        <v/>
      </c>
      <c r="C1210" s="29">
        <f>+VLOOKUP($A1210,MAGAZZINO!$B$2:$M$100000,3,FALSE)</f>
        <v/>
      </c>
      <c r="D1210" s="3">
        <f>+VLOOKUP($A1210,MAGAZZINO!$B$2:$M$100000,4,FALSE)</f>
        <v/>
      </c>
      <c r="E1210" s="3">
        <f>+VLOOKUP($A1210,MAGAZZINO!$B$2:$M$100000,5,FALSE)</f>
        <v/>
      </c>
      <c r="F1210" s="3">
        <f>+VLOOKUP($A1210,MAGAZZINO!$B$2:$M$100000,6,FALSE)</f>
        <v/>
      </c>
      <c r="G1210" s="3">
        <f>+VLOOKUP($A1210,MAGAZZINO!$B$2:$M$100000,7,FALSE)</f>
        <v/>
      </c>
      <c r="H1210" s="3">
        <f>+VLOOKUP($A1210,MAGAZZINO!$B$2:$M$100000,8,FALSE)</f>
        <v/>
      </c>
      <c r="I1210" s="3">
        <f>+VLOOKUP($A1210,MAGAZZINO!$B$2:$M$100000,9,FALSE)</f>
        <v/>
      </c>
      <c r="J1210" s="3">
        <f>+VLOOKUP($A1210,MAGAZZINO!$B$2:$M$100000,10,FALSE)</f>
        <v/>
      </c>
      <c r="K1210" s="3">
        <f>+VLOOKUP($A1210,MAGAZZINO!$B$2:$M$100000,11,FALSE)</f>
        <v/>
      </c>
      <c r="L1210" s="5">
        <f>+VLOOKUP($A1210,MAGAZZINO!$B$2:$M$100000,12,FALSE)</f>
        <v/>
      </c>
      <c r="M1210" s="47" t="n"/>
      <c r="N1210" s="54" t="n"/>
      <c r="O1210" s="3" t="n"/>
      <c r="P1210" s="149" t="n"/>
      <c r="Q1210" s="150" t="n"/>
      <c r="R1210" s="150" t="n"/>
      <c r="S1210" s="151" t="n"/>
    </row>
    <row r="1211" ht="36" customHeight="1">
      <c r="A1211" s="46" t="n">
        <v>3541</v>
      </c>
      <c r="B1211" s="4">
        <f>+VLOOKUP($A1211,MAGAZZINO!$B$2:$M$100000,2,FALSE)</f>
        <v/>
      </c>
      <c r="C1211" s="29">
        <f>+VLOOKUP($A1211,MAGAZZINO!$B$2:$M$100000,3,FALSE)</f>
        <v/>
      </c>
      <c r="D1211" s="3">
        <f>+VLOOKUP($A1211,MAGAZZINO!$B$2:$M$100000,4,FALSE)</f>
        <v/>
      </c>
      <c r="E1211" s="3">
        <f>+VLOOKUP($A1211,MAGAZZINO!$B$2:$M$100000,5,FALSE)</f>
        <v/>
      </c>
      <c r="F1211" s="3">
        <f>+VLOOKUP($A1211,MAGAZZINO!$B$2:$M$100000,6,FALSE)</f>
        <v/>
      </c>
      <c r="G1211" s="3">
        <f>+VLOOKUP($A1211,MAGAZZINO!$B$2:$M$100000,7,FALSE)</f>
        <v/>
      </c>
      <c r="H1211" s="3">
        <f>+VLOOKUP($A1211,MAGAZZINO!$B$2:$M$100000,8,FALSE)</f>
        <v/>
      </c>
      <c r="I1211" s="3">
        <f>+VLOOKUP($A1211,MAGAZZINO!$B$2:$M$100000,9,FALSE)</f>
        <v/>
      </c>
      <c r="J1211" s="3">
        <f>+VLOOKUP($A1211,MAGAZZINO!$B$2:$M$100000,10,FALSE)</f>
        <v/>
      </c>
      <c r="K1211" s="3">
        <f>+VLOOKUP($A1211,MAGAZZINO!$B$2:$M$100000,11,FALSE)</f>
        <v/>
      </c>
      <c r="L1211" s="5">
        <f>+VLOOKUP($A1211,MAGAZZINO!$B$2:$M$100000,12,FALSE)</f>
        <v/>
      </c>
      <c r="M1211" s="47" t="n"/>
      <c r="N1211" s="54" t="n"/>
      <c r="O1211" s="3" t="n"/>
      <c r="P1211" s="149" t="n"/>
      <c r="Q1211" s="150" t="n"/>
      <c r="R1211" s="150" t="n"/>
      <c r="S1211" s="151" t="n"/>
    </row>
    <row r="1212" ht="36" customHeight="1">
      <c r="A1212" s="46" t="n">
        <v>3542</v>
      </c>
      <c r="B1212" s="4">
        <f>+VLOOKUP($A1212,MAGAZZINO!$B$2:$M$100000,2,FALSE)</f>
        <v/>
      </c>
      <c r="C1212" s="29">
        <f>+VLOOKUP($A1212,MAGAZZINO!$B$2:$M$100000,3,FALSE)</f>
        <v/>
      </c>
      <c r="D1212" s="3">
        <f>+VLOOKUP($A1212,MAGAZZINO!$B$2:$M$100000,4,FALSE)</f>
        <v/>
      </c>
      <c r="E1212" s="3">
        <f>+VLOOKUP($A1212,MAGAZZINO!$B$2:$M$100000,5,FALSE)</f>
        <v/>
      </c>
      <c r="F1212" s="3">
        <f>+VLOOKUP($A1212,MAGAZZINO!$B$2:$M$100000,6,FALSE)</f>
        <v/>
      </c>
      <c r="G1212" s="3">
        <f>+VLOOKUP($A1212,MAGAZZINO!$B$2:$M$100000,7,FALSE)</f>
        <v/>
      </c>
      <c r="H1212" s="3">
        <f>+VLOOKUP($A1212,MAGAZZINO!$B$2:$M$100000,8,FALSE)</f>
        <v/>
      </c>
      <c r="I1212" s="3">
        <f>+VLOOKUP($A1212,MAGAZZINO!$B$2:$M$100000,9,FALSE)</f>
        <v/>
      </c>
      <c r="J1212" s="3">
        <f>+VLOOKUP($A1212,MAGAZZINO!$B$2:$M$100000,10,FALSE)</f>
        <v/>
      </c>
      <c r="K1212" s="3">
        <f>+VLOOKUP($A1212,MAGAZZINO!$B$2:$M$100000,11,FALSE)</f>
        <v/>
      </c>
      <c r="L1212" s="5">
        <f>+VLOOKUP($A1212,MAGAZZINO!$B$2:$M$100000,12,FALSE)</f>
        <v/>
      </c>
      <c r="M1212" s="47" t="n"/>
      <c r="N1212" s="54" t="n"/>
      <c r="O1212" s="3" t="n"/>
      <c r="P1212" s="149" t="n"/>
      <c r="Q1212" s="150" t="n"/>
      <c r="R1212" s="150" t="n"/>
      <c r="S1212" s="151" t="n"/>
    </row>
    <row r="1213" ht="36" customHeight="1">
      <c r="A1213" s="46" t="n">
        <v>3543</v>
      </c>
      <c r="B1213" s="4">
        <f>+VLOOKUP($A1213,MAGAZZINO!$B$2:$M$100000,2,FALSE)</f>
        <v/>
      </c>
      <c r="C1213" s="29">
        <f>+VLOOKUP($A1213,MAGAZZINO!$B$2:$M$100000,3,FALSE)</f>
        <v/>
      </c>
      <c r="D1213" s="3">
        <f>+VLOOKUP($A1213,MAGAZZINO!$B$2:$M$100000,4,FALSE)</f>
        <v/>
      </c>
      <c r="E1213" s="3">
        <f>+VLOOKUP($A1213,MAGAZZINO!$B$2:$M$100000,5,FALSE)</f>
        <v/>
      </c>
      <c r="F1213" s="3">
        <f>+VLOOKUP($A1213,MAGAZZINO!$B$2:$M$100000,6,FALSE)</f>
        <v/>
      </c>
      <c r="G1213" s="3">
        <f>+VLOOKUP($A1213,MAGAZZINO!$B$2:$M$100000,7,FALSE)</f>
        <v/>
      </c>
      <c r="H1213" s="3">
        <f>+VLOOKUP($A1213,MAGAZZINO!$B$2:$M$100000,8,FALSE)</f>
        <v/>
      </c>
      <c r="I1213" s="3">
        <f>+VLOOKUP($A1213,MAGAZZINO!$B$2:$M$100000,9,FALSE)</f>
        <v/>
      </c>
      <c r="J1213" s="3">
        <f>+VLOOKUP($A1213,MAGAZZINO!$B$2:$M$100000,10,FALSE)</f>
        <v/>
      </c>
      <c r="K1213" s="3">
        <f>+VLOOKUP($A1213,MAGAZZINO!$B$2:$M$100000,11,FALSE)</f>
        <v/>
      </c>
      <c r="L1213" s="5">
        <f>+VLOOKUP($A1213,MAGAZZINO!$B$2:$M$100000,12,FALSE)</f>
        <v/>
      </c>
      <c r="M1213" s="47" t="n"/>
      <c r="N1213" s="54" t="n"/>
      <c r="O1213" s="3" t="n"/>
      <c r="P1213" s="149" t="n"/>
      <c r="Q1213" s="150" t="n"/>
      <c r="R1213" s="150" t="n"/>
      <c r="S1213" s="151" t="n"/>
    </row>
    <row r="1214" ht="36" customHeight="1">
      <c r="A1214" s="46" t="n">
        <v>3544</v>
      </c>
      <c r="B1214" s="4">
        <f>+VLOOKUP($A1214,MAGAZZINO!$B$2:$M$100000,2,FALSE)</f>
        <v/>
      </c>
      <c r="C1214" s="29">
        <f>+VLOOKUP($A1214,MAGAZZINO!$B$2:$M$100000,3,FALSE)</f>
        <v/>
      </c>
      <c r="D1214" s="3">
        <f>+VLOOKUP($A1214,MAGAZZINO!$B$2:$M$100000,4,FALSE)</f>
        <v/>
      </c>
      <c r="E1214" s="3">
        <f>+VLOOKUP($A1214,MAGAZZINO!$B$2:$M$100000,5,FALSE)</f>
        <v/>
      </c>
      <c r="F1214" s="3">
        <f>+VLOOKUP($A1214,MAGAZZINO!$B$2:$M$100000,6,FALSE)</f>
        <v/>
      </c>
      <c r="G1214" s="3">
        <f>+VLOOKUP($A1214,MAGAZZINO!$B$2:$M$100000,7,FALSE)</f>
        <v/>
      </c>
      <c r="H1214" s="3">
        <f>+VLOOKUP($A1214,MAGAZZINO!$B$2:$M$100000,8,FALSE)</f>
        <v/>
      </c>
      <c r="I1214" s="3">
        <f>+VLOOKUP($A1214,MAGAZZINO!$B$2:$M$100000,9,FALSE)</f>
        <v/>
      </c>
      <c r="J1214" s="3">
        <f>+VLOOKUP($A1214,MAGAZZINO!$B$2:$M$100000,10,FALSE)</f>
        <v/>
      </c>
      <c r="K1214" s="3">
        <f>+VLOOKUP($A1214,MAGAZZINO!$B$2:$M$100000,11,FALSE)</f>
        <v/>
      </c>
      <c r="L1214" s="5">
        <f>+VLOOKUP($A1214,MAGAZZINO!$B$2:$M$100000,12,FALSE)</f>
        <v/>
      </c>
      <c r="M1214" s="47" t="n"/>
      <c r="N1214" s="54" t="n"/>
      <c r="O1214" s="3" t="n"/>
      <c r="P1214" s="149" t="n"/>
      <c r="Q1214" s="150" t="n"/>
      <c r="R1214" s="150" t="n"/>
      <c r="S1214" s="151" t="n"/>
    </row>
    <row r="1215" ht="36" customHeight="1">
      <c r="A1215" s="46" t="n">
        <v>3545</v>
      </c>
      <c r="B1215" s="4">
        <f>+VLOOKUP($A1215,MAGAZZINO!$B$2:$M$100000,2,FALSE)</f>
        <v/>
      </c>
      <c r="C1215" s="29">
        <f>+VLOOKUP($A1215,MAGAZZINO!$B$2:$M$100000,3,FALSE)</f>
        <v/>
      </c>
      <c r="D1215" s="3">
        <f>+VLOOKUP($A1215,MAGAZZINO!$B$2:$M$100000,4,FALSE)</f>
        <v/>
      </c>
      <c r="E1215" s="3">
        <f>+VLOOKUP($A1215,MAGAZZINO!$B$2:$M$100000,5,FALSE)</f>
        <v/>
      </c>
      <c r="F1215" s="3">
        <f>+VLOOKUP($A1215,MAGAZZINO!$B$2:$M$100000,6,FALSE)</f>
        <v/>
      </c>
      <c r="G1215" s="3">
        <f>+VLOOKUP($A1215,MAGAZZINO!$B$2:$M$100000,7,FALSE)</f>
        <v/>
      </c>
      <c r="H1215" s="3">
        <f>+VLOOKUP($A1215,MAGAZZINO!$B$2:$M$100000,8,FALSE)</f>
        <v/>
      </c>
      <c r="I1215" s="3">
        <f>+VLOOKUP($A1215,MAGAZZINO!$B$2:$M$100000,9,FALSE)</f>
        <v/>
      </c>
      <c r="J1215" s="3">
        <f>+VLOOKUP($A1215,MAGAZZINO!$B$2:$M$100000,10,FALSE)</f>
        <v/>
      </c>
      <c r="K1215" s="3">
        <f>+VLOOKUP($A1215,MAGAZZINO!$B$2:$M$100000,11,FALSE)</f>
        <v/>
      </c>
      <c r="L1215" s="5">
        <f>+VLOOKUP($A1215,MAGAZZINO!$B$2:$M$100000,12,FALSE)</f>
        <v/>
      </c>
      <c r="M1215" s="47" t="n"/>
      <c r="N1215" s="54" t="n"/>
      <c r="O1215" s="3" t="n"/>
      <c r="P1215" s="149" t="n"/>
      <c r="Q1215" s="150" t="n"/>
      <c r="R1215" s="150" t="n"/>
      <c r="S1215" s="151" t="n"/>
    </row>
    <row r="1216" ht="36" customHeight="1">
      <c r="A1216" s="46" t="n">
        <v>3546</v>
      </c>
      <c r="B1216" s="4">
        <f>+VLOOKUP($A1216,MAGAZZINO!$B$2:$M$100000,2,FALSE)</f>
        <v/>
      </c>
      <c r="C1216" s="29">
        <f>+VLOOKUP($A1216,MAGAZZINO!$B$2:$M$100000,3,FALSE)</f>
        <v/>
      </c>
      <c r="D1216" s="3">
        <f>+VLOOKUP($A1216,MAGAZZINO!$B$2:$M$100000,4,FALSE)</f>
        <v/>
      </c>
      <c r="E1216" s="3">
        <f>+VLOOKUP($A1216,MAGAZZINO!$B$2:$M$100000,5,FALSE)</f>
        <v/>
      </c>
      <c r="F1216" s="3">
        <f>+VLOOKUP($A1216,MAGAZZINO!$B$2:$M$100000,6,FALSE)</f>
        <v/>
      </c>
      <c r="G1216" s="3">
        <f>+VLOOKUP($A1216,MAGAZZINO!$B$2:$M$100000,7,FALSE)</f>
        <v/>
      </c>
      <c r="H1216" s="3">
        <f>+VLOOKUP($A1216,MAGAZZINO!$B$2:$M$100000,8,FALSE)</f>
        <v/>
      </c>
      <c r="I1216" s="3">
        <f>+VLOOKUP($A1216,MAGAZZINO!$B$2:$M$100000,9,FALSE)</f>
        <v/>
      </c>
      <c r="J1216" s="3">
        <f>+VLOOKUP($A1216,MAGAZZINO!$B$2:$M$100000,10,FALSE)</f>
        <v/>
      </c>
      <c r="K1216" s="3">
        <f>+VLOOKUP($A1216,MAGAZZINO!$B$2:$M$100000,11,FALSE)</f>
        <v/>
      </c>
      <c r="L1216" s="5">
        <f>+VLOOKUP($A1216,MAGAZZINO!$B$2:$M$100000,12,FALSE)</f>
        <v/>
      </c>
      <c r="M1216" s="47" t="n"/>
      <c r="N1216" s="54" t="n"/>
      <c r="O1216" s="3" t="n"/>
      <c r="P1216" s="149" t="n"/>
      <c r="Q1216" s="150" t="n"/>
      <c r="R1216" s="150" t="n"/>
      <c r="S1216" s="151" t="n"/>
    </row>
    <row r="1217" ht="36" customHeight="1">
      <c r="A1217" s="46" t="n">
        <v>3547</v>
      </c>
      <c r="B1217" s="4">
        <f>+VLOOKUP($A1217,MAGAZZINO!$B$2:$M$100000,2,FALSE)</f>
        <v/>
      </c>
      <c r="C1217" s="29">
        <f>+VLOOKUP($A1217,MAGAZZINO!$B$2:$M$100000,3,FALSE)</f>
        <v/>
      </c>
      <c r="D1217" s="3">
        <f>+VLOOKUP($A1217,MAGAZZINO!$B$2:$M$100000,4,FALSE)</f>
        <v/>
      </c>
      <c r="E1217" s="3">
        <f>+VLOOKUP($A1217,MAGAZZINO!$B$2:$M$100000,5,FALSE)</f>
        <v/>
      </c>
      <c r="F1217" s="3">
        <f>+VLOOKUP($A1217,MAGAZZINO!$B$2:$M$100000,6,FALSE)</f>
        <v/>
      </c>
      <c r="G1217" s="3">
        <f>+VLOOKUP($A1217,MAGAZZINO!$B$2:$M$100000,7,FALSE)</f>
        <v/>
      </c>
      <c r="H1217" s="3">
        <f>+VLOOKUP($A1217,MAGAZZINO!$B$2:$M$100000,8,FALSE)</f>
        <v/>
      </c>
      <c r="I1217" s="3">
        <f>+VLOOKUP($A1217,MAGAZZINO!$B$2:$M$100000,9,FALSE)</f>
        <v/>
      </c>
      <c r="J1217" s="3">
        <f>+VLOOKUP($A1217,MAGAZZINO!$B$2:$M$100000,10,FALSE)</f>
        <v/>
      </c>
      <c r="K1217" s="3">
        <f>+VLOOKUP($A1217,MAGAZZINO!$B$2:$M$100000,11,FALSE)</f>
        <v/>
      </c>
      <c r="L1217" s="5">
        <f>+VLOOKUP($A1217,MAGAZZINO!$B$2:$M$100000,12,FALSE)</f>
        <v/>
      </c>
      <c r="M1217" s="47" t="n"/>
      <c r="N1217" s="54" t="n"/>
      <c r="O1217" s="3" t="n"/>
      <c r="P1217" s="149" t="n"/>
      <c r="Q1217" s="150" t="n"/>
      <c r="R1217" s="150" t="n"/>
      <c r="S1217" s="151" t="n"/>
    </row>
    <row r="1218" ht="36" customHeight="1">
      <c r="A1218" s="46" t="n">
        <v>3548</v>
      </c>
      <c r="B1218" s="4">
        <f>+VLOOKUP($A1218,MAGAZZINO!$B$2:$M$100000,2,FALSE)</f>
        <v/>
      </c>
      <c r="C1218" s="29">
        <f>+VLOOKUP($A1218,MAGAZZINO!$B$2:$M$100000,3,FALSE)</f>
        <v/>
      </c>
      <c r="D1218" s="3">
        <f>+VLOOKUP($A1218,MAGAZZINO!$B$2:$M$100000,4,FALSE)</f>
        <v/>
      </c>
      <c r="E1218" s="3">
        <f>+VLOOKUP($A1218,MAGAZZINO!$B$2:$M$100000,5,FALSE)</f>
        <v/>
      </c>
      <c r="F1218" s="3">
        <f>+VLOOKUP($A1218,MAGAZZINO!$B$2:$M$100000,6,FALSE)</f>
        <v/>
      </c>
      <c r="G1218" s="3">
        <f>+VLOOKUP($A1218,MAGAZZINO!$B$2:$M$100000,7,FALSE)</f>
        <v/>
      </c>
      <c r="H1218" s="3">
        <f>+VLOOKUP($A1218,MAGAZZINO!$B$2:$M$100000,8,FALSE)</f>
        <v/>
      </c>
      <c r="I1218" s="3">
        <f>+VLOOKUP($A1218,MAGAZZINO!$B$2:$M$100000,9,FALSE)</f>
        <v/>
      </c>
      <c r="J1218" s="3">
        <f>+VLOOKUP($A1218,MAGAZZINO!$B$2:$M$100000,10,FALSE)</f>
        <v/>
      </c>
      <c r="K1218" s="3">
        <f>+VLOOKUP($A1218,MAGAZZINO!$B$2:$M$100000,11,FALSE)</f>
        <v/>
      </c>
      <c r="L1218" s="5">
        <f>+VLOOKUP($A1218,MAGAZZINO!$B$2:$M$100000,12,FALSE)</f>
        <v/>
      </c>
      <c r="M1218" s="47" t="n"/>
      <c r="N1218" s="54" t="n"/>
      <c r="O1218" s="3" t="n"/>
      <c r="P1218" s="149" t="n"/>
      <c r="Q1218" s="150" t="n"/>
      <c r="R1218" s="150" t="n"/>
      <c r="S1218" s="151" t="n"/>
    </row>
    <row r="1219" ht="36" customHeight="1">
      <c r="A1219" s="46" t="n">
        <v>3549</v>
      </c>
      <c r="B1219" s="4">
        <f>+VLOOKUP($A1219,MAGAZZINO!$B$2:$M$100000,2,FALSE)</f>
        <v/>
      </c>
      <c r="C1219" s="29">
        <f>+VLOOKUP($A1219,MAGAZZINO!$B$2:$M$100000,3,FALSE)</f>
        <v/>
      </c>
      <c r="D1219" s="3">
        <f>+VLOOKUP($A1219,MAGAZZINO!$B$2:$M$100000,4,FALSE)</f>
        <v/>
      </c>
      <c r="E1219" s="3">
        <f>+VLOOKUP($A1219,MAGAZZINO!$B$2:$M$100000,5,FALSE)</f>
        <v/>
      </c>
      <c r="F1219" s="3">
        <f>+VLOOKUP($A1219,MAGAZZINO!$B$2:$M$100000,6,FALSE)</f>
        <v/>
      </c>
      <c r="G1219" s="3">
        <f>+VLOOKUP($A1219,MAGAZZINO!$B$2:$M$100000,7,FALSE)</f>
        <v/>
      </c>
      <c r="H1219" s="3">
        <f>+VLOOKUP($A1219,MAGAZZINO!$B$2:$M$100000,8,FALSE)</f>
        <v/>
      </c>
      <c r="I1219" s="3">
        <f>+VLOOKUP($A1219,MAGAZZINO!$B$2:$M$100000,9,FALSE)</f>
        <v/>
      </c>
      <c r="J1219" s="3">
        <f>+VLOOKUP($A1219,MAGAZZINO!$B$2:$M$100000,10,FALSE)</f>
        <v/>
      </c>
      <c r="K1219" s="3">
        <f>+VLOOKUP($A1219,MAGAZZINO!$B$2:$M$100000,11,FALSE)</f>
        <v/>
      </c>
      <c r="L1219" s="5">
        <f>+VLOOKUP($A1219,MAGAZZINO!$B$2:$M$100000,12,FALSE)</f>
        <v/>
      </c>
      <c r="M1219" s="47" t="n"/>
      <c r="N1219" s="54" t="n"/>
      <c r="O1219" s="3" t="n"/>
      <c r="P1219" s="149" t="n"/>
      <c r="Q1219" s="150" t="n"/>
      <c r="R1219" s="150" t="n"/>
      <c r="S1219" s="151" t="n"/>
    </row>
    <row r="1220" ht="36" customHeight="1">
      <c r="A1220" s="46" t="n">
        <v>3550</v>
      </c>
      <c r="B1220" s="4">
        <f>+VLOOKUP($A1220,MAGAZZINO!$B$2:$M$100000,2,FALSE)</f>
        <v/>
      </c>
      <c r="C1220" s="29">
        <f>+VLOOKUP($A1220,MAGAZZINO!$B$2:$M$100000,3,FALSE)</f>
        <v/>
      </c>
      <c r="D1220" s="3">
        <f>+VLOOKUP($A1220,MAGAZZINO!$B$2:$M$100000,4,FALSE)</f>
        <v/>
      </c>
      <c r="E1220" s="3">
        <f>+VLOOKUP($A1220,MAGAZZINO!$B$2:$M$100000,5,FALSE)</f>
        <v/>
      </c>
      <c r="F1220" s="3">
        <f>+VLOOKUP($A1220,MAGAZZINO!$B$2:$M$100000,6,FALSE)</f>
        <v/>
      </c>
      <c r="G1220" s="3">
        <f>+VLOOKUP($A1220,MAGAZZINO!$B$2:$M$100000,7,FALSE)</f>
        <v/>
      </c>
      <c r="H1220" s="3">
        <f>+VLOOKUP($A1220,MAGAZZINO!$B$2:$M$100000,8,FALSE)</f>
        <v/>
      </c>
      <c r="I1220" s="3">
        <f>+VLOOKUP($A1220,MAGAZZINO!$B$2:$M$100000,9,FALSE)</f>
        <v/>
      </c>
      <c r="J1220" s="3">
        <f>+VLOOKUP($A1220,MAGAZZINO!$B$2:$M$100000,10,FALSE)</f>
        <v/>
      </c>
      <c r="K1220" s="3">
        <f>+VLOOKUP($A1220,MAGAZZINO!$B$2:$M$100000,11,FALSE)</f>
        <v/>
      </c>
      <c r="L1220" s="5">
        <f>+VLOOKUP($A1220,MAGAZZINO!$B$2:$M$100000,12,FALSE)</f>
        <v/>
      </c>
      <c r="M1220" s="47" t="n"/>
      <c r="N1220" s="88" t="n">
        <v>45874</v>
      </c>
      <c r="O1220" s="91" t="inlineStr">
        <is>
          <t>PHILIPPOS CONSTANTINIDES TRADING CO. LTD (CIPRO)</t>
        </is>
      </c>
      <c r="P1220" s="154" t="inlineStr">
        <is>
          <t xml:space="preserve">IMPORT LICENSE N. 218 DEL 12/08/2020                                                                                         AUT. TRASFERIMENTO N. 6B/2025/3D RILASCIATA IL 28/07/2025   </t>
        </is>
      </c>
      <c r="Q1220" s="150" t="n"/>
      <c r="R1220" s="150" t="n"/>
      <c r="S1220" s="153" t="n"/>
    </row>
    <row r="1221" ht="36" customHeight="1">
      <c r="A1221" s="46" t="n">
        <v>3551</v>
      </c>
      <c r="B1221" s="4">
        <f>+VLOOKUP($A1221,MAGAZZINO!$B$2:$M$100000,2,FALSE)</f>
        <v/>
      </c>
      <c r="C1221" s="29">
        <f>+VLOOKUP($A1221,MAGAZZINO!$B$2:$M$100000,3,FALSE)</f>
        <v/>
      </c>
      <c r="D1221" s="3">
        <f>+VLOOKUP($A1221,MAGAZZINO!$B$2:$M$100000,4,FALSE)</f>
        <v/>
      </c>
      <c r="E1221" s="3">
        <f>+VLOOKUP($A1221,MAGAZZINO!$B$2:$M$100000,5,FALSE)</f>
        <v/>
      </c>
      <c r="F1221" s="3">
        <f>+VLOOKUP($A1221,MAGAZZINO!$B$2:$M$100000,6,FALSE)</f>
        <v/>
      </c>
      <c r="G1221" s="3">
        <f>+VLOOKUP($A1221,MAGAZZINO!$B$2:$M$100000,7,FALSE)</f>
        <v/>
      </c>
      <c r="H1221" s="3">
        <f>+VLOOKUP($A1221,MAGAZZINO!$B$2:$M$100000,8,FALSE)</f>
        <v/>
      </c>
      <c r="I1221" s="3">
        <f>+VLOOKUP($A1221,MAGAZZINO!$B$2:$M$100000,9,FALSE)</f>
        <v/>
      </c>
      <c r="J1221" s="3">
        <f>+VLOOKUP($A1221,MAGAZZINO!$B$2:$M$100000,10,FALSE)</f>
        <v/>
      </c>
      <c r="K1221" s="3">
        <f>+VLOOKUP($A1221,MAGAZZINO!$B$2:$M$100000,11,FALSE)</f>
        <v/>
      </c>
      <c r="L1221" s="5">
        <f>+VLOOKUP($A1221,MAGAZZINO!$B$2:$M$100000,12,FALSE)</f>
        <v/>
      </c>
      <c r="M1221" s="47" t="n"/>
      <c r="N1221" s="88" t="n">
        <v>45874</v>
      </c>
      <c r="O1221" s="91" t="inlineStr">
        <is>
          <t>PHILIPPOS CONSTANTINIDES TRADING CO. LTD (CIPRO)</t>
        </is>
      </c>
      <c r="P1221" s="154" t="inlineStr">
        <is>
          <t xml:space="preserve">IMPORT LICENSE N. 218 DEL 12/08/2020                                                                                         AUT. TRASFERIMENTO N. 6B/2025/3D RILASCIATA IL 28/07/2025   </t>
        </is>
      </c>
      <c r="Q1221" s="150" t="n"/>
      <c r="R1221" s="150" t="n"/>
      <c r="S1221" s="153" t="n"/>
    </row>
    <row r="1222" ht="36" customHeight="1">
      <c r="A1222" s="46" t="n">
        <v>3552</v>
      </c>
      <c r="B1222" s="4">
        <f>+VLOOKUP($A1222,MAGAZZINO!$B$2:$M$100000,2,FALSE)</f>
        <v/>
      </c>
      <c r="C1222" s="29">
        <f>+VLOOKUP($A1222,MAGAZZINO!$B$2:$M$100000,3,FALSE)</f>
        <v/>
      </c>
      <c r="D1222" s="3">
        <f>+VLOOKUP($A1222,MAGAZZINO!$B$2:$M$100000,4,FALSE)</f>
        <v/>
      </c>
      <c r="E1222" s="3">
        <f>+VLOOKUP($A1222,MAGAZZINO!$B$2:$M$100000,5,FALSE)</f>
        <v/>
      </c>
      <c r="F1222" s="3">
        <f>+VLOOKUP($A1222,MAGAZZINO!$B$2:$M$100000,6,FALSE)</f>
        <v/>
      </c>
      <c r="G1222" s="3">
        <f>+VLOOKUP($A1222,MAGAZZINO!$B$2:$M$100000,7,FALSE)</f>
        <v/>
      </c>
      <c r="H1222" s="3">
        <f>+VLOOKUP($A1222,MAGAZZINO!$B$2:$M$100000,8,FALSE)</f>
        <v/>
      </c>
      <c r="I1222" s="3">
        <f>+VLOOKUP($A1222,MAGAZZINO!$B$2:$M$100000,9,FALSE)</f>
        <v/>
      </c>
      <c r="J1222" s="3">
        <f>+VLOOKUP($A1222,MAGAZZINO!$B$2:$M$100000,10,FALSE)</f>
        <v/>
      </c>
      <c r="K1222" s="3">
        <f>+VLOOKUP($A1222,MAGAZZINO!$B$2:$M$100000,11,FALSE)</f>
        <v/>
      </c>
      <c r="L1222" s="5">
        <f>+VLOOKUP($A1222,MAGAZZINO!$B$2:$M$100000,12,FALSE)</f>
        <v/>
      </c>
      <c r="M1222" s="47" t="n"/>
      <c r="N1222" s="54" t="n"/>
      <c r="O1222" s="3" t="n"/>
      <c r="P1222" s="149" t="n"/>
      <c r="Q1222" s="150" t="n"/>
      <c r="R1222" s="150" t="n"/>
      <c r="S1222" s="151" t="n"/>
    </row>
    <row r="1223" ht="36" customHeight="1">
      <c r="A1223" s="46" t="n">
        <v>3553</v>
      </c>
      <c r="B1223" s="4">
        <f>+VLOOKUP($A1223,MAGAZZINO!$B$2:$M$100000,2,FALSE)</f>
        <v/>
      </c>
      <c r="C1223" s="29">
        <f>+VLOOKUP($A1223,MAGAZZINO!$B$2:$M$100000,3,FALSE)</f>
        <v/>
      </c>
      <c r="D1223" s="3">
        <f>+VLOOKUP($A1223,MAGAZZINO!$B$2:$M$100000,4,FALSE)</f>
        <v/>
      </c>
      <c r="E1223" s="3">
        <f>+VLOOKUP($A1223,MAGAZZINO!$B$2:$M$100000,5,FALSE)</f>
        <v/>
      </c>
      <c r="F1223" s="3">
        <f>+VLOOKUP($A1223,MAGAZZINO!$B$2:$M$100000,6,FALSE)</f>
        <v/>
      </c>
      <c r="G1223" s="3">
        <f>+VLOOKUP($A1223,MAGAZZINO!$B$2:$M$100000,7,FALSE)</f>
        <v/>
      </c>
      <c r="H1223" s="3">
        <f>+VLOOKUP($A1223,MAGAZZINO!$B$2:$M$100000,8,FALSE)</f>
        <v/>
      </c>
      <c r="I1223" s="3">
        <f>+VLOOKUP($A1223,MAGAZZINO!$B$2:$M$100000,9,FALSE)</f>
        <v/>
      </c>
      <c r="J1223" s="3">
        <f>+VLOOKUP($A1223,MAGAZZINO!$B$2:$M$100000,10,FALSE)</f>
        <v/>
      </c>
      <c r="K1223" s="3">
        <f>+VLOOKUP($A1223,MAGAZZINO!$B$2:$M$100000,11,FALSE)</f>
        <v/>
      </c>
      <c r="L1223" s="5">
        <f>+VLOOKUP($A1223,MAGAZZINO!$B$2:$M$100000,12,FALSE)</f>
        <v/>
      </c>
      <c r="M1223" s="47" t="n"/>
      <c r="N1223" s="54" t="n"/>
      <c r="O1223" s="3" t="n"/>
      <c r="P1223" s="149" t="n"/>
      <c r="Q1223" s="150" t="n"/>
      <c r="R1223" s="150" t="n"/>
      <c r="S1223" s="151" t="n"/>
    </row>
    <row r="1224" ht="36" customHeight="1">
      <c r="A1224" s="46" t="n">
        <v>3554</v>
      </c>
      <c r="B1224" s="4">
        <f>+VLOOKUP($A1224,MAGAZZINO!$B$2:$M$100000,2,FALSE)</f>
        <v/>
      </c>
      <c r="C1224" s="29">
        <f>+VLOOKUP($A1224,MAGAZZINO!$B$2:$M$100000,3,FALSE)</f>
        <v/>
      </c>
      <c r="D1224" s="3">
        <f>+VLOOKUP($A1224,MAGAZZINO!$B$2:$M$100000,4,FALSE)</f>
        <v/>
      </c>
      <c r="E1224" s="3">
        <f>+VLOOKUP($A1224,MAGAZZINO!$B$2:$M$100000,5,FALSE)</f>
        <v/>
      </c>
      <c r="F1224" s="3">
        <f>+VLOOKUP($A1224,MAGAZZINO!$B$2:$M$100000,6,FALSE)</f>
        <v/>
      </c>
      <c r="G1224" s="3">
        <f>+VLOOKUP($A1224,MAGAZZINO!$B$2:$M$100000,7,FALSE)</f>
        <v/>
      </c>
      <c r="H1224" s="3">
        <f>+VLOOKUP($A1224,MAGAZZINO!$B$2:$M$100000,8,FALSE)</f>
        <v/>
      </c>
      <c r="I1224" s="3">
        <f>+VLOOKUP($A1224,MAGAZZINO!$B$2:$M$100000,9,FALSE)</f>
        <v/>
      </c>
      <c r="J1224" s="3">
        <f>+VLOOKUP($A1224,MAGAZZINO!$B$2:$M$100000,10,FALSE)</f>
        <v/>
      </c>
      <c r="K1224" s="3">
        <f>+VLOOKUP($A1224,MAGAZZINO!$B$2:$M$100000,11,FALSE)</f>
        <v/>
      </c>
      <c r="L1224" s="5">
        <f>+VLOOKUP($A1224,MAGAZZINO!$B$2:$M$100000,12,FALSE)</f>
        <v/>
      </c>
      <c r="M1224" s="47" t="n"/>
      <c r="N1224" s="54" t="n"/>
      <c r="O1224" s="3" t="n"/>
      <c r="P1224" s="149" t="n"/>
      <c r="Q1224" s="150" t="n"/>
      <c r="R1224" s="150" t="n"/>
      <c r="S1224" s="151" t="n"/>
    </row>
    <row r="1225" ht="36" customHeight="1">
      <c r="A1225" s="46" t="n">
        <v>3555</v>
      </c>
      <c r="B1225" s="4">
        <f>+VLOOKUP($A1225,MAGAZZINO!$B$2:$M$100000,2,FALSE)</f>
        <v/>
      </c>
      <c r="C1225" s="29">
        <f>+VLOOKUP($A1225,MAGAZZINO!$B$2:$M$100000,3,FALSE)</f>
        <v/>
      </c>
      <c r="D1225" s="3">
        <f>+VLOOKUP($A1225,MAGAZZINO!$B$2:$M$100000,4,FALSE)</f>
        <v/>
      </c>
      <c r="E1225" s="3">
        <f>+VLOOKUP($A1225,MAGAZZINO!$B$2:$M$100000,5,FALSE)</f>
        <v/>
      </c>
      <c r="F1225" s="3">
        <f>+VLOOKUP($A1225,MAGAZZINO!$B$2:$M$100000,6,FALSE)</f>
        <v/>
      </c>
      <c r="G1225" s="3">
        <f>+VLOOKUP($A1225,MAGAZZINO!$B$2:$M$100000,7,FALSE)</f>
        <v/>
      </c>
      <c r="H1225" s="3">
        <f>+VLOOKUP($A1225,MAGAZZINO!$B$2:$M$100000,8,FALSE)</f>
        <v/>
      </c>
      <c r="I1225" s="3">
        <f>+VLOOKUP($A1225,MAGAZZINO!$B$2:$M$100000,9,FALSE)</f>
        <v/>
      </c>
      <c r="J1225" s="3">
        <f>+VLOOKUP($A1225,MAGAZZINO!$B$2:$M$100000,10,FALSE)</f>
        <v/>
      </c>
      <c r="K1225" s="3">
        <f>+VLOOKUP($A1225,MAGAZZINO!$B$2:$M$100000,11,FALSE)</f>
        <v/>
      </c>
      <c r="L1225" s="5">
        <f>+VLOOKUP($A1225,MAGAZZINO!$B$2:$M$100000,12,FALSE)</f>
        <v/>
      </c>
      <c r="M1225" s="47" t="n"/>
      <c r="N1225" s="54" t="n"/>
      <c r="O1225" s="3" t="n"/>
      <c r="P1225" s="149" t="n"/>
      <c r="Q1225" s="150" t="n"/>
      <c r="R1225" s="150" t="n"/>
      <c r="S1225" s="151" t="n"/>
    </row>
    <row r="1226" ht="36" customHeight="1">
      <c r="A1226" s="46" t="n">
        <v>3556</v>
      </c>
      <c r="B1226" s="4">
        <f>+VLOOKUP($A1226,MAGAZZINO!$B$2:$M$100000,2,FALSE)</f>
        <v/>
      </c>
      <c r="C1226" s="29">
        <f>+VLOOKUP($A1226,MAGAZZINO!$B$2:$M$100000,3,FALSE)</f>
        <v/>
      </c>
      <c r="D1226" s="3">
        <f>+VLOOKUP($A1226,MAGAZZINO!$B$2:$M$100000,4,FALSE)</f>
        <v/>
      </c>
      <c r="E1226" s="3">
        <f>+VLOOKUP($A1226,MAGAZZINO!$B$2:$M$100000,5,FALSE)</f>
        <v/>
      </c>
      <c r="F1226" s="3">
        <f>+VLOOKUP($A1226,MAGAZZINO!$B$2:$M$100000,6,FALSE)</f>
        <v/>
      </c>
      <c r="G1226" s="3">
        <f>+VLOOKUP($A1226,MAGAZZINO!$B$2:$M$100000,7,FALSE)</f>
        <v/>
      </c>
      <c r="H1226" s="3">
        <f>+VLOOKUP($A1226,MAGAZZINO!$B$2:$M$100000,8,FALSE)</f>
        <v/>
      </c>
      <c r="I1226" s="3">
        <f>+VLOOKUP($A1226,MAGAZZINO!$B$2:$M$100000,9,FALSE)</f>
        <v/>
      </c>
      <c r="J1226" s="3">
        <f>+VLOOKUP($A1226,MAGAZZINO!$B$2:$M$100000,10,FALSE)</f>
        <v/>
      </c>
      <c r="K1226" s="3">
        <f>+VLOOKUP($A1226,MAGAZZINO!$B$2:$M$100000,11,FALSE)</f>
        <v/>
      </c>
      <c r="L1226" s="5">
        <f>+VLOOKUP($A1226,MAGAZZINO!$B$2:$M$100000,12,FALSE)</f>
        <v/>
      </c>
      <c r="M1226" s="47" t="n"/>
      <c r="N1226" s="54" t="n"/>
      <c r="O1226" s="3" t="n"/>
      <c r="P1226" s="149" t="n"/>
      <c r="Q1226" s="150" t="n"/>
      <c r="R1226" s="150" t="n"/>
      <c r="S1226" s="151" t="n"/>
    </row>
    <row r="1227" ht="36" customHeight="1">
      <c r="A1227" s="46" t="n">
        <v>3557</v>
      </c>
      <c r="B1227" s="4">
        <f>+VLOOKUP($A1227,MAGAZZINO!$B$2:$M$100000,2,FALSE)</f>
        <v/>
      </c>
      <c r="C1227" s="29">
        <f>+VLOOKUP($A1227,MAGAZZINO!$B$2:$M$100000,3,FALSE)</f>
        <v/>
      </c>
      <c r="D1227" s="3">
        <f>+VLOOKUP($A1227,MAGAZZINO!$B$2:$M$100000,4,FALSE)</f>
        <v/>
      </c>
      <c r="E1227" s="3">
        <f>+VLOOKUP($A1227,MAGAZZINO!$B$2:$M$100000,5,FALSE)</f>
        <v/>
      </c>
      <c r="F1227" s="3">
        <f>+VLOOKUP($A1227,MAGAZZINO!$B$2:$M$100000,6,FALSE)</f>
        <v/>
      </c>
      <c r="G1227" s="3">
        <f>+VLOOKUP($A1227,MAGAZZINO!$B$2:$M$100000,7,FALSE)</f>
        <v/>
      </c>
      <c r="H1227" s="3">
        <f>+VLOOKUP($A1227,MAGAZZINO!$B$2:$M$100000,8,FALSE)</f>
        <v/>
      </c>
      <c r="I1227" s="3">
        <f>+VLOOKUP($A1227,MAGAZZINO!$B$2:$M$100000,9,FALSE)</f>
        <v/>
      </c>
      <c r="J1227" s="3">
        <f>+VLOOKUP($A1227,MAGAZZINO!$B$2:$M$100000,10,FALSE)</f>
        <v/>
      </c>
      <c r="K1227" s="3">
        <f>+VLOOKUP($A1227,MAGAZZINO!$B$2:$M$100000,11,FALSE)</f>
        <v/>
      </c>
      <c r="L1227" s="5">
        <f>+VLOOKUP($A1227,MAGAZZINO!$B$2:$M$100000,12,FALSE)</f>
        <v/>
      </c>
      <c r="M1227" s="47" t="n"/>
      <c r="N1227" s="54" t="n"/>
      <c r="O1227" s="3" t="n"/>
      <c r="P1227" s="149" t="n"/>
      <c r="Q1227" s="150" t="n"/>
      <c r="R1227" s="150" t="n"/>
      <c r="S1227" s="151" t="n"/>
    </row>
    <row r="1228" ht="36" customHeight="1">
      <c r="A1228" s="46" t="n">
        <v>3558</v>
      </c>
      <c r="B1228" s="4">
        <f>+VLOOKUP($A1228,MAGAZZINO!$B$2:$M$100000,2,FALSE)</f>
        <v/>
      </c>
      <c r="C1228" s="29">
        <f>+VLOOKUP($A1228,MAGAZZINO!$B$2:$M$100000,3,FALSE)</f>
        <v/>
      </c>
      <c r="D1228" s="3">
        <f>+VLOOKUP($A1228,MAGAZZINO!$B$2:$M$100000,4,FALSE)</f>
        <v/>
      </c>
      <c r="E1228" s="3">
        <f>+VLOOKUP($A1228,MAGAZZINO!$B$2:$M$100000,5,FALSE)</f>
        <v/>
      </c>
      <c r="F1228" s="3">
        <f>+VLOOKUP($A1228,MAGAZZINO!$B$2:$M$100000,6,FALSE)</f>
        <v/>
      </c>
      <c r="G1228" s="3">
        <f>+VLOOKUP($A1228,MAGAZZINO!$B$2:$M$100000,7,FALSE)</f>
        <v/>
      </c>
      <c r="H1228" s="3">
        <f>+VLOOKUP($A1228,MAGAZZINO!$B$2:$M$100000,8,FALSE)</f>
        <v/>
      </c>
      <c r="I1228" s="3">
        <f>+VLOOKUP($A1228,MAGAZZINO!$B$2:$M$100000,9,FALSE)</f>
        <v/>
      </c>
      <c r="J1228" s="3">
        <f>+VLOOKUP($A1228,MAGAZZINO!$B$2:$M$100000,10,FALSE)</f>
        <v/>
      </c>
      <c r="K1228" s="3">
        <f>+VLOOKUP($A1228,MAGAZZINO!$B$2:$M$100000,11,FALSE)</f>
        <v/>
      </c>
      <c r="L1228" s="5">
        <f>+VLOOKUP($A1228,MAGAZZINO!$B$2:$M$100000,12,FALSE)</f>
        <v/>
      </c>
      <c r="M1228" s="47" t="n"/>
      <c r="N1228" s="88" t="n">
        <v>45874</v>
      </c>
      <c r="O1228" s="91" t="inlineStr">
        <is>
          <t>PHILIPPOS CONSTANTINIDES TRADING CO. LTD (CIPRO)</t>
        </is>
      </c>
      <c r="P1228" s="154" t="inlineStr">
        <is>
          <t xml:space="preserve">IMPORT LICENSE N. 218 DEL 12/08/2020                                                                                         AUT. TRASFERIMENTO N. 6B/2025/3D RILASCIATA IL 28/07/2025   </t>
        </is>
      </c>
      <c r="Q1228" s="150" t="n"/>
      <c r="R1228" s="150" t="n"/>
      <c r="S1228" s="153" t="n"/>
    </row>
    <row r="1229" ht="36" customHeight="1">
      <c r="A1229" s="46" t="n">
        <v>3559</v>
      </c>
      <c r="B1229" s="4">
        <f>+VLOOKUP($A1229,MAGAZZINO!$B$2:$M$100000,2,FALSE)</f>
        <v/>
      </c>
      <c r="C1229" s="29">
        <f>+VLOOKUP($A1229,MAGAZZINO!$B$2:$M$100000,3,FALSE)</f>
        <v/>
      </c>
      <c r="D1229" s="3">
        <f>+VLOOKUP($A1229,MAGAZZINO!$B$2:$M$100000,4,FALSE)</f>
        <v/>
      </c>
      <c r="E1229" s="3">
        <f>+VLOOKUP($A1229,MAGAZZINO!$B$2:$M$100000,5,FALSE)</f>
        <v/>
      </c>
      <c r="F1229" s="3">
        <f>+VLOOKUP($A1229,MAGAZZINO!$B$2:$M$100000,6,FALSE)</f>
        <v/>
      </c>
      <c r="G1229" s="3">
        <f>+VLOOKUP($A1229,MAGAZZINO!$B$2:$M$100000,7,FALSE)</f>
        <v/>
      </c>
      <c r="H1229" s="3">
        <f>+VLOOKUP($A1229,MAGAZZINO!$B$2:$M$100000,8,FALSE)</f>
        <v/>
      </c>
      <c r="I1229" s="3">
        <f>+VLOOKUP($A1229,MAGAZZINO!$B$2:$M$100000,9,FALSE)</f>
        <v/>
      </c>
      <c r="J1229" s="3">
        <f>+VLOOKUP($A1229,MAGAZZINO!$B$2:$M$100000,10,FALSE)</f>
        <v/>
      </c>
      <c r="K1229" s="3">
        <f>+VLOOKUP($A1229,MAGAZZINO!$B$2:$M$100000,11,FALSE)</f>
        <v/>
      </c>
      <c r="L1229" s="5">
        <f>+VLOOKUP($A1229,MAGAZZINO!$B$2:$M$100000,12,FALSE)</f>
        <v/>
      </c>
      <c r="M1229" s="47" t="n"/>
      <c r="N1229" s="54" t="n"/>
      <c r="O1229" s="3" t="n"/>
      <c r="P1229" s="149" t="n"/>
      <c r="Q1229" s="150" t="n"/>
      <c r="R1229" s="150" t="n"/>
      <c r="S1229" s="151" t="n"/>
    </row>
    <row r="1230" ht="36" customHeight="1">
      <c r="A1230" s="46" t="n">
        <v>3560</v>
      </c>
      <c r="B1230" s="4">
        <f>+VLOOKUP($A1230,MAGAZZINO!$B$2:$M$100000,2,FALSE)</f>
        <v/>
      </c>
      <c r="C1230" s="29">
        <f>+VLOOKUP($A1230,MAGAZZINO!$B$2:$M$100000,3,FALSE)</f>
        <v/>
      </c>
      <c r="D1230" s="3">
        <f>+VLOOKUP($A1230,MAGAZZINO!$B$2:$M$100000,4,FALSE)</f>
        <v/>
      </c>
      <c r="E1230" s="3">
        <f>+VLOOKUP($A1230,MAGAZZINO!$B$2:$M$100000,5,FALSE)</f>
        <v/>
      </c>
      <c r="F1230" s="3">
        <f>+VLOOKUP($A1230,MAGAZZINO!$B$2:$M$100000,6,FALSE)</f>
        <v/>
      </c>
      <c r="G1230" s="3">
        <f>+VLOOKUP($A1230,MAGAZZINO!$B$2:$M$100000,7,FALSE)</f>
        <v/>
      </c>
      <c r="H1230" s="3">
        <f>+VLOOKUP($A1230,MAGAZZINO!$B$2:$M$100000,8,FALSE)</f>
        <v/>
      </c>
      <c r="I1230" s="3">
        <f>+VLOOKUP($A1230,MAGAZZINO!$B$2:$M$100000,9,FALSE)</f>
        <v/>
      </c>
      <c r="J1230" s="3">
        <f>+VLOOKUP($A1230,MAGAZZINO!$B$2:$M$100000,10,FALSE)</f>
        <v/>
      </c>
      <c r="K1230" s="3">
        <f>+VLOOKUP($A1230,MAGAZZINO!$B$2:$M$100000,11,FALSE)</f>
        <v/>
      </c>
      <c r="L1230" s="5">
        <f>+VLOOKUP($A1230,MAGAZZINO!$B$2:$M$100000,12,FALSE)</f>
        <v/>
      </c>
      <c r="M1230" s="47" t="n"/>
      <c r="N1230" s="88" t="n">
        <v>45874</v>
      </c>
      <c r="O1230" s="91" t="inlineStr">
        <is>
          <t>PHILIPPOS CONSTANTINIDES TRADING CO. LTD (CIPRO)</t>
        </is>
      </c>
      <c r="P1230" s="154" t="inlineStr">
        <is>
          <t xml:space="preserve">IMPORT LICENSE N. 218 DEL 12/08/2020                                                                                         AUT. TRASFERIMENTO N. 6B/2025/3D RILASCIATA IL 28/07/2025   </t>
        </is>
      </c>
      <c r="Q1230" s="150" t="n"/>
      <c r="R1230" s="150" t="n"/>
      <c r="S1230" s="153" t="n"/>
    </row>
    <row r="1231" ht="36" customHeight="1">
      <c r="A1231" s="46" t="n">
        <v>3561</v>
      </c>
      <c r="B1231" s="4">
        <f>+VLOOKUP($A1231,MAGAZZINO!$B$2:$M$100000,2,FALSE)</f>
        <v/>
      </c>
      <c r="C1231" s="29">
        <f>+VLOOKUP($A1231,MAGAZZINO!$B$2:$M$100000,3,FALSE)</f>
        <v/>
      </c>
      <c r="D1231" s="3">
        <f>+VLOOKUP($A1231,MAGAZZINO!$B$2:$M$100000,4,FALSE)</f>
        <v/>
      </c>
      <c r="E1231" s="3">
        <f>+VLOOKUP($A1231,MAGAZZINO!$B$2:$M$100000,5,FALSE)</f>
        <v/>
      </c>
      <c r="F1231" s="3">
        <f>+VLOOKUP($A1231,MAGAZZINO!$B$2:$M$100000,6,FALSE)</f>
        <v/>
      </c>
      <c r="G1231" s="3">
        <f>+VLOOKUP($A1231,MAGAZZINO!$B$2:$M$100000,7,FALSE)</f>
        <v/>
      </c>
      <c r="H1231" s="3">
        <f>+VLOOKUP($A1231,MAGAZZINO!$B$2:$M$100000,8,FALSE)</f>
        <v/>
      </c>
      <c r="I1231" s="3">
        <f>+VLOOKUP($A1231,MAGAZZINO!$B$2:$M$100000,9,FALSE)</f>
        <v/>
      </c>
      <c r="J1231" s="3">
        <f>+VLOOKUP($A1231,MAGAZZINO!$B$2:$M$100000,10,FALSE)</f>
        <v/>
      </c>
      <c r="K1231" s="3">
        <f>+VLOOKUP($A1231,MAGAZZINO!$B$2:$M$100000,11,FALSE)</f>
        <v/>
      </c>
      <c r="L1231" s="5">
        <f>+VLOOKUP($A1231,MAGAZZINO!$B$2:$M$100000,12,FALSE)</f>
        <v/>
      </c>
      <c r="M1231" s="47" t="n"/>
      <c r="N1231" s="88" t="n">
        <v>45874</v>
      </c>
      <c r="O1231" s="91" t="inlineStr">
        <is>
          <t>PHILIPPOS CONSTANTINIDES TRADING CO. LTD (CIPRO)</t>
        </is>
      </c>
      <c r="P1231" s="154" t="inlineStr">
        <is>
          <t xml:space="preserve">IMPORT LICENSE N. 218 DEL 12/08/2020                                                                                         AUT. TRASFERIMENTO N. 6B/2025/3D RILASCIATA IL 28/07/2025   </t>
        </is>
      </c>
      <c r="Q1231" s="150" t="n"/>
      <c r="R1231" s="150" t="n"/>
      <c r="S1231" s="153" t="n"/>
    </row>
    <row r="1232" ht="36" customHeight="1">
      <c r="A1232" s="46" t="n">
        <v>3562</v>
      </c>
      <c r="B1232" s="4">
        <f>+VLOOKUP($A1232,MAGAZZINO!$B$2:$M$100000,2,FALSE)</f>
        <v/>
      </c>
      <c r="C1232" s="29">
        <f>+VLOOKUP($A1232,MAGAZZINO!$B$2:$M$100000,3,FALSE)</f>
        <v/>
      </c>
      <c r="D1232" s="3">
        <f>+VLOOKUP($A1232,MAGAZZINO!$B$2:$M$100000,4,FALSE)</f>
        <v/>
      </c>
      <c r="E1232" s="3">
        <f>+VLOOKUP($A1232,MAGAZZINO!$B$2:$M$100000,5,FALSE)</f>
        <v/>
      </c>
      <c r="F1232" s="3">
        <f>+VLOOKUP($A1232,MAGAZZINO!$B$2:$M$100000,6,FALSE)</f>
        <v/>
      </c>
      <c r="G1232" s="3">
        <f>+VLOOKUP($A1232,MAGAZZINO!$B$2:$M$100000,7,FALSE)</f>
        <v/>
      </c>
      <c r="H1232" s="3">
        <f>+VLOOKUP($A1232,MAGAZZINO!$B$2:$M$100000,8,FALSE)</f>
        <v/>
      </c>
      <c r="I1232" s="3">
        <f>+VLOOKUP($A1232,MAGAZZINO!$B$2:$M$100000,9,FALSE)</f>
        <v/>
      </c>
      <c r="J1232" s="3">
        <f>+VLOOKUP($A1232,MAGAZZINO!$B$2:$M$100000,10,FALSE)</f>
        <v/>
      </c>
      <c r="K1232" s="3">
        <f>+VLOOKUP($A1232,MAGAZZINO!$B$2:$M$100000,11,FALSE)</f>
        <v/>
      </c>
      <c r="L1232" s="5">
        <f>+VLOOKUP($A1232,MAGAZZINO!$B$2:$M$100000,12,FALSE)</f>
        <v/>
      </c>
      <c r="M1232" s="47" t="n"/>
      <c r="N1232" s="54" t="n"/>
      <c r="O1232" s="3" t="n"/>
      <c r="P1232" s="149" t="n"/>
      <c r="Q1232" s="150" t="n"/>
      <c r="R1232" s="150" t="n"/>
      <c r="S1232" s="151" t="n"/>
    </row>
    <row r="1233" ht="36" customHeight="1">
      <c r="A1233" s="46" t="n">
        <v>3563</v>
      </c>
      <c r="B1233" s="4">
        <f>+VLOOKUP($A1233,MAGAZZINO!$B$2:$M$100000,2,FALSE)</f>
        <v/>
      </c>
      <c r="C1233" s="29">
        <f>+VLOOKUP($A1233,MAGAZZINO!$B$2:$M$100000,3,FALSE)</f>
        <v/>
      </c>
      <c r="D1233" s="3">
        <f>+VLOOKUP($A1233,MAGAZZINO!$B$2:$M$100000,4,FALSE)</f>
        <v/>
      </c>
      <c r="E1233" s="3">
        <f>+VLOOKUP($A1233,MAGAZZINO!$B$2:$M$100000,5,FALSE)</f>
        <v/>
      </c>
      <c r="F1233" s="3">
        <f>+VLOOKUP($A1233,MAGAZZINO!$B$2:$M$100000,6,FALSE)</f>
        <v/>
      </c>
      <c r="G1233" s="3">
        <f>+VLOOKUP($A1233,MAGAZZINO!$B$2:$M$100000,7,FALSE)</f>
        <v/>
      </c>
      <c r="H1233" s="3">
        <f>+VLOOKUP($A1233,MAGAZZINO!$B$2:$M$100000,8,FALSE)</f>
        <v/>
      </c>
      <c r="I1233" s="3">
        <f>+VLOOKUP($A1233,MAGAZZINO!$B$2:$M$100000,9,FALSE)</f>
        <v/>
      </c>
      <c r="J1233" s="3">
        <f>+VLOOKUP($A1233,MAGAZZINO!$B$2:$M$100000,10,FALSE)</f>
        <v/>
      </c>
      <c r="K1233" s="3">
        <f>+VLOOKUP($A1233,MAGAZZINO!$B$2:$M$100000,11,FALSE)</f>
        <v/>
      </c>
      <c r="L1233" s="5">
        <f>+VLOOKUP($A1233,MAGAZZINO!$B$2:$M$100000,12,FALSE)</f>
        <v/>
      </c>
      <c r="M1233" s="47" t="n"/>
      <c r="N1233" s="54" t="n"/>
      <c r="O1233" s="3" t="n"/>
      <c r="P1233" s="149" t="n"/>
      <c r="Q1233" s="150" t="n"/>
      <c r="R1233" s="150" t="n"/>
      <c r="S1233" s="151" t="n"/>
    </row>
    <row r="1234" ht="36" customHeight="1">
      <c r="A1234" s="46" t="n">
        <v>3564</v>
      </c>
      <c r="B1234" s="4">
        <f>+VLOOKUP($A1234,MAGAZZINO!$B$2:$M$100000,2,FALSE)</f>
        <v/>
      </c>
      <c r="C1234" s="29">
        <f>+VLOOKUP($A1234,MAGAZZINO!$B$2:$M$100000,3,FALSE)</f>
        <v/>
      </c>
      <c r="D1234" s="3">
        <f>+VLOOKUP($A1234,MAGAZZINO!$B$2:$M$100000,4,FALSE)</f>
        <v/>
      </c>
      <c r="E1234" s="3">
        <f>+VLOOKUP($A1234,MAGAZZINO!$B$2:$M$100000,5,FALSE)</f>
        <v/>
      </c>
      <c r="F1234" s="3">
        <f>+VLOOKUP($A1234,MAGAZZINO!$B$2:$M$100000,6,FALSE)</f>
        <v/>
      </c>
      <c r="G1234" s="3">
        <f>+VLOOKUP($A1234,MAGAZZINO!$B$2:$M$100000,7,FALSE)</f>
        <v/>
      </c>
      <c r="H1234" s="3">
        <f>+VLOOKUP($A1234,MAGAZZINO!$B$2:$M$100000,8,FALSE)</f>
        <v/>
      </c>
      <c r="I1234" s="3">
        <f>+VLOOKUP($A1234,MAGAZZINO!$B$2:$M$100000,9,FALSE)</f>
        <v/>
      </c>
      <c r="J1234" s="3">
        <f>+VLOOKUP($A1234,MAGAZZINO!$B$2:$M$100000,10,FALSE)</f>
        <v/>
      </c>
      <c r="K1234" s="3">
        <f>+VLOOKUP($A1234,MAGAZZINO!$B$2:$M$100000,11,FALSE)</f>
        <v/>
      </c>
      <c r="L1234" s="5">
        <f>+VLOOKUP($A1234,MAGAZZINO!$B$2:$M$100000,12,FALSE)</f>
        <v/>
      </c>
      <c r="M1234" s="47" t="n"/>
      <c r="N1234" s="54" t="n"/>
      <c r="O1234" s="3" t="n"/>
      <c r="P1234" s="149" t="n"/>
      <c r="Q1234" s="150" t="n"/>
      <c r="R1234" s="150" t="n"/>
      <c r="S1234" s="151" t="n"/>
    </row>
    <row r="1235" ht="36" customHeight="1">
      <c r="A1235" s="46" t="n">
        <v>3565</v>
      </c>
      <c r="B1235" s="4">
        <f>+VLOOKUP($A1235,MAGAZZINO!$B$2:$M$100000,2,FALSE)</f>
        <v/>
      </c>
      <c r="C1235" s="29">
        <f>+VLOOKUP($A1235,MAGAZZINO!$B$2:$M$100000,3,FALSE)</f>
        <v/>
      </c>
      <c r="D1235" s="3">
        <f>+VLOOKUP($A1235,MAGAZZINO!$B$2:$M$100000,4,FALSE)</f>
        <v/>
      </c>
      <c r="E1235" s="3">
        <f>+VLOOKUP($A1235,MAGAZZINO!$B$2:$M$100000,5,FALSE)</f>
        <v/>
      </c>
      <c r="F1235" s="3">
        <f>+VLOOKUP($A1235,MAGAZZINO!$B$2:$M$100000,6,FALSE)</f>
        <v/>
      </c>
      <c r="G1235" s="3">
        <f>+VLOOKUP($A1235,MAGAZZINO!$B$2:$M$100000,7,FALSE)</f>
        <v/>
      </c>
      <c r="H1235" s="3">
        <f>+VLOOKUP($A1235,MAGAZZINO!$B$2:$M$100000,8,FALSE)</f>
        <v/>
      </c>
      <c r="I1235" s="3">
        <f>+VLOOKUP($A1235,MAGAZZINO!$B$2:$M$100000,9,FALSE)</f>
        <v/>
      </c>
      <c r="J1235" s="3">
        <f>+VLOOKUP($A1235,MAGAZZINO!$B$2:$M$100000,10,FALSE)</f>
        <v/>
      </c>
      <c r="K1235" s="3">
        <f>+VLOOKUP($A1235,MAGAZZINO!$B$2:$M$100000,11,FALSE)</f>
        <v/>
      </c>
      <c r="L1235" s="5">
        <f>+VLOOKUP($A1235,MAGAZZINO!$B$2:$M$100000,12,FALSE)</f>
        <v/>
      </c>
      <c r="M1235" s="47" t="n"/>
      <c r="N1235" s="88" t="n">
        <v>45873</v>
      </c>
      <c r="O1235" s="156" t="inlineStr">
        <is>
          <t>BIN HUMAID NATIONAL TRADING CO. (ARABIA SAUDITA)</t>
        </is>
      </c>
      <c r="P1235" s="152" t="inlineStr">
        <is>
          <t xml:space="preserve">  IMPORT LICENSE N. 182480  (END USER CERTIFICATE)                                                                      AUT. ESPORTAZIONE MULTIPLA N. 6B/2025/2M RILASCIATA IL 26/05/2025                        (LICENZA DI SCARICO N. 6B/2025/2S RILASCIATA IL 30/07/2025)</t>
        </is>
      </c>
      <c r="Q1235" s="150" t="n"/>
      <c r="R1235" s="150" t="n"/>
      <c r="S1235" s="153" t="n"/>
    </row>
    <row r="1236" ht="36" customHeight="1">
      <c r="A1236" s="46" t="n">
        <v>3566</v>
      </c>
      <c r="B1236" s="4">
        <f>+VLOOKUP($A1236,MAGAZZINO!$B$2:$M$100000,2,FALSE)</f>
        <v/>
      </c>
      <c r="C1236" s="29">
        <f>+VLOOKUP($A1236,MAGAZZINO!$B$2:$M$100000,3,FALSE)</f>
        <v/>
      </c>
      <c r="D1236" s="3">
        <f>+VLOOKUP($A1236,MAGAZZINO!$B$2:$M$100000,4,FALSE)</f>
        <v/>
      </c>
      <c r="E1236" s="3">
        <f>+VLOOKUP($A1236,MAGAZZINO!$B$2:$M$100000,5,FALSE)</f>
        <v/>
      </c>
      <c r="F1236" s="3">
        <f>+VLOOKUP($A1236,MAGAZZINO!$B$2:$M$100000,6,FALSE)</f>
        <v/>
      </c>
      <c r="G1236" s="3">
        <f>+VLOOKUP($A1236,MAGAZZINO!$B$2:$M$100000,7,FALSE)</f>
        <v/>
      </c>
      <c r="H1236" s="3">
        <f>+VLOOKUP($A1236,MAGAZZINO!$B$2:$M$100000,8,FALSE)</f>
        <v/>
      </c>
      <c r="I1236" s="3">
        <f>+VLOOKUP($A1236,MAGAZZINO!$B$2:$M$100000,9,FALSE)</f>
        <v/>
      </c>
      <c r="J1236" s="3">
        <f>+VLOOKUP($A1236,MAGAZZINO!$B$2:$M$100000,10,FALSE)</f>
        <v/>
      </c>
      <c r="K1236" s="3">
        <f>+VLOOKUP($A1236,MAGAZZINO!$B$2:$M$100000,11,FALSE)</f>
        <v/>
      </c>
      <c r="L1236" s="5">
        <f>+VLOOKUP($A1236,MAGAZZINO!$B$2:$M$100000,12,FALSE)</f>
        <v/>
      </c>
      <c r="M1236" s="47" t="n"/>
      <c r="N1236" s="88" t="n">
        <v>45873</v>
      </c>
      <c r="O1236" s="156" t="inlineStr">
        <is>
          <t>BIN HUMAID NATIONAL TRADING CO. (ARABIA SAUDITA)</t>
        </is>
      </c>
      <c r="P1236" s="152" t="inlineStr">
        <is>
          <t xml:space="preserve">  IMPORT LICENSE N. 182480  (END USER CERTIFICATE)                                                                      AUT. ESPORTAZIONE MULTIPLA N. 6B/2025/2M RILASCIATA IL 26/05/2025                        (LICENZA DI SCARICO N. 6B/2025/2S RILASCIATA IL 30/07/2025)</t>
        </is>
      </c>
      <c r="Q1236" s="150" t="n"/>
      <c r="R1236" s="150" t="n"/>
      <c r="S1236" s="153" t="n"/>
    </row>
    <row r="1237" ht="36" customHeight="1">
      <c r="A1237" s="46" t="n">
        <v>3567</v>
      </c>
      <c r="B1237" s="4">
        <f>+VLOOKUP($A1237,MAGAZZINO!$B$2:$M$100000,2,FALSE)</f>
        <v/>
      </c>
      <c r="C1237" s="29">
        <f>+VLOOKUP($A1237,MAGAZZINO!$B$2:$M$100000,3,FALSE)</f>
        <v/>
      </c>
      <c r="D1237" s="3">
        <f>+VLOOKUP($A1237,MAGAZZINO!$B$2:$M$100000,4,FALSE)</f>
        <v/>
      </c>
      <c r="E1237" s="3">
        <f>+VLOOKUP($A1237,MAGAZZINO!$B$2:$M$100000,5,FALSE)</f>
        <v/>
      </c>
      <c r="F1237" s="3">
        <f>+VLOOKUP($A1237,MAGAZZINO!$B$2:$M$100000,6,FALSE)</f>
        <v/>
      </c>
      <c r="G1237" s="3">
        <f>+VLOOKUP($A1237,MAGAZZINO!$B$2:$M$100000,7,FALSE)</f>
        <v/>
      </c>
      <c r="H1237" s="3">
        <f>+VLOOKUP($A1237,MAGAZZINO!$B$2:$M$100000,8,FALSE)</f>
        <v/>
      </c>
      <c r="I1237" s="3">
        <f>+VLOOKUP($A1237,MAGAZZINO!$B$2:$M$100000,9,FALSE)</f>
        <v/>
      </c>
      <c r="J1237" s="3">
        <f>+VLOOKUP($A1237,MAGAZZINO!$B$2:$M$100000,10,FALSE)</f>
        <v/>
      </c>
      <c r="K1237" s="3">
        <f>+VLOOKUP($A1237,MAGAZZINO!$B$2:$M$100000,11,FALSE)</f>
        <v/>
      </c>
      <c r="L1237" s="5">
        <f>+VLOOKUP($A1237,MAGAZZINO!$B$2:$M$100000,12,FALSE)</f>
        <v/>
      </c>
      <c r="M1237" s="47" t="n"/>
      <c r="N1237" s="88" t="n">
        <v>45873</v>
      </c>
      <c r="O1237" s="156" t="inlineStr">
        <is>
          <t>BIN HUMAID NATIONAL TRADING CO. (ARABIA SAUDITA)</t>
        </is>
      </c>
      <c r="P1237" s="152" t="inlineStr">
        <is>
          <t xml:space="preserve">  IMPORT LICENSE N. 182480  (END USER CERTIFICATE)                                                                      AUT. ESPORTAZIONE MULTIPLA N. 6B/2025/2M RILASCIATA IL 26/05/2025                        (LICENZA DI SCARICO N. 6B/2025/2S RILASCIATA IL 30/07/2025)</t>
        </is>
      </c>
      <c r="Q1237" s="150" t="n"/>
      <c r="R1237" s="150" t="n"/>
      <c r="S1237" s="153" t="n"/>
    </row>
    <row r="1238" ht="36" customHeight="1">
      <c r="A1238" s="46" t="n">
        <v>3568</v>
      </c>
      <c r="B1238" s="4">
        <f>+VLOOKUP($A1238,MAGAZZINO!$B$2:$M$100000,2,FALSE)</f>
        <v/>
      </c>
      <c r="C1238" s="29">
        <f>+VLOOKUP($A1238,MAGAZZINO!$B$2:$M$100000,3,FALSE)</f>
        <v/>
      </c>
      <c r="D1238" s="3">
        <f>+VLOOKUP($A1238,MAGAZZINO!$B$2:$M$100000,4,FALSE)</f>
        <v/>
      </c>
      <c r="E1238" s="3">
        <f>+VLOOKUP($A1238,MAGAZZINO!$B$2:$M$100000,5,FALSE)</f>
        <v/>
      </c>
      <c r="F1238" s="3">
        <f>+VLOOKUP($A1238,MAGAZZINO!$B$2:$M$100000,6,FALSE)</f>
        <v/>
      </c>
      <c r="G1238" s="3">
        <f>+VLOOKUP($A1238,MAGAZZINO!$B$2:$M$100000,7,FALSE)</f>
        <v/>
      </c>
      <c r="H1238" s="3">
        <f>+VLOOKUP($A1238,MAGAZZINO!$B$2:$M$100000,8,FALSE)</f>
        <v/>
      </c>
      <c r="I1238" s="3">
        <f>+VLOOKUP($A1238,MAGAZZINO!$B$2:$M$100000,9,FALSE)</f>
        <v/>
      </c>
      <c r="J1238" s="3">
        <f>+VLOOKUP($A1238,MAGAZZINO!$B$2:$M$100000,10,FALSE)</f>
        <v/>
      </c>
      <c r="K1238" s="3">
        <f>+VLOOKUP($A1238,MAGAZZINO!$B$2:$M$100000,11,FALSE)</f>
        <v/>
      </c>
      <c r="L1238" s="5">
        <f>+VLOOKUP($A1238,MAGAZZINO!$B$2:$M$100000,12,FALSE)</f>
        <v/>
      </c>
      <c r="M1238" s="47" t="n"/>
      <c r="N1238" s="88" t="n">
        <v>45873</v>
      </c>
      <c r="O1238" s="156" t="inlineStr">
        <is>
          <t>BIN HUMAID NATIONAL TRADING CO. (ARABIA SAUDITA)</t>
        </is>
      </c>
      <c r="P1238" s="152" t="inlineStr">
        <is>
          <t xml:space="preserve">  IMPORT LICENSE N. 182480  (END USER CERTIFICATE)                                                                      AUT. ESPORTAZIONE MULTIPLA N. 6B/2025/2M RILASCIATA IL 26/05/2025                        (LICENZA DI SCARICO N. 6B/2025/2S RILASCIATA IL 30/07/2025)</t>
        </is>
      </c>
      <c r="Q1238" s="150" t="n"/>
      <c r="R1238" s="150" t="n"/>
      <c r="S1238" s="153" t="n"/>
    </row>
    <row r="1239" ht="36" customHeight="1">
      <c r="A1239" s="46" t="n">
        <v>3569</v>
      </c>
      <c r="B1239" s="4">
        <f>+VLOOKUP($A1239,MAGAZZINO!$B$2:$M$100000,2,FALSE)</f>
        <v/>
      </c>
      <c r="C1239" s="29">
        <f>+VLOOKUP($A1239,MAGAZZINO!$B$2:$M$100000,3,FALSE)</f>
        <v/>
      </c>
      <c r="D1239" s="3">
        <f>+VLOOKUP($A1239,MAGAZZINO!$B$2:$M$100000,4,FALSE)</f>
        <v/>
      </c>
      <c r="E1239" s="3">
        <f>+VLOOKUP($A1239,MAGAZZINO!$B$2:$M$100000,5,FALSE)</f>
        <v/>
      </c>
      <c r="F1239" s="3">
        <f>+VLOOKUP($A1239,MAGAZZINO!$B$2:$M$100000,6,FALSE)</f>
        <v/>
      </c>
      <c r="G1239" s="3">
        <f>+VLOOKUP($A1239,MAGAZZINO!$B$2:$M$100000,7,FALSE)</f>
        <v/>
      </c>
      <c r="H1239" s="3">
        <f>+VLOOKUP($A1239,MAGAZZINO!$B$2:$M$100000,8,FALSE)</f>
        <v/>
      </c>
      <c r="I1239" s="3">
        <f>+VLOOKUP($A1239,MAGAZZINO!$B$2:$M$100000,9,FALSE)</f>
        <v/>
      </c>
      <c r="J1239" s="3">
        <f>+VLOOKUP($A1239,MAGAZZINO!$B$2:$M$100000,10,FALSE)</f>
        <v/>
      </c>
      <c r="K1239" s="3">
        <f>+VLOOKUP($A1239,MAGAZZINO!$B$2:$M$100000,11,FALSE)</f>
        <v/>
      </c>
      <c r="L1239" s="5">
        <f>+VLOOKUP($A1239,MAGAZZINO!$B$2:$M$100000,12,FALSE)</f>
        <v/>
      </c>
      <c r="M1239" s="47" t="n"/>
      <c r="N1239" s="88" t="n">
        <v>45873</v>
      </c>
      <c r="O1239" s="156" t="inlineStr">
        <is>
          <t>BIN HUMAID NATIONAL TRADING CO. (ARABIA SAUDITA)</t>
        </is>
      </c>
      <c r="P1239" s="152" t="inlineStr">
        <is>
          <t xml:space="preserve">  IMPORT LICENSE N. 182480  (END USER CERTIFICATE)                                                                      AUT. ESPORTAZIONE MULTIPLA N. 6B/2025/2M RILASCIATA IL 26/05/2025                        (LICENZA DI SCARICO N. 6B/2025/2S RILASCIATA IL 30/07/2025)</t>
        </is>
      </c>
      <c r="Q1239" s="150" t="n"/>
      <c r="R1239" s="150" t="n"/>
      <c r="S1239" s="153" t="n"/>
    </row>
    <row r="1240" ht="36" customHeight="1">
      <c r="A1240" s="46" t="n">
        <v>3570</v>
      </c>
      <c r="B1240" s="4">
        <f>+VLOOKUP($A1240,MAGAZZINO!$B$2:$M$100000,2,FALSE)</f>
        <v/>
      </c>
      <c r="C1240" s="29">
        <f>+VLOOKUP($A1240,MAGAZZINO!$B$2:$M$100000,3,FALSE)</f>
        <v/>
      </c>
      <c r="D1240" s="3">
        <f>+VLOOKUP($A1240,MAGAZZINO!$B$2:$M$100000,4,FALSE)</f>
        <v/>
      </c>
      <c r="E1240" s="3">
        <f>+VLOOKUP($A1240,MAGAZZINO!$B$2:$M$100000,5,FALSE)</f>
        <v/>
      </c>
      <c r="F1240" s="3">
        <f>+VLOOKUP($A1240,MAGAZZINO!$B$2:$M$100000,6,FALSE)</f>
        <v/>
      </c>
      <c r="G1240" s="3">
        <f>+VLOOKUP($A1240,MAGAZZINO!$B$2:$M$100000,7,FALSE)</f>
        <v/>
      </c>
      <c r="H1240" s="3">
        <f>+VLOOKUP($A1240,MAGAZZINO!$B$2:$M$100000,8,FALSE)</f>
        <v/>
      </c>
      <c r="I1240" s="3">
        <f>+VLOOKUP($A1240,MAGAZZINO!$B$2:$M$100000,9,FALSE)</f>
        <v/>
      </c>
      <c r="J1240" s="3">
        <f>+VLOOKUP($A1240,MAGAZZINO!$B$2:$M$100000,10,FALSE)</f>
        <v/>
      </c>
      <c r="K1240" s="3">
        <f>+VLOOKUP($A1240,MAGAZZINO!$B$2:$M$100000,11,FALSE)</f>
        <v/>
      </c>
      <c r="L1240" s="5">
        <f>+VLOOKUP($A1240,MAGAZZINO!$B$2:$M$100000,12,FALSE)</f>
        <v/>
      </c>
      <c r="M1240" s="47" t="n"/>
      <c r="N1240" s="88" t="n">
        <v>45873</v>
      </c>
      <c r="O1240" s="156" t="inlineStr">
        <is>
          <t>BIN HUMAID NATIONAL TRADING CO. (ARABIA SAUDITA)</t>
        </is>
      </c>
      <c r="P1240" s="152" t="inlineStr">
        <is>
          <t xml:space="preserve">  IMPORT LICENSE N. 182480  (END USER CERTIFICATE)                                                                      AUT. ESPORTAZIONE MULTIPLA N. 6B/2025/2M RILASCIATA IL 26/05/2025                        (LICENZA DI SCARICO N. 6B/2025/2S RILASCIATA IL 30/07/2025)</t>
        </is>
      </c>
      <c r="Q1240" s="150" t="n"/>
      <c r="R1240" s="150" t="n"/>
      <c r="S1240" s="153" t="n"/>
    </row>
    <row r="1241" ht="36" customHeight="1">
      <c r="A1241" s="46" t="n">
        <v>3571</v>
      </c>
      <c r="B1241" s="4">
        <f>+VLOOKUP($A1241,MAGAZZINO!$B$2:$M$100000,2,FALSE)</f>
        <v/>
      </c>
      <c r="C1241" s="29">
        <f>+VLOOKUP($A1241,MAGAZZINO!$B$2:$M$100000,3,FALSE)</f>
        <v/>
      </c>
      <c r="D1241" s="3">
        <f>+VLOOKUP($A1241,MAGAZZINO!$B$2:$M$100000,4,FALSE)</f>
        <v/>
      </c>
      <c r="E1241" s="3">
        <f>+VLOOKUP($A1241,MAGAZZINO!$B$2:$M$100000,5,FALSE)</f>
        <v/>
      </c>
      <c r="F1241" s="3">
        <f>+VLOOKUP($A1241,MAGAZZINO!$B$2:$M$100000,6,FALSE)</f>
        <v/>
      </c>
      <c r="G1241" s="3">
        <f>+VLOOKUP($A1241,MAGAZZINO!$B$2:$M$100000,7,FALSE)</f>
        <v/>
      </c>
      <c r="H1241" s="3">
        <f>+VLOOKUP($A1241,MAGAZZINO!$B$2:$M$100000,8,FALSE)</f>
        <v/>
      </c>
      <c r="I1241" s="3">
        <f>+VLOOKUP($A1241,MAGAZZINO!$B$2:$M$100000,9,FALSE)</f>
        <v/>
      </c>
      <c r="J1241" s="3">
        <f>+VLOOKUP($A1241,MAGAZZINO!$B$2:$M$100000,10,FALSE)</f>
        <v/>
      </c>
      <c r="K1241" s="3">
        <f>+VLOOKUP($A1241,MAGAZZINO!$B$2:$M$100000,11,FALSE)</f>
        <v/>
      </c>
      <c r="L1241" s="5">
        <f>+VLOOKUP($A1241,MAGAZZINO!$B$2:$M$100000,12,FALSE)</f>
        <v/>
      </c>
      <c r="M1241" s="47" t="n"/>
      <c r="N1241" s="88" t="n">
        <v>45873</v>
      </c>
      <c r="O1241" s="156" t="inlineStr">
        <is>
          <t>BIN HUMAID NATIONAL TRADING CO. (ARABIA SAUDITA)</t>
        </is>
      </c>
      <c r="P1241" s="152" t="inlineStr">
        <is>
          <t xml:space="preserve">  IMPORT LICENSE N. 182480  (END USER CERTIFICATE)                                                                      AUT. ESPORTAZIONE MULTIPLA N. 6B/2025/2M RILASCIATA IL 26/05/2025                        (LICENZA DI SCARICO N. 6B/2025/2S RILASCIATA IL 30/07/2025)</t>
        </is>
      </c>
      <c r="Q1241" s="150" t="n"/>
      <c r="R1241" s="150" t="n"/>
      <c r="S1241" s="153" t="n"/>
    </row>
    <row r="1242" ht="36" customHeight="1">
      <c r="A1242" s="46" t="n">
        <v>3572</v>
      </c>
      <c r="B1242" s="4">
        <f>+VLOOKUP($A1242,MAGAZZINO!$B$2:$M$100000,2,FALSE)</f>
        <v/>
      </c>
      <c r="C1242" s="29">
        <f>+VLOOKUP($A1242,MAGAZZINO!$B$2:$M$100000,3,FALSE)</f>
        <v/>
      </c>
      <c r="D1242" s="3">
        <f>+VLOOKUP($A1242,MAGAZZINO!$B$2:$M$100000,4,FALSE)</f>
        <v/>
      </c>
      <c r="E1242" s="3">
        <f>+VLOOKUP($A1242,MAGAZZINO!$B$2:$M$100000,5,FALSE)</f>
        <v/>
      </c>
      <c r="F1242" s="3">
        <f>+VLOOKUP($A1242,MAGAZZINO!$B$2:$M$100000,6,FALSE)</f>
        <v/>
      </c>
      <c r="G1242" s="3">
        <f>+VLOOKUP($A1242,MAGAZZINO!$B$2:$M$100000,7,FALSE)</f>
        <v/>
      </c>
      <c r="H1242" s="3">
        <f>+VLOOKUP($A1242,MAGAZZINO!$B$2:$M$100000,8,FALSE)</f>
        <v/>
      </c>
      <c r="I1242" s="3">
        <f>+VLOOKUP($A1242,MAGAZZINO!$B$2:$M$100000,9,FALSE)</f>
        <v/>
      </c>
      <c r="J1242" s="3">
        <f>+VLOOKUP($A1242,MAGAZZINO!$B$2:$M$100000,10,FALSE)</f>
        <v/>
      </c>
      <c r="K1242" s="3">
        <f>+VLOOKUP($A1242,MAGAZZINO!$B$2:$M$100000,11,FALSE)</f>
        <v/>
      </c>
      <c r="L1242" s="5">
        <f>+VLOOKUP($A1242,MAGAZZINO!$B$2:$M$100000,12,FALSE)</f>
        <v/>
      </c>
      <c r="M1242" s="47" t="n"/>
      <c r="N1242" s="88" t="n">
        <v>45873</v>
      </c>
      <c r="O1242" s="156" t="inlineStr">
        <is>
          <t>BIN HUMAID NATIONAL TRADING CO. (ARABIA SAUDITA)</t>
        </is>
      </c>
      <c r="P1242" s="152" t="inlineStr">
        <is>
          <t xml:space="preserve">  IMPORT LICENSE N. 182480  (END USER CERTIFICATE)                                                                      AUT. ESPORTAZIONE MULTIPLA N. 6B/2025/2M RILASCIATA IL 26/05/2025                        (LICENZA DI SCARICO N. 6B/2025/2S RILASCIATA IL 30/07/2025)</t>
        </is>
      </c>
      <c r="Q1242" s="150" t="n"/>
      <c r="R1242" s="150" t="n"/>
      <c r="S1242" s="153" t="n"/>
    </row>
    <row r="1243" ht="36" customHeight="1">
      <c r="A1243" s="46" t="n">
        <v>3573</v>
      </c>
      <c r="B1243" s="4">
        <f>+VLOOKUP($A1243,MAGAZZINO!$B$2:$M$100000,2,FALSE)</f>
        <v/>
      </c>
      <c r="C1243" s="29">
        <f>+VLOOKUP($A1243,MAGAZZINO!$B$2:$M$100000,3,FALSE)</f>
        <v/>
      </c>
      <c r="D1243" s="3">
        <f>+VLOOKUP($A1243,MAGAZZINO!$B$2:$M$100000,4,FALSE)</f>
        <v/>
      </c>
      <c r="E1243" s="3">
        <f>+VLOOKUP($A1243,MAGAZZINO!$B$2:$M$100000,5,FALSE)</f>
        <v/>
      </c>
      <c r="F1243" s="3">
        <f>+VLOOKUP($A1243,MAGAZZINO!$B$2:$M$100000,6,FALSE)</f>
        <v/>
      </c>
      <c r="G1243" s="3">
        <f>+VLOOKUP($A1243,MAGAZZINO!$B$2:$M$100000,7,FALSE)</f>
        <v/>
      </c>
      <c r="H1243" s="3">
        <f>+VLOOKUP($A1243,MAGAZZINO!$B$2:$M$100000,8,FALSE)</f>
        <v/>
      </c>
      <c r="I1243" s="3">
        <f>+VLOOKUP($A1243,MAGAZZINO!$B$2:$M$100000,9,FALSE)</f>
        <v/>
      </c>
      <c r="J1243" s="3">
        <f>+VLOOKUP($A1243,MAGAZZINO!$B$2:$M$100000,10,FALSE)</f>
        <v/>
      </c>
      <c r="K1243" s="3">
        <f>+VLOOKUP($A1243,MAGAZZINO!$B$2:$M$100000,11,FALSE)</f>
        <v/>
      </c>
      <c r="L1243" s="5">
        <f>+VLOOKUP($A1243,MAGAZZINO!$B$2:$M$100000,12,FALSE)</f>
        <v/>
      </c>
      <c r="M1243" s="47" t="n"/>
      <c r="N1243" s="88" t="n">
        <v>45873</v>
      </c>
      <c r="O1243" s="156" t="inlineStr">
        <is>
          <t>BIN HUMAID NATIONAL TRADING CO. (ARABIA SAUDITA)</t>
        </is>
      </c>
      <c r="P1243" s="152" t="inlineStr">
        <is>
          <t xml:space="preserve">  IMPORT LICENSE N. 182480  (END USER CERTIFICATE)                                                                      AUT. ESPORTAZIONE MULTIPLA N. 6B/2025/2M RILASCIATA IL 26/05/2025                        (LICENZA DI SCARICO N. 6B/2025/2S RILASCIATA IL 30/07/2025)</t>
        </is>
      </c>
      <c r="Q1243" s="150" t="n"/>
      <c r="R1243" s="150" t="n"/>
      <c r="S1243" s="153" t="n"/>
    </row>
    <row r="1244" ht="36" customHeight="1">
      <c r="A1244" s="46" t="n">
        <v>3574</v>
      </c>
      <c r="B1244" s="4">
        <f>+VLOOKUP($A1244,MAGAZZINO!$B$2:$M$100000,2,FALSE)</f>
        <v/>
      </c>
      <c r="C1244" s="29">
        <f>+VLOOKUP($A1244,MAGAZZINO!$B$2:$M$100000,3,FALSE)</f>
        <v/>
      </c>
      <c r="D1244" s="3">
        <f>+VLOOKUP($A1244,MAGAZZINO!$B$2:$M$100000,4,FALSE)</f>
        <v/>
      </c>
      <c r="E1244" s="3">
        <f>+VLOOKUP($A1244,MAGAZZINO!$B$2:$M$100000,5,FALSE)</f>
        <v/>
      </c>
      <c r="F1244" s="3">
        <f>+VLOOKUP($A1244,MAGAZZINO!$B$2:$M$100000,6,FALSE)</f>
        <v/>
      </c>
      <c r="G1244" s="3">
        <f>+VLOOKUP($A1244,MAGAZZINO!$B$2:$M$100000,7,FALSE)</f>
        <v/>
      </c>
      <c r="H1244" s="3">
        <f>+VLOOKUP($A1244,MAGAZZINO!$B$2:$M$100000,8,FALSE)</f>
        <v/>
      </c>
      <c r="I1244" s="3">
        <f>+VLOOKUP($A1244,MAGAZZINO!$B$2:$M$100000,9,FALSE)</f>
        <v/>
      </c>
      <c r="J1244" s="3">
        <f>+VLOOKUP($A1244,MAGAZZINO!$B$2:$M$100000,10,FALSE)</f>
        <v/>
      </c>
      <c r="K1244" s="3">
        <f>+VLOOKUP($A1244,MAGAZZINO!$B$2:$M$100000,11,FALSE)</f>
        <v/>
      </c>
      <c r="L1244" s="5">
        <f>+VLOOKUP($A1244,MAGAZZINO!$B$2:$M$100000,12,FALSE)</f>
        <v/>
      </c>
      <c r="M1244" s="47" t="n"/>
      <c r="N1244" s="88" t="n">
        <v>45873</v>
      </c>
      <c r="O1244" s="156" t="inlineStr">
        <is>
          <t>BIN HUMAID NATIONAL TRADING CO. (ARABIA SAUDITA)</t>
        </is>
      </c>
      <c r="P1244" s="152" t="inlineStr">
        <is>
          <t xml:space="preserve">  IMPORT LICENSE N. 182480  (END USER CERTIFICATE)                                                                      AUT. ESPORTAZIONE MULTIPLA N. 6B/2025/2M RILASCIATA IL 26/05/2025                        (LICENZA DI SCARICO N. 6B/2025/2S RILASCIATA IL 30/07/2025)</t>
        </is>
      </c>
      <c r="Q1244" s="150" t="n"/>
      <c r="R1244" s="150" t="n"/>
      <c r="S1244" s="153" t="n"/>
    </row>
    <row r="1245" ht="36" customHeight="1">
      <c r="A1245" s="46" t="n">
        <v>3575</v>
      </c>
      <c r="B1245" s="4">
        <f>+VLOOKUP($A1245,MAGAZZINO!$B$2:$M$100000,2,FALSE)</f>
        <v/>
      </c>
      <c r="C1245" s="29">
        <f>+VLOOKUP($A1245,MAGAZZINO!$B$2:$M$100000,3,FALSE)</f>
        <v/>
      </c>
      <c r="D1245" s="3">
        <f>+VLOOKUP($A1245,MAGAZZINO!$B$2:$M$100000,4,FALSE)</f>
        <v/>
      </c>
      <c r="E1245" s="3">
        <f>+VLOOKUP($A1245,MAGAZZINO!$B$2:$M$100000,5,FALSE)</f>
        <v/>
      </c>
      <c r="F1245" s="3">
        <f>+VLOOKUP($A1245,MAGAZZINO!$B$2:$M$100000,6,FALSE)</f>
        <v/>
      </c>
      <c r="G1245" s="3">
        <f>+VLOOKUP($A1245,MAGAZZINO!$B$2:$M$100000,7,FALSE)</f>
        <v/>
      </c>
      <c r="H1245" s="3">
        <f>+VLOOKUP($A1245,MAGAZZINO!$B$2:$M$100000,8,FALSE)</f>
        <v/>
      </c>
      <c r="I1245" s="3">
        <f>+VLOOKUP($A1245,MAGAZZINO!$B$2:$M$100000,9,FALSE)</f>
        <v/>
      </c>
      <c r="J1245" s="3">
        <f>+VLOOKUP($A1245,MAGAZZINO!$B$2:$M$100000,10,FALSE)</f>
        <v/>
      </c>
      <c r="K1245" s="3">
        <f>+VLOOKUP($A1245,MAGAZZINO!$B$2:$M$100000,11,FALSE)</f>
        <v/>
      </c>
      <c r="L1245" s="5">
        <f>+VLOOKUP($A1245,MAGAZZINO!$B$2:$M$100000,12,FALSE)</f>
        <v/>
      </c>
      <c r="M1245" s="47" t="n"/>
      <c r="N1245" s="88" t="n">
        <v>45873</v>
      </c>
      <c r="O1245" s="156" t="inlineStr">
        <is>
          <t>BIN HUMAID NATIONAL TRADING CO. (ARABIA SAUDITA)</t>
        </is>
      </c>
      <c r="P1245" s="152" t="inlineStr">
        <is>
          <t xml:space="preserve">  IMPORT LICENSE N. 182480  (END USER CERTIFICATE)                                                                      AUT. ESPORTAZIONE MULTIPLA N. 6B/2025/2M RILASCIATA IL 26/05/2025                        (LICENZA DI SCARICO N. 6B/2025/2S RILASCIATA IL 30/07/2025)</t>
        </is>
      </c>
      <c r="Q1245" s="150" t="n"/>
      <c r="R1245" s="150" t="n"/>
      <c r="S1245" s="153" t="n"/>
    </row>
    <row r="1246" ht="36" customHeight="1">
      <c r="A1246" s="46" t="n">
        <v>3576</v>
      </c>
      <c r="B1246" s="4">
        <f>+VLOOKUP($A1246,MAGAZZINO!$B$2:$M$100000,2,FALSE)</f>
        <v/>
      </c>
      <c r="C1246" s="29">
        <f>+VLOOKUP($A1246,MAGAZZINO!$B$2:$M$100000,3,FALSE)</f>
        <v/>
      </c>
      <c r="D1246" s="3">
        <f>+VLOOKUP($A1246,MAGAZZINO!$B$2:$M$100000,4,FALSE)</f>
        <v/>
      </c>
      <c r="E1246" s="3">
        <f>+VLOOKUP($A1246,MAGAZZINO!$B$2:$M$100000,5,FALSE)</f>
        <v/>
      </c>
      <c r="F1246" s="3">
        <f>+VLOOKUP($A1246,MAGAZZINO!$B$2:$M$100000,6,FALSE)</f>
        <v/>
      </c>
      <c r="G1246" s="3">
        <f>+VLOOKUP($A1246,MAGAZZINO!$B$2:$M$100000,7,FALSE)</f>
        <v/>
      </c>
      <c r="H1246" s="3">
        <f>+VLOOKUP($A1246,MAGAZZINO!$B$2:$M$100000,8,FALSE)</f>
        <v/>
      </c>
      <c r="I1246" s="3">
        <f>+VLOOKUP($A1246,MAGAZZINO!$B$2:$M$100000,9,FALSE)</f>
        <v/>
      </c>
      <c r="J1246" s="3">
        <f>+VLOOKUP($A1246,MAGAZZINO!$B$2:$M$100000,10,FALSE)</f>
        <v/>
      </c>
      <c r="K1246" s="3">
        <f>+VLOOKUP($A1246,MAGAZZINO!$B$2:$M$100000,11,FALSE)</f>
        <v/>
      </c>
      <c r="L1246" s="5">
        <f>+VLOOKUP($A1246,MAGAZZINO!$B$2:$M$100000,12,FALSE)</f>
        <v/>
      </c>
      <c r="M1246" s="47" t="n"/>
      <c r="N1246" s="88" t="n">
        <v>45873</v>
      </c>
      <c r="O1246" s="156" t="inlineStr">
        <is>
          <t>BIN HUMAID NATIONAL TRADING CO. (ARABIA SAUDITA)</t>
        </is>
      </c>
      <c r="P1246" s="152" t="inlineStr">
        <is>
          <t xml:space="preserve">  IMPORT LICENSE N. 182480  (END USER CERTIFICATE)                                                                      AUT. ESPORTAZIONE MULTIPLA N. 6B/2025/2M RILASCIATA IL 26/05/2025                        (LICENZA DI SCARICO N. 6B/2025/2S RILASCIATA IL 30/07/2025)</t>
        </is>
      </c>
      <c r="Q1246" s="150" t="n"/>
      <c r="R1246" s="150" t="n"/>
      <c r="S1246" s="153" t="n"/>
    </row>
    <row r="1247" ht="36" customHeight="1">
      <c r="A1247" s="46" t="n">
        <v>3577</v>
      </c>
      <c r="B1247" s="4">
        <f>+VLOOKUP($A1247,MAGAZZINO!$B$2:$M$100000,2,FALSE)</f>
        <v/>
      </c>
      <c r="C1247" s="29">
        <f>+VLOOKUP($A1247,MAGAZZINO!$B$2:$M$100000,3,FALSE)</f>
        <v/>
      </c>
      <c r="D1247" s="3">
        <f>+VLOOKUP($A1247,MAGAZZINO!$B$2:$M$100000,4,FALSE)</f>
        <v/>
      </c>
      <c r="E1247" s="3">
        <f>+VLOOKUP($A1247,MAGAZZINO!$B$2:$M$100000,5,FALSE)</f>
        <v/>
      </c>
      <c r="F1247" s="3">
        <f>+VLOOKUP($A1247,MAGAZZINO!$B$2:$M$100000,6,FALSE)</f>
        <v/>
      </c>
      <c r="G1247" s="3">
        <f>+VLOOKUP($A1247,MAGAZZINO!$B$2:$M$100000,7,FALSE)</f>
        <v/>
      </c>
      <c r="H1247" s="3">
        <f>+VLOOKUP($A1247,MAGAZZINO!$B$2:$M$100000,8,FALSE)</f>
        <v/>
      </c>
      <c r="I1247" s="3">
        <f>+VLOOKUP($A1247,MAGAZZINO!$B$2:$M$100000,9,FALSE)</f>
        <v/>
      </c>
      <c r="J1247" s="3">
        <f>+VLOOKUP($A1247,MAGAZZINO!$B$2:$M$100000,10,FALSE)</f>
        <v/>
      </c>
      <c r="K1247" s="3">
        <f>+VLOOKUP($A1247,MAGAZZINO!$B$2:$M$100000,11,FALSE)</f>
        <v/>
      </c>
      <c r="L1247" s="5">
        <f>+VLOOKUP($A1247,MAGAZZINO!$B$2:$M$100000,12,FALSE)</f>
        <v/>
      </c>
      <c r="M1247" s="47" t="n"/>
      <c r="N1247" s="88" t="n">
        <v>45873</v>
      </c>
      <c r="O1247" s="156" t="inlineStr">
        <is>
          <t>BIN HUMAID NATIONAL TRADING CO. (ARABIA SAUDITA)</t>
        </is>
      </c>
      <c r="P1247" s="152" t="inlineStr">
        <is>
          <t xml:space="preserve">  IMPORT LICENSE N. 182480  (END USER CERTIFICATE)                                                                      AUT. ESPORTAZIONE MULTIPLA N. 6B/2025/2M RILASCIATA IL 26/05/2025                        (LICENZA DI SCARICO N. 6B/2025/2S RILASCIATA IL 30/07/2025)</t>
        </is>
      </c>
      <c r="Q1247" s="150" t="n"/>
      <c r="R1247" s="150" t="n"/>
      <c r="S1247" s="153" t="n"/>
    </row>
    <row r="1248" ht="36" customHeight="1">
      <c r="A1248" s="46" t="n">
        <v>3578</v>
      </c>
      <c r="B1248" s="4">
        <f>+VLOOKUP($A1248,MAGAZZINO!$B$2:$M$100000,2,FALSE)</f>
        <v/>
      </c>
      <c r="C1248" s="29">
        <f>+VLOOKUP($A1248,MAGAZZINO!$B$2:$M$100000,3,FALSE)</f>
        <v/>
      </c>
      <c r="D1248" s="3">
        <f>+VLOOKUP($A1248,MAGAZZINO!$B$2:$M$100000,4,FALSE)</f>
        <v/>
      </c>
      <c r="E1248" s="3">
        <f>+VLOOKUP($A1248,MAGAZZINO!$B$2:$M$100000,5,FALSE)</f>
        <v/>
      </c>
      <c r="F1248" s="3">
        <f>+VLOOKUP($A1248,MAGAZZINO!$B$2:$M$100000,6,FALSE)</f>
        <v/>
      </c>
      <c r="G1248" s="3">
        <f>+VLOOKUP($A1248,MAGAZZINO!$B$2:$M$100000,7,FALSE)</f>
        <v/>
      </c>
      <c r="H1248" s="3">
        <f>+VLOOKUP($A1248,MAGAZZINO!$B$2:$M$100000,8,FALSE)</f>
        <v/>
      </c>
      <c r="I1248" s="3">
        <f>+VLOOKUP($A1248,MAGAZZINO!$B$2:$M$100000,9,FALSE)</f>
        <v/>
      </c>
      <c r="J1248" s="3">
        <f>+VLOOKUP($A1248,MAGAZZINO!$B$2:$M$100000,10,FALSE)</f>
        <v/>
      </c>
      <c r="K1248" s="3">
        <f>+VLOOKUP($A1248,MAGAZZINO!$B$2:$M$100000,11,FALSE)</f>
        <v/>
      </c>
      <c r="L1248" s="5">
        <f>+VLOOKUP($A1248,MAGAZZINO!$B$2:$M$100000,12,FALSE)</f>
        <v/>
      </c>
      <c r="M1248" s="47" t="n"/>
      <c r="N1248" s="88" t="n">
        <v>45873</v>
      </c>
      <c r="O1248" s="156" t="inlineStr">
        <is>
          <t>BIN HUMAID NATIONAL TRADING CO. (ARABIA SAUDITA)</t>
        </is>
      </c>
      <c r="P1248" s="152" t="inlineStr">
        <is>
          <t xml:space="preserve">  IMPORT LICENSE N. 182480  (END USER CERTIFICATE)                                                                      AUT. ESPORTAZIONE MULTIPLA N. 6B/2025/2M RILASCIATA IL 26/05/2025                        (LICENZA DI SCARICO N. 6B/2025/2S RILASCIATA IL 30/07/2025)</t>
        </is>
      </c>
      <c r="Q1248" s="150" t="n"/>
      <c r="R1248" s="150" t="n"/>
      <c r="S1248" s="153" t="n"/>
    </row>
    <row r="1249" ht="36" customHeight="1">
      <c r="A1249" s="46" t="n">
        <v>3579</v>
      </c>
      <c r="B1249" s="4">
        <f>+VLOOKUP($A1249,MAGAZZINO!$B$2:$M$100000,2,FALSE)</f>
        <v/>
      </c>
      <c r="C1249" s="29">
        <f>+VLOOKUP($A1249,MAGAZZINO!$B$2:$M$100000,3,FALSE)</f>
        <v/>
      </c>
      <c r="D1249" s="3">
        <f>+VLOOKUP($A1249,MAGAZZINO!$B$2:$M$100000,4,FALSE)</f>
        <v/>
      </c>
      <c r="E1249" s="3">
        <f>+VLOOKUP($A1249,MAGAZZINO!$B$2:$M$100000,5,FALSE)</f>
        <v/>
      </c>
      <c r="F1249" s="3">
        <f>+VLOOKUP($A1249,MAGAZZINO!$B$2:$M$100000,6,FALSE)</f>
        <v/>
      </c>
      <c r="G1249" s="3">
        <f>+VLOOKUP($A1249,MAGAZZINO!$B$2:$M$100000,7,FALSE)</f>
        <v/>
      </c>
      <c r="H1249" s="3">
        <f>+VLOOKUP($A1249,MAGAZZINO!$B$2:$M$100000,8,FALSE)</f>
        <v/>
      </c>
      <c r="I1249" s="3">
        <f>+VLOOKUP($A1249,MAGAZZINO!$B$2:$M$100000,9,FALSE)</f>
        <v/>
      </c>
      <c r="J1249" s="3">
        <f>+VLOOKUP($A1249,MAGAZZINO!$B$2:$M$100000,10,FALSE)</f>
        <v/>
      </c>
      <c r="K1249" s="3">
        <f>+VLOOKUP($A1249,MAGAZZINO!$B$2:$M$100000,11,FALSE)</f>
        <v/>
      </c>
      <c r="L1249" s="5">
        <f>+VLOOKUP($A1249,MAGAZZINO!$B$2:$M$100000,12,FALSE)</f>
        <v/>
      </c>
      <c r="M1249" s="47" t="n"/>
      <c r="N1249" s="88" t="n">
        <v>45873</v>
      </c>
      <c r="O1249" s="156" t="inlineStr">
        <is>
          <t>BIN HUMAID NATIONAL TRADING CO. (ARABIA SAUDITA)</t>
        </is>
      </c>
      <c r="P1249" s="152" t="inlineStr">
        <is>
          <t xml:space="preserve">  IMPORT LICENSE N. 182480  (END USER CERTIFICATE)                                                                      AUT. ESPORTAZIONE MULTIPLA N. 6B/2025/2M RILASCIATA IL 26/05/2025                        (LICENZA DI SCARICO N. 6B/2025/2S RILASCIATA IL 30/07/2025)</t>
        </is>
      </c>
      <c r="Q1249" s="150" t="n"/>
      <c r="R1249" s="150" t="n"/>
      <c r="S1249" s="153" t="n"/>
    </row>
    <row r="1250" ht="36" customHeight="1">
      <c r="A1250" s="46" t="n">
        <v>3580</v>
      </c>
      <c r="B1250" s="4">
        <f>+VLOOKUP($A1250,MAGAZZINO!$B$2:$M$100000,2,FALSE)</f>
        <v/>
      </c>
      <c r="C1250" s="29">
        <f>+VLOOKUP($A1250,MAGAZZINO!$B$2:$M$100000,3,FALSE)</f>
        <v/>
      </c>
      <c r="D1250" s="3">
        <f>+VLOOKUP($A1250,MAGAZZINO!$B$2:$M$100000,4,FALSE)</f>
        <v/>
      </c>
      <c r="E1250" s="3">
        <f>+VLOOKUP($A1250,MAGAZZINO!$B$2:$M$100000,5,FALSE)</f>
        <v/>
      </c>
      <c r="F1250" s="3">
        <f>+VLOOKUP($A1250,MAGAZZINO!$B$2:$M$100000,6,FALSE)</f>
        <v/>
      </c>
      <c r="G1250" s="3">
        <f>+VLOOKUP($A1250,MAGAZZINO!$B$2:$M$100000,7,FALSE)</f>
        <v/>
      </c>
      <c r="H1250" s="3">
        <f>+VLOOKUP($A1250,MAGAZZINO!$B$2:$M$100000,8,FALSE)</f>
        <v/>
      </c>
      <c r="I1250" s="3">
        <f>+VLOOKUP($A1250,MAGAZZINO!$B$2:$M$100000,9,FALSE)</f>
        <v/>
      </c>
      <c r="J1250" s="3">
        <f>+VLOOKUP($A1250,MAGAZZINO!$B$2:$M$100000,10,FALSE)</f>
        <v/>
      </c>
      <c r="K1250" s="3">
        <f>+VLOOKUP($A1250,MAGAZZINO!$B$2:$M$100000,11,FALSE)</f>
        <v/>
      </c>
      <c r="L1250" s="5">
        <f>+VLOOKUP($A1250,MAGAZZINO!$B$2:$M$100000,12,FALSE)</f>
        <v/>
      </c>
      <c r="M1250" s="47" t="n"/>
      <c r="N1250" s="88" t="n">
        <v>45873</v>
      </c>
      <c r="O1250" s="156" t="inlineStr">
        <is>
          <t>BIN HUMAID NATIONAL TRADING CO. (ARABIA SAUDITA)</t>
        </is>
      </c>
      <c r="P1250" s="152" t="inlineStr">
        <is>
          <t xml:space="preserve">  IMPORT LICENSE N. 182480  (END USER CERTIFICATE)                                                                      AUT. ESPORTAZIONE MULTIPLA N. 6B/2025/2M RILASCIATA IL 26/05/2025                        (LICENZA DI SCARICO N. 6B/2025/2S RILASCIATA IL 30/07/2025)</t>
        </is>
      </c>
      <c r="Q1250" s="150" t="n"/>
      <c r="R1250" s="150" t="n"/>
      <c r="S1250" s="153" t="n"/>
    </row>
    <row r="1251" ht="36" customHeight="1">
      <c r="A1251" s="46" t="n">
        <v>3581</v>
      </c>
      <c r="B1251" s="4">
        <f>+VLOOKUP($A1251,MAGAZZINO!$B$2:$M$100000,2,FALSE)</f>
        <v/>
      </c>
      <c r="C1251" s="29">
        <f>+VLOOKUP($A1251,MAGAZZINO!$B$2:$M$100000,3,FALSE)</f>
        <v/>
      </c>
      <c r="D1251" s="3">
        <f>+VLOOKUP($A1251,MAGAZZINO!$B$2:$M$100000,4,FALSE)</f>
        <v/>
      </c>
      <c r="E1251" s="3">
        <f>+VLOOKUP($A1251,MAGAZZINO!$B$2:$M$100000,5,FALSE)</f>
        <v/>
      </c>
      <c r="F1251" s="3">
        <f>+VLOOKUP($A1251,MAGAZZINO!$B$2:$M$100000,6,FALSE)</f>
        <v/>
      </c>
      <c r="G1251" s="3">
        <f>+VLOOKUP($A1251,MAGAZZINO!$B$2:$M$100000,7,FALSE)</f>
        <v/>
      </c>
      <c r="H1251" s="3">
        <f>+VLOOKUP($A1251,MAGAZZINO!$B$2:$M$100000,8,FALSE)</f>
        <v/>
      </c>
      <c r="I1251" s="3">
        <f>+VLOOKUP($A1251,MAGAZZINO!$B$2:$M$100000,9,FALSE)</f>
        <v/>
      </c>
      <c r="J1251" s="3">
        <f>+VLOOKUP($A1251,MAGAZZINO!$B$2:$M$100000,10,FALSE)</f>
        <v/>
      </c>
      <c r="K1251" s="3">
        <f>+VLOOKUP($A1251,MAGAZZINO!$B$2:$M$100000,11,FALSE)</f>
        <v/>
      </c>
      <c r="L1251" s="5">
        <f>+VLOOKUP($A1251,MAGAZZINO!$B$2:$M$100000,12,FALSE)</f>
        <v/>
      </c>
      <c r="M1251" s="47" t="n"/>
      <c r="N1251" s="88" t="n">
        <v>45873</v>
      </c>
      <c r="O1251" s="156" t="inlineStr">
        <is>
          <t>BIN HUMAID NATIONAL TRADING CO. (ARABIA SAUDITA)</t>
        </is>
      </c>
      <c r="P1251" s="152" t="inlineStr">
        <is>
          <t xml:space="preserve">  IMPORT LICENSE N. 182480  (END USER CERTIFICATE)                                                                      AUT. ESPORTAZIONE MULTIPLA N. 6B/2025/2M RILASCIATA IL 26/05/2025                        (LICENZA DI SCARICO N. 6B/2025/2S RILASCIATA IL 30/07/2025)</t>
        </is>
      </c>
      <c r="Q1251" s="150" t="n"/>
      <c r="R1251" s="150" t="n"/>
      <c r="S1251" s="153" t="n"/>
    </row>
    <row r="1252" ht="36" customHeight="1">
      <c r="A1252" s="46" t="n">
        <v>3582</v>
      </c>
      <c r="B1252" s="4">
        <f>+VLOOKUP($A1252,MAGAZZINO!$B$2:$M$100000,2,FALSE)</f>
        <v/>
      </c>
      <c r="C1252" s="29">
        <f>+VLOOKUP($A1252,MAGAZZINO!$B$2:$M$100000,3,FALSE)</f>
        <v/>
      </c>
      <c r="D1252" s="3">
        <f>+VLOOKUP($A1252,MAGAZZINO!$B$2:$M$100000,4,FALSE)</f>
        <v/>
      </c>
      <c r="E1252" s="3">
        <f>+VLOOKUP($A1252,MAGAZZINO!$B$2:$M$100000,5,FALSE)</f>
        <v/>
      </c>
      <c r="F1252" s="3">
        <f>+VLOOKUP($A1252,MAGAZZINO!$B$2:$M$100000,6,FALSE)</f>
        <v/>
      </c>
      <c r="G1252" s="3">
        <f>+VLOOKUP($A1252,MAGAZZINO!$B$2:$M$100000,7,FALSE)</f>
        <v/>
      </c>
      <c r="H1252" s="3">
        <f>+VLOOKUP($A1252,MAGAZZINO!$B$2:$M$100000,8,FALSE)</f>
        <v/>
      </c>
      <c r="I1252" s="3">
        <f>+VLOOKUP($A1252,MAGAZZINO!$B$2:$M$100000,9,FALSE)</f>
        <v/>
      </c>
      <c r="J1252" s="3">
        <f>+VLOOKUP($A1252,MAGAZZINO!$B$2:$M$100000,10,FALSE)</f>
        <v/>
      </c>
      <c r="K1252" s="3">
        <f>+VLOOKUP($A1252,MAGAZZINO!$B$2:$M$100000,11,FALSE)</f>
        <v/>
      </c>
      <c r="L1252" s="5">
        <f>+VLOOKUP($A1252,MAGAZZINO!$B$2:$M$100000,12,FALSE)</f>
        <v/>
      </c>
      <c r="M1252" s="47" t="n"/>
      <c r="N1252" s="88" t="n">
        <v>45873</v>
      </c>
      <c r="O1252" s="156" t="inlineStr">
        <is>
          <t>BIN HUMAID NATIONAL TRADING CO. (ARABIA SAUDITA)</t>
        </is>
      </c>
      <c r="P1252" s="152" t="inlineStr">
        <is>
          <t xml:space="preserve">  IMPORT LICENSE N. 182480  (END USER CERTIFICATE)                                                                      AUT. ESPORTAZIONE MULTIPLA N. 6B/2025/2M RILASCIATA IL 26/05/2025                        (LICENZA DI SCARICO N. 6B/2025/2S RILASCIATA IL 30/07/2025)</t>
        </is>
      </c>
      <c r="Q1252" s="150" t="n"/>
      <c r="R1252" s="150" t="n"/>
      <c r="S1252" s="153" t="n"/>
    </row>
    <row r="1253" ht="36" customHeight="1">
      <c r="A1253" s="46" t="n">
        <v>3583</v>
      </c>
      <c r="B1253" s="4">
        <f>+VLOOKUP($A1253,MAGAZZINO!$B$2:$M$100000,2,FALSE)</f>
        <v/>
      </c>
      <c r="C1253" s="29">
        <f>+VLOOKUP($A1253,MAGAZZINO!$B$2:$M$100000,3,FALSE)</f>
        <v/>
      </c>
      <c r="D1253" s="3">
        <f>+VLOOKUP($A1253,MAGAZZINO!$B$2:$M$100000,4,FALSE)</f>
        <v/>
      </c>
      <c r="E1253" s="3">
        <f>+VLOOKUP($A1253,MAGAZZINO!$B$2:$M$100000,5,FALSE)</f>
        <v/>
      </c>
      <c r="F1253" s="3">
        <f>+VLOOKUP($A1253,MAGAZZINO!$B$2:$M$100000,6,FALSE)</f>
        <v/>
      </c>
      <c r="G1253" s="3">
        <f>+VLOOKUP($A1253,MAGAZZINO!$B$2:$M$100000,7,FALSE)</f>
        <v/>
      </c>
      <c r="H1253" s="3">
        <f>+VLOOKUP($A1253,MAGAZZINO!$B$2:$M$100000,8,FALSE)</f>
        <v/>
      </c>
      <c r="I1253" s="3">
        <f>+VLOOKUP($A1253,MAGAZZINO!$B$2:$M$100000,9,FALSE)</f>
        <v/>
      </c>
      <c r="J1253" s="3">
        <f>+VLOOKUP($A1253,MAGAZZINO!$B$2:$M$100000,10,FALSE)</f>
        <v/>
      </c>
      <c r="K1253" s="3">
        <f>+VLOOKUP($A1253,MAGAZZINO!$B$2:$M$100000,11,FALSE)</f>
        <v/>
      </c>
      <c r="L1253" s="5">
        <f>+VLOOKUP($A1253,MAGAZZINO!$B$2:$M$100000,12,FALSE)</f>
        <v/>
      </c>
      <c r="M1253" s="47" t="n"/>
      <c r="N1253" s="88" t="n">
        <v>45873</v>
      </c>
      <c r="O1253" s="156" t="inlineStr">
        <is>
          <t>BIN HUMAID NATIONAL TRADING CO. (ARABIA SAUDITA)</t>
        </is>
      </c>
      <c r="P1253" s="152" t="inlineStr">
        <is>
          <t xml:space="preserve">  IMPORT LICENSE N. 182480  (END USER CERTIFICATE)                                                                      AUT. ESPORTAZIONE MULTIPLA N. 6B/2025/2M RILASCIATA IL 26/05/2025                        (LICENZA DI SCARICO N. 6B/2025/2S RILASCIATA IL 30/07/2025)</t>
        </is>
      </c>
      <c r="Q1253" s="150" t="n"/>
      <c r="R1253" s="150" t="n"/>
      <c r="S1253" s="153" t="n"/>
    </row>
    <row r="1254" ht="36" customHeight="1">
      <c r="A1254" s="46" t="n">
        <v>3584</v>
      </c>
      <c r="B1254" s="4">
        <f>+VLOOKUP($A1254,MAGAZZINO!$B$2:$M$100000,2,FALSE)</f>
        <v/>
      </c>
      <c r="C1254" s="29">
        <f>+VLOOKUP($A1254,MAGAZZINO!$B$2:$M$100000,3,FALSE)</f>
        <v/>
      </c>
      <c r="D1254" s="3">
        <f>+VLOOKUP($A1254,MAGAZZINO!$B$2:$M$100000,4,FALSE)</f>
        <v/>
      </c>
      <c r="E1254" s="3">
        <f>+VLOOKUP($A1254,MAGAZZINO!$B$2:$M$100000,5,FALSE)</f>
        <v/>
      </c>
      <c r="F1254" s="3">
        <f>+VLOOKUP($A1254,MAGAZZINO!$B$2:$M$100000,6,FALSE)</f>
        <v/>
      </c>
      <c r="G1254" s="3">
        <f>+VLOOKUP($A1254,MAGAZZINO!$B$2:$M$100000,7,FALSE)</f>
        <v/>
      </c>
      <c r="H1254" s="3">
        <f>+VLOOKUP($A1254,MAGAZZINO!$B$2:$M$100000,8,FALSE)</f>
        <v/>
      </c>
      <c r="I1254" s="3">
        <f>+VLOOKUP($A1254,MAGAZZINO!$B$2:$M$100000,9,FALSE)</f>
        <v/>
      </c>
      <c r="J1254" s="3">
        <f>+VLOOKUP($A1254,MAGAZZINO!$B$2:$M$100000,10,FALSE)</f>
        <v/>
      </c>
      <c r="K1254" s="3">
        <f>+VLOOKUP($A1254,MAGAZZINO!$B$2:$M$100000,11,FALSE)</f>
        <v/>
      </c>
      <c r="L1254" s="5">
        <f>+VLOOKUP($A1254,MAGAZZINO!$B$2:$M$100000,12,FALSE)</f>
        <v/>
      </c>
      <c r="M1254" s="47" t="n"/>
      <c r="N1254" s="88" t="n">
        <v>45873</v>
      </c>
      <c r="O1254" s="156" t="inlineStr">
        <is>
          <t>BIN HUMAID NATIONAL TRADING CO. (ARABIA SAUDITA)</t>
        </is>
      </c>
      <c r="P1254" s="152" t="inlineStr">
        <is>
          <t xml:space="preserve">  IMPORT LICENSE N. 182480  (END USER CERTIFICATE)                                                                      AUT. ESPORTAZIONE MULTIPLA N. 6B/2025/2M RILASCIATA IL 26/05/2025                        (LICENZA DI SCARICO N. 6B/2025/2S RILASCIATA IL 30/07/2025)</t>
        </is>
      </c>
      <c r="Q1254" s="150" t="n"/>
      <c r="R1254" s="150" t="n"/>
      <c r="S1254" s="153" t="n"/>
    </row>
    <row r="1255" ht="36" customHeight="1">
      <c r="A1255" s="46" t="n">
        <v>3585</v>
      </c>
      <c r="B1255" s="4">
        <f>+VLOOKUP($A1255,MAGAZZINO!$B$2:$M$100000,2,FALSE)</f>
        <v/>
      </c>
      <c r="C1255" s="29">
        <f>+VLOOKUP($A1255,MAGAZZINO!$B$2:$M$100000,3,FALSE)</f>
        <v/>
      </c>
      <c r="D1255" s="3">
        <f>+VLOOKUP($A1255,MAGAZZINO!$B$2:$M$100000,4,FALSE)</f>
        <v/>
      </c>
      <c r="E1255" s="3">
        <f>+VLOOKUP($A1255,MAGAZZINO!$B$2:$M$100000,5,FALSE)</f>
        <v/>
      </c>
      <c r="F1255" s="3">
        <f>+VLOOKUP($A1255,MAGAZZINO!$B$2:$M$100000,6,FALSE)</f>
        <v/>
      </c>
      <c r="G1255" s="3">
        <f>+VLOOKUP($A1255,MAGAZZINO!$B$2:$M$100000,7,FALSE)</f>
        <v/>
      </c>
      <c r="H1255" s="3">
        <f>+VLOOKUP($A1255,MAGAZZINO!$B$2:$M$100000,8,FALSE)</f>
        <v/>
      </c>
      <c r="I1255" s="3">
        <f>+VLOOKUP($A1255,MAGAZZINO!$B$2:$M$100000,9,FALSE)</f>
        <v/>
      </c>
      <c r="J1255" s="3">
        <f>+VLOOKUP($A1255,MAGAZZINO!$B$2:$M$100000,10,FALSE)</f>
        <v/>
      </c>
      <c r="K1255" s="3">
        <f>+VLOOKUP($A1255,MAGAZZINO!$B$2:$M$100000,11,FALSE)</f>
        <v/>
      </c>
      <c r="L1255" s="5">
        <f>+VLOOKUP($A1255,MAGAZZINO!$B$2:$M$100000,12,FALSE)</f>
        <v/>
      </c>
      <c r="M1255" s="47" t="n"/>
      <c r="N1255" s="88" t="n">
        <v>45873</v>
      </c>
      <c r="O1255" s="156" t="inlineStr">
        <is>
          <t>BIN HUMAID NATIONAL TRADING CO. (ARABIA SAUDITA)</t>
        </is>
      </c>
      <c r="P1255" s="152" t="inlineStr">
        <is>
          <t xml:space="preserve">  IMPORT LICENSE N. 182480  (END USER CERTIFICATE)                                                                      AUT. ESPORTAZIONE MULTIPLA N. 6B/2025/2M RILASCIATA IL 26/05/2025                        (LICENZA DI SCARICO N. 6B/2025/2S RILASCIATA IL 30/07/2025)</t>
        </is>
      </c>
      <c r="Q1255" s="150" t="n"/>
      <c r="R1255" s="150" t="n"/>
      <c r="S1255" s="153" t="n"/>
    </row>
    <row r="1256" ht="36" customHeight="1">
      <c r="A1256" s="46" t="n">
        <v>3586</v>
      </c>
      <c r="B1256" s="4">
        <f>+VLOOKUP($A1256,MAGAZZINO!$B$2:$M$100000,2,FALSE)</f>
        <v/>
      </c>
      <c r="C1256" s="29">
        <f>+VLOOKUP($A1256,MAGAZZINO!$B$2:$M$100000,3,FALSE)</f>
        <v/>
      </c>
      <c r="D1256" s="3">
        <f>+VLOOKUP($A1256,MAGAZZINO!$B$2:$M$100000,4,FALSE)</f>
        <v/>
      </c>
      <c r="E1256" s="3">
        <f>+VLOOKUP($A1256,MAGAZZINO!$B$2:$M$100000,5,FALSE)</f>
        <v/>
      </c>
      <c r="F1256" s="3">
        <f>+VLOOKUP($A1256,MAGAZZINO!$B$2:$M$100000,6,FALSE)</f>
        <v/>
      </c>
      <c r="G1256" s="3">
        <f>+VLOOKUP($A1256,MAGAZZINO!$B$2:$M$100000,7,FALSE)</f>
        <v/>
      </c>
      <c r="H1256" s="3">
        <f>+VLOOKUP($A1256,MAGAZZINO!$B$2:$M$100000,8,FALSE)</f>
        <v/>
      </c>
      <c r="I1256" s="3">
        <f>+VLOOKUP($A1256,MAGAZZINO!$B$2:$M$100000,9,FALSE)</f>
        <v/>
      </c>
      <c r="J1256" s="3">
        <f>+VLOOKUP($A1256,MAGAZZINO!$B$2:$M$100000,10,FALSE)</f>
        <v/>
      </c>
      <c r="K1256" s="3">
        <f>+VLOOKUP($A1256,MAGAZZINO!$B$2:$M$100000,11,FALSE)</f>
        <v/>
      </c>
      <c r="L1256" s="5">
        <f>+VLOOKUP($A1256,MAGAZZINO!$B$2:$M$100000,12,FALSE)</f>
        <v/>
      </c>
      <c r="M1256" s="47" t="n"/>
      <c r="N1256" s="88" t="n">
        <v>45873</v>
      </c>
      <c r="O1256" s="156" t="inlineStr">
        <is>
          <t>BIN HUMAID NATIONAL TRADING CO. (ARABIA SAUDITA)</t>
        </is>
      </c>
      <c r="P1256" s="152" t="inlineStr">
        <is>
          <t xml:space="preserve">  IMPORT LICENSE N. 182480  (END USER CERTIFICATE)                                                                      AUT. ESPORTAZIONE MULTIPLA N. 6B/2025/2M RILASCIATA IL 26/05/2025                        (LICENZA DI SCARICO N. 6B/2025/2S RILASCIATA IL 30/07/2025)</t>
        </is>
      </c>
      <c r="Q1256" s="150" t="n"/>
      <c r="R1256" s="150" t="n"/>
      <c r="S1256" s="153" t="n"/>
    </row>
    <row r="1257" ht="36" customHeight="1">
      <c r="A1257" s="46" t="n">
        <v>3587</v>
      </c>
      <c r="B1257" s="4">
        <f>+VLOOKUP($A1257,MAGAZZINO!$B$2:$M$100000,2,FALSE)</f>
        <v/>
      </c>
      <c r="C1257" s="29">
        <f>+VLOOKUP($A1257,MAGAZZINO!$B$2:$M$100000,3,FALSE)</f>
        <v/>
      </c>
      <c r="D1257" s="3">
        <f>+VLOOKUP($A1257,MAGAZZINO!$B$2:$M$100000,4,FALSE)</f>
        <v/>
      </c>
      <c r="E1257" s="3">
        <f>+VLOOKUP($A1257,MAGAZZINO!$B$2:$M$100000,5,FALSE)</f>
        <v/>
      </c>
      <c r="F1257" s="3">
        <f>+VLOOKUP($A1257,MAGAZZINO!$B$2:$M$100000,6,FALSE)</f>
        <v/>
      </c>
      <c r="G1257" s="3">
        <f>+VLOOKUP($A1257,MAGAZZINO!$B$2:$M$100000,7,FALSE)</f>
        <v/>
      </c>
      <c r="H1257" s="3">
        <f>+VLOOKUP($A1257,MAGAZZINO!$B$2:$M$100000,8,FALSE)</f>
        <v/>
      </c>
      <c r="I1257" s="3">
        <f>+VLOOKUP($A1257,MAGAZZINO!$B$2:$M$100000,9,FALSE)</f>
        <v/>
      </c>
      <c r="J1257" s="3">
        <f>+VLOOKUP($A1257,MAGAZZINO!$B$2:$M$100000,10,FALSE)</f>
        <v/>
      </c>
      <c r="K1257" s="3">
        <f>+VLOOKUP($A1257,MAGAZZINO!$B$2:$M$100000,11,FALSE)</f>
        <v/>
      </c>
      <c r="L1257" s="5">
        <f>+VLOOKUP($A1257,MAGAZZINO!$B$2:$M$100000,12,FALSE)</f>
        <v/>
      </c>
      <c r="M1257" s="47" t="n"/>
      <c r="N1257" s="88" t="n">
        <v>45873</v>
      </c>
      <c r="O1257" s="156" t="inlineStr">
        <is>
          <t>BIN HUMAID NATIONAL TRADING CO. (ARABIA SAUDITA)</t>
        </is>
      </c>
      <c r="P1257" s="152" t="inlineStr">
        <is>
          <t xml:space="preserve">  IMPORT LICENSE N. 182480  (END USER CERTIFICATE)                                                                      AUT. ESPORTAZIONE MULTIPLA N. 6B/2025/2M RILASCIATA IL 26/05/2025                        (LICENZA DI SCARICO N. 6B/2025/2S RILASCIATA IL 30/07/2025)</t>
        </is>
      </c>
      <c r="Q1257" s="150" t="n"/>
      <c r="R1257" s="150" t="n"/>
      <c r="S1257" s="153" t="n"/>
    </row>
    <row r="1258" ht="36" customHeight="1">
      <c r="A1258" s="46" t="n">
        <v>3588</v>
      </c>
      <c r="B1258" s="4">
        <f>+VLOOKUP($A1258,MAGAZZINO!$B$2:$M$100000,2,FALSE)</f>
        <v/>
      </c>
      <c r="C1258" s="29">
        <f>+VLOOKUP($A1258,MAGAZZINO!$B$2:$M$100000,3,FALSE)</f>
        <v/>
      </c>
      <c r="D1258" s="3">
        <f>+VLOOKUP($A1258,MAGAZZINO!$B$2:$M$100000,4,FALSE)</f>
        <v/>
      </c>
      <c r="E1258" s="3">
        <f>+VLOOKUP($A1258,MAGAZZINO!$B$2:$M$100000,5,FALSE)</f>
        <v/>
      </c>
      <c r="F1258" s="3">
        <f>+VLOOKUP($A1258,MAGAZZINO!$B$2:$M$100000,6,FALSE)</f>
        <v/>
      </c>
      <c r="G1258" s="3">
        <f>+VLOOKUP($A1258,MAGAZZINO!$B$2:$M$100000,7,FALSE)</f>
        <v/>
      </c>
      <c r="H1258" s="3">
        <f>+VLOOKUP($A1258,MAGAZZINO!$B$2:$M$100000,8,FALSE)</f>
        <v/>
      </c>
      <c r="I1258" s="3">
        <f>+VLOOKUP($A1258,MAGAZZINO!$B$2:$M$100000,9,FALSE)</f>
        <v/>
      </c>
      <c r="J1258" s="3">
        <f>+VLOOKUP($A1258,MAGAZZINO!$B$2:$M$100000,10,FALSE)</f>
        <v/>
      </c>
      <c r="K1258" s="3">
        <f>+VLOOKUP($A1258,MAGAZZINO!$B$2:$M$100000,11,FALSE)</f>
        <v/>
      </c>
      <c r="L1258" s="5">
        <f>+VLOOKUP($A1258,MAGAZZINO!$B$2:$M$100000,12,FALSE)</f>
        <v/>
      </c>
      <c r="M1258" s="47" t="n"/>
      <c r="N1258" s="88" t="n">
        <v>45873</v>
      </c>
      <c r="O1258" s="156" t="inlineStr">
        <is>
          <t>BIN HUMAID NATIONAL TRADING CO. (ARABIA SAUDITA)</t>
        </is>
      </c>
      <c r="P1258" s="152" t="inlineStr">
        <is>
          <t xml:space="preserve">  IMPORT LICENSE N. 182480  (END USER CERTIFICATE)                                                                      AUT. ESPORTAZIONE MULTIPLA N. 6B/2025/2M RILASCIATA IL 26/05/2025                        (LICENZA DI SCARICO N. 6B/2025/2S RILASCIATA IL 30/07/2025)</t>
        </is>
      </c>
      <c r="Q1258" s="150" t="n"/>
      <c r="R1258" s="150" t="n"/>
      <c r="S1258" s="153" t="n"/>
    </row>
    <row r="1259" ht="36" customHeight="1">
      <c r="A1259" s="46" t="n">
        <v>3589</v>
      </c>
      <c r="B1259" s="4">
        <f>+VLOOKUP($A1259,MAGAZZINO!$B$2:$M$100000,2,FALSE)</f>
        <v/>
      </c>
      <c r="C1259" s="29">
        <f>+VLOOKUP($A1259,MAGAZZINO!$B$2:$M$100000,3,FALSE)</f>
        <v/>
      </c>
      <c r="D1259" s="3">
        <f>+VLOOKUP($A1259,MAGAZZINO!$B$2:$M$100000,4,FALSE)</f>
        <v/>
      </c>
      <c r="E1259" s="3">
        <f>+VLOOKUP($A1259,MAGAZZINO!$B$2:$M$100000,5,FALSE)</f>
        <v/>
      </c>
      <c r="F1259" s="3">
        <f>+VLOOKUP($A1259,MAGAZZINO!$B$2:$M$100000,6,FALSE)</f>
        <v/>
      </c>
      <c r="G1259" s="3">
        <f>+VLOOKUP($A1259,MAGAZZINO!$B$2:$M$100000,7,FALSE)</f>
        <v/>
      </c>
      <c r="H1259" s="3">
        <f>+VLOOKUP($A1259,MAGAZZINO!$B$2:$M$100000,8,FALSE)</f>
        <v/>
      </c>
      <c r="I1259" s="3">
        <f>+VLOOKUP($A1259,MAGAZZINO!$B$2:$M$100000,9,FALSE)</f>
        <v/>
      </c>
      <c r="J1259" s="3">
        <f>+VLOOKUP($A1259,MAGAZZINO!$B$2:$M$100000,10,FALSE)</f>
        <v/>
      </c>
      <c r="K1259" s="3">
        <f>+VLOOKUP($A1259,MAGAZZINO!$B$2:$M$100000,11,FALSE)</f>
        <v/>
      </c>
      <c r="L1259" s="5">
        <f>+VLOOKUP($A1259,MAGAZZINO!$B$2:$M$100000,12,FALSE)</f>
        <v/>
      </c>
      <c r="M1259" s="47" t="n"/>
      <c r="N1259" s="88" t="n">
        <v>45873</v>
      </c>
      <c r="O1259" s="156" t="inlineStr">
        <is>
          <t>BIN HUMAID NATIONAL TRADING CO. (ARABIA SAUDITA)</t>
        </is>
      </c>
      <c r="P1259" s="152" t="inlineStr">
        <is>
          <t xml:space="preserve">  IMPORT LICENSE N. 182480  (END USER CERTIFICATE)                                                                      AUT. ESPORTAZIONE MULTIPLA N. 6B/2025/2M RILASCIATA IL 26/05/2025                        (LICENZA DI SCARICO N. 6B/2025/2S RILASCIATA IL 30/07/2025)</t>
        </is>
      </c>
      <c r="Q1259" s="150" t="n"/>
      <c r="R1259" s="150" t="n"/>
      <c r="S1259" s="153" t="n"/>
    </row>
    <row r="1260" ht="36" customHeight="1">
      <c r="A1260" s="46" t="n">
        <v>3590</v>
      </c>
      <c r="B1260" s="4">
        <f>+VLOOKUP($A1260,MAGAZZINO!$B$2:$M$100000,2,FALSE)</f>
        <v/>
      </c>
      <c r="C1260" s="29">
        <f>+VLOOKUP($A1260,MAGAZZINO!$B$2:$M$100000,3,FALSE)</f>
        <v/>
      </c>
      <c r="D1260" s="3">
        <f>+VLOOKUP($A1260,MAGAZZINO!$B$2:$M$100000,4,FALSE)</f>
        <v/>
      </c>
      <c r="E1260" s="3">
        <f>+VLOOKUP($A1260,MAGAZZINO!$B$2:$M$100000,5,FALSE)</f>
        <v/>
      </c>
      <c r="F1260" s="3">
        <f>+VLOOKUP($A1260,MAGAZZINO!$B$2:$M$100000,6,FALSE)</f>
        <v/>
      </c>
      <c r="G1260" s="3">
        <f>+VLOOKUP($A1260,MAGAZZINO!$B$2:$M$100000,7,FALSE)</f>
        <v/>
      </c>
      <c r="H1260" s="3">
        <f>+VLOOKUP($A1260,MAGAZZINO!$B$2:$M$100000,8,FALSE)</f>
        <v/>
      </c>
      <c r="I1260" s="3">
        <f>+VLOOKUP($A1260,MAGAZZINO!$B$2:$M$100000,9,FALSE)</f>
        <v/>
      </c>
      <c r="J1260" s="3">
        <f>+VLOOKUP($A1260,MAGAZZINO!$B$2:$M$100000,10,FALSE)</f>
        <v/>
      </c>
      <c r="K1260" s="3">
        <f>+VLOOKUP($A1260,MAGAZZINO!$B$2:$M$100000,11,FALSE)</f>
        <v/>
      </c>
      <c r="L1260" s="5">
        <f>+VLOOKUP($A1260,MAGAZZINO!$B$2:$M$100000,12,FALSE)</f>
        <v/>
      </c>
      <c r="M1260" s="47" t="n"/>
      <c r="N1260" s="88" t="n">
        <v>45873</v>
      </c>
      <c r="O1260" s="156" t="inlineStr">
        <is>
          <t>BIN HUMAID NATIONAL TRADING CO. (ARABIA SAUDITA)</t>
        </is>
      </c>
      <c r="P1260" s="152" t="inlineStr">
        <is>
          <t xml:space="preserve">  IMPORT LICENSE N. 182480  (END USER CERTIFICATE)                                                                      AUT. ESPORTAZIONE MULTIPLA N. 6B/2025/2M RILASCIATA IL 26/05/2025                        (LICENZA DI SCARICO N. 6B/2025/2S RILASCIATA IL 30/07/2025)</t>
        </is>
      </c>
      <c r="Q1260" s="150" t="n"/>
      <c r="R1260" s="150" t="n"/>
      <c r="S1260" s="153" t="n"/>
    </row>
    <row r="1261" ht="36" customHeight="1">
      <c r="A1261" s="46" t="n">
        <v>3591</v>
      </c>
      <c r="B1261" s="4">
        <f>+VLOOKUP($A1261,MAGAZZINO!$B$2:$M$100000,2,FALSE)</f>
        <v/>
      </c>
      <c r="C1261" s="29">
        <f>+VLOOKUP($A1261,MAGAZZINO!$B$2:$M$100000,3,FALSE)</f>
        <v/>
      </c>
      <c r="D1261" s="3">
        <f>+VLOOKUP($A1261,MAGAZZINO!$B$2:$M$100000,4,FALSE)</f>
        <v/>
      </c>
      <c r="E1261" s="3">
        <f>+VLOOKUP($A1261,MAGAZZINO!$B$2:$M$100000,5,FALSE)</f>
        <v/>
      </c>
      <c r="F1261" s="3">
        <f>+VLOOKUP($A1261,MAGAZZINO!$B$2:$M$100000,6,FALSE)</f>
        <v/>
      </c>
      <c r="G1261" s="3">
        <f>+VLOOKUP($A1261,MAGAZZINO!$B$2:$M$100000,7,FALSE)</f>
        <v/>
      </c>
      <c r="H1261" s="3">
        <f>+VLOOKUP($A1261,MAGAZZINO!$B$2:$M$100000,8,FALSE)</f>
        <v/>
      </c>
      <c r="I1261" s="3">
        <f>+VLOOKUP($A1261,MAGAZZINO!$B$2:$M$100000,9,FALSE)</f>
        <v/>
      </c>
      <c r="J1261" s="3">
        <f>+VLOOKUP($A1261,MAGAZZINO!$B$2:$M$100000,10,FALSE)</f>
        <v/>
      </c>
      <c r="K1261" s="3">
        <f>+VLOOKUP($A1261,MAGAZZINO!$B$2:$M$100000,11,FALSE)</f>
        <v/>
      </c>
      <c r="L1261" s="5">
        <f>+VLOOKUP($A1261,MAGAZZINO!$B$2:$M$100000,12,FALSE)</f>
        <v/>
      </c>
      <c r="M1261" s="47" t="n"/>
      <c r="N1261" s="88" t="n">
        <v>45873</v>
      </c>
      <c r="O1261" s="156" t="inlineStr">
        <is>
          <t>BIN HUMAID NATIONAL TRADING CO. (ARABIA SAUDITA)</t>
        </is>
      </c>
      <c r="P1261" s="152" t="inlineStr">
        <is>
          <t xml:space="preserve">  IMPORT LICENSE N. 182480  (END USER CERTIFICATE)                                                                      AUT. ESPORTAZIONE MULTIPLA N. 6B/2025/2M RILASCIATA IL 26/05/2025                        (LICENZA DI SCARICO N. 6B/2025/2S RILASCIATA IL 30/07/2025)</t>
        </is>
      </c>
      <c r="Q1261" s="150" t="n"/>
      <c r="R1261" s="150" t="n"/>
      <c r="S1261" s="153" t="n"/>
    </row>
    <row r="1262" ht="36" customHeight="1">
      <c r="A1262" s="46" t="n">
        <v>3592</v>
      </c>
      <c r="B1262" s="4">
        <f>+VLOOKUP($A1262,MAGAZZINO!$B$2:$M$100000,2,FALSE)</f>
        <v/>
      </c>
      <c r="C1262" s="29">
        <f>+VLOOKUP($A1262,MAGAZZINO!$B$2:$M$100000,3,FALSE)</f>
        <v/>
      </c>
      <c r="D1262" s="3">
        <f>+VLOOKUP($A1262,MAGAZZINO!$B$2:$M$100000,4,FALSE)</f>
        <v/>
      </c>
      <c r="E1262" s="3">
        <f>+VLOOKUP($A1262,MAGAZZINO!$B$2:$M$100000,5,FALSE)</f>
        <v/>
      </c>
      <c r="F1262" s="3">
        <f>+VLOOKUP($A1262,MAGAZZINO!$B$2:$M$100000,6,FALSE)</f>
        <v/>
      </c>
      <c r="G1262" s="3">
        <f>+VLOOKUP($A1262,MAGAZZINO!$B$2:$M$100000,7,FALSE)</f>
        <v/>
      </c>
      <c r="H1262" s="3">
        <f>+VLOOKUP($A1262,MAGAZZINO!$B$2:$M$100000,8,FALSE)</f>
        <v/>
      </c>
      <c r="I1262" s="3">
        <f>+VLOOKUP($A1262,MAGAZZINO!$B$2:$M$100000,9,FALSE)</f>
        <v/>
      </c>
      <c r="J1262" s="3">
        <f>+VLOOKUP($A1262,MAGAZZINO!$B$2:$M$100000,10,FALSE)</f>
        <v/>
      </c>
      <c r="K1262" s="3">
        <f>+VLOOKUP($A1262,MAGAZZINO!$B$2:$M$100000,11,FALSE)</f>
        <v/>
      </c>
      <c r="L1262" s="5">
        <f>+VLOOKUP($A1262,MAGAZZINO!$B$2:$M$100000,12,FALSE)</f>
        <v/>
      </c>
      <c r="M1262" s="47" t="n"/>
      <c r="N1262" s="88" t="n">
        <v>45873</v>
      </c>
      <c r="O1262" s="156" t="inlineStr">
        <is>
          <t>BIN HUMAID NATIONAL TRADING CO. (ARABIA SAUDITA)</t>
        </is>
      </c>
      <c r="P1262" s="152" t="inlineStr">
        <is>
          <t xml:space="preserve">  IMPORT LICENSE N. 182480  (END USER CERTIFICATE)                                                                      AUT. ESPORTAZIONE MULTIPLA N. 6B/2025/2M RILASCIATA IL 26/05/2025                        (LICENZA DI SCARICO N. 6B/2025/2S RILASCIATA IL 30/07/2025)</t>
        </is>
      </c>
      <c r="Q1262" s="150" t="n"/>
      <c r="R1262" s="150" t="n"/>
      <c r="S1262" s="153" t="n"/>
    </row>
    <row r="1263" ht="36" customHeight="1">
      <c r="A1263" s="46" t="n">
        <v>3593</v>
      </c>
      <c r="B1263" s="4">
        <f>+VLOOKUP($A1263,MAGAZZINO!$B$2:$M$100000,2,FALSE)</f>
        <v/>
      </c>
      <c r="C1263" s="29">
        <f>+VLOOKUP($A1263,MAGAZZINO!$B$2:$M$100000,3,FALSE)</f>
        <v/>
      </c>
      <c r="D1263" s="3">
        <f>+VLOOKUP($A1263,MAGAZZINO!$B$2:$M$100000,4,FALSE)</f>
        <v/>
      </c>
      <c r="E1263" s="3">
        <f>+VLOOKUP($A1263,MAGAZZINO!$B$2:$M$100000,5,FALSE)</f>
        <v/>
      </c>
      <c r="F1263" s="3">
        <f>+VLOOKUP($A1263,MAGAZZINO!$B$2:$M$100000,6,FALSE)</f>
        <v/>
      </c>
      <c r="G1263" s="3">
        <f>+VLOOKUP($A1263,MAGAZZINO!$B$2:$M$100000,7,FALSE)</f>
        <v/>
      </c>
      <c r="H1263" s="3">
        <f>+VLOOKUP($A1263,MAGAZZINO!$B$2:$M$100000,8,FALSE)</f>
        <v/>
      </c>
      <c r="I1263" s="3">
        <f>+VLOOKUP($A1263,MAGAZZINO!$B$2:$M$100000,9,FALSE)</f>
        <v/>
      </c>
      <c r="J1263" s="3">
        <f>+VLOOKUP($A1263,MAGAZZINO!$B$2:$M$100000,10,FALSE)</f>
        <v/>
      </c>
      <c r="K1263" s="3">
        <f>+VLOOKUP($A1263,MAGAZZINO!$B$2:$M$100000,11,FALSE)</f>
        <v/>
      </c>
      <c r="L1263" s="5">
        <f>+VLOOKUP($A1263,MAGAZZINO!$B$2:$M$100000,12,FALSE)</f>
        <v/>
      </c>
      <c r="M1263" s="47" t="n"/>
      <c r="N1263" s="88" t="n">
        <v>45873</v>
      </c>
      <c r="O1263" s="156" t="inlineStr">
        <is>
          <t>BIN HUMAID NATIONAL TRADING CO. (ARABIA SAUDITA)</t>
        </is>
      </c>
      <c r="P1263" s="152" t="inlineStr">
        <is>
          <t xml:space="preserve">  IMPORT LICENSE N. 182480  (END USER CERTIFICATE)                                                                      AUT. ESPORTAZIONE MULTIPLA N. 6B/2025/2M RILASCIATA IL 26/05/2025                        (LICENZA DI SCARICO N. 6B/2025/2S RILASCIATA IL 30/07/2025)</t>
        </is>
      </c>
      <c r="Q1263" s="150" t="n"/>
      <c r="R1263" s="150" t="n"/>
      <c r="S1263" s="153" t="n"/>
    </row>
    <row r="1264" ht="36" customHeight="1">
      <c r="A1264" s="46" t="n">
        <v>3594</v>
      </c>
      <c r="B1264" s="4">
        <f>+VLOOKUP($A1264,MAGAZZINO!$B$2:$M$100000,2,FALSE)</f>
        <v/>
      </c>
      <c r="C1264" s="29">
        <f>+VLOOKUP($A1264,MAGAZZINO!$B$2:$M$100000,3,FALSE)</f>
        <v/>
      </c>
      <c r="D1264" s="3">
        <f>+VLOOKUP($A1264,MAGAZZINO!$B$2:$M$100000,4,FALSE)</f>
        <v/>
      </c>
      <c r="E1264" s="3">
        <f>+VLOOKUP($A1264,MAGAZZINO!$B$2:$M$100000,5,FALSE)</f>
        <v/>
      </c>
      <c r="F1264" s="3">
        <f>+VLOOKUP($A1264,MAGAZZINO!$B$2:$M$100000,6,FALSE)</f>
        <v/>
      </c>
      <c r="G1264" s="3">
        <f>+VLOOKUP($A1264,MAGAZZINO!$B$2:$M$100000,7,FALSE)</f>
        <v/>
      </c>
      <c r="H1264" s="3">
        <f>+VLOOKUP($A1264,MAGAZZINO!$B$2:$M$100000,8,FALSE)</f>
        <v/>
      </c>
      <c r="I1264" s="3">
        <f>+VLOOKUP($A1264,MAGAZZINO!$B$2:$M$100000,9,FALSE)</f>
        <v/>
      </c>
      <c r="J1264" s="3">
        <f>+VLOOKUP($A1264,MAGAZZINO!$B$2:$M$100000,10,FALSE)</f>
        <v/>
      </c>
      <c r="K1264" s="3">
        <f>+VLOOKUP($A1264,MAGAZZINO!$B$2:$M$100000,11,FALSE)</f>
        <v/>
      </c>
      <c r="L1264" s="5">
        <f>+VLOOKUP($A1264,MAGAZZINO!$B$2:$M$100000,12,FALSE)</f>
        <v/>
      </c>
      <c r="M1264" s="47" t="n"/>
      <c r="N1264" s="88" t="n">
        <v>45873</v>
      </c>
      <c r="O1264" s="156" t="inlineStr">
        <is>
          <t>BIN HUMAID NATIONAL TRADING CO. (ARABIA SAUDITA)</t>
        </is>
      </c>
      <c r="P1264" s="152" t="inlineStr">
        <is>
          <t xml:space="preserve">  IMPORT LICENSE N. 182480  (END USER CERTIFICATE)                                                                      AUT. ESPORTAZIONE MULTIPLA N. 6B/2025/2M RILASCIATA IL 26/05/2025                        (LICENZA DI SCARICO N. 6B/2025/2S RILASCIATA IL 30/07/2025)</t>
        </is>
      </c>
      <c r="Q1264" s="150" t="n"/>
      <c r="R1264" s="150" t="n"/>
      <c r="S1264" s="153" t="n"/>
    </row>
    <row r="1265" ht="36" customHeight="1">
      <c r="A1265" s="46" t="n">
        <v>3595</v>
      </c>
      <c r="B1265" s="4">
        <f>+VLOOKUP($A1265,MAGAZZINO!$B$2:$M$100000,2,FALSE)</f>
        <v/>
      </c>
      <c r="C1265" s="29">
        <f>+VLOOKUP($A1265,MAGAZZINO!$B$2:$M$100000,3,FALSE)</f>
        <v/>
      </c>
      <c r="D1265" s="3">
        <f>+VLOOKUP($A1265,MAGAZZINO!$B$2:$M$100000,4,FALSE)</f>
        <v/>
      </c>
      <c r="E1265" s="3">
        <f>+VLOOKUP($A1265,MAGAZZINO!$B$2:$M$100000,5,FALSE)</f>
        <v/>
      </c>
      <c r="F1265" s="3">
        <f>+VLOOKUP($A1265,MAGAZZINO!$B$2:$M$100000,6,FALSE)</f>
        <v/>
      </c>
      <c r="G1265" s="3">
        <f>+VLOOKUP($A1265,MAGAZZINO!$B$2:$M$100000,7,FALSE)</f>
        <v/>
      </c>
      <c r="H1265" s="3">
        <f>+VLOOKUP($A1265,MAGAZZINO!$B$2:$M$100000,8,FALSE)</f>
        <v/>
      </c>
      <c r="I1265" s="3">
        <f>+VLOOKUP($A1265,MAGAZZINO!$B$2:$M$100000,9,FALSE)</f>
        <v/>
      </c>
      <c r="J1265" s="3">
        <f>+VLOOKUP($A1265,MAGAZZINO!$B$2:$M$100000,10,FALSE)</f>
        <v/>
      </c>
      <c r="K1265" s="3">
        <f>+VLOOKUP($A1265,MAGAZZINO!$B$2:$M$100000,11,FALSE)</f>
        <v/>
      </c>
      <c r="L1265" s="5">
        <f>+VLOOKUP($A1265,MAGAZZINO!$B$2:$M$100000,12,FALSE)</f>
        <v/>
      </c>
      <c r="M1265" s="47" t="n"/>
      <c r="N1265" s="88" t="n">
        <v>45873</v>
      </c>
      <c r="O1265" s="156" t="inlineStr">
        <is>
          <t>BIN HUMAID NATIONAL TRADING CO. (ARABIA SAUDITA)</t>
        </is>
      </c>
      <c r="P1265" s="152" t="inlineStr">
        <is>
          <t xml:space="preserve">  IMPORT LICENSE N. 182480  (END USER CERTIFICATE)                                                                      AUT. ESPORTAZIONE MULTIPLA N. 6B/2025/2M RILASCIATA IL 26/05/2025                        (LICENZA DI SCARICO N. 6B/2025/2S RILASCIATA IL 30/07/2025)</t>
        </is>
      </c>
      <c r="Q1265" s="150" t="n"/>
      <c r="R1265" s="150" t="n"/>
      <c r="S1265" s="153" t="n"/>
    </row>
    <row r="1266" ht="36" customHeight="1">
      <c r="A1266" s="46" t="n">
        <v>3596</v>
      </c>
      <c r="B1266" s="4">
        <f>+VLOOKUP($A1266,MAGAZZINO!$B$2:$M$100000,2,FALSE)</f>
        <v/>
      </c>
      <c r="C1266" s="29">
        <f>+VLOOKUP($A1266,MAGAZZINO!$B$2:$M$100000,3,FALSE)</f>
        <v/>
      </c>
      <c r="D1266" s="3">
        <f>+VLOOKUP($A1266,MAGAZZINO!$B$2:$M$100000,4,FALSE)</f>
        <v/>
      </c>
      <c r="E1266" s="3">
        <f>+VLOOKUP($A1266,MAGAZZINO!$B$2:$M$100000,5,FALSE)</f>
        <v/>
      </c>
      <c r="F1266" s="3">
        <f>+VLOOKUP($A1266,MAGAZZINO!$B$2:$M$100000,6,FALSE)</f>
        <v/>
      </c>
      <c r="G1266" s="3">
        <f>+VLOOKUP($A1266,MAGAZZINO!$B$2:$M$100000,7,FALSE)</f>
        <v/>
      </c>
      <c r="H1266" s="3">
        <f>+VLOOKUP($A1266,MAGAZZINO!$B$2:$M$100000,8,FALSE)</f>
        <v/>
      </c>
      <c r="I1266" s="3">
        <f>+VLOOKUP($A1266,MAGAZZINO!$B$2:$M$100000,9,FALSE)</f>
        <v/>
      </c>
      <c r="J1266" s="3">
        <f>+VLOOKUP($A1266,MAGAZZINO!$B$2:$M$100000,10,FALSE)</f>
        <v/>
      </c>
      <c r="K1266" s="3">
        <f>+VLOOKUP($A1266,MAGAZZINO!$B$2:$M$100000,11,FALSE)</f>
        <v/>
      </c>
      <c r="L1266" s="5">
        <f>+VLOOKUP($A1266,MAGAZZINO!$B$2:$M$100000,12,FALSE)</f>
        <v/>
      </c>
      <c r="M1266" s="47" t="n"/>
      <c r="N1266" s="88" t="n">
        <v>45873</v>
      </c>
      <c r="O1266" s="156" t="inlineStr">
        <is>
          <t>BIN HUMAID NATIONAL TRADING CO. (ARABIA SAUDITA)</t>
        </is>
      </c>
      <c r="P1266" s="152" t="inlineStr">
        <is>
          <t xml:space="preserve">  IMPORT LICENSE N. 182480  (END USER CERTIFICATE)                                                                      AUT. ESPORTAZIONE MULTIPLA N. 6B/2025/2M RILASCIATA IL 26/05/2025                        (LICENZA DI SCARICO N. 6B/2025/2S RILASCIATA IL 30/07/2025)</t>
        </is>
      </c>
      <c r="Q1266" s="150" t="n"/>
      <c r="R1266" s="150" t="n"/>
      <c r="S1266" s="153" t="n"/>
    </row>
    <row r="1267" ht="36" customHeight="1">
      <c r="A1267" s="46" t="n">
        <v>3597</v>
      </c>
      <c r="B1267" s="4">
        <f>+VLOOKUP($A1267,MAGAZZINO!$B$2:$M$100000,2,FALSE)</f>
        <v/>
      </c>
      <c r="C1267" s="29">
        <f>+VLOOKUP($A1267,MAGAZZINO!$B$2:$M$100000,3,FALSE)</f>
        <v/>
      </c>
      <c r="D1267" s="3">
        <f>+VLOOKUP($A1267,MAGAZZINO!$B$2:$M$100000,4,FALSE)</f>
        <v/>
      </c>
      <c r="E1267" s="3">
        <f>+VLOOKUP($A1267,MAGAZZINO!$B$2:$M$100000,5,FALSE)</f>
        <v/>
      </c>
      <c r="F1267" s="3">
        <f>+VLOOKUP($A1267,MAGAZZINO!$B$2:$M$100000,6,FALSE)</f>
        <v/>
      </c>
      <c r="G1267" s="3">
        <f>+VLOOKUP($A1267,MAGAZZINO!$B$2:$M$100000,7,FALSE)</f>
        <v/>
      </c>
      <c r="H1267" s="3">
        <f>+VLOOKUP($A1267,MAGAZZINO!$B$2:$M$100000,8,FALSE)</f>
        <v/>
      </c>
      <c r="I1267" s="3">
        <f>+VLOOKUP($A1267,MAGAZZINO!$B$2:$M$100000,9,FALSE)</f>
        <v/>
      </c>
      <c r="J1267" s="3">
        <f>+VLOOKUP($A1267,MAGAZZINO!$B$2:$M$100000,10,FALSE)</f>
        <v/>
      </c>
      <c r="K1267" s="3">
        <f>+VLOOKUP($A1267,MAGAZZINO!$B$2:$M$100000,11,FALSE)</f>
        <v/>
      </c>
      <c r="L1267" s="5">
        <f>+VLOOKUP($A1267,MAGAZZINO!$B$2:$M$100000,12,FALSE)</f>
        <v/>
      </c>
      <c r="M1267" s="47" t="n"/>
      <c r="N1267" s="88" t="n">
        <v>45873</v>
      </c>
      <c r="O1267" s="156" t="inlineStr">
        <is>
          <t>BIN HUMAID NATIONAL TRADING CO. (ARABIA SAUDITA)</t>
        </is>
      </c>
      <c r="P1267" s="152" t="inlineStr">
        <is>
          <t xml:space="preserve">  IMPORT LICENSE N. 182480  (END USER CERTIFICATE)                                                                      AUT. ESPORTAZIONE MULTIPLA N. 6B/2025/2M RILASCIATA IL 26/05/2025                        (LICENZA DI SCARICO N. 6B/2025/2S RILASCIATA IL 30/07/2025)</t>
        </is>
      </c>
      <c r="Q1267" s="150" t="n"/>
      <c r="R1267" s="150" t="n"/>
      <c r="S1267" s="153" t="n"/>
    </row>
    <row r="1268" ht="36" customHeight="1">
      <c r="A1268" s="46" t="n">
        <v>3598</v>
      </c>
      <c r="B1268" s="4">
        <f>+VLOOKUP($A1268,MAGAZZINO!$B$2:$M$100000,2,FALSE)</f>
        <v/>
      </c>
      <c r="C1268" s="29">
        <f>+VLOOKUP($A1268,MAGAZZINO!$B$2:$M$100000,3,FALSE)</f>
        <v/>
      </c>
      <c r="D1268" s="3">
        <f>+VLOOKUP($A1268,MAGAZZINO!$B$2:$M$100000,4,FALSE)</f>
        <v/>
      </c>
      <c r="E1268" s="3">
        <f>+VLOOKUP($A1268,MAGAZZINO!$B$2:$M$100000,5,FALSE)</f>
        <v/>
      </c>
      <c r="F1268" s="3">
        <f>+VLOOKUP($A1268,MAGAZZINO!$B$2:$M$100000,6,FALSE)</f>
        <v/>
      </c>
      <c r="G1268" s="3">
        <f>+VLOOKUP($A1268,MAGAZZINO!$B$2:$M$100000,7,FALSE)</f>
        <v/>
      </c>
      <c r="H1268" s="3">
        <f>+VLOOKUP($A1268,MAGAZZINO!$B$2:$M$100000,8,FALSE)</f>
        <v/>
      </c>
      <c r="I1268" s="3">
        <f>+VLOOKUP($A1268,MAGAZZINO!$B$2:$M$100000,9,FALSE)</f>
        <v/>
      </c>
      <c r="J1268" s="3">
        <f>+VLOOKUP($A1268,MAGAZZINO!$B$2:$M$100000,10,FALSE)</f>
        <v/>
      </c>
      <c r="K1268" s="3">
        <f>+VLOOKUP($A1268,MAGAZZINO!$B$2:$M$100000,11,FALSE)</f>
        <v/>
      </c>
      <c r="L1268" s="5">
        <f>+VLOOKUP($A1268,MAGAZZINO!$B$2:$M$100000,12,FALSE)</f>
        <v/>
      </c>
      <c r="M1268" s="47" t="n"/>
      <c r="N1268" s="88" t="n">
        <v>45873</v>
      </c>
      <c r="O1268" s="156" t="inlineStr">
        <is>
          <t>BIN HUMAID NATIONAL TRADING CO. (ARABIA SAUDITA)</t>
        </is>
      </c>
      <c r="P1268" s="152" t="inlineStr">
        <is>
          <t xml:space="preserve">  IMPORT LICENSE N. 182480  (END USER CERTIFICATE)                                                                      AUT. ESPORTAZIONE MULTIPLA N. 6B/2025/2M RILASCIATA IL 26/05/2025                        (LICENZA DI SCARICO N. 6B/2025/2S RILASCIATA IL 30/07/2025)</t>
        </is>
      </c>
      <c r="Q1268" s="150" t="n"/>
      <c r="R1268" s="150" t="n"/>
      <c r="S1268" s="153" t="n"/>
    </row>
    <row r="1269" ht="36" customHeight="1">
      <c r="A1269" s="46" t="n">
        <v>3599</v>
      </c>
      <c r="B1269" s="4">
        <f>+VLOOKUP($A1269,MAGAZZINO!$B$2:$M$100000,2,FALSE)</f>
        <v/>
      </c>
      <c r="C1269" s="29">
        <f>+VLOOKUP($A1269,MAGAZZINO!$B$2:$M$100000,3,FALSE)</f>
        <v/>
      </c>
      <c r="D1269" s="3">
        <f>+VLOOKUP($A1269,MAGAZZINO!$B$2:$M$100000,4,FALSE)</f>
        <v/>
      </c>
      <c r="E1269" s="3">
        <f>+VLOOKUP($A1269,MAGAZZINO!$B$2:$M$100000,5,FALSE)</f>
        <v/>
      </c>
      <c r="F1269" s="3">
        <f>+VLOOKUP($A1269,MAGAZZINO!$B$2:$M$100000,6,FALSE)</f>
        <v/>
      </c>
      <c r="G1269" s="3">
        <f>+VLOOKUP($A1269,MAGAZZINO!$B$2:$M$100000,7,FALSE)</f>
        <v/>
      </c>
      <c r="H1269" s="3">
        <f>+VLOOKUP($A1269,MAGAZZINO!$B$2:$M$100000,8,FALSE)</f>
        <v/>
      </c>
      <c r="I1269" s="3">
        <f>+VLOOKUP($A1269,MAGAZZINO!$B$2:$M$100000,9,FALSE)</f>
        <v/>
      </c>
      <c r="J1269" s="3">
        <f>+VLOOKUP($A1269,MAGAZZINO!$B$2:$M$100000,10,FALSE)</f>
        <v/>
      </c>
      <c r="K1269" s="3">
        <f>+VLOOKUP($A1269,MAGAZZINO!$B$2:$M$100000,11,FALSE)</f>
        <v/>
      </c>
      <c r="L1269" s="5">
        <f>+VLOOKUP($A1269,MAGAZZINO!$B$2:$M$100000,12,FALSE)</f>
        <v/>
      </c>
      <c r="M1269" s="47" t="n"/>
      <c r="N1269" s="88" t="n">
        <v>45873</v>
      </c>
      <c r="O1269" s="156" t="inlineStr">
        <is>
          <t>BIN HUMAID NATIONAL TRADING CO. (ARABIA SAUDITA)</t>
        </is>
      </c>
      <c r="P1269" s="152" t="inlineStr">
        <is>
          <t xml:space="preserve">  IMPORT LICENSE N. 182480  (END USER CERTIFICATE)                                                                      AUT. ESPORTAZIONE MULTIPLA N. 6B/2025/2M RILASCIATA IL 26/05/2025                        (LICENZA DI SCARICO N. 6B/2025/2S RILASCIATA IL 30/07/2025)</t>
        </is>
      </c>
      <c r="Q1269" s="150" t="n"/>
      <c r="R1269" s="150" t="n"/>
      <c r="S1269" s="153" t="n"/>
    </row>
    <row r="1270" ht="36" customHeight="1">
      <c r="A1270" s="46" t="n">
        <v>3600</v>
      </c>
      <c r="B1270" s="4">
        <f>+VLOOKUP($A1270,MAGAZZINO!$B$2:$M$100000,2,FALSE)</f>
        <v/>
      </c>
      <c r="C1270" s="29">
        <f>+VLOOKUP($A1270,MAGAZZINO!$B$2:$M$100000,3,FALSE)</f>
        <v/>
      </c>
      <c r="D1270" s="3">
        <f>+VLOOKUP($A1270,MAGAZZINO!$B$2:$M$100000,4,FALSE)</f>
        <v/>
      </c>
      <c r="E1270" s="3">
        <f>+VLOOKUP($A1270,MAGAZZINO!$B$2:$M$100000,5,FALSE)</f>
        <v/>
      </c>
      <c r="F1270" s="3">
        <f>+VLOOKUP($A1270,MAGAZZINO!$B$2:$M$100000,6,FALSE)</f>
        <v/>
      </c>
      <c r="G1270" s="3">
        <f>+VLOOKUP($A1270,MAGAZZINO!$B$2:$M$100000,7,FALSE)</f>
        <v/>
      </c>
      <c r="H1270" s="3">
        <f>+VLOOKUP($A1270,MAGAZZINO!$B$2:$M$100000,8,FALSE)</f>
        <v/>
      </c>
      <c r="I1270" s="3">
        <f>+VLOOKUP($A1270,MAGAZZINO!$B$2:$M$100000,9,FALSE)</f>
        <v/>
      </c>
      <c r="J1270" s="3">
        <f>+VLOOKUP($A1270,MAGAZZINO!$B$2:$M$100000,10,FALSE)</f>
        <v/>
      </c>
      <c r="K1270" s="3">
        <f>+VLOOKUP($A1270,MAGAZZINO!$B$2:$M$100000,11,FALSE)</f>
        <v/>
      </c>
      <c r="L1270" s="5">
        <f>+VLOOKUP($A1270,MAGAZZINO!$B$2:$M$100000,12,FALSE)</f>
        <v/>
      </c>
      <c r="M1270" s="47" t="n"/>
      <c r="N1270" s="88" t="n">
        <v>45873</v>
      </c>
      <c r="O1270" s="156" t="inlineStr">
        <is>
          <t>BIN HUMAID NATIONAL TRADING CO. (ARABIA SAUDITA)</t>
        </is>
      </c>
      <c r="P1270" s="152" t="inlineStr">
        <is>
          <t xml:space="preserve">  IMPORT LICENSE N. 182480  (END USER CERTIFICATE)                                                                      AUT. ESPORTAZIONE MULTIPLA N. 6B/2025/2M RILASCIATA IL 26/05/2025                        (LICENZA DI SCARICO N. 6B/2025/2S RILASCIATA IL 30/07/2025)</t>
        </is>
      </c>
      <c r="Q1270" s="150" t="n"/>
      <c r="R1270" s="150" t="n"/>
      <c r="S1270" s="153" t="n"/>
    </row>
    <row r="1271" ht="36" customHeight="1">
      <c r="A1271" s="46" t="n">
        <v>3601</v>
      </c>
      <c r="B1271" s="4">
        <f>+VLOOKUP($A1271,MAGAZZINO!$B$2:$M$100000,2,FALSE)</f>
        <v/>
      </c>
      <c r="C1271" s="29">
        <f>+VLOOKUP($A1271,MAGAZZINO!$B$2:$M$100000,3,FALSE)</f>
        <v/>
      </c>
      <c r="D1271" s="3">
        <f>+VLOOKUP($A1271,MAGAZZINO!$B$2:$M$100000,4,FALSE)</f>
        <v/>
      </c>
      <c r="E1271" s="3">
        <f>+VLOOKUP($A1271,MAGAZZINO!$B$2:$M$100000,5,FALSE)</f>
        <v/>
      </c>
      <c r="F1271" s="3">
        <f>+VLOOKUP($A1271,MAGAZZINO!$B$2:$M$100000,6,FALSE)</f>
        <v/>
      </c>
      <c r="G1271" s="3">
        <f>+VLOOKUP($A1271,MAGAZZINO!$B$2:$M$100000,7,FALSE)</f>
        <v/>
      </c>
      <c r="H1271" s="3">
        <f>+VLOOKUP($A1271,MAGAZZINO!$B$2:$M$100000,8,FALSE)</f>
        <v/>
      </c>
      <c r="I1271" s="3">
        <f>+VLOOKUP($A1271,MAGAZZINO!$B$2:$M$100000,9,FALSE)</f>
        <v/>
      </c>
      <c r="J1271" s="3">
        <f>+VLOOKUP($A1271,MAGAZZINO!$B$2:$M$100000,10,FALSE)</f>
        <v/>
      </c>
      <c r="K1271" s="3">
        <f>+VLOOKUP($A1271,MAGAZZINO!$B$2:$M$100000,11,FALSE)</f>
        <v/>
      </c>
      <c r="L1271" s="5">
        <f>+VLOOKUP($A1271,MAGAZZINO!$B$2:$M$100000,12,FALSE)</f>
        <v/>
      </c>
      <c r="M1271" s="47" t="n"/>
      <c r="N1271" s="88" t="n">
        <v>45873</v>
      </c>
      <c r="O1271" s="156" t="inlineStr">
        <is>
          <t>BIN HUMAID NATIONAL TRADING CO. (ARABIA SAUDITA)</t>
        </is>
      </c>
      <c r="P1271" s="152" t="inlineStr">
        <is>
          <t xml:space="preserve">  IMPORT LICENSE N. 182480  (END USER CERTIFICATE)                                                                      AUT. ESPORTAZIONE MULTIPLA N. 6B/2025/2M RILASCIATA IL 26/05/2025                        (LICENZA DI SCARICO N. 6B/2025/2S RILASCIATA IL 30/07/2025)</t>
        </is>
      </c>
      <c r="Q1271" s="150" t="n"/>
      <c r="R1271" s="150" t="n"/>
      <c r="S1271" s="153" t="n"/>
    </row>
    <row r="1272" ht="36" customHeight="1">
      <c r="A1272" s="46" t="n">
        <v>3602</v>
      </c>
      <c r="B1272" s="4">
        <f>+VLOOKUP($A1272,MAGAZZINO!$B$2:$M$100000,2,FALSE)</f>
        <v/>
      </c>
      <c r="C1272" s="29">
        <f>+VLOOKUP($A1272,MAGAZZINO!$B$2:$M$100000,3,FALSE)</f>
        <v/>
      </c>
      <c r="D1272" s="3">
        <f>+VLOOKUP($A1272,MAGAZZINO!$B$2:$M$100000,4,FALSE)</f>
        <v/>
      </c>
      <c r="E1272" s="3">
        <f>+VLOOKUP($A1272,MAGAZZINO!$B$2:$M$100000,5,FALSE)</f>
        <v/>
      </c>
      <c r="F1272" s="3">
        <f>+VLOOKUP($A1272,MAGAZZINO!$B$2:$M$100000,6,FALSE)</f>
        <v/>
      </c>
      <c r="G1272" s="3">
        <f>+VLOOKUP($A1272,MAGAZZINO!$B$2:$M$100000,7,FALSE)</f>
        <v/>
      </c>
      <c r="H1272" s="3">
        <f>+VLOOKUP($A1272,MAGAZZINO!$B$2:$M$100000,8,FALSE)</f>
        <v/>
      </c>
      <c r="I1272" s="3">
        <f>+VLOOKUP($A1272,MAGAZZINO!$B$2:$M$100000,9,FALSE)</f>
        <v/>
      </c>
      <c r="J1272" s="3">
        <f>+VLOOKUP($A1272,MAGAZZINO!$B$2:$M$100000,10,FALSE)</f>
        <v/>
      </c>
      <c r="K1272" s="3">
        <f>+VLOOKUP($A1272,MAGAZZINO!$B$2:$M$100000,11,FALSE)</f>
        <v/>
      </c>
      <c r="L1272" s="5">
        <f>+VLOOKUP($A1272,MAGAZZINO!$B$2:$M$100000,12,FALSE)</f>
        <v/>
      </c>
      <c r="M1272" s="47" t="n"/>
      <c r="N1272" s="88" t="n">
        <v>45873</v>
      </c>
      <c r="O1272" s="156" t="inlineStr">
        <is>
          <t>BIN HUMAID NATIONAL TRADING CO. (ARABIA SAUDITA)</t>
        </is>
      </c>
      <c r="P1272" s="152" t="inlineStr">
        <is>
          <t xml:space="preserve">  IMPORT LICENSE N. 182480  (END USER CERTIFICATE)                                                                      AUT. ESPORTAZIONE MULTIPLA N. 6B/2025/2M RILASCIATA IL 26/05/2025                        (LICENZA DI SCARICO N. 6B/2025/2S RILASCIATA IL 30/07/2025)</t>
        </is>
      </c>
      <c r="Q1272" s="150" t="n"/>
      <c r="R1272" s="150" t="n"/>
      <c r="S1272" s="153" t="n"/>
    </row>
    <row r="1273" ht="36" customHeight="1">
      <c r="A1273" s="46" t="n">
        <v>3603</v>
      </c>
      <c r="B1273" s="4">
        <f>+VLOOKUP($A1273,MAGAZZINO!$B$2:$M$100000,2,FALSE)</f>
        <v/>
      </c>
      <c r="C1273" s="29">
        <f>+VLOOKUP($A1273,MAGAZZINO!$B$2:$M$100000,3,FALSE)</f>
        <v/>
      </c>
      <c r="D1273" s="3">
        <f>+VLOOKUP($A1273,MAGAZZINO!$B$2:$M$100000,4,FALSE)</f>
        <v/>
      </c>
      <c r="E1273" s="3">
        <f>+VLOOKUP($A1273,MAGAZZINO!$B$2:$M$100000,5,FALSE)</f>
        <v/>
      </c>
      <c r="F1273" s="3">
        <f>+VLOOKUP($A1273,MAGAZZINO!$B$2:$M$100000,6,FALSE)</f>
        <v/>
      </c>
      <c r="G1273" s="3">
        <f>+VLOOKUP($A1273,MAGAZZINO!$B$2:$M$100000,7,FALSE)</f>
        <v/>
      </c>
      <c r="H1273" s="3">
        <f>+VLOOKUP($A1273,MAGAZZINO!$B$2:$M$100000,8,FALSE)</f>
        <v/>
      </c>
      <c r="I1273" s="3">
        <f>+VLOOKUP($A1273,MAGAZZINO!$B$2:$M$100000,9,FALSE)</f>
        <v/>
      </c>
      <c r="J1273" s="3">
        <f>+VLOOKUP($A1273,MAGAZZINO!$B$2:$M$100000,10,FALSE)</f>
        <v/>
      </c>
      <c r="K1273" s="3">
        <f>+VLOOKUP($A1273,MAGAZZINO!$B$2:$M$100000,11,FALSE)</f>
        <v/>
      </c>
      <c r="L1273" s="5">
        <f>+VLOOKUP($A1273,MAGAZZINO!$B$2:$M$100000,12,FALSE)</f>
        <v/>
      </c>
      <c r="M1273" s="47" t="n"/>
      <c r="N1273" s="88" t="n">
        <v>45873</v>
      </c>
      <c r="O1273" s="156" t="inlineStr">
        <is>
          <t>BIN HUMAID NATIONAL TRADING CO. (ARABIA SAUDITA)</t>
        </is>
      </c>
      <c r="P1273" s="152" t="inlineStr">
        <is>
          <t xml:space="preserve">  IMPORT LICENSE N. 182480  (END USER CERTIFICATE)                                                                      AUT. ESPORTAZIONE MULTIPLA N. 6B/2025/2M RILASCIATA IL 26/05/2025                        (LICENZA DI SCARICO N. 6B/2025/2S RILASCIATA IL 30/07/2025)</t>
        </is>
      </c>
      <c r="Q1273" s="150" t="n"/>
      <c r="R1273" s="150" t="n"/>
      <c r="S1273" s="153" t="n"/>
    </row>
    <row r="1274" ht="36" customHeight="1">
      <c r="A1274" s="46" t="n">
        <v>3604</v>
      </c>
      <c r="B1274" s="4">
        <f>+VLOOKUP($A1274,MAGAZZINO!$B$2:$M$100000,2,FALSE)</f>
        <v/>
      </c>
      <c r="C1274" s="29">
        <f>+VLOOKUP($A1274,MAGAZZINO!$B$2:$M$100000,3,FALSE)</f>
        <v/>
      </c>
      <c r="D1274" s="3">
        <f>+VLOOKUP($A1274,MAGAZZINO!$B$2:$M$100000,4,FALSE)</f>
        <v/>
      </c>
      <c r="E1274" s="3">
        <f>+VLOOKUP($A1274,MAGAZZINO!$B$2:$M$100000,5,FALSE)</f>
        <v/>
      </c>
      <c r="F1274" s="3">
        <f>+VLOOKUP($A1274,MAGAZZINO!$B$2:$M$100000,6,FALSE)</f>
        <v/>
      </c>
      <c r="G1274" s="3">
        <f>+VLOOKUP($A1274,MAGAZZINO!$B$2:$M$100000,7,FALSE)</f>
        <v/>
      </c>
      <c r="H1274" s="3">
        <f>+VLOOKUP($A1274,MAGAZZINO!$B$2:$M$100000,8,FALSE)</f>
        <v/>
      </c>
      <c r="I1274" s="3">
        <f>+VLOOKUP($A1274,MAGAZZINO!$B$2:$M$100000,9,FALSE)</f>
        <v/>
      </c>
      <c r="J1274" s="3">
        <f>+VLOOKUP($A1274,MAGAZZINO!$B$2:$M$100000,10,FALSE)</f>
        <v/>
      </c>
      <c r="K1274" s="3">
        <f>+VLOOKUP($A1274,MAGAZZINO!$B$2:$M$100000,11,FALSE)</f>
        <v/>
      </c>
      <c r="L1274" s="5">
        <f>+VLOOKUP($A1274,MAGAZZINO!$B$2:$M$100000,12,FALSE)</f>
        <v/>
      </c>
      <c r="M1274" s="47" t="n"/>
      <c r="N1274" s="88" t="n">
        <v>45873</v>
      </c>
      <c r="O1274" s="156" t="inlineStr">
        <is>
          <t>BIN HUMAID NATIONAL TRADING CO. (ARABIA SAUDITA)</t>
        </is>
      </c>
      <c r="P1274" s="152" t="inlineStr">
        <is>
          <t xml:space="preserve">  IMPORT LICENSE N. 182480  (END USER CERTIFICATE)                                                                      AUT. ESPORTAZIONE MULTIPLA N. 6B/2025/2M RILASCIATA IL 26/05/2025                        (LICENZA DI SCARICO N. 6B/2025/2S RILASCIATA IL 30/07/2025)</t>
        </is>
      </c>
      <c r="Q1274" s="150" t="n"/>
      <c r="R1274" s="150" t="n"/>
      <c r="S1274" s="153" t="n"/>
    </row>
    <row r="1275" ht="36" customHeight="1">
      <c r="A1275" s="46" t="n">
        <v>3605</v>
      </c>
      <c r="B1275" s="4">
        <f>+VLOOKUP($A1275,MAGAZZINO!$B$2:$M$100000,2,FALSE)</f>
        <v/>
      </c>
      <c r="C1275" s="29">
        <f>+VLOOKUP($A1275,MAGAZZINO!$B$2:$M$100000,3,FALSE)</f>
        <v/>
      </c>
      <c r="D1275" s="3">
        <f>+VLOOKUP($A1275,MAGAZZINO!$B$2:$M$100000,4,FALSE)</f>
        <v/>
      </c>
      <c r="E1275" s="3">
        <f>+VLOOKUP($A1275,MAGAZZINO!$B$2:$M$100000,5,FALSE)</f>
        <v/>
      </c>
      <c r="F1275" s="3">
        <f>+VLOOKUP($A1275,MAGAZZINO!$B$2:$M$100000,6,FALSE)</f>
        <v/>
      </c>
      <c r="G1275" s="3">
        <f>+VLOOKUP($A1275,MAGAZZINO!$B$2:$M$100000,7,FALSE)</f>
        <v/>
      </c>
      <c r="H1275" s="3">
        <f>+VLOOKUP($A1275,MAGAZZINO!$B$2:$M$100000,8,FALSE)</f>
        <v/>
      </c>
      <c r="I1275" s="3">
        <f>+VLOOKUP($A1275,MAGAZZINO!$B$2:$M$100000,9,FALSE)</f>
        <v/>
      </c>
      <c r="J1275" s="3">
        <f>+VLOOKUP($A1275,MAGAZZINO!$B$2:$M$100000,10,FALSE)</f>
        <v/>
      </c>
      <c r="K1275" s="3">
        <f>+VLOOKUP($A1275,MAGAZZINO!$B$2:$M$100000,11,FALSE)</f>
        <v/>
      </c>
      <c r="L1275" s="5">
        <f>+VLOOKUP($A1275,MAGAZZINO!$B$2:$M$100000,12,FALSE)</f>
        <v/>
      </c>
      <c r="M1275" s="47" t="n"/>
      <c r="N1275" s="88" t="n">
        <v>45873</v>
      </c>
      <c r="O1275" s="156" t="inlineStr">
        <is>
          <t>BIN HUMAID NATIONAL TRADING CO. (ARABIA SAUDITA)</t>
        </is>
      </c>
      <c r="P1275" s="152" t="inlineStr">
        <is>
          <t xml:space="preserve">  IMPORT LICENSE N. 182480  (END USER CERTIFICATE)                                                                      AUT. ESPORTAZIONE MULTIPLA N. 6B/2025/2M RILASCIATA IL 26/05/2025                        (LICENZA DI SCARICO N. 6B/2025/2S RILASCIATA IL 30/07/2025)</t>
        </is>
      </c>
      <c r="Q1275" s="150" t="n"/>
      <c r="R1275" s="150" t="n"/>
      <c r="S1275" s="153" t="n"/>
    </row>
    <row r="1276" ht="36" customHeight="1">
      <c r="A1276" s="46" t="n">
        <v>3606</v>
      </c>
      <c r="B1276" s="4">
        <f>+VLOOKUP($A1276,MAGAZZINO!$B$2:$M$100000,2,FALSE)</f>
        <v/>
      </c>
      <c r="C1276" s="29">
        <f>+VLOOKUP($A1276,MAGAZZINO!$B$2:$M$100000,3,FALSE)</f>
        <v/>
      </c>
      <c r="D1276" s="3">
        <f>+VLOOKUP($A1276,MAGAZZINO!$B$2:$M$100000,4,FALSE)</f>
        <v/>
      </c>
      <c r="E1276" s="3">
        <f>+VLOOKUP($A1276,MAGAZZINO!$B$2:$M$100000,5,FALSE)</f>
        <v/>
      </c>
      <c r="F1276" s="3">
        <f>+VLOOKUP($A1276,MAGAZZINO!$B$2:$M$100000,6,FALSE)</f>
        <v/>
      </c>
      <c r="G1276" s="3">
        <f>+VLOOKUP($A1276,MAGAZZINO!$B$2:$M$100000,7,FALSE)</f>
        <v/>
      </c>
      <c r="H1276" s="3">
        <f>+VLOOKUP($A1276,MAGAZZINO!$B$2:$M$100000,8,FALSE)</f>
        <v/>
      </c>
      <c r="I1276" s="3">
        <f>+VLOOKUP($A1276,MAGAZZINO!$B$2:$M$100000,9,FALSE)</f>
        <v/>
      </c>
      <c r="J1276" s="3">
        <f>+VLOOKUP($A1276,MAGAZZINO!$B$2:$M$100000,10,FALSE)</f>
        <v/>
      </c>
      <c r="K1276" s="3">
        <f>+VLOOKUP($A1276,MAGAZZINO!$B$2:$M$100000,11,FALSE)</f>
        <v/>
      </c>
      <c r="L1276" s="5">
        <f>+VLOOKUP($A1276,MAGAZZINO!$B$2:$M$100000,12,FALSE)</f>
        <v/>
      </c>
      <c r="M1276" s="47" t="n"/>
      <c r="N1276" s="88" t="n">
        <v>45873</v>
      </c>
      <c r="O1276" s="156" t="inlineStr">
        <is>
          <t>BIN HUMAID NATIONAL TRADING CO. (ARABIA SAUDITA)</t>
        </is>
      </c>
      <c r="P1276" s="152" t="inlineStr">
        <is>
          <t xml:space="preserve">  IMPORT LICENSE N. 182480  (END USER CERTIFICATE)                                                                      AUT. ESPORTAZIONE MULTIPLA N. 6B/2025/2M RILASCIATA IL 26/05/2025                        (LICENZA DI SCARICO N. 6B/2025/2S RILASCIATA IL 30/07/2025)</t>
        </is>
      </c>
      <c r="Q1276" s="150" t="n"/>
      <c r="R1276" s="150" t="n"/>
      <c r="S1276" s="153" t="n"/>
    </row>
    <row r="1277" ht="36" customHeight="1">
      <c r="A1277" s="46" t="n">
        <v>3607</v>
      </c>
      <c r="B1277" s="4">
        <f>+VLOOKUP($A1277,MAGAZZINO!$B$2:$M$100000,2,FALSE)</f>
        <v/>
      </c>
      <c r="C1277" s="29">
        <f>+VLOOKUP($A1277,MAGAZZINO!$B$2:$M$100000,3,FALSE)</f>
        <v/>
      </c>
      <c r="D1277" s="3">
        <f>+VLOOKUP($A1277,MAGAZZINO!$B$2:$M$100000,4,FALSE)</f>
        <v/>
      </c>
      <c r="E1277" s="3">
        <f>+VLOOKUP($A1277,MAGAZZINO!$B$2:$M$100000,5,FALSE)</f>
        <v/>
      </c>
      <c r="F1277" s="3">
        <f>+VLOOKUP($A1277,MAGAZZINO!$B$2:$M$100000,6,FALSE)</f>
        <v/>
      </c>
      <c r="G1277" s="3">
        <f>+VLOOKUP($A1277,MAGAZZINO!$B$2:$M$100000,7,FALSE)</f>
        <v/>
      </c>
      <c r="H1277" s="3">
        <f>+VLOOKUP($A1277,MAGAZZINO!$B$2:$M$100000,8,FALSE)</f>
        <v/>
      </c>
      <c r="I1277" s="3">
        <f>+VLOOKUP($A1277,MAGAZZINO!$B$2:$M$100000,9,FALSE)</f>
        <v/>
      </c>
      <c r="J1277" s="3">
        <f>+VLOOKUP($A1277,MAGAZZINO!$B$2:$M$100000,10,FALSE)</f>
        <v/>
      </c>
      <c r="K1277" s="3">
        <f>+VLOOKUP($A1277,MAGAZZINO!$B$2:$M$100000,11,FALSE)</f>
        <v/>
      </c>
      <c r="L1277" s="5">
        <f>+VLOOKUP($A1277,MAGAZZINO!$B$2:$M$100000,12,FALSE)</f>
        <v/>
      </c>
      <c r="M1277" s="47" t="n"/>
      <c r="N1277" s="88" t="n">
        <v>45873</v>
      </c>
      <c r="O1277" s="156" t="inlineStr">
        <is>
          <t>BIN HUMAID NATIONAL TRADING CO. (ARABIA SAUDITA)</t>
        </is>
      </c>
      <c r="P1277" s="152" t="inlineStr">
        <is>
          <t xml:space="preserve">  IMPORT LICENSE N. 182480  (END USER CERTIFICATE)                                                                      AUT. ESPORTAZIONE MULTIPLA N. 6B/2025/2M RILASCIATA IL 26/05/2025                        (LICENZA DI SCARICO N. 6B/2025/2S RILASCIATA IL 30/07/2025)</t>
        </is>
      </c>
      <c r="Q1277" s="150" t="n"/>
      <c r="R1277" s="150" t="n"/>
      <c r="S1277" s="153" t="n"/>
    </row>
    <row r="1278" ht="36" customHeight="1">
      <c r="A1278" s="46" t="n">
        <v>3608</v>
      </c>
      <c r="B1278" s="4">
        <f>+VLOOKUP($A1278,MAGAZZINO!$B$2:$M$100000,2,FALSE)</f>
        <v/>
      </c>
      <c r="C1278" s="29">
        <f>+VLOOKUP($A1278,MAGAZZINO!$B$2:$M$100000,3,FALSE)</f>
        <v/>
      </c>
      <c r="D1278" s="3">
        <f>+VLOOKUP($A1278,MAGAZZINO!$B$2:$M$100000,4,FALSE)</f>
        <v/>
      </c>
      <c r="E1278" s="3">
        <f>+VLOOKUP($A1278,MAGAZZINO!$B$2:$M$100000,5,FALSE)</f>
        <v/>
      </c>
      <c r="F1278" s="3">
        <f>+VLOOKUP($A1278,MAGAZZINO!$B$2:$M$100000,6,FALSE)</f>
        <v/>
      </c>
      <c r="G1278" s="3">
        <f>+VLOOKUP($A1278,MAGAZZINO!$B$2:$M$100000,7,FALSE)</f>
        <v/>
      </c>
      <c r="H1278" s="3">
        <f>+VLOOKUP($A1278,MAGAZZINO!$B$2:$M$100000,8,FALSE)</f>
        <v/>
      </c>
      <c r="I1278" s="3">
        <f>+VLOOKUP($A1278,MAGAZZINO!$B$2:$M$100000,9,FALSE)</f>
        <v/>
      </c>
      <c r="J1278" s="3">
        <f>+VLOOKUP($A1278,MAGAZZINO!$B$2:$M$100000,10,FALSE)</f>
        <v/>
      </c>
      <c r="K1278" s="3">
        <f>+VLOOKUP($A1278,MAGAZZINO!$B$2:$M$100000,11,FALSE)</f>
        <v/>
      </c>
      <c r="L1278" s="5">
        <f>+VLOOKUP($A1278,MAGAZZINO!$B$2:$M$100000,12,FALSE)</f>
        <v/>
      </c>
      <c r="M1278" s="47" t="n"/>
      <c r="N1278" s="88" t="n">
        <v>45873</v>
      </c>
      <c r="O1278" s="156" t="inlineStr">
        <is>
          <t>BIN HUMAID NATIONAL TRADING CO. (ARABIA SAUDITA)</t>
        </is>
      </c>
      <c r="P1278" s="152" t="inlineStr">
        <is>
          <t xml:space="preserve">  IMPORT LICENSE N. 182480  (END USER CERTIFICATE)                                                                      AUT. ESPORTAZIONE MULTIPLA N. 6B/2025/2M RILASCIATA IL 26/05/2025                        (LICENZA DI SCARICO N. 6B/2025/2S RILASCIATA IL 30/07/2025)</t>
        </is>
      </c>
      <c r="Q1278" s="150" t="n"/>
      <c r="R1278" s="150" t="n"/>
      <c r="S1278" s="153" t="n"/>
    </row>
    <row r="1279" ht="36" customHeight="1">
      <c r="A1279" s="46" t="n">
        <v>3609</v>
      </c>
      <c r="B1279" s="4">
        <f>+VLOOKUP($A1279,MAGAZZINO!$B$2:$M$100000,2,FALSE)</f>
        <v/>
      </c>
      <c r="C1279" s="29">
        <f>+VLOOKUP($A1279,MAGAZZINO!$B$2:$M$100000,3,FALSE)</f>
        <v/>
      </c>
      <c r="D1279" s="3">
        <f>+VLOOKUP($A1279,MAGAZZINO!$B$2:$M$100000,4,FALSE)</f>
        <v/>
      </c>
      <c r="E1279" s="3">
        <f>+VLOOKUP($A1279,MAGAZZINO!$B$2:$M$100000,5,FALSE)</f>
        <v/>
      </c>
      <c r="F1279" s="3">
        <f>+VLOOKUP($A1279,MAGAZZINO!$B$2:$M$100000,6,FALSE)</f>
        <v/>
      </c>
      <c r="G1279" s="3">
        <f>+VLOOKUP($A1279,MAGAZZINO!$B$2:$M$100000,7,FALSE)</f>
        <v/>
      </c>
      <c r="H1279" s="3">
        <f>+VLOOKUP($A1279,MAGAZZINO!$B$2:$M$100000,8,FALSE)</f>
        <v/>
      </c>
      <c r="I1279" s="3">
        <f>+VLOOKUP($A1279,MAGAZZINO!$B$2:$M$100000,9,FALSE)</f>
        <v/>
      </c>
      <c r="J1279" s="3">
        <f>+VLOOKUP($A1279,MAGAZZINO!$B$2:$M$100000,10,FALSE)</f>
        <v/>
      </c>
      <c r="K1279" s="3">
        <f>+VLOOKUP($A1279,MAGAZZINO!$B$2:$M$100000,11,FALSE)</f>
        <v/>
      </c>
      <c r="L1279" s="5">
        <f>+VLOOKUP($A1279,MAGAZZINO!$B$2:$M$100000,12,FALSE)</f>
        <v/>
      </c>
      <c r="M1279" s="47" t="n"/>
      <c r="N1279" s="88" t="n">
        <v>45873</v>
      </c>
      <c r="O1279" s="156" t="inlineStr">
        <is>
          <t>BIN HUMAID NATIONAL TRADING CO. (ARABIA SAUDITA)</t>
        </is>
      </c>
      <c r="P1279" s="152" t="inlineStr">
        <is>
          <t xml:space="preserve">  IMPORT LICENSE N. 182480  (END USER CERTIFICATE)                                                                      AUT. ESPORTAZIONE MULTIPLA N. 6B/2025/2M RILASCIATA IL 26/05/2025                        (LICENZA DI SCARICO N. 6B/2025/2S RILASCIATA IL 30/07/2025)</t>
        </is>
      </c>
      <c r="Q1279" s="150" t="n"/>
      <c r="R1279" s="150" t="n"/>
      <c r="S1279" s="153" t="n"/>
    </row>
    <row r="1280" ht="36" customHeight="1">
      <c r="A1280" s="46" t="n">
        <v>3610</v>
      </c>
      <c r="B1280" s="4">
        <f>+VLOOKUP($A1280,MAGAZZINO!$B$2:$M$100000,2,FALSE)</f>
        <v/>
      </c>
      <c r="C1280" s="29">
        <f>+VLOOKUP($A1280,MAGAZZINO!$B$2:$M$100000,3,FALSE)</f>
        <v/>
      </c>
      <c r="D1280" s="3">
        <f>+VLOOKUP($A1280,MAGAZZINO!$B$2:$M$100000,4,FALSE)</f>
        <v/>
      </c>
      <c r="E1280" s="3">
        <f>+VLOOKUP($A1280,MAGAZZINO!$B$2:$M$100000,5,FALSE)</f>
        <v/>
      </c>
      <c r="F1280" s="3">
        <f>+VLOOKUP($A1280,MAGAZZINO!$B$2:$M$100000,6,FALSE)</f>
        <v/>
      </c>
      <c r="G1280" s="3">
        <f>+VLOOKUP($A1280,MAGAZZINO!$B$2:$M$100000,7,FALSE)</f>
        <v/>
      </c>
      <c r="H1280" s="3">
        <f>+VLOOKUP($A1280,MAGAZZINO!$B$2:$M$100000,8,FALSE)</f>
        <v/>
      </c>
      <c r="I1280" s="3">
        <f>+VLOOKUP($A1280,MAGAZZINO!$B$2:$M$100000,9,FALSE)</f>
        <v/>
      </c>
      <c r="J1280" s="3">
        <f>+VLOOKUP($A1280,MAGAZZINO!$B$2:$M$100000,10,FALSE)</f>
        <v/>
      </c>
      <c r="K1280" s="3">
        <f>+VLOOKUP($A1280,MAGAZZINO!$B$2:$M$100000,11,FALSE)</f>
        <v/>
      </c>
      <c r="L1280" s="5">
        <f>+VLOOKUP($A1280,MAGAZZINO!$B$2:$M$100000,12,FALSE)</f>
        <v/>
      </c>
      <c r="M1280" s="47" t="n"/>
      <c r="N1280" s="88" t="n">
        <v>45873</v>
      </c>
      <c r="O1280" s="156" t="inlineStr">
        <is>
          <t>BIN HUMAID NATIONAL TRADING CO. (ARABIA SAUDITA)</t>
        </is>
      </c>
      <c r="P1280" s="152" t="inlineStr">
        <is>
          <t xml:space="preserve">  IMPORT LICENSE N. 182480  (END USER CERTIFICATE)                                                                      AUT. ESPORTAZIONE MULTIPLA N. 6B/2025/2M RILASCIATA IL 26/05/2025                        (LICENZA DI SCARICO N. 6B/2025/2S RILASCIATA IL 30/07/2025)</t>
        </is>
      </c>
      <c r="Q1280" s="150" t="n"/>
      <c r="R1280" s="150" t="n"/>
      <c r="S1280" s="153" t="n"/>
    </row>
    <row r="1281" ht="36" customHeight="1">
      <c r="A1281" s="46" t="n">
        <v>3611</v>
      </c>
      <c r="B1281" s="4">
        <f>+VLOOKUP($A1281,MAGAZZINO!$B$2:$M$100000,2,FALSE)</f>
        <v/>
      </c>
      <c r="C1281" s="29">
        <f>+VLOOKUP($A1281,MAGAZZINO!$B$2:$M$100000,3,FALSE)</f>
        <v/>
      </c>
      <c r="D1281" s="3">
        <f>+VLOOKUP($A1281,MAGAZZINO!$B$2:$M$100000,4,FALSE)</f>
        <v/>
      </c>
      <c r="E1281" s="3">
        <f>+VLOOKUP($A1281,MAGAZZINO!$B$2:$M$100000,5,FALSE)</f>
        <v/>
      </c>
      <c r="F1281" s="3">
        <f>+VLOOKUP($A1281,MAGAZZINO!$B$2:$M$100000,6,FALSE)</f>
        <v/>
      </c>
      <c r="G1281" s="3">
        <f>+VLOOKUP($A1281,MAGAZZINO!$B$2:$M$100000,7,FALSE)</f>
        <v/>
      </c>
      <c r="H1281" s="3">
        <f>+VLOOKUP($A1281,MAGAZZINO!$B$2:$M$100000,8,FALSE)</f>
        <v/>
      </c>
      <c r="I1281" s="3">
        <f>+VLOOKUP($A1281,MAGAZZINO!$B$2:$M$100000,9,FALSE)</f>
        <v/>
      </c>
      <c r="J1281" s="3">
        <f>+VLOOKUP($A1281,MAGAZZINO!$B$2:$M$100000,10,FALSE)</f>
        <v/>
      </c>
      <c r="K1281" s="3">
        <f>+VLOOKUP($A1281,MAGAZZINO!$B$2:$M$100000,11,FALSE)</f>
        <v/>
      </c>
      <c r="L1281" s="5">
        <f>+VLOOKUP($A1281,MAGAZZINO!$B$2:$M$100000,12,FALSE)</f>
        <v/>
      </c>
      <c r="M1281" s="47" t="n"/>
      <c r="N1281" s="88" t="n">
        <v>45873</v>
      </c>
      <c r="O1281" s="156" t="inlineStr">
        <is>
          <t>BIN HUMAID NATIONAL TRADING CO. (ARABIA SAUDITA)</t>
        </is>
      </c>
      <c r="P1281" s="152" t="inlineStr">
        <is>
          <t xml:space="preserve">  IMPORT LICENSE N. 182480  (END USER CERTIFICATE)                                                                      AUT. ESPORTAZIONE MULTIPLA N. 6B/2025/2M RILASCIATA IL 26/05/2025                        (LICENZA DI SCARICO N. 6B/2025/2S RILASCIATA IL 30/07/2025)</t>
        </is>
      </c>
      <c r="Q1281" s="150" t="n"/>
      <c r="R1281" s="150" t="n"/>
      <c r="S1281" s="153" t="n"/>
    </row>
    <row r="1282" ht="36" customHeight="1">
      <c r="A1282" s="46" t="n">
        <v>3612</v>
      </c>
      <c r="B1282" s="4">
        <f>+VLOOKUP($A1282,MAGAZZINO!$B$2:$M$100000,2,FALSE)</f>
        <v/>
      </c>
      <c r="C1282" s="29">
        <f>+VLOOKUP($A1282,MAGAZZINO!$B$2:$M$100000,3,FALSE)</f>
        <v/>
      </c>
      <c r="D1282" s="3">
        <f>+VLOOKUP($A1282,MAGAZZINO!$B$2:$M$100000,4,FALSE)</f>
        <v/>
      </c>
      <c r="E1282" s="3">
        <f>+VLOOKUP($A1282,MAGAZZINO!$B$2:$M$100000,5,FALSE)</f>
        <v/>
      </c>
      <c r="F1282" s="3">
        <f>+VLOOKUP($A1282,MAGAZZINO!$B$2:$M$100000,6,FALSE)</f>
        <v/>
      </c>
      <c r="G1282" s="3">
        <f>+VLOOKUP($A1282,MAGAZZINO!$B$2:$M$100000,7,FALSE)</f>
        <v/>
      </c>
      <c r="H1282" s="3">
        <f>+VLOOKUP($A1282,MAGAZZINO!$B$2:$M$100000,8,FALSE)</f>
        <v/>
      </c>
      <c r="I1282" s="3">
        <f>+VLOOKUP($A1282,MAGAZZINO!$B$2:$M$100000,9,FALSE)</f>
        <v/>
      </c>
      <c r="J1282" s="3">
        <f>+VLOOKUP($A1282,MAGAZZINO!$B$2:$M$100000,10,FALSE)</f>
        <v/>
      </c>
      <c r="K1282" s="3">
        <f>+VLOOKUP($A1282,MAGAZZINO!$B$2:$M$100000,11,FALSE)</f>
        <v/>
      </c>
      <c r="L1282" s="5">
        <f>+VLOOKUP($A1282,MAGAZZINO!$B$2:$M$100000,12,FALSE)</f>
        <v/>
      </c>
      <c r="M1282" s="47" t="n"/>
      <c r="N1282" s="88" t="n">
        <v>45873</v>
      </c>
      <c r="O1282" s="156" t="inlineStr">
        <is>
          <t>BIN HUMAID NATIONAL TRADING CO. (ARABIA SAUDITA)</t>
        </is>
      </c>
      <c r="P1282" s="152" t="inlineStr">
        <is>
          <t xml:space="preserve">  IMPORT LICENSE N. 182480  (END USER CERTIFICATE)                                                                      AUT. ESPORTAZIONE MULTIPLA N. 6B/2025/2M RILASCIATA IL 26/05/2025                        (LICENZA DI SCARICO N. 6B/2025/2S RILASCIATA IL 30/07/2025)</t>
        </is>
      </c>
      <c r="Q1282" s="150" t="n"/>
      <c r="R1282" s="150" t="n"/>
      <c r="S1282" s="153" t="n"/>
    </row>
    <row r="1283" ht="36" customHeight="1">
      <c r="A1283" s="46" t="n">
        <v>3613</v>
      </c>
      <c r="B1283" s="4">
        <f>+VLOOKUP($A1283,MAGAZZINO!$B$2:$M$100000,2,FALSE)</f>
        <v/>
      </c>
      <c r="C1283" s="29">
        <f>+VLOOKUP($A1283,MAGAZZINO!$B$2:$M$100000,3,FALSE)</f>
        <v/>
      </c>
      <c r="D1283" s="3">
        <f>+VLOOKUP($A1283,MAGAZZINO!$B$2:$M$100000,4,FALSE)</f>
        <v/>
      </c>
      <c r="E1283" s="3">
        <f>+VLOOKUP($A1283,MAGAZZINO!$B$2:$M$100000,5,FALSE)</f>
        <v/>
      </c>
      <c r="F1283" s="3">
        <f>+VLOOKUP($A1283,MAGAZZINO!$B$2:$M$100000,6,FALSE)</f>
        <v/>
      </c>
      <c r="G1283" s="3">
        <f>+VLOOKUP($A1283,MAGAZZINO!$B$2:$M$100000,7,FALSE)</f>
        <v/>
      </c>
      <c r="H1283" s="3">
        <f>+VLOOKUP($A1283,MAGAZZINO!$B$2:$M$100000,8,FALSE)</f>
        <v/>
      </c>
      <c r="I1283" s="3">
        <f>+VLOOKUP($A1283,MAGAZZINO!$B$2:$M$100000,9,FALSE)</f>
        <v/>
      </c>
      <c r="J1283" s="3">
        <f>+VLOOKUP($A1283,MAGAZZINO!$B$2:$M$100000,10,FALSE)</f>
        <v/>
      </c>
      <c r="K1283" s="3">
        <f>+VLOOKUP($A1283,MAGAZZINO!$B$2:$M$100000,11,FALSE)</f>
        <v/>
      </c>
      <c r="L1283" s="5">
        <f>+VLOOKUP($A1283,MAGAZZINO!$B$2:$M$100000,12,FALSE)</f>
        <v/>
      </c>
      <c r="M1283" s="47" t="n"/>
      <c r="N1283" s="88" t="n">
        <v>45873</v>
      </c>
      <c r="O1283" s="156" t="inlineStr">
        <is>
          <t>BIN HUMAID NATIONAL TRADING CO. (ARABIA SAUDITA)</t>
        </is>
      </c>
      <c r="P1283" s="152" t="inlineStr">
        <is>
          <t xml:space="preserve">  IMPORT LICENSE N. 182480  (END USER CERTIFICATE)                                                                      AUT. ESPORTAZIONE MULTIPLA N. 6B/2025/2M RILASCIATA IL 26/05/2025                        (LICENZA DI SCARICO N. 6B/2025/2S RILASCIATA IL 30/07/2025)</t>
        </is>
      </c>
      <c r="Q1283" s="150" t="n"/>
      <c r="R1283" s="150" t="n"/>
      <c r="S1283" s="153" t="n"/>
    </row>
    <row r="1284" ht="36" customHeight="1">
      <c r="A1284" s="46" t="n">
        <v>3614</v>
      </c>
      <c r="B1284" s="4">
        <f>+VLOOKUP($A1284,MAGAZZINO!$B$2:$M$100000,2,FALSE)</f>
        <v/>
      </c>
      <c r="C1284" s="29">
        <f>+VLOOKUP($A1284,MAGAZZINO!$B$2:$M$100000,3,FALSE)</f>
        <v/>
      </c>
      <c r="D1284" s="3">
        <f>+VLOOKUP($A1284,MAGAZZINO!$B$2:$M$100000,4,FALSE)</f>
        <v/>
      </c>
      <c r="E1284" s="3">
        <f>+VLOOKUP($A1284,MAGAZZINO!$B$2:$M$100000,5,FALSE)</f>
        <v/>
      </c>
      <c r="F1284" s="3">
        <f>+VLOOKUP($A1284,MAGAZZINO!$B$2:$M$100000,6,FALSE)</f>
        <v/>
      </c>
      <c r="G1284" s="3">
        <f>+VLOOKUP($A1284,MAGAZZINO!$B$2:$M$100000,7,FALSE)</f>
        <v/>
      </c>
      <c r="H1284" s="3">
        <f>+VLOOKUP($A1284,MAGAZZINO!$B$2:$M$100000,8,FALSE)</f>
        <v/>
      </c>
      <c r="I1284" s="3">
        <f>+VLOOKUP($A1284,MAGAZZINO!$B$2:$M$100000,9,FALSE)</f>
        <v/>
      </c>
      <c r="J1284" s="3">
        <f>+VLOOKUP($A1284,MAGAZZINO!$B$2:$M$100000,10,FALSE)</f>
        <v/>
      </c>
      <c r="K1284" s="3">
        <f>+VLOOKUP($A1284,MAGAZZINO!$B$2:$M$100000,11,FALSE)</f>
        <v/>
      </c>
      <c r="L1284" s="5">
        <f>+VLOOKUP($A1284,MAGAZZINO!$B$2:$M$100000,12,FALSE)</f>
        <v/>
      </c>
      <c r="M1284" s="47" t="n"/>
      <c r="N1284" s="88" t="n">
        <v>45873</v>
      </c>
      <c r="O1284" s="156" t="inlineStr">
        <is>
          <t>BIN HUMAID NATIONAL TRADING CO. (ARABIA SAUDITA)</t>
        </is>
      </c>
      <c r="P1284" s="152" t="inlineStr">
        <is>
          <t xml:space="preserve">  IMPORT LICENSE N. 182480  (END USER CERTIFICATE)                                                                      AUT. ESPORTAZIONE MULTIPLA N. 6B/2025/2M RILASCIATA IL 26/05/2025                        (LICENZA DI SCARICO N. 6B/2025/2S RILASCIATA IL 30/07/2025)</t>
        </is>
      </c>
      <c r="Q1284" s="150" t="n"/>
      <c r="R1284" s="150" t="n"/>
      <c r="S1284" s="153" t="n"/>
    </row>
    <row r="1285" ht="36" customHeight="1">
      <c r="A1285" s="46" t="n">
        <v>3615</v>
      </c>
      <c r="B1285" s="4">
        <f>+VLOOKUP($A1285,MAGAZZINO!$B$2:$M$100000,2,FALSE)</f>
        <v/>
      </c>
      <c r="C1285" s="29">
        <f>+VLOOKUP($A1285,MAGAZZINO!$B$2:$M$100000,3,FALSE)</f>
        <v/>
      </c>
      <c r="D1285" s="3">
        <f>+VLOOKUP($A1285,MAGAZZINO!$B$2:$M$100000,4,FALSE)</f>
        <v/>
      </c>
      <c r="E1285" s="3">
        <f>+VLOOKUP($A1285,MAGAZZINO!$B$2:$M$100000,5,FALSE)</f>
        <v/>
      </c>
      <c r="F1285" s="3">
        <f>+VLOOKUP($A1285,MAGAZZINO!$B$2:$M$100000,6,FALSE)</f>
        <v/>
      </c>
      <c r="G1285" s="3">
        <f>+VLOOKUP($A1285,MAGAZZINO!$B$2:$M$100000,7,FALSE)</f>
        <v/>
      </c>
      <c r="H1285" s="3">
        <f>+VLOOKUP($A1285,MAGAZZINO!$B$2:$M$100000,8,FALSE)</f>
        <v/>
      </c>
      <c r="I1285" s="3">
        <f>+VLOOKUP($A1285,MAGAZZINO!$B$2:$M$100000,9,FALSE)</f>
        <v/>
      </c>
      <c r="J1285" s="3">
        <f>+VLOOKUP($A1285,MAGAZZINO!$B$2:$M$100000,10,FALSE)</f>
        <v/>
      </c>
      <c r="K1285" s="3">
        <f>+VLOOKUP($A1285,MAGAZZINO!$B$2:$M$100000,11,FALSE)</f>
        <v/>
      </c>
      <c r="L1285" s="5">
        <f>+VLOOKUP($A1285,MAGAZZINO!$B$2:$M$100000,12,FALSE)</f>
        <v/>
      </c>
      <c r="M1285" s="47" t="n"/>
      <c r="N1285" s="88" t="n">
        <v>45873</v>
      </c>
      <c r="O1285" s="156" t="inlineStr">
        <is>
          <t>BIN HUMAID NATIONAL TRADING CO. (ARABIA SAUDITA)</t>
        </is>
      </c>
      <c r="P1285" s="152" t="inlineStr">
        <is>
          <t xml:space="preserve">  IMPORT LICENSE N. 182480  (END USER CERTIFICATE)                                                                      AUT. ESPORTAZIONE MULTIPLA N. 6B/2025/2M RILASCIATA IL 26/05/2025                        (LICENZA DI SCARICO N. 6B/2025/2S RILASCIATA IL 30/07/2025)</t>
        </is>
      </c>
      <c r="Q1285" s="150" t="n"/>
      <c r="R1285" s="150" t="n"/>
      <c r="S1285" s="153" t="n"/>
    </row>
    <row r="1286" ht="36" customHeight="1">
      <c r="A1286" s="46" t="n">
        <v>3616</v>
      </c>
      <c r="B1286" s="4">
        <f>+VLOOKUP($A1286,MAGAZZINO!$B$2:$M$100000,2,FALSE)</f>
        <v/>
      </c>
      <c r="C1286" s="29">
        <f>+VLOOKUP($A1286,MAGAZZINO!$B$2:$M$100000,3,FALSE)</f>
        <v/>
      </c>
      <c r="D1286" s="3">
        <f>+VLOOKUP($A1286,MAGAZZINO!$B$2:$M$100000,4,FALSE)</f>
        <v/>
      </c>
      <c r="E1286" s="3">
        <f>+VLOOKUP($A1286,MAGAZZINO!$B$2:$M$100000,5,FALSE)</f>
        <v/>
      </c>
      <c r="F1286" s="3">
        <f>+VLOOKUP($A1286,MAGAZZINO!$B$2:$M$100000,6,FALSE)</f>
        <v/>
      </c>
      <c r="G1286" s="3">
        <f>+VLOOKUP($A1286,MAGAZZINO!$B$2:$M$100000,7,FALSE)</f>
        <v/>
      </c>
      <c r="H1286" s="3">
        <f>+VLOOKUP($A1286,MAGAZZINO!$B$2:$M$100000,8,FALSE)</f>
        <v/>
      </c>
      <c r="I1286" s="3">
        <f>+VLOOKUP($A1286,MAGAZZINO!$B$2:$M$100000,9,FALSE)</f>
        <v/>
      </c>
      <c r="J1286" s="3">
        <f>+VLOOKUP($A1286,MAGAZZINO!$B$2:$M$100000,10,FALSE)</f>
        <v/>
      </c>
      <c r="K1286" s="3">
        <f>+VLOOKUP($A1286,MAGAZZINO!$B$2:$M$100000,11,FALSE)</f>
        <v/>
      </c>
      <c r="L1286" s="5">
        <f>+VLOOKUP($A1286,MAGAZZINO!$B$2:$M$100000,12,FALSE)</f>
        <v/>
      </c>
      <c r="M1286" s="47" t="n"/>
      <c r="N1286" s="88" t="n">
        <v>45873</v>
      </c>
      <c r="O1286" s="156" t="inlineStr">
        <is>
          <t>BIN HUMAID NATIONAL TRADING CO. (ARABIA SAUDITA)</t>
        </is>
      </c>
      <c r="P1286" s="152" t="inlineStr">
        <is>
          <t xml:space="preserve">  IMPORT LICENSE N. 182480  (END USER CERTIFICATE)                                                                      AUT. ESPORTAZIONE MULTIPLA N. 6B/2025/2M RILASCIATA IL 26/05/2025                        (LICENZA DI SCARICO N. 6B/2025/2S RILASCIATA IL 30/07/2025)</t>
        </is>
      </c>
      <c r="Q1286" s="150" t="n"/>
      <c r="R1286" s="150" t="n"/>
      <c r="S1286" s="153" t="n"/>
    </row>
    <row r="1287" ht="36" customHeight="1">
      <c r="A1287" s="46" t="n">
        <v>3617</v>
      </c>
      <c r="B1287" s="4">
        <f>+VLOOKUP($A1287,MAGAZZINO!$B$2:$M$100000,2,FALSE)</f>
        <v/>
      </c>
      <c r="C1287" s="29">
        <f>+VLOOKUP($A1287,MAGAZZINO!$B$2:$M$100000,3,FALSE)</f>
        <v/>
      </c>
      <c r="D1287" s="3">
        <f>+VLOOKUP($A1287,MAGAZZINO!$B$2:$M$100000,4,FALSE)</f>
        <v/>
      </c>
      <c r="E1287" s="3">
        <f>+VLOOKUP($A1287,MAGAZZINO!$B$2:$M$100000,5,FALSE)</f>
        <v/>
      </c>
      <c r="F1287" s="3">
        <f>+VLOOKUP($A1287,MAGAZZINO!$B$2:$M$100000,6,FALSE)</f>
        <v/>
      </c>
      <c r="G1287" s="3">
        <f>+VLOOKUP($A1287,MAGAZZINO!$B$2:$M$100000,7,FALSE)</f>
        <v/>
      </c>
      <c r="H1287" s="3">
        <f>+VLOOKUP($A1287,MAGAZZINO!$B$2:$M$100000,8,FALSE)</f>
        <v/>
      </c>
      <c r="I1287" s="3">
        <f>+VLOOKUP($A1287,MAGAZZINO!$B$2:$M$100000,9,FALSE)</f>
        <v/>
      </c>
      <c r="J1287" s="3">
        <f>+VLOOKUP($A1287,MAGAZZINO!$B$2:$M$100000,10,FALSE)</f>
        <v/>
      </c>
      <c r="K1287" s="3">
        <f>+VLOOKUP($A1287,MAGAZZINO!$B$2:$M$100000,11,FALSE)</f>
        <v/>
      </c>
      <c r="L1287" s="5">
        <f>+VLOOKUP($A1287,MAGAZZINO!$B$2:$M$100000,12,FALSE)</f>
        <v/>
      </c>
      <c r="M1287" s="47" t="n"/>
      <c r="N1287" s="88" t="n">
        <v>45873</v>
      </c>
      <c r="O1287" s="156" t="inlineStr">
        <is>
          <t>BIN HUMAID NATIONAL TRADING CO. (ARABIA SAUDITA)</t>
        </is>
      </c>
      <c r="P1287" s="152" t="inlineStr">
        <is>
          <t xml:space="preserve">  IMPORT LICENSE N. 182480  (END USER CERTIFICATE)                                                                      AUT. ESPORTAZIONE MULTIPLA N. 6B/2025/2M RILASCIATA IL 26/05/2025                        (LICENZA DI SCARICO N. 6B/2025/2S RILASCIATA IL 30/07/2025)</t>
        </is>
      </c>
      <c r="Q1287" s="150" t="n"/>
      <c r="R1287" s="150" t="n"/>
      <c r="S1287" s="153" t="n"/>
    </row>
    <row r="1288" ht="36" customHeight="1">
      <c r="A1288" s="46" t="n">
        <v>3618</v>
      </c>
      <c r="B1288" s="4">
        <f>+VLOOKUP($A1288,MAGAZZINO!$B$2:$M$100000,2,FALSE)</f>
        <v/>
      </c>
      <c r="C1288" s="29">
        <f>+VLOOKUP($A1288,MAGAZZINO!$B$2:$M$100000,3,FALSE)</f>
        <v/>
      </c>
      <c r="D1288" s="3">
        <f>+VLOOKUP($A1288,MAGAZZINO!$B$2:$M$100000,4,FALSE)</f>
        <v/>
      </c>
      <c r="E1288" s="3">
        <f>+VLOOKUP($A1288,MAGAZZINO!$B$2:$M$100000,5,FALSE)</f>
        <v/>
      </c>
      <c r="F1288" s="3">
        <f>+VLOOKUP($A1288,MAGAZZINO!$B$2:$M$100000,6,FALSE)</f>
        <v/>
      </c>
      <c r="G1288" s="3">
        <f>+VLOOKUP($A1288,MAGAZZINO!$B$2:$M$100000,7,FALSE)</f>
        <v/>
      </c>
      <c r="H1288" s="3">
        <f>+VLOOKUP($A1288,MAGAZZINO!$B$2:$M$100000,8,FALSE)</f>
        <v/>
      </c>
      <c r="I1288" s="3">
        <f>+VLOOKUP($A1288,MAGAZZINO!$B$2:$M$100000,9,FALSE)</f>
        <v/>
      </c>
      <c r="J1288" s="3">
        <f>+VLOOKUP($A1288,MAGAZZINO!$B$2:$M$100000,10,FALSE)</f>
        <v/>
      </c>
      <c r="K1288" s="3">
        <f>+VLOOKUP($A1288,MAGAZZINO!$B$2:$M$100000,11,FALSE)</f>
        <v/>
      </c>
      <c r="L1288" s="5">
        <f>+VLOOKUP($A1288,MAGAZZINO!$B$2:$M$100000,12,FALSE)</f>
        <v/>
      </c>
      <c r="M1288" s="47" t="n"/>
      <c r="N1288" s="88" t="n">
        <v>45873</v>
      </c>
      <c r="O1288" s="156" t="inlineStr">
        <is>
          <t>BIN HUMAID NATIONAL TRADING CO. (ARABIA SAUDITA)</t>
        </is>
      </c>
      <c r="P1288" s="152" t="inlineStr">
        <is>
          <t xml:space="preserve">  IMPORT LICENSE N. 182480  (END USER CERTIFICATE)                                                                      AUT. ESPORTAZIONE MULTIPLA N. 6B/2025/2M RILASCIATA IL 26/05/2025                        (LICENZA DI SCARICO N. 6B/2025/2S RILASCIATA IL 30/07/2025)</t>
        </is>
      </c>
      <c r="Q1288" s="150" t="n"/>
      <c r="R1288" s="150" t="n"/>
      <c r="S1288" s="153" t="n"/>
    </row>
    <row r="1289" ht="36" customHeight="1">
      <c r="A1289" s="46" t="n">
        <v>3619</v>
      </c>
      <c r="B1289" s="4">
        <f>+VLOOKUP($A1289,MAGAZZINO!$B$2:$M$100000,2,FALSE)</f>
        <v/>
      </c>
      <c r="C1289" s="29">
        <f>+VLOOKUP($A1289,MAGAZZINO!$B$2:$M$100000,3,FALSE)</f>
        <v/>
      </c>
      <c r="D1289" s="3">
        <f>+VLOOKUP($A1289,MAGAZZINO!$B$2:$M$100000,4,FALSE)</f>
        <v/>
      </c>
      <c r="E1289" s="3">
        <f>+VLOOKUP($A1289,MAGAZZINO!$B$2:$M$100000,5,FALSE)</f>
        <v/>
      </c>
      <c r="F1289" s="3">
        <f>+VLOOKUP($A1289,MAGAZZINO!$B$2:$M$100000,6,FALSE)</f>
        <v/>
      </c>
      <c r="G1289" s="3">
        <f>+VLOOKUP($A1289,MAGAZZINO!$B$2:$M$100000,7,FALSE)</f>
        <v/>
      </c>
      <c r="H1289" s="3">
        <f>+VLOOKUP($A1289,MAGAZZINO!$B$2:$M$100000,8,FALSE)</f>
        <v/>
      </c>
      <c r="I1289" s="3">
        <f>+VLOOKUP($A1289,MAGAZZINO!$B$2:$M$100000,9,FALSE)</f>
        <v/>
      </c>
      <c r="J1289" s="3">
        <f>+VLOOKUP($A1289,MAGAZZINO!$B$2:$M$100000,10,FALSE)</f>
        <v/>
      </c>
      <c r="K1289" s="3">
        <f>+VLOOKUP($A1289,MAGAZZINO!$B$2:$M$100000,11,FALSE)</f>
        <v/>
      </c>
      <c r="L1289" s="5">
        <f>+VLOOKUP($A1289,MAGAZZINO!$B$2:$M$100000,12,FALSE)</f>
        <v/>
      </c>
      <c r="M1289" s="47" t="n"/>
      <c r="N1289" s="88" t="n">
        <v>45873</v>
      </c>
      <c r="O1289" s="156" t="inlineStr">
        <is>
          <t>BIN HUMAID NATIONAL TRADING CO. (ARABIA SAUDITA)</t>
        </is>
      </c>
      <c r="P1289" s="152" t="inlineStr">
        <is>
          <t xml:space="preserve">  IMPORT LICENSE N. 182480  (END USER CERTIFICATE)                                                                      AUT. ESPORTAZIONE MULTIPLA N. 6B/2025/2M RILASCIATA IL 26/05/2025                        (LICENZA DI SCARICO N. 6B/2025/2S RILASCIATA IL 30/07/2025)</t>
        </is>
      </c>
      <c r="Q1289" s="150" t="n"/>
      <c r="R1289" s="150" t="n"/>
      <c r="S1289" s="153" t="n"/>
    </row>
    <row r="1290" ht="36" customHeight="1">
      <c r="A1290" s="46" t="n">
        <v>3620</v>
      </c>
      <c r="B1290" s="4">
        <f>+VLOOKUP($A1290,MAGAZZINO!$B$2:$M$100000,2,FALSE)</f>
        <v/>
      </c>
      <c r="C1290" s="29">
        <f>+VLOOKUP($A1290,MAGAZZINO!$B$2:$M$100000,3,FALSE)</f>
        <v/>
      </c>
      <c r="D1290" s="3">
        <f>+VLOOKUP($A1290,MAGAZZINO!$B$2:$M$100000,4,FALSE)</f>
        <v/>
      </c>
      <c r="E1290" s="3">
        <f>+VLOOKUP($A1290,MAGAZZINO!$B$2:$M$100000,5,FALSE)</f>
        <v/>
      </c>
      <c r="F1290" s="3">
        <f>+VLOOKUP($A1290,MAGAZZINO!$B$2:$M$100000,6,FALSE)</f>
        <v/>
      </c>
      <c r="G1290" s="3">
        <f>+VLOOKUP($A1290,MAGAZZINO!$B$2:$M$100000,7,FALSE)</f>
        <v/>
      </c>
      <c r="H1290" s="3">
        <f>+VLOOKUP($A1290,MAGAZZINO!$B$2:$M$100000,8,FALSE)</f>
        <v/>
      </c>
      <c r="I1290" s="3">
        <f>+VLOOKUP($A1290,MAGAZZINO!$B$2:$M$100000,9,FALSE)</f>
        <v/>
      </c>
      <c r="J1290" s="3">
        <f>+VLOOKUP($A1290,MAGAZZINO!$B$2:$M$100000,10,FALSE)</f>
        <v/>
      </c>
      <c r="K1290" s="3">
        <f>+VLOOKUP($A1290,MAGAZZINO!$B$2:$M$100000,11,FALSE)</f>
        <v/>
      </c>
      <c r="L1290" s="5">
        <f>+VLOOKUP($A1290,MAGAZZINO!$B$2:$M$100000,12,FALSE)</f>
        <v/>
      </c>
      <c r="M1290" s="47" t="n"/>
      <c r="N1290" s="88" t="n">
        <v>45873</v>
      </c>
      <c r="O1290" s="156" t="inlineStr">
        <is>
          <t>BIN HUMAID NATIONAL TRADING CO. (ARABIA SAUDITA)</t>
        </is>
      </c>
      <c r="P1290" s="152" t="inlineStr">
        <is>
          <t xml:space="preserve">  IMPORT LICENSE N. 182480  (END USER CERTIFICATE)                                                                      AUT. ESPORTAZIONE MULTIPLA N. 6B/2025/2M RILASCIATA IL 26/05/2025                        (LICENZA DI SCARICO N. 6B/2025/2S RILASCIATA IL 30/07/2025)</t>
        </is>
      </c>
      <c r="Q1290" s="150" t="n"/>
      <c r="R1290" s="150" t="n"/>
      <c r="S1290" s="153" t="n"/>
    </row>
    <row r="1291" ht="36" customHeight="1">
      <c r="A1291" s="46" t="n">
        <v>3621</v>
      </c>
      <c r="B1291" s="4">
        <f>+VLOOKUP($A1291,MAGAZZINO!$B$2:$M$100000,2,FALSE)</f>
        <v/>
      </c>
      <c r="C1291" s="29">
        <f>+VLOOKUP($A1291,MAGAZZINO!$B$2:$M$100000,3,FALSE)</f>
        <v/>
      </c>
      <c r="D1291" s="3">
        <f>+VLOOKUP($A1291,MAGAZZINO!$B$2:$M$100000,4,FALSE)</f>
        <v/>
      </c>
      <c r="E1291" s="3">
        <f>+VLOOKUP($A1291,MAGAZZINO!$B$2:$M$100000,5,FALSE)</f>
        <v/>
      </c>
      <c r="F1291" s="3">
        <f>+VLOOKUP($A1291,MAGAZZINO!$B$2:$M$100000,6,FALSE)</f>
        <v/>
      </c>
      <c r="G1291" s="3">
        <f>+VLOOKUP($A1291,MAGAZZINO!$B$2:$M$100000,7,FALSE)</f>
        <v/>
      </c>
      <c r="H1291" s="3">
        <f>+VLOOKUP($A1291,MAGAZZINO!$B$2:$M$100000,8,FALSE)</f>
        <v/>
      </c>
      <c r="I1291" s="3">
        <f>+VLOOKUP($A1291,MAGAZZINO!$B$2:$M$100000,9,FALSE)</f>
        <v/>
      </c>
      <c r="J1291" s="3">
        <f>+VLOOKUP($A1291,MAGAZZINO!$B$2:$M$100000,10,FALSE)</f>
        <v/>
      </c>
      <c r="K1291" s="3">
        <f>+VLOOKUP($A1291,MAGAZZINO!$B$2:$M$100000,11,FALSE)</f>
        <v/>
      </c>
      <c r="L1291" s="5">
        <f>+VLOOKUP($A1291,MAGAZZINO!$B$2:$M$100000,12,FALSE)</f>
        <v/>
      </c>
      <c r="M1291" s="47" t="n"/>
      <c r="N1291" s="88" t="n">
        <v>45873</v>
      </c>
      <c r="O1291" s="156" t="inlineStr">
        <is>
          <t>BIN HUMAID NATIONAL TRADING CO. (ARABIA SAUDITA)</t>
        </is>
      </c>
      <c r="P1291" s="152" t="inlineStr">
        <is>
          <t xml:space="preserve">  IMPORT LICENSE N. 182480  (END USER CERTIFICATE)                                                                      AUT. ESPORTAZIONE MULTIPLA N. 6B/2025/2M RILASCIATA IL 26/05/2025                        (LICENZA DI SCARICO N. 6B/2025/2S RILASCIATA IL 30/07/2025)</t>
        </is>
      </c>
      <c r="Q1291" s="150" t="n"/>
      <c r="R1291" s="150" t="n"/>
      <c r="S1291" s="153" t="n"/>
    </row>
    <row r="1292" ht="36" customHeight="1">
      <c r="A1292" s="46" t="n">
        <v>3622</v>
      </c>
      <c r="B1292" s="4">
        <f>+VLOOKUP($A1292,MAGAZZINO!$B$2:$M$100000,2,FALSE)</f>
        <v/>
      </c>
      <c r="C1292" s="29">
        <f>+VLOOKUP($A1292,MAGAZZINO!$B$2:$M$100000,3,FALSE)</f>
        <v/>
      </c>
      <c r="D1292" s="3">
        <f>+VLOOKUP($A1292,MAGAZZINO!$B$2:$M$100000,4,FALSE)</f>
        <v/>
      </c>
      <c r="E1292" s="3">
        <f>+VLOOKUP($A1292,MAGAZZINO!$B$2:$M$100000,5,FALSE)</f>
        <v/>
      </c>
      <c r="F1292" s="3">
        <f>+VLOOKUP($A1292,MAGAZZINO!$B$2:$M$100000,6,FALSE)</f>
        <v/>
      </c>
      <c r="G1292" s="3">
        <f>+VLOOKUP($A1292,MAGAZZINO!$B$2:$M$100000,7,FALSE)</f>
        <v/>
      </c>
      <c r="H1292" s="3">
        <f>+VLOOKUP($A1292,MAGAZZINO!$B$2:$M$100000,8,FALSE)</f>
        <v/>
      </c>
      <c r="I1292" s="3">
        <f>+VLOOKUP($A1292,MAGAZZINO!$B$2:$M$100000,9,FALSE)</f>
        <v/>
      </c>
      <c r="J1292" s="3">
        <f>+VLOOKUP($A1292,MAGAZZINO!$B$2:$M$100000,10,FALSE)</f>
        <v/>
      </c>
      <c r="K1292" s="3">
        <f>+VLOOKUP($A1292,MAGAZZINO!$B$2:$M$100000,11,FALSE)</f>
        <v/>
      </c>
      <c r="L1292" s="5">
        <f>+VLOOKUP($A1292,MAGAZZINO!$B$2:$M$100000,12,FALSE)</f>
        <v/>
      </c>
      <c r="M1292" s="47" t="n"/>
      <c r="N1292" s="88" t="n">
        <v>45873</v>
      </c>
      <c r="O1292" s="156" t="inlineStr">
        <is>
          <t>BIN HUMAID NATIONAL TRADING CO. (ARABIA SAUDITA)</t>
        </is>
      </c>
      <c r="P1292" s="152" t="inlineStr">
        <is>
          <t xml:space="preserve">  IMPORT LICENSE N. 182480  (END USER CERTIFICATE)                                                                      AUT. ESPORTAZIONE MULTIPLA N. 6B/2025/2M RILASCIATA IL 26/05/2025                        (LICENZA DI SCARICO N. 6B/2025/2S RILASCIATA IL 30/07/2025)</t>
        </is>
      </c>
      <c r="Q1292" s="150" t="n"/>
      <c r="R1292" s="150" t="n"/>
      <c r="S1292" s="153" t="n"/>
    </row>
    <row r="1293" ht="36" customHeight="1">
      <c r="A1293" s="46" t="n">
        <v>3623</v>
      </c>
      <c r="B1293" s="4">
        <f>+VLOOKUP($A1293,MAGAZZINO!$B$2:$M$100000,2,FALSE)</f>
        <v/>
      </c>
      <c r="C1293" s="29">
        <f>+VLOOKUP($A1293,MAGAZZINO!$B$2:$M$100000,3,FALSE)</f>
        <v/>
      </c>
      <c r="D1293" s="3">
        <f>+VLOOKUP($A1293,MAGAZZINO!$B$2:$M$100000,4,FALSE)</f>
        <v/>
      </c>
      <c r="E1293" s="3">
        <f>+VLOOKUP($A1293,MAGAZZINO!$B$2:$M$100000,5,FALSE)</f>
        <v/>
      </c>
      <c r="F1293" s="3">
        <f>+VLOOKUP($A1293,MAGAZZINO!$B$2:$M$100000,6,FALSE)</f>
        <v/>
      </c>
      <c r="G1293" s="3">
        <f>+VLOOKUP($A1293,MAGAZZINO!$B$2:$M$100000,7,FALSE)</f>
        <v/>
      </c>
      <c r="H1293" s="3">
        <f>+VLOOKUP($A1293,MAGAZZINO!$B$2:$M$100000,8,FALSE)</f>
        <v/>
      </c>
      <c r="I1293" s="3">
        <f>+VLOOKUP($A1293,MAGAZZINO!$B$2:$M$100000,9,FALSE)</f>
        <v/>
      </c>
      <c r="J1293" s="3">
        <f>+VLOOKUP($A1293,MAGAZZINO!$B$2:$M$100000,10,FALSE)</f>
        <v/>
      </c>
      <c r="K1293" s="3">
        <f>+VLOOKUP($A1293,MAGAZZINO!$B$2:$M$100000,11,FALSE)</f>
        <v/>
      </c>
      <c r="L1293" s="5">
        <f>+VLOOKUP($A1293,MAGAZZINO!$B$2:$M$100000,12,FALSE)</f>
        <v/>
      </c>
      <c r="M1293" s="47" t="n"/>
      <c r="N1293" s="88" t="n">
        <v>45873</v>
      </c>
      <c r="O1293" s="156" t="inlineStr">
        <is>
          <t>BIN HUMAID NATIONAL TRADING CO. (ARABIA SAUDITA)</t>
        </is>
      </c>
      <c r="P1293" s="152" t="inlineStr">
        <is>
          <t xml:space="preserve">  IMPORT LICENSE N. 182480  (END USER CERTIFICATE)                                                                      AUT. ESPORTAZIONE MULTIPLA N. 6B/2025/2M RILASCIATA IL 26/05/2025                        (LICENZA DI SCARICO N. 6B/2025/2S RILASCIATA IL 30/07/2025)</t>
        </is>
      </c>
      <c r="Q1293" s="150" t="n"/>
      <c r="R1293" s="150" t="n"/>
      <c r="S1293" s="153" t="n"/>
    </row>
    <row r="1294" ht="36" customHeight="1">
      <c r="A1294" s="46" t="n">
        <v>3624</v>
      </c>
      <c r="B1294" s="4">
        <f>+VLOOKUP($A1294,MAGAZZINO!$B$2:$M$100000,2,FALSE)</f>
        <v/>
      </c>
      <c r="C1294" s="29">
        <f>+VLOOKUP($A1294,MAGAZZINO!$B$2:$M$100000,3,FALSE)</f>
        <v/>
      </c>
      <c r="D1294" s="3">
        <f>+VLOOKUP($A1294,MAGAZZINO!$B$2:$M$100000,4,FALSE)</f>
        <v/>
      </c>
      <c r="E1294" s="3">
        <f>+VLOOKUP($A1294,MAGAZZINO!$B$2:$M$100000,5,FALSE)</f>
        <v/>
      </c>
      <c r="F1294" s="3">
        <f>+VLOOKUP($A1294,MAGAZZINO!$B$2:$M$100000,6,FALSE)</f>
        <v/>
      </c>
      <c r="G1294" s="3">
        <f>+VLOOKUP($A1294,MAGAZZINO!$B$2:$M$100000,7,FALSE)</f>
        <v/>
      </c>
      <c r="H1294" s="3">
        <f>+VLOOKUP($A1294,MAGAZZINO!$B$2:$M$100000,8,FALSE)</f>
        <v/>
      </c>
      <c r="I1294" s="3">
        <f>+VLOOKUP($A1294,MAGAZZINO!$B$2:$M$100000,9,FALSE)</f>
        <v/>
      </c>
      <c r="J1294" s="3">
        <f>+VLOOKUP($A1294,MAGAZZINO!$B$2:$M$100000,10,FALSE)</f>
        <v/>
      </c>
      <c r="K1294" s="3">
        <f>+VLOOKUP($A1294,MAGAZZINO!$B$2:$M$100000,11,FALSE)</f>
        <v/>
      </c>
      <c r="L1294" s="5">
        <f>+VLOOKUP($A1294,MAGAZZINO!$B$2:$M$100000,12,FALSE)</f>
        <v/>
      </c>
      <c r="M1294" s="47" t="n"/>
      <c r="N1294" s="88" t="n">
        <v>45873</v>
      </c>
      <c r="O1294" s="156" t="inlineStr">
        <is>
          <t>BIN HUMAID NATIONAL TRADING CO. (ARABIA SAUDITA)</t>
        </is>
      </c>
      <c r="P1294" s="152" t="inlineStr">
        <is>
          <t xml:space="preserve">  IMPORT LICENSE N. 182480  (END USER CERTIFICATE)                                                                      AUT. ESPORTAZIONE MULTIPLA N. 6B/2025/2M RILASCIATA IL 26/05/2025                        (LICENZA DI SCARICO N. 6B/2025/2S RILASCIATA IL 30/07/2025)</t>
        </is>
      </c>
      <c r="Q1294" s="150" t="n"/>
      <c r="R1294" s="150" t="n"/>
      <c r="S1294" s="153" t="n"/>
    </row>
    <row r="1295" ht="36" customHeight="1">
      <c r="A1295" s="46" t="n">
        <v>3625</v>
      </c>
      <c r="B1295" s="4">
        <f>+VLOOKUP($A1295,MAGAZZINO!$B$2:$M$100000,2,FALSE)</f>
        <v/>
      </c>
      <c r="C1295" s="29">
        <f>+VLOOKUP($A1295,MAGAZZINO!$B$2:$M$100000,3,FALSE)</f>
        <v/>
      </c>
      <c r="D1295" s="3">
        <f>+VLOOKUP($A1295,MAGAZZINO!$B$2:$M$100000,4,FALSE)</f>
        <v/>
      </c>
      <c r="E1295" s="3">
        <f>+VLOOKUP($A1295,MAGAZZINO!$B$2:$M$100000,5,FALSE)</f>
        <v/>
      </c>
      <c r="F1295" s="3">
        <f>+VLOOKUP($A1295,MAGAZZINO!$B$2:$M$100000,6,FALSE)</f>
        <v/>
      </c>
      <c r="G1295" s="3">
        <f>+VLOOKUP($A1295,MAGAZZINO!$B$2:$M$100000,7,FALSE)</f>
        <v/>
      </c>
      <c r="H1295" s="3">
        <f>+VLOOKUP($A1295,MAGAZZINO!$B$2:$M$100000,8,FALSE)</f>
        <v/>
      </c>
      <c r="I1295" s="3">
        <f>+VLOOKUP($A1295,MAGAZZINO!$B$2:$M$100000,9,FALSE)</f>
        <v/>
      </c>
      <c r="J1295" s="3">
        <f>+VLOOKUP($A1295,MAGAZZINO!$B$2:$M$100000,10,FALSE)</f>
        <v/>
      </c>
      <c r="K1295" s="3">
        <f>+VLOOKUP($A1295,MAGAZZINO!$B$2:$M$100000,11,FALSE)</f>
        <v/>
      </c>
      <c r="L1295" s="5">
        <f>+VLOOKUP($A1295,MAGAZZINO!$B$2:$M$100000,12,FALSE)</f>
        <v/>
      </c>
      <c r="M1295" s="47" t="n"/>
      <c r="N1295" s="88" t="n">
        <v>45873</v>
      </c>
      <c r="O1295" s="156" t="inlineStr">
        <is>
          <t>BIN HUMAID NATIONAL TRADING CO. (ARABIA SAUDITA)</t>
        </is>
      </c>
      <c r="P1295" s="152" t="inlineStr">
        <is>
          <t xml:space="preserve">  IMPORT LICENSE N. 182480  (END USER CERTIFICATE)                                                                      AUT. ESPORTAZIONE MULTIPLA N. 6B/2025/2M RILASCIATA IL 26/05/2025                        (LICENZA DI SCARICO N. 6B/2025/2S RILASCIATA IL 30/07/2025)</t>
        </is>
      </c>
      <c r="Q1295" s="150" t="n"/>
      <c r="R1295" s="150" t="n"/>
      <c r="S1295" s="153" t="n"/>
    </row>
    <row r="1296" ht="36" customHeight="1">
      <c r="A1296" s="46" t="n">
        <v>3626</v>
      </c>
      <c r="B1296" s="4">
        <f>+VLOOKUP($A1296,MAGAZZINO!$B$2:$M$100000,2,FALSE)</f>
        <v/>
      </c>
      <c r="C1296" s="29">
        <f>+VLOOKUP($A1296,MAGAZZINO!$B$2:$M$100000,3,FALSE)</f>
        <v/>
      </c>
      <c r="D1296" s="3">
        <f>+VLOOKUP($A1296,MAGAZZINO!$B$2:$M$100000,4,FALSE)</f>
        <v/>
      </c>
      <c r="E1296" s="3">
        <f>+VLOOKUP($A1296,MAGAZZINO!$B$2:$M$100000,5,FALSE)</f>
        <v/>
      </c>
      <c r="F1296" s="3">
        <f>+VLOOKUP($A1296,MAGAZZINO!$B$2:$M$100000,6,FALSE)</f>
        <v/>
      </c>
      <c r="G1296" s="3">
        <f>+VLOOKUP($A1296,MAGAZZINO!$B$2:$M$100000,7,FALSE)</f>
        <v/>
      </c>
      <c r="H1296" s="3">
        <f>+VLOOKUP($A1296,MAGAZZINO!$B$2:$M$100000,8,FALSE)</f>
        <v/>
      </c>
      <c r="I1296" s="3">
        <f>+VLOOKUP($A1296,MAGAZZINO!$B$2:$M$100000,9,FALSE)</f>
        <v/>
      </c>
      <c r="J1296" s="3">
        <f>+VLOOKUP($A1296,MAGAZZINO!$B$2:$M$100000,10,FALSE)</f>
        <v/>
      </c>
      <c r="K1296" s="3">
        <f>+VLOOKUP($A1296,MAGAZZINO!$B$2:$M$100000,11,FALSE)</f>
        <v/>
      </c>
      <c r="L1296" s="5">
        <f>+VLOOKUP($A1296,MAGAZZINO!$B$2:$M$100000,12,FALSE)</f>
        <v/>
      </c>
      <c r="M1296" s="47" t="n"/>
      <c r="N1296" s="88" t="n">
        <v>45873</v>
      </c>
      <c r="O1296" s="156" t="inlineStr">
        <is>
          <t>BIN HUMAID NATIONAL TRADING CO. (ARABIA SAUDITA)</t>
        </is>
      </c>
      <c r="P1296" s="152" t="inlineStr">
        <is>
          <t xml:space="preserve">  IMPORT LICENSE N. 182480  (END USER CERTIFICATE)                                                                      AUT. ESPORTAZIONE MULTIPLA N. 6B/2025/2M RILASCIATA IL 26/05/2025                        (LICENZA DI SCARICO N. 6B/2025/2S RILASCIATA IL 30/07/2025)</t>
        </is>
      </c>
      <c r="Q1296" s="150" t="n"/>
      <c r="R1296" s="150" t="n"/>
      <c r="S1296" s="153" t="n"/>
    </row>
    <row r="1297" ht="36" customHeight="1">
      <c r="A1297" s="46" t="n">
        <v>3627</v>
      </c>
      <c r="B1297" s="4">
        <f>+VLOOKUP($A1297,MAGAZZINO!$B$2:$M$100000,2,FALSE)</f>
        <v/>
      </c>
      <c r="C1297" s="29">
        <f>+VLOOKUP($A1297,MAGAZZINO!$B$2:$M$100000,3,FALSE)</f>
        <v/>
      </c>
      <c r="D1297" s="3">
        <f>+VLOOKUP($A1297,MAGAZZINO!$B$2:$M$100000,4,FALSE)</f>
        <v/>
      </c>
      <c r="E1297" s="3">
        <f>+VLOOKUP($A1297,MAGAZZINO!$B$2:$M$100000,5,FALSE)</f>
        <v/>
      </c>
      <c r="F1297" s="3">
        <f>+VLOOKUP($A1297,MAGAZZINO!$B$2:$M$100000,6,FALSE)</f>
        <v/>
      </c>
      <c r="G1297" s="3">
        <f>+VLOOKUP($A1297,MAGAZZINO!$B$2:$M$100000,7,FALSE)</f>
        <v/>
      </c>
      <c r="H1297" s="3">
        <f>+VLOOKUP($A1297,MAGAZZINO!$B$2:$M$100000,8,FALSE)</f>
        <v/>
      </c>
      <c r="I1297" s="3">
        <f>+VLOOKUP($A1297,MAGAZZINO!$B$2:$M$100000,9,FALSE)</f>
        <v/>
      </c>
      <c r="J1297" s="3">
        <f>+VLOOKUP($A1297,MAGAZZINO!$B$2:$M$100000,10,FALSE)</f>
        <v/>
      </c>
      <c r="K1297" s="3">
        <f>+VLOOKUP($A1297,MAGAZZINO!$B$2:$M$100000,11,FALSE)</f>
        <v/>
      </c>
      <c r="L1297" s="5">
        <f>+VLOOKUP($A1297,MAGAZZINO!$B$2:$M$100000,12,FALSE)</f>
        <v/>
      </c>
      <c r="M1297" s="47" t="n"/>
      <c r="N1297" s="88" t="n">
        <v>45873</v>
      </c>
      <c r="O1297" s="156" t="inlineStr">
        <is>
          <t>BIN HUMAID NATIONAL TRADING CO. (ARABIA SAUDITA)</t>
        </is>
      </c>
      <c r="P1297" s="152" t="inlineStr">
        <is>
          <t xml:space="preserve">  IMPORT LICENSE N. 182480  (END USER CERTIFICATE)                                                                      AUT. ESPORTAZIONE MULTIPLA N. 6B/2025/2M RILASCIATA IL 26/05/2025                        (LICENZA DI SCARICO N. 6B/2025/2S RILASCIATA IL 30/07/2025)</t>
        </is>
      </c>
      <c r="Q1297" s="150" t="n"/>
      <c r="R1297" s="150" t="n"/>
      <c r="S1297" s="153" t="n"/>
    </row>
    <row r="1298" ht="36" customHeight="1">
      <c r="A1298" s="46" t="n">
        <v>3628</v>
      </c>
      <c r="B1298" s="4">
        <f>+VLOOKUP($A1298,MAGAZZINO!$B$2:$M$100000,2,FALSE)</f>
        <v/>
      </c>
      <c r="C1298" s="29">
        <f>+VLOOKUP($A1298,MAGAZZINO!$B$2:$M$100000,3,FALSE)</f>
        <v/>
      </c>
      <c r="D1298" s="3">
        <f>+VLOOKUP($A1298,MAGAZZINO!$B$2:$M$100000,4,FALSE)</f>
        <v/>
      </c>
      <c r="E1298" s="3">
        <f>+VLOOKUP($A1298,MAGAZZINO!$B$2:$M$100000,5,FALSE)</f>
        <v/>
      </c>
      <c r="F1298" s="3">
        <f>+VLOOKUP($A1298,MAGAZZINO!$B$2:$M$100000,6,FALSE)</f>
        <v/>
      </c>
      <c r="G1298" s="3">
        <f>+VLOOKUP($A1298,MAGAZZINO!$B$2:$M$100000,7,FALSE)</f>
        <v/>
      </c>
      <c r="H1298" s="3">
        <f>+VLOOKUP($A1298,MAGAZZINO!$B$2:$M$100000,8,FALSE)</f>
        <v/>
      </c>
      <c r="I1298" s="3">
        <f>+VLOOKUP($A1298,MAGAZZINO!$B$2:$M$100000,9,FALSE)</f>
        <v/>
      </c>
      <c r="J1298" s="3">
        <f>+VLOOKUP($A1298,MAGAZZINO!$B$2:$M$100000,10,FALSE)</f>
        <v/>
      </c>
      <c r="K1298" s="3">
        <f>+VLOOKUP($A1298,MAGAZZINO!$B$2:$M$100000,11,FALSE)</f>
        <v/>
      </c>
      <c r="L1298" s="5">
        <f>+VLOOKUP($A1298,MAGAZZINO!$B$2:$M$100000,12,FALSE)</f>
        <v/>
      </c>
      <c r="M1298" s="47" t="n"/>
      <c r="N1298" s="88" t="n">
        <v>45873</v>
      </c>
      <c r="O1298" s="156" t="inlineStr">
        <is>
          <t>BIN HUMAID NATIONAL TRADING CO. (ARABIA SAUDITA)</t>
        </is>
      </c>
      <c r="P1298" s="152" t="inlineStr">
        <is>
          <t xml:space="preserve">  IMPORT LICENSE N. 182480  (END USER CERTIFICATE)                                                                      AUT. ESPORTAZIONE MULTIPLA N. 6B/2025/2M RILASCIATA IL 26/05/2025                        (LICENZA DI SCARICO N. 6B/2025/2S RILASCIATA IL 30/07/2025)</t>
        </is>
      </c>
      <c r="Q1298" s="150" t="n"/>
      <c r="R1298" s="150" t="n"/>
      <c r="S1298" s="153" t="n"/>
    </row>
    <row r="1299" ht="36" customHeight="1">
      <c r="A1299" s="46" t="n">
        <v>3629</v>
      </c>
      <c r="B1299" s="4">
        <f>+VLOOKUP($A1299,MAGAZZINO!$B$2:$M$100000,2,FALSE)</f>
        <v/>
      </c>
      <c r="C1299" s="29">
        <f>+VLOOKUP($A1299,MAGAZZINO!$B$2:$M$100000,3,FALSE)</f>
        <v/>
      </c>
      <c r="D1299" s="3">
        <f>+VLOOKUP($A1299,MAGAZZINO!$B$2:$M$100000,4,FALSE)</f>
        <v/>
      </c>
      <c r="E1299" s="3">
        <f>+VLOOKUP($A1299,MAGAZZINO!$B$2:$M$100000,5,FALSE)</f>
        <v/>
      </c>
      <c r="F1299" s="3">
        <f>+VLOOKUP($A1299,MAGAZZINO!$B$2:$M$100000,6,FALSE)</f>
        <v/>
      </c>
      <c r="G1299" s="3">
        <f>+VLOOKUP($A1299,MAGAZZINO!$B$2:$M$100000,7,FALSE)</f>
        <v/>
      </c>
      <c r="H1299" s="3">
        <f>+VLOOKUP($A1299,MAGAZZINO!$B$2:$M$100000,8,FALSE)</f>
        <v/>
      </c>
      <c r="I1299" s="3">
        <f>+VLOOKUP($A1299,MAGAZZINO!$B$2:$M$100000,9,FALSE)</f>
        <v/>
      </c>
      <c r="J1299" s="3">
        <f>+VLOOKUP($A1299,MAGAZZINO!$B$2:$M$100000,10,FALSE)</f>
        <v/>
      </c>
      <c r="K1299" s="3">
        <f>+VLOOKUP($A1299,MAGAZZINO!$B$2:$M$100000,11,FALSE)</f>
        <v/>
      </c>
      <c r="L1299" s="5">
        <f>+VLOOKUP($A1299,MAGAZZINO!$B$2:$M$100000,12,FALSE)</f>
        <v/>
      </c>
      <c r="M1299" s="47" t="n"/>
      <c r="N1299" s="88" t="n">
        <v>45873</v>
      </c>
      <c r="O1299" s="156" t="inlineStr">
        <is>
          <t>BIN HUMAID NATIONAL TRADING CO. (ARABIA SAUDITA)</t>
        </is>
      </c>
      <c r="P1299" s="152" t="inlineStr">
        <is>
          <t xml:space="preserve">  IMPORT LICENSE N. 182480  (END USER CERTIFICATE)                                                                      AUT. ESPORTAZIONE MULTIPLA N. 6B/2025/2M RILASCIATA IL 26/05/2025                        (LICENZA DI SCARICO N. 6B/2025/2S RILASCIATA IL 30/07/2025)</t>
        </is>
      </c>
      <c r="Q1299" s="150" t="n"/>
      <c r="R1299" s="150" t="n"/>
      <c r="S1299" s="153" t="n"/>
    </row>
    <row r="1300" ht="36" customHeight="1">
      <c r="A1300" s="46" t="n">
        <v>3630</v>
      </c>
      <c r="B1300" s="4">
        <f>+VLOOKUP($A1300,MAGAZZINO!$B$2:$M$100000,2,FALSE)</f>
        <v/>
      </c>
      <c r="C1300" s="29">
        <f>+VLOOKUP($A1300,MAGAZZINO!$B$2:$M$100000,3,FALSE)</f>
        <v/>
      </c>
      <c r="D1300" s="3">
        <f>+VLOOKUP($A1300,MAGAZZINO!$B$2:$M$100000,4,FALSE)</f>
        <v/>
      </c>
      <c r="E1300" s="3">
        <f>+VLOOKUP($A1300,MAGAZZINO!$B$2:$M$100000,5,FALSE)</f>
        <v/>
      </c>
      <c r="F1300" s="3">
        <f>+VLOOKUP($A1300,MAGAZZINO!$B$2:$M$100000,6,FALSE)</f>
        <v/>
      </c>
      <c r="G1300" s="3">
        <f>+VLOOKUP($A1300,MAGAZZINO!$B$2:$M$100000,7,FALSE)</f>
        <v/>
      </c>
      <c r="H1300" s="3">
        <f>+VLOOKUP($A1300,MAGAZZINO!$B$2:$M$100000,8,FALSE)</f>
        <v/>
      </c>
      <c r="I1300" s="3">
        <f>+VLOOKUP($A1300,MAGAZZINO!$B$2:$M$100000,9,FALSE)</f>
        <v/>
      </c>
      <c r="J1300" s="3">
        <f>+VLOOKUP($A1300,MAGAZZINO!$B$2:$M$100000,10,FALSE)</f>
        <v/>
      </c>
      <c r="K1300" s="3">
        <f>+VLOOKUP($A1300,MAGAZZINO!$B$2:$M$100000,11,FALSE)</f>
        <v/>
      </c>
      <c r="L1300" s="5">
        <f>+VLOOKUP($A1300,MAGAZZINO!$B$2:$M$100000,12,FALSE)</f>
        <v/>
      </c>
      <c r="M1300" s="47" t="n"/>
      <c r="N1300" s="88" t="n">
        <v>45873</v>
      </c>
      <c r="O1300" s="156" t="inlineStr">
        <is>
          <t>BIN HUMAID NATIONAL TRADING CO. (ARABIA SAUDITA)</t>
        </is>
      </c>
      <c r="P1300" s="152" t="inlineStr">
        <is>
          <t xml:space="preserve">  IMPORT LICENSE N. 182480  (END USER CERTIFICATE)                                                                      AUT. ESPORTAZIONE MULTIPLA N. 6B/2025/2M RILASCIATA IL 26/05/2025                        (LICENZA DI SCARICO N. 6B/2025/2S RILASCIATA IL 30/07/2025)</t>
        </is>
      </c>
      <c r="Q1300" s="150" t="n"/>
      <c r="R1300" s="150" t="n"/>
      <c r="S1300" s="153" t="n"/>
    </row>
    <row r="1301" ht="36" customHeight="1">
      <c r="A1301" s="46" t="n">
        <v>3631</v>
      </c>
      <c r="B1301" s="4">
        <f>+VLOOKUP($A1301,MAGAZZINO!$B$2:$M$100000,2,FALSE)</f>
        <v/>
      </c>
      <c r="C1301" s="29">
        <f>+VLOOKUP($A1301,MAGAZZINO!$B$2:$M$100000,3,FALSE)</f>
        <v/>
      </c>
      <c r="D1301" s="3">
        <f>+VLOOKUP($A1301,MAGAZZINO!$B$2:$M$100000,4,FALSE)</f>
        <v/>
      </c>
      <c r="E1301" s="3">
        <f>+VLOOKUP($A1301,MAGAZZINO!$B$2:$M$100000,5,FALSE)</f>
        <v/>
      </c>
      <c r="F1301" s="3">
        <f>+VLOOKUP($A1301,MAGAZZINO!$B$2:$M$100000,6,FALSE)</f>
        <v/>
      </c>
      <c r="G1301" s="3">
        <f>+VLOOKUP($A1301,MAGAZZINO!$B$2:$M$100000,7,FALSE)</f>
        <v/>
      </c>
      <c r="H1301" s="3">
        <f>+VLOOKUP($A1301,MAGAZZINO!$B$2:$M$100000,8,FALSE)</f>
        <v/>
      </c>
      <c r="I1301" s="3">
        <f>+VLOOKUP($A1301,MAGAZZINO!$B$2:$M$100000,9,FALSE)</f>
        <v/>
      </c>
      <c r="J1301" s="3">
        <f>+VLOOKUP($A1301,MAGAZZINO!$B$2:$M$100000,10,FALSE)</f>
        <v/>
      </c>
      <c r="K1301" s="3">
        <f>+VLOOKUP($A1301,MAGAZZINO!$B$2:$M$100000,11,FALSE)</f>
        <v/>
      </c>
      <c r="L1301" s="5">
        <f>+VLOOKUP($A1301,MAGAZZINO!$B$2:$M$100000,12,FALSE)</f>
        <v/>
      </c>
      <c r="M1301" s="47" t="n"/>
      <c r="N1301" s="88" t="n">
        <v>45873</v>
      </c>
      <c r="O1301" s="156" t="inlineStr">
        <is>
          <t>BIN HUMAID NATIONAL TRADING CO. (ARABIA SAUDITA)</t>
        </is>
      </c>
      <c r="P1301" s="152" t="inlineStr">
        <is>
          <t xml:space="preserve">  IMPORT LICENSE N. 182480  (END USER CERTIFICATE)                                                                      AUT. ESPORTAZIONE MULTIPLA N. 6B/2025/2M RILASCIATA IL 26/05/2025                        (LICENZA DI SCARICO N. 6B/2025/2S RILASCIATA IL 30/07/2025)</t>
        </is>
      </c>
      <c r="Q1301" s="150" t="n"/>
      <c r="R1301" s="150" t="n"/>
      <c r="S1301" s="153" t="n"/>
    </row>
    <row r="1302" ht="36" customHeight="1">
      <c r="A1302" s="46" t="n">
        <v>3632</v>
      </c>
      <c r="B1302" s="4">
        <f>+VLOOKUP($A1302,MAGAZZINO!$B$2:$M$100000,2,FALSE)</f>
        <v/>
      </c>
      <c r="C1302" s="29">
        <f>+VLOOKUP($A1302,MAGAZZINO!$B$2:$M$100000,3,FALSE)</f>
        <v/>
      </c>
      <c r="D1302" s="3">
        <f>+VLOOKUP($A1302,MAGAZZINO!$B$2:$M$100000,4,FALSE)</f>
        <v/>
      </c>
      <c r="E1302" s="3">
        <f>+VLOOKUP($A1302,MAGAZZINO!$B$2:$M$100000,5,FALSE)</f>
        <v/>
      </c>
      <c r="F1302" s="3">
        <f>+VLOOKUP($A1302,MAGAZZINO!$B$2:$M$100000,6,FALSE)</f>
        <v/>
      </c>
      <c r="G1302" s="3">
        <f>+VLOOKUP($A1302,MAGAZZINO!$B$2:$M$100000,7,FALSE)</f>
        <v/>
      </c>
      <c r="H1302" s="3">
        <f>+VLOOKUP($A1302,MAGAZZINO!$B$2:$M$100000,8,FALSE)</f>
        <v/>
      </c>
      <c r="I1302" s="3">
        <f>+VLOOKUP($A1302,MAGAZZINO!$B$2:$M$100000,9,FALSE)</f>
        <v/>
      </c>
      <c r="J1302" s="3">
        <f>+VLOOKUP($A1302,MAGAZZINO!$B$2:$M$100000,10,FALSE)</f>
        <v/>
      </c>
      <c r="K1302" s="3">
        <f>+VLOOKUP($A1302,MAGAZZINO!$B$2:$M$100000,11,FALSE)</f>
        <v/>
      </c>
      <c r="L1302" s="5">
        <f>+VLOOKUP($A1302,MAGAZZINO!$B$2:$M$100000,12,FALSE)</f>
        <v/>
      </c>
      <c r="M1302" s="47" t="n"/>
      <c r="N1302" s="88" t="n">
        <v>45873</v>
      </c>
      <c r="O1302" s="156" t="inlineStr">
        <is>
          <t>BIN HUMAID NATIONAL TRADING CO. (ARABIA SAUDITA)</t>
        </is>
      </c>
      <c r="P1302" s="152" t="inlineStr">
        <is>
          <t xml:space="preserve">  IMPORT LICENSE N. 182480  (END USER CERTIFICATE)                                                                      AUT. ESPORTAZIONE MULTIPLA N. 6B/2025/2M RILASCIATA IL 26/05/2025                        (LICENZA DI SCARICO N. 6B/2025/2S RILASCIATA IL 30/07/2025)</t>
        </is>
      </c>
      <c r="Q1302" s="150" t="n"/>
      <c r="R1302" s="150" t="n"/>
      <c r="S1302" s="153" t="n"/>
    </row>
    <row r="1303" ht="36" customHeight="1">
      <c r="A1303" s="46" t="n">
        <v>3633</v>
      </c>
      <c r="B1303" s="4">
        <f>+VLOOKUP($A1303,MAGAZZINO!$B$2:$M$100000,2,FALSE)</f>
        <v/>
      </c>
      <c r="C1303" s="29">
        <f>+VLOOKUP($A1303,MAGAZZINO!$B$2:$M$100000,3,FALSE)</f>
        <v/>
      </c>
      <c r="D1303" s="3">
        <f>+VLOOKUP($A1303,MAGAZZINO!$B$2:$M$100000,4,FALSE)</f>
        <v/>
      </c>
      <c r="E1303" s="3">
        <f>+VLOOKUP($A1303,MAGAZZINO!$B$2:$M$100000,5,FALSE)</f>
        <v/>
      </c>
      <c r="F1303" s="3">
        <f>+VLOOKUP($A1303,MAGAZZINO!$B$2:$M$100000,6,FALSE)</f>
        <v/>
      </c>
      <c r="G1303" s="3">
        <f>+VLOOKUP($A1303,MAGAZZINO!$B$2:$M$100000,7,FALSE)</f>
        <v/>
      </c>
      <c r="H1303" s="3">
        <f>+VLOOKUP($A1303,MAGAZZINO!$B$2:$M$100000,8,FALSE)</f>
        <v/>
      </c>
      <c r="I1303" s="3">
        <f>+VLOOKUP($A1303,MAGAZZINO!$B$2:$M$100000,9,FALSE)</f>
        <v/>
      </c>
      <c r="J1303" s="3">
        <f>+VLOOKUP($A1303,MAGAZZINO!$B$2:$M$100000,10,FALSE)</f>
        <v/>
      </c>
      <c r="K1303" s="3">
        <f>+VLOOKUP($A1303,MAGAZZINO!$B$2:$M$100000,11,FALSE)</f>
        <v/>
      </c>
      <c r="L1303" s="5">
        <f>+VLOOKUP($A1303,MAGAZZINO!$B$2:$M$100000,12,FALSE)</f>
        <v/>
      </c>
      <c r="M1303" s="47" t="n"/>
      <c r="N1303" s="88" t="n">
        <v>45873</v>
      </c>
      <c r="O1303" s="156" t="inlineStr">
        <is>
          <t>BIN HUMAID NATIONAL TRADING CO. (ARABIA SAUDITA)</t>
        </is>
      </c>
      <c r="P1303" s="152" t="inlineStr">
        <is>
          <t xml:space="preserve">  IMPORT LICENSE N. 182480  (END USER CERTIFICATE)                                                                      AUT. ESPORTAZIONE MULTIPLA N. 6B/2025/2M RILASCIATA IL 26/05/2025                        (LICENZA DI SCARICO N. 6B/2025/2S RILASCIATA IL 30/07/2025)</t>
        </is>
      </c>
      <c r="Q1303" s="150" t="n"/>
      <c r="R1303" s="150" t="n"/>
      <c r="S1303" s="153" t="n"/>
    </row>
    <row r="1304" ht="36" customHeight="1">
      <c r="A1304" s="46" t="n">
        <v>3634</v>
      </c>
      <c r="B1304" s="4">
        <f>+VLOOKUP($A1304,MAGAZZINO!$B$2:$M$100000,2,FALSE)</f>
        <v/>
      </c>
      <c r="C1304" s="29">
        <f>+VLOOKUP($A1304,MAGAZZINO!$B$2:$M$100000,3,FALSE)</f>
        <v/>
      </c>
      <c r="D1304" s="3">
        <f>+VLOOKUP($A1304,MAGAZZINO!$B$2:$M$100000,4,FALSE)</f>
        <v/>
      </c>
      <c r="E1304" s="3">
        <f>+VLOOKUP($A1304,MAGAZZINO!$B$2:$M$100000,5,FALSE)</f>
        <v/>
      </c>
      <c r="F1304" s="3">
        <f>+VLOOKUP($A1304,MAGAZZINO!$B$2:$M$100000,6,FALSE)</f>
        <v/>
      </c>
      <c r="G1304" s="3">
        <f>+VLOOKUP($A1304,MAGAZZINO!$B$2:$M$100000,7,FALSE)</f>
        <v/>
      </c>
      <c r="H1304" s="3">
        <f>+VLOOKUP($A1304,MAGAZZINO!$B$2:$M$100000,8,FALSE)</f>
        <v/>
      </c>
      <c r="I1304" s="3">
        <f>+VLOOKUP($A1304,MAGAZZINO!$B$2:$M$100000,9,FALSE)</f>
        <v/>
      </c>
      <c r="J1304" s="3">
        <f>+VLOOKUP($A1304,MAGAZZINO!$B$2:$M$100000,10,FALSE)</f>
        <v/>
      </c>
      <c r="K1304" s="3">
        <f>+VLOOKUP($A1304,MAGAZZINO!$B$2:$M$100000,11,FALSE)</f>
        <v/>
      </c>
      <c r="L1304" s="5">
        <f>+VLOOKUP($A1304,MAGAZZINO!$B$2:$M$100000,12,FALSE)</f>
        <v/>
      </c>
      <c r="M1304" s="47" t="n"/>
      <c r="N1304" s="88" t="n">
        <v>45873</v>
      </c>
      <c r="O1304" s="156" t="inlineStr">
        <is>
          <t>BIN HUMAID NATIONAL TRADING CO. (ARABIA SAUDITA)</t>
        </is>
      </c>
      <c r="P1304" s="152" t="inlineStr">
        <is>
          <t xml:space="preserve">  IMPORT LICENSE N. 182480  (END USER CERTIFICATE)                                                                      AUT. ESPORTAZIONE MULTIPLA N. 6B/2025/2M RILASCIATA IL 26/05/2025                        (LICENZA DI SCARICO N. 6B/2025/2S RILASCIATA IL 30/07/2025)</t>
        </is>
      </c>
      <c r="Q1304" s="150" t="n"/>
      <c r="R1304" s="150" t="n"/>
      <c r="S1304" s="153" t="n"/>
    </row>
    <row r="1305" ht="36" customHeight="1">
      <c r="A1305" s="46" t="n">
        <v>3635</v>
      </c>
      <c r="B1305" s="4">
        <f>+VLOOKUP($A1305,MAGAZZINO!$B$2:$M$100000,2,FALSE)</f>
        <v/>
      </c>
      <c r="C1305" s="29">
        <f>+VLOOKUP($A1305,MAGAZZINO!$B$2:$M$100000,3,FALSE)</f>
        <v/>
      </c>
      <c r="D1305" s="3">
        <f>+VLOOKUP($A1305,MAGAZZINO!$B$2:$M$100000,4,FALSE)</f>
        <v/>
      </c>
      <c r="E1305" s="3">
        <f>+VLOOKUP($A1305,MAGAZZINO!$B$2:$M$100000,5,FALSE)</f>
        <v/>
      </c>
      <c r="F1305" s="3">
        <f>+VLOOKUP($A1305,MAGAZZINO!$B$2:$M$100000,6,FALSE)</f>
        <v/>
      </c>
      <c r="G1305" s="3">
        <f>+VLOOKUP($A1305,MAGAZZINO!$B$2:$M$100000,7,FALSE)</f>
        <v/>
      </c>
      <c r="H1305" s="3">
        <f>+VLOOKUP($A1305,MAGAZZINO!$B$2:$M$100000,8,FALSE)</f>
        <v/>
      </c>
      <c r="I1305" s="3">
        <f>+VLOOKUP($A1305,MAGAZZINO!$B$2:$M$100000,9,FALSE)</f>
        <v/>
      </c>
      <c r="J1305" s="3">
        <f>+VLOOKUP($A1305,MAGAZZINO!$B$2:$M$100000,10,FALSE)</f>
        <v/>
      </c>
      <c r="K1305" s="3">
        <f>+VLOOKUP($A1305,MAGAZZINO!$B$2:$M$100000,11,FALSE)</f>
        <v/>
      </c>
      <c r="L1305" s="5">
        <f>+VLOOKUP($A1305,MAGAZZINO!$B$2:$M$100000,12,FALSE)</f>
        <v/>
      </c>
      <c r="M1305" s="47" t="n"/>
      <c r="N1305" s="88" t="n">
        <v>45873</v>
      </c>
      <c r="O1305" s="156" t="inlineStr">
        <is>
          <t>BIN HUMAID NATIONAL TRADING CO. (ARABIA SAUDITA)</t>
        </is>
      </c>
      <c r="P1305" s="152" t="inlineStr">
        <is>
          <t xml:space="preserve">  IMPORT LICENSE N. 182480  (END USER CERTIFICATE)                                                                      AUT. ESPORTAZIONE MULTIPLA N. 6B/2025/2M RILASCIATA IL 26/05/2025                        (LICENZA DI SCARICO N. 6B/2025/2S RILASCIATA IL 30/07/2025)</t>
        </is>
      </c>
      <c r="Q1305" s="150" t="n"/>
      <c r="R1305" s="150" t="n"/>
      <c r="S1305" s="153" t="n"/>
    </row>
    <row r="1306" ht="36" customHeight="1">
      <c r="A1306" s="46" t="n">
        <v>3636</v>
      </c>
      <c r="B1306" s="4">
        <f>+VLOOKUP($A1306,MAGAZZINO!$B$2:$M$100000,2,FALSE)</f>
        <v/>
      </c>
      <c r="C1306" s="29">
        <f>+VLOOKUP($A1306,MAGAZZINO!$B$2:$M$100000,3,FALSE)</f>
        <v/>
      </c>
      <c r="D1306" s="3">
        <f>+VLOOKUP($A1306,MAGAZZINO!$B$2:$M$100000,4,FALSE)</f>
        <v/>
      </c>
      <c r="E1306" s="3">
        <f>+VLOOKUP($A1306,MAGAZZINO!$B$2:$M$100000,5,FALSE)</f>
        <v/>
      </c>
      <c r="F1306" s="3">
        <f>+VLOOKUP($A1306,MAGAZZINO!$B$2:$M$100000,6,FALSE)</f>
        <v/>
      </c>
      <c r="G1306" s="3">
        <f>+VLOOKUP($A1306,MAGAZZINO!$B$2:$M$100000,7,FALSE)</f>
        <v/>
      </c>
      <c r="H1306" s="3">
        <f>+VLOOKUP($A1306,MAGAZZINO!$B$2:$M$100000,8,FALSE)</f>
        <v/>
      </c>
      <c r="I1306" s="3">
        <f>+VLOOKUP($A1306,MAGAZZINO!$B$2:$M$100000,9,FALSE)</f>
        <v/>
      </c>
      <c r="J1306" s="3">
        <f>+VLOOKUP($A1306,MAGAZZINO!$B$2:$M$100000,10,FALSE)</f>
        <v/>
      </c>
      <c r="K1306" s="3">
        <f>+VLOOKUP($A1306,MAGAZZINO!$B$2:$M$100000,11,FALSE)</f>
        <v/>
      </c>
      <c r="L1306" s="5">
        <f>+VLOOKUP($A1306,MAGAZZINO!$B$2:$M$100000,12,FALSE)</f>
        <v/>
      </c>
      <c r="M1306" s="47" t="n"/>
      <c r="N1306" s="88" t="n">
        <v>45873</v>
      </c>
      <c r="O1306" s="156" t="inlineStr">
        <is>
          <t>BIN HUMAID NATIONAL TRADING CO. (ARABIA SAUDITA)</t>
        </is>
      </c>
      <c r="P1306" s="152" t="inlineStr">
        <is>
          <t xml:space="preserve">  IMPORT LICENSE N. 182480  (END USER CERTIFICATE)                                                                      AUT. ESPORTAZIONE MULTIPLA N. 6B/2025/2M RILASCIATA IL 26/05/2025                        (LICENZA DI SCARICO N. 6B/2025/2S RILASCIATA IL 30/07/2025)</t>
        </is>
      </c>
      <c r="Q1306" s="150" t="n"/>
      <c r="R1306" s="150" t="n"/>
      <c r="S1306" s="153" t="n"/>
    </row>
    <row r="1307" ht="36" customHeight="1">
      <c r="A1307" s="46" t="n">
        <v>3637</v>
      </c>
      <c r="B1307" s="4">
        <f>+VLOOKUP($A1307,MAGAZZINO!$B$2:$M$100000,2,FALSE)</f>
        <v/>
      </c>
      <c r="C1307" s="29">
        <f>+VLOOKUP($A1307,MAGAZZINO!$B$2:$M$100000,3,FALSE)</f>
        <v/>
      </c>
      <c r="D1307" s="3">
        <f>+VLOOKUP($A1307,MAGAZZINO!$B$2:$M$100000,4,FALSE)</f>
        <v/>
      </c>
      <c r="E1307" s="3">
        <f>+VLOOKUP($A1307,MAGAZZINO!$B$2:$M$100000,5,FALSE)</f>
        <v/>
      </c>
      <c r="F1307" s="3">
        <f>+VLOOKUP($A1307,MAGAZZINO!$B$2:$M$100000,6,FALSE)</f>
        <v/>
      </c>
      <c r="G1307" s="3">
        <f>+VLOOKUP($A1307,MAGAZZINO!$B$2:$M$100000,7,FALSE)</f>
        <v/>
      </c>
      <c r="H1307" s="3">
        <f>+VLOOKUP($A1307,MAGAZZINO!$B$2:$M$100000,8,FALSE)</f>
        <v/>
      </c>
      <c r="I1307" s="3">
        <f>+VLOOKUP($A1307,MAGAZZINO!$B$2:$M$100000,9,FALSE)</f>
        <v/>
      </c>
      <c r="J1307" s="3">
        <f>+VLOOKUP($A1307,MAGAZZINO!$B$2:$M$100000,10,FALSE)</f>
        <v/>
      </c>
      <c r="K1307" s="3">
        <f>+VLOOKUP($A1307,MAGAZZINO!$B$2:$M$100000,11,FALSE)</f>
        <v/>
      </c>
      <c r="L1307" s="5">
        <f>+VLOOKUP($A1307,MAGAZZINO!$B$2:$M$100000,12,FALSE)</f>
        <v/>
      </c>
      <c r="M1307" s="47" t="n"/>
      <c r="N1307" s="88" t="n">
        <v>45873</v>
      </c>
      <c r="O1307" s="156" t="inlineStr">
        <is>
          <t>BIN HUMAID NATIONAL TRADING CO. (ARABIA SAUDITA)</t>
        </is>
      </c>
      <c r="P1307" s="152" t="inlineStr">
        <is>
          <t xml:space="preserve">  IMPORT LICENSE N. 182480  (END USER CERTIFICATE)                                                                      AUT. ESPORTAZIONE MULTIPLA N. 6B/2025/2M RILASCIATA IL 26/05/2025                        (LICENZA DI SCARICO N. 6B/2025/2S RILASCIATA IL 30/07/2025)</t>
        </is>
      </c>
      <c r="Q1307" s="150" t="n"/>
      <c r="R1307" s="150" t="n"/>
      <c r="S1307" s="153" t="n"/>
    </row>
    <row r="1308" ht="36" customHeight="1">
      <c r="A1308" s="46" t="n">
        <v>3638</v>
      </c>
      <c r="B1308" s="4">
        <f>+VLOOKUP($A1308,MAGAZZINO!$B$2:$M$100000,2,FALSE)</f>
        <v/>
      </c>
      <c r="C1308" s="29">
        <f>+VLOOKUP($A1308,MAGAZZINO!$B$2:$M$100000,3,FALSE)</f>
        <v/>
      </c>
      <c r="D1308" s="3">
        <f>+VLOOKUP($A1308,MAGAZZINO!$B$2:$M$100000,4,FALSE)</f>
        <v/>
      </c>
      <c r="E1308" s="3">
        <f>+VLOOKUP($A1308,MAGAZZINO!$B$2:$M$100000,5,FALSE)</f>
        <v/>
      </c>
      <c r="F1308" s="3">
        <f>+VLOOKUP($A1308,MAGAZZINO!$B$2:$M$100000,6,FALSE)</f>
        <v/>
      </c>
      <c r="G1308" s="3">
        <f>+VLOOKUP($A1308,MAGAZZINO!$B$2:$M$100000,7,FALSE)</f>
        <v/>
      </c>
      <c r="H1308" s="3">
        <f>+VLOOKUP($A1308,MAGAZZINO!$B$2:$M$100000,8,FALSE)</f>
        <v/>
      </c>
      <c r="I1308" s="3">
        <f>+VLOOKUP($A1308,MAGAZZINO!$B$2:$M$100000,9,FALSE)</f>
        <v/>
      </c>
      <c r="J1308" s="3">
        <f>+VLOOKUP($A1308,MAGAZZINO!$B$2:$M$100000,10,FALSE)</f>
        <v/>
      </c>
      <c r="K1308" s="3">
        <f>+VLOOKUP($A1308,MAGAZZINO!$B$2:$M$100000,11,FALSE)</f>
        <v/>
      </c>
      <c r="L1308" s="5">
        <f>+VLOOKUP($A1308,MAGAZZINO!$B$2:$M$100000,12,FALSE)</f>
        <v/>
      </c>
      <c r="M1308" s="47" t="n"/>
      <c r="N1308" s="88" t="n">
        <v>45873</v>
      </c>
      <c r="O1308" s="156" t="inlineStr">
        <is>
          <t>BIN HUMAID NATIONAL TRADING CO. (ARABIA SAUDITA)</t>
        </is>
      </c>
      <c r="P1308" s="152" t="inlineStr">
        <is>
          <t xml:space="preserve">  IMPORT LICENSE N. 182480  (END USER CERTIFICATE)                                                                      AUT. ESPORTAZIONE MULTIPLA N. 6B/2025/2M RILASCIATA IL 26/05/2025                        (LICENZA DI SCARICO N. 6B/2025/2S RILASCIATA IL 30/07/2025)</t>
        </is>
      </c>
      <c r="Q1308" s="150" t="n"/>
      <c r="R1308" s="150" t="n"/>
      <c r="S1308" s="153" t="n"/>
    </row>
    <row r="1309" ht="36" customHeight="1">
      <c r="A1309" s="46" t="n">
        <v>3639</v>
      </c>
      <c r="B1309" s="4">
        <f>+VLOOKUP($A1309,MAGAZZINO!$B$2:$M$100000,2,FALSE)</f>
        <v/>
      </c>
      <c r="C1309" s="29">
        <f>+VLOOKUP($A1309,MAGAZZINO!$B$2:$M$100000,3,FALSE)</f>
        <v/>
      </c>
      <c r="D1309" s="3">
        <f>+VLOOKUP($A1309,MAGAZZINO!$B$2:$M$100000,4,FALSE)</f>
        <v/>
      </c>
      <c r="E1309" s="3">
        <f>+VLOOKUP($A1309,MAGAZZINO!$B$2:$M$100000,5,FALSE)</f>
        <v/>
      </c>
      <c r="F1309" s="3">
        <f>+VLOOKUP($A1309,MAGAZZINO!$B$2:$M$100000,6,FALSE)</f>
        <v/>
      </c>
      <c r="G1309" s="3">
        <f>+VLOOKUP($A1309,MAGAZZINO!$B$2:$M$100000,7,FALSE)</f>
        <v/>
      </c>
      <c r="H1309" s="3">
        <f>+VLOOKUP($A1309,MAGAZZINO!$B$2:$M$100000,8,FALSE)</f>
        <v/>
      </c>
      <c r="I1309" s="3">
        <f>+VLOOKUP($A1309,MAGAZZINO!$B$2:$M$100000,9,FALSE)</f>
        <v/>
      </c>
      <c r="J1309" s="3">
        <f>+VLOOKUP($A1309,MAGAZZINO!$B$2:$M$100000,10,FALSE)</f>
        <v/>
      </c>
      <c r="K1309" s="3">
        <f>+VLOOKUP($A1309,MAGAZZINO!$B$2:$M$100000,11,FALSE)</f>
        <v/>
      </c>
      <c r="L1309" s="5">
        <f>+VLOOKUP($A1309,MAGAZZINO!$B$2:$M$100000,12,FALSE)</f>
        <v/>
      </c>
      <c r="M1309" s="47" t="n"/>
      <c r="N1309" s="88" t="n">
        <v>45873</v>
      </c>
      <c r="O1309" s="156" t="inlineStr">
        <is>
          <t>BIN HUMAID NATIONAL TRADING CO. (ARABIA SAUDITA)</t>
        </is>
      </c>
      <c r="P1309" s="152" t="inlineStr">
        <is>
          <t xml:space="preserve">  IMPORT LICENSE N. 182480  (END USER CERTIFICATE)                                                                      AUT. ESPORTAZIONE MULTIPLA N. 6B/2025/2M RILASCIATA IL 26/05/2025                        (LICENZA DI SCARICO N. 6B/2025/2S RILASCIATA IL 30/07/2025)</t>
        </is>
      </c>
      <c r="Q1309" s="150" t="n"/>
      <c r="R1309" s="150" t="n"/>
      <c r="S1309" s="153" t="n"/>
    </row>
    <row r="1310" ht="36" customHeight="1">
      <c r="A1310" s="46" t="n">
        <v>3640</v>
      </c>
      <c r="B1310" s="4">
        <f>+VLOOKUP($A1310,MAGAZZINO!$B$2:$M$100000,2,FALSE)</f>
        <v/>
      </c>
      <c r="C1310" s="29">
        <f>+VLOOKUP($A1310,MAGAZZINO!$B$2:$M$100000,3,FALSE)</f>
        <v/>
      </c>
      <c r="D1310" s="3">
        <f>+VLOOKUP($A1310,MAGAZZINO!$B$2:$M$100000,4,FALSE)</f>
        <v/>
      </c>
      <c r="E1310" s="3">
        <f>+VLOOKUP($A1310,MAGAZZINO!$B$2:$M$100000,5,FALSE)</f>
        <v/>
      </c>
      <c r="F1310" s="3">
        <f>+VLOOKUP($A1310,MAGAZZINO!$B$2:$M$100000,6,FALSE)</f>
        <v/>
      </c>
      <c r="G1310" s="3">
        <f>+VLOOKUP($A1310,MAGAZZINO!$B$2:$M$100000,7,FALSE)</f>
        <v/>
      </c>
      <c r="H1310" s="3">
        <f>+VLOOKUP($A1310,MAGAZZINO!$B$2:$M$100000,8,FALSE)</f>
        <v/>
      </c>
      <c r="I1310" s="3">
        <f>+VLOOKUP($A1310,MAGAZZINO!$B$2:$M$100000,9,FALSE)</f>
        <v/>
      </c>
      <c r="J1310" s="3">
        <f>+VLOOKUP($A1310,MAGAZZINO!$B$2:$M$100000,10,FALSE)</f>
        <v/>
      </c>
      <c r="K1310" s="3">
        <f>+VLOOKUP($A1310,MAGAZZINO!$B$2:$M$100000,11,FALSE)</f>
        <v/>
      </c>
      <c r="L1310" s="5">
        <f>+VLOOKUP($A1310,MAGAZZINO!$B$2:$M$100000,12,FALSE)</f>
        <v/>
      </c>
      <c r="M1310" s="47" t="n"/>
      <c r="N1310" s="88" t="n">
        <v>45873</v>
      </c>
      <c r="O1310" s="156" t="inlineStr">
        <is>
          <t>BIN HUMAID NATIONAL TRADING CO. (ARABIA SAUDITA)</t>
        </is>
      </c>
      <c r="P1310" s="152" t="inlineStr">
        <is>
          <t xml:space="preserve">  IMPORT LICENSE N. 182480  (END USER CERTIFICATE)                                                                      AUT. ESPORTAZIONE MULTIPLA N. 6B/2025/2M RILASCIATA IL 26/05/2025                        (LICENZA DI SCARICO N. 6B/2025/2S RILASCIATA IL 30/07/2025)</t>
        </is>
      </c>
      <c r="Q1310" s="150" t="n"/>
      <c r="R1310" s="150" t="n"/>
      <c r="S1310" s="153" t="n"/>
    </row>
    <row r="1311" ht="36" customHeight="1">
      <c r="A1311" s="46" t="n">
        <v>3641</v>
      </c>
      <c r="B1311" s="4">
        <f>+VLOOKUP($A1311,MAGAZZINO!$B$2:$M$100000,2,FALSE)</f>
        <v/>
      </c>
      <c r="C1311" s="29">
        <f>+VLOOKUP($A1311,MAGAZZINO!$B$2:$M$100000,3,FALSE)</f>
        <v/>
      </c>
      <c r="D1311" s="3">
        <f>+VLOOKUP($A1311,MAGAZZINO!$B$2:$M$100000,4,FALSE)</f>
        <v/>
      </c>
      <c r="E1311" s="3">
        <f>+VLOOKUP($A1311,MAGAZZINO!$B$2:$M$100000,5,FALSE)</f>
        <v/>
      </c>
      <c r="F1311" s="3">
        <f>+VLOOKUP($A1311,MAGAZZINO!$B$2:$M$100000,6,FALSE)</f>
        <v/>
      </c>
      <c r="G1311" s="3">
        <f>+VLOOKUP($A1311,MAGAZZINO!$B$2:$M$100000,7,FALSE)</f>
        <v/>
      </c>
      <c r="H1311" s="3">
        <f>+VLOOKUP($A1311,MAGAZZINO!$B$2:$M$100000,8,FALSE)</f>
        <v/>
      </c>
      <c r="I1311" s="3">
        <f>+VLOOKUP($A1311,MAGAZZINO!$B$2:$M$100000,9,FALSE)</f>
        <v/>
      </c>
      <c r="J1311" s="3">
        <f>+VLOOKUP($A1311,MAGAZZINO!$B$2:$M$100000,10,FALSE)</f>
        <v/>
      </c>
      <c r="K1311" s="3">
        <f>+VLOOKUP($A1311,MAGAZZINO!$B$2:$M$100000,11,FALSE)</f>
        <v/>
      </c>
      <c r="L1311" s="5">
        <f>+VLOOKUP($A1311,MAGAZZINO!$B$2:$M$100000,12,FALSE)</f>
        <v/>
      </c>
      <c r="M1311" s="47" t="n"/>
      <c r="N1311" s="88" t="n">
        <v>45873</v>
      </c>
      <c r="O1311" s="156" t="inlineStr">
        <is>
          <t>BIN HUMAID NATIONAL TRADING CO. (ARABIA SAUDITA)</t>
        </is>
      </c>
      <c r="P1311" s="152" t="inlineStr">
        <is>
          <t xml:space="preserve">  IMPORT LICENSE N. 182480  (END USER CERTIFICATE)                                                                      AUT. ESPORTAZIONE MULTIPLA N. 6B/2025/2M RILASCIATA IL 26/05/2025                        (LICENZA DI SCARICO N. 6B/2025/2S RILASCIATA IL 30/07/2025)</t>
        </is>
      </c>
      <c r="Q1311" s="150" t="n"/>
      <c r="R1311" s="150" t="n"/>
      <c r="S1311" s="153" t="n"/>
    </row>
    <row r="1312" ht="36" customHeight="1">
      <c r="A1312" s="46" t="n">
        <v>3642</v>
      </c>
      <c r="B1312" s="4">
        <f>+VLOOKUP($A1312,MAGAZZINO!$B$2:$M$100000,2,FALSE)</f>
        <v/>
      </c>
      <c r="C1312" s="29">
        <f>+VLOOKUP($A1312,MAGAZZINO!$B$2:$M$100000,3,FALSE)</f>
        <v/>
      </c>
      <c r="D1312" s="3">
        <f>+VLOOKUP($A1312,MAGAZZINO!$B$2:$M$100000,4,FALSE)</f>
        <v/>
      </c>
      <c r="E1312" s="3">
        <f>+VLOOKUP($A1312,MAGAZZINO!$B$2:$M$100000,5,FALSE)</f>
        <v/>
      </c>
      <c r="F1312" s="3">
        <f>+VLOOKUP($A1312,MAGAZZINO!$B$2:$M$100000,6,FALSE)</f>
        <v/>
      </c>
      <c r="G1312" s="3">
        <f>+VLOOKUP($A1312,MAGAZZINO!$B$2:$M$100000,7,FALSE)</f>
        <v/>
      </c>
      <c r="H1312" s="3">
        <f>+VLOOKUP($A1312,MAGAZZINO!$B$2:$M$100000,8,FALSE)</f>
        <v/>
      </c>
      <c r="I1312" s="3">
        <f>+VLOOKUP($A1312,MAGAZZINO!$B$2:$M$100000,9,FALSE)</f>
        <v/>
      </c>
      <c r="J1312" s="3">
        <f>+VLOOKUP($A1312,MAGAZZINO!$B$2:$M$100000,10,FALSE)</f>
        <v/>
      </c>
      <c r="K1312" s="3">
        <f>+VLOOKUP($A1312,MAGAZZINO!$B$2:$M$100000,11,FALSE)</f>
        <v/>
      </c>
      <c r="L1312" s="5">
        <f>+VLOOKUP($A1312,MAGAZZINO!$B$2:$M$100000,12,FALSE)</f>
        <v/>
      </c>
      <c r="M1312" s="47" t="n"/>
      <c r="N1312" s="88" t="n">
        <v>45873</v>
      </c>
      <c r="O1312" s="156" t="inlineStr">
        <is>
          <t>BIN HUMAID NATIONAL TRADING CO. (ARABIA SAUDITA)</t>
        </is>
      </c>
      <c r="P1312" s="152" t="inlineStr">
        <is>
          <t xml:space="preserve">  IMPORT LICENSE N. 182480  (END USER CERTIFICATE)                                                                      AUT. ESPORTAZIONE MULTIPLA N. 6B/2025/2M RILASCIATA IL 26/05/2025                        (LICENZA DI SCARICO N. 6B/2025/2S RILASCIATA IL 30/07/2025)</t>
        </is>
      </c>
      <c r="Q1312" s="150" t="n"/>
      <c r="R1312" s="150" t="n"/>
      <c r="S1312" s="153" t="n"/>
    </row>
    <row r="1313" ht="36" customHeight="1">
      <c r="A1313" s="46" t="n">
        <v>3643</v>
      </c>
      <c r="B1313" s="4">
        <f>+VLOOKUP($A1313,MAGAZZINO!$B$2:$M$100000,2,FALSE)</f>
        <v/>
      </c>
      <c r="C1313" s="29">
        <f>+VLOOKUP($A1313,MAGAZZINO!$B$2:$M$100000,3,FALSE)</f>
        <v/>
      </c>
      <c r="D1313" s="3">
        <f>+VLOOKUP($A1313,MAGAZZINO!$B$2:$M$100000,4,FALSE)</f>
        <v/>
      </c>
      <c r="E1313" s="3">
        <f>+VLOOKUP($A1313,MAGAZZINO!$B$2:$M$100000,5,FALSE)</f>
        <v/>
      </c>
      <c r="F1313" s="3">
        <f>+VLOOKUP($A1313,MAGAZZINO!$B$2:$M$100000,6,FALSE)</f>
        <v/>
      </c>
      <c r="G1313" s="3">
        <f>+VLOOKUP($A1313,MAGAZZINO!$B$2:$M$100000,7,FALSE)</f>
        <v/>
      </c>
      <c r="H1313" s="3">
        <f>+VLOOKUP($A1313,MAGAZZINO!$B$2:$M$100000,8,FALSE)</f>
        <v/>
      </c>
      <c r="I1313" s="3">
        <f>+VLOOKUP($A1313,MAGAZZINO!$B$2:$M$100000,9,FALSE)</f>
        <v/>
      </c>
      <c r="J1313" s="3">
        <f>+VLOOKUP($A1313,MAGAZZINO!$B$2:$M$100000,10,FALSE)</f>
        <v/>
      </c>
      <c r="K1313" s="3">
        <f>+VLOOKUP($A1313,MAGAZZINO!$B$2:$M$100000,11,FALSE)</f>
        <v/>
      </c>
      <c r="L1313" s="5">
        <f>+VLOOKUP($A1313,MAGAZZINO!$B$2:$M$100000,12,FALSE)</f>
        <v/>
      </c>
      <c r="M1313" s="47" t="n"/>
      <c r="N1313" s="88" t="n">
        <v>45873</v>
      </c>
      <c r="O1313" s="156" t="inlineStr">
        <is>
          <t>BIN HUMAID NATIONAL TRADING CO. (ARABIA SAUDITA)</t>
        </is>
      </c>
      <c r="P1313" s="152" t="inlineStr">
        <is>
          <t xml:space="preserve">  IMPORT LICENSE N. 182480  (END USER CERTIFICATE)                                                                      AUT. ESPORTAZIONE MULTIPLA N. 6B/2025/2M RILASCIATA IL 26/05/2025                        (LICENZA DI SCARICO N. 6B/2025/2S RILASCIATA IL 30/07/2025)</t>
        </is>
      </c>
      <c r="Q1313" s="150" t="n"/>
      <c r="R1313" s="150" t="n"/>
      <c r="S1313" s="153" t="n"/>
    </row>
    <row r="1314" ht="36" customHeight="1">
      <c r="A1314" s="46" t="n">
        <v>3644</v>
      </c>
      <c r="B1314" s="4">
        <f>+VLOOKUP($A1314,MAGAZZINO!$B$2:$M$100000,2,FALSE)</f>
        <v/>
      </c>
      <c r="C1314" s="29">
        <f>+VLOOKUP($A1314,MAGAZZINO!$B$2:$M$100000,3,FALSE)</f>
        <v/>
      </c>
      <c r="D1314" s="3">
        <f>+VLOOKUP($A1314,MAGAZZINO!$B$2:$M$100000,4,FALSE)</f>
        <v/>
      </c>
      <c r="E1314" s="3">
        <f>+VLOOKUP($A1314,MAGAZZINO!$B$2:$M$100000,5,FALSE)</f>
        <v/>
      </c>
      <c r="F1314" s="3">
        <f>+VLOOKUP($A1314,MAGAZZINO!$B$2:$M$100000,6,FALSE)</f>
        <v/>
      </c>
      <c r="G1314" s="3">
        <f>+VLOOKUP($A1314,MAGAZZINO!$B$2:$M$100000,7,FALSE)</f>
        <v/>
      </c>
      <c r="H1314" s="3">
        <f>+VLOOKUP($A1314,MAGAZZINO!$B$2:$M$100000,8,FALSE)</f>
        <v/>
      </c>
      <c r="I1314" s="3">
        <f>+VLOOKUP($A1314,MAGAZZINO!$B$2:$M$100000,9,FALSE)</f>
        <v/>
      </c>
      <c r="J1314" s="3">
        <f>+VLOOKUP($A1314,MAGAZZINO!$B$2:$M$100000,10,FALSE)</f>
        <v/>
      </c>
      <c r="K1314" s="3">
        <f>+VLOOKUP($A1314,MAGAZZINO!$B$2:$M$100000,11,FALSE)</f>
        <v/>
      </c>
      <c r="L1314" s="5">
        <f>+VLOOKUP($A1314,MAGAZZINO!$B$2:$M$100000,12,FALSE)</f>
        <v/>
      </c>
      <c r="M1314" s="47" t="n"/>
      <c r="N1314" s="88" t="n">
        <v>45873</v>
      </c>
      <c r="O1314" s="156" t="inlineStr">
        <is>
          <t>BIN HUMAID NATIONAL TRADING CO. (ARABIA SAUDITA)</t>
        </is>
      </c>
      <c r="P1314" s="152" t="inlineStr">
        <is>
          <t xml:space="preserve">  IMPORT LICENSE N. 182480  (END USER CERTIFICATE)                                                                      AUT. ESPORTAZIONE MULTIPLA N. 6B/2025/2M RILASCIATA IL 26/05/2025                        (LICENZA DI SCARICO N. 6B/2025/2S RILASCIATA IL 30/07/2025)</t>
        </is>
      </c>
      <c r="Q1314" s="150" t="n"/>
      <c r="R1314" s="150" t="n"/>
      <c r="S1314" s="153" t="n"/>
    </row>
    <row r="1315" ht="36" customHeight="1">
      <c r="A1315" s="46" t="n">
        <v>3645</v>
      </c>
      <c r="B1315" s="4">
        <f>+VLOOKUP($A1315,MAGAZZINO!$B$2:$M$100000,2,FALSE)</f>
        <v/>
      </c>
      <c r="C1315" s="29">
        <f>+VLOOKUP($A1315,MAGAZZINO!$B$2:$M$100000,3,FALSE)</f>
        <v/>
      </c>
      <c r="D1315" s="3">
        <f>+VLOOKUP($A1315,MAGAZZINO!$B$2:$M$100000,4,FALSE)</f>
        <v/>
      </c>
      <c r="E1315" s="3">
        <f>+VLOOKUP($A1315,MAGAZZINO!$B$2:$M$100000,5,FALSE)</f>
        <v/>
      </c>
      <c r="F1315" s="3">
        <f>+VLOOKUP($A1315,MAGAZZINO!$B$2:$M$100000,6,FALSE)</f>
        <v/>
      </c>
      <c r="G1315" s="3">
        <f>+VLOOKUP($A1315,MAGAZZINO!$B$2:$M$100000,7,FALSE)</f>
        <v/>
      </c>
      <c r="H1315" s="3">
        <f>+VLOOKUP($A1315,MAGAZZINO!$B$2:$M$100000,8,FALSE)</f>
        <v/>
      </c>
      <c r="I1315" s="3">
        <f>+VLOOKUP($A1315,MAGAZZINO!$B$2:$M$100000,9,FALSE)</f>
        <v/>
      </c>
      <c r="J1315" s="3">
        <f>+VLOOKUP($A1315,MAGAZZINO!$B$2:$M$100000,10,FALSE)</f>
        <v/>
      </c>
      <c r="K1315" s="3">
        <f>+VLOOKUP($A1315,MAGAZZINO!$B$2:$M$100000,11,FALSE)</f>
        <v/>
      </c>
      <c r="L1315" s="5">
        <f>+VLOOKUP($A1315,MAGAZZINO!$B$2:$M$100000,12,FALSE)</f>
        <v/>
      </c>
      <c r="M1315" s="47" t="n"/>
      <c r="N1315" s="88" t="n">
        <v>45873</v>
      </c>
      <c r="O1315" s="156" t="inlineStr">
        <is>
          <t>BIN HUMAID NATIONAL TRADING CO. (ARABIA SAUDITA)</t>
        </is>
      </c>
      <c r="P1315" s="152" t="inlineStr">
        <is>
          <t xml:space="preserve">  IMPORT LICENSE N. 182480  (END USER CERTIFICATE)                                                                      AUT. ESPORTAZIONE MULTIPLA N. 6B/2025/2M RILASCIATA IL 26/05/2025                        (LICENZA DI SCARICO N. 6B/2025/2S RILASCIATA IL 30/07/2025)</t>
        </is>
      </c>
      <c r="Q1315" s="150" t="n"/>
      <c r="R1315" s="150" t="n"/>
      <c r="S1315" s="153" t="n"/>
    </row>
    <row r="1316" ht="36" customHeight="1">
      <c r="A1316" s="46" t="n">
        <v>3646</v>
      </c>
      <c r="B1316" s="4">
        <f>+VLOOKUP($A1316,MAGAZZINO!$B$2:$M$100000,2,FALSE)</f>
        <v/>
      </c>
      <c r="C1316" s="29">
        <f>+VLOOKUP($A1316,MAGAZZINO!$B$2:$M$100000,3,FALSE)</f>
        <v/>
      </c>
      <c r="D1316" s="3">
        <f>+VLOOKUP($A1316,MAGAZZINO!$B$2:$M$100000,4,FALSE)</f>
        <v/>
      </c>
      <c r="E1316" s="3">
        <f>+VLOOKUP($A1316,MAGAZZINO!$B$2:$M$100000,5,FALSE)</f>
        <v/>
      </c>
      <c r="F1316" s="3">
        <f>+VLOOKUP($A1316,MAGAZZINO!$B$2:$M$100000,6,FALSE)</f>
        <v/>
      </c>
      <c r="G1316" s="3">
        <f>+VLOOKUP($A1316,MAGAZZINO!$B$2:$M$100000,7,FALSE)</f>
        <v/>
      </c>
      <c r="H1316" s="3">
        <f>+VLOOKUP($A1316,MAGAZZINO!$B$2:$M$100000,8,FALSE)</f>
        <v/>
      </c>
      <c r="I1316" s="3">
        <f>+VLOOKUP($A1316,MAGAZZINO!$B$2:$M$100000,9,FALSE)</f>
        <v/>
      </c>
      <c r="J1316" s="3">
        <f>+VLOOKUP($A1316,MAGAZZINO!$B$2:$M$100000,10,FALSE)</f>
        <v/>
      </c>
      <c r="K1316" s="3">
        <f>+VLOOKUP($A1316,MAGAZZINO!$B$2:$M$100000,11,FALSE)</f>
        <v/>
      </c>
      <c r="L1316" s="5">
        <f>+VLOOKUP($A1316,MAGAZZINO!$B$2:$M$100000,12,FALSE)</f>
        <v/>
      </c>
      <c r="M1316" s="47" t="n"/>
      <c r="N1316" s="88" t="n">
        <v>45873</v>
      </c>
      <c r="O1316" s="156" t="inlineStr">
        <is>
          <t>BIN HUMAID NATIONAL TRADING CO. (ARABIA SAUDITA)</t>
        </is>
      </c>
      <c r="P1316" s="152" t="inlineStr">
        <is>
          <t xml:space="preserve">  IMPORT LICENSE N. 182480  (END USER CERTIFICATE)                                                                      AUT. ESPORTAZIONE MULTIPLA N. 6B/2025/2M RILASCIATA IL 26/05/2025                        (LICENZA DI SCARICO N. 6B/2025/2S RILASCIATA IL 30/07/2025)</t>
        </is>
      </c>
      <c r="Q1316" s="150" t="n"/>
      <c r="R1316" s="150" t="n"/>
      <c r="S1316" s="153" t="n"/>
    </row>
    <row r="1317" ht="36" customHeight="1">
      <c r="A1317" s="46" t="n">
        <v>3647</v>
      </c>
      <c r="B1317" s="4">
        <f>+VLOOKUP($A1317,MAGAZZINO!$B$2:$M$100000,2,FALSE)</f>
        <v/>
      </c>
      <c r="C1317" s="29">
        <f>+VLOOKUP($A1317,MAGAZZINO!$B$2:$M$100000,3,FALSE)</f>
        <v/>
      </c>
      <c r="D1317" s="3">
        <f>+VLOOKUP($A1317,MAGAZZINO!$B$2:$M$100000,4,FALSE)</f>
        <v/>
      </c>
      <c r="E1317" s="3">
        <f>+VLOOKUP($A1317,MAGAZZINO!$B$2:$M$100000,5,FALSE)</f>
        <v/>
      </c>
      <c r="F1317" s="3">
        <f>+VLOOKUP($A1317,MAGAZZINO!$B$2:$M$100000,6,FALSE)</f>
        <v/>
      </c>
      <c r="G1317" s="3">
        <f>+VLOOKUP($A1317,MAGAZZINO!$B$2:$M$100000,7,FALSE)</f>
        <v/>
      </c>
      <c r="H1317" s="3">
        <f>+VLOOKUP($A1317,MAGAZZINO!$B$2:$M$100000,8,FALSE)</f>
        <v/>
      </c>
      <c r="I1317" s="3">
        <f>+VLOOKUP($A1317,MAGAZZINO!$B$2:$M$100000,9,FALSE)</f>
        <v/>
      </c>
      <c r="J1317" s="3">
        <f>+VLOOKUP($A1317,MAGAZZINO!$B$2:$M$100000,10,FALSE)</f>
        <v/>
      </c>
      <c r="K1317" s="3">
        <f>+VLOOKUP($A1317,MAGAZZINO!$B$2:$M$100000,11,FALSE)</f>
        <v/>
      </c>
      <c r="L1317" s="5">
        <f>+VLOOKUP($A1317,MAGAZZINO!$B$2:$M$100000,12,FALSE)</f>
        <v/>
      </c>
      <c r="M1317" s="47" t="n"/>
      <c r="N1317" s="88" t="n">
        <v>45873</v>
      </c>
      <c r="O1317" s="156" t="inlineStr">
        <is>
          <t>BIN HUMAID NATIONAL TRADING CO. (ARABIA SAUDITA)</t>
        </is>
      </c>
      <c r="P1317" s="152" t="inlineStr">
        <is>
          <t xml:space="preserve">  IMPORT LICENSE N. 182480  (END USER CERTIFICATE)                                                                      AUT. ESPORTAZIONE MULTIPLA N. 6B/2025/2M RILASCIATA IL 26/05/2025                        (LICENZA DI SCARICO N. 6B/2025/2S RILASCIATA IL 30/07/2025)</t>
        </is>
      </c>
      <c r="Q1317" s="150" t="n"/>
      <c r="R1317" s="150" t="n"/>
      <c r="S1317" s="153" t="n"/>
    </row>
    <row r="1318" ht="36" customHeight="1">
      <c r="A1318" s="46" t="n">
        <v>3648</v>
      </c>
      <c r="B1318" s="4">
        <f>+VLOOKUP($A1318,MAGAZZINO!$B$2:$M$100000,2,FALSE)</f>
        <v/>
      </c>
      <c r="C1318" s="29">
        <f>+VLOOKUP($A1318,MAGAZZINO!$B$2:$M$100000,3,FALSE)</f>
        <v/>
      </c>
      <c r="D1318" s="3">
        <f>+VLOOKUP($A1318,MAGAZZINO!$B$2:$M$100000,4,FALSE)</f>
        <v/>
      </c>
      <c r="E1318" s="3">
        <f>+VLOOKUP($A1318,MAGAZZINO!$B$2:$M$100000,5,FALSE)</f>
        <v/>
      </c>
      <c r="F1318" s="3">
        <f>+VLOOKUP($A1318,MAGAZZINO!$B$2:$M$100000,6,FALSE)</f>
        <v/>
      </c>
      <c r="G1318" s="3">
        <f>+VLOOKUP($A1318,MAGAZZINO!$B$2:$M$100000,7,FALSE)</f>
        <v/>
      </c>
      <c r="H1318" s="3">
        <f>+VLOOKUP($A1318,MAGAZZINO!$B$2:$M$100000,8,FALSE)</f>
        <v/>
      </c>
      <c r="I1318" s="3">
        <f>+VLOOKUP($A1318,MAGAZZINO!$B$2:$M$100000,9,FALSE)</f>
        <v/>
      </c>
      <c r="J1318" s="3">
        <f>+VLOOKUP($A1318,MAGAZZINO!$B$2:$M$100000,10,FALSE)</f>
        <v/>
      </c>
      <c r="K1318" s="3">
        <f>+VLOOKUP($A1318,MAGAZZINO!$B$2:$M$100000,11,FALSE)</f>
        <v/>
      </c>
      <c r="L1318" s="5">
        <f>+VLOOKUP($A1318,MAGAZZINO!$B$2:$M$100000,12,FALSE)</f>
        <v/>
      </c>
      <c r="M1318" s="47" t="n"/>
      <c r="N1318" s="88" t="n">
        <v>45873</v>
      </c>
      <c r="O1318" s="156" t="inlineStr">
        <is>
          <t>BIN HUMAID NATIONAL TRADING CO. (ARABIA SAUDITA)</t>
        </is>
      </c>
      <c r="P1318" s="152" t="inlineStr">
        <is>
          <t xml:space="preserve">  IMPORT LICENSE N. 182480  (END USER CERTIFICATE)                                                                      AUT. ESPORTAZIONE MULTIPLA N. 6B/2025/2M RILASCIATA IL 26/05/2025                        (LICENZA DI SCARICO N. 6B/2025/2S RILASCIATA IL 30/07/2025)</t>
        </is>
      </c>
      <c r="Q1318" s="150" t="n"/>
      <c r="R1318" s="150" t="n"/>
      <c r="S1318" s="153" t="n"/>
    </row>
    <row r="1319" ht="36" customHeight="1">
      <c r="A1319" s="46" t="n">
        <v>3649</v>
      </c>
      <c r="B1319" s="4">
        <f>+VLOOKUP($A1319,MAGAZZINO!$B$2:$M$100000,2,FALSE)</f>
        <v/>
      </c>
      <c r="C1319" s="29">
        <f>+VLOOKUP($A1319,MAGAZZINO!$B$2:$M$100000,3,FALSE)</f>
        <v/>
      </c>
      <c r="D1319" s="3">
        <f>+VLOOKUP($A1319,MAGAZZINO!$B$2:$M$100000,4,FALSE)</f>
        <v/>
      </c>
      <c r="E1319" s="3">
        <f>+VLOOKUP($A1319,MAGAZZINO!$B$2:$M$100000,5,FALSE)</f>
        <v/>
      </c>
      <c r="F1319" s="3">
        <f>+VLOOKUP($A1319,MAGAZZINO!$B$2:$M$100000,6,FALSE)</f>
        <v/>
      </c>
      <c r="G1319" s="3">
        <f>+VLOOKUP($A1319,MAGAZZINO!$B$2:$M$100000,7,FALSE)</f>
        <v/>
      </c>
      <c r="H1319" s="3">
        <f>+VLOOKUP($A1319,MAGAZZINO!$B$2:$M$100000,8,FALSE)</f>
        <v/>
      </c>
      <c r="I1319" s="3">
        <f>+VLOOKUP($A1319,MAGAZZINO!$B$2:$M$100000,9,FALSE)</f>
        <v/>
      </c>
      <c r="J1319" s="3">
        <f>+VLOOKUP($A1319,MAGAZZINO!$B$2:$M$100000,10,FALSE)</f>
        <v/>
      </c>
      <c r="K1319" s="3">
        <f>+VLOOKUP($A1319,MAGAZZINO!$B$2:$M$100000,11,FALSE)</f>
        <v/>
      </c>
      <c r="L1319" s="5">
        <f>+VLOOKUP($A1319,MAGAZZINO!$B$2:$M$100000,12,FALSE)</f>
        <v/>
      </c>
      <c r="M1319" s="47" t="n"/>
      <c r="N1319" s="88" t="n">
        <v>45873</v>
      </c>
      <c r="O1319" s="156" t="inlineStr">
        <is>
          <t>BIN HUMAID NATIONAL TRADING CO. (ARABIA SAUDITA)</t>
        </is>
      </c>
      <c r="P1319" s="152" t="inlineStr">
        <is>
          <t xml:space="preserve">  IMPORT LICENSE N. 182480  (END USER CERTIFICATE)                                                                      AUT. ESPORTAZIONE MULTIPLA N. 6B/2025/2M RILASCIATA IL 26/05/2025                        (LICENZA DI SCARICO N. 6B/2025/2S RILASCIATA IL 30/07/2025)</t>
        </is>
      </c>
      <c r="Q1319" s="150" t="n"/>
      <c r="R1319" s="150" t="n"/>
      <c r="S1319" s="153" t="n"/>
    </row>
    <row r="1320" ht="36" customHeight="1">
      <c r="A1320" s="46" t="n">
        <v>3650</v>
      </c>
      <c r="B1320" s="4">
        <f>+VLOOKUP($A1320,MAGAZZINO!$B$2:$M$100000,2,FALSE)</f>
        <v/>
      </c>
      <c r="C1320" s="29">
        <f>+VLOOKUP($A1320,MAGAZZINO!$B$2:$M$100000,3,FALSE)</f>
        <v/>
      </c>
      <c r="D1320" s="3">
        <f>+VLOOKUP($A1320,MAGAZZINO!$B$2:$M$100000,4,FALSE)</f>
        <v/>
      </c>
      <c r="E1320" s="3">
        <f>+VLOOKUP($A1320,MAGAZZINO!$B$2:$M$100000,5,FALSE)</f>
        <v/>
      </c>
      <c r="F1320" s="3">
        <f>+VLOOKUP($A1320,MAGAZZINO!$B$2:$M$100000,6,FALSE)</f>
        <v/>
      </c>
      <c r="G1320" s="3">
        <f>+VLOOKUP($A1320,MAGAZZINO!$B$2:$M$100000,7,FALSE)</f>
        <v/>
      </c>
      <c r="H1320" s="3">
        <f>+VLOOKUP($A1320,MAGAZZINO!$B$2:$M$100000,8,FALSE)</f>
        <v/>
      </c>
      <c r="I1320" s="3">
        <f>+VLOOKUP($A1320,MAGAZZINO!$B$2:$M$100000,9,FALSE)</f>
        <v/>
      </c>
      <c r="J1320" s="3">
        <f>+VLOOKUP($A1320,MAGAZZINO!$B$2:$M$100000,10,FALSE)</f>
        <v/>
      </c>
      <c r="K1320" s="3">
        <f>+VLOOKUP($A1320,MAGAZZINO!$B$2:$M$100000,11,FALSE)</f>
        <v/>
      </c>
      <c r="L1320" s="5">
        <f>+VLOOKUP($A1320,MAGAZZINO!$B$2:$M$100000,12,FALSE)</f>
        <v/>
      </c>
      <c r="M1320" s="47" t="n"/>
      <c r="N1320" s="88" t="n">
        <v>45873</v>
      </c>
      <c r="O1320" s="156" t="inlineStr">
        <is>
          <t>BIN HUMAID NATIONAL TRADING CO. (ARABIA SAUDITA)</t>
        </is>
      </c>
      <c r="P1320" s="152" t="inlineStr">
        <is>
          <t xml:space="preserve">  IMPORT LICENSE N. 182480  (END USER CERTIFICATE)                                                                      AUT. ESPORTAZIONE MULTIPLA N. 6B/2025/2M RILASCIATA IL 26/05/2025                        (LICENZA DI SCARICO N. 6B/2025/2S RILASCIATA IL 30/07/2025)</t>
        </is>
      </c>
      <c r="Q1320" s="150" t="n"/>
      <c r="R1320" s="150" t="n"/>
      <c r="S1320" s="153" t="n"/>
    </row>
    <row r="1321" ht="36" customHeight="1">
      <c r="A1321" s="46" t="n">
        <v>3651</v>
      </c>
      <c r="B1321" s="4">
        <f>+VLOOKUP($A1321,MAGAZZINO!$B$2:$M$100000,2,FALSE)</f>
        <v/>
      </c>
      <c r="C1321" s="29">
        <f>+VLOOKUP($A1321,MAGAZZINO!$B$2:$M$100000,3,FALSE)</f>
        <v/>
      </c>
      <c r="D1321" s="3">
        <f>+VLOOKUP($A1321,MAGAZZINO!$B$2:$M$100000,4,FALSE)</f>
        <v/>
      </c>
      <c r="E1321" s="3">
        <f>+VLOOKUP($A1321,MAGAZZINO!$B$2:$M$100000,5,FALSE)</f>
        <v/>
      </c>
      <c r="F1321" s="3">
        <f>+VLOOKUP($A1321,MAGAZZINO!$B$2:$M$100000,6,FALSE)</f>
        <v/>
      </c>
      <c r="G1321" s="3">
        <f>+VLOOKUP($A1321,MAGAZZINO!$B$2:$M$100000,7,FALSE)</f>
        <v/>
      </c>
      <c r="H1321" s="3">
        <f>+VLOOKUP($A1321,MAGAZZINO!$B$2:$M$100000,8,FALSE)</f>
        <v/>
      </c>
      <c r="I1321" s="3">
        <f>+VLOOKUP($A1321,MAGAZZINO!$B$2:$M$100000,9,FALSE)</f>
        <v/>
      </c>
      <c r="J1321" s="3">
        <f>+VLOOKUP($A1321,MAGAZZINO!$B$2:$M$100000,10,FALSE)</f>
        <v/>
      </c>
      <c r="K1321" s="3">
        <f>+VLOOKUP($A1321,MAGAZZINO!$B$2:$M$100000,11,FALSE)</f>
        <v/>
      </c>
      <c r="L1321" s="5">
        <f>+VLOOKUP($A1321,MAGAZZINO!$B$2:$M$100000,12,FALSE)</f>
        <v/>
      </c>
      <c r="M1321" s="47" t="n"/>
      <c r="N1321" s="88" t="n">
        <v>45873</v>
      </c>
      <c r="O1321" s="156" t="inlineStr">
        <is>
          <t>BIN HUMAID NATIONAL TRADING CO. (ARABIA SAUDITA)</t>
        </is>
      </c>
      <c r="P1321" s="152" t="inlineStr">
        <is>
          <t xml:space="preserve">  IMPORT LICENSE N. 182480  (END USER CERTIFICATE)                                                                      AUT. ESPORTAZIONE MULTIPLA N. 6B/2025/2M RILASCIATA IL 26/05/2025                        (LICENZA DI SCARICO N. 6B/2025/2S RILASCIATA IL 30/07/2025)</t>
        </is>
      </c>
      <c r="Q1321" s="150" t="n"/>
      <c r="R1321" s="150" t="n"/>
      <c r="S1321" s="153" t="n"/>
    </row>
    <row r="1322" ht="36" customHeight="1">
      <c r="A1322" s="46" t="n">
        <v>3652</v>
      </c>
      <c r="B1322" s="4">
        <f>+VLOOKUP($A1322,MAGAZZINO!$B$2:$M$100000,2,FALSE)</f>
        <v/>
      </c>
      <c r="C1322" s="29">
        <f>+VLOOKUP($A1322,MAGAZZINO!$B$2:$M$100000,3,FALSE)</f>
        <v/>
      </c>
      <c r="D1322" s="3">
        <f>+VLOOKUP($A1322,MAGAZZINO!$B$2:$M$100000,4,FALSE)</f>
        <v/>
      </c>
      <c r="E1322" s="3">
        <f>+VLOOKUP($A1322,MAGAZZINO!$B$2:$M$100000,5,FALSE)</f>
        <v/>
      </c>
      <c r="F1322" s="3">
        <f>+VLOOKUP($A1322,MAGAZZINO!$B$2:$M$100000,6,FALSE)</f>
        <v/>
      </c>
      <c r="G1322" s="3">
        <f>+VLOOKUP($A1322,MAGAZZINO!$B$2:$M$100000,7,FALSE)</f>
        <v/>
      </c>
      <c r="H1322" s="3">
        <f>+VLOOKUP($A1322,MAGAZZINO!$B$2:$M$100000,8,FALSE)</f>
        <v/>
      </c>
      <c r="I1322" s="3">
        <f>+VLOOKUP($A1322,MAGAZZINO!$B$2:$M$100000,9,FALSE)</f>
        <v/>
      </c>
      <c r="J1322" s="3">
        <f>+VLOOKUP($A1322,MAGAZZINO!$B$2:$M$100000,10,FALSE)</f>
        <v/>
      </c>
      <c r="K1322" s="3">
        <f>+VLOOKUP($A1322,MAGAZZINO!$B$2:$M$100000,11,FALSE)</f>
        <v/>
      </c>
      <c r="L1322" s="5">
        <f>+VLOOKUP($A1322,MAGAZZINO!$B$2:$M$100000,12,FALSE)</f>
        <v/>
      </c>
      <c r="M1322" s="47" t="n"/>
      <c r="N1322" s="88" t="n">
        <v>45873</v>
      </c>
      <c r="O1322" s="156" t="inlineStr">
        <is>
          <t>BIN HUMAID NATIONAL TRADING CO. (ARABIA SAUDITA)</t>
        </is>
      </c>
      <c r="P1322" s="152" t="inlineStr">
        <is>
          <t xml:space="preserve">  IMPORT LICENSE N. 182480  (END USER CERTIFICATE)                                                                      AUT. ESPORTAZIONE MULTIPLA N. 6B/2025/2M RILASCIATA IL 26/05/2025                        (LICENZA DI SCARICO N. 6B/2025/2S RILASCIATA IL 30/07/2025)</t>
        </is>
      </c>
      <c r="Q1322" s="150" t="n"/>
      <c r="R1322" s="150" t="n"/>
      <c r="S1322" s="153" t="n"/>
    </row>
    <row r="1323" ht="36" customHeight="1">
      <c r="A1323" s="46" t="n">
        <v>3653</v>
      </c>
      <c r="B1323" s="4">
        <f>+VLOOKUP($A1323,MAGAZZINO!$B$2:$M$100000,2,FALSE)</f>
        <v/>
      </c>
      <c r="C1323" s="29">
        <f>+VLOOKUP($A1323,MAGAZZINO!$B$2:$M$100000,3,FALSE)</f>
        <v/>
      </c>
      <c r="D1323" s="3">
        <f>+VLOOKUP($A1323,MAGAZZINO!$B$2:$M$100000,4,FALSE)</f>
        <v/>
      </c>
      <c r="E1323" s="3">
        <f>+VLOOKUP($A1323,MAGAZZINO!$B$2:$M$100000,5,FALSE)</f>
        <v/>
      </c>
      <c r="F1323" s="3">
        <f>+VLOOKUP($A1323,MAGAZZINO!$B$2:$M$100000,6,FALSE)</f>
        <v/>
      </c>
      <c r="G1323" s="3">
        <f>+VLOOKUP($A1323,MAGAZZINO!$B$2:$M$100000,7,FALSE)</f>
        <v/>
      </c>
      <c r="H1323" s="3">
        <f>+VLOOKUP($A1323,MAGAZZINO!$B$2:$M$100000,8,FALSE)</f>
        <v/>
      </c>
      <c r="I1323" s="3">
        <f>+VLOOKUP($A1323,MAGAZZINO!$B$2:$M$100000,9,FALSE)</f>
        <v/>
      </c>
      <c r="J1323" s="3">
        <f>+VLOOKUP($A1323,MAGAZZINO!$B$2:$M$100000,10,FALSE)</f>
        <v/>
      </c>
      <c r="K1323" s="3">
        <f>+VLOOKUP($A1323,MAGAZZINO!$B$2:$M$100000,11,FALSE)</f>
        <v/>
      </c>
      <c r="L1323" s="5">
        <f>+VLOOKUP($A1323,MAGAZZINO!$B$2:$M$100000,12,FALSE)</f>
        <v/>
      </c>
      <c r="M1323" s="47" t="n"/>
      <c r="N1323" s="88" t="n">
        <v>45873</v>
      </c>
      <c r="O1323" s="156" t="inlineStr">
        <is>
          <t>BIN HUMAID NATIONAL TRADING CO. (ARABIA SAUDITA)</t>
        </is>
      </c>
      <c r="P1323" s="152" t="inlineStr">
        <is>
          <t xml:space="preserve">  IMPORT LICENSE N. 182480  (END USER CERTIFICATE)                                                                      AUT. ESPORTAZIONE MULTIPLA N. 6B/2025/2M RILASCIATA IL 26/05/2025                        (LICENZA DI SCARICO N. 6B/2025/2S RILASCIATA IL 30/07/2025)</t>
        </is>
      </c>
      <c r="Q1323" s="150" t="n"/>
      <c r="R1323" s="150" t="n"/>
      <c r="S1323" s="153" t="n"/>
    </row>
    <row r="1324" ht="36" customHeight="1">
      <c r="A1324" s="46" t="n">
        <v>3654</v>
      </c>
      <c r="B1324" s="4">
        <f>+VLOOKUP($A1324,MAGAZZINO!$B$2:$M$100000,2,FALSE)</f>
        <v/>
      </c>
      <c r="C1324" s="29">
        <f>+VLOOKUP($A1324,MAGAZZINO!$B$2:$M$100000,3,FALSE)</f>
        <v/>
      </c>
      <c r="D1324" s="3">
        <f>+VLOOKUP($A1324,MAGAZZINO!$B$2:$M$100000,4,FALSE)</f>
        <v/>
      </c>
      <c r="E1324" s="3">
        <f>+VLOOKUP($A1324,MAGAZZINO!$B$2:$M$100000,5,FALSE)</f>
        <v/>
      </c>
      <c r="F1324" s="3">
        <f>+VLOOKUP($A1324,MAGAZZINO!$B$2:$M$100000,6,FALSE)</f>
        <v/>
      </c>
      <c r="G1324" s="3">
        <f>+VLOOKUP($A1324,MAGAZZINO!$B$2:$M$100000,7,FALSE)</f>
        <v/>
      </c>
      <c r="H1324" s="3">
        <f>+VLOOKUP($A1324,MAGAZZINO!$B$2:$M$100000,8,FALSE)</f>
        <v/>
      </c>
      <c r="I1324" s="3">
        <f>+VLOOKUP($A1324,MAGAZZINO!$B$2:$M$100000,9,FALSE)</f>
        <v/>
      </c>
      <c r="J1324" s="3">
        <f>+VLOOKUP($A1324,MAGAZZINO!$B$2:$M$100000,10,FALSE)</f>
        <v/>
      </c>
      <c r="K1324" s="3">
        <f>+VLOOKUP($A1324,MAGAZZINO!$B$2:$M$100000,11,FALSE)</f>
        <v/>
      </c>
      <c r="L1324" s="5">
        <f>+VLOOKUP($A1324,MAGAZZINO!$B$2:$M$100000,12,FALSE)</f>
        <v/>
      </c>
      <c r="M1324" s="47" t="n"/>
      <c r="N1324" s="88" t="n">
        <v>45873</v>
      </c>
      <c r="O1324" s="156" t="inlineStr">
        <is>
          <t>BIN HUMAID NATIONAL TRADING CO. (ARABIA SAUDITA)</t>
        </is>
      </c>
      <c r="P1324" s="152" t="inlineStr">
        <is>
          <t xml:space="preserve">  IMPORT LICENSE N. 182480  (END USER CERTIFICATE)                                                                      AUT. ESPORTAZIONE MULTIPLA N. 6B/2025/2M RILASCIATA IL 26/05/2025                        (LICENZA DI SCARICO N. 6B/2025/2S RILASCIATA IL 30/07/2025)</t>
        </is>
      </c>
      <c r="Q1324" s="150" t="n"/>
      <c r="R1324" s="150" t="n"/>
      <c r="S1324" s="153" t="n"/>
    </row>
    <row r="1325" ht="36" customHeight="1">
      <c r="A1325" s="46" t="n">
        <v>3655</v>
      </c>
      <c r="B1325" s="4">
        <f>+VLOOKUP($A1325,MAGAZZINO!$B$2:$M$100000,2,FALSE)</f>
        <v/>
      </c>
      <c r="C1325" s="29">
        <f>+VLOOKUP($A1325,MAGAZZINO!$B$2:$M$100000,3,FALSE)</f>
        <v/>
      </c>
      <c r="D1325" s="3">
        <f>+VLOOKUP($A1325,MAGAZZINO!$B$2:$M$100000,4,FALSE)</f>
        <v/>
      </c>
      <c r="E1325" s="3">
        <f>+VLOOKUP($A1325,MAGAZZINO!$B$2:$M$100000,5,FALSE)</f>
        <v/>
      </c>
      <c r="F1325" s="3">
        <f>+VLOOKUP($A1325,MAGAZZINO!$B$2:$M$100000,6,FALSE)</f>
        <v/>
      </c>
      <c r="G1325" s="3">
        <f>+VLOOKUP($A1325,MAGAZZINO!$B$2:$M$100000,7,FALSE)</f>
        <v/>
      </c>
      <c r="H1325" s="3">
        <f>+VLOOKUP($A1325,MAGAZZINO!$B$2:$M$100000,8,FALSE)</f>
        <v/>
      </c>
      <c r="I1325" s="3">
        <f>+VLOOKUP($A1325,MAGAZZINO!$B$2:$M$100000,9,FALSE)</f>
        <v/>
      </c>
      <c r="J1325" s="3">
        <f>+VLOOKUP($A1325,MAGAZZINO!$B$2:$M$100000,10,FALSE)</f>
        <v/>
      </c>
      <c r="K1325" s="3">
        <f>+VLOOKUP($A1325,MAGAZZINO!$B$2:$M$100000,11,FALSE)</f>
        <v/>
      </c>
      <c r="L1325" s="5">
        <f>+VLOOKUP($A1325,MAGAZZINO!$B$2:$M$100000,12,FALSE)</f>
        <v/>
      </c>
      <c r="M1325" s="47" t="n"/>
      <c r="N1325" s="88" t="n">
        <v>45873</v>
      </c>
      <c r="O1325" s="156" t="inlineStr">
        <is>
          <t>BIN HUMAID NATIONAL TRADING CO. (ARABIA SAUDITA)</t>
        </is>
      </c>
      <c r="P1325" s="152" t="inlineStr">
        <is>
          <t xml:space="preserve">  IMPORT LICENSE N. 182480  (END USER CERTIFICATE)                                                                      AUT. ESPORTAZIONE MULTIPLA N. 6B/2025/2M RILASCIATA IL 26/05/2025                        (LICENZA DI SCARICO N. 6B/2025/2S RILASCIATA IL 30/07/2025)</t>
        </is>
      </c>
      <c r="Q1325" s="150" t="n"/>
      <c r="R1325" s="150" t="n"/>
      <c r="S1325" s="153" t="n"/>
    </row>
    <row r="1326" ht="36" customHeight="1">
      <c r="A1326" s="46" t="n">
        <v>3656</v>
      </c>
      <c r="B1326" s="4">
        <f>+VLOOKUP($A1326,MAGAZZINO!$B$2:$M$100000,2,FALSE)</f>
        <v/>
      </c>
      <c r="C1326" s="29">
        <f>+VLOOKUP($A1326,MAGAZZINO!$B$2:$M$100000,3,FALSE)</f>
        <v/>
      </c>
      <c r="D1326" s="3">
        <f>+VLOOKUP($A1326,MAGAZZINO!$B$2:$M$100000,4,FALSE)</f>
        <v/>
      </c>
      <c r="E1326" s="3">
        <f>+VLOOKUP($A1326,MAGAZZINO!$B$2:$M$100000,5,FALSE)</f>
        <v/>
      </c>
      <c r="F1326" s="3">
        <f>+VLOOKUP($A1326,MAGAZZINO!$B$2:$M$100000,6,FALSE)</f>
        <v/>
      </c>
      <c r="G1326" s="3">
        <f>+VLOOKUP($A1326,MAGAZZINO!$B$2:$M$100000,7,FALSE)</f>
        <v/>
      </c>
      <c r="H1326" s="3">
        <f>+VLOOKUP($A1326,MAGAZZINO!$B$2:$M$100000,8,FALSE)</f>
        <v/>
      </c>
      <c r="I1326" s="3">
        <f>+VLOOKUP($A1326,MAGAZZINO!$B$2:$M$100000,9,FALSE)</f>
        <v/>
      </c>
      <c r="J1326" s="3">
        <f>+VLOOKUP($A1326,MAGAZZINO!$B$2:$M$100000,10,FALSE)</f>
        <v/>
      </c>
      <c r="K1326" s="3">
        <f>+VLOOKUP($A1326,MAGAZZINO!$B$2:$M$100000,11,FALSE)</f>
        <v/>
      </c>
      <c r="L1326" s="5">
        <f>+VLOOKUP($A1326,MAGAZZINO!$B$2:$M$100000,12,FALSE)</f>
        <v/>
      </c>
      <c r="M1326" s="47" t="n"/>
      <c r="N1326" s="88" t="n">
        <v>45873</v>
      </c>
      <c r="O1326" s="156" t="inlineStr">
        <is>
          <t>BIN HUMAID NATIONAL TRADING CO. (ARABIA SAUDITA)</t>
        </is>
      </c>
      <c r="P1326" s="152" t="inlineStr">
        <is>
          <t xml:space="preserve">  IMPORT LICENSE N. 182480  (END USER CERTIFICATE)                                                                      AUT. ESPORTAZIONE MULTIPLA N. 6B/2025/2M RILASCIATA IL 26/05/2025                        (LICENZA DI SCARICO N. 6B/2025/2S RILASCIATA IL 30/07/2025)</t>
        </is>
      </c>
      <c r="Q1326" s="150" t="n"/>
      <c r="R1326" s="150" t="n"/>
      <c r="S1326" s="153" t="n"/>
    </row>
    <row r="1327" ht="36" customHeight="1">
      <c r="A1327" s="46" t="n">
        <v>3657</v>
      </c>
      <c r="B1327" s="4">
        <f>+VLOOKUP($A1327,MAGAZZINO!$B$2:$M$100000,2,FALSE)</f>
        <v/>
      </c>
      <c r="C1327" s="29">
        <f>+VLOOKUP($A1327,MAGAZZINO!$B$2:$M$100000,3,FALSE)</f>
        <v/>
      </c>
      <c r="D1327" s="3">
        <f>+VLOOKUP($A1327,MAGAZZINO!$B$2:$M$100000,4,FALSE)</f>
        <v/>
      </c>
      <c r="E1327" s="3">
        <f>+VLOOKUP($A1327,MAGAZZINO!$B$2:$M$100000,5,FALSE)</f>
        <v/>
      </c>
      <c r="F1327" s="3">
        <f>+VLOOKUP($A1327,MAGAZZINO!$B$2:$M$100000,6,FALSE)</f>
        <v/>
      </c>
      <c r="G1327" s="3">
        <f>+VLOOKUP($A1327,MAGAZZINO!$B$2:$M$100000,7,FALSE)</f>
        <v/>
      </c>
      <c r="H1327" s="3">
        <f>+VLOOKUP($A1327,MAGAZZINO!$B$2:$M$100000,8,FALSE)</f>
        <v/>
      </c>
      <c r="I1327" s="3">
        <f>+VLOOKUP($A1327,MAGAZZINO!$B$2:$M$100000,9,FALSE)</f>
        <v/>
      </c>
      <c r="J1327" s="3">
        <f>+VLOOKUP($A1327,MAGAZZINO!$B$2:$M$100000,10,FALSE)</f>
        <v/>
      </c>
      <c r="K1327" s="3">
        <f>+VLOOKUP($A1327,MAGAZZINO!$B$2:$M$100000,11,FALSE)</f>
        <v/>
      </c>
      <c r="L1327" s="5">
        <f>+VLOOKUP($A1327,MAGAZZINO!$B$2:$M$100000,12,FALSE)</f>
        <v/>
      </c>
      <c r="M1327" s="47" t="n"/>
      <c r="N1327" s="88" t="n">
        <v>45873</v>
      </c>
      <c r="O1327" s="156" t="inlineStr">
        <is>
          <t>BIN HUMAID NATIONAL TRADING CO. (ARABIA SAUDITA)</t>
        </is>
      </c>
      <c r="P1327" s="152" t="inlineStr">
        <is>
          <t xml:space="preserve">  IMPORT LICENSE N. 182480  (END USER CERTIFICATE)                                                                      AUT. ESPORTAZIONE MULTIPLA N. 6B/2025/2M RILASCIATA IL 26/05/2025                        (LICENZA DI SCARICO N. 6B/2025/2S RILASCIATA IL 30/07/2025)</t>
        </is>
      </c>
      <c r="Q1327" s="150" t="n"/>
      <c r="R1327" s="150" t="n"/>
      <c r="S1327" s="153" t="n"/>
    </row>
    <row r="1328" ht="36" customHeight="1">
      <c r="A1328" s="46" t="n">
        <v>3658</v>
      </c>
      <c r="B1328" s="4">
        <f>+VLOOKUP($A1328,MAGAZZINO!$B$2:$M$100000,2,FALSE)</f>
        <v/>
      </c>
      <c r="C1328" s="29">
        <f>+VLOOKUP($A1328,MAGAZZINO!$B$2:$M$100000,3,FALSE)</f>
        <v/>
      </c>
      <c r="D1328" s="3">
        <f>+VLOOKUP($A1328,MAGAZZINO!$B$2:$M$100000,4,FALSE)</f>
        <v/>
      </c>
      <c r="E1328" s="3">
        <f>+VLOOKUP($A1328,MAGAZZINO!$B$2:$M$100000,5,FALSE)</f>
        <v/>
      </c>
      <c r="F1328" s="3">
        <f>+VLOOKUP($A1328,MAGAZZINO!$B$2:$M$100000,6,FALSE)</f>
        <v/>
      </c>
      <c r="G1328" s="3">
        <f>+VLOOKUP($A1328,MAGAZZINO!$B$2:$M$100000,7,FALSE)</f>
        <v/>
      </c>
      <c r="H1328" s="3">
        <f>+VLOOKUP($A1328,MAGAZZINO!$B$2:$M$100000,8,FALSE)</f>
        <v/>
      </c>
      <c r="I1328" s="3">
        <f>+VLOOKUP($A1328,MAGAZZINO!$B$2:$M$100000,9,FALSE)</f>
        <v/>
      </c>
      <c r="J1328" s="3">
        <f>+VLOOKUP($A1328,MAGAZZINO!$B$2:$M$100000,10,FALSE)</f>
        <v/>
      </c>
      <c r="K1328" s="3">
        <f>+VLOOKUP($A1328,MAGAZZINO!$B$2:$M$100000,11,FALSE)</f>
        <v/>
      </c>
      <c r="L1328" s="5">
        <f>+VLOOKUP($A1328,MAGAZZINO!$B$2:$M$100000,12,FALSE)</f>
        <v/>
      </c>
      <c r="M1328" s="47" t="n"/>
      <c r="N1328" s="88" t="n">
        <v>45873</v>
      </c>
      <c r="O1328" s="156" t="inlineStr">
        <is>
          <t>BIN HUMAID NATIONAL TRADING CO. (ARABIA SAUDITA)</t>
        </is>
      </c>
      <c r="P1328" s="152" t="inlineStr">
        <is>
          <t xml:space="preserve">  IMPORT LICENSE N. 182480  (END USER CERTIFICATE)                                                                      AUT. ESPORTAZIONE MULTIPLA N. 6B/2025/2M RILASCIATA IL 26/05/2025                        (LICENZA DI SCARICO N. 6B/2025/2S RILASCIATA IL 30/07/2025)</t>
        </is>
      </c>
      <c r="Q1328" s="150" t="n"/>
      <c r="R1328" s="150" t="n"/>
      <c r="S1328" s="153" t="n"/>
    </row>
    <row r="1329" ht="36" customHeight="1">
      <c r="A1329" s="46" t="n">
        <v>3659</v>
      </c>
      <c r="B1329" s="4">
        <f>+VLOOKUP($A1329,MAGAZZINO!$B$2:$M$100000,2,FALSE)</f>
        <v/>
      </c>
      <c r="C1329" s="29">
        <f>+VLOOKUP($A1329,MAGAZZINO!$B$2:$M$100000,3,FALSE)</f>
        <v/>
      </c>
      <c r="D1329" s="3">
        <f>+VLOOKUP($A1329,MAGAZZINO!$B$2:$M$100000,4,FALSE)</f>
        <v/>
      </c>
      <c r="E1329" s="3">
        <f>+VLOOKUP($A1329,MAGAZZINO!$B$2:$M$100000,5,FALSE)</f>
        <v/>
      </c>
      <c r="F1329" s="3">
        <f>+VLOOKUP($A1329,MAGAZZINO!$B$2:$M$100000,6,FALSE)</f>
        <v/>
      </c>
      <c r="G1329" s="3">
        <f>+VLOOKUP($A1329,MAGAZZINO!$B$2:$M$100000,7,FALSE)</f>
        <v/>
      </c>
      <c r="H1329" s="3">
        <f>+VLOOKUP($A1329,MAGAZZINO!$B$2:$M$100000,8,FALSE)</f>
        <v/>
      </c>
      <c r="I1329" s="3">
        <f>+VLOOKUP($A1329,MAGAZZINO!$B$2:$M$100000,9,FALSE)</f>
        <v/>
      </c>
      <c r="J1329" s="3">
        <f>+VLOOKUP($A1329,MAGAZZINO!$B$2:$M$100000,10,FALSE)</f>
        <v/>
      </c>
      <c r="K1329" s="3">
        <f>+VLOOKUP($A1329,MAGAZZINO!$B$2:$M$100000,11,FALSE)</f>
        <v/>
      </c>
      <c r="L1329" s="5">
        <f>+VLOOKUP($A1329,MAGAZZINO!$B$2:$M$100000,12,FALSE)</f>
        <v/>
      </c>
      <c r="M1329" s="47" t="n"/>
      <c r="N1329" s="88" t="n">
        <v>45873</v>
      </c>
      <c r="O1329" s="156" t="inlineStr">
        <is>
          <t>BIN HUMAID NATIONAL TRADING CO. (ARABIA SAUDITA)</t>
        </is>
      </c>
      <c r="P1329" s="152" t="inlineStr">
        <is>
          <t xml:space="preserve">  IMPORT LICENSE N. 182480  (END USER CERTIFICATE)                                                                      AUT. ESPORTAZIONE MULTIPLA N. 6B/2025/2M RILASCIATA IL 26/05/2025                        (LICENZA DI SCARICO N. 6B/2025/2S RILASCIATA IL 30/07/2025)</t>
        </is>
      </c>
      <c r="Q1329" s="150" t="n"/>
      <c r="R1329" s="150" t="n"/>
      <c r="S1329" s="153" t="n"/>
    </row>
    <row r="1330" ht="36" customHeight="1">
      <c r="A1330" s="46" t="n">
        <v>3660</v>
      </c>
      <c r="B1330" s="4">
        <f>+VLOOKUP($A1330,MAGAZZINO!$B$2:$M$100000,2,FALSE)</f>
        <v/>
      </c>
      <c r="C1330" s="29">
        <f>+VLOOKUP($A1330,MAGAZZINO!$B$2:$M$100000,3,FALSE)</f>
        <v/>
      </c>
      <c r="D1330" s="3">
        <f>+VLOOKUP($A1330,MAGAZZINO!$B$2:$M$100000,4,FALSE)</f>
        <v/>
      </c>
      <c r="E1330" s="3">
        <f>+VLOOKUP($A1330,MAGAZZINO!$B$2:$M$100000,5,FALSE)</f>
        <v/>
      </c>
      <c r="F1330" s="3">
        <f>+VLOOKUP($A1330,MAGAZZINO!$B$2:$M$100000,6,FALSE)</f>
        <v/>
      </c>
      <c r="G1330" s="3">
        <f>+VLOOKUP($A1330,MAGAZZINO!$B$2:$M$100000,7,FALSE)</f>
        <v/>
      </c>
      <c r="H1330" s="3">
        <f>+VLOOKUP($A1330,MAGAZZINO!$B$2:$M$100000,8,FALSE)</f>
        <v/>
      </c>
      <c r="I1330" s="3">
        <f>+VLOOKUP($A1330,MAGAZZINO!$B$2:$M$100000,9,FALSE)</f>
        <v/>
      </c>
      <c r="J1330" s="3">
        <f>+VLOOKUP($A1330,MAGAZZINO!$B$2:$M$100000,10,FALSE)</f>
        <v/>
      </c>
      <c r="K1330" s="3">
        <f>+VLOOKUP($A1330,MAGAZZINO!$B$2:$M$100000,11,FALSE)</f>
        <v/>
      </c>
      <c r="L1330" s="5">
        <f>+VLOOKUP($A1330,MAGAZZINO!$B$2:$M$100000,12,FALSE)</f>
        <v/>
      </c>
      <c r="M1330" s="47" t="n"/>
      <c r="N1330" s="88" t="n">
        <v>45873</v>
      </c>
      <c r="O1330" s="156" t="inlineStr">
        <is>
          <t>BIN HUMAID NATIONAL TRADING CO. (ARABIA SAUDITA)</t>
        </is>
      </c>
      <c r="P1330" s="152" t="inlineStr">
        <is>
          <t xml:space="preserve">  IMPORT LICENSE N. 182480  (END USER CERTIFICATE)                                                                      AUT. ESPORTAZIONE MULTIPLA N. 6B/2025/2M RILASCIATA IL 26/05/2025                        (LICENZA DI SCARICO N. 6B/2025/2S RILASCIATA IL 30/07/2025)</t>
        </is>
      </c>
      <c r="Q1330" s="150" t="n"/>
      <c r="R1330" s="150" t="n"/>
      <c r="S1330" s="153" t="n"/>
    </row>
    <row r="1331" ht="36" customHeight="1">
      <c r="A1331" s="46" t="n">
        <v>3661</v>
      </c>
      <c r="B1331" s="4">
        <f>+VLOOKUP($A1331,MAGAZZINO!$B$2:$M$100000,2,FALSE)</f>
        <v/>
      </c>
      <c r="C1331" s="29">
        <f>+VLOOKUP($A1331,MAGAZZINO!$B$2:$M$100000,3,FALSE)</f>
        <v/>
      </c>
      <c r="D1331" s="3">
        <f>+VLOOKUP($A1331,MAGAZZINO!$B$2:$M$100000,4,FALSE)</f>
        <v/>
      </c>
      <c r="E1331" s="3">
        <f>+VLOOKUP($A1331,MAGAZZINO!$B$2:$M$100000,5,FALSE)</f>
        <v/>
      </c>
      <c r="F1331" s="3">
        <f>+VLOOKUP($A1331,MAGAZZINO!$B$2:$M$100000,6,FALSE)</f>
        <v/>
      </c>
      <c r="G1331" s="3">
        <f>+VLOOKUP($A1331,MAGAZZINO!$B$2:$M$100000,7,FALSE)</f>
        <v/>
      </c>
      <c r="H1331" s="3">
        <f>+VLOOKUP($A1331,MAGAZZINO!$B$2:$M$100000,8,FALSE)</f>
        <v/>
      </c>
      <c r="I1331" s="3">
        <f>+VLOOKUP($A1331,MAGAZZINO!$B$2:$M$100000,9,FALSE)</f>
        <v/>
      </c>
      <c r="J1331" s="3">
        <f>+VLOOKUP($A1331,MAGAZZINO!$B$2:$M$100000,10,FALSE)</f>
        <v/>
      </c>
      <c r="K1331" s="3">
        <f>+VLOOKUP($A1331,MAGAZZINO!$B$2:$M$100000,11,FALSE)</f>
        <v/>
      </c>
      <c r="L1331" s="5">
        <f>+VLOOKUP($A1331,MAGAZZINO!$B$2:$M$100000,12,FALSE)</f>
        <v/>
      </c>
      <c r="M1331" s="47" t="n"/>
      <c r="N1331" s="88" t="n">
        <v>45873</v>
      </c>
      <c r="O1331" s="156" t="inlineStr">
        <is>
          <t>BIN HUMAID NATIONAL TRADING CO. (ARABIA SAUDITA)</t>
        </is>
      </c>
      <c r="P1331" s="152" t="inlineStr">
        <is>
          <t xml:space="preserve">  IMPORT LICENSE N. 182480  (END USER CERTIFICATE)                                                                      AUT. ESPORTAZIONE MULTIPLA N. 6B/2025/2M RILASCIATA IL 26/05/2025                        (LICENZA DI SCARICO N. 6B/2025/2S RILASCIATA IL 30/07/2025)</t>
        </is>
      </c>
      <c r="Q1331" s="150" t="n"/>
      <c r="R1331" s="150" t="n"/>
      <c r="S1331" s="153" t="n"/>
    </row>
    <row r="1332" ht="36" customHeight="1">
      <c r="A1332" s="46" t="n">
        <v>3662</v>
      </c>
      <c r="B1332" s="4">
        <f>+VLOOKUP($A1332,MAGAZZINO!$B$2:$M$100000,2,FALSE)</f>
        <v/>
      </c>
      <c r="C1332" s="29">
        <f>+VLOOKUP($A1332,MAGAZZINO!$B$2:$M$100000,3,FALSE)</f>
        <v/>
      </c>
      <c r="D1332" s="3">
        <f>+VLOOKUP($A1332,MAGAZZINO!$B$2:$M$100000,4,FALSE)</f>
        <v/>
      </c>
      <c r="E1332" s="3">
        <f>+VLOOKUP($A1332,MAGAZZINO!$B$2:$M$100000,5,FALSE)</f>
        <v/>
      </c>
      <c r="F1332" s="3">
        <f>+VLOOKUP($A1332,MAGAZZINO!$B$2:$M$100000,6,FALSE)</f>
        <v/>
      </c>
      <c r="G1332" s="3">
        <f>+VLOOKUP($A1332,MAGAZZINO!$B$2:$M$100000,7,FALSE)</f>
        <v/>
      </c>
      <c r="H1332" s="3">
        <f>+VLOOKUP($A1332,MAGAZZINO!$B$2:$M$100000,8,FALSE)</f>
        <v/>
      </c>
      <c r="I1332" s="3">
        <f>+VLOOKUP($A1332,MAGAZZINO!$B$2:$M$100000,9,FALSE)</f>
        <v/>
      </c>
      <c r="J1332" s="3">
        <f>+VLOOKUP($A1332,MAGAZZINO!$B$2:$M$100000,10,FALSE)</f>
        <v/>
      </c>
      <c r="K1332" s="3">
        <f>+VLOOKUP($A1332,MAGAZZINO!$B$2:$M$100000,11,FALSE)</f>
        <v/>
      </c>
      <c r="L1332" s="5">
        <f>+VLOOKUP($A1332,MAGAZZINO!$B$2:$M$100000,12,FALSE)</f>
        <v/>
      </c>
      <c r="M1332" s="47" t="n"/>
      <c r="N1332" s="88" t="n">
        <v>45873</v>
      </c>
      <c r="O1332" s="156" t="inlineStr">
        <is>
          <t>BIN HUMAID NATIONAL TRADING CO. (ARABIA SAUDITA)</t>
        </is>
      </c>
      <c r="P1332" s="152" t="inlineStr">
        <is>
          <t xml:space="preserve">  IMPORT LICENSE N. 182480  (END USER CERTIFICATE)                                                                      AUT. ESPORTAZIONE MULTIPLA N. 6B/2025/2M RILASCIATA IL 26/05/2025                        (LICENZA DI SCARICO N. 6B/2025/2S RILASCIATA IL 30/07/2025)</t>
        </is>
      </c>
      <c r="Q1332" s="150" t="n"/>
      <c r="R1332" s="150" t="n"/>
      <c r="S1332" s="153" t="n"/>
    </row>
    <row r="1333" ht="36" customHeight="1">
      <c r="A1333" s="46" t="n">
        <v>3663</v>
      </c>
      <c r="B1333" s="4">
        <f>+VLOOKUP($A1333,MAGAZZINO!$B$2:$M$100000,2,FALSE)</f>
        <v/>
      </c>
      <c r="C1333" s="29">
        <f>+VLOOKUP($A1333,MAGAZZINO!$B$2:$M$100000,3,FALSE)</f>
        <v/>
      </c>
      <c r="D1333" s="3">
        <f>+VLOOKUP($A1333,MAGAZZINO!$B$2:$M$100000,4,FALSE)</f>
        <v/>
      </c>
      <c r="E1333" s="3">
        <f>+VLOOKUP($A1333,MAGAZZINO!$B$2:$M$100000,5,FALSE)</f>
        <v/>
      </c>
      <c r="F1333" s="3">
        <f>+VLOOKUP($A1333,MAGAZZINO!$B$2:$M$100000,6,FALSE)</f>
        <v/>
      </c>
      <c r="G1333" s="3">
        <f>+VLOOKUP($A1333,MAGAZZINO!$B$2:$M$100000,7,FALSE)</f>
        <v/>
      </c>
      <c r="H1333" s="3">
        <f>+VLOOKUP($A1333,MAGAZZINO!$B$2:$M$100000,8,FALSE)</f>
        <v/>
      </c>
      <c r="I1333" s="3">
        <f>+VLOOKUP($A1333,MAGAZZINO!$B$2:$M$100000,9,FALSE)</f>
        <v/>
      </c>
      <c r="J1333" s="3">
        <f>+VLOOKUP($A1333,MAGAZZINO!$B$2:$M$100000,10,FALSE)</f>
        <v/>
      </c>
      <c r="K1333" s="3">
        <f>+VLOOKUP($A1333,MAGAZZINO!$B$2:$M$100000,11,FALSE)</f>
        <v/>
      </c>
      <c r="L1333" s="5">
        <f>+VLOOKUP($A1333,MAGAZZINO!$B$2:$M$100000,12,FALSE)</f>
        <v/>
      </c>
      <c r="M1333" s="47" t="n"/>
      <c r="N1333" s="88" t="n">
        <v>45873</v>
      </c>
      <c r="O1333" s="156" t="inlineStr">
        <is>
          <t>BIN HUMAID NATIONAL TRADING CO. (ARABIA SAUDITA)</t>
        </is>
      </c>
      <c r="P1333" s="152" t="inlineStr">
        <is>
          <t xml:space="preserve">  IMPORT LICENSE N. 182480  (END USER CERTIFICATE)                                                                      AUT. ESPORTAZIONE MULTIPLA N. 6B/2025/2M RILASCIATA IL 26/05/2025                        (LICENZA DI SCARICO N. 6B/2025/2S RILASCIATA IL 30/07/2025)</t>
        </is>
      </c>
      <c r="Q1333" s="150" t="n"/>
      <c r="R1333" s="150" t="n"/>
      <c r="S1333" s="153" t="n"/>
    </row>
    <row r="1334" ht="36" customHeight="1">
      <c r="A1334" s="46" t="n">
        <v>3664</v>
      </c>
      <c r="B1334" s="4">
        <f>+VLOOKUP($A1334,MAGAZZINO!$B$2:$M$100000,2,FALSE)</f>
        <v/>
      </c>
      <c r="C1334" s="29">
        <f>+VLOOKUP($A1334,MAGAZZINO!$B$2:$M$100000,3,FALSE)</f>
        <v/>
      </c>
      <c r="D1334" s="3">
        <f>+VLOOKUP($A1334,MAGAZZINO!$B$2:$M$100000,4,FALSE)</f>
        <v/>
      </c>
      <c r="E1334" s="3">
        <f>+VLOOKUP($A1334,MAGAZZINO!$B$2:$M$100000,5,FALSE)</f>
        <v/>
      </c>
      <c r="F1334" s="3">
        <f>+VLOOKUP($A1334,MAGAZZINO!$B$2:$M$100000,6,FALSE)</f>
        <v/>
      </c>
      <c r="G1334" s="3">
        <f>+VLOOKUP($A1334,MAGAZZINO!$B$2:$M$100000,7,FALSE)</f>
        <v/>
      </c>
      <c r="H1334" s="3">
        <f>+VLOOKUP($A1334,MAGAZZINO!$B$2:$M$100000,8,FALSE)</f>
        <v/>
      </c>
      <c r="I1334" s="3">
        <f>+VLOOKUP($A1334,MAGAZZINO!$B$2:$M$100000,9,FALSE)</f>
        <v/>
      </c>
      <c r="J1334" s="3">
        <f>+VLOOKUP($A1334,MAGAZZINO!$B$2:$M$100000,10,FALSE)</f>
        <v/>
      </c>
      <c r="K1334" s="3">
        <f>+VLOOKUP($A1334,MAGAZZINO!$B$2:$M$100000,11,FALSE)</f>
        <v/>
      </c>
      <c r="L1334" s="5">
        <f>+VLOOKUP($A1334,MAGAZZINO!$B$2:$M$100000,12,FALSE)</f>
        <v/>
      </c>
      <c r="M1334" s="47" t="n"/>
      <c r="N1334" s="88" t="n">
        <v>45873</v>
      </c>
      <c r="O1334" s="156" t="inlineStr">
        <is>
          <t>BIN HUMAID NATIONAL TRADING CO. (ARABIA SAUDITA)</t>
        </is>
      </c>
      <c r="P1334" s="152" t="inlineStr">
        <is>
          <t xml:space="preserve">  IMPORT LICENSE N. 182480  (END USER CERTIFICATE)                                                                      AUT. ESPORTAZIONE MULTIPLA N. 6B/2025/2M RILASCIATA IL 26/05/2025                        (LICENZA DI SCARICO N. 6B/2025/2S RILASCIATA IL 30/07/2025)</t>
        </is>
      </c>
      <c r="Q1334" s="150" t="n"/>
      <c r="R1334" s="150" t="n"/>
      <c r="S1334" s="153" t="n"/>
    </row>
    <row r="1335" ht="36" customHeight="1">
      <c r="A1335" s="46" t="n">
        <v>3665</v>
      </c>
      <c r="B1335" s="4">
        <f>+VLOOKUP($A1335,MAGAZZINO!$B$2:$M$100000,2,FALSE)</f>
        <v/>
      </c>
      <c r="C1335" s="29">
        <f>+VLOOKUP($A1335,MAGAZZINO!$B$2:$M$100000,3,FALSE)</f>
        <v/>
      </c>
      <c r="D1335" s="3">
        <f>+VLOOKUP($A1335,MAGAZZINO!$B$2:$M$100000,4,FALSE)</f>
        <v/>
      </c>
      <c r="E1335" s="3">
        <f>+VLOOKUP($A1335,MAGAZZINO!$B$2:$M$100000,5,FALSE)</f>
        <v/>
      </c>
      <c r="F1335" s="3">
        <f>+VLOOKUP($A1335,MAGAZZINO!$B$2:$M$100000,6,FALSE)</f>
        <v/>
      </c>
      <c r="G1335" s="3">
        <f>+VLOOKUP($A1335,MAGAZZINO!$B$2:$M$100000,7,FALSE)</f>
        <v/>
      </c>
      <c r="H1335" s="3">
        <f>+VLOOKUP($A1335,MAGAZZINO!$B$2:$M$100000,8,FALSE)</f>
        <v/>
      </c>
      <c r="I1335" s="3">
        <f>+VLOOKUP($A1335,MAGAZZINO!$B$2:$M$100000,9,FALSE)</f>
        <v/>
      </c>
      <c r="J1335" s="3">
        <f>+VLOOKUP($A1335,MAGAZZINO!$B$2:$M$100000,10,FALSE)</f>
        <v/>
      </c>
      <c r="K1335" s="3">
        <f>+VLOOKUP($A1335,MAGAZZINO!$B$2:$M$100000,11,FALSE)</f>
        <v/>
      </c>
      <c r="L1335" s="5">
        <f>+VLOOKUP($A1335,MAGAZZINO!$B$2:$M$100000,12,FALSE)</f>
        <v/>
      </c>
      <c r="M1335" s="47" t="n"/>
      <c r="N1335" s="88" t="n">
        <v>45873</v>
      </c>
      <c r="O1335" s="156" t="inlineStr">
        <is>
          <t>BIN HUMAID NATIONAL TRADING CO. (ARABIA SAUDITA)</t>
        </is>
      </c>
      <c r="P1335" s="152" t="inlineStr">
        <is>
          <t xml:space="preserve">  IMPORT LICENSE N. 182480  (END USER CERTIFICATE)                                                                      AUT. ESPORTAZIONE MULTIPLA N. 6B/2025/2M RILASCIATA IL 26/05/2025                        (LICENZA DI SCARICO N. 6B/2025/2S RILASCIATA IL 30/07/2025)</t>
        </is>
      </c>
      <c r="Q1335" s="150" t="n"/>
      <c r="R1335" s="150" t="n"/>
      <c r="S1335" s="153" t="n"/>
    </row>
    <row r="1336" ht="36" customHeight="1">
      <c r="A1336" s="46" t="n">
        <v>3666</v>
      </c>
      <c r="B1336" s="4">
        <f>+VLOOKUP($A1336,MAGAZZINO!$B$2:$M$100000,2,FALSE)</f>
        <v/>
      </c>
      <c r="C1336" s="29">
        <f>+VLOOKUP($A1336,MAGAZZINO!$B$2:$M$100000,3,FALSE)</f>
        <v/>
      </c>
      <c r="D1336" s="3">
        <f>+VLOOKUP($A1336,MAGAZZINO!$B$2:$M$100000,4,FALSE)</f>
        <v/>
      </c>
      <c r="E1336" s="3">
        <f>+VLOOKUP($A1336,MAGAZZINO!$B$2:$M$100000,5,FALSE)</f>
        <v/>
      </c>
      <c r="F1336" s="3">
        <f>+VLOOKUP($A1336,MAGAZZINO!$B$2:$M$100000,6,FALSE)</f>
        <v/>
      </c>
      <c r="G1336" s="3">
        <f>+VLOOKUP($A1336,MAGAZZINO!$B$2:$M$100000,7,FALSE)</f>
        <v/>
      </c>
      <c r="H1336" s="3">
        <f>+VLOOKUP($A1336,MAGAZZINO!$B$2:$M$100000,8,FALSE)</f>
        <v/>
      </c>
      <c r="I1336" s="3">
        <f>+VLOOKUP($A1336,MAGAZZINO!$B$2:$M$100000,9,FALSE)</f>
        <v/>
      </c>
      <c r="J1336" s="3">
        <f>+VLOOKUP($A1336,MAGAZZINO!$B$2:$M$100000,10,FALSE)</f>
        <v/>
      </c>
      <c r="K1336" s="3">
        <f>+VLOOKUP($A1336,MAGAZZINO!$B$2:$M$100000,11,FALSE)</f>
        <v/>
      </c>
      <c r="L1336" s="5">
        <f>+VLOOKUP($A1336,MAGAZZINO!$B$2:$M$100000,12,FALSE)</f>
        <v/>
      </c>
      <c r="M1336" s="47" t="n"/>
      <c r="N1336" s="88" t="n">
        <v>45873</v>
      </c>
      <c r="O1336" s="156" t="inlineStr">
        <is>
          <t>BIN HUMAID NATIONAL TRADING CO. (ARABIA SAUDITA)</t>
        </is>
      </c>
      <c r="P1336" s="152" t="inlineStr">
        <is>
          <t xml:space="preserve">  IMPORT LICENSE N. 182480  (END USER CERTIFICATE)                                                                      AUT. ESPORTAZIONE MULTIPLA N. 6B/2025/2M RILASCIATA IL 26/05/2025                        (LICENZA DI SCARICO N. 6B/2025/2S RILASCIATA IL 30/07/2025)</t>
        </is>
      </c>
      <c r="Q1336" s="150" t="n"/>
      <c r="R1336" s="150" t="n"/>
      <c r="S1336" s="153" t="n"/>
    </row>
    <row r="1337" ht="36" customHeight="1">
      <c r="A1337" s="46" t="n">
        <v>3667</v>
      </c>
      <c r="B1337" s="4">
        <f>+VLOOKUP($A1337,MAGAZZINO!$B$2:$M$100000,2,FALSE)</f>
        <v/>
      </c>
      <c r="C1337" s="29">
        <f>+VLOOKUP($A1337,MAGAZZINO!$B$2:$M$100000,3,FALSE)</f>
        <v/>
      </c>
      <c r="D1337" s="3">
        <f>+VLOOKUP($A1337,MAGAZZINO!$B$2:$M$100000,4,FALSE)</f>
        <v/>
      </c>
      <c r="E1337" s="3">
        <f>+VLOOKUP($A1337,MAGAZZINO!$B$2:$M$100000,5,FALSE)</f>
        <v/>
      </c>
      <c r="F1337" s="3">
        <f>+VLOOKUP($A1337,MAGAZZINO!$B$2:$M$100000,6,FALSE)</f>
        <v/>
      </c>
      <c r="G1337" s="3">
        <f>+VLOOKUP($A1337,MAGAZZINO!$B$2:$M$100000,7,FALSE)</f>
        <v/>
      </c>
      <c r="H1337" s="3">
        <f>+VLOOKUP($A1337,MAGAZZINO!$B$2:$M$100000,8,FALSE)</f>
        <v/>
      </c>
      <c r="I1337" s="3">
        <f>+VLOOKUP($A1337,MAGAZZINO!$B$2:$M$100000,9,FALSE)</f>
        <v/>
      </c>
      <c r="J1337" s="3">
        <f>+VLOOKUP($A1337,MAGAZZINO!$B$2:$M$100000,10,FALSE)</f>
        <v/>
      </c>
      <c r="K1337" s="3">
        <f>+VLOOKUP($A1337,MAGAZZINO!$B$2:$M$100000,11,FALSE)</f>
        <v/>
      </c>
      <c r="L1337" s="5">
        <f>+VLOOKUP($A1337,MAGAZZINO!$B$2:$M$100000,12,FALSE)</f>
        <v/>
      </c>
      <c r="M1337" s="47" t="n"/>
      <c r="N1337" s="88" t="n">
        <v>45873</v>
      </c>
      <c r="O1337" s="156" t="inlineStr">
        <is>
          <t>BIN HUMAID NATIONAL TRADING CO. (ARABIA SAUDITA)</t>
        </is>
      </c>
      <c r="P1337" s="152" t="inlineStr">
        <is>
          <t xml:space="preserve">  IMPORT LICENSE N. 182480  (END USER CERTIFICATE)                                                                      AUT. ESPORTAZIONE MULTIPLA N. 6B/2025/2M RILASCIATA IL 26/05/2025                        (LICENZA DI SCARICO N. 6B/2025/2S RILASCIATA IL 30/07/2025)</t>
        </is>
      </c>
      <c r="Q1337" s="150" t="n"/>
      <c r="R1337" s="150" t="n"/>
      <c r="S1337" s="153" t="n"/>
    </row>
    <row r="1338" ht="36" customHeight="1">
      <c r="A1338" s="46" t="n">
        <v>3668</v>
      </c>
      <c r="B1338" s="4">
        <f>+VLOOKUP($A1338,MAGAZZINO!$B$2:$M$100000,2,FALSE)</f>
        <v/>
      </c>
      <c r="C1338" s="29">
        <f>+VLOOKUP($A1338,MAGAZZINO!$B$2:$M$100000,3,FALSE)</f>
        <v/>
      </c>
      <c r="D1338" s="3">
        <f>+VLOOKUP($A1338,MAGAZZINO!$B$2:$M$100000,4,FALSE)</f>
        <v/>
      </c>
      <c r="E1338" s="3">
        <f>+VLOOKUP($A1338,MAGAZZINO!$B$2:$M$100000,5,FALSE)</f>
        <v/>
      </c>
      <c r="F1338" s="3">
        <f>+VLOOKUP($A1338,MAGAZZINO!$B$2:$M$100000,6,FALSE)</f>
        <v/>
      </c>
      <c r="G1338" s="3">
        <f>+VLOOKUP($A1338,MAGAZZINO!$B$2:$M$100000,7,FALSE)</f>
        <v/>
      </c>
      <c r="H1338" s="3">
        <f>+VLOOKUP($A1338,MAGAZZINO!$B$2:$M$100000,8,FALSE)</f>
        <v/>
      </c>
      <c r="I1338" s="3">
        <f>+VLOOKUP($A1338,MAGAZZINO!$B$2:$M$100000,9,FALSE)</f>
        <v/>
      </c>
      <c r="J1338" s="3">
        <f>+VLOOKUP($A1338,MAGAZZINO!$B$2:$M$100000,10,FALSE)</f>
        <v/>
      </c>
      <c r="K1338" s="3">
        <f>+VLOOKUP($A1338,MAGAZZINO!$B$2:$M$100000,11,FALSE)</f>
        <v/>
      </c>
      <c r="L1338" s="5">
        <f>+VLOOKUP($A1338,MAGAZZINO!$B$2:$M$100000,12,FALSE)</f>
        <v/>
      </c>
      <c r="M1338" s="47" t="n"/>
      <c r="N1338" s="88" t="n">
        <v>45873</v>
      </c>
      <c r="O1338" s="156" t="inlineStr">
        <is>
          <t>BIN HUMAID NATIONAL TRADING CO. (ARABIA SAUDITA)</t>
        </is>
      </c>
      <c r="P1338" s="152" t="inlineStr">
        <is>
          <t xml:space="preserve">  IMPORT LICENSE N. 182480  (END USER CERTIFICATE)                                                                      AUT. ESPORTAZIONE MULTIPLA N. 6B/2025/2M RILASCIATA IL 26/05/2025                        (LICENZA DI SCARICO N. 6B/2025/2S RILASCIATA IL 30/07/2025)</t>
        </is>
      </c>
      <c r="Q1338" s="150" t="n"/>
      <c r="R1338" s="150" t="n"/>
      <c r="S1338" s="153" t="n"/>
    </row>
    <row r="1339" ht="36" customHeight="1">
      <c r="A1339" s="46" t="n">
        <v>3669</v>
      </c>
      <c r="B1339" s="4">
        <f>+VLOOKUP($A1339,MAGAZZINO!$B$2:$M$100000,2,FALSE)</f>
        <v/>
      </c>
      <c r="C1339" s="29">
        <f>+VLOOKUP($A1339,MAGAZZINO!$B$2:$M$100000,3,FALSE)</f>
        <v/>
      </c>
      <c r="D1339" s="3">
        <f>+VLOOKUP($A1339,MAGAZZINO!$B$2:$M$100000,4,FALSE)</f>
        <v/>
      </c>
      <c r="E1339" s="3">
        <f>+VLOOKUP($A1339,MAGAZZINO!$B$2:$M$100000,5,FALSE)</f>
        <v/>
      </c>
      <c r="F1339" s="3">
        <f>+VLOOKUP($A1339,MAGAZZINO!$B$2:$M$100000,6,FALSE)</f>
        <v/>
      </c>
      <c r="G1339" s="3">
        <f>+VLOOKUP($A1339,MAGAZZINO!$B$2:$M$100000,7,FALSE)</f>
        <v/>
      </c>
      <c r="H1339" s="3">
        <f>+VLOOKUP($A1339,MAGAZZINO!$B$2:$M$100000,8,FALSE)</f>
        <v/>
      </c>
      <c r="I1339" s="3">
        <f>+VLOOKUP($A1339,MAGAZZINO!$B$2:$M$100000,9,FALSE)</f>
        <v/>
      </c>
      <c r="J1339" s="3">
        <f>+VLOOKUP($A1339,MAGAZZINO!$B$2:$M$100000,10,FALSE)</f>
        <v/>
      </c>
      <c r="K1339" s="3">
        <f>+VLOOKUP($A1339,MAGAZZINO!$B$2:$M$100000,11,FALSE)</f>
        <v/>
      </c>
      <c r="L1339" s="5">
        <f>+VLOOKUP($A1339,MAGAZZINO!$B$2:$M$100000,12,FALSE)</f>
        <v/>
      </c>
      <c r="M1339" s="47" t="n"/>
      <c r="N1339" s="88" t="n">
        <v>45873</v>
      </c>
      <c r="O1339" s="156" t="inlineStr">
        <is>
          <t>BIN HUMAID NATIONAL TRADING CO. (ARABIA SAUDITA)</t>
        </is>
      </c>
      <c r="P1339" s="152" t="inlineStr">
        <is>
          <t xml:space="preserve">  IMPORT LICENSE N. 182480  (END USER CERTIFICATE)                                                                      AUT. ESPORTAZIONE MULTIPLA N. 6B/2025/2M RILASCIATA IL 26/05/2025                        (LICENZA DI SCARICO N. 6B/2025/2S RILASCIATA IL 30/07/2025)</t>
        </is>
      </c>
      <c r="Q1339" s="150" t="n"/>
      <c r="R1339" s="150" t="n"/>
      <c r="S1339" s="153" t="n"/>
    </row>
    <row r="1340" ht="36" customHeight="1">
      <c r="A1340" s="46" t="n">
        <v>3670</v>
      </c>
      <c r="B1340" s="4">
        <f>+VLOOKUP($A1340,MAGAZZINO!$B$2:$M$100000,2,FALSE)</f>
        <v/>
      </c>
      <c r="C1340" s="29">
        <f>+VLOOKUP($A1340,MAGAZZINO!$B$2:$M$100000,3,FALSE)</f>
        <v/>
      </c>
      <c r="D1340" s="3">
        <f>+VLOOKUP($A1340,MAGAZZINO!$B$2:$M$100000,4,FALSE)</f>
        <v/>
      </c>
      <c r="E1340" s="3">
        <f>+VLOOKUP($A1340,MAGAZZINO!$B$2:$M$100000,5,FALSE)</f>
        <v/>
      </c>
      <c r="F1340" s="3">
        <f>+VLOOKUP($A1340,MAGAZZINO!$B$2:$M$100000,6,FALSE)</f>
        <v/>
      </c>
      <c r="G1340" s="3">
        <f>+VLOOKUP($A1340,MAGAZZINO!$B$2:$M$100000,7,FALSE)</f>
        <v/>
      </c>
      <c r="H1340" s="3">
        <f>+VLOOKUP($A1340,MAGAZZINO!$B$2:$M$100000,8,FALSE)</f>
        <v/>
      </c>
      <c r="I1340" s="3">
        <f>+VLOOKUP($A1340,MAGAZZINO!$B$2:$M$100000,9,FALSE)</f>
        <v/>
      </c>
      <c r="J1340" s="3">
        <f>+VLOOKUP($A1340,MAGAZZINO!$B$2:$M$100000,10,FALSE)</f>
        <v/>
      </c>
      <c r="K1340" s="3">
        <f>+VLOOKUP($A1340,MAGAZZINO!$B$2:$M$100000,11,FALSE)</f>
        <v/>
      </c>
      <c r="L1340" s="5">
        <f>+VLOOKUP($A1340,MAGAZZINO!$B$2:$M$100000,12,FALSE)</f>
        <v/>
      </c>
      <c r="M1340" s="47" t="n"/>
      <c r="N1340" s="88" t="n">
        <v>45873</v>
      </c>
      <c r="O1340" s="156" t="inlineStr">
        <is>
          <t>BIN HUMAID NATIONAL TRADING CO. (ARABIA SAUDITA)</t>
        </is>
      </c>
      <c r="P1340" s="152" t="inlineStr">
        <is>
          <t xml:space="preserve">  IMPORT LICENSE N. 182480  (END USER CERTIFICATE)                                                                      AUT. ESPORTAZIONE MULTIPLA N. 6B/2025/2M RILASCIATA IL 26/05/2025                        (LICENZA DI SCARICO N. 6B/2025/2S RILASCIATA IL 30/07/2025)</t>
        </is>
      </c>
      <c r="Q1340" s="150" t="n"/>
      <c r="R1340" s="150" t="n"/>
      <c r="S1340" s="153" t="n"/>
    </row>
    <row r="1341" ht="36" customHeight="1">
      <c r="A1341" s="46" t="n">
        <v>3671</v>
      </c>
      <c r="B1341" s="4">
        <f>+VLOOKUP($A1341,MAGAZZINO!$B$2:$M$100000,2,FALSE)</f>
        <v/>
      </c>
      <c r="C1341" s="29">
        <f>+VLOOKUP($A1341,MAGAZZINO!$B$2:$M$100000,3,FALSE)</f>
        <v/>
      </c>
      <c r="D1341" s="3">
        <f>+VLOOKUP($A1341,MAGAZZINO!$B$2:$M$100000,4,FALSE)</f>
        <v/>
      </c>
      <c r="E1341" s="3">
        <f>+VLOOKUP($A1341,MAGAZZINO!$B$2:$M$100000,5,FALSE)</f>
        <v/>
      </c>
      <c r="F1341" s="3">
        <f>+VLOOKUP($A1341,MAGAZZINO!$B$2:$M$100000,6,FALSE)</f>
        <v/>
      </c>
      <c r="G1341" s="3">
        <f>+VLOOKUP($A1341,MAGAZZINO!$B$2:$M$100000,7,FALSE)</f>
        <v/>
      </c>
      <c r="H1341" s="3">
        <f>+VLOOKUP($A1341,MAGAZZINO!$B$2:$M$100000,8,FALSE)</f>
        <v/>
      </c>
      <c r="I1341" s="3">
        <f>+VLOOKUP($A1341,MAGAZZINO!$B$2:$M$100000,9,FALSE)</f>
        <v/>
      </c>
      <c r="J1341" s="3">
        <f>+VLOOKUP($A1341,MAGAZZINO!$B$2:$M$100000,10,FALSE)</f>
        <v/>
      </c>
      <c r="K1341" s="3">
        <f>+VLOOKUP($A1341,MAGAZZINO!$B$2:$M$100000,11,FALSE)</f>
        <v/>
      </c>
      <c r="L1341" s="5">
        <f>+VLOOKUP($A1341,MAGAZZINO!$B$2:$M$100000,12,FALSE)</f>
        <v/>
      </c>
      <c r="M1341" s="47" t="n"/>
      <c r="N1341" s="88" t="n">
        <v>45873</v>
      </c>
      <c r="O1341" s="156" t="inlineStr">
        <is>
          <t>BIN HUMAID NATIONAL TRADING CO. (ARABIA SAUDITA)</t>
        </is>
      </c>
      <c r="P1341" s="152" t="inlineStr">
        <is>
          <t xml:space="preserve">  IMPORT LICENSE N. 182480  (END USER CERTIFICATE)                                                                      AUT. ESPORTAZIONE MULTIPLA N. 6B/2025/2M RILASCIATA IL 26/05/2025                        (LICENZA DI SCARICO N. 6B/2025/2S RILASCIATA IL 30/07/2025)</t>
        </is>
      </c>
      <c r="Q1341" s="150" t="n"/>
      <c r="R1341" s="150" t="n"/>
      <c r="S1341" s="153" t="n"/>
    </row>
    <row r="1342" ht="36" customHeight="1">
      <c r="A1342" s="46" t="n">
        <v>3672</v>
      </c>
      <c r="B1342" s="4">
        <f>+VLOOKUP($A1342,MAGAZZINO!$B$2:$M$100000,2,FALSE)</f>
        <v/>
      </c>
      <c r="C1342" s="29">
        <f>+VLOOKUP($A1342,MAGAZZINO!$B$2:$M$100000,3,FALSE)</f>
        <v/>
      </c>
      <c r="D1342" s="3">
        <f>+VLOOKUP($A1342,MAGAZZINO!$B$2:$M$100000,4,FALSE)</f>
        <v/>
      </c>
      <c r="E1342" s="3">
        <f>+VLOOKUP($A1342,MAGAZZINO!$B$2:$M$100000,5,FALSE)</f>
        <v/>
      </c>
      <c r="F1342" s="3">
        <f>+VLOOKUP($A1342,MAGAZZINO!$B$2:$M$100000,6,FALSE)</f>
        <v/>
      </c>
      <c r="G1342" s="3">
        <f>+VLOOKUP($A1342,MAGAZZINO!$B$2:$M$100000,7,FALSE)</f>
        <v/>
      </c>
      <c r="H1342" s="3">
        <f>+VLOOKUP($A1342,MAGAZZINO!$B$2:$M$100000,8,FALSE)</f>
        <v/>
      </c>
      <c r="I1342" s="3">
        <f>+VLOOKUP($A1342,MAGAZZINO!$B$2:$M$100000,9,FALSE)</f>
        <v/>
      </c>
      <c r="J1342" s="3">
        <f>+VLOOKUP($A1342,MAGAZZINO!$B$2:$M$100000,10,FALSE)</f>
        <v/>
      </c>
      <c r="K1342" s="3">
        <f>+VLOOKUP($A1342,MAGAZZINO!$B$2:$M$100000,11,FALSE)</f>
        <v/>
      </c>
      <c r="L1342" s="5">
        <f>+VLOOKUP($A1342,MAGAZZINO!$B$2:$M$100000,12,FALSE)</f>
        <v/>
      </c>
      <c r="M1342" s="47" t="n"/>
      <c r="N1342" s="88" t="n">
        <v>45873</v>
      </c>
      <c r="O1342" s="156" t="inlineStr">
        <is>
          <t>BIN HUMAID NATIONAL TRADING CO. (ARABIA SAUDITA)</t>
        </is>
      </c>
      <c r="P1342" s="152" t="inlineStr">
        <is>
          <t xml:space="preserve">  IMPORT LICENSE N. 182480  (END USER CERTIFICATE)                                                                      AUT. ESPORTAZIONE MULTIPLA N. 6B/2025/2M RILASCIATA IL 26/05/2025                        (LICENZA DI SCARICO N. 6B/2025/2S RILASCIATA IL 30/07/2025)</t>
        </is>
      </c>
      <c r="Q1342" s="150" t="n"/>
      <c r="R1342" s="150" t="n"/>
      <c r="S1342" s="153" t="n"/>
    </row>
    <row r="1343" ht="36" customHeight="1">
      <c r="A1343" s="46" t="n">
        <v>3673</v>
      </c>
      <c r="B1343" s="4">
        <f>+VLOOKUP($A1343,MAGAZZINO!$B$2:$M$100000,2,FALSE)</f>
        <v/>
      </c>
      <c r="C1343" s="29">
        <f>+VLOOKUP($A1343,MAGAZZINO!$B$2:$M$100000,3,FALSE)</f>
        <v/>
      </c>
      <c r="D1343" s="3">
        <f>+VLOOKUP($A1343,MAGAZZINO!$B$2:$M$100000,4,FALSE)</f>
        <v/>
      </c>
      <c r="E1343" s="3">
        <f>+VLOOKUP($A1343,MAGAZZINO!$B$2:$M$100000,5,FALSE)</f>
        <v/>
      </c>
      <c r="F1343" s="3">
        <f>+VLOOKUP($A1343,MAGAZZINO!$B$2:$M$100000,6,FALSE)</f>
        <v/>
      </c>
      <c r="G1343" s="3">
        <f>+VLOOKUP($A1343,MAGAZZINO!$B$2:$M$100000,7,FALSE)</f>
        <v/>
      </c>
      <c r="H1343" s="3">
        <f>+VLOOKUP($A1343,MAGAZZINO!$B$2:$M$100000,8,FALSE)</f>
        <v/>
      </c>
      <c r="I1343" s="3">
        <f>+VLOOKUP($A1343,MAGAZZINO!$B$2:$M$100000,9,FALSE)</f>
        <v/>
      </c>
      <c r="J1343" s="3">
        <f>+VLOOKUP($A1343,MAGAZZINO!$B$2:$M$100000,10,FALSE)</f>
        <v/>
      </c>
      <c r="K1343" s="3">
        <f>+VLOOKUP($A1343,MAGAZZINO!$B$2:$M$100000,11,FALSE)</f>
        <v/>
      </c>
      <c r="L1343" s="5">
        <f>+VLOOKUP($A1343,MAGAZZINO!$B$2:$M$100000,12,FALSE)</f>
        <v/>
      </c>
      <c r="M1343" s="47" t="n"/>
      <c r="N1343" s="88" t="n">
        <v>45873</v>
      </c>
      <c r="O1343" s="156" t="inlineStr">
        <is>
          <t>BIN HUMAID NATIONAL TRADING CO. (ARABIA SAUDITA)</t>
        </is>
      </c>
      <c r="P1343" s="152" t="inlineStr">
        <is>
          <t xml:space="preserve">  IMPORT LICENSE N. 182480  (END USER CERTIFICATE)                                                                      AUT. ESPORTAZIONE MULTIPLA N. 6B/2025/2M RILASCIATA IL 26/05/2025                        (LICENZA DI SCARICO N. 6B/2025/2S RILASCIATA IL 30/07/2025)</t>
        </is>
      </c>
      <c r="Q1343" s="150" t="n"/>
      <c r="R1343" s="150" t="n"/>
      <c r="S1343" s="153" t="n"/>
    </row>
    <row r="1344" ht="36" customHeight="1">
      <c r="A1344" s="46" t="n">
        <v>3674</v>
      </c>
      <c r="B1344" s="4">
        <f>+VLOOKUP($A1344,MAGAZZINO!$B$2:$M$100000,2,FALSE)</f>
        <v/>
      </c>
      <c r="C1344" s="29">
        <f>+VLOOKUP($A1344,MAGAZZINO!$B$2:$M$100000,3,FALSE)</f>
        <v/>
      </c>
      <c r="D1344" s="3">
        <f>+VLOOKUP($A1344,MAGAZZINO!$B$2:$M$100000,4,FALSE)</f>
        <v/>
      </c>
      <c r="E1344" s="3">
        <f>+VLOOKUP($A1344,MAGAZZINO!$B$2:$M$100000,5,FALSE)</f>
        <v/>
      </c>
      <c r="F1344" s="3">
        <f>+VLOOKUP($A1344,MAGAZZINO!$B$2:$M$100000,6,FALSE)</f>
        <v/>
      </c>
      <c r="G1344" s="3">
        <f>+VLOOKUP($A1344,MAGAZZINO!$B$2:$M$100000,7,FALSE)</f>
        <v/>
      </c>
      <c r="H1344" s="3">
        <f>+VLOOKUP($A1344,MAGAZZINO!$B$2:$M$100000,8,FALSE)</f>
        <v/>
      </c>
      <c r="I1344" s="3">
        <f>+VLOOKUP($A1344,MAGAZZINO!$B$2:$M$100000,9,FALSE)</f>
        <v/>
      </c>
      <c r="J1344" s="3">
        <f>+VLOOKUP($A1344,MAGAZZINO!$B$2:$M$100000,10,FALSE)</f>
        <v/>
      </c>
      <c r="K1344" s="3">
        <f>+VLOOKUP($A1344,MAGAZZINO!$B$2:$M$100000,11,FALSE)</f>
        <v/>
      </c>
      <c r="L1344" s="5">
        <f>+VLOOKUP($A1344,MAGAZZINO!$B$2:$M$100000,12,FALSE)</f>
        <v/>
      </c>
      <c r="M1344" s="47" t="n"/>
      <c r="N1344" s="88" t="n">
        <v>45873</v>
      </c>
      <c r="O1344" s="156" t="inlineStr">
        <is>
          <t>BIN HUMAID NATIONAL TRADING CO. (ARABIA SAUDITA)</t>
        </is>
      </c>
      <c r="P1344" s="152" t="inlineStr">
        <is>
          <t xml:space="preserve">  IMPORT LICENSE N. 182480  (END USER CERTIFICATE)                                                                      AUT. ESPORTAZIONE MULTIPLA N. 6B/2025/2M RILASCIATA IL 26/05/2025                        (LICENZA DI SCARICO N. 6B/2025/2S RILASCIATA IL 30/07/2025)</t>
        </is>
      </c>
      <c r="Q1344" s="150" t="n"/>
      <c r="R1344" s="150" t="n"/>
      <c r="S1344" s="153" t="n"/>
    </row>
    <row r="1345" ht="36" customHeight="1">
      <c r="A1345" s="46" t="n">
        <v>3675</v>
      </c>
      <c r="B1345" s="4">
        <f>+VLOOKUP($A1345,MAGAZZINO!$B$2:$M$100000,2,FALSE)</f>
        <v/>
      </c>
      <c r="C1345" s="29">
        <f>+VLOOKUP($A1345,MAGAZZINO!$B$2:$M$100000,3,FALSE)</f>
        <v/>
      </c>
      <c r="D1345" s="3">
        <f>+VLOOKUP($A1345,MAGAZZINO!$B$2:$M$100000,4,FALSE)</f>
        <v/>
      </c>
      <c r="E1345" s="3">
        <f>+VLOOKUP($A1345,MAGAZZINO!$B$2:$M$100000,5,FALSE)</f>
        <v/>
      </c>
      <c r="F1345" s="3">
        <f>+VLOOKUP($A1345,MAGAZZINO!$B$2:$M$100000,6,FALSE)</f>
        <v/>
      </c>
      <c r="G1345" s="3">
        <f>+VLOOKUP($A1345,MAGAZZINO!$B$2:$M$100000,7,FALSE)</f>
        <v/>
      </c>
      <c r="H1345" s="3">
        <f>+VLOOKUP($A1345,MAGAZZINO!$B$2:$M$100000,8,FALSE)</f>
        <v/>
      </c>
      <c r="I1345" s="3">
        <f>+VLOOKUP($A1345,MAGAZZINO!$B$2:$M$100000,9,FALSE)</f>
        <v/>
      </c>
      <c r="J1345" s="3">
        <f>+VLOOKUP($A1345,MAGAZZINO!$B$2:$M$100000,10,FALSE)</f>
        <v/>
      </c>
      <c r="K1345" s="3">
        <f>+VLOOKUP($A1345,MAGAZZINO!$B$2:$M$100000,11,FALSE)</f>
        <v/>
      </c>
      <c r="L1345" s="5">
        <f>+VLOOKUP($A1345,MAGAZZINO!$B$2:$M$100000,12,FALSE)</f>
        <v/>
      </c>
      <c r="M1345" s="47" t="n"/>
      <c r="N1345" s="88" t="n">
        <v>45873</v>
      </c>
      <c r="O1345" s="156" t="inlineStr">
        <is>
          <t>BIN HUMAID NATIONAL TRADING CO. (ARABIA SAUDITA)</t>
        </is>
      </c>
      <c r="P1345" s="152" t="inlineStr">
        <is>
          <t xml:space="preserve">  IMPORT LICENSE N. 182480  (END USER CERTIFICATE)                                                                      AUT. ESPORTAZIONE MULTIPLA N. 6B/2025/2M RILASCIATA IL 26/05/2025                        (LICENZA DI SCARICO N. 6B/2025/2S RILASCIATA IL 30/07/2025)</t>
        </is>
      </c>
      <c r="Q1345" s="150" t="n"/>
      <c r="R1345" s="150" t="n"/>
      <c r="S1345" s="153" t="n"/>
    </row>
    <row r="1346" ht="36" customHeight="1">
      <c r="A1346" s="46" t="n">
        <v>3676</v>
      </c>
      <c r="B1346" s="4">
        <f>+VLOOKUP($A1346,MAGAZZINO!$B$2:$M$100000,2,FALSE)</f>
        <v/>
      </c>
      <c r="C1346" s="29">
        <f>+VLOOKUP($A1346,MAGAZZINO!$B$2:$M$100000,3,FALSE)</f>
        <v/>
      </c>
      <c r="D1346" s="3">
        <f>+VLOOKUP($A1346,MAGAZZINO!$B$2:$M$100000,4,FALSE)</f>
        <v/>
      </c>
      <c r="E1346" s="3">
        <f>+VLOOKUP($A1346,MAGAZZINO!$B$2:$M$100000,5,FALSE)</f>
        <v/>
      </c>
      <c r="F1346" s="3">
        <f>+VLOOKUP($A1346,MAGAZZINO!$B$2:$M$100000,6,FALSE)</f>
        <v/>
      </c>
      <c r="G1346" s="3">
        <f>+VLOOKUP($A1346,MAGAZZINO!$B$2:$M$100000,7,FALSE)</f>
        <v/>
      </c>
      <c r="H1346" s="3">
        <f>+VLOOKUP($A1346,MAGAZZINO!$B$2:$M$100000,8,FALSE)</f>
        <v/>
      </c>
      <c r="I1346" s="3">
        <f>+VLOOKUP($A1346,MAGAZZINO!$B$2:$M$100000,9,FALSE)</f>
        <v/>
      </c>
      <c r="J1346" s="3">
        <f>+VLOOKUP($A1346,MAGAZZINO!$B$2:$M$100000,10,FALSE)</f>
        <v/>
      </c>
      <c r="K1346" s="3">
        <f>+VLOOKUP($A1346,MAGAZZINO!$B$2:$M$100000,11,FALSE)</f>
        <v/>
      </c>
      <c r="L1346" s="5">
        <f>+VLOOKUP($A1346,MAGAZZINO!$B$2:$M$100000,12,FALSE)</f>
        <v/>
      </c>
      <c r="M1346" s="47" t="n"/>
      <c r="N1346" s="88" t="n">
        <v>45873</v>
      </c>
      <c r="O1346" s="156" t="inlineStr">
        <is>
          <t>BIN HUMAID NATIONAL TRADING CO. (ARABIA SAUDITA)</t>
        </is>
      </c>
      <c r="P1346" s="152" t="inlineStr">
        <is>
          <t xml:space="preserve">  IMPORT LICENSE N. 182480  (END USER CERTIFICATE)                                                                      AUT. ESPORTAZIONE MULTIPLA N. 6B/2025/2M RILASCIATA IL 26/05/2025                        (LICENZA DI SCARICO N. 6B/2025/2S RILASCIATA IL 30/07/2025)</t>
        </is>
      </c>
      <c r="Q1346" s="150" t="n"/>
      <c r="R1346" s="150" t="n"/>
      <c r="S1346" s="153" t="n"/>
    </row>
    <row r="1347" ht="36" customHeight="1">
      <c r="A1347" s="46" t="n">
        <v>3677</v>
      </c>
      <c r="B1347" s="4">
        <f>+VLOOKUP($A1347,MAGAZZINO!$B$2:$M$100000,2,FALSE)</f>
        <v/>
      </c>
      <c r="C1347" s="29">
        <f>+VLOOKUP($A1347,MAGAZZINO!$B$2:$M$100000,3,FALSE)</f>
        <v/>
      </c>
      <c r="D1347" s="3">
        <f>+VLOOKUP($A1347,MAGAZZINO!$B$2:$M$100000,4,FALSE)</f>
        <v/>
      </c>
      <c r="E1347" s="3">
        <f>+VLOOKUP($A1347,MAGAZZINO!$B$2:$M$100000,5,FALSE)</f>
        <v/>
      </c>
      <c r="F1347" s="3">
        <f>+VLOOKUP($A1347,MAGAZZINO!$B$2:$M$100000,6,FALSE)</f>
        <v/>
      </c>
      <c r="G1347" s="3">
        <f>+VLOOKUP($A1347,MAGAZZINO!$B$2:$M$100000,7,FALSE)</f>
        <v/>
      </c>
      <c r="H1347" s="3">
        <f>+VLOOKUP($A1347,MAGAZZINO!$B$2:$M$100000,8,FALSE)</f>
        <v/>
      </c>
      <c r="I1347" s="3">
        <f>+VLOOKUP($A1347,MAGAZZINO!$B$2:$M$100000,9,FALSE)</f>
        <v/>
      </c>
      <c r="J1347" s="3">
        <f>+VLOOKUP($A1347,MAGAZZINO!$B$2:$M$100000,10,FALSE)</f>
        <v/>
      </c>
      <c r="K1347" s="3">
        <f>+VLOOKUP($A1347,MAGAZZINO!$B$2:$M$100000,11,FALSE)</f>
        <v/>
      </c>
      <c r="L1347" s="5">
        <f>+VLOOKUP($A1347,MAGAZZINO!$B$2:$M$100000,12,FALSE)</f>
        <v/>
      </c>
      <c r="M1347" s="47" t="n"/>
      <c r="N1347" s="88" t="n">
        <v>45873</v>
      </c>
      <c r="O1347" s="156" t="inlineStr">
        <is>
          <t>BIN HUMAID NATIONAL TRADING CO. (ARABIA SAUDITA)</t>
        </is>
      </c>
      <c r="P1347" s="152" t="inlineStr">
        <is>
          <t xml:space="preserve">  IMPORT LICENSE N. 182480  (END USER CERTIFICATE)                                                                      AUT. ESPORTAZIONE MULTIPLA N. 6B/2025/2M RILASCIATA IL 26/05/2025                        (LICENZA DI SCARICO N. 6B/2025/2S RILASCIATA IL 30/07/2025)</t>
        </is>
      </c>
      <c r="Q1347" s="150" t="n"/>
      <c r="R1347" s="150" t="n"/>
      <c r="S1347" s="153" t="n"/>
    </row>
    <row r="1348" ht="36" customHeight="1">
      <c r="A1348" s="46" t="n">
        <v>3678</v>
      </c>
      <c r="B1348" s="4">
        <f>+VLOOKUP($A1348,MAGAZZINO!$B$2:$M$100000,2,FALSE)</f>
        <v/>
      </c>
      <c r="C1348" s="29">
        <f>+VLOOKUP($A1348,MAGAZZINO!$B$2:$M$100000,3,FALSE)</f>
        <v/>
      </c>
      <c r="D1348" s="3">
        <f>+VLOOKUP($A1348,MAGAZZINO!$B$2:$M$100000,4,FALSE)</f>
        <v/>
      </c>
      <c r="E1348" s="3">
        <f>+VLOOKUP($A1348,MAGAZZINO!$B$2:$M$100000,5,FALSE)</f>
        <v/>
      </c>
      <c r="F1348" s="3">
        <f>+VLOOKUP($A1348,MAGAZZINO!$B$2:$M$100000,6,FALSE)</f>
        <v/>
      </c>
      <c r="G1348" s="3">
        <f>+VLOOKUP($A1348,MAGAZZINO!$B$2:$M$100000,7,FALSE)</f>
        <v/>
      </c>
      <c r="H1348" s="3">
        <f>+VLOOKUP($A1348,MAGAZZINO!$B$2:$M$100000,8,FALSE)</f>
        <v/>
      </c>
      <c r="I1348" s="3">
        <f>+VLOOKUP($A1348,MAGAZZINO!$B$2:$M$100000,9,FALSE)</f>
        <v/>
      </c>
      <c r="J1348" s="3">
        <f>+VLOOKUP($A1348,MAGAZZINO!$B$2:$M$100000,10,FALSE)</f>
        <v/>
      </c>
      <c r="K1348" s="3">
        <f>+VLOOKUP($A1348,MAGAZZINO!$B$2:$M$100000,11,FALSE)</f>
        <v/>
      </c>
      <c r="L1348" s="5">
        <f>+VLOOKUP($A1348,MAGAZZINO!$B$2:$M$100000,12,FALSE)</f>
        <v/>
      </c>
      <c r="M1348" s="47" t="n"/>
      <c r="N1348" s="88" t="n">
        <v>45873</v>
      </c>
      <c r="O1348" s="156" t="inlineStr">
        <is>
          <t>BIN HUMAID NATIONAL TRADING CO. (ARABIA SAUDITA)</t>
        </is>
      </c>
      <c r="P1348" s="152" t="inlineStr">
        <is>
          <t xml:space="preserve">  IMPORT LICENSE N. 182480  (END USER CERTIFICATE)                                                                      AUT. ESPORTAZIONE MULTIPLA N. 6B/2025/2M RILASCIATA IL 26/05/2025                        (LICENZA DI SCARICO N. 6B/2025/2S RILASCIATA IL 30/07/2025)</t>
        </is>
      </c>
      <c r="Q1348" s="150" t="n"/>
      <c r="R1348" s="150" t="n"/>
      <c r="S1348" s="153" t="n"/>
    </row>
    <row r="1349" ht="36" customHeight="1">
      <c r="A1349" s="46" t="n">
        <v>3679</v>
      </c>
      <c r="B1349" s="4">
        <f>+VLOOKUP($A1349,MAGAZZINO!$B$2:$M$100000,2,FALSE)</f>
        <v/>
      </c>
      <c r="C1349" s="29">
        <f>+VLOOKUP($A1349,MAGAZZINO!$B$2:$M$100000,3,FALSE)</f>
        <v/>
      </c>
      <c r="D1349" s="3">
        <f>+VLOOKUP($A1349,MAGAZZINO!$B$2:$M$100000,4,FALSE)</f>
        <v/>
      </c>
      <c r="E1349" s="3">
        <f>+VLOOKUP($A1349,MAGAZZINO!$B$2:$M$100000,5,FALSE)</f>
        <v/>
      </c>
      <c r="F1349" s="3">
        <f>+VLOOKUP($A1349,MAGAZZINO!$B$2:$M$100000,6,FALSE)</f>
        <v/>
      </c>
      <c r="G1349" s="3">
        <f>+VLOOKUP($A1349,MAGAZZINO!$B$2:$M$100000,7,FALSE)</f>
        <v/>
      </c>
      <c r="H1349" s="3">
        <f>+VLOOKUP($A1349,MAGAZZINO!$B$2:$M$100000,8,FALSE)</f>
        <v/>
      </c>
      <c r="I1349" s="3">
        <f>+VLOOKUP($A1349,MAGAZZINO!$B$2:$M$100000,9,FALSE)</f>
        <v/>
      </c>
      <c r="J1349" s="3">
        <f>+VLOOKUP($A1349,MAGAZZINO!$B$2:$M$100000,10,FALSE)</f>
        <v/>
      </c>
      <c r="K1349" s="3">
        <f>+VLOOKUP($A1349,MAGAZZINO!$B$2:$M$100000,11,FALSE)</f>
        <v/>
      </c>
      <c r="L1349" s="5">
        <f>+VLOOKUP($A1349,MAGAZZINO!$B$2:$M$100000,12,FALSE)</f>
        <v/>
      </c>
      <c r="M1349" s="47" t="n"/>
      <c r="N1349" s="88" t="n">
        <v>45873</v>
      </c>
      <c r="O1349" s="156" t="inlineStr">
        <is>
          <t>BIN HUMAID NATIONAL TRADING CO. (ARABIA SAUDITA)</t>
        </is>
      </c>
      <c r="P1349" s="152" t="inlineStr">
        <is>
          <t xml:space="preserve">  IMPORT LICENSE N. 182480  (END USER CERTIFICATE)                                                                      AUT. ESPORTAZIONE MULTIPLA N. 6B/2025/2M RILASCIATA IL 26/05/2025                        (LICENZA DI SCARICO N. 6B/2025/2S RILASCIATA IL 30/07/2025)</t>
        </is>
      </c>
      <c r="Q1349" s="150" t="n"/>
      <c r="R1349" s="150" t="n"/>
      <c r="S1349" s="153" t="n"/>
    </row>
    <row r="1350" ht="36" customHeight="1">
      <c r="A1350" s="46" t="n">
        <v>3680</v>
      </c>
      <c r="B1350" s="4">
        <f>+VLOOKUP($A1350,MAGAZZINO!$B$2:$M$100000,2,FALSE)</f>
        <v/>
      </c>
      <c r="C1350" s="29">
        <f>+VLOOKUP($A1350,MAGAZZINO!$B$2:$M$100000,3,FALSE)</f>
        <v/>
      </c>
      <c r="D1350" s="3">
        <f>+VLOOKUP($A1350,MAGAZZINO!$B$2:$M$100000,4,FALSE)</f>
        <v/>
      </c>
      <c r="E1350" s="3">
        <f>+VLOOKUP($A1350,MAGAZZINO!$B$2:$M$100000,5,FALSE)</f>
        <v/>
      </c>
      <c r="F1350" s="3">
        <f>+VLOOKUP($A1350,MAGAZZINO!$B$2:$M$100000,6,FALSE)</f>
        <v/>
      </c>
      <c r="G1350" s="3">
        <f>+VLOOKUP($A1350,MAGAZZINO!$B$2:$M$100000,7,FALSE)</f>
        <v/>
      </c>
      <c r="H1350" s="3">
        <f>+VLOOKUP($A1350,MAGAZZINO!$B$2:$M$100000,8,FALSE)</f>
        <v/>
      </c>
      <c r="I1350" s="3">
        <f>+VLOOKUP($A1350,MAGAZZINO!$B$2:$M$100000,9,FALSE)</f>
        <v/>
      </c>
      <c r="J1350" s="3">
        <f>+VLOOKUP($A1350,MAGAZZINO!$B$2:$M$100000,10,FALSE)</f>
        <v/>
      </c>
      <c r="K1350" s="3">
        <f>+VLOOKUP($A1350,MAGAZZINO!$B$2:$M$100000,11,FALSE)</f>
        <v/>
      </c>
      <c r="L1350" s="5">
        <f>+VLOOKUP($A1350,MAGAZZINO!$B$2:$M$100000,12,FALSE)</f>
        <v/>
      </c>
      <c r="M1350" s="47" t="n"/>
      <c r="N1350" s="88" t="n">
        <v>45873</v>
      </c>
      <c r="O1350" s="156" t="inlineStr">
        <is>
          <t>BIN HUMAID NATIONAL TRADING CO. (ARABIA SAUDITA)</t>
        </is>
      </c>
      <c r="P1350" s="152" t="inlineStr">
        <is>
          <t xml:space="preserve">  IMPORT LICENSE N. 182480  (END USER CERTIFICATE)                                                                      AUT. ESPORTAZIONE MULTIPLA N. 6B/2025/2M RILASCIATA IL 26/05/2025                        (LICENZA DI SCARICO N. 6B/2025/2S RILASCIATA IL 30/07/2025)</t>
        </is>
      </c>
      <c r="Q1350" s="150" t="n"/>
      <c r="R1350" s="150" t="n"/>
      <c r="S1350" s="153" t="n"/>
    </row>
    <row r="1351" ht="36" customHeight="1">
      <c r="A1351" s="46" t="n">
        <v>3681</v>
      </c>
      <c r="B1351" s="4">
        <f>+VLOOKUP($A1351,MAGAZZINO!$B$2:$M$100000,2,FALSE)</f>
        <v/>
      </c>
      <c r="C1351" s="29">
        <f>+VLOOKUP($A1351,MAGAZZINO!$B$2:$M$100000,3,FALSE)</f>
        <v/>
      </c>
      <c r="D1351" s="3">
        <f>+VLOOKUP($A1351,MAGAZZINO!$B$2:$M$100000,4,FALSE)</f>
        <v/>
      </c>
      <c r="E1351" s="3">
        <f>+VLOOKUP($A1351,MAGAZZINO!$B$2:$M$100000,5,FALSE)</f>
        <v/>
      </c>
      <c r="F1351" s="3">
        <f>+VLOOKUP($A1351,MAGAZZINO!$B$2:$M$100000,6,FALSE)</f>
        <v/>
      </c>
      <c r="G1351" s="3">
        <f>+VLOOKUP($A1351,MAGAZZINO!$B$2:$M$100000,7,FALSE)</f>
        <v/>
      </c>
      <c r="H1351" s="3">
        <f>+VLOOKUP($A1351,MAGAZZINO!$B$2:$M$100000,8,FALSE)</f>
        <v/>
      </c>
      <c r="I1351" s="3">
        <f>+VLOOKUP($A1351,MAGAZZINO!$B$2:$M$100000,9,FALSE)</f>
        <v/>
      </c>
      <c r="J1351" s="3">
        <f>+VLOOKUP($A1351,MAGAZZINO!$B$2:$M$100000,10,FALSE)</f>
        <v/>
      </c>
      <c r="K1351" s="3">
        <f>+VLOOKUP($A1351,MAGAZZINO!$B$2:$M$100000,11,FALSE)</f>
        <v/>
      </c>
      <c r="L1351" s="5">
        <f>+VLOOKUP($A1351,MAGAZZINO!$B$2:$M$100000,12,FALSE)</f>
        <v/>
      </c>
      <c r="M1351" s="47" t="n"/>
      <c r="N1351" s="88" t="n">
        <v>45873</v>
      </c>
      <c r="O1351" s="156" t="inlineStr">
        <is>
          <t>BIN HUMAID NATIONAL TRADING CO. (ARABIA SAUDITA)</t>
        </is>
      </c>
      <c r="P1351" s="152" t="inlineStr">
        <is>
          <t xml:space="preserve">  IMPORT LICENSE N. 182480  (END USER CERTIFICATE)                                                                      AUT. ESPORTAZIONE MULTIPLA N. 6B/2025/2M RILASCIATA IL 26/05/2025                        (LICENZA DI SCARICO N. 6B/2025/2S RILASCIATA IL 30/07/2025)</t>
        </is>
      </c>
      <c r="Q1351" s="150" t="n"/>
      <c r="R1351" s="150" t="n"/>
      <c r="S1351" s="153" t="n"/>
    </row>
    <row r="1352" ht="36" customHeight="1">
      <c r="A1352" s="46" t="n">
        <v>3682</v>
      </c>
      <c r="B1352" s="4">
        <f>+VLOOKUP($A1352,MAGAZZINO!$B$2:$M$100000,2,FALSE)</f>
        <v/>
      </c>
      <c r="C1352" s="29">
        <f>+VLOOKUP($A1352,MAGAZZINO!$B$2:$M$100000,3,FALSE)</f>
        <v/>
      </c>
      <c r="D1352" s="3">
        <f>+VLOOKUP($A1352,MAGAZZINO!$B$2:$M$100000,4,FALSE)</f>
        <v/>
      </c>
      <c r="E1352" s="3">
        <f>+VLOOKUP($A1352,MAGAZZINO!$B$2:$M$100000,5,FALSE)</f>
        <v/>
      </c>
      <c r="F1352" s="3">
        <f>+VLOOKUP($A1352,MAGAZZINO!$B$2:$M$100000,6,FALSE)</f>
        <v/>
      </c>
      <c r="G1352" s="3">
        <f>+VLOOKUP($A1352,MAGAZZINO!$B$2:$M$100000,7,FALSE)</f>
        <v/>
      </c>
      <c r="H1352" s="3">
        <f>+VLOOKUP($A1352,MAGAZZINO!$B$2:$M$100000,8,FALSE)</f>
        <v/>
      </c>
      <c r="I1352" s="3">
        <f>+VLOOKUP($A1352,MAGAZZINO!$B$2:$M$100000,9,FALSE)</f>
        <v/>
      </c>
      <c r="J1352" s="3">
        <f>+VLOOKUP($A1352,MAGAZZINO!$B$2:$M$100000,10,FALSE)</f>
        <v/>
      </c>
      <c r="K1352" s="3">
        <f>+VLOOKUP($A1352,MAGAZZINO!$B$2:$M$100000,11,FALSE)</f>
        <v/>
      </c>
      <c r="L1352" s="5">
        <f>+VLOOKUP($A1352,MAGAZZINO!$B$2:$M$100000,12,FALSE)</f>
        <v/>
      </c>
      <c r="M1352" s="47" t="n"/>
      <c r="N1352" s="88" t="n">
        <v>45873</v>
      </c>
      <c r="O1352" s="156" t="inlineStr">
        <is>
          <t>BIN HUMAID NATIONAL TRADING CO. (ARABIA SAUDITA)</t>
        </is>
      </c>
      <c r="P1352" s="152" t="inlineStr">
        <is>
          <t xml:space="preserve">  IMPORT LICENSE N. 182480  (END USER CERTIFICATE)                                                                      AUT. ESPORTAZIONE MULTIPLA N. 6B/2025/2M RILASCIATA IL 26/05/2025                        (LICENZA DI SCARICO N. 6B/2025/2S RILASCIATA IL 30/07/2025)</t>
        </is>
      </c>
      <c r="Q1352" s="150" t="n"/>
      <c r="R1352" s="150" t="n"/>
      <c r="S1352" s="153" t="n"/>
    </row>
    <row r="1353" ht="36" customHeight="1">
      <c r="A1353" s="46" t="n">
        <v>3683</v>
      </c>
      <c r="B1353" s="4">
        <f>+VLOOKUP($A1353,MAGAZZINO!$B$2:$M$100000,2,FALSE)</f>
        <v/>
      </c>
      <c r="C1353" s="29">
        <f>+VLOOKUP($A1353,MAGAZZINO!$B$2:$M$100000,3,FALSE)</f>
        <v/>
      </c>
      <c r="D1353" s="3">
        <f>+VLOOKUP($A1353,MAGAZZINO!$B$2:$M$100000,4,FALSE)</f>
        <v/>
      </c>
      <c r="E1353" s="3">
        <f>+VLOOKUP($A1353,MAGAZZINO!$B$2:$M$100000,5,FALSE)</f>
        <v/>
      </c>
      <c r="F1353" s="3">
        <f>+VLOOKUP($A1353,MAGAZZINO!$B$2:$M$100000,6,FALSE)</f>
        <v/>
      </c>
      <c r="G1353" s="3">
        <f>+VLOOKUP($A1353,MAGAZZINO!$B$2:$M$100000,7,FALSE)</f>
        <v/>
      </c>
      <c r="H1353" s="3">
        <f>+VLOOKUP($A1353,MAGAZZINO!$B$2:$M$100000,8,FALSE)</f>
        <v/>
      </c>
      <c r="I1353" s="3">
        <f>+VLOOKUP($A1353,MAGAZZINO!$B$2:$M$100000,9,FALSE)</f>
        <v/>
      </c>
      <c r="J1353" s="3">
        <f>+VLOOKUP($A1353,MAGAZZINO!$B$2:$M$100000,10,FALSE)</f>
        <v/>
      </c>
      <c r="K1353" s="3">
        <f>+VLOOKUP($A1353,MAGAZZINO!$B$2:$M$100000,11,FALSE)</f>
        <v/>
      </c>
      <c r="L1353" s="5">
        <f>+VLOOKUP($A1353,MAGAZZINO!$B$2:$M$100000,12,FALSE)</f>
        <v/>
      </c>
      <c r="M1353" s="47" t="n"/>
      <c r="N1353" s="88" t="n">
        <v>45873</v>
      </c>
      <c r="O1353" s="156" t="inlineStr">
        <is>
          <t>BIN HUMAID NATIONAL TRADING CO. (ARABIA SAUDITA)</t>
        </is>
      </c>
      <c r="P1353" s="152" t="inlineStr">
        <is>
          <t xml:space="preserve">  IMPORT LICENSE N. 182480  (END USER CERTIFICATE)                                                                      AUT. ESPORTAZIONE MULTIPLA N. 6B/2025/2M RILASCIATA IL 26/05/2025                        (LICENZA DI SCARICO N. 6B/2025/2S RILASCIATA IL 30/07/2025)</t>
        </is>
      </c>
      <c r="Q1353" s="150" t="n"/>
      <c r="R1353" s="150" t="n"/>
      <c r="S1353" s="153" t="n"/>
    </row>
    <row r="1354" ht="36" customHeight="1">
      <c r="A1354" s="46" t="n">
        <v>3684</v>
      </c>
      <c r="B1354" s="4">
        <f>+VLOOKUP($A1354,MAGAZZINO!$B$2:$M$100000,2,FALSE)</f>
        <v/>
      </c>
      <c r="C1354" s="29">
        <f>+VLOOKUP($A1354,MAGAZZINO!$B$2:$M$100000,3,FALSE)</f>
        <v/>
      </c>
      <c r="D1354" s="3">
        <f>+VLOOKUP($A1354,MAGAZZINO!$B$2:$M$100000,4,FALSE)</f>
        <v/>
      </c>
      <c r="E1354" s="3">
        <f>+VLOOKUP($A1354,MAGAZZINO!$B$2:$M$100000,5,FALSE)</f>
        <v/>
      </c>
      <c r="F1354" s="3">
        <f>+VLOOKUP($A1354,MAGAZZINO!$B$2:$M$100000,6,FALSE)</f>
        <v/>
      </c>
      <c r="G1354" s="3">
        <f>+VLOOKUP($A1354,MAGAZZINO!$B$2:$M$100000,7,FALSE)</f>
        <v/>
      </c>
      <c r="H1354" s="3">
        <f>+VLOOKUP($A1354,MAGAZZINO!$B$2:$M$100000,8,FALSE)</f>
        <v/>
      </c>
      <c r="I1354" s="3">
        <f>+VLOOKUP($A1354,MAGAZZINO!$B$2:$M$100000,9,FALSE)</f>
        <v/>
      </c>
      <c r="J1354" s="3">
        <f>+VLOOKUP($A1354,MAGAZZINO!$B$2:$M$100000,10,FALSE)</f>
        <v/>
      </c>
      <c r="K1354" s="3">
        <f>+VLOOKUP($A1354,MAGAZZINO!$B$2:$M$100000,11,FALSE)</f>
        <v/>
      </c>
      <c r="L1354" s="5">
        <f>+VLOOKUP($A1354,MAGAZZINO!$B$2:$M$100000,12,FALSE)</f>
        <v/>
      </c>
      <c r="M1354" s="47" t="n"/>
      <c r="N1354" s="88" t="n">
        <v>45873</v>
      </c>
      <c r="O1354" s="156" t="inlineStr">
        <is>
          <t>BIN HUMAID NATIONAL TRADING CO. (ARABIA SAUDITA)</t>
        </is>
      </c>
      <c r="P1354" s="152" t="inlineStr">
        <is>
          <t xml:space="preserve">  IMPORT LICENSE N. 182480  (END USER CERTIFICATE)                                                                      AUT. ESPORTAZIONE MULTIPLA N. 6B/2025/2M RILASCIATA IL 26/05/2025                        (LICENZA DI SCARICO N. 6B/2025/2S RILASCIATA IL 30/07/2025)</t>
        </is>
      </c>
      <c r="Q1354" s="150" t="n"/>
      <c r="R1354" s="150" t="n"/>
      <c r="S1354" s="153" t="n"/>
    </row>
    <row r="1355" ht="36" customHeight="1">
      <c r="A1355" s="46" t="n">
        <v>3685</v>
      </c>
      <c r="B1355" s="4">
        <f>+VLOOKUP($A1355,MAGAZZINO!$B$2:$M$100000,2,FALSE)</f>
        <v/>
      </c>
      <c r="C1355" s="29">
        <f>+VLOOKUP($A1355,MAGAZZINO!$B$2:$M$100000,3,FALSE)</f>
        <v/>
      </c>
      <c r="D1355" s="3">
        <f>+VLOOKUP($A1355,MAGAZZINO!$B$2:$M$100000,4,FALSE)</f>
        <v/>
      </c>
      <c r="E1355" s="3">
        <f>+VLOOKUP($A1355,MAGAZZINO!$B$2:$M$100000,5,FALSE)</f>
        <v/>
      </c>
      <c r="F1355" s="3">
        <f>+VLOOKUP($A1355,MAGAZZINO!$B$2:$M$100000,6,FALSE)</f>
        <v/>
      </c>
      <c r="G1355" s="3">
        <f>+VLOOKUP($A1355,MAGAZZINO!$B$2:$M$100000,7,FALSE)</f>
        <v/>
      </c>
      <c r="H1355" s="3">
        <f>+VLOOKUP($A1355,MAGAZZINO!$B$2:$M$100000,8,FALSE)</f>
        <v/>
      </c>
      <c r="I1355" s="3">
        <f>+VLOOKUP($A1355,MAGAZZINO!$B$2:$M$100000,9,FALSE)</f>
        <v/>
      </c>
      <c r="J1355" s="3">
        <f>+VLOOKUP($A1355,MAGAZZINO!$B$2:$M$100000,10,FALSE)</f>
        <v/>
      </c>
      <c r="K1355" s="3">
        <f>+VLOOKUP($A1355,MAGAZZINO!$B$2:$M$100000,11,FALSE)</f>
        <v/>
      </c>
      <c r="L1355" s="5">
        <f>+VLOOKUP($A1355,MAGAZZINO!$B$2:$M$100000,12,FALSE)</f>
        <v/>
      </c>
      <c r="M1355" s="47" t="n"/>
      <c r="N1355" s="88" t="n">
        <v>45873</v>
      </c>
      <c r="O1355" s="156" t="inlineStr">
        <is>
          <t>BIN HUMAID NATIONAL TRADING CO. (ARABIA SAUDITA)</t>
        </is>
      </c>
      <c r="P1355" s="152" t="inlineStr">
        <is>
          <t xml:space="preserve">  IMPORT LICENSE N. 182480  (END USER CERTIFICATE)                                                                      AUT. ESPORTAZIONE MULTIPLA N. 6B/2025/2M RILASCIATA IL 26/05/2025                        (LICENZA DI SCARICO N. 6B/2025/2S RILASCIATA IL 30/07/2025)</t>
        </is>
      </c>
      <c r="Q1355" s="150" t="n"/>
      <c r="R1355" s="150" t="n"/>
      <c r="S1355" s="153" t="n"/>
    </row>
    <row r="1356" ht="36" customHeight="1">
      <c r="A1356" s="46" t="n">
        <v>3686</v>
      </c>
      <c r="B1356" s="4">
        <f>+VLOOKUP($A1356,MAGAZZINO!$B$2:$M$100000,2,FALSE)</f>
        <v/>
      </c>
      <c r="C1356" s="29">
        <f>+VLOOKUP($A1356,MAGAZZINO!$B$2:$M$100000,3,FALSE)</f>
        <v/>
      </c>
      <c r="D1356" s="3">
        <f>+VLOOKUP($A1356,MAGAZZINO!$B$2:$M$100000,4,FALSE)</f>
        <v/>
      </c>
      <c r="E1356" s="3">
        <f>+VLOOKUP($A1356,MAGAZZINO!$B$2:$M$100000,5,FALSE)</f>
        <v/>
      </c>
      <c r="F1356" s="3">
        <f>+VLOOKUP($A1356,MAGAZZINO!$B$2:$M$100000,6,FALSE)</f>
        <v/>
      </c>
      <c r="G1356" s="3">
        <f>+VLOOKUP($A1356,MAGAZZINO!$B$2:$M$100000,7,FALSE)</f>
        <v/>
      </c>
      <c r="H1356" s="3">
        <f>+VLOOKUP($A1356,MAGAZZINO!$B$2:$M$100000,8,FALSE)</f>
        <v/>
      </c>
      <c r="I1356" s="3">
        <f>+VLOOKUP($A1356,MAGAZZINO!$B$2:$M$100000,9,FALSE)</f>
        <v/>
      </c>
      <c r="J1356" s="3">
        <f>+VLOOKUP($A1356,MAGAZZINO!$B$2:$M$100000,10,FALSE)</f>
        <v/>
      </c>
      <c r="K1356" s="3">
        <f>+VLOOKUP($A1356,MAGAZZINO!$B$2:$M$100000,11,FALSE)</f>
        <v/>
      </c>
      <c r="L1356" s="5">
        <f>+VLOOKUP($A1356,MAGAZZINO!$B$2:$M$100000,12,FALSE)</f>
        <v/>
      </c>
      <c r="M1356" s="47" t="n"/>
      <c r="N1356" s="88" t="n">
        <v>45873</v>
      </c>
      <c r="O1356" s="156" t="inlineStr">
        <is>
          <t>BIN HUMAID NATIONAL TRADING CO. (ARABIA SAUDITA)</t>
        </is>
      </c>
      <c r="P1356" s="152" t="inlineStr">
        <is>
          <t xml:space="preserve">  IMPORT LICENSE N. 182480  (END USER CERTIFICATE)                                                                      AUT. ESPORTAZIONE MULTIPLA N. 6B/2025/2M RILASCIATA IL 26/05/2025                        (LICENZA DI SCARICO N. 6B/2025/2S RILASCIATA IL 30/07/2025)</t>
        </is>
      </c>
      <c r="Q1356" s="150" t="n"/>
      <c r="R1356" s="150" t="n"/>
      <c r="S1356" s="153" t="n"/>
    </row>
    <row r="1357" ht="36" customHeight="1">
      <c r="A1357" s="46" t="n">
        <v>3687</v>
      </c>
      <c r="B1357" s="4">
        <f>+VLOOKUP($A1357,MAGAZZINO!$B$2:$M$100000,2,FALSE)</f>
        <v/>
      </c>
      <c r="C1357" s="29">
        <f>+VLOOKUP($A1357,MAGAZZINO!$B$2:$M$100000,3,FALSE)</f>
        <v/>
      </c>
      <c r="D1357" s="3">
        <f>+VLOOKUP($A1357,MAGAZZINO!$B$2:$M$100000,4,FALSE)</f>
        <v/>
      </c>
      <c r="E1357" s="3">
        <f>+VLOOKUP($A1357,MAGAZZINO!$B$2:$M$100000,5,FALSE)</f>
        <v/>
      </c>
      <c r="F1357" s="3">
        <f>+VLOOKUP($A1357,MAGAZZINO!$B$2:$M$100000,6,FALSE)</f>
        <v/>
      </c>
      <c r="G1357" s="3">
        <f>+VLOOKUP($A1357,MAGAZZINO!$B$2:$M$100000,7,FALSE)</f>
        <v/>
      </c>
      <c r="H1357" s="3">
        <f>+VLOOKUP($A1357,MAGAZZINO!$B$2:$M$100000,8,FALSE)</f>
        <v/>
      </c>
      <c r="I1357" s="3">
        <f>+VLOOKUP($A1357,MAGAZZINO!$B$2:$M$100000,9,FALSE)</f>
        <v/>
      </c>
      <c r="J1357" s="3">
        <f>+VLOOKUP($A1357,MAGAZZINO!$B$2:$M$100000,10,FALSE)</f>
        <v/>
      </c>
      <c r="K1357" s="3">
        <f>+VLOOKUP($A1357,MAGAZZINO!$B$2:$M$100000,11,FALSE)</f>
        <v/>
      </c>
      <c r="L1357" s="5">
        <f>+VLOOKUP($A1357,MAGAZZINO!$B$2:$M$100000,12,FALSE)</f>
        <v/>
      </c>
      <c r="M1357" s="47" t="n"/>
      <c r="N1357" s="88" t="n">
        <v>45873</v>
      </c>
      <c r="O1357" s="156" t="inlineStr">
        <is>
          <t>BIN HUMAID NATIONAL TRADING CO. (ARABIA SAUDITA)</t>
        </is>
      </c>
      <c r="P1357" s="152" t="inlineStr">
        <is>
          <t xml:space="preserve">  IMPORT LICENSE N. 182480  (END USER CERTIFICATE)                                                                      AUT. ESPORTAZIONE MULTIPLA N. 6B/2025/2M RILASCIATA IL 26/05/2025                        (LICENZA DI SCARICO N. 6B/2025/2S RILASCIATA IL 30/07/2025)</t>
        </is>
      </c>
      <c r="Q1357" s="150" t="n"/>
      <c r="R1357" s="150" t="n"/>
      <c r="S1357" s="153" t="n"/>
    </row>
    <row r="1358" ht="36" customHeight="1">
      <c r="A1358" s="46" t="n">
        <v>3688</v>
      </c>
      <c r="B1358" s="4">
        <f>+VLOOKUP($A1358,MAGAZZINO!$B$2:$M$100000,2,FALSE)</f>
        <v/>
      </c>
      <c r="C1358" s="29">
        <f>+VLOOKUP($A1358,MAGAZZINO!$B$2:$M$100000,3,FALSE)</f>
        <v/>
      </c>
      <c r="D1358" s="3">
        <f>+VLOOKUP($A1358,MAGAZZINO!$B$2:$M$100000,4,FALSE)</f>
        <v/>
      </c>
      <c r="E1358" s="3">
        <f>+VLOOKUP($A1358,MAGAZZINO!$B$2:$M$100000,5,FALSE)</f>
        <v/>
      </c>
      <c r="F1358" s="3">
        <f>+VLOOKUP($A1358,MAGAZZINO!$B$2:$M$100000,6,FALSE)</f>
        <v/>
      </c>
      <c r="G1358" s="3">
        <f>+VLOOKUP($A1358,MAGAZZINO!$B$2:$M$100000,7,FALSE)</f>
        <v/>
      </c>
      <c r="H1358" s="3">
        <f>+VLOOKUP($A1358,MAGAZZINO!$B$2:$M$100000,8,FALSE)</f>
        <v/>
      </c>
      <c r="I1358" s="3">
        <f>+VLOOKUP($A1358,MAGAZZINO!$B$2:$M$100000,9,FALSE)</f>
        <v/>
      </c>
      <c r="J1358" s="3">
        <f>+VLOOKUP($A1358,MAGAZZINO!$B$2:$M$100000,10,FALSE)</f>
        <v/>
      </c>
      <c r="K1358" s="3">
        <f>+VLOOKUP($A1358,MAGAZZINO!$B$2:$M$100000,11,FALSE)</f>
        <v/>
      </c>
      <c r="L1358" s="5">
        <f>+VLOOKUP($A1358,MAGAZZINO!$B$2:$M$100000,12,FALSE)</f>
        <v/>
      </c>
      <c r="M1358" s="47" t="n"/>
      <c r="N1358" s="88" t="n">
        <v>45873</v>
      </c>
      <c r="O1358" s="156" t="inlineStr">
        <is>
          <t>BIN HUMAID NATIONAL TRADING CO. (ARABIA SAUDITA)</t>
        </is>
      </c>
      <c r="P1358" s="152" t="inlineStr">
        <is>
          <t xml:space="preserve">  IMPORT LICENSE N. 182480  (END USER CERTIFICATE)                                                                      AUT. ESPORTAZIONE MULTIPLA N. 6B/2025/2M RILASCIATA IL 26/05/2025                        (LICENZA DI SCARICO N. 6B/2025/2S RILASCIATA IL 30/07/2025)</t>
        </is>
      </c>
      <c r="Q1358" s="150" t="n"/>
      <c r="R1358" s="150" t="n"/>
      <c r="S1358" s="153" t="n"/>
    </row>
    <row r="1359" ht="36" customHeight="1">
      <c r="A1359" s="46" t="n">
        <v>3689</v>
      </c>
      <c r="B1359" s="4">
        <f>+VLOOKUP($A1359,MAGAZZINO!$B$2:$M$100000,2,FALSE)</f>
        <v/>
      </c>
      <c r="C1359" s="29">
        <f>+VLOOKUP($A1359,MAGAZZINO!$B$2:$M$100000,3,FALSE)</f>
        <v/>
      </c>
      <c r="D1359" s="3">
        <f>+VLOOKUP($A1359,MAGAZZINO!$B$2:$M$100000,4,FALSE)</f>
        <v/>
      </c>
      <c r="E1359" s="3">
        <f>+VLOOKUP($A1359,MAGAZZINO!$B$2:$M$100000,5,FALSE)</f>
        <v/>
      </c>
      <c r="F1359" s="3">
        <f>+VLOOKUP($A1359,MAGAZZINO!$B$2:$M$100000,6,FALSE)</f>
        <v/>
      </c>
      <c r="G1359" s="3">
        <f>+VLOOKUP($A1359,MAGAZZINO!$B$2:$M$100000,7,FALSE)</f>
        <v/>
      </c>
      <c r="H1359" s="3">
        <f>+VLOOKUP($A1359,MAGAZZINO!$B$2:$M$100000,8,FALSE)</f>
        <v/>
      </c>
      <c r="I1359" s="3">
        <f>+VLOOKUP($A1359,MAGAZZINO!$B$2:$M$100000,9,FALSE)</f>
        <v/>
      </c>
      <c r="J1359" s="3">
        <f>+VLOOKUP($A1359,MAGAZZINO!$B$2:$M$100000,10,FALSE)</f>
        <v/>
      </c>
      <c r="K1359" s="3">
        <f>+VLOOKUP($A1359,MAGAZZINO!$B$2:$M$100000,11,FALSE)</f>
        <v/>
      </c>
      <c r="L1359" s="5">
        <f>+VLOOKUP($A1359,MAGAZZINO!$B$2:$M$100000,12,FALSE)</f>
        <v/>
      </c>
      <c r="M1359" s="47" t="n"/>
      <c r="N1359" s="88" t="n">
        <v>45873</v>
      </c>
      <c r="O1359" s="156" t="inlineStr">
        <is>
          <t>BIN HUMAID NATIONAL TRADING CO. (ARABIA SAUDITA)</t>
        </is>
      </c>
      <c r="P1359" s="152" t="inlineStr">
        <is>
          <t xml:space="preserve">  IMPORT LICENSE N. 182480  (END USER CERTIFICATE)                                                                      AUT. ESPORTAZIONE MULTIPLA N. 6B/2025/2M RILASCIATA IL 26/05/2025                        (LICENZA DI SCARICO N. 6B/2025/2S RILASCIATA IL 30/07/2025)</t>
        </is>
      </c>
      <c r="Q1359" s="150" t="n"/>
      <c r="R1359" s="150" t="n"/>
      <c r="S1359" s="153" t="n"/>
    </row>
    <row r="1360" ht="36" customHeight="1">
      <c r="A1360" s="46" t="n">
        <v>3690</v>
      </c>
      <c r="B1360" s="4">
        <f>+VLOOKUP($A1360,MAGAZZINO!$B$2:$M$100000,2,FALSE)</f>
        <v/>
      </c>
      <c r="C1360" s="29">
        <f>+VLOOKUP($A1360,MAGAZZINO!$B$2:$M$100000,3,FALSE)</f>
        <v/>
      </c>
      <c r="D1360" s="3">
        <f>+VLOOKUP($A1360,MAGAZZINO!$B$2:$M$100000,4,FALSE)</f>
        <v/>
      </c>
      <c r="E1360" s="3">
        <f>+VLOOKUP($A1360,MAGAZZINO!$B$2:$M$100000,5,FALSE)</f>
        <v/>
      </c>
      <c r="F1360" s="3">
        <f>+VLOOKUP($A1360,MAGAZZINO!$B$2:$M$100000,6,FALSE)</f>
        <v/>
      </c>
      <c r="G1360" s="3">
        <f>+VLOOKUP($A1360,MAGAZZINO!$B$2:$M$100000,7,FALSE)</f>
        <v/>
      </c>
      <c r="H1360" s="3">
        <f>+VLOOKUP($A1360,MAGAZZINO!$B$2:$M$100000,8,FALSE)</f>
        <v/>
      </c>
      <c r="I1360" s="3">
        <f>+VLOOKUP($A1360,MAGAZZINO!$B$2:$M$100000,9,FALSE)</f>
        <v/>
      </c>
      <c r="J1360" s="3">
        <f>+VLOOKUP($A1360,MAGAZZINO!$B$2:$M$100000,10,FALSE)</f>
        <v/>
      </c>
      <c r="K1360" s="3">
        <f>+VLOOKUP($A1360,MAGAZZINO!$B$2:$M$100000,11,FALSE)</f>
        <v/>
      </c>
      <c r="L1360" s="5">
        <f>+VLOOKUP($A1360,MAGAZZINO!$B$2:$M$100000,12,FALSE)</f>
        <v/>
      </c>
      <c r="M1360" s="47" t="n"/>
      <c r="N1360" s="88" t="n">
        <v>45873</v>
      </c>
      <c r="O1360" s="156" t="inlineStr">
        <is>
          <t>BIN HUMAID NATIONAL TRADING CO. (ARABIA SAUDITA)</t>
        </is>
      </c>
      <c r="P1360" s="152" t="inlineStr">
        <is>
          <t xml:space="preserve">  IMPORT LICENSE N. 182480  (END USER CERTIFICATE)                                                                      AUT. ESPORTAZIONE MULTIPLA N. 6B/2025/2M RILASCIATA IL 26/05/2025                        (LICENZA DI SCARICO N. 6B/2025/2S RILASCIATA IL 30/07/2025)</t>
        </is>
      </c>
      <c r="Q1360" s="150" t="n"/>
      <c r="R1360" s="150" t="n"/>
      <c r="S1360" s="153" t="n"/>
    </row>
    <row r="1361" ht="36" customHeight="1">
      <c r="A1361" s="46" t="n">
        <v>3691</v>
      </c>
      <c r="B1361" s="4">
        <f>+VLOOKUP($A1361,MAGAZZINO!$B$2:$M$100000,2,FALSE)</f>
        <v/>
      </c>
      <c r="C1361" s="29">
        <f>+VLOOKUP($A1361,MAGAZZINO!$B$2:$M$100000,3,FALSE)</f>
        <v/>
      </c>
      <c r="D1361" s="3">
        <f>+VLOOKUP($A1361,MAGAZZINO!$B$2:$M$100000,4,FALSE)</f>
        <v/>
      </c>
      <c r="E1361" s="3">
        <f>+VLOOKUP($A1361,MAGAZZINO!$B$2:$M$100000,5,FALSE)</f>
        <v/>
      </c>
      <c r="F1361" s="3">
        <f>+VLOOKUP($A1361,MAGAZZINO!$B$2:$M$100000,6,FALSE)</f>
        <v/>
      </c>
      <c r="G1361" s="3">
        <f>+VLOOKUP($A1361,MAGAZZINO!$B$2:$M$100000,7,FALSE)</f>
        <v/>
      </c>
      <c r="H1361" s="3">
        <f>+VLOOKUP($A1361,MAGAZZINO!$B$2:$M$100000,8,FALSE)</f>
        <v/>
      </c>
      <c r="I1361" s="3">
        <f>+VLOOKUP($A1361,MAGAZZINO!$B$2:$M$100000,9,FALSE)</f>
        <v/>
      </c>
      <c r="J1361" s="3">
        <f>+VLOOKUP($A1361,MAGAZZINO!$B$2:$M$100000,10,FALSE)</f>
        <v/>
      </c>
      <c r="K1361" s="3">
        <f>+VLOOKUP($A1361,MAGAZZINO!$B$2:$M$100000,11,FALSE)</f>
        <v/>
      </c>
      <c r="L1361" s="5">
        <f>+VLOOKUP($A1361,MAGAZZINO!$B$2:$M$100000,12,FALSE)</f>
        <v/>
      </c>
      <c r="M1361" s="47" t="n"/>
      <c r="N1361" s="88" t="n">
        <v>45873</v>
      </c>
      <c r="O1361" s="156" t="inlineStr">
        <is>
          <t>BIN HUMAID NATIONAL TRADING CO. (ARABIA SAUDITA)</t>
        </is>
      </c>
      <c r="P1361" s="152" t="inlineStr">
        <is>
          <t xml:space="preserve">  IMPORT LICENSE N. 182480  (END USER CERTIFICATE)                                                                      AUT. ESPORTAZIONE MULTIPLA N. 6B/2025/2M RILASCIATA IL 26/05/2025                        (LICENZA DI SCARICO N. 6B/2025/2S RILASCIATA IL 30/07/2025)</t>
        </is>
      </c>
      <c r="Q1361" s="150" t="n"/>
      <c r="R1361" s="150" t="n"/>
      <c r="S1361" s="153" t="n"/>
    </row>
    <row r="1362" ht="36" customHeight="1">
      <c r="A1362" s="46" t="n">
        <v>3692</v>
      </c>
      <c r="B1362" s="4">
        <f>+VLOOKUP($A1362,MAGAZZINO!$B$2:$M$100000,2,FALSE)</f>
        <v/>
      </c>
      <c r="C1362" s="29">
        <f>+VLOOKUP($A1362,MAGAZZINO!$B$2:$M$100000,3,FALSE)</f>
        <v/>
      </c>
      <c r="D1362" s="3">
        <f>+VLOOKUP($A1362,MAGAZZINO!$B$2:$M$100000,4,FALSE)</f>
        <v/>
      </c>
      <c r="E1362" s="3">
        <f>+VLOOKUP($A1362,MAGAZZINO!$B$2:$M$100000,5,FALSE)</f>
        <v/>
      </c>
      <c r="F1362" s="3">
        <f>+VLOOKUP($A1362,MAGAZZINO!$B$2:$M$100000,6,FALSE)</f>
        <v/>
      </c>
      <c r="G1362" s="3">
        <f>+VLOOKUP($A1362,MAGAZZINO!$B$2:$M$100000,7,FALSE)</f>
        <v/>
      </c>
      <c r="H1362" s="3">
        <f>+VLOOKUP($A1362,MAGAZZINO!$B$2:$M$100000,8,FALSE)</f>
        <v/>
      </c>
      <c r="I1362" s="3">
        <f>+VLOOKUP($A1362,MAGAZZINO!$B$2:$M$100000,9,FALSE)</f>
        <v/>
      </c>
      <c r="J1362" s="3">
        <f>+VLOOKUP($A1362,MAGAZZINO!$B$2:$M$100000,10,FALSE)</f>
        <v/>
      </c>
      <c r="K1362" s="3">
        <f>+VLOOKUP($A1362,MAGAZZINO!$B$2:$M$100000,11,FALSE)</f>
        <v/>
      </c>
      <c r="L1362" s="5">
        <f>+VLOOKUP($A1362,MAGAZZINO!$B$2:$M$100000,12,FALSE)</f>
        <v/>
      </c>
      <c r="M1362" s="47" t="n"/>
      <c r="N1362" s="88" t="n">
        <v>45873</v>
      </c>
      <c r="O1362" s="156" t="inlineStr">
        <is>
          <t>BIN HUMAID NATIONAL TRADING CO. (ARABIA SAUDITA)</t>
        </is>
      </c>
      <c r="P1362" s="152" t="inlineStr">
        <is>
          <t xml:space="preserve">  IMPORT LICENSE N. 182480  (END USER CERTIFICATE)                                                                      AUT. ESPORTAZIONE MULTIPLA N. 6B/2025/2M RILASCIATA IL 26/05/2025                        (LICENZA DI SCARICO N. 6B/2025/2S RILASCIATA IL 30/07/2025)</t>
        </is>
      </c>
      <c r="Q1362" s="150" t="n"/>
      <c r="R1362" s="150" t="n"/>
      <c r="S1362" s="153" t="n"/>
    </row>
    <row r="1363" ht="36" customHeight="1">
      <c r="A1363" s="46" t="n">
        <v>3693</v>
      </c>
      <c r="B1363" s="4">
        <f>+VLOOKUP($A1363,MAGAZZINO!$B$2:$M$100000,2,FALSE)</f>
        <v/>
      </c>
      <c r="C1363" s="29">
        <f>+VLOOKUP($A1363,MAGAZZINO!$B$2:$M$100000,3,FALSE)</f>
        <v/>
      </c>
      <c r="D1363" s="3">
        <f>+VLOOKUP($A1363,MAGAZZINO!$B$2:$M$100000,4,FALSE)</f>
        <v/>
      </c>
      <c r="E1363" s="3">
        <f>+VLOOKUP($A1363,MAGAZZINO!$B$2:$M$100000,5,FALSE)</f>
        <v/>
      </c>
      <c r="F1363" s="3">
        <f>+VLOOKUP($A1363,MAGAZZINO!$B$2:$M$100000,6,FALSE)</f>
        <v/>
      </c>
      <c r="G1363" s="3">
        <f>+VLOOKUP($A1363,MAGAZZINO!$B$2:$M$100000,7,FALSE)</f>
        <v/>
      </c>
      <c r="H1363" s="3">
        <f>+VLOOKUP($A1363,MAGAZZINO!$B$2:$M$100000,8,FALSE)</f>
        <v/>
      </c>
      <c r="I1363" s="3">
        <f>+VLOOKUP($A1363,MAGAZZINO!$B$2:$M$100000,9,FALSE)</f>
        <v/>
      </c>
      <c r="J1363" s="3">
        <f>+VLOOKUP($A1363,MAGAZZINO!$B$2:$M$100000,10,FALSE)</f>
        <v/>
      </c>
      <c r="K1363" s="3">
        <f>+VLOOKUP($A1363,MAGAZZINO!$B$2:$M$100000,11,FALSE)</f>
        <v/>
      </c>
      <c r="L1363" s="5">
        <f>+VLOOKUP($A1363,MAGAZZINO!$B$2:$M$100000,12,FALSE)</f>
        <v/>
      </c>
      <c r="M1363" s="47" t="n"/>
      <c r="N1363" s="88" t="n">
        <v>45873</v>
      </c>
      <c r="O1363" s="156" t="inlineStr">
        <is>
          <t>BIN HUMAID NATIONAL TRADING CO. (ARABIA SAUDITA)</t>
        </is>
      </c>
      <c r="P1363" s="152" t="inlineStr">
        <is>
          <t xml:space="preserve">  IMPORT LICENSE N. 182480  (END USER CERTIFICATE)                                                                      AUT. ESPORTAZIONE MULTIPLA N. 6B/2025/2M RILASCIATA IL 26/05/2025                        (LICENZA DI SCARICO N. 6B/2025/2S RILASCIATA IL 30/07/2025)</t>
        </is>
      </c>
      <c r="Q1363" s="150" t="n"/>
      <c r="R1363" s="150" t="n"/>
      <c r="S1363" s="153" t="n"/>
    </row>
    <row r="1364" ht="36" customHeight="1">
      <c r="A1364" s="46" t="n">
        <v>3694</v>
      </c>
      <c r="B1364" s="4">
        <f>+VLOOKUP($A1364,MAGAZZINO!$B$2:$M$100000,2,FALSE)</f>
        <v/>
      </c>
      <c r="C1364" s="29">
        <f>+VLOOKUP($A1364,MAGAZZINO!$B$2:$M$100000,3,FALSE)</f>
        <v/>
      </c>
      <c r="D1364" s="3">
        <f>+VLOOKUP($A1364,MAGAZZINO!$B$2:$M$100000,4,FALSE)</f>
        <v/>
      </c>
      <c r="E1364" s="3">
        <f>+VLOOKUP($A1364,MAGAZZINO!$B$2:$M$100000,5,FALSE)</f>
        <v/>
      </c>
      <c r="F1364" s="3">
        <f>+VLOOKUP($A1364,MAGAZZINO!$B$2:$M$100000,6,FALSE)</f>
        <v/>
      </c>
      <c r="G1364" s="3">
        <f>+VLOOKUP($A1364,MAGAZZINO!$B$2:$M$100000,7,FALSE)</f>
        <v/>
      </c>
      <c r="H1364" s="3">
        <f>+VLOOKUP($A1364,MAGAZZINO!$B$2:$M$100000,8,FALSE)</f>
        <v/>
      </c>
      <c r="I1364" s="3">
        <f>+VLOOKUP($A1364,MAGAZZINO!$B$2:$M$100000,9,FALSE)</f>
        <v/>
      </c>
      <c r="J1364" s="3">
        <f>+VLOOKUP($A1364,MAGAZZINO!$B$2:$M$100000,10,FALSE)</f>
        <v/>
      </c>
      <c r="K1364" s="3">
        <f>+VLOOKUP($A1364,MAGAZZINO!$B$2:$M$100000,11,FALSE)</f>
        <v/>
      </c>
      <c r="L1364" s="5">
        <f>+VLOOKUP($A1364,MAGAZZINO!$B$2:$M$100000,12,FALSE)</f>
        <v/>
      </c>
      <c r="M1364" s="47" t="n"/>
      <c r="N1364" s="88" t="n">
        <v>45873</v>
      </c>
      <c r="O1364" s="156" t="inlineStr">
        <is>
          <t>BIN HUMAID NATIONAL TRADING CO. (ARABIA SAUDITA)</t>
        </is>
      </c>
      <c r="P1364" s="152" t="inlineStr">
        <is>
          <t xml:space="preserve">  IMPORT LICENSE N. 182480  (END USER CERTIFICATE)                                                                      AUT. ESPORTAZIONE MULTIPLA N. 6B/2025/2M RILASCIATA IL 26/05/2025                        (LICENZA DI SCARICO N. 6B/2025/2S RILASCIATA IL 30/07/2025)</t>
        </is>
      </c>
      <c r="Q1364" s="150" t="n"/>
      <c r="R1364" s="150" t="n"/>
      <c r="S1364" s="153" t="n"/>
    </row>
    <row r="1365" ht="36" customHeight="1">
      <c r="A1365" s="46" t="n">
        <v>3695</v>
      </c>
      <c r="B1365" s="4">
        <f>+VLOOKUP($A1365,MAGAZZINO!$B$2:$M$100000,2,FALSE)</f>
        <v/>
      </c>
      <c r="C1365" s="29">
        <f>+VLOOKUP($A1365,MAGAZZINO!$B$2:$M$100000,3,FALSE)</f>
        <v/>
      </c>
      <c r="D1365" s="3">
        <f>+VLOOKUP($A1365,MAGAZZINO!$B$2:$M$100000,4,FALSE)</f>
        <v/>
      </c>
      <c r="E1365" s="3">
        <f>+VLOOKUP($A1365,MAGAZZINO!$B$2:$M$100000,5,FALSE)</f>
        <v/>
      </c>
      <c r="F1365" s="3">
        <f>+VLOOKUP($A1365,MAGAZZINO!$B$2:$M$100000,6,FALSE)</f>
        <v/>
      </c>
      <c r="G1365" s="3">
        <f>+VLOOKUP($A1365,MAGAZZINO!$B$2:$M$100000,7,FALSE)</f>
        <v/>
      </c>
      <c r="H1365" s="3">
        <f>+VLOOKUP($A1365,MAGAZZINO!$B$2:$M$100000,8,FALSE)</f>
        <v/>
      </c>
      <c r="I1365" s="3">
        <f>+VLOOKUP($A1365,MAGAZZINO!$B$2:$M$100000,9,FALSE)</f>
        <v/>
      </c>
      <c r="J1365" s="3">
        <f>+VLOOKUP($A1365,MAGAZZINO!$B$2:$M$100000,10,FALSE)</f>
        <v/>
      </c>
      <c r="K1365" s="3">
        <f>+VLOOKUP($A1365,MAGAZZINO!$B$2:$M$100000,11,FALSE)</f>
        <v/>
      </c>
      <c r="L1365" s="5">
        <f>+VLOOKUP($A1365,MAGAZZINO!$B$2:$M$100000,12,FALSE)</f>
        <v/>
      </c>
      <c r="M1365" s="47" t="n"/>
      <c r="N1365" s="88" t="n">
        <v>45873</v>
      </c>
      <c r="O1365" s="156" t="inlineStr">
        <is>
          <t>BIN HUMAID NATIONAL TRADING CO. (ARABIA SAUDITA)</t>
        </is>
      </c>
      <c r="P1365" s="152" t="inlineStr">
        <is>
          <t xml:space="preserve">  IMPORT LICENSE N. 182480  (END USER CERTIFICATE)                                                                      AUT. ESPORTAZIONE MULTIPLA N. 6B/2025/2M RILASCIATA IL 26/05/2025                        (LICENZA DI SCARICO N. 6B/2025/2S RILASCIATA IL 30/07/2025)</t>
        </is>
      </c>
      <c r="Q1365" s="150" t="n"/>
      <c r="R1365" s="150" t="n"/>
      <c r="S1365" s="153" t="n"/>
    </row>
    <row r="1366" ht="36" customHeight="1">
      <c r="A1366" s="46" t="n">
        <v>3696</v>
      </c>
      <c r="B1366" s="4">
        <f>+VLOOKUP($A1366,MAGAZZINO!$B$2:$M$100000,2,FALSE)</f>
        <v/>
      </c>
      <c r="C1366" s="29">
        <f>+VLOOKUP($A1366,MAGAZZINO!$B$2:$M$100000,3,FALSE)</f>
        <v/>
      </c>
      <c r="D1366" s="3">
        <f>+VLOOKUP($A1366,MAGAZZINO!$B$2:$M$100000,4,FALSE)</f>
        <v/>
      </c>
      <c r="E1366" s="3">
        <f>+VLOOKUP($A1366,MAGAZZINO!$B$2:$M$100000,5,FALSE)</f>
        <v/>
      </c>
      <c r="F1366" s="3">
        <f>+VLOOKUP($A1366,MAGAZZINO!$B$2:$M$100000,6,FALSE)</f>
        <v/>
      </c>
      <c r="G1366" s="3">
        <f>+VLOOKUP($A1366,MAGAZZINO!$B$2:$M$100000,7,FALSE)</f>
        <v/>
      </c>
      <c r="H1366" s="3">
        <f>+VLOOKUP($A1366,MAGAZZINO!$B$2:$M$100000,8,FALSE)</f>
        <v/>
      </c>
      <c r="I1366" s="3">
        <f>+VLOOKUP($A1366,MAGAZZINO!$B$2:$M$100000,9,FALSE)</f>
        <v/>
      </c>
      <c r="J1366" s="3">
        <f>+VLOOKUP($A1366,MAGAZZINO!$B$2:$M$100000,10,FALSE)</f>
        <v/>
      </c>
      <c r="K1366" s="3">
        <f>+VLOOKUP($A1366,MAGAZZINO!$B$2:$M$100000,11,FALSE)</f>
        <v/>
      </c>
      <c r="L1366" s="5">
        <f>+VLOOKUP($A1366,MAGAZZINO!$B$2:$M$100000,12,FALSE)</f>
        <v/>
      </c>
      <c r="M1366" s="47" t="n"/>
      <c r="N1366" s="88" t="n">
        <v>45873</v>
      </c>
      <c r="O1366" s="156" t="inlineStr">
        <is>
          <t>BIN HUMAID NATIONAL TRADING CO. (ARABIA SAUDITA)</t>
        </is>
      </c>
      <c r="P1366" s="152" t="inlineStr">
        <is>
          <t xml:space="preserve">  IMPORT LICENSE N. 182480  (END USER CERTIFICATE)                                                                      AUT. ESPORTAZIONE MULTIPLA N. 6B/2025/2M RILASCIATA IL 26/05/2025                        (LICENZA DI SCARICO N. 6B/2025/2S RILASCIATA IL 30/07/2025)</t>
        </is>
      </c>
      <c r="Q1366" s="150" t="n"/>
      <c r="R1366" s="150" t="n"/>
      <c r="S1366" s="153" t="n"/>
    </row>
    <row r="1367" ht="36" customHeight="1">
      <c r="A1367" s="46" t="n">
        <v>3697</v>
      </c>
      <c r="B1367" s="4">
        <f>+VLOOKUP($A1367,MAGAZZINO!$B$2:$M$100000,2,FALSE)</f>
        <v/>
      </c>
      <c r="C1367" s="29">
        <f>+VLOOKUP($A1367,MAGAZZINO!$B$2:$M$100000,3,FALSE)</f>
        <v/>
      </c>
      <c r="D1367" s="3">
        <f>+VLOOKUP($A1367,MAGAZZINO!$B$2:$M$100000,4,FALSE)</f>
        <v/>
      </c>
      <c r="E1367" s="3">
        <f>+VLOOKUP($A1367,MAGAZZINO!$B$2:$M$100000,5,FALSE)</f>
        <v/>
      </c>
      <c r="F1367" s="3">
        <f>+VLOOKUP($A1367,MAGAZZINO!$B$2:$M$100000,6,FALSE)</f>
        <v/>
      </c>
      <c r="G1367" s="3">
        <f>+VLOOKUP($A1367,MAGAZZINO!$B$2:$M$100000,7,FALSE)</f>
        <v/>
      </c>
      <c r="H1367" s="3">
        <f>+VLOOKUP($A1367,MAGAZZINO!$B$2:$M$100000,8,FALSE)</f>
        <v/>
      </c>
      <c r="I1367" s="3">
        <f>+VLOOKUP($A1367,MAGAZZINO!$B$2:$M$100000,9,FALSE)</f>
        <v/>
      </c>
      <c r="J1367" s="3">
        <f>+VLOOKUP($A1367,MAGAZZINO!$B$2:$M$100000,10,FALSE)</f>
        <v/>
      </c>
      <c r="K1367" s="3">
        <f>+VLOOKUP($A1367,MAGAZZINO!$B$2:$M$100000,11,FALSE)</f>
        <v/>
      </c>
      <c r="L1367" s="5">
        <f>+VLOOKUP($A1367,MAGAZZINO!$B$2:$M$100000,12,FALSE)</f>
        <v/>
      </c>
      <c r="M1367" s="47" t="n"/>
      <c r="N1367" s="88" t="n">
        <v>45873</v>
      </c>
      <c r="O1367" s="156" t="inlineStr">
        <is>
          <t>BIN HUMAID NATIONAL TRADING CO. (ARABIA SAUDITA)</t>
        </is>
      </c>
      <c r="P1367" s="152" t="inlineStr">
        <is>
          <t xml:space="preserve">  IMPORT LICENSE N. 182480  (END USER CERTIFICATE)                                                                      AUT. ESPORTAZIONE MULTIPLA N. 6B/2025/2M RILASCIATA IL 26/05/2025                        (LICENZA DI SCARICO N. 6B/2025/2S RILASCIATA IL 30/07/2025)</t>
        </is>
      </c>
      <c r="Q1367" s="150" t="n"/>
      <c r="R1367" s="150" t="n"/>
      <c r="S1367" s="153" t="n"/>
    </row>
    <row r="1368" ht="36" customHeight="1">
      <c r="A1368" s="46" t="n">
        <v>3698</v>
      </c>
      <c r="B1368" s="4">
        <f>+VLOOKUP($A1368,MAGAZZINO!$B$2:$M$100000,2,FALSE)</f>
        <v/>
      </c>
      <c r="C1368" s="29">
        <f>+VLOOKUP($A1368,MAGAZZINO!$B$2:$M$100000,3,FALSE)</f>
        <v/>
      </c>
      <c r="D1368" s="3">
        <f>+VLOOKUP($A1368,MAGAZZINO!$B$2:$M$100000,4,FALSE)</f>
        <v/>
      </c>
      <c r="E1368" s="3">
        <f>+VLOOKUP($A1368,MAGAZZINO!$B$2:$M$100000,5,FALSE)</f>
        <v/>
      </c>
      <c r="F1368" s="3">
        <f>+VLOOKUP($A1368,MAGAZZINO!$B$2:$M$100000,6,FALSE)</f>
        <v/>
      </c>
      <c r="G1368" s="3">
        <f>+VLOOKUP($A1368,MAGAZZINO!$B$2:$M$100000,7,FALSE)</f>
        <v/>
      </c>
      <c r="H1368" s="3">
        <f>+VLOOKUP($A1368,MAGAZZINO!$B$2:$M$100000,8,FALSE)</f>
        <v/>
      </c>
      <c r="I1368" s="3">
        <f>+VLOOKUP($A1368,MAGAZZINO!$B$2:$M$100000,9,FALSE)</f>
        <v/>
      </c>
      <c r="J1368" s="3">
        <f>+VLOOKUP($A1368,MAGAZZINO!$B$2:$M$100000,10,FALSE)</f>
        <v/>
      </c>
      <c r="K1368" s="3">
        <f>+VLOOKUP($A1368,MAGAZZINO!$B$2:$M$100000,11,FALSE)</f>
        <v/>
      </c>
      <c r="L1368" s="5">
        <f>+VLOOKUP($A1368,MAGAZZINO!$B$2:$M$100000,12,FALSE)</f>
        <v/>
      </c>
      <c r="M1368" s="47" t="n"/>
      <c r="N1368" s="88" t="n">
        <v>45873</v>
      </c>
      <c r="O1368" s="156" t="inlineStr">
        <is>
          <t>BIN HUMAID NATIONAL TRADING CO. (ARABIA SAUDITA)</t>
        </is>
      </c>
      <c r="P1368" s="152" t="inlineStr">
        <is>
          <t xml:space="preserve">  IMPORT LICENSE N. 182480  (END USER CERTIFICATE)                                                                      AUT. ESPORTAZIONE MULTIPLA N. 6B/2025/2M RILASCIATA IL 26/05/2025                        (LICENZA DI SCARICO N. 6B/2025/2S RILASCIATA IL 30/07/2025)</t>
        </is>
      </c>
      <c r="Q1368" s="150" t="n"/>
      <c r="R1368" s="150" t="n"/>
      <c r="S1368" s="153" t="n"/>
    </row>
    <row r="1369" ht="36" customHeight="1">
      <c r="A1369" s="46" t="n">
        <v>3699</v>
      </c>
      <c r="B1369" s="4">
        <f>+VLOOKUP($A1369,MAGAZZINO!$B$2:$M$100000,2,FALSE)</f>
        <v/>
      </c>
      <c r="C1369" s="29">
        <f>+VLOOKUP($A1369,MAGAZZINO!$B$2:$M$100000,3,FALSE)</f>
        <v/>
      </c>
      <c r="D1369" s="3">
        <f>+VLOOKUP($A1369,MAGAZZINO!$B$2:$M$100000,4,FALSE)</f>
        <v/>
      </c>
      <c r="E1369" s="3">
        <f>+VLOOKUP($A1369,MAGAZZINO!$B$2:$M$100000,5,FALSE)</f>
        <v/>
      </c>
      <c r="F1369" s="3">
        <f>+VLOOKUP($A1369,MAGAZZINO!$B$2:$M$100000,6,FALSE)</f>
        <v/>
      </c>
      <c r="G1369" s="3">
        <f>+VLOOKUP($A1369,MAGAZZINO!$B$2:$M$100000,7,FALSE)</f>
        <v/>
      </c>
      <c r="H1369" s="3">
        <f>+VLOOKUP($A1369,MAGAZZINO!$B$2:$M$100000,8,FALSE)</f>
        <v/>
      </c>
      <c r="I1369" s="3">
        <f>+VLOOKUP($A1369,MAGAZZINO!$B$2:$M$100000,9,FALSE)</f>
        <v/>
      </c>
      <c r="J1369" s="3">
        <f>+VLOOKUP($A1369,MAGAZZINO!$B$2:$M$100000,10,FALSE)</f>
        <v/>
      </c>
      <c r="K1369" s="3">
        <f>+VLOOKUP($A1369,MAGAZZINO!$B$2:$M$100000,11,FALSE)</f>
        <v/>
      </c>
      <c r="L1369" s="5">
        <f>+VLOOKUP($A1369,MAGAZZINO!$B$2:$M$100000,12,FALSE)</f>
        <v/>
      </c>
      <c r="M1369" s="47" t="n"/>
      <c r="N1369" s="88" t="n">
        <v>45873</v>
      </c>
      <c r="O1369" s="156" t="inlineStr">
        <is>
          <t>BIN HUMAID NATIONAL TRADING CO. (ARABIA SAUDITA)</t>
        </is>
      </c>
      <c r="P1369" s="152" t="inlineStr">
        <is>
          <t xml:space="preserve">  IMPORT LICENSE N. 182480  (END USER CERTIFICATE)                                                                      AUT. ESPORTAZIONE MULTIPLA N. 6B/2025/2M RILASCIATA IL 26/05/2025                        (LICENZA DI SCARICO N. 6B/2025/2S RILASCIATA IL 30/07/2025)</t>
        </is>
      </c>
      <c r="Q1369" s="150" t="n"/>
      <c r="R1369" s="150" t="n"/>
      <c r="S1369" s="153" t="n"/>
    </row>
    <row r="1370" ht="36" customHeight="1">
      <c r="A1370" s="46" t="n">
        <v>3700</v>
      </c>
      <c r="B1370" s="4">
        <f>+VLOOKUP($A1370,MAGAZZINO!$B$2:$M$100000,2,FALSE)</f>
        <v/>
      </c>
      <c r="C1370" s="29">
        <f>+VLOOKUP($A1370,MAGAZZINO!$B$2:$M$100000,3,FALSE)</f>
        <v/>
      </c>
      <c r="D1370" s="3">
        <f>+VLOOKUP($A1370,MAGAZZINO!$B$2:$M$100000,4,FALSE)</f>
        <v/>
      </c>
      <c r="E1370" s="3">
        <f>+VLOOKUP($A1370,MAGAZZINO!$B$2:$M$100000,5,FALSE)</f>
        <v/>
      </c>
      <c r="F1370" s="3">
        <f>+VLOOKUP($A1370,MAGAZZINO!$B$2:$M$100000,6,FALSE)</f>
        <v/>
      </c>
      <c r="G1370" s="3">
        <f>+VLOOKUP($A1370,MAGAZZINO!$B$2:$M$100000,7,FALSE)</f>
        <v/>
      </c>
      <c r="H1370" s="3">
        <f>+VLOOKUP($A1370,MAGAZZINO!$B$2:$M$100000,8,FALSE)</f>
        <v/>
      </c>
      <c r="I1370" s="3">
        <f>+VLOOKUP($A1370,MAGAZZINO!$B$2:$M$100000,9,FALSE)</f>
        <v/>
      </c>
      <c r="J1370" s="3">
        <f>+VLOOKUP($A1370,MAGAZZINO!$B$2:$M$100000,10,FALSE)</f>
        <v/>
      </c>
      <c r="K1370" s="3">
        <f>+VLOOKUP($A1370,MAGAZZINO!$B$2:$M$100000,11,FALSE)</f>
        <v/>
      </c>
      <c r="L1370" s="5">
        <f>+VLOOKUP($A1370,MAGAZZINO!$B$2:$M$100000,12,FALSE)</f>
        <v/>
      </c>
      <c r="M1370" s="47" t="n"/>
      <c r="N1370" s="88" t="n">
        <v>45873</v>
      </c>
      <c r="O1370" s="156" t="inlineStr">
        <is>
          <t>BIN HUMAID NATIONAL TRADING CO. (ARABIA SAUDITA)</t>
        </is>
      </c>
      <c r="P1370" s="152" t="inlineStr">
        <is>
          <t xml:space="preserve">  IMPORT LICENSE N. 182480  (END USER CERTIFICATE)                                                                      AUT. ESPORTAZIONE MULTIPLA N. 6B/2025/2M RILASCIATA IL 26/05/2025                        (LICENZA DI SCARICO N. 6B/2025/2S RILASCIATA IL 30/07/2025)</t>
        </is>
      </c>
      <c r="Q1370" s="150" t="n"/>
      <c r="R1370" s="150" t="n"/>
      <c r="S1370" s="153" t="n"/>
    </row>
    <row r="1371" ht="36" customHeight="1">
      <c r="A1371" s="46" t="n">
        <v>3701</v>
      </c>
      <c r="B1371" s="4">
        <f>+VLOOKUP($A1371,MAGAZZINO!$B$2:$M$100000,2,FALSE)</f>
        <v/>
      </c>
      <c r="C1371" s="29">
        <f>+VLOOKUP($A1371,MAGAZZINO!$B$2:$M$100000,3,FALSE)</f>
        <v/>
      </c>
      <c r="D1371" s="3">
        <f>+VLOOKUP($A1371,MAGAZZINO!$B$2:$M$100000,4,FALSE)</f>
        <v/>
      </c>
      <c r="E1371" s="3">
        <f>+VLOOKUP($A1371,MAGAZZINO!$B$2:$M$100000,5,FALSE)</f>
        <v/>
      </c>
      <c r="F1371" s="3">
        <f>+VLOOKUP($A1371,MAGAZZINO!$B$2:$M$100000,6,FALSE)</f>
        <v/>
      </c>
      <c r="G1371" s="3">
        <f>+VLOOKUP($A1371,MAGAZZINO!$B$2:$M$100000,7,FALSE)</f>
        <v/>
      </c>
      <c r="H1371" s="3">
        <f>+VLOOKUP($A1371,MAGAZZINO!$B$2:$M$100000,8,FALSE)</f>
        <v/>
      </c>
      <c r="I1371" s="3">
        <f>+VLOOKUP($A1371,MAGAZZINO!$B$2:$M$100000,9,FALSE)</f>
        <v/>
      </c>
      <c r="J1371" s="3">
        <f>+VLOOKUP($A1371,MAGAZZINO!$B$2:$M$100000,10,FALSE)</f>
        <v/>
      </c>
      <c r="K1371" s="3">
        <f>+VLOOKUP($A1371,MAGAZZINO!$B$2:$M$100000,11,FALSE)</f>
        <v/>
      </c>
      <c r="L1371" s="5">
        <f>+VLOOKUP($A1371,MAGAZZINO!$B$2:$M$100000,12,FALSE)</f>
        <v/>
      </c>
      <c r="M1371" s="47" t="n"/>
      <c r="N1371" s="88" t="n">
        <v>45873</v>
      </c>
      <c r="O1371" s="156" t="inlineStr">
        <is>
          <t>BIN HUMAID NATIONAL TRADING CO. (ARABIA SAUDITA)</t>
        </is>
      </c>
      <c r="P1371" s="152" t="inlineStr">
        <is>
          <t xml:space="preserve">  IMPORT LICENSE N. 182480  (END USER CERTIFICATE)                                                                      AUT. ESPORTAZIONE MULTIPLA N. 6B/2025/2M RILASCIATA IL 26/05/2025                        (LICENZA DI SCARICO N. 6B/2025/2S RILASCIATA IL 30/07/2025)</t>
        </is>
      </c>
      <c r="Q1371" s="150" t="n"/>
      <c r="R1371" s="150" t="n"/>
      <c r="S1371" s="153" t="n"/>
    </row>
    <row r="1372" ht="36" customHeight="1">
      <c r="A1372" s="46" t="n">
        <v>3702</v>
      </c>
      <c r="B1372" s="4">
        <f>+VLOOKUP($A1372,MAGAZZINO!$B$2:$M$100000,2,FALSE)</f>
        <v/>
      </c>
      <c r="C1372" s="29">
        <f>+VLOOKUP($A1372,MAGAZZINO!$B$2:$M$100000,3,FALSE)</f>
        <v/>
      </c>
      <c r="D1372" s="3">
        <f>+VLOOKUP($A1372,MAGAZZINO!$B$2:$M$100000,4,FALSE)</f>
        <v/>
      </c>
      <c r="E1372" s="3">
        <f>+VLOOKUP($A1372,MAGAZZINO!$B$2:$M$100000,5,FALSE)</f>
        <v/>
      </c>
      <c r="F1372" s="3">
        <f>+VLOOKUP($A1372,MAGAZZINO!$B$2:$M$100000,6,FALSE)</f>
        <v/>
      </c>
      <c r="G1372" s="3">
        <f>+VLOOKUP($A1372,MAGAZZINO!$B$2:$M$100000,7,FALSE)</f>
        <v/>
      </c>
      <c r="H1372" s="3">
        <f>+VLOOKUP($A1372,MAGAZZINO!$B$2:$M$100000,8,FALSE)</f>
        <v/>
      </c>
      <c r="I1372" s="3">
        <f>+VLOOKUP($A1372,MAGAZZINO!$B$2:$M$100000,9,FALSE)</f>
        <v/>
      </c>
      <c r="J1372" s="3">
        <f>+VLOOKUP($A1372,MAGAZZINO!$B$2:$M$100000,10,FALSE)</f>
        <v/>
      </c>
      <c r="K1372" s="3">
        <f>+VLOOKUP($A1372,MAGAZZINO!$B$2:$M$100000,11,FALSE)</f>
        <v/>
      </c>
      <c r="L1372" s="5">
        <f>+VLOOKUP($A1372,MAGAZZINO!$B$2:$M$100000,12,FALSE)</f>
        <v/>
      </c>
      <c r="M1372" s="47" t="n"/>
      <c r="N1372" s="88" t="n">
        <v>45873</v>
      </c>
      <c r="O1372" s="156" t="inlineStr">
        <is>
          <t>BIN HUMAID NATIONAL TRADING CO. (ARABIA SAUDITA)</t>
        </is>
      </c>
      <c r="P1372" s="152" t="inlineStr">
        <is>
          <t xml:space="preserve">  IMPORT LICENSE N. 182480  (END USER CERTIFICATE)                                                                      AUT. ESPORTAZIONE MULTIPLA N. 6B/2025/2M RILASCIATA IL 26/05/2025                        (LICENZA DI SCARICO N. 6B/2025/2S RILASCIATA IL 30/07/2025)</t>
        </is>
      </c>
      <c r="Q1372" s="150" t="n"/>
      <c r="R1372" s="150" t="n"/>
      <c r="S1372" s="153" t="n"/>
    </row>
    <row r="1373" ht="36" customHeight="1">
      <c r="A1373" s="46" t="n">
        <v>3703</v>
      </c>
      <c r="B1373" s="4">
        <f>+VLOOKUP($A1373,MAGAZZINO!$B$2:$M$100000,2,FALSE)</f>
        <v/>
      </c>
      <c r="C1373" s="29">
        <f>+VLOOKUP($A1373,MAGAZZINO!$B$2:$M$100000,3,FALSE)</f>
        <v/>
      </c>
      <c r="D1373" s="3">
        <f>+VLOOKUP($A1373,MAGAZZINO!$B$2:$M$100000,4,FALSE)</f>
        <v/>
      </c>
      <c r="E1373" s="3">
        <f>+VLOOKUP($A1373,MAGAZZINO!$B$2:$M$100000,5,FALSE)</f>
        <v/>
      </c>
      <c r="F1373" s="3">
        <f>+VLOOKUP($A1373,MAGAZZINO!$B$2:$M$100000,6,FALSE)</f>
        <v/>
      </c>
      <c r="G1373" s="3">
        <f>+VLOOKUP($A1373,MAGAZZINO!$B$2:$M$100000,7,FALSE)</f>
        <v/>
      </c>
      <c r="H1373" s="3">
        <f>+VLOOKUP($A1373,MAGAZZINO!$B$2:$M$100000,8,FALSE)</f>
        <v/>
      </c>
      <c r="I1373" s="3">
        <f>+VLOOKUP($A1373,MAGAZZINO!$B$2:$M$100000,9,FALSE)</f>
        <v/>
      </c>
      <c r="J1373" s="3">
        <f>+VLOOKUP($A1373,MAGAZZINO!$B$2:$M$100000,10,FALSE)</f>
        <v/>
      </c>
      <c r="K1373" s="3">
        <f>+VLOOKUP($A1373,MAGAZZINO!$B$2:$M$100000,11,FALSE)</f>
        <v/>
      </c>
      <c r="L1373" s="5">
        <f>+VLOOKUP($A1373,MAGAZZINO!$B$2:$M$100000,12,FALSE)</f>
        <v/>
      </c>
      <c r="M1373" s="47" t="n"/>
      <c r="N1373" s="88" t="n">
        <v>45873</v>
      </c>
      <c r="O1373" s="156" t="inlineStr">
        <is>
          <t>BIN HUMAID NATIONAL TRADING CO. (ARABIA SAUDITA)</t>
        </is>
      </c>
      <c r="P1373" s="152" t="inlineStr">
        <is>
          <t xml:space="preserve">  IMPORT LICENSE N. 182480  (END USER CERTIFICATE)                                                                      AUT. ESPORTAZIONE MULTIPLA N. 6B/2025/2M RILASCIATA IL 26/05/2025                        (LICENZA DI SCARICO N. 6B/2025/2S RILASCIATA IL 30/07/2025)</t>
        </is>
      </c>
      <c r="Q1373" s="150" t="n"/>
      <c r="R1373" s="150" t="n"/>
      <c r="S1373" s="153" t="n"/>
    </row>
    <row r="1374" ht="36" customHeight="1">
      <c r="A1374" s="46" t="n">
        <v>3704</v>
      </c>
      <c r="B1374" s="4">
        <f>+VLOOKUP($A1374,MAGAZZINO!$B$2:$M$100000,2,FALSE)</f>
        <v/>
      </c>
      <c r="C1374" s="29">
        <f>+VLOOKUP($A1374,MAGAZZINO!$B$2:$M$100000,3,FALSE)</f>
        <v/>
      </c>
      <c r="D1374" s="3">
        <f>+VLOOKUP($A1374,MAGAZZINO!$B$2:$M$100000,4,FALSE)</f>
        <v/>
      </c>
      <c r="E1374" s="3">
        <f>+VLOOKUP($A1374,MAGAZZINO!$B$2:$M$100000,5,FALSE)</f>
        <v/>
      </c>
      <c r="F1374" s="3">
        <f>+VLOOKUP($A1374,MAGAZZINO!$B$2:$M$100000,6,FALSE)</f>
        <v/>
      </c>
      <c r="G1374" s="3">
        <f>+VLOOKUP($A1374,MAGAZZINO!$B$2:$M$100000,7,FALSE)</f>
        <v/>
      </c>
      <c r="H1374" s="3">
        <f>+VLOOKUP($A1374,MAGAZZINO!$B$2:$M$100000,8,FALSE)</f>
        <v/>
      </c>
      <c r="I1374" s="3">
        <f>+VLOOKUP($A1374,MAGAZZINO!$B$2:$M$100000,9,FALSE)</f>
        <v/>
      </c>
      <c r="J1374" s="3">
        <f>+VLOOKUP($A1374,MAGAZZINO!$B$2:$M$100000,10,FALSE)</f>
        <v/>
      </c>
      <c r="K1374" s="3">
        <f>+VLOOKUP($A1374,MAGAZZINO!$B$2:$M$100000,11,FALSE)</f>
        <v/>
      </c>
      <c r="L1374" s="5">
        <f>+VLOOKUP($A1374,MAGAZZINO!$B$2:$M$100000,12,FALSE)</f>
        <v/>
      </c>
      <c r="M1374" s="47" t="n"/>
      <c r="N1374" s="88" t="n">
        <v>45873</v>
      </c>
      <c r="O1374" s="156" t="inlineStr">
        <is>
          <t>BIN HUMAID NATIONAL TRADING CO. (ARABIA SAUDITA)</t>
        </is>
      </c>
      <c r="P1374" s="152" t="inlineStr">
        <is>
          <t xml:space="preserve">  IMPORT LICENSE N. 182480  (END USER CERTIFICATE)                                                                      AUT. ESPORTAZIONE MULTIPLA N. 6B/2025/2M RILASCIATA IL 26/05/2025                        (LICENZA DI SCARICO N. 6B/2025/2S RILASCIATA IL 30/07/2025)</t>
        </is>
      </c>
      <c r="Q1374" s="150" t="n"/>
      <c r="R1374" s="150" t="n"/>
      <c r="S1374" s="153" t="n"/>
    </row>
    <row r="1375" ht="36" customHeight="1">
      <c r="A1375" s="46" t="n">
        <v>3705</v>
      </c>
      <c r="B1375" s="4">
        <f>+VLOOKUP($A1375,MAGAZZINO!$B$2:$M$100000,2,FALSE)</f>
        <v/>
      </c>
      <c r="C1375" s="29">
        <f>+VLOOKUP($A1375,MAGAZZINO!$B$2:$M$100000,3,FALSE)</f>
        <v/>
      </c>
      <c r="D1375" s="3">
        <f>+VLOOKUP($A1375,MAGAZZINO!$B$2:$M$100000,4,FALSE)</f>
        <v/>
      </c>
      <c r="E1375" s="3">
        <f>+VLOOKUP($A1375,MAGAZZINO!$B$2:$M$100000,5,FALSE)</f>
        <v/>
      </c>
      <c r="F1375" s="3">
        <f>+VLOOKUP($A1375,MAGAZZINO!$B$2:$M$100000,6,FALSE)</f>
        <v/>
      </c>
      <c r="G1375" s="3">
        <f>+VLOOKUP($A1375,MAGAZZINO!$B$2:$M$100000,7,FALSE)</f>
        <v/>
      </c>
      <c r="H1375" s="3">
        <f>+VLOOKUP($A1375,MAGAZZINO!$B$2:$M$100000,8,FALSE)</f>
        <v/>
      </c>
      <c r="I1375" s="3">
        <f>+VLOOKUP($A1375,MAGAZZINO!$B$2:$M$100000,9,FALSE)</f>
        <v/>
      </c>
      <c r="J1375" s="3">
        <f>+VLOOKUP($A1375,MAGAZZINO!$B$2:$M$100000,10,FALSE)</f>
        <v/>
      </c>
      <c r="K1375" s="3">
        <f>+VLOOKUP($A1375,MAGAZZINO!$B$2:$M$100000,11,FALSE)</f>
        <v/>
      </c>
      <c r="L1375" s="5">
        <f>+VLOOKUP($A1375,MAGAZZINO!$B$2:$M$100000,12,FALSE)</f>
        <v/>
      </c>
      <c r="M1375" s="47" t="n"/>
      <c r="N1375" s="88" t="n">
        <v>45873</v>
      </c>
      <c r="O1375" s="156" t="inlineStr">
        <is>
          <t>BIN HUMAID NATIONAL TRADING CO. (ARABIA SAUDITA)</t>
        </is>
      </c>
      <c r="P1375" s="152" t="inlineStr">
        <is>
          <t xml:space="preserve">  IMPORT LICENSE N. 182480  (END USER CERTIFICATE)                                                                      AUT. ESPORTAZIONE MULTIPLA N. 6B/2025/2M RILASCIATA IL 26/05/2025                        (LICENZA DI SCARICO N. 6B/2025/2S RILASCIATA IL 30/07/2025)</t>
        </is>
      </c>
      <c r="Q1375" s="150" t="n"/>
      <c r="R1375" s="150" t="n"/>
      <c r="S1375" s="153" t="n"/>
    </row>
    <row r="1376" ht="36" customHeight="1">
      <c r="A1376" s="46" t="n">
        <v>3706</v>
      </c>
      <c r="B1376" s="4">
        <f>+VLOOKUP($A1376,MAGAZZINO!$B$2:$M$100000,2,FALSE)</f>
        <v/>
      </c>
      <c r="C1376" s="29">
        <f>+VLOOKUP($A1376,MAGAZZINO!$B$2:$M$100000,3,FALSE)</f>
        <v/>
      </c>
      <c r="D1376" s="3">
        <f>+VLOOKUP($A1376,MAGAZZINO!$B$2:$M$100000,4,FALSE)</f>
        <v/>
      </c>
      <c r="E1376" s="3">
        <f>+VLOOKUP($A1376,MAGAZZINO!$B$2:$M$100000,5,FALSE)</f>
        <v/>
      </c>
      <c r="F1376" s="3">
        <f>+VLOOKUP($A1376,MAGAZZINO!$B$2:$M$100000,6,FALSE)</f>
        <v/>
      </c>
      <c r="G1376" s="3">
        <f>+VLOOKUP($A1376,MAGAZZINO!$B$2:$M$100000,7,FALSE)</f>
        <v/>
      </c>
      <c r="H1376" s="3">
        <f>+VLOOKUP($A1376,MAGAZZINO!$B$2:$M$100000,8,FALSE)</f>
        <v/>
      </c>
      <c r="I1376" s="3">
        <f>+VLOOKUP($A1376,MAGAZZINO!$B$2:$M$100000,9,FALSE)</f>
        <v/>
      </c>
      <c r="J1376" s="3">
        <f>+VLOOKUP($A1376,MAGAZZINO!$B$2:$M$100000,10,FALSE)</f>
        <v/>
      </c>
      <c r="K1376" s="3">
        <f>+VLOOKUP($A1376,MAGAZZINO!$B$2:$M$100000,11,FALSE)</f>
        <v/>
      </c>
      <c r="L1376" s="5">
        <f>+VLOOKUP($A1376,MAGAZZINO!$B$2:$M$100000,12,FALSE)</f>
        <v/>
      </c>
      <c r="M1376" s="47" t="n"/>
      <c r="N1376" s="88" t="n">
        <v>45873</v>
      </c>
      <c r="O1376" s="156" t="inlineStr">
        <is>
          <t>BIN HUMAID NATIONAL TRADING CO. (ARABIA SAUDITA)</t>
        </is>
      </c>
      <c r="P1376" s="152" t="inlineStr">
        <is>
          <t xml:space="preserve">  IMPORT LICENSE N. 182480  (END USER CERTIFICATE)                                                                      AUT. ESPORTAZIONE MULTIPLA N. 6B/2025/2M RILASCIATA IL 26/05/2025                        (LICENZA DI SCARICO N. 6B/2025/2S RILASCIATA IL 30/07/2025)</t>
        </is>
      </c>
      <c r="Q1376" s="150" t="n"/>
      <c r="R1376" s="150" t="n"/>
      <c r="S1376" s="153" t="n"/>
    </row>
    <row r="1377" ht="36" customHeight="1">
      <c r="A1377" s="46" t="n">
        <v>3707</v>
      </c>
      <c r="B1377" s="4">
        <f>+VLOOKUP($A1377,MAGAZZINO!$B$2:$M$100000,2,FALSE)</f>
        <v/>
      </c>
      <c r="C1377" s="29">
        <f>+VLOOKUP($A1377,MAGAZZINO!$B$2:$M$100000,3,FALSE)</f>
        <v/>
      </c>
      <c r="D1377" s="3">
        <f>+VLOOKUP($A1377,MAGAZZINO!$B$2:$M$100000,4,FALSE)</f>
        <v/>
      </c>
      <c r="E1377" s="3">
        <f>+VLOOKUP($A1377,MAGAZZINO!$B$2:$M$100000,5,FALSE)</f>
        <v/>
      </c>
      <c r="F1377" s="3">
        <f>+VLOOKUP($A1377,MAGAZZINO!$B$2:$M$100000,6,FALSE)</f>
        <v/>
      </c>
      <c r="G1377" s="3">
        <f>+VLOOKUP($A1377,MAGAZZINO!$B$2:$M$100000,7,FALSE)</f>
        <v/>
      </c>
      <c r="H1377" s="3">
        <f>+VLOOKUP($A1377,MAGAZZINO!$B$2:$M$100000,8,FALSE)</f>
        <v/>
      </c>
      <c r="I1377" s="3">
        <f>+VLOOKUP($A1377,MAGAZZINO!$B$2:$M$100000,9,FALSE)</f>
        <v/>
      </c>
      <c r="J1377" s="3">
        <f>+VLOOKUP($A1377,MAGAZZINO!$B$2:$M$100000,10,FALSE)</f>
        <v/>
      </c>
      <c r="K1377" s="3">
        <f>+VLOOKUP($A1377,MAGAZZINO!$B$2:$M$100000,11,FALSE)</f>
        <v/>
      </c>
      <c r="L1377" s="5">
        <f>+VLOOKUP($A1377,MAGAZZINO!$B$2:$M$100000,12,FALSE)</f>
        <v/>
      </c>
      <c r="M1377" s="47" t="n"/>
      <c r="N1377" s="88" t="n">
        <v>45873</v>
      </c>
      <c r="O1377" s="156" t="inlineStr">
        <is>
          <t>BIN HUMAID NATIONAL TRADING CO. (ARABIA SAUDITA)</t>
        </is>
      </c>
      <c r="P1377" s="152" t="inlineStr">
        <is>
          <t xml:space="preserve">  IMPORT LICENSE N. 182480  (END USER CERTIFICATE)                                                                      AUT. ESPORTAZIONE MULTIPLA N. 6B/2025/2M RILASCIATA IL 26/05/2025                        (LICENZA DI SCARICO N. 6B/2025/2S RILASCIATA IL 30/07/2025)</t>
        </is>
      </c>
      <c r="Q1377" s="150" t="n"/>
      <c r="R1377" s="150" t="n"/>
      <c r="S1377" s="153" t="n"/>
    </row>
    <row r="1378" ht="36" customHeight="1">
      <c r="A1378" s="46" t="n">
        <v>3708</v>
      </c>
      <c r="B1378" s="4">
        <f>+VLOOKUP($A1378,MAGAZZINO!$B$2:$M$100000,2,FALSE)</f>
        <v/>
      </c>
      <c r="C1378" s="29">
        <f>+VLOOKUP($A1378,MAGAZZINO!$B$2:$M$100000,3,FALSE)</f>
        <v/>
      </c>
      <c r="D1378" s="3">
        <f>+VLOOKUP($A1378,MAGAZZINO!$B$2:$M$100000,4,FALSE)</f>
        <v/>
      </c>
      <c r="E1378" s="3">
        <f>+VLOOKUP($A1378,MAGAZZINO!$B$2:$M$100000,5,FALSE)</f>
        <v/>
      </c>
      <c r="F1378" s="3">
        <f>+VLOOKUP($A1378,MAGAZZINO!$B$2:$M$100000,6,FALSE)</f>
        <v/>
      </c>
      <c r="G1378" s="3">
        <f>+VLOOKUP($A1378,MAGAZZINO!$B$2:$M$100000,7,FALSE)</f>
        <v/>
      </c>
      <c r="H1378" s="3">
        <f>+VLOOKUP($A1378,MAGAZZINO!$B$2:$M$100000,8,FALSE)</f>
        <v/>
      </c>
      <c r="I1378" s="3">
        <f>+VLOOKUP($A1378,MAGAZZINO!$B$2:$M$100000,9,FALSE)</f>
        <v/>
      </c>
      <c r="J1378" s="3">
        <f>+VLOOKUP($A1378,MAGAZZINO!$B$2:$M$100000,10,FALSE)</f>
        <v/>
      </c>
      <c r="K1378" s="3">
        <f>+VLOOKUP($A1378,MAGAZZINO!$B$2:$M$100000,11,FALSE)</f>
        <v/>
      </c>
      <c r="L1378" s="5">
        <f>+VLOOKUP($A1378,MAGAZZINO!$B$2:$M$100000,12,FALSE)</f>
        <v/>
      </c>
      <c r="M1378" s="47" t="n"/>
      <c r="N1378" s="88" t="n">
        <v>45873</v>
      </c>
      <c r="O1378" s="156" t="inlineStr">
        <is>
          <t>BIN HUMAID NATIONAL TRADING CO. (ARABIA SAUDITA)</t>
        </is>
      </c>
      <c r="P1378" s="152" t="inlineStr">
        <is>
          <t xml:space="preserve">  IMPORT LICENSE N. 182480  (END USER CERTIFICATE)                                                                      AUT. ESPORTAZIONE MULTIPLA N. 6B/2025/2M RILASCIATA IL 26/05/2025                        (LICENZA DI SCARICO N. 6B/2025/2S RILASCIATA IL 30/07/2025)</t>
        </is>
      </c>
      <c r="Q1378" s="150" t="n"/>
      <c r="R1378" s="150" t="n"/>
      <c r="S1378" s="153" t="n"/>
    </row>
    <row r="1379" ht="36" customHeight="1">
      <c r="A1379" s="46" t="n">
        <v>3709</v>
      </c>
      <c r="B1379" s="4">
        <f>+VLOOKUP($A1379,MAGAZZINO!$B$2:$M$100000,2,FALSE)</f>
        <v/>
      </c>
      <c r="C1379" s="29">
        <f>+VLOOKUP($A1379,MAGAZZINO!$B$2:$M$100000,3,FALSE)</f>
        <v/>
      </c>
      <c r="D1379" s="3">
        <f>+VLOOKUP($A1379,MAGAZZINO!$B$2:$M$100000,4,FALSE)</f>
        <v/>
      </c>
      <c r="E1379" s="3">
        <f>+VLOOKUP($A1379,MAGAZZINO!$B$2:$M$100000,5,FALSE)</f>
        <v/>
      </c>
      <c r="F1379" s="3">
        <f>+VLOOKUP($A1379,MAGAZZINO!$B$2:$M$100000,6,FALSE)</f>
        <v/>
      </c>
      <c r="G1379" s="3">
        <f>+VLOOKUP($A1379,MAGAZZINO!$B$2:$M$100000,7,FALSE)</f>
        <v/>
      </c>
      <c r="H1379" s="3">
        <f>+VLOOKUP($A1379,MAGAZZINO!$B$2:$M$100000,8,FALSE)</f>
        <v/>
      </c>
      <c r="I1379" s="3">
        <f>+VLOOKUP($A1379,MAGAZZINO!$B$2:$M$100000,9,FALSE)</f>
        <v/>
      </c>
      <c r="J1379" s="3">
        <f>+VLOOKUP($A1379,MAGAZZINO!$B$2:$M$100000,10,FALSE)</f>
        <v/>
      </c>
      <c r="K1379" s="3">
        <f>+VLOOKUP($A1379,MAGAZZINO!$B$2:$M$100000,11,FALSE)</f>
        <v/>
      </c>
      <c r="L1379" s="5">
        <f>+VLOOKUP($A1379,MAGAZZINO!$B$2:$M$100000,12,FALSE)</f>
        <v/>
      </c>
      <c r="M1379" s="47" t="n"/>
      <c r="N1379" s="88" t="n">
        <v>45873</v>
      </c>
      <c r="O1379" s="156" t="inlineStr">
        <is>
          <t>BIN HUMAID NATIONAL TRADING CO. (ARABIA SAUDITA)</t>
        </is>
      </c>
      <c r="P1379" s="152" t="inlineStr">
        <is>
          <t xml:space="preserve">  IMPORT LICENSE N. 182480  (END USER CERTIFICATE)                                                                      AUT. ESPORTAZIONE MULTIPLA N. 6B/2025/2M RILASCIATA IL 26/05/2025                        (LICENZA DI SCARICO N. 6B/2025/2S RILASCIATA IL 30/07/2025)</t>
        </is>
      </c>
      <c r="Q1379" s="150" t="n"/>
      <c r="R1379" s="150" t="n"/>
      <c r="S1379" s="153" t="n"/>
    </row>
    <row r="1380" ht="36" customHeight="1">
      <c r="A1380" s="46" t="n">
        <v>3710</v>
      </c>
      <c r="B1380" s="4">
        <f>+VLOOKUP($A1380,MAGAZZINO!$B$2:$M$100000,2,FALSE)</f>
        <v/>
      </c>
      <c r="C1380" s="29">
        <f>+VLOOKUP($A1380,MAGAZZINO!$B$2:$M$100000,3,FALSE)</f>
        <v/>
      </c>
      <c r="D1380" s="3">
        <f>+VLOOKUP($A1380,MAGAZZINO!$B$2:$M$100000,4,FALSE)</f>
        <v/>
      </c>
      <c r="E1380" s="3">
        <f>+VLOOKUP($A1380,MAGAZZINO!$B$2:$M$100000,5,FALSE)</f>
        <v/>
      </c>
      <c r="F1380" s="3">
        <f>+VLOOKUP($A1380,MAGAZZINO!$B$2:$M$100000,6,FALSE)</f>
        <v/>
      </c>
      <c r="G1380" s="3">
        <f>+VLOOKUP($A1380,MAGAZZINO!$B$2:$M$100000,7,FALSE)</f>
        <v/>
      </c>
      <c r="H1380" s="3">
        <f>+VLOOKUP($A1380,MAGAZZINO!$B$2:$M$100000,8,FALSE)</f>
        <v/>
      </c>
      <c r="I1380" s="3">
        <f>+VLOOKUP($A1380,MAGAZZINO!$B$2:$M$100000,9,FALSE)</f>
        <v/>
      </c>
      <c r="J1380" s="3">
        <f>+VLOOKUP($A1380,MAGAZZINO!$B$2:$M$100000,10,FALSE)</f>
        <v/>
      </c>
      <c r="K1380" s="3">
        <f>+VLOOKUP($A1380,MAGAZZINO!$B$2:$M$100000,11,FALSE)</f>
        <v/>
      </c>
      <c r="L1380" s="5">
        <f>+VLOOKUP($A1380,MAGAZZINO!$B$2:$M$100000,12,FALSE)</f>
        <v/>
      </c>
      <c r="M1380" s="47" t="n"/>
      <c r="N1380" s="88" t="n">
        <v>45873</v>
      </c>
      <c r="O1380" s="156" t="inlineStr">
        <is>
          <t>BIN HUMAID NATIONAL TRADING CO. (ARABIA SAUDITA)</t>
        </is>
      </c>
      <c r="P1380" s="152" t="inlineStr">
        <is>
          <t xml:space="preserve">  IMPORT LICENSE N. 182480  (END USER CERTIFICATE)                                                                      AUT. ESPORTAZIONE MULTIPLA N. 6B/2025/2M RILASCIATA IL 26/05/2025                        (LICENZA DI SCARICO N. 6B/2025/2S RILASCIATA IL 30/07/2025)</t>
        </is>
      </c>
      <c r="Q1380" s="150" t="n"/>
      <c r="R1380" s="150" t="n"/>
      <c r="S1380" s="153" t="n"/>
    </row>
    <row r="1381" ht="36" customHeight="1">
      <c r="A1381" s="46" t="n">
        <v>3711</v>
      </c>
      <c r="B1381" s="4">
        <f>+VLOOKUP($A1381,MAGAZZINO!$B$2:$M$100000,2,FALSE)</f>
        <v/>
      </c>
      <c r="C1381" s="29">
        <f>+VLOOKUP($A1381,MAGAZZINO!$B$2:$M$100000,3,FALSE)</f>
        <v/>
      </c>
      <c r="D1381" s="3">
        <f>+VLOOKUP($A1381,MAGAZZINO!$B$2:$M$100000,4,FALSE)</f>
        <v/>
      </c>
      <c r="E1381" s="3">
        <f>+VLOOKUP($A1381,MAGAZZINO!$B$2:$M$100000,5,FALSE)</f>
        <v/>
      </c>
      <c r="F1381" s="3">
        <f>+VLOOKUP($A1381,MAGAZZINO!$B$2:$M$100000,6,FALSE)</f>
        <v/>
      </c>
      <c r="G1381" s="3">
        <f>+VLOOKUP($A1381,MAGAZZINO!$B$2:$M$100000,7,FALSE)</f>
        <v/>
      </c>
      <c r="H1381" s="3">
        <f>+VLOOKUP($A1381,MAGAZZINO!$B$2:$M$100000,8,FALSE)</f>
        <v/>
      </c>
      <c r="I1381" s="3">
        <f>+VLOOKUP($A1381,MAGAZZINO!$B$2:$M$100000,9,FALSE)</f>
        <v/>
      </c>
      <c r="J1381" s="3">
        <f>+VLOOKUP($A1381,MAGAZZINO!$B$2:$M$100000,10,FALSE)</f>
        <v/>
      </c>
      <c r="K1381" s="3">
        <f>+VLOOKUP($A1381,MAGAZZINO!$B$2:$M$100000,11,FALSE)</f>
        <v/>
      </c>
      <c r="L1381" s="5">
        <f>+VLOOKUP($A1381,MAGAZZINO!$B$2:$M$100000,12,FALSE)</f>
        <v/>
      </c>
      <c r="M1381" s="47" t="n"/>
      <c r="N1381" s="88" t="n">
        <v>45873</v>
      </c>
      <c r="O1381" s="156" t="inlineStr">
        <is>
          <t>BIN HUMAID NATIONAL TRADING CO. (ARABIA SAUDITA)</t>
        </is>
      </c>
      <c r="P1381" s="152" t="inlineStr">
        <is>
          <t xml:space="preserve">  IMPORT LICENSE N. 182480  (END USER CERTIFICATE)                                                                      AUT. ESPORTAZIONE MULTIPLA N. 6B/2025/2M RILASCIATA IL 26/05/2025                        (LICENZA DI SCARICO N. 6B/2025/2S RILASCIATA IL 30/07/2025)</t>
        </is>
      </c>
      <c r="Q1381" s="150" t="n"/>
      <c r="R1381" s="150" t="n"/>
      <c r="S1381" s="153" t="n"/>
    </row>
    <row r="1382" ht="36" customHeight="1">
      <c r="A1382" s="46" t="n">
        <v>3712</v>
      </c>
      <c r="B1382" s="4">
        <f>+VLOOKUP($A1382,MAGAZZINO!$B$2:$M$100000,2,FALSE)</f>
        <v/>
      </c>
      <c r="C1382" s="29">
        <f>+VLOOKUP($A1382,MAGAZZINO!$B$2:$M$100000,3,FALSE)</f>
        <v/>
      </c>
      <c r="D1382" s="3">
        <f>+VLOOKUP($A1382,MAGAZZINO!$B$2:$M$100000,4,FALSE)</f>
        <v/>
      </c>
      <c r="E1382" s="3">
        <f>+VLOOKUP($A1382,MAGAZZINO!$B$2:$M$100000,5,FALSE)</f>
        <v/>
      </c>
      <c r="F1382" s="3">
        <f>+VLOOKUP($A1382,MAGAZZINO!$B$2:$M$100000,6,FALSE)</f>
        <v/>
      </c>
      <c r="G1382" s="3">
        <f>+VLOOKUP($A1382,MAGAZZINO!$B$2:$M$100000,7,FALSE)</f>
        <v/>
      </c>
      <c r="H1382" s="3">
        <f>+VLOOKUP($A1382,MAGAZZINO!$B$2:$M$100000,8,FALSE)</f>
        <v/>
      </c>
      <c r="I1382" s="3">
        <f>+VLOOKUP($A1382,MAGAZZINO!$B$2:$M$100000,9,FALSE)</f>
        <v/>
      </c>
      <c r="J1382" s="3">
        <f>+VLOOKUP($A1382,MAGAZZINO!$B$2:$M$100000,10,FALSE)</f>
        <v/>
      </c>
      <c r="K1382" s="3">
        <f>+VLOOKUP($A1382,MAGAZZINO!$B$2:$M$100000,11,FALSE)</f>
        <v/>
      </c>
      <c r="L1382" s="5">
        <f>+VLOOKUP($A1382,MAGAZZINO!$B$2:$M$100000,12,FALSE)</f>
        <v/>
      </c>
      <c r="M1382" s="47" t="n"/>
      <c r="N1382" s="88" t="n">
        <v>45873</v>
      </c>
      <c r="O1382" s="156" t="inlineStr">
        <is>
          <t>BIN HUMAID NATIONAL TRADING CO. (ARABIA SAUDITA)</t>
        </is>
      </c>
      <c r="P1382" s="152" t="inlineStr">
        <is>
          <t xml:space="preserve">  IMPORT LICENSE N. 182480  (END USER CERTIFICATE)                                                                      AUT. ESPORTAZIONE MULTIPLA N. 6B/2025/2M RILASCIATA IL 26/05/2025                        (LICENZA DI SCARICO N. 6B/2025/2S RILASCIATA IL 30/07/2025)</t>
        </is>
      </c>
      <c r="Q1382" s="150" t="n"/>
      <c r="R1382" s="150" t="n"/>
      <c r="S1382" s="153" t="n"/>
    </row>
    <row r="1383" ht="36" customHeight="1">
      <c r="A1383" s="46" t="n">
        <v>3713</v>
      </c>
      <c r="B1383" s="4">
        <f>+VLOOKUP($A1383,MAGAZZINO!$B$2:$M$100000,2,FALSE)</f>
        <v/>
      </c>
      <c r="C1383" s="29">
        <f>+VLOOKUP($A1383,MAGAZZINO!$B$2:$M$100000,3,FALSE)</f>
        <v/>
      </c>
      <c r="D1383" s="3">
        <f>+VLOOKUP($A1383,MAGAZZINO!$B$2:$M$100000,4,FALSE)</f>
        <v/>
      </c>
      <c r="E1383" s="3">
        <f>+VLOOKUP($A1383,MAGAZZINO!$B$2:$M$100000,5,FALSE)</f>
        <v/>
      </c>
      <c r="F1383" s="3">
        <f>+VLOOKUP($A1383,MAGAZZINO!$B$2:$M$100000,6,FALSE)</f>
        <v/>
      </c>
      <c r="G1383" s="3">
        <f>+VLOOKUP($A1383,MAGAZZINO!$B$2:$M$100000,7,FALSE)</f>
        <v/>
      </c>
      <c r="H1383" s="3">
        <f>+VLOOKUP($A1383,MAGAZZINO!$B$2:$M$100000,8,FALSE)</f>
        <v/>
      </c>
      <c r="I1383" s="3">
        <f>+VLOOKUP($A1383,MAGAZZINO!$B$2:$M$100000,9,FALSE)</f>
        <v/>
      </c>
      <c r="J1383" s="3">
        <f>+VLOOKUP($A1383,MAGAZZINO!$B$2:$M$100000,10,FALSE)</f>
        <v/>
      </c>
      <c r="K1383" s="3">
        <f>+VLOOKUP($A1383,MAGAZZINO!$B$2:$M$100000,11,FALSE)</f>
        <v/>
      </c>
      <c r="L1383" s="5">
        <f>+VLOOKUP($A1383,MAGAZZINO!$B$2:$M$100000,12,FALSE)</f>
        <v/>
      </c>
      <c r="M1383" s="47" t="n"/>
      <c r="N1383" s="88" t="n">
        <v>45873</v>
      </c>
      <c r="O1383" s="156" t="inlineStr">
        <is>
          <t>BIN HUMAID NATIONAL TRADING CO. (ARABIA SAUDITA)</t>
        </is>
      </c>
      <c r="P1383" s="152" t="inlineStr">
        <is>
          <t xml:space="preserve">  IMPORT LICENSE N. 182480  (END USER CERTIFICATE)                                                                      AUT. ESPORTAZIONE MULTIPLA N. 6B/2025/2M RILASCIATA IL 26/05/2025                        (LICENZA DI SCARICO N. 6B/2025/2S RILASCIATA IL 30/07/2025)</t>
        </is>
      </c>
      <c r="Q1383" s="150" t="n"/>
      <c r="R1383" s="150" t="n"/>
      <c r="S1383" s="153" t="n"/>
    </row>
    <row r="1384" ht="36" customHeight="1">
      <c r="A1384" s="46" t="n">
        <v>3714</v>
      </c>
      <c r="B1384" s="4">
        <f>+VLOOKUP($A1384,MAGAZZINO!$B$2:$M$100000,2,FALSE)</f>
        <v/>
      </c>
      <c r="C1384" s="29">
        <f>+VLOOKUP($A1384,MAGAZZINO!$B$2:$M$100000,3,FALSE)</f>
        <v/>
      </c>
      <c r="D1384" s="3">
        <f>+VLOOKUP($A1384,MAGAZZINO!$B$2:$M$100000,4,FALSE)</f>
        <v/>
      </c>
      <c r="E1384" s="3">
        <f>+VLOOKUP($A1384,MAGAZZINO!$B$2:$M$100000,5,FALSE)</f>
        <v/>
      </c>
      <c r="F1384" s="3">
        <f>+VLOOKUP($A1384,MAGAZZINO!$B$2:$M$100000,6,FALSE)</f>
        <v/>
      </c>
      <c r="G1384" s="3">
        <f>+VLOOKUP($A1384,MAGAZZINO!$B$2:$M$100000,7,FALSE)</f>
        <v/>
      </c>
      <c r="H1384" s="3">
        <f>+VLOOKUP($A1384,MAGAZZINO!$B$2:$M$100000,8,FALSE)</f>
        <v/>
      </c>
      <c r="I1384" s="3">
        <f>+VLOOKUP($A1384,MAGAZZINO!$B$2:$M$100000,9,FALSE)</f>
        <v/>
      </c>
      <c r="J1384" s="3">
        <f>+VLOOKUP($A1384,MAGAZZINO!$B$2:$M$100000,10,FALSE)</f>
        <v/>
      </c>
      <c r="K1384" s="3">
        <f>+VLOOKUP($A1384,MAGAZZINO!$B$2:$M$100000,11,FALSE)</f>
        <v/>
      </c>
      <c r="L1384" s="5">
        <f>+VLOOKUP($A1384,MAGAZZINO!$B$2:$M$100000,12,FALSE)</f>
        <v/>
      </c>
      <c r="M1384" s="47" t="n"/>
      <c r="N1384" s="88" t="n">
        <v>45873</v>
      </c>
      <c r="O1384" s="156" t="inlineStr">
        <is>
          <t>BIN HUMAID NATIONAL TRADING CO. (ARABIA SAUDITA)</t>
        </is>
      </c>
      <c r="P1384" s="152" t="inlineStr">
        <is>
          <t xml:space="preserve">  IMPORT LICENSE N. 182480  (END USER CERTIFICATE)                                                                      AUT. ESPORTAZIONE MULTIPLA N. 6B/2025/2M RILASCIATA IL 26/05/2025                        (LICENZA DI SCARICO N. 6B/2025/2S RILASCIATA IL 30/07/2025)</t>
        </is>
      </c>
      <c r="Q1384" s="150" t="n"/>
      <c r="R1384" s="150" t="n"/>
      <c r="S1384" s="153" t="n"/>
    </row>
    <row r="1385" ht="36" customHeight="1">
      <c r="A1385" s="46" t="n">
        <v>3715</v>
      </c>
      <c r="B1385" s="4">
        <f>+VLOOKUP($A1385,MAGAZZINO!$B$2:$M$100000,2,FALSE)</f>
        <v/>
      </c>
      <c r="C1385" s="29">
        <f>+VLOOKUP($A1385,MAGAZZINO!$B$2:$M$100000,3,FALSE)</f>
        <v/>
      </c>
      <c r="D1385" s="3">
        <f>+VLOOKUP($A1385,MAGAZZINO!$B$2:$M$100000,4,FALSE)</f>
        <v/>
      </c>
      <c r="E1385" s="3">
        <f>+VLOOKUP($A1385,MAGAZZINO!$B$2:$M$100000,5,FALSE)</f>
        <v/>
      </c>
      <c r="F1385" s="3">
        <f>+VLOOKUP($A1385,MAGAZZINO!$B$2:$M$100000,6,FALSE)</f>
        <v/>
      </c>
      <c r="G1385" s="3">
        <f>+VLOOKUP($A1385,MAGAZZINO!$B$2:$M$100000,7,FALSE)</f>
        <v/>
      </c>
      <c r="H1385" s="3">
        <f>+VLOOKUP($A1385,MAGAZZINO!$B$2:$M$100000,8,FALSE)</f>
        <v/>
      </c>
      <c r="I1385" s="3">
        <f>+VLOOKUP($A1385,MAGAZZINO!$B$2:$M$100000,9,FALSE)</f>
        <v/>
      </c>
      <c r="J1385" s="3">
        <f>+VLOOKUP($A1385,MAGAZZINO!$B$2:$M$100000,10,FALSE)</f>
        <v/>
      </c>
      <c r="K1385" s="3">
        <f>+VLOOKUP($A1385,MAGAZZINO!$B$2:$M$100000,11,FALSE)</f>
        <v/>
      </c>
      <c r="L1385" s="5">
        <f>+VLOOKUP($A1385,MAGAZZINO!$B$2:$M$100000,12,FALSE)</f>
        <v/>
      </c>
      <c r="M1385" s="47" t="n"/>
      <c r="N1385" s="88" t="n">
        <v>45873</v>
      </c>
      <c r="O1385" s="156" t="inlineStr">
        <is>
          <t>BIN HUMAID NATIONAL TRADING CO. (ARABIA SAUDITA)</t>
        </is>
      </c>
      <c r="P1385" s="152" t="inlineStr">
        <is>
          <t xml:space="preserve">  IMPORT LICENSE N. 182480  (END USER CERTIFICATE)                                                                      AUT. ESPORTAZIONE MULTIPLA N. 6B/2025/2M RILASCIATA IL 26/05/2025                        (LICENZA DI SCARICO N. 6B/2025/2S RILASCIATA IL 30/07/2025)</t>
        </is>
      </c>
      <c r="Q1385" s="150" t="n"/>
      <c r="R1385" s="150" t="n"/>
      <c r="S1385" s="153" t="n"/>
    </row>
    <row r="1386" ht="36" customHeight="1">
      <c r="A1386" s="46" t="n">
        <v>3716</v>
      </c>
      <c r="B1386" s="4">
        <f>+VLOOKUP($A1386,MAGAZZINO!$B$2:$M$100000,2,FALSE)</f>
        <v/>
      </c>
      <c r="C1386" s="29">
        <f>+VLOOKUP($A1386,MAGAZZINO!$B$2:$M$100000,3,FALSE)</f>
        <v/>
      </c>
      <c r="D1386" s="3">
        <f>+VLOOKUP($A1386,MAGAZZINO!$B$2:$M$100000,4,FALSE)</f>
        <v/>
      </c>
      <c r="E1386" s="3">
        <f>+VLOOKUP($A1386,MAGAZZINO!$B$2:$M$100000,5,FALSE)</f>
        <v/>
      </c>
      <c r="F1386" s="3">
        <f>+VLOOKUP($A1386,MAGAZZINO!$B$2:$M$100000,6,FALSE)</f>
        <v/>
      </c>
      <c r="G1386" s="3">
        <f>+VLOOKUP($A1386,MAGAZZINO!$B$2:$M$100000,7,FALSE)</f>
        <v/>
      </c>
      <c r="H1386" s="3">
        <f>+VLOOKUP($A1386,MAGAZZINO!$B$2:$M$100000,8,FALSE)</f>
        <v/>
      </c>
      <c r="I1386" s="3">
        <f>+VLOOKUP($A1386,MAGAZZINO!$B$2:$M$100000,9,FALSE)</f>
        <v/>
      </c>
      <c r="J1386" s="3">
        <f>+VLOOKUP($A1386,MAGAZZINO!$B$2:$M$100000,10,FALSE)</f>
        <v/>
      </c>
      <c r="K1386" s="3">
        <f>+VLOOKUP($A1386,MAGAZZINO!$B$2:$M$100000,11,FALSE)</f>
        <v/>
      </c>
      <c r="L1386" s="5">
        <f>+VLOOKUP($A1386,MAGAZZINO!$B$2:$M$100000,12,FALSE)</f>
        <v/>
      </c>
      <c r="M1386" s="47" t="n"/>
      <c r="N1386" s="88" t="n">
        <v>45873</v>
      </c>
      <c r="O1386" s="156" t="inlineStr">
        <is>
          <t>BIN HUMAID NATIONAL TRADING CO. (ARABIA SAUDITA)</t>
        </is>
      </c>
      <c r="P1386" s="152" t="inlineStr">
        <is>
          <t xml:space="preserve">  IMPORT LICENSE N. 182480  (END USER CERTIFICATE)                                                                      AUT. ESPORTAZIONE MULTIPLA N. 6B/2025/2M RILASCIATA IL 26/05/2025                        (LICENZA DI SCARICO N. 6B/2025/2S RILASCIATA IL 30/07/2025)</t>
        </is>
      </c>
      <c r="Q1386" s="150" t="n"/>
      <c r="R1386" s="150" t="n"/>
      <c r="S1386" s="153" t="n"/>
    </row>
    <row r="1387" ht="36" customHeight="1">
      <c r="A1387" s="46" t="n">
        <v>3717</v>
      </c>
      <c r="B1387" s="4">
        <f>+VLOOKUP($A1387,MAGAZZINO!$B$2:$M$100000,2,FALSE)</f>
        <v/>
      </c>
      <c r="C1387" s="29">
        <f>+VLOOKUP($A1387,MAGAZZINO!$B$2:$M$100000,3,FALSE)</f>
        <v/>
      </c>
      <c r="D1387" s="3">
        <f>+VLOOKUP($A1387,MAGAZZINO!$B$2:$M$100000,4,FALSE)</f>
        <v/>
      </c>
      <c r="E1387" s="3">
        <f>+VLOOKUP($A1387,MAGAZZINO!$B$2:$M$100000,5,FALSE)</f>
        <v/>
      </c>
      <c r="F1387" s="3">
        <f>+VLOOKUP($A1387,MAGAZZINO!$B$2:$M$100000,6,FALSE)</f>
        <v/>
      </c>
      <c r="G1387" s="3">
        <f>+VLOOKUP($A1387,MAGAZZINO!$B$2:$M$100000,7,FALSE)</f>
        <v/>
      </c>
      <c r="H1387" s="3">
        <f>+VLOOKUP($A1387,MAGAZZINO!$B$2:$M$100000,8,FALSE)</f>
        <v/>
      </c>
      <c r="I1387" s="3">
        <f>+VLOOKUP($A1387,MAGAZZINO!$B$2:$M$100000,9,FALSE)</f>
        <v/>
      </c>
      <c r="J1387" s="3">
        <f>+VLOOKUP($A1387,MAGAZZINO!$B$2:$M$100000,10,FALSE)</f>
        <v/>
      </c>
      <c r="K1387" s="3">
        <f>+VLOOKUP($A1387,MAGAZZINO!$B$2:$M$100000,11,FALSE)</f>
        <v/>
      </c>
      <c r="L1387" s="5">
        <f>+VLOOKUP($A1387,MAGAZZINO!$B$2:$M$100000,12,FALSE)</f>
        <v/>
      </c>
      <c r="M1387" s="47" t="n"/>
      <c r="N1387" s="88" t="n">
        <v>45873</v>
      </c>
      <c r="O1387" s="156" t="inlineStr">
        <is>
          <t>BIN HUMAID NATIONAL TRADING CO. (ARABIA SAUDITA)</t>
        </is>
      </c>
      <c r="P1387" s="152" t="inlineStr">
        <is>
          <t xml:space="preserve">  IMPORT LICENSE N. 182480  (END USER CERTIFICATE)                                                                      AUT. ESPORTAZIONE MULTIPLA N. 6B/2025/2M RILASCIATA IL 26/05/2025                        (LICENZA DI SCARICO N. 6B/2025/2S RILASCIATA IL 30/07/2025)</t>
        </is>
      </c>
      <c r="Q1387" s="150" t="n"/>
      <c r="R1387" s="150" t="n"/>
      <c r="S1387" s="153" t="n"/>
    </row>
    <row r="1388" ht="36" customHeight="1">
      <c r="A1388" s="46" t="n">
        <v>3718</v>
      </c>
      <c r="B1388" s="4">
        <f>+VLOOKUP($A1388,MAGAZZINO!$B$2:$M$100000,2,FALSE)</f>
        <v/>
      </c>
      <c r="C1388" s="29">
        <f>+VLOOKUP($A1388,MAGAZZINO!$B$2:$M$100000,3,FALSE)</f>
        <v/>
      </c>
      <c r="D1388" s="3">
        <f>+VLOOKUP($A1388,MAGAZZINO!$B$2:$M$100000,4,FALSE)</f>
        <v/>
      </c>
      <c r="E1388" s="3">
        <f>+VLOOKUP($A1388,MAGAZZINO!$B$2:$M$100000,5,FALSE)</f>
        <v/>
      </c>
      <c r="F1388" s="3">
        <f>+VLOOKUP($A1388,MAGAZZINO!$B$2:$M$100000,6,FALSE)</f>
        <v/>
      </c>
      <c r="G1388" s="3">
        <f>+VLOOKUP($A1388,MAGAZZINO!$B$2:$M$100000,7,FALSE)</f>
        <v/>
      </c>
      <c r="H1388" s="3">
        <f>+VLOOKUP($A1388,MAGAZZINO!$B$2:$M$100000,8,FALSE)</f>
        <v/>
      </c>
      <c r="I1388" s="3">
        <f>+VLOOKUP($A1388,MAGAZZINO!$B$2:$M$100000,9,FALSE)</f>
        <v/>
      </c>
      <c r="J1388" s="3">
        <f>+VLOOKUP($A1388,MAGAZZINO!$B$2:$M$100000,10,FALSE)</f>
        <v/>
      </c>
      <c r="K1388" s="3">
        <f>+VLOOKUP($A1388,MAGAZZINO!$B$2:$M$100000,11,FALSE)</f>
        <v/>
      </c>
      <c r="L1388" s="5">
        <f>+VLOOKUP($A1388,MAGAZZINO!$B$2:$M$100000,12,FALSE)</f>
        <v/>
      </c>
      <c r="M1388" s="47" t="n"/>
      <c r="N1388" s="88" t="n">
        <v>45873</v>
      </c>
      <c r="O1388" s="156" t="inlineStr">
        <is>
          <t>BIN HUMAID NATIONAL TRADING CO. (ARABIA SAUDITA)</t>
        </is>
      </c>
      <c r="P1388" s="152" t="inlineStr">
        <is>
          <t xml:space="preserve">  IMPORT LICENSE N. 182480  (END USER CERTIFICATE)                                                                      AUT. ESPORTAZIONE MULTIPLA N. 6B/2025/2M RILASCIATA IL 26/05/2025                        (LICENZA DI SCARICO N. 6B/2025/2S RILASCIATA IL 30/07/2025)</t>
        </is>
      </c>
      <c r="Q1388" s="150" t="n"/>
      <c r="R1388" s="150" t="n"/>
      <c r="S1388" s="153" t="n"/>
    </row>
    <row r="1389" ht="36" customHeight="1">
      <c r="A1389" s="46" t="n">
        <v>3719</v>
      </c>
      <c r="B1389" s="4">
        <f>+VLOOKUP($A1389,MAGAZZINO!$B$2:$M$100000,2,FALSE)</f>
        <v/>
      </c>
      <c r="C1389" s="29">
        <f>+VLOOKUP($A1389,MAGAZZINO!$B$2:$M$100000,3,FALSE)</f>
        <v/>
      </c>
      <c r="D1389" s="3">
        <f>+VLOOKUP($A1389,MAGAZZINO!$B$2:$M$100000,4,FALSE)</f>
        <v/>
      </c>
      <c r="E1389" s="3">
        <f>+VLOOKUP($A1389,MAGAZZINO!$B$2:$M$100000,5,FALSE)</f>
        <v/>
      </c>
      <c r="F1389" s="3">
        <f>+VLOOKUP($A1389,MAGAZZINO!$B$2:$M$100000,6,FALSE)</f>
        <v/>
      </c>
      <c r="G1389" s="3">
        <f>+VLOOKUP($A1389,MAGAZZINO!$B$2:$M$100000,7,FALSE)</f>
        <v/>
      </c>
      <c r="H1389" s="3">
        <f>+VLOOKUP($A1389,MAGAZZINO!$B$2:$M$100000,8,FALSE)</f>
        <v/>
      </c>
      <c r="I1389" s="3">
        <f>+VLOOKUP($A1389,MAGAZZINO!$B$2:$M$100000,9,FALSE)</f>
        <v/>
      </c>
      <c r="J1389" s="3">
        <f>+VLOOKUP($A1389,MAGAZZINO!$B$2:$M$100000,10,FALSE)</f>
        <v/>
      </c>
      <c r="K1389" s="3">
        <f>+VLOOKUP($A1389,MAGAZZINO!$B$2:$M$100000,11,FALSE)</f>
        <v/>
      </c>
      <c r="L1389" s="5">
        <f>+VLOOKUP($A1389,MAGAZZINO!$B$2:$M$100000,12,FALSE)</f>
        <v/>
      </c>
      <c r="M1389" s="47" t="n"/>
      <c r="N1389" s="88" t="n">
        <v>45873</v>
      </c>
      <c r="O1389" s="156" t="inlineStr">
        <is>
          <t>BIN HUMAID NATIONAL TRADING CO. (ARABIA SAUDITA)</t>
        </is>
      </c>
      <c r="P1389" s="152" t="inlineStr">
        <is>
          <t xml:space="preserve">  IMPORT LICENSE N. 182480  (END USER CERTIFICATE)                                                                      AUT. ESPORTAZIONE MULTIPLA N. 6B/2025/2M RILASCIATA IL 26/05/2025                        (LICENZA DI SCARICO N. 6B/2025/2S RILASCIATA IL 30/07/2025)</t>
        </is>
      </c>
      <c r="Q1389" s="150" t="n"/>
      <c r="R1389" s="150" t="n"/>
      <c r="S1389" s="153" t="n"/>
    </row>
    <row r="1390" ht="36" customHeight="1">
      <c r="A1390" s="46" t="n">
        <v>3720</v>
      </c>
      <c r="B1390" s="4">
        <f>+VLOOKUP($A1390,MAGAZZINO!$B$2:$M$100000,2,FALSE)</f>
        <v/>
      </c>
      <c r="C1390" s="29">
        <f>+VLOOKUP($A1390,MAGAZZINO!$B$2:$M$100000,3,FALSE)</f>
        <v/>
      </c>
      <c r="D1390" s="3">
        <f>+VLOOKUP($A1390,MAGAZZINO!$B$2:$M$100000,4,FALSE)</f>
        <v/>
      </c>
      <c r="E1390" s="3">
        <f>+VLOOKUP($A1390,MAGAZZINO!$B$2:$M$100000,5,FALSE)</f>
        <v/>
      </c>
      <c r="F1390" s="3">
        <f>+VLOOKUP($A1390,MAGAZZINO!$B$2:$M$100000,6,FALSE)</f>
        <v/>
      </c>
      <c r="G1390" s="3">
        <f>+VLOOKUP($A1390,MAGAZZINO!$B$2:$M$100000,7,FALSE)</f>
        <v/>
      </c>
      <c r="H1390" s="3">
        <f>+VLOOKUP($A1390,MAGAZZINO!$B$2:$M$100000,8,FALSE)</f>
        <v/>
      </c>
      <c r="I1390" s="3">
        <f>+VLOOKUP($A1390,MAGAZZINO!$B$2:$M$100000,9,FALSE)</f>
        <v/>
      </c>
      <c r="J1390" s="3">
        <f>+VLOOKUP($A1390,MAGAZZINO!$B$2:$M$100000,10,FALSE)</f>
        <v/>
      </c>
      <c r="K1390" s="3">
        <f>+VLOOKUP($A1390,MAGAZZINO!$B$2:$M$100000,11,FALSE)</f>
        <v/>
      </c>
      <c r="L1390" s="5">
        <f>+VLOOKUP($A1390,MAGAZZINO!$B$2:$M$100000,12,FALSE)</f>
        <v/>
      </c>
      <c r="M1390" s="47" t="n"/>
      <c r="N1390" s="88" t="n">
        <v>45873</v>
      </c>
      <c r="O1390" s="156" t="inlineStr">
        <is>
          <t>BIN HUMAID NATIONAL TRADING CO. (ARABIA SAUDITA)</t>
        </is>
      </c>
      <c r="P1390" s="152" t="inlineStr">
        <is>
          <t xml:space="preserve">  IMPORT LICENSE N. 182480  (END USER CERTIFICATE)                                                                      AUT. ESPORTAZIONE MULTIPLA N. 6B/2025/2M RILASCIATA IL 26/05/2025                        (LICENZA DI SCARICO N. 6B/2025/2S RILASCIATA IL 30/07/2025)</t>
        </is>
      </c>
      <c r="Q1390" s="150" t="n"/>
      <c r="R1390" s="150" t="n"/>
      <c r="S1390" s="153" t="n"/>
    </row>
    <row r="1391" ht="36" customHeight="1">
      <c r="A1391" s="46" t="n">
        <v>3721</v>
      </c>
      <c r="B1391" s="4">
        <f>+VLOOKUP($A1391,MAGAZZINO!$B$2:$M$100000,2,FALSE)</f>
        <v/>
      </c>
      <c r="C1391" s="29">
        <f>+VLOOKUP($A1391,MAGAZZINO!$B$2:$M$100000,3,FALSE)</f>
        <v/>
      </c>
      <c r="D1391" s="3">
        <f>+VLOOKUP($A1391,MAGAZZINO!$B$2:$M$100000,4,FALSE)</f>
        <v/>
      </c>
      <c r="E1391" s="3">
        <f>+VLOOKUP($A1391,MAGAZZINO!$B$2:$M$100000,5,FALSE)</f>
        <v/>
      </c>
      <c r="F1391" s="3">
        <f>+VLOOKUP($A1391,MAGAZZINO!$B$2:$M$100000,6,FALSE)</f>
        <v/>
      </c>
      <c r="G1391" s="3">
        <f>+VLOOKUP($A1391,MAGAZZINO!$B$2:$M$100000,7,FALSE)</f>
        <v/>
      </c>
      <c r="H1391" s="3">
        <f>+VLOOKUP($A1391,MAGAZZINO!$B$2:$M$100000,8,FALSE)</f>
        <v/>
      </c>
      <c r="I1391" s="3">
        <f>+VLOOKUP($A1391,MAGAZZINO!$B$2:$M$100000,9,FALSE)</f>
        <v/>
      </c>
      <c r="J1391" s="3">
        <f>+VLOOKUP($A1391,MAGAZZINO!$B$2:$M$100000,10,FALSE)</f>
        <v/>
      </c>
      <c r="K1391" s="3">
        <f>+VLOOKUP($A1391,MAGAZZINO!$B$2:$M$100000,11,FALSE)</f>
        <v/>
      </c>
      <c r="L1391" s="5">
        <f>+VLOOKUP($A1391,MAGAZZINO!$B$2:$M$100000,12,FALSE)</f>
        <v/>
      </c>
      <c r="M1391" s="47" t="n"/>
      <c r="N1391" s="88" t="n">
        <v>45873</v>
      </c>
      <c r="O1391" s="156" t="inlineStr">
        <is>
          <t>BIN HUMAID NATIONAL TRADING CO. (ARABIA SAUDITA)</t>
        </is>
      </c>
      <c r="P1391" s="152" t="inlineStr">
        <is>
          <t xml:space="preserve">  IMPORT LICENSE N. 182480  (END USER CERTIFICATE)                                                                      AUT. ESPORTAZIONE MULTIPLA N. 6B/2025/2M RILASCIATA IL 26/05/2025                        (LICENZA DI SCARICO N. 6B/2025/2S RILASCIATA IL 30/07/2025)</t>
        </is>
      </c>
      <c r="Q1391" s="150" t="n"/>
      <c r="R1391" s="150" t="n"/>
      <c r="S1391" s="153" t="n"/>
    </row>
    <row r="1392" ht="36" customHeight="1">
      <c r="A1392" s="46" t="n">
        <v>3722</v>
      </c>
      <c r="B1392" s="4">
        <f>+VLOOKUP($A1392,MAGAZZINO!$B$2:$M$100000,2,FALSE)</f>
        <v/>
      </c>
      <c r="C1392" s="29">
        <f>+VLOOKUP($A1392,MAGAZZINO!$B$2:$M$100000,3,FALSE)</f>
        <v/>
      </c>
      <c r="D1392" s="3">
        <f>+VLOOKUP($A1392,MAGAZZINO!$B$2:$M$100000,4,FALSE)</f>
        <v/>
      </c>
      <c r="E1392" s="3">
        <f>+VLOOKUP($A1392,MAGAZZINO!$B$2:$M$100000,5,FALSE)</f>
        <v/>
      </c>
      <c r="F1392" s="3">
        <f>+VLOOKUP($A1392,MAGAZZINO!$B$2:$M$100000,6,FALSE)</f>
        <v/>
      </c>
      <c r="G1392" s="3">
        <f>+VLOOKUP($A1392,MAGAZZINO!$B$2:$M$100000,7,FALSE)</f>
        <v/>
      </c>
      <c r="H1392" s="3">
        <f>+VLOOKUP($A1392,MAGAZZINO!$B$2:$M$100000,8,FALSE)</f>
        <v/>
      </c>
      <c r="I1392" s="3">
        <f>+VLOOKUP($A1392,MAGAZZINO!$B$2:$M$100000,9,FALSE)</f>
        <v/>
      </c>
      <c r="J1392" s="3">
        <f>+VLOOKUP($A1392,MAGAZZINO!$B$2:$M$100000,10,FALSE)</f>
        <v/>
      </c>
      <c r="K1392" s="3">
        <f>+VLOOKUP($A1392,MAGAZZINO!$B$2:$M$100000,11,FALSE)</f>
        <v/>
      </c>
      <c r="L1392" s="5">
        <f>+VLOOKUP($A1392,MAGAZZINO!$B$2:$M$100000,12,FALSE)</f>
        <v/>
      </c>
      <c r="M1392" s="47" t="n"/>
      <c r="N1392" s="88" t="n">
        <v>45873</v>
      </c>
      <c r="O1392" s="156" t="inlineStr">
        <is>
          <t>BIN HUMAID NATIONAL TRADING CO. (ARABIA SAUDITA)</t>
        </is>
      </c>
      <c r="P1392" s="152" t="inlineStr">
        <is>
          <t xml:space="preserve">  IMPORT LICENSE N. 182480  (END USER CERTIFICATE)                                                                      AUT. ESPORTAZIONE MULTIPLA N. 6B/2025/2M RILASCIATA IL 26/05/2025                        (LICENZA DI SCARICO N. 6B/2025/2S RILASCIATA IL 30/07/2025)</t>
        </is>
      </c>
      <c r="Q1392" s="150" t="n"/>
      <c r="R1392" s="150" t="n"/>
      <c r="S1392" s="153" t="n"/>
    </row>
    <row r="1393" ht="36" customHeight="1">
      <c r="A1393" s="46" t="n">
        <v>3723</v>
      </c>
      <c r="B1393" s="4">
        <f>+VLOOKUP($A1393,MAGAZZINO!$B$2:$M$100000,2,FALSE)</f>
        <v/>
      </c>
      <c r="C1393" s="29">
        <f>+VLOOKUP($A1393,MAGAZZINO!$B$2:$M$100000,3,FALSE)</f>
        <v/>
      </c>
      <c r="D1393" s="3">
        <f>+VLOOKUP($A1393,MAGAZZINO!$B$2:$M$100000,4,FALSE)</f>
        <v/>
      </c>
      <c r="E1393" s="3">
        <f>+VLOOKUP($A1393,MAGAZZINO!$B$2:$M$100000,5,FALSE)</f>
        <v/>
      </c>
      <c r="F1393" s="3">
        <f>+VLOOKUP($A1393,MAGAZZINO!$B$2:$M$100000,6,FALSE)</f>
        <v/>
      </c>
      <c r="G1393" s="3">
        <f>+VLOOKUP($A1393,MAGAZZINO!$B$2:$M$100000,7,FALSE)</f>
        <v/>
      </c>
      <c r="H1393" s="3">
        <f>+VLOOKUP($A1393,MAGAZZINO!$B$2:$M$100000,8,FALSE)</f>
        <v/>
      </c>
      <c r="I1393" s="3">
        <f>+VLOOKUP($A1393,MAGAZZINO!$B$2:$M$100000,9,FALSE)</f>
        <v/>
      </c>
      <c r="J1393" s="3">
        <f>+VLOOKUP($A1393,MAGAZZINO!$B$2:$M$100000,10,FALSE)</f>
        <v/>
      </c>
      <c r="K1393" s="3">
        <f>+VLOOKUP($A1393,MAGAZZINO!$B$2:$M$100000,11,FALSE)</f>
        <v/>
      </c>
      <c r="L1393" s="5">
        <f>+VLOOKUP($A1393,MAGAZZINO!$B$2:$M$100000,12,FALSE)</f>
        <v/>
      </c>
      <c r="M1393" s="47" t="n"/>
      <c r="N1393" s="88" t="n">
        <v>45873</v>
      </c>
      <c r="O1393" s="156" t="inlineStr">
        <is>
          <t>BIN HUMAID NATIONAL TRADING CO. (ARABIA SAUDITA)</t>
        </is>
      </c>
      <c r="P1393" s="152" t="inlineStr">
        <is>
          <t xml:space="preserve">  IMPORT LICENSE N. 182480  (END USER CERTIFICATE)                                                                      AUT. ESPORTAZIONE MULTIPLA N. 6B/2025/2M RILASCIATA IL 26/05/2025                        (LICENZA DI SCARICO N. 6B/2025/2S RILASCIATA IL 30/07/2025)</t>
        </is>
      </c>
      <c r="Q1393" s="150" t="n"/>
      <c r="R1393" s="150" t="n"/>
      <c r="S1393" s="153" t="n"/>
    </row>
    <row r="1394" ht="36" customHeight="1">
      <c r="A1394" s="46" t="n">
        <v>3724</v>
      </c>
      <c r="B1394" s="4">
        <f>+VLOOKUP($A1394,MAGAZZINO!$B$2:$M$100000,2,FALSE)</f>
        <v/>
      </c>
      <c r="C1394" s="29">
        <f>+VLOOKUP($A1394,MAGAZZINO!$B$2:$M$100000,3,FALSE)</f>
        <v/>
      </c>
      <c r="D1394" s="3">
        <f>+VLOOKUP($A1394,MAGAZZINO!$B$2:$M$100000,4,FALSE)</f>
        <v/>
      </c>
      <c r="E1394" s="3">
        <f>+VLOOKUP($A1394,MAGAZZINO!$B$2:$M$100000,5,FALSE)</f>
        <v/>
      </c>
      <c r="F1394" s="3">
        <f>+VLOOKUP($A1394,MAGAZZINO!$B$2:$M$100000,6,FALSE)</f>
        <v/>
      </c>
      <c r="G1394" s="3">
        <f>+VLOOKUP($A1394,MAGAZZINO!$B$2:$M$100000,7,FALSE)</f>
        <v/>
      </c>
      <c r="H1394" s="3">
        <f>+VLOOKUP($A1394,MAGAZZINO!$B$2:$M$100000,8,FALSE)</f>
        <v/>
      </c>
      <c r="I1394" s="3">
        <f>+VLOOKUP($A1394,MAGAZZINO!$B$2:$M$100000,9,FALSE)</f>
        <v/>
      </c>
      <c r="J1394" s="3">
        <f>+VLOOKUP($A1394,MAGAZZINO!$B$2:$M$100000,10,FALSE)</f>
        <v/>
      </c>
      <c r="K1394" s="3">
        <f>+VLOOKUP($A1394,MAGAZZINO!$B$2:$M$100000,11,FALSE)</f>
        <v/>
      </c>
      <c r="L1394" s="5">
        <f>+VLOOKUP($A1394,MAGAZZINO!$B$2:$M$100000,12,FALSE)</f>
        <v/>
      </c>
      <c r="M1394" s="47" t="n"/>
      <c r="N1394" s="88" t="n">
        <v>45873</v>
      </c>
      <c r="O1394" s="156" t="inlineStr">
        <is>
          <t>BIN HUMAID NATIONAL TRADING CO. (ARABIA SAUDITA)</t>
        </is>
      </c>
      <c r="P1394" s="152" t="inlineStr">
        <is>
          <t xml:space="preserve">  IMPORT LICENSE N. 182480  (END USER CERTIFICATE)                                                                      AUT. ESPORTAZIONE MULTIPLA N. 6B/2025/2M RILASCIATA IL 26/05/2025                        (LICENZA DI SCARICO N. 6B/2025/2S RILASCIATA IL 30/07/2025)</t>
        </is>
      </c>
      <c r="Q1394" s="150" t="n"/>
      <c r="R1394" s="150" t="n"/>
      <c r="S1394" s="153" t="n"/>
    </row>
    <row r="1395" ht="36" customHeight="1">
      <c r="A1395" s="46" t="n">
        <v>3725</v>
      </c>
      <c r="B1395" s="4">
        <f>+VLOOKUP($A1395,MAGAZZINO!$B$2:$M$100000,2,FALSE)</f>
        <v/>
      </c>
      <c r="C1395" s="29">
        <f>+VLOOKUP($A1395,MAGAZZINO!$B$2:$M$100000,3,FALSE)</f>
        <v/>
      </c>
      <c r="D1395" s="3">
        <f>+VLOOKUP($A1395,MAGAZZINO!$B$2:$M$100000,4,FALSE)</f>
        <v/>
      </c>
      <c r="E1395" s="3">
        <f>+VLOOKUP($A1395,MAGAZZINO!$B$2:$M$100000,5,FALSE)</f>
        <v/>
      </c>
      <c r="F1395" s="3">
        <f>+VLOOKUP($A1395,MAGAZZINO!$B$2:$M$100000,6,FALSE)</f>
        <v/>
      </c>
      <c r="G1395" s="3">
        <f>+VLOOKUP($A1395,MAGAZZINO!$B$2:$M$100000,7,FALSE)</f>
        <v/>
      </c>
      <c r="H1395" s="3">
        <f>+VLOOKUP($A1395,MAGAZZINO!$B$2:$M$100000,8,FALSE)</f>
        <v/>
      </c>
      <c r="I1395" s="3">
        <f>+VLOOKUP($A1395,MAGAZZINO!$B$2:$M$100000,9,FALSE)</f>
        <v/>
      </c>
      <c r="J1395" s="3">
        <f>+VLOOKUP($A1395,MAGAZZINO!$B$2:$M$100000,10,FALSE)</f>
        <v/>
      </c>
      <c r="K1395" s="3">
        <f>+VLOOKUP($A1395,MAGAZZINO!$B$2:$M$100000,11,FALSE)</f>
        <v/>
      </c>
      <c r="L1395" s="5">
        <f>+VLOOKUP($A1395,MAGAZZINO!$B$2:$M$100000,12,FALSE)</f>
        <v/>
      </c>
      <c r="M1395" s="47" t="n"/>
      <c r="N1395" s="88" t="n">
        <v>45873</v>
      </c>
      <c r="O1395" s="156" t="inlineStr">
        <is>
          <t>BIN HUMAID NATIONAL TRADING CO. (ARABIA SAUDITA)</t>
        </is>
      </c>
      <c r="P1395" s="152" t="inlineStr">
        <is>
          <t xml:space="preserve">  IMPORT LICENSE N. 182480  (END USER CERTIFICATE)                                                                      AUT. ESPORTAZIONE MULTIPLA N. 6B/2025/2M RILASCIATA IL 26/05/2025                        (LICENZA DI SCARICO N. 6B/2025/2S RILASCIATA IL 30/07/2025)</t>
        </is>
      </c>
      <c r="Q1395" s="150" t="n"/>
      <c r="R1395" s="150" t="n"/>
      <c r="S1395" s="153" t="n"/>
    </row>
    <row r="1396" ht="36" customHeight="1">
      <c r="A1396" s="46" t="n">
        <v>3726</v>
      </c>
      <c r="B1396" s="4">
        <f>+VLOOKUP($A1396,MAGAZZINO!$B$2:$M$100000,2,FALSE)</f>
        <v/>
      </c>
      <c r="C1396" s="29">
        <f>+VLOOKUP($A1396,MAGAZZINO!$B$2:$M$100000,3,FALSE)</f>
        <v/>
      </c>
      <c r="D1396" s="3">
        <f>+VLOOKUP($A1396,MAGAZZINO!$B$2:$M$100000,4,FALSE)</f>
        <v/>
      </c>
      <c r="E1396" s="3">
        <f>+VLOOKUP($A1396,MAGAZZINO!$B$2:$M$100000,5,FALSE)</f>
        <v/>
      </c>
      <c r="F1396" s="3">
        <f>+VLOOKUP($A1396,MAGAZZINO!$B$2:$M$100000,6,FALSE)</f>
        <v/>
      </c>
      <c r="G1396" s="3">
        <f>+VLOOKUP($A1396,MAGAZZINO!$B$2:$M$100000,7,FALSE)</f>
        <v/>
      </c>
      <c r="H1396" s="3">
        <f>+VLOOKUP($A1396,MAGAZZINO!$B$2:$M$100000,8,FALSE)</f>
        <v/>
      </c>
      <c r="I1396" s="3">
        <f>+VLOOKUP($A1396,MAGAZZINO!$B$2:$M$100000,9,FALSE)</f>
        <v/>
      </c>
      <c r="J1396" s="3">
        <f>+VLOOKUP($A1396,MAGAZZINO!$B$2:$M$100000,10,FALSE)</f>
        <v/>
      </c>
      <c r="K1396" s="3">
        <f>+VLOOKUP($A1396,MAGAZZINO!$B$2:$M$100000,11,FALSE)</f>
        <v/>
      </c>
      <c r="L1396" s="5">
        <f>+VLOOKUP($A1396,MAGAZZINO!$B$2:$M$100000,12,FALSE)</f>
        <v/>
      </c>
      <c r="M1396" s="47" t="n"/>
      <c r="N1396" s="88" t="n">
        <v>45873</v>
      </c>
      <c r="O1396" s="156" t="inlineStr">
        <is>
          <t>BIN HUMAID NATIONAL TRADING CO. (ARABIA SAUDITA)</t>
        </is>
      </c>
      <c r="P1396" s="152" t="inlineStr">
        <is>
          <t xml:space="preserve">  IMPORT LICENSE N. 182480  (END USER CERTIFICATE)                                                                      AUT. ESPORTAZIONE MULTIPLA N. 6B/2025/2M RILASCIATA IL 26/05/2025                        (LICENZA DI SCARICO N. 6B/2025/2S RILASCIATA IL 30/07/2025)</t>
        </is>
      </c>
      <c r="Q1396" s="150" t="n"/>
      <c r="R1396" s="150" t="n"/>
      <c r="S1396" s="153" t="n"/>
    </row>
    <row r="1397" ht="36" customHeight="1">
      <c r="A1397" s="46" t="n">
        <v>3727</v>
      </c>
      <c r="B1397" s="4">
        <f>+VLOOKUP($A1397,MAGAZZINO!$B$2:$M$100000,2,FALSE)</f>
        <v/>
      </c>
      <c r="C1397" s="29">
        <f>+VLOOKUP($A1397,MAGAZZINO!$B$2:$M$100000,3,FALSE)</f>
        <v/>
      </c>
      <c r="D1397" s="3">
        <f>+VLOOKUP($A1397,MAGAZZINO!$B$2:$M$100000,4,FALSE)</f>
        <v/>
      </c>
      <c r="E1397" s="3">
        <f>+VLOOKUP($A1397,MAGAZZINO!$B$2:$M$100000,5,FALSE)</f>
        <v/>
      </c>
      <c r="F1397" s="3">
        <f>+VLOOKUP($A1397,MAGAZZINO!$B$2:$M$100000,6,FALSE)</f>
        <v/>
      </c>
      <c r="G1397" s="3">
        <f>+VLOOKUP($A1397,MAGAZZINO!$B$2:$M$100000,7,FALSE)</f>
        <v/>
      </c>
      <c r="H1397" s="3">
        <f>+VLOOKUP($A1397,MAGAZZINO!$B$2:$M$100000,8,FALSE)</f>
        <v/>
      </c>
      <c r="I1397" s="3">
        <f>+VLOOKUP($A1397,MAGAZZINO!$B$2:$M$100000,9,FALSE)</f>
        <v/>
      </c>
      <c r="J1397" s="3">
        <f>+VLOOKUP($A1397,MAGAZZINO!$B$2:$M$100000,10,FALSE)</f>
        <v/>
      </c>
      <c r="K1397" s="3">
        <f>+VLOOKUP($A1397,MAGAZZINO!$B$2:$M$100000,11,FALSE)</f>
        <v/>
      </c>
      <c r="L1397" s="5">
        <f>+VLOOKUP($A1397,MAGAZZINO!$B$2:$M$100000,12,FALSE)</f>
        <v/>
      </c>
      <c r="M1397" s="47" t="n"/>
      <c r="N1397" s="88" t="n">
        <v>45873</v>
      </c>
      <c r="O1397" s="156" t="inlineStr">
        <is>
          <t>BIN HUMAID NATIONAL TRADING CO. (ARABIA SAUDITA)</t>
        </is>
      </c>
      <c r="P1397" s="152" t="inlineStr">
        <is>
          <t xml:space="preserve">  IMPORT LICENSE N. 182480  (END USER CERTIFICATE)                                                                      AUT. ESPORTAZIONE MULTIPLA N. 6B/2025/2M RILASCIATA IL 26/05/2025                        (LICENZA DI SCARICO N. 6B/2025/2S RILASCIATA IL 30/07/2025)</t>
        </is>
      </c>
      <c r="Q1397" s="150" t="n"/>
      <c r="R1397" s="150" t="n"/>
      <c r="S1397" s="153" t="n"/>
    </row>
    <row r="1398" ht="36" customHeight="1">
      <c r="A1398" s="46" t="n">
        <v>3728</v>
      </c>
      <c r="B1398" s="4">
        <f>+VLOOKUP($A1398,MAGAZZINO!$B$2:$M$100000,2,FALSE)</f>
        <v/>
      </c>
      <c r="C1398" s="29">
        <f>+VLOOKUP($A1398,MAGAZZINO!$B$2:$M$100000,3,FALSE)</f>
        <v/>
      </c>
      <c r="D1398" s="3">
        <f>+VLOOKUP($A1398,MAGAZZINO!$B$2:$M$100000,4,FALSE)</f>
        <v/>
      </c>
      <c r="E1398" s="3">
        <f>+VLOOKUP($A1398,MAGAZZINO!$B$2:$M$100000,5,FALSE)</f>
        <v/>
      </c>
      <c r="F1398" s="3">
        <f>+VLOOKUP($A1398,MAGAZZINO!$B$2:$M$100000,6,FALSE)</f>
        <v/>
      </c>
      <c r="G1398" s="3">
        <f>+VLOOKUP($A1398,MAGAZZINO!$B$2:$M$100000,7,FALSE)</f>
        <v/>
      </c>
      <c r="H1398" s="3">
        <f>+VLOOKUP($A1398,MAGAZZINO!$B$2:$M$100000,8,FALSE)</f>
        <v/>
      </c>
      <c r="I1398" s="3">
        <f>+VLOOKUP($A1398,MAGAZZINO!$B$2:$M$100000,9,FALSE)</f>
        <v/>
      </c>
      <c r="J1398" s="3">
        <f>+VLOOKUP($A1398,MAGAZZINO!$B$2:$M$100000,10,FALSE)</f>
        <v/>
      </c>
      <c r="K1398" s="3">
        <f>+VLOOKUP($A1398,MAGAZZINO!$B$2:$M$100000,11,FALSE)</f>
        <v/>
      </c>
      <c r="L1398" s="5">
        <f>+VLOOKUP($A1398,MAGAZZINO!$B$2:$M$100000,12,FALSE)</f>
        <v/>
      </c>
      <c r="M1398" s="47" t="n"/>
      <c r="N1398" s="88" t="n">
        <v>45873</v>
      </c>
      <c r="O1398" s="156" t="inlineStr">
        <is>
          <t>BIN HUMAID NATIONAL TRADING CO. (ARABIA SAUDITA)</t>
        </is>
      </c>
      <c r="P1398" s="152" t="inlineStr">
        <is>
          <t xml:space="preserve">  IMPORT LICENSE N. 182480  (END USER CERTIFICATE)                                                                      AUT. ESPORTAZIONE MULTIPLA N. 6B/2025/2M RILASCIATA IL 26/05/2025                        (LICENZA DI SCARICO N. 6B/2025/2S RILASCIATA IL 30/07/2025)</t>
        </is>
      </c>
      <c r="Q1398" s="150" t="n"/>
      <c r="R1398" s="150" t="n"/>
      <c r="S1398" s="153" t="n"/>
    </row>
    <row r="1399" ht="36" customHeight="1">
      <c r="A1399" s="46" t="n">
        <v>3729</v>
      </c>
      <c r="B1399" s="4">
        <f>+VLOOKUP($A1399,MAGAZZINO!$B$2:$M$100000,2,FALSE)</f>
        <v/>
      </c>
      <c r="C1399" s="29">
        <f>+VLOOKUP($A1399,MAGAZZINO!$B$2:$M$100000,3,FALSE)</f>
        <v/>
      </c>
      <c r="D1399" s="3">
        <f>+VLOOKUP($A1399,MAGAZZINO!$B$2:$M$100000,4,FALSE)</f>
        <v/>
      </c>
      <c r="E1399" s="3">
        <f>+VLOOKUP($A1399,MAGAZZINO!$B$2:$M$100000,5,FALSE)</f>
        <v/>
      </c>
      <c r="F1399" s="3">
        <f>+VLOOKUP($A1399,MAGAZZINO!$B$2:$M$100000,6,FALSE)</f>
        <v/>
      </c>
      <c r="G1399" s="3">
        <f>+VLOOKUP($A1399,MAGAZZINO!$B$2:$M$100000,7,FALSE)</f>
        <v/>
      </c>
      <c r="H1399" s="3">
        <f>+VLOOKUP($A1399,MAGAZZINO!$B$2:$M$100000,8,FALSE)</f>
        <v/>
      </c>
      <c r="I1399" s="3">
        <f>+VLOOKUP($A1399,MAGAZZINO!$B$2:$M$100000,9,FALSE)</f>
        <v/>
      </c>
      <c r="J1399" s="3">
        <f>+VLOOKUP($A1399,MAGAZZINO!$B$2:$M$100000,10,FALSE)</f>
        <v/>
      </c>
      <c r="K1399" s="3">
        <f>+VLOOKUP($A1399,MAGAZZINO!$B$2:$M$100000,11,FALSE)</f>
        <v/>
      </c>
      <c r="L1399" s="5">
        <f>+VLOOKUP($A1399,MAGAZZINO!$B$2:$M$100000,12,FALSE)</f>
        <v/>
      </c>
      <c r="M1399" s="47" t="n"/>
      <c r="N1399" s="88" t="n">
        <v>45873</v>
      </c>
      <c r="O1399" s="156" t="inlineStr">
        <is>
          <t>BIN HUMAID NATIONAL TRADING CO. (ARABIA SAUDITA)</t>
        </is>
      </c>
      <c r="P1399" s="152" t="inlineStr">
        <is>
          <t xml:space="preserve">  IMPORT LICENSE N. 182480  (END USER CERTIFICATE)                                                                      AUT. ESPORTAZIONE MULTIPLA N. 6B/2025/2M RILASCIATA IL 26/05/2025                        (LICENZA DI SCARICO N. 6B/2025/2S RILASCIATA IL 30/07/2025)</t>
        </is>
      </c>
      <c r="Q1399" s="150" t="n"/>
      <c r="R1399" s="150" t="n"/>
      <c r="S1399" s="153" t="n"/>
    </row>
    <row r="1400" ht="36" customHeight="1">
      <c r="A1400" s="46" t="n">
        <v>3730</v>
      </c>
      <c r="B1400" s="4">
        <f>+VLOOKUP($A1400,MAGAZZINO!$B$2:$M$100000,2,FALSE)</f>
        <v/>
      </c>
      <c r="C1400" s="29">
        <f>+VLOOKUP($A1400,MAGAZZINO!$B$2:$M$100000,3,FALSE)</f>
        <v/>
      </c>
      <c r="D1400" s="3">
        <f>+VLOOKUP($A1400,MAGAZZINO!$B$2:$M$100000,4,FALSE)</f>
        <v/>
      </c>
      <c r="E1400" s="3">
        <f>+VLOOKUP($A1400,MAGAZZINO!$B$2:$M$100000,5,FALSE)</f>
        <v/>
      </c>
      <c r="F1400" s="3">
        <f>+VLOOKUP($A1400,MAGAZZINO!$B$2:$M$100000,6,FALSE)</f>
        <v/>
      </c>
      <c r="G1400" s="3">
        <f>+VLOOKUP($A1400,MAGAZZINO!$B$2:$M$100000,7,FALSE)</f>
        <v/>
      </c>
      <c r="H1400" s="3">
        <f>+VLOOKUP($A1400,MAGAZZINO!$B$2:$M$100000,8,FALSE)</f>
        <v/>
      </c>
      <c r="I1400" s="3">
        <f>+VLOOKUP($A1400,MAGAZZINO!$B$2:$M$100000,9,FALSE)</f>
        <v/>
      </c>
      <c r="J1400" s="3">
        <f>+VLOOKUP($A1400,MAGAZZINO!$B$2:$M$100000,10,FALSE)</f>
        <v/>
      </c>
      <c r="K1400" s="3">
        <f>+VLOOKUP($A1400,MAGAZZINO!$B$2:$M$100000,11,FALSE)</f>
        <v/>
      </c>
      <c r="L1400" s="5">
        <f>+VLOOKUP($A1400,MAGAZZINO!$B$2:$M$100000,12,FALSE)</f>
        <v/>
      </c>
      <c r="M1400" s="47" t="n"/>
      <c r="N1400" s="88" t="n">
        <v>45873</v>
      </c>
      <c r="O1400" s="156" t="inlineStr">
        <is>
          <t>BIN HUMAID NATIONAL TRADING CO. (ARABIA SAUDITA)</t>
        </is>
      </c>
      <c r="P1400" s="152" t="inlineStr">
        <is>
          <t xml:space="preserve">  IMPORT LICENSE N. 182480  (END USER CERTIFICATE)                                                                      AUT. ESPORTAZIONE MULTIPLA N. 6B/2025/2M RILASCIATA IL 26/05/2025                        (LICENZA DI SCARICO N. 6B/2025/2S RILASCIATA IL 30/07/2025)</t>
        </is>
      </c>
      <c r="Q1400" s="150" t="n"/>
      <c r="R1400" s="150" t="n"/>
      <c r="S1400" s="153" t="n"/>
    </row>
    <row r="1401" ht="36" customHeight="1">
      <c r="A1401" s="46" t="n">
        <v>3731</v>
      </c>
      <c r="B1401" s="4">
        <f>+VLOOKUP($A1401,MAGAZZINO!$B$2:$M$100000,2,FALSE)</f>
        <v/>
      </c>
      <c r="C1401" s="29">
        <f>+VLOOKUP($A1401,MAGAZZINO!$B$2:$M$100000,3,FALSE)</f>
        <v/>
      </c>
      <c r="D1401" s="3">
        <f>+VLOOKUP($A1401,MAGAZZINO!$B$2:$M$100000,4,FALSE)</f>
        <v/>
      </c>
      <c r="E1401" s="3">
        <f>+VLOOKUP($A1401,MAGAZZINO!$B$2:$M$100000,5,FALSE)</f>
        <v/>
      </c>
      <c r="F1401" s="3">
        <f>+VLOOKUP($A1401,MAGAZZINO!$B$2:$M$100000,6,FALSE)</f>
        <v/>
      </c>
      <c r="G1401" s="3">
        <f>+VLOOKUP($A1401,MAGAZZINO!$B$2:$M$100000,7,FALSE)</f>
        <v/>
      </c>
      <c r="H1401" s="3">
        <f>+VLOOKUP($A1401,MAGAZZINO!$B$2:$M$100000,8,FALSE)</f>
        <v/>
      </c>
      <c r="I1401" s="3">
        <f>+VLOOKUP($A1401,MAGAZZINO!$B$2:$M$100000,9,FALSE)</f>
        <v/>
      </c>
      <c r="J1401" s="3">
        <f>+VLOOKUP($A1401,MAGAZZINO!$B$2:$M$100000,10,FALSE)</f>
        <v/>
      </c>
      <c r="K1401" s="3">
        <f>+VLOOKUP($A1401,MAGAZZINO!$B$2:$M$100000,11,FALSE)</f>
        <v/>
      </c>
      <c r="L1401" s="5">
        <f>+VLOOKUP($A1401,MAGAZZINO!$B$2:$M$100000,12,FALSE)</f>
        <v/>
      </c>
      <c r="M1401" s="47" t="n"/>
      <c r="N1401" s="88" t="n">
        <v>45873</v>
      </c>
      <c r="O1401" s="156" t="inlineStr">
        <is>
          <t>BIN HUMAID NATIONAL TRADING CO. (ARABIA SAUDITA)</t>
        </is>
      </c>
      <c r="P1401" s="152" t="inlineStr">
        <is>
          <t xml:space="preserve">  IMPORT LICENSE N. 182480  (END USER CERTIFICATE)                                                                      AUT. ESPORTAZIONE MULTIPLA N. 6B/2025/2M RILASCIATA IL 26/05/2025                        (LICENZA DI SCARICO N. 6B/2025/2S RILASCIATA IL 30/07/2025)</t>
        </is>
      </c>
      <c r="Q1401" s="150" t="n"/>
      <c r="R1401" s="150" t="n"/>
      <c r="S1401" s="153" t="n"/>
    </row>
    <row r="1402" ht="36" customHeight="1">
      <c r="A1402" s="46" t="n">
        <v>3732</v>
      </c>
      <c r="B1402" s="4">
        <f>+VLOOKUP($A1402,MAGAZZINO!$B$2:$M$100000,2,FALSE)</f>
        <v/>
      </c>
      <c r="C1402" s="29">
        <f>+VLOOKUP($A1402,MAGAZZINO!$B$2:$M$100000,3,FALSE)</f>
        <v/>
      </c>
      <c r="D1402" s="3">
        <f>+VLOOKUP($A1402,MAGAZZINO!$B$2:$M$100000,4,FALSE)</f>
        <v/>
      </c>
      <c r="E1402" s="3">
        <f>+VLOOKUP($A1402,MAGAZZINO!$B$2:$M$100000,5,FALSE)</f>
        <v/>
      </c>
      <c r="F1402" s="3">
        <f>+VLOOKUP($A1402,MAGAZZINO!$B$2:$M$100000,6,FALSE)</f>
        <v/>
      </c>
      <c r="G1402" s="3">
        <f>+VLOOKUP($A1402,MAGAZZINO!$B$2:$M$100000,7,FALSE)</f>
        <v/>
      </c>
      <c r="H1402" s="3">
        <f>+VLOOKUP($A1402,MAGAZZINO!$B$2:$M$100000,8,FALSE)</f>
        <v/>
      </c>
      <c r="I1402" s="3">
        <f>+VLOOKUP($A1402,MAGAZZINO!$B$2:$M$100000,9,FALSE)</f>
        <v/>
      </c>
      <c r="J1402" s="3">
        <f>+VLOOKUP($A1402,MAGAZZINO!$B$2:$M$100000,10,FALSE)</f>
        <v/>
      </c>
      <c r="K1402" s="3">
        <f>+VLOOKUP($A1402,MAGAZZINO!$B$2:$M$100000,11,FALSE)</f>
        <v/>
      </c>
      <c r="L1402" s="5">
        <f>+VLOOKUP($A1402,MAGAZZINO!$B$2:$M$100000,12,FALSE)</f>
        <v/>
      </c>
      <c r="M1402" s="47" t="n"/>
      <c r="N1402" s="88" t="n">
        <v>45873</v>
      </c>
      <c r="O1402" s="156" t="inlineStr">
        <is>
          <t>BIN HUMAID NATIONAL TRADING CO. (ARABIA SAUDITA)</t>
        </is>
      </c>
      <c r="P1402" s="152" t="inlineStr">
        <is>
          <t xml:space="preserve">  IMPORT LICENSE N. 182480  (END USER CERTIFICATE)                                                                      AUT. ESPORTAZIONE MULTIPLA N. 6B/2025/2M RILASCIATA IL 26/05/2025                        (LICENZA DI SCARICO N. 6B/2025/2S RILASCIATA IL 30/07/2025)</t>
        </is>
      </c>
      <c r="Q1402" s="150" t="n"/>
      <c r="R1402" s="150" t="n"/>
      <c r="S1402" s="153" t="n"/>
    </row>
    <row r="1403" ht="36" customHeight="1">
      <c r="A1403" s="46" t="n">
        <v>3733</v>
      </c>
      <c r="B1403" s="4">
        <f>+VLOOKUP($A1403,MAGAZZINO!$B$2:$M$100000,2,FALSE)</f>
        <v/>
      </c>
      <c r="C1403" s="29">
        <f>+VLOOKUP($A1403,MAGAZZINO!$B$2:$M$100000,3,FALSE)</f>
        <v/>
      </c>
      <c r="D1403" s="3">
        <f>+VLOOKUP($A1403,MAGAZZINO!$B$2:$M$100000,4,FALSE)</f>
        <v/>
      </c>
      <c r="E1403" s="3">
        <f>+VLOOKUP($A1403,MAGAZZINO!$B$2:$M$100000,5,FALSE)</f>
        <v/>
      </c>
      <c r="F1403" s="3">
        <f>+VLOOKUP($A1403,MAGAZZINO!$B$2:$M$100000,6,FALSE)</f>
        <v/>
      </c>
      <c r="G1403" s="3">
        <f>+VLOOKUP($A1403,MAGAZZINO!$B$2:$M$100000,7,FALSE)</f>
        <v/>
      </c>
      <c r="H1403" s="3">
        <f>+VLOOKUP($A1403,MAGAZZINO!$B$2:$M$100000,8,FALSE)</f>
        <v/>
      </c>
      <c r="I1403" s="3">
        <f>+VLOOKUP($A1403,MAGAZZINO!$B$2:$M$100000,9,FALSE)</f>
        <v/>
      </c>
      <c r="J1403" s="3">
        <f>+VLOOKUP($A1403,MAGAZZINO!$B$2:$M$100000,10,FALSE)</f>
        <v/>
      </c>
      <c r="K1403" s="3">
        <f>+VLOOKUP($A1403,MAGAZZINO!$B$2:$M$100000,11,FALSE)</f>
        <v/>
      </c>
      <c r="L1403" s="5">
        <f>+VLOOKUP($A1403,MAGAZZINO!$B$2:$M$100000,12,FALSE)</f>
        <v/>
      </c>
      <c r="M1403" s="47" t="n"/>
      <c r="N1403" s="88" t="n">
        <v>45873</v>
      </c>
      <c r="O1403" s="156" t="inlineStr">
        <is>
          <t>BIN HUMAID NATIONAL TRADING CO. (ARABIA SAUDITA)</t>
        </is>
      </c>
      <c r="P1403" s="152" t="inlineStr">
        <is>
          <t xml:space="preserve">  IMPORT LICENSE N. 182480  (END USER CERTIFICATE)                                                                      AUT. ESPORTAZIONE MULTIPLA N. 6B/2025/2M RILASCIATA IL 26/05/2025                        (LICENZA DI SCARICO N. 6B/2025/2S RILASCIATA IL 30/07/2025)</t>
        </is>
      </c>
      <c r="Q1403" s="150" t="n"/>
      <c r="R1403" s="150" t="n"/>
      <c r="S1403" s="153" t="n"/>
    </row>
    <row r="1404" ht="36" customHeight="1">
      <c r="A1404" s="46" t="n">
        <v>3734</v>
      </c>
      <c r="B1404" s="4">
        <f>+VLOOKUP($A1404,MAGAZZINO!$B$2:$M$100000,2,FALSE)</f>
        <v/>
      </c>
      <c r="C1404" s="29">
        <f>+VLOOKUP($A1404,MAGAZZINO!$B$2:$M$100000,3,FALSE)</f>
        <v/>
      </c>
      <c r="D1404" s="3">
        <f>+VLOOKUP($A1404,MAGAZZINO!$B$2:$M$100000,4,FALSE)</f>
        <v/>
      </c>
      <c r="E1404" s="3">
        <f>+VLOOKUP($A1404,MAGAZZINO!$B$2:$M$100000,5,FALSE)</f>
        <v/>
      </c>
      <c r="F1404" s="3">
        <f>+VLOOKUP($A1404,MAGAZZINO!$B$2:$M$100000,6,FALSE)</f>
        <v/>
      </c>
      <c r="G1404" s="3">
        <f>+VLOOKUP($A1404,MAGAZZINO!$B$2:$M$100000,7,FALSE)</f>
        <v/>
      </c>
      <c r="H1404" s="3">
        <f>+VLOOKUP($A1404,MAGAZZINO!$B$2:$M$100000,8,FALSE)</f>
        <v/>
      </c>
      <c r="I1404" s="3">
        <f>+VLOOKUP($A1404,MAGAZZINO!$B$2:$M$100000,9,FALSE)</f>
        <v/>
      </c>
      <c r="J1404" s="3">
        <f>+VLOOKUP($A1404,MAGAZZINO!$B$2:$M$100000,10,FALSE)</f>
        <v/>
      </c>
      <c r="K1404" s="3">
        <f>+VLOOKUP($A1404,MAGAZZINO!$B$2:$M$100000,11,FALSE)</f>
        <v/>
      </c>
      <c r="L1404" s="5">
        <f>+VLOOKUP($A1404,MAGAZZINO!$B$2:$M$100000,12,FALSE)</f>
        <v/>
      </c>
      <c r="M1404" s="47" t="n"/>
      <c r="N1404" s="88" t="n">
        <v>45873</v>
      </c>
      <c r="O1404" s="156" t="inlineStr">
        <is>
          <t>BIN HUMAID NATIONAL TRADING CO. (ARABIA SAUDITA)</t>
        </is>
      </c>
      <c r="P1404" s="152" t="inlineStr">
        <is>
          <t xml:space="preserve">  IMPORT LICENSE N. 182480  (END USER CERTIFICATE)                                                                      AUT. ESPORTAZIONE MULTIPLA N. 6B/2025/2M RILASCIATA IL 26/05/2025                        (LICENZA DI SCARICO N. 6B/2025/2S RILASCIATA IL 30/07/2025)</t>
        </is>
      </c>
      <c r="Q1404" s="150" t="n"/>
      <c r="R1404" s="150" t="n"/>
      <c r="S1404" s="153" t="n"/>
    </row>
    <row r="1405" ht="36" customHeight="1">
      <c r="A1405" s="46" t="n">
        <v>3735</v>
      </c>
      <c r="B1405" s="4">
        <f>+VLOOKUP($A1405,MAGAZZINO!$B$2:$M$100000,2,FALSE)</f>
        <v/>
      </c>
      <c r="C1405" s="29">
        <f>+VLOOKUP($A1405,MAGAZZINO!$B$2:$M$100000,3,FALSE)</f>
        <v/>
      </c>
      <c r="D1405" s="3">
        <f>+VLOOKUP($A1405,MAGAZZINO!$B$2:$M$100000,4,FALSE)</f>
        <v/>
      </c>
      <c r="E1405" s="3">
        <f>+VLOOKUP($A1405,MAGAZZINO!$B$2:$M$100000,5,FALSE)</f>
        <v/>
      </c>
      <c r="F1405" s="3">
        <f>+VLOOKUP($A1405,MAGAZZINO!$B$2:$M$100000,6,FALSE)</f>
        <v/>
      </c>
      <c r="G1405" s="3">
        <f>+VLOOKUP($A1405,MAGAZZINO!$B$2:$M$100000,7,FALSE)</f>
        <v/>
      </c>
      <c r="H1405" s="3">
        <f>+VLOOKUP($A1405,MAGAZZINO!$B$2:$M$100000,8,FALSE)</f>
        <v/>
      </c>
      <c r="I1405" s="3">
        <f>+VLOOKUP($A1405,MAGAZZINO!$B$2:$M$100000,9,FALSE)</f>
        <v/>
      </c>
      <c r="J1405" s="3">
        <f>+VLOOKUP($A1405,MAGAZZINO!$B$2:$M$100000,10,FALSE)</f>
        <v/>
      </c>
      <c r="K1405" s="3">
        <f>+VLOOKUP($A1405,MAGAZZINO!$B$2:$M$100000,11,FALSE)</f>
        <v/>
      </c>
      <c r="L1405" s="5">
        <f>+VLOOKUP($A1405,MAGAZZINO!$B$2:$M$100000,12,FALSE)</f>
        <v/>
      </c>
      <c r="M1405" s="47" t="n"/>
      <c r="N1405" s="88" t="n">
        <v>45873</v>
      </c>
      <c r="O1405" s="156" t="inlineStr">
        <is>
          <t>BIN HUMAID NATIONAL TRADING CO. (ARABIA SAUDITA)</t>
        </is>
      </c>
      <c r="P1405" s="152" t="inlineStr">
        <is>
          <t xml:space="preserve">  IMPORT LICENSE N. 182480  (END USER CERTIFICATE)                                                                      AUT. ESPORTAZIONE MULTIPLA N. 6B/2025/2M RILASCIATA IL 26/05/2025                        (LICENZA DI SCARICO N. 6B/2025/2S RILASCIATA IL 30/07/2025)</t>
        </is>
      </c>
      <c r="Q1405" s="150" t="n"/>
      <c r="R1405" s="150" t="n"/>
      <c r="S1405" s="153" t="n"/>
    </row>
    <row r="1406" ht="36" customHeight="1">
      <c r="A1406" s="46" t="n">
        <v>3736</v>
      </c>
      <c r="B1406" s="4">
        <f>+VLOOKUP($A1406,MAGAZZINO!$B$2:$M$100000,2,FALSE)</f>
        <v/>
      </c>
      <c r="C1406" s="29">
        <f>+VLOOKUP($A1406,MAGAZZINO!$B$2:$M$100000,3,FALSE)</f>
        <v/>
      </c>
      <c r="D1406" s="3">
        <f>+VLOOKUP($A1406,MAGAZZINO!$B$2:$M$100000,4,FALSE)</f>
        <v/>
      </c>
      <c r="E1406" s="3">
        <f>+VLOOKUP($A1406,MAGAZZINO!$B$2:$M$100000,5,FALSE)</f>
        <v/>
      </c>
      <c r="F1406" s="3">
        <f>+VLOOKUP($A1406,MAGAZZINO!$B$2:$M$100000,6,FALSE)</f>
        <v/>
      </c>
      <c r="G1406" s="3">
        <f>+VLOOKUP($A1406,MAGAZZINO!$B$2:$M$100000,7,FALSE)</f>
        <v/>
      </c>
      <c r="H1406" s="3">
        <f>+VLOOKUP($A1406,MAGAZZINO!$B$2:$M$100000,8,FALSE)</f>
        <v/>
      </c>
      <c r="I1406" s="3">
        <f>+VLOOKUP($A1406,MAGAZZINO!$B$2:$M$100000,9,FALSE)</f>
        <v/>
      </c>
      <c r="J1406" s="3">
        <f>+VLOOKUP($A1406,MAGAZZINO!$B$2:$M$100000,10,FALSE)</f>
        <v/>
      </c>
      <c r="K1406" s="3">
        <f>+VLOOKUP($A1406,MAGAZZINO!$B$2:$M$100000,11,FALSE)</f>
        <v/>
      </c>
      <c r="L1406" s="5">
        <f>+VLOOKUP($A1406,MAGAZZINO!$B$2:$M$100000,12,FALSE)</f>
        <v/>
      </c>
      <c r="M1406" s="47" t="n"/>
      <c r="N1406" s="88" t="n">
        <v>45873</v>
      </c>
      <c r="O1406" s="156" t="inlineStr">
        <is>
          <t>BIN HUMAID NATIONAL TRADING CO. (ARABIA SAUDITA)</t>
        </is>
      </c>
      <c r="P1406" s="152" t="inlineStr">
        <is>
          <t xml:space="preserve">  IMPORT LICENSE N. 182480  (END USER CERTIFICATE)                                                                      AUT. ESPORTAZIONE MULTIPLA N. 6B/2025/2M RILASCIATA IL 26/05/2025                        (LICENZA DI SCARICO N. 6B/2025/2S RILASCIATA IL 30/07/2025)</t>
        </is>
      </c>
      <c r="Q1406" s="150" t="n"/>
      <c r="R1406" s="150" t="n"/>
      <c r="S1406" s="153" t="n"/>
    </row>
    <row r="1407" ht="36" customHeight="1">
      <c r="A1407" s="46" t="n">
        <v>3737</v>
      </c>
      <c r="B1407" s="4">
        <f>+VLOOKUP($A1407,MAGAZZINO!$B$2:$M$100000,2,FALSE)</f>
        <v/>
      </c>
      <c r="C1407" s="29">
        <f>+VLOOKUP($A1407,MAGAZZINO!$B$2:$M$100000,3,FALSE)</f>
        <v/>
      </c>
      <c r="D1407" s="3">
        <f>+VLOOKUP($A1407,MAGAZZINO!$B$2:$M$100000,4,FALSE)</f>
        <v/>
      </c>
      <c r="E1407" s="3">
        <f>+VLOOKUP($A1407,MAGAZZINO!$B$2:$M$100000,5,FALSE)</f>
        <v/>
      </c>
      <c r="F1407" s="3">
        <f>+VLOOKUP($A1407,MAGAZZINO!$B$2:$M$100000,6,FALSE)</f>
        <v/>
      </c>
      <c r="G1407" s="3">
        <f>+VLOOKUP($A1407,MAGAZZINO!$B$2:$M$100000,7,FALSE)</f>
        <v/>
      </c>
      <c r="H1407" s="3">
        <f>+VLOOKUP($A1407,MAGAZZINO!$B$2:$M$100000,8,FALSE)</f>
        <v/>
      </c>
      <c r="I1407" s="3">
        <f>+VLOOKUP($A1407,MAGAZZINO!$B$2:$M$100000,9,FALSE)</f>
        <v/>
      </c>
      <c r="J1407" s="3">
        <f>+VLOOKUP($A1407,MAGAZZINO!$B$2:$M$100000,10,FALSE)</f>
        <v/>
      </c>
      <c r="K1407" s="3">
        <f>+VLOOKUP($A1407,MAGAZZINO!$B$2:$M$100000,11,FALSE)</f>
        <v/>
      </c>
      <c r="L1407" s="5">
        <f>+VLOOKUP($A1407,MAGAZZINO!$B$2:$M$100000,12,FALSE)</f>
        <v/>
      </c>
      <c r="M1407" s="47" t="n"/>
      <c r="N1407" s="88" t="n">
        <v>45873</v>
      </c>
      <c r="O1407" s="156" t="inlineStr">
        <is>
          <t>BIN HUMAID NATIONAL TRADING CO. (ARABIA SAUDITA)</t>
        </is>
      </c>
      <c r="P1407" s="152" t="inlineStr">
        <is>
          <t xml:space="preserve">  IMPORT LICENSE N. 182480  (END USER CERTIFICATE)                                                                      AUT. ESPORTAZIONE MULTIPLA N. 6B/2025/2M RILASCIATA IL 26/05/2025                        (LICENZA DI SCARICO N. 6B/2025/2S RILASCIATA IL 30/07/2025)</t>
        </is>
      </c>
      <c r="Q1407" s="150" t="n"/>
      <c r="R1407" s="150" t="n"/>
      <c r="S1407" s="153" t="n"/>
    </row>
    <row r="1408" ht="36" customHeight="1">
      <c r="A1408" s="46" t="n">
        <v>3738</v>
      </c>
      <c r="B1408" s="4">
        <f>+VLOOKUP($A1408,MAGAZZINO!$B$2:$M$100000,2,FALSE)</f>
        <v/>
      </c>
      <c r="C1408" s="29">
        <f>+VLOOKUP($A1408,MAGAZZINO!$B$2:$M$100000,3,FALSE)</f>
        <v/>
      </c>
      <c r="D1408" s="3">
        <f>+VLOOKUP($A1408,MAGAZZINO!$B$2:$M$100000,4,FALSE)</f>
        <v/>
      </c>
      <c r="E1408" s="3">
        <f>+VLOOKUP($A1408,MAGAZZINO!$B$2:$M$100000,5,FALSE)</f>
        <v/>
      </c>
      <c r="F1408" s="3">
        <f>+VLOOKUP($A1408,MAGAZZINO!$B$2:$M$100000,6,FALSE)</f>
        <v/>
      </c>
      <c r="G1408" s="3">
        <f>+VLOOKUP($A1408,MAGAZZINO!$B$2:$M$100000,7,FALSE)</f>
        <v/>
      </c>
      <c r="H1408" s="3">
        <f>+VLOOKUP($A1408,MAGAZZINO!$B$2:$M$100000,8,FALSE)</f>
        <v/>
      </c>
      <c r="I1408" s="3">
        <f>+VLOOKUP($A1408,MAGAZZINO!$B$2:$M$100000,9,FALSE)</f>
        <v/>
      </c>
      <c r="J1408" s="3">
        <f>+VLOOKUP($A1408,MAGAZZINO!$B$2:$M$100000,10,FALSE)</f>
        <v/>
      </c>
      <c r="K1408" s="3">
        <f>+VLOOKUP($A1408,MAGAZZINO!$B$2:$M$100000,11,FALSE)</f>
        <v/>
      </c>
      <c r="L1408" s="5">
        <f>+VLOOKUP($A1408,MAGAZZINO!$B$2:$M$100000,12,FALSE)</f>
        <v/>
      </c>
      <c r="M1408" s="47" t="n"/>
      <c r="N1408" s="88" t="n">
        <v>45873</v>
      </c>
      <c r="O1408" s="156" t="inlineStr">
        <is>
          <t>BIN HUMAID NATIONAL TRADING CO. (ARABIA SAUDITA)</t>
        </is>
      </c>
      <c r="P1408" s="152" t="inlineStr">
        <is>
          <t xml:space="preserve">  IMPORT LICENSE N. 182480  (END USER CERTIFICATE)                                                                      AUT. ESPORTAZIONE MULTIPLA N. 6B/2025/2M RILASCIATA IL 26/05/2025                        (LICENZA DI SCARICO N. 6B/2025/2S RILASCIATA IL 30/07/2025)</t>
        </is>
      </c>
      <c r="Q1408" s="150" t="n"/>
      <c r="R1408" s="150" t="n"/>
      <c r="S1408" s="153" t="n"/>
    </row>
    <row r="1409" ht="36" customHeight="1">
      <c r="A1409" s="46" t="n">
        <v>3739</v>
      </c>
      <c r="B1409" s="4">
        <f>+VLOOKUP($A1409,MAGAZZINO!$B$2:$M$100000,2,FALSE)</f>
        <v/>
      </c>
      <c r="C1409" s="29">
        <f>+VLOOKUP($A1409,MAGAZZINO!$B$2:$M$100000,3,FALSE)</f>
        <v/>
      </c>
      <c r="D1409" s="3">
        <f>+VLOOKUP($A1409,MAGAZZINO!$B$2:$M$100000,4,FALSE)</f>
        <v/>
      </c>
      <c r="E1409" s="3">
        <f>+VLOOKUP($A1409,MAGAZZINO!$B$2:$M$100000,5,FALSE)</f>
        <v/>
      </c>
      <c r="F1409" s="3">
        <f>+VLOOKUP($A1409,MAGAZZINO!$B$2:$M$100000,6,FALSE)</f>
        <v/>
      </c>
      <c r="G1409" s="3">
        <f>+VLOOKUP($A1409,MAGAZZINO!$B$2:$M$100000,7,FALSE)</f>
        <v/>
      </c>
      <c r="H1409" s="3">
        <f>+VLOOKUP($A1409,MAGAZZINO!$B$2:$M$100000,8,FALSE)</f>
        <v/>
      </c>
      <c r="I1409" s="3">
        <f>+VLOOKUP($A1409,MAGAZZINO!$B$2:$M$100000,9,FALSE)</f>
        <v/>
      </c>
      <c r="J1409" s="3">
        <f>+VLOOKUP($A1409,MAGAZZINO!$B$2:$M$100000,10,FALSE)</f>
        <v/>
      </c>
      <c r="K1409" s="3">
        <f>+VLOOKUP($A1409,MAGAZZINO!$B$2:$M$100000,11,FALSE)</f>
        <v/>
      </c>
      <c r="L1409" s="5">
        <f>+VLOOKUP($A1409,MAGAZZINO!$B$2:$M$100000,12,FALSE)</f>
        <v/>
      </c>
      <c r="M1409" s="47" t="n"/>
      <c r="N1409" s="88" t="n">
        <v>45873</v>
      </c>
      <c r="O1409" s="156" t="inlineStr">
        <is>
          <t>BIN HUMAID NATIONAL TRADING CO. (ARABIA SAUDITA)</t>
        </is>
      </c>
      <c r="P1409" s="152" t="inlineStr">
        <is>
          <t xml:space="preserve">  IMPORT LICENSE N. 182480  (END USER CERTIFICATE)                                                                      AUT. ESPORTAZIONE MULTIPLA N. 6B/2025/2M RILASCIATA IL 26/05/2025                        (LICENZA DI SCARICO N. 6B/2025/2S RILASCIATA IL 30/07/2025)</t>
        </is>
      </c>
      <c r="Q1409" s="150" t="n"/>
      <c r="R1409" s="150" t="n"/>
      <c r="S1409" s="153" t="n"/>
    </row>
    <row r="1410" ht="36" customHeight="1">
      <c r="A1410" s="46" t="n">
        <v>3740</v>
      </c>
      <c r="B1410" s="4">
        <f>+VLOOKUP($A1410,MAGAZZINO!$B$2:$M$100000,2,FALSE)</f>
        <v/>
      </c>
      <c r="C1410" s="29">
        <f>+VLOOKUP($A1410,MAGAZZINO!$B$2:$M$100000,3,FALSE)</f>
        <v/>
      </c>
      <c r="D1410" s="3">
        <f>+VLOOKUP($A1410,MAGAZZINO!$B$2:$M$100000,4,FALSE)</f>
        <v/>
      </c>
      <c r="E1410" s="3">
        <f>+VLOOKUP($A1410,MAGAZZINO!$B$2:$M$100000,5,FALSE)</f>
        <v/>
      </c>
      <c r="F1410" s="3">
        <f>+VLOOKUP($A1410,MAGAZZINO!$B$2:$M$100000,6,FALSE)</f>
        <v/>
      </c>
      <c r="G1410" s="3">
        <f>+VLOOKUP($A1410,MAGAZZINO!$B$2:$M$100000,7,FALSE)</f>
        <v/>
      </c>
      <c r="H1410" s="3">
        <f>+VLOOKUP($A1410,MAGAZZINO!$B$2:$M$100000,8,FALSE)</f>
        <v/>
      </c>
      <c r="I1410" s="3">
        <f>+VLOOKUP($A1410,MAGAZZINO!$B$2:$M$100000,9,FALSE)</f>
        <v/>
      </c>
      <c r="J1410" s="3">
        <f>+VLOOKUP($A1410,MAGAZZINO!$B$2:$M$100000,10,FALSE)</f>
        <v/>
      </c>
      <c r="K1410" s="3">
        <f>+VLOOKUP($A1410,MAGAZZINO!$B$2:$M$100000,11,FALSE)</f>
        <v/>
      </c>
      <c r="L1410" s="5">
        <f>+VLOOKUP($A1410,MAGAZZINO!$B$2:$M$100000,12,FALSE)</f>
        <v/>
      </c>
      <c r="M1410" s="47" t="n"/>
      <c r="N1410" s="88" t="n">
        <v>45873</v>
      </c>
      <c r="O1410" s="156" t="inlineStr">
        <is>
          <t>BIN HUMAID NATIONAL TRADING CO. (ARABIA SAUDITA)</t>
        </is>
      </c>
      <c r="P1410" s="152" t="inlineStr">
        <is>
          <t xml:space="preserve">  IMPORT LICENSE N. 182480  (END USER CERTIFICATE)                                                                      AUT. ESPORTAZIONE MULTIPLA N. 6B/2025/2M RILASCIATA IL 26/05/2025                        (LICENZA DI SCARICO N. 6B/2025/2S RILASCIATA IL 30/07/2025)</t>
        </is>
      </c>
      <c r="Q1410" s="150" t="n"/>
      <c r="R1410" s="150" t="n"/>
      <c r="S1410" s="153" t="n"/>
    </row>
    <row r="1411" ht="36" customHeight="1">
      <c r="A1411" s="46" t="n">
        <v>3741</v>
      </c>
      <c r="B1411" s="4">
        <f>+VLOOKUP($A1411,MAGAZZINO!$B$2:$M$100000,2,FALSE)</f>
        <v/>
      </c>
      <c r="C1411" s="29">
        <f>+VLOOKUP($A1411,MAGAZZINO!$B$2:$M$100000,3,FALSE)</f>
        <v/>
      </c>
      <c r="D1411" s="3">
        <f>+VLOOKUP($A1411,MAGAZZINO!$B$2:$M$100000,4,FALSE)</f>
        <v/>
      </c>
      <c r="E1411" s="3">
        <f>+VLOOKUP($A1411,MAGAZZINO!$B$2:$M$100000,5,FALSE)</f>
        <v/>
      </c>
      <c r="F1411" s="3">
        <f>+VLOOKUP($A1411,MAGAZZINO!$B$2:$M$100000,6,FALSE)</f>
        <v/>
      </c>
      <c r="G1411" s="3">
        <f>+VLOOKUP($A1411,MAGAZZINO!$B$2:$M$100000,7,FALSE)</f>
        <v/>
      </c>
      <c r="H1411" s="3">
        <f>+VLOOKUP($A1411,MAGAZZINO!$B$2:$M$100000,8,FALSE)</f>
        <v/>
      </c>
      <c r="I1411" s="3">
        <f>+VLOOKUP($A1411,MAGAZZINO!$B$2:$M$100000,9,FALSE)</f>
        <v/>
      </c>
      <c r="J1411" s="3">
        <f>+VLOOKUP($A1411,MAGAZZINO!$B$2:$M$100000,10,FALSE)</f>
        <v/>
      </c>
      <c r="K1411" s="3">
        <f>+VLOOKUP($A1411,MAGAZZINO!$B$2:$M$100000,11,FALSE)</f>
        <v/>
      </c>
      <c r="L1411" s="5">
        <f>+VLOOKUP($A1411,MAGAZZINO!$B$2:$M$100000,12,FALSE)</f>
        <v/>
      </c>
      <c r="M1411" s="47" t="n"/>
      <c r="N1411" s="88" t="n">
        <v>45873</v>
      </c>
      <c r="O1411" s="156" t="inlineStr">
        <is>
          <t>BIN HUMAID NATIONAL TRADING CO. (ARABIA SAUDITA)</t>
        </is>
      </c>
      <c r="P1411" s="152" t="inlineStr">
        <is>
          <t xml:space="preserve">  IMPORT LICENSE N. 182480  (END USER CERTIFICATE)                                                                      AUT. ESPORTAZIONE MULTIPLA N. 6B/2025/2M RILASCIATA IL 26/05/2025                        (LICENZA DI SCARICO N. 6B/2025/2S RILASCIATA IL 30/07/2025)</t>
        </is>
      </c>
      <c r="Q1411" s="150" t="n"/>
      <c r="R1411" s="150" t="n"/>
      <c r="S1411" s="153" t="n"/>
    </row>
    <row r="1412" ht="36" customHeight="1">
      <c r="A1412" s="46" t="n">
        <v>3742</v>
      </c>
      <c r="B1412" s="4">
        <f>+VLOOKUP($A1412,MAGAZZINO!$B$2:$M$100000,2,FALSE)</f>
        <v/>
      </c>
      <c r="C1412" s="29">
        <f>+VLOOKUP($A1412,MAGAZZINO!$B$2:$M$100000,3,FALSE)</f>
        <v/>
      </c>
      <c r="D1412" s="3">
        <f>+VLOOKUP($A1412,MAGAZZINO!$B$2:$M$100000,4,FALSE)</f>
        <v/>
      </c>
      <c r="E1412" s="3">
        <f>+VLOOKUP($A1412,MAGAZZINO!$B$2:$M$100000,5,FALSE)</f>
        <v/>
      </c>
      <c r="F1412" s="3">
        <f>+VLOOKUP($A1412,MAGAZZINO!$B$2:$M$100000,6,FALSE)</f>
        <v/>
      </c>
      <c r="G1412" s="3">
        <f>+VLOOKUP($A1412,MAGAZZINO!$B$2:$M$100000,7,FALSE)</f>
        <v/>
      </c>
      <c r="H1412" s="3">
        <f>+VLOOKUP($A1412,MAGAZZINO!$B$2:$M$100000,8,FALSE)</f>
        <v/>
      </c>
      <c r="I1412" s="3">
        <f>+VLOOKUP($A1412,MAGAZZINO!$B$2:$M$100000,9,FALSE)</f>
        <v/>
      </c>
      <c r="J1412" s="3">
        <f>+VLOOKUP($A1412,MAGAZZINO!$B$2:$M$100000,10,FALSE)</f>
        <v/>
      </c>
      <c r="K1412" s="3">
        <f>+VLOOKUP($A1412,MAGAZZINO!$B$2:$M$100000,11,FALSE)</f>
        <v/>
      </c>
      <c r="L1412" s="5">
        <f>+VLOOKUP($A1412,MAGAZZINO!$B$2:$M$100000,12,FALSE)</f>
        <v/>
      </c>
      <c r="M1412" s="47" t="n"/>
      <c r="N1412" s="88" t="n">
        <v>45873</v>
      </c>
      <c r="O1412" s="156" t="inlineStr">
        <is>
          <t>BIN HUMAID NATIONAL TRADING CO. (ARABIA SAUDITA)</t>
        </is>
      </c>
      <c r="P1412" s="152" t="inlineStr">
        <is>
          <t xml:space="preserve">  IMPORT LICENSE N. 182480  (END USER CERTIFICATE)                                                                      AUT. ESPORTAZIONE MULTIPLA N. 6B/2025/2M RILASCIATA IL 26/05/2025                        (LICENZA DI SCARICO N. 6B/2025/2S RILASCIATA IL 30/07/2025)</t>
        </is>
      </c>
      <c r="Q1412" s="150" t="n"/>
      <c r="R1412" s="150" t="n"/>
      <c r="S1412" s="153" t="n"/>
    </row>
    <row r="1413" ht="36" customHeight="1">
      <c r="A1413" s="46" t="n">
        <v>3743</v>
      </c>
      <c r="B1413" s="4">
        <f>+VLOOKUP($A1413,MAGAZZINO!$B$2:$M$100000,2,FALSE)</f>
        <v/>
      </c>
      <c r="C1413" s="29">
        <f>+VLOOKUP($A1413,MAGAZZINO!$B$2:$M$100000,3,FALSE)</f>
        <v/>
      </c>
      <c r="D1413" s="3">
        <f>+VLOOKUP($A1413,MAGAZZINO!$B$2:$M$100000,4,FALSE)</f>
        <v/>
      </c>
      <c r="E1413" s="3">
        <f>+VLOOKUP($A1413,MAGAZZINO!$B$2:$M$100000,5,FALSE)</f>
        <v/>
      </c>
      <c r="F1413" s="3">
        <f>+VLOOKUP($A1413,MAGAZZINO!$B$2:$M$100000,6,FALSE)</f>
        <v/>
      </c>
      <c r="G1413" s="3">
        <f>+VLOOKUP($A1413,MAGAZZINO!$B$2:$M$100000,7,FALSE)</f>
        <v/>
      </c>
      <c r="H1413" s="3">
        <f>+VLOOKUP($A1413,MAGAZZINO!$B$2:$M$100000,8,FALSE)</f>
        <v/>
      </c>
      <c r="I1413" s="3">
        <f>+VLOOKUP($A1413,MAGAZZINO!$B$2:$M$100000,9,FALSE)</f>
        <v/>
      </c>
      <c r="J1413" s="3">
        <f>+VLOOKUP($A1413,MAGAZZINO!$B$2:$M$100000,10,FALSE)</f>
        <v/>
      </c>
      <c r="K1413" s="3">
        <f>+VLOOKUP($A1413,MAGAZZINO!$B$2:$M$100000,11,FALSE)</f>
        <v/>
      </c>
      <c r="L1413" s="5">
        <f>+VLOOKUP($A1413,MAGAZZINO!$B$2:$M$100000,12,FALSE)</f>
        <v/>
      </c>
      <c r="M1413" s="47" t="n"/>
      <c r="N1413" s="88" t="n">
        <v>45873</v>
      </c>
      <c r="O1413" s="156" t="inlineStr">
        <is>
          <t>BIN HUMAID NATIONAL TRADING CO. (ARABIA SAUDITA)</t>
        </is>
      </c>
      <c r="P1413" s="152" t="inlineStr">
        <is>
          <t xml:space="preserve">  IMPORT LICENSE N. 182480  (END USER CERTIFICATE)                                                                      AUT. ESPORTAZIONE MULTIPLA N. 6B/2025/2M RILASCIATA IL 26/05/2025                        (LICENZA DI SCARICO N. 6B/2025/2S RILASCIATA IL 30/07/2025)</t>
        </is>
      </c>
      <c r="Q1413" s="150" t="n"/>
      <c r="R1413" s="150" t="n"/>
      <c r="S1413" s="153" t="n"/>
    </row>
    <row r="1414" ht="36" customHeight="1">
      <c r="A1414" s="46" t="n">
        <v>3744</v>
      </c>
      <c r="B1414" s="4">
        <f>+VLOOKUP($A1414,MAGAZZINO!$B$2:$M$100000,2,FALSE)</f>
        <v/>
      </c>
      <c r="C1414" s="29">
        <f>+VLOOKUP($A1414,MAGAZZINO!$B$2:$M$100000,3,FALSE)</f>
        <v/>
      </c>
      <c r="D1414" s="3">
        <f>+VLOOKUP($A1414,MAGAZZINO!$B$2:$M$100000,4,FALSE)</f>
        <v/>
      </c>
      <c r="E1414" s="3">
        <f>+VLOOKUP($A1414,MAGAZZINO!$B$2:$M$100000,5,FALSE)</f>
        <v/>
      </c>
      <c r="F1414" s="3">
        <f>+VLOOKUP($A1414,MAGAZZINO!$B$2:$M$100000,6,FALSE)</f>
        <v/>
      </c>
      <c r="G1414" s="3">
        <f>+VLOOKUP($A1414,MAGAZZINO!$B$2:$M$100000,7,FALSE)</f>
        <v/>
      </c>
      <c r="H1414" s="3">
        <f>+VLOOKUP($A1414,MAGAZZINO!$B$2:$M$100000,8,FALSE)</f>
        <v/>
      </c>
      <c r="I1414" s="3">
        <f>+VLOOKUP($A1414,MAGAZZINO!$B$2:$M$100000,9,FALSE)</f>
        <v/>
      </c>
      <c r="J1414" s="3">
        <f>+VLOOKUP($A1414,MAGAZZINO!$B$2:$M$100000,10,FALSE)</f>
        <v/>
      </c>
      <c r="K1414" s="3">
        <f>+VLOOKUP($A1414,MAGAZZINO!$B$2:$M$100000,11,FALSE)</f>
        <v/>
      </c>
      <c r="L1414" s="5">
        <f>+VLOOKUP($A1414,MAGAZZINO!$B$2:$M$100000,12,FALSE)</f>
        <v/>
      </c>
      <c r="M1414" s="47" t="n"/>
      <c r="N1414" s="88" t="n">
        <v>45873</v>
      </c>
      <c r="O1414" s="156" t="inlineStr">
        <is>
          <t>BIN HUMAID NATIONAL TRADING CO. (ARABIA SAUDITA)</t>
        </is>
      </c>
      <c r="P1414" s="152" t="inlineStr">
        <is>
          <t xml:space="preserve">  IMPORT LICENSE N. 182480  (END USER CERTIFICATE)                                                                      AUT. ESPORTAZIONE MULTIPLA N. 6B/2025/2M RILASCIATA IL 26/05/2025                        (LICENZA DI SCARICO N. 6B/2025/2S RILASCIATA IL 30/07/2025)</t>
        </is>
      </c>
      <c r="Q1414" s="150" t="n"/>
      <c r="R1414" s="150" t="n"/>
      <c r="S1414" s="153" t="n"/>
    </row>
    <row r="1415" ht="36" customHeight="1">
      <c r="A1415" s="46" t="n">
        <v>3745</v>
      </c>
      <c r="B1415" s="4">
        <f>+VLOOKUP($A1415,MAGAZZINO!$B$2:$M$100000,2,FALSE)</f>
        <v/>
      </c>
      <c r="C1415" s="29">
        <f>+VLOOKUP($A1415,MAGAZZINO!$B$2:$M$100000,3,FALSE)</f>
        <v/>
      </c>
      <c r="D1415" s="3">
        <f>+VLOOKUP($A1415,MAGAZZINO!$B$2:$M$100000,4,FALSE)</f>
        <v/>
      </c>
      <c r="E1415" s="3">
        <f>+VLOOKUP($A1415,MAGAZZINO!$B$2:$M$100000,5,FALSE)</f>
        <v/>
      </c>
      <c r="F1415" s="3">
        <f>+VLOOKUP($A1415,MAGAZZINO!$B$2:$M$100000,6,FALSE)</f>
        <v/>
      </c>
      <c r="G1415" s="3">
        <f>+VLOOKUP($A1415,MAGAZZINO!$B$2:$M$100000,7,FALSE)</f>
        <v/>
      </c>
      <c r="H1415" s="3">
        <f>+VLOOKUP($A1415,MAGAZZINO!$B$2:$M$100000,8,FALSE)</f>
        <v/>
      </c>
      <c r="I1415" s="3">
        <f>+VLOOKUP($A1415,MAGAZZINO!$B$2:$M$100000,9,FALSE)</f>
        <v/>
      </c>
      <c r="J1415" s="3">
        <f>+VLOOKUP($A1415,MAGAZZINO!$B$2:$M$100000,10,FALSE)</f>
        <v/>
      </c>
      <c r="K1415" s="3">
        <f>+VLOOKUP($A1415,MAGAZZINO!$B$2:$M$100000,11,FALSE)</f>
        <v/>
      </c>
      <c r="L1415" s="5">
        <f>+VLOOKUP($A1415,MAGAZZINO!$B$2:$M$100000,12,FALSE)</f>
        <v/>
      </c>
      <c r="M1415" s="47" t="n"/>
      <c r="N1415" s="88" t="n">
        <v>45873</v>
      </c>
      <c r="O1415" s="156" t="inlineStr">
        <is>
          <t>BIN HUMAID NATIONAL TRADING CO. (ARABIA SAUDITA)</t>
        </is>
      </c>
      <c r="P1415" s="152" t="inlineStr">
        <is>
          <t xml:space="preserve">  IMPORT LICENSE N. 182480  (END USER CERTIFICATE)                                                                      AUT. ESPORTAZIONE MULTIPLA N. 6B/2025/2M RILASCIATA IL 26/05/2025                        (LICENZA DI SCARICO N. 6B/2025/2S RILASCIATA IL 30/07/2025)</t>
        </is>
      </c>
      <c r="Q1415" s="150" t="n"/>
      <c r="R1415" s="150" t="n"/>
      <c r="S1415" s="153" t="n"/>
    </row>
    <row r="1416" ht="36" customHeight="1">
      <c r="A1416" s="46" t="n">
        <v>3746</v>
      </c>
      <c r="B1416" s="4">
        <f>+VLOOKUP($A1416,MAGAZZINO!$B$2:$M$100000,2,FALSE)</f>
        <v/>
      </c>
      <c r="C1416" s="29">
        <f>+VLOOKUP($A1416,MAGAZZINO!$B$2:$M$100000,3,FALSE)</f>
        <v/>
      </c>
      <c r="D1416" s="3">
        <f>+VLOOKUP($A1416,MAGAZZINO!$B$2:$M$100000,4,FALSE)</f>
        <v/>
      </c>
      <c r="E1416" s="3">
        <f>+VLOOKUP($A1416,MAGAZZINO!$B$2:$M$100000,5,FALSE)</f>
        <v/>
      </c>
      <c r="F1416" s="3">
        <f>+VLOOKUP($A1416,MAGAZZINO!$B$2:$M$100000,6,FALSE)</f>
        <v/>
      </c>
      <c r="G1416" s="3">
        <f>+VLOOKUP($A1416,MAGAZZINO!$B$2:$M$100000,7,FALSE)</f>
        <v/>
      </c>
      <c r="H1416" s="3">
        <f>+VLOOKUP($A1416,MAGAZZINO!$B$2:$M$100000,8,FALSE)</f>
        <v/>
      </c>
      <c r="I1416" s="3">
        <f>+VLOOKUP($A1416,MAGAZZINO!$B$2:$M$100000,9,FALSE)</f>
        <v/>
      </c>
      <c r="J1416" s="3">
        <f>+VLOOKUP($A1416,MAGAZZINO!$B$2:$M$100000,10,FALSE)</f>
        <v/>
      </c>
      <c r="K1416" s="3">
        <f>+VLOOKUP($A1416,MAGAZZINO!$B$2:$M$100000,11,FALSE)</f>
        <v/>
      </c>
      <c r="L1416" s="5">
        <f>+VLOOKUP($A1416,MAGAZZINO!$B$2:$M$100000,12,FALSE)</f>
        <v/>
      </c>
      <c r="M1416" s="47" t="n"/>
      <c r="N1416" s="88" t="n">
        <v>45873</v>
      </c>
      <c r="O1416" s="156" t="inlineStr">
        <is>
          <t>BIN HUMAID NATIONAL TRADING CO. (ARABIA SAUDITA)</t>
        </is>
      </c>
      <c r="P1416" s="152" t="inlineStr">
        <is>
          <t xml:space="preserve">  IMPORT LICENSE N. 182480  (END USER CERTIFICATE)                                                                      AUT. ESPORTAZIONE MULTIPLA N. 6B/2025/2M RILASCIATA IL 26/05/2025                        (LICENZA DI SCARICO N. 6B/2025/2S RILASCIATA IL 30/07/2025)</t>
        </is>
      </c>
      <c r="Q1416" s="150" t="n"/>
      <c r="R1416" s="150" t="n"/>
      <c r="S1416" s="153" t="n"/>
    </row>
    <row r="1417" ht="36" customHeight="1">
      <c r="A1417" s="46" t="n">
        <v>3747</v>
      </c>
      <c r="B1417" s="4">
        <f>+VLOOKUP($A1417,MAGAZZINO!$B$2:$M$100000,2,FALSE)</f>
        <v/>
      </c>
      <c r="C1417" s="29">
        <f>+VLOOKUP($A1417,MAGAZZINO!$B$2:$M$100000,3,FALSE)</f>
        <v/>
      </c>
      <c r="D1417" s="3">
        <f>+VLOOKUP($A1417,MAGAZZINO!$B$2:$M$100000,4,FALSE)</f>
        <v/>
      </c>
      <c r="E1417" s="3">
        <f>+VLOOKUP($A1417,MAGAZZINO!$B$2:$M$100000,5,FALSE)</f>
        <v/>
      </c>
      <c r="F1417" s="3">
        <f>+VLOOKUP($A1417,MAGAZZINO!$B$2:$M$100000,6,FALSE)</f>
        <v/>
      </c>
      <c r="G1417" s="3">
        <f>+VLOOKUP($A1417,MAGAZZINO!$B$2:$M$100000,7,FALSE)</f>
        <v/>
      </c>
      <c r="H1417" s="3">
        <f>+VLOOKUP($A1417,MAGAZZINO!$B$2:$M$100000,8,FALSE)</f>
        <v/>
      </c>
      <c r="I1417" s="3">
        <f>+VLOOKUP($A1417,MAGAZZINO!$B$2:$M$100000,9,FALSE)</f>
        <v/>
      </c>
      <c r="J1417" s="3">
        <f>+VLOOKUP($A1417,MAGAZZINO!$B$2:$M$100000,10,FALSE)</f>
        <v/>
      </c>
      <c r="K1417" s="3">
        <f>+VLOOKUP($A1417,MAGAZZINO!$B$2:$M$100000,11,FALSE)</f>
        <v/>
      </c>
      <c r="L1417" s="5">
        <f>+VLOOKUP($A1417,MAGAZZINO!$B$2:$M$100000,12,FALSE)</f>
        <v/>
      </c>
      <c r="M1417" s="47" t="n"/>
      <c r="N1417" s="88" t="n">
        <v>45873</v>
      </c>
      <c r="O1417" s="156" t="inlineStr">
        <is>
          <t>BIN HUMAID NATIONAL TRADING CO. (ARABIA SAUDITA)</t>
        </is>
      </c>
      <c r="P1417" s="152" t="inlineStr">
        <is>
          <t xml:space="preserve">  IMPORT LICENSE N. 182480  (END USER CERTIFICATE)                                                                      AUT. ESPORTAZIONE MULTIPLA N. 6B/2025/2M RILASCIATA IL 26/05/2025                        (LICENZA DI SCARICO N. 6B/2025/2S RILASCIATA IL 30/07/2025)</t>
        </is>
      </c>
      <c r="Q1417" s="150" t="n"/>
      <c r="R1417" s="150" t="n"/>
      <c r="S1417" s="153" t="n"/>
    </row>
    <row r="1418" ht="36" customHeight="1">
      <c r="A1418" s="46" t="n">
        <v>3748</v>
      </c>
      <c r="B1418" s="4">
        <f>+VLOOKUP($A1418,MAGAZZINO!$B$2:$M$100000,2,FALSE)</f>
        <v/>
      </c>
      <c r="C1418" s="29">
        <f>+VLOOKUP($A1418,MAGAZZINO!$B$2:$M$100000,3,FALSE)</f>
        <v/>
      </c>
      <c r="D1418" s="3">
        <f>+VLOOKUP($A1418,MAGAZZINO!$B$2:$M$100000,4,FALSE)</f>
        <v/>
      </c>
      <c r="E1418" s="3">
        <f>+VLOOKUP($A1418,MAGAZZINO!$B$2:$M$100000,5,FALSE)</f>
        <v/>
      </c>
      <c r="F1418" s="3">
        <f>+VLOOKUP($A1418,MAGAZZINO!$B$2:$M$100000,6,FALSE)</f>
        <v/>
      </c>
      <c r="G1418" s="3">
        <f>+VLOOKUP($A1418,MAGAZZINO!$B$2:$M$100000,7,FALSE)</f>
        <v/>
      </c>
      <c r="H1418" s="3">
        <f>+VLOOKUP($A1418,MAGAZZINO!$B$2:$M$100000,8,FALSE)</f>
        <v/>
      </c>
      <c r="I1418" s="3">
        <f>+VLOOKUP($A1418,MAGAZZINO!$B$2:$M$100000,9,FALSE)</f>
        <v/>
      </c>
      <c r="J1418" s="3">
        <f>+VLOOKUP($A1418,MAGAZZINO!$B$2:$M$100000,10,FALSE)</f>
        <v/>
      </c>
      <c r="K1418" s="3">
        <f>+VLOOKUP($A1418,MAGAZZINO!$B$2:$M$100000,11,FALSE)</f>
        <v/>
      </c>
      <c r="L1418" s="5">
        <f>+VLOOKUP($A1418,MAGAZZINO!$B$2:$M$100000,12,FALSE)</f>
        <v/>
      </c>
      <c r="M1418" s="47" t="n"/>
      <c r="N1418" s="88" t="n">
        <v>45873</v>
      </c>
      <c r="O1418" s="156" t="inlineStr">
        <is>
          <t>BIN HUMAID NATIONAL TRADING CO. (ARABIA SAUDITA)</t>
        </is>
      </c>
      <c r="P1418" s="152" t="inlineStr">
        <is>
          <t xml:space="preserve">  IMPORT LICENSE N. 182480  (END USER CERTIFICATE)                                                                      AUT. ESPORTAZIONE MULTIPLA N. 6B/2025/2M RILASCIATA IL 26/05/2025                        (LICENZA DI SCARICO N. 6B/2025/2S RILASCIATA IL 30/07/2025)</t>
        </is>
      </c>
      <c r="Q1418" s="150" t="n"/>
      <c r="R1418" s="150" t="n"/>
      <c r="S1418" s="153" t="n"/>
    </row>
    <row r="1419" ht="36" customHeight="1">
      <c r="A1419" s="46" t="n">
        <v>3749</v>
      </c>
      <c r="B1419" s="4">
        <f>+VLOOKUP($A1419,MAGAZZINO!$B$2:$M$100000,2,FALSE)</f>
        <v/>
      </c>
      <c r="C1419" s="29">
        <f>+VLOOKUP($A1419,MAGAZZINO!$B$2:$M$100000,3,FALSE)</f>
        <v/>
      </c>
      <c r="D1419" s="3">
        <f>+VLOOKUP($A1419,MAGAZZINO!$B$2:$M$100000,4,FALSE)</f>
        <v/>
      </c>
      <c r="E1419" s="3">
        <f>+VLOOKUP($A1419,MAGAZZINO!$B$2:$M$100000,5,FALSE)</f>
        <v/>
      </c>
      <c r="F1419" s="3">
        <f>+VLOOKUP($A1419,MAGAZZINO!$B$2:$M$100000,6,FALSE)</f>
        <v/>
      </c>
      <c r="G1419" s="3">
        <f>+VLOOKUP($A1419,MAGAZZINO!$B$2:$M$100000,7,FALSE)</f>
        <v/>
      </c>
      <c r="H1419" s="3">
        <f>+VLOOKUP($A1419,MAGAZZINO!$B$2:$M$100000,8,FALSE)</f>
        <v/>
      </c>
      <c r="I1419" s="3">
        <f>+VLOOKUP($A1419,MAGAZZINO!$B$2:$M$100000,9,FALSE)</f>
        <v/>
      </c>
      <c r="J1419" s="3">
        <f>+VLOOKUP($A1419,MAGAZZINO!$B$2:$M$100000,10,FALSE)</f>
        <v/>
      </c>
      <c r="K1419" s="3">
        <f>+VLOOKUP($A1419,MAGAZZINO!$B$2:$M$100000,11,FALSE)</f>
        <v/>
      </c>
      <c r="L1419" s="5">
        <f>+VLOOKUP($A1419,MAGAZZINO!$B$2:$M$100000,12,FALSE)</f>
        <v/>
      </c>
      <c r="M1419" s="47" t="n"/>
      <c r="N1419" s="88" t="n">
        <v>45873</v>
      </c>
      <c r="O1419" s="156" t="inlineStr">
        <is>
          <t>BIN HUMAID NATIONAL TRADING CO. (ARABIA SAUDITA)</t>
        </is>
      </c>
      <c r="P1419" s="152" t="inlineStr">
        <is>
          <t xml:space="preserve">  IMPORT LICENSE N. 182480  (END USER CERTIFICATE)                                                                      AUT. ESPORTAZIONE MULTIPLA N. 6B/2025/2M RILASCIATA IL 26/05/2025                        (LICENZA DI SCARICO N. 6B/2025/2S RILASCIATA IL 30/07/2025)</t>
        </is>
      </c>
      <c r="Q1419" s="150" t="n"/>
      <c r="R1419" s="150" t="n"/>
      <c r="S1419" s="153" t="n"/>
    </row>
    <row r="1420" ht="36" customHeight="1">
      <c r="A1420" s="46" t="n">
        <v>3750</v>
      </c>
      <c r="B1420" s="4">
        <f>+VLOOKUP($A1420,MAGAZZINO!$B$2:$M$100000,2,FALSE)</f>
        <v/>
      </c>
      <c r="C1420" s="29">
        <f>+VLOOKUP($A1420,MAGAZZINO!$B$2:$M$100000,3,FALSE)</f>
        <v/>
      </c>
      <c r="D1420" s="3">
        <f>+VLOOKUP($A1420,MAGAZZINO!$B$2:$M$100000,4,FALSE)</f>
        <v/>
      </c>
      <c r="E1420" s="3">
        <f>+VLOOKUP($A1420,MAGAZZINO!$B$2:$M$100000,5,FALSE)</f>
        <v/>
      </c>
      <c r="F1420" s="3">
        <f>+VLOOKUP($A1420,MAGAZZINO!$B$2:$M$100000,6,FALSE)</f>
        <v/>
      </c>
      <c r="G1420" s="3">
        <f>+VLOOKUP($A1420,MAGAZZINO!$B$2:$M$100000,7,FALSE)</f>
        <v/>
      </c>
      <c r="H1420" s="3">
        <f>+VLOOKUP($A1420,MAGAZZINO!$B$2:$M$100000,8,FALSE)</f>
        <v/>
      </c>
      <c r="I1420" s="3">
        <f>+VLOOKUP($A1420,MAGAZZINO!$B$2:$M$100000,9,FALSE)</f>
        <v/>
      </c>
      <c r="J1420" s="3">
        <f>+VLOOKUP($A1420,MAGAZZINO!$B$2:$M$100000,10,FALSE)</f>
        <v/>
      </c>
      <c r="K1420" s="3">
        <f>+VLOOKUP($A1420,MAGAZZINO!$B$2:$M$100000,11,FALSE)</f>
        <v/>
      </c>
      <c r="L1420" s="5">
        <f>+VLOOKUP($A1420,MAGAZZINO!$B$2:$M$100000,12,FALSE)</f>
        <v/>
      </c>
      <c r="M1420" s="47" t="n"/>
      <c r="N1420" s="88" t="n">
        <v>45873</v>
      </c>
      <c r="O1420" s="156" t="inlineStr">
        <is>
          <t>BIN HUMAID NATIONAL TRADING CO. (ARABIA SAUDITA)</t>
        </is>
      </c>
      <c r="P1420" s="152" t="inlineStr">
        <is>
          <t xml:space="preserve">  IMPORT LICENSE N. 182480  (END USER CERTIFICATE)                                                                      AUT. ESPORTAZIONE MULTIPLA N. 6B/2025/2M RILASCIATA IL 26/05/2025                        (LICENZA DI SCARICO N. 6B/2025/2S RILASCIATA IL 30/07/2025)</t>
        </is>
      </c>
      <c r="Q1420" s="150" t="n"/>
      <c r="R1420" s="150" t="n"/>
      <c r="S1420" s="153" t="n"/>
    </row>
    <row r="1421" ht="36" customHeight="1">
      <c r="A1421" s="46" t="n">
        <v>3751</v>
      </c>
      <c r="B1421" s="4">
        <f>+VLOOKUP($A1421,MAGAZZINO!$B$2:$M$100000,2,FALSE)</f>
        <v/>
      </c>
      <c r="C1421" s="29">
        <f>+VLOOKUP($A1421,MAGAZZINO!$B$2:$M$100000,3,FALSE)</f>
        <v/>
      </c>
      <c r="D1421" s="3">
        <f>+VLOOKUP($A1421,MAGAZZINO!$B$2:$M$100000,4,FALSE)</f>
        <v/>
      </c>
      <c r="E1421" s="3">
        <f>+VLOOKUP($A1421,MAGAZZINO!$B$2:$M$100000,5,FALSE)</f>
        <v/>
      </c>
      <c r="F1421" s="3">
        <f>+VLOOKUP($A1421,MAGAZZINO!$B$2:$M$100000,6,FALSE)</f>
        <v/>
      </c>
      <c r="G1421" s="3">
        <f>+VLOOKUP($A1421,MAGAZZINO!$B$2:$M$100000,7,FALSE)</f>
        <v/>
      </c>
      <c r="H1421" s="3">
        <f>+VLOOKUP($A1421,MAGAZZINO!$B$2:$M$100000,8,FALSE)</f>
        <v/>
      </c>
      <c r="I1421" s="3">
        <f>+VLOOKUP($A1421,MAGAZZINO!$B$2:$M$100000,9,FALSE)</f>
        <v/>
      </c>
      <c r="J1421" s="3">
        <f>+VLOOKUP($A1421,MAGAZZINO!$B$2:$M$100000,10,FALSE)</f>
        <v/>
      </c>
      <c r="K1421" s="3">
        <f>+VLOOKUP($A1421,MAGAZZINO!$B$2:$M$100000,11,FALSE)</f>
        <v/>
      </c>
      <c r="L1421" s="5">
        <f>+VLOOKUP($A1421,MAGAZZINO!$B$2:$M$100000,12,FALSE)</f>
        <v/>
      </c>
      <c r="M1421" s="47" t="n"/>
      <c r="N1421" s="88" t="n">
        <v>45873</v>
      </c>
      <c r="O1421" s="156" t="inlineStr">
        <is>
          <t>BIN HUMAID NATIONAL TRADING CO. (ARABIA SAUDITA)</t>
        </is>
      </c>
      <c r="P1421" s="152" t="inlineStr">
        <is>
          <t xml:space="preserve">  IMPORT LICENSE N. 182480  (END USER CERTIFICATE)                                                                      AUT. ESPORTAZIONE MULTIPLA N. 6B/2025/2M RILASCIATA IL 26/05/2025                        (LICENZA DI SCARICO N. 6B/2025/2S RILASCIATA IL 30/07/2025)</t>
        </is>
      </c>
      <c r="Q1421" s="150" t="n"/>
      <c r="R1421" s="150" t="n"/>
      <c r="S1421" s="153" t="n"/>
    </row>
    <row r="1422" ht="36" customHeight="1">
      <c r="A1422" s="46" t="n">
        <v>3752</v>
      </c>
      <c r="B1422" s="4">
        <f>+VLOOKUP($A1422,MAGAZZINO!$B$2:$M$100000,2,FALSE)</f>
        <v/>
      </c>
      <c r="C1422" s="29">
        <f>+VLOOKUP($A1422,MAGAZZINO!$B$2:$M$100000,3,FALSE)</f>
        <v/>
      </c>
      <c r="D1422" s="3">
        <f>+VLOOKUP($A1422,MAGAZZINO!$B$2:$M$100000,4,FALSE)</f>
        <v/>
      </c>
      <c r="E1422" s="3">
        <f>+VLOOKUP($A1422,MAGAZZINO!$B$2:$M$100000,5,FALSE)</f>
        <v/>
      </c>
      <c r="F1422" s="3">
        <f>+VLOOKUP($A1422,MAGAZZINO!$B$2:$M$100000,6,FALSE)</f>
        <v/>
      </c>
      <c r="G1422" s="3">
        <f>+VLOOKUP($A1422,MAGAZZINO!$B$2:$M$100000,7,FALSE)</f>
        <v/>
      </c>
      <c r="H1422" s="3">
        <f>+VLOOKUP($A1422,MAGAZZINO!$B$2:$M$100000,8,FALSE)</f>
        <v/>
      </c>
      <c r="I1422" s="3">
        <f>+VLOOKUP($A1422,MAGAZZINO!$B$2:$M$100000,9,FALSE)</f>
        <v/>
      </c>
      <c r="J1422" s="3">
        <f>+VLOOKUP($A1422,MAGAZZINO!$B$2:$M$100000,10,FALSE)</f>
        <v/>
      </c>
      <c r="K1422" s="3">
        <f>+VLOOKUP($A1422,MAGAZZINO!$B$2:$M$100000,11,FALSE)</f>
        <v/>
      </c>
      <c r="L1422" s="5">
        <f>+VLOOKUP($A1422,MAGAZZINO!$B$2:$M$100000,12,FALSE)</f>
        <v/>
      </c>
      <c r="M1422" s="47" t="n"/>
      <c r="N1422" s="88" t="n">
        <v>45873</v>
      </c>
      <c r="O1422" s="156" t="inlineStr">
        <is>
          <t>BIN HUMAID NATIONAL TRADING CO. (ARABIA SAUDITA)</t>
        </is>
      </c>
      <c r="P1422" s="152" t="inlineStr">
        <is>
          <t xml:space="preserve">  IMPORT LICENSE N. 182480  (END USER CERTIFICATE)                                                                      AUT. ESPORTAZIONE MULTIPLA N. 6B/2025/2M RILASCIATA IL 26/05/2025                        (LICENZA DI SCARICO N. 6B/2025/2S RILASCIATA IL 30/07/2025)</t>
        </is>
      </c>
      <c r="Q1422" s="150" t="n"/>
      <c r="R1422" s="150" t="n"/>
      <c r="S1422" s="153" t="n"/>
    </row>
    <row r="1423" ht="36" customHeight="1">
      <c r="A1423" s="46" t="n">
        <v>3753</v>
      </c>
      <c r="B1423" s="4">
        <f>+VLOOKUP($A1423,MAGAZZINO!$B$2:$M$100000,2,FALSE)</f>
        <v/>
      </c>
      <c r="C1423" s="29">
        <f>+VLOOKUP($A1423,MAGAZZINO!$B$2:$M$100000,3,FALSE)</f>
        <v/>
      </c>
      <c r="D1423" s="3">
        <f>+VLOOKUP($A1423,MAGAZZINO!$B$2:$M$100000,4,FALSE)</f>
        <v/>
      </c>
      <c r="E1423" s="3">
        <f>+VLOOKUP($A1423,MAGAZZINO!$B$2:$M$100000,5,FALSE)</f>
        <v/>
      </c>
      <c r="F1423" s="3">
        <f>+VLOOKUP($A1423,MAGAZZINO!$B$2:$M$100000,6,FALSE)</f>
        <v/>
      </c>
      <c r="G1423" s="3">
        <f>+VLOOKUP($A1423,MAGAZZINO!$B$2:$M$100000,7,FALSE)</f>
        <v/>
      </c>
      <c r="H1423" s="3">
        <f>+VLOOKUP($A1423,MAGAZZINO!$B$2:$M$100000,8,FALSE)</f>
        <v/>
      </c>
      <c r="I1423" s="3">
        <f>+VLOOKUP($A1423,MAGAZZINO!$B$2:$M$100000,9,FALSE)</f>
        <v/>
      </c>
      <c r="J1423" s="3">
        <f>+VLOOKUP($A1423,MAGAZZINO!$B$2:$M$100000,10,FALSE)</f>
        <v/>
      </c>
      <c r="K1423" s="3">
        <f>+VLOOKUP($A1423,MAGAZZINO!$B$2:$M$100000,11,FALSE)</f>
        <v/>
      </c>
      <c r="L1423" s="5">
        <f>+VLOOKUP($A1423,MAGAZZINO!$B$2:$M$100000,12,FALSE)</f>
        <v/>
      </c>
      <c r="M1423" s="47" t="n"/>
      <c r="N1423" s="88" t="n">
        <v>45873</v>
      </c>
      <c r="O1423" s="156" t="inlineStr">
        <is>
          <t>BIN HUMAID NATIONAL TRADING CO. (ARABIA SAUDITA)</t>
        </is>
      </c>
      <c r="P1423" s="152" t="inlineStr">
        <is>
          <t xml:space="preserve">  IMPORT LICENSE N. 182480  (END USER CERTIFICATE)                                                                      AUT. ESPORTAZIONE MULTIPLA N. 6B/2025/2M RILASCIATA IL 26/05/2025                        (LICENZA DI SCARICO N. 6B/2025/2S RILASCIATA IL 30/07/2025)</t>
        </is>
      </c>
      <c r="Q1423" s="150" t="n"/>
      <c r="R1423" s="150" t="n"/>
      <c r="S1423" s="153" t="n"/>
    </row>
    <row r="1424" ht="36" customHeight="1">
      <c r="A1424" s="46" t="n">
        <v>3754</v>
      </c>
      <c r="B1424" s="4">
        <f>+VLOOKUP($A1424,MAGAZZINO!$B$2:$M$100000,2,FALSE)</f>
        <v/>
      </c>
      <c r="C1424" s="29">
        <f>+VLOOKUP($A1424,MAGAZZINO!$B$2:$M$100000,3,FALSE)</f>
        <v/>
      </c>
      <c r="D1424" s="3">
        <f>+VLOOKUP($A1424,MAGAZZINO!$B$2:$M$100000,4,FALSE)</f>
        <v/>
      </c>
      <c r="E1424" s="3">
        <f>+VLOOKUP($A1424,MAGAZZINO!$B$2:$M$100000,5,FALSE)</f>
        <v/>
      </c>
      <c r="F1424" s="3">
        <f>+VLOOKUP($A1424,MAGAZZINO!$B$2:$M$100000,6,FALSE)</f>
        <v/>
      </c>
      <c r="G1424" s="3">
        <f>+VLOOKUP($A1424,MAGAZZINO!$B$2:$M$100000,7,FALSE)</f>
        <v/>
      </c>
      <c r="H1424" s="3">
        <f>+VLOOKUP($A1424,MAGAZZINO!$B$2:$M$100000,8,FALSE)</f>
        <v/>
      </c>
      <c r="I1424" s="3">
        <f>+VLOOKUP($A1424,MAGAZZINO!$B$2:$M$100000,9,FALSE)</f>
        <v/>
      </c>
      <c r="J1424" s="3">
        <f>+VLOOKUP($A1424,MAGAZZINO!$B$2:$M$100000,10,FALSE)</f>
        <v/>
      </c>
      <c r="K1424" s="3">
        <f>+VLOOKUP($A1424,MAGAZZINO!$B$2:$M$100000,11,FALSE)</f>
        <v/>
      </c>
      <c r="L1424" s="5">
        <f>+VLOOKUP($A1424,MAGAZZINO!$B$2:$M$100000,12,FALSE)</f>
        <v/>
      </c>
      <c r="M1424" s="47" t="n"/>
      <c r="N1424" s="88" t="n">
        <v>45873</v>
      </c>
      <c r="O1424" s="156" t="inlineStr">
        <is>
          <t>BIN HUMAID NATIONAL TRADING CO. (ARABIA SAUDITA)</t>
        </is>
      </c>
      <c r="P1424" s="152" t="inlineStr">
        <is>
          <t xml:space="preserve">  IMPORT LICENSE N. 182480  (END USER CERTIFICATE)                                                                      AUT. ESPORTAZIONE MULTIPLA N. 6B/2025/2M RILASCIATA IL 26/05/2025                        (LICENZA DI SCARICO N. 6B/2025/2S RILASCIATA IL 30/07/2025)</t>
        </is>
      </c>
      <c r="Q1424" s="150" t="n"/>
      <c r="R1424" s="150" t="n"/>
      <c r="S1424" s="153" t="n"/>
    </row>
    <row r="1425" ht="36" customHeight="1">
      <c r="A1425" s="46" t="n">
        <v>3755</v>
      </c>
      <c r="B1425" s="4">
        <f>+VLOOKUP($A1425,MAGAZZINO!$B$2:$M$100000,2,FALSE)</f>
        <v/>
      </c>
      <c r="C1425" s="29">
        <f>+VLOOKUP($A1425,MAGAZZINO!$B$2:$M$100000,3,FALSE)</f>
        <v/>
      </c>
      <c r="D1425" s="3">
        <f>+VLOOKUP($A1425,MAGAZZINO!$B$2:$M$100000,4,FALSE)</f>
        <v/>
      </c>
      <c r="E1425" s="3">
        <f>+VLOOKUP($A1425,MAGAZZINO!$B$2:$M$100000,5,FALSE)</f>
        <v/>
      </c>
      <c r="F1425" s="3">
        <f>+VLOOKUP($A1425,MAGAZZINO!$B$2:$M$100000,6,FALSE)</f>
        <v/>
      </c>
      <c r="G1425" s="3">
        <f>+VLOOKUP($A1425,MAGAZZINO!$B$2:$M$100000,7,FALSE)</f>
        <v/>
      </c>
      <c r="H1425" s="3">
        <f>+VLOOKUP($A1425,MAGAZZINO!$B$2:$M$100000,8,FALSE)</f>
        <v/>
      </c>
      <c r="I1425" s="3">
        <f>+VLOOKUP($A1425,MAGAZZINO!$B$2:$M$100000,9,FALSE)</f>
        <v/>
      </c>
      <c r="J1425" s="3">
        <f>+VLOOKUP($A1425,MAGAZZINO!$B$2:$M$100000,10,FALSE)</f>
        <v/>
      </c>
      <c r="K1425" s="3">
        <f>+VLOOKUP($A1425,MAGAZZINO!$B$2:$M$100000,11,FALSE)</f>
        <v/>
      </c>
      <c r="L1425" s="5">
        <f>+VLOOKUP($A1425,MAGAZZINO!$B$2:$M$100000,12,FALSE)</f>
        <v/>
      </c>
      <c r="M1425" s="47" t="n"/>
      <c r="N1425" s="88" t="n">
        <v>45873</v>
      </c>
      <c r="O1425" s="156" t="inlineStr">
        <is>
          <t>BIN HUMAID NATIONAL TRADING CO. (ARABIA SAUDITA)</t>
        </is>
      </c>
      <c r="P1425" s="152" t="inlineStr">
        <is>
          <t xml:space="preserve">  IMPORT LICENSE N. 182480  (END USER CERTIFICATE)                                                                      AUT. ESPORTAZIONE MULTIPLA N. 6B/2025/2M RILASCIATA IL 26/05/2025                        (LICENZA DI SCARICO N. 6B/2025/2S RILASCIATA IL 30/07/2025)</t>
        </is>
      </c>
      <c r="Q1425" s="150" t="n"/>
      <c r="R1425" s="150" t="n"/>
      <c r="S1425" s="153" t="n"/>
    </row>
    <row r="1426" ht="36" customHeight="1">
      <c r="A1426" s="46" t="n">
        <v>3756</v>
      </c>
      <c r="B1426" s="4">
        <f>+VLOOKUP($A1426,MAGAZZINO!$B$2:$M$100000,2,FALSE)</f>
        <v/>
      </c>
      <c r="C1426" s="29">
        <f>+VLOOKUP($A1426,MAGAZZINO!$B$2:$M$100000,3,FALSE)</f>
        <v/>
      </c>
      <c r="D1426" s="3">
        <f>+VLOOKUP($A1426,MAGAZZINO!$B$2:$M$100000,4,FALSE)</f>
        <v/>
      </c>
      <c r="E1426" s="3">
        <f>+VLOOKUP($A1426,MAGAZZINO!$B$2:$M$100000,5,FALSE)</f>
        <v/>
      </c>
      <c r="F1426" s="3">
        <f>+VLOOKUP($A1426,MAGAZZINO!$B$2:$M$100000,6,FALSE)</f>
        <v/>
      </c>
      <c r="G1426" s="3">
        <f>+VLOOKUP($A1426,MAGAZZINO!$B$2:$M$100000,7,FALSE)</f>
        <v/>
      </c>
      <c r="H1426" s="3">
        <f>+VLOOKUP($A1426,MAGAZZINO!$B$2:$M$100000,8,FALSE)</f>
        <v/>
      </c>
      <c r="I1426" s="3">
        <f>+VLOOKUP($A1426,MAGAZZINO!$B$2:$M$100000,9,FALSE)</f>
        <v/>
      </c>
      <c r="J1426" s="3">
        <f>+VLOOKUP($A1426,MAGAZZINO!$B$2:$M$100000,10,FALSE)</f>
        <v/>
      </c>
      <c r="K1426" s="3">
        <f>+VLOOKUP($A1426,MAGAZZINO!$B$2:$M$100000,11,FALSE)</f>
        <v/>
      </c>
      <c r="L1426" s="5">
        <f>+VLOOKUP($A1426,MAGAZZINO!$B$2:$M$100000,12,FALSE)</f>
        <v/>
      </c>
      <c r="M1426" s="47" t="n"/>
      <c r="N1426" s="88" t="n">
        <v>45873</v>
      </c>
      <c r="O1426" s="156" t="inlineStr">
        <is>
          <t>BIN HUMAID NATIONAL TRADING CO. (ARABIA SAUDITA)</t>
        </is>
      </c>
      <c r="P1426" s="152" t="inlineStr">
        <is>
          <t xml:space="preserve">  IMPORT LICENSE N. 182480  (END USER CERTIFICATE)                                                                      AUT. ESPORTAZIONE MULTIPLA N. 6B/2025/2M RILASCIATA IL 26/05/2025                        (LICENZA DI SCARICO N. 6B/2025/2S RILASCIATA IL 30/07/2025)</t>
        </is>
      </c>
      <c r="Q1426" s="150" t="n"/>
      <c r="R1426" s="150" t="n"/>
      <c r="S1426" s="153" t="n"/>
    </row>
    <row r="1427" ht="36" customHeight="1">
      <c r="A1427" s="46" t="n">
        <v>3757</v>
      </c>
      <c r="B1427" s="4">
        <f>+VLOOKUP($A1427,MAGAZZINO!$B$2:$M$100000,2,FALSE)</f>
        <v/>
      </c>
      <c r="C1427" s="29">
        <f>+VLOOKUP($A1427,MAGAZZINO!$B$2:$M$100000,3,FALSE)</f>
        <v/>
      </c>
      <c r="D1427" s="3">
        <f>+VLOOKUP($A1427,MAGAZZINO!$B$2:$M$100000,4,FALSE)</f>
        <v/>
      </c>
      <c r="E1427" s="3">
        <f>+VLOOKUP($A1427,MAGAZZINO!$B$2:$M$100000,5,FALSE)</f>
        <v/>
      </c>
      <c r="F1427" s="3">
        <f>+VLOOKUP($A1427,MAGAZZINO!$B$2:$M$100000,6,FALSE)</f>
        <v/>
      </c>
      <c r="G1427" s="3">
        <f>+VLOOKUP($A1427,MAGAZZINO!$B$2:$M$100000,7,FALSE)</f>
        <v/>
      </c>
      <c r="H1427" s="3">
        <f>+VLOOKUP($A1427,MAGAZZINO!$B$2:$M$100000,8,FALSE)</f>
        <v/>
      </c>
      <c r="I1427" s="3">
        <f>+VLOOKUP($A1427,MAGAZZINO!$B$2:$M$100000,9,FALSE)</f>
        <v/>
      </c>
      <c r="J1427" s="3">
        <f>+VLOOKUP($A1427,MAGAZZINO!$B$2:$M$100000,10,FALSE)</f>
        <v/>
      </c>
      <c r="K1427" s="3">
        <f>+VLOOKUP($A1427,MAGAZZINO!$B$2:$M$100000,11,FALSE)</f>
        <v/>
      </c>
      <c r="L1427" s="5">
        <f>+VLOOKUP($A1427,MAGAZZINO!$B$2:$M$100000,12,FALSE)</f>
        <v/>
      </c>
      <c r="M1427" s="47" t="n"/>
      <c r="N1427" s="88" t="n">
        <v>45873</v>
      </c>
      <c r="O1427" s="156" t="inlineStr">
        <is>
          <t>BIN HUMAID NATIONAL TRADING CO. (ARABIA SAUDITA)</t>
        </is>
      </c>
      <c r="P1427" s="152" t="inlineStr">
        <is>
          <t xml:space="preserve">  IMPORT LICENSE N. 182480  (END USER CERTIFICATE)                                                                      AUT. ESPORTAZIONE MULTIPLA N. 6B/2025/2M RILASCIATA IL 26/05/2025                        (LICENZA DI SCARICO N. 6B/2025/2S RILASCIATA IL 30/07/2025)</t>
        </is>
      </c>
      <c r="Q1427" s="150" t="n"/>
      <c r="R1427" s="150" t="n"/>
      <c r="S1427" s="153" t="n"/>
    </row>
    <row r="1428" ht="36" customHeight="1">
      <c r="A1428" s="46" t="n">
        <v>3758</v>
      </c>
      <c r="B1428" s="4">
        <f>+VLOOKUP($A1428,MAGAZZINO!$B$2:$M$100000,2,FALSE)</f>
        <v/>
      </c>
      <c r="C1428" s="29">
        <f>+VLOOKUP($A1428,MAGAZZINO!$B$2:$M$100000,3,FALSE)</f>
        <v/>
      </c>
      <c r="D1428" s="3">
        <f>+VLOOKUP($A1428,MAGAZZINO!$B$2:$M$100000,4,FALSE)</f>
        <v/>
      </c>
      <c r="E1428" s="3">
        <f>+VLOOKUP($A1428,MAGAZZINO!$B$2:$M$100000,5,FALSE)</f>
        <v/>
      </c>
      <c r="F1428" s="3">
        <f>+VLOOKUP($A1428,MAGAZZINO!$B$2:$M$100000,6,FALSE)</f>
        <v/>
      </c>
      <c r="G1428" s="3">
        <f>+VLOOKUP($A1428,MAGAZZINO!$B$2:$M$100000,7,FALSE)</f>
        <v/>
      </c>
      <c r="H1428" s="3">
        <f>+VLOOKUP($A1428,MAGAZZINO!$B$2:$M$100000,8,FALSE)</f>
        <v/>
      </c>
      <c r="I1428" s="3">
        <f>+VLOOKUP($A1428,MAGAZZINO!$B$2:$M$100000,9,FALSE)</f>
        <v/>
      </c>
      <c r="J1428" s="3">
        <f>+VLOOKUP($A1428,MAGAZZINO!$B$2:$M$100000,10,FALSE)</f>
        <v/>
      </c>
      <c r="K1428" s="3">
        <f>+VLOOKUP($A1428,MAGAZZINO!$B$2:$M$100000,11,FALSE)</f>
        <v/>
      </c>
      <c r="L1428" s="5">
        <f>+VLOOKUP($A1428,MAGAZZINO!$B$2:$M$100000,12,FALSE)</f>
        <v/>
      </c>
      <c r="M1428" s="47" t="n"/>
      <c r="N1428" s="88" t="n">
        <v>45873</v>
      </c>
      <c r="O1428" s="156" t="inlineStr">
        <is>
          <t>BIN HUMAID NATIONAL TRADING CO. (ARABIA SAUDITA)</t>
        </is>
      </c>
      <c r="P1428" s="152" t="inlineStr">
        <is>
          <t xml:space="preserve">  IMPORT LICENSE N. 182480  (END USER CERTIFICATE)                                                                      AUT. ESPORTAZIONE MULTIPLA N. 6B/2025/2M RILASCIATA IL 26/05/2025                        (LICENZA DI SCARICO N. 6B/2025/2S RILASCIATA IL 30/07/2025)</t>
        </is>
      </c>
      <c r="Q1428" s="150" t="n"/>
      <c r="R1428" s="150" t="n"/>
      <c r="S1428" s="153" t="n"/>
    </row>
    <row r="1429" ht="36" customHeight="1">
      <c r="A1429" s="46" t="n">
        <v>3759</v>
      </c>
      <c r="B1429" s="4">
        <f>+VLOOKUP($A1429,MAGAZZINO!$B$2:$M$100000,2,FALSE)</f>
        <v/>
      </c>
      <c r="C1429" s="29">
        <f>+VLOOKUP($A1429,MAGAZZINO!$B$2:$M$100000,3,FALSE)</f>
        <v/>
      </c>
      <c r="D1429" s="3">
        <f>+VLOOKUP($A1429,MAGAZZINO!$B$2:$M$100000,4,FALSE)</f>
        <v/>
      </c>
      <c r="E1429" s="3">
        <f>+VLOOKUP($A1429,MAGAZZINO!$B$2:$M$100000,5,FALSE)</f>
        <v/>
      </c>
      <c r="F1429" s="3">
        <f>+VLOOKUP($A1429,MAGAZZINO!$B$2:$M$100000,6,FALSE)</f>
        <v/>
      </c>
      <c r="G1429" s="3">
        <f>+VLOOKUP($A1429,MAGAZZINO!$B$2:$M$100000,7,FALSE)</f>
        <v/>
      </c>
      <c r="H1429" s="3">
        <f>+VLOOKUP($A1429,MAGAZZINO!$B$2:$M$100000,8,FALSE)</f>
        <v/>
      </c>
      <c r="I1429" s="3">
        <f>+VLOOKUP($A1429,MAGAZZINO!$B$2:$M$100000,9,FALSE)</f>
        <v/>
      </c>
      <c r="J1429" s="3">
        <f>+VLOOKUP($A1429,MAGAZZINO!$B$2:$M$100000,10,FALSE)</f>
        <v/>
      </c>
      <c r="K1429" s="3">
        <f>+VLOOKUP($A1429,MAGAZZINO!$B$2:$M$100000,11,FALSE)</f>
        <v/>
      </c>
      <c r="L1429" s="5">
        <f>+VLOOKUP($A1429,MAGAZZINO!$B$2:$M$100000,12,FALSE)</f>
        <v/>
      </c>
      <c r="M1429" s="47" t="n"/>
      <c r="N1429" s="88" t="n">
        <v>45873</v>
      </c>
      <c r="O1429" s="156" t="inlineStr">
        <is>
          <t>BIN HUMAID NATIONAL TRADING CO. (ARABIA SAUDITA)</t>
        </is>
      </c>
      <c r="P1429" s="152" t="inlineStr">
        <is>
          <t xml:space="preserve">  IMPORT LICENSE N. 182480  (END USER CERTIFICATE)                                                                      AUT. ESPORTAZIONE MULTIPLA N. 6B/2025/2M RILASCIATA IL 26/05/2025                        (LICENZA DI SCARICO N. 6B/2025/2S RILASCIATA IL 30/07/2025)</t>
        </is>
      </c>
      <c r="Q1429" s="150" t="n"/>
      <c r="R1429" s="150" t="n"/>
      <c r="S1429" s="153" t="n"/>
    </row>
    <row r="1430" ht="36" customHeight="1">
      <c r="A1430" s="46" t="n">
        <v>3760</v>
      </c>
      <c r="B1430" s="4">
        <f>+VLOOKUP($A1430,MAGAZZINO!$B$2:$M$100000,2,FALSE)</f>
        <v/>
      </c>
      <c r="C1430" s="29">
        <f>+VLOOKUP($A1430,MAGAZZINO!$B$2:$M$100000,3,FALSE)</f>
        <v/>
      </c>
      <c r="D1430" s="3">
        <f>+VLOOKUP($A1430,MAGAZZINO!$B$2:$M$100000,4,FALSE)</f>
        <v/>
      </c>
      <c r="E1430" s="3">
        <f>+VLOOKUP($A1430,MAGAZZINO!$B$2:$M$100000,5,FALSE)</f>
        <v/>
      </c>
      <c r="F1430" s="3">
        <f>+VLOOKUP($A1430,MAGAZZINO!$B$2:$M$100000,6,FALSE)</f>
        <v/>
      </c>
      <c r="G1430" s="3">
        <f>+VLOOKUP($A1430,MAGAZZINO!$B$2:$M$100000,7,FALSE)</f>
        <v/>
      </c>
      <c r="H1430" s="3">
        <f>+VLOOKUP($A1430,MAGAZZINO!$B$2:$M$100000,8,FALSE)</f>
        <v/>
      </c>
      <c r="I1430" s="3">
        <f>+VLOOKUP($A1430,MAGAZZINO!$B$2:$M$100000,9,FALSE)</f>
        <v/>
      </c>
      <c r="J1430" s="3">
        <f>+VLOOKUP($A1430,MAGAZZINO!$B$2:$M$100000,10,FALSE)</f>
        <v/>
      </c>
      <c r="K1430" s="3">
        <f>+VLOOKUP($A1430,MAGAZZINO!$B$2:$M$100000,11,FALSE)</f>
        <v/>
      </c>
      <c r="L1430" s="5">
        <f>+VLOOKUP($A1430,MAGAZZINO!$B$2:$M$100000,12,FALSE)</f>
        <v/>
      </c>
      <c r="M1430" s="47" t="n"/>
      <c r="N1430" s="88" t="n">
        <v>45873</v>
      </c>
      <c r="O1430" s="156" t="inlineStr">
        <is>
          <t>BIN HUMAID NATIONAL TRADING CO. (ARABIA SAUDITA)</t>
        </is>
      </c>
      <c r="P1430" s="152" t="inlineStr">
        <is>
          <t xml:space="preserve">  IMPORT LICENSE N. 182480  (END USER CERTIFICATE)                                                                      AUT. ESPORTAZIONE MULTIPLA N. 6B/2025/2M RILASCIATA IL 26/05/2025                        (LICENZA DI SCARICO N. 6B/2025/2S RILASCIATA IL 30/07/2025)</t>
        </is>
      </c>
      <c r="Q1430" s="150" t="n"/>
      <c r="R1430" s="150" t="n"/>
      <c r="S1430" s="153" t="n"/>
    </row>
    <row r="1431" ht="36" customHeight="1">
      <c r="A1431" s="46" t="n">
        <v>3761</v>
      </c>
      <c r="B1431" s="4">
        <f>+VLOOKUP($A1431,MAGAZZINO!$B$2:$M$100000,2,FALSE)</f>
        <v/>
      </c>
      <c r="C1431" s="29">
        <f>+VLOOKUP($A1431,MAGAZZINO!$B$2:$M$100000,3,FALSE)</f>
        <v/>
      </c>
      <c r="D1431" s="3">
        <f>+VLOOKUP($A1431,MAGAZZINO!$B$2:$M$100000,4,FALSE)</f>
        <v/>
      </c>
      <c r="E1431" s="3">
        <f>+VLOOKUP($A1431,MAGAZZINO!$B$2:$M$100000,5,FALSE)</f>
        <v/>
      </c>
      <c r="F1431" s="3">
        <f>+VLOOKUP($A1431,MAGAZZINO!$B$2:$M$100000,6,FALSE)</f>
        <v/>
      </c>
      <c r="G1431" s="3">
        <f>+VLOOKUP($A1431,MAGAZZINO!$B$2:$M$100000,7,FALSE)</f>
        <v/>
      </c>
      <c r="H1431" s="3">
        <f>+VLOOKUP($A1431,MAGAZZINO!$B$2:$M$100000,8,FALSE)</f>
        <v/>
      </c>
      <c r="I1431" s="3">
        <f>+VLOOKUP($A1431,MAGAZZINO!$B$2:$M$100000,9,FALSE)</f>
        <v/>
      </c>
      <c r="J1431" s="3">
        <f>+VLOOKUP($A1431,MAGAZZINO!$B$2:$M$100000,10,FALSE)</f>
        <v/>
      </c>
      <c r="K1431" s="3">
        <f>+VLOOKUP($A1431,MAGAZZINO!$B$2:$M$100000,11,FALSE)</f>
        <v/>
      </c>
      <c r="L1431" s="5">
        <f>+VLOOKUP($A1431,MAGAZZINO!$B$2:$M$100000,12,FALSE)</f>
        <v/>
      </c>
      <c r="M1431" s="47" t="n"/>
      <c r="N1431" s="88" t="n">
        <v>45873</v>
      </c>
      <c r="O1431" s="156" t="inlineStr">
        <is>
          <t>BIN HUMAID NATIONAL TRADING CO. (ARABIA SAUDITA)</t>
        </is>
      </c>
      <c r="P1431" s="152" t="inlineStr">
        <is>
          <t xml:space="preserve">  IMPORT LICENSE N. 182480  (END USER CERTIFICATE)                                                                      AUT. ESPORTAZIONE MULTIPLA N. 6B/2025/2M RILASCIATA IL 26/05/2025                        (LICENZA DI SCARICO N. 6B/2025/2S RILASCIATA IL 30/07/2025)</t>
        </is>
      </c>
      <c r="Q1431" s="150" t="n"/>
      <c r="R1431" s="150" t="n"/>
      <c r="S1431" s="153" t="n"/>
    </row>
    <row r="1432" ht="36" customHeight="1">
      <c r="A1432" s="46" t="n">
        <v>3762</v>
      </c>
      <c r="B1432" s="4">
        <f>+VLOOKUP($A1432,MAGAZZINO!$B$2:$M$100000,2,FALSE)</f>
        <v/>
      </c>
      <c r="C1432" s="29">
        <f>+VLOOKUP($A1432,MAGAZZINO!$B$2:$M$100000,3,FALSE)</f>
        <v/>
      </c>
      <c r="D1432" s="3">
        <f>+VLOOKUP($A1432,MAGAZZINO!$B$2:$M$100000,4,FALSE)</f>
        <v/>
      </c>
      <c r="E1432" s="3">
        <f>+VLOOKUP($A1432,MAGAZZINO!$B$2:$M$100000,5,FALSE)</f>
        <v/>
      </c>
      <c r="F1432" s="3">
        <f>+VLOOKUP($A1432,MAGAZZINO!$B$2:$M$100000,6,FALSE)</f>
        <v/>
      </c>
      <c r="G1432" s="3">
        <f>+VLOOKUP($A1432,MAGAZZINO!$B$2:$M$100000,7,FALSE)</f>
        <v/>
      </c>
      <c r="H1432" s="3">
        <f>+VLOOKUP($A1432,MAGAZZINO!$B$2:$M$100000,8,FALSE)</f>
        <v/>
      </c>
      <c r="I1432" s="3">
        <f>+VLOOKUP($A1432,MAGAZZINO!$B$2:$M$100000,9,FALSE)</f>
        <v/>
      </c>
      <c r="J1432" s="3">
        <f>+VLOOKUP($A1432,MAGAZZINO!$B$2:$M$100000,10,FALSE)</f>
        <v/>
      </c>
      <c r="K1432" s="3">
        <f>+VLOOKUP($A1432,MAGAZZINO!$B$2:$M$100000,11,FALSE)</f>
        <v/>
      </c>
      <c r="L1432" s="5">
        <f>+VLOOKUP($A1432,MAGAZZINO!$B$2:$M$100000,12,FALSE)</f>
        <v/>
      </c>
      <c r="M1432" s="47" t="n"/>
      <c r="N1432" s="88" t="n">
        <v>45873</v>
      </c>
      <c r="O1432" s="156" t="inlineStr">
        <is>
          <t>BIN HUMAID NATIONAL TRADING CO. (ARABIA SAUDITA)</t>
        </is>
      </c>
      <c r="P1432" s="152" t="inlineStr">
        <is>
          <t xml:space="preserve">  IMPORT LICENSE N. 182480  (END USER CERTIFICATE)                                                                      AUT. ESPORTAZIONE MULTIPLA N. 6B/2025/2M RILASCIATA IL 26/05/2025                        (LICENZA DI SCARICO N. 6B/2025/2S RILASCIATA IL 30/07/2025)</t>
        </is>
      </c>
      <c r="Q1432" s="150" t="n"/>
      <c r="R1432" s="150" t="n"/>
      <c r="S1432" s="153" t="n"/>
    </row>
    <row r="1433" ht="36" customHeight="1">
      <c r="A1433" s="46" t="n">
        <v>3763</v>
      </c>
      <c r="B1433" s="4">
        <f>+VLOOKUP($A1433,MAGAZZINO!$B$2:$M$100000,2,FALSE)</f>
        <v/>
      </c>
      <c r="C1433" s="29">
        <f>+VLOOKUP($A1433,MAGAZZINO!$B$2:$M$100000,3,FALSE)</f>
        <v/>
      </c>
      <c r="D1433" s="3">
        <f>+VLOOKUP($A1433,MAGAZZINO!$B$2:$M$100000,4,FALSE)</f>
        <v/>
      </c>
      <c r="E1433" s="3">
        <f>+VLOOKUP($A1433,MAGAZZINO!$B$2:$M$100000,5,FALSE)</f>
        <v/>
      </c>
      <c r="F1433" s="3">
        <f>+VLOOKUP($A1433,MAGAZZINO!$B$2:$M$100000,6,FALSE)</f>
        <v/>
      </c>
      <c r="G1433" s="3">
        <f>+VLOOKUP($A1433,MAGAZZINO!$B$2:$M$100000,7,FALSE)</f>
        <v/>
      </c>
      <c r="H1433" s="3">
        <f>+VLOOKUP($A1433,MAGAZZINO!$B$2:$M$100000,8,FALSE)</f>
        <v/>
      </c>
      <c r="I1433" s="3">
        <f>+VLOOKUP($A1433,MAGAZZINO!$B$2:$M$100000,9,FALSE)</f>
        <v/>
      </c>
      <c r="J1433" s="3">
        <f>+VLOOKUP($A1433,MAGAZZINO!$B$2:$M$100000,10,FALSE)</f>
        <v/>
      </c>
      <c r="K1433" s="3">
        <f>+VLOOKUP($A1433,MAGAZZINO!$B$2:$M$100000,11,FALSE)</f>
        <v/>
      </c>
      <c r="L1433" s="5">
        <f>+VLOOKUP($A1433,MAGAZZINO!$B$2:$M$100000,12,FALSE)</f>
        <v/>
      </c>
      <c r="M1433" s="47" t="n"/>
      <c r="N1433" s="88" t="n">
        <v>45873</v>
      </c>
      <c r="O1433" s="156" t="inlineStr">
        <is>
          <t>BIN HUMAID NATIONAL TRADING CO. (ARABIA SAUDITA)</t>
        </is>
      </c>
      <c r="P1433" s="152" t="inlineStr">
        <is>
          <t xml:space="preserve">  IMPORT LICENSE N. 182480  (END USER CERTIFICATE)                                                                      AUT. ESPORTAZIONE MULTIPLA N. 6B/2025/2M RILASCIATA IL 26/05/2025                        (LICENZA DI SCARICO N. 6B/2025/2S RILASCIATA IL 30/07/2025)</t>
        </is>
      </c>
      <c r="Q1433" s="150" t="n"/>
      <c r="R1433" s="150" t="n"/>
      <c r="S1433" s="153" t="n"/>
    </row>
    <row r="1434" ht="36" customHeight="1">
      <c r="A1434" s="46" t="n">
        <v>3764</v>
      </c>
      <c r="B1434" s="4">
        <f>+VLOOKUP($A1434,MAGAZZINO!$B$2:$M$100000,2,FALSE)</f>
        <v/>
      </c>
      <c r="C1434" s="29">
        <f>+VLOOKUP($A1434,MAGAZZINO!$B$2:$M$100000,3,FALSE)</f>
        <v/>
      </c>
      <c r="D1434" s="3">
        <f>+VLOOKUP($A1434,MAGAZZINO!$B$2:$M$100000,4,FALSE)</f>
        <v/>
      </c>
      <c r="E1434" s="3">
        <f>+VLOOKUP($A1434,MAGAZZINO!$B$2:$M$100000,5,FALSE)</f>
        <v/>
      </c>
      <c r="F1434" s="3">
        <f>+VLOOKUP($A1434,MAGAZZINO!$B$2:$M$100000,6,FALSE)</f>
        <v/>
      </c>
      <c r="G1434" s="3">
        <f>+VLOOKUP($A1434,MAGAZZINO!$B$2:$M$100000,7,FALSE)</f>
        <v/>
      </c>
      <c r="H1434" s="3">
        <f>+VLOOKUP($A1434,MAGAZZINO!$B$2:$M$100000,8,FALSE)</f>
        <v/>
      </c>
      <c r="I1434" s="3">
        <f>+VLOOKUP($A1434,MAGAZZINO!$B$2:$M$100000,9,FALSE)</f>
        <v/>
      </c>
      <c r="J1434" s="3">
        <f>+VLOOKUP($A1434,MAGAZZINO!$B$2:$M$100000,10,FALSE)</f>
        <v/>
      </c>
      <c r="K1434" s="3">
        <f>+VLOOKUP($A1434,MAGAZZINO!$B$2:$M$100000,11,FALSE)</f>
        <v/>
      </c>
      <c r="L1434" s="5">
        <f>+VLOOKUP($A1434,MAGAZZINO!$B$2:$M$100000,12,FALSE)</f>
        <v/>
      </c>
      <c r="M1434" s="47" t="n"/>
      <c r="N1434" s="88" t="n">
        <v>45873</v>
      </c>
      <c r="O1434" s="156" t="inlineStr">
        <is>
          <t>BIN HUMAID NATIONAL TRADING CO. (ARABIA SAUDITA)</t>
        </is>
      </c>
      <c r="P1434" s="152" t="inlineStr">
        <is>
          <t xml:space="preserve">  IMPORT LICENSE N. 182480  (END USER CERTIFICATE)                                                                      AUT. ESPORTAZIONE MULTIPLA N. 6B/2025/2M RILASCIATA IL 26/05/2025                        (LICENZA DI SCARICO N. 6B/2025/2S RILASCIATA IL 30/07/2025)</t>
        </is>
      </c>
      <c r="Q1434" s="150" t="n"/>
      <c r="R1434" s="150" t="n"/>
      <c r="S1434" s="153" t="n"/>
    </row>
    <row r="1435" ht="36" customHeight="1">
      <c r="A1435" s="46" t="n">
        <v>3765</v>
      </c>
      <c r="B1435" s="4">
        <f>+VLOOKUP($A1435,MAGAZZINO!$B$2:$M$100000,2,FALSE)</f>
        <v/>
      </c>
      <c r="C1435" s="29">
        <f>+VLOOKUP($A1435,MAGAZZINO!$B$2:$M$100000,3,FALSE)</f>
        <v/>
      </c>
      <c r="D1435" s="3">
        <f>+VLOOKUP($A1435,MAGAZZINO!$B$2:$M$100000,4,FALSE)</f>
        <v/>
      </c>
      <c r="E1435" s="3">
        <f>+VLOOKUP($A1435,MAGAZZINO!$B$2:$M$100000,5,FALSE)</f>
        <v/>
      </c>
      <c r="F1435" s="3">
        <f>+VLOOKUP($A1435,MAGAZZINO!$B$2:$M$100000,6,FALSE)</f>
        <v/>
      </c>
      <c r="G1435" s="3">
        <f>+VLOOKUP($A1435,MAGAZZINO!$B$2:$M$100000,7,FALSE)</f>
        <v/>
      </c>
      <c r="H1435" s="3">
        <f>+VLOOKUP($A1435,MAGAZZINO!$B$2:$M$100000,8,FALSE)</f>
        <v/>
      </c>
      <c r="I1435" s="3">
        <f>+VLOOKUP($A1435,MAGAZZINO!$B$2:$M$100000,9,FALSE)</f>
        <v/>
      </c>
      <c r="J1435" s="3">
        <f>+VLOOKUP($A1435,MAGAZZINO!$B$2:$M$100000,10,FALSE)</f>
        <v/>
      </c>
      <c r="K1435" s="3">
        <f>+VLOOKUP($A1435,MAGAZZINO!$B$2:$M$100000,11,FALSE)</f>
        <v/>
      </c>
      <c r="L1435" s="5">
        <f>+VLOOKUP($A1435,MAGAZZINO!$B$2:$M$100000,12,FALSE)</f>
        <v/>
      </c>
      <c r="M1435" s="47" t="n"/>
      <c r="N1435" s="88" t="n">
        <v>45873</v>
      </c>
      <c r="O1435" s="156" t="inlineStr">
        <is>
          <t>BIN HUMAID NATIONAL TRADING CO. (ARABIA SAUDITA)</t>
        </is>
      </c>
      <c r="P1435" s="152" t="inlineStr">
        <is>
          <t xml:space="preserve">  IMPORT LICENSE N. 182480  (END USER CERTIFICATE)                                                                      AUT. ESPORTAZIONE MULTIPLA N. 6B/2025/2M RILASCIATA IL 26/05/2025                        (LICENZA DI SCARICO N. 6B/2025/2S RILASCIATA IL 30/07/2025)</t>
        </is>
      </c>
      <c r="Q1435" s="150" t="n"/>
      <c r="R1435" s="150" t="n"/>
      <c r="S1435" s="153" t="n"/>
    </row>
    <row r="1436" ht="36" customHeight="1">
      <c r="A1436" s="46" t="n">
        <v>3766</v>
      </c>
      <c r="B1436" s="4">
        <f>+VLOOKUP($A1436,MAGAZZINO!$B$2:$M$100000,2,FALSE)</f>
        <v/>
      </c>
      <c r="C1436" s="29">
        <f>+VLOOKUP($A1436,MAGAZZINO!$B$2:$M$100000,3,FALSE)</f>
        <v/>
      </c>
      <c r="D1436" s="3">
        <f>+VLOOKUP($A1436,MAGAZZINO!$B$2:$M$100000,4,FALSE)</f>
        <v/>
      </c>
      <c r="E1436" s="3">
        <f>+VLOOKUP($A1436,MAGAZZINO!$B$2:$M$100000,5,FALSE)</f>
        <v/>
      </c>
      <c r="F1436" s="3">
        <f>+VLOOKUP($A1436,MAGAZZINO!$B$2:$M$100000,6,FALSE)</f>
        <v/>
      </c>
      <c r="G1436" s="3">
        <f>+VLOOKUP($A1436,MAGAZZINO!$B$2:$M$100000,7,FALSE)</f>
        <v/>
      </c>
      <c r="H1436" s="3">
        <f>+VLOOKUP($A1436,MAGAZZINO!$B$2:$M$100000,8,FALSE)</f>
        <v/>
      </c>
      <c r="I1436" s="3">
        <f>+VLOOKUP($A1436,MAGAZZINO!$B$2:$M$100000,9,FALSE)</f>
        <v/>
      </c>
      <c r="J1436" s="3">
        <f>+VLOOKUP($A1436,MAGAZZINO!$B$2:$M$100000,10,FALSE)</f>
        <v/>
      </c>
      <c r="K1436" s="3">
        <f>+VLOOKUP($A1436,MAGAZZINO!$B$2:$M$100000,11,FALSE)</f>
        <v/>
      </c>
      <c r="L1436" s="5">
        <f>+VLOOKUP($A1436,MAGAZZINO!$B$2:$M$100000,12,FALSE)</f>
        <v/>
      </c>
      <c r="M1436" s="47" t="n"/>
      <c r="N1436" s="88" t="n">
        <v>45873</v>
      </c>
      <c r="O1436" s="156" t="inlineStr">
        <is>
          <t>BIN HUMAID NATIONAL TRADING CO. (ARABIA SAUDITA)</t>
        </is>
      </c>
      <c r="P1436" s="152" t="inlineStr">
        <is>
          <t xml:space="preserve">  IMPORT LICENSE N. 182480  (END USER CERTIFICATE)                                                                      AUT. ESPORTAZIONE MULTIPLA N. 6B/2025/2M RILASCIATA IL 26/05/2025                        (LICENZA DI SCARICO N. 6B/2025/2S RILASCIATA IL 30/07/2025)</t>
        </is>
      </c>
      <c r="Q1436" s="150" t="n"/>
      <c r="R1436" s="150" t="n"/>
      <c r="S1436" s="153" t="n"/>
    </row>
    <row r="1437" ht="36" customHeight="1">
      <c r="A1437" s="46" t="n">
        <v>3767</v>
      </c>
      <c r="B1437" s="4">
        <f>+VLOOKUP($A1437,MAGAZZINO!$B$2:$M$100000,2,FALSE)</f>
        <v/>
      </c>
      <c r="C1437" s="29">
        <f>+VLOOKUP($A1437,MAGAZZINO!$B$2:$M$100000,3,FALSE)</f>
        <v/>
      </c>
      <c r="D1437" s="3">
        <f>+VLOOKUP($A1437,MAGAZZINO!$B$2:$M$100000,4,FALSE)</f>
        <v/>
      </c>
      <c r="E1437" s="3">
        <f>+VLOOKUP($A1437,MAGAZZINO!$B$2:$M$100000,5,FALSE)</f>
        <v/>
      </c>
      <c r="F1437" s="3">
        <f>+VLOOKUP($A1437,MAGAZZINO!$B$2:$M$100000,6,FALSE)</f>
        <v/>
      </c>
      <c r="G1437" s="3">
        <f>+VLOOKUP($A1437,MAGAZZINO!$B$2:$M$100000,7,FALSE)</f>
        <v/>
      </c>
      <c r="H1437" s="3">
        <f>+VLOOKUP($A1437,MAGAZZINO!$B$2:$M$100000,8,FALSE)</f>
        <v/>
      </c>
      <c r="I1437" s="3">
        <f>+VLOOKUP($A1437,MAGAZZINO!$B$2:$M$100000,9,FALSE)</f>
        <v/>
      </c>
      <c r="J1437" s="3">
        <f>+VLOOKUP($A1437,MAGAZZINO!$B$2:$M$100000,10,FALSE)</f>
        <v/>
      </c>
      <c r="K1437" s="3">
        <f>+VLOOKUP($A1437,MAGAZZINO!$B$2:$M$100000,11,FALSE)</f>
        <v/>
      </c>
      <c r="L1437" s="5">
        <f>+VLOOKUP($A1437,MAGAZZINO!$B$2:$M$100000,12,FALSE)</f>
        <v/>
      </c>
      <c r="M1437" s="47" t="n"/>
      <c r="N1437" s="88" t="n">
        <v>45873</v>
      </c>
      <c r="O1437" s="156" t="inlineStr">
        <is>
          <t>BIN HUMAID NATIONAL TRADING CO. (ARABIA SAUDITA)</t>
        </is>
      </c>
      <c r="P1437" s="152" t="inlineStr">
        <is>
          <t xml:space="preserve">  IMPORT LICENSE N. 182480  (END USER CERTIFICATE)                                                                      AUT. ESPORTAZIONE MULTIPLA N. 6B/2025/2M RILASCIATA IL 26/05/2025                        (LICENZA DI SCARICO N. 6B/2025/2S RILASCIATA IL 30/07/2025)</t>
        </is>
      </c>
      <c r="Q1437" s="150" t="n"/>
      <c r="R1437" s="150" t="n"/>
      <c r="S1437" s="153" t="n"/>
    </row>
    <row r="1438" ht="36" customHeight="1">
      <c r="A1438" s="46" t="n">
        <v>3768</v>
      </c>
      <c r="B1438" s="4">
        <f>+VLOOKUP($A1438,MAGAZZINO!$B$2:$M$100000,2,FALSE)</f>
        <v/>
      </c>
      <c r="C1438" s="29">
        <f>+VLOOKUP($A1438,MAGAZZINO!$B$2:$M$100000,3,FALSE)</f>
        <v/>
      </c>
      <c r="D1438" s="3">
        <f>+VLOOKUP($A1438,MAGAZZINO!$B$2:$M$100000,4,FALSE)</f>
        <v/>
      </c>
      <c r="E1438" s="3">
        <f>+VLOOKUP($A1438,MAGAZZINO!$B$2:$M$100000,5,FALSE)</f>
        <v/>
      </c>
      <c r="F1438" s="3">
        <f>+VLOOKUP($A1438,MAGAZZINO!$B$2:$M$100000,6,FALSE)</f>
        <v/>
      </c>
      <c r="G1438" s="3">
        <f>+VLOOKUP($A1438,MAGAZZINO!$B$2:$M$100000,7,FALSE)</f>
        <v/>
      </c>
      <c r="H1438" s="3">
        <f>+VLOOKUP($A1438,MAGAZZINO!$B$2:$M$100000,8,FALSE)</f>
        <v/>
      </c>
      <c r="I1438" s="3">
        <f>+VLOOKUP($A1438,MAGAZZINO!$B$2:$M$100000,9,FALSE)</f>
        <v/>
      </c>
      <c r="J1438" s="3">
        <f>+VLOOKUP($A1438,MAGAZZINO!$B$2:$M$100000,10,FALSE)</f>
        <v/>
      </c>
      <c r="K1438" s="3">
        <f>+VLOOKUP($A1438,MAGAZZINO!$B$2:$M$100000,11,FALSE)</f>
        <v/>
      </c>
      <c r="L1438" s="5">
        <f>+VLOOKUP($A1438,MAGAZZINO!$B$2:$M$100000,12,FALSE)</f>
        <v/>
      </c>
      <c r="M1438" s="47" t="n"/>
      <c r="N1438" s="88" t="n">
        <v>45873</v>
      </c>
      <c r="O1438" s="156" t="inlineStr">
        <is>
          <t>BIN HUMAID NATIONAL TRADING CO. (ARABIA SAUDITA)</t>
        </is>
      </c>
      <c r="P1438" s="152" t="inlineStr">
        <is>
          <t xml:space="preserve">  IMPORT LICENSE N. 182480  (END USER CERTIFICATE)                                                                      AUT. ESPORTAZIONE MULTIPLA N. 6B/2025/2M RILASCIATA IL 26/05/2025                        (LICENZA DI SCARICO N. 6B/2025/2S RILASCIATA IL 30/07/2025)</t>
        </is>
      </c>
      <c r="Q1438" s="150" t="n"/>
      <c r="R1438" s="150" t="n"/>
      <c r="S1438" s="153" t="n"/>
    </row>
    <row r="1439" ht="36" customHeight="1">
      <c r="A1439" s="46" t="n">
        <v>3769</v>
      </c>
      <c r="B1439" s="4">
        <f>+VLOOKUP($A1439,MAGAZZINO!$B$2:$M$100000,2,FALSE)</f>
        <v/>
      </c>
      <c r="C1439" s="29">
        <f>+VLOOKUP($A1439,MAGAZZINO!$B$2:$M$100000,3,FALSE)</f>
        <v/>
      </c>
      <c r="D1439" s="3">
        <f>+VLOOKUP($A1439,MAGAZZINO!$B$2:$M$100000,4,FALSE)</f>
        <v/>
      </c>
      <c r="E1439" s="3">
        <f>+VLOOKUP($A1439,MAGAZZINO!$B$2:$M$100000,5,FALSE)</f>
        <v/>
      </c>
      <c r="F1439" s="3">
        <f>+VLOOKUP($A1439,MAGAZZINO!$B$2:$M$100000,6,FALSE)</f>
        <v/>
      </c>
      <c r="G1439" s="3">
        <f>+VLOOKUP($A1439,MAGAZZINO!$B$2:$M$100000,7,FALSE)</f>
        <v/>
      </c>
      <c r="H1439" s="3">
        <f>+VLOOKUP($A1439,MAGAZZINO!$B$2:$M$100000,8,FALSE)</f>
        <v/>
      </c>
      <c r="I1439" s="3">
        <f>+VLOOKUP($A1439,MAGAZZINO!$B$2:$M$100000,9,FALSE)</f>
        <v/>
      </c>
      <c r="J1439" s="3">
        <f>+VLOOKUP($A1439,MAGAZZINO!$B$2:$M$100000,10,FALSE)</f>
        <v/>
      </c>
      <c r="K1439" s="3">
        <f>+VLOOKUP($A1439,MAGAZZINO!$B$2:$M$100000,11,FALSE)</f>
        <v/>
      </c>
      <c r="L1439" s="5">
        <f>+VLOOKUP($A1439,MAGAZZINO!$B$2:$M$100000,12,FALSE)</f>
        <v/>
      </c>
      <c r="M1439" s="47" t="n"/>
      <c r="N1439" s="88" t="n">
        <v>45873</v>
      </c>
      <c r="O1439" s="156" t="inlineStr">
        <is>
          <t>BIN HUMAID NATIONAL TRADING CO. (ARABIA SAUDITA)</t>
        </is>
      </c>
      <c r="P1439" s="152" t="inlineStr">
        <is>
          <t xml:space="preserve">  IMPORT LICENSE N. 182480  (END USER CERTIFICATE)                                                                      AUT. ESPORTAZIONE MULTIPLA N. 6B/2025/2M RILASCIATA IL 26/05/2025                        (LICENZA DI SCARICO N. 6B/2025/2S RILASCIATA IL 30/07/2025)</t>
        </is>
      </c>
      <c r="Q1439" s="150" t="n"/>
      <c r="R1439" s="150" t="n"/>
      <c r="S1439" s="153" t="n"/>
    </row>
    <row r="1440" ht="36" customHeight="1">
      <c r="A1440" s="46" t="n">
        <v>3770</v>
      </c>
      <c r="B1440" s="4">
        <f>+VLOOKUP($A1440,MAGAZZINO!$B$2:$M$100000,2,FALSE)</f>
        <v/>
      </c>
      <c r="C1440" s="29">
        <f>+VLOOKUP($A1440,MAGAZZINO!$B$2:$M$100000,3,FALSE)</f>
        <v/>
      </c>
      <c r="D1440" s="3">
        <f>+VLOOKUP($A1440,MAGAZZINO!$B$2:$M$100000,4,FALSE)</f>
        <v/>
      </c>
      <c r="E1440" s="3">
        <f>+VLOOKUP($A1440,MAGAZZINO!$B$2:$M$100000,5,FALSE)</f>
        <v/>
      </c>
      <c r="F1440" s="3">
        <f>+VLOOKUP($A1440,MAGAZZINO!$B$2:$M$100000,6,FALSE)</f>
        <v/>
      </c>
      <c r="G1440" s="3">
        <f>+VLOOKUP($A1440,MAGAZZINO!$B$2:$M$100000,7,FALSE)</f>
        <v/>
      </c>
      <c r="H1440" s="3">
        <f>+VLOOKUP($A1440,MAGAZZINO!$B$2:$M$100000,8,FALSE)</f>
        <v/>
      </c>
      <c r="I1440" s="3">
        <f>+VLOOKUP($A1440,MAGAZZINO!$B$2:$M$100000,9,FALSE)</f>
        <v/>
      </c>
      <c r="J1440" s="3">
        <f>+VLOOKUP($A1440,MAGAZZINO!$B$2:$M$100000,10,FALSE)</f>
        <v/>
      </c>
      <c r="K1440" s="3">
        <f>+VLOOKUP($A1440,MAGAZZINO!$B$2:$M$100000,11,FALSE)</f>
        <v/>
      </c>
      <c r="L1440" s="5">
        <f>+VLOOKUP($A1440,MAGAZZINO!$B$2:$M$100000,12,FALSE)</f>
        <v/>
      </c>
      <c r="M1440" s="47" t="n"/>
      <c r="N1440" s="88" t="n">
        <v>45873</v>
      </c>
      <c r="O1440" s="156" t="inlineStr">
        <is>
          <t>BIN HUMAID NATIONAL TRADING CO. (ARABIA SAUDITA)</t>
        </is>
      </c>
      <c r="P1440" s="152" t="inlineStr">
        <is>
          <t xml:space="preserve">  IMPORT LICENSE N. 182480  (END USER CERTIFICATE)                                                                      AUT. ESPORTAZIONE MULTIPLA N. 6B/2025/2M RILASCIATA IL 26/05/2025                        (LICENZA DI SCARICO N. 6B/2025/2S RILASCIATA IL 30/07/2025)</t>
        </is>
      </c>
      <c r="Q1440" s="150" t="n"/>
      <c r="R1440" s="150" t="n"/>
      <c r="S1440" s="153" t="n"/>
    </row>
    <row r="1441" ht="36" customHeight="1">
      <c r="A1441" s="46" t="n">
        <v>3771</v>
      </c>
      <c r="B1441" s="4">
        <f>+VLOOKUP($A1441,MAGAZZINO!$B$2:$M$100000,2,FALSE)</f>
        <v/>
      </c>
      <c r="C1441" s="29">
        <f>+VLOOKUP($A1441,MAGAZZINO!$B$2:$M$100000,3,FALSE)</f>
        <v/>
      </c>
      <c r="D1441" s="3">
        <f>+VLOOKUP($A1441,MAGAZZINO!$B$2:$M$100000,4,FALSE)</f>
        <v/>
      </c>
      <c r="E1441" s="3">
        <f>+VLOOKUP($A1441,MAGAZZINO!$B$2:$M$100000,5,FALSE)</f>
        <v/>
      </c>
      <c r="F1441" s="3">
        <f>+VLOOKUP($A1441,MAGAZZINO!$B$2:$M$100000,6,FALSE)</f>
        <v/>
      </c>
      <c r="G1441" s="3">
        <f>+VLOOKUP($A1441,MAGAZZINO!$B$2:$M$100000,7,FALSE)</f>
        <v/>
      </c>
      <c r="H1441" s="3">
        <f>+VLOOKUP($A1441,MAGAZZINO!$B$2:$M$100000,8,FALSE)</f>
        <v/>
      </c>
      <c r="I1441" s="3">
        <f>+VLOOKUP($A1441,MAGAZZINO!$B$2:$M$100000,9,FALSE)</f>
        <v/>
      </c>
      <c r="J1441" s="3">
        <f>+VLOOKUP($A1441,MAGAZZINO!$B$2:$M$100000,10,FALSE)</f>
        <v/>
      </c>
      <c r="K1441" s="3">
        <f>+VLOOKUP($A1441,MAGAZZINO!$B$2:$M$100000,11,FALSE)</f>
        <v/>
      </c>
      <c r="L1441" s="5">
        <f>+VLOOKUP($A1441,MAGAZZINO!$B$2:$M$100000,12,FALSE)</f>
        <v/>
      </c>
      <c r="M1441" s="47" t="n"/>
      <c r="N1441" s="88" t="n">
        <v>45873</v>
      </c>
      <c r="O1441" s="156" t="inlineStr">
        <is>
          <t>BIN HUMAID NATIONAL TRADING CO. (ARABIA SAUDITA)</t>
        </is>
      </c>
      <c r="P1441" s="152" t="inlineStr">
        <is>
          <t xml:space="preserve">  IMPORT LICENSE N. 182480  (END USER CERTIFICATE)                                                                      AUT. ESPORTAZIONE MULTIPLA N. 6B/2025/2M RILASCIATA IL 26/05/2025                        (LICENZA DI SCARICO N. 6B/2025/2S RILASCIATA IL 30/07/2025)</t>
        </is>
      </c>
      <c r="Q1441" s="150" t="n"/>
      <c r="R1441" s="150" t="n"/>
      <c r="S1441" s="153" t="n"/>
    </row>
    <row r="1442" ht="36" customHeight="1">
      <c r="A1442" s="46" t="n">
        <v>3772</v>
      </c>
      <c r="B1442" s="4">
        <f>+VLOOKUP($A1442,MAGAZZINO!$B$2:$M$100000,2,FALSE)</f>
        <v/>
      </c>
      <c r="C1442" s="29">
        <f>+VLOOKUP($A1442,MAGAZZINO!$B$2:$M$100000,3,FALSE)</f>
        <v/>
      </c>
      <c r="D1442" s="3">
        <f>+VLOOKUP($A1442,MAGAZZINO!$B$2:$M$100000,4,FALSE)</f>
        <v/>
      </c>
      <c r="E1442" s="3">
        <f>+VLOOKUP($A1442,MAGAZZINO!$B$2:$M$100000,5,FALSE)</f>
        <v/>
      </c>
      <c r="F1442" s="3">
        <f>+VLOOKUP($A1442,MAGAZZINO!$B$2:$M$100000,6,FALSE)</f>
        <v/>
      </c>
      <c r="G1442" s="3">
        <f>+VLOOKUP($A1442,MAGAZZINO!$B$2:$M$100000,7,FALSE)</f>
        <v/>
      </c>
      <c r="H1442" s="3">
        <f>+VLOOKUP($A1442,MAGAZZINO!$B$2:$M$100000,8,FALSE)</f>
        <v/>
      </c>
      <c r="I1442" s="3">
        <f>+VLOOKUP($A1442,MAGAZZINO!$B$2:$M$100000,9,FALSE)</f>
        <v/>
      </c>
      <c r="J1442" s="3">
        <f>+VLOOKUP($A1442,MAGAZZINO!$B$2:$M$100000,10,FALSE)</f>
        <v/>
      </c>
      <c r="K1442" s="3">
        <f>+VLOOKUP($A1442,MAGAZZINO!$B$2:$M$100000,11,FALSE)</f>
        <v/>
      </c>
      <c r="L1442" s="5">
        <f>+VLOOKUP($A1442,MAGAZZINO!$B$2:$M$100000,12,FALSE)</f>
        <v/>
      </c>
      <c r="M1442" s="47" t="n"/>
      <c r="N1442" s="88" t="n">
        <v>45873</v>
      </c>
      <c r="O1442" s="156" t="inlineStr">
        <is>
          <t>BIN HUMAID NATIONAL TRADING CO. (ARABIA SAUDITA)</t>
        </is>
      </c>
      <c r="P1442" s="152" t="inlineStr">
        <is>
          <t xml:space="preserve">  IMPORT LICENSE N. 182480  (END USER CERTIFICATE)                                                                      AUT. ESPORTAZIONE MULTIPLA N. 6B/2025/2M RILASCIATA IL 26/05/2025                        (LICENZA DI SCARICO N. 6B/2025/2S RILASCIATA IL 30/07/2025)</t>
        </is>
      </c>
      <c r="Q1442" s="150" t="n"/>
      <c r="R1442" s="150" t="n"/>
      <c r="S1442" s="153" t="n"/>
    </row>
    <row r="1443" ht="36" customHeight="1">
      <c r="A1443" s="46" t="n">
        <v>3773</v>
      </c>
      <c r="B1443" s="4">
        <f>+VLOOKUP($A1443,MAGAZZINO!$B$2:$M$100000,2,FALSE)</f>
        <v/>
      </c>
      <c r="C1443" s="29">
        <f>+VLOOKUP($A1443,MAGAZZINO!$B$2:$M$100000,3,FALSE)</f>
        <v/>
      </c>
      <c r="D1443" s="3">
        <f>+VLOOKUP($A1443,MAGAZZINO!$B$2:$M$100000,4,FALSE)</f>
        <v/>
      </c>
      <c r="E1443" s="3">
        <f>+VLOOKUP($A1443,MAGAZZINO!$B$2:$M$100000,5,FALSE)</f>
        <v/>
      </c>
      <c r="F1443" s="3">
        <f>+VLOOKUP($A1443,MAGAZZINO!$B$2:$M$100000,6,FALSE)</f>
        <v/>
      </c>
      <c r="G1443" s="3">
        <f>+VLOOKUP($A1443,MAGAZZINO!$B$2:$M$100000,7,FALSE)</f>
        <v/>
      </c>
      <c r="H1443" s="3">
        <f>+VLOOKUP($A1443,MAGAZZINO!$B$2:$M$100000,8,FALSE)</f>
        <v/>
      </c>
      <c r="I1443" s="3">
        <f>+VLOOKUP($A1443,MAGAZZINO!$B$2:$M$100000,9,FALSE)</f>
        <v/>
      </c>
      <c r="J1443" s="3">
        <f>+VLOOKUP($A1443,MAGAZZINO!$B$2:$M$100000,10,FALSE)</f>
        <v/>
      </c>
      <c r="K1443" s="3">
        <f>+VLOOKUP($A1443,MAGAZZINO!$B$2:$M$100000,11,FALSE)</f>
        <v/>
      </c>
      <c r="L1443" s="5">
        <f>+VLOOKUP($A1443,MAGAZZINO!$B$2:$M$100000,12,FALSE)</f>
        <v/>
      </c>
      <c r="M1443" s="47" t="n"/>
      <c r="N1443" s="88" t="n">
        <v>45873</v>
      </c>
      <c r="O1443" s="156" t="inlineStr">
        <is>
          <t>BIN HUMAID NATIONAL TRADING CO. (ARABIA SAUDITA)</t>
        </is>
      </c>
      <c r="P1443" s="152" t="inlineStr">
        <is>
          <t xml:space="preserve">  IMPORT LICENSE N. 182480  (END USER CERTIFICATE)                                                                      AUT. ESPORTAZIONE MULTIPLA N. 6B/2025/2M RILASCIATA IL 26/05/2025                        (LICENZA DI SCARICO N. 6B/2025/2S RILASCIATA IL 30/07/2025)</t>
        </is>
      </c>
      <c r="Q1443" s="150" t="n"/>
      <c r="R1443" s="150" t="n"/>
      <c r="S1443" s="153" t="n"/>
    </row>
    <row r="1444" ht="36" customHeight="1">
      <c r="A1444" s="46" t="n">
        <v>3774</v>
      </c>
      <c r="B1444" s="4">
        <f>+VLOOKUP($A1444,MAGAZZINO!$B$2:$M$100000,2,FALSE)</f>
        <v/>
      </c>
      <c r="C1444" s="29">
        <f>+VLOOKUP($A1444,MAGAZZINO!$B$2:$M$100000,3,FALSE)</f>
        <v/>
      </c>
      <c r="D1444" s="3">
        <f>+VLOOKUP($A1444,MAGAZZINO!$B$2:$M$100000,4,FALSE)</f>
        <v/>
      </c>
      <c r="E1444" s="3">
        <f>+VLOOKUP($A1444,MAGAZZINO!$B$2:$M$100000,5,FALSE)</f>
        <v/>
      </c>
      <c r="F1444" s="3">
        <f>+VLOOKUP($A1444,MAGAZZINO!$B$2:$M$100000,6,FALSE)</f>
        <v/>
      </c>
      <c r="G1444" s="3">
        <f>+VLOOKUP($A1444,MAGAZZINO!$B$2:$M$100000,7,FALSE)</f>
        <v/>
      </c>
      <c r="H1444" s="3">
        <f>+VLOOKUP($A1444,MAGAZZINO!$B$2:$M$100000,8,FALSE)</f>
        <v/>
      </c>
      <c r="I1444" s="3">
        <f>+VLOOKUP($A1444,MAGAZZINO!$B$2:$M$100000,9,FALSE)</f>
        <v/>
      </c>
      <c r="J1444" s="3">
        <f>+VLOOKUP($A1444,MAGAZZINO!$B$2:$M$100000,10,FALSE)</f>
        <v/>
      </c>
      <c r="K1444" s="3">
        <f>+VLOOKUP($A1444,MAGAZZINO!$B$2:$M$100000,11,FALSE)</f>
        <v/>
      </c>
      <c r="L1444" s="5">
        <f>+VLOOKUP($A1444,MAGAZZINO!$B$2:$M$100000,12,FALSE)</f>
        <v/>
      </c>
      <c r="M1444" s="47" t="n"/>
      <c r="N1444" s="88" t="n">
        <v>45873</v>
      </c>
      <c r="O1444" s="156" t="inlineStr">
        <is>
          <t>BIN HUMAID NATIONAL TRADING CO. (ARABIA SAUDITA)</t>
        </is>
      </c>
      <c r="P1444" s="152" t="inlineStr">
        <is>
          <t xml:space="preserve">  IMPORT LICENSE N. 182480  (END USER CERTIFICATE)                                                                      AUT. ESPORTAZIONE MULTIPLA N. 6B/2025/2M RILASCIATA IL 26/05/2025                        (LICENZA DI SCARICO N. 6B/2025/2S RILASCIATA IL 30/07/2025)</t>
        </is>
      </c>
      <c r="Q1444" s="150" t="n"/>
      <c r="R1444" s="150" t="n"/>
      <c r="S1444" s="153" t="n"/>
    </row>
    <row r="1445" ht="36" customHeight="1">
      <c r="A1445" s="46" t="n">
        <v>3775</v>
      </c>
      <c r="B1445" s="4">
        <f>+VLOOKUP($A1445,MAGAZZINO!$B$2:$M$100000,2,FALSE)</f>
        <v/>
      </c>
      <c r="C1445" s="29">
        <f>+VLOOKUP($A1445,MAGAZZINO!$B$2:$M$100000,3,FALSE)</f>
        <v/>
      </c>
      <c r="D1445" s="3">
        <f>+VLOOKUP($A1445,MAGAZZINO!$B$2:$M$100000,4,FALSE)</f>
        <v/>
      </c>
      <c r="E1445" s="3">
        <f>+VLOOKUP($A1445,MAGAZZINO!$B$2:$M$100000,5,FALSE)</f>
        <v/>
      </c>
      <c r="F1445" s="3">
        <f>+VLOOKUP($A1445,MAGAZZINO!$B$2:$M$100000,6,FALSE)</f>
        <v/>
      </c>
      <c r="G1445" s="3">
        <f>+VLOOKUP($A1445,MAGAZZINO!$B$2:$M$100000,7,FALSE)</f>
        <v/>
      </c>
      <c r="H1445" s="3">
        <f>+VLOOKUP($A1445,MAGAZZINO!$B$2:$M$100000,8,FALSE)</f>
        <v/>
      </c>
      <c r="I1445" s="3">
        <f>+VLOOKUP($A1445,MAGAZZINO!$B$2:$M$100000,9,FALSE)</f>
        <v/>
      </c>
      <c r="J1445" s="3">
        <f>+VLOOKUP($A1445,MAGAZZINO!$B$2:$M$100000,10,FALSE)</f>
        <v/>
      </c>
      <c r="K1445" s="3">
        <f>+VLOOKUP($A1445,MAGAZZINO!$B$2:$M$100000,11,FALSE)</f>
        <v/>
      </c>
      <c r="L1445" s="5">
        <f>+VLOOKUP($A1445,MAGAZZINO!$B$2:$M$100000,12,FALSE)</f>
        <v/>
      </c>
      <c r="M1445" s="47" t="n"/>
      <c r="N1445" s="88" t="n">
        <v>45873</v>
      </c>
      <c r="O1445" s="156" t="inlineStr">
        <is>
          <t>BIN HUMAID NATIONAL TRADING CO. (ARABIA SAUDITA)</t>
        </is>
      </c>
      <c r="P1445" s="152" t="inlineStr">
        <is>
          <t xml:space="preserve">  IMPORT LICENSE N. 182480  (END USER CERTIFICATE)                                                                      AUT. ESPORTAZIONE MULTIPLA N. 6B/2025/2M RILASCIATA IL 26/05/2025                        (LICENZA DI SCARICO N. 6B/2025/2S RILASCIATA IL 30/07/2025)</t>
        </is>
      </c>
      <c r="Q1445" s="150" t="n"/>
      <c r="R1445" s="150" t="n"/>
      <c r="S1445" s="153" t="n"/>
    </row>
    <row r="1446" ht="36" customHeight="1">
      <c r="A1446" s="46" t="n">
        <v>3776</v>
      </c>
      <c r="B1446" s="4">
        <f>+VLOOKUP($A1446,MAGAZZINO!$B$2:$M$100000,2,FALSE)</f>
        <v/>
      </c>
      <c r="C1446" s="29">
        <f>+VLOOKUP($A1446,MAGAZZINO!$B$2:$M$100000,3,FALSE)</f>
        <v/>
      </c>
      <c r="D1446" s="3">
        <f>+VLOOKUP($A1446,MAGAZZINO!$B$2:$M$100000,4,FALSE)</f>
        <v/>
      </c>
      <c r="E1446" s="3">
        <f>+VLOOKUP($A1446,MAGAZZINO!$B$2:$M$100000,5,FALSE)</f>
        <v/>
      </c>
      <c r="F1446" s="3">
        <f>+VLOOKUP($A1446,MAGAZZINO!$B$2:$M$100000,6,FALSE)</f>
        <v/>
      </c>
      <c r="G1446" s="3">
        <f>+VLOOKUP($A1446,MAGAZZINO!$B$2:$M$100000,7,FALSE)</f>
        <v/>
      </c>
      <c r="H1446" s="3">
        <f>+VLOOKUP($A1446,MAGAZZINO!$B$2:$M$100000,8,FALSE)</f>
        <v/>
      </c>
      <c r="I1446" s="3">
        <f>+VLOOKUP($A1446,MAGAZZINO!$B$2:$M$100000,9,FALSE)</f>
        <v/>
      </c>
      <c r="J1446" s="3">
        <f>+VLOOKUP($A1446,MAGAZZINO!$B$2:$M$100000,10,FALSE)</f>
        <v/>
      </c>
      <c r="K1446" s="3">
        <f>+VLOOKUP($A1446,MAGAZZINO!$B$2:$M$100000,11,FALSE)</f>
        <v/>
      </c>
      <c r="L1446" s="5">
        <f>+VLOOKUP($A1446,MAGAZZINO!$B$2:$M$100000,12,FALSE)</f>
        <v/>
      </c>
      <c r="M1446" s="47" t="n"/>
      <c r="N1446" s="88" t="n">
        <v>45873</v>
      </c>
      <c r="O1446" s="156" t="inlineStr">
        <is>
          <t>BIN HUMAID NATIONAL TRADING CO. (ARABIA SAUDITA)</t>
        </is>
      </c>
      <c r="P1446" s="152" t="inlineStr">
        <is>
          <t xml:space="preserve">  IMPORT LICENSE N. 182480  (END USER CERTIFICATE)                                                                      AUT. ESPORTAZIONE MULTIPLA N. 6B/2025/2M RILASCIATA IL 26/05/2025                        (LICENZA DI SCARICO N. 6B/2025/2S RILASCIATA IL 30/07/2025)</t>
        </is>
      </c>
      <c r="Q1446" s="150" t="n"/>
      <c r="R1446" s="150" t="n"/>
      <c r="S1446" s="153" t="n"/>
    </row>
    <row r="1447" ht="36" customHeight="1">
      <c r="A1447" s="46" t="n">
        <v>3777</v>
      </c>
      <c r="B1447" s="4">
        <f>+VLOOKUP($A1447,MAGAZZINO!$B$2:$M$100000,2,FALSE)</f>
        <v/>
      </c>
      <c r="C1447" s="29">
        <f>+VLOOKUP($A1447,MAGAZZINO!$B$2:$M$100000,3,FALSE)</f>
        <v/>
      </c>
      <c r="D1447" s="3">
        <f>+VLOOKUP($A1447,MAGAZZINO!$B$2:$M$100000,4,FALSE)</f>
        <v/>
      </c>
      <c r="E1447" s="3">
        <f>+VLOOKUP($A1447,MAGAZZINO!$B$2:$M$100000,5,FALSE)</f>
        <v/>
      </c>
      <c r="F1447" s="3">
        <f>+VLOOKUP($A1447,MAGAZZINO!$B$2:$M$100000,6,FALSE)</f>
        <v/>
      </c>
      <c r="G1447" s="3">
        <f>+VLOOKUP($A1447,MAGAZZINO!$B$2:$M$100000,7,FALSE)</f>
        <v/>
      </c>
      <c r="H1447" s="3">
        <f>+VLOOKUP($A1447,MAGAZZINO!$B$2:$M$100000,8,FALSE)</f>
        <v/>
      </c>
      <c r="I1447" s="3">
        <f>+VLOOKUP($A1447,MAGAZZINO!$B$2:$M$100000,9,FALSE)</f>
        <v/>
      </c>
      <c r="J1447" s="3">
        <f>+VLOOKUP($A1447,MAGAZZINO!$B$2:$M$100000,10,FALSE)</f>
        <v/>
      </c>
      <c r="K1447" s="3">
        <f>+VLOOKUP($A1447,MAGAZZINO!$B$2:$M$100000,11,FALSE)</f>
        <v/>
      </c>
      <c r="L1447" s="5">
        <f>+VLOOKUP($A1447,MAGAZZINO!$B$2:$M$100000,12,FALSE)</f>
        <v/>
      </c>
      <c r="M1447" s="47" t="n"/>
      <c r="N1447" s="88" t="n">
        <v>45873</v>
      </c>
      <c r="O1447" s="156" t="inlineStr">
        <is>
          <t>BIN HUMAID NATIONAL TRADING CO. (ARABIA SAUDITA)</t>
        </is>
      </c>
      <c r="P1447" s="152" t="inlineStr">
        <is>
          <t xml:space="preserve">  IMPORT LICENSE N. 182480  (END USER CERTIFICATE)                                                                      AUT. ESPORTAZIONE MULTIPLA N. 6B/2025/2M RILASCIATA IL 26/05/2025                        (LICENZA DI SCARICO N. 6B/2025/2S RILASCIATA IL 30/07/2025)</t>
        </is>
      </c>
      <c r="Q1447" s="150" t="n"/>
      <c r="R1447" s="150" t="n"/>
      <c r="S1447" s="153" t="n"/>
    </row>
    <row r="1448" ht="36" customHeight="1">
      <c r="A1448" s="46" t="n">
        <v>3778</v>
      </c>
      <c r="B1448" s="4">
        <f>+VLOOKUP($A1448,MAGAZZINO!$B$2:$M$100000,2,FALSE)</f>
        <v/>
      </c>
      <c r="C1448" s="29">
        <f>+VLOOKUP($A1448,MAGAZZINO!$B$2:$M$100000,3,FALSE)</f>
        <v/>
      </c>
      <c r="D1448" s="3">
        <f>+VLOOKUP($A1448,MAGAZZINO!$B$2:$M$100000,4,FALSE)</f>
        <v/>
      </c>
      <c r="E1448" s="3">
        <f>+VLOOKUP($A1448,MAGAZZINO!$B$2:$M$100000,5,FALSE)</f>
        <v/>
      </c>
      <c r="F1448" s="3">
        <f>+VLOOKUP($A1448,MAGAZZINO!$B$2:$M$100000,6,FALSE)</f>
        <v/>
      </c>
      <c r="G1448" s="3">
        <f>+VLOOKUP($A1448,MAGAZZINO!$B$2:$M$100000,7,FALSE)</f>
        <v/>
      </c>
      <c r="H1448" s="3">
        <f>+VLOOKUP($A1448,MAGAZZINO!$B$2:$M$100000,8,FALSE)</f>
        <v/>
      </c>
      <c r="I1448" s="3">
        <f>+VLOOKUP($A1448,MAGAZZINO!$B$2:$M$100000,9,FALSE)</f>
        <v/>
      </c>
      <c r="J1448" s="3">
        <f>+VLOOKUP($A1448,MAGAZZINO!$B$2:$M$100000,10,FALSE)</f>
        <v/>
      </c>
      <c r="K1448" s="3">
        <f>+VLOOKUP($A1448,MAGAZZINO!$B$2:$M$100000,11,FALSE)</f>
        <v/>
      </c>
      <c r="L1448" s="5">
        <f>+VLOOKUP($A1448,MAGAZZINO!$B$2:$M$100000,12,FALSE)</f>
        <v/>
      </c>
      <c r="M1448" s="47" t="n"/>
      <c r="N1448" s="88" t="n">
        <v>45873</v>
      </c>
      <c r="O1448" s="156" t="inlineStr">
        <is>
          <t>BIN HUMAID NATIONAL TRADING CO. (ARABIA SAUDITA)</t>
        </is>
      </c>
      <c r="P1448" s="152" t="inlineStr">
        <is>
          <t xml:space="preserve">  IMPORT LICENSE N. 182480  (END USER CERTIFICATE)                                                                      AUT. ESPORTAZIONE MULTIPLA N. 6B/2025/2M RILASCIATA IL 26/05/2025                        (LICENZA DI SCARICO N. 6B/2025/2S RILASCIATA IL 30/07/2025)</t>
        </is>
      </c>
      <c r="Q1448" s="150" t="n"/>
      <c r="R1448" s="150" t="n"/>
      <c r="S1448" s="153" t="n"/>
    </row>
    <row r="1449" ht="36" customHeight="1">
      <c r="A1449" s="46" t="n">
        <v>3779</v>
      </c>
      <c r="B1449" s="4">
        <f>+VLOOKUP($A1449,MAGAZZINO!$B$2:$M$100000,2,FALSE)</f>
        <v/>
      </c>
      <c r="C1449" s="29">
        <f>+VLOOKUP($A1449,MAGAZZINO!$B$2:$M$100000,3,FALSE)</f>
        <v/>
      </c>
      <c r="D1449" s="3">
        <f>+VLOOKUP($A1449,MAGAZZINO!$B$2:$M$100000,4,FALSE)</f>
        <v/>
      </c>
      <c r="E1449" s="3">
        <f>+VLOOKUP($A1449,MAGAZZINO!$B$2:$M$100000,5,FALSE)</f>
        <v/>
      </c>
      <c r="F1449" s="3">
        <f>+VLOOKUP($A1449,MAGAZZINO!$B$2:$M$100000,6,FALSE)</f>
        <v/>
      </c>
      <c r="G1449" s="3">
        <f>+VLOOKUP($A1449,MAGAZZINO!$B$2:$M$100000,7,FALSE)</f>
        <v/>
      </c>
      <c r="H1449" s="3">
        <f>+VLOOKUP($A1449,MAGAZZINO!$B$2:$M$100000,8,FALSE)</f>
        <v/>
      </c>
      <c r="I1449" s="3">
        <f>+VLOOKUP($A1449,MAGAZZINO!$B$2:$M$100000,9,FALSE)</f>
        <v/>
      </c>
      <c r="J1449" s="3">
        <f>+VLOOKUP($A1449,MAGAZZINO!$B$2:$M$100000,10,FALSE)</f>
        <v/>
      </c>
      <c r="K1449" s="3">
        <f>+VLOOKUP($A1449,MAGAZZINO!$B$2:$M$100000,11,FALSE)</f>
        <v/>
      </c>
      <c r="L1449" s="5">
        <f>+VLOOKUP($A1449,MAGAZZINO!$B$2:$M$100000,12,FALSE)</f>
        <v/>
      </c>
      <c r="M1449" s="47" t="n"/>
      <c r="N1449" s="88" t="n">
        <v>45873</v>
      </c>
      <c r="O1449" s="156" t="inlineStr">
        <is>
          <t>BIN HUMAID NATIONAL TRADING CO. (ARABIA SAUDITA)</t>
        </is>
      </c>
      <c r="P1449" s="152" t="inlineStr">
        <is>
          <t xml:space="preserve">  IMPORT LICENSE N. 182480  (END USER CERTIFICATE)                                                                      AUT. ESPORTAZIONE MULTIPLA N. 6B/2025/2M RILASCIATA IL 26/05/2025                        (LICENZA DI SCARICO N. 6B/2025/2S RILASCIATA IL 30/07/2025)</t>
        </is>
      </c>
      <c r="Q1449" s="150" t="n"/>
      <c r="R1449" s="150" t="n"/>
      <c r="S1449" s="153" t="n"/>
    </row>
    <row r="1450" ht="36" customHeight="1">
      <c r="A1450" s="46" t="n">
        <v>3780</v>
      </c>
      <c r="B1450" s="4">
        <f>+VLOOKUP($A1450,MAGAZZINO!$B$2:$M$100000,2,FALSE)</f>
        <v/>
      </c>
      <c r="C1450" s="29">
        <f>+VLOOKUP($A1450,MAGAZZINO!$B$2:$M$100000,3,FALSE)</f>
        <v/>
      </c>
      <c r="D1450" s="3">
        <f>+VLOOKUP($A1450,MAGAZZINO!$B$2:$M$100000,4,FALSE)</f>
        <v/>
      </c>
      <c r="E1450" s="3">
        <f>+VLOOKUP($A1450,MAGAZZINO!$B$2:$M$100000,5,FALSE)</f>
        <v/>
      </c>
      <c r="F1450" s="3">
        <f>+VLOOKUP($A1450,MAGAZZINO!$B$2:$M$100000,6,FALSE)</f>
        <v/>
      </c>
      <c r="G1450" s="3">
        <f>+VLOOKUP($A1450,MAGAZZINO!$B$2:$M$100000,7,FALSE)</f>
        <v/>
      </c>
      <c r="H1450" s="3">
        <f>+VLOOKUP($A1450,MAGAZZINO!$B$2:$M$100000,8,FALSE)</f>
        <v/>
      </c>
      <c r="I1450" s="3">
        <f>+VLOOKUP($A1450,MAGAZZINO!$B$2:$M$100000,9,FALSE)</f>
        <v/>
      </c>
      <c r="J1450" s="3">
        <f>+VLOOKUP($A1450,MAGAZZINO!$B$2:$M$100000,10,FALSE)</f>
        <v/>
      </c>
      <c r="K1450" s="3">
        <f>+VLOOKUP($A1450,MAGAZZINO!$B$2:$M$100000,11,FALSE)</f>
        <v/>
      </c>
      <c r="L1450" s="5">
        <f>+VLOOKUP($A1450,MAGAZZINO!$B$2:$M$100000,12,FALSE)</f>
        <v/>
      </c>
      <c r="M1450" s="47" t="n"/>
      <c r="N1450" s="88" t="n">
        <v>45873</v>
      </c>
      <c r="O1450" s="156" t="inlineStr">
        <is>
          <t>BIN HUMAID NATIONAL TRADING CO. (ARABIA SAUDITA)</t>
        </is>
      </c>
      <c r="P1450" s="152" t="inlineStr">
        <is>
          <t xml:space="preserve">  IMPORT LICENSE N. 182480  (END USER CERTIFICATE)                                                                      AUT. ESPORTAZIONE MULTIPLA N. 6B/2025/2M RILASCIATA IL 26/05/2025                        (LICENZA DI SCARICO N. 6B/2025/2S RILASCIATA IL 30/07/2025)</t>
        </is>
      </c>
      <c r="Q1450" s="150" t="n"/>
      <c r="R1450" s="150" t="n"/>
      <c r="S1450" s="153" t="n"/>
    </row>
    <row r="1451" ht="36" customHeight="1">
      <c r="A1451" s="46" t="n">
        <v>3781</v>
      </c>
      <c r="B1451" s="4">
        <f>+VLOOKUP($A1451,MAGAZZINO!$B$2:$M$100000,2,FALSE)</f>
        <v/>
      </c>
      <c r="C1451" s="29">
        <f>+VLOOKUP($A1451,MAGAZZINO!$B$2:$M$100000,3,FALSE)</f>
        <v/>
      </c>
      <c r="D1451" s="3">
        <f>+VLOOKUP($A1451,MAGAZZINO!$B$2:$M$100000,4,FALSE)</f>
        <v/>
      </c>
      <c r="E1451" s="3">
        <f>+VLOOKUP($A1451,MAGAZZINO!$B$2:$M$100000,5,FALSE)</f>
        <v/>
      </c>
      <c r="F1451" s="3">
        <f>+VLOOKUP($A1451,MAGAZZINO!$B$2:$M$100000,6,FALSE)</f>
        <v/>
      </c>
      <c r="G1451" s="3">
        <f>+VLOOKUP($A1451,MAGAZZINO!$B$2:$M$100000,7,FALSE)</f>
        <v/>
      </c>
      <c r="H1451" s="3">
        <f>+VLOOKUP($A1451,MAGAZZINO!$B$2:$M$100000,8,FALSE)</f>
        <v/>
      </c>
      <c r="I1451" s="3">
        <f>+VLOOKUP($A1451,MAGAZZINO!$B$2:$M$100000,9,FALSE)</f>
        <v/>
      </c>
      <c r="J1451" s="3">
        <f>+VLOOKUP($A1451,MAGAZZINO!$B$2:$M$100000,10,FALSE)</f>
        <v/>
      </c>
      <c r="K1451" s="3">
        <f>+VLOOKUP($A1451,MAGAZZINO!$B$2:$M$100000,11,FALSE)</f>
        <v/>
      </c>
      <c r="L1451" s="5">
        <f>+VLOOKUP($A1451,MAGAZZINO!$B$2:$M$100000,12,FALSE)</f>
        <v/>
      </c>
      <c r="M1451" s="47" t="n"/>
      <c r="N1451" s="88" t="n">
        <v>45873</v>
      </c>
      <c r="O1451" s="156" t="inlineStr">
        <is>
          <t>BIN HUMAID NATIONAL TRADING CO. (ARABIA SAUDITA)</t>
        </is>
      </c>
      <c r="P1451" s="152" t="inlineStr">
        <is>
          <t xml:space="preserve">  IMPORT LICENSE N. 182480  (END USER CERTIFICATE)                                                                      AUT. ESPORTAZIONE MULTIPLA N. 6B/2025/2M RILASCIATA IL 26/05/2025                        (LICENZA DI SCARICO N. 6B/2025/2S RILASCIATA IL 30/07/2025)</t>
        </is>
      </c>
      <c r="Q1451" s="150" t="n"/>
      <c r="R1451" s="150" t="n"/>
      <c r="S1451" s="153" t="n"/>
    </row>
    <row r="1452" ht="36" customHeight="1">
      <c r="A1452" s="46" t="n">
        <v>3782</v>
      </c>
      <c r="B1452" s="4">
        <f>+VLOOKUP($A1452,MAGAZZINO!$B$2:$M$100000,2,FALSE)</f>
        <v/>
      </c>
      <c r="C1452" s="29">
        <f>+VLOOKUP($A1452,MAGAZZINO!$B$2:$M$100000,3,FALSE)</f>
        <v/>
      </c>
      <c r="D1452" s="3">
        <f>+VLOOKUP($A1452,MAGAZZINO!$B$2:$M$100000,4,FALSE)</f>
        <v/>
      </c>
      <c r="E1452" s="3">
        <f>+VLOOKUP($A1452,MAGAZZINO!$B$2:$M$100000,5,FALSE)</f>
        <v/>
      </c>
      <c r="F1452" s="3">
        <f>+VLOOKUP($A1452,MAGAZZINO!$B$2:$M$100000,6,FALSE)</f>
        <v/>
      </c>
      <c r="G1452" s="3">
        <f>+VLOOKUP($A1452,MAGAZZINO!$B$2:$M$100000,7,FALSE)</f>
        <v/>
      </c>
      <c r="H1452" s="3">
        <f>+VLOOKUP($A1452,MAGAZZINO!$B$2:$M$100000,8,FALSE)</f>
        <v/>
      </c>
      <c r="I1452" s="3">
        <f>+VLOOKUP($A1452,MAGAZZINO!$B$2:$M$100000,9,FALSE)</f>
        <v/>
      </c>
      <c r="J1452" s="3">
        <f>+VLOOKUP($A1452,MAGAZZINO!$B$2:$M$100000,10,FALSE)</f>
        <v/>
      </c>
      <c r="K1452" s="3">
        <f>+VLOOKUP($A1452,MAGAZZINO!$B$2:$M$100000,11,FALSE)</f>
        <v/>
      </c>
      <c r="L1452" s="5">
        <f>+VLOOKUP($A1452,MAGAZZINO!$B$2:$M$100000,12,FALSE)</f>
        <v/>
      </c>
      <c r="M1452" s="47" t="n"/>
      <c r="N1452" s="88" t="n">
        <v>45873</v>
      </c>
      <c r="O1452" s="156" t="inlineStr">
        <is>
          <t>BIN HUMAID NATIONAL TRADING CO. (ARABIA SAUDITA)</t>
        </is>
      </c>
      <c r="P1452" s="152" t="inlineStr">
        <is>
          <t xml:space="preserve">  IMPORT LICENSE N. 182480  (END USER CERTIFICATE)                                                                      AUT. ESPORTAZIONE MULTIPLA N. 6B/2025/2M RILASCIATA IL 26/05/2025                        (LICENZA DI SCARICO N. 6B/2025/2S RILASCIATA IL 30/07/2025)</t>
        </is>
      </c>
      <c r="Q1452" s="150" t="n"/>
      <c r="R1452" s="150" t="n"/>
      <c r="S1452" s="153" t="n"/>
    </row>
    <row r="1453" ht="36" customHeight="1">
      <c r="A1453" s="46" t="n">
        <v>3783</v>
      </c>
      <c r="B1453" s="4">
        <f>+VLOOKUP($A1453,MAGAZZINO!$B$2:$M$100000,2,FALSE)</f>
        <v/>
      </c>
      <c r="C1453" s="29">
        <f>+VLOOKUP($A1453,MAGAZZINO!$B$2:$M$100000,3,FALSE)</f>
        <v/>
      </c>
      <c r="D1453" s="3">
        <f>+VLOOKUP($A1453,MAGAZZINO!$B$2:$M$100000,4,FALSE)</f>
        <v/>
      </c>
      <c r="E1453" s="3">
        <f>+VLOOKUP($A1453,MAGAZZINO!$B$2:$M$100000,5,FALSE)</f>
        <v/>
      </c>
      <c r="F1453" s="3">
        <f>+VLOOKUP($A1453,MAGAZZINO!$B$2:$M$100000,6,FALSE)</f>
        <v/>
      </c>
      <c r="G1453" s="3">
        <f>+VLOOKUP($A1453,MAGAZZINO!$B$2:$M$100000,7,FALSE)</f>
        <v/>
      </c>
      <c r="H1453" s="3">
        <f>+VLOOKUP($A1453,MAGAZZINO!$B$2:$M$100000,8,FALSE)</f>
        <v/>
      </c>
      <c r="I1453" s="3">
        <f>+VLOOKUP($A1453,MAGAZZINO!$B$2:$M$100000,9,FALSE)</f>
        <v/>
      </c>
      <c r="J1453" s="3">
        <f>+VLOOKUP($A1453,MAGAZZINO!$B$2:$M$100000,10,FALSE)</f>
        <v/>
      </c>
      <c r="K1453" s="3">
        <f>+VLOOKUP($A1453,MAGAZZINO!$B$2:$M$100000,11,FALSE)</f>
        <v/>
      </c>
      <c r="L1453" s="5">
        <f>+VLOOKUP($A1453,MAGAZZINO!$B$2:$M$100000,12,FALSE)</f>
        <v/>
      </c>
      <c r="M1453" s="47" t="n"/>
      <c r="N1453" s="88" t="n">
        <v>45873</v>
      </c>
      <c r="O1453" s="156" t="inlineStr">
        <is>
          <t>BIN HUMAID NATIONAL TRADING CO. (ARABIA SAUDITA)</t>
        </is>
      </c>
      <c r="P1453" s="152" t="inlineStr">
        <is>
          <t xml:space="preserve">  IMPORT LICENSE N. 182480  (END USER CERTIFICATE)                                                                      AUT. ESPORTAZIONE MULTIPLA N. 6B/2025/2M RILASCIATA IL 26/05/2025                        (LICENZA DI SCARICO N. 6B/2025/2S RILASCIATA IL 30/07/2025)</t>
        </is>
      </c>
      <c r="Q1453" s="150" t="n"/>
      <c r="R1453" s="150" t="n"/>
      <c r="S1453" s="153" t="n"/>
    </row>
    <row r="1454" ht="36" customHeight="1">
      <c r="A1454" s="46" t="n">
        <v>3784</v>
      </c>
      <c r="B1454" s="4">
        <f>+VLOOKUP($A1454,MAGAZZINO!$B$2:$M$100000,2,FALSE)</f>
        <v/>
      </c>
      <c r="C1454" s="29">
        <f>+VLOOKUP($A1454,MAGAZZINO!$B$2:$M$100000,3,FALSE)</f>
        <v/>
      </c>
      <c r="D1454" s="3">
        <f>+VLOOKUP($A1454,MAGAZZINO!$B$2:$M$100000,4,FALSE)</f>
        <v/>
      </c>
      <c r="E1454" s="3">
        <f>+VLOOKUP($A1454,MAGAZZINO!$B$2:$M$100000,5,FALSE)</f>
        <v/>
      </c>
      <c r="F1454" s="3">
        <f>+VLOOKUP($A1454,MAGAZZINO!$B$2:$M$100000,6,FALSE)</f>
        <v/>
      </c>
      <c r="G1454" s="3">
        <f>+VLOOKUP($A1454,MAGAZZINO!$B$2:$M$100000,7,FALSE)</f>
        <v/>
      </c>
      <c r="H1454" s="3">
        <f>+VLOOKUP($A1454,MAGAZZINO!$B$2:$M$100000,8,FALSE)</f>
        <v/>
      </c>
      <c r="I1454" s="3">
        <f>+VLOOKUP($A1454,MAGAZZINO!$B$2:$M$100000,9,FALSE)</f>
        <v/>
      </c>
      <c r="J1454" s="3">
        <f>+VLOOKUP($A1454,MAGAZZINO!$B$2:$M$100000,10,FALSE)</f>
        <v/>
      </c>
      <c r="K1454" s="3">
        <f>+VLOOKUP($A1454,MAGAZZINO!$B$2:$M$100000,11,FALSE)</f>
        <v/>
      </c>
      <c r="L1454" s="5">
        <f>+VLOOKUP($A1454,MAGAZZINO!$B$2:$M$100000,12,FALSE)</f>
        <v/>
      </c>
      <c r="M1454" s="47" t="n"/>
      <c r="N1454" s="88" t="n">
        <v>45873</v>
      </c>
      <c r="O1454" s="156" t="inlineStr">
        <is>
          <t>BIN HUMAID NATIONAL TRADING CO. (ARABIA SAUDITA)</t>
        </is>
      </c>
      <c r="P1454" s="152" t="inlineStr">
        <is>
          <t xml:space="preserve">  IMPORT LICENSE N. 182480  (END USER CERTIFICATE)                                                                      AUT. ESPORTAZIONE MULTIPLA N. 6B/2025/2M RILASCIATA IL 26/05/2025                        (LICENZA DI SCARICO N. 6B/2025/2S RILASCIATA IL 30/07/2025)</t>
        </is>
      </c>
      <c r="Q1454" s="150" t="n"/>
      <c r="R1454" s="150" t="n"/>
      <c r="S1454" s="153" t="n"/>
    </row>
    <row r="1455" ht="36" customHeight="1">
      <c r="A1455" s="46" t="n">
        <v>3785</v>
      </c>
      <c r="B1455" s="4">
        <f>+VLOOKUP($A1455,MAGAZZINO!$B$2:$M$100000,2,FALSE)</f>
        <v/>
      </c>
      <c r="C1455" s="29">
        <f>+VLOOKUP($A1455,MAGAZZINO!$B$2:$M$100000,3,FALSE)</f>
        <v/>
      </c>
      <c r="D1455" s="3">
        <f>+VLOOKUP($A1455,MAGAZZINO!$B$2:$M$100000,4,FALSE)</f>
        <v/>
      </c>
      <c r="E1455" s="3">
        <f>+VLOOKUP($A1455,MAGAZZINO!$B$2:$M$100000,5,FALSE)</f>
        <v/>
      </c>
      <c r="F1455" s="3">
        <f>+VLOOKUP($A1455,MAGAZZINO!$B$2:$M$100000,6,FALSE)</f>
        <v/>
      </c>
      <c r="G1455" s="3">
        <f>+VLOOKUP($A1455,MAGAZZINO!$B$2:$M$100000,7,FALSE)</f>
        <v/>
      </c>
      <c r="H1455" s="3">
        <f>+VLOOKUP($A1455,MAGAZZINO!$B$2:$M$100000,8,FALSE)</f>
        <v/>
      </c>
      <c r="I1455" s="3">
        <f>+VLOOKUP($A1455,MAGAZZINO!$B$2:$M$100000,9,FALSE)</f>
        <v/>
      </c>
      <c r="J1455" s="3">
        <f>+VLOOKUP($A1455,MAGAZZINO!$B$2:$M$100000,10,FALSE)</f>
        <v/>
      </c>
      <c r="K1455" s="3">
        <f>+VLOOKUP($A1455,MAGAZZINO!$B$2:$M$100000,11,FALSE)</f>
        <v/>
      </c>
      <c r="L1455" s="5">
        <f>+VLOOKUP($A1455,MAGAZZINO!$B$2:$M$100000,12,FALSE)</f>
        <v/>
      </c>
      <c r="M1455" s="47" t="n"/>
      <c r="N1455" s="88" t="n">
        <v>45873</v>
      </c>
      <c r="O1455" s="156" t="inlineStr">
        <is>
          <t>BIN HUMAID NATIONAL TRADING CO. (ARABIA SAUDITA)</t>
        </is>
      </c>
      <c r="P1455" s="152" t="inlineStr">
        <is>
          <t xml:space="preserve">  IMPORT LICENSE N. 182480  (END USER CERTIFICATE)                                                                      AUT. ESPORTAZIONE MULTIPLA N. 6B/2025/2M RILASCIATA IL 26/05/2025                        (LICENZA DI SCARICO N. 6B/2025/2S RILASCIATA IL 30/07/2025)</t>
        </is>
      </c>
      <c r="Q1455" s="150" t="n"/>
      <c r="R1455" s="150" t="n"/>
      <c r="S1455" s="153" t="n"/>
    </row>
    <row r="1456" ht="36" customHeight="1">
      <c r="A1456" s="46" t="n">
        <v>3786</v>
      </c>
      <c r="B1456" s="4">
        <f>+VLOOKUP($A1456,MAGAZZINO!$B$2:$M$100000,2,FALSE)</f>
        <v/>
      </c>
      <c r="C1456" s="29">
        <f>+VLOOKUP($A1456,MAGAZZINO!$B$2:$M$100000,3,FALSE)</f>
        <v/>
      </c>
      <c r="D1456" s="3">
        <f>+VLOOKUP($A1456,MAGAZZINO!$B$2:$M$100000,4,FALSE)</f>
        <v/>
      </c>
      <c r="E1456" s="3">
        <f>+VLOOKUP($A1456,MAGAZZINO!$B$2:$M$100000,5,FALSE)</f>
        <v/>
      </c>
      <c r="F1456" s="3">
        <f>+VLOOKUP($A1456,MAGAZZINO!$B$2:$M$100000,6,FALSE)</f>
        <v/>
      </c>
      <c r="G1456" s="3">
        <f>+VLOOKUP($A1456,MAGAZZINO!$B$2:$M$100000,7,FALSE)</f>
        <v/>
      </c>
      <c r="H1456" s="3">
        <f>+VLOOKUP($A1456,MAGAZZINO!$B$2:$M$100000,8,FALSE)</f>
        <v/>
      </c>
      <c r="I1456" s="3">
        <f>+VLOOKUP($A1456,MAGAZZINO!$B$2:$M$100000,9,FALSE)</f>
        <v/>
      </c>
      <c r="J1456" s="3">
        <f>+VLOOKUP($A1456,MAGAZZINO!$B$2:$M$100000,10,FALSE)</f>
        <v/>
      </c>
      <c r="K1456" s="3">
        <f>+VLOOKUP($A1456,MAGAZZINO!$B$2:$M$100000,11,FALSE)</f>
        <v/>
      </c>
      <c r="L1456" s="5">
        <f>+VLOOKUP($A1456,MAGAZZINO!$B$2:$M$100000,12,FALSE)</f>
        <v/>
      </c>
      <c r="M1456" s="47" t="n"/>
      <c r="N1456" s="88" t="n">
        <v>45873</v>
      </c>
      <c r="O1456" s="156" t="inlineStr">
        <is>
          <t>BIN HUMAID NATIONAL TRADING CO. (ARABIA SAUDITA)</t>
        </is>
      </c>
      <c r="P1456" s="152" t="inlineStr">
        <is>
          <t xml:space="preserve">  IMPORT LICENSE N. 182480  (END USER CERTIFICATE)                                                                      AUT. ESPORTAZIONE MULTIPLA N. 6B/2025/2M RILASCIATA IL 26/05/2025                        (LICENZA DI SCARICO N. 6B/2025/2S RILASCIATA IL 30/07/2025)</t>
        </is>
      </c>
      <c r="Q1456" s="150" t="n"/>
      <c r="R1456" s="150" t="n"/>
      <c r="S1456" s="153" t="n"/>
    </row>
    <row r="1457" ht="36" customHeight="1">
      <c r="A1457" s="46" t="n">
        <v>3787</v>
      </c>
      <c r="B1457" s="4">
        <f>+VLOOKUP($A1457,MAGAZZINO!$B$2:$M$100000,2,FALSE)</f>
        <v/>
      </c>
      <c r="C1457" s="29">
        <f>+VLOOKUP($A1457,MAGAZZINO!$B$2:$M$100000,3,FALSE)</f>
        <v/>
      </c>
      <c r="D1457" s="3">
        <f>+VLOOKUP($A1457,MAGAZZINO!$B$2:$M$100000,4,FALSE)</f>
        <v/>
      </c>
      <c r="E1457" s="3">
        <f>+VLOOKUP($A1457,MAGAZZINO!$B$2:$M$100000,5,FALSE)</f>
        <v/>
      </c>
      <c r="F1457" s="3">
        <f>+VLOOKUP($A1457,MAGAZZINO!$B$2:$M$100000,6,FALSE)</f>
        <v/>
      </c>
      <c r="G1457" s="3">
        <f>+VLOOKUP($A1457,MAGAZZINO!$B$2:$M$100000,7,FALSE)</f>
        <v/>
      </c>
      <c r="H1457" s="3">
        <f>+VLOOKUP($A1457,MAGAZZINO!$B$2:$M$100000,8,FALSE)</f>
        <v/>
      </c>
      <c r="I1457" s="3">
        <f>+VLOOKUP($A1457,MAGAZZINO!$B$2:$M$100000,9,FALSE)</f>
        <v/>
      </c>
      <c r="J1457" s="3">
        <f>+VLOOKUP($A1457,MAGAZZINO!$B$2:$M$100000,10,FALSE)</f>
        <v/>
      </c>
      <c r="K1457" s="3">
        <f>+VLOOKUP($A1457,MAGAZZINO!$B$2:$M$100000,11,FALSE)</f>
        <v/>
      </c>
      <c r="L1457" s="5">
        <f>+VLOOKUP($A1457,MAGAZZINO!$B$2:$M$100000,12,FALSE)</f>
        <v/>
      </c>
      <c r="M1457" s="47" t="n"/>
      <c r="N1457" s="88" t="n">
        <v>45873</v>
      </c>
      <c r="O1457" s="156" t="inlineStr">
        <is>
          <t>BIN HUMAID NATIONAL TRADING CO. (ARABIA SAUDITA)</t>
        </is>
      </c>
      <c r="P1457" s="152" t="inlineStr">
        <is>
          <t xml:space="preserve">  IMPORT LICENSE N. 182480  (END USER CERTIFICATE)                                                                      AUT. ESPORTAZIONE MULTIPLA N. 6B/2025/2M RILASCIATA IL 26/05/2025                        (LICENZA DI SCARICO N. 6B/2025/2S RILASCIATA IL 30/07/2025)</t>
        </is>
      </c>
      <c r="Q1457" s="150" t="n"/>
      <c r="R1457" s="150" t="n"/>
      <c r="S1457" s="153" t="n"/>
    </row>
    <row r="1458" ht="36" customHeight="1">
      <c r="A1458" s="46" t="n">
        <v>3788</v>
      </c>
      <c r="B1458" s="4">
        <f>+VLOOKUP($A1458,MAGAZZINO!$B$2:$M$100000,2,FALSE)</f>
        <v/>
      </c>
      <c r="C1458" s="29">
        <f>+VLOOKUP($A1458,MAGAZZINO!$B$2:$M$100000,3,FALSE)</f>
        <v/>
      </c>
      <c r="D1458" s="3">
        <f>+VLOOKUP($A1458,MAGAZZINO!$B$2:$M$100000,4,FALSE)</f>
        <v/>
      </c>
      <c r="E1458" s="3">
        <f>+VLOOKUP($A1458,MAGAZZINO!$B$2:$M$100000,5,FALSE)</f>
        <v/>
      </c>
      <c r="F1458" s="3">
        <f>+VLOOKUP($A1458,MAGAZZINO!$B$2:$M$100000,6,FALSE)</f>
        <v/>
      </c>
      <c r="G1458" s="3">
        <f>+VLOOKUP($A1458,MAGAZZINO!$B$2:$M$100000,7,FALSE)</f>
        <v/>
      </c>
      <c r="H1458" s="3">
        <f>+VLOOKUP($A1458,MAGAZZINO!$B$2:$M$100000,8,FALSE)</f>
        <v/>
      </c>
      <c r="I1458" s="3">
        <f>+VLOOKUP($A1458,MAGAZZINO!$B$2:$M$100000,9,FALSE)</f>
        <v/>
      </c>
      <c r="J1458" s="3">
        <f>+VLOOKUP($A1458,MAGAZZINO!$B$2:$M$100000,10,FALSE)</f>
        <v/>
      </c>
      <c r="K1458" s="3">
        <f>+VLOOKUP($A1458,MAGAZZINO!$B$2:$M$100000,11,FALSE)</f>
        <v/>
      </c>
      <c r="L1458" s="5">
        <f>+VLOOKUP($A1458,MAGAZZINO!$B$2:$M$100000,12,FALSE)</f>
        <v/>
      </c>
      <c r="M1458" s="47" t="n"/>
      <c r="N1458" s="88" t="n">
        <v>45873</v>
      </c>
      <c r="O1458" s="156" t="inlineStr">
        <is>
          <t>BIN HUMAID NATIONAL TRADING CO. (ARABIA SAUDITA)</t>
        </is>
      </c>
      <c r="P1458" s="152" t="inlineStr">
        <is>
          <t xml:space="preserve">  IMPORT LICENSE N. 182480  (END USER CERTIFICATE)                                                                      AUT. ESPORTAZIONE MULTIPLA N. 6B/2025/2M RILASCIATA IL 26/05/2025                        (LICENZA DI SCARICO N. 6B/2025/2S RILASCIATA IL 30/07/2025)</t>
        </is>
      </c>
      <c r="Q1458" s="150" t="n"/>
      <c r="R1458" s="150" t="n"/>
      <c r="S1458" s="153" t="n"/>
    </row>
    <row r="1459" ht="36" customHeight="1">
      <c r="A1459" s="46" t="n">
        <v>3789</v>
      </c>
      <c r="B1459" s="4">
        <f>+VLOOKUP($A1459,MAGAZZINO!$B$2:$M$100000,2,FALSE)</f>
        <v/>
      </c>
      <c r="C1459" s="29">
        <f>+VLOOKUP($A1459,MAGAZZINO!$B$2:$M$100000,3,FALSE)</f>
        <v/>
      </c>
      <c r="D1459" s="3">
        <f>+VLOOKUP($A1459,MAGAZZINO!$B$2:$M$100000,4,FALSE)</f>
        <v/>
      </c>
      <c r="E1459" s="3">
        <f>+VLOOKUP($A1459,MAGAZZINO!$B$2:$M$100000,5,FALSE)</f>
        <v/>
      </c>
      <c r="F1459" s="3">
        <f>+VLOOKUP($A1459,MAGAZZINO!$B$2:$M$100000,6,FALSE)</f>
        <v/>
      </c>
      <c r="G1459" s="3">
        <f>+VLOOKUP($A1459,MAGAZZINO!$B$2:$M$100000,7,FALSE)</f>
        <v/>
      </c>
      <c r="H1459" s="3">
        <f>+VLOOKUP($A1459,MAGAZZINO!$B$2:$M$100000,8,FALSE)</f>
        <v/>
      </c>
      <c r="I1459" s="3">
        <f>+VLOOKUP($A1459,MAGAZZINO!$B$2:$M$100000,9,FALSE)</f>
        <v/>
      </c>
      <c r="J1459" s="3">
        <f>+VLOOKUP($A1459,MAGAZZINO!$B$2:$M$100000,10,FALSE)</f>
        <v/>
      </c>
      <c r="K1459" s="3">
        <f>+VLOOKUP($A1459,MAGAZZINO!$B$2:$M$100000,11,FALSE)</f>
        <v/>
      </c>
      <c r="L1459" s="5">
        <f>+VLOOKUP($A1459,MAGAZZINO!$B$2:$M$100000,12,FALSE)</f>
        <v/>
      </c>
      <c r="M1459" s="47" t="n"/>
      <c r="N1459" s="88" t="n">
        <v>45873</v>
      </c>
      <c r="O1459" s="156" t="inlineStr">
        <is>
          <t>BIN HUMAID NATIONAL TRADING CO. (ARABIA SAUDITA)</t>
        </is>
      </c>
      <c r="P1459" s="152" t="inlineStr">
        <is>
          <t xml:space="preserve">  IMPORT LICENSE N. 182480  (END USER CERTIFICATE)                                                                      AUT. ESPORTAZIONE MULTIPLA N. 6B/2025/2M RILASCIATA IL 26/05/2025                        (LICENZA DI SCARICO N. 6B/2025/2S RILASCIATA IL 30/07/2025)</t>
        </is>
      </c>
      <c r="Q1459" s="150" t="n"/>
      <c r="R1459" s="150" t="n"/>
      <c r="S1459" s="153" t="n"/>
    </row>
    <row r="1460" ht="36" customHeight="1">
      <c r="A1460" s="46" t="n">
        <v>3790</v>
      </c>
      <c r="B1460" s="4">
        <f>+VLOOKUP($A1460,MAGAZZINO!$B$2:$M$100000,2,FALSE)</f>
        <v/>
      </c>
      <c r="C1460" s="29">
        <f>+VLOOKUP($A1460,MAGAZZINO!$B$2:$M$100000,3,FALSE)</f>
        <v/>
      </c>
      <c r="D1460" s="3">
        <f>+VLOOKUP($A1460,MAGAZZINO!$B$2:$M$100000,4,FALSE)</f>
        <v/>
      </c>
      <c r="E1460" s="3">
        <f>+VLOOKUP($A1460,MAGAZZINO!$B$2:$M$100000,5,FALSE)</f>
        <v/>
      </c>
      <c r="F1460" s="3">
        <f>+VLOOKUP($A1460,MAGAZZINO!$B$2:$M$100000,6,FALSE)</f>
        <v/>
      </c>
      <c r="G1460" s="3">
        <f>+VLOOKUP($A1460,MAGAZZINO!$B$2:$M$100000,7,FALSE)</f>
        <v/>
      </c>
      <c r="H1460" s="3">
        <f>+VLOOKUP($A1460,MAGAZZINO!$B$2:$M$100000,8,FALSE)</f>
        <v/>
      </c>
      <c r="I1460" s="3">
        <f>+VLOOKUP($A1460,MAGAZZINO!$B$2:$M$100000,9,FALSE)</f>
        <v/>
      </c>
      <c r="J1460" s="3">
        <f>+VLOOKUP($A1460,MAGAZZINO!$B$2:$M$100000,10,FALSE)</f>
        <v/>
      </c>
      <c r="K1460" s="3">
        <f>+VLOOKUP($A1460,MAGAZZINO!$B$2:$M$100000,11,FALSE)</f>
        <v/>
      </c>
      <c r="L1460" s="5">
        <f>+VLOOKUP($A1460,MAGAZZINO!$B$2:$M$100000,12,FALSE)</f>
        <v/>
      </c>
      <c r="M1460" s="47" t="n"/>
      <c r="N1460" s="88" t="n">
        <v>45873</v>
      </c>
      <c r="O1460" s="156" t="inlineStr">
        <is>
          <t>BIN HUMAID NATIONAL TRADING CO. (ARABIA SAUDITA)</t>
        </is>
      </c>
      <c r="P1460" s="152" t="inlineStr">
        <is>
          <t xml:space="preserve">  IMPORT LICENSE N. 182480  (END USER CERTIFICATE)                                                                      AUT. ESPORTAZIONE MULTIPLA N. 6B/2025/2M RILASCIATA IL 26/05/2025                        (LICENZA DI SCARICO N. 6B/2025/2S RILASCIATA IL 30/07/2025)</t>
        </is>
      </c>
      <c r="Q1460" s="150" t="n"/>
      <c r="R1460" s="150" t="n"/>
      <c r="S1460" s="153" t="n"/>
    </row>
    <row r="1461" ht="36" customHeight="1">
      <c r="A1461" s="46" t="n">
        <v>3791</v>
      </c>
      <c r="B1461" s="4">
        <f>+VLOOKUP($A1461,MAGAZZINO!$B$2:$M$100000,2,FALSE)</f>
        <v/>
      </c>
      <c r="C1461" s="29">
        <f>+VLOOKUP($A1461,MAGAZZINO!$B$2:$M$100000,3,FALSE)</f>
        <v/>
      </c>
      <c r="D1461" s="3">
        <f>+VLOOKUP($A1461,MAGAZZINO!$B$2:$M$100000,4,FALSE)</f>
        <v/>
      </c>
      <c r="E1461" s="3">
        <f>+VLOOKUP($A1461,MAGAZZINO!$B$2:$M$100000,5,FALSE)</f>
        <v/>
      </c>
      <c r="F1461" s="3">
        <f>+VLOOKUP($A1461,MAGAZZINO!$B$2:$M$100000,6,FALSE)</f>
        <v/>
      </c>
      <c r="G1461" s="3">
        <f>+VLOOKUP($A1461,MAGAZZINO!$B$2:$M$100000,7,FALSE)</f>
        <v/>
      </c>
      <c r="H1461" s="3">
        <f>+VLOOKUP($A1461,MAGAZZINO!$B$2:$M$100000,8,FALSE)</f>
        <v/>
      </c>
      <c r="I1461" s="3">
        <f>+VLOOKUP($A1461,MAGAZZINO!$B$2:$M$100000,9,FALSE)</f>
        <v/>
      </c>
      <c r="J1461" s="3">
        <f>+VLOOKUP($A1461,MAGAZZINO!$B$2:$M$100000,10,FALSE)</f>
        <v/>
      </c>
      <c r="K1461" s="3">
        <f>+VLOOKUP($A1461,MAGAZZINO!$B$2:$M$100000,11,FALSE)</f>
        <v/>
      </c>
      <c r="L1461" s="5">
        <f>+VLOOKUP($A1461,MAGAZZINO!$B$2:$M$100000,12,FALSE)</f>
        <v/>
      </c>
      <c r="M1461" s="47" t="n"/>
      <c r="N1461" s="88" t="n">
        <v>45873</v>
      </c>
      <c r="O1461" s="156" t="inlineStr">
        <is>
          <t>BIN HUMAID NATIONAL TRADING CO. (ARABIA SAUDITA)</t>
        </is>
      </c>
      <c r="P1461" s="152" t="inlineStr">
        <is>
          <t xml:space="preserve">  IMPORT LICENSE N. 182480  (END USER CERTIFICATE)                                                                      AUT. ESPORTAZIONE MULTIPLA N. 6B/2025/2M RILASCIATA IL 26/05/2025                        (LICENZA DI SCARICO N. 6B/2025/2S RILASCIATA IL 30/07/2025)</t>
        </is>
      </c>
      <c r="Q1461" s="150" t="n"/>
      <c r="R1461" s="150" t="n"/>
      <c r="S1461" s="153" t="n"/>
    </row>
    <row r="1462" ht="36" customHeight="1">
      <c r="A1462" s="46" t="n">
        <v>3792</v>
      </c>
      <c r="B1462" s="4">
        <f>+VLOOKUP($A1462,MAGAZZINO!$B$2:$M$100000,2,FALSE)</f>
        <v/>
      </c>
      <c r="C1462" s="29">
        <f>+VLOOKUP($A1462,MAGAZZINO!$B$2:$M$100000,3,FALSE)</f>
        <v/>
      </c>
      <c r="D1462" s="3">
        <f>+VLOOKUP($A1462,MAGAZZINO!$B$2:$M$100000,4,FALSE)</f>
        <v/>
      </c>
      <c r="E1462" s="3">
        <f>+VLOOKUP($A1462,MAGAZZINO!$B$2:$M$100000,5,FALSE)</f>
        <v/>
      </c>
      <c r="F1462" s="3">
        <f>+VLOOKUP($A1462,MAGAZZINO!$B$2:$M$100000,6,FALSE)</f>
        <v/>
      </c>
      <c r="G1462" s="3">
        <f>+VLOOKUP($A1462,MAGAZZINO!$B$2:$M$100000,7,FALSE)</f>
        <v/>
      </c>
      <c r="H1462" s="3">
        <f>+VLOOKUP($A1462,MAGAZZINO!$B$2:$M$100000,8,FALSE)</f>
        <v/>
      </c>
      <c r="I1462" s="3">
        <f>+VLOOKUP($A1462,MAGAZZINO!$B$2:$M$100000,9,FALSE)</f>
        <v/>
      </c>
      <c r="J1462" s="3">
        <f>+VLOOKUP($A1462,MAGAZZINO!$B$2:$M$100000,10,FALSE)</f>
        <v/>
      </c>
      <c r="K1462" s="3">
        <f>+VLOOKUP($A1462,MAGAZZINO!$B$2:$M$100000,11,FALSE)</f>
        <v/>
      </c>
      <c r="L1462" s="5">
        <f>+VLOOKUP($A1462,MAGAZZINO!$B$2:$M$100000,12,FALSE)</f>
        <v/>
      </c>
      <c r="M1462" s="47" t="n"/>
      <c r="N1462" s="88" t="n">
        <v>45873</v>
      </c>
      <c r="O1462" s="156" t="inlineStr">
        <is>
          <t>BIN HUMAID NATIONAL TRADING CO. (ARABIA SAUDITA)</t>
        </is>
      </c>
      <c r="P1462" s="152" t="inlineStr">
        <is>
          <t xml:space="preserve">  IMPORT LICENSE N. 182480  (END USER CERTIFICATE)                                                                      AUT. ESPORTAZIONE MULTIPLA N. 6B/2025/2M RILASCIATA IL 26/05/2025                        (LICENZA DI SCARICO N. 6B/2025/2S RILASCIATA IL 30/07/2025)</t>
        </is>
      </c>
      <c r="Q1462" s="150" t="n"/>
      <c r="R1462" s="150" t="n"/>
      <c r="S1462" s="153" t="n"/>
    </row>
    <row r="1463" ht="36" customHeight="1">
      <c r="A1463" s="46" t="n">
        <v>3793</v>
      </c>
      <c r="B1463" s="4">
        <f>+VLOOKUP($A1463,MAGAZZINO!$B$2:$M$100000,2,FALSE)</f>
        <v/>
      </c>
      <c r="C1463" s="29">
        <f>+VLOOKUP($A1463,MAGAZZINO!$B$2:$M$100000,3,FALSE)</f>
        <v/>
      </c>
      <c r="D1463" s="3">
        <f>+VLOOKUP($A1463,MAGAZZINO!$B$2:$M$100000,4,FALSE)</f>
        <v/>
      </c>
      <c r="E1463" s="3">
        <f>+VLOOKUP($A1463,MAGAZZINO!$B$2:$M$100000,5,FALSE)</f>
        <v/>
      </c>
      <c r="F1463" s="3">
        <f>+VLOOKUP($A1463,MAGAZZINO!$B$2:$M$100000,6,FALSE)</f>
        <v/>
      </c>
      <c r="G1463" s="3">
        <f>+VLOOKUP($A1463,MAGAZZINO!$B$2:$M$100000,7,FALSE)</f>
        <v/>
      </c>
      <c r="H1463" s="3">
        <f>+VLOOKUP($A1463,MAGAZZINO!$B$2:$M$100000,8,FALSE)</f>
        <v/>
      </c>
      <c r="I1463" s="3">
        <f>+VLOOKUP($A1463,MAGAZZINO!$B$2:$M$100000,9,FALSE)</f>
        <v/>
      </c>
      <c r="J1463" s="3">
        <f>+VLOOKUP($A1463,MAGAZZINO!$B$2:$M$100000,10,FALSE)</f>
        <v/>
      </c>
      <c r="K1463" s="3">
        <f>+VLOOKUP($A1463,MAGAZZINO!$B$2:$M$100000,11,FALSE)</f>
        <v/>
      </c>
      <c r="L1463" s="5">
        <f>+VLOOKUP($A1463,MAGAZZINO!$B$2:$M$100000,12,FALSE)</f>
        <v/>
      </c>
      <c r="M1463" s="47" t="n"/>
      <c r="N1463" s="88" t="n">
        <v>45873</v>
      </c>
      <c r="O1463" s="156" t="inlineStr">
        <is>
          <t>BIN HUMAID NATIONAL TRADING CO. (ARABIA SAUDITA)</t>
        </is>
      </c>
      <c r="P1463" s="152" t="inlineStr">
        <is>
          <t xml:space="preserve">  IMPORT LICENSE N. 182480  (END USER CERTIFICATE)                                                                      AUT. ESPORTAZIONE MULTIPLA N. 6B/2025/2M RILASCIATA IL 26/05/2025                        (LICENZA DI SCARICO N. 6B/2025/2S RILASCIATA IL 30/07/2025)</t>
        </is>
      </c>
      <c r="Q1463" s="150" t="n"/>
      <c r="R1463" s="150" t="n"/>
      <c r="S1463" s="153" t="n"/>
    </row>
    <row r="1464" ht="36" customHeight="1">
      <c r="A1464" s="46" t="n">
        <v>3794</v>
      </c>
      <c r="B1464" s="4">
        <f>+VLOOKUP($A1464,MAGAZZINO!$B$2:$M$100000,2,FALSE)</f>
        <v/>
      </c>
      <c r="C1464" s="29">
        <f>+VLOOKUP($A1464,MAGAZZINO!$B$2:$M$100000,3,FALSE)</f>
        <v/>
      </c>
      <c r="D1464" s="3">
        <f>+VLOOKUP($A1464,MAGAZZINO!$B$2:$M$100000,4,FALSE)</f>
        <v/>
      </c>
      <c r="E1464" s="3">
        <f>+VLOOKUP($A1464,MAGAZZINO!$B$2:$M$100000,5,FALSE)</f>
        <v/>
      </c>
      <c r="F1464" s="3">
        <f>+VLOOKUP($A1464,MAGAZZINO!$B$2:$M$100000,6,FALSE)</f>
        <v/>
      </c>
      <c r="G1464" s="3">
        <f>+VLOOKUP($A1464,MAGAZZINO!$B$2:$M$100000,7,FALSE)</f>
        <v/>
      </c>
      <c r="H1464" s="3">
        <f>+VLOOKUP($A1464,MAGAZZINO!$B$2:$M$100000,8,FALSE)</f>
        <v/>
      </c>
      <c r="I1464" s="3">
        <f>+VLOOKUP($A1464,MAGAZZINO!$B$2:$M$100000,9,FALSE)</f>
        <v/>
      </c>
      <c r="J1464" s="3">
        <f>+VLOOKUP($A1464,MAGAZZINO!$B$2:$M$100000,10,FALSE)</f>
        <v/>
      </c>
      <c r="K1464" s="3">
        <f>+VLOOKUP($A1464,MAGAZZINO!$B$2:$M$100000,11,FALSE)</f>
        <v/>
      </c>
      <c r="L1464" s="5">
        <f>+VLOOKUP($A1464,MAGAZZINO!$B$2:$M$100000,12,FALSE)</f>
        <v/>
      </c>
      <c r="M1464" s="47" t="n"/>
      <c r="N1464" s="88" t="n">
        <v>45873</v>
      </c>
      <c r="O1464" s="156" t="inlineStr">
        <is>
          <t>BIN HUMAID NATIONAL TRADING CO. (ARABIA SAUDITA)</t>
        </is>
      </c>
      <c r="P1464" s="152" t="inlineStr">
        <is>
          <t xml:space="preserve">  IMPORT LICENSE N. 182480  (END USER CERTIFICATE)                                                                      AUT. ESPORTAZIONE MULTIPLA N. 6B/2025/2M RILASCIATA IL 26/05/2025                        (LICENZA DI SCARICO N. 6B/2025/2S RILASCIATA IL 30/07/2025)</t>
        </is>
      </c>
      <c r="Q1464" s="150" t="n"/>
      <c r="R1464" s="150" t="n"/>
      <c r="S1464" s="153" t="n"/>
    </row>
    <row r="1465" ht="36" customHeight="1">
      <c r="A1465" s="46" t="n">
        <v>3795</v>
      </c>
      <c r="B1465" s="4">
        <f>+VLOOKUP($A1465,MAGAZZINO!$B$2:$M$100000,2,FALSE)</f>
        <v/>
      </c>
      <c r="C1465" s="29">
        <f>+VLOOKUP($A1465,MAGAZZINO!$B$2:$M$100000,3,FALSE)</f>
        <v/>
      </c>
      <c r="D1465" s="3">
        <f>+VLOOKUP($A1465,MAGAZZINO!$B$2:$M$100000,4,FALSE)</f>
        <v/>
      </c>
      <c r="E1465" s="3">
        <f>+VLOOKUP($A1465,MAGAZZINO!$B$2:$M$100000,5,FALSE)</f>
        <v/>
      </c>
      <c r="F1465" s="3">
        <f>+VLOOKUP($A1465,MAGAZZINO!$B$2:$M$100000,6,FALSE)</f>
        <v/>
      </c>
      <c r="G1465" s="3">
        <f>+VLOOKUP($A1465,MAGAZZINO!$B$2:$M$100000,7,FALSE)</f>
        <v/>
      </c>
      <c r="H1465" s="3">
        <f>+VLOOKUP($A1465,MAGAZZINO!$B$2:$M$100000,8,FALSE)</f>
        <v/>
      </c>
      <c r="I1465" s="3">
        <f>+VLOOKUP($A1465,MAGAZZINO!$B$2:$M$100000,9,FALSE)</f>
        <v/>
      </c>
      <c r="J1465" s="3">
        <f>+VLOOKUP($A1465,MAGAZZINO!$B$2:$M$100000,10,FALSE)</f>
        <v/>
      </c>
      <c r="K1465" s="3">
        <f>+VLOOKUP($A1465,MAGAZZINO!$B$2:$M$100000,11,FALSE)</f>
        <v/>
      </c>
      <c r="L1465" s="5">
        <f>+VLOOKUP($A1465,MAGAZZINO!$B$2:$M$100000,12,FALSE)</f>
        <v/>
      </c>
      <c r="M1465" s="47" t="n"/>
      <c r="N1465" s="88" t="n">
        <v>45873</v>
      </c>
      <c r="O1465" s="156" t="inlineStr">
        <is>
          <t>BIN HUMAID NATIONAL TRADING CO. (ARABIA SAUDITA)</t>
        </is>
      </c>
      <c r="P1465" s="152" t="inlineStr">
        <is>
          <t xml:space="preserve">  IMPORT LICENSE N. 182480  (END USER CERTIFICATE)                                                                      AUT. ESPORTAZIONE MULTIPLA N. 6B/2025/2M RILASCIATA IL 26/05/2025                        (LICENZA DI SCARICO N. 6B/2025/2S RILASCIATA IL 30/07/2025)</t>
        </is>
      </c>
      <c r="Q1465" s="150" t="n"/>
      <c r="R1465" s="150" t="n"/>
      <c r="S1465" s="153" t="n"/>
    </row>
    <row r="1466" ht="36" customHeight="1">
      <c r="A1466" s="46" t="n">
        <v>3796</v>
      </c>
      <c r="B1466" s="4">
        <f>+VLOOKUP($A1466,MAGAZZINO!$B$2:$M$100000,2,FALSE)</f>
        <v/>
      </c>
      <c r="C1466" s="29">
        <f>+VLOOKUP($A1466,MAGAZZINO!$B$2:$M$100000,3,FALSE)</f>
        <v/>
      </c>
      <c r="D1466" s="3">
        <f>+VLOOKUP($A1466,MAGAZZINO!$B$2:$M$100000,4,FALSE)</f>
        <v/>
      </c>
      <c r="E1466" s="3">
        <f>+VLOOKUP($A1466,MAGAZZINO!$B$2:$M$100000,5,FALSE)</f>
        <v/>
      </c>
      <c r="F1466" s="3">
        <f>+VLOOKUP($A1466,MAGAZZINO!$B$2:$M$100000,6,FALSE)</f>
        <v/>
      </c>
      <c r="G1466" s="3">
        <f>+VLOOKUP($A1466,MAGAZZINO!$B$2:$M$100000,7,FALSE)</f>
        <v/>
      </c>
      <c r="H1466" s="3">
        <f>+VLOOKUP($A1466,MAGAZZINO!$B$2:$M$100000,8,FALSE)</f>
        <v/>
      </c>
      <c r="I1466" s="3">
        <f>+VLOOKUP($A1466,MAGAZZINO!$B$2:$M$100000,9,FALSE)</f>
        <v/>
      </c>
      <c r="J1466" s="3">
        <f>+VLOOKUP($A1466,MAGAZZINO!$B$2:$M$100000,10,FALSE)</f>
        <v/>
      </c>
      <c r="K1466" s="3">
        <f>+VLOOKUP($A1466,MAGAZZINO!$B$2:$M$100000,11,FALSE)</f>
        <v/>
      </c>
      <c r="L1466" s="5">
        <f>+VLOOKUP($A1466,MAGAZZINO!$B$2:$M$100000,12,FALSE)</f>
        <v/>
      </c>
      <c r="M1466" s="47" t="n"/>
      <c r="N1466" s="88" t="n">
        <v>45873</v>
      </c>
      <c r="O1466" s="156" t="inlineStr">
        <is>
          <t>BIN HUMAID NATIONAL TRADING CO. (ARABIA SAUDITA)</t>
        </is>
      </c>
      <c r="P1466" s="152" t="inlineStr">
        <is>
          <t xml:space="preserve">  IMPORT LICENSE N. 182480  (END USER CERTIFICATE)                                                                      AUT. ESPORTAZIONE MULTIPLA N. 6B/2025/2M RILASCIATA IL 26/05/2025                        (LICENZA DI SCARICO N. 6B/2025/2S RILASCIATA IL 30/07/2025)</t>
        </is>
      </c>
      <c r="Q1466" s="150" t="n"/>
      <c r="R1466" s="150" t="n"/>
      <c r="S1466" s="153" t="n"/>
    </row>
    <row r="1467" ht="36" customHeight="1">
      <c r="A1467" s="46" t="n">
        <v>3797</v>
      </c>
      <c r="B1467" s="4">
        <f>+VLOOKUP($A1467,MAGAZZINO!$B$2:$M$100000,2,FALSE)</f>
        <v/>
      </c>
      <c r="C1467" s="29">
        <f>+VLOOKUP($A1467,MAGAZZINO!$B$2:$M$100000,3,FALSE)</f>
        <v/>
      </c>
      <c r="D1467" s="3">
        <f>+VLOOKUP($A1467,MAGAZZINO!$B$2:$M$100000,4,FALSE)</f>
        <v/>
      </c>
      <c r="E1467" s="3">
        <f>+VLOOKUP($A1467,MAGAZZINO!$B$2:$M$100000,5,FALSE)</f>
        <v/>
      </c>
      <c r="F1467" s="3">
        <f>+VLOOKUP($A1467,MAGAZZINO!$B$2:$M$100000,6,FALSE)</f>
        <v/>
      </c>
      <c r="G1467" s="3">
        <f>+VLOOKUP($A1467,MAGAZZINO!$B$2:$M$100000,7,FALSE)</f>
        <v/>
      </c>
      <c r="H1467" s="3">
        <f>+VLOOKUP($A1467,MAGAZZINO!$B$2:$M$100000,8,FALSE)</f>
        <v/>
      </c>
      <c r="I1467" s="3">
        <f>+VLOOKUP($A1467,MAGAZZINO!$B$2:$M$100000,9,FALSE)</f>
        <v/>
      </c>
      <c r="J1467" s="3">
        <f>+VLOOKUP($A1467,MAGAZZINO!$B$2:$M$100000,10,FALSE)</f>
        <v/>
      </c>
      <c r="K1467" s="3">
        <f>+VLOOKUP($A1467,MAGAZZINO!$B$2:$M$100000,11,FALSE)</f>
        <v/>
      </c>
      <c r="L1467" s="5">
        <f>+VLOOKUP($A1467,MAGAZZINO!$B$2:$M$100000,12,FALSE)</f>
        <v/>
      </c>
      <c r="M1467" s="47" t="n"/>
      <c r="N1467" s="88" t="n">
        <v>45873</v>
      </c>
      <c r="O1467" s="156" t="inlineStr">
        <is>
          <t>BIN HUMAID NATIONAL TRADING CO. (ARABIA SAUDITA)</t>
        </is>
      </c>
      <c r="P1467" s="152" t="inlineStr">
        <is>
          <t xml:space="preserve">  IMPORT LICENSE N. 182480  (END USER CERTIFICATE)                                                                      AUT. ESPORTAZIONE MULTIPLA N. 6B/2025/2M RILASCIATA IL 26/05/2025                        (LICENZA DI SCARICO N. 6B/2025/2S RILASCIATA IL 30/07/2025)</t>
        </is>
      </c>
      <c r="Q1467" s="150" t="n"/>
      <c r="R1467" s="150" t="n"/>
      <c r="S1467" s="153" t="n"/>
    </row>
    <row r="1468" ht="36" customHeight="1">
      <c r="A1468" s="46" t="n">
        <v>3798</v>
      </c>
      <c r="B1468" s="4">
        <f>+VLOOKUP($A1468,MAGAZZINO!$B$2:$M$100000,2,FALSE)</f>
        <v/>
      </c>
      <c r="C1468" s="29">
        <f>+VLOOKUP($A1468,MAGAZZINO!$B$2:$M$100000,3,FALSE)</f>
        <v/>
      </c>
      <c r="D1468" s="3">
        <f>+VLOOKUP($A1468,MAGAZZINO!$B$2:$M$100000,4,FALSE)</f>
        <v/>
      </c>
      <c r="E1468" s="3">
        <f>+VLOOKUP($A1468,MAGAZZINO!$B$2:$M$100000,5,FALSE)</f>
        <v/>
      </c>
      <c r="F1468" s="3">
        <f>+VLOOKUP($A1468,MAGAZZINO!$B$2:$M$100000,6,FALSE)</f>
        <v/>
      </c>
      <c r="G1468" s="3">
        <f>+VLOOKUP($A1468,MAGAZZINO!$B$2:$M$100000,7,FALSE)</f>
        <v/>
      </c>
      <c r="H1468" s="3">
        <f>+VLOOKUP($A1468,MAGAZZINO!$B$2:$M$100000,8,FALSE)</f>
        <v/>
      </c>
      <c r="I1468" s="3">
        <f>+VLOOKUP($A1468,MAGAZZINO!$B$2:$M$100000,9,FALSE)</f>
        <v/>
      </c>
      <c r="J1468" s="3">
        <f>+VLOOKUP($A1468,MAGAZZINO!$B$2:$M$100000,10,FALSE)</f>
        <v/>
      </c>
      <c r="K1468" s="3">
        <f>+VLOOKUP($A1468,MAGAZZINO!$B$2:$M$100000,11,FALSE)</f>
        <v/>
      </c>
      <c r="L1468" s="5">
        <f>+VLOOKUP($A1468,MAGAZZINO!$B$2:$M$100000,12,FALSE)</f>
        <v/>
      </c>
      <c r="M1468" s="47" t="n"/>
      <c r="N1468" s="88" t="n">
        <v>45873</v>
      </c>
      <c r="O1468" s="156" t="inlineStr">
        <is>
          <t>BIN HUMAID NATIONAL TRADING CO. (ARABIA SAUDITA)</t>
        </is>
      </c>
      <c r="P1468" s="152" t="inlineStr">
        <is>
          <t xml:space="preserve">  IMPORT LICENSE N. 182480  (END USER CERTIFICATE)                                                                      AUT. ESPORTAZIONE MULTIPLA N. 6B/2025/2M RILASCIATA IL 26/05/2025                        (LICENZA DI SCARICO N. 6B/2025/2S RILASCIATA IL 30/07/2025)</t>
        </is>
      </c>
      <c r="Q1468" s="150" t="n"/>
      <c r="R1468" s="150" t="n"/>
      <c r="S1468" s="153" t="n"/>
    </row>
    <row r="1469" ht="36" customHeight="1">
      <c r="A1469" s="46" t="n">
        <v>3799</v>
      </c>
      <c r="B1469" s="4">
        <f>+VLOOKUP($A1469,MAGAZZINO!$B$2:$M$100000,2,FALSE)</f>
        <v/>
      </c>
      <c r="C1469" s="29">
        <f>+VLOOKUP($A1469,MAGAZZINO!$B$2:$M$100000,3,FALSE)</f>
        <v/>
      </c>
      <c r="D1469" s="3">
        <f>+VLOOKUP($A1469,MAGAZZINO!$B$2:$M$100000,4,FALSE)</f>
        <v/>
      </c>
      <c r="E1469" s="3">
        <f>+VLOOKUP($A1469,MAGAZZINO!$B$2:$M$100000,5,FALSE)</f>
        <v/>
      </c>
      <c r="F1469" s="3">
        <f>+VLOOKUP($A1469,MAGAZZINO!$B$2:$M$100000,6,FALSE)</f>
        <v/>
      </c>
      <c r="G1469" s="3">
        <f>+VLOOKUP($A1469,MAGAZZINO!$B$2:$M$100000,7,FALSE)</f>
        <v/>
      </c>
      <c r="H1469" s="3">
        <f>+VLOOKUP($A1469,MAGAZZINO!$B$2:$M$100000,8,FALSE)</f>
        <v/>
      </c>
      <c r="I1469" s="3">
        <f>+VLOOKUP($A1469,MAGAZZINO!$B$2:$M$100000,9,FALSE)</f>
        <v/>
      </c>
      <c r="J1469" s="3">
        <f>+VLOOKUP($A1469,MAGAZZINO!$B$2:$M$100000,10,FALSE)</f>
        <v/>
      </c>
      <c r="K1469" s="3">
        <f>+VLOOKUP($A1469,MAGAZZINO!$B$2:$M$100000,11,FALSE)</f>
        <v/>
      </c>
      <c r="L1469" s="5">
        <f>+VLOOKUP($A1469,MAGAZZINO!$B$2:$M$100000,12,FALSE)</f>
        <v/>
      </c>
      <c r="M1469" s="47" t="n"/>
      <c r="N1469" s="88" t="n">
        <v>45873</v>
      </c>
      <c r="O1469" s="156" t="inlineStr">
        <is>
          <t>BIN HUMAID NATIONAL TRADING CO. (ARABIA SAUDITA)</t>
        </is>
      </c>
      <c r="P1469" s="152" t="inlineStr">
        <is>
          <t xml:space="preserve">  IMPORT LICENSE N. 182480  (END USER CERTIFICATE)                                                                      AUT. ESPORTAZIONE MULTIPLA N. 6B/2025/2M RILASCIATA IL 26/05/2025                        (LICENZA DI SCARICO N. 6B/2025/2S RILASCIATA IL 30/07/2025)</t>
        </is>
      </c>
      <c r="Q1469" s="150" t="n"/>
      <c r="R1469" s="150" t="n"/>
      <c r="S1469" s="153" t="n"/>
    </row>
    <row r="1470" ht="36" customHeight="1">
      <c r="A1470" s="46" t="n">
        <v>3800</v>
      </c>
      <c r="B1470" s="4">
        <f>+VLOOKUP($A1470,MAGAZZINO!$B$2:$M$100000,2,FALSE)</f>
        <v/>
      </c>
      <c r="C1470" s="29">
        <f>+VLOOKUP($A1470,MAGAZZINO!$B$2:$M$100000,3,FALSE)</f>
        <v/>
      </c>
      <c r="D1470" s="3">
        <f>+VLOOKUP($A1470,MAGAZZINO!$B$2:$M$100000,4,FALSE)</f>
        <v/>
      </c>
      <c r="E1470" s="3">
        <f>+VLOOKUP($A1470,MAGAZZINO!$B$2:$M$100000,5,FALSE)</f>
        <v/>
      </c>
      <c r="F1470" s="3">
        <f>+VLOOKUP($A1470,MAGAZZINO!$B$2:$M$100000,6,FALSE)</f>
        <v/>
      </c>
      <c r="G1470" s="3">
        <f>+VLOOKUP($A1470,MAGAZZINO!$B$2:$M$100000,7,FALSE)</f>
        <v/>
      </c>
      <c r="H1470" s="3">
        <f>+VLOOKUP($A1470,MAGAZZINO!$B$2:$M$100000,8,FALSE)</f>
        <v/>
      </c>
      <c r="I1470" s="3">
        <f>+VLOOKUP($A1470,MAGAZZINO!$B$2:$M$100000,9,FALSE)</f>
        <v/>
      </c>
      <c r="J1470" s="3">
        <f>+VLOOKUP($A1470,MAGAZZINO!$B$2:$M$100000,10,FALSE)</f>
        <v/>
      </c>
      <c r="K1470" s="3">
        <f>+VLOOKUP($A1470,MAGAZZINO!$B$2:$M$100000,11,FALSE)</f>
        <v/>
      </c>
      <c r="L1470" s="5">
        <f>+VLOOKUP($A1470,MAGAZZINO!$B$2:$M$100000,12,FALSE)</f>
        <v/>
      </c>
      <c r="M1470" s="47" t="n"/>
      <c r="N1470" s="88" t="n">
        <v>45873</v>
      </c>
      <c r="O1470" s="156" t="inlineStr">
        <is>
          <t>BIN HUMAID NATIONAL TRADING CO. (ARABIA SAUDITA)</t>
        </is>
      </c>
      <c r="P1470" s="152" t="inlineStr">
        <is>
          <t xml:space="preserve">  IMPORT LICENSE N. 182480  (END USER CERTIFICATE)                                                                      AUT. ESPORTAZIONE MULTIPLA N. 6B/2025/2M RILASCIATA IL 26/05/2025                        (LICENZA DI SCARICO N. 6B/2025/2S RILASCIATA IL 30/07/2025)</t>
        </is>
      </c>
      <c r="Q1470" s="150" t="n"/>
      <c r="R1470" s="150" t="n"/>
      <c r="S1470" s="153" t="n"/>
    </row>
    <row r="1471" ht="36" customHeight="1">
      <c r="A1471" s="46" t="n">
        <v>3801</v>
      </c>
      <c r="B1471" s="4">
        <f>+VLOOKUP($A1471,MAGAZZINO!$B$2:$M$100000,2,FALSE)</f>
        <v/>
      </c>
      <c r="C1471" s="29">
        <f>+VLOOKUP($A1471,MAGAZZINO!$B$2:$M$100000,3,FALSE)</f>
        <v/>
      </c>
      <c r="D1471" s="3">
        <f>+VLOOKUP($A1471,MAGAZZINO!$B$2:$M$100000,4,FALSE)</f>
        <v/>
      </c>
      <c r="E1471" s="3">
        <f>+VLOOKUP($A1471,MAGAZZINO!$B$2:$M$100000,5,FALSE)</f>
        <v/>
      </c>
      <c r="F1471" s="3">
        <f>+VLOOKUP($A1471,MAGAZZINO!$B$2:$M$100000,6,FALSE)</f>
        <v/>
      </c>
      <c r="G1471" s="3">
        <f>+VLOOKUP($A1471,MAGAZZINO!$B$2:$M$100000,7,FALSE)</f>
        <v/>
      </c>
      <c r="H1471" s="3">
        <f>+VLOOKUP($A1471,MAGAZZINO!$B$2:$M$100000,8,FALSE)</f>
        <v/>
      </c>
      <c r="I1471" s="3">
        <f>+VLOOKUP($A1471,MAGAZZINO!$B$2:$M$100000,9,FALSE)</f>
        <v/>
      </c>
      <c r="J1471" s="3">
        <f>+VLOOKUP($A1471,MAGAZZINO!$B$2:$M$100000,10,FALSE)</f>
        <v/>
      </c>
      <c r="K1471" s="3">
        <f>+VLOOKUP($A1471,MAGAZZINO!$B$2:$M$100000,11,FALSE)</f>
        <v/>
      </c>
      <c r="L1471" s="5">
        <f>+VLOOKUP($A1471,MAGAZZINO!$B$2:$M$100000,12,FALSE)</f>
        <v/>
      </c>
      <c r="M1471" s="47" t="n"/>
      <c r="N1471" s="88" t="n">
        <v>45873</v>
      </c>
      <c r="O1471" s="156" t="inlineStr">
        <is>
          <t>BIN HUMAID NATIONAL TRADING CO. (ARABIA SAUDITA)</t>
        </is>
      </c>
      <c r="P1471" s="152" t="inlineStr">
        <is>
          <t xml:space="preserve">  IMPORT LICENSE N. 182480  (END USER CERTIFICATE)                                                                      AUT. ESPORTAZIONE MULTIPLA N. 6B/2025/2M RILASCIATA IL 26/05/2025                        (LICENZA DI SCARICO N. 6B/2025/2S RILASCIATA IL 30/07/2025)</t>
        </is>
      </c>
      <c r="Q1471" s="150" t="n"/>
      <c r="R1471" s="150" t="n"/>
      <c r="S1471" s="153" t="n"/>
    </row>
    <row r="1472" ht="36" customHeight="1">
      <c r="A1472" s="46" t="n">
        <v>3802</v>
      </c>
      <c r="B1472" s="4">
        <f>+VLOOKUP($A1472,MAGAZZINO!$B$2:$M$100000,2,FALSE)</f>
        <v/>
      </c>
      <c r="C1472" s="29">
        <f>+VLOOKUP($A1472,MAGAZZINO!$B$2:$M$100000,3,FALSE)</f>
        <v/>
      </c>
      <c r="D1472" s="3">
        <f>+VLOOKUP($A1472,MAGAZZINO!$B$2:$M$100000,4,FALSE)</f>
        <v/>
      </c>
      <c r="E1472" s="3">
        <f>+VLOOKUP($A1472,MAGAZZINO!$B$2:$M$100000,5,FALSE)</f>
        <v/>
      </c>
      <c r="F1472" s="3">
        <f>+VLOOKUP($A1472,MAGAZZINO!$B$2:$M$100000,6,FALSE)</f>
        <v/>
      </c>
      <c r="G1472" s="3">
        <f>+VLOOKUP($A1472,MAGAZZINO!$B$2:$M$100000,7,FALSE)</f>
        <v/>
      </c>
      <c r="H1472" s="3">
        <f>+VLOOKUP($A1472,MAGAZZINO!$B$2:$M$100000,8,FALSE)</f>
        <v/>
      </c>
      <c r="I1472" s="3">
        <f>+VLOOKUP($A1472,MAGAZZINO!$B$2:$M$100000,9,FALSE)</f>
        <v/>
      </c>
      <c r="J1472" s="3">
        <f>+VLOOKUP($A1472,MAGAZZINO!$B$2:$M$100000,10,FALSE)</f>
        <v/>
      </c>
      <c r="K1472" s="3">
        <f>+VLOOKUP($A1472,MAGAZZINO!$B$2:$M$100000,11,FALSE)</f>
        <v/>
      </c>
      <c r="L1472" s="5">
        <f>+VLOOKUP($A1472,MAGAZZINO!$B$2:$M$100000,12,FALSE)</f>
        <v/>
      </c>
      <c r="M1472" s="47" t="n"/>
      <c r="N1472" s="88" t="n">
        <v>45873</v>
      </c>
      <c r="O1472" s="156" t="inlineStr">
        <is>
          <t>BIN HUMAID NATIONAL TRADING CO. (ARABIA SAUDITA)</t>
        </is>
      </c>
      <c r="P1472" s="152" t="inlineStr">
        <is>
          <t xml:space="preserve">  IMPORT LICENSE N. 182480  (END USER CERTIFICATE)                                                                      AUT. ESPORTAZIONE MULTIPLA N. 6B/2025/2M RILASCIATA IL 26/05/2025                        (LICENZA DI SCARICO N. 6B/2025/2S RILASCIATA IL 30/07/2025)</t>
        </is>
      </c>
      <c r="Q1472" s="150" t="n"/>
      <c r="R1472" s="150" t="n"/>
      <c r="S1472" s="153" t="n"/>
    </row>
    <row r="1473" ht="36" customHeight="1">
      <c r="A1473" s="46" t="n">
        <v>3803</v>
      </c>
      <c r="B1473" s="4">
        <f>+VLOOKUP($A1473,MAGAZZINO!$B$2:$M$100000,2,FALSE)</f>
        <v/>
      </c>
      <c r="C1473" s="29">
        <f>+VLOOKUP($A1473,MAGAZZINO!$B$2:$M$100000,3,FALSE)</f>
        <v/>
      </c>
      <c r="D1473" s="3">
        <f>+VLOOKUP($A1473,MAGAZZINO!$B$2:$M$100000,4,FALSE)</f>
        <v/>
      </c>
      <c r="E1473" s="3">
        <f>+VLOOKUP($A1473,MAGAZZINO!$B$2:$M$100000,5,FALSE)</f>
        <v/>
      </c>
      <c r="F1473" s="3">
        <f>+VLOOKUP($A1473,MAGAZZINO!$B$2:$M$100000,6,FALSE)</f>
        <v/>
      </c>
      <c r="G1473" s="3">
        <f>+VLOOKUP($A1473,MAGAZZINO!$B$2:$M$100000,7,FALSE)</f>
        <v/>
      </c>
      <c r="H1473" s="3">
        <f>+VLOOKUP($A1473,MAGAZZINO!$B$2:$M$100000,8,FALSE)</f>
        <v/>
      </c>
      <c r="I1473" s="3">
        <f>+VLOOKUP($A1473,MAGAZZINO!$B$2:$M$100000,9,FALSE)</f>
        <v/>
      </c>
      <c r="J1473" s="3">
        <f>+VLOOKUP($A1473,MAGAZZINO!$B$2:$M$100000,10,FALSE)</f>
        <v/>
      </c>
      <c r="K1473" s="3">
        <f>+VLOOKUP($A1473,MAGAZZINO!$B$2:$M$100000,11,FALSE)</f>
        <v/>
      </c>
      <c r="L1473" s="5">
        <f>+VLOOKUP($A1473,MAGAZZINO!$B$2:$M$100000,12,FALSE)</f>
        <v/>
      </c>
      <c r="M1473" s="47" t="n"/>
      <c r="N1473" s="88" t="n">
        <v>45873</v>
      </c>
      <c r="O1473" s="156" t="inlineStr">
        <is>
          <t>BIN HUMAID NATIONAL TRADING CO. (ARABIA SAUDITA)</t>
        </is>
      </c>
      <c r="P1473" s="152" t="inlineStr">
        <is>
          <t xml:space="preserve">  IMPORT LICENSE N. 182480  (END USER CERTIFICATE)                                                                      AUT. ESPORTAZIONE MULTIPLA N. 6B/2025/2M RILASCIATA IL 26/05/2025                        (LICENZA DI SCARICO N. 6B/2025/2S RILASCIATA IL 30/07/2025)</t>
        </is>
      </c>
      <c r="Q1473" s="150" t="n"/>
      <c r="R1473" s="150" t="n"/>
      <c r="S1473" s="153" t="n"/>
    </row>
    <row r="1474" ht="36" customHeight="1">
      <c r="A1474" s="46" t="n">
        <v>3804</v>
      </c>
      <c r="B1474" s="4">
        <f>+VLOOKUP($A1474,MAGAZZINO!$B$2:$M$100000,2,FALSE)</f>
        <v/>
      </c>
      <c r="C1474" s="29">
        <f>+VLOOKUP($A1474,MAGAZZINO!$B$2:$M$100000,3,FALSE)</f>
        <v/>
      </c>
      <c r="D1474" s="3">
        <f>+VLOOKUP($A1474,MAGAZZINO!$B$2:$M$100000,4,FALSE)</f>
        <v/>
      </c>
      <c r="E1474" s="3">
        <f>+VLOOKUP($A1474,MAGAZZINO!$B$2:$M$100000,5,FALSE)</f>
        <v/>
      </c>
      <c r="F1474" s="3">
        <f>+VLOOKUP($A1474,MAGAZZINO!$B$2:$M$100000,6,FALSE)</f>
        <v/>
      </c>
      <c r="G1474" s="3">
        <f>+VLOOKUP($A1474,MAGAZZINO!$B$2:$M$100000,7,FALSE)</f>
        <v/>
      </c>
      <c r="H1474" s="3">
        <f>+VLOOKUP($A1474,MAGAZZINO!$B$2:$M$100000,8,FALSE)</f>
        <v/>
      </c>
      <c r="I1474" s="3">
        <f>+VLOOKUP($A1474,MAGAZZINO!$B$2:$M$100000,9,FALSE)</f>
        <v/>
      </c>
      <c r="J1474" s="3">
        <f>+VLOOKUP($A1474,MAGAZZINO!$B$2:$M$100000,10,FALSE)</f>
        <v/>
      </c>
      <c r="K1474" s="3">
        <f>+VLOOKUP($A1474,MAGAZZINO!$B$2:$M$100000,11,FALSE)</f>
        <v/>
      </c>
      <c r="L1474" s="5">
        <f>+VLOOKUP($A1474,MAGAZZINO!$B$2:$M$100000,12,FALSE)</f>
        <v/>
      </c>
      <c r="M1474" s="47" t="n"/>
      <c r="N1474" s="88" t="n">
        <v>45873</v>
      </c>
      <c r="O1474" s="156" t="inlineStr">
        <is>
          <t>BIN HUMAID NATIONAL TRADING CO. (ARABIA SAUDITA)</t>
        </is>
      </c>
      <c r="P1474" s="152" t="inlineStr">
        <is>
          <t xml:space="preserve">  IMPORT LICENSE N. 182480  (END USER CERTIFICATE)                                                                      AUT. ESPORTAZIONE MULTIPLA N. 6B/2025/2M RILASCIATA IL 26/05/2025                        (LICENZA DI SCARICO N. 6B/2025/2S RILASCIATA IL 30/07/2025)</t>
        </is>
      </c>
      <c r="Q1474" s="150" t="n"/>
      <c r="R1474" s="150" t="n"/>
      <c r="S1474" s="153" t="n"/>
    </row>
    <row r="1475" ht="36" customHeight="1">
      <c r="A1475" s="46" t="n">
        <v>3805</v>
      </c>
      <c r="B1475" s="4">
        <f>+VLOOKUP($A1475,MAGAZZINO!$B$2:$M$100000,2,FALSE)</f>
        <v/>
      </c>
      <c r="C1475" s="29">
        <f>+VLOOKUP($A1475,MAGAZZINO!$B$2:$M$100000,3,FALSE)</f>
        <v/>
      </c>
      <c r="D1475" s="3">
        <f>+VLOOKUP($A1475,MAGAZZINO!$B$2:$M$100000,4,FALSE)</f>
        <v/>
      </c>
      <c r="E1475" s="3">
        <f>+VLOOKUP($A1475,MAGAZZINO!$B$2:$M$100000,5,FALSE)</f>
        <v/>
      </c>
      <c r="F1475" s="3">
        <f>+VLOOKUP($A1475,MAGAZZINO!$B$2:$M$100000,6,FALSE)</f>
        <v/>
      </c>
      <c r="G1475" s="3">
        <f>+VLOOKUP($A1475,MAGAZZINO!$B$2:$M$100000,7,FALSE)</f>
        <v/>
      </c>
      <c r="H1475" s="3">
        <f>+VLOOKUP($A1475,MAGAZZINO!$B$2:$M$100000,8,FALSE)</f>
        <v/>
      </c>
      <c r="I1475" s="3">
        <f>+VLOOKUP($A1475,MAGAZZINO!$B$2:$M$100000,9,FALSE)</f>
        <v/>
      </c>
      <c r="J1475" s="3">
        <f>+VLOOKUP($A1475,MAGAZZINO!$B$2:$M$100000,10,FALSE)</f>
        <v/>
      </c>
      <c r="K1475" s="3">
        <f>+VLOOKUP($A1475,MAGAZZINO!$B$2:$M$100000,11,FALSE)</f>
        <v/>
      </c>
      <c r="L1475" s="5">
        <f>+VLOOKUP($A1475,MAGAZZINO!$B$2:$M$100000,12,FALSE)</f>
        <v/>
      </c>
      <c r="M1475" s="47" t="n"/>
      <c r="N1475" s="88" t="n">
        <v>45873</v>
      </c>
      <c r="O1475" s="156" t="inlineStr">
        <is>
          <t>BIN HUMAID NATIONAL TRADING CO. (ARABIA SAUDITA)</t>
        </is>
      </c>
      <c r="P1475" s="152" t="inlineStr">
        <is>
          <t xml:space="preserve">  IMPORT LICENSE N. 182480  (END USER CERTIFICATE)                                                                      AUT. ESPORTAZIONE MULTIPLA N. 6B/2025/2M RILASCIATA IL 26/05/2025                        (LICENZA DI SCARICO N. 6B/2025/2S RILASCIATA IL 30/07/2025)</t>
        </is>
      </c>
      <c r="Q1475" s="150" t="n"/>
      <c r="R1475" s="150" t="n"/>
      <c r="S1475" s="153" t="n"/>
    </row>
    <row r="1476" ht="36" customHeight="1">
      <c r="A1476" s="46" t="n">
        <v>3806</v>
      </c>
      <c r="B1476" s="4">
        <f>+VLOOKUP($A1476,MAGAZZINO!$B$2:$M$100000,2,FALSE)</f>
        <v/>
      </c>
      <c r="C1476" s="29">
        <f>+VLOOKUP($A1476,MAGAZZINO!$B$2:$M$100000,3,FALSE)</f>
        <v/>
      </c>
      <c r="D1476" s="3">
        <f>+VLOOKUP($A1476,MAGAZZINO!$B$2:$M$100000,4,FALSE)</f>
        <v/>
      </c>
      <c r="E1476" s="3">
        <f>+VLOOKUP($A1476,MAGAZZINO!$B$2:$M$100000,5,FALSE)</f>
        <v/>
      </c>
      <c r="F1476" s="3">
        <f>+VLOOKUP($A1476,MAGAZZINO!$B$2:$M$100000,6,FALSE)</f>
        <v/>
      </c>
      <c r="G1476" s="3">
        <f>+VLOOKUP($A1476,MAGAZZINO!$B$2:$M$100000,7,FALSE)</f>
        <v/>
      </c>
      <c r="H1476" s="3">
        <f>+VLOOKUP($A1476,MAGAZZINO!$B$2:$M$100000,8,FALSE)</f>
        <v/>
      </c>
      <c r="I1476" s="3">
        <f>+VLOOKUP($A1476,MAGAZZINO!$B$2:$M$100000,9,FALSE)</f>
        <v/>
      </c>
      <c r="J1476" s="3">
        <f>+VLOOKUP($A1476,MAGAZZINO!$B$2:$M$100000,10,FALSE)</f>
        <v/>
      </c>
      <c r="K1476" s="3">
        <f>+VLOOKUP($A1476,MAGAZZINO!$B$2:$M$100000,11,FALSE)</f>
        <v/>
      </c>
      <c r="L1476" s="5">
        <f>+VLOOKUP($A1476,MAGAZZINO!$B$2:$M$100000,12,FALSE)</f>
        <v/>
      </c>
      <c r="M1476" s="47" t="n"/>
      <c r="N1476" s="88" t="n">
        <v>45873</v>
      </c>
      <c r="O1476" s="156" t="inlineStr">
        <is>
          <t>BIN HUMAID NATIONAL TRADING CO. (ARABIA SAUDITA)</t>
        </is>
      </c>
      <c r="P1476" s="152" t="inlineStr">
        <is>
          <t xml:space="preserve">  IMPORT LICENSE N. 182480  (END USER CERTIFICATE)                                                                      AUT. ESPORTAZIONE MULTIPLA N. 6B/2025/2M RILASCIATA IL 26/05/2025                        (LICENZA DI SCARICO N. 6B/2025/2S RILASCIATA IL 30/07/2025)</t>
        </is>
      </c>
      <c r="Q1476" s="150" t="n"/>
      <c r="R1476" s="150" t="n"/>
      <c r="S1476" s="153" t="n"/>
    </row>
    <row r="1477" ht="36" customHeight="1">
      <c r="A1477" s="46" t="n">
        <v>3807</v>
      </c>
      <c r="B1477" s="4">
        <f>+VLOOKUP($A1477,MAGAZZINO!$B$2:$M$100000,2,FALSE)</f>
        <v/>
      </c>
      <c r="C1477" s="29">
        <f>+VLOOKUP($A1477,MAGAZZINO!$B$2:$M$100000,3,FALSE)</f>
        <v/>
      </c>
      <c r="D1477" s="3">
        <f>+VLOOKUP($A1477,MAGAZZINO!$B$2:$M$100000,4,FALSE)</f>
        <v/>
      </c>
      <c r="E1477" s="3">
        <f>+VLOOKUP($A1477,MAGAZZINO!$B$2:$M$100000,5,FALSE)</f>
        <v/>
      </c>
      <c r="F1477" s="3">
        <f>+VLOOKUP($A1477,MAGAZZINO!$B$2:$M$100000,6,FALSE)</f>
        <v/>
      </c>
      <c r="G1477" s="3">
        <f>+VLOOKUP($A1477,MAGAZZINO!$B$2:$M$100000,7,FALSE)</f>
        <v/>
      </c>
      <c r="H1477" s="3">
        <f>+VLOOKUP($A1477,MAGAZZINO!$B$2:$M$100000,8,FALSE)</f>
        <v/>
      </c>
      <c r="I1477" s="3">
        <f>+VLOOKUP($A1477,MAGAZZINO!$B$2:$M$100000,9,FALSE)</f>
        <v/>
      </c>
      <c r="J1477" s="3">
        <f>+VLOOKUP($A1477,MAGAZZINO!$B$2:$M$100000,10,FALSE)</f>
        <v/>
      </c>
      <c r="K1477" s="3">
        <f>+VLOOKUP($A1477,MAGAZZINO!$B$2:$M$100000,11,FALSE)</f>
        <v/>
      </c>
      <c r="L1477" s="5">
        <f>+VLOOKUP($A1477,MAGAZZINO!$B$2:$M$100000,12,FALSE)</f>
        <v/>
      </c>
      <c r="M1477" s="47" t="n"/>
      <c r="N1477" s="88" t="n">
        <v>45873</v>
      </c>
      <c r="O1477" s="156" t="inlineStr">
        <is>
          <t>BIN HUMAID NATIONAL TRADING CO. (ARABIA SAUDITA)</t>
        </is>
      </c>
      <c r="P1477" s="152" t="inlineStr">
        <is>
          <t xml:space="preserve">  IMPORT LICENSE N. 182480  (END USER CERTIFICATE)                                                                      AUT. ESPORTAZIONE MULTIPLA N. 6B/2025/2M RILASCIATA IL 26/05/2025                        (LICENZA DI SCARICO N. 6B/2025/2S RILASCIATA IL 30/07/2025)</t>
        </is>
      </c>
      <c r="Q1477" s="150" t="n"/>
      <c r="R1477" s="150" t="n"/>
      <c r="S1477" s="153" t="n"/>
    </row>
    <row r="1478" ht="36" customHeight="1">
      <c r="A1478" s="46" t="n">
        <v>3808</v>
      </c>
      <c r="B1478" s="4">
        <f>+VLOOKUP($A1478,MAGAZZINO!$B$2:$M$100000,2,FALSE)</f>
        <v/>
      </c>
      <c r="C1478" s="29">
        <f>+VLOOKUP($A1478,MAGAZZINO!$B$2:$M$100000,3,FALSE)</f>
        <v/>
      </c>
      <c r="D1478" s="3">
        <f>+VLOOKUP($A1478,MAGAZZINO!$B$2:$M$100000,4,FALSE)</f>
        <v/>
      </c>
      <c r="E1478" s="3">
        <f>+VLOOKUP($A1478,MAGAZZINO!$B$2:$M$100000,5,FALSE)</f>
        <v/>
      </c>
      <c r="F1478" s="3">
        <f>+VLOOKUP($A1478,MAGAZZINO!$B$2:$M$100000,6,FALSE)</f>
        <v/>
      </c>
      <c r="G1478" s="3">
        <f>+VLOOKUP($A1478,MAGAZZINO!$B$2:$M$100000,7,FALSE)</f>
        <v/>
      </c>
      <c r="H1478" s="3">
        <f>+VLOOKUP($A1478,MAGAZZINO!$B$2:$M$100000,8,FALSE)</f>
        <v/>
      </c>
      <c r="I1478" s="3">
        <f>+VLOOKUP($A1478,MAGAZZINO!$B$2:$M$100000,9,FALSE)</f>
        <v/>
      </c>
      <c r="J1478" s="3">
        <f>+VLOOKUP($A1478,MAGAZZINO!$B$2:$M$100000,10,FALSE)</f>
        <v/>
      </c>
      <c r="K1478" s="3">
        <f>+VLOOKUP($A1478,MAGAZZINO!$B$2:$M$100000,11,FALSE)</f>
        <v/>
      </c>
      <c r="L1478" s="5">
        <f>+VLOOKUP($A1478,MAGAZZINO!$B$2:$M$100000,12,FALSE)</f>
        <v/>
      </c>
      <c r="M1478" s="47" t="n"/>
      <c r="N1478" s="88" t="n">
        <v>45873</v>
      </c>
      <c r="O1478" s="156" t="inlineStr">
        <is>
          <t>BIN HUMAID NATIONAL TRADING CO. (ARABIA SAUDITA)</t>
        </is>
      </c>
      <c r="P1478" s="152" t="inlineStr">
        <is>
          <t xml:space="preserve">  IMPORT LICENSE N. 182480  (END USER CERTIFICATE)                                                                      AUT. ESPORTAZIONE MULTIPLA N. 6B/2025/2M RILASCIATA IL 26/05/2025                        (LICENZA DI SCARICO N. 6B/2025/2S RILASCIATA IL 30/07/2025)</t>
        </is>
      </c>
      <c r="Q1478" s="150" t="n"/>
      <c r="R1478" s="150" t="n"/>
      <c r="S1478" s="153" t="n"/>
    </row>
    <row r="1479" ht="36" customHeight="1">
      <c r="A1479" s="46" t="n">
        <v>3809</v>
      </c>
      <c r="B1479" s="4">
        <f>+VLOOKUP($A1479,MAGAZZINO!$B$2:$M$100000,2,FALSE)</f>
        <v/>
      </c>
      <c r="C1479" s="29">
        <f>+VLOOKUP($A1479,MAGAZZINO!$B$2:$M$100000,3,FALSE)</f>
        <v/>
      </c>
      <c r="D1479" s="3">
        <f>+VLOOKUP($A1479,MAGAZZINO!$B$2:$M$100000,4,FALSE)</f>
        <v/>
      </c>
      <c r="E1479" s="3">
        <f>+VLOOKUP($A1479,MAGAZZINO!$B$2:$M$100000,5,FALSE)</f>
        <v/>
      </c>
      <c r="F1479" s="3">
        <f>+VLOOKUP($A1479,MAGAZZINO!$B$2:$M$100000,6,FALSE)</f>
        <v/>
      </c>
      <c r="G1479" s="3">
        <f>+VLOOKUP($A1479,MAGAZZINO!$B$2:$M$100000,7,FALSE)</f>
        <v/>
      </c>
      <c r="H1479" s="3">
        <f>+VLOOKUP($A1479,MAGAZZINO!$B$2:$M$100000,8,FALSE)</f>
        <v/>
      </c>
      <c r="I1479" s="3">
        <f>+VLOOKUP($A1479,MAGAZZINO!$B$2:$M$100000,9,FALSE)</f>
        <v/>
      </c>
      <c r="J1479" s="3">
        <f>+VLOOKUP($A1479,MAGAZZINO!$B$2:$M$100000,10,FALSE)</f>
        <v/>
      </c>
      <c r="K1479" s="3">
        <f>+VLOOKUP($A1479,MAGAZZINO!$B$2:$M$100000,11,FALSE)</f>
        <v/>
      </c>
      <c r="L1479" s="5">
        <f>+VLOOKUP($A1479,MAGAZZINO!$B$2:$M$100000,12,FALSE)</f>
        <v/>
      </c>
      <c r="M1479" s="47" t="n"/>
      <c r="N1479" s="88" t="n">
        <v>45873</v>
      </c>
      <c r="O1479" s="156" t="inlineStr">
        <is>
          <t>BIN HUMAID NATIONAL TRADING CO. (ARABIA SAUDITA)</t>
        </is>
      </c>
      <c r="P1479" s="152" t="inlineStr">
        <is>
          <t xml:space="preserve">  IMPORT LICENSE N. 182480  (END USER CERTIFICATE)                                                                      AUT. ESPORTAZIONE MULTIPLA N. 6B/2025/2M RILASCIATA IL 26/05/2025                        (LICENZA DI SCARICO N. 6B/2025/2S RILASCIATA IL 30/07/2025)</t>
        </is>
      </c>
      <c r="Q1479" s="150" t="n"/>
      <c r="R1479" s="150" t="n"/>
      <c r="S1479" s="153" t="n"/>
    </row>
    <row r="1480" ht="36" customHeight="1">
      <c r="A1480" s="46" t="n">
        <v>3810</v>
      </c>
      <c r="B1480" s="4">
        <f>+VLOOKUP($A1480,MAGAZZINO!$B$2:$M$100000,2,FALSE)</f>
        <v/>
      </c>
      <c r="C1480" s="29">
        <f>+VLOOKUP($A1480,MAGAZZINO!$B$2:$M$100000,3,FALSE)</f>
        <v/>
      </c>
      <c r="D1480" s="3">
        <f>+VLOOKUP($A1480,MAGAZZINO!$B$2:$M$100000,4,FALSE)</f>
        <v/>
      </c>
      <c r="E1480" s="3">
        <f>+VLOOKUP($A1480,MAGAZZINO!$B$2:$M$100000,5,FALSE)</f>
        <v/>
      </c>
      <c r="F1480" s="3">
        <f>+VLOOKUP($A1480,MAGAZZINO!$B$2:$M$100000,6,FALSE)</f>
        <v/>
      </c>
      <c r="G1480" s="3">
        <f>+VLOOKUP($A1480,MAGAZZINO!$B$2:$M$100000,7,FALSE)</f>
        <v/>
      </c>
      <c r="H1480" s="3">
        <f>+VLOOKUP($A1480,MAGAZZINO!$B$2:$M$100000,8,FALSE)</f>
        <v/>
      </c>
      <c r="I1480" s="3">
        <f>+VLOOKUP($A1480,MAGAZZINO!$B$2:$M$100000,9,FALSE)</f>
        <v/>
      </c>
      <c r="J1480" s="3">
        <f>+VLOOKUP($A1480,MAGAZZINO!$B$2:$M$100000,10,FALSE)</f>
        <v/>
      </c>
      <c r="K1480" s="3">
        <f>+VLOOKUP($A1480,MAGAZZINO!$B$2:$M$100000,11,FALSE)</f>
        <v/>
      </c>
      <c r="L1480" s="5">
        <f>+VLOOKUP($A1480,MAGAZZINO!$B$2:$M$100000,12,FALSE)</f>
        <v/>
      </c>
      <c r="M1480" s="47" t="n"/>
      <c r="N1480" s="88" t="n">
        <v>45873</v>
      </c>
      <c r="O1480" s="156" t="inlineStr">
        <is>
          <t>BIN HUMAID NATIONAL TRADING CO. (ARABIA SAUDITA)</t>
        </is>
      </c>
      <c r="P1480" s="152" t="inlineStr">
        <is>
          <t xml:space="preserve">  IMPORT LICENSE N. 182480  (END USER CERTIFICATE)                                                                      AUT. ESPORTAZIONE MULTIPLA N. 6B/2025/2M RILASCIATA IL 26/05/2025                        (LICENZA DI SCARICO N. 6B/2025/2S RILASCIATA IL 30/07/2025)</t>
        </is>
      </c>
      <c r="Q1480" s="150" t="n"/>
      <c r="R1480" s="150" t="n"/>
      <c r="S1480" s="153" t="n"/>
    </row>
    <row r="1481" ht="36" customHeight="1">
      <c r="A1481" s="46" t="n">
        <v>3811</v>
      </c>
      <c r="B1481" s="4">
        <f>+VLOOKUP($A1481,MAGAZZINO!$B$2:$M$100000,2,FALSE)</f>
        <v/>
      </c>
      <c r="C1481" s="29">
        <f>+VLOOKUP($A1481,MAGAZZINO!$B$2:$M$100000,3,FALSE)</f>
        <v/>
      </c>
      <c r="D1481" s="3">
        <f>+VLOOKUP($A1481,MAGAZZINO!$B$2:$M$100000,4,FALSE)</f>
        <v/>
      </c>
      <c r="E1481" s="3">
        <f>+VLOOKUP($A1481,MAGAZZINO!$B$2:$M$100000,5,FALSE)</f>
        <v/>
      </c>
      <c r="F1481" s="3">
        <f>+VLOOKUP($A1481,MAGAZZINO!$B$2:$M$100000,6,FALSE)</f>
        <v/>
      </c>
      <c r="G1481" s="3">
        <f>+VLOOKUP($A1481,MAGAZZINO!$B$2:$M$100000,7,FALSE)</f>
        <v/>
      </c>
      <c r="H1481" s="3">
        <f>+VLOOKUP($A1481,MAGAZZINO!$B$2:$M$100000,8,FALSE)</f>
        <v/>
      </c>
      <c r="I1481" s="3">
        <f>+VLOOKUP($A1481,MAGAZZINO!$B$2:$M$100000,9,FALSE)</f>
        <v/>
      </c>
      <c r="J1481" s="3">
        <f>+VLOOKUP($A1481,MAGAZZINO!$B$2:$M$100000,10,FALSE)</f>
        <v/>
      </c>
      <c r="K1481" s="3">
        <f>+VLOOKUP($A1481,MAGAZZINO!$B$2:$M$100000,11,FALSE)</f>
        <v/>
      </c>
      <c r="L1481" s="5">
        <f>+VLOOKUP($A1481,MAGAZZINO!$B$2:$M$100000,12,FALSE)</f>
        <v/>
      </c>
      <c r="M1481" s="47" t="n"/>
      <c r="N1481" s="88" t="n">
        <v>45873</v>
      </c>
      <c r="O1481" s="156" t="inlineStr">
        <is>
          <t>BIN HUMAID NATIONAL TRADING CO. (ARABIA SAUDITA)</t>
        </is>
      </c>
      <c r="P1481" s="152" t="inlineStr">
        <is>
          <t xml:space="preserve">  IMPORT LICENSE N. 182480  (END USER CERTIFICATE)                                                                      AUT. ESPORTAZIONE MULTIPLA N. 6B/2025/2M RILASCIATA IL 26/05/2025                        (LICENZA DI SCARICO N. 6B/2025/2S RILASCIATA IL 30/07/2025)</t>
        </is>
      </c>
      <c r="Q1481" s="150" t="n"/>
      <c r="R1481" s="150" t="n"/>
      <c r="S1481" s="153" t="n"/>
    </row>
    <row r="1482" ht="36" customHeight="1">
      <c r="A1482" s="46" t="n">
        <v>3812</v>
      </c>
      <c r="B1482" s="4">
        <f>+VLOOKUP($A1482,MAGAZZINO!$B$2:$M$100000,2,FALSE)</f>
        <v/>
      </c>
      <c r="C1482" s="29">
        <f>+VLOOKUP($A1482,MAGAZZINO!$B$2:$M$100000,3,FALSE)</f>
        <v/>
      </c>
      <c r="D1482" s="3">
        <f>+VLOOKUP($A1482,MAGAZZINO!$B$2:$M$100000,4,FALSE)</f>
        <v/>
      </c>
      <c r="E1482" s="3">
        <f>+VLOOKUP($A1482,MAGAZZINO!$B$2:$M$100000,5,FALSE)</f>
        <v/>
      </c>
      <c r="F1482" s="3">
        <f>+VLOOKUP($A1482,MAGAZZINO!$B$2:$M$100000,6,FALSE)</f>
        <v/>
      </c>
      <c r="G1482" s="3">
        <f>+VLOOKUP($A1482,MAGAZZINO!$B$2:$M$100000,7,FALSE)</f>
        <v/>
      </c>
      <c r="H1482" s="3">
        <f>+VLOOKUP($A1482,MAGAZZINO!$B$2:$M$100000,8,FALSE)</f>
        <v/>
      </c>
      <c r="I1482" s="3">
        <f>+VLOOKUP($A1482,MAGAZZINO!$B$2:$M$100000,9,FALSE)</f>
        <v/>
      </c>
      <c r="J1482" s="3">
        <f>+VLOOKUP($A1482,MAGAZZINO!$B$2:$M$100000,10,FALSE)</f>
        <v/>
      </c>
      <c r="K1482" s="3">
        <f>+VLOOKUP($A1482,MAGAZZINO!$B$2:$M$100000,11,FALSE)</f>
        <v/>
      </c>
      <c r="L1482" s="5">
        <f>+VLOOKUP($A1482,MAGAZZINO!$B$2:$M$100000,12,FALSE)</f>
        <v/>
      </c>
      <c r="M1482" s="47" t="n"/>
      <c r="N1482" s="88" t="n">
        <v>45873</v>
      </c>
      <c r="O1482" s="156" t="inlineStr">
        <is>
          <t>BIN HUMAID NATIONAL TRADING CO. (ARABIA SAUDITA)</t>
        </is>
      </c>
      <c r="P1482" s="152" t="inlineStr">
        <is>
          <t xml:space="preserve">  IMPORT LICENSE N. 182480  (END USER CERTIFICATE)                                                                      AUT. ESPORTAZIONE MULTIPLA N. 6B/2025/2M RILASCIATA IL 26/05/2025                        (LICENZA DI SCARICO N. 6B/2025/2S RILASCIATA IL 30/07/2025)</t>
        </is>
      </c>
      <c r="Q1482" s="150" t="n"/>
      <c r="R1482" s="150" t="n"/>
      <c r="S1482" s="153" t="n"/>
    </row>
    <row r="1483" ht="36" customHeight="1">
      <c r="A1483" s="46" t="n">
        <v>3813</v>
      </c>
      <c r="B1483" s="4">
        <f>+VLOOKUP($A1483,MAGAZZINO!$B$2:$M$100000,2,FALSE)</f>
        <v/>
      </c>
      <c r="C1483" s="29">
        <f>+VLOOKUP($A1483,MAGAZZINO!$B$2:$M$100000,3,FALSE)</f>
        <v/>
      </c>
      <c r="D1483" s="3">
        <f>+VLOOKUP($A1483,MAGAZZINO!$B$2:$M$100000,4,FALSE)</f>
        <v/>
      </c>
      <c r="E1483" s="3">
        <f>+VLOOKUP($A1483,MAGAZZINO!$B$2:$M$100000,5,FALSE)</f>
        <v/>
      </c>
      <c r="F1483" s="3">
        <f>+VLOOKUP($A1483,MAGAZZINO!$B$2:$M$100000,6,FALSE)</f>
        <v/>
      </c>
      <c r="G1483" s="3">
        <f>+VLOOKUP($A1483,MAGAZZINO!$B$2:$M$100000,7,FALSE)</f>
        <v/>
      </c>
      <c r="H1483" s="3">
        <f>+VLOOKUP($A1483,MAGAZZINO!$B$2:$M$100000,8,FALSE)</f>
        <v/>
      </c>
      <c r="I1483" s="3">
        <f>+VLOOKUP($A1483,MAGAZZINO!$B$2:$M$100000,9,FALSE)</f>
        <v/>
      </c>
      <c r="J1483" s="3">
        <f>+VLOOKUP($A1483,MAGAZZINO!$B$2:$M$100000,10,FALSE)</f>
        <v/>
      </c>
      <c r="K1483" s="3">
        <f>+VLOOKUP($A1483,MAGAZZINO!$B$2:$M$100000,11,FALSE)</f>
        <v/>
      </c>
      <c r="L1483" s="5">
        <f>+VLOOKUP($A1483,MAGAZZINO!$B$2:$M$100000,12,FALSE)</f>
        <v/>
      </c>
      <c r="M1483" s="47" t="n"/>
      <c r="N1483" s="88" t="n">
        <v>45873</v>
      </c>
      <c r="O1483" s="156" t="inlineStr">
        <is>
          <t>BIN HUMAID NATIONAL TRADING CO. (ARABIA SAUDITA)</t>
        </is>
      </c>
      <c r="P1483" s="152" t="inlineStr">
        <is>
          <t xml:space="preserve">  IMPORT LICENSE N. 182480  (END USER CERTIFICATE)                                                                      AUT. ESPORTAZIONE MULTIPLA N. 6B/2025/2M RILASCIATA IL 26/05/2025                        (LICENZA DI SCARICO N. 6B/2025/2S RILASCIATA IL 30/07/2025)</t>
        </is>
      </c>
      <c r="Q1483" s="150" t="n"/>
      <c r="R1483" s="150" t="n"/>
      <c r="S1483" s="153" t="n"/>
    </row>
    <row r="1484" ht="36" customHeight="1">
      <c r="A1484" s="46" t="n">
        <v>3814</v>
      </c>
      <c r="B1484" s="4">
        <f>+VLOOKUP($A1484,MAGAZZINO!$B$2:$M$100000,2,FALSE)</f>
        <v/>
      </c>
      <c r="C1484" s="29">
        <f>+VLOOKUP($A1484,MAGAZZINO!$B$2:$M$100000,3,FALSE)</f>
        <v/>
      </c>
      <c r="D1484" s="3">
        <f>+VLOOKUP($A1484,MAGAZZINO!$B$2:$M$100000,4,FALSE)</f>
        <v/>
      </c>
      <c r="E1484" s="3">
        <f>+VLOOKUP($A1484,MAGAZZINO!$B$2:$M$100000,5,FALSE)</f>
        <v/>
      </c>
      <c r="F1484" s="3">
        <f>+VLOOKUP($A1484,MAGAZZINO!$B$2:$M$100000,6,FALSE)</f>
        <v/>
      </c>
      <c r="G1484" s="3">
        <f>+VLOOKUP($A1484,MAGAZZINO!$B$2:$M$100000,7,FALSE)</f>
        <v/>
      </c>
      <c r="H1484" s="3">
        <f>+VLOOKUP($A1484,MAGAZZINO!$B$2:$M$100000,8,FALSE)</f>
        <v/>
      </c>
      <c r="I1484" s="3">
        <f>+VLOOKUP($A1484,MAGAZZINO!$B$2:$M$100000,9,FALSE)</f>
        <v/>
      </c>
      <c r="J1484" s="3">
        <f>+VLOOKUP($A1484,MAGAZZINO!$B$2:$M$100000,10,FALSE)</f>
        <v/>
      </c>
      <c r="K1484" s="3">
        <f>+VLOOKUP($A1484,MAGAZZINO!$B$2:$M$100000,11,FALSE)</f>
        <v/>
      </c>
      <c r="L1484" s="5">
        <f>+VLOOKUP($A1484,MAGAZZINO!$B$2:$M$100000,12,FALSE)</f>
        <v/>
      </c>
      <c r="M1484" s="47" t="n"/>
      <c r="N1484" s="88" t="n">
        <v>45873</v>
      </c>
      <c r="O1484" s="156" t="inlineStr">
        <is>
          <t>BIN HUMAID NATIONAL TRADING CO. (ARABIA SAUDITA)</t>
        </is>
      </c>
      <c r="P1484" s="152" t="inlineStr">
        <is>
          <t xml:space="preserve">  IMPORT LICENSE N. 182480  (END USER CERTIFICATE)                                                                      AUT. ESPORTAZIONE MULTIPLA N. 6B/2025/2M RILASCIATA IL 26/05/2025                        (LICENZA DI SCARICO N. 6B/2025/2S RILASCIATA IL 30/07/2025)</t>
        </is>
      </c>
      <c r="Q1484" s="150" t="n"/>
      <c r="R1484" s="150" t="n"/>
      <c r="S1484" s="153" t="n"/>
    </row>
    <row r="1485" ht="36" customHeight="1">
      <c r="A1485" s="46" t="n">
        <v>3815</v>
      </c>
      <c r="B1485" s="4">
        <f>+VLOOKUP($A1485,MAGAZZINO!$B$2:$M$100000,2,FALSE)</f>
        <v/>
      </c>
      <c r="C1485" s="29">
        <f>+VLOOKUP($A1485,MAGAZZINO!$B$2:$M$100000,3,FALSE)</f>
        <v/>
      </c>
      <c r="D1485" s="3">
        <f>+VLOOKUP($A1485,MAGAZZINO!$B$2:$M$100000,4,FALSE)</f>
        <v/>
      </c>
      <c r="E1485" s="3">
        <f>+VLOOKUP($A1485,MAGAZZINO!$B$2:$M$100000,5,FALSE)</f>
        <v/>
      </c>
      <c r="F1485" s="3">
        <f>+VLOOKUP($A1485,MAGAZZINO!$B$2:$M$100000,6,FALSE)</f>
        <v/>
      </c>
      <c r="G1485" s="3">
        <f>+VLOOKUP($A1485,MAGAZZINO!$B$2:$M$100000,7,FALSE)</f>
        <v/>
      </c>
      <c r="H1485" s="3">
        <f>+VLOOKUP($A1485,MAGAZZINO!$B$2:$M$100000,8,FALSE)</f>
        <v/>
      </c>
      <c r="I1485" s="3">
        <f>+VLOOKUP($A1485,MAGAZZINO!$B$2:$M$100000,9,FALSE)</f>
        <v/>
      </c>
      <c r="J1485" s="3">
        <f>+VLOOKUP($A1485,MAGAZZINO!$B$2:$M$100000,10,FALSE)</f>
        <v/>
      </c>
      <c r="K1485" s="3">
        <f>+VLOOKUP($A1485,MAGAZZINO!$B$2:$M$100000,11,FALSE)</f>
        <v/>
      </c>
      <c r="L1485" s="5">
        <f>+VLOOKUP($A1485,MAGAZZINO!$B$2:$M$100000,12,FALSE)</f>
        <v/>
      </c>
      <c r="M1485" s="47" t="n"/>
      <c r="N1485" s="88" t="n">
        <v>45873</v>
      </c>
      <c r="O1485" s="156" t="inlineStr">
        <is>
          <t>BIN HUMAID NATIONAL TRADING CO. (ARABIA SAUDITA)</t>
        </is>
      </c>
      <c r="P1485" s="152" t="inlineStr">
        <is>
          <t xml:space="preserve">  IMPORT LICENSE N. 182480  (END USER CERTIFICATE)                                                                      AUT. ESPORTAZIONE MULTIPLA N. 6B/2025/2M RILASCIATA IL 26/05/2025                        (LICENZA DI SCARICO N. 6B/2025/2S RILASCIATA IL 30/07/2025)</t>
        </is>
      </c>
      <c r="Q1485" s="150" t="n"/>
      <c r="R1485" s="150" t="n"/>
      <c r="S1485" s="153" t="n"/>
    </row>
    <row r="1486" ht="36" customHeight="1">
      <c r="A1486" s="46" t="n">
        <v>3816</v>
      </c>
      <c r="B1486" s="4">
        <f>+VLOOKUP($A1486,MAGAZZINO!$B$2:$M$100000,2,FALSE)</f>
        <v/>
      </c>
      <c r="C1486" s="29">
        <f>+VLOOKUP($A1486,MAGAZZINO!$B$2:$M$100000,3,FALSE)</f>
        <v/>
      </c>
      <c r="D1486" s="3">
        <f>+VLOOKUP($A1486,MAGAZZINO!$B$2:$M$100000,4,FALSE)</f>
        <v/>
      </c>
      <c r="E1486" s="3">
        <f>+VLOOKUP($A1486,MAGAZZINO!$B$2:$M$100000,5,FALSE)</f>
        <v/>
      </c>
      <c r="F1486" s="3">
        <f>+VLOOKUP($A1486,MAGAZZINO!$B$2:$M$100000,6,FALSE)</f>
        <v/>
      </c>
      <c r="G1486" s="3">
        <f>+VLOOKUP($A1486,MAGAZZINO!$B$2:$M$100000,7,FALSE)</f>
        <v/>
      </c>
      <c r="H1486" s="3">
        <f>+VLOOKUP($A1486,MAGAZZINO!$B$2:$M$100000,8,FALSE)</f>
        <v/>
      </c>
      <c r="I1486" s="3">
        <f>+VLOOKUP($A1486,MAGAZZINO!$B$2:$M$100000,9,FALSE)</f>
        <v/>
      </c>
      <c r="J1486" s="3">
        <f>+VLOOKUP($A1486,MAGAZZINO!$B$2:$M$100000,10,FALSE)</f>
        <v/>
      </c>
      <c r="K1486" s="3">
        <f>+VLOOKUP($A1486,MAGAZZINO!$B$2:$M$100000,11,FALSE)</f>
        <v/>
      </c>
      <c r="L1486" s="5">
        <f>+VLOOKUP($A1486,MAGAZZINO!$B$2:$M$100000,12,FALSE)</f>
        <v/>
      </c>
      <c r="M1486" s="47" t="n"/>
      <c r="N1486" s="88" t="n">
        <v>45873</v>
      </c>
      <c r="O1486" s="156" t="inlineStr">
        <is>
          <t>BIN HUMAID NATIONAL TRADING CO. (ARABIA SAUDITA)</t>
        </is>
      </c>
      <c r="P1486" s="152" t="inlineStr">
        <is>
          <t xml:space="preserve">  IMPORT LICENSE N. 182480  (END USER CERTIFICATE)                                                                      AUT. ESPORTAZIONE MULTIPLA N. 6B/2025/2M RILASCIATA IL 26/05/2025                        (LICENZA DI SCARICO N. 6B/2025/2S RILASCIATA IL 30/07/2025)</t>
        </is>
      </c>
      <c r="Q1486" s="150" t="n"/>
      <c r="R1486" s="150" t="n"/>
      <c r="S1486" s="153" t="n"/>
    </row>
    <row r="1487" ht="36" customHeight="1">
      <c r="A1487" s="46" t="n">
        <v>3817</v>
      </c>
      <c r="B1487" s="4">
        <f>+VLOOKUP($A1487,MAGAZZINO!$B$2:$M$100000,2,FALSE)</f>
        <v/>
      </c>
      <c r="C1487" s="29">
        <f>+VLOOKUP($A1487,MAGAZZINO!$B$2:$M$100000,3,FALSE)</f>
        <v/>
      </c>
      <c r="D1487" s="3">
        <f>+VLOOKUP($A1487,MAGAZZINO!$B$2:$M$100000,4,FALSE)</f>
        <v/>
      </c>
      <c r="E1487" s="3">
        <f>+VLOOKUP($A1487,MAGAZZINO!$B$2:$M$100000,5,FALSE)</f>
        <v/>
      </c>
      <c r="F1487" s="3">
        <f>+VLOOKUP($A1487,MAGAZZINO!$B$2:$M$100000,6,FALSE)</f>
        <v/>
      </c>
      <c r="G1487" s="3">
        <f>+VLOOKUP($A1487,MAGAZZINO!$B$2:$M$100000,7,FALSE)</f>
        <v/>
      </c>
      <c r="H1487" s="3">
        <f>+VLOOKUP($A1487,MAGAZZINO!$B$2:$M$100000,8,FALSE)</f>
        <v/>
      </c>
      <c r="I1487" s="3">
        <f>+VLOOKUP($A1487,MAGAZZINO!$B$2:$M$100000,9,FALSE)</f>
        <v/>
      </c>
      <c r="J1487" s="3">
        <f>+VLOOKUP($A1487,MAGAZZINO!$B$2:$M$100000,10,FALSE)</f>
        <v/>
      </c>
      <c r="K1487" s="3">
        <f>+VLOOKUP($A1487,MAGAZZINO!$B$2:$M$100000,11,FALSE)</f>
        <v/>
      </c>
      <c r="L1487" s="5">
        <f>+VLOOKUP($A1487,MAGAZZINO!$B$2:$M$100000,12,FALSE)</f>
        <v/>
      </c>
      <c r="M1487" s="47" t="n"/>
      <c r="N1487" s="88" t="n">
        <v>45873</v>
      </c>
      <c r="O1487" s="156" t="inlineStr">
        <is>
          <t>BIN HUMAID NATIONAL TRADING CO. (ARABIA SAUDITA)</t>
        </is>
      </c>
      <c r="P1487" s="152" t="inlineStr">
        <is>
          <t xml:space="preserve">  IMPORT LICENSE N. 182480  (END USER CERTIFICATE)                                                                      AUT. ESPORTAZIONE MULTIPLA N. 6B/2025/2M RILASCIATA IL 26/05/2025                        (LICENZA DI SCARICO N. 6B/2025/2S RILASCIATA IL 30/07/2025)</t>
        </is>
      </c>
      <c r="Q1487" s="150" t="n"/>
      <c r="R1487" s="150" t="n"/>
      <c r="S1487" s="153" t="n"/>
    </row>
    <row r="1488" ht="36" customHeight="1">
      <c r="A1488" s="46" t="n">
        <v>3818</v>
      </c>
      <c r="B1488" s="4">
        <f>+VLOOKUP($A1488,MAGAZZINO!$B$2:$M$100000,2,FALSE)</f>
        <v/>
      </c>
      <c r="C1488" s="29">
        <f>+VLOOKUP($A1488,MAGAZZINO!$B$2:$M$100000,3,FALSE)</f>
        <v/>
      </c>
      <c r="D1488" s="3">
        <f>+VLOOKUP($A1488,MAGAZZINO!$B$2:$M$100000,4,FALSE)</f>
        <v/>
      </c>
      <c r="E1488" s="3">
        <f>+VLOOKUP($A1488,MAGAZZINO!$B$2:$M$100000,5,FALSE)</f>
        <v/>
      </c>
      <c r="F1488" s="3">
        <f>+VLOOKUP($A1488,MAGAZZINO!$B$2:$M$100000,6,FALSE)</f>
        <v/>
      </c>
      <c r="G1488" s="3">
        <f>+VLOOKUP($A1488,MAGAZZINO!$B$2:$M$100000,7,FALSE)</f>
        <v/>
      </c>
      <c r="H1488" s="3">
        <f>+VLOOKUP($A1488,MAGAZZINO!$B$2:$M$100000,8,FALSE)</f>
        <v/>
      </c>
      <c r="I1488" s="3">
        <f>+VLOOKUP($A1488,MAGAZZINO!$B$2:$M$100000,9,FALSE)</f>
        <v/>
      </c>
      <c r="J1488" s="3">
        <f>+VLOOKUP($A1488,MAGAZZINO!$B$2:$M$100000,10,FALSE)</f>
        <v/>
      </c>
      <c r="K1488" s="3">
        <f>+VLOOKUP($A1488,MAGAZZINO!$B$2:$M$100000,11,FALSE)</f>
        <v/>
      </c>
      <c r="L1488" s="5">
        <f>+VLOOKUP($A1488,MAGAZZINO!$B$2:$M$100000,12,FALSE)</f>
        <v/>
      </c>
      <c r="M1488" s="47" t="n"/>
      <c r="N1488" s="88" t="n">
        <v>45873</v>
      </c>
      <c r="O1488" s="156" t="inlineStr">
        <is>
          <t>BIN HUMAID NATIONAL TRADING CO. (ARABIA SAUDITA)</t>
        </is>
      </c>
      <c r="P1488" s="152" t="inlineStr">
        <is>
          <t xml:space="preserve">  IMPORT LICENSE N. 182480  (END USER CERTIFICATE)                                                                      AUT. ESPORTAZIONE MULTIPLA N. 6B/2025/2M RILASCIATA IL 26/05/2025                        (LICENZA DI SCARICO N. 6B/2025/2S RILASCIATA IL 30/07/2025)</t>
        </is>
      </c>
      <c r="Q1488" s="150" t="n"/>
      <c r="R1488" s="150" t="n"/>
      <c r="S1488" s="153" t="n"/>
    </row>
    <row r="1489" ht="36" customHeight="1">
      <c r="A1489" s="46" t="n">
        <v>3819</v>
      </c>
      <c r="B1489" s="4">
        <f>+VLOOKUP($A1489,MAGAZZINO!$B$2:$M$100000,2,FALSE)</f>
        <v/>
      </c>
      <c r="C1489" s="29">
        <f>+VLOOKUP($A1489,MAGAZZINO!$B$2:$M$100000,3,FALSE)</f>
        <v/>
      </c>
      <c r="D1489" s="3">
        <f>+VLOOKUP($A1489,MAGAZZINO!$B$2:$M$100000,4,FALSE)</f>
        <v/>
      </c>
      <c r="E1489" s="3">
        <f>+VLOOKUP($A1489,MAGAZZINO!$B$2:$M$100000,5,FALSE)</f>
        <v/>
      </c>
      <c r="F1489" s="3">
        <f>+VLOOKUP($A1489,MAGAZZINO!$B$2:$M$100000,6,FALSE)</f>
        <v/>
      </c>
      <c r="G1489" s="3">
        <f>+VLOOKUP($A1489,MAGAZZINO!$B$2:$M$100000,7,FALSE)</f>
        <v/>
      </c>
      <c r="H1489" s="3">
        <f>+VLOOKUP($A1489,MAGAZZINO!$B$2:$M$100000,8,FALSE)</f>
        <v/>
      </c>
      <c r="I1489" s="3">
        <f>+VLOOKUP($A1489,MAGAZZINO!$B$2:$M$100000,9,FALSE)</f>
        <v/>
      </c>
      <c r="J1489" s="3">
        <f>+VLOOKUP($A1489,MAGAZZINO!$B$2:$M$100000,10,FALSE)</f>
        <v/>
      </c>
      <c r="K1489" s="3">
        <f>+VLOOKUP($A1489,MAGAZZINO!$B$2:$M$100000,11,FALSE)</f>
        <v/>
      </c>
      <c r="L1489" s="5">
        <f>+VLOOKUP($A1489,MAGAZZINO!$B$2:$M$100000,12,FALSE)</f>
        <v/>
      </c>
      <c r="M1489" s="47" t="n"/>
      <c r="N1489" s="88" t="n">
        <v>45873</v>
      </c>
      <c r="O1489" s="156" t="inlineStr">
        <is>
          <t>BIN HUMAID NATIONAL TRADING CO. (ARABIA SAUDITA)</t>
        </is>
      </c>
      <c r="P1489" s="152" t="inlineStr">
        <is>
          <t xml:space="preserve">  IMPORT LICENSE N. 182480  (END USER CERTIFICATE)                                                                      AUT. ESPORTAZIONE MULTIPLA N. 6B/2025/2M RILASCIATA IL 26/05/2025                        (LICENZA DI SCARICO N. 6B/2025/2S RILASCIATA IL 30/07/2025)</t>
        </is>
      </c>
      <c r="Q1489" s="150" t="n"/>
      <c r="R1489" s="150" t="n"/>
      <c r="S1489" s="153" t="n"/>
    </row>
    <row r="1490" ht="36" customHeight="1">
      <c r="A1490" s="46" t="n">
        <v>3820</v>
      </c>
      <c r="B1490" s="4">
        <f>+VLOOKUP($A1490,MAGAZZINO!$B$2:$M$100000,2,FALSE)</f>
        <v/>
      </c>
      <c r="C1490" s="29">
        <f>+VLOOKUP($A1490,MAGAZZINO!$B$2:$M$100000,3,FALSE)</f>
        <v/>
      </c>
      <c r="D1490" s="3">
        <f>+VLOOKUP($A1490,MAGAZZINO!$B$2:$M$100000,4,FALSE)</f>
        <v/>
      </c>
      <c r="E1490" s="3">
        <f>+VLOOKUP($A1490,MAGAZZINO!$B$2:$M$100000,5,FALSE)</f>
        <v/>
      </c>
      <c r="F1490" s="3">
        <f>+VLOOKUP($A1490,MAGAZZINO!$B$2:$M$100000,6,FALSE)</f>
        <v/>
      </c>
      <c r="G1490" s="3">
        <f>+VLOOKUP($A1490,MAGAZZINO!$B$2:$M$100000,7,FALSE)</f>
        <v/>
      </c>
      <c r="H1490" s="3">
        <f>+VLOOKUP($A1490,MAGAZZINO!$B$2:$M$100000,8,FALSE)</f>
        <v/>
      </c>
      <c r="I1490" s="3">
        <f>+VLOOKUP($A1490,MAGAZZINO!$B$2:$M$100000,9,FALSE)</f>
        <v/>
      </c>
      <c r="J1490" s="3">
        <f>+VLOOKUP($A1490,MAGAZZINO!$B$2:$M$100000,10,FALSE)</f>
        <v/>
      </c>
      <c r="K1490" s="3">
        <f>+VLOOKUP($A1490,MAGAZZINO!$B$2:$M$100000,11,FALSE)</f>
        <v/>
      </c>
      <c r="L1490" s="5">
        <f>+VLOOKUP($A1490,MAGAZZINO!$B$2:$M$100000,12,FALSE)</f>
        <v/>
      </c>
      <c r="M1490" s="47" t="n"/>
      <c r="N1490" s="88" t="n">
        <v>45873</v>
      </c>
      <c r="O1490" s="156" t="inlineStr">
        <is>
          <t>BIN HUMAID NATIONAL TRADING CO. (ARABIA SAUDITA)</t>
        </is>
      </c>
      <c r="P1490" s="152" t="inlineStr">
        <is>
          <t xml:space="preserve">  IMPORT LICENSE N. 182480  (END USER CERTIFICATE)                                                                      AUT. ESPORTAZIONE MULTIPLA N. 6B/2025/2M RILASCIATA IL 26/05/2025                        (LICENZA DI SCARICO N. 6B/2025/2S RILASCIATA IL 30/07/2025)</t>
        </is>
      </c>
      <c r="Q1490" s="150" t="n"/>
      <c r="R1490" s="150" t="n"/>
      <c r="S1490" s="153" t="n"/>
    </row>
    <row r="1491" ht="36" customHeight="1">
      <c r="A1491" s="46" t="n">
        <v>3821</v>
      </c>
      <c r="B1491" s="4">
        <f>+VLOOKUP($A1491,MAGAZZINO!$B$2:$M$100000,2,FALSE)</f>
        <v/>
      </c>
      <c r="C1491" s="29">
        <f>+VLOOKUP($A1491,MAGAZZINO!$B$2:$M$100000,3,FALSE)</f>
        <v/>
      </c>
      <c r="D1491" s="3">
        <f>+VLOOKUP($A1491,MAGAZZINO!$B$2:$M$100000,4,FALSE)</f>
        <v/>
      </c>
      <c r="E1491" s="3">
        <f>+VLOOKUP($A1491,MAGAZZINO!$B$2:$M$100000,5,FALSE)</f>
        <v/>
      </c>
      <c r="F1491" s="3">
        <f>+VLOOKUP($A1491,MAGAZZINO!$B$2:$M$100000,6,FALSE)</f>
        <v/>
      </c>
      <c r="G1491" s="3">
        <f>+VLOOKUP($A1491,MAGAZZINO!$B$2:$M$100000,7,FALSE)</f>
        <v/>
      </c>
      <c r="H1491" s="3">
        <f>+VLOOKUP($A1491,MAGAZZINO!$B$2:$M$100000,8,FALSE)</f>
        <v/>
      </c>
      <c r="I1491" s="3">
        <f>+VLOOKUP($A1491,MAGAZZINO!$B$2:$M$100000,9,FALSE)</f>
        <v/>
      </c>
      <c r="J1491" s="3">
        <f>+VLOOKUP($A1491,MAGAZZINO!$B$2:$M$100000,10,FALSE)</f>
        <v/>
      </c>
      <c r="K1491" s="3">
        <f>+VLOOKUP($A1491,MAGAZZINO!$B$2:$M$100000,11,FALSE)</f>
        <v/>
      </c>
      <c r="L1491" s="5">
        <f>+VLOOKUP($A1491,MAGAZZINO!$B$2:$M$100000,12,FALSE)</f>
        <v/>
      </c>
      <c r="M1491" s="47" t="n"/>
      <c r="N1491" s="88" t="n">
        <v>45873</v>
      </c>
      <c r="O1491" s="156" t="inlineStr">
        <is>
          <t>BIN HUMAID NATIONAL TRADING CO. (ARABIA SAUDITA)</t>
        </is>
      </c>
      <c r="P1491" s="152" t="inlineStr">
        <is>
          <t xml:space="preserve">  IMPORT LICENSE N. 182480  (END USER CERTIFICATE)                                                                      AUT. ESPORTAZIONE MULTIPLA N. 6B/2025/2M RILASCIATA IL 26/05/2025                        (LICENZA DI SCARICO N. 6B/2025/2S RILASCIATA IL 30/07/2025)</t>
        </is>
      </c>
      <c r="Q1491" s="150" t="n"/>
      <c r="R1491" s="150" t="n"/>
      <c r="S1491" s="153" t="n"/>
    </row>
    <row r="1492" ht="36" customHeight="1">
      <c r="A1492" s="46" t="n">
        <v>3822</v>
      </c>
      <c r="B1492" s="4">
        <f>+VLOOKUP($A1492,MAGAZZINO!$B$2:$M$100000,2,FALSE)</f>
        <v/>
      </c>
      <c r="C1492" s="29">
        <f>+VLOOKUP($A1492,MAGAZZINO!$B$2:$M$100000,3,FALSE)</f>
        <v/>
      </c>
      <c r="D1492" s="3">
        <f>+VLOOKUP($A1492,MAGAZZINO!$B$2:$M$100000,4,FALSE)</f>
        <v/>
      </c>
      <c r="E1492" s="3">
        <f>+VLOOKUP($A1492,MAGAZZINO!$B$2:$M$100000,5,FALSE)</f>
        <v/>
      </c>
      <c r="F1492" s="3">
        <f>+VLOOKUP($A1492,MAGAZZINO!$B$2:$M$100000,6,FALSE)</f>
        <v/>
      </c>
      <c r="G1492" s="3">
        <f>+VLOOKUP($A1492,MAGAZZINO!$B$2:$M$100000,7,FALSE)</f>
        <v/>
      </c>
      <c r="H1492" s="3">
        <f>+VLOOKUP($A1492,MAGAZZINO!$B$2:$M$100000,8,FALSE)</f>
        <v/>
      </c>
      <c r="I1492" s="3">
        <f>+VLOOKUP($A1492,MAGAZZINO!$B$2:$M$100000,9,FALSE)</f>
        <v/>
      </c>
      <c r="J1492" s="3">
        <f>+VLOOKUP($A1492,MAGAZZINO!$B$2:$M$100000,10,FALSE)</f>
        <v/>
      </c>
      <c r="K1492" s="3">
        <f>+VLOOKUP($A1492,MAGAZZINO!$B$2:$M$100000,11,FALSE)</f>
        <v/>
      </c>
      <c r="L1492" s="5">
        <f>+VLOOKUP($A1492,MAGAZZINO!$B$2:$M$100000,12,FALSE)</f>
        <v/>
      </c>
      <c r="M1492" s="47" t="n"/>
      <c r="N1492" s="88" t="n">
        <v>45873</v>
      </c>
      <c r="O1492" s="156" t="inlineStr">
        <is>
          <t>BIN HUMAID NATIONAL TRADING CO. (ARABIA SAUDITA)</t>
        </is>
      </c>
      <c r="P1492" s="152" t="inlineStr">
        <is>
          <t xml:space="preserve">  IMPORT LICENSE N. 182480  (END USER CERTIFICATE)                                                                      AUT. ESPORTAZIONE MULTIPLA N. 6B/2025/2M RILASCIATA IL 26/05/2025                        (LICENZA DI SCARICO N. 6B/2025/2S RILASCIATA IL 30/07/2025)</t>
        </is>
      </c>
      <c r="Q1492" s="150" t="n"/>
      <c r="R1492" s="150" t="n"/>
      <c r="S1492" s="153" t="n"/>
    </row>
    <row r="1493" ht="36" customHeight="1">
      <c r="A1493" s="46" t="n">
        <v>3823</v>
      </c>
      <c r="B1493" s="4">
        <f>+VLOOKUP($A1493,MAGAZZINO!$B$2:$M$100000,2,FALSE)</f>
        <v/>
      </c>
      <c r="C1493" s="29">
        <f>+VLOOKUP($A1493,MAGAZZINO!$B$2:$M$100000,3,FALSE)</f>
        <v/>
      </c>
      <c r="D1493" s="3">
        <f>+VLOOKUP($A1493,MAGAZZINO!$B$2:$M$100000,4,FALSE)</f>
        <v/>
      </c>
      <c r="E1493" s="3">
        <f>+VLOOKUP($A1493,MAGAZZINO!$B$2:$M$100000,5,FALSE)</f>
        <v/>
      </c>
      <c r="F1493" s="3">
        <f>+VLOOKUP($A1493,MAGAZZINO!$B$2:$M$100000,6,FALSE)</f>
        <v/>
      </c>
      <c r="G1493" s="3">
        <f>+VLOOKUP($A1493,MAGAZZINO!$B$2:$M$100000,7,FALSE)</f>
        <v/>
      </c>
      <c r="H1493" s="3">
        <f>+VLOOKUP($A1493,MAGAZZINO!$B$2:$M$100000,8,FALSE)</f>
        <v/>
      </c>
      <c r="I1493" s="3">
        <f>+VLOOKUP($A1493,MAGAZZINO!$B$2:$M$100000,9,FALSE)</f>
        <v/>
      </c>
      <c r="J1493" s="3">
        <f>+VLOOKUP($A1493,MAGAZZINO!$B$2:$M$100000,10,FALSE)</f>
        <v/>
      </c>
      <c r="K1493" s="3">
        <f>+VLOOKUP($A1493,MAGAZZINO!$B$2:$M$100000,11,FALSE)</f>
        <v/>
      </c>
      <c r="L1493" s="5">
        <f>+VLOOKUP($A1493,MAGAZZINO!$B$2:$M$100000,12,FALSE)</f>
        <v/>
      </c>
      <c r="M1493" s="47" t="n"/>
      <c r="N1493" s="88" t="n">
        <v>45873</v>
      </c>
      <c r="O1493" s="156" t="inlineStr">
        <is>
          <t>BIN HUMAID NATIONAL TRADING CO. (ARABIA SAUDITA)</t>
        </is>
      </c>
      <c r="P1493" s="152" t="inlineStr">
        <is>
          <t xml:space="preserve">  IMPORT LICENSE N. 182480  (END USER CERTIFICATE)                                                                      AUT. ESPORTAZIONE MULTIPLA N. 6B/2025/2M RILASCIATA IL 26/05/2025                        (LICENZA DI SCARICO N. 6B/2025/2S RILASCIATA IL 30/07/2025)</t>
        </is>
      </c>
      <c r="Q1493" s="150" t="n"/>
      <c r="R1493" s="150" t="n"/>
      <c r="S1493" s="153" t="n"/>
    </row>
    <row r="1494" ht="36" customHeight="1">
      <c r="A1494" s="46" t="n">
        <v>3824</v>
      </c>
      <c r="B1494" s="4">
        <f>+VLOOKUP($A1494,MAGAZZINO!$B$2:$M$100000,2,FALSE)</f>
        <v/>
      </c>
      <c r="C1494" s="29">
        <f>+VLOOKUP($A1494,MAGAZZINO!$B$2:$M$100000,3,FALSE)</f>
        <v/>
      </c>
      <c r="D1494" s="3">
        <f>+VLOOKUP($A1494,MAGAZZINO!$B$2:$M$100000,4,FALSE)</f>
        <v/>
      </c>
      <c r="E1494" s="3">
        <f>+VLOOKUP($A1494,MAGAZZINO!$B$2:$M$100000,5,FALSE)</f>
        <v/>
      </c>
      <c r="F1494" s="3">
        <f>+VLOOKUP($A1494,MAGAZZINO!$B$2:$M$100000,6,FALSE)</f>
        <v/>
      </c>
      <c r="G1494" s="3">
        <f>+VLOOKUP($A1494,MAGAZZINO!$B$2:$M$100000,7,FALSE)</f>
        <v/>
      </c>
      <c r="H1494" s="3">
        <f>+VLOOKUP($A1494,MAGAZZINO!$B$2:$M$100000,8,FALSE)</f>
        <v/>
      </c>
      <c r="I1494" s="3">
        <f>+VLOOKUP($A1494,MAGAZZINO!$B$2:$M$100000,9,FALSE)</f>
        <v/>
      </c>
      <c r="J1494" s="3">
        <f>+VLOOKUP($A1494,MAGAZZINO!$B$2:$M$100000,10,FALSE)</f>
        <v/>
      </c>
      <c r="K1494" s="3">
        <f>+VLOOKUP($A1494,MAGAZZINO!$B$2:$M$100000,11,FALSE)</f>
        <v/>
      </c>
      <c r="L1494" s="5">
        <f>+VLOOKUP($A1494,MAGAZZINO!$B$2:$M$100000,12,FALSE)</f>
        <v/>
      </c>
      <c r="M1494" s="47" t="n"/>
      <c r="N1494" s="88" t="n">
        <v>45873</v>
      </c>
      <c r="O1494" s="156" t="inlineStr">
        <is>
          <t>BIN HUMAID NATIONAL TRADING CO. (ARABIA SAUDITA)</t>
        </is>
      </c>
      <c r="P1494" s="152" t="inlineStr">
        <is>
          <t xml:space="preserve">  IMPORT LICENSE N. 182480  (END USER CERTIFICATE)                                                                      AUT. ESPORTAZIONE MULTIPLA N. 6B/2025/2M RILASCIATA IL 26/05/2025                        (LICENZA DI SCARICO N. 6B/2025/2S RILASCIATA IL 30/07/2025)</t>
        </is>
      </c>
      <c r="Q1494" s="150" t="n"/>
      <c r="R1494" s="150" t="n"/>
      <c r="S1494" s="153" t="n"/>
    </row>
    <row r="1495" ht="36" customHeight="1">
      <c r="A1495" s="46" t="n">
        <v>3825</v>
      </c>
      <c r="B1495" s="4">
        <f>+VLOOKUP($A1495,MAGAZZINO!$B$2:$M$100000,2,FALSE)</f>
        <v/>
      </c>
      <c r="C1495" s="29">
        <f>+VLOOKUP($A1495,MAGAZZINO!$B$2:$M$100000,3,FALSE)</f>
        <v/>
      </c>
      <c r="D1495" s="3">
        <f>+VLOOKUP($A1495,MAGAZZINO!$B$2:$M$100000,4,FALSE)</f>
        <v/>
      </c>
      <c r="E1495" s="3">
        <f>+VLOOKUP($A1495,MAGAZZINO!$B$2:$M$100000,5,FALSE)</f>
        <v/>
      </c>
      <c r="F1495" s="3">
        <f>+VLOOKUP($A1495,MAGAZZINO!$B$2:$M$100000,6,FALSE)</f>
        <v/>
      </c>
      <c r="G1495" s="3">
        <f>+VLOOKUP($A1495,MAGAZZINO!$B$2:$M$100000,7,FALSE)</f>
        <v/>
      </c>
      <c r="H1495" s="3">
        <f>+VLOOKUP($A1495,MAGAZZINO!$B$2:$M$100000,8,FALSE)</f>
        <v/>
      </c>
      <c r="I1495" s="3">
        <f>+VLOOKUP($A1495,MAGAZZINO!$B$2:$M$100000,9,FALSE)</f>
        <v/>
      </c>
      <c r="J1495" s="3">
        <f>+VLOOKUP($A1495,MAGAZZINO!$B$2:$M$100000,10,FALSE)</f>
        <v/>
      </c>
      <c r="K1495" s="3">
        <f>+VLOOKUP($A1495,MAGAZZINO!$B$2:$M$100000,11,FALSE)</f>
        <v/>
      </c>
      <c r="L1495" s="5">
        <f>+VLOOKUP($A1495,MAGAZZINO!$B$2:$M$100000,12,FALSE)</f>
        <v/>
      </c>
      <c r="M1495" s="47" t="n"/>
      <c r="N1495" s="88" t="n">
        <v>45873</v>
      </c>
      <c r="O1495" s="156" t="inlineStr">
        <is>
          <t>BIN HUMAID NATIONAL TRADING CO. (ARABIA SAUDITA)</t>
        </is>
      </c>
      <c r="P1495" s="152" t="inlineStr">
        <is>
          <t xml:space="preserve">  IMPORT LICENSE N. 182480  (END USER CERTIFICATE)                                                                      AUT. ESPORTAZIONE MULTIPLA N. 6B/2025/2M RILASCIATA IL 26/05/2025                        (LICENZA DI SCARICO N. 6B/2025/2S RILASCIATA IL 30/07/2025)</t>
        </is>
      </c>
      <c r="Q1495" s="150" t="n"/>
      <c r="R1495" s="150" t="n"/>
      <c r="S1495" s="153" t="n"/>
    </row>
    <row r="1496" ht="36" customHeight="1">
      <c r="A1496" s="46" t="n">
        <v>3826</v>
      </c>
      <c r="B1496" s="4">
        <f>+VLOOKUP($A1496,MAGAZZINO!$B$2:$M$100000,2,FALSE)</f>
        <v/>
      </c>
      <c r="C1496" s="29">
        <f>+VLOOKUP($A1496,MAGAZZINO!$B$2:$M$100000,3,FALSE)</f>
        <v/>
      </c>
      <c r="D1496" s="3">
        <f>+VLOOKUP($A1496,MAGAZZINO!$B$2:$M$100000,4,FALSE)</f>
        <v/>
      </c>
      <c r="E1496" s="3">
        <f>+VLOOKUP($A1496,MAGAZZINO!$B$2:$M$100000,5,FALSE)</f>
        <v/>
      </c>
      <c r="F1496" s="3">
        <f>+VLOOKUP($A1496,MAGAZZINO!$B$2:$M$100000,6,FALSE)</f>
        <v/>
      </c>
      <c r="G1496" s="3">
        <f>+VLOOKUP($A1496,MAGAZZINO!$B$2:$M$100000,7,FALSE)</f>
        <v/>
      </c>
      <c r="H1496" s="3">
        <f>+VLOOKUP($A1496,MAGAZZINO!$B$2:$M$100000,8,FALSE)</f>
        <v/>
      </c>
      <c r="I1496" s="3">
        <f>+VLOOKUP($A1496,MAGAZZINO!$B$2:$M$100000,9,FALSE)</f>
        <v/>
      </c>
      <c r="J1496" s="3">
        <f>+VLOOKUP($A1496,MAGAZZINO!$B$2:$M$100000,10,FALSE)</f>
        <v/>
      </c>
      <c r="K1496" s="3">
        <f>+VLOOKUP($A1496,MAGAZZINO!$B$2:$M$100000,11,FALSE)</f>
        <v/>
      </c>
      <c r="L1496" s="5">
        <f>+VLOOKUP($A1496,MAGAZZINO!$B$2:$M$100000,12,FALSE)</f>
        <v/>
      </c>
      <c r="M1496" s="47" t="n"/>
      <c r="N1496" s="88" t="n">
        <v>45873</v>
      </c>
      <c r="O1496" s="156" t="inlineStr">
        <is>
          <t>BIN HUMAID NATIONAL TRADING CO. (ARABIA SAUDITA)</t>
        </is>
      </c>
      <c r="P1496" s="152" t="inlineStr">
        <is>
          <t xml:space="preserve">  IMPORT LICENSE N. 182480  (END USER CERTIFICATE)                                                                      AUT. ESPORTAZIONE MULTIPLA N. 6B/2025/2M RILASCIATA IL 26/05/2025                        (LICENZA DI SCARICO N. 6B/2025/2S RILASCIATA IL 30/07/2025)</t>
        </is>
      </c>
      <c r="Q1496" s="150" t="n"/>
      <c r="R1496" s="150" t="n"/>
      <c r="S1496" s="153" t="n"/>
    </row>
    <row r="1497" ht="36" customHeight="1">
      <c r="A1497" s="46" t="n">
        <v>3827</v>
      </c>
      <c r="B1497" s="4">
        <f>+VLOOKUP($A1497,MAGAZZINO!$B$2:$M$100000,2,FALSE)</f>
        <v/>
      </c>
      <c r="C1497" s="29">
        <f>+VLOOKUP($A1497,MAGAZZINO!$B$2:$M$100000,3,FALSE)</f>
        <v/>
      </c>
      <c r="D1497" s="3">
        <f>+VLOOKUP($A1497,MAGAZZINO!$B$2:$M$100000,4,FALSE)</f>
        <v/>
      </c>
      <c r="E1497" s="3">
        <f>+VLOOKUP($A1497,MAGAZZINO!$B$2:$M$100000,5,FALSE)</f>
        <v/>
      </c>
      <c r="F1497" s="3">
        <f>+VLOOKUP($A1497,MAGAZZINO!$B$2:$M$100000,6,FALSE)</f>
        <v/>
      </c>
      <c r="G1497" s="3">
        <f>+VLOOKUP($A1497,MAGAZZINO!$B$2:$M$100000,7,FALSE)</f>
        <v/>
      </c>
      <c r="H1497" s="3">
        <f>+VLOOKUP($A1497,MAGAZZINO!$B$2:$M$100000,8,FALSE)</f>
        <v/>
      </c>
      <c r="I1497" s="3">
        <f>+VLOOKUP($A1497,MAGAZZINO!$B$2:$M$100000,9,FALSE)</f>
        <v/>
      </c>
      <c r="J1497" s="3">
        <f>+VLOOKUP($A1497,MAGAZZINO!$B$2:$M$100000,10,FALSE)</f>
        <v/>
      </c>
      <c r="K1497" s="3">
        <f>+VLOOKUP($A1497,MAGAZZINO!$B$2:$M$100000,11,FALSE)</f>
        <v/>
      </c>
      <c r="L1497" s="5">
        <f>+VLOOKUP($A1497,MAGAZZINO!$B$2:$M$100000,12,FALSE)</f>
        <v/>
      </c>
      <c r="M1497" s="47" t="n"/>
      <c r="N1497" s="88" t="n">
        <v>45873</v>
      </c>
      <c r="O1497" s="156" t="inlineStr">
        <is>
          <t>BIN HUMAID NATIONAL TRADING CO. (ARABIA SAUDITA)</t>
        </is>
      </c>
      <c r="P1497" s="152" t="inlineStr">
        <is>
          <t xml:space="preserve">  IMPORT LICENSE N. 182480  (END USER CERTIFICATE)                                                                      AUT. ESPORTAZIONE MULTIPLA N. 6B/2025/2M RILASCIATA IL 26/05/2025                        (LICENZA DI SCARICO N. 6B/2025/2S RILASCIATA IL 30/07/2025)</t>
        </is>
      </c>
      <c r="Q1497" s="150" t="n"/>
      <c r="R1497" s="150" t="n"/>
      <c r="S1497" s="153" t="n"/>
    </row>
    <row r="1498" ht="36" customHeight="1">
      <c r="A1498" s="46" t="n">
        <v>3828</v>
      </c>
      <c r="B1498" s="4">
        <f>+VLOOKUP($A1498,MAGAZZINO!$B$2:$M$100000,2,FALSE)</f>
        <v/>
      </c>
      <c r="C1498" s="29">
        <f>+VLOOKUP($A1498,MAGAZZINO!$B$2:$M$100000,3,FALSE)</f>
        <v/>
      </c>
      <c r="D1498" s="3">
        <f>+VLOOKUP($A1498,MAGAZZINO!$B$2:$M$100000,4,FALSE)</f>
        <v/>
      </c>
      <c r="E1498" s="3">
        <f>+VLOOKUP($A1498,MAGAZZINO!$B$2:$M$100000,5,FALSE)</f>
        <v/>
      </c>
      <c r="F1498" s="3">
        <f>+VLOOKUP($A1498,MAGAZZINO!$B$2:$M$100000,6,FALSE)</f>
        <v/>
      </c>
      <c r="G1498" s="3">
        <f>+VLOOKUP($A1498,MAGAZZINO!$B$2:$M$100000,7,FALSE)</f>
        <v/>
      </c>
      <c r="H1498" s="3">
        <f>+VLOOKUP($A1498,MAGAZZINO!$B$2:$M$100000,8,FALSE)</f>
        <v/>
      </c>
      <c r="I1498" s="3">
        <f>+VLOOKUP($A1498,MAGAZZINO!$B$2:$M$100000,9,FALSE)</f>
        <v/>
      </c>
      <c r="J1498" s="3">
        <f>+VLOOKUP($A1498,MAGAZZINO!$B$2:$M$100000,10,FALSE)</f>
        <v/>
      </c>
      <c r="K1498" s="3">
        <f>+VLOOKUP($A1498,MAGAZZINO!$B$2:$M$100000,11,FALSE)</f>
        <v/>
      </c>
      <c r="L1498" s="5">
        <f>+VLOOKUP($A1498,MAGAZZINO!$B$2:$M$100000,12,FALSE)</f>
        <v/>
      </c>
      <c r="M1498" s="47" t="n"/>
      <c r="N1498" s="88" t="n">
        <v>45873</v>
      </c>
      <c r="O1498" s="156" t="inlineStr">
        <is>
          <t>BIN HUMAID NATIONAL TRADING CO. (ARABIA SAUDITA)</t>
        </is>
      </c>
      <c r="P1498" s="152" t="inlineStr">
        <is>
          <t xml:space="preserve">  IMPORT LICENSE N. 182480  (END USER CERTIFICATE)                                                                      AUT. ESPORTAZIONE MULTIPLA N. 6B/2025/2M RILASCIATA IL 26/05/2025                        (LICENZA DI SCARICO N. 6B/2025/2S RILASCIATA IL 30/07/2025)</t>
        </is>
      </c>
      <c r="Q1498" s="150" t="n"/>
      <c r="R1498" s="150" t="n"/>
      <c r="S1498" s="153" t="n"/>
    </row>
    <row r="1499" ht="36" customHeight="1">
      <c r="A1499" s="46" t="n">
        <v>3829</v>
      </c>
      <c r="B1499" s="4">
        <f>+VLOOKUP($A1499,MAGAZZINO!$B$2:$M$100000,2,FALSE)</f>
        <v/>
      </c>
      <c r="C1499" s="29">
        <f>+VLOOKUP($A1499,MAGAZZINO!$B$2:$M$100000,3,FALSE)</f>
        <v/>
      </c>
      <c r="D1499" s="3">
        <f>+VLOOKUP($A1499,MAGAZZINO!$B$2:$M$100000,4,FALSE)</f>
        <v/>
      </c>
      <c r="E1499" s="3">
        <f>+VLOOKUP($A1499,MAGAZZINO!$B$2:$M$100000,5,FALSE)</f>
        <v/>
      </c>
      <c r="F1499" s="3">
        <f>+VLOOKUP($A1499,MAGAZZINO!$B$2:$M$100000,6,FALSE)</f>
        <v/>
      </c>
      <c r="G1499" s="3">
        <f>+VLOOKUP($A1499,MAGAZZINO!$B$2:$M$100000,7,FALSE)</f>
        <v/>
      </c>
      <c r="H1499" s="3">
        <f>+VLOOKUP($A1499,MAGAZZINO!$B$2:$M$100000,8,FALSE)</f>
        <v/>
      </c>
      <c r="I1499" s="3">
        <f>+VLOOKUP($A1499,MAGAZZINO!$B$2:$M$100000,9,FALSE)</f>
        <v/>
      </c>
      <c r="J1499" s="3">
        <f>+VLOOKUP($A1499,MAGAZZINO!$B$2:$M$100000,10,FALSE)</f>
        <v/>
      </c>
      <c r="K1499" s="3">
        <f>+VLOOKUP($A1499,MAGAZZINO!$B$2:$M$100000,11,FALSE)</f>
        <v/>
      </c>
      <c r="L1499" s="5">
        <f>+VLOOKUP($A1499,MAGAZZINO!$B$2:$M$100000,12,FALSE)</f>
        <v/>
      </c>
      <c r="M1499" s="47" t="n"/>
      <c r="N1499" s="88" t="n">
        <v>45873</v>
      </c>
      <c r="O1499" s="156" t="inlineStr">
        <is>
          <t>BIN HUMAID NATIONAL TRADING CO. (ARABIA SAUDITA)</t>
        </is>
      </c>
      <c r="P1499" s="152" t="inlineStr">
        <is>
          <t xml:space="preserve">  IMPORT LICENSE N. 182480  (END USER CERTIFICATE)                                                                      AUT. ESPORTAZIONE MULTIPLA N. 6B/2025/2M RILASCIATA IL 26/05/2025                        (LICENZA DI SCARICO N. 6B/2025/2S RILASCIATA IL 30/07/2025)</t>
        </is>
      </c>
      <c r="Q1499" s="150" t="n"/>
      <c r="R1499" s="150" t="n"/>
      <c r="S1499" s="153" t="n"/>
    </row>
    <row r="1500" ht="36" customHeight="1">
      <c r="A1500" s="46" t="n">
        <v>3830</v>
      </c>
      <c r="B1500" s="4">
        <f>+VLOOKUP($A1500,MAGAZZINO!$B$2:$M$100000,2,FALSE)</f>
        <v/>
      </c>
      <c r="C1500" s="29">
        <f>+VLOOKUP($A1500,MAGAZZINO!$B$2:$M$100000,3,FALSE)</f>
        <v/>
      </c>
      <c r="D1500" s="3">
        <f>+VLOOKUP($A1500,MAGAZZINO!$B$2:$M$100000,4,FALSE)</f>
        <v/>
      </c>
      <c r="E1500" s="3">
        <f>+VLOOKUP($A1500,MAGAZZINO!$B$2:$M$100000,5,FALSE)</f>
        <v/>
      </c>
      <c r="F1500" s="3">
        <f>+VLOOKUP($A1500,MAGAZZINO!$B$2:$M$100000,6,FALSE)</f>
        <v/>
      </c>
      <c r="G1500" s="3">
        <f>+VLOOKUP($A1500,MAGAZZINO!$B$2:$M$100000,7,FALSE)</f>
        <v/>
      </c>
      <c r="H1500" s="3">
        <f>+VLOOKUP($A1500,MAGAZZINO!$B$2:$M$100000,8,FALSE)</f>
        <v/>
      </c>
      <c r="I1500" s="3">
        <f>+VLOOKUP($A1500,MAGAZZINO!$B$2:$M$100000,9,FALSE)</f>
        <v/>
      </c>
      <c r="J1500" s="3">
        <f>+VLOOKUP($A1500,MAGAZZINO!$B$2:$M$100000,10,FALSE)</f>
        <v/>
      </c>
      <c r="K1500" s="3">
        <f>+VLOOKUP($A1500,MAGAZZINO!$B$2:$M$100000,11,FALSE)</f>
        <v/>
      </c>
      <c r="L1500" s="5">
        <f>+VLOOKUP($A1500,MAGAZZINO!$B$2:$M$100000,12,FALSE)</f>
        <v/>
      </c>
      <c r="M1500" s="47" t="n"/>
      <c r="N1500" s="88" t="n">
        <v>45873</v>
      </c>
      <c r="O1500" s="156" t="inlineStr">
        <is>
          <t>BIN HUMAID NATIONAL TRADING CO. (ARABIA SAUDITA)</t>
        </is>
      </c>
      <c r="P1500" s="152" t="inlineStr">
        <is>
          <t xml:space="preserve">  IMPORT LICENSE N. 182480  (END USER CERTIFICATE)                                                                      AUT. ESPORTAZIONE MULTIPLA N. 6B/2025/2M RILASCIATA IL 26/05/2025                        (LICENZA DI SCARICO N. 6B/2025/2S RILASCIATA IL 30/07/2025)</t>
        </is>
      </c>
      <c r="Q1500" s="150" t="n"/>
      <c r="R1500" s="150" t="n"/>
      <c r="S1500" s="153" t="n"/>
    </row>
    <row r="1501" ht="36" customHeight="1">
      <c r="A1501" s="46" t="n">
        <v>3831</v>
      </c>
      <c r="B1501" s="4">
        <f>+VLOOKUP($A1501,MAGAZZINO!$B$2:$M$100000,2,FALSE)</f>
        <v/>
      </c>
      <c r="C1501" s="29">
        <f>+VLOOKUP($A1501,MAGAZZINO!$B$2:$M$100000,3,FALSE)</f>
        <v/>
      </c>
      <c r="D1501" s="3">
        <f>+VLOOKUP($A1501,MAGAZZINO!$B$2:$M$100000,4,FALSE)</f>
        <v/>
      </c>
      <c r="E1501" s="3">
        <f>+VLOOKUP($A1501,MAGAZZINO!$B$2:$M$100000,5,FALSE)</f>
        <v/>
      </c>
      <c r="F1501" s="3">
        <f>+VLOOKUP($A1501,MAGAZZINO!$B$2:$M$100000,6,FALSE)</f>
        <v/>
      </c>
      <c r="G1501" s="3">
        <f>+VLOOKUP($A1501,MAGAZZINO!$B$2:$M$100000,7,FALSE)</f>
        <v/>
      </c>
      <c r="H1501" s="3">
        <f>+VLOOKUP($A1501,MAGAZZINO!$B$2:$M$100000,8,FALSE)</f>
        <v/>
      </c>
      <c r="I1501" s="3">
        <f>+VLOOKUP($A1501,MAGAZZINO!$B$2:$M$100000,9,FALSE)</f>
        <v/>
      </c>
      <c r="J1501" s="3">
        <f>+VLOOKUP($A1501,MAGAZZINO!$B$2:$M$100000,10,FALSE)</f>
        <v/>
      </c>
      <c r="K1501" s="3">
        <f>+VLOOKUP($A1501,MAGAZZINO!$B$2:$M$100000,11,FALSE)</f>
        <v/>
      </c>
      <c r="L1501" s="5">
        <f>+VLOOKUP($A1501,MAGAZZINO!$B$2:$M$100000,12,FALSE)</f>
        <v/>
      </c>
      <c r="M1501" s="47" t="n"/>
      <c r="N1501" s="88" t="n">
        <v>45873</v>
      </c>
      <c r="O1501" s="156" t="inlineStr">
        <is>
          <t>BIN HUMAID NATIONAL TRADING CO. (ARABIA SAUDITA)</t>
        </is>
      </c>
      <c r="P1501" s="152" t="inlineStr">
        <is>
          <t xml:space="preserve">  IMPORT LICENSE N. 182480  (END USER CERTIFICATE)                                                                      AUT. ESPORTAZIONE MULTIPLA N. 6B/2025/2M RILASCIATA IL 26/05/2025                        (LICENZA DI SCARICO N. 6B/2025/2S RILASCIATA IL 30/07/2025)</t>
        </is>
      </c>
      <c r="Q1501" s="150" t="n"/>
      <c r="R1501" s="150" t="n"/>
      <c r="S1501" s="153" t="n"/>
    </row>
    <row r="1502" ht="36" customHeight="1">
      <c r="A1502" s="46" t="n">
        <v>3832</v>
      </c>
      <c r="B1502" s="4">
        <f>+VLOOKUP($A1502,MAGAZZINO!$B$2:$M$100000,2,FALSE)</f>
        <v/>
      </c>
      <c r="C1502" s="29">
        <f>+VLOOKUP($A1502,MAGAZZINO!$B$2:$M$100000,3,FALSE)</f>
        <v/>
      </c>
      <c r="D1502" s="3">
        <f>+VLOOKUP($A1502,MAGAZZINO!$B$2:$M$100000,4,FALSE)</f>
        <v/>
      </c>
      <c r="E1502" s="3">
        <f>+VLOOKUP($A1502,MAGAZZINO!$B$2:$M$100000,5,FALSE)</f>
        <v/>
      </c>
      <c r="F1502" s="3">
        <f>+VLOOKUP($A1502,MAGAZZINO!$B$2:$M$100000,6,FALSE)</f>
        <v/>
      </c>
      <c r="G1502" s="3">
        <f>+VLOOKUP($A1502,MAGAZZINO!$B$2:$M$100000,7,FALSE)</f>
        <v/>
      </c>
      <c r="H1502" s="3">
        <f>+VLOOKUP($A1502,MAGAZZINO!$B$2:$M$100000,8,FALSE)</f>
        <v/>
      </c>
      <c r="I1502" s="3">
        <f>+VLOOKUP($A1502,MAGAZZINO!$B$2:$M$100000,9,FALSE)</f>
        <v/>
      </c>
      <c r="J1502" s="3">
        <f>+VLOOKUP($A1502,MAGAZZINO!$B$2:$M$100000,10,FALSE)</f>
        <v/>
      </c>
      <c r="K1502" s="3">
        <f>+VLOOKUP($A1502,MAGAZZINO!$B$2:$M$100000,11,FALSE)</f>
        <v/>
      </c>
      <c r="L1502" s="5">
        <f>+VLOOKUP($A1502,MAGAZZINO!$B$2:$M$100000,12,FALSE)</f>
        <v/>
      </c>
      <c r="M1502" s="47" t="n"/>
      <c r="N1502" s="88" t="n">
        <v>45873</v>
      </c>
      <c r="O1502" s="156" t="inlineStr">
        <is>
          <t>BIN HUMAID NATIONAL TRADING CO. (ARABIA SAUDITA)</t>
        </is>
      </c>
      <c r="P1502" s="152" t="inlineStr">
        <is>
          <t xml:space="preserve">  IMPORT LICENSE N. 182480  (END USER CERTIFICATE)                                                                      AUT. ESPORTAZIONE MULTIPLA N. 6B/2025/2M RILASCIATA IL 26/05/2025                        (LICENZA DI SCARICO N. 6B/2025/2S RILASCIATA IL 30/07/2025)</t>
        </is>
      </c>
      <c r="Q1502" s="150" t="n"/>
      <c r="R1502" s="150" t="n"/>
      <c r="S1502" s="153" t="n"/>
    </row>
    <row r="1503" ht="36" customHeight="1">
      <c r="A1503" s="46" t="n">
        <v>3833</v>
      </c>
      <c r="B1503" s="4">
        <f>+VLOOKUP($A1503,MAGAZZINO!$B$2:$M$100000,2,FALSE)</f>
        <v/>
      </c>
      <c r="C1503" s="29">
        <f>+VLOOKUP($A1503,MAGAZZINO!$B$2:$M$100000,3,FALSE)</f>
        <v/>
      </c>
      <c r="D1503" s="3">
        <f>+VLOOKUP($A1503,MAGAZZINO!$B$2:$M$100000,4,FALSE)</f>
        <v/>
      </c>
      <c r="E1503" s="3">
        <f>+VLOOKUP($A1503,MAGAZZINO!$B$2:$M$100000,5,FALSE)</f>
        <v/>
      </c>
      <c r="F1503" s="3">
        <f>+VLOOKUP($A1503,MAGAZZINO!$B$2:$M$100000,6,FALSE)</f>
        <v/>
      </c>
      <c r="G1503" s="3">
        <f>+VLOOKUP($A1503,MAGAZZINO!$B$2:$M$100000,7,FALSE)</f>
        <v/>
      </c>
      <c r="H1503" s="3">
        <f>+VLOOKUP($A1503,MAGAZZINO!$B$2:$M$100000,8,FALSE)</f>
        <v/>
      </c>
      <c r="I1503" s="3">
        <f>+VLOOKUP($A1503,MAGAZZINO!$B$2:$M$100000,9,FALSE)</f>
        <v/>
      </c>
      <c r="J1503" s="3">
        <f>+VLOOKUP($A1503,MAGAZZINO!$B$2:$M$100000,10,FALSE)</f>
        <v/>
      </c>
      <c r="K1503" s="3">
        <f>+VLOOKUP($A1503,MAGAZZINO!$B$2:$M$100000,11,FALSE)</f>
        <v/>
      </c>
      <c r="L1503" s="5">
        <f>+VLOOKUP($A1503,MAGAZZINO!$B$2:$M$100000,12,FALSE)</f>
        <v/>
      </c>
      <c r="M1503" s="47" t="n"/>
      <c r="N1503" s="88" t="n">
        <v>45873</v>
      </c>
      <c r="O1503" s="156" t="inlineStr">
        <is>
          <t>BIN HUMAID NATIONAL TRADING CO. (ARABIA SAUDITA)</t>
        </is>
      </c>
      <c r="P1503" s="152" t="inlineStr">
        <is>
          <t xml:space="preserve">  IMPORT LICENSE N. 182480  (END USER CERTIFICATE)                                                                      AUT. ESPORTAZIONE MULTIPLA N. 6B/2025/2M RILASCIATA IL 26/05/2025                        (LICENZA DI SCARICO N. 6B/2025/2S RILASCIATA IL 30/07/2025)</t>
        </is>
      </c>
      <c r="Q1503" s="150" t="n"/>
      <c r="R1503" s="150" t="n"/>
      <c r="S1503" s="153" t="n"/>
    </row>
    <row r="1504" ht="36" customHeight="1">
      <c r="A1504" s="46" t="n">
        <v>3834</v>
      </c>
      <c r="B1504" s="4">
        <f>+VLOOKUP($A1504,MAGAZZINO!$B$2:$M$100000,2,FALSE)</f>
        <v/>
      </c>
      <c r="C1504" s="29">
        <f>+VLOOKUP($A1504,MAGAZZINO!$B$2:$M$100000,3,FALSE)</f>
        <v/>
      </c>
      <c r="D1504" s="3">
        <f>+VLOOKUP($A1504,MAGAZZINO!$B$2:$M$100000,4,FALSE)</f>
        <v/>
      </c>
      <c r="E1504" s="3">
        <f>+VLOOKUP($A1504,MAGAZZINO!$B$2:$M$100000,5,FALSE)</f>
        <v/>
      </c>
      <c r="F1504" s="3">
        <f>+VLOOKUP($A1504,MAGAZZINO!$B$2:$M$100000,6,FALSE)</f>
        <v/>
      </c>
      <c r="G1504" s="3">
        <f>+VLOOKUP($A1504,MAGAZZINO!$B$2:$M$100000,7,FALSE)</f>
        <v/>
      </c>
      <c r="H1504" s="3">
        <f>+VLOOKUP($A1504,MAGAZZINO!$B$2:$M$100000,8,FALSE)</f>
        <v/>
      </c>
      <c r="I1504" s="3">
        <f>+VLOOKUP($A1504,MAGAZZINO!$B$2:$M$100000,9,FALSE)</f>
        <v/>
      </c>
      <c r="J1504" s="3">
        <f>+VLOOKUP($A1504,MAGAZZINO!$B$2:$M$100000,10,FALSE)</f>
        <v/>
      </c>
      <c r="K1504" s="3">
        <f>+VLOOKUP($A1504,MAGAZZINO!$B$2:$M$100000,11,FALSE)</f>
        <v/>
      </c>
      <c r="L1504" s="5">
        <f>+VLOOKUP($A1504,MAGAZZINO!$B$2:$M$100000,12,FALSE)</f>
        <v/>
      </c>
      <c r="M1504" s="47" t="n"/>
      <c r="N1504" s="88" t="n">
        <v>45873</v>
      </c>
      <c r="O1504" s="156" t="inlineStr">
        <is>
          <t>BIN HUMAID NATIONAL TRADING CO. (ARABIA SAUDITA)</t>
        </is>
      </c>
      <c r="P1504" s="152" t="inlineStr">
        <is>
          <t xml:space="preserve">  IMPORT LICENSE N. 182480  (END USER CERTIFICATE)                                                                      AUT. ESPORTAZIONE MULTIPLA N. 6B/2025/2M RILASCIATA IL 26/05/2025                        (LICENZA DI SCARICO N. 6B/2025/2S RILASCIATA IL 30/07/2025)</t>
        </is>
      </c>
      <c r="Q1504" s="150" t="n"/>
      <c r="R1504" s="150" t="n"/>
      <c r="S1504" s="153" t="n"/>
    </row>
    <row r="1505" ht="36" customHeight="1">
      <c r="A1505" s="46" t="n">
        <v>3835</v>
      </c>
      <c r="B1505" s="4">
        <f>+VLOOKUP($A1505,MAGAZZINO!$B$2:$M$100000,2,FALSE)</f>
        <v/>
      </c>
      <c r="C1505" s="29">
        <f>+VLOOKUP($A1505,MAGAZZINO!$B$2:$M$100000,3,FALSE)</f>
        <v/>
      </c>
      <c r="D1505" s="3">
        <f>+VLOOKUP($A1505,MAGAZZINO!$B$2:$M$100000,4,FALSE)</f>
        <v/>
      </c>
      <c r="E1505" s="3">
        <f>+VLOOKUP($A1505,MAGAZZINO!$B$2:$M$100000,5,FALSE)</f>
        <v/>
      </c>
      <c r="F1505" s="3">
        <f>+VLOOKUP($A1505,MAGAZZINO!$B$2:$M$100000,6,FALSE)</f>
        <v/>
      </c>
      <c r="G1505" s="3">
        <f>+VLOOKUP($A1505,MAGAZZINO!$B$2:$M$100000,7,FALSE)</f>
        <v/>
      </c>
      <c r="H1505" s="3">
        <f>+VLOOKUP($A1505,MAGAZZINO!$B$2:$M$100000,8,FALSE)</f>
        <v/>
      </c>
      <c r="I1505" s="3">
        <f>+VLOOKUP($A1505,MAGAZZINO!$B$2:$M$100000,9,FALSE)</f>
        <v/>
      </c>
      <c r="J1505" s="3">
        <f>+VLOOKUP($A1505,MAGAZZINO!$B$2:$M$100000,10,FALSE)</f>
        <v/>
      </c>
      <c r="K1505" s="3">
        <f>+VLOOKUP($A1505,MAGAZZINO!$B$2:$M$100000,11,FALSE)</f>
        <v/>
      </c>
      <c r="L1505" s="5">
        <f>+VLOOKUP($A1505,MAGAZZINO!$B$2:$M$100000,12,FALSE)</f>
        <v/>
      </c>
      <c r="M1505" s="47" t="n"/>
      <c r="N1505" s="88" t="n">
        <v>45873</v>
      </c>
      <c r="O1505" s="156" t="inlineStr">
        <is>
          <t>BIN HUMAID NATIONAL TRADING CO. (ARABIA SAUDITA)</t>
        </is>
      </c>
      <c r="P1505" s="152" t="inlineStr">
        <is>
          <t xml:space="preserve">  IMPORT LICENSE N. 182480  (END USER CERTIFICATE)                                                                      AUT. ESPORTAZIONE MULTIPLA N. 6B/2025/2M RILASCIATA IL 26/05/2025                        (LICENZA DI SCARICO N. 6B/2025/2S RILASCIATA IL 30/07/2025)</t>
        </is>
      </c>
      <c r="Q1505" s="150" t="n"/>
      <c r="R1505" s="150" t="n"/>
      <c r="S1505" s="153" t="n"/>
    </row>
    <row r="1506" ht="36" customHeight="1">
      <c r="A1506" s="46" t="n">
        <v>3836</v>
      </c>
      <c r="B1506" s="4">
        <f>+VLOOKUP($A1506,MAGAZZINO!$B$2:$M$100000,2,FALSE)</f>
        <v/>
      </c>
      <c r="C1506" s="29">
        <f>+VLOOKUP($A1506,MAGAZZINO!$B$2:$M$100000,3,FALSE)</f>
        <v/>
      </c>
      <c r="D1506" s="3">
        <f>+VLOOKUP($A1506,MAGAZZINO!$B$2:$M$100000,4,FALSE)</f>
        <v/>
      </c>
      <c r="E1506" s="3">
        <f>+VLOOKUP($A1506,MAGAZZINO!$B$2:$M$100000,5,FALSE)</f>
        <v/>
      </c>
      <c r="F1506" s="3">
        <f>+VLOOKUP($A1506,MAGAZZINO!$B$2:$M$100000,6,FALSE)</f>
        <v/>
      </c>
      <c r="G1506" s="3">
        <f>+VLOOKUP($A1506,MAGAZZINO!$B$2:$M$100000,7,FALSE)</f>
        <v/>
      </c>
      <c r="H1506" s="3">
        <f>+VLOOKUP($A1506,MAGAZZINO!$B$2:$M$100000,8,FALSE)</f>
        <v/>
      </c>
      <c r="I1506" s="3">
        <f>+VLOOKUP($A1506,MAGAZZINO!$B$2:$M$100000,9,FALSE)</f>
        <v/>
      </c>
      <c r="J1506" s="3">
        <f>+VLOOKUP($A1506,MAGAZZINO!$B$2:$M$100000,10,FALSE)</f>
        <v/>
      </c>
      <c r="K1506" s="3">
        <f>+VLOOKUP($A1506,MAGAZZINO!$B$2:$M$100000,11,FALSE)</f>
        <v/>
      </c>
      <c r="L1506" s="5">
        <f>+VLOOKUP($A1506,MAGAZZINO!$B$2:$M$100000,12,FALSE)</f>
        <v/>
      </c>
      <c r="M1506" s="47" t="n"/>
      <c r="N1506" s="88" t="n">
        <v>45873</v>
      </c>
      <c r="O1506" s="156" t="inlineStr">
        <is>
          <t>BIN HUMAID NATIONAL TRADING CO. (ARABIA SAUDITA)</t>
        </is>
      </c>
      <c r="P1506" s="152" t="inlineStr">
        <is>
          <t xml:space="preserve">  IMPORT LICENSE N. 182480  (END USER CERTIFICATE)                                                                      AUT. ESPORTAZIONE MULTIPLA N. 6B/2025/2M RILASCIATA IL 26/05/2025                        (LICENZA DI SCARICO N. 6B/2025/2S RILASCIATA IL 30/07/2025)</t>
        </is>
      </c>
      <c r="Q1506" s="150" t="n"/>
      <c r="R1506" s="150" t="n"/>
      <c r="S1506" s="153" t="n"/>
    </row>
    <row r="1507" ht="36" customHeight="1">
      <c r="A1507" s="46" t="n">
        <v>3837</v>
      </c>
      <c r="B1507" s="4">
        <f>+VLOOKUP($A1507,MAGAZZINO!$B$2:$M$100000,2,FALSE)</f>
        <v/>
      </c>
      <c r="C1507" s="29">
        <f>+VLOOKUP($A1507,MAGAZZINO!$B$2:$M$100000,3,FALSE)</f>
        <v/>
      </c>
      <c r="D1507" s="3">
        <f>+VLOOKUP($A1507,MAGAZZINO!$B$2:$M$100000,4,FALSE)</f>
        <v/>
      </c>
      <c r="E1507" s="3">
        <f>+VLOOKUP($A1507,MAGAZZINO!$B$2:$M$100000,5,FALSE)</f>
        <v/>
      </c>
      <c r="F1507" s="3">
        <f>+VLOOKUP($A1507,MAGAZZINO!$B$2:$M$100000,6,FALSE)</f>
        <v/>
      </c>
      <c r="G1507" s="3">
        <f>+VLOOKUP($A1507,MAGAZZINO!$B$2:$M$100000,7,FALSE)</f>
        <v/>
      </c>
      <c r="H1507" s="3">
        <f>+VLOOKUP($A1507,MAGAZZINO!$B$2:$M$100000,8,FALSE)</f>
        <v/>
      </c>
      <c r="I1507" s="3">
        <f>+VLOOKUP($A1507,MAGAZZINO!$B$2:$M$100000,9,FALSE)</f>
        <v/>
      </c>
      <c r="J1507" s="3">
        <f>+VLOOKUP($A1507,MAGAZZINO!$B$2:$M$100000,10,FALSE)</f>
        <v/>
      </c>
      <c r="K1507" s="3">
        <f>+VLOOKUP($A1507,MAGAZZINO!$B$2:$M$100000,11,FALSE)</f>
        <v/>
      </c>
      <c r="L1507" s="5">
        <f>+VLOOKUP($A1507,MAGAZZINO!$B$2:$M$100000,12,FALSE)</f>
        <v/>
      </c>
      <c r="M1507" s="47" t="n"/>
      <c r="N1507" s="88" t="n">
        <v>45873</v>
      </c>
      <c r="O1507" s="156" t="inlineStr">
        <is>
          <t>BIN HUMAID NATIONAL TRADING CO. (ARABIA SAUDITA)</t>
        </is>
      </c>
      <c r="P1507" s="152" t="inlineStr">
        <is>
          <t xml:space="preserve">  IMPORT LICENSE N. 182480  (END USER CERTIFICATE)                                                                      AUT. ESPORTAZIONE MULTIPLA N. 6B/2025/2M RILASCIATA IL 26/05/2025                        (LICENZA DI SCARICO N. 6B/2025/2S RILASCIATA IL 30/07/2025)</t>
        </is>
      </c>
      <c r="Q1507" s="150" t="n"/>
      <c r="R1507" s="150" t="n"/>
      <c r="S1507" s="153" t="n"/>
    </row>
    <row r="1508" ht="36" customHeight="1">
      <c r="A1508" s="46" t="n">
        <v>3838</v>
      </c>
      <c r="B1508" s="4">
        <f>+VLOOKUP($A1508,MAGAZZINO!$B$2:$M$100000,2,FALSE)</f>
        <v/>
      </c>
      <c r="C1508" s="29">
        <f>+VLOOKUP($A1508,MAGAZZINO!$B$2:$M$100000,3,FALSE)</f>
        <v/>
      </c>
      <c r="D1508" s="3">
        <f>+VLOOKUP($A1508,MAGAZZINO!$B$2:$M$100000,4,FALSE)</f>
        <v/>
      </c>
      <c r="E1508" s="3">
        <f>+VLOOKUP($A1508,MAGAZZINO!$B$2:$M$100000,5,FALSE)</f>
        <v/>
      </c>
      <c r="F1508" s="3">
        <f>+VLOOKUP($A1508,MAGAZZINO!$B$2:$M$100000,6,FALSE)</f>
        <v/>
      </c>
      <c r="G1508" s="3">
        <f>+VLOOKUP($A1508,MAGAZZINO!$B$2:$M$100000,7,FALSE)</f>
        <v/>
      </c>
      <c r="H1508" s="3">
        <f>+VLOOKUP($A1508,MAGAZZINO!$B$2:$M$100000,8,FALSE)</f>
        <v/>
      </c>
      <c r="I1508" s="3">
        <f>+VLOOKUP($A1508,MAGAZZINO!$B$2:$M$100000,9,FALSE)</f>
        <v/>
      </c>
      <c r="J1508" s="3">
        <f>+VLOOKUP($A1508,MAGAZZINO!$B$2:$M$100000,10,FALSE)</f>
        <v/>
      </c>
      <c r="K1508" s="3">
        <f>+VLOOKUP($A1508,MAGAZZINO!$B$2:$M$100000,11,FALSE)</f>
        <v/>
      </c>
      <c r="L1508" s="5">
        <f>+VLOOKUP($A1508,MAGAZZINO!$B$2:$M$100000,12,FALSE)</f>
        <v/>
      </c>
      <c r="M1508" s="47" t="n"/>
      <c r="N1508" s="88" t="n">
        <v>45873</v>
      </c>
      <c r="O1508" s="156" t="inlineStr">
        <is>
          <t>BIN HUMAID NATIONAL TRADING CO. (ARABIA SAUDITA)</t>
        </is>
      </c>
      <c r="P1508" s="152" t="inlineStr">
        <is>
          <t xml:space="preserve">  IMPORT LICENSE N. 182480  (END USER CERTIFICATE)                                                                      AUT. ESPORTAZIONE MULTIPLA N. 6B/2025/2M RILASCIATA IL 26/05/2025                        (LICENZA DI SCARICO N. 6B/2025/2S RILASCIATA IL 30/07/2025)</t>
        </is>
      </c>
      <c r="Q1508" s="150" t="n"/>
      <c r="R1508" s="150" t="n"/>
      <c r="S1508" s="153" t="n"/>
    </row>
    <row r="1509" ht="36" customHeight="1">
      <c r="A1509" s="46" t="n">
        <v>3839</v>
      </c>
      <c r="B1509" s="4">
        <f>+VLOOKUP($A1509,MAGAZZINO!$B$2:$M$100000,2,FALSE)</f>
        <v/>
      </c>
      <c r="C1509" s="29">
        <f>+VLOOKUP($A1509,MAGAZZINO!$B$2:$M$100000,3,FALSE)</f>
        <v/>
      </c>
      <c r="D1509" s="3">
        <f>+VLOOKUP($A1509,MAGAZZINO!$B$2:$M$100000,4,FALSE)</f>
        <v/>
      </c>
      <c r="E1509" s="3">
        <f>+VLOOKUP($A1509,MAGAZZINO!$B$2:$M$100000,5,FALSE)</f>
        <v/>
      </c>
      <c r="F1509" s="3">
        <f>+VLOOKUP($A1509,MAGAZZINO!$B$2:$M$100000,6,FALSE)</f>
        <v/>
      </c>
      <c r="G1509" s="3">
        <f>+VLOOKUP($A1509,MAGAZZINO!$B$2:$M$100000,7,FALSE)</f>
        <v/>
      </c>
      <c r="H1509" s="3">
        <f>+VLOOKUP($A1509,MAGAZZINO!$B$2:$M$100000,8,FALSE)</f>
        <v/>
      </c>
      <c r="I1509" s="3">
        <f>+VLOOKUP($A1509,MAGAZZINO!$B$2:$M$100000,9,FALSE)</f>
        <v/>
      </c>
      <c r="J1509" s="3">
        <f>+VLOOKUP($A1509,MAGAZZINO!$B$2:$M$100000,10,FALSE)</f>
        <v/>
      </c>
      <c r="K1509" s="3">
        <f>+VLOOKUP($A1509,MAGAZZINO!$B$2:$M$100000,11,FALSE)</f>
        <v/>
      </c>
      <c r="L1509" s="5">
        <f>+VLOOKUP($A1509,MAGAZZINO!$B$2:$M$100000,12,FALSE)</f>
        <v/>
      </c>
      <c r="M1509" s="47" t="n"/>
      <c r="N1509" s="88" t="n">
        <v>45873</v>
      </c>
      <c r="O1509" s="156" t="inlineStr">
        <is>
          <t>BIN HUMAID NATIONAL TRADING CO. (ARABIA SAUDITA)</t>
        </is>
      </c>
      <c r="P1509" s="152" t="inlineStr">
        <is>
          <t xml:space="preserve">  IMPORT LICENSE N. 182480  (END USER CERTIFICATE)                                                                      AUT. ESPORTAZIONE MULTIPLA N. 6B/2025/2M RILASCIATA IL 26/05/2025                        (LICENZA DI SCARICO N. 6B/2025/2S RILASCIATA IL 30/07/2025)</t>
        </is>
      </c>
      <c r="Q1509" s="150" t="n"/>
      <c r="R1509" s="150" t="n"/>
      <c r="S1509" s="153" t="n"/>
    </row>
    <row r="1510" ht="36" customHeight="1">
      <c r="A1510" s="46" t="n">
        <v>3840</v>
      </c>
      <c r="B1510" s="4">
        <f>+VLOOKUP($A1510,MAGAZZINO!$B$2:$M$100000,2,FALSE)</f>
        <v/>
      </c>
      <c r="C1510" s="29">
        <f>+VLOOKUP($A1510,MAGAZZINO!$B$2:$M$100000,3,FALSE)</f>
        <v/>
      </c>
      <c r="D1510" s="3">
        <f>+VLOOKUP($A1510,MAGAZZINO!$B$2:$M$100000,4,FALSE)</f>
        <v/>
      </c>
      <c r="E1510" s="3">
        <f>+VLOOKUP($A1510,MAGAZZINO!$B$2:$M$100000,5,FALSE)</f>
        <v/>
      </c>
      <c r="F1510" s="3">
        <f>+VLOOKUP($A1510,MAGAZZINO!$B$2:$M$100000,6,FALSE)</f>
        <v/>
      </c>
      <c r="G1510" s="3">
        <f>+VLOOKUP($A1510,MAGAZZINO!$B$2:$M$100000,7,FALSE)</f>
        <v/>
      </c>
      <c r="H1510" s="3">
        <f>+VLOOKUP($A1510,MAGAZZINO!$B$2:$M$100000,8,FALSE)</f>
        <v/>
      </c>
      <c r="I1510" s="3">
        <f>+VLOOKUP($A1510,MAGAZZINO!$B$2:$M$100000,9,FALSE)</f>
        <v/>
      </c>
      <c r="J1510" s="3">
        <f>+VLOOKUP($A1510,MAGAZZINO!$B$2:$M$100000,10,FALSE)</f>
        <v/>
      </c>
      <c r="K1510" s="3">
        <f>+VLOOKUP($A1510,MAGAZZINO!$B$2:$M$100000,11,FALSE)</f>
        <v/>
      </c>
      <c r="L1510" s="5">
        <f>+VLOOKUP($A1510,MAGAZZINO!$B$2:$M$100000,12,FALSE)</f>
        <v/>
      </c>
      <c r="M1510" s="47" t="n"/>
      <c r="N1510" s="88" t="n">
        <v>45873</v>
      </c>
      <c r="O1510" s="156" t="inlineStr">
        <is>
          <t>BIN HUMAID NATIONAL TRADING CO. (ARABIA SAUDITA)</t>
        </is>
      </c>
      <c r="P1510" s="152" t="inlineStr">
        <is>
          <t xml:space="preserve">  IMPORT LICENSE N. 182480  (END USER CERTIFICATE)                                                                      AUT. ESPORTAZIONE MULTIPLA N. 6B/2025/2M RILASCIATA IL 26/05/2025                        (LICENZA DI SCARICO N. 6B/2025/2S RILASCIATA IL 30/07/2025)</t>
        </is>
      </c>
      <c r="Q1510" s="150" t="n"/>
      <c r="R1510" s="150" t="n"/>
      <c r="S1510" s="153" t="n"/>
    </row>
    <row r="1511" ht="36" customHeight="1">
      <c r="A1511" s="46" t="n">
        <v>3841</v>
      </c>
      <c r="B1511" s="4">
        <f>+VLOOKUP($A1511,MAGAZZINO!$B$2:$M$100000,2,FALSE)</f>
        <v/>
      </c>
      <c r="C1511" s="29">
        <f>+VLOOKUP($A1511,MAGAZZINO!$B$2:$M$100000,3,FALSE)</f>
        <v/>
      </c>
      <c r="D1511" s="3">
        <f>+VLOOKUP($A1511,MAGAZZINO!$B$2:$M$100000,4,FALSE)</f>
        <v/>
      </c>
      <c r="E1511" s="3">
        <f>+VLOOKUP($A1511,MAGAZZINO!$B$2:$M$100000,5,FALSE)</f>
        <v/>
      </c>
      <c r="F1511" s="3">
        <f>+VLOOKUP($A1511,MAGAZZINO!$B$2:$M$100000,6,FALSE)</f>
        <v/>
      </c>
      <c r="G1511" s="3">
        <f>+VLOOKUP($A1511,MAGAZZINO!$B$2:$M$100000,7,FALSE)</f>
        <v/>
      </c>
      <c r="H1511" s="3">
        <f>+VLOOKUP($A1511,MAGAZZINO!$B$2:$M$100000,8,FALSE)</f>
        <v/>
      </c>
      <c r="I1511" s="3">
        <f>+VLOOKUP($A1511,MAGAZZINO!$B$2:$M$100000,9,FALSE)</f>
        <v/>
      </c>
      <c r="J1511" s="3">
        <f>+VLOOKUP($A1511,MAGAZZINO!$B$2:$M$100000,10,FALSE)</f>
        <v/>
      </c>
      <c r="K1511" s="3">
        <f>+VLOOKUP($A1511,MAGAZZINO!$B$2:$M$100000,11,FALSE)</f>
        <v/>
      </c>
      <c r="L1511" s="5">
        <f>+VLOOKUP($A1511,MAGAZZINO!$B$2:$M$100000,12,FALSE)</f>
        <v/>
      </c>
      <c r="M1511" s="47" t="n"/>
      <c r="N1511" s="88" t="n">
        <v>45873</v>
      </c>
      <c r="O1511" s="156" t="inlineStr">
        <is>
          <t>BIN HUMAID NATIONAL TRADING CO. (ARABIA SAUDITA)</t>
        </is>
      </c>
      <c r="P1511" s="152" t="inlineStr">
        <is>
          <t xml:space="preserve">  IMPORT LICENSE N. 182480  (END USER CERTIFICATE)                                                                      AUT. ESPORTAZIONE MULTIPLA N. 6B/2025/2M RILASCIATA IL 26/05/2025                        (LICENZA DI SCARICO N. 6B/2025/2S RILASCIATA IL 30/07/2025)</t>
        </is>
      </c>
      <c r="Q1511" s="150" t="n"/>
      <c r="R1511" s="150" t="n"/>
      <c r="S1511" s="153" t="n"/>
    </row>
    <row r="1512" ht="36" customHeight="1">
      <c r="A1512" s="46" t="n">
        <v>3842</v>
      </c>
      <c r="B1512" s="4">
        <f>+VLOOKUP($A1512,MAGAZZINO!$B$2:$M$100000,2,FALSE)</f>
        <v/>
      </c>
      <c r="C1512" s="29">
        <f>+VLOOKUP($A1512,MAGAZZINO!$B$2:$M$100000,3,FALSE)</f>
        <v/>
      </c>
      <c r="D1512" s="3">
        <f>+VLOOKUP($A1512,MAGAZZINO!$B$2:$M$100000,4,FALSE)</f>
        <v/>
      </c>
      <c r="E1512" s="3">
        <f>+VLOOKUP($A1512,MAGAZZINO!$B$2:$M$100000,5,FALSE)</f>
        <v/>
      </c>
      <c r="F1512" s="3">
        <f>+VLOOKUP($A1512,MAGAZZINO!$B$2:$M$100000,6,FALSE)</f>
        <v/>
      </c>
      <c r="G1512" s="3">
        <f>+VLOOKUP($A1512,MAGAZZINO!$B$2:$M$100000,7,FALSE)</f>
        <v/>
      </c>
      <c r="H1512" s="3">
        <f>+VLOOKUP($A1512,MAGAZZINO!$B$2:$M$100000,8,FALSE)</f>
        <v/>
      </c>
      <c r="I1512" s="3">
        <f>+VLOOKUP($A1512,MAGAZZINO!$B$2:$M$100000,9,FALSE)</f>
        <v/>
      </c>
      <c r="J1512" s="3">
        <f>+VLOOKUP($A1512,MAGAZZINO!$B$2:$M$100000,10,FALSE)</f>
        <v/>
      </c>
      <c r="K1512" s="3">
        <f>+VLOOKUP($A1512,MAGAZZINO!$B$2:$M$100000,11,FALSE)</f>
        <v/>
      </c>
      <c r="L1512" s="5">
        <f>+VLOOKUP($A1512,MAGAZZINO!$B$2:$M$100000,12,FALSE)</f>
        <v/>
      </c>
      <c r="M1512" s="47" t="n"/>
      <c r="N1512" s="88" t="n">
        <v>45873</v>
      </c>
      <c r="O1512" s="156" t="inlineStr">
        <is>
          <t>BIN HUMAID NATIONAL TRADING CO. (ARABIA SAUDITA)</t>
        </is>
      </c>
      <c r="P1512" s="152" t="inlineStr">
        <is>
          <t xml:space="preserve">  IMPORT LICENSE N. 182480  (END USER CERTIFICATE)                                                                      AUT. ESPORTAZIONE MULTIPLA N. 6B/2025/2M RILASCIATA IL 26/05/2025                        (LICENZA DI SCARICO N. 6B/2025/2S RILASCIATA IL 30/07/2025)</t>
        </is>
      </c>
      <c r="Q1512" s="150" t="n"/>
      <c r="R1512" s="150" t="n"/>
      <c r="S1512" s="153" t="n"/>
    </row>
    <row r="1513" ht="36" customHeight="1">
      <c r="A1513" s="46" t="n">
        <v>3843</v>
      </c>
      <c r="B1513" s="4">
        <f>+VLOOKUP($A1513,MAGAZZINO!$B$2:$M$100000,2,FALSE)</f>
        <v/>
      </c>
      <c r="C1513" s="29">
        <f>+VLOOKUP($A1513,MAGAZZINO!$B$2:$M$100000,3,FALSE)</f>
        <v/>
      </c>
      <c r="D1513" s="3">
        <f>+VLOOKUP($A1513,MAGAZZINO!$B$2:$M$100000,4,FALSE)</f>
        <v/>
      </c>
      <c r="E1513" s="3">
        <f>+VLOOKUP($A1513,MAGAZZINO!$B$2:$M$100000,5,FALSE)</f>
        <v/>
      </c>
      <c r="F1513" s="3">
        <f>+VLOOKUP($A1513,MAGAZZINO!$B$2:$M$100000,6,FALSE)</f>
        <v/>
      </c>
      <c r="G1513" s="3">
        <f>+VLOOKUP($A1513,MAGAZZINO!$B$2:$M$100000,7,FALSE)</f>
        <v/>
      </c>
      <c r="H1513" s="3">
        <f>+VLOOKUP($A1513,MAGAZZINO!$B$2:$M$100000,8,FALSE)</f>
        <v/>
      </c>
      <c r="I1513" s="3">
        <f>+VLOOKUP($A1513,MAGAZZINO!$B$2:$M$100000,9,FALSE)</f>
        <v/>
      </c>
      <c r="J1513" s="3">
        <f>+VLOOKUP($A1513,MAGAZZINO!$B$2:$M$100000,10,FALSE)</f>
        <v/>
      </c>
      <c r="K1513" s="3">
        <f>+VLOOKUP($A1513,MAGAZZINO!$B$2:$M$100000,11,FALSE)</f>
        <v/>
      </c>
      <c r="L1513" s="5">
        <f>+VLOOKUP($A1513,MAGAZZINO!$B$2:$M$100000,12,FALSE)</f>
        <v/>
      </c>
      <c r="M1513" s="47" t="n"/>
      <c r="N1513" s="88" t="n">
        <v>45873</v>
      </c>
      <c r="O1513" s="156" t="inlineStr">
        <is>
          <t>BIN HUMAID NATIONAL TRADING CO. (ARABIA SAUDITA)</t>
        </is>
      </c>
      <c r="P1513" s="152" t="inlineStr">
        <is>
          <t xml:space="preserve">  IMPORT LICENSE N. 182480  (END USER CERTIFICATE)                                                                      AUT. ESPORTAZIONE MULTIPLA N. 6B/2025/2M RILASCIATA IL 26/05/2025                        (LICENZA DI SCARICO N. 6B/2025/2S RILASCIATA IL 30/07/2025)</t>
        </is>
      </c>
      <c r="Q1513" s="150" t="n"/>
      <c r="R1513" s="150" t="n"/>
      <c r="S1513" s="153" t="n"/>
    </row>
    <row r="1514" ht="36" customHeight="1">
      <c r="A1514" s="46" t="n">
        <v>3844</v>
      </c>
      <c r="B1514" s="4">
        <f>+VLOOKUP($A1514,MAGAZZINO!$B$2:$M$100000,2,FALSE)</f>
        <v/>
      </c>
      <c r="C1514" s="29">
        <f>+VLOOKUP($A1514,MAGAZZINO!$B$2:$M$100000,3,FALSE)</f>
        <v/>
      </c>
      <c r="D1514" s="3">
        <f>+VLOOKUP($A1514,MAGAZZINO!$B$2:$M$100000,4,FALSE)</f>
        <v/>
      </c>
      <c r="E1514" s="3">
        <f>+VLOOKUP($A1514,MAGAZZINO!$B$2:$M$100000,5,FALSE)</f>
        <v/>
      </c>
      <c r="F1514" s="3">
        <f>+VLOOKUP($A1514,MAGAZZINO!$B$2:$M$100000,6,FALSE)</f>
        <v/>
      </c>
      <c r="G1514" s="3">
        <f>+VLOOKUP($A1514,MAGAZZINO!$B$2:$M$100000,7,FALSE)</f>
        <v/>
      </c>
      <c r="H1514" s="3">
        <f>+VLOOKUP($A1514,MAGAZZINO!$B$2:$M$100000,8,FALSE)</f>
        <v/>
      </c>
      <c r="I1514" s="3">
        <f>+VLOOKUP($A1514,MAGAZZINO!$B$2:$M$100000,9,FALSE)</f>
        <v/>
      </c>
      <c r="J1514" s="3">
        <f>+VLOOKUP($A1514,MAGAZZINO!$B$2:$M$100000,10,FALSE)</f>
        <v/>
      </c>
      <c r="K1514" s="3">
        <f>+VLOOKUP($A1514,MAGAZZINO!$B$2:$M$100000,11,FALSE)</f>
        <v/>
      </c>
      <c r="L1514" s="5">
        <f>+VLOOKUP($A1514,MAGAZZINO!$B$2:$M$100000,12,FALSE)</f>
        <v/>
      </c>
      <c r="M1514" s="47" t="n"/>
      <c r="N1514" s="88" t="n">
        <v>45873</v>
      </c>
      <c r="O1514" s="156" t="inlineStr">
        <is>
          <t>BIN HUMAID NATIONAL TRADING CO. (ARABIA SAUDITA)</t>
        </is>
      </c>
      <c r="P1514" s="152" t="inlineStr">
        <is>
          <t xml:space="preserve">  IMPORT LICENSE N. 182480  (END USER CERTIFICATE)                                                                      AUT. ESPORTAZIONE MULTIPLA N. 6B/2025/2M RILASCIATA IL 26/05/2025                        (LICENZA DI SCARICO N. 6B/2025/2S RILASCIATA IL 30/07/2025)</t>
        </is>
      </c>
      <c r="Q1514" s="150" t="n"/>
      <c r="R1514" s="150" t="n"/>
      <c r="S1514" s="153" t="n"/>
    </row>
    <row r="1515" ht="36" customHeight="1">
      <c r="A1515" s="46" t="n">
        <v>3845</v>
      </c>
      <c r="B1515" s="4">
        <f>+VLOOKUP($A1515,MAGAZZINO!$B$2:$M$100000,2,FALSE)</f>
        <v/>
      </c>
      <c r="C1515" s="29">
        <f>+VLOOKUP($A1515,MAGAZZINO!$B$2:$M$100000,3,FALSE)</f>
        <v/>
      </c>
      <c r="D1515" s="3">
        <f>+VLOOKUP($A1515,MAGAZZINO!$B$2:$M$100000,4,FALSE)</f>
        <v/>
      </c>
      <c r="E1515" s="3">
        <f>+VLOOKUP($A1515,MAGAZZINO!$B$2:$M$100000,5,FALSE)</f>
        <v/>
      </c>
      <c r="F1515" s="3">
        <f>+VLOOKUP($A1515,MAGAZZINO!$B$2:$M$100000,6,FALSE)</f>
        <v/>
      </c>
      <c r="G1515" s="3">
        <f>+VLOOKUP($A1515,MAGAZZINO!$B$2:$M$100000,7,FALSE)</f>
        <v/>
      </c>
      <c r="H1515" s="3">
        <f>+VLOOKUP($A1515,MAGAZZINO!$B$2:$M$100000,8,FALSE)</f>
        <v/>
      </c>
      <c r="I1515" s="3">
        <f>+VLOOKUP($A1515,MAGAZZINO!$B$2:$M$100000,9,FALSE)</f>
        <v/>
      </c>
      <c r="J1515" s="3">
        <f>+VLOOKUP($A1515,MAGAZZINO!$B$2:$M$100000,10,FALSE)</f>
        <v/>
      </c>
      <c r="K1515" s="3">
        <f>+VLOOKUP($A1515,MAGAZZINO!$B$2:$M$100000,11,FALSE)</f>
        <v/>
      </c>
      <c r="L1515" s="5">
        <f>+VLOOKUP($A1515,MAGAZZINO!$B$2:$M$100000,12,FALSE)</f>
        <v/>
      </c>
      <c r="M1515" s="47" t="n"/>
      <c r="N1515" s="88" t="n">
        <v>45873</v>
      </c>
      <c r="O1515" s="156" t="inlineStr">
        <is>
          <t>BIN HUMAID NATIONAL TRADING CO. (ARABIA SAUDITA)</t>
        </is>
      </c>
      <c r="P1515" s="152" t="inlineStr">
        <is>
          <t xml:space="preserve">  IMPORT LICENSE N. 182480  (END USER CERTIFICATE)                                                                      AUT. ESPORTAZIONE MULTIPLA N. 6B/2025/2M RILASCIATA IL 26/05/2025                        (LICENZA DI SCARICO N. 6B/2025/2S RILASCIATA IL 30/07/2025)</t>
        </is>
      </c>
      <c r="Q1515" s="150" t="n"/>
      <c r="R1515" s="150" t="n"/>
      <c r="S1515" s="153" t="n"/>
    </row>
    <row r="1516" ht="36" customHeight="1">
      <c r="A1516" s="46" t="n">
        <v>3846</v>
      </c>
      <c r="B1516" s="4">
        <f>+VLOOKUP($A1516,MAGAZZINO!$B$2:$M$100000,2,FALSE)</f>
        <v/>
      </c>
      <c r="C1516" s="29">
        <f>+VLOOKUP($A1516,MAGAZZINO!$B$2:$M$100000,3,FALSE)</f>
        <v/>
      </c>
      <c r="D1516" s="3">
        <f>+VLOOKUP($A1516,MAGAZZINO!$B$2:$M$100000,4,FALSE)</f>
        <v/>
      </c>
      <c r="E1516" s="3">
        <f>+VLOOKUP($A1516,MAGAZZINO!$B$2:$M$100000,5,FALSE)</f>
        <v/>
      </c>
      <c r="F1516" s="3">
        <f>+VLOOKUP($A1516,MAGAZZINO!$B$2:$M$100000,6,FALSE)</f>
        <v/>
      </c>
      <c r="G1516" s="3">
        <f>+VLOOKUP($A1516,MAGAZZINO!$B$2:$M$100000,7,FALSE)</f>
        <v/>
      </c>
      <c r="H1516" s="3">
        <f>+VLOOKUP($A1516,MAGAZZINO!$B$2:$M$100000,8,FALSE)</f>
        <v/>
      </c>
      <c r="I1516" s="3">
        <f>+VLOOKUP($A1516,MAGAZZINO!$B$2:$M$100000,9,FALSE)</f>
        <v/>
      </c>
      <c r="J1516" s="3">
        <f>+VLOOKUP($A1516,MAGAZZINO!$B$2:$M$100000,10,FALSE)</f>
        <v/>
      </c>
      <c r="K1516" s="3">
        <f>+VLOOKUP($A1516,MAGAZZINO!$B$2:$M$100000,11,FALSE)</f>
        <v/>
      </c>
      <c r="L1516" s="5">
        <f>+VLOOKUP($A1516,MAGAZZINO!$B$2:$M$100000,12,FALSE)</f>
        <v/>
      </c>
      <c r="M1516" s="47" t="n"/>
      <c r="N1516" s="88" t="n">
        <v>45873</v>
      </c>
      <c r="O1516" s="156" t="inlineStr">
        <is>
          <t>BIN HUMAID NATIONAL TRADING CO. (ARABIA SAUDITA)</t>
        </is>
      </c>
      <c r="P1516" s="152" t="inlineStr">
        <is>
          <t xml:space="preserve">  IMPORT LICENSE N. 182480  (END USER CERTIFICATE)                                                                      AUT. ESPORTAZIONE MULTIPLA N. 6B/2025/2M RILASCIATA IL 26/05/2025                        (LICENZA DI SCARICO N. 6B/2025/2S RILASCIATA IL 30/07/2025)</t>
        </is>
      </c>
      <c r="Q1516" s="150" t="n"/>
      <c r="R1516" s="150" t="n"/>
      <c r="S1516" s="153" t="n"/>
    </row>
    <row r="1517" ht="36" customHeight="1">
      <c r="A1517" s="46" t="n">
        <v>3847</v>
      </c>
      <c r="B1517" s="4">
        <f>+VLOOKUP($A1517,MAGAZZINO!$B$2:$M$100000,2,FALSE)</f>
        <v/>
      </c>
      <c r="C1517" s="29">
        <f>+VLOOKUP($A1517,MAGAZZINO!$B$2:$M$100000,3,FALSE)</f>
        <v/>
      </c>
      <c r="D1517" s="3">
        <f>+VLOOKUP($A1517,MAGAZZINO!$B$2:$M$100000,4,FALSE)</f>
        <v/>
      </c>
      <c r="E1517" s="3">
        <f>+VLOOKUP($A1517,MAGAZZINO!$B$2:$M$100000,5,FALSE)</f>
        <v/>
      </c>
      <c r="F1517" s="3">
        <f>+VLOOKUP($A1517,MAGAZZINO!$B$2:$M$100000,6,FALSE)</f>
        <v/>
      </c>
      <c r="G1517" s="3">
        <f>+VLOOKUP($A1517,MAGAZZINO!$B$2:$M$100000,7,FALSE)</f>
        <v/>
      </c>
      <c r="H1517" s="3">
        <f>+VLOOKUP($A1517,MAGAZZINO!$B$2:$M$100000,8,FALSE)</f>
        <v/>
      </c>
      <c r="I1517" s="3">
        <f>+VLOOKUP($A1517,MAGAZZINO!$B$2:$M$100000,9,FALSE)</f>
        <v/>
      </c>
      <c r="J1517" s="3">
        <f>+VLOOKUP($A1517,MAGAZZINO!$B$2:$M$100000,10,FALSE)</f>
        <v/>
      </c>
      <c r="K1517" s="3">
        <f>+VLOOKUP($A1517,MAGAZZINO!$B$2:$M$100000,11,FALSE)</f>
        <v/>
      </c>
      <c r="L1517" s="5">
        <f>+VLOOKUP($A1517,MAGAZZINO!$B$2:$M$100000,12,FALSE)</f>
        <v/>
      </c>
      <c r="M1517" s="47" t="n"/>
      <c r="N1517" s="88" t="n">
        <v>45873</v>
      </c>
      <c r="O1517" s="156" t="inlineStr">
        <is>
          <t>BIN HUMAID NATIONAL TRADING CO. (ARABIA SAUDITA)</t>
        </is>
      </c>
      <c r="P1517" s="152" t="inlineStr">
        <is>
          <t xml:space="preserve">  IMPORT LICENSE N. 182480  (END USER CERTIFICATE)                                                                      AUT. ESPORTAZIONE MULTIPLA N. 6B/2025/2M RILASCIATA IL 26/05/2025                        (LICENZA DI SCARICO N. 6B/2025/2S RILASCIATA IL 30/07/2025)</t>
        </is>
      </c>
      <c r="Q1517" s="150" t="n"/>
      <c r="R1517" s="150" t="n"/>
      <c r="S1517" s="153" t="n"/>
    </row>
    <row r="1518" ht="36" customHeight="1">
      <c r="A1518" s="46" t="n">
        <v>3848</v>
      </c>
      <c r="B1518" s="4">
        <f>+VLOOKUP($A1518,MAGAZZINO!$B$2:$M$100000,2,FALSE)</f>
        <v/>
      </c>
      <c r="C1518" s="29">
        <f>+VLOOKUP($A1518,MAGAZZINO!$B$2:$M$100000,3,FALSE)</f>
        <v/>
      </c>
      <c r="D1518" s="3">
        <f>+VLOOKUP($A1518,MAGAZZINO!$B$2:$M$100000,4,FALSE)</f>
        <v/>
      </c>
      <c r="E1518" s="3">
        <f>+VLOOKUP($A1518,MAGAZZINO!$B$2:$M$100000,5,FALSE)</f>
        <v/>
      </c>
      <c r="F1518" s="3">
        <f>+VLOOKUP($A1518,MAGAZZINO!$B$2:$M$100000,6,FALSE)</f>
        <v/>
      </c>
      <c r="G1518" s="3">
        <f>+VLOOKUP($A1518,MAGAZZINO!$B$2:$M$100000,7,FALSE)</f>
        <v/>
      </c>
      <c r="H1518" s="3">
        <f>+VLOOKUP($A1518,MAGAZZINO!$B$2:$M$100000,8,FALSE)</f>
        <v/>
      </c>
      <c r="I1518" s="3">
        <f>+VLOOKUP($A1518,MAGAZZINO!$B$2:$M$100000,9,FALSE)</f>
        <v/>
      </c>
      <c r="J1518" s="3">
        <f>+VLOOKUP($A1518,MAGAZZINO!$B$2:$M$100000,10,FALSE)</f>
        <v/>
      </c>
      <c r="K1518" s="3">
        <f>+VLOOKUP($A1518,MAGAZZINO!$B$2:$M$100000,11,FALSE)</f>
        <v/>
      </c>
      <c r="L1518" s="5">
        <f>+VLOOKUP($A1518,MAGAZZINO!$B$2:$M$100000,12,FALSE)</f>
        <v/>
      </c>
      <c r="M1518" s="47" t="n"/>
      <c r="N1518" s="88" t="n">
        <v>45873</v>
      </c>
      <c r="O1518" s="156" t="inlineStr">
        <is>
          <t>BIN HUMAID NATIONAL TRADING CO. (ARABIA SAUDITA)</t>
        </is>
      </c>
      <c r="P1518" s="152" t="inlineStr">
        <is>
          <t xml:space="preserve">  IMPORT LICENSE N. 182480  (END USER CERTIFICATE)                                                                      AUT. ESPORTAZIONE MULTIPLA N. 6B/2025/2M RILASCIATA IL 26/05/2025                        (LICENZA DI SCARICO N. 6B/2025/2S RILASCIATA IL 30/07/2025)</t>
        </is>
      </c>
      <c r="Q1518" s="150" t="n"/>
      <c r="R1518" s="150" t="n"/>
      <c r="S1518" s="153" t="n"/>
    </row>
    <row r="1519" ht="36" customHeight="1">
      <c r="A1519" s="46" t="n">
        <v>3849</v>
      </c>
      <c r="B1519" s="4">
        <f>+VLOOKUP($A1519,MAGAZZINO!$B$2:$M$100000,2,FALSE)</f>
        <v/>
      </c>
      <c r="C1519" s="29">
        <f>+VLOOKUP($A1519,MAGAZZINO!$B$2:$M$100000,3,FALSE)</f>
        <v/>
      </c>
      <c r="D1519" s="3">
        <f>+VLOOKUP($A1519,MAGAZZINO!$B$2:$M$100000,4,FALSE)</f>
        <v/>
      </c>
      <c r="E1519" s="3">
        <f>+VLOOKUP($A1519,MAGAZZINO!$B$2:$M$100000,5,FALSE)</f>
        <v/>
      </c>
      <c r="F1519" s="3">
        <f>+VLOOKUP($A1519,MAGAZZINO!$B$2:$M$100000,6,FALSE)</f>
        <v/>
      </c>
      <c r="G1519" s="3">
        <f>+VLOOKUP($A1519,MAGAZZINO!$B$2:$M$100000,7,FALSE)</f>
        <v/>
      </c>
      <c r="H1519" s="3">
        <f>+VLOOKUP($A1519,MAGAZZINO!$B$2:$M$100000,8,FALSE)</f>
        <v/>
      </c>
      <c r="I1519" s="3">
        <f>+VLOOKUP($A1519,MAGAZZINO!$B$2:$M$100000,9,FALSE)</f>
        <v/>
      </c>
      <c r="J1519" s="3">
        <f>+VLOOKUP($A1519,MAGAZZINO!$B$2:$M$100000,10,FALSE)</f>
        <v/>
      </c>
      <c r="K1519" s="3">
        <f>+VLOOKUP($A1519,MAGAZZINO!$B$2:$M$100000,11,FALSE)</f>
        <v/>
      </c>
      <c r="L1519" s="5">
        <f>+VLOOKUP($A1519,MAGAZZINO!$B$2:$M$100000,12,FALSE)</f>
        <v/>
      </c>
      <c r="M1519" s="47" t="n"/>
      <c r="N1519" s="88" t="n">
        <v>45873</v>
      </c>
      <c r="O1519" s="156" t="inlineStr">
        <is>
          <t>BIN HUMAID NATIONAL TRADING CO. (ARABIA SAUDITA)</t>
        </is>
      </c>
      <c r="P1519" s="152" t="inlineStr">
        <is>
          <t xml:space="preserve">  IMPORT LICENSE N. 182480  (END USER CERTIFICATE)                                                                      AUT. ESPORTAZIONE MULTIPLA N. 6B/2025/2M RILASCIATA IL 26/05/2025                        (LICENZA DI SCARICO N. 6B/2025/2S RILASCIATA IL 30/07/2025)</t>
        </is>
      </c>
      <c r="Q1519" s="150" t="n"/>
      <c r="R1519" s="150" t="n"/>
      <c r="S1519" s="153" t="n"/>
    </row>
    <row r="1520" ht="36" customHeight="1">
      <c r="A1520" s="46" t="n">
        <v>3850</v>
      </c>
      <c r="B1520" s="4">
        <f>+VLOOKUP($A1520,MAGAZZINO!$B$2:$M$100000,2,FALSE)</f>
        <v/>
      </c>
      <c r="C1520" s="29">
        <f>+VLOOKUP($A1520,MAGAZZINO!$B$2:$M$100000,3,FALSE)</f>
        <v/>
      </c>
      <c r="D1520" s="3">
        <f>+VLOOKUP($A1520,MAGAZZINO!$B$2:$M$100000,4,FALSE)</f>
        <v/>
      </c>
      <c r="E1520" s="3">
        <f>+VLOOKUP($A1520,MAGAZZINO!$B$2:$M$100000,5,FALSE)</f>
        <v/>
      </c>
      <c r="F1520" s="3">
        <f>+VLOOKUP($A1520,MAGAZZINO!$B$2:$M$100000,6,FALSE)</f>
        <v/>
      </c>
      <c r="G1520" s="3">
        <f>+VLOOKUP($A1520,MAGAZZINO!$B$2:$M$100000,7,FALSE)</f>
        <v/>
      </c>
      <c r="H1520" s="3">
        <f>+VLOOKUP($A1520,MAGAZZINO!$B$2:$M$100000,8,FALSE)</f>
        <v/>
      </c>
      <c r="I1520" s="3">
        <f>+VLOOKUP($A1520,MAGAZZINO!$B$2:$M$100000,9,FALSE)</f>
        <v/>
      </c>
      <c r="J1520" s="3">
        <f>+VLOOKUP($A1520,MAGAZZINO!$B$2:$M$100000,10,FALSE)</f>
        <v/>
      </c>
      <c r="K1520" s="3">
        <f>+VLOOKUP($A1520,MAGAZZINO!$B$2:$M$100000,11,FALSE)</f>
        <v/>
      </c>
      <c r="L1520" s="5">
        <f>+VLOOKUP($A1520,MAGAZZINO!$B$2:$M$100000,12,FALSE)</f>
        <v/>
      </c>
      <c r="M1520" s="47" t="n"/>
      <c r="N1520" s="88" t="n">
        <v>45873</v>
      </c>
      <c r="O1520" s="156" t="inlineStr">
        <is>
          <t>BIN HUMAID NATIONAL TRADING CO. (ARABIA SAUDITA)</t>
        </is>
      </c>
      <c r="P1520" s="152" t="inlineStr">
        <is>
          <t xml:space="preserve">  IMPORT LICENSE N. 182480  (END USER CERTIFICATE)                                                                      AUT. ESPORTAZIONE MULTIPLA N. 6B/2025/2M RILASCIATA IL 26/05/2025                        (LICENZA DI SCARICO N. 6B/2025/2S RILASCIATA IL 30/07/2025)</t>
        </is>
      </c>
      <c r="Q1520" s="150" t="n"/>
      <c r="R1520" s="150" t="n"/>
      <c r="S1520" s="153" t="n"/>
    </row>
    <row r="1521" ht="36" customHeight="1">
      <c r="A1521" s="46" t="n">
        <v>3851</v>
      </c>
      <c r="B1521" s="4">
        <f>+VLOOKUP($A1521,MAGAZZINO!$B$2:$M$100000,2,FALSE)</f>
        <v/>
      </c>
      <c r="C1521" s="29">
        <f>+VLOOKUP($A1521,MAGAZZINO!$B$2:$M$100000,3,FALSE)</f>
        <v/>
      </c>
      <c r="D1521" s="3">
        <f>+VLOOKUP($A1521,MAGAZZINO!$B$2:$M$100000,4,FALSE)</f>
        <v/>
      </c>
      <c r="E1521" s="3">
        <f>+VLOOKUP($A1521,MAGAZZINO!$B$2:$M$100000,5,FALSE)</f>
        <v/>
      </c>
      <c r="F1521" s="3">
        <f>+VLOOKUP($A1521,MAGAZZINO!$B$2:$M$100000,6,FALSE)</f>
        <v/>
      </c>
      <c r="G1521" s="3">
        <f>+VLOOKUP($A1521,MAGAZZINO!$B$2:$M$100000,7,FALSE)</f>
        <v/>
      </c>
      <c r="H1521" s="3">
        <f>+VLOOKUP($A1521,MAGAZZINO!$B$2:$M$100000,8,FALSE)</f>
        <v/>
      </c>
      <c r="I1521" s="3">
        <f>+VLOOKUP($A1521,MAGAZZINO!$B$2:$M$100000,9,FALSE)</f>
        <v/>
      </c>
      <c r="J1521" s="3">
        <f>+VLOOKUP($A1521,MAGAZZINO!$B$2:$M$100000,10,FALSE)</f>
        <v/>
      </c>
      <c r="K1521" s="3">
        <f>+VLOOKUP($A1521,MAGAZZINO!$B$2:$M$100000,11,FALSE)</f>
        <v/>
      </c>
      <c r="L1521" s="5">
        <f>+VLOOKUP($A1521,MAGAZZINO!$B$2:$M$100000,12,FALSE)</f>
        <v/>
      </c>
      <c r="M1521" s="47" t="n"/>
      <c r="N1521" s="88" t="n">
        <v>45873</v>
      </c>
      <c r="O1521" s="156" t="inlineStr">
        <is>
          <t>BIN HUMAID NATIONAL TRADING CO. (ARABIA SAUDITA)</t>
        </is>
      </c>
      <c r="P1521" s="152" t="inlineStr">
        <is>
          <t xml:space="preserve">  IMPORT LICENSE N. 182480  (END USER CERTIFICATE)                                                                      AUT. ESPORTAZIONE MULTIPLA N. 6B/2025/2M RILASCIATA IL 26/05/2025                        (LICENZA DI SCARICO N. 6B/2025/2S RILASCIATA IL 30/07/2025)</t>
        </is>
      </c>
      <c r="Q1521" s="150" t="n"/>
      <c r="R1521" s="150" t="n"/>
      <c r="S1521" s="153" t="n"/>
    </row>
    <row r="1522" ht="36" customHeight="1">
      <c r="A1522" s="46" t="n">
        <v>3852</v>
      </c>
      <c r="B1522" s="4">
        <f>+VLOOKUP($A1522,MAGAZZINO!$B$2:$M$100000,2,FALSE)</f>
        <v/>
      </c>
      <c r="C1522" s="29">
        <f>+VLOOKUP($A1522,MAGAZZINO!$B$2:$M$100000,3,FALSE)</f>
        <v/>
      </c>
      <c r="D1522" s="3">
        <f>+VLOOKUP($A1522,MAGAZZINO!$B$2:$M$100000,4,FALSE)</f>
        <v/>
      </c>
      <c r="E1522" s="3">
        <f>+VLOOKUP($A1522,MAGAZZINO!$B$2:$M$100000,5,FALSE)</f>
        <v/>
      </c>
      <c r="F1522" s="3">
        <f>+VLOOKUP($A1522,MAGAZZINO!$B$2:$M$100000,6,FALSE)</f>
        <v/>
      </c>
      <c r="G1522" s="3">
        <f>+VLOOKUP($A1522,MAGAZZINO!$B$2:$M$100000,7,FALSE)</f>
        <v/>
      </c>
      <c r="H1522" s="3">
        <f>+VLOOKUP($A1522,MAGAZZINO!$B$2:$M$100000,8,FALSE)</f>
        <v/>
      </c>
      <c r="I1522" s="3">
        <f>+VLOOKUP($A1522,MAGAZZINO!$B$2:$M$100000,9,FALSE)</f>
        <v/>
      </c>
      <c r="J1522" s="3">
        <f>+VLOOKUP($A1522,MAGAZZINO!$B$2:$M$100000,10,FALSE)</f>
        <v/>
      </c>
      <c r="K1522" s="3">
        <f>+VLOOKUP($A1522,MAGAZZINO!$B$2:$M$100000,11,FALSE)</f>
        <v/>
      </c>
      <c r="L1522" s="5">
        <f>+VLOOKUP($A1522,MAGAZZINO!$B$2:$M$100000,12,FALSE)</f>
        <v/>
      </c>
      <c r="M1522" s="47" t="n"/>
      <c r="N1522" s="88" t="n">
        <v>45873</v>
      </c>
      <c r="O1522" s="156" t="inlineStr">
        <is>
          <t>BIN HUMAID NATIONAL TRADING CO. (ARABIA SAUDITA)</t>
        </is>
      </c>
      <c r="P1522" s="152" t="inlineStr">
        <is>
          <t xml:space="preserve">  IMPORT LICENSE N. 182480  (END USER CERTIFICATE)                                                                      AUT. ESPORTAZIONE MULTIPLA N. 6B/2025/2M RILASCIATA IL 26/05/2025                        (LICENZA DI SCARICO N. 6B/2025/2S RILASCIATA IL 30/07/2025)</t>
        </is>
      </c>
      <c r="Q1522" s="150" t="n"/>
      <c r="R1522" s="150" t="n"/>
      <c r="S1522" s="153" t="n"/>
    </row>
    <row r="1523" ht="36" customHeight="1">
      <c r="A1523" s="46" t="n">
        <v>3853</v>
      </c>
      <c r="B1523" s="4">
        <f>+VLOOKUP($A1523,MAGAZZINO!$B$2:$M$100000,2,FALSE)</f>
        <v/>
      </c>
      <c r="C1523" s="29">
        <f>+VLOOKUP($A1523,MAGAZZINO!$B$2:$M$100000,3,FALSE)</f>
        <v/>
      </c>
      <c r="D1523" s="3">
        <f>+VLOOKUP($A1523,MAGAZZINO!$B$2:$M$100000,4,FALSE)</f>
        <v/>
      </c>
      <c r="E1523" s="3">
        <f>+VLOOKUP($A1523,MAGAZZINO!$B$2:$M$100000,5,FALSE)</f>
        <v/>
      </c>
      <c r="F1523" s="3">
        <f>+VLOOKUP($A1523,MAGAZZINO!$B$2:$M$100000,6,FALSE)</f>
        <v/>
      </c>
      <c r="G1523" s="3">
        <f>+VLOOKUP($A1523,MAGAZZINO!$B$2:$M$100000,7,FALSE)</f>
        <v/>
      </c>
      <c r="H1523" s="3">
        <f>+VLOOKUP($A1523,MAGAZZINO!$B$2:$M$100000,8,FALSE)</f>
        <v/>
      </c>
      <c r="I1523" s="3">
        <f>+VLOOKUP($A1523,MAGAZZINO!$B$2:$M$100000,9,FALSE)</f>
        <v/>
      </c>
      <c r="J1523" s="3">
        <f>+VLOOKUP($A1523,MAGAZZINO!$B$2:$M$100000,10,FALSE)</f>
        <v/>
      </c>
      <c r="K1523" s="3">
        <f>+VLOOKUP($A1523,MAGAZZINO!$B$2:$M$100000,11,FALSE)</f>
        <v/>
      </c>
      <c r="L1523" s="5">
        <f>+VLOOKUP($A1523,MAGAZZINO!$B$2:$M$100000,12,FALSE)</f>
        <v/>
      </c>
      <c r="M1523" s="47" t="n"/>
      <c r="N1523" s="88" t="n">
        <v>45873</v>
      </c>
      <c r="O1523" s="156" t="inlineStr">
        <is>
          <t>BIN HUMAID NATIONAL TRADING CO. (ARABIA SAUDITA)</t>
        </is>
      </c>
      <c r="P1523" s="152" t="inlineStr">
        <is>
          <t xml:space="preserve">  IMPORT LICENSE N. 182480  (END USER CERTIFICATE)                                                                      AUT. ESPORTAZIONE MULTIPLA N. 6B/2025/2M RILASCIATA IL 26/05/2025                        (LICENZA DI SCARICO N. 6B/2025/2S RILASCIATA IL 30/07/2025)</t>
        </is>
      </c>
      <c r="Q1523" s="150" t="n"/>
      <c r="R1523" s="150" t="n"/>
      <c r="S1523" s="153" t="n"/>
    </row>
    <row r="1524" ht="36" customHeight="1">
      <c r="A1524" s="46" t="n">
        <v>3854</v>
      </c>
      <c r="B1524" s="4">
        <f>+VLOOKUP($A1524,MAGAZZINO!$B$2:$M$100000,2,FALSE)</f>
        <v/>
      </c>
      <c r="C1524" s="29">
        <f>+VLOOKUP($A1524,MAGAZZINO!$B$2:$M$100000,3,FALSE)</f>
        <v/>
      </c>
      <c r="D1524" s="3">
        <f>+VLOOKUP($A1524,MAGAZZINO!$B$2:$M$100000,4,FALSE)</f>
        <v/>
      </c>
      <c r="E1524" s="3">
        <f>+VLOOKUP($A1524,MAGAZZINO!$B$2:$M$100000,5,FALSE)</f>
        <v/>
      </c>
      <c r="F1524" s="3">
        <f>+VLOOKUP($A1524,MAGAZZINO!$B$2:$M$100000,6,FALSE)</f>
        <v/>
      </c>
      <c r="G1524" s="3">
        <f>+VLOOKUP($A1524,MAGAZZINO!$B$2:$M$100000,7,FALSE)</f>
        <v/>
      </c>
      <c r="H1524" s="3">
        <f>+VLOOKUP($A1524,MAGAZZINO!$B$2:$M$100000,8,FALSE)</f>
        <v/>
      </c>
      <c r="I1524" s="3">
        <f>+VLOOKUP($A1524,MAGAZZINO!$B$2:$M$100000,9,FALSE)</f>
        <v/>
      </c>
      <c r="J1524" s="3">
        <f>+VLOOKUP($A1524,MAGAZZINO!$B$2:$M$100000,10,FALSE)</f>
        <v/>
      </c>
      <c r="K1524" s="3">
        <f>+VLOOKUP($A1524,MAGAZZINO!$B$2:$M$100000,11,FALSE)</f>
        <v/>
      </c>
      <c r="L1524" s="5">
        <f>+VLOOKUP($A1524,MAGAZZINO!$B$2:$M$100000,12,FALSE)</f>
        <v/>
      </c>
      <c r="M1524" s="47" t="n"/>
      <c r="N1524" s="88" t="n">
        <v>45873</v>
      </c>
      <c r="O1524" s="156" t="inlineStr">
        <is>
          <t>BIN HUMAID NATIONAL TRADING CO. (ARABIA SAUDITA)</t>
        </is>
      </c>
      <c r="P1524" s="152" t="inlineStr">
        <is>
          <t xml:space="preserve">  IMPORT LICENSE N. 182480  (END USER CERTIFICATE)                                                                      AUT. ESPORTAZIONE MULTIPLA N. 6B/2025/2M RILASCIATA IL 26/05/2025                        (LICENZA DI SCARICO N. 6B/2025/2S RILASCIATA IL 30/07/2025)</t>
        </is>
      </c>
      <c r="Q1524" s="150" t="n"/>
      <c r="R1524" s="150" t="n"/>
      <c r="S1524" s="153" t="n"/>
    </row>
    <row r="1525" ht="36" customHeight="1">
      <c r="A1525" s="46" t="n">
        <v>3855</v>
      </c>
      <c r="B1525" s="4">
        <f>+VLOOKUP($A1525,MAGAZZINO!$B$2:$M$100000,2,FALSE)</f>
        <v/>
      </c>
      <c r="C1525" s="29">
        <f>+VLOOKUP($A1525,MAGAZZINO!$B$2:$M$100000,3,FALSE)</f>
        <v/>
      </c>
      <c r="D1525" s="3">
        <f>+VLOOKUP($A1525,MAGAZZINO!$B$2:$M$100000,4,FALSE)</f>
        <v/>
      </c>
      <c r="E1525" s="3">
        <f>+VLOOKUP($A1525,MAGAZZINO!$B$2:$M$100000,5,FALSE)</f>
        <v/>
      </c>
      <c r="F1525" s="3">
        <f>+VLOOKUP($A1525,MAGAZZINO!$B$2:$M$100000,6,FALSE)</f>
        <v/>
      </c>
      <c r="G1525" s="3">
        <f>+VLOOKUP($A1525,MAGAZZINO!$B$2:$M$100000,7,FALSE)</f>
        <v/>
      </c>
      <c r="H1525" s="3">
        <f>+VLOOKUP($A1525,MAGAZZINO!$B$2:$M$100000,8,FALSE)</f>
        <v/>
      </c>
      <c r="I1525" s="3">
        <f>+VLOOKUP($A1525,MAGAZZINO!$B$2:$M$100000,9,FALSE)</f>
        <v/>
      </c>
      <c r="J1525" s="3">
        <f>+VLOOKUP($A1525,MAGAZZINO!$B$2:$M$100000,10,FALSE)</f>
        <v/>
      </c>
      <c r="K1525" s="3">
        <f>+VLOOKUP($A1525,MAGAZZINO!$B$2:$M$100000,11,FALSE)</f>
        <v/>
      </c>
      <c r="L1525" s="5">
        <f>+VLOOKUP($A1525,MAGAZZINO!$B$2:$M$100000,12,FALSE)</f>
        <v/>
      </c>
      <c r="M1525" s="47" t="n"/>
      <c r="N1525" s="88" t="n">
        <v>45873</v>
      </c>
      <c r="O1525" s="156" t="inlineStr">
        <is>
          <t>BIN HUMAID NATIONAL TRADING CO. (ARABIA SAUDITA)</t>
        </is>
      </c>
      <c r="P1525" s="152" t="inlineStr">
        <is>
          <t xml:space="preserve">  IMPORT LICENSE N. 182480  (END USER CERTIFICATE)                                                                      AUT. ESPORTAZIONE MULTIPLA N. 6B/2025/2M RILASCIATA IL 26/05/2025                        (LICENZA DI SCARICO N. 6B/2025/2S RILASCIATA IL 30/07/2025)</t>
        </is>
      </c>
      <c r="Q1525" s="150" t="n"/>
      <c r="R1525" s="150" t="n"/>
      <c r="S1525" s="153" t="n"/>
    </row>
    <row r="1526" ht="36" customHeight="1">
      <c r="A1526" s="46" t="n">
        <v>3856</v>
      </c>
      <c r="B1526" s="4">
        <f>+VLOOKUP($A1526,MAGAZZINO!$B$2:$M$100000,2,FALSE)</f>
        <v/>
      </c>
      <c r="C1526" s="29">
        <f>+VLOOKUP($A1526,MAGAZZINO!$B$2:$M$100000,3,FALSE)</f>
        <v/>
      </c>
      <c r="D1526" s="3">
        <f>+VLOOKUP($A1526,MAGAZZINO!$B$2:$M$100000,4,FALSE)</f>
        <v/>
      </c>
      <c r="E1526" s="3">
        <f>+VLOOKUP($A1526,MAGAZZINO!$B$2:$M$100000,5,FALSE)</f>
        <v/>
      </c>
      <c r="F1526" s="3">
        <f>+VLOOKUP($A1526,MAGAZZINO!$B$2:$M$100000,6,FALSE)</f>
        <v/>
      </c>
      <c r="G1526" s="3">
        <f>+VLOOKUP($A1526,MAGAZZINO!$B$2:$M$100000,7,FALSE)</f>
        <v/>
      </c>
      <c r="H1526" s="3">
        <f>+VLOOKUP($A1526,MAGAZZINO!$B$2:$M$100000,8,FALSE)</f>
        <v/>
      </c>
      <c r="I1526" s="3">
        <f>+VLOOKUP($A1526,MAGAZZINO!$B$2:$M$100000,9,FALSE)</f>
        <v/>
      </c>
      <c r="J1526" s="3">
        <f>+VLOOKUP($A1526,MAGAZZINO!$B$2:$M$100000,10,FALSE)</f>
        <v/>
      </c>
      <c r="K1526" s="3">
        <f>+VLOOKUP($A1526,MAGAZZINO!$B$2:$M$100000,11,FALSE)</f>
        <v/>
      </c>
      <c r="L1526" s="5">
        <f>+VLOOKUP($A1526,MAGAZZINO!$B$2:$M$100000,12,FALSE)</f>
        <v/>
      </c>
      <c r="M1526" s="47" t="n"/>
      <c r="N1526" s="88" t="n">
        <v>45873</v>
      </c>
      <c r="O1526" s="156" t="inlineStr">
        <is>
          <t>BIN HUMAID NATIONAL TRADING CO. (ARABIA SAUDITA)</t>
        </is>
      </c>
      <c r="P1526" s="152" t="inlineStr">
        <is>
          <t xml:space="preserve">  IMPORT LICENSE N. 182480  (END USER CERTIFICATE)                                                                      AUT. ESPORTAZIONE MULTIPLA N. 6B/2025/2M RILASCIATA IL 26/05/2025                        (LICENZA DI SCARICO N. 6B/2025/2S RILASCIATA IL 30/07/2025)</t>
        </is>
      </c>
      <c r="Q1526" s="150" t="n"/>
      <c r="R1526" s="150" t="n"/>
      <c r="S1526" s="153" t="n"/>
    </row>
    <row r="1527" ht="36" customHeight="1">
      <c r="A1527" s="46" t="n">
        <v>3857</v>
      </c>
      <c r="B1527" s="4">
        <f>+VLOOKUP($A1527,MAGAZZINO!$B$2:$M$100000,2,FALSE)</f>
        <v/>
      </c>
      <c r="C1527" s="29">
        <f>+VLOOKUP($A1527,MAGAZZINO!$B$2:$M$100000,3,FALSE)</f>
        <v/>
      </c>
      <c r="D1527" s="3">
        <f>+VLOOKUP($A1527,MAGAZZINO!$B$2:$M$100000,4,FALSE)</f>
        <v/>
      </c>
      <c r="E1527" s="3">
        <f>+VLOOKUP($A1527,MAGAZZINO!$B$2:$M$100000,5,FALSE)</f>
        <v/>
      </c>
      <c r="F1527" s="3">
        <f>+VLOOKUP($A1527,MAGAZZINO!$B$2:$M$100000,6,FALSE)</f>
        <v/>
      </c>
      <c r="G1527" s="3">
        <f>+VLOOKUP($A1527,MAGAZZINO!$B$2:$M$100000,7,FALSE)</f>
        <v/>
      </c>
      <c r="H1527" s="3">
        <f>+VLOOKUP($A1527,MAGAZZINO!$B$2:$M$100000,8,FALSE)</f>
        <v/>
      </c>
      <c r="I1527" s="3">
        <f>+VLOOKUP($A1527,MAGAZZINO!$B$2:$M$100000,9,FALSE)</f>
        <v/>
      </c>
      <c r="J1527" s="3">
        <f>+VLOOKUP($A1527,MAGAZZINO!$B$2:$M$100000,10,FALSE)</f>
        <v/>
      </c>
      <c r="K1527" s="3">
        <f>+VLOOKUP($A1527,MAGAZZINO!$B$2:$M$100000,11,FALSE)</f>
        <v/>
      </c>
      <c r="L1527" s="5">
        <f>+VLOOKUP($A1527,MAGAZZINO!$B$2:$M$100000,12,FALSE)</f>
        <v/>
      </c>
      <c r="M1527" s="47" t="n"/>
      <c r="N1527" s="88" t="n">
        <v>45873</v>
      </c>
      <c r="O1527" s="156" t="inlineStr">
        <is>
          <t>BIN HUMAID NATIONAL TRADING CO. (ARABIA SAUDITA)</t>
        </is>
      </c>
      <c r="P1527" s="152" t="inlineStr">
        <is>
          <t xml:space="preserve">  IMPORT LICENSE N. 182480  (END USER CERTIFICATE)                                                                      AUT. ESPORTAZIONE MULTIPLA N. 6B/2025/2M RILASCIATA IL 26/05/2025                        (LICENZA DI SCARICO N. 6B/2025/2S RILASCIATA IL 30/07/2025)</t>
        </is>
      </c>
      <c r="Q1527" s="150" t="n"/>
      <c r="R1527" s="150" t="n"/>
      <c r="S1527" s="153" t="n"/>
    </row>
    <row r="1528" ht="36" customHeight="1">
      <c r="A1528" s="46" t="n">
        <v>3858</v>
      </c>
      <c r="B1528" s="4">
        <f>+VLOOKUP($A1528,MAGAZZINO!$B$2:$M$100000,2,FALSE)</f>
        <v/>
      </c>
      <c r="C1528" s="29">
        <f>+VLOOKUP($A1528,MAGAZZINO!$B$2:$M$100000,3,FALSE)</f>
        <v/>
      </c>
      <c r="D1528" s="3">
        <f>+VLOOKUP($A1528,MAGAZZINO!$B$2:$M$100000,4,FALSE)</f>
        <v/>
      </c>
      <c r="E1528" s="3">
        <f>+VLOOKUP($A1528,MAGAZZINO!$B$2:$M$100000,5,FALSE)</f>
        <v/>
      </c>
      <c r="F1528" s="3">
        <f>+VLOOKUP($A1528,MAGAZZINO!$B$2:$M$100000,6,FALSE)</f>
        <v/>
      </c>
      <c r="G1528" s="3">
        <f>+VLOOKUP($A1528,MAGAZZINO!$B$2:$M$100000,7,FALSE)</f>
        <v/>
      </c>
      <c r="H1528" s="3">
        <f>+VLOOKUP($A1528,MAGAZZINO!$B$2:$M$100000,8,FALSE)</f>
        <v/>
      </c>
      <c r="I1528" s="3">
        <f>+VLOOKUP($A1528,MAGAZZINO!$B$2:$M$100000,9,FALSE)</f>
        <v/>
      </c>
      <c r="J1528" s="3">
        <f>+VLOOKUP($A1528,MAGAZZINO!$B$2:$M$100000,10,FALSE)</f>
        <v/>
      </c>
      <c r="K1528" s="3">
        <f>+VLOOKUP($A1528,MAGAZZINO!$B$2:$M$100000,11,FALSE)</f>
        <v/>
      </c>
      <c r="L1528" s="5">
        <f>+VLOOKUP($A1528,MAGAZZINO!$B$2:$M$100000,12,FALSE)</f>
        <v/>
      </c>
      <c r="M1528" s="47" t="n"/>
      <c r="N1528" s="88" t="n">
        <v>45873</v>
      </c>
      <c r="O1528" s="156" t="inlineStr">
        <is>
          <t>BIN HUMAID NATIONAL TRADING CO. (ARABIA SAUDITA)</t>
        </is>
      </c>
      <c r="P1528" s="152" t="inlineStr">
        <is>
          <t xml:space="preserve">  IMPORT LICENSE N. 182480  (END USER CERTIFICATE)                                                                      AUT. ESPORTAZIONE MULTIPLA N. 6B/2025/2M RILASCIATA IL 26/05/2025                        (LICENZA DI SCARICO N. 6B/2025/2S RILASCIATA IL 30/07/2025)</t>
        </is>
      </c>
      <c r="Q1528" s="150" t="n"/>
      <c r="R1528" s="150" t="n"/>
      <c r="S1528" s="153" t="n"/>
    </row>
    <row r="1529" ht="36" customHeight="1">
      <c r="A1529" s="46" t="n">
        <v>3859</v>
      </c>
      <c r="B1529" s="4">
        <f>+VLOOKUP($A1529,MAGAZZINO!$B$2:$M$100000,2,FALSE)</f>
        <v/>
      </c>
      <c r="C1529" s="29">
        <f>+VLOOKUP($A1529,MAGAZZINO!$B$2:$M$100000,3,FALSE)</f>
        <v/>
      </c>
      <c r="D1529" s="3">
        <f>+VLOOKUP($A1529,MAGAZZINO!$B$2:$M$100000,4,FALSE)</f>
        <v/>
      </c>
      <c r="E1529" s="3">
        <f>+VLOOKUP($A1529,MAGAZZINO!$B$2:$M$100000,5,FALSE)</f>
        <v/>
      </c>
      <c r="F1529" s="3">
        <f>+VLOOKUP($A1529,MAGAZZINO!$B$2:$M$100000,6,FALSE)</f>
        <v/>
      </c>
      <c r="G1529" s="3">
        <f>+VLOOKUP($A1529,MAGAZZINO!$B$2:$M$100000,7,FALSE)</f>
        <v/>
      </c>
      <c r="H1529" s="3">
        <f>+VLOOKUP($A1529,MAGAZZINO!$B$2:$M$100000,8,FALSE)</f>
        <v/>
      </c>
      <c r="I1529" s="3">
        <f>+VLOOKUP($A1529,MAGAZZINO!$B$2:$M$100000,9,FALSE)</f>
        <v/>
      </c>
      <c r="J1529" s="3">
        <f>+VLOOKUP($A1529,MAGAZZINO!$B$2:$M$100000,10,FALSE)</f>
        <v/>
      </c>
      <c r="K1529" s="3">
        <f>+VLOOKUP($A1529,MAGAZZINO!$B$2:$M$100000,11,FALSE)</f>
        <v/>
      </c>
      <c r="L1529" s="5">
        <f>+VLOOKUP($A1529,MAGAZZINO!$B$2:$M$100000,12,FALSE)</f>
        <v/>
      </c>
      <c r="M1529" s="47" t="n"/>
      <c r="N1529" s="88" t="n">
        <v>45873</v>
      </c>
      <c r="O1529" s="156" t="inlineStr">
        <is>
          <t>BIN HUMAID NATIONAL TRADING CO. (ARABIA SAUDITA)</t>
        </is>
      </c>
      <c r="P1529" s="152" t="inlineStr">
        <is>
          <t xml:space="preserve">  IMPORT LICENSE N. 182480  (END USER CERTIFICATE)                                                                      AUT. ESPORTAZIONE MULTIPLA N. 6B/2025/2M RILASCIATA IL 26/05/2025                        (LICENZA DI SCARICO N. 6B/2025/2S RILASCIATA IL 30/07/2025)</t>
        </is>
      </c>
      <c r="Q1529" s="150" t="n"/>
      <c r="R1529" s="150" t="n"/>
      <c r="S1529" s="153" t="n"/>
    </row>
    <row r="1530" ht="36" customHeight="1">
      <c r="A1530" s="46" t="n">
        <v>3860</v>
      </c>
      <c r="B1530" s="4">
        <f>+VLOOKUP($A1530,MAGAZZINO!$B$2:$M$100000,2,FALSE)</f>
        <v/>
      </c>
      <c r="C1530" s="29">
        <f>+VLOOKUP($A1530,MAGAZZINO!$B$2:$M$100000,3,FALSE)</f>
        <v/>
      </c>
      <c r="D1530" s="3">
        <f>+VLOOKUP($A1530,MAGAZZINO!$B$2:$M$100000,4,FALSE)</f>
        <v/>
      </c>
      <c r="E1530" s="3">
        <f>+VLOOKUP($A1530,MAGAZZINO!$B$2:$M$100000,5,FALSE)</f>
        <v/>
      </c>
      <c r="F1530" s="3">
        <f>+VLOOKUP($A1530,MAGAZZINO!$B$2:$M$100000,6,FALSE)</f>
        <v/>
      </c>
      <c r="G1530" s="3">
        <f>+VLOOKUP($A1530,MAGAZZINO!$B$2:$M$100000,7,FALSE)</f>
        <v/>
      </c>
      <c r="H1530" s="3">
        <f>+VLOOKUP($A1530,MAGAZZINO!$B$2:$M$100000,8,FALSE)</f>
        <v/>
      </c>
      <c r="I1530" s="3">
        <f>+VLOOKUP($A1530,MAGAZZINO!$B$2:$M$100000,9,FALSE)</f>
        <v/>
      </c>
      <c r="J1530" s="3">
        <f>+VLOOKUP($A1530,MAGAZZINO!$B$2:$M$100000,10,FALSE)</f>
        <v/>
      </c>
      <c r="K1530" s="3">
        <f>+VLOOKUP($A1530,MAGAZZINO!$B$2:$M$100000,11,FALSE)</f>
        <v/>
      </c>
      <c r="L1530" s="5">
        <f>+VLOOKUP($A1530,MAGAZZINO!$B$2:$M$100000,12,FALSE)</f>
        <v/>
      </c>
      <c r="M1530" s="47" t="n"/>
      <c r="N1530" s="88" t="n">
        <v>45873</v>
      </c>
      <c r="O1530" s="156" t="inlineStr">
        <is>
          <t>BIN HUMAID NATIONAL TRADING CO. (ARABIA SAUDITA)</t>
        </is>
      </c>
      <c r="P1530" s="152" t="inlineStr">
        <is>
          <t xml:space="preserve">  IMPORT LICENSE N. 182480  (END USER CERTIFICATE)                                                                      AUT. ESPORTAZIONE MULTIPLA N. 6B/2025/2M RILASCIATA IL 26/05/2025                        (LICENZA DI SCARICO N. 6B/2025/2S RILASCIATA IL 30/07/2025)</t>
        </is>
      </c>
      <c r="Q1530" s="150" t="n"/>
      <c r="R1530" s="150" t="n"/>
      <c r="S1530" s="153" t="n"/>
    </row>
    <row r="1531" ht="36" customHeight="1">
      <c r="A1531" s="46" t="n">
        <v>3861</v>
      </c>
      <c r="B1531" s="4">
        <f>+VLOOKUP($A1531,MAGAZZINO!$B$2:$M$100000,2,FALSE)</f>
        <v/>
      </c>
      <c r="C1531" s="29">
        <f>+VLOOKUP($A1531,MAGAZZINO!$B$2:$M$100000,3,FALSE)</f>
        <v/>
      </c>
      <c r="D1531" s="3">
        <f>+VLOOKUP($A1531,MAGAZZINO!$B$2:$M$100000,4,FALSE)</f>
        <v/>
      </c>
      <c r="E1531" s="3">
        <f>+VLOOKUP($A1531,MAGAZZINO!$B$2:$M$100000,5,FALSE)</f>
        <v/>
      </c>
      <c r="F1531" s="3">
        <f>+VLOOKUP($A1531,MAGAZZINO!$B$2:$M$100000,6,FALSE)</f>
        <v/>
      </c>
      <c r="G1531" s="3">
        <f>+VLOOKUP($A1531,MAGAZZINO!$B$2:$M$100000,7,FALSE)</f>
        <v/>
      </c>
      <c r="H1531" s="3">
        <f>+VLOOKUP($A1531,MAGAZZINO!$B$2:$M$100000,8,FALSE)</f>
        <v/>
      </c>
      <c r="I1531" s="3">
        <f>+VLOOKUP($A1531,MAGAZZINO!$B$2:$M$100000,9,FALSE)</f>
        <v/>
      </c>
      <c r="J1531" s="3">
        <f>+VLOOKUP($A1531,MAGAZZINO!$B$2:$M$100000,10,FALSE)</f>
        <v/>
      </c>
      <c r="K1531" s="3">
        <f>+VLOOKUP($A1531,MAGAZZINO!$B$2:$M$100000,11,FALSE)</f>
        <v/>
      </c>
      <c r="L1531" s="5">
        <f>+VLOOKUP($A1531,MAGAZZINO!$B$2:$M$100000,12,FALSE)</f>
        <v/>
      </c>
      <c r="M1531" s="47" t="n"/>
      <c r="N1531" s="88" t="n">
        <v>45873</v>
      </c>
      <c r="O1531" s="156" t="inlineStr">
        <is>
          <t>BIN HUMAID NATIONAL TRADING CO. (ARABIA SAUDITA)</t>
        </is>
      </c>
      <c r="P1531" s="152" t="inlineStr">
        <is>
          <t xml:space="preserve">  IMPORT LICENSE N. 182480  (END USER CERTIFICATE)                                                                      AUT. ESPORTAZIONE MULTIPLA N. 6B/2025/2M RILASCIATA IL 26/05/2025                        (LICENZA DI SCARICO N. 6B/2025/2S RILASCIATA IL 30/07/2025)</t>
        </is>
      </c>
      <c r="Q1531" s="150" t="n"/>
      <c r="R1531" s="150" t="n"/>
      <c r="S1531" s="153" t="n"/>
    </row>
    <row r="1532" ht="36" customHeight="1">
      <c r="A1532" s="46" t="n">
        <v>3862</v>
      </c>
      <c r="B1532" s="4">
        <f>+VLOOKUP($A1532,MAGAZZINO!$B$2:$M$100000,2,FALSE)</f>
        <v/>
      </c>
      <c r="C1532" s="29">
        <f>+VLOOKUP($A1532,MAGAZZINO!$B$2:$M$100000,3,FALSE)</f>
        <v/>
      </c>
      <c r="D1532" s="3">
        <f>+VLOOKUP($A1532,MAGAZZINO!$B$2:$M$100000,4,FALSE)</f>
        <v/>
      </c>
      <c r="E1532" s="3">
        <f>+VLOOKUP($A1532,MAGAZZINO!$B$2:$M$100000,5,FALSE)</f>
        <v/>
      </c>
      <c r="F1532" s="3">
        <f>+VLOOKUP($A1532,MAGAZZINO!$B$2:$M$100000,6,FALSE)</f>
        <v/>
      </c>
      <c r="G1532" s="3">
        <f>+VLOOKUP($A1532,MAGAZZINO!$B$2:$M$100000,7,FALSE)</f>
        <v/>
      </c>
      <c r="H1532" s="3">
        <f>+VLOOKUP($A1532,MAGAZZINO!$B$2:$M$100000,8,FALSE)</f>
        <v/>
      </c>
      <c r="I1532" s="3">
        <f>+VLOOKUP($A1532,MAGAZZINO!$B$2:$M$100000,9,FALSE)</f>
        <v/>
      </c>
      <c r="J1532" s="3">
        <f>+VLOOKUP($A1532,MAGAZZINO!$B$2:$M$100000,10,FALSE)</f>
        <v/>
      </c>
      <c r="K1532" s="3">
        <f>+VLOOKUP($A1532,MAGAZZINO!$B$2:$M$100000,11,FALSE)</f>
        <v/>
      </c>
      <c r="L1532" s="5">
        <f>+VLOOKUP($A1532,MAGAZZINO!$B$2:$M$100000,12,FALSE)</f>
        <v/>
      </c>
      <c r="M1532" s="47" t="n"/>
      <c r="N1532" s="88" t="n">
        <v>45873</v>
      </c>
      <c r="O1532" s="156" t="inlineStr">
        <is>
          <t>BIN HUMAID NATIONAL TRADING CO. (ARABIA SAUDITA)</t>
        </is>
      </c>
      <c r="P1532" s="152" t="inlineStr">
        <is>
          <t xml:space="preserve">  IMPORT LICENSE N. 182480  (END USER CERTIFICATE)                                                                      AUT. ESPORTAZIONE MULTIPLA N. 6B/2025/2M RILASCIATA IL 26/05/2025                        (LICENZA DI SCARICO N. 6B/2025/2S RILASCIATA IL 30/07/2025)</t>
        </is>
      </c>
      <c r="Q1532" s="150" t="n"/>
      <c r="R1532" s="150" t="n"/>
      <c r="S1532" s="153" t="n"/>
    </row>
    <row r="1533" ht="36" customHeight="1">
      <c r="A1533" s="46" t="n">
        <v>3863</v>
      </c>
      <c r="B1533" s="4">
        <f>+VLOOKUP($A1533,MAGAZZINO!$B$2:$M$100000,2,FALSE)</f>
        <v/>
      </c>
      <c r="C1533" s="29">
        <f>+VLOOKUP($A1533,MAGAZZINO!$B$2:$M$100000,3,FALSE)</f>
        <v/>
      </c>
      <c r="D1533" s="3">
        <f>+VLOOKUP($A1533,MAGAZZINO!$B$2:$M$100000,4,FALSE)</f>
        <v/>
      </c>
      <c r="E1533" s="3">
        <f>+VLOOKUP($A1533,MAGAZZINO!$B$2:$M$100000,5,FALSE)</f>
        <v/>
      </c>
      <c r="F1533" s="3">
        <f>+VLOOKUP($A1533,MAGAZZINO!$B$2:$M$100000,6,FALSE)</f>
        <v/>
      </c>
      <c r="G1533" s="3">
        <f>+VLOOKUP($A1533,MAGAZZINO!$B$2:$M$100000,7,FALSE)</f>
        <v/>
      </c>
      <c r="H1533" s="3">
        <f>+VLOOKUP($A1533,MAGAZZINO!$B$2:$M$100000,8,FALSE)</f>
        <v/>
      </c>
      <c r="I1533" s="3">
        <f>+VLOOKUP($A1533,MAGAZZINO!$B$2:$M$100000,9,FALSE)</f>
        <v/>
      </c>
      <c r="J1533" s="3">
        <f>+VLOOKUP($A1533,MAGAZZINO!$B$2:$M$100000,10,FALSE)</f>
        <v/>
      </c>
      <c r="K1533" s="3">
        <f>+VLOOKUP($A1533,MAGAZZINO!$B$2:$M$100000,11,FALSE)</f>
        <v/>
      </c>
      <c r="L1533" s="5">
        <f>+VLOOKUP($A1533,MAGAZZINO!$B$2:$M$100000,12,FALSE)</f>
        <v/>
      </c>
      <c r="M1533" s="47" t="n"/>
      <c r="N1533" s="88" t="n">
        <v>45873</v>
      </c>
      <c r="O1533" s="156" t="inlineStr">
        <is>
          <t>BIN HUMAID NATIONAL TRADING CO. (ARABIA SAUDITA)</t>
        </is>
      </c>
      <c r="P1533" s="152" t="inlineStr">
        <is>
          <t xml:space="preserve">  IMPORT LICENSE N. 182480  (END USER CERTIFICATE)                                                                      AUT. ESPORTAZIONE MULTIPLA N. 6B/2025/2M RILASCIATA IL 26/05/2025                        (LICENZA DI SCARICO N. 6B/2025/2S RILASCIATA IL 30/07/2025)</t>
        </is>
      </c>
      <c r="Q1533" s="150" t="n"/>
      <c r="R1533" s="150" t="n"/>
      <c r="S1533" s="153" t="n"/>
    </row>
    <row r="1534" ht="36" customHeight="1">
      <c r="A1534" s="46" t="n">
        <v>3864</v>
      </c>
      <c r="B1534" s="4">
        <f>+VLOOKUP($A1534,MAGAZZINO!$B$2:$M$100000,2,FALSE)</f>
        <v/>
      </c>
      <c r="C1534" s="29">
        <f>+VLOOKUP($A1534,MAGAZZINO!$B$2:$M$100000,3,FALSE)</f>
        <v/>
      </c>
      <c r="D1534" s="3">
        <f>+VLOOKUP($A1534,MAGAZZINO!$B$2:$M$100000,4,FALSE)</f>
        <v/>
      </c>
      <c r="E1534" s="3">
        <f>+VLOOKUP($A1534,MAGAZZINO!$B$2:$M$100000,5,FALSE)</f>
        <v/>
      </c>
      <c r="F1534" s="3">
        <f>+VLOOKUP($A1534,MAGAZZINO!$B$2:$M$100000,6,FALSE)</f>
        <v/>
      </c>
      <c r="G1534" s="3">
        <f>+VLOOKUP($A1534,MAGAZZINO!$B$2:$M$100000,7,FALSE)</f>
        <v/>
      </c>
      <c r="H1534" s="3">
        <f>+VLOOKUP($A1534,MAGAZZINO!$B$2:$M$100000,8,FALSE)</f>
        <v/>
      </c>
      <c r="I1534" s="3">
        <f>+VLOOKUP($A1534,MAGAZZINO!$B$2:$M$100000,9,FALSE)</f>
        <v/>
      </c>
      <c r="J1534" s="3">
        <f>+VLOOKUP($A1534,MAGAZZINO!$B$2:$M$100000,10,FALSE)</f>
        <v/>
      </c>
      <c r="K1534" s="3">
        <f>+VLOOKUP($A1534,MAGAZZINO!$B$2:$M$100000,11,FALSE)</f>
        <v/>
      </c>
      <c r="L1534" s="5">
        <f>+VLOOKUP($A1534,MAGAZZINO!$B$2:$M$100000,12,FALSE)</f>
        <v/>
      </c>
      <c r="M1534" s="47" t="n"/>
      <c r="N1534" s="88" t="n">
        <v>45873</v>
      </c>
      <c r="O1534" s="156" t="inlineStr">
        <is>
          <t>BIN HUMAID NATIONAL TRADING CO. (ARABIA SAUDITA)</t>
        </is>
      </c>
      <c r="P1534" s="152" t="inlineStr">
        <is>
          <t xml:space="preserve">  IMPORT LICENSE N. 182480  (END USER CERTIFICATE)                                                                      AUT. ESPORTAZIONE MULTIPLA N. 6B/2025/2M RILASCIATA IL 26/05/2025                        (LICENZA DI SCARICO N. 6B/2025/2S RILASCIATA IL 30/07/2025)</t>
        </is>
      </c>
      <c r="Q1534" s="150" t="n"/>
      <c r="R1534" s="150" t="n"/>
      <c r="S1534" s="153" t="n"/>
    </row>
    <row r="1535" ht="36" customHeight="1">
      <c r="A1535" s="46" t="n">
        <v>3865</v>
      </c>
      <c r="B1535" s="4">
        <f>+VLOOKUP($A1535,MAGAZZINO!$B$2:$M$100000,2,FALSE)</f>
        <v/>
      </c>
      <c r="C1535" s="29">
        <f>+VLOOKUP($A1535,MAGAZZINO!$B$2:$M$100000,3,FALSE)</f>
        <v/>
      </c>
      <c r="D1535" s="3">
        <f>+VLOOKUP($A1535,MAGAZZINO!$B$2:$M$100000,4,FALSE)</f>
        <v/>
      </c>
      <c r="E1535" s="3">
        <f>+VLOOKUP($A1535,MAGAZZINO!$B$2:$M$100000,5,FALSE)</f>
        <v/>
      </c>
      <c r="F1535" s="3">
        <f>+VLOOKUP($A1535,MAGAZZINO!$B$2:$M$100000,6,FALSE)</f>
        <v/>
      </c>
      <c r="G1535" s="3">
        <f>+VLOOKUP($A1535,MAGAZZINO!$B$2:$M$100000,7,FALSE)</f>
        <v/>
      </c>
      <c r="H1535" s="3">
        <f>+VLOOKUP($A1535,MAGAZZINO!$B$2:$M$100000,8,FALSE)</f>
        <v/>
      </c>
      <c r="I1535" s="3">
        <f>+VLOOKUP($A1535,MAGAZZINO!$B$2:$M$100000,9,FALSE)</f>
        <v/>
      </c>
      <c r="J1535" s="3">
        <f>+VLOOKUP($A1535,MAGAZZINO!$B$2:$M$100000,10,FALSE)</f>
        <v/>
      </c>
      <c r="K1535" s="3">
        <f>+VLOOKUP($A1535,MAGAZZINO!$B$2:$M$100000,11,FALSE)</f>
        <v/>
      </c>
      <c r="L1535" s="5">
        <f>+VLOOKUP($A1535,MAGAZZINO!$B$2:$M$100000,12,FALSE)</f>
        <v/>
      </c>
      <c r="M1535" s="47" t="n"/>
      <c r="N1535" s="88" t="n">
        <v>45873</v>
      </c>
      <c r="O1535" s="156" t="inlineStr">
        <is>
          <t>BIN HUMAID NATIONAL TRADING CO. (ARABIA SAUDITA)</t>
        </is>
      </c>
      <c r="P1535" s="152" t="inlineStr">
        <is>
          <t xml:space="preserve">  IMPORT LICENSE N. 182480  (END USER CERTIFICATE)                                                                      AUT. ESPORTAZIONE MULTIPLA N. 6B/2025/2M RILASCIATA IL 26/05/2025                        (LICENZA DI SCARICO N. 6B/2025/2S RILASCIATA IL 30/07/2025)</t>
        </is>
      </c>
      <c r="Q1535" s="150" t="n"/>
      <c r="R1535" s="150" t="n"/>
      <c r="S1535" s="153" t="n"/>
    </row>
    <row r="1536" ht="36" customHeight="1">
      <c r="A1536" s="46" t="n">
        <v>3866</v>
      </c>
      <c r="B1536" s="4">
        <f>+VLOOKUP($A1536,MAGAZZINO!$B$2:$M$100000,2,FALSE)</f>
        <v/>
      </c>
      <c r="C1536" s="29">
        <f>+VLOOKUP($A1536,MAGAZZINO!$B$2:$M$100000,3,FALSE)</f>
        <v/>
      </c>
      <c r="D1536" s="3">
        <f>+VLOOKUP($A1536,MAGAZZINO!$B$2:$M$100000,4,FALSE)</f>
        <v/>
      </c>
      <c r="E1536" s="3">
        <f>+VLOOKUP($A1536,MAGAZZINO!$B$2:$M$100000,5,FALSE)</f>
        <v/>
      </c>
      <c r="F1536" s="3">
        <f>+VLOOKUP($A1536,MAGAZZINO!$B$2:$M$100000,6,FALSE)</f>
        <v/>
      </c>
      <c r="G1536" s="3">
        <f>+VLOOKUP($A1536,MAGAZZINO!$B$2:$M$100000,7,FALSE)</f>
        <v/>
      </c>
      <c r="H1536" s="3">
        <f>+VLOOKUP($A1536,MAGAZZINO!$B$2:$M$100000,8,FALSE)</f>
        <v/>
      </c>
      <c r="I1536" s="3">
        <f>+VLOOKUP($A1536,MAGAZZINO!$B$2:$M$100000,9,FALSE)</f>
        <v/>
      </c>
      <c r="J1536" s="3">
        <f>+VLOOKUP($A1536,MAGAZZINO!$B$2:$M$100000,10,FALSE)</f>
        <v/>
      </c>
      <c r="K1536" s="3">
        <f>+VLOOKUP($A1536,MAGAZZINO!$B$2:$M$100000,11,FALSE)</f>
        <v/>
      </c>
      <c r="L1536" s="5">
        <f>+VLOOKUP($A1536,MAGAZZINO!$B$2:$M$100000,12,FALSE)</f>
        <v/>
      </c>
      <c r="M1536" s="47" t="n"/>
      <c r="N1536" s="88" t="n">
        <v>45873</v>
      </c>
      <c r="O1536" s="156" t="inlineStr">
        <is>
          <t>BIN HUMAID NATIONAL TRADING CO. (ARABIA SAUDITA)</t>
        </is>
      </c>
      <c r="P1536" s="152" t="inlineStr">
        <is>
          <t xml:space="preserve">  IMPORT LICENSE N. 182480  (END USER CERTIFICATE)                                                                      AUT. ESPORTAZIONE MULTIPLA N. 6B/2025/2M RILASCIATA IL 26/05/2025                        (LICENZA DI SCARICO N. 6B/2025/2S RILASCIATA IL 30/07/2025)</t>
        </is>
      </c>
      <c r="Q1536" s="150" t="n"/>
      <c r="R1536" s="150" t="n"/>
      <c r="S1536" s="153" t="n"/>
    </row>
    <row r="1537" ht="36" customHeight="1">
      <c r="A1537" s="46" t="n">
        <v>3867</v>
      </c>
      <c r="B1537" s="4">
        <f>+VLOOKUP($A1537,MAGAZZINO!$B$2:$M$100000,2,FALSE)</f>
        <v/>
      </c>
      <c r="C1537" s="29">
        <f>+VLOOKUP($A1537,MAGAZZINO!$B$2:$M$100000,3,FALSE)</f>
        <v/>
      </c>
      <c r="D1537" s="3">
        <f>+VLOOKUP($A1537,MAGAZZINO!$B$2:$M$100000,4,FALSE)</f>
        <v/>
      </c>
      <c r="E1537" s="3">
        <f>+VLOOKUP($A1537,MAGAZZINO!$B$2:$M$100000,5,FALSE)</f>
        <v/>
      </c>
      <c r="F1537" s="3">
        <f>+VLOOKUP($A1537,MAGAZZINO!$B$2:$M$100000,6,FALSE)</f>
        <v/>
      </c>
      <c r="G1537" s="3">
        <f>+VLOOKUP($A1537,MAGAZZINO!$B$2:$M$100000,7,FALSE)</f>
        <v/>
      </c>
      <c r="H1537" s="3">
        <f>+VLOOKUP($A1537,MAGAZZINO!$B$2:$M$100000,8,FALSE)</f>
        <v/>
      </c>
      <c r="I1537" s="3">
        <f>+VLOOKUP($A1537,MAGAZZINO!$B$2:$M$100000,9,FALSE)</f>
        <v/>
      </c>
      <c r="J1537" s="3">
        <f>+VLOOKUP($A1537,MAGAZZINO!$B$2:$M$100000,10,FALSE)</f>
        <v/>
      </c>
      <c r="K1537" s="3">
        <f>+VLOOKUP($A1537,MAGAZZINO!$B$2:$M$100000,11,FALSE)</f>
        <v/>
      </c>
      <c r="L1537" s="5">
        <f>+VLOOKUP($A1537,MAGAZZINO!$B$2:$M$100000,12,FALSE)</f>
        <v/>
      </c>
      <c r="M1537" s="47" t="n"/>
      <c r="N1537" s="88" t="n">
        <v>45873</v>
      </c>
      <c r="O1537" s="156" t="inlineStr">
        <is>
          <t>BIN HUMAID NATIONAL TRADING CO. (ARABIA SAUDITA)</t>
        </is>
      </c>
      <c r="P1537" s="152" t="inlineStr">
        <is>
          <t xml:space="preserve">  IMPORT LICENSE N. 182480  (END USER CERTIFICATE)                                                                      AUT. ESPORTAZIONE MULTIPLA N. 6B/2025/2M RILASCIATA IL 26/05/2025                        (LICENZA DI SCARICO N. 6B/2025/2S RILASCIATA IL 30/07/2025)</t>
        </is>
      </c>
      <c r="Q1537" s="150" t="n"/>
      <c r="R1537" s="150" t="n"/>
      <c r="S1537" s="153" t="n"/>
    </row>
    <row r="1538" ht="36" customHeight="1">
      <c r="A1538" s="46" t="n">
        <v>3868</v>
      </c>
      <c r="B1538" s="4">
        <f>+VLOOKUP($A1538,MAGAZZINO!$B$2:$M$100000,2,FALSE)</f>
        <v/>
      </c>
      <c r="C1538" s="29">
        <f>+VLOOKUP($A1538,MAGAZZINO!$B$2:$M$100000,3,FALSE)</f>
        <v/>
      </c>
      <c r="D1538" s="3">
        <f>+VLOOKUP($A1538,MAGAZZINO!$B$2:$M$100000,4,FALSE)</f>
        <v/>
      </c>
      <c r="E1538" s="3">
        <f>+VLOOKUP($A1538,MAGAZZINO!$B$2:$M$100000,5,FALSE)</f>
        <v/>
      </c>
      <c r="F1538" s="3">
        <f>+VLOOKUP($A1538,MAGAZZINO!$B$2:$M$100000,6,FALSE)</f>
        <v/>
      </c>
      <c r="G1538" s="3">
        <f>+VLOOKUP($A1538,MAGAZZINO!$B$2:$M$100000,7,FALSE)</f>
        <v/>
      </c>
      <c r="H1538" s="3">
        <f>+VLOOKUP($A1538,MAGAZZINO!$B$2:$M$100000,8,FALSE)</f>
        <v/>
      </c>
      <c r="I1538" s="3">
        <f>+VLOOKUP($A1538,MAGAZZINO!$B$2:$M$100000,9,FALSE)</f>
        <v/>
      </c>
      <c r="J1538" s="3">
        <f>+VLOOKUP($A1538,MAGAZZINO!$B$2:$M$100000,10,FALSE)</f>
        <v/>
      </c>
      <c r="K1538" s="3">
        <f>+VLOOKUP($A1538,MAGAZZINO!$B$2:$M$100000,11,FALSE)</f>
        <v/>
      </c>
      <c r="L1538" s="5">
        <f>+VLOOKUP($A1538,MAGAZZINO!$B$2:$M$100000,12,FALSE)</f>
        <v/>
      </c>
      <c r="M1538" s="47" t="n"/>
      <c r="N1538" s="88" t="n">
        <v>45873</v>
      </c>
      <c r="O1538" s="156" t="inlineStr">
        <is>
          <t>BIN HUMAID NATIONAL TRADING CO. (ARABIA SAUDITA)</t>
        </is>
      </c>
      <c r="P1538" s="152" t="inlineStr">
        <is>
          <t xml:space="preserve">  IMPORT LICENSE N. 182480  (END USER CERTIFICATE)                                                                      AUT. ESPORTAZIONE MULTIPLA N. 6B/2025/2M RILASCIATA IL 26/05/2025                        (LICENZA DI SCARICO N. 6B/2025/2S RILASCIATA IL 30/07/2025)</t>
        </is>
      </c>
      <c r="Q1538" s="150" t="n"/>
      <c r="R1538" s="150" t="n"/>
      <c r="S1538" s="153" t="n"/>
    </row>
    <row r="1539" ht="36" customHeight="1">
      <c r="A1539" s="46" t="n">
        <v>3869</v>
      </c>
      <c r="B1539" s="4">
        <f>+VLOOKUP($A1539,MAGAZZINO!$B$2:$M$100000,2,FALSE)</f>
        <v/>
      </c>
      <c r="C1539" s="29">
        <f>+VLOOKUP($A1539,MAGAZZINO!$B$2:$M$100000,3,FALSE)</f>
        <v/>
      </c>
      <c r="D1539" s="3">
        <f>+VLOOKUP($A1539,MAGAZZINO!$B$2:$M$100000,4,FALSE)</f>
        <v/>
      </c>
      <c r="E1539" s="3">
        <f>+VLOOKUP($A1539,MAGAZZINO!$B$2:$M$100000,5,FALSE)</f>
        <v/>
      </c>
      <c r="F1539" s="3">
        <f>+VLOOKUP($A1539,MAGAZZINO!$B$2:$M$100000,6,FALSE)</f>
        <v/>
      </c>
      <c r="G1539" s="3">
        <f>+VLOOKUP($A1539,MAGAZZINO!$B$2:$M$100000,7,FALSE)</f>
        <v/>
      </c>
      <c r="H1539" s="3">
        <f>+VLOOKUP($A1539,MAGAZZINO!$B$2:$M$100000,8,FALSE)</f>
        <v/>
      </c>
      <c r="I1539" s="3">
        <f>+VLOOKUP($A1539,MAGAZZINO!$B$2:$M$100000,9,FALSE)</f>
        <v/>
      </c>
      <c r="J1539" s="3">
        <f>+VLOOKUP($A1539,MAGAZZINO!$B$2:$M$100000,10,FALSE)</f>
        <v/>
      </c>
      <c r="K1539" s="3">
        <f>+VLOOKUP($A1539,MAGAZZINO!$B$2:$M$100000,11,FALSE)</f>
        <v/>
      </c>
      <c r="L1539" s="5">
        <f>+VLOOKUP($A1539,MAGAZZINO!$B$2:$M$100000,12,FALSE)</f>
        <v/>
      </c>
      <c r="M1539" s="47" t="n"/>
      <c r="N1539" s="88" t="n">
        <v>45873</v>
      </c>
      <c r="O1539" s="156" t="inlineStr">
        <is>
          <t>BIN HUMAID NATIONAL TRADING CO. (ARABIA SAUDITA)</t>
        </is>
      </c>
      <c r="P1539" s="152" t="inlineStr">
        <is>
          <t xml:space="preserve">  IMPORT LICENSE N. 182480  (END USER CERTIFICATE)                                                                      AUT. ESPORTAZIONE MULTIPLA N. 6B/2025/2M RILASCIATA IL 26/05/2025                        (LICENZA DI SCARICO N. 6B/2025/2S RILASCIATA IL 30/07/2025)</t>
        </is>
      </c>
      <c r="Q1539" s="150" t="n"/>
      <c r="R1539" s="150" t="n"/>
      <c r="S1539" s="153" t="n"/>
    </row>
    <row r="1540" ht="36" customHeight="1">
      <c r="A1540" s="46" t="n">
        <v>3870</v>
      </c>
      <c r="B1540" s="4">
        <f>+VLOOKUP($A1540,MAGAZZINO!$B$2:$M$100000,2,FALSE)</f>
        <v/>
      </c>
      <c r="C1540" s="29">
        <f>+VLOOKUP($A1540,MAGAZZINO!$B$2:$M$100000,3,FALSE)</f>
        <v/>
      </c>
      <c r="D1540" s="3">
        <f>+VLOOKUP($A1540,MAGAZZINO!$B$2:$M$100000,4,FALSE)</f>
        <v/>
      </c>
      <c r="E1540" s="3">
        <f>+VLOOKUP($A1540,MAGAZZINO!$B$2:$M$100000,5,FALSE)</f>
        <v/>
      </c>
      <c r="F1540" s="3">
        <f>+VLOOKUP($A1540,MAGAZZINO!$B$2:$M$100000,6,FALSE)</f>
        <v/>
      </c>
      <c r="G1540" s="3">
        <f>+VLOOKUP($A1540,MAGAZZINO!$B$2:$M$100000,7,FALSE)</f>
        <v/>
      </c>
      <c r="H1540" s="3">
        <f>+VLOOKUP($A1540,MAGAZZINO!$B$2:$M$100000,8,FALSE)</f>
        <v/>
      </c>
      <c r="I1540" s="3">
        <f>+VLOOKUP($A1540,MAGAZZINO!$B$2:$M$100000,9,FALSE)</f>
        <v/>
      </c>
      <c r="J1540" s="3">
        <f>+VLOOKUP($A1540,MAGAZZINO!$B$2:$M$100000,10,FALSE)</f>
        <v/>
      </c>
      <c r="K1540" s="3">
        <f>+VLOOKUP($A1540,MAGAZZINO!$B$2:$M$100000,11,FALSE)</f>
        <v/>
      </c>
      <c r="L1540" s="5">
        <f>+VLOOKUP($A1540,MAGAZZINO!$B$2:$M$100000,12,FALSE)</f>
        <v/>
      </c>
      <c r="M1540" s="47" t="n"/>
      <c r="N1540" s="88" t="n">
        <v>45873</v>
      </c>
      <c r="O1540" s="156" t="inlineStr">
        <is>
          <t>BIN HUMAID NATIONAL TRADING CO. (ARABIA SAUDITA)</t>
        </is>
      </c>
      <c r="P1540" s="152" t="inlineStr">
        <is>
          <t xml:space="preserve">  IMPORT LICENSE N. 182480  (END USER CERTIFICATE)                                                                      AUT. ESPORTAZIONE MULTIPLA N. 6B/2025/2M RILASCIATA IL 26/05/2025                        (LICENZA DI SCARICO N. 6B/2025/2S RILASCIATA IL 30/07/2025)</t>
        </is>
      </c>
      <c r="Q1540" s="150" t="n"/>
      <c r="R1540" s="150" t="n"/>
      <c r="S1540" s="153" t="n"/>
    </row>
    <row r="1541" ht="36" customHeight="1">
      <c r="A1541" s="46" t="n">
        <v>3871</v>
      </c>
      <c r="B1541" s="4">
        <f>+VLOOKUP($A1541,MAGAZZINO!$B$2:$M$100000,2,FALSE)</f>
        <v/>
      </c>
      <c r="C1541" s="29">
        <f>+VLOOKUP($A1541,MAGAZZINO!$B$2:$M$100000,3,FALSE)</f>
        <v/>
      </c>
      <c r="D1541" s="3">
        <f>+VLOOKUP($A1541,MAGAZZINO!$B$2:$M$100000,4,FALSE)</f>
        <v/>
      </c>
      <c r="E1541" s="3">
        <f>+VLOOKUP($A1541,MAGAZZINO!$B$2:$M$100000,5,FALSE)</f>
        <v/>
      </c>
      <c r="F1541" s="3">
        <f>+VLOOKUP($A1541,MAGAZZINO!$B$2:$M$100000,6,FALSE)</f>
        <v/>
      </c>
      <c r="G1541" s="3">
        <f>+VLOOKUP($A1541,MAGAZZINO!$B$2:$M$100000,7,FALSE)</f>
        <v/>
      </c>
      <c r="H1541" s="3">
        <f>+VLOOKUP($A1541,MAGAZZINO!$B$2:$M$100000,8,FALSE)</f>
        <v/>
      </c>
      <c r="I1541" s="3">
        <f>+VLOOKUP($A1541,MAGAZZINO!$B$2:$M$100000,9,FALSE)</f>
        <v/>
      </c>
      <c r="J1541" s="3">
        <f>+VLOOKUP($A1541,MAGAZZINO!$B$2:$M$100000,10,FALSE)</f>
        <v/>
      </c>
      <c r="K1541" s="3">
        <f>+VLOOKUP($A1541,MAGAZZINO!$B$2:$M$100000,11,FALSE)</f>
        <v/>
      </c>
      <c r="L1541" s="5">
        <f>+VLOOKUP($A1541,MAGAZZINO!$B$2:$M$100000,12,FALSE)</f>
        <v/>
      </c>
      <c r="M1541" s="47" t="n"/>
      <c r="N1541" s="88" t="n">
        <v>45873</v>
      </c>
      <c r="O1541" s="156" t="inlineStr">
        <is>
          <t>BIN HUMAID NATIONAL TRADING CO. (ARABIA SAUDITA)</t>
        </is>
      </c>
      <c r="P1541" s="152" t="inlineStr">
        <is>
          <t xml:space="preserve">  IMPORT LICENSE N. 182480  (END USER CERTIFICATE)                                                                      AUT. ESPORTAZIONE MULTIPLA N. 6B/2025/2M RILASCIATA IL 26/05/2025                        (LICENZA DI SCARICO N. 6B/2025/2S RILASCIATA IL 30/07/2025)</t>
        </is>
      </c>
      <c r="Q1541" s="150" t="n"/>
      <c r="R1541" s="150" t="n"/>
      <c r="S1541" s="153" t="n"/>
    </row>
    <row r="1542" ht="36" customHeight="1">
      <c r="A1542" s="46" t="n">
        <v>3872</v>
      </c>
      <c r="B1542" s="4">
        <f>+VLOOKUP($A1542,MAGAZZINO!$B$2:$M$100000,2,FALSE)</f>
        <v/>
      </c>
      <c r="C1542" s="29">
        <f>+VLOOKUP($A1542,MAGAZZINO!$B$2:$M$100000,3,FALSE)</f>
        <v/>
      </c>
      <c r="D1542" s="3">
        <f>+VLOOKUP($A1542,MAGAZZINO!$B$2:$M$100000,4,FALSE)</f>
        <v/>
      </c>
      <c r="E1542" s="3">
        <f>+VLOOKUP($A1542,MAGAZZINO!$B$2:$M$100000,5,FALSE)</f>
        <v/>
      </c>
      <c r="F1542" s="3">
        <f>+VLOOKUP($A1542,MAGAZZINO!$B$2:$M$100000,6,FALSE)</f>
        <v/>
      </c>
      <c r="G1542" s="3">
        <f>+VLOOKUP($A1542,MAGAZZINO!$B$2:$M$100000,7,FALSE)</f>
        <v/>
      </c>
      <c r="H1542" s="3">
        <f>+VLOOKUP($A1542,MAGAZZINO!$B$2:$M$100000,8,FALSE)</f>
        <v/>
      </c>
      <c r="I1542" s="3">
        <f>+VLOOKUP($A1542,MAGAZZINO!$B$2:$M$100000,9,FALSE)</f>
        <v/>
      </c>
      <c r="J1542" s="3">
        <f>+VLOOKUP($A1542,MAGAZZINO!$B$2:$M$100000,10,FALSE)</f>
        <v/>
      </c>
      <c r="K1542" s="3">
        <f>+VLOOKUP($A1542,MAGAZZINO!$B$2:$M$100000,11,FALSE)</f>
        <v/>
      </c>
      <c r="L1542" s="5">
        <f>+VLOOKUP($A1542,MAGAZZINO!$B$2:$M$100000,12,FALSE)</f>
        <v/>
      </c>
      <c r="M1542" s="47" t="n"/>
      <c r="N1542" s="88" t="n">
        <v>45873</v>
      </c>
      <c r="O1542" s="156" t="inlineStr">
        <is>
          <t>BIN HUMAID NATIONAL TRADING CO. (ARABIA SAUDITA)</t>
        </is>
      </c>
      <c r="P1542" s="152" t="inlineStr">
        <is>
          <t xml:space="preserve">  IMPORT LICENSE N. 182480  (END USER CERTIFICATE)                                                                      AUT. ESPORTAZIONE MULTIPLA N. 6B/2025/2M RILASCIATA IL 26/05/2025                        (LICENZA DI SCARICO N. 6B/2025/2S RILASCIATA IL 30/07/2025)</t>
        </is>
      </c>
      <c r="Q1542" s="150" t="n"/>
      <c r="R1542" s="150" t="n"/>
      <c r="S1542" s="153" t="n"/>
    </row>
    <row r="1543" ht="36" customHeight="1">
      <c r="A1543" s="46" t="n">
        <v>3873</v>
      </c>
      <c r="B1543" s="4">
        <f>+VLOOKUP($A1543,MAGAZZINO!$B$2:$M$100000,2,FALSE)</f>
        <v/>
      </c>
      <c r="C1543" s="29">
        <f>+VLOOKUP($A1543,MAGAZZINO!$B$2:$M$100000,3,FALSE)</f>
        <v/>
      </c>
      <c r="D1543" s="3">
        <f>+VLOOKUP($A1543,MAGAZZINO!$B$2:$M$100000,4,FALSE)</f>
        <v/>
      </c>
      <c r="E1543" s="3">
        <f>+VLOOKUP($A1543,MAGAZZINO!$B$2:$M$100000,5,FALSE)</f>
        <v/>
      </c>
      <c r="F1543" s="3">
        <f>+VLOOKUP($A1543,MAGAZZINO!$B$2:$M$100000,6,FALSE)</f>
        <v/>
      </c>
      <c r="G1543" s="3">
        <f>+VLOOKUP($A1543,MAGAZZINO!$B$2:$M$100000,7,FALSE)</f>
        <v/>
      </c>
      <c r="H1543" s="3">
        <f>+VLOOKUP($A1543,MAGAZZINO!$B$2:$M$100000,8,FALSE)</f>
        <v/>
      </c>
      <c r="I1543" s="3">
        <f>+VLOOKUP($A1543,MAGAZZINO!$B$2:$M$100000,9,FALSE)</f>
        <v/>
      </c>
      <c r="J1543" s="3">
        <f>+VLOOKUP($A1543,MAGAZZINO!$B$2:$M$100000,10,FALSE)</f>
        <v/>
      </c>
      <c r="K1543" s="3">
        <f>+VLOOKUP($A1543,MAGAZZINO!$B$2:$M$100000,11,FALSE)</f>
        <v/>
      </c>
      <c r="L1543" s="5">
        <f>+VLOOKUP($A1543,MAGAZZINO!$B$2:$M$100000,12,FALSE)</f>
        <v/>
      </c>
      <c r="M1543" s="47" t="n"/>
      <c r="N1543" s="88" t="n">
        <v>45873</v>
      </c>
      <c r="O1543" s="156" t="inlineStr">
        <is>
          <t>BIN HUMAID NATIONAL TRADING CO. (ARABIA SAUDITA)</t>
        </is>
      </c>
      <c r="P1543" s="152" t="inlineStr">
        <is>
          <t xml:space="preserve">  IMPORT LICENSE N. 182480  (END USER CERTIFICATE)                                                                      AUT. ESPORTAZIONE MULTIPLA N. 6B/2025/2M RILASCIATA IL 26/05/2025                        (LICENZA DI SCARICO N. 6B/2025/2S RILASCIATA IL 30/07/2025)</t>
        </is>
      </c>
      <c r="Q1543" s="150" t="n"/>
      <c r="R1543" s="150" t="n"/>
      <c r="S1543" s="153" t="n"/>
    </row>
    <row r="1544" ht="36" customHeight="1">
      <c r="A1544" s="46" t="n">
        <v>3874</v>
      </c>
      <c r="B1544" s="4">
        <f>+VLOOKUP($A1544,MAGAZZINO!$B$2:$M$100000,2,FALSE)</f>
        <v/>
      </c>
      <c r="C1544" s="29">
        <f>+VLOOKUP($A1544,MAGAZZINO!$B$2:$M$100000,3,FALSE)</f>
        <v/>
      </c>
      <c r="D1544" s="3">
        <f>+VLOOKUP($A1544,MAGAZZINO!$B$2:$M$100000,4,FALSE)</f>
        <v/>
      </c>
      <c r="E1544" s="3">
        <f>+VLOOKUP($A1544,MAGAZZINO!$B$2:$M$100000,5,FALSE)</f>
        <v/>
      </c>
      <c r="F1544" s="3">
        <f>+VLOOKUP($A1544,MAGAZZINO!$B$2:$M$100000,6,FALSE)</f>
        <v/>
      </c>
      <c r="G1544" s="3">
        <f>+VLOOKUP($A1544,MAGAZZINO!$B$2:$M$100000,7,FALSE)</f>
        <v/>
      </c>
      <c r="H1544" s="3">
        <f>+VLOOKUP($A1544,MAGAZZINO!$B$2:$M$100000,8,FALSE)</f>
        <v/>
      </c>
      <c r="I1544" s="3">
        <f>+VLOOKUP($A1544,MAGAZZINO!$B$2:$M$100000,9,FALSE)</f>
        <v/>
      </c>
      <c r="J1544" s="3">
        <f>+VLOOKUP($A1544,MAGAZZINO!$B$2:$M$100000,10,FALSE)</f>
        <v/>
      </c>
      <c r="K1544" s="3">
        <f>+VLOOKUP($A1544,MAGAZZINO!$B$2:$M$100000,11,FALSE)</f>
        <v/>
      </c>
      <c r="L1544" s="5">
        <f>+VLOOKUP($A1544,MAGAZZINO!$B$2:$M$100000,12,FALSE)</f>
        <v/>
      </c>
      <c r="M1544" s="47" t="n"/>
      <c r="N1544" s="88" t="n">
        <v>45873</v>
      </c>
      <c r="O1544" s="156" t="inlineStr">
        <is>
          <t>BIN HUMAID NATIONAL TRADING CO. (ARABIA SAUDITA)</t>
        </is>
      </c>
      <c r="P1544" s="152" t="inlineStr">
        <is>
          <t xml:space="preserve">  IMPORT LICENSE N. 182480  (END USER CERTIFICATE)                                                                      AUT. ESPORTAZIONE MULTIPLA N. 6B/2025/2M RILASCIATA IL 26/05/2025                        (LICENZA DI SCARICO N. 6B/2025/2S RILASCIATA IL 30/07/2025)</t>
        </is>
      </c>
      <c r="Q1544" s="150" t="n"/>
      <c r="R1544" s="150" t="n"/>
      <c r="S1544" s="153" t="n"/>
    </row>
    <row r="1545" ht="36" customHeight="1">
      <c r="A1545" s="46" t="n">
        <v>3875</v>
      </c>
      <c r="B1545" s="4">
        <f>+VLOOKUP($A1545,MAGAZZINO!$B$2:$M$100000,2,FALSE)</f>
        <v/>
      </c>
      <c r="C1545" s="29">
        <f>+VLOOKUP($A1545,MAGAZZINO!$B$2:$M$100000,3,FALSE)</f>
        <v/>
      </c>
      <c r="D1545" s="3">
        <f>+VLOOKUP($A1545,MAGAZZINO!$B$2:$M$100000,4,FALSE)</f>
        <v/>
      </c>
      <c r="E1545" s="3">
        <f>+VLOOKUP($A1545,MAGAZZINO!$B$2:$M$100000,5,FALSE)</f>
        <v/>
      </c>
      <c r="F1545" s="3">
        <f>+VLOOKUP($A1545,MAGAZZINO!$B$2:$M$100000,6,FALSE)</f>
        <v/>
      </c>
      <c r="G1545" s="3">
        <f>+VLOOKUP($A1545,MAGAZZINO!$B$2:$M$100000,7,FALSE)</f>
        <v/>
      </c>
      <c r="H1545" s="3">
        <f>+VLOOKUP($A1545,MAGAZZINO!$B$2:$M$100000,8,FALSE)</f>
        <v/>
      </c>
      <c r="I1545" s="3">
        <f>+VLOOKUP($A1545,MAGAZZINO!$B$2:$M$100000,9,FALSE)</f>
        <v/>
      </c>
      <c r="J1545" s="3">
        <f>+VLOOKUP($A1545,MAGAZZINO!$B$2:$M$100000,10,FALSE)</f>
        <v/>
      </c>
      <c r="K1545" s="3">
        <f>+VLOOKUP($A1545,MAGAZZINO!$B$2:$M$100000,11,FALSE)</f>
        <v/>
      </c>
      <c r="L1545" s="5">
        <f>+VLOOKUP($A1545,MAGAZZINO!$B$2:$M$100000,12,FALSE)</f>
        <v/>
      </c>
      <c r="M1545" s="47" t="n"/>
      <c r="N1545" s="88" t="n">
        <v>45873</v>
      </c>
      <c r="O1545" s="156" t="inlineStr">
        <is>
          <t>BIN HUMAID NATIONAL TRADING CO. (ARABIA SAUDITA)</t>
        </is>
      </c>
      <c r="P1545" s="152" t="inlineStr">
        <is>
          <t xml:space="preserve">  IMPORT LICENSE N. 182480  (END USER CERTIFICATE)                                                                      AUT. ESPORTAZIONE MULTIPLA N. 6B/2025/2M RILASCIATA IL 26/05/2025                        (LICENZA DI SCARICO N. 6B/2025/2S RILASCIATA IL 30/07/2025)</t>
        </is>
      </c>
      <c r="Q1545" s="150" t="n"/>
      <c r="R1545" s="150" t="n"/>
      <c r="S1545" s="153" t="n"/>
    </row>
    <row r="1546" ht="36" customHeight="1">
      <c r="A1546" s="46" t="n">
        <v>3876</v>
      </c>
      <c r="B1546" s="4">
        <f>+VLOOKUP($A1546,MAGAZZINO!$B$2:$M$100000,2,FALSE)</f>
        <v/>
      </c>
      <c r="C1546" s="29">
        <f>+VLOOKUP($A1546,MAGAZZINO!$B$2:$M$100000,3,FALSE)</f>
        <v/>
      </c>
      <c r="D1546" s="3">
        <f>+VLOOKUP($A1546,MAGAZZINO!$B$2:$M$100000,4,FALSE)</f>
        <v/>
      </c>
      <c r="E1546" s="3">
        <f>+VLOOKUP($A1546,MAGAZZINO!$B$2:$M$100000,5,FALSE)</f>
        <v/>
      </c>
      <c r="F1546" s="3">
        <f>+VLOOKUP($A1546,MAGAZZINO!$B$2:$M$100000,6,FALSE)</f>
        <v/>
      </c>
      <c r="G1546" s="3">
        <f>+VLOOKUP($A1546,MAGAZZINO!$B$2:$M$100000,7,FALSE)</f>
        <v/>
      </c>
      <c r="H1546" s="3">
        <f>+VLOOKUP($A1546,MAGAZZINO!$B$2:$M$100000,8,FALSE)</f>
        <v/>
      </c>
      <c r="I1546" s="3">
        <f>+VLOOKUP($A1546,MAGAZZINO!$B$2:$M$100000,9,FALSE)</f>
        <v/>
      </c>
      <c r="J1546" s="3">
        <f>+VLOOKUP($A1546,MAGAZZINO!$B$2:$M$100000,10,FALSE)</f>
        <v/>
      </c>
      <c r="K1546" s="3">
        <f>+VLOOKUP($A1546,MAGAZZINO!$B$2:$M$100000,11,FALSE)</f>
        <v/>
      </c>
      <c r="L1546" s="5">
        <f>+VLOOKUP($A1546,MAGAZZINO!$B$2:$M$100000,12,FALSE)</f>
        <v/>
      </c>
      <c r="M1546" s="47" t="n"/>
      <c r="N1546" s="88" t="n">
        <v>45873</v>
      </c>
      <c r="O1546" s="156" t="inlineStr">
        <is>
          <t>BIN HUMAID NATIONAL TRADING CO. (ARABIA SAUDITA)</t>
        </is>
      </c>
      <c r="P1546" s="152" t="inlineStr">
        <is>
          <t xml:space="preserve">  IMPORT LICENSE N. 182480  (END USER CERTIFICATE)                                                                      AUT. ESPORTAZIONE MULTIPLA N. 6B/2025/2M RILASCIATA IL 26/05/2025                        (LICENZA DI SCARICO N. 6B/2025/2S RILASCIATA IL 30/07/2025)</t>
        </is>
      </c>
      <c r="Q1546" s="150" t="n"/>
      <c r="R1546" s="150" t="n"/>
      <c r="S1546" s="153" t="n"/>
    </row>
    <row r="1547" ht="36" customHeight="1">
      <c r="A1547" s="46" t="n">
        <v>3877</v>
      </c>
      <c r="B1547" s="4">
        <f>+VLOOKUP($A1547,MAGAZZINO!$B$2:$M$100000,2,FALSE)</f>
        <v/>
      </c>
      <c r="C1547" s="29">
        <f>+VLOOKUP($A1547,MAGAZZINO!$B$2:$M$100000,3,FALSE)</f>
        <v/>
      </c>
      <c r="D1547" s="3">
        <f>+VLOOKUP($A1547,MAGAZZINO!$B$2:$M$100000,4,FALSE)</f>
        <v/>
      </c>
      <c r="E1547" s="3">
        <f>+VLOOKUP($A1547,MAGAZZINO!$B$2:$M$100000,5,FALSE)</f>
        <v/>
      </c>
      <c r="F1547" s="3">
        <f>+VLOOKUP($A1547,MAGAZZINO!$B$2:$M$100000,6,FALSE)</f>
        <v/>
      </c>
      <c r="G1547" s="3">
        <f>+VLOOKUP($A1547,MAGAZZINO!$B$2:$M$100000,7,FALSE)</f>
        <v/>
      </c>
      <c r="H1547" s="3">
        <f>+VLOOKUP($A1547,MAGAZZINO!$B$2:$M$100000,8,FALSE)</f>
        <v/>
      </c>
      <c r="I1547" s="3">
        <f>+VLOOKUP($A1547,MAGAZZINO!$B$2:$M$100000,9,FALSE)</f>
        <v/>
      </c>
      <c r="J1547" s="3">
        <f>+VLOOKUP($A1547,MAGAZZINO!$B$2:$M$100000,10,FALSE)</f>
        <v/>
      </c>
      <c r="K1547" s="3">
        <f>+VLOOKUP($A1547,MAGAZZINO!$B$2:$M$100000,11,FALSE)</f>
        <v/>
      </c>
      <c r="L1547" s="5">
        <f>+VLOOKUP($A1547,MAGAZZINO!$B$2:$M$100000,12,FALSE)</f>
        <v/>
      </c>
      <c r="M1547" s="47" t="n"/>
      <c r="N1547" s="88" t="n">
        <v>45873</v>
      </c>
      <c r="O1547" s="156" t="inlineStr">
        <is>
          <t>BIN HUMAID NATIONAL TRADING CO. (ARABIA SAUDITA)</t>
        </is>
      </c>
      <c r="P1547" s="152" t="inlineStr">
        <is>
          <t xml:space="preserve">  IMPORT LICENSE N. 182480  (END USER CERTIFICATE)                                                                      AUT. ESPORTAZIONE MULTIPLA N. 6B/2025/2M RILASCIATA IL 26/05/2025                        (LICENZA DI SCARICO N. 6B/2025/2S RILASCIATA IL 30/07/2025)</t>
        </is>
      </c>
      <c r="Q1547" s="150" t="n"/>
      <c r="R1547" s="150" t="n"/>
      <c r="S1547" s="153" t="n"/>
    </row>
    <row r="1548" ht="36" customHeight="1">
      <c r="A1548" s="46" t="n">
        <v>3878</v>
      </c>
      <c r="B1548" s="4">
        <f>+VLOOKUP($A1548,MAGAZZINO!$B$2:$M$100000,2,FALSE)</f>
        <v/>
      </c>
      <c r="C1548" s="29">
        <f>+VLOOKUP($A1548,MAGAZZINO!$B$2:$M$100000,3,FALSE)</f>
        <v/>
      </c>
      <c r="D1548" s="3">
        <f>+VLOOKUP($A1548,MAGAZZINO!$B$2:$M$100000,4,FALSE)</f>
        <v/>
      </c>
      <c r="E1548" s="3">
        <f>+VLOOKUP($A1548,MAGAZZINO!$B$2:$M$100000,5,FALSE)</f>
        <v/>
      </c>
      <c r="F1548" s="3">
        <f>+VLOOKUP($A1548,MAGAZZINO!$B$2:$M$100000,6,FALSE)</f>
        <v/>
      </c>
      <c r="G1548" s="3">
        <f>+VLOOKUP($A1548,MAGAZZINO!$B$2:$M$100000,7,FALSE)</f>
        <v/>
      </c>
      <c r="H1548" s="3">
        <f>+VLOOKUP($A1548,MAGAZZINO!$B$2:$M$100000,8,FALSE)</f>
        <v/>
      </c>
      <c r="I1548" s="3">
        <f>+VLOOKUP($A1548,MAGAZZINO!$B$2:$M$100000,9,FALSE)</f>
        <v/>
      </c>
      <c r="J1548" s="3">
        <f>+VLOOKUP($A1548,MAGAZZINO!$B$2:$M$100000,10,FALSE)</f>
        <v/>
      </c>
      <c r="K1548" s="3">
        <f>+VLOOKUP($A1548,MAGAZZINO!$B$2:$M$100000,11,FALSE)</f>
        <v/>
      </c>
      <c r="L1548" s="5">
        <f>+VLOOKUP($A1548,MAGAZZINO!$B$2:$M$100000,12,FALSE)</f>
        <v/>
      </c>
      <c r="M1548" s="47" t="n"/>
      <c r="N1548" s="88" t="n">
        <v>45873</v>
      </c>
      <c r="O1548" s="156" t="inlineStr">
        <is>
          <t>BIN HUMAID NATIONAL TRADING CO. (ARABIA SAUDITA)</t>
        </is>
      </c>
      <c r="P1548" s="152" t="inlineStr">
        <is>
          <t xml:space="preserve">  IMPORT LICENSE N. 182480  (END USER CERTIFICATE)                                                                      AUT. ESPORTAZIONE MULTIPLA N. 6B/2025/2M RILASCIATA IL 26/05/2025                        (LICENZA DI SCARICO N. 6B/2025/2S RILASCIATA IL 30/07/2025)</t>
        </is>
      </c>
      <c r="Q1548" s="150" t="n"/>
      <c r="R1548" s="150" t="n"/>
      <c r="S1548" s="153" t="n"/>
    </row>
    <row r="1549" ht="36" customHeight="1">
      <c r="A1549" s="46" t="n">
        <v>3879</v>
      </c>
      <c r="B1549" s="4">
        <f>+VLOOKUP($A1549,MAGAZZINO!$B$2:$M$100000,2,FALSE)</f>
        <v/>
      </c>
      <c r="C1549" s="29">
        <f>+VLOOKUP($A1549,MAGAZZINO!$B$2:$M$100000,3,FALSE)</f>
        <v/>
      </c>
      <c r="D1549" s="3">
        <f>+VLOOKUP($A1549,MAGAZZINO!$B$2:$M$100000,4,FALSE)</f>
        <v/>
      </c>
      <c r="E1549" s="3">
        <f>+VLOOKUP($A1549,MAGAZZINO!$B$2:$M$100000,5,FALSE)</f>
        <v/>
      </c>
      <c r="F1549" s="3">
        <f>+VLOOKUP($A1549,MAGAZZINO!$B$2:$M$100000,6,FALSE)</f>
        <v/>
      </c>
      <c r="G1549" s="3">
        <f>+VLOOKUP($A1549,MAGAZZINO!$B$2:$M$100000,7,FALSE)</f>
        <v/>
      </c>
      <c r="H1549" s="3">
        <f>+VLOOKUP($A1549,MAGAZZINO!$B$2:$M$100000,8,FALSE)</f>
        <v/>
      </c>
      <c r="I1549" s="3">
        <f>+VLOOKUP($A1549,MAGAZZINO!$B$2:$M$100000,9,FALSE)</f>
        <v/>
      </c>
      <c r="J1549" s="3">
        <f>+VLOOKUP($A1549,MAGAZZINO!$B$2:$M$100000,10,FALSE)</f>
        <v/>
      </c>
      <c r="K1549" s="3">
        <f>+VLOOKUP($A1549,MAGAZZINO!$B$2:$M$100000,11,FALSE)</f>
        <v/>
      </c>
      <c r="L1549" s="5">
        <f>+VLOOKUP($A1549,MAGAZZINO!$B$2:$M$100000,12,FALSE)</f>
        <v/>
      </c>
      <c r="M1549" s="47" t="n"/>
      <c r="N1549" s="88" t="n">
        <v>45873</v>
      </c>
      <c r="O1549" s="156" t="inlineStr">
        <is>
          <t>BIN HUMAID NATIONAL TRADING CO. (ARABIA SAUDITA)</t>
        </is>
      </c>
      <c r="P1549" s="152" t="inlineStr">
        <is>
          <t xml:space="preserve">  IMPORT LICENSE N. 182480  (END USER CERTIFICATE)                                                                      AUT. ESPORTAZIONE MULTIPLA N. 6B/2025/2M RILASCIATA IL 26/05/2025                        (LICENZA DI SCARICO N. 6B/2025/2S RILASCIATA IL 30/07/2025)</t>
        </is>
      </c>
      <c r="Q1549" s="150" t="n"/>
      <c r="R1549" s="150" t="n"/>
      <c r="S1549" s="153" t="n"/>
    </row>
    <row r="1550" ht="36" customHeight="1">
      <c r="A1550" s="46" t="n">
        <v>3880</v>
      </c>
      <c r="B1550" s="4">
        <f>+VLOOKUP($A1550,MAGAZZINO!$B$2:$M$100000,2,FALSE)</f>
        <v/>
      </c>
      <c r="C1550" s="29">
        <f>+VLOOKUP($A1550,MAGAZZINO!$B$2:$M$100000,3,FALSE)</f>
        <v/>
      </c>
      <c r="D1550" s="3">
        <f>+VLOOKUP($A1550,MAGAZZINO!$B$2:$M$100000,4,FALSE)</f>
        <v/>
      </c>
      <c r="E1550" s="3">
        <f>+VLOOKUP($A1550,MAGAZZINO!$B$2:$M$100000,5,FALSE)</f>
        <v/>
      </c>
      <c r="F1550" s="3">
        <f>+VLOOKUP($A1550,MAGAZZINO!$B$2:$M$100000,6,FALSE)</f>
        <v/>
      </c>
      <c r="G1550" s="3">
        <f>+VLOOKUP($A1550,MAGAZZINO!$B$2:$M$100000,7,FALSE)</f>
        <v/>
      </c>
      <c r="H1550" s="3">
        <f>+VLOOKUP($A1550,MAGAZZINO!$B$2:$M$100000,8,FALSE)</f>
        <v/>
      </c>
      <c r="I1550" s="3">
        <f>+VLOOKUP($A1550,MAGAZZINO!$B$2:$M$100000,9,FALSE)</f>
        <v/>
      </c>
      <c r="J1550" s="3">
        <f>+VLOOKUP($A1550,MAGAZZINO!$B$2:$M$100000,10,FALSE)</f>
        <v/>
      </c>
      <c r="K1550" s="3">
        <f>+VLOOKUP($A1550,MAGAZZINO!$B$2:$M$100000,11,FALSE)</f>
        <v/>
      </c>
      <c r="L1550" s="5">
        <f>+VLOOKUP($A1550,MAGAZZINO!$B$2:$M$100000,12,FALSE)</f>
        <v/>
      </c>
      <c r="M1550" s="47" t="n"/>
      <c r="N1550" s="88" t="n">
        <v>45873</v>
      </c>
      <c r="O1550" s="156" t="inlineStr">
        <is>
          <t>BIN HUMAID NATIONAL TRADING CO. (ARABIA SAUDITA)</t>
        </is>
      </c>
      <c r="P1550" s="152" t="inlineStr">
        <is>
          <t xml:space="preserve">  IMPORT LICENSE N. 182480  (END USER CERTIFICATE)                                                                      AUT. ESPORTAZIONE MULTIPLA N. 6B/2025/2M RILASCIATA IL 26/05/2025                        (LICENZA DI SCARICO N. 6B/2025/2S RILASCIATA IL 30/07/2025)</t>
        </is>
      </c>
      <c r="Q1550" s="150" t="n"/>
      <c r="R1550" s="150" t="n"/>
      <c r="S1550" s="153" t="n"/>
    </row>
    <row r="1551" ht="36" customHeight="1">
      <c r="A1551" s="46" t="n">
        <v>3881</v>
      </c>
      <c r="B1551" s="4">
        <f>+VLOOKUP($A1551,MAGAZZINO!$B$2:$M$100000,2,FALSE)</f>
        <v/>
      </c>
      <c r="C1551" s="29">
        <f>+VLOOKUP($A1551,MAGAZZINO!$B$2:$M$100000,3,FALSE)</f>
        <v/>
      </c>
      <c r="D1551" s="3">
        <f>+VLOOKUP($A1551,MAGAZZINO!$B$2:$M$100000,4,FALSE)</f>
        <v/>
      </c>
      <c r="E1551" s="3">
        <f>+VLOOKUP($A1551,MAGAZZINO!$B$2:$M$100000,5,FALSE)</f>
        <v/>
      </c>
      <c r="F1551" s="3">
        <f>+VLOOKUP($A1551,MAGAZZINO!$B$2:$M$100000,6,FALSE)</f>
        <v/>
      </c>
      <c r="G1551" s="3">
        <f>+VLOOKUP($A1551,MAGAZZINO!$B$2:$M$100000,7,FALSE)</f>
        <v/>
      </c>
      <c r="H1551" s="3">
        <f>+VLOOKUP($A1551,MAGAZZINO!$B$2:$M$100000,8,FALSE)</f>
        <v/>
      </c>
      <c r="I1551" s="3">
        <f>+VLOOKUP($A1551,MAGAZZINO!$B$2:$M$100000,9,FALSE)</f>
        <v/>
      </c>
      <c r="J1551" s="3">
        <f>+VLOOKUP($A1551,MAGAZZINO!$B$2:$M$100000,10,FALSE)</f>
        <v/>
      </c>
      <c r="K1551" s="3">
        <f>+VLOOKUP($A1551,MAGAZZINO!$B$2:$M$100000,11,FALSE)</f>
        <v/>
      </c>
      <c r="L1551" s="5">
        <f>+VLOOKUP($A1551,MAGAZZINO!$B$2:$M$100000,12,FALSE)</f>
        <v/>
      </c>
      <c r="M1551" s="47" t="n"/>
      <c r="N1551" s="88" t="n">
        <v>45873</v>
      </c>
      <c r="O1551" s="156" t="inlineStr">
        <is>
          <t>BIN HUMAID NATIONAL TRADING CO. (ARABIA SAUDITA)</t>
        </is>
      </c>
      <c r="P1551" s="152" t="inlineStr">
        <is>
          <t xml:space="preserve">  IMPORT LICENSE N. 182480  (END USER CERTIFICATE)                                                                      AUT. ESPORTAZIONE MULTIPLA N. 6B/2025/2M RILASCIATA IL 26/05/2025                        (LICENZA DI SCARICO N. 6B/2025/2S RILASCIATA IL 30/07/2025)</t>
        </is>
      </c>
      <c r="Q1551" s="150" t="n"/>
      <c r="R1551" s="150" t="n"/>
      <c r="S1551" s="153" t="n"/>
    </row>
    <row r="1552" ht="36" customHeight="1">
      <c r="A1552" s="46" t="n">
        <v>3882</v>
      </c>
      <c r="B1552" s="4">
        <f>+VLOOKUP($A1552,MAGAZZINO!$B$2:$M$100000,2,FALSE)</f>
        <v/>
      </c>
      <c r="C1552" s="29">
        <f>+VLOOKUP($A1552,MAGAZZINO!$B$2:$M$100000,3,FALSE)</f>
        <v/>
      </c>
      <c r="D1552" s="3">
        <f>+VLOOKUP($A1552,MAGAZZINO!$B$2:$M$100000,4,FALSE)</f>
        <v/>
      </c>
      <c r="E1552" s="3">
        <f>+VLOOKUP($A1552,MAGAZZINO!$B$2:$M$100000,5,FALSE)</f>
        <v/>
      </c>
      <c r="F1552" s="3">
        <f>+VLOOKUP($A1552,MAGAZZINO!$B$2:$M$100000,6,FALSE)</f>
        <v/>
      </c>
      <c r="G1552" s="3">
        <f>+VLOOKUP($A1552,MAGAZZINO!$B$2:$M$100000,7,FALSE)</f>
        <v/>
      </c>
      <c r="H1552" s="3">
        <f>+VLOOKUP($A1552,MAGAZZINO!$B$2:$M$100000,8,FALSE)</f>
        <v/>
      </c>
      <c r="I1552" s="3">
        <f>+VLOOKUP($A1552,MAGAZZINO!$B$2:$M$100000,9,FALSE)</f>
        <v/>
      </c>
      <c r="J1552" s="3">
        <f>+VLOOKUP($A1552,MAGAZZINO!$B$2:$M$100000,10,FALSE)</f>
        <v/>
      </c>
      <c r="K1552" s="3">
        <f>+VLOOKUP($A1552,MAGAZZINO!$B$2:$M$100000,11,FALSE)</f>
        <v/>
      </c>
      <c r="L1552" s="5">
        <f>+VLOOKUP($A1552,MAGAZZINO!$B$2:$M$100000,12,FALSE)</f>
        <v/>
      </c>
      <c r="M1552" s="47" t="n"/>
      <c r="N1552" s="88" t="n">
        <v>45873</v>
      </c>
      <c r="O1552" s="156" t="inlineStr">
        <is>
          <t>BIN HUMAID NATIONAL TRADING CO. (ARABIA SAUDITA)</t>
        </is>
      </c>
      <c r="P1552" s="152" t="inlineStr">
        <is>
          <t xml:space="preserve">  IMPORT LICENSE N. 182480  (END USER CERTIFICATE)                                                                      AUT. ESPORTAZIONE MULTIPLA N. 6B/2025/2M RILASCIATA IL 26/05/2025                        (LICENZA DI SCARICO N. 6B/2025/2S RILASCIATA IL 30/07/2025)</t>
        </is>
      </c>
      <c r="Q1552" s="150" t="n"/>
      <c r="R1552" s="150" t="n"/>
      <c r="S1552" s="153" t="n"/>
    </row>
    <row r="1553" ht="36" customHeight="1">
      <c r="A1553" s="46" t="n">
        <v>3883</v>
      </c>
      <c r="B1553" s="4">
        <f>+VLOOKUP($A1553,MAGAZZINO!$B$2:$M$100000,2,FALSE)</f>
        <v/>
      </c>
      <c r="C1553" s="29">
        <f>+VLOOKUP($A1553,MAGAZZINO!$B$2:$M$100000,3,FALSE)</f>
        <v/>
      </c>
      <c r="D1553" s="3">
        <f>+VLOOKUP($A1553,MAGAZZINO!$B$2:$M$100000,4,FALSE)</f>
        <v/>
      </c>
      <c r="E1553" s="3">
        <f>+VLOOKUP($A1553,MAGAZZINO!$B$2:$M$100000,5,FALSE)</f>
        <v/>
      </c>
      <c r="F1553" s="3">
        <f>+VLOOKUP($A1553,MAGAZZINO!$B$2:$M$100000,6,FALSE)</f>
        <v/>
      </c>
      <c r="G1553" s="3">
        <f>+VLOOKUP($A1553,MAGAZZINO!$B$2:$M$100000,7,FALSE)</f>
        <v/>
      </c>
      <c r="H1553" s="3">
        <f>+VLOOKUP($A1553,MAGAZZINO!$B$2:$M$100000,8,FALSE)</f>
        <v/>
      </c>
      <c r="I1553" s="3">
        <f>+VLOOKUP($A1553,MAGAZZINO!$B$2:$M$100000,9,FALSE)</f>
        <v/>
      </c>
      <c r="J1553" s="3">
        <f>+VLOOKUP($A1553,MAGAZZINO!$B$2:$M$100000,10,FALSE)</f>
        <v/>
      </c>
      <c r="K1553" s="3">
        <f>+VLOOKUP($A1553,MAGAZZINO!$B$2:$M$100000,11,FALSE)</f>
        <v/>
      </c>
      <c r="L1553" s="5">
        <f>+VLOOKUP($A1553,MAGAZZINO!$B$2:$M$100000,12,FALSE)</f>
        <v/>
      </c>
      <c r="M1553" s="47" t="n"/>
      <c r="N1553" s="88" t="n">
        <v>45873</v>
      </c>
      <c r="O1553" s="156" t="inlineStr">
        <is>
          <t>BIN HUMAID NATIONAL TRADING CO. (ARABIA SAUDITA)</t>
        </is>
      </c>
      <c r="P1553" s="152" t="inlineStr">
        <is>
          <t xml:space="preserve">  IMPORT LICENSE N. 182480  (END USER CERTIFICATE)                                                                      AUT. ESPORTAZIONE MULTIPLA N. 6B/2025/2M RILASCIATA IL 26/05/2025                        (LICENZA DI SCARICO N. 6B/2025/2S RILASCIATA IL 30/07/2025)</t>
        </is>
      </c>
      <c r="Q1553" s="150" t="n"/>
      <c r="R1553" s="150" t="n"/>
      <c r="S1553" s="153" t="n"/>
    </row>
    <row r="1554" ht="36" customHeight="1">
      <c r="A1554" s="46" t="n">
        <v>3884</v>
      </c>
      <c r="B1554" s="4">
        <f>+VLOOKUP($A1554,MAGAZZINO!$B$2:$M$100000,2,FALSE)</f>
        <v/>
      </c>
      <c r="C1554" s="29">
        <f>+VLOOKUP($A1554,MAGAZZINO!$B$2:$M$100000,3,FALSE)</f>
        <v/>
      </c>
      <c r="D1554" s="3">
        <f>+VLOOKUP($A1554,MAGAZZINO!$B$2:$M$100000,4,FALSE)</f>
        <v/>
      </c>
      <c r="E1554" s="3">
        <f>+VLOOKUP($A1554,MAGAZZINO!$B$2:$M$100000,5,FALSE)</f>
        <v/>
      </c>
      <c r="F1554" s="3">
        <f>+VLOOKUP($A1554,MAGAZZINO!$B$2:$M$100000,6,FALSE)</f>
        <v/>
      </c>
      <c r="G1554" s="3">
        <f>+VLOOKUP($A1554,MAGAZZINO!$B$2:$M$100000,7,FALSE)</f>
        <v/>
      </c>
      <c r="H1554" s="3">
        <f>+VLOOKUP($A1554,MAGAZZINO!$B$2:$M$100000,8,FALSE)</f>
        <v/>
      </c>
      <c r="I1554" s="3">
        <f>+VLOOKUP($A1554,MAGAZZINO!$B$2:$M$100000,9,FALSE)</f>
        <v/>
      </c>
      <c r="J1554" s="3">
        <f>+VLOOKUP($A1554,MAGAZZINO!$B$2:$M$100000,10,FALSE)</f>
        <v/>
      </c>
      <c r="K1554" s="3">
        <f>+VLOOKUP($A1554,MAGAZZINO!$B$2:$M$100000,11,FALSE)</f>
        <v/>
      </c>
      <c r="L1554" s="5">
        <f>+VLOOKUP($A1554,MAGAZZINO!$B$2:$M$100000,12,FALSE)</f>
        <v/>
      </c>
      <c r="M1554" s="47" t="n"/>
      <c r="N1554" s="88" t="n">
        <v>45873</v>
      </c>
      <c r="O1554" s="156" t="inlineStr">
        <is>
          <t>BIN HUMAID NATIONAL TRADING CO. (ARABIA SAUDITA)</t>
        </is>
      </c>
      <c r="P1554" s="152" t="inlineStr">
        <is>
          <t xml:space="preserve">  IMPORT LICENSE N. 182480  (END USER CERTIFICATE)                                                                      AUT. ESPORTAZIONE MULTIPLA N. 6B/2025/2M RILASCIATA IL 26/05/2025                        (LICENZA DI SCARICO N. 6B/2025/2S RILASCIATA IL 30/07/2025)</t>
        </is>
      </c>
      <c r="Q1554" s="150" t="n"/>
      <c r="R1554" s="150" t="n"/>
      <c r="S1554" s="153" t="n"/>
    </row>
    <row r="1555" ht="36" customHeight="1">
      <c r="A1555" s="46" t="n">
        <v>3885</v>
      </c>
      <c r="B1555" s="4">
        <f>+VLOOKUP($A1555,MAGAZZINO!$B$2:$M$100000,2,FALSE)</f>
        <v/>
      </c>
      <c r="C1555" s="29">
        <f>+VLOOKUP($A1555,MAGAZZINO!$B$2:$M$100000,3,FALSE)</f>
        <v/>
      </c>
      <c r="D1555" s="3">
        <f>+VLOOKUP($A1555,MAGAZZINO!$B$2:$M$100000,4,FALSE)</f>
        <v/>
      </c>
      <c r="E1555" s="3">
        <f>+VLOOKUP($A1555,MAGAZZINO!$B$2:$M$100000,5,FALSE)</f>
        <v/>
      </c>
      <c r="F1555" s="3">
        <f>+VLOOKUP($A1555,MAGAZZINO!$B$2:$M$100000,6,FALSE)</f>
        <v/>
      </c>
      <c r="G1555" s="3">
        <f>+VLOOKUP($A1555,MAGAZZINO!$B$2:$M$100000,7,FALSE)</f>
        <v/>
      </c>
      <c r="H1555" s="3">
        <f>+VLOOKUP($A1555,MAGAZZINO!$B$2:$M$100000,8,FALSE)</f>
        <v/>
      </c>
      <c r="I1555" s="3">
        <f>+VLOOKUP($A1555,MAGAZZINO!$B$2:$M$100000,9,FALSE)</f>
        <v/>
      </c>
      <c r="J1555" s="3">
        <f>+VLOOKUP($A1555,MAGAZZINO!$B$2:$M$100000,10,FALSE)</f>
        <v/>
      </c>
      <c r="K1555" s="3">
        <f>+VLOOKUP($A1555,MAGAZZINO!$B$2:$M$100000,11,FALSE)</f>
        <v/>
      </c>
      <c r="L1555" s="5">
        <f>+VLOOKUP($A1555,MAGAZZINO!$B$2:$M$100000,12,FALSE)</f>
        <v/>
      </c>
      <c r="M1555" s="47" t="n"/>
      <c r="N1555" s="88" t="n">
        <v>45873</v>
      </c>
      <c r="O1555" s="156" t="inlineStr">
        <is>
          <t>BIN HUMAID NATIONAL TRADING CO. (ARABIA SAUDITA)</t>
        </is>
      </c>
      <c r="P1555" s="152" t="inlineStr">
        <is>
          <t xml:space="preserve">  IMPORT LICENSE N. 182480  (END USER CERTIFICATE)                                                                      AUT. ESPORTAZIONE MULTIPLA N. 6B/2025/2M RILASCIATA IL 26/05/2025                        (LICENZA DI SCARICO N. 6B/2025/2S RILASCIATA IL 30/07/2025)</t>
        </is>
      </c>
      <c r="Q1555" s="150" t="n"/>
      <c r="R1555" s="150" t="n"/>
      <c r="S1555" s="153" t="n"/>
    </row>
    <row r="1556" ht="36" customHeight="1">
      <c r="A1556" s="46" t="n">
        <v>3886</v>
      </c>
      <c r="B1556" s="4">
        <f>+VLOOKUP($A1556,MAGAZZINO!$B$2:$M$100000,2,FALSE)</f>
        <v/>
      </c>
      <c r="C1556" s="29">
        <f>+VLOOKUP($A1556,MAGAZZINO!$B$2:$M$100000,3,FALSE)</f>
        <v/>
      </c>
      <c r="D1556" s="3">
        <f>+VLOOKUP($A1556,MAGAZZINO!$B$2:$M$100000,4,FALSE)</f>
        <v/>
      </c>
      <c r="E1556" s="3">
        <f>+VLOOKUP($A1556,MAGAZZINO!$B$2:$M$100000,5,FALSE)</f>
        <v/>
      </c>
      <c r="F1556" s="3">
        <f>+VLOOKUP($A1556,MAGAZZINO!$B$2:$M$100000,6,FALSE)</f>
        <v/>
      </c>
      <c r="G1556" s="3">
        <f>+VLOOKUP($A1556,MAGAZZINO!$B$2:$M$100000,7,FALSE)</f>
        <v/>
      </c>
      <c r="H1556" s="3">
        <f>+VLOOKUP($A1556,MAGAZZINO!$B$2:$M$100000,8,FALSE)</f>
        <v/>
      </c>
      <c r="I1556" s="3">
        <f>+VLOOKUP($A1556,MAGAZZINO!$B$2:$M$100000,9,FALSE)</f>
        <v/>
      </c>
      <c r="J1556" s="3">
        <f>+VLOOKUP($A1556,MAGAZZINO!$B$2:$M$100000,10,FALSE)</f>
        <v/>
      </c>
      <c r="K1556" s="3">
        <f>+VLOOKUP($A1556,MAGAZZINO!$B$2:$M$100000,11,FALSE)</f>
        <v/>
      </c>
      <c r="L1556" s="5">
        <f>+VLOOKUP($A1556,MAGAZZINO!$B$2:$M$100000,12,FALSE)</f>
        <v/>
      </c>
      <c r="M1556" s="47" t="n"/>
      <c r="N1556" s="88" t="n">
        <v>45873</v>
      </c>
      <c r="O1556" s="156" t="inlineStr">
        <is>
          <t>BIN HUMAID NATIONAL TRADING CO. (ARABIA SAUDITA)</t>
        </is>
      </c>
      <c r="P1556" s="152" t="inlineStr">
        <is>
          <t xml:space="preserve">  IMPORT LICENSE N. 182480  (END USER CERTIFICATE)                                                                      AUT. ESPORTAZIONE MULTIPLA N. 6B/2025/2M RILASCIATA IL 26/05/2025                        (LICENZA DI SCARICO N. 6B/2025/2S RILASCIATA IL 30/07/2025)</t>
        </is>
      </c>
      <c r="Q1556" s="150" t="n"/>
      <c r="R1556" s="150" t="n"/>
      <c r="S1556" s="153" t="n"/>
    </row>
    <row r="1557" ht="36" customHeight="1">
      <c r="A1557" s="46" t="n">
        <v>3887</v>
      </c>
      <c r="B1557" s="4">
        <f>+VLOOKUP($A1557,MAGAZZINO!$B$2:$M$100000,2,FALSE)</f>
        <v/>
      </c>
      <c r="C1557" s="29">
        <f>+VLOOKUP($A1557,MAGAZZINO!$B$2:$M$100000,3,FALSE)</f>
        <v/>
      </c>
      <c r="D1557" s="3">
        <f>+VLOOKUP($A1557,MAGAZZINO!$B$2:$M$100000,4,FALSE)</f>
        <v/>
      </c>
      <c r="E1557" s="3">
        <f>+VLOOKUP($A1557,MAGAZZINO!$B$2:$M$100000,5,FALSE)</f>
        <v/>
      </c>
      <c r="F1557" s="3">
        <f>+VLOOKUP($A1557,MAGAZZINO!$B$2:$M$100000,6,FALSE)</f>
        <v/>
      </c>
      <c r="G1557" s="3">
        <f>+VLOOKUP($A1557,MAGAZZINO!$B$2:$M$100000,7,FALSE)</f>
        <v/>
      </c>
      <c r="H1557" s="3">
        <f>+VLOOKUP($A1557,MAGAZZINO!$B$2:$M$100000,8,FALSE)</f>
        <v/>
      </c>
      <c r="I1557" s="3">
        <f>+VLOOKUP($A1557,MAGAZZINO!$B$2:$M$100000,9,FALSE)</f>
        <v/>
      </c>
      <c r="J1557" s="3">
        <f>+VLOOKUP($A1557,MAGAZZINO!$B$2:$M$100000,10,FALSE)</f>
        <v/>
      </c>
      <c r="K1557" s="3">
        <f>+VLOOKUP($A1557,MAGAZZINO!$B$2:$M$100000,11,FALSE)</f>
        <v/>
      </c>
      <c r="L1557" s="5">
        <f>+VLOOKUP($A1557,MAGAZZINO!$B$2:$M$100000,12,FALSE)</f>
        <v/>
      </c>
      <c r="M1557" s="47" t="n"/>
      <c r="N1557" s="88" t="n">
        <v>45873</v>
      </c>
      <c r="O1557" s="156" t="inlineStr">
        <is>
          <t>BIN HUMAID NATIONAL TRADING CO. (ARABIA SAUDITA)</t>
        </is>
      </c>
      <c r="P1557" s="152" t="inlineStr">
        <is>
          <t xml:space="preserve">  IMPORT LICENSE N. 182480  (END USER CERTIFICATE)                                                                      AUT. ESPORTAZIONE MULTIPLA N. 6B/2025/2M RILASCIATA IL 26/05/2025                        (LICENZA DI SCARICO N. 6B/2025/2S RILASCIATA IL 30/07/2025)</t>
        </is>
      </c>
      <c r="Q1557" s="150" t="n"/>
      <c r="R1557" s="150" t="n"/>
      <c r="S1557" s="153" t="n"/>
    </row>
    <row r="1558" ht="36" customHeight="1">
      <c r="A1558" s="46" t="n">
        <v>3888</v>
      </c>
      <c r="B1558" s="4">
        <f>+VLOOKUP($A1558,MAGAZZINO!$B$2:$M$100000,2,FALSE)</f>
        <v/>
      </c>
      <c r="C1558" s="29">
        <f>+VLOOKUP($A1558,MAGAZZINO!$B$2:$M$100000,3,FALSE)</f>
        <v/>
      </c>
      <c r="D1558" s="3">
        <f>+VLOOKUP($A1558,MAGAZZINO!$B$2:$M$100000,4,FALSE)</f>
        <v/>
      </c>
      <c r="E1558" s="3">
        <f>+VLOOKUP($A1558,MAGAZZINO!$B$2:$M$100000,5,FALSE)</f>
        <v/>
      </c>
      <c r="F1558" s="3">
        <f>+VLOOKUP($A1558,MAGAZZINO!$B$2:$M$100000,6,FALSE)</f>
        <v/>
      </c>
      <c r="G1558" s="3">
        <f>+VLOOKUP($A1558,MAGAZZINO!$B$2:$M$100000,7,FALSE)</f>
        <v/>
      </c>
      <c r="H1558" s="3">
        <f>+VLOOKUP($A1558,MAGAZZINO!$B$2:$M$100000,8,FALSE)</f>
        <v/>
      </c>
      <c r="I1558" s="3">
        <f>+VLOOKUP($A1558,MAGAZZINO!$B$2:$M$100000,9,FALSE)</f>
        <v/>
      </c>
      <c r="J1558" s="3">
        <f>+VLOOKUP($A1558,MAGAZZINO!$B$2:$M$100000,10,FALSE)</f>
        <v/>
      </c>
      <c r="K1558" s="3">
        <f>+VLOOKUP($A1558,MAGAZZINO!$B$2:$M$100000,11,FALSE)</f>
        <v/>
      </c>
      <c r="L1558" s="5">
        <f>+VLOOKUP($A1558,MAGAZZINO!$B$2:$M$100000,12,FALSE)</f>
        <v/>
      </c>
      <c r="M1558" s="47" t="n"/>
      <c r="N1558" s="88" t="n">
        <v>45873</v>
      </c>
      <c r="O1558" s="156" t="inlineStr">
        <is>
          <t>BIN HUMAID NATIONAL TRADING CO. (ARABIA SAUDITA)</t>
        </is>
      </c>
      <c r="P1558" s="152" t="inlineStr">
        <is>
          <t xml:space="preserve">  IMPORT LICENSE N. 182480  (END USER CERTIFICATE)                                                                      AUT. ESPORTAZIONE MULTIPLA N. 6B/2025/2M RILASCIATA IL 26/05/2025                        (LICENZA DI SCARICO N. 6B/2025/2S RILASCIATA IL 30/07/2025)</t>
        </is>
      </c>
      <c r="Q1558" s="150" t="n"/>
      <c r="R1558" s="150" t="n"/>
      <c r="S1558" s="153" t="n"/>
    </row>
    <row r="1559" ht="36" customHeight="1">
      <c r="A1559" s="46" t="n">
        <v>3889</v>
      </c>
      <c r="B1559" s="4">
        <f>+VLOOKUP($A1559,MAGAZZINO!$B$2:$M$100000,2,FALSE)</f>
        <v/>
      </c>
      <c r="C1559" s="29">
        <f>+VLOOKUP($A1559,MAGAZZINO!$B$2:$M$100000,3,FALSE)</f>
        <v/>
      </c>
      <c r="D1559" s="3">
        <f>+VLOOKUP($A1559,MAGAZZINO!$B$2:$M$100000,4,FALSE)</f>
        <v/>
      </c>
      <c r="E1559" s="3">
        <f>+VLOOKUP($A1559,MAGAZZINO!$B$2:$M$100000,5,FALSE)</f>
        <v/>
      </c>
      <c r="F1559" s="3">
        <f>+VLOOKUP($A1559,MAGAZZINO!$B$2:$M$100000,6,FALSE)</f>
        <v/>
      </c>
      <c r="G1559" s="3">
        <f>+VLOOKUP($A1559,MAGAZZINO!$B$2:$M$100000,7,FALSE)</f>
        <v/>
      </c>
      <c r="H1559" s="3">
        <f>+VLOOKUP($A1559,MAGAZZINO!$B$2:$M$100000,8,FALSE)</f>
        <v/>
      </c>
      <c r="I1559" s="3">
        <f>+VLOOKUP($A1559,MAGAZZINO!$B$2:$M$100000,9,FALSE)</f>
        <v/>
      </c>
      <c r="J1559" s="3">
        <f>+VLOOKUP($A1559,MAGAZZINO!$B$2:$M$100000,10,FALSE)</f>
        <v/>
      </c>
      <c r="K1559" s="3">
        <f>+VLOOKUP($A1559,MAGAZZINO!$B$2:$M$100000,11,FALSE)</f>
        <v/>
      </c>
      <c r="L1559" s="5">
        <f>+VLOOKUP($A1559,MAGAZZINO!$B$2:$M$100000,12,FALSE)</f>
        <v/>
      </c>
      <c r="M1559" s="47" t="n"/>
      <c r="N1559" s="88" t="n">
        <v>45873</v>
      </c>
      <c r="O1559" s="156" t="inlineStr">
        <is>
          <t>BIN HUMAID NATIONAL TRADING CO. (ARABIA SAUDITA)</t>
        </is>
      </c>
      <c r="P1559" s="152" t="inlineStr">
        <is>
          <t xml:space="preserve">  IMPORT LICENSE N. 182480  (END USER CERTIFICATE)                                                                      AUT. ESPORTAZIONE MULTIPLA N. 6B/2025/2M RILASCIATA IL 26/05/2025                        (LICENZA DI SCARICO N. 6B/2025/2S RILASCIATA IL 30/07/2025)</t>
        </is>
      </c>
      <c r="Q1559" s="150" t="n"/>
      <c r="R1559" s="150" t="n"/>
      <c r="S1559" s="153" t="n"/>
    </row>
    <row r="1560" ht="36" customHeight="1">
      <c r="A1560" s="46" t="n">
        <v>3890</v>
      </c>
      <c r="B1560" s="4">
        <f>+VLOOKUP($A1560,MAGAZZINO!$B$2:$M$100000,2,FALSE)</f>
        <v/>
      </c>
      <c r="C1560" s="29">
        <f>+VLOOKUP($A1560,MAGAZZINO!$B$2:$M$100000,3,FALSE)</f>
        <v/>
      </c>
      <c r="D1560" s="3">
        <f>+VLOOKUP($A1560,MAGAZZINO!$B$2:$M$100000,4,FALSE)</f>
        <v/>
      </c>
      <c r="E1560" s="3">
        <f>+VLOOKUP($A1560,MAGAZZINO!$B$2:$M$100000,5,FALSE)</f>
        <v/>
      </c>
      <c r="F1560" s="3">
        <f>+VLOOKUP($A1560,MAGAZZINO!$B$2:$M$100000,6,FALSE)</f>
        <v/>
      </c>
      <c r="G1560" s="3">
        <f>+VLOOKUP($A1560,MAGAZZINO!$B$2:$M$100000,7,FALSE)</f>
        <v/>
      </c>
      <c r="H1560" s="3">
        <f>+VLOOKUP($A1560,MAGAZZINO!$B$2:$M$100000,8,FALSE)</f>
        <v/>
      </c>
      <c r="I1560" s="3">
        <f>+VLOOKUP($A1560,MAGAZZINO!$B$2:$M$100000,9,FALSE)</f>
        <v/>
      </c>
      <c r="J1560" s="3">
        <f>+VLOOKUP($A1560,MAGAZZINO!$B$2:$M$100000,10,FALSE)</f>
        <v/>
      </c>
      <c r="K1560" s="3">
        <f>+VLOOKUP($A1560,MAGAZZINO!$B$2:$M$100000,11,FALSE)</f>
        <v/>
      </c>
      <c r="L1560" s="5">
        <f>+VLOOKUP($A1560,MAGAZZINO!$B$2:$M$100000,12,FALSE)</f>
        <v/>
      </c>
      <c r="M1560" s="47" t="n"/>
      <c r="N1560" s="88" t="n">
        <v>45873</v>
      </c>
      <c r="O1560" s="156" t="inlineStr">
        <is>
          <t>BIN HUMAID NATIONAL TRADING CO. (ARABIA SAUDITA)</t>
        </is>
      </c>
      <c r="P1560" s="152" t="inlineStr">
        <is>
          <t xml:space="preserve">  IMPORT LICENSE N. 182480  (END USER CERTIFICATE)                                                                      AUT. ESPORTAZIONE MULTIPLA N. 6B/2025/2M RILASCIATA IL 26/05/2025                        (LICENZA DI SCARICO N. 6B/2025/2S RILASCIATA IL 30/07/2025)</t>
        </is>
      </c>
      <c r="Q1560" s="150" t="n"/>
      <c r="R1560" s="150" t="n"/>
      <c r="S1560" s="153" t="n"/>
    </row>
    <row r="1561" ht="36" customHeight="1">
      <c r="A1561" s="46" t="n">
        <v>3891</v>
      </c>
      <c r="B1561" s="4">
        <f>+VLOOKUP($A1561,MAGAZZINO!$B$2:$M$100000,2,FALSE)</f>
        <v/>
      </c>
      <c r="C1561" s="29">
        <f>+VLOOKUP($A1561,MAGAZZINO!$B$2:$M$100000,3,FALSE)</f>
        <v/>
      </c>
      <c r="D1561" s="3">
        <f>+VLOOKUP($A1561,MAGAZZINO!$B$2:$M$100000,4,FALSE)</f>
        <v/>
      </c>
      <c r="E1561" s="3">
        <f>+VLOOKUP($A1561,MAGAZZINO!$B$2:$M$100000,5,FALSE)</f>
        <v/>
      </c>
      <c r="F1561" s="3">
        <f>+VLOOKUP($A1561,MAGAZZINO!$B$2:$M$100000,6,FALSE)</f>
        <v/>
      </c>
      <c r="G1561" s="3">
        <f>+VLOOKUP($A1561,MAGAZZINO!$B$2:$M$100000,7,FALSE)</f>
        <v/>
      </c>
      <c r="H1561" s="3">
        <f>+VLOOKUP($A1561,MAGAZZINO!$B$2:$M$100000,8,FALSE)</f>
        <v/>
      </c>
      <c r="I1561" s="3">
        <f>+VLOOKUP($A1561,MAGAZZINO!$B$2:$M$100000,9,FALSE)</f>
        <v/>
      </c>
      <c r="J1561" s="3">
        <f>+VLOOKUP($A1561,MAGAZZINO!$B$2:$M$100000,10,FALSE)</f>
        <v/>
      </c>
      <c r="K1561" s="3">
        <f>+VLOOKUP($A1561,MAGAZZINO!$B$2:$M$100000,11,FALSE)</f>
        <v/>
      </c>
      <c r="L1561" s="5">
        <f>+VLOOKUP($A1561,MAGAZZINO!$B$2:$M$100000,12,FALSE)</f>
        <v/>
      </c>
      <c r="M1561" s="47" t="n"/>
      <c r="N1561" s="88" t="n">
        <v>45873</v>
      </c>
      <c r="O1561" s="156" t="inlineStr">
        <is>
          <t>BIN HUMAID NATIONAL TRADING CO. (ARABIA SAUDITA)</t>
        </is>
      </c>
      <c r="P1561" s="152" t="inlineStr">
        <is>
          <t xml:space="preserve">  IMPORT LICENSE N. 182480  (END USER CERTIFICATE)                                                                      AUT. ESPORTAZIONE MULTIPLA N. 6B/2025/2M RILASCIATA IL 26/05/2025                        (LICENZA DI SCARICO N. 6B/2025/2S RILASCIATA IL 30/07/2025)</t>
        </is>
      </c>
      <c r="Q1561" s="150" t="n"/>
      <c r="R1561" s="150" t="n"/>
      <c r="S1561" s="153" t="n"/>
    </row>
    <row r="1562" ht="36" customHeight="1">
      <c r="A1562" s="46" t="n">
        <v>3892</v>
      </c>
      <c r="B1562" s="4">
        <f>+VLOOKUP($A1562,MAGAZZINO!$B$2:$M$100000,2,FALSE)</f>
        <v/>
      </c>
      <c r="C1562" s="29">
        <f>+VLOOKUP($A1562,MAGAZZINO!$B$2:$M$100000,3,FALSE)</f>
        <v/>
      </c>
      <c r="D1562" s="3">
        <f>+VLOOKUP($A1562,MAGAZZINO!$B$2:$M$100000,4,FALSE)</f>
        <v/>
      </c>
      <c r="E1562" s="3">
        <f>+VLOOKUP($A1562,MAGAZZINO!$B$2:$M$100000,5,FALSE)</f>
        <v/>
      </c>
      <c r="F1562" s="3">
        <f>+VLOOKUP($A1562,MAGAZZINO!$B$2:$M$100000,6,FALSE)</f>
        <v/>
      </c>
      <c r="G1562" s="3">
        <f>+VLOOKUP($A1562,MAGAZZINO!$B$2:$M$100000,7,FALSE)</f>
        <v/>
      </c>
      <c r="H1562" s="3">
        <f>+VLOOKUP($A1562,MAGAZZINO!$B$2:$M$100000,8,FALSE)</f>
        <v/>
      </c>
      <c r="I1562" s="3">
        <f>+VLOOKUP($A1562,MAGAZZINO!$B$2:$M$100000,9,FALSE)</f>
        <v/>
      </c>
      <c r="J1562" s="3">
        <f>+VLOOKUP($A1562,MAGAZZINO!$B$2:$M$100000,10,FALSE)</f>
        <v/>
      </c>
      <c r="K1562" s="3">
        <f>+VLOOKUP($A1562,MAGAZZINO!$B$2:$M$100000,11,FALSE)</f>
        <v/>
      </c>
      <c r="L1562" s="5">
        <f>+VLOOKUP($A1562,MAGAZZINO!$B$2:$M$100000,12,FALSE)</f>
        <v/>
      </c>
      <c r="M1562" s="47" t="n"/>
      <c r="N1562" s="88" t="n">
        <v>45873</v>
      </c>
      <c r="O1562" s="156" t="inlineStr">
        <is>
          <t>BIN HUMAID NATIONAL TRADING CO. (ARABIA SAUDITA)</t>
        </is>
      </c>
      <c r="P1562" s="152" t="inlineStr">
        <is>
          <t xml:space="preserve">  IMPORT LICENSE N. 182480  (END USER CERTIFICATE)                                                                      AUT. ESPORTAZIONE MULTIPLA N. 6B/2025/2M RILASCIATA IL 26/05/2025                        (LICENZA DI SCARICO N. 6B/2025/2S RILASCIATA IL 30/07/2025)</t>
        </is>
      </c>
      <c r="Q1562" s="150" t="n"/>
      <c r="R1562" s="150" t="n"/>
      <c r="S1562" s="153" t="n"/>
    </row>
    <row r="1563" ht="36" customHeight="1">
      <c r="A1563" s="46" t="n">
        <v>3893</v>
      </c>
      <c r="B1563" s="4">
        <f>+VLOOKUP($A1563,MAGAZZINO!$B$2:$M$100000,2,FALSE)</f>
        <v/>
      </c>
      <c r="C1563" s="29">
        <f>+VLOOKUP($A1563,MAGAZZINO!$B$2:$M$100000,3,FALSE)</f>
        <v/>
      </c>
      <c r="D1563" s="3">
        <f>+VLOOKUP($A1563,MAGAZZINO!$B$2:$M$100000,4,FALSE)</f>
        <v/>
      </c>
      <c r="E1563" s="3">
        <f>+VLOOKUP($A1563,MAGAZZINO!$B$2:$M$100000,5,FALSE)</f>
        <v/>
      </c>
      <c r="F1563" s="3">
        <f>+VLOOKUP($A1563,MAGAZZINO!$B$2:$M$100000,6,FALSE)</f>
        <v/>
      </c>
      <c r="G1563" s="3">
        <f>+VLOOKUP($A1563,MAGAZZINO!$B$2:$M$100000,7,FALSE)</f>
        <v/>
      </c>
      <c r="H1563" s="3">
        <f>+VLOOKUP($A1563,MAGAZZINO!$B$2:$M$100000,8,FALSE)</f>
        <v/>
      </c>
      <c r="I1563" s="3">
        <f>+VLOOKUP($A1563,MAGAZZINO!$B$2:$M$100000,9,FALSE)</f>
        <v/>
      </c>
      <c r="J1563" s="3">
        <f>+VLOOKUP($A1563,MAGAZZINO!$B$2:$M$100000,10,FALSE)</f>
        <v/>
      </c>
      <c r="K1563" s="3">
        <f>+VLOOKUP($A1563,MAGAZZINO!$B$2:$M$100000,11,FALSE)</f>
        <v/>
      </c>
      <c r="L1563" s="5">
        <f>+VLOOKUP($A1563,MAGAZZINO!$B$2:$M$100000,12,FALSE)</f>
        <v/>
      </c>
      <c r="M1563" s="47" t="n"/>
      <c r="N1563" s="88" t="n">
        <v>45873</v>
      </c>
      <c r="O1563" s="156" t="inlineStr">
        <is>
          <t>BIN HUMAID NATIONAL TRADING CO. (ARABIA SAUDITA)</t>
        </is>
      </c>
      <c r="P1563" s="152" t="inlineStr">
        <is>
          <t xml:space="preserve">  IMPORT LICENSE N. 182480  (END USER CERTIFICATE)                                                                      AUT. ESPORTAZIONE MULTIPLA N. 6B/2025/2M RILASCIATA IL 26/05/2025                        (LICENZA DI SCARICO N. 6B/2025/2S RILASCIATA IL 30/07/2025)</t>
        </is>
      </c>
      <c r="Q1563" s="150" t="n"/>
      <c r="R1563" s="150" t="n"/>
      <c r="S1563" s="153" t="n"/>
    </row>
    <row r="1564" ht="36" customHeight="1">
      <c r="A1564" s="46" t="n">
        <v>3894</v>
      </c>
      <c r="B1564" s="4">
        <f>+VLOOKUP($A1564,MAGAZZINO!$B$2:$M$100000,2,FALSE)</f>
        <v/>
      </c>
      <c r="C1564" s="29">
        <f>+VLOOKUP($A1564,MAGAZZINO!$B$2:$M$100000,3,FALSE)</f>
        <v/>
      </c>
      <c r="D1564" s="3">
        <f>+VLOOKUP($A1564,MAGAZZINO!$B$2:$M$100000,4,FALSE)</f>
        <v/>
      </c>
      <c r="E1564" s="3">
        <f>+VLOOKUP($A1564,MAGAZZINO!$B$2:$M$100000,5,FALSE)</f>
        <v/>
      </c>
      <c r="F1564" s="3">
        <f>+VLOOKUP($A1564,MAGAZZINO!$B$2:$M$100000,6,FALSE)</f>
        <v/>
      </c>
      <c r="G1564" s="3">
        <f>+VLOOKUP($A1564,MAGAZZINO!$B$2:$M$100000,7,FALSE)</f>
        <v/>
      </c>
      <c r="H1564" s="3">
        <f>+VLOOKUP($A1564,MAGAZZINO!$B$2:$M$100000,8,FALSE)</f>
        <v/>
      </c>
      <c r="I1564" s="3">
        <f>+VLOOKUP($A1564,MAGAZZINO!$B$2:$M$100000,9,FALSE)</f>
        <v/>
      </c>
      <c r="J1564" s="3">
        <f>+VLOOKUP($A1564,MAGAZZINO!$B$2:$M$100000,10,FALSE)</f>
        <v/>
      </c>
      <c r="K1564" s="3">
        <f>+VLOOKUP($A1564,MAGAZZINO!$B$2:$M$100000,11,FALSE)</f>
        <v/>
      </c>
      <c r="L1564" s="5">
        <f>+VLOOKUP($A1564,MAGAZZINO!$B$2:$M$100000,12,FALSE)</f>
        <v/>
      </c>
      <c r="M1564" s="47" t="n"/>
      <c r="N1564" s="88" t="n">
        <v>45873</v>
      </c>
      <c r="O1564" s="156" t="inlineStr">
        <is>
          <t>BIN HUMAID NATIONAL TRADING CO. (ARABIA SAUDITA)</t>
        </is>
      </c>
      <c r="P1564" s="152" t="inlineStr">
        <is>
          <t xml:space="preserve">  IMPORT LICENSE N. 182480  (END USER CERTIFICATE)                                                                      AUT. ESPORTAZIONE MULTIPLA N. 6B/2025/2M RILASCIATA IL 26/05/2025                        (LICENZA DI SCARICO N. 6B/2025/2S RILASCIATA IL 30/07/2025)</t>
        </is>
      </c>
      <c r="Q1564" s="150" t="n"/>
      <c r="R1564" s="150" t="n"/>
      <c r="S1564" s="153" t="n"/>
    </row>
    <row r="1565" ht="36" customHeight="1">
      <c r="A1565" s="46" t="n">
        <v>3895</v>
      </c>
      <c r="B1565" s="4">
        <f>+VLOOKUP($A1565,MAGAZZINO!$B$2:$M$100000,2,FALSE)</f>
        <v/>
      </c>
      <c r="C1565" s="29">
        <f>+VLOOKUP($A1565,MAGAZZINO!$B$2:$M$100000,3,FALSE)</f>
        <v/>
      </c>
      <c r="D1565" s="3">
        <f>+VLOOKUP($A1565,MAGAZZINO!$B$2:$M$100000,4,FALSE)</f>
        <v/>
      </c>
      <c r="E1565" s="3">
        <f>+VLOOKUP($A1565,MAGAZZINO!$B$2:$M$100000,5,FALSE)</f>
        <v/>
      </c>
      <c r="F1565" s="3">
        <f>+VLOOKUP($A1565,MAGAZZINO!$B$2:$M$100000,6,FALSE)</f>
        <v/>
      </c>
      <c r="G1565" s="3">
        <f>+VLOOKUP($A1565,MAGAZZINO!$B$2:$M$100000,7,FALSE)</f>
        <v/>
      </c>
      <c r="H1565" s="3">
        <f>+VLOOKUP($A1565,MAGAZZINO!$B$2:$M$100000,8,FALSE)</f>
        <v/>
      </c>
      <c r="I1565" s="3">
        <f>+VLOOKUP($A1565,MAGAZZINO!$B$2:$M$100000,9,FALSE)</f>
        <v/>
      </c>
      <c r="J1565" s="3">
        <f>+VLOOKUP($A1565,MAGAZZINO!$B$2:$M$100000,10,FALSE)</f>
        <v/>
      </c>
      <c r="K1565" s="3">
        <f>+VLOOKUP($A1565,MAGAZZINO!$B$2:$M$100000,11,FALSE)</f>
        <v/>
      </c>
      <c r="L1565" s="5">
        <f>+VLOOKUP($A1565,MAGAZZINO!$B$2:$M$100000,12,FALSE)</f>
        <v/>
      </c>
      <c r="M1565" s="47" t="n"/>
      <c r="N1565" s="88" t="n">
        <v>45873</v>
      </c>
      <c r="O1565" s="156" t="inlineStr">
        <is>
          <t>BIN HUMAID NATIONAL TRADING CO. (ARABIA SAUDITA)</t>
        </is>
      </c>
      <c r="P1565" s="152" t="inlineStr">
        <is>
          <t xml:space="preserve">  IMPORT LICENSE N. 182480  (END USER CERTIFICATE)                                                                      AUT. ESPORTAZIONE MULTIPLA N. 6B/2025/2M RILASCIATA IL 26/05/2025                        (LICENZA DI SCARICO N. 6B/2025/2S RILASCIATA IL 30/07/2025)</t>
        </is>
      </c>
      <c r="Q1565" s="150" t="n"/>
      <c r="R1565" s="150" t="n"/>
      <c r="S1565" s="153" t="n"/>
    </row>
    <row r="1566" ht="36" customHeight="1">
      <c r="A1566" s="46" t="n">
        <v>3896</v>
      </c>
      <c r="B1566" s="4">
        <f>+VLOOKUP($A1566,MAGAZZINO!$B$2:$M$100000,2,FALSE)</f>
        <v/>
      </c>
      <c r="C1566" s="29">
        <f>+VLOOKUP($A1566,MAGAZZINO!$B$2:$M$100000,3,FALSE)</f>
        <v/>
      </c>
      <c r="D1566" s="3">
        <f>+VLOOKUP($A1566,MAGAZZINO!$B$2:$M$100000,4,FALSE)</f>
        <v/>
      </c>
      <c r="E1566" s="3">
        <f>+VLOOKUP($A1566,MAGAZZINO!$B$2:$M$100000,5,FALSE)</f>
        <v/>
      </c>
      <c r="F1566" s="3">
        <f>+VLOOKUP($A1566,MAGAZZINO!$B$2:$M$100000,6,FALSE)</f>
        <v/>
      </c>
      <c r="G1566" s="3">
        <f>+VLOOKUP($A1566,MAGAZZINO!$B$2:$M$100000,7,FALSE)</f>
        <v/>
      </c>
      <c r="H1566" s="3">
        <f>+VLOOKUP($A1566,MAGAZZINO!$B$2:$M$100000,8,FALSE)</f>
        <v/>
      </c>
      <c r="I1566" s="3">
        <f>+VLOOKUP($A1566,MAGAZZINO!$B$2:$M$100000,9,FALSE)</f>
        <v/>
      </c>
      <c r="J1566" s="3">
        <f>+VLOOKUP($A1566,MAGAZZINO!$B$2:$M$100000,10,FALSE)</f>
        <v/>
      </c>
      <c r="K1566" s="3">
        <f>+VLOOKUP($A1566,MAGAZZINO!$B$2:$M$100000,11,FALSE)</f>
        <v/>
      </c>
      <c r="L1566" s="5">
        <f>+VLOOKUP($A1566,MAGAZZINO!$B$2:$M$100000,12,FALSE)</f>
        <v/>
      </c>
      <c r="M1566" s="47" t="n"/>
      <c r="N1566" s="88" t="n">
        <v>45873</v>
      </c>
      <c r="O1566" s="156" t="inlineStr">
        <is>
          <t>BIN HUMAID NATIONAL TRADING CO. (ARABIA SAUDITA)</t>
        </is>
      </c>
      <c r="P1566" s="152" t="inlineStr">
        <is>
          <t xml:space="preserve">  IMPORT LICENSE N. 182480  (END USER CERTIFICATE)                                                                      AUT. ESPORTAZIONE MULTIPLA N. 6B/2025/2M RILASCIATA IL 26/05/2025                        (LICENZA DI SCARICO N. 6B/2025/2S RILASCIATA IL 30/07/2025)</t>
        </is>
      </c>
      <c r="Q1566" s="150" t="n"/>
      <c r="R1566" s="150" t="n"/>
      <c r="S1566" s="153" t="n"/>
    </row>
    <row r="1567" ht="36" customHeight="1">
      <c r="A1567" s="46" t="n">
        <v>3897</v>
      </c>
      <c r="B1567" s="4">
        <f>+VLOOKUP($A1567,MAGAZZINO!$B$2:$M$100000,2,FALSE)</f>
        <v/>
      </c>
      <c r="C1567" s="29">
        <f>+VLOOKUP($A1567,MAGAZZINO!$B$2:$M$100000,3,FALSE)</f>
        <v/>
      </c>
      <c r="D1567" s="3">
        <f>+VLOOKUP($A1567,MAGAZZINO!$B$2:$M$100000,4,FALSE)</f>
        <v/>
      </c>
      <c r="E1567" s="3">
        <f>+VLOOKUP($A1567,MAGAZZINO!$B$2:$M$100000,5,FALSE)</f>
        <v/>
      </c>
      <c r="F1567" s="3">
        <f>+VLOOKUP($A1567,MAGAZZINO!$B$2:$M$100000,6,FALSE)</f>
        <v/>
      </c>
      <c r="G1567" s="3">
        <f>+VLOOKUP($A1567,MAGAZZINO!$B$2:$M$100000,7,FALSE)</f>
        <v/>
      </c>
      <c r="H1567" s="3">
        <f>+VLOOKUP($A1567,MAGAZZINO!$B$2:$M$100000,8,FALSE)</f>
        <v/>
      </c>
      <c r="I1567" s="3">
        <f>+VLOOKUP($A1567,MAGAZZINO!$B$2:$M$100000,9,FALSE)</f>
        <v/>
      </c>
      <c r="J1567" s="3">
        <f>+VLOOKUP($A1567,MAGAZZINO!$B$2:$M$100000,10,FALSE)</f>
        <v/>
      </c>
      <c r="K1567" s="3">
        <f>+VLOOKUP($A1567,MAGAZZINO!$B$2:$M$100000,11,FALSE)</f>
        <v/>
      </c>
      <c r="L1567" s="5">
        <f>+VLOOKUP($A1567,MAGAZZINO!$B$2:$M$100000,12,FALSE)</f>
        <v/>
      </c>
      <c r="M1567" s="47" t="n"/>
      <c r="N1567" s="88" t="n">
        <v>45873</v>
      </c>
      <c r="O1567" s="156" t="inlineStr">
        <is>
          <t>BIN HUMAID NATIONAL TRADING CO. (ARABIA SAUDITA)</t>
        </is>
      </c>
      <c r="P1567" s="152" t="inlineStr">
        <is>
          <t xml:space="preserve">  IMPORT LICENSE N. 182480  (END USER CERTIFICATE)                                                                      AUT. ESPORTAZIONE MULTIPLA N. 6B/2025/2M RILASCIATA IL 26/05/2025                        (LICENZA DI SCARICO N. 6B/2025/2S RILASCIATA IL 30/07/2025)</t>
        </is>
      </c>
      <c r="Q1567" s="150" t="n"/>
      <c r="R1567" s="150" t="n"/>
      <c r="S1567" s="153" t="n"/>
    </row>
    <row r="1568" ht="36" customHeight="1">
      <c r="A1568" s="46" t="n">
        <v>3898</v>
      </c>
      <c r="B1568" s="4">
        <f>+VLOOKUP($A1568,MAGAZZINO!$B$2:$M$100000,2,FALSE)</f>
        <v/>
      </c>
      <c r="C1568" s="29">
        <f>+VLOOKUP($A1568,MAGAZZINO!$B$2:$M$100000,3,FALSE)</f>
        <v/>
      </c>
      <c r="D1568" s="3">
        <f>+VLOOKUP($A1568,MAGAZZINO!$B$2:$M$100000,4,FALSE)</f>
        <v/>
      </c>
      <c r="E1568" s="3">
        <f>+VLOOKUP($A1568,MAGAZZINO!$B$2:$M$100000,5,FALSE)</f>
        <v/>
      </c>
      <c r="F1568" s="3">
        <f>+VLOOKUP($A1568,MAGAZZINO!$B$2:$M$100000,6,FALSE)</f>
        <v/>
      </c>
      <c r="G1568" s="3">
        <f>+VLOOKUP($A1568,MAGAZZINO!$B$2:$M$100000,7,FALSE)</f>
        <v/>
      </c>
      <c r="H1568" s="3">
        <f>+VLOOKUP($A1568,MAGAZZINO!$B$2:$M$100000,8,FALSE)</f>
        <v/>
      </c>
      <c r="I1568" s="3">
        <f>+VLOOKUP($A1568,MAGAZZINO!$B$2:$M$100000,9,FALSE)</f>
        <v/>
      </c>
      <c r="J1568" s="3">
        <f>+VLOOKUP($A1568,MAGAZZINO!$B$2:$M$100000,10,FALSE)</f>
        <v/>
      </c>
      <c r="K1568" s="3">
        <f>+VLOOKUP($A1568,MAGAZZINO!$B$2:$M$100000,11,FALSE)</f>
        <v/>
      </c>
      <c r="L1568" s="5">
        <f>+VLOOKUP($A1568,MAGAZZINO!$B$2:$M$100000,12,FALSE)</f>
        <v/>
      </c>
      <c r="M1568" s="47" t="n"/>
      <c r="N1568" s="88" t="n">
        <v>45873</v>
      </c>
      <c r="O1568" s="156" t="inlineStr">
        <is>
          <t>BIN HUMAID NATIONAL TRADING CO. (ARABIA SAUDITA)</t>
        </is>
      </c>
      <c r="P1568" s="152" t="inlineStr">
        <is>
          <t xml:space="preserve">  IMPORT LICENSE N. 182480  (END USER CERTIFICATE)                                                                      AUT. ESPORTAZIONE MULTIPLA N. 6B/2025/2M RILASCIATA IL 26/05/2025                        (LICENZA DI SCARICO N. 6B/2025/2S RILASCIATA IL 30/07/2025)</t>
        </is>
      </c>
      <c r="Q1568" s="150" t="n"/>
      <c r="R1568" s="150" t="n"/>
      <c r="S1568" s="153" t="n"/>
    </row>
    <row r="1569" ht="36" customHeight="1">
      <c r="A1569" s="46" t="n">
        <v>3899</v>
      </c>
      <c r="B1569" s="4">
        <f>+VLOOKUP($A1569,MAGAZZINO!$B$2:$M$100000,2,FALSE)</f>
        <v/>
      </c>
      <c r="C1569" s="29">
        <f>+VLOOKUP($A1569,MAGAZZINO!$B$2:$M$100000,3,FALSE)</f>
        <v/>
      </c>
      <c r="D1569" s="3">
        <f>+VLOOKUP($A1569,MAGAZZINO!$B$2:$M$100000,4,FALSE)</f>
        <v/>
      </c>
      <c r="E1569" s="3">
        <f>+VLOOKUP($A1569,MAGAZZINO!$B$2:$M$100000,5,FALSE)</f>
        <v/>
      </c>
      <c r="F1569" s="3">
        <f>+VLOOKUP($A1569,MAGAZZINO!$B$2:$M$100000,6,FALSE)</f>
        <v/>
      </c>
      <c r="G1569" s="3">
        <f>+VLOOKUP($A1569,MAGAZZINO!$B$2:$M$100000,7,FALSE)</f>
        <v/>
      </c>
      <c r="H1569" s="3">
        <f>+VLOOKUP($A1569,MAGAZZINO!$B$2:$M$100000,8,FALSE)</f>
        <v/>
      </c>
      <c r="I1569" s="3">
        <f>+VLOOKUP($A1569,MAGAZZINO!$B$2:$M$100000,9,FALSE)</f>
        <v/>
      </c>
      <c r="J1569" s="3">
        <f>+VLOOKUP($A1569,MAGAZZINO!$B$2:$M$100000,10,FALSE)</f>
        <v/>
      </c>
      <c r="K1569" s="3">
        <f>+VLOOKUP($A1569,MAGAZZINO!$B$2:$M$100000,11,FALSE)</f>
        <v/>
      </c>
      <c r="L1569" s="5">
        <f>+VLOOKUP($A1569,MAGAZZINO!$B$2:$M$100000,12,FALSE)</f>
        <v/>
      </c>
      <c r="M1569" s="47" t="n"/>
      <c r="N1569" s="88" t="n">
        <v>45873</v>
      </c>
      <c r="O1569" s="156" t="inlineStr">
        <is>
          <t>BIN HUMAID NATIONAL TRADING CO. (ARABIA SAUDITA)</t>
        </is>
      </c>
      <c r="P1569" s="152" t="inlineStr">
        <is>
          <t xml:space="preserve">  IMPORT LICENSE N. 182480  (END USER CERTIFICATE)                                                                      AUT. ESPORTAZIONE MULTIPLA N. 6B/2025/2M RILASCIATA IL 26/05/2025                        (LICENZA DI SCARICO N. 6B/2025/2S RILASCIATA IL 30/07/2025)</t>
        </is>
      </c>
      <c r="Q1569" s="150" t="n"/>
      <c r="R1569" s="150" t="n"/>
      <c r="S1569" s="153" t="n"/>
    </row>
    <row r="1570" ht="36" customHeight="1">
      <c r="A1570" s="46" t="n">
        <v>3900</v>
      </c>
      <c r="B1570" s="4">
        <f>+VLOOKUP($A1570,MAGAZZINO!$B$2:$M$100000,2,FALSE)</f>
        <v/>
      </c>
      <c r="C1570" s="29">
        <f>+VLOOKUP($A1570,MAGAZZINO!$B$2:$M$100000,3,FALSE)</f>
        <v/>
      </c>
      <c r="D1570" s="3">
        <f>+VLOOKUP($A1570,MAGAZZINO!$B$2:$M$100000,4,FALSE)</f>
        <v/>
      </c>
      <c r="E1570" s="3">
        <f>+VLOOKUP($A1570,MAGAZZINO!$B$2:$M$100000,5,FALSE)</f>
        <v/>
      </c>
      <c r="F1570" s="3">
        <f>+VLOOKUP($A1570,MAGAZZINO!$B$2:$M$100000,6,FALSE)</f>
        <v/>
      </c>
      <c r="G1570" s="3">
        <f>+VLOOKUP($A1570,MAGAZZINO!$B$2:$M$100000,7,FALSE)</f>
        <v/>
      </c>
      <c r="H1570" s="3">
        <f>+VLOOKUP($A1570,MAGAZZINO!$B$2:$M$100000,8,FALSE)</f>
        <v/>
      </c>
      <c r="I1570" s="3">
        <f>+VLOOKUP($A1570,MAGAZZINO!$B$2:$M$100000,9,FALSE)</f>
        <v/>
      </c>
      <c r="J1570" s="3">
        <f>+VLOOKUP($A1570,MAGAZZINO!$B$2:$M$100000,10,FALSE)</f>
        <v/>
      </c>
      <c r="K1570" s="3">
        <f>+VLOOKUP($A1570,MAGAZZINO!$B$2:$M$100000,11,FALSE)</f>
        <v/>
      </c>
      <c r="L1570" s="5">
        <f>+VLOOKUP($A1570,MAGAZZINO!$B$2:$M$100000,12,FALSE)</f>
        <v/>
      </c>
      <c r="M1570" s="47" t="n"/>
      <c r="N1570" s="88" t="n">
        <v>45873</v>
      </c>
      <c r="O1570" s="156" t="inlineStr">
        <is>
          <t>BIN HUMAID NATIONAL TRADING CO. (ARABIA SAUDITA)</t>
        </is>
      </c>
      <c r="P1570" s="152" t="inlineStr">
        <is>
          <t xml:space="preserve">  IMPORT LICENSE N. 182480  (END USER CERTIFICATE)                                                                      AUT. ESPORTAZIONE MULTIPLA N. 6B/2025/2M RILASCIATA IL 26/05/2025                        (LICENZA DI SCARICO N. 6B/2025/2S RILASCIATA IL 30/07/2025)</t>
        </is>
      </c>
      <c r="Q1570" s="150" t="n"/>
      <c r="R1570" s="150" t="n"/>
      <c r="S1570" s="153" t="n"/>
    </row>
    <row r="1571" ht="36" customHeight="1">
      <c r="A1571" s="46" t="n">
        <v>3901</v>
      </c>
      <c r="B1571" s="4">
        <f>+VLOOKUP($A1571,MAGAZZINO!$B$2:$M$100000,2,FALSE)</f>
        <v/>
      </c>
      <c r="C1571" s="29">
        <f>+VLOOKUP($A1571,MAGAZZINO!$B$2:$M$100000,3,FALSE)</f>
        <v/>
      </c>
      <c r="D1571" s="3">
        <f>+VLOOKUP($A1571,MAGAZZINO!$B$2:$M$100000,4,FALSE)</f>
        <v/>
      </c>
      <c r="E1571" s="3">
        <f>+VLOOKUP($A1571,MAGAZZINO!$B$2:$M$100000,5,FALSE)</f>
        <v/>
      </c>
      <c r="F1571" s="3">
        <f>+VLOOKUP($A1571,MAGAZZINO!$B$2:$M$100000,6,FALSE)</f>
        <v/>
      </c>
      <c r="G1571" s="3">
        <f>+VLOOKUP($A1571,MAGAZZINO!$B$2:$M$100000,7,FALSE)</f>
        <v/>
      </c>
      <c r="H1571" s="3">
        <f>+VLOOKUP($A1571,MAGAZZINO!$B$2:$M$100000,8,FALSE)</f>
        <v/>
      </c>
      <c r="I1571" s="3">
        <f>+VLOOKUP($A1571,MAGAZZINO!$B$2:$M$100000,9,FALSE)</f>
        <v/>
      </c>
      <c r="J1571" s="3">
        <f>+VLOOKUP($A1571,MAGAZZINO!$B$2:$M$100000,10,FALSE)</f>
        <v/>
      </c>
      <c r="K1571" s="3">
        <f>+VLOOKUP($A1571,MAGAZZINO!$B$2:$M$100000,11,FALSE)</f>
        <v/>
      </c>
      <c r="L1571" s="5">
        <f>+VLOOKUP($A1571,MAGAZZINO!$B$2:$M$100000,12,FALSE)</f>
        <v/>
      </c>
      <c r="M1571" s="47" t="n"/>
      <c r="N1571" s="88" t="n">
        <v>45873</v>
      </c>
      <c r="O1571" s="156" t="inlineStr">
        <is>
          <t>BIN HUMAID NATIONAL TRADING CO. (ARABIA SAUDITA)</t>
        </is>
      </c>
      <c r="P1571" s="152" t="inlineStr">
        <is>
          <t xml:space="preserve">  IMPORT LICENSE N. 182480  (END USER CERTIFICATE)                                                                      AUT. ESPORTAZIONE MULTIPLA N. 6B/2025/2M RILASCIATA IL 26/05/2025                        (LICENZA DI SCARICO N. 6B/2025/2S RILASCIATA IL 30/07/2025)</t>
        </is>
      </c>
      <c r="Q1571" s="150" t="n"/>
      <c r="R1571" s="150" t="n"/>
      <c r="S1571" s="153" t="n"/>
    </row>
    <row r="1572" ht="36" customHeight="1">
      <c r="A1572" s="46" t="n">
        <v>3902</v>
      </c>
      <c r="B1572" s="4">
        <f>+VLOOKUP($A1572,MAGAZZINO!$B$2:$M$100000,2,FALSE)</f>
        <v/>
      </c>
      <c r="C1572" s="29">
        <f>+VLOOKUP($A1572,MAGAZZINO!$B$2:$M$100000,3,FALSE)</f>
        <v/>
      </c>
      <c r="D1572" s="3">
        <f>+VLOOKUP($A1572,MAGAZZINO!$B$2:$M$100000,4,FALSE)</f>
        <v/>
      </c>
      <c r="E1572" s="3">
        <f>+VLOOKUP($A1572,MAGAZZINO!$B$2:$M$100000,5,FALSE)</f>
        <v/>
      </c>
      <c r="F1572" s="3">
        <f>+VLOOKUP($A1572,MAGAZZINO!$B$2:$M$100000,6,FALSE)</f>
        <v/>
      </c>
      <c r="G1572" s="3">
        <f>+VLOOKUP($A1572,MAGAZZINO!$B$2:$M$100000,7,FALSE)</f>
        <v/>
      </c>
      <c r="H1572" s="3">
        <f>+VLOOKUP($A1572,MAGAZZINO!$B$2:$M$100000,8,FALSE)</f>
        <v/>
      </c>
      <c r="I1572" s="3">
        <f>+VLOOKUP($A1572,MAGAZZINO!$B$2:$M$100000,9,FALSE)</f>
        <v/>
      </c>
      <c r="J1572" s="3">
        <f>+VLOOKUP($A1572,MAGAZZINO!$B$2:$M$100000,10,FALSE)</f>
        <v/>
      </c>
      <c r="K1572" s="3">
        <f>+VLOOKUP($A1572,MAGAZZINO!$B$2:$M$100000,11,FALSE)</f>
        <v/>
      </c>
      <c r="L1572" s="5">
        <f>+VLOOKUP($A1572,MAGAZZINO!$B$2:$M$100000,12,FALSE)</f>
        <v/>
      </c>
      <c r="M1572" s="47" t="n"/>
      <c r="N1572" s="88" t="n">
        <v>45873</v>
      </c>
      <c r="O1572" s="156" t="inlineStr">
        <is>
          <t>BIN HUMAID NATIONAL TRADING CO. (ARABIA SAUDITA)</t>
        </is>
      </c>
      <c r="P1572" s="152" t="inlineStr">
        <is>
          <t xml:space="preserve">  IMPORT LICENSE N. 182480  (END USER CERTIFICATE)                                                                      AUT. ESPORTAZIONE MULTIPLA N. 6B/2025/2M RILASCIATA IL 26/05/2025                        (LICENZA DI SCARICO N. 6B/2025/2S RILASCIATA IL 30/07/2025)</t>
        </is>
      </c>
      <c r="Q1572" s="150" t="n"/>
      <c r="R1572" s="150" t="n"/>
      <c r="S1572" s="153" t="n"/>
    </row>
    <row r="1573" ht="36" customHeight="1">
      <c r="A1573" s="46" t="n">
        <v>3903</v>
      </c>
      <c r="B1573" s="4">
        <f>+VLOOKUP($A1573,MAGAZZINO!$B$2:$M$100000,2,FALSE)</f>
        <v/>
      </c>
      <c r="C1573" s="29">
        <f>+VLOOKUP($A1573,MAGAZZINO!$B$2:$M$100000,3,FALSE)</f>
        <v/>
      </c>
      <c r="D1573" s="3">
        <f>+VLOOKUP($A1573,MAGAZZINO!$B$2:$M$100000,4,FALSE)</f>
        <v/>
      </c>
      <c r="E1573" s="3">
        <f>+VLOOKUP($A1573,MAGAZZINO!$B$2:$M$100000,5,FALSE)</f>
        <v/>
      </c>
      <c r="F1573" s="3">
        <f>+VLOOKUP($A1573,MAGAZZINO!$B$2:$M$100000,6,FALSE)</f>
        <v/>
      </c>
      <c r="G1573" s="3">
        <f>+VLOOKUP($A1573,MAGAZZINO!$B$2:$M$100000,7,FALSE)</f>
        <v/>
      </c>
      <c r="H1573" s="3">
        <f>+VLOOKUP($A1573,MAGAZZINO!$B$2:$M$100000,8,FALSE)</f>
        <v/>
      </c>
      <c r="I1573" s="3">
        <f>+VLOOKUP($A1573,MAGAZZINO!$B$2:$M$100000,9,FALSE)</f>
        <v/>
      </c>
      <c r="J1573" s="3">
        <f>+VLOOKUP($A1573,MAGAZZINO!$B$2:$M$100000,10,FALSE)</f>
        <v/>
      </c>
      <c r="K1573" s="3">
        <f>+VLOOKUP($A1573,MAGAZZINO!$B$2:$M$100000,11,FALSE)</f>
        <v/>
      </c>
      <c r="L1573" s="5">
        <f>+VLOOKUP($A1573,MAGAZZINO!$B$2:$M$100000,12,FALSE)</f>
        <v/>
      </c>
      <c r="M1573" s="47" t="n"/>
      <c r="N1573" s="88" t="n">
        <v>45873</v>
      </c>
      <c r="O1573" s="156" t="inlineStr">
        <is>
          <t>BIN HUMAID NATIONAL TRADING CO. (ARABIA SAUDITA)</t>
        </is>
      </c>
      <c r="P1573" s="152" t="inlineStr">
        <is>
          <t xml:space="preserve">  IMPORT LICENSE N. 182480  (END USER CERTIFICATE)                                                                      AUT. ESPORTAZIONE MULTIPLA N. 6B/2025/2M RILASCIATA IL 26/05/2025                        (LICENZA DI SCARICO N. 6B/2025/2S RILASCIATA IL 30/07/2025)</t>
        </is>
      </c>
      <c r="Q1573" s="150" t="n"/>
      <c r="R1573" s="150" t="n"/>
      <c r="S1573" s="153" t="n"/>
    </row>
    <row r="1574" ht="36" customHeight="1">
      <c r="A1574" s="46" t="n">
        <v>3904</v>
      </c>
      <c r="B1574" s="4">
        <f>+VLOOKUP($A1574,MAGAZZINO!$B$2:$M$100000,2,FALSE)</f>
        <v/>
      </c>
      <c r="C1574" s="29">
        <f>+VLOOKUP($A1574,MAGAZZINO!$B$2:$M$100000,3,FALSE)</f>
        <v/>
      </c>
      <c r="D1574" s="3">
        <f>+VLOOKUP($A1574,MAGAZZINO!$B$2:$M$100000,4,FALSE)</f>
        <v/>
      </c>
      <c r="E1574" s="3">
        <f>+VLOOKUP($A1574,MAGAZZINO!$B$2:$M$100000,5,FALSE)</f>
        <v/>
      </c>
      <c r="F1574" s="3">
        <f>+VLOOKUP($A1574,MAGAZZINO!$B$2:$M$100000,6,FALSE)</f>
        <v/>
      </c>
      <c r="G1574" s="3">
        <f>+VLOOKUP($A1574,MAGAZZINO!$B$2:$M$100000,7,FALSE)</f>
        <v/>
      </c>
      <c r="H1574" s="3">
        <f>+VLOOKUP($A1574,MAGAZZINO!$B$2:$M$100000,8,FALSE)</f>
        <v/>
      </c>
      <c r="I1574" s="3">
        <f>+VLOOKUP($A1574,MAGAZZINO!$B$2:$M$100000,9,FALSE)</f>
        <v/>
      </c>
      <c r="J1574" s="3">
        <f>+VLOOKUP($A1574,MAGAZZINO!$B$2:$M$100000,10,FALSE)</f>
        <v/>
      </c>
      <c r="K1574" s="3">
        <f>+VLOOKUP($A1574,MAGAZZINO!$B$2:$M$100000,11,FALSE)</f>
        <v/>
      </c>
      <c r="L1574" s="5">
        <f>+VLOOKUP($A1574,MAGAZZINO!$B$2:$M$100000,12,FALSE)</f>
        <v/>
      </c>
      <c r="M1574" s="47" t="n"/>
      <c r="N1574" s="88" t="n">
        <v>45873</v>
      </c>
      <c r="O1574" s="156" t="inlineStr">
        <is>
          <t>BIN HUMAID NATIONAL TRADING CO. (ARABIA SAUDITA)</t>
        </is>
      </c>
      <c r="P1574" s="152" t="inlineStr">
        <is>
          <t xml:space="preserve">  IMPORT LICENSE N. 182480  (END USER CERTIFICATE)                                                                      AUT. ESPORTAZIONE MULTIPLA N. 6B/2025/2M RILASCIATA IL 26/05/2025                        (LICENZA DI SCARICO N. 6B/2025/2S RILASCIATA IL 30/07/2025)</t>
        </is>
      </c>
      <c r="Q1574" s="150" t="n"/>
      <c r="R1574" s="150" t="n"/>
      <c r="S1574" s="153" t="n"/>
    </row>
    <row r="1575" ht="36" customHeight="1">
      <c r="A1575" s="46" t="n">
        <v>3905</v>
      </c>
      <c r="B1575" s="4">
        <f>+VLOOKUP($A1575,MAGAZZINO!$B$2:$M$100000,2,FALSE)</f>
        <v/>
      </c>
      <c r="C1575" s="29">
        <f>+VLOOKUP($A1575,MAGAZZINO!$B$2:$M$100000,3,FALSE)</f>
        <v/>
      </c>
      <c r="D1575" s="3">
        <f>+VLOOKUP($A1575,MAGAZZINO!$B$2:$M$100000,4,FALSE)</f>
        <v/>
      </c>
      <c r="E1575" s="3">
        <f>+VLOOKUP($A1575,MAGAZZINO!$B$2:$M$100000,5,FALSE)</f>
        <v/>
      </c>
      <c r="F1575" s="3">
        <f>+VLOOKUP($A1575,MAGAZZINO!$B$2:$M$100000,6,FALSE)</f>
        <v/>
      </c>
      <c r="G1575" s="3">
        <f>+VLOOKUP($A1575,MAGAZZINO!$B$2:$M$100000,7,FALSE)</f>
        <v/>
      </c>
      <c r="H1575" s="3">
        <f>+VLOOKUP($A1575,MAGAZZINO!$B$2:$M$100000,8,FALSE)</f>
        <v/>
      </c>
      <c r="I1575" s="3">
        <f>+VLOOKUP($A1575,MAGAZZINO!$B$2:$M$100000,9,FALSE)</f>
        <v/>
      </c>
      <c r="J1575" s="3">
        <f>+VLOOKUP($A1575,MAGAZZINO!$B$2:$M$100000,10,FALSE)</f>
        <v/>
      </c>
      <c r="K1575" s="3">
        <f>+VLOOKUP($A1575,MAGAZZINO!$B$2:$M$100000,11,FALSE)</f>
        <v/>
      </c>
      <c r="L1575" s="5">
        <f>+VLOOKUP($A1575,MAGAZZINO!$B$2:$M$100000,12,FALSE)</f>
        <v/>
      </c>
      <c r="M1575" s="47" t="n"/>
      <c r="N1575" s="88" t="n">
        <v>45873</v>
      </c>
      <c r="O1575" s="156" t="inlineStr">
        <is>
          <t>BIN HUMAID NATIONAL TRADING CO. (ARABIA SAUDITA)</t>
        </is>
      </c>
      <c r="P1575" s="152" t="inlineStr">
        <is>
          <t xml:space="preserve">  IMPORT LICENSE N. 182480  (END USER CERTIFICATE)                                                                      AUT. ESPORTAZIONE MULTIPLA N. 6B/2025/2M RILASCIATA IL 26/05/2025                        (LICENZA DI SCARICO N. 6B/2025/2S RILASCIATA IL 30/07/2025)</t>
        </is>
      </c>
      <c r="Q1575" s="150" t="n"/>
      <c r="R1575" s="150" t="n"/>
      <c r="S1575" s="153" t="n"/>
    </row>
    <row r="1576" ht="36" customHeight="1">
      <c r="A1576" s="46" t="n">
        <v>3906</v>
      </c>
      <c r="B1576" s="4">
        <f>+VLOOKUP($A1576,MAGAZZINO!$B$2:$M$100000,2,FALSE)</f>
        <v/>
      </c>
      <c r="C1576" s="29">
        <f>+VLOOKUP($A1576,MAGAZZINO!$B$2:$M$100000,3,FALSE)</f>
        <v/>
      </c>
      <c r="D1576" s="3">
        <f>+VLOOKUP($A1576,MAGAZZINO!$B$2:$M$100000,4,FALSE)</f>
        <v/>
      </c>
      <c r="E1576" s="3">
        <f>+VLOOKUP($A1576,MAGAZZINO!$B$2:$M$100000,5,FALSE)</f>
        <v/>
      </c>
      <c r="F1576" s="3">
        <f>+VLOOKUP($A1576,MAGAZZINO!$B$2:$M$100000,6,FALSE)</f>
        <v/>
      </c>
      <c r="G1576" s="3">
        <f>+VLOOKUP($A1576,MAGAZZINO!$B$2:$M$100000,7,FALSE)</f>
        <v/>
      </c>
      <c r="H1576" s="3">
        <f>+VLOOKUP($A1576,MAGAZZINO!$B$2:$M$100000,8,FALSE)</f>
        <v/>
      </c>
      <c r="I1576" s="3">
        <f>+VLOOKUP($A1576,MAGAZZINO!$B$2:$M$100000,9,FALSE)</f>
        <v/>
      </c>
      <c r="J1576" s="3">
        <f>+VLOOKUP($A1576,MAGAZZINO!$B$2:$M$100000,10,FALSE)</f>
        <v/>
      </c>
      <c r="K1576" s="3">
        <f>+VLOOKUP($A1576,MAGAZZINO!$B$2:$M$100000,11,FALSE)</f>
        <v/>
      </c>
      <c r="L1576" s="5">
        <f>+VLOOKUP($A1576,MAGAZZINO!$B$2:$M$100000,12,FALSE)</f>
        <v/>
      </c>
      <c r="M1576" s="47" t="n"/>
      <c r="N1576" s="88" t="n">
        <v>45873</v>
      </c>
      <c r="O1576" s="156" t="inlineStr">
        <is>
          <t>BIN HUMAID NATIONAL TRADING CO. (ARABIA SAUDITA)</t>
        </is>
      </c>
      <c r="P1576" s="152" t="inlineStr">
        <is>
          <t xml:space="preserve">  IMPORT LICENSE N. 182480  (END USER CERTIFICATE)                                                                      AUT. ESPORTAZIONE MULTIPLA N. 6B/2025/2M RILASCIATA IL 26/05/2025                        (LICENZA DI SCARICO N. 6B/2025/2S RILASCIATA IL 30/07/2025)</t>
        </is>
      </c>
      <c r="Q1576" s="150" t="n"/>
      <c r="R1576" s="150" t="n"/>
      <c r="S1576" s="153" t="n"/>
    </row>
    <row r="1577" ht="36" customHeight="1">
      <c r="A1577" s="46" t="n">
        <v>3907</v>
      </c>
      <c r="B1577" s="4">
        <f>+VLOOKUP($A1577,MAGAZZINO!$B$2:$M$100000,2,FALSE)</f>
        <v/>
      </c>
      <c r="C1577" s="29">
        <f>+VLOOKUP($A1577,MAGAZZINO!$B$2:$M$100000,3,FALSE)</f>
        <v/>
      </c>
      <c r="D1577" s="3">
        <f>+VLOOKUP($A1577,MAGAZZINO!$B$2:$M$100000,4,FALSE)</f>
        <v/>
      </c>
      <c r="E1577" s="3">
        <f>+VLOOKUP($A1577,MAGAZZINO!$B$2:$M$100000,5,FALSE)</f>
        <v/>
      </c>
      <c r="F1577" s="3">
        <f>+VLOOKUP($A1577,MAGAZZINO!$B$2:$M$100000,6,FALSE)</f>
        <v/>
      </c>
      <c r="G1577" s="3">
        <f>+VLOOKUP($A1577,MAGAZZINO!$B$2:$M$100000,7,FALSE)</f>
        <v/>
      </c>
      <c r="H1577" s="3">
        <f>+VLOOKUP($A1577,MAGAZZINO!$B$2:$M$100000,8,FALSE)</f>
        <v/>
      </c>
      <c r="I1577" s="3">
        <f>+VLOOKUP($A1577,MAGAZZINO!$B$2:$M$100000,9,FALSE)</f>
        <v/>
      </c>
      <c r="J1577" s="3">
        <f>+VLOOKUP($A1577,MAGAZZINO!$B$2:$M$100000,10,FALSE)</f>
        <v/>
      </c>
      <c r="K1577" s="3">
        <f>+VLOOKUP($A1577,MAGAZZINO!$B$2:$M$100000,11,FALSE)</f>
        <v/>
      </c>
      <c r="L1577" s="5">
        <f>+VLOOKUP($A1577,MAGAZZINO!$B$2:$M$100000,12,FALSE)</f>
        <v/>
      </c>
      <c r="M1577" s="47" t="n"/>
      <c r="N1577" s="88" t="n">
        <v>45873</v>
      </c>
      <c r="O1577" s="156" t="inlineStr">
        <is>
          <t>BIN HUMAID NATIONAL TRADING CO. (ARABIA SAUDITA)</t>
        </is>
      </c>
      <c r="P1577" s="152" t="inlineStr">
        <is>
          <t xml:space="preserve">  IMPORT LICENSE N. 182480  (END USER CERTIFICATE)                                                                      AUT. ESPORTAZIONE MULTIPLA N. 6B/2025/2M RILASCIATA IL 26/05/2025                        (LICENZA DI SCARICO N. 6B/2025/2S RILASCIATA IL 30/07/2025)</t>
        </is>
      </c>
      <c r="Q1577" s="150" t="n"/>
      <c r="R1577" s="150" t="n"/>
      <c r="S1577" s="153" t="n"/>
    </row>
    <row r="1578" ht="36" customHeight="1">
      <c r="A1578" s="46" t="n">
        <v>3908</v>
      </c>
      <c r="B1578" s="4">
        <f>+VLOOKUP($A1578,MAGAZZINO!$B$2:$M$100000,2,FALSE)</f>
        <v/>
      </c>
      <c r="C1578" s="29">
        <f>+VLOOKUP($A1578,MAGAZZINO!$B$2:$M$100000,3,FALSE)</f>
        <v/>
      </c>
      <c r="D1578" s="3">
        <f>+VLOOKUP($A1578,MAGAZZINO!$B$2:$M$100000,4,FALSE)</f>
        <v/>
      </c>
      <c r="E1578" s="3">
        <f>+VLOOKUP($A1578,MAGAZZINO!$B$2:$M$100000,5,FALSE)</f>
        <v/>
      </c>
      <c r="F1578" s="3">
        <f>+VLOOKUP($A1578,MAGAZZINO!$B$2:$M$100000,6,FALSE)</f>
        <v/>
      </c>
      <c r="G1578" s="3">
        <f>+VLOOKUP($A1578,MAGAZZINO!$B$2:$M$100000,7,FALSE)</f>
        <v/>
      </c>
      <c r="H1578" s="3">
        <f>+VLOOKUP($A1578,MAGAZZINO!$B$2:$M$100000,8,FALSE)</f>
        <v/>
      </c>
      <c r="I1578" s="3">
        <f>+VLOOKUP($A1578,MAGAZZINO!$B$2:$M$100000,9,FALSE)</f>
        <v/>
      </c>
      <c r="J1578" s="3">
        <f>+VLOOKUP($A1578,MAGAZZINO!$B$2:$M$100000,10,FALSE)</f>
        <v/>
      </c>
      <c r="K1578" s="3">
        <f>+VLOOKUP($A1578,MAGAZZINO!$B$2:$M$100000,11,FALSE)</f>
        <v/>
      </c>
      <c r="L1578" s="5">
        <f>+VLOOKUP($A1578,MAGAZZINO!$B$2:$M$100000,12,FALSE)</f>
        <v/>
      </c>
      <c r="M1578" s="47" t="n"/>
      <c r="N1578" s="88" t="n">
        <v>45873</v>
      </c>
      <c r="O1578" s="156" t="inlineStr">
        <is>
          <t>BIN HUMAID NATIONAL TRADING CO. (ARABIA SAUDITA)</t>
        </is>
      </c>
      <c r="P1578" s="152" t="inlineStr">
        <is>
          <t xml:space="preserve">  IMPORT LICENSE N. 182480  (END USER CERTIFICATE)                                                                      AUT. ESPORTAZIONE MULTIPLA N. 6B/2025/2M RILASCIATA IL 26/05/2025                        (LICENZA DI SCARICO N. 6B/2025/2S RILASCIATA IL 30/07/2025)</t>
        </is>
      </c>
      <c r="Q1578" s="150" t="n"/>
      <c r="R1578" s="150" t="n"/>
      <c r="S1578" s="153" t="n"/>
    </row>
    <row r="1579" ht="36" customHeight="1">
      <c r="A1579" s="46" t="n">
        <v>3909</v>
      </c>
      <c r="B1579" s="4">
        <f>+VLOOKUP($A1579,MAGAZZINO!$B$2:$M$100000,2,FALSE)</f>
        <v/>
      </c>
      <c r="C1579" s="29">
        <f>+VLOOKUP($A1579,MAGAZZINO!$B$2:$M$100000,3,FALSE)</f>
        <v/>
      </c>
      <c r="D1579" s="3">
        <f>+VLOOKUP($A1579,MAGAZZINO!$B$2:$M$100000,4,FALSE)</f>
        <v/>
      </c>
      <c r="E1579" s="3">
        <f>+VLOOKUP($A1579,MAGAZZINO!$B$2:$M$100000,5,FALSE)</f>
        <v/>
      </c>
      <c r="F1579" s="3">
        <f>+VLOOKUP($A1579,MAGAZZINO!$B$2:$M$100000,6,FALSE)</f>
        <v/>
      </c>
      <c r="G1579" s="3">
        <f>+VLOOKUP($A1579,MAGAZZINO!$B$2:$M$100000,7,FALSE)</f>
        <v/>
      </c>
      <c r="H1579" s="3">
        <f>+VLOOKUP($A1579,MAGAZZINO!$B$2:$M$100000,8,FALSE)</f>
        <v/>
      </c>
      <c r="I1579" s="3">
        <f>+VLOOKUP($A1579,MAGAZZINO!$B$2:$M$100000,9,FALSE)</f>
        <v/>
      </c>
      <c r="J1579" s="3">
        <f>+VLOOKUP($A1579,MAGAZZINO!$B$2:$M$100000,10,FALSE)</f>
        <v/>
      </c>
      <c r="K1579" s="3">
        <f>+VLOOKUP($A1579,MAGAZZINO!$B$2:$M$100000,11,FALSE)</f>
        <v/>
      </c>
      <c r="L1579" s="5">
        <f>+VLOOKUP($A1579,MAGAZZINO!$B$2:$M$100000,12,FALSE)</f>
        <v/>
      </c>
      <c r="M1579" s="47" t="n"/>
      <c r="N1579" s="88" t="n">
        <v>45873</v>
      </c>
      <c r="O1579" s="156" t="inlineStr">
        <is>
          <t>BIN HUMAID NATIONAL TRADING CO. (ARABIA SAUDITA)</t>
        </is>
      </c>
      <c r="P1579" s="152" t="inlineStr">
        <is>
          <t xml:space="preserve">  IMPORT LICENSE N. 182480  (END USER CERTIFICATE)                                                                      AUT. ESPORTAZIONE MULTIPLA N. 6B/2025/2M RILASCIATA IL 26/05/2025                        (LICENZA DI SCARICO N. 6B/2025/2S RILASCIATA IL 30/07/2025)</t>
        </is>
      </c>
      <c r="Q1579" s="150" t="n"/>
      <c r="R1579" s="150" t="n"/>
      <c r="S1579" s="153" t="n"/>
    </row>
    <row r="1580" ht="36" customHeight="1">
      <c r="A1580" s="46" t="n">
        <v>3910</v>
      </c>
      <c r="B1580" s="4">
        <f>+VLOOKUP($A1580,MAGAZZINO!$B$2:$M$100000,2,FALSE)</f>
        <v/>
      </c>
      <c r="C1580" s="29">
        <f>+VLOOKUP($A1580,MAGAZZINO!$B$2:$M$100000,3,FALSE)</f>
        <v/>
      </c>
      <c r="D1580" s="3">
        <f>+VLOOKUP($A1580,MAGAZZINO!$B$2:$M$100000,4,FALSE)</f>
        <v/>
      </c>
      <c r="E1580" s="3">
        <f>+VLOOKUP($A1580,MAGAZZINO!$B$2:$M$100000,5,FALSE)</f>
        <v/>
      </c>
      <c r="F1580" s="3">
        <f>+VLOOKUP($A1580,MAGAZZINO!$B$2:$M$100000,6,FALSE)</f>
        <v/>
      </c>
      <c r="G1580" s="3">
        <f>+VLOOKUP($A1580,MAGAZZINO!$B$2:$M$100000,7,FALSE)</f>
        <v/>
      </c>
      <c r="H1580" s="3">
        <f>+VLOOKUP($A1580,MAGAZZINO!$B$2:$M$100000,8,FALSE)</f>
        <v/>
      </c>
      <c r="I1580" s="3">
        <f>+VLOOKUP($A1580,MAGAZZINO!$B$2:$M$100000,9,FALSE)</f>
        <v/>
      </c>
      <c r="J1580" s="3">
        <f>+VLOOKUP($A1580,MAGAZZINO!$B$2:$M$100000,10,FALSE)</f>
        <v/>
      </c>
      <c r="K1580" s="3">
        <f>+VLOOKUP($A1580,MAGAZZINO!$B$2:$M$100000,11,FALSE)</f>
        <v/>
      </c>
      <c r="L1580" s="5">
        <f>+VLOOKUP($A1580,MAGAZZINO!$B$2:$M$100000,12,FALSE)</f>
        <v/>
      </c>
      <c r="M1580" s="47" t="n"/>
      <c r="N1580" s="88" t="n">
        <v>45873</v>
      </c>
      <c r="O1580" s="156" t="inlineStr">
        <is>
          <t>BIN HUMAID NATIONAL TRADING CO. (ARABIA SAUDITA)</t>
        </is>
      </c>
      <c r="P1580" s="152" t="inlineStr">
        <is>
          <t xml:space="preserve">  IMPORT LICENSE N. 182480  (END USER CERTIFICATE)                                                                      AUT. ESPORTAZIONE MULTIPLA N. 6B/2025/2M RILASCIATA IL 26/05/2025                        (LICENZA DI SCARICO N. 6B/2025/2S RILASCIATA IL 30/07/2025)</t>
        </is>
      </c>
      <c r="Q1580" s="150" t="n"/>
      <c r="R1580" s="150" t="n"/>
      <c r="S1580" s="153" t="n"/>
    </row>
    <row r="1581" ht="36" customHeight="1">
      <c r="A1581" s="46" t="n">
        <v>3911</v>
      </c>
      <c r="B1581" s="4">
        <f>+VLOOKUP($A1581,MAGAZZINO!$B$2:$M$100000,2,FALSE)</f>
        <v/>
      </c>
      <c r="C1581" s="29">
        <f>+VLOOKUP($A1581,MAGAZZINO!$B$2:$M$100000,3,FALSE)</f>
        <v/>
      </c>
      <c r="D1581" s="3">
        <f>+VLOOKUP($A1581,MAGAZZINO!$B$2:$M$100000,4,FALSE)</f>
        <v/>
      </c>
      <c r="E1581" s="3">
        <f>+VLOOKUP($A1581,MAGAZZINO!$B$2:$M$100000,5,FALSE)</f>
        <v/>
      </c>
      <c r="F1581" s="3">
        <f>+VLOOKUP($A1581,MAGAZZINO!$B$2:$M$100000,6,FALSE)</f>
        <v/>
      </c>
      <c r="G1581" s="3">
        <f>+VLOOKUP($A1581,MAGAZZINO!$B$2:$M$100000,7,FALSE)</f>
        <v/>
      </c>
      <c r="H1581" s="3">
        <f>+VLOOKUP($A1581,MAGAZZINO!$B$2:$M$100000,8,FALSE)</f>
        <v/>
      </c>
      <c r="I1581" s="3">
        <f>+VLOOKUP($A1581,MAGAZZINO!$B$2:$M$100000,9,FALSE)</f>
        <v/>
      </c>
      <c r="J1581" s="3">
        <f>+VLOOKUP($A1581,MAGAZZINO!$B$2:$M$100000,10,FALSE)</f>
        <v/>
      </c>
      <c r="K1581" s="3">
        <f>+VLOOKUP($A1581,MAGAZZINO!$B$2:$M$100000,11,FALSE)</f>
        <v/>
      </c>
      <c r="L1581" s="5">
        <f>+VLOOKUP($A1581,MAGAZZINO!$B$2:$M$100000,12,FALSE)</f>
        <v/>
      </c>
      <c r="M1581" s="47" t="n"/>
      <c r="N1581" s="88" t="n">
        <v>45873</v>
      </c>
      <c r="O1581" s="156" t="inlineStr">
        <is>
          <t>BIN HUMAID NATIONAL TRADING CO. (ARABIA SAUDITA)</t>
        </is>
      </c>
      <c r="P1581" s="152" t="inlineStr">
        <is>
          <t xml:space="preserve">  IMPORT LICENSE N. 182480  (END USER CERTIFICATE)                                                                      AUT. ESPORTAZIONE MULTIPLA N. 6B/2025/2M RILASCIATA IL 26/05/2025                        (LICENZA DI SCARICO N. 6B/2025/2S RILASCIATA IL 30/07/2025)</t>
        </is>
      </c>
      <c r="Q1581" s="150" t="n"/>
      <c r="R1581" s="150" t="n"/>
      <c r="S1581" s="153" t="n"/>
    </row>
    <row r="1582" ht="36" customHeight="1">
      <c r="A1582" s="46" t="n">
        <v>3912</v>
      </c>
      <c r="B1582" s="4">
        <f>+VLOOKUP($A1582,MAGAZZINO!$B$2:$M$100000,2,FALSE)</f>
        <v/>
      </c>
      <c r="C1582" s="29">
        <f>+VLOOKUP($A1582,MAGAZZINO!$B$2:$M$100000,3,FALSE)</f>
        <v/>
      </c>
      <c r="D1582" s="3">
        <f>+VLOOKUP($A1582,MAGAZZINO!$B$2:$M$100000,4,FALSE)</f>
        <v/>
      </c>
      <c r="E1582" s="3">
        <f>+VLOOKUP($A1582,MAGAZZINO!$B$2:$M$100000,5,FALSE)</f>
        <v/>
      </c>
      <c r="F1582" s="3">
        <f>+VLOOKUP($A1582,MAGAZZINO!$B$2:$M$100000,6,FALSE)</f>
        <v/>
      </c>
      <c r="G1582" s="3">
        <f>+VLOOKUP($A1582,MAGAZZINO!$B$2:$M$100000,7,FALSE)</f>
        <v/>
      </c>
      <c r="H1582" s="3">
        <f>+VLOOKUP($A1582,MAGAZZINO!$B$2:$M$100000,8,FALSE)</f>
        <v/>
      </c>
      <c r="I1582" s="3">
        <f>+VLOOKUP($A1582,MAGAZZINO!$B$2:$M$100000,9,FALSE)</f>
        <v/>
      </c>
      <c r="J1582" s="3">
        <f>+VLOOKUP($A1582,MAGAZZINO!$B$2:$M$100000,10,FALSE)</f>
        <v/>
      </c>
      <c r="K1582" s="3">
        <f>+VLOOKUP($A1582,MAGAZZINO!$B$2:$M$100000,11,FALSE)</f>
        <v/>
      </c>
      <c r="L1582" s="5">
        <f>+VLOOKUP($A1582,MAGAZZINO!$B$2:$M$100000,12,FALSE)</f>
        <v/>
      </c>
      <c r="M1582" s="47" t="n"/>
      <c r="N1582" s="88" t="n">
        <v>45873</v>
      </c>
      <c r="O1582" s="156" t="inlineStr">
        <is>
          <t>BIN HUMAID NATIONAL TRADING CO. (ARABIA SAUDITA)</t>
        </is>
      </c>
      <c r="P1582" s="152" t="inlineStr">
        <is>
          <t xml:space="preserve">  IMPORT LICENSE N. 182480  (END USER CERTIFICATE)                                                                      AUT. ESPORTAZIONE MULTIPLA N. 6B/2025/2M RILASCIATA IL 26/05/2025                        (LICENZA DI SCARICO N. 6B/2025/2S RILASCIATA IL 30/07/2025)</t>
        </is>
      </c>
      <c r="Q1582" s="150" t="n"/>
      <c r="R1582" s="150" t="n"/>
      <c r="S1582" s="153" t="n"/>
    </row>
    <row r="1583" ht="36" customHeight="1">
      <c r="A1583" s="46" t="n">
        <v>3913</v>
      </c>
      <c r="B1583" s="4">
        <f>+VLOOKUP($A1583,MAGAZZINO!$B$2:$M$100000,2,FALSE)</f>
        <v/>
      </c>
      <c r="C1583" s="29">
        <f>+VLOOKUP($A1583,MAGAZZINO!$B$2:$M$100000,3,FALSE)</f>
        <v/>
      </c>
      <c r="D1583" s="3">
        <f>+VLOOKUP($A1583,MAGAZZINO!$B$2:$M$100000,4,FALSE)</f>
        <v/>
      </c>
      <c r="E1583" s="3">
        <f>+VLOOKUP($A1583,MAGAZZINO!$B$2:$M$100000,5,FALSE)</f>
        <v/>
      </c>
      <c r="F1583" s="3">
        <f>+VLOOKUP($A1583,MAGAZZINO!$B$2:$M$100000,6,FALSE)</f>
        <v/>
      </c>
      <c r="G1583" s="3">
        <f>+VLOOKUP($A1583,MAGAZZINO!$B$2:$M$100000,7,FALSE)</f>
        <v/>
      </c>
      <c r="H1583" s="3">
        <f>+VLOOKUP($A1583,MAGAZZINO!$B$2:$M$100000,8,FALSE)</f>
        <v/>
      </c>
      <c r="I1583" s="3">
        <f>+VLOOKUP($A1583,MAGAZZINO!$B$2:$M$100000,9,FALSE)</f>
        <v/>
      </c>
      <c r="J1583" s="3">
        <f>+VLOOKUP($A1583,MAGAZZINO!$B$2:$M$100000,10,FALSE)</f>
        <v/>
      </c>
      <c r="K1583" s="3">
        <f>+VLOOKUP($A1583,MAGAZZINO!$B$2:$M$100000,11,FALSE)</f>
        <v/>
      </c>
      <c r="L1583" s="5">
        <f>+VLOOKUP($A1583,MAGAZZINO!$B$2:$M$100000,12,FALSE)</f>
        <v/>
      </c>
      <c r="M1583" s="47" t="n"/>
      <c r="N1583" s="88" t="n">
        <v>45873</v>
      </c>
      <c r="O1583" s="156" t="inlineStr">
        <is>
          <t>BIN HUMAID NATIONAL TRADING CO. (ARABIA SAUDITA)</t>
        </is>
      </c>
      <c r="P1583" s="152" t="inlineStr">
        <is>
          <t xml:space="preserve">  IMPORT LICENSE N. 182480  (END USER CERTIFICATE)                                                                      AUT. ESPORTAZIONE MULTIPLA N. 6B/2025/2M RILASCIATA IL 26/05/2025                        (LICENZA DI SCARICO N. 6B/2025/2S RILASCIATA IL 30/07/2025)</t>
        </is>
      </c>
      <c r="Q1583" s="150" t="n"/>
      <c r="R1583" s="150" t="n"/>
      <c r="S1583" s="153" t="n"/>
    </row>
    <row r="1584" ht="36" customHeight="1">
      <c r="A1584" s="46" t="n">
        <v>3914</v>
      </c>
      <c r="B1584" s="4">
        <f>+VLOOKUP($A1584,MAGAZZINO!$B$2:$M$100000,2,FALSE)</f>
        <v/>
      </c>
      <c r="C1584" s="29">
        <f>+VLOOKUP($A1584,MAGAZZINO!$B$2:$M$100000,3,FALSE)</f>
        <v/>
      </c>
      <c r="D1584" s="3">
        <f>+VLOOKUP($A1584,MAGAZZINO!$B$2:$M$100000,4,FALSE)</f>
        <v/>
      </c>
      <c r="E1584" s="3">
        <f>+VLOOKUP($A1584,MAGAZZINO!$B$2:$M$100000,5,FALSE)</f>
        <v/>
      </c>
      <c r="F1584" s="3">
        <f>+VLOOKUP($A1584,MAGAZZINO!$B$2:$M$100000,6,FALSE)</f>
        <v/>
      </c>
      <c r="G1584" s="3">
        <f>+VLOOKUP($A1584,MAGAZZINO!$B$2:$M$100000,7,FALSE)</f>
        <v/>
      </c>
      <c r="H1584" s="3">
        <f>+VLOOKUP($A1584,MAGAZZINO!$B$2:$M$100000,8,FALSE)</f>
        <v/>
      </c>
      <c r="I1584" s="3">
        <f>+VLOOKUP($A1584,MAGAZZINO!$B$2:$M$100000,9,FALSE)</f>
        <v/>
      </c>
      <c r="J1584" s="3">
        <f>+VLOOKUP($A1584,MAGAZZINO!$B$2:$M$100000,10,FALSE)</f>
        <v/>
      </c>
      <c r="K1584" s="3">
        <f>+VLOOKUP($A1584,MAGAZZINO!$B$2:$M$100000,11,FALSE)</f>
        <v/>
      </c>
      <c r="L1584" s="5">
        <f>+VLOOKUP($A1584,MAGAZZINO!$B$2:$M$100000,12,FALSE)</f>
        <v/>
      </c>
      <c r="M1584" s="47" t="n"/>
      <c r="N1584" s="88" t="n">
        <v>45873</v>
      </c>
      <c r="O1584" s="156" t="inlineStr">
        <is>
          <t>BIN HUMAID NATIONAL TRADING CO. (ARABIA SAUDITA)</t>
        </is>
      </c>
      <c r="P1584" s="152" t="inlineStr">
        <is>
          <t xml:space="preserve">  IMPORT LICENSE N. 182480  (END USER CERTIFICATE)                                                                      AUT. ESPORTAZIONE MULTIPLA N. 6B/2025/2M RILASCIATA IL 26/05/2025                        (LICENZA DI SCARICO N. 6B/2025/2S RILASCIATA IL 30/07/2025)</t>
        </is>
      </c>
      <c r="Q1584" s="150" t="n"/>
      <c r="R1584" s="150" t="n"/>
      <c r="S1584" s="153" t="n"/>
    </row>
    <row r="1585" ht="36" customHeight="1">
      <c r="A1585" s="46" t="n">
        <v>3915</v>
      </c>
      <c r="B1585" s="4">
        <f>+VLOOKUP($A1585,MAGAZZINO!$B$2:$M$100000,2,FALSE)</f>
        <v/>
      </c>
      <c r="C1585" s="29">
        <f>+VLOOKUP($A1585,MAGAZZINO!$B$2:$M$100000,3,FALSE)</f>
        <v/>
      </c>
      <c r="D1585" s="3">
        <f>+VLOOKUP($A1585,MAGAZZINO!$B$2:$M$100000,4,FALSE)</f>
        <v/>
      </c>
      <c r="E1585" s="3">
        <f>+VLOOKUP($A1585,MAGAZZINO!$B$2:$M$100000,5,FALSE)</f>
        <v/>
      </c>
      <c r="F1585" s="3">
        <f>+VLOOKUP($A1585,MAGAZZINO!$B$2:$M$100000,6,FALSE)</f>
        <v/>
      </c>
      <c r="G1585" s="3">
        <f>+VLOOKUP($A1585,MAGAZZINO!$B$2:$M$100000,7,FALSE)</f>
        <v/>
      </c>
      <c r="H1585" s="3">
        <f>+VLOOKUP($A1585,MAGAZZINO!$B$2:$M$100000,8,FALSE)</f>
        <v/>
      </c>
      <c r="I1585" s="3">
        <f>+VLOOKUP($A1585,MAGAZZINO!$B$2:$M$100000,9,FALSE)</f>
        <v/>
      </c>
      <c r="J1585" s="3">
        <f>+VLOOKUP($A1585,MAGAZZINO!$B$2:$M$100000,10,FALSE)</f>
        <v/>
      </c>
      <c r="K1585" s="3">
        <f>+VLOOKUP($A1585,MAGAZZINO!$B$2:$M$100000,11,FALSE)</f>
        <v/>
      </c>
      <c r="L1585" s="5">
        <f>+VLOOKUP($A1585,MAGAZZINO!$B$2:$M$100000,12,FALSE)</f>
        <v/>
      </c>
      <c r="M1585" s="47" t="n"/>
      <c r="N1585" s="88" t="n">
        <v>45873</v>
      </c>
      <c r="O1585" s="156" t="inlineStr">
        <is>
          <t>BIN HUMAID NATIONAL TRADING CO. (ARABIA SAUDITA)</t>
        </is>
      </c>
      <c r="P1585" s="152" t="inlineStr">
        <is>
          <t xml:space="preserve">  IMPORT LICENSE N. 182480  (END USER CERTIFICATE)                                                                      AUT. ESPORTAZIONE MULTIPLA N. 6B/2025/2M RILASCIATA IL 26/05/2025                        (LICENZA DI SCARICO N. 6B/2025/2S RILASCIATA IL 30/07/2025)</t>
        </is>
      </c>
      <c r="Q1585" s="150" t="n"/>
      <c r="R1585" s="150" t="n"/>
      <c r="S1585" s="153" t="n"/>
    </row>
    <row r="1586" ht="36" customHeight="1">
      <c r="A1586" s="46" t="n">
        <v>3916</v>
      </c>
      <c r="B1586" s="4">
        <f>+VLOOKUP($A1586,MAGAZZINO!$B$2:$M$100000,2,FALSE)</f>
        <v/>
      </c>
      <c r="C1586" s="29">
        <f>+VLOOKUP($A1586,MAGAZZINO!$B$2:$M$100000,3,FALSE)</f>
        <v/>
      </c>
      <c r="D1586" s="3">
        <f>+VLOOKUP($A1586,MAGAZZINO!$B$2:$M$100000,4,FALSE)</f>
        <v/>
      </c>
      <c r="E1586" s="3">
        <f>+VLOOKUP($A1586,MAGAZZINO!$B$2:$M$100000,5,FALSE)</f>
        <v/>
      </c>
      <c r="F1586" s="3">
        <f>+VLOOKUP($A1586,MAGAZZINO!$B$2:$M$100000,6,FALSE)</f>
        <v/>
      </c>
      <c r="G1586" s="3">
        <f>+VLOOKUP($A1586,MAGAZZINO!$B$2:$M$100000,7,FALSE)</f>
        <v/>
      </c>
      <c r="H1586" s="3">
        <f>+VLOOKUP($A1586,MAGAZZINO!$B$2:$M$100000,8,FALSE)</f>
        <v/>
      </c>
      <c r="I1586" s="3">
        <f>+VLOOKUP($A1586,MAGAZZINO!$B$2:$M$100000,9,FALSE)</f>
        <v/>
      </c>
      <c r="J1586" s="3">
        <f>+VLOOKUP($A1586,MAGAZZINO!$B$2:$M$100000,10,FALSE)</f>
        <v/>
      </c>
      <c r="K1586" s="3">
        <f>+VLOOKUP($A1586,MAGAZZINO!$B$2:$M$100000,11,FALSE)</f>
        <v/>
      </c>
      <c r="L1586" s="5">
        <f>+VLOOKUP($A1586,MAGAZZINO!$B$2:$M$100000,12,FALSE)</f>
        <v/>
      </c>
      <c r="M1586" s="47" t="n"/>
      <c r="N1586" s="88" t="n">
        <v>45873</v>
      </c>
      <c r="O1586" s="156" t="inlineStr">
        <is>
          <t>BIN HUMAID NATIONAL TRADING CO. (ARABIA SAUDITA)</t>
        </is>
      </c>
      <c r="P1586" s="152" t="inlineStr">
        <is>
          <t xml:space="preserve">  IMPORT LICENSE N. 182480  (END USER CERTIFICATE)                                                                      AUT. ESPORTAZIONE MULTIPLA N. 6B/2025/2M RILASCIATA IL 26/05/2025                        (LICENZA DI SCARICO N. 6B/2025/2S RILASCIATA IL 30/07/2025)</t>
        </is>
      </c>
      <c r="Q1586" s="150" t="n"/>
      <c r="R1586" s="150" t="n"/>
      <c r="S1586" s="153" t="n"/>
    </row>
    <row r="1587" ht="36" customHeight="1">
      <c r="A1587" s="46" t="n">
        <v>3917</v>
      </c>
      <c r="B1587" s="4">
        <f>+VLOOKUP($A1587,MAGAZZINO!$B$2:$M$100000,2,FALSE)</f>
        <v/>
      </c>
      <c r="C1587" s="29">
        <f>+VLOOKUP($A1587,MAGAZZINO!$B$2:$M$100000,3,FALSE)</f>
        <v/>
      </c>
      <c r="D1587" s="3">
        <f>+VLOOKUP($A1587,MAGAZZINO!$B$2:$M$100000,4,FALSE)</f>
        <v/>
      </c>
      <c r="E1587" s="3">
        <f>+VLOOKUP($A1587,MAGAZZINO!$B$2:$M$100000,5,FALSE)</f>
        <v/>
      </c>
      <c r="F1587" s="3">
        <f>+VLOOKUP($A1587,MAGAZZINO!$B$2:$M$100000,6,FALSE)</f>
        <v/>
      </c>
      <c r="G1587" s="3">
        <f>+VLOOKUP($A1587,MAGAZZINO!$B$2:$M$100000,7,FALSE)</f>
        <v/>
      </c>
      <c r="H1587" s="3">
        <f>+VLOOKUP($A1587,MAGAZZINO!$B$2:$M$100000,8,FALSE)</f>
        <v/>
      </c>
      <c r="I1587" s="3">
        <f>+VLOOKUP($A1587,MAGAZZINO!$B$2:$M$100000,9,FALSE)</f>
        <v/>
      </c>
      <c r="J1587" s="3">
        <f>+VLOOKUP($A1587,MAGAZZINO!$B$2:$M$100000,10,FALSE)</f>
        <v/>
      </c>
      <c r="K1587" s="3">
        <f>+VLOOKUP($A1587,MAGAZZINO!$B$2:$M$100000,11,FALSE)</f>
        <v/>
      </c>
      <c r="L1587" s="5">
        <f>+VLOOKUP($A1587,MAGAZZINO!$B$2:$M$100000,12,FALSE)</f>
        <v/>
      </c>
      <c r="M1587" s="47" t="n"/>
      <c r="N1587" s="88" t="n">
        <v>45873</v>
      </c>
      <c r="O1587" s="156" t="inlineStr">
        <is>
          <t>BIN HUMAID NATIONAL TRADING CO. (ARABIA SAUDITA)</t>
        </is>
      </c>
      <c r="P1587" s="152" t="inlineStr">
        <is>
          <t xml:space="preserve">  IMPORT LICENSE N. 182480  (END USER CERTIFICATE)                                                                      AUT. ESPORTAZIONE MULTIPLA N. 6B/2025/2M RILASCIATA IL 26/05/2025                        (LICENZA DI SCARICO N. 6B/2025/2S RILASCIATA IL 30/07/2025)</t>
        </is>
      </c>
      <c r="Q1587" s="150" t="n"/>
      <c r="R1587" s="150" t="n"/>
      <c r="S1587" s="153" t="n"/>
    </row>
    <row r="1588" ht="36" customHeight="1">
      <c r="A1588" s="46" t="n">
        <v>3918</v>
      </c>
      <c r="B1588" s="4">
        <f>+VLOOKUP($A1588,MAGAZZINO!$B$2:$M$100000,2,FALSE)</f>
        <v/>
      </c>
      <c r="C1588" s="29">
        <f>+VLOOKUP($A1588,MAGAZZINO!$B$2:$M$100000,3,FALSE)</f>
        <v/>
      </c>
      <c r="D1588" s="3">
        <f>+VLOOKUP($A1588,MAGAZZINO!$B$2:$M$100000,4,FALSE)</f>
        <v/>
      </c>
      <c r="E1588" s="3">
        <f>+VLOOKUP($A1588,MAGAZZINO!$B$2:$M$100000,5,FALSE)</f>
        <v/>
      </c>
      <c r="F1588" s="3">
        <f>+VLOOKUP($A1588,MAGAZZINO!$B$2:$M$100000,6,FALSE)</f>
        <v/>
      </c>
      <c r="G1588" s="3">
        <f>+VLOOKUP($A1588,MAGAZZINO!$B$2:$M$100000,7,FALSE)</f>
        <v/>
      </c>
      <c r="H1588" s="3">
        <f>+VLOOKUP($A1588,MAGAZZINO!$B$2:$M$100000,8,FALSE)</f>
        <v/>
      </c>
      <c r="I1588" s="3">
        <f>+VLOOKUP($A1588,MAGAZZINO!$B$2:$M$100000,9,FALSE)</f>
        <v/>
      </c>
      <c r="J1588" s="3">
        <f>+VLOOKUP($A1588,MAGAZZINO!$B$2:$M$100000,10,FALSE)</f>
        <v/>
      </c>
      <c r="K1588" s="3">
        <f>+VLOOKUP($A1588,MAGAZZINO!$B$2:$M$100000,11,FALSE)</f>
        <v/>
      </c>
      <c r="L1588" s="5">
        <f>+VLOOKUP($A1588,MAGAZZINO!$B$2:$M$100000,12,FALSE)</f>
        <v/>
      </c>
      <c r="M1588" s="47" t="n"/>
      <c r="N1588" s="88" t="n">
        <v>45873</v>
      </c>
      <c r="O1588" s="156" t="inlineStr">
        <is>
          <t>BIN HUMAID NATIONAL TRADING CO. (ARABIA SAUDITA)</t>
        </is>
      </c>
      <c r="P1588" s="152" t="inlineStr">
        <is>
          <t xml:space="preserve">  IMPORT LICENSE N. 182480  (END USER CERTIFICATE)                                                                      AUT. ESPORTAZIONE MULTIPLA N. 6B/2025/2M RILASCIATA IL 26/05/2025                        (LICENZA DI SCARICO N. 6B/2025/2S RILASCIATA IL 30/07/2025)</t>
        </is>
      </c>
      <c r="Q1588" s="150" t="n"/>
      <c r="R1588" s="150" t="n"/>
      <c r="S1588" s="153" t="n"/>
    </row>
    <row r="1589" ht="36" customHeight="1">
      <c r="A1589" s="46" t="n">
        <v>3919</v>
      </c>
      <c r="B1589" s="4">
        <f>+VLOOKUP($A1589,MAGAZZINO!$B$2:$M$100000,2,FALSE)</f>
        <v/>
      </c>
      <c r="C1589" s="29">
        <f>+VLOOKUP($A1589,MAGAZZINO!$B$2:$M$100000,3,FALSE)</f>
        <v/>
      </c>
      <c r="D1589" s="3">
        <f>+VLOOKUP($A1589,MAGAZZINO!$B$2:$M$100000,4,FALSE)</f>
        <v/>
      </c>
      <c r="E1589" s="3">
        <f>+VLOOKUP($A1589,MAGAZZINO!$B$2:$M$100000,5,FALSE)</f>
        <v/>
      </c>
      <c r="F1589" s="3">
        <f>+VLOOKUP($A1589,MAGAZZINO!$B$2:$M$100000,6,FALSE)</f>
        <v/>
      </c>
      <c r="G1589" s="3">
        <f>+VLOOKUP($A1589,MAGAZZINO!$B$2:$M$100000,7,FALSE)</f>
        <v/>
      </c>
      <c r="H1589" s="3">
        <f>+VLOOKUP($A1589,MAGAZZINO!$B$2:$M$100000,8,FALSE)</f>
        <v/>
      </c>
      <c r="I1589" s="3">
        <f>+VLOOKUP($A1589,MAGAZZINO!$B$2:$M$100000,9,FALSE)</f>
        <v/>
      </c>
      <c r="J1589" s="3">
        <f>+VLOOKUP($A1589,MAGAZZINO!$B$2:$M$100000,10,FALSE)</f>
        <v/>
      </c>
      <c r="K1589" s="3">
        <f>+VLOOKUP($A1589,MAGAZZINO!$B$2:$M$100000,11,FALSE)</f>
        <v/>
      </c>
      <c r="L1589" s="5">
        <f>+VLOOKUP($A1589,MAGAZZINO!$B$2:$M$100000,12,FALSE)</f>
        <v/>
      </c>
      <c r="M1589" s="47" t="n"/>
      <c r="N1589" s="88" t="n">
        <v>45873</v>
      </c>
      <c r="O1589" s="156" t="inlineStr">
        <is>
          <t>BIN HUMAID NATIONAL TRADING CO. (ARABIA SAUDITA)</t>
        </is>
      </c>
      <c r="P1589" s="152" t="inlineStr">
        <is>
          <t xml:space="preserve">  IMPORT LICENSE N. 182480  (END USER CERTIFICATE)                                                                      AUT. ESPORTAZIONE MULTIPLA N. 6B/2025/2M RILASCIATA IL 26/05/2025                        (LICENZA DI SCARICO N. 6B/2025/2S RILASCIATA IL 30/07/2025)</t>
        </is>
      </c>
      <c r="Q1589" s="150" t="n"/>
      <c r="R1589" s="150" t="n"/>
      <c r="S1589" s="153" t="n"/>
    </row>
    <row r="1590" ht="36" customHeight="1">
      <c r="A1590" s="46" t="n">
        <v>3920</v>
      </c>
      <c r="B1590" s="4">
        <f>+VLOOKUP($A1590,MAGAZZINO!$B$2:$M$100000,2,FALSE)</f>
        <v/>
      </c>
      <c r="C1590" s="29">
        <f>+VLOOKUP($A1590,MAGAZZINO!$B$2:$M$100000,3,FALSE)</f>
        <v/>
      </c>
      <c r="D1590" s="3">
        <f>+VLOOKUP($A1590,MAGAZZINO!$B$2:$M$100000,4,FALSE)</f>
        <v/>
      </c>
      <c r="E1590" s="3">
        <f>+VLOOKUP($A1590,MAGAZZINO!$B$2:$M$100000,5,FALSE)</f>
        <v/>
      </c>
      <c r="F1590" s="3">
        <f>+VLOOKUP($A1590,MAGAZZINO!$B$2:$M$100000,6,FALSE)</f>
        <v/>
      </c>
      <c r="G1590" s="3">
        <f>+VLOOKUP($A1590,MAGAZZINO!$B$2:$M$100000,7,FALSE)</f>
        <v/>
      </c>
      <c r="H1590" s="3">
        <f>+VLOOKUP($A1590,MAGAZZINO!$B$2:$M$100000,8,FALSE)</f>
        <v/>
      </c>
      <c r="I1590" s="3">
        <f>+VLOOKUP($A1590,MAGAZZINO!$B$2:$M$100000,9,FALSE)</f>
        <v/>
      </c>
      <c r="J1590" s="3">
        <f>+VLOOKUP($A1590,MAGAZZINO!$B$2:$M$100000,10,FALSE)</f>
        <v/>
      </c>
      <c r="K1590" s="3">
        <f>+VLOOKUP($A1590,MAGAZZINO!$B$2:$M$100000,11,FALSE)</f>
        <v/>
      </c>
      <c r="L1590" s="5">
        <f>+VLOOKUP($A1590,MAGAZZINO!$B$2:$M$100000,12,FALSE)</f>
        <v/>
      </c>
      <c r="M1590" s="47" t="n"/>
      <c r="N1590" s="88" t="n">
        <v>45873</v>
      </c>
      <c r="O1590" s="156" t="inlineStr">
        <is>
          <t>BIN HUMAID NATIONAL TRADING CO. (ARABIA SAUDITA)</t>
        </is>
      </c>
      <c r="P1590" s="152" t="inlineStr">
        <is>
          <t xml:space="preserve">  IMPORT LICENSE N. 182480  (END USER CERTIFICATE)                                                                      AUT. ESPORTAZIONE MULTIPLA N. 6B/2025/2M RILASCIATA IL 26/05/2025                        (LICENZA DI SCARICO N. 6B/2025/2S RILASCIATA IL 30/07/2025)</t>
        </is>
      </c>
      <c r="Q1590" s="150" t="n"/>
      <c r="R1590" s="150" t="n"/>
      <c r="S1590" s="153" t="n"/>
    </row>
    <row r="1591" ht="36" customHeight="1">
      <c r="A1591" s="46" t="n">
        <v>3921</v>
      </c>
      <c r="B1591" s="4">
        <f>+VLOOKUP($A1591,MAGAZZINO!$B$2:$M$100000,2,FALSE)</f>
        <v/>
      </c>
      <c r="C1591" s="29">
        <f>+VLOOKUP($A1591,MAGAZZINO!$B$2:$M$100000,3,FALSE)</f>
        <v/>
      </c>
      <c r="D1591" s="3">
        <f>+VLOOKUP($A1591,MAGAZZINO!$B$2:$M$100000,4,FALSE)</f>
        <v/>
      </c>
      <c r="E1591" s="3">
        <f>+VLOOKUP($A1591,MAGAZZINO!$B$2:$M$100000,5,FALSE)</f>
        <v/>
      </c>
      <c r="F1591" s="3">
        <f>+VLOOKUP($A1591,MAGAZZINO!$B$2:$M$100000,6,FALSE)</f>
        <v/>
      </c>
      <c r="G1591" s="3">
        <f>+VLOOKUP($A1591,MAGAZZINO!$B$2:$M$100000,7,FALSE)</f>
        <v/>
      </c>
      <c r="H1591" s="3">
        <f>+VLOOKUP($A1591,MAGAZZINO!$B$2:$M$100000,8,FALSE)</f>
        <v/>
      </c>
      <c r="I1591" s="3">
        <f>+VLOOKUP($A1591,MAGAZZINO!$B$2:$M$100000,9,FALSE)</f>
        <v/>
      </c>
      <c r="J1591" s="3">
        <f>+VLOOKUP($A1591,MAGAZZINO!$B$2:$M$100000,10,FALSE)</f>
        <v/>
      </c>
      <c r="K1591" s="3">
        <f>+VLOOKUP($A1591,MAGAZZINO!$B$2:$M$100000,11,FALSE)</f>
        <v/>
      </c>
      <c r="L1591" s="5">
        <f>+VLOOKUP($A1591,MAGAZZINO!$B$2:$M$100000,12,FALSE)</f>
        <v/>
      </c>
      <c r="M1591" s="47" t="n"/>
      <c r="N1591" s="88" t="n">
        <v>45873</v>
      </c>
      <c r="O1591" s="156" t="inlineStr">
        <is>
          <t>BIN HUMAID NATIONAL TRADING CO. (ARABIA SAUDITA)</t>
        </is>
      </c>
      <c r="P1591" s="152" t="inlineStr">
        <is>
          <t xml:space="preserve">  IMPORT LICENSE N. 182480  (END USER CERTIFICATE)                                                                      AUT. ESPORTAZIONE MULTIPLA N. 6B/2025/2M RILASCIATA IL 26/05/2025                        (LICENZA DI SCARICO N. 6B/2025/2S RILASCIATA IL 30/07/2025)</t>
        </is>
      </c>
      <c r="Q1591" s="150" t="n"/>
      <c r="R1591" s="150" t="n"/>
      <c r="S1591" s="153" t="n"/>
    </row>
    <row r="1592" ht="36" customHeight="1">
      <c r="A1592" s="46" t="n">
        <v>3922</v>
      </c>
      <c r="B1592" s="4">
        <f>+VLOOKUP($A1592,MAGAZZINO!$B$2:$M$100000,2,FALSE)</f>
        <v/>
      </c>
      <c r="C1592" s="29">
        <f>+VLOOKUP($A1592,MAGAZZINO!$B$2:$M$100000,3,FALSE)</f>
        <v/>
      </c>
      <c r="D1592" s="3">
        <f>+VLOOKUP($A1592,MAGAZZINO!$B$2:$M$100000,4,FALSE)</f>
        <v/>
      </c>
      <c r="E1592" s="3">
        <f>+VLOOKUP($A1592,MAGAZZINO!$B$2:$M$100000,5,FALSE)</f>
        <v/>
      </c>
      <c r="F1592" s="3">
        <f>+VLOOKUP($A1592,MAGAZZINO!$B$2:$M$100000,6,FALSE)</f>
        <v/>
      </c>
      <c r="G1592" s="3">
        <f>+VLOOKUP($A1592,MAGAZZINO!$B$2:$M$100000,7,FALSE)</f>
        <v/>
      </c>
      <c r="H1592" s="3">
        <f>+VLOOKUP($A1592,MAGAZZINO!$B$2:$M$100000,8,FALSE)</f>
        <v/>
      </c>
      <c r="I1592" s="3">
        <f>+VLOOKUP($A1592,MAGAZZINO!$B$2:$M$100000,9,FALSE)</f>
        <v/>
      </c>
      <c r="J1592" s="3">
        <f>+VLOOKUP($A1592,MAGAZZINO!$B$2:$M$100000,10,FALSE)</f>
        <v/>
      </c>
      <c r="K1592" s="3">
        <f>+VLOOKUP($A1592,MAGAZZINO!$B$2:$M$100000,11,FALSE)</f>
        <v/>
      </c>
      <c r="L1592" s="5">
        <f>+VLOOKUP($A1592,MAGAZZINO!$B$2:$M$100000,12,FALSE)</f>
        <v/>
      </c>
      <c r="M1592" s="47" t="n"/>
      <c r="N1592" s="88" t="n">
        <v>45873</v>
      </c>
      <c r="O1592" s="156" t="inlineStr">
        <is>
          <t>BIN HUMAID NATIONAL TRADING CO. (ARABIA SAUDITA)</t>
        </is>
      </c>
      <c r="P1592" s="152" t="inlineStr">
        <is>
          <t xml:space="preserve">  IMPORT LICENSE N. 182480  (END USER CERTIFICATE)                                                                      AUT. ESPORTAZIONE MULTIPLA N. 6B/2025/2M RILASCIATA IL 26/05/2025                        (LICENZA DI SCARICO N. 6B/2025/2S RILASCIATA IL 30/07/2025)</t>
        </is>
      </c>
      <c r="Q1592" s="150" t="n"/>
      <c r="R1592" s="150" t="n"/>
      <c r="S1592" s="153" t="n"/>
    </row>
    <row r="1593" ht="36" customHeight="1">
      <c r="A1593" s="46" t="n">
        <v>3923</v>
      </c>
      <c r="B1593" s="4">
        <f>+VLOOKUP($A1593,MAGAZZINO!$B$2:$M$100000,2,FALSE)</f>
        <v/>
      </c>
      <c r="C1593" s="29">
        <f>+VLOOKUP($A1593,MAGAZZINO!$B$2:$M$100000,3,FALSE)</f>
        <v/>
      </c>
      <c r="D1593" s="3">
        <f>+VLOOKUP($A1593,MAGAZZINO!$B$2:$M$100000,4,FALSE)</f>
        <v/>
      </c>
      <c r="E1593" s="3">
        <f>+VLOOKUP($A1593,MAGAZZINO!$B$2:$M$100000,5,FALSE)</f>
        <v/>
      </c>
      <c r="F1593" s="3">
        <f>+VLOOKUP($A1593,MAGAZZINO!$B$2:$M$100000,6,FALSE)</f>
        <v/>
      </c>
      <c r="G1593" s="3">
        <f>+VLOOKUP($A1593,MAGAZZINO!$B$2:$M$100000,7,FALSE)</f>
        <v/>
      </c>
      <c r="H1593" s="3">
        <f>+VLOOKUP($A1593,MAGAZZINO!$B$2:$M$100000,8,FALSE)</f>
        <v/>
      </c>
      <c r="I1593" s="3">
        <f>+VLOOKUP($A1593,MAGAZZINO!$B$2:$M$100000,9,FALSE)</f>
        <v/>
      </c>
      <c r="J1593" s="3">
        <f>+VLOOKUP($A1593,MAGAZZINO!$B$2:$M$100000,10,FALSE)</f>
        <v/>
      </c>
      <c r="K1593" s="3">
        <f>+VLOOKUP($A1593,MAGAZZINO!$B$2:$M$100000,11,FALSE)</f>
        <v/>
      </c>
      <c r="L1593" s="5">
        <f>+VLOOKUP($A1593,MAGAZZINO!$B$2:$M$100000,12,FALSE)</f>
        <v/>
      </c>
      <c r="M1593" s="47" t="n"/>
      <c r="N1593" s="88" t="n">
        <v>45873</v>
      </c>
      <c r="O1593" s="156" t="inlineStr">
        <is>
          <t>BIN HUMAID NATIONAL TRADING CO. (ARABIA SAUDITA)</t>
        </is>
      </c>
      <c r="P1593" s="152" t="inlineStr">
        <is>
          <t xml:space="preserve">  IMPORT LICENSE N. 182480  (END USER CERTIFICATE)                                                                      AUT. ESPORTAZIONE MULTIPLA N. 6B/2025/2M RILASCIATA IL 26/05/2025                        (LICENZA DI SCARICO N. 6B/2025/2S RILASCIATA IL 30/07/2025)</t>
        </is>
      </c>
      <c r="Q1593" s="150" t="n"/>
      <c r="R1593" s="150" t="n"/>
      <c r="S1593" s="153" t="n"/>
    </row>
    <row r="1594" ht="36" customHeight="1">
      <c r="A1594" s="46" t="n">
        <v>3924</v>
      </c>
      <c r="B1594" s="4">
        <f>+VLOOKUP($A1594,MAGAZZINO!$B$2:$M$100000,2,FALSE)</f>
        <v/>
      </c>
      <c r="C1594" s="29">
        <f>+VLOOKUP($A1594,MAGAZZINO!$B$2:$M$100000,3,FALSE)</f>
        <v/>
      </c>
      <c r="D1594" s="3">
        <f>+VLOOKUP($A1594,MAGAZZINO!$B$2:$M$100000,4,FALSE)</f>
        <v/>
      </c>
      <c r="E1594" s="3">
        <f>+VLOOKUP($A1594,MAGAZZINO!$B$2:$M$100000,5,FALSE)</f>
        <v/>
      </c>
      <c r="F1594" s="3">
        <f>+VLOOKUP($A1594,MAGAZZINO!$B$2:$M$100000,6,FALSE)</f>
        <v/>
      </c>
      <c r="G1594" s="3">
        <f>+VLOOKUP($A1594,MAGAZZINO!$B$2:$M$100000,7,FALSE)</f>
        <v/>
      </c>
      <c r="H1594" s="3">
        <f>+VLOOKUP($A1594,MAGAZZINO!$B$2:$M$100000,8,FALSE)</f>
        <v/>
      </c>
      <c r="I1594" s="3">
        <f>+VLOOKUP($A1594,MAGAZZINO!$B$2:$M$100000,9,FALSE)</f>
        <v/>
      </c>
      <c r="J1594" s="3">
        <f>+VLOOKUP($A1594,MAGAZZINO!$B$2:$M$100000,10,FALSE)</f>
        <v/>
      </c>
      <c r="K1594" s="3">
        <f>+VLOOKUP($A1594,MAGAZZINO!$B$2:$M$100000,11,FALSE)</f>
        <v/>
      </c>
      <c r="L1594" s="5">
        <f>+VLOOKUP($A1594,MAGAZZINO!$B$2:$M$100000,12,FALSE)</f>
        <v/>
      </c>
      <c r="M1594" s="47" t="n"/>
      <c r="N1594" s="88" t="n">
        <v>45873</v>
      </c>
      <c r="O1594" s="156" t="inlineStr">
        <is>
          <t>BIN HUMAID NATIONAL TRADING CO. (ARABIA SAUDITA)</t>
        </is>
      </c>
      <c r="P1594" s="152" t="inlineStr">
        <is>
          <t xml:space="preserve">  IMPORT LICENSE N. 182480  (END USER CERTIFICATE)                                                                      AUT. ESPORTAZIONE MULTIPLA N. 6B/2025/2M RILASCIATA IL 26/05/2025                        (LICENZA DI SCARICO N. 6B/2025/2S RILASCIATA IL 30/07/2025)</t>
        </is>
      </c>
      <c r="Q1594" s="150" t="n"/>
      <c r="R1594" s="150" t="n"/>
      <c r="S1594" s="153" t="n"/>
    </row>
    <row r="1595" ht="36" customHeight="1">
      <c r="A1595" s="46" t="n">
        <v>3925</v>
      </c>
      <c r="B1595" s="4">
        <f>+VLOOKUP($A1595,MAGAZZINO!$B$2:$M$100000,2,FALSE)</f>
        <v/>
      </c>
      <c r="C1595" s="29">
        <f>+VLOOKUP($A1595,MAGAZZINO!$B$2:$M$100000,3,FALSE)</f>
        <v/>
      </c>
      <c r="D1595" s="3">
        <f>+VLOOKUP($A1595,MAGAZZINO!$B$2:$M$100000,4,FALSE)</f>
        <v/>
      </c>
      <c r="E1595" s="3">
        <f>+VLOOKUP($A1595,MAGAZZINO!$B$2:$M$100000,5,FALSE)</f>
        <v/>
      </c>
      <c r="F1595" s="3">
        <f>+VLOOKUP($A1595,MAGAZZINO!$B$2:$M$100000,6,FALSE)</f>
        <v/>
      </c>
      <c r="G1595" s="3">
        <f>+VLOOKUP($A1595,MAGAZZINO!$B$2:$M$100000,7,FALSE)</f>
        <v/>
      </c>
      <c r="H1595" s="3">
        <f>+VLOOKUP($A1595,MAGAZZINO!$B$2:$M$100000,8,FALSE)</f>
        <v/>
      </c>
      <c r="I1595" s="3">
        <f>+VLOOKUP($A1595,MAGAZZINO!$B$2:$M$100000,9,FALSE)</f>
        <v/>
      </c>
      <c r="J1595" s="3">
        <f>+VLOOKUP($A1595,MAGAZZINO!$B$2:$M$100000,10,FALSE)</f>
        <v/>
      </c>
      <c r="K1595" s="3">
        <f>+VLOOKUP($A1595,MAGAZZINO!$B$2:$M$100000,11,FALSE)</f>
        <v/>
      </c>
      <c r="L1595" s="5">
        <f>+VLOOKUP($A1595,MAGAZZINO!$B$2:$M$100000,12,FALSE)</f>
        <v/>
      </c>
      <c r="M1595" s="47" t="n"/>
      <c r="N1595" s="88" t="n">
        <v>45873</v>
      </c>
      <c r="O1595" s="156" t="inlineStr">
        <is>
          <t>BIN HUMAID NATIONAL TRADING CO. (ARABIA SAUDITA)</t>
        </is>
      </c>
      <c r="P1595" s="152" t="inlineStr">
        <is>
          <t xml:space="preserve">  IMPORT LICENSE N. 182480  (END USER CERTIFICATE)                                                                      AUT. ESPORTAZIONE MULTIPLA N. 6B/2025/2M RILASCIATA IL 26/05/2025                        (LICENZA DI SCARICO N. 6B/2025/2S RILASCIATA IL 30/07/2025)</t>
        </is>
      </c>
      <c r="Q1595" s="150" t="n"/>
      <c r="R1595" s="150" t="n"/>
      <c r="S1595" s="153" t="n"/>
    </row>
    <row r="1596" ht="36" customHeight="1">
      <c r="A1596" s="46" t="n">
        <v>3926</v>
      </c>
      <c r="B1596" s="4">
        <f>+VLOOKUP($A1596,MAGAZZINO!$B$2:$M$100000,2,FALSE)</f>
        <v/>
      </c>
      <c r="C1596" s="29">
        <f>+VLOOKUP($A1596,MAGAZZINO!$B$2:$M$100000,3,FALSE)</f>
        <v/>
      </c>
      <c r="D1596" s="3">
        <f>+VLOOKUP($A1596,MAGAZZINO!$B$2:$M$100000,4,FALSE)</f>
        <v/>
      </c>
      <c r="E1596" s="3">
        <f>+VLOOKUP($A1596,MAGAZZINO!$B$2:$M$100000,5,FALSE)</f>
        <v/>
      </c>
      <c r="F1596" s="3">
        <f>+VLOOKUP($A1596,MAGAZZINO!$B$2:$M$100000,6,FALSE)</f>
        <v/>
      </c>
      <c r="G1596" s="3">
        <f>+VLOOKUP($A1596,MAGAZZINO!$B$2:$M$100000,7,FALSE)</f>
        <v/>
      </c>
      <c r="H1596" s="3">
        <f>+VLOOKUP($A1596,MAGAZZINO!$B$2:$M$100000,8,FALSE)</f>
        <v/>
      </c>
      <c r="I1596" s="3">
        <f>+VLOOKUP($A1596,MAGAZZINO!$B$2:$M$100000,9,FALSE)</f>
        <v/>
      </c>
      <c r="J1596" s="3">
        <f>+VLOOKUP($A1596,MAGAZZINO!$B$2:$M$100000,10,FALSE)</f>
        <v/>
      </c>
      <c r="K1596" s="3">
        <f>+VLOOKUP($A1596,MAGAZZINO!$B$2:$M$100000,11,FALSE)</f>
        <v/>
      </c>
      <c r="L1596" s="5">
        <f>+VLOOKUP($A1596,MAGAZZINO!$B$2:$M$100000,12,FALSE)</f>
        <v/>
      </c>
      <c r="M1596" s="47" t="n"/>
      <c r="N1596" s="88" t="n">
        <v>45873</v>
      </c>
      <c r="O1596" s="156" t="inlineStr">
        <is>
          <t>BIN HUMAID NATIONAL TRADING CO. (ARABIA SAUDITA)</t>
        </is>
      </c>
      <c r="P1596" s="152" t="inlineStr">
        <is>
          <t xml:space="preserve">  IMPORT LICENSE N. 182480  (END USER CERTIFICATE)                                                                      AUT. ESPORTAZIONE MULTIPLA N. 6B/2025/2M RILASCIATA IL 26/05/2025                        (LICENZA DI SCARICO N. 6B/2025/2S RILASCIATA IL 30/07/2025)</t>
        </is>
      </c>
      <c r="Q1596" s="150" t="n"/>
      <c r="R1596" s="150" t="n"/>
      <c r="S1596" s="153" t="n"/>
    </row>
    <row r="1597" ht="36" customHeight="1">
      <c r="A1597" s="46" t="n">
        <v>3927</v>
      </c>
      <c r="B1597" s="4">
        <f>+VLOOKUP($A1597,MAGAZZINO!$B$2:$M$100000,2,FALSE)</f>
        <v/>
      </c>
      <c r="C1597" s="29">
        <f>+VLOOKUP($A1597,MAGAZZINO!$B$2:$M$100000,3,FALSE)</f>
        <v/>
      </c>
      <c r="D1597" s="3">
        <f>+VLOOKUP($A1597,MAGAZZINO!$B$2:$M$100000,4,FALSE)</f>
        <v/>
      </c>
      <c r="E1597" s="3">
        <f>+VLOOKUP($A1597,MAGAZZINO!$B$2:$M$100000,5,FALSE)</f>
        <v/>
      </c>
      <c r="F1597" s="3">
        <f>+VLOOKUP($A1597,MAGAZZINO!$B$2:$M$100000,6,FALSE)</f>
        <v/>
      </c>
      <c r="G1597" s="3">
        <f>+VLOOKUP($A1597,MAGAZZINO!$B$2:$M$100000,7,FALSE)</f>
        <v/>
      </c>
      <c r="H1597" s="3">
        <f>+VLOOKUP($A1597,MAGAZZINO!$B$2:$M$100000,8,FALSE)</f>
        <v/>
      </c>
      <c r="I1597" s="3">
        <f>+VLOOKUP($A1597,MAGAZZINO!$B$2:$M$100000,9,FALSE)</f>
        <v/>
      </c>
      <c r="J1597" s="3">
        <f>+VLOOKUP($A1597,MAGAZZINO!$B$2:$M$100000,10,FALSE)</f>
        <v/>
      </c>
      <c r="K1597" s="3">
        <f>+VLOOKUP($A1597,MAGAZZINO!$B$2:$M$100000,11,FALSE)</f>
        <v/>
      </c>
      <c r="L1597" s="5">
        <f>+VLOOKUP($A1597,MAGAZZINO!$B$2:$M$100000,12,FALSE)</f>
        <v/>
      </c>
      <c r="M1597" s="47" t="n"/>
      <c r="N1597" s="88" t="n">
        <v>45873</v>
      </c>
      <c r="O1597" s="156" t="inlineStr">
        <is>
          <t>BIN HUMAID NATIONAL TRADING CO. (ARABIA SAUDITA)</t>
        </is>
      </c>
      <c r="P1597" s="152" t="inlineStr">
        <is>
          <t xml:space="preserve">  IMPORT LICENSE N. 182480  (END USER CERTIFICATE)                                                                      AUT. ESPORTAZIONE MULTIPLA N. 6B/2025/2M RILASCIATA IL 26/05/2025                        (LICENZA DI SCARICO N. 6B/2025/2S RILASCIATA IL 30/07/2025)</t>
        </is>
      </c>
      <c r="Q1597" s="150" t="n"/>
      <c r="R1597" s="150" t="n"/>
      <c r="S1597" s="153" t="n"/>
    </row>
    <row r="1598" ht="36" customHeight="1">
      <c r="A1598" s="46" t="n">
        <v>3928</v>
      </c>
      <c r="B1598" s="4">
        <f>+VLOOKUP($A1598,MAGAZZINO!$B$2:$M$100000,2,FALSE)</f>
        <v/>
      </c>
      <c r="C1598" s="29">
        <f>+VLOOKUP($A1598,MAGAZZINO!$B$2:$M$100000,3,FALSE)</f>
        <v/>
      </c>
      <c r="D1598" s="3">
        <f>+VLOOKUP($A1598,MAGAZZINO!$B$2:$M$100000,4,FALSE)</f>
        <v/>
      </c>
      <c r="E1598" s="3">
        <f>+VLOOKUP($A1598,MAGAZZINO!$B$2:$M$100000,5,FALSE)</f>
        <v/>
      </c>
      <c r="F1598" s="3">
        <f>+VLOOKUP($A1598,MAGAZZINO!$B$2:$M$100000,6,FALSE)</f>
        <v/>
      </c>
      <c r="G1598" s="3">
        <f>+VLOOKUP($A1598,MAGAZZINO!$B$2:$M$100000,7,FALSE)</f>
        <v/>
      </c>
      <c r="H1598" s="3">
        <f>+VLOOKUP($A1598,MAGAZZINO!$B$2:$M$100000,8,FALSE)</f>
        <v/>
      </c>
      <c r="I1598" s="3">
        <f>+VLOOKUP($A1598,MAGAZZINO!$B$2:$M$100000,9,FALSE)</f>
        <v/>
      </c>
      <c r="J1598" s="3">
        <f>+VLOOKUP($A1598,MAGAZZINO!$B$2:$M$100000,10,FALSE)</f>
        <v/>
      </c>
      <c r="K1598" s="3">
        <f>+VLOOKUP($A1598,MAGAZZINO!$B$2:$M$100000,11,FALSE)</f>
        <v/>
      </c>
      <c r="L1598" s="5">
        <f>+VLOOKUP($A1598,MAGAZZINO!$B$2:$M$100000,12,FALSE)</f>
        <v/>
      </c>
      <c r="M1598" s="47" t="n"/>
      <c r="N1598" s="88" t="n">
        <v>45873</v>
      </c>
      <c r="O1598" s="156" t="inlineStr">
        <is>
          <t>BIN HUMAID NATIONAL TRADING CO. (ARABIA SAUDITA)</t>
        </is>
      </c>
      <c r="P1598" s="152" t="inlineStr">
        <is>
          <t xml:space="preserve">  IMPORT LICENSE N. 182480  (END USER CERTIFICATE)                                                                      AUT. ESPORTAZIONE MULTIPLA N. 6B/2025/2M RILASCIATA IL 26/05/2025                        (LICENZA DI SCARICO N. 6B/2025/2S RILASCIATA IL 30/07/2025)</t>
        </is>
      </c>
      <c r="Q1598" s="150" t="n"/>
      <c r="R1598" s="150" t="n"/>
      <c r="S1598" s="153" t="n"/>
    </row>
    <row r="1599" ht="36" customHeight="1">
      <c r="A1599" s="46" t="n">
        <v>3929</v>
      </c>
      <c r="B1599" s="4">
        <f>+VLOOKUP($A1599,MAGAZZINO!$B$2:$M$100000,2,FALSE)</f>
        <v/>
      </c>
      <c r="C1599" s="29">
        <f>+VLOOKUP($A1599,MAGAZZINO!$B$2:$M$100000,3,FALSE)</f>
        <v/>
      </c>
      <c r="D1599" s="3">
        <f>+VLOOKUP($A1599,MAGAZZINO!$B$2:$M$100000,4,FALSE)</f>
        <v/>
      </c>
      <c r="E1599" s="3">
        <f>+VLOOKUP($A1599,MAGAZZINO!$B$2:$M$100000,5,FALSE)</f>
        <v/>
      </c>
      <c r="F1599" s="3">
        <f>+VLOOKUP($A1599,MAGAZZINO!$B$2:$M$100000,6,FALSE)</f>
        <v/>
      </c>
      <c r="G1599" s="3">
        <f>+VLOOKUP($A1599,MAGAZZINO!$B$2:$M$100000,7,FALSE)</f>
        <v/>
      </c>
      <c r="H1599" s="3">
        <f>+VLOOKUP($A1599,MAGAZZINO!$B$2:$M$100000,8,FALSE)</f>
        <v/>
      </c>
      <c r="I1599" s="3">
        <f>+VLOOKUP($A1599,MAGAZZINO!$B$2:$M$100000,9,FALSE)</f>
        <v/>
      </c>
      <c r="J1599" s="3">
        <f>+VLOOKUP($A1599,MAGAZZINO!$B$2:$M$100000,10,FALSE)</f>
        <v/>
      </c>
      <c r="K1599" s="3">
        <f>+VLOOKUP($A1599,MAGAZZINO!$B$2:$M$100000,11,FALSE)</f>
        <v/>
      </c>
      <c r="L1599" s="5">
        <f>+VLOOKUP($A1599,MAGAZZINO!$B$2:$M$100000,12,FALSE)</f>
        <v/>
      </c>
      <c r="M1599" s="47" t="n"/>
      <c r="N1599" s="88" t="n">
        <v>45873</v>
      </c>
      <c r="O1599" s="156" t="inlineStr">
        <is>
          <t>BIN HUMAID NATIONAL TRADING CO. (ARABIA SAUDITA)</t>
        </is>
      </c>
      <c r="P1599" s="152" t="inlineStr">
        <is>
          <t xml:space="preserve">  IMPORT LICENSE N. 182480  (END USER CERTIFICATE)                                                                      AUT. ESPORTAZIONE MULTIPLA N. 6B/2025/2M RILASCIATA IL 26/05/2025                        (LICENZA DI SCARICO N. 6B/2025/2S RILASCIATA IL 30/07/2025)</t>
        </is>
      </c>
      <c r="Q1599" s="150" t="n"/>
      <c r="R1599" s="150" t="n"/>
      <c r="S1599" s="153" t="n"/>
    </row>
    <row r="1600" ht="36" customHeight="1">
      <c r="A1600" s="46" t="n">
        <v>3930</v>
      </c>
      <c r="B1600" s="4">
        <f>+VLOOKUP($A1600,MAGAZZINO!$B$2:$M$100000,2,FALSE)</f>
        <v/>
      </c>
      <c r="C1600" s="29">
        <f>+VLOOKUP($A1600,MAGAZZINO!$B$2:$M$100000,3,FALSE)</f>
        <v/>
      </c>
      <c r="D1600" s="3">
        <f>+VLOOKUP($A1600,MAGAZZINO!$B$2:$M$100000,4,FALSE)</f>
        <v/>
      </c>
      <c r="E1600" s="3">
        <f>+VLOOKUP($A1600,MAGAZZINO!$B$2:$M$100000,5,FALSE)</f>
        <v/>
      </c>
      <c r="F1600" s="3">
        <f>+VLOOKUP($A1600,MAGAZZINO!$B$2:$M$100000,6,FALSE)</f>
        <v/>
      </c>
      <c r="G1600" s="3">
        <f>+VLOOKUP($A1600,MAGAZZINO!$B$2:$M$100000,7,FALSE)</f>
        <v/>
      </c>
      <c r="H1600" s="3">
        <f>+VLOOKUP($A1600,MAGAZZINO!$B$2:$M$100000,8,FALSE)</f>
        <v/>
      </c>
      <c r="I1600" s="3">
        <f>+VLOOKUP($A1600,MAGAZZINO!$B$2:$M$100000,9,FALSE)</f>
        <v/>
      </c>
      <c r="J1600" s="3">
        <f>+VLOOKUP($A1600,MAGAZZINO!$B$2:$M$100000,10,FALSE)</f>
        <v/>
      </c>
      <c r="K1600" s="3">
        <f>+VLOOKUP($A1600,MAGAZZINO!$B$2:$M$100000,11,FALSE)</f>
        <v/>
      </c>
      <c r="L1600" s="5">
        <f>+VLOOKUP($A1600,MAGAZZINO!$B$2:$M$100000,12,FALSE)</f>
        <v/>
      </c>
      <c r="M1600" s="47" t="n"/>
      <c r="N1600" s="88" t="n">
        <v>45873</v>
      </c>
      <c r="O1600" s="156" t="inlineStr">
        <is>
          <t>BIN HUMAID NATIONAL TRADING CO. (ARABIA SAUDITA)</t>
        </is>
      </c>
      <c r="P1600" s="152" t="inlineStr">
        <is>
          <t xml:space="preserve">  IMPORT LICENSE N. 182480  (END USER CERTIFICATE)                                                                      AUT. ESPORTAZIONE MULTIPLA N. 6B/2025/2M RILASCIATA IL 26/05/2025                        (LICENZA DI SCARICO N. 6B/2025/2S RILASCIATA IL 30/07/2025)</t>
        </is>
      </c>
      <c r="Q1600" s="150" t="n"/>
      <c r="R1600" s="150" t="n"/>
      <c r="S1600" s="153" t="n"/>
    </row>
    <row r="1601" ht="36" customHeight="1">
      <c r="A1601" s="46" t="n">
        <v>3931</v>
      </c>
      <c r="B1601" s="4">
        <f>+VLOOKUP($A1601,MAGAZZINO!$B$2:$M$100000,2,FALSE)</f>
        <v/>
      </c>
      <c r="C1601" s="29">
        <f>+VLOOKUP($A1601,MAGAZZINO!$B$2:$M$100000,3,FALSE)</f>
        <v/>
      </c>
      <c r="D1601" s="3">
        <f>+VLOOKUP($A1601,MAGAZZINO!$B$2:$M$100000,4,FALSE)</f>
        <v/>
      </c>
      <c r="E1601" s="3">
        <f>+VLOOKUP($A1601,MAGAZZINO!$B$2:$M$100000,5,FALSE)</f>
        <v/>
      </c>
      <c r="F1601" s="3">
        <f>+VLOOKUP($A1601,MAGAZZINO!$B$2:$M$100000,6,FALSE)</f>
        <v/>
      </c>
      <c r="G1601" s="3">
        <f>+VLOOKUP($A1601,MAGAZZINO!$B$2:$M$100000,7,FALSE)</f>
        <v/>
      </c>
      <c r="H1601" s="3">
        <f>+VLOOKUP($A1601,MAGAZZINO!$B$2:$M$100000,8,FALSE)</f>
        <v/>
      </c>
      <c r="I1601" s="3">
        <f>+VLOOKUP($A1601,MAGAZZINO!$B$2:$M$100000,9,FALSE)</f>
        <v/>
      </c>
      <c r="J1601" s="3">
        <f>+VLOOKUP($A1601,MAGAZZINO!$B$2:$M$100000,10,FALSE)</f>
        <v/>
      </c>
      <c r="K1601" s="3">
        <f>+VLOOKUP($A1601,MAGAZZINO!$B$2:$M$100000,11,FALSE)</f>
        <v/>
      </c>
      <c r="L1601" s="5">
        <f>+VLOOKUP($A1601,MAGAZZINO!$B$2:$M$100000,12,FALSE)</f>
        <v/>
      </c>
      <c r="M1601" s="47" t="n"/>
      <c r="N1601" s="88" t="n">
        <v>45873</v>
      </c>
      <c r="O1601" s="156" t="inlineStr">
        <is>
          <t>BIN HUMAID NATIONAL TRADING CO. (ARABIA SAUDITA)</t>
        </is>
      </c>
      <c r="P1601" s="152" t="inlineStr">
        <is>
          <t xml:space="preserve">  IMPORT LICENSE N. 182480  (END USER CERTIFICATE)                                                                      AUT. ESPORTAZIONE MULTIPLA N. 6B/2025/2M RILASCIATA IL 26/05/2025                        (LICENZA DI SCARICO N. 6B/2025/2S RILASCIATA IL 30/07/2025)</t>
        </is>
      </c>
      <c r="Q1601" s="150" t="n"/>
      <c r="R1601" s="150" t="n"/>
      <c r="S1601" s="153" t="n"/>
    </row>
    <row r="1602" ht="36" customHeight="1">
      <c r="A1602" s="46" t="n">
        <v>3932</v>
      </c>
      <c r="B1602" s="4">
        <f>+VLOOKUP($A1602,MAGAZZINO!$B$2:$M$100000,2,FALSE)</f>
        <v/>
      </c>
      <c r="C1602" s="29">
        <f>+VLOOKUP($A1602,MAGAZZINO!$B$2:$M$100000,3,FALSE)</f>
        <v/>
      </c>
      <c r="D1602" s="3">
        <f>+VLOOKUP($A1602,MAGAZZINO!$B$2:$M$100000,4,FALSE)</f>
        <v/>
      </c>
      <c r="E1602" s="3">
        <f>+VLOOKUP($A1602,MAGAZZINO!$B$2:$M$100000,5,FALSE)</f>
        <v/>
      </c>
      <c r="F1602" s="3">
        <f>+VLOOKUP($A1602,MAGAZZINO!$B$2:$M$100000,6,FALSE)</f>
        <v/>
      </c>
      <c r="G1602" s="3">
        <f>+VLOOKUP($A1602,MAGAZZINO!$B$2:$M$100000,7,FALSE)</f>
        <v/>
      </c>
      <c r="H1602" s="3">
        <f>+VLOOKUP($A1602,MAGAZZINO!$B$2:$M$100000,8,FALSE)</f>
        <v/>
      </c>
      <c r="I1602" s="3">
        <f>+VLOOKUP($A1602,MAGAZZINO!$B$2:$M$100000,9,FALSE)</f>
        <v/>
      </c>
      <c r="J1602" s="3">
        <f>+VLOOKUP($A1602,MAGAZZINO!$B$2:$M$100000,10,FALSE)</f>
        <v/>
      </c>
      <c r="K1602" s="3">
        <f>+VLOOKUP($A1602,MAGAZZINO!$B$2:$M$100000,11,FALSE)</f>
        <v/>
      </c>
      <c r="L1602" s="5">
        <f>+VLOOKUP($A1602,MAGAZZINO!$B$2:$M$100000,12,FALSE)</f>
        <v/>
      </c>
      <c r="M1602" s="47" t="n"/>
      <c r="N1602" s="88" t="n">
        <v>45873</v>
      </c>
      <c r="O1602" s="156" t="inlineStr">
        <is>
          <t>BIN HUMAID NATIONAL TRADING CO. (ARABIA SAUDITA)</t>
        </is>
      </c>
      <c r="P1602" s="152" t="inlineStr">
        <is>
          <t xml:space="preserve">  IMPORT LICENSE N. 182480  (END USER CERTIFICATE)                                                                      AUT. ESPORTAZIONE MULTIPLA N. 6B/2025/2M RILASCIATA IL 26/05/2025                        (LICENZA DI SCARICO N. 6B/2025/2S RILASCIATA IL 30/07/2025)</t>
        </is>
      </c>
      <c r="Q1602" s="150" t="n"/>
      <c r="R1602" s="150" t="n"/>
      <c r="S1602" s="153" t="n"/>
    </row>
    <row r="1603" ht="36" customHeight="1">
      <c r="A1603" s="46" t="n">
        <v>3933</v>
      </c>
      <c r="B1603" s="4">
        <f>+VLOOKUP($A1603,MAGAZZINO!$B$2:$M$100000,2,FALSE)</f>
        <v/>
      </c>
      <c r="C1603" s="29">
        <f>+VLOOKUP($A1603,MAGAZZINO!$B$2:$M$100000,3,FALSE)</f>
        <v/>
      </c>
      <c r="D1603" s="3">
        <f>+VLOOKUP($A1603,MAGAZZINO!$B$2:$M$100000,4,FALSE)</f>
        <v/>
      </c>
      <c r="E1603" s="3">
        <f>+VLOOKUP($A1603,MAGAZZINO!$B$2:$M$100000,5,FALSE)</f>
        <v/>
      </c>
      <c r="F1603" s="3">
        <f>+VLOOKUP($A1603,MAGAZZINO!$B$2:$M$100000,6,FALSE)</f>
        <v/>
      </c>
      <c r="G1603" s="3">
        <f>+VLOOKUP($A1603,MAGAZZINO!$B$2:$M$100000,7,FALSE)</f>
        <v/>
      </c>
      <c r="H1603" s="3">
        <f>+VLOOKUP($A1603,MAGAZZINO!$B$2:$M$100000,8,FALSE)</f>
        <v/>
      </c>
      <c r="I1603" s="3">
        <f>+VLOOKUP($A1603,MAGAZZINO!$B$2:$M$100000,9,FALSE)</f>
        <v/>
      </c>
      <c r="J1603" s="3">
        <f>+VLOOKUP($A1603,MAGAZZINO!$B$2:$M$100000,10,FALSE)</f>
        <v/>
      </c>
      <c r="K1603" s="3">
        <f>+VLOOKUP($A1603,MAGAZZINO!$B$2:$M$100000,11,FALSE)</f>
        <v/>
      </c>
      <c r="L1603" s="5">
        <f>+VLOOKUP($A1603,MAGAZZINO!$B$2:$M$100000,12,FALSE)</f>
        <v/>
      </c>
      <c r="M1603" s="47" t="n"/>
      <c r="N1603" s="88" t="n">
        <v>45873</v>
      </c>
      <c r="O1603" s="156" t="inlineStr">
        <is>
          <t>BIN HUMAID NATIONAL TRADING CO. (ARABIA SAUDITA)</t>
        </is>
      </c>
      <c r="P1603" s="152" t="inlineStr">
        <is>
          <t xml:space="preserve">  IMPORT LICENSE N. 182480  (END USER CERTIFICATE)                                                                      AUT. ESPORTAZIONE MULTIPLA N. 6B/2025/2M RILASCIATA IL 26/05/2025                        (LICENZA DI SCARICO N. 6B/2025/2S RILASCIATA IL 30/07/2025)</t>
        </is>
      </c>
      <c r="Q1603" s="150" t="n"/>
      <c r="R1603" s="150" t="n"/>
      <c r="S1603" s="153" t="n"/>
    </row>
    <row r="1604" ht="36" customHeight="1">
      <c r="A1604" s="46" t="n">
        <v>3934</v>
      </c>
      <c r="B1604" s="4">
        <f>+VLOOKUP($A1604,MAGAZZINO!$B$2:$M$100000,2,FALSE)</f>
        <v/>
      </c>
      <c r="C1604" s="29">
        <f>+VLOOKUP($A1604,MAGAZZINO!$B$2:$M$100000,3,FALSE)</f>
        <v/>
      </c>
      <c r="D1604" s="3">
        <f>+VLOOKUP($A1604,MAGAZZINO!$B$2:$M$100000,4,FALSE)</f>
        <v/>
      </c>
      <c r="E1604" s="3">
        <f>+VLOOKUP($A1604,MAGAZZINO!$B$2:$M$100000,5,FALSE)</f>
        <v/>
      </c>
      <c r="F1604" s="3">
        <f>+VLOOKUP($A1604,MAGAZZINO!$B$2:$M$100000,6,FALSE)</f>
        <v/>
      </c>
      <c r="G1604" s="3">
        <f>+VLOOKUP($A1604,MAGAZZINO!$B$2:$M$100000,7,FALSE)</f>
        <v/>
      </c>
      <c r="H1604" s="3">
        <f>+VLOOKUP($A1604,MAGAZZINO!$B$2:$M$100000,8,FALSE)</f>
        <v/>
      </c>
      <c r="I1604" s="3">
        <f>+VLOOKUP($A1604,MAGAZZINO!$B$2:$M$100000,9,FALSE)</f>
        <v/>
      </c>
      <c r="J1604" s="3">
        <f>+VLOOKUP($A1604,MAGAZZINO!$B$2:$M$100000,10,FALSE)</f>
        <v/>
      </c>
      <c r="K1604" s="3">
        <f>+VLOOKUP($A1604,MAGAZZINO!$B$2:$M$100000,11,FALSE)</f>
        <v/>
      </c>
      <c r="L1604" s="5">
        <f>+VLOOKUP($A1604,MAGAZZINO!$B$2:$M$100000,12,FALSE)</f>
        <v/>
      </c>
      <c r="M1604" s="47" t="n"/>
      <c r="N1604" s="88" t="n">
        <v>45873</v>
      </c>
      <c r="O1604" s="156" t="inlineStr">
        <is>
          <t>BIN HUMAID NATIONAL TRADING CO. (ARABIA SAUDITA)</t>
        </is>
      </c>
      <c r="P1604" s="152" t="inlineStr">
        <is>
          <t xml:space="preserve">  IMPORT LICENSE N. 182480  (END USER CERTIFICATE)                                                                      AUT. ESPORTAZIONE MULTIPLA N. 6B/2025/2M RILASCIATA IL 26/05/2025                        (LICENZA DI SCARICO N. 6B/2025/2S RILASCIATA IL 30/07/2025)</t>
        </is>
      </c>
      <c r="Q1604" s="150" t="n"/>
      <c r="R1604" s="150" t="n"/>
      <c r="S1604" s="153" t="n"/>
    </row>
    <row r="1605" ht="36" customHeight="1">
      <c r="A1605" s="46" t="n">
        <v>3935</v>
      </c>
      <c r="B1605" s="4">
        <f>+VLOOKUP($A1605,MAGAZZINO!$B$2:$M$100000,2,FALSE)</f>
        <v/>
      </c>
      <c r="C1605" s="29">
        <f>+VLOOKUP($A1605,MAGAZZINO!$B$2:$M$100000,3,FALSE)</f>
        <v/>
      </c>
      <c r="D1605" s="3">
        <f>+VLOOKUP($A1605,MAGAZZINO!$B$2:$M$100000,4,FALSE)</f>
        <v/>
      </c>
      <c r="E1605" s="3">
        <f>+VLOOKUP($A1605,MAGAZZINO!$B$2:$M$100000,5,FALSE)</f>
        <v/>
      </c>
      <c r="F1605" s="3">
        <f>+VLOOKUP($A1605,MAGAZZINO!$B$2:$M$100000,6,FALSE)</f>
        <v/>
      </c>
      <c r="G1605" s="3">
        <f>+VLOOKUP($A1605,MAGAZZINO!$B$2:$M$100000,7,FALSE)</f>
        <v/>
      </c>
      <c r="H1605" s="3">
        <f>+VLOOKUP($A1605,MAGAZZINO!$B$2:$M$100000,8,FALSE)</f>
        <v/>
      </c>
      <c r="I1605" s="3">
        <f>+VLOOKUP($A1605,MAGAZZINO!$B$2:$M$100000,9,FALSE)</f>
        <v/>
      </c>
      <c r="J1605" s="3">
        <f>+VLOOKUP($A1605,MAGAZZINO!$B$2:$M$100000,10,FALSE)</f>
        <v/>
      </c>
      <c r="K1605" s="3">
        <f>+VLOOKUP($A1605,MAGAZZINO!$B$2:$M$100000,11,FALSE)</f>
        <v/>
      </c>
      <c r="L1605" s="5">
        <f>+VLOOKUP($A1605,MAGAZZINO!$B$2:$M$100000,12,FALSE)</f>
        <v/>
      </c>
      <c r="M1605" s="47" t="n"/>
      <c r="N1605" s="88" t="n">
        <v>45873</v>
      </c>
      <c r="O1605" s="156" t="inlineStr">
        <is>
          <t>BIN HUMAID NATIONAL TRADING CO. (ARABIA SAUDITA)</t>
        </is>
      </c>
      <c r="P1605" s="152" t="inlineStr">
        <is>
          <t xml:space="preserve">  IMPORT LICENSE N. 182480  (END USER CERTIFICATE)                                                                      AUT. ESPORTAZIONE MULTIPLA N. 6B/2025/2M RILASCIATA IL 26/05/2025                        (LICENZA DI SCARICO N. 6B/2025/2S RILASCIATA IL 30/07/2025)</t>
        </is>
      </c>
      <c r="Q1605" s="150" t="n"/>
      <c r="R1605" s="150" t="n"/>
      <c r="S1605" s="153" t="n"/>
    </row>
    <row r="1606" ht="36" customHeight="1">
      <c r="A1606" s="46" t="n">
        <v>3936</v>
      </c>
      <c r="B1606" s="4">
        <f>+VLOOKUP($A1606,MAGAZZINO!$B$2:$M$100000,2,FALSE)</f>
        <v/>
      </c>
      <c r="C1606" s="29">
        <f>+VLOOKUP($A1606,MAGAZZINO!$B$2:$M$100000,3,FALSE)</f>
        <v/>
      </c>
      <c r="D1606" s="3">
        <f>+VLOOKUP($A1606,MAGAZZINO!$B$2:$M$100000,4,FALSE)</f>
        <v/>
      </c>
      <c r="E1606" s="3">
        <f>+VLOOKUP($A1606,MAGAZZINO!$B$2:$M$100000,5,FALSE)</f>
        <v/>
      </c>
      <c r="F1606" s="3">
        <f>+VLOOKUP($A1606,MAGAZZINO!$B$2:$M$100000,6,FALSE)</f>
        <v/>
      </c>
      <c r="G1606" s="3">
        <f>+VLOOKUP($A1606,MAGAZZINO!$B$2:$M$100000,7,FALSE)</f>
        <v/>
      </c>
      <c r="H1606" s="3">
        <f>+VLOOKUP($A1606,MAGAZZINO!$B$2:$M$100000,8,FALSE)</f>
        <v/>
      </c>
      <c r="I1606" s="3">
        <f>+VLOOKUP($A1606,MAGAZZINO!$B$2:$M$100000,9,FALSE)</f>
        <v/>
      </c>
      <c r="J1606" s="3">
        <f>+VLOOKUP($A1606,MAGAZZINO!$B$2:$M$100000,10,FALSE)</f>
        <v/>
      </c>
      <c r="K1606" s="3">
        <f>+VLOOKUP($A1606,MAGAZZINO!$B$2:$M$100000,11,FALSE)</f>
        <v/>
      </c>
      <c r="L1606" s="5">
        <f>+VLOOKUP($A1606,MAGAZZINO!$B$2:$M$100000,12,FALSE)</f>
        <v/>
      </c>
      <c r="M1606" s="47" t="n"/>
      <c r="N1606" s="88" t="n">
        <v>45873</v>
      </c>
      <c r="O1606" s="156" t="inlineStr">
        <is>
          <t>BIN HUMAID NATIONAL TRADING CO. (ARABIA SAUDITA)</t>
        </is>
      </c>
      <c r="P1606" s="152" t="inlineStr">
        <is>
          <t xml:space="preserve">  IMPORT LICENSE N. 182480  (END USER CERTIFICATE)                                                                      AUT. ESPORTAZIONE MULTIPLA N. 6B/2025/2M RILASCIATA IL 26/05/2025                        (LICENZA DI SCARICO N. 6B/2025/2S RILASCIATA IL 30/07/2025)</t>
        </is>
      </c>
      <c r="Q1606" s="150" t="n"/>
      <c r="R1606" s="150" t="n"/>
      <c r="S1606" s="153" t="n"/>
    </row>
    <row r="1607" ht="36" customHeight="1">
      <c r="A1607" s="46" t="n">
        <v>3937</v>
      </c>
      <c r="B1607" s="4">
        <f>+VLOOKUP($A1607,MAGAZZINO!$B$2:$M$100000,2,FALSE)</f>
        <v/>
      </c>
      <c r="C1607" s="29">
        <f>+VLOOKUP($A1607,MAGAZZINO!$B$2:$M$100000,3,FALSE)</f>
        <v/>
      </c>
      <c r="D1607" s="3">
        <f>+VLOOKUP($A1607,MAGAZZINO!$B$2:$M$100000,4,FALSE)</f>
        <v/>
      </c>
      <c r="E1607" s="3">
        <f>+VLOOKUP($A1607,MAGAZZINO!$B$2:$M$100000,5,FALSE)</f>
        <v/>
      </c>
      <c r="F1607" s="3">
        <f>+VLOOKUP($A1607,MAGAZZINO!$B$2:$M$100000,6,FALSE)</f>
        <v/>
      </c>
      <c r="G1607" s="3">
        <f>+VLOOKUP($A1607,MAGAZZINO!$B$2:$M$100000,7,FALSE)</f>
        <v/>
      </c>
      <c r="H1607" s="3">
        <f>+VLOOKUP($A1607,MAGAZZINO!$B$2:$M$100000,8,FALSE)</f>
        <v/>
      </c>
      <c r="I1607" s="3">
        <f>+VLOOKUP($A1607,MAGAZZINO!$B$2:$M$100000,9,FALSE)</f>
        <v/>
      </c>
      <c r="J1607" s="3">
        <f>+VLOOKUP($A1607,MAGAZZINO!$B$2:$M$100000,10,FALSE)</f>
        <v/>
      </c>
      <c r="K1607" s="3">
        <f>+VLOOKUP($A1607,MAGAZZINO!$B$2:$M$100000,11,FALSE)</f>
        <v/>
      </c>
      <c r="L1607" s="5">
        <f>+VLOOKUP($A1607,MAGAZZINO!$B$2:$M$100000,12,FALSE)</f>
        <v/>
      </c>
      <c r="M1607" s="47" t="n"/>
      <c r="N1607" s="88" t="n">
        <v>45873</v>
      </c>
      <c r="O1607" s="156" t="inlineStr">
        <is>
          <t>BIN HUMAID NATIONAL TRADING CO. (ARABIA SAUDITA)</t>
        </is>
      </c>
      <c r="P1607" s="152" t="inlineStr">
        <is>
          <t xml:space="preserve">  IMPORT LICENSE N. 182480  (END USER CERTIFICATE)                                                                      AUT. ESPORTAZIONE MULTIPLA N. 6B/2025/2M RILASCIATA IL 26/05/2025                        (LICENZA DI SCARICO N. 6B/2025/2S RILASCIATA IL 30/07/2025)</t>
        </is>
      </c>
      <c r="Q1607" s="150" t="n"/>
      <c r="R1607" s="150" t="n"/>
      <c r="S1607" s="153" t="n"/>
    </row>
    <row r="1608" ht="36" customHeight="1">
      <c r="A1608" s="46" t="n">
        <v>3938</v>
      </c>
      <c r="B1608" s="4">
        <f>+VLOOKUP($A1608,MAGAZZINO!$B$2:$M$100000,2,FALSE)</f>
        <v/>
      </c>
      <c r="C1608" s="29">
        <f>+VLOOKUP($A1608,MAGAZZINO!$B$2:$M$100000,3,FALSE)</f>
        <v/>
      </c>
      <c r="D1608" s="3">
        <f>+VLOOKUP($A1608,MAGAZZINO!$B$2:$M$100000,4,FALSE)</f>
        <v/>
      </c>
      <c r="E1608" s="3">
        <f>+VLOOKUP($A1608,MAGAZZINO!$B$2:$M$100000,5,FALSE)</f>
        <v/>
      </c>
      <c r="F1608" s="3">
        <f>+VLOOKUP($A1608,MAGAZZINO!$B$2:$M$100000,6,FALSE)</f>
        <v/>
      </c>
      <c r="G1608" s="3">
        <f>+VLOOKUP($A1608,MAGAZZINO!$B$2:$M$100000,7,FALSE)</f>
        <v/>
      </c>
      <c r="H1608" s="3">
        <f>+VLOOKUP($A1608,MAGAZZINO!$B$2:$M$100000,8,FALSE)</f>
        <v/>
      </c>
      <c r="I1608" s="3">
        <f>+VLOOKUP($A1608,MAGAZZINO!$B$2:$M$100000,9,FALSE)</f>
        <v/>
      </c>
      <c r="J1608" s="3">
        <f>+VLOOKUP($A1608,MAGAZZINO!$B$2:$M$100000,10,FALSE)</f>
        <v/>
      </c>
      <c r="K1608" s="3">
        <f>+VLOOKUP($A1608,MAGAZZINO!$B$2:$M$100000,11,FALSE)</f>
        <v/>
      </c>
      <c r="L1608" s="5">
        <f>+VLOOKUP($A1608,MAGAZZINO!$B$2:$M$100000,12,FALSE)</f>
        <v/>
      </c>
      <c r="M1608" s="47" t="n"/>
      <c r="N1608" s="88" t="n">
        <v>45873</v>
      </c>
      <c r="O1608" s="156" t="inlineStr">
        <is>
          <t>BIN HUMAID NATIONAL TRADING CO. (ARABIA SAUDITA)</t>
        </is>
      </c>
      <c r="P1608" s="152" t="inlineStr">
        <is>
          <t xml:space="preserve">  IMPORT LICENSE N. 182480  (END USER CERTIFICATE)                                                                      AUT. ESPORTAZIONE MULTIPLA N. 6B/2025/2M RILASCIATA IL 26/05/2025                        (LICENZA DI SCARICO N. 6B/2025/2S RILASCIATA IL 30/07/2025)</t>
        </is>
      </c>
      <c r="Q1608" s="150" t="n"/>
      <c r="R1608" s="150" t="n"/>
      <c r="S1608" s="153" t="n"/>
    </row>
    <row r="1609" ht="36" customHeight="1">
      <c r="A1609" s="46" t="n">
        <v>3939</v>
      </c>
      <c r="B1609" s="4">
        <f>+VLOOKUP($A1609,MAGAZZINO!$B$2:$M$100000,2,FALSE)</f>
        <v/>
      </c>
      <c r="C1609" s="29">
        <f>+VLOOKUP($A1609,MAGAZZINO!$B$2:$M$100000,3,FALSE)</f>
        <v/>
      </c>
      <c r="D1609" s="3">
        <f>+VLOOKUP($A1609,MAGAZZINO!$B$2:$M$100000,4,FALSE)</f>
        <v/>
      </c>
      <c r="E1609" s="3">
        <f>+VLOOKUP($A1609,MAGAZZINO!$B$2:$M$100000,5,FALSE)</f>
        <v/>
      </c>
      <c r="F1609" s="3">
        <f>+VLOOKUP($A1609,MAGAZZINO!$B$2:$M$100000,6,FALSE)</f>
        <v/>
      </c>
      <c r="G1609" s="3">
        <f>+VLOOKUP($A1609,MAGAZZINO!$B$2:$M$100000,7,FALSE)</f>
        <v/>
      </c>
      <c r="H1609" s="3">
        <f>+VLOOKUP($A1609,MAGAZZINO!$B$2:$M$100000,8,FALSE)</f>
        <v/>
      </c>
      <c r="I1609" s="3">
        <f>+VLOOKUP($A1609,MAGAZZINO!$B$2:$M$100000,9,FALSE)</f>
        <v/>
      </c>
      <c r="J1609" s="3">
        <f>+VLOOKUP($A1609,MAGAZZINO!$B$2:$M$100000,10,FALSE)</f>
        <v/>
      </c>
      <c r="K1609" s="3">
        <f>+VLOOKUP($A1609,MAGAZZINO!$B$2:$M$100000,11,FALSE)</f>
        <v/>
      </c>
      <c r="L1609" s="5">
        <f>+VLOOKUP($A1609,MAGAZZINO!$B$2:$M$100000,12,FALSE)</f>
        <v/>
      </c>
      <c r="M1609" s="47" t="n"/>
      <c r="N1609" s="88" t="n">
        <v>45873</v>
      </c>
      <c r="O1609" s="156" t="inlineStr">
        <is>
          <t>BIN HUMAID NATIONAL TRADING CO. (ARABIA SAUDITA)</t>
        </is>
      </c>
      <c r="P1609" s="152" t="inlineStr">
        <is>
          <t xml:space="preserve">  IMPORT LICENSE N. 182480  (END USER CERTIFICATE)                                                                      AUT. ESPORTAZIONE MULTIPLA N. 6B/2025/2M RILASCIATA IL 26/05/2025                        (LICENZA DI SCARICO N. 6B/2025/2S RILASCIATA IL 30/07/2025)</t>
        </is>
      </c>
      <c r="Q1609" s="150" t="n"/>
      <c r="R1609" s="150" t="n"/>
      <c r="S1609" s="153" t="n"/>
    </row>
    <row r="1610" ht="36" customHeight="1">
      <c r="A1610" s="46" t="n">
        <v>3940</v>
      </c>
      <c r="B1610" s="4">
        <f>+VLOOKUP($A1610,MAGAZZINO!$B$2:$M$100000,2,FALSE)</f>
        <v/>
      </c>
      <c r="C1610" s="29">
        <f>+VLOOKUP($A1610,MAGAZZINO!$B$2:$M$100000,3,FALSE)</f>
        <v/>
      </c>
      <c r="D1610" s="3">
        <f>+VLOOKUP($A1610,MAGAZZINO!$B$2:$M$100000,4,FALSE)</f>
        <v/>
      </c>
      <c r="E1610" s="3">
        <f>+VLOOKUP($A1610,MAGAZZINO!$B$2:$M$100000,5,FALSE)</f>
        <v/>
      </c>
      <c r="F1610" s="3">
        <f>+VLOOKUP($A1610,MAGAZZINO!$B$2:$M$100000,6,FALSE)</f>
        <v/>
      </c>
      <c r="G1610" s="3">
        <f>+VLOOKUP($A1610,MAGAZZINO!$B$2:$M$100000,7,FALSE)</f>
        <v/>
      </c>
      <c r="H1610" s="3">
        <f>+VLOOKUP($A1610,MAGAZZINO!$B$2:$M$100000,8,FALSE)</f>
        <v/>
      </c>
      <c r="I1610" s="3">
        <f>+VLOOKUP($A1610,MAGAZZINO!$B$2:$M$100000,9,FALSE)</f>
        <v/>
      </c>
      <c r="J1610" s="3">
        <f>+VLOOKUP($A1610,MAGAZZINO!$B$2:$M$100000,10,FALSE)</f>
        <v/>
      </c>
      <c r="K1610" s="3">
        <f>+VLOOKUP($A1610,MAGAZZINO!$B$2:$M$100000,11,FALSE)</f>
        <v/>
      </c>
      <c r="L1610" s="5">
        <f>+VLOOKUP($A1610,MAGAZZINO!$B$2:$M$100000,12,FALSE)</f>
        <v/>
      </c>
      <c r="M1610" s="47" t="n"/>
      <c r="N1610" s="88" t="n">
        <v>45873</v>
      </c>
      <c r="O1610" s="156" t="inlineStr">
        <is>
          <t>BIN HUMAID NATIONAL TRADING CO. (ARABIA SAUDITA)</t>
        </is>
      </c>
      <c r="P1610" s="152" t="inlineStr">
        <is>
          <t xml:space="preserve">  IMPORT LICENSE N. 182480  (END USER CERTIFICATE)                                                                      AUT. ESPORTAZIONE MULTIPLA N. 6B/2025/2M RILASCIATA IL 26/05/2025                        (LICENZA DI SCARICO N. 6B/2025/2S RILASCIATA IL 30/07/2025)</t>
        </is>
      </c>
      <c r="Q1610" s="150" t="n"/>
      <c r="R1610" s="150" t="n"/>
      <c r="S1610" s="153" t="n"/>
    </row>
    <row r="1611" ht="36" customHeight="1">
      <c r="A1611" s="46" t="n">
        <v>3941</v>
      </c>
      <c r="B1611" s="4">
        <f>+VLOOKUP($A1611,MAGAZZINO!$B$2:$M$100000,2,FALSE)</f>
        <v/>
      </c>
      <c r="C1611" s="29">
        <f>+VLOOKUP($A1611,MAGAZZINO!$B$2:$M$100000,3,FALSE)</f>
        <v/>
      </c>
      <c r="D1611" s="3">
        <f>+VLOOKUP($A1611,MAGAZZINO!$B$2:$M$100000,4,FALSE)</f>
        <v/>
      </c>
      <c r="E1611" s="3">
        <f>+VLOOKUP($A1611,MAGAZZINO!$B$2:$M$100000,5,FALSE)</f>
        <v/>
      </c>
      <c r="F1611" s="3">
        <f>+VLOOKUP($A1611,MAGAZZINO!$B$2:$M$100000,6,FALSE)</f>
        <v/>
      </c>
      <c r="G1611" s="3">
        <f>+VLOOKUP($A1611,MAGAZZINO!$B$2:$M$100000,7,FALSE)</f>
        <v/>
      </c>
      <c r="H1611" s="3">
        <f>+VLOOKUP($A1611,MAGAZZINO!$B$2:$M$100000,8,FALSE)</f>
        <v/>
      </c>
      <c r="I1611" s="3">
        <f>+VLOOKUP($A1611,MAGAZZINO!$B$2:$M$100000,9,FALSE)</f>
        <v/>
      </c>
      <c r="J1611" s="3">
        <f>+VLOOKUP($A1611,MAGAZZINO!$B$2:$M$100000,10,FALSE)</f>
        <v/>
      </c>
      <c r="K1611" s="3">
        <f>+VLOOKUP($A1611,MAGAZZINO!$B$2:$M$100000,11,FALSE)</f>
        <v/>
      </c>
      <c r="L1611" s="5">
        <f>+VLOOKUP($A1611,MAGAZZINO!$B$2:$M$100000,12,FALSE)</f>
        <v/>
      </c>
      <c r="M1611" s="47" t="n"/>
      <c r="N1611" s="88" t="n">
        <v>45873</v>
      </c>
      <c r="O1611" s="156" t="inlineStr">
        <is>
          <t>BIN HUMAID NATIONAL TRADING CO. (ARABIA SAUDITA)</t>
        </is>
      </c>
      <c r="P1611" s="152" t="inlineStr">
        <is>
          <t xml:space="preserve">  IMPORT LICENSE N. 182480  (END USER CERTIFICATE)                                                                      AUT. ESPORTAZIONE MULTIPLA N. 6B/2025/2M RILASCIATA IL 26/05/2025                        (LICENZA DI SCARICO N. 6B/2025/2S RILASCIATA IL 30/07/2025)</t>
        </is>
      </c>
      <c r="Q1611" s="150" t="n"/>
      <c r="R1611" s="150" t="n"/>
      <c r="S1611" s="153" t="n"/>
    </row>
    <row r="1612" ht="36" customHeight="1">
      <c r="A1612" s="46" t="n">
        <v>3942</v>
      </c>
      <c r="B1612" s="4">
        <f>+VLOOKUP($A1612,MAGAZZINO!$B$2:$M$100000,2,FALSE)</f>
        <v/>
      </c>
      <c r="C1612" s="29">
        <f>+VLOOKUP($A1612,MAGAZZINO!$B$2:$M$100000,3,FALSE)</f>
        <v/>
      </c>
      <c r="D1612" s="3">
        <f>+VLOOKUP($A1612,MAGAZZINO!$B$2:$M$100000,4,FALSE)</f>
        <v/>
      </c>
      <c r="E1612" s="3">
        <f>+VLOOKUP($A1612,MAGAZZINO!$B$2:$M$100000,5,FALSE)</f>
        <v/>
      </c>
      <c r="F1612" s="3">
        <f>+VLOOKUP($A1612,MAGAZZINO!$B$2:$M$100000,6,FALSE)</f>
        <v/>
      </c>
      <c r="G1612" s="3">
        <f>+VLOOKUP($A1612,MAGAZZINO!$B$2:$M$100000,7,FALSE)</f>
        <v/>
      </c>
      <c r="H1612" s="3">
        <f>+VLOOKUP($A1612,MAGAZZINO!$B$2:$M$100000,8,FALSE)</f>
        <v/>
      </c>
      <c r="I1612" s="3">
        <f>+VLOOKUP($A1612,MAGAZZINO!$B$2:$M$100000,9,FALSE)</f>
        <v/>
      </c>
      <c r="J1612" s="3">
        <f>+VLOOKUP($A1612,MAGAZZINO!$B$2:$M$100000,10,FALSE)</f>
        <v/>
      </c>
      <c r="K1612" s="3">
        <f>+VLOOKUP($A1612,MAGAZZINO!$B$2:$M$100000,11,FALSE)</f>
        <v/>
      </c>
      <c r="L1612" s="5">
        <f>+VLOOKUP($A1612,MAGAZZINO!$B$2:$M$100000,12,FALSE)</f>
        <v/>
      </c>
      <c r="M1612" s="47" t="n"/>
      <c r="N1612" s="88" t="n">
        <v>45873</v>
      </c>
      <c r="O1612" s="156" t="inlineStr">
        <is>
          <t>BIN HUMAID NATIONAL TRADING CO. (ARABIA SAUDITA)</t>
        </is>
      </c>
      <c r="P1612" s="152" t="inlineStr">
        <is>
          <t xml:space="preserve">  IMPORT LICENSE N. 182480  (END USER CERTIFICATE)                                                                      AUT. ESPORTAZIONE MULTIPLA N. 6B/2025/2M RILASCIATA IL 26/05/2025                        (LICENZA DI SCARICO N. 6B/2025/2S RILASCIATA IL 30/07/2025)</t>
        </is>
      </c>
      <c r="Q1612" s="150" t="n"/>
      <c r="R1612" s="150" t="n"/>
      <c r="S1612" s="153" t="n"/>
    </row>
    <row r="1613" ht="36" customHeight="1">
      <c r="A1613" s="46" t="n">
        <v>3943</v>
      </c>
      <c r="B1613" s="4">
        <f>+VLOOKUP($A1613,MAGAZZINO!$B$2:$M$100000,2,FALSE)</f>
        <v/>
      </c>
      <c r="C1613" s="29">
        <f>+VLOOKUP($A1613,MAGAZZINO!$B$2:$M$100000,3,FALSE)</f>
        <v/>
      </c>
      <c r="D1613" s="3">
        <f>+VLOOKUP($A1613,MAGAZZINO!$B$2:$M$100000,4,FALSE)</f>
        <v/>
      </c>
      <c r="E1613" s="3">
        <f>+VLOOKUP($A1613,MAGAZZINO!$B$2:$M$100000,5,FALSE)</f>
        <v/>
      </c>
      <c r="F1613" s="3">
        <f>+VLOOKUP($A1613,MAGAZZINO!$B$2:$M$100000,6,FALSE)</f>
        <v/>
      </c>
      <c r="G1613" s="3">
        <f>+VLOOKUP($A1613,MAGAZZINO!$B$2:$M$100000,7,FALSE)</f>
        <v/>
      </c>
      <c r="H1613" s="3">
        <f>+VLOOKUP($A1613,MAGAZZINO!$B$2:$M$100000,8,FALSE)</f>
        <v/>
      </c>
      <c r="I1613" s="3">
        <f>+VLOOKUP($A1613,MAGAZZINO!$B$2:$M$100000,9,FALSE)</f>
        <v/>
      </c>
      <c r="J1613" s="3">
        <f>+VLOOKUP($A1613,MAGAZZINO!$B$2:$M$100000,10,FALSE)</f>
        <v/>
      </c>
      <c r="K1613" s="3">
        <f>+VLOOKUP($A1613,MAGAZZINO!$B$2:$M$100000,11,FALSE)</f>
        <v/>
      </c>
      <c r="L1613" s="5">
        <f>+VLOOKUP($A1613,MAGAZZINO!$B$2:$M$100000,12,FALSE)</f>
        <v/>
      </c>
      <c r="M1613" s="47" t="n"/>
      <c r="N1613" s="88" t="n">
        <v>45873</v>
      </c>
      <c r="O1613" s="156" t="inlineStr">
        <is>
          <t>BIN HUMAID NATIONAL TRADING CO. (ARABIA SAUDITA)</t>
        </is>
      </c>
      <c r="P1613" s="152" t="inlineStr">
        <is>
          <t xml:space="preserve">  IMPORT LICENSE N. 182480  (END USER CERTIFICATE)                                                                      AUT. ESPORTAZIONE MULTIPLA N. 6B/2025/2M RILASCIATA IL 26/05/2025                        (LICENZA DI SCARICO N. 6B/2025/2S RILASCIATA IL 30/07/2025)</t>
        </is>
      </c>
      <c r="Q1613" s="150" t="n"/>
      <c r="R1613" s="150" t="n"/>
      <c r="S1613" s="153" t="n"/>
    </row>
    <row r="1614" ht="36" customHeight="1">
      <c r="A1614" s="46" t="n">
        <v>3944</v>
      </c>
      <c r="B1614" s="4">
        <f>+VLOOKUP($A1614,MAGAZZINO!$B$2:$M$100000,2,FALSE)</f>
        <v/>
      </c>
      <c r="C1614" s="29">
        <f>+VLOOKUP($A1614,MAGAZZINO!$B$2:$M$100000,3,FALSE)</f>
        <v/>
      </c>
      <c r="D1614" s="3">
        <f>+VLOOKUP($A1614,MAGAZZINO!$B$2:$M$100000,4,FALSE)</f>
        <v/>
      </c>
      <c r="E1614" s="3">
        <f>+VLOOKUP($A1614,MAGAZZINO!$B$2:$M$100000,5,FALSE)</f>
        <v/>
      </c>
      <c r="F1614" s="3">
        <f>+VLOOKUP($A1614,MAGAZZINO!$B$2:$M$100000,6,FALSE)</f>
        <v/>
      </c>
      <c r="G1614" s="3">
        <f>+VLOOKUP($A1614,MAGAZZINO!$B$2:$M$100000,7,FALSE)</f>
        <v/>
      </c>
      <c r="H1614" s="3">
        <f>+VLOOKUP($A1614,MAGAZZINO!$B$2:$M$100000,8,FALSE)</f>
        <v/>
      </c>
      <c r="I1614" s="3">
        <f>+VLOOKUP($A1614,MAGAZZINO!$B$2:$M$100000,9,FALSE)</f>
        <v/>
      </c>
      <c r="J1614" s="3">
        <f>+VLOOKUP($A1614,MAGAZZINO!$B$2:$M$100000,10,FALSE)</f>
        <v/>
      </c>
      <c r="K1614" s="3">
        <f>+VLOOKUP($A1614,MAGAZZINO!$B$2:$M$100000,11,FALSE)</f>
        <v/>
      </c>
      <c r="L1614" s="5">
        <f>+VLOOKUP($A1614,MAGAZZINO!$B$2:$M$100000,12,FALSE)</f>
        <v/>
      </c>
      <c r="M1614" s="47" t="n"/>
      <c r="N1614" s="88" t="n">
        <v>45873</v>
      </c>
      <c r="O1614" s="156" t="inlineStr">
        <is>
          <t>BIN HUMAID NATIONAL TRADING CO. (ARABIA SAUDITA)</t>
        </is>
      </c>
      <c r="P1614" s="152" t="inlineStr">
        <is>
          <t xml:space="preserve">  IMPORT LICENSE N. 182480  (END USER CERTIFICATE)                                                                      AUT. ESPORTAZIONE MULTIPLA N. 6B/2025/2M RILASCIATA IL 26/05/2025                        (LICENZA DI SCARICO N. 6B/2025/2S RILASCIATA IL 30/07/2025)</t>
        </is>
      </c>
      <c r="Q1614" s="150" t="n"/>
      <c r="R1614" s="150" t="n"/>
      <c r="S1614" s="153" t="n"/>
    </row>
    <row r="1615" ht="36" customHeight="1">
      <c r="A1615" s="46" t="n">
        <v>3945</v>
      </c>
      <c r="B1615" s="4">
        <f>+VLOOKUP($A1615,MAGAZZINO!$B$2:$M$100000,2,FALSE)</f>
        <v/>
      </c>
      <c r="C1615" s="29">
        <f>+VLOOKUP($A1615,MAGAZZINO!$B$2:$M$100000,3,FALSE)</f>
        <v/>
      </c>
      <c r="D1615" s="3">
        <f>+VLOOKUP($A1615,MAGAZZINO!$B$2:$M$100000,4,FALSE)</f>
        <v/>
      </c>
      <c r="E1615" s="3">
        <f>+VLOOKUP($A1615,MAGAZZINO!$B$2:$M$100000,5,FALSE)</f>
        <v/>
      </c>
      <c r="F1615" s="3">
        <f>+VLOOKUP($A1615,MAGAZZINO!$B$2:$M$100000,6,FALSE)</f>
        <v/>
      </c>
      <c r="G1615" s="3">
        <f>+VLOOKUP($A1615,MAGAZZINO!$B$2:$M$100000,7,FALSE)</f>
        <v/>
      </c>
      <c r="H1615" s="3">
        <f>+VLOOKUP($A1615,MAGAZZINO!$B$2:$M$100000,8,FALSE)</f>
        <v/>
      </c>
      <c r="I1615" s="3">
        <f>+VLOOKUP($A1615,MAGAZZINO!$B$2:$M$100000,9,FALSE)</f>
        <v/>
      </c>
      <c r="J1615" s="3">
        <f>+VLOOKUP($A1615,MAGAZZINO!$B$2:$M$100000,10,FALSE)</f>
        <v/>
      </c>
      <c r="K1615" s="3">
        <f>+VLOOKUP($A1615,MAGAZZINO!$B$2:$M$100000,11,FALSE)</f>
        <v/>
      </c>
      <c r="L1615" s="5">
        <f>+VLOOKUP($A1615,MAGAZZINO!$B$2:$M$100000,12,FALSE)</f>
        <v/>
      </c>
      <c r="M1615" s="47" t="n"/>
      <c r="N1615" s="88" t="n">
        <v>45873</v>
      </c>
      <c r="O1615" s="156" t="inlineStr">
        <is>
          <t>BIN HUMAID NATIONAL TRADING CO. (ARABIA SAUDITA)</t>
        </is>
      </c>
      <c r="P1615" s="152" t="inlineStr">
        <is>
          <t xml:space="preserve">  IMPORT LICENSE N. 182480  (END USER CERTIFICATE)                                                                      AUT. ESPORTAZIONE MULTIPLA N. 6B/2025/2M RILASCIATA IL 26/05/2025                        (LICENZA DI SCARICO N. 6B/2025/2S RILASCIATA IL 30/07/2025)</t>
        </is>
      </c>
      <c r="Q1615" s="150" t="n"/>
      <c r="R1615" s="150" t="n"/>
      <c r="S1615" s="153" t="n"/>
    </row>
    <row r="1616" ht="36" customHeight="1">
      <c r="A1616" s="46" t="n">
        <v>3946</v>
      </c>
      <c r="B1616" s="4">
        <f>+VLOOKUP($A1616,MAGAZZINO!$B$2:$M$100000,2,FALSE)</f>
        <v/>
      </c>
      <c r="C1616" s="29">
        <f>+VLOOKUP($A1616,MAGAZZINO!$B$2:$M$100000,3,FALSE)</f>
        <v/>
      </c>
      <c r="D1616" s="3">
        <f>+VLOOKUP($A1616,MAGAZZINO!$B$2:$M$100000,4,FALSE)</f>
        <v/>
      </c>
      <c r="E1616" s="3">
        <f>+VLOOKUP($A1616,MAGAZZINO!$B$2:$M$100000,5,FALSE)</f>
        <v/>
      </c>
      <c r="F1616" s="3">
        <f>+VLOOKUP($A1616,MAGAZZINO!$B$2:$M$100000,6,FALSE)</f>
        <v/>
      </c>
      <c r="G1616" s="3">
        <f>+VLOOKUP($A1616,MAGAZZINO!$B$2:$M$100000,7,FALSE)</f>
        <v/>
      </c>
      <c r="H1616" s="3">
        <f>+VLOOKUP($A1616,MAGAZZINO!$B$2:$M$100000,8,FALSE)</f>
        <v/>
      </c>
      <c r="I1616" s="3">
        <f>+VLOOKUP($A1616,MAGAZZINO!$B$2:$M$100000,9,FALSE)</f>
        <v/>
      </c>
      <c r="J1616" s="3">
        <f>+VLOOKUP($A1616,MAGAZZINO!$B$2:$M$100000,10,FALSE)</f>
        <v/>
      </c>
      <c r="K1616" s="3">
        <f>+VLOOKUP($A1616,MAGAZZINO!$B$2:$M$100000,11,FALSE)</f>
        <v/>
      </c>
      <c r="L1616" s="5">
        <f>+VLOOKUP($A1616,MAGAZZINO!$B$2:$M$100000,12,FALSE)</f>
        <v/>
      </c>
      <c r="M1616" s="47" t="n"/>
      <c r="N1616" s="88" t="n">
        <v>45873</v>
      </c>
      <c r="O1616" s="156" t="inlineStr">
        <is>
          <t>BIN HUMAID NATIONAL TRADING CO. (ARABIA SAUDITA)</t>
        </is>
      </c>
      <c r="P1616" s="152" t="inlineStr">
        <is>
          <t xml:space="preserve">  IMPORT LICENSE N. 182480  (END USER CERTIFICATE)                                                                      AUT. ESPORTAZIONE MULTIPLA N. 6B/2025/2M RILASCIATA IL 26/05/2025                        (LICENZA DI SCARICO N. 6B/2025/2S RILASCIATA IL 30/07/2025)</t>
        </is>
      </c>
      <c r="Q1616" s="150" t="n"/>
      <c r="R1616" s="150" t="n"/>
      <c r="S1616" s="153" t="n"/>
    </row>
    <row r="1617" ht="36" customHeight="1">
      <c r="A1617" s="46" t="n">
        <v>3947</v>
      </c>
      <c r="B1617" s="4">
        <f>+VLOOKUP($A1617,MAGAZZINO!$B$2:$M$100000,2,FALSE)</f>
        <v/>
      </c>
      <c r="C1617" s="29">
        <f>+VLOOKUP($A1617,MAGAZZINO!$B$2:$M$100000,3,FALSE)</f>
        <v/>
      </c>
      <c r="D1617" s="3">
        <f>+VLOOKUP($A1617,MAGAZZINO!$B$2:$M$100000,4,FALSE)</f>
        <v/>
      </c>
      <c r="E1617" s="3">
        <f>+VLOOKUP($A1617,MAGAZZINO!$B$2:$M$100000,5,FALSE)</f>
        <v/>
      </c>
      <c r="F1617" s="3">
        <f>+VLOOKUP($A1617,MAGAZZINO!$B$2:$M$100000,6,FALSE)</f>
        <v/>
      </c>
      <c r="G1617" s="3">
        <f>+VLOOKUP($A1617,MAGAZZINO!$B$2:$M$100000,7,FALSE)</f>
        <v/>
      </c>
      <c r="H1617" s="3">
        <f>+VLOOKUP($A1617,MAGAZZINO!$B$2:$M$100000,8,FALSE)</f>
        <v/>
      </c>
      <c r="I1617" s="3">
        <f>+VLOOKUP($A1617,MAGAZZINO!$B$2:$M$100000,9,FALSE)</f>
        <v/>
      </c>
      <c r="J1617" s="3">
        <f>+VLOOKUP($A1617,MAGAZZINO!$B$2:$M$100000,10,FALSE)</f>
        <v/>
      </c>
      <c r="K1617" s="3">
        <f>+VLOOKUP($A1617,MAGAZZINO!$B$2:$M$100000,11,FALSE)</f>
        <v/>
      </c>
      <c r="L1617" s="5">
        <f>+VLOOKUP($A1617,MAGAZZINO!$B$2:$M$100000,12,FALSE)</f>
        <v/>
      </c>
      <c r="M1617" s="47" t="n"/>
      <c r="N1617" s="88" t="n">
        <v>45873</v>
      </c>
      <c r="O1617" s="156" t="inlineStr">
        <is>
          <t>BIN HUMAID NATIONAL TRADING CO. (ARABIA SAUDITA)</t>
        </is>
      </c>
      <c r="P1617" s="152" t="inlineStr">
        <is>
          <t xml:space="preserve">  IMPORT LICENSE N. 182480  (END USER CERTIFICATE)                                                                      AUT. ESPORTAZIONE MULTIPLA N. 6B/2025/2M RILASCIATA IL 26/05/2025                        (LICENZA DI SCARICO N. 6B/2025/2S RILASCIATA IL 30/07/2025)</t>
        </is>
      </c>
      <c r="Q1617" s="150" t="n"/>
      <c r="R1617" s="150" t="n"/>
      <c r="S1617" s="153" t="n"/>
    </row>
    <row r="1618" ht="36" customHeight="1">
      <c r="A1618" s="46" t="n">
        <v>3948</v>
      </c>
      <c r="B1618" s="4">
        <f>+VLOOKUP($A1618,MAGAZZINO!$B$2:$M$100000,2,FALSE)</f>
        <v/>
      </c>
      <c r="C1618" s="29">
        <f>+VLOOKUP($A1618,MAGAZZINO!$B$2:$M$100000,3,FALSE)</f>
        <v/>
      </c>
      <c r="D1618" s="3">
        <f>+VLOOKUP($A1618,MAGAZZINO!$B$2:$M$100000,4,FALSE)</f>
        <v/>
      </c>
      <c r="E1618" s="3">
        <f>+VLOOKUP($A1618,MAGAZZINO!$B$2:$M$100000,5,FALSE)</f>
        <v/>
      </c>
      <c r="F1618" s="3">
        <f>+VLOOKUP($A1618,MAGAZZINO!$B$2:$M$100000,6,FALSE)</f>
        <v/>
      </c>
      <c r="G1618" s="3">
        <f>+VLOOKUP($A1618,MAGAZZINO!$B$2:$M$100000,7,FALSE)</f>
        <v/>
      </c>
      <c r="H1618" s="3">
        <f>+VLOOKUP($A1618,MAGAZZINO!$B$2:$M$100000,8,FALSE)</f>
        <v/>
      </c>
      <c r="I1618" s="3">
        <f>+VLOOKUP($A1618,MAGAZZINO!$B$2:$M$100000,9,FALSE)</f>
        <v/>
      </c>
      <c r="J1618" s="3">
        <f>+VLOOKUP($A1618,MAGAZZINO!$B$2:$M$100000,10,FALSE)</f>
        <v/>
      </c>
      <c r="K1618" s="3">
        <f>+VLOOKUP($A1618,MAGAZZINO!$B$2:$M$100000,11,FALSE)</f>
        <v/>
      </c>
      <c r="L1618" s="5">
        <f>+VLOOKUP($A1618,MAGAZZINO!$B$2:$M$100000,12,FALSE)</f>
        <v/>
      </c>
      <c r="M1618" s="47" t="n"/>
      <c r="N1618" s="88" t="n">
        <v>45873</v>
      </c>
      <c r="O1618" s="156" t="inlineStr">
        <is>
          <t>BIN HUMAID NATIONAL TRADING CO. (ARABIA SAUDITA)</t>
        </is>
      </c>
      <c r="P1618" s="152" t="inlineStr">
        <is>
          <t xml:space="preserve">  IMPORT LICENSE N. 182480  (END USER CERTIFICATE)                                                                      AUT. ESPORTAZIONE MULTIPLA N. 6B/2025/2M RILASCIATA IL 26/05/2025                        (LICENZA DI SCARICO N. 6B/2025/2S RILASCIATA IL 30/07/2025)</t>
        </is>
      </c>
      <c r="Q1618" s="150" t="n"/>
      <c r="R1618" s="150" t="n"/>
      <c r="S1618" s="153" t="n"/>
    </row>
    <row r="1619" ht="36" customHeight="1">
      <c r="A1619" s="46" t="n">
        <v>3949</v>
      </c>
      <c r="B1619" s="4">
        <f>+VLOOKUP($A1619,MAGAZZINO!$B$2:$M$100000,2,FALSE)</f>
        <v/>
      </c>
      <c r="C1619" s="29">
        <f>+VLOOKUP($A1619,MAGAZZINO!$B$2:$M$100000,3,FALSE)</f>
        <v/>
      </c>
      <c r="D1619" s="3">
        <f>+VLOOKUP($A1619,MAGAZZINO!$B$2:$M$100000,4,FALSE)</f>
        <v/>
      </c>
      <c r="E1619" s="3">
        <f>+VLOOKUP($A1619,MAGAZZINO!$B$2:$M$100000,5,FALSE)</f>
        <v/>
      </c>
      <c r="F1619" s="3">
        <f>+VLOOKUP($A1619,MAGAZZINO!$B$2:$M$100000,6,FALSE)</f>
        <v/>
      </c>
      <c r="G1619" s="3">
        <f>+VLOOKUP($A1619,MAGAZZINO!$B$2:$M$100000,7,FALSE)</f>
        <v/>
      </c>
      <c r="H1619" s="3">
        <f>+VLOOKUP($A1619,MAGAZZINO!$B$2:$M$100000,8,FALSE)</f>
        <v/>
      </c>
      <c r="I1619" s="3">
        <f>+VLOOKUP($A1619,MAGAZZINO!$B$2:$M$100000,9,FALSE)</f>
        <v/>
      </c>
      <c r="J1619" s="3">
        <f>+VLOOKUP($A1619,MAGAZZINO!$B$2:$M$100000,10,FALSE)</f>
        <v/>
      </c>
      <c r="K1619" s="3">
        <f>+VLOOKUP($A1619,MAGAZZINO!$B$2:$M$100000,11,FALSE)</f>
        <v/>
      </c>
      <c r="L1619" s="5">
        <f>+VLOOKUP($A1619,MAGAZZINO!$B$2:$M$100000,12,FALSE)</f>
        <v/>
      </c>
      <c r="M1619" s="47" t="n"/>
      <c r="N1619" s="88" t="n">
        <v>45873</v>
      </c>
      <c r="O1619" s="156" t="inlineStr">
        <is>
          <t>BIN HUMAID NATIONAL TRADING CO. (ARABIA SAUDITA)</t>
        </is>
      </c>
      <c r="P1619" s="152" t="inlineStr">
        <is>
          <t xml:space="preserve">  IMPORT LICENSE N. 182480  (END USER CERTIFICATE)                                                                      AUT. ESPORTAZIONE MULTIPLA N. 6B/2025/2M RILASCIATA IL 26/05/2025                        (LICENZA DI SCARICO N. 6B/2025/2S RILASCIATA IL 30/07/2025)</t>
        </is>
      </c>
      <c r="Q1619" s="150" t="n"/>
      <c r="R1619" s="150" t="n"/>
      <c r="S1619" s="153" t="n"/>
    </row>
    <row r="1620" ht="36" customHeight="1">
      <c r="A1620" s="46" t="n">
        <v>3950</v>
      </c>
      <c r="B1620" s="4">
        <f>+VLOOKUP($A1620,MAGAZZINO!$B$2:$M$100000,2,FALSE)</f>
        <v/>
      </c>
      <c r="C1620" s="29">
        <f>+VLOOKUP($A1620,MAGAZZINO!$B$2:$M$100000,3,FALSE)</f>
        <v/>
      </c>
      <c r="D1620" s="3">
        <f>+VLOOKUP($A1620,MAGAZZINO!$B$2:$M$100000,4,FALSE)</f>
        <v/>
      </c>
      <c r="E1620" s="3">
        <f>+VLOOKUP($A1620,MAGAZZINO!$B$2:$M$100000,5,FALSE)</f>
        <v/>
      </c>
      <c r="F1620" s="3">
        <f>+VLOOKUP($A1620,MAGAZZINO!$B$2:$M$100000,6,FALSE)</f>
        <v/>
      </c>
      <c r="G1620" s="3">
        <f>+VLOOKUP($A1620,MAGAZZINO!$B$2:$M$100000,7,FALSE)</f>
        <v/>
      </c>
      <c r="H1620" s="3">
        <f>+VLOOKUP($A1620,MAGAZZINO!$B$2:$M$100000,8,FALSE)</f>
        <v/>
      </c>
      <c r="I1620" s="3">
        <f>+VLOOKUP($A1620,MAGAZZINO!$B$2:$M$100000,9,FALSE)</f>
        <v/>
      </c>
      <c r="J1620" s="3">
        <f>+VLOOKUP($A1620,MAGAZZINO!$B$2:$M$100000,10,FALSE)</f>
        <v/>
      </c>
      <c r="K1620" s="3">
        <f>+VLOOKUP($A1620,MAGAZZINO!$B$2:$M$100000,11,FALSE)</f>
        <v/>
      </c>
      <c r="L1620" s="5">
        <f>+VLOOKUP($A1620,MAGAZZINO!$B$2:$M$100000,12,FALSE)</f>
        <v/>
      </c>
      <c r="M1620" s="47" t="n"/>
      <c r="N1620" s="88" t="n">
        <v>45873</v>
      </c>
      <c r="O1620" s="156" t="inlineStr">
        <is>
          <t>BIN HUMAID NATIONAL TRADING CO. (ARABIA SAUDITA)</t>
        </is>
      </c>
      <c r="P1620" s="152" t="inlineStr">
        <is>
          <t xml:space="preserve">  IMPORT LICENSE N. 182480  (END USER CERTIFICATE)                                                                      AUT. ESPORTAZIONE MULTIPLA N. 6B/2025/2M RILASCIATA IL 26/05/2025                        (LICENZA DI SCARICO N. 6B/2025/2S RILASCIATA IL 30/07/2025)</t>
        </is>
      </c>
      <c r="Q1620" s="150" t="n"/>
      <c r="R1620" s="150" t="n"/>
      <c r="S1620" s="153" t="n"/>
    </row>
    <row r="1621" ht="36" customHeight="1">
      <c r="A1621" s="46" t="n">
        <v>3951</v>
      </c>
      <c r="B1621" s="4">
        <f>+VLOOKUP($A1621,MAGAZZINO!$B$2:$M$100000,2,FALSE)</f>
        <v/>
      </c>
      <c r="C1621" s="29">
        <f>+VLOOKUP($A1621,MAGAZZINO!$B$2:$M$100000,3,FALSE)</f>
        <v/>
      </c>
      <c r="D1621" s="3">
        <f>+VLOOKUP($A1621,MAGAZZINO!$B$2:$M$100000,4,FALSE)</f>
        <v/>
      </c>
      <c r="E1621" s="3">
        <f>+VLOOKUP($A1621,MAGAZZINO!$B$2:$M$100000,5,FALSE)</f>
        <v/>
      </c>
      <c r="F1621" s="3">
        <f>+VLOOKUP($A1621,MAGAZZINO!$B$2:$M$100000,6,FALSE)</f>
        <v/>
      </c>
      <c r="G1621" s="3">
        <f>+VLOOKUP($A1621,MAGAZZINO!$B$2:$M$100000,7,FALSE)</f>
        <v/>
      </c>
      <c r="H1621" s="3">
        <f>+VLOOKUP($A1621,MAGAZZINO!$B$2:$M$100000,8,FALSE)</f>
        <v/>
      </c>
      <c r="I1621" s="3">
        <f>+VLOOKUP($A1621,MAGAZZINO!$B$2:$M$100000,9,FALSE)</f>
        <v/>
      </c>
      <c r="J1621" s="3">
        <f>+VLOOKUP($A1621,MAGAZZINO!$B$2:$M$100000,10,FALSE)</f>
        <v/>
      </c>
      <c r="K1621" s="3">
        <f>+VLOOKUP($A1621,MAGAZZINO!$B$2:$M$100000,11,FALSE)</f>
        <v/>
      </c>
      <c r="L1621" s="5">
        <f>+VLOOKUP($A1621,MAGAZZINO!$B$2:$M$100000,12,FALSE)</f>
        <v/>
      </c>
      <c r="M1621" s="47" t="n"/>
      <c r="N1621" s="88" t="n">
        <v>45873</v>
      </c>
      <c r="O1621" s="156" t="inlineStr">
        <is>
          <t>BIN HUMAID NATIONAL TRADING CO. (ARABIA SAUDITA)</t>
        </is>
      </c>
      <c r="P1621" s="152" t="inlineStr">
        <is>
          <t xml:space="preserve">  IMPORT LICENSE N. 182480  (END USER CERTIFICATE)                                                                      AUT. ESPORTAZIONE MULTIPLA N. 6B/2025/2M RILASCIATA IL 26/05/2025                        (LICENZA DI SCARICO N. 6B/2025/2S RILASCIATA IL 30/07/2025)</t>
        </is>
      </c>
      <c r="Q1621" s="150" t="n"/>
      <c r="R1621" s="150" t="n"/>
      <c r="S1621" s="153" t="n"/>
    </row>
    <row r="1622" ht="36" customHeight="1">
      <c r="A1622" s="46" t="n">
        <v>3952</v>
      </c>
      <c r="B1622" s="4">
        <f>+VLOOKUP($A1622,MAGAZZINO!$B$2:$M$100000,2,FALSE)</f>
        <v/>
      </c>
      <c r="C1622" s="29">
        <f>+VLOOKUP($A1622,MAGAZZINO!$B$2:$M$100000,3,FALSE)</f>
        <v/>
      </c>
      <c r="D1622" s="3">
        <f>+VLOOKUP($A1622,MAGAZZINO!$B$2:$M$100000,4,FALSE)</f>
        <v/>
      </c>
      <c r="E1622" s="3">
        <f>+VLOOKUP($A1622,MAGAZZINO!$B$2:$M$100000,5,FALSE)</f>
        <v/>
      </c>
      <c r="F1622" s="3">
        <f>+VLOOKUP($A1622,MAGAZZINO!$B$2:$M$100000,6,FALSE)</f>
        <v/>
      </c>
      <c r="G1622" s="3">
        <f>+VLOOKUP($A1622,MAGAZZINO!$B$2:$M$100000,7,FALSE)</f>
        <v/>
      </c>
      <c r="H1622" s="3">
        <f>+VLOOKUP($A1622,MAGAZZINO!$B$2:$M$100000,8,FALSE)</f>
        <v/>
      </c>
      <c r="I1622" s="3">
        <f>+VLOOKUP($A1622,MAGAZZINO!$B$2:$M$100000,9,FALSE)</f>
        <v/>
      </c>
      <c r="J1622" s="3">
        <f>+VLOOKUP($A1622,MAGAZZINO!$B$2:$M$100000,10,FALSE)</f>
        <v/>
      </c>
      <c r="K1622" s="3">
        <f>+VLOOKUP($A1622,MAGAZZINO!$B$2:$M$100000,11,FALSE)</f>
        <v/>
      </c>
      <c r="L1622" s="5">
        <f>+VLOOKUP($A1622,MAGAZZINO!$B$2:$M$100000,12,FALSE)</f>
        <v/>
      </c>
      <c r="M1622" s="47" t="n"/>
      <c r="N1622" s="88" t="n">
        <v>45873</v>
      </c>
      <c r="O1622" s="156" t="inlineStr">
        <is>
          <t>BIN HUMAID NATIONAL TRADING CO. (ARABIA SAUDITA)</t>
        </is>
      </c>
      <c r="P1622" s="152" t="inlineStr">
        <is>
          <t xml:space="preserve">  IMPORT LICENSE N. 182480  (END USER CERTIFICATE)                                                                      AUT. ESPORTAZIONE MULTIPLA N. 6B/2025/2M RILASCIATA IL 26/05/2025                        (LICENZA DI SCARICO N. 6B/2025/2S RILASCIATA IL 30/07/2025)</t>
        </is>
      </c>
      <c r="Q1622" s="150" t="n"/>
      <c r="R1622" s="150" t="n"/>
      <c r="S1622" s="153" t="n"/>
    </row>
    <row r="1623" ht="36" customHeight="1">
      <c r="A1623" s="46" t="n">
        <v>3953</v>
      </c>
      <c r="B1623" s="4">
        <f>+VLOOKUP($A1623,MAGAZZINO!$B$2:$M$100000,2,FALSE)</f>
        <v/>
      </c>
      <c r="C1623" s="29">
        <f>+VLOOKUP($A1623,MAGAZZINO!$B$2:$M$100000,3,FALSE)</f>
        <v/>
      </c>
      <c r="D1623" s="3">
        <f>+VLOOKUP($A1623,MAGAZZINO!$B$2:$M$100000,4,FALSE)</f>
        <v/>
      </c>
      <c r="E1623" s="3">
        <f>+VLOOKUP($A1623,MAGAZZINO!$B$2:$M$100000,5,FALSE)</f>
        <v/>
      </c>
      <c r="F1623" s="3">
        <f>+VLOOKUP($A1623,MAGAZZINO!$B$2:$M$100000,6,FALSE)</f>
        <v/>
      </c>
      <c r="G1623" s="3">
        <f>+VLOOKUP($A1623,MAGAZZINO!$B$2:$M$100000,7,FALSE)</f>
        <v/>
      </c>
      <c r="H1623" s="3">
        <f>+VLOOKUP($A1623,MAGAZZINO!$B$2:$M$100000,8,FALSE)</f>
        <v/>
      </c>
      <c r="I1623" s="3">
        <f>+VLOOKUP($A1623,MAGAZZINO!$B$2:$M$100000,9,FALSE)</f>
        <v/>
      </c>
      <c r="J1623" s="3">
        <f>+VLOOKUP($A1623,MAGAZZINO!$B$2:$M$100000,10,FALSE)</f>
        <v/>
      </c>
      <c r="K1623" s="3">
        <f>+VLOOKUP($A1623,MAGAZZINO!$B$2:$M$100000,11,FALSE)</f>
        <v/>
      </c>
      <c r="L1623" s="5">
        <f>+VLOOKUP($A1623,MAGAZZINO!$B$2:$M$100000,12,FALSE)</f>
        <v/>
      </c>
      <c r="M1623" s="47" t="n"/>
      <c r="N1623" s="88" t="n">
        <v>45873</v>
      </c>
      <c r="O1623" s="156" t="inlineStr">
        <is>
          <t>BIN HUMAID NATIONAL TRADING CO. (ARABIA SAUDITA)</t>
        </is>
      </c>
      <c r="P1623" s="152" t="inlineStr">
        <is>
          <t xml:space="preserve">  IMPORT LICENSE N. 182480  (END USER CERTIFICATE)                                                                      AUT. ESPORTAZIONE MULTIPLA N. 6B/2025/2M RILASCIATA IL 26/05/2025                        (LICENZA DI SCARICO N. 6B/2025/2S RILASCIATA IL 30/07/2025)</t>
        </is>
      </c>
      <c r="Q1623" s="150" t="n"/>
      <c r="R1623" s="150" t="n"/>
      <c r="S1623" s="153" t="n"/>
    </row>
    <row r="1624" ht="36" customHeight="1">
      <c r="A1624" s="46" t="n">
        <v>3954</v>
      </c>
      <c r="B1624" s="4">
        <f>+VLOOKUP($A1624,MAGAZZINO!$B$2:$M$100000,2,FALSE)</f>
        <v/>
      </c>
      <c r="C1624" s="29">
        <f>+VLOOKUP($A1624,MAGAZZINO!$B$2:$M$100000,3,FALSE)</f>
        <v/>
      </c>
      <c r="D1624" s="3">
        <f>+VLOOKUP($A1624,MAGAZZINO!$B$2:$M$100000,4,FALSE)</f>
        <v/>
      </c>
      <c r="E1624" s="3">
        <f>+VLOOKUP($A1624,MAGAZZINO!$B$2:$M$100000,5,FALSE)</f>
        <v/>
      </c>
      <c r="F1624" s="3">
        <f>+VLOOKUP($A1624,MAGAZZINO!$B$2:$M$100000,6,FALSE)</f>
        <v/>
      </c>
      <c r="G1624" s="3">
        <f>+VLOOKUP($A1624,MAGAZZINO!$B$2:$M$100000,7,FALSE)</f>
        <v/>
      </c>
      <c r="H1624" s="3">
        <f>+VLOOKUP($A1624,MAGAZZINO!$B$2:$M$100000,8,FALSE)</f>
        <v/>
      </c>
      <c r="I1624" s="3">
        <f>+VLOOKUP($A1624,MAGAZZINO!$B$2:$M$100000,9,FALSE)</f>
        <v/>
      </c>
      <c r="J1624" s="3">
        <f>+VLOOKUP($A1624,MAGAZZINO!$B$2:$M$100000,10,FALSE)</f>
        <v/>
      </c>
      <c r="K1624" s="3">
        <f>+VLOOKUP($A1624,MAGAZZINO!$B$2:$M$100000,11,FALSE)</f>
        <v/>
      </c>
      <c r="L1624" s="5">
        <f>+VLOOKUP($A1624,MAGAZZINO!$B$2:$M$100000,12,FALSE)</f>
        <v/>
      </c>
      <c r="M1624" s="47" t="n"/>
      <c r="N1624" s="88" t="n">
        <v>45873</v>
      </c>
      <c r="O1624" s="156" t="inlineStr">
        <is>
          <t>BIN HUMAID NATIONAL TRADING CO. (ARABIA SAUDITA)</t>
        </is>
      </c>
      <c r="P1624" s="152" t="inlineStr">
        <is>
          <t xml:space="preserve">  IMPORT LICENSE N. 182480  (END USER CERTIFICATE)                                                                      AUT. ESPORTAZIONE MULTIPLA N. 6B/2025/2M RILASCIATA IL 26/05/2025                        (LICENZA DI SCARICO N. 6B/2025/2S RILASCIATA IL 30/07/2025)</t>
        </is>
      </c>
      <c r="Q1624" s="150" t="n"/>
      <c r="R1624" s="150" t="n"/>
      <c r="S1624" s="153" t="n"/>
    </row>
    <row r="1625" ht="36" customHeight="1">
      <c r="A1625" s="46" t="n">
        <v>3955</v>
      </c>
      <c r="B1625" s="4">
        <f>+VLOOKUP($A1625,MAGAZZINO!$B$2:$M$100000,2,FALSE)</f>
        <v/>
      </c>
      <c r="C1625" s="29">
        <f>+VLOOKUP($A1625,MAGAZZINO!$B$2:$M$100000,3,FALSE)</f>
        <v/>
      </c>
      <c r="D1625" s="3">
        <f>+VLOOKUP($A1625,MAGAZZINO!$B$2:$M$100000,4,FALSE)</f>
        <v/>
      </c>
      <c r="E1625" s="3">
        <f>+VLOOKUP($A1625,MAGAZZINO!$B$2:$M$100000,5,FALSE)</f>
        <v/>
      </c>
      <c r="F1625" s="3">
        <f>+VLOOKUP($A1625,MAGAZZINO!$B$2:$M$100000,6,FALSE)</f>
        <v/>
      </c>
      <c r="G1625" s="3">
        <f>+VLOOKUP($A1625,MAGAZZINO!$B$2:$M$100000,7,FALSE)</f>
        <v/>
      </c>
      <c r="H1625" s="3">
        <f>+VLOOKUP($A1625,MAGAZZINO!$B$2:$M$100000,8,FALSE)</f>
        <v/>
      </c>
      <c r="I1625" s="3">
        <f>+VLOOKUP($A1625,MAGAZZINO!$B$2:$M$100000,9,FALSE)</f>
        <v/>
      </c>
      <c r="J1625" s="3">
        <f>+VLOOKUP($A1625,MAGAZZINO!$B$2:$M$100000,10,FALSE)</f>
        <v/>
      </c>
      <c r="K1625" s="3">
        <f>+VLOOKUP($A1625,MAGAZZINO!$B$2:$M$100000,11,FALSE)</f>
        <v/>
      </c>
      <c r="L1625" s="5">
        <f>+VLOOKUP($A1625,MAGAZZINO!$B$2:$M$100000,12,FALSE)</f>
        <v/>
      </c>
      <c r="M1625" s="47" t="n"/>
      <c r="N1625" s="88" t="n">
        <v>45873</v>
      </c>
      <c r="O1625" s="156" t="inlineStr">
        <is>
          <t>BIN HUMAID NATIONAL TRADING CO. (ARABIA SAUDITA)</t>
        </is>
      </c>
      <c r="P1625" s="152" t="inlineStr">
        <is>
          <t xml:space="preserve">  IMPORT LICENSE N. 182480  (END USER CERTIFICATE)                                                                      AUT. ESPORTAZIONE MULTIPLA N. 6B/2025/2M RILASCIATA IL 26/05/2025                        (LICENZA DI SCARICO N. 6B/2025/2S RILASCIATA IL 30/07/2025)</t>
        </is>
      </c>
      <c r="Q1625" s="150" t="n"/>
      <c r="R1625" s="150" t="n"/>
      <c r="S1625" s="153" t="n"/>
    </row>
    <row r="1626" ht="36" customHeight="1">
      <c r="A1626" s="46" t="n">
        <v>3956</v>
      </c>
      <c r="B1626" s="4">
        <f>+VLOOKUP($A1626,MAGAZZINO!$B$2:$M$100000,2,FALSE)</f>
        <v/>
      </c>
      <c r="C1626" s="29">
        <f>+VLOOKUP($A1626,MAGAZZINO!$B$2:$M$100000,3,FALSE)</f>
        <v/>
      </c>
      <c r="D1626" s="3">
        <f>+VLOOKUP($A1626,MAGAZZINO!$B$2:$M$100000,4,FALSE)</f>
        <v/>
      </c>
      <c r="E1626" s="3">
        <f>+VLOOKUP($A1626,MAGAZZINO!$B$2:$M$100000,5,FALSE)</f>
        <v/>
      </c>
      <c r="F1626" s="3">
        <f>+VLOOKUP($A1626,MAGAZZINO!$B$2:$M$100000,6,FALSE)</f>
        <v/>
      </c>
      <c r="G1626" s="3">
        <f>+VLOOKUP($A1626,MAGAZZINO!$B$2:$M$100000,7,FALSE)</f>
        <v/>
      </c>
      <c r="H1626" s="3">
        <f>+VLOOKUP($A1626,MAGAZZINO!$B$2:$M$100000,8,FALSE)</f>
        <v/>
      </c>
      <c r="I1626" s="3">
        <f>+VLOOKUP($A1626,MAGAZZINO!$B$2:$M$100000,9,FALSE)</f>
        <v/>
      </c>
      <c r="J1626" s="3">
        <f>+VLOOKUP($A1626,MAGAZZINO!$B$2:$M$100000,10,FALSE)</f>
        <v/>
      </c>
      <c r="K1626" s="3">
        <f>+VLOOKUP($A1626,MAGAZZINO!$B$2:$M$100000,11,FALSE)</f>
        <v/>
      </c>
      <c r="L1626" s="5">
        <f>+VLOOKUP($A1626,MAGAZZINO!$B$2:$M$100000,12,FALSE)</f>
        <v/>
      </c>
      <c r="M1626" s="47" t="n"/>
      <c r="N1626" s="88" t="n">
        <v>45873</v>
      </c>
      <c r="O1626" s="156" t="inlineStr">
        <is>
          <t>BIN HUMAID NATIONAL TRADING CO. (ARABIA SAUDITA)</t>
        </is>
      </c>
      <c r="P1626" s="152" t="inlineStr">
        <is>
          <t xml:space="preserve">  IMPORT LICENSE N. 182480  (END USER CERTIFICATE)                                                                      AUT. ESPORTAZIONE MULTIPLA N. 6B/2025/2M RILASCIATA IL 26/05/2025                        (LICENZA DI SCARICO N. 6B/2025/2S RILASCIATA IL 30/07/2025)</t>
        </is>
      </c>
      <c r="Q1626" s="150" t="n"/>
      <c r="R1626" s="150" t="n"/>
      <c r="S1626" s="153" t="n"/>
    </row>
    <row r="1627" ht="36" customHeight="1">
      <c r="A1627" s="46" t="n">
        <v>3957</v>
      </c>
      <c r="B1627" s="4">
        <f>+VLOOKUP($A1627,MAGAZZINO!$B$2:$M$100000,2,FALSE)</f>
        <v/>
      </c>
      <c r="C1627" s="29">
        <f>+VLOOKUP($A1627,MAGAZZINO!$B$2:$M$100000,3,FALSE)</f>
        <v/>
      </c>
      <c r="D1627" s="3">
        <f>+VLOOKUP($A1627,MAGAZZINO!$B$2:$M$100000,4,FALSE)</f>
        <v/>
      </c>
      <c r="E1627" s="3">
        <f>+VLOOKUP($A1627,MAGAZZINO!$B$2:$M$100000,5,FALSE)</f>
        <v/>
      </c>
      <c r="F1627" s="3">
        <f>+VLOOKUP($A1627,MAGAZZINO!$B$2:$M$100000,6,FALSE)</f>
        <v/>
      </c>
      <c r="G1627" s="3">
        <f>+VLOOKUP($A1627,MAGAZZINO!$B$2:$M$100000,7,FALSE)</f>
        <v/>
      </c>
      <c r="H1627" s="3">
        <f>+VLOOKUP($A1627,MAGAZZINO!$B$2:$M$100000,8,FALSE)</f>
        <v/>
      </c>
      <c r="I1627" s="3">
        <f>+VLOOKUP($A1627,MAGAZZINO!$B$2:$M$100000,9,FALSE)</f>
        <v/>
      </c>
      <c r="J1627" s="3">
        <f>+VLOOKUP($A1627,MAGAZZINO!$B$2:$M$100000,10,FALSE)</f>
        <v/>
      </c>
      <c r="K1627" s="3">
        <f>+VLOOKUP($A1627,MAGAZZINO!$B$2:$M$100000,11,FALSE)</f>
        <v/>
      </c>
      <c r="L1627" s="5">
        <f>+VLOOKUP($A1627,MAGAZZINO!$B$2:$M$100000,12,FALSE)</f>
        <v/>
      </c>
      <c r="M1627" s="47" t="n"/>
      <c r="N1627" s="88" t="n">
        <v>45873</v>
      </c>
      <c r="O1627" s="156" t="inlineStr">
        <is>
          <t>BIN HUMAID NATIONAL TRADING CO. (ARABIA SAUDITA)</t>
        </is>
      </c>
      <c r="P1627" s="152" t="inlineStr">
        <is>
          <t xml:space="preserve">  IMPORT LICENSE N. 182480  (END USER CERTIFICATE)                                                                      AUT. ESPORTAZIONE MULTIPLA N. 6B/2025/2M RILASCIATA IL 26/05/2025                        (LICENZA DI SCARICO N. 6B/2025/2S RILASCIATA IL 30/07/2025)</t>
        </is>
      </c>
      <c r="Q1627" s="150" t="n"/>
      <c r="R1627" s="150" t="n"/>
      <c r="S1627" s="153" t="n"/>
    </row>
    <row r="1628" ht="36" customHeight="1">
      <c r="A1628" s="46" t="n">
        <v>3958</v>
      </c>
      <c r="B1628" s="4">
        <f>+VLOOKUP($A1628,MAGAZZINO!$B$2:$M$100000,2,FALSE)</f>
        <v/>
      </c>
      <c r="C1628" s="29">
        <f>+VLOOKUP($A1628,MAGAZZINO!$B$2:$M$100000,3,FALSE)</f>
        <v/>
      </c>
      <c r="D1628" s="3">
        <f>+VLOOKUP($A1628,MAGAZZINO!$B$2:$M$100000,4,FALSE)</f>
        <v/>
      </c>
      <c r="E1628" s="3">
        <f>+VLOOKUP($A1628,MAGAZZINO!$B$2:$M$100000,5,FALSE)</f>
        <v/>
      </c>
      <c r="F1628" s="3">
        <f>+VLOOKUP($A1628,MAGAZZINO!$B$2:$M$100000,6,FALSE)</f>
        <v/>
      </c>
      <c r="G1628" s="3">
        <f>+VLOOKUP($A1628,MAGAZZINO!$B$2:$M$100000,7,FALSE)</f>
        <v/>
      </c>
      <c r="H1628" s="3">
        <f>+VLOOKUP($A1628,MAGAZZINO!$B$2:$M$100000,8,FALSE)</f>
        <v/>
      </c>
      <c r="I1628" s="3">
        <f>+VLOOKUP($A1628,MAGAZZINO!$B$2:$M$100000,9,FALSE)</f>
        <v/>
      </c>
      <c r="J1628" s="3">
        <f>+VLOOKUP($A1628,MAGAZZINO!$B$2:$M$100000,10,FALSE)</f>
        <v/>
      </c>
      <c r="K1628" s="3">
        <f>+VLOOKUP($A1628,MAGAZZINO!$B$2:$M$100000,11,FALSE)</f>
        <v/>
      </c>
      <c r="L1628" s="5">
        <f>+VLOOKUP($A1628,MAGAZZINO!$B$2:$M$100000,12,FALSE)</f>
        <v/>
      </c>
      <c r="M1628" s="47" t="n"/>
      <c r="N1628" s="88" t="n">
        <v>45873</v>
      </c>
      <c r="O1628" s="156" t="inlineStr">
        <is>
          <t>BIN HUMAID NATIONAL TRADING CO. (ARABIA SAUDITA)</t>
        </is>
      </c>
      <c r="P1628" s="152" t="inlineStr">
        <is>
          <t xml:space="preserve">  IMPORT LICENSE N. 182480  (END USER CERTIFICATE)                                                                      AUT. ESPORTAZIONE MULTIPLA N. 6B/2025/2M RILASCIATA IL 26/05/2025                        (LICENZA DI SCARICO N. 6B/2025/2S RILASCIATA IL 30/07/2025)</t>
        </is>
      </c>
      <c r="Q1628" s="150" t="n"/>
      <c r="R1628" s="150" t="n"/>
      <c r="S1628" s="153" t="n"/>
    </row>
    <row r="1629" ht="36" customHeight="1">
      <c r="A1629" s="46" t="n">
        <v>3959</v>
      </c>
      <c r="B1629" s="4">
        <f>+VLOOKUP($A1629,MAGAZZINO!$B$2:$M$100000,2,FALSE)</f>
        <v/>
      </c>
      <c r="C1629" s="29">
        <f>+VLOOKUP($A1629,MAGAZZINO!$B$2:$M$100000,3,FALSE)</f>
        <v/>
      </c>
      <c r="D1629" s="3">
        <f>+VLOOKUP($A1629,MAGAZZINO!$B$2:$M$100000,4,FALSE)</f>
        <v/>
      </c>
      <c r="E1629" s="3">
        <f>+VLOOKUP($A1629,MAGAZZINO!$B$2:$M$100000,5,FALSE)</f>
        <v/>
      </c>
      <c r="F1629" s="3">
        <f>+VLOOKUP($A1629,MAGAZZINO!$B$2:$M$100000,6,FALSE)</f>
        <v/>
      </c>
      <c r="G1629" s="3">
        <f>+VLOOKUP($A1629,MAGAZZINO!$B$2:$M$100000,7,FALSE)</f>
        <v/>
      </c>
      <c r="H1629" s="3">
        <f>+VLOOKUP($A1629,MAGAZZINO!$B$2:$M$100000,8,FALSE)</f>
        <v/>
      </c>
      <c r="I1629" s="3">
        <f>+VLOOKUP($A1629,MAGAZZINO!$B$2:$M$100000,9,FALSE)</f>
        <v/>
      </c>
      <c r="J1629" s="3">
        <f>+VLOOKUP($A1629,MAGAZZINO!$B$2:$M$100000,10,FALSE)</f>
        <v/>
      </c>
      <c r="K1629" s="3">
        <f>+VLOOKUP($A1629,MAGAZZINO!$B$2:$M$100000,11,FALSE)</f>
        <v/>
      </c>
      <c r="L1629" s="5">
        <f>+VLOOKUP($A1629,MAGAZZINO!$B$2:$M$100000,12,FALSE)</f>
        <v/>
      </c>
      <c r="M1629" s="47" t="n"/>
      <c r="N1629" s="88" t="n">
        <v>45873</v>
      </c>
      <c r="O1629" s="156" t="inlineStr">
        <is>
          <t>BIN HUMAID NATIONAL TRADING CO. (ARABIA SAUDITA)</t>
        </is>
      </c>
      <c r="P1629" s="152" t="inlineStr">
        <is>
          <t xml:space="preserve">  IMPORT LICENSE N. 182480  (END USER CERTIFICATE)                                                                      AUT. ESPORTAZIONE MULTIPLA N. 6B/2025/2M RILASCIATA IL 26/05/2025                        (LICENZA DI SCARICO N. 6B/2025/2S RILASCIATA IL 30/07/2025)</t>
        </is>
      </c>
      <c r="Q1629" s="150" t="n"/>
      <c r="R1629" s="150" t="n"/>
      <c r="S1629" s="153" t="n"/>
    </row>
    <row r="1630" ht="36" customHeight="1">
      <c r="A1630" s="46" t="n">
        <v>3960</v>
      </c>
      <c r="B1630" s="4">
        <f>+VLOOKUP($A1630,MAGAZZINO!$B$2:$M$100000,2,FALSE)</f>
        <v/>
      </c>
      <c r="C1630" s="29">
        <f>+VLOOKUP($A1630,MAGAZZINO!$B$2:$M$100000,3,FALSE)</f>
        <v/>
      </c>
      <c r="D1630" s="3">
        <f>+VLOOKUP($A1630,MAGAZZINO!$B$2:$M$100000,4,FALSE)</f>
        <v/>
      </c>
      <c r="E1630" s="3">
        <f>+VLOOKUP($A1630,MAGAZZINO!$B$2:$M$100000,5,FALSE)</f>
        <v/>
      </c>
      <c r="F1630" s="3">
        <f>+VLOOKUP($A1630,MAGAZZINO!$B$2:$M$100000,6,FALSE)</f>
        <v/>
      </c>
      <c r="G1630" s="3">
        <f>+VLOOKUP($A1630,MAGAZZINO!$B$2:$M$100000,7,FALSE)</f>
        <v/>
      </c>
      <c r="H1630" s="3">
        <f>+VLOOKUP($A1630,MAGAZZINO!$B$2:$M$100000,8,FALSE)</f>
        <v/>
      </c>
      <c r="I1630" s="3">
        <f>+VLOOKUP($A1630,MAGAZZINO!$B$2:$M$100000,9,FALSE)</f>
        <v/>
      </c>
      <c r="J1630" s="3">
        <f>+VLOOKUP($A1630,MAGAZZINO!$B$2:$M$100000,10,FALSE)</f>
        <v/>
      </c>
      <c r="K1630" s="3">
        <f>+VLOOKUP($A1630,MAGAZZINO!$B$2:$M$100000,11,FALSE)</f>
        <v/>
      </c>
      <c r="L1630" s="5">
        <f>+VLOOKUP($A1630,MAGAZZINO!$B$2:$M$100000,12,FALSE)</f>
        <v/>
      </c>
      <c r="M1630" s="47" t="n"/>
      <c r="N1630" s="88" t="n">
        <v>45873</v>
      </c>
      <c r="O1630" s="156" t="inlineStr">
        <is>
          <t>BIN HUMAID NATIONAL TRADING CO. (ARABIA SAUDITA)</t>
        </is>
      </c>
      <c r="P1630" s="152" t="inlineStr">
        <is>
          <t xml:space="preserve">  IMPORT LICENSE N. 182480  (END USER CERTIFICATE)                                                                      AUT. ESPORTAZIONE MULTIPLA N. 6B/2025/2M RILASCIATA IL 26/05/2025                        (LICENZA DI SCARICO N. 6B/2025/2S RILASCIATA IL 30/07/2025)</t>
        </is>
      </c>
      <c r="Q1630" s="150" t="n"/>
      <c r="R1630" s="150" t="n"/>
      <c r="S1630" s="153" t="n"/>
    </row>
    <row r="1631" ht="36" customHeight="1">
      <c r="A1631" s="46" t="n">
        <v>3961</v>
      </c>
      <c r="B1631" s="4">
        <f>+VLOOKUP($A1631,MAGAZZINO!$B$2:$M$100000,2,FALSE)</f>
        <v/>
      </c>
      <c r="C1631" s="29">
        <f>+VLOOKUP($A1631,MAGAZZINO!$B$2:$M$100000,3,FALSE)</f>
        <v/>
      </c>
      <c r="D1631" s="3">
        <f>+VLOOKUP($A1631,MAGAZZINO!$B$2:$M$100000,4,FALSE)</f>
        <v/>
      </c>
      <c r="E1631" s="3">
        <f>+VLOOKUP($A1631,MAGAZZINO!$B$2:$M$100000,5,FALSE)</f>
        <v/>
      </c>
      <c r="F1631" s="3">
        <f>+VLOOKUP($A1631,MAGAZZINO!$B$2:$M$100000,6,FALSE)</f>
        <v/>
      </c>
      <c r="G1631" s="3">
        <f>+VLOOKUP($A1631,MAGAZZINO!$B$2:$M$100000,7,FALSE)</f>
        <v/>
      </c>
      <c r="H1631" s="3">
        <f>+VLOOKUP($A1631,MAGAZZINO!$B$2:$M$100000,8,FALSE)</f>
        <v/>
      </c>
      <c r="I1631" s="3">
        <f>+VLOOKUP($A1631,MAGAZZINO!$B$2:$M$100000,9,FALSE)</f>
        <v/>
      </c>
      <c r="J1631" s="3">
        <f>+VLOOKUP($A1631,MAGAZZINO!$B$2:$M$100000,10,FALSE)</f>
        <v/>
      </c>
      <c r="K1631" s="3">
        <f>+VLOOKUP($A1631,MAGAZZINO!$B$2:$M$100000,11,FALSE)</f>
        <v/>
      </c>
      <c r="L1631" s="5">
        <f>+VLOOKUP($A1631,MAGAZZINO!$B$2:$M$100000,12,FALSE)</f>
        <v/>
      </c>
      <c r="M1631" s="47" t="n"/>
      <c r="N1631" s="88" t="n">
        <v>45873</v>
      </c>
      <c r="O1631" s="156" t="inlineStr">
        <is>
          <t>BIN HUMAID NATIONAL TRADING CO. (ARABIA SAUDITA)</t>
        </is>
      </c>
      <c r="P1631" s="152" t="inlineStr">
        <is>
          <t xml:space="preserve">  IMPORT LICENSE N. 182480  (END USER CERTIFICATE)                                                                      AUT. ESPORTAZIONE MULTIPLA N. 6B/2025/2M RILASCIATA IL 26/05/2025                        (LICENZA DI SCARICO N. 6B/2025/2S RILASCIATA IL 30/07/2025)</t>
        </is>
      </c>
      <c r="Q1631" s="150" t="n"/>
      <c r="R1631" s="150" t="n"/>
      <c r="S1631" s="153" t="n"/>
    </row>
    <row r="1632" ht="36" customHeight="1">
      <c r="A1632" s="46" t="n">
        <v>3962</v>
      </c>
      <c r="B1632" s="4">
        <f>+VLOOKUP($A1632,MAGAZZINO!$B$2:$M$100000,2,FALSE)</f>
        <v/>
      </c>
      <c r="C1632" s="29">
        <f>+VLOOKUP($A1632,MAGAZZINO!$B$2:$M$100000,3,FALSE)</f>
        <v/>
      </c>
      <c r="D1632" s="3">
        <f>+VLOOKUP($A1632,MAGAZZINO!$B$2:$M$100000,4,FALSE)</f>
        <v/>
      </c>
      <c r="E1632" s="3">
        <f>+VLOOKUP($A1632,MAGAZZINO!$B$2:$M$100000,5,FALSE)</f>
        <v/>
      </c>
      <c r="F1632" s="3">
        <f>+VLOOKUP($A1632,MAGAZZINO!$B$2:$M$100000,6,FALSE)</f>
        <v/>
      </c>
      <c r="G1632" s="3">
        <f>+VLOOKUP($A1632,MAGAZZINO!$B$2:$M$100000,7,FALSE)</f>
        <v/>
      </c>
      <c r="H1632" s="3">
        <f>+VLOOKUP($A1632,MAGAZZINO!$B$2:$M$100000,8,FALSE)</f>
        <v/>
      </c>
      <c r="I1632" s="3">
        <f>+VLOOKUP($A1632,MAGAZZINO!$B$2:$M$100000,9,FALSE)</f>
        <v/>
      </c>
      <c r="J1632" s="3">
        <f>+VLOOKUP($A1632,MAGAZZINO!$B$2:$M$100000,10,FALSE)</f>
        <v/>
      </c>
      <c r="K1632" s="3">
        <f>+VLOOKUP($A1632,MAGAZZINO!$B$2:$M$100000,11,FALSE)</f>
        <v/>
      </c>
      <c r="L1632" s="5">
        <f>+VLOOKUP($A1632,MAGAZZINO!$B$2:$M$100000,12,FALSE)</f>
        <v/>
      </c>
      <c r="M1632" s="47" t="n"/>
      <c r="N1632" s="88" t="n">
        <v>45873</v>
      </c>
      <c r="O1632" s="156" t="inlineStr">
        <is>
          <t>BIN HUMAID NATIONAL TRADING CO. (ARABIA SAUDITA)</t>
        </is>
      </c>
      <c r="P1632" s="152" t="inlineStr">
        <is>
          <t xml:space="preserve">  IMPORT LICENSE N. 182480  (END USER CERTIFICATE)                                                                      AUT. ESPORTAZIONE MULTIPLA N. 6B/2025/2M RILASCIATA IL 26/05/2025                        (LICENZA DI SCARICO N. 6B/2025/2S RILASCIATA IL 30/07/2025)</t>
        </is>
      </c>
      <c r="Q1632" s="150" t="n"/>
      <c r="R1632" s="150" t="n"/>
      <c r="S1632" s="153" t="n"/>
    </row>
    <row r="1633" ht="36" customHeight="1">
      <c r="A1633" s="46" t="n">
        <v>3963</v>
      </c>
      <c r="B1633" s="4">
        <f>+VLOOKUP($A1633,MAGAZZINO!$B$2:$M$100000,2,FALSE)</f>
        <v/>
      </c>
      <c r="C1633" s="29">
        <f>+VLOOKUP($A1633,MAGAZZINO!$B$2:$M$100000,3,FALSE)</f>
        <v/>
      </c>
      <c r="D1633" s="3">
        <f>+VLOOKUP($A1633,MAGAZZINO!$B$2:$M$100000,4,FALSE)</f>
        <v/>
      </c>
      <c r="E1633" s="3">
        <f>+VLOOKUP($A1633,MAGAZZINO!$B$2:$M$100000,5,FALSE)</f>
        <v/>
      </c>
      <c r="F1633" s="3">
        <f>+VLOOKUP($A1633,MAGAZZINO!$B$2:$M$100000,6,FALSE)</f>
        <v/>
      </c>
      <c r="G1633" s="3">
        <f>+VLOOKUP($A1633,MAGAZZINO!$B$2:$M$100000,7,FALSE)</f>
        <v/>
      </c>
      <c r="H1633" s="3">
        <f>+VLOOKUP($A1633,MAGAZZINO!$B$2:$M$100000,8,FALSE)</f>
        <v/>
      </c>
      <c r="I1633" s="3">
        <f>+VLOOKUP($A1633,MAGAZZINO!$B$2:$M$100000,9,FALSE)</f>
        <v/>
      </c>
      <c r="J1633" s="3">
        <f>+VLOOKUP($A1633,MAGAZZINO!$B$2:$M$100000,10,FALSE)</f>
        <v/>
      </c>
      <c r="K1633" s="3">
        <f>+VLOOKUP($A1633,MAGAZZINO!$B$2:$M$100000,11,FALSE)</f>
        <v/>
      </c>
      <c r="L1633" s="5">
        <f>+VLOOKUP($A1633,MAGAZZINO!$B$2:$M$100000,12,FALSE)</f>
        <v/>
      </c>
      <c r="M1633" s="47" t="n"/>
      <c r="N1633" s="88" t="n">
        <v>45873</v>
      </c>
      <c r="O1633" s="156" t="inlineStr">
        <is>
          <t>BIN HUMAID NATIONAL TRADING CO. (ARABIA SAUDITA)</t>
        </is>
      </c>
      <c r="P1633" s="152" t="inlineStr">
        <is>
          <t xml:space="preserve">  IMPORT LICENSE N. 182480  (END USER CERTIFICATE)                                                                      AUT. ESPORTAZIONE MULTIPLA N. 6B/2025/2M RILASCIATA IL 26/05/2025                        (LICENZA DI SCARICO N. 6B/2025/2S RILASCIATA IL 30/07/2025)</t>
        </is>
      </c>
      <c r="Q1633" s="150" t="n"/>
      <c r="R1633" s="150" t="n"/>
      <c r="S1633" s="153" t="n"/>
    </row>
    <row r="1634" ht="36" customHeight="1">
      <c r="A1634" s="46" t="n">
        <v>3964</v>
      </c>
      <c r="B1634" s="4">
        <f>+VLOOKUP($A1634,MAGAZZINO!$B$2:$M$100000,2,FALSE)</f>
        <v/>
      </c>
      <c r="C1634" s="29">
        <f>+VLOOKUP($A1634,MAGAZZINO!$B$2:$M$100000,3,FALSE)</f>
        <v/>
      </c>
      <c r="D1634" s="3">
        <f>+VLOOKUP($A1634,MAGAZZINO!$B$2:$M$100000,4,FALSE)</f>
        <v/>
      </c>
      <c r="E1634" s="3">
        <f>+VLOOKUP($A1634,MAGAZZINO!$B$2:$M$100000,5,FALSE)</f>
        <v/>
      </c>
      <c r="F1634" s="3">
        <f>+VLOOKUP($A1634,MAGAZZINO!$B$2:$M$100000,6,FALSE)</f>
        <v/>
      </c>
      <c r="G1634" s="3">
        <f>+VLOOKUP($A1634,MAGAZZINO!$B$2:$M$100000,7,FALSE)</f>
        <v/>
      </c>
      <c r="H1634" s="3">
        <f>+VLOOKUP($A1634,MAGAZZINO!$B$2:$M$100000,8,FALSE)</f>
        <v/>
      </c>
      <c r="I1634" s="3">
        <f>+VLOOKUP($A1634,MAGAZZINO!$B$2:$M$100000,9,FALSE)</f>
        <v/>
      </c>
      <c r="J1634" s="3">
        <f>+VLOOKUP($A1634,MAGAZZINO!$B$2:$M$100000,10,FALSE)</f>
        <v/>
      </c>
      <c r="K1634" s="3">
        <f>+VLOOKUP($A1634,MAGAZZINO!$B$2:$M$100000,11,FALSE)</f>
        <v/>
      </c>
      <c r="L1634" s="5">
        <f>+VLOOKUP($A1634,MAGAZZINO!$B$2:$M$100000,12,FALSE)</f>
        <v/>
      </c>
      <c r="M1634" s="47" t="n"/>
      <c r="N1634" s="88" t="n">
        <v>45873</v>
      </c>
      <c r="O1634" s="156" t="inlineStr">
        <is>
          <t>BIN HUMAID NATIONAL TRADING CO. (ARABIA SAUDITA)</t>
        </is>
      </c>
      <c r="P1634" s="152" t="inlineStr">
        <is>
          <t xml:space="preserve">  IMPORT LICENSE N. 182480  (END USER CERTIFICATE)                                                                      AUT. ESPORTAZIONE MULTIPLA N. 6B/2025/2M RILASCIATA IL 26/05/2025                        (LICENZA DI SCARICO N. 6B/2025/2S RILASCIATA IL 30/07/2025)</t>
        </is>
      </c>
      <c r="Q1634" s="150" t="n"/>
      <c r="R1634" s="150" t="n"/>
      <c r="S1634" s="153" t="n"/>
    </row>
    <row r="1635" ht="36" customHeight="1">
      <c r="A1635" s="46" t="n">
        <v>3965</v>
      </c>
      <c r="B1635" s="4">
        <f>+VLOOKUP($A1635,MAGAZZINO!$B$2:$M$100000,2,FALSE)</f>
        <v/>
      </c>
      <c r="C1635" s="29">
        <f>+VLOOKUP($A1635,MAGAZZINO!$B$2:$M$100000,3,FALSE)</f>
        <v/>
      </c>
      <c r="D1635" s="3">
        <f>+VLOOKUP($A1635,MAGAZZINO!$B$2:$M$100000,4,FALSE)</f>
        <v/>
      </c>
      <c r="E1635" s="3">
        <f>+VLOOKUP($A1635,MAGAZZINO!$B$2:$M$100000,5,FALSE)</f>
        <v/>
      </c>
      <c r="F1635" s="3">
        <f>+VLOOKUP($A1635,MAGAZZINO!$B$2:$M$100000,6,FALSE)</f>
        <v/>
      </c>
      <c r="G1635" s="3">
        <f>+VLOOKUP($A1635,MAGAZZINO!$B$2:$M$100000,7,FALSE)</f>
        <v/>
      </c>
      <c r="H1635" s="3">
        <f>+VLOOKUP($A1635,MAGAZZINO!$B$2:$M$100000,8,FALSE)</f>
        <v/>
      </c>
      <c r="I1635" s="3">
        <f>+VLOOKUP($A1635,MAGAZZINO!$B$2:$M$100000,9,FALSE)</f>
        <v/>
      </c>
      <c r="J1635" s="3">
        <f>+VLOOKUP($A1635,MAGAZZINO!$B$2:$M$100000,10,FALSE)</f>
        <v/>
      </c>
      <c r="K1635" s="3">
        <f>+VLOOKUP($A1635,MAGAZZINO!$B$2:$M$100000,11,FALSE)</f>
        <v/>
      </c>
      <c r="L1635" s="5">
        <f>+VLOOKUP($A1635,MAGAZZINO!$B$2:$M$100000,12,FALSE)</f>
        <v/>
      </c>
      <c r="M1635" s="47" t="n"/>
      <c r="N1635" s="88" t="n">
        <v>45873</v>
      </c>
      <c r="O1635" s="156" t="inlineStr">
        <is>
          <t>BIN HUMAID NATIONAL TRADING CO. (ARABIA SAUDITA)</t>
        </is>
      </c>
      <c r="P1635" s="152" t="inlineStr">
        <is>
          <t xml:space="preserve">  IMPORT LICENSE N. 182480  (END USER CERTIFICATE)                                                                      AUT. ESPORTAZIONE MULTIPLA N. 6B/2025/2M RILASCIATA IL 26/05/2025                        (LICENZA DI SCARICO N. 6B/2025/2S RILASCIATA IL 30/07/2025)</t>
        </is>
      </c>
      <c r="Q1635" s="150" t="n"/>
      <c r="R1635" s="150" t="n"/>
      <c r="S1635" s="153" t="n"/>
    </row>
    <row r="1636" ht="36" customHeight="1">
      <c r="A1636" s="46" t="n">
        <v>3966</v>
      </c>
      <c r="B1636" s="4">
        <f>+VLOOKUP($A1636,MAGAZZINO!$B$2:$M$100000,2,FALSE)</f>
        <v/>
      </c>
      <c r="C1636" s="29">
        <f>+VLOOKUP($A1636,MAGAZZINO!$B$2:$M$100000,3,FALSE)</f>
        <v/>
      </c>
      <c r="D1636" s="3">
        <f>+VLOOKUP($A1636,MAGAZZINO!$B$2:$M$100000,4,FALSE)</f>
        <v/>
      </c>
      <c r="E1636" s="3">
        <f>+VLOOKUP($A1636,MAGAZZINO!$B$2:$M$100000,5,FALSE)</f>
        <v/>
      </c>
      <c r="F1636" s="3">
        <f>+VLOOKUP($A1636,MAGAZZINO!$B$2:$M$100000,6,FALSE)</f>
        <v/>
      </c>
      <c r="G1636" s="3">
        <f>+VLOOKUP($A1636,MAGAZZINO!$B$2:$M$100000,7,FALSE)</f>
        <v/>
      </c>
      <c r="H1636" s="3">
        <f>+VLOOKUP($A1636,MAGAZZINO!$B$2:$M$100000,8,FALSE)</f>
        <v/>
      </c>
      <c r="I1636" s="3">
        <f>+VLOOKUP($A1636,MAGAZZINO!$B$2:$M$100000,9,FALSE)</f>
        <v/>
      </c>
      <c r="J1636" s="3">
        <f>+VLOOKUP($A1636,MAGAZZINO!$B$2:$M$100000,10,FALSE)</f>
        <v/>
      </c>
      <c r="K1636" s="3">
        <f>+VLOOKUP($A1636,MAGAZZINO!$B$2:$M$100000,11,FALSE)</f>
        <v/>
      </c>
      <c r="L1636" s="5">
        <f>+VLOOKUP($A1636,MAGAZZINO!$B$2:$M$100000,12,FALSE)</f>
        <v/>
      </c>
      <c r="M1636" s="47" t="n"/>
      <c r="N1636" s="88" t="n">
        <v>45873</v>
      </c>
      <c r="O1636" s="156" t="inlineStr">
        <is>
          <t>BIN HUMAID NATIONAL TRADING CO. (ARABIA SAUDITA)</t>
        </is>
      </c>
      <c r="P1636" s="152" t="inlineStr">
        <is>
          <t xml:space="preserve">  IMPORT LICENSE N. 182480  (END USER CERTIFICATE)                                                                      AUT. ESPORTAZIONE MULTIPLA N. 6B/2025/2M RILASCIATA IL 26/05/2025                        (LICENZA DI SCARICO N. 6B/2025/2S RILASCIATA IL 30/07/2025)</t>
        </is>
      </c>
      <c r="Q1636" s="150" t="n"/>
      <c r="R1636" s="150" t="n"/>
      <c r="S1636" s="153" t="n"/>
    </row>
    <row r="1637" ht="36" customHeight="1">
      <c r="A1637" s="46" t="n">
        <v>3967</v>
      </c>
      <c r="B1637" s="4">
        <f>+VLOOKUP($A1637,MAGAZZINO!$B$2:$M$100000,2,FALSE)</f>
        <v/>
      </c>
      <c r="C1637" s="29">
        <f>+VLOOKUP($A1637,MAGAZZINO!$B$2:$M$100000,3,FALSE)</f>
        <v/>
      </c>
      <c r="D1637" s="3">
        <f>+VLOOKUP($A1637,MAGAZZINO!$B$2:$M$100000,4,FALSE)</f>
        <v/>
      </c>
      <c r="E1637" s="3">
        <f>+VLOOKUP($A1637,MAGAZZINO!$B$2:$M$100000,5,FALSE)</f>
        <v/>
      </c>
      <c r="F1637" s="3">
        <f>+VLOOKUP($A1637,MAGAZZINO!$B$2:$M$100000,6,FALSE)</f>
        <v/>
      </c>
      <c r="G1637" s="3">
        <f>+VLOOKUP($A1637,MAGAZZINO!$B$2:$M$100000,7,FALSE)</f>
        <v/>
      </c>
      <c r="H1637" s="3">
        <f>+VLOOKUP($A1637,MAGAZZINO!$B$2:$M$100000,8,FALSE)</f>
        <v/>
      </c>
      <c r="I1637" s="3">
        <f>+VLOOKUP($A1637,MAGAZZINO!$B$2:$M$100000,9,FALSE)</f>
        <v/>
      </c>
      <c r="J1637" s="3">
        <f>+VLOOKUP($A1637,MAGAZZINO!$B$2:$M$100000,10,FALSE)</f>
        <v/>
      </c>
      <c r="K1637" s="3">
        <f>+VLOOKUP($A1637,MAGAZZINO!$B$2:$M$100000,11,FALSE)</f>
        <v/>
      </c>
      <c r="L1637" s="5">
        <f>+VLOOKUP($A1637,MAGAZZINO!$B$2:$M$100000,12,FALSE)</f>
        <v/>
      </c>
      <c r="M1637" s="47" t="n"/>
      <c r="N1637" s="88" t="n">
        <v>45873</v>
      </c>
      <c r="O1637" s="156" t="inlineStr">
        <is>
          <t>BIN HUMAID NATIONAL TRADING CO. (ARABIA SAUDITA)</t>
        </is>
      </c>
      <c r="P1637" s="152" t="inlineStr">
        <is>
          <t xml:space="preserve">  IMPORT LICENSE N. 182480  (END USER CERTIFICATE)                                                                      AUT. ESPORTAZIONE MULTIPLA N. 6B/2025/2M RILASCIATA IL 26/05/2025                        (LICENZA DI SCARICO N. 6B/2025/2S RILASCIATA IL 30/07/2025)</t>
        </is>
      </c>
      <c r="Q1637" s="150" t="n"/>
      <c r="R1637" s="150" t="n"/>
      <c r="S1637" s="153" t="n"/>
    </row>
    <row r="1638" ht="36" customHeight="1">
      <c r="A1638" s="46" t="n">
        <v>3968</v>
      </c>
      <c r="B1638" s="4">
        <f>+VLOOKUP($A1638,MAGAZZINO!$B$2:$M$100000,2,FALSE)</f>
        <v/>
      </c>
      <c r="C1638" s="29">
        <f>+VLOOKUP($A1638,MAGAZZINO!$B$2:$M$100000,3,FALSE)</f>
        <v/>
      </c>
      <c r="D1638" s="3">
        <f>+VLOOKUP($A1638,MAGAZZINO!$B$2:$M$100000,4,FALSE)</f>
        <v/>
      </c>
      <c r="E1638" s="3">
        <f>+VLOOKUP($A1638,MAGAZZINO!$B$2:$M$100000,5,FALSE)</f>
        <v/>
      </c>
      <c r="F1638" s="3">
        <f>+VLOOKUP($A1638,MAGAZZINO!$B$2:$M$100000,6,FALSE)</f>
        <v/>
      </c>
      <c r="G1638" s="3">
        <f>+VLOOKUP($A1638,MAGAZZINO!$B$2:$M$100000,7,FALSE)</f>
        <v/>
      </c>
      <c r="H1638" s="3">
        <f>+VLOOKUP($A1638,MAGAZZINO!$B$2:$M$100000,8,FALSE)</f>
        <v/>
      </c>
      <c r="I1638" s="3">
        <f>+VLOOKUP($A1638,MAGAZZINO!$B$2:$M$100000,9,FALSE)</f>
        <v/>
      </c>
      <c r="J1638" s="3">
        <f>+VLOOKUP($A1638,MAGAZZINO!$B$2:$M$100000,10,FALSE)</f>
        <v/>
      </c>
      <c r="K1638" s="3">
        <f>+VLOOKUP($A1638,MAGAZZINO!$B$2:$M$100000,11,FALSE)</f>
        <v/>
      </c>
      <c r="L1638" s="5">
        <f>+VLOOKUP($A1638,MAGAZZINO!$B$2:$M$100000,12,FALSE)</f>
        <v/>
      </c>
      <c r="M1638" s="47" t="n"/>
      <c r="N1638" s="88" t="n">
        <v>45873</v>
      </c>
      <c r="O1638" s="156" t="inlineStr">
        <is>
          <t>BIN HUMAID NATIONAL TRADING CO. (ARABIA SAUDITA)</t>
        </is>
      </c>
      <c r="P1638" s="152" t="inlineStr">
        <is>
          <t xml:space="preserve">  IMPORT LICENSE N. 182480  (END USER CERTIFICATE)                                                                      AUT. ESPORTAZIONE MULTIPLA N. 6B/2025/2M RILASCIATA IL 26/05/2025                        (LICENZA DI SCARICO N. 6B/2025/2S RILASCIATA IL 30/07/2025)</t>
        </is>
      </c>
      <c r="Q1638" s="150" t="n"/>
      <c r="R1638" s="150" t="n"/>
      <c r="S1638" s="153" t="n"/>
    </row>
    <row r="1639" ht="36" customHeight="1">
      <c r="A1639" s="46" t="n">
        <v>3969</v>
      </c>
      <c r="B1639" s="4">
        <f>+VLOOKUP($A1639,MAGAZZINO!$B$2:$M$100000,2,FALSE)</f>
        <v/>
      </c>
      <c r="C1639" s="29">
        <f>+VLOOKUP($A1639,MAGAZZINO!$B$2:$M$100000,3,FALSE)</f>
        <v/>
      </c>
      <c r="D1639" s="3">
        <f>+VLOOKUP($A1639,MAGAZZINO!$B$2:$M$100000,4,FALSE)</f>
        <v/>
      </c>
      <c r="E1639" s="3">
        <f>+VLOOKUP($A1639,MAGAZZINO!$B$2:$M$100000,5,FALSE)</f>
        <v/>
      </c>
      <c r="F1639" s="3">
        <f>+VLOOKUP($A1639,MAGAZZINO!$B$2:$M$100000,6,FALSE)</f>
        <v/>
      </c>
      <c r="G1639" s="3">
        <f>+VLOOKUP($A1639,MAGAZZINO!$B$2:$M$100000,7,FALSE)</f>
        <v/>
      </c>
      <c r="H1639" s="3">
        <f>+VLOOKUP($A1639,MAGAZZINO!$B$2:$M$100000,8,FALSE)</f>
        <v/>
      </c>
      <c r="I1639" s="3">
        <f>+VLOOKUP($A1639,MAGAZZINO!$B$2:$M$100000,9,FALSE)</f>
        <v/>
      </c>
      <c r="J1639" s="3">
        <f>+VLOOKUP($A1639,MAGAZZINO!$B$2:$M$100000,10,FALSE)</f>
        <v/>
      </c>
      <c r="K1639" s="3">
        <f>+VLOOKUP($A1639,MAGAZZINO!$B$2:$M$100000,11,FALSE)</f>
        <v/>
      </c>
      <c r="L1639" s="5">
        <f>+VLOOKUP($A1639,MAGAZZINO!$B$2:$M$100000,12,FALSE)</f>
        <v/>
      </c>
      <c r="M1639" s="47" t="n"/>
      <c r="N1639" s="88" t="n">
        <v>45873</v>
      </c>
      <c r="O1639" s="156" t="inlineStr">
        <is>
          <t>BIN HUMAID NATIONAL TRADING CO. (ARABIA SAUDITA)</t>
        </is>
      </c>
      <c r="P1639" s="152" t="inlineStr">
        <is>
          <t xml:space="preserve">  IMPORT LICENSE N. 182480  (END USER CERTIFICATE)                                                                      AUT. ESPORTAZIONE MULTIPLA N. 6B/2025/2M RILASCIATA IL 26/05/2025                        (LICENZA DI SCARICO N. 6B/2025/2S RILASCIATA IL 30/07/2025)</t>
        </is>
      </c>
      <c r="Q1639" s="150" t="n"/>
      <c r="R1639" s="150" t="n"/>
      <c r="S1639" s="153" t="n"/>
    </row>
    <row r="1640" ht="36" customHeight="1">
      <c r="A1640" s="46" t="n">
        <v>3970</v>
      </c>
      <c r="B1640" s="4">
        <f>+VLOOKUP($A1640,MAGAZZINO!$B$2:$M$100000,2,FALSE)</f>
        <v/>
      </c>
      <c r="C1640" s="29">
        <f>+VLOOKUP($A1640,MAGAZZINO!$B$2:$M$100000,3,FALSE)</f>
        <v/>
      </c>
      <c r="D1640" s="3">
        <f>+VLOOKUP($A1640,MAGAZZINO!$B$2:$M$100000,4,FALSE)</f>
        <v/>
      </c>
      <c r="E1640" s="3">
        <f>+VLOOKUP($A1640,MAGAZZINO!$B$2:$M$100000,5,FALSE)</f>
        <v/>
      </c>
      <c r="F1640" s="3">
        <f>+VLOOKUP($A1640,MAGAZZINO!$B$2:$M$100000,6,FALSE)</f>
        <v/>
      </c>
      <c r="G1640" s="3">
        <f>+VLOOKUP($A1640,MAGAZZINO!$B$2:$M$100000,7,FALSE)</f>
        <v/>
      </c>
      <c r="H1640" s="3">
        <f>+VLOOKUP($A1640,MAGAZZINO!$B$2:$M$100000,8,FALSE)</f>
        <v/>
      </c>
      <c r="I1640" s="3">
        <f>+VLOOKUP($A1640,MAGAZZINO!$B$2:$M$100000,9,FALSE)</f>
        <v/>
      </c>
      <c r="J1640" s="3">
        <f>+VLOOKUP($A1640,MAGAZZINO!$B$2:$M$100000,10,FALSE)</f>
        <v/>
      </c>
      <c r="K1640" s="3">
        <f>+VLOOKUP($A1640,MAGAZZINO!$B$2:$M$100000,11,FALSE)</f>
        <v/>
      </c>
      <c r="L1640" s="5">
        <f>+VLOOKUP($A1640,MAGAZZINO!$B$2:$M$100000,12,FALSE)</f>
        <v/>
      </c>
      <c r="M1640" s="47" t="n"/>
      <c r="N1640" s="88" t="n">
        <v>45873</v>
      </c>
      <c r="O1640" s="156" t="inlineStr">
        <is>
          <t>BIN HUMAID NATIONAL TRADING CO. (ARABIA SAUDITA)</t>
        </is>
      </c>
      <c r="P1640" s="152" t="inlineStr">
        <is>
          <t xml:space="preserve">  IMPORT LICENSE N. 182480  (END USER CERTIFICATE)                                                                      AUT. ESPORTAZIONE MULTIPLA N. 6B/2025/2M RILASCIATA IL 26/05/2025                        (LICENZA DI SCARICO N. 6B/2025/2S RILASCIATA IL 30/07/2025)</t>
        </is>
      </c>
      <c r="Q1640" s="150" t="n"/>
      <c r="R1640" s="150" t="n"/>
      <c r="S1640" s="153" t="n"/>
    </row>
    <row r="1641" ht="36" customHeight="1">
      <c r="A1641" s="46" t="n">
        <v>3971</v>
      </c>
      <c r="B1641" s="4">
        <f>+VLOOKUP($A1641,MAGAZZINO!$B$2:$M$100000,2,FALSE)</f>
        <v/>
      </c>
      <c r="C1641" s="29">
        <f>+VLOOKUP($A1641,MAGAZZINO!$B$2:$M$100000,3,FALSE)</f>
        <v/>
      </c>
      <c r="D1641" s="3">
        <f>+VLOOKUP($A1641,MAGAZZINO!$B$2:$M$100000,4,FALSE)</f>
        <v/>
      </c>
      <c r="E1641" s="3">
        <f>+VLOOKUP($A1641,MAGAZZINO!$B$2:$M$100000,5,FALSE)</f>
        <v/>
      </c>
      <c r="F1641" s="3">
        <f>+VLOOKUP($A1641,MAGAZZINO!$B$2:$M$100000,6,FALSE)</f>
        <v/>
      </c>
      <c r="G1641" s="3">
        <f>+VLOOKUP($A1641,MAGAZZINO!$B$2:$M$100000,7,FALSE)</f>
        <v/>
      </c>
      <c r="H1641" s="3">
        <f>+VLOOKUP($A1641,MAGAZZINO!$B$2:$M$100000,8,FALSE)</f>
        <v/>
      </c>
      <c r="I1641" s="3">
        <f>+VLOOKUP($A1641,MAGAZZINO!$B$2:$M$100000,9,FALSE)</f>
        <v/>
      </c>
      <c r="J1641" s="3">
        <f>+VLOOKUP($A1641,MAGAZZINO!$B$2:$M$100000,10,FALSE)</f>
        <v/>
      </c>
      <c r="K1641" s="3">
        <f>+VLOOKUP($A1641,MAGAZZINO!$B$2:$M$100000,11,FALSE)</f>
        <v/>
      </c>
      <c r="L1641" s="5">
        <f>+VLOOKUP($A1641,MAGAZZINO!$B$2:$M$100000,12,FALSE)</f>
        <v/>
      </c>
      <c r="M1641" s="47" t="n"/>
      <c r="N1641" s="88" t="n">
        <v>45873</v>
      </c>
      <c r="O1641" s="156" t="inlineStr">
        <is>
          <t>BIN HUMAID NATIONAL TRADING CO. (ARABIA SAUDITA)</t>
        </is>
      </c>
      <c r="P1641" s="152" t="inlineStr">
        <is>
          <t xml:space="preserve">  IMPORT LICENSE N. 182480  (END USER CERTIFICATE)                                                                      AUT. ESPORTAZIONE MULTIPLA N. 6B/2025/2M RILASCIATA IL 26/05/2025                        (LICENZA DI SCARICO N. 6B/2025/2S RILASCIATA IL 30/07/2025)</t>
        </is>
      </c>
      <c r="Q1641" s="150" t="n"/>
      <c r="R1641" s="150" t="n"/>
      <c r="S1641" s="153" t="n"/>
    </row>
    <row r="1642" ht="36" customHeight="1">
      <c r="A1642" s="46" t="n">
        <v>3972</v>
      </c>
      <c r="B1642" s="4">
        <f>+VLOOKUP($A1642,MAGAZZINO!$B$2:$M$100000,2,FALSE)</f>
        <v/>
      </c>
      <c r="C1642" s="29">
        <f>+VLOOKUP($A1642,MAGAZZINO!$B$2:$M$100000,3,FALSE)</f>
        <v/>
      </c>
      <c r="D1642" s="3">
        <f>+VLOOKUP($A1642,MAGAZZINO!$B$2:$M$100000,4,FALSE)</f>
        <v/>
      </c>
      <c r="E1642" s="3">
        <f>+VLOOKUP($A1642,MAGAZZINO!$B$2:$M$100000,5,FALSE)</f>
        <v/>
      </c>
      <c r="F1642" s="3">
        <f>+VLOOKUP($A1642,MAGAZZINO!$B$2:$M$100000,6,FALSE)</f>
        <v/>
      </c>
      <c r="G1642" s="3">
        <f>+VLOOKUP($A1642,MAGAZZINO!$B$2:$M$100000,7,FALSE)</f>
        <v/>
      </c>
      <c r="H1642" s="3">
        <f>+VLOOKUP($A1642,MAGAZZINO!$B$2:$M$100000,8,FALSE)</f>
        <v/>
      </c>
      <c r="I1642" s="3">
        <f>+VLOOKUP($A1642,MAGAZZINO!$B$2:$M$100000,9,FALSE)</f>
        <v/>
      </c>
      <c r="J1642" s="3">
        <f>+VLOOKUP($A1642,MAGAZZINO!$B$2:$M$100000,10,FALSE)</f>
        <v/>
      </c>
      <c r="K1642" s="3">
        <f>+VLOOKUP($A1642,MAGAZZINO!$B$2:$M$100000,11,FALSE)</f>
        <v/>
      </c>
      <c r="L1642" s="5">
        <f>+VLOOKUP($A1642,MAGAZZINO!$B$2:$M$100000,12,FALSE)</f>
        <v/>
      </c>
      <c r="M1642" s="47" t="n"/>
      <c r="N1642" s="88" t="n">
        <v>45873</v>
      </c>
      <c r="O1642" s="156" t="inlineStr">
        <is>
          <t>BIN HUMAID NATIONAL TRADING CO. (ARABIA SAUDITA)</t>
        </is>
      </c>
      <c r="P1642" s="152" t="inlineStr">
        <is>
          <t xml:space="preserve">  IMPORT LICENSE N. 182480  (END USER CERTIFICATE)                                                                      AUT. ESPORTAZIONE MULTIPLA N. 6B/2025/2M RILASCIATA IL 26/05/2025                        (LICENZA DI SCARICO N. 6B/2025/2S RILASCIATA IL 30/07/2025)</t>
        </is>
      </c>
      <c r="Q1642" s="150" t="n"/>
      <c r="R1642" s="150" t="n"/>
      <c r="S1642" s="153" t="n"/>
    </row>
    <row r="1643" ht="36" customHeight="1">
      <c r="A1643" s="46" t="n">
        <v>3973</v>
      </c>
      <c r="B1643" s="4">
        <f>+VLOOKUP($A1643,MAGAZZINO!$B$2:$M$100000,2,FALSE)</f>
        <v/>
      </c>
      <c r="C1643" s="29">
        <f>+VLOOKUP($A1643,MAGAZZINO!$B$2:$M$100000,3,FALSE)</f>
        <v/>
      </c>
      <c r="D1643" s="3">
        <f>+VLOOKUP($A1643,MAGAZZINO!$B$2:$M$100000,4,FALSE)</f>
        <v/>
      </c>
      <c r="E1643" s="3">
        <f>+VLOOKUP($A1643,MAGAZZINO!$B$2:$M$100000,5,FALSE)</f>
        <v/>
      </c>
      <c r="F1643" s="3">
        <f>+VLOOKUP($A1643,MAGAZZINO!$B$2:$M$100000,6,FALSE)</f>
        <v/>
      </c>
      <c r="G1643" s="3">
        <f>+VLOOKUP($A1643,MAGAZZINO!$B$2:$M$100000,7,FALSE)</f>
        <v/>
      </c>
      <c r="H1643" s="3">
        <f>+VLOOKUP($A1643,MAGAZZINO!$B$2:$M$100000,8,FALSE)</f>
        <v/>
      </c>
      <c r="I1643" s="3">
        <f>+VLOOKUP($A1643,MAGAZZINO!$B$2:$M$100000,9,FALSE)</f>
        <v/>
      </c>
      <c r="J1643" s="3">
        <f>+VLOOKUP($A1643,MAGAZZINO!$B$2:$M$100000,10,FALSE)</f>
        <v/>
      </c>
      <c r="K1643" s="3">
        <f>+VLOOKUP($A1643,MAGAZZINO!$B$2:$M$100000,11,FALSE)</f>
        <v/>
      </c>
      <c r="L1643" s="5">
        <f>+VLOOKUP($A1643,MAGAZZINO!$B$2:$M$100000,12,FALSE)</f>
        <v/>
      </c>
      <c r="M1643" s="47" t="n"/>
      <c r="N1643" s="88" t="n">
        <v>45873</v>
      </c>
      <c r="O1643" s="156" t="inlineStr">
        <is>
          <t>BIN HUMAID NATIONAL TRADING CO. (ARABIA SAUDITA)</t>
        </is>
      </c>
      <c r="P1643" s="152" t="inlineStr">
        <is>
          <t xml:space="preserve">  IMPORT LICENSE N. 182480  (END USER CERTIFICATE)                                                                      AUT. ESPORTAZIONE MULTIPLA N. 6B/2025/2M RILASCIATA IL 26/05/2025                        (LICENZA DI SCARICO N. 6B/2025/2S RILASCIATA IL 30/07/2025)</t>
        </is>
      </c>
      <c r="Q1643" s="150" t="n"/>
      <c r="R1643" s="150" t="n"/>
      <c r="S1643" s="153" t="n"/>
    </row>
    <row r="1644" ht="36" customHeight="1">
      <c r="A1644" s="46" t="n">
        <v>3974</v>
      </c>
      <c r="B1644" s="4">
        <f>+VLOOKUP($A1644,MAGAZZINO!$B$2:$M$100000,2,FALSE)</f>
        <v/>
      </c>
      <c r="C1644" s="29">
        <f>+VLOOKUP($A1644,MAGAZZINO!$B$2:$M$100000,3,FALSE)</f>
        <v/>
      </c>
      <c r="D1644" s="3">
        <f>+VLOOKUP($A1644,MAGAZZINO!$B$2:$M$100000,4,FALSE)</f>
        <v/>
      </c>
      <c r="E1644" s="3">
        <f>+VLOOKUP($A1644,MAGAZZINO!$B$2:$M$100000,5,FALSE)</f>
        <v/>
      </c>
      <c r="F1644" s="3">
        <f>+VLOOKUP($A1644,MAGAZZINO!$B$2:$M$100000,6,FALSE)</f>
        <v/>
      </c>
      <c r="G1644" s="3">
        <f>+VLOOKUP($A1644,MAGAZZINO!$B$2:$M$100000,7,FALSE)</f>
        <v/>
      </c>
      <c r="H1644" s="3">
        <f>+VLOOKUP($A1644,MAGAZZINO!$B$2:$M$100000,8,FALSE)</f>
        <v/>
      </c>
      <c r="I1644" s="3">
        <f>+VLOOKUP($A1644,MAGAZZINO!$B$2:$M$100000,9,FALSE)</f>
        <v/>
      </c>
      <c r="J1644" s="3">
        <f>+VLOOKUP($A1644,MAGAZZINO!$B$2:$M$100000,10,FALSE)</f>
        <v/>
      </c>
      <c r="K1644" s="3">
        <f>+VLOOKUP($A1644,MAGAZZINO!$B$2:$M$100000,11,FALSE)</f>
        <v/>
      </c>
      <c r="L1644" s="5">
        <f>+VLOOKUP($A1644,MAGAZZINO!$B$2:$M$100000,12,FALSE)</f>
        <v/>
      </c>
      <c r="M1644" s="47" t="n"/>
      <c r="N1644" s="88" t="n">
        <v>45873</v>
      </c>
      <c r="O1644" s="156" t="inlineStr">
        <is>
          <t>BIN HUMAID NATIONAL TRADING CO. (ARABIA SAUDITA)</t>
        </is>
      </c>
      <c r="P1644" s="152" t="inlineStr">
        <is>
          <t xml:space="preserve">  IMPORT LICENSE N. 182480  (END USER CERTIFICATE)                                                                      AUT. ESPORTAZIONE MULTIPLA N. 6B/2025/2M RILASCIATA IL 26/05/2025                        (LICENZA DI SCARICO N. 6B/2025/2S RILASCIATA IL 30/07/2025)</t>
        </is>
      </c>
      <c r="Q1644" s="150" t="n"/>
      <c r="R1644" s="150" t="n"/>
      <c r="S1644" s="153" t="n"/>
    </row>
    <row r="1645" ht="36" customHeight="1">
      <c r="A1645" s="46" t="n">
        <v>3975</v>
      </c>
      <c r="B1645" s="4">
        <f>+VLOOKUP($A1645,MAGAZZINO!$B$2:$M$100000,2,FALSE)</f>
        <v/>
      </c>
      <c r="C1645" s="29">
        <f>+VLOOKUP($A1645,MAGAZZINO!$B$2:$M$100000,3,FALSE)</f>
        <v/>
      </c>
      <c r="D1645" s="3">
        <f>+VLOOKUP($A1645,MAGAZZINO!$B$2:$M$100000,4,FALSE)</f>
        <v/>
      </c>
      <c r="E1645" s="3">
        <f>+VLOOKUP($A1645,MAGAZZINO!$B$2:$M$100000,5,FALSE)</f>
        <v/>
      </c>
      <c r="F1645" s="3">
        <f>+VLOOKUP($A1645,MAGAZZINO!$B$2:$M$100000,6,FALSE)</f>
        <v/>
      </c>
      <c r="G1645" s="3">
        <f>+VLOOKUP($A1645,MAGAZZINO!$B$2:$M$100000,7,FALSE)</f>
        <v/>
      </c>
      <c r="H1645" s="3">
        <f>+VLOOKUP($A1645,MAGAZZINO!$B$2:$M$100000,8,FALSE)</f>
        <v/>
      </c>
      <c r="I1645" s="3">
        <f>+VLOOKUP($A1645,MAGAZZINO!$B$2:$M$100000,9,FALSE)</f>
        <v/>
      </c>
      <c r="J1645" s="3">
        <f>+VLOOKUP($A1645,MAGAZZINO!$B$2:$M$100000,10,FALSE)</f>
        <v/>
      </c>
      <c r="K1645" s="3">
        <f>+VLOOKUP($A1645,MAGAZZINO!$B$2:$M$100000,11,FALSE)</f>
        <v/>
      </c>
      <c r="L1645" s="5">
        <f>+VLOOKUP($A1645,MAGAZZINO!$B$2:$M$100000,12,FALSE)</f>
        <v/>
      </c>
      <c r="M1645" s="47" t="n"/>
      <c r="N1645" s="88" t="n">
        <v>45873</v>
      </c>
      <c r="O1645" s="156" t="inlineStr">
        <is>
          <t>BIN HUMAID NATIONAL TRADING CO. (ARABIA SAUDITA)</t>
        </is>
      </c>
      <c r="P1645" s="152" t="inlineStr">
        <is>
          <t xml:space="preserve">  IMPORT LICENSE N. 182480  (END USER CERTIFICATE)                                                                      AUT. ESPORTAZIONE MULTIPLA N. 6B/2025/2M RILASCIATA IL 26/05/2025                        (LICENZA DI SCARICO N. 6B/2025/2S RILASCIATA IL 30/07/2025)</t>
        </is>
      </c>
      <c r="Q1645" s="150" t="n"/>
      <c r="R1645" s="150" t="n"/>
      <c r="S1645" s="153" t="n"/>
    </row>
    <row r="1646" ht="36" customHeight="1">
      <c r="A1646" s="46" t="n">
        <v>3976</v>
      </c>
      <c r="B1646" s="4">
        <f>+VLOOKUP($A1646,MAGAZZINO!$B$2:$M$100000,2,FALSE)</f>
        <v/>
      </c>
      <c r="C1646" s="29">
        <f>+VLOOKUP($A1646,MAGAZZINO!$B$2:$M$100000,3,FALSE)</f>
        <v/>
      </c>
      <c r="D1646" s="3">
        <f>+VLOOKUP($A1646,MAGAZZINO!$B$2:$M$100000,4,FALSE)</f>
        <v/>
      </c>
      <c r="E1646" s="3">
        <f>+VLOOKUP($A1646,MAGAZZINO!$B$2:$M$100000,5,FALSE)</f>
        <v/>
      </c>
      <c r="F1646" s="3">
        <f>+VLOOKUP($A1646,MAGAZZINO!$B$2:$M$100000,6,FALSE)</f>
        <v/>
      </c>
      <c r="G1646" s="3">
        <f>+VLOOKUP($A1646,MAGAZZINO!$B$2:$M$100000,7,FALSE)</f>
        <v/>
      </c>
      <c r="H1646" s="3">
        <f>+VLOOKUP($A1646,MAGAZZINO!$B$2:$M$100000,8,FALSE)</f>
        <v/>
      </c>
      <c r="I1646" s="3">
        <f>+VLOOKUP($A1646,MAGAZZINO!$B$2:$M$100000,9,FALSE)</f>
        <v/>
      </c>
      <c r="J1646" s="3">
        <f>+VLOOKUP($A1646,MAGAZZINO!$B$2:$M$100000,10,FALSE)</f>
        <v/>
      </c>
      <c r="K1646" s="3">
        <f>+VLOOKUP($A1646,MAGAZZINO!$B$2:$M$100000,11,FALSE)</f>
        <v/>
      </c>
      <c r="L1646" s="5">
        <f>+VLOOKUP($A1646,MAGAZZINO!$B$2:$M$100000,12,FALSE)</f>
        <v/>
      </c>
      <c r="M1646" s="47" t="n"/>
      <c r="N1646" s="88" t="n">
        <v>45873</v>
      </c>
      <c r="O1646" s="156" t="inlineStr">
        <is>
          <t>BIN HUMAID NATIONAL TRADING CO. (ARABIA SAUDITA)</t>
        </is>
      </c>
      <c r="P1646" s="152" t="inlineStr">
        <is>
          <t xml:space="preserve">  IMPORT LICENSE N. 182480  (END USER CERTIFICATE)                                                                      AUT. ESPORTAZIONE MULTIPLA N. 6B/2025/2M RILASCIATA IL 26/05/2025                        (LICENZA DI SCARICO N. 6B/2025/2S RILASCIATA IL 30/07/2025)</t>
        </is>
      </c>
      <c r="Q1646" s="150" t="n"/>
      <c r="R1646" s="150" t="n"/>
      <c r="S1646" s="153" t="n"/>
    </row>
    <row r="1647" ht="36" customHeight="1">
      <c r="A1647" s="46" t="n">
        <v>3977</v>
      </c>
      <c r="B1647" s="4">
        <f>+VLOOKUP($A1647,MAGAZZINO!$B$2:$M$100000,2,FALSE)</f>
        <v/>
      </c>
      <c r="C1647" s="29">
        <f>+VLOOKUP($A1647,MAGAZZINO!$B$2:$M$100000,3,FALSE)</f>
        <v/>
      </c>
      <c r="D1647" s="3">
        <f>+VLOOKUP($A1647,MAGAZZINO!$B$2:$M$100000,4,FALSE)</f>
        <v/>
      </c>
      <c r="E1647" s="3">
        <f>+VLOOKUP($A1647,MAGAZZINO!$B$2:$M$100000,5,FALSE)</f>
        <v/>
      </c>
      <c r="F1647" s="3">
        <f>+VLOOKUP($A1647,MAGAZZINO!$B$2:$M$100000,6,FALSE)</f>
        <v/>
      </c>
      <c r="G1647" s="3">
        <f>+VLOOKUP($A1647,MAGAZZINO!$B$2:$M$100000,7,FALSE)</f>
        <v/>
      </c>
      <c r="H1647" s="3">
        <f>+VLOOKUP($A1647,MAGAZZINO!$B$2:$M$100000,8,FALSE)</f>
        <v/>
      </c>
      <c r="I1647" s="3">
        <f>+VLOOKUP($A1647,MAGAZZINO!$B$2:$M$100000,9,FALSE)</f>
        <v/>
      </c>
      <c r="J1647" s="3">
        <f>+VLOOKUP($A1647,MAGAZZINO!$B$2:$M$100000,10,FALSE)</f>
        <v/>
      </c>
      <c r="K1647" s="3">
        <f>+VLOOKUP($A1647,MAGAZZINO!$B$2:$M$100000,11,FALSE)</f>
        <v/>
      </c>
      <c r="L1647" s="5">
        <f>+VLOOKUP($A1647,MAGAZZINO!$B$2:$M$100000,12,FALSE)</f>
        <v/>
      </c>
      <c r="M1647" s="47" t="n"/>
      <c r="N1647" s="88" t="n">
        <v>45873</v>
      </c>
      <c r="O1647" s="156" t="inlineStr">
        <is>
          <t>BIN HUMAID NATIONAL TRADING CO. (ARABIA SAUDITA)</t>
        </is>
      </c>
      <c r="P1647" s="152" t="inlineStr">
        <is>
          <t xml:space="preserve">  IMPORT LICENSE N. 182480  (END USER CERTIFICATE)                                                                      AUT. ESPORTAZIONE MULTIPLA N. 6B/2025/2M RILASCIATA IL 26/05/2025                        (LICENZA DI SCARICO N. 6B/2025/2S RILASCIATA IL 30/07/2025)</t>
        </is>
      </c>
      <c r="Q1647" s="150" t="n"/>
      <c r="R1647" s="150" t="n"/>
      <c r="S1647" s="153" t="n"/>
    </row>
    <row r="1648" ht="36" customHeight="1">
      <c r="A1648" s="46" t="n">
        <v>3978</v>
      </c>
      <c r="B1648" s="4">
        <f>+VLOOKUP($A1648,MAGAZZINO!$B$2:$M$100000,2,FALSE)</f>
        <v/>
      </c>
      <c r="C1648" s="29">
        <f>+VLOOKUP($A1648,MAGAZZINO!$B$2:$M$100000,3,FALSE)</f>
        <v/>
      </c>
      <c r="D1648" s="3">
        <f>+VLOOKUP($A1648,MAGAZZINO!$B$2:$M$100000,4,FALSE)</f>
        <v/>
      </c>
      <c r="E1648" s="3">
        <f>+VLOOKUP($A1648,MAGAZZINO!$B$2:$M$100000,5,FALSE)</f>
        <v/>
      </c>
      <c r="F1648" s="3">
        <f>+VLOOKUP($A1648,MAGAZZINO!$B$2:$M$100000,6,FALSE)</f>
        <v/>
      </c>
      <c r="G1648" s="3">
        <f>+VLOOKUP($A1648,MAGAZZINO!$B$2:$M$100000,7,FALSE)</f>
        <v/>
      </c>
      <c r="H1648" s="3">
        <f>+VLOOKUP($A1648,MAGAZZINO!$B$2:$M$100000,8,FALSE)</f>
        <v/>
      </c>
      <c r="I1648" s="3">
        <f>+VLOOKUP($A1648,MAGAZZINO!$B$2:$M$100000,9,FALSE)</f>
        <v/>
      </c>
      <c r="J1648" s="3">
        <f>+VLOOKUP($A1648,MAGAZZINO!$B$2:$M$100000,10,FALSE)</f>
        <v/>
      </c>
      <c r="K1648" s="3">
        <f>+VLOOKUP($A1648,MAGAZZINO!$B$2:$M$100000,11,FALSE)</f>
        <v/>
      </c>
      <c r="L1648" s="5">
        <f>+VLOOKUP($A1648,MAGAZZINO!$B$2:$M$100000,12,FALSE)</f>
        <v/>
      </c>
      <c r="M1648" s="47" t="n"/>
      <c r="N1648" s="88" t="n">
        <v>45873</v>
      </c>
      <c r="O1648" s="156" t="inlineStr">
        <is>
          <t>BIN HUMAID NATIONAL TRADING CO. (ARABIA SAUDITA)</t>
        </is>
      </c>
      <c r="P1648" s="152" t="inlineStr">
        <is>
          <t xml:space="preserve">  IMPORT LICENSE N. 182480  (END USER CERTIFICATE)                                                                      AUT. ESPORTAZIONE MULTIPLA N. 6B/2025/2M RILASCIATA IL 26/05/2025                        (LICENZA DI SCARICO N. 6B/2025/2S RILASCIATA IL 30/07/2025)</t>
        </is>
      </c>
      <c r="Q1648" s="150" t="n"/>
      <c r="R1648" s="150" t="n"/>
      <c r="S1648" s="153" t="n"/>
    </row>
    <row r="1649" ht="36" customHeight="1">
      <c r="A1649" s="46" t="n">
        <v>3979</v>
      </c>
      <c r="B1649" s="4">
        <f>+VLOOKUP($A1649,MAGAZZINO!$B$2:$M$100000,2,FALSE)</f>
        <v/>
      </c>
      <c r="C1649" s="29">
        <f>+VLOOKUP($A1649,MAGAZZINO!$B$2:$M$100000,3,FALSE)</f>
        <v/>
      </c>
      <c r="D1649" s="3">
        <f>+VLOOKUP($A1649,MAGAZZINO!$B$2:$M$100000,4,FALSE)</f>
        <v/>
      </c>
      <c r="E1649" s="3">
        <f>+VLOOKUP($A1649,MAGAZZINO!$B$2:$M$100000,5,FALSE)</f>
        <v/>
      </c>
      <c r="F1649" s="3">
        <f>+VLOOKUP($A1649,MAGAZZINO!$B$2:$M$100000,6,FALSE)</f>
        <v/>
      </c>
      <c r="G1649" s="3">
        <f>+VLOOKUP($A1649,MAGAZZINO!$B$2:$M$100000,7,FALSE)</f>
        <v/>
      </c>
      <c r="H1649" s="3">
        <f>+VLOOKUP($A1649,MAGAZZINO!$B$2:$M$100000,8,FALSE)</f>
        <v/>
      </c>
      <c r="I1649" s="3">
        <f>+VLOOKUP($A1649,MAGAZZINO!$B$2:$M$100000,9,FALSE)</f>
        <v/>
      </c>
      <c r="J1649" s="3">
        <f>+VLOOKUP($A1649,MAGAZZINO!$B$2:$M$100000,10,FALSE)</f>
        <v/>
      </c>
      <c r="K1649" s="3">
        <f>+VLOOKUP($A1649,MAGAZZINO!$B$2:$M$100000,11,FALSE)</f>
        <v/>
      </c>
      <c r="L1649" s="5">
        <f>+VLOOKUP($A1649,MAGAZZINO!$B$2:$M$100000,12,FALSE)</f>
        <v/>
      </c>
      <c r="M1649" s="47" t="n"/>
      <c r="N1649" s="88" t="n">
        <v>45873</v>
      </c>
      <c r="O1649" s="156" t="inlineStr">
        <is>
          <t>BIN HUMAID NATIONAL TRADING CO. (ARABIA SAUDITA)</t>
        </is>
      </c>
      <c r="P1649" s="152" t="inlineStr">
        <is>
          <t xml:space="preserve">  IMPORT LICENSE N. 182480  (END USER CERTIFICATE)                                                                      AUT. ESPORTAZIONE MULTIPLA N. 6B/2025/2M RILASCIATA IL 26/05/2025                        (LICENZA DI SCARICO N. 6B/2025/2S RILASCIATA IL 30/07/2025)</t>
        </is>
      </c>
      <c r="Q1649" s="150" t="n"/>
      <c r="R1649" s="150" t="n"/>
      <c r="S1649" s="153" t="n"/>
    </row>
    <row r="1650" ht="36" customHeight="1">
      <c r="A1650" s="46" t="n">
        <v>3980</v>
      </c>
      <c r="B1650" s="4">
        <f>+VLOOKUP($A1650,MAGAZZINO!$B$2:$M$100000,2,FALSE)</f>
        <v/>
      </c>
      <c r="C1650" s="29">
        <f>+VLOOKUP($A1650,MAGAZZINO!$B$2:$M$100000,3,FALSE)</f>
        <v/>
      </c>
      <c r="D1650" s="3">
        <f>+VLOOKUP($A1650,MAGAZZINO!$B$2:$M$100000,4,FALSE)</f>
        <v/>
      </c>
      <c r="E1650" s="3">
        <f>+VLOOKUP($A1650,MAGAZZINO!$B$2:$M$100000,5,FALSE)</f>
        <v/>
      </c>
      <c r="F1650" s="3">
        <f>+VLOOKUP($A1650,MAGAZZINO!$B$2:$M$100000,6,FALSE)</f>
        <v/>
      </c>
      <c r="G1650" s="3">
        <f>+VLOOKUP($A1650,MAGAZZINO!$B$2:$M$100000,7,FALSE)</f>
        <v/>
      </c>
      <c r="H1650" s="3">
        <f>+VLOOKUP($A1650,MAGAZZINO!$B$2:$M$100000,8,FALSE)</f>
        <v/>
      </c>
      <c r="I1650" s="3">
        <f>+VLOOKUP($A1650,MAGAZZINO!$B$2:$M$100000,9,FALSE)</f>
        <v/>
      </c>
      <c r="J1650" s="3">
        <f>+VLOOKUP($A1650,MAGAZZINO!$B$2:$M$100000,10,FALSE)</f>
        <v/>
      </c>
      <c r="K1650" s="3">
        <f>+VLOOKUP($A1650,MAGAZZINO!$B$2:$M$100000,11,FALSE)</f>
        <v/>
      </c>
      <c r="L1650" s="5">
        <f>+VLOOKUP($A1650,MAGAZZINO!$B$2:$M$100000,12,FALSE)</f>
        <v/>
      </c>
      <c r="M1650" s="47" t="n"/>
      <c r="N1650" s="88" t="n">
        <v>45873</v>
      </c>
      <c r="O1650" s="156" t="inlineStr">
        <is>
          <t>BIN HUMAID NATIONAL TRADING CO. (ARABIA SAUDITA)</t>
        </is>
      </c>
      <c r="P1650" s="152" t="inlineStr">
        <is>
          <t xml:space="preserve">  IMPORT LICENSE N. 182480  (END USER CERTIFICATE)                                                                      AUT. ESPORTAZIONE MULTIPLA N. 6B/2025/2M RILASCIATA IL 26/05/2025                        (LICENZA DI SCARICO N. 6B/2025/2S RILASCIATA IL 30/07/2025)</t>
        </is>
      </c>
      <c r="Q1650" s="150" t="n"/>
      <c r="R1650" s="150" t="n"/>
      <c r="S1650" s="153" t="n"/>
    </row>
    <row r="1651" ht="36" customHeight="1">
      <c r="A1651" s="46" t="n">
        <v>3981</v>
      </c>
      <c r="B1651" s="4">
        <f>+VLOOKUP($A1651,MAGAZZINO!$B$2:$M$100000,2,FALSE)</f>
        <v/>
      </c>
      <c r="C1651" s="29">
        <f>+VLOOKUP($A1651,MAGAZZINO!$B$2:$M$100000,3,FALSE)</f>
        <v/>
      </c>
      <c r="D1651" s="3">
        <f>+VLOOKUP($A1651,MAGAZZINO!$B$2:$M$100000,4,FALSE)</f>
        <v/>
      </c>
      <c r="E1651" s="3">
        <f>+VLOOKUP($A1651,MAGAZZINO!$B$2:$M$100000,5,FALSE)</f>
        <v/>
      </c>
      <c r="F1651" s="3">
        <f>+VLOOKUP($A1651,MAGAZZINO!$B$2:$M$100000,6,FALSE)</f>
        <v/>
      </c>
      <c r="G1651" s="3">
        <f>+VLOOKUP($A1651,MAGAZZINO!$B$2:$M$100000,7,FALSE)</f>
        <v/>
      </c>
      <c r="H1651" s="3">
        <f>+VLOOKUP($A1651,MAGAZZINO!$B$2:$M$100000,8,FALSE)</f>
        <v/>
      </c>
      <c r="I1651" s="3">
        <f>+VLOOKUP($A1651,MAGAZZINO!$B$2:$M$100000,9,FALSE)</f>
        <v/>
      </c>
      <c r="J1651" s="3">
        <f>+VLOOKUP($A1651,MAGAZZINO!$B$2:$M$100000,10,FALSE)</f>
        <v/>
      </c>
      <c r="K1651" s="3">
        <f>+VLOOKUP($A1651,MAGAZZINO!$B$2:$M$100000,11,FALSE)</f>
        <v/>
      </c>
      <c r="L1651" s="5">
        <f>+VLOOKUP($A1651,MAGAZZINO!$B$2:$M$100000,12,FALSE)</f>
        <v/>
      </c>
      <c r="M1651" s="47" t="n"/>
      <c r="N1651" s="88" t="n">
        <v>45873</v>
      </c>
      <c r="O1651" s="156" t="inlineStr">
        <is>
          <t>BIN HUMAID NATIONAL TRADING CO. (ARABIA SAUDITA)</t>
        </is>
      </c>
      <c r="P1651" s="152" t="inlineStr">
        <is>
          <t xml:space="preserve">  IMPORT LICENSE N. 182480  (END USER CERTIFICATE)                                                                      AUT. ESPORTAZIONE MULTIPLA N. 6B/2025/2M RILASCIATA IL 26/05/2025                        (LICENZA DI SCARICO N. 6B/2025/2S RILASCIATA IL 30/07/2025)</t>
        </is>
      </c>
      <c r="Q1651" s="150" t="n"/>
      <c r="R1651" s="150" t="n"/>
      <c r="S1651" s="153" t="n"/>
    </row>
    <row r="1652" ht="36" customHeight="1">
      <c r="A1652" s="46" t="n">
        <v>3982</v>
      </c>
      <c r="B1652" s="4">
        <f>+VLOOKUP($A1652,MAGAZZINO!$B$2:$M$100000,2,FALSE)</f>
        <v/>
      </c>
      <c r="C1652" s="29">
        <f>+VLOOKUP($A1652,MAGAZZINO!$B$2:$M$100000,3,FALSE)</f>
        <v/>
      </c>
      <c r="D1652" s="3">
        <f>+VLOOKUP($A1652,MAGAZZINO!$B$2:$M$100000,4,FALSE)</f>
        <v/>
      </c>
      <c r="E1652" s="3">
        <f>+VLOOKUP($A1652,MAGAZZINO!$B$2:$M$100000,5,FALSE)</f>
        <v/>
      </c>
      <c r="F1652" s="3">
        <f>+VLOOKUP($A1652,MAGAZZINO!$B$2:$M$100000,6,FALSE)</f>
        <v/>
      </c>
      <c r="G1652" s="3">
        <f>+VLOOKUP($A1652,MAGAZZINO!$B$2:$M$100000,7,FALSE)</f>
        <v/>
      </c>
      <c r="H1652" s="3">
        <f>+VLOOKUP($A1652,MAGAZZINO!$B$2:$M$100000,8,FALSE)</f>
        <v/>
      </c>
      <c r="I1652" s="3">
        <f>+VLOOKUP($A1652,MAGAZZINO!$B$2:$M$100000,9,FALSE)</f>
        <v/>
      </c>
      <c r="J1652" s="3">
        <f>+VLOOKUP($A1652,MAGAZZINO!$B$2:$M$100000,10,FALSE)</f>
        <v/>
      </c>
      <c r="K1652" s="3">
        <f>+VLOOKUP($A1652,MAGAZZINO!$B$2:$M$100000,11,FALSE)</f>
        <v/>
      </c>
      <c r="L1652" s="5">
        <f>+VLOOKUP($A1652,MAGAZZINO!$B$2:$M$100000,12,FALSE)</f>
        <v/>
      </c>
      <c r="M1652" s="47" t="n"/>
      <c r="N1652" s="88" t="n">
        <v>45873</v>
      </c>
      <c r="O1652" s="156" t="inlineStr">
        <is>
          <t>BIN HUMAID NATIONAL TRADING CO. (ARABIA SAUDITA)</t>
        </is>
      </c>
      <c r="P1652" s="152" t="inlineStr">
        <is>
          <t xml:space="preserve">  IMPORT LICENSE N. 182480  (END USER CERTIFICATE)                                                                      AUT. ESPORTAZIONE MULTIPLA N. 6B/2025/2M RILASCIATA IL 26/05/2025                        (LICENZA DI SCARICO N. 6B/2025/2S RILASCIATA IL 30/07/2025)</t>
        </is>
      </c>
      <c r="Q1652" s="150" t="n"/>
      <c r="R1652" s="150" t="n"/>
      <c r="S1652" s="153" t="n"/>
    </row>
    <row r="1653" ht="36" customHeight="1">
      <c r="A1653" s="46" t="n">
        <v>3983</v>
      </c>
      <c r="B1653" s="4">
        <f>+VLOOKUP($A1653,MAGAZZINO!$B$2:$M$100000,2,FALSE)</f>
        <v/>
      </c>
      <c r="C1653" s="29">
        <f>+VLOOKUP($A1653,MAGAZZINO!$B$2:$M$100000,3,FALSE)</f>
        <v/>
      </c>
      <c r="D1653" s="3">
        <f>+VLOOKUP($A1653,MAGAZZINO!$B$2:$M$100000,4,FALSE)</f>
        <v/>
      </c>
      <c r="E1653" s="3">
        <f>+VLOOKUP($A1653,MAGAZZINO!$B$2:$M$100000,5,FALSE)</f>
        <v/>
      </c>
      <c r="F1653" s="3">
        <f>+VLOOKUP($A1653,MAGAZZINO!$B$2:$M$100000,6,FALSE)</f>
        <v/>
      </c>
      <c r="G1653" s="3">
        <f>+VLOOKUP($A1653,MAGAZZINO!$B$2:$M$100000,7,FALSE)</f>
        <v/>
      </c>
      <c r="H1653" s="3">
        <f>+VLOOKUP($A1653,MAGAZZINO!$B$2:$M$100000,8,FALSE)</f>
        <v/>
      </c>
      <c r="I1653" s="3">
        <f>+VLOOKUP($A1653,MAGAZZINO!$B$2:$M$100000,9,FALSE)</f>
        <v/>
      </c>
      <c r="J1653" s="3">
        <f>+VLOOKUP($A1653,MAGAZZINO!$B$2:$M$100000,10,FALSE)</f>
        <v/>
      </c>
      <c r="K1653" s="3">
        <f>+VLOOKUP($A1653,MAGAZZINO!$B$2:$M$100000,11,FALSE)</f>
        <v/>
      </c>
      <c r="L1653" s="5">
        <f>+VLOOKUP($A1653,MAGAZZINO!$B$2:$M$100000,12,FALSE)</f>
        <v/>
      </c>
      <c r="M1653" s="47" t="n"/>
      <c r="N1653" s="88" t="n">
        <v>45873</v>
      </c>
      <c r="O1653" s="156" t="inlineStr">
        <is>
          <t>BIN HUMAID NATIONAL TRADING CO. (ARABIA SAUDITA)</t>
        </is>
      </c>
      <c r="P1653" s="152" t="inlineStr">
        <is>
          <t xml:space="preserve">  IMPORT LICENSE N. 182480  (END USER CERTIFICATE)                                                                      AUT. ESPORTAZIONE MULTIPLA N. 6B/2025/2M RILASCIATA IL 26/05/2025                        (LICENZA DI SCARICO N. 6B/2025/2S RILASCIATA IL 30/07/2025)</t>
        </is>
      </c>
      <c r="Q1653" s="150" t="n"/>
      <c r="R1653" s="150" t="n"/>
      <c r="S1653" s="153" t="n"/>
    </row>
    <row r="1654" ht="36" customHeight="1">
      <c r="A1654" s="46" t="n">
        <v>3984</v>
      </c>
      <c r="B1654" s="4">
        <f>+VLOOKUP($A1654,MAGAZZINO!$B$2:$M$100000,2,FALSE)</f>
        <v/>
      </c>
      <c r="C1654" s="29">
        <f>+VLOOKUP($A1654,MAGAZZINO!$B$2:$M$100000,3,FALSE)</f>
        <v/>
      </c>
      <c r="D1654" s="3">
        <f>+VLOOKUP($A1654,MAGAZZINO!$B$2:$M$100000,4,FALSE)</f>
        <v/>
      </c>
      <c r="E1654" s="3">
        <f>+VLOOKUP($A1654,MAGAZZINO!$B$2:$M$100000,5,FALSE)</f>
        <v/>
      </c>
      <c r="F1654" s="3">
        <f>+VLOOKUP($A1654,MAGAZZINO!$B$2:$M$100000,6,FALSE)</f>
        <v/>
      </c>
      <c r="G1654" s="3">
        <f>+VLOOKUP($A1654,MAGAZZINO!$B$2:$M$100000,7,FALSE)</f>
        <v/>
      </c>
      <c r="H1654" s="3">
        <f>+VLOOKUP($A1654,MAGAZZINO!$B$2:$M$100000,8,FALSE)</f>
        <v/>
      </c>
      <c r="I1654" s="3">
        <f>+VLOOKUP($A1654,MAGAZZINO!$B$2:$M$100000,9,FALSE)</f>
        <v/>
      </c>
      <c r="J1654" s="3">
        <f>+VLOOKUP($A1654,MAGAZZINO!$B$2:$M$100000,10,FALSE)</f>
        <v/>
      </c>
      <c r="K1654" s="3">
        <f>+VLOOKUP($A1654,MAGAZZINO!$B$2:$M$100000,11,FALSE)</f>
        <v/>
      </c>
      <c r="L1654" s="5">
        <f>+VLOOKUP($A1654,MAGAZZINO!$B$2:$M$100000,12,FALSE)</f>
        <v/>
      </c>
      <c r="M1654" s="47" t="n"/>
      <c r="N1654" s="88" t="n">
        <v>45873</v>
      </c>
      <c r="O1654" s="156" t="inlineStr">
        <is>
          <t>BIN HUMAID NATIONAL TRADING CO. (ARABIA SAUDITA)</t>
        </is>
      </c>
      <c r="P1654" s="152" t="inlineStr">
        <is>
          <t xml:space="preserve">  IMPORT LICENSE N. 182480  (END USER CERTIFICATE)                                                                      AUT. ESPORTAZIONE MULTIPLA N. 6B/2025/2M RILASCIATA IL 26/05/2025                        (LICENZA DI SCARICO N. 6B/2025/2S RILASCIATA IL 30/07/2025)</t>
        </is>
      </c>
      <c r="Q1654" s="150" t="n"/>
      <c r="R1654" s="150" t="n"/>
      <c r="S1654" s="153" t="n"/>
    </row>
    <row r="1655" ht="36" customHeight="1">
      <c r="A1655" s="46" t="n">
        <v>3985</v>
      </c>
      <c r="B1655" s="4">
        <f>+VLOOKUP($A1655,MAGAZZINO!$B$2:$M$100000,2,FALSE)</f>
        <v/>
      </c>
      <c r="C1655" s="29">
        <f>+VLOOKUP($A1655,MAGAZZINO!$B$2:$M$100000,3,FALSE)</f>
        <v/>
      </c>
      <c r="D1655" s="3">
        <f>+VLOOKUP($A1655,MAGAZZINO!$B$2:$M$100000,4,FALSE)</f>
        <v/>
      </c>
      <c r="E1655" s="3">
        <f>+VLOOKUP($A1655,MAGAZZINO!$B$2:$M$100000,5,FALSE)</f>
        <v/>
      </c>
      <c r="F1655" s="3">
        <f>+VLOOKUP($A1655,MAGAZZINO!$B$2:$M$100000,6,FALSE)</f>
        <v/>
      </c>
      <c r="G1655" s="3">
        <f>+VLOOKUP($A1655,MAGAZZINO!$B$2:$M$100000,7,FALSE)</f>
        <v/>
      </c>
      <c r="H1655" s="3">
        <f>+VLOOKUP($A1655,MAGAZZINO!$B$2:$M$100000,8,FALSE)</f>
        <v/>
      </c>
      <c r="I1655" s="3">
        <f>+VLOOKUP($A1655,MAGAZZINO!$B$2:$M$100000,9,FALSE)</f>
        <v/>
      </c>
      <c r="J1655" s="3">
        <f>+VLOOKUP($A1655,MAGAZZINO!$B$2:$M$100000,10,FALSE)</f>
        <v/>
      </c>
      <c r="K1655" s="3">
        <f>+VLOOKUP($A1655,MAGAZZINO!$B$2:$M$100000,11,FALSE)</f>
        <v/>
      </c>
      <c r="L1655" s="5">
        <f>+VLOOKUP($A1655,MAGAZZINO!$B$2:$M$100000,12,FALSE)</f>
        <v/>
      </c>
      <c r="M1655" s="47" t="n"/>
      <c r="N1655" s="88" t="n">
        <v>45873</v>
      </c>
      <c r="O1655" s="156" t="inlineStr">
        <is>
          <t>BIN HUMAID NATIONAL TRADING CO. (ARABIA SAUDITA)</t>
        </is>
      </c>
      <c r="P1655" s="152" t="inlineStr">
        <is>
          <t xml:space="preserve">  IMPORT LICENSE N. 182480  (END USER CERTIFICATE)                                                                      AUT. ESPORTAZIONE MULTIPLA N. 6B/2025/2M RILASCIATA IL 26/05/2025                        (LICENZA DI SCARICO N. 6B/2025/2S RILASCIATA IL 30/07/2025)</t>
        </is>
      </c>
      <c r="Q1655" s="150" t="n"/>
      <c r="R1655" s="150" t="n"/>
      <c r="S1655" s="153" t="n"/>
    </row>
    <row r="1656" ht="36" customHeight="1">
      <c r="A1656" s="46" t="n">
        <v>3986</v>
      </c>
      <c r="B1656" s="4">
        <f>+VLOOKUP($A1656,MAGAZZINO!$B$2:$M$100000,2,FALSE)</f>
        <v/>
      </c>
      <c r="C1656" s="29">
        <f>+VLOOKUP($A1656,MAGAZZINO!$B$2:$M$100000,3,FALSE)</f>
        <v/>
      </c>
      <c r="D1656" s="3">
        <f>+VLOOKUP($A1656,MAGAZZINO!$B$2:$M$100000,4,FALSE)</f>
        <v/>
      </c>
      <c r="E1656" s="3">
        <f>+VLOOKUP($A1656,MAGAZZINO!$B$2:$M$100000,5,FALSE)</f>
        <v/>
      </c>
      <c r="F1656" s="3">
        <f>+VLOOKUP($A1656,MAGAZZINO!$B$2:$M$100000,6,FALSE)</f>
        <v/>
      </c>
      <c r="G1656" s="3">
        <f>+VLOOKUP($A1656,MAGAZZINO!$B$2:$M$100000,7,FALSE)</f>
        <v/>
      </c>
      <c r="H1656" s="3">
        <f>+VLOOKUP($A1656,MAGAZZINO!$B$2:$M$100000,8,FALSE)</f>
        <v/>
      </c>
      <c r="I1656" s="3">
        <f>+VLOOKUP($A1656,MAGAZZINO!$B$2:$M$100000,9,FALSE)</f>
        <v/>
      </c>
      <c r="J1656" s="3">
        <f>+VLOOKUP($A1656,MAGAZZINO!$B$2:$M$100000,10,FALSE)</f>
        <v/>
      </c>
      <c r="K1656" s="3">
        <f>+VLOOKUP($A1656,MAGAZZINO!$B$2:$M$100000,11,FALSE)</f>
        <v/>
      </c>
      <c r="L1656" s="5">
        <f>+VLOOKUP($A1656,MAGAZZINO!$B$2:$M$100000,12,FALSE)</f>
        <v/>
      </c>
      <c r="M1656" s="47" t="n"/>
      <c r="N1656" s="88" t="n">
        <v>45873</v>
      </c>
      <c r="O1656" s="156" t="inlineStr">
        <is>
          <t>BIN HUMAID NATIONAL TRADING CO. (ARABIA SAUDITA)</t>
        </is>
      </c>
      <c r="P1656" s="152" t="inlineStr">
        <is>
          <t xml:space="preserve">  IMPORT LICENSE N. 182480  (END USER CERTIFICATE)                                                                      AUT. ESPORTAZIONE MULTIPLA N. 6B/2025/2M RILASCIATA IL 26/05/2025                        (LICENZA DI SCARICO N. 6B/2025/2S RILASCIATA IL 30/07/2025)</t>
        </is>
      </c>
      <c r="Q1656" s="150" t="n"/>
      <c r="R1656" s="150" t="n"/>
      <c r="S1656" s="153" t="n"/>
    </row>
    <row r="1657" ht="36" customHeight="1">
      <c r="A1657" s="46" t="n">
        <v>3987</v>
      </c>
      <c r="B1657" s="4">
        <f>+VLOOKUP($A1657,MAGAZZINO!$B$2:$M$100000,2,FALSE)</f>
        <v/>
      </c>
      <c r="C1657" s="29">
        <f>+VLOOKUP($A1657,MAGAZZINO!$B$2:$M$100000,3,FALSE)</f>
        <v/>
      </c>
      <c r="D1657" s="3">
        <f>+VLOOKUP($A1657,MAGAZZINO!$B$2:$M$100000,4,FALSE)</f>
        <v/>
      </c>
      <c r="E1657" s="3">
        <f>+VLOOKUP($A1657,MAGAZZINO!$B$2:$M$100000,5,FALSE)</f>
        <v/>
      </c>
      <c r="F1657" s="3">
        <f>+VLOOKUP($A1657,MAGAZZINO!$B$2:$M$100000,6,FALSE)</f>
        <v/>
      </c>
      <c r="G1657" s="3">
        <f>+VLOOKUP($A1657,MAGAZZINO!$B$2:$M$100000,7,FALSE)</f>
        <v/>
      </c>
      <c r="H1657" s="3">
        <f>+VLOOKUP($A1657,MAGAZZINO!$B$2:$M$100000,8,FALSE)</f>
        <v/>
      </c>
      <c r="I1657" s="3">
        <f>+VLOOKUP($A1657,MAGAZZINO!$B$2:$M$100000,9,FALSE)</f>
        <v/>
      </c>
      <c r="J1657" s="3">
        <f>+VLOOKUP($A1657,MAGAZZINO!$B$2:$M$100000,10,FALSE)</f>
        <v/>
      </c>
      <c r="K1657" s="3">
        <f>+VLOOKUP($A1657,MAGAZZINO!$B$2:$M$100000,11,FALSE)</f>
        <v/>
      </c>
      <c r="L1657" s="5">
        <f>+VLOOKUP($A1657,MAGAZZINO!$B$2:$M$100000,12,FALSE)</f>
        <v/>
      </c>
      <c r="M1657" s="47" t="n"/>
      <c r="N1657" s="88" t="n">
        <v>45873</v>
      </c>
      <c r="O1657" s="156" t="inlineStr">
        <is>
          <t>BIN HUMAID NATIONAL TRADING CO. (ARABIA SAUDITA)</t>
        </is>
      </c>
      <c r="P1657" s="152" t="inlineStr">
        <is>
          <t xml:space="preserve">  IMPORT LICENSE N. 182480  (END USER CERTIFICATE)                                                                      AUT. ESPORTAZIONE MULTIPLA N. 6B/2025/2M RILASCIATA IL 26/05/2025                        (LICENZA DI SCARICO N. 6B/2025/2S RILASCIATA IL 30/07/2025)</t>
        </is>
      </c>
      <c r="Q1657" s="150" t="n"/>
      <c r="R1657" s="150" t="n"/>
      <c r="S1657" s="153" t="n"/>
    </row>
    <row r="1658" ht="36" customHeight="1">
      <c r="A1658" s="46" t="n">
        <v>3988</v>
      </c>
      <c r="B1658" s="4">
        <f>+VLOOKUP($A1658,MAGAZZINO!$B$2:$M$100000,2,FALSE)</f>
        <v/>
      </c>
      <c r="C1658" s="29">
        <f>+VLOOKUP($A1658,MAGAZZINO!$B$2:$M$100000,3,FALSE)</f>
        <v/>
      </c>
      <c r="D1658" s="3">
        <f>+VLOOKUP($A1658,MAGAZZINO!$B$2:$M$100000,4,FALSE)</f>
        <v/>
      </c>
      <c r="E1658" s="3">
        <f>+VLOOKUP($A1658,MAGAZZINO!$B$2:$M$100000,5,FALSE)</f>
        <v/>
      </c>
      <c r="F1658" s="3">
        <f>+VLOOKUP($A1658,MAGAZZINO!$B$2:$M$100000,6,FALSE)</f>
        <v/>
      </c>
      <c r="G1658" s="3">
        <f>+VLOOKUP($A1658,MAGAZZINO!$B$2:$M$100000,7,FALSE)</f>
        <v/>
      </c>
      <c r="H1658" s="3">
        <f>+VLOOKUP($A1658,MAGAZZINO!$B$2:$M$100000,8,FALSE)</f>
        <v/>
      </c>
      <c r="I1658" s="3">
        <f>+VLOOKUP($A1658,MAGAZZINO!$B$2:$M$100000,9,FALSE)</f>
        <v/>
      </c>
      <c r="J1658" s="3">
        <f>+VLOOKUP($A1658,MAGAZZINO!$B$2:$M$100000,10,FALSE)</f>
        <v/>
      </c>
      <c r="K1658" s="3">
        <f>+VLOOKUP($A1658,MAGAZZINO!$B$2:$M$100000,11,FALSE)</f>
        <v/>
      </c>
      <c r="L1658" s="5">
        <f>+VLOOKUP($A1658,MAGAZZINO!$B$2:$M$100000,12,FALSE)</f>
        <v/>
      </c>
      <c r="M1658" s="47" t="n"/>
      <c r="N1658" s="88" t="n">
        <v>45873</v>
      </c>
      <c r="O1658" s="156" t="inlineStr">
        <is>
          <t>BIN HUMAID NATIONAL TRADING CO. (ARABIA SAUDITA)</t>
        </is>
      </c>
      <c r="P1658" s="152" t="inlineStr">
        <is>
          <t xml:space="preserve">  IMPORT LICENSE N. 182480  (END USER CERTIFICATE)                                                                      AUT. ESPORTAZIONE MULTIPLA N. 6B/2025/2M RILASCIATA IL 26/05/2025                        (LICENZA DI SCARICO N. 6B/2025/2S RILASCIATA IL 30/07/2025)</t>
        </is>
      </c>
      <c r="Q1658" s="150" t="n"/>
      <c r="R1658" s="150" t="n"/>
      <c r="S1658" s="153" t="n"/>
    </row>
    <row r="1659" ht="36" customHeight="1">
      <c r="A1659" s="46" t="n">
        <v>3989</v>
      </c>
      <c r="B1659" s="4">
        <f>+VLOOKUP($A1659,MAGAZZINO!$B$2:$M$100000,2,FALSE)</f>
        <v/>
      </c>
      <c r="C1659" s="29">
        <f>+VLOOKUP($A1659,MAGAZZINO!$B$2:$M$100000,3,FALSE)</f>
        <v/>
      </c>
      <c r="D1659" s="3">
        <f>+VLOOKUP($A1659,MAGAZZINO!$B$2:$M$100000,4,FALSE)</f>
        <v/>
      </c>
      <c r="E1659" s="3">
        <f>+VLOOKUP($A1659,MAGAZZINO!$B$2:$M$100000,5,FALSE)</f>
        <v/>
      </c>
      <c r="F1659" s="3">
        <f>+VLOOKUP($A1659,MAGAZZINO!$B$2:$M$100000,6,FALSE)</f>
        <v/>
      </c>
      <c r="G1659" s="3">
        <f>+VLOOKUP($A1659,MAGAZZINO!$B$2:$M$100000,7,FALSE)</f>
        <v/>
      </c>
      <c r="H1659" s="3">
        <f>+VLOOKUP($A1659,MAGAZZINO!$B$2:$M$100000,8,FALSE)</f>
        <v/>
      </c>
      <c r="I1659" s="3">
        <f>+VLOOKUP($A1659,MAGAZZINO!$B$2:$M$100000,9,FALSE)</f>
        <v/>
      </c>
      <c r="J1659" s="3">
        <f>+VLOOKUP($A1659,MAGAZZINO!$B$2:$M$100000,10,FALSE)</f>
        <v/>
      </c>
      <c r="K1659" s="3">
        <f>+VLOOKUP($A1659,MAGAZZINO!$B$2:$M$100000,11,FALSE)</f>
        <v/>
      </c>
      <c r="L1659" s="5">
        <f>+VLOOKUP($A1659,MAGAZZINO!$B$2:$M$100000,12,FALSE)</f>
        <v/>
      </c>
      <c r="M1659" s="47" t="n"/>
      <c r="N1659" s="88" t="n">
        <v>45873</v>
      </c>
      <c r="O1659" s="156" t="inlineStr">
        <is>
          <t>BIN HUMAID NATIONAL TRADING CO. (ARABIA SAUDITA)</t>
        </is>
      </c>
      <c r="P1659" s="152" t="inlineStr">
        <is>
          <t xml:space="preserve">  IMPORT LICENSE N. 182480  (END USER CERTIFICATE)                                                                      AUT. ESPORTAZIONE MULTIPLA N. 6B/2025/2M RILASCIATA IL 26/05/2025                        (LICENZA DI SCARICO N. 6B/2025/2S RILASCIATA IL 30/07/2025)</t>
        </is>
      </c>
      <c r="Q1659" s="150" t="n"/>
      <c r="R1659" s="150" t="n"/>
      <c r="S1659" s="153" t="n"/>
    </row>
    <row r="1660" ht="36" customHeight="1">
      <c r="A1660" s="46" t="n">
        <v>3990</v>
      </c>
      <c r="B1660" s="4">
        <f>+VLOOKUP($A1660,MAGAZZINO!$B$2:$M$100000,2,FALSE)</f>
        <v/>
      </c>
      <c r="C1660" s="29">
        <f>+VLOOKUP($A1660,MAGAZZINO!$B$2:$M$100000,3,FALSE)</f>
        <v/>
      </c>
      <c r="D1660" s="3">
        <f>+VLOOKUP($A1660,MAGAZZINO!$B$2:$M$100000,4,FALSE)</f>
        <v/>
      </c>
      <c r="E1660" s="3">
        <f>+VLOOKUP($A1660,MAGAZZINO!$B$2:$M$100000,5,FALSE)</f>
        <v/>
      </c>
      <c r="F1660" s="3">
        <f>+VLOOKUP($A1660,MAGAZZINO!$B$2:$M$100000,6,FALSE)</f>
        <v/>
      </c>
      <c r="G1660" s="3">
        <f>+VLOOKUP($A1660,MAGAZZINO!$B$2:$M$100000,7,FALSE)</f>
        <v/>
      </c>
      <c r="H1660" s="3">
        <f>+VLOOKUP($A1660,MAGAZZINO!$B$2:$M$100000,8,FALSE)</f>
        <v/>
      </c>
      <c r="I1660" s="3">
        <f>+VLOOKUP($A1660,MAGAZZINO!$B$2:$M$100000,9,FALSE)</f>
        <v/>
      </c>
      <c r="J1660" s="3">
        <f>+VLOOKUP($A1660,MAGAZZINO!$B$2:$M$100000,10,FALSE)</f>
        <v/>
      </c>
      <c r="K1660" s="3">
        <f>+VLOOKUP($A1660,MAGAZZINO!$B$2:$M$100000,11,FALSE)</f>
        <v/>
      </c>
      <c r="L1660" s="5">
        <f>+VLOOKUP($A1660,MAGAZZINO!$B$2:$M$100000,12,FALSE)</f>
        <v/>
      </c>
      <c r="M1660" s="47" t="n"/>
      <c r="N1660" s="88" t="n">
        <v>45873</v>
      </c>
      <c r="O1660" s="156" t="inlineStr">
        <is>
          <t>BIN HUMAID NATIONAL TRADING CO. (ARABIA SAUDITA)</t>
        </is>
      </c>
      <c r="P1660" s="152" t="inlineStr">
        <is>
          <t xml:space="preserve">  IMPORT LICENSE N. 182480  (END USER CERTIFICATE)                                                                      AUT. ESPORTAZIONE MULTIPLA N. 6B/2025/2M RILASCIATA IL 26/05/2025                        (LICENZA DI SCARICO N. 6B/2025/2S RILASCIATA IL 30/07/2025)</t>
        </is>
      </c>
      <c r="Q1660" s="150" t="n"/>
      <c r="R1660" s="150" t="n"/>
      <c r="S1660" s="153" t="n"/>
    </row>
    <row r="1661" ht="36" customHeight="1">
      <c r="A1661" s="46" t="n">
        <v>3991</v>
      </c>
      <c r="B1661" s="4">
        <f>+VLOOKUP($A1661,MAGAZZINO!$B$2:$M$100000,2,FALSE)</f>
        <v/>
      </c>
      <c r="C1661" s="29">
        <f>+VLOOKUP($A1661,MAGAZZINO!$B$2:$M$100000,3,FALSE)</f>
        <v/>
      </c>
      <c r="D1661" s="3">
        <f>+VLOOKUP($A1661,MAGAZZINO!$B$2:$M$100000,4,FALSE)</f>
        <v/>
      </c>
      <c r="E1661" s="3">
        <f>+VLOOKUP($A1661,MAGAZZINO!$B$2:$M$100000,5,FALSE)</f>
        <v/>
      </c>
      <c r="F1661" s="3">
        <f>+VLOOKUP($A1661,MAGAZZINO!$B$2:$M$100000,6,FALSE)</f>
        <v/>
      </c>
      <c r="G1661" s="3">
        <f>+VLOOKUP($A1661,MAGAZZINO!$B$2:$M$100000,7,FALSE)</f>
        <v/>
      </c>
      <c r="H1661" s="3">
        <f>+VLOOKUP($A1661,MAGAZZINO!$B$2:$M$100000,8,FALSE)</f>
        <v/>
      </c>
      <c r="I1661" s="3">
        <f>+VLOOKUP($A1661,MAGAZZINO!$B$2:$M$100000,9,FALSE)</f>
        <v/>
      </c>
      <c r="J1661" s="3">
        <f>+VLOOKUP($A1661,MAGAZZINO!$B$2:$M$100000,10,FALSE)</f>
        <v/>
      </c>
      <c r="K1661" s="3">
        <f>+VLOOKUP($A1661,MAGAZZINO!$B$2:$M$100000,11,FALSE)</f>
        <v/>
      </c>
      <c r="L1661" s="5">
        <f>+VLOOKUP($A1661,MAGAZZINO!$B$2:$M$100000,12,FALSE)</f>
        <v/>
      </c>
      <c r="M1661" s="47" t="n"/>
      <c r="N1661" s="88" t="n">
        <v>45873</v>
      </c>
      <c r="O1661" s="156" t="inlineStr">
        <is>
          <t>BIN HUMAID NATIONAL TRADING CO. (ARABIA SAUDITA)</t>
        </is>
      </c>
      <c r="P1661" s="152" t="inlineStr">
        <is>
          <t xml:space="preserve">  IMPORT LICENSE N. 182480  (END USER CERTIFICATE)                                                                      AUT. ESPORTAZIONE MULTIPLA N. 6B/2025/2M RILASCIATA IL 26/05/2025                        (LICENZA DI SCARICO N. 6B/2025/2S RILASCIATA IL 30/07/2025)</t>
        </is>
      </c>
      <c r="Q1661" s="150" t="n"/>
      <c r="R1661" s="150" t="n"/>
      <c r="S1661" s="153" t="n"/>
    </row>
    <row r="1662" ht="36" customHeight="1">
      <c r="A1662" s="46" t="n">
        <v>3992</v>
      </c>
      <c r="B1662" s="4">
        <f>+VLOOKUP($A1662,MAGAZZINO!$B$2:$M$100000,2,FALSE)</f>
        <v/>
      </c>
      <c r="C1662" s="29">
        <f>+VLOOKUP($A1662,MAGAZZINO!$B$2:$M$100000,3,FALSE)</f>
        <v/>
      </c>
      <c r="D1662" s="3">
        <f>+VLOOKUP($A1662,MAGAZZINO!$B$2:$M$100000,4,FALSE)</f>
        <v/>
      </c>
      <c r="E1662" s="3">
        <f>+VLOOKUP($A1662,MAGAZZINO!$B$2:$M$100000,5,FALSE)</f>
        <v/>
      </c>
      <c r="F1662" s="3">
        <f>+VLOOKUP($A1662,MAGAZZINO!$B$2:$M$100000,6,FALSE)</f>
        <v/>
      </c>
      <c r="G1662" s="3">
        <f>+VLOOKUP($A1662,MAGAZZINO!$B$2:$M$100000,7,FALSE)</f>
        <v/>
      </c>
      <c r="H1662" s="3">
        <f>+VLOOKUP($A1662,MAGAZZINO!$B$2:$M$100000,8,FALSE)</f>
        <v/>
      </c>
      <c r="I1662" s="3">
        <f>+VLOOKUP($A1662,MAGAZZINO!$B$2:$M$100000,9,FALSE)</f>
        <v/>
      </c>
      <c r="J1662" s="3">
        <f>+VLOOKUP($A1662,MAGAZZINO!$B$2:$M$100000,10,FALSE)</f>
        <v/>
      </c>
      <c r="K1662" s="3">
        <f>+VLOOKUP($A1662,MAGAZZINO!$B$2:$M$100000,11,FALSE)</f>
        <v/>
      </c>
      <c r="L1662" s="5">
        <f>+VLOOKUP($A1662,MAGAZZINO!$B$2:$M$100000,12,FALSE)</f>
        <v/>
      </c>
      <c r="M1662" s="47" t="n"/>
      <c r="N1662" s="88" t="n">
        <v>45873</v>
      </c>
      <c r="O1662" s="156" t="inlineStr">
        <is>
          <t>BIN HUMAID NATIONAL TRADING CO. (ARABIA SAUDITA)</t>
        </is>
      </c>
      <c r="P1662" s="152" t="inlineStr">
        <is>
          <t xml:space="preserve">  IMPORT LICENSE N. 182480  (END USER CERTIFICATE)                                                                      AUT. ESPORTAZIONE MULTIPLA N. 6B/2025/2M RILASCIATA IL 26/05/2025                        (LICENZA DI SCARICO N. 6B/2025/2S RILASCIATA IL 30/07/2025)</t>
        </is>
      </c>
      <c r="Q1662" s="150" t="n"/>
      <c r="R1662" s="150" t="n"/>
      <c r="S1662" s="153" t="n"/>
    </row>
    <row r="1663" ht="36" customHeight="1">
      <c r="A1663" s="46" t="n">
        <v>3993</v>
      </c>
      <c r="B1663" s="4">
        <f>+VLOOKUP($A1663,MAGAZZINO!$B$2:$M$100000,2,FALSE)</f>
        <v/>
      </c>
      <c r="C1663" s="29">
        <f>+VLOOKUP($A1663,MAGAZZINO!$B$2:$M$100000,3,FALSE)</f>
        <v/>
      </c>
      <c r="D1663" s="3">
        <f>+VLOOKUP($A1663,MAGAZZINO!$B$2:$M$100000,4,FALSE)</f>
        <v/>
      </c>
      <c r="E1663" s="3">
        <f>+VLOOKUP($A1663,MAGAZZINO!$B$2:$M$100000,5,FALSE)</f>
        <v/>
      </c>
      <c r="F1663" s="3">
        <f>+VLOOKUP($A1663,MAGAZZINO!$B$2:$M$100000,6,FALSE)</f>
        <v/>
      </c>
      <c r="G1663" s="3">
        <f>+VLOOKUP($A1663,MAGAZZINO!$B$2:$M$100000,7,FALSE)</f>
        <v/>
      </c>
      <c r="H1663" s="3">
        <f>+VLOOKUP($A1663,MAGAZZINO!$B$2:$M$100000,8,FALSE)</f>
        <v/>
      </c>
      <c r="I1663" s="3">
        <f>+VLOOKUP($A1663,MAGAZZINO!$B$2:$M$100000,9,FALSE)</f>
        <v/>
      </c>
      <c r="J1663" s="3">
        <f>+VLOOKUP($A1663,MAGAZZINO!$B$2:$M$100000,10,FALSE)</f>
        <v/>
      </c>
      <c r="K1663" s="3">
        <f>+VLOOKUP($A1663,MAGAZZINO!$B$2:$M$100000,11,FALSE)</f>
        <v/>
      </c>
      <c r="L1663" s="5">
        <f>+VLOOKUP($A1663,MAGAZZINO!$B$2:$M$100000,12,FALSE)</f>
        <v/>
      </c>
      <c r="M1663" s="47" t="n"/>
      <c r="N1663" s="88" t="n">
        <v>45873</v>
      </c>
      <c r="O1663" s="156" t="inlineStr">
        <is>
          <t>BIN HUMAID NATIONAL TRADING CO. (ARABIA SAUDITA)</t>
        </is>
      </c>
      <c r="P1663" s="152" t="inlineStr">
        <is>
          <t xml:space="preserve">  IMPORT LICENSE N. 182480  (END USER CERTIFICATE)                                                                      AUT. ESPORTAZIONE MULTIPLA N. 6B/2025/2M RILASCIATA IL 26/05/2025                        (LICENZA DI SCARICO N. 6B/2025/2S RILASCIATA IL 30/07/2025)</t>
        </is>
      </c>
      <c r="Q1663" s="150" t="n"/>
      <c r="R1663" s="150" t="n"/>
      <c r="S1663" s="153" t="n"/>
    </row>
    <row r="1664" ht="36" customHeight="1">
      <c r="A1664" s="46" t="n">
        <v>3994</v>
      </c>
      <c r="B1664" s="4">
        <f>+VLOOKUP($A1664,MAGAZZINO!$B$2:$M$100000,2,FALSE)</f>
        <v/>
      </c>
      <c r="C1664" s="29">
        <f>+VLOOKUP($A1664,MAGAZZINO!$B$2:$M$100000,3,FALSE)</f>
        <v/>
      </c>
      <c r="D1664" s="3">
        <f>+VLOOKUP($A1664,MAGAZZINO!$B$2:$M$100000,4,FALSE)</f>
        <v/>
      </c>
      <c r="E1664" s="3">
        <f>+VLOOKUP($A1664,MAGAZZINO!$B$2:$M$100000,5,FALSE)</f>
        <v/>
      </c>
      <c r="F1664" s="3">
        <f>+VLOOKUP($A1664,MAGAZZINO!$B$2:$M$100000,6,FALSE)</f>
        <v/>
      </c>
      <c r="G1664" s="3">
        <f>+VLOOKUP($A1664,MAGAZZINO!$B$2:$M$100000,7,FALSE)</f>
        <v/>
      </c>
      <c r="H1664" s="3">
        <f>+VLOOKUP($A1664,MAGAZZINO!$B$2:$M$100000,8,FALSE)</f>
        <v/>
      </c>
      <c r="I1664" s="3">
        <f>+VLOOKUP($A1664,MAGAZZINO!$B$2:$M$100000,9,FALSE)</f>
        <v/>
      </c>
      <c r="J1664" s="3">
        <f>+VLOOKUP($A1664,MAGAZZINO!$B$2:$M$100000,10,FALSE)</f>
        <v/>
      </c>
      <c r="K1664" s="3">
        <f>+VLOOKUP($A1664,MAGAZZINO!$B$2:$M$100000,11,FALSE)</f>
        <v/>
      </c>
      <c r="L1664" s="5">
        <f>+VLOOKUP($A1664,MAGAZZINO!$B$2:$M$100000,12,FALSE)</f>
        <v/>
      </c>
      <c r="M1664" s="47" t="n"/>
      <c r="N1664" s="88" t="n">
        <v>45873</v>
      </c>
      <c r="O1664" s="156" t="inlineStr">
        <is>
          <t>BIN HUMAID NATIONAL TRADING CO. (ARABIA SAUDITA)</t>
        </is>
      </c>
      <c r="P1664" s="152" t="inlineStr">
        <is>
          <t xml:space="preserve">  IMPORT LICENSE N. 182480  (END USER CERTIFICATE)                                                                      AUT. ESPORTAZIONE MULTIPLA N. 6B/2025/2M RILASCIATA IL 26/05/2025                        (LICENZA DI SCARICO N. 6B/2025/2S RILASCIATA IL 30/07/2025)</t>
        </is>
      </c>
      <c r="Q1664" s="150" t="n"/>
      <c r="R1664" s="150" t="n"/>
      <c r="S1664" s="153" t="n"/>
    </row>
    <row r="1665" ht="36" customHeight="1">
      <c r="A1665" s="46" t="n">
        <v>3995</v>
      </c>
      <c r="B1665" s="4">
        <f>+VLOOKUP($A1665,MAGAZZINO!$B$2:$M$100000,2,FALSE)</f>
        <v/>
      </c>
      <c r="C1665" s="29">
        <f>+VLOOKUP($A1665,MAGAZZINO!$B$2:$M$100000,3,FALSE)</f>
        <v/>
      </c>
      <c r="D1665" s="3">
        <f>+VLOOKUP($A1665,MAGAZZINO!$B$2:$M$100000,4,FALSE)</f>
        <v/>
      </c>
      <c r="E1665" s="3">
        <f>+VLOOKUP($A1665,MAGAZZINO!$B$2:$M$100000,5,FALSE)</f>
        <v/>
      </c>
      <c r="F1665" s="3">
        <f>+VLOOKUP($A1665,MAGAZZINO!$B$2:$M$100000,6,FALSE)</f>
        <v/>
      </c>
      <c r="G1665" s="3">
        <f>+VLOOKUP($A1665,MAGAZZINO!$B$2:$M$100000,7,FALSE)</f>
        <v/>
      </c>
      <c r="H1665" s="3">
        <f>+VLOOKUP($A1665,MAGAZZINO!$B$2:$M$100000,8,FALSE)</f>
        <v/>
      </c>
      <c r="I1665" s="3">
        <f>+VLOOKUP($A1665,MAGAZZINO!$B$2:$M$100000,9,FALSE)</f>
        <v/>
      </c>
      <c r="J1665" s="3">
        <f>+VLOOKUP($A1665,MAGAZZINO!$B$2:$M$100000,10,FALSE)</f>
        <v/>
      </c>
      <c r="K1665" s="3">
        <f>+VLOOKUP($A1665,MAGAZZINO!$B$2:$M$100000,11,FALSE)</f>
        <v/>
      </c>
      <c r="L1665" s="5">
        <f>+VLOOKUP($A1665,MAGAZZINO!$B$2:$M$100000,12,FALSE)</f>
        <v/>
      </c>
      <c r="M1665" s="47" t="n"/>
      <c r="N1665" s="88" t="n">
        <v>45873</v>
      </c>
      <c r="O1665" s="156" t="inlineStr">
        <is>
          <t>BIN HUMAID NATIONAL TRADING CO. (ARABIA SAUDITA)</t>
        </is>
      </c>
      <c r="P1665" s="152" t="inlineStr">
        <is>
          <t xml:space="preserve">  IMPORT LICENSE N. 182480  (END USER CERTIFICATE)                                                                      AUT. ESPORTAZIONE MULTIPLA N. 6B/2025/2M RILASCIATA IL 26/05/2025                        (LICENZA DI SCARICO N. 6B/2025/2S RILASCIATA IL 30/07/2025)</t>
        </is>
      </c>
      <c r="Q1665" s="150" t="n"/>
      <c r="R1665" s="150" t="n"/>
      <c r="S1665" s="153" t="n"/>
    </row>
    <row r="1666" ht="36" customHeight="1">
      <c r="A1666" s="46" t="n">
        <v>3996</v>
      </c>
      <c r="B1666" s="4">
        <f>+VLOOKUP($A1666,MAGAZZINO!$B$2:$M$100000,2,FALSE)</f>
        <v/>
      </c>
      <c r="C1666" s="29">
        <f>+VLOOKUP($A1666,MAGAZZINO!$B$2:$M$100000,3,FALSE)</f>
        <v/>
      </c>
      <c r="D1666" s="3">
        <f>+VLOOKUP($A1666,MAGAZZINO!$B$2:$M$100000,4,FALSE)</f>
        <v/>
      </c>
      <c r="E1666" s="3">
        <f>+VLOOKUP($A1666,MAGAZZINO!$B$2:$M$100000,5,FALSE)</f>
        <v/>
      </c>
      <c r="F1666" s="3">
        <f>+VLOOKUP($A1666,MAGAZZINO!$B$2:$M$100000,6,FALSE)</f>
        <v/>
      </c>
      <c r="G1666" s="3">
        <f>+VLOOKUP($A1666,MAGAZZINO!$B$2:$M$100000,7,FALSE)</f>
        <v/>
      </c>
      <c r="H1666" s="3">
        <f>+VLOOKUP($A1666,MAGAZZINO!$B$2:$M$100000,8,FALSE)</f>
        <v/>
      </c>
      <c r="I1666" s="3">
        <f>+VLOOKUP($A1666,MAGAZZINO!$B$2:$M$100000,9,FALSE)</f>
        <v/>
      </c>
      <c r="J1666" s="3">
        <f>+VLOOKUP($A1666,MAGAZZINO!$B$2:$M$100000,10,FALSE)</f>
        <v/>
      </c>
      <c r="K1666" s="3">
        <f>+VLOOKUP($A1666,MAGAZZINO!$B$2:$M$100000,11,FALSE)</f>
        <v/>
      </c>
      <c r="L1666" s="5">
        <f>+VLOOKUP($A1666,MAGAZZINO!$B$2:$M$100000,12,FALSE)</f>
        <v/>
      </c>
      <c r="M1666" s="47" t="n"/>
      <c r="N1666" s="88" t="n">
        <v>45873</v>
      </c>
      <c r="O1666" s="156" t="inlineStr">
        <is>
          <t>BIN HUMAID NATIONAL TRADING CO. (ARABIA SAUDITA)</t>
        </is>
      </c>
      <c r="P1666" s="152" t="inlineStr">
        <is>
          <t xml:space="preserve">  IMPORT LICENSE N. 182480  (END USER CERTIFICATE)                                                                      AUT. ESPORTAZIONE MULTIPLA N. 6B/2025/2M RILASCIATA IL 26/05/2025                        (LICENZA DI SCARICO N. 6B/2025/2S RILASCIATA IL 30/07/2025)</t>
        </is>
      </c>
      <c r="Q1666" s="150" t="n"/>
      <c r="R1666" s="150" t="n"/>
      <c r="S1666" s="153" t="n"/>
    </row>
    <row r="1667" ht="36" customHeight="1">
      <c r="A1667" s="46" t="n">
        <v>3997</v>
      </c>
      <c r="B1667" s="4">
        <f>+VLOOKUP($A1667,MAGAZZINO!$B$2:$M$100000,2,FALSE)</f>
        <v/>
      </c>
      <c r="C1667" s="29">
        <f>+VLOOKUP($A1667,MAGAZZINO!$B$2:$M$100000,3,FALSE)</f>
        <v/>
      </c>
      <c r="D1667" s="3">
        <f>+VLOOKUP($A1667,MAGAZZINO!$B$2:$M$100000,4,FALSE)</f>
        <v/>
      </c>
      <c r="E1667" s="3">
        <f>+VLOOKUP($A1667,MAGAZZINO!$B$2:$M$100000,5,FALSE)</f>
        <v/>
      </c>
      <c r="F1667" s="3">
        <f>+VLOOKUP($A1667,MAGAZZINO!$B$2:$M$100000,6,FALSE)</f>
        <v/>
      </c>
      <c r="G1667" s="3">
        <f>+VLOOKUP($A1667,MAGAZZINO!$B$2:$M$100000,7,FALSE)</f>
        <v/>
      </c>
      <c r="H1667" s="3">
        <f>+VLOOKUP($A1667,MAGAZZINO!$B$2:$M$100000,8,FALSE)</f>
        <v/>
      </c>
      <c r="I1667" s="3">
        <f>+VLOOKUP($A1667,MAGAZZINO!$B$2:$M$100000,9,FALSE)</f>
        <v/>
      </c>
      <c r="J1667" s="3">
        <f>+VLOOKUP($A1667,MAGAZZINO!$B$2:$M$100000,10,FALSE)</f>
        <v/>
      </c>
      <c r="K1667" s="3">
        <f>+VLOOKUP($A1667,MAGAZZINO!$B$2:$M$100000,11,FALSE)</f>
        <v/>
      </c>
      <c r="L1667" s="5">
        <f>+VLOOKUP($A1667,MAGAZZINO!$B$2:$M$100000,12,FALSE)</f>
        <v/>
      </c>
      <c r="M1667" s="47" t="n"/>
      <c r="N1667" s="88" t="n">
        <v>45873</v>
      </c>
      <c r="O1667" s="156" t="inlineStr">
        <is>
          <t>BIN HUMAID NATIONAL TRADING CO. (ARABIA SAUDITA)</t>
        </is>
      </c>
      <c r="P1667" s="152" t="inlineStr">
        <is>
          <t xml:space="preserve">  IMPORT LICENSE N. 182480  (END USER CERTIFICATE)                                                                      AUT. ESPORTAZIONE MULTIPLA N. 6B/2025/2M RILASCIATA IL 26/05/2025                        (LICENZA DI SCARICO N. 6B/2025/2S RILASCIATA IL 30/07/2025)</t>
        </is>
      </c>
      <c r="Q1667" s="150" t="n"/>
      <c r="R1667" s="150" t="n"/>
      <c r="S1667" s="153" t="n"/>
    </row>
    <row r="1668" ht="36" customHeight="1">
      <c r="A1668" s="46" t="n">
        <v>3998</v>
      </c>
      <c r="B1668" s="4">
        <f>+VLOOKUP($A1668,MAGAZZINO!$B$2:$M$100000,2,FALSE)</f>
        <v/>
      </c>
      <c r="C1668" s="29">
        <f>+VLOOKUP($A1668,MAGAZZINO!$B$2:$M$100000,3,FALSE)</f>
        <v/>
      </c>
      <c r="D1668" s="3">
        <f>+VLOOKUP($A1668,MAGAZZINO!$B$2:$M$100000,4,FALSE)</f>
        <v/>
      </c>
      <c r="E1668" s="3">
        <f>+VLOOKUP($A1668,MAGAZZINO!$B$2:$M$100000,5,FALSE)</f>
        <v/>
      </c>
      <c r="F1668" s="3">
        <f>+VLOOKUP($A1668,MAGAZZINO!$B$2:$M$100000,6,FALSE)</f>
        <v/>
      </c>
      <c r="G1668" s="3">
        <f>+VLOOKUP($A1668,MAGAZZINO!$B$2:$M$100000,7,FALSE)</f>
        <v/>
      </c>
      <c r="H1668" s="3">
        <f>+VLOOKUP($A1668,MAGAZZINO!$B$2:$M$100000,8,FALSE)</f>
        <v/>
      </c>
      <c r="I1668" s="3">
        <f>+VLOOKUP($A1668,MAGAZZINO!$B$2:$M$100000,9,FALSE)</f>
        <v/>
      </c>
      <c r="J1668" s="3">
        <f>+VLOOKUP($A1668,MAGAZZINO!$B$2:$M$100000,10,FALSE)</f>
        <v/>
      </c>
      <c r="K1668" s="3">
        <f>+VLOOKUP($A1668,MAGAZZINO!$B$2:$M$100000,11,FALSE)</f>
        <v/>
      </c>
      <c r="L1668" s="5">
        <f>+VLOOKUP($A1668,MAGAZZINO!$B$2:$M$100000,12,FALSE)</f>
        <v/>
      </c>
      <c r="M1668" s="47" t="n"/>
      <c r="N1668" s="88" t="n">
        <v>45873</v>
      </c>
      <c r="O1668" s="156" t="inlineStr">
        <is>
          <t>BIN HUMAID NATIONAL TRADING CO. (ARABIA SAUDITA)</t>
        </is>
      </c>
      <c r="P1668" s="152" t="inlineStr">
        <is>
          <t xml:space="preserve">  IMPORT LICENSE N. 182480  (END USER CERTIFICATE)                                                                      AUT. ESPORTAZIONE MULTIPLA N. 6B/2025/2M RILASCIATA IL 26/05/2025                        (LICENZA DI SCARICO N. 6B/2025/2S RILASCIATA IL 30/07/2025)</t>
        </is>
      </c>
      <c r="Q1668" s="150" t="n"/>
      <c r="R1668" s="150" t="n"/>
      <c r="S1668" s="153" t="n"/>
    </row>
    <row r="1669" ht="36" customHeight="1">
      <c r="A1669" s="46" t="n">
        <v>3999</v>
      </c>
      <c r="B1669" s="4">
        <f>+VLOOKUP($A1669,MAGAZZINO!$B$2:$M$100000,2,FALSE)</f>
        <v/>
      </c>
      <c r="C1669" s="29">
        <f>+VLOOKUP($A1669,MAGAZZINO!$B$2:$M$100000,3,FALSE)</f>
        <v/>
      </c>
      <c r="D1669" s="3">
        <f>+VLOOKUP($A1669,MAGAZZINO!$B$2:$M$100000,4,FALSE)</f>
        <v/>
      </c>
      <c r="E1669" s="3">
        <f>+VLOOKUP($A1669,MAGAZZINO!$B$2:$M$100000,5,FALSE)</f>
        <v/>
      </c>
      <c r="F1669" s="3">
        <f>+VLOOKUP($A1669,MAGAZZINO!$B$2:$M$100000,6,FALSE)</f>
        <v/>
      </c>
      <c r="G1669" s="3">
        <f>+VLOOKUP($A1669,MAGAZZINO!$B$2:$M$100000,7,FALSE)</f>
        <v/>
      </c>
      <c r="H1669" s="3">
        <f>+VLOOKUP($A1669,MAGAZZINO!$B$2:$M$100000,8,FALSE)</f>
        <v/>
      </c>
      <c r="I1669" s="3">
        <f>+VLOOKUP($A1669,MAGAZZINO!$B$2:$M$100000,9,FALSE)</f>
        <v/>
      </c>
      <c r="J1669" s="3">
        <f>+VLOOKUP($A1669,MAGAZZINO!$B$2:$M$100000,10,FALSE)</f>
        <v/>
      </c>
      <c r="K1669" s="3">
        <f>+VLOOKUP($A1669,MAGAZZINO!$B$2:$M$100000,11,FALSE)</f>
        <v/>
      </c>
      <c r="L1669" s="5">
        <f>+VLOOKUP($A1669,MAGAZZINO!$B$2:$M$100000,12,FALSE)</f>
        <v/>
      </c>
      <c r="M1669" s="47" t="n"/>
      <c r="N1669" s="88" t="n">
        <v>45873</v>
      </c>
      <c r="O1669" s="156" t="inlineStr">
        <is>
          <t>BIN HUMAID NATIONAL TRADING CO. (ARABIA SAUDITA)</t>
        </is>
      </c>
      <c r="P1669" s="152" t="inlineStr">
        <is>
          <t xml:space="preserve">  IMPORT LICENSE N. 182480  (END USER CERTIFICATE)                                                                      AUT. ESPORTAZIONE MULTIPLA N. 6B/2025/2M RILASCIATA IL 26/05/2025                        (LICENZA DI SCARICO N. 6B/2025/2S RILASCIATA IL 30/07/2025)</t>
        </is>
      </c>
      <c r="Q1669" s="150" t="n"/>
      <c r="R1669" s="150" t="n"/>
      <c r="S1669" s="153" t="n"/>
    </row>
    <row r="1670" ht="36" customHeight="1">
      <c r="A1670" s="46" t="n">
        <v>4000</v>
      </c>
      <c r="B1670" s="4">
        <f>+VLOOKUP($A1670,MAGAZZINO!$B$2:$M$100000,2,FALSE)</f>
        <v/>
      </c>
      <c r="C1670" s="29">
        <f>+VLOOKUP($A1670,MAGAZZINO!$B$2:$M$100000,3,FALSE)</f>
        <v/>
      </c>
      <c r="D1670" s="3">
        <f>+VLOOKUP($A1670,MAGAZZINO!$B$2:$M$100000,4,FALSE)</f>
        <v/>
      </c>
      <c r="E1670" s="3">
        <f>+VLOOKUP($A1670,MAGAZZINO!$B$2:$M$100000,5,FALSE)</f>
        <v/>
      </c>
      <c r="F1670" s="3">
        <f>+VLOOKUP($A1670,MAGAZZINO!$B$2:$M$100000,6,FALSE)</f>
        <v/>
      </c>
      <c r="G1670" s="3">
        <f>+VLOOKUP($A1670,MAGAZZINO!$B$2:$M$100000,7,FALSE)</f>
        <v/>
      </c>
      <c r="H1670" s="3">
        <f>+VLOOKUP($A1670,MAGAZZINO!$B$2:$M$100000,8,FALSE)</f>
        <v/>
      </c>
      <c r="I1670" s="3">
        <f>+VLOOKUP($A1670,MAGAZZINO!$B$2:$M$100000,9,FALSE)</f>
        <v/>
      </c>
      <c r="J1670" s="3">
        <f>+VLOOKUP($A1670,MAGAZZINO!$B$2:$M$100000,10,FALSE)</f>
        <v/>
      </c>
      <c r="K1670" s="3">
        <f>+VLOOKUP($A1670,MAGAZZINO!$B$2:$M$100000,11,FALSE)</f>
        <v/>
      </c>
      <c r="L1670" s="5">
        <f>+VLOOKUP($A1670,MAGAZZINO!$B$2:$M$100000,12,FALSE)</f>
        <v/>
      </c>
      <c r="M1670" s="47" t="n"/>
      <c r="N1670" s="88" t="n">
        <v>45873</v>
      </c>
      <c r="O1670" s="156" t="inlineStr">
        <is>
          <t>BIN HUMAID NATIONAL TRADING CO. (ARABIA SAUDITA)</t>
        </is>
      </c>
      <c r="P1670" s="152" t="inlineStr">
        <is>
          <t xml:space="preserve">  IMPORT LICENSE N. 182480  (END USER CERTIFICATE)                                                                      AUT. ESPORTAZIONE MULTIPLA N. 6B/2025/2M RILASCIATA IL 26/05/2025                        (LICENZA DI SCARICO N. 6B/2025/2S RILASCIATA IL 30/07/2025)</t>
        </is>
      </c>
      <c r="Q1670" s="150" t="n"/>
      <c r="R1670" s="150" t="n"/>
      <c r="S1670" s="153" t="n"/>
    </row>
    <row r="1671" ht="36" customHeight="1">
      <c r="A1671" s="46" t="n">
        <v>4001</v>
      </c>
      <c r="B1671" s="4">
        <f>+VLOOKUP($A1671,MAGAZZINO!$B$2:$M$100000,2,FALSE)</f>
        <v/>
      </c>
      <c r="C1671" s="29">
        <f>+VLOOKUP($A1671,MAGAZZINO!$B$2:$M$100000,3,FALSE)</f>
        <v/>
      </c>
      <c r="D1671" s="3">
        <f>+VLOOKUP($A1671,MAGAZZINO!$B$2:$M$100000,4,FALSE)</f>
        <v/>
      </c>
      <c r="E1671" s="3">
        <f>+VLOOKUP($A1671,MAGAZZINO!$B$2:$M$100000,5,FALSE)</f>
        <v/>
      </c>
      <c r="F1671" s="3">
        <f>+VLOOKUP($A1671,MAGAZZINO!$B$2:$M$100000,6,FALSE)</f>
        <v/>
      </c>
      <c r="G1671" s="3">
        <f>+VLOOKUP($A1671,MAGAZZINO!$B$2:$M$100000,7,FALSE)</f>
        <v/>
      </c>
      <c r="H1671" s="3">
        <f>+VLOOKUP($A1671,MAGAZZINO!$B$2:$M$100000,8,FALSE)</f>
        <v/>
      </c>
      <c r="I1671" s="3">
        <f>+VLOOKUP($A1671,MAGAZZINO!$B$2:$M$100000,9,FALSE)</f>
        <v/>
      </c>
      <c r="J1671" s="3">
        <f>+VLOOKUP($A1671,MAGAZZINO!$B$2:$M$100000,10,FALSE)</f>
        <v/>
      </c>
      <c r="K1671" s="3">
        <f>+VLOOKUP($A1671,MAGAZZINO!$B$2:$M$100000,11,FALSE)</f>
        <v/>
      </c>
      <c r="L1671" s="5">
        <f>+VLOOKUP($A1671,MAGAZZINO!$B$2:$M$100000,12,FALSE)</f>
        <v/>
      </c>
      <c r="M1671" s="47" t="n"/>
      <c r="N1671" s="88" t="n">
        <v>45873</v>
      </c>
      <c r="O1671" s="156" t="inlineStr">
        <is>
          <t>BIN HUMAID NATIONAL TRADING CO. (ARABIA SAUDITA)</t>
        </is>
      </c>
      <c r="P1671" s="152" t="inlineStr">
        <is>
          <t xml:space="preserve">  IMPORT LICENSE N. 182480  (END USER CERTIFICATE)                                                                      AUT. ESPORTAZIONE MULTIPLA N. 6B/2025/2M RILASCIATA IL 26/05/2025                        (LICENZA DI SCARICO N. 6B/2025/2S RILASCIATA IL 30/07/2025)</t>
        </is>
      </c>
      <c r="Q1671" s="150" t="n"/>
      <c r="R1671" s="150" t="n"/>
      <c r="S1671" s="153" t="n"/>
    </row>
    <row r="1672" ht="36" customHeight="1">
      <c r="A1672" s="46" t="n">
        <v>4002</v>
      </c>
      <c r="B1672" s="4">
        <f>+VLOOKUP($A1672,MAGAZZINO!$B$2:$M$100000,2,FALSE)</f>
        <v/>
      </c>
      <c r="C1672" s="29">
        <f>+VLOOKUP($A1672,MAGAZZINO!$B$2:$M$100000,3,FALSE)</f>
        <v/>
      </c>
      <c r="D1672" s="3">
        <f>+VLOOKUP($A1672,MAGAZZINO!$B$2:$M$100000,4,FALSE)</f>
        <v/>
      </c>
      <c r="E1672" s="3">
        <f>+VLOOKUP($A1672,MAGAZZINO!$B$2:$M$100000,5,FALSE)</f>
        <v/>
      </c>
      <c r="F1672" s="3">
        <f>+VLOOKUP($A1672,MAGAZZINO!$B$2:$M$100000,6,FALSE)</f>
        <v/>
      </c>
      <c r="G1672" s="3">
        <f>+VLOOKUP($A1672,MAGAZZINO!$B$2:$M$100000,7,FALSE)</f>
        <v/>
      </c>
      <c r="H1672" s="3">
        <f>+VLOOKUP($A1672,MAGAZZINO!$B$2:$M$100000,8,FALSE)</f>
        <v/>
      </c>
      <c r="I1672" s="3">
        <f>+VLOOKUP($A1672,MAGAZZINO!$B$2:$M$100000,9,FALSE)</f>
        <v/>
      </c>
      <c r="J1672" s="3">
        <f>+VLOOKUP($A1672,MAGAZZINO!$B$2:$M$100000,10,FALSE)</f>
        <v/>
      </c>
      <c r="K1672" s="3">
        <f>+VLOOKUP($A1672,MAGAZZINO!$B$2:$M$100000,11,FALSE)</f>
        <v/>
      </c>
      <c r="L1672" s="5">
        <f>+VLOOKUP($A1672,MAGAZZINO!$B$2:$M$100000,12,FALSE)</f>
        <v/>
      </c>
      <c r="M1672" s="47" t="n"/>
      <c r="N1672" s="88" t="n">
        <v>45873</v>
      </c>
      <c r="O1672" s="156" t="inlineStr">
        <is>
          <t>BIN HUMAID NATIONAL TRADING CO. (ARABIA SAUDITA)</t>
        </is>
      </c>
      <c r="P1672" s="152" t="inlineStr">
        <is>
          <t xml:space="preserve">  IMPORT LICENSE N. 182480  (END USER CERTIFICATE)                                                                      AUT. ESPORTAZIONE MULTIPLA N. 6B/2025/2M RILASCIATA IL 26/05/2025                        (LICENZA DI SCARICO N. 6B/2025/2S RILASCIATA IL 30/07/2025)</t>
        </is>
      </c>
      <c r="Q1672" s="150" t="n"/>
      <c r="R1672" s="150" t="n"/>
      <c r="S1672" s="153" t="n"/>
    </row>
    <row r="1673" ht="36" customHeight="1">
      <c r="A1673" s="46" t="n">
        <v>4003</v>
      </c>
      <c r="B1673" s="4">
        <f>+VLOOKUP($A1673,MAGAZZINO!$B$2:$M$100000,2,FALSE)</f>
        <v/>
      </c>
      <c r="C1673" s="29">
        <f>+VLOOKUP($A1673,MAGAZZINO!$B$2:$M$100000,3,FALSE)</f>
        <v/>
      </c>
      <c r="D1673" s="3">
        <f>+VLOOKUP($A1673,MAGAZZINO!$B$2:$M$100000,4,FALSE)</f>
        <v/>
      </c>
      <c r="E1673" s="3">
        <f>+VLOOKUP($A1673,MAGAZZINO!$B$2:$M$100000,5,FALSE)</f>
        <v/>
      </c>
      <c r="F1673" s="3">
        <f>+VLOOKUP($A1673,MAGAZZINO!$B$2:$M$100000,6,FALSE)</f>
        <v/>
      </c>
      <c r="G1673" s="3">
        <f>+VLOOKUP($A1673,MAGAZZINO!$B$2:$M$100000,7,FALSE)</f>
        <v/>
      </c>
      <c r="H1673" s="3">
        <f>+VLOOKUP($A1673,MAGAZZINO!$B$2:$M$100000,8,FALSE)</f>
        <v/>
      </c>
      <c r="I1673" s="3">
        <f>+VLOOKUP($A1673,MAGAZZINO!$B$2:$M$100000,9,FALSE)</f>
        <v/>
      </c>
      <c r="J1673" s="3">
        <f>+VLOOKUP($A1673,MAGAZZINO!$B$2:$M$100000,10,FALSE)</f>
        <v/>
      </c>
      <c r="K1673" s="3">
        <f>+VLOOKUP($A1673,MAGAZZINO!$B$2:$M$100000,11,FALSE)</f>
        <v/>
      </c>
      <c r="L1673" s="5">
        <f>+VLOOKUP($A1673,MAGAZZINO!$B$2:$M$100000,12,FALSE)</f>
        <v/>
      </c>
      <c r="M1673" s="47" t="n"/>
      <c r="N1673" s="88" t="n">
        <v>45873</v>
      </c>
      <c r="O1673" s="156" t="inlineStr">
        <is>
          <t>BIN HUMAID NATIONAL TRADING CO. (ARABIA SAUDITA)</t>
        </is>
      </c>
      <c r="P1673" s="152" t="inlineStr">
        <is>
          <t xml:space="preserve">  IMPORT LICENSE N. 182480  (END USER CERTIFICATE)                                                                      AUT. ESPORTAZIONE MULTIPLA N. 6B/2025/2M RILASCIATA IL 26/05/2025                        (LICENZA DI SCARICO N. 6B/2025/2S RILASCIATA IL 30/07/2025)</t>
        </is>
      </c>
      <c r="Q1673" s="150" t="n"/>
      <c r="R1673" s="150" t="n"/>
      <c r="S1673" s="153" t="n"/>
    </row>
    <row r="1674" ht="36" customHeight="1">
      <c r="A1674" s="46" t="n">
        <v>4004</v>
      </c>
      <c r="B1674" s="4">
        <f>+VLOOKUP($A1674,MAGAZZINO!$B$2:$M$100000,2,FALSE)</f>
        <v/>
      </c>
      <c r="C1674" s="29">
        <f>+VLOOKUP($A1674,MAGAZZINO!$B$2:$M$100000,3,FALSE)</f>
        <v/>
      </c>
      <c r="D1674" s="3">
        <f>+VLOOKUP($A1674,MAGAZZINO!$B$2:$M$100000,4,FALSE)</f>
        <v/>
      </c>
      <c r="E1674" s="3">
        <f>+VLOOKUP($A1674,MAGAZZINO!$B$2:$M$100000,5,FALSE)</f>
        <v/>
      </c>
      <c r="F1674" s="3">
        <f>+VLOOKUP($A1674,MAGAZZINO!$B$2:$M$100000,6,FALSE)</f>
        <v/>
      </c>
      <c r="G1674" s="3">
        <f>+VLOOKUP($A1674,MAGAZZINO!$B$2:$M$100000,7,FALSE)</f>
        <v/>
      </c>
      <c r="H1674" s="3">
        <f>+VLOOKUP($A1674,MAGAZZINO!$B$2:$M$100000,8,FALSE)</f>
        <v/>
      </c>
      <c r="I1674" s="3">
        <f>+VLOOKUP($A1674,MAGAZZINO!$B$2:$M$100000,9,FALSE)</f>
        <v/>
      </c>
      <c r="J1674" s="3">
        <f>+VLOOKUP($A1674,MAGAZZINO!$B$2:$M$100000,10,FALSE)</f>
        <v/>
      </c>
      <c r="K1674" s="3">
        <f>+VLOOKUP($A1674,MAGAZZINO!$B$2:$M$100000,11,FALSE)</f>
        <v/>
      </c>
      <c r="L1674" s="5">
        <f>+VLOOKUP($A1674,MAGAZZINO!$B$2:$M$100000,12,FALSE)</f>
        <v/>
      </c>
      <c r="M1674" s="47" t="n"/>
      <c r="N1674" s="88" t="n">
        <v>45873</v>
      </c>
      <c r="O1674" s="156" t="inlineStr">
        <is>
          <t>BIN HUMAID NATIONAL TRADING CO. (ARABIA SAUDITA)</t>
        </is>
      </c>
      <c r="P1674" s="152" t="inlineStr">
        <is>
          <t xml:space="preserve">  IMPORT LICENSE N. 182480  (END USER CERTIFICATE)                                                                      AUT. ESPORTAZIONE MULTIPLA N. 6B/2025/2M RILASCIATA IL 26/05/2025                        (LICENZA DI SCARICO N. 6B/2025/2S RILASCIATA IL 30/07/2025)</t>
        </is>
      </c>
      <c r="Q1674" s="150" t="n"/>
      <c r="R1674" s="150" t="n"/>
      <c r="S1674" s="153" t="n"/>
    </row>
    <row r="1675" ht="36" customHeight="1">
      <c r="A1675" s="46" t="n">
        <v>4005</v>
      </c>
      <c r="B1675" s="4">
        <f>+VLOOKUP($A1675,MAGAZZINO!$B$2:$M$100000,2,FALSE)</f>
        <v/>
      </c>
      <c r="C1675" s="29">
        <f>+VLOOKUP($A1675,MAGAZZINO!$B$2:$M$100000,3,FALSE)</f>
        <v/>
      </c>
      <c r="D1675" s="3">
        <f>+VLOOKUP($A1675,MAGAZZINO!$B$2:$M$100000,4,FALSE)</f>
        <v/>
      </c>
      <c r="E1675" s="3">
        <f>+VLOOKUP($A1675,MAGAZZINO!$B$2:$M$100000,5,FALSE)</f>
        <v/>
      </c>
      <c r="F1675" s="3">
        <f>+VLOOKUP($A1675,MAGAZZINO!$B$2:$M$100000,6,FALSE)</f>
        <v/>
      </c>
      <c r="G1675" s="3">
        <f>+VLOOKUP($A1675,MAGAZZINO!$B$2:$M$100000,7,FALSE)</f>
        <v/>
      </c>
      <c r="H1675" s="3">
        <f>+VLOOKUP($A1675,MAGAZZINO!$B$2:$M$100000,8,FALSE)</f>
        <v/>
      </c>
      <c r="I1675" s="3">
        <f>+VLOOKUP($A1675,MAGAZZINO!$B$2:$M$100000,9,FALSE)</f>
        <v/>
      </c>
      <c r="J1675" s="3">
        <f>+VLOOKUP($A1675,MAGAZZINO!$B$2:$M$100000,10,FALSE)</f>
        <v/>
      </c>
      <c r="K1675" s="3">
        <f>+VLOOKUP($A1675,MAGAZZINO!$B$2:$M$100000,11,FALSE)</f>
        <v/>
      </c>
      <c r="L1675" s="5">
        <f>+VLOOKUP($A1675,MAGAZZINO!$B$2:$M$100000,12,FALSE)</f>
        <v/>
      </c>
      <c r="M1675" s="47" t="n"/>
      <c r="N1675" s="88" t="n">
        <v>45873</v>
      </c>
      <c r="O1675" s="156" t="inlineStr">
        <is>
          <t>BIN HUMAID NATIONAL TRADING CO. (ARABIA SAUDITA)</t>
        </is>
      </c>
      <c r="P1675" s="152" t="inlineStr">
        <is>
          <t xml:space="preserve">  IMPORT LICENSE N. 182480  (END USER CERTIFICATE)                                                                      AUT. ESPORTAZIONE MULTIPLA N. 6B/2025/2M RILASCIATA IL 26/05/2025                        (LICENZA DI SCARICO N. 6B/2025/2S RILASCIATA IL 30/07/2025)</t>
        </is>
      </c>
      <c r="Q1675" s="150" t="n"/>
      <c r="R1675" s="150" t="n"/>
      <c r="S1675" s="153" t="n"/>
    </row>
    <row r="1676" ht="36" customHeight="1">
      <c r="A1676" s="46" t="n">
        <v>4006</v>
      </c>
      <c r="B1676" s="4">
        <f>+VLOOKUP($A1676,MAGAZZINO!$B$2:$M$100000,2,FALSE)</f>
        <v/>
      </c>
      <c r="C1676" s="29">
        <f>+VLOOKUP($A1676,MAGAZZINO!$B$2:$M$100000,3,FALSE)</f>
        <v/>
      </c>
      <c r="D1676" s="3">
        <f>+VLOOKUP($A1676,MAGAZZINO!$B$2:$M$100000,4,FALSE)</f>
        <v/>
      </c>
      <c r="E1676" s="3">
        <f>+VLOOKUP($A1676,MAGAZZINO!$B$2:$M$100000,5,FALSE)</f>
        <v/>
      </c>
      <c r="F1676" s="3">
        <f>+VLOOKUP($A1676,MAGAZZINO!$B$2:$M$100000,6,FALSE)</f>
        <v/>
      </c>
      <c r="G1676" s="3">
        <f>+VLOOKUP($A1676,MAGAZZINO!$B$2:$M$100000,7,FALSE)</f>
        <v/>
      </c>
      <c r="H1676" s="3">
        <f>+VLOOKUP($A1676,MAGAZZINO!$B$2:$M$100000,8,FALSE)</f>
        <v/>
      </c>
      <c r="I1676" s="3">
        <f>+VLOOKUP($A1676,MAGAZZINO!$B$2:$M$100000,9,FALSE)</f>
        <v/>
      </c>
      <c r="J1676" s="3">
        <f>+VLOOKUP($A1676,MAGAZZINO!$B$2:$M$100000,10,FALSE)</f>
        <v/>
      </c>
      <c r="K1676" s="3">
        <f>+VLOOKUP($A1676,MAGAZZINO!$B$2:$M$100000,11,FALSE)</f>
        <v/>
      </c>
      <c r="L1676" s="5">
        <f>+VLOOKUP($A1676,MAGAZZINO!$B$2:$M$100000,12,FALSE)</f>
        <v/>
      </c>
      <c r="M1676" s="47" t="n"/>
      <c r="N1676" s="88" t="n">
        <v>45873</v>
      </c>
      <c r="O1676" s="156" t="inlineStr">
        <is>
          <t>BIN HUMAID NATIONAL TRADING CO. (ARABIA SAUDITA)</t>
        </is>
      </c>
      <c r="P1676" s="152" t="inlineStr">
        <is>
          <t xml:space="preserve">  IMPORT LICENSE N. 182480  (END USER CERTIFICATE)                                                                      AUT. ESPORTAZIONE MULTIPLA N. 6B/2025/2M RILASCIATA IL 26/05/2025                        (LICENZA DI SCARICO N. 6B/2025/2S RILASCIATA IL 30/07/2025)</t>
        </is>
      </c>
      <c r="Q1676" s="150" t="n"/>
      <c r="R1676" s="150" t="n"/>
      <c r="S1676" s="153" t="n"/>
    </row>
    <row r="1677" ht="36" customHeight="1">
      <c r="A1677" s="46" t="n">
        <v>4007</v>
      </c>
      <c r="B1677" s="4">
        <f>+VLOOKUP($A1677,MAGAZZINO!$B$2:$M$100000,2,FALSE)</f>
        <v/>
      </c>
      <c r="C1677" s="29">
        <f>+VLOOKUP($A1677,MAGAZZINO!$B$2:$M$100000,3,FALSE)</f>
        <v/>
      </c>
      <c r="D1677" s="3">
        <f>+VLOOKUP($A1677,MAGAZZINO!$B$2:$M$100000,4,FALSE)</f>
        <v/>
      </c>
      <c r="E1677" s="3">
        <f>+VLOOKUP($A1677,MAGAZZINO!$B$2:$M$100000,5,FALSE)</f>
        <v/>
      </c>
      <c r="F1677" s="3">
        <f>+VLOOKUP($A1677,MAGAZZINO!$B$2:$M$100000,6,FALSE)</f>
        <v/>
      </c>
      <c r="G1677" s="3">
        <f>+VLOOKUP($A1677,MAGAZZINO!$B$2:$M$100000,7,FALSE)</f>
        <v/>
      </c>
      <c r="H1677" s="3">
        <f>+VLOOKUP($A1677,MAGAZZINO!$B$2:$M$100000,8,FALSE)</f>
        <v/>
      </c>
      <c r="I1677" s="3">
        <f>+VLOOKUP($A1677,MAGAZZINO!$B$2:$M$100000,9,FALSE)</f>
        <v/>
      </c>
      <c r="J1677" s="3">
        <f>+VLOOKUP($A1677,MAGAZZINO!$B$2:$M$100000,10,FALSE)</f>
        <v/>
      </c>
      <c r="K1677" s="3">
        <f>+VLOOKUP($A1677,MAGAZZINO!$B$2:$M$100000,11,FALSE)</f>
        <v/>
      </c>
      <c r="L1677" s="5">
        <f>+VLOOKUP($A1677,MAGAZZINO!$B$2:$M$100000,12,FALSE)</f>
        <v/>
      </c>
      <c r="M1677" s="47" t="n"/>
      <c r="N1677" s="88" t="n">
        <v>45873</v>
      </c>
      <c r="O1677" s="156" t="inlineStr">
        <is>
          <t>BIN HUMAID NATIONAL TRADING CO. (ARABIA SAUDITA)</t>
        </is>
      </c>
      <c r="P1677" s="152" t="inlineStr">
        <is>
          <t xml:space="preserve">  IMPORT LICENSE N. 182480  (END USER CERTIFICATE)                                                                      AUT. ESPORTAZIONE MULTIPLA N. 6B/2025/2M RILASCIATA IL 26/05/2025                        (LICENZA DI SCARICO N. 6B/2025/2S RILASCIATA IL 30/07/2025)</t>
        </is>
      </c>
      <c r="Q1677" s="150" t="n"/>
      <c r="R1677" s="150" t="n"/>
      <c r="S1677" s="153" t="n"/>
    </row>
    <row r="1678" ht="36" customHeight="1">
      <c r="A1678" s="46" t="n">
        <v>4008</v>
      </c>
      <c r="B1678" s="4">
        <f>+VLOOKUP($A1678,MAGAZZINO!$B$2:$M$100000,2,FALSE)</f>
        <v/>
      </c>
      <c r="C1678" s="29">
        <f>+VLOOKUP($A1678,MAGAZZINO!$B$2:$M$100000,3,FALSE)</f>
        <v/>
      </c>
      <c r="D1678" s="3">
        <f>+VLOOKUP($A1678,MAGAZZINO!$B$2:$M$100000,4,FALSE)</f>
        <v/>
      </c>
      <c r="E1678" s="3">
        <f>+VLOOKUP($A1678,MAGAZZINO!$B$2:$M$100000,5,FALSE)</f>
        <v/>
      </c>
      <c r="F1678" s="3">
        <f>+VLOOKUP($A1678,MAGAZZINO!$B$2:$M$100000,6,FALSE)</f>
        <v/>
      </c>
      <c r="G1678" s="3">
        <f>+VLOOKUP($A1678,MAGAZZINO!$B$2:$M$100000,7,FALSE)</f>
        <v/>
      </c>
      <c r="H1678" s="3">
        <f>+VLOOKUP($A1678,MAGAZZINO!$B$2:$M$100000,8,FALSE)</f>
        <v/>
      </c>
      <c r="I1678" s="3">
        <f>+VLOOKUP($A1678,MAGAZZINO!$B$2:$M$100000,9,FALSE)</f>
        <v/>
      </c>
      <c r="J1678" s="3">
        <f>+VLOOKUP($A1678,MAGAZZINO!$B$2:$M$100000,10,FALSE)</f>
        <v/>
      </c>
      <c r="K1678" s="3">
        <f>+VLOOKUP($A1678,MAGAZZINO!$B$2:$M$100000,11,FALSE)</f>
        <v/>
      </c>
      <c r="L1678" s="5">
        <f>+VLOOKUP($A1678,MAGAZZINO!$B$2:$M$100000,12,FALSE)</f>
        <v/>
      </c>
      <c r="M1678" s="47" t="n"/>
      <c r="N1678" s="88" t="n">
        <v>45873</v>
      </c>
      <c r="O1678" s="156" t="inlineStr">
        <is>
          <t>BIN HUMAID NATIONAL TRADING CO. (ARABIA SAUDITA)</t>
        </is>
      </c>
      <c r="P1678" s="152" t="inlineStr">
        <is>
          <t xml:space="preserve">  IMPORT LICENSE N. 182480  (END USER CERTIFICATE)                                                                      AUT. ESPORTAZIONE MULTIPLA N. 6B/2025/2M RILASCIATA IL 26/05/2025                        (LICENZA DI SCARICO N. 6B/2025/2S RILASCIATA IL 30/07/2025)</t>
        </is>
      </c>
      <c r="Q1678" s="150" t="n"/>
      <c r="R1678" s="150" t="n"/>
      <c r="S1678" s="153" t="n"/>
    </row>
    <row r="1679" ht="36" customHeight="1">
      <c r="A1679" s="46" t="n">
        <v>4009</v>
      </c>
      <c r="B1679" s="4">
        <f>+VLOOKUP($A1679,MAGAZZINO!$B$2:$M$100000,2,FALSE)</f>
        <v/>
      </c>
      <c r="C1679" s="29">
        <f>+VLOOKUP($A1679,MAGAZZINO!$B$2:$M$100000,3,FALSE)</f>
        <v/>
      </c>
      <c r="D1679" s="3">
        <f>+VLOOKUP($A1679,MAGAZZINO!$B$2:$M$100000,4,FALSE)</f>
        <v/>
      </c>
      <c r="E1679" s="3">
        <f>+VLOOKUP($A1679,MAGAZZINO!$B$2:$M$100000,5,FALSE)</f>
        <v/>
      </c>
      <c r="F1679" s="3">
        <f>+VLOOKUP($A1679,MAGAZZINO!$B$2:$M$100000,6,FALSE)</f>
        <v/>
      </c>
      <c r="G1679" s="3">
        <f>+VLOOKUP($A1679,MAGAZZINO!$B$2:$M$100000,7,FALSE)</f>
        <v/>
      </c>
      <c r="H1679" s="3">
        <f>+VLOOKUP($A1679,MAGAZZINO!$B$2:$M$100000,8,FALSE)</f>
        <v/>
      </c>
      <c r="I1679" s="3">
        <f>+VLOOKUP($A1679,MAGAZZINO!$B$2:$M$100000,9,FALSE)</f>
        <v/>
      </c>
      <c r="J1679" s="3">
        <f>+VLOOKUP($A1679,MAGAZZINO!$B$2:$M$100000,10,FALSE)</f>
        <v/>
      </c>
      <c r="K1679" s="3">
        <f>+VLOOKUP($A1679,MAGAZZINO!$B$2:$M$100000,11,FALSE)</f>
        <v/>
      </c>
      <c r="L1679" s="5">
        <f>+VLOOKUP($A1679,MAGAZZINO!$B$2:$M$100000,12,FALSE)</f>
        <v/>
      </c>
      <c r="M1679" s="47" t="n"/>
      <c r="N1679" s="88" t="n">
        <v>45873</v>
      </c>
      <c r="O1679" s="156" t="inlineStr">
        <is>
          <t>BIN HUMAID NATIONAL TRADING CO. (ARABIA SAUDITA)</t>
        </is>
      </c>
      <c r="P1679" s="152" t="inlineStr">
        <is>
          <t xml:space="preserve">  IMPORT LICENSE N. 182480  (END USER CERTIFICATE)                                                                      AUT. ESPORTAZIONE MULTIPLA N. 6B/2025/2M RILASCIATA IL 26/05/2025                        (LICENZA DI SCARICO N. 6B/2025/2S RILASCIATA IL 30/07/2025)</t>
        </is>
      </c>
      <c r="Q1679" s="150" t="n"/>
      <c r="R1679" s="150" t="n"/>
      <c r="S1679" s="153" t="n"/>
    </row>
    <row r="1680" ht="36" customHeight="1">
      <c r="A1680" s="46" t="n">
        <v>4010</v>
      </c>
      <c r="B1680" s="4">
        <f>+VLOOKUP($A1680,MAGAZZINO!$B$2:$M$100000,2,FALSE)</f>
        <v/>
      </c>
      <c r="C1680" s="29">
        <f>+VLOOKUP($A1680,MAGAZZINO!$B$2:$M$100000,3,FALSE)</f>
        <v/>
      </c>
      <c r="D1680" s="3">
        <f>+VLOOKUP($A1680,MAGAZZINO!$B$2:$M$100000,4,FALSE)</f>
        <v/>
      </c>
      <c r="E1680" s="3">
        <f>+VLOOKUP($A1680,MAGAZZINO!$B$2:$M$100000,5,FALSE)</f>
        <v/>
      </c>
      <c r="F1680" s="3">
        <f>+VLOOKUP($A1680,MAGAZZINO!$B$2:$M$100000,6,FALSE)</f>
        <v/>
      </c>
      <c r="G1680" s="3">
        <f>+VLOOKUP($A1680,MAGAZZINO!$B$2:$M$100000,7,FALSE)</f>
        <v/>
      </c>
      <c r="H1680" s="3">
        <f>+VLOOKUP($A1680,MAGAZZINO!$B$2:$M$100000,8,FALSE)</f>
        <v/>
      </c>
      <c r="I1680" s="3">
        <f>+VLOOKUP($A1680,MAGAZZINO!$B$2:$M$100000,9,FALSE)</f>
        <v/>
      </c>
      <c r="J1680" s="3">
        <f>+VLOOKUP($A1680,MAGAZZINO!$B$2:$M$100000,10,FALSE)</f>
        <v/>
      </c>
      <c r="K1680" s="3">
        <f>+VLOOKUP($A1680,MAGAZZINO!$B$2:$M$100000,11,FALSE)</f>
        <v/>
      </c>
      <c r="L1680" s="5">
        <f>+VLOOKUP($A1680,MAGAZZINO!$B$2:$M$100000,12,FALSE)</f>
        <v/>
      </c>
      <c r="M1680" s="47" t="n"/>
      <c r="N1680" s="88" t="n">
        <v>45873</v>
      </c>
      <c r="O1680" s="156" t="inlineStr">
        <is>
          <t>BIN HUMAID NATIONAL TRADING CO. (ARABIA SAUDITA)</t>
        </is>
      </c>
      <c r="P1680" s="152" t="inlineStr">
        <is>
          <t xml:space="preserve">  IMPORT LICENSE N. 182480  (END USER CERTIFICATE)                                                                      AUT. ESPORTAZIONE MULTIPLA N. 6B/2025/2M RILASCIATA IL 26/05/2025                        (LICENZA DI SCARICO N. 6B/2025/2S RILASCIATA IL 30/07/2025)</t>
        </is>
      </c>
      <c r="Q1680" s="150" t="n"/>
      <c r="R1680" s="150" t="n"/>
      <c r="S1680" s="153" t="n"/>
    </row>
    <row r="1681" ht="36" customHeight="1">
      <c r="A1681" s="46" t="n">
        <v>4011</v>
      </c>
      <c r="B1681" s="4">
        <f>+VLOOKUP($A1681,MAGAZZINO!$B$2:$M$100000,2,FALSE)</f>
        <v/>
      </c>
      <c r="C1681" s="29">
        <f>+VLOOKUP($A1681,MAGAZZINO!$B$2:$M$100000,3,FALSE)</f>
        <v/>
      </c>
      <c r="D1681" s="3">
        <f>+VLOOKUP($A1681,MAGAZZINO!$B$2:$M$100000,4,FALSE)</f>
        <v/>
      </c>
      <c r="E1681" s="3">
        <f>+VLOOKUP($A1681,MAGAZZINO!$B$2:$M$100000,5,FALSE)</f>
        <v/>
      </c>
      <c r="F1681" s="3">
        <f>+VLOOKUP($A1681,MAGAZZINO!$B$2:$M$100000,6,FALSE)</f>
        <v/>
      </c>
      <c r="G1681" s="3">
        <f>+VLOOKUP($A1681,MAGAZZINO!$B$2:$M$100000,7,FALSE)</f>
        <v/>
      </c>
      <c r="H1681" s="3">
        <f>+VLOOKUP($A1681,MAGAZZINO!$B$2:$M$100000,8,FALSE)</f>
        <v/>
      </c>
      <c r="I1681" s="3">
        <f>+VLOOKUP($A1681,MAGAZZINO!$B$2:$M$100000,9,FALSE)</f>
        <v/>
      </c>
      <c r="J1681" s="3">
        <f>+VLOOKUP($A1681,MAGAZZINO!$B$2:$M$100000,10,FALSE)</f>
        <v/>
      </c>
      <c r="K1681" s="3">
        <f>+VLOOKUP($A1681,MAGAZZINO!$B$2:$M$100000,11,FALSE)</f>
        <v/>
      </c>
      <c r="L1681" s="5">
        <f>+VLOOKUP($A1681,MAGAZZINO!$B$2:$M$100000,12,FALSE)</f>
        <v/>
      </c>
      <c r="M1681" s="47" t="n"/>
      <c r="N1681" s="88" t="n">
        <v>45873</v>
      </c>
      <c r="O1681" s="156" t="inlineStr">
        <is>
          <t>BIN HUMAID NATIONAL TRADING CO. (ARABIA SAUDITA)</t>
        </is>
      </c>
      <c r="P1681" s="152" t="inlineStr">
        <is>
          <t xml:space="preserve">  IMPORT LICENSE N. 182480  (END USER CERTIFICATE)                                                                      AUT. ESPORTAZIONE MULTIPLA N. 6B/2025/2M RILASCIATA IL 26/05/2025                        (LICENZA DI SCARICO N. 6B/2025/2S RILASCIATA IL 30/07/2025)</t>
        </is>
      </c>
      <c r="Q1681" s="150" t="n"/>
      <c r="R1681" s="150" t="n"/>
      <c r="S1681" s="153" t="n"/>
    </row>
    <row r="1682" ht="36" customHeight="1">
      <c r="A1682" s="46" t="n">
        <v>4012</v>
      </c>
      <c r="B1682" s="4">
        <f>+VLOOKUP($A1682,MAGAZZINO!$B$2:$M$100000,2,FALSE)</f>
        <v/>
      </c>
      <c r="C1682" s="29">
        <f>+VLOOKUP($A1682,MAGAZZINO!$B$2:$M$100000,3,FALSE)</f>
        <v/>
      </c>
      <c r="D1682" s="3">
        <f>+VLOOKUP($A1682,MAGAZZINO!$B$2:$M$100000,4,FALSE)</f>
        <v/>
      </c>
      <c r="E1682" s="3">
        <f>+VLOOKUP($A1682,MAGAZZINO!$B$2:$M$100000,5,FALSE)</f>
        <v/>
      </c>
      <c r="F1682" s="3">
        <f>+VLOOKUP($A1682,MAGAZZINO!$B$2:$M$100000,6,FALSE)</f>
        <v/>
      </c>
      <c r="G1682" s="3">
        <f>+VLOOKUP($A1682,MAGAZZINO!$B$2:$M$100000,7,FALSE)</f>
        <v/>
      </c>
      <c r="H1682" s="3">
        <f>+VLOOKUP($A1682,MAGAZZINO!$B$2:$M$100000,8,FALSE)</f>
        <v/>
      </c>
      <c r="I1682" s="3">
        <f>+VLOOKUP($A1682,MAGAZZINO!$B$2:$M$100000,9,FALSE)</f>
        <v/>
      </c>
      <c r="J1682" s="3">
        <f>+VLOOKUP($A1682,MAGAZZINO!$B$2:$M$100000,10,FALSE)</f>
        <v/>
      </c>
      <c r="K1682" s="3">
        <f>+VLOOKUP($A1682,MAGAZZINO!$B$2:$M$100000,11,FALSE)</f>
        <v/>
      </c>
      <c r="L1682" s="5">
        <f>+VLOOKUP($A1682,MAGAZZINO!$B$2:$M$100000,12,FALSE)</f>
        <v/>
      </c>
      <c r="M1682" s="47" t="n"/>
      <c r="N1682" s="88" t="n">
        <v>45873</v>
      </c>
      <c r="O1682" s="156" t="inlineStr">
        <is>
          <t>BIN HUMAID NATIONAL TRADING CO. (ARABIA SAUDITA)</t>
        </is>
      </c>
      <c r="P1682" s="152" t="inlineStr">
        <is>
          <t xml:space="preserve">  IMPORT LICENSE N. 182480  (END USER CERTIFICATE)                                                                      AUT. ESPORTAZIONE MULTIPLA N. 6B/2025/2M RILASCIATA IL 26/05/2025                        (LICENZA DI SCARICO N. 6B/2025/2S RILASCIATA IL 30/07/2025)</t>
        </is>
      </c>
      <c r="Q1682" s="150" t="n"/>
      <c r="R1682" s="150" t="n"/>
      <c r="S1682" s="153" t="n"/>
    </row>
    <row r="1683" ht="36" customHeight="1">
      <c r="A1683" s="46" t="n">
        <v>4013</v>
      </c>
      <c r="B1683" s="4">
        <f>+VLOOKUP($A1683,MAGAZZINO!$B$2:$M$100000,2,FALSE)</f>
        <v/>
      </c>
      <c r="C1683" s="29">
        <f>+VLOOKUP($A1683,MAGAZZINO!$B$2:$M$100000,3,FALSE)</f>
        <v/>
      </c>
      <c r="D1683" s="3">
        <f>+VLOOKUP($A1683,MAGAZZINO!$B$2:$M$100000,4,FALSE)</f>
        <v/>
      </c>
      <c r="E1683" s="3">
        <f>+VLOOKUP($A1683,MAGAZZINO!$B$2:$M$100000,5,FALSE)</f>
        <v/>
      </c>
      <c r="F1683" s="3">
        <f>+VLOOKUP($A1683,MAGAZZINO!$B$2:$M$100000,6,FALSE)</f>
        <v/>
      </c>
      <c r="G1683" s="3">
        <f>+VLOOKUP($A1683,MAGAZZINO!$B$2:$M$100000,7,FALSE)</f>
        <v/>
      </c>
      <c r="H1683" s="3">
        <f>+VLOOKUP($A1683,MAGAZZINO!$B$2:$M$100000,8,FALSE)</f>
        <v/>
      </c>
      <c r="I1683" s="3">
        <f>+VLOOKUP($A1683,MAGAZZINO!$B$2:$M$100000,9,FALSE)</f>
        <v/>
      </c>
      <c r="J1683" s="3">
        <f>+VLOOKUP($A1683,MAGAZZINO!$B$2:$M$100000,10,FALSE)</f>
        <v/>
      </c>
      <c r="K1683" s="3">
        <f>+VLOOKUP($A1683,MAGAZZINO!$B$2:$M$100000,11,FALSE)</f>
        <v/>
      </c>
      <c r="L1683" s="5">
        <f>+VLOOKUP($A1683,MAGAZZINO!$B$2:$M$100000,12,FALSE)</f>
        <v/>
      </c>
      <c r="M1683" s="47" t="n"/>
      <c r="N1683" s="88" t="n">
        <v>45873</v>
      </c>
      <c r="O1683" s="156" t="inlineStr">
        <is>
          <t>BIN HUMAID NATIONAL TRADING CO. (ARABIA SAUDITA)</t>
        </is>
      </c>
      <c r="P1683" s="152" t="inlineStr">
        <is>
          <t xml:space="preserve">  IMPORT LICENSE N. 182480  (END USER CERTIFICATE)                                                                      AUT. ESPORTAZIONE MULTIPLA N. 6B/2025/2M RILASCIATA IL 26/05/2025                        (LICENZA DI SCARICO N. 6B/2025/2S RILASCIATA IL 30/07/2025)</t>
        </is>
      </c>
      <c r="Q1683" s="150" t="n"/>
      <c r="R1683" s="150" t="n"/>
      <c r="S1683" s="153" t="n"/>
    </row>
    <row r="1684" ht="36" customHeight="1">
      <c r="A1684" s="46" t="n">
        <v>4014</v>
      </c>
      <c r="B1684" s="4">
        <f>+VLOOKUP($A1684,MAGAZZINO!$B$2:$M$100000,2,FALSE)</f>
        <v/>
      </c>
      <c r="C1684" s="29">
        <f>+VLOOKUP($A1684,MAGAZZINO!$B$2:$M$100000,3,FALSE)</f>
        <v/>
      </c>
      <c r="D1684" s="3">
        <f>+VLOOKUP($A1684,MAGAZZINO!$B$2:$M$100000,4,FALSE)</f>
        <v/>
      </c>
      <c r="E1684" s="3">
        <f>+VLOOKUP($A1684,MAGAZZINO!$B$2:$M$100000,5,FALSE)</f>
        <v/>
      </c>
      <c r="F1684" s="3">
        <f>+VLOOKUP($A1684,MAGAZZINO!$B$2:$M$100000,6,FALSE)</f>
        <v/>
      </c>
      <c r="G1684" s="3">
        <f>+VLOOKUP($A1684,MAGAZZINO!$B$2:$M$100000,7,FALSE)</f>
        <v/>
      </c>
      <c r="H1684" s="3">
        <f>+VLOOKUP($A1684,MAGAZZINO!$B$2:$M$100000,8,FALSE)</f>
        <v/>
      </c>
      <c r="I1684" s="3">
        <f>+VLOOKUP($A1684,MAGAZZINO!$B$2:$M$100000,9,FALSE)</f>
        <v/>
      </c>
      <c r="J1684" s="3">
        <f>+VLOOKUP($A1684,MAGAZZINO!$B$2:$M$100000,10,FALSE)</f>
        <v/>
      </c>
      <c r="K1684" s="3">
        <f>+VLOOKUP($A1684,MAGAZZINO!$B$2:$M$100000,11,FALSE)</f>
        <v/>
      </c>
      <c r="L1684" s="5">
        <f>+VLOOKUP($A1684,MAGAZZINO!$B$2:$M$100000,12,FALSE)</f>
        <v/>
      </c>
      <c r="M1684" s="47" t="n"/>
      <c r="N1684" s="88" t="n">
        <v>45873</v>
      </c>
      <c r="O1684" s="156" t="inlineStr">
        <is>
          <t>BIN HUMAID NATIONAL TRADING CO. (ARABIA SAUDITA)</t>
        </is>
      </c>
      <c r="P1684" s="152" t="inlineStr">
        <is>
          <t xml:space="preserve">  IMPORT LICENSE N. 182480  (END USER CERTIFICATE)                                                                      AUT. ESPORTAZIONE MULTIPLA N. 6B/2025/2M RILASCIATA IL 26/05/2025                        (LICENZA DI SCARICO N. 6B/2025/2S RILASCIATA IL 30/07/2025)</t>
        </is>
      </c>
      <c r="Q1684" s="150" t="n"/>
      <c r="R1684" s="150" t="n"/>
      <c r="S1684" s="153" t="n"/>
    </row>
    <row r="1685" ht="36" customHeight="1">
      <c r="A1685" s="46" t="n">
        <v>4015</v>
      </c>
      <c r="B1685" s="4">
        <f>+VLOOKUP($A1685,MAGAZZINO!$B$2:$M$100000,2,FALSE)</f>
        <v/>
      </c>
      <c r="C1685" s="29">
        <f>+VLOOKUP($A1685,MAGAZZINO!$B$2:$M$100000,3,FALSE)</f>
        <v/>
      </c>
      <c r="D1685" s="3">
        <f>+VLOOKUP($A1685,MAGAZZINO!$B$2:$M$100000,4,FALSE)</f>
        <v/>
      </c>
      <c r="E1685" s="3">
        <f>+VLOOKUP($A1685,MAGAZZINO!$B$2:$M$100000,5,FALSE)</f>
        <v/>
      </c>
      <c r="F1685" s="3">
        <f>+VLOOKUP($A1685,MAGAZZINO!$B$2:$M$100000,6,FALSE)</f>
        <v/>
      </c>
      <c r="G1685" s="3">
        <f>+VLOOKUP($A1685,MAGAZZINO!$B$2:$M$100000,7,FALSE)</f>
        <v/>
      </c>
      <c r="H1685" s="3">
        <f>+VLOOKUP($A1685,MAGAZZINO!$B$2:$M$100000,8,FALSE)</f>
        <v/>
      </c>
      <c r="I1685" s="3">
        <f>+VLOOKUP($A1685,MAGAZZINO!$B$2:$M$100000,9,FALSE)</f>
        <v/>
      </c>
      <c r="J1685" s="3">
        <f>+VLOOKUP($A1685,MAGAZZINO!$B$2:$M$100000,10,FALSE)</f>
        <v/>
      </c>
      <c r="K1685" s="3">
        <f>+VLOOKUP($A1685,MAGAZZINO!$B$2:$M$100000,11,FALSE)</f>
        <v/>
      </c>
      <c r="L1685" s="5">
        <f>+VLOOKUP($A1685,MAGAZZINO!$B$2:$M$100000,12,FALSE)</f>
        <v/>
      </c>
      <c r="M1685" s="47" t="n"/>
      <c r="N1685" s="88" t="n">
        <v>45873</v>
      </c>
      <c r="O1685" s="156" t="inlineStr">
        <is>
          <t>BIN HUMAID NATIONAL TRADING CO. (ARABIA SAUDITA)</t>
        </is>
      </c>
      <c r="P1685" s="152" t="inlineStr">
        <is>
          <t xml:space="preserve">  IMPORT LICENSE N. 182480  (END USER CERTIFICATE)                                                                      AUT. ESPORTAZIONE MULTIPLA N. 6B/2025/2M RILASCIATA IL 26/05/2025                        (LICENZA DI SCARICO N. 6B/2025/2S RILASCIATA IL 30/07/2025)</t>
        </is>
      </c>
      <c r="Q1685" s="150" t="n"/>
      <c r="R1685" s="150" t="n"/>
      <c r="S1685" s="153" t="n"/>
    </row>
    <row r="1686" ht="36" customHeight="1">
      <c r="A1686" s="46" t="n">
        <v>4016</v>
      </c>
      <c r="B1686" s="4">
        <f>+VLOOKUP($A1686,MAGAZZINO!$B$2:$M$100000,2,FALSE)</f>
        <v/>
      </c>
      <c r="C1686" s="29">
        <f>+VLOOKUP($A1686,MAGAZZINO!$B$2:$M$100000,3,FALSE)</f>
        <v/>
      </c>
      <c r="D1686" s="3">
        <f>+VLOOKUP($A1686,MAGAZZINO!$B$2:$M$100000,4,FALSE)</f>
        <v/>
      </c>
      <c r="E1686" s="3">
        <f>+VLOOKUP($A1686,MAGAZZINO!$B$2:$M$100000,5,FALSE)</f>
        <v/>
      </c>
      <c r="F1686" s="3">
        <f>+VLOOKUP($A1686,MAGAZZINO!$B$2:$M$100000,6,FALSE)</f>
        <v/>
      </c>
      <c r="G1686" s="3">
        <f>+VLOOKUP($A1686,MAGAZZINO!$B$2:$M$100000,7,FALSE)</f>
        <v/>
      </c>
      <c r="H1686" s="3">
        <f>+VLOOKUP($A1686,MAGAZZINO!$B$2:$M$100000,8,FALSE)</f>
        <v/>
      </c>
      <c r="I1686" s="3">
        <f>+VLOOKUP($A1686,MAGAZZINO!$B$2:$M$100000,9,FALSE)</f>
        <v/>
      </c>
      <c r="J1686" s="3">
        <f>+VLOOKUP($A1686,MAGAZZINO!$B$2:$M$100000,10,FALSE)</f>
        <v/>
      </c>
      <c r="K1686" s="3">
        <f>+VLOOKUP($A1686,MAGAZZINO!$B$2:$M$100000,11,FALSE)</f>
        <v/>
      </c>
      <c r="L1686" s="5">
        <f>+VLOOKUP($A1686,MAGAZZINO!$B$2:$M$100000,12,FALSE)</f>
        <v/>
      </c>
      <c r="M1686" s="47" t="n"/>
      <c r="N1686" s="88" t="n">
        <v>45873</v>
      </c>
      <c r="O1686" s="156" t="inlineStr">
        <is>
          <t>BIN HUMAID NATIONAL TRADING CO. (ARABIA SAUDITA)</t>
        </is>
      </c>
      <c r="P1686" s="152" t="inlineStr">
        <is>
          <t xml:space="preserve">  IMPORT LICENSE N. 182480  (END USER CERTIFICATE)                                                                      AUT. ESPORTAZIONE MULTIPLA N. 6B/2025/2M RILASCIATA IL 26/05/2025                        (LICENZA DI SCARICO N. 6B/2025/2S RILASCIATA IL 30/07/2025)</t>
        </is>
      </c>
      <c r="Q1686" s="150" t="n"/>
      <c r="R1686" s="150" t="n"/>
      <c r="S1686" s="153" t="n"/>
    </row>
    <row r="1687" ht="36" customHeight="1">
      <c r="A1687" s="46" t="n">
        <v>4017</v>
      </c>
      <c r="B1687" s="4">
        <f>+VLOOKUP($A1687,MAGAZZINO!$B$2:$M$100000,2,FALSE)</f>
        <v/>
      </c>
      <c r="C1687" s="29">
        <f>+VLOOKUP($A1687,MAGAZZINO!$B$2:$M$100000,3,FALSE)</f>
        <v/>
      </c>
      <c r="D1687" s="3">
        <f>+VLOOKUP($A1687,MAGAZZINO!$B$2:$M$100000,4,FALSE)</f>
        <v/>
      </c>
      <c r="E1687" s="3">
        <f>+VLOOKUP($A1687,MAGAZZINO!$B$2:$M$100000,5,FALSE)</f>
        <v/>
      </c>
      <c r="F1687" s="3">
        <f>+VLOOKUP($A1687,MAGAZZINO!$B$2:$M$100000,6,FALSE)</f>
        <v/>
      </c>
      <c r="G1687" s="3">
        <f>+VLOOKUP($A1687,MAGAZZINO!$B$2:$M$100000,7,FALSE)</f>
        <v/>
      </c>
      <c r="H1687" s="3">
        <f>+VLOOKUP($A1687,MAGAZZINO!$B$2:$M$100000,8,FALSE)</f>
        <v/>
      </c>
      <c r="I1687" s="3">
        <f>+VLOOKUP($A1687,MAGAZZINO!$B$2:$M$100000,9,FALSE)</f>
        <v/>
      </c>
      <c r="J1687" s="3">
        <f>+VLOOKUP($A1687,MAGAZZINO!$B$2:$M$100000,10,FALSE)</f>
        <v/>
      </c>
      <c r="K1687" s="3">
        <f>+VLOOKUP($A1687,MAGAZZINO!$B$2:$M$100000,11,FALSE)</f>
        <v/>
      </c>
      <c r="L1687" s="5">
        <f>+VLOOKUP($A1687,MAGAZZINO!$B$2:$M$100000,12,FALSE)</f>
        <v/>
      </c>
      <c r="M1687" s="47" t="n"/>
      <c r="N1687" s="88" t="n">
        <v>45873</v>
      </c>
      <c r="O1687" s="156" t="inlineStr">
        <is>
          <t>BIN HUMAID NATIONAL TRADING CO. (ARABIA SAUDITA)</t>
        </is>
      </c>
      <c r="P1687" s="152" t="inlineStr">
        <is>
          <t xml:space="preserve">  IMPORT LICENSE N. 182480  (END USER CERTIFICATE)                                                                      AUT. ESPORTAZIONE MULTIPLA N. 6B/2025/2M RILASCIATA IL 26/05/2025                        (LICENZA DI SCARICO N. 6B/2025/2S RILASCIATA IL 30/07/2025)</t>
        </is>
      </c>
      <c r="Q1687" s="150" t="n"/>
      <c r="R1687" s="150" t="n"/>
      <c r="S1687" s="153" t="n"/>
    </row>
    <row r="1688" ht="36" customHeight="1">
      <c r="A1688" s="46" t="n">
        <v>4018</v>
      </c>
      <c r="B1688" s="4">
        <f>+VLOOKUP($A1688,MAGAZZINO!$B$2:$M$100000,2,FALSE)</f>
        <v/>
      </c>
      <c r="C1688" s="29">
        <f>+VLOOKUP($A1688,MAGAZZINO!$B$2:$M$100000,3,FALSE)</f>
        <v/>
      </c>
      <c r="D1688" s="3">
        <f>+VLOOKUP($A1688,MAGAZZINO!$B$2:$M$100000,4,FALSE)</f>
        <v/>
      </c>
      <c r="E1688" s="3">
        <f>+VLOOKUP($A1688,MAGAZZINO!$B$2:$M$100000,5,FALSE)</f>
        <v/>
      </c>
      <c r="F1688" s="3">
        <f>+VLOOKUP($A1688,MAGAZZINO!$B$2:$M$100000,6,FALSE)</f>
        <v/>
      </c>
      <c r="G1688" s="3">
        <f>+VLOOKUP($A1688,MAGAZZINO!$B$2:$M$100000,7,FALSE)</f>
        <v/>
      </c>
      <c r="H1688" s="3">
        <f>+VLOOKUP($A1688,MAGAZZINO!$B$2:$M$100000,8,FALSE)</f>
        <v/>
      </c>
      <c r="I1688" s="3">
        <f>+VLOOKUP($A1688,MAGAZZINO!$B$2:$M$100000,9,FALSE)</f>
        <v/>
      </c>
      <c r="J1688" s="3">
        <f>+VLOOKUP($A1688,MAGAZZINO!$B$2:$M$100000,10,FALSE)</f>
        <v/>
      </c>
      <c r="K1688" s="3">
        <f>+VLOOKUP($A1688,MAGAZZINO!$B$2:$M$100000,11,FALSE)</f>
        <v/>
      </c>
      <c r="L1688" s="5">
        <f>+VLOOKUP($A1688,MAGAZZINO!$B$2:$M$100000,12,FALSE)</f>
        <v/>
      </c>
      <c r="M1688" s="47" t="n"/>
      <c r="N1688" s="88" t="n">
        <v>45873</v>
      </c>
      <c r="O1688" s="156" t="inlineStr">
        <is>
          <t>BIN HUMAID NATIONAL TRADING CO. (ARABIA SAUDITA)</t>
        </is>
      </c>
      <c r="P1688" s="152" t="inlineStr">
        <is>
          <t xml:space="preserve">  IMPORT LICENSE N. 182480  (END USER CERTIFICATE)                                                                      AUT. ESPORTAZIONE MULTIPLA N. 6B/2025/2M RILASCIATA IL 26/05/2025                        (LICENZA DI SCARICO N. 6B/2025/2S RILASCIATA IL 30/07/2025)</t>
        </is>
      </c>
      <c r="Q1688" s="150" t="n"/>
      <c r="R1688" s="150" t="n"/>
      <c r="S1688" s="153" t="n"/>
    </row>
    <row r="1689" ht="36" customHeight="1">
      <c r="A1689" s="46" t="n">
        <v>4019</v>
      </c>
      <c r="B1689" s="4">
        <f>+VLOOKUP($A1689,MAGAZZINO!$B$2:$M$100000,2,FALSE)</f>
        <v/>
      </c>
      <c r="C1689" s="29">
        <f>+VLOOKUP($A1689,MAGAZZINO!$B$2:$M$100000,3,FALSE)</f>
        <v/>
      </c>
      <c r="D1689" s="3">
        <f>+VLOOKUP($A1689,MAGAZZINO!$B$2:$M$100000,4,FALSE)</f>
        <v/>
      </c>
      <c r="E1689" s="3">
        <f>+VLOOKUP($A1689,MAGAZZINO!$B$2:$M$100000,5,FALSE)</f>
        <v/>
      </c>
      <c r="F1689" s="3">
        <f>+VLOOKUP($A1689,MAGAZZINO!$B$2:$M$100000,6,FALSE)</f>
        <v/>
      </c>
      <c r="G1689" s="3">
        <f>+VLOOKUP($A1689,MAGAZZINO!$B$2:$M$100000,7,FALSE)</f>
        <v/>
      </c>
      <c r="H1689" s="3">
        <f>+VLOOKUP($A1689,MAGAZZINO!$B$2:$M$100000,8,FALSE)</f>
        <v/>
      </c>
      <c r="I1689" s="3">
        <f>+VLOOKUP($A1689,MAGAZZINO!$B$2:$M$100000,9,FALSE)</f>
        <v/>
      </c>
      <c r="J1689" s="3">
        <f>+VLOOKUP($A1689,MAGAZZINO!$B$2:$M$100000,10,FALSE)</f>
        <v/>
      </c>
      <c r="K1689" s="3">
        <f>+VLOOKUP($A1689,MAGAZZINO!$B$2:$M$100000,11,FALSE)</f>
        <v/>
      </c>
      <c r="L1689" s="5">
        <f>+VLOOKUP($A1689,MAGAZZINO!$B$2:$M$100000,12,FALSE)</f>
        <v/>
      </c>
      <c r="M1689" s="47" t="n"/>
      <c r="N1689" s="88" t="n">
        <v>45873</v>
      </c>
      <c r="O1689" s="156" t="inlineStr">
        <is>
          <t>BIN HUMAID NATIONAL TRADING CO. (ARABIA SAUDITA)</t>
        </is>
      </c>
      <c r="P1689" s="152" t="inlineStr">
        <is>
          <t xml:space="preserve">  IMPORT LICENSE N. 182480  (END USER CERTIFICATE)                                                                      AUT. ESPORTAZIONE MULTIPLA N. 6B/2025/2M RILASCIATA IL 26/05/2025                        (LICENZA DI SCARICO N. 6B/2025/2S RILASCIATA IL 30/07/2025)</t>
        </is>
      </c>
      <c r="Q1689" s="150" t="n"/>
      <c r="R1689" s="150" t="n"/>
      <c r="S1689" s="153" t="n"/>
    </row>
    <row r="1690" ht="36" customHeight="1">
      <c r="A1690" s="46" t="n">
        <v>4020</v>
      </c>
      <c r="B1690" s="4">
        <f>+VLOOKUP($A1690,MAGAZZINO!$B$2:$M$100000,2,FALSE)</f>
        <v/>
      </c>
      <c r="C1690" s="29">
        <f>+VLOOKUP($A1690,MAGAZZINO!$B$2:$M$100000,3,FALSE)</f>
        <v/>
      </c>
      <c r="D1690" s="3">
        <f>+VLOOKUP($A1690,MAGAZZINO!$B$2:$M$100000,4,FALSE)</f>
        <v/>
      </c>
      <c r="E1690" s="3">
        <f>+VLOOKUP($A1690,MAGAZZINO!$B$2:$M$100000,5,FALSE)</f>
        <v/>
      </c>
      <c r="F1690" s="3">
        <f>+VLOOKUP($A1690,MAGAZZINO!$B$2:$M$100000,6,FALSE)</f>
        <v/>
      </c>
      <c r="G1690" s="3">
        <f>+VLOOKUP($A1690,MAGAZZINO!$B$2:$M$100000,7,FALSE)</f>
        <v/>
      </c>
      <c r="H1690" s="3">
        <f>+VLOOKUP($A1690,MAGAZZINO!$B$2:$M$100000,8,FALSE)</f>
        <v/>
      </c>
      <c r="I1690" s="3">
        <f>+VLOOKUP($A1690,MAGAZZINO!$B$2:$M$100000,9,FALSE)</f>
        <v/>
      </c>
      <c r="J1690" s="3">
        <f>+VLOOKUP($A1690,MAGAZZINO!$B$2:$M$100000,10,FALSE)</f>
        <v/>
      </c>
      <c r="K1690" s="3">
        <f>+VLOOKUP($A1690,MAGAZZINO!$B$2:$M$100000,11,FALSE)</f>
        <v/>
      </c>
      <c r="L1690" s="5">
        <f>+VLOOKUP($A1690,MAGAZZINO!$B$2:$M$100000,12,FALSE)</f>
        <v/>
      </c>
      <c r="M1690" s="47" t="n"/>
      <c r="N1690" s="88" t="n">
        <v>45873</v>
      </c>
      <c r="O1690" s="156" t="inlineStr">
        <is>
          <t>BIN HUMAID NATIONAL TRADING CO. (ARABIA SAUDITA)</t>
        </is>
      </c>
      <c r="P1690" s="152" t="inlineStr">
        <is>
          <t xml:space="preserve">  IMPORT LICENSE N. 182480  (END USER CERTIFICATE)                                                                      AUT. ESPORTAZIONE MULTIPLA N. 6B/2025/2M RILASCIATA IL 26/05/2025                        (LICENZA DI SCARICO N. 6B/2025/2S RILASCIATA IL 30/07/2025)</t>
        </is>
      </c>
      <c r="Q1690" s="150" t="n"/>
      <c r="R1690" s="150" t="n"/>
      <c r="S1690" s="153" t="n"/>
    </row>
    <row r="1691" ht="36" customHeight="1">
      <c r="A1691" s="46" t="n">
        <v>4021</v>
      </c>
      <c r="B1691" s="4">
        <f>+VLOOKUP($A1691,MAGAZZINO!$B$2:$M$100000,2,FALSE)</f>
        <v/>
      </c>
      <c r="C1691" s="29">
        <f>+VLOOKUP($A1691,MAGAZZINO!$B$2:$M$100000,3,FALSE)</f>
        <v/>
      </c>
      <c r="D1691" s="3">
        <f>+VLOOKUP($A1691,MAGAZZINO!$B$2:$M$100000,4,FALSE)</f>
        <v/>
      </c>
      <c r="E1691" s="3">
        <f>+VLOOKUP($A1691,MAGAZZINO!$B$2:$M$100000,5,FALSE)</f>
        <v/>
      </c>
      <c r="F1691" s="3">
        <f>+VLOOKUP($A1691,MAGAZZINO!$B$2:$M$100000,6,FALSE)</f>
        <v/>
      </c>
      <c r="G1691" s="3">
        <f>+VLOOKUP($A1691,MAGAZZINO!$B$2:$M$100000,7,FALSE)</f>
        <v/>
      </c>
      <c r="H1691" s="3">
        <f>+VLOOKUP($A1691,MAGAZZINO!$B$2:$M$100000,8,FALSE)</f>
        <v/>
      </c>
      <c r="I1691" s="3">
        <f>+VLOOKUP($A1691,MAGAZZINO!$B$2:$M$100000,9,FALSE)</f>
        <v/>
      </c>
      <c r="J1691" s="3">
        <f>+VLOOKUP($A1691,MAGAZZINO!$B$2:$M$100000,10,FALSE)</f>
        <v/>
      </c>
      <c r="K1691" s="3">
        <f>+VLOOKUP($A1691,MAGAZZINO!$B$2:$M$100000,11,FALSE)</f>
        <v/>
      </c>
      <c r="L1691" s="5">
        <f>+VLOOKUP($A1691,MAGAZZINO!$B$2:$M$100000,12,FALSE)</f>
        <v/>
      </c>
      <c r="M1691" s="47" t="n"/>
      <c r="N1691" s="88" t="n">
        <v>45873</v>
      </c>
      <c r="O1691" s="156" t="inlineStr">
        <is>
          <t>BIN HUMAID NATIONAL TRADING CO. (ARABIA SAUDITA)</t>
        </is>
      </c>
      <c r="P1691" s="152" t="inlineStr">
        <is>
          <t xml:space="preserve">  IMPORT LICENSE N. 182480  (END USER CERTIFICATE)                                                                      AUT. ESPORTAZIONE MULTIPLA N. 6B/2025/2M RILASCIATA IL 26/05/2025                        (LICENZA DI SCARICO N. 6B/2025/2S RILASCIATA IL 30/07/2025)</t>
        </is>
      </c>
      <c r="Q1691" s="150" t="n"/>
      <c r="R1691" s="150" t="n"/>
      <c r="S1691" s="153" t="n"/>
    </row>
    <row r="1692" ht="36" customHeight="1">
      <c r="A1692" s="46" t="n">
        <v>4022</v>
      </c>
      <c r="B1692" s="4">
        <f>+VLOOKUP($A1692,MAGAZZINO!$B$2:$M$100000,2,FALSE)</f>
        <v/>
      </c>
      <c r="C1692" s="29">
        <f>+VLOOKUP($A1692,MAGAZZINO!$B$2:$M$100000,3,FALSE)</f>
        <v/>
      </c>
      <c r="D1692" s="3">
        <f>+VLOOKUP($A1692,MAGAZZINO!$B$2:$M$100000,4,FALSE)</f>
        <v/>
      </c>
      <c r="E1692" s="3">
        <f>+VLOOKUP($A1692,MAGAZZINO!$B$2:$M$100000,5,FALSE)</f>
        <v/>
      </c>
      <c r="F1692" s="3">
        <f>+VLOOKUP($A1692,MAGAZZINO!$B$2:$M$100000,6,FALSE)</f>
        <v/>
      </c>
      <c r="G1692" s="3">
        <f>+VLOOKUP($A1692,MAGAZZINO!$B$2:$M$100000,7,FALSE)</f>
        <v/>
      </c>
      <c r="H1692" s="3">
        <f>+VLOOKUP($A1692,MAGAZZINO!$B$2:$M$100000,8,FALSE)</f>
        <v/>
      </c>
      <c r="I1692" s="3">
        <f>+VLOOKUP($A1692,MAGAZZINO!$B$2:$M$100000,9,FALSE)</f>
        <v/>
      </c>
      <c r="J1692" s="3">
        <f>+VLOOKUP($A1692,MAGAZZINO!$B$2:$M$100000,10,FALSE)</f>
        <v/>
      </c>
      <c r="K1692" s="3">
        <f>+VLOOKUP($A1692,MAGAZZINO!$B$2:$M$100000,11,FALSE)</f>
        <v/>
      </c>
      <c r="L1692" s="5">
        <f>+VLOOKUP($A1692,MAGAZZINO!$B$2:$M$100000,12,FALSE)</f>
        <v/>
      </c>
      <c r="M1692" s="47" t="n"/>
      <c r="N1692" s="88" t="n">
        <v>45873</v>
      </c>
      <c r="O1692" s="156" t="inlineStr">
        <is>
          <t>BIN HUMAID NATIONAL TRADING CO. (ARABIA SAUDITA)</t>
        </is>
      </c>
      <c r="P1692" s="152" t="inlineStr">
        <is>
          <t xml:space="preserve">  IMPORT LICENSE N. 182480  (END USER CERTIFICATE)                                                                      AUT. ESPORTAZIONE MULTIPLA N. 6B/2025/2M RILASCIATA IL 26/05/2025                        (LICENZA DI SCARICO N. 6B/2025/2S RILASCIATA IL 30/07/2025)</t>
        </is>
      </c>
      <c r="Q1692" s="150" t="n"/>
      <c r="R1692" s="150" t="n"/>
      <c r="S1692" s="153" t="n"/>
    </row>
    <row r="1693" ht="36" customHeight="1">
      <c r="A1693" s="46" t="n">
        <v>4023</v>
      </c>
      <c r="B1693" s="4">
        <f>+VLOOKUP($A1693,MAGAZZINO!$B$2:$M$100000,2,FALSE)</f>
        <v/>
      </c>
      <c r="C1693" s="29">
        <f>+VLOOKUP($A1693,MAGAZZINO!$B$2:$M$100000,3,FALSE)</f>
        <v/>
      </c>
      <c r="D1693" s="3">
        <f>+VLOOKUP($A1693,MAGAZZINO!$B$2:$M$100000,4,FALSE)</f>
        <v/>
      </c>
      <c r="E1693" s="3">
        <f>+VLOOKUP($A1693,MAGAZZINO!$B$2:$M$100000,5,FALSE)</f>
        <v/>
      </c>
      <c r="F1693" s="3">
        <f>+VLOOKUP($A1693,MAGAZZINO!$B$2:$M$100000,6,FALSE)</f>
        <v/>
      </c>
      <c r="G1693" s="3">
        <f>+VLOOKUP($A1693,MAGAZZINO!$B$2:$M$100000,7,FALSE)</f>
        <v/>
      </c>
      <c r="H1693" s="3">
        <f>+VLOOKUP($A1693,MAGAZZINO!$B$2:$M$100000,8,FALSE)</f>
        <v/>
      </c>
      <c r="I1693" s="3">
        <f>+VLOOKUP($A1693,MAGAZZINO!$B$2:$M$100000,9,FALSE)</f>
        <v/>
      </c>
      <c r="J1693" s="3">
        <f>+VLOOKUP($A1693,MAGAZZINO!$B$2:$M$100000,10,FALSE)</f>
        <v/>
      </c>
      <c r="K1693" s="3">
        <f>+VLOOKUP($A1693,MAGAZZINO!$B$2:$M$100000,11,FALSE)</f>
        <v/>
      </c>
      <c r="L1693" s="5">
        <f>+VLOOKUP($A1693,MAGAZZINO!$B$2:$M$100000,12,FALSE)</f>
        <v/>
      </c>
      <c r="M1693" s="47" t="n"/>
      <c r="N1693" s="88" t="n">
        <v>45873</v>
      </c>
      <c r="O1693" s="156" t="inlineStr">
        <is>
          <t>BIN HUMAID NATIONAL TRADING CO. (ARABIA SAUDITA)</t>
        </is>
      </c>
      <c r="P1693" s="152" t="inlineStr">
        <is>
          <t xml:space="preserve">  IMPORT LICENSE N. 182480  (END USER CERTIFICATE)                                                                      AUT. ESPORTAZIONE MULTIPLA N. 6B/2025/2M RILASCIATA IL 26/05/2025                        (LICENZA DI SCARICO N. 6B/2025/2S RILASCIATA IL 30/07/2025)</t>
        </is>
      </c>
      <c r="Q1693" s="150" t="n"/>
      <c r="R1693" s="150" t="n"/>
      <c r="S1693" s="153" t="n"/>
    </row>
    <row r="1694" ht="36" customHeight="1">
      <c r="A1694" s="46" t="n">
        <v>4024</v>
      </c>
      <c r="B1694" s="4">
        <f>+VLOOKUP($A1694,MAGAZZINO!$B$2:$M$100000,2,FALSE)</f>
        <v/>
      </c>
      <c r="C1694" s="29">
        <f>+VLOOKUP($A1694,MAGAZZINO!$B$2:$M$100000,3,FALSE)</f>
        <v/>
      </c>
      <c r="D1694" s="3">
        <f>+VLOOKUP($A1694,MAGAZZINO!$B$2:$M$100000,4,FALSE)</f>
        <v/>
      </c>
      <c r="E1694" s="3">
        <f>+VLOOKUP($A1694,MAGAZZINO!$B$2:$M$100000,5,FALSE)</f>
        <v/>
      </c>
      <c r="F1694" s="3">
        <f>+VLOOKUP($A1694,MAGAZZINO!$B$2:$M$100000,6,FALSE)</f>
        <v/>
      </c>
      <c r="G1694" s="3">
        <f>+VLOOKUP($A1694,MAGAZZINO!$B$2:$M$100000,7,FALSE)</f>
        <v/>
      </c>
      <c r="H1694" s="3">
        <f>+VLOOKUP($A1694,MAGAZZINO!$B$2:$M$100000,8,FALSE)</f>
        <v/>
      </c>
      <c r="I1694" s="3">
        <f>+VLOOKUP($A1694,MAGAZZINO!$B$2:$M$100000,9,FALSE)</f>
        <v/>
      </c>
      <c r="J1694" s="3">
        <f>+VLOOKUP($A1694,MAGAZZINO!$B$2:$M$100000,10,FALSE)</f>
        <v/>
      </c>
      <c r="K1694" s="3">
        <f>+VLOOKUP($A1694,MAGAZZINO!$B$2:$M$100000,11,FALSE)</f>
        <v/>
      </c>
      <c r="L1694" s="5">
        <f>+VLOOKUP($A1694,MAGAZZINO!$B$2:$M$100000,12,FALSE)</f>
        <v/>
      </c>
      <c r="M1694" s="47" t="n"/>
      <c r="N1694" s="88" t="n">
        <v>45873</v>
      </c>
      <c r="O1694" s="156" t="inlineStr">
        <is>
          <t>BIN HUMAID NATIONAL TRADING CO. (ARABIA SAUDITA)</t>
        </is>
      </c>
      <c r="P1694" s="152" t="inlineStr">
        <is>
          <t xml:space="preserve">  IMPORT LICENSE N. 182480  (END USER CERTIFICATE)                                                                      AUT. ESPORTAZIONE MULTIPLA N. 6B/2025/2M RILASCIATA IL 26/05/2025                        (LICENZA DI SCARICO N. 6B/2025/2S RILASCIATA IL 30/07/2025)</t>
        </is>
      </c>
      <c r="Q1694" s="150" t="n"/>
      <c r="R1694" s="150" t="n"/>
      <c r="S1694" s="153" t="n"/>
    </row>
    <row r="1695" ht="36" customHeight="1">
      <c r="A1695" s="46" t="n">
        <v>4025</v>
      </c>
      <c r="B1695" s="4">
        <f>+VLOOKUP($A1695,MAGAZZINO!$B$2:$M$100000,2,FALSE)</f>
        <v/>
      </c>
      <c r="C1695" s="29">
        <f>+VLOOKUP($A1695,MAGAZZINO!$B$2:$M$100000,3,FALSE)</f>
        <v/>
      </c>
      <c r="D1695" s="3">
        <f>+VLOOKUP($A1695,MAGAZZINO!$B$2:$M$100000,4,FALSE)</f>
        <v/>
      </c>
      <c r="E1695" s="3">
        <f>+VLOOKUP($A1695,MAGAZZINO!$B$2:$M$100000,5,FALSE)</f>
        <v/>
      </c>
      <c r="F1695" s="3">
        <f>+VLOOKUP($A1695,MAGAZZINO!$B$2:$M$100000,6,FALSE)</f>
        <v/>
      </c>
      <c r="G1695" s="3">
        <f>+VLOOKUP($A1695,MAGAZZINO!$B$2:$M$100000,7,FALSE)</f>
        <v/>
      </c>
      <c r="H1695" s="3">
        <f>+VLOOKUP($A1695,MAGAZZINO!$B$2:$M$100000,8,FALSE)</f>
        <v/>
      </c>
      <c r="I1695" s="3">
        <f>+VLOOKUP($A1695,MAGAZZINO!$B$2:$M$100000,9,FALSE)</f>
        <v/>
      </c>
      <c r="J1695" s="3">
        <f>+VLOOKUP($A1695,MAGAZZINO!$B$2:$M$100000,10,FALSE)</f>
        <v/>
      </c>
      <c r="K1695" s="3">
        <f>+VLOOKUP($A1695,MAGAZZINO!$B$2:$M$100000,11,FALSE)</f>
        <v/>
      </c>
      <c r="L1695" s="5">
        <f>+VLOOKUP($A1695,MAGAZZINO!$B$2:$M$100000,12,FALSE)</f>
        <v/>
      </c>
      <c r="M1695" s="47" t="n"/>
      <c r="N1695" s="88" t="n">
        <v>45873</v>
      </c>
      <c r="O1695" s="156" t="inlineStr">
        <is>
          <t>BIN HUMAID NATIONAL TRADING CO. (ARABIA SAUDITA)</t>
        </is>
      </c>
      <c r="P1695" s="152" t="inlineStr">
        <is>
          <t xml:space="preserve">  IMPORT LICENSE N. 182480  (END USER CERTIFICATE)                                                                      AUT. ESPORTAZIONE MULTIPLA N. 6B/2025/2M RILASCIATA IL 26/05/2025                        (LICENZA DI SCARICO N. 6B/2025/2S RILASCIATA IL 30/07/2025)</t>
        </is>
      </c>
      <c r="Q1695" s="150" t="n"/>
      <c r="R1695" s="150" t="n"/>
      <c r="S1695" s="153" t="n"/>
    </row>
    <row r="1696" ht="36" customHeight="1">
      <c r="A1696" s="46" t="n">
        <v>4026</v>
      </c>
      <c r="B1696" s="4">
        <f>+VLOOKUP($A1696,MAGAZZINO!$B$2:$M$100000,2,FALSE)</f>
        <v/>
      </c>
      <c r="C1696" s="29">
        <f>+VLOOKUP($A1696,MAGAZZINO!$B$2:$M$100000,3,FALSE)</f>
        <v/>
      </c>
      <c r="D1696" s="3">
        <f>+VLOOKUP($A1696,MAGAZZINO!$B$2:$M$100000,4,FALSE)</f>
        <v/>
      </c>
      <c r="E1696" s="3">
        <f>+VLOOKUP($A1696,MAGAZZINO!$B$2:$M$100000,5,FALSE)</f>
        <v/>
      </c>
      <c r="F1696" s="3">
        <f>+VLOOKUP($A1696,MAGAZZINO!$B$2:$M$100000,6,FALSE)</f>
        <v/>
      </c>
      <c r="G1696" s="3">
        <f>+VLOOKUP($A1696,MAGAZZINO!$B$2:$M$100000,7,FALSE)</f>
        <v/>
      </c>
      <c r="H1696" s="3">
        <f>+VLOOKUP($A1696,MAGAZZINO!$B$2:$M$100000,8,FALSE)</f>
        <v/>
      </c>
      <c r="I1696" s="3">
        <f>+VLOOKUP($A1696,MAGAZZINO!$B$2:$M$100000,9,FALSE)</f>
        <v/>
      </c>
      <c r="J1696" s="3">
        <f>+VLOOKUP($A1696,MAGAZZINO!$B$2:$M$100000,10,FALSE)</f>
        <v/>
      </c>
      <c r="K1696" s="3">
        <f>+VLOOKUP($A1696,MAGAZZINO!$B$2:$M$100000,11,FALSE)</f>
        <v/>
      </c>
      <c r="L1696" s="5">
        <f>+VLOOKUP($A1696,MAGAZZINO!$B$2:$M$100000,12,FALSE)</f>
        <v/>
      </c>
      <c r="M1696" s="47" t="n"/>
      <c r="N1696" s="88" t="n">
        <v>45873</v>
      </c>
      <c r="O1696" s="156" t="inlineStr">
        <is>
          <t>BIN HUMAID NATIONAL TRADING CO. (ARABIA SAUDITA)</t>
        </is>
      </c>
      <c r="P1696" s="152" t="inlineStr">
        <is>
          <t xml:space="preserve">  IMPORT LICENSE N. 182480  (END USER CERTIFICATE)                                                                      AUT. ESPORTAZIONE MULTIPLA N. 6B/2025/2M RILASCIATA IL 26/05/2025                        (LICENZA DI SCARICO N. 6B/2025/2S RILASCIATA IL 30/07/2025)</t>
        </is>
      </c>
      <c r="Q1696" s="150" t="n"/>
      <c r="R1696" s="150" t="n"/>
      <c r="S1696" s="153" t="n"/>
    </row>
    <row r="1697" ht="36" customHeight="1">
      <c r="A1697" s="46" t="n">
        <v>4027</v>
      </c>
      <c r="B1697" s="4">
        <f>+VLOOKUP($A1697,MAGAZZINO!$B$2:$M$100000,2,FALSE)</f>
        <v/>
      </c>
      <c r="C1697" s="29">
        <f>+VLOOKUP($A1697,MAGAZZINO!$B$2:$M$100000,3,FALSE)</f>
        <v/>
      </c>
      <c r="D1697" s="3">
        <f>+VLOOKUP($A1697,MAGAZZINO!$B$2:$M$100000,4,FALSE)</f>
        <v/>
      </c>
      <c r="E1697" s="3">
        <f>+VLOOKUP($A1697,MAGAZZINO!$B$2:$M$100000,5,FALSE)</f>
        <v/>
      </c>
      <c r="F1697" s="3">
        <f>+VLOOKUP($A1697,MAGAZZINO!$B$2:$M$100000,6,FALSE)</f>
        <v/>
      </c>
      <c r="G1697" s="3">
        <f>+VLOOKUP($A1697,MAGAZZINO!$B$2:$M$100000,7,FALSE)</f>
        <v/>
      </c>
      <c r="H1697" s="3">
        <f>+VLOOKUP($A1697,MAGAZZINO!$B$2:$M$100000,8,FALSE)</f>
        <v/>
      </c>
      <c r="I1697" s="3">
        <f>+VLOOKUP($A1697,MAGAZZINO!$B$2:$M$100000,9,FALSE)</f>
        <v/>
      </c>
      <c r="J1697" s="3">
        <f>+VLOOKUP($A1697,MAGAZZINO!$B$2:$M$100000,10,FALSE)</f>
        <v/>
      </c>
      <c r="K1697" s="3">
        <f>+VLOOKUP($A1697,MAGAZZINO!$B$2:$M$100000,11,FALSE)</f>
        <v/>
      </c>
      <c r="L1697" s="5">
        <f>+VLOOKUP($A1697,MAGAZZINO!$B$2:$M$100000,12,FALSE)</f>
        <v/>
      </c>
      <c r="M1697" s="47" t="n"/>
      <c r="N1697" s="88" t="n">
        <v>45873</v>
      </c>
      <c r="O1697" s="156" t="inlineStr">
        <is>
          <t>BIN HUMAID NATIONAL TRADING CO. (ARABIA SAUDITA)</t>
        </is>
      </c>
      <c r="P1697" s="152" t="inlineStr">
        <is>
          <t xml:space="preserve">  IMPORT LICENSE N. 182480  (END USER CERTIFICATE)                                                                      AUT. ESPORTAZIONE MULTIPLA N. 6B/2025/2M RILASCIATA IL 26/05/2025                        (LICENZA DI SCARICO N. 6B/2025/2S RILASCIATA IL 30/07/2025)</t>
        </is>
      </c>
      <c r="Q1697" s="150" t="n"/>
      <c r="R1697" s="150" t="n"/>
      <c r="S1697" s="153" t="n"/>
    </row>
    <row r="1698" ht="36" customHeight="1">
      <c r="A1698" s="46" t="n">
        <v>4028</v>
      </c>
      <c r="B1698" s="4">
        <f>+VLOOKUP($A1698,MAGAZZINO!$B$2:$M$100000,2,FALSE)</f>
        <v/>
      </c>
      <c r="C1698" s="29">
        <f>+VLOOKUP($A1698,MAGAZZINO!$B$2:$M$100000,3,FALSE)</f>
        <v/>
      </c>
      <c r="D1698" s="3">
        <f>+VLOOKUP($A1698,MAGAZZINO!$B$2:$M$100000,4,FALSE)</f>
        <v/>
      </c>
      <c r="E1698" s="3">
        <f>+VLOOKUP($A1698,MAGAZZINO!$B$2:$M$100000,5,FALSE)</f>
        <v/>
      </c>
      <c r="F1698" s="3">
        <f>+VLOOKUP($A1698,MAGAZZINO!$B$2:$M$100000,6,FALSE)</f>
        <v/>
      </c>
      <c r="G1698" s="3">
        <f>+VLOOKUP($A1698,MAGAZZINO!$B$2:$M$100000,7,FALSE)</f>
        <v/>
      </c>
      <c r="H1698" s="3">
        <f>+VLOOKUP($A1698,MAGAZZINO!$B$2:$M$100000,8,FALSE)</f>
        <v/>
      </c>
      <c r="I1698" s="3">
        <f>+VLOOKUP($A1698,MAGAZZINO!$B$2:$M$100000,9,FALSE)</f>
        <v/>
      </c>
      <c r="J1698" s="3">
        <f>+VLOOKUP($A1698,MAGAZZINO!$B$2:$M$100000,10,FALSE)</f>
        <v/>
      </c>
      <c r="K1698" s="3">
        <f>+VLOOKUP($A1698,MAGAZZINO!$B$2:$M$100000,11,FALSE)</f>
        <v/>
      </c>
      <c r="L1698" s="5">
        <f>+VLOOKUP($A1698,MAGAZZINO!$B$2:$M$100000,12,FALSE)</f>
        <v/>
      </c>
      <c r="M1698" s="47" t="n"/>
      <c r="N1698" s="88" t="n">
        <v>45873</v>
      </c>
      <c r="O1698" s="156" t="inlineStr">
        <is>
          <t>BIN HUMAID NATIONAL TRADING CO. (ARABIA SAUDITA)</t>
        </is>
      </c>
      <c r="P1698" s="152" t="inlineStr">
        <is>
          <t xml:space="preserve">  IMPORT LICENSE N. 182480  (END USER CERTIFICATE)                                                                      AUT. ESPORTAZIONE MULTIPLA N. 6B/2025/2M RILASCIATA IL 26/05/2025                        (LICENZA DI SCARICO N. 6B/2025/2S RILASCIATA IL 30/07/2025)</t>
        </is>
      </c>
      <c r="Q1698" s="150" t="n"/>
      <c r="R1698" s="150" t="n"/>
      <c r="S1698" s="153" t="n"/>
    </row>
    <row r="1699" ht="36" customHeight="1">
      <c r="A1699" s="46" t="n">
        <v>4029</v>
      </c>
      <c r="B1699" s="4">
        <f>+VLOOKUP($A1699,MAGAZZINO!$B$2:$M$100000,2,FALSE)</f>
        <v/>
      </c>
      <c r="C1699" s="29">
        <f>+VLOOKUP($A1699,MAGAZZINO!$B$2:$M$100000,3,FALSE)</f>
        <v/>
      </c>
      <c r="D1699" s="3">
        <f>+VLOOKUP($A1699,MAGAZZINO!$B$2:$M$100000,4,FALSE)</f>
        <v/>
      </c>
      <c r="E1699" s="3">
        <f>+VLOOKUP($A1699,MAGAZZINO!$B$2:$M$100000,5,FALSE)</f>
        <v/>
      </c>
      <c r="F1699" s="3">
        <f>+VLOOKUP($A1699,MAGAZZINO!$B$2:$M$100000,6,FALSE)</f>
        <v/>
      </c>
      <c r="G1699" s="3">
        <f>+VLOOKUP($A1699,MAGAZZINO!$B$2:$M$100000,7,FALSE)</f>
        <v/>
      </c>
      <c r="H1699" s="3">
        <f>+VLOOKUP($A1699,MAGAZZINO!$B$2:$M$100000,8,FALSE)</f>
        <v/>
      </c>
      <c r="I1699" s="3">
        <f>+VLOOKUP($A1699,MAGAZZINO!$B$2:$M$100000,9,FALSE)</f>
        <v/>
      </c>
      <c r="J1699" s="3">
        <f>+VLOOKUP($A1699,MAGAZZINO!$B$2:$M$100000,10,FALSE)</f>
        <v/>
      </c>
      <c r="K1699" s="3">
        <f>+VLOOKUP($A1699,MAGAZZINO!$B$2:$M$100000,11,FALSE)</f>
        <v/>
      </c>
      <c r="L1699" s="5">
        <f>+VLOOKUP($A1699,MAGAZZINO!$B$2:$M$100000,12,FALSE)</f>
        <v/>
      </c>
      <c r="M1699" s="47" t="n"/>
      <c r="N1699" s="88" t="n">
        <v>45873</v>
      </c>
      <c r="O1699" s="156" t="inlineStr">
        <is>
          <t>BIN HUMAID NATIONAL TRADING CO. (ARABIA SAUDITA)</t>
        </is>
      </c>
      <c r="P1699" s="152" t="inlineStr">
        <is>
          <t xml:space="preserve">  IMPORT LICENSE N. 182480  (END USER CERTIFICATE)                                                                      AUT. ESPORTAZIONE MULTIPLA N. 6B/2025/2M RILASCIATA IL 26/05/2025                        (LICENZA DI SCARICO N. 6B/2025/2S RILASCIATA IL 30/07/2025)</t>
        </is>
      </c>
      <c r="Q1699" s="150" t="n"/>
      <c r="R1699" s="150" t="n"/>
      <c r="S1699" s="153" t="n"/>
    </row>
    <row r="1700" ht="36" customHeight="1">
      <c r="A1700" s="46" t="n">
        <v>4030</v>
      </c>
      <c r="B1700" s="4">
        <f>+VLOOKUP($A1700,MAGAZZINO!$B$2:$M$100000,2,FALSE)</f>
        <v/>
      </c>
      <c r="C1700" s="29">
        <f>+VLOOKUP($A1700,MAGAZZINO!$B$2:$M$100000,3,FALSE)</f>
        <v/>
      </c>
      <c r="D1700" s="3">
        <f>+VLOOKUP($A1700,MAGAZZINO!$B$2:$M$100000,4,FALSE)</f>
        <v/>
      </c>
      <c r="E1700" s="3">
        <f>+VLOOKUP($A1700,MAGAZZINO!$B$2:$M$100000,5,FALSE)</f>
        <v/>
      </c>
      <c r="F1700" s="3">
        <f>+VLOOKUP($A1700,MAGAZZINO!$B$2:$M$100000,6,FALSE)</f>
        <v/>
      </c>
      <c r="G1700" s="3">
        <f>+VLOOKUP($A1700,MAGAZZINO!$B$2:$M$100000,7,FALSE)</f>
        <v/>
      </c>
      <c r="H1700" s="3">
        <f>+VLOOKUP($A1700,MAGAZZINO!$B$2:$M$100000,8,FALSE)</f>
        <v/>
      </c>
      <c r="I1700" s="3">
        <f>+VLOOKUP($A1700,MAGAZZINO!$B$2:$M$100000,9,FALSE)</f>
        <v/>
      </c>
      <c r="J1700" s="3">
        <f>+VLOOKUP($A1700,MAGAZZINO!$B$2:$M$100000,10,FALSE)</f>
        <v/>
      </c>
      <c r="K1700" s="3">
        <f>+VLOOKUP($A1700,MAGAZZINO!$B$2:$M$100000,11,FALSE)</f>
        <v/>
      </c>
      <c r="L1700" s="5">
        <f>+VLOOKUP($A1700,MAGAZZINO!$B$2:$M$100000,12,FALSE)</f>
        <v/>
      </c>
      <c r="M1700" s="47" t="n"/>
      <c r="N1700" s="88" t="n">
        <v>45873</v>
      </c>
      <c r="O1700" s="156" t="inlineStr">
        <is>
          <t>BIN HUMAID NATIONAL TRADING CO. (ARABIA SAUDITA)</t>
        </is>
      </c>
      <c r="P1700" s="152" t="inlineStr">
        <is>
          <t xml:space="preserve">  IMPORT LICENSE N. 182480  (END USER CERTIFICATE)                                                                      AUT. ESPORTAZIONE MULTIPLA N. 6B/2025/2M RILASCIATA IL 26/05/2025                        (LICENZA DI SCARICO N. 6B/2025/2S RILASCIATA IL 30/07/2025)</t>
        </is>
      </c>
      <c r="Q1700" s="150" t="n"/>
      <c r="R1700" s="150" t="n"/>
      <c r="S1700" s="153" t="n"/>
    </row>
    <row r="1701" ht="36" customHeight="1">
      <c r="A1701" s="46" t="n">
        <v>4031</v>
      </c>
      <c r="B1701" s="4">
        <f>+VLOOKUP($A1701,MAGAZZINO!$B$2:$M$100000,2,FALSE)</f>
        <v/>
      </c>
      <c r="C1701" s="29">
        <f>+VLOOKUP($A1701,MAGAZZINO!$B$2:$M$100000,3,FALSE)</f>
        <v/>
      </c>
      <c r="D1701" s="3">
        <f>+VLOOKUP($A1701,MAGAZZINO!$B$2:$M$100000,4,FALSE)</f>
        <v/>
      </c>
      <c r="E1701" s="3">
        <f>+VLOOKUP($A1701,MAGAZZINO!$B$2:$M$100000,5,FALSE)</f>
        <v/>
      </c>
      <c r="F1701" s="3">
        <f>+VLOOKUP($A1701,MAGAZZINO!$B$2:$M$100000,6,FALSE)</f>
        <v/>
      </c>
      <c r="G1701" s="3">
        <f>+VLOOKUP($A1701,MAGAZZINO!$B$2:$M$100000,7,FALSE)</f>
        <v/>
      </c>
      <c r="H1701" s="3">
        <f>+VLOOKUP($A1701,MAGAZZINO!$B$2:$M$100000,8,FALSE)</f>
        <v/>
      </c>
      <c r="I1701" s="3">
        <f>+VLOOKUP($A1701,MAGAZZINO!$B$2:$M$100000,9,FALSE)</f>
        <v/>
      </c>
      <c r="J1701" s="3">
        <f>+VLOOKUP($A1701,MAGAZZINO!$B$2:$M$100000,10,FALSE)</f>
        <v/>
      </c>
      <c r="K1701" s="3">
        <f>+VLOOKUP($A1701,MAGAZZINO!$B$2:$M$100000,11,FALSE)</f>
        <v/>
      </c>
      <c r="L1701" s="5">
        <f>+VLOOKUP($A1701,MAGAZZINO!$B$2:$M$100000,12,FALSE)</f>
        <v/>
      </c>
      <c r="M1701" s="47" t="n"/>
      <c r="N1701" s="88" t="n">
        <v>45873</v>
      </c>
      <c r="O1701" s="156" t="inlineStr">
        <is>
          <t>BIN HUMAID NATIONAL TRADING CO. (ARABIA SAUDITA)</t>
        </is>
      </c>
      <c r="P1701" s="152" t="inlineStr">
        <is>
          <t xml:space="preserve">  IMPORT LICENSE N. 182480  (END USER CERTIFICATE)                                                                      AUT. ESPORTAZIONE MULTIPLA N. 6B/2025/2M RILASCIATA IL 26/05/2025                        (LICENZA DI SCARICO N. 6B/2025/2S RILASCIATA IL 30/07/2025)</t>
        </is>
      </c>
      <c r="Q1701" s="150" t="n"/>
      <c r="R1701" s="150" t="n"/>
      <c r="S1701" s="153" t="n"/>
    </row>
    <row r="1702" ht="36" customHeight="1">
      <c r="A1702" s="46" t="n">
        <v>4032</v>
      </c>
      <c r="B1702" s="4">
        <f>+VLOOKUP($A1702,MAGAZZINO!$B$2:$M$100000,2,FALSE)</f>
        <v/>
      </c>
      <c r="C1702" s="29">
        <f>+VLOOKUP($A1702,MAGAZZINO!$B$2:$M$100000,3,FALSE)</f>
        <v/>
      </c>
      <c r="D1702" s="3">
        <f>+VLOOKUP($A1702,MAGAZZINO!$B$2:$M$100000,4,FALSE)</f>
        <v/>
      </c>
      <c r="E1702" s="3">
        <f>+VLOOKUP($A1702,MAGAZZINO!$B$2:$M$100000,5,FALSE)</f>
        <v/>
      </c>
      <c r="F1702" s="3">
        <f>+VLOOKUP($A1702,MAGAZZINO!$B$2:$M$100000,6,FALSE)</f>
        <v/>
      </c>
      <c r="G1702" s="3">
        <f>+VLOOKUP($A1702,MAGAZZINO!$B$2:$M$100000,7,FALSE)</f>
        <v/>
      </c>
      <c r="H1702" s="3">
        <f>+VLOOKUP($A1702,MAGAZZINO!$B$2:$M$100000,8,FALSE)</f>
        <v/>
      </c>
      <c r="I1702" s="3">
        <f>+VLOOKUP($A1702,MAGAZZINO!$B$2:$M$100000,9,FALSE)</f>
        <v/>
      </c>
      <c r="J1702" s="3">
        <f>+VLOOKUP($A1702,MAGAZZINO!$B$2:$M$100000,10,FALSE)</f>
        <v/>
      </c>
      <c r="K1702" s="3">
        <f>+VLOOKUP($A1702,MAGAZZINO!$B$2:$M$100000,11,FALSE)</f>
        <v/>
      </c>
      <c r="L1702" s="5">
        <f>+VLOOKUP($A1702,MAGAZZINO!$B$2:$M$100000,12,FALSE)</f>
        <v/>
      </c>
      <c r="M1702" s="47" t="n"/>
      <c r="N1702" s="88" t="n">
        <v>45873</v>
      </c>
      <c r="O1702" s="156" t="inlineStr">
        <is>
          <t>BIN HUMAID NATIONAL TRADING CO. (ARABIA SAUDITA)</t>
        </is>
      </c>
      <c r="P1702" s="152" t="inlineStr">
        <is>
          <t xml:space="preserve">  IMPORT LICENSE N. 182480  (END USER CERTIFICATE)                                                                      AUT. ESPORTAZIONE MULTIPLA N. 6B/2025/2M RILASCIATA IL 26/05/2025                        (LICENZA DI SCARICO N. 6B/2025/2S RILASCIATA IL 30/07/2025)</t>
        </is>
      </c>
      <c r="Q1702" s="150" t="n"/>
      <c r="R1702" s="150" t="n"/>
      <c r="S1702" s="153" t="n"/>
    </row>
    <row r="1703" ht="36" customHeight="1">
      <c r="A1703" s="46" t="n">
        <v>4033</v>
      </c>
      <c r="B1703" s="4">
        <f>+VLOOKUP($A1703,MAGAZZINO!$B$2:$M$100000,2,FALSE)</f>
        <v/>
      </c>
      <c r="C1703" s="29">
        <f>+VLOOKUP($A1703,MAGAZZINO!$B$2:$M$100000,3,FALSE)</f>
        <v/>
      </c>
      <c r="D1703" s="3">
        <f>+VLOOKUP($A1703,MAGAZZINO!$B$2:$M$100000,4,FALSE)</f>
        <v/>
      </c>
      <c r="E1703" s="3">
        <f>+VLOOKUP($A1703,MAGAZZINO!$B$2:$M$100000,5,FALSE)</f>
        <v/>
      </c>
      <c r="F1703" s="3">
        <f>+VLOOKUP($A1703,MAGAZZINO!$B$2:$M$100000,6,FALSE)</f>
        <v/>
      </c>
      <c r="G1703" s="3">
        <f>+VLOOKUP($A1703,MAGAZZINO!$B$2:$M$100000,7,FALSE)</f>
        <v/>
      </c>
      <c r="H1703" s="3">
        <f>+VLOOKUP($A1703,MAGAZZINO!$B$2:$M$100000,8,FALSE)</f>
        <v/>
      </c>
      <c r="I1703" s="3">
        <f>+VLOOKUP($A1703,MAGAZZINO!$B$2:$M$100000,9,FALSE)</f>
        <v/>
      </c>
      <c r="J1703" s="3">
        <f>+VLOOKUP($A1703,MAGAZZINO!$B$2:$M$100000,10,FALSE)</f>
        <v/>
      </c>
      <c r="K1703" s="3">
        <f>+VLOOKUP($A1703,MAGAZZINO!$B$2:$M$100000,11,FALSE)</f>
        <v/>
      </c>
      <c r="L1703" s="5">
        <f>+VLOOKUP($A1703,MAGAZZINO!$B$2:$M$100000,12,FALSE)</f>
        <v/>
      </c>
      <c r="M1703" s="47" t="n"/>
      <c r="N1703" s="88" t="n">
        <v>45873</v>
      </c>
      <c r="O1703" s="156" t="inlineStr">
        <is>
          <t>BIN HUMAID NATIONAL TRADING CO. (ARABIA SAUDITA)</t>
        </is>
      </c>
      <c r="P1703" s="152" t="inlineStr">
        <is>
          <t xml:space="preserve">  IMPORT LICENSE N. 182480  (END USER CERTIFICATE)                                                                      AUT. ESPORTAZIONE MULTIPLA N. 6B/2025/2M RILASCIATA IL 26/05/2025                        (LICENZA DI SCARICO N. 6B/2025/2S RILASCIATA IL 30/07/2025)</t>
        </is>
      </c>
      <c r="Q1703" s="150" t="n"/>
      <c r="R1703" s="150" t="n"/>
      <c r="S1703" s="153" t="n"/>
    </row>
    <row r="1704" ht="36" customHeight="1">
      <c r="A1704" s="46" t="n">
        <v>4034</v>
      </c>
      <c r="B1704" s="4">
        <f>+VLOOKUP($A1704,MAGAZZINO!$B$2:$M$100000,2,FALSE)</f>
        <v/>
      </c>
      <c r="C1704" s="29">
        <f>+VLOOKUP($A1704,MAGAZZINO!$B$2:$M$100000,3,FALSE)</f>
        <v/>
      </c>
      <c r="D1704" s="3">
        <f>+VLOOKUP($A1704,MAGAZZINO!$B$2:$M$100000,4,FALSE)</f>
        <v/>
      </c>
      <c r="E1704" s="3">
        <f>+VLOOKUP($A1704,MAGAZZINO!$B$2:$M$100000,5,FALSE)</f>
        <v/>
      </c>
      <c r="F1704" s="3">
        <f>+VLOOKUP($A1704,MAGAZZINO!$B$2:$M$100000,6,FALSE)</f>
        <v/>
      </c>
      <c r="G1704" s="3">
        <f>+VLOOKUP($A1704,MAGAZZINO!$B$2:$M$100000,7,FALSE)</f>
        <v/>
      </c>
      <c r="H1704" s="3">
        <f>+VLOOKUP($A1704,MAGAZZINO!$B$2:$M$100000,8,FALSE)</f>
        <v/>
      </c>
      <c r="I1704" s="3">
        <f>+VLOOKUP($A1704,MAGAZZINO!$B$2:$M$100000,9,FALSE)</f>
        <v/>
      </c>
      <c r="J1704" s="3">
        <f>+VLOOKUP($A1704,MAGAZZINO!$B$2:$M$100000,10,FALSE)</f>
        <v/>
      </c>
      <c r="K1704" s="3">
        <f>+VLOOKUP($A1704,MAGAZZINO!$B$2:$M$100000,11,FALSE)</f>
        <v/>
      </c>
      <c r="L1704" s="5">
        <f>+VLOOKUP($A1704,MAGAZZINO!$B$2:$M$100000,12,FALSE)</f>
        <v/>
      </c>
      <c r="M1704" s="47" t="n"/>
      <c r="N1704" s="88" t="n">
        <v>45873</v>
      </c>
      <c r="O1704" s="156" t="inlineStr">
        <is>
          <t>BIN HUMAID NATIONAL TRADING CO. (ARABIA SAUDITA)</t>
        </is>
      </c>
      <c r="P1704" s="152" t="inlineStr">
        <is>
          <t xml:space="preserve">  IMPORT LICENSE N. 182480  (END USER CERTIFICATE)                                                                      AUT. ESPORTAZIONE MULTIPLA N. 6B/2025/2M RILASCIATA IL 26/05/2025                        (LICENZA DI SCARICO N. 6B/2025/2S RILASCIATA IL 30/07/2025)</t>
        </is>
      </c>
      <c r="Q1704" s="150" t="n"/>
      <c r="R1704" s="150" t="n"/>
      <c r="S1704" s="153" t="n"/>
    </row>
    <row r="1705" ht="36" customHeight="1">
      <c r="A1705" s="46" t="n">
        <v>4035</v>
      </c>
      <c r="B1705" s="4">
        <f>+VLOOKUP($A1705,MAGAZZINO!$B$2:$M$100000,2,FALSE)</f>
        <v/>
      </c>
      <c r="C1705" s="29">
        <f>+VLOOKUP($A1705,MAGAZZINO!$B$2:$M$100000,3,FALSE)</f>
        <v/>
      </c>
      <c r="D1705" s="3">
        <f>+VLOOKUP($A1705,MAGAZZINO!$B$2:$M$100000,4,FALSE)</f>
        <v/>
      </c>
      <c r="E1705" s="3">
        <f>+VLOOKUP($A1705,MAGAZZINO!$B$2:$M$100000,5,FALSE)</f>
        <v/>
      </c>
      <c r="F1705" s="3">
        <f>+VLOOKUP($A1705,MAGAZZINO!$B$2:$M$100000,6,FALSE)</f>
        <v/>
      </c>
      <c r="G1705" s="3">
        <f>+VLOOKUP($A1705,MAGAZZINO!$B$2:$M$100000,7,FALSE)</f>
        <v/>
      </c>
      <c r="H1705" s="3">
        <f>+VLOOKUP($A1705,MAGAZZINO!$B$2:$M$100000,8,FALSE)</f>
        <v/>
      </c>
      <c r="I1705" s="3">
        <f>+VLOOKUP($A1705,MAGAZZINO!$B$2:$M$100000,9,FALSE)</f>
        <v/>
      </c>
      <c r="J1705" s="3">
        <f>+VLOOKUP($A1705,MAGAZZINO!$B$2:$M$100000,10,FALSE)</f>
        <v/>
      </c>
      <c r="K1705" s="3">
        <f>+VLOOKUP($A1705,MAGAZZINO!$B$2:$M$100000,11,FALSE)</f>
        <v/>
      </c>
      <c r="L1705" s="5">
        <f>+VLOOKUP($A1705,MAGAZZINO!$B$2:$M$100000,12,FALSE)</f>
        <v/>
      </c>
      <c r="M1705" s="47" t="n"/>
      <c r="N1705" s="88" t="n">
        <v>45873</v>
      </c>
      <c r="O1705" s="156" t="inlineStr">
        <is>
          <t>BIN HUMAID NATIONAL TRADING CO. (ARABIA SAUDITA)</t>
        </is>
      </c>
      <c r="P1705" s="152" t="inlineStr">
        <is>
          <t xml:space="preserve">  IMPORT LICENSE N. 182480  (END USER CERTIFICATE)                                                                      AUT. ESPORTAZIONE MULTIPLA N. 6B/2025/2M RILASCIATA IL 26/05/2025                        (LICENZA DI SCARICO N. 6B/2025/2S RILASCIATA IL 30/07/2025)</t>
        </is>
      </c>
      <c r="Q1705" s="150" t="n"/>
      <c r="R1705" s="150" t="n"/>
      <c r="S1705" s="153" t="n"/>
    </row>
    <row r="1706" ht="36" customHeight="1">
      <c r="A1706" s="46" t="n">
        <v>4036</v>
      </c>
      <c r="B1706" s="4">
        <f>+VLOOKUP($A1706,MAGAZZINO!$B$2:$M$100000,2,FALSE)</f>
        <v/>
      </c>
      <c r="C1706" s="29">
        <f>+VLOOKUP($A1706,MAGAZZINO!$B$2:$M$100000,3,FALSE)</f>
        <v/>
      </c>
      <c r="D1706" s="3">
        <f>+VLOOKUP($A1706,MAGAZZINO!$B$2:$M$100000,4,FALSE)</f>
        <v/>
      </c>
      <c r="E1706" s="3">
        <f>+VLOOKUP($A1706,MAGAZZINO!$B$2:$M$100000,5,FALSE)</f>
        <v/>
      </c>
      <c r="F1706" s="3">
        <f>+VLOOKUP($A1706,MAGAZZINO!$B$2:$M$100000,6,FALSE)</f>
        <v/>
      </c>
      <c r="G1706" s="3">
        <f>+VLOOKUP($A1706,MAGAZZINO!$B$2:$M$100000,7,FALSE)</f>
        <v/>
      </c>
      <c r="H1706" s="3">
        <f>+VLOOKUP($A1706,MAGAZZINO!$B$2:$M$100000,8,FALSE)</f>
        <v/>
      </c>
      <c r="I1706" s="3">
        <f>+VLOOKUP($A1706,MAGAZZINO!$B$2:$M$100000,9,FALSE)</f>
        <v/>
      </c>
      <c r="J1706" s="3">
        <f>+VLOOKUP($A1706,MAGAZZINO!$B$2:$M$100000,10,FALSE)</f>
        <v/>
      </c>
      <c r="K1706" s="3">
        <f>+VLOOKUP($A1706,MAGAZZINO!$B$2:$M$100000,11,FALSE)</f>
        <v/>
      </c>
      <c r="L1706" s="5">
        <f>+VLOOKUP($A1706,MAGAZZINO!$B$2:$M$100000,12,FALSE)</f>
        <v/>
      </c>
      <c r="M1706" s="47" t="n"/>
      <c r="N1706" s="88" t="n">
        <v>45873</v>
      </c>
      <c r="O1706" s="156" t="inlineStr">
        <is>
          <t>BIN HUMAID NATIONAL TRADING CO. (ARABIA SAUDITA)</t>
        </is>
      </c>
      <c r="P1706" s="152" t="inlineStr">
        <is>
          <t xml:space="preserve">  IMPORT LICENSE N. 182480  (END USER CERTIFICATE)                                                                      AUT. ESPORTAZIONE MULTIPLA N. 6B/2025/2M RILASCIATA IL 26/05/2025                        (LICENZA DI SCARICO N. 6B/2025/2S RILASCIATA IL 30/07/2025)</t>
        </is>
      </c>
      <c r="Q1706" s="150" t="n"/>
      <c r="R1706" s="150" t="n"/>
      <c r="S1706" s="153" t="n"/>
    </row>
    <row r="1707" ht="36" customHeight="1">
      <c r="A1707" s="46" t="n">
        <v>4037</v>
      </c>
      <c r="B1707" s="4">
        <f>+VLOOKUP($A1707,MAGAZZINO!$B$2:$M$100000,2,FALSE)</f>
        <v/>
      </c>
      <c r="C1707" s="29">
        <f>+VLOOKUP($A1707,MAGAZZINO!$B$2:$M$100000,3,FALSE)</f>
        <v/>
      </c>
      <c r="D1707" s="3">
        <f>+VLOOKUP($A1707,MAGAZZINO!$B$2:$M$100000,4,FALSE)</f>
        <v/>
      </c>
      <c r="E1707" s="3">
        <f>+VLOOKUP($A1707,MAGAZZINO!$B$2:$M$100000,5,FALSE)</f>
        <v/>
      </c>
      <c r="F1707" s="3">
        <f>+VLOOKUP($A1707,MAGAZZINO!$B$2:$M$100000,6,FALSE)</f>
        <v/>
      </c>
      <c r="G1707" s="3">
        <f>+VLOOKUP($A1707,MAGAZZINO!$B$2:$M$100000,7,FALSE)</f>
        <v/>
      </c>
      <c r="H1707" s="3">
        <f>+VLOOKUP($A1707,MAGAZZINO!$B$2:$M$100000,8,FALSE)</f>
        <v/>
      </c>
      <c r="I1707" s="3">
        <f>+VLOOKUP($A1707,MAGAZZINO!$B$2:$M$100000,9,FALSE)</f>
        <v/>
      </c>
      <c r="J1707" s="3">
        <f>+VLOOKUP($A1707,MAGAZZINO!$B$2:$M$100000,10,FALSE)</f>
        <v/>
      </c>
      <c r="K1707" s="3">
        <f>+VLOOKUP($A1707,MAGAZZINO!$B$2:$M$100000,11,FALSE)</f>
        <v/>
      </c>
      <c r="L1707" s="5">
        <f>+VLOOKUP($A1707,MAGAZZINO!$B$2:$M$100000,12,FALSE)</f>
        <v/>
      </c>
      <c r="M1707" s="47" t="n"/>
      <c r="N1707" s="88" t="n">
        <v>45873</v>
      </c>
      <c r="O1707" s="156" t="inlineStr">
        <is>
          <t>BIN HUMAID NATIONAL TRADING CO. (ARABIA SAUDITA)</t>
        </is>
      </c>
      <c r="P1707" s="152" t="inlineStr">
        <is>
          <t xml:space="preserve">  IMPORT LICENSE N. 182480  (END USER CERTIFICATE)                                                                      AUT. ESPORTAZIONE MULTIPLA N. 6B/2025/2M RILASCIATA IL 26/05/2025                        (LICENZA DI SCARICO N. 6B/2025/2S RILASCIATA IL 30/07/2025)</t>
        </is>
      </c>
      <c r="Q1707" s="150" t="n"/>
      <c r="R1707" s="150" t="n"/>
      <c r="S1707" s="153" t="n"/>
    </row>
    <row r="1708" ht="36" customHeight="1">
      <c r="A1708" s="46" t="n">
        <v>4038</v>
      </c>
      <c r="B1708" s="4">
        <f>+VLOOKUP($A1708,MAGAZZINO!$B$2:$M$100000,2,FALSE)</f>
        <v/>
      </c>
      <c r="C1708" s="29">
        <f>+VLOOKUP($A1708,MAGAZZINO!$B$2:$M$100000,3,FALSE)</f>
        <v/>
      </c>
      <c r="D1708" s="3">
        <f>+VLOOKUP($A1708,MAGAZZINO!$B$2:$M$100000,4,FALSE)</f>
        <v/>
      </c>
      <c r="E1708" s="3">
        <f>+VLOOKUP($A1708,MAGAZZINO!$B$2:$M$100000,5,FALSE)</f>
        <v/>
      </c>
      <c r="F1708" s="3">
        <f>+VLOOKUP($A1708,MAGAZZINO!$B$2:$M$100000,6,FALSE)</f>
        <v/>
      </c>
      <c r="G1708" s="3">
        <f>+VLOOKUP($A1708,MAGAZZINO!$B$2:$M$100000,7,FALSE)</f>
        <v/>
      </c>
      <c r="H1708" s="3">
        <f>+VLOOKUP($A1708,MAGAZZINO!$B$2:$M$100000,8,FALSE)</f>
        <v/>
      </c>
      <c r="I1708" s="3">
        <f>+VLOOKUP($A1708,MAGAZZINO!$B$2:$M$100000,9,FALSE)</f>
        <v/>
      </c>
      <c r="J1708" s="3">
        <f>+VLOOKUP($A1708,MAGAZZINO!$B$2:$M$100000,10,FALSE)</f>
        <v/>
      </c>
      <c r="K1708" s="3">
        <f>+VLOOKUP($A1708,MAGAZZINO!$B$2:$M$100000,11,FALSE)</f>
        <v/>
      </c>
      <c r="L1708" s="5">
        <f>+VLOOKUP($A1708,MAGAZZINO!$B$2:$M$100000,12,FALSE)</f>
        <v/>
      </c>
      <c r="M1708" s="47" t="n"/>
      <c r="N1708" s="88" t="n">
        <v>45873</v>
      </c>
      <c r="O1708" s="156" t="inlineStr">
        <is>
          <t>BIN HUMAID NATIONAL TRADING CO. (ARABIA SAUDITA)</t>
        </is>
      </c>
      <c r="P1708" s="152" t="inlineStr">
        <is>
          <t xml:space="preserve">  IMPORT LICENSE N. 182480  (END USER CERTIFICATE)                                                                      AUT. ESPORTAZIONE MULTIPLA N. 6B/2025/2M RILASCIATA IL 26/05/2025                        (LICENZA DI SCARICO N. 6B/2025/2S RILASCIATA IL 30/07/2025)</t>
        </is>
      </c>
      <c r="Q1708" s="150" t="n"/>
      <c r="R1708" s="150" t="n"/>
      <c r="S1708" s="153" t="n"/>
    </row>
    <row r="1709" ht="36" customHeight="1">
      <c r="A1709" s="46" t="n">
        <v>4039</v>
      </c>
      <c r="B1709" s="4">
        <f>+VLOOKUP($A1709,MAGAZZINO!$B$2:$M$100000,2,FALSE)</f>
        <v/>
      </c>
      <c r="C1709" s="29">
        <f>+VLOOKUP($A1709,MAGAZZINO!$B$2:$M$100000,3,FALSE)</f>
        <v/>
      </c>
      <c r="D1709" s="3">
        <f>+VLOOKUP($A1709,MAGAZZINO!$B$2:$M$100000,4,FALSE)</f>
        <v/>
      </c>
      <c r="E1709" s="3">
        <f>+VLOOKUP($A1709,MAGAZZINO!$B$2:$M$100000,5,FALSE)</f>
        <v/>
      </c>
      <c r="F1709" s="3">
        <f>+VLOOKUP($A1709,MAGAZZINO!$B$2:$M$100000,6,FALSE)</f>
        <v/>
      </c>
      <c r="G1709" s="3">
        <f>+VLOOKUP($A1709,MAGAZZINO!$B$2:$M$100000,7,FALSE)</f>
        <v/>
      </c>
      <c r="H1709" s="3">
        <f>+VLOOKUP($A1709,MAGAZZINO!$B$2:$M$100000,8,FALSE)</f>
        <v/>
      </c>
      <c r="I1709" s="3">
        <f>+VLOOKUP($A1709,MAGAZZINO!$B$2:$M$100000,9,FALSE)</f>
        <v/>
      </c>
      <c r="J1709" s="3">
        <f>+VLOOKUP($A1709,MAGAZZINO!$B$2:$M$100000,10,FALSE)</f>
        <v/>
      </c>
      <c r="K1709" s="3">
        <f>+VLOOKUP($A1709,MAGAZZINO!$B$2:$M$100000,11,FALSE)</f>
        <v/>
      </c>
      <c r="L1709" s="5">
        <f>+VLOOKUP($A1709,MAGAZZINO!$B$2:$M$100000,12,FALSE)</f>
        <v/>
      </c>
      <c r="M1709" s="47" t="n"/>
      <c r="N1709" s="88" t="n">
        <v>45873</v>
      </c>
      <c r="O1709" s="156" t="inlineStr">
        <is>
          <t>BIN HUMAID NATIONAL TRADING CO. (ARABIA SAUDITA)</t>
        </is>
      </c>
      <c r="P1709" s="152" t="inlineStr">
        <is>
          <t xml:space="preserve">  IMPORT LICENSE N. 182480  (END USER CERTIFICATE)                                                                      AUT. ESPORTAZIONE MULTIPLA N. 6B/2025/2M RILASCIATA IL 26/05/2025                        (LICENZA DI SCARICO N. 6B/2025/2S RILASCIATA IL 30/07/2025)</t>
        </is>
      </c>
      <c r="Q1709" s="150" t="n"/>
      <c r="R1709" s="150" t="n"/>
      <c r="S1709" s="153" t="n"/>
    </row>
    <row r="1710" ht="36" customHeight="1">
      <c r="A1710" s="46" t="n">
        <v>4040</v>
      </c>
      <c r="B1710" s="4">
        <f>+VLOOKUP($A1710,MAGAZZINO!$B$2:$M$100000,2,FALSE)</f>
        <v/>
      </c>
      <c r="C1710" s="29">
        <f>+VLOOKUP($A1710,MAGAZZINO!$B$2:$M$100000,3,FALSE)</f>
        <v/>
      </c>
      <c r="D1710" s="3">
        <f>+VLOOKUP($A1710,MAGAZZINO!$B$2:$M$100000,4,FALSE)</f>
        <v/>
      </c>
      <c r="E1710" s="3">
        <f>+VLOOKUP($A1710,MAGAZZINO!$B$2:$M$100000,5,FALSE)</f>
        <v/>
      </c>
      <c r="F1710" s="3">
        <f>+VLOOKUP($A1710,MAGAZZINO!$B$2:$M$100000,6,FALSE)</f>
        <v/>
      </c>
      <c r="G1710" s="3">
        <f>+VLOOKUP($A1710,MAGAZZINO!$B$2:$M$100000,7,FALSE)</f>
        <v/>
      </c>
      <c r="H1710" s="3">
        <f>+VLOOKUP($A1710,MAGAZZINO!$B$2:$M$100000,8,FALSE)</f>
        <v/>
      </c>
      <c r="I1710" s="3">
        <f>+VLOOKUP($A1710,MAGAZZINO!$B$2:$M$100000,9,FALSE)</f>
        <v/>
      </c>
      <c r="J1710" s="3">
        <f>+VLOOKUP($A1710,MAGAZZINO!$B$2:$M$100000,10,FALSE)</f>
        <v/>
      </c>
      <c r="K1710" s="3">
        <f>+VLOOKUP($A1710,MAGAZZINO!$B$2:$M$100000,11,FALSE)</f>
        <v/>
      </c>
      <c r="L1710" s="5">
        <f>+VLOOKUP($A1710,MAGAZZINO!$B$2:$M$100000,12,FALSE)</f>
        <v/>
      </c>
      <c r="M1710" s="47" t="n"/>
      <c r="N1710" s="88" t="n">
        <v>45873</v>
      </c>
      <c r="O1710" s="156" t="inlineStr">
        <is>
          <t>BIN HUMAID NATIONAL TRADING CO. (ARABIA SAUDITA)</t>
        </is>
      </c>
      <c r="P1710" s="152" t="inlineStr">
        <is>
          <t xml:space="preserve">  IMPORT LICENSE N. 182480  (END USER CERTIFICATE)                                                                      AUT. ESPORTAZIONE MULTIPLA N. 6B/2025/2M RILASCIATA IL 26/05/2025                        (LICENZA DI SCARICO N. 6B/2025/2S RILASCIATA IL 30/07/2025)</t>
        </is>
      </c>
      <c r="Q1710" s="150" t="n"/>
      <c r="R1710" s="150" t="n"/>
      <c r="S1710" s="153" t="n"/>
    </row>
    <row r="1711" ht="36" customHeight="1">
      <c r="A1711" s="46" t="n">
        <v>4041</v>
      </c>
      <c r="B1711" s="4">
        <f>+VLOOKUP($A1711,MAGAZZINO!$B$2:$M$100000,2,FALSE)</f>
        <v/>
      </c>
      <c r="C1711" s="29">
        <f>+VLOOKUP($A1711,MAGAZZINO!$B$2:$M$100000,3,FALSE)</f>
        <v/>
      </c>
      <c r="D1711" s="3">
        <f>+VLOOKUP($A1711,MAGAZZINO!$B$2:$M$100000,4,FALSE)</f>
        <v/>
      </c>
      <c r="E1711" s="3">
        <f>+VLOOKUP($A1711,MAGAZZINO!$B$2:$M$100000,5,FALSE)</f>
        <v/>
      </c>
      <c r="F1711" s="3">
        <f>+VLOOKUP($A1711,MAGAZZINO!$B$2:$M$100000,6,FALSE)</f>
        <v/>
      </c>
      <c r="G1711" s="3">
        <f>+VLOOKUP($A1711,MAGAZZINO!$B$2:$M$100000,7,FALSE)</f>
        <v/>
      </c>
      <c r="H1711" s="3">
        <f>+VLOOKUP($A1711,MAGAZZINO!$B$2:$M$100000,8,FALSE)</f>
        <v/>
      </c>
      <c r="I1711" s="3">
        <f>+VLOOKUP($A1711,MAGAZZINO!$B$2:$M$100000,9,FALSE)</f>
        <v/>
      </c>
      <c r="J1711" s="3">
        <f>+VLOOKUP($A1711,MAGAZZINO!$B$2:$M$100000,10,FALSE)</f>
        <v/>
      </c>
      <c r="K1711" s="3">
        <f>+VLOOKUP($A1711,MAGAZZINO!$B$2:$M$100000,11,FALSE)</f>
        <v/>
      </c>
      <c r="L1711" s="5">
        <f>+VLOOKUP($A1711,MAGAZZINO!$B$2:$M$100000,12,FALSE)</f>
        <v/>
      </c>
      <c r="M1711" s="47" t="n"/>
      <c r="N1711" s="88" t="n">
        <v>45873</v>
      </c>
      <c r="O1711" s="156" t="inlineStr">
        <is>
          <t>BIN HUMAID NATIONAL TRADING CO. (ARABIA SAUDITA)</t>
        </is>
      </c>
      <c r="P1711" s="152" t="inlineStr">
        <is>
          <t xml:space="preserve">  IMPORT LICENSE N. 182480  (END USER CERTIFICATE)                                                                      AUT. ESPORTAZIONE MULTIPLA N. 6B/2025/2M RILASCIATA IL 26/05/2025                        (LICENZA DI SCARICO N. 6B/2025/2S RILASCIATA IL 30/07/2025)</t>
        </is>
      </c>
      <c r="Q1711" s="150" t="n"/>
      <c r="R1711" s="150" t="n"/>
      <c r="S1711" s="153" t="n"/>
    </row>
    <row r="1712" ht="36" customHeight="1">
      <c r="A1712" s="46" t="n">
        <v>4042</v>
      </c>
      <c r="B1712" s="4">
        <f>+VLOOKUP($A1712,MAGAZZINO!$B$2:$M$100000,2,FALSE)</f>
        <v/>
      </c>
      <c r="C1712" s="29">
        <f>+VLOOKUP($A1712,MAGAZZINO!$B$2:$M$100000,3,FALSE)</f>
        <v/>
      </c>
      <c r="D1712" s="3">
        <f>+VLOOKUP($A1712,MAGAZZINO!$B$2:$M$100000,4,FALSE)</f>
        <v/>
      </c>
      <c r="E1712" s="3">
        <f>+VLOOKUP($A1712,MAGAZZINO!$B$2:$M$100000,5,FALSE)</f>
        <v/>
      </c>
      <c r="F1712" s="3">
        <f>+VLOOKUP($A1712,MAGAZZINO!$B$2:$M$100000,6,FALSE)</f>
        <v/>
      </c>
      <c r="G1712" s="3">
        <f>+VLOOKUP($A1712,MAGAZZINO!$B$2:$M$100000,7,FALSE)</f>
        <v/>
      </c>
      <c r="H1712" s="3">
        <f>+VLOOKUP($A1712,MAGAZZINO!$B$2:$M$100000,8,FALSE)</f>
        <v/>
      </c>
      <c r="I1712" s="3">
        <f>+VLOOKUP($A1712,MAGAZZINO!$B$2:$M$100000,9,FALSE)</f>
        <v/>
      </c>
      <c r="J1712" s="3">
        <f>+VLOOKUP($A1712,MAGAZZINO!$B$2:$M$100000,10,FALSE)</f>
        <v/>
      </c>
      <c r="K1712" s="3">
        <f>+VLOOKUP($A1712,MAGAZZINO!$B$2:$M$100000,11,FALSE)</f>
        <v/>
      </c>
      <c r="L1712" s="5">
        <f>+VLOOKUP($A1712,MAGAZZINO!$B$2:$M$100000,12,FALSE)</f>
        <v/>
      </c>
      <c r="M1712" s="47" t="n"/>
      <c r="N1712" s="88" t="n">
        <v>45873</v>
      </c>
      <c r="O1712" s="156" t="inlineStr">
        <is>
          <t>BIN HUMAID NATIONAL TRADING CO. (ARABIA SAUDITA)</t>
        </is>
      </c>
      <c r="P1712" s="152" t="inlineStr">
        <is>
          <t xml:space="preserve">  IMPORT LICENSE N. 182480  (END USER CERTIFICATE)                                                                      AUT. ESPORTAZIONE MULTIPLA N. 6B/2025/2M RILASCIATA IL 26/05/2025                        (LICENZA DI SCARICO N. 6B/2025/2S RILASCIATA IL 30/07/2025)</t>
        </is>
      </c>
      <c r="Q1712" s="150" t="n"/>
      <c r="R1712" s="150" t="n"/>
      <c r="S1712" s="153" t="n"/>
    </row>
    <row r="1713" ht="36" customHeight="1">
      <c r="A1713" s="46" t="n">
        <v>4043</v>
      </c>
      <c r="B1713" s="4">
        <f>+VLOOKUP($A1713,MAGAZZINO!$B$2:$M$100000,2,FALSE)</f>
        <v/>
      </c>
      <c r="C1713" s="29">
        <f>+VLOOKUP($A1713,MAGAZZINO!$B$2:$M$100000,3,FALSE)</f>
        <v/>
      </c>
      <c r="D1713" s="3">
        <f>+VLOOKUP($A1713,MAGAZZINO!$B$2:$M$100000,4,FALSE)</f>
        <v/>
      </c>
      <c r="E1713" s="3">
        <f>+VLOOKUP($A1713,MAGAZZINO!$B$2:$M$100000,5,FALSE)</f>
        <v/>
      </c>
      <c r="F1713" s="3">
        <f>+VLOOKUP($A1713,MAGAZZINO!$B$2:$M$100000,6,FALSE)</f>
        <v/>
      </c>
      <c r="G1713" s="3">
        <f>+VLOOKUP($A1713,MAGAZZINO!$B$2:$M$100000,7,FALSE)</f>
        <v/>
      </c>
      <c r="H1713" s="3">
        <f>+VLOOKUP($A1713,MAGAZZINO!$B$2:$M$100000,8,FALSE)</f>
        <v/>
      </c>
      <c r="I1713" s="3">
        <f>+VLOOKUP($A1713,MAGAZZINO!$B$2:$M$100000,9,FALSE)</f>
        <v/>
      </c>
      <c r="J1713" s="3">
        <f>+VLOOKUP($A1713,MAGAZZINO!$B$2:$M$100000,10,FALSE)</f>
        <v/>
      </c>
      <c r="K1713" s="3">
        <f>+VLOOKUP($A1713,MAGAZZINO!$B$2:$M$100000,11,FALSE)</f>
        <v/>
      </c>
      <c r="L1713" s="5">
        <f>+VLOOKUP($A1713,MAGAZZINO!$B$2:$M$100000,12,FALSE)</f>
        <v/>
      </c>
      <c r="M1713" s="47" t="n"/>
      <c r="N1713" s="88" t="n">
        <v>45873</v>
      </c>
      <c r="O1713" s="156" t="inlineStr">
        <is>
          <t>BIN HUMAID NATIONAL TRADING CO. (ARABIA SAUDITA)</t>
        </is>
      </c>
      <c r="P1713" s="152" t="inlineStr">
        <is>
          <t xml:space="preserve">  IMPORT LICENSE N. 182480  (END USER CERTIFICATE)                                                                      AUT. ESPORTAZIONE MULTIPLA N. 6B/2025/2M RILASCIATA IL 26/05/2025                        (LICENZA DI SCARICO N. 6B/2025/2S RILASCIATA IL 30/07/2025)</t>
        </is>
      </c>
      <c r="Q1713" s="150" t="n"/>
      <c r="R1713" s="150" t="n"/>
      <c r="S1713" s="153" t="n"/>
    </row>
    <row r="1714" ht="36" customHeight="1">
      <c r="A1714" s="46" t="n">
        <v>4044</v>
      </c>
      <c r="B1714" s="4">
        <f>+VLOOKUP($A1714,MAGAZZINO!$B$2:$M$100000,2,FALSE)</f>
        <v/>
      </c>
      <c r="C1714" s="29">
        <f>+VLOOKUP($A1714,MAGAZZINO!$B$2:$M$100000,3,FALSE)</f>
        <v/>
      </c>
      <c r="D1714" s="3">
        <f>+VLOOKUP($A1714,MAGAZZINO!$B$2:$M$100000,4,FALSE)</f>
        <v/>
      </c>
      <c r="E1714" s="3">
        <f>+VLOOKUP($A1714,MAGAZZINO!$B$2:$M$100000,5,FALSE)</f>
        <v/>
      </c>
      <c r="F1714" s="3">
        <f>+VLOOKUP($A1714,MAGAZZINO!$B$2:$M$100000,6,FALSE)</f>
        <v/>
      </c>
      <c r="G1714" s="3">
        <f>+VLOOKUP($A1714,MAGAZZINO!$B$2:$M$100000,7,FALSE)</f>
        <v/>
      </c>
      <c r="H1714" s="3">
        <f>+VLOOKUP($A1714,MAGAZZINO!$B$2:$M$100000,8,FALSE)</f>
        <v/>
      </c>
      <c r="I1714" s="3">
        <f>+VLOOKUP($A1714,MAGAZZINO!$B$2:$M$100000,9,FALSE)</f>
        <v/>
      </c>
      <c r="J1714" s="3">
        <f>+VLOOKUP($A1714,MAGAZZINO!$B$2:$M$100000,10,FALSE)</f>
        <v/>
      </c>
      <c r="K1714" s="3">
        <f>+VLOOKUP($A1714,MAGAZZINO!$B$2:$M$100000,11,FALSE)</f>
        <v/>
      </c>
      <c r="L1714" s="5">
        <f>+VLOOKUP($A1714,MAGAZZINO!$B$2:$M$100000,12,FALSE)</f>
        <v/>
      </c>
      <c r="M1714" s="47" t="n"/>
      <c r="N1714" s="88" t="n">
        <v>45873</v>
      </c>
      <c r="O1714" s="156" t="inlineStr">
        <is>
          <t>BIN HUMAID NATIONAL TRADING CO. (ARABIA SAUDITA)</t>
        </is>
      </c>
      <c r="P1714" s="152" t="inlineStr">
        <is>
          <t xml:space="preserve">  IMPORT LICENSE N. 182480  (END USER CERTIFICATE)                                                                      AUT. ESPORTAZIONE MULTIPLA N. 6B/2025/2M RILASCIATA IL 26/05/2025                        (LICENZA DI SCARICO N. 6B/2025/2S RILASCIATA IL 30/07/2025)</t>
        </is>
      </c>
      <c r="Q1714" s="150" t="n"/>
      <c r="R1714" s="150" t="n"/>
      <c r="S1714" s="153" t="n"/>
    </row>
    <row r="1715" ht="36" customHeight="1">
      <c r="A1715" s="46" t="n">
        <v>4045</v>
      </c>
      <c r="B1715" s="4">
        <f>+VLOOKUP($A1715,MAGAZZINO!$B$2:$M$100000,2,FALSE)</f>
        <v/>
      </c>
      <c r="C1715" s="29">
        <f>+VLOOKUP($A1715,MAGAZZINO!$B$2:$M$100000,3,FALSE)</f>
        <v/>
      </c>
      <c r="D1715" s="3">
        <f>+VLOOKUP($A1715,MAGAZZINO!$B$2:$M$100000,4,FALSE)</f>
        <v/>
      </c>
      <c r="E1715" s="3">
        <f>+VLOOKUP($A1715,MAGAZZINO!$B$2:$M$100000,5,FALSE)</f>
        <v/>
      </c>
      <c r="F1715" s="3">
        <f>+VLOOKUP($A1715,MAGAZZINO!$B$2:$M$100000,6,FALSE)</f>
        <v/>
      </c>
      <c r="G1715" s="3">
        <f>+VLOOKUP($A1715,MAGAZZINO!$B$2:$M$100000,7,FALSE)</f>
        <v/>
      </c>
      <c r="H1715" s="3">
        <f>+VLOOKUP($A1715,MAGAZZINO!$B$2:$M$100000,8,FALSE)</f>
        <v/>
      </c>
      <c r="I1715" s="3">
        <f>+VLOOKUP($A1715,MAGAZZINO!$B$2:$M$100000,9,FALSE)</f>
        <v/>
      </c>
      <c r="J1715" s="3">
        <f>+VLOOKUP($A1715,MAGAZZINO!$B$2:$M$100000,10,FALSE)</f>
        <v/>
      </c>
      <c r="K1715" s="3">
        <f>+VLOOKUP($A1715,MAGAZZINO!$B$2:$M$100000,11,FALSE)</f>
        <v/>
      </c>
      <c r="L1715" s="5">
        <f>+VLOOKUP($A1715,MAGAZZINO!$B$2:$M$100000,12,FALSE)</f>
        <v/>
      </c>
      <c r="M1715" s="47" t="n"/>
      <c r="N1715" s="88" t="n">
        <v>45873</v>
      </c>
      <c r="O1715" s="156" t="inlineStr">
        <is>
          <t>BIN HUMAID NATIONAL TRADING CO. (ARABIA SAUDITA)</t>
        </is>
      </c>
      <c r="P1715" s="152" t="inlineStr">
        <is>
          <t xml:space="preserve">  IMPORT LICENSE N. 182480  (END USER CERTIFICATE)                                                                      AUT. ESPORTAZIONE MULTIPLA N. 6B/2025/2M RILASCIATA IL 26/05/2025                        (LICENZA DI SCARICO N. 6B/2025/2S RILASCIATA IL 30/07/2025)</t>
        </is>
      </c>
      <c r="Q1715" s="150" t="n"/>
      <c r="R1715" s="150" t="n"/>
      <c r="S1715" s="153" t="n"/>
    </row>
    <row r="1716" ht="36" customHeight="1">
      <c r="A1716" s="46" t="n">
        <v>4046</v>
      </c>
      <c r="B1716" s="4">
        <f>+VLOOKUP($A1716,MAGAZZINO!$B$2:$M$100000,2,FALSE)</f>
        <v/>
      </c>
      <c r="C1716" s="29">
        <f>+VLOOKUP($A1716,MAGAZZINO!$B$2:$M$100000,3,FALSE)</f>
        <v/>
      </c>
      <c r="D1716" s="3">
        <f>+VLOOKUP($A1716,MAGAZZINO!$B$2:$M$100000,4,FALSE)</f>
        <v/>
      </c>
      <c r="E1716" s="3">
        <f>+VLOOKUP($A1716,MAGAZZINO!$B$2:$M$100000,5,FALSE)</f>
        <v/>
      </c>
      <c r="F1716" s="3">
        <f>+VLOOKUP($A1716,MAGAZZINO!$B$2:$M$100000,6,FALSE)</f>
        <v/>
      </c>
      <c r="G1716" s="3">
        <f>+VLOOKUP($A1716,MAGAZZINO!$B$2:$M$100000,7,FALSE)</f>
        <v/>
      </c>
      <c r="H1716" s="3">
        <f>+VLOOKUP($A1716,MAGAZZINO!$B$2:$M$100000,8,FALSE)</f>
        <v/>
      </c>
      <c r="I1716" s="3">
        <f>+VLOOKUP($A1716,MAGAZZINO!$B$2:$M$100000,9,FALSE)</f>
        <v/>
      </c>
      <c r="J1716" s="3">
        <f>+VLOOKUP($A1716,MAGAZZINO!$B$2:$M$100000,10,FALSE)</f>
        <v/>
      </c>
      <c r="K1716" s="3">
        <f>+VLOOKUP($A1716,MAGAZZINO!$B$2:$M$100000,11,FALSE)</f>
        <v/>
      </c>
      <c r="L1716" s="5">
        <f>+VLOOKUP($A1716,MAGAZZINO!$B$2:$M$100000,12,FALSE)</f>
        <v/>
      </c>
      <c r="M1716" s="47" t="n"/>
      <c r="N1716" s="88" t="n">
        <v>45873</v>
      </c>
      <c r="O1716" s="156" t="inlineStr">
        <is>
          <t>BIN HUMAID NATIONAL TRADING CO. (ARABIA SAUDITA)</t>
        </is>
      </c>
      <c r="P1716" s="152" t="inlineStr">
        <is>
          <t xml:space="preserve">  IMPORT LICENSE N. 182480  (END USER CERTIFICATE)                                                                      AUT. ESPORTAZIONE MULTIPLA N. 6B/2025/2M RILASCIATA IL 26/05/2025                        (LICENZA DI SCARICO N. 6B/2025/2S RILASCIATA IL 30/07/2025)</t>
        </is>
      </c>
      <c r="Q1716" s="150" t="n"/>
      <c r="R1716" s="150" t="n"/>
      <c r="S1716" s="153" t="n"/>
    </row>
    <row r="1717" ht="36" customHeight="1">
      <c r="A1717" s="46" t="n">
        <v>4047</v>
      </c>
      <c r="B1717" s="4">
        <f>+VLOOKUP($A1717,MAGAZZINO!$B$2:$M$100000,2,FALSE)</f>
        <v/>
      </c>
      <c r="C1717" s="29">
        <f>+VLOOKUP($A1717,MAGAZZINO!$B$2:$M$100000,3,FALSE)</f>
        <v/>
      </c>
      <c r="D1717" s="3">
        <f>+VLOOKUP($A1717,MAGAZZINO!$B$2:$M$100000,4,FALSE)</f>
        <v/>
      </c>
      <c r="E1717" s="3">
        <f>+VLOOKUP($A1717,MAGAZZINO!$B$2:$M$100000,5,FALSE)</f>
        <v/>
      </c>
      <c r="F1717" s="3">
        <f>+VLOOKUP($A1717,MAGAZZINO!$B$2:$M$100000,6,FALSE)</f>
        <v/>
      </c>
      <c r="G1717" s="3">
        <f>+VLOOKUP($A1717,MAGAZZINO!$B$2:$M$100000,7,FALSE)</f>
        <v/>
      </c>
      <c r="H1717" s="3">
        <f>+VLOOKUP($A1717,MAGAZZINO!$B$2:$M$100000,8,FALSE)</f>
        <v/>
      </c>
      <c r="I1717" s="3">
        <f>+VLOOKUP($A1717,MAGAZZINO!$B$2:$M$100000,9,FALSE)</f>
        <v/>
      </c>
      <c r="J1717" s="3">
        <f>+VLOOKUP($A1717,MAGAZZINO!$B$2:$M$100000,10,FALSE)</f>
        <v/>
      </c>
      <c r="K1717" s="3">
        <f>+VLOOKUP($A1717,MAGAZZINO!$B$2:$M$100000,11,FALSE)</f>
        <v/>
      </c>
      <c r="L1717" s="5">
        <f>+VLOOKUP($A1717,MAGAZZINO!$B$2:$M$100000,12,FALSE)</f>
        <v/>
      </c>
      <c r="M1717" s="47" t="n"/>
      <c r="N1717" s="88" t="n">
        <v>45873</v>
      </c>
      <c r="O1717" s="156" t="inlineStr">
        <is>
          <t>BIN HUMAID NATIONAL TRADING CO. (ARABIA SAUDITA)</t>
        </is>
      </c>
      <c r="P1717" s="152" t="inlineStr">
        <is>
          <t xml:space="preserve">  IMPORT LICENSE N. 182480  (END USER CERTIFICATE)                                                                      AUT. ESPORTAZIONE MULTIPLA N. 6B/2025/2M RILASCIATA IL 26/05/2025                        (LICENZA DI SCARICO N. 6B/2025/2S RILASCIATA IL 30/07/2025)</t>
        </is>
      </c>
      <c r="Q1717" s="150" t="n"/>
      <c r="R1717" s="150" t="n"/>
      <c r="S1717" s="153" t="n"/>
    </row>
    <row r="1718" ht="36" customHeight="1">
      <c r="A1718" s="46" t="n">
        <v>4048</v>
      </c>
      <c r="B1718" s="4">
        <f>+VLOOKUP($A1718,MAGAZZINO!$B$2:$M$100000,2,FALSE)</f>
        <v/>
      </c>
      <c r="C1718" s="29">
        <f>+VLOOKUP($A1718,MAGAZZINO!$B$2:$M$100000,3,FALSE)</f>
        <v/>
      </c>
      <c r="D1718" s="3">
        <f>+VLOOKUP($A1718,MAGAZZINO!$B$2:$M$100000,4,FALSE)</f>
        <v/>
      </c>
      <c r="E1718" s="3">
        <f>+VLOOKUP($A1718,MAGAZZINO!$B$2:$M$100000,5,FALSE)</f>
        <v/>
      </c>
      <c r="F1718" s="3">
        <f>+VLOOKUP($A1718,MAGAZZINO!$B$2:$M$100000,6,FALSE)</f>
        <v/>
      </c>
      <c r="G1718" s="3">
        <f>+VLOOKUP($A1718,MAGAZZINO!$B$2:$M$100000,7,FALSE)</f>
        <v/>
      </c>
      <c r="H1718" s="3">
        <f>+VLOOKUP($A1718,MAGAZZINO!$B$2:$M$100000,8,FALSE)</f>
        <v/>
      </c>
      <c r="I1718" s="3">
        <f>+VLOOKUP($A1718,MAGAZZINO!$B$2:$M$100000,9,FALSE)</f>
        <v/>
      </c>
      <c r="J1718" s="3">
        <f>+VLOOKUP($A1718,MAGAZZINO!$B$2:$M$100000,10,FALSE)</f>
        <v/>
      </c>
      <c r="K1718" s="3">
        <f>+VLOOKUP($A1718,MAGAZZINO!$B$2:$M$100000,11,FALSE)</f>
        <v/>
      </c>
      <c r="L1718" s="5">
        <f>+VLOOKUP($A1718,MAGAZZINO!$B$2:$M$100000,12,FALSE)</f>
        <v/>
      </c>
      <c r="M1718" s="47" t="n"/>
      <c r="N1718" s="88" t="n">
        <v>45887</v>
      </c>
      <c r="O1718" s="91" t="inlineStr">
        <is>
          <t>PHILIPPOS CONSTANTINIDES TRADING CO. LTD (CIPRO)</t>
        </is>
      </c>
      <c r="P1718" s="154" t="inlineStr">
        <is>
          <t xml:space="preserve">IMPORT LICENSE N. 267 DEL 21/07/2025                                                                                         AUT. TRASFERIMENTO N. 6B/2025/4D RILASCIATA IL 28/07/2025   </t>
        </is>
      </c>
      <c r="Q1718" s="150" t="n"/>
      <c r="R1718" s="150" t="n"/>
      <c r="S1718" s="153" t="n"/>
    </row>
    <row r="1719" ht="36" customHeight="1">
      <c r="A1719" s="46" t="n">
        <v>4049</v>
      </c>
      <c r="B1719" s="4">
        <f>+VLOOKUP($A1719,MAGAZZINO!$B$2:$M$100000,2,FALSE)</f>
        <v/>
      </c>
      <c r="C1719" s="29">
        <f>+VLOOKUP($A1719,MAGAZZINO!$B$2:$M$100000,3,FALSE)</f>
        <v/>
      </c>
      <c r="D1719" s="3">
        <f>+VLOOKUP($A1719,MAGAZZINO!$B$2:$M$100000,4,FALSE)</f>
        <v/>
      </c>
      <c r="E1719" s="3">
        <f>+VLOOKUP($A1719,MAGAZZINO!$B$2:$M$100000,5,FALSE)</f>
        <v/>
      </c>
      <c r="F1719" s="3">
        <f>+VLOOKUP($A1719,MAGAZZINO!$B$2:$M$100000,6,FALSE)</f>
        <v/>
      </c>
      <c r="G1719" s="3">
        <f>+VLOOKUP($A1719,MAGAZZINO!$B$2:$M$100000,7,FALSE)</f>
        <v/>
      </c>
      <c r="H1719" s="3">
        <f>+VLOOKUP($A1719,MAGAZZINO!$B$2:$M$100000,8,FALSE)</f>
        <v/>
      </c>
      <c r="I1719" s="3">
        <f>+VLOOKUP($A1719,MAGAZZINO!$B$2:$M$100000,9,FALSE)</f>
        <v/>
      </c>
      <c r="J1719" s="3">
        <f>+VLOOKUP($A1719,MAGAZZINO!$B$2:$M$100000,10,FALSE)</f>
        <v/>
      </c>
      <c r="K1719" s="3">
        <f>+VLOOKUP($A1719,MAGAZZINO!$B$2:$M$100000,11,FALSE)</f>
        <v/>
      </c>
      <c r="L1719" s="5">
        <f>+VLOOKUP($A1719,MAGAZZINO!$B$2:$M$100000,12,FALSE)</f>
        <v/>
      </c>
      <c r="M1719" s="47" t="n"/>
      <c r="N1719" s="88" t="n">
        <v>45887</v>
      </c>
      <c r="O1719" s="91" t="inlineStr">
        <is>
          <t>PHILIPPOS CONSTANTINIDES TRADING CO. LTD (CIPRO)</t>
        </is>
      </c>
      <c r="P1719" s="154" t="inlineStr">
        <is>
          <t xml:space="preserve">IMPORT LICENSE N. 267 DEL 21/07/2025                                                                                         AUT. TRASFERIMENTO N. 6B/2025/4D RILASCIATA IL 28/07/2025   </t>
        </is>
      </c>
      <c r="Q1719" s="150" t="n"/>
      <c r="R1719" s="150" t="n"/>
      <c r="S1719" s="153" t="n"/>
    </row>
    <row r="1720" ht="36" customHeight="1">
      <c r="A1720" s="46" t="n">
        <v>4050</v>
      </c>
      <c r="B1720" s="4">
        <f>+VLOOKUP($A1720,MAGAZZINO!$B$2:$M$100000,2,FALSE)</f>
        <v/>
      </c>
      <c r="C1720" s="29">
        <f>+VLOOKUP($A1720,MAGAZZINO!$B$2:$M$100000,3,FALSE)</f>
        <v/>
      </c>
      <c r="D1720" s="3">
        <f>+VLOOKUP($A1720,MAGAZZINO!$B$2:$M$100000,4,FALSE)</f>
        <v/>
      </c>
      <c r="E1720" s="3">
        <f>+VLOOKUP($A1720,MAGAZZINO!$B$2:$M$100000,5,FALSE)</f>
        <v/>
      </c>
      <c r="F1720" s="3">
        <f>+VLOOKUP($A1720,MAGAZZINO!$B$2:$M$100000,6,FALSE)</f>
        <v/>
      </c>
      <c r="G1720" s="3">
        <f>+VLOOKUP($A1720,MAGAZZINO!$B$2:$M$100000,7,FALSE)</f>
        <v/>
      </c>
      <c r="H1720" s="3">
        <f>+VLOOKUP($A1720,MAGAZZINO!$B$2:$M$100000,8,FALSE)</f>
        <v/>
      </c>
      <c r="I1720" s="3">
        <f>+VLOOKUP($A1720,MAGAZZINO!$B$2:$M$100000,9,FALSE)</f>
        <v/>
      </c>
      <c r="J1720" s="3">
        <f>+VLOOKUP($A1720,MAGAZZINO!$B$2:$M$100000,10,FALSE)</f>
        <v/>
      </c>
      <c r="K1720" s="3">
        <f>+VLOOKUP($A1720,MAGAZZINO!$B$2:$M$100000,11,FALSE)</f>
        <v/>
      </c>
      <c r="L1720" s="5">
        <f>+VLOOKUP($A1720,MAGAZZINO!$B$2:$M$100000,12,FALSE)</f>
        <v/>
      </c>
      <c r="M1720" s="47" t="n"/>
      <c r="N1720" s="88" t="n">
        <v>45887</v>
      </c>
      <c r="O1720" s="91" t="inlineStr">
        <is>
          <t>PHILIPPOS CONSTANTINIDES TRADING CO. LTD (CIPRO)</t>
        </is>
      </c>
      <c r="P1720" s="154" t="inlineStr">
        <is>
          <t xml:space="preserve">IMPORT LICENSE N. 267 DEL 21/07/2025                                                                                         AUT. TRASFERIMENTO N. 6B/2025/4D RILASCIATA IL 28/07/2025   </t>
        </is>
      </c>
      <c r="Q1720" s="150" t="n"/>
      <c r="R1720" s="150" t="n"/>
      <c r="S1720" s="153" t="n"/>
    </row>
    <row r="1721" ht="36" customHeight="1">
      <c r="A1721" s="46" t="n">
        <v>4051</v>
      </c>
      <c r="B1721" s="4">
        <f>+VLOOKUP($A1721,MAGAZZINO!$B$2:$M$100000,2,FALSE)</f>
        <v/>
      </c>
      <c r="C1721" s="29">
        <f>+VLOOKUP($A1721,MAGAZZINO!$B$2:$M$100000,3,FALSE)</f>
        <v/>
      </c>
      <c r="D1721" s="3">
        <f>+VLOOKUP($A1721,MAGAZZINO!$B$2:$M$100000,4,FALSE)</f>
        <v/>
      </c>
      <c r="E1721" s="3">
        <f>+VLOOKUP($A1721,MAGAZZINO!$B$2:$M$100000,5,FALSE)</f>
        <v/>
      </c>
      <c r="F1721" s="3">
        <f>+VLOOKUP($A1721,MAGAZZINO!$B$2:$M$100000,6,FALSE)</f>
        <v/>
      </c>
      <c r="G1721" s="3">
        <f>+VLOOKUP($A1721,MAGAZZINO!$B$2:$M$100000,7,FALSE)</f>
        <v/>
      </c>
      <c r="H1721" s="3">
        <f>+VLOOKUP($A1721,MAGAZZINO!$B$2:$M$100000,8,FALSE)</f>
        <v/>
      </c>
      <c r="I1721" s="3">
        <f>+VLOOKUP($A1721,MAGAZZINO!$B$2:$M$100000,9,FALSE)</f>
        <v/>
      </c>
      <c r="J1721" s="3">
        <f>+VLOOKUP($A1721,MAGAZZINO!$B$2:$M$100000,10,FALSE)</f>
        <v/>
      </c>
      <c r="K1721" s="3">
        <f>+VLOOKUP($A1721,MAGAZZINO!$B$2:$M$100000,11,FALSE)</f>
        <v/>
      </c>
      <c r="L1721" s="5">
        <f>+VLOOKUP($A1721,MAGAZZINO!$B$2:$M$100000,12,FALSE)</f>
        <v/>
      </c>
      <c r="M1721" s="47" t="n"/>
      <c r="N1721" s="88" t="n">
        <v>45887</v>
      </c>
      <c r="O1721" s="91" t="inlineStr">
        <is>
          <t>PHILIPPOS CONSTANTINIDES TRADING CO. LTD (CIPRO)</t>
        </is>
      </c>
      <c r="P1721" s="154" t="inlineStr">
        <is>
          <t xml:space="preserve">IMPORT LICENSE N. 267 DEL 21/07/2025                                                                                         AUT. TRASFERIMENTO N. 6B/2025/4D RILASCIATA IL 28/07/2025   </t>
        </is>
      </c>
      <c r="Q1721" s="150" t="n"/>
      <c r="R1721" s="150" t="n"/>
      <c r="S1721" s="153" t="n"/>
    </row>
    <row r="1722" ht="36" customHeight="1">
      <c r="A1722" s="46" t="n">
        <v>4052</v>
      </c>
      <c r="B1722" s="4">
        <f>+VLOOKUP($A1722,MAGAZZINO!$B$2:$M$100000,2,FALSE)</f>
        <v/>
      </c>
      <c r="C1722" s="29">
        <f>+VLOOKUP($A1722,MAGAZZINO!$B$2:$M$100000,3,FALSE)</f>
        <v/>
      </c>
      <c r="D1722" s="3">
        <f>+VLOOKUP($A1722,MAGAZZINO!$B$2:$M$100000,4,FALSE)</f>
        <v/>
      </c>
      <c r="E1722" s="3">
        <f>+VLOOKUP($A1722,MAGAZZINO!$B$2:$M$100000,5,FALSE)</f>
        <v/>
      </c>
      <c r="F1722" s="3">
        <f>+VLOOKUP($A1722,MAGAZZINO!$B$2:$M$100000,6,FALSE)</f>
        <v/>
      </c>
      <c r="G1722" s="3">
        <f>+VLOOKUP($A1722,MAGAZZINO!$B$2:$M$100000,7,FALSE)</f>
        <v/>
      </c>
      <c r="H1722" s="3">
        <f>+VLOOKUP($A1722,MAGAZZINO!$B$2:$M$100000,8,FALSE)</f>
        <v/>
      </c>
      <c r="I1722" s="3">
        <f>+VLOOKUP($A1722,MAGAZZINO!$B$2:$M$100000,9,FALSE)</f>
        <v/>
      </c>
      <c r="J1722" s="3">
        <f>+VLOOKUP($A1722,MAGAZZINO!$B$2:$M$100000,10,FALSE)</f>
        <v/>
      </c>
      <c r="K1722" s="3">
        <f>+VLOOKUP($A1722,MAGAZZINO!$B$2:$M$100000,11,FALSE)</f>
        <v/>
      </c>
      <c r="L1722" s="5">
        <f>+VLOOKUP($A1722,MAGAZZINO!$B$2:$M$100000,12,FALSE)</f>
        <v/>
      </c>
      <c r="M1722" s="47" t="n"/>
      <c r="N1722" s="88" t="n">
        <v>45887</v>
      </c>
      <c r="O1722" s="91" t="inlineStr">
        <is>
          <t>PHILIPPOS CONSTANTINIDES TRADING CO. LTD (CIPRO)</t>
        </is>
      </c>
      <c r="P1722" s="154" t="inlineStr">
        <is>
          <t xml:space="preserve">IMPORT LICENSE N. 267 DEL 21/07/2025                                                                                         AUT. TRASFERIMENTO N. 6B/2025/4D RILASCIATA IL 28/07/2025   </t>
        </is>
      </c>
      <c r="Q1722" s="150" t="n"/>
      <c r="R1722" s="150" t="n"/>
      <c r="S1722" s="153" t="n"/>
    </row>
    <row r="1723" ht="36" customHeight="1">
      <c r="A1723" s="46" t="n">
        <v>4053</v>
      </c>
      <c r="B1723" s="4">
        <f>+VLOOKUP($A1723,MAGAZZINO!$B$2:$M$100000,2,FALSE)</f>
        <v/>
      </c>
      <c r="C1723" s="29">
        <f>+VLOOKUP($A1723,MAGAZZINO!$B$2:$M$100000,3,FALSE)</f>
        <v/>
      </c>
      <c r="D1723" s="3">
        <f>+VLOOKUP($A1723,MAGAZZINO!$B$2:$M$100000,4,FALSE)</f>
        <v/>
      </c>
      <c r="E1723" s="3">
        <f>+VLOOKUP($A1723,MAGAZZINO!$B$2:$M$100000,5,FALSE)</f>
        <v/>
      </c>
      <c r="F1723" s="3">
        <f>+VLOOKUP($A1723,MAGAZZINO!$B$2:$M$100000,6,FALSE)</f>
        <v/>
      </c>
      <c r="G1723" s="3">
        <f>+VLOOKUP($A1723,MAGAZZINO!$B$2:$M$100000,7,FALSE)</f>
        <v/>
      </c>
      <c r="H1723" s="3">
        <f>+VLOOKUP($A1723,MAGAZZINO!$B$2:$M$100000,8,FALSE)</f>
        <v/>
      </c>
      <c r="I1723" s="3">
        <f>+VLOOKUP($A1723,MAGAZZINO!$B$2:$M$100000,9,FALSE)</f>
        <v/>
      </c>
      <c r="J1723" s="3">
        <f>+VLOOKUP($A1723,MAGAZZINO!$B$2:$M$100000,10,FALSE)</f>
        <v/>
      </c>
      <c r="K1723" s="3">
        <f>+VLOOKUP($A1723,MAGAZZINO!$B$2:$M$100000,11,FALSE)</f>
        <v/>
      </c>
      <c r="L1723" s="5">
        <f>+VLOOKUP($A1723,MAGAZZINO!$B$2:$M$100000,12,FALSE)</f>
        <v/>
      </c>
      <c r="M1723" s="47" t="n"/>
      <c r="N1723" s="88" t="n">
        <v>45887</v>
      </c>
      <c r="O1723" s="91" t="inlineStr">
        <is>
          <t>PHILIPPOS CONSTANTINIDES TRADING CO. LTD (CIPRO)</t>
        </is>
      </c>
      <c r="P1723" s="154" t="inlineStr">
        <is>
          <t xml:space="preserve">IMPORT LICENSE N. 267 DEL 21/07/2025                                                                                         AUT. TRASFERIMENTO N. 6B/2025/4D RILASCIATA IL 28/07/2025   </t>
        </is>
      </c>
      <c r="Q1723" s="150" t="n"/>
      <c r="R1723" s="150" t="n"/>
      <c r="S1723" s="153" t="n"/>
    </row>
    <row r="1724" ht="36" customHeight="1">
      <c r="A1724" s="46" t="n">
        <v>4054</v>
      </c>
      <c r="B1724" s="4">
        <f>+VLOOKUP($A1724,MAGAZZINO!$B$2:$M$100000,2,FALSE)</f>
        <v/>
      </c>
      <c r="C1724" s="29">
        <f>+VLOOKUP($A1724,MAGAZZINO!$B$2:$M$100000,3,FALSE)</f>
        <v/>
      </c>
      <c r="D1724" s="3">
        <f>+VLOOKUP($A1724,MAGAZZINO!$B$2:$M$100000,4,FALSE)</f>
        <v/>
      </c>
      <c r="E1724" s="3">
        <f>+VLOOKUP($A1724,MAGAZZINO!$B$2:$M$100000,5,FALSE)</f>
        <v/>
      </c>
      <c r="F1724" s="3">
        <f>+VLOOKUP($A1724,MAGAZZINO!$B$2:$M$100000,6,FALSE)</f>
        <v/>
      </c>
      <c r="G1724" s="3">
        <f>+VLOOKUP($A1724,MAGAZZINO!$B$2:$M$100000,7,FALSE)</f>
        <v/>
      </c>
      <c r="H1724" s="3">
        <f>+VLOOKUP($A1724,MAGAZZINO!$B$2:$M$100000,8,FALSE)</f>
        <v/>
      </c>
      <c r="I1724" s="3">
        <f>+VLOOKUP($A1724,MAGAZZINO!$B$2:$M$100000,9,FALSE)</f>
        <v/>
      </c>
      <c r="J1724" s="3">
        <f>+VLOOKUP($A1724,MAGAZZINO!$B$2:$M$100000,10,FALSE)</f>
        <v/>
      </c>
      <c r="K1724" s="3">
        <f>+VLOOKUP($A1724,MAGAZZINO!$B$2:$M$100000,11,FALSE)</f>
        <v/>
      </c>
      <c r="L1724" s="5">
        <f>+VLOOKUP($A1724,MAGAZZINO!$B$2:$M$100000,12,FALSE)</f>
        <v/>
      </c>
      <c r="M1724" s="47" t="n"/>
      <c r="N1724" s="88" t="n">
        <v>45887</v>
      </c>
      <c r="O1724" s="91" t="inlineStr">
        <is>
          <t>PHILIPPOS CONSTANTINIDES TRADING CO. LTD (CIPRO)</t>
        </is>
      </c>
      <c r="P1724" s="154" t="inlineStr">
        <is>
          <t xml:space="preserve">IMPORT LICENSE N. 267 DEL 21/07/2025                                                                                         AUT. TRASFERIMENTO N. 6B/2025/4D RILASCIATA IL 28/07/2025   </t>
        </is>
      </c>
      <c r="Q1724" s="150" t="n"/>
      <c r="R1724" s="150" t="n"/>
      <c r="S1724" s="153" t="n"/>
    </row>
    <row r="1725" ht="36" customHeight="1">
      <c r="A1725" s="46" t="n">
        <v>4055</v>
      </c>
      <c r="B1725" s="4">
        <f>+VLOOKUP($A1725,MAGAZZINO!$B$2:$M$100000,2,FALSE)</f>
        <v/>
      </c>
      <c r="C1725" s="29">
        <f>+VLOOKUP($A1725,MAGAZZINO!$B$2:$M$100000,3,FALSE)</f>
        <v/>
      </c>
      <c r="D1725" s="3">
        <f>+VLOOKUP($A1725,MAGAZZINO!$B$2:$M$100000,4,FALSE)</f>
        <v/>
      </c>
      <c r="E1725" s="3">
        <f>+VLOOKUP($A1725,MAGAZZINO!$B$2:$M$100000,5,FALSE)</f>
        <v/>
      </c>
      <c r="F1725" s="3">
        <f>+VLOOKUP($A1725,MAGAZZINO!$B$2:$M$100000,6,FALSE)</f>
        <v/>
      </c>
      <c r="G1725" s="3">
        <f>+VLOOKUP($A1725,MAGAZZINO!$B$2:$M$100000,7,FALSE)</f>
        <v/>
      </c>
      <c r="H1725" s="3">
        <f>+VLOOKUP($A1725,MAGAZZINO!$B$2:$M$100000,8,FALSE)</f>
        <v/>
      </c>
      <c r="I1725" s="3">
        <f>+VLOOKUP($A1725,MAGAZZINO!$B$2:$M$100000,9,FALSE)</f>
        <v/>
      </c>
      <c r="J1725" s="3">
        <f>+VLOOKUP($A1725,MAGAZZINO!$B$2:$M$100000,10,FALSE)</f>
        <v/>
      </c>
      <c r="K1725" s="3">
        <f>+VLOOKUP($A1725,MAGAZZINO!$B$2:$M$100000,11,FALSE)</f>
        <v/>
      </c>
      <c r="L1725" s="5">
        <f>+VLOOKUP($A1725,MAGAZZINO!$B$2:$M$100000,12,FALSE)</f>
        <v/>
      </c>
      <c r="M1725" s="47" t="n"/>
      <c r="N1725" s="88" t="n">
        <v>45887</v>
      </c>
      <c r="O1725" s="91" t="inlineStr">
        <is>
          <t>PHILIPPOS CONSTANTINIDES TRADING CO. LTD (CIPRO)</t>
        </is>
      </c>
      <c r="P1725" s="154" t="inlineStr">
        <is>
          <t xml:space="preserve">IMPORT LICENSE N. 267 DEL 21/07/2025                                                                                         AUT. TRASFERIMENTO N. 6B/2025/4D RILASCIATA IL 28/07/2025   </t>
        </is>
      </c>
      <c r="Q1725" s="150" t="n"/>
      <c r="R1725" s="150" t="n"/>
      <c r="S1725" s="153" t="n"/>
    </row>
    <row r="1726" ht="36" customHeight="1">
      <c r="A1726" s="46" t="n">
        <v>4056</v>
      </c>
      <c r="B1726" s="4">
        <f>+VLOOKUP($A1726,MAGAZZINO!$B$2:$M$100000,2,FALSE)</f>
        <v/>
      </c>
      <c r="C1726" s="29">
        <f>+VLOOKUP($A1726,MAGAZZINO!$B$2:$M$100000,3,FALSE)</f>
        <v/>
      </c>
      <c r="D1726" s="3">
        <f>+VLOOKUP($A1726,MAGAZZINO!$B$2:$M$100000,4,FALSE)</f>
        <v/>
      </c>
      <c r="E1726" s="3">
        <f>+VLOOKUP($A1726,MAGAZZINO!$B$2:$M$100000,5,FALSE)</f>
        <v/>
      </c>
      <c r="F1726" s="3">
        <f>+VLOOKUP($A1726,MAGAZZINO!$B$2:$M$100000,6,FALSE)</f>
        <v/>
      </c>
      <c r="G1726" s="3">
        <f>+VLOOKUP($A1726,MAGAZZINO!$B$2:$M$100000,7,FALSE)</f>
        <v/>
      </c>
      <c r="H1726" s="3">
        <f>+VLOOKUP($A1726,MAGAZZINO!$B$2:$M$100000,8,FALSE)</f>
        <v/>
      </c>
      <c r="I1726" s="3">
        <f>+VLOOKUP($A1726,MAGAZZINO!$B$2:$M$100000,9,FALSE)</f>
        <v/>
      </c>
      <c r="J1726" s="3">
        <f>+VLOOKUP($A1726,MAGAZZINO!$B$2:$M$100000,10,FALSE)</f>
        <v/>
      </c>
      <c r="K1726" s="3">
        <f>+VLOOKUP($A1726,MAGAZZINO!$B$2:$M$100000,11,FALSE)</f>
        <v/>
      </c>
      <c r="L1726" s="5">
        <f>+VLOOKUP($A1726,MAGAZZINO!$B$2:$M$100000,12,FALSE)</f>
        <v/>
      </c>
      <c r="M1726" s="47" t="n"/>
      <c r="N1726" s="88" t="n">
        <v>45887</v>
      </c>
      <c r="O1726" s="91" t="inlineStr">
        <is>
          <t>PHILIPPOS CONSTANTINIDES TRADING CO. LTD (CIPRO)</t>
        </is>
      </c>
      <c r="P1726" s="154" t="inlineStr">
        <is>
          <t xml:space="preserve">IMPORT LICENSE N. 267 DEL 21/07/2025                                                                                         AUT. TRASFERIMENTO N. 6B/2025/4D RILASCIATA IL 28/07/2025   </t>
        </is>
      </c>
      <c r="Q1726" s="150" t="n"/>
      <c r="R1726" s="150" t="n"/>
      <c r="S1726" s="153" t="n"/>
    </row>
    <row r="1727" ht="36" customHeight="1">
      <c r="A1727" s="46" t="n">
        <v>4057</v>
      </c>
      <c r="B1727" s="4">
        <f>+VLOOKUP($A1727,MAGAZZINO!$B$2:$M$100000,2,FALSE)</f>
        <v/>
      </c>
      <c r="C1727" s="29">
        <f>+VLOOKUP($A1727,MAGAZZINO!$B$2:$M$100000,3,FALSE)</f>
        <v/>
      </c>
      <c r="D1727" s="3">
        <f>+VLOOKUP($A1727,MAGAZZINO!$B$2:$M$100000,4,FALSE)</f>
        <v/>
      </c>
      <c r="E1727" s="3">
        <f>+VLOOKUP($A1727,MAGAZZINO!$B$2:$M$100000,5,FALSE)</f>
        <v/>
      </c>
      <c r="F1727" s="3">
        <f>+VLOOKUP($A1727,MAGAZZINO!$B$2:$M$100000,6,FALSE)</f>
        <v/>
      </c>
      <c r="G1727" s="3">
        <f>+VLOOKUP($A1727,MAGAZZINO!$B$2:$M$100000,7,FALSE)</f>
        <v/>
      </c>
      <c r="H1727" s="3">
        <f>+VLOOKUP($A1727,MAGAZZINO!$B$2:$M$100000,8,FALSE)</f>
        <v/>
      </c>
      <c r="I1727" s="3">
        <f>+VLOOKUP($A1727,MAGAZZINO!$B$2:$M$100000,9,FALSE)</f>
        <v/>
      </c>
      <c r="J1727" s="3">
        <f>+VLOOKUP($A1727,MAGAZZINO!$B$2:$M$100000,10,FALSE)</f>
        <v/>
      </c>
      <c r="K1727" s="3">
        <f>+VLOOKUP($A1727,MAGAZZINO!$B$2:$M$100000,11,FALSE)</f>
        <v/>
      </c>
      <c r="L1727" s="5">
        <f>+VLOOKUP($A1727,MAGAZZINO!$B$2:$M$100000,12,FALSE)</f>
        <v/>
      </c>
      <c r="M1727" s="47" t="n"/>
      <c r="N1727" s="88" t="n">
        <v>45887</v>
      </c>
      <c r="O1727" s="91" t="inlineStr">
        <is>
          <t>PHILIPPOS CONSTANTINIDES TRADING CO. LTD (CIPRO)</t>
        </is>
      </c>
      <c r="P1727" s="154" t="inlineStr">
        <is>
          <t xml:space="preserve">IMPORT LICENSE N. 267 DEL 21/07/2025                                                                                         AUT. TRASFERIMENTO N. 6B/2025/4D RILASCIATA IL 28/07/2025   </t>
        </is>
      </c>
      <c r="Q1727" s="150" t="n"/>
      <c r="R1727" s="150" t="n"/>
      <c r="S1727" s="153" t="n"/>
    </row>
    <row r="1728" ht="36" customHeight="1">
      <c r="A1728" s="46" t="n">
        <v>4058</v>
      </c>
      <c r="B1728" s="4">
        <f>+VLOOKUP($A1728,MAGAZZINO!$B$2:$M$100000,2,FALSE)</f>
        <v/>
      </c>
      <c r="C1728" s="29">
        <f>+VLOOKUP($A1728,MAGAZZINO!$B$2:$M$100000,3,FALSE)</f>
        <v/>
      </c>
      <c r="D1728" s="3">
        <f>+VLOOKUP($A1728,MAGAZZINO!$B$2:$M$100000,4,FALSE)</f>
        <v/>
      </c>
      <c r="E1728" s="3">
        <f>+VLOOKUP($A1728,MAGAZZINO!$B$2:$M$100000,5,FALSE)</f>
        <v/>
      </c>
      <c r="F1728" s="3">
        <f>+VLOOKUP($A1728,MAGAZZINO!$B$2:$M$100000,6,FALSE)</f>
        <v/>
      </c>
      <c r="G1728" s="3">
        <f>+VLOOKUP($A1728,MAGAZZINO!$B$2:$M$100000,7,FALSE)</f>
        <v/>
      </c>
      <c r="H1728" s="3">
        <f>+VLOOKUP($A1728,MAGAZZINO!$B$2:$M$100000,8,FALSE)</f>
        <v/>
      </c>
      <c r="I1728" s="3">
        <f>+VLOOKUP($A1728,MAGAZZINO!$B$2:$M$100000,9,FALSE)</f>
        <v/>
      </c>
      <c r="J1728" s="3">
        <f>+VLOOKUP($A1728,MAGAZZINO!$B$2:$M$100000,10,FALSE)</f>
        <v/>
      </c>
      <c r="K1728" s="3">
        <f>+VLOOKUP($A1728,MAGAZZINO!$B$2:$M$100000,11,FALSE)</f>
        <v/>
      </c>
      <c r="L1728" s="5">
        <f>+VLOOKUP($A1728,MAGAZZINO!$B$2:$M$100000,12,FALSE)</f>
        <v/>
      </c>
      <c r="M1728" s="47" t="n"/>
      <c r="N1728" s="88" t="n">
        <v>45874</v>
      </c>
      <c r="O1728" s="91" t="inlineStr">
        <is>
          <t>PHILIPPOS CONSTANTINIDES TRADING CO. LTD (CIPRO)</t>
        </is>
      </c>
      <c r="P1728" s="154" t="inlineStr">
        <is>
          <t xml:space="preserve">IMPORT LICENSE N. 218 DEL 12/08/2020                                                                                         AUT. TRASFERIMENTO N. 6B/2025/3D RILASCIATA IL 28/07/2025   </t>
        </is>
      </c>
      <c r="Q1728" s="150" t="n"/>
      <c r="R1728" s="150" t="n"/>
      <c r="S1728" s="153" t="n"/>
    </row>
    <row r="1729" ht="36" customHeight="1">
      <c r="A1729" s="46" t="n">
        <v>4059</v>
      </c>
      <c r="B1729" s="4">
        <f>+VLOOKUP($A1729,MAGAZZINO!$B$2:$M$100000,2,FALSE)</f>
        <v/>
      </c>
      <c r="C1729" s="29">
        <f>+VLOOKUP($A1729,MAGAZZINO!$B$2:$M$100000,3,FALSE)</f>
        <v/>
      </c>
      <c r="D1729" s="3">
        <f>+VLOOKUP($A1729,MAGAZZINO!$B$2:$M$100000,4,FALSE)</f>
        <v/>
      </c>
      <c r="E1729" s="3">
        <f>+VLOOKUP($A1729,MAGAZZINO!$B$2:$M$100000,5,FALSE)</f>
        <v/>
      </c>
      <c r="F1729" s="3">
        <f>+VLOOKUP($A1729,MAGAZZINO!$B$2:$M$100000,6,FALSE)</f>
        <v/>
      </c>
      <c r="G1729" s="3">
        <f>+VLOOKUP($A1729,MAGAZZINO!$B$2:$M$100000,7,FALSE)</f>
        <v/>
      </c>
      <c r="H1729" s="3">
        <f>+VLOOKUP($A1729,MAGAZZINO!$B$2:$M$100000,8,FALSE)</f>
        <v/>
      </c>
      <c r="I1729" s="3">
        <f>+VLOOKUP($A1729,MAGAZZINO!$B$2:$M$100000,9,FALSE)</f>
        <v/>
      </c>
      <c r="J1729" s="3">
        <f>+VLOOKUP($A1729,MAGAZZINO!$B$2:$M$100000,10,FALSE)</f>
        <v/>
      </c>
      <c r="K1729" s="3">
        <f>+VLOOKUP($A1729,MAGAZZINO!$B$2:$M$100000,11,FALSE)</f>
        <v/>
      </c>
      <c r="L1729" s="5">
        <f>+VLOOKUP($A1729,MAGAZZINO!$B$2:$M$100000,12,FALSE)</f>
        <v/>
      </c>
      <c r="M1729" s="47" t="n"/>
      <c r="N1729" s="88" t="n">
        <v>45874</v>
      </c>
      <c r="O1729" s="91" t="inlineStr">
        <is>
          <t>PHILIPPOS CONSTANTINIDES TRADING CO. LTD (CIPRO)</t>
        </is>
      </c>
      <c r="P1729" s="154" t="inlineStr">
        <is>
          <t xml:space="preserve">IMPORT LICENSE N. 218 DEL 12/08/2020                                                                                         AUT. TRASFERIMENTO N. 6B/2025/3D RILASCIATA IL 28/07/2025   </t>
        </is>
      </c>
      <c r="Q1729" s="150" t="n"/>
      <c r="R1729" s="150" t="n"/>
      <c r="S1729" s="153" t="n"/>
    </row>
    <row r="1730" ht="36" customHeight="1">
      <c r="A1730" s="46" t="n">
        <v>4060</v>
      </c>
      <c r="B1730" s="4">
        <f>+VLOOKUP($A1730,MAGAZZINO!$B$2:$M$100000,2,FALSE)</f>
        <v/>
      </c>
      <c r="C1730" s="29">
        <f>+VLOOKUP($A1730,MAGAZZINO!$B$2:$M$100000,3,FALSE)</f>
        <v/>
      </c>
      <c r="D1730" s="3">
        <f>+VLOOKUP($A1730,MAGAZZINO!$B$2:$M$100000,4,FALSE)</f>
        <v/>
      </c>
      <c r="E1730" s="3">
        <f>+VLOOKUP($A1730,MAGAZZINO!$B$2:$M$100000,5,FALSE)</f>
        <v/>
      </c>
      <c r="F1730" s="3">
        <f>+VLOOKUP($A1730,MAGAZZINO!$B$2:$M$100000,6,FALSE)</f>
        <v/>
      </c>
      <c r="G1730" s="3">
        <f>+VLOOKUP($A1730,MAGAZZINO!$B$2:$M$100000,7,FALSE)</f>
        <v/>
      </c>
      <c r="H1730" s="3">
        <f>+VLOOKUP($A1730,MAGAZZINO!$B$2:$M$100000,8,FALSE)</f>
        <v/>
      </c>
      <c r="I1730" s="3">
        <f>+VLOOKUP($A1730,MAGAZZINO!$B$2:$M$100000,9,FALSE)</f>
        <v/>
      </c>
      <c r="J1730" s="3">
        <f>+VLOOKUP($A1730,MAGAZZINO!$B$2:$M$100000,10,FALSE)</f>
        <v/>
      </c>
      <c r="K1730" s="3">
        <f>+VLOOKUP($A1730,MAGAZZINO!$B$2:$M$100000,11,FALSE)</f>
        <v/>
      </c>
      <c r="L1730" s="5">
        <f>+VLOOKUP($A1730,MAGAZZINO!$B$2:$M$100000,12,FALSE)</f>
        <v/>
      </c>
      <c r="M1730" s="47" t="n"/>
      <c r="N1730" s="88" t="n">
        <v>45887</v>
      </c>
      <c r="O1730" s="91" t="inlineStr">
        <is>
          <t>PHILIPPOS CONSTANTINIDES TRADING CO. LTD (CIPRO)</t>
        </is>
      </c>
      <c r="P1730" s="154" t="inlineStr">
        <is>
          <t xml:space="preserve">IMPORT LICENSE N. 267 DEL 21/07/2025                                                                                         AUT. TRASFERIMENTO N. 6B/2025/4D RILASCIATA IL 28/07/2025   </t>
        </is>
      </c>
      <c r="Q1730" s="150" t="n"/>
      <c r="R1730" s="150" t="n"/>
      <c r="S1730" s="153" t="n"/>
    </row>
    <row r="1731" ht="36" customHeight="1">
      <c r="A1731" s="46" t="n">
        <v>4061</v>
      </c>
      <c r="B1731" s="4">
        <f>+VLOOKUP($A1731,MAGAZZINO!$B$2:$M$100000,2,FALSE)</f>
        <v/>
      </c>
      <c r="C1731" s="29">
        <f>+VLOOKUP($A1731,MAGAZZINO!$B$2:$M$100000,3,FALSE)</f>
        <v/>
      </c>
      <c r="D1731" s="3">
        <f>+VLOOKUP($A1731,MAGAZZINO!$B$2:$M$100000,4,FALSE)</f>
        <v/>
      </c>
      <c r="E1731" s="3">
        <f>+VLOOKUP($A1731,MAGAZZINO!$B$2:$M$100000,5,FALSE)</f>
        <v/>
      </c>
      <c r="F1731" s="3">
        <f>+VLOOKUP($A1731,MAGAZZINO!$B$2:$M$100000,6,FALSE)</f>
        <v/>
      </c>
      <c r="G1731" s="3">
        <f>+VLOOKUP($A1731,MAGAZZINO!$B$2:$M$100000,7,FALSE)</f>
        <v/>
      </c>
      <c r="H1731" s="3">
        <f>+VLOOKUP($A1731,MAGAZZINO!$B$2:$M$100000,8,FALSE)</f>
        <v/>
      </c>
      <c r="I1731" s="3">
        <f>+VLOOKUP($A1731,MAGAZZINO!$B$2:$M$100000,9,FALSE)</f>
        <v/>
      </c>
      <c r="J1731" s="3">
        <f>+VLOOKUP($A1731,MAGAZZINO!$B$2:$M$100000,10,FALSE)</f>
        <v/>
      </c>
      <c r="K1731" s="3">
        <f>+VLOOKUP($A1731,MAGAZZINO!$B$2:$M$100000,11,FALSE)</f>
        <v/>
      </c>
      <c r="L1731" s="5">
        <f>+VLOOKUP($A1731,MAGAZZINO!$B$2:$M$100000,12,FALSE)</f>
        <v/>
      </c>
      <c r="M1731" s="47" t="n"/>
      <c r="N1731" s="88" t="n">
        <v>45874</v>
      </c>
      <c r="O1731" s="91" t="inlineStr">
        <is>
          <t>PHILIPPOS CONSTANTINIDES TRADING CO. LTD (CIPRO)</t>
        </is>
      </c>
      <c r="P1731" s="154" t="inlineStr">
        <is>
          <t xml:space="preserve">IMPORT LICENSE N. 218 DEL 12/08/2020                                                                                         AUT. TRASFERIMENTO N. 6B/2025/3D RILASCIATA IL 28/07/2025   </t>
        </is>
      </c>
      <c r="Q1731" s="150" t="n"/>
      <c r="R1731" s="150" t="n"/>
      <c r="S1731" s="153" t="n"/>
    </row>
    <row r="1732" ht="36" customHeight="1">
      <c r="A1732" s="46" t="n">
        <v>4062</v>
      </c>
      <c r="B1732" s="4">
        <f>+VLOOKUP($A1732,MAGAZZINO!$B$2:$M$100000,2,FALSE)</f>
        <v/>
      </c>
      <c r="C1732" s="29">
        <f>+VLOOKUP($A1732,MAGAZZINO!$B$2:$M$100000,3,FALSE)</f>
        <v/>
      </c>
      <c r="D1732" s="3">
        <f>+VLOOKUP($A1732,MAGAZZINO!$B$2:$M$100000,4,FALSE)</f>
        <v/>
      </c>
      <c r="E1732" s="3">
        <f>+VLOOKUP($A1732,MAGAZZINO!$B$2:$M$100000,5,FALSE)</f>
        <v/>
      </c>
      <c r="F1732" s="3">
        <f>+VLOOKUP($A1732,MAGAZZINO!$B$2:$M$100000,6,FALSE)</f>
        <v/>
      </c>
      <c r="G1732" s="3">
        <f>+VLOOKUP($A1732,MAGAZZINO!$B$2:$M$100000,7,FALSE)</f>
        <v/>
      </c>
      <c r="H1732" s="3">
        <f>+VLOOKUP($A1732,MAGAZZINO!$B$2:$M$100000,8,FALSE)</f>
        <v/>
      </c>
      <c r="I1732" s="3">
        <f>+VLOOKUP($A1732,MAGAZZINO!$B$2:$M$100000,9,FALSE)</f>
        <v/>
      </c>
      <c r="J1732" s="3">
        <f>+VLOOKUP($A1732,MAGAZZINO!$B$2:$M$100000,10,FALSE)</f>
        <v/>
      </c>
      <c r="K1732" s="3">
        <f>+VLOOKUP($A1732,MAGAZZINO!$B$2:$M$100000,11,FALSE)</f>
        <v/>
      </c>
      <c r="L1732" s="5">
        <f>+VLOOKUP($A1732,MAGAZZINO!$B$2:$M$100000,12,FALSE)</f>
        <v/>
      </c>
      <c r="M1732" s="47" t="n"/>
      <c r="N1732" s="88" t="n">
        <v>45874</v>
      </c>
      <c r="O1732" s="91" t="inlineStr">
        <is>
          <t>PHILIPPOS CONSTANTINIDES TRADING CO. LTD (CIPRO)</t>
        </is>
      </c>
      <c r="P1732" s="154" t="inlineStr">
        <is>
          <t xml:space="preserve">IMPORT LICENSE N. 218 DEL 12/08/2020                                                                                         AUT. TRASFERIMENTO N. 6B/2025/3D RILASCIATA IL 28/07/2025   </t>
        </is>
      </c>
      <c r="Q1732" s="150" t="n"/>
      <c r="R1732" s="150" t="n"/>
      <c r="S1732" s="153" t="n"/>
    </row>
    <row r="1733" ht="36" customHeight="1">
      <c r="A1733" s="46" t="n">
        <v>4063</v>
      </c>
      <c r="B1733" s="4">
        <f>+VLOOKUP($A1733,MAGAZZINO!$B$2:$M$100000,2,FALSE)</f>
        <v/>
      </c>
      <c r="C1733" s="29">
        <f>+VLOOKUP($A1733,MAGAZZINO!$B$2:$M$100000,3,FALSE)</f>
        <v/>
      </c>
      <c r="D1733" s="3">
        <f>+VLOOKUP($A1733,MAGAZZINO!$B$2:$M$100000,4,FALSE)</f>
        <v/>
      </c>
      <c r="E1733" s="3">
        <f>+VLOOKUP($A1733,MAGAZZINO!$B$2:$M$100000,5,FALSE)</f>
        <v/>
      </c>
      <c r="F1733" s="3">
        <f>+VLOOKUP($A1733,MAGAZZINO!$B$2:$M$100000,6,FALSE)</f>
        <v/>
      </c>
      <c r="G1733" s="3">
        <f>+VLOOKUP($A1733,MAGAZZINO!$B$2:$M$100000,7,FALSE)</f>
        <v/>
      </c>
      <c r="H1733" s="3">
        <f>+VLOOKUP($A1733,MAGAZZINO!$B$2:$M$100000,8,FALSE)</f>
        <v/>
      </c>
      <c r="I1733" s="3">
        <f>+VLOOKUP($A1733,MAGAZZINO!$B$2:$M$100000,9,FALSE)</f>
        <v/>
      </c>
      <c r="J1733" s="3">
        <f>+VLOOKUP($A1733,MAGAZZINO!$B$2:$M$100000,10,FALSE)</f>
        <v/>
      </c>
      <c r="K1733" s="3">
        <f>+VLOOKUP($A1733,MAGAZZINO!$B$2:$M$100000,11,FALSE)</f>
        <v/>
      </c>
      <c r="L1733" s="5">
        <f>+VLOOKUP($A1733,MAGAZZINO!$B$2:$M$100000,12,FALSE)</f>
        <v/>
      </c>
      <c r="M1733" s="47" t="n"/>
      <c r="N1733" s="88" t="n">
        <v>45887</v>
      </c>
      <c r="O1733" s="91" t="inlineStr">
        <is>
          <t>PHILIPPOS CONSTANTINIDES TRADING CO. LTD (CIPRO)</t>
        </is>
      </c>
      <c r="P1733" s="154" t="inlineStr">
        <is>
          <t xml:space="preserve">IMPORT LICENSE N. 267 DEL 21/07/2025                                                                                         AUT. TRASFERIMENTO N. 6B/2025/4D RILASCIATA IL 28/07/2025   </t>
        </is>
      </c>
      <c r="Q1733" s="150" t="n"/>
      <c r="R1733" s="150" t="n"/>
      <c r="S1733" s="153" t="n"/>
    </row>
    <row r="1734" ht="36" customHeight="1">
      <c r="A1734" s="46" t="n">
        <v>4064</v>
      </c>
      <c r="B1734" s="4">
        <f>+VLOOKUP($A1734,MAGAZZINO!$B$2:$M$100000,2,FALSE)</f>
        <v/>
      </c>
      <c r="C1734" s="29">
        <f>+VLOOKUP($A1734,MAGAZZINO!$B$2:$M$100000,3,FALSE)</f>
        <v/>
      </c>
      <c r="D1734" s="3">
        <f>+VLOOKUP($A1734,MAGAZZINO!$B$2:$M$100000,4,FALSE)</f>
        <v/>
      </c>
      <c r="E1734" s="3">
        <f>+VLOOKUP($A1734,MAGAZZINO!$B$2:$M$100000,5,FALSE)</f>
        <v/>
      </c>
      <c r="F1734" s="3">
        <f>+VLOOKUP($A1734,MAGAZZINO!$B$2:$M$100000,6,FALSE)</f>
        <v/>
      </c>
      <c r="G1734" s="3">
        <f>+VLOOKUP($A1734,MAGAZZINO!$B$2:$M$100000,7,FALSE)</f>
        <v/>
      </c>
      <c r="H1734" s="3">
        <f>+VLOOKUP($A1734,MAGAZZINO!$B$2:$M$100000,8,FALSE)</f>
        <v/>
      </c>
      <c r="I1734" s="3">
        <f>+VLOOKUP($A1734,MAGAZZINO!$B$2:$M$100000,9,FALSE)</f>
        <v/>
      </c>
      <c r="J1734" s="3">
        <f>+VLOOKUP($A1734,MAGAZZINO!$B$2:$M$100000,10,FALSE)</f>
        <v/>
      </c>
      <c r="K1734" s="3">
        <f>+VLOOKUP($A1734,MAGAZZINO!$B$2:$M$100000,11,FALSE)</f>
        <v/>
      </c>
      <c r="L1734" s="5">
        <f>+VLOOKUP($A1734,MAGAZZINO!$B$2:$M$100000,12,FALSE)</f>
        <v/>
      </c>
      <c r="M1734" s="47" t="n"/>
      <c r="N1734" s="88" t="n">
        <v>45887</v>
      </c>
      <c r="O1734" s="91" t="inlineStr">
        <is>
          <t>PHILIPPOS CONSTANTINIDES TRADING CO. LTD (CIPRO)</t>
        </is>
      </c>
      <c r="P1734" s="154" t="inlineStr">
        <is>
          <t xml:space="preserve">IMPORT LICENSE N. 267 DEL 21/07/2025                                                                                         AUT. TRASFERIMENTO N. 6B/2025/4D RILASCIATA IL 28/07/2025   </t>
        </is>
      </c>
      <c r="Q1734" s="150" t="n"/>
      <c r="R1734" s="150" t="n"/>
      <c r="S1734" s="153" t="n"/>
    </row>
    <row r="1735" ht="36" customHeight="1">
      <c r="A1735" s="46" t="n">
        <v>4065</v>
      </c>
      <c r="B1735" s="4">
        <f>+VLOOKUP($A1735,MAGAZZINO!$B$2:$M$100000,2,FALSE)</f>
        <v/>
      </c>
      <c r="C1735" s="29">
        <f>+VLOOKUP($A1735,MAGAZZINO!$B$2:$M$100000,3,FALSE)</f>
        <v/>
      </c>
      <c r="D1735" s="3">
        <f>+VLOOKUP($A1735,MAGAZZINO!$B$2:$M$100000,4,FALSE)</f>
        <v/>
      </c>
      <c r="E1735" s="3">
        <f>+VLOOKUP($A1735,MAGAZZINO!$B$2:$M$100000,5,FALSE)</f>
        <v/>
      </c>
      <c r="F1735" s="3">
        <f>+VLOOKUP($A1735,MAGAZZINO!$B$2:$M$100000,6,FALSE)</f>
        <v/>
      </c>
      <c r="G1735" s="3">
        <f>+VLOOKUP($A1735,MAGAZZINO!$B$2:$M$100000,7,FALSE)</f>
        <v/>
      </c>
      <c r="H1735" s="3">
        <f>+VLOOKUP($A1735,MAGAZZINO!$B$2:$M$100000,8,FALSE)</f>
        <v/>
      </c>
      <c r="I1735" s="3">
        <f>+VLOOKUP($A1735,MAGAZZINO!$B$2:$M$100000,9,FALSE)</f>
        <v/>
      </c>
      <c r="J1735" s="3">
        <f>+VLOOKUP($A1735,MAGAZZINO!$B$2:$M$100000,10,FALSE)</f>
        <v/>
      </c>
      <c r="K1735" s="3">
        <f>+VLOOKUP($A1735,MAGAZZINO!$B$2:$M$100000,11,FALSE)</f>
        <v/>
      </c>
      <c r="L1735" s="5">
        <f>+VLOOKUP($A1735,MAGAZZINO!$B$2:$M$100000,12,FALSE)</f>
        <v/>
      </c>
      <c r="M1735" s="47" t="n"/>
      <c r="N1735" s="88" t="n">
        <v>45887</v>
      </c>
      <c r="O1735" s="91" t="inlineStr">
        <is>
          <t>PHILIPPOS CONSTANTINIDES TRADING CO. LTD (CIPRO)</t>
        </is>
      </c>
      <c r="P1735" s="154" t="inlineStr">
        <is>
          <t xml:space="preserve">IMPORT LICENSE N. 267 DEL 21/07/2025                                                                                         AUT. TRASFERIMENTO N. 6B/2025/4D RILASCIATA IL 28/07/2025   </t>
        </is>
      </c>
      <c r="Q1735" s="150" t="n"/>
      <c r="R1735" s="150" t="n"/>
      <c r="S1735" s="153" t="n"/>
    </row>
    <row r="1736" ht="36" customHeight="1">
      <c r="A1736" s="46" t="n">
        <v>4066</v>
      </c>
      <c r="B1736" s="4">
        <f>+VLOOKUP($A1736,MAGAZZINO!$B$2:$M$100000,2,FALSE)</f>
        <v/>
      </c>
      <c r="C1736" s="29">
        <f>+VLOOKUP($A1736,MAGAZZINO!$B$2:$M$100000,3,FALSE)</f>
        <v/>
      </c>
      <c r="D1736" s="3">
        <f>+VLOOKUP($A1736,MAGAZZINO!$B$2:$M$100000,4,FALSE)</f>
        <v/>
      </c>
      <c r="E1736" s="3">
        <f>+VLOOKUP($A1736,MAGAZZINO!$B$2:$M$100000,5,FALSE)</f>
        <v/>
      </c>
      <c r="F1736" s="3">
        <f>+VLOOKUP($A1736,MAGAZZINO!$B$2:$M$100000,6,FALSE)</f>
        <v/>
      </c>
      <c r="G1736" s="3">
        <f>+VLOOKUP($A1736,MAGAZZINO!$B$2:$M$100000,7,FALSE)</f>
        <v/>
      </c>
      <c r="H1736" s="3">
        <f>+VLOOKUP($A1736,MAGAZZINO!$B$2:$M$100000,8,FALSE)</f>
        <v/>
      </c>
      <c r="I1736" s="3">
        <f>+VLOOKUP($A1736,MAGAZZINO!$B$2:$M$100000,9,FALSE)</f>
        <v/>
      </c>
      <c r="J1736" s="3">
        <f>+VLOOKUP($A1736,MAGAZZINO!$B$2:$M$100000,10,FALSE)</f>
        <v/>
      </c>
      <c r="K1736" s="3">
        <f>+VLOOKUP($A1736,MAGAZZINO!$B$2:$M$100000,11,FALSE)</f>
        <v/>
      </c>
      <c r="L1736" s="5">
        <f>+VLOOKUP($A1736,MAGAZZINO!$B$2:$M$100000,12,FALSE)</f>
        <v/>
      </c>
      <c r="M1736" s="47" t="n"/>
      <c r="N1736" s="88" t="n">
        <v>45887</v>
      </c>
      <c r="O1736" s="91" t="inlineStr">
        <is>
          <t>PHILIPPOS CONSTANTINIDES TRADING CO. LTD (CIPRO)</t>
        </is>
      </c>
      <c r="P1736" s="154" t="inlineStr">
        <is>
          <t xml:space="preserve">IMPORT LICENSE N. 267 DEL 21/07/2025                                                                                         AUT. TRASFERIMENTO N. 6B/2025/4D RILASCIATA IL 28/07/2025   </t>
        </is>
      </c>
      <c r="Q1736" s="150" t="n"/>
      <c r="R1736" s="150" t="n"/>
      <c r="S1736" s="153" t="n"/>
    </row>
    <row r="1737" ht="36" customHeight="1">
      <c r="A1737" s="46" t="n">
        <v>4067</v>
      </c>
      <c r="B1737" s="4">
        <f>+VLOOKUP($A1737,MAGAZZINO!$B$2:$M$100000,2,FALSE)</f>
        <v/>
      </c>
      <c r="C1737" s="29">
        <f>+VLOOKUP($A1737,MAGAZZINO!$B$2:$M$100000,3,FALSE)</f>
        <v/>
      </c>
      <c r="D1737" s="3">
        <f>+VLOOKUP($A1737,MAGAZZINO!$B$2:$M$100000,4,FALSE)</f>
        <v/>
      </c>
      <c r="E1737" s="3">
        <f>+VLOOKUP($A1737,MAGAZZINO!$B$2:$M$100000,5,FALSE)</f>
        <v/>
      </c>
      <c r="F1737" s="3">
        <f>+VLOOKUP($A1737,MAGAZZINO!$B$2:$M$100000,6,FALSE)</f>
        <v/>
      </c>
      <c r="G1737" s="3">
        <f>+VLOOKUP($A1737,MAGAZZINO!$B$2:$M$100000,7,FALSE)</f>
        <v/>
      </c>
      <c r="H1737" s="3">
        <f>+VLOOKUP($A1737,MAGAZZINO!$B$2:$M$100000,8,FALSE)</f>
        <v/>
      </c>
      <c r="I1737" s="3">
        <f>+VLOOKUP($A1737,MAGAZZINO!$B$2:$M$100000,9,FALSE)</f>
        <v/>
      </c>
      <c r="J1737" s="3">
        <f>+VLOOKUP($A1737,MAGAZZINO!$B$2:$M$100000,10,FALSE)</f>
        <v/>
      </c>
      <c r="K1737" s="3">
        <f>+VLOOKUP($A1737,MAGAZZINO!$B$2:$M$100000,11,FALSE)</f>
        <v/>
      </c>
      <c r="L1737" s="5">
        <f>+VLOOKUP($A1737,MAGAZZINO!$B$2:$M$100000,12,FALSE)</f>
        <v/>
      </c>
      <c r="M1737" s="47" t="n"/>
      <c r="N1737" s="88" t="n">
        <v>45887</v>
      </c>
      <c r="O1737" s="91" t="inlineStr">
        <is>
          <t>PHILIPPOS CONSTANTINIDES TRADING CO. LTD (CIPRO)</t>
        </is>
      </c>
      <c r="P1737" s="154" t="inlineStr">
        <is>
          <t xml:space="preserve">IMPORT LICENSE N. 267 DEL 21/07/2025                                                                                         AUT. TRASFERIMENTO N. 6B/2025/4D RILASCIATA IL 28/07/2025   </t>
        </is>
      </c>
      <c r="Q1737" s="150" t="n"/>
      <c r="R1737" s="150" t="n"/>
      <c r="S1737" s="153" t="n"/>
    </row>
    <row r="1738" ht="36" customHeight="1">
      <c r="A1738" s="46" t="n">
        <v>4068</v>
      </c>
      <c r="B1738" s="4">
        <f>+VLOOKUP($A1738,MAGAZZINO!$B$2:$M$100000,2,FALSE)</f>
        <v/>
      </c>
      <c r="C1738" s="29">
        <f>+VLOOKUP($A1738,MAGAZZINO!$B$2:$M$100000,3,FALSE)</f>
        <v/>
      </c>
      <c r="D1738" s="3">
        <f>+VLOOKUP($A1738,MAGAZZINO!$B$2:$M$100000,4,FALSE)</f>
        <v/>
      </c>
      <c r="E1738" s="3">
        <f>+VLOOKUP($A1738,MAGAZZINO!$B$2:$M$100000,5,FALSE)</f>
        <v/>
      </c>
      <c r="F1738" s="3">
        <f>+VLOOKUP($A1738,MAGAZZINO!$B$2:$M$100000,6,FALSE)</f>
        <v/>
      </c>
      <c r="G1738" s="3">
        <f>+VLOOKUP($A1738,MAGAZZINO!$B$2:$M$100000,7,FALSE)</f>
        <v/>
      </c>
      <c r="H1738" s="3">
        <f>+VLOOKUP($A1738,MAGAZZINO!$B$2:$M$100000,8,FALSE)</f>
        <v/>
      </c>
      <c r="I1738" s="3">
        <f>+VLOOKUP($A1738,MAGAZZINO!$B$2:$M$100000,9,FALSE)</f>
        <v/>
      </c>
      <c r="J1738" s="3">
        <f>+VLOOKUP($A1738,MAGAZZINO!$B$2:$M$100000,10,FALSE)</f>
        <v/>
      </c>
      <c r="K1738" s="3">
        <f>+VLOOKUP($A1738,MAGAZZINO!$B$2:$M$100000,11,FALSE)</f>
        <v/>
      </c>
      <c r="L1738" s="5">
        <f>+VLOOKUP($A1738,MAGAZZINO!$B$2:$M$100000,12,FALSE)</f>
        <v/>
      </c>
      <c r="M1738" s="47" t="n"/>
      <c r="N1738" s="88" t="n">
        <v>45887</v>
      </c>
      <c r="O1738" s="91" t="inlineStr">
        <is>
          <t>PHILIPPOS CONSTANTINIDES TRADING CO. LTD (CIPRO)</t>
        </is>
      </c>
      <c r="P1738" s="154" t="inlineStr">
        <is>
          <t xml:space="preserve">IMPORT LICENSE N. 267 DEL 21/07/2025                                                                                         AUT. TRASFERIMENTO N. 6B/2025/4D RILASCIATA IL 28/07/2025   </t>
        </is>
      </c>
      <c r="Q1738" s="150" t="n"/>
      <c r="R1738" s="150" t="n"/>
      <c r="S1738" s="153" t="n"/>
    </row>
    <row r="1739" ht="36" customHeight="1">
      <c r="A1739" s="46" t="n">
        <v>4069</v>
      </c>
      <c r="B1739" s="4">
        <f>+VLOOKUP($A1739,MAGAZZINO!$B$2:$M$100000,2,FALSE)</f>
        <v/>
      </c>
      <c r="C1739" s="29">
        <f>+VLOOKUP($A1739,MAGAZZINO!$B$2:$M$100000,3,FALSE)</f>
        <v/>
      </c>
      <c r="D1739" s="3">
        <f>+VLOOKUP($A1739,MAGAZZINO!$B$2:$M$100000,4,FALSE)</f>
        <v/>
      </c>
      <c r="E1739" s="3">
        <f>+VLOOKUP($A1739,MAGAZZINO!$B$2:$M$100000,5,FALSE)</f>
        <v/>
      </c>
      <c r="F1739" s="3">
        <f>+VLOOKUP($A1739,MAGAZZINO!$B$2:$M$100000,6,FALSE)</f>
        <v/>
      </c>
      <c r="G1739" s="3">
        <f>+VLOOKUP($A1739,MAGAZZINO!$B$2:$M$100000,7,FALSE)</f>
        <v/>
      </c>
      <c r="H1739" s="3">
        <f>+VLOOKUP($A1739,MAGAZZINO!$B$2:$M$100000,8,FALSE)</f>
        <v/>
      </c>
      <c r="I1739" s="3">
        <f>+VLOOKUP($A1739,MAGAZZINO!$B$2:$M$100000,9,FALSE)</f>
        <v/>
      </c>
      <c r="J1739" s="3">
        <f>+VLOOKUP($A1739,MAGAZZINO!$B$2:$M$100000,10,FALSE)</f>
        <v/>
      </c>
      <c r="K1739" s="3">
        <f>+VLOOKUP($A1739,MAGAZZINO!$B$2:$M$100000,11,FALSE)</f>
        <v/>
      </c>
      <c r="L1739" s="5">
        <f>+VLOOKUP($A1739,MAGAZZINO!$B$2:$M$100000,12,FALSE)</f>
        <v/>
      </c>
      <c r="M1739" s="47" t="n"/>
      <c r="N1739" s="88" t="n">
        <v>45887</v>
      </c>
      <c r="O1739" s="91" t="inlineStr">
        <is>
          <t>PHILIPPOS CONSTANTINIDES TRADING CO. LTD (CIPRO)</t>
        </is>
      </c>
      <c r="P1739" s="154" t="inlineStr">
        <is>
          <t xml:space="preserve">IMPORT LICENSE N. 267 DEL 21/07/2025                                                                                         AUT. TRASFERIMENTO N. 6B/2025/4D RILASCIATA IL 28/07/2025   </t>
        </is>
      </c>
      <c r="Q1739" s="150" t="n"/>
      <c r="R1739" s="150" t="n"/>
      <c r="S1739" s="153" t="n"/>
    </row>
    <row r="1740" ht="36" customHeight="1">
      <c r="A1740" s="46" t="n">
        <v>4070</v>
      </c>
      <c r="B1740" s="4">
        <f>+VLOOKUP($A1740,MAGAZZINO!$B$2:$M$100000,2,FALSE)</f>
        <v/>
      </c>
      <c r="C1740" s="29">
        <f>+VLOOKUP($A1740,MAGAZZINO!$B$2:$M$100000,3,FALSE)</f>
        <v/>
      </c>
      <c r="D1740" s="3">
        <f>+VLOOKUP($A1740,MAGAZZINO!$B$2:$M$100000,4,FALSE)</f>
        <v/>
      </c>
      <c r="E1740" s="3">
        <f>+VLOOKUP($A1740,MAGAZZINO!$B$2:$M$100000,5,FALSE)</f>
        <v/>
      </c>
      <c r="F1740" s="3">
        <f>+VLOOKUP($A1740,MAGAZZINO!$B$2:$M$100000,6,FALSE)</f>
        <v/>
      </c>
      <c r="G1740" s="3">
        <f>+VLOOKUP($A1740,MAGAZZINO!$B$2:$M$100000,7,FALSE)</f>
        <v/>
      </c>
      <c r="H1740" s="3">
        <f>+VLOOKUP($A1740,MAGAZZINO!$B$2:$M$100000,8,FALSE)</f>
        <v/>
      </c>
      <c r="I1740" s="3">
        <f>+VLOOKUP($A1740,MAGAZZINO!$B$2:$M$100000,9,FALSE)</f>
        <v/>
      </c>
      <c r="J1740" s="3">
        <f>+VLOOKUP($A1740,MAGAZZINO!$B$2:$M$100000,10,FALSE)</f>
        <v/>
      </c>
      <c r="K1740" s="3">
        <f>+VLOOKUP($A1740,MAGAZZINO!$B$2:$M$100000,11,FALSE)</f>
        <v/>
      </c>
      <c r="L1740" s="5">
        <f>+VLOOKUP($A1740,MAGAZZINO!$B$2:$M$100000,12,FALSE)</f>
        <v/>
      </c>
      <c r="M1740" s="47" t="n"/>
      <c r="N1740" s="88" t="n">
        <v>45887</v>
      </c>
      <c r="O1740" s="91" t="inlineStr">
        <is>
          <t>PHILIPPOS CONSTANTINIDES TRADING CO. LTD (CIPRO)</t>
        </is>
      </c>
      <c r="P1740" s="154" t="inlineStr">
        <is>
          <t xml:space="preserve">IMPORT LICENSE N. 267 DEL 21/07/2025                                                                                         AUT. TRASFERIMENTO N. 6B/2025/4D RILASCIATA IL 28/07/2025   </t>
        </is>
      </c>
      <c r="Q1740" s="150" t="n"/>
      <c r="R1740" s="150" t="n"/>
      <c r="S1740" s="153" t="n"/>
    </row>
    <row r="1741" ht="36" customHeight="1">
      <c r="A1741" s="46" t="n">
        <v>4071</v>
      </c>
      <c r="B1741" s="4">
        <f>+VLOOKUP($A1741,MAGAZZINO!$B$2:$M$100000,2,FALSE)</f>
        <v/>
      </c>
      <c r="C1741" s="29">
        <f>+VLOOKUP($A1741,MAGAZZINO!$B$2:$M$100000,3,FALSE)</f>
        <v/>
      </c>
      <c r="D1741" s="3">
        <f>+VLOOKUP($A1741,MAGAZZINO!$B$2:$M$100000,4,FALSE)</f>
        <v/>
      </c>
      <c r="E1741" s="3">
        <f>+VLOOKUP($A1741,MAGAZZINO!$B$2:$M$100000,5,FALSE)</f>
        <v/>
      </c>
      <c r="F1741" s="3">
        <f>+VLOOKUP($A1741,MAGAZZINO!$B$2:$M$100000,6,FALSE)</f>
        <v/>
      </c>
      <c r="G1741" s="3">
        <f>+VLOOKUP($A1741,MAGAZZINO!$B$2:$M$100000,7,FALSE)</f>
        <v/>
      </c>
      <c r="H1741" s="3">
        <f>+VLOOKUP($A1741,MAGAZZINO!$B$2:$M$100000,8,FALSE)</f>
        <v/>
      </c>
      <c r="I1741" s="3">
        <f>+VLOOKUP($A1741,MAGAZZINO!$B$2:$M$100000,9,FALSE)</f>
        <v/>
      </c>
      <c r="J1741" s="3">
        <f>+VLOOKUP($A1741,MAGAZZINO!$B$2:$M$100000,10,FALSE)</f>
        <v/>
      </c>
      <c r="K1741" s="3">
        <f>+VLOOKUP($A1741,MAGAZZINO!$B$2:$M$100000,11,FALSE)</f>
        <v/>
      </c>
      <c r="L1741" s="5">
        <f>+VLOOKUP($A1741,MAGAZZINO!$B$2:$M$100000,12,FALSE)</f>
        <v/>
      </c>
      <c r="M1741" s="47" t="n"/>
      <c r="N1741" s="88" t="n">
        <v>45874</v>
      </c>
      <c r="O1741" s="91" t="inlineStr">
        <is>
          <t>PHILIPPOS CONSTANTINIDES TRADING CO. LTD (CIPRO)</t>
        </is>
      </c>
      <c r="P1741" s="154" t="inlineStr">
        <is>
          <t xml:space="preserve">IMPORT LICENSE N. 218 DEL 12/08/2020                                                                                         AUT. TRASFERIMENTO N. 6B/2025/3D RILASCIATA IL 28/07/2025   </t>
        </is>
      </c>
      <c r="Q1741" s="150" t="n"/>
      <c r="R1741" s="150" t="n"/>
      <c r="S1741" s="153" t="n"/>
    </row>
    <row r="1742" ht="36" customHeight="1">
      <c r="A1742" s="46" t="n">
        <v>4072</v>
      </c>
      <c r="B1742" s="4">
        <f>+VLOOKUP($A1742,MAGAZZINO!$B$2:$M$100000,2,FALSE)</f>
        <v/>
      </c>
      <c r="C1742" s="29">
        <f>+VLOOKUP($A1742,MAGAZZINO!$B$2:$M$100000,3,FALSE)</f>
        <v/>
      </c>
      <c r="D1742" s="3">
        <f>+VLOOKUP($A1742,MAGAZZINO!$B$2:$M$100000,4,FALSE)</f>
        <v/>
      </c>
      <c r="E1742" s="3">
        <f>+VLOOKUP($A1742,MAGAZZINO!$B$2:$M$100000,5,FALSE)</f>
        <v/>
      </c>
      <c r="F1742" s="3">
        <f>+VLOOKUP($A1742,MAGAZZINO!$B$2:$M$100000,6,FALSE)</f>
        <v/>
      </c>
      <c r="G1742" s="3">
        <f>+VLOOKUP($A1742,MAGAZZINO!$B$2:$M$100000,7,FALSE)</f>
        <v/>
      </c>
      <c r="H1742" s="3">
        <f>+VLOOKUP($A1742,MAGAZZINO!$B$2:$M$100000,8,FALSE)</f>
        <v/>
      </c>
      <c r="I1742" s="3">
        <f>+VLOOKUP($A1742,MAGAZZINO!$B$2:$M$100000,9,FALSE)</f>
        <v/>
      </c>
      <c r="J1742" s="3">
        <f>+VLOOKUP($A1742,MAGAZZINO!$B$2:$M$100000,10,FALSE)</f>
        <v/>
      </c>
      <c r="K1742" s="3">
        <f>+VLOOKUP($A1742,MAGAZZINO!$B$2:$M$100000,11,FALSE)</f>
        <v/>
      </c>
      <c r="L1742" s="5">
        <f>+VLOOKUP($A1742,MAGAZZINO!$B$2:$M$100000,12,FALSE)</f>
        <v/>
      </c>
      <c r="M1742" s="47" t="n"/>
      <c r="N1742" s="88" t="n">
        <v>45874</v>
      </c>
      <c r="O1742" s="91" t="inlineStr">
        <is>
          <t>PHILIPPOS CONSTANTINIDES TRADING CO. LTD (CIPRO)</t>
        </is>
      </c>
      <c r="P1742" s="154" t="inlineStr">
        <is>
          <t xml:space="preserve">IMPORT LICENSE N. 218 DEL 12/08/2020                                                                                         AUT. TRASFERIMENTO N. 6B/2025/3D RILASCIATA IL 28/07/2025   </t>
        </is>
      </c>
      <c r="Q1742" s="150" t="n"/>
      <c r="R1742" s="150" t="n"/>
      <c r="S1742" s="153" t="n"/>
    </row>
    <row r="1743" ht="36" customHeight="1">
      <c r="A1743" s="46" t="n">
        <v>4073</v>
      </c>
      <c r="B1743" s="4">
        <f>+VLOOKUP($A1743,MAGAZZINO!$B$2:$M$100000,2,FALSE)</f>
        <v/>
      </c>
      <c r="C1743" s="29">
        <f>+VLOOKUP($A1743,MAGAZZINO!$B$2:$M$100000,3,FALSE)</f>
        <v/>
      </c>
      <c r="D1743" s="3">
        <f>+VLOOKUP($A1743,MAGAZZINO!$B$2:$M$100000,4,FALSE)</f>
        <v/>
      </c>
      <c r="E1743" s="3">
        <f>+VLOOKUP($A1743,MAGAZZINO!$B$2:$M$100000,5,FALSE)</f>
        <v/>
      </c>
      <c r="F1743" s="3">
        <f>+VLOOKUP($A1743,MAGAZZINO!$B$2:$M$100000,6,FALSE)</f>
        <v/>
      </c>
      <c r="G1743" s="3">
        <f>+VLOOKUP($A1743,MAGAZZINO!$B$2:$M$100000,7,FALSE)</f>
        <v/>
      </c>
      <c r="H1743" s="3">
        <f>+VLOOKUP($A1743,MAGAZZINO!$B$2:$M$100000,8,FALSE)</f>
        <v/>
      </c>
      <c r="I1743" s="3">
        <f>+VLOOKUP($A1743,MAGAZZINO!$B$2:$M$100000,9,FALSE)</f>
        <v/>
      </c>
      <c r="J1743" s="3">
        <f>+VLOOKUP($A1743,MAGAZZINO!$B$2:$M$100000,10,FALSE)</f>
        <v/>
      </c>
      <c r="K1743" s="3">
        <f>+VLOOKUP($A1743,MAGAZZINO!$B$2:$M$100000,11,FALSE)</f>
        <v/>
      </c>
      <c r="L1743" s="5">
        <f>+VLOOKUP($A1743,MAGAZZINO!$B$2:$M$100000,12,FALSE)</f>
        <v/>
      </c>
      <c r="M1743" s="47" t="n"/>
      <c r="N1743" s="88" t="n">
        <v>45887</v>
      </c>
      <c r="O1743" s="91" t="inlineStr">
        <is>
          <t>PHILIPPOS CONSTANTINIDES TRADING CO. LTD (CIPRO)</t>
        </is>
      </c>
      <c r="P1743" s="154" t="inlineStr">
        <is>
          <t xml:space="preserve">IMPORT LICENSE N. 267 DEL 21/07/2025                                                                                         AUT. TRASFERIMENTO N. 6B/2025/4D RILASCIATA IL 28/07/2025   </t>
        </is>
      </c>
      <c r="Q1743" s="150" t="n"/>
      <c r="R1743" s="150" t="n"/>
      <c r="S1743" s="153" t="n"/>
    </row>
    <row r="1744" ht="36" customHeight="1">
      <c r="A1744" s="46" t="n">
        <v>4074</v>
      </c>
      <c r="B1744" s="4">
        <f>+VLOOKUP($A1744,MAGAZZINO!$B$2:$M$100000,2,FALSE)</f>
        <v/>
      </c>
      <c r="C1744" s="29">
        <f>+VLOOKUP($A1744,MAGAZZINO!$B$2:$M$100000,3,FALSE)</f>
        <v/>
      </c>
      <c r="D1744" s="3">
        <f>+VLOOKUP($A1744,MAGAZZINO!$B$2:$M$100000,4,FALSE)</f>
        <v/>
      </c>
      <c r="E1744" s="3">
        <f>+VLOOKUP($A1744,MAGAZZINO!$B$2:$M$100000,5,FALSE)</f>
        <v/>
      </c>
      <c r="F1744" s="3">
        <f>+VLOOKUP($A1744,MAGAZZINO!$B$2:$M$100000,6,FALSE)</f>
        <v/>
      </c>
      <c r="G1744" s="3">
        <f>+VLOOKUP($A1744,MAGAZZINO!$B$2:$M$100000,7,FALSE)</f>
        <v/>
      </c>
      <c r="H1744" s="3">
        <f>+VLOOKUP($A1744,MAGAZZINO!$B$2:$M$100000,8,FALSE)</f>
        <v/>
      </c>
      <c r="I1744" s="3">
        <f>+VLOOKUP($A1744,MAGAZZINO!$B$2:$M$100000,9,FALSE)</f>
        <v/>
      </c>
      <c r="J1744" s="3">
        <f>+VLOOKUP($A1744,MAGAZZINO!$B$2:$M$100000,10,FALSE)</f>
        <v/>
      </c>
      <c r="K1744" s="3">
        <f>+VLOOKUP($A1744,MAGAZZINO!$B$2:$M$100000,11,FALSE)</f>
        <v/>
      </c>
      <c r="L1744" s="5">
        <f>+VLOOKUP($A1744,MAGAZZINO!$B$2:$M$100000,12,FALSE)</f>
        <v/>
      </c>
      <c r="M1744" s="47" t="n"/>
      <c r="N1744" s="88" t="n">
        <v>45874</v>
      </c>
      <c r="O1744" s="91" t="inlineStr">
        <is>
          <t>PHILIPPOS CONSTANTINIDES TRADING CO. LTD (CIPRO)</t>
        </is>
      </c>
      <c r="P1744" s="154" t="inlineStr">
        <is>
          <t xml:space="preserve">IMPORT LICENSE N. 218 DEL 12/08/2020                                                                                         AUT. TRASFERIMENTO N. 6B/2025/3D RILASCIATA IL 28/07/2025   </t>
        </is>
      </c>
      <c r="Q1744" s="150" t="n"/>
      <c r="R1744" s="150" t="n"/>
      <c r="S1744" s="153" t="n"/>
    </row>
    <row r="1745" ht="36" customHeight="1">
      <c r="A1745" s="46" t="n">
        <v>4075</v>
      </c>
      <c r="B1745" s="4">
        <f>+VLOOKUP($A1745,MAGAZZINO!$B$2:$M$100000,2,FALSE)</f>
        <v/>
      </c>
      <c r="C1745" s="29">
        <f>+VLOOKUP($A1745,MAGAZZINO!$B$2:$M$100000,3,FALSE)</f>
        <v/>
      </c>
      <c r="D1745" s="3">
        <f>+VLOOKUP($A1745,MAGAZZINO!$B$2:$M$100000,4,FALSE)</f>
        <v/>
      </c>
      <c r="E1745" s="3">
        <f>+VLOOKUP($A1745,MAGAZZINO!$B$2:$M$100000,5,FALSE)</f>
        <v/>
      </c>
      <c r="F1745" s="3">
        <f>+VLOOKUP($A1745,MAGAZZINO!$B$2:$M$100000,6,FALSE)</f>
        <v/>
      </c>
      <c r="G1745" s="3">
        <f>+VLOOKUP($A1745,MAGAZZINO!$B$2:$M$100000,7,FALSE)</f>
        <v/>
      </c>
      <c r="H1745" s="3">
        <f>+VLOOKUP($A1745,MAGAZZINO!$B$2:$M$100000,8,FALSE)</f>
        <v/>
      </c>
      <c r="I1745" s="3">
        <f>+VLOOKUP($A1745,MAGAZZINO!$B$2:$M$100000,9,FALSE)</f>
        <v/>
      </c>
      <c r="J1745" s="3">
        <f>+VLOOKUP($A1745,MAGAZZINO!$B$2:$M$100000,10,FALSE)</f>
        <v/>
      </c>
      <c r="K1745" s="3">
        <f>+VLOOKUP($A1745,MAGAZZINO!$B$2:$M$100000,11,FALSE)</f>
        <v/>
      </c>
      <c r="L1745" s="5">
        <f>+VLOOKUP($A1745,MAGAZZINO!$B$2:$M$100000,12,FALSE)</f>
        <v/>
      </c>
      <c r="M1745" s="47" t="n"/>
      <c r="N1745" s="54" t="n"/>
      <c r="O1745" s="3" t="n"/>
      <c r="P1745" s="149" t="n"/>
      <c r="Q1745" s="150" t="n"/>
      <c r="R1745" s="150" t="n"/>
      <c r="S1745" s="151" t="n"/>
    </row>
    <row r="1746" ht="36" customHeight="1">
      <c r="A1746" s="46" t="n">
        <v>4076</v>
      </c>
      <c r="B1746" s="4">
        <f>+VLOOKUP($A1746,MAGAZZINO!$B$2:$M$100000,2,FALSE)</f>
        <v/>
      </c>
      <c r="C1746" s="29">
        <f>+VLOOKUP($A1746,MAGAZZINO!$B$2:$M$100000,3,FALSE)</f>
        <v/>
      </c>
      <c r="D1746" s="3">
        <f>+VLOOKUP($A1746,MAGAZZINO!$B$2:$M$100000,4,FALSE)</f>
        <v/>
      </c>
      <c r="E1746" s="3">
        <f>+VLOOKUP($A1746,MAGAZZINO!$B$2:$M$100000,5,FALSE)</f>
        <v/>
      </c>
      <c r="F1746" s="3">
        <f>+VLOOKUP($A1746,MAGAZZINO!$B$2:$M$100000,6,FALSE)</f>
        <v/>
      </c>
      <c r="G1746" s="3">
        <f>+VLOOKUP($A1746,MAGAZZINO!$B$2:$M$100000,7,FALSE)</f>
        <v/>
      </c>
      <c r="H1746" s="3">
        <f>+VLOOKUP($A1746,MAGAZZINO!$B$2:$M$100000,8,FALSE)</f>
        <v/>
      </c>
      <c r="I1746" s="3">
        <f>+VLOOKUP($A1746,MAGAZZINO!$B$2:$M$100000,9,FALSE)</f>
        <v/>
      </c>
      <c r="J1746" s="3">
        <f>+VLOOKUP($A1746,MAGAZZINO!$B$2:$M$100000,10,FALSE)</f>
        <v/>
      </c>
      <c r="K1746" s="3">
        <f>+VLOOKUP($A1746,MAGAZZINO!$B$2:$M$100000,11,FALSE)</f>
        <v/>
      </c>
      <c r="L1746" s="5">
        <f>+VLOOKUP($A1746,MAGAZZINO!$B$2:$M$100000,12,FALSE)</f>
        <v/>
      </c>
      <c r="M1746" s="47" t="n"/>
      <c r="N1746" s="88" t="n">
        <v>45874</v>
      </c>
      <c r="O1746" s="91" t="inlineStr">
        <is>
          <t>PHILIPPOS CONSTANTINIDES TRADING CO. LTD (CIPRO)</t>
        </is>
      </c>
      <c r="P1746" s="154" t="inlineStr">
        <is>
          <t xml:space="preserve">IMPORT LICENSE N. 218 DEL 12/08/2020                                                                                         AUT. TRASFERIMENTO N. 6B/2025/3D RILASCIATA IL 28/07/2025   </t>
        </is>
      </c>
      <c r="Q1746" s="150" t="n"/>
      <c r="R1746" s="150" t="n"/>
      <c r="S1746" s="153" t="n"/>
    </row>
    <row r="1747" ht="36" customHeight="1">
      <c r="A1747" s="46" t="n">
        <v>4077</v>
      </c>
      <c r="B1747" s="4">
        <f>+VLOOKUP($A1747,MAGAZZINO!$B$2:$M$100000,2,FALSE)</f>
        <v/>
      </c>
      <c r="C1747" s="29">
        <f>+VLOOKUP($A1747,MAGAZZINO!$B$2:$M$100000,3,FALSE)</f>
        <v/>
      </c>
      <c r="D1747" s="3">
        <f>+VLOOKUP($A1747,MAGAZZINO!$B$2:$M$100000,4,FALSE)</f>
        <v/>
      </c>
      <c r="E1747" s="3">
        <f>+VLOOKUP($A1747,MAGAZZINO!$B$2:$M$100000,5,FALSE)</f>
        <v/>
      </c>
      <c r="F1747" s="3">
        <f>+VLOOKUP($A1747,MAGAZZINO!$B$2:$M$100000,6,FALSE)</f>
        <v/>
      </c>
      <c r="G1747" s="3">
        <f>+VLOOKUP($A1747,MAGAZZINO!$B$2:$M$100000,7,FALSE)</f>
        <v/>
      </c>
      <c r="H1747" s="3">
        <f>+VLOOKUP($A1747,MAGAZZINO!$B$2:$M$100000,8,FALSE)</f>
        <v/>
      </c>
      <c r="I1747" s="3">
        <f>+VLOOKUP($A1747,MAGAZZINO!$B$2:$M$100000,9,FALSE)</f>
        <v/>
      </c>
      <c r="J1747" s="3">
        <f>+VLOOKUP($A1747,MAGAZZINO!$B$2:$M$100000,10,FALSE)</f>
        <v/>
      </c>
      <c r="K1747" s="3">
        <f>+VLOOKUP($A1747,MAGAZZINO!$B$2:$M$100000,11,FALSE)</f>
        <v/>
      </c>
      <c r="L1747" s="5">
        <f>+VLOOKUP($A1747,MAGAZZINO!$B$2:$M$100000,12,FALSE)</f>
        <v/>
      </c>
      <c r="M1747" s="47" t="n"/>
      <c r="N1747" s="88" t="n">
        <v>45874</v>
      </c>
      <c r="O1747" s="91" t="inlineStr">
        <is>
          <t>PHILIPPOS CONSTANTINIDES TRADING CO. LTD (CIPRO)</t>
        </is>
      </c>
      <c r="P1747" s="154" t="inlineStr">
        <is>
          <t xml:space="preserve">IMPORT LICENSE N. 218 DEL 12/08/2020                                                                                         AUT. TRASFERIMENTO N. 6B/2025/3D RILASCIATA IL 28/07/2025   </t>
        </is>
      </c>
      <c r="Q1747" s="150" t="n"/>
      <c r="R1747" s="150" t="n"/>
      <c r="S1747" s="153" t="n"/>
    </row>
    <row r="1748" ht="36" customHeight="1">
      <c r="A1748" s="46" t="n">
        <v>4078</v>
      </c>
      <c r="B1748" s="4">
        <f>+VLOOKUP($A1748,MAGAZZINO!$B$2:$M$100000,2,FALSE)</f>
        <v/>
      </c>
      <c r="C1748" s="29">
        <f>+VLOOKUP($A1748,MAGAZZINO!$B$2:$M$100000,3,FALSE)</f>
        <v/>
      </c>
      <c r="D1748" s="3">
        <f>+VLOOKUP($A1748,MAGAZZINO!$B$2:$M$100000,4,FALSE)</f>
        <v/>
      </c>
      <c r="E1748" s="3">
        <f>+VLOOKUP($A1748,MAGAZZINO!$B$2:$M$100000,5,FALSE)</f>
        <v/>
      </c>
      <c r="F1748" s="3">
        <f>+VLOOKUP($A1748,MAGAZZINO!$B$2:$M$100000,6,FALSE)</f>
        <v/>
      </c>
      <c r="G1748" s="3">
        <f>+VLOOKUP($A1748,MAGAZZINO!$B$2:$M$100000,7,FALSE)</f>
        <v/>
      </c>
      <c r="H1748" s="3">
        <f>+VLOOKUP($A1748,MAGAZZINO!$B$2:$M$100000,8,FALSE)</f>
        <v/>
      </c>
      <c r="I1748" s="3">
        <f>+VLOOKUP($A1748,MAGAZZINO!$B$2:$M$100000,9,FALSE)</f>
        <v/>
      </c>
      <c r="J1748" s="3">
        <f>+VLOOKUP($A1748,MAGAZZINO!$B$2:$M$100000,10,FALSE)</f>
        <v/>
      </c>
      <c r="K1748" s="3">
        <f>+VLOOKUP($A1748,MAGAZZINO!$B$2:$M$100000,11,FALSE)</f>
        <v/>
      </c>
      <c r="L1748" s="5">
        <f>+VLOOKUP($A1748,MAGAZZINO!$B$2:$M$100000,12,FALSE)</f>
        <v/>
      </c>
      <c r="M1748" s="47" t="n"/>
      <c r="N1748" s="54" t="n"/>
      <c r="O1748" s="3" t="n"/>
      <c r="P1748" s="149" t="n"/>
      <c r="Q1748" s="150" t="n"/>
      <c r="R1748" s="150" t="n"/>
      <c r="S1748" s="151" t="n"/>
    </row>
    <row r="1749" ht="36" customHeight="1">
      <c r="A1749" s="46" t="n">
        <v>4079</v>
      </c>
      <c r="B1749" s="4">
        <f>+VLOOKUP($A1749,MAGAZZINO!$B$2:$M$100000,2,FALSE)</f>
        <v/>
      </c>
      <c r="C1749" s="29">
        <f>+VLOOKUP($A1749,MAGAZZINO!$B$2:$M$100000,3,FALSE)</f>
        <v/>
      </c>
      <c r="D1749" s="3">
        <f>+VLOOKUP($A1749,MAGAZZINO!$B$2:$M$100000,4,FALSE)</f>
        <v/>
      </c>
      <c r="E1749" s="3">
        <f>+VLOOKUP($A1749,MAGAZZINO!$B$2:$M$100000,5,FALSE)</f>
        <v/>
      </c>
      <c r="F1749" s="3">
        <f>+VLOOKUP($A1749,MAGAZZINO!$B$2:$M$100000,6,FALSE)</f>
        <v/>
      </c>
      <c r="G1749" s="3">
        <f>+VLOOKUP($A1749,MAGAZZINO!$B$2:$M$100000,7,FALSE)</f>
        <v/>
      </c>
      <c r="H1749" s="3">
        <f>+VLOOKUP($A1749,MAGAZZINO!$B$2:$M$100000,8,FALSE)</f>
        <v/>
      </c>
      <c r="I1749" s="3">
        <f>+VLOOKUP($A1749,MAGAZZINO!$B$2:$M$100000,9,FALSE)</f>
        <v/>
      </c>
      <c r="J1749" s="3">
        <f>+VLOOKUP($A1749,MAGAZZINO!$B$2:$M$100000,10,FALSE)</f>
        <v/>
      </c>
      <c r="K1749" s="3">
        <f>+VLOOKUP($A1749,MAGAZZINO!$B$2:$M$100000,11,FALSE)</f>
        <v/>
      </c>
      <c r="L1749" s="5">
        <f>+VLOOKUP($A1749,MAGAZZINO!$B$2:$M$100000,12,FALSE)</f>
        <v/>
      </c>
      <c r="M1749" s="47" t="n"/>
      <c r="N1749" s="54" t="n"/>
      <c r="O1749" s="3" t="n"/>
      <c r="P1749" s="149" t="n"/>
      <c r="Q1749" s="150" t="n"/>
      <c r="R1749" s="150" t="n"/>
      <c r="S1749" s="151" t="n"/>
    </row>
    <row r="1750" ht="36" customHeight="1">
      <c r="A1750" s="46" t="n">
        <v>4080</v>
      </c>
      <c r="B1750" s="4">
        <f>+VLOOKUP($A1750,MAGAZZINO!$B$2:$M$100000,2,FALSE)</f>
        <v/>
      </c>
      <c r="C1750" s="29">
        <f>+VLOOKUP($A1750,MAGAZZINO!$B$2:$M$100000,3,FALSE)</f>
        <v/>
      </c>
      <c r="D1750" s="3">
        <f>+VLOOKUP($A1750,MAGAZZINO!$B$2:$M$100000,4,FALSE)</f>
        <v/>
      </c>
      <c r="E1750" s="3">
        <f>+VLOOKUP($A1750,MAGAZZINO!$B$2:$M$100000,5,FALSE)</f>
        <v/>
      </c>
      <c r="F1750" s="3">
        <f>+VLOOKUP($A1750,MAGAZZINO!$B$2:$M$100000,6,FALSE)</f>
        <v/>
      </c>
      <c r="G1750" s="3">
        <f>+VLOOKUP($A1750,MAGAZZINO!$B$2:$M$100000,7,FALSE)</f>
        <v/>
      </c>
      <c r="H1750" s="3">
        <f>+VLOOKUP($A1750,MAGAZZINO!$B$2:$M$100000,8,FALSE)</f>
        <v/>
      </c>
      <c r="I1750" s="3">
        <f>+VLOOKUP($A1750,MAGAZZINO!$B$2:$M$100000,9,FALSE)</f>
        <v/>
      </c>
      <c r="J1750" s="3">
        <f>+VLOOKUP($A1750,MAGAZZINO!$B$2:$M$100000,10,FALSE)</f>
        <v/>
      </c>
      <c r="K1750" s="3">
        <f>+VLOOKUP($A1750,MAGAZZINO!$B$2:$M$100000,11,FALSE)</f>
        <v/>
      </c>
      <c r="L1750" s="5">
        <f>+VLOOKUP($A1750,MAGAZZINO!$B$2:$M$100000,12,FALSE)</f>
        <v/>
      </c>
      <c r="M1750" s="47" t="n"/>
      <c r="N1750" s="54" t="n"/>
      <c r="O1750" s="3" t="n"/>
      <c r="P1750" s="149" t="n"/>
      <c r="Q1750" s="150" t="n"/>
      <c r="R1750" s="150" t="n"/>
      <c r="S1750" s="151" t="n"/>
    </row>
    <row r="1751" ht="36" customHeight="1">
      <c r="A1751" s="46" t="n">
        <v>4081</v>
      </c>
      <c r="B1751" s="4">
        <f>+VLOOKUP($A1751,MAGAZZINO!$B$2:$M$100000,2,FALSE)</f>
        <v/>
      </c>
      <c r="C1751" s="29">
        <f>+VLOOKUP($A1751,MAGAZZINO!$B$2:$M$100000,3,FALSE)</f>
        <v/>
      </c>
      <c r="D1751" s="3">
        <f>+VLOOKUP($A1751,MAGAZZINO!$B$2:$M$100000,4,FALSE)</f>
        <v/>
      </c>
      <c r="E1751" s="3">
        <f>+VLOOKUP($A1751,MAGAZZINO!$B$2:$M$100000,5,FALSE)</f>
        <v/>
      </c>
      <c r="F1751" s="3">
        <f>+VLOOKUP($A1751,MAGAZZINO!$B$2:$M$100000,6,FALSE)</f>
        <v/>
      </c>
      <c r="G1751" s="3">
        <f>+VLOOKUP($A1751,MAGAZZINO!$B$2:$M$100000,7,FALSE)</f>
        <v/>
      </c>
      <c r="H1751" s="3">
        <f>+VLOOKUP($A1751,MAGAZZINO!$B$2:$M$100000,8,FALSE)</f>
        <v/>
      </c>
      <c r="I1751" s="3">
        <f>+VLOOKUP($A1751,MAGAZZINO!$B$2:$M$100000,9,FALSE)</f>
        <v/>
      </c>
      <c r="J1751" s="3">
        <f>+VLOOKUP($A1751,MAGAZZINO!$B$2:$M$100000,10,FALSE)</f>
        <v/>
      </c>
      <c r="K1751" s="3">
        <f>+VLOOKUP($A1751,MAGAZZINO!$B$2:$M$100000,11,FALSE)</f>
        <v/>
      </c>
      <c r="L1751" s="5">
        <f>+VLOOKUP($A1751,MAGAZZINO!$B$2:$M$100000,12,FALSE)</f>
        <v/>
      </c>
      <c r="M1751" s="47" t="n"/>
      <c r="N1751" s="54" t="n"/>
      <c r="O1751" s="3" t="n"/>
      <c r="P1751" s="149" t="n"/>
      <c r="Q1751" s="150" t="n"/>
      <c r="R1751" s="150" t="n"/>
      <c r="S1751" s="151" t="n"/>
    </row>
    <row r="1752" ht="36" customHeight="1">
      <c r="A1752" s="46" t="n">
        <v>4082</v>
      </c>
      <c r="B1752" s="4">
        <f>+VLOOKUP($A1752,MAGAZZINO!$B$2:$M$100000,2,FALSE)</f>
        <v/>
      </c>
      <c r="C1752" s="29">
        <f>+VLOOKUP($A1752,MAGAZZINO!$B$2:$M$100000,3,FALSE)</f>
        <v/>
      </c>
      <c r="D1752" s="3">
        <f>+VLOOKUP($A1752,MAGAZZINO!$B$2:$M$100000,4,FALSE)</f>
        <v/>
      </c>
      <c r="E1752" s="3">
        <f>+VLOOKUP($A1752,MAGAZZINO!$B$2:$M$100000,5,FALSE)</f>
        <v/>
      </c>
      <c r="F1752" s="3">
        <f>+VLOOKUP($A1752,MAGAZZINO!$B$2:$M$100000,6,FALSE)</f>
        <v/>
      </c>
      <c r="G1752" s="3">
        <f>+VLOOKUP($A1752,MAGAZZINO!$B$2:$M$100000,7,FALSE)</f>
        <v/>
      </c>
      <c r="H1752" s="3">
        <f>+VLOOKUP($A1752,MAGAZZINO!$B$2:$M$100000,8,FALSE)</f>
        <v/>
      </c>
      <c r="I1752" s="3">
        <f>+VLOOKUP($A1752,MAGAZZINO!$B$2:$M$100000,9,FALSE)</f>
        <v/>
      </c>
      <c r="J1752" s="3">
        <f>+VLOOKUP($A1752,MAGAZZINO!$B$2:$M$100000,10,FALSE)</f>
        <v/>
      </c>
      <c r="K1752" s="3">
        <f>+VLOOKUP($A1752,MAGAZZINO!$B$2:$M$100000,11,FALSE)</f>
        <v/>
      </c>
      <c r="L1752" s="5">
        <f>+VLOOKUP($A1752,MAGAZZINO!$B$2:$M$100000,12,FALSE)</f>
        <v/>
      </c>
      <c r="M1752" s="47" t="n"/>
      <c r="N1752" s="54" t="n"/>
      <c r="O1752" s="3" t="n"/>
      <c r="P1752" s="149" t="n"/>
      <c r="Q1752" s="150" t="n"/>
      <c r="R1752" s="150" t="n"/>
      <c r="S1752" s="151" t="n"/>
    </row>
    <row r="1753" ht="36" customHeight="1">
      <c r="A1753" s="46" t="n">
        <v>4083</v>
      </c>
      <c r="B1753" s="4">
        <f>+VLOOKUP($A1753,MAGAZZINO!$B$2:$M$100000,2,FALSE)</f>
        <v/>
      </c>
      <c r="C1753" s="29">
        <f>+VLOOKUP($A1753,MAGAZZINO!$B$2:$M$100000,3,FALSE)</f>
        <v/>
      </c>
      <c r="D1753" s="3">
        <f>+VLOOKUP($A1753,MAGAZZINO!$B$2:$M$100000,4,FALSE)</f>
        <v/>
      </c>
      <c r="E1753" s="3">
        <f>+VLOOKUP($A1753,MAGAZZINO!$B$2:$M$100000,5,FALSE)</f>
        <v/>
      </c>
      <c r="F1753" s="3">
        <f>+VLOOKUP($A1753,MAGAZZINO!$B$2:$M$100000,6,FALSE)</f>
        <v/>
      </c>
      <c r="G1753" s="3">
        <f>+VLOOKUP($A1753,MAGAZZINO!$B$2:$M$100000,7,FALSE)</f>
        <v/>
      </c>
      <c r="H1753" s="3">
        <f>+VLOOKUP($A1753,MAGAZZINO!$B$2:$M$100000,8,FALSE)</f>
        <v/>
      </c>
      <c r="I1753" s="3">
        <f>+VLOOKUP($A1753,MAGAZZINO!$B$2:$M$100000,9,FALSE)</f>
        <v/>
      </c>
      <c r="J1753" s="3">
        <f>+VLOOKUP($A1753,MAGAZZINO!$B$2:$M$100000,10,FALSE)</f>
        <v/>
      </c>
      <c r="K1753" s="3">
        <f>+VLOOKUP($A1753,MAGAZZINO!$B$2:$M$100000,11,FALSE)</f>
        <v/>
      </c>
      <c r="L1753" s="5">
        <f>+VLOOKUP($A1753,MAGAZZINO!$B$2:$M$100000,12,FALSE)</f>
        <v/>
      </c>
      <c r="M1753" s="47" t="n"/>
      <c r="N1753" s="88" t="n">
        <v>45887</v>
      </c>
      <c r="O1753" s="91" t="inlineStr">
        <is>
          <t>PHILIPPOS CONSTANTINIDES TRADING CO. LTD (CIPRO)</t>
        </is>
      </c>
      <c r="P1753" s="154" t="inlineStr">
        <is>
          <t xml:space="preserve">IMPORT LICENSE N. 267 DEL 21/07/2025                                                                                         AUT. TRASFERIMENTO N. 6B/2025/4D RILASCIATA IL 28/07/2025   </t>
        </is>
      </c>
      <c r="Q1753" s="150" t="n"/>
      <c r="R1753" s="150" t="n"/>
      <c r="S1753" s="153" t="n"/>
    </row>
    <row r="1754" ht="36" customHeight="1">
      <c r="A1754" s="46" t="n">
        <v>4084</v>
      </c>
      <c r="B1754" s="4">
        <f>+VLOOKUP($A1754,MAGAZZINO!$B$2:$M$100000,2,FALSE)</f>
        <v/>
      </c>
      <c r="C1754" s="29">
        <f>+VLOOKUP($A1754,MAGAZZINO!$B$2:$M$100000,3,FALSE)</f>
        <v/>
      </c>
      <c r="D1754" s="3">
        <f>+VLOOKUP($A1754,MAGAZZINO!$B$2:$M$100000,4,FALSE)</f>
        <v/>
      </c>
      <c r="E1754" s="3">
        <f>+VLOOKUP($A1754,MAGAZZINO!$B$2:$M$100000,5,FALSE)</f>
        <v/>
      </c>
      <c r="F1754" s="3">
        <f>+VLOOKUP($A1754,MAGAZZINO!$B$2:$M$100000,6,FALSE)</f>
        <v/>
      </c>
      <c r="G1754" s="3">
        <f>+VLOOKUP($A1754,MAGAZZINO!$B$2:$M$100000,7,FALSE)</f>
        <v/>
      </c>
      <c r="H1754" s="3">
        <f>+VLOOKUP($A1754,MAGAZZINO!$B$2:$M$100000,8,FALSE)</f>
        <v/>
      </c>
      <c r="I1754" s="3">
        <f>+VLOOKUP($A1754,MAGAZZINO!$B$2:$M$100000,9,FALSE)</f>
        <v/>
      </c>
      <c r="J1754" s="3">
        <f>+VLOOKUP($A1754,MAGAZZINO!$B$2:$M$100000,10,FALSE)</f>
        <v/>
      </c>
      <c r="K1754" s="3">
        <f>+VLOOKUP($A1754,MAGAZZINO!$B$2:$M$100000,11,FALSE)</f>
        <v/>
      </c>
      <c r="L1754" s="5">
        <f>+VLOOKUP($A1754,MAGAZZINO!$B$2:$M$100000,12,FALSE)</f>
        <v/>
      </c>
      <c r="M1754" s="47" t="n"/>
      <c r="N1754" s="88" t="n">
        <v>45887</v>
      </c>
      <c r="O1754" s="91" t="inlineStr">
        <is>
          <t>PHILIPPOS CONSTANTINIDES TRADING CO. LTD (CIPRO)</t>
        </is>
      </c>
      <c r="P1754" s="163" t="inlineStr">
        <is>
          <t xml:space="preserve">IMPORT LICENSE N. 267 DEL 21/07/2025                                                                                         AUT. TRASFERIMENTO N. 6B/2025/4D RILASCIATA IL 28/07/2025   </t>
        </is>
      </c>
      <c r="Q1754" s="150" t="n"/>
      <c r="R1754" s="150" t="n"/>
      <c r="S1754" s="151" t="n"/>
    </row>
    <row r="1755" ht="36" customHeight="1">
      <c r="A1755" s="46" t="n">
        <v>4085</v>
      </c>
      <c r="B1755" s="4">
        <f>+VLOOKUP($A1755,MAGAZZINO!$B$2:$M$100000,2,FALSE)</f>
        <v/>
      </c>
      <c r="C1755" s="29">
        <f>+VLOOKUP($A1755,MAGAZZINO!$B$2:$M$100000,3,FALSE)</f>
        <v/>
      </c>
      <c r="D1755" s="3">
        <f>+VLOOKUP($A1755,MAGAZZINO!$B$2:$M$100000,4,FALSE)</f>
        <v/>
      </c>
      <c r="E1755" s="3">
        <f>+VLOOKUP($A1755,MAGAZZINO!$B$2:$M$100000,5,FALSE)</f>
        <v/>
      </c>
      <c r="F1755" s="3">
        <f>+VLOOKUP($A1755,MAGAZZINO!$B$2:$M$100000,6,FALSE)</f>
        <v/>
      </c>
      <c r="G1755" s="3">
        <f>+VLOOKUP($A1755,MAGAZZINO!$B$2:$M$100000,7,FALSE)</f>
        <v/>
      </c>
      <c r="H1755" s="3">
        <f>+VLOOKUP($A1755,MAGAZZINO!$B$2:$M$100000,8,FALSE)</f>
        <v/>
      </c>
      <c r="I1755" s="3">
        <f>+VLOOKUP($A1755,MAGAZZINO!$B$2:$M$100000,9,FALSE)</f>
        <v/>
      </c>
      <c r="J1755" s="3">
        <f>+VLOOKUP($A1755,MAGAZZINO!$B$2:$M$100000,10,FALSE)</f>
        <v/>
      </c>
      <c r="K1755" s="3">
        <f>+VLOOKUP($A1755,MAGAZZINO!$B$2:$M$100000,11,FALSE)</f>
        <v/>
      </c>
      <c r="L1755" s="5">
        <f>+VLOOKUP($A1755,MAGAZZINO!$B$2:$M$100000,12,FALSE)</f>
        <v/>
      </c>
      <c r="M1755" s="47" t="n"/>
      <c r="N1755" s="88" t="n">
        <v>45887</v>
      </c>
      <c r="O1755" s="91" t="inlineStr">
        <is>
          <t>PHILIPPOS CONSTANTINIDES TRADING CO. LTD (CIPRO)</t>
        </is>
      </c>
      <c r="P1755" s="163" t="inlineStr">
        <is>
          <t xml:space="preserve">IMPORT LICENSE N. 267 DEL 21/07/2025                                                                                         AUT. TRASFERIMENTO N. 6B/2025/4D RILASCIATA IL 28/07/2025   </t>
        </is>
      </c>
      <c r="Q1755" s="150" t="n"/>
      <c r="R1755" s="150" t="n"/>
      <c r="S1755" s="151" t="n"/>
    </row>
    <row r="1756" ht="36" customHeight="1">
      <c r="A1756" s="46" t="n">
        <v>4086</v>
      </c>
      <c r="B1756" s="4">
        <f>+VLOOKUP($A1756,MAGAZZINO!$B$2:$M$100000,2,FALSE)</f>
        <v/>
      </c>
      <c r="C1756" s="29">
        <f>+VLOOKUP($A1756,MAGAZZINO!$B$2:$M$100000,3,FALSE)</f>
        <v/>
      </c>
      <c r="D1756" s="3">
        <f>+VLOOKUP($A1756,MAGAZZINO!$B$2:$M$100000,4,FALSE)</f>
        <v/>
      </c>
      <c r="E1756" s="3">
        <f>+VLOOKUP($A1756,MAGAZZINO!$B$2:$M$100000,5,FALSE)</f>
        <v/>
      </c>
      <c r="F1756" s="3">
        <f>+VLOOKUP($A1756,MAGAZZINO!$B$2:$M$100000,6,FALSE)</f>
        <v/>
      </c>
      <c r="G1756" s="3">
        <f>+VLOOKUP($A1756,MAGAZZINO!$B$2:$M$100000,7,FALSE)</f>
        <v/>
      </c>
      <c r="H1756" s="3">
        <f>+VLOOKUP($A1756,MAGAZZINO!$B$2:$M$100000,8,FALSE)</f>
        <v/>
      </c>
      <c r="I1756" s="3">
        <f>+VLOOKUP($A1756,MAGAZZINO!$B$2:$M$100000,9,FALSE)</f>
        <v/>
      </c>
      <c r="J1756" s="3">
        <f>+VLOOKUP($A1756,MAGAZZINO!$B$2:$M$100000,10,FALSE)</f>
        <v/>
      </c>
      <c r="K1756" s="3">
        <f>+VLOOKUP($A1756,MAGAZZINO!$B$2:$M$100000,11,FALSE)</f>
        <v/>
      </c>
      <c r="L1756" s="5">
        <f>+VLOOKUP($A1756,MAGAZZINO!$B$2:$M$100000,12,FALSE)</f>
        <v/>
      </c>
      <c r="M1756" s="47" t="n"/>
      <c r="N1756" s="88" t="n">
        <v>45887</v>
      </c>
      <c r="O1756" s="91" t="inlineStr">
        <is>
          <t>PHILIPPOS CONSTANTINIDES TRADING CO. LTD (CIPRO)</t>
        </is>
      </c>
      <c r="P1756" s="163" t="inlineStr">
        <is>
          <t xml:space="preserve">IMPORT LICENSE N. 267 DEL 21/07/2025                                                                                         AUT. TRASFERIMENTO N. 6B/2025/4D RILASCIATA IL 28/07/2025   </t>
        </is>
      </c>
      <c r="Q1756" s="150" t="n"/>
      <c r="R1756" s="150" t="n"/>
      <c r="S1756" s="151" t="n"/>
    </row>
    <row r="1757" ht="36" customHeight="1">
      <c r="A1757" s="46" t="n">
        <v>4087</v>
      </c>
      <c r="B1757" s="4">
        <f>+VLOOKUP($A1757,MAGAZZINO!$B$2:$M$100000,2,FALSE)</f>
        <v/>
      </c>
      <c r="C1757" s="29">
        <f>+VLOOKUP($A1757,MAGAZZINO!$B$2:$M$100000,3,FALSE)</f>
        <v/>
      </c>
      <c r="D1757" s="3">
        <f>+VLOOKUP($A1757,MAGAZZINO!$B$2:$M$100000,4,FALSE)</f>
        <v/>
      </c>
      <c r="E1757" s="3">
        <f>+VLOOKUP($A1757,MAGAZZINO!$B$2:$M$100000,5,FALSE)</f>
        <v/>
      </c>
      <c r="F1757" s="3">
        <f>+VLOOKUP($A1757,MAGAZZINO!$B$2:$M$100000,6,FALSE)</f>
        <v/>
      </c>
      <c r="G1757" s="3">
        <f>+VLOOKUP($A1757,MAGAZZINO!$B$2:$M$100000,7,FALSE)</f>
        <v/>
      </c>
      <c r="H1757" s="3">
        <f>+VLOOKUP($A1757,MAGAZZINO!$B$2:$M$100000,8,FALSE)</f>
        <v/>
      </c>
      <c r="I1757" s="3">
        <f>+VLOOKUP($A1757,MAGAZZINO!$B$2:$M$100000,9,FALSE)</f>
        <v/>
      </c>
      <c r="J1757" s="3">
        <f>+VLOOKUP($A1757,MAGAZZINO!$B$2:$M$100000,10,FALSE)</f>
        <v/>
      </c>
      <c r="K1757" s="3">
        <f>+VLOOKUP($A1757,MAGAZZINO!$B$2:$M$100000,11,FALSE)</f>
        <v/>
      </c>
      <c r="L1757" s="5">
        <f>+VLOOKUP($A1757,MAGAZZINO!$B$2:$M$100000,12,FALSE)</f>
        <v/>
      </c>
      <c r="M1757" s="47" t="n"/>
      <c r="N1757" s="88" t="n">
        <v>45887</v>
      </c>
      <c r="O1757" s="91" t="inlineStr">
        <is>
          <t>PHILIPPOS CONSTANTINIDES TRADING CO. LTD (CIPRO)</t>
        </is>
      </c>
      <c r="P1757" s="163" t="inlineStr">
        <is>
          <t xml:space="preserve">IMPORT LICENSE N. 267 DEL 21/07/2025                                                                                         AUT. TRASFERIMENTO N. 6B/2025/4D RILASCIATA IL 28/07/2025   </t>
        </is>
      </c>
      <c r="Q1757" s="150" t="n"/>
      <c r="R1757" s="150" t="n"/>
      <c r="S1757" s="151" t="n"/>
    </row>
    <row r="1758" ht="36" customHeight="1">
      <c r="A1758" s="46" t="n">
        <v>4088</v>
      </c>
      <c r="B1758" s="4">
        <f>+VLOOKUP($A1758,MAGAZZINO!$B$2:$M$100000,2,FALSE)</f>
        <v/>
      </c>
      <c r="C1758" s="29">
        <f>+VLOOKUP($A1758,MAGAZZINO!$B$2:$M$100000,3,FALSE)</f>
        <v/>
      </c>
      <c r="D1758" s="3">
        <f>+VLOOKUP($A1758,MAGAZZINO!$B$2:$M$100000,4,FALSE)</f>
        <v/>
      </c>
      <c r="E1758" s="3">
        <f>+VLOOKUP($A1758,MAGAZZINO!$B$2:$M$100000,5,FALSE)</f>
        <v/>
      </c>
      <c r="F1758" s="3">
        <f>+VLOOKUP($A1758,MAGAZZINO!$B$2:$M$100000,6,FALSE)</f>
        <v/>
      </c>
      <c r="G1758" s="3">
        <f>+VLOOKUP($A1758,MAGAZZINO!$B$2:$M$100000,7,FALSE)</f>
        <v/>
      </c>
      <c r="H1758" s="3">
        <f>+VLOOKUP($A1758,MAGAZZINO!$B$2:$M$100000,8,FALSE)</f>
        <v/>
      </c>
      <c r="I1758" s="3">
        <f>+VLOOKUP($A1758,MAGAZZINO!$B$2:$M$100000,9,FALSE)</f>
        <v/>
      </c>
      <c r="J1758" s="3">
        <f>+VLOOKUP($A1758,MAGAZZINO!$B$2:$M$100000,10,FALSE)</f>
        <v/>
      </c>
      <c r="K1758" s="3">
        <f>+VLOOKUP($A1758,MAGAZZINO!$B$2:$M$100000,11,FALSE)</f>
        <v/>
      </c>
      <c r="L1758" s="5">
        <f>+VLOOKUP($A1758,MAGAZZINO!$B$2:$M$100000,12,FALSE)</f>
        <v/>
      </c>
      <c r="M1758" s="47" t="n"/>
      <c r="N1758" s="54" t="n"/>
      <c r="O1758" s="3" t="n"/>
      <c r="P1758" s="149" t="n"/>
      <c r="Q1758" s="150" t="n"/>
      <c r="R1758" s="150" t="n"/>
      <c r="S1758" s="151" t="n"/>
    </row>
    <row r="1759" ht="36" customHeight="1">
      <c r="A1759" s="46" t="n">
        <v>4089</v>
      </c>
      <c r="B1759" s="4">
        <f>+VLOOKUP($A1759,MAGAZZINO!$B$2:$M$100000,2,FALSE)</f>
        <v/>
      </c>
      <c r="C1759" s="29">
        <f>+VLOOKUP($A1759,MAGAZZINO!$B$2:$M$100000,3,FALSE)</f>
        <v/>
      </c>
      <c r="D1759" s="3">
        <f>+VLOOKUP($A1759,MAGAZZINO!$B$2:$M$100000,4,FALSE)</f>
        <v/>
      </c>
      <c r="E1759" s="3">
        <f>+VLOOKUP($A1759,MAGAZZINO!$B$2:$M$100000,5,FALSE)</f>
        <v/>
      </c>
      <c r="F1759" s="3">
        <f>+VLOOKUP($A1759,MAGAZZINO!$B$2:$M$100000,6,FALSE)</f>
        <v/>
      </c>
      <c r="G1759" s="3">
        <f>+VLOOKUP($A1759,MAGAZZINO!$B$2:$M$100000,7,FALSE)</f>
        <v/>
      </c>
      <c r="H1759" s="3">
        <f>+VLOOKUP($A1759,MAGAZZINO!$B$2:$M$100000,8,FALSE)</f>
        <v/>
      </c>
      <c r="I1759" s="3">
        <f>+VLOOKUP($A1759,MAGAZZINO!$B$2:$M$100000,9,FALSE)</f>
        <v/>
      </c>
      <c r="J1759" s="3">
        <f>+VLOOKUP($A1759,MAGAZZINO!$B$2:$M$100000,10,FALSE)</f>
        <v/>
      </c>
      <c r="K1759" s="3">
        <f>+VLOOKUP($A1759,MAGAZZINO!$B$2:$M$100000,11,FALSE)</f>
        <v/>
      </c>
      <c r="L1759" s="5">
        <f>+VLOOKUP($A1759,MAGAZZINO!$B$2:$M$100000,12,FALSE)</f>
        <v/>
      </c>
      <c r="M1759" s="47" t="n"/>
      <c r="N1759" s="54" t="n"/>
      <c r="O1759" s="3" t="n"/>
      <c r="P1759" s="149" t="n"/>
      <c r="Q1759" s="150" t="n"/>
      <c r="R1759" s="150" t="n"/>
      <c r="S1759" s="151" t="n"/>
    </row>
    <row r="1760" ht="36" customHeight="1">
      <c r="A1760" s="46" t="n">
        <v>4090</v>
      </c>
      <c r="B1760" s="4">
        <f>+VLOOKUP($A1760,MAGAZZINO!$B$2:$M$100000,2,FALSE)</f>
        <v/>
      </c>
      <c r="C1760" s="29">
        <f>+VLOOKUP($A1760,MAGAZZINO!$B$2:$M$100000,3,FALSE)</f>
        <v/>
      </c>
      <c r="D1760" s="3">
        <f>+VLOOKUP($A1760,MAGAZZINO!$B$2:$M$100000,4,FALSE)</f>
        <v/>
      </c>
      <c r="E1760" s="3">
        <f>+VLOOKUP($A1760,MAGAZZINO!$B$2:$M$100000,5,FALSE)</f>
        <v/>
      </c>
      <c r="F1760" s="3">
        <f>+VLOOKUP($A1760,MAGAZZINO!$B$2:$M$100000,6,FALSE)</f>
        <v/>
      </c>
      <c r="G1760" s="3">
        <f>+VLOOKUP($A1760,MAGAZZINO!$B$2:$M$100000,7,FALSE)</f>
        <v/>
      </c>
      <c r="H1760" s="3">
        <f>+VLOOKUP($A1760,MAGAZZINO!$B$2:$M$100000,8,FALSE)</f>
        <v/>
      </c>
      <c r="I1760" s="3">
        <f>+VLOOKUP($A1760,MAGAZZINO!$B$2:$M$100000,9,FALSE)</f>
        <v/>
      </c>
      <c r="J1760" s="3">
        <f>+VLOOKUP($A1760,MAGAZZINO!$B$2:$M$100000,10,FALSE)</f>
        <v/>
      </c>
      <c r="K1760" s="3">
        <f>+VLOOKUP($A1760,MAGAZZINO!$B$2:$M$100000,11,FALSE)</f>
        <v/>
      </c>
      <c r="L1760" s="5">
        <f>+VLOOKUP($A1760,MAGAZZINO!$B$2:$M$100000,12,FALSE)</f>
        <v/>
      </c>
      <c r="M1760" s="47" t="n"/>
      <c r="N1760" s="54" t="n"/>
      <c r="O1760" s="3" t="n"/>
      <c r="P1760" s="149" t="n"/>
      <c r="Q1760" s="150" t="n"/>
      <c r="R1760" s="150" t="n"/>
      <c r="S1760" s="151" t="n"/>
    </row>
    <row r="1761" ht="36" customHeight="1">
      <c r="A1761" s="46" t="n">
        <v>4091</v>
      </c>
      <c r="B1761" s="4">
        <f>+VLOOKUP($A1761,MAGAZZINO!$B$2:$M$100000,2,FALSE)</f>
        <v/>
      </c>
      <c r="C1761" s="29">
        <f>+VLOOKUP($A1761,MAGAZZINO!$B$2:$M$100000,3,FALSE)</f>
        <v/>
      </c>
      <c r="D1761" s="3">
        <f>+VLOOKUP($A1761,MAGAZZINO!$B$2:$M$100000,4,FALSE)</f>
        <v/>
      </c>
      <c r="E1761" s="3">
        <f>+VLOOKUP($A1761,MAGAZZINO!$B$2:$M$100000,5,FALSE)</f>
        <v/>
      </c>
      <c r="F1761" s="3">
        <f>+VLOOKUP($A1761,MAGAZZINO!$B$2:$M$100000,6,FALSE)</f>
        <v/>
      </c>
      <c r="G1761" s="3">
        <f>+VLOOKUP($A1761,MAGAZZINO!$B$2:$M$100000,7,FALSE)</f>
        <v/>
      </c>
      <c r="H1761" s="3">
        <f>+VLOOKUP($A1761,MAGAZZINO!$B$2:$M$100000,8,FALSE)</f>
        <v/>
      </c>
      <c r="I1761" s="3">
        <f>+VLOOKUP($A1761,MAGAZZINO!$B$2:$M$100000,9,FALSE)</f>
        <v/>
      </c>
      <c r="J1761" s="3">
        <f>+VLOOKUP($A1761,MAGAZZINO!$B$2:$M$100000,10,FALSE)</f>
        <v/>
      </c>
      <c r="K1761" s="3">
        <f>+VLOOKUP($A1761,MAGAZZINO!$B$2:$M$100000,11,FALSE)</f>
        <v/>
      </c>
      <c r="L1761" s="5">
        <f>+VLOOKUP($A1761,MAGAZZINO!$B$2:$M$100000,12,FALSE)</f>
        <v/>
      </c>
      <c r="M1761" s="47" t="n"/>
      <c r="N1761" s="88" t="n">
        <v>45887</v>
      </c>
      <c r="O1761" s="91" t="inlineStr">
        <is>
          <t>PHILIPPOS CONSTANTINIDES TRADING CO. LTD (CIPRO)</t>
        </is>
      </c>
      <c r="P1761" s="154" t="inlineStr">
        <is>
          <t xml:space="preserve">IMPORT LICENSE N. 267 DEL 21/07/2025                                                                                         AUT. TRASFERIMENTO N. 6B/2025/4D RILASCIATA IL 28/07/2025   </t>
        </is>
      </c>
      <c r="Q1761" s="150" t="n"/>
      <c r="R1761" s="150" t="n"/>
      <c r="S1761" s="153" t="n"/>
    </row>
    <row r="1762" ht="36" customHeight="1">
      <c r="A1762" s="46" t="n">
        <v>4092</v>
      </c>
      <c r="B1762" s="4">
        <f>+VLOOKUP($A1762,MAGAZZINO!$B$2:$M$100000,2,FALSE)</f>
        <v/>
      </c>
      <c r="C1762" s="29">
        <f>+VLOOKUP($A1762,MAGAZZINO!$B$2:$M$100000,3,FALSE)</f>
        <v/>
      </c>
      <c r="D1762" s="3">
        <f>+VLOOKUP($A1762,MAGAZZINO!$B$2:$M$100000,4,FALSE)</f>
        <v/>
      </c>
      <c r="E1762" s="3">
        <f>+VLOOKUP($A1762,MAGAZZINO!$B$2:$M$100000,5,FALSE)</f>
        <v/>
      </c>
      <c r="F1762" s="3">
        <f>+VLOOKUP($A1762,MAGAZZINO!$B$2:$M$100000,6,FALSE)</f>
        <v/>
      </c>
      <c r="G1762" s="3">
        <f>+VLOOKUP($A1762,MAGAZZINO!$B$2:$M$100000,7,FALSE)</f>
        <v/>
      </c>
      <c r="H1762" s="3">
        <f>+VLOOKUP($A1762,MAGAZZINO!$B$2:$M$100000,8,FALSE)</f>
        <v/>
      </c>
      <c r="I1762" s="3">
        <f>+VLOOKUP($A1762,MAGAZZINO!$B$2:$M$100000,9,FALSE)</f>
        <v/>
      </c>
      <c r="J1762" s="3">
        <f>+VLOOKUP($A1762,MAGAZZINO!$B$2:$M$100000,10,FALSE)</f>
        <v/>
      </c>
      <c r="K1762" s="3">
        <f>+VLOOKUP($A1762,MAGAZZINO!$B$2:$M$100000,11,FALSE)</f>
        <v/>
      </c>
      <c r="L1762" s="5">
        <f>+VLOOKUP($A1762,MAGAZZINO!$B$2:$M$100000,12,FALSE)</f>
        <v/>
      </c>
      <c r="M1762" s="47" t="n"/>
      <c r="N1762" s="88" t="n">
        <v>45887</v>
      </c>
      <c r="O1762" s="91" t="inlineStr">
        <is>
          <t>PHILIPPOS CONSTANTINIDES TRADING CO. LTD (CIPRO)</t>
        </is>
      </c>
      <c r="P1762" s="154" t="inlineStr">
        <is>
          <t xml:space="preserve">IMPORT LICENSE N. 267 DEL 21/07/2025                                                                                         AUT. TRASFERIMENTO N. 6B/2025/4D RILASCIATA IL 28/07/2025   </t>
        </is>
      </c>
      <c r="Q1762" s="150" t="n"/>
      <c r="R1762" s="150" t="n"/>
      <c r="S1762" s="153" t="n"/>
    </row>
    <row r="1763" ht="36" customHeight="1">
      <c r="A1763" s="46" t="n">
        <v>4093</v>
      </c>
      <c r="B1763" s="4">
        <f>+VLOOKUP($A1763,MAGAZZINO!$B$2:$M$100000,2,FALSE)</f>
        <v/>
      </c>
      <c r="C1763" s="29">
        <f>+VLOOKUP($A1763,MAGAZZINO!$B$2:$M$100000,3,FALSE)</f>
        <v/>
      </c>
      <c r="D1763" s="3">
        <f>+VLOOKUP($A1763,MAGAZZINO!$B$2:$M$100000,4,FALSE)</f>
        <v/>
      </c>
      <c r="E1763" s="3">
        <f>+VLOOKUP($A1763,MAGAZZINO!$B$2:$M$100000,5,FALSE)</f>
        <v/>
      </c>
      <c r="F1763" s="3">
        <f>+VLOOKUP($A1763,MAGAZZINO!$B$2:$M$100000,6,FALSE)</f>
        <v/>
      </c>
      <c r="G1763" s="3">
        <f>+VLOOKUP($A1763,MAGAZZINO!$B$2:$M$100000,7,FALSE)</f>
        <v/>
      </c>
      <c r="H1763" s="3">
        <f>+VLOOKUP($A1763,MAGAZZINO!$B$2:$M$100000,8,FALSE)</f>
        <v/>
      </c>
      <c r="I1763" s="3">
        <f>+VLOOKUP($A1763,MAGAZZINO!$B$2:$M$100000,9,FALSE)</f>
        <v/>
      </c>
      <c r="J1763" s="3">
        <f>+VLOOKUP($A1763,MAGAZZINO!$B$2:$M$100000,10,FALSE)</f>
        <v/>
      </c>
      <c r="K1763" s="3">
        <f>+VLOOKUP($A1763,MAGAZZINO!$B$2:$M$100000,11,FALSE)</f>
        <v/>
      </c>
      <c r="L1763" s="5">
        <f>+VLOOKUP($A1763,MAGAZZINO!$B$2:$M$100000,12,FALSE)</f>
        <v/>
      </c>
      <c r="M1763" s="47" t="n"/>
      <c r="N1763" s="88" t="n">
        <v>45887</v>
      </c>
      <c r="O1763" s="91" t="inlineStr">
        <is>
          <t>PHILIPPOS CONSTANTINIDES TRADING CO. LTD (CIPRO)</t>
        </is>
      </c>
      <c r="P1763" s="154" t="inlineStr">
        <is>
          <t xml:space="preserve">IMPORT LICENSE N. 267 DEL 21/07/2025                                                                                         AUT. TRASFERIMENTO N. 6B/2025/4D RILASCIATA IL 28/07/2025   </t>
        </is>
      </c>
      <c r="Q1763" s="150" t="n"/>
      <c r="R1763" s="150" t="n"/>
      <c r="S1763" s="153" t="n"/>
    </row>
    <row r="1764" ht="36" customHeight="1">
      <c r="A1764" s="46" t="n">
        <v>4094</v>
      </c>
      <c r="B1764" s="4">
        <f>+VLOOKUP($A1764,MAGAZZINO!$B$2:$M$100000,2,FALSE)</f>
        <v/>
      </c>
      <c r="C1764" s="29">
        <f>+VLOOKUP($A1764,MAGAZZINO!$B$2:$M$100000,3,FALSE)</f>
        <v/>
      </c>
      <c r="D1764" s="3">
        <f>+VLOOKUP($A1764,MAGAZZINO!$B$2:$M$100000,4,FALSE)</f>
        <v/>
      </c>
      <c r="E1764" s="3">
        <f>+VLOOKUP($A1764,MAGAZZINO!$B$2:$M$100000,5,FALSE)</f>
        <v/>
      </c>
      <c r="F1764" s="3">
        <f>+VLOOKUP($A1764,MAGAZZINO!$B$2:$M$100000,6,FALSE)</f>
        <v/>
      </c>
      <c r="G1764" s="3">
        <f>+VLOOKUP($A1764,MAGAZZINO!$B$2:$M$100000,7,FALSE)</f>
        <v/>
      </c>
      <c r="H1764" s="3">
        <f>+VLOOKUP($A1764,MAGAZZINO!$B$2:$M$100000,8,FALSE)</f>
        <v/>
      </c>
      <c r="I1764" s="3">
        <f>+VLOOKUP($A1764,MAGAZZINO!$B$2:$M$100000,9,FALSE)</f>
        <v/>
      </c>
      <c r="J1764" s="3">
        <f>+VLOOKUP($A1764,MAGAZZINO!$B$2:$M$100000,10,FALSE)</f>
        <v/>
      </c>
      <c r="K1764" s="3">
        <f>+VLOOKUP($A1764,MAGAZZINO!$B$2:$M$100000,11,FALSE)</f>
        <v/>
      </c>
      <c r="L1764" s="5">
        <f>+VLOOKUP($A1764,MAGAZZINO!$B$2:$M$100000,12,FALSE)</f>
        <v/>
      </c>
      <c r="M1764" s="47" t="n"/>
      <c r="N1764" s="88" t="n">
        <v>45887</v>
      </c>
      <c r="O1764" s="91" t="inlineStr">
        <is>
          <t>PHILIPPOS CONSTANTINIDES TRADING CO. LTD (CIPRO)</t>
        </is>
      </c>
      <c r="P1764" s="154" t="inlineStr">
        <is>
          <t xml:space="preserve">IMPORT LICENSE N. 267 DEL 21/07/2025                                                                                         AUT. TRASFERIMENTO N. 6B/2025/4D RILASCIATA IL 28/07/2025   </t>
        </is>
      </c>
      <c r="Q1764" s="150" t="n"/>
      <c r="R1764" s="150" t="n"/>
      <c r="S1764" s="153" t="n"/>
    </row>
    <row r="1765" ht="36" customHeight="1">
      <c r="A1765" s="46" t="n">
        <v>4095</v>
      </c>
      <c r="B1765" s="4">
        <f>+VLOOKUP($A1765,MAGAZZINO!$B$2:$M$100000,2,FALSE)</f>
        <v/>
      </c>
      <c r="C1765" s="29">
        <f>+VLOOKUP($A1765,MAGAZZINO!$B$2:$M$100000,3,FALSE)</f>
        <v/>
      </c>
      <c r="D1765" s="3">
        <f>+VLOOKUP($A1765,MAGAZZINO!$B$2:$M$100000,4,FALSE)</f>
        <v/>
      </c>
      <c r="E1765" s="3">
        <f>+VLOOKUP($A1765,MAGAZZINO!$B$2:$M$100000,5,FALSE)</f>
        <v/>
      </c>
      <c r="F1765" s="3">
        <f>+VLOOKUP($A1765,MAGAZZINO!$B$2:$M$100000,6,FALSE)</f>
        <v/>
      </c>
      <c r="G1765" s="3">
        <f>+VLOOKUP($A1765,MAGAZZINO!$B$2:$M$100000,7,FALSE)</f>
        <v/>
      </c>
      <c r="H1765" s="3">
        <f>+VLOOKUP($A1765,MAGAZZINO!$B$2:$M$100000,8,FALSE)</f>
        <v/>
      </c>
      <c r="I1765" s="3">
        <f>+VLOOKUP($A1765,MAGAZZINO!$B$2:$M$100000,9,FALSE)</f>
        <v/>
      </c>
      <c r="J1765" s="3">
        <f>+VLOOKUP($A1765,MAGAZZINO!$B$2:$M$100000,10,FALSE)</f>
        <v/>
      </c>
      <c r="K1765" s="3">
        <f>+VLOOKUP($A1765,MAGAZZINO!$B$2:$M$100000,11,FALSE)</f>
        <v/>
      </c>
      <c r="L1765" s="5">
        <f>+VLOOKUP($A1765,MAGAZZINO!$B$2:$M$100000,12,FALSE)</f>
        <v/>
      </c>
      <c r="M1765" s="47" t="n"/>
      <c r="N1765" s="88" t="n">
        <v>45887</v>
      </c>
      <c r="O1765" s="91" t="inlineStr">
        <is>
          <t>PHILIPPOS CONSTANTINIDES TRADING CO. LTD (CIPRO)</t>
        </is>
      </c>
      <c r="P1765" s="154" t="inlineStr">
        <is>
          <t xml:space="preserve">IMPORT LICENSE N. 267 DEL 21/07/2025                                                                                         AUT. TRASFERIMENTO N. 6B/2025/4D RILASCIATA IL 28/07/2025   </t>
        </is>
      </c>
      <c r="Q1765" s="150" t="n"/>
      <c r="R1765" s="150" t="n"/>
      <c r="S1765" s="153" t="n"/>
    </row>
    <row r="1766" ht="36" customHeight="1">
      <c r="A1766" s="46" t="n">
        <v>4096</v>
      </c>
      <c r="B1766" s="4">
        <f>+VLOOKUP($A1766,MAGAZZINO!$B$2:$M$100000,2,FALSE)</f>
        <v/>
      </c>
      <c r="C1766" s="29">
        <f>+VLOOKUP($A1766,MAGAZZINO!$B$2:$M$100000,3,FALSE)</f>
        <v/>
      </c>
      <c r="D1766" s="3">
        <f>+VLOOKUP($A1766,MAGAZZINO!$B$2:$M$100000,4,FALSE)</f>
        <v/>
      </c>
      <c r="E1766" s="3">
        <f>+VLOOKUP($A1766,MAGAZZINO!$B$2:$M$100000,5,FALSE)</f>
        <v/>
      </c>
      <c r="F1766" s="3">
        <f>+VLOOKUP($A1766,MAGAZZINO!$B$2:$M$100000,6,FALSE)</f>
        <v/>
      </c>
      <c r="G1766" s="3">
        <f>+VLOOKUP($A1766,MAGAZZINO!$B$2:$M$100000,7,FALSE)</f>
        <v/>
      </c>
      <c r="H1766" s="3">
        <f>+VLOOKUP($A1766,MAGAZZINO!$B$2:$M$100000,8,FALSE)</f>
        <v/>
      </c>
      <c r="I1766" s="3">
        <f>+VLOOKUP($A1766,MAGAZZINO!$B$2:$M$100000,9,FALSE)</f>
        <v/>
      </c>
      <c r="J1766" s="3">
        <f>+VLOOKUP($A1766,MAGAZZINO!$B$2:$M$100000,10,FALSE)</f>
        <v/>
      </c>
      <c r="K1766" s="3">
        <f>+VLOOKUP($A1766,MAGAZZINO!$B$2:$M$100000,11,FALSE)</f>
        <v/>
      </c>
      <c r="L1766" s="5">
        <f>+VLOOKUP($A1766,MAGAZZINO!$B$2:$M$100000,12,FALSE)</f>
        <v/>
      </c>
      <c r="M1766" s="47" t="n"/>
      <c r="N1766" s="88" t="n">
        <v>45874</v>
      </c>
      <c r="O1766" s="91" t="inlineStr">
        <is>
          <t>PHILIPPOS CONSTANTINIDES TRADING CO. LTD (CIPRO)</t>
        </is>
      </c>
      <c r="P1766" s="154" t="inlineStr">
        <is>
          <t xml:space="preserve">IMPORT LICENSE N. 218 DEL 12/08/2020                                                                                         AUT. TRASFERIMENTO N. 6B/2025/3D RILASCIATA IL 28/07/2025   </t>
        </is>
      </c>
      <c r="Q1766" s="150" t="n"/>
      <c r="R1766" s="150" t="n"/>
      <c r="S1766" s="153" t="n"/>
    </row>
    <row r="1767" ht="36" customHeight="1">
      <c r="A1767" s="46" t="n">
        <v>4097</v>
      </c>
      <c r="B1767" s="4">
        <f>+VLOOKUP($A1767,MAGAZZINO!$B$2:$M$100000,2,FALSE)</f>
        <v/>
      </c>
      <c r="C1767" s="29">
        <f>+VLOOKUP($A1767,MAGAZZINO!$B$2:$M$100000,3,FALSE)</f>
        <v/>
      </c>
      <c r="D1767" s="3">
        <f>+VLOOKUP($A1767,MAGAZZINO!$B$2:$M$100000,4,FALSE)</f>
        <v/>
      </c>
      <c r="E1767" s="3">
        <f>+VLOOKUP($A1767,MAGAZZINO!$B$2:$M$100000,5,FALSE)</f>
        <v/>
      </c>
      <c r="F1767" s="3">
        <f>+VLOOKUP($A1767,MAGAZZINO!$B$2:$M$100000,6,FALSE)</f>
        <v/>
      </c>
      <c r="G1767" s="3">
        <f>+VLOOKUP($A1767,MAGAZZINO!$B$2:$M$100000,7,FALSE)</f>
        <v/>
      </c>
      <c r="H1767" s="3">
        <f>+VLOOKUP($A1767,MAGAZZINO!$B$2:$M$100000,8,FALSE)</f>
        <v/>
      </c>
      <c r="I1767" s="3">
        <f>+VLOOKUP($A1767,MAGAZZINO!$B$2:$M$100000,9,FALSE)</f>
        <v/>
      </c>
      <c r="J1767" s="3">
        <f>+VLOOKUP($A1767,MAGAZZINO!$B$2:$M$100000,10,FALSE)</f>
        <v/>
      </c>
      <c r="K1767" s="3">
        <f>+VLOOKUP($A1767,MAGAZZINO!$B$2:$M$100000,11,FALSE)</f>
        <v/>
      </c>
      <c r="L1767" s="5">
        <f>+VLOOKUP($A1767,MAGAZZINO!$B$2:$M$100000,12,FALSE)</f>
        <v/>
      </c>
      <c r="M1767" s="47" t="n"/>
      <c r="N1767" s="88" t="n">
        <v>45887</v>
      </c>
      <c r="O1767" s="91" t="inlineStr">
        <is>
          <t>PHILIPPOS CONSTANTINIDES TRADING CO. LTD (CIPRO)</t>
        </is>
      </c>
      <c r="P1767" s="154" t="inlineStr">
        <is>
          <t xml:space="preserve">IMPORT LICENSE N. 267 DEL 21/07/2025                                                                                         AUT. TRASFERIMENTO N. 6B/2025/4D RILASCIATA IL 28/07/2025   </t>
        </is>
      </c>
      <c r="Q1767" s="150" t="n"/>
      <c r="R1767" s="150" t="n"/>
      <c r="S1767" s="153" t="n"/>
    </row>
    <row r="1768" ht="36" customHeight="1">
      <c r="A1768" s="46" t="n">
        <v>4098</v>
      </c>
      <c r="B1768" s="4">
        <f>+VLOOKUP($A1768,MAGAZZINO!$B$2:$M$100000,2,FALSE)</f>
        <v/>
      </c>
      <c r="C1768" s="29">
        <f>+VLOOKUP($A1768,MAGAZZINO!$B$2:$M$100000,3,FALSE)</f>
        <v/>
      </c>
      <c r="D1768" s="3">
        <f>+VLOOKUP($A1768,MAGAZZINO!$B$2:$M$100000,4,FALSE)</f>
        <v/>
      </c>
      <c r="E1768" s="3">
        <f>+VLOOKUP($A1768,MAGAZZINO!$B$2:$M$100000,5,FALSE)</f>
        <v/>
      </c>
      <c r="F1768" s="3">
        <f>+VLOOKUP($A1768,MAGAZZINO!$B$2:$M$100000,6,FALSE)</f>
        <v/>
      </c>
      <c r="G1768" s="3">
        <f>+VLOOKUP($A1768,MAGAZZINO!$B$2:$M$100000,7,FALSE)</f>
        <v/>
      </c>
      <c r="H1768" s="3">
        <f>+VLOOKUP($A1768,MAGAZZINO!$B$2:$M$100000,8,FALSE)</f>
        <v/>
      </c>
      <c r="I1768" s="3">
        <f>+VLOOKUP($A1768,MAGAZZINO!$B$2:$M$100000,9,FALSE)</f>
        <v/>
      </c>
      <c r="J1768" s="3">
        <f>+VLOOKUP($A1768,MAGAZZINO!$B$2:$M$100000,10,FALSE)</f>
        <v/>
      </c>
      <c r="K1768" s="3">
        <f>+VLOOKUP($A1768,MAGAZZINO!$B$2:$M$100000,11,FALSE)</f>
        <v/>
      </c>
      <c r="L1768" s="5">
        <f>+VLOOKUP($A1768,MAGAZZINO!$B$2:$M$100000,12,FALSE)</f>
        <v/>
      </c>
      <c r="M1768" s="47" t="n"/>
      <c r="N1768" s="88" t="n">
        <v>45887</v>
      </c>
      <c r="O1768" s="91" t="inlineStr">
        <is>
          <t>PHILIPPOS CONSTANTINIDES TRADING CO. LTD (CIPRO)</t>
        </is>
      </c>
      <c r="P1768" s="154" t="inlineStr">
        <is>
          <t xml:space="preserve">IMPORT LICENSE N. 267 DEL 21/07/2025                                                                                         AUT. TRASFERIMENTO N. 6B/2025/4D RILASCIATA IL 28/07/2025   </t>
        </is>
      </c>
      <c r="Q1768" s="150" t="n"/>
      <c r="R1768" s="150" t="n"/>
      <c r="S1768" s="153" t="n"/>
    </row>
    <row r="1769" ht="36" customHeight="1">
      <c r="A1769" s="46" t="n">
        <v>4099</v>
      </c>
      <c r="B1769" s="4">
        <f>+VLOOKUP($A1769,MAGAZZINO!$B$2:$M$100000,2,FALSE)</f>
        <v/>
      </c>
      <c r="C1769" s="29">
        <f>+VLOOKUP($A1769,MAGAZZINO!$B$2:$M$100000,3,FALSE)</f>
        <v/>
      </c>
      <c r="D1769" s="3">
        <f>+VLOOKUP($A1769,MAGAZZINO!$B$2:$M$100000,4,FALSE)</f>
        <v/>
      </c>
      <c r="E1769" s="3">
        <f>+VLOOKUP($A1769,MAGAZZINO!$B$2:$M$100000,5,FALSE)</f>
        <v/>
      </c>
      <c r="F1769" s="3">
        <f>+VLOOKUP($A1769,MAGAZZINO!$B$2:$M$100000,6,FALSE)</f>
        <v/>
      </c>
      <c r="G1769" s="3">
        <f>+VLOOKUP($A1769,MAGAZZINO!$B$2:$M$100000,7,FALSE)</f>
        <v/>
      </c>
      <c r="H1769" s="3">
        <f>+VLOOKUP($A1769,MAGAZZINO!$B$2:$M$100000,8,FALSE)</f>
        <v/>
      </c>
      <c r="I1769" s="3">
        <f>+VLOOKUP($A1769,MAGAZZINO!$B$2:$M$100000,9,FALSE)</f>
        <v/>
      </c>
      <c r="J1769" s="3">
        <f>+VLOOKUP($A1769,MAGAZZINO!$B$2:$M$100000,10,FALSE)</f>
        <v/>
      </c>
      <c r="K1769" s="3">
        <f>+VLOOKUP($A1769,MAGAZZINO!$B$2:$M$100000,11,FALSE)</f>
        <v/>
      </c>
      <c r="L1769" s="5">
        <f>+VLOOKUP($A1769,MAGAZZINO!$B$2:$M$100000,12,FALSE)</f>
        <v/>
      </c>
      <c r="M1769" s="47" t="n"/>
      <c r="N1769" s="88" t="n">
        <v>45887</v>
      </c>
      <c r="O1769" s="91" t="inlineStr">
        <is>
          <t>PHILIPPOS CONSTANTINIDES TRADING CO. LTD (CIPRO)</t>
        </is>
      </c>
      <c r="P1769" s="154" t="inlineStr">
        <is>
          <t xml:space="preserve">IMPORT LICENSE N. 267 DEL 21/07/2025                                                                                         AUT. TRASFERIMENTO N. 6B/2025/4D RILASCIATA IL 28/07/2025   </t>
        </is>
      </c>
      <c r="Q1769" s="150" t="n"/>
      <c r="R1769" s="150" t="n"/>
      <c r="S1769" s="153" t="n"/>
    </row>
    <row r="1770" ht="36" customHeight="1">
      <c r="A1770" s="46" t="n">
        <v>4100</v>
      </c>
      <c r="B1770" s="4">
        <f>+VLOOKUP($A1770,MAGAZZINO!$B$2:$M$100000,2,FALSE)</f>
        <v/>
      </c>
      <c r="C1770" s="29">
        <f>+VLOOKUP($A1770,MAGAZZINO!$B$2:$M$100000,3,FALSE)</f>
        <v/>
      </c>
      <c r="D1770" s="3">
        <f>+VLOOKUP($A1770,MAGAZZINO!$B$2:$M$100000,4,FALSE)</f>
        <v/>
      </c>
      <c r="E1770" s="3">
        <f>+VLOOKUP($A1770,MAGAZZINO!$B$2:$M$100000,5,FALSE)</f>
        <v/>
      </c>
      <c r="F1770" s="3">
        <f>+VLOOKUP($A1770,MAGAZZINO!$B$2:$M$100000,6,FALSE)</f>
        <v/>
      </c>
      <c r="G1770" s="3">
        <f>+VLOOKUP($A1770,MAGAZZINO!$B$2:$M$100000,7,FALSE)</f>
        <v/>
      </c>
      <c r="H1770" s="3">
        <f>+VLOOKUP($A1770,MAGAZZINO!$B$2:$M$100000,8,FALSE)</f>
        <v/>
      </c>
      <c r="I1770" s="3">
        <f>+VLOOKUP($A1770,MAGAZZINO!$B$2:$M$100000,9,FALSE)</f>
        <v/>
      </c>
      <c r="J1770" s="3">
        <f>+VLOOKUP($A1770,MAGAZZINO!$B$2:$M$100000,10,FALSE)</f>
        <v/>
      </c>
      <c r="K1770" s="3">
        <f>+VLOOKUP($A1770,MAGAZZINO!$B$2:$M$100000,11,FALSE)</f>
        <v/>
      </c>
      <c r="L1770" s="5">
        <f>+VLOOKUP($A1770,MAGAZZINO!$B$2:$M$100000,12,FALSE)</f>
        <v/>
      </c>
      <c r="M1770" s="47" t="n"/>
      <c r="N1770" s="88" t="n">
        <v>45887</v>
      </c>
      <c r="O1770" s="91" t="inlineStr">
        <is>
          <t>PHILIPPOS CONSTANTINIDES TRADING CO. LTD (CIPRO)</t>
        </is>
      </c>
      <c r="P1770" s="154" t="inlineStr">
        <is>
          <t xml:space="preserve">IMPORT LICENSE N. 267 DEL 21/07/2025                                                                                         AUT. TRASFERIMENTO N. 6B/2025/4D RILASCIATA IL 28/07/2025   </t>
        </is>
      </c>
      <c r="Q1770" s="150" t="n"/>
      <c r="R1770" s="150" t="n"/>
      <c r="S1770" s="153" t="n"/>
    </row>
    <row r="1771" ht="36" customHeight="1">
      <c r="A1771" s="46" t="n">
        <v>4101</v>
      </c>
      <c r="B1771" s="4">
        <f>+VLOOKUP($A1771,MAGAZZINO!$B$2:$M$100000,2,FALSE)</f>
        <v/>
      </c>
      <c r="C1771" s="29">
        <f>+VLOOKUP($A1771,MAGAZZINO!$B$2:$M$100000,3,FALSE)</f>
        <v/>
      </c>
      <c r="D1771" s="3">
        <f>+VLOOKUP($A1771,MAGAZZINO!$B$2:$M$100000,4,FALSE)</f>
        <v/>
      </c>
      <c r="E1771" s="3">
        <f>+VLOOKUP($A1771,MAGAZZINO!$B$2:$M$100000,5,FALSE)</f>
        <v/>
      </c>
      <c r="F1771" s="3">
        <f>+VLOOKUP($A1771,MAGAZZINO!$B$2:$M$100000,6,FALSE)</f>
        <v/>
      </c>
      <c r="G1771" s="3">
        <f>+VLOOKUP($A1771,MAGAZZINO!$B$2:$M$100000,7,FALSE)</f>
        <v/>
      </c>
      <c r="H1771" s="3">
        <f>+VLOOKUP($A1771,MAGAZZINO!$B$2:$M$100000,8,FALSE)</f>
        <v/>
      </c>
      <c r="I1771" s="3">
        <f>+VLOOKUP($A1771,MAGAZZINO!$B$2:$M$100000,9,FALSE)</f>
        <v/>
      </c>
      <c r="J1771" s="3">
        <f>+VLOOKUP($A1771,MAGAZZINO!$B$2:$M$100000,10,FALSE)</f>
        <v/>
      </c>
      <c r="K1771" s="3">
        <f>+VLOOKUP($A1771,MAGAZZINO!$B$2:$M$100000,11,FALSE)</f>
        <v/>
      </c>
      <c r="L1771" s="5">
        <f>+VLOOKUP($A1771,MAGAZZINO!$B$2:$M$100000,12,FALSE)</f>
        <v/>
      </c>
      <c r="M1771" s="47" t="n"/>
      <c r="N1771" s="88" t="n">
        <v>45887</v>
      </c>
      <c r="O1771" s="91" t="inlineStr">
        <is>
          <t>PHILIPPOS CONSTANTINIDES TRADING CO. LTD (CIPRO)</t>
        </is>
      </c>
      <c r="P1771" s="154" t="inlineStr">
        <is>
          <t xml:space="preserve">IMPORT LICENSE N. 267 DEL 21/07/2025                                                                                         AUT. TRASFERIMENTO N. 6B/2025/4D RILASCIATA IL 28/07/2025   </t>
        </is>
      </c>
      <c r="Q1771" s="150" t="n"/>
      <c r="R1771" s="150" t="n"/>
      <c r="S1771" s="153" t="n"/>
    </row>
    <row r="1772" ht="36" customHeight="1">
      <c r="A1772" s="46" t="n">
        <v>4102</v>
      </c>
      <c r="B1772" s="4">
        <f>+VLOOKUP($A1772,MAGAZZINO!$B$2:$M$100000,2,FALSE)</f>
        <v/>
      </c>
      <c r="C1772" s="29">
        <f>+VLOOKUP($A1772,MAGAZZINO!$B$2:$M$100000,3,FALSE)</f>
        <v/>
      </c>
      <c r="D1772" s="3">
        <f>+VLOOKUP($A1772,MAGAZZINO!$B$2:$M$100000,4,FALSE)</f>
        <v/>
      </c>
      <c r="E1772" s="3">
        <f>+VLOOKUP($A1772,MAGAZZINO!$B$2:$M$100000,5,FALSE)</f>
        <v/>
      </c>
      <c r="F1772" s="3">
        <f>+VLOOKUP($A1772,MAGAZZINO!$B$2:$M$100000,6,FALSE)</f>
        <v/>
      </c>
      <c r="G1772" s="3">
        <f>+VLOOKUP($A1772,MAGAZZINO!$B$2:$M$100000,7,FALSE)</f>
        <v/>
      </c>
      <c r="H1772" s="3">
        <f>+VLOOKUP($A1772,MAGAZZINO!$B$2:$M$100000,8,FALSE)</f>
        <v/>
      </c>
      <c r="I1772" s="3">
        <f>+VLOOKUP($A1772,MAGAZZINO!$B$2:$M$100000,9,FALSE)</f>
        <v/>
      </c>
      <c r="J1772" s="3">
        <f>+VLOOKUP($A1772,MAGAZZINO!$B$2:$M$100000,10,FALSE)</f>
        <v/>
      </c>
      <c r="K1772" s="3">
        <f>+VLOOKUP($A1772,MAGAZZINO!$B$2:$M$100000,11,FALSE)</f>
        <v/>
      </c>
      <c r="L1772" s="5">
        <f>+VLOOKUP($A1772,MAGAZZINO!$B$2:$M$100000,12,FALSE)</f>
        <v/>
      </c>
      <c r="M1772" s="47" t="n"/>
      <c r="N1772" s="88" t="n">
        <v>45887</v>
      </c>
      <c r="O1772" s="91" t="inlineStr">
        <is>
          <t>PHILIPPOS CONSTANTINIDES TRADING CO. LTD (CIPRO)</t>
        </is>
      </c>
      <c r="P1772" s="154" t="inlineStr">
        <is>
          <t xml:space="preserve">IMPORT LICENSE N. 267 DEL 21/07/2025                                                                                         AUT. TRASFERIMENTO N. 6B/2025/4D RILASCIATA IL 28/07/2025   </t>
        </is>
      </c>
      <c r="Q1772" s="150" t="n"/>
      <c r="R1772" s="150" t="n"/>
      <c r="S1772" s="153" t="n"/>
    </row>
    <row r="1773" ht="36" customHeight="1">
      <c r="A1773" s="46" t="n">
        <v>4103</v>
      </c>
      <c r="B1773" s="4">
        <f>+VLOOKUP($A1773,MAGAZZINO!$B$2:$M$100000,2,FALSE)</f>
        <v/>
      </c>
      <c r="C1773" s="29">
        <f>+VLOOKUP($A1773,MAGAZZINO!$B$2:$M$100000,3,FALSE)</f>
        <v/>
      </c>
      <c r="D1773" s="3">
        <f>+VLOOKUP($A1773,MAGAZZINO!$B$2:$M$100000,4,FALSE)</f>
        <v/>
      </c>
      <c r="E1773" s="3">
        <f>+VLOOKUP($A1773,MAGAZZINO!$B$2:$M$100000,5,FALSE)</f>
        <v/>
      </c>
      <c r="F1773" s="3">
        <f>+VLOOKUP($A1773,MAGAZZINO!$B$2:$M$100000,6,FALSE)</f>
        <v/>
      </c>
      <c r="G1773" s="3">
        <f>+VLOOKUP($A1773,MAGAZZINO!$B$2:$M$100000,7,FALSE)</f>
        <v/>
      </c>
      <c r="H1773" s="3">
        <f>+VLOOKUP($A1773,MAGAZZINO!$B$2:$M$100000,8,FALSE)</f>
        <v/>
      </c>
      <c r="I1773" s="3">
        <f>+VLOOKUP($A1773,MAGAZZINO!$B$2:$M$100000,9,FALSE)</f>
        <v/>
      </c>
      <c r="J1773" s="3">
        <f>+VLOOKUP($A1773,MAGAZZINO!$B$2:$M$100000,10,FALSE)</f>
        <v/>
      </c>
      <c r="K1773" s="3">
        <f>+VLOOKUP($A1773,MAGAZZINO!$B$2:$M$100000,11,FALSE)</f>
        <v/>
      </c>
      <c r="L1773" s="5">
        <f>+VLOOKUP($A1773,MAGAZZINO!$B$2:$M$100000,12,FALSE)</f>
        <v/>
      </c>
      <c r="M1773" s="47" t="n"/>
      <c r="N1773" s="88" t="n">
        <v>45874</v>
      </c>
      <c r="O1773" s="91" t="inlineStr">
        <is>
          <t>PHILIPPOS CONSTANTINIDES TRADING CO. LTD (CIPRO)</t>
        </is>
      </c>
      <c r="P1773" s="154" t="inlineStr">
        <is>
          <t xml:space="preserve">IMPORT LICENSE N. 218 DEL 12/08/2020                                                                                         AUT. TRASFERIMENTO N. 6B/2025/3D RILASCIATA IL 28/07/2025   </t>
        </is>
      </c>
      <c r="Q1773" s="150" t="n"/>
      <c r="R1773" s="150" t="n"/>
      <c r="S1773" s="153" t="n"/>
    </row>
    <row r="1774" ht="36" customHeight="1">
      <c r="A1774" s="46" t="n">
        <v>4104</v>
      </c>
      <c r="B1774" s="4">
        <f>+VLOOKUP($A1774,MAGAZZINO!$B$2:$M$100000,2,FALSE)</f>
        <v/>
      </c>
      <c r="C1774" s="29">
        <f>+VLOOKUP($A1774,MAGAZZINO!$B$2:$M$100000,3,FALSE)</f>
        <v/>
      </c>
      <c r="D1774" s="3">
        <f>+VLOOKUP($A1774,MAGAZZINO!$B$2:$M$100000,4,FALSE)</f>
        <v/>
      </c>
      <c r="E1774" s="3">
        <f>+VLOOKUP($A1774,MAGAZZINO!$B$2:$M$100000,5,FALSE)</f>
        <v/>
      </c>
      <c r="F1774" s="3">
        <f>+VLOOKUP($A1774,MAGAZZINO!$B$2:$M$100000,6,FALSE)</f>
        <v/>
      </c>
      <c r="G1774" s="3">
        <f>+VLOOKUP($A1774,MAGAZZINO!$B$2:$M$100000,7,FALSE)</f>
        <v/>
      </c>
      <c r="H1774" s="3">
        <f>+VLOOKUP($A1774,MAGAZZINO!$B$2:$M$100000,8,FALSE)</f>
        <v/>
      </c>
      <c r="I1774" s="3">
        <f>+VLOOKUP($A1774,MAGAZZINO!$B$2:$M$100000,9,FALSE)</f>
        <v/>
      </c>
      <c r="J1774" s="3">
        <f>+VLOOKUP($A1774,MAGAZZINO!$B$2:$M$100000,10,FALSE)</f>
        <v/>
      </c>
      <c r="K1774" s="3">
        <f>+VLOOKUP($A1774,MAGAZZINO!$B$2:$M$100000,11,FALSE)</f>
        <v/>
      </c>
      <c r="L1774" s="5">
        <f>+VLOOKUP($A1774,MAGAZZINO!$B$2:$M$100000,12,FALSE)</f>
        <v/>
      </c>
      <c r="M1774" s="47" t="n"/>
      <c r="N1774" s="88" t="n">
        <v>45887</v>
      </c>
      <c r="O1774" s="91" t="inlineStr">
        <is>
          <t>PHILIPPOS CONSTANTINIDES TRADING CO. LTD (CIPRO)</t>
        </is>
      </c>
      <c r="P1774" s="154" t="inlineStr">
        <is>
          <t xml:space="preserve">IMPORT LICENSE N. 267 DEL 21/07/2025                                                                                         AUT. TRASFERIMENTO N. 6B/2025/4D RILASCIATA IL 28/07/2025   </t>
        </is>
      </c>
      <c r="Q1774" s="150" t="n"/>
      <c r="R1774" s="150" t="n"/>
      <c r="S1774" s="153" t="n"/>
    </row>
    <row r="1775" ht="36" customHeight="1">
      <c r="A1775" s="46" t="n">
        <v>4105</v>
      </c>
      <c r="B1775" s="4">
        <f>+VLOOKUP($A1775,MAGAZZINO!$B$2:$M$100000,2,FALSE)</f>
        <v/>
      </c>
      <c r="C1775" s="29">
        <f>+VLOOKUP($A1775,MAGAZZINO!$B$2:$M$100000,3,FALSE)</f>
        <v/>
      </c>
      <c r="D1775" s="3">
        <f>+VLOOKUP($A1775,MAGAZZINO!$B$2:$M$100000,4,FALSE)</f>
        <v/>
      </c>
      <c r="E1775" s="3">
        <f>+VLOOKUP($A1775,MAGAZZINO!$B$2:$M$100000,5,FALSE)</f>
        <v/>
      </c>
      <c r="F1775" s="3">
        <f>+VLOOKUP($A1775,MAGAZZINO!$B$2:$M$100000,6,FALSE)</f>
        <v/>
      </c>
      <c r="G1775" s="3">
        <f>+VLOOKUP($A1775,MAGAZZINO!$B$2:$M$100000,7,FALSE)</f>
        <v/>
      </c>
      <c r="H1775" s="3">
        <f>+VLOOKUP($A1775,MAGAZZINO!$B$2:$M$100000,8,FALSE)</f>
        <v/>
      </c>
      <c r="I1775" s="3">
        <f>+VLOOKUP($A1775,MAGAZZINO!$B$2:$M$100000,9,FALSE)</f>
        <v/>
      </c>
      <c r="J1775" s="3">
        <f>+VLOOKUP($A1775,MAGAZZINO!$B$2:$M$100000,10,FALSE)</f>
        <v/>
      </c>
      <c r="K1775" s="3">
        <f>+VLOOKUP($A1775,MAGAZZINO!$B$2:$M$100000,11,FALSE)</f>
        <v/>
      </c>
      <c r="L1775" s="5">
        <f>+VLOOKUP($A1775,MAGAZZINO!$B$2:$M$100000,12,FALSE)</f>
        <v/>
      </c>
      <c r="M1775" s="47" t="n"/>
      <c r="N1775" s="88" t="n">
        <v>45887</v>
      </c>
      <c r="O1775" s="91" t="inlineStr">
        <is>
          <t>PHILIPPOS CONSTANTINIDES TRADING CO. LTD (CIPRO)</t>
        </is>
      </c>
      <c r="P1775" s="154" t="inlineStr">
        <is>
          <t xml:space="preserve">IMPORT LICENSE N. 267 DEL 21/07/2025                                                                                         AUT. TRASFERIMENTO N. 6B/2025/4D RILASCIATA IL 28/07/2025   </t>
        </is>
      </c>
      <c r="Q1775" s="150" t="n"/>
      <c r="R1775" s="150" t="n"/>
      <c r="S1775" s="153" t="n"/>
    </row>
    <row r="1776" ht="36" customHeight="1">
      <c r="A1776" s="46" t="n">
        <v>4106</v>
      </c>
      <c r="B1776" s="4">
        <f>+VLOOKUP($A1776,MAGAZZINO!$B$2:$M$100000,2,FALSE)</f>
        <v/>
      </c>
      <c r="C1776" s="29">
        <f>+VLOOKUP($A1776,MAGAZZINO!$B$2:$M$100000,3,FALSE)</f>
        <v/>
      </c>
      <c r="D1776" s="3">
        <f>+VLOOKUP($A1776,MAGAZZINO!$B$2:$M$100000,4,FALSE)</f>
        <v/>
      </c>
      <c r="E1776" s="3">
        <f>+VLOOKUP($A1776,MAGAZZINO!$B$2:$M$100000,5,FALSE)</f>
        <v/>
      </c>
      <c r="F1776" s="3">
        <f>+VLOOKUP($A1776,MAGAZZINO!$B$2:$M$100000,6,FALSE)</f>
        <v/>
      </c>
      <c r="G1776" s="3">
        <f>+VLOOKUP($A1776,MAGAZZINO!$B$2:$M$100000,7,FALSE)</f>
        <v/>
      </c>
      <c r="H1776" s="3">
        <f>+VLOOKUP($A1776,MAGAZZINO!$B$2:$M$100000,8,FALSE)</f>
        <v/>
      </c>
      <c r="I1776" s="3">
        <f>+VLOOKUP($A1776,MAGAZZINO!$B$2:$M$100000,9,FALSE)</f>
        <v/>
      </c>
      <c r="J1776" s="3">
        <f>+VLOOKUP($A1776,MAGAZZINO!$B$2:$M$100000,10,FALSE)</f>
        <v/>
      </c>
      <c r="K1776" s="3">
        <f>+VLOOKUP($A1776,MAGAZZINO!$B$2:$M$100000,11,FALSE)</f>
        <v/>
      </c>
      <c r="L1776" s="5">
        <f>+VLOOKUP($A1776,MAGAZZINO!$B$2:$M$100000,12,FALSE)</f>
        <v/>
      </c>
      <c r="M1776" s="47" t="n"/>
      <c r="N1776" s="88" t="n">
        <v>45887</v>
      </c>
      <c r="O1776" s="91" t="inlineStr">
        <is>
          <t>PHILIPPOS CONSTANTINIDES TRADING CO. LTD (CIPRO)</t>
        </is>
      </c>
      <c r="P1776" s="154" t="inlineStr">
        <is>
          <t xml:space="preserve">IMPORT LICENSE N. 267 DEL 21/07/2025                                                                                         AUT. TRASFERIMENTO N. 6B/2025/4D RILASCIATA IL 28/07/2025   </t>
        </is>
      </c>
      <c r="Q1776" s="150" t="n"/>
      <c r="R1776" s="150" t="n"/>
      <c r="S1776" s="153" t="n"/>
    </row>
    <row r="1777" ht="36" customHeight="1">
      <c r="A1777" s="46" t="n">
        <v>4107</v>
      </c>
      <c r="B1777" s="4">
        <f>+VLOOKUP($A1777,MAGAZZINO!$B$2:$M$100000,2,FALSE)</f>
        <v/>
      </c>
      <c r="C1777" s="29">
        <f>+VLOOKUP($A1777,MAGAZZINO!$B$2:$M$100000,3,FALSE)</f>
        <v/>
      </c>
      <c r="D1777" s="3">
        <f>+VLOOKUP($A1777,MAGAZZINO!$B$2:$M$100000,4,FALSE)</f>
        <v/>
      </c>
      <c r="E1777" s="3">
        <f>+VLOOKUP($A1777,MAGAZZINO!$B$2:$M$100000,5,FALSE)</f>
        <v/>
      </c>
      <c r="F1777" s="3">
        <f>+VLOOKUP($A1777,MAGAZZINO!$B$2:$M$100000,6,FALSE)</f>
        <v/>
      </c>
      <c r="G1777" s="3">
        <f>+VLOOKUP($A1777,MAGAZZINO!$B$2:$M$100000,7,FALSE)</f>
        <v/>
      </c>
      <c r="H1777" s="3">
        <f>+VLOOKUP($A1777,MAGAZZINO!$B$2:$M$100000,8,FALSE)</f>
        <v/>
      </c>
      <c r="I1777" s="3">
        <f>+VLOOKUP($A1777,MAGAZZINO!$B$2:$M$100000,9,FALSE)</f>
        <v/>
      </c>
      <c r="J1777" s="3">
        <f>+VLOOKUP($A1777,MAGAZZINO!$B$2:$M$100000,10,FALSE)</f>
        <v/>
      </c>
      <c r="K1777" s="3">
        <f>+VLOOKUP($A1777,MAGAZZINO!$B$2:$M$100000,11,FALSE)</f>
        <v/>
      </c>
      <c r="L1777" s="5">
        <f>+VLOOKUP($A1777,MAGAZZINO!$B$2:$M$100000,12,FALSE)</f>
        <v/>
      </c>
      <c r="M1777" s="47" t="n"/>
      <c r="N1777" s="88" t="n">
        <v>45887</v>
      </c>
      <c r="O1777" s="91" t="inlineStr">
        <is>
          <t>PHILIPPOS CONSTANTINIDES TRADING CO. LTD (CIPRO)</t>
        </is>
      </c>
      <c r="P1777" s="154" t="inlineStr">
        <is>
          <t xml:space="preserve">IMPORT LICENSE N. 267 DEL 21/07/2025                                                                                         AUT. TRASFERIMENTO N. 6B/2025/4D RILASCIATA IL 28/07/2025   </t>
        </is>
      </c>
      <c r="Q1777" s="150" t="n"/>
      <c r="R1777" s="150" t="n"/>
      <c r="S1777" s="153" t="n"/>
    </row>
    <row r="1778" ht="36" customHeight="1">
      <c r="A1778" s="46" t="n">
        <v>4108</v>
      </c>
      <c r="B1778" s="4">
        <f>+VLOOKUP($A1778,MAGAZZINO!$B$2:$M$100000,2,FALSE)</f>
        <v/>
      </c>
      <c r="C1778" s="29">
        <f>+VLOOKUP($A1778,MAGAZZINO!$B$2:$M$100000,3,FALSE)</f>
        <v/>
      </c>
      <c r="D1778" s="3">
        <f>+VLOOKUP($A1778,MAGAZZINO!$B$2:$M$100000,4,FALSE)</f>
        <v/>
      </c>
      <c r="E1778" s="3">
        <f>+VLOOKUP($A1778,MAGAZZINO!$B$2:$M$100000,5,FALSE)</f>
        <v/>
      </c>
      <c r="F1778" s="3">
        <f>+VLOOKUP($A1778,MAGAZZINO!$B$2:$M$100000,6,FALSE)</f>
        <v/>
      </c>
      <c r="G1778" s="3">
        <f>+VLOOKUP($A1778,MAGAZZINO!$B$2:$M$100000,7,FALSE)</f>
        <v/>
      </c>
      <c r="H1778" s="3">
        <f>+VLOOKUP($A1778,MAGAZZINO!$B$2:$M$100000,8,FALSE)</f>
        <v/>
      </c>
      <c r="I1778" s="3">
        <f>+VLOOKUP($A1778,MAGAZZINO!$B$2:$M$100000,9,FALSE)</f>
        <v/>
      </c>
      <c r="J1778" s="3">
        <f>+VLOOKUP($A1778,MAGAZZINO!$B$2:$M$100000,10,FALSE)</f>
        <v/>
      </c>
      <c r="K1778" s="3">
        <f>+VLOOKUP($A1778,MAGAZZINO!$B$2:$M$100000,11,FALSE)</f>
        <v/>
      </c>
      <c r="L1778" s="5">
        <f>+VLOOKUP($A1778,MAGAZZINO!$B$2:$M$100000,12,FALSE)</f>
        <v/>
      </c>
      <c r="M1778" s="47" t="n"/>
      <c r="N1778" s="88" t="n">
        <v>45887</v>
      </c>
      <c r="O1778" s="91" t="inlineStr">
        <is>
          <t>PHILIPPOS CONSTANTINIDES TRADING CO. LTD (CIPRO)</t>
        </is>
      </c>
      <c r="P1778" s="154" t="inlineStr">
        <is>
          <t xml:space="preserve">IMPORT LICENSE N. 267 DEL 21/07/2025                                                                                         AUT. TRASFERIMENTO N. 6B/2025/4D RILASCIATA IL 28/07/2025   </t>
        </is>
      </c>
      <c r="Q1778" s="150" t="n"/>
      <c r="R1778" s="150" t="n"/>
      <c r="S1778" s="153" t="n"/>
    </row>
    <row r="1779" ht="36" customHeight="1">
      <c r="A1779" s="46" t="n">
        <v>4109</v>
      </c>
      <c r="B1779" s="4">
        <f>+VLOOKUP($A1779,MAGAZZINO!$B$2:$M$100000,2,FALSE)</f>
        <v/>
      </c>
      <c r="C1779" s="29">
        <f>+VLOOKUP($A1779,MAGAZZINO!$B$2:$M$100000,3,FALSE)</f>
        <v/>
      </c>
      <c r="D1779" s="3">
        <f>+VLOOKUP($A1779,MAGAZZINO!$B$2:$M$100000,4,FALSE)</f>
        <v/>
      </c>
      <c r="E1779" s="3">
        <f>+VLOOKUP($A1779,MAGAZZINO!$B$2:$M$100000,5,FALSE)</f>
        <v/>
      </c>
      <c r="F1779" s="3">
        <f>+VLOOKUP($A1779,MAGAZZINO!$B$2:$M$100000,6,FALSE)</f>
        <v/>
      </c>
      <c r="G1779" s="3">
        <f>+VLOOKUP($A1779,MAGAZZINO!$B$2:$M$100000,7,FALSE)</f>
        <v/>
      </c>
      <c r="H1779" s="3">
        <f>+VLOOKUP($A1779,MAGAZZINO!$B$2:$M$100000,8,FALSE)</f>
        <v/>
      </c>
      <c r="I1779" s="3">
        <f>+VLOOKUP($A1779,MAGAZZINO!$B$2:$M$100000,9,FALSE)</f>
        <v/>
      </c>
      <c r="J1779" s="3">
        <f>+VLOOKUP($A1779,MAGAZZINO!$B$2:$M$100000,10,FALSE)</f>
        <v/>
      </c>
      <c r="K1779" s="3">
        <f>+VLOOKUP($A1779,MAGAZZINO!$B$2:$M$100000,11,FALSE)</f>
        <v/>
      </c>
      <c r="L1779" s="5">
        <f>+VLOOKUP($A1779,MAGAZZINO!$B$2:$M$100000,12,FALSE)</f>
        <v/>
      </c>
      <c r="M1779" s="47" t="n"/>
      <c r="N1779" s="54" t="n"/>
      <c r="O1779" s="3" t="n"/>
      <c r="P1779" s="149" t="n"/>
      <c r="Q1779" s="150" t="n"/>
      <c r="R1779" s="150" t="n"/>
      <c r="S1779" s="151" t="n"/>
    </row>
    <row r="1780" ht="36" customHeight="1">
      <c r="A1780" s="46" t="n">
        <v>4110</v>
      </c>
      <c r="B1780" s="4">
        <f>+VLOOKUP($A1780,MAGAZZINO!$B$2:$M$100000,2,FALSE)</f>
        <v/>
      </c>
      <c r="C1780" s="29">
        <f>+VLOOKUP($A1780,MAGAZZINO!$B$2:$M$100000,3,FALSE)</f>
        <v/>
      </c>
      <c r="D1780" s="3">
        <f>+VLOOKUP($A1780,MAGAZZINO!$B$2:$M$100000,4,FALSE)</f>
        <v/>
      </c>
      <c r="E1780" s="3">
        <f>+VLOOKUP($A1780,MAGAZZINO!$B$2:$M$100000,5,FALSE)</f>
        <v/>
      </c>
      <c r="F1780" s="3">
        <f>+VLOOKUP($A1780,MAGAZZINO!$B$2:$M$100000,6,FALSE)</f>
        <v/>
      </c>
      <c r="G1780" s="3">
        <f>+VLOOKUP($A1780,MAGAZZINO!$B$2:$M$100000,7,FALSE)</f>
        <v/>
      </c>
      <c r="H1780" s="3">
        <f>+VLOOKUP($A1780,MAGAZZINO!$B$2:$M$100000,8,FALSE)</f>
        <v/>
      </c>
      <c r="I1780" s="3">
        <f>+VLOOKUP($A1780,MAGAZZINO!$B$2:$M$100000,9,FALSE)</f>
        <v/>
      </c>
      <c r="J1780" s="3">
        <f>+VLOOKUP($A1780,MAGAZZINO!$B$2:$M$100000,10,FALSE)</f>
        <v/>
      </c>
      <c r="K1780" s="3">
        <f>+VLOOKUP($A1780,MAGAZZINO!$B$2:$M$100000,11,FALSE)</f>
        <v/>
      </c>
      <c r="L1780" s="5">
        <f>+VLOOKUP($A1780,MAGAZZINO!$B$2:$M$100000,12,FALSE)</f>
        <v/>
      </c>
      <c r="M1780" s="47" t="n"/>
      <c r="N1780" s="88" t="n">
        <v>45874</v>
      </c>
      <c r="O1780" s="91" t="inlineStr">
        <is>
          <t>PHILIPPOS CONSTANTINIDES TRADING CO. LTD (CIPRO)</t>
        </is>
      </c>
      <c r="P1780" s="154" t="inlineStr">
        <is>
          <t xml:space="preserve">IMPORT LICENSE N. 218 DEL 12/08/2020                                                                                         AUT. TRASFERIMENTO N. 6B/2025/3D RILASCIATA IL 28/07/2025   </t>
        </is>
      </c>
      <c r="Q1780" s="150" t="n"/>
      <c r="R1780" s="150" t="n"/>
      <c r="S1780" s="153" t="n"/>
    </row>
    <row r="1781" ht="36" customHeight="1">
      <c r="A1781" s="46" t="n">
        <v>4111</v>
      </c>
      <c r="B1781" s="4">
        <f>+VLOOKUP($A1781,MAGAZZINO!$B$2:$M$100000,2,FALSE)</f>
        <v/>
      </c>
      <c r="C1781" s="29">
        <f>+VLOOKUP($A1781,MAGAZZINO!$B$2:$M$100000,3,FALSE)</f>
        <v/>
      </c>
      <c r="D1781" s="3">
        <f>+VLOOKUP($A1781,MAGAZZINO!$B$2:$M$100000,4,FALSE)</f>
        <v/>
      </c>
      <c r="E1781" s="3">
        <f>+VLOOKUP($A1781,MAGAZZINO!$B$2:$M$100000,5,FALSE)</f>
        <v/>
      </c>
      <c r="F1781" s="3">
        <f>+VLOOKUP($A1781,MAGAZZINO!$B$2:$M$100000,6,FALSE)</f>
        <v/>
      </c>
      <c r="G1781" s="3">
        <f>+VLOOKUP($A1781,MAGAZZINO!$B$2:$M$100000,7,FALSE)</f>
        <v/>
      </c>
      <c r="H1781" s="3">
        <f>+VLOOKUP($A1781,MAGAZZINO!$B$2:$M$100000,8,FALSE)</f>
        <v/>
      </c>
      <c r="I1781" s="3">
        <f>+VLOOKUP($A1781,MAGAZZINO!$B$2:$M$100000,9,FALSE)</f>
        <v/>
      </c>
      <c r="J1781" s="3">
        <f>+VLOOKUP($A1781,MAGAZZINO!$B$2:$M$100000,10,FALSE)</f>
        <v/>
      </c>
      <c r="K1781" s="3">
        <f>+VLOOKUP($A1781,MAGAZZINO!$B$2:$M$100000,11,FALSE)</f>
        <v/>
      </c>
      <c r="L1781" s="5">
        <f>+VLOOKUP($A1781,MAGAZZINO!$B$2:$M$100000,12,FALSE)</f>
        <v/>
      </c>
      <c r="M1781" s="47" t="n"/>
      <c r="N1781" s="54" t="n"/>
      <c r="O1781" s="3" t="n"/>
      <c r="P1781" s="149" t="n"/>
      <c r="Q1781" s="150" t="n"/>
      <c r="R1781" s="150" t="n"/>
      <c r="S1781" s="151" t="n"/>
    </row>
    <row r="1782" ht="36" customHeight="1">
      <c r="A1782" s="46" t="n">
        <v>4112</v>
      </c>
      <c r="B1782" s="4">
        <f>+VLOOKUP($A1782,MAGAZZINO!$B$2:$M$100000,2,FALSE)</f>
        <v/>
      </c>
      <c r="C1782" s="29">
        <f>+VLOOKUP($A1782,MAGAZZINO!$B$2:$M$100000,3,FALSE)</f>
        <v/>
      </c>
      <c r="D1782" s="3">
        <f>+VLOOKUP($A1782,MAGAZZINO!$B$2:$M$100000,4,FALSE)</f>
        <v/>
      </c>
      <c r="E1782" s="3">
        <f>+VLOOKUP($A1782,MAGAZZINO!$B$2:$M$100000,5,FALSE)</f>
        <v/>
      </c>
      <c r="F1782" s="3">
        <f>+VLOOKUP($A1782,MAGAZZINO!$B$2:$M$100000,6,FALSE)</f>
        <v/>
      </c>
      <c r="G1782" s="3">
        <f>+VLOOKUP($A1782,MAGAZZINO!$B$2:$M$100000,7,FALSE)</f>
        <v/>
      </c>
      <c r="H1782" s="3">
        <f>+VLOOKUP($A1782,MAGAZZINO!$B$2:$M$100000,8,FALSE)</f>
        <v/>
      </c>
      <c r="I1782" s="3">
        <f>+VLOOKUP($A1782,MAGAZZINO!$B$2:$M$100000,9,FALSE)</f>
        <v/>
      </c>
      <c r="J1782" s="3">
        <f>+VLOOKUP($A1782,MAGAZZINO!$B$2:$M$100000,10,FALSE)</f>
        <v/>
      </c>
      <c r="K1782" s="3">
        <f>+VLOOKUP($A1782,MAGAZZINO!$B$2:$M$100000,11,FALSE)</f>
        <v/>
      </c>
      <c r="L1782" s="5">
        <f>+VLOOKUP($A1782,MAGAZZINO!$B$2:$M$100000,12,FALSE)</f>
        <v/>
      </c>
      <c r="M1782" s="47" t="n"/>
      <c r="N1782" s="88" t="n">
        <v>45874</v>
      </c>
      <c r="O1782" s="91" t="inlineStr">
        <is>
          <t>PHILIPPOS CONSTANTINIDES TRADING CO. LTD (CIPRO)</t>
        </is>
      </c>
      <c r="P1782" s="154" t="inlineStr">
        <is>
          <t xml:space="preserve">IMPORT LICENSE N. 218 DEL 12/08/2020                                                                                         AUT. TRASFERIMENTO N. 6B/2025/3D RILASCIATA IL 28/07/2025   </t>
        </is>
      </c>
      <c r="Q1782" s="150" t="n"/>
      <c r="R1782" s="150" t="n"/>
      <c r="S1782" s="153" t="n"/>
    </row>
    <row r="1783" ht="36" customHeight="1">
      <c r="A1783" s="46" t="n">
        <v>4113</v>
      </c>
      <c r="B1783" s="4">
        <f>+VLOOKUP($A1783,MAGAZZINO!$B$2:$M$100000,2,FALSE)</f>
        <v/>
      </c>
      <c r="C1783" s="29">
        <f>+VLOOKUP($A1783,MAGAZZINO!$B$2:$M$100000,3,FALSE)</f>
        <v/>
      </c>
      <c r="D1783" s="3">
        <f>+VLOOKUP($A1783,MAGAZZINO!$B$2:$M$100000,4,FALSE)</f>
        <v/>
      </c>
      <c r="E1783" s="3">
        <f>+VLOOKUP($A1783,MAGAZZINO!$B$2:$M$100000,5,FALSE)</f>
        <v/>
      </c>
      <c r="F1783" s="3">
        <f>+VLOOKUP($A1783,MAGAZZINO!$B$2:$M$100000,6,FALSE)</f>
        <v/>
      </c>
      <c r="G1783" s="3">
        <f>+VLOOKUP($A1783,MAGAZZINO!$B$2:$M$100000,7,FALSE)</f>
        <v/>
      </c>
      <c r="H1783" s="3">
        <f>+VLOOKUP($A1783,MAGAZZINO!$B$2:$M$100000,8,FALSE)</f>
        <v/>
      </c>
      <c r="I1783" s="3">
        <f>+VLOOKUP($A1783,MAGAZZINO!$B$2:$M$100000,9,FALSE)</f>
        <v/>
      </c>
      <c r="J1783" s="3">
        <f>+VLOOKUP($A1783,MAGAZZINO!$B$2:$M$100000,10,FALSE)</f>
        <v/>
      </c>
      <c r="K1783" s="3">
        <f>+VLOOKUP($A1783,MAGAZZINO!$B$2:$M$100000,11,FALSE)</f>
        <v/>
      </c>
      <c r="L1783" s="5">
        <f>+VLOOKUP($A1783,MAGAZZINO!$B$2:$M$100000,12,FALSE)</f>
        <v/>
      </c>
      <c r="M1783" s="47" t="n"/>
      <c r="N1783" s="54" t="n"/>
      <c r="O1783" s="3" t="n"/>
      <c r="P1783" s="149" t="n"/>
      <c r="Q1783" s="150" t="n"/>
      <c r="R1783" s="150" t="n"/>
      <c r="S1783" s="151" t="n"/>
    </row>
    <row r="1784" ht="36" customHeight="1">
      <c r="A1784" s="46" t="n">
        <v>4114</v>
      </c>
      <c r="B1784" s="4">
        <f>+VLOOKUP($A1784,MAGAZZINO!$B$2:$M$100000,2,FALSE)</f>
        <v/>
      </c>
      <c r="C1784" s="29">
        <f>+VLOOKUP($A1784,MAGAZZINO!$B$2:$M$100000,3,FALSE)</f>
        <v/>
      </c>
      <c r="D1784" s="3">
        <f>+VLOOKUP($A1784,MAGAZZINO!$B$2:$M$100000,4,FALSE)</f>
        <v/>
      </c>
      <c r="E1784" s="3">
        <f>+VLOOKUP($A1784,MAGAZZINO!$B$2:$M$100000,5,FALSE)</f>
        <v/>
      </c>
      <c r="F1784" s="3">
        <f>+VLOOKUP($A1784,MAGAZZINO!$B$2:$M$100000,6,FALSE)</f>
        <v/>
      </c>
      <c r="G1784" s="3">
        <f>+VLOOKUP($A1784,MAGAZZINO!$B$2:$M$100000,7,FALSE)</f>
        <v/>
      </c>
      <c r="H1784" s="3">
        <f>+VLOOKUP($A1784,MAGAZZINO!$B$2:$M$100000,8,FALSE)</f>
        <v/>
      </c>
      <c r="I1784" s="3">
        <f>+VLOOKUP($A1784,MAGAZZINO!$B$2:$M$100000,9,FALSE)</f>
        <v/>
      </c>
      <c r="J1784" s="3">
        <f>+VLOOKUP($A1784,MAGAZZINO!$B$2:$M$100000,10,FALSE)</f>
        <v/>
      </c>
      <c r="K1784" s="3">
        <f>+VLOOKUP($A1784,MAGAZZINO!$B$2:$M$100000,11,FALSE)</f>
        <v/>
      </c>
      <c r="L1784" s="5">
        <f>+VLOOKUP($A1784,MAGAZZINO!$B$2:$M$100000,12,FALSE)</f>
        <v/>
      </c>
      <c r="M1784" s="47" t="n"/>
      <c r="N1784" s="88" t="n">
        <v>45874</v>
      </c>
      <c r="O1784" s="91" t="inlineStr">
        <is>
          <t>PHILIPPOS CONSTANTINIDES TRADING CO. LTD (CIPRO)</t>
        </is>
      </c>
      <c r="P1784" s="154" t="inlineStr">
        <is>
          <t xml:space="preserve">IMPORT LICENSE N. 218 DEL 12/08/2020                                                                                         AUT. TRASFERIMENTO N. 6B/2025/3D RILASCIATA IL 28/07/2025   </t>
        </is>
      </c>
      <c r="Q1784" s="150" t="n"/>
      <c r="R1784" s="150" t="n"/>
      <c r="S1784" s="153" t="n"/>
    </row>
    <row r="1785" ht="36" customHeight="1">
      <c r="A1785" s="46" t="n">
        <v>4115</v>
      </c>
      <c r="B1785" s="4">
        <f>+VLOOKUP($A1785,MAGAZZINO!$B$2:$M$100000,2,FALSE)</f>
        <v/>
      </c>
      <c r="C1785" s="29">
        <f>+VLOOKUP($A1785,MAGAZZINO!$B$2:$M$100000,3,FALSE)</f>
        <v/>
      </c>
      <c r="D1785" s="3">
        <f>+VLOOKUP($A1785,MAGAZZINO!$B$2:$M$100000,4,FALSE)</f>
        <v/>
      </c>
      <c r="E1785" s="3">
        <f>+VLOOKUP($A1785,MAGAZZINO!$B$2:$M$100000,5,FALSE)</f>
        <v/>
      </c>
      <c r="F1785" s="3">
        <f>+VLOOKUP($A1785,MAGAZZINO!$B$2:$M$100000,6,FALSE)</f>
        <v/>
      </c>
      <c r="G1785" s="3">
        <f>+VLOOKUP($A1785,MAGAZZINO!$B$2:$M$100000,7,FALSE)</f>
        <v/>
      </c>
      <c r="H1785" s="3">
        <f>+VLOOKUP($A1785,MAGAZZINO!$B$2:$M$100000,8,FALSE)</f>
        <v/>
      </c>
      <c r="I1785" s="3">
        <f>+VLOOKUP($A1785,MAGAZZINO!$B$2:$M$100000,9,FALSE)</f>
        <v/>
      </c>
      <c r="J1785" s="3">
        <f>+VLOOKUP($A1785,MAGAZZINO!$B$2:$M$100000,10,FALSE)</f>
        <v/>
      </c>
      <c r="K1785" s="3">
        <f>+VLOOKUP($A1785,MAGAZZINO!$B$2:$M$100000,11,FALSE)</f>
        <v/>
      </c>
      <c r="L1785" s="5">
        <f>+VLOOKUP($A1785,MAGAZZINO!$B$2:$M$100000,12,FALSE)</f>
        <v/>
      </c>
      <c r="M1785" s="47" t="n"/>
      <c r="N1785" s="88" t="n">
        <v>45874</v>
      </c>
      <c r="O1785" s="91" t="inlineStr">
        <is>
          <t>PHILIPPOS CONSTANTINIDES TRADING CO. LTD (CIPRO)</t>
        </is>
      </c>
      <c r="P1785" s="154" t="inlineStr">
        <is>
          <t xml:space="preserve">IMPORT LICENSE N. 218 DEL 12/08/2020                                                                                         AUT. TRASFERIMENTO N. 6B/2025/3D RILASCIATA IL 28/07/2025   </t>
        </is>
      </c>
      <c r="Q1785" s="150" t="n"/>
      <c r="R1785" s="150" t="n"/>
      <c r="S1785" s="153" t="n"/>
    </row>
    <row r="1786" ht="36" customHeight="1">
      <c r="A1786" s="46" t="n">
        <v>4116</v>
      </c>
      <c r="B1786" s="4">
        <f>+VLOOKUP($A1786,MAGAZZINO!$B$2:$M$100000,2,FALSE)</f>
        <v/>
      </c>
      <c r="C1786" s="29">
        <f>+VLOOKUP($A1786,MAGAZZINO!$B$2:$M$100000,3,FALSE)</f>
        <v/>
      </c>
      <c r="D1786" s="3">
        <f>+VLOOKUP($A1786,MAGAZZINO!$B$2:$M$100000,4,FALSE)</f>
        <v/>
      </c>
      <c r="E1786" s="3">
        <f>+VLOOKUP($A1786,MAGAZZINO!$B$2:$M$100000,5,FALSE)</f>
        <v/>
      </c>
      <c r="F1786" s="3">
        <f>+VLOOKUP($A1786,MAGAZZINO!$B$2:$M$100000,6,FALSE)</f>
        <v/>
      </c>
      <c r="G1786" s="3">
        <f>+VLOOKUP($A1786,MAGAZZINO!$B$2:$M$100000,7,FALSE)</f>
        <v/>
      </c>
      <c r="H1786" s="3">
        <f>+VLOOKUP($A1786,MAGAZZINO!$B$2:$M$100000,8,FALSE)</f>
        <v/>
      </c>
      <c r="I1786" s="3">
        <f>+VLOOKUP($A1786,MAGAZZINO!$B$2:$M$100000,9,FALSE)</f>
        <v/>
      </c>
      <c r="J1786" s="3">
        <f>+VLOOKUP($A1786,MAGAZZINO!$B$2:$M$100000,10,FALSE)</f>
        <v/>
      </c>
      <c r="K1786" s="3">
        <f>+VLOOKUP($A1786,MAGAZZINO!$B$2:$M$100000,11,FALSE)</f>
        <v/>
      </c>
      <c r="L1786" s="5">
        <f>+VLOOKUP($A1786,MAGAZZINO!$B$2:$M$100000,12,FALSE)</f>
        <v/>
      </c>
      <c r="M1786" s="47" t="n"/>
      <c r="N1786" s="54" t="n"/>
      <c r="O1786" s="3" t="n"/>
      <c r="P1786" s="149" t="n"/>
      <c r="Q1786" s="150" t="n"/>
      <c r="R1786" s="150" t="n"/>
      <c r="S1786" s="151" t="n"/>
    </row>
    <row r="1787" ht="36" customHeight="1">
      <c r="A1787" s="46" t="n">
        <v>4117</v>
      </c>
      <c r="B1787" s="4">
        <f>+VLOOKUP($A1787,MAGAZZINO!$B$2:$M$100000,2,FALSE)</f>
        <v/>
      </c>
      <c r="C1787" s="29">
        <f>+VLOOKUP($A1787,MAGAZZINO!$B$2:$M$100000,3,FALSE)</f>
        <v/>
      </c>
      <c r="D1787" s="3">
        <f>+VLOOKUP($A1787,MAGAZZINO!$B$2:$M$100000,4,FALSE)</f>
        <v/>
      </c>
      <c r="E1787" s="3">
        <f>+VLOOKUP($A1787,MAGAZZINO!$B$2:$M$100000,5,FALSE)</f>
        <v/>
      </c>
      <c r="F1787" s="3">
        <f>+VLOOKUP($A1787,MAGAZZINO!$B$2:$M$100000,6,FALSE)</f>
        <v/>
      </c>
      <c r="G1787" s="3">
        <f>+VLOOKUP($A1787,MAGAZZINO!$B$2:$M$100000,7,FALSE)</f>
        <v/>
      </c>
      <c r="H1787" s="3">
        <f>+VLOOKUP($A1787,MAGAZZINO!$B$2:$M$100000,8,FALSE)</f>
        <v/>
      </c>
      <c r="I1787" s="3">
        <f>+VLOOKUP($A1787,MAGAZZINO!$B$2:$M$100000,9,FALSE)</f>
        <v/>
      </c>
      <c r="J1787" s="3">
        <f>+VLOOKUP($A1787,MAGAZZINO!$B$2:$M$100000,10,FALSE)</f>
        <v/>
      </c>
      <c r="K1787" s="3">
        <f>+VLOOKUP($A1787,MAGAZZINO!$B$2:$M$100000,11,FALSE)</f>
        <v/>
      </c>
      <c r="L1787" s="5">
        <f>+VLOOKUP($A1787,MAGAZZINO!$B$2:$M$100000,12,FALSE)</f>
        <v/>
      </c>
      <c r="M1787" s="47" t="n"/>
      <c r="N1787" s="54" t="n"/>
      <c r="O1787" s="3" t="n"/>
      <c r="P1787" s="149" t="n"/>
      <c r="Q1787" s="150" t="n"/>
      <c r="R1787" s="150" t="n"/>
      <c r="S1787" s="151" t="n"/>
    </row>
    <row r="1788" ht="36" customHeight="1">
      <c r="A1788" s="46" t="n">
        <v>4118</v>
      </c>
      <c r="B1788" s="4">
        <f>+VLOOKUP($A1788,MAGAZZINO!$B$2:$M$100000,2,FALSE)</f>
        <v/>
      </c>
      <c r="C1788" s="29">
        <f>+VLOOKUP($A1788,MAGAZZINO!$B$2:$M$100000,3,FALSE)</f>
        <v/>
      </c>
      <c r="D1788" s="3">
        <f>+VLOOKUP($A1788,MAGAZZINO!$B$2:$M$100000,4,FALSE)</f>
        <v/>
      </c>
      <c r="E1788" s="3">
        <f>+VLOOKUP($A1788,MAGAZZINO!$B$2:$M$100000,5,FALSE)</f>
        <v/>
      </c>
      <c r="F1788" s="3">
        <f>+VLOOKUP($A1788,MAGAZZINO!$B$2:$M$100000,6,FALSE)</f>
        <v/>
      </c>
      <c r="G1788" s="3">
        <f>+VLOOKUP($A1788,MAGAZZINO!$B$2:$M$100000,7,FALSE)</f>
        <v/>
      </c>
      <c r="H1788" s="3">
        <f>+VLOOKUP($A1788,MAGAZZINO!$B$2:$M$100000,8,FALSE)</f>
        <v/>
      </c>
      <c r="I1788" s="3">
        <f>+VLOOKUP($A1788,MAGAZZINO!$B$2:$M$100000,9,FALSE)</f>
        <v/>
      </c>
      <c r="J1788" s="3">
        <f>+VLOOKUP($A1788,MAGAZZINO!$B$2:$M$100000,10,FALSE)</f>
        <v/>
      </c>
      <c r="K1788" s="3">
        <f>+VLOOKUP($A1788,MAGAZZINO!$B$2:$M$100000,11,FALSE)</f>
        <v/>
      </c>
      <c r="L1788" s="5">
        <f>+VLOOKUP($A1788,MAGAZZINO!$B$2:$M$100000,12,FALSE)</f>
        <v/>
      </c>
      <c r="M1788" s="47" t="n"/>
      <c r="N1788" s="54" t="n"/>
      <c r="O1788" s="3" t="n"/>
      <c r="P1788" s="149" t="n"/>
      <c r="Q1788" s="150" t="n"/>
      <c r="R1788" s="150" t="n"/>
      <c r="S1788" s="151" t="n"/>
    </row>
    <row r="1789" ht="36" customHeight="1">
      <c r="A1789" s="46" t="n">
        <v>4119</v>
      </c>
      <c r="B1789" s="4">
        <f>+VLOOKUP($A1789,MAGAZZINO!$B$2:$M$100000,2,FALSE)</f>
        <v/>
      </c>
      <c r="C1789" s="29">
        <f>+VLOOKUP($A1789,MAGAZZINO!$B$2:$M$100000,3,FALSE)</f>
        <v/>
      </c>
      <c r="D1789" s="3">
        <f>+VLOOKUP($A1789,MAGAZZINO!$B$2:$M$100000,4,FALSE)</f>
        <v/>
      </c>
      <c r="E1789" s="3">
        <f>+VLOOKUP($A1789,MAGAZZINO!$B$2:$M$100000,5,FALSE)</f>
        <v/>
      </c>
      <c r="F1789" s="3">
        <f>+VLOOKUP($A1789,MAGAZZINO!$B$2:$M$100000,6,FALSE)</f>
        <v/>
      </c>
      <c r="G1789" s="3">
        <f>+VLOOKUP($A1789,MAGAZZINO!$B$2:$M$100000,7,FALSE)</f>
        <v/>
      </c>
      <c r="H1789" s="3">
        <f>+VLOOKUP($A1789,MAGAZZINO!$B$2:$M$100000,8,FALSE)</f>
        <v/>
      </c>
      <c r="I1789" s="3">
        <f>+VLOOKUP($A1789,MAGAZZINO!$B$2:$M$100000,9,FALSE)</f>
        <v/>
      </c>
      <c r="J1789" s="3">
        <f>+VLOOKUP($A1789,MAGAZZINO!$B$2:$M$100000,10,FALSE)</f>
        <v/>
      </c>
      <c r="K1789" s="3">
        <f>+VLOOKUP($A1789,MAGAZZINO!$B$2:$M$100000,11,FALSE)</f>
        <v/>
      </c>
      <c r="L1789" s="5">
        <f>+VLOOKUP($A1789,MAGAZZINO!$B$2:$M$100000,12,FALSE)</f>
        <v/>
      </c>
      <c r="M1789" s="47" t="n"/>
      <c r="N1789" s="54" t="n"/>
      <c r="O1789" s="3" t="n"/>
      <c r="P1789" s="149" t="n"/>
      <c r="Q1789" s="150" t="n"/>
      <c r="R1789" s="150" t="n"/>
      <c r="S1789" s="151" t="n"/>
    </row>
    <row r="1790" ht="36" customHeight="1">
      <c r="A1790" s="46" t="n">
        <v>4120</v>
      </c>
      <c r="B1790" s="4">
        <f>+VLOOKUP($A1790,MAGAZZINO!$B$2:$M$100000,2,FALSE)</f>
        <v/>
      </c>
      <c r="C1790" s="29">
        <f>+VLOOKUP($A1790,MAGAZZINO!$B$2:$M$100000,3,FALSE)</f>
        <v/>
      </c>
      <c r="D1790" s="3">
        <f>+VLOOKUP($A1790,MAGAZZINO!$B$2:$M$100000,4,FALSE)</f>
        <v/>
      </c>
      <c r="E1790" s="3">
        <f>+VLOOKUP($A1790,MAGAZZINO!$B$2:$M$100000,5,FALSE)</f>
        <v/>
      </c>
      <c r="F1790" s="3">
        <f>+VLOOKUP($A1790,MAGAZZINO!$B$2:$M$100000,6,FALSE)</f>
        <v/>
      </c>
      <c r="G1790" s="3">
        <f>+VLOOKUP($A1790,MAGAZZINO!$B$2:$M$100000,7,FALSE)</f>
        <v/>
      </c>
      <c r="H1790" s="3">
        <f>+VLOOKUP($A1790,MAGAZZINO!$B$2:$M$100000,8,FALSE)</f>
        <v/>
      </c>
      <c r="I1790" s="3">
        <f>+VLOOKUP($A1790,MAGAZZINO!$B$2:$M$100000,9,FALSE)</f>
        <v/>
      </c>
      <c r="J1790" s="3">
        <f>+VLOOKUP($A1790,MAGAZZINO!$B$2:$M$100000,10,FALSE)</f>
        <v/>
      </c>
      <c r="K1790" s="3">
        <f>+VLOOKUP($A1790,MAGAZZINO!$B$2:$M$100000,11,FALSE)</f>
        <v/>
      </c>
      <c r="L1790" s="5">
        <f>+VLOOKUP($A1790,MAGAZZINO!$B$2:$M$100000,12,FALSE)</f>
        <v/>
      </c>
      <c r="M1790" s="47" t="n"/>
      <c r="N1790" s="54" t="n"/>
      <c r="O1790" s="3" t="n"/>
      <c r="P1790" s="149" t="n"/>
      <c r="Q1790" s="150" t="n"/>
      <c r="R1790" s="150" t="n"/>
      <c r="S1790" s="151" t="n"/>
    </row>
    <row r="1791" ht="36" customHeight="1">
      <c r="A1791" s="46" t="n">
        <v>4121</v>
      </c>
      <c r="B1791" s="4">
        <f>+VLOOKUP($A1791,MAGAZZINO!$B$2:$M$100000,2,FALSE)</f>
        <v/>
      </c>
      <c r="C1791" s="29">
        <f>+VLOOKUP($A1791,MAGAZZINO!$B$2:$M$100000,3,FALSE)</f>
        <v/>
      </c>
      <c r="D1791" s="3">
        <f>+VLOOKUP($A1791,MAGAZZINO!$B$2:$M$100000,4,FALSE)</f>
        <v/>
      </c>
      <c r="E1791" s="3">
        <f>+VLOOKUP($A1791,MAGAZZINO!$B$2:$M$100000,5,FALSE)</f>
        <v/>
      </c>
      <c r="F1791" s="3">
        <f>+VLOOKUP($A1791,MAGAZZINO!$B$2:$M$100000,6,FALSE)</f>
        <v/>
      </c>
      <c r="G1791" s="3">
        <f>+VLOOKUP($A1791,MAGAZZINO!$B$2:$M$100000,7,FALSE)</f>
        <v/>
      </c>
      <c r="H1791" s="3">
        <f>+VLOOKUP($A1791,MAGAZZINO!$B$2:$M$100000,8,FALSE)</f>
        <v/>
      </c>
      <c r="I1791" s="3">
        <f>+VLOOKUP($A1791,MAGAZZINO!$B$2:$M$100000,9,FALSE)</f>
        <v/>
      </c>
      <c r="J1791" s="3">
        <f>+VLOOKUP($A1791,MAGAZZINO!$B$2:$M$100000,10,FALSE)</f>
        <v/>
      </c>
      <c r="K1791" s="3">
        <f>+VLOOKUP($A1791,MAGAZZINO!$B$2:$M$100000,11,FALSE)</f>
        <v/>
      </c>
      <c r="L1791" s="5">
        <f>+VLOOKUP($A1791,MAGAZZINO!$B$2:$M$100000,12,FALSE)</f>
        <v/>
      </c>
      <c r="M1791" s="47" t="n"/>
      <c r="N1791" s="54" t="n"/>
      <c r="O1791" s="3" t="n"/>
      <c r="P1791" s="149" t="n"/>
      <c r="Q1791" s="150" t="n"/>
      <c r="R1791" s="150" t="n"/>
      <c r="S1791" s="151" t="n"/>
    </row>
    <row r="1792" ht="36" customHeight="1">
      <c r="A1792" s="46" t="n">
        <v>4122</v>
      </c>
      <c r="B1792" s="4">
        <f>+VLOOKUP($A1792,MAGAZZINO!$B$2:$M$100000,2,FALSE)</f>
        <v/>
      </c>
      <c r="C1792" s="29">
        <f>+VLOOKUP($A1792,MAGAZZINO!$B$2:$M$100000,3,FALSE)</f>
        <v/>
      </c>
      <c r="D1792" s="3">
        <f>+VLOOKUP($A1792,MAGAZZINO!$B$2:$M$100000,4,FALSE)</f>
        <v/>
      </c>
      <c r="E1792" s="3">
        <f>+VLOOKUP($A1792,MAGAZZINO!$B$2:$M$100000,5,FALSE)</f>
        <v/>
      </c>
      <c r="F1792" s="3">
        <f>+VLOOKUP($A1792,MAGAZZINO!$B$2:$M$100000,6,FALSE)</f>
        <v/>
      </c>
      <c r="G1792" s="3">
        <f>+VLOOKUP($A1792,MAGAZZINO!$B$2:$M$100000,7,FALSE)</f>
        <v/>
      </c>
      <c r="H1792" s="3">
        <f>+VLOOKUP($A1792,MAGAZZINO!$B$2:$M$100000,8,FALSE)</f>
        <v/>
      </c>
      <c r="I1792" s="3">
        <f>+VLOOKUP($A1792,MAGAZZINO!$B$2:$M$100000,9,FALSE)</f>
        <v/>
      </c>
      <c r="J1792" s="3">
        <f>+VLOOKUP($A1792,MAGAZZINO!$B$2:$M$100000,10,FALSE)</f>
        <v/>
      </c>
      <c r="K1792" s="3">
        <f>+VLOOKUP($A1792,MAGAZZINO!$B$2:$M$100000,11,FALSE)</f>
        <v/>
      </c>
      <c r="L1792" s="5">
        <f>+VLOOKUP($A1792,MAGAZZINO!$B$2:$M$100000,12,FALSE)</f>
        <v/>
      </c>
      <c r="M1792" s="47" t="n"/>
      <c r="N1792" s="54" t="n"/>
      <c r="O1792" s="3" t="n"/>
      <c r="P1792" s="149" t="n"/>
      <c r="Q1792" s="150" t="n"/>
      <c r="R1792" s="150" t="n"/>
      <c r="S1792" s="151" t="n"/>
    </row>
    <row r="1793" ht="36" customHeight="1">
      <c r="A1793" s="46" t="n">
        <v>4123</v>
      </c>
      <c r="B1793" s="4">
        <f>+VLOOKUP($A1793,MAGAZZINO!$B$2:$M$100000,2,FALSE)</f>
        <v/>
      </c>
      <c r="C1793" s="29">
        <f>+VLOOKUP($A1793,MAGAZZINO!$B$2:$M$100000,3,FALSE)</f>
        <v/>
      </c>
      <c r="D1793" s="3">
        <f>+VLOOKUP($A1793,MAGAZZINO!$B$2:$M$100000,4,FALSE)</f>
        <v/>
      </c>
      <c r="E1793" s="3">
        <f>+VLOOKUP($A1793,MAGAZZINO!$B$2:$M$100000,5,FALSE)</f>
        <v/>
      </c>
      <c r="F1793" s="3">
        <f>+VLOOKUP($A1793,MAGAZZINO!$B$2:$M$100000,6,FALSE)</f>
        <v/>
      </c>
      <c r="G1793" s="3">
        <f>+VLOOKUP($A1793,MAGAZZINO!$B$2:$M$100000,7,FALSE)</f>
        <v/>
      </c>
      <c r="H1793" s="3">
        <f>+VLOOKUP($A1793,MAGAZZINO!$B$2:$M$100000,8,FALSE)</f>
        <v/>
      </c>
      <c r="I1793" s="3">
        <f>+VLOOKUP($A1793,MAGAZZINO!$B$2:$M$100000,9,FALSE)</f>
        <v/>
      </c>
      <c r="J1793" s="3">
        <f>+VLOOKUP($A1793,MAGAZZINO!$B$2:$M$100000,10,FALSE)</f>
        <v/>
      </c>
      <c r="K1793" s="3">
        <f>+VLOOKUP($A1793,MAGAZZINO!$B$2:$M$100000,11,FALSE)</f>
        <v/>
      </c>
      <c r="L1793" s="5">
        <f>+VLOOKUP($A1793,MAGAZZINO!$B$2:$M$100000,12,FALSE)</f>
        <v/>
      </c>
      <c r="M1793" s="47" t="n"/>
      <c r="N1793" s="54" t="n"/>
      <c r="O1793" s="3" t="n"/>
      <c r="P1793" s="149" t="n"/>
      <c r="Q1793" s="150" t="n"/>
      <c r="R1793" s="150" t="n"/>
      <c r="S1793" s="151" t="n"/>
    </row>
    <row r="1794" ht="36" customHeight="1">
      <c r="A1794" s="46" t="n">
        <v>4124</v>
      </c>
      <c r="B1794" s="4">
        <f>+VLOOKUP($A1794,MAGAZZINO!$B$2:$M$100000,2,FALSE)</f>
        <v/>
      </c>
      <c r="C1794" s="29">
        <f>+VLOOKUP($A1794,MAGAZZINO!$B$2:$M$100000,3,FALSE)</f>
        <v/>
      </c>
      <c r="D1794" s="3">
        <f>+VLOOKUP($A1794,MAGAZZINO!$B$2:$M$100000,4,FALSE)</f>
        <v/>
      </c>
      <c r="E1794" s="3">
        <f>+VLOOKUP($A1794,MAGAZZINO!$B$2:$M$100000,5,FALSE)</f>
        <v/>
      </c>
      <c r="F1794" s="3">
        <f>+VLOOKUP($A1794,MAGAZZINO!$B$2:$M$100000,6,FALSE)</f>
        <v/>
      </c>
      <c r="G1794" s="3">
        <f>+VLOOKUP($A1794,MAGAZZINO!$B$2:$M$100000,7,FALSE)</f>
        <v/>
      </c>
      <c r="H1794" s="3">
        <f>+VLOOKUP($A1794,MAGAZZINO!$B$2:$M$100000,8,FALSE)</f>
        <v/>
      </c>
      <c r="I1794" s="3">
        <f>+VLOOKUP($A1794,MAGAZZINO!$B$2:$M$100000,9,FALSE)</f>
        <v/>
      </c>
      <c r="J1794" s="3">
        <f>+VLOOKUP($A1794,MAGAZZINO!$B$2:$M$100000,10,FALSE)</f>
        <v/>
      </c>
      <c r="K1794" s="3">
        <f>+VLOOKUP($A1794,MAGAZZINO!$B$2:$M$100000,11,FALSE)</f>
        <v/>
      </c>
      <c r="L1794" s="5">
        <f>+VLOOKUP($A1794,MAGAZZINO!$B$2:$M$100000,12,FALSE)</f>
        <v/>
      </c>
      <c r="M1794" s="47" t="n"/>
      <c r="N1794" s="54" t="n"/>
      <c r="O1794" s="3" t="n"/>
      <c r="P1794" s="149" t="n"/>
      <c r="Q1794" s="150" t="n"/>
      <c r="R1794" s="150" t="n"/>
      <c r="S1794" s="151" t="n"/>
    </row>
    <row r="1795" ht="36" customHeight="1">
      <c r="A1795" s="46" t="n">
        <v>4125</v>
      </c>
      <c r="B1795" s="4">
        <f>+VLOOKUP($A1795,MAGAZZINO!$B$2:$M$100000,2,FALSE)</f>
        <v/>
      </c>
      <c r="C1795" s="29">
        <f>+VLOOKUP($A1795,MAGAZZINO!$B$2:$M$100000,3,FALSE)</f>
        <v/>
      </c>
      <c r="D1795" s="3">
        <f>+VLOOKUP($A1795,MAGAZZINO!$B$2:$M$100000,4,FALSE)</f>
        <v/>
      </c>
      <c r="E1795" s="3">
        <f>+VLOOKUP($A1795,MAGAZZINO!$B$2:$M$100000,5,FALSE)</f>
        <v/>
      </c>
      <c r="F1795" s="3">
        <f>+VLOOKUP($A1795,MAGAZZINO!$B$2:$M$100000,6,FALSE)</f>
        <v/>
      </c>
      <c r="G1795" s="3">
        <f>+VLOOKUP($A1795,MAGAZZINO!$B$2:$M$100000,7,FALSE)</f>
        <v/>
      </c>
      <c r="H1795" s="3">
        <f>+VLOOKUP($A1795,MAGAZZINO!$B$2:$M$100000,8,FALSE)</f>
        <v/>
      </c>
      <c r="I1795" s="3">
        <f>+VLOOKUP($A1795,MAGAZZINO!$B$2:$M$100000,9,FALSE)</f>
        <v/>
      </c>
      <c r="J1795" s="3">
        <f>+VLOOKUP($A1795,MAGAZZINO!$B$2:$M$100000,10,FALSE)</f>
        <v/>
      </c>
      <c r="K1795" s="3">
        <f>+VLOOKUP($A1795,MAGAZZINO!$B$2:$M$100000,11,FALSE)</f>
        <v/>
      </c>
      <c r="L1795" s="5">
        <f>+VLOOKUP($A1795,MAGAZZINO!$B$2:$M$100000,12,FALSE)</f>
        <v/>
      </c>
      <c r="M1795" s="47" t="n"/>
      <c r="N1795" s="54" t="n"/>
      <c r="O1795" s="3" t="n"/>
      <c r="P1795" s="149" t="n"/>
      <c r="Q1795" s="150" t="n"/>
      <c r="R1795" s="150" t="n"/>
      <c r="S1795" s="151" t="n"/>
    </row>
    <row r="1796" ht="36" customHeight="1">
      <c r="A1796" s="46" t="n">
        <v>4126</v>
      </c>
      <c r="B1796" s="4">
        <f>+VLOOKUP($A1796,MAGAZZINO!$B$2:$M$100000,2,FALSE)</f>
        <v/>
      </c>
      <c r="C1796" s="29">
        <f>+VLOOKUP($A1796,MAGAZZINO!$B$2:$M$100000,3,FALSE)</f>
        <v/>
      </c>
      <c r="D1796" s="3">
        <f>+VLOOKUP($A1796,MAGAZZINO!$B$2:$M$100000,4,FALSE)</f>
        <v/>
      </c>
      <c r="E1796" s="3">
        <f>+VLOOKUP($A1796,MAGAZZINO!$B$2:$M$100000,5,FALSE)</f>
        <v/>
      </c>
      <c r="F1796" s="3">
        <f>+VLOOKUP($A1796,MAGAZZINO!$B$2:$M$100000,6,FALSE)</f>
        <v/>
      </c>
      <c r="G1796" s="3">
        <f>+VLOOKUP($A1796,MAGAZZINO!$B$2:$M$100000,7,FALSE)</f>
        <v/>
      </c>
      <c r="H1796" s="3">
        <f>+VLOOKUP($A1796,MAGAZZINO!$B$2:$M$100000,8,FALSE)</f>
        <v/>
      </c>
      <c r="I1796" s="3">
        <f>+VLOOKUP($A1796,MAGAZZINO!$B$2:$M$100000,9,FALSE)</f>
        <v/>
      </c>
      <c r="J1796" s="3">
        <f>+VLOOKUP($A1796,MAGAZZINO!$B$2:$M$100000,10,FALSE)</f>
        <v/>
      </c>
      <c r="K1796" s="3">
        <f>+VLOOKUP($A1796,MAGAZZINO!$B$2:$M$100000,11,FALSE)</f>
        <v/>
      </c>
      <c r="L1796" s="5">
        <f>+VLOOKUP($A1796,MAGAZZINO!$B$2:$M$100000,12,FALSE)</f>
        <v/>
      </c>
      <c r="M1796" s="47" t="n"/>
      <c r="N1796" s="54" t="n"/>
      <c r="O1796" s="3" t="n"/>
      <c r="P1796" s="149" t="n"/>
      <c r="Q1796" s="150" t="n"/>
      <c r="R1796" s="150" t="n"/>
      <c r="S1796" s="151" t="n"/>
    </row>
    <row r="1797" ht="36" customHeight="1">
      <c r="A1797" s="46" t="n">
        <v>4127</v>
      </c>
      <c r="B1797" s="4">
        <f>+VLOOKUP($A1797,MAGAZZINO!$B$2:$M$100000,2,FALSE)</f>
        <v/>
      </c>
      <c r="C1797" s="29">
        <f>+VLOOKUP($A1797,MAGAZZINO!$B$2:$M$100000,3,FALSE)</f>
        <v/>
      </c>
      <c r="D1797" s="3">
        <f>+VLOOKUP($A1797,MAGAZZINO!$B$2:$M$100000,4,FALSE)</f>
        <v/>
      </c>
      <c r="E1797" s="3">
        <f>+VLOOKUP($A1797,MAGAZZINO!$B$2:$M$100000,5,FALSE)</f>
        <v/>
      </c>
      <c r="F1797" s="3">
        <f>+VLOOKUP($A1797,MAGAZZINO!$B$2:$M$100000,6,FALSE)</f>
        <v/>
      </c>
      <c r="G1797" s="3">
        <f>+VLOOKUP($A1797,MAGAZZINO!$B$2:$M$100000,7,FALSE)</f>
        <v/>
      </c>
      <c r="H1797" s="3">
        <f>+VLOOKUP($A1797,MAGAZZINO!$B$2:$M$100000,8,FALSE)</f>
        <v/>
      </c>
      <c r="I1797" s="3">
        <f>+VLOOKUP($A1797,MAGAZZINO!$B$2:$M$100000,9,FALSE)</f>
        <v/>
      </c>
      <c r="J1797" s="3">
        <f>+VLOOKUP($A1797,MAGAZZINO!$B$2:$M$100000,10,FALSE)</f>
        <v/>
      </c>
      <c r="K1797" s="3">
        <f>+VLOOKUP($A1797,MAGAZZINO!$B$2:$M$100000,11,FALSE)</f>
        <v/>
      </c>
      <c r="L1797" s="5">
        <f>+VLOOKUP($A1797,MAGAZZINO!$B$2:$M$100000,12,FALSE)</f>
        <v/>
      </c>
      <c r="M1797" s="47" t="n"/>
      <c r="N1797" s="54" t="n"/>
      <c r="O1797" s="3" t="n"/>
      <c r="P1797" s="149" t="n"/>
      <c r="Q1797" s="150" t="n"/>
      <c r="R1797" s="150" t="n"/>
      <c r="S1797" s="151" t="n"/>
    </row>
    <row r="1798" ht="36" customHeight="1">
      <c r="A1798" s="46" t="n">
        <v>4128</v>
      </c>
      <c r="B1798" s="4">
        <f>+VLOOKUP($A1798,MAGAZZINO!$B$2:$M$100000,2,FALSE)</f>
        <v/>
      </c>
      <c r="C1798" s="29">
        <f>+VLOOKUP($A1798,MAGAZZINO!$B$2:$M$100000,3,FALSE)</f>
        <v/>
      </c>
      <c r="D1798" s="3">
        <f>+VLOOKUP($A1798,MAGAZZINO!$B$2:$M$100000,4,FALSE)</f>
        <v/>
      </c>
      <c r="E1798" s="3">
        <f>+VLOOKUP($A1798,MAGAZZINO!$B$2:$M$100000,5,FALSE)</f>
        <v/>
      </c>
      <c r="F1798" s="3">
        <f>+VLOOKUP($A1798,MAGAZZINO!$B$2:$M$100000,6,FALSE)</f>
        <v/>
      </c>
      <c r="G1798" s="3">
        <f>+VLOOKUP($A1798,MAGAZZINO!$B$2:$M$100000,7,FALSE)</f>
        <v/>
      </c>
      <c r="H1798" s="3">
        <f>+VLOOKUP($A1798,MAGAZZINO!$B$2:$M$100000,8,FALSE)</f>
        <v/>
      </c>
      <c r="I1798" s="3">
        <f>+VLOOKUP($A1798,MAGAZZINO!$B$2:$M$100000,9,FALSE)</f>
        <v/>
      </c>
      <c r="J1798" s="3">
        <f>+VLOOKUP($A1798,MAGAZZINO!$B$2:$M$100000,10,FALSE)</f>
        <v/>
      </c>
      <c r="K1798" s="3">
        <f>+VLOOKUP($A1798,MAGAZZINO!$B$2:$M$100000,11,FALSE)</f>
        <v/>
      </c>
      <c r="L1798" s="5">
        <f>+VLOOKUP($A1798,MAGAZZINO!$B$2:$M$100000,12,FALSE)</f>
        <v/>
      </c>
      <c r="M1798" s="47" t="n"/>
      <c r="N1798" s="54" t="n"/>
      <c r="O1798" s="3" t="n"/>
      <c r="P1798" s="149" t="n"/>
      <c r="Q1798" s="150" t="n"/>
      <c r="R1798" s="150" t="n"/>
      <c r="S1798" s="151" t="n"/>
    </row>
    <row r="1799" ht="36" customHeight="1">
      <c r="A1799" s="46" t="n">
        <v>4129</v>
      </c>
      <c r="B1799" s="4">
        <f>+VLOOKUP($A1799,MAGAZZINO!$B$2:$M$100000,2,FALSE)</f>
        <v/>
      </c>
      <c r="C1799" s="29">
        <f>+VLOOKUP($A1799,MAGAZZINO!$B$2:$M$100000,3,FALSE)</f>
        <v/>
      </c>
      <c r="D1799" s="3">
        <f>+VLOOKUP($A1799,MAGAZZINO!$B$2:$M$100000,4,FALSE)</f>
        <v/>
      </c>
      <c r="E1799" s="3">
        <f>+VLOOKUP($A1799,MAGAZZINO!$B$2:$M$100000,5,FALSE)</f>
        <v/>
      </c>
      <c r="F1799" s="3">
        <f>+VLOOKUP($A1799,MAGAZZINO!$B$2:$M$100000,6,FALSE)</f>
        <v/>
      </c>
      <c r="G1799" s="3">
        <f>+VLOOKUP($A1799,MAGAZZINO!$B$2:$M$100000,7,FALSE)</f>
        <v/>
      </c>
      <c r="H1799" s="3">
        <f>+VLOOKUP($A1799,MAGAZZINO!$B$2:$M$100000,8,FALSE)</f>
        <v/>
      </c>
      <c r="I1799" s="3">
        <f>+VLOOKUP($A1799,MAGAZZINO!$B$2:$M$100000,9,FALSE)</f>
        <v/>
      </c>
      <c r="J1799" s="3">
        <f>+VLOOKUP($A1799,MAGAZZINO!$B$2:$M$100000,10,FALSE)</f>
        <v/>
      </c>
      <c r="K1799" s="3">
        <f>+VLOOKUP($A1799,MAGAZZINO!$B$2:$M$100000,11,FALSE)</f>
        <v/>
      </c>
      <c r="L1799" s="5">
        <f>+VLOOKUP($A1799,MAGAZZINO!$B$2:$M$100000,12,FALSE)</f>
        <v/>
      </c>
      <c r="M1799" s="47" t="n"/>
      <c r="N1799" s="54" t="n"/>
      <c r="O1799" s="3" t="n"/>
      <c r="P1799" s="149" t="n"/>
      <c r="Q1799" s="150" t="n"/>
      <c r="R1799" s="150" t="n"/>
      <c r="S1799" s="151" t="n"/>
    </row>
    <row r="1800" ht="36" customHeight="1">
      <c r="A1800" s="46" t="n">
        <v>4130</v>
      </c>
      <c r="B1800" s="4">
        <f>+VLOOKUP($A1800,MAGAZZINO!$B$2:$M$100000,2,FALSE)</f>
        <v/>
      </c>
      <c r="C1800" s="29">
        <f>+VLOOKUP($A1800,MAGAZZINO!$B$2:$M$100000,3,FALSE)</f>
        <v/>
      </c>
      <c r="D1800" s="3">
        <f>+VLOOKUP($A1800,MAGAZZINO!$B$2:$M$100000,4,FALSE)</f>
        <v/>
      </c>
      <c r="E1800" s="3">
        <f>+VLOOKUP($A1800,MAGAZZINO!$B$2:$M$100000,5,FALSE)</f>
        <v/>
      </c>
      <c r="F1800" s="3">
        <f>+VLOOKUP($A1800,MAGAZZINO!$B$2:$M$100000,6,FALSE)</f>
        <v/>
      </c>
      <c r="G1800" s="3">
        <f>+VLOOKUP($A1800,MAGAZZINO!$B$2:$M$100000,7,FALSE)</f>
        <v/>
      </c>
      <c r="H1800" s="3">
        <f>+VLOOKUP($A1800,MAGAZZINO!$B$2:$M$100000,8,FALSE)</f>
        <v/>
      </c>
      <c r="I1800" s="3">
        <f>+VLOOKUP($A1800,MAGAZZINO!$B$2:$M$100000,9,FALSE)</f>
        <v/>
      </c>
      <c r="J1800" s="3">
        <f>+VLOOKUP($A1800,MAGAZZINO!$B$2:$M$100000,10,FALSE)</f>
        <v/>
      </c>
      <c r="K1800" s="3">
        <f>+VLOOKUP($A1800,MAGAZZINO!$B$2:$M$100000,11,FALSE)</f>
        <v/>
      </c>
      <c r="L1800" s="5">
        <f>+VLOOKUP($A1800,MAGAZZINO!$B$2:$M$100000,12,FALSE)</f>
        <v/>
      </c>
      <c r="M1800" s="47" t="n"/>
      <c r="N1800" s="54" t="n"/>
      <c r="O1800" s="3" t="n"/>
      <c r="P1800" s="149" t="n"/>
      <c r="Q1800" s="150" t="n"/>
      <c r="R1800" s="150" t="n"/>
      <c r="S1800" s="151" t="n"/>
    </row>
    <row r="1801" ht="36" customHeight="1">
      <c r="A1801" s="46" t="n">
        <v>4131</v>
      </c>
      <c r="B1801" s="4">
        <f>+VLOOKUP($A1801,MAGAZZINO!$B$2:$M$100000,2,FALSE)</f>
        <v/>
      </c>
      <c r="C1801" s="29">
        <f>+VLOOKUP($A1801,MAGAZZINO!$B$2:$M$100000,3,FALSE)</f>
        <v/>
      </c>
      <c r="D1801" s="3">
        <f>+VLOOKUP($A1801,MAGAZZINO!$B$2:$M$100000,4,FALSE)</f>
        <v/>
      </c>
      <c r="E1801" s="3">
        <f>+VLOOKUP($A1801,MAGAZZINO!$B$2:$M$100000,5,FALSE)</f>
        <v/>
      </c>
      <c r="F1801" s="3">
        <f>+VLOOKUP($A1801,MAGAZZINO!$B$2:$M$100000,6,FALSE)</f>
        <v/>
      </c>
      <c r="G1801" s="3">
        <f>+VLOOKUP($A1801,MAGAZZINO!$B$2:$M$100000,7,FALSE)</f>
        <v/>
      </c>
      <c r="H1801" s="3">
        <f>+VLOOKUP($A1801,MAGAZZINO!$B$2:$M$100000,8,FALSE)</f>
        <v/>
      </c>
      <c r="I1801" s="3">
        <f>+VLOOKUP($A1801,MAGAZZINO!$B$2:$M$100000,9,FALSE)</f>
        <v/>
      </c>
      <c r="J1801" s="3">
        <f>+VLOOKUP($A1801,MAGAZZINO!$B$2:$M$100000,10,FALSE)</f>
        <v/>
      </c>
      <c r="K1801" s="3">
        <f>+VLOOKUP($A1801,MAGAZZINO!$B$2:$M$100000,11,FALSE)</f>
        <v/>
      </c>
      <c r="L1801" s="5">
        <f>+VLOOKUP($A1801,MAGAZZINO!$B$2:$M$100000,12,FALSE)</f>
        <v/>
      </c>
      <c r="M1801" s="47" t="n"/>
      <c r="N1801" s="54" t="n"/>
      <c r="O1801" s="3" t="n"/>
      <c r="P1801" s="149" t="n"/>
      <c r="Q1801" s="150" t="n"/>
      <c r="R1801" s="150" t="n"/>
      <c r="S1801" s="151" t="n"/>
    </row>
    <row r="1802" ht="36" customHeight="1">
      <c r="A1802" s="46" t="n">
        <v>4132</v>
      </c>
      <c r="B1802" s="4">
        <f>+VLOOKUP($A1802,MAGAZZINO!$B$2:$M$100000,2,FALSE)</f>
        <v/>
      </c>
      <c r="C1802" s="29">
        <f>+VLOOKUP($A1802,MAGAZZINO!$B$2:$M$100000,3,FALSE)</f>
        <v/>
      </c>
      <c r="D1802" s="3">
        <f>+VLOOKUP($A1802,MAGAZZINO!$B$2:$M$100000,4,FALSE)</f>
        <v/>
      </c>
      <c r="E1802" s="3">
        <f>+VLOOKUP($A1802,MAGAZZINO!$B$2:$M$100000,5,FALSE)</f>
        <v/>
      </c>
      <c r="F1802" s="3">
        <f>+VLOOKUP($A1802,MAGAZZINO!$B$2:$M$100000,6,FALSE)</f>
        <v/>
      </c>
      <c r="G1802" s="3">
        <f>+VLOOKUP($A1802,MAGAZZINO!$B$2:$M$100000,7,FALSE)</f>
        <v/>
      </c>
      <c r="H1802" s="3">
        <f>+VLOOKUP($A1802,MAGAZZINO!$B$2:$M$100000,8,FALSE)</f>
        <v/>
      </c>
      <c r="I1802" s="3">
        <f>+VLOOKUP($A1802,MAGAZZINO!$B$2:$M$100000,9,FALSE)</f>
        <v/>
      </c>
      <c r="J1802" s="3">
        <f>+VLOOKUP($A1802,MAGAZZINO!$B$2:$M$100000,10,FALSE)</f>
        <v/>
      </c>
      <c r="K1802" s="3">
        <f>+VLOOKUP($A1802,MAGAZZINO!$B$2:$M$100000,11,FALSE)</f>
        <v/>
      </c>
      <c r="L1802" s="5">
        <f>+VLOOKUP($A1802,MAGAZZINO!$B$2:$M$100000,12,FALSE)</f>
        <v/>
      </c>
      <c r="M1802" s="47" t="n"/>
      <c r="N1802" s="54" t="n"/>
      <c r="O1802" s="3" t="n"/>
      <c r="P1802" s="149" t="n"/>
      <c r="Q1802" s="150" t="n"/>
      <c r="R1802" s="150" t="n"/>
      <c r="S1802" s="151" t="n"/>
    </row>
    <row r="1803" ht="36" customHeight="1">
      <c r="A1803" s="46" t="n">
        <v>4133</v>
      </c>
      <c r="B1803" s="4">
        <f>+VLOOKUP($A1803,MAGAZZINO!$B$2:$M$100000,2,FALSE)</f>
        <v/>
      </c>
      <c r="C1803" s="29">
        <f>+VLOOKUP($A1803,MAGAZZINO!$B$2:$M$100000,3,FALSE)</f>
        <v/>
      </c>
      <c r="D1803" s="3">
        <f>+VLOOKUP($A1803,MAGAZZINO!$B$2:$M$100000,4,FALSE)</f>
        <v/>
      </c>
      <c r="E1803" s="3">
        <f>+VLOOKUP($A1803,MAGAZZINO!$B$2:$M$100000,5,FALSE)</f>
        <v/>
      </c>
      <c r="F1803" s="3">
        <f>+VLOOKUP($A1803,MAGAZZINO!$B$2:$M$100000,6,FALSE)</f>
        <v/>
      </c>
      <c r="G1803" s="3">
        <f>+VLOOKUP($A1803,MAGAZZINO!$B$2:$M$100000,7,FALSE)</f>
        <v/>
      </c>
      <c r="H1803" s="3">
        <f>+VLOOKUP($A1803,MAGAZZINO!$B$2:$M$100000,8,FALSE)</f>
        <v/>
      </c>
      <c r="I1803" s="3">
        <f>+VLOOKUP($A1803,MAGAZZINO!$B$2:$M$100000,9,FALSE)</f>
        <v/>
      </c>
      <c r="J1803" s="3">
        <f>+VLOOKUP($A1803,MAGAZZINO!$B$2:$M$100000,10,FALSE)</f>
        <v/>
      </c>
      <c r="K1803" s="3">
        <f>+VLOOKUP($A1803,MAGAZZINO!$B$2:$M$100000,11,FALSE)</f>
        <v/>
      </c>
      <c r="L1803" s="5">
        <f>+VLOOKUP($A1803,MAGAZZINO!$B$2:$M$100000,12,FALSE)</f>
        <v/>
      </c>
      <c r="M1803" s="47" t="n"/>
      <c r="N1803" s="54" t="n"/>
      <c r="O1803" s="3" t="n"/>
      <c r="P1803" s="149" t="n"/>
      <c r="Q1803" s="150" t="n"/>
      <c r="R1803" s="150" t="n"/>
      <c r="S1803" s="151" t="n"/>
    </row>
    <row r="1804" ht="36" customHeight="1">
      <c r="A1804" s="46" t="n">
        <v>4134</v>
      </c>
      <c r="B1804" s="4">
        <f>+VLOOKUP($A1804,MAGAZZINO!$B$2:$M$100000,2,FALSE)</f>
        <v/>
      </c>
      <c r="C1804" s="29">
        <f>+VLOOKUP($A1804,MAGAZZINO!$B$2:$M$100000,3,FALSE)</f>
        <v/>
      </c>
      <c r="D1804" s="3">
        <f>+VLOOKUP($A1804,MAGAZZINO!$B$2:$M$100000,4,FALSE)</f>
        <v/>
      </c>
      <c r="E1804" s="3">
        <f>+VLOOKUP($A1804,MAGAZZINO!$B$2:$M$100000,5,FALSE)</f>
        <v/>
      </c>
      <c r="F1804" s="3">
        <f>+VLOOKUP($A1804,MAGAZZINO!$B$2:$M$100000,6,FALSE)</f>
        <v/>
      </c>
      <c r="G1804" s="3">
        <f>+VLOOKUP($A1804,MAGAZZINO!$B$2:$M$100000,7,FALSE)</f>
        <v/>
      </c>
      <c r="H1804" s="3">
        <f>+VLOOKUP($A1804,MAGAZZINO!$B$2:$M$100000,8,FALSE)</f>
        <v/>
      </c>
      <c r="I1804" s="3">
        <f>+VLOOKUP($A1804,MAGAZZINO!$B$2:$M$100000,9,FALSE)</f>
        <v/>
      </c>
      <c r="J1804" s="3">
        <f>+VLOOKUP($A1804,MAGAZZINO!$B$2:$M$100000,10,FALSE)</f>
        <v/>
      </c>
      <c r="K1804" s="3">
        <f>+VLOOKUP($A1804,MAGAZZINO!$B$2:$M$100000,11,FALSE)</f>
        <v/>
      </c>
      <c r="L1804" s="5">
        <f>+VLOOKUP($A1804,MAGAZZINO!$B$2:$M$100000,12,FALSE)</f>
        <v/>
      </c>
      <c r="M1804" s="47" t="n"/>
      <c r="N1804" s="54" t="n"/>
      <c r="O1804" s="3" t="n"/>
      <c r="P1804" s="149" t="n"/>
      <c r="Q1804" s="150" t="n"/>
      <c r="R1804" s="150" t="n"/>
      <c r="S1804" s="151" t="n"/>
    </row>
    <row r="1805" ht="36" customHeight="1">
      <c r="A1805" s="46" t="n">
        <v>4135</v>
      </c>
      <c r="B1805" s="4">
        <f>+VLOOKUP($A1805,MAGAZZINO!$B$2:$M$100000,2,FALSE)</f>
        <v/>
      </c>
      <c r="C1805" s="29">
        <f>+VLOOKUP($A1805,MAGAZZINO!$B$2:$M$100000,3,FALSE)</f>
        <v/>
      </c>
      <c r="D1805" s="3">
        <f>+VLOOKUP($A1805,MAGAZZINO!$B$2:$M$100000,4,FALSE)</f>
        <v/>
      </c>
      <c r="E1805" s="3">
        <f>+VLOOKUP($A1805,MAGAZZINO!$B$2:$M$100000,5,FALSE)</f>
        <v/>
      </c>
      <c r="F1805" s="3">
        <f>+VLOOKUP($A1805,MAGAZZINO!$B$2:$M$100000,6,FALSE)</f>
        <v/>
      </c>
      <c r="G1805" s="3">
        <f>+VLOOKUP($A1805,MAGAZZINO!$B$2:$M$100000,7,FALSE)</f>
        <v/>
      </c>
      <c r="H1805" s="3">
        <f>+VLOOKUP($A1805,MAGAZZINO!$B$2:$M$100000,8,FALSE)</f>
        <v/>
      </c>
      <c r="I1805" s="3">
        <f>+VLOOKUP($A1805,MAGAZZINO!$B$2:$M$100000,9,FALSE)</f>
        <v/>
      </c>
      <c r="J1805" s="3">
        <f>+VLOOKUP($A1805,MAGAZZINO!$B$2:$M$100000,10,FALSE)</f>
        <v/>
      </c>
      <c r="K1805" s="3">
        <f>+VLOOKUP($A1805,MAGAZZINO!$B$2:$M$100000,11,FALSE)</f>
        <v/>
      </c>
      <c r="L1805" s="5">
        <f>+VLOOKUP($A1805,MAGAZZINO!$B$2:$M$100000,12,FALSE)</f>
        <v/>
      </c>
      <c r="M1805" s="47" t="n"/>
      <c r="N1805" s="54" t="n"/>
      <c r="O1805" s="3" t="n"/>
      <c r="P1805" s="149" t="n"/>
      <c r="Q1805" s="150" t="n"/>
      <c r="R1805" s="150" t="n"/>
      <c r="S1805" s="151" t="n"/>
    </row>
    <row r="1806" ht="36" customHeight="1">
      <c r="A1806" s="46" t="n">
        <v>4136</v>
      </c>
      <c r="B1806" s="4">
        <f>+VLOOKUP($A1806,MAGAZZINO!$B$2:$M$100000,2,FALSE)</f>
        <v/>
      </c>
      <c r="C1806" s="29">
        <f>+VLOOKUP($A1806,MAGAZZINO!$B$2:$M$100000,3,FALSE)</f>
        <v/>
      </c>
      <c r="D1806" s="3">
        <f>+VLOOKUP($A1806,MAGAZZINO!$B$2:$M$100000,4,FALSE)</f>
        <v/>
      </c>
      <c r="E1806" s="3">
        <f>+VLOOKUP($A1806,MAGAZZINO!$B$2:$M$100000,5,FALSE)</f>
        <v/>
      </c>
      <c r="F1806" s="3">
        <f>+VLOOKUP($A1806,MAGAZZINO!$B$2:$M$100000,6,FALSE)</f>
        <v/>
      </c>
      <c r="G1806" s="3">
        <f>+VLOOKUP($A1806,MAGAZZINO!$B$2:$M$100000,7,FALSE)</f>
        <v/>
      </c>
      <c r="H1806" s="3">
        <f>+VLOOKUP($A1806,MAGAZZINO!$B$2:$M$100000,8,FALSE)</f>
        <v/>
      </c>
      <c r="I1806" s="3">
        <f>+VLOOKUP($A1806,MAGAZZINO!$B$2:$M$100000,9,FALSE)</f>
        <v/>
      </c>
      <c r="J1806" s="3">
        <f>+VLOOKUP($A1806,MAGAZZINO!$B$2:$M$100000,10,FALSE)</f>
        <v/>
      </c>
      <c r="K1806" s="3">
        <f>+VLOOKUP($A1806,MAGAZZINO!$B$2:$M$100000,11,FALSE)</f>
        <v/>
      </c>
      <c r="L1806" s="5">
        <f>+VLOOKUP($A1806,MAGAZZINO!$B$2:$M$100000,12,FALSE)</f>
        <v/>
      </c>
      <c r="M1806" s="47" t="n"/>
      <c r="N1806" s="54" t="n"/>
      <c r="O1806" s="3" t="n"/>
      <c r="P1806" s="149" t="n"/>
      <c r="Q1806" s="150" t="n"/>
      <c r="R1806" s="150" t="n"/>
      <c r="S1806" s="151" t="n"/>
    </row>
    <row r="1807" ht="36" customHeight="1">
      <c r="A1807" s="46" t="n">
        <v>4137</v>
      </c>
      <c r="B1807" s="4">
        <f>+VLOOKUP($A1807,MAGAZZINO!$B$2:$M$100000,2,FALSE)</f>
        <v/>
      </c>
      <c r="C1807" s="29">
        <f>+VLOOKUP($A1807,MAGAZZINO!$B$2:$M$100000,3,FALSE)</f>
        <v/>
      </c>
      <c r="D1807" s="3">
        <f>+VLOOKUP($A1807,MAGAZZINO!$B$2:$M$100000,4,FALSE)</f>
        <v/>
      </c>
      <c r="E1807" s="3">
        <f>+VLOOKUP($A1807,MAGAZZINO!$B$2:$M$100000,5,FALSE)</f>
        <v/>
      </c>
      <c r="F1807" s="3">
        <f>+VLOOKUP($A1807,MAGAZZINO!$B$2:$M$100000,6,FALSE)</f>
        <v/>
      </c>
      <c r="G1807" s="3">
        <f>+VLOOKUP($A1807,MAGAZZINO!$B$2:$M$100000,7,FALSE)</f>
        <v/>
      </c>
      <c r="H1807" s="3">
        <f>+VLOOKUP($A1807,MAGAZZINO!$B$2:$M$100000,8,FALSE)</f>
        <v/>
      </c>
      <c r="I1807" s="3">
        <f>+VLOOKUP($A1807,MAGAZZINO!$B$2:$M$100000,9,FALSE)</f>
        <v/>
      </c>
      <c r="J1807" s="3">
        <f>+VLOOKUP($A1807,MAGAZZINO!$B$2:$M$100000,10,FALSE)</f>
        <v/>
      </c>
      <c r="K1807" s="3">
        <f>+VLOOKUP($A1807,MAGAZZINO!$B$2:$M$100000,11,FALSE)</f>
        <v/>
      </c>
      <c r="L1807" s="5">
        <f>+VLOOKUP($A1807,MAGAZZINO!$B$2:$M$100000,12,FALSE)</f>
        <v/>
      </c>
      <c r="M1807" s="47" t="n"/>
      <c r="N1807" s="54" t="n"/>
      <c r="O1807" s="3" t="n"/>
      <c r="P1807" s="149" t="n"/>
      <c r="Q1807" s="150" t="n"/>
      <c r="R1807" s="150" t="n"/>
      <c r="S1807" s="151" t="n"/>
    </row>
    <row r="1808" ht="36" customHeight="1">
      <c r="A1808" s="46" t="n">
        <v>4138</v>
      </c>
      <c r="B1808" s="4">
        <f>+VLOOKUP($A1808,MAGAZZINO!$B$2:$M$100000,2,FALSE)</f>
        <v/>
      </c>
      <c r="C1808" s="29">
        <f>+VLOOKUP($A1808,MAGAZZINO!$B$2:$M$100000,3,FALSE)</f>
        <v/>
      </c>
      <c r="D1808" s="3">
        <f>+VLOOKUP($A1808,MAGAZZINO!$B$2:$M$100000,4,FALSE)</f>
        <v/>
      </c>
      <c r="E1808" s="3">
        <f>+VLOOKUP($A1808,MAGAZZINO!$B$2:$M$100000,5,FALSE)</f>
        <v/>
      </c>
      <c r="F1808" s="3">
        <f>+VLOOKUP($A1808,MAGAZZINO!$B$2:$M$100000,6,FALSE)</f>
        <v/>
      </c>
      <c r="G1808" s="3">
        <f>+VLOOKUP($A1808,MAGAZZINO!$B$2:$M$100000,7,FALSE)</f>
        <v/>
      </c>
      <c r="H1808" s="3">
        <f>+VLOOKUP($A1808,MAGAZZINO!$B$2:$M$100000,8,FALSE)</f>
        <v/>
      </c>
      <c r="I1808" s="3">
        <f>+VLOOKUP($A1808,MAGAZZINO!$B$2:$M$100000,9,FALSE)</f>
        <v/>
      </c>
      <c r="J1808" s="3">
        <f>+VLOOKUP($A1808,MAGAZZINO!$B$2:$M$100000,10,FALSE)</f>
        <v/>
      </c>
      <c r="K1808" s="3">
        <f>+VLOOKUP($A1808,MAGAZZINO!$B$2:$M$100000,11,FALSE)</f>
        <v/>
      </c>
      <c r="L1808" s="5">
        <f>+VLOOKUP($A1808,MAGAZZINO!$B$2:$M$100000,12,FALSE)</f>
        <v/>
      </c>
      <c r="M1808" s="47" t="n"/>
      <c r="N1808" s="54" t="n"/>
      <c r="O1808" s="3" t="n"/>
      <c r="P1808" s="149" t="n"/>
      <c r="Q1808" s="150" t="n"/>
      <c r="R1808" s="150" t="n"/>
      <c r="S1808" s="151" t="n"/>
    </row>
    <row r="1809" ht="36" customHeight="1">
      <c r="A1809" s="46" t="n">
        <v>4139</v>
      </c>
      <c r="B1809" s="4">
        <f>+VLOOKUP($A1809,MAGAZZINO!$B$2:$M$100000,2,FALSE)</f>
        <v/>
      </c>
      <c r="C1809" s="29">
        <f>+VLOOKUP($A1809,MAGAZZINO!$B$2:$M$100000,3,FALSE)</f>
        <v/>
      </c>
      <c r="D1809" s="3">
        <f>+VLOOKUP($A1809,MAGAZZINO!$B$2:$M$100000,4,FALSE)</f>
        <v/>
      </c>
      <c r="E1809" s="3">
        <f>+VLOOKUP($A1809,MAGAZZINO!$B$2:$M$100000,5,FALSE)</f>
        <v/>
      </c>
      <c r="F1809" s="3">
        <f>+VLOOKUP($A1809,MAGAZZINO!$B$2:$M$100000,6,FALSE)</f>
        <v/>
      </c>
      <c r="G1809" s="3">
        <f>+VLOOKUP($A1809,MAGAZZINO!$B$2:$M$100000,7,FALSE)</f>
        <v/>
      </c>
      <c r="H1809" s="3">
        <f>+VLOOKUP($A1809,MAGAZZINO!$B$2:$M$100000,8,FALSE)</f>
        <v/>
      </c>
      <c r="I1809" s="3">
        <f>+VLOOKUP($A1809,MAGAZZINO!$B$2:$M$100000,9,FALSE)</f>
        <v/>
      </c>
      <c r="J1809" s="3">
        <f>+VLOOKUP($A1809,MAGAZZINO!$B$2:$M$100000,10,FALSE)</f>
        <v/>
      </c>
      <c r="K1809" s="3">
        <f>+VLOOKUP($A1809,MAGAZZINO!$B$2:$M$100000,11,FALSE)</f>
        <v/>
      </c>
      <c r="L1809" s="5">
        <f>+VLOOKUP($A1809,MAGAZZINO!$B$2:$M$100000,12,FALSE)</f>
        <v/>
      </c>
      <c r="M1809" s="47" t="n"/>
      <c r="N1809" s="54" t="n"/>
      <c r="O1809" s="3" t="n"/>
      <c r="P1809" s="149" t="n"/>
      <c r="Q1809" s="150" t="n"/>
      <c r="R1809" s="150" t="n"/>
      <c r="S1809" s="151" t="n"/>
    </row>
    <row r="1810" ht="36" customHeight="1">
      <c r="A1810" s="46" t="n">
        <v>4140</v>
      </c>
      <c r="B1810" s="4">
        <f>+VLOOKUP($A1810,MAGAZZINO!$B$2:$M$100000,2,FALSE)</f>
        <v/>
      </c>
      <c r="C1810" s="29">
        <f>+VLOOKUP($A1810,MAGAZZINO!$B$2:$M$100000,3,FALSE)</f>
        <v/>
      </c>
      <c r="D1810" s="3">
        <f>+VLOOKUP($A1810,MAGAZZINO!$B$2:$M$100000,4,FALSE)</f>
        <v/>
      </c>
      <c r="E1810" s="3">
        <f>+VLOOKUP($A1810,MAGAZZINO!$B$2:$M$100000,5,FALSE)</f>
        <v/>
      </c>
      <c r="F1810" s="3">
        <f>+VLOOKUP($A1810,MAGAZZINO!$B$2:$M$100000,6,FALSE)</f>
        <v/>
      </c>
      <c r="G1810" s="3">
        <f>+VLOOKUP($A1810,MAGAZZINO!$B$2:$M$100000,7,FALSE)</f>
        <v/>
      </c>
      <c r="H1810" s="3">
        <f>+VLOOKUP($A1810,MAGAZZINO!$B$2:$M$100000,8,FALSE)</f>
        <v/>
      </c>
      <c r="I1810" s="3">
        <f>+VLOOKUP($A1810,MAGAZZINO!$B$2:$M$100000,9,FALSE)</f>
        <v/>
      </c>
      <c r="J1810" s="3">
        <f>+VLOOKUP($A1810,MAGAZZINO!$B$2:$M$100000,10,FALSE)</f>
        <v/>
      </c>
      <c r="K1810" s="3">
        <f>+VLOOKUP($A1810,MAGAZZINO!$B$2:$M$100000,11,FALSE)</f>
        <v/>
      </c>
      <c r="L1810" s="5">
        <f>+VLOOKUP($A1810,MAGAZZINO!$B$2:$M$100000,12,FALSE)</f>
        <v/>
      </c>
      <c r="M1810" s="47" t="n"/>
      <c r="N1810" s="54" t="n"/>
      <c r="O1810" s="3" t="n"/>
      <c r="P1810" s="149" t="n"/>
      <c r="Q1810" s="150" t="n"/>
      <c r="R1810" s="150" t="n"/>
      <c r="S1810" s="151" t="n"/>
    </row>
    <row r="1811" ht="36" customHeight="1">
      <c r="A1811" s="46" t="n">
        <v>4141</v>
      </c>
      <c r="B1811" s="4">
        <f>+VLOOKUP($A1811,MAGAZZINO!$B$2:$M$100000,2,FALSE)</f>
        <v/>
      </c>
      <c r="C1811" s="29">
        <f>+VLOOKUP($A1811,MAGAZZINO!$B$2:$M$100000,3,FALSE)</f>
        <v/>
      </c>
      <c r="D1811" s="3">
        <f>+VLOOKUP($A1811,MAGAZZINO!$B$2:$M$100000,4,FALSE)</f>
        <v/>
      </c>
      <c r="E1811" s="3">
        <f>+VLOOKUP($A1811,MAGAZZINO!$B$2:$M$100000,5,FALSE)</f>
        <v/>
      </c>
      <c r="F1811" s="3">
        <f>+VLOOKUP($A1811,MAGAZZINO!$B$2:$M$100000,6,FALSE)</f>
        <v/>
      </c>
      <c r="G1811" s="3">
        <f>+VLOOKUP($A1811,MAGAZZINO!$B$2:$M$100000,7,FALSE)</f>
        <v/>
      </c>
      <c r="H1811" s="3">
        <f>+VLOOKUP($A1811,MAGAZZINO!$B$2:$M$100000,8,FALSE)</f>
        <v/>
      </c>
      <c r="I1811" s="3">
        <f>+VLOOKUP($A1811,MAGAZZINO!$B$2:$M$100000,9,FALSE)</f>
        <v/>
      </c>
      <c r="J1811" s="3">
        <f>+VLOOKUP($A1811,MAGAZZINO!$B$2:$M$100000,10,FALSE)</f>
        <v/>
      </c>
      <c r="K1811" s="3">
        <f>+VLOOKUP($A1811,MAGAZZINO!$B$2:$M$100000,11,FALSE)</f>
        <v/>
      </c>
      <c r="L1811" s="5">
        <f>+VLOOKUP($A1811,MAGAZZINO!$B$2:$M$100000,12,FALSE)</f>
        <v/>
      </c>
      <c r="M1811" s="47" t="n"/>
      <c r="N1811" s="54" t="n"/>
      <c r="O1811" s="3" t="n"/>
      <c r="P1811" s="149" t="n"/>
      <c r="Q1811" s="150" t="n"/>
      <c r="R1811" s="150" t="n"/>
      <c r="S1811" s="151" t="n"/>
    </row>
    <row r="1812" ht="36" customHeight="1">
      <c r="A1812" s="46" t="n">
        <v>4142</v>
      </c>
      <c r="B1812" s="4">
        <f>+VLOOKUP($A1812,MAGAZZINO!$B$2:$M$100000,2,FALSE)</f>
        <v/>
      </c>
      <c r="C1812" s="29">
        <f>+VLOOKUP($A1812,MAGAZZINO!$B$2:$M$100000,3,FALSE)</f>
        <v/>
      </c>
      <c r="D1812" s="3">
        <f>+VLOOKUP($A1812,MAGAZZINO!$B$2:$M$100000,4,FALSE)</f>
        <v/>
      </c>
      <c r="E1812" s="3">
        <f>+VLOOKUP($A1812,MAGAZZINO!$B$2:$M$100000,5,FALSE)</f>
        <v/>
      </c>
      <c r="F1812" s="3">
        <f>+VLOOKUP($A1812,MAGAZZINO!$B$2:$M$100000,6,FALSE)</f>
        <v/>
      </c>
      <c r="G1812" s="3">
        <f>+VLOOKUP($A1812,MAGAZZINO!$B$2:$M$100000,7,FALSE)</f>
        <v/>
      </c>
      <c r="H1812" s="3">
        <f>+VLOOKUP($A1812,MAGAZZINO!$B$2:$M$100000,8,FALSE)</f>
        <v/>
      </c>
      <c r="I1812" s="3">
        <f>+VLOOKUP($A1812,MAGAZZINO!$B$2:$M$100000,9,FALSE)</f>
        <v/>
      </c>
      <c r="J1812" s="3">
        <f>+VLOOKUP($A1812,MAGAZZINO!$B$2:$M$100000,10,FALSE)</f>
        <v/>
      </c>
      <c r="K1812" s="3">
        <f>+VLOOKUP($A1812,MAGAZZINO!$B$2:$M$100000,11,FALSE)</f>
        <v/>
      </c>
      <c r="L1812" s="5">
        <f>+VLOOKUP($A1812,MAGAZZINO!$B$2:$M$100000,12,FALSE)</f>
        <v/>
      </c>
      <c r="M1812" s="47" t="n"/>
      <c r="N1812" s="54" t="n"/>
      <c r="O1812" s="3" t="n"/>
      <c r="P1812" s="149" t="n"/>
      <c r="Q1812" s="150" t="n"/>
      <c r="R1812" s="150" t="n"/>
      <c r="S1812" s="151" t="n"/>
    </row>
    <row r="1813" ht="36" customHeight="1">
      <c r="A1813" s="46" t="n">
        <v>4143</v>
      </c>
      <c r="B1813" s="4">
        <f>+VLOOKUP($A1813,MAGAZZINO!$B$2:$M$100000,2,FALSE)</f>
        <v/>
      </c>
      <c r="C1813" s="29">
        <f>+VLOOKUP($A1813,MAGAZZINO!$B$2:$M$100000,3,FALSE)</f>
        <v/>
      </c>
      <c r="D1813" s="3">
        <f>+VLOOKUP($A1813,MAGAZZINO!$B$2:$M$100000,4,FALSE)</f>
        <v/>
      </c>
      <c r="E1813" s="3">
        <f>+VLOOKUP($A1813,MAGAZZINO!$B$2:$M$100000,5,FALSE)</f>
        <v/>
      </c>
      <c r="F1813" s="3">
        <f>+VLOOKUP($A1813,MAGAZZINO!$B$2:$M$100000,6,FALSE)</f>
        <v/>
      </c>
      <c r="G1813" s="3">
        <f>+VLOOKUP($A1813,MAGAZZINO!$B$2:$M$100000,7,FALSE)</f>
        <v/>
      </c>
      <c r="H1813" s="3">
        <f>+VLOOKUP($A1813,MAGAZZINO!$B$2:$M$100000,8,FALSE)</f>
        <v/>
      </c>
      <c r="I1813" s="3">
        <f>+VLOOKUP($A1813,MAGAZZINO!$B$2:$M$100000,9,FALSE)</f>
        <v/>
      </c>
      <c r="J1813" s="3">
        <f>+VLOOKUP($A1813,MAGAZZINO!$B$2:$M$100000,10,FALSE)</f>
        <v/>
      </c>
      <c r="K1813" s="3">
        <f>+VLOOKUP($A1813,MAGAZZINO!$B$2:$M$100000,11,FALSE)</f>
        <v/>
      </c>
      <c r="L1813" s="5">
        <f>+VLOOKUP($A1813,MAGAZZINO!$B$2:$M$100000,12,FALSE)</f>
        <v/>
      </c>
      <c r="M1813" s="47" t="n"/>
      <c r="N1813" s="54" t="n"/>
      <c r="O1813" s="3" t="n"/>
      <c r="P1813" s="149" t="n"/>
      <c r="Q1813" s="150" t="n"/>
      <c r="R1813" s="150" t="n"/>
      <c r="S1813" s="151" t="n"/>
    </row>
    <row r="1814" ht="36" customHeight="1">
      <c r="A1814" s="46" t="n">
        <v>4144</v>
      </c>
      <c r="B1814" s="4">
        <f>+VLOOKUP($A1814,MAGAZZINO!$B$2:$M$100000,2,FALSE)</f>
        <v/>
      </c>
      <c r="C1814" s="29">
        <f>+VLOOKUP($A1814,MAGAZZINO!$B$2:$M$100000,3,FALSE)</f>
        <v/>
      </c>
      <c r="D1814" s="3">
        <f>+VLOOKUP($A1814,MAGAZZINO!$B$2:$M$100000,4,FALSE)</f>
        <v/>
      </c>
      <c r="E1814" s="3">
        <f>+VLOOKUP($A1814,MAGAZZINO!$B$2:$M$100000,5,FALSE)</f>
        <v/>
      </c>
      <c r="F1814" s="3">
        <f>+VLOOKUP($A1814,MAGAZZINO!$B$2:$M$100000,6,FALSE)</f>
        <v/>
      </c>
      <c r="G1814" s="3">
        <f>+VLOOKUP($A1814,MAGAZZINO!$B$2:$M$100000,7,FALSE)</f>
        <v/>
      </c>
      <c r="H1814" s="3">
        <f>+VLOOKUP($A1814,MAGAZZINO!$B$2:$M$100000,8,FALSE)</f>
        <v/>
      </c>
      <c r="I1814" s="3">
        <f>+VLOOKUP($A1814,MAGAZZINO!$B$2:$M$100000,9,FALSE)</f>
        <v/>
      </c>
      <c r="J1814" s="3">
        <f>+VLOOKUP($A1814,MAGAZZINO!$B$2:$M$100000,10,FALSE)</f>
        <v/>
      </c>
      <c r="K1814" s="3">
        <f>+VLOOKUP($A1814,MAGAZZINO!$B$2:$M$100000,11,FALSE)</f>
        <v/>
      </c>
      <c r="L1814" s="5">
        <f>+VLOOKUP($A1814,MAGAZZINO!$B$2:$M$100000,12,FALSE)</f>
        <v/>
      </c>
      <c r="M1814" s="47" t="n"/>
      <c r="N1814" s="54" t="n"/>
      <c r="O1814" s="3" t="n"/>
      <c r="P1814" s="149" t="n"/>
      <c r="Q1814" s="150" t="n"/>
      <c r="R1814" s="150" t="n"/>
      <c r="S1814" s="151" t="n"/>
    </row>
    <row r="1815" ht="36" customHeight="1">
      <c r="A1815" s="46" t="n">
        <v>4145</v>
      </c>
      <c r="B1815" s="4">
        <f>+VLOOKUP($A1815,MAGAZZINO!$B$2:$M$100000,2,FALSE)</f>
        <v/>
      </c>
      <c r="C1815" s="29">
        <f>+VLOOKUP($A1815,MAGAZZINO!$B$2:$M$100000,3,FALSE)</f>
        <v/>
      </c>
      <c r="D1815" s="3">
        <f>+VLOOKUP($A1815,MAGAZZINO!$B$2:$M$100000,4,FALSE)</f>
        <v/>
      </c>
      <c r="E1815" s="3">
        <f>+VLOOKUP($A1815,MAGAZZINO!$B$2:$M$100000,5,FALSE)</f>
        <v/>
      </c>
      <c r="F1815" s="3">
        <f>+VLOOKUP($A1815,MAGAZZINO!$B$2:$M$100000,6,FALSE)</f>
        <v/>
      </c>
      <c r="G1815" s="3">
        <f>+VLOOKUP($A1815,MAGAZZINO!$B$2:$M$100000,7,FALSE)</f>
        <v/>
      </c>
      <c r="H1815" s="3">
        <f>+VLOOKUP($A1815,MAGAZZINO!$B$2:$M$100000,8,FALSE)</f>
        <v/>
      </c>
      <c r="I1815" s="3">
        <f>+VLOOKUP($A1815,MAGAZZINO!$B$2:$M$100000,9,FALSE)</f>
        <v/>
      </c>
      <c r="J1815" s="3">
        <f>+VLOOKUP($A1815,MAGAZZINO!$B$2:$M$100000,10,FALSE)</f>
        <v/>
      </c>
      <c r="K1815" s="3">
        <f>+VLOOKUP($A1815,MAGAZZINO!$B$2:$M$100000,11,FALSE)</f>
        <v/>
      </c>
      <c r="L1815" s="5">
        <f>+VLOOKUP($A1815,MAGAZZINO!$B$2:$M$100000,12,FALSE)</f>
        <v/>
      </c>
      <c r="M1815" s="47" t="n"/>
      <c r="N1815" s="54" t="n"/>
      <c r="O1815" s="3" t="n"/>
      <c r="P1815" s="149" t="n"/>
      <c r="Q1815" s="150" t="n"/>
      <c r="R1815" s="150" t="n"/>
      <c r="S1815" s="151" t="n"/>
    </row>
    <row r="1816" ht="36" customHeight="1">
      <c r="A1816" s="46" t="n">
        <v>4146</v>
      </c>
      <c r="B1816" s="4">
        <f>+VLOOKUP($A1816,MAGAZZINO!$B$2:$M$100000,2,FALSE)</f>
        <v/>
      </c>
      <c r="C1816" s="29">
        <f>+VLOOKUP($A1816,MAGAZZINO!$B$2:$M$100000,3,FALSE)</f>
        <v/>
      </c>
      <c r="D1816" s="3">
        <f>+VLOOKUP($A1816,MAGAZZINO!$B$2:$M$100000,4,FALSE)</f>
        <v/>
      </c>
      <c r="E1816" s="3">
        <f>+VLOOKUP($A1816,MAGAZZINO!$B$2:$M$100000,5,FALSE)</f>
        <v/>
      </c>
      <c r="F1816" s="3">
        <f>+VLOOKUP($A1816,MAGAZZINO!$B$2:$M$100000,6,FALSE)</f>
        <v/>
      </c>
      <c r="G1816" s="3">
        <f>+VLOOKUP($A1816,MAGAZZINO!$B$2:$M$100000,7,FALSE)</f>
        <v/>
      </c>
      <c r="H1816" s="3">
        <f>+VLOOKUP($A1816,MAGAZZINO!$B$2:$M$100000,8,FALSE)</f>
        <v/>
      </c>
      <c r="I1816" s="3">
        <f>+VLOOKUP($A1816,MAGAZZINO!$B$2:$M$100000,9,FALSE)</f>
        <v/>
      </c>
      <c r="J1816" s="3">
        <f>+VLOOKUP($A1816,MAGAZZINO!$B$2:$M$100000,10,FALSE)</f>
        <v/>
      </c>
      <c r="K1816" s="3">
        <f>+VLOOKUP($A1816,MAGAZZINO!$B$2:$M$100000,11,FALSE)</f>
        <v/>
      </c>
      <c r="L1816" s="5">
        <f>+VLOOKUP($A1816,MAGAZZINO!$B$2:$M$100000,12,FALSE)</f>
        <v/>
      </c>
      <c r="M1816" s="47" t="n"/>
      <c r="N1816" s="54" t="n"/>
      <c r="O1816" s="3" t="n"/>
      <c r="P1816" s="149" t="n"/>
      <c r="Q1816" s="150" t="n"/>
      <c r="R1816" s="150" t="n"/>
      <c r="S1816" s="151" t="n"/>
    </row>
    <row r="1817" ht="36" customHeight="1">
      <c r="A1817" s="46" t="n">
        <v>4147</v>
      </c>
      <c r="B1817" s="4">
        <f>+VLOOKUP($A1817,MAGAZZINO!$B$2:$M$100000,2,FALSE)</f>
        <v/>
      </c>
      <c r="C1817" s="29">
        <f>+VLOOKUP($A1817,MAGAZZINO!$B$2:$M$100000,3,FALSE)</f>
        <v/>
      </c>
      <c r="D1817" s="3">
        <f>+VLOOKUP($A1817,MAGAZZINO!$B$2:$M$100000,4,FALSE)</f>
        <v/>
      </c>
      <c r="E1817" s="3">
        <f>+VLOOKUP($A1817,MAGAZZINO!$B$2:$M$100000,5,FALSE)</f>
        <v/>
      </c>
      <c r="F1817" s="3">
        <f>+VLOOKUP($A1817,MAGAZZINO!$B$2:$M$100000,6,FALSE)</f>
        <v/>
      </c>
      <c r="G1817" s="3">
        <f>+VLOOKUP($A1817,MAGAZZINO!$B$2:$M$100000,7,FALSE)</f>
        <v/>
      </c>
      <c r="H1817" s="3">
        <f>+VLOOKUP($A1817,MAGAZZINO!$B$2:$M$100000,8,FALSE)</f>
        <v/>
      </c>
      <c r="I1817" s="3">
        <f>+VLOOKUP($A1817,MAGAZZINO!$B$2:$M$100000,9,FALSE)</f>
        <v/>
      </c>
      <c r="J1817" s="3">
        <f>+VLOOKUP($A1817,MAGAZZINO!$B$2:$M$100000,10,FALSE)</f>
        <v/>
      </c>
      <c r="K1817" s="3">
        <f>+VLOOKUP($A1817,MAGAZZINO!$B$2:$M$100000,11,FALSE)</f>
        <v/>
      </c>
      <c r="L1817" s="5">
        <f>+VLOOKUP($A1817,MAGAZZINO!$B$2:$M$100000,12,FALSE)</f>
        <v/>
      </c>
      <c r="M1817" s="47" t="n"/>
      <c r="N1817" s="54" t="n"/>
      <c r="O1817" s="3" t="n"/>
      <c r="P1817" s="149" t="n"/>
      <c r="Q1817" s="150" t="n"/>
      <c r="R1817" s="150" t="n"/>
      <c r="S1817" s="151" t="n"/>
    </row>
    <row r="1818" ht="36" customHeight="1">
      <c r="A1818" s="46" t="n">
        <v>4148</v>
      </c>
      <c r="B1818" s="4">
        <f>+VLOOKUP($A1818,MAGAZZINO!$B$2:$M$100000,2,FALSE)</f>
        <v/>
      </c>
      <c r="C1818" s="29">
        <f>+VLOOKUP($A1818,MAGAZZINO!$B$2:$M$100000,3,FALSE)</f>
        <v/>
      </c>
      <c r="D1818" s="3">
        <f>+VLOOKUP($A1818,MAGAZZINO!$B$2:$M$100000,4,FALSE)</f>
        <v/>
      </c>
      <c r="E1818" s="3">
        <f>+VLOOKUP($A1818,MAGAZZINO!$B$2:$M$100000,5,FALSE)</f>
        <v/>
      </c>
      <c r="F1818" s="3">
        <f>+VLOOKUP($A1818,MAGAZZINO!$B$2:$M$100000,6,FALSE)</f>
        <v/>
      </c>
      <c r="G1818" s="3">
        <f>+VLOOKUP($A1818,MAGAZZINO!$B$2:$M$100000,7,FALSE)</f>
        <v/>
      </c>
      <c r="H1818" s="3">
        <f>+VLOOKUP($A1818,MAGAZZINO!$B$2:$M$100000,8,FALSE)</f>
        <v/>
      </c>
      <c r="I1818" s="3">
        <f>+VLOOKUP($A1818,MAGAZZINO!$B$2:$M$100000,9,FALSE)</f>
        <v/>
      </c>
      <c r="J1818" s="3">
        <f>+VLOOKUP($A1818,MAGAZZINO!$B$2:$M$100000,10,FALSE)</f>
        <v/>
      </c>
      <c r="K1818" s="3">
        <f>+VLOOKUP($A1818,MAGAZZINO!$B$2:$M$100000,11,FALSE)</f>
        <v/>
      </c>
      <c r="L1818" s="5">
        <f>+VLOOKUP($A1818,MAGAZZINO!$B$2:$M$100000,12,FALSE)</f>
        <v/>
      </c>
      <c r="M1818" s="47" t="n"/>
      <c r="N1818" s="54" t="n"/>
      <c r="O1818" s="3" t="n"/>
      <c r="P1818" s="149" t="n"/>
      <c r="Q1818" s="150" t="n"/>
      <c r="R1818" s="150" t="n"/>
      <c r="S1818" s="151" t="n"/>
    </row>
    <row r="1819" ht="36" customHeight="1">
      <c r="A1819" s="46" t="n">
        <v>4149</v>
      </c>
      <c r="B1819" s="4">
        <f>+VLOOKUP($A1819,MAGAZZINO!$B$2:$M$100000,2,FALSE)</f>
        <v/>
      </c>
      <c r="C1819" s="29">
        <f>+VLOOKUP($A1819,MAGAZZINO!$B$2:$M$100000,3,FALSE)</f>
        <v/>
      </c>
      <c r="D1819" s="3">
        <f>+VLOOKUP($A1819,MAGAZZINO!$B$2:$M$100000,4,FALSE)</f>
        <v/>
      </c>
      <c r="E1819" s="3">
        <f>+VLOOKUP($A1819,MAGAZZINO!$B$2:$M$100000,5,FALSE)</f>
        <v/>
      </c>
      <c r="F1819" s="3">
        <f>+VLOOKUP($A1819,MAGAZZINO!$B$2:$M$100000,6,FALSE)</f>
        <v/>
      </c>
      <c r="G1819" s="3">
        <f>+VLOOKUP($A1819,MAGAZZINO!$B$2:$M$100000,7,FALSE)</f>
        <v/>
      </c>
      <c r="H1819" s="3">
        <f>+VLOOKUP($A1819,MAGAZZINO!$B$2:$M$100000,8,FALSE)</f>
        <v/>
      </c>
      <c r="I1819" s="3">
        <f>+VLOOKUP($A1819,MAGAZZINO!$B$2:$M$100000,9,FALSE)</f>
        <v/>
      </c>
      <c r="J1819" s="3">
        <f>+VLOOKUP($A1819,MAGAZZINO!$B$2:$M$100000,10,FALSE)</f>
        <v/>
      </c>
      <c r="K1819" s="3">
        <f>+VLOOKUP($A1819,MAGAZZINO!$B$2:$M$100000,11,FALSE)</f>
        <v/>
      </c>
      <c r="L1819" s="5">
        <f>+VLOOKUP($A1819,MAGAZZINO!$B$2:$M$100000,12,FALSE)</f>
        <v/>
      </c>
      <c r="M1819" s="47" t="n"/>
      <c r="N1819" s="54" t="n"/>
      <c r="O1819" s="3" t="n"/>
      <c r="P1819" s="149" t="n"/>
      <c r="Q1819" s="150" t="n"/>
      <c r="R1819" s="150" t="n"/>
      <c r="S1819" s="151" t="n"/>
    </row>
    <row r="1820" ht="36" customHeight="1">
      <c r="A1820" s="46" t="n">
        <v>4150</v>
      </c>
      <c r="B1820" s="4">
        <f>+VLOOKUP($A1820,MAGAZZINO!$B$2:$M$100000,2,FALSE)</f>
        <v/>
      </c>
      <c r="C1820" s="29">
        <f>+VLOOKUP($A1820,MAGAZZINO!$B$2:$M$100000,3,FALSE)</f>
        <v/>
      </c>
      <c r="D1820" s="3">
        <f>+VLOOKUP($A1820,MAGAZZINO!$B$2:$M$100000,4,FALSE)</f>
        <v/>
      </c>
      <c r="E1820" s="3">
        <f>+VLOOKUP($A1820,MAGAZZINO!$B$2:$M$100000,5,FALSE)</f>
        <v/>
      </c>
      <c r="F1820" s="3">
        <f>+VLOOKUP($A1820,MAGAZZINO!$B$2:$M$100000,6,FALSE)</f>
        <v/>
      </c>
      <c r="G1820" s="3">
        <f>+VLOOKUP($A1820,MAGAZZINO!$B$2:$M$100000,7,FALSE)</f>
        <v/>
      </c>
      <c r="H1820" s="3">
        <f>+VLOOKUP($A1820,MAGAZZINO!$B$2:$M$100000,8,FALSE)</f>
        <v/>
      </c>
      <c r="I1820" s="3">
        <f>+VLOOKUP($A1820,MAGAZZINO!$B$2:$M$100000,9,FALSE)</f>
        <v/>
      </c>
      <c r="J1820" s="3">
        <f>+VLOOKUP($A1820,MAGAZZINO!$B$2:$M$100000,10,FALSE)</f>
        <v/>
      </c>
      <c r="K1820" s="3">
        <f>+VLOOKUP($A1820,MAGAZZINO!$B$2:$M$100000,11,FALSE)</f>
        <v/>
      </c>
      <c r="L1820" s="5">
        <f>+VLOOKUP($A1820,MAGAZZINO!$B$2:$M$100000,12,FALSE)</f>
        <v/>
      </c>
      <c r="M1820" s="47" t="n"/>
      <c r="N1820" s="54" t="n"/>
      <c r="O1820" s="3" t="n"/>
      <c r="P1820" s="149" t="n"/>
      <c r="Q1820" s="150" t="n"/>
      <c r="R1820" s="150" t="n"/>
      <c r="S1820" s="151" t="n"/>
    </row>
    <row r="1821" ht="36" customHeight="1">
      <c r="A1821" s="46" t="n">
        <v>4151</v>
      </c>
      <c r="B1821" s="4">
        <f>+VLOOKUP($A1821,MAGAZZINO!$B$2:$M$100000,2,FALSE)</f>
        <v/>
      </c>
      <c r="C1821" s="29">
        <f>+VLOOKUP($A1821,MAGAZZINO!$B$2:$M$100000,3,FALSE)</f>
        <v/>
      </c>
      <c r="D1821" s="3">
        <f>+VLOOKUP($A1821,MAGAZZINO!$B$2:$M$100000,4,FALSE)</f>
        <v/>
      </c>
      <c r="E1821" s="3">
        <f>+VLOOKUP($A1821,MAGAZZINO!$B$2:$M$100000,5,FALSE)</f>
        <v/>
      </c>
      <c r="F1821" s="3">
        <f>+VLOOKUP($A1821,MAGAZZINO!$B$2:$M$100000,6,FALSE)</f>
        <v/>
      </c>
      <c r="G1821" s="3">
        <f>+VLOOKUP($A1821,MAGAZZINO!$B$2:$M$100000,7,FALSE)</f>
        <v/>
      </c>
      <c r="H1821" s="3">
        <f>+VLOOKUP($A1821,MAGAZZINO!$B$2:$M$100000,8,FALSE)</f>
        <v/>
      </c>
      <c r="I1821" s="3">
        <f>+VLOOKUP($A1821,MAGAZZINO!$B$2:$M$100000,9,FALSE)</f>
        <v/>
      </c>
      <c r="J1821" s="3">
        <f>+VLOOKUP($A1821,MAGAZZINO!$B$2:$M$100000,10,FALSE)</f>
        <v/>
      </c>
      <c r="K1821" s="3">
        <f>+VLOOKUP($A1821,MAGAZZINO!$B$2:$M$100000,11,FALSE)</f>
        <v/>
      </c>
      <c r="L1821" s="5">
        <f>+VLOOKUP($A1821,MAGAZZINO!$B$2:$M$100000,12,FALSE)</f>
        <v/>
      </c>
      <c r="M1821" s="47" t="n"/>
      <c r="N1821" s="54" t="n"/>
      <c r="O1821" s="3" t="n"/>
      <c r="P1821" s="149" t="n"/>
      <c r="Q1821" s="150" t="n"/>
      <c r="R1821" s="150" t="n"/>
      <c r="S1821" s="151" t="n"/>
    </row>
    <row r="1822" ht="36" customHeight="1">
      <c r="A1822" s="46" t="n">
        <v>4152</v>
      </c>
      <c r="B1822" s="4">
        <f>+VLOOKUP($A1822,MAGAZZINO!$B$2:$M$100000,2,FALSE)</f>
        <v/>
      </c>
      <c r="C1822" s="29">
        <f>+VLOOKUP($A1822,MAGAZZINO!$B$2:$M$100000,3,FALSE)</f>
        <v/>
      </c>
      <c r="D1822" s="3">
        <f>+VLOOKUP($A1822,MAGAZZINO!$B$2:$M$100000,4,FALSE)</f>
        <v/>
      </c>
      <c r="E1822" s="3">
        <f>+VLOOKUP($A1822,MAGAZZINO!$B$2:$M$100000,5,FALSE)</f>
        <v/>
      </c>
      <c r="F1822" s="3">
        <f>+VLOOKUP($A1822,MAGAZZINO!$B$2:$M$100000,6,FALSE)</f>
        <v/>
      </c>
      <c r="G1822" s="3">
        <f>+VLOOKUP($A1822,MAGAZZINO!$B$2:$M$100000,7,FALSE)</f>
        <v/>
      </c>
      <c r="H1822" s="3">
        <f>+VLOOKUP($A1822,MAGAZZINO!$B$2:$M$100000,8,FALSE)</f>
        <v/>
      </c>
      <c r="I1822" s="3">
        <f>+VLOOKUP($A1822,MAGAZZINO!$B$2:$M$100000,9,FALSE)</f>
        <v/>
      </c>
      <c r="J1822" s="3">
        <f>+VLOOKUP($A1822,MAGAZZINO!$B$2:$M$100000,10,FALSE)</f>
        <v/>
      </c>
      <c r="K1822" s="3">
        <f>+VLOOKUP($A1822,MAGAZZINO!$B$2:$M$100000,11,FALSE)</f>
        <v/>
      </c>
      <c r="L1822" s="5">
        <f>+VLOOKUP($A1822,MAGAZZINO!$B$2:$M$100000,12,FALSE)</f>
        <v/>
      </c>
      <c r="M1822" s="47" t="n"/>
      <c r="N1822" s="54" t="n"/>
      <c r="O1822" s="3" t="n"/>
      <c r="P1822" s="149" t="n"/>
      <c r="Q1822" s="150" t="n"/>
      <c r="R1822" s="150" t="n"/>
      <c r="S1822" s="151" t="n"/>
    </row>
    <row r="1823" ht="36" customHeight="1">
      <c r="A1823" s="46" t="n">
        <v>4153</v>
      </c>
      <c r="B1823" s="4">
        <f>+VLOOKUP($A1823,MAGAZZINO!$B$2:$M$100000,2,FALSE)</f>
        <v/>
      </c>
      <c r="C1823" s="29">
        <f>+VLOOKUP($A1823,MAGAZZINO!$B$2:$M$100000,3,FALSE)</f>
        <v/>
      </c>
      <c r="D1823" s="3">
        <f>+VLOOKUP($A1823,MAGAZZINO!$B$2:$M$100000,4,FALSE)</f>
        <v/>
      </c>
      <c r="E1823" s="3">
        <f>+VLOOKUP($A1823,MAGAZZINO!$B$2:$M$100000,5,FALSE)</f>
        <v/>
      </c>
      <c r="F1823" s="3">
        <f>+VLOOKUP($A1823,MAGAZZINO!$B$2:$M$100000,6,FALSE)</f>
        <v/>
      </c>
      <c r="G1823" s="3">
        <f>+VLOOKUP($A1823,MAGAZZINO!$B$2:$M$100000,7,FALSE)</f>
        <v/>
      </c>
      <c r="H1823" s="3">
        <f>+VLOOKUP($A1823,MAGAZZINO!$B$2:$M$100000,8,FALSE)</f>
        <v/>
      </c>
      <c r="I1823" s="3">
        <f>+VLOOKUP($A1823,MAGAZZINO!$B$2:$M$100000,9,FALSE)</f>
        <v/>
      </c>
      <c r="J1823" s="3">
        <f>+VLOOKUP($A1823,MAGAZZINO!$B$2:$M$100000,10,FALSE)</f>
        <v/>
      </c>
      <c r="K1823" s="3">
        <f>+VLOOKUP($A1823,MAGAZZINO!$B$2:$M$100000,11,FALSE)</f>
        <v/>
      </c>
      <c r="L1823" s="5">
        <f>+VLOOKUP($A1823,MAGAZZINO!$B$2:$M$100000,12,FALSE)</f>
        <v/>
      </c>
      <c r="M1823" s="47" t="n"/>
      <c r="N1823" s="54" t="n"/>
      <c r="O1823" s="3" t="n"/>
      <c r="P1823" s="149" t="n"/>
      <c r="Q1823" s="150" t="n"/>
      <c r="R1823" s="150" t="n"/>
      <c r="S1823" s="151" t="n"/>
    </row>
    <row r="1824" ht="36" customHeight="1">
      <c r="A1824" s="46" t="n">
        <v>4154</v>
      </c>
      <c r="B1824" s="4">
        <f>+VLOOKUP($A1824,MAGAZZINO!$B$2:$M$100000,2,FALSE)</f>
        <v/>
      </c>
      <c r="C1824" s="29">
        <f>+VLOOKUP($A1824,MAGAZZINO!$B$2:$M$100000,3,FALSE)</f>
        <v/>
      </c>
      <c r="D1824" s="3">
        <f>+VLOOKUP($A1824,MAGAZZINO!$B$2:$M$100000,4,FALSE)</f>
        <v/>
      </c>
      <c r="E1824" s="3">
        <f>+VLOOKUP($A1824,MAGAZZINO!$B$2:$M$100000,5,FALSE)</f>
        <v/>
      </c>
      <c r="F1824" s="3">
        <f>+VLOOKUP($A1824,MAGAZZINO!$B$2:$M$100000,6,FALSE)</f>
        <v/>
      </c>
      <c r="G1824" s="3">
        <f>+VLOOKUP($A1824,MAGAZZINO!$B$2:$M$100000,7,FALSE)</f>
        <v/>
      </c>
      <c r="H1824" s="3">
        <f>+VLOOKUP($A1824,MAGAZZINO!$B$2:$M$100000,8,FALSE)</f>
        <v/>
      </c>
      <c r="I1824" s="3">
        <f>+VLOOKUP($A1824,MAGAZZINO!$B$2:$M$100000,9,FALSE)</f>
        <v/>
      </c>
      <c r="J1824" s="3">
        <f>+VLOOKUP($A1824,MAGAZZINO!$B$2:$M$100000,10,FALSE)</f>
        <v/>
      </c>
      <c r="K1824" s="3">
        <f>+VLOOKUP($A1824,MAGAZZINO!$B$2:$M$100000,11,FALSE)</f>
        <v/>
      </c>
      <c r="L1824" s="5">
        <f>+VLOOKUP($A1824,MAGAZZINO!$B$2:$M$100000,12,FALSE)</f>
        <v/>
      </c>
      <c r="M1824" s="47" t="n"/>
      <c r="N1824" s="54" t="n"/>
      <c r="O1824" s="3" t="n"/>
      <c r="P1824" s="149" t="n"/>
      <c r="Q1824" s="150" t="n"/>
      <c r="R1824" s="150" t="n"/>
      <c r="S1824" s="151" t="n"/>
    </row>
    <row r="1825" ht="36" customHeight="1">
      <c r="A1825" s="46" t="n">
        <v>4155</v>
      </c>
      <c r="B1825" s="4">
        <f>+VLOOKUP($A1825,MAGAZZINO!$B$2:$M$100000,2,FALSE)</f>
        <v/>
      </c>
      <c r="C1825" s="29">
        <f>+VLOOKUP($A1825,MAGAZZINO!$B$2:$M$100000,3,FALSE)</f>
        <v/>
      </c>
      <c r="D1825" s="3">
        <f>+VLOOKUP($A1825,MAGAZZINO!$B$2:$M$100000,4,FALSE)</f>
        <v/>
      </c>
      <c r="E1825" s="3">
        <f>+VLOOKUP($A1825,MAGAZZINO!$B$2:$M$100000,5,FALSE)</f>
        <v/>
      </c>
      <c r="F1825" s="3">
        <f>+VLOOKUP($A1825,MAGAZZINO!$B$2:$M$100000,6,FALSE)</f>
        <v/>
      </c>
      <c r="G1825" s="3">
        <f>+VLOOKUP($A1825,MAGAZZINO!$B$2:$M$100000,7,FALSE)</f>
        <v/>
      </c>
      <c r="H1825" s="3">
        <f>+VLOOKUP($A1825,MAGAZZINO!$B$2:$M$100000,8,FALSE)</f>
        <v/>
      </c>
      <c r="I1825" s="3">
        <f>+VLOOKUP($A1825,MAGAZZINO!$B$2:$M$100000,9,FALSE)</f>
        <v/>
      </c>
      <c r="J1825" s="3">
        <f>+VLOOKUP($A1825,MAGAZZINO!$B$2:$M$100000,10,FALSE)</f>
        <v/>
      </c>
      <c r="K1825" s="3">
        <f>+VLOOKUP($A1825,MAGAZZINO!$B$2:$M$100000,11,FALSE)</f>
        <v/>
      </c>
      <c r="L1825" s="5">
        <f>+VLOOKUP($A1825,MAGAZZINO!$B$2:$M$100000,12,FALSE)</f>
        <v/>
      </c>
      <c r="M1825" s="47" t="n"/>
      <c r="N1825" s="54" t="n"/>
      <c r="O1825" s="3" t="n"/>
      <c r="P1825" s="149" t="n"/>
      <c r="Q1825" s="150" t="n"/>
      <c r="R1825" s="150" t="n"/>
      <c r="S1825" s="151" t="n"/>
    </row>
    <row r="1826" ht="36" customHeight="1">
      <c r="A1826" s="46" t="n">
        <v>4156</v>
      </c>
      <c r="B1826" s="4">
        <f>+VLOOKUP($A1826,MAGAZZINO!$B$2:$M$100000,2,FALSE)</f>
        <v/>
      </c>
      <c r="C1826" s="29">
        <f>+VLOOKUP($A1826,MAGAZZINO!$B$2:$M$100000,3,FALSE)</f>
        <v/>
      </c>
      <c r="D1826" s="3">
        <f>+VLOOKUP($A1826,MAGAZZINO!$B$2:$M$100000,4,FALSE)</f>
        <v/>
      </c>
      <c r="E1826" s="3">
        <f>+VLOOKUP($A1826,MAGAZZINO!$B$2:$M$100000,5,FALSE)</f>
        <v/>
      </c>
      <c r="F1826" s="3">
        <f>+VLOOKUP($A1826,MAGAZZINO!$B$2:$M$100000,6,FALSE)</f>
        <v/>
      </c>
      <c r="G1826" s="3">
        <f>+VLOOKUP($A1826,MAGAZZINO!$B$2:$M$100000,7,FALSE)</f>
        <v/>
      </c>
      <c r="H1826" s="3">
        <f>+VLOOKUP($A1826,MAGAZZINO!$B$2:$M$100000,8,FALSE)</f>
        <v/>
      </c>
      <c r="I1826" s="3">
        <f>+VLOOKUP($A1826,MAGAZZINO!$B$2:$M$100000,9,FALSE)</f>
        <v/>
      </c>
      <c r="J1826" s="3">
        <f>+VLOOKUP($A1826,MAGAZZINO!$B$2:$M$100000,10,FALSE)</f>
        <v/>
      </c>
      <c r="K1826" s="3">
        <f>+VLOOKUP($A1826,MAGAZZINO!$B$2:$M$100000,11,FALSE)</f>
        <v/>
      </c>
      <c r="L1826" s="5">
        <f>+VLOOKUP($A1826,MAGAZZINO!$B$2:$M$100000,12,FALSE)</f>
        <v/>
      </c>
      <c r="M1826" s="47" t="n"/>
      <c r="N1826" s="54" t="n"/>
      <c r="O1826" s="3" t="n"/>
      <c r="P1826" s="149" t="n"/>
      <c r="Q1826" s="150" t="n"/>
      <c r="R1826" s="150" t="n"/>
      <c r="S1826" s="151" t="n"/>
    </row>
    <row r="1827" ht="36" customHeight="1">
      <c r="A1827" s="46" t="n">
        <v>4157</v>
      </c>
      <c r="B1827" s="4">
        <f>+VLOOKUP($A1827,MAGAZZINO!$B$2:$M$100000,2,FALSE)</f>
        <v/>
      </c>
      <c r="C1827" s="29">
        <f>+VLOOKUP($A1827,MAGAZZINO!$B$2:$M$100000,3,FALSE)</f>
        <v/>
      </c>
      <c r="D1827" s="3">
        <f>+VLOOKUP($A1827,MAGAZZINO!$B$2:$M$100000,4,FALSE)</f>
        <v/>
      </c>
      <c r="E1827" s="3">
        <f>+VLOOKUP($A1827,MAGAZZINO!$B$2:$M$100000,5,FALSE)</f>
        <v/>
      </c>
      <c r="F1827" s="3">
        <f>+VLOOKUP($A1827,MAGAZZINO!$B$2:$M$100000,6,FALSE)</f>
        <v/>
      </c>
      <c r="G1827" s="3">
        <f>+VLOOKUP($A1827,MAGAZZINO!$B$2:$M$100000,7,FALSE)</f>
        <v/>
      </c>
      <c r="H1827" s="3">
        <f>+VLOOKUP($A1827,MAGAZZINO!$B$2:$M$100000,8,FALSE)</f>
        <v/>
      </c>
      <c r="I1827" s="3">
        <f>+VLOOKUP($A1827,MAGAZZINO!$B$2:$M$100000,9,FALSE)</f>
        <v/>
      </c>
      <c r="J1827" s="3">
        <f>+VLOOKUP($A1827,MAGAZZINO!$B$2:$M$100000,10,FALSE)</f>
        <v/>
      </c>
      <c r="K1827" s="3">
        <f>+VLOOKUP($A1827,MAGAZZINO!$B$2:$M$100000,11,FALSE)</f>
        <v/>
      </c>
      <c r="L1827" s="5">
        <f>+VLOOKUP($A1827,MAGAZZINO!$B$2:$M$100000,12,FALSE)</f>
        <v/>
      </c>
      <c r="M1827" s="47" t="n"/>
      <c r="N1827" s="54" t="n"/>
      <c r="O1827" s="3" t="n"/>
      <c r="P1827" s="149" t="n"/>
      <c r="Q1827" s="150" t="n"/>
      <c r="R1827" s="150" t="n"/>
      <c r="S1827" s="151" t="n"/>
    </row>
    <row r="1828" ht="36" customHeight="1">
      <c r="A1828" s="46" t="n">
        <v>4158</v>
      </c>
      <c r="B1828" s="4">
        <f>+VLOOKUP($A1828,MAGAZZINO!$B$2:$M$100000,2,FALSE)</f>
        <v/>
      </c>
      <c r="C1828" s="29">
        <f>+VLOOKUP($A1828,MAGAZZINO!$B$2:$M$100000,3,FALSE)</f>
        <v/>
      </c>
      <c r="D1828" s="3">
        <f>+VLOOKUP($A1828,MAGAZZINO!$B$2:$M$100000,4,FALSE)</f>
        <v/>
      </c>
      <c r="E1828" s="3">
        <f>+VLOOKUP($A1828,MAGAZZINO!$B$2:$M$100000,5,FALSE)</f>
        <v/>
      </c>
      <c r="F1828" s="3">
        <f>+VLOOKUP($A1828,MAGAZZINO!$B$2:$M$100000,6,FALSE)</f>
        <v/>
      </c>
      <c r="G1828" s="3">
        <f>+VLOOKUP($A1828,MAGAZZINO!$B$2:$M$100000,7,FALSE)</f>
        <v/>
      </c>
      <c r="H1828" s="3">
        <f>+VLOOKUP($A1828,MAGAZZINO!$B$2:$M$100000,8,FALSE)</f>
        <v/>
      </c>
      <c r="I1828" s="3">
        <f>+VLOOKUP($A1828,MAGAZZINO!$B$2:$M$100000,9,FALSE)</f>
        <v/>
      </c>
      <c r="J1828" s="3">
        <f>+VLOOKUP($A1828,MAGAZZINO!$B$2:$M$100000,10,FALSE)</f>
        <v/>
      </c>
      <c r="K1828" s="3">
        <f>+VLOOKUP($A1828,MAGAZZINO!$B$2:$M$100000,11,FALSE)</f>
        <v/>
      </c>
      <c r="L1828" s="5">
        <f>+VLOOKUP($A1828,MAGAZZINO!$B$2:$M$100000,12,FALSE)</f>
        <v/>
      </c>
      <c r="M1828" s="47" t="n"/>
      <c r="N1828" s="54" t="n"/>
      <c r="O1828" s="3" t="n"/>
      <c r="P1828" s="149" t="n"/>
      <c r="Q1828" s="150" t="n"/>
      <c r="R1828" s="150" t="n"/>
      <c r="S1828" s="151" t="n"/>
    </row>
    <row r="1829" ht="36" customHeight="1">
      <c r="A1829" s="46" t="n">
        <v>4159</v>
      </c>
      <c r="B1829" s="4">
        <f>+VLOOKUP($A1829,MAGAZZINO!$B$2:$M$100000,2,FALSE)</f>
        <v/>
      </c>
      <c r="C1829" s="29">
        <f>+VLOOKUP($A1829,MAGAZZINO!$B$2:$M$100000,3,FALSE)</f>
        <v/>
      </c>
      <c r="D1829" s="3">
        <f>+VLOOKUP($A1829,MAGAZZINO!$B$2:$M$100000,4,FALSE)</f>
        <v/>
      </c>
      <c r="E1829" s="3">
        <f>+VLOOKUP($A1829,MAGAZZINO!$B$2:$M$100000,5,FALSE)</f>
        <v/>
      </c>
      <c r="F1829" s="3">
        <f>+VLOOKUP($A1829,MAGAZZINO!$B$2:$M$100000,6,FALSE)</f>
        <v/>
      </c>
      <c r="G1829" s="3">
        <f>+VLOOKUP($A1829,MAGAZZINO!$B$2:$M$100000,7,FALSE)</f>
        <v/>
      </c>
      <c r="H1829" s="3">
        <f>+VLOOKUP($A1829,MAGAZZINO!$B$2:$M$100000,8,FALSE)</f>
        <v/>
      </c>
      <c r="I1829" s="3">
        <f>+VLOOKUP($A1829,MAGAZZINO!$B$2:$M$100000,9,FALSE)</f>
        <v/>
      </c>
      <c r="J1829" s="3">
        <f>+VLOOKUP($A1829,MAGAZZINO!$B$2:$M$100000,10,FALSE)</f>
        <v/>
      </c>
      <c r="K1829" s="3">
        <f>+VLOOKUP($A1829,MAGAZZINO!$B$2:$M$100000,11,FALSE)</f>
        <v/>
      </c>
      <c r="L1829" s="5">
        <f>+VLOOKUP($A1829,MAGAZZINO!$B$2:$M$100000,12,FALSE)</f>
        <v/>
      </c>
      <c r="M1829" s="47" t="n"/>
      <c r="N1829" s="54" t="n"/>
      <c r="O1829" s="3" t="n"/>
      <c r="P1829" s="149" t="n"/>
      <c r="Q1829" s="150" t="n"/>
      <c r="R1829" s="150" t="n"/>
      <c r="S1829" s="151" t="n"/>
    </row>
    <row r="1830" ht="36" customHeight="1">
      <c r="A1830" s="46" t="n">
        <v>4160</v>
      </c>
      <c r="B1830" s="4">
        <f>+VLOOKUP($A1830,MAGAZZINO!$B$2:$M$100000,2,FALSE)</f>
        <v/>
      </c>
      <c r="C1830" s="29">
        <f>+VLOOKUP($A1830,MAGAZZINO!$B$2:$M$100000,3,FALSE)</f>
        <v/>
      </c>
      <c r="D1830" s="3">
        <f>+VLOOKUP($A1830,MAGAZZINO!$B$2:$M$100000,4,FALSE)</f>
        <v/>
      </c>
      <c r="E1830" s="3">
        <f>+VLOOKUP($A1830,MAGAZZINO!$B$2:$M$100000,5,FALSE)</f>
        <v/>
      </c>
      <c r="F1830" s="3">
        <f>+VLOOKUP($A1830,MAGAZZINO!$B$2:$M$100000,6,FALSE)</f>
        <v/>
      </c>
      <c r="G1830" s="3">
        <f>+VLOOKUP($A1830,MAGAZZINO!$B$2:$M$100000,7,FALSE)</f>
        <v/>
      </c>
      <c r="H1830" s="3">
        <f>+VLOOKUP($A1830,MAGAZZINO!$B$2:$M$100000,8,FALSE)</f>
        <v/>
      </c>
      <c r="I1830" s="3">
        <f>+VLOOKUP($A1830,MAGAZZINO!$B$2:$M$100000,9,FALSE)</f>
        <v/>
      </c>
      <c r="J1830" s="3">
        <f>+VLOOKUP($A1830,MAGAZZINO!$B$2:$M$100000,10,FALSE)</f>
        <v/>
      </c>
      <c r="K1830" s="3">
        <f>+VLOOKUP($A1830,MAGAZZINO!$B$2:$M$100000,11,FALSE)</f>
        <v/>
      </c>
      <c r="L1830" s="5">
        <f>+VLOOKUP($A1830,MAGAZZINO!$B$2:$M$100000,12,FALSE)</f>
        <v/>
      </c>
      <c r="M1830" s="47" t="n"/>
      <c r="N1830" s="54" t="n"/>
      <c r="O1830" s="3" t="n"/>
      <c r="P1830" s="149" t="n"/>
      <c r="Q1830" s="150" t="n"/>
      <c r="R1830" s="150" t="n"/>
      <c r="S1830" s="151" t="n"/>
    </row>
    <row r="1831" ht="36" customHeight="1">
      <c r="A1831" s="46" t="n">
        <v>4161</v>
      </c>
      <c r="B1831" s="4">
        <f>+VLOOKUP($A1831,MAGAZZINO!$B$2:$M$100000,2,FALSE)</f>
        <v/>
      </c>
      <c r="C1831" s="29">
        <f>+VLOOKUP($A1831,MAGAZZINO!$B$2:$M$100000,3,FALSE)</f>
        <v/>
      </c>
      <c r="D1831" s="3">
        <f>+VLOOKUP($A1831,MAGAZZINO!$B$2:$M$100000,4,FALSE)</f>
        <v/>
      </c>
      <c r="E1831" s="3">
        <f>+VLOOKUP($A1831,MAGAZZINO!$B$2:$M$100000,5,FALSE)</f>
        <v/>
      </c>
      <c r="F1831" s="3">
        <f>+VLOOKUP($A1831,MAGAZZINO!$B$2:$M$100000,6,FALSE)</f>
        <v/>
      </c>
      <c r="G1831" s="3">
        <f>+VLOOKUP($A1831,MAGAZZINO!$B$2:$M$100000,7,FALSE)</f>
        <v/>
      </c>
      <c r="H1831" s="3">
        <f>+VLOOKUP($A1831,MAGAZZINO!$B$2:$M$100000,8,FALSE)</f>
        <v/>
      </c>
      <c r="I1831" s="3">
        <f>+VLOOKUP($A1831,MAGAZZINO!$B$2:$M$100000,9,FALSE)</f>
        <v/>
      </c>
      <c r="J1831" s="3">
        <f>+VLOOKUP($A1831,MAGAZZINO!$B$2:$M$100000,10,FALSE)</f>
        <v/>
      </c>
      <c r="K1831" s="3">
        <f>+VLOOKUP($A1831,MAGAZZINO!$B$2:$M$100000,11,FALSE)</f>
        <v/>
      </c>
      <c r="L1831" s="5">
        <f>+VLOOKUP($A1831,MAGAZZINO!$B$2:$M$100000,12,FALSE)</f>
        <v/>
      </c>
      <c r="M1831" s="47" t="n"/>
      <c r="N1831" s="54" t="n"/>
      <c r="O1831" s="3" t="n"/>
      <c r="P1831" s="149" t="n"/>
      <c r="Q1831" s="150" t="n"/>
      <c r="R1831" s="150" t="n"/>
      <c r="S1831" s="151" t="n"/>
    </row>
    <row r="1832" ht="36" customHeight="1">
      <c r="A1832" s="46" t="n">
        <v>4162</v>
      </c>
      <c r="B1832" s="4">
        <f>+VLOOKUP($A1832,MAGAZZINO!$B$2:$M$100000,2,FALSE)</f>
        <v/>
      </c>
      <c r="C1832" s="29">
        <f>+VLOOKUP($A1832,MAGAZZINO!$B$2:$M$100000,3,FALSE)</f>
        <v/>
      </c>
      <c r="D1832" s="3">
        <f>+VLOOKUP($A1832,MAGAZZINO!$B$2:$M$100000,4,FALSE)</f>
        <v/>
      </c>
      <c r="E1832" s="3">
        <f>+VLOOKUP($A1832,MAGAZZINO!$B$2:$M$100000,5,FALSE)</f>
        <v/>
      </c>
      <c r="F1832" s="3">
        <f>+VLOOKUP($A1832,MAGAZZINO!$B$2:$M$100000,6,FALSE)</f>
        <v/>
      </c>
      <c r="G1832" s="3">
        <f>+VLOOKUP($A1832,MAGAZZINO!$B$2:$M$100000,7,FALSE)</f>
        <v/>
      </c>
      <c r="H1832" s="3">
        <f>+VLOOKUP($A1832,MAGAZZINO!$B$2:$M$100000,8,FALSE)</f>
        <v/>
      </c>
      <c r="I1832" s="3">
        <f>+VLOOKUP($A1832,MAGAZZINO!$B$2:$M$100000,9,FALSE)</f>
        <v/>
      </c>
      <c r="J1832" s="3">
        <f>+VLOOKUP($A1832,MAGAZZINO!$B$2:$M$100000,10,FALSE)</f>
        <v/>
      </c>
      <c r="K1832" s="3">
        <f>+VLOOKUP($A1832,MAGAZZINO!$B$2:$M$100000,11,FALSE)</f>
        <v/>
      </c>
      <c r="L1832" s="5">
        <f>+VLOOKUP($A1832,MAGAZZINO!$B$2:$M$100000,12,FALSE)</f>
        <v/>
      </c>
      <c r="M1832" s="47" t="n"/>
      <c r="N1832" s="54" t="n"/>
      <c r="O1832" s="3" t="n"/>
      <c r="P1832" s="149" t="n"/>
      <c r="Q1832" s="150" t="n"/>
      <c r="R1832" s="150" t="n"/>
      <c r="S1832" s="151" t="n"/>
    </row>
    <row r="1833" ht="36" customHeight="1">
      <c r="A1833" s="46" t="n">
        <v>4163</v>
      </c>
      <c r="B1833" s="4">
        <f>+VLOOKUP($A1833,MAGAZZINO!$B$2:$M$100000,2,FALSE)</f>
        <v/>
      </c>
      <c r="C1833" s="29">
        <f>+VLOOKUP($A1833,MAGAZZINO!$B$2:$M$100000,3,FALSE)</f>
        <v/>
      </c>
      <c r="D1833" s="3">
        <f>+VLOOKUP($A1833,MAGAZZINO!$B$2:$M$100000,4,FALSE)</f>
        <v/>
      </c>
      <c r="E1833" s="3">
        <f>+VLOOKUP($A1833,MAGAZZINO!$B$2:$M$100000,5,FALSE)</f>
        <v/>
      </c>
      <c r="F1833" s="3">
        <f>+VLOOKUP($A1833,MAGAZZINO!$B$2:$M$100000,6,FALSE)</f>
        <v/>
      </c>
      <c r="G1833" s="3">
        <f>+VLOOKUP($A1833,MAGAZZINO!$B$2:$M$100000,7,FALSE)</f>
        <v/>
      </c>
      <c r="H1833" s="3">
        <f>+VLOOKUP($A1833,MAGAZZINO!$B$2:$M$100000,8,FALSE)</f>
        <v/>
      </c>
      <c r="I1833" s="3">
        <f>+VLOOKUP($A1833,MAGAZZINO!$B$2:$M$100000,9,FALSE)</f>
        <v/>
      </c>
      <c r="J1833" s="3">
        <f>+VLOOKUP($A1833,MAGAZZINO!$B$2:$M$100000,10,FALSE)</f>
        <v/>
      </c>
      <c r="K1833" s="3">
        <f>+VLOOKUP($A1833,MAGAZZINO!$B$2:$M$100000,11,FALSE)</f>
        <v/>
      </c>
      <c r="L1833" s="5">
        <f>+VLOOKUP($A1833,MAGAZZINO!$B$2:$M$100000,12,FALSE)</f>
        <v/>
      </c>
      <c r="M1833" s="47" t="n"/>
      <c r="N1833" s="54" t="n"/>
      <c r="O1833" s="3" t="n"/>
      <c r="P1833" s="149" t="n"/>
      <c r="Q1833" s="150" t="n"/>
      <c r="R1833" s="150" t="n"/>
      <c r="S1833" s="151" t="n"/>
    </row>
    <row r="1834" ht="36" customHeight="1">
      <c r="A1834" s="46" t="n">
        <v>4164</v>
      </c>
      <c r="B1834" s="4">
        <f>+VLOOKUP($A1834,MAGAZZINO!$B$2:$M$100000,2,FALSE)</f>
        <v/>
      </c>
      <c r="C1834" s="29">
        <f>+VLOOKUP($A1834,MAGAZZINO!$B$2:$M$100000,3,FALSE)</f>
        <v/>
      </c>
      <c r="D1834" s="3">
        <f>+VLOOKUP($A1834,MAGAZZINO!$B$2:$M$100000,4,FALSE)</f>
        <v/>
      </c>
      <c r="E1834" s="3">
        <f>+VLOOKUP($A1834,MAGAZZINO!$B$2:$M$100000,5,FALSE)</f>
        <v/>
      </c>
      <c r="F1834" s="3">
        <f>+VLOOKUP($A1834,MAGAZZINO!$B$2:$M$100000,6,FALSE)</f>
        <v/>
      </c>
      <c r="G1834" s="3">
        <f>+VLOOKUP($A1834,MAGAZZINO!$B$2:$M$100000,7,FALSE)</f>
        <v/>
      </c>
      <c r="H1834" s="3">
        <f>+VLOOKUP($A1834,MAGAZZINO!$B$2:$M$100000,8,FALSE)</f>
        <v/>
      </c>
      <c r="I1834" s="3">
        <f>+VLOOKUP($A1834,MAGAZZINO!$B$2:$M$100000,9,FALSE)</f>
        <v/>
      </c>
      <c r="J1834" s="3">
        <f>+VLOOKUP($A1834,MAGAZZINO!$B$2:$M$100000,10,FALSE)</f>
        <v/>
      </c>
      <c r="K1834" s="3">
        <f>+VLOOKUP($A1834,MAGAZZINO!$B$2:$M$100000,11,FALSE)</f>
        <v/>
      </c>
      <c r="L1834" s="5">
        <f>+VLOOKUP($A1834,MAGAZZINO!$B$2:$M$100000,12,FALSE)</f>
        <v/>
      </c>
      <c r="M1834" s="47" t="n"/>
      <c r="N1834" s="54" t="n"/>
      <c r="O1834" s="3" t="n"/>
      <c r="P1834" s="149" t="n"/>
      <c r="Q1834" s="150" t="n"/>
      <c r="R1834" s="150" t="n"/>
      <c r="S1834" s="151" t="n"/>
    </row>
    <row r="1835" ht="36" customHeight="1">
      <c r="A1835" s="46" t="n">
        <v>4165</v>
      </c>
      <c r="B1835" s="4">
        <f>+VLOOKUP($A1835,MAGAZZINO!$B$2:$M$100000,2,FALSE)</f>
        <v/>
      </c>
      <c r="C1835" s="29">
        <f>+VLOOKUP($A1835,MAGAZZINO!$B$2:$M$100000,3,FALSE)</f>
        <v/>
      </c>
      <c r="D1835" s="3">
        <f>+VLOOKUP($A1835,MAGAZZINO!$B$2:$M$100000,4,FALSE)</f>
        <v/>
      </c>
      <c r="E1835" s="3">
        <f>+VLOOKUP($A1835,MAGAZZINO!$B$2:$M$100000,5,FALSE)</f>
        <v/>
      </c>
      <c r="F1835" s="3">
        <f>+VLOOKUP($A1835,MAGAZZINO!$B$2:$M$100000,6,FALSE)</f>
        <v/>
      </c>
      <c r="G1835" s="3">
        <f>+VLOOKUP($A1835,MAGAZZINO!$B$2:$M$100000,7,FALSE)</f>
        <v/>
      </c>
      <c r="H1835" s="3">
        <f>+VLOOKUP($A1835,MAGAZZINO!$B$2:$M$100000,8,FALSE)</f>
        <v/>
      </c>
      <c r="I1835" s="3">
        <f>+VLOOKUP($A1835,MAGAZZINO!$B$2:$M$100000,9,FALSE)</f>
        <v/>
      </c>
      <c r="J1835" s="3">
        <f>+VLOOKUP($A1835,MAGAZZINO!$B$2:$M$100000,10,FALSE)</f>
        <v/>
      </c>
      <c r="K1835" s="3">
        <f>+VLOOKUP($A1835,MAGAZZINO!$B$2:$M$100000,11,FALSE)</f>
        <v/>
      </c>
      <c r="L1835" s="5">
        <f>+VLOOKUP($A1835,MAGAZZINO!$B$2:$M$100000,12,FALSE)</f>
        <v/>
      </c>
      <c r="M1835" s="47" t="n"/>
      <c r="N1835" s="54" t="n"/>
      <c r="O1835" s="3" t="n"/>
      <c r="P1835" s="149" t="n"/>
      <c r="Q1835" s="150" t="n"/>
      <c r="R1835" s="150" t="n"/>
      <c r="S1835" s="151" t="n"/>
    </row>
    <row r="1836" ht="36" customHeight="1">
      <c r="A1836" s="46" t="n">
        <v>4166</v>
      </c>
      <c r="B1836" s="4">
        <f>+VLOOKUP($A1836,MAGAZZINO!$B$2:$M$100000,2,FALSE)</f>
        <v/>
      </c>
      <c r="C1836" s="29">
        <f>+VLOOKUP($A1836,MAGAZZINO!$B$2:$M$100000,3,FALSE)</f>
        <v/>
      </c>
      <c r="D1836" s="3">
        <f>+VLOOKUP($A1836,MAGAZZINO!$B$2:$M$100000,4,FALSE)</f>
        <v/>
      </c>
      <c r="E1836" s="3">
        <f>+VLOOKUP($A1836,MAGAZZINO!$B$2:$M$100000,5,FALSE)</f>
        <v/>
      </c>
      <c r="F1836" s="3">
        <f>+VLOOKUP($A1836,MAGAZZINO!$B$2:$M$100000,6,FALSE)</f>
        <v/>
      </c>
      <c r="G1836" s="3">
        <f>+VLOOKUP($A1836,MAGAZZINO!$B$2:$M$100000,7,FALSE)</f>
        <v/>
      </c>
      <c r="H1836" s="3">
        <f>+VLOOKUP($A1836,MAGAZZINO!$B$2:$M$100000,8,FALSE)</f>
        <v/>
      </c>
      <c r="I1836" s="3">
        <f>+VLOOKUP($A1836,MAGAZZINO!$B$2:$M$100000,9,FALSE)</f>
        <v/>
      </c>
      <c r="J1836" s="3">
        <f>+VLOOKUP($A1836,MAGAZZINO!$B$2:$M$100000,10,FALSE)</f>
        <v/>
      </c>
      <c r="K1836" s="3">
        <f>+VLOOKUP($A1836,MAGAZZINO!$B$2:$M$100000,11,FALSE)</f>
        <v/>
      </c>
      <c r="L1836" s="5">
        <f>+VLOOKUP($A1836,MAGAZZINO!$B$2:$M$100000,12,FALSE)</f>
        <v/>
      </c>
      <c r="M1836" s="47" t="n"/>
      <c r="N1836" s="54" t="n"/>
      <c r="O1836" s="3" t="n"/>
      <c r="P1836" s="149" t="n"/>
      <c r="Q1836" s="150" t="n"/>
      <c r="R1836" s="150" t="n"/>
      <c r="S1836" s="151" t="n"/>
    </row>
    <row r="1837" ht="36" customHeight="1">
      <c r="A1837" s="46" t="n">
        <v>4167</v>
      </c>
      <c r="B1837" s="4">
        <f>+VLOOKUP($A1837,MAGAZZINO!$B$2:$M$100000,2,FALSE)</f>
        <v/>
      </c>
      <c r="C1837" s="29">
        <f>+VLOOKUP($A1837,MAGAZZINO!$B$2:$M$100000,3,FALSE)</f>
        <v/>
      </c>
      <c r="D1837" s="3">
        <f>+VLOOKUP($A1837,MAGAZZINO!$B$2:$M$100000,4,FALSE)</f>
        <v/>
      </c>
      <c r="E1837" s="3">
        <f>+VLOOKUP($A1837,MAGAZZINO!$B$2:$M$100000,5,FALSE)</f>
        <v/>
      </c>
      <c r="F1837" s="3">
        <f>+VLOOKUP($A1837,MAGAZZINO!$B$2:$M$100000,6,FALSE)</f>
        <v/>
      </c>
      <c r="G1837" s="3">
        <f>+VLOOKUP($A1837,MAGAZZINO!$B$2:$M$100000,7,FALSE)</f>
        <v/>
      </c>
      <c r="H1837" s="3">
        <f>+VLOOKUP($A1837,MAGAZZINO!$B$2:$M$100000,8,FALSE)</f>
        <v/>
      </c>
      <c r="I1837" s="3">
        <f>+VLOOKUP($A1837,MAGAZZINO!$B$2:$M$100000,9,FALSE)</f>
        <v/>
      </c>
      <c r="J1837" s="3">
        <f>+VLOOKUP($A1837,MAGAZZINO!$B$2:$M$100000,10,FALSE)</f>
        <v/>
      </c>
      <c r="K1837" s="3">
        <f>+VLOOKUP($A1837,MAGAZZINO!$B$2:$M$100000,11,FALSE)</f>
        <v/>
      </c>
      <c r="L1837" s="5">
        <f>+VLOOKUP($A1837,MAGAZZINO!$B$2:$M$100000,12,FALSE)</f>
        <v/>
      </c>
      <c r="M1837" s="47" t="n"/>
      <c r="N1837" s="54" t="n"/>
      <c r="O1837" s="3" t="n"/>
      <c r="P1837" s="149" t="n"/>
      <c r="Q1837" s="150" t="n"/>
      <c r="R1837" s="150" t="n"/>
      <c r="S1837" s="151" t="n"/>
    </row>
    <row r="1838" ht="36" customHeight="1">
      <c r="A1838" s="46" t="n">
        <v>4168</v>
      </c>
      <c r="B1838" s="4">
        <f>+VLOOKUP($A1838,MAGAZZINO!$B$2:$M$100000,2,FALSE)</f>
        <v/>
      </c>
      <c r="C1838" s="29">
        <f>+VLOOKUP($A1838,MAGAZZINO!$B$2:$M$100000,3,FALSE)</f>
        <v/>
      </c>
      <c r="D1838" s="3">
        <f>+VLOOKUP($A1838,MAGAZZINO!$B$2:$M$100000,4,FALSE)</f>
        <v/>
      </c>
      <c r="E1838" s="3">
        <f>+VLOOKUP($A1838,MAGAZZINO!$B$2:$M$100000,5,FALSE)</f>
        <v/>
      </c>
      <c r="F1838" s="3">
        <f>+VLOOKUP($A1838,MAGAZZINO!$B$2:$M$100000,6,FALSE)</f>
        <v/>
      </c>
      <c r="G1838" s="3">
        <f>+VLOOKUP($A1838,MAGAZZINO!$B$2:$M$100000,7,FALSE)</f>
        <v/>
      </c>
      <c r="H1838" s="3">
        <f>+VLOOKUP($A1838,MAGAZZINO!$B$2:$M$100000,8,FALSE)</f>
        <v/>
      </c>
      <c r="I1838" s="3">
        <f>+VLOOKUP($A1838,MAGAZZINO!$B$2:$M$100000,9,FALSE)</f>
        <v/>
      </c>
      <c r="J1838" s="3">
        <f>+VLOOKUP($A1838,MAGAZZINO!$B$2:$M$100000,10,FALSE)</f>
        <v/>
      </c>
      <c r="K1838" s="3">
        <f>+VLOOKUP($A1838,MAGAZZINO!$B$2:$M$100000,11,FALSE)</f>
        <v/>
      </c>
      <c r="L1838" s="5">
        <f>+VLOOKUP($A1838,MAGAZZINO!$B$2:$M$100000,12,FALSE)</f>
        <v/>
      </c>
      <c r="M1838" s="47" t="n"/>
      <c r="N1838" s="54" t="n"/>
      <c r="O1838" s="3" t="n"/>
      <c r="P1838" s="149" t="n"/>
      <c r="Q1838" s="150" t="n"/>
      <c r="R1838" s="150" t="n"/>
      <c r="S1838" s="151" t="n"/>
    </row>
    <row r="1839" ht="36" customHeight="1">
      <c r="A1839" s="46" t="n">
        <v>4169</v>
      </c>
      <c r="B1839" s="4">
        <f>+VLOOKUP($A1839,MAGAZZINO!$B$2:$M$100000,2,FALSE)</f>
        <v/>
      </c>
      <c r="C1839" s="29">
        <f>+VLOOKUP($A1839,MAGAZZINO!$B$2:$M$100000,3,FALSE)</f>
        <v/>
      </c>
      <c r="D1839" s="3">
        <f>+VLOOKUP($A1839,MAGAZZINO!$B$2:$M$100000,4,FALSE)</f>
        <v/>
      </c>
      <c r="E1839" s="3">
        <f>+VLOOKUP($A1839,MAGAZZINO!$B$2:$M$100000,5,FALSE)</f>
        <v/>
      </c>
      <c r="F1839" s="3">
        <f>+VLOOKUP($A1839,MAGAZZINO!$B$2:$M$100000,6,FALSE)</f>
        <v/>
      </c>
      <c r="G1839" s="3">
        <f>+VLOOKUP($A1839,MAGAZZINO!$B$2:$M$100000,7,FALSE)</f>
        <v/>
      </c>
      <c r="H1839" s="3">
        <f>+VLOOKUP($A1839,MAGAZZINO!$B$2:$M$100000,8,FALSE)</f>
        <v/>
      </c>
      <c r="I1839" s="3">
        <f>+VLOOKUP($A1839,MAGAZZINO!$B$2:$M$100000,9,FALSE)</f>
        <v/>
      </c>
      <c r="J1839" s="3">
        <f>+VLOOKUP($A1839,MAGAZZINO!$B$2:$M$100000,10,FALSE)</f>
        <v/>
      </c>
      <c r="K1839" s="3">
        <f>+VLOOKUP($A1839,MAGAZZINO!$B$2:$M$100000,11,FALSE)</f>
        <v/>
      </c>
      <c r="L1839" s="5">
        <f>+VLOOKUP($A1839,MAGAZZINO!$B$2:$M$100000,12,FALSE)</f>
        <v/>
      </c>
      <c r="M1839" s="47" t="n"/>
      <c r="N1839" s="54" t="n"/>
      <c r="O1839" s="3" t="n"/>
      <c r="P1839" s="149" t="n"/>
      <c r="Q1839" s="150" t="n"/>
      <c r="R1839" s="150" t="n"/>
      <c r="S1839" s="151" t="n"/>
    </row>
    <row r="1840" ht="36" customHeight="1">
      <c r="A1840" s="46" t="n">
        <v>4170</v>
      </c>
      <c r="B1840" s="4">
        <f>+VLOOKUP($A1840,MAGAZZINO!$B$2:$M$100000,2,FALSE)</f>
        <v/>
      </c>
      <c r="C1840" s="29">
        <f>+VLOOKUP($A1840,MAGAZZINO!$B$2:$M$100000,3,FALSE)</f>
        <v/>
      </c>
      <c r="D1840" s="3">
        <f>+VLOOKUP($A1840,MAGAZZINO!$B$2:$M$100000,4,FALSE)</f>
        <v/>
      </c>
      <c r="E1840" s="3">
        <f>+VLOOKUP($A1840,MAGAZZINO!$B$2:$M$100000,5,FALSE)</f>
        <v/>
      </c>
      <c r="F1840" s="3">
        <f>+VLOOKUP($A1840,MAGAZZINO!$B$2:$M$100000,6,FALSE)</f>
        <v/>
      </c>
      <c r="G1840" s="3">
        <f>+VLOOKUP($A1840,MAGAZZINO!$B$2:$M$100000,7,FALSE)</f>
        <v/>
      </c>
      <c r="H1840" s="3">
        <f>+VLOOKUP($A1840,MAGAZZINO!$B$2:$M$100000,8,FALSE)</f>
        <v/>
      </c>
      <c r="I1840" s="3">
        <f>+VLOOKUP($A1840,MAGAZZINO!$B$2:$M$100000,9,FALSE)</f>
        <v/>
      </c>
      <c r="J1840" s="3">
        <f>+VLOOKUP($A1840,MAGAZZINO!$B$2:$M$100000,10,FALSE)</f>
        <v/>
      </c>
      <c r="K1840" s="3">
        <f>+VLOOKUP($A1840,MAGAZZINO!$B$2:$M$100000,11,FALSE)</f>
        <v/>
      </c>
      <c r="L1840" s="5">
        <f>+VLOOKUP($A1840,MAGAZZINO!$B$2:$M$100000,12,FALSE)</f>
        <v/>
      </c>
      <c r="M1840" s="47" t="n"/>
      <c r="N1840" s="54" t="n"/>
      <c r="O1840" s="3" t="n"/>
      <c r="P1840" s="149" t="n"/>
      <c r="Q1840" s="150" t="n"/>
      <c r="R1840" s="150" t="n"/>
      <c r="S1840" s="151" t="n"/>
    </row>
    <row r="1841" ht="36" customHeight="1">
      <c r="A1841" s="46" t="n">
        <v>4171</v>
      </c>
      <c r="B1841" s="4">
        <f>+VLOOKUP($A1841,MAGAZZINO!$B$2:$M$100000,2,FALSE)</f>
        <v/>
      </c>
      <c r="C1841" s="29">
        <f>+VLOOKUP($A1841,MAGAZZINO!$B$2:$M$100000,3,FALSE)</f>
        <v/>
      </c>
      <c r="D1841" s="3">
        <f>+VLOOKUP($A1841,MAGAZZINO!$B$2:$M$100000,4,FALSE)</f>
        <v/>
      </c>
      <c r="E1841" s="3">
        <f>+VLOOKUP($A1841,MAGAZZINO!$B$2:$M$100000,5,FALSE)</f>
        <v/>
      </c>
      <c r="F1841" s="3">
        <f>+VLOOKUP($A1841,MAGAZZINO!$B$2:$M$100000,6,FALSE)</f>
        <v/>
      </c>
      <c r="G1841" s="3">
        <f>+VLOOKUP($A1841,MAGAZZINO!$B$2:$M$100000,7,FALSE)</f>
        <v/>
      </c>
      <c r="H1841" s="3">
        <f>+VLOOKUP($A1841,MAGAZZINO!$B$2:$M$100000,8,FALSE)</f>
        <v/>
      </c>
      <c r="I1841" s="3">
        <f>+VLOOKUP($A1841,MAGAZZINO!$B$2:$M$100000,9,FALSE)</f>
        <v/>
      </c>
      <c r="J1841" s="3">
        <f>+VLOOKUP($A1841,MAGAZZINO!$B$2:$M$100000,10,FALSE)</f>
        <v/>
      </c>
      <c r="K1841" s="3">
        <f>+VLOOKUP($A1841,MAGAZZINO!$B$2:$M$100000,11,FALSE)</f>
        <v/>
      </c>
      <c r="L1841" s="5">
        <f>+VLOOKUP($A1841,MAGAZZINO!$B$2:$M$100000,12,FALSE)</f>
        <v/>
      </c>
      <c r="M1841" s="47" t="n"/>
      <c r="N1841" s="54" t="n"/>
      <c r="O1841" s="3" t="n"/>
      <c r="P1841" s="149" t="n"/>
      <c r="Q1841" s="150" t="n"/>
      <c r="R1841" s="150" t="n"/>
      <c r="S1841" s="151" t="n"/>
    </row>
    <row r="1842" ht="36" customHeight="1">
      <c r="A1842" s="46" t="n">
        <v>4172</v>
      </c>
      <c r="B1842" s="4">
        <f>+VLOOKUP($A1842,MAGAZZINO!$B$2:$M$100000,2,FALSE)</f>
        <v/>
      </c>
      <c r="C1842" s="29">
        <f>+VLOOKUP($A1842,MAGAZZINO!$B$2:$M$100000,3,FALSE)</f>
        <v/>
      </c>
      <c r="D1842" s="3">
        <f>+VLOOKUP($A1842,MAGAZZINO!$B$2:$M$100000,4,FALSE)</f>
        <v/>
      </c>
      <c r="E1842" s="3">
        <f>+VLOOKUP($A1842,MAGAZZINO!$B$2:$M$100000,5,FALSE)</f>
        <v/>
      </c>
      <c r="F1842" s="3">
        <f>+VLOOKUP($A1842,MAGAZZINO!$B$2:$M$100000,6,FALSE)</f>
        <v/>
      </c>
      <c r="G1842" s="3">
        <f>+VLOOKUP($A1842,MAGAZZINO!$B$2:$M$100000,7,FALSE)</f>
        <v/>
      </c>
      <c r="H1842" s="3">
        <f>+VLOOKUP($A1842,MAGAZZINO!$B$2:$M$100000,8,FALSE)</f>
        <v/>
      </c>
      <c r="I1842" s="3">
        <f>+VLOOKUP($A1842,MAGAZZINO!$B$2:$M$100000,9,FALSE)</f>
        <v/>
      </c>
      <c r="J1842" s="3">
        <f>+VLOOKUP($A1842,MAGAZZINO!$B$2:$M$100000,10,FALSE)</f>
        <v/>
      </c>
      <c r="K1842" s="3">
        <f>+VLOOKUP($A1842,MAGAZZINO!$B$2:$M$100000,11,FALSE)</f>
        <v/>
      </c>
      <c r="L1842" s="5">
        <f>+VLOOKUP($A1842,MAGAZZINO!$B$2:$M$100000,12,FALSE)</f>
        <v/>
      </c>
      <c r="M1842" s="47" t="n"/>
      <c r="N1842" s="54" t="n"/>
      <c r="O1842" s="3" t="n"/>
      <c r="P1842" s="149" t="n"/>
      <c r="Q1842" s="150" t="n"/>
      <c r="R1842" s="150" t="n"/>
      <c r="S1842" s="151" t="n"/>
    </row>
    <row r="1843" ht="36" customHeight="1">
      <c r="A1843" s="46" t="n">
        <v>4173</v>
      </c>
      <c r="B1843" s="4">
        <f>+VLOOKUP($A1843,MAGAZZINO!$B$2:$M$100000,2,FALSE)</f>
        <v/>
      </c>
      <c r="C1843" s="29">
        <f>+VLOOKUP($A1843,MAGAZZINO!$B$2:$M$100000,3,FALSE)</f>
        <v/>
      </c>
      <c r="D1843" s="3">
        <f>+VLOOKUP($A1843,MAGAZZINO!$B$2:$M$100000,4,FALSE)</f>
        <v/>
      </c>
      <c r="E1843" s="3">
        <f>+VLOOKUP($A1843,MAGAZZINO!$B$2:$M$100000,5,FALSE)</f>
        <v/>
      </c>
      <c r="F1843" s="3">
        <f>+VLOOKUP($A1843,MAGAZZINO!$B$2:$M$100000,6,FALSE)</f>
        <v/>
      </c>
      <c r="G1843" s="3">
        <f>+VLOOKUP($A1843,MAGAZZINO!$B$2:$M$100000,7,FALSE)</f>
        <v/>
      </c>
      <c r="H1843" s="3">
        <f>+VLOOKUP($A1843,MAGAZZINO!$B$2:$M$100000,8,FALSE)</f>
        <v/>
      </c>
      <c r="I1843" s="3">
        <f>+VLOOKUP($A1843,MAGAZZINO!$B$2:$M$100000,9,FALSE)</f>
        <v/>
      </c>
      <c r="J1843" s="3">
        <f>+VLOOKUP($A1843,MAGAZZINO!$B$2:$M$100000,10,FALSE)</f>
        <v/>
      </c>
      <c r="K1843" s="3">
        <f>+VLOOKUP($A1843,MAGAZZINO!$B$2:$M$100000,11,FALSE)</f>
        <v/>
      </c>
      <c r="L1843" s="5">
        <f>+VLOOKUP($A1843,MAGAZZINO!$B$2:$M$100000,12,FALSE)</f>
        <v/>
      </c>
      <c r="M1843" s="47" t="n"/>
      <c r="N1843" s="54" t="n"/>
      <c r="O1843" s="3" t="n"/>
      <c r="P1843" s="149" t="n"/>
      <c r="Q1843" s="150" t="n"/>
      <c r="R1843" s="150" t="n"/>
      <c r="S1843" s="151" t="n"/>
    </row>
    <row r="1844" ht="36" customHeight="1">
      <c r="A1844" s="46" t="n">
        <v>4174</v>
      </c>
      <c r="B1844" s="4">
        <f>+VLOOKUP($A1844,MAGAZZINO!$B$2:$M$100000,2,FALSE)</f>
        <v/>
      </c>
      <c r="C1844" s="29">
        <f>+VLOOKUP($A1844,MAGAZZINO!$B$2:$M$100000,3,FALSE)</f>
        <v/>
      </c>
      <c r="D1844" s="3">
        <f>+VLOOKUP($A1844,MAGAZZINO!$B$2:$M$100000,4,FALSE)</f>
        <v/>
      </c>
      <c r="E1844" s="3">
        <f>+VLOOKUP($A1844,MAGAZZINO!$B$2:$M$100000,5,FALSE)</f>
        <v/>
      </c>
      <c r="F1844" s="3">
        <f>+VLOOKUP($A1844,MAGAZZINO!$B$2:$M$100000,6,FALSE)</f>
        <v/>
      </c>
      <c r="G1844" s="3">
        <f>+VLOOKUP($A1844,MAGAZZINO!$B$2:$M$100000,7,FALSE)</f>
        <v/>
      </c>
      <c r="H1844" s="3">
        <f>+VLOOKUP($A1844,MAGAZZINO!$B$2:$M$100000,8,FALSE)</f>
        <v/>
      </c>
      <c r="I1844" s="3">
        <f>+VLOOKUP($A1844,MAGAZZINO!$B$2:$M$100000,9,FALSE)</f>
        <v/>
      </c>
      <c r="J1844" s="3">
        <f>+VLOOKUP($A1844,MAGAZZINO!$B$2:$M$100000,10,FALSE)</f>
        <v/>
      </c>
      <c r="K1844" s="3">
        <f>+VLOOKUP($A1844,MAGAZZINO!$B$2:$M$100000,11,FALSE)</f>
        <v/>
      </c>
      <c r="L1844" s="5">
        <f>+VLOOKUP($A1844,MAGAZZINO!$B$2:$M$100000,12,FALSE)</f>
        <v/>
      </c>
      <c r="M1844" s="47" t="n"/>
      <c r="N1844" s="54" t="n"/>
      <c r="O1844" s="3" t="n"/>
      <c r="P1844" s="149" t="n"/>
      <c r="Q1844" s="150" t="n"/>
      <c r="R1844" s="150" t="n"/>
      <c r="S1844" s="151" t="n"/>
    </row>
    <row r="1845" ht="36" customHeight="1">
      <c r="A1845" s="46" t="n">
        <v>4175</v>
      </c>
      <c r="B1845" s="4">
        <f>+VLOOKUP($A1845,MAGAZZINO!$B$2:$M$100000,2,FALSE)</f>
        <v/>
      </c>
      <c r="C1845" s="29">
        <f>+VLOOKUP($A1845,MAGAZZINO!$B$2:$M$100000,3,FALSE)</f>
        <v/>
      </c>
      <c r="D1845" s="3">
        <f>+VLOOKUP($A1845,MAGAZZINO!$B$2:$M$100000,4,FALSE)</f>
        <v/>
      </c>
      <c r="E1845" s="3">
        <f>+VLOOKUP($A1845,MAGAZZINO!$B$2:$M$100000,5,FALSE)</f>
        <v/>
      </c>
      <c r="F1845" s="3">
        <f>+VLOOKUP($A1845,MAGAZZINO!$B$2:$M$100000,6,FALSE)</f>
        <v/>
      </c>
      <c r="G1845" s="3">
        <f>+VLOOKUP($A1845,MAGAZZINO!$B$2:$M$100000,7,FALSE)</f>
        <v/>
      </c>
      <c r="H1845" s="3">
        <f>+VLOOKUP($A1845,MAGAZZINO!$B$2:$M$100000,8,FALSE)</f>
        <v/>
      </c>
      <c r="I1845" s="3">
        <f>+VLOOKUP($A1845,MAGAZZINO!$B$2:$M$100000,9,FALSE)</f>
        <v/>
      </c>
      <c r="J1845" s="3">
        <f>+VLOOKUP($A1845,MAGAZZINO!$B$2:$M$100000,10,FALSE)</f>
        <v/>
      </c>
      <c r="K1845" s="3">
        <f>+VLOOKUP($A1845,MAGAZZINO!$B$2:$M$100000,11,FALSE)</f>
        <v/>
      </c>
      <c r="L1845" s="5">
        <f>+VLOOKUP($A1845,MAGAZZINO!$B$2:$M$100000,12,FALSE)</f>
        <v/>
      </c>
      <c r="M1845" s="47" t="n"/>
      <c r="N1845" s="54" t="n"/>
      <c r="O1845" s="3" t="n"/>
      <c r="P1845" s="149" t="n"/>
      <c r="Q1845" s="150" t="n"/>
      <c r="R1845" s="150" t="n"/>
      <c r="S1845" s="151" t="n"/>
    </row>
    <row r="1846" ht="36" customHeight="1">
      <c r="A1846" s="46" t="n">
        <v>4176</v>
      </c>
      <c r="B1846" s="4">
        <f>+VLOOKUP($A1846,MAGAZZINO!$B$2:$M$100000,2,FALSE)</f>
        <v/>
      </c>
      <c r="C1846" s="29">
        <f>+VLOOKUP($A1846,MAGAZZINO!$B$2:$M$100000,3,FALSE)</f>
        <v/>
      </c>
      <c r="D1846" s="3">
        <f>+VLOOKUP($A1846,MAGAZZINO!$B$2:$M$100000,4,FALSE)</f>
        <v/>
      </c>
      <c r="E1846" s="3">
        <f>+VLOOKUP($A1846,MAGAZZINO!$B$2:$M$100000,5,FALSE)</f>
        <v/>
      </c>
      <c r="F1846" s="3">
        <f>+VLOOKUP($A1846,MAGAZZINO!$B$2:$M$100000,6,FALSE)</f>
        <v/>
      </c>
      <c r="G1846" s="3">
        <f>+VLOOKUP($A1846,MAGAZZINO!$B$2:$M$100000,7,FALSE)</f>
        <v/>
      </c>
      <c r="H1846" s="3">
        <f>+VLOOKUP($A1846,MAGAZZINO!$B$2:$M$100000,8,FALSE)</f>
        <v/>
      </c>
      <c r="I1846" s="3">
        <f>+VLOOKUP($A1846,MAGAZZINO!$B$2:$M$100000,9,FALSE)</f>
        <v/>
      </c>
      <c r="J1846" s="3">
        <f>+VLOOKUP($A1846,MAGAZZINO!$B$2:$M$100000,10,FALSE)</f>
        <v/>
      </c>
      <c r="K1846" s="3">
        <f>+VLOOKUP($A1846,MAGAZZINO!$B$2:$M$100000,11,FALSE)</f>
        <v/>
      </c>
      <c r="L1846" s="5">
        <f>+VLOOKUP($A1846,MAGAZZINO!$B$2:$M$100000,12,FALSE)</f>
        <v/>
      </c>
      <c r="M1846" s="47" t="n"/>
      <c r="N1846" s="54" t="n"/>
      <c r="O1846" s="3" t="n"/>
      <c r="P1846" s="149" t="n"/>
      <c r="Q1846" s="150" t="n"/>
      <c r="R1846" s="150" t="n"/>
      <c r="S1846" s="151" t="n"/>
    </row>
    <row r="1847" ht="36" customHeight="1">
      <c r="A1847" s="46" t="n">
        <v>4177</v>
      </c>
      <c r="B1847" s="4">
        <f>+VLOOKUP($A1847,MAGAZZINO!$B$2:$M$100000,2,FALSE)</f>
        <v/>
      </c>
      <c r="C1847" s="29">
        <f>+VLOOKUP($A1847,MAGAZZINO!$B$2:$M$100000,3,FALSE)</f>
        <v/>
      </c>
      <c r="D1847" s="3">
        <f>+VLOOKUP($A1847,MAGAZZINO!$B$2:$M$100000,4,FALSE)</f>
        <v/>
      </c>
      <c r="E1847" s="3">
        <f>+VLOOKUP($A1847,MAGAZZINO!$B$2:$M$100000,5,FALSE)</f>
        <v/>
      </c>
      <c r="F1847" s="3">
        <f>+VLOOKUP($A1847,MAGAZZINO!$B$2:$M$100000,6,FALSE)</f>
        <v/>
      </c>
      <c r="G1847" s="3">
        <f>+VLOOKUP($A1847,MAGAZZINO!$B$2:$M$100000,7,FALSE)</f>
        <v/>
      </c>
      <c r="H1847" s="3">
        <f>+VLOOKUP($A1847,MAGAZZINO!$B$2:$M$100000,8,FALSE)</f>
        <v/>
      </c>
      <c r="I1847" s="3">
        <f>+VLOOKUP($A1847,MAGAZZINO!$B$2:$M$100000,9,FALSE)</f>
        <v/>
      </c>
      <c r="J1847" s="3">
        <f>+VLOOKUP($A1847,MAGAZZINO!$B$2:$M$100000,10,FALSE)</f>
        <v/>
      </c>
      <c r="K1847" s="3">
        <f>+VLOOKUP($A1847,MAGAZZINO!$B$2:$M$100000,11,FALSE)</f>
        <v/>
      </c>
      <c r="L1847" s="5">
        <f>+VLOOKUP($A1847,MAGAZZINO!$B$2:$M$100000,12,FALSE)</f>
        <v/>
      </c>
      <c r="M1847" s="47" t="n"/>
      <c r="N1847" s="54" t="n"/>
      <c r="O1847" s="3" t="n"/>
      <c r="P1847" s="149" t="n"/>
      <c r="Q1847" s="150" t="n"/>
      <c r="R1847" s="150" t="n"/>
      <c r="S1847" s="151" t="n"/>
    </row>
    <row r="1848" ht="36" customHeight="1">
      <c r="A1848" s="46" t="n">
        <v>4178</v>
      </c>
      <c r="B1848" s="4">
        <f>+VLOOKUP($A1848,MAGAZZINO!$B$2:$M$100000,2,FALSE)</f>
        <v/>
      </c>
      <c r="C1848" s="29">
        <f>+VLOOKUP($A1848,MAGAZZINO!$B$2:$M$100000,3,FALSE)</f>
        <v/>
      </c>
      <c r="D1848" s="3">
        <f>+VLOOKUP($A1848,MAGAZZINO!$B$2:$M$100000,4,FALSE)</f>
        <v/>
      </c>
      <c r="E1848" s="3">
        <f>+VLOOKUP($A1848,MAGAZZINO!$B$2:$M$100000,5,FALSE)</f>
        <v/>
      </c>
      <c r="F1848" s="3">
        <f>+VLOOKUP($A1848,MAGAZZINO!$B$2:$M$100000,6,FALSE)</f>
        <v/>
      </c>
      <c r="G1848" s="3">
        <f>+VLOOKUP($A1848,MAGAZZINO!$B$2:$M$100000,7,FALSE)</f>
        <v/>
      </c>
      <c r="H1848" s="3">
        <f>+VLOOKUP($A1848,MAGAZZINO!$B$2:$M$100000,8,FALSE)</f>
        <v/>
      </c>
      <c r="I1848" s="3">
        <f>+VLOOKUP($A1848,MAGAZZINO!$B$2:$M$100000,9,FALSE)</f>
        <v/>
      </c>
      <c r="J1848" s="3">
        <f>+VLOOKUP($A1848,MAGAZZINO!$B$2:$M$100000,10,FALSE)</f>
        <v/>
      </c>
      <c r="K1848" s="3">
        <f>+VLOOKUP($A1848,MAGAZZINO!$B$2:$M$100000,11,FALSE)</f>
        <v/>
      </c>
      <c r="L1848" s="5">
        <f>+VLOOKUP($A1848,MAGAZZINO!$B$2:$M$100000,12,FALSE)</f>
        <v/>
      </c>
      <c r="M1848" s="47" t="n"/>
      <c r="N1848" s="54" t="n"/>
      <c r="O1848" s="3" t="n"/>
      <c r="P1848" s="149" t="n"/>
      <c r="Q1848" s="150" t="n"/>
      <c r="R1848" s="150" t="n"/>
      <c r="S1848" s="151" t="n"/>
    </row>
    <row r="1849" ht="36" customHeight="1">
      <c r="A1849" s="46" t="n">
        <v>4179</v>
      </c>
      <c r="B1849" s="4">
        <f>+VLOOKUP($A1849,MAGAZZINO!$B$2:$M$100000,2,FALSE)</f>
        <v/>
      </c>
      <c r="C1849" s="29">
        <f>+VLOOKUP($A1849,MAGAZZINO!$B$2:$M$100000,3,FALSE)</f>
        <v/>
      </c>
      <c r="D1849" s="3">
        <f>+VLOOKUP($A1849,MAGAZZINO!$B$2:$M$100000,4,FALSE)</f>
        <v/>
      </c>
      <c r="E1849" s="3">
        <f>+VLOOKUP($A1849,MAGAZZINO!$B$2:$M$100000,5,FALSE)</f>
        <v/>
      </c>
      <c r="F1849" s="3">
        <f>+VLOOKUP($A1849,MAGAZZINO!$B$2:$M$100000,6,FALSE)</f>
        <v/>
      </c>
      <c r="G1849" s="3">
        <f>+VLOOKUP($A1849,MAGAZZINO!$B$2:$M$100000,7,FALSE)</f>
        <v/>
      </c>
      <c r="H1849" s="3">
        <f>+VLOOKUP($A1849,MAGAZZINO!$B$2:$M$100000,8,FALSE)</f>
        <v/>
      </c>
      <c r="I1849" s="3">
        <f>+VLOOKUP($A1849,MAGAZZINO!$B$2:$M$100000,9,FALSE)</f>
        <v/>
      </c>
      <c r="J1849" s="3">
        <f>+VLOOKUP($A1849,MAGAZZINO!$B$2:$M$100000,10,FALSE)</f>
        <v/>
      </c>
      <c r="K1849" s="3">
        <f>+VLOOKUP($A1849,MAGAZZINO!$B$2:$M$100000,11,FALSE)</f>
        <v/>
      </c>
      <c r="L1849" s="5">
        <f>+VLOOKUP($A1849,MAGAZZINO!$B$2:$M$100000,12,FALSE)</f>
        <v/>
      </c>
      <c r="M1849" s="47" t="n"/>
      <c r="N1849" s="54" t="n"/>
      <c r="O1849" s="3" t="n"/>
      <c r="P1849" s="149" t="n"/>
      <c r="Q1849" s="150" t="n"/>
      <c r="R1849" s="150" t="n"/>
      <c r="S1849" s="151" t="n"/>
    </row>
    <row r="1850" ht="36" customHeight="1">
      <c r="A1850" s="46" t="n">
        <v>4180</v>
      </c>
      <c r="B1850" s="4">
        <f>+VLOOKUP($A1850,MAGAZZINO!$B$2:$M$100000,2,FALSE)</f>
        <v/>
      </c>
      <c r="C1850" s="29">
        <f>+VLOOKUP($A1850,MAGAZZINO!$B$2:$M$100000,3,FALSE)</f>
        <v/>
      </c>
      <c r="D1850" s="3">
        <f>+VLOOKUP($A1850,MAGAZZINO!$B$2:$M$100000,4,FALSE)</f>
        <v/>
      </c>
      <c r="E1850" s="3">
        <f>+VLOOKUP($A1850,MAGAZZINO!$B$2:$M$100000,5,FALSE)</f>
        <v/>
      </c>
      <c r="F1850" s="3">
        <f>+VLOOKUP($A1850,MAGAZZINO!$B$2:$M$100000,6,FALSE)</f>
        <v/>
      </c>
      <c r="G1850" s="3">
        <f>+VLOOKUP($A1850,MAGAZZINO!$B$2:$M$100000,7,FALSE)</f>
        <v/>
      </c>
      <c r="H1850" s="3">
        <f>+VLOOKUP($A1850,MAGAZZINO!$B$2:$M$100000,8,FALSE)</f>
        <v/>
      </c>
      <c r="I1850" s="3">
        <f>+VLOOKUP($A1850,MAGAZZINO!$B$2:$M$100000,9,FALSE)</f>
        <v/>
      </c>
      <c r="J1850" s="3">
        <f>+VLOOKUP($A1850,MAGAZZINO!$B$2:$M$100000,10,FALSE)</f>
        <v/>
      </c>
      <c r="K1850" s="3">
        <f>+VLOOKUP($A1850,MAGAZZINO!$B$2:$M$100000,11,FALSE)</f>
        <v/>
      </c>
      <c r="L1850" s="5">
        <f>+VLOOKUP($A1850,MAGAZZINO!$B$2:$M$100000,12,FALSE)</f>
        <v/>
      </c>
      <c r="M1850" s="47" t="n"/>
      <c r="N1850" s="54" t="n"/>
      <c r="O1850" s="3" t="n"/>
      <c r="P1850" s="149" t="n"/>
      <c r="Q1850" s="150" t="n"/>
      <c r="R1850" s="150" t="n"/>
      <c r="S1850" s="151" t="n"/>
    </row>
    <row r="1851" ht="36" customHeight="1">
      <c r="A1851" s="46" t="n">
        <v>4181</v>
      </c>
      <c r="B1851" s="4">
        <f>+VLOOKUP($A1851,MAGAZZINO!$B$2:$M$100000,2,FALSE)</f>
        <v/>
      </c>
      <c r="C1851" s="29">
        <f>+VLOOKUP($A1851,MAGAZZINO!$B$2:$M$100000,3,FALSE)</f>
        <v/>
      </c>
      <c r="D1851" s="3">
        <f>+VLOOKUP($A1851,MAGAZZINO!$B$2:$M$100000,4,FALSE)</f>
        <v/>
      </c>
      <c r="E1851" s="3">
        <f>+VLOOKUP($A1851,MAGAZZINO!$B$2:$M$100000,5,FALSE)</f>
        <v/>
      </c>
      <c r="F1851" s="3">
        <f>+VLOOKUP($A1851,MAGAZZINO!$B$2:$M$100000,6,FALSE)</f>
        <v/>
      </c>
      <c r="G1851" s="3">
        <f>+VLOOKUP($A1851,MAGAZZINO!$B$2:$M$100000,7,FALSE)</f>
        <v/>
      </c>
      <c r="H1851" s="3">
        <f>+VLOOKUP($A1851,MAGAZZINO!$B$2:$M$100000,8,FALSE)</f>
        <v/>
      </c>
      <c r="I1851" s="3">
        <f>+VLOOKUP($A1851,MAGAZZINO!$B$2:$M$100000,9,FALSE)</f>
        <v/>
      </c>
      <c r="J1851" s="3">
        <f>+VLOOKUP($A1851,MAGAZZINO!$B$2:$M$100000,10,FALSE)</f>
        <v/>
      </c>
      <c r="K1851" s="3">
        <f>+VLOOKUP($A1851,MAGAZZINO!$B$2:$M$100000,11,FALSE)</f>
        <v/>
      </c>
      <c r="L1851" s="5">
        <f>+VLOOKUP($A1851,MAGAZZINO!$B$2:$M$100000,12,FALSE)</f>
        <v/>
      </c>
      <c r="M1851" s="47" t="n"/>
      <c r="N1851" s="54" t="n"/>
      <c r="O1851" s="3" t="n"/>
      <c r="P1851" s="149" t="n"/>
      <c r="Q1851" s="150" t="n"/>
      <c r="R1851" s="150" t="n"/>
      <c r="S1851" s="151" t="n"/>
    </row>
    <row r="1852" ht="36" customHeight="1">
      <c r="A1852" s="46" t="n">
        <v>4182</v>
      </c>
      <c r="B1852" s="4">
        <f>+VLOOKUP($A1852,MAGAZZINO!$B$2:$M$100000,2,FALSE)</f>
        <v/>
      </c>
      <c r="C1852" s="29">
        <f>+VLOOKUP($A1852,MAGAZZINO!$B$2:$M$100000,3,FALSE)</f>
        <v/>
      </c>
      <c r="D1852" s="3">
        <f>+VLOOKUP($A1852,MAGAZZINO!$B$2:$M$100000,4,FALSE)</f>
        <v/>
      </c>
      <c r="E1852" s="3">
        <f>+VLOOKUP($A1852,MAGAZZINO!$B$2:$M$100000,5,FALSE)</f>
        <v/>
      </c>
      <c r="F1852" s="3">
        <f>+VLOOKUP($A1852,MAGAZZINO!$B$2:$M$100000,6,FALSE)</f>
        <v/>
      </c>
      <c r="G1852" s="3">
        <f>+VLOOKUP($A1852,MAGAZZINO!$B$2:$M$100000,7,FALSE)</f>
        <v/>
      </c>
      <c r="H1852" s="3">
        <f>+VLOOKUP($A1852,MAGAZZINO!$B$2:$M$100000,8,FALSE)</f>
        <v/>
      </c>
      <c r="I1852" s="3">
        <f>+VLOOKUP($A1852,MAGAZZINO!$B$2:$M$100000,9,FALSE)</f>
        <v/>
      </c>
      <c r="J1852" s="3">
        <f>+VLOOKUP($A1852,MAGAZZINO!$B$2:$M$100000,10,FALSE)</f>
        <v/>
      </c>
      <c r="K1852" s="3">
        <f>+VLOOKUP($A1852,MAGAZZINO!$B$2:$M$100000,11,FALSE)</f>
        <v/>
      </c>
      <c r="L1852" s="5">
        <f>+VLOOKUP($A1852,MAGAZZINO!$B$2:$M$100000,12,FALSE)</f>
        <v/>
      </c>
      <c r="M1852" s="47" t="n"/>
      <c r="N1852" s="54" t="n"/>
      <c r="O1852" s="3" t="n"/>
      <c r="P1852" s="149" t="n"/>
      <c r="Q1852" s="150" t="n"/>
      <c r="R1852" s="150" t="n"/>
      <c r="S1852" s="151" t="n"/>
    </row>
    <row r="1853" ht="36" customHeight="1">
      <c r="A1853" s="46" t="n">
        <v>4183</v>
      </c>
      <c r="B1853" s="4">
        <f>+VLOOKUP($A1853,MAGAZZINO!$B$2:$M$100000,2,FALSE)</f>
        <v/>
      </c>
      <c r="C1853" s="29">
        <f>+VLOOKUP($A1853,MAGAZZINO!$B$2:$M$100000,3,FALSE)</f>
        <v/>
      </c>
      <c r="D1853" s="3">
        <f>+VLOOKUP($A1853,MAGAZZINO!$B$2:$M$100000,4,FALSE)</f>
        <v/>
      </c>
      <c r="E1853" s="3">
        <f>+VLOOKUP($A1853,MAGAZZINO!$B$2:$M$100000,5,FALSE)</f>
        <v/>
      </c>
      <c r="F1853" s="3">
        <f>+VLOOKUP($A1853,MAGAZZINO!$B$2:$M$100000,6,FALSE)</f>
        <v/>
      </c>
      <c r="G1853" s="3">
        <f>+VLOOKUP($A1853,MAGAZZINO!$B$2:$M$100000,7,FALSE)</f>
        <v/>
      </c>
      <c r="H1853" s="3">
        <f>+VLOOKUP($A1853,MAGAZZINO!$B$2:$M$100000,8,FALSE)</f>
        <v/>
      </c>
      <c r="I1853" s="3">
        <f>+VLOOKUP($A1853,MAGAZZINO!$B$2:$M$100000,9,FALSE)</f>
        <v/>
      </c>
      <c r="J1853" s="3">
        <f>+VLOOKUP($A1853,MAGAZZINO!$B$2:$M$100000,10,FALSE)</f>
        <v/>
      </c>
      <c r="K1853" s="3">
        <f>+VLOOKUP($A1853,MAGAZZINO!$B$2:$M$100000,11,FALSE)</f>
        <v/>
      </c>
      <c r="L1853" s="5">
        <f>+VLOOKUP($A1853,MAGAZZINO!$B$2:$M$100000,12,FALSE)</f>
        <v/>
      </c>
      <c r="M1853" s="47" t="n"/>
      <c r="N1853" s="54" t="n"/>
      <c r="O1853" s="3" t="n"/>
      <c r="P1853" s="149" t="n"/>
      <c r="Q1853" s="150" t="n"/>
      <c r="R1853" s="150" t="n"/>
      <c r="S1853" s="151" t="n"/>
    </row>
    <row r="1854" ht="36" customHeight="1">
      <c r="A1854" s="46" t="n">
        <v>4184</v>
      </c>
      <c r="B1854" s="4">
        <f>+VLOOKUP($A1854,MAGAZZINO!$B$2:$M$100000,2,FALSE)</f>
        <v/>
      </c>
      <c r="C1854" s="29">
        <f>+VLOOKUP($A1854,MAGAZZINO!$B$2:$M$100000,3,FALSE)</f>
        <v/>
      </c>
      <c r="D1854" s="3">
        <f>+VLOOKUP($A1854,MAGAZZINO!$B$2:$M$100000,4,FALSE)</f>
        <v/>
      </c>
      <c r="E1854" s="3">
        <f>+VLOOKUP($A1854,MAGAZZINO!$B$2:$M$100000,5,FALSE)</f>
        <v/>
      </c>
      <c r="F1854" s="3">
        <f>+VLOOKUP($A1854,MAGAZZINO!$B$2:$M$100000,6,FALSE)</f>
        <v/>
      </c>
      <c r="G1854" s="3">
        <f>+VLOOKUP($A1854,MAGAZZINO!$B$2:$M$100000,7,FALSE)</f>
        <v/>
      </c>
      <c r="H1854" s="3">
        <f>+VLOOKUP($A1854,MAGAZZINO!$B$2:$M$100000,8,FALSE)</f>
        <v/>
      </c>
      <c r="I1854" s="3">
        <f>+VLOOKUP($A1854,MAGAZZINO!$B$2:$M$100000,9,FALSE)</f>
        <v/>
      </c>
      <c r="J1854" s="3">
        <f>+VLOOKUP($A1854,MAGAZZINO!$B$2:$M$100000,10,FALSE)</f>
        <v/>
      </c>
      <c r="K1854" s="3">
        <f>+VLOOKUP($A1854,MAGAZZINO!$B$2:$M$100000,11,FALSE)</f>
        <v/>
      </c>
      <c r="L1854" s="5">
        <f>+VLOOKUP($A1854,MAGAZZINO!$B$2:$M$100000,12,FALSE)</f>
        <v/>
      </c>
      <c r="M1854" s="47" t="n"/>
      <c r="N1854" s="54" t="n"/>
      <c r="O1854" s="3" t="n"/>
      <c r="P1854" s="149" t="n"/>
      <c r="Q1854" s="150" t="n"/>
      <c r="R1854" s="150" t="n"/>
      <c r="S1854" s="151" t="n"/>
    </row>
    <row r="1855" ht="36" customHeight="1">
      <c r="A1855" s="46" t="n">
        <v>4185</v>
      </c>
      <c r="B1855" s="4">
        <f>+VLOOKUP($A1855,MAGAZZINO!$B$2:$M$100000,2,FALSE)</f>
        <v/>
      </c>
      <c r="C1855" s="29">
        <f>+VLOOKUP($A1855,MAGAZZINO!$B$2:$M$100000,3,FALSE)</f>
        <v/>
      </c>
      <c r="D1855" s="3">
        <f>+VLOOKUP($A1855,MAGAZZINO!$B$2:$M$100000,4,FALSE)</f>
        <v/>
      </c>
      <c r="E1855" s="3">
        <f>+VLOOKUP($A1855,MAGAZZINO!$B$2:$M$100000,5,FALSE)</f>
        <v/>
      </c>
      <c r="F1855" s="3">
        <f>+VLOOKUP($A1855,MAGAZZINO!$B$2:$M$100000,6,FALSE)</f>
        <v/>
      </c>
      <c r="G1855" s="3">
        <f>+VLOOKUP($A1855,MAGAZZINO!$B$2:$M$100000,7,FALSE)</f>
        <v/>
      </c>
      <c r="H1855" s="3">
        <f>+VLOOKUP($A1855,MAGAZZINO!$B$2:$M$100000,8,FALSE)</f>
        <v/>
      </c>
      <c r="I1855" s="3">
        <f>+VLOOKUP($A1855,MAGAZZINO!$B$2:$M$100000,9,FALSE)</f>
        <v/>
      </c>
      <c r="J1855" s="3">
        <f>+VLOOKUP($A1855,MAGAZZINO!$B$2:$M$100000,10,FALSE)</f>
        <v/>
      </c>
      <c r="K1855" s="3">
        <f>+VLOOKUP($A1855,MAGAZZINO!$B$2:$M$100000,11,FALSE)</f>
        <v/>
      </c>
      <c r="L1855" s="5">
        <f>+VLOOKUP($A1855,MAGAZZINO!$B$2:$M$100000,12,FALSE)</f>
        <v/>
      </c>
      <c r="M1855" s="47" t="n"/>
      <c r="N1855" s="54" t="n"/>
      <c r="O1855" s="3" t="n"/>
      <c r="P1855" s="149" t="n"/>
      <c r="Q1855" s="150" t="n"/>
      <c r="R1855" s="150" t="n"/>
      <c r="S1855" s="151" t="n"/>
    </row>
    <row r="1856" ht="36" customHeight="1">
      <c r="A1856" s="46" t="n">
        <v>4186</v>
      </c>
      <c r="B1856" s="4">
        <f>+VLOOKUP($A1856,MAGAZZINO!$B$2:$M$100000,2,FALSE)</f>
        <v/>
      </c>
      <c r="C1856" s="29">
        <f>+VLOOKUP($A1856,MAGAZZINO!$B$2:$M$100000,3,FALSE)</f>
        <v/>
      </c>
      <c r="D1856" s="3">
        <f>+VLOOKUP($A1856,MAGAZZINO!$B$2:$M$100000,4,FALSE)</f>
        <v/>
      </c>
      <c r="E1856" s="3">
        <f>+VLOOKUP($A1856,MAGAZZINO!$B$2:$M$100000,5,FALSE)</f>
        <v/>
      </c>
      <c r="F1856" s="3">
        <f>+VLOOKUP($A1856,MAGAZZINO!$B$2:$M$100000,6,FALSE)</f>
        <v/>
      </c>
      <c r="G1856" s="3">
        <f>+VLOOKUP($A1856,MAGAZZINO!$B$2:$M$100000,7,FALSE)</f>
        <v/>
      </c>
      <c r="H1856" s="3">
        <f>+VLOOKUP($A1856,MAGAZZINO!$B$2:$M$100000,8,FALSE)</f>
        <v/>
      </c>
      <c r="I1856" s="3">
        <f>+VLOOKUP($A1856,MAGAZZINO!$B$2:$M$100000,9,FALSE)</f>
        <v/>
      </c>
      <c r="J1856" s="3">
        <f>+VLOOKUP($A1856,MAGAZZINO!$B$2:$M$100000,10,FALSE)</f>
        <v/>
      </c>
      <c r="K1856" s="3">
        <f>+VLOOKUP($A1856,MAGAZZINO!$B$2:$M$100000,11,FALSE)</f>
        <v/>
      </c>
      <c r="L1856" s="5">
        <f>+VLOOKUP($A1856,MAGAZZINO!$B$2:$M$100000,12,FALSE)</f>
        <v/>
      </c>
      <c r="M1856" s="47" t="n"/>
      <c r="N1856" s="54" t="n"/>
      <c r="O1856" s="3" t="n"/>
      <c r="P1856" s="149" t="n"/>
      <c r="Q1856" s="150" t="n"/>
      <c r="R1856" s="150" t="n"/>
      <c r="S1856" s="151" t="n"/>
    </row>
    <row r="1857" ht="36" customHeight="1">
      <c r="A1857" s="46" t="n">
        <v>4187</v>
      </c>
      <c r="B1857" s="4">
        <f>+VLOOKUP($A1857,MAGAZZINO!$B$2:$M$100000,2,FALSE)</f>
        <v/>
      </c>
      <c r="C1857" s="29">
        <f>+VLOOKUP($A1857,MAGAZZINO!$B$2:$M$100000,3,FALSE)</f>
        <v/>
      </c>
      <c r="D1857" s="3">
        <f>+VLOOKUP($A1857,MAGAZZINO!$B$2:$M$100000,4,FALSE)</f>
        <v/>
      </c>
      <c r="E1857" s="3">
        <f>+VLOOKUP($A1857,MAGAZZINO!$B$2:$M$100000,5,FALSE)</f>
        <v/>
      </c>
      <c r="F1857" s="3">
        <f>+VLOOKUP($A1857,MAGAZZINO!$B$2:$M$100000,6,FALSE)</f>
        <v/>
      </c>
      <c r="G1857" s="3">
        <f>+VLOOKUP($A1857,MAGAZZINO!$B$2:$M$100000,7,FALSE)</f>
        <v/>
      </c>
      <c r="H1857" s="3">
        <f>+VLOOKUP($A1857,MAGAZZINO!$B$2:$M$100000,8,FALSE)</f>
        <v/>
      </c>
      <c r="I1857" s="3">
        <f>+VLOOKUP($A1857,MAGAZZINO!$B$2:$M$100000,9,FALSE)</f>
        <v/>
      </c>
      <c r="J1857" s="3">
        <f>+VLOOKUP($A1857,MAGAZZINO!$B$2:$M$100000,10,FALSE)</f>
        <v/>
      </c>
      <c r="K1857" s="3">
        <f>+VLOOKUP($A1857,MAGAZZINO!$B$2:$M$100000,11,FALSE)</f>
        <v/>
      </c>
      <c r="L1857" s="5">
        <f>+VLOOKUP($A1857,MAGAZZINO!$B$2:$M$100000,12,FALSE)</f>
        <v/>
      </c>
      <c r="M1857" s="47" t="n"/>
      <c r="N1857" s="54" t="n"/>
      <c r="O1857" s="3" t="n"/>
      <c r="P1857" s="149" t="n"/>
      <c r="Q1857" s="150" t="n"/>
      <c r="R1857" s="150" t="n"/>
      <c r="S1857" s="151" t="n"/>
    </row>
    <row r="1858" ht="36" customHeight="1">
      <c r="A1858" s="46" t="n">
        <v>4188</v>
      </c>
      <c r="B1858" s="4">
        <f>+VLOOKUP($A1858,MAGAZZINO!$B$2:$M$100000,2,FALSE)</f>
        <v/>
      </c>
      <c r="C1858" s="29">
        <f>+VLOOKUP($A1858,MAGAZZINO!$B$2:$M$100000,3,FALSE)</f>
        <v/>
      </c>
      <c r="D1858" s="3">
        <f>+VLOOKUP($A1858,MAGAZZINO!$B$2:$M$100000,4,FALSE)</f>
        <v/>
      </c>
      <c r="E1858" s="3">
        <f>+VLOOKUP($A1858,MAGAZZINO!$B$2:$M$100000,5,FALSE)</f>
        <v/>
      </c>
      <c r="F1858" s="3">
        <f>+VLOOKUP($A1858,MAGAZZINO!$B$2:$M$100000,6,FALSE)</f>
        <v/>
      </c>
      <c r="G1858" s="3">
        <f>+VLOOKUP($A1858,MAGAZZINO!$B$2:$M$100000,7,FALSE)</f>
        <v/>
      </c>
      <c r="H1858" s="3">
        <f>+VLOOKUP($A1858,MAGAZZINO!$B$2:$M$100000,8,FALSE)</f>
        <v/>
      </c>
      <c r="I1858" s="3">
        <f>+VLOOKUP($A1858,MAGAZZINO!$B$2:$M$100000,9,FALSE)</f>
        <v/>
      </c>
      <c r="J1858" s="3">
        <f>+VLOOKUP($A1858,MAGAZZINO!$B$2:$M$100000,10,FALSE)</f>
        <v/>
      </c>
      <c r="K1858" s="3">
        <f>+VLOOKUP($A1858,MAGAZZINO!$B$2:$M$100000,11,FALSE)</f>
        <v/>
      </c>
      <c r="L1858" s="5">
        <f>+VLOOKUP($A1858,MAGAZZINO!$B$2:$M$100000,12,FALSE)</f>
        <v/>
      </c>
      <c r="M1858" s="47" t="n"/>
      <c r="N1858" s="54" t="n"/>
      <c r="O1858" s="3" t="n"/>
      <c r="P1858" s="149" t="n"/>
      <c r="Q1858" s="150" t="n"/>
      <c r="R1858" s="150" t="n"/>
      <c r="S1858" s="151" t="n"/>
    </row>
    <row r="1859" ht="36" customHeight="1">
      <c r="A1859" s="46" t="n">
        <v>4189</v>
      </c>
      <c r="B1859" s="4">
        <f>+VLOOKUP($A1859,MAGAZZINO!$B$2:$M$100000,2,FALSE)</f>
        <v/>
      </c>
      <c r="C1859" s="29">
        <f>+VLOOKUP($A1859,MAGAZZINO!$B$2:$M$100000,3,FALSE)</f>
        <v/>
      </c>
      <c r="D1859" s="3">
        <f>+VLOOKUP($A1859,MAGAZZINO!$B$2:$M$100000,4,FALSE)</f>
        <v/>
      </c>
      <c r="E1859" s="3">
        <f>+VLOOKUP($A1859,MAGAZZINO!$B$2:$M$100000,5,FALSE)</f>
        <v/>
      </c>
      <c r="F1859" s="3">
        <f>+VLOOKUP($A1859,MAGAZZINO!$B$2:$M$100000,6,FALSE)</f>
        <v/>
      </c>
      <c r="G1859" s="3">
        <f>+VLOOKUP($A1859,MAGAZZINO!$B$2:$M$100000,7,FALSE)</f>
        <v/>
      </c>
      <c r="H1859" s="3">
        <f>+VLOOKUP($A1859,MAGAZZINO!$B$2:$M$100000,8,FALSE)</f>
        <v/>
      </c>
      <c r="I1859" s="3">
        <f>+VLOOKUP($A1859,MAGAZZINO!$B$2:$M$100000,9,FALSE)</f>
        <v/>
      </c>
      <c r="J1859" s="3">
        <f>+VLOOKUP($A1859,MAGAZZINO!$B$2:$M$100000,10,FALSE)</f>
        <v/>
      </c>
      <c r="K1859" s="3">
        <f>+VLOOKUP($A1859,MAGAZZINO!$B$2:$M$100000,11,FALSE)</f>
        <v/>
      </c>
      <c r="L1859" s="5">
        <f>+VLOOKUP($A1859,MAGAZZINO!$B$2:$M$100000,12,FALSE)</f>
        <v/>
      </c>
      <c r="M1859" s="47" t="n"/>
      <c r="N1859" s="54" t="n"/>
      <c r="O1859" s="3" t="n"/>
      <c r="P1859" s="149" t="n"/>
      <c r="Q1859" s="150" t="n"/>
      <c r="R1859" s="150" t="n"/>
      <c r="S1859" s="151" t="n"/>
    </row>
    <row r="1860" ht="36" customHeight="1">
      <c r="A1860" s="46" t="n">
        <v>4190</v>
      </c>
      <c r="B1860" s="4">
        <f>+VLOOKUP($A1860,MAGAZZINO!$B$2:$M$100000,2,FALSE)</f>
        <v/>
      </c>
      <c r="C1860" s="29">
        <f>+VLOOKUP($A1860,MAGAZZINO!$B$2:$M$100000,3,FALSE)</f>
        <v/>
      </c>
      <c r="D1860" s="3">
        <f>+VLOOKUP($A1860,MAGAZZINO!$B$2:$M$100000,4,FALSE)</f>
        <v/>
      </c>
      <c r="E1860" s="3">
        <f>+VLOOKUP($A1860,MAGAZZINO!$B$2:$M$100000,5,FALSE)</f>
        <v/>
      </c>
      <c r="F1860" s="3">
        <f>+VLOOKUP($A1860,MAGAZZINO!$B$2:$M$100000,6,FALSE)</f>
        <v/>
      </c>
      <c r="G1860" s="3">
        <f>+VLOOKUP($A1860,MAGAZZINO!$B$2:$M$100000,7,FALSE)</f>
        <v/>
      </c>
      <c r="H1860" s="3">
        <f>+VLOOKUP($A1860,MAGAZZINO!$B$2:$M$100000,8,FALSE)</f>
        <v/>
      </c>
      <c r="I1860" s="3">
        <f>+VLOOKUP($A1860,MAGAZZINO!$B$2:$M$100000,9,FALSE)</f>
        <v/>
      </c>
      <c r="J1860" s="3">
        <f>+VLOOKUP($A1860,MAGAZZINO!$B$2:$M$100000,10,FALSE)</f>
        <v/>
      </c>
      <c r="K1860" s="3">
        <f>+VLOOKUP($A1860,MAGAZZINO!$B$2:$M$100000,11,FALSE)</f>
        <v/>
      </c>
      <c r="L1860" s="5">
        <f>+VLOOKUP($A1860,MAGAZZINO!$B$2:$M$100000,12,FALSE)</f>
        <v/>
      </c>
      <c r="M1860" s="47" t="n"/>
      <c r="N1860" s="54" t="n"/>
      <c r="O1860" s="3" t="n"/>
      <c r="P1860" s="149" t="n"/>
      <c r="Q1860" s="150" t="n"/>
      <c r="R1860" s="150" t="n"/>
      <c r="S1860" s="151" t="n"/>
    </row>
    <row r="1861" ht="36" customHeight="1">
      <c r="A1861" s="46" t="n">
        <v>4191</v>
      </c>
      <c r="B1861" s="4">
        <f>+VLOOKUP($A1861,MAGAZZINO!$B$2:$M$100000,2,FALSE)</f>
        <v/>
      </c>
      <c r="C1861" s="29">
        <f>+VLOOKUP($A1861,MAGAZZINO!$B$2:$M$100000,3,FALSE)</f>
        <v/>
      </c>
      <c r="D1861" s="3">
        <f>+VLOOKUP($A1861,MAGAZZINO!$B$2:$M$100000,4,FALSE)</f>
        <v/>
      </c>
      <c r="E1861" s="3">
        <f>+VLOOKUP($A1861,MAGAZZINO!$B$2:$M$100000,5,FALSE)</f>
        <v/>
      </c>
      <c r="F1861" s="3">
        <f>+VLOOKUP($A1861,MAGAZZINO!$B$2:$M$100000,6,FALSE)</f>
        <v/>
      </c>
      <c r="G1861" s="3">
        <f>+VLOOKUP($A1861,MAGAZZINO!$B$2:$M$100000,7,FALSE)</f>
        <v/>
      </c>
      <c r="H1861" s="3">
        <f>+VLOOKUP($A1861,MAGAZZINO!$B$2:$M$100000,8,FALSE)</f>
        <v/>
      </c>
      <c r="I1861" s="3">
        <f>+VLOOKUP($A1861,MAGAZZINO!$B$2:$M$100000,9,FALSE)</f>
        <v/>
      </c>
      <c r="J1861" s="3">
        <f>+VLOOKUP($A1861,MAGAZZINO!$B$2:$M$100000,10,FALSE)</f>
        <v/>
      </c>
      <c r="K1861" s="3">
        <f>+VLOOKUP($A1861,MAGAZZINO!$B$2:$M$100000,11,FALSE)</f>
        <v/>
      </c>
      <c r="L1861" s="5">
        <f>+VLOOKUP($A1861,MAGAZZINO!$B$2:$M$100000,12,FALSE)</f>
        <v/>
      </c>
      <c r="M1861" s="47" t="n"/>
      <c r="N1861" s="54" t="n"/>
      <c r="O1861" s="3" t="n"/>
      <c r="P1861" s="149" t="n"/>
      <c r="Q1861" s="150" t="n"/>
      <c r="R1861" s="150" t="n"/>
      <c r="S1861" s="151" t="n"/>
    </row>
    <row r="1862" ht="36" customHeight="1">
      <c r="A1862" s="46" t="n">
        <v>4192</v>
      </c>
      <c r="B1862" s="4">
        <f>+VLOOKUP($A1862,MAGAZZINO!$B$2:$M$100000,2,FALSE)</f>
        <v/>
      </c>
      <c r="C1862" s="29">
        <f>+VLOOKUP($A1862,MAGAZZINO!$B$2:$M$100000,3,FALSE)</f>
        <v/>
      </c>
      <c r="D1862" s="3">
        <f>+VLOOKUP($A1862,MAGAZZINO!$B$2:$M$100000,4,FALSE)</f>
        <v/>
      </c>
      <c r="E1862" s="3">
        <f>+VLOOKUP($A1862,MAGAZZINO!$B$2:$M$100000,5,FALSE)</f>
        <v/>
      </c>
      <c r="F1862" s="3">
        <f>+VLOOKUP($A1862,MAGAZZINO!$B$2:$M$100000,6,FALSE)</f>
        <v/>
      </c>
      <c r="G1862" s="3">
        <f>+VLOOKUP($A1862,MAGAZZINO!$B$2:$M$100000,7,FALSE)</f>
        <v/>
      </c>
      <c r="H1862" s="3">
        <f>+VLOOKUP($A1862,MAGAZZINO!$B$2:$M$100000,8,FALSE)</f>
        <v/>
      </c>
      <c r="I1862" s="3">
        <f>+VLOOKUP($A1862,MAGAZZINO!$B$2:$M$100000,9,FALSE)</f>
        <v/>
      </c>
      <c r="J1862" s="3">
        <f>+VLOOKUP($A1862,MAGAZZINO!$B$2:$M$100000,10,FALSE)</f>
        <v/>
      </c>
      <c r="K1862" s="3">
        <f>+VLOOKUP($A1862,MAGAZZINO!$B$2:$M$100000,11,FALSE)</f>
        <v/>
      </c>
      <c r="L1862" s="5">
        <f>+VLOOKUP($A1862,MAGAZZINO!$B$2:$M$100000,12,FALSE)</f>
        <v/>
      </c>
      <c r="M1862" s="47" t="n"/>
      <c r="N1862" s="54" t="n"/>
      <c r="O1862" s="3" t="n"/>
      <c r="P1862" s="149" t="n"/>
      <c r="Q1862" s="150" t="n"/>
      <c r="R1862" s="150" t="n"/>
      <c r="S1862" s="151" t="n"/>
    </row>
    <row r="1863" ht="36" customHeight="1">
      <c r="A1863" s="46" t="n">
        <v>4193</v>
      </c>
      <c r="B1863" s="4">
        <f>+VLOOKUP($A1863,MAGAZZINO!$B$2:$M$100000,2,FALSE)</f>
        <v/>
      </c>
      <c r="C1863" s="29">
        <f>+VLOOKUP($A1863,MAGAZZINO!$B$2:$M$100000,3,FALSE)</f>
        <v/>
      </c>
      <c r="D1863" s="3">
        <f>+VLOOKUP($A1863,MAGAZZINO!$B$2:$M$100000,4,FALSE)</f>
        <v/>
      </c>
      <c r="E1863" s="3">
        <f>+VLOOKUP($A1863,MAGAZZINO!$B$2:$M$100000,5,FALSE)</f>
        <v/>
      </c>
      <c r="F1863" s="3">
        <f>+VLOOKUP($A1863,MAGAZZINO!$B$2:$M$100000,6,FALSE)</f>
        <v/>
      </c>
      <c r="G1863" s="3">
        <f>+VLOOKUP($A1863,MAGAZZINO!$B$2:$M$100000,7,FALSE)</f>
        <v/>
      </c>
      <c r="H1863" s="3">
        <f>+VLOOKUP($A1863,MAGAZZINO!$B$2:$M$100000,8,FALSE)</f>
        <v/>
      </c>
      <c r="I1863" s="3">
        <f>+VLOOKUP($A1863,MAGAZZINO!$B$2:$M$100000,9,FALSE)</f>
        <v/>
      </c>
      <c r="J1863" s="3">
        <f>+VLOOKUP($A1863,MAGAZZINO!$B$2:$M$100000,10,FALSE)</f>
        <v/>
      </c>
      <c r="K1863" s="3">
        <f>+VLOOKUP($A1863,MAGAZZINO!$B$2:$M$100000,11,FALSE)</f>
        <v/>
      </c>
      <c r="L1863" s="5">
        <f>+VLOOKUP($A1863,MAGAZZINO!$B$2:$M$100000,12,FALSE)</f>
        <v/>
      </c>
      <c r="M1863" s="47" t="n"/>
      <c r="N1863" s="54" t="n"/>
      <c r="O1863" s="3" t="n"/>
      <c r="P1863" s="149" t="n"/>
      <c r="Q1863" s="150" t="n"/>
      <c r="R1863" s="150" t="n"/>
      <c r="S1863" s="151" t="n"/>
    </row>
    <row r="1864" ht="36" customHeight="1">
      <c r="A1864" s="46" t="n">
        <v>4194</v>
      </c>
      <c r="B1864" s="4">
        <f>+VLOOKUP($A1864,MAGAZZINO!$B$2:$M$100000,2,FALSE)</f>
        <v/>
      </c>
      <c r="C1864" s="29">
        <f>+VLOOKUP($A1864,MAGAZZINO!$B$2:$M$100000,3,FALSE)</f>
        <v/>
      </c>
      <c r="D1864" s="3">
        <f>+VLOOKUP($A1864,MAGAZZINO!$B$2:$M$100000,4,FALSE)</f>
        <v/>
      </c>
      <c r="E1864" s="3">
        <f>+VLOOKUP($A1864,MAGAZZINO!$B$2:$M$100000,5,FALSE)</f>
        <v/>
      </c>
      <c r="F1864" s="3">
        <f>+VLOOKUP($A1864,MAGAZZINO!$B$2:$M$100000,6,FALSE)</f>
        <v/>
      </c>
      <c r="G1864" s="3">
        <f>+VLOOKUP($A1864,MAGAZZINO!$B$2:$M$100000,7,FALSE)</f>
        <v/>
      </c>
      <c r="H1864" s="3">
        <f>+VLOOKUP($A1864,MAGAZZINO!$B$2:$M$100000,8,FALSE)</f>
        <v/>
      </c>
      <c r="I1864" s="3">
        <f>+VLOOKUP($A1864,MAGAZZINO!$B$2:$M$100000,9,FALSE)</f>
        <v/>
      </c>
      <c r="J1864" s="3">
        <f>+VLOOKUP($A1864,MAGAZZINO!$B$2:$M$100000,10,FALSE)</f>
        <v/>
      </c>
      <c r="K1864" s="3">
        <f>+VLOOKUP($A1864,MAGAZZINO!$B$2:$M$100000,11,FALSE)</f>
        <v/>
      </c>
      <c r="L1864" s="5">
        <f>+VLOOKUP($A1864,MAGAZZINO!$B$2:$M$100000,12,FALSE)</f>
        <v/>
      </c>
      <c r="M1864" s="47" t="n"/>
      <c r="N1864" s="54" t="n"/>
      <c r="O1864" s="3" t="n"/>
      <c r="P1864" s="149" t="n"/>
      <c r="Q1864" s="150" t="n"/>
      <c r="R1864" s="150" t="n"/>
      <c r="S1864" s="151" t="n"/>
    </row>
    <row r="1865" ht="36" customHeight="1">
      <c r="A1865" s="46" t="n">
        <v>4195</v>
      </c>
      <c r="B1865" s="4">
        <f>+VLOOKUP($A1865,MAGAZZINO!$B$2:$M$100000,2,FALSE)</f>
        <v/>
      </c>
      <c r="C1865" s="29">
        <f>+VLOOKUP($A1865,MAGAZZINO!$B$2:$M$100000,3,FALSE)</f>
        <v/>
      </c>
      <c r="D1865" s="3">
        <f>+VLOOKUP($A1865,MAGAZZINO!$B$2:$M$100000,4,FALSE)</f>
        <v/>
      </c>
      <c r="E1865" s="3">
        <f>+VLOOKUP($A1865,MAGAZZINO!$B$2:$M$100000,5,FALSE)</f>
        <v/>
      </c>
      <c r="F1865" s="3">
        <f>+VLOOKUP($A1865,MAGAZZINO!$B$2:$M$100000,6,FALSE)</f>
        <v/>
      </c>
      <c r="G1865" s="3">
        <f>+VLOOKUP($A1865,MAGAZZINO!$B$2:$M$100000,7,FALSE)</f>
        <v/>
      </c>
      <c r="H1865" s="3">
        <f>+VLOOKUP($A1865,MAGAZZINO!$B$2:$M$100000,8,FALSE)</f>
        <v/>
      </c>
      <c r="I1865" s="3">
        <f>+VLOOKUP($A1865,MAGAZZINO!$B$2:$M$100000,9,FALSE)</f>
        <v/>
      </c>
      <c r="J1865" s="3">
        <f>+VLOOKUP($A1865,MAGAZZINO!$B$2:$M$100000,10,FALSE)</f>
        <v/>
      </c>
      <c r="K1865" s="3">
        <f>+VLOOKUP($A1865,MAGAZZINO!$B$2:$M$100000,11,FALSE)</f>
        <v/>
      </c>
      <c r="L1865" s="5">
        <f>+VLOOKUP($A1865,MAGAZZINO!$B$2:$M$100000,12,FALSE)</f>
        <v/>
      </c>
      <c r="M1865" s="47" t="n"/>
      <c r="N1865" s="54" t="n"/>
      <c r="O1865" s="3" t="n"/>
      <c r="P1865" s="149" t="n"/>
      <c r="Q1865" s="150" t="n"/>
      <c r="R1865" s="150" t="n"/>
      <c r="S1865" s="151" t="n"/>
    </row>
    <row r="1866" ht="36" customHeight="1">
      <c r="A1866" s="46" t="n">
        <v>4196</v>
      </c>
      <c r="B1866" s="4">
        <f>+VLOOKUP($A1866,MAGAZZINO!$B$2:$M$100000,2,FALSE)</f>
        <v/>
      </c>
      <c r="C1866" s="29">
        <f>+VLOOKUP($A1866,MAGAZZINO!$B$2:$M$100000,3,FALSE)</f>
        <v/>
      </c>
      <c r="D1866" s="3">
        <f>+VLOOKUP($A1866,MAGAZZINO!$B$2:$M$100000,4,FALSE)</f>
        <v/>
      </c>
      <c r="E1866" s="3">
        <f>+VLOOKUP($A1866,MAGAZZINO!$B$2:$M$100000,5,FALSE)</f>
        <v/>
      </c>
      <c r="F1866" s="3">
        <f>+VLOOKUP($A1866,MAGAZZINO!$B$2:$M$100000,6,FALSE)</f>
        <v/>
      </c>
      <c r="G1866" s="3">
        <f>+VLOOKUP($A1866,MAGAZZINO!$B$2:$M$100000,7,FALSE)</f>
        <v/>
      </c>
      <c r="H1866" s="3">
        <f>+VLOOKUP($A1866,MAGAZZINO!$B$2:$M$100000,8,FALSE)</f>
        <v/>
      </c>
      <c r="I1866" s="3">
        <f>+VLOOKUP($A1866,MAGAZZINO!$B$2:$M$100000,9,FALSE)</f>
        <v/>
      </c>
      <c r="J1866" s="3">
        <f>+VLOOKUP($A1866,MAGAZZINO!$B$2:$M$100000,10,FALSE)</f>
        <v/>
      </c>
      <c r="K1866" s="3">
        <f>+VLOOKUP($A1866,MAGAZZINO!$B$2:$M$100000,11,FALSE)</f>
        <v/>
      </c>
      <c r="L1866" s="5">
        <f>+VLOOKUP($A1866,MAGAZZINO!$B$2:$M$100000,12,FALSE)</f>
        <v/>
      </c>
      <c r="M1866" s="47" t="n"/>
      <c r="N1866" s="54" t="n"/>
      <c r="O1866" s="3" t="n"/>
      <c r="P1866" s="149" t="n"/>
      <c r="Q1866" s="150" t="n"/>
      <c r="R1866" s="150" t="n"/>
      <c r="S1866" s="151" t="n"/>
    </row>
    <row r="1867" ht="36" customHeight="1">
      <c r="A1867" s="46" t="n">
        <v>4197</v>
      </c>
      <c r="B1867" s="4">
        <f>+VLOOKUP($A1867,MAGAZZINO!$B$2:$M$100000,2,FALSE)</f>
        <v/>
      </c>
      <c r="C1867" s="29">
        <f>+VLOOKUP($A1867,MAGAZZINO!$B$2:$M$100000,3,FALSE)</f>
        <v/>
      </c>
      <c r="D1867" s="3">
        <f>+VLOOKUP($A1867,MAGAZZINO!$B$2:$M$100000,4,FALSE)</f>
        <v/>
      </c>
      <c r="E1867" s="3">
        <f>+VLOOKUP($A1867,MAGAZZINO!$B$2:$M$100000,5,FALSE)</f>
        <v/>
      </c>
      <c r="F1867" s="3">
        <f>+VLOOKUP($A1867,MAGAZZINO!$B$2:$M$100000,6,FALSE)</f>
        <v/>
      </c>
      <c r="G1867" s="3">
        <f>+VLOOKUP($A1867,MAGAZZINO!$B$2:$M$100000,7,FALSE)</f>
        <v/>
      </c>
      <c r="H1867" s="3">
        <f>+VLOOKUP($A1867,MAGAZZINO!$B$2:$M$100000,8,FALSE)</f>
        <v/>
      </c>
      <c r="I1867" s="3">
        <f>+VLOOKUP($A1867,MAGAZZINO!$B$2:$M$100000,9,FALSE)</f>
        <v/>
      </c>
      <c r="J1867" s="3">
        <f>+VLOOKUP($A1867,MAGAZZINO!$B$2:$M$100000,10,FALSE)</f>
        <v/>
      </c>
      <c r="K1867" s="3">
        <f>+VLOOKUP($A1867,MAGAZZINO!$B$2:$M$100000,11,FALSE)</f>
        <v/>
      </c>
      <c r="L1867" s="5">
        <f>+VLOOKUP($A1867,MAGAZZINO!$B$2:$M$100000,12,FALSE)</f>
        <v/>
      </c>
      <c r="M1867" s="47" t="n"/>
      <c r="N1867" s="54" t="n"/>
      <c r="O1867" s="3" t="n"/>
      <c r="P1867" s="149" t="n"/>
      <c r="Q1867" s="150" t="n"/>
      <c r="R1867" s="150" t="n"/>
      <c r="S1867" s="151" t="n"/>
    </row>
    <row r="1868" ht="36" customHeight="1">
      <c r="A1868" s="46" t="n">
        <v>4198</v>
      </c>
      <c r="B1868" s="4">
        <f>+VLOOKUP($A1868,MAGAZZINO!$B$2:$M$100000,2,FALSE)</f>
        <v/>
      </c>
      <c r="C1868" s="29">
        <f>+VLOOKUP($A1868,MAGAZZINO!$B$2:$M$100000,3,FALSE)</f>
        <v/>
      </c>
      <c r="D1868" s="3">
        <f>+VLOOKUP($A1868,MAGAZZINO!$B$2:$M$100000,4,FALSE)</f>
        <v/>
      </c>
      <c r="E1868" s="3">
        <f>+VLOOKUP($A1868,MAGAZZINO!$B$2:$M$100000,5,FALSE)</f>
        <v/>
      </c>
      <c r="F1868" s="3">
        <f>+VLOOKUP($A1868,MAGAZZINO!$B$2:$M$100000,6,FALSE)</f>
        <v/>
      </c>
      <c r="G1868" s="3">
        <f>+VLOOKUP($A1868,MAGAZZINO!$B$2:$M$100000,7,FALSE)</f>
        <v/>
      </c>
      <c r="H1868" s="3">
        <f>+VLOOKUP($A1868,MAGAZZINO!$B$2:$M$100000,8,FALSE)</f>
        <v/>
      </c>
      <c r="I1868" s="3">
        <f>+VLOOKUP($A1868,MAGAZZINO!$B$2:$M$100000,9,FALSE)</f>
        <v/>
      </c>
      <c r="J1868" s="3">
        <f>+VLOOKUP($A1868,MAGAZZINO!$B$2:$M$100000,10,FALSE)</f>
        <v/>
      </c>
      <c r="K1868" s="3">
        <f>+VLOOKUP($A1868,MAGAZZINO!$B$2:$M$100000,11,FALSE)</f>
        <v/>
      </c>
      <c r="L1868" s="5">
        <f>+VLOOKUP($A1868,MAGAZZINO!$B$2:$M$100000,12,FALSE)</f>
        <v/>
      </c>
      <c r="M1868" s="47" t="n"/>
      <c r="N1868" s="54" t="n"/>
      <c r="O1868" s="3" t="n"/>
      <c r="P1868" s="149" t="n"/>
      <c r="Q1868" s="150" t="n"/>
      <c r="R1868" s="150" t="n"/>
      <c r="S1868" s="151" t="n"/>
    </row>
    <row r="1869" ht="36" customHeight="1">
      <c r="A1869" s="46" t="n">
        <v>4199</v>
      </c>
      <c r="B1869" s="4">
        <f>+VLOOKUP($A1869,MAGAZZINO!$B$2:$M$100000,2,FALSE)</f>
        <v/>
      </c>
      <c r="C1869" s="29">
        <f>+VLOOKUP($A1869,MAGAZZINO!$B$2:$M$100000,3,FALSE)</f>
        <v/>
      </c>
      <c r="D1869" s="3">
        <f>+VLOOKUP($A1869,MAGAZZINO!$B$2:$M$100000,4,FALSE)</f>
        <v/>
      </c>
      <c r="E1869" s="3">
        <f>+VLOOKUP($A1869,MAGAZZINO!$B$2:$M$100000,5,FALSE)</f>
        <v/>
      </c>
      <c r="F1869" s="3">
        <f>+VLOOKUP($A1869,MAGAZZINO!$B$2:$M$100000,6,FALSE)</f>
        <v/>
      </c>
      <c r="G1869" s="3">
        <f>+VLOOKUP($A1869,MAGAZZINO!$B$2:$M$100000,7,FALSE)</f>
        <v/>
      </c>
      <c r="H1869" s="3">
        <f>+VLOOKUP($A1869,MAGAZZINO!$B$2:$M$100000,8,FALSE)</f>
        <v/>
      </c>
      <c r="I1869" s="3">
        <f>+VLOOKUP($A1869,MAGAZZINO!$B$2:$M$100000,9,FALSE)</f>
        <v/>
      </c>
      <c r="J1869" s="3">
        <f>+VLOOKUP($A1869,MAGAZZINO!$B$2:$M$100000,10,FALSE)</f>
        <v/>
      </c>
      <c r="K1869" s="3">
        <f>+VLOOKUP($A1869,MAGAZZINO!$B$2:$M$100000,11,FALSE)</f>
        <v/>
      </c>
      <c r="L1869" s="5">
        <f>+VLOOKUP($A1869,MAGAZZINO!$B$2:$M$100000,12,FALSE)</f>
        <v/>
      </c>
      <c r="M1869" s="47" t="n"/>
      <c r="N1869" s="54" t="n"/>
      <c r="O1869" s="3" t="n"/>
      <c r="P1869" s="149" t="n"/>
      <c r="Q1869" s="150" t="n"/>
      <c r="R1869" s="150" t="n"/>
      <c r="S1869" s="151" t="n"/>
    </row>
    <row r="1870" ht="36" customHeight="1">
      <c r="A1870" s="46" t="n">
        <v>4200</v>
      </c>
      <c r="B1870" s="4">
        <f>+VLOOKUP($A1870,MAGAZZINO!$B$2:$M$100000,2,FALSE)</f>
        <v/>
      </c>
      <c r="C1870" s="29">
        <f>+VLOOKUP($A1870,MAGAZZINO!$B$2:$M$100000,3,FALSE)</f>
        <v/>
      </c>
      <c r="D1870" s="3">
        <f>+VLOOKUP($A1870,MAGAZZINO!$B$2:$M$100000,4,FALSE)</f>
        <v/>
      </c>
      <c r="E1870" s="3">
        <f>+VLOOKUP($A1870,MAGAZZINO!$B$2:$M$100000,5,FALSE)</f>
        <v/>
      </c>
      <c r="F1870" s="3">
        <f>+VLOOKUP($A1870,MAGAZZINO!$B$2:$M$100000,6,FALSE)</f>
        <v/>
      </c>
      <c r="G1870" s="3">
        <f>+VLOOKUP($A1870,MAGAZZINO!$B$2:$M$100000,7,FALSE)</f>
        <v/>
      </c>
      <c r="H1870" s="3">
        <f>+VLOOKUP($A1870,MAGAZZINO!$B$2:$M$100000,8,FALSE)</f>
        <v/>
      </c>
      <c r="I1870" s="3">
        <f>+VLOOKUP($A1870,MAGAZZINO!$B$2:$M$100000,9,FALSE)</f>
        <v/>
      </c>
      <c r="J1870" s="3">
        <f>+VLOOKUP($A1870,MAGAZZINO!$B$2:$M$100000,10,FALSE)</f>
        <v/>
      </c>
      <c r="K1870" s="3">
        <f>+VLOOKUP($A1870,MAGAZZINO!$B$2:$M$100000,11,FALSE)</f>
        <v/>
      </c>
      <c r="L1870" s="5">
        <f>+VLOOKUP($A1870,MAGAZZINO!$B$2:$M$100000,12,FALSE)</f>
        <v/>
      </c>
      <c r="M1870" s="47" t="n"/>
      <c r="N1870" s="54" t="n"/>
      <c r="O1870" s="3" t="n"/>
      <c r="P1870" s="149" t="n"/>
      <c r="Q1870" s="150" t="n"/>
      <c r="R1870" s="150" t="n"/>
      <c r="S1870" s="151" t="n"/>
    </row>
    <row r="1871" ht="36" customHeight="1">
      <c r="A1871" s="46" t="n">
        <v>4201</v>
      </c>
      <c r="B1871" s="4">
        <f>+VLOOKUP($A1871,MAGAZZINO!$B$2:$M$100000,2,FALSE)</f>
        <v/>
      </c>
      <c r="C1871" s="29">
        <f>+VLOOKUP($A1871,MAGAZZINO!$B$2:$M$100000,3,FALSE)</f>
        <v/>
      </c>
      <c r="D1871" s="3">
        <f>+VLOOKUP($A1871,MAGAZZINO!$B$2:$M$100000,4,FALSE)</f>
        <v/>
      </c>
      <c r="E1871" s="3">
        <f>+VLOOKUP($A1871,MAGAZZINO!$B$2:$M$100000,5,FALSE)</f>
        <v/>
      </c>
      <c r="F1871" s="3">
        <f>+VLOOKUP($A1871,MAGAZZINO!$B$2:$M$100000,6,FALSE)</f>
        <v/>
      </c>
      <c r="G1871" s="3">
        <f>+VLOOKUP($A1871,MAGAZZINO!$B$2:$M$100000,7,FALSE)</f>
        <v/>
      </c>
      <c r="H1871" s="3">
        <f>+VLOOKUP($A1871,MAGAZZINO!$B$2:$M$100000,8,FALSE)</f>
        <v/>
      </c>
      <c r="I1871" s="3">
        <f>+VLOOKUP($A1871,MAGAZZINO!$B$2:$M$100000,9,FALSE)</f>
        <v/>
      </c>
      <c r="J1871" s="3">
        <f>+VLOOKUP($A1871,MAGAZZINO!$B$2:$M$100000,10,FALSE)</f>
        <v/>
      </c>
      <c r="K1871" s="3">
        <f>+VLOOKUP($A1871,MAGAZZINO!$B$2:$M$100000,11,FALSE)</f>
        <v/>
      </c>
      <c r="L1871" s="5">
        <f>+VLOOKUP($A1871,MAGAZZINO!$B$2:$M$100000,12,FALSE)</f>
        <v/>
      </c>
      <c r="M1871" s="47" t="n"/>
      <c r="N1871" s="54" t="n"/>
      <c r="O1871" s="3" t="n"/>
      <c r="P1871" s="149" t="n"/>
      <c r="Q1871" s="150" t="n"/>
      <c r="R1871" s="150" t="n"/>
      <c r="S1871" s="151" t="n"/>
    </row>
    <row r="1872" ht="36" customHeight="1">
      <c r="A1872" s="46" t="n">
        <v>4202</v>
      </c>
      <c r="B1872" s="4">
        <f>+VLOOKUP($A1872,MAGAZZINO!$B$2:$M$100000,2,FALSE)</f>
        <v/>
      </c>
      <c r="C1872" s="29">
        <f>+VLOOKUP($A1872,MAGAZZINO!$B$2:$M$100000,3,FALSE)</f>
        <v/>
      </c>
      <c r="D1872" s="3">
        <f>+VLOOKUP($A1872,MAGAZZINO!$B$2:$M$100000,4,FALSE)</f>
        <v/>
      </c>
      <c r="E1872" s="3">
        <f>+VLOOKUP($A1872,MAGAZZINO!$B$2:$M$100000,5,FALSE)</f>
        <v/>
      </c>
      <c r="F1872" s="3">
        <f>+VLOOKUP($A1872,MAGAZZINO!$B$2:$M$100000,6,FALSE)</f>
        <v/>
      </c>
      <c r="G1872" s="3">
        <f>+VLOOKUP($A1872,MAGAZZINO!$B$2:$M$100000,7,FALSE)</f>
        <v/>
      </c>
      <c r="H1872" s="3">
        <f>+VLOOKUP($A1872,MAGAZZINO!$B$2:$M$100000,8,FALSE)</f>
        <v/>
      </c>
      <c r="I1872" s="3">
        <f>+VLOOKUP($A1872,MAGAZZINO!$B$2:$M$100000,9,FALSE)</f>
        <v/>
      </c>
      <c r="J1872" s="3">
        <f>+VLOOKUP($A1872,MAGAZZINO!$B$2:$M$100000,10,FALSE)</f>
        <v/>
      </c>
      <c r="K1872" s="3">
        <f>+VLOOKUP($A1872,MAGAZZINO!$B$2:$M$100000,11,FALSE)</f>
        <v/>
      </c>
      <c r="L1872" s="5">
        <f>+VLOOKUP($A1872,MAGAZZINO!$B$2:$M$100000,12,FALSE)</f>
        <v/>
      </c>
      <c r="M1872" s="47" t="n"/>
      <c r="N1872" s="54" t="n"/>
      <c r="O1872" s="3" t="n"/>
      <c r="P1872" s="149" t="n"/>
      <c r="Q1872" s="150" t="n"/>
      <c r="R1872" s="150" t="n"/>
      <c r="S1872" s="151" t="n"/>
    </row>
    <row r="1873" ht="36" customHeight="1">
      <c r="A1873" s="46" t="n">
        <v>4203</v>
      </c>
      <c r="B1873" s="4">
        <f>+VLOOKUP($A1873,MAGAZZINO!$B$2:$M$100000,2,FALSE)</f>
        <v/>
      </c>
      <c r="C1873" s="29">
        <f>+VLOOKUP($A1873,MAGAZZINO!$B$2:$M$100000,3,FALSE)</f>
        <v/>
      </c>
      <c r="D1873" s="3">
        <f>+VLOOKUP($A1873,MAGAZZINO!$B$2:$M$100000,4,FALSE)</f>
        <v/>
      </c>
      <c r="E1873" s="3">
        <f>+VLOOKUP($A1873,MAGAZZINO!$B$2:$M$100000,5,FALSE)</f>
        <v/>
      </c>
      <c r="F1873" s="3">
        <f>+VLOOKUP($A1873,MAGAZZINO!$B$2:$M$100000,6,FALSE)</f>
        <v/>
      </c>
      <c r="G1873" s="3">
        <f>+VLOOKUP($A1873,MAGAZZINO!$B$2:$M$100000,7,FALSE)</f>
        <v/>
      </c>
      <c r="H1873" s="3">
        <f>+VLOOKUP($A1873,MAGAZZINO!$B$2:$M$100000,8,FALSE)</f>
        <v/>
      </c>
      <c r="I1873" s="3">
        <f>+VLOOKUP($A1873,MAGAZZINO!$B$2:$M$100000,9,FALSE)</f>
        <v/>
      </c>
      <c r="J1873" s="3">
        <f>+VLOOKUP($A1873,MAGAZZINO!$B$2:$M$100000,10,FALSE)</f>
        <v/>
      </c>
      <c r="K1873" s="3">
        <f>+VLOOKUP($A1873,MAGAZZINO!$B$2:$M$100000,11,FALSE)</f>
        <v/>
      </c>
      <c r="L1873" s="5">
        <f>+VLOOKUP($A1873,MAGAZZINO!$B$2:$M$100000,12,FALSE)</f>
        <v/>
      </c>
      <c r="M1873" s="47" t="n"/>
      <c r="N1873" s="54" t="n"/>
      <c r="O1873" s="3" t="n"/>
      <c r="P1873" s="149" t="n"/>
      <c r="Q1873" s="150" t="n"/>
      <c r="R1873" s="150" t="n"/>
      <c r="S1873" s="151" t="n"/>
    </row>
    <row r="1874" ht="36" customHeight="1">
      <c r="A1874" s="46" t="n">
        <v>4204</v>
      </c>
      <c r="B1874" s="4">
        <f>+VLOOKUP($A1874,MAGAZZINO!$B$2:$M$100000,2,FALSE)</f>
        <v/>
      </c>
      <c r="C1874" s="29">
        <f>+VLOOKUP($A1874,MAGAZZINO!$B$2:$M$100000,3,FALSE)</f>
        <v/>
      </c>
      <c r="D1874" s="3">
        <f>+VLOOKUP($A1874,MAGAZZINO!$B$2:$M$100000,4,FALSE)</f>
        <v/>
      </c>
      <c r="E1874" s="3">
        <f>+VLOOKUP($A1874,MAGAZZINO!$B$2:$M$100000,5,FALSE)</f>
        <v/>
      </c>
      <c r="F1874" s="3">
        <f>+VLOOKUP($A1874,MAGAZZINO!$B$2:$M$100000,6,FALSE)</f>
        <v/>
      </c>
      <c r="G1874" s="3">
        <f>+VLOOKUP($A1874,MAGAZZINO!$B$2:$M$100000,7,FALSE)</f>
        <v/>
      </c>
      <c r="H1874" s="3">
        <f>+VLOOKUP($A1874,MAGAZZINO!$B$2:$M$100000,8,FALSE)</f>
        <v/>
      </c>
      <c r="I1874" s="3">
        <f>+VLOOKUP($A1874,MAGAZZINO!$B$2:$M$100000,9,FALSE)</f>
        <v/>
      </c>
      <c r="J1874" s="3">
        <f>+VLOOKUP($A1874,MAGAZZINO!$B$2:$M$100000,10,FALSE)</f>
        <v/>
      </c>
      <c r="K1874" s="3">
        <f>+VLOOKUP($A1874,MAGAZZINO!$B$2:$M$100000,11,FALSE)</f>
        <v/>
      </c>
      <c r="L1874" s="5">
        <f>+VLOOKUP($A1874,MAGAZZINO!$B$2:$M$100000,12,FALSE)</f>
        <v/>
      </c>
      <c r="M1874" s="47" t="n"/>
      <c r="N1874" s="54" t="n"/>
      <c r="O1874" s="3" t="n"/>
      <c r="P1874" s="149" t="n"/>
      <c r="Q1874" s="150" t="n"/>
      <c r="R1874" s="150" t="n"/>
      <c r="S1874" s="151" t="n"/>
    </row>
    <row r="1875" ht="36" customHeight="1">
      <c r="A1875" s="46" t="n">
        <v>4205</v>
      </c>
      <c r="B1875" s="4">
        <f>+VLOOKUP($A1875,MAGAZZINO!$B$2:$M$100000,2,FALSE)</f>
        <v/>
      </c>
      <c r="C1875" s="29">
        <f>+VLOOKUP($A1875,MAGAZZINO!$B$2:$M$100000,3,FALSE)</f>
        <v/>
      </c>
      <c r="D1875" s="3">
        <f>+VLOOKUP($A1875,MAGAZZINO!$B$2:$M$100000,4,FALSE)</f>
        <v/>
      </c>
      <c r="E1875" s="3">
        <f>+VLOOKUP($A1875,MAGAZZINO!$B$2:$M$100000,5,FALSE)</f>
        <v/>
      </c>
      <c r="F1875" s="3">
        <f>+VLOOKUP($A1875,MAGAZZINO!$B$2:$M$100000,6,FALSE)</f>
        <v/>
      </c>
      <c r="G1875" s="3">
        <f>+VLOOKUP($A1875,MAGAZZINO!$B$2:$M$100000,7,FALSE)</f>
        <v/>
      </c>
      <c r="H1875" s="3">
        <f>+VLOOKUP($A1875,MAGAZZINO!$B$2:$M$100000,8,FALSE)</f>
        <v/>
      </c>
      <c r="I1875" s="3">
        <f>+VLOOKUP($A1875,MAGAZZINO!$B$2:$M$100000,9,FALSE)</f>
        <v/>
      </c>
      <c r="J1875" s="3">
        <f>+VLOOKUP($A1875,MAGAZZINO!$B$2:$M$100000,10,FALSE)</f>
        <v/>
      </c>
      <c r="K1875" s="3">
        <f>+VLOOKUP($A1875,MAGAZZINO!$B$2:$M$100000,11,FALSE)</f>
        <v/>
      </c>
      <c r="L1875" s="5">
        <f>+VLOOKUP($A1875,MAGAZZINO!$B$2:$M$100000,12,FALSE)</f>
        <v/>
      </c>
      <c r="M1875" s="47" t="n"/>
      <c r="N1875" s="54" t="n"/>
      <c r="O1875" s="3" t="n"/>
      <c r="P1875" s="149" t="n"/>
      <c r="Q1875" s="150" t="n"/>
      <c r="R1875" s="150" t="n"/>
      <c r="S1875" s="151" t="n"/>
    </row>
    <row r="1876" ht="36" customHeight="1">
      <c r="A1876" s="46" t="n">
        <v>4206</v>
      </c>
      <c r="B1876" s="4">
        <f>+VLOOKUP($A1876,MAGAZZINO!$B$2:$M$100000,2,FALSE)</f>
        <v/>
      </c>
      <c r="C1876" s="29">
        <f>+VLOOKUP($A1876,MAGAZZINO!$B$2:$M$100000,3,FALSE)</f>
        <v/>
      </c>
      <c r="D1876" s="3">
        <f>+VLOOKUP($A1876,MAGAZZINO!$B$2:$M$100000,4,FALSE)</f>
        <v/>
      </c>
      <c r="E1876" s="3">
        <f>+VLOOKUP($A1876,MAGAZZINO!$B$2:$M$100000,5,FALSE)</f>
        <v/>
      </c>
      <c r="F1876" s="3">
        <f>+VLOOKUP($A1876,MAGAZZINO!$B$2:$M$100000,6,FALSE)</f>
        <v/>
      </c>
      <c r="G1876" s="3">
        <f>+VLOOKUP($A1876,MAGAZZINO!$B$2:$M$100000,7,FALSE)</f>
        <v/>
      </c>
      <c r="H1876" s="3">
        <f>+VLOOKUP($A1876,MAGAZZINO!$B$2:$M$100000,8,FALSE)</f>
        <v/>
      </c>
      <c r="I1876" s="3">
        <f>+VLOOKUP($A1876,MAGAZZINO!$B$2:$M$100000,9,FALSE)</f>
        <v/>
      </c>
      <c r="J1876" s="3">
        <f>+VLOOKUP($A1876,MAGAZZINO!$B$2:$M$100000,10,FALSE)</f>
        <v/>
      </c>
      <c r="K1876" s="3">
        <f>+VLOOKUP($A1876,MAGAZZINO!$B$2:$M$100000,11,FALSE)</f>
        <v/>
      </c>
      <c r="L1876" s="5">
        <f>+VLOOKUP($A1876,MAGAZZINO!$B$2:$M$100000,12,FALSE)</f>
        <v/>
      </c>
      <c r="M1876" s="47" t="n"/>
      <c r="N1876" s="54" t="n"/>
      <c r="O1876" s="3" t="n"/>
      <c r="P1876" s="149" t="n"/>
      <c r="Q1876" s="150" t="n"/>
      <c r="R1876" s="150" t="n"/>
      <c r="S1876" s="151" t="n"/>
    </row>
    <row r="1877" ht="36" customHeight="1">
      <c r="A1877" s="46" t="n">
        <v>4207</v>
      </c>
      <c r="B1877" s="4">
        <f>+VLOOKUP($A1877,MAGAZZINO!$B$2:$M$100000,2,FALSE)</f>
        <v/>
      </c>
      <c r="C1877" s="29">
        <f>+VLOOKUP($A1877,MAGAZZINO!$B$2:$M$100000,3,FALSE)</f>
        <v/>
      </c>
      <c r="D1877" s="3">
        <f>+VLOOKUP($A1877,MAGAZZINO!$B$2:$M$100000,4,FALSE)</f>
        <v/>
      </c>
      <c r="E1877" s="3">
        <f>+VLOOKUP($A1877,MAGAZZINO!$B$2:$M$100000,5,FALSE)</f>
        <v/>
      </c>
      <c r="F1877" s="3">
        <f>+VLOOKUP($A1877,MAGAZZINO!$B$2:$M$100000,6,FALSE)</f>
        <v/>
      </c>
      <c r="G1877" s="3">
        <f>+VLOOKUP($A1877,MAGAZZINO!$B$2:$M$100000,7,FALSE)</f>
        <v/>
      </c>
      <c r="H1877" s="3">
        <f>+VLOOKUP($A1877,MAGAZZINO!$B$2:$M$100000,8,FALSE)</f>
        <v/>
      </c>
      <c r="I1877" s="3">
        <f>+VLOOKUP($A1877,MAGAZZINO!$B$2:$M$100000,9,FALSE)</f>
        <v/>
      </c>
      <c r="J1877" s="3">
        <f>+VLOOKUP($A1877,MAGAZZINO!$B$2:$M$100000,10,FALSE)</f>
        <v/>
      </c>
      <c r="K1877" s="3">
        <f>+VLOOKUP($A1877,MAGAZZINO!$B$2:$M$100000,11,FALSE)</f>
        <v/>
      </c>
      <c r="L1877" s="5">
        <f>+VLOOKUP($A1877,MAGAZZINO!$B$2:$M$100000,12,FALSE)</f>
        <v/>
      </c>
      <c r="M1877" s="47" t="n"/>
      <c r="N1877" s="54" t="n"/>
      <c r="O1877" s="3" t="n"/>
      <c r="P1877" s="149" t="n"/>
      <c r="Q1877" s="150" t="n"/>
      <c r="R1877" s="150" t="n"/>
      <c r="S1877" s="151" t="n"/>
    </row>
    <row r="1878" ht="36" customHeight="1">
      <c r="A1878" s="46" t="n">
        <v>4208</v>
      </c>
      <c r="B1878" s="4">
        <f>+VLOOKUP($A1878,MAGAZZINO!$B$2:$M$100000,2,FALSE)</f>
        <v/>
      </c>
      <c r="C1878" s="29">
        <f>+VLOOKUP($A1878,MAGAZZINO!$B$2:$M$100000,3,FALSE)</f>
        <v/>
      </c>
      <c r="D1878" s="3">
        <f>+VLOOKUP($A1878,MAGAZZINO!$B$2:$M$100000,4,FALSE)</f>
        <v/>
      </c>
      <c r="E1878" s="3">
        <f>+VLOOKUP($A1878,MAGAZZINO!$B$2:$M$100000,5,FALSE)</f>
        <v/>
      </c>
      <c r="F1878" s="3">
        <f>+VLOOKUP($A1878,MAGAZZINO!$B$2:$M$100000,6,FALSE)</f>
        <v/>
      </c>
      <c r="G1878" s="3">
        <f>+VLOOKUP($A1878,MAGAZZINO!$B$2:$M$100000,7,FALSE)</f>
        <v/>
      </c>
      <c r="H1878" s="3">
        <f>+VLOOKUP($A1878,MAGAZZINO!$B$2:$M$100000,8,FALSE)</f>
        <v/>
      </c>
      <c r="I1878" s="3">
        <f>+VLOOKUP($A1878,MAGAZZINO!$B$2:$M$100000,9,FALSE)</f>
        <v/>
      </c>
      <c r="J1878" s="3">
        <f>+VLOOKUP($A1878,MAGAZZINO!$B$2:$M$100000,10,FALSE)</f>
        <v/>
      </c>
      <c r="K1878" s="3">
        <f>+VLOOKUP($A1878,MAGAZZINO!$B$2:$M$100000,11,FALSE)</f>
        <v/>
      </c>
      <c r="L1878" s="5">
        <f>+VLOOKUP($A1878,MAGAZZINO!$B$2:$M$100000,12,FALSE)</f>
        <v/>
      </c>
      <c r="M1878" s="47" t="n"/>
      <c r="N1878" s="54" t="n"/>
      <c r="O1878" s="3" t="n"/>
      <c r="P1878" s="149" t="n"/>
      <c r="Q1878" s="150" t="n"/>
      <c r="R1878" s="150" t="n"/>
      <c r="S1878" s="151" t="n"/>
    </row>
    <row r="1879" ht="36" customHeight="1">
      <c r="A1879" s="46" t="n">
        <v>4209</v>
      </c>
      <c r="B1879" s="4">
        <f>+VLOOKUP($A1879,MAGAZZINO!$B$2:$M$100000,2,FALSE)</f>
        <v/>
      </c>
      <c r="C1879" s="29">
        <f>+VLOOKUP($A1879,MAGAZZINO!$B$2:$M$100000,3,FALSE)</f>
        <v/>
      </c>
      <c r="D1879" s="3">
        <f>+VLOOKUP($A1879,MAGAZZINO!$B$2:$M$100000,4,FALSE)</f>
        <v/>
      </c>
      <c r="E1879" s="3">
        <f>+VLOOKUP($A1879,MAGAZZINO!$B$2:$M$100000,5,FALSE)</f>
        <v/>
      </c>
      <c r="F1879" s="3">
        <f>+VLOOKUP($A1879,MAGAZZINO!$B$2:$M$100000,6,FALSE)</f>
        <v/>
      </c>
      <c r="G1879" s="3">
        <f>+VLOOKUP($A1879,MAGAZZINO!$B$2:$M$100000,7,FALSE)</f>
        <v/>
      </c>
      <c r="H1879" s="3">
        <f>+VLOOKUP($A1879,MAGAZZINO!$B$2:$M$100000,8,FALSE)</f>
        <v/>
      </c>
      <c r="I1879" s="3">
        <f>+VLOOKUP($A1879,MAGAZZINO!$B$2:$M$100000,9,FALSE)</f>
        <v/>
      </c>
      <c r="J1879" s="3">
        <f>+VLOOKUP($A1879,MAGAZZINO!$B$2:$M$100000,10,FALSE)</f>
        <v/>
      </c>
      <c r="K1879" s="3">
        <f>+VLOOKUP($A1879,MAGAZZINO!$B$2:$M$100000,11,FALSE)</f>
        <v/>
      </c>
      <c r="L1879" s="5">
        <f>+VLOOKUP($A1879,MAGAZZINO!$B$2:$M$100000,12,FALSE)</f>
        <v/>
      </c>
      <c r="M1879" s="47" t="n"/>
      <c r="N1879" s="54" t="n"/>
      <c r="O1879" s="3" t="n"/>
      <c r="P1879" s="149" t="n"/>
      <c r="Q1879" s="150" t="n"/>
      <c r="R1879" s="150" t="n"/>
      <c r="S1879" s="151" t="n"/>
    </row>
    <row r="1880" ht="36" customHeight="1">
      <c r="A1880" s="46" t="n">
        <v>4210</v>
      </c>
      <c r="B1880" s="4">
        <f>+VLOOKUP($A1880,MAGAZZINO!$B$2:$M$100000,2,FALSE)</f>
        <v/>
      </c>
      <c r="C1880" s="29">
        <f>+VLOOKUP($A1880,MAGAZZINO!$B$2:$M$100000,3,FALSE)</f>
        <v/>
      </c>
      <c r="D1880" s="3">
        <f>+VLOOKUP($A1880,MAGAZZINO!$B$2:$M$100000,4,FALSE)</f>
        <v/>
      </c>
      <c r="E1880" s="3">
        <f>+VLOOKUP($A1880,MAGAZZINO!$B$2:$M$100000,5,FALSE)</f>
        <v/>
      </c>
      <c r="F1880" s="3">
        <f>+VLOOKUP($A1880,MAGAZZINO!$B$2:$M$100000,6,FALSE)</f>
        <v/>
      </c>
      <c r="G1880" s="3">
        <f>+VLOOKUP($A1880,MAGAZZINO!$B$2:$M$100000,7,FALSE)</f>
        <v/>
      </c>
      <c r="H1880" s="3">
        <f>+VLOOKUP($A1880,MAGAZZINO!$B$2:$M$100000,8,FALSE)</f>
        <v/>
      </c>
      <c r="I1880" s="3">
        <f>+VLOOKUP($A1880,MAGAZZINO!$B$2:$M$100000,9,FALSE)</f>
        <v/>
      </c>
      <c r="J1880" s="3">
        <f>+VLOOKUP($A1880,MAGAZZINO!$B$2:$M$100000,10,FALSE)</f>
        <v/>
      </c>
      <c r="K1880" s="3">
        <f>+VLOOKUP($A1880,MAGAZZINO!$B$2:$M$100000,11,FALSE)</f>
        <v/>
      </c>
      <c r="L1880" s="5">
        <f>+VLOOKUP($A1880,MAGAZZINO!$B$2:$M$100000,12,FALSE)</f>
        <v/>
      </c>
      <c r="M1880" s="47" t="n"/>
      <c r="N1880" s="54" t="n"/>
      <c r="O1880" s="3" t="n"/>
      <c r="P1880" s="149" t="n"/>
      <c r="Q1880" s="150" t="n"/>
      <c r="R1880" s="150" t="n"/>
      <c r="S1880" s="151" t="n"/>
    </row>
    <row r="1881" ht="36" customHeight="1">
      <c r="A1881" s="46" t="n">
        <v>4211</v>
      </c>
      <c r="B1881" s="4">
        <f>+VLOOKUP($A1881,MAGAZZINO!$B$2:$M$100000,2,FALSE)</f>
        <v/>
      </c>
      <c r="C1881" s="29">
        <f>+VLOOKUP($A1881,MAGAZZINO!$B$2:$M$100000,3,FALSE)</f>
        <v/>
      </c>
      <c r="D1881" s="3">
        <f>+VLOOKUP($A1881,MAGAZZINO!$B$2:$M$100000,4,FALSE)</f>
        <v/>
      </c>
      <c r="E1881" s="3">
        <f>+VLOOKUP($A1881,MAGAZZINO!$B$2:$M$100000,5,FALSE)</f>
        <v/>
      </c>
      <c r="F1881" s="3">
        <f>+VLOOKUP($A1881,MAGAZZINO!$B$2:$M$100000,6,FALSE)</f>
        <v/>
      </c>
      <c r="G1881" s="3">
        <f>+VLOOKUP($A1881,MAGAZZINO!$B$2:$M$100000,7,FALSE)</f>
        <v/>
      </c>
      <c r="H1881" s="3">
        <f>+VLOOKUP($A1881,MAGAZZINO!$B$2:$M$100000,8,FALSE)</f>
        <v/>
      </c>
      <c r="I1881" s="3">
        <f>+VLOOKUP($A1881,MAGAZZINO!$B$2:$M$100000,9,FALSE)</f>
        <v/>
      </c>
      <c r="J1881" s="3">
        <f>+VLOOKUP($A1881,MAGAZZINO!$B$2:$M$100000,10,FALSE)</f>
        <v/>
      </c>
      <c r="K1881" s="3">
        <f>+VLOOKUP($A1881,MAGAZZINO!$B$2:$M$100000,11,FALSE)</f>
        <v/>
      </c>
      <c r="L1881" s="5">
        <f>+VLOOKUP($A1881,MAGAZZINO!$B$2:$M$100000,12,FALSE)</f>
        <v/>
      </c>
      <c r="M1881" s="47" t="n"/>
      <c r="N1881" s="54" t="n"/>
      <c r="O1881" s="3" t="n"/>
      <c r="P1881" s="149" t="n"/>
      <c r="Q1881" s="150" t="n"/>
      <c r="R1881" s="150" t="n"/>
      <c r="S1881" s="151" t="n"/>
    </row>
    <row r="1882" ht="36" customHeight="1">
      <c r="A1882" s="46" t="n">
        <v>4212</v>
      </c>
      <c r="B1882" s="4">
        <f>+VLOOKUP($A1882,MAGAZZINO!$B$2:$M$100000,2,FALSE)</f>
        <v/>
      </c>
      <c r="C1882" s="29">
        <f>+VLOOKUP($A1882,MAGAZZINO!$B$2:$M$100000,3,FALSE)</f>
        <v/>
      </c>
      <c r="D1882" s="3">
        <f>+VLOOKUP($A1882,MAGAZZINO!$B$2:$M$100000,4,FALSE)</f>
        <v/>
      </c>
      <c r="E1882" s="3">
        <f>+VLOOKUP($A1882,MAGAZZINO!$B$2:$M$100000,5,FALSE)</f>
        <v/>
      </c>
      <c r="F1882" s="3">
        <f>+VLOOKUP($A1882,MAGAZZINO!$B$2:$M$100000,6,FALSE)</f>
        <v/>
      </c>
      <c r="G1882" s="3">
        <f>+VLOOKUP($A1882,MAGAZZINO!$B$2:$M$100000,7,FALSE)</f>
        <v/>
      </c>
      <c r="H1882" s="3">
        <f>+VLOOKUP($A1882,MAGAZZINO!$B$2:$M$100000,8,FALSE)</f>
        <v/>
      </c>
      <c r="I1882" s="3">
        <f>+VLOOKUP($A1882,MAGAZZINO!$B$2:$M$100000,9,FALSE)</f>
        <v/>
      </c>
      <c r="J1882" s="3">
        <f>+VLOOKUP($A1882,MAGAZZINO!$B$2:$M$100000,10,FALSE)</f>
        <v/>
      </c>
      <c r="K1882" s="3">
        <f>+VLOOKUP($A1882,MAGAZZINO!$B$2:$M$100000,11,FALSE)</f>
        <v/>
      </c>
      <c r="L1882" s="5">
        <f>+VLOOKUP($A1882,MAGAZZINO!$B$2:$M$100000,12,FALSE)</f>
        <v/>
      </c>
      <c r="M1882" s="47" t="n"/>
      <c r="N1882" s="54" t="n"/>
      <c r="O1882" s="3" t="n"/>
      <c r="P1882" s="149" t="n"/>
      <c r="Q1882" s="150" t="n"/>
      <c r="R1882" s="150" t="n"/>
      <c r="S1882" s="151" t="n"/>
    </row>
    <row r="1883" ht="36" customHeight="1">
      <c r="A1883" s="46" t="n">
        <v>4213</v>
      </c>
      <c r="B1883" s="4">
        <f>+VLOOKUP($A1883,MAGAZZINO!$B$2:$M$100000,2,FALSE)</f>
        <v/>
      </c>
      <c r="C1883" s="29">
        <f>+VLOOKUP($A1883,MAGAZZINO!$B$2:$M$100000,3,FALSE)</f>
        <v/>
      </c>
      <c r="D1883" s="3">
        <f>+VLOOKUP($A1883,MAGAZZINO!$B$2:$M$100000,4,FALSE)</f>
        <v/>
      </c>
      <c r="E1883" s="3">
        <f>+VLOOKUP($A1883,MAGAZZINO!$B$2:$M$100000,5,FALSE)</f>
        <v/>
      </c>
      <c r="F1883" s="3">
        <f>+VLOOKUP($A1883,MAGAZZINO!$B$2:$M$100000,6,FALSE)</f>
        <v/>
      </c>
      <c r="G1883" s="3">
        <f>+VLOOKUP($A1883,MAGAZZINO!$B$2:$M$100000,7,FALSE)</f>
        <v/>
      </c>
      <c r="H1883" s="3">
        <f>+VLOOKUP($A1883,MAGAZZINO!$B$2:$M$100000,8,FALSE)</f>
        <v/>
      </c>
      <c r="I1883" s="3">
        <f>+VLOOKUP($A1883,MAGAZZINO!$B$2:$M$100000,9,FALSE)</f>
        <v/>
      </c>
      <c r="J1883" s="3">
        <f>+VLOOKUP($A1883,MAGAZZINO!$B$2:$M$100000,10,FALSE)</f>
        <v/>
      </c>
      <c r="K1883" s="3">
        <f>+VLOOKUP($A1883,MAGAZZINO!$B$2:$M$100000,11,FALSE)</f>
        <v/>
      </c>
      <c r="L1883" s="5">
        <f>+VLOOKUP($A1883,MAGAZZINO!$B$2:$M$100000,12,FALSE)</f>
        <v/>
      </c>
      <c r="M1883" s="47" t="n"/>
      <c r="N1883" s="54" t="n"/>
      <c r="O1883" s="3" t="n"/>
      <c r="P1883" s="149" t="n"/>
      <c r="Q1883" s="150" t="n"/>
      <c r="R1883" s="150" t="n"/>
      <c r="S1883" s="151" t="n"/>
    </row>
    <row r="1884" ht="36" customHeight="1">
      <c r="A1884" s="46" t="n">
        <v>4214</v>
      </c>
      <c r="B1884" s="4">
        <f>+VLOOKUP($A1884,MAGAZZINO!$B$2:$M$100000,2,FALSE)</f>
        <v/>
      </c>
      <c r="C1884" s="29">
        <f>+VLOOKUP($A1884,MAGAZZINO!$B$2:$M$100000,3,FALSE)</f>
        <v/>
      </c>
      <c r="D1884" s="3">
        <f>+VLOOKUP($A1884,MAGAZZINO!$B$2:$M$100000,4,FALSE)</f>
        <v/>
      </c>
      <c r="E1884" s="3">
        <f>+VLOOKUP($A1884,MAGAZZINO!$B$2:$M$100000,5,FALSE)</f>
        <v/>
      </c>
      <c r="F1884" s="3">
        <f>+VLOOKUP($A1884,MAGAZZINO!$B$2:$M$100000,6,FALSE)</f>
        <v/>
      </c>
      <c r="G1884" s="3">
        <f>+VLOOKUP($A1884,MAGAZZINO!$B$2:$M$100000,7,FALSE)</f>
        <v/>
      </c>
      <c r="H1884" s="3">
        <f>+VLOOKUP($A1884,MAGAZZINO!$B$2:$M$100000,8,FALSE)</f>
        <v/>
      </c>
      <c r="I1884" s="3">
        <f>+VLOOKUP($A1884,MAGAZZINO!$B$2:$M$100000,9,FALSE)</f>
        <v/>
      </c>
      <c r="J1884" s="3">
        <f>+VLOOKUP($A1884,MAGAZZINO!$B$2:$M$100000,10,FALSE)</f>
        <v/>
      </c>
      <c r="K1884" s="3">
        <f>+VLOOKUP($A1884,MAGAZZINO!$B$2:$M$100000,11,FALSE)</f>
        <v/>
      </c>
      <c r="L1884" s="5">
        <f>+VLOOKUP($A1884,MAGAZZINO!$B$2:$M$100000,12,FALSE)</f>
        <v/>
      </c>
      <c r="M1884" s="47" t="n"/>
      <c r="N1884" s="54" t="n"/>
      <c r="O1884" s="3" t="n"/>
      <c r="P1884" s="149" t="n"/>
      <c r="Q1884" s="150" t="n"/>
      <c r="R1884" s="150" t="n"/>
      <c r="S1884" s="151" t="n"/>
    </row>
    <row r="1885" ht="36" customHeight="1">
      <c r="A1885" s="46" t="n">
        <v>4215</v>
      </c>
      <c r="B1885" s="4">
        <f>+VLOOKUP($A1885,MAGAZZINO!$B$2:$M$100000,2,FALSE)</f>
        <v/>
      </c>
      <c r="C1885" s="29">
        <f>+VLOOKUP($A1885,MAGAZZINO!$B$2:$M$100000,3,FALSE)</f>
        <v/>
      </c>
      <c r="D1885" s="3">
        <f>+VLOOKUP($A1885,MAGAZZINO!$B$2:$M$100000,4,FALSE)</f>
        <v/>
      </c>
      <c r="E1885" s="3">
        <f>+VLOOKUP($A1885,MAGAZZINO!$B$2:$M$100000,5,FALSE)</f>
        <v/>
      </c>
      <c r="F1885" s="3">
        <f>+VLOOKUP($A1885,MAGAZZINO!$B$2:$M$100000,6,FALSE)</f>
        <v/>
      </c>
      <c r="G1885" s="3">
        <f>+VLOOKUP($A1885,MAGAZZINO!$B$2:$M$100000,7,FALSE)</f>
        <v/>
      </c>
      <c r="H1885" s="3">
        <f>+VLOOKUP($A1885,MAGAZZINO!$B$2:$M$100000,8,FALSE)</f>
        <v/>
      </c>
      <c r="I1885" s="3">
        <f>+VLOOKUP($A1885,MAGAZZINO!$B$2:$M$100000,9,FALSE)</f>
        <v/>
      </c>
      <c r="J1885" s="3">
        <f>+VLOOKUP($A1885,MAGAZZINO!$B$2:$M$100000,10,FALSE)</f>
        <v/>
      </c>
      <c r="K1885" s="3">
        <f>+VLOOKUP($A1885,MAGAZZINO!$B$2:$M$100000,11,FALSE)</f>
        <v/>
      </c>
      <c r="L1885" s="5">
        <f>+VLOOKUP($A1885,MAGAZZINO!$B$2:$M$100000,12,FALSE)</f>
        <v/>
      </c>
      <c r="M1885" s="47" t="n"/>
      <c r="N1885" s="54" t="n"/>
      <c r="O1885" s="3" t="n"/>
      <c r="P1885" s="149" t="n"/>
      <c r="Q1885" s="150" t="n"/>
      <c r="R1885" s="150" t="n"/>
      <c r="S1885" s="151" t="n"/>
    </row>
    <row r="1886" ht="36" customHeight="1">
      <c r="A1886" s="46" t="n">
        <v>4216</v>
      </c>
      <c r="B1886" s="4">
        <f>+VLOOKUP($A1886,MAGAZZINO!$B$2:$M$100000,2,FALSE)</f>
        <v/>
      </c>
      <c r="C1886" s="29">
        <f>+VLOOKUP($A1886,MAGAZZINO!$B$2:$M$100000,3,FALSE)</f>
        <v/>
      </c>
      <c r="D1886" s="3">
        <f>+VLOOKUP($A1886,MAGAZZINO!$B$2:$M$100000,4,FALSE)</f>
        <v/>
      </c>
      <c r="E1886" s="3">
        <f>+VLOOKUP($A1886,MAGAZZINO!$B$2:$M$100000,5,FALSE)</f>
        <v/>
      </c>
      <c r="F1886" s="3">
        <f>+VLOOKUP($A1886,MAGAZZINO!$B$2:$M$100000,6,FALSE)</f>
        <v/>
      </c>
      <c r="G1886" s="3">
        <f>+VLOOKUP($A1886,MAGAZZINO!$B$2:$M$100000,7,FALSE)</f>
        <v/>
      </c>
      <c r="H1886" s="3">
        <f>+VLOOKUP($A1886,MAGAZZINO!$B$2:$M$100000,8,FALSE)</f>
        <v/>
      </c>
      <c r="I1886" s="3">
        <f>+VLOOKUP($A1886,MAGAZZINO!$B$2:$M$100000,9,FALSE)</f>
        <v/>
      </c>
      <c r="J1886" s="3">
        <f>+VLOOKUP($A1886,MAGAZZINO!$B$2:$M$100000,10,FALSE)</f>
        <v/>
      </c>
      <c r="K1886" s="3">
        <f>+VLOOKUP($A1886,MAGAZZINO!$B$2:$M$100000,11,FALSE)</f>
        <v/>
      </c>
      <c r="L1886" s="5">
        <f>+VLOOKUP($A1886,MAGAZZINO!$B$2:$M$100000,12,FALSE)</f>
        <v/>
      </c>
      <c r="M1886" s="47" t="n"/>
      <c r="N1886" s="54" t="n"/>
      <c r="O1886" s="3" t="n"/>
      <c r="P1886" s="149" t="n"/>
      <c r="Q1886" s="150" t="n"/>
      <c r="R1886" s="150" t="n"/>
      <c r="S1886" s="151" t="n"/>
    </row>
    <row r="1887" ht="36" customHeight="1">
      <c r="A1887" s="46" t="n">
        <v>4217</v>
      </c>
      <c r="B1887" s="4">
        <f>+VLOOKUP($A1887,MAGAZZINO!$B$2:$M$100000,2,FALSE)</f>
        <v/>
      </c>
      <c r="C1887" s="29">
        <f>+VLOOKUP($A1887,MAGAZZINO!$B$2:$M$100000,3,FALSE)</f>
        <v/>
      </c>
      <c r="D1887" s="3">
        <f>+VLOOKUP($A1887,MAGAZZINO!$B$2:$M$100000,4,FALSE)</f>
        <v/>
      </c>
      <c r="E1887" s="3">
        <f>+VLOOKUP($A1887,MAGAZZINO!$B$2:$M$100000,5,FALSE)</f>
        <v/>
      </c>
      <c r="F1887" s="3">
        <f>+VLOOKUP($A1887,MAGAZZINO!$B$2:$M$100000,6,FALSE)</f>
        <v/>
      </c>
      <c r="G1887" s="3">
        <f>+VLOOKUP($A1887,MAGAZZINO!$B$2:$M$100000,7,FALSE)</f>
        <v/>
      </c>
      <c r="H1887" s="3">
        <f>+VLOOKUP($A1887,MAGAZZINO!$B$2:$M$100000,8,FALSE)</f>
        <v/>
      </c>
      <c r="I1887" s="3">
        <f>+VLOOKUP($A1887,MAGAZZINO!$B$2:$M$100000,9,FALSE)</f>
        <v/>
      </c>
      <c r="J1887" s="3">
        <f>+VLOOKUP($A1887,MAGAZZINO!$B$2:$M$100000,10,FALSE)</f>
        <v/>
      </c>
      <c r="K1887" s="3">
        <f>+VLOOKUP($A1887,MAGAZZINO!$B$2:$M$100000,11,FALSE)</f>
        <v/>
      </c>
      <c r="L1887" s="5">
        <f>+VLOOKUP($A1887,MAGAZZINO!$B$2:$M$100000,12,FALSE)</f>
        <v/>
      </c>
      <c r="M1887" s="47" t="n"/>
      <c r="N1887" s="54" t="n"/>
      <c r="O1887" s="3" t="n"/>
      <c r="P1887" s="149" t="n"/>
      <c r="Q1887" s="150" t="n"/>
      <c r="R1887" s="150" t="n"/>
      <c r="S1887" s="151" t="n"/>
    </row>
    <row r="1888" ht="36" customHeight="1">
      <c r="A1888" s="46" t="n">
        <v>4218</v>
      </c>
      <c r="B1888" s="4">
        <f>+VLOOKUP($A1888,MAGAZZINO!$B$2:$M$100000,2,FALSE)</f>
        <v/>
      </c>
      <c r="C1888" s="29">
        <f>+VLOOKUP($A1888,MAGAZZINO!$B$2:$M$100000,3,FALSE)</f>
        <v/>
      </c>
      <c r="D1888" s="3">
        <f>+VLOOKUP($A1888,MAGAZZINO!$B$2:$M$100000,4,FALSE)</f>
        <v/>
      </c>
      <c r="E1888" s="3">
        <f>+VLOOKUP($A1888,MAGAZZINO!$B$2:$M$100000,5,FALSE)</f>
        <v/>
      </c>
      <c r="F1888" s="3">
        <f>+VLOOKUP($A1888,MAGAZZINO!$B$2:$M$100000,6,FALSE)</f>
        <v/>
      </c>
      <c r="G1888" s="3">
        <f>+VLOOKUP($A1888,MAGAZZINO!$B$2:$M$100000,7,FALSE)</f>
        <v/>
      </c>
      <c r="H1888" s="3">
        <f>+VLOOKUP($A1888,MAGAZZINO!$B$2:$M$100000,8,FALSE)</f>
        <v/>
      </c>
      <c r="I1888" s="3">
        <f>+VLOOKUP($A1888,MAGAZZINO!$B$2:$M$100000,9,FALSE)</f>
        <v/>
      </c>
      <c r="J1888" s="3">
        <f>+VLOOKUP($A1888,MAGAZZINO!$B$2:$M$100000,10,FALSE)</f>
        <v/>
      </c>
      <c r="K1888" s="3">
        <f>+VLOOKUP($A1888,MAGAZZINO!$B$2:$M$100000,11,FALSE)</f>
        <v/>
      </c>
      <c r="L1888" s="5">
        <f>+VLOOKUP($A1888,MAGAZZINO!$B$2:$M$100000,12,FALSE)</f>
        <v/>
      </c>
      <c r="M1888" s="47" t="n"/>
      <c r="N1888" s="54" t="n"/>
      <c r="O1888" s="3" t="n"/>
      <c r="P1888" s="149" t="n"/>
      <c r="Q1888" s="150" t="n"/>
      <c r="R1888" s="150" t="n"/>
      <c r="S1888" s="151" t="n"/>
    </row>
    <row r="1889" ht="36" customHeight="1">
      <c r="A1889" s="46" t="n">
        <v>4219</v>
      </c>
      <c r="B1889" s="4">
        <f>+VLOOKUP($A1889,MAGAZZINO!$B$2:$M$100000,2,FALSE)</f>
        <v/>
      </c>
      <c r="C1889" s="29">
        <f>+VLOOKUP($A1889,MAGAZZINO!$B$2:$M$100000,3,FALSE)</f>
        <v/>
      </c>
      <c r="D1889" s="3">
        <f>+VLOOKUP($A1889,MAGAZZINO!$B$2:$M$100000,4,FALSE)</f>
        <v/>
      </c>
      <c r="E1889" s="3">
        <f>+VLOOKUP($A1889,MAGAZZINO!$B$2:$M$100000,5,FALSE)</f>
        <v/>
      </c>
      <c r="F1889" s="3">
        <f>+VLOOKUP($A1889,MAGAZZINO!$B$2:$M$100000,6,FALSE)</f>
        <v/>
      </c>
      <c r="G1889" s="3">
        <f>+VLOOKUP($A1889,MAGAZZINO!$B$2:$M$100000,7,FALSE)</f>
        <v/>
      </c>
      <c r="H1889" s="3">
        <f>+VLOOKUP($A1889,MAGAZZINO!$B$2:$M$100000,8,FALSE)</f>
        <v/>
      </c>
      <c r="I1889" s="3">
        <f>+VLOOKUP($A1889,MAGAZZINO!$B$2:$M$100000,9,FALSE)</f>
        <v/>
      </c>
      <c r="J1889" s="3">
        <f>+VLOOKUP($A1889,MAGAZZINO!$B$2:$M$100000,10,FALSE)</f>
        <v/>
      </c>
      <c r="K1889" s="3">
        <f>+VLOOKUP($A1889,MAGAZZINO!$B$2:$M$100000,11,FALSE)</f>
        <v/>
      </c>
      <c r="L1889" s="5">
        <f>+VLOOKUP($A1889,MAGAZZINO!$B$2:$M$100000,12,FALSE)</f>
        <v/>
      </c>
      <c r="M1889" s="47" t="n"/>
      <c r="N1889" s="54" t="n"/>
      <c r="O1889" s="3" t="n"/>
      <c r="P1889" s="149" t="n"/>
      <c r="Q1889" s="150" t="n"/>
      <c r="R1889" s="150" t="n"/>
      <c r="S1889" s="151" t="n"/>
    </row>
    <row r="1890" ht="36" customHeight="1">
      <c r="A1890" s="46" t="n">
        <v>4220</v>
      </c>
      <c r="B1890" s="4">
        <f>+VLOOKUP($A1890,MAGAZZINO!$B$2:$M$100000,2,FALSE)</f>
        <v/>
      </c>
      <c r="C1890" s="29">
        <f>+VLOOKUP($A1890,MAGAZZINO!$B$2:$M$100000,3,FALSE)</f>
        <v/>
      </c>
      <c r="D1890" s="3">
        <f>+VLOOKUP($A1890,MAGAZZINO!$B$2:$M$100000,4,FALSE)</f>
        <v/>
      </c>
      <c r="E1890" s="3">
        <f>+VLOOKUP($A1890,MAGAZZINO!$B$2:$M$100000,5,FALSE)</f>
        <v/>
      </c>
      <c r="F1890" s="3">
        <f>+VLOOKUP($A1890,MAGAZZINO!$B$2:$M$100000,6,FALSE)</f>
        <v/>
      </c>
      <c r="G1890" s="3">
        <f>+VLOOKUP($A1890,MAGAZZINO!$B$2:$M$100000,7,FALSE)</f>
        <v/>
      </c>
      <c r="H1890" s="3">
        <f>+VLOOKUP($A1890,MAGAZZINO!$B$2:$M$100000,8,FALSE)</f>
        <v/>
      </c>
      <c r="I1890" s="3">
        <f>+VLOOKUP($A1890,MAGAZZINO!$B$2:$M$100000,9,FALSE)</f>
        <v/>
      </c>
      <c r="J1890" s="3">
        <f>+VLOOKUP($A1890,MAGAZZINO!$B$2:$M$100000,10,FALSE)</f>
        <v/>
      </c>
      <c r="K1890" s="3">
        <f>+VLOOKUP($A1890,MAGAZZINO!$B$2:$M$100000,11,FALSE)</f>
        <v/>
      </c>
      <c r="L1890" s="5">
        <f>+VLOOKUP($A1890,MAGAZZINO!$B$2:$M$100000,12,FALSE)</f>
        <v/>
      </c>
      <c r="M1890" s="47" t="n"/>
      <c r="N1890" s="54" t="n"/>
      <c r="O1890" s="3" t="n"/>
      <c r="P1890" s="149" t="n"/>
      <c r="Q1890" s="150" t="n"/>
      <c r="R1890" s="150" t="n"/>
      <c r="S1890" s="151" t="n"/>
    </row>
    <row r="1891" ht="36" customHeight="1">
      <c r="A1891" s="46" t="n">
        <v>4221</v>
      </c>
      <c r="B1891" s="4">
        <f>+VLOOKUP($A1891,MAGAZZINO!$B$2:$M$100000,2,FALSE)</f>
        <v/>
      </c>
      <c r="C1891" s="29">
        <f>+VLOOKUP($A1891,MAGAZZINO!$B$2:$M$100000,3,FALSE)</f>
        <v/>
      </c>
      <c r="D1891" s="3">
        <f>+VLOOKUP($A1891,MAGAZZINO!$B$2:$M$100000,4,FALSE)</f>
        <v/>
      </c>
      <c r="E1891" s="3">
        <f>+VLOOKUP($A1891,MAGAZZINO!$B$2:$M$100000,5,FALSE)</f>
        <v/>
      </c>
      <c r="F1891" s="3">
        <f>+VLOOKUP($A1891,MAGAZZINO!$B$2:$M$100000,6,FALSE)</f>
        <v/>
      </c>
      <c r="G1891" s="3">
        <f>+VLOOKUP($A1891,MAGAZZINO!$B$2:$M$100000,7,FALSE)</f>
        <v/>
      </c>
      <c r="H1891" s="3">
        <f>+VLOOKUP($A1891,MAGAZZINO!$B$2:$M$100000,8,FALSE)</f>
        <v/>
      </c>
      <c r="I1891" s="3">
        <f>+VLOOKUP($A1891,MAGAZZINO!$B$2:$M$100000,9,FALSE)</f>
        <v/>
      </c>
      <c r="J1891" s="3">
        <f>+VLOOKUP($A1891,MAGAZZINO!$B$2:$M$100000,10,FALSE)</f>
        <v/>
      </c>
      <c r="K1891" s="3">
        <f>+VLOOKUP($A1891,MAGAZZINO!$B$2:$M$100000,11,FALSE)</f>
        <v/>
      </c>
      <c r="L1891" s="5">
        <f>+VLOOKUP($A1891,MAGAZZINO!$B$2:$M$100000,12,FALSE)</f>
        <v/>
      </c>
      <c r="M1891" s="47" t="n"/>
      <c r="N1891" s="54" t="n"/>
      <c r="O1891" s="3" t="n"/>
      <c r="P1891" s="149" t="n"/>
      <c r="Q1891" s="150" t="n"/>
      <c r="R1891" s="150" t="n"/>
      <c r="S1891" s="151" t="n"/>
    </row>
    <row r="1892" ht="36" customHeight="1">
      <c r="A1892" s="46" t="n">
        <v>4222</v>
      </c>
      <c r="B1892" s="4">
        <f>+VLOOKUP($A1892,MAGAZZINO!$B$2:$M$100000,2,FALSE)</f>
        <v/>
      </c>
      <c r="C1892" s="29">
        <f>+VLOOKUP($A1892,MAGAZZINO!$B$2:$M$100000,3,FALSE)</f>
        <v/>
      </c>
      <c r="D1892" s="3">
        <f>+VLOOKUP($A1892,MAGAZZINO!$B$2:$M$100000,4,FALSE)</f>
        <v/>
      </c>
      <c r="E1892" s="3">
        <f>+VLOOKUP($A1892,MAGAZZINO!$B$2:$M$100000,5,FALSE)</f>
        <v/>
      </c>
      <c r="F1892" s="3">
        <f>+VLOOKUP($A1892,MAGAZZINO!$B$2:$M$100000,6,FALSE)</f>
        <v/>
      </c>
      <c r="G1892" s="3">
        <f>+VLOOKUP($A1892,MAGAZZINO!$B$2:$M$100000,7,FALSE)</f>
        <v/>
      </c>
      <c r="H1892" s="3">
        <f>+VLOOKUP($A1892,MAGAZZINO!$B$2:$M$100000,8,FALSE)</f>
        <v/>
      </c>
      <c r="I1892" s="3">
        <f>+VLOOKUP($A1892,MAGAZZINO!$B$2:$M$100000,9,FALSE)</f>
        <v/>
      </c>
      <c r="J1892" s="3">
        <f>+VLOOKUP($A1892,MAGAZZINO!$B$2:$M$100000,10,FALSE)</f>
        <v/>
      </c>
      <c r="K1892" s="3">
        <f>+VLOOKUP($A1892,MAGAZZINO!$B$2:$M$100000,11,FALSE)</f>
        <v/>
      </c>
      <c r="L1892" s="5">
        <f>+VLOOKUP($A1892,MAGAZZINO!$B$2:$M$100000,12,FALSE)</f>
        <v/>
      </c>
      <c r="M1892" s="47" t="n"/>
      <c r="N1892" s="54" t="n"/>
      <c r="O1892" s="3" t="n"/>
      <c r="P1892" s="149" t="n"/>
      <c r="Q1892" s="150" t="n"/>
      <c r="R1892" s="150" t="n"/>
      <c r="S1892" s="151" t="n"/>
    </row>
    <row r="1893" ht="36" customHeight="1">
      <c r="A1893" s="46" t="n">
        <v>4223</v>
      </c>
      <c r="B1893" s="4">
        <f>+VLOOKUP($A1893,MAGAZZINO!$B$2:$M$100000,2,FALSE)</f>
        <v/>
      </c>
      <c r="C1893" s="29">
        <f>+VLOOKUP($A1893,MAGAZZINO!$B$2:$M$100000,3,FALSE)</f>
        <v/>
      </c>
      <c r="D1893" s="3">
        <f>+VLOOKUP($A1893,MAGAZZINO!$B$2:$M$100000,4,FALSE)</f>
        <v/>
      </c>
      <c r="E1893" s="3">
        <f>+VLOOKUP($A1893,MAGAZZINO!$B$2:$M$100000,5,FALSE)</f>
        <v/>
      </c>
      <c r="F1893" s="3">
        <f>+VLOOKUP($A1893,MAGAZZINO!$B$2:$M$100000,6,FALSE)</f>
        <v/>
      </c>
      <c r="G1893" s="3">
        <f>+VLOOKUP($A1893,MAGAZZINO!$B$2:$M$100000,7,FALSE)</f>
        <v/>
      </c>
      <c r="H1893" s="3">
        <f>+VLOOKUP($A1893,MAGAZZINO!$B$2:$M$100000,8,FALSE)</f>
        <v/>
      </c>
      <c r="I1893" s="3">
        <f>+VLOOKUP($A1893,MAGAZZINO!$B$2:$M$100000,9,FALSE)</f>
        <v/>
      </c>
      <c r="J1893" s="3">
        <f>+VLOOKUP($A1893,MAGAZZINO!$B$2:$M$100000,10,FALSE)</f>
        <v/>
      </c>
      <c r="K1893" s="3">
        <f>+VLOOKUP($A1893,MAGAZZINO!$B$2:$M$100000,11,FALSE)</f>
        <v/>
      </c>
      <c r="L1893" s="5">
        <f>+VLOOKUP($A1893,MAGAZZINO!$B$2:$M$100000,12,FALSE)</f>
        <v/>
      </c>
      <c r="M1893" s="47" t="n"/>
      <c r="N1893" s="54" t="n"/>
      <c r="O1893" s="3" t="n"/>
      <c r="P1893" s="149" t="n"/>
      <c r="Q1893" s="150" t="n"/>
      <c r="R1893" s="150" t="n"/>
      <c r="S1893" s="151" t="n"/>
    </row>
    <row r="1894" ht="36" customHeight="1">
      <c r="A1894" s="46" t="n">
        <v>4224</v>
      </c>
      <c r="B1894" s="4">
        <f>+VLOOKUP($A1894,MAGAZZINO!$B$2:$M$100000,2,FALSE)</f>
        <v/>
      </c>
      <c r="C1894" s="29">
        <f>+VLOOKUP($A1894,MAGAZZINO!$B$2:$M$100000,3,FALSE)</f>
        <v/>
      </c>
      <c r="D1894" s="3">
        <f>+VLOOKUP($A1894,MAGAZZINO!$B$2:$M$100000,4,FALSE)</f>
        <v/>
      </c>
      <c r="E1894" s="3">
        <f>+VLOOKUP($A1894,MAGAZZINO!$B$2:$M$100000,5,FALSE)</f>
        <v/>
      </c>
      <c r="F1894" s="3">
        <f>+VLOOKUP($A1894,MAGAZZINO!$B$2:$M$100000,6,FALSE)</f>
        <v/>
      </c>
      <c r="G1894" s="3">
        <f>+VLOOKUP($A1894,MAGAZZINO!$B$2:$M$100000,7,FALSE)</f>
        <v/>
      </c>
      <c r="H1894" s="3">
        <f>+VLOOKUP($A1894,MAGAZZINO!$B$2:$M$100000,8,FALSE)</f>
        <v/>
      </c>
      <c r="I1894" s="3">
        <f>+VLOOKUP($A1894,MAGAZZINO!$B$2:$M$100000,9,FALSE)</f>
        <v/>
      </c>
      <c r="J1894" s="3">
        <f>+VLOOKUP($A1894,MAGAZZINO!$B$2:$M$100000,10,FALSE)</f>
        <v/>
      </c>
      <c r="K1894" s="3">
        <f>+VLOOKUP($A1894,MAGAZZINO!$B$2:$M$100000,11,FALSE)</f>
        <v/>
      </c>
      <c r="L1894" s="5">
        <f>+VLOOKUP($A1894,MAGAZZINO!$B$2:$M$100000,12,FALSE)</f>
        <v/>
      </c>
      <c r="M1894" s="47" t="n"/>
      <c r="N1894" s="54" t="n"/>
      <c r="O1894" s="3" t="n"/>
      <c r="P1894" s="149" t="n"/>
      <c r="Q1894" s="150" t="n"/>
      <c r="R1894" s="150" t="n"/>
      <c r="S1894" s="151" t="n"/>
    </row>
    <row r="1895" ht="36" customHeight="1">
      <c r="A1895" s="46" t="n">
        <v>4225</v>
      </c>
      <c r="B1895" s="4">
        <f>+VLOOKUP($A1895,MAGAZZINO!$B$2:$M$100000,2,FALSE)</f>
        <v/>
      </c>
      <c r="C1895" s="29">
        <f>+VLOOKUP($A1895,MAGAZZINO!$B$2:$M$100000,3,FALSE)</f>
        <v/>
      </c>
      <c r="D1895" s="3">
        <f>+VLOOKUP($A1895,MAGAZZINO!$B$2:$M$100000,4,FALSE)</f>
        <v/>
      </c>
      <c r="E1895" s="3">
        <f>+VLOOKUP($A1895,MAGAZZINO!$B$2:$M$100000,5,FALSE)</f>
        <v/>
      </c>
      <c r="F1895" s="3">
        <f>+VLOOKUP($A1895,MAGAZZINO!$B$2:$M$100000,6,FALSE)</f>
        <v/>
      </c>
      <c r="G1895" s="3">
        <f>+VLOOKUP($A1895,MAGAZZINO!$B$2:$M$100000,7,FALSE)</f>
        <v/>
      </c>
      <c r="H1895" s="3">
        <f>+VLOOKUP($A1895,MAGAZZINO!$B$2:$M$100000,8,FALSE)</f>
        <v/>
      </c>
      <c r="I1895" s="3">
        <f>+VLOOKUP($A1895,MAGAZZINO!$B$2:$M$100000,9,FALSE)</f>
        <v/>
      </c>
      <c r="J1895" s="3">
        <f>+VLOOKUP($A1895,MAGAZZINO!$B$2:$M$100000,10,FALSE)</f>
        <v/>
      </c>
      <c r="K1895" s="3">
        <f>+VLOOKUP($A1895,MAGAZZINO!$B$2:$M$100000,11,FALSE)</f>
        <v/>
      </c>
      <c r="L1895" s="5">
        <f>+VLOOKUP($A1895,MAGAZZINO!$B$2:$M$100000,12,FALSE)</f>
        <v/>
      </c>
      <c r="M1895" s="47" t="n"/>
      <c r="N1895" s="54" t="n"/>
      <c r="O1895" s="3" t="n"/>
      <c r="P1895" s="149" t="n"/>
      <c r="Q1895" s="150" t="n"/>
      <c r="R1895" s="150" t="n"/>
      <c r="S1895" s="151" t="n"/>
    </row>
    <row r="1896" ht="36" customHeight="1">
      <c r="A1896" s="46" t="n">
        <v>4226</v>
      </c>
      <c r="B1896" s="4">
        <f>+VLOOKUP($A1896,MAGAZZINO!$B$2:$M$100000,2,FALSE)</f>
        <v/>
      </c>
      <c r="C1896" s="29">
        <f>+VLOOKUP($A1896,MAGAZZINO!$B$2:$M$100000,3,FALSE)</f>
        <v/>
      </c>
      <c r="D1896" s="3">
        <f>+VLOOKUP($A1896,MAGAZZINO!$B$2:$M$100000,4,FALSE)</f>
        <v/>
      </c>
      <c r="E1896" s="3">
        <f>+VLOOKUP($A1896,MAGAZZINO!$B$2:$M$100000,5,FALSE)</f>
        <v/>
      </c>
      <c r="F1896" s="3">
        <f>+VLOOKUP($A1896,MAGAZZINO!$B$2:$M$100000,6,FALSE)</f>
        <v/>
      </c>
      <c r="G1896" s="3">
        <f>+VLOOKUP($A1896,MAGAZZINO!$B$2:$M$100000,7,FALSE)</f>
        <v/>
      </c>
      <c r="H1896" s="3">
        <f>+VLOOKUP($A1896,MAGAZZINO!$B$2:$M$100000,8,FALSE)</f>
        <v/>
      </c>
      <c r="I1896" s="3">
        <f>+VLOOKUP($A1896,MAGAZZINO!$B$2:$M$100000,9,FALSE)</f>
        <v/>
      </c>
      <c r="J1896" s="3">
        <f>+VLOOKUP($A1896,MAGAZZINO!$B$2:$M$100000,10,FALSE)</f>
        <v/>
      </c>
      <c r="K1896" s="3">
        <f>+VLOOKUP($A1896,MAGAZZINO!$B$2:$M$100000,11,FALSE)</f>
        <v/>
      </c>
      <c r="L1896" s="5">
        <f>+VLOOKUP($A1896,MAGAZZINO!$B$2:$M$100000,12,FALSE)</f>
        <v/>
      </c>
      <c r="M1896" s="47" t="n"/>
      <c r="N1896" s="54" t="n"/>
      <c r="O1896" s="3" t="n"/>
      <c r="P1896" s="149" t="n"/>
      <c r="Q1896" s="150" t="n"/>
      <c r="R1896" s="150" t="n"/>
      <c r="S1896" s="151" t="n"/>
    </row>
    <row r="1897" ht="36" customHeight="1">
      <c r="A1897" s="46" t="n">
        <v>4227</v>
      </c>
      <c r="B1897" s="4">
        <f>+VLOOKUP($A1897,MAGAZZINO!$B$2:$M$100000,2,FALSE)</f>
        <v/>
      </c>
      <c r="C1897" s="29">
        <f>+VLOOKUP($A1897,MAGAZZINO!$B$2:$M$100000,3,FALSE)</f>
        <v/>
      </c>
      <c r="D1897" s="3">
        <f>+VLOOKUP($A1897,MAGAZZINO!$B$2:$M$100000,4,FALSE)</f>
        <v/>
      </c>
      <c r="E1897" s="3">
        <f>+VLOOKUP($A1897,MAGAZZINO!$B$2:$M$100000,5,FALSE)</f>
        <v/>
      </c>
      <c r="F1897" s="3">
        <f>+VLOOKUP($A1897,MAGAZZINO!$B$2:$M$100000,6,FALSE)</f>
        <v/>
      </c>
      <c r="G1897" s="3">
        <f>+VLOOKUP($A1897,MAGAZZINO!$B$2:$M$100000,7,FALSE)</f>
        <v/>
      </c>
      <c r="H1897" s="3">
        <f>+VLOOKUP($A1897,MAGAZZINO!$B$2:$M$100000,8,FALSE)</f>
        <v/>
      </c>
      <c r="I1897" s="3">
        <f>+VLOOKUP($A1897,MAGAZZINO!$B$2:$M$100000,9,FALSE)</f>
        <v/>
      </c>
      <c r="J1897" s="3">
        <f>+VLOOKUP($A1897,MAGAZZINO!$B$2:$M$100000,10,FALSE)</f>
        <v/>
      </c>
      <c r="K1897" s="3">
        <f>+VLOOKUP($A1897,MAGAZZINO!$B$2:$M$100000,11,FALSE)</f>
        <v/>
      </c>
      <c r="L1897" s="5">
        <f>+VLOOKUP($A1897,MAGAZZINO!$B$2:$M$100000,12,FALSE)</f>
        <v/>
      </c>
      <c r="M1897" s="47" t="n"/>
      <c r="N1897" s="54" t="n"/>
      <c r="O1897" s="3" t="n"/>
      <c r="P1897" s="149" t="n"/>
      <c r="Q1897" s="150" t="n"/>
      <c r="R1897" s="150" t="n"/>
      <c r="S1897" s="151" t="n"/>
    </row>
    <row r="1898" ht="36" customHeight="1">
      <c r="A1898" s="46" t="n">
        <v>4228</v>
      </c>
      <c r="B1898" s="4">
        <f>+VLOOKUP($A1898,MAGAZZINO!$B$2:$M$100000,2,FALSE)</f>
        <v/>
      </c>
      <c r="C1898" s="29">
        <f>+VLOOKUP($A1898,MAGAZZINO!$B$2:$M$100000,3,FALSE)</f>
        <v/>
      </c>
      <c r="D1898" s="3">
        <f>+VLOOKUP($A1898,MAGAZZINO!$B$2:$M$100000,4,FALSE)</f>
        <v/>
      </c>
      <c r="E1898" s="3">
        <f>+VLOOKUP($A1898,MAGAZZINO!$B$2:$M$100000,5,FALSE)</f>
        <v/>
      </c>
      <c r="F1898" s="3">
        <f>+VLOOKUP($A1898,MAGAZZINO!$B$2:$M$100000,6,FALSE)</f>
        <v/>
      </c>
      <c r="G1898" s="3">
        <f>+VLOOKUP($A1898,MAGAZZINO!$B$2:$M$100000,7,FALSE)</f>
        <v/>
      </c>
      <c r="H1898" s="3">
        <f>+VLOOKUP($A1898,MAGAZZINO!$B$2:$M$100000,8,FALSE)</f>
        <v/>
      </c>
      <c r="I1898" s="3">
        <f>+VLOOKUP($A1898,MAGAZZINO!$B$2:$M$100000,9,FALSE)</f>
        <v/>
      </c>
      <c r="J1898" s="3">
        <f>+VLOOKUP($A1898,MAGAZZINO!$B$2:$M$100000,10,FALSE)</f>
        <v/>
      </c>
      <c r="K1898" s="3">
        <f>+VLOOKUP($A1898,MAGAZZINO!$B$2:$M$100000,11,FALSE)</f>
        <v/>
      </c>
      <c r="L1898" s="5">
        <f>+VLOOKUP($A1898,MAGAZZINO!$B$2:$M$100000,12,FALSE)</f>
        <v/>
      </c>
      <c r="M1898" s="47" t="n"/>
      <c r="N1898" s="54" t="n"/>
      <c r="O1898" s="3" t="n"/>
      <c r="P1898" s="149" t="n"/>
      <c r="Q1898" s="150" t="n"/>
      <c r="R1898" s="150" t="n"/>
      <c r="S1898" s="151" t="n"/>
    </row>
    <row r="1899" ht="36" customHeight="1">
      <c r="A1899" s="46" t="n">
        <v>4229</v>
      </c>
      <c r="B1899" s="4">
        <f>+VLOOKUP($A1899,MAGAZZINO!$B$2:$M$100000,2,FALSE)</f>
        <v/>
      </c>
      <c r="C1899" s="29">
        <f>+VLOOKUP($A1899,MAGAZZINO!$B$2:$M$100000,3,FALSE)</f>
        <v/>
      </c>
      <c r="D1899" s="3">
        <f>+VLOOKUP($A1899,MAGAZZINO!$B$2:$M$100000,4,FALSE)</f>
        <v/>
      </c>
      <c r="E1899" s="3">
        <f>+VLOOKUP($A1899,MAGAZZINO!$B$2:$M$100000,5,FALSE)</f>
        <v/>
      </c>
      <c r="F1899" s="3">
        <f>+VLOOKUP($A1899,MAGAZZINO!$B$2:$M$100000,6,FALSE)</f>
        <v/>
      </c>
      <c r="G1899" s="3">
        <f>+VLOOKUP($A1899,MAGAZZINO!$B$2:$M$100000,7,FALSE)</f>
        <v/>
      </c>
      <c r="H1899" s="3">
        <f>+VLOOKUP($A1899,MAGAZZINO!$B$2:$M$100000,8,FALSE)</f>
        <v/>
      </c>
      <c r="I1899" s="3">
        <f>+VLOOKUP($A1899,MAGAZZINO!$B$2:$M$100000,9,FALSE)</f>
        <v/>
      </c>
      <c r="J1899" s="3">
        <f>+VLOOKUP($A1899,MAGAZZINO!$B$2:$M$100000,10,FALSE)</f>
        <v/>
      </c>
      <c r="K1899" s="3">
        <f>+VLOOKUP($A1899,MAGAZZINO!$B$2:$M$100000,11,FALSE)</f>
        <v/>
      </c>
      <c r="L1899" s="5">
        <f>+VLOOKUP($A1899,MAGAZZINO!$B$2:$M$100000,12,FALSE)</f>
        <v/>
      </c>
      <c r="M1899" s="47" t="n"/>
      <c r="N1899" s="54" t="n"/>
      <c r="O1899" s="3" t="n"/>
      <c r="P1899" s="149" t="n"/>
      <c r="Q1899" s="150" t="n"/>
      <c r="R1899" s="150" t="n"/>
      <c r="S1899" s="151" t="n"/>
    </row>
    <row r="1900" ht="36" customHeight="1">
      <c r="A1900" s="46" t="n">
        <v>4230</v>
      </c>
      <c r="B1900" s="4">
        <f>+VLOOKUP($A1900,MAGAZZINO!$B$2:$M$100000,2,FALSE)</f>
        <v/>
      </c>
      <c r="C1900" s="29">
        <f>+VLOOKUP($A1900,MAGAZZINO!$B$2:$M$100000,3,FALSE)</f>
        <v/>
      </c>
      <c r="D1900" s="3">
        <f>+VLOOKUP($A1900,MAGAZZINO!$B$2:$M$100000,4,FALSE)</f>
        <v/>
      </c>
      <c r="E1900" s="3">
        <f>+VLOOKUP($A1900,MAGAZZINO!$B$2:$M$100000,5,FALSE)</f>
        <v/>
      </c>
      <c r="F1900" s="3">
        <f>+VLOOKUP($A1900,MAGAZZINO!$B$2:$M$100000,6,FALSE)</f>
        <v/>
      </c>
      <c r="G1900" s="3">
        <f>+VLOOKUP($A1900,MAGAZZINO!$B$2:$M$100000,7,FALSE)</f>
        <v/>
      </c>
      <c r="H1900" s="3">
        <f>+VLOOKUP($A1900,MAGAZZINO!$B$2:$M$100000,8,FALSE)</f>
        <v/>
      </c>
      <c r="I1900" s="3">
        <f>+VLOOKUP($A1900,MAGAZZINO!$B$2:$M$100000,9,FALSE)</f>
        <v/>
      </c>
      <c r="J1900" s="3">
        <f>+VLOOKUP($A1900,MAGAZZINO!$B$2:$M$100000,10,FALSE)</f>
        <v/>
      </c>
      <c r="K1900" s="3">
        <f>+VLOOKUP($A1900,MAGAZZINO!$B$2:$M$100000,11,FALSE)</f>
        <v/>
      </c>
      <c r="L1900" s="5">
        <f>+VLOOKUP($A1900,MAGAZZINO!$B$2:$M$100000,12,FALSE)</f>
        <v/>
      </c>
      <c r="M1900" s="47" t="n"/>
      <c r="N1900" s="54" t="n"/>
      <c r="O1900" s="3" t="n"/>
      <c r="P1900" s="149" t="n"/>
      <c r="Q1900" s="150" t="n"/>
      <c r="R1900" s="150" t="n"/>
      <c r="S1900" s="151" t="n"/>
    </row>
    <row r="1901" ht="36" customHeight="1">
      <c r="A1901" s="46" t="n">
        <v>4231</v>
      </c>
      <c r="B1901" s="4">
        <f>+VLOOKUP($A1901,MAGAZZINO!$B$2:$M$100000,2,FALSE)</f>
        <v/>
      </c>
      <c r="C1901" s="29">
        <f>+VLOOKUP($A1901,MAGAZZINO!$B$2:$M$100000,3,FALSE)</f>
        <v/>
      </c>
      <c r="D1901" s="3">
        <f>+VLOOKUP($A1901,MAGAZZINO!$B$2:$M$100000,4,FALSE)</f>
        <v/>
      </c>
      <c r="E1901" s="3">
        <f>+VLOOKUP($A1901,MAGAZZINO!$B$2:$M$100000,5,FALSE)</f>
        <v/>
      </c>
      <c r="F1901" s="3">
        <f>+VLOOKUP($A1901,MAGAZZINO!$B$2:$M$100000,6,FALSE)</f>
        <v/>
      </c>
      <c r="G1901" s="3">
        <f>+VLOOKUP($A1901,MAGAZZINO!$B$2:$M$100000,7,FALSE)</f>
        <v/>
      </c>
      <c r="H1901" s="3">
        <f>+VLOOKUP($A1901,MAGAZZINO!$B$2:$M$100000,8,FALSE)</f>
        <v/>
      </c>
      <c r="I1901" s="3">
        <f>+VLOOKUP($A1901,MAGAZZINO!$B$2:$M$100000,9,FALSE)</f>
        <v/>
      </c>
      <c r="J1901" s="3">
        <f>+VLOOKUP($A1901,MAGAZZINO!$B$2:$M$100000,10,FALSE)</f>
        <v/>
      </c>
      <c r="K1901" s="3">
        <f>+VLOOKUP($A1901,MAGAZZINO!$B$2:$M$100000,11,FALSE)</f>
        <v/>
      </c>
      <c r="L1901" s="5">
        <f>+VLOOKUP($A1901,MAGAZZINO!$B$2:$M$100000,12,FALSE)</f>
        <v/>
      </c>
      <c r="M1901" s="47" t="n"/>
      <c r="N1901" s="54" t="n"/>
      <c r="O1901" s="3" t="n"/>
      <c r="P1901" s="149" t="n"/>
      <c r="Q1901" s="150" t="n"/>
      <c r="R1901" s="150" t="n"/>
      <c r="S1901" s="151" t="n"/>
    </row>
    <row r="1902" ht="36" customHeight="1">
      <c r="A1902" s="46" t="n">
        <v>4232</v>
      </c>
      <c r="B1902" s="4">
        <f>+VLOOKUP($A1902,MAGAZZINO!$B$2:$M$100000,2,FALSE)</f>
        <v/>
      </c>
      <c r="C1902" s="29">
        <f>+VLOOKUP($A1902,MAGAZZINO!$B$2:$M$100000,3,FALSE)</f>
        <v/>
      </c>
      <c r="D1902" s="3">
        <f>+VLOOKUP($A1902,MAGAZZINO!$B$2:$M$100000,4,FALSE)</f>
        <v/>
      </c>
      <c r="E1902" s="3">
        <f>+VLOOKUP($A1902,MAGAZZINO!$B$2:$M$100000,5,FALSE)</f>
        <v/>
      </c>
      <c r="F1902" s="3">
        <f>+VLOOKUP($A1902,MAGAZZINO!$B$2:$M$100000,6,FALSE)</f>
        <v/>
      </c>
      <c r="G1902" s="3">
        <f>+VLOOKUP($A1902,MAGAZZINO!$B$2:$M$100000,7,FALSE)</f>
        <v/>
      </c>
      <c r="H1902" s="3">
        <f>+VLOOKUP($A1902,MAGAZZINO!$B$2:$M$100000,8,FALSE)</f>
        <v/>
      </c>
      <c r="I1902" s="3">
        <f>+VLOOKUP($A1902,MAGAZZINO!$B$2:$M$100000,9,FALSE)</f>
        <v/>
      </c>
      <c r="J1902" s="3">
        <f>+VLOOKUP($A1902,MAGAZZINO!$B$2:$M$100000,10,FALSE)</f>
        <v/>
      </c>
      <c r="K1902" s="3">
        <f>+VLOOKUP($A1902,MAGAZZINO!$B$2:$M$100000,11,FALSE)</f>
        <v/>
      </c>
      <c r="L1902" s="5">
        <f>+VLOOKUP($A1902,MAGAZZINO!$B$2:$M$100000,12,FALSE)</f>
        <v/>
      </c>
      <c r="M1902" s="47" t="n"/>
      <c r="N1902" s="54" t="n"/>
      <c r="O1902" s="3" t="n"/>
      <c r="P1902" s="149" t="n"/>
      <c r="Q1902" s="150" t="n"/>
      <c r="R1902" s="150" t="n"/>
      <c r="S1902" s="151" t="n"/>
    </row>
    <row r="1903" ht="36" customHeight="1">
      <c r="A1903" s="46" t="n">
        <v>4233</v>
      </c>
      <c r="B1903" s="4">
        <f>+VLOOKUP($A1903,MAGAZZINO!$B$2:$M$100000,2,FALSE)</f>
        <v/>
      </c>
      <c r="C1903" s="29">
        <f>+VLOOKUP($A1903,MAGAZZINO!$B$2:$M$100000,3,FALSE)</f>
        <v/>
      </c>
      <c r="D1903" s="3">
        <f>+VLOOKUP($A1903,MAGAZZINO!$B$2:$M$100000,4,FALSE)</f>
        <v/>
      </c>
      <c r="E1903" s="3">
        <f>+VLOOKUP($A1903,MAGAZZINO!$B$2:$M$100000,5,FALSE)</f>
        <v/>
      </c>
      <c r="F1903" s="3">
        <f>+VLOOKUP($A1903,MAGAZZINO!$B$2:$M$100000,6,FALSE)</f>
        <v/>
      </c>
      <c r="G1903" s="3">
        <f>+VLOOKUP($A1903,MAGAZZINO!$B$2:$M$100000,7,FALSE)</f>
        <v/>
      </c>
      <c r="H1903" s="3">
        <f>+VLOOKUP($A1903,MAGAZZINO!$B$2:$M$100000,8,FALSE)</f>
        <v/>
      </c>
      <c r="I1903" s="3">
        <f>+VLOOKUP($A1903,MAGAZZINO!$B$2:$M$100000,9,FALSE)</f>
        <v/>
      </c>
      <c r="J1903" s="3">
        <f>+VLOOKUP($A1903,MAGAZZINO!$B$2:$M$100000,10,FALSE)</f>
        <v/>
      </c>
      <c r="K1903" s="3">
        <f>+VLOOKUP($A1903,MAGAZZINO!$B$2:$M$100000,11,FALSE)</f>
        <v/>
      </c>
      <c r="L1903" s="5">
        <f>+VLOOKUP($A1903,MAGAZZINO!$B$2:$M$100000,12,FALSE)</f>
        <v/>
      </c>
      <c r="M1903" s="47" t="n"/>
      <c r="N1903" s="54" t="n"/>
      <c r="O1903" s="3" t="n"/>
      <c r="P1903" s="149" t="n"/>
      <c r="Q1903" s="150" t="n"/>
      <c r="R1903" s="150" t="n"/>
      <c r="S1903" s="151" t="n"/>
    </row>
    <row r="1904" ht="36" customHeight="1">
      <c r="A1904" s="46" t="n">
        <v>4234</v>
      </c>
      <c r="B1904" s="4">
        <f>+VLOOKUP($A1904,MAGAZZINO!$B$2:$M$100000,2,FALSE)</f>
        <v/>
      </c>
      <c r="C1904" s="29">
        <f>+VLOOKUP($A1904,MAGAZZINO!$B$2:$M$100000,3,FALSE)</f>
        <v/>
      </c>
      <c r="D1904" s="3">
        <f>+VLOOKUP($A1904,MAGAZZINO!$B$2:$M$100000,4,FALSE)</f>
        <v/>
      </c>
      <c r="E1904" s="3">
        <f>+VLOOKUP($A1904,MAGAZZINO!$B$2:$M$100000,5,FALSE)</f>
        <v/>
      </c>
      <c r="F1904" s="3">
        <f>+VLOOKUP($A1904,MAGAZZINO!$B$2:$M$100000,6,FALSE)</f>
        <v/>
      </c>
      <c r="G1904" s="3">
        <f>+VLOOKUP($A1904,MAGAZZINO!$B$2:$M$100000,7,FALSE)</f>
        <v/>
      </c>
      <c r="H1904" s="3">
        <f>+VLOOKUP($A1904,MAGAZZINO!$B$2:$M$100000,8,FALSE)</f>
        <v/>
      </c>
      <c r="I1904" s="3">
        <f>+VLOOKUP($A1904,MAGAZZINO!$B$2:$M$100000,9,FALSE)</f>
        <v/>
      </c>
      <c r="J1904" s="3">
        <f>+VLOOKUP($A1904,MAGAZZINO!$B$2:$M$100000,10,FALSE)</f>
        <v/>
      </c>
      <c r="K1904" s="3">
        <f>+VLOOKUP($A1904,MAGAZZINO!$B$2:$M$100000,11,FALSE)</f>
        <v/>
      </c>
      <c r="L1904" s="5">
        <f>+VLOOKUP($A1904,MAGAZZINO!$B$2:$M$100000,12,FALSE)</f>
        <v/>
      </c>
      <c r="M1904" s="47" t="n"/>
      <c r="N1904" s="54" t="n"/>
      <c r="O1904" s="3" t="n"/>
      <c r="P1904" s="149" t="n"/>
      <c r="Q1904" s="150" t="n"/>
      <c r="R1904" s="150" t="n"/>
      <c r="S1904" s="151" t="n"/>
    </row>
    <row r="1905" ht="36" customHeight="1">
      <c r="A1905" s="46" t="n">
        <v>4235</v>
      </c>
      <c r="B1905" s="4">
        <f>+VLOOKUP($A1905,MAGAZZINO!$B$2:$M$100000,2,FALSE)</f>
        <v/>
      </c>
      <c r="C1905" s="29">
        <f>+VLOOKUP($A1905,MAGAZZINO!$B$2:$M$100000,3,FALSE)</f>
        <v/>
      </c>
      <c r="D1905" s="3">
        <f>+VLOOKUP($A1905,MAGAZZINO!$B$2:$M$100000,4,FALSE)</f>
        <v/>
      </c>
      <c r="E1905" s="3">
        <f>+VLOOKUP($A1905,MAGAZZINO!$B$2:$M$100000,5,FALSE)</f>
        <v/>
      </c>
      <c r="F1905" s="3">
        <f>+VLOOKUP($A1905,MAGAZZINO!$B$2:$M$100000,6,FALSE)</f>
        <v/>
      </c>
      <c r="G1905" s="3">
        <f>+VLOOKUP($A1905,MAGAZZINO!$B$2:$M$100000,7,FALSE)</f>
        <v/>
      </c>
      <c r="H1905" s="3">
        <f>+VLOOKUP($A1905,MAGAZZINO!$B$2:$M$100000,8,FALSE)</f>
        <v/>
      </c>
      <c r="I1905" s="3">
        <f>+VLOOKUP($A1905,MAGAZZINO!$B$2:$M$100000,9,FALSE)</f>
        <v/>
      </c>
      <c r="J1905" s="3">
        <f>+VLOOKUP($A1905,MAGAZZINO!$B$2:$M$100000,10,FALSE)</f>
        <v/>
      </c>
      <c r="K1905" s="3">
        <f>+VLOOKUP($A1905,MAGAZZINO!$B$2:$M$100000,11,FALSE)</f>
        <v/>
      </c>
      <c r="L1905" s="5">
        <f>+VLOOKUP($A1905,MAGAZZINO!$B$2:$M$100000,12,FALSE)</f>
        <v/>
      </c>
      <c r="M1905" s="47" t="n"/>
      <c r="N1905" s="54" t="n"/>
      <c r="O1905" s="3" t="n"/>
      <c r="P1905" s="149" t="n"/>
      <c r="Q1905" s="150" t="n"/>
      <c r="R1905" s="150" t="n"/>
      <c r="S1905" s="151" t="n"/>
    </row>
    <row r="1906" ht="36" customHeight="1">
      <c r="A1906" s="46" t="n">
        <v>4236</v>
      </c>
      <c r="B1906" s="4">
        <f>+VLOOKUP($A1906,MAGAZZINO!$B$2:$M$100000,2,FALSE)</f>
        <v/>
      </c>
      <c r="C1906" s="29">
        <f>+VLOOKUP($A1906,MAGAZZINO!$B$2:$M$100000,3,FALSE)</f>
        <v/>
      </c>
      <c r="D1906" s="3">
        <f>+VLOOKUP($A1906,MAGAZZINO!$B$2:$M$100000,4,FALSE)</f>
        <v/>
      </c>
      <c r="E1906" s="3">
        <f>+VLOOKUP($A1906,MAGAZZINO!$B$2:$M$100000,5,FALSE)</f>
        <v/>
      </c>
      <c r="F1906" s="3">
        <f>+VLOOKUP($A1906,MAGAZZINO!$B$2:$M$100000,6,FALSE)</f>
        <v/>
      </c>
      <c r="G1906" s="3">
        <f>+VLOOKUP($A1906,MAGAZZINO!$B$2:$M$100000,7,FALSE)</f>
        <v/>
      </c>
      <c r="H1906" s="3">
        <f>+VLOOKUP($A1906,MAGAZZINO!$B$2:$M$100000,8,FALSE)</f>
        <v/>
      </c>
      <c r="I1906" s="3">
        <f>+VLOOKUP($A1906,MAGAZZINO!$B$2:$M$100000,9,FALSE)</f>
        <v/>
      </c>
      <c r="J1906" s="3">
        <f>+VLOOKUP($A1906,MAGAZZINO!$B$2:$M$100000,10,FALSE)</f>
        <v/>
      </c>
      <c r="K1906" s="3">
        <f>+VLOOKUP($A1906,MAGAZZINO!$B$2:$M$100000,11,FALSE)</f>
        <v/>
      </c>
      <c r="L1906" s="5">
        <f>+VLOOKUP($A1906,MAGAZZINO!$B$2:$M$100000,12,FALSE)</f>
        <v/>
      </c>
      <c r="M1906" s="47" t="n"/>
      <c r="N1906" s="54" t="n"/>
      <c r="O1906" s="3" t="n"/>
      <c r="P1906" s="149" t="n"/>
      <c r="Q1906" s="150" t="n"/>
      <c r="R1906" s="150" t="n"/>
      <c r="S1906" s="151" t="n"/>
    </row>
    <row r="1907" ht="36" customHeight="1">
      <c r="A1907" s="46" t="n">
        <v>4237</v>
      </c>
      <c r="B1907" s="4">
        <f>+VLOOKUP($A1907,MAGAZZINO!$B$2:$M$100000,2,FALSE)</f>
        <v/>
      </c>
      <c r="C1907" s="29">
        <f>+VLOOKUP($A1907,MAGAZZINO!$B$2:$M$100000,3,FALSE)</f>
        <v/>
      </c>
      <c r="D1907" s="3">
        <f>+VLOOKUP($A1907,MAGAZZINO!$B$2:$M$100000,4,FALSE)</f>
        <v/>
      </c>
      <c r="E1907" s="3">
        <f>+VLOOKUP($A1907,MAGAZZINO!$B$2:$M$100000,5,FALSE)</f>
        <v/>
      </c>
      <c r="F1907" s="3">
        <f>+VLOOKUP($A1907,MAGAZZINO!$B$2:$M$100000,6,FALSE)</f>
        <v/>
      </c>
      <c r="G1907" s="3">
        <f>+VLOOKUP($A1907,MAGAZZINO!$B$2:$M$100000,7,FALSE)</f>
        <v/>
      </c>
      <c r="H1907" s="3">
        <f>+VLOOKUP($A1907,MAGAZZINO!$B$2:$M$100000,8,FALSE)</f>
        <v/>
      </c>
      <c r="I1907" s="3">
        <f>+VLOOKUP($A1907,MAGAZZINO!$B$2:$M$100000,9,FALSE)</f>
        <v/>
      </c>
      <c r="J1907" s="3">
        <f>+VLOOKUP($A1907,MAGAZZINO!$B$2:$M$100000,10,FALSE)</f>
        <v/>
      </c>
      <c r="K1907" s="3">
        <f>+VLOOKUP($A1907,MAGAZZINO!$B$2:$M$100000,11,FALSE)</f>
        <v/>
      </c>
      <c r="L1907" s="5">
        <f>+VLOOKUP($A1907,MAGAZZINO!$B$2:$M$100000,12,FALSE)</f>
        <v/>
      </c>
      <c r="M1907" s="47" t="n"/>
      <c r="N1907" s="54" t="n"/>
      <c r="O1907" s="3" t="n"/>
      <c r="P1907" s="149" t="n"/>
      <c r="Q1907" s="150" t="n"/>
      <c r="R1907" s="150" t="n"/>
      <c r="S1907" s="151" t="n"/>
    </row>
    <row r="1908" ht="36" customHeight="1">
      <c r="A1908" s="46" t="n">
        <v>4238</v>
      </c>
      <c r="B1908" s="4">
        <f>+VLOOKUP($A1908,MAGAZZINO!$B$2:$M$100000,2,FALSE)</f>
        <v/>
      </c>
      <c r="C1908" s="29">
        <f>+VLOOKUP($A1908,MAGAZZINO!$B$2:$M$100000,3,FALSE)</f>
        <v/>
      </c>
      <c r="D1908" s="3">
        <f>+VLOOKUP($A1908,MAGAZZINO!$B$2:$M$100000,4,FALSE)</f>
        <v/>
      </c>
      <c r="E1908" s="3">
        <f>+VLOOKUP($A1908,MAGAZZINO!$B$2:$M$100000,5,FALSE)</f>
        <v/>
      </c>
      <c r="F1908" s="3">
        <f>+VLOOKUP($A1908,MAGAZZINO!$B$2:$M$100000,6,FALSE)</f>
        <v/>
      </c>
      <c r="G1908" s="3">
        <f>+VLOOKUP($A1908,MAGAZZINO!$B$2:$M$100000,7,FALSE)</f>
        <v/>
      </c>
      <c r="H1908" s="3">
        <f>+VLOOKUP($A1908,MAGAZZINO!$B$2:$M$100000,8,FALSE)</f>
        <v/>
      </c>
      <c r="I1908" s="3">
        <f>+VLOOKUP($A1908,MAGAZZINO!$B$2:$M$100000,9,FALSE)</f>
        <v/>
      </c>
      <c r="J1908" s="3">
        <f>+VLOOKUP($A1908,MAGAZZINO!$B$2:$M$100000,10,FALSE)</f>
        <v/>
      </c>
      <c r="K1908" s="3">
        <f>+VLOOKUP($A1908,MAGAZZINO!$B$2:$M$100000,11,FALSE)</f>
        <v/>
      </c>
      <c r="L1908" s="5">
        <f>+VLOOKUP($A1908,MAGAZZINO!$B$2:$M$100000,12,FALSE)</f>
        <v/>
      </c>
      <c r="M1908" s="47" t="n"/>
      <c r="N1908" s="54" t="n"/>
      <c r="O1908" s="3" t="n"/>
      <c r="P1908" s="149" t="n"/>
      <c r="Q1908" s="150" t="n"/>
      <c r="R1908" s="150" t="n"/>
      <c r="S1908" s="151" t="n"/>
    </row>
    <row r="1909" ht="36" customHeight="1">
      <c r="A1909" s="46" t="n">
        <v>4239</v>
      </c>
      <c r="B1909" s="4">
        <f>+VLOOKUP($A1909,MAGAZZINO!$B$2:$M$100000,2,FALSE)</f>
        <v/>
      </c>
      <c r="C1909" s="29">
        <f>+VLOOKUP($A1909,MAGAZZINO!$B$2:$M$100000,3,FALSE)</f>
        <v/>
      </c>
      <c r="D1909" s="3">
        <f>+VLOOKUP($A1909,MAGAZZINO!$B$2:$M$100000,4,FALSE)</f>
        <v/>
      </c>
      <c r="E1909" s="3">
        <f>+VLOOKUP($A1909,MAGAZZINO!$B$2:$M$100000,5,FALSE)</f>
        <v/>
      </c>
      <c r="F1909" s="3">
        <f>+VLOOKUP($A1909,MAGAZZINO!$B$2:$M$100000,6,FALSE)</f>
        <v/>
      </c>
      <c r="G1909" s="3">
        <f>+VLOOKUP($A1909,MAGAZZINO!$B$2:$M$100000,7,FALSE)</f>
        <v/>
      </c>
      <c r="H1909" s="3">
        <f>+VLOOKUP($A1909,MAGAZZINO!$B$2:$M$100000,8,FALSE)</f>
        <v/>
      </c>
      <c r="I1909" s="3">
        <f>+VLOOKUP($A1909,MAGAZZINO!$B$2:$M$100000,9,FALSE)</f>
        <v/>
      </c>
      <c r="J1909" s="3">
        <f>+VLOOKUP($A1909,MAGAZZINO!$B$2:$M$100000,10,FALSE)</f>
        <v/>
      </c>
      <c r="K1909" s="3">
        <f>+VLOOKUP($A1909,MAGAZZINO!$B$2:$M$100000,11,FALSE)</f>
        <v/>
      </c>
      <c r="L1909" s="5">
        <f>+VLOOKUP($A1909,MAGAZZINO!$B$2:$M$100000,12,FALSE)</f>
        <v/>
      </c>
      <c r="M1909" s="47" t="n"/>
      <c r="N1909" s="54" t="n"/>
      <c r="O1909" s="3" t="n"/>
      <c r="P1909" s="149" t="n"/>
      <c r="Q1909" s="150" t="n"/>
      <c r="R1909" s="150" t="n"/>
      <c r="S1909" s="151" t="n"/>
    </row>
    <row r="1910" ht="36" customHeight="1">
      <c r="A1910" s="46" t="n">
        <v>4240</v>
      </c>
      <c r="B1910" s="4">
        <f>+VLOOKUP($A1910,MAGAZZINO!$B$2:$M$100000,2,FALSE)</f>
        <v/>
      </c>
      <c r="C1910" s="29">
        <f>+VLOOKUP($A1910,MAGAZZINO!$B$2:$M$100000,3,FALSE)</f>
        <v/>
      </c>
      <c r="D1910" s="3">
        <f>+VLOOKUP($A1910,MAGAZZINO!$B$2:$M$100000,4,FALSE)</f>
        <v/>
      </c>
      <c r="E1910" s="3">
        <f>+VLOOKUP($A1910,MAGAZZINO!$B$2:$M$100000,5,FALSE)</f>
        <v/>
      </c>
      <c r="F1910" s="3">
        <f>+VLOOKUP($A1910,MAGAZZINO!$B$2:$M$100000,6,FALSE)</f>
        <v/>
      </c>
      <c r="G1910" s="3">
        <f>+VLOOKUP($A1910,MAGAZZINO!$B$2:$M$100000,7,FALSE)</f>
        <v/>
      </c>
      <c r="H1910" s="3">
        <f>+VLOOKUP($A1910,MAGAZZINO!$B$2:$M$100000,8,FALSE)</f>
        <v/>
      </c>
      <c r="I1910" s="3">
        <f>+VLOOKUP($A1910,MAGAZZINO!$B$2:$M$100000,9,FALSE)</f>
        <v/>
      </c>
      <c r="J1910" s="3">
        <f>+VLOOKUP($A1910,MAGAZZINO!$B$2:$M$100000,10,FALSE)</f>
        <v/>
      </c>
      <c r="K1910" s="3">
        <f>+VLOOKUP($A1910,MAGAZZINO!$B$2:$M$100000,11,FALSE)</f>
        <v/>
      </c>
      <c r="L1910" s="5">
        <f>+VLOOKUP($A1910,MAGAZZINO!$B$2:$M$100000,12,FALSE)</f>
        <v/>
      </c>
      <c r="M1910" s="47" t="n"/>
      <c r="N1910" s="54" t="n"/>
      <c r="O1910" s="3" t="n"/>
      <c r="P1910" s="149" t="n"/>
      <c r="Q1910" s="150" t="n"/>
      <c r="R1910" s="150" t="n"/>
      <c r="S1910" s="151" t="n"/>
    </row>
    <row r="1911" ht="36" customHeight="1">
      <c r="A1911" s="46" t="n">
        <v>4241</v>
      </c>
      <c r="B1911" s="4">
        <f>+VLOOKUP($A1911,MAGAZZINO!$B$2:$M$100000,2,FALSE)</f>
        <v/>
      </c>
      <c r="C1911" s="29">
        <f>+VLOOKUP($A1911,MAGAZZINO!$B$2:$M$100000,3,FALSE)</f>
        <v/>
      </c>
      <c r="D1911" s="3">
        <f>+VLOOKUP($A1911,MAGAZZINO!$B$2:$M$100000,4,FALSE)</f>
        <v/>
      </c>
      <c r="E1911" s="3">
        <f>+VLOOKUP($A1911,MAGAZZINO!$B$2:$M$100000,5,FALSE)</f>
        <v/>
      </c>
      <c r="F1911" s="3">
        <f>+VLOOKUP($A1911,MAGAZZINO!$B$2:$M$100000,6,FALSE)</f>
        <v/>
      </c>
      <c r="G1911" s="3">
        <f>+VLOOKUP($A1911,MAGAZZINO!$B$2:$M$100000,7,FALSE)</f>
        <v/>
      </c>
      <c r="H1911" s="3">
        <f>+VLOOKUP($A1911,MAGAZZINO!$B$2:$M$100000,8,FALSE)</f>
        <v/>
      </c>
      <c r="I1911" s="3">
        <f>+VLOOKUP($A1911,MAGAZZINO!$B$2:$M$100000,9,FALSE)</f>
        <v/>
      </c>
      <c r="J1911" s="3">
        <f>+VLOOKUP($A1911,MAGAZZINO!$B$2:$M$100000,10,FALSE)</f>
        <v/>
      </c>
      <c r="K1911" s="3">
        <f>+VLOOKUP($A1911,MAGAZZINO!$B$2:$M$100000,11,FALSE)</f>
        <v/>
      </c>
      <c r="L1911" s="5">
        <f>+VLOOKUP($A1911,MAGAZZINO!$B$2:$M$100000,12,FALSE)</f>
        <v/>
      </c>
      <c r="M1911" s="47" t="n"/>
      <c r="N1911" s="54" t="n"/>
      <c r="O1911" s="3" t="n"/>
      <c r="P1911" s="149" t="n"/>
      <c r="Q1911" s="150" t="n"/>
      <c r="R1911" s="150" t="n"/>
      <c r="S1911" s="151" t="n"/>
    </row>
    <row r="1912" ht="36" customHeight="1">
      <c r="A1912" s="46" t="n">
        <v>4242</v>
      </c>
      <c r="B1912" s="4">
        <f>+VLOOKUP($A1912,MAGAZZINO!$B$2:$M$100000,2,FALSE)</f>
        <v/>
      </c>
      <c r="C1912" s="29">
        <f>+VLOOKUP($A1912,MAGAZZINO!$B$2:$M$100000,3,FALSE)</f>
        <v/>
      </c>
      <c r="D1912" s="3">
        <f>+VLOOKUP($A1912,MAGAZZINO!$B$2:$M$100000,4,FALSE)</f>
        <v/>
      </c>
      <c r="E1912" s="3">
        <f>+VLOOKUP($A1912,MAGAZZINO!$B$2:$M$100000,5,FALSE)</f>
        <v/>
      </c>
      <c r="F1912" s="3">
        <f>+VLOOKUP($A1912,MAGAZZINO!$B$2:$M$100000,6,FALSE)</f>
        <v/>
      </c>
      <c r="G1912" s="3">
        <f>+VLOOKUP($A1912,MAGAZZINO!$B$2:$M$100000,7,FALSE)</f>
        <v/>
      </c>
      <c r="H1912" s="3">
        <f>+VLOOKUP($A1912,MAGAZZINO!$B$2:$M$100000,8,FALSE)</f>
        <v/>
      </c>
      <c r="I1912" s="3">
        <f>+VLOOKUP($A1912,MAGAZZINO!$B$2:$M$100000,9,FALSE)</f>
        <v/>
      </c>
      <c r="J1912" s="3">
        <f>+VLOOKUP($A1912,MAGAZZINO!$B$2:$M$100000,10,FALSE)</f>
        <v/>
      </c>
      <c r="K1912" s="3">
        <f>+VLOOKUP($A1912,MAGAZZINO!$B$2:$M$100000,11,FALSE)</f>
        <v/>
      </c>
      <c r="L1912" s="5">
        <f>+VLOOKUP($A1912,MAGAZZINO!$B$2:$M$100000,12,FALSE)</f>
        <v/>
      </c>
      <c r="M1912" s="47" t="n"/>
      <c r="N1912" s="54" t="n"/>
      <c r="O1912" s="3" t="n"/>
      <c r="P1912" s="149" t="n"/>
      <c r="Q1912" s="150" t="n"/>
      <c r="R1912" s="150" t="n"/>
      <c r="S1912" s="151" t="n"/>
    </row>
    <row r="1913" ht="36" customHeight="1">
      <c r="A1913" s="46" t="n">
        <v>4243</v>
      </c>
      <c r="B1913" s="4">
        <f>+VLOOKUP($A1913,MAGAZZINO!$B$2:$M$100000,2,FALSE)</f>
        <v/>
      </c>
      <c r="C1913" s="29">
        <f>+VLOOKUP($A1913,MAGAZZINO!$B$2:$M$100000,3,FALSE)</f>
        <v/>
      </c>
      <c r="D1913" s="3">
        <f>+VLOOKUP($A1913,MAGAZZINO!$B$2:$M$100000,4,FALSE)</f>
        <v/>
      </c>
      <c r="E1913" s="3">
        <f>+VLOOKUP($A1913,MAGAZZINO!$B$2:$M$100000,5,FALSE)</f>
        <v/>
      </c>
      <c r="F1913" s="3">
        <f>+VLOOKUP($A1913,MAGAZZINO!$B$2:$M$100000,6,FALSE)</f>
        <v/>
      </c>
      <c r="G1913" s="3">
        <f>+VLOOKUP($A1913,MAGAZZINO!$B$2:$M$100000,7,FALSE)</f>
        <v/>
      </c>
      <c r="H1913" s="3">
        <f>+VLOOKUP($A1913,MAGAZZINO!$B$2:$M$100000,8,FALSE)</f>
        <v/>
      </c>
      <c r="I1913" s="3">
        <f>+VLOOKUP($A1913,MAGAZZINO!$B$2:$M$100000,9,FALSE)</f>
        <v/>
      </c>
      <c r="J1913" s="3">
        <f>+VLOOKUP($A1913,MAGAZZINO!$B$2:$M$100000,10,FALSE)</f>
        <v/>
      </c>
      <c r="K1913" s="3">
        <f>+VLOOKUP($A1913,MAGAZZINO!$B$2:$M$100000,11,FALSE)</f>
        <v/>
      </c>
      <c r="L1913" s="5">
        <f>+VLOOKUP($A1913,MAGAZZINO!$B$2:$M$100000,12,FALSE)</f>
        <v/>
      </c>
      <c r="M1913" s="47" t="n"/>
      <c r="N1913" s="54" t="n"/>
      <c r="O1913" s="3" t="n"/>
      <c r="P1913" s="149" t="n"/>
      <c r="Q1913" s="150" t="n"/>
      <c r="R1913" s="150" t="n"/>
      <c r="S1913" s="151" t="n"/>
    </row>
    <row r="1914" ht="36" customHeight="1">
      <c r="A1914" s="46" t="n">
        <v>4244</v>
      </c>
      <c r="B1914" s="4">
        <f>+VLOOKUP($A1914,MAGAZZINO!$B$2:$M$100000,2,FALSE)</f>
        <v/>
      </c>
      <c r="C1914" s="29">
        <f>+VLOOKUP($A1914,MAGAZZINO!$B$2:$M$100000,3,FALSE)</f>
        <v/>
      </c>
      <c r="D1914" s="3">
        <f>+VLOOKUP($A1914,MAGAZZINO!$B$2:$M$100000,4,FALSE)</f>
        <v/>
      </c>
      <c r="E1914" s="3">
        <f>+VLOOKUP($A1914,MAGAZZINO!$B$2:$M$100000,5,FALSE)</f>
        <v/>
      </c>
      <c r="F1914" s="3">
        <f>+VLOOKUP($A1914,MAGAZZINO!$B$2:$M$100000,6,FALSE)</f>
        <v/>
      </c>
      <c r="G1914" s="3">
        <f>+VLOOKUP($A1914,MAGAZZINO!$B$2:$M$100000,7,FALSE)</f>
        <v/>
      </c>
      <c r="H1914" s="3">
        <f>+VLOOKUP($A1914,MAGAZZINO!$B$2:$M$100000,8,FALSE)</f>
        <v/>
      </c>
      <c r="I1914" s="3">
        <f>+VLOOKUP($A1914,MAGAZZINO!$B$2:$M$100000,9,FALSE)</f>
        <v/>
      </c>
      <c r="J1914" s="3">
        <f>+VLOOKUP($A1914,MAGAZZINO!$B$2:$M$100000,10,FALSE)</f>
        <v/>
      </c>
      <c r="K1914" s="3">
        <f>+VLOOKUP($A1914,MAGAZZINO!$B$2:$M$100000,11,FALSE)</f>
        <v/>
      </c>
      <c r="L1914" s="5">
        <f>+VLOOKUP($A1914,MAGAZZINO!$B$2:$M$100000,12,FALSE)</f>
        <v/>
      </c>
      <c r="M1914" s="47" t="n"/>
      <c r="N1914" s="54" t="n"/>
      <c r="O1914" s="3" t="n"/>
      <c r="P1914" s="149" t="n"/>
      <c r="Q1914" s="150" t="n"/>
      <c r="R1914" s="150" t="n"/>
      <c r="S1914" s="151" t="n"/>
    </row>
    <row r="1915" ht="36" customHeight="1">
      <c r="A1915" s="46" t="n">
        <v>4245</v>
      </c>
      <c r="B1915" s="4">
        <f>+VLOOKUP($A1915,MAGAZZINO!$B$2:$M$100000,2,FALSE)</f>
        <v/>
      </c>
      <c r="C1915" s="29">
        <f>+VLOOKUP($A1915,MAGAZZINO!$B$2:$M$100000,3,FALSE)</f>
        <v/>
      </c>
      <c r="D1915" s="3">
        <f>+VLOOKUP($A1915,MAGAZZINO!$B$2:$M$100000,4,FALSE)</f>
        <v/>
      </c>
      <c r="E1915" s="3">
        <f>+VLOOKUP($A1915,MAGAZZINO!$B$2:$M$100000,5,FALSE)</f>
        <v/>
      </c>
      <c r="F1915" s="3">
        <f>+VLOOKUP($A1915,MAGAZZINO!$B$2:$M$100000,6,FALSE)</f>
        <v/>
      </c>
      <c r="G1915" s="3">
        <f>+VLOOKUP($A1915,MAGAZZINO!$B$2:$M$100000,7,FALSE)</f>
        <v/>
      </c>
      <c r="H1915" s="3">
        <f>+VLOOKUP($A1915,MAGAZZINO!$B$2:$M$100000,8,FALSE)</f>
        <v/>
      </c>
      <c r="I1915" s="3">
        <f>+VLOOKUP($A1915,MAGAZZINO!$B$2:$M$100000,9,FALSE)</f>
        <v/>
      </c>
      <c r="J1915" s="3">
        <f>+VLOOKUP($A1915,MAGAZZINO!$B$2:$M$100000,10,FALSE)</f>
        <v/>
      </c>
      <c r="K1915" s="3">
        <f>+VLOOKUP($A1915,MAGAZZINO!$B$2:$M$100000,11,FALSE)</f>
        <v/>
      </c>
      <c r="L1915" s="5">
        <f>+VLOOKUP($A1915,MAGAZZINO!$B$2:$M$100000,12,FALSE)</f>
        <v/>
      </c>
      <c r="M1915" s="47" t="n"/>
      <c r="N1915" s="54" t="n"/>
      <c r="O1915" s="3" t="n"/>
      <c r="P1915" s="149" t="n"/>
      <c r="Q1915" s="150" t="n"/>
      <c r="R1915" s="150" t="n"/>
      <c r="S1915" s="151" t="n"/>
    </row>
    <row r="1916" ht="36" customHeight="1">
      <c r="A1916" s="46" t="n">
        <v>4246</v>
      </c>
      <c r="B1916" s="4">
        <f>+VLOOKUP($A1916,MAGAZZINO!$B$2:$M$100000,2,FALSE)</f>
        <v/>
      </c>
      <c r="C1916" s="29">
        <f>+VLOOKUP($A1916,MAGAZZINO!$B$2:$M$100000,3,FALSE)</f>
        <v/>
      </c>
      <c r="D1916" s="3">
        <f>+VLOOKUP($A1916,MAGAZZINO!$B$2:$M$100000,4,FALSE)</f>
        <v/>
      </c>
      <c r="E1916" s="3">
        <f>+VLOOKUP($A1916,MAGAZZINO!$B$2:$M$100000,5,FALSE)</f>
        <v/>
      </c>
      <c r="F1916" s="3">
        <f>+VLOOKUP($A1916,MAGAZZINO!$B$2:$M$100000,6,FALSE)</f>
        <v/>
      </c>
      <c r="G1916" s="3">
        <f>+VLOOKUP($A1916,MAGAZZINO!$B$2:$M$100000,7,FALSE)</f>
        <v/>
      </c>
      <c r="H1916" s="3">
        <f>+VLOOKUP($A1916,MAGAZZINO!$B$2:$M$100000,8,FALSE)</f>
        <v/>
      </c>
      <c r="I1916" s="3">
        <f>+VLOOKUP($A1916,MAGAZZINO!$B$2:$M$100000,9,FALSE)</f>
        <v/>
      </c>
      <c r="J1916" s="3">
        <f>+VLOOKUP($A1916,MAGAZZINO!$B$2:$M$100000,10,FALSE)</f>
        <v/>
      </c>
      <c r="K1916" s="3">
        <f>+VLOOKUP($A1916,MAGAZZINO!$B$2:$M$100000,11,FALSE)</f>
        <v/>
      </c>
      <c r="L1916" s="5">
        <f>+VLOOKUP($A1916,MAGAZZINO!$B$2:$M$100000,12,FALSE)</f>
        <v/>
      </c>
      <c r="M1916" s="47" t="n"/>
      <c r="N1916" s="54" t="n"/>
      <c r="O1916" s="3" t="n"/>
      <c r="P1916" s="149" t="n"/>
      <c r="Q1916" s="150" t="n"/>
      <c r="R1916" s="150" t="n"/>
      <c r="S1916" s="151" t="n"/>
    </row>
    <row r="1917" ht="36" customHeight="1">
      <c r="A1917" s="46" t="n">
        <v>4247</v>
      </c>
      <c r="B1917" s="4">
        <f>+VLOOKUP($A1917,MAGAZZINO!$B$2:$M$100000,2,FALSE)</f>
        <v/>
      </c>
      <c r="C1917" s="29">
        <f>+VLOOKUP($A1917,MAGAZZINO!$B$2:$M$100000,3,FALSE)</f>
        <v/>
      </c>
      <c r="D1917" s="3">
        <f>+VLOOKUP($A1917,MAGAZZINO!$B$2:$M$100000,4,FALSE)</f>
        <v/>
      </c>
      <c r="E1917" s="3">
        <f>+VLOOKUP($A1917,MAGAZZINO!$B$2:$M$100000,5,FALSE)</f>
        <v/>
      </c>
      <c r="F1917" s="3">
        <f>+VLOOKUP($A1917,MAGAZZINO!$B$2:$M$100000,6,FALSE)</f>
        <v/>
      </c>
      <c r="G1917" s="3">
        <f>+VLOOKUP($A1917,MAGAZZINO!$B$2:$M$100000,7,FALSE)</f>
        <v/>
      </c>
      <c r="H1917" s="3">
        <f>+VLOOKUP($A1917,MAGAZZINO!$B$2:$M$100000,8,FALSE)</f>
        <v/>
      </c>
      <c r="I1917" s="3">
        <f>+VLOOKUP($A1917,MAGAZZINO!$B$2:$M$100000,9,FALSE)</f>
        <v/>
      </c>
      <c r="J1917" s="3">
        <f>+VLOOKUP($A1917,MAGAZZINO!$B$2:$M$100000,10,FALSE)</f>
        <v/>
      </c>
      <c r="K1917" s="3">
        <f>+VLOOKUP($A1917,MAGAZZINO!$B$2:$M$100000,11,FALSE)</f>
        <v/>
      </c>
      <c r="L1917" s="5">
        <f>+VLOOKUP($A1917,MAGAZZINO!$B$2:$M$100000,12,FALSE)</f>
        <v/>
      </c>
      <c r="M1917" s="47" t="n"/>
      <c r="N1917" s="54" t="n"/>
      <c r="O1917" s="3" t="n"/>
      <c r="P1917" s="149" t="n"/>
      <c r="Q1917" s="150" t="n"/>
      <c r="R1917" s="150" t="n"/>
      <c r="S1917" s="151" t="n"/>
    </row>
    <row r="1918" ht="36" customHeight="1">
      <c r="A1918" s="46" t="n">
        <v>4248</v>
      </c>
      <c r="B1918" s="4">
        <f>+VLOOKUP($A1918,MAGAZZINO!$B$2:$M$100000,2,FALSE)</f>
        <v/>
      </c>
      <c r="C1918" s="29">
        <f>+VLOOKUP($A1918,MAGAZZINO!$B$2:$M$100000,3,FALSE)</f>
        <v/>
      </c>
      <c r="D1918" s="3">
        <f>+VLOOKUP($A1918,MAGAZZINO!$B$2:$M$100000,4,FALSE)</f>
        <v/>
      </c>
      <c r="E1918" s="3">
        <f>+VLOOKUP($A1918,MAGAZZINO!$B$2:$M$100000,5,FALSE)</f>
        <v/>
      </c>
      <c r="F1918" s="3">
        <f>+VLOOKUP($A1918,MAGAZZINO!$B$2:$M$100000,6,FALSE)</f>
        <v/>
      </c>
      <c r="G1918" s="3">
        <f>+VLOOKUP($A1918,MAGAZZINO!$B$2:$M$100000,7,FALSE)</f>
        <v/>
      </c>
      <c r="H1918" s="3">
        <f>+VLOOKUP($A1918,MAGAZZINO!$B$2:$M$100000,8,FALSE)</f>
        <v/>
      </c>
      <c r="I1918" s="3">
        <f>+VLOOKUP($A1918,MAGAZZINO!$B$2:$M$100000,9,FALSE)</f>
        <v/>
      </c>
      <c r="J1918" s="3">
        <f>+VLOOKUP($A1918,MAGAZZINO!$B$2:$M$100000,10,FALSE)</f>
        <v/>
      </c>
      <c r="K1918" s="3">
        <f>+VLOOKUP($A1918,MAGAZZINO!$B$2:$M$100000,11,FALSE)</f>
        <v/>
      </c>
      <c r="L1918" s="5">
        <f>+VLOOKUP($A1918,MAGAZZINO!$B$2:$M$100000,12,FALSE)</f>
        <v/>
      </c>
      <c r="M1918" s="47" t="n"/>
      <c r="N1918" s="54" t="n"/>
      <c r="O1918" s="3" t="n"/>
      <c r="P1918" s="149" t="n"/>
      <c r="Q1918" s="150" t="n"/>
      <c r="R1918" s="150" t="n"/>
      <c r="S1918" s="151" t="n"/>
    </row>
    <row r="1919" ht="36" customHeight="1">
      <c r="A1919" s="46" t="n">
        <v>4249</v>
      </c>
      <c r="B1919" s="4">
        <f>+VLOOKUP($A1919,MAGAZZINO!$B$2:$M$100000,2,FALSE)</f>
        <v/>
      </c>
      <c r="C1919" s="29">
        <f>+VLOOKUP($A1919,MAGAZZINO!$B$2:$M$100000,3,FALSE)</f>
        <v/>
      </c>
      <c r="D1919" s="3">
        <f>+VLOOKUP($A1919,MAGAZZINO!$B$2:$M$100000,4,FALSE)</f>
        <v/>
      </c>
      <c r="E1919" s="3">
        <f>+VLOOKUP($A1919,MAGAZZINO!$B$2:$M$100000,5,FALSE)</f>
        <v/>
      </c>
      <c r="F1919" s="3">
        <f>+VLOOKUP($A1919,MAGAZZINO!$B$2:$M$100000,6,FALSE)</f>
        <v/>
      </c>
      <c r="G1919" s="3">
        <f>+VLOOKUP($A1919,MAGAZZINO!$B$2:$M$100000,7,FALSE)</f>
        <v/>
      </c>
      <c r="H1919" s="3">
        <f>+VLOOKUP($A1919,MAGAZZINO!$B$2:$M$100000,8,FALSE)</f>
        <v/>
      </c>
      <c r="I1919" s="3">
        <f>+VLOOKUP($A1919,MAGAZZINO!$B$2:$M$100000,9,FALSE)</f>
        <v/>
      </c>
      <c r="J1919" s="3">
        <f>+VLOOKUP($A1919,MAGAZZINO!$B$2:$M$100000,10,FALSE)</f>
        <v/>
      </c>
      <c r="K1919" s="3">
        <f>+VLOOKUP($A1919,MAGAZZINO!$B$2:$M$100000,11,FALSE)</f>
        <v/>
      </c>
      <c r="L1919" s="5">
        <f>+VLOOKUP($A1919,MAGAZZINO!$B$2:$M$100000,12,FALSE)</f>
        <v/>
      </c>
      <c r="M1919" s="47" t="n"/>
      <c r="N1919" s="54" t="n"/>
      <c r="O1919" s="3" t="n"/>
      <c r="P1919" s="149" t="n"/>
      <c r="Q1919" s="150" t="n"/>
      <c r="R1919" s="150" t="n"/>
      <c r="S1919" s="151" t="n"/>
    </row>
    <row r="1920" ht="36" customHeight="1">
      <c r="A1920" s="46" t="n">
        <v>4250</v>
      </c>
      <c r="B1920" s="4">
        <f>+VLOOKUP($A1920,MAGAZZINO!$B$2:$M$100000,2,FALSE)</f>
        <v/>
      </c>
      <c r="C1920" s="29">
        <f>+VLOOKUP($A1920,MAGAZZINO!$B$2:$M$100000,3,FALSE)</f>
        <v/>
      </c>
      <c r="D1920" s="3">
        <f>+VLOOKUP($A1920,MAGAZZINO!$B$2:$M$100000,4,FALSE)</f>
        <v/>
      </c>
      <c r="E1920" s="3">
        <f>+VLOOKUP($A1920,MAGAZZINO!$B$2:$M$100000,5,FALSE)</f>
        <v/>
      </c>
      <c r="F1920" s="3">
        <f>+VLOOKUP($A1920,MAGAZZINO!$B$2:$M$100000,6,FALSE)</f>
        <v/>
      </c>
      <c r="G1920" s="3">
        <f>+VLOOKUP($A1920,MAGAZZINO!$B$2:$M$100000,7,FALSE)</f>
        <v/>
      </c>
      <c r="H1920" s="3">
        <f>+VLOOKUP($A1920,MAGAZZINO!$B$2:$M$100000,8,FALSE)</f>
        <v/>
      </c>
      <c r="I1920" s="3">
        <f>+VLOOKUP($A1920,MAGAZZINO!$B$2:$M$100000,9,FALSE)</f>
        <v/>
      </c>
      <c r="J1920" s="3">
        <f>+VLOOKUP($A1920,MAGAZZINO!$B$2:$M$100000,10,FALSE)</f>
        <v/>
      </c>
      <c r="K1920" s="3">
        <f>+VLOOKUP($A1920,MAGAZZINO!$B$2:$M$100000,11,FALSE)</f>
        <v/>
      </c>
      <c r="L1920" s="5">
        <f>+VLOOKUP($A1920,MAGAZZINO!$B$2:$M$100000,12,FALSE)</f>
        <v/>
      </c>
      <c r="M1920" s="47" t="n"/>
      <c r="N1920" s="88" t="n">
        <v>45932</v>
      </c>
      <c r="O1920" s="156" t="inlineStr">
        <is>
          <t>BIN HUMAID NATIONAL TRADING CO. (ARABIA SAUDITA)</t>
        </is>
      </c>
      <c r="P1920" s="154" t="inlineStr">
        <is>
          <t xml:space="preserve">IMPORT LICENSE N. 31432 (END USER CERTIFICATE)                                                                                AUT. ESPORTAZIONE SINGOLA N. 6B/2025/5D RILASCIATA IL 04/09/2025  </t>
        </is>
      </c>
      <c r="Q1920" s="150" t="n"/>
      <c r="R1920" s="150" t="n"/>
      <c r="S1920" s="153" t="n"/>
    </row>
    <row r="1921" ht="36" customHeight="1">
      <c r="A1921" s="46" t="n">
        <v>4251</v>
      </c>
      <c r="B1921" s="4">
        <f>+VLOOKUP($A1921,MAGAZZINO!$B$2:$M$100000,2,FALSE)</f>
        <v/>
      </c>
      <c r="C1921" s="29">
        <f>+VLOOKUP($A1921,MAGAZZINO!$B$2:$M$100000,3,FALSE)</f>
        <v/>
      </c>
      <c r="D1921" s="3">
        <f>+VLOOKUP($A1921,MAGAZZINO!$B$2:$M$100000,4,FALSE)</f>
        <v/>
      </c>
      <c r="E1921" s="3">
        <f>+VLOOKUP($A1921,MAGAZZINO!$B$2:$M$100000,5,FALSE)</f>
        <v/>
      </c>
      <c r="F1921" s="3">
        <f>+VLOOKUP($A1921,MAGAZZINO!$B$2:$M$100000,6,FALSE)</f>
        <v/>
      </c>
      <c r="G1921" s="3">
        <f>+VLOOKUP($A1921,MAGAZZINO!$B$2:$M$100000,7,FALSE)</f>
        <v/>
      </c>
      <c r="H1921" s="3">
        <f>+VLOOKUP($A1921,MAGAZZINO!$B$2:$M$100000,8,FALSE)</f>
        <v/>
      </c>
      <c r="I1921" s="3">
        <f>+VLOOKUP($A1921,MAGAZZINO!$B$2:$M$100000,9,FALSE)</f>
        <v/>
      </c>
      <c r="J1921" s="3">
        <f>+VLOOKUP($A1921,MAGAZZINO!$B$2:$M$100000,10,FALSE)</f>
        <v/>
      </c>
      <c r="K1921" s="3">
        <f>+VLOOKUP($A1921,MAGAZZINO!$B$2:$M$100000,11,FALSE)</f>
        <v/>
      </c>
      <c r="L1921" s="5">
        <f>+VLOOKUP($A1921,MAGAZZINO!$B$2:$M$100000,12,FALSE)</f>
        <v/>
      </c>
      <c r="M1921" s="47" t="n"/>
      <c r="N1921" s="88" t="n">
        <v>45932</v>
      </c>
      <c r="O1921" s="156" t="inlineStr">
        <is>
          <t>BIN HUMAID NATIONAL TRADING CO. (ARABIA SAUDITA)</t>
        </is>
      </c>
      <c r="P1921" s="154" t="inlineStr">
        <is>
          <t xml:space="preserve">IMPORT LICENSE N. 31432 (END USER CERTIFICATE)                                                                                AUT. ESPORTAZIONE SINGOLA N. 6B/2025/5D RILASCIATA IL 04/09/2025  </t>
        </is>
      </c>
      <c r="Q1921" s="150" t="n"/>
      <c r="R1921" s="150" t="n"/>
      <c r="S1921" s="153" t="n"/>
    </row>
    <row r="1922" ht="36" customHeight="1">
      <c r="A1922" s="46" t="n">
        <v>4252</v>
      </c>
      <c r="B1922" s="4">
        <f>+VLOOKUP($A1922,MAGAZZINO!$B$2:$M$100000,2,FALSE)</f>
        <v/>
      </c>
      <c r="C1922" s="29">
        <f>+VLOOKUP($A1922,MAGAZZINO!$B$2:$M$100000,3,FALSE)</f>
        <v/>
      </c>
      <c r="D1922" s="3">
        <f>+VLOOKUP($A1922,MAGAZZINO!$B$2:$M$100000,4,FALSE)</f>
        <v/>
      </c>
      <c r="E1922" s="3">
        <f>+VLOOKUP($A1922,MAGAZZINO!$B$2:$M$100000,5,FALSE)</f>
        <v/>
      </c>
      <c r="F1922" s="3">
        <f>+VLOOKUP($A1922,MAGAZZINO!$B$2:$M$100000,6,FALSE)</f>
        <v/>
      </c>
      <c r="G1922" s="3">
        <f>+VLOOKUP($A1922,MAGAZZINO!$B$2:$M$100000,7,FALSE)</f>
        <v/>
      </c>
      <c r="H1922" s="3">
        <f>+VLOOKUP($A1922,MAGAZZINO!$B$2:$M$100000,8,FALSE)</f>
        <v/>
      </c>
      <c r="I1922" s="3">
        <f>+VLOOKUP($A1922,MAGAZZINO!$B$2:$M$100000,9,FALSE)</f>
        <v/>
      </c>
      <c r="J1922" s="3">
        <f>+VLOOKUP($A1922,MAGAZZINO!$B$2:$M$100000,10,FALSE)</f>
        <v/>
      </c>
      <c r="K1922" s="3">
        <f>+VLOOKUP($A1922,MAGAZZINO!$B$2:$M$100000,11,FALSE)</f>
        <v/>
      </c>
      <c r="L1922" s="5">
        <f>+VLOOKUP($A1922,MAGAZZINO!$B$2:$M$100000,12,FALSE)</f>
        <v/>
      </c>
      <c r="M1922" s="47" t="n"/>
      <c r="N1922" s="88" t="n">
        <v>45932</v>
      </c>
      <c r="O1922" s="156" t="inlineStr">
        <is>
          <t>BIN HUMAID NATIONAL TRADING CO. (ARABIA SAUDITA)</t>
        </is>
      </c>
      <c r="P1922" s="154" t="inlineStr">
        <is>
          <t xml:space="preserve">IMPORT LICENSE N. 31432 (END USER CERTIFICATE)                                                                                AUT. ESPORTAZIONE SINGOLA N. 6B/2025/5D RILASCIATA IL 04/09/2025  </t>
        </is>
      </c>
      <c r="Q1922" s="150" t="n"/>
      <c r="R1922" s="150" t="n"/>
      <c r="S1922" s="153" t="n"/>
    </row>
    <row r="1923" ht="36" customHeight="1">
      <c r="A1923" s="46" t="n">
        <v>4253</v>
      </c>
      <c r="B1923" s="4">
        <f>+VLOOKUP($A1923,MAGAZZINO!$B$2:$M$100000,2,FALSE)</f>
        <v/>
      </c>
      <c r="C1923" s="29">
        <f>+VLOOKUP($A1923,MAGAZZINO!$B$2:$M$100000,3,FALSE)</f>
        <v/>
      </c>
      <c r="D1923" s="3">
        <f>+VLOOKUP($A1923,MAGAZZINO!$B$2:$M$100000,4,FALSE)</f>
        <v/>
      </c>
      <c r="E1923" s="3">
        <f>+VLOOKUP($A1923,MAGAZZINO!$B$2:$M$100000,5,FALSE)</f>
        <v/>
      </c>
      <c r="F1923" s="3">
        <f>+VLOOKUP($A1923,MAGAZZINO!$B$2:$M$100000,6,FALSE)</f>
        <v/>
      </c>
      <c r="G1923" s="3">
        <f>+VLOOKUP($A1923,MAGAZZINO!$B$2:$M$100000,7,FALSE)</f>
        <v/>
      </c>
      <c r="H1923" s="3">
        <f>+VLOOKUP($A1923,MAGAZZINO!$B$2:$M$100000,8,FALSE)</f>
        <v/>
      </c>
      <c r="I1923" s="3">
        <f>+VLOOKUP($A1923,MAGAZZINO!$B$2:$M$100000,9,FALSE)</f>
        <v/>
      </c>
      <c r="J1923" s="3">
        <f>+VLOOKUP($A1923,MAGAZZINO!$B$2:$M$100000,10,FALSE)</f>
        <v/>
      </c>
      <c r="K1923" s="3">
        <f>+VLOOKUP($A1923,MAGAZZINO!$B$2:$M$100000,11,FALSE)</f>
        <v/>
      </c>
      <c r="L1923" s="5">
        <f>+VLOOKUP($A1923,MAGAZZINO!$B$2:$M$100000,12,FALSE)</f>
        <v/>
      </c>
      <c r="M1923" s="47" t="n"/>
      <c r="N1923" s="88" t="n">
        <v>45932</v>
      </c>
      <c r="O1923" s="156" t="inlineStr">
        <is>
          <t>BIN HUMAID NATIONAL TRADING CO. (ARABIA SAUDITA)</t>
        </is>
      </c>
      <c r="P1923" s="154" t="inlineStr">
        <is>
          <t xml:space="preserve">IMPORT LICENSE N. 31432 (END USER CERTIFICATE)                                                                                AUT. ESPORTAZIONE SINGOLA N. 6B/2025/5D RILASCIATA IL 04/09/2025  </t>
        </is>
      </c>
      <c r="Q1923" s="150" t="n"/>
      <c r="R1923" s="150" t="n"/>
      <c r="S1923" s="153" t="n"/>
    </row>
    <row r="1924" ht="36" customHeight="1">
      <c r="A1924" s="46" t="n">
        <v>4254</v>
      </c>
      <c r="B1924" s="4">
        <f>+VLOOKUP($A1924,MAGAZZINO!$B$2:$M$100000,2,FALSE)</f>
        <v/>
      </c>
      <c r="C1924" s="29">
        <f>+VLOOKUP($A1924,MAGAZZINO!$B$2:$M$100000,3,FALSE)</f>
        <v/>
      </c>
      <c r="D1924" s="3">
        <f>+VLOOKUP($A1924,MAGAZZINO!$B$2:$M$100000,4,FALSE)</f>
        <v/>
      </c>
      <c r="E1924" s="3">
        <f>+VLOOKUP($A1924,MAGAZZINO!$B$2:$M$100000,5,FALSE)</f>
        <v/>
      </c>
      <c r="F1924" s="3">
        <f>+VLOOKUP($A1924,MAGAZZINO!$B$2:$M$100000,6,FALSE)</f>
        <v/>
      </c>
      <c r="G1924" s="3">
        <f>+VLOOKUP($A1924,MAGAZZINO!$B$2:$M$100000,7,FALSE)</f>
        <v/>
      </c>
      <c r="H1924" s="3">
        <f>+VLOOKUP($A1924,MAGAZZINO!$B$2:$M$100000,8,FALSE)</f>
        <v/>
      </c>
      <c r="I1924" s="3">
        <f>+VLOOKUP($A1924,MAGAZZINO!$B$2:$M$100000,9,FALSE)</f>
        <v/>
      </c>
      <c r="J1924" s="3">
        <f>+VLOOKUP($A1924,MAGAZZINO!$B$2:$M$100000,10,FALSE)</f>
        <v/>
      </c>
      <c r="K1924" s="3">
        <f>+VLOOKUP($A1924,MAGAZZINO!$B$2:$M$100000,11,FALSE)</f>
        <v/>
      </c>
      <c r="L1924" s="5">
        <f>+VLOOKUP($A1924,MAGAZZINO!$B$2:$M$100000,12,FALSE)</f>
        <v/>
      </c>
      <c r="M1924" s="47" t="n"/>
      <c r="N1924" s="88" t="n">
        <v>45932</v>
      </c>
      <c r="O1924" s="156" t="inlineStr">
        <is>
          <t>BIN HUMAID NATIONAL TRADING CO. (ARABIA SAUDITA)</t>
        </is>
      </c>
      <c r="P1924" s="154" t="inlineStr">
        <is>
          <t xml:space="preserve">IMPORT LICENSE N. 31432 (END USER CERTIFICATE)                                                                                AUT. ESPORTAZIONE SINGOLA N. 6B/2025/5D RILASCIATA IL 04/09/2025  </t>
        </is>
      </c>
      <c r="Q1924" s="150" t="n"/>
      <c r="R1924" s="150" t="n"/>
      <c r="S1924" s="153" t="n"/>
    </row>
    <row r="1925" ht="36" customHeight="1">
      <c r="A1925" s="46" t="n">
        <v>4255</v>
      </c>
      <c r="B1925" s="4">
        <f>+VLOOKUP($A1925,MAGAZZINO!$B$2:$M$100000,2,FALSE)</f>
        <v/>
      </c>
      <c r="C1925" s="29">
        <f>+VLOOKUP($A1925,MAGAZZINO!$B$2:$M$100000,3,FALSE)</f>
        <v/>
      </c>
      <c r="D1925" s="3">
        <f>+VLOOKUP($A1925,MAGAZZINO!$B$2:$M$100000,4,FALSE)</f>
        <v/>
      </c>
      <c r="E1925" s="3">
        <f>+VLOOKUP($A1925,MAGAZZINO!$B$2:$M$100000,5,FALSE)</f>
        <v/>
      </c>
      <c r="F1925" s="3">
        <f>+VLOOKUP($A1925,MAGAZZINO!$B$2:$M$100000,6,FALSE)</f>
        <v/>
      </c>
      <c r="G1925" s="3">
        <f>+VLOOKUP($A1925,MAGAZZINO!$B$2:$M$100000,7,FALSE)</f>
        <v/>
      </c>
      <c r="H1925" s="3">
        <f>+VLOOKUP($A1925,MAGAZZINO!$B$2:$M$100000,8,FALSE)</f>
        <v/>
      </c>
      <c r="I1925" s="3">
        <f>+VLOOKUP($A1925,MAGAZZINO!$B$2:$M$100000,9,FALSE)</f>
        <v/>
      </c>
      <c r="J1925" s="3">
        <f>+VLOOKUP($A1925,MAGAZZINO!$B$2:$M$100000,10,FALSE)</f>
        <v/>
      </c>
      <c r="K1925" s="3">
        <f>+VLOOKUP($A1925,MAGAZZINO!$B$2:$M$100000,11,FALSE)</f>
        <v/>
      </c>
      <c r="L1925" s="5">
        <f>+VLOOKUP($A1925,MAGAZZINO!$B$2:$M$100000,12,FALSE)</f>
        <v/>
      </c>
      <c r="M1925" s="47" t="n"/>
      <c r="N1925" s="88" t="n">
        <v>45932</v>
      </c>
      <c r="O1925" s="156" t="inlineStr">
        <is>
          <t>BIN HUMAID NATIONAL TRADING CO. (ARABIA SAUDITA)</t>
        </is>
      </c>
      <c r="P1925" s="154" t="inlineStr">
        <is>
          <t xml:space="preserve">IMPORT LICENSE N. 31432 (END USER CERTIFICATE)                                                                                AUT. ESPORTAZIONE SINGOLA N. 6B/2025/5D RILASCIATA IL 04/09/2025  </t>
        </is>
      </c>
      <c r="Q1925" s="150" t="n"/>
      <c r="R1925" s="150" t="n"/>
      <c r="S1925" s="153" t="n"/>
    </row>
    <row r="1926" ht="36" customHeight="1">
      <c r="A1926" s="46" t="n">
        <v>4256</v>
      </c>
      <c r="B1926" s="4">
        <f>+VLOOKUP($A1926,MAGAZZINO!$B$2:$M$100000,2,FALSE)</f>
        <v/>
      </c>
      <c r="C1926" s="29">
        <f>+VLOOKUP($A1926,MAGAZZINO!$B$2:$M$100000,3,FALSE)</f>
        <v/>
      </c>
      <c r="D1926" s="3">
        <f>+VLOOKUP($A1926,MAGAZZINO!$B$2:$M$100000,4,FALSE)</f>
        <v/>
      </c>
      <c r="E1926" s="3">
        <f>+VLOOKUP($A1926,MAGAZZINO!$B$2:$M$100000,5,FALSE)</f>
        <v/>
      </c>
      <c r="F1926" s="3">
        <f>+VLOOKUP($A1926,MAGAZZINO!$B$2:$M$100000,6,FALSE)</f>
        <v/>
      </c>
      <c r="G1926" s="3">
        <f>+VLOOKUP($A1926,MAGAZZINO!$B$2:$M$100000,7,FALSE)</f>
        <v/>
      </c>
      <c r="H1926" s="3">
        <f>+VLOOKUP($A1926,MAGAZZINO!$B$2:$M$100000,8,FALSE)</f>
        <v/>
      </c>
      <c r="I1926" s="3">
        <f>+VLOOKUP($A1926,MAGAZZINO!$B$2:$M$100000,9,FALSE)</f>
        <v/>
      </c>
      <c r="J1926" s="3">
        <f>+VLOOKUP($A1926,MAGAZZINO!$B$2:$M$100000,10,FALSE)</f>
        <v/>
      </c>
      <c r="K1926" s="3">
        <f>+VLOOKUP($A1926,MAGAZZINO!$B$2:$M$100000,11,FALSE)</f>
        <v/>
      </c>
      <c r="L1926" s="5">
        <f>+VLOOKUP($A1926,MAGAZZINO!$B$2:$M$100000,12,FALSE)</f>
        <v/>
      </c>
      <c r="M1926" s="47" t="n"/>
      <c r="N1926" s="88" t="n">
        <v>45932</v>
      </c>
      <c r="O1926" s="156" t="inlineStr">
        <is>
          <t>BIN HUMAID NATIONAL TRADING CO. (ARABIA SAUDITA)</t>
        </is>
      </c>
      <c r="P1926" s="154" t="inlineStr">
        <is>
          <t xml:space="preserve">IMPORT LICENSE N. 31432 (END USER CERTIFICATE)                                                                                AUT. ESPORTAZIONE SINGOLA N. 6B/2025/5D RILASCIATA IL 04/09/2025  </t>
        </is>
      </c>
      <c r="Q1926" s="150" t="n"/>
      <c r="R1926" s="150" t="n"/>
      <c r="S1926" s="153" t="n"/>
    </row>
    <row r="1927" ht="36" customHeight="1">
      <c r="A1927" s="46" t="n">
        <v>4257</v>
      </c>
      <c r="B1927" s="4">
        <f>+VLOOKUP($A1927,MAGAZZINO!$B$2:$M$100000,2,FALSE)</f>
        <v/>
      </c>
      <c r="C1927" s="29">
        <f>+VLOOKUP($A1927,MAGAZZINO!$B$2:$M$100000,3,FALSE)</f>
        <v/>
      </c>
      <c r="D1927" s="3">
        <f>+VLOOKUP($A1927,MAGAZZINO!$B$2:$M$100000,4,FALSE)</f>
        <v/>
      </c>
      <c r="E1927" s="3">
        <f>+VLOOKUP($A1927,MAGAZZINO!$B$2:$M$100000,5,FALSE)</f>
        <v/>
      </c>
      <c r="F1927" s="3">
        <f>+VLOOKUP($A1927,MAGAZZINO!$B$2:$M$100000,6,FALSE)</f>
        <v/>
      </c>
      <c r="G1927" s="3">
        <f>+VLOOKUP($A1927,MAGAZZINO!$B$2:$M$100000,7,FALSE)</f>
        <v/>
      </c>
      <c r="H1927" s="3">
        <f>+VLOOKUP($A1927,MAGAZZINO!$B$2:$M$100000,8,FALSE)</f>
        <v/>
      </c>
      <c r="I1927" s="3">
        <f>+VLOOKUP($A1927,MAGAZZINO!$B$2:$M$100000,9,FALSE)</f>
        <v/>
      </c>
      <c r="J1927" s="3">
        <f>+VLOOKUP($A1927,MAGAZZINO!$B$2:$M$100000,10,FALSE)</f>
        <v/>
      </c>
      <c r="K1927" s="3">
        <f>+VLOOKUP($A1927,MAGAZZINO!$B$2:$M$100000,11,FALSE)</f>
        <v/>
      </c>
      <c r="L1927" s="5">
        <f>+VLOOKUP($A1927,MAGAZZINO!$B$2:$M$100000,12,FALSE)</f>
        <v/>
      </c>
      <c r="M1927" s="47" t="n"/>
      <c r="N1927" s="88" t="n">
        <v>45932</v>
      </c>
      <c r="O1927" s="156" t="inlineStr">
        <is>
          <t>BIN HUMAID NATIONAL TRADING CO. (ARABIA SAUDITA)</t>
        </is>
      </c>
      <c r="P1927" s="154" t="inlineStr">
        <is>
          <t xml:space="preserve">IMPORT LICENSE N. 31432 (END USER CERTIFICATE)                                                                                AUT. ESPORTAZIONE SINGOLA N. 6B/2025/5D RILASCIATA IL 04/09/2025  </t>
        </is>
      </c>
      <c r="Q1927" s="150" t="n"/>
      <c r="R1927" s="150" t="n"/>
      <c r="S1927" s="153" t="n"/>
    </row>
    <row r="1928" ht="36" customHeight="1">
      <c r="A1928" s="46" t="n">
        <v>4258</v>
      </c>
      <c r="B1928" s="4">
        <f>+VLOOKUP($A1928,MAGAZZINO!$B$2:$M$100000,2,FALSE)</f>
        <v/>
      </c>
      <c r="C1928" s="29">
        <f>+VLOOKUP($A1928,MAGAZZINO!$B$2:$M$100000,3,FALSE)</f>
        <v/>
      </c>
      <c r="D1928" s="3">
        <f>+VLOOKUP($A1928,MAGAZZINO!$B$2:$M$100000,4,FALSE)</f>
        <v/>
      </c>
      <c r="E1928" s="3">
        <f>+VLOOKUP($A1928,MAGAZZINO!$B$2:$M$100000,5,FALSE)</f>
        <v/>
      </c>
      <c r="F1928" s="3">
        <f>+VLOOKUP($A1928,MAGAZZINO!$B$2:$M$100000,6,FALSE)</f>
        <v/>
      </c>
      <c r="G1928" s="3">
        <f>+VLOOKUP($A1928,MAGAZZINO!$B$2:$M$100000,7,FALSE)</f>
        <v/>
      </c>
      <c r="H1928" s="3">
        <f>+VLOOKUP($A1928,MAGAZZINO!$B$2:$M$100000,8,FALSE)</f>
        <v/>
      </c>
      <c r="I1928" s="3">
        <f>+VLOOKUP($A1928,MAGAZZINO!$B$2:$M$100000,9,FALSE)</f>
        <v/>
      </c>
      <c r="J1928" s="3">
        <f>+VLOOKUP($A1928,MAGAZZINO!$B$2:$M$100000,10,FALSE)</f>
        <v/>
      </c>
      <c r="K1928" s="3">
        <f>+VLOOKUP($A1928,MAGAZZINO!$B$2:$M$100000,11,FALSE)</f>
        <v/>
      </c>
      <c r="L1928" s="5">
        <f>+VLOOKUP($A1928,MAGAZZINO!$B$2:$M$100000,12,FALSE)</f>
        <v/>
      </c>
      <c r="M1928" s="47" t="n"/>
      <c r="N1928" s="88" t="n">
        <v>45932</v>
      </c>
      <c r="O1928" s="156" t="inlineStr">
        <is>
          <t>BIN HUMAID NATIONAL TRADING CO. (ARABIA SAUDITA)</t>
        </is>
      </c>
      <c r="P1928" s="154" t="inlineStr">
        <is>
          <t xml:space="preserve">IMPORT LICENSE N. 31432 (END USER CERTIFICATE)                                                                                AUT. ESPORTAZIONE SINGOLA N. 6B/2025/5D RILASCIATA IL 04/09/2025  </t>
        </is>
      </c>
      <c r="Q1928" s="150" t="n"/>
      <c r="R1928" s="150" t="n"/>
      <c r="S1928" s="153" t="n"/>
    </row>
    <row r="1929" ht="36" customHeight="1">
      <c r="A1929" s="46" t="n">
        <v>4259</v>
      </c>
      <c r="B1929" s="4">
        <f>+VLOOKUP($A1929,MAGAZZINO!$B$2:$M$100000,2,FALSE)</f>
        <v/>
      </c>
      <c r="C1929" s="29">
        <f>+VLOOKUP($A1929,MAGAZZINO!$B$2:$M$100000,3,FALSE)</f>
        <v/>
      </c>
      <c r="D1929" s="3">
        <f>+VLOOKUP($A1929,MAGAZZINO!$B$2:$M$100000,4,FALSE)</f>
        <v/>
      </c>
      <c r="E1929" s="3">
        <f>+VLOOKUP($A1929,MAGAZZINO!$B$2:$M$100000,5,FALSE)</f>
        <v/>
      </c>
      <c r="F1929" s="3">
        <f>+VLOOKUP($A1929,MAGAZZINO!$B$2:$M$100000,6,FALSE)</f>
        <v/>
      </c>
      <c r="G1929" s="3">
        <f>+VLOOKUP($A1929,MAGAZZINO!$B$2:$M$100000,7,FALSE)</f>
        <v/>
      </c>
      <c r="H1929" s="3">
        <f>+VLOOKUP($A1929,MAGAZZINO!$B$2:$M$100000,8,FALSE)</f>
        <v/>
      </c>
      <c r="I1929" s="3">
        <f>+VLOOKUP($A1929,MAGAZZINO!$B$2:$M$100000,9,FALSE)</f>
        <v/>
      </c>
      <c r="J1929" s="3">
        <f>+VLOOKUP($A1929,MAGAZZINO!$B$2:$M$100000,10,FALSE)</f>
        <v/>
      </c>
      <c r="K1929" s="3">
        <f>+VLOOKUP($A1929,MAGAZZINO!$B$2:$M$100000,11,FALSE)</f>
        <v/>
      </c>
      <c r="L1929" s="5">
        <f>+VLOOKUP($A1929,MAGAZZINO!$B$2:$M$100000,12,FALSE)</f>
        <v/>
      </c>
      <c r="M1929" s="47" t="n"/>
      <c r="N1929" s="88" t="n">
        <v>45932</v>
      </c>
      <c r="O1929" s="156" t="inlineStr">
        <is>
          <t>BIN HUMAID NATIONAL TRADING CO. (ARABIA SAUDITA)</t>
        </is>
      </c>
      <c r="P1929" s="154" t="inlineStr">
        <is>
          <t xml:space="preserve">IMPORT LICENSE N. 31432 (END USER CERTIFICATE)                                                                                AUT. ESPORTAZIONE SINGOLA N. 6B/2025/5D RILASCIATA IL 04/09/2025  </t>
        </is>
      </c>
      <c r="Q1929" s="150" t="n"/>
      <c r="R1929" s="150" t="n"/>
      <c r="S1929" s="153" t="n"/>
    </row>
    <row r="1930" ht="36" customHeight="1">
      <c r="A1930" s="46" t="n">
        <v>4260</v>
      </c>
      <c r="B1930" s="4">
        <f>+VLOOKUP($A1930,MAGAZZINO!$B$2:$M$100000,2,FALSE)</f>
        <v/>
      </c>
      <c r="C1930" s="29">
        <f>+VLOOKUP($A1930,MAGAZZINO!$B$2:$M$100000,3,FALSE)</f>
        <v/>
      </c>
      <c r="D1930" s="3">
        <f>+VLOOKUP($A1930,MAGAZZINO!$B$2:$M$100000,4,FALSE)</f>
        <v/>
      </c>
      <c r="E1930" s="3">
        <f>+VLOOKUP($A1930,MAGAZZINO!$B$2:$M$100000,5,FALSE)</f>
        <v/>
      </c>
      <c r="F1930" s="3">
        <f>+VLOOKUP($A1930,MAGAZZINO!$B$2:$M$100000,6,FALSE)</f>
        <v/>
      </c>
      <c r="G1930" s="3">
        <f>+VLOOKUP($A1930,MAGAZZINO!$B$2:$M$100000,7,FALSE)</f>
        <v/>
      </c>
      <c r="H1930" s="3">
        <f>+VLOOKUP($A1930,MAGAZZINO!$B$2:$M$100000,8,FALSE)</f>
        <v/>
      </c>
      <c r="I1930" s="3">
        <f>+VLOOKUP($A1930,MAGAZZINO!$B$2:$M$100000,9,FALSE)</f>
        <v/>
      </c>
      <c r="J1930" s="3">
        <f>+VLOOKUP($A1930,MAGAZZINO!$B$2:$M$100000,10,FALSE)</f>
        <v/>
      </c>
      <c r="K1930" s="3">
        <f>+VLOOKUP($A1930,MAGAZZINO!$B$2:$M$100000,11,FALSE)</f>
        <v/>
      </c>
      <c r="L1930" s="5">
        <f>+VLOOKUP($A1930,MAGAZZINO!$B$2:$M$100000,12,FALSE)</f>
        <v/>
      </c>
      <c r="M1930" s="47" t="n"/>
      <c r="N1930" s="88" t="n">
        <v>45932</v>
      </c>
      <c r="O1930" s="156" t="inlineStr">
        <is>
          <t>BIN HUMAID NATIONAL TRADING CO. (ARABIA SAUDITA)</t>
        </is>
      </c>
      <c r="P1930" s="154" t="inlineStr">
        <is>
          <t xml:space="preserve">IMPORT LICENSE N. 31432 (END USER CERTIFICATE)                                                                                AUT. ESPORTAZIONE SINGOLA N. 6B/2025/5D RILASCIATA IL 04/09/2025  </t>
        </is>
      </c>
      <c r="Q1930" s="150" t="n"/>
      <c r="R1930" s="150" t="n"/>
      <c r="S1930" s="153" t="n"/>
    </row>
    <row r="1931" ht="36" customHeight="1">
      <c r="A1931" s="46" t="n">
        <v>4261</v>
      </c>
      <c r="B1931" s="4">
        <f>+VLOOKUP($A1931,MAGAZZINO!$B$2:$M$100000,2,FALSE)</f>
        <v/>
      </c>
      <c r="C1931" s="29">
        <f>+VLOOKUP($A1931,MAGAZZINO!$B$2:$M$100000,3,FALSE)</f>
        <v/>
      </c>
      <c r="D1931" s="3">
        <f>+VLOOKUP($A1931,MAGAZZINO!$B$2:$M$100000,4,FALSE)</f>
        <v/>
      </c>
      <c r="E1931" s="3">
        <f>+VLOOKUP($A1931,MAGAZZINO!$B$2:$M$100000,5,FALSE)</f>
        <v/>
      </c>
      <c r="F1931" s="3">
        <f>+VLOOKUP($A1931,MAGAZZINO!$B$2:$M$100000,6,FALSE)</f>
        <v/>
      </c>
      <c r="G1931" s="3">
        <f>+VLOOKUP($A1931,MAGAZZINO!$B$2:$M$100000,7,FALSE)</f>
        <v/>
      </c>
      <c r="H1931" s="3">
        <f>+VLOOKUP($A1931,MAGAZZINO!$B$2:$M$100000,8,FALSE)</f>
        <v/>
      </c>
      <c r="I1931" s="3">
        <f>+VLOOKUP($A1931,MAGAZZINO!$B$2:$M$100000,9,FALSE)</f>
        <v/>
      </c>
      <c r="J1931" s="3">
        <f>+VLOOKUP($A1931,MAGAZZINO!$B$2:$M$100000,10,FALSE)</f>
        <v/>
      </c>
      <c r="K1931" s="3">
        <f>+VLOOKUP($A1931,MAGAZZINO!$B$2:$M$100000,11,FALSE)</f>
        <v/>
      </c>
      <c r="L1931" s="5">
        <f>+VLOOKUP($A1931,MAGAZZINO!$B$2:$M$100000,12,FALSE)</f>
        <v/>
      </c>
      <c r="M1931" s="47" t="n"/>
      <c r="N1931" s="88" t="n">
        <v>45932</v>
      </c>
      <c r="O1931" s="156" t="inlineStr">
        <is>
          <t>BIN HUMAID NATIONAL TRADING CO. (ARABIA SAUDITA)</t>
        </is>
      </c>
      <c r="P1931" s="154" t="inlineStr">
        <is>
          <t xml:space="preserve">IMPORT LICENSE N. 31432 (END USER CERTIFICATE)                                                                                AUT. ESPORTAZIONE SINGOLA N. 6B/2025/5D RILASCIATA IL 04/09/2025  </t>
        </is>
      </c>
      <c r="Q1931" s="150" t="n"/>
      <c r="R1931" s="150" t="n"/>
      <c r="S1931" s="153" t="n"/>
    </row>
    <row r="1932" ht="36" customHeight="1">
      <c r="A1932" s="46" t="n">
        <v>4262</v>
      </c>
      <c r="B1932" s="4">
        <f>+VLOOKUP($A1932,MAGAZZINO!$B$2:$M$100000,2,FALSE)</f>
        <v/>
      </c>
      <c r="C1932" s="29">
        <f>+VLOOKUP($A1932,MAGAZZINO!$B$2:$M$100000,3,FALSE)</f>
        <v/>
      </c>
      <c r="D1932" s="3">
        <f>+VLOOKUP($A1932,MAGAZZINO!$B$2:$M$100000,4,FALSE)</f>
        <v/>
      </c>
      <c r="E1932" s="3">
        <f>+VLOOKUP($A1932,MAGAZZINO!$B$2:$M$100000,5,FALSE)</f>
        <v/>
      </c>
      <c r="F1932" s="3">
        <f>+VLOOKUP($A1932,MAGAZZINO!$B$2:$M$100000,6,FALSE)</f>
        <v/>
      </c>
      <c r="G1932" s="3">
        <f>+VLOOKUP($A1932,MAGAZZINO!$B$2:$M$100000,7,FALSE)</f>
        <v/>
      </c>
      <c r="H1932" s="3">
        <f>+VLOOKUP($A1932,MAGAZZINO!$B$2:$M$100000,8,FALSE)</f>
        <v/>
      </c>
      <c r="I1932" s="3">
        <f>+VLOOKUP($A1932,MAGAZZINO!$B$2:$M$100000,9,FALSE)</f>
        <v/>
      </c>
      <c r="J1932" s="3">
        <f>+VLOOKUP($A1932,MAGAZZINO!$B$2:$M$100000,10,FALSE)</f>
        <v/>
      </c>
      <c r="K1932" s="3">
        <f>+VLOOKUP($A1932,MAGAZZINO!$B$2:$M$100000,11,FALSE)</f>
        <v/>
      </c>
      <c r="L1932" s="5">
        <f>+VLOOKUP($A1932,MAGAZZINO!$B$2:$M$100000,12,FALSE)</f>
        <v/>
      </c>
      <c r="M1932" s="47" t="n"/>
      <c r="N1932" s="88" t="n">
        <v>45932</v>
      </c>
      <c r="O1932" s="156" t="inlineStr">
        <is>
          <t>BIN HUMAID NATIONAL TRADING CO. (ARABIA SAUDITA)</t>
        </is>
      </c>
      <c r="P1932" s="154" t="inlineStr">
        <is>
          <t xml:space="preserve">IMPORT LICENSE N. 31432 (END USER CERTIFICATE)                                                                                AUT. ESPORTAZIONE SINGOLA N. 6B/2025/5D RILASCIATA IL 04/09/2025  </t>
        </is>
      </c>
      <c r="Q1932" s="150" t="n"/>
      <c r="R1932" s="150" t="n"/>
      <c r="S1932" s="153" t="n"/>
    </row>
    <row r="1933" ht="36" customHeight="1">
      <c r="A1933" s="46" t="n">
        <v>4263</v>
      </c>
      <c r="B1933" s="4">
        <f>+VLOOKUP($A1933,MAGAZZINO!$B$2:$M$100000,2,FALSE)</f>
        <v/>
      </c>
      <c r="C1933" s="29">
        <f>+VLOOKUP($A1933,MAGAZZINO!$B$2:$M$100000,3,FALSE)</f>
        <v/>
      </c>
      <c r="D1933" s="3">
        <f>+VLOOKUP($A1933,MAGAZZINO!$B$2:$M$100000,4,FALSE)</f>
        <v/>
      </c>
      <c r="E1933" s="3">
        <f>+VLOOKUP($A1933,MAGAZZINO!$B$2:$M$100000,5,FALSE)</f>
        <v/>
      </c>
      <c r="F1933" s="3">
        <f>+VLOOKUP($A1933,MAGAZZINO!$B$2:$M$100000,6,FALSE)</f>
        <v/>
      </c>
      <c r="G1933" s="3">
        <f>+VLOOKUP($A1933,MAGAZZINO!$B$2:$M$100000,7,FALSE)</f>
        <v/>
      </c>
      <c r="H1933" s="3">
        <f>+VLOOKUP($A1933,MAGAZZINO!$B$2:$M$100000,8,FALSE)</f>
        <v/>
      </c>
      <c r="I1933" s="3">
        <f>+VLOOKUP($A1933,MAGAZZINO!$B$2:$M$100000,9,FALSE)</f>
        <v/>
      </c>
      <c r="J1933" s="3">
        <f>+VLOOKUP($A1933,MAGAZZINO!$B$2:$M$100000,10,FALSE)</f>
        <v/>
      </c>
      <c r="K1933" s="3">
        <f>+VLOOKUP($A1933,MAGAZZINO!$B$2:$M$100000,11,FALSE)</f>
        <v/>
      </c>
      <c r="L1933" s="5">
        <f>+VLOOKUP($A1933,MAGAZZINO!$B$2:$M$100000,12,FALSE)</f>
        <v/>
      </c>
      <c r="M1933" s="47" t="n"/>
      <c r="N1933" s="88" t="n">
        <v>45932</v>
      </c>
      <c r="O1933" s="156" t="inlineStr">
        <is>
          <t>BIN HUMAID NATIONAL TRADING CO. (ARABIA SAUDITA)</t>
        </is>
      </c>
      <c r="P1933" s="154" t="inlineStr">
        <is>
          <t xml:space="preserve">IMPORT LICENSE N. 31432 (END USER CERTIFICATE)                                                                                AUT. ESPORTAZIONE SINGOLA N. 6B/2025/5D RILASCIATA IL 04/09/2025  </t>
        </is>
      </c>
      <c r="Q1933" s="150" t="n"/>
      <c r="R1933" s="150" t="n"/>
      <c r="S1933" s="153" t="n"/>
    </row>
    <row r="1934" ht="36" customHeight="1">
      <c r="A1934" s="46" t="n">
        <v>4264</v>
      </c>
      <c r="B1934" s="4">
        <f>+VLOOKUP($A1934,MAGAZZINO!$B$2:$M$100000,2,FALSE)</f>
        <v/>
      </c>
      <c r="C1934" s="29">
        <f>+VLOOKUP($A1934,MAGAZZINO!$B$2:$M$100000,3,FALSE)</f>
        <v/>
      </c>
      <c r="D1934" s="3">
        <f>+VLOOKUP($A1934,MAGAZZINO!$B$2:$M$100000,4,FALSE)</f>
        <v/>
      </c>
      <c r="E1934" s="3">
        <f>+VLOOKUP($A1934,MAGAZZINO!$B$2:$M$100000,5,FALSE)</f>
        <v/>
      </c>
      <c r="F1934" s="3">
        <f>+VLOOKUP($A1934,MAGAZZINO!$B$2:$M$100000,6,FALSE)</f>
        <v/>
      </c>
      <c r="G1934" s="3">
        <f>+VLOOKUP($A1934,MAGAZZINO!$B$2:$M$100000,7,FALSE)</f>
        <v/>
      </c>
      <c r="H1934" s="3">
        <f>+VLOOKUP($A1934,MAGAZZINO!$B$2:$M$100000,8,FALSE)</f>
        <v/>
      </c>
      <c r="I1934" s="3">
        <f>+VLOOKUP($A1934,MAGAZZINO!$B$2:$M$100000,9,FALSE)</f>
        <v/>
      </c>
      <c r="J1934" s="3">
        <f>+VLOOKUP($A1934,MAGAZZINO!$B$2:$M$100000,10,FALSE)</f>
        <v/>
      </c>
      <c r="K1934" s="3">
        <f>+VLOOKUP($A1934,MAGAZZINO!$B$2:$M$100000,11,FALSE)</f>
        <v/>
      </c>
      <c r="L1934" s="5">
        <f>+VLOOKUP($A1934,MAGAZZINO!$B$2:$M$100000,12,FALSE)</f>
        <v/>
      </c>
      <c r="M1934" s="47" t="n"/>
      <c r="N1934" s="88" t="n">
        <v>45932</v>
      </c>
      <c r="O1934" s="156" t="inlineStr">
        <is>
          <t>BIN HUMAID NATIONAL TRADING CO. (ARABIA SAUDITA)</t>
        </is>
      </c>
      <c r="P1934" s="154" t="inlineStr">
        <is>
          <t xml:space="preserve">IMPORT LICENSE N. 31432 (END USER CERTIFICATE)                                                                                AUT. ESPORTAZIONE SINGOLA N. 6B/2025/5D RILASCIATA IL 04/09/2025  </t>
        </is>
      </c>
      <c r="Q1934" s="150" t="n"/>
      <c r="R1934" s="150" t="n"/>
      <c r="S1934" s="153" t="n"/>
    </row>
    <row r="1935" ht="36" customHeight="1">
      <c r="A1935" s="46" t="n">
        <v>4265</v>
      </c>
      <c r="B1935" s="4">
        <f>+VLOOKUP($A1935,MAGAZZINO!$B$2:$M$100000,2,FALSE)</f>
        <v/>
      </c>
      <c r="C1935" s="29">
        <f>+VLOOKUP($A1935,MAGAZZINO!$B$2:$M$100000,3,FALSE)</f>
        <v/>
      </c>
      <c r="D1935" s="3">
        <f>+VLOOKUP($A1935,MAGAZZINO!$B$2:$M$100000,4,FALSE)</f>
        <v/>
      </c>
      <c r="E1935" s="3">
        <f>+VLOOKUP($A1935,MAGAZZINO!$B$2:$M$100000,5,FALSE)</f>
        <v/>
      </c>
      <c r="F1935" s="3">
        <f>+VLOOKUP($A1935,MAGAZZINO!$B$2:$M$100000,6,FALSE)</f>
        <v/>
      </c>
      <c r="G1935" s="3">
        <f>+VLOOKUP($A1935,MAGAZZINO!$B$2:$M$100000,7,FALSE)</f>
        <v/>
      </c>
      <c r="H1935" s="3">
        <f>+VLOOKUP($A1935,MAGAZZINO!$B$2:$M$100000,8,FALSE)</f>
        <v/>
      </c>
      <c r="I1935" s="3">
        <f>+VLOOKUP($A1935,MAGAZZINO!$B$2:$M$100000,9,FALSE)</f>
        <v/>
      </c>
      <c r="J1935" s="3">
        <f>+VLOOKUP($A1935,MAGAZZINO!$B$2:$M$100000,10,FALSE)</f>
        <v/>
      </c>
      <c r="K1935" s="3">
        <f>+VLOOKUP($A1935,MAGAZZINO!$B$2:$M$100000,11,FALSE)</f>
        <v/>
      </c>
      <c r="L1935" s="5">
        <f>+VLOOKUP($A1935,MAGAZZINO!$B$2:$M$100000,12,FALSE)</f>
        <v/>
      </c>
      <c r="M1935" s="47" t="n"/>
      <c r="N1935" s="88" t="n">
        <v>45932</v>
      </c>
      <c r="O1935" s="156" t="inlineStr">
        <is>
          <t>BIN HUMAID NATIONAL TRADING CO. (ARABIA SAUDITA)</t>
        </is>
      </c>
      <c r="P1935" s="154" t="inlineStr">
        <is>
          <t xml:space="preserve">IMPORT LICENSE N. 31432 (END USER CERTIFICATE)                                                                                AUT. ESPORTAZIONE SINGOLA N. 6B/2025/5D RILASCIATA IL 04/09/2025  </t>
        </is>
      </c>
      <c r="Q1935" s="150" t="n"/>
      <c r="R1935" s="150" t="n"/>
      <c r="S1935" s="153" t="n"/>
    </row>
    <row r="1936" ht="36" customHeight="1">
      <c r="A1936" s="46" t="n">
        <v>4266</v>
      </c>
      <c r="B1936" s="4">
        <f>+VLOOKUP($A1936,MAGAZZINO!$B$2:$M$100000,2,FALSE)</f>
        <v/>
      </c>
      <c r="C1936" s="29">
        <f>+VLOOKUP($A1936,MAGAZZINO!$B$2:$M$100000,3,FALSE)</f>
        <v/>
      </c>
      <c r="D1936" s="3">
        <f>+VLOOKUP($A1936,MAGAZZINO!$B$2:$M$100000,4,FALSE)</f>
        <v/>
      </c>
      <c r="E1936" s="3">
        <f>+VLOOKUP($A1936,MAGAZZINO!$B$2:$M$100000,5,FALSE)</f>
        <v/>
      </c>
      <c r="F1936" s="3">
        <f>+VLOOKUP($A1936,MAGAZZINO!$B$2:$M$100000,6,FALSE)</f>
        <v/>
      </c>
      <c r="G1936" s="3">
        <f>+VLOOKUP($A1936,MAGAZZINO!$B$2:$M$100000,7,FALSE)</f>
        <v/>
      </c>
      <c r="H1936" s="3">
        <f>+VLOOKUP($A1936,MAGAZZINO!$B$2:$M$100000,8,FALSE)</f>
        <v/>
      </c>
      <c r="I1936" s="3">
        <f>+VLOOKUP($A1936,MAGAZZINO!$B$2:$M$100000,9,FALSE)</f>
        <v/>
      </c>
      <c r="J1936" s="3">
        <f>+VLOOKUP($A1936,MAGAZZINO!$B$2:$M$100000,10,FALSE)</f>
        <v/>
      </c>
      <c r="K1936" s="3">
        <f>+VLOOKUP($A1936,MAGAZZINO!$B$2:$M$100000,11,FALSE)</f>
        <v/>
      </c>
      <c r="L1936" s="5">
        <f>+VLOOKUP($A1936,MAGAZZINO!$B$2:$M$100000,12,FALSE)</f>
        <v/>
      </c>
      <c r="M1936" s="47" t="n"/>
      <c r="N1936" s="88" t="n">
        <v>45932</v>
      </c>
      <c r="O1936" s="156" t="inlineStr">
        <is>
          <t>BIN HUMAID NATIONAL TRADING CO. (ARABIA SAUDITA)</t>
        </is>
      </c>
      <c r="P1936" s="154" t="inlineStr">
        <is>
          <t xml:space="preserve">IMPORT LICENSE N. 31432 (END USER CERTIFICATE)                                                                                AUT. ESPORTAZIONE SINGOLA N. 6B/2025/5D RILASCIATA IL 04/09/2025  </t>
        </is>
      </c>
      <c r="Q1936" s="150" t="n"/>
      <c r="R1936" s="150" t="n"/>
      <c r="S1936" s="153" t="n"/>
    </row>
    <row r="1937" ht="36" customHeight="1">
      <c r="A1937" s="46" t="n">
        <v>4267</v>
      </c>
      <c r="B1937" s="4">
        <f>+VLOOKUP($A1937,MAGAZZINO!$B$2:$M$100000,2,FALSE)</f>
        <v/>
      </c>
      <c r="C1937" s="29">
        <f>+VLOOKUP($A1937,MAGAZZINO!$B$2:$M$100000,3,FALSE)</f>
        <v/>
      </c>
      <c r="D1937" s="3">
        <f>+VLOOKUP($A1937,MAGAZZINO!$B$2:$M$100000,4,FALSE)</f>
        <v/>
      </c>
      <c r="E1937" s="3">
        <f>+VLOOKUP($A1937,MAGAZZINO!$B$2:$M$100000,5,FALSE)</f>
        <v/>
      </c>
      <c r="F1937" s="3">
        <f>+VLOOKUP($A1937,MAGAZZINO!$B$2:$M$100000,6,FALSE)</f>
        <v/>
      </c>
      <c r="G1937" s="3">
        <f>+VLOOKUP($A1937,MAGAZZINO!$B$2:$M$100000,7,FALSE)</f>
        <v/>
      </c>
      <c r="H1937" s="3">
        <f>+VLOOKUP($A1937,MAGAZZINO!$B$2:$M$100000,8,FALSE)</f>
        <v/>
      </c>
      <c r="I1937" s="3">
        <f>+VLOOKUP($A1937,MAGAZZINO!$B$2:$M$100000,9,FALSE)</f>
        <v/>
      </c>
      <c r="J1937" s="3">
        <f>+VLOOKUP($A1937,MAGAZZINO!$B$2:$M$100000,10,FALSE)</f>
        <v/>
      </c>
      <c r="K1937" s="3">
        <f>+VLOOKUP($A1937,MAGAZZINO!$B$2:$M$100000,11,FALSE)</f>
        <v/>
      </c>
      <c r="L1937" s="5">
        <f>+VLOOKUP($A1937,MAGAZZINO!$B$2:$M$100000,12,FALSE)</f>
        <v/>
      </c>
      <c r="M1937" s="47" t="n"/>
      <c r="N1937" s="88" t="n">
        <v>45932</v>
      </c>
      <c r="O1937" s="156" t="inlineStr">
        <is>
          <t>BIN HUMAID NATIONAL TRADING CO. (ARABIA SAUDITA)</t>
        </is>
      </c>
      <c r="P1937" s="154" t="inlineStr">
        <is>
          <t xml:space="preserve">IMPORT LICENSE N. 31432 (END USER CERTIFICATE)                                                                                AUT. ESPORTAZIONE SINGOLA N. 6B/2025/5D RILASCIATA IL 04/09/2025  </t>
        </is>
      </c>
      <c r="Q1937" s="150" t="n"/>
      <c r="R1937" s="150" t="n"/>
      <c r="S1937" s="153" t="n"/>
    </row>
    <row r="1938" ht="36" customHeight="1">
      <c r="A1938" s="46" t="n">
        <v>4268</v>
      </c>
      <c r="B1938" s="4">
        <f>+VLOOKUP($A1938,MAGAZZINO!$B$2:$M$100000,2,FALSE)</f>
        <v/>
      </c>
      <c r="C1938" s="29">
        <f>+VLOOKUP($A1938,MAGAZZINO!$B$2:$M$100000,3,FALSE)</f>
        <v/>
      </c>
      <c r="D1938" s="3">
        <f>+VLOOKUP($A1938,MAGAZZINO!$B$2:$M$100000,4,FALSE)</f>
        <v/>
      </c>
      <c r="E1938" s="3">
        <f>+VLOOKUP($A1938,MAGAZZINO!$B$2:$M$100000,5,FALSE)</f>
        <v/>
      </c>
      <c r="F1938" s="3">
        <f>+VLOOKUP($A1938,MAGAZZINO!$B$2:$M$100000,6,FALSE)</f>
        <v/>
      </c>
      <c r="G1938" s="3">
        <f>+VLOOKUP($A1938,MAGAZZINO!$B$2:$M$100000,7,FALSE)</f>
        <v/>
      </c>
      <c r="H1938" s="3">
        <f>+VLOOKUP($A1938,MAGAZZINO!$B$2:$M$100000,8,FALSE)</f>
        <v/>
      </c>
      <c r="I1938" s="3">
        <f>+VLOOKUP($A1938,MAGAZZINO!$B$2:$M$100000,9,FALSE)</f>
        <v/>
      </c>
      <c r="J1938" s="3">
        <f>+VLOOKUP($A1938,MAGAZZINO!$B$2:$M$100000,10,FALSE)</f>
        <v/>
      </c>
      <c r="K1938" s="3">
        <f>+VLOOKUP($A1938,MAGAZZINO!$B$2:$M$100000,11,FALSE)</f>
        <v/>
      </c>
      <c r="L1938" s="5">
        <f>+VLOOKUP($A1938,MAGAZZINO!$B$2:$M$100000,12,FALSE)</f>
        <v/>
      </c>
      <c r="M1938" s="47" t="n"/>
      <c r="N1938" s="88" t="n">
        <v>45932</v>
      </c>
      <c r="O1938" s="156" t="inlineStr">
        <is>
          <t>BIN HUMAID NATIONAL TRADING CO. (ARABIA SAUDITA)</t>
        </is>
      </c>
      <c r="P1938" s="154" t="inlineStr">
        <is>
          <t xml:space="preserve">IMPORT LICENSE N. 31432 (END USER CERTIFICATE)                                                                                AUT. ESPORTAZIONE SINGOLA N. 6B/2025/5D RILASCIATA IL 04/09/2025  </t>
        </is>
      </c>
      <c r="Q1938" s="150" t="n"/>
      <c r="R1938" s="150" t="n"/>
      <c r="S1938" s="153" t="n"/>
    </row>
    <row r="1939" ht="36" customHeight="1">
      <c r="A1939" s="46" t="n">
        <v>4269</v>
      </c>
      <c r="B1939" s="4">
        <f>+VLOOKUP($A1939,MAGAZZINO!$B$2:$M$100000,2,FALSE)</f>
        <v/>
      </c>
      <c r="C1939" s="29">
        <f>+VLOOKUP($A1939,MAGAZZINO!$B$2:$M$100000,3,FALSE)</f>
        <v/>
      </c>
      <c r="D1939" s="3">
        <f>+VLOOKUP($A1939,MAGAZZINO!$B$2:$M$100000,4,FALSE)</f>
        <v/>
      </c>
      <c r="E1939" s="3">
        <f>+VLOOKUP($A1939,MAGAZZINO!$B$2:$M$100000,5,FALSE)</f>
        <v/>
      </c>
      <c r="F1939" s="3">
        <f>+VLOOKUP($A1939,MAGAZZINO!$B$2:$M$100000,6,FALSE)</f>
        <v/>
      </c>
      <c r="G1939" s="3">
        <f>+VLOOKUP($A1939,MAGAZZINO!$B$2:$M$100000,7,FALSE)</f>
        <v/>
      </c>
      <c r="H1939" s="3">
        <f>+VLOOKUP($A1939,MAGAZZINO!$B$2:$M$100000,8,FALSE)</f>
        <v/>
      </c>
      <c r="I1939" s="3">
        <f>+VLOOKUP($A1939,MAGAZZINO!$B$2:$M$100000,9,FALSE)</f>
        <v/>
      </c>
      <c r="J1939" s="3">
        <f>+VLOOKUP($A1939,MAGAZZINO!$B$2:$M$100000,10,FALSE)</f>
        <v/>
      </c>
      <c r="K1939" s="3">
        <f>+VLOOKUP($A1939,MAGAZZINO!$B$2:$M$100000,11,FALSE)</f>
        <v/>
      </c>
      <c r="L1939" s="5">
        <f>+VLOOKUP($A1939,MAGAZZINO!$B$2:$M$100000,12,FALSE)</f>
        <v/>
      </c>
      <c r="M1939" s="47" t="n"/>
      <c r="N1939" s="88" t="n">
        <v>45932</v>
      </c>
      <c r="O1939" s="156" t="inlineStr">
        <is>
          <t>BIN HUMAID NATIONAL TRADING CO. (ARABIA SAUDITA)</t>
        </is>
      </c>
      <c r="P1939" s="154" t="inlineStr">
        <is>
          <t xml:space="preserve">IMPORT LICENSE N. 31432 (END USER CERTIFICATE)                                                                                AUT. ESPORTAZIONE SINGOLA N. 6B/2025/5D RILASCIATA IL 04/09/2025  </t>
        </is>
      </c>
      <c r="Q1939" s="150" t="n"/>
      <c r="R1939" s="150" t="n"/>
      <c r="S1939" s="153" t="n"/>
    </row>
    <row r="1940" ht="36" customHeight="1">
      <c r="A1940" s="46" t="n">
        <v>4270</v>
      </c>
      <c r="B1940" s="4">
        <f>+VLOOKUP($A1940,MAGAZZINO!$B$2:$M$100000,2,FALSE)</f>
        <v/>
      </c>
      <c r="C1940" s="29">
        <f>+VLOOKUP($A1940,MAGAZZINO!$B$2:$M$100000,3,FALSE)</f>
        <v/>
      </c>
      <c r="D1940" s="3">
        <f>+VLOOKUP($A1940,MAGAZZINO!$B$2:$M$100000,4,FALSE)</f>
        <v/>
      </c>
      <c r="E1940" s="3">
        <f>+VLOOKUP($A1940,MAGAZZINO!$B$2:$M$100000,5,FALSE)</f>
        <v/>
      </c>
      <c r="F1940" s="3">
        <f>+VLOOKUP($A1940,MAGAZZINO!$B$2:$M$100000,6,FALSE)</f>
        <v/>
      </c>
      <c r="G1940" s="3">
        <f>+VLOOKUP($A1940,MAGAZZINO!$B$2:$M$100000,7,FALSE)</f>
        <v/>
      </c>
      <c r="H1940" s="3">
        <f>+VLOOKUP($A1940,MAGAZZINO!$B$2:$M$100000,8,FALSE)</f>
        <v/>
      </c>
      <c r="I1940" s="3">
        <f>+VLOOKUP($A1940,MAGAZZINO!$B$2:$M$100000,9,FALSE)</f>
        <v/>
      </c>
      <c r="J1940" s="3">
        <f>+VLOOKUP($A1940,MAGAZZINO!$B$2:$M$100000,10,FALSE)</f>
        <v/>
      </c>
      <c r="K1940" s="3">
        <f>+VLOOKUP($A1940,MAGAZZINO!$B$2:$M$100000,11,FALSE)</f>
        <v/>
      </c>
      <c r="L1940" s="5">
        <f>+VLOOKUP($A1940,MAGAZZINO!$B$2:$M$100000,12,FALSE)</f>
        <v/>
      </c>
      <c r="M1940" s="47" t="n"/>
      <c r="N1940" s="88" t="n">
        <v>45932</v>
      </c>
      <c r="O1940" s="156" t="inlineStr">
        <is>
          <t>BIN HUMAID NATIONAL TRADING CO. (ARABIA SAUDITA)</t>
        </is>
      </c>
      <c r="P1940" s="154" t="inlineStr">
        <is>
          <t xml:space="preserve">IMPORT LICENSE N. 31432 (END USER CERTIFICATE)                                                                                AUT. ESPORTAZIONE SINGOLA N. 6B/2025/5D RILASCIATA IL 04/09/2025  </t>
        </is>
      </c>
      <c r="Q1940" s="150" t="n"/>
      <c r="R1940" s="150" t="n"/>
      <c r="S1940" s="153" t="n"/>
    </row>
    <row r="1941" ht="36" customHeight="1">
      <c r="A1941" s="46" t="n">
        <v>4271</v>
      </c>
      <c r="B1941" s="4">
        <f>+VLOOKUP($A1941,MAGAZZINO!$B$2:$M$100000,2,FALSE)</f>
        <v/>
      </c>
      <c r="C1941" s="29">
        <f>+VLOOKUP($A1941,MAGAZZINO!$B$2:$M$100000,3,FALSE)</f>
        <v/>
      </c>
      <c r="D1941" s="3">
        <f>+VLOOKUP($A1941,MAGAZZINO!$B$2:$M$100000,4,FALSE)</f>
        <v/>
      </c>
      <c r="E1941" s="3">
        <f>+VLOOKUP($A1941,MAGAZZINO!$B$2:$M$100000,5,FALSE)</f>
        <v/>
      </c>
      <c r="F1941" s="3">
        <f>+VLOOKUP($A1941,MAGAZZINO!$B$2:$M$100000,6,FALSE)</f>
        <v/>
      </c>
      <c r="G1941" s="3">
        <f>+VLOOKUP($A1941,MAGAZZINO!$B$2:$M$100000,7,FALSE)</f>
        <v/>
      </c>
      <c r="H1941" s="3">
        <f>+VLOOKUP($A1941,MAGAZZINO!$B$2:$M$100000,8,FALSE)</f>
        <v/>
      </c>
      <c r="I1941" s="3">
        <f>+VLOOKUP($A1941,MAGAZZINO!$B$2:$M$100000,9,FALSE)</f>
        <v/>
      </c>
      <c r="J1941" s="3">
        <f>+VLOOKUP($A1941,MAGAZZINO!$B$2:$M$100000,10,FALSE)</f>
        <v/>
      </c>
      <c r="K1941" s="3">
        <f>+VLOOKUP($A1941,MAGAZZINO!$B$2:$M$100000,11,FALSE)</f>
        <v/>
      </c>
      <c r="L1941" s="5">
        <f>+VLOOKUP($A1941,MAGAZZINO!$B$2:$M$100000,12,FALSE)</f>
        <v/>
      </c>
      <c r="M1941" s="47" t="n"/>
      <c r="N1941" s="88" t="n">
        <v>45932</v>
      </c>
      <c r="O1941" s="156" t="inlineStr">
        <is>
          <t>BIN HUMAID NATIONAL TRADING CO. (ARABIA SAUDITA)</t>
        </is>
      </c>
      <c r="P1941" s="154" t="inlineStr">
        <is>
          <t xml:space="preserve">IMPORT LICENSE N. 31432 (END USER CERTIFICATE)                                                                                AUT. ESPORTAZIONE SINGOLA N. 6B/2025/5D RILASCIATA IL 04/09/2025  </t>
        </is>
      </c>
      <c r="Q1941" s="150" t="n"/>
      <c r="R1941" s="150" t="n"/>
      <c r="S1941" s="153" t="n"/>
    </row>
    <row r="1942" ht="36" customHeight="1">
      <c r="A1942" s="46" t="n">
        <v>4272</v>
      </c>
      <c r="B1942" s="4">
        <f>+VLOOKUP($A1942,MAGAZZINO!$B$2:$M$100000,2,FALSE)</f>
        <v/>
      </c>
      <c r="C1942" s="29">
        <f>+VLOOKUP($A1942,MAGAZZINO!$B$2:$M$100000,3,FALSE)</f>
        <v/>
      </c>
      <c r="D1942" s="3">
        <f>+VLOOKUP($A1942,MAGAZZINO!$B$2:$M$100000,4,FALSE)</f>
        <v/>
      </c>
      <c r="E1942" s="3">
        <f>+VLOOKUP($A1942,MAGAZZINO!$B$2:$M$100000,5,FALSE)</f>
        <v/>
      </c>
      <c r="F1942" s="3">
        <f>+VLOOKUP($A1942,MAGAZZINO!$B$2:$M$100000,6,FALSE)</f>
        <v/>
      </c>
      <c r="G1942" s="3">
        <f>+VLOOKUP($A1942,MAGAZZINO!$B$2:$M$100000,7,FALSE)</f>
        <v/>
      </c>
      <c r="H1942" s="3">
        <f>+VLOOKUP($A1942,MAGAZZINO!$B$2:$M$100000,8,FALSE)</f>
        <v/>
      </c>
      <c r="I1942" s="3">
        <f>+VLOOKUP($A1942,MAGAZZINO!$B$2:$M$100000,9,FALSE)</f>
        <v/>
      </c>
      <c r="J1942" s="3">
        <f>+VLOOKUP($A1942,MAGAZZINO!$B$2:$M$100000,10,FALSE)</f>
        <v/>
      </c>
      <c r="K1942" s="3">
        <f>+VLOOKUP($A1942,MAGAZZINO!$B$2:$M$100000,11,FALSE)</f>
        <v/>
      </c>
      <c r="L1942" s="5">
        <f>+VLOOKUP($A1942,MAGAZZINO!$B$2:$M$100000,12,FALSE)</f>
        <v/>
      </c>
      <c r="M1942" s="47" t="n"/>
      <c r="N1942" s="88" t="n">
        <v>45932</v>
      </c>
      <c r="O1942" s="156" t="inlineStr">
        <is>
          <t>BIN HUMAID NATIONAL TRADING CO. (ARABIA SAUDITA)</t>
        </is>
      </c>
      <c r="P1942" s="154" t="inlineStr">
        <is>
          <t xml:space="preserve">IMPORT LICENSE N. 31432 (END USER CERTIFICATE)                                                                                AUT. ESPORTAZIONE SINGOLA N. 6B/2025/5D RILASCIATA IL 04/09/2025  </t>
        </is>
      </c>
      <c r="Q1942" s="150" t="n"/>
      <c r="R1942" s="150" t="n"/>
      <c r="S1942" s="153" t="n"/>
    </row>
    <row r="1943" ht="36" customHeight="1">
      <c r="A1943" s="46" t="n">
        <v>4273</v>
      </c>
      <c r="B1943" s="4">
        <f>+VLOOKUP($A1943,MAGAZZINO!$B$2:$M$100000,2,FALSE)</f>
        <v/>
      </c>
      <c r="C1943" s="29">
        <f>+VLOOKUP($A1943,MAGAZZINO!$B$2:$M$100000,3,FALSE)</f>
        <v/>
      </c>
      <c r="D1943" s="3">
        <f>+VLOOKUP($A1943,MAGAZZINO!$B$2:$M$100000,4,FALSE)</f>
        <v/>
      </c>
      <c r="E1943" s="3">
        <f>+VLOOKUP($A1943,MAGAZZINO!$B$2:$M$100000,5,FALSE)</f>
        <v/>
      </c>
      <c r="F1943" s="3">
        <f>+VLOOKUP($A1943,MAGAZZINO!$B$2:$M$100000,6,FALSE)</f>
        <v/>
      </c>
      <c r="G1943" s="3">
        <f>+VLOOKUP($A1943,MAGAZZINO!$B$2:$M$100000,7,FALSE)</f>
        <v/>
      </c>
      <c r="H1943" s="3">
        <f>+VLOOKUP($A1943,MAGAZZINO!$B$2:$M$100000,8,FALSE)</f>
        <v/>
      </c>
      <c r="I1943" s="3">
        <f>+VLOOKUP($A1943,MAGAZZINO!$B$2:$M$100000,9,FALSE)</f>
        <v/>
      </c>
      <c r="J1943" s="3">
        <f>+VLOOKUP($A1943,MAGAZZINO!$B$2:$M$100000,10,FALSE)</f>
        <v/>
      </c>
      <c r="K1943" s="3">
        <f>+VLOOKUP($A1943,MAGAZZINO!$B$2:$M$100000,11,FALSE)</f>
        <v/>
      </c>
      <c r="L1943" s="5">
        <f>+VLOOKUP($A1943,MAGAZZINO!$B$2:$M$100000,12,FALSE)</f>
        <v/>
      </c>
      <c r="M1943" s="47" t="n"/>
      <c r="N1943" s="88" t="n">
        <v>45932</v>
      </c>
      <c r="O1943" s="156" t="inlineStr">
        <is>
          <t>BIN HUMAID NATIONAL TRADING CO. (ARABIA SAUDITA)</t>
        </is>
      </c>
      <c r="P1943" s="154" t="inlineStr">
        <is>
          <t xml:space="preserve">IMPORT LICENSE N. 31432 (END USER CERTIFICATE)                                                                                AUT. ESPORTAZIONE SINGOLA N. 6B/2025/5D RILASCIATA IL 04/09/2025  </t>
        </is>
      </c>
      <c r="Q1943" s="150" t="n"/>
      <c r="R1943" s="150" t="n"/>
      <c r="S1943" s="153" t="n"/>
    </row>
    <row r="1944" ht="36" customHeight="1">
      <c r="A1944" s="46" t="n">
        <v>4274</v>
      </c>
      <c r="B1944" s="4">
        <f>+VLOOKUP($A1944,MAGAZZINO!$B$2:$M$100000,2,FALSE)</f>
        <v/>
      </c>
      <c r="C1944" s="29">
        <f>+VLOOKUP($A1944,MAGAZZINO!$B$2:$M$100000,3,FALSE)</f>
        <v/>
      </c>
      <c r="D1944" s="3">
        <f>+VLOOKUP($A1944,MAGAZZINO!$B$2:$M$100000,4,FALSE)</f>
        <v/>
      </c>
      <c r="E1944" s="3">
        <f>+VLOOKUP($A1944,MAGAZZINO!$B$2:$M$100000,5,FALSE)</f>
        <v/>
      </c>
      <c r="F1944" s="3">
        <f>+VLOOKUP($A1944,MAGAZZINO!$B$2:$M$100000,6,FALSE)</f>
        <v/>
      </c>
      <c r="G1944" s="3">
        <f>+VLOOKUP($A1944,MAGAZZINO!$B$2:$M$100000,7,FALSE)</f>
        <v/>
      </c>
      <c r="H1944" s="3">
        <f>+VLOOKUP($A1944,MAGAZZINO!$B$2:$M$100000,8,FALSE)</f>
        <v/>
      </c>
      <c r="I1944" s="3">
        <f>+VLOOKUP($A1944,MAGAZZINO!$B$2:$M$100000,9,FALSE)</f>
        <v/>
      </c>
      <c r="J1944" s="3">
        <f>+VLOOKUP($A1944,MAGAZZINO!$B$2:$M$100000,10,FALSE)</f>
        <v/>
      </c>
      <c r="K1944" s="3">
        <f>+VLOOKUP($A1944,MAGAZZINO!$B$2:$M$100000,11,FALSE)</f>
        <v/>
      </c>
      <c r="L1944" s="5">
        <f>+VLOOKUP($A1944,MAGAZZINO!$B$2:$M$100000,12,FALSE)</f>
        <v/>
      </c>
      <c r="M1944" s="47" t="n"/>
      <c r="N1944" s="88" t="n">
        <v>45932</v>
      </c>
      <c r="O1944" s="156" t="inlineStr">
        <is>
          <t>BIN HUMAID NATIONAL TRADING CO. (ARABIA SAUDITA)</t>
        </is>
      </c>
      <c r="P1944" s="154" t="inlineStr">
        <is>
          <t xml:space="preserve">IMPORT LICENSE N. 31432 (END USER CERTIFICATE)                                                                                AUT. ESPORTAZIONE SINGOLA N. 6B/2025/5D RILASCIATA IL 04/09/2025  </t>
        </is>
      </c>
      <c r="Q1944" s="150" t="n"/>
      <c r="R1944" s="150" t="n"/>
      <c r="S1944" s="153" t="n"/>
    </row>
    <row r="1945" ht="36" customHeight="1">
      <c r="A1945" s="46" t="n">
        <v>4275</v>
      </c>
      <c r="B1945" s="4">
        <f>+VLOOKUP($A1945,MAGAZZINO!$B$2:$M$100000,2,FALSE)</f>
        <v/>
      </c>
      <c r="C1945" s="29">
        <f>+VLOOKUP($A1945,MAGAZZINO!$B$2:$M$100000,3,FALSE)</f>
        <v/>
      </c>
      <c r="D1945" s="3">
        <f>+VLOOKUP($A1945,MAGAZZINO!$B$2:$M$100000,4,FALSE)</f>
        <v/>
      </c>
      <c r="E1945" s="3">
        <f>+VLOOKUP($A1945,MAGAZZINO!$B$2:$M$100000,5,FALSE)</f>
        <v/>
      </c>
      <c r="F1945" s="3">
        <f>+VLOOKUP($A1945,MAGAZZINO!$B$2:$M$100000,6,FALSE)</f>
        <v/>
      </c>
      <c r="G1945" s="3">
        <f>+VLOOKUP($A1945,MAGAZZINO!$B$2:$M$100000,7,FALSE)</f>
        <v/>
      </c>
      <c r="H1945" s="3">
        <f>+VLOOKUP($A1945,MAGAZZINO!$B$2:$M$100000,8,FALSE)</f>
        <v/>
      </c>
      <c r="I1945" s="3">
        <f>+VLOOKUP($A1945,MAGAZZINO!$B$2:$M$100000,9,FALSE)</f>
        <v/>
      </c>
      <c r="J1945" s="3">
        <f>+VLOOKUP($A1945,MAGAZZINO!$B$2:$M$100000,10,FALSE)</f>
        <v/>
      </c>
      <c r="K1945" s="3">
        <f>+VLOOKUP($A1945,MAGAZZINO!$B$2:$M$100000,11,FALSE)</f>
        <v/>
      </c>
      <c r="L1945" s="5">
        <f>+VLOOKUP($A1945,MAGAZZINO!$B$2:$M$100000,12,FALSE)</f>
        <v/>
      </c>
      <c r="M1945" s="47" t="n"/>
      <c r="N1945" s="88" t="n">
        <v>45932</v>
      </c>
      <c r="O1945" s="156" t="inlineStr">
        <is>
          <t>BIN HUMAID NATIONAL TRADING CO. (ARABIA SAUDITA)</t>
        </is>
      </c>
      <c r="P1945" s="154" t="inlineStr">
        <is>
          <t xml:space="preserve">IMPORT LICENSE N. 31432 (END USER CERTIFICATE)                                                                                AUT. ESPORTAZIONE SINGOLA N. 6B/2025/5D RILASCIATA IL 04/09/2025  </t>
        </is>
      </c>
      <c r="Q1945" s="150" t="n"/>
      <c r="R1945" s="150" t="n"/>
      <c r="S1945" s="153" t="n"/>
    </row>
    <row r="1946" ht="36" customHeight="1">
      <c r="A1946" s="46" t="n">
        <v>4276</v>
      </c>
      <c r="B1946" s="4">
        <f>+VLOOKUP($A1946,MAGAZZINO!$B$2:$M$100000,2,FALSE)</f>
        <v/>
      </c>
      <c r="C1946" s="29">
        <f>+VLOOKUP($A1946,MAGAZZINO!$B$2:$M$100000,3,FALSE)</f>
        <v/>
      </c>
      <c r="D1946" s="3">
        <f>+VLOOKUP($A1946,MAGAZZINO!$B$2:$M$100000,4,FALSE)</f>
        <v/>
      </c>
      <c r="E1946" s="3">
        <f>+VLOOKUP($A1946,MAGAZZINO!$B$2:$M$100000,5,FALSE)</f>
        <v/>
      </c>
      <c r="F1946" s="3">
        <f>+VLOOKUP($A1946,MAGAZZINO!$B$2:$M$100000,6,FALSE)</f>
        <v/>
      </c>
      <c r="G1946" s="3">
        <f>+VLOOKUP($A1946,MAGAZZINO!$B$2:$M$100000,7,FALSE)</f>
        <v/>
      </c>
      <c r="H1946" s="3">
        <f>+VLOOKUP($A1946,MAGAZZINO!$B$2:$M$100000,8,FALSE)</f>
        <v/>
      </c>
      <c r="I1946" s="3">
        <f>+VLOOKUP($A1946,MAGAZZINO!$B$2:$M$100000,9,FALSE)</f>
        <v/>
      </c>
      <c r="J1946" s="3">
        <f>+VLOOKUP($A1946,MAGAZZINO!$B$2:$M$100000,10,FALSE)</f>
        <v/>
      </c>
      <c r="K1946" s="3">
        <f>+VLOOKUP($A1946,MAGAZZINO!$B$2:$M$100000,11,FALSE)</f>
        <v/>
      </c>
      <c r="L1946" s="5">
        <f>+VLOOKUP($A1946,MAGAZZINO!$B$2:$M$100000,12,FALSE)</f>
        <v/>
      </c>
      <c r="M1946" s="47" t="n"/>
      <c r="N1946" s="88" t="n">
        <v>45932</v>
      </c>
      <c r="O1946" s="156" t="inlineStr">
        <is>
          <t>BIN HUMAID NATIONAL TRADING CO. (ARABIA SAUDITA)</t>
        </is>
      </c>
      <c r="P1946" s="154" t="inlineStr">
        <is>
          <t xml:space="preserve">IMPORT LICENSE N. 31432 (END USER CERTIFICATE)                                                                                AUT. ESPORTAZIONE SINGOLA N. 6B/2025/5D RILASCIATA IL 04/09/2025  </t>
        </is>
      </c>
      <c r="Q1946" s="150" t="n"/>
      <c r="R1946" s="150" t="n"/>
      <c r="S1946" s="153" t="n"/>
    </row>
    <row r="1947" ht="36" customHeight="1">
      <c r="A1947" s="46" t="n">
        <v>4277</v>
      </c>
      <c r="B1947" s="4">
        <f>+VLOOKUP($A1947,MAGAZZINO!$B$2:$M$100000,2,FALSE)</f>
        <v/>
      </c>
      <c r="C1947" s="29">
        <f>+VLOOKUP($A1947,MAGAZZINO!$B$2:$M$100000,3,FALSE)</f>
        <v/>
      </c>
      <c r="D1947" s="3">
        <f>+VLOOKUP($A1947,MAGAZZINO!$B$2:$M$100000,4,FALSE)</f>
        <v/>
      </c>
      <c r="E1947" s="3">
        <f>+VLOOKUP($A1947,MAGAZZINO!$B$2:$M$100000,5,FALSE)</f>
        <v/>
      </c>
      <c r="F1947" s="3">
        <f>+VLOOKUP($A1947,MAGAZZINO!$B$2:$M$100000,6,FALSE)</f>
        <v/>
      </c>
      <c r="G1947" s="3">
        <f>+VLOOKUP($A1947,MAGAZZINO!$B$2:$M$100000,7,FALSE)</f>
        <v/>
      </c>
      <c r="H1947" s="3">
        <f>+VLOOKUP($A1947,MAGAZZINO!$B$2:$M$100000,8,FALSE)</f>
        <v/>
      </c>
      <c r="I1947" s="3">
        <f>+VLOOKUP($A1947,MAGAZZINO!$B$2:$M$100000,9,FALSE)</f>
        <v/>
      </c>
      <c r="J1947" s="3">
        <f>+VLOOKUP($A1947,MAGAZZINO!$B$2:$M$100000,10,FALSE)</f>
        <v/>
      </c>
      <c r="K1947" s="3">
        <f>+VLOOKUP($A1947,MAGAZZINO!$B$2:$M$100000,11,FALSE)</f>
        <v/>
      </c>
      <c r="L1947" s="5">
        <f>+VLOOKUP($A1947,MAGAZZINO!$B$2:$M$100000,12,FALSE)</f>
        <v/>
      </c>
      <c r="M1947" s="47" t="n"/>
      <c r="N1947" s="88" t="n">
        <v>45932</v>
      </c>
      <c r="O1947" s="156" t="inlineStr">
        <is>
          <t>BIN HUMAID NATIONAL TRADING CO. (ARABIA SAUDITA)</t>
        </is>
      </c>
      <c r="P1947" s="154" t="inlineStr">
        <is>
          <t xml:space="preserve">IMPORT LICENSE N. 31432 (END USER CERTIFICATE)                                                                                AUT. ESPORTAZIONE SINGOLA N. 6B/2025/5D RILASCIATA IL 04/09/2025  </t>
        </is>
      </c>
      <c r="Q1947" s="150" t="n"/>
      <c r="R1947" s="150" t="n"/>
      <c r="S1947" s="153" t="n"/>
    </row>
    <row r="1948" ht="36" customHeight="1">
      <c r="A1948" s="46" t="n">
        <v>4278</v>
      </c>
      <c r="B1948" s="4">
        <f>+VLOOKUP($A1948,MAGAZZINO!$B$2:$M$100000,2,FALSE)</f>
        <v/>
      </c>
      <c r="C1948" s="29">
        <f>+VLOOKUP($A1948,MAGAZZINO!$B$2:$M$100000,3,FALSE)</f>
        <v/>
      </c>
      <c r="D1948" s="3">
        <f>+VLOOKUP($A1948,MAGAZZINO!$B$2:$M$100000,4,FALSE)</f>
        <v/>
      </c>
      <c r="E1948" s="3">
        <f>+VLOOKUP($A1948,MAGAZZINO!$B$2:$M$100000,5,FALSE)</f>
        <v/>
      </c>
      <c r="F1948" s="3">
        <f>+VLOOKUP($A1948,MAGAZZINO!$B$2:$M$100000,6,FALSE)</f>
        <v/>
      </c>
      <c r="G1948" s="3">
        <f>+VLOOKUP($A1948,MAGAZZINO!$B$2:$M$100000,7,FALSE)</f>
        <v/>
      </c>
      <c r="H1948" s="3">
        <f>+VLOOKUP($A1948,MAGAZZINO!$B$2:$M$100000,8,FALSE)</f>
        <v/>
      </c>
      <c r="I1948" s="3">
        <f>+VLOOKUP($A1948,MAGAZZINO!$B$2:$M$100000,9,FALSE)</f>
        <v/>
      </c>
      <c r="J1948" s="3">
        <f>+VLOOKUP($A1948,MAGAZZINO!$B$2:$M$100000,10,FALSE)</f>
        <v/>
      </c>
      <c r="K1948" s="3">
        <f>+VLOOKUP($A1948,MAGAZZINO!$B$2:$M$100000,11,FALSE)</f>
        <v/>
      </c>
      <c r="L1948" s="5">
        <f>+VLOOKUP($A1948,MAGAZZINO!$B$2:$M$100000,12,FALSE)</f>
        <v/>
      </c>
      <c r="M1948" s="47" t="n"/>
      <c r="N1948" s="88" t="n">
        <v>45932</v>
      </c>
      <c r="O1948" s="156" t="inlineStr">
        <is>
          <t>BIN HUMAID NATIONAL TRADING CO. (ARABIA SAUDITA)</t>
        </is>
      </c>
      <c r="P1948" s="154" t="inlineStr">
        <is>
          <t xml:space="preserve">IMPORT LICENSE N. 31432 (END USER CERTIFICATE)                                                                                AUT. ESPORTAZIONE SINGOLA N. 6B/2025/5D RILASCIATA IL 04/09/2025  </t>
        </is>
      </c>
      <c r="Q1948" s="150" t="n"/>
      <c r="R1948" s="150" t="n"/>
      <c r="S1948" s="153" t="n"/>
    </row>
    <row r="1949" ht="36" customHeight="1">
      <c r="A1949" s="46" t="n">
        <v>4279</v>
      </c>
      <c r="B1949" s="4">
        <f>+VLOOKUP($A1949,MAGAZZINO!$B$2:$M$100000,2,FALSE)</f>
        <v/>
      </c>
      <c r="C1949" s="29">
        <f>+VLOOKUP($A1949,MAGAZZINO!$B$2:$M$100000,3,FALSE)</f>
        <v/>
      </c>
      <c r="D1949" s="3">
        <f>+VLOOKUP($A1949,MAGAZZINO!$B$2:$M$100000,4,FALSE)</f>
        <v/>
      </c>
      <c r="E1949" s="3">
        <f>+VLOOKUP($A1949,MAGAZZINO!$B$2:$M$100000,5,FALSE)</f>
        <v/>
      </c>
      <c r="F1949" s="3">
        <f>+VLOOKUP($A1949,MAGAZZINO!$B$2:$M$100000,6,FALSE)</f>
        <v/>
      </c>
      <c r="G1949" s="3">
        <f>+VLOOKUP($A1949,MAGAZZINO!$B$2:$M$100000,7,FALSE)</f>
        <v/>
      </c>
      <c r="H1949" s="3">
        <f>+VLOOKUP($A1949,MAGAZZINO!$B$2:$M$100000,8,FALSE)</f>
        <v/>
      </c>
      <c r="I1949" s="3">
        <f>+VLOOKUP($A1949,MAGAZZINO!$B$2:$M$100000,9,FALSE)</f>
        <v/>
      </c>
      <c r="J1949" s="3">
        <f>+VLOOKUP($A1949,MAGAZZINO!$B$2:$M$100000,10,FALSE)</f>
        <v/>
      </c>
      <c r="K1949" s="3">
        <f>+VLOOKUP($A1949,MAGAZZINO!$B$2:$M$100000,11,FALSE)</f>
        <v/>
      </c>
      <c r="L1949" s="5">
        <f>+VLOOKUP($A1949,MAGAZZINO!$B$2:$M$100000,12,FALSE)</f>
        <v/>
      </c>
      <c r="M1949" s="47" t="n"/>
      <c r="N1949" s="88" t="n">
        <v>45932</v>
      </c>
      <c r="O1949" s="156" t="inlineStr">
        <is>
          <t>BIN HUMAID NATIONAL TRADING CO. (ARABIA SAUDITA)</t>
        </is>
      </c>
      <c r="P1949" s="154" t="inlineStr">
        <is>
          <t xml:space="preserve">IMPORT LICENSE N. 31432 (END USER CERTIFICATE)                                                                                AUT. ESPORTAZIONE SINGOLA N. 6B/2025/5D RILASCIATA IL 04/09/2025  </t>
        </is>
      </c>
      <c r="Q1949" s="150" t="n"/>
      <c r="R1949" s="150" t="n"/>
      <c r="S1949" s="153" t="n"/>
    </row>
    <row r="1950" ht="36" customHeight="1">
      <c r="A1950" s="46" t="n">
        <v>4280</v>
      </c>
      <c r="B1950" s="4">
        <f>+VLOOKUP($A1950,MAGAZZINO!$B$2:$M$100000,2,FALSE)</f>
        <v/>
      </c>
      <c r="C1950" s="29">
        <f>+VLOOKUP($A1950,MAGAZZINO!$B$2:$M$100000,3,FALSE)</f>
        <v/>
      </c>
      <c r="D1950" s="3">
        <f>+VLOOKUP($A1950,MAGAZZINO!$B$2:$M$100000,4,FALSE)</f>
        <v/>
      </c>
      <c r="E1950" s="3">
        <f>+VLOOKUP($A1950,MAGAZZINO!$B$2:$M$100000,5,FALSE)</f>
        <v/>
      </c>
      <c r="F1950" s="3">
        <f>+VLOOKUP($A1950,MAGAZZINO!$B$2:$M$100000,6,FALSE)</f>
        <v/>
      </c>
      <c r="G1950" s="3">
        <f>+VLOOKUP($A1950,MAGAZZINO!$B$2:$M$100000,7,FALSE)</f>
        <v/>
      </c>
      <c r="H1950" s="3">
        <f>+VLOOKUP($A1950,MAGAZZINO!$B$2:$M$100000,8,FALSE)</f>
        <v/>
      </c>
      <c r="I1950" s="3">
        <f>+VLOOKUP($A1950,MAGAZZINO!$B$2:$M$100000,9,FALSE)</f>
        <v/>
      </c>
      <c r="J1950" s="3">
        <f>+VLOOKUP($A1950,MAGAZZINO!$B$2:$M$100000,10,FALSE)</f>
        <v/>
      </c>
      <c r="K1950" s="3">
        <f>+VLOOKUP($A1950,MAGAZZINO!$B$2:$M$100000,11,FALSE)</f>
        <v/>
      </c>
      <c r="L1950" s="5">
        <f>+VLOOKUP($A1950,MAGAZZINO!$B$2:$M$100000,12,FALSE)</f>
        <v/>
      </c>
      <c r="M1950" s="47" t="n"/>
      <c r="N1950" s="54" t="n"/>
      <c r="O1950" s="3" t="n"/>
      <c r="P1950" s="149" t="n"/>
      <c r="Q1950" s="150" t="n"/>
      <c r="R1950" s="150" t="n"/>
      <c r="S1950" s="151" t="n"/>
    </row>
    <row r="1951" ht="36" customHeight="1">
      <c r="A1951" s="46" t="n">
        <v>4281</v>
      </c>
      <c r="B1951" s="4">
        <f>+VLOOKUP($A1951,MAGAZZINO!$B$2:$M$100000,2,FALSE)</f>
        <v/>
      </c>
      <c r="C1951" s="29">
        <f>+VLOOKUP($A1951,MAGAZZINO!$B$2:$M$100000,3,FALSE)</f>
        <v/>
      </c>
      <c r="D1951" s="3">
        <f>+VLOOKUP($A1951,MAGAZZINO!$B$2:$M$100000,4,FALSE)</f>
        <v/>
      </c>
      <c r="E1951" s="3">
        <f>+VLOOKUP($A1951,MAGAZZINO!$B$2:$M$100000,5,FALSE)</f>
        <v/>
      </c>
      <c r="F1951" s="3">
        <f>+VLOOKUP($A1951,MAGAZZINO!$B$2:$M$100000,6,FALSE)</f>
        <v/>
      </c>
      <c r="G1951" s="3">
        <f>+VLOOKUP($A1951,MAGAZZINO!$B$2:$M$100000,7,FALSE)</f>
        <v/>
      </c>
      <c r="H1951" s="3">
        <f>+VLOOKUP($A1951,MAGAZZINO!$B$2:$M$100000,8,FALSE)</f>
        <v/>
      </c>
      <c r="I1951" s="3">
        <f>+VLOOKUP($A1951,MAGAZZINO!$B$2:$M$100000,9,FALSE)</f>
        <v/>
      </c>
      <c r="J1951" s="3">
        <f>+VLOOKUP($A1951,MAGAZZINO!$B$2:$M$100000,10,FALSE)</f>
        <v/>
      </c>
      <c r="K1951" s="3">
        <f>+VLOOKUP($A1951,MAGAZZINO!$B$2:$M$100000,11,FALSE)</f>
        <v/>
      </c>
      <c r="L1951" s="5">
        <f>+VLOOKUP($A1951,MAGAZZINO!$B$2:$M$100000,12,FALSE)</f>
        <v/>
      </c>
      <c r="M1951" s="47" t="n"/>
      <c r="N1951" s="54" t="n"/>
      <c r="O1951" s="3" t="n"/>
      <c r="P1951" s="149" t="n"/>
      <c r="Q1951" s="150" t="n"/>
      <c r="R1951" s="150" t="n"/>
      <c r="S1951" s="151" t="n"/>
    </row>
    <row r="1952" ht="36" customHeight="1">
      <c r="A1952" s="46" t="n">
        <v>4282</v>
      </c>
      <c r="B1952" s="4">
        <f>+VLOOKUP($A1952,MAGAZZINO!$B$2:$M$100000,2,FALSE)</f>
        <v/>
      </c>
      <c r="C1952" s="29">
        <f>+VLOOKUP($A1952,MAGAZZINO!$B$2:$M$100000,3,FALSE)</f>
        <v/>
      </c>
      <c r="D1952" s="3">
        <f>+VLOOKUP($A1952,MAGAZZINO!$B$2:$M$100000,4,FALSE)</f>
        <v/>
      </c>
      <c r="E1952" s="3">
        <f>+VLOOKUP($A1952,MAGAZZINO!$B$2:$M$100000,5,FALSE)</f>
        <v/>
      </c>
      <c r="F1952" s="3">
        <f>+VLOOKUP($A1952,MAGAZZINO!$B$2:$M$100000,6,FALSE)</f>
        <v/>
      </c>
      <c r="G1952" s="3">
        <f>+VLOOKUP($A1952,MAGAZZINO!$B$2:$M$100000,7,FALSE)</f>
        <v/>
      </c>
      <c r="H1952" s="3">
        <f>+VLOOKUP($A1952,MAGAZZINO!$B$2:$M$100000,8,FALSE)</f>
        <v/>
      </c>
      <c r="I1952" s="3">
        <f>+VLOOKUP($A1952,MAGAZZINO!$B$2:$M$100000,9,FALSE)</f>
        <v/>
      </c>
      <c r="J1952" s="3">
        <f>+VLOOKUP($A1952,MAGAZZINO!$B$2:$M$100000,10,FALSE)</f>
        <v/>
      </c>
      <c r="K1952" s="3">
        <f>+VLOOKUP($A1952,MAGAZZINO!$B$2:$M$100000,11,FALSE)</f>
        <v/>
      </c>
      <c r="L1952" s="5">
        <f>+VLOOKUP($A1952,MAGAZZINO!$B$2:$M$100000,12,FALSE)</f>
        <v/>
      </c>
      <c r="M1952" s="47" t="n"/>
      <c r="N1952" s="54" t="n"/>
      <c r="O1952" s="3" t="n"/>
      <c r="P1952" s="149" t="n"/>
      <c r="Q1952" s="150" t="n"/>
      <c r="R1952" s="150" t="n"/>
      <c r="S1952" s="151" t="n"/>
    </row>
    <row r="1953" ht="36" customHeight="1">
      <c r="A1953" s="46" t="n">
        <v>4283</v>
      </c>
      <c r="B1953" s="4">
        <f>+VLOOKUP($A1953,MAGAZZINO!$B$2:$M$100000,2,FALSE)</f>
        <v/>
      </c>
      <c r="C1953" s="29">
        <f>+VLOOKUP($A1953,MAGAZZINO!$B$2:$M$100000,3,FALSE)</f>
        <v/>
      </c>
      <c r="D1953" s="3">
        <f>+VLOOKUP($A1953,MAGAZZINO!$B$2:$M$100000,4,FALSE)</f>
        <v/>
      </c>
      <c r="E1953" s="3">
        <f>+VLOOKUP($A1953,MAGAZZINO!$B$2:$M$100000,5,FALSE)</f>
        <v/>
      </c>
      <c r="F1953" s="3">
        <f>+VLOOKUP($A1953,MAGAZZINO!$B$2:$M$100000,6,FALSE)</f>
        <v/>
      </c>
      <c r="G1953" s="3">
        <f>+VLOOKUP($A1953,MAGAZZINO!$B$2:$M$100000,7,FALSE)</f>
        <v/>
      </c>
      <c r="H1953" s="3">
        <f>+VLOOKUP($A1953,MAGAZZINO!$B$2:$M$100000,8,FALSE)</f>
        <v/>
      </c>
      <c r="I1953" s="3">
        <f>+VLOOKUP($A1953,MAGAZZINO!$B$2:$M$100000,9,FALSE)</f>
        <v/>
      </c>
      <c r="J1953" s="3">
        <f>+VLOOKUP($A1953,MAGAZZINO!$B$2:$M$100000,10,FALSE)</f>
        <v/>
      </c>
      <c r="K1953" s="3">
        <f>+VLOOKUP($A1953,MAGAZZINO!$B$2:$M$100000,11,FALSE)</f>
        <v/>
      </c>
      <c r="L1953" s="5">
        <f>+VLOOKUP($A1953,MAGAZZINO!$B$2:$M$100000,12,FALSE)</f>
        <v/>
      </c>
      <c r="M1953" s="47" t="n"/>
      <c r="N1953" s="54" t="n"/>
      <c r="O1953" s="3" t="n"/>
      <c r="P1953" s="149" t="n"/>
      <c r="Q1953" s="150" t="n"/>
      <c r="R1953" s="150" t="n"/>
      <c r="S1953" s="151" t="n"/>
    </row>
    <row r="1954" ht="36" customHeight="1">
      <c r="A1954" s="46" t="n">
        <v>4284</v>
      </c>
      <c r="B1954" s="4">
        <f>+VLOOKUP($A1954,MAGAZZINO!$B$2:$M$100000,2,FALSE)</f>
        <v/>
      </c>
      <c r="C1954" s="29">
        <f>+VLOOKUP($A1954,MAGAZZINO!$B$2:$M$100000,3,FALSE)</f>
        <v/>
      </c>
      <c r="D1954" s="3">
        <f>+VLOOKUP($A1954,MAGAZZINO!$B$2:$M$100000,4,FALSE)</f>
        <v/>
      </c>
      <c r="E1954" s="3">
        <f>+VLOOKUP($A1954,MAGAZZINO!$B$2:$M$100000,5,FALSE)</f>
        <v/>
      </c>
      <c r="F1954" s="3">
        <f>+VLOOKUP($A1954,MAGAZZINO!$B$2:$M$100000,6,FALSE)</f>
        <v/>
      </c>
      <c r="G1954" s="3">
        <f>+VLOOKUP($A1954,MAGAZZINO!$B$2:$M$100000,7,FALSE)</f>
        <v/>
      </c>
      <c r="H1954" s="3">
        <f>+VLOOKUP($A1954,MAGAZZINO!$B$2:$M$100000,8,FALSE)</f>
        <v/>
      </c>
      <c r="I1954" s="3">
        <f>+VLOOKUP($A1954,MAGAZZINO!$B$2:$M$100000,9,FALSE)</f>
        <v/>
      </c>
      <c r="J1954" s="3">
        <f>+VLOOKUP($A1954,MAGAZZINO!$B$2:$M$100000,10,FALSE)</f>
        <v/>
      </c>
      <c r="K1954" s="3">
        <f>+VLOOKUP($A1954,MAGAZZINO!$B$2:$M$100000,11,FALSE)</f>
        <v/>
      </c>
      <c r="L1954" s="5">
        <f>+VLOOKUP($A1954,MAGAZZINO!$B$2:$M$100000,12,FALSE)</f>
        <v/>
      </c>
      <c r="M1954" s="47" t="n"/>
      <c r="N1954" s="88" t="n">
        <v>45932</v>
      </c>
      <c r="O1954" s="156" t="inlineStr">
        <is>
          <t>BIN HUMAID NATIONAL TRADING CO. (ARABIA SAUDITA)</t>
        </is>
      </c>
      <c r="P1954" s="154" t="inlineStr">
        <is>
          <t xml:space="preserve">IMPORT LICENSE N. 31445 (END USER CERTIFICATE)                                                                                AUT. ESPORTAZIONE SINGOLA N. 6B/2025/6D RILASCIATA IL 05/09/2025  </t>
        </is>
      </c>
      <c r="Q1954" s="150" t="n"/>
      <c r="R1954" s="150" t="n"/>
      <c r="S1954" s="153" t="n"/>
    </row>
    <row r="1955" ht="36" customHeight="1">
      <c r="A1955" s="46" t="n">
        <v>4285</v>
      </c>
      <c r="B1955" s="4">
        <f>+VLOOKUP($A1955,MAGAZZINO!$B$2:$M$100000,2,FALSE)</f>
        <v/>
      </c>
      <c r="C1955" s="29">
        <f>+VLOOKUP($A1955,MAGAZZINO!$B$2:$M$100000,3,FALSE)</f>
        <v/>
      </c>
      <c r="D1955" s="3">
        <f>+VLOOKUP($A1955,MAGAZZINO!$B$2:$M$100000,4,FALSE)</f>
        <v/>
      </c>
      <c r="E1955" s="3">
        <f>+VLOOKUP($A1955,MAGAZZINO!$B$2:$M$100000,5,FALSE)</f>
        <v/>
      </c>
      <c r="F1955" s="3">
        <f>+VLOOKUP($A1955,MAGAZZINO!$B$2:$M$100000,6,FALSE)</f>
        <v/>
      </c>
      <c r="G1955" s="3">
        <f>+VLOOKUP($A1955,MAGAZZINO!$B$2:$M$100000,7,FALSE)</f>
        <v/>
      </c>
      <c r="H1955" s="3">
        <f>+VLOOKUP($A1955,MAGAZZINO!$B$2:$M$100000,8,FALSE)</f>
        <v/>
      </c>
      <c r="I1955" s="3">
        <f>+VLOOKUP($A1955,MAGAZZINO!$B$2:$M$100000,9,FALSE)</f>
        <v/>
      </c>
      <c r="J1955" s="3">
        <f>+VLOOKUP($A1955,MAGAZZINO!$B$2:$M$100000,10,FALSE)</f>
        <v/>
      </c>
      <c r="K1955" s="3">
        <f>+VLOOKUP($A1955,MAGAZZINO!$B$2:$M$100000,11,FALSE)</f>
        <v/>
      </c>
      <c r="L1955" s="5">
        <f>+VLOOKUP($A1955,MAGAZZINO!$B$2:$M$100000,12,FALSE)</f>
        <v/>
      </c>
      <c r="M1955" s="47" t="n"/>
      <c r="N1955" s="88" t="n">
        <v>45932</v>
      </c>
      <c r="O1955" s="156" t="inlineStr">
        <is>
          <t>BIN HUMAID NATIONAL TRADING CO. (ARABIA SAUDITA)</t>
        </is>
      </c>
      <c r="P1955" s="154" t="inlineStr">
        <is>
          <t xml:space="preserve">IMPORT LICENSE N. 31445 (END USER CERTIFICATE)                                                                                AUT. ESPORTAZIONE SINGOLA N. 6B/2025/6D RILASCIATA IL 05/09/2025  </t>
        </is>
      </c>
      <c r="Q1955" s="150" t="n"/>
      <c r="R1955" s="150" t="n"/>
      <c r="S1955" s="153" t="n"/>
    </row>
    <row r="1956" ht="36" customHeight="1">
      <c r="A1956" s="46" t="n">
        <v>4286</v>
      </c>
      <c r="B1956" s="4">
        <f>+VLOOKUP($A1956,MAGAZZINO!$B$2:$M$100000,2,FALSE)</f>
        <v/>
      </c>
      <c r="C1956" s="29">
        <f>+VLOOKUP($A1956,MAGAZZINO!$B$2:$M$100000,3,FALSE)</f>
        <v/>
      </c>
      <c r="D1956" s="3">
        <f>+VLOOKUP($A1956,MAGAZZINO!$B$2:$M$100000,4,FALSE)</f>
        <v/>
      </c>
      <c r="E1956" s="3">
        <f>+VLOOKUP($A1956,MAGAZZINO!$B$2:$M$100000,5,FALSE)</f>
        <v/>
      </c>
      <c r="F1956" s="3">
        <f>+VLOOKUP($A1956,MAGAZZINO!$B$2:$M$100000,6,FALSE)</f>
        <v/>
      </c>
      <c r="G1956" s="3">
        <f>+VLOOKUP($A1956,MAGAZZINO!$B$2:$M$100000,7,FALSE)</f>
        <v/>
      </c>
      <c r="H1956" s="3">
        <f>+VLOOKUP($A1956,MAGAZZINO!$B$2:$M$100000,8,FALSE)</f>
        <v/>
      </c>
      <c r="I1956" s="3">
        <f>+VLOOKUP($A1956,MAGAZZINO!$B$2:$M$100000,9,FALSE)</f>
        <v/>
      </c>
      <c r="J1956" s="3">
        <f>+VLOOKUP($A1956,MAGAZZINO!$B$2:$M$100000,10,FALSE)</f>
        <v/>
      </c>
      <c r="K1956" s="3">
        <f>+VLOOKUP($A1956,MAGAZZINO!$B$2:$M$100000,11,FALSE)</f>
        <v/>
      </c>
      <c r="L1956" s="5">
        <f>+VLOOKUP($A1956,MAGAZZINO!$B$2:$M$100000,12,FALSE)</f>
        <v/>
      </c>
      <c r="M1956" s="47" t="n"/>
      <c r="N1956" s="88" t="n">
        <v>45932</v>
      </c>
      <c r="O1956" s="156" t="inlineStr">
        <is>
          <t>BIN HUMAID NATIONAL TRADING CO. (ARABIA SAUDITA)</t>
        </is>
      </c>
      <c r="P1956" s="154" t="inlineStr">
        <is>
          <t xml:space="preserve">IMPORT LICENSE N. 31445 (END USER CERTIFICATE)                                                                                AUT. ESPORTAZIONE SINGOLA N. 6B/2025/6D RILASCIATA IL 05/09/2025  </t>
        </is>
      </c>
      <c r="Q1956" s="150" t="n"/>
      <c r="R1956" s="150" t="n"/>
      <c r="S1956" s="153" t="n"/>
    </row>
    <row r="1957" ht="36" customHeight="1">
      <c r="A1957" s="46" t="n">
        <v>4287</v>
      </c>
      <c r="B1957" s="4">
        <f>+VLOOKUP($A1957,MAGAZZINO!$B$2:$M$100000,2,FALSE)</f>
        <v/>
      </c>
      <c r="C1957" s="29">
        <f>+VLOOKUP($A1957,MAGAZZINO!$B$2:$M$100000,3,FALSE)</f>
        <v/>
      </c>
      <c r="D1957" s="3">
        <f>+VLOOKUP($A1957,MAGAZZINO!$B$2:$M$100000,4,FALSE)</f>
        <v/>
      </c>
      <c r="E1957" s="3">
        <f>+VLOOKUP($A1957,MAGAZZINO!$B$2:$M$100000,5,FALSE)</f>
        <v/>
      </c>
      <c r="F1957" s="3">
        <f>+VLOOKUP($A1957,MAGAZZINO!$B$2:$M$100000,6,FALSE)</f>
        <v/>
      </c>
      <c r="G1957" s="3">
        <f>+VLOOKUP($A1957,MAGAZZINO!$B$2:$M$100000,7,FALSE)</f>
        <v/>
      </c>
      <c r="H1957" s="3">
        <f>+VLOOKUP($A1957,MAGAZZINO!$B$2:$M$100000,8,FALSE)</f>
        <v/>
      </c>
      <c r="I1957" s="3">
        <f>+VLOOKUP($A1957,MAGAZZINO!$B$2:$M$100000,9,FALSE)</f>
        <v/>
      </c>
      <c r="J1957" s="3">
        <f>+VLOOKUP($A1957,MAGAZZINO!$B$2:$M$100000,10,FALSE)</f>
        <v/>
      </c>
      <c r="K1957" s="3">
        <f>+VLOOKUP($A1957,MAGAZZINO!$B$2:$M$100000,11,FALSE)</f>
        <v/>
      </c>
      <c r="L1957" s="5">
        <f>+VLOOKUP($A1957,MAGAZZINO!$B$2:$M$100000,12,FALSE)</f>
        <v/>
      </c>
      <c r="M1957" s="47" t="n"/>
      <c r="N1957" s="88" t="n">
        <v>45932</v>
      </c>
      <c r="O1957" s="156" t="inlineStr">
        <is>
          <t>BIN HUMAID NATIONAL TRADING CO. (ARABIA SAUDITA)</t>
        </is>
      </c>
      <c r="P1957" s="154" t="inlineStr">
        <is>
          <t xml:space="preserve">IMPORT LICENSE N. 31445 (END USER CERTIFICATE)                                                                                AUT. ESPORTAZIONE SINGOLA N. 6B/2025/6D RILASCIATA IL 05/09/2025  </t>
        </is>
      </c>
      <c r="Q1957" s="150" t="n"/>
      <c r="R1957" s="150" t="n"/>
      <c r="S1957" s="153" t="n"/>
    </row>
    <row r="1958" ht="36" customHeight="1">
      <c r="A1958" s="46" t="n">
        <v>4288</v>
      </c>
      <c r="B1958" s="4">
        <f>+VLOOKUP($A1958,MAGAZZINO!$B$2:$M$100000,2,FALSE)</f>
        <v/>
      </c>
      <c r="C1958" s="29">
        <f>+VLOOKUP($A1958,MAGAZZINO!$B$2:$M$100000,3,FALSE)</f>
        <v/>
      </c>
      <c r="D1958" s="3">
        <f>+VLOOKUP($A1958,MAGAZZINO!$B$2:$M$100000,4,FALSE)</f>
        <v/>
      </c>
      <c r="E1958" s="3">
        <f>+VLOOKUP($A1958,MAGAZZINO!$B$2:$M$100000,5,FALSE)</f>
        <v/>
      </c>
      <c r="F1958" s="3">
        <f>+VLOOKUP($A1958,MAGAZZINO!$B$2:$M$100000,6,FALSE)</f>
        <v/>
      </c>
      <c r="G1958" s="3">
        <f>+VLOOKUP($A1958,MAGAZZINO!$B$2:$M$100000,7,FALSE)</f>
        <v/>
      </c>
      <c r="H1958" s="3">
        <f>+VLOOKUP($A1958,MAGAZZINO!$B$2:$M$100000,8,FALSE)</f>
        <v/>
      </c>
      <c r="I1958" s="3">
        <f>+VLOOKUP($A1958,MAGAZZINO!$B$2:$M$100000,9,FALSE)</f>
        <v/>
      </c>
      <c r="J1958" s="3">
        <f>+VLOOKUP($A1958,MAGAZZINO!$B$2:$M$100000,10,FALSE)</f>
        <v/>
      </c>
      <c r="K1958" s="3">
        <f>+VLOOKUP($A1958,MAGAZZINO!$B$2:$M$100000,11,FALSE)</f>
        <v/>
      </c>
      <c r="L1958" s="5">
        <f>+VLOOKUP($A1958,MAGAZZINO!$B$2:$M$100000,12,FALSE)</f>
        <v/>
      </c>
      <c r="M1958" s="47" t="n"/>
      <c r="N1958" s="88" t="n">
        <v>45932</v>
      </c>
      <c r="O1958" s="156" t="inlineStr">
        <is>
          <t>BIN HUMAID NATIONAL TRADING CO. (ARABIA SAUDITA)</t>
        </is>
      </c>
      <c r="P1958" s="154" t="inlineStr">
        <is>
          <t xml:space="preserve">IMPORT LICENSE N. 31445 (END USER CERTIFICATE)                                                                                AUT. ESPORTAZIONE SINGOLA N. 6B/2025/6D RILASCIATA IL 05/09/2025  </t>
        </is>
      </c>
      <c r="Q1958" s="150" t="n"/>
      <c r="R1958" s="150" t="n"/>
      <c r="S1958" s="153" t="n"/>
    </row>
    <row r="1959" ht="36" customHeight="1">
      <c r="A1959" s="46" t="n">
        <v>4289</v>
      </c>
      <c r="B1959" s="4">
        <f>+VLOOKUP($A1959,MAGAZZINO!$B$2:$M$100000,2,FALSE)</f>
        <v/>
      </c>
      <c r="C1959" s="29">
        <f>+VLOOKUP($A1959,MAGAZZINO!$B$2:$M$100000,3,FALSE)</f>
        <v/>
      </c>
      <c r="D1959" s="3">
        <f>+VLOOKUP($A1959,MAGAZZINO!$B$2:$M$100000,4,FALSE)</f>
        <v/>
      </c>
      <c r="E1959" s="3">
        <f>+VLOOKUP($A1959,MAGAZZINO!$B$2:$M$100000,5,FALSE)</f>
        <v/>
      </c>
      <c r="F1959" s="3">
        <f>+VLOOKUP($A1959,MAGAZZINO!$B$2:$M$100000,6,FALSE)</f>
        <v/>
      </c>
      <c r="G1959" s="3">
        <f>+VLOOKUP($A1959,MAGAZZINO!$B$2:$M$100000,7,FALSE)</f>
        <v/>
      </c>
      <c r="H1959" s="3">
        <f>+VLOOKUP($A1959,MAGAZZINO!$B$2:$M$100000,8,FALSE)</f>
        <v/>
      </c>
      <c r="I1959" s="3">
        <f>+VLOOKUP($A1959,MAGAZZINO!$B$2:$M$100000,9,FALSE)</f>
        <v/>
      </c>
      <c r="J1959" s="3">
        <f>+VLOOKUP($A1959,MAGAZZINO!$B$2:$M$100000,10,FALSE)</f>
        <v/>
      </c>
      <c r="K1959" s="3">
        <f>+VLOOKUP($A1959,MAGAZZINO!$B$2:$M$100000,11,FALSE)</f>
        <v/>
      </c>
      <c r="L1959" s="5">
        <f>+VLOOKUP($A1959,MAGAZZINO!$B$2:$M$100000,12,FALSE)</f>
        <v/>
      </c>
      <c r="M1959" s="47" t="n"/>
      <c r="N1959" s="54" t="n"/>
      <c r="O1959" s="3" t="n"/>
      <c r="P1959" s="149" t="n"/>
      <c r="Q1959" s="150" t="n"/>
      <c r="R1959" s="150" t="n"/>
      <c r="S1959" s="151" t="n"/>
    </row>
    <row r="1960" ht="36" customHeight="1">
      <c r="A1960" s="46" t="n">
        <v>4290</v>
      </c>
      <c r="B1960" s="4">
        <f>+VLOOKUP($A1960,MAGAZZINO!$B$2:$M$100000,2,FALSE)</f>
        <v/>
      </c>
      <c r="C1960" s="29">
        <f>+VLOOKUP($A1960,MAGAZZINO!$B$2:$M$100000,3,FALSE)</f>
        <v/>
      </c>
      <c r="D1960" s="3">
        <f>+VLOOKUP($A1960,MAGAZZINO!$B$2:$M$100000,4,FALSE)</f>
        <v/>
      </c>
      <c r="E1960" s="3">
        <f>+VLOOKUP($A1960,MAGAZZINO!$B$2:$M$100000,5,FALSE)</f>
        <v/>
      </c>
      <c r="F1960" s="3">
        <f>+VLOOKUP($A1960,MAGAZZINO!$B$2:$M$100000,6,FALSE)</f>
        <v/>
      </c>
      <c r="G1960" s="3">
        <f>+VLOOKUP($A1960,MAGAZZINO!$B$2:$M$100000,7,FALSE)</f>
        <v/>
      </c>
      <c r="H1960" s="3">
        <f>+VLOOKUP($A1960,MAGAZZINO!$B$2:$M$100000,8,FALSE)</f>
        <v/>
      </c>
      <c r="I1960" s="3">
        <f>+VLOOKUP($A1960,MAGAZZINO!$B$2:$M$100000,9,FALSE)</f>
        <v/>
      </c>
      <c r="J1960" s="3">
        <f>+VLOOKUP($A1960,MAGAZZINO!$B$2:$M$100000,10,FALSE)</f>
        <v/>
      </c>
      <c r="K1960" s="3">
        <f>+VLOOKUP($A1960,MAGAZZINO!$B$2:$M$100000,11,FALSE)</f>
        <v/>
      </c>
      <c r="L1960" s="5">
        <f>+VLOOKUP($A1960,MAGAZZINO!$B$2:$M$100000,12,FALSE)</f>
        <v/>
      </c>
      <c r="M1960" s="47" t="n"/>
      <c r="N1960" s="54" t="n"/>
      <c r="O1960" s="3" t="n"/>
      <c r="P1960" s="149" t="n"/>
      <c r="Q1960" s="150" t="n"/>
      <c r="R1960" s="150" t="n"/>
      <c r="S1960" s="151" t="n"/>
    </row>
    <row r="1961" ht="36" customHeight="1">
      <c r="A1961" s="46" t="n">
        <v>4291</v>
      </c>
      <c r="B1961" s="4">
        <f>+VLOOKUP($A1961,MAGAZZINO!$B$2:$M$100000,2,FALSE)</f>
        <v/>
      </c>
      <c r="C1961" s="29">
        <f>+VLOOKUP($A1961,MAGAZZINO!$B$2:$M$100000,3,FALSE)</f>
        <v/>
      </c>
      <c r="D1961" s="3">
        <f>+VLOOKUP($A1961,MAGAZZINO!$B$2:$M$100000,4,FALSE)</f>
        <v/>
      </c>
      <c r="E1961" s="3">
        <f>+VLOOKUP($A1961,MAGAZZINO!$B$2:$M$100000,5,FALSE)</f>
        <v/>
      </c>
      <c r="F1961" s="3">
        <f>+VLOOKUP($A1961,MAGAZZINO!$B$2:$M$100000,6,FALSE)</f>
        <v/>
      </c>
      <c r="G1961" s="3">
        <f>+VLOOKUP($A1961,MAGAZZINO!$B$2:$M$100000,7,FALSE)</f>
        <v/>
      </c>
      <c r="H1961" s="3">
        <f>+VLOOKUP($A1961,MAGAZZINO!$B$2:$M$100000,8,FALSE)</f>
        <v/>
      </c>
      <c r="I1961" s="3">
        <f>+VLOOKUP($A1961,MAGAZZINO!$B$2:$M$100000,9,FALSE)</f>
        <v/>
      </c>
      <c r="J1961" s="3">
        <f>+VLOOKUP($A1961,MAGAZZINO!$B$2:$M$100000,10,FALSE)</f>
        <v/>
      </c>
      <c r="K1961" s="3">
        <f>+VLOOKUP($A1961,MAGAZZINO!$B$2:$M$100000,11,FALSE)</f>
        <v/>
      </c>
      <c r="L1961" s="5">
        <f>+VLOOKUP($A1961,MAGAZZINO!$B$2:$M$100000,12,FALSE)</f>
        <v/>
      </c>
      <c r="M1961" s="47" t="n"/>
      <c r="N1961" s="54" t="n"/>
      <c r="O1961" s="3" t="n"/>
      <c r="P1961" s="149" t="n"/>
      <c r="Q1961" s="150" t="n"/>
      <c r="R1961" s="150" t="n"/>
      <c r="S1961" s="151" t="n"/>
    </row>
    <row r="1962" ht="36" customHeight="1">
      <c r="A1962" s="46" t="n">
        <v>4292</v>
      </c>
      <c r="B1962" s="4">
        <f>+VLOOKUP($A1962,MAGAZZINO!$B$2:$M$100000,2,FALSE)</f>
        <v/>
      </c>
      <c r="C1962" s="29">
        <f>+VLOOKUP($A1962,MAGAZZINO!$B$2:$M$100000,3,FALSE)</f>
        <v/>
      </c>
      <c r="D1962" s="3">
        <f>+VLOOKUP($A1962,MAGAZZINO!$B$2:$M$100000,4,FALSE)</f>
        <v/>
      </c>
      <c r="E1962" s="3">
        <f>+VLOOKUP($A1962,MAGAZZINO!$B$2:$M$100000,5,FALSE)</f>
        <v/>
      </c>
      <c r="F1962" s="3">
        <f>+VLOOKUP($A1962,MAGAZZINO!$B$2:$M$100000,6,FALSE)</f>
        <v/>
      </c>
      <c r="G1962" s="3">
        <f>+VLOOKUP($A1962,MAGAZZINO!$B$2:$M$100000,7,FALSE)</f>
        <v/>
      </c>
      <c r="H1962" s="3">
        <f>+VLOOKUP($A1962,MAGAZZINO!$B$2:$M$100000,8,FALSE)</f>
        <v/>
      </c>
      <c r="I1962" s="3">
        <f>+VLOOKUP($A1962,MAGAZZINO!$B$2:$M$100000,9,FALSE)</f>
        <v/>
      </c>
      <c r="J1962" s="3">
        <f>+VLOOKUP($A1962,MAGAZZINO!$B$2:$M$100000,10,FALSE)</f>
        <v/>
      </c>
      <c r="K1962" s="3">
        <f>+VLOOKUP($A1962,MAGAZZINO!$B$2:$M$100000,11,FALSE)</f>
        <v/>
      </c>
      <c r="L1962" s="5">
        <f>+VLOOKUP($A1962,MAGAZZINO!$B$2:$M$100000,12,FALSE)</f>
        <v/>
      </c>
      <c r="M1962" s="47" t="n"/>
      <c r="N1962" s="54" t="n"/>
      <c r="O1962" s="3" t="n"/>
      <c r="P1962" s="149" t="n"/>
      <c r="Q1962" s="150" t="n"/>
      <c r="R1962" s="150" t="n"/>
      <c r="S1962" s="151" t="n"/>
    </row>
    <row r="1963" ht="36" customHeight="1">
      <c r="A1963" s="46" t="n">
        <v>4293</v>
      </c>
      <c r="B1963" s="4">
        <f>+VLOOKUP($A1963,MAGAZZINO!$B$2:$M$100000,2,FALSE)</f>
        <v/>
      </c>
      <c r="C1963" s="29">
        <f>+VLOOKUP($A1963,MAGAZZINO!$B$2:$M$100000,3,FALSE)</f>
        <v/>
      </c>
      <c r="D1963" s="3">
        <f>+VLOOKUP($A1963,MAGAZZINO!$B$2:$M$100000,4,FALSE)</f>
        <v/>
      </c>
      <c r="E1963" s="3">
        <f>+VLOOKUP($A1963,MAGAZZINO!$B$2:$M$100000,5,FALSE)</f>
        <v/>
      </c>
      <c r="F1963" s="3">
        <f>+VLOOKUP($A1963,MAGAZZINO!$B$2:$M$100000,6,FALSE)</f>
        <v/>
      </c>
      <c r="G1963" s="3">
        <f>+VLOOKUP($A1963,MAGAZZINO!$B$2:$M$100000,7,FALSE)</f>
        <v/>
      </c>
      <c r="H1963" s="3">
        <f>+VLOOKUP($A1963,MAGAZZINO!$B$2:$M$100000,8,FALSE)</f>
        <v/>
      </c>
      <c r="I1963" s="3">
        <f>+VLOOKUP($A1963,MAGAZZINO!$B$2:$M$100000,9,FALSE)</f>
        <v/>
      </c>
      <c r="J1963" s="3">
        <f>+VLOOKUP($A1963,MAGAZZINO!$B$2:$M$100000,10,FALSE)</f>
        <v/>
      </c>
      <c r="K1963" s="3">
        <f>+VLOOKUP($A1963,MAGAZZINO!$B$2:$M$100000,11,FALSE)</f>
        <v/>
      </c>
      <c r="L1963" s="5">
        <f>+VLOOKUP($A1963,MAGAZZINO!$B$2:$M$100000,12,FALSE)</f>
        <v/>
      </c>
      <c r="M1963" s="47" t="n"/>
      <c r="N1963" s="54" t="n"/>
      <c r="O1963" s="3" t="n"/>
      <c r="P1963" s="149" t="n"/>
      <c r="Q1963" s="150" t="n"/>
      <c r="R1963" s="150" t="n"/>
      <c r="S1963" s="151" t="n"/>
    </row>
    <row r="1964" ht="36" customHeight="1">
      <c r="A1964" s="46" t="n">
        <v>4294</v>
      </c>
      <c r="B1964" s="4">
        <f>+VLOOKUP($A1964,MAGAZZINO!$B$2:$M$100000,2,FALSE)</f>
        <v/>
      </c>
      <c r="C1964" s="29">
        <f>+VLOOKUP($A1964,MAGAZZINO!$B$2:$M$100000,3,FALSE)</f>
        <v/>
      </c>
      <c r="D1964" s="3">
        <f>+VLOOKUP($A1964,MAGAZZINO!$B$2:$M$100000,4,FALSE)</f>
        <v/>
      </c>
      <c r="E1964" s="3">
        <f>+VLOOKUP($A1964,MAGAZZINO!$B$2:$M$100000,5,FALSE)</f>
        <v/>
      </c>
      <c r="F1964" s="3">
        <f>+VLOOKUP($A1964,MAGAZZINO!$B$2:$M$100000,6,FALSE)</f>
        <v/>
      </c>
      <c r="G1964" s="3">
        <f>+VLOOKUP($A1964,MAGAZZINO!$B$2:$M$100000,7,FALSE)</f>
        <v/>
      </c>
      <c r="H1964" s="3">
        <f>+VLOOKUP($A1964,MAGAZZINO!$B$2:$M$100000,8,FALSE)</f>
        <v/>
      </c>
      <c r="I1964" s="3">
        <f>+VLOOKUP($A1964,MAGAZZINO!$B$2:$M$100000,9,FALSE)</f>
        <v/>
      </c>
      <c r="J1964" s="3">
        <f>+VLOOKUP($A1964,MAGAZZINO!$B$2:$M$100000,10,FALSE)</f>
        <v/>
      </c>
      <c r="K1964" s="3">
        <f>+VLOOKUP($A1964,MAGAZZINO!$B$2:$M$100000,11,FALSE)</f>
        <v/>
      </c>
      <c r="L1964" s="5">
        <f>+VLOOKUP($A1964,MAGAZZINO!$B$2:$M$100000,12,FALSE)</f>
        <v/>
      </c>
      <c r="M1964" s="47" t="n"/>
      <c r="N1964" s="88" t="n">
        <v>45932</v>
      </c>
      <c r="O1964" s="156" t="inlineStr">
        <is>
          <t>BIN HUMAID NATIONAL TRADING CO. (ARABIA SAUDITA)</t>
        </is>
      </c>
      <c r="P1964" s="154" t="inlineStr">
        <is>
          <t xml:space="preserve">IMPORT LICENSE N. 31445 (END USER CERTIFICATE)                                                                                AUT. ESPORTAZIONE SINGOLA N. 6B/2025/6D RILASCIATA IL 05/09/2025  </t>
        </is>
      </c>
      <c r="Q1964" s="150" t="n"/>
      <c r="R1964" s="150" t="n"/>
      <c r="S1964" s="153" t="n"/>
    </row>
    <row r="1965" ht="36" customHeight="1">
      <c r="A1965" s="46" t="n">
        <v>4295</v>
      </c>
      <c r="B1965" s="4">
        <f>+VLOOKUP($A1965,MAGAZZINO!$B$2:$M$100000,2,FALSE)</f>
        <v/>
      </c>
      <c r="C1965" s="29">
        <f>+VLOOKUP($A1965,MAGAZZINO!$B$2:$M$100000,3,FALSE)</f>
        <v/>
      </c>
      <c r="D1965" s="3">
        <f>+VLOOKUP($A1965,MAGAZZINO!$B$2:$M$100000,4,FALSE)</f>
        <v/>
      </c>
      <c r="E1965" s="3">
        <f>+VLOOKUP($A1965,MAGAZZINO!$B$2:$M$100000,5,FALSE)</f>
        <v/>
      </c>
      <c r="F1965" s="3">
        <f>+VLOOKUP($A1965,MAGAZZINO!$B$2:$M$100000,6,FALSE)</f>
        <v/>
      </c>
      <c r="G1965" s="3">
        <f>+VLOOKUP($A1965,MAGAZZINO!$B$2:$M$100000,7,FALSE)</f>
        <v/>
      </c>
      <c r="H1965" s="3">
        <f>+VLOOKUP($A1965,MAGAZZINO!$B$2:$M$100000,8,FALSE)</f>
        <v/>
      </c>
      <c r="I1965" s="3">
        <f>+VLOOKUP($A1965,MAGAZZINO!$B$2:$M$100000,9,FALSE)</f>
        <v/>
      </c>
      <c r="J1965" s="3">
        <f>+VLOOKUP($A1965,MAGAZZINO!$B$2:$M$100000,10,FALSE)</f>
        <v/>
      </c>
      <c r="K1965" s="3">
        <f>+VLOOKUP($A1965,MAGAZZINO!$B$2:$M$100000,11,FALSE)</f>
        <v/>
      </c>
      <c r="L1965" s="5">
        <f>+VLOOKUP($A1965,MAGAZZINO!$B$2:$M$100000,12,FALSE)</f>
        <v/>
      </c>
      <c r="M1965" s="47" t="n"/>
      <c r="N1965" s="88" t="n">
        <v>45932</v>
      </c>
      <c r="O1965" s="156" t="inlineStr">
        <is>
          <t>BIN HUMAID NATIONAL TRADING CO. (ARABIA SAUDITA)</t>
        </is>
      </c>
      <c r="P1965" s="154" t="inlineStr">
        <is>
          <t xml:space="preserve">IMPORT LICENSE N. 31445 (END USER CERTIFICATE)                                                                                AUT. ESPORTAZIONE SINGOLA N. 6B/2025/6D RILASCIATA IL 05/09/2025  </t>
        </is>
      </c>
      <c r="Q1965" s="150" t="n"/>
      <c r="R1965" s="150" t="n"/>
      <c r="S1965" s="153" t="n"/>
    </row>
    <row r="1966" ht="36" customHeight="1">
      <c r="A1966" s="46" t="n">
        <v>4296</v>
      </c>
      <c r="B1966" s="4">
        <f>+VLOOKUP($A1966,MAGAZZINO!$B$2:$M$100000,2,FALSE)</f>
        <v/>
      </c>
      <c r="C1966" s="29">
        <f>+VLOOKUP($A1966,MAGAZZINO!$B$2:$M$100000,3,FALSE)</f>
        <v/>
      </c>
      <c r="D1966" s="3">
        <f>+VLOOKUP($A1966,MAGAZZINO!$B$2:$M$100000,4,FALSE)</f>
        <v/>
      </c>
      <c r="E1966" s="3">
        <f>+VLOOKUP($A1966,MAGAZZINO!$B$2:$M$100000,5,FALSE)</f>
        <v/>
      </c>
      <c r="F1966" s="3">
        <f>+VLOOKUP($A1966,MAGAZZINO!$B$2:$M$100000,6,FALSE)</f>
        <v/>
      </c>
      <c r="G1966" s="3">
        <f>+VLOOKUP($A1966,MAGAZZINO!$B$2:$M$100000,7,FALSE)</f>
        <v/>
      </c>
      <c r="H1966" s="3">
        <f>+VLOOKUP($A1966,MAGAZZINO!$B$2:$M$100000,8,FALSE)</f>
        <v/>
      </c>
      <c r="I1966" s="3">
        <f>+VLOOKUP($A1966,MAGAZZINO!$B$2:$M$100000,9,FALSE)</f>
        <v/>
      </c>
      <c r="J1966" s="3">
        <f>+VLOOKUP($A1966,MAGAZZINO!$B$2:$M$100000,10,FALSE)</f>
        <v/>
      </c>
      <c r="K1966" s="3">
        <f>+VLOOKUP($A1966,MAGAZZINO!$B$2:$M$100000,11,FALSE)</f>
        <v/>
      </c>
      <c r="L1966" s="5">
        <f>+VLOOKUP($A1966,MAGAZZINO!$B$2:$M$100000,12,FALSE)</f>
        <v/>
      </c>
      <c r="M1966" s="47" t="n"/>
      <c r="N1966" s="88" t="n">
        <v>45932</v>
      </c>
      <c r="O1966" s="156" t="inlineStr">
        <is>
          <t>BIN HUMAID NATIONAL TRADING CO. (ARABIA SAUDITA)</t>
        </is>
      </c>
      <c r="P1966" s="154" t="inlineStr">
        <is>
          <t xml:space="preserve">IMPORT LICENSE N. 31445 (END USER CERTIFICATE)                                                                                AUT. ESPORTAZIONE SINGOLA N. 6B/2025/6D RILASCIATA IL 05/09/2025  </t>
        </is>
      </c>
      <c r="Q1966" s="150" t="n"/>
      <c r="R1966" s="150" t="n"/>
      <c r="S1966" s="153" t="n"/>
    </row>
    <row r="1967" ht="36" customHeight="1">
      <c r="A1967" s="46" t="n">
        <v>4297</v>
      </c>
      <c r="B1967" s="4">
        <f>+VLOOKUP($A1967,MAGAZZINO!$B$2:$M$100000,2,FALSE)</f>
        <v/>
      </c>
      <c r="C1967" s="29">
        <f>+VLOOKUP($A1967,MAGAZZINO!$B$2:$M$100000,3,FALSE)</f>
        <v/>
      </c>
      <c r="D1967" s="3">
        <f>+VLOOKUP($A1967,MAGAZZINO!$B$2:$M$100000,4,FALSE)</f>
        <v/>
      </c>
      <c r="E1967" s="3">
        <f>+VLOOKUP($A1967,MAGAZZINO!$B$2:$M$100000,5,FALSE)</f>
        <v/>
      </c>
      <c r="F1967" s="3">
        <f>+VLOOKUP($A1967,MAGAZZINO!$B$2:$M$100000,6,FALSE)</f>
        <v/>
      </c>
      <c r="G1967" s="3">
        <f>+VLOOKUP($A1967,MAGAZZINO!$B$2:$M$100000,7,FALSE)</f>
        <v/>
      </c>
      <c r="H1967" s="3">
        <f>+VLOOKUP($A1967,MAGAZZINO!$B$2:$M$100000,8,FALSE)</f>
        <v/>
      </c>
      <c r="I1967" s="3">
        <f>+VLOOKUP($A1967,MAGAZZINO!$B$2:$M$100000,9,FALSE)</f>
        <v/>
      </c>
      <c r="J1967" s="3">
        <f>+VLOOKUP($A1967,MAGAZZINO!$B$2:$M$100000,10,FALSE)</f>
        <v/>
      </c>
      <c r="K1967" s="3">
        <f>+VLOOKUP($A1967,MAGAZZINO!$B$2:$M$100000,11,FALSE)</f>
        <v/>
      </c>
      <c r="L1967" s="5">
        <f>+VLOOKUP($A1967,MAGAZZINO!$B$2:$M$100000,12,FALSE)</f>
        <v/>
      </c>
      <c r="M1967" s="47" t="n"/>
      <c r="N1967" s="88" t="n">
        <v>45932</v>
      </c>
      <c r="O1967" s="156" t="inlineStr">
        <is>
          <t>BIN HUMAID NATIONAL TRADING CO. (ARABIA SAUDITA)</t>
        </is>
      </c>
      <c r="P1967" s="154" t="inlineStr">
        <is>
          <t xml:space="preserve">IMPORT LICENSE N. 31445 (END USER CERTIFICATE)                                                                                AUT. ESPORTAZIONE SINGOLA N. 6B/2025/6D RILASCIATA IL 05/09/2025  </t>
        </is>
      </c>
      <c r="Q1967" s="150" t="n"/>
      <c r="R1967" s="150" t="n"/>
      <c r="S1967" s="153" t="n"/>
    </row>
    <row r="1968" ht="36" customHeight="1">
      <c r="A1968" s="46" t="n">
        <v>4298</v>
      </c>
      <c r="B1968" s="4">
        <f>+VLOOKUP($A1968,MAGAZZINO!$B$2:$M$100000,2,FALSE)</f>
        <v/>
      </c>
      <c r="C1968" s="29">
        <f>+VLOOKUP($A1968,MAGAZZINO!$B$2:$M$100000,3,FALSE)</f>
        <v/>
      </c>
      <c r="D1968" s="3">
        <f>+VLOOKUP($A1968,MAGAZZINO!$B$2:$M$100000,4,FALSE)</f>
        <v/>
      </c>
      <c r="E1968" s="3">
        <f>+VLOOKUP($A1968,MAGAZZINO!$B$2:$M$100000,5,FALSE)</f>
        <v/>
      </c>
      <c r="F1968" s="3">
        <f>+VLOOKUP($A1968,MAGAZZINO!$B$2:$M$100000,6,FALSE)</f>
        <v/>
      </c>
      <c r="G1968" s="3">
        <f>+VLOOKUP($A1968,MAGAZZINO!$B$2:$M$100000,7,FALSE)</f>
        <v/>
      </c>
      <c r="H1968" s="3">
        <f>+VLOOKUP($A1968,MAGAZZINO!$B$2:$M$100000,8,FALSE)</f>
        <v/>
      </c>
      <c r="I1968" s="3">
        <f>+VLOOKUP($A1968,MAGAZZINO!$B$2:$M$100000,9,FALSE)</f>
        <v/>
      </c>
      <c r="J1968" s="3">
        <f>+VLOOKUP($A1968,MAGAZZINO!$B$2:$M$100000,10,FALSE)</f>
        <v/>
      </c>
      <c r="K1968" s="3">
        <f>+VLOOKUP($A1968,MAGAZZINO!$B$2:$M$100000,11,FALSE)</f>
        <v/>
      </c>
      <c r="L1968" s="5">
        <f>+VLOOKUP($A1968,MAGAZZINO!$B$2:$M$100000,12,FALSE)</f>
        <v/>
      </c>
      <c r="M1968" s="47" t="n"/>
      <c r="N1968" s="88" t="n">
        <v>45932</v>
      </c>
      <c r="O1968" s="156" t="inlineStr">
        <is>
          <t>BIN HUMAID NATIONAL TRADING CO. (ARABIA SAUDITA)</t>
        </is>
      </c>
      <c r="P1968" s="154" t="inlineStr">
        <is>
          <t xml:space="preserve">IMPORT LICENSE N. 31445 (END USER CERTIFICATE)                                                                                AUT. ESPORTAZIONE SINGOLA N. 6B/2025/6D RILASCIATA IL 05/09/2025  </t>
        </is>
      </c>
      <c r="Q1968" s="150" t="n"/>
      <c r="R1968" s="150" t="n"/>
      <c r="S1968" s="153" t="n"/>
    </row>
    <row r="1969" ht="36" customHeight="1">
      <c r="A1969" s="46" t="n">
        <v>4299</v>
      </c>
      <c r="B1969" s="4">
        <f>+VLOOKUP($A1969,MAGAZZINO!$B$2:$M$100000,2,FALSE)</f>
        <v/>
      </c>
      <c r="C1969" s="29">
        <f>+VLOOKUP($A1969,MAGAZZINO!$B$2:$M$100000,3,FALSE)</f>
        <v/>
      </c>
      <c r="D1969" s="3">
        <f>+VLOOKUP($A1969,MAGAZZINO!$B$2:$M$100000,4,FALSE)</f>
        <v/>
      </c>
      <c r="E1969" s="3">
        <f>+VLOOKUP($A1969,MAGAZZINO!$B$2:$M$100000,5,FALSE)</f>
        <v/>
      </c>
      <c r="F1969" s="3">
        <f>+VLOOKUP($A1969,MAGAZZINO!$B$2:$M$100000,6,FALSE)</f>
        <v/>
      </c>
      <c r="G1969" s="3">
        <f>+VLOOKUP($A1969,MAGAZZINO!$B$2:$M$100000,7,FALSE)</f>
        <v/>
      </c>
      <c r="H1969" s="3">
        <f>+VLOOKUP($A1969,MAGAZZINO!$B$2:$M$100000,8,FALSE)</f>
        <v/>
      </c>
      <c r="I1969" s="3">
        <f>+VLOOKUP($A1969,MAGAZZINO!$B$2:$M$100000,9,FALSE)</f>
        <v/>
      </c>
      <c r="J1969" s="3">
        <f>+VLOOKUP($A1969,MAGAZZINO!$B$2:$M$100000,10,FALSE)</f>
        <v/>
      </c>
      <c r="K1969" s="3">
        <f>+VLOOKUP($A1969,MAGAZZINO!$B$2:$M$100000,11,FALSE)</f>
        <v/>
      </c>
      <c r="L1969" s="5">
        <f>+VLOOKUP($A1969,MAGAZZINO!$B$2:$M$100000,12,FALSE)</f>
        <v/>
      </c>
      <c r="M1969" s="47" t="n"/>
      <c r="N1969" s="88" t="n">
        <v>45932</v>
      </c>
      <c r="O1969" s="156" t="inlineStr">
        <is>
          <t>BIN HUMAID NATIONAL TRADING CO. (ARABIA SAUDITA)</t>
        </is>
      </c>
      <c r="P1969" s="154" t="inlineStr">
        <is>
          <t xml:space="preserve">IMPORT LICENSE N. 31445 (END USER CERTIFICATE)                                                                                AUT. ESPORTAZIONE SINGOLA N. 6B/2025/6D RILASCIATA IL 05/09/2025  </t>
        </is>
      </c>
      <c r="Q1969" s="150" t="n"/>
      <c r="R1969" s="150" t="n"/>
      <c r="S1969" s="153" t="n"/>
    </row>
    <row r="1970" ht="36" customHeight="1">
      <c r="A1970" s="46" t="n">
        <v>4300</v>
      </c>
      <c r="B1970" s="4">
        <f>+VLOOKUP($A1970,MAGAZZINO!$B$2:$M$100000,2,FALSE)</f>
        <v/>
      </c>
      <c r="C1970" s="29">
        <f>+VLOOKUP($A1970,MAGAZZINO!$B$2:$M$100000,3,FALSE)</f>
        <v/>
      </c>
      <c r="D1970" s="3">
        <f>+VLOOKUP($A1970,MAGAZZINO!$B$2:$M$100000,4,FALSE)</f>
        <v/>
      </c>
      <c r="E1970" s="3">
        <f>+VLOOKUP($A1970,MAGAZZINO!$B$2:$M$100000,5,FALSE)</f>
        <v/>
      </c>
      <c r="F1970" s="3">
        <f>+VLOOKUP($A1970,MAGAZZINO!$B$2:$M$100000,6,FALSE)</f>
        <v/>
      </c>
      <c r="G1970" s="3">
        <f>+VLOOKUP($A1970,MAGAZZINO!$B$2:$M$100000,7,FALSE)</f>
        <v/>
      </c>
      <c r="H1970" s="3">
        <f>+VLOOKUP($A1970,MAGAZZINO!$B$2:$M$100000,8,FALSE)</f>
        <v/>
      </c>
      <c r="I1970" s="3">
        <f>+VLOOKUP($A1970,MAGAZZINO!$B$2:$M$100000,9,FALSE)</f>
        <v/>
      </c>
      <c r="J1970" s="3">
        <f>+VLOOKUP($A1970,MAGAZZINO!$B$2:$M$100000,10,FALSE)</f>
        <v/>
      </c>
      <c r="K1970" s="3">
        <f>+VLOOKUP($A1970,MAGAZZINO!$B$2:$M$100000,11,FALSE)</f>
        <v/>
      </c>
      <c r="L1970" s="5">
        <f>+VLOOKUP($A1970,MAGAZZINO!$B$2:$M$100000,12,FALSE)</f>
        <v/>
      </c>
      <c r="M1970" s="47" t="n"/>
      <c r="N1970" s="88" t="n">
        <v>45932</v>
      </c>
      <c r="O1970" s="156" t="inlineStr">
        <is>
          <t>BIN HUMAID NATIONAL TRADING CO. (ARABIA SAUDITA)</t>
        </is>
      </c>
      <c r="P1970" s="154" t="inlineStr">
        <is>
          <t xml:space="preserve">IMPORT LICENSE N. 31445 (END USER CERTIFICATE)                                                                                AUT. ESPORTAZIONE SINGOLA N. 6B/2025/6D RILASCIATA IL 05/09/2025  </t>
        </is>
      </c>
      <c r="Q1970" s="150" t="n"/>
      <c r="R1970" s="150" t="n"/>
      <c r="S1970" s="153" t="n"/>
    </row>
    <row r="1971" ht="36" customHeight="1">
      <c r="A1971" s="46" t="n">
        <v>4301</v>
      </c>
      <c r="B1971" s="4">
        <f>+VLOOKUP($A1971,MAGAZZINO!$B$2:$M$100000,2,FALSE)</f>
        <v/>
      </c>
      <c r="C1971" s="29">
        <f>+VLOOKUP($A1971,MAGAZZINO!$B$2:$M$100000,3,FALSE)</f>
        <v/>
      </c>
      <c r="D1971" s="3">
        <f>+VLOOKUP($A1971,MAGAZZINO!$B$2:$M$100000,4,FALSE)</f>
        <v/>
      </c>
      <c r="E1971" s="3">
        <f>+VLOOKUP($A1971,MAGAZZINO!$B$2:$M$100000,5,FALSE)</f>
        <v/>
      </c>
      <c r="F1971" s="3">
        <f>+VLOOKUP($A1971,MAGAZZINO!$B$2:$M$100000,6,FALSE)</f>
        <v/>
      </c>
      <c r="G1971" s="3">
        <f>+VLOOKUP($A1971,MAGAZZINO!$B$2:$M$100000,7,FALSE)</f>
        <v/>
      </c>
      <c r="H1971" s="3">
        <f>+VLOOKUP($A1971,MAGAZZINO!$B$2:$M$100000,8,FALSE)</f>
        <v/>
      </c>
      <c r="I1971" s="3">
        <f>+VLOOKUP($A1971,MAGAZZINO!$B$2:$M$100000,9,FALSE)</f>
        <v/>
      </c>
      <c r="J1971" s="3">
        <f>+VLOOKUP($A1971,MAGAZZINO!$B$2:$M$100000,10,FALSE)</f>
        <v/>
      </c>
      <c r="K1971" s="3">
        <f>+VLOOKUP($A1971,MAGAZZINO!$B$2:$M$100000,11,FALSE)</f>
        <v/>
      </c>
      <c r="L1971" s="5">
        <f>+VLOOKUP($A1971,MAGAZZINO!$B$2:$M$100000,12,FALSE)</f>
        <v/>
      </c>
      <c r="M1971" s="47" t="n"/>
      <c r="N1971" s="88" t="n">
        <v>45932</v>
      </c>
      <c r="O1971" s="156" t="inlineStr">
        <is>
          <t>BIN HUMAID NATIONAL TRADING CO. (ARABIA SAUDITA)</t>
        </is>
      </c>
      <c r="P1971" s="154" t="inlineStr">
        <is>
          <t xml:space="preserve">IMPORT LICENSE N. 31445 (END USER CERTIFICATE)                                                                                AUT. ESPORTAZIONE SINGOLA N. 6B/2025/6D RILASCIATA IL 05/09/2025  </t>
        </is>
      </c>
      <c r="Q1971" s="150" t="n"/>
      <c r="R1971" s="150" t="n"/>
      <c r="S1971" s="153" t="n"/>
    </row>
    <row r="1972" ht="36" customHeight="1">
      <c r="A1972" s="46" t="n">
        <v>4302</v>
      </c>
      <c r="B1972" s="4">
        <f>+VLOOKUP($A1972,MAGAZZINO!$B$2:$M$100000,2,FALSE)</f>
        <v/>
      </c>
      <c r="C1972" s="29">
        <f>+VLOOKUP($A1972,MAGAZZINO!$B$2:$M$100000,3,FALSE)</f>
        <v/>
      </c>
      <c r="D1972" s="3">
        <f>+VLOOKUP($A1972,MAGAZZINO!$B$2:$M$100000,4,FALSE)</f>
        <v/>
      </c>
      <c r="E1972" s="3">
        <f>+VLOOKUP($A1972,MAGAZZINO!$B$2:$M$100000,5,FALSE)</f>
        <v/>
      </c>
      <c r="F1972" s="3">
        <f>+VLOOKUP($A1972,MAGAZZINO!$B$2:$M$100000,6,FALSE)</f>
        <v/>
      </c>
      <c r="G1972" s="3">
        <f>+VLOOKUP($A1972,MAGAZZINO!$B$2:$M$100000,7,FALSE)</f>
        <v/>
      </c>
      <c r="H1972" s="3">
        <f>+VLOOKUP($A1972,MAGAZZINO!$B$2:$M$100000,8,FALSE)</f>
        <v/>
      </c>
      <c r="I1972" s="3">
        <f>+VLOOKUP($A1972,MAGAZZINO!$B$2:$M$100000,9,FALSE)</f>
        <v/>
      </c>
      <c r="J1972" s="3">
        <f>+VLOOKUP($A1972,MAGAZZINO!$B$2:$M$100000,10,FALSE)</f>
        <v/>
      </c>
      <c r="K1972" s="3">
        <f>+VLOOKUP($A1972,MAGAZZINO!$B$2:$M$100000,11,FALSE)</f>
        <v/>
      </c>
      <c r="L1972" s="5">
        <f>+VLOOKUP($A1972,MAGAZZINO!$B$2:$M$100000,12,FALSE)</f>
        <v/>
      </c>
      <c r="M1972" s="47" t="n"/>
      <c r="N1972" s="88" t="n">
        <v>45932</v>
      </c>
      <c r="O1972" s="156" t="inlineStr">
        <is>
          <t>BIN HUMAID NATIONAL TRADING CO. (ARABIA SAUDITA)</t>
        </is>
      </c>
      <c r="P1972" s="154" t="inlineStr">
        <is>
          <t xml:space="preserve">IMPORT LICENSE N. 31445 (END USER CERTIFICATE)                                                                                AUT. ESPORTAZIONE SINGOLA N. 6B/2025/6D RILASCIATA IL 05/09/2025  </t>
        </is>
      </c>
      <c r="Q1972" s="150" t="n"/>
      <c r="R1972" s="150" t="n"/>
      <c r="S1972" s="153" t="n"/>
    </row>
    <row r="1973" ht="36" customHeight="1">
      <c r="A1973" s="46" t="n">
        <v>4303</v>
      </c>
      <c r="B1973" s="4">
        <f>+VLOOKUP($A1973,MAGAZZINO!$B$2:$M$100000,2,FALSE)</f>
        <v/>
      </c>
      <c r="C1973" s="29">
        <f>+VLOOKUP($A1973,MAGAZZINO!$B$2:$M$100000,3,FALSE)</f>
        <v/>
      </c>
      <c r="D1973" s="3">
        <f>+VLOOKUP($A1973,MAGAZZINO!$B$2:$M$100000,4,FALSE)</f>
        <v/>
      </c>
      <c r="E1973" s="3">
        <f>+VLOOKUP($A1973,MAGAZZINO!$B$2:$M$100000,5,FALSE)</f>
        <v/>
      </c>
      <c r="F1973" s="3">
        <f>+VLOOKUP($A1973,MAGAZZINO!$B$2:$M$100000,6,FALSE)</f>
        <v/>
      </c>
      <c r="G1973" s="3">
        <f>+VLOOKUP($A1973,MAGAZZINO!$B$2:$M$100000,7,FALSE)</f>
        <v/>
      </c>
      <c r="H1973" s="3">
        <f>+VLOOKUP($A1973,MAGAZZINO!$B$2:$M$100000,8,FALSE)</f>
        <v/>
      </c>
      <c r="I1973" s="3">
        <f>+VLOOKUP($A1973,MAGAZZINO!$B$2:$M$100000,9,FALSE)</f>
        <v/>
      </c>
      <c r="J1973" s="3">
        <f>+VLOOKUP($A1973,MAGAZZINO!$B$2:$M$100000,10,FALSE)</f>
        <v/>
      </c>
      <c r="K1973" s="3">
        <f>+VLOOKUP($A1973,MAGAZZINO!$B$2:$M$100000,11,FALSE)</f>
        <v/>
      </c>
      <c r="L1973" s="5">
        <f>+VLOOKUP($A1973,MAGAZZINO!$B$2:$M$100000,12,FALSE)</f>
        <v/>
      </c>
      <c r="M1973" s="47" t="n"/>
      <c r="N1973" s="88" t="n">
        <v>45932</v>
      </c>
      <c r="O1973" s="156" t="inlineStr">
        <is>
          <t>BIN HUMAID NATIONAL TRADING CO. (ARABIA SAUDITA)</t>
        </is>
      </c>
      <c r="P1973" s="154" t="inlineStr">
        <is>
          <t xml:space="preserve">IMPORT LICENSE N. 31445 (END USER CERTIFICATE)                                                                                AUT. ESPORTAZIONE SINGOLA N. 6B/2025/6D RILASCIATA IL 05/09/2025  </t>
        </is>
      </c>
      <c r="Q1973" s="150" t="n"/>
      <c r="R1973" s="150" t="n"/>
      <c r="S1973" s="153" t="n"/>
    </row>
    <row r="1974" ht="36" customHeight="1">
      <c r="A1974" s="46" t="n">
        <v>4304</v>
      </c>
      <c r="B1974" s="4">
        <f>+VLOOKUP($A1974,MAGAZZINO!$B$2:$M$100000,2,FALSE)</f>
        <v/>
      </c>
      <c r="C1974" s="29">
        <f>+VLOOKUP($A1974,MAGAZZINO!$B$2:$M$100000,3,FALSE)</f>
        <v/>
      </c>
      <c r="D1974" s="3">
        <f>+VLOOKUP($A1974,MAGAZZINO!$B$2:$M$100000,4,FALSE)</f>
        <v/>
      </c>
      <c r="E1974" s="3">
        <f>+VLOOKUP($A1974,MAGAZZINO!$B$2:$M$100000,5,FALSE)</f>
        <v/>
      </c>
      <c r="F1974" s="3">
        <f>+VLOOKUP($A1974,MAGAZZINO!$B$2:$M$100000,6,FALSE)</f>
        <v/>
      </c>
      <c r="G1974" s="3">
        <f>+VLOOKUP($A1974,MAGAZZINO!$B$2:$M$100000,7,FALSE)</f>
        <v/>
      </c>
      <c r="H1974" s="3">
        <f>+VLOOKUP($A1974,MAGAZZINO!$B$2:$M$100000,8,FALSE)</f>
        <v/>
      </c>
      <c r="I1974" s="3">
        <f>+VLOOKUP($A1974,MAGAZZINO!$B$2:$M$100000,9,FALSE)</f>
        <v/>
      </c>
      <c r="J1974" s="3">
        <f>+VLOOKUP($A1974,MAGAZZINO!$B$2:$M$100000,10,FALSE)</f>
        <v/>
      </c>
      <c r="K1974" s="3">
        <f>+VLOOKUP($A1974,MAGAZZINO!$B$2:$M$100000,11,FALSE)</f>
        <v/>
      </c>
      <c r="L1974" s="5">
        <f>+VLOOKUP($A1974,MAGAZZINO!$B$2:$M$100000,12,FALSE)</f>
        <v/>
      </c>
      <c r="M1974" s="47" t="n"/>
      <c r="N1974" s="54" t="n"/>
      <c r="O1974" s="3" t="n"/>
      <c r="P1974" s="149" t="n"/>
      <c r="Q1974" s="150" t="n"/>
      <c r="R1974" s="150" t="n"/>
      <c r="S1974" s="151" t="n"/>
    </row>
    <row r="1975" ht="36" customHeight="1">
      <c r="A1975" s="46" t="n">
        <v>4305</v>
      </c>
      <c r="B1975" s="4">
        <f>+VLOOKUP($A1975,MAGAZZINO!$B$2:$M$100000,2,FALSE)</f>
        <v/>
      </c>
      <c r="C1975" s="29">
        <f>+VLOOKUP($A1975,MAGAZZINO!$B$2:$M$100000,3,FALSE)</f>
        <v/>
      </c>
      <c r="D1975" s="3">
        <f>+VLOOKUP($A1975,MAGAZZINO!$B$2:$M$100000,4,FALSE)</f>
        <v/>
      </c>
      <c r="E1975" s="3">
        <f>+VLOOKUP($A1975,MAGAZZINO!$B$2:$M$100000,5,FALSE)</f>
        <v/>
      </c>
      <c r="F1975" s="3">
        <f>+VLOOKUP($A1975,MAGAZZINO!$B$2:$M$100000,6,FALSE)</f>
        <v/>
      </c>
      <c r="G1975" s="3">
        <f>+VLOOKUP($A1975,MAGAZZINO!$B$2:$M$100000,7,FALSE)</f>
        <v/>
      </c>
      <c r="H1975" s="3">
        <f>+VLOOKUP($A1975,MAGAZZINO!$B$2:$M$100000,8,FALSE)</f>
        <v/>
      </c>
      <c r="I1975" s="3">
        <f>+VLOOKUP($A1975,MAGAZZINO!$B$2:$M$100000,9,FALSE)</f>
        <v/>
      </c>
      <c r="J1975" s="3">
        <f>+VLOOKUP($A1975,MAGAZZINO!$B$2:$M$100000,10,FALSE)</f>
        <v/>
      </c>
      <c r="K1975" s="3">
        <f>+VLOOKUP($A1975,MAGAZZINO!$B$2:$M$100000,11,FALSE)</f>
        <v/>
      </c>
      <c r="L1975" s="5">
        <f>+VLOOKUP($A1975,MAGAZZINO!$B$2:$M$100000,12,FALSE)</f>
        <v/>
      </c>
      <c r="M1975" s="47" t="n"/>
      <c r="N1975" s="88" t="n">
        <v>45932</v>
      </c>
      <c r="O1975" s="156" t="inlineStr">
        <is>
          <t>BIN HUMAID NATIONAL TRADING CO. (ARABIA SAUDITA)</t>
        </is>
      </c>
      <c r="P1975" s="154" t="inlineStr">
        <is>
          <t xml:space="preserve">IMPORT LICENSE N. 31445 (END USER CERTIFICATE)                                                                                AUT. ESPORTAZIONE SINGOLA N. 6B/2025/6D RILASCIATA IL 05/09/2025  </t>
        </is>
      </c>
      <c r="Q1975" s="150" t="n"/>
      <c r="R1975" s="150" t="n"/>
      <c r="S1975" s="153" t="n"/>
    </row>
    <row r="1976" ht="36" customHeight="1">
      <c r="A1976" s="46" t="n">
        <v>4306</v>
      </c>
      <c r="B1976" s="4">
        <f>+VLOOKUP($A1976,MAGAZZINO!$B$2:$M$100000,2,FALSE)</f>
        <v/>
      </c>
      <c r="C1976" s="29">
        <f>+VLOOKUP($A1976,MAGAZZINO!$B$2:$M$100000,3,FALSE)</f>
        <v/>
      </c>
      <c r="D1976" s="3">
        <f>+VLOOKUP($A1976,MAGAZZINO!$B$2:$M$100000,4,FALSE)</f>
        <v/>
      </c>
      <c r="E1976" s="3">
        <f>+VLOOKUP($A1976,MAGAZZINO!$B$2:$M$100000,5,FALSE)</f>
        <v/>
      </c>
      <c r="F1976" s="3">
        <f>+VLOOKUP($A1976,MAGAZZINO!$B$2:$M$100000,6,FALSE)</f>
        <v/>
      </c>
      <c r="G1976" s="3">
        <f>+VLOOKUP($A1976,MAGAZZINO!$B$2:$M$100000,7,FALSE)</f>
        <v/>
      </c>
      <c r="H1976" s="3">
        <f>+VLOOKUP($A1976,MAGAZZINO!$B$2:$M$100000,8,FALSE)</f>
        <v/>
      </c>
      <c r="I1976" s="3">
        <f>+VLOOKUP($A1976,MAGAZZINO!$B$2:$M$100000,9,FALSE)</f>
        <v/>
      </c>
      <c r="J1976" s="3">
        <f>+VLOOKUP($A1976,MAGAZZINO!$B$2:$M$100000,10,FALSE)</f>
        <v/>
      </c>
      <c r="K1976" s="3">
        <f>+VLOOKUP($A1976,MAGAZZINO!$B$2:$M$100000,11,FALSE)</f>
        <v/>
      </c>
      <c r="L1976" s="5">
        <f>+VLOOKUP($A1976,MAGAZZINO!$B$2:$M$100000,12,FALSE)</f>
        <v/>
      </c>
      <c r="M1976" s="47" t="n"/>
      <c r="N1976" s="88" t="n">
        <v>45932</v>
      </c>
      <c r="O1976" s="156" t="inlineStr">
        <is>
          <t>BIN HUMAID NATIONAL TRADING CO. (ARABIA SAUDITA)</t>
        </is>
      </c>
      <c r="P1976" s="154" t="inlineStr">
        <is>
          <t xml:space="preserve">IMPORT LICENSE N. 31445 (END USER CERTIFICATE)                                                                                AUT. ESPORTAZIONE SINGOLA N. 6B/2025/6D RILASCIATA IL 05/09/2025  </t>
        </is>
      </c>
      <c r="Q1976" s="150" t="n"/>
      <c r="R1976" s="150" t="n"/>
      <c r="S1976" s="153" t="n"/>
    </row>
    <row r="1977" ht="36" customHeight="1">
      <c r="A1977" s="46" t="n">
        <v>4307</v>
      </c>
      <c r="B1977" s="4">
        <f>+VLOOKUP($A1977,MAGAZZINO!$B$2:$M$100000,2,FALSE)</f>
        <v/>
      </c>
      <c r="C1977" s="29">
        <f>+VLOOKUP($A1977,MAGAZZINO!$B$2:$M$100000,3,FALSE)</f>
        <v/>
      </c>
      <c r="D1977" s="3">
        <f>+VLOOKUP($A1977,MAGAZZINO!$B$2:$M$100000,4,FALSE)</f>
        <v/>
      </c>
      <c r="E1977" s="3">
        <f>+VLOOKUP($A1977,MAGAZZINO!$B$2:$M$100000,5,FALSE)</f>
        <v/>
      </c>
      <c r="F1977" s="3">
        <f>+VLOOKUP($A1977,MAGAZZINO!$B$2:$M$100000,6,FALSE)</f>
        <v/>
      </c>
      <c r="G1977" s="3">
        <f>+VLOOKUP($A1977,MAGAZZINO!$B$2:$M$100000,7,FALSE)</f>
        <v/>
      </c>
      <c r="H1977" s="3">
        <f>+VLOOKUP($A1977,MAGAZZINO!$B$2:$M$100000,8,FALSE)</f>
        <v/>
      </c>
      <c r="I1977" s="3">
        <f>+VLOOKUP($A1977,MAGAZZINO!$B$2:$M$100000,9,FALSE)</f>
        <v/>
      </c>
      <c r="J1977" s="3">
        <f>+VLOOKUP($A1977,MAGAZZINO!$B$2:$M$100000,10,FALSE)</f>
        <v/>
      </c>
      <c r="K1977" s="3">
        <f>+VLOOKUP($A1977,MAGAZZINO!$B$2:$M$100000,11,FALSE)</f>
        <v/>
      </c>
      <c r="L1977" s="5">
        <f>+VLOOKUP($A1977,MAGAZZINO!$B$2:$M$100000,12,FALSE)</f>
        <v/>
      </c>
      <c r="M1977" s="47" t="n"/>
      <c r="N1977" s="88" t="n">
        <v>45932</v>
      </c>
      <c r="O1977" s="156" t="inlineStr">
        <is>
          <t>BIN HUMAID NATIONAL TRADING CO. (ARABIA SAUDITA)</t>
        </is>
      </c>
      <c r="P1977" s="154" t="inlineStr">
        <is>
          <t xml:space="preserve">IMPORT LICENSE N. 31445 (END USER CERTIFICATE)                                                                                AUT. ESPORTAZIONE SINGOLA N. 6B/2025/6D RILASCIATA IL 05/09/2025  </t>
        </is>
      </c>
      <c r="Q1977" s="150" t="n"/>
      <c r="R1977" s="150" t="n"/>
      <c r="S1977" s="153" t="n"/>
    </row>
    <row r="1978" ht="36" customHeight="1">
      <c r="A1978" s="46" t="n">
        <v>4308</v>
      </c>
      <c r="B1978" s="4">
        <f>+VLOOKUP($A1978,MAGAZZINO!$B$2:$M$100000,2,FALSE)</f>
        <v/>
      </c>
      <c r="C1978" s="29">
        <f>+VLOOKUP($A1978,MAGAZZINO!$B$2:$M$100000,3,FALSE)</f>
        <v/>
      </c>
      <c r="D1978" s="3">
        <f>+VLOOKUP($A1978,MAGAZZINO!$B$2:$M$100000,4,FALSE)</f>
        <v/>
      </c>
      <c r="E1978" s="3">
        <f>+VLOOKUP($A1978,MAGAZZINO!$B$2:$M$100000,5,FALSE)</f>
        <v/>
      </c>
      <c r="F1978" s="3">
        <f>+VLOOKUP($A1978,MAGAZZINO!$B$2:$M$100000,6,FALSE)</f>
        <v/>
      </c>
      <c r="G1978" s="3">
        <f>+VLOOKUP($A1978,MAGAZZINO!$B$2:$M$100000,7,FALSE)</f>
        <v/>
      </c>
      <c r="H1978" s="3">
        <f>+VLOOKUP($A1978,MAGAZZINO!$B$2:$M$100000,8,FALSE)</f>
        <v/>
      </c>
      <c r="I1978" s="3">
        <f>+VLOOKUP($A1978,MAGAZZINO!$B$2:$M$100000,9,FALSE)</f>
        <v/>
      </c>
      <c r="J1978" s="3">
        <f>+VLOOKUP($A1978,MAGAZZINO!$B$2:$M$100000,10,FALSE)</f>
        <v/>
      </c>
      <c r="K1978" s="3">
        <f>+VLOOKUP($A1978,MAGAZZINO!$B$2:$M$100000,11,FALSE)</f>
        <v/>
      </c>
      <c r="L1978" s="5">
        <f>+VLOOKUP($A1978,MAGAZZINO!$B$2:$M$100000,12,FALSE)</f>
        <v/>
      </c>
      <c r="M1978" s="47" t="n"/>
      <c r="N1978" s="88" t="n">
        <v>45932</v>
      </c>
      <c r="O1978" s="156" t="inlineStr">
        <is>
          <t>BIN HUMAID NATIONAL TRADING CO. (ARABIA SAUDITA)</t>
        </is>
      </c>
      <c r="P1978" s="154" t="inlineStr">
        <is>
          <t xml:space="preserve">IMPORT LICENSE N. 31445 (END USER CERTIFICATE)                                                                                AUT. ESPORTAZIONE SINGOLA N. 6B/2025/6D RILASCIATA IL 05/09/2025  </t>
        </is>
      </c>
      <c r="Q1978" s="150" t="n"/>
      <c r="R1978" s="150" t="n"/>
      <c r="S1978" s="153" t="n"/>
    </row>
    <row r="1979" ht="36" customHeight="1">
      <c r="A1979" s="46" t="n">
        <v>4309</v>
      </c>
      <c r="B1979" s="4">
        <f>+VLOOKUP($A1979,MAGAZZINO!$B$2:$M$100000,2,FALSE)</f>
        <v/>
      </c>
      <c r="C1979" s="29">
        <f>+VLOOKUP($A1979,MAGAZZINO!$B$2:$M$100000,3,FALSE)</f>
        <v/>
      </c>
      <c r="D1979" s="3">
        <f>+VLOOKUP($A1979,MAGAZZINO!$B$2:$M$100000,4,FALSE)</f>
        <v/>
      </c>
      <c r="E1979" s="3">
        <f>+VLOOKUP($A1979,MAGAZZINO!$B$2:$M$100000,5,FALSE)</f>
        <v/>
      </c>
      <c r="F1979" s="3">
        <f>+VLOOKUP($A1979,MAGAZZINO!$B$2:$M$100000,6,FALSE)</f>
        <v/>
      </c>
      <c r="G1979" s="3">
        <f>+VLOOKUP($A1979,MAGAZZINO!$B$2:$M$100000,7,FALSE)</f>
        <v/>
      </c>
      <c r="H1979" s="3">
        <f>+VLOOKUP($A1979,MAGAZZINO!$B$2:$M$100000,8,FALSE)</f>
        <v/>
      </c>
      <c r="I1979" s="3">
        <f>+VLOOKUP($A1979,MAGAZZINO!$B$2:$M$100000,9,FALSE)</f>
        <v/>
      </c>
      <c r="J1979" s="3">
        <f>+VLOOKUP($A1979,MAGAZZINO!$B$2:$M$100000,10,FALSE)</f>
        <v/>
      </c>
      <c r="K1979" s="3">
        <f>+VLOOKUP($A1979,MAGAZZINO!$B$2:$M$100000,11,FALSE)</f>
        <v/>
      </c>
      <c r="L1979" s="5">
        <f>+VLOOKUP($A1979,MAGAZZINO!$B$2:$M$100000,12,FALSE)</f>
        <v/>
      </c>
      <c r="M1979" s="47" t="n"/>
      <c r="N1979" s="88" t="n">
        <v>45932</v>
      </c>
      <c r="O1979" s="156" t="inlineStr">
        <is>
          <t>BIN HUMAID NATIONAL TRADING CO. (ARABIA SAUDITA)</t>
        </is>
      </c>
      <c r="P1979" s="154" t="inlineStr">
        <is>
          <t xml:space="preserve">IMPORT LICENSE N. 31445 (END USER CERTIFICATE)                                                                                AUT. ESPORTAZIONE SINGOLA N. 6B/2025/6D RILASCIATA IL 05/09/2025  </t>
        </is>
      </c>
      <c r="Q1979" s="150" t="n"/>
      <c r="R1979" s="150" t="n"/>
      <c r="S1979" s="153" t="n"/>
    </row>
    <row r="1980" ht="36" customHeight="1">
      <c r="A1980" s="46" t="n">
        <v>4310</v>
      </c>
      <c r="B1980" s="4">
        <f>+VLOOKUP($A1980,MAGAZZINO!$B$2:$M$100000,2,FALSE)</f>
        <v/>
      </c>
      <c r="C1980" s="29">
        <f>+VLOOKUP($A1980,MAGAZZINO!$B$2:$M$100000,3,FALSE)</f>
        <v/>
      </c>
      <c r="D1980" s="3">
        <f>+VLOOKUP($A1980,MAGAZZINO!$B$2:$M$100000,4,FALSE)</f>
        <v/>
      </c>
      <c r="E1980" s="3">
        <f>+VLOOKUP($A1980,MAGAZZINO!$B$2:$M$100000,5,FALSE)</f>
        <v/>
      </c>
      <c r="F1980" s="3">
        <f>+VLOOKUP($A1980,MAGAZZINO!$B$2:$M$100000,6,FALSE)</f>
        <v/>
      </c>
      <c r="G1980" s="3">
        <f>+VLOOKUP($A1980,MAGAZZINO!$B$2:$M$100000,7,FALSE)</f>
        <v/>
      </c>
      <c r="H1980" s="3">
        <f>+VLOOKUP($A1980,MAGAZZINO!$B$2:$M$100000,8,FALSE)</f>
        <v/>
      </c>
      <c r="I1980" s="3">
        <f>+VLOOKUP($A1980,MAGAZZINO!$B$2:$M$100000,9,FALSE)</f>
        <v/>
      </c>
      <c r="J1980" s="3">
        <f>+VLOOKUP($A1980,MAGAZZINO!$B$2:$M$100000,10,FALSE)</f>
        <v/>
      </c>
      <c r="K1980" s="3">
        <f>+VLOOKUP($A1980,MAGAZZINO!$B$2:$M$100000,11,FALSE)</f>
        <v/>
      </c>
      <c r="L1980" s="5">
        <f>+VLOOKUP($A1980,MAGAZZINO!$B$2:$M$100000,12,FALSE)</f>
        <v/>
      </c>
      <c r="M1980" s="47" t="n"/>
      <c r="N1980" s="88" t="n">
        <v>45932</v>
      </c>
      <c r="O1980" s="156" t="inlineStr">
        <is>
          <t>BIN HUMAID NATIONAL TRADING CO. (ARABIA SAUDITA)</t>
        </is>
      </c>
      <c r="P1980" s="154" t="inlineStr">
        <is>
          <t xml:space="preserve">IMPORT LICENSE N. 31445 (END USER CERTIFICATE)                                                                                AUT. ESPORTAZIONE SINGOLA N. 6B/2025/6D RILASCIATA IL 05/09/2025  </t>
        </is>
      </c>
      <c r="Q1980" s="150" t="n"/>
      <c r="R1980" s="150" t="n"/>
      <c r="S1980" s="153" t="n"/>
    </row>
    <row r="1981" ht="36" customHeight="1">
      <c r="A1981" s="46" t="n">
        <v>4311</v>
      </c>
      <c r="B1981" s="4">
        <f>+VLOOKUP($A1981,MAGAZZINO!$B$2:$M$100000,2,FALSE)</f>
        <v/>
      </c>
      <c r="C1981" s="29">
        <f>+VLOOKUP($A1981,MAGAZZINO!$B$2:$M$100000,3,FALSE)</f>
        <v/>
      </c>
      <c r="D1981" s="3">
        <f>+VLOOKUP($A1981,MAGAZZINO!$B$2:$M$100000,4,FALSE)</f>
        <v/>
      </c>
      <c r="E1981" s="3">
        <f>+VLOOKUP($A1981,MAGAZZINO!$B$2:$M$100000,5,FALSE)</f>
        <v/>
      </c>
      <c r="F1981" s="3">
        <f>+VLOOKUP($A1981,MAGAZZINO!$B$2:$M$100000,6,FALSE)</f>
        <v/>
      </c>
      <c r="G1981" s="3">
        <f>+VLOOKUP($A1981,MAGAZZINO!$B$2:$M$100000,7,FALSE)</f>
        <v/>
      </c>
      <c r="H1981" s="3">
        <f>+VLOOKUP($A1981,MAGAZZINO!$B$2:$M$100000,8,FALSE)</f>
        <v/>
      </c>
      <c r="I1981" s="3">
        <f>+VLOOKUP($A1981,MAGAZZINO!$B$2:$M$100000,9,FALSE)</f>
        <v/>
      </c>
      <c r="J1981" s="3">
        <f>+VLOOKUP($A1981,MAGAZZINO!$B$2:$M$100000,10,FALSE)</f>
        <v/>
      </c>
      <c r="K1981" s="3">
        <f>+VLOOKUP($A1981,MAGAZZINO!$B$2:$M$100000,11,FALSE)</f>
        <v/>
      </c>
      <c r="L1981" s="5">
        <f>+VLOOKUP($A1981,MAGAZZINO!$B$2:$M$100000,12,FALSE)</f>
        <v/>
      </c>
      <c r="M1981" s="47" t="n"/>
      <c r="N1981" s="88" t="n">
        <v>45932</v>
      </c>
      <c r="O1981" s="156" t="inlineStr">
        <is>
          <t>BIN HUMAID NATIONAL TRADING CO. (ARABIA SAUDITA)</t>
        </is>
      </c>
      <c r="P1981" s="154" t="inlineStr">
        <is>
          <t xml:space="preserve">IMPORT LICENSE N. 31445 (END USER CERTIFICATE)                                                                                AUT. ESPORTAZIONE SINGOLA N. 6B/2025/6D RILASCIATA IL 05/09/2025  </t>
        </is>
      </c>
      <c r="Q1981" s="150" t="n"/>
      <c r="R1981" s="150" t="n"/>
      <c r="S1981" s="153" t="n"/>
    </row>
    <row r="1982" ht="36" customHeight="1">
      <c r="A1982" s="46" t="n">
        <v>4312</v>
      </c>
      <c r="B1982" s="4">
        <f>+VLOOKUP($A1982,MAGAZZINO!$B$2:$M$100000,2,FALSE)</f>
        <v/>
      </c>
      <c r="C1982" s="29">
        <f>+VLOOKUP($A1982,MAGAZZINO!$B$2:$M$100000,3,FALSE)</f>
        <v/>
      </c>
      <c r="D1982" s="3">
        <f>+VLOOKUP($A1982,MAGAZZINO!$B$2:$M$100000,4,FALSE)</f>
        <v/>
      </c>
      <c r="E1982" s="3">
        <f>+VLOOKUP($A1982,MAGAZZINO!$B$2:$M$100000,5,FALSE)</f>
        <v/>
      </c>
      <c r="F1982" s="3">
        <f>+VLOOKUP($A1982,MAGAZZINO!$B$2:$M$100000,6,FALSE)</f>
        <v/>
      </c>
      <c r="G1982" s="3">
        <f>+VLOOKUP($A1982,MAGAZZINO!$B$2:$M$100000,7,FALSE)</f>
        <v/>
      </c>
      <c r="H1982" s="3">
        <f>+VLOOKUP($A1982,MAGAZZINO!$B$2:$M$100000,8,FALSE)</f>
        <v/>
      </c>
      <c r="I1982" s="3">
        <f>+VLOOKUP($A1982,MAGAZZINO!$B$2:$M$100000,9,FALSE)</f>
        <v/>
      </c>
      <c r="J1982" s="3">
        <f>+VLOOKUP($A1982,MAGAZZINO!$B$2:$M$100000,10,FALSE)</f>
        <v/>
      </c>
      <c r="K1982" s="3">
        <f>+VLOOKUP($A1982,MAGAZZINO!$B$2:$M$100000,11,FALSE)</f>
        <v/>
      </c>
      <c r="L1982" s="5">
        <f>+VLOOKUP($A1982,MAGAZZINO!$B$2:$M$100000,12,FALSE)</f>
        <v/>
      </c>
      <c r="M1982" s="47" t="n"/>
      <c r="N1982" s="88" t="n">
        <v>45932</v>
      </c>
      <c r="O1982" s="156" t="inlineStr">
        <is>
          <t>BIN HUMAID NATIONAL TRADING CO. (ARABIA SAUDITA)</t>
        </is>
      </c>
      <c r="P1982" s="154" t="inlineStr">
        <is>
          <t xml:space="preserve">IMPORT LICENSE N. 31445 (END USER CERTIFICATE)                                                                                AUT. ESPORTAZIONE SINGOLA N. 6B/2025/6D RILASCIATA IL 05/09/2025  </t>
        </is>
      </c>
      <c r="Q1982" s="150" t="n"/>
      <c r="R1982" s="150" t="n"/>
      <c r="S1982" s="153" t="n"/>
    </row>
    <row r="1983" ht="36" customHeight="1">
      <c r="A1983" s="46" t="n">
        <v>4313</v>
      </c>
      <c r="B1983" s="4">
        <f>+VLOOKUP($A1983,MAGAZZINO!$B$2:$M$100000,2,FALSE)</f>
        <v/>
      </c>
      <c r="C1983" s="29">
        <f>+VLOOKUP($A1983,MAGAZZINO!$B$2:$M$100000,3,FALSE)</f>
        <v/>
      </c>
      <c r="D1983" s="3">
        <f>+VLOOKUP($A1983,MAGAZZINO!$B$2:$M$100000,4,FALSE)</f>
        <v/>
      </c>
      <c r="E1983" s="3">
        <f>+VLOOKUP($A1983,MAGAZZINO!$B$2:$M$100000,5,FALSE)</f>
        <v/>
      </c>
      <c r="F1983" s="3">
        <f>+VLOOKUP($A1983,MAGAZZINO!$B$2:$M$100000,6,FALSE)</f>
        <v/>
      </c>
      <c r="G1983" s="3">
        <f>+VLOOKUP($A1983,MAGAZZINO!$B$2:$M$100000,7,FALSE)</f>
        <v/>
      </c>
      <c r="H1983" s="3">
        <f>+VLOOKUP($A1983,MAGAZZINO!$B$2:$M$100000,8,FALSE)</f>
        <v/>
      </c>
      <c r="I1983" s="3">
        <f>+VLOOKUP($A1983,MAGAZZINO!$B$2:$M$100000,9,FALSE)</f>
        <v/>
      </c>
      <c r="J1983" s="3">
        <f>+VLOOKUP($A1983,MAGAZZINO!$B$2:$M$100000,10,FALSE)</f>
        <v/>
      </c>
      <c r="K1983" s="3">
        <f>+VLOOKUP($A1983,MAGAZZINO!$B$2:$M$100000,11,FALSE)</f>
        <v/>
      </c>
      <c r="L1983" s="5">
        <f>+VLOOKUP($A1983,MAGAZZINO!$B$2:$M$100000,12,FALSE)</f>
        <v/>
      </c>
      <c r="M1983" s="47" t="n"/>
      <c r="N1983" s="88" t="n">
        <v>45932</v>
      </c>
      <c r="O1983" s="156" t="inlineStr">
        <is>
          <t>BIN HUMAID NATIONAL TRADING CO. (ARABIA SAUDITA)</t>
        </is>
      </c>
      <c r="P1983" s="154" t="inlineStr">
        <is>
          <t xml:space="preserve">IMPORT LICENSE N. 31445 (END USER CERTIFICATE)                                                                                AUT. ESPORTAZIONE SINGOLA N. 6B/2025/6D RILASCIATA IL 05/09/2025  </t>
        </is>
      </c>
      <c r="Q1983" s="150" t="n"/>
      <c r="R1983" s="150" t="n"/>
      <c r="S1983" s="153" t="n"/>
    </row>
    <row r="1984" ht="36" customHeight="1">
      <c r="A1984" s="46" t="n">
        <v>4314</v>
      </c>
      <c r="B1984" s="4">
        <f>+VLOOKUP($A1984,MAGAZZINO!$B$2:$M$100000,2,FALSE)</f>
        <v/>
      </c>
      <c r="C1984" s="29">
        <f>+VLOOKUP($A1984,MAGAZZINO!$B$2:$M$100000,3,FALSE)</f>
        <v/>
      </c>
      <c r="D1984" s="3">
        <f>+VLOOKUP($A1984,MAGAZZINO!$B$2:$M$100000,4,FALSE)</f>
        <v/>
      </c>
      <c r="E1984" s="3">
        <f>+VLOOKUP($A1984,MAGAZZINO!$B$2:$M$100000,5,FALSE)</f>
        <v/>
      </c>
      <c r="F1984" s="3">
        <f>+VLOOKUP($A1984,MAGAZZINO!$B$2:$M$100000,6,FALSE)</f>
        <v/>
      </c>
      <c r="G1984" s="3">
        <f>+VLOOKUP($A1984,MAGAZZINO!$B$2:$M$100000,7,FALSE)</f>
        <v/>
      </c>
      <c r="H1984" s="3">
        <f>+VLOOKUP($A1984,MAGAZZINO!$B$2:$M$100000,8,FALSE)</f>
        <v/>
      </c>
      <c r="I1984" s="3">
        <f>+VLOOKUP($A1984,MAGAZZINO!$B$2:$M$100000,9,FALSE)</f>
        <v/>
      </c>
      <c r="J1984" s="3">
        <f>+VLOOKUP($A1984,MAGAZZINO!$B$2:$M$100000,10,FALSE)</f>
        <v/>
      </c>
      <c r="K1984" s="3">
        <f>+VLOOKUP($A1984,MAGAZZINO!$B$2:$M$100000,11,FALSE)</f>
        <v/>
      </c>
      <c r="L1984" s="5">
        <f>+VLOOKUP($A1984,MAGAZZINO!$B$2:$M$100000,12,FALSE)</f>
        <v/>
      </c>
      <c r="M1984" s="47" t="n"/>
      <c r="N1984" s="88" t="n">
        <v>45932</v>
      </c>
      <c r="O1984" s="156" t="inlineStr">
        <is>
          <t>BIN HUMAID NATIONAL TRADING CO. (ARABIA SAUDITA)</t>
        </is>
      </c>
      <c r="P1984" s="154" t="inlineStr">
        <is>
          <t xml:space="preserve">IMPORT LICENSE N. 31445 (END USER CERTIFICATE)                                                                                AUT. ESPORTAZIONE SINGOLA N. 6B/2025/6D RILASCIATA IL 05/09/2025  </t>
        </is>
      </c>
      <c r="Q1984" s="150" t="n"/>
      <c r="R1984" s="150" t="n"/>
      <c r="S1984" s="153" t="n"/>
    </row>
    <row r="1985" ht="36" customHeight="1">
      <c r="A1985" s="46" t="n">
        <v>4315</v>
      </c>
      <c r="B1985" s="4">
        <f>+VLOOKUP($A1985,MAGAZZINO!$B$2:$M$100000,2,FALSE)</f>
        <v/>
      </c>
      <c r="C1985" s="29">
        <f>+VLOOKUP($A1985,MAGAZZINO!$B$2:$M$100000,3,FALSE)</f>
        <v/>
      </c>
      <c r="D1985" s="3">
        <f>+VLOOKUP($A1985,MAGAZZINO!$B$2:$M$100000,4,FALSE)</f>
        <v/>
      </c>
      <c r="E1985" s="3">
        <f>+VLOOKUP($A1985,MAGAZZINO!$B$2:$M$100000,5,FALSE)</f>
        <v/>
      </c>
      <c r="F1985" s="3">
        <f>+VLOOKUP($A1985,MAGAZZINO!$B$2:$M$100000,6,FALSE)</f>
        <v/>
      </c>
      <c r="G1985" s="3">
        <f>+VLOOKUP($A1985,MAGAZZINO!$B$2:$M$100000,7,FALSE)</f>
        <v/>
      </c>
      <c r="H1985" s="3">
        <f>+VLOOKUP($A1985,MAGAZZINO!$B$2:$M$100000,8,FALSE)</f>
        <v/>
      </c>
      <c r="I1985" s="3">
        <f>+VLOOKUP($A1985,MAGAZZINO!$B$2:$M$100000,9,FALSE)</f>
        <v/>
      </c>
      <c r="J1985" s="3">
        <f>+VLOOKUP($A1985,MAGAZZINO!$B$2:$M$100000,10,FALSE)</f>
        <v/>
      </c>
      <c r="K1985" s="3">
        <f>+VLOOKUP($A1985,MAGAZZINO!$B$2:$M$100000,11,FALSE)</f>
        <v/>
      </c>
      <c r="L1985" s="5">
        <f>+VLOOKUP($A1985,MAGAZZINO!$B$2:$M$100000,12,FALSE)</f>
        <v/>
      </c>
      <c r="M1985" s="47" t="n"/>
      <c r="N1985" s="88" t="n">
        <v>45932</v>
      </c>
      <c r="O1985" s="156" t="inlineStr">
        <is>
          <t>BIN HUMAID NATIONAL TRADING CO. (ARABIA SAUDITA)</t>
        </is>
      </c>
      <c r="P1985" s="154" t="inlineStr">
        <is>
          <t xml:space="preserve">IMPORT LICENSE N. 31445 (END USER CERTIFICATE)                                                                                AUT. ESPORTAZIONE SINGOLA N. 6B/2025/6D RILASCIATA IL 05/09/2025  </t>
        </is>
      </c>
      <c r="Q1985" s="150" t="n"/>
      <c r="R1985" s="150" t="n"/>
      <c r="S1985" s="153" t="n"/>
    </row>
    <row r="1986" ht="36" customHeight="1">
      <c r="A1986" s="46" t="n">
        <v>4316</v>
      </c>
      <c r="B1986" s="4">
        <f>+VLOOKUP($A1986,MAGAZZINO!$B$2:$M$100000,2,FALSE)</f>
        <v/>
      </c>
      <c r="C1986" s="29">
        <f>+VLOOKUP($A1986,MAGAZZINO!$B$2:$M$100000,3,FALSE)</f>
        <v/>
      </c>
      <c r="D1986" s="3">
        <f>+VLOOKUP($A1986,MAGAZZINO!$B$2:$M$100000,4,FALSE)</f>
        <v/>
      </c>
      <c r="E1986" s="3">
        <f>+VLOOKUP($A1986,MAGAZZINO!$B$2:$M$100000,5,FALSE)</f>
        <v/>
      </c>
      <c r="F1986" s="3">
        <f>+VLOOKUP($A1986,MAGAZZINO!$B$2:$M$100000,6,FALSE)</f>
        <v/>
      </c>
      <c r="G1986" s="3">
        <f>+VLOOKUP($A1986,MAGAZZINO!$B$2:$M$100000,7,FALSE)</f>
        <v/>
      </c>
      <c r="H1986" s="3">
        <f>+VLOOKUP($A1986,MAGAZZINO!$B$2:$M$100000,8,FALSE)</f>
        <v/>
      </c>
      <c r="I1986" s="3">
        <f>+VLOOKUP($A1986,MAGAZZINO!$B$2:$M$100000,9,FALSE)</f>
        <v/>
      </c>
      <c r="J1986" s="3">
        <f>+VLOOKUP($A1986,MAGAZZINO!$B$2:$M$100000,10,FALSE)</f>
        <v/>
      </c>
      <c r="K1986" s="3">
        <f>+VLOOKUP($A1986,MAGAZZINO!$B$2:$M$100000,11,FALSE)</f>
        <v/>
      </c>
      <c r="L1986" s="5">
        <f>+VLOOKUP($A1986,MAGAZZINO!$B$2:$M$100000,12,FALSE)</f>
        <v/>
      </c>
      <c r="M1986" s="47" t="n"/>
      <c r="N1986" s="88" t="n">
        <v>45932</v>
      </c>
      <c r="O1986" s="156" t="inlineStr">
        <is>
          <t>BIN HUMAID NATIONAL TRADING CO. (ARABIA SAUDITA)</t>
        </is>
      </c>
      <c r="P1986" s="154" t="inlineStr">
        <is>
          <t xml:space="preserve">IMPORT LICENSE N. 31445 (END USER CERTIFICATE)                                                                                AUT. ESPORTAZIONE SINGOLA N. 6B/2025/6D RILASCIATA IL 05/09/2025  </t>
        </is>
      </c>
      <c r="Q1986" s="150" t="n"/>
      <c r="R1986" s="150" t="n"/>
      <c r="S1986" s="153" t="n"/>
    </row>
    <row r="1987" ht="36" customHeight="1">
      <c r="A1987" s="46" t="n">
        <v>4317</v>
      </c>
      <c r="B1987" s="4">
        <f>+VLOOKUP($A1987,MAGAZZINO!$B$2:$M$100000,2,FALSE)</f>
        <v/>
      </c>
      <c r="C1987" s="29">
        <f>+VLOOKUP($A1987,MAGAZZINO!$B$2:$M$100000,3,FALSE)</f>
        <v/>
      </c>
      <c r="D1987" s="3">
        <f>+VLOOKUP($A1987,MAGAZZINO!$B$2:$M$100000,4,FALSE)</f>
        <v/>
      </c>
      <c r="E1987" s="3">
        <f>+VLOOKUP($A1987,MAGAZZINO!$B$2:$M$100000,5,FALSE)</f>
        <v/>
      </c>
      <c r="F1987" s="3">
        <f>+VLOOKUP($A1987,MAGAZZINO!$B$2:$M$100000,6,FALSE)</f>
        <v/>
      </c>
      <c r="G1987" s="3">
        <f>+VLOOKUP($A1987,MAGAZZINO!$B$2:$M$100000,7,FALSE)</f>
        <v/>
      </c>
      <c r="H1987" s="3">
        <f>+VLOOKUP($A1987,MAGAZZINO!$B$2:$M$100000,8,FALSE)</f>
        <v/>
      </c>
      <c r="I1987" s="3">
        <f>+VLOOKUP($A1987,MAGAZZINO!$B$2:$M$100000,9,FALSE)</f>
        <v/>
      </c>
      <c r="J1987" s="3">
        <f>+VLOOKUP($A1987,MAGAZZINO!$B$2:$M$100000,10,FALSE)</f>
        <v/>
      </c>
      <c r="K1987" s="3">
        <f>+VLOOKUP($A1987,MAGAZZINO!$B$2:$M$100000,11,FALSE)</f>
        <v/>
      </c>
      <c r="L1987" s="5">
        <f>+VLOOKUP($A1987,MAGAZZINO!$B$2:$M$100000,12,FALSE)</f>
        <v/>
      </c>
      <c r="M1987" s="47" t="n"/>
      <c r="N1987" s="88" t="n">
        <v>45932</v>
      </c>
      <c r="O1987" s="156" t="inlineStr">
        <is>
          <t>BIN HUMAID NATIONAL TRADING CO. (ARABIA SAUDITA)</t>
        </is>
      </c>
      <c r="P1987" s="154" t="inlineStr">
        <is>
          <t xml:space="preserve">IMPORT LICENSE N. 31445 (END USER CERTIFICATE)                                                                                AUT. ESPORTAZIONE SINGOLA N. 6B/2025/6D RILASCIATA IL 05/09/2025  </t>
        </is>
      </c>
      <c r="Q1987" s="150" t="n"/>
      <c r="R1987" s="150" t="n"/>
      <c r="S1987" s="153" t="n"/>
    </row>
    <row r="1988" ht="36" customHeight="1">
      <c r="A1988" s="46" t="n">
        <v>4318</v>
      </c>
      <c r="B1988" s="4">
        <f>+VLOOKUP($A1988,MAGAZZINO!$B$2:$M$100000,2,FALSE)</f>
        <v/>
      </c>
      <c r="C1988" s="29">
        <f>+VLOOKUP($A1988,MAGAZZINO!$B$2:$M$100000,3,FALSE)</f>
        <v/>
      </c>
      <c r="D1988" s="3">
        <f>+VLOOKUP($A1988,MAGAZZINO!$B$2:$M$100000,4,FALSE)</f>
        <v/>
      </c>
      <c r="E1988" s="3">
        <f>+VLOOKUP($A1988,MAGAZZINO!$B$2:$M$100000,5,FALSE)</f>
        <v/>
      </c>
      <c r="F1988" s="3">
        <f>+VLOOKUP($A1988,MAGAZZINO!$B$2:$M$100000,6,FALSE)</f>
        <v/>
      </c>
      <c r="G1988" s="3">
        <f>+VLOOKUP($A1988,MAGAZZINO!$B$2:$M$100000,7,FALSE)</f>
        <v/>
      </c>
      <c r="H1988" s="3">
        <f>+VLOOKUP($A1988,MAGAZZINO!$B$2:$M$100000,8,FALSE)</f>
        <v/>
      </c>
      <c r="I1988" s="3">
        <f>+VLOOKUP($A1988,MAGAZZINO!$B$2:$M$100000,9,FALSE)</f>
        <v/>
      </c>
      <c r="J1988" s="3">
        <f>+VLOOKUP($A1988,MAGAZZINO!$B$2:$M$100000,10,FALSE)</f>
        <v/>
      </c>
      <c r="K1988" s="3">
        <f>+VLOOKUP($A1988,MAGAZZINO!$B$2:$M$100000,11,FALSE)</f>
        <v/>
      </c>
      <c r="L1988" s="5">
        <f>+VLOOKUP($A1988,MAGAZZINO!$B$2:$M$100000,12,FALSE)</f>
        <v/>
      </c>
      <c r="M1988" s="47" t="n"/>
      <c r="N1988" s="88" t="n">
        <v>45932</v>
      </c>
      <c r="O1988" s="156" t="inlineStr">
        <is>
          <t>BIN HUMAID NATIONAL TRADING CO. (ARABIA SAUDITA)</t>
        </is>
      </c>
      <c r="P1988" s="154" t="inlineStr">
        <is>
          <t xml:space="preserve">IMPORT LICENSE N. 31445 (END USER CERTIFICATE)                                                                                AUT. ESPORTAZIONE SINGOLA N. 6B/2025/6D RILASCIATA IL 05/09/2025  </t>
        </is>
      </c>
      <c r="Q1988" s="150" t="n"/>
      <c r="R1988" s="150" t="n"/>
      <c r="S1988" s="153" t="n"/>
    </row>
    <row r="1989" ht="36" customHeight="1">
      <c r="A1989" s="46" t="n">
        <v>4319</v>
      </c>
      <c r="B1989" s="4">
        <f>+VLOOKUP($A1989,MAGAZZINO!$B$2:$M$100000,2,FALSE)</f>
        <v/>
      </c>
      <c r="C1989" s="29">
        <f>+VLOOKUP($A1989,MAGAZZINO!$B$2:$M$100000,3,FALSE)</f>
        <v/>
      </c>
      <c r="D1989" s="3">
        <f>+VLOOKUP($A1989,MAGAZZINO!$B$2:$M$100000,4,FALSE)</f>
        <v/>
      </c>
      <c r="E1989" s="3">
        <f>+VLOOKUP($A1989,MAGAZZINO!$B$2:$M$100000,5,FALSE)</f>
        <v/>
      </c>
      <c r="F1989" s="3">
        <f>+VLOOKUP($A1989,MAGAZZINO!$B$2:$M$100000,6,FALSE)</f>
        <v/>
      </c>
      <c r="G1989" s="3">
        <f>+VLOOKUP($A1989,MAGAZZINO!$B$2:$M$100000,7,FALSE)</f>
        <v/>
      </c>
      <c r="H1989" s="3">
        <f>+VLOOKUP($A1989,MAGAZZINO!$B$2:$M$100000,8,FALSE)</f>
        <v/>
      </c>
      <c r="I1989" s="3">
        <f>+VLOOKUP($A1989,MAGAZZINO!$B$2:$M$100000,9,FALSE)</f>
        <v/>
      </c>
      <c r="J1989" s="3">
        <f>+VLOOKUP($A1989,MAGAZZINO!$B$2:$M$100000,10,FALSE)</f>
        <v/>
      </c>
      <c r="K1989" s="3">
        <f>+VLOOKUP($A1989,MAGAZZINO!$B$2:$M$100000,11,FALSE)</f>
        <v/>
      </c>
      <c r="L1989" s="5">
        <f>+VLOOKUP($A1989,MAGAZZINO!$B$2:$M$100000,12,FALSE)</f>
        <v/>
      </c>
      <c r="M1989" s="47" t="n"/>
      <c r="N1989" s="88" t="n">
        <v>45932</v>
      </c>
      <c r="O1989" s="156" t="inlineStr">
        <is>
          <t>BIN HUMAID NATIONAL TRADING CO. (ARABIA SAUDITA)</t>
        </is>
      </c>
      <c r="P1989" s="154" t="inlineStr">
        <is>
          <t xml:space="preserve">IMPORT LICENSE N. 31445 (END USER CERTIFICATE)                                                                                AUT. ESPORTAZIONE SINGOLA N. 6B/2025/6D RILASCIATA IL 05/09/2025  </t>
        </is>
      </c>
      <c r="Q1989" s="150" t="n"/>
      <c r="R1989" s="150" t="n"/>
      <c r="S1989" s="153" t="n"/>
    </row>
    <row r="1990" ht="36" customHeight="1">
      <c r="A1990" s="46" t="n">
        <v>4320</v>
      </c>
      <c r="B1990" s="4">
        <f>+VLOOKUP($A1990,MAGAZZINO!$B$2:$M$100000,2,FALSE)</f>
        <v/>
      </c>
      <c r="C1990" s="29">
        <f>+VLOOKUP($A1990,MAGAZZINO!$B$2:$M$100000,3,FALSE)</f>
        <v/>
      </c>
      <c r="D1990" s="3">
        <f>+VLOOKUP($A1990,MAGAZZINO!$B$2:$M$100000,4,FALSE)</f>
        <v/>
      </c>
      <c r="E1990" s="3">
        <f>+VLOOKUP($A1990,MAGAZZINO!$B$2:$M$100000,5,FALSE)</f>
        <v/>
      </c>
      <c r="F1990" s="3">
        <f>+VLOOKUP($A1990,MAGAZZINO!$B$2:$M$100000,6,FALSE)</f>
        <v/>
      </c>
      <c r="G1990" s="3">
        <f>+VLOOKUP($A1990,MAGAZZINO!$B$2:$M$100000,7,FALSE)</f>
        <v/>
      </c>
      <c r="H1990" s="3">
        <f>+VLOOKUP($A1990,MAGAZZINO!$B$2:$M$100000,8,FALSE)</f>
        <v/>
      </c>
      <c r="I1990" s="3">
        <f>+VLOOKUP($A1990,MAGAZZINO!$B$2:$M$100000,9,FALSE)</f>
        <v/>
      </c>
      <c r="J1990" s="3">
        <f>+VLOOKUP($A1990,MAGAZZINO!$B$2:$M$100000,10,FALSE)</f>
        <v/>
      </c>
      <c r="K1990" s="3">
        <f>+VLOOKUP($A1990,MAGAZZINO!$B$2:$M$100000,11,FALSE)</f>
        <v/>
      </c>
      <c r="L1990" s="5">
        <f>+VLOOKUP($A1990,MAGAZZINO!$B$2:$M$100000,12,FALSE)</f>
        <v/>
      </c>
      <c r="M1990" s="47" t="n"/>
      <c r="N1990" s="88" t="n">
        <v>45965</v>
      </c>
      <c r="O1990" s="156" t="inlineStr">
        <is>
          <t>BIN HUMAID NATIONAL TRADING CO. (ARABIA SAUDITA)</t>
        </is>
      </c>
      <c r="P1990" s="155" t="inlineStr">
        <is>
          <t>IMPORT LICENSE N. 182480 DEL 08/01/2025                                                                                  AUT. ESPORTAZIONE MULTIPLA N. 6B/2025/2M RILASCIATA IL 26/05/2025                   (LICENZA DI SCARICO N. 6B/2025/5S RILASCIATA IL 29/10/2025)</t>
        </is>
      </c>
      <c r="Q1990" s="150" t="n"/>
      <c r="R1990" s="150" t="n"/>
      <c r="S1990" s="153" t="n"/>
    </row>
    <row r="1991" ht="36" customHeight="1">
      <c r="A1991" s="46" t="n">
        <v>4321</v>
      </c>
      <c r="B1991" s="4">
        <f>+VLOOKUP($A1991,MAGAZZINO!$B$2:$M$100000,2,FALSE)</f>
        <v/>
      </c>
      <c r="C1991" s="29">
        <f>+VLOOKUP($A1991,MAGAZZINO!$B$2:$M$100000,3,FALSE)</f>
        <v/>
      </c>
      <c r="D1991" s="3">
        <f>+VLOOKUP($A1991,MAGAZZINO!$B$2:$M$100000,4,FALSE)</f>
        <v/>
      </c>
      <c r="E1991" s="3">
        <f>+VLOOKUP($A1991,MAGAZZINO!$B$2:$M$100000,5,FALSE)</f>
        <v/>
      </c>
      <c r="F1991" s="3">
        <f>+VLOOKUP($A1991,MAGAZZINO!$B$2:$M$100000,6,FALSE)</f>
        <v/>
      </c>
      <c r="G1991" s="3">
        <f>+VLOOKUP($A1991,MAGAZZINO!$B$2:$M$100000,7,FALSE)</f>
        <v/>
      </c>
      <c r="H1991" s="3">
        <f>+VLOOKUP($A1991,MAGAZZINO!$B$2:$M$100000,8,FALSE)</f>
        <v/>
      </c>
      <c r="I1991" s="3">
        <f>+VLOOKUP($A1991,MAGAZZINO!$B$2:$M$100000,9,FALSE)</f>
        <v/>
      </c>
      <c r="J1991" s="3">
        <f>+VLOOKUP($A1991,MAGAZZINO!$B$2:$M$100000,10,FALSE)</f>
        <v/>
      </c>
      <c r="K1991" s="3">
        <f>+VLOOKUP($A1991,MAGAZZINO!$B$2:$M$100000,11,FALSE)</f>
        <v/>
      </c>
      <c r="L1991" s="5">
        <f>+VLOOKUP($A1991,MAGAZZINO!$B$2:$M$100000,12,FALSE)</f>
        <v/>
      </c>
      <c r="M1991" s="47" t="n"/>
      <c r="N1991" s="88" t="n">
        <v>45965</v>
      </c>
      <c r="O1991" s="156" t="inlineStr">
        <is>
          <t>BIN HUMAID NATIONAL TRADING CO. (ARABIA SAUDITA)</t>
        </is>
      </c>
      <c r="P1991" s="155" t="inlineStr">
        <is>
          <t>IMPORT LICENSE N. 182480 DEL 08/01/2025                                                                                  AUT. ESPORTAZIONE MULTIPLA N. 6B/2025/2M RILASCIATA IL 26/05/2025                   (LICENZA DI SCARICO N. 6B/2025/5S RILASCIATA IL 29/10/2025)</t>
        </is>
      </c>
      <c r="Q1991" s="150" t="n"/>
      <c r="R1991" s="150" t="n"/>
      <c r="S1991" s="153" t="n"/>
    </row>
    <row r="1992" ht="36" customHeight="1">
      <c r="A1992" s="46" t="n">
        <v>4322</v>
      </c>
      <c r="B1992" s="4">
        <f>+VLOOKUP($A1992,MAGAZZINO!$B$2:$M$100000,2,FALSE)</f>
        <v/>
      </c>
      <c r="C1992" s="29">
        <f>+VLOOKUP($A1992,MAGAZZINO!$B$2:$M$100000,3,FALSE)</f>
        <v/>
      </c>
      <c r="D1992" s="3">
        <f>+VLOOKUP($A1992,MAGAZZINO!$B$2:$M$100000,4,FALSE)</f>
        <v/>
      </c>
      <c r="E1992" s="3">
        <f>+VLOOKUP($A1992,MAGAZZINO!$B$2:$M$100000,5,FALSE)</f>
        <v/>
      </c>
      <c r="F1992" s="3">
        <f>+VLOOKUP($A1992,MAGAZZINO!$B$2:$M$100000,6,FALSE)</f>
        <v/>
      </c>
      <c r="G1992" s="3">
        <f>+VLOOKUP($A1992,MAGAZZINO!$B$2:$M$100000,7,FALSE)</f>
        <v/>
      </c>
      <c r="H1992" s="3">
        <f>+VLOOKUP($A1992,MAGAZZINO!$B$2:$M$100000,8,FALSE)</f>
        <v/>
      </c>
      <c r="I1992" s="3">
        <f>+VLOOKUP($A1992,MAGAZZINO!$B$2:$M$100000,9,FALSE)</f>
        <v/>
      </c>
      <c r="J1992" s="3">
        <f>+VLOOKUP($A1992,MAGAZZINO!$B$2:$M$100000,10,FALSE)</f>
        <v/>
      </c>
      <c r="K1992" s="3">
        <f>+VLOOKUP($A1992,MAGAZZINO!$B$2:$M$100000,11,FALSE)</f>
        <v/>
      </c>
      <c r="L1992" s="5">
        <f>+VLOOKUP($A1992,MAGAZZINO!$B$2:$M$100000,12,FALSE)</f>
        <v/>
      </c>
      <c r="M1992" s="47" t="n"/>
      <c r="N1992" s="88" t="n">
        <v>45965</v>
      </c>
      <c r="O1992" s="156" t="inlineStr">
        <is>
          <t>BIN HUMAID NATIONAL TRADING CO. (ARABIA SAUDITA)</t>
        </is>
      </c>
      <c r="P1992" s="155" t="inlineStr">
        <is>
          <t>IMPORT LICENSE N. 182480 DEL 08/01/2025                                                                                  AUT. ESPORTAZIONE MULTIPLA N. 6B/2025/2M RILASCIATA IL 26/05/2025                   (LICENZA DI SCARICO N. 6B/2025/5S RILASCIATA IL 29/10/2025)</t>
        </is>
      </c>
      <c r="Q1992" s="150" t="n"/>
      <c r="R1992" s="150" t="n"/>
      <c r="S1992" s="153" t="n"/>
    </row>
    <row r="1993" ht="36" customHeight="1">
      <c r="A1993" s="46" t="n">
        <v>4323</v>
      </c>
      <c r="B1993" s="4">
        <f>+VLOOKUP($A1993,MAGAZZINO!$B$2:$M$100000,2,FALSE)</f>
        <v/>
      </c>
      <c r="C1993" s="29">
        <f>+VLOOKUP($A1993,MAGAZZINO!$B$2:$M$100000,3,FALSE)</f>
        <v/>
      </c>
      <c r="D1993" s="3">
        <f>+VLOOKUP($A1993,MAGAZZINO!$B$2:$M$100000,4,FALSE)</f>
        <v/>
      </c>
      <c r="E1993" s="3">
        <f>+VLOOKUP($A1993,MAGAZZINO!$B$2:$M$100000,5,FALSE)</f>
        <v/>
      </c>
      <c r="F1993" s="3">
        <f>+VLOOKUP($A1993,MAGAZZINO!$B$2:$M$100000,6,FALSE)</f>
        <v/>
      </c>
      <c r="G1993" s="3">
        <f>+VLOOKUP($A1993,MAGAZZINO!$B$2:$M$100000,7,FALSE)</f>
        <v/>
      </c>
      <c r="H1993" s="3">
        <f>+VLOOKUP($A1993,MAGAZZINO!$B$2:$M$100000,8,FALSE)</f>
        <v/>
      </c>
      <c r="I1993" s="3">
        <f>+VLOOKUP($A1993,MAGAZZINO!$B$2:$M$100000,9,FALSE)</f>
        <v/>
      </c>
      <c r="J1993" s="3">
        <f>+VLOOKUP($A1993,MAGAZZINO!$B$2:$M$100000,10,FALSE)</f>
        <v/>
      </c>
      <c r="K1993" s="3">
        <f>+VLOOKUP($A1993,MAGAZZINO!$B$2:$M$100000,11,FALSE)</f>
        <v/>
      </c>
      <c r="L1993" s="5">
        <f>+VLOOKUP($A1993,MAGAZZINO!$B$2:$M$100000,12,FALSE)</f>
        <v/>
      </c>
      <c r="M1993" s="47" t="n"/>
      <c r="N1993" s="88" t="n">
        <v>45965</v>
      </c>
      <c r="O1993" s="156" t="inlineStr">
        <is>
          <t>BIN HUMAID NATIONAL TRADING CO. (ARABIA SAUDITA)</t>
        </is>
      </c>
      <c r="P1993" s="155" t="inlineStr">
        <is>
          <t>IMPORT LICENSE N. 182480 DEL 08/01/2025                                                                                  AUT. ESPORTAZIONE MULTIPLA N. 6B/2025/2M RILASCIATA IL 26/05/2025                   (LICENZA DI SCARICO N. 6B/2025/5S RILASCIATA IL 29/10/2025)</t>
        </is>
      </c>
      <c r="Q1993" s="150" t="n"/>
      <c r="R1993" s="150" t="n"/>
      <c r="S1993" s="153" t="n"/>
    </row>
    <row r="1994" ht="36" customHeight="1">
      <c r="A1994" s="46" t="n">
        <v>4324</v>
      </c>
      <c r="B1994" s="4">
        <f>+VLOOKUP($A1994,MAGAZZINO!$B$2:$M$100000,2,FALSE)</f>
        <v/>
      </c>
      <c r="C1994" s="29">
        <f>+VLOOKUP($A1994,MAGAZZINO!$B$2:$M$100000,3,FALSE)</f>
        <v/>
      </c>
      <c r="D1994" s="3">
        <f>+VLOOKUP($A1994,MAGAZZINO!$B$2:$M$100000,4,FALSE)</f>
        <v/>
      </c>
      <c r="E1994" s="3">
        <f>+VLOOKUP($A1994,MAGAZZINO!$B$2:$M$100000,5,FALSE)</f>
        <v/>
      </c>
      <c r="F1994" s="3">
        <f>+VLOOKUP($A1994,MAGAZZINO!$B$2:$M$100000,6,FALSE)</f>
        <v/>
      </c>
      <c r="G1994" s="3">
        <f>+VLOOKUP($A1994,MAGAZZINO!$B$2:$M$100000,7,FALSE)</f>
        <v/>
      </c>
      <c r="H1994" s="3">
        <f>+VLOOKUP($A1994,MAGAZZINO!$B$2:$M$100000,8,FALSE)</f>
        <v/>
      </c>
      <c r="I1994" s="3">
        <f>+VLOOKUP($A1994,MAGAZZINO!$B$2:$M$100000,9,FALSE)</f>
        <v/>
      </c>
      <c r="J1994" s="3">
        <f>+VLOOKUP($A1994,MAGAZZINO!$B$2:$M$100000,10,FALSE)</f>
        <v/>
      </c>
      <c r="K1994" s="3">
        <f>+VLOOKUP($A1994,MAGAZZINO!$B$2:$M$100000,11,FALSE)</f>
        <v/>
      </c>
      <c r="L1994" s="5">
        <f>+VLOOKUP($A1994,MAGAZZINO!$B$2:$M$100000,12,FALSE)</f>
        <v/>
      </c>
      <c r="M1994" s="47" t="n"/>
      <c r="N1994" s="88" t="n">
        <v>45965</v>
      </c>
      <c r="O1994" s="156" t="inlineStr">
        <is>
          <t>BIN HUMAID NATIONAL TRADING CO. (ARABIA SAUDITA)</t>
        </is>
      </c>
      <c r="P1994" s="155" t="inlineStr">
        <is>
          <t>IMPORT LICENSE N. 182480 DEL 08/01/2025                                                                                  AUT. ESPORTAZIONE MULTIPLA N. 6B/2025/2M RILASCIATA IL 26/05/2025                   (LICENZA DI SCARICO N. 6B/2025/5S RILASCIATA IL 29/10/2025)</t>
        </is>
      </c>
      <c r="Q1994" s="150" t="n"/>
      <c r="R1994" s="150" t="n"/>
      <c r="S1994" s="153" t="n"/>
    </row>
    <row r="1995" ht="36" customHeight="1">
      <c r="A1995" s="46" t="n">
        <v>4325</v>
      </c>
      <c r="B1995" s="4">
        <f>+VLOOKUP($A1995,MAGAZZINO!$B$2:$M$100000,2,FALSE)</f>
        <v/>
      </c>
      <c r="C1995" s="29">
        <f>+VLOOKUP($A1995,MAGAZZINO!$B$2:$M$100000,3,FALSE)</f>
        <v/>
      </c>
      <c r="D1995" s="3">
        <f>+VLOOKUP($A1995,MAGAZZINO!$B$2:$M$100000,4,FALSE)</f>
        <v/>
      </c>
      <c r="E1995" s="3">
        <f>+VLOOKUP($A1995,MAGAZZINO!$B$2:$M$100000,5,FALSE)</f>
        <v/>
      </c>
      <c r="F1995" s="3">
        <f>+VLOOKUP($A1995,MAGAZZINO!$B$2:$M$100000,6,FALSE)</f>
        <v/>
      </c>
      <c r="G1995" s="3">
        <f>+VLOOKUP($A1995,MAGAZZINO!$B$2:$M$100000,7,FALSE)</f>
        <v/>
      </c>
      <c r="H1995" s="3">
        <f>+VLOOKUP($A1995,MAGAZZINO!$B$2:$M$100000,8,FALSE)</f>
        <v/>
      </c>
      <c r="I1995" s="3">
        <f>+VLOOKUP($A1995,MAGAZZINO!$B$2:$M$100000,9,FALSE)</f>
        <v/>
      </c>
      <c r="J1995" s="3">
        <f>+VLOOKUP($A1995,MAGAZZINO!$B$2:$M$100000,10,FALSE)</f>
        <v/>
      </c>
      <c r="K1995" s="3">
        <f>+VLOOKUP($A1995,MAGAZZINO!$B$2:$M$100000,11,FALSE)</f>
        <v/>
      </c>
      <c r="L1995" s="5">
        <f>+VLOOKUP($A1995,MAGAZZINO!$B$2:$M$100000,12,FALSE)</f>
        <v/>
      </c>
      <c r="M1995" s="47" t="n"/>
      <c r="N1995" s="88" t="n">
        <v>45965</v>
      </c>
      <c r="O1995" s="156" t="inlineStr">
        <is>
          <t>BIN HUMAID NATIONAL TRADING CO. (ARABIA SAUDITA)</t>
        </is>
      </c>
      <c r="P1995" s="155" t="inlineStr">
        <is>
          <t>IMPORT LICENSE N. 182480 DEL 08/01/2025                                                                                  AUT. ESPORTAZIONE MULTIPLA N. 6B/2025/2M RILASCIATA IL 26/05/2025                   (LICENZA DI SCARICO N. 6B/2025/5S RILASCIATA IL 29/10/2025)</t>
        </is>
      </c>
      <c r="Q1995" s="150" t="n"/>
      <c r="R1995" s="150" t="n"/>
      <c r="S1995" s="153" t="n"/>
    </row>
    <row r="1996" ht="36" customHeight="1">
      <c r="A1996" s="46" t="n">
        <v>4326</v>
      </c>
      <c r="B1996" s="4">
        <f>+VLOOKUP($A1996,MAGAZZINO!$B$2:$M$100000,2,FALSE)</f>
        <v/>
      </c>
      <c r="C1996" s="29">
        <f>+VLOOKUP($A1996,MAGAZZINO!$B$2:$M$100000,3,FALSE)</f>
        <v/>
      </c>
      <c r="D1996" s="3">
        <f>+VLOOKUP($A1996,MAGAZZINO!$B$2:$M$100000,4,FALSE)</f>
        <v/>
      </c>
      <c r="E1996" s="3">
        <f>+VLOOKUP($A1996,MAGAZZINO!$B$2:$M$100000,5,FALSE)</f>
        <v/>
      </c>
      <c r="F1996" s="3">
        <f>+VLOOKUP($A1996,MAGAZZINO!$B$2:$M$100000,6,FALSE)</f>
        <v/>
      </c>
      <c r="G1996" s="3">
        <f>+VLOOKUP($A1996,MAGAZZINO!$B$2:$M$100000,7,FALSE)</f>
        <v/>
      </c>
      <c r="H1996" s="3">
        <f>+VLOOKUP($A1996,MAGAZZINO!$B$2:$M$100000,8,FALSE)</f>
        <v/>
      </c>
      <c r="I1996" s="3">
        <f>+VLOOKUP($A1996,MAGAZZINO!$B$2:$M$100000,9,FALSE)</f>
        <v/>
      </c>
      <c r="J1996" s="3">
        <f>+VLOOKUP($A1996,MAGAZZINO!$B$2:$M$100000,10,FALSE)</f>
        <v/>
      </c>
      <c r="K1996" s="3">
        <f>+VLOOKUP($A1996,MAGAZZINO!$B$2:$M$100000,11,FALSE)</f>
        <v/>
      </c>
      <c r="L1996" s="5">
        <f>+VLOOKUP($A1996,MAGAZZINO!$B$2:$M$100000,12,FALSE)</f>
        <v/>
      </c>
      <c r="M1996" s="47" t="n"/>
      <c r="N1996" s="88" t="n">
        <v>45965</v>
      </c>
      <c r="O1996" s="156" t="inlineStr">
        <is>
          <t>BIN HUMAID NATIONAL TRADING CO. (ARABIA SAUDITA)</t>
        </is>
      </c>
      <c r="P1996" s="155" t="inlineStr">
        <is>
          <t>IMPORT LICENSE N. 182480 DEL 08/01/2025                                                                                  AUT. ESPORTAZIONE MULTIPLA N. 6B/2025/2M RILASCIATA IL 26/05/2025                   (LICENZA DI SCARICO N. 6B/2025/5S RILASCIATA IL 29/10/2025)</t>
        </is>
      </c>
      <c r="Q1996" s="150" t="n"/>
      <c r="R1996" s="150" t="n"/>
      <c r="S1996" s="153" t="n"/>
    </row>
    <row r="1997" ht="36" customHeight="1">
      <c r="A1997" s="46" t="n">
        <v>4327</v>
      </c>
      <c r="B1997" s="4">
        <f>+VLOOKUP($A1997,MAGAZZINO!$B$2:$M$100000,2,FALSE)</f>
        <v/>
      </c>
      <c r="C1997" s="29">
        <f>+VLOOKUP($A1997,MAGAZZINO!$B$2:$M$100000,3,FALSE)</f>
        <v/>
      </c>
      <c r="D1997" s="3">
        <f>+VLOOKUP($A1997,MAGAZZINO!$B$2:$M$100000,4,FALSE)</f>
        <v/>
      </c>
      <c r="E1997" s="3">
        <f>+VLOOKUP($A1997,MAGAZZINO!$B$2:$M$100000,5,FALSE)</f>
        <v/>
      </c>
      <c r="F1997" s="3">
        <f>+VLOOKUP($A1997,MAGAZZINO!$B$2:$M$100000,6,FALSE)</f>
        <v/>
      </c>
      <c r="G1997" s="3">
        <f>+VLOOKUP($A1997,MAGAZZINO!$B$2:$M$100000,7,FALSE)</f>
        <v/>
      </c>
      <c r="H1997" s="3">
        <f>+VLOOKUP($A1997,MAGAZZINO!$B$2:$M$100000,8,FALSE)</f>
        <v/>
      </c>
      <c r="I1997" s="3">
        <f>+VLOOKUP($A1997,MAGAZZINO!$B$2:$M$100000,9,FALSE)</f>
        <v/>
      </c>
      <c r="J1997" s="3">
        <f>+VLOOKUP($A1997,MAGAZZINO!$B$2:$M$100000,10,FALSE)</f>
        <v/>
      </c>
      <c r="K1997" s="3">
        <f>+VLOOKUP($A1997,MAGAZZINO!$B$2:$M$100000,11,FALSE)</f>
        <v/>
      </c>
      <c r="L1997" s="5">
        <f>+VLOOKUP($A1997,MAGAZZINO!$B$2:$M$100000,12,FALSE)</f>
        <v/>
      </c>
      <c r="M1997" s="47" t="n"/>
      <c r="N1997" s="88" t="n">
        <v>45965</v>
      </c>
      <c r="O1997" s="156" t="inlineStr">
        <is>
          <t>BIN HUMAID NATIONAL TRADING CO. (ARABIA SAUDITA)</t>
        </is>
      </c>
      <c r="P1997" s="155" t="inlineStr">
        <is>
          <t>IMPORT LICENSE N. 182480 DEL 08/01/2025                                                                                  AUT. ESPORTAZIONE MULTIPLA N. 6B/2025/2M RILASCIATA IL 26/05/2025                   (LICENZA DI SCARICO N. 6B/2025/5S RILASCIATA IL 29/10/2025)</t>
        </is>
      </c>
      <c r="Q1997" s="150" t="n"/>
      <c r="R1997" s="150" t="n"/>
      <c r="S1997" s="153" t="n"/>
    </row>
    <row r="1998" ht="36" customHeight="1">
      <c r="A1998" s="46" t="n">
        <v>4328</v>
      </c>
      <c r="B1998" s="4">
        <f>+VLOOKUP($A1998,MAGAZZINO!$B$2:$M$100000,2,FALSE)</f>
        <v/>
      </c>
      <c r="C1998" s="29">
        <f>+VLOOKUP($A1998,MAGAZZINO!$B$2:$M$100000,3,FALSE)</f>
        <v/>
      </c>
      <c r="D1998" s="3">
        <f>+VLOOKUP($A1998,MAGAZZINO!$B$2:$M$100000,4,FALSE)</f>
        <v/>
      </c>
      <c r="E1998" s="3">
        <f>+VLOOKUP($A1998,MAGAZZINO!$B$2:$M$100000,5,FALSE)</f>
        <v/>
      </c>
      <c r="F1998" s="3">
        <f>+VLOOKUP($A1998,MAGAZZINO!$B$2:$M$100000,6,FALSE)</f>
        <v/>
      </c>
      <c r="G1998" s="3">
        <f>+VLOOKUP($A1998,MAGAZZINO!$B$2:$M$100000,7,FALSE)</f>
        <v/>
      </c>
      <c r="H1998" s="3">
        <f>+VLOOKUP($A1998,MAGAZZINO!$B$2:$M$100000,8,FALSE)</f>
        <v/>
      </c>
      <c r="I1998" s="3">
        <f>+VLOOKUP($A1998,MAGAZZINO!$B$2:$M$100000,9,FALSE)</f>
        <v/>
      </c>
      <c r="J1998" s="3">
        <f>+VLOOKUP($A1998,MAGAZZINO!$B$2:$M$100000,10,FALSE)</f>
        <v/>
      </c>
      <c r="K1998" s="3">
        <f>+VLOOKUP($A1998,MAGAZZINO!$B$2:$M$100000,11,FALSE)</f>
        <v/>
      </c>
      <c r="L1998" s="5">
        <f>+VLOOKUP($A1998,MAGAZZINO!$B$2:$M$100000,12,FALSE)</f>
        <v/>
      </c>
      <c r="M1998" s="47" t="n"/>
      <c r="N1998" s="88" t="n">
        <v>45965</v>
      </c>
      <c r="O1998" s="156" t="inlineStr">
        <is>
          <t>BIN HUMAID NATIONAL TRADING CO. (ARABIA SAUDITA)</t>
        </is>
      </c>
      <c r="P1998" s="155" t="inlineStr">
        <is>
          <t>IMPORT LICENSE N. 182480 DEL 08/01/2025                                                                                  AUT. ESPORTAZIONE MULTIPLA N. 6B/2025/2M RILASCIATA IL 26/05/2025                   (LICENZA DI SCARICO N. 6B/2025/5S RILASCIATA IL 29/10/2025)</t>
        </is>
      </c>
      <c r="Q1998" s="150" t="n"/>
      <c r="R1998" s="150" t="n"/>
      <c r="S1998" s="153" t="n"/>
    </row>
    <row r="1999" ht="36" customHeight="1">
      <c r="A1999" s="46" t="n">
        <v>4329</v>
      </c>
      <c r="B1999" s="4">
        <f>+VLOOKUP($A1999,MAGAZZINO!$B$2:$M$100000,2,FALSE)</f>
        <v/>
      </c>
      <c r="C1999" s="29">
        <f>+VLOOKUP($A1999,MAGAZZINO!$B$2:$M$100000,3,FALSE)</f>
        <v/>
      </c>
      <c r="D1999" s="3">
        <f>+VLOOKUP($A1999,MAGAZZINO!$B$2:$M$100000,4,FALSE)</f>
        <v/>
      </c>
      <c r="E1999" s="3">
        <f>+VLOOKUP($A1999,MAGAZZINO!$B$2:$M$100000,5,FALSE)</f>
        <v/>
      </c>
      <c r="F1999" s="3">
        <f>+VLOOKUP($A1999,MAGAZZINO!$B$2:$M$100000,6,FALSE)</f>
        <v/>
      </c>
      <c r="G1999" s="3">
        <f>+VLOOKUP($A1999,MAGAZZINO!$B$2:$M$100000,7,FALSE)</f>
        <v/>
      </c>
      <c r="H1999" s="3">
        <f>+VLOOKUP($A1999,MAGAZZINO!$B$2:$M$100000,8,FALSE)</f>
        <v/>
      </c>
      <c r="I1999" s="3">
        <f>+VLOOKUP($A1999,MAGAZZINO!$B$2:$M$100000,9,FALSE)</f>
        <v/>
      </c>
      <c r="J1999" s="3">
        <f>+VLOOKUP($A1999,MAGAZZINO!$B$2:$M$100000,10,FALSE)</f>
        <v/>
      </c>
      <c r="K1999" s="3">
        <f>+VLOOKUP($A1999,MAGAZZINO!$B$2:$M$100000,11,FALSE)</f>
        <v/>
      </c>
      <c r="L1999" s="5">
        <f>+VLOOKUP($A1999,MAGAZZINO!$B$2:$M$100000,12,FALSE)</f>
        <v/>
      </c>
      <c r="M1999" s="47" t="n"/>
      <c r="N1999" s="88" t="n">
        <v>45965</v>
      </c>
      <c r="O1999" s="156" t="inlineStr">
        <is>
          <t>BIN HUMAID NATIONAL TRADING CO. (ARABIA SAUDITA)</t>
        </is>
      </c>
      <c r="P1999" s="155" t="inlineStr">
        <is>
          <t>IMPORT LICENSE N. 182480 DEL 08/01/2025                                                                                  AUT. ESPORTAZIONE MULTIPLA N. 6B/2025/2M RILASCIATA IL 26/05/2025                   (LICENZA DI SCARICO N. 6B/2025/5S RILASCIATA IL 29/10/2025)</t>
        </is>
      </c>
      <c r="Q1999" s="150" t="n"/>
      <c r="R1999" s="150" t="n"/>
      <c r="S1999" s="153" t="n"/>
    </row>
    <row r="2000" ht="36" customHeight="1">
      <c r="A2000" s="46" t="n">
        <v>4330</v>
      </c>
      <c r="B2000" s="4">
        <f>+VLOOKUP($A2000,MAGAZZINO!$B$2:$M$100000,2,FALSE)</f>
        <v/>
      </c>
      <c r="C2000" s="29">
        <f>+VLOOKUP($A2000,MAGAZZINO!$B$2:$M$100000,3,FALSE)</f>
        <v/>
      </c>
      <c r="D2000" s="3">
        <f>+VLOOKUP($A2000,MAGAZZINO!$B$2:$M$100000,4,FALSE)</f>
        <v/>
      </c>
      <c r="E2000" s="3">
        <f>+VLOOKUP($A2000,MAGAZZINO!$B$2:$M$100000,5,FALSE)</f>
        <v/>
      </c>
      <c r="F2000" s="3">
        <f>+VLOOKUP($A2000,MAGAZZINO!$B$2:$M$100000,6,FALSE)</f>
        <v/>
      </c>
      <c r="G2000" s="3">
        <f>+VLOOKUP($A2000,MAGAZZINO!$B$2:$M$100000,7,FALSE)</f>
        <v/>
      </c>
      <c r="H2000" s="3">
        <f>+VLOOKUP($A2000,MAGAZZINO!$B$2:$M$100000,8,FALSE)</f>
        <v/>
      </c>
      <c r="I2000" s="3">
        <f>+VLOOKUP($A2000,MAGAZZINO!$B$2:$M$100000,9,FALSE)</f>
        <v/>
      </c>
      <c r="J2000" s="3">
        <f>+VLOOKUP($A2000,MAGAZZINO!$B$2:$M$100000,10,FALSE)</f>
        <v/>
      </c>
      <c r="K2000" s="3">
        <f>+VLOOKUP($A2000,MAGAZZINO!$B$2:$M$100000,11,FALSE)</f>
        <v/>
      </c>
      <c r="L2000" s="5">
        <f>+VLOOKUP($A2000,MAGAZZINO!$B$2:$M$100000,12,FALSE)</f>
        <v/>
      </c>
      <c r="M2000" s="47" t="n"/>
      <c r="N2000" s="88" t="n">
        <v>45965</v>
      </c>
      <c r="O2000" s="156" t="inlineStr">
        <is>
          <t>BIN HUMAID NATIONAL TRADING CO. (ARABIA SAUDITA)</t>
        </is>
      </c>
      <c r="P2000" s="155" t="inlineStr">
        <is>
          <t>IMPORT LICENSE N. 182480 DEL 08/01/2025                                                                                  AUT. ESPORTAZIONE MULTIPLA N. 6B/2025/2M RILASCIATA IL 26/05/2025                   (LICENZA DI SCARICO N. 6B/2025/5S RILASCIATA IL 29/10/2025)</t>
        </is>
      </c>
      <c r="Q2000" s="150" t="n"/>
      <c r="R2000" s="150" t="n"/>
      <c r="S2000" s="153" t="n"/>
    </row>
    <row r="2001" ht="36" customHeight="1">
      <c r="A2001" s="46" t="n">
        <v>4331</v>
      </c>
      <c r="B2001" s="4">
        <f>+VLOOKUP($A2001,MAGAZZINO!$B$2:$M$100000,2,FALSE)</f>
        <v/>
      </c>
      <c r="C2001" s="29">
        <f>+VLOOKUP($A2001,MAGAZZINO!$B$2:$M$100000,3,FALSE)</f>
        <v/>
      </c>
      <c r="D2001" s="3">
        <f>+VLOOKUP($A2001,MAGAZZINO!$B$2:$M$100000,4,FALSE)</f>
        <v/>
      </c>
      <c r="E2001" s="3">
        <f>+VLOOKUP($A2001,MAGAZZINO!$B$2:$M$100000,5,FALSE)</f>
        <v/>
      </c>
      <c r="F2001" s="3">
        <f>+VLOOKUP($A2001,MAGAZZINO!$B$2:$M$100000,6,FALSE)</f>
        <v/>
      </c>
      <c r="G2001" s="3">
        <f>+VLOOKUP($A2001,MAGAZZINO!$B$2:$M$100000,7,FALSE)</f>
        <v/>
      </c>
      <c r="H2001" s="3">
        <f>+VLOOKUP($A2001,MAGAZZINO!$B$2:$M$100000,8,FALSE)</f>
        <v/>
      </c>
      <c r="I2001" s="3">
        <f>+VLOOKUP($A2001,MAGAZZINO!$B$2:$M$100000,9,FALSE)</f>
        <v/>
      </c>
      <c r="J2001" s="3">
        <f>+VLOOKUP($A2001,MAGAZZINO!$B$2:$M$100000,10,FALSE)</f>
        <v/>
      </c>
      <c r="K2001" s="3">
        <f>+VLOOKUP($A2001,MAGAZZINO!$B$2:$M$100000,11,FALSE)</f>
        <v/>
      </c>
      <c r="L2001" s="5">
        <f>+VLOOKUP($A2001,MAGAZZINO!$B$2:$M$100000,12,FALSE)</f>
        <v/>
      </c>
      <c r="M2001" s="47" t="n"/>
      <c r="N2001" s="88" t="n">
        <v>45965</v>
      </c>
      <c r="O2001" s="156" t="inlineStr">
        <is>
          <t>BIN HUMAID NATIONAL TRADING CO. (ARABIA SAUDITA)</t>
        </is>
      </c>
      <c r="P2001" s="155" t="inlineStr">
        <is>
          <t>IMPORT LICENSE N. 182480 DEL 08/01/2025                                                                                  AUT. ESPORTAZIONE MULTIPLA N. 6B/2025/2M RILASCIATA IL 26/05/2025                   (LICENZA DI SCARICO N. 6B/2025/5S RILASCIATA IL 29/10/2025)</t>
        </is>
      </c>
      <c r="Q2001" s="150" t="n"/>
      <c r="R2001" s="150" t="n"/>
      <c r="S2001" s="153" t="n"/>
    </row>
    <row r="2002" ht="36" customHeight="1">
      <c r="A2002" s="46" t="n">
        <v>4332</v>
      </c>
      <c r="B2002" s="4">
        <f>+VLOOKUP($A2002,MAGAZZINO!$B$2:$M$100000,2,FALSE)</f>
        <v/>
      </c>
      <c r="C2002" s="29">
        <f>+VLOOKUP($A2002,MAGAZZINO!$B$2:$M$100000,3,FALSE)</f>
        <v/>
      </c>
      <c r="D2002" s="3">
        <f>+VLOOKUP($A2002,MAGAZZINO!$B$2:$M$100000,4,FALSE)</f>
        <v/>
      </c>
      <c r="E2002" s="3">
        <f>+VLOOKUP($A2002,MAGAZZINO!$B$2:$M$100000,5,FALSE)</f>
        <v/>
      </c>
      <c r="F2002" s="3">
        <f>+VLOOKUP($A2002,MAGAZZINO!$B$2:$M$100000,6,FALSE)</f>
        <v/>
      </c>
      <c r="G2002" s="3">
        <f>+VLOOKUP($A2002,MAGAZZINO!$B$2:$M$100000,7,FALSE)</f>
        <v/>
      </c>
      <c r="H2002" s="3">
        <f>+VLOOKUP($A2002,MAGAZZINO!$B$2:$M$100000,8,FALSE)</f>
        <v/>
      </c>
      <c r="I2002" s="3">
        <f>+VLOOKUP($A2002,MAGAZZINO!$B$2:$M$100000,9,FALSE)</f>
        <v/>
      </c>
      <c r="J2002" s="3">
        <f>+VLOOKUP($A2002,MAGAZZINO!$B$2:$M$100000,10,FALSE)</f>
        <v/>
      </c>
      <c r="K2002" s="3">
        <f>+VLOOKUP($A2002,MAGAZZINO!$B$2:$M$100000,11,FALSE)</f>
        <v/>
      </c>
      <c r="L2002" s="5">
        <f>+VLOOKUP($A2002,MAGAZZINO!$B$2:$M$100000,12,FALSE)</f>
        <v/>
      </c>
      <c r="M2002" s="47" t="n"/>
      <c r="N2002" s="88" t="n">
        <v>45965</v>
      </c>
      <c r="O2002" s="156" t="inlineStr">
        <is>
          <t>BIN HUMAID NATIONAL TRADING CO. (ARABIA SAUDITA)</t>
        </is>
      </c>
      <c r="P2002" s="155" t="inlineStr">
        <is>
          <t>IMPORT LICENSE N. 182480 DEL 08/01/2025                                                                                  AUT. ESPORTAZIONE MULTIPLA N. 6B/2025/2M RILASCIATA IL 26/05/2025                   (LICENZA DI SCARICO N. 6B/2025/5S RILASCIATA IL 29/10/2025)</t>
        </is>
      </c>
      <c r="Q2002" s="150" t="n"/>
      <c r="R2002" s="150" t="n"/>
      <c r="S2002" s="153" t="n"/>
    </row>
    <row r="2003" ht="36" customHeight="1">
      <c r="A2003" s="46" t="n">
        <v>4333</v>
      </c>
      <c r="B2003" s="4">
        <f>+VLOOKUP($A2003,MAGAZZINO!$B$2:$M$100000,2,FALSE)</f>
        <v/>
      </c>
      <c r="C2003" s="29">
        <f>+VLOOKUP($A2003,MAGAZZINO!$B$2:$M$100000,3,FALSE)</f>
        <v/>
      </c>
      <c r="D2003" s="3">
        <f>+VLOOKUP($A2003,MAGAZZINO!$B$2:$M$100000,4,FALSE)</f>
        <v/>
      </c>
      <c r="E2003" s="3">
        <f>+VLOOKUP($A2003,MAGAZZINO!$B$2:$M$100000,5,FALSE)</f>
        <v/>
      </c>
      <c r="F2003" s="3">
        <f>+VLOOKUP($A2003,MAGAZZINO!$B$2:$M$100000,6,FALSE)</f>
        <v/>
      </c>
      <c r="G2003" s="3">
        <f>+VLOOKUP($A2003,MAGAZZINO!$B$2:$M$100000,7,FALSE)</f>
        <v/>
      </c>
      <c r="H2003" s="3">
        <f>+VLOOKUP($A2003,MAGAZZINO!$B$2:$M$100000,8,FALSE)</f>
        <v/>
      </c>
      <c r="I2003" s="3">
        <f>+VLOOKUP($A2003,MAGAZZINO!$B$2:$M$100000,9,FALSE)</f>
        <v/>
      </c>
      <c r="J2003" s="3">
        <f>+VLOOKUP($A2003,MAGAZZINO!$B$2:$M$100000,10,FALSE)</f>
        <v/>
      </c>
      <c r="K2003" s="3">
        <f>+VLOOKUP($A2003,MAGAZZINO!$B$2:$M$100000,11,FALSE)</f>
        <v/>
      </c>
      <c r="L2003" s="5">
        <f>+VLOOKUP($A2003,MAGAZZINO!$B$2:$M$100000,12,FALSE)</f>
        <v/>
      </c>
      <c r="M2003" s="47" t="n"/>
      <c r="N2003" s="88" t="n">
        <v>45965</v>
      </c>
      <c r="O2003" s="156" t="inlineStr">
        <is>
          <t>BIN HUMAID NATIONAL TRADING CO. (ARABIA SAUDITA)</t>
        </is>
      </c>
      <c r="P2003" s="155" t="inlineStr">
        <is>
          <t>IMPORT LICENSE N. 182480 DEL 08/01/2025                                                                                  AUT. ESPORTAZIONE MULTIPLA N. 6B/2025/2M RILASCIATA IL 26/05/2025                   (LICENZA DI SCARICO N. 6B/2025/5S RILASCIATA IL 29/10/2025)</t>
        </is>
      </c>
      <c r="Q2003" s="150" t="n"/>
      <c r="R2003" s="150" t="n"/>
      <c r="S2003" s="153" t="n"/>
    </row>
    <row r="2004" ht="36" customHeight="1">
      <c r="A2004" s="46" t="n">
        <v>4334</v>
      </c>
      <c r="B2004" s="4">
        <f>+VLOOKUP($A2004,MAGAZZINO!$B$2:$M$100000,2,FALSE)</f>
        <v/>
      </c>
      <c r="C2004" s="29">
        <f>+VLOOKUP($A2004,MAGAZZINO!$B$2:$M$100000,3,FALSE)</f>
        <v/>
      </c>
      <c r="D2004" s="3">
        <f>+VLOOKUP($A2004,MAGAZZINO!$B$2:$M$100000,4,FALSE)</f>
        <v/>
      </c>
      <c r="E2004" s="3">
        <f>+VLOOKUP($A2004,MAGAZZINO!$B$2:$M$100000,5,FALSE)</f>
        <v/>
      </c>
      <c r="F2004" s="3">
        <f>+VLOOKUP($A2004,MAGAZZINO!$B$2:$M$100000,6,FALSE)</f>
        <v/>
      </c>
      <c r="G2004" s="3">
        <f>+VLOOKUP($A2004,MAGAZZINO!$B$2:$M$100000,7,FALSE)</f>
        <v/>
      </c>
      <c r="H2004" s="3">
        <f>+VLOOKUP($A2004,MAGAZZINO!$B$2:$M$100000,8,FALSE)</f>
        <v/>
      </c>
      <c r="I2004" s="3">
        <f>+VLOOKUP($A2004,MAGAZZINO!$B$2:$M$100000,9,FALSE)</f>
        <v/>
      </c>
      <c r="J2004" s="3">
        <f>+VLOOKUP($A2004,MAGAZZINO!$B$2:$M$100000,10,FALSE)</f>
        <v/>
      </c>
      <c r="K2004" s="3">
        <f>+VLOOKUP($A2004,MAGAZZINO!$B$2:$M$100000,11,FALSE)</f>
        <v/>
      </c>
      <c r="L2004" s="5">
        <f>+VLOOKUP($A2004,MAGAZZINO!$B$2:$M$100000,12,FALSE)</f>
        <v/>
      </c>
      <c r="M2004" s="47" t="n"/>
      <c r="N2004" s="88" t="n">
        <v>45965</v>
      </c>
      <c r="O2004" s="156" t="inlineStr">
        <is>
          <t>BIN HUMAID NATIONAL TRADING CO. (ARABIA SAUDITA)</t>
        </is>
      </c>
      <c r="P2004" s="155" t="inlineStr">
        <is>
          <t>IMPORT LICENSE N. 182480 DEL 08/01/2025                                                                                  AUT. ESPORTAZIONE MULTIPLA N. 6B/2025/2M RILASCIATA IL 26/05/2025                   (LICENZA DI SCARICO N. 6B/2025/5S RILASCIATA IL 29/10/2025)</t>
        </is>
      </c>
      <c r="Q2004" s="150" t="n"/>
      <c r="R2004" s="150" t="n"/>
      <c r="S2004" s="153" t="n"/>
    </row>
    <row r="2005" ht="36" customHeight="1">
      <c r="A2005" s="46" t="n">
        <v>4335</v>
      </c>
      <c r="B2005" s="4">
        <f>+VLOOKUP($A2005,MAGAZZINO!$B$2:$M$100000,2,FALSE)</f>
        <v/>
      </c>
      <c r="C2005" s="29">
        <f>+VLOOKUP($A2005,MAGAZZINO!$B$2:$M$100000,3,FALSE)</f>
        <v/>
      </c>
      <c r="D2005" s="3">
        <f>+VLOOKUP($A2005,MAGAZZINO!$B$2:$M$100000,4,FALSE)</f>
        <v/>
      </c>
      <c r="E2005" s="3">
        <f>+VLOOKUP($A2005,MAGAZZINO!$B$2:$M$100000,5,FALSE)</f>
        <v/>
      </c>
      <c r="F2005" s="3">
        <f>+VLOOKUP($A2005,MAGAZZINO!$B$2:$M$100000,6,FALSE)</f>
        <v/>
      </c>
      <c r="G2005" s="3">
        <f>+VLOOKUP($A2005,MAGAZZINO!$B$2:$M$100000,7,FALSE)</f>
        <v/>
      </c>
      <c r="H2005" s="3">
        <f>+VLOOKUP($A2005,MAGAZZINO!$B$2:$M$100000,8,FALSE)</f>
        <v/>
      </c>
      <c r="I2005" s="3">
        <f>+VLOOKUP($A2005,MAGAZZINO!$B$2:$M$100000,9,FALSE)</f>
        <v/>
      </c>
      <c r="J2005" s="3">
        <f>+VLOOKUP($A2005,MAGAZZINO!$B$2:$M$100000,10,FALSE)</f>
        <v/>
      </c>
      <c r="K2005" s="3">
        <f>+VLOOKUP($A2005,MAGAZZINO!$B$2:$M$100000,11,FALSE)</f>
        <v/>
      </c>
      <c r="L2005" s="5">
        <f>+VLOOKUP($A2005,MAGAZZINO!$B$2:$M$100000,12,FALSE)</f>
        <v/>
      </c>
      <c r="M2005" s="47" t="n"/>
      <c r="N2005" s="88" t="n">
        <v>45965</v>
      </c>
      <c r="O2005" s="156" t="inlineStr">
        <is>
          <t>BIN HUMAID NATIONAL TRADING CO. (ARABIA SAUDITA)</t>
        </is>
      </c>
      <c r="P2005" s="155" t="inlineStr">
        <is>
          <t>IMPORT LICENSE N. 182480 DEL 08/01/2025                                                                                  AUT. ESPORTAZIONE MULTIPLA N. 6B/2025/2M RILASCIATA IL 26/05/2025                   (LICENZA DI SCARICO N. 6B/2025/5S RILASCIATA IL 29/10/2025)</t>
        </is>
      </c>
      <c r="Q2005" s="150" t="n"/>
      <c r="R2005" s="150" t="n"/>
      <c r="S2005" s="153" t="n"/>
    </row>
    <row r="2006" ht="36" customHeight="1">
      <c r="A2006" s="46" t="n">
        <v>4336</v>
      </c>
      <c r="B2006" s="4">
        <f>+VLOOKUP($A2006,MAGAZZINO!$B$2:$M$100000,2,FALSE)</f>
        <v/>
      </c>
      <c r="C2006" s="29">
        <f>+VLOOKUP($A2006,MAGAZZINO!$B$2:$M$100000,3,FALSE)</f>
        <v/>
      </c>
      <c r="D2006" s="3">
        <f>+VLOOKUP($A2006,MAGAZZINO!$B$2:$M$100000,4,FALSE)</f>
        <v/>
      </c>
      <c r="E2006" s="3">
        <f>+VLOOKUP($A2006,MAGAZZINO!$B$2:$M$100000,5,FALSE)</f>
        <v/>
      </c>
      <c r="F2006" s="3">
        <f>+VLOOKUP($A2006,MAGAZZINO!$B$2:$M$100000,6,FALSE)</f>
        <v/>
      </c>
      <c r="G2006" s="3">
        <f>+VLOOKUP($A2006,MAGAZZINO!$B$2:$M$100000,7,FALSE)</f>
        <v/>
      </c>
      <c r="H2006" s="3">
        <f>+VLOOKUP($A2006,MAGAZZINO!$B$2:$M$100000,8,FALSE)</f>
        <v/>
      </c>
      <c r="I2006" s="3">
        <f>+VLOOKUP($A2006,MAGAZZINO!$B$2:$M$100000,9,FALSE)</f>
        <v/>
      </c>
      <c r="J2006" s="3">
        <f>+VLOOKUP($A2006,MAGAZZINO!$B$2:$M$100000,10,FALSE)</f>
        <v/>
      </c>
      <c r="K2006" s="3">
        <f>+VLOOKUP($A2006,MAGAZZINO!$B$2:$M$100000,11,FALSE)</f>
        <v/>
      </c>
      <c r="L2006" s="5">
        <f>+VLOOKUP($A2006,MAGAZZINO!$B$2:$M$100000,12,FALSE)</f>
        <v/>
      </c>
      <c r="M2006" s="47" t="n"/>
      <c r="N2006" s="88" t="n">
        <v>45965</v>
      </c>
      <c r="O2006" s="156" t="inlineStr">
        <is>
          <t>BIN HUMAID NATIONAL TRADING CO. (ARABIA SAUDITA)</t>
        </is>
      </c>
      <c r="P2006" s="155" t="inlineStr">
        <is>
          <t>IMPORT LICENSE N. 182480 DEL 08/01/2025                                                                                  AUT. ESPORTAZIONE MULTIPLA N. 6B/2025/2M RILASCIATA IL 26/05/2025                   (LICENZA DI SCARICO N. 6B/2025/5S RILASCIATA IL 29/10/2025)</t>
        </is>
      </c>
      <c r="Q2006" s="150" t="n"/>
      <c r="R2006" s="150" t="n"/>
      <c r="S2006" s="153" t="n"/>
    </row>
    <row r="2007" ht="36" customHeight="1">
      <c r="A2007" s="46" t="n">
        <v>4337</v>
      </c>
      <c r="B2007" s="4">
        <f>+VLOOKUP($A2007,MAGAZZINO!$B$2:$M$100000,2,FALSE)</f>
        <v/>
      </c>
      <c r="C2007" s="29">
        <f>+VLOOKUP($A2007,MAGAZZINO!$B$2:$M$100000,3,FALSE)</f>
        <v/>
      </c>
      <c r="D2007" s="3">
        <f>+VLOOKUP($A2007,MAGAZZINO!$B$2:$M$100000,4,FALSE)</f>
        <v/>
      </c>
      <c r="E2007" s="3">
        <f>+VLOOKUP($A2007,MAGAZZINO!$B$2:$M$100000,5,FALSE)</f>
        <v/>
      </c>
      <c r="F2007" s="3">
        <f>+VLOOKUP($A2007,MAGAZZINO!$B$2:$M$100000,6,FALSE)</f>
        <v/>
      </c>
      <c r="G2007" s="3">
        <f>+VLOOKUP($A2007,MAGAZZINO!$B$2:$M$100000,7,FALSE)</f>
        <v/>
      </c>
      <c r="H2007" s="3">
        <f>+VLOOKUP($A2007,MAGAZZINO!$B$2:$M$100000,8,FALSE)</f>
        <v/>
      </c>
      <c r="I2007" s="3">
        <f>+VLOOKUP($A2007,MAGAZZINO!$B$2:$M$100000,9,FALSE)</f>
        <v/>
      </c>
      <c r="J2007" s="3">
        <f>+VLOOKUP($A2007,MAGAZZINO!$B$2:$M$100000,10,FALSE)</f>
        <v/>
      </c>
      <c r="K2007" s="3">
        <f>+VLOOKUP($A2007,MAGAZZINO!$B$2:$M$100000,11,FALSE)</f>
        <v/>
      </c>
      <c r="L2007" s="5">
        <f>+VLOOKUP($A2007,MAGAZZINO!$B$2:$M$100000,12,FALSE)</f>
        <v/>
      </c>
      <c r="M2007" s="47" t="n"/>
      <c r="N2007" s="88" t="n">
        <v>45965</v>
      </c>
      <c r="O2007" s="156" t="inlineStr">
        <is>
          <t>BIN HUMAID NATIONAL TRADING CO. (ARABIA SAUDITA)</t>
        </is>
      </c>
      <c r="P2007" s="155" t="inlineStr">
        <is>
          <t>IMPORT LICENSE N. 182480 DEL 08/01/2025                                                                                  AUT. ESPORTAZIONE MULTIPLA N. 6B/2025/2M RILASCIATA IL 26/05/2025                   (LICENZA DI SCARICO N. 6B/2025/5S RILASCIATA IL 29/10/2025)</t>
        </is>
      </c>
      <c r="Q2007" s="150" t="n"/>
      <c r="R2007" s="150" t="n"/>
      <c r="S2007" s="153" t="n"/>
    </row>
    <row r="2008" ht="36" customHeight="1">
      <c r="A2008" s="46" t="n">
        <v>4338</v>
      </c>
      <c r="B2008" s="4">
        <f>+VLOOKUP($A2008,MAGAZZINO!$B$2:$M$100000,2,FALSE)</f>
        <v/>
      </c>
      <c r="C2008" s="29">
        <f>+VLOOKUP($A2008,MAGAZZINO!$B$2:$M$100000,3,FALSE)</f>
        <v/>
      </c>
      <c r="D2008" s="3">
        <f>+VLOOKUP($A2008,MAGAZZINO!$B$2:$M$100000,4,FALSE)</f>
        <v/>
      </c>
      <c r="E2008" s="3">
        <f>+VLOOKUP($A2008,MAGAZZINO!$B$2:$M$100000,5,FALSE)</f>
        <v/>
      </c>
      <c r="F2008" s="3">
        <f>+VLOOKUP($A2008,MAGAZZINO!$B$2:$M$100000,6,FALSE)</f>
        <v/>
      </c>
      <c r="G2008" s="3">
        <f>+VLOOKUP($A2008,MAGAZZINO!$B$2:$M$100000,7,FALSE)</f>
        <v/>
      </c>
      <c r="H2008" s="3">
        <f>+VLOOKUP($A2008,MAGAZZINO!$B$2:$M$100000,8,FALSE)</f>
        <v/>
      </c>
      <c r="I2008" s="3">
        <f>+VLOOKUP($A2008,MAGAZZINO!$B$2:$M$100000,9,FALSE)</f>
        <v/>
      </c>
      <c r="J2008" s="3">
        <f>+VLOOKUP($A2008,MAGAZZINO!$B$2:$M$100000,10,FALSE)</f>
        <v/>
      </c>
      <c r="K2008" s="3">
        <f>+VLOOKUP($A2008,MAGAZZINO!$B$2:$M$100000,11,FALSE)</f>
        <v/>
      </c>
      <c r="L2008" s="5">
        <f>+VLOOKUP($A2008,MAGAZZINO!$B$2:$M$100000,12,FALSE)</f>
        <v/>
      </c>
      <c r="M2008" s="47" t="n"/>
      <c r="N2008" s="88" t="n">
        <v>45965</v>
      </c>
      <c r="O2008" s="156" t="inlineStr">
        <is>
          <t>BIN HUMAID NATIONAL TRADING CO. (ARABIA SAUDITA)</t>
        </is>
      </c>
      <c r="P2008" s="155" t="inlineStr">
        <is>
          <t>IMPORT LICENSE N. 182480 DEL 08/01/2025                                                                                  AUT. ESPORTAZIONE MULTIPLA N. 6B/2025/2M RILASCIATA IL 26/05/2025                   (LICENZA DI SCARICO N. 6B/2025/5S RILASCIATA IL 29/10/2025)</t>
        </is>
      </c>
      <c r="Q2008" s="150" t="n"/>
      <c r="R2008" s="150" t="n"/>
      <c r="S2008" s="153" t="n"/>
    </row>
    <row r="2009" ht="36" customHeight="1">
      <c r="A2009" s="46" t="n">
        <v>4339</v>
      </c>
      <c r="B2009" s="4">
        <f>+VLOOKUP($A2009,MAGAZZINO!$B$2:$M$100000,2,FALSE)</f>
        <v/>
      </c>
      <c r="C2009" s="29">
        <f>+VLOOKUP($A2009,MAGAZZINO!$B$2:$M$100000,3,FALSE)</f>
        <v/>
      </c>
      <c r="D2009" s="3">
        <f>+VLOOKUP($A2009,MAGAZZINO!$B$2:$M$100000,4,FALSE)</f>
        <v/>
      </c>
      <c r="E2009" s="3">
        <f>+VLOOKUP($A2009,MAGAZZINO!$B$2:$M$100000,5,FALSE)</f>
        <v/>
      </c>
      <c r="F2009" s="3">
        <f>+VLOOKUP($A2009,MAGAZZINO!$B$2:$M$100000,6,FALSE)</f>
        <v/>
      </c>
      <c r="G2009" s="3">
        <f>+VLOOKUP($A2009,MAGAZZINO!$B$2:$M$100000,7,FALSE)</f>
        <v/>
      </c>
      <c r="H2009" s="3">
        <f>+VLOOKUP($A2009,MAGAZZINO!$B$2:$M$100000,8,FALSE)</f>
        <v/>
      </c>
      <c r="I2009" s="3">
        <f>+VLOOKUP($A2009,MAGAZZINO!$B$2:$M$100000,9,FALSE)</f>
        <v/>
      </c>
      <c r="J2009" s="3">
        <f>+VLOOKUP($A2009,MAGAZZINO!$B$2:$M$100000,10,FALSE)</f>
        <v/>
      </c>
      <c r="K2009" s="3">
        <f>+VLOOKUP($A2009,MAGAZZINO!$B$2:$M$100000,11,FALSE)</f>
        <v/>
      </c>
      <c r="L2009" s="5">
        <f>+VLOOKUP($A2009,MAGAZZINO!$B$2:$M$100000,12,FALSE)</f>
        <v/>
      </c>
      <c r="M2009" s="47" t="n"/>
      <c r="N2009" s="88" t="n">
        <v>45965</v>
      </c>
      <c r="O2009" s="156" t="inlineStr">
        <is>
          <t>BIN HUMAID NATIONAL TRADING CO. (ARABIA SAUDITA)</t>
        </is>
      </c>
      <c r="P2009" s="155" t="inlineStr">
        <is>
          <t>IMPORT LICENSE N. 182480 DEL 08/01/2025                                                                                  AUT. ESPORTAZIONE MULTIPLA N. 6B/2025/2M RILASCIATA IL 26/05/2025                   (LICENZA DI SCARICO N. 6B/2025/5S RILASCIATA IL 29/10/2025)</t>
        </is>
      </c>
      <c r="Q2009" s="150" t="n"/>
      <c r="R2009" s="150" t="n"/>
      <c r="S2009" s="153" t="n"/>
    </row>
    <row r="2010" ht="36" customHeight="1">
      <c r="A2010" s="46" t="n">
        <v>4340</v>
      </c>
      <c r="B2010" s="4">
        <f>+VLOOKUP($A2010,MAGAZZINO!$B$2:$M$100000,2,FALSE)</f>
        <v/>
      </c>
      <c r="C2010" s="29">
        <f>+VLOOKUP($A2010,MAGAZZINO!$B$2:$M$100000,3,FALSE)</f>
        <v/>
      </c>
      <c r="D2010" s="3">
        <f>+VLOOKUP($A2010,MAGAZZINO!$B$2:$M$100000,4,FALSE)</f>
        <v/>
      </c>
      <c r="E2010" s="3">
        <f>+VLOOKUP($A2010,MAGAZZINO!$B$2:$M$100000,5,FALSE)</f>
        <v/>
      </c>
      <c r="F2010" s="3">
        <f>+VLOOKUP($A2010,MAGAZZINO!$B$2:$M$100000,6,FALSE)</f>
        <v/>
      </c>
      <c r="G2010" s="3">
        <f>+VLOOKUP($A2010,MAGAZZINO!$B$2:$M$100000,7,FALSE)</f>
        <v/>
      </c>
      <c r="H2010" s="3">
        <f>+VLOOKUP($A2010,MAGAZZINO!$B$2:$M$100000,8,FALSE)</f>
        <v/>
      </c>
      <c r="I2010" s="3">
        <f>+VLOOKUP($A2010,MAGAZZINO!$B$2:$M$100000,9,FALSE)</f>
        <v/>
      </c>
      <c r="J2010" s="3">
        <f>+VLOOKUP($A2010,MAGAZZINO!$B$2:$M$100000,10,FALSE)</f>
        <v/>
      </c>
      <c r="K2010" s="3">
        <f>+VLOOKUP($A2010,MAGAZZINO!$B$2:$M$100000,11,FALSE)</f>
        <v/>
      </c>
      <c r="L2010" s="5">
        <f>+VLOOKUP($A2010,MAGAZZINO!$B$2:$M$100000,12,FALSE)</f>
        <v/>
      </c>
      <c r="M2010" s="47" t="n"/>
      <c r="N2010" s="88" t="n">
        <v>45965</v>
      </c>
      <c r="O2010" s="156" t="inlineStr">
        <is>
          <t>BIN HUMAID NATIONAL TRADING CO. (ARABIA SAUDITA)</t>
        </is>
      </c>
      <c r="P2010" s="155" t="inlineStr">
        <is>
          <t>IMPORT LICENSE N. 182480 DEL 08/01/2025                                                                                  AUT. ESPORTAZIONE MULTIPLA N. 6B/2025/2M RILASCIATA IL 26/05/2025                   (LICENZA DI SCARICO N. 6B/2025/5S RILASCIATA IL 29/10/2025)</t>
        </is>
      </c>
      <c r="Q2010" s="150" t="n"/>
      <c r="R2010" s="150" t="n"/>
      <c r="S2010" s="153" t="n"/>
    </row>
    <row r="2011" ht="36" customHeight="1">
      <c r="A2011" s="46" t="n">
        <v>4341</v>
      </c>
      <c r="B2011" s="4">
        <f>+VLOOKUP($A2011,MAGAZZINO!$B$2:$M$100000,2,FALSE)</f>
        <v/>
      </c>
      <c r="C2011" s="29">
        <f>+VLOOKUP($A2011,MAGAZZINO!$B$2:$M$100000,3,FALSE)</f>
        <v/>
      </c>
      <c r="D2011" s="3">
        <f>+VLOOKUP($A2011,MAGAZZINO!$B$2:$M$100000,4,FALSE)</f>
        <v/>
      </c>
      <c r="E2011" s="3">
        <f>+VLOOKUP($A2011,MAGAZZINO!$B$2:$M$100000,5,FALSE)</f>
        <v/>
      </c>
      <c r="F2011" s="3">
        <f>+VLOOKUP($A2011,MAGAZZINO!$B$2:$M$100000,6,FALSE)</f>
        <v/>
      </c>
      <c r="G2011" s="3">
        <f>+VLOOKUP($A2011,MAGAZZINO!$B$2:$M$100000,7,FALSE)</f>
        <v/>
      </c>
      <c r="H2011" s="3">
        <f>+VLOOKUP($A2011,MAGAZZINO!$B$2:$M$100000,8,FALSE)</f>
        <v/>
      </c>
      <c r="I2011" s="3">
        <f>+VLOOKUP($A2011,MAGAZZINO!$B$2:$M$100000,9,FALSE)</f>
        <v/>
      </c>
      <c r="J2011" s="3">
        <f>+VLOOKUP($A2011,MAGAZZINO!$B$2:$M$100000,10,FALSE)</f>
        <v/>
      </c>
      <c r="K2011" s="3">
        <f>+VLOOKUP($A2011,MAGAZZINO!$B$2:$M$100000,11,FALSE)</f>
        <v/>
      </c>
      <c r="L2011" s="5">
        <f>+VLOOKUP($A2011,MAGAZZINO!$B$2:$M$100000,12,FALSE)</f>
        <v/>
      </c>
      <c r="M2011" s="47" t="n"/>
      <c r="N2011" s="88" t="n">
        <v>45965</v>
      </c>
      <c r="O2011" s="156" t="inlineStr">
        <is>
          <t>BIN HUMAID NATIONAL TRADING CO. (ARABIA SAUDITA)</t>
        </is>
      </c>
      <c r="P2011" s="155" t="inlineStr">
        <is>
          <t>IMPORT LICENSE N. 182480 DEL 08/01/2025                                                                                  AUT. ESPORTAZIONE MULTIPLA N. 6B/2025/2M RILASCIATA IL 26/05/2025                   (LICENZA DI SCARICO N. 6B/2025/5S RILASCIATA IL 29/10/2025)</t>
        </is>
      </c>
      <c r="Q2011" s="150" t="n"/>
      <c r="R2011" s="150" t="n"/>
      <c r="S2011" s="153" t="n"/>
    </row>
    <row r="2012" ht="36" customHeight="1">
      <c r="A2012" s="46" t="n">
        <v>4342</v>
      </c>
      <c r="B2012" s="4">
        <f>+VLOOKUP($A2012,MAGAZZINO!$B$2:$M$100000,2,FALSE)</f>
        <v/>
      </c>
      <c r="C2012" s="29">
        <f>+VLOOKUP($A2012,MAGAZZINO!$B$2:$M$100000,3,FALSE)</f>
        <v/>
      </c>
      <c r="D2012" s="3">
        <f>+VLOOKUP($A2012,MAGAZZINO!$B$2:$M$100000,4,FALSE)</f>
        <v/>
      </c>
      <c r="E2012" s="3">
        <f>+VLOOKUP($A2012,MAGAZZINO!$B$2:$M$100000,5,FALSE)</f>
        <v/>
      </c>
      <c r="F2012" s="3">
        <f>+VLOOKUP($A2012,MAGAZZINO!$B$2:$M$100000,6,FALSE)</f>
        <v/>
      </c>
      <c r="G2012" s="3">
        <f>+VLOOKUP($A2012,MAGAZZINO!$B$2:$M$100000,7,FALSE)</f>
        <v/>
      </c>
      <c r="H2012" s="3">
        <f>+VLOOKUP($A2012,MAGAZZINO!$B$2:$M$100000,8,FALSE)</f>
        <v/>
      </c>
      <c r="I2012" s="3">
        <f>+VLOOKUP($A2012,MAGAZZINO!$B$2:$M$100000,9,FALSE)</f>
        <v/>
      </c>
      <c r="J2012" s="3">
        <f>+VLOOKUP($A2012,MAGAZZINO!$B$2:$M$100000,10,FALSE)</f>
        <v/>
      </c>
      <c r="K2012" s="3">
        <f>+VLOOKUP($A2012,MAGAZZINO!$B$2:$M$100000,11,FALSE)</f>
        <v/>
      </c>
      <c r="L2012" s="5">
        <f>+VLOOKUP($A2012,MAGAZZINO!$B$2:$M$100000,12,FALSE)</f>
        <v/>
      </c>
      <c r="M2012" s="47" t="n"/>
      <c r="N2012" s="88" t="n">
        <v>45965</v>
      </c>
      <c r="O2012" s="156" t="inlineStr">
        <is>
          <t>BIN HUMAID NATIONAL TRADING CO. (ARABIA SAUDITA)</t>
        </is>
      </c>
      <c r="P2012" s="155" t="inlineStr">
        <is>
          <t>IMPORT LICENSE N. 182480 DEL 08/01/2025                                                                                  AUT. ESPORTAZIONE MULTIPLA N. 6B/2025/2M RILASCIATA IL 26/05/2025                   (LICENZA DI SCARICO N. 6B/2025/5S RILASCIATA IL 29/10/2025)</t>
        </is>
      </c>
      <c r="Q2012" s="150" t="n"/>
      <c r="R2012" s="150" t="n"/>
      <c r="S2012" s="153" t="n"/>
    </row>
    <row r="2013" ht="36" customHeight="1">
      <c r="A2013" s="46" t="n">
        <v>4343</v>
      </c>
      <c r="B2013" s="4">
        <f>+VLOOKUP($A2013,MAGAZZINO!$B$2:$M$100000,2,FALSE)</f>
        <v/>
      </c>
      <c r="C2013" s="29">
        <f>+VLOOKUP($A2013,MAGAZZINO!$B$2:$M$100000,3,FALSE)</f>
        <v/>
      </c>
      <c r="D2013" s="3">
        <f>+VLOOKUP($A2013,MAGAZZINO!$B$2:$M$100000,4,FALSE)</f>
        <v/>
      </c>
      <c r="E2013" s="3">
        <f>+VLOOKUP($A2013,MAGAZZINO!$B$2:$M$100000,5,FALSE)</f>
        <v/>
      </c>
      <c r="F2013" s="3">
        <f>+VLOOKUP($A2013,MAGAZZINO!$B$2:$M$100000,6,FALSE)</f>
        <v/>
      </c>
      <c r="G2013" s="3">
        <f>+VLOOKUP($A2013,MAGAZZINO!$B$2:$M$100000,7,FALSE)</f>
        <v/>
      </c>
      <c r="H2013" s="3">
        <f>+VLOOKUP($A2013,MAGAZZINO!$B$2:$M$100000,8,FALSE)</f>
        <v/>
      </c>
      <c r="I2013" s="3">
        <f>+VLOOKUP($A2013,MAGAZZINO!$B$2:$M$100000,9,FALSE)</f>
        <v/>
      </c>
      <c r="J2013" s="3">
        <f>+VLOOKUP($A2013,MAGAZZINO!$B$2:$M$100000,10,FALSE)</f>
        <v/>
      </c>
      <c r="K2013" s="3">
        <f>+VLOOKUP($A2013,MAGAZZINO!$B$2:$M$100000,11,FALSE)</f>
        <v/>
      </c>
      <c r="L2013" s="5">
        <f>+VLOOKUP($A2013,MAGAZZINO!$B$2:$M$100000,12,FALSE)</f>
        <v/>
      </c>
      <c r="M2013" s="47" t="n"/>
      <c r="N2013" s="88" t="n">
        <v>45965</v>
      </c>
      <c r="O2013" s="156" t="inlineStr">
        <is>
          <t>BIN HUMAID NATIONAL TRADING CO. (ARABIA SAUDITA)</t>
        </is>
      </c>
      <c r="P2013" s="155" t="inlineStr">
        <is>
          <t>IMPORT LICENSE N. 182480 DEL 08/01/2025                                                                                  AUT. ESPORTAZIONE MULTIPLA N. 6B/2025/2M RILASCIATA IL 26/05/2025                   (LICENZA DI SCARICO N. 6B/2025/5S RILASCIATA IL 29/10/2025)</t>
        </is>
      </c>
      <c r="Q2013" s="150" t="n"/>
      <c r="R2013" s="150" t="n"/>
      <c r="S2013" s="153" t="n"/>
    </row>
    <row r="2014" ht="36" customHeight="1">
      <c r="A2014" s="46" t="n">
        <v>4344</v>
      </c>
      <c r="B2014" s="4">
        <f>+VLOOKUP($A2014,MAGAZZINO!$B$2:$M$100000,2,FALSE)</f>
        <v/>
      </c>
      <c r="C2014" s="29">
        <f>+VLOOKUP($A2014,MAGAZZINO!$B$2:$M$100000,3,FALSE)</f>
        <v/>
      </c>
      <c r="D2014" s="3">
        <f>+VLOOKUP($A2014,MAGAZZINO!$B$2:$M$100000,4,FALSE)</f>
        <v/>
      </c>
      <c r="E2014" s="3">
        <f>+VLOOKUP($A2014,MAGAZZINO!$B$2:$M$100000,5,FALSE)</f>
        <v/>
      </c>
      <c r="F2014" s="3">
        <f>+VLOOKUP($A2014,MAGAZZINO!$B$2:$M$100000,6,FALSE)</f>
        <v/>
      </c>
      <c r="G2014" s="3">
        <f>+VLOOKUP($A2014,MAGAZZINO!$B$2:$M$100000,7,FALSE)</f>
        <v/>
      </c>
      <c r="H2014" s="3">
        <f>+VLOOKUP($A2014,MAGAZZINO!$B$2:$M$100000,8,FALSE)</f>
        <v/>
      </c>
      <c r="I2014" s="3">
        <f>+VLOOKUP($A2014,MAGAZZINO!$B$2:$M$100000,9,FALSE)</f>
        <v/>
      </c>
      <c r="J2014" s="3">
        <f>+VLOOKUP($A2014,MAGAZZINO!$B$2:$M$100000,10,FALSE)</f>
        <v/>
      </c>
      <c r="K2014" s="3">
        <f>+VLOOKUP($A2014,MAGAZZINO!$B$2:$M$100000,11,FALSE)</f>
        <v/>
      </c>
      <c r="L2014" s="5">
        <f>+VLOOKUP($A2014,MAGAZZINO!$B$2:$M$100000,12,FALSE)</f>
        <v/>
      </c>
      <c r="M2014" s="47" t="n"/>
      <c r="N2014" s="88" t="n">
        <v>45965</v>
      </c>
      <c r="O2014" s="156" t="inlineStr">
        <is>
          <t>BIN HUMAID NATIONAL TRADING CO. (ARABIA SAUDITA)</t>
        </is>
      </c>
      <c r="P2014" s="155" t="inlineStr">
        <is>
          <t>IMPORT LICENSE N. 182480 DEL 08/01/2025                                                                                  AUT. ESPORTAZIONE MULTIPLA N. 6B/2025/2M RILASCIATA IL 26/05/2025                   (LICENZA DI SCARICO N. 6B/2025/5S RILASCIATA IL 29/10/2025)</t>
        </is>
      </c>
      <c r="Q2014" s="150" t="n"/>
      <c r="R2014" s="150" t="n"/>
      <c r="S2014" s="153" t="n"/>
    </row>
    <row r="2015" ht="36" customHeight="1">
      <c r="A2015" s="46" t="n">
        <v>4345</v>
      </c>
      <c r="B2015" s="4">
        <f>+VLOOKUP($A2015,MAGAZZINO!$B$2:$M$100000,2,FALSE)</f>
        <v/>
      </c>
      <c r="C2015" s="29">
        <f>+VLOOKUP($A2015,MAGAZZINO!$B$2:$M$100000,3,FALSE)</f>
        <v/>
      </c>
      <c r="D2015" s="3">
        <f>+VLOOKUP($A2015,MAGAZZINO!$B$2:$M$100000,4,FALSE)</f>
        <v/>
      </c>
      <c r="E2015" s="3">
        <f>+VLOOKUP($A2015,MAGAZZINO!$B$2:$M$100000,5,FALSE)</f>
        <v/>
      </c>
      <c r="F2015" s="3">
        <f>+VLOOKUP($A2015,MAGAZZINO!$B$2:$M$100000,6,FALSE)</f>
        <v/>
      </c>
      <c r="G2015" s="3">
        <f>+VLOOKUP($A2015,MAGAZZINO!$B$2:$M$100000,7,FALSE)</f>
        <v/>
      </c>
      <c r="H2015" s="3">
        <f>+VLOOKUP($A2015,MAGAZZINO!$B$2:$M$100000,8,FALSE)</f>
        <v/>
      </c>
      <c r="I2015" s="3">
        <f>+VLOOKUP($A2015,MAGAZZINO!$B$2:$M$100000,9,FALSE)</f>
        <v/>
      </c>
      <c r="J2015" s="3">
        <f>+VLOOKUP($A2015,MAGAZZINO!$B$2:$M$100000,10,FALSE)</f>
        <v/>
      </c>
      <c r="K2015" s="3">
        <f>+VLOOKUP($A2015,MAGAZZINO!$B$2:$M$100000,11,FALSE)</f>
        <v/>
      </c>
      <c r="L2015" s="5">
        <f>+VLOOKUP($A2015,MAGAZZINO!$B$2:$M$100000,12,FALSE)</f>
        <v/>
      </c>
      <c r="M2015" s="47" t="n"/>
      <c r="N2015" s="88" t="n">
        <v>45965</v>
      </c>
      <c r="O2015" s="156" t="inlineStr">
        <is>
          <t>BIN HUMAID NATIONAL TRADING CO. (ARABIA SAUDITA)</t>
        </is>
      </c>
      <c r="P2015" s="155" t="inlineStr">
        <is>
          <t>IMPORT LICENSE N. 182480 DEL 08/01/2025                                                                                  AUT. ESPORTAZIONE MULTIPLA N. 6B/2025/2M RILASCIATA IL 26/05/2025                   (LICENZA DI SCARICO N. 6B/2025/5S RILASCIATA IL 29/10/2025)</t>
        </is>
      </c>
      <c r="Q2015" s="150" t="n"/>
      <c r="R2015" s="150" t="n"/>
      <c r="S2015" s="153" t="n"/>
    </row>
    <row r="2016" ht="36" customHeight="1">
      <c r="A2016" s="46" t="n">
        <v>4346</v>
      </c>
      <c r="B2016" s="4">
        <f>+VLOOKUP($A2016,MAGAZZINO!$B$2:$M$100000,2,FALSE)</f>
        <v/>
      </c>
      <c r="C2016" s="29">
        <f>+VLOOKUP($A2016,MAGAZZINO!$B$2:$M$100000,3,FALSE)</f>
        <v/>
      </c>
      <c r="D2016" s="3">
        <f>+VLOOKUP($A2016,MAGAZZINO!$B$2:$M$100000,4,FALSE)</f>
        <v/>
      </c>
      <c r="E2016" s="3">
        <f>+VLOOKUP($A2016,MAGAZZINO!$B$2:$M$100000,5,FALSE)</f>
        <v/>
      </c>
      <c r="F2016" s="3">
        <f>+VLOOKUP($A2016,MAGAZZINO!$B$2:$M$100000,6,FALSE)</f>
        <v/>
      </c>
      <c r="G2016" s="3">
        <f>+VLOOKUP($A2016,MAGAZZINO!$B$2:$M$100000,7,FALSE)</f>
        <v/>
      </c>
      <c r="H2016" s="3">
        <f>+VLOOKUP($A2016,MAGAZZINO!$B$2:$M$100000,8,FALSE)</f>
        <v/>
      </c>
      <c r="I2016" s="3">
        <f>+VLOOKUP($A2016,MAGAZZINO!$B$2:$M$100000,9,FALSE)</f>
        <v/>
      </c>
      <c r="J2016" s="3">
        <f>+VLOOKUP($A2016,MAGAZZINO!$B$2:$M$100000,10,FALSE)</f>
        <v/>
      </c>
      <c r="K2016" s="3">
        <f>+VLOOKUP($A2016,MAGAZZINO!$B$2:$M$100000,11,FALSE)</f>
        <v/>
      </c>
      <c r="L2016" s="5">
        <f>+VLOOKUP($A2016,MAGAZZINO!$B$2:$M$100000,12,FALSE)</f>
        <v/>
      </c>
      <c r="M2016" s="47" t="n"/>
      <c r="N2016" s="88" t="n">
        <v>45965</v>
      </c>
      <c r="O2016" s="156" t="inlineStr">
        <is>
          <t>BIN HUMAID NATIONAL TRADING CO. (ARABIA SAUDITA)</t>
        </is>
      </c>
      <c r="P2016" s="155" t="inlineStr">
        <is>
          <t>IMPORT LICENSE N. 182480 DEL 08/01/2025                                                                                  AUT. ESPORTAZIONE MULTIPLA N. 6B/2025/2M RILASCIATA IL 26/05/2025                   (LICENZA DI SCARICO N. 6B/2025/5S RILASCIATA IL 29/10/2025)</t>
        </is>
      </c>
      <c r="Q2016" s="150" t="n"/>
      <c r="R2016" s="150" t="n"/>
      <c r="S2016" s="153" t="n"/>
    </row>
    <row r="2017" ht="36" customHeight="1">
      <c r="A2017" s="46" t="n">
        <v>4347</v>
      </c>
      <c r="B2017" s="4">
        <f>+VLOOKUP($A2017,MAGAZZINO!$B$2:$M$100000,2,FALSE)</f>
        <v/>
      </c>
      <c r="C2017" s="29">
        <f>+VLOOKUP($A2017,MAGAZZINO!$B$2:$M$100000,3,FALSE)</f>
        <v/>
      </c>
      <c r="D2017" s="3">
        <f>+VLOOKUP($A2017,MAGAZZINO!$B$2:$M$100000,4,FALSE)</f>
        <v/>
      </c>
      <c r="E2017" s="3">
        <f>+VLOOKUP($A2017,MAGAZZINO!$B$2:$M$100000,5,FALSE)</f>
        <v/>
      </c>
      <c r="F2017" s="3">
        <f>+VLOOKUP($A2017,MAGAZZINO!$B$2:$M$100000,6,FALSE)</f>
        <v/>
      </c>
      <c r="G2017" s="3">
        <f>+VLOOKUP($A2017,MAGAZZINO!$B$2:$M$100000,7,FALSE)</f>
        <v/>
      </c>
      <c r="H2017" s="3">
        <f>+VLOOKUP($A2017,MAGAZZINO!$B$2:$M$100000,8,FALSE)</f>
        <v/>
      </c>
      <c r="I2017" s="3">
        <f>+VLOOKUP($A2017,MAGAZZINO!$B$2:$M$100000,9,FALSE)</f>
        <v/>
      </c>
      <c r="J2017" s="3">
        <f>+VLOOKUP($A2017,MAGAZZINO!$B$2:$M$100000,10,FALSE)</f>
        <v/>
      </c>
      <c r="K2017" s="3">
        <f>+VLOOKUP($A2017,MAGAZZINO!$B$2:$M$100000,11,FALSE)</f>
        <v/>
      </c>
      <c r="L2017" s="5">
        <f>+VLOOKUP($A2017,MAGAZZINO!$B$2:$M$100000,12,FALSE)</f>
        <v/>
      </c>
      <c r="M2017" s="47" t="n"/>
      <c r="N2017" s="88" t="n">
        <v>45965</v>
      </c>
      <c r="O2017" s="156" t="inlineStr">
        <is>
          <t>BIN HUMAID NATIONAL TRADING CO. (ARABIA SAUDITA)</t>
        </is>
      </c>
      <c r="P2017" s="155" t="inlineStr">
        <is>
          <t>IMPORT LICENSE N. 182480 DEL 08/01/2025                                                                                  AUT. ESPORTAZIONE MULTIPLA N. 6B/2025/2M RILASCIATA IL 26/05/2025                   (LICENZA DI SCARICO N. 6B/2025/5S RILASCIATA IL 29/10/2025)</t>
        </is>
      </c>
      <c r="Q2017" s="150" t="n"/>
      <c r="R2017" s="150" t="n"/>
      <c r="S2017" s="153" t="n"/>
    </row>
    <row r="2018" ht="36" customHeight="1">
      <c r="A2018" s="46" t="n">
        <v>4348</v>
      </c>
      <c r="B2018" s="4">
        <f>+VLOOKUP($A2018,MAGAZZINO!$B$2:$M$100000,2,FALSE)</f>
        <v/>
      </c>
      <c r="C2018" s="29">
        <f>+VLOOKUP($A2018,MAGAZZINO!$B$2:$M$100000,3,FALSE)</f>
        <v/>
      </c>
      <c r="D2018" s="3">
        <f>+VLOOKUP($A2018,MAGAZZINO!$B$2:$M$100000,4,FALSE)</f>
        <v/>
      </c>
      <c r="E2018" s="3">
        <f>+VLOOKUP($A2018,MAGAZZINO!$B$2:$M$100000,5,FALSE)</f>
        <v/>
      </c>
      <c r="F2018" s="3">
        <f>+VLOOKUP($A2018,MAGAZZINO!$B$2:$M$100000,6,FALSE)</f>
        <v/>
      </c>
      <c r="G2018" s="3">
        <f>+VLOOKUP($A2018,MAGAZZINO!$B$2:$M$100000,7,FALSE)</f>
        <v/>
      </c>
      <c r="H2018" s="3">
        <f>+VLOOKUP($A2018,MAGAZZINO!$B$2:$M$100000,8,FALSE)</f>
        <v/>
      </c>
      <c r="I2018" s="3">
        <f>+VLOOKUP($A2018,MAGAZZINO!$B$2:$M$100000,9,FALSE)</f>
        <v/>
      </c>
      <c r="J2018" s="3">
        <f>+VLOOKUP($A2018,MAGAZZINO!$B$2:$M$100000,10,FALSE)</f>
        <v/>
      </c>
      <c r="K2018" s="3">
        <f>+VLOOKUP($A2018,MAGAZZINO!$B$2:$M$100000,11,FALSE)</f>
        <v/>
      </c>
      <c r="L2018" s="5">
        <f>+VLOOKUP($A2018,MAGAZZINO!$B$2:$M$100000,12,FALSE)</f>
        <v/>
      </c>
      <c r="M2018" s="47" t="n"/>
      <c r="N2018" s="88" t="n">
        <v>45965</v>
      </c>
      <c r="O2018" s="156" t="inlineStr">
        <is>
          <t>BIN HUMAID NATIONAL TRADING CO. (ARABIA SAUDITA)</t>
        </is>
      </c>
      <c r="P2018" s="155" t="inlineStr">
        <is>
          <t>IMPORT LICENSE N. 182480 DEL 08/01/2025                                                                                  AUT. ESPORTAZIONE MULTIPLA N. 6B/2025/2M RILASCIATA IL 26/05/2025                   (LICENZA DI SCARICO N. 6B/2025/5S RILASCIATA IL 29/10/2025)</t>
        </is>
      </c>
      <c r="Q2018" s="150" t="n"/>
      <c r="R2018" s="150" t="n"/>
      <c r="S2018" s="153" t="n"/>
    </row>
    <row r="2019" ht="36" customHeight="1">
      <c r="A2019" s="46" t="n">
        <v>4349</v>
      </c>
      <c r="B2019" s="4">
        <f>+VLOOKUP($A2019,MAGAZZINO!$B$2:$M$100000,2,FALSE)</f>
        <v/>
      </c>
      <c r="C2019" s="29">
        <f>+VLOOKUP($A2019,MAGAZZINO!$B$2:$M$100000,3,FALSE)</f>
        <v/>
      </c>
      <c r="D2019" s="3">
        <f>+VLOOKUP($A2019,MAGAZZINO!$B$2:$M$100000,4,FALSE)</f>
        <v/>
      </c>
      <c r="E2019" s="3">
        <f>+VLOOKUP($A2019,MAGAZZINO!$B$2:$M$100000,5,FALSE)</f>
        <v/>
      </c>
      <c r="F2019" s="3">
        <f>+VLOOKUP($A2019,MAGAZZINO!$B$2:$M$100000,6,FALSE)</f>
        <v/>
      </c>
      <c r="G2019" s="3">
        <f>+VLOOKUP($A2019,MAGAZZINO!$B$2:$M$100000,7,FALSE)</f>
        <v/>
      </c>
      <c r="H2019" s="3">
        <f>+VLOOKUP($A2019,MAGAZZINO!$B$2:$M$100000,8,FALSE)</f>
        <v/>
      </c>
      <c r="I2019" s="3">
        <f>+VLOOKUP($A2019,MAGAZZINO!$B$2:$M$100000,9,FALSE)</f>
        <v/>
      </c>
      <c r="J2019" s="3">
        <f>+VLOOKUP($A2019,MAGAZZINO!$B$2:$M$100000,10,FALSE)</f>
        <v/>
      </c>
      <c r="K2019" s="3">
        <f>+VLOOKUP($A2019,MAGAZZINO!$B$2:$M$100000,11,FALSE)</f>
        <v/>
      </c>
      <c r="L2019" s="5">
        <f>+VLOOKUP($A2019,MAGAZZINO!$B$2:$M$100000,12,FALSE)</f>
        <v/>
      </c>
      <c r="M2019" s="47" t="n"/>
      <c r="N2019" s="88" t="n">
        <v>45965</v>
      </c>
      <c r="O2019" s="156" t="inlineStr">
        <is>
          <t>BIN HUMAID NATIONAL TRADING CO. (ARABIA SAUDITA)</t>
        </is>
      </c>
      <c r="P2019" s="155" t="inlineStr">
        <is>
          <t>IMPORT LICENSE N. 182480 DEL 08/01/2025                                                                                  AUT. ESPORTAZIONE MULTIPLA N. 6B/2025/2M RILASCIATA IL 26/05/2025                   (LICENZA DI SCARICO N. 6B/2025/5S RILASCIATA IL 29/10/2025)</t>
        </is>
      </c>
      <c r="Q2019" s="150" t="n"/>
      <c r="R2019" s="150" t="n"/>
      <c r="S2019" s="153" t="n"/>
    </row>
    <row r="2020" ht="36" customHeight="1">
      <c r="A2020" s="46" t="n">
        <v>4350</v>
      </c>
      <c r="B2020" s="4">
        <f>+VLOOKUP($A2020,MAGAZZINO!$B$2:$M$100000,2,FALSE)</f>
        <v/>
      </c>
      <c r="C2020" s="29">
        <f>+VLOOKUP($A2020,MAGAZZINO!$B$2:$M$100000,3,FALSE)</f>
        <v/>
      </c>
      <c r="D2020" s="3">
        <f>+VLOOKUP($A2020,MAGAZZINO!$B$2:$M$100000,4,FALSE)</f>
        <v/>
      </c>
      <c r="E2020" s="3">
        <f>+VLOOKUP($A2020,MAGAZZINO!$B$2:$M$100000,5,FALSE)</f>
        <v/>
      </c>
      <c r="F2020" s="3">
        <f>+VLOOKUP($A2020,MAGAZZINO!$B$2:$M$100000,6,FALSE)</f>
        <v/>
      </c>
      <c r="G2020" s="3">
        <f>+VLOOKUP($A2020,MAGAZZINO!$B$2:$M$100000,7,FALSE)</f>
        <v/>
      </c>
      <c r="H2020" s="3">
        <f>+VLOOKUP($A2020,MAGAZZINO!$B$2:$M$100000,8,FALSE)</f>
        <v/>
      </c>
      <c r="I2020" s="3">
        <f>+VLOOKUP($A2020,MAGAZZINO!$B$2:$M$100000,9,FALSE)</f>
        <v/>
      </c>
      <c r="J2020" s="3">
        <f>+VLOOKUP($A2020,MAGAZZINO!$B$2:$M$100000,10,FALSE)</f>
        <v/>
      </c>
      <c r="K2020" s="3">
        <f>+VLOOKUP($A2020,MAGAZZINO!$B$2:$M$100000,11,FALSE)</f>
        <v/>
      </c>
      <c r="L2020" s="5">
        <f>+VLOOKUP($A2020,MAGAZZINO!$B$2:$M$100000,12,FALSE)</f>
        <v/>
      </c>
      <c r="M2020" s="47" t="n"/>
      <c r="N2020" s="88" t="n">
        <v>45965</v>
      </c>
      <c r="O2020" s="156" t="inlineStr">
        <is>
          <t>BIN HUMAID NATIONAL TRADING CO. (ARABIA SAUDITA)</t>
        </is>
      </c>
      <c r="P2020" s="155" t="inlineStr">
        <is>
          <t>IMPORT LICENSE N. 182480 DEL 08/01/2025                                                                                  AUT. ESPORTAZIONE MULTIPLA N. 6B/2025/2M RILASCIATA IL 26/05/2025                   (LICENZA DI SCARICO N. 6B/2025/5S RILASCIATA IL 29/10/2025)</t>
        </is>
      </c>
      <c r="Q2020" s="150" t="n"/>
      <c r="R2020" s="150" t="n"/>
      <c r="S2020" s="153" t="n"/>
    </row>
    <row r="2021" ht="36" customHeight="1">
      <c r="A2021" s="46" t="n">
        <v>4351</v>
      </c>
      <c r="B2021" s="4">
        <f>+VLOOKUP($A2021,MAGAZZINO!$B$2:$M$100000,2,FALSE)</f>
        <v/>
      </c>
      <c r="C2021" s="29">
        <f>+VLOOKUP($A2021,MAGAZZINO!$B$2:$M$100000,3,FALSE)</f>
        <v/>
      </c>
      <c r="D2021" s="3">
        <f>+VLOOKUP($A2021,MAGAZZINO!$B$2:$M$100000,4,FALSE)</f>
        <v/>
      </c>
      <c r="E2021" s="3">
        <f>+VLOOKUP($A2021,MAGAZZINO!$B$2:$M$100000,5,FALSE)</f>
        <v/>
      </c>
      <c r="F2021" s="3">
        <f>+VLOOKUP($A2021,MAGAZZINO!$B$2:$M$100000,6,FALSE)</f>
        <v/>
      </c>
      <c r="G2021" s="3">
        <f>+VLOOKUP($A2021,MAGAZZINO!$B$2:$M$100000,7,FALSE)</f>
        <v/>
      </c>
      <c r="H2021" s="3">
        <f>+VLOOKUP($A2021,MAGAZZINO!$B$2:$M$100000,8,FALSE)</f>
        <v/>
      </c>
      <c r="I2021" s="3">
        <f>+VLOOKUP($A2021,MAGAZZINO!$B$2:$M$100000,9,FALSE)</f>
        <v/>
      </c>
      <c r="J2021" s="3">
        <f>+VLOOKUP($A2021,MAGAZZINO!$B$2:$M$100000,10,FALSE)</f>
        <v/>
      </c>
      <c r="K2021" s="3">
        <f>+VLOOKUP($A2021,MAGAZZINO!$B$2:$M$100000,11,FALSE)</f>
        <v/>
      </c>
      <c r="L2021" s="5">
        <f>+VLOOKUP($A2021,MAGAZZINO!$B$2:$M$100000,12,FALSE)</f>
        <v/>
      </c>
      <c r="M2021" s="47" t="n"/>
      <c r="N2021" s="88" t="n">
        <v>45965</v>
      </c>
      <c r="O2021" s="156" t="inlineStr">
        <is>
          <t>BIN HUMAID NATIONAL TRADING CO. (ARABIA SAUDITA)</t>
        </is>
      </c>
      <c r="P2021" s="155" t="inlineStr">
        <is>
          <t>IMPORT LICENSE N. 182480 DEL 08/01/2025                                                                                  AUT. ESPORTAZIONE MULTIPLA N. 6B/2025/2M RILASCIATA IL 26/05/2025                   (LICENZA DI SCARICO N. 6B/2025/5S RILASCIATA IL 29/10/2025)</t>
        </is>
      </c>
      <c r="Q2021" s="150" t="n"/>
      <c r="R2021" s="150" t="n"/>
      <c r="S2021" s="153" t="n"/>
    </row>
    <row r="2022" ht="36" customHeight="1">
      <c r="A2022" s="46" t="n">
        <v>4352</v>
      </c>
      <c r="B2022" s="4">
        <f>+VLOOKUP($A2022,MAGAZZINO!$B$2:$M$100000,2,FALSE)</f>
        <v/>
      </c>
      <c r="C2022" s="29">
        <f>+VLOOKUP($A2022,MAGAZZINO!$B$2:$M$100000,3,FALSE)</f>
        <v/>
      </c>
      <c r="D2022" s="3">
        <f>+VLOOKUP($A2022,MAGAZZINO!$B$2:$M$100000,4,FALSE)</f>
        <v/>
      </c>
      <c r="E2022" s="3">
        <f>+VLOOKUP($A2022,MAGAZZINO!$B$2:$M$100000,5,FALSE)</f>
        <v/>
      </c>
      <c r="F2022" s="3">
        <f>+VLOOKUP($A2022,MAGAZZINO!$B$2:$M$100000,6,FALSE)</f>
        <v/>
      </c>
      <c r="G2022" s="3">
        <f>+VLOOKUP($A2022,MAGAZZINO!$B$2:$M$100000,7,FALSE)</f>
        <v/>
      </c>
      <c r="H2022" s="3">
        <f>+VLOOKUP($A2022,MAGAZZINO!$B$2:$M$100000,8,FALSE)</f>
        <v/>
      </c>
      <c r="I2022" s="3">
        <f>+VLOOKUP($A2022,MAGAZZINO!$B$2:$M$100000,9,FALSE)</f>
        <v/>
      </c>
      <c r="J2022" s="3">
        <f>+VLOOKUP($A2022,MAGAZZINO!$B$2:$M$100000,10,FALSE)</f>
        <v/>
      </c>
      <c r="K2022" s="3">
        <f>+VLOOKUP($A2022,MAGAZZINO!$B$2:$M$100000,11,FALSE)</f>
        <v/>
      </c>
      <c r="L2022" s="5">
        <f>+VLOOKUP($A2022,MAGAZZINO!$B$2:$M$100000,12,FALSE)</f>
        <v/>
      </c>
      <c r="M2022" s="47" t="n"/>
      <c r="N2022" s="88" t="n">
        <v>45965</v>
      </c>
      <c r="O2022" s="156" t="inlineStr">
        <is>
          <t>BIN HUMAID NATIONAL TRADING CO. (ARABIA SAUDITA)</t>
        </is>
      </c>
      <c r="P2022" s="155" t="inlineStr">
        <is>
          <t>IMPORT LICENSE N. 182480 DEL 08/01/2025                                                                                  AUT. ESPORTAZIONE MULTIPLA N. 6B/2025/2M RILASCIATA IL 26/05/2025                   (LICENZA DI SCARICO N. 6B/2025/5S RILASCIATA IL 29/10/2025)</t>
        </is>
      </c>
      <c r="Q2022" s="150" t="n"/>
      <c r="R2022" s="150" t="n"/>
      <c r="S2022" s="153" t="n"/>
    </row>
    <row r="2023" ht="36" customHeight="1">
      <c r="A2023" s="46" t="n">
        <v>4353</v>
      </c>
      <c r="B2023" s="4">
        <f>+VLOOKUP($A2023,MAGAZZINO!$B$2:$M$100000,2,FALSE)</f>
        <v/>
      </c>
      <c r="C2023" s="29">
        <f>+VLOOKUP($A2023,MAGAZZINO!$B$2:$M$100000,3,FALSE)</f>
        <v/>
      </c>
      <c r="D2023" s="3">
        <f>+VLOOKUP($A2023,MAGAZZINO!$B$2:$M$100000,4,FALSE)</f>
        <v/>
      </c>
      <c r="E2023" s="3">
        <f>+VLOOKUP($A2023,MAGAZZINO!$B$2:$M$100000,5,FALSE)</f>
        <v/>
      </c>
      <c r="F2023" s="3">
        <f>+VLOOKUP($A2023,MAGAZZINO!$B$2:$M$100000,6,FALSE)</f>
        <v/>
      </c>
      <c r="G2023" s="3">
        <f>+VLOOKUP($A2023,MAGAZZINO!$B$2:$M$100000,7,FALSE)</f>
        <v/>
      </c>
      <c r="H2023" s="3">
        <f>+VLOOKUP($A2023,MAGAZZINO!$B$2:$M$100000,8,FALSE)</f>
        <v/>
      </c>
      <c r="I2023" s="3">
        <f>+VLOOKUP($A2023,MAGAZZINO!$B$2:$M$100000,9,FALSE)</f>
        <v/>
      </c>
      <c r="J2023" s="3">
        <f>+VLOOKUP($A2023,MAGAZZINO!$B$2:$M$100000,10,FALSE)</f>
        <v/>
      </c>
      <c r="K2023" s="3">
        <f>+VLOOKUP($A2023,MAGAZZINO!$B$2:$M$100000,11,FALSE)</f>
        <v/>
      </c>
      <c r="L2023" s="5">
        <f>+VLOOKUP($A2023,MAGAZZINO!$B$2:$M$100000,12,FALSE)</f>
        <v/>
      </c>
      <c r="M2023" s="47" t="n"/>
      <c r="N2023" s="88" t="n">
        <v>45965</v>
      </c>
      <c r="O2023" s="156" t="inlineStr">
        <is>
          <t>BIN HUMAID NATIONAL TRADING CO. (ARABIA SAUDITA)</t>
        </is>
      </c>
      <c r="P2023" s="155" t="inlineStr">
        <is>
          <t>IMPORT LICENSE N. 182480 DEL 08/01/2025                                                                                  AUT. ESPORTAZIONE MULTIPLA N. 6B/2025/2M RILASCIATA IL 26/05/2025                   (LICENZA DI SCARICO N. 6B/2025/5S RILASCIATA IL 29/10/2025)</t>
        </is>
      </c>
      <c r="Q2023" s="150" t="n"/>
      <c r="R2023" s="150" t="n"/>
      <c r="S2023" s="153" t="n"/>
    </row>
    <row r="2024" ht="36" customHeight="1">
      <c r="A2024" s="46" t="n">
        <v>4354</v>
      </c>
      <c r="B2024" s="4">
        <f>+VLOOKUP($A2024,MAGAZZINO!$B$2:$M$100000,2,FALSE)</f>
        <v/>
      </c>
      <c r="C2024" s="29">
        <f>+VLOOKUP($A2024,MAGAZZINO!$B$2:$M$100000,3,FALSE)</f>
        <v/>
      </c>
      <c r="D2024" s="3">
        <f>+VLOOKUP($A2024,MAGAZZINO!$B$2:$M$100000,4,FALSE)</f>
        <v/>
      </c>
      <c r="E2024" s="3">
        <f>+VLOOKUP($A2024,MAGAZZINO!$B$2:$M$100000,5,FALSE)</f>
        <v/>
      </c>
      <c r="F2024" s="3">
        <f>+VLOOKUP($A2024,MAGAZZINO!$B$2:$M$100000,6,FALSE)</f>
        <v/>
      </c>
      <c r="G2024" s="3">
        <f>+VLOOKUP($A2024,MAGAZZINO!$B$2:$M$100000,7,FALSE)</f>
        <v/>
      </c>
      <c r="H2024" s="3">
        <f>+VLOOKUP($A2024,MAGAZZINO!$B$2:$M$100000,8,FALSE)</f>
        <v/>
      </c>
      <c r="I2024" s="3">
        <f>+VLOOKUP($A2024,MAGAZZINO!$B$2:$M$100000,9,FALSE)</f>
        <v/>
      </c>
      <c r="J2024" s="3">
        <f>+VLOOKUP($A2024,MAGAZZINO!$B$2:$M$100000,10,FALSE)</f>
        <v/>
      </c>
      <c r="K2024" s="3">
        <f>+VLOOKUP($A2024,MAGAZZINO!$B$2:$M$100000,11,FALSE)</f>
        <v/>
      </c>
      <c r="L2024" s="5">
        <f>+VLOOKUP($A2024,MAGAZZINO!$B$2:$M$100000,12,FALSE)</f>
        <v/>
      </c>
      <c r="M2024" s="47" t="n"/>
      <c r="N2024" s="88" t="n">
        <v>45965</v>
      </c>
      <c r="O2024" s="156" t="inlineStr">
        <is>
          <t>BIN HUMAID NATIONAL TRADING CO. (ARABIA SAUDITA)</t>
        </is>
      </c>
      <c r="P2024" s="155" t="inlineStr">
        <is>
          <t>IMPORT LICENSE N. 182480 DEL 08/01/2025                                                                                  AUT. ESPORTAZIONE MULTIPLA N. 6B/2025/2M RILASCIATA IL 26/05/2025                   (LICENZA DI SCARICO N. 6B/2025/5S RILASCIATA IL 29/10/2025)</t>
        </is>
      </c>
      <c r="Q2024" s="150" t="n"/>
      <c r="R2024" s="150" t="n"/>
      <c r="S2024" s="153" t="n"/>
    </row>
    <row r="2025" ht="36" customHeight="1">
      <c r="A2025" s="46" t="n">
        <v>4355</v>
      </c>
      <c r="B2025" s="4">
        <f>+VLOOKUP($A2025,MAGAZZINO!$B$2:$M$100000,2,FALSE)</f>
        <v/>
      </c>
      <c r="C2025" s="29">
        <f>+VLOOKUP($A2025,MAGAZZINO!$B$2:$M$100000,3,FALSE)</f>
        <v/>
      </c>
      <c r="D2025" s="3">
        <f>+VLOOKUP($A2025,MAGAZZINO!$B$2:$M$100000,4,FALSE)</f>
        <v/>
      </c>
      <c r="E2025" s="3">
        <f>+VLOOKUP($A2025,MAGAZZINO!$B$2:$M$100000,5,FALSE)</f>
        <v/>
      </c>
      <c r="F2025" s="3">
        <f>+VLOOKUP($A2025,MAGAZZINO!$B$2:$M$100000,6,FALSE)</f>
        <v/>
      </c>
      <c r="G2025" s="3">
        <f>+VLOOKUP($A2025,MAGAZZINO!$B$2:$M$100000,7,FALSE)</f>
        <v/>
      </c>
      <c r="H2025" s="3">
        <f>+VLOOKUP($A2025,MAGAZZINO!$B$2:$M$100000,8,FALSE)</f>
        <v/>
      </c>
      <c r="I2025" s="3">
        <f>+VLOOKUP($A2025,MAGAZZINO!$B$2:$M$100000,9,FALSE)</f>
        <v/>
      </c>
      <c r="J2025" s="3">
        <f>+VLOOKUP($A2025,MAGAZZINO!$B$2:$M$100000,10,FALSE)</f>
        <v/>
      </c>
      <c r="K2025" s="3">
        <f>+VLOOKUP($A2025,MAGAZZINO!$B$2:$M$100000,11,FALSE)</f>
        <v/>
      </c>
      <c r="L2025" s="5">
        <f>+VLOOKUP($A2025,MAGAZZINO!$B$2:$M$100000,12,FALSE)</f>
        <v/>
      </c>
      <c r="M2025" s="47" t="n"/>
      <c r="N2025" s="88" t="n">
        <v>45965</v>
      </c>
      <c r="O2025" s="156" t="inlineStr">
        <is>
          <t>BIN HUMAID NATIONAL TRADING CO. (ARABIA SAUDITA)</t>
        </is>
      </c>
      <c r="P2025" s="155" t="inlineStr">
        <is>
          <t>IMPORT LICENSE N. 182480 DEL 08/01/2025                                                                                  AUT. ESPORTAZIONE MULTIPLA N. 6B/2025/2M RILASCIATA IL 26/05/2025                   (LICENZA DI SCARICO N. 6B/2025/5S RILASCIATA IL 29/10/2025)</t>
        </is>
      </c>
      <c r="Q2025" s="150" t="n"/>
      <c r="R2025" s="150" t="n"/>
      <c r="S2025" s="153" t="n"/>
    </row>
    <row r="2026" ht="36" customHeight="1">
      <c r="A2026" s="46" t="n">
        <v>4356</v>
      </c>
      <c r="B2026" s="4">
        <f>+VLOOKUP($A2026,MAGAZZINO!$B$2:$M$100000,2,FALSE)</f>
        <v/>
      </c>
      <c r="C2026" s="29">
        <f>+VLOOKUP($A2026,MAGAZZINO!$B$2:$M$100000,3,FALSE)</f>
        <v/>
      </c>
      <c r="D2026" s="3">
        <f>+VLOOKUP($A2026,MAGAZZINO!$B$2:$M$100000,4,FALSE)</f>
        <v/>
      </c>
      <c r="E2026" s="3">
        <f>+VLOOKUP($A2026,MAGAZZINO!$B$2:$M$100000,5,FALSE)</f>
        <v/>
      </c>
      <c r="F2026" s="3">
        <f>+VLOOKUP($A2026,MAGAZZINO!$B$2:$M$100000,6,FALSE)</f>
        <v/>
      </c>
      <c r="G2026" s="3">
        <f>+VLOOKUP($A2026,MAGAZZINO!$B$2:$M$100000,7,FALSE)</f>
        <v/>
      </c>
      <c r="H2026" s="3">
        <f>+VLOOKUP($A2026,MAGAZZINO!$B$2:$M$100000,8,FALSE)</f>
        <v/>
      </c>
      <c r="I2026" s="3">
        <f>+VLOOKUP($A2026,MAGAZZINO!$B$2:$M$100000,9,FALSE)</f>
        <v/>
      </c>
      <c r="J2026" s="3">
        <f>+VLOOKUP($A2026,MAGAZZINO!$B$2:$M$100000,10,FALSE)</f>
        <v/>
      </c>
      <c r="K2026" s="3">
        <f>+VLOOKUP($A2026,MAGAZZINO!$B$2:$M$100000,11,FALSE)</f>
        <v/>
      </c>
      <c r="L2026" s="5">
        <f>+VLOOKUP($A2026,MAGAZZINO!$B$2:$M$100000,12,FALSE)</f>
        <v/>
      </c>
      <c r="M2026" s="47" t="n"/>
      <c r="N2026" s="88" t="n">
        <v>45965</v>
      </c>
      <c r="O2026" s="156" t="inlineStr">
        <is>
          <t>BIN HUMAID NATIONAL TRADING CO. (ARABIA SAUDITA)</t>
        </is>
      </c>
      <c r="P2026" s="155" t="inlineStr">
        <is>
          <t>IMPORT LICENSE N. 182480 DEL 08/01/2025                                                                                  AUT. ESPORTAZIONE MULTIPLA N. 6B/2025/2M RILASCIATA IL 26/05/2025                   (LICENZA DI SCARICO N. 6B/2025/5S RILASCIATA IL 29/10/2025)</t>
        </is>
      </c>
      <c r="Q2026" s="150" t="n"/>
      <c r="R2026" s="150" t="n"/>
      <c r="S2026" s="153" t="n"/>
    </row>
    <row r="2027" ht="36" customHeight="1">
      <c r="A2027" s="46" t="n">
        <v>4357</v>
      </c>
      <c r="B2027" s="4">
        <f>+VLOOKUP($A2027,MAGAZZINO!$B$2:$M$100000,2,FALSE)</f>
        <v/>
      </c>
      <c r="C2027" s="29">
        <f>+VLOOKUP($A2027,MAGAZZINO!$B$2:$M$100000,3,FALSE)</f>
        <v/>
      </c>
      <c r="D2027" s="3">
        <f>+VLOOKUP($A2027,MAGAZZINO!$B$2:$M$100000,4,FALSE)</f>
        <v/>
      </c>
      <c r="E2027" s="3">
        <f>+VLOOKUP($A2027,MAGAZZINO!$B$2:$M$100000,5,FALSE)</f>
        <v/>
      </c>
      <c r="F2027" s="3">
        <f>+VLOOKUP($A2027,MAGAZZINO!$B$2:$M$100000,6,FALSE)</f>
        <v/>
      </c>
      <c r="G2027" s="3">
        <f>+VLOOKUP($A2027,MAGAZZINO!$B$2:$M$100000,7,FALSE)</f>
        <v/>
      </c>
      <c r="H2027" s="3">
        <f>+VLOOKUP($A2027,MAGAZZINO!$B$2:$M$100000,8,FALSE)</f>
        <v/>
      </c>
      <c r="I2027" s="3">
        <f>+VLOOKUP($A2027,MAGAZZINO!$B$2:$M$100000,9,FALSE)</f>
        <v/>
      </c>
      <c r="J2027" s="3">
        <f>+VLOOKUP($A2027,MAGAZZINO!$B$2:$M$100000,10,FALSE)</f>
        <v/>
      </c>
      <c r="K2027" s="3">
        <f>+VLOOKUP($A2027,MAGAZZINO!$B$2:$M$100000,11,FALSE)</f>
        <v/>
      </c>
      <c r="L2027" s="5">
        <f>+VLOOKUP($A2027,MAGAZZINO!$B$2:$M$100000,12,FALSE)</f>
        <v/>
      </c>
      <c r="M2027" s="47" t="n"/>
      <c r="N2027" s="88" t="n">
        <v>45965</v>
      </c>
      <c r="O2027" s="156" t="inlineStr">
        <is>
          <t>BIN HUMAID NATIONAL TRADING CO. (ARABIA SAUDITA)</t>
        </is>
      </c>
      <c r="P2027" s="155" t="inlineStr">
        <is>
          <t>IMPORT LICENSE N. 182480 DEL 08/01/2025                                                                                  AUT. ESPORTAZIONE MULTIPLA N. 6B/2025/2M RILASCIATA IL 26/05/2025                   (LICENZA DI SCARICO N. 6B/2025/5S RILASCIATA IL 29/10/2025)</t>
        </is>
      </c>
      <c r="Q2027" s="150" t="n"/>
      <c r="R2027" s="150" t="n"/>
      <c r="S2027" s="153" t="n"/>
    </row>
    <row r="2028" ht="36" customHeight="1">
      <c r="A2028" s="46" t="n">
        <v>4358</v>
      </c>
      <c r="B2028" s="4">
        <f>+VLOOKUP($A2028,MAGAZZINO!$B$2:$M$100000,2,FALSE)</f>
        <v/>
      </c>
      <c r="C2028" s="29">
        <f>+VLOOKUP($A2028,MAGAZZINO!$B$2:$M$100000,3,FALSE)</f>
        <v/>
      </c>
      <c r="D2028" s="3">
        <f>+VLOOKUP($A2028,MAGAZZINO!$B$2:$M$100000,4,FALSE)</f>
        <v/>
      </c>
      <c r="E2028" s="3">
        <f>+VLOOKUP($A2028,MAGAZZINO!$B$2:$M$100000,5,FALSE)</f>
        <v/>
      </c>
      <c r="F2028" s="3">
        <f>+VLOOKUP($A2028,MAGAZZINO!$B$2:$M$100000,6,FALSE)</f>
        <v/>
      </c>
      <c r="G2028" s="3">
        <f>+VLOOKUP($A2028,MAGAZZINO!$B$2:$M$100000,7,FALSE)</f>
        <v/>
      </c>
      <c r="H2028" s="3">
        <f>+VLOOKUP($A2028,MAGAZZINO!$B$2:$M$100000,8,FALSE)</f>
        <v/>
      </c>
      <c r="I2028" s="3">
        <f>+VLOOKUP($A2028,MAGAZZINO!$B$2:$M$100000,9,FALSE)</f>
        <v/>
      </c>
      <c r="J2028" s="3">
        <f>+VLOOKUP($A2028,MAGAZZINO!$B$2:$M$100000,10,FALSE)</f>
        <v/>
      </c>
      <c r="K2028" s="3">
        <f>+VLOOKUP($A2028,MAGAZZINO!$B$2:$M$100000,11,FALSE)</f>
        <v/>
      </c>
      <c r="L2028" s="5">
        <f>+VLOOKUP($A2028,MAGAZZINO!$B$2:$M$100000,12,FALSE)</f>
        <v/>
      </c>
      <c r="M2028" s="47" t="n"/>
      <c r="N2028" s="88" t="n">
        <v>45965</v>
      </c>
      <c r="O2028" s="156" t="inlineStr">
        <is>
          <t>BIN HUMAID NATIONAL TRADING CO. (ARABIA SAUDITA)</t>
        </is>
      </c>
      <c r="P2028" s="155" t="inlineStr">
        <is>
          <t>IMPORT LICENSE N. 182480 DEL 08/01/2025                                                                                  AUT. ESPORTAZIONE MULTIPLA N. 6B/2025/2M RILASCIATA IL 26/05/2025                   (LICENZA DI SCARICO N. 6B/2025/5S RILASCIATA IL 29/10/2025)</t>
        </is>
      </c>
      <c r="Q2028" s="150" t="n"/>
      <c r="R2028" s="150" t="n"/>
      <c r="S2028" s="153" t="n"/>
    </row>
    <row r="2029" ht="36" customHeight="1">
      <c r="A2029" s="46" t="n">
        <v>4359</v>
      </c>
      <c r="B2029" s="4">
        <f>+VLOOKUP($A2029,MAGAZZINO!$B$2:$M$100000,2,FALSE)</f>
        <v/>
      </c>
      <c r="C2029" s="29">
        <f>+VLOOKUP($A2029,MAGAZZINO!$B$2:$M$100000,3,FALSE)</f>
        <v/>
      </c>
      <c r="D2029" s="3">
        <f>+VLOOKUP($A2029,MAGAZZINO!$B$2:$M$100000,4,FALSE)</f>
        <v/>
      </c>
      <c r="E2029" s="3">
        <f>+VLOOKUP($A2029,MAGAZZINO!$B$2:$M$100000,5,FALSE)</f>
        <v/>
      </c>
      <c r="F2029" s="3">
        <f>+VLOOKUP($A2029,MAGAZZINO!$B$2:$M$100000,6,FALSE)</f>
        <v/>
      </c>
      <c r="G2029" s="3">
        <f>+VLOOKUP($A2029,MAGAZZINO!$B$2:$M$100000,7,FALSE)</f>
        <v/>
      </c>
      <c r="H2029" s="3">
        <f>+VLOOKUP($A2029,MAGAZZINO!$B$2:$M$100000,8,FALSE)</f>
        <v/>
      </c>
      <c r="I2029" s="3">
        <f>+VLOOKUP($A2029,MAGAZZINO!$B$2:$M$100000,9,FALSE)</f>
        <v/>
      </c>
      <c r="J2029" s="3">
        <f>+VLOOKUP($A2029,MAGAZZINO!$B$2:$M$100000,10,FALSE)</f>
        <v/>
      </c>
      <c r="K2029" s="3">
        <f>+VLOOKUP($A2029,MAGAZZINO!$B$2:$M$100000,11,FALSE)</f>
        <v/>
      </c>
      <c r="L2029" s="5">
        <f>+VLOOKUP($A2029,MAGAZZINO!$B$2:$M$100000,12,FALSE)</f>
        <v/>
      </c>
      <c r="M2029" s="47" t="n"/>
      <c r="N2029" s="88" t="n">
        <v>45965</v>
      </c>
      <c r="O2029" s="156" t="inlineStr">
        <is>
          <t>BIN HUMAID NATIONAL TRADING CO. (ARABIA SAUDITA)</t>
        </is>
      </c>
      <c r="P2029" s="155" t="inlineStr">
        <is>
          <t>IMPORT LICENSE N. 182480 DEL 08/01/2025                                                                                  AUT. ESPORTAZIONE MULTIPLA N. 6B/2025/2M RILASCIATA IL 26/05/2025                   (LICENZA DI SCARICO N. 6B/2025/5S RILASCIATA IL 29/10/2025)</t>
        </is>
      </c>
      <c r="Q2029" s="150" t="n"/>
      <c r="R2029" s="150" t="n"/>
      <c r="S2029" s="153" t="n"/>
    </row>
    <row r="2030" ht="36" customHeight="1">
      <c r="A2030" s="46" t="n">
        <v>4360</v>
      </c>
      <c r="B2030" s="4">
        <f>+VLOOKUP($A2030,MAGAZZINO!$B$2:$M$100000,2,FALSE)</f>
        <v/>
      </c>
      <c r="C2030" s="29">
        <f>+VLOOKUP($A2030,MAGAZZINO!$B$2:$M$100000,3,FALSE)</f>
        <v/>
      </c>
      <c r="D2030" s="3">
        <f>+VLOOKUP($A2030,MAGAZZINO!$B$2:$M$100000,4,FALSE)</f>
        <v/>
      </c>
      <c r="E2030" s="3">
        <f>+VLOOKUP($A2030,MAGAZZINO!$B$2:$M$100000,5,FALSE)</f>
        <v/>
      </c>
      <c r="F2030" s="3">
        <f>+VLOOKUP($A2030,MAGAZZINO!$B$2:$M$100000,6,FALSE)</f>
        <v/>
      </c>
      <c r="G2030" s="3">
        <f>+VLOOKUP($A2030,MAGAZZINO!$B$2:$M$100000,7,FALSE)</f>
        <v/>
      </c>
      <c r="H2030" s="3">
        <f>+VLOOKUP($A2030,MAGAZZINO!$B$2:$M$100000,8,FALSE)</f>
        <v/>
      </c>
      <c r="I2030" s="3">
        <f>+VLOOKUP($A2030,MAGAZZINO!$B$2:$M$100000,9,FALSE)</f>
        <v/>
      </c>
      <c r="J2030" s="3">
        <f>+VLOOKUP($A2030,MAGAZZINO!$B$2:$M$100000,10,FALSE)</f>
        <v/>
      </c>
      <c r="K2030" s="3">
        <f>+VLOOKUP($A2030,MAGAZZINO!$B$2:$M$100000,11,FALSE)</f>
        <v/>
      </c>
      <c r="L2030" s="5">
        <f>+VLOOKUP($A2030,MAGAZZINO!$B$2:$M$100000,12,FALSE)</f>
        <v/>
      </c>
      <c r="M2030" s="47" t="n"/>
      <c r="N2030" s="88" t="n">
        <v>45965</v>
      </c>
      <c r="O2030" s="156" t="inlineStr">
        <is>
          <t>BIN HUMAID NATIONAL TRADING CO. (ARABIA SAUDITA)</t>
        </is>
      </c>
      <c r="P2030" s="155" t="inlineStr">
        <is>
          <t>IMPORT LICENSE N. 182480 DEL 08/01/2025                                                                                  AUT. ESPORTAZIONE MULTIPLA N. 6B/2025/2M RILASCIATA IL 26/05/2025                   (LICENZA DI SCARICO N. 6B/2025/5S RILASCIATA IL 29/10/2025)</t>
        </is>
      </c>
      <c r="Q2030" s="150" t="n"/>
      <c r="R2030" s="150" t="n"/>
      <c r="S2030" s="153" t="n"/>
    </row>
    <row r="2031" ht="36" customHeight="1">
      <c r="A2031" s="46" t="n">
        <v>4361</v>
      </c>
      <c r="B2031" s="4">
        <f>+VLOOKUP($A2031,MAGAZZINO!$B$2:$M$100000,2,FALSE)</f>
        <v/>
      </c>
      <c r="C2031" s="29">
        <f>+VLOOKUP($A2031,MAGAZZINO!$B$2:$M$100000,3,FALSE)</f>
        <v/>
      </c>
      <c r="D2031" s="3">
        <f>+VLOOKUP($A2031,MAGAZZINO!$B$2:$M$100000,4,FALSE)</f>
        <v/>
      </c>
      <c r="E2031" s="3">
        <f>+VLOOKUP($A2031,MAGAZZINO!$B$2:$M$100000,5,FALSE)</f>
        <v/>
      </c>
      <c r="F2031" s="3">
        <f>+VLOOKUP($A2031,MAGAZZINO!$B$2:$M$100000,6,FALSE)</f>
        <v/>
      </c>
      <c r="G2031" s="3">
        <f>+VLOOKUP($A2031,MAGAZZINO!$B$2:$M$100000,7,FALSE)</f>
        <v/>
      </c>
      <c r="H2031" s="3">
        <f>+VLOOKUP($A2031,MAGAZZINO!$B$2:$M$100000,8,FALSE)</f>
        <v/>
      </c>
      <c r="I2031" s="3">
        <f>+VLOOKUP($A2031,MAGAZZINO!$B$2:$M$100000,9,FALSE)</f>
        <v/>
      </c>
      <c r="J2031" s="3">
        <f>+VLOOKUP($A2031,MAGAZZINO!$B$2:$M$100000,10,FALSE)</f>
        <v/>
      </c>
      <c r="K2031" s="3">
        <f>+VLOOKUP($A2031,MAGAZZINO!$B$2:$M$100000,11,FALSE)</f>
        <v/>
      </c>
      <c r="L2031" s="5">
        <f>+VLOOKUP($A2031,MAGAZZINO!$B$2:$M$100000,12,FALSE)</f>
        <v/>
      </c>
      <c r="M2031" s="47" t="n"/>
      <c r="N2031" s="88" t="n">
        <v>45965</v>
      </c>
      <c r="O2031" s="156" t="inlineStr">
        <is>
          <t>BIN HUMAID NATIONAL TRADING CO. (ARABIA SAUDITA)</t>
        </is>
      </c>
      <c r="P2031" s="155" t="inlineStr">
        <is>
          <t>IMPORT LICENSE N. 182480 DEL 08/01/2025                                                                                  AUT. ESPORTAZIONE MULTIPLA N. 6B/2025/2M RILASCIATA IL 26/05/2025                   (LICENZA DI SCARICO N. 6B/2025/5S RILASCIATA IL 29/10/2025)</t>
        </is>
      </c>
      <c r="Q2031" s="150" t="n"/>
      <c r="R2031" s="150" t="n"/>
      <c r="S2031" s="153" t="n"/>
    </row>
    <row r="2032" ht="36" customHeight="1">
      <c r="A2032" s="46" t="n">
        <v>4362</v>
      </c>
      <c r="B2032" s="4">
        <f>+VLOOKUP($A2032,MAGAZZINO!$B$2:$M$100000,2,FALSE)</f>
        <v/>
      </c>
      <c r="C2032" s="29">
        <f>+VLOOKUP($A2032,MAGAZZINO!$B$2:$M$100000,3,FALSE)</f>
        <v/>
      </c>
      <c r="D2032" s="3">
        <f>+VLOOKUP($A2032,MAGAZZINO!$B$2:$M$100000,4,FALSE)</f>
        <v/>
      </c>
      <c r="E2032" s="3">
        <f>+VLOOKUP($A2032,MAGAZZINO!$B$2:$M$100000,5,FALSE)</f>
        <v/>
      </c>
      <c r="F2032" s="3">
        <f>+VLOOKUP($A2032,MAGAZZINO!$B$2:$M$100000,6,FALSE)</f>
        <v/>
      </c>
      <c r="G2032" s="3">
        <f>+VLOOKUP($A2032,MAGAZZINO!$B$2:$M$100000,7,FALSE)</f>
        <v/>
      </c>
      <c r="H2032" s="3">
        <f>+VLOOKUP($A2032,MAGAZZINO!$B$2:$M$100000,8,FALSE)</f>
        <v/>
      </c>
      <c r="I2032" s="3">
        <f>+VLOOKUP($A2032,MAGAZZINO!$B$2:$M$100000,9,FALSE)</f>
        <v/>
      </c>
      <c r="J2032" s="3">
        <f>+VLOOKUP($A2032,MAGAZZINO!$B$2:$M$100000,10,FALSE)</f>
        <v/>
      </c>
      <c r="K2032" s="3">
        <f>+VLOOKUP($A2032,MAGAZZINO!$B$2:$M$100000,11,FALSE)</f>
        <v/>
      </c>
      <c r="L2032" s="5">
        <f>+VLOOKUP($A2032,MAGAZZINO!$B$2:$M$100000,12,FALSE)</f>
        <v/>
      </c>
      <c r="M2032" s="47" t="n"/>
      <c r="N2032" s="88" t="n">
        <v>45965</v>
      </c>
      <c r="O2032" s="156" t="inlineStr">
        <is>
          <t>BIN HUMAID NATIONAL TRADING CO. (ARABIA SAUDITA)</t>
        </is>
      </c>
      <c r="P2032" s="155" t="inlineStr">
        <is>
          <t>IMPORT LICENSE N. 182480 DEL 08/01/2025                                                                                  AUT. ESPORTAZIONE MULTIPLA N. 6B/2025/2M RILASCIATA IL 26/05/2025                   (LICENZA DI SCARICO N. 6B/2025/5S RILASCIATA IL 29/10/2025)</t>
        </is>
      </c>
      <c r="Q2032" s="150" t="n"/>
      <c r="R2032" s="150" t="n"/>
      <c r="S2032" s="153" t="n"/>
    </row>
    <row r="2033" ht="36" customHeight="1">
      <c r="A2033" s="46" t="n">
        <v>4363</v>
      </c>
      <c r="B2033" s="4">
        <f>+VLOOKUP($A2033,MAGAZZINO!$B$2:$M$100000,2,FALSE)</f>
        <v/>
      </c>
      <c r="C2033" s="29">
        <f>+VLOOKUP($A2033,MAGAZZINO!$B$2:$M$100000,3,FALSE)</f>
        <v/>
      </c>
      <c r="D2033" s="3">
        <f>+VLOOKUP($A2033,MAGAZZINO!$B$2:$M$100000,4,FALSE)</f>
        <v/>
      </c>
      <c r="E2033" s="3">
        <f>+VLOOKUP($A2033,MAGAZZINO!$B$2:$M$100000,5,FALSE)</f>
        <v/>
      </c>
      <c r="F2033" s="3">
        <f>+VLOOKUP($A2033,MAGAZZINO!$B$2:$M$100000,6,FALSE)</f>
        <v/>
      </c>
      <c r="G2033" s="3">
        <f>+VLOOKUP($A2033,MAGAZZINO!$B$2:$M$100000,7,FALSE)</f>
        <v/>
      </c>
      <c r="H2033" s="3">
        <f>+VLOOKUP($A2033,MAGAZZINO!$B$2:$M$100000,8,FALSE)</f>
        <v/>
      </c>
      <c r="I2033" s="3">
        <f>+VLOOKUP($A2033,MAGAZZINO!$B$2:$M$100000,9,FALSE)</f>
        <v/>
      </c>
      <c r="J2033" s="3">
        <f>+VLOOKUP($A2033,MAGAZZINO!$B$2:$M$100000,10,FALSE)</f>
        <v/>
      </c>
      <c r="K2033" s="3">
        <f>+VLOOKUP($A2033,MAGAZZINO!$B$2:$M$100000,11,FALSE)</f>
        <v/>
      </c>
      <c r="L2033" s="5">
        <f>+VLOOKUP($A2033,MAGAZZINO!$B$2:$M$100000,12,FALSE)</f>
        <v/>
      </c>
      <c r="M2033" s="47" t="n"/>
      <c r="N2033" s="88" t="n">
        <v>45965</v>
      </c>
      <c r="O2033" s="156" t="inlineStr">
        <is>
          <t>BIN HUMAID NATIONAL TRADING CO. (ARABIA SAUDITA)</t>
        </is>
      </c>
      <c r="P2033" s="155" t="inlineStr">
        <is>
          <t>IMPORT LICENSE N. 182480 DEL 08/01/2025                                                                                  AUT. ESPORTAZIONE MULTIPLA N. 6B/2025/2M RILASCIATA IL 26/05/2025                   (LICENZA DI SCARICO N. 6B/2025/5S RILASCIATA IL 29/10/2025)</t>
        </is>
      </c>
      <c r="Q2033" s="150" t="n"/>
      <c r="R2033" s="150" t="n"/>
      <c r="S2033" s="153" t="n"/>
    </row>
    <row r="2034" ht="36" customHeight="1">
      <c r="A2034" s="46" t="n">
        <v>4364</v>
      </c>
      <c r="B2034" s="4">
        <f>+VLOOKUP($A2034,MAGAZZINO!$B$2:$M$100000,2,FALSE)</f>
        <v/>
      </c>
      <c r="C2034" s="29">
        <f>+VLOOKUP($A2034,MAGAZZINO!$B$2:$M$100000,3,FALSE)</f>
        <v/>
      </c>
      <c r="D2034" s="3">
        <f>+VLOOKUP($A2034,MAGAZZINO!$B$2:$M$100000,4,FALSE)</f>
        <v/>
      </c>
      <c r="E2034" s="3">
        <f>+VLOOKUP($A2034,MAGAZZINO!$B$2:$M$100000,5,FALSE)</f>
        <v/>
      </c>
      <c r="F2034" s="3">
        <f>+VLOOKUP($A2034,MAGAZZINO!$B$2:$M$100000,6,FALSE)</f>
        <v/>
      </c>
      <c r="G2034" s="3">
        <f>+VLOOKUP($A2034,MAGAZZINO!$B$2:$M$100000,7,FALSE)</f>
        <v/>
      </c>
      <c r="H2034" s="3">
        <f>+VLOOKUP($A2034,MAGAZZINO!$B$2:$M$100000,8,FALSE)</f>
        <v/>
      </c>
      <c r="I2034" s="3">
        <f>+VLOOKUP($A2034,MAGAZZINO!$B$2:$M$100000,9,FALSE)</f>
        <v/>
      </c>
      <c r="J2034" s="3">
        <f>+VLOOKUP($A2034,MAGAZZINO!$B$2:$M$100000,10,FALSE)</f>
        <v/>
      </c>
      <c r="K2034" s="3">
        <f>+VLOOKUP($A2034,MAGAZZINO!$B$2:$M$100000,11,FALSE)</f>
        <v/>
      </c>
      <c r="L2034" s="5">
        <f>+VLOOKUP($A2034,MAGAZZINO!$B$2:$M$100000,12,FALSE)</f>
        <v/>
      </c>
      <c r="M2034" s="47" t="n"/>
      <c r="N2034" s="88" t="n">
        <v>45965</v>
      </c>
      <c r="O2034" s="156" t="inlineStr">
        <is>
          <t>BIN HUMAID NATIONAL TRADING CO. (ARABIA SAUDITA)</t>
        </is>
      </c>
      <c r="P2034" s="155" t="inlineStr">
        <is>
          <t>IMPORT LICENSE N. 182480 DEL 08/01/2025                                                                                  AUT. ESPORTAZIONE MULTIPLA N. 6B/2025/2M RILASCIATA IL 26/05/2025                   (LICENZA DI SCARICO N. 6B/2025/5S RILASCIATA IL 29/10/2025)</t>
        </is>
      </c>
      <c r="Q2034" s="150" t="n"/>
      <c r="R2034" s="150" t="n"/>
      <c r="S2034" s="153" t="n"/>
    </row>
    <row r="2035" ht="36" customHeight="1">
      <c r="A2035" s="46" t="n">
        <v>4365</v>
      </c>
      <c r="B2035" s="4">
        <f>+VLOOKUP($A2035,MAGAZZINO!$B$2:$M$100000,2,FALSE)</f>
        <v/>
      </c>
      <c r="C2035" s="29">
        <f>+VLOOKUP($A2035,MAGAZZINO!$B$2:$M$100000,3,FALSE)</f>
        <v/>
      </c>
      <c r="D2035" s="3">
        <f>+VLOOKUP($A2035,MAGAZZINO!$B$2:$M$100000,4,FALSE)</f>
        <v/>
      </c>
      <c r="E2035" s="3">
        <f>+VLOOKUP($A2035,MAGAZZINO!$B$2:$M$100000,5,FALSE)</f>
        <v/>
      </c>
      <c r="F2035" s="3">
        <f>+VLOOKUP($A2035,MAGAZZINO!$B$2:$M$100000,6,FALSE)</f>
        <v/>
      </c>
      <c r="G2035" s="3">
        <f>+VLOOKUP($A2035,MAGAZZINO!$B$2:$M$100000,7,FALSE)</f>
        <v/>
      </c>
      <c r="H2035" s="3">
        <f>+VLOOKUP($A2035,MAGAZZINO!$B$2:$M$100000,8,FALSE)</f>
        <v/>
      </c>
      <c r="I2035" s="3">
        <f>+VLOOKUP($A2035,MAGAZZINO!$B$2:$M$100000,9,FALSE)</f>
        <v/>
      </c>
      <c r="J2035" s="3">
        <f>+VLOOKUP($A2035,MAGAZZINO!$B$2:$M$100000,10,FALSE)</f>
        <v/>
      </c>
      <c r="K2035" s="3">
        <f>+VLOOKUP($A2035,MAGAZZINO!$B$2:$M$100000,11,FALSE)</f>
        <v/>
      </c>
      <c r="L2035" s="5">
        <f>+VLOOKUP($A2035,MAGAZZINO!$B$2:$M$100000,12,FALSE)</f>
        <v/>
      </c>
      <c r="M2035" s="47" t="n"/>
      <c r="N2035" s="88" t="n">
        <v>45965</v>
      </c>
      <c r="O2035" s="156" t="inlineStr">
        <is>
          <t>BIN HUMAID NATIONAL TRADING CO. (ARABIA SAUDITA)</t>
        </is>
      </c>
      <c r="P2035" s="155" t="inlineStr">
        <is>
          <t>IMPORT LICENSE N. 182480 DEL 08/01/2025                                                                                  AUT. ESPORTAZIONE MULTIPLA N. 6B/2025/2M RILASCIATA IL 26/05/2025                   (LICENZA DI SCARICO N. 6B/2025/5S RILASCIATA IL 29/10/2025)</t>
        </is>
      </c>
      <c r="Q2035" s="150" t="n"/>
      <c r="R2035" s="150" t="n"/>
      <c r="S2035" s="153" t="n"/>
    </row>
    <row r="2036" ht="36" customHeight="1">
      <c r="A2036" s="46" t="n">
        <v>4366</v>
      </c>
      <c r="B2036" s="4">
        <f>+VLOOKUP($A2036,MAGAZZINO!$B$2:$M$100000,2,FALSE)</f>
        <v/>
      </c>
      <c r="C2036" s="29">
        <f>+VLOOKUP($A2036,MAGAZZINO!$B$2:$M$100000,3,FALSE)</f>
        <v/>
      </c>
      <c r="D2036" s="3">
        <f>+VLOOKUP($A2036,MAGAZZINO!$B$2:$M$100000,4,FALSE)</f>
        <v/>
      </c>
      <c r="E2036" s="3">
        <f>+VLOOKUP($A2036,MAGAZZINO!$B$2:$M$100000,5,FALSE)</f>
        <v/>
      </c>
      <c r="F2036" s="3">
        <f>+VLOOKUP($A2036,MAGAZZINO!$B$2:$M$100000,6,FALSE)</f>
        <v/>
      </c>
      <c r="G2036" s="3">
        <f>+VLOOKUP($A2036,MAGAZZINO!$B$2:$M$100000,7,FALSE)</f>
        <v/>
      </c>
      <c r="H2036" s="3">
        <f>+VLOOKUP($A2036,MAGAZZINO!$B$2:$M$100000,8,FALSE)</f>
        <v/>
      </c>
      <c r="I2036" s="3">
        <f>+VLOOKUP($A2036,MAGAZZINO!$B$2:$M$100000,9,FALSE)</f>
        <v/>
      </c>
      <c r="J2036" s="3">
        <f>+VLOOKUP($A2036,MAGAZZINO!$B$2:$M$100000,10,FALSE)</f>
        <v/>
      </c>
      <c r="K2036" s="3">
        <f>+VLOOKUP($A2036,MAGAZZINO!$B$2:$M$100000,11,FALSE)</f>
        <v/>
      </c>
      <c r="L2036" s="5">
        <f>+VLOOKUP($A2036,MAGAZZINO!$B$2:$M$100000,12,FALSE)</f>
        <v/>
      </c>
      <c r="M2036" s="47" t="n"/>
      <c r="N2036" s="88" t="n">
        <v>45965</v>
      </c>
      <c r="O2036" s="156" t="inlineStr">
        <is>
          <t>BIN HUMAID NATIONAL TRADING CO. (ARABIA SAUDITA)</t>
        </is>
      </c>
      <c r="P2036" s="155" t="inlineStr">
        <is>
          <t>IMPORT LICENSE N. 182480 DEL 08/01/2025                                                                                  AUT. ESPORTAZIONE MULTIPLA N. 6B/2025/2M RILASCIATA IL 26/05/2025                   (LICENZA DI SCARICO N. 6B/2025/5S RILASCIATA IL 29/10/2025)</t>
        </is>
      </c>
      <c r="Q2036" s="150" t="n"/>
      <c r="R2036" s="150" t="n"/>
      <c r="S2036" s="153" t="n"/>
    </row>
    <row r="2037" ht="36" customHeight="1">
      <c r="A2037" s="46" t="n">
        <v>4367</v>
      </c>
      <c r="B2037" s="4">
        <f>+VLOOKUP($A2037,MAGAZZINO!$B$2:$M$100000,2,FALSE)</f>
        <v/>
      </c>
      <c r="C2037" s="29">
        <f>+VLOOKUP($A2037,MAGAZZINO!$B$2:$M$100000,3,FALSE)</f>
        <v/>
      </c>
      <c r="D2037" s="3">
        <f>+VLOOKUP($A2037,MAGAZZINO!$B$2:$M$100000,4,FALSE)</f>
        <v/>
      </c>
      <c r="E2037" s="3">
        <f>+VLOOKUP($A2037,MAGAZZINO!$B$2:$M$100000,5,FALSE)</f>
        <v/>
      </c>
      <c r="F2037" s="3">
        <f>+VLOOKUP($A2037,MAGAZZINO!$B$2:$M$100000,6,FALSE)</f>
        <v/>
      </c>
      <c r="G2037" s="3">
        <f>+VLOOKUP($A2037,MAGAZZINO!$B$2:$M$100000,7,FALSE)</f>
        <v/>
      </c>
      <c r="H2037" s="3">
        <f>+VLOOKUP($A2037,MAGAZZINO!$B$2:$M$100000,8,FALSE)</f>
        <v/>
      </c>
      <c r="I2037" s="3">
        <f>+VLOOKUP($A2037,MAGAZZINO!$B$2:$M$100000,9,FALSE)</f>
        <v/>
      </c>
      <c r="J2037" s="3">
        <f>+VLOOKUP($A2037,MAGAZZINO!$B$2:$M$100000,10,FALSE)</f>
        <v/>
      </c>
      <c r="K2037" s="3">
        <f>+VLOOKUP($A2037,MAGAZZINO!$B$2:$M$100000,11,FALSE)</f>
        <v/>
      </c>
      <c r="L2037" s="5">
        <f>+VLOOKUP($A2037,MAGAZZINO!$B$2:$M$100000,12,FALSE)</f>
        <v/>
      </c>
      <c r="M2037" s="47" t="n"/>
      <c r="N2037" s="88" t="n">
        <v>45965</v>
      </c>
      <c r="O2037" s="156" t="inlineStr">
        <is>
          <t>BIN HUMAID NATIONAL TRADING CO. (ARABIA SAUDITA)</t>
        </is>
      </c>
      <c r="P2037" s="155" t="inlineStr">
        <is>
          <t>IMPORT LICENSE N. 182480 DEL 08/01/2025                                                                                  AUT. ESPORTAZIONE MULTIPLA N. 6B/2025/2M RILASCIATA IL 26/05/2025                   (LICENZA DI SCARICO N. 6B/2025/5S RILASCIATA IL 29/10/2025)</t>
        </is>
      </c>
      <c r="Q2037" s="150" t="n"/>
      <c r="R2037" s="150" t="n"/>
      <c r="S2037" s="153" t="n"/>
    </row>
    <row r="2038" ht="36" customHeight="1">
      <c r="A2038" s="46" t="n">
        <v>4368</v>
      </c>
      <c r="B2038" s="4">
        <f>+VLOOKUP($A2038,MAGAZZINO!$B$2:$M$100000,2,FALSE)</f>
        <v/>
      </c>
      <c r="C2038" s="29">
        <f>+VLOOKUP($A2038,MAGAZZINO!$B$2:$M$100000,3,FALSE)</f>
        <v/>
      </c>
      <c r="D2038" s="3">
        <f>+VLOOKUP($A2038,MAGAZZINO!$B$2:$M$100000,4,FALSE)</f>
        <v/>
      </c>
      <c r="E2038" s="3">
        <f>+VLOOKUP($A2038,MAGAZZINO!$B$2:$M$100000,5,FALSE)</f>
        <v/>
      </c>
      <c r="F2038" s="3">
        <f>+VLOOKUP($A2038,MAGAZZINO!$B$2:$M$100000,6,FALSE)</f>
        <v/>
      </c>
      <c r="G2038" s="3">
        <f>+VLOOKUP($A2038,MAGAZZINO!$B$2:$M$100000,7,FALSE)</f>
        <v/>
      </c>
      <c r="H2038" s="3">
        <f>+VLOOKUP($A2038,MAGAZZINO!$B$2:$M$100000,8,FALSE)</f>
        <v/>
      </c>
      <c r="I2038" s="3">
        <f>+VLOOKUP($A2038,MAGAZZINO!$B$2:$M$100000,9,FALSE)</f>
        <v/>
      </c>
      <c r="J2038" s="3">
        <f>+VLOOKUP($A2038,MAGAZZINO!$B$2:$M$100000,10,FALSE)</f>
        <v/>
      </c>
      <c r="K2038" s="3">
        <f>+VLOOKUP($A2038,MAGAZZINO!$B$2:$M$100000,11,FALSE)</f>
        <v/>
      </c>
      <c r="L2038" s="5">
        <f>+VLOOKUP($A2038,MAGAZZINO!$B$2:$M$100000,12,FALSE)</f>
        <v/>
      </c>
      <c r="M2038" s="47" t="n"/>
      <c r="N2038" s="88" t="n">
        <v>45965</v>
      </c>
      <c r="O2038" s="156" t="inlineStr">
        <is>
          <t>BIN HUMAID NATIONAL TRADING CO. (ARABIA SAUDITA)</t>
        </is>
      </c>
      <c r="P2038" s="155" t="inlineStr">
        <is>
          <t>IMPORT LICENSE N. 182480 DEL 08/01/2025                                                                                  AUT. ESPORTAZIONE MULTIPLA N. 6B/2025/2M RILASCIATA IL 26/05/2025                   (LICENZA DI SCARICO N. 6B/2025/5S RILASCIATA IL 29/10/2025)</t>
        </is>
      </c>
      <c r="Q2038" s="150" t="n"/>
      <c r="R2038" s="150" t="n"/>
      <c r="S2038" s="153" t="n"/>
    </row>
    <row r="2039" ht="36" customHeight="1">
      <c r="A2039" s="46" t="n">
        <v>4369</v>
      </c>
      <c r="B2039" s="4">
        <f>+VLOOKUP($A2039,MAGAZZINO!$B$2:$M$100000,2,FALSE)</f>
        <v/>
      </c>
      <c r="C2039" s="29">
        <f>+VLOOKUP($A2039,MAGAZZINO!$B$2:$M$100000,3,FALSE)</f>
        <v/>
      </c>
      <c r="D2039" s="3">
        <f>+VLOOKUP($A2039,MAGAZZINO!$B$2:$M$100000,4,FALSE)</f>
        <v/>
      </c>
      <c r="E2039" s="3">
        <f>+VLOOKUP($A2039,MAGAZZINO!$B$2:$M$100000,5,FALSE)</f>
        <v/>
      </c>
      <c r="F2039" s="3">
        <f>+VLOOKUP($A2039,MAGAZZINO!$B$2:$M$100000,6,FALSE)</f>
        <v/>
      </c>
      <c r="G2039" s="3">
        <f>+VLOOKUP($A2039,MAGAZZINO!$B$2:$M$100000,7,FALSE)</f>
        <v/>
      </c>
      <c r="H2039" s="3">
        <f>+VLOOKUP($A2039,MAGAZZINO!$B$2:$M$100000,8,FALSE)</f>
        <v/>
      </c>
      <c r="I2039" s="3">
        <f>+VLOOKUP($A2039,MAGAZZINO!$B$2:$M$100000,9,FALSE)</f>
        <v/>
      </c>
      <c r="J2039" s="3">
        <f>+VLOOKUP($A2039,MAGAZZINO!$B$2:$M$100000,10,FALSE)</f>
        <v/>
      </c>
      <c r="K2039" s="3">
        <f>+VLOOKUP($A2039,MAGAZZINO!$B$2:$M$100000,11,FALSE)</f>
        <v/>
      </c>
      <c r="L2039" s="5">
        <f>+VLOOKUP($A2039,MAGAZZINO!$B$2:$M$100000,12,FALSE)</f>
        <v/>
      </c>
      <c r="M2039" s="47" t="n"/>
      <c r="N2039" s="88" t="n">
        <v>45965</v>
      </c>
      <c r="O2039" s="156" t="inlineStr">
        <is>
          <t>BIN HUMAID NATIONAL TRADING CO. (ARABIA SAUDITA)</t>
        </is>
      </c>
      <c r="P2039" s="155" t="inlineStr">
        <is>
          <t>IMPORT LICENSE N. 182480 DEL 08/01/2025                                                                                  AUT. ESPORTAZIONE MULTIPLA N. 6B/2025/2M RILASCIATA IL 26/05/2025                   (LICENZA DI SCARICO N. 6B/2025/5S RILASCIATA IL 29/10/2025)</t>
        </is>
      </c>
      <c r="Q2039" s="150" t="n"/>
      <c r="R2039" s="150" t="n"/>
      <c r="S2039" s="153" t="n"/>
    </row>
    <row r="2040" ht="36" customHeight="1">
      <c r="A2040" s="46" t="n">
        <v>4370</v>
      </c>
      <c r="B2040" s="4">
        <f>+VLOOKUP($A2040,MAGAZZINO!$B$2:$M$100000,2,FALSE)</f>
        <v/>
      </c>
      <c r="C2040" s="29">
        <f>+VLOOKUP($A2040,MAGAZZINO!$B$2:$M$100000,3,FALSE)</f>
        <v/>
      </c>
      <c r="D2040" s="3">
        <f>+VLOOKUP($A2040,MAGAZZINO!$B$2:$M$100000,4,FALSE)</f>
        <v/>
      </c>
      <c r="E2040" s="3">
        <f>+VLOOKUP($A2040,MAGAZZINO!$B$2:$M$100000,5,FALSE)</f>
        <v/>
      </c>
      <c r="F2040" s="3">
        <f>+VLOOKUP($A2040,MAGAZZINO!$B$2:$M$100000,6,FALSE)</f>
        <v/>
      </c>
      <c r="G2040" s="3">
        <f>+VLOOKUP($A2040,MAGAZZINO!$B$2:$M$100000,7,FALSE)</f>
        <v/>
      </c>
      <c r="H2040" s="3">
        <f>+VLOOKUP($A2040,MAGAZZINO!$B$2:$M$100000,8,FALSE)</f>
        <v/>
      </c>
      <c r="I2040" s="3">
        <f>+VLOOKUP($A2040,MAGAZZINO!$B$2:$M$100000,9,FALSE)</f>
        <v/>
      </c>
      <c r="J2040" s="3">
        <f>+VLOOKUP($A2040,MAGAZZINO!$B$2:$M$100000,10,FALSE)</f>
        <v/>
      </c>
      <c r="K2040" s="3">
        <f>+VLOOKUP($A2040,MAGAZZINO!$B$2:$M$100000,11,FALSE)</f>
        <v/>
      </c>
      <c r="L2040" s="5">
        <f>+VLOOKUP($A2040,MAGAZZINO!$B$2:$M$100000,12,FALSE)</f>
        <v/>
      </c>
      <c r="M2040" s="47" t="n"/>
      <c r="N2040" s="88" t="n">
        <v>45965</v>
      </c>
      <c r="O2040" s="156" t="inlineStr">
        <is>
          <t>BIN HUMAID NATIONAL TRADING CO. (ARABIA SAUDITA)</t>
        </is>
      </c>
      <c r="P2040" s="155" t="inlineStr">
        <is>
          <t>IMPORT LICENSE N. 182480 DEL 08/01/2025                                                                                  AUT. ESPORTAZIONE MULTIPLA N. 6B/2025/2M RILASCIATA IL 26/05/2025                   (LICENZA DI SCARICO N. 6B/2025/5S RILASCIATA IL 29/10/2025)</t>
        </is>
      </c>
      <c r="Q2040" s="150" t="n"/>
      <c r="R2040" s="150" t="n"/>
      <c r="S2040" s="153" t="n"/>
    </row>
    <row r="2041" ht="36" customHeight="1">
      <c r="A2041" s="46" t="n">
        <v>4371</v>
      </c>
      <c r="B2041" s="4">
        <f>+VLOOKUP($A2041,MAGAZZINO!$B$2:$M$100000,2,FALSE)</f>
        <v/>
      </c>
      <c r="C2041" s="29">
        <f>+VLOOKUP($A2041,MAGAZZINO!$B$2:$M$100000,3,FALSE)</f>
        <v/>
      </c>
      <c r="D2041" s="3">
        <f>+VLOOKUP($A2041,MAGAZZINO!$B$2:$M$100000,4,FALSE)</f>
        <v/>
      </c>
      <c r="E2041" s="3">
        <f>+VLOOKUP($A2041,MAGAZZINO!$B$2:$M$100000,5,FALSE)</f>
        <v/>
      </c>
      <c r="F2041" s="3">
        <f>+VLOOKUP($A2041,MAGAZZINO!$B$2:$M$100000,6,FALSE)</f>
        <v/>
      </c>
      <c r="G2041" s="3">
        <f>+VLOOKUP($A2041,MAGAZZINO!$B$2:$M$100000,7,FALSE)</f>
        <v/>
      </c>
      <c r="H2041" s="3">
        <f>+VLOOKUP($A2041,MAGAZZINO!$B$2:$M$100000,8,FALSE)</f>
        <v/>
      </c>
      <c r="I2041" s="3">
        <f>+VLOOKUP($A2041,MAGAZZINO!$B$2:$M$100000,9,FALSE)</f>
        <v/>
      </c>
      <c r="J2041" s="3">
        <f>+VLOOKUP($A2041,MAGAZZINO!$B$2:$M$100000,10,FALSE)</f>
        <v/>
      </c>
      <c r="K2041" s="3">
        <f>+VLOOKUP($A2041,MAGAZZINO!$B$2:$M$100000,11,FALSE)</f>
        <v/>
      </c>
      <c r="L2041" s="5">
        <f>+VLOOKUP($A2041,MAGAZZINO!$B$2:$M$100000,12,FALSE)</f>
        <v/>
      </c>
      <c r="M2041" s="47" t="n"/>
      <c r="N2041" s="88" t="n">
        <v>45965</v>
      </c>
      <c r="O2041" s="156" t="inlineStr">
        <is>
          <t>BIN HUMAID NATIONAL TRADING CO. (ARABIA SAUDITA)</t>
        </is>
      </c>
      <c r="P2041" s="155" t="inlineStr">
        <is>
          <t>IMPORT LICENSE N. 182480 DEL 08/01/2025                                                                                  AUT. ESPORTAZIONE MULTIPLA N. 6B/2025/2M RILASCIATA IL 26/05/2025                   (LICENZA DI SCARICO N. 6B/2025/5S RILASCIATA IL 29/10/2025)</t>
        </is>
      </c>
      <c r="Q2041" s="150" t="n"/>
      <c r="R2041" s="150" t="n"/>
      <c r="S2041" s="153" t="n"/>
    </row>
    <row r="2042" ht="36" customHeight="1">
      <c r="A2042" s="46" t="n">
        <v>4372</v>
      </c>
      <c r="B2042" s="4">
        <f>+VLOOKUP($A2042,MAGAZZINO!$B$2:$M$100000,2,FALSE)</f>
        <v/>
      </c>
      <c r="C2042" s="29">
        <f>+VLOOKUP($A2042,MAGAZZINO!$B$2:$M$100000,3,FALSE)</f>
        <v/>
      </c>
      <c r="D2042" s="3">
        <f>+VLOOKUP($A2042,MAGAZZINO!$B$2:$M$100000,4,FALSE)</f>
        <v/>
      </c>
      <c r="E2042" s="3">
        <f>+VLOOKUP($A2042,MAGAZZINO!$B$2:$M$100000,5,FALSE)</f>
        <v/>
      </c>
      <c r="F2042" s="3">
        <f>+VLOOKUP($A2042,MAGAZZINO!$B$2:$M$100000,6,FALSE)</f>
        <v/>
      </c>
      <c r="G2042" s="3">
        <f>+VLOOKUP($A2042,MAGAZZINO!$B$2:$M$100000,7,FALSE)</f>
        <v/>
      </c>
      <c r="H2042" s="3">
        <f>+VLOOKUP($A2042,MAGAZZINO!$B$2:$M$100000,8,FALSE)</f>
        <v/>
      </c>
      <c r="I2042" s="3">
        <f>+VLOOKUP($A2042,MAGAZZINO!$B$2:$M$100000,9,FALSE)</f>
        <v/>
      </c>
      <c r="J2042" s="3">
        <f>+VLOOKUP($A2042,MAGAZZINO!$B$2:$M$100000,10,FALSE)</f>
        <v/>
      </c>
      <c r="K2042" s="3">
        <f>+VLOOKUP($A2042,MAGAZZINO!$B$2:$M$100000,11,FALSE)</f>
        <v/>
      </c>
      <c r="L2042" s="5">
        <f>+VLOOKUP($A2042,MAGAZZINO!$B$2:$M$100000,12,FALSE)</f>
        <v/>
      </c>
      <c r="M2042" s="47" t="n"/>
      <c r="N2042" s="88" t="n">
        <v>45965</v>
      </c>
      <c r="O2042" s="156" t="inlineStr">
        <is>
          <t>BIN HUMAID NATIONAL TRADING CO. (ARABIA SAUDITA)</t>
        </is>
      </c>
      <c r="P2042" s="155" t="inlineStr">
        <is>
          <t>IMPORT LICENSE N. 182480 DEL 08/01/2025                                                                                  AUT. ESPORTAZIONE MULTIPLA N. 6B/2025/2M RILASCIATA IL 26/05/2025                   (LICENZA DI SCARICO N. 6B/2025/5S RILASCIATA IL 29/10/2025)</t>
        </is>
      </c>
      <c r="Q2042" s="150" t="n"/>
      <c r="R2042" s="150" t="n"/>
      <c r="S2042" s="153" t="n"/>
    </row>
    <row r="2043" ht="36" customHeight="1">
      <c r="A2043" s="46" t="n">
        <v>4373</v>
      </c>
      <c r="B2043" s="4">
        <f>+VLOOKUP($A2043,MAGAZZINO!$B$2:$M$100000,2,FALSE)</f>
        <v/>
      </c>
      <c r="C2043" s="29">
        <f>+VLOOKUP($A2043,MAGAZZINO!$B$2:$M$100000,3,FALSE)</f>
        <v/>
      </c>
      <c r="D2043" s="3">
        <f>+VLOOKUP($A2043,MAGAZZINO!$B$2:$M$100000,4,FALSE)</f>
        <v/>
      </c>
      <c r="E2043" s="3">
        <f>+VLOOKUP($A2043,MAGAZZINO!$B$2:$M$100000,5,FALSE)</f>
        <v/>
      </c>
      <c r="F2043" s="3">
        <f>+VLOOKUP($A2043,MAGAZZINO!$B$2:$M$100000,6,FALSE)</f>
        <v/>
      </c>
      <c r="G2043" s="3">
        <f>+VLOOKUP($A2043,MAGAZZINO!$B$2:$M$100000,7,FALSE)</f>
        <v/>
      </c>
      <c r="H2043" s="3">
        <f>+VLOOKUP($A2043,MAGAZZINO!$B$2:$M$100000,8,FALSE)</f>
        <v/>
      </c>
      <c r="I2043" s="3">
        <f>+VLOOKUP($A2043,MAGAZZINO!$B$2:$M$100000,9,FALSE)</f>
        <v/>
      </c>
      <c r="J2043" s="3">
        <f>+VLOOKUP($A2043,MAGAZZINO!$B$2:$M$100000,10,FALSE)</f>
        <v/>
      </c>
      <c r="K2043" s="3">
        <f>+VLOOKUP($A2043,MAGAZZINO!$B$2:$M$100000,11,FALSE)</f>
        <v/>
      </c>
      <c r="L2043" s="5">
        <f>+VLOOKUP($A2043,MAGAZZINO!$B$2:$M$100000,12,FALSE)</f>
        <v/>
      </c>
      <c r="M2043" s="47" t="n"/>
      <c r="N2043" s="88" t="n">
        <v>45965</v>
      </c>
      <c r="O2043" s="156" t="inlineStr">
        <is>
          <t>BIN HUMAID NATIONAL TRADING CO. (ARABIA SAUDITA)</t>
        </is>
      </c>
      <c r="P2043" s="155" t="inlineStr">
        <is>
          <t>IMPORT LICENSE N. 182480 DEL 08/01/2025                                                                                  AUT. ESPORTAZIONE MULTIPLA N. 6B/2025/2M RILASCIATA IL 26/05/2025                   (LICENZA DI SCARICO N. 6B/2025/5S RILASCIATA IL 29/10/2025)</t>
        </is>
      </c>
      <c r="Q2043" s="150" t="n"/>
      <c r="R2043" s="150" t="n"/>
      <c r="S2043" s="153" t="n"/>
    </row>
    <row r="2044" ht="36" customHeight="1">
      <c r="A2044" s="46" t="n">
        <v>4374</v>
      </c>
      <c r="B2044" s="4">
        <f>+VLOOKUP($A2044,MAGAZZINO!$B$2:$M$100000,2,FALSE)</f>
        <v/>
      </c>
      <c r="C2044" s="29">
        <f>+VLOOKUP($A2044,MAGAZZINO!$B$2:$M$100000,3,FALSE)</f>
        <v/>
      </c>
      <c r="D2044" s="3">
        <f>+VLOOKUP($A2044,MAGAZZINO!$B$2:$M$100000,4,FALSE)</f>
        <v/>
      </c>
      <c r="E2044" s="3">
        <f>+VLOOKUP($A2044,MAGAZZINO!$B$2:$M$100000,5,FALSE)</f>
        <v/>
      </c>
      <c r="F2044" s="3">
        <f>+VLOOKUP($A2044,MAGAZZINO!$B$2:$M$100000,6,FALSE)</f>
        <v/>
      </c>
      <c r="G2044" s="3">
        <f>+VLOOKUP($A2044,MAGAZZINO!$B$2:$M$100000,7,FALSE)</f>
        <v/>
      </c>
      <c r="H2044" s="3">
        <f>+VLOOKUP($A2044,MAGAZZINO!$B$2:$M$100000,8,FALSE)</f>
        <v/>
      </c>
      <c r="I2044" s="3">
        <f>+VLOOKUP($A2044,MAGAZZINO!$B$2:$M$100000,9,FALSE)</f>
        <v/>
      </c>
      <c r="J2044" s="3">
        <f>+VLOOKUP($A2044,MAGAZZINO!$B$2:$M$100000,10,FALSE)</f>
        <v/>
      </c>
      <c r="K2044" s="3">
        <f>+VLOOKUP($A2044,MAGAZZINO!$B$2:$M$100000,11,FALSE)</f>
        <v/>
      </c>
      <c r="L2044" s="5">
        <f>+VLOOKUP($A2044,MAGAZZINO!$B$2:$M$100000,12,FALSE)</f>
        <v/>
      </c>
      <c r="M2044" s="47" t="n"/>
      <c r="N2044" s="88" t="n">
        <v>45965</v>
      </c>
      <c r="O2044" s="156" t="inlineStr">
        <is>
          <t>BIN HUMAID NATIONAL TRADING CO. (ARABIA SAUDITA)</t>
        </is>
      </c>
      <c r="P2044" s="155" t="inlineStr">
        <is>
          <t>IMPORT LICENSE N. 182480 DEL 08/01/2025                                                                                  AUT. ESPORTAZIONE MULTIPLA N. 6B/2025/2M RILASCIATA IL 26/05/2025                   (LICENZA DI SCARICO N. 6B/2025/5S RILASCIATA IL 29/10/2025)</t>
        </is>
      </c>
      <c r="Q2044" s="150" t="n"/>
      <c r="R2044" s="150" t="n"/>
      <c r="S2044" s="153" t="n"/>
    </row>
    <row r="2045" ht="36" customHeight="1">
      <c r="A2045" s="46" t="n">
        <v>4375</v>
      </c>
      <c r="B2045" s="4">
        <f>+VLOOKUP($A2045,MAGAZZINO!$B$2:$M$100000,2,FALSE)</f>
        <v/>
      </c>
      <c r="C2045" s="29">
        <f>+VLOOKUP($A2045,MAGAZZINO!$B$2:$M$100000,3,FALSE)</f>
        <v/>
      </c>
      <c r="D2045" s="3">
        <f>+VLOOKUP($A2045,MAGAZZINO!$B$2:$M$100000,4,FALSE)</f>
        <v/>
      </c>
      <c r="E2045" s="3">
        <f>+VLOOKUP($A2045,MAGAZZINO!$B$2:$M$100000,5,FALSE)</f>
        <v/>
      </c>
      <c r="F2045" s="3">
        <f>+VLOOKUP($A2045,MAGAZZINO!$B$2:$M$100000,6,FALSE)</f>
        <v/>
      </c>
      <c r="G2045" s="3">
        <f>+VLOOKUP($A2045,MAGAZZINO!$B$2:$M$100000,7,FALSE)</f>
        <v/>
      </c>
      <c r="H2045" s="3">
        <f>+VLOOKUP($A2045,MAGAZZINO!$B$2:$M$100000,8,FALSE)</f>
        <v/>
      </c>
      <c r="I2045" s="3">
        <f>+VLOOKUP($A2045,MAGAZZINO!$B$2:$M$100000,9,FALSE)</f>
        <v/>
      </c>
      <c r="J2045" s="3">
        <f>+VLOOKUP($A2045,MAGAZZINO!$B$2:$M$100000,10,FALSE)</f>
        <v/>
      </c>
      <c r="K2045" s="3">
        <f>+VLOOKUP($A2045,MAGAZZINO!$B$2:$M$100000,11,FALSE)</f>
        <v/>
      </c>
      <c r="L2045" s="5">
        <f>+VLOOKUP($A2045,MAGAZZINO!$B$2:$M$100000,12,FALSE)</f>
        <v/>
      </c>
      <c r="M2045" s="47" t="n"/>
      <c r="N2045" s="88" t="n">
        <v>45965</v>
      </c>
      <c r="O2045" s="156" t="inlineStr">
        <is>
          <t>BIN HUMAID NATIONAL TRADING CO. (ARABIA SAUDITA)</t>
        </is>
      </c>
      <c r="P2045" s="155" t="inlineStr">
        <is>
          <t>IMPORT LICENSE N. 182480 DEL 08/01/2025                                                                                  AUT. ESPORTAZIONE MULTIPLA N. 6B/2025/2M RILASCIATA IL 26/05/2025                   (LICENZA DI SCARICO N. 6B/2025/5S RILASCIATA IL 29/10/2025)</t>
        </is>
      </c>
      <c r="Q2045" s="150" t="n"/>
      <c r="R2045" s="150" t="n"/>
      <c r="S2045" s="153" t="n"/>
    </row>
    <row r="2046" ht="36" customHeight="1">
      <c r="A2046" s="46" t="n">
        <v>4376</v>
      </c>
      <c r="B2046" s="4">
        <f>+VLOOKUP($A2046,MAGAZZINO!$B$2:$M$100000,2,FALSE)</f>
        <v/>
      </c>
      <c r="C2046" s="29">
        <f>+VLOOKUP($A2046,MAGAZZINO!$B$2:$M$100000,3,FALSE)</f>
        <v/>
      </c>
      <c r="D2046" s="3">
        <f>+VLOOKUP($A2046,MAGAZZINO!$B$2:$M$100000,4,FALSE)</f>
        <v/>
      </c>
      <c r="E2046" s="3">
        <f>+VLOOKUP($A2046,MAGAZZINO!$B$2:$M$100000,5,FALSE)</f>
        <v/>
      </c>
      <c r="F2046" s="3">
        <f>+VLOOKUP($A2046,MAGAZZINO!$B$2:$M$100000,6,FALSE)</f>
        <v/>
      </c>
      <c r="G2046" s="3">
        <f>+VLOOKUP($A2046,MAGAZZINO!$B$2:$M$100000,7,FALSE)</f>
        <v/>
      </c>
      <c r="H2046" s="3">
        <f>+VLOOKUP($A2046,MAGAZZINO!$B$2:$M$100000,8,FALSE)</f>
        <v/>
      </c>
      <c r="I2046" s="3">
        <f>+VLOOKUP($A2046,MAGAZZINO!$B$2:$M$100000,9,FALSE)</f>
        <v/>
      </c>
      <c r="J2046" s="3">
        <f>+VLOOKUP($A2046,MAGAZZINO!$B$2:$M$100000,10,FALSE)</f>
        <v/>
      </c>
      <c r="K2046" s="3">
        <f>+VLOOKUP($A2046,MAGAZZINO!$B$2:$M$100000,11,FALSE)</f>
        <v/>
      </c>
      <c r="L2046" s="5">
        <f>+VLOOKUP($A2046,MAGAZZINO!$B$2:$M$100000,12,FALSE)</f>
        <v/>
      </c>
      <c r="M2046" s="47" t="n"/>
      <c r="N2046" s="88" t="n">
        <v>45965</v>
      </c>
      <c r="O2046" s="156" t="inlineStr">
        <is>
          <t>BIN HUMAID NATIONAL TRADING CO. (ARABIA SAUDITA)</t>
        </is>
      </c>
      <c r="P2046" s="155" t="inlineStr">
        <is>
          <t>IMPORT LICENSE N. 182480 DEL 08/01/2025                                                                                  AUT. ESPORTAZIONE MULTIPLA N. 6B/2025/2M RILASCIATA IL 26/05/2025                   (LICENZA DI SCARICO N. 6B/2025/5S RILASCIATA IL 29/10/2025)</t>
        </is>
      </c>
      <c r="Q2046" s="150" t="n"/>
      <c r="R2046" s="150" t="n"/>
      <c r="S2046" s="153" t="n"/>
    </row>
    <row r="2047" ht="36" customHeight="1">
      <c r="A2047" s="46" t="n">
        <v>4377</v>
      </c>
      <c r="B2047" s="4">
        <f>+VLOOKUP($A2047,MAGAZZINO!$B$2:$M$100000,2,FALSE)</f>
        <v/>
      </c>
      <c r="C2047" s="29">
        <f>+VLOOKUP($A2047,MAGAZZINO!$B$2:$M$100000,3,FALSE)</f>
        <v/>
      </c>
      <c r="D2047" s="3">
        <f>+VLOOKUP($A2047,MAGAZZINO!$B$2:$M$100000,4,FALSE)</f>
        <v/>
      </c>
      <c r="E2047" s="3">
        <f>+VLOOKUP($A2047,MAGAZZINO!$B$2:$M$100000,5,FALSE)</f>
        <v/>
      </c>
      <c r="F2047" s="3">
        <f>+VLOOKUP($A2047,MAGAZZINO!$B$2:$M$100000,6,FALSE)</f>
        <v/>
      </c>
      <c r="G2047" s="3">
        <f>+VLOOKUP($A2047,MAGAZZINO!$B$2:$M$100000,7,FALSE)</f>
        <v/>
      </c>
      <c r="H2047" s="3">
        <f>+VLOOKUP($A2047,MAGAZZINO!$B$2:$M$100000,8,FALSE)</f>
        <v/>
      </c>
      <c r="I2047" s="3">
        <f>+VLOOKUP($A2047,MAGAZZINO!$B$2:$M$100000,9,FALSE)</f>
        <v/>
      </c>
      <c r="J2047" s="3">
        <f>+VLOOKUP($A2047,MAGAZZINO!$B$2:$M$100000,10,FALSE)</f>
        <v/>
      </c>
      <c r="K2047" s="3">
        <f>+VLOOKUP($A2047,MAGAZZINO!$B$2:$M$100000,11,FALSE)</f>
        <v/>
      </c>
      <c r="L2047" s="5">
        <f>+VLOOKUP($A2047,MAGAZZINO!$B$2:$M$100000,12,FALSE)</f>
        <v/>
      </c>
      <c r="M2047" s="47" t="n"/>
      <c r="N2047" s="88" t="n">
        <v>45965</v>
      </c>
      <c r="O2047" s="156" t="inlineStr">
        <is>
          <t>BIN HUMAID NATIONAL TRADING CO. (ARABIA SAUDITA)</t>
        </is>
      </c>
      <c r="P2047" s="155" t="inlineStr">
        <is>
          <t>IMPORT LICENSE N. 182480 DEL 08/01/2025                                                                                  AUT. ESPORTAZIONE MULTIPLA N. 6B/2025/2M RILASCIATA IL 26/05/2025                   (LICENZA DI SCARICO N. 6B/2025/5S RILASCIATA IL 29/10/2025)</t>
        </is>
      </c>
      <c r="Q2047" s="150" t="n"/>
      <c r="R2047" s="150" t="n"/>
      <c r="S2047" s="153" t="n"/>
    </row>
    <row r="2048" ht="36" customHeight="1">
      <c r="A2048" s="46" t="n">
        <v>4378</v>
      </c>
      <c r="B2048" s="4">
        <f>+VLOOKUP($A2048,MAGAZZINO!$B$2:$M$100000,2,FALSE)</f>
        <v/>
      </c>
      <c r="C2048" s="29">
        <f>+VLOOKUP($A2048,MAGAZZINO!$B$2:$M$100000,3,FALSE)</f>
        <v/>
      </c>
      <c r="D2048" s="3">
        <f>+VLOOKUP($A2048,MAGAZZINO!$B$2:$M$100000,4,FALSE)</f>
        <v/>
      </c>
      <c r="E2048" s="3">
        <f>+VLOOKUP($A2048,MAGAZZINO!$B$2:$M$100000,5,FALSE)</f>
        <v/>
      </c>
      <c r="F2048" s="3">
        <f>+VLOOKUP($A2048,MAGAZZINO!$B$2:$M$100000,6,FALSE)</f>
        <v/>
      </c>
      <c r="G2048" s="3">
        <f>+VLOOKUP($A2048,MAGAZZINO!$B$2:$M$100000,7,FALSE)</f>
        <v/>
      </c>
      <c r="H2048" s="3">
        <f>+VLOOKUP($A2048,MAGAZZINO!$B$2:$M$100000,8,FALSE)</f>
        <v/>
      </c>
      <c r="I2048" s="3">
        <f>+VLOOKUP($A2048,MAGAZZINO!$B$2:$M$100000,9,FALSE)</f>
        <v/>
      </c>
      <c r="J2048" s="3">
        <f>+VLOOKUP($A2048,MAGAZZINO!$B$2:$M$100000,10,FALSE)</f>
        <v/>
      </c>
      <c r="K2048" s="3">
        <f>+VLOOKUP($A2048,MAGAZZINO!$B$2:$M$100000,11,FALSE)</f>
        <v/>
      </c>
      <c r="L2048" s="5">
        <f>+VLOOKUP($A2048,MAGAZZINO!$B$2:$M$100000,12,FALSE)</f>
        <v/>
      </c>
      <c r="M2048" s="47" t="n"/>
      <c r="N2048" s="88" t="n">
        <v>45965</v>
      </c>
      <c r="O2048" s="156" t="inlineStr">
        <is>
          <t>BIN HUMAID NATIONAL TRADING CO. (ARABIA SAUDITA)</t>
        </is>
      </c>
      <c r="P2048" s="155" t="inlineStr">
        <is>
          <t>IMPORT LICENSE N. 182480 DEL 08/01/2025                                                                                  AUT. ESPORTAZIONE MULTIPLA N. 6B/2025/2M RILASCIATA IL 26/05/2025                   (LICENZA DI SCARICO N. 6B/2025/5S RILASCIATA IL 29/10/2025)</t>
        </is>
      </c>
      <c r="Q2048" s="150" t="n"/>
      <c r="R2048" s="150" t="n"/>
      <c r="S2048" s="153" t="n"/>
    </row>
    <row r="2049" ht="36" customHeight="1">
      <c r="A2049" s="46" t="n">
        <v>4379</v>
      </c>
      <c r="B2049" s="4">
        <f>+VLOOKUP($A2049,MAGAZZINO!$B$2:$M$100000,2,FALSE)</f>
        <v/>
      </c>
      <c r="C2049" s="29">
        <f>+VLOOKUP($A2049,MAGAZZINO!$B$2:$M$100000,3,FALSE)</f>
        <v/>
      </c>
      <c r="D2049" s="3">
        <f>+VLOOKUP($A2049,MAGAZZINO!$B$2:$M$100000,4,FALSE)</f>
        <v/>
      </c>
      <c r="E2049" s="3">
        <f>+VLOOKUP($A2049,MAGAZZINO!$B$2:$M$100000,5,FALSE)</f>
        <v/>
      </c>
      <c r="F2049" s="3">
        <f>+VLOOKUP($A2049,MAGAZZINO!$B$2:$M$100000,6,FALSE)</f>
        <v/>
      </c>
      <c r="G2049" s="3">
        <f>+VLOOKUP($A2049,MAGAZZINO!$B$2:$M$100000,7,FALSE)</f>
        <v/>
      </c>
      <c r="H2049" s="3">
        <f>+VLOOKUP($A2049,MAGAZZINO!$B$2:$M$100000,8,FALSE)</f>
        <v/>
      </c>
      <c r="I2049" s="3">
        <f>+VLOOKUP($A2049,MAGAZZINO!$B$2:$M$100000,9,FALSE)</f>
        <v/>
      </c>
      <c r="J2049" s="3">
        <f>+VLOOKUP($A2049,MAGAZZINO!$B$2:$M$100000,10,FALSE)</f>
        <v/>
      </c>
      <c r="K2049" s="3">
        <f>+VLOOKUP($A2049,MAGAZZINO!$B$2:$M$100000,11,FALSE)</f>
        <v/>
      </c>
      <c r="L2049" s="5">
        <f>+VLOOKUP($A2049,MAGAZZINO!$B$2:$M$100000,12,FALSE)</f>
        <v/>
      </c>
      <c r="M2049" s="47" t="n"/>
      <c r="N2049" s="88" t="n">
        <v>45965</v>
      </c>
      <c r="O2049" s="156" t="inlineStr">
        <is>
          <t>BIN HUMAID NATIONAL TRADING CO. (ARABIA SAUDITA)</t>
        </is>
      </c>
      <c r="P2049" s="155" t="inlineStr">
        <is>
          <t>IMPORT LICENSE N. 182480 DEL 08/01/2025                                                                                  AUT. ESPORTAZIONE MULTIPLA N. 6B/2025/2M RILASCIATA IL 26/05/2025                   (LICENZA DI SCARICO N. 6B/2025/5S RILASCIATA IL 29/10/2025)</t>
        </is>
      </c>
      <c r="Q2049" s="150" t="n"/>
      <c r="R2049" s="150" t="n"/>
      <c r="S2049" s="153" t="n"/>
    </row>
    <row r="2050" ht="36" customHeight="1">
      <c r="A2050" s="46" t="n">
        <v>4380</v>
      </c>
      <c r="B2050" s="4">
        <f>+VLOOKUP($A2050,MAGAZZINO!$B$2:$M$100000,2,FALSE)</f>
        <v/>
      </c>
      <c r="C2050" s="29">
        <f>+VLOOKUP($A2050,MAGAZZINO!$B$2:$M$100000,3,FALSE)</f>
        <v/>
      </c>
      <c r="D2050" s="3">
        <f>+VLOOKUP($A2050,MAGAZZINO!$B$2:$M$100000,4,FALSE)</f>
        <v/>
      </c>
      <c r="E2050" s="3">
        <f>+VLOOKUP($A2050,MAGAZZINO!$B$2:$M$100000,5,FALSE)</f>
        <v/>
      </c>
      <c r="F2050" s="3">
        <f>+VLOOKUP($A2050,MAGAZZINO!$B$2:$M$100000,6,FALSE)</f>
        <v/>
      </c>
      <c r="G2050" s="3">
        <f>+VLOOKUP($A2050,MAGAZZINO!$B$2:$M$100000,7,FALSE)</f>
        <v/>
      </c>
      <c r="H2050" s="3">
        <f>+VLOOKUP($A2050,MAGAZZINO!$B$2:$M$100000,8,FALSE)</f>
        <v/>
      </c>
      <c r="I2050" s="3">
        <f>+VLOOKUP($A2050,MAGAZZINO!$B$2:$M$100000,9,FALSE)</f>
        <v/>
      </c>
      <c r="J2050" s="3">
        <f>+VLOOKUP($A2050,MAGAZZINO!$B$2:$M$100000,10,FALSE)</f>
        <v/>
      </c>
      <c r="K2050" s="3">
        <f>+VLOOKUP($A2050,MAGAZZINO!$B$2:$M$100000,11,FALSE)</f>
        <v/>
      </c>
      <c r="L2050" s="5">
        <f>+VLOOKUP($A2050,MAGAZZINO!$B$2:$M$100000,12,FALSE)</f>
        <v/>
      </c>
      <c r="M2050" s="47" t="n"/>
      <c r="N2050" s="88" t="n">
        <v>45965</v>
      </c>
      <c r="O2050" s="156" t="inlineStr">
        <is>
          <t>BIN HUMAID NATIONAL TRADING CO. (ARABIA SAUDITA)</t>
        </is>
      </c>
      <c r="P2050" s="155" t="inlineStr">
        <is>
          <t>IMPORT LICENSE N. 182480 DEL 08/01/2025                                                                                  AUT. ESPORTAZIONE MULTIPLA N. 6B/2025/2M RILASCIATA IL 26/05/2025                   (LICENZA DI SCARICO N. 6B/2025/5S RILASCIATA IL 29/10/2025)</t>
        </is>
      </c>
      <c r="Q2050" s="150" t="n"/>
      <c r="R2050" s="150" t="n"/>
      <c r="S2050" s="153" t="n"/>
    </row>
    <row r="2051" ht="36" customHeight="1">
      <c r="A2051" s="46" t="n">
        <v>4381</v>
      </c>
      <c r="B2051" s="4">
        <f>+VLOOKUP($A2051,MAGAZZINO!$B$2:$M$100000,2,FALSE)</f>
        <v/>
      </c>
      <c r="C2051" s="29">
        <f>+VLOOKUP($A2051,MAGAZZINO!$B$2:$M$100000,3,FALSE)</f>
        <v/>
      </c>
      <c r="D2051" s="3">
        <f>+VLOOKUP($A2051,MAGAZZINO!$B$2:$M$100000,4,FALSE)</f>
        <v/>
      </c>
      <c r="E2051" s="3">
        <f>+VLOOKUP($A2051,MAGAZZINO!$B$2:$M$100000,5,FALSE)</f>
        <v/>
      </c>
      <c r="F2051" s="3">
        <f>+VLOOKUP($A2051,MAGAZZINO!$B$2:$M$100000,6,FALSE)</f>
        <v/>
      </c>
      <c r="G2051" s="3">
        <f>+VLOOKUP($A2051,MAGAZZINO!$B$2:$M$100000,7,FALSE)</f>
        <v/>
      </c>
      <c r="H2051" s="3">
        <f>+VLOOKUP($A2051,MAGAZZINO!$B$2:$M$100000,8,FALSE)</f>
        <v/>
      </c>
      <c r="I2051" s="3">
        <f>+VLOOKUP($A2051,MAGAZZINO!$B$2:$M$100000,9,FALSE)</f>
        <v/>
      </c>
      <c r="J2051" s="3">
        <f>+VLOOKUP($A2051,MAGAZZINO!$B$2:$M$100000,10,FALSE)</f>
        <v/>
      </c>
      <c r="K2051" s="3">
        <f>+VLOOKUP($A2051,MAGAZZINO!$B$2:$M$100000,11,FALSE)</f>
        <v/>
      </c>
      <c r="L2051" s="5">
        <f>+VLOOKUP($A2051,MAGAZZINO!$B$2:$M$100000,12,FALSE)</f>
        <v/>
      </c>
      <c r="M2051" s="47" t="n"/>
      <c r="N2051" s="88" t="n">
        <v>45965</v>
      </c>
      <c r="O2051" s="156" t="inlineStr">
        <is>
          <t>BIN HUMAID NATIONAL TRADING CO. (ARABIA SAUDITA)</t>
        </is>
      </c>
      <c r="P2051" s="155" t="inlineStr">
        <is>
          <t>IMPORT LICENSE N. 182480 DEL 08/01/2025                                                                                  AUT. ESPORTAZIONE MULTIPLA N. 6B/2025/2M RILASCIATA IL 26/05/2025                   (LICENZA DI SCARICO N. 6B/2025/5S RILASCIATA IL 29/10/2025)</t>
        </is>
      </c>
      <c r="Q2051" s="150" t="n"/>
      <c r="R2051" s="150" t="n"/>
      <c r="S2051" s="153" t="n"/>
    </row>
    <row r="2052" ht="36" customHeight="1">
      <c r="A2052" s="46" t="n">
        <v>4382</v>
      </c>
      <c r="B2052" s="4">
        <f>+VLOOKUP($A2052,MAGAZZINO!$B$2:$M$100000,2,FALSE)</f>
        <v/>
      </c>
      <c r="C2052" s="29">
        <f>+VLOOKUP($A2052,MAGAZZINO!$B$2:$M$100000,3,FALSE)</f>
        <v/>
      </c>
      <c r="D2052" s="3">
        <f>+VLOOKUP($A2052,MAGAZZINO!$B$2:$M$100000,4,FALSE)</f>
        <v/>
      </c>
      <c r="E2052" s="3">
        <f>+VLOOKUP($A2052,MAGAZZINO!$B$2:$M$100000,5,FALSE)</f>
        <v/>
      </c>
      <c r="F2052" s="3">
        <f>+VLOOKUP($A2052,MAGAZZINO!$B$2:$M$100000,6,FALSE)</f>
        <v/>
      </c>
      <c r="G2052" s="3">
        <f>+VLOOKUP($A2052,MAGAZZINO!$B$2:$M$100000,7,FALSE)</f>
        <v/>
      </c>
      <c r="H2052" s="3">
        <f>+VLOOKUP($A2052,MAGAZZINO!$B$2:$M$100000,8,FALSE)</f>
        <v/>
      </c>
      <c r="I2052" s="3">
        <f>+VLOOKUP($A2052,MAGAZZINO!$B$2:$M$100000,9,FALSE)</f>
        <v/>
      </c>
      <c r="J2052" s="3">
        <f>+VLOOKUP($A2052,MAGAZZINO!$B$2:$M$100000,10,FALSE)</f>
        <v/>
      </c>
      <c r="K2052" s="3">
        <f>+VLOOKUP($A2052,MAGAZZINO!$B$2:$M$100000,11,FALSE)</f>
        <v/>
      </c>
      <c r="L2052" s="5">
        <f>+VLOOKUP($A2052,MAGAZZINO!$B$2:$M$100000,12,FALSE)</f>
        <v/>
      </c>
      <c r="M2052" s="47" t="n"/>
      <c r="N2052" s="88" t="n">
        <v>45965</v>
      </c>
      <c r="O2052" s="156" t="inlineStr">
        <is>
          <t>BIN HUMAID NATIONAL TRADING CO. (ARABIA SAUDITA)</t>
        </is>
      </c>
      <c r="P2052" s="155" t="inlineStr">
        <is>
          <t>IMPORT LICENSE N. 182480 DEL 08/01/2025                                                                                  AUT. ESPORTAZIONE MULTIPLA N. 6B/2025/2M RILASCIATA IL 26/05/2025                   (LICENZA DI SCARICO N. 6B/2025/5S RILASCIATA IL 29/10/2025)</t>
        </is>
      </c>
      <c r="Q2052" s="150" t="n"/>
      <c r="R2052" s="150" t="n"/>
      <c r="S2052" s="153" t="n"/>
    </row>
    <row r="2053" ht="36" customHeight="1">
      <c r="A2053" s="46" t="n">
        <v>4383</v>
      </c>
      <c r="B2053" s="4">
        <f>+VLOOKUP($A2053,MAGAZZINO!$B$2:$M$100000,2,FALSE)</f>
        <v/>
      </c>
      <c r="C2053" s="29">
        <f>+VLOOKUP($A2053,MAGAZZINO!$B$2:$M$100000,3,FALSE)</f>
        <v/>
      </c>
      <c r="D2053" s="3">
        <f>+VLOOKUP($A2053,MAGAZZINO!$B$2:$M$100000,4,FALSE)</f>
        <v/>
      </c>
      <c r="E2053" s="3">
        <f>+VLOOKUP($A2053,MAGAZZINO!$B$2:$M$100000,5,FALSE)</f>
        <v/>
      </c>
      <c r="F2053" s="3">
        <f>+VLOOKUP($A2053,MAGAZZINO!$B$2:$M$100000,6,FALSE)</f>
        <v/>
      </c>
      <c r="G2053" s="3">
        <f>+VLOOKUP($A2053,MAGAZZINO!$B$2:$M$100000,7,FALSE)</f>
        <v/>
      </c>
      <c r="H2053" s="3">
        <f>+VLOOKUP($A2053,MAGAZZINO!$B$2:$M$100000,8,FALSE)</f>
        <v/>
      </c>
      <c r="I2053" s="3">
        <f>+VLOOKUP($A2053,MAGAZZINO!$B$2:$M$100000,9,FALSE)</f>
        <v/>
      </c>
      <c r="J2053" s="3">
        <f>+VLOOKUP($A2053,MAGAZZINO!$B$2:$M$100000,10,FALSE)</f>
        <v/>
      </c>
      <c r="K2053" s="3">
        <f>+VLOOKUP($A2053,MAGAZZINO!$B$2:$M$100000,11,FALSE)</f>
        <v/>
      </c>
      <c r="L2053" s="5">
        <f>+VLOOKUP($A2053,MAGAZZINO!$B$2:$M$100000,12,FALSE)</f>
        <v/>
      </c>
      <c r="M2053" s="47" t="n"/>
      <c r="N2053" s="88" t="n">
        <v>45965</v>
      </c>
      <c r="O2053" s="156" t="inlineStr">
        <is>
          <t>BIN HUMAID NATIONAL TRADING CO. (ARABIA SAUDITA)</t>
        </is>
      </c>
      <c r="P2053" s="155" t="inlineStr">
        <is>
          <t>IMPORT LICENSE N. 182480 DEL 08/01/2025                                                                                  AUT. ESPORTAZIONE MULTIPLA N. 6B/2025/2M RILASCIATA IL 26/05/2025                   (LICENZA DI SCARICO N. 6B/2025/5S RILASCIATA IL 29/10/2025)</t>
        </is>
      </c>
      <c r="Q2053" s="150" t="n"/>
      <c r="R2053" s="150" t="n"/>
      <c r="S2053" s="153" t="n"/>
    </row>
    <row r="2054" ht="36" customHeight="1">
      <c r="A2054" s="46" t="n">
        <v>4384</v>
      </c>
      <c r="B2054" s="4">
        <f>+VLOOKUP($A2054,MAGAZZINO!$B$2:$M$100000,2,FALSE)</f>
        <v/>
      </c>
      <c r="C2054" s="29">
        <f>+VLOOKUP($A2054,MAGAZZINO!$B$2:$M$100000,3,FALSE)</f>
        <v/>
      </c>
      <c r="D2054" s="3">
        <f>+VLOOKUP($A2054,MAGAZZINO!$B$2:$M$100000,4,FALSE)</f>
        <v/>
      </c>
      <c r="E2054" s="3">
        <f>+VLOOKUP($A2054,MAGAZZINO!$B$2:$M$100000,5,FALSE)</f>
        <v/>
      </c>
      <c r="F2054" s="3">
        <f>+VLOOKUP($A2054,MAGAZZINO!$B$2:$M$100000,6,FALSE)</f>
        <v/>
      </c>
      <c r="G2054" s="3">
        <f>+VLOOKUP($A2054,MAGAZZINO!$B$2:$M$100000,7,FALSE)</f>
        <v/>
      </c>
      <c r="H2054" s="3">
        <f>+VLOOKUP($A2054,MAGAZZINO!$B$2:$M$100000,8,FALSE)</f>
        <v/>
      </c>
      <c r="I2054" s="3">
        <f>+VLOOKUP($A2054,MAGAZZINO!$B$2:$M$100000,9,FALSE)</f>
        <v/>
      </c>
      <c r="J2054" s="3">
        <f>+VLOOKUP($A2054,MAGAZZINO!$B$2:$M$100000,10,FALSE)</f>
        <v/>
      </c>
      <c r="K2054" s="3">
        <f>+VLOOKUP($A2054,MAGAZZINO!$B$2:$M$100000,11,FALSE)</f>
        <v/>
      </c>
      <c r="L2054" s="5">
        <f>+VLOOKUP($A2054,MAGAZZINO!$B$2:$M$100000,12,FALSE)</f>
        <v/>
      </c>
      <c r="M2054" s="47" t="n"/>
      <c r="N2054" s="88" t="n">
        <v>45965</v>
      </c>
      <c r="O2054" s="156" t="inlineStr">
        <is>
          <t>BIN HUMAID NATIONAL TRADING CO. (ARABIA SAUDITA)</t>
        </is>
      </c>
      <c r="P2054" s="155" t="inlineStr">
        <is>
          <t>IMPORT LICENSE N. 182480 DEL 08/01/2025                                                                                  AUT. ESPORTAZIONE MULTIPLA N. 6B/2025/2M RILASCIATA IL 26/05/2025                   (LICENZA DI SCARICO N. 6B/2025/5S RILASCIATA IL 29/10/2025)</t>
        </is>
      </c>
      <c r="Q2054" s="150" t="n"/>
      <c r="R2054" s="150" t="n"/>
      <c r="S2054" s="153" t="n"/>
    </row>
    <row r="2055" ht="36" customHeight="1">
      <c r="A2055" s="46" t="n">
        <v>4385</v>
      </c>
      <c r="B2055" s="4">
        <f>+VLOOKUP($A2055,MAGAZZINO!$B$2:$M$100000,2,FALSE)</f>
        <v/>
      </c>
      <c r="C2055" s="29">
        <f>+VLOOKUP($A2055,MAGAZZINO!$B$2:$M$100000,3,FALSE)</f>
        <v/>
      </c>
      <c r="D2055" s="3">
        <f>+VLOOKUP($A2055,MAGAZZINO!$B$2:$M$100000,4,FALSE)</f>
        <v/>
      </c>
      <c r="E2055" s="3">
        <f>+VLOOKUP($A2055,MAGAZZINO!$B$2:$M$100000,5,FALSE)</f>
        <v/>
      </c>
      <c r="F2055" s="3">
        <f>+VLOOKUP($A2055,MAGAZZINO!$B$2:$M$100000,6,FALSE)</f>
        <v/>
      </c>
      <c r="G2055" s="3">
        <f>+VLOOKUP($A2055,MAGAZZINO!$B$2:$M$100000,7,FALSE)</f>
        <v/>
      </c>
      <c r="H2055" s="3">
        <f>+VLOOKUP($A2055,MAGAZZINO!$B$2:$M$100000,8,FALSE)</f>
        <v/>
      </c>
      <c r="I2055" s="3">
        <f>+VLOOKUP($A2055,MAGAZZINO!$B$2:$M$100000,9,FALSE)</f>
        <v/>
      </c>
      <c r="J2055" s="3">
        <f>+VLOOKUP($A2055,MAGAZZINO!$B$2:$M$100000,10,FALSE)</f>
        <v/>
      </c>
      <c r="K2055" s="3">
        <f>+VLOOKUP($A2055,MAGAZZINO!$B$2:$M$100000,11,FALSE)</f>
        <v/>
      </c>
      <c r="L2055" s="5">
        <f>+VLOOKUP($A2055,MAGAZZINO!$B$2:$M$100000,12,FALSE)</f>
        <v/>
      </c>
      <c r="M2055" s="47" t="n"/>
      <c r="N2055" s="88" t="n">
        <v>45965</v>
      </c>
      <c r="O2055" s="156" t="inlineStr">
        <is>
          <t>BIN HUMAID NATIONAL TRADING CO. (ARABIA SAUDITA)</t>
        </is>
      </c>
      <c r="P2055" s="155" t="inlineStr">
        <is>
          <t>IMPORT LICENSE N. 182480 DEL 08/01/2025                                                                                  AUT. ESPORTAZIONE MULTIPLA N. 6B/2025/2M RILASCIATA IL 26/05/2025                   (LICENZA DI SCARICO N. 6B/2025/5S RILASCIATA IL 29/10/2025)</t>
        </is>
      </c>
      <c r="Q2055" s="150" t="n"/>
      <c r="R2055" s="150" t="n"/>
      <c r="S2055" s="153" t="n"/>
    </row>
    <row r="2056" ht="36" customHeight="1">
      <c r="A2056" s="46" t="n">
        <v>4386</v>
      </c>
      <c r="B2056" s="4">
        <f>+VLOOKUP($A2056,MAGAZZINO!$B$2:$M$100000,2,FALSE)</f>
        <v/>
      </c>
      <c r="C2056" s="29">
        <f>+VLOOKUP($A2056,MAGAZZINO!$B$2:$M$100000,3,FALSE)</f>
        <v/>
      </c>
      <c r="D2056" s="3">
        <f>+VLOOKUP($A2056,MAGAZZINO!$B$2:$M$100000,4,FALSE)</f>
        <v/>
      </c>
      <c r="E2056" s="3">
        <f>+VLOOKUP($A2056,MAGAZZINO!$B$2:$M$100000,5,FALSE)</f>
        <v/>
      </c>
      <c r="F2056" s="3">
        <f>+VLOOKUP($A2056,MAGAZZINO!$B$2:$M$100000,6,FALSE)</f>
        <v/>
      </c>
      <c r="G2056" s="3">
        <f>+VLOOKUP($A2056,MAGAZZINO!$B$2:$M$100000,7,FALSE)</f>
        <v/>
      </c>
      <c r="H2056" s="3">
        <f>+VLOOKUP($A2056,MAGAZZINO!$B$2:$M$100000,8,FALSE)</f>
        <v/>
      </c>
      <c r="I2056" s="3">
        <f>+VLOOKUP($A2056,MAGAZZINO!$B$2:$M$100000,9,FALSE)</f>
        <v/>
      </c>
      <c r="J2056" s="3">
        <f>+VLOOKUP($A2056,MAGAZZINO!$B$2:$M$100000,10,FALSE)</f>
        <v/>
      </c>
      <c r="K2056" s="3">
        <f>+VLOOKUP($A2056,MAGAZZINO!$B$2:$M$100000,11,FALSE)</f>
        <v/>
      </c>
      <c r="L2056" s="5">
        <f>+VLOOKUP($A2056,MAGAZZINO!$B$2:$M$100000,12,FALSE)</f>
        <v/>
      </c>
      <c r="M2056" s="47" t="n"/>
      <c r="N2056" s="88" t="n">
        <v>45965</v>
      </c>
      <c r="O2056" s="156" t="inlineStr">
        <is>
          <t>BIN HUMAID NATIONAL TRADING CO. (ARABIA SAUDITA)</t>
        </is>
      </c>
      <c r="P2056" s="155" t="inlineStr">
        <is>
          <t>IMPORT LICENSE N. 182480 DEL 08/01/2025                                                                                  AUT. ESPORTAZIONE MULTIPLA N. 6B/2025/2M RILASCIATA IL 26/05/2025                   (LICENZA DI SCARICO N. 6B/2025/5S RILASCIATA IL 29/10/2025)</t>
        </is>
      </c>
      <c r="Q2056" s="150" t="n"/>
      <c r="R2056" s="150" t="n"/>
      <c r="S2056" s="153" t="n"/>
    </row>
    <row r="2057" ht="36" customHeight="1">
      <c r="A2057" s="46" t="n">
        <v>4387</v>
      </c>
      <c r="B2057" s="4">
        <f>+VLOOKUP($A2057,MAGAZZINO!$B$2:$M$100000,2,FALSE)</f>
        <v/>
      </c>
      <c r="C2057" s="29">
        <f>+VLOOKUP($A2057,MAGAZZINO!$B$2:$M$100000,3,FALSE)</f>
        <v/>
      </c>
      <c r="D2057" s="3">
        <f>+VLOOKUP($A2057,MAGAZZINO!$B$2:$M$100000,4,FALSE)</f>
        <v/>
      </c>
      <c r="E2057" s="3">
        <f>+VLOOKUP($A2057,MAGAZZINO!$B$2:$M$100000,5,FALSE)</f>
        <v/>
      </c>
      <c r="F2057" s="3">
        <f>+VLOOKUP($A2057,MAGAZZINO!$B$2:$M$100000,6,FALSE)</f>
        <v/>
      </c>
      <c r="G2057" s="3">
        <f>+VLOOKUP($A2057,MAGAZZINO!$B$2:$M$100000,7,FALSE)</f>
        <v/>
      </c>
      <c r="H2057" s="3">
        <f>+VLOOKUP($A2057,MAGAZZINO!$B$2:$M$100000,8,FALSE)</f>
        <v/>
      </c>
      <c r="I2057" s="3">
        <f>+VLOOKUP($A2057,MAGAZZINO!$B$2:$M$100000,9,FALSE)</f>
        <v/>
      </c>
      <c r="J2057" s="3">
        <f>+VLOOKUP($A2057,MAGAZZINO!$B$2:$M$100000,10,FALSE)</f>
        <v/>
      </c>
      <c r="K2057" s="3">
        <f>+VLOOKUP($A2057,MAGAZZINO!$B$2:$M$100000,11,FALSE)</f>
        <v/>
      </c>
      <c r="L2057" s="5">
        <f>+VLOOKUP($A2057,MAGAZZINO!$B$2:$M$100000,12,FALSE)</f>
        <v/>
      </c>
      <c r="M2057" s="47" t="n"/>
      <c r="N2057" s="88" t="n">
        <v>45965</v>
      </c>
      <c r="O2057" s="156" t="inlineStr">
        <is>
          <t>BIN HUMAID NATIONAL TRADING CO. (ARABIA SAUDITA)</t>
        </is>
      </c>
      <c r="P2057" s="155" t="inlineStr">
        <is>
          <t>IMPORT LICENSE N. 182480 DEL 08/01/2025                                                                                  AUT. ESPORTAZIONE MULTIPLA N. 6B/2025/2M RILASCIATA IL 26/05/2025                   (LICENZA DI SCARICO N. 6B/2025/5S RILASCIATA IL 29/10/2025)</t>
        </is>
      </c>
      <c r="Q2057" s="150" t="n"/>
      <c r="R2057" s="150" t="n"/>
      <c r="S2057" s="153" t="n"/>
    </row>
    <row r="2058" ht="36" customHeight="1">
      <c r="A2058" s="46" t="n">
        <v>4388</v>
      </c>
      <c r="B2058" s="4">
        <f>+VLOOKUP($A2058,MAGAZZINO!$B$2:$M$100000,2,FALSE)</f>
        <v/>
      </c>
      <c r="C2058" s="29">
        <f>+VLOOKUP($A2058,MAGAZZINO!$B$2:$M$100000,3,FALSE)</f>
        <v/>
      </c>
      <c r="D2058" s="3">
        <f>+VLOOKUP($A2058,MAGAZZINO!$B$2:$M$100000,4,FALSE)</f>
        <v/>
      </c>
      <c r="E2058" s="3">
        <f>+VLOOKUP($A2058,MAGAZZINO!$B$2:$M$100000,5,FALSE)</f>
        <v/>
      </c>
      <c r="F2058" s="3">
        <f>+VLOOKUP($A2058,MAGAZZINO!$B$2:$M$100000,6,FALSE)</f>
        <v/>
      </c>
      <c r="G2058" s="3">
        <f>+VLOOKUP($A2058,MAGAZZINO!$B$2:$M$100000,7,FALSE)</f>
        <v/>
      </c>
      <c r="H2058" s="3">
        <f>+VLOOKUP($A2058,MAGAZZINO!$B$2:$M$100000,8,FALSE)</f>
        <v/>
      </c>
      <c r="I2058" s="3">
        <f>+VLOOKUP($A2058,MAGAZZINO!$B$2:$M$100000,9,FALSE)</f>
        <v/>
      </c>
      <c r="J2058" s="3">
        <f>+VLOOKUP($A2058,MAGAZZINO!$B$2:$M$100000,10,FALSE)</f>
        <v/>
      </c>
      <c r="K2058" s="3">
        <f>+VLOOKUP($A2058,MAGAZZINO!$B$2:$M$100000,11,FALSE)</f>
        <v/>
      </c>
      <c r="L2058" s="5">
        <f>+VLOOKUP($A2058,MAGAZZINO!$B$2:$M$100000,12,FALSE)</f>
        <v/>
      </c>
      <c r="M2058" s="47" t="n"/>
      <c r="N2058" s="88" t="n">
        <v>45965</v>
      </c>
      <c r="O2058" s="156" t="inlineStr">
        <is>
          <t>BIN HUMAID NATIONAL TRADING CO. (ARABIA SAUDITA)</t>
        </is>
      </c>
      <c r="P2058" s="155" t="inlineStr">
        <is>
          <t>IMPORT LICENSE N. 182480 DEL 08/01/2025                                                                                  AUT. ESPORTAZIONE MULTIPLA N. 6B/2025/2M RILASCIATA IL 26/05/2025                   (LICENZA DI SCARICO N. 6B/2025/5S RILASCIATA IL 29/10/2025)</t>
        </is>
      </c>
      <c r="Q2058" s="150" t="n"/>
      <c r="R2058" s="150" t="n"/>
      <c r="S2058" s="153" t="n"/>
    </row>
    <row r="2059" ht="36" customHeight="1">
      <c r="A2059" s="46" t="n">
        <v>4389</v>
      </c>
      <c r="B2059" s="4">
        <f>+VLOOKUP($A2059,MAGAZZINO!$B$2:$M$100000,2,FALSE)</f>
        <v/>
      </c>
      <c r="C2059" s="29">
        <f>+VLOOKUP($A2059,MAGAZZINO!$B$2:$M$100000,3,FALSE)</f>
        <v/>
      </c>
      <c r="D2059" s="3">
        <f>+VLOOKUP($A2059,MAGAZZINO!$B$2:$M$100000,4,FALSE)</f>
        <v/>
      </c>
      <c r="E2059" s="3">
        <f>+VLOOKUP($A2059,MAGAZZINO!$B$2:$M$100000,5,FALSE)</f>
        <v/>
      </c>
      <c r="F2059" s="3">
        <f>+VLOOKUP($A2059,MAGAZZINO!$B$2:$M$100000,6,FALSE)</f>
        <v/>
      </c>
      <c r="G2059" s="3">
        <f>+VLOOKUP($A2059,MAGAZZINO!$B$2:$M$100000,7,FALSE)</f>
        <v/>
      </c>
      <c r="H2059" s="3">
        <f>+VLOOKUP($A2059,MAGAZZINO!$B$2:$M$100000,8,FALSE)</f>
        <v/>
      </c>
      <c r="I2059" s="3">
        <f>+VLOOKUP($A2059,MAGAZZINO!$B$2:$M$100000,9,FALSE)</f>
        <v/>
      </c>
      <c r="J2059" s="3">
        <f>+VLOOKUP($A2059,MAGAZZINO!$B$2:$M$100000,10,FALSE)</f>
        <v/>
      </c>
      <c r="K2059" s="3">
        <f>+VLOOKUP($A2059,MAGAZZINO!$B$2:$M$100000,11,FALSE)</f>
        <v/>
      </c>
      <c r="L2059" s="5">
        <f>+VLOOKUP($A2059,MAGAZZINO!$B$2:$M$100000,12,FALSE)</f>
        <v/>
      </c>
      <c r="M2059" s="47" t="n"/>
      <c r="N2059" s="88" t="n">
        <v>45965</v>
      </c>
      <c r="O2059" s="156" t="inlineStr">
        <is>
          <t>BIN HUMAID NATIONAL TRADING CO. (ARABIA SAUDITA)</t>
        </is>
      </c>
      <c r="P2059" s="155" t="inlineStr">
        <is>
          <t>IMPORT LICENSE N. 182480 DEL 08/01/2025                                                                                  AUT. ESPORTAZIONE MULTIPLA N. 6B/2025/2M RILASCIATA IL 26/05/2025                   (LICENZA DI SCARICO N. 6B/2025/5S RILASCIATA IL 29/10/2025)</t>
        </is>
      </c>
      <c r="Q2059" s="150" t="n"/>
      <c r="R2059" s="150" t="n"/>
      <c r="S2059" s="153" t="n"/>
    </row>
    <row r="2060" ht="36" customHeight="1">
      <c r="A2060" s="46" t="n">
        <v>4390</v>
      </c>
      <c r="B2060" s="4">
        <f>+VLOOKUP($A2060,MAGAZZINO!$B$2:$M$100000,2,FALSE)</f>
        <v/>
      </c>
      <c r="C2060" s="29">
        <f>+VLOOKUP($A2060,MAGAZZINO!$B$2:$M$100000,3,FALSE)</f>
        <v/>
      </c>
      <c r="D2060" s="3">
        <f>+VLOOKUP($A2060,MAGAZZINO!$B$2:$M$100000,4,FALSE)</f>
        <v/>
      </c>
      <c r="E2060" s="3">
        <f>+VLOOKUP($A2060,MAGAZZINO!$B$2:$M$100000,5,FALSE)</f>
        <v/>
      </c>
      <c r="F2060" s="3">
        <f>+VLOOKUP($A2060,MAGAZZINO!$B$2:$M$100000,6,FALSE)</f>
        <v/>
      </c>
      <c r="G2060" s="3">
        <f>+VLOOKUP($A2060,MAGAZZINO!$B$2:$M$100000,7,FALSE)</f>
        <v/>
      </c>
      <c r="H2060" s="3">
        <f>+VLOOKUP($A2060,MAGAZZINO!$B$2:$M$100000,8,FALSE)</f>
        <v/>
      </c>
      <c r="I2060" s="3">
        <f>+VLOOKUP($A2060,MAGAZZINO!$B$2:$M$100000,9,FALSE)</f>
        <v/>
      </c>
      <c r="J2060" s="3">
        <f>+VLOOKUP($A2060,MAGAZZINO!$B$2:$M$100000,10,FALSE)</f>
        <v/>
      </c>
      <c r="K2060" s="3">
        <f>+VLOOKUP($A2060,MAGAZZINO!$B$2:$M$100000,11,FALSE)</f>
        <v/>
      </c>
      <c r="L2060" s="5">
        <f>+VLOOKUP($A2060,MAGAZZINO!$B$2:$M$100000,12,FALSE)</f>
        <v/>
      </c>
      <c r="M2060" s="47" t="n"/>
      <c r="N2060" s="88" t="n">
        <v>45965</v>
      </c>
      <c r="O2060" s="156" t="inlineStr">
        <is>
          <t>BIN HUMAID NATIONAL TRADING CO. (ARABIA SAUDITA)</t>
        </is>
      </c>
      <c r="P2060" s="155" t="inlineStr">
        <is>
          <t>IMPORT LICENSE N. 182480 DEL 08/01/2025                                                                                  AUT. ESPORTAZIONE MULTIPLA N. 6B/2025/2M RILASCIATA IL 26/05/2025                   (LICENZA DI SCARICO N. 6B/2025/5S RILASCIATA IL 29/10/2025)</t>
        </is>
      </c>
      <c r="Q2060" s="150" t="n"/>
      <c r="R2060" s="150" t="n"/>
      <c r="S2060" s="153" t="n"/>
    </row>
    <row r="2061" ht="36" customHeight="1">
      <c r="A2061" s="46" t="n">
        <v>4391</v>
      </c>
      <c r="B2061" s="4">
        <f>+VLOOKUP($A2061,MAGAZZINO!$B$2:$M$100000,2,FALSE)</f>
        <v/>
      </c>
      <c r="C2061" s="29">
        <f>+VLOOKUP($A2061,MAGAZZINO!$B$2:$M$100000,3,FALSE)</f>
        <v/>
      </c>
      <c r="D2061" s="3">
        <f>+VLOOKUP($A2061,MAGAZZINO!$B$2:$M$100000,4,FALSE)</f>
        <v/>
      </c>
      <c r="E2061" s="3">
        <f>+VLOOKUP($A2061,MAGAZZINO!$B$2:$M$100000,5,FALSE)</f>
        <v/>
      </c>
      <c r="F2061" s="3">
        <f>+VLOOKUP($A2061,MAGAZZINO!$B$2:$M$100000,6,FALSE)</f>
        <v/>
      </c>
      <c r="G2061" s="3">
        <f>+VLOOKUP($A2061,MAGAZZINO!$B$2:$M$100000,7,FALSE)</f>
        <v/>
      </c>
      <c r="H2061" s="3">
        <f>+VLOOKUP($A2061,MAGAZZINO!$B$2:$M$100000,8,FALSE)</f>
        <v/>
      </c>
      <c r="I2061" s="3">
        <f>+VLOOKUP($A2061,MAGAZZINO!$B$2:$M$100000,9,FALSE)</f>
        <v/>
      </c>
      <c r="J2061" s="3">
        <f>+VLOOKUP($A2061,MAGAZZINO!$B$2:$M$100000,10,FALSE)</f>
        <v/>
      </c>
      <c r="K2061" s="3">
        <f>+VLOOKUP($A2061,MAGAZZINO!$B$2:$M$100000,11,FALSE)</f>
        <v/>
      </c>
      <c r="L2061" s="5">
        <f>+VLOOKUP($A2061,MAGAZZINO!$B$2:$M$100000,12,FALSE)</f>
        <v/>
      </c>
      <c r="M2061" s="47" t="n"/>
      <c r="N2061" s="88" t="n">
        <v>45965</v>
      </c>
      <c r="O2061" s="156" t="inlineStr">
        <is>
          <t>BIN HUMAID NATIONAL TRADING CO. (ARABIA SAUDITA)</t>
        </is>
      </c>
      <c r="P2061" s="155" t="inlineStr">
        <is>
          <t>IMPORT LICENSE N. 182480 DEL 08/01/2025                                                                                  AUT. ESPORTAZIONE MULTIPLA N. 6B/2025/2M RILASCIATA IL 26/05/2025                   (LICENZA DI SCARICO N. 6B/2025/5S RILASCIATA IL 29/10/2025)</t>
        </is>
      </c>
      <c r="Q2061" s="150" t="n"/>
      <c r="R2061" s="150" t="n"/>
      <c r="S2061" s="153" t="n"/>
    </row>
    <row r="2062" ht="36" customHeight="1">
      <c r="A2062" s="46" t="n">
        <v>4392</v>
      </c>
      <c r="B2062" s="4">
        <f>+VLOOKUP($A2062,MAGAZZINO!$B$2:$M$100000,2,FALSE)</f>
        <v/>
      </c>
      <c r="C2062" s="29">
        <f>+VLOOKUP($A2062,MAGAZZINO!$B$2:$M$100000,3,FALSE)</f>
        <v/>
      </c>
      <c r="D2062" s="3">
        <f>+VLOOKUP($A2062,MAGAZZINO!$B$2:$M$100000,4,FALSE)</f>
        <v/>
      </c>
      <c r="E2062" s="3">
        <f>+VLOOKUP($A2062,MAGAZZINO!$B$2:$M$100000,5,FALSE)</f>
        <v/>
      </c>
      <c r="F2062" s="3">
        <f>+VLOOKUP($A2062,MAGAZZINO!$B$2:$M$100000,6,FALSE)</f>
        <v/>
      </c>
      <c r="G2062" s="3">
        <f>+VLOOKUP($A2062,MAGAZZINO!$B$2:$M$100000,7,FALSE)</f>
        <v/>
      </c>
      <c r="H2062" s="3">
        <f>+VLOOKUP($A2062,MAGAZZINO!$B$2:$M$100000,8,FALSE)</f>
        <v/>
      </c>
      <c r="I2062" s="3">
        <f>+VLOOKUP($A2062,MAGAZZINO!$B$2:$M$100000,9,FALSE)</f>
        <v/>
      </c>
      <c r="J2062" s="3">
        <f>+VLOOKUP($A2062,MAGAZZINO!$B$2:$M$100000,10,FALSE)</f>
        <v/>
      </c>
      <c r="K2062" s="3">
        <f>+VLOOKUP($A2062,MAGAZZINO!$B$2:$M$100000,11,FALSE)</f>
        <v/>
      </c>
      <c r="L2062" s="5">
        <f>+VLOOKUP($A2062,MAGAZZINO!$B$2:$M$100000,12,FALSE)</f>
        <v/>
      </c>
      <c r="M2062" s="47" t="n"/>
      <c r="N2062" s="88" t="n">
        <v>45965</v>
      </c>
      <c r="O2062" s="156" t="inlineStr">
        <is>
          <t>BIN HUMAID NATIONAL TRADING CO. (ARABIA SAUDITA)</t>
        </is>
      </c>
      <c r="P2062" s="155" t="inlineStr">
        <is>
          <t>IMPORT LICENSE N. 182480 DEL 08/01/2025                                                                                  AUT. ESPORTAZIONE MULTIPLA N. 6B/2025/2M RILASCIATA IL 26/05/2025                   (LICENZA DI SCARICO N. 6B/2025/5S RILASCIATA IL 29/10/2025)</t>
        </is>
      </c>
      <c r="Q2062" s="150" t="n"/>
      <c r="R2062" s="150" t="n"/>
      <c r="S2062" s="153" t="n"/>
    </row>
    <row r="2063" ht="36" customHeight="1">
      <c r="A2063" s="46" t="n">
        <v>4393</v>
      </c>
      <c r="B2063" s="4">
        <f>+VLOOKUP($A2063,MAGAZZINO!$B$2:$M$100000,2,FALSE)</f>
        <v/>
      </c>
      <c r="C2063" s="29">
        <f>+VLOOKUP($A2063,MAGAZZINO!$B$2:$M$100000,3,FALSE)</f>
        <v/>
      </c>
      <c r="D2063" s="3">
        <f>+VLOOKUP($A2063,MAGAZZINO!$B$2:$M$100000,4,FALSE)</f>
        <v/>
      </c>
      <c r="E2063" s="3">
        <f>+VLOOKUP($A2063,MAGAZZINO!$B$2:$M$100000,5,FALSE)</f>
        <v/>
      </c>
      <c r="F2063" s="3">
        <f>+VLOOKUP($A2063,MAGAZZINO!$B$2:$M$100000,6,FALSE)</f>
        <v/>
      </c>
      <c r="G2063" s="3">
        <f>+VLOOKUP($A2063,MAGAZZINO!$B$2:$M$100000,7,FALSE)</f>
        <v/>
      </c>
      <c r="H2063" s="3">
        <f>+VLOOKUP($A2063,MAGAZZINO!$B$2:$M$100000,8,FALSE)</f>
        <v/>
      </c>
      <c r="I2063" s="3">
        <f>+VLOOKUP($A2063,MAGAZZINO!$B$2:$M$100000,9,FALSE)</f>
        <v/>
      </c>
      <c r="J2063" s="3">
        <f>+VLOOKUP($A2063,MAGAZZINO!$B$2:$M$100000,10,FALSE)</f>
        <v/>
      </c>
      <c r="K2063" s="3">
        <f>+VLOOKUP($A2063,MAGAZZINO!$B$2:$M$100000,11,FALSE)</f>
        <v/>
      </c>
      <c r="L2063" s="5">
        <f>+VLOOKUP($A2063,MAGAZZINO!$B$2:$M$100000,12,FALSE)</f>
        <v/>
      </c>
      <c r="M2063" s="47" t="n"/>
      <c r="N2063" s="88" t="n">
        <v>45965</v>
      </c>
      <c r="O2063" s="156" t="inlineStr">
        <is>
          <t>BIN HUMAID NATIONAL TRADING CO. (ARABIA SAUDITA)</t>
        </is>
      </c>
      <c r="P2063" s="155" t="inlineStr">
        <is>
          <t>IMPORT LICENSE N. 182480 DEL 08/01/2025                                                                                  AUT. ESPORTAZIONE MULTIPLA N. 6B/2025/2M RILASCIATA IL 26/05/2025                   (LICENZA DI SCARICO N. 6B/2025/5S RILASCIATA IL 29/10/2025)</t>
        </is>
      </c>
      <c r="Q2063" s="150" t="n"/>
      <c r="R2063" s="150" t="n"/>
      <c r="S2063" s="153" t="n"/>
    </row>
    <row r="2064" ht="36" customHeight="1">
      <c r="A2064" s="46" t="n">
        <v>4394</v>
      </c>
      <c r="B2064" s="4">
        <f>+VLOOKUP($A2064,MAGAZZINO!$B$2:$M$100000,2,FALSE)</f>
        <v/>
      </c>
      <c r="C2064" s="29">
        <f>+VLOOKUP($A2064,MAGAZZINO!$B$2:$M$100000,3,FALSE)</f>
        <v/>
      </c>
      <c r="D2064" s="3">
        <f>+VLOOKUP($A2064,MAGAZZINO!$B$2:$M$100000,4,FALSE)</f>
        <v/>
      </c>
      <c r="E2064" s="3">
        <f>+VLOOKUP($A2064,MAGAZZINO!$B$2:$M$100000,5,FALSE)</f>
        <v/>
      </c>
      <c r="F2064" s="3">
        <f>+VLOOKUP($A2064,MAGAZZINO!$B$2:$M$100000,6,FALSE)</f>
        <v/>
      </c>
      <c r="G2064" s="3">
        <f>+VLOOKUP($A2064,MAGAZZINO!$B$2:$M$100000,7,FALSE)</f>
        <v/>
      </c>
      <c r="H2064" s="3">
        <f>+VLOOKUP($A2064,MAGAZZINO!$B$2:$M$100000,8,FALSE)</f>
        <v/>
      </c>
      <c r="I2064" s="3">
        <f>+VLOOKUP($A2064,MAGAZZINO!$B$2:$M$100000,9,FALSE)</f>
        <v/>
      </c>
      <c r="J2064" s="3">
        <f>+VLOOKUP($A2064,MAGAZZINO!$B$2:$M$100000,10,FALSE)</f>
        <v/>
      </c>
      <c r="K2064" s="3">
        <f>+VLOOKUP($A2064,MAGAZZINO!$B$2:$M$100000,11,FALSE)</f>
        <v/>
      </c>
      <c r="L2064" s="5">
        <f>+VLOOKUP($A2064,MAGAZZINO!$B$2:$M$100000,12,FALSE)</f>
        <v/>
      </c>
      <c r="M2064" s="47" t="n"/>
      <c r="N2064" s="88" t="n">
        <v>45965</v>
      </c>
      <c r="O2064" s="156" t="inlineStr">
        <is>
          <t>BIN HUMAID NATIONAL TRADING CO. (ARABIA SAUDITA)</t>
        </is>
      </c>
      <c r="P2064" s="155" t="inlineStr">
        <is>
          <t>IMPORT LICENSE N. 182480 DEL 08/01/2025                                                                                  AUT. ESPORTAZIONE MULTIPLA N. 6B/2025/2M RILASCIATA IL 26/05/2025                   (LICENZA DI SCARICO N. 6B/2025/5S RILASCIATA IL 29/10/2025)</t>
        </is>
      </c>
      <c r="Q2064" s="150" t="n"/>
      <c r="R2064" s="150" t="n"/>
      <c r="S2064" s="153" t="n"/>
    </row>
    <row r="2065" ht="36" customHeight="1">
      <c r="A2065" s="46" t="n">
        <v>4395</v>
      </c>
      <c r="B2065" s="4">
        <f>+VLOOKUP($A2065,MAGAZZINO!$B$2:$M$100000,2,FALSE)</f>
        <v/>
      </c>
      <c r="C2065" s="29">
        <f>+VLOOKUP($A2065,MAGAZZINO!$B$2:$M$100000,3,FALSE)</f>
        <v/>
      </c>
      <c r="D2065" s="3">
        <f>+VLOOKUP($A2065,MAGAZZINO!$B$2:$M$100000,4,FALSE)</f>
        <v/>
      </c>
      <c r="E2065" s="3">
        <f>+VLOOKUP($A2065,MAGAZZINO!$B$2:$M$100000,5,FALSE)</f>
        <v/>
      </c>
      <c r="F2065" s="3">
        <f>+VLOOKUP($A2065,MAGAZZINO!$B$2:$M$100000,6,FALSE)</f>
        <v/>
      </c>
      <c r="G2065" s="3">
        <f>+VLOOKUP($A2065,MAGAZZINO!$B$2:$M$100000,7,FALSE)</f>
        <v/>
      </c>
      <c r="H2065" s="3">
        <f>+VLOOKUP($A2065,MAGAZZINO!$B$2:$M$100000,8,FALSE)</f>
        <v/>
      </c>
      <c r="I2065" s="3">
        <f>+VLOOKUP($A2065,MAGAZZINO!$B$2:$M$100000,9,FALSE)</f>
        <v/>
      </c>
      <c r="J2065" s="3">
        <f>+VLOOKUP($A2065,MAGAZZINO!$B$2:$M$100000,10,FALSE)</f>
        <v/>
      </c>
      <c r="K2065" s="3">
        <f>+VLOOKUP($A2065,MAGAZZINO!$B$2:$M$100000,11,FALSE)</f>
        <v/>
      </c>
      <c r="L2065" s="5">
        <f>+VLOOKUP($A2065,MAGAZZINO!$B$2:$M$100000,12,FALSE)</f>
        <v/>
      </c>
      <c r="M2065" s="47" t="n"/>
      <c r="N2065" s="88" t="n">
        <v>45965</v>
      </c>
      <c r="O2065" s="156" t="inlineStr">
        <is>
          <t>BIN HUMAID NATIONAL TRADING CO. (ARABIA SAUDITA)</t>
        </is>
      </c>
      <c r="P2065" s="155" t="inlineStr">
        <is>
          <t>IMPORT LICENSE N. 182480 DEL 08/01/2025                                                                                  AUT. ESPORTAZIONE MULTIPLA N. 6B/2025/2M RILASCIATA IL 26/05/2025                   (LICENZA DI SCARICO N. 6B/2025/5S RILASCIATA IL 29/10/2025)</t>
        </is>
      </c>
      <c r="Q2065" s="150" t="n"/>
      <c r="R2065" s="150" t="n"/>
      <c r="S2065" s="153" t="n"/>
    </row>
    <row r="2066" ht="36" customHeight="1">
      <c r="A2066" s="46" t="n">
        <v>4396</v>
      </c>
      <c r="B2066" s="4">
        <f>+VLOOKUP($A2066,MAGAZZINO!$B$2:$M$100000,2,FALSE)</f>
        <v/>
      </c>
      <c r="C2066" s="29">
        <f>+VLOOKUP($A2066,MAGAZZINO!$B$2:$M$100000,3,FALSE)</f>
        <v/>
      </c>
      <c r="D2066" s="3">
        <f>+VLOOKUP($A2066,MAGAZZINO!$B$2:$M$100000,4,FALSE)</f>
        <v/>
      </c>
      <c r="E2066" s="3">
        <f>+VLOOKUP($A2066,MAGAZZINO!$B$2:$M$100000,5,FALSE)</f>
        <v/>
      </c>
      <c r="F2066" s="3">
        <f>+VLOOKUP($A2066,MAGAZZINO!$B$2:$M$100000,6,FALSE)</f>
        <v/>
      </c>
      <c r="G2066" s="3">
        <f>+VLOOKUP($A2066,MAGAZZINO!$B$2:$M$100000,7,FALSE)</f>
        <v/>
      </c>
      <c r="H2066" s="3">
        <f>+VLOOKUP($A2066,MAGAZZINO!$B$2:$M$100000,8,FALSE)</f>
        <v/>
      </c>
      <c r="I2066" s="3">
        <f>+VLOOKUP($A2066,MAGAZZINO!$B$2:$M$100000,9,FALSE)</f>
        <v/>
      </c>
      <c r="J2066" s="3">
        <f>+VLOOKUP($A2066,MAGAZZINO!$B$2:$M$100000,10,FALSE)</f>
        <v/>
      </c>
      <c r="K2066" s="3">
        <f>+VLOOKUP($A2066,MAGAZZINO!$B$2:$M$100000,11,FALSE)</f>
        <v/>
      </c>
      <c r="L2066" s="5">
        <f>+VLOOKUP($A2066,MAGAZZINO!$B$2:$M$100000,12,FALSE)</f>
        <v/>
      </c>
      <c r="M2066" s="47" t="n"/>
      <c r="N2066" s="88" t="n">
        <v>45965</v>
      </c>
      <c r="O2066" s="156" t="inlineStr">
        <is>
          <t>BIN HUMAID NATIONAL TRADING CO. (ARABIA SAUDITA)</t>
        </is>
      </c>
      <c r="P2066" s="155" t="inlineStr">
        <is>
          <t>IMPORT LICENSE N. 182480 DEL 08/01/2025                                                                                  AUT. ESPORTAZIONE MULTIPLA N. 6B/2025/2M RILASCIATA IL 26/05/2025                   (LICENZA DI SCARICO N. 6B/2025/5S RILASCIATA IL 29/10/2025)</t>
        </is>
      </c>
      <c r="Q2066" s="150" t="n"/>
      <c r="R2066" s="150" t="n"/>
      <c r="S2066" s="153" t="n"/>
    </row>
    <row r="2067" ht="36" customHeight="1">
      <c r="A2067" s="46" t="n">
        <v>4397</v>
      </c>
      <c r="B2067" s="4">
        <f>+VLOOKUP($A2067,MAGAZZINO!$B$2:$M$100000,2,FALSE)</f>
        <v/>
      </c>
      <c r="C2067" s="29">
        <f>+VLOOKUP($A2067,MAGAZZINO!$B$2:$M$100000,3,FALSE)</f>
        <v/>
      </c>
      <c r="D2067" s="3">
        <f>+VLOOKUP($A2067,MAGAZZINO!$B$2:$M$100000,4,FALSE)</f>
        <v/>
      </c>
      <c r="E2067" s="3">
        <f>+VLOOKUP($A2067,MAGAZZINO!$B$2:$M$100000,5,FALSE)</f>
        <v/>
      </c>
      <c r="F2067" s="3">
        <f>+VLOOKUP($A2067,MAGAZZINO!$B$2:$M$100000,6,FALSE)</f>
        <v/>
      </c>
      <c r="G2067" s="3">
        <f>+VLOOKUP($A2067,MAGAZZINO!$B$2:$M$100000,7,FALSE)</f>
        <v/>
      </c>
      <c r="H2067" s="3">
        <f>+VLOOKUP($A2067,MAGAZZINO!$B$2:$M$100000,8,FALSE)</f>
        <v/>
      </c>
      <c r="I2067" s="3">
        <f>+VLOOKUP($A2067,MAGAZZINO!$B$2:$M$100000,9,FALSE)</f>
        <v/>
      </c>
      <c r="J2067" s="3">
        <f>+VLOOKUP($A2067,MAGAZZINO!$B$2:$M$100000,10,FALSE)</f>
        <v/>
      </c>
      <c r="K2067" s="3">
        <f>+VLOOKUP($A2067,MAGAZZINO!$B$2:$M$100000,11,FALSE)</f>
        <v/>
      </c>
      <c r="L2067" s="5">
        <f>+VLOOKUP($A2067,MAGAZZINO!$B$2:$M$100000,12,FALSE)</f>
        <v/>
      </c>
      <c r="M2067" s="47" t="n"/>
      <c r="N2067" s="88" t="n">
        <v>45965</v>
      </c>
      <c r="O2067" s="156" t="inlineStr">
        <is>
          <t>BIN HUMAID NATIONAL TRADING CO. (ARABIA SAUDITA)</t>
        </is>
      </c>
      <c r="P2067" s="155" t="inlineStr">
        <is>
          <t>IMPORT LICENSE N. 182480 DEL 08/01/2025                                                                                  AUT. ESPORTAZIONE MULTIPLA N. 6B/2025/2M RILASCIATA IL 26/05/2025                   (LICENZA DI SCARICO N. 6B/2025/5S RILASCIATA IL 29/10/2025)</t>
        </is>
      </c>
      <c r="Q2067" s="150" t="n"/>
      <c r="R2067" s="150" t="n"/>
      <c r="S2067" s="153" t="n"/>
    </row>
    <row r="2068" ht="36" customHeight="1">
      <c r="A2068" s="46" t="n">
        <v>4398</v>
      </c>
      <c r="B2068" s="4">
        <f>+VLOOKUP($A2068,MAGAZZINO!$B$2:$M$100000,2,FALSE)</f>
        <v/>
      </c>
      <c r="C2068" s="29">
        <f>+VLOOKUP($A2068,MAGAZZINO!$B$2:$M$100000,3,FALSE)</f>
        <v/>
      </c>
      <c r="D2068" s="3">
        <f>+VLOOKUP($A2068,MAGAZZINO!$B$2:$M$100000,4,FALSE)</f>
        <v/>
      </c>
      <c r="E2068" s="3">
        <f>+VLOOKUP($A2068,MAGAZZINO!$B$2:$M$100000,5,FALSE)</f>
        <v/>
      </c>
      <c r="F2068" s="3">
        <f>+VLOOKUP($A2068,MAGAZZINO!$B$2:$M$100000,6,FALSE)</f>
        <v/>
      </c>
      <c r="G2068" s="3">
        <f>+VLOOKUP($A2068,MAGAZZINO!$B$2:$M$100000,7,FALSE)</f>
        <v/>
      </c>
      <c r="H2068" s="3">
        <f>+VLOOKUP($A2068,MAGAZZINO!$B$2:$M$100000,8,FALSE)</f>
        <v/>
      </c>
      <c r="I2068" s="3">
        <f>+VLOOKUP($A2068,MAGAZZINO!$B$2:$M$100000,9,FALSE)</f>
        <v/>
      </c>
      <c r="J2068" s="3">
        <f>+VLOOKUP($A2068,MAGAZZINO!$B$2:$M$100000,10,FALSE)</f>
        <v/>
      </c>
      <c r="K2068" s="3">
        <f>+VLOOKUP($A2068,MAGAZZINO!$B$2:$M$100000,11,FALSE)</f>
        <v/>
      </c>
      <c r="L2068" s="5">
        <f>+VLOOKUP($A2068,MAGAZZINO!$B$2:$M$100000,12,FALSE)</f>
        <v/>
      </c>
      <c r="M2068" s="47" t="n"/>
      <c r="N2068" s="88" t="n">
        <v>45965</v>
      </c>
      <c r="O2068" s="156" t="inlineStr">
        <is>
          <t>BIN HUMAID NATIONAL TRADING CO. (ARABIA SAUDITA)</t>
        </is>
      </c>
      <c r="P2068" s="155" t="inlineStr">
        <is>
          <t>IMPORT LICENSE N. 182480 DEL 08/01/2025                                                                                  AUT. ESPORTAZIONE MULTIPLA N. 6B/2025/2M RILASCIATA IL 26/05/2025                   (LICENZA DI SCARICO N. 6B/2025/5S RILASCIATA IL 29/10/2025)</t>
        </is>
      </c>
      <c r="Q2068" s="150" t="n"/>
      <c r="R2068" s="150" t="n"/>
      <c r="S2068" s="153" t="n"/>
    </row>
    <row r="2069" ht="36" customHeight="1">
      <c r="A2069" s="46" t="n">
        <v>4399</v>
      </c>
      <c r="B2069" s="4">
        <f>+VLOOKUP($A2069,MAGAZZINO!$B$2:$M$100000,2,FALSE)</f>
        <v/>
      </c>
      <c r="C2069" s="29">
        <f>+VLOOKUP($A2069,MAGAZZINO!$B$2:$M$100000,3,FALSE)</f>
        <v/>
      </c>
      <c r="D2069" s="3">
        <f>+VLOOKUP($A2069,MAGAZZINO!$B$2:$M$100000,4,FALSE)</f>
        <v/>
      </c>
      <c r="E2069" s="3">
        <f>+VLOOKUP($A2069,MAGAZZINO!$B$2:$M$100000,5,FALSE)</f>
        <v/>
      </c>
      <c r="F2069" s="3">
        <f>+VLOOKUP($A2069,MAGAZZINO!$B$2:$M$100000,6,FALSE)</f>
        <v/>
      </c>
      <c r="G2069" s="3">
        <f>+VLOOKUP($A2069,MAGAZZINO!$B$2:$M$100000,7,FALSE)</f>
        <v/>
      </c>
      <c r="H2069" s="3">
        <f>+VLOOKUP($A2069,MAGAZZINO!$B$2:$M$100000,8,FALSE)</f>
        <v/>
      </c>
      <c r="I2069" s="3">
        <f>+VLOOKUP($A2069,MAGAZZINO!$B$2:$M$100000,9,FALSE)</f>
        <v/>
      </c>
      <c r="J2069" s="3">
        <f>+VLOOKUP($A2069,MAGAZZINO!$B$2:$M$100000,10,FALSE)</f>
        <v/>
      </c>
      <c r="K2069" s="3">
        <f>+VLOOKUP($A2069,MAGAZZINO!$B$2:$M$100000,11,FALSE)</f>
        <v/>
      </c>
      <c r="L2069" s="5">
        <f>+VLOOKUP($A2069,MAGAZZINO!$B$2:$M$100000,12,FALSE)</f>
        <v/>
      </c>
      <c r="M2069" s="47" t="n"/>
      <c r="N2069" s="88" t="n">
        <v>45965</v>
      </c>
      <c r="O2069" s="156" t="inlineStr">
        <is>
          <t>BIN HUMAID NATIONAL TRADING CO. (ARABIA SAUDITA)</t>
        </is>
      </c>
      <c r="P2069" s="155" t="inlineStr">
        <is>
          <t>IMPORT LICENSE N. 182480 DEL 08/01/2025                                                                                  AUT. ESPORTAZIONE MULTIPLA N. 6B/2025/2M RILASCIATA IL 26/05/2025                   (LICENZA DI SCARICO N. 6B/2025/5S RILASCIATA IL 29/10/2025)</t>
        </is>
      </c>
      <c r="Q2069" s="150" t="n"/>
      <c r="R2069" s="150" t="n"/>
      <c r="S2069" s="153" t="n"/>
    </row>
    <row r="2070" ht="36" customHeight="1">
      <c r="A2070" s="46" t="n">
        <v>4400</v>
      </c>
      <c r="B2070" s="4">
        <f>+VLOOKUP($A2070,MAGAZZINO!$B$2:$M$100000,2,FALSE)</f>
        <v/>
      </c>
      <c r="C2070" s="29">
        <f>+VLOOKUP($A2070,MAGAZZINO!$B$2:$M$100000,3,FALSE)</f>
        <v/>
      </c>
      <c r="D2070" s="3">
        <f>+VLOOKUP($A2070,MAGAZZINO!$B$2:$M$100000,4,FALSE)</f>
        <v/>
      </c>
      <c r="E2070" s="3">
        <f>+VLOOKUP($A2070,MAGAZZINO!$B$2:$M$100000,5,FALSE)</f>
        <v/>
      </c>
      <c r="F2070" s="3">
        <f>+VLOOKUP($A2070,MAGAZZINO!$B$2:$M$100000,6,FALSE)</f>
        <v/>
      </c>
      <c r="G2070" s="3">
        <f>+VLOOKUP($A2070,MAGAZZINO!$B$2:$M$100000,7,FALSE)</f>
        <v/>
      </c>
      <c r="H2070" s="3">
        <f>+VLOOKUP($A2070,MAGAZZINO!$B$2:$M$100000,8,FALSE)</f>
        <v/>
      </c>
      <c r="I2070" s="3">
        <f>+VLOOKUP($A2070,MAGAZZINO!$B$2:$M$100000,9,FALSE)</f>
        <v/>
      </c>
      <c r="J2070" s="3">
        <f>+VLOOKUP($A2070,MAGAZZINO!$B$2:$M$100000,10,FALSE)</f>
        <v/>
      </c>
      <c r="K2070" s="3">
        <f>+VLOOKUP($A2070,MAGAZZINO!$B$2:$M$100000,11,FALSE)</f>
        <v/>
      </c>
      <c r="L2070" s="5">
        <f>+VLOOKUP($A2070,MAGAZZINO!$B$2:$M$100000,12,FALSE)</f>
        <v/>
      </c>
      <c r="M2070" s="47" t="n"/>
      <c r="N2070" s="88" t="n">
        <v>45965</v>
      </c>
      <c r="O2070" s="156" t="inlineStr">
        <is>
          <t>BIN HUMAID NATIONAL TRADING CO. (ARABIA SAUDITA)</t>
        </is>
      </c>
      <c r="P2070" s="155" t="inlineStr">
        <is>
          <t>IMPORT LICENSE N. 182480 DEL 08/01/2025                                                                                  AUT. ESPORTAZIONE MULTIPLA N. 6B/2025/2M RILASCIATA IL 26/05/2025                   (LICENZA DI SCARICO N. 6B/2025/5S RILASCIATA IL 29/10/2025)</t>
        </is>
      </c>
      <c r="Q2070" s="150" t="n"/>
      <c r="R2070" s="150" t="n"/>
      <c r="S2070" s="153" t="n"/>
    </row>
    <row r="2071" ht="36" customHeight="1">
      <c r="A2071" s="46" t="n">
        <v>4401</v>
      </c>
      <c r="B2071" s="4">
        <f>+VLOOKUP($A2071,MAGAZZINO!$B$2:$M$100000,2,FALSE)</f>
        <v/>
      </c>
      <c r="C2071" s="29">
        <f>+VLOOKUP($A2071,MAGAZZINO!$B$2:$M$100000,3,FALSE)</f>
        <v/>
      </c>
      <c r="D2071" s="3">
        <f>+VLOOKUP($A2071,MAGAZZINO!$B$2:$M$100000,4,FALSE)</f>
        <v/>
      </c>
      <c r="E2071" s="3">
        <f>+VLOOKUP($A2071,MAGAZZINO!$B$2:$M$100000,5,FALSE)</f>
        <v/>
      </c>
      <c r="F2071" s="3">
        <f>+VLOOKUP($A2071,MAGAZZINO!$B$2:$M$100000,6,FALSE)</f>
        <v/>
      </c>
      <c r="G2071" s="3">
        <f>+VLOOKUP($A2071,MAGAZZINO!$B$2:$M$100000,7,FALSE)</f>
        <v/>
      </c>
      <c r="H2071" s="3">
        <f>+VLOOKUP($A2071,MAGAZZINO!$B$2:$M$100000,8,FALSE)</f>
        <v/>
      </c>
      <c r="I2071" s="3">
        <f>+VLOOKUP($A2071,MAGAZZINO!$B$2:$M$100000,9,FALSE)</f>
        <v/>
      </c>
      <c r="J2071" s="3">
        <f>+VLOOKUP($A2071,MAGAZZINO!$B$2:$M$100000,10,FALSE)</f>
        <v/>
      </c>
      <c r="K2071" s="3">
        <f>+VLOOKUP($A2071,MAGAZZINO!$B$2:$M$100000,11,FALSE)</f>
        <v/>
      </c>
      <c r="L2071" s="5">
        <f>+VLOOKUP($A2071,MAGAZZINO!$B$2:$M$100000,12,FALSE)</f>
        <v/>
      </c>
      <c r="M2071" s="47" t="n"/>
      <c r="N2071" s="88" t="n">
        <v>45965</v>
      </c>
      <c r="O2071" s="156" t="inlineStr">
        <is>
          <t>BIN HUMAID NATIONAL TRADING CO. (ARABIA SAUDITA)</t>
        </is>
      </c>
      <c r="P2071" s="155" t="inlineStr">
        <is>
          <t>IMPORT LICENSE N. 182480 DEL 08/01/2025                                                                                  AUT. ESPORTAZIONE MULTIPLA N. 6B/2025/2M RILASCIATA IL 26/05/2025                   (LICENZA DI SCARICO N. 6B/2025/5S RILASCIATA IL 29/10/2025)</t>
        </is>
      </c>
      <c r="Q2071" s="150" t="n"/>
      <c r="R2071" s="150" t="n"/>
      <c r="S2071" s="153" t="n"/>
    </row>
    <row r="2072" ht="36" customHeight="1">
      <c r="A2072" s="46" t="n">
        <v>4402</v>
      </c>
      <c r="B2072" s="4">
        <f>+VLOOKUP($A2072,MAGAZZINO!$B$2:$M$100000,2,FALSE)</f>
        <v/>
      </c>
      <c r="C2072" s="29">
        <f>+VLOOKUP($A2072,MAGAZZINO!$B$2:$M$100000,3,FALSE)</f>
        <v/>
      </c>
      <c r="D2072" s="3">
        <f>+VLOOKUP($A2072,MAGAZZINO!$B$2:$M$100000,4,FALSE)</f>
        <v/>
      </c>
      <c r="E2072" s="3">
        <f>+VLOOKUP($A2072,MAGAZZINO!$B$2:$M$100000,5,FALSE)</f>
        <v/>
      </c>
      <c r="F2072" s="3">
        <f>+VLOOKUP($A2072,MAGAZZINO!$B$2:$M$100000,6,FALSE)</f>
        <v/>
      </c>
      <c r="G2072" s="3">
        <f>+VLOOKUP($A2072,MAGAZZINO!$B$2:$M$100000,7,FALSE)</f>
        <v/>
      </c>
      <c r="H2072" s="3">
        <f>+VLOOKUP($A2072,MAGAZZINO!$B$2:$M$100000,8,FALSE)</f>
        <v/>
      </c>
      <c r="I2072" s="3">
        <f>+VLOOKUP($A2072,MAGAZZINO!$B$2:$M$100000,9,FALSE)</f>
        <v/>
      </c>
      <c r="J2072" s="3">
        <f>+VLOOKUP($A2072,MAGAZZINO!$B$2:$M$100000,10,FALSE)</f>
        <v/>
      </c>
      <c r="K2072" s="3">
        <f>+VLOOKUP($A2072,MAGAZZINO!$B$2:$M$100000,11,FALSE)</f>
        <v/>
      </c>
      <c r="L2072" s="5">
        <f>+VLOOKUP($A2072,MAGAZZINO!$B$2:$M$100000,12,FALSE)</f>
        <v/>
      </c>
      <c r="M2072" s="47" t="n"/>
      <c r="N2072" s="88" t="n">
        <v>45965</v>
      </c>
      <c r="O2072" s="156" t="inlineStr">
        <is>
          <t>BIN HUMAID NATIONAL TRADING CO. (ARABIA SAUDITA)</t>
        </is>
      </c>
      <c r="P2072" s="155" t="inlineStr">
        <is>
          <t>IMPORT LICENSE N. 182480 DEL 08/01/2025                                                                                  AUT. ESPORTAZIONE MULTIPLA N. 6B/2025/2M RILASCIATA IL 26/05/2025                   (LICENZA DI SCARICO N. 6B/2025/5S RILASCIATA IL 29/10/2025)</t>
        </is>
      </c>
      <c r="Q2072" s="150" t="n"/>
      <c r="R2072" s="150" t="n"/>
      <c r="S2072" s="153" t="n"/>
    </row>
    <row r="2073" ht="36" customHeight="1">
      <c r="A2073" s="46" t="n">
        <v>4403</v>
      </c>
      <c r="B2073" s="4">
        <f>+VLOOKUP($A2073,MAGAZZINO!$B$2:$M$100000,2,FALSE)</f>
        <v/>
      </c>
      <c r="C2073" s="29">
        <f>+VLOOKUP($A2073,MAGAZZINO!$B$2:$M$100000,3,FALSE)</f>
        <v/>
      </c>
      <c r="D2073" s="3">
        <f>+VLOOKUP($A2073,MAGAZZINO!$B$2:$M$100000,4,FALSE)</f>
        <v/>
      </c>
      <c r="E2073" s="3">
        <f>+VLOOKUP($A2073,MAGAZZINO!$B$2:$M$100000,5,FALSE)</f>
        <v/>
      </c>
      <c r="F2073" s="3">
        <f>+VLOOKUP($A2073,MAGAZZINO!$B$2:$M$100000,6,FALSE)</f>
        <v/>
      </c>
      <c r="G2073" s="3">
        <f>+VLOOKUP($A2073,MAGAZZINO!$B$2:$M$100000,7,FALSE)</f>
        <v/>
      </c>
      <c r="H2073" s="3">
        <f>+VLOOKUP($A2073,MAGAZZINO!$B$2:$M$100000,8,FALSE)</f>
        <v/>
      </c>
      <c r="I2073" s="3">
        <f>+VLOOKUP($A2073,MAGAZZINO!$B$2:$M$100000,9,FALSE)</f>
        <v/>
      </c>
      <c r="J2073" s="3">
        <f>+VLOOKUP($A2073,MAGAZZINO!$B$2:$M$100000,10,FALSE)</f>
        <v/>
      </c>
      <c r="K2073" s="3">
        <f>+VLOOKUP($A2073,MAGAZZINO!$B$2:$M$100000,11,FALSE)</f>
        <v/>
      </c>
      <c r="L2073" s="5">
        <f>+VLOOKUP($A2073,MAGAZZINO!$B$2:$M$100000,12,FALSE)</f>
        <v/>
      </c>
      <c r="M2073" s="47" t="n"/>
      <c r="N2073" s="88" t="n">
        <v>45965</v>
      </c>
      <c r="O2073" s="156" t="inlineStr">
        <is>
          <t>BIN HUMAID NATIONAL TRADING CO. (ARABIA SAUDITA)</t>
        </is>
      </c>
      <c r="P2073" s="155" t="inlineStr">
        <is>
          <t>IMPORT LICENSE N. 182480 DEL 08/01/2025                                                                                  AUT. ESPORTAZIONE MULTIPLA N. 6B/2025/2M RILASCIATA IL 26/05/2025                   (LICENZA DI SCARICO N. 6B/2025/5S RILASCIATA IL 29/10/2025)</t>
        </is>
      </c>
      <c r="Q2073" s="150" t="n"/>
      <c r="R2073" s="150" t="n"/>
      <c r="S2073" s="153" t="n"/>
    </row>
    <row r="2074" ht="36" customHeight="1">
      <c r="A2074" s="46" t="n">
        <v>4404</v>
      </c>
      <c r="B2074" s="4">
        <f>+VLOOKUP($A2074,MAGAZZINO!$B$2:$M$100000,2,FALSE)</f>
        <v/>
      </c>
      <c r="C2074" s="29">
        <f>+VLOOKUP($A2074,MAGAZZINO!$B$2:$M$100000,3,FALSE)</f>
        <v/>
      </c>
      <c r="D2074" s="3">
        <f>+VLOOKUP($A2074,MAGAZZINO!$B$2:$M$100000,4,FALSE)</f>
        <v/>
      </c>
      <c r="E2074" s="3">
        <f>+VLOOKUP($A2074,MAGAZZINO!$B$2:$M$100000,5,FALSE)</f>
        <v/>
      </c>
      <c r="F2074" s="3">
        <f>+VLOOKUP($A2074,MAGAZZINO!$B$2:$M$100000,6,FALSE)</f>
        <v/>
      </c>
      <c r="G2074" s="3">
        <f>+VLOOKUP($A2074,MAGAZZINO!$B$2:$M$100000,7,FALSE)</f>
        <v/>
      </c>
      <c r="H2074" s="3">
        <f>+VLOOKUP($A2074,MAGAZZINO!$B$2:$M$100000,8,FALSE)</f>
        <v/>
      </c>
      <c r="I2074" s="3">
        <f>+VLOOKUP($A2074,MAGAZZINO!$B$2:$M$100000,9,FALSE)</f>
        <v/>
      </c>
      <c r="J2074" s="3">
        <f>+VLOOKUP($A2074,MAGAZZINO!$B$2:$M$100000,10,FALSE)</f>
        <v/>
      </c>
      <c r="K2074" s="3">
        <f>+VLOOKUP($A2074,MAGAZZINO!$B$2:$M$100000,11,FALSE)</f>
        <v/>
      </c>
      <c r="L2074" s="5">
        <f>+VLOOKUP($A2074,MAGAZZINO!$B$2:$M$100000,12,FALSE)</f>
        <v/>
      </c>
      <c r="M2074" s="47" t="n"/>
      <c r="N2074" s="88" t="n">
        <v>45965</v>
      </c>
      <c r="O2074" s="156" t="inlineStr">
        <is>
          <t>BIN HUMAID NATIONAL TRADING CO. (ARABIA SAUDITA)</t>
        </is>
      </c>
      <c r="P2074" s="155" t="inlineStr">
        <is>
          <t>IMPORT LICENSE N. 182480 DEL 08/01/2025                                                                                  AUT. ESPORTAZIONE MULTIPLA N. 6B/2025/2M RILASCIATA IL 26/05/2025                   (LICENZA DI SCARICO N. 6B/2025/5S RILASCIATA IL 29/10/2025)</t>
        </is>
      </c>
      <c r="Q2074" s="150" t="n"/>
      <c r="R2074" s="150" t="n"/>
      <c r="S2074" s="153" t="n"/>
    </row>
    <row r="2075" ht="36" customHeight="1">
      <c r="A2075" s="46" t="n">
        <v>4405</v>
      </c>
      <c r="B2075" s="4">
        <f>+VLOOKUP($A2075,MAGAZZINO!$B$2:$M$100000,2,FALSE)</f>
        <v/>
      </c>
      <c r="C2075" s="29">
        <f>+VLOOKUP($A2075,MAGAZZINO!$B$2:$M$100000,3,FALSE)</f>
        <v/>
      </c>
      <c r="D2075" s="3">
        <f>+VLOOKUP($A2075,MAGAZZINO!$B$2:$M$100000,4,FALSE)</f>
        <v/>
      </c>
      <c r="E2075" s="3">
        <f>+VLOOKUP($A2075,MAGAZZINO!$B$2:$M$100000,5,FALSE)</f>
        <v/>
      </c>
      <c r="F2075" s="3">
        <f>+VLOOKUP($A2075,MAGAZZINO!$B$2:$M$100000,6,FALSE)</f>
        <v/>
      </c>
      <c r="G2075" s="3">
        <f>+VLOOKUP($A2075,MAGAZZINO!$B$2:$M$100000,7,FALSE)</f>
        <v/>
      </c>
      <c r="H2075" s="3">
        <f>+VLOOKUP($A2075,MAGAZZINO!$B$2:$M$100000,8,FALSE)</f>
        <v/>
      </c>
      <c r="I2075" s="3">
        <f>+VLOOKUP($A2075,MAGAZZINO!$B$2:$M$100000,9,FALSE)</f>
        <v/>
      </c>
      <c r="J2075" s="3">
        <f>+VLOOKUP($A2075,MAGAZZINO!$B$2:$M$100000,10,FALSE)</f>
        <v/>
      </c>
      <c r="K2075" s="3">
        <f>+VLOOKUP($A2075,MAGAZZINO!$B$2:$M$100000,11,FALSE)</f>
        <v/>
      </c>
      <c r="L2075" s="5">
        <f>+VLOOKUP($A2075,MAGAZZINO!$B$2:$M$100000,12,FALSE)</f>
        <v/>
      </c>
      <c r="M2075" s="47" t="n"/>
      <c r="N2075" s="88" t="n">
        <v>45965</v>
      </c>
      <c r="O2075" s="156" t="inlineStr">
        <is>
          <t>BIN HUMAID NATIONAL TRADING CO. (ARABIA SAUDITA)</t>
        </is>
      </c>
      <c r="P2075" s="155" t="inlineStr">
        <is>
          <t>IMPORT LICENSE N. 182480 DEL 08/01/2025                                                                                  AUT. ESPORTAZIONE MULTIPLA N. 6B/2025/2M RILASCIATA IL 26/05/2025                   (LICENZA DI SCARICO N. 6B/2025/5S RILASCIATA IL 29/10/2025)</t>
        </is>
      </c>
      <c r="Q2075" s="150" t="n"/>
      <c r="R2075" s="150" t="n"/>
      <c r="S2075" s="153" t="n"/>
    </row>
    <row r="2076" ht="36" customHeight="1">
      <c r="A2076" s="46" t="n">
        <v>4406</v>
      </c>
      <c r="B2076" s="4">
        <f>+VLOOKUP($A2076,MAGAZZINO!$B$2:$M$100000,2,FALSE)</f>
        <v/>
      </c>
      <c r="C2076" s="29">
        <f>+VLOOKUP($A2076,MAGAZZINO!$B$2:$M$100000,3,FALSE)</f>
        <v/>
      </c>
      <c r="D2076" s="3">
        <f>+VLOOKUP($A2076,MAGAZZINO!$B$2:$M$100000,4,FALSE)</f>
        <v/>
      </c>
      <c r="E2076" s="3">
        <f>+VLOOKUP($A2076,MAGAZZINO!$B$2:$M$100000,5,FALSE)</f>
        <v/>
      </c>
      <c r="F2076" s="3">
        <f>+VLOOKUP($A2076,MAGAZZINO!$B$2:$M$100000,6,FALSE)</f>
        <v/>
      </c>
      <c r="G2076" s="3">
        <f>+VLOOKUP($A2076,MAGAZZINO!$B$2:$M$100000,7,FALSE)</f>
        <v/>
      </c>
      <c r="H2076" s="3">
        <f>+VLOOKUP($A2076,MAGAZZINO!$B$2:$M$100000,8,FALSE)</f>
        <v/>
      </c>
      <c r="I2076" s="3">
        <f>+VLOOKUP($A2076,MAGAZZINO!$B$2:$M$100000,9,FALSE)</f>
        <v/>
      </c>
      <c r="J2076" s="3">
        <f>+VLOOKUP($A2076,MAGAZZINO!$B$2:$M$100000,10,FALSE)</f>
        <v/>
      </c>
      <c r="K2076" s="3">
        <f>+VLOOKUP($A2076,MAGAZZINO!$B$2:$M$100000,11,FALSE)</f>
        <v/>
      </c>
      <c r="L2076" s="5">
        <f>+VLOOKUP($A2076,MAGAZZINO!$B$2:$M$100000,12,FALSE)</f>
        <v/>
      </c>
      <c r="M2076" s="47" t="n"/>
      <c r="N2076" s="88" t="n">
        <v>45965</v>
      </c>
      <c r="O2076" s="156" t="inlineStr">
        <is>
          <t>BIN HUMAID NATIONAL TRADING CO. (ARABIA SAUDITA)</t>
        </is>
      </c>
      <c r="P2076" s="155" t="inlineStr">
        <is>
          <t>IMPORT LICENSE N. 182480 DEL 08/01/2025                                                                                  AUT. ESPORTAZIONE MULTIPLA N. 6B/2025/2M RILASCIATA IL 26/05/2025                   (LICENZA DI SCARICO N. 6B/2025/5S RILASCIATA IL 29/10/2025)</t>
        </is>
      </c>
      <c r="Q2076" s="150" t="n"/>
      <c r="R2076" s="150" t="n"/>
      <c r="S2076" s="153" t="n"/>
    </row>
    <row r="2077" ht="36" customHeight="1">
      <c r="A2077" s="46" t="n">
        <v>4407</v>
      </c>
      <c r="B2077" s="4">
        <f>+VLOOKUP($A2077,MAGAZZINO!$B$2:$M$100000,2,FALSE)</f>
        <v/>
      </c>
      <c r="C2077" s="29">
        <f>+VLOOKUP($A2077,MAGAZZINO!$B$2:$M$100000,3,FALSE)</f>
        <v/>
      </c>
      <c r="D2077" s="3">
        <f>+VLOOKUP($A2077,MAGAZZINO!$B$2:$M$100000,4,FALSE)</f>
        <v/>
      </c>
      <c r="E2077" s="3">
        <f>+VLOOKUP($A2077,MAGAZZINO!$B$2:$M$100000,5,FALSE)</f>
        <v/>
      </c>
      <c r="F2077" s="3">
        <f>+VLOOKUP($A2077,MAGAZZINO!$B$2:$M$100000,6,FALSE)</f>
        <v/>
      </c>
      <c r="G2077" s="3">
        <f>+VLOOKUP($A2077,MAGAZZINO!$B$2:$M$100000,7,FALSE)</f>
        <v/>
      </c>
      <c r="H2077" s="3">
        <f>+VLOOKUP($A2077,MAGAZZINO!$B$2:$M$100000,8,FALSE)</f>
        <v/>
      </c>
      <c r="I2077" s="3">
        <f>+VLOOKUP($A2077,MAGAZZINO!$B$2:$M$100000,9,FALSE)</f>
        <v/>
      </c>
      <c r="J2077" s="3">
        <f>+VLOOKUP($A2077,MAGAZZINO!$B$2:$M$100000,10,FALSE)</f>
        <v/>
      </c>
      <c r="K2077" s="3">
        <f>+VLOOKUP($A2077,MAGAZZINO!$B$2:$M$100000,11,FALSE)</f>
        <v/>
      </c>
      <c r="L2077" s="5">
        <f>+VLOOKUP($A2077,MAGAZZINO!$B$2:$M$100000,12,FALSE)</f>
        <v/>
      </c>
      <c r="M2077" s="47" t="n"/>
      <c r="N2077" s="88" t="n">
        <v>45965</v>
      </c>
      <c r="O2077" s="156" t="inlineStr">
        <is>
          <t>BIN HUMAID NATIONAL TRADING CO. (ARABIA SAUDITA)</t>
        </is>
      </c>
      <c r="P2077" s="155" t="inlineStr">
        <is>
          <t>IMPORT LICENSE N. 182480 DEL 08/01/2025                                                                                  AUT. ESPORTAZIONE MULTIPLA N. 6B/2025/2M RILASCIATA IL 26/05/2025                   (LICENZA DI SCARICO N. 6B/2025/5S RILASCIATA IL 29/10/2025)</t>
        </is>
      </c>
      <c r="Q2077" s="150" t="n"/>
      <c r="R2077" s="150" t="n"/>
      <c r="S2077" s="153" t="n"/>
    </row>
    <row r="2078" ht="36" customHeight="1">
      <c r="A2078" s="46" t="n">
        <v>4408</v>
      </c>
      <c r="B2078" s="4">
        <f>+VLOOKUP($A2078,MAGAZZINO!$B$2:$M$100000,2,FALSE)</f>
        <v/>
      </c>
      <c r="C2078" s="29">
        <f>+VLOOKUP($A2078,MAGAZZINO!$B$2:$M$100000,3,FALSE)</f>
        <v/>
      </c>
      <c r="D2078" s="3">
        <f>+VLOOKUP($A2078,MAGAZZINO!$B$2:$M$100000,4,FALSE)</f>
        <v/>
      </c>
      <c r="E2078" s="3">
        <f>+VLOOKUP($A2078,MAGAZZINO!$B$2:$M$100000,5,FALSE)</f>
        <v/>
      </c>
      <c r="F2078" s="3">
        <f>+VLOOKUP($A2078,MAGAZZINO!$B$2:$M$100000,6,FALSE)</f>
        <v/>
      </c>
      <c r="G2078" s="3">
        <f>+VLOOKUP($A2078,MAGAZZINO!$B$2:$M$100000,7,FALSE)</f>
        <v/>
      </c>
      <c r="H2078" s="3">
        <f>+VLOOKUP($A2078,MAGAZZINO!$B$2:$M$100000,8,FALSE)</f>
        <v/>
      </c>
      <c r="I2078" s="3">
        <f>+VLOOKUP($A2078,MAGAZZINO!$B$2:$M$100000,9,FALSE)</f>
        <v/>
      </c>
      <c r="J2078" s="3">
        <f>+VLOOKUP($A2078,MAGAZZINO!$B$2:$M$100000,10,FALSE)</f>
        <v/>
      </c>
      <c r="K2078" s="3">
        <f>+VLOOKUP($A2078,MAGAZZINO!$B$2:$M$100000,11,FALSE)</f>
        <v/>
      </c>
      <c r="L2078" s="5">
        <f>+VLOOKUP($A2078,MAGAZZINO!$B$2:$M$100000,12,FALSE)</f>
        <v/>
      </c>
      <c r="M2078" s="47" t="n"/>
      <c r="N2078" s="88" t="n">
        <v>45965</v>
      </c>
      <c r="O2078" s="156" t="inlineStr">
        <is>
          <t>BIN HUMAID NATIONAL TRADING CO. (ARABIA SAUDITA)</t>
        </is>
      </c>
      <c r="P2078" s="155" t="inlineStr">
        <is>
          <t>IMPORT LICENSE N. 182480 DEL 08/01/2025                                                                                  AUT. ESPORTAZIONE MULTIPLA N. 6B/2025/2M RILASCIATA IL 26/05/2025                   (LICENZA DI SCARICO N. 6B/2025/5S RILASCIATA IL 29/10/2025)</t>
        </is>
      </c>
      <c r="Q2078" s="150" t="n"/>
      <c r="R2078" s="150" t="n"/>
      <c r="S2078" s="153" t="n"/>
    </row>
    <row r="2079" ht="36" customHeight="1">
      <c r="A2079" s="46" t="n">
        <v>4409</v>
      </c>
      <c r="B2079" s="4">
        <f>+VLOOKUP($A2079,MAGAZZINO!$B$2:$M$100000,2,FALSE)</f>
        <v/>
      </c>
      <c r="C2079" s="29">
        <f>+VLOOKUP($A2079,MAGAZZINO!$B$2:$M$100000,3,FALSE)</f>
        <v/>
      </c>
      <c r="D2079" s="3">
        <f>+VLOOKUP($A2079,MAGAZZINO!$B$2:$M$100000,4,FALSE)</f>
        <v/>
      </c>
      <c r="E2079" s="3">
        <f>+VLOOKUP($A2079,MAGAZZINO!$B$2:$M$100000,5,FALSE)</f>
        <v/>
      </c>
      <c r="F2079" s="3">
        <f>+VLOOKUP($A2079,MAGAZZINO!$B$2:$M$100000,6,FALSE)</f>
        <v/>
      </c>
      <c r="G2079" s="3">
        <f>+VLOOKUP($A2079,MAGAZZINO!$B$2:$M$100000,7,FALSE)</f>
        <v/>
      </c>
      <c r="H2079" s="3">
        <f>+VLOOKUP($A2079,MAGAZZINO!$B$2:$M$100000,8,FALSE)</f>
        <v/>
      </c>
      <c r="I2079" s="3">
        <f>+VLOOKUP($A2079,MAGAZZINO!$B$2:$M$100000,9,FALSE)</f>
        <v/>
      </c>
      <c r="J2079" s="3">
        <f>+VLOOKUP($A2079,MAGAZZINO!$B$2:$M$100000,10,FALSE)</f>
        <v/>
      </c>
      <c r="K2079" s="3">
        <f>+VLOOKUP($A2079,MAGAZZINO!$B$2:$M$100000,11,FALSE)</f>
        <v/>
      </c>
      <c r="L2079" s="5">
        <f>+VLOOKUP($A2079,MAGAZZINO!$B$2:$M$100000,12,FALSE)</f>
        <v/>
      </c>
      <c r="M2079" s="47" t="n"/>
      <c r="N2079" s="88" t="n">
        <v>45965</v>
      </c>
      <c r="O2079" s="156" t="inlineStr">
        <is>
          <t>BIN HUMAID NATIONAL TRADING CO. (ARABIA SAUDITA)</t>
        </is>
      </c>
      <c r="P2079" s="155" t="inlineStr">
        <is>
          <t>IMPORT LICENSE N. 182480 DEL 08/01/2025                                                                                  AUT. ESPORTAZIONE MULTIPLA N. 6B/2025/2M RILASCIATA IL 26/05/2025                   (LICENZA DI SCARICO N. 6B/2025/5S RILASCIATA IL 29/10/2025)</t>
        </is>
      </c>
      <c r="Q2079" s="150" t="n"/>
      <c r="R2079" s="150" t="n"/>
      <c r="S2079" s="153" t="n"/>
    </row>
    <row r="2080" ht="36" customHeight="1">
      <c r="A2080" s="46" t="n">
        <v>4410</v>
      </c>
      <c r="B2080" s="4">
        <f>+VLOOKUP($A2080,MAGAZZINO!$B$2:$M$100000,2,FALSE)</f>
        <v/>
      </c>
      <c r="C2080" s="29">
        <f>+VLOOKUP($A2080,MAGAZZINO!$B$2:$M$100000,3,FALSE)</f>
        <v/>
      </c>
      <c r="D2080" s="3">
        <f>+VLOOKUP($A2080,MAGAZZINO!$B$2:$M$100000,4,FALSE)</f>
        <v/>
      </c>
      <c r="E2080" s="3">
        <f>+VLOOKUP($A2080,MAGAZZINO!$B$2:$M$100000,5,FALSE)</f>
        <v/>
      </c>
      <c r="F2080" s="3">
        <f>+VLOOKUP($A2080,MAGAZZINO!$B$2:$M$100000,6,FALSE)</f>
        <v/>
      </c>
      <c r="G2080" s="3">
        <f>+VLOOKUP($A2080,MAGAZZINO!$B$2:$M$100000,7,FALSE)</f>
        <v/>
      </c>
      <c r="H2080" s="3">
        <f>+VLOOKUP($A2080,MAGAZZINO!$B$2:$M$100000,8,FALSE)</f>
        <v/>
      </c>
      <c r="I2080" s="3">
        <f>+VLOOKUP($A2080,MAGAZZINO!$B$2:$M$100000,9,FALSE)</f>
        <v/>
      </c>
      <c r="J2080" s="3">
        <f>+VLOOKUP($A2080,MAGAZZINO!$B$2:$M$100000,10,FALSE)</f>
        <v/>
      </c>
      <c r="K2080" s="3">
        <f>+VLOOKUP($A2080,MAGAZZINO!$B$2:$M$100000,11,FALSE)</f>
        <v/>
      </c>
      <c r="L2080" s="5">
        <f>+VLOOKUP($A2080,MAGAZZINO!$B$2:$M$100000,12,FALSE)</f>
        <v/>
      </c>
      <c r="M2080" s="47" t="n"/>
      <c r="N2080" s="88" t="n">
        <v>45965</v>
      </c>
      <c r="O2080" s="156" t="inlineStr">
        <is>
          <t>BIN HUMAID NATIONAL TRADING CO. (ARABIA SAUDITA)</t>
        </is>
      </c>
      <c r="P2080" s="155" t="inlineStr">
        <is>
          <t>IMPORT LICENSE N. 182480 DEL 08/01/2025                                                                                  AUT. ESPORTAZIONE MULTIPLA N. 6B/2025/2M RILASCIATA IL 26/05/2025                   (LICENZA DI SCARICO N. 6B/2025/5S RILASCIATA IL 29/10/2025)</t>
        </is>
      </c>
      <c r="Q2080" s="150" t="n"/>
      <c r="R2080" s="150" t="n"/>
      <c r="S2080" s="153" t="n"/>
    </row>
    <row r="2081" ht="36" customHeight="1">
      <c r="A2081" s="46" t="n">
        <v>4411</v>
      </c>
      <c r="B2081" s="4">
        <f>+VLOOKUP($A2081,MAGAZZINO!$B$2:$M$100000,2,FALSE)</f>
        <v/>
      </c>
      <c r="C2081" s="29">
        <f>+VLOOKUP($A2081,MAGAZZINO!$B$2:$M$100000,3,FALSE)</f>
        <v/>
      </c>
      <c r="D2081" s="3">
        <f>+VLOOKUP($A2081,MAGAZZINO!$B$2:$M$100000,4,FALSE)</f>
        <v/>
      </c>
      <c r="E2081" s="3">
        <f>+VLOOKUP($A2081,MAGAZZINO!$B$2:$M$100000,5,FALSE)</f>
        <v/>
      </c>
      <c r="F2081" s="3">
        <f>+VLOOKUP($A2081,MAGAZZINO!$B$2:$M$100000,6,FALSE)</f>
        <v/>
      </c>
      <c r="G2081" s="3">
        <f>+VLOOKUP($A2081,MAGAZZINO!$B$2:$M$100000,7,FALSE)</f>
        <v/>
      </c>
      <c r="H2081" s="3">
        <f>+VLOOKUP($A2081,MAGAZZINO!$B$2:$M$100000,8,FALSE)</f>
        <v/>
      </c>
      <c r="I2081" s="3">
        <f>+VLOOKUP($A2081,MAGAZZINO!$B$2:$M$100000,9,FALSE)</f>
        <v/>
      </c>
      <c r="J2081" s="3">
        <f>+VLOOKUP($A2081,MAGAZZINO!$B$2:$M$100000,10,FALSE)</f>
        <v/>
      </c>
      <c r="K2081" s="3">
        <f>+VLOOKUP($A2081,MAGAZZINO!$B$2:$M$100000,11,FALSE)</f>
        <v/>
      </c>
      <c r="L2081" s="5">
        <f>+VLOOKUP($A2081,MAGAZZINO!$B$2:$M$100000,12,FALSE)</f>
        <v/>
      </c>
      <c r="M2081" s="47" t="n"/>
      <c r="N2081" s="88" t="n">
        <v>45965</v>
      </c>
      <c r="O2081" s="156" t="inlineStr">
        <is>
          <t>BIN HUMAID NATIONAL TRADING CO. (ARABIA SAUDITA)</t>
        </is>
      </c>
      <c r="P2081" s="155" t="inlineStr">
        <is>
          <t>IMPORT LICENSE N. 182480 DEL 08/01/2025                                                                                  AUT. ESPORTAZIONE MULTIPLA N. 6B/2025/2M RILASCIATA IL 26/05/2025                   (LICENZA DI SCARICO N. 6B/2025/5S RILASCIATA IL 29/10/2025)</t>
        </is>
      </c>
      <c r="Q2081" s="150" t="n"/>
      <c r="R2081" s="150" t="n"/>
      <c r="S2081" s="153" t="n"/>
    </row>
    <row r="2082" ht="36" customHeight="1">
      <c r="A2082" s="46" t="n">
        <v>4412</v>
      </c>
      <c r="B2082" s="4">
        <f>+VLOOKUP($A2082,MAGAZZINO!$B$2:$M$100000,2,FALSE)</f>
        <v/>
      </c>
      <c r="C2082" s="29">
        <f>+VLOOKUP($A2082,MAGAZZINO!$B$2:$M$100000,3,FALSE)</f>
        <v/>
      </c>
      <c r="D2082" s="3">
        <f>+VLOOKUP($A2082,MAGAZZINO!$B$2:$M$100000,4,FALSE)</f>
        <v/>
      </c>
      <c r="E2082" s="3">
        <f>+VLOOKUP($A2082,MAGAZZINO!$B$2:$M$100000,5,FALSE)</f>
        <v/>
      </c>
      <c r="F2082" s="3">
        <f>+VLOOKUP($A2082,MAGAZZINO!$B$2:$M$100000,6,FALSE)</f>
        <v/>
      </c>
      <c r="G2082" s="3">
        <f>+VLOOKUP($A2082,MAGAZZINO!$B$2:$M$100000,7,FALSE)</f>
        <v/>
      </c>
      <c r="H2082" s="3">
        <f>+VLOOKUP($A2082,MAGAZZINO!$B$2:$M$100000,8,FALSE)</f>
        <v/>
      </c>
      <c r="I2082" s="3">
        <f>+VLOOKUP($A2082,MAGAZZINO!$B$2:$M$100000,9,FALSE)</f>
        <v/>
      </c>
      <c r="J2082" s="3">
        <f>+VLOOKUP($A2082,MAGAZZINO!$B$2:$M$100000,10,FALSE)</f>
        <v/>
      </c>
      <c r="K2082" s="3">
        <f>+VLOOKUP($A2082,MAGAZZINO!$B$2:$M$100000,11,FALSE)</f>
        <v/>
      </c>
      <c r="L2082" s="5">
        <f>+VLOOKUP($A2082,MAGAZZINO!$B$2:$M$100000,12,FALSE)</f>
        <v/>
      </c>
      <c r="M2082" s="47" t="n"/>
      <c r="N2082" s="88" t="n">
        <v>45965</v>
      </c>
      <c r="O2082" s="156" t="inlineStr">
        <is>
          <t>BIN HUMAID NATIONAL TRADING CO. (ARABIA SAUDITA)</t>
        </is>
      </c>
      <c r="P2082" s="155" t="inlineStr">
        <is>
          <t>IMPORT LICENSE N. 182480 DEL 08/01/2025                                                                                  AUT. ESPORTAZIONE MULTIPLA N. 6B/2025/2M RILASCIATA IL 26/05/2025                   (LICENZA DI SCARICO N. 6B/2025/5S RILASCIATA IL 29/10/2025)</t>
        </is>
      </c>
      <c r="Q2082" s="150" t="n"/>
      <c r="R2082" s="150" t="n"/>
      <c r="S2082" s="153" t="n"/>
    </row>
    <row r="2083" ht="36" customHeight="1">
      <c r="A2083" s="46" t="n">
        <v>4413</v>
      </c>
      <c r="B2083" s="4">
        <f>+VLOOKUP($A2083,MAGAZZINO!$B$2:$M$100000,2,FALSE)</f>
        <v/>
      </c>
      <c r="C2083" s="29">
        <f>+VLOOKUP($A2083,MAGAZZINO!$B$2:$M$100000,3,FALSE)</f>
        <v/>
      </c>
      <c r="D2083" s="3">
        <f>+VLOOKUP($A2083,MAGAZZINO!$B$2:$M$100000,4,FALSE)</f>
        <v/>
      </c>
      <c r="E2083" s="3">
        <f>+VLOOKUP($A2083,MAGAZZINO!$B$2:$M$100000,5,FALSE)</f>
        <v/>
      </c>
      <c r="F2083" s="3">
        <f>+VLOOKUP($A2083,MAGAZZINO!$B$2:$M$100000,6,FALSE)</f>
        <v/>
      </c>
      <c r="G2083" s="3">
        <f>+VLOOKUP($A2083,MAGAZZINO!$B$2:$M$100000,7,FALSE)</f>
        <v/>
      </c>
      <c r="H2083" s="3">
        <f>+VLOOKUP($A2083,MAGAZZINO!$B$2:$M$100000,8,FALSE)</f>
        <v/>
      </c>
      <c r="I2083" s="3">
        <f>+VLOOKUP($A2083,MAGAZZINO!$B$2:$M$100000,9,FALSE)</f>
        <v/>
      </c>
      <c r="J2083" s="3">
        <f>+VLOOKUP($A2083,MAGAZZINO!$B$2:$M$100000,10,FALSE)</f>
        <v/>
      </c>
      <c r="K2083" s="3">
        <f>+VLOOKUP($A2083,MAGAZZINO!$B$2:$M$100000,11,FALSE)</f>
        <v/>
      </c>
      <c r="L2083" s="5">
        <f>+VLOOKUP($A2083,MAGAZZINO!$B$2:$M$100000,12,FALSE)</f>
        <v/>
      </c>
      <c r="M2083" s="47" t="n"/>
      <c r="N2083" s="88" t="n">
        <v>45965</v>
      </c>
      <c r="O2083" s="156" t="inlineStr">
        <is>
          <t>BIN HUMAID NATIONAL TRADING CO. (ARABIA SAUDITA)</t>
        </is>
      </c>
      <c r="P2083" s="155" t="inlineStr">
        <is>
          <t>IMPORT LICENSE N. 182480 DEL 08/01/2025                                                                                  AUT. ESPORTAZIONE MULTIPLA N. 6B/2025/2M RILASCIATA IL 26/05/2025                   (LICENZA DI SCARICO N. 6B/2025/5S RILASCIATA IL 29/10/2025)</t>
        </is>
      </c>
      <c r="Q2083" s="150" t="n"/>
      <c r="R2083" s="150" t="n"/>
      <c r="S2083" s="153" t="n"/>
    </row>
    <row r="2084" ht="36" customHeight="1">
      <c r="A2084" s="46" t="n">
        <v>4414</v>
      </c>
      <c r="B2084" s="4">
        <f>+VLOOKUP($A2084,MAGAZZINO!$B$2:$M$100000,2,FALSE)</f>
        <v/>
      </c>
      <c r="C2084" s="29">
        <f>+VLOOKUP($A2084,MAGAZZINO!$B$2:$M$100000,3,FALSE)</f>
        <v/>
      </c>
      <c r="D2084" s="3">
        <f>+VLOOKUP($A2084,MAGAZZINO!$B$2:$M$100000,4,FALSE)</f>
        <v/>
      </c>
      <c r="E2084" s="3">
        <f>+VLOOKUP($A2084,MAGAZZINO!$B$2:$M$100000,5,FALSE)</f>
        <v/>
      </c>
      <c r="F2084" s="3">
        <f>+VLOOKUP($A2084,MAGAZZINO!$B$2:$M$100000,6,FALSE)</f>
        <v/>
      </c>
      <c r="G2084" s="3">
        <f>+VLOOKUP($A2084,MAGAZZINO!$B$2:$M$100000,7,FALSE)</f>
        <v/>
      </c>
      <c r="H2084" s="3">
        <f>+VLOOKUP($A2084,MAGAZZINO!$B$2:$M$100000,8,FALSE)</f>
        <v/>
      </c>
      <c r="I2084" s="3">
        <f>+VLOOKUP($A2084,MAGAZZINO!$B$2:$M$100000,9,FALSE)</f>
        <v/>
      </c>
      <c r="J2084" s="3">
        <f>+VLOOKUP($A2084,MAGAZZINO!$B$2:$M$100000,10,FALSE)</f>
        <v/>
      </c>
      <c r="K2084" s="3">
        <f>+VLOOKUP($A2084,MAGAZZINO!$B$2:$M$100000,11,FALSE)</f>
        <v/>
      </c>
      <c r="L2084" s="5">
        <f>+VLOOKUP($A2084,MAGAZZINO!$B$2:$M$100000,12,FALSE)</f>
        <v/>
      </c>
      <c r="M2084" s="47" t="n"/>
      <c r="N2084" s="88" t="n">
        <v>45965</v>
      </c>
      <c r="O2084" s="156" t="inlineStr">
        <is>
          <t>BIN HUMAID NATIONAL TRADING CO. (ARABIA SAUDITA)</t>
        </is>
      </c>
      <c r="P2084" s="155" t="inlineStr">
        <is>
          <t>IMPORT LICENSE N. 182480 DEL 08/01/2025                                                                                  AUT. ESPORTAZIONE MULTIPLA N. 6B/2025/2M RILASCIATA IL 26/05/2025                   (LICENZA DI SCARICO N. 6B/2025/5S RILASCIATA IL 29/10/2025)</t>
        </is>
      </c>
      <c r="Q2084" s="150" t="n"/>
      <c r="R2084" s="150" t="n"/>
      <c r="S2084" s="153" t="n"/>
    </row>
    <row r="2085" ht="36" customHeight="1">
      <c r="A2085" s="46" t="n">
        <v>4415</v>
      </c>
      <c r="B2085" s="4">
        <f>+VLOOKUP($A2085,MAGAZZINO!$B$2:$M$100000,2,FALSE)</f>
        <v/>
      </c>
      <c r="C2085" s="29">
        <f>+VLOOKUP($A2085,MAGAZZINO!$B$2:$M$100000,3,FALSE)</f>
        <v/>
      </c>
      <c r="D2085" s="3">
        <f>+VLOOKUP($A2085,MAGAZZINO!$B$2:$M$100000,4,FALSE)</f>
        <v/>
      </c>
      <c r="E2085" s="3">
        <f>+VLOOKUP($A2085,MAGAZZINO!$B$2:$M$100000,5,FALSE)</f>
        <v/>
      </c>
      <c r="F2085" s="3">
        <f>+VLOOKUP($A2085,MAGAZZINO!$B$2:$M$100000,6,FALSE)</f>
        <v/>
      </c>
      <c r="G2085" s="3">
        <f>+VLOOKUP($A2085,MAGAZZINO!$B$2:$M$100000,7,FALSE)</f>
        <v/>
      </c>
      <c r="H2085" s="3">
        <f>+VLOOKUP($A2085,MAGAZZINO!$B$2:$M$100000,8,FALSE)</f>
        <v/>
      </c>
      <c r="I2085" s="3">
        <f>+VLOOKUP($A2085,MAGAZZINO!$B$2:$M$100000,9,FALSE)</f>
        <v/>
      </c>
      <c r="J2085" s="3">
        <f>+VLOOKUP($A2085,MAGAZZINO!$B$2:$M$100000,10,FALSE)</f>
        <v/>
      </c>
      <c r="K2085" s="3">
        <f>+VLOOKUP($A2085,MAGAZZINO!$B$2:$M$100000,11,FALSE)</f>
        <v/>
      </c>
      <c r="L2085" s="5">
        <f>+VLOOKUP($A2085,MAGAZZINO!$B$2:$M$100000,12,FALSE)</f>
        <v/>
      </c>
      <c r="M2085" s="47" t="n"/>
      <c r="N2085" s="88" t="n">
        <v>45965</v>
      </c>
      <c r="O2085" s="156" t="inlineStr">
        <is>
          <t>BIN HUMAID NATIONAL TRADING CO. (ARABIA SAUDITA)</t>
        </is>
      </c>
      <c r="P2085" s="155" t="inlineStr">
        <is>
          <t>IMPORT LICENSE N. 182480 DEL 08/01/2025                                                                                  AUT. ESPORTAZIONE MULTIPLA N. 6B/2025/2M RILASCIATA IL 26/05/2025                   (LICENZA DI SCARICO N. 6B/2025/5S RILASCIATA IL 29/10/2025)</t>
        </is>
      </c>
      <c r="Q2085" s="150" t="n"/>
      <c r="R2085" s="150" t="n"/>
      <c r="S2085" s="153" t="n"/>
    </row>
    <row r="2086" ht="36" customHeight="1">
      <c r="A2086" s="46" t="n">
        <v>4416</v>
      </c>
      <c r="B2086" s="4">
        <f>+VLOOKUP($A2086,MAGAZZINO!$B$2:$M$100000,2,FALSE)</f>
        <v/>
      </c>
      <c r="C2086" s="29">
        <f>+VLOOKUP($A2086,MAGAZZINO!$B$2:$M$100000,3,FALSE)</f>
        <v/>
      </c>
      <c r="D2086" s="3">
        <f>+VLOOKUP($A2086,MAGAZZINO!$B$2:$M$100000,4,FALSE)</f>
        <v/>
      </c>
      <c r="E2086" s="3">
        <f>+VLOOKUP($A2086,MAGAZZINO!$B$2:$M$100000,5,FALSE)</f>
        <v/>
      </c>
      <c r="F2086" s="3">
        <f>+VLOOKUP($A2086,MAGAZZINO!$B$2:$M$100000,6,FALSE)</f>
        <v/>
      </c>
      <c r="G2086" s="3">
        <f>+VLOOKUP($A2086,MAGAZZINO!$B$2:$M$100000,7,FALSE)</f>
        <v/>
      </c>
      <c r="H2086" s="3">
        <f>+VLOOKUP($A2086,MAGAZZINO!$B$2:$M$100000,8,FALSE)</f>
        <v/>
      </c>
      <c r="I2086" s="3">
        <f>+VLOOKUP($A2086,MAGAZZINO!$B$2:$M$100000,9,FALSE)</f>
        <v/>
      </c>
      <c r="J2086" s="3">
        <f>+VLOOKUP($A2086,MAGAZZINO!$B$2:$M$100000,10,FALSE)</f>
        <v/>
      </c>
      <c r="K2086" s="3">
        <f>+VLOOKUP($A2086,MAGAZZINO!$B$2:$M$100000,11,FALSE)</f>
        <v/>
      </c>
      <c r="L2086" s="5">
        <f>+VLOOKUP($A2086,MAGAZZINO!$B$2:$M$100000,12,FALSE)</f>
        <v/>
      </c>
      <c r="M2086" s="47" t="n"/>
      <c r="N2086" s="88" t="n">
        <v>45965</v>
      </c>
      <c r="O2086" s="156" t="inlineStr">
        <is>
          <t>BIN HUMAID NATIONAL TRADING CO. (ARABIA SAUDITA)</t>
        </is>
      </c>
      <c r="P2086" s="155" t="inlineStr">
        <is>
          <t>IMPORT LICENSE N. 182480 DEL 08/01/2025                                                                                  AUT. ESPORTAZIONE MULTIPLA N. 6B/2025/2M RILASCIATA IL 26/05/2025                   (LICENZA DI SCARICO N. 6B/2025/5S RILASCIATA IL 29/10/2025)</t>
        </is>
      </c>
      <c r="Q2086" s="150" t="n"/>
      <c r="R2086" s="150" t="n"/>
      <c r="S2086" s="153" t="n"/>
    </row>
    <row r="2087" ht="36" customHeight="1">
      <c r="A2087" s="46" t="n">
        <v>4417</v>
      </c>
      <c r="B2087" s="4">
        <f>+VLOOKUP($A2087,MAGAZZINO!$B$2:$M$100000,2,FALSE)</f>
        <v/>
      </c>
      <c r="C2087" s="29">
        <f>+VLOOKUP($A2087,MAGAZZINO!$B$2:$M$100000,3,FALSE)</f>
        <v/>
      </c>
      <c r="D2087" s="3">
        <f>+VLOOKUP($A2087,MAGAZZINO!$B$2:$M$100000,4,FALSE)</f>
        <v/>
      </c>
      <c r="E2087" s="3">
        <f>+VLOOKUP($A2087,MAGAZZINO!$B$2:$M$100000,5,FALSE)</f>
        <v/>
      </c>
      <c r="F2087" s="3">
        <f>+VLOOKUP($A2087,MAGAZZINO!$B$2:$M$100000,6,FALSE)</f>
        <v/>
      </c>
      <c r="G2087" s="3">
        <f>+VLOOKUP($A2087,MAGAZZINO!$B$2:$M$100000,7,FALSE)</f>
        <v/>
      </c>
      <c r="H2087" s="3">
        <f>+VLOOKUP($A2087,MAGAZZINO!$B$2:$M$100000,8,FALSE)</f>
        <v/>
      </c>
      <c r="I2087" s="3">
        <f>+VLOOKUP($A2087,MAGAZZINO!$B$2:$M$100000,9,FALSE)</f>
        <v/>
      </c>
      <c r="J2087" s="3">
        <f>+VLOOKUP($A2087,MAGAZZINO!$B$2:$M$100000,10,FALSE)</f>
        <v/>
      </c>
      <c r="K2087" s="3">
        <f>+VLOOKUP($A2087,MAGAZZINO!$B$2:$M$100000,11,FALSE)</f>
        <v/>
      </c>
      <c r="L2087" s="5">
        <f>+VLOOKUP($A2087,MAGAZZINO!$B$2:$M$100000,12,FALSE)</f>
        <v/>
      </c>
      <c r="M2087" s="47" t="n"/>
      <c r="N2087" s="88" t="n">
        <v>45965</v>
      </c>
      <c r="O2087" s="156" t="inlineStr">
        <is>
          <t>BIN HUMAID NATIONAL TRADING CO. (ARABIA SAUDITA)</t>
        </is>
      </c>
      <c r="P2087" s="155" t="inlineStr">
        <is>
          <t>IMPORT LICENSE N. 182480 DEL 08/01/2025                                                                                  AUT. ESPORTAZIONE MULTIPLA N. 6B/2025/2M RILASCIATA IL 26/05/2025                   (LICENZA DI SCARICO N. 6B/2025/5S RILASCIATA IL 29/10/2025)</t>
        </is>
      </c>
      <c r="Q2087" s="150" t="n"/>
      <c r="R2087" s="150" t="n"/>
      <c r="S2087" s="153" t="n"/>
    </row>
    <row r="2088" ht="36" customHeight="1">
      <c r="A2088" s="46" t="n">
        <v>4418</v>
      </c>
      <c r="B2088" s="4">
        <f>+VLOOKUP($A2088,MAGAZZINO!$B$2:$M$100000,2,FALSE)</f>
        <v/>
      </c>
      <c r="C2088" s="29">
        <f>+VLOOKUP($A2088,MAGAZZINO!$B$2:$M$100000,3,FALSE)</f>
        <v/>
      </c>
      <c r="D2088" s="3">
        <f>+VLOOKUP($A2088,MAGAZZINO!$B$2:$M$100000,4,FALSE)</f>
        <v/>
      </c>
      <c r="E2088" s="3">
        <f>+VLOOKUP($A2088,MAGAZZINO!$B$2:$M$100000,5,FALSE)</f>
        <v/>
      </c>
      <c r="F2088" s="3">
        <f>+VLOOKUP($A2088,MAGAZZINO!$B$2:$M$100000,6,FALSE)</f>
        <v/>
      </c>
      <c r="G2088" s="3">
        <f>+VLOOKUP($A2088,MAGAZZINO!$B$2:$M$100000,7,FALSE)</f>
        <v/>
      </c>
      <c r="H2088" s="3">
        <f>+VLOOKUP($A2088,MAGAZZINO!$B$2:$M$100000,8,FALSE)</f>
        <v/>
      </c>
      <c r="I2088" s="3">
        <f>+VLOOKUP($A2088,MAGAZZINO!$B$2:$M$100000,9,FALSE)</f>
        <v/>
      </c>
      <c r="J2088" s="3">
        <f>+VLOOKUP($A2088,MAGAZZINO!$B$2:$M$100000,10,FALSE)</f>
        <v/>
      </c>
      <c r="K2088" s="3">
        <f>+VLOOKUP($A2088,MAGAZZINO!$B$2:$M$100000,11,FALSE)</f>
        <v/>
      </c>
      <c r="L2088" s="5">
        <f>+VLOOKUP($A2088,MAGAZZINO!$B$2:$M$100000,12,FALSE)</f>
        <v/>
      </c>
      <c r="M2088" s="47" t="n"/>
      <c r="N2088" s="88" t="n">
        <v>45965</v>
      </c>
      <c r="O2088" s="156" t="inlineStr">
        <is>
          <t>BIN HUMAID NATIONAL TRADING CO. (ARABIA SAUDITA)</t>
        </is>
      </c>
      <c r="P2088" s="155" t="inlineStr">
        <is>
          <t>IMPORT LICENSE N. 182480 DEL 08/01/2025                                                                                  AUT. ESPORTAZIONE MULTIPLA N. 6B/2025/2M RILASCIATA IL 26/05/2025                   (LICENZA DI SCARICO N. 6B/2025/5S RILASCIATA IL 29/10/2025)</t>
        </is>
      </c>
      <c r="Q2088" s="150" t="n"/>
      <c r="R2088" s="150" t="n"/>
      <c r="S2088" s="153" t="n"/>
    </row>
    <row r="2089" ht="36" customHeight="1">
      <c r="A2089" s="46" t="n">
        <v>4419</v>
      </c>
      <c r="B2089" s="4">
        <f>+VLOOKUP($A2089,MAGAZZINO!$B$2:$M$100000,2,FALSE)</f>
        <v/>
      </c>
      <c r="C2089" s="29">
        <f>+VLOOKUP($A2089,MAGAZZINO!$B$2:$M$100000,3,FALSE)</f>
        <v/>
      </c>
      <c r="D2089" s="3">
        <f>+VLOOKUP($A2089,MAGAZZINO!$B$2:$M$100000,4,FALSE)</f>
        <v/>
      </c>
      <c r="E2089" s="3">
        <f>+VLOOKUP($A2089,MAGAZZINO!$B$2:$M$100000,5,FALSE)</f>
        <v/>
      </c>
      <c r="F2089" s="3">
        <f>+VLOOKUP($A2089,MAGAZZINO!$B$2:$M$100000,6,FALSE)</f>
        <v/>
      </c>
      <c r="G2089" s="3">
        <f>+VLOOKUP($A2089,MAGAZZINO!$B$2:$M$100000,7,FALSE)</f>
        <v/>
      </c>
      <c r="H2089" s="3">
        <f>+VLOOKUP($A2089,MAGAZZINO!$B$2:$M$100000,8,FALSE)</f>
        <v/>
      </c>
      <c r="I2089" s="3">
        <f>+VLOOKUP($A2089,MAGAZZINO!$B$2:$M$100000,9,FALSE)</f>
        <v/>
      </c>
      <c r="J2089" s="3">
        <f>+VLOOKUP($A2089,MAGAZZINO!$B$2:$M$100000,10,FALSE)</f>
        <v/>
      </c>
      <c r="K2089" s="3">
        <f>+VLOOKUP($A2089,MAGAZZINO!$B$2:$M$100000,11,FALSE)</f>
        <v/>
      </c>
      <c r="L2089" s="5">
        <f>+VLOOKUP($A2089,MAGAZZINO!$B$2:$M$100000,12,FALSE)</f>
        <v/>
      </c>
      <c r="M2089" s="47" t="n"/>
      <c r="N2089" s="88" t="n">
        <v>45965</v>
      </c>
      <c r="O2089" s="156" t="inlineStr">
        <is>
          <t>BIN HUMAID NATIONAL TRADING CO. (ARABIA SAUDITA)</t>
        </is>
      </c>
      <c r="P2089" s="155" t="inlineStr">
        <is>
          <t>IMPORT LICENSE N. 182480 DEL 08/01/2025                                                                                  AUT. ESPORTAZIONE MULTIPLA N. 6B/2025/2M RILASCIATA IL 26/05/2025                   (LICENZA DI SCARICO N. 6B/2025/5S RILASCIATA IL 29/10/2025)</t>
        </is>
      </c>
      <c r="Q2089" s="150" t="n"/>
      <c r="R2089" s="150" t="n"/>
      <c r="S2089" s="153" t="n"/>
    </row>
    <row r="2090" ht="36" customHeight="1">
      <c r="A2090" s="46" t="n">
        <v>4420</v>
      </c>
      <c r="B2090" s="4">
        <f>+VLOOKUP($A2090,MAGAZZINO!$B$2:$M$100000,2,FALSE)</f>
        <v/>
      </c>
      <c r="C2090" s="29">
        <f>+VLOOKUP($A2090,MAGAZZINO!$B$2:$M$100000,3,FALSE)</f>
        <v/>
      </c>
      <c r="D2090" s="3">
        <f>+VLOOKUP($A2090,MAGAZZINO!$B$2:$M$100000,4,FALSE)</f>
        <v/>
      </c>
      <c r="E2090" s="3">
        <f>+VLOOKUP($A2090,MAGAZZINO!$B$2:$M$100000,5,FALSE)</f>
        <v/>
      </c>
      <c r="F2090" s="3">
        <f>+VLOOKUP($A2090,MAGAZZINO!$B$2:$M$100000,6,FALSE)</f>
        <v/>
      </c>
      <c r="G2090" s="3">
        <f>+VLOOKUP($A2090,MAGAZZINO!$B$2:$M$100000,7,FALSE)</f>
        <v/>
      </c>
      <c r="H2090" s="3">
        <f>+VLOOKUP($A2090,MAGAZZINO!$B$2:$M$100000,8,FALSE)</f>
        <v/>
      </c>
      <c r="I2090" s="3">
        <f>+VLOOKUP($A2090,MAGAZZINO!$B$2:$M$100000,9,FALSE)</f>
        <v/>
      </c>
      <c r="J2090" s="3">
        <f>+VLOOKUP($A2090,MAGAZZINO!$B$2:$M$100000,10,FALSE)</f>
        <v/>
      </c>
      <c r="K2090" s="3">
        <f>+VLOOKUP($A2090,MAGAZZINO!$B$2:$M$100000,11,FALSE)</f>
        <v/>
      </c>
      <c r="L2090" s="5">
        <f>+VLOOKUP($A2090,MAGAZZINO!$B$2:$M$100000,12,FALSE)</f>
        <v/>
      </c>
      <c r="M2090" s="47" t="n"/>
      <c r="N2090" s="88" t="n">
        <v>45965</v>
      </c>
      <c r="O2090" s="156" t="inlineStr">
        <is>
          <t>BIN HUMAID NATIONAL TRADING CO. (ARABIA SAUDITA)</t>
        </is>
      </c>
      <c r="P2090" s="155" t="inlineStr">
        <is>
          <t>IMPORT LICENSE N. 182480 DEL 08/01/2025                                                                                  AUT. ESPORTAZIONE MULTIPLA N. 6B/2025/2M RILASCIATA IL 26/05/2025                   (LICENZA DI SCARICO N. 6B/2025/5S RILASCIATA IL 29/10/2025)</t>
        </is>
      </c>
      <c r="Q2090" s="150" t="n"/>
      <c r="R2090" s="150" t="n"/>
      <c r="S2090" s="153" t="n"/>
    </row>
    <row r="2091" ht="36" customHeight="1">
      <c r="A2091" s="46" t="n">
        <v>4421</v>
      </c>
      <c r="B2091" s="4">
        <f>+VLOOKUP($A2091,MAGAZZINO!$B$2:$M$100000,2,FALSE)</f>
        <v/>
      </c>
      <c r="C2091" s="29">
        <f>+VLOOKUP($A2091,MAGAZZINO!$B$2:$M$100000,3,FALSE)</f>
        <v/>
      </c>
      <c r="D2091" s="3">
        <f>+VLOOKUP($A2091,MAGAZZINO!$B$2:$M$100000,4,FALSE)</f>
        <v/>
      </c>
      <c r="E2091" s="3">
        <f>+VLOOKUP($A2091,MAGAZZINO!$B$2:$M$100000,5,FALSE)</f>
        <v/>
      </c>
      <c r="F2091" s="3">
        <f>+VLOOKUP($A2091,MAGAZZINO!$B$2:$M$100000,6,FALSE)</f>
        <v/>
      </c>
      <c r="G2091" s="3">
        <f>+VLOOKUP($A2091,MAGAZZINO!$B$2:$M$100000,7,FALSE)</f>
        <v/>
      </c>
      <c r="H2091" s="3">
        <f>+VLOOKUP($A2091,MAGAZZINO!$B$2:$M$100000,8,FALSE)</f>
        <v/>
      </c>
      <c r="I2091" s="3">
        <f>+VLOOKUP($A2091,MAGAZZINO!$B$2:$M$100000,9,FALSE)</f>
        <v/>
      </c>
      <c r="J2091" s="3">
        <f>+VLOOKUP($A2091,MAGAZZINO!$B$2:$M$100000,10,FALSE)</f>
        <v/>
      </c>
      <c r="K2091" s="3">
        <f>+VLOOKUP($A2091,MAGAZZINO!$B$2:$M$100000,11,FALSE)</f>
        <v/>
      </c>
      <c r="L2091" s="5">
        <f>+VLOOKUP($A2091,MAGAZZINO!$B$2:$M$100000,12,FALSE)</f>
        <v/>
      </c>
      <c r="M2091" s="47" t="n"/>
      <c r="N2091" s="88" t="n">
        <v>45965</v>
      </c>
      <c r="O2091" s="156" t="inlineStr">
        <is>
          <t>BIN HUMAID NATIONAL TRADING CO. (ARABIA SAUDITA)</t>
        </is>
      </c>
      <c r="P2091" s="155" t="inlineStr">
        <is>
          <t>IMPORT LICENSE N. 182480 DEL 08/01/2025                                                                                  AUT. ESPORTAZIONE MULTIPLA N. 6B/2025/2M RILASCIATA IL 26/05/2025                   (LICENZA DI SCARICO N. 6B/2025/5S RILASCIATA IL 29/10/2025)</t>
        </is>
      </c>
      <c r="Q2091" s="150" t="n"/>
      <c r="R2091" s="150" t="n"/>
      <c r="S2091" s="153" t="n"/>
    </row>
    <row r="2092" ht="36" customHeight="1">
      <c r="A2092" s="46" t="n">
        <v>4422</v>
      </c>
      <c r="B2092" s="4">
        <f>+VLOOKUP($A2092,MAGAZZINO!$B$2:$M$100000,2,FALSE)</f>
        <v/>
      </c>
      <c r="C2092" s="29">
        <f>+VLOOKUP($A2092,MAGAZZINO!$B$2:$M$100000,3,FALSE)</f>
        <v/>
      </c>
      <c r="D2092" s="3">
        <f>+VLOOKUP($A2092,MAGAZZINO!$B$2:$M$100000,4,FALSE)</f>
        <v/>
      </c>
      <c r="E2092" s="3">
        <f>+VLOOKUP($A2092,MAGAZZINO!$B$2:$M$100000,5,FALSE)</f>
        <v/>
      </c>
      <c r="F2092" s="3">
        <f>+VLOOKUP($A2092,MAGAZZINO!$B$2:$M$100000,6,FALSE)</f>
        <v/>
      </c>
      <c r="G2092" s="3">
        <f>+VLOOKUP($A2092,MAGAZZINO!$B$2:$M$100000,7,FALSE)</f>
        <v/>
      </c>
      <c r="H2092" s="3">
        <f>+VLOOKUP($A2092,MAGAZZINO!$B$2:$M$100000,8,FALSE)</f>
        <v/>
      </c>
      <c r="I2092" s="3">
        <f>+VLOOKUP($A2092,MAGAZZINO!$B$2:$M$100000,9,FALSE)</f>
        <v/>
      </c>
      <c r="J2092" s="3">
        <f>+VLOOKUP($A2092,MAGAZZINO!$B$2:$M$100000,10,FALSE)</f>
        <v/>
      </c>
      <c r="K2092" s="3">
        <f>+VLOOKUP($A2092,MAGAZZINO!$B$2:$M$100000,11,FALSE)</f>
        <v/>
      </c>
      <c r="L2092" s="5">
        <f>+VLOOKUP($A2092,MAGAZZINO!$B$2:$M$100000,12,FALSE)</f>
        <v/>
      </c>
      <c r="M2092" s="47" t="n"/>
      <c r="N2092" s="88" t="n">
        <v>45965</v>
      </c>
      <c r="O2092" s="156" t="inlineStr">
        <is>
          <t>BIN HUMAID NATIONAL TRADING CO. (ARABIA SAUDITA)</t>
        </is>
      </c>
      <c r="P2092" s="155" t="inlineStr">
        <is>
          <t>IMPORT LICENSE N. 182480 DEL 08/01/2025                                                                                  AUT. ESPORTAZIONE MULTIPLA N. 6B/2025/2M RILASCIATA IL 26/05/2025                   (LICENZA DI SCARICO N. 6B/2025/5S RILASCIATA IL 29/10/2025)</t>
        </is>
      </c>
      <c r="Q2092" s="150" t="n"/>
      <c r="R2092" s="150" t="n"/>
      <c r="S2092" s="153" t="n"/>
    </row>
    <row r="2093" ht="36" customHeight="1">
      <c r="A2093" s="46" t="n">
        <v>4423</v>
      </c>
      <c r="B2093" s="4">
        <f>+VLOOKUP($A2093,MAGAZZINO!$B$2:$M$100000,2,FALSE)</f>
        <v/>
      </c>
      <c r="C2093" s="29">
        <f>+VLOOKUP($A2093,MAGAZZINO!$B$2:$M$100000,3,FALSE)</f>
        <v/>
      </c>
      <c r="D2093" s="3">
        <f>+VLOOKUP($A2093,MAGAZZINO!$B$2:$M$100000,4,FALSE)</f>
        <v/>
      </c>
      <c r="E2093" s="3">
        <f>+VLOOKUP($A2093,MAGAZZINO!$B$2:$M$100000,5,FALSE)</f>
        <v/>
      </c>
      <c r="F2093" s="3">
        <f>+VLOOKUP($A2093,MAGAZZINO!$B$2:$M$100000,6,FALSE)</f>
        <v/>
      </c>
      <c r="G2093" s="3">
        <f>+VLOOKUP($A2093,MAGAZZINO!$B$2:$M$100000,7,FALSE)</f>
        <v/>
      </c>
      <c r="H2093" s="3">
        <f>+VLOOKUP($A2093,MAGAZZINO!$B$2:$M$100000,8,FALSE)</f>
        <v/>
      </c>
      <c r="I2093" s="3">
        <f>+VLOOKUP($A2093,MAGAZZINO!$B$2:$M$100000,9,FALSE)</f>
        <v/>
      </c>
      <c r="J2093" s="3">
        <f>+VLOOKUP($A2093,MAGAZZINO!$B$2:$M$100000,10,FALSE)</f>
        <v/>
      </c>
      <c r="K2093" s="3">
        <f>+VLOOKUP($A2093,MAGAZZINO!$B$2:$M$100000,11,FALSE)</f>
        <v/>
      </c>
      <c r="L2093" s="5">
        <f>+VLOOKUP($A2093,MAGAZZINO!$B$2:$M$100000,12,FALSE)</f>
        <v/>
      </c>
      <c r="M2093" s="47" t="n"/>
      <c r="N2093" s="88" t="n">
        <v>45965</v>
      </c>
      <c r="O2093" s="156" t="inlineStr">
        <is>
          <t>BIN HUMAID NATIONAL TRADING CO. (ARABIA SAUDITA)</t>
        </is>
      </c>
      <c r="P2093" s="155" t="inlineStr">
        <is>
          <t>IMPORT LICENSE N. 182480 DEL 08/01/2025                                                                                  AUT. ESPORTAZIONE MULTIPLA N. 6B/2025/2M RILASCIATA IL 26/05/2025                   (LICENZA DI SCARICO N. 6B/2025/5S RILASCIATA IL 29/10/2025)</t>
        </is>
      </c>
      <c r="Q2093" s="150" t="n"/>
      <c r="R2093" s="150" t="n"/>
      <c r="S2093" s="153" t="n"/>
    </row>
    <row r="2094" ht="36" customHeight="1">
      <c r="A2094" s="46" t="n">
        <v>4424</v>
      </c>
      <c r="B2094" s="4">
        <f>+VLOOKUP($A2094,MAGAZZINO!$B$2:$M$100000,2,FALSE)</f>
        <v/>
      </c>
      <c r="C2094" s="29">
        <f>+VLOOKUP($A2094,MAGAZZINO!$B$2:$M$100000,3,FALSE)</f>
        <v/>
      </c>
      <c r="D2094" s="3">
        <f>+VLOOKUP($A2094,MAGAZZINO!$B$2:$M$100000,4,FALSE)</f>
        <v/>
      </c>
      <c r="E2094" s="3">
        <f>+VLOOKUP($A2094,MAGAZZINO!$B$2:$M$100000,5,FALSE)</f>
        <v/>
      </c>
      <c r="F2094" s="3">
        <f>+VLOOKUP($A2094,MAGAZZINO!$B$2:$M$100000,6,FALSE)</f>
        <v/>
      </c>
      <c r="G2094" s="3">
        <f>+VLOOKUP($A2094,MAGAZZINO!$B$2:$M$100000,7,FALSE)</f>
        <v/>
      </c>
      <c r="H2094" s="3">
        <f>+VLOOKUP($A2094,MAGAZZINO!$B$2:$M$100000,8,FALSE)</f>
        <v/>
      </c>
      <c r="I2094" s="3">
        <f>+VLOOKUP($A2094,MAGAZZINO!$B$2:$M$100000,9,FALSE)</f>
        <v/>
      </c>
      <c r="J2094" s="3">
        <f>+VLOOKUP($A2094,MAGAZZINO!$B$2:$M$100000,10,FALSE)</f>
        <v/>
      </c>
      <c r="K2094" s="3">
        <f>+VLOOKUP($A2094,MAGAZZINO!$B$2:$M$100000,11,FALSE)</f>
        <v/>
      </c>
      <c r="L2094" s="5">
        <f>+VLOOKUP($A2094,MAGAZZINO!$B$2:$M$100000,12,FALSE)</f>
        <v/>
      </c>
      <c r="M2094" s="47" t="n"/>
      <c r="N2094" s="88" t="n">
        <v>45965</v>
      </c>
      <c r="O2094" s="156" t="inlineStr">
        <is>
          <t>BIN HUMAID NATIONAL TRADING CO. (ARABIA SAUDITA)</t>
        </is>
      </c>
      <c r="P2094" s="155" t="inlineStr">
        <is>
          <t>IMPORT LICENSE N. 182480 DEL 08/01/2025                                                                                  AUT. ESPORTAZIONE MULTIPLA N. 6B/2025/2M RILASCIATA IL 26/05/2025                   (LICENZA DI SCARICO N. 6B/2025/5S RILASCIATA IL 29/10/2025)</t>
        </is>
      </c>
      <c r="Q2094" s="150" t="n"/>
      <c r="R2094" s="150" t="n"/>
      <c r="S2094" s="153" t="n"/>
    </row>
    <row r="2095" ht="36" customHeight="1">
      <c r="A2095" s="46" t="n">
        <v>4425</v>
      </c>
      <c r="B2095" s="4">
        <f>+VLOOKUP($A2095,MAGAZZINO!$B$2:$M$100000,2,FALSE)</f>
        <v/>
      </c>
      <c r="C2095" s="29">
        <f>+VLOOKUP($A2095,MAGAZZINO!$B$2:$M$100000,3,FALSE)</f>
        <v/>
      </c>
      <c r="D2095" s="3">
        <f>+VLOOKUP($A2095,MAGAZZINO!$B$2:$M$100000,4,FALSE)</f>
        <v/>
      </c>
      <c r="E2095" s="3">
        <f>+VLOOKUP($A2095,MAGAZZINO!$B$2:$M$100000,5,FALSE)</f>
        <v/>
      </c>
      <c r="F2095" s="3">
        <f>+VLOOKUP($A2095,MAGAZZINO!$B$2:$M$100000,6,FALSE)</f>
        <v/>
      </c>
      <c r="G2095" s="3">
        <f>+VLOOKUP($A2095,MAGAZZINO!$B$2:$M$100000,7,FALSE)</f>
        <v/>
      </c>
      <c r="H2095" s="3">
        <f>+VLOOKUP($A2095,MAGAZZINO!$B$2:$M$100000,8,FALSE)</f>
        <v/>
      </c>
      <c r="I2095" s="3">
        <f>+VLOOKUP($A2095,MAGAZZINO!$B$2:$M$100000,9,FALSE)</f>
        <v/>
      </c>
      <c r="J2095" s="3">
        <f>+VLOOKUP($A2095,MAGAZZINO!$B$2:$M$100000,10,FALSE)</f>
        <v/>
      </c>
      <c r="K2095" s="3">
        <f>+VLOOKUP($A2095,MAGAZZINO!$B$2:$M$100000,11,FALSE)</f>
        <v/>
      </c>
      <c r="L2095" s="5">
        <f>+VLOOKUP($A2095,MAGAZZINO!$B$2:$M$100000,12,FALSE)</f>
        <v/>
      </c>
      <c r="M2095" s="47" t="n"/>
      <c r="N2095" s="88" t="n">
        <v>45965</v>
      </c>
      <c r="O2095" s="156" t="inlineStr">
        <is>
          <t>BIN HUMAID NATIONAL TRADING CO. (ARABIA SAUDITA)</t>
        </is>
      </c>
      <c r="P2095" s="155" t="inlineStr">
        <is>
          <t>IMPORT LICENSE N. 182480 DEL 08/01/2025                                                                                  AUT. ESPORTAZIONE MULTIPLA N. 6B/2025/2M RILASCIATA IL 26/05/2025                   (LICENZA DI SCARICO N. 6B/2025/5S RILASCIATA IL 29/10/2025)</t>
        </is>
      </c>
      <c r="Q2095" s="150" t="n"/>
      <c r="R2095" s="150" t="n"/>
      <c r="S2095" s="153" t="n"/>
    </row>
    <row r="2096" ht="36" customHeight="1">
      <c r="A2096" s="46" t="n">
        <v>4426</v>
      </c>
      <c r="B2096" s="4">
        <f>+VLOOKUP($A2096,MAGAZZINO!$B$2:$M$100000,2,FALSE)</f>
        <v/>
      </c>
      <c r="C2096" s="29">
        <f>+VLOOKUP($A2096,MAGAZZINO!$B$2:$M$100000,3,FALSE)</f>
        <v/>
      </c>
      <c r="D2096" s="3">
        <f>+VLOOKUP($A2096,MAGAZZINO!$B$2:$M$100000,4,FALSE)</f>
        <v/>
      </c>
      <c r="E2096" s="3">
        <f>+VLOOKUP($A2096,MAGAZZINO!$B$2:$M$100000,5,FALSE)</f>
        <v/>
      </c>
      <c r="F2096" s="3">
        <f>+VLOOKUP($A2096,MAGAZZINO!$B$2:$M$100000,6,FALSE)</f>
        <v/>
      </c>
      <c r="G2096" s="3">
        <f>+VLOOKUP($A2096,MAGAZZINO!$B$2:$M$100000,7,FALSE)</f>
        <v/>
      </c>
      <c r="H2096" s="3">
        <f>+VLOOKUP($A2096,MAGAZZINO!$B$2:$M$100000,8,FALSE)</f>
        <v/>
      </c>
      <c r="I2096" s="3">
        <f>+VLOOKUP($A2096,MAGAZZINO!$B$2:$M$100000,9,FALSE)</f>
        <v/>
      </c>
      <c r="J2096" s="3">
        <f>+VLOOKUP($A2096,MAGAZZINO!$B$2:$M$100000,10,FALSE)</f>
        <v/>
      </c>
      <c r="K2096" s="3">
        <f>+VLOOKUP($A2096,MAGAZZINO!$B$2:$M$100000,11,FALSE)</f>
        <v/>
      </c>
      <c r="L2096" s="5">
        <f>+VLOOKUP($A2096,MAGAZZINO!$B$2:$M$100000,12,FALSE)</f>
        <v/>
      </c>
      <c r="M2096" s="47" t="n"/>
      <c r="N2096" s="88" t="n">
        <v>45965</v>
      </c>
      <c r="O2096" s="156" t="inlineStr">
        <is>
          <t>BIN HUMAID NATIONAL TRADING CO. (ARABIA SAUDITA)</t>
        </is>
      </c>
      <c r="P2096" s="155" t="inlineStr">
        <is>
          <t>IMPORT LICENSE N. 182480 DEL 08/01/2025                                                                                  AUT. ESPORTAZIONE MULTIPLA N. 6B/2025/2M RILASCIATA IL 26/05/2025                   (LICENZA DI SCARICO N. 6B/2025/5S RILASCIATA IL 29/10/2025)</t>
        </is>
      </c>
      <c r="Q2096" s="150" t="n"/>
      <c r="R2096" s="150" t="n"/>
      <c r="S2096" s="153" t="n"/>
    </row>
    <row r="2097" ht="36" customHeight="1">
      <c r="A2097" s="46" t="n">
        <v>4427</v>
      </c>
      <c r="B2097" s="4">
        <f>+VLOOKUP($A2097,MAGAZZINO!$B$2:$M$100000,2,FALSE)</f>
        <v/>
      </c>
      <c r="C2097" s="29">
        <f>+VLOOKUP($A2097,MAGAZZINO!$B$2:$M$100000,3,FALSE)</f>
        <v/>
      </c>
      <c r="D2097" s="3">
        <f>+VLOOKUP($A2097,MAGAZZINO!$B$2:$M$100000,4,FALSE)</f>
        <v/>
      </c>
      <c r="E2097" s="3">
        <f>+VLOOKUP($A2097,MAGAZZINO!$B$2:$M$100000,5,FALSE)</f>
        <v/>
      </c>
      <c r="F2097" s="3">
        <f>+VLOOKUP($A2097,MAGAZZINO!$B$2:$M$100000,6,FALSE)</f>
        <v/>
      </c>
      <c r="G2097" s="3">
        <f>+VLOOKUP($A2097,MAGAZZINO!$B$2:$M$100000,7,FALSE)</f>
        <v/>
      </c>
      <c r="H2097" s="3">
        <f>+VLOOKUP($A2097,MAGAZZINO!$B$2:$M$100000,8,FALSE)</f>
        <v/>
      </c>
      <c r="I2097" s="3">
        <f>+VLOOKUP($A2097,MAGAZZINO!$B$2:$M$100000,9,FALSE)</f>
        <v/>
      </c>
      <c r="J2097" s="3">
        <f>+VLOOKUP($A2097,MAGAZZINO!$B$2:$M$100000,10,FALSE)</f>
        <v/>
      </c>
      <c r="K2097" s="3">
        <f>+VLOOKUP($A2097,MAGAZZINO!$B$2:$M$100000,11,FALSE)</f>
        <v/>
      </c>
      <c r="L2097" s="5">
        <f>+VLOOKUP($A2097,MAGAZZINO!$B$2:$M$100000,12,FALSE)</f>
        <v/>
      </c>
      <c r="M2097" s="47" t="n"/>
      <c r="N2097" s="88" t="n">
        <v>45965</v>
      </c>
      <c r="O2097" s="156" t="inlineStr">
        <is>
          <t>BIN HUMAID NATIONAL TRADING CO. (ARABIA SAUDITA)</t>
        </is>
      </c>
      <c r="P2097" s="155" t="inlineStr">
        <is>
          <t>IMPORT LICENSE N. 182480 DEL 08/01/2025                                                                                  AUT. ESPORTAZIONE MULTIPLA N. 6B/2025/2M RILASCIATA IL 26/05/2025                   (LICENZA DI SCARICO N. 6B/2025/5S RILASCIATA IL 29/10/2025)</t>
        </is>
      </c>
      <c r="Q2097" s="150" t="n"/>
      <c r="R2097" s="150" t="n"/>
      <c r="S2097" s="153" t="n"/>
    </row>
    <row r="2098" ht="36" customHeight="1">
      <c r="A2098" s="46" t="n">
        <v>4428</v>
      </c>
      <c r="B2098" s="4">
        <f>+VLOOKUP($A2098,MAGAZZINO!$B$2:$M$100000,2,FALSE)</f>
        <v/>
      </c>
      <c r="C2098" s="29">
        <f>+VLOOKUP($A2098,MAGAZZINO!$B$2:$M$100000,3,FALSE)</f>
        <v/>
      </c>
      <c r="D2098" s="3">
        <f>+VLOOKUP($A2098,MAGAZZINO!$B$2:$M$100000,4,FALSE)</f>
        <v/>
      </c>
      <c r="E2098" s="3">
        <f>+VLOOKUP($A2098,MAGAZZINO!$B$2:$M$100000,5,FALSE)</f>
        <v/>
      </c>
      <c r="F2098" s="3">
        <f>+VLOOKUP($A2098,MAGAZZINO!$B$2:$M$100000,6,FALSE)</f>
        <v/>
      </c>
      <c r="G2098" s="3">
        <f>+VLOOKUP($A2098,MAGAZZINO!$B$2:$M$100000,7,FALSE)</f>
        <v/>
      </c>
      <c r="H2098" s="3">
        <f>+VLOOKUP($A2098,MAGAZZINO!$B$2:$M$100000,8,FALSE)</f>
        <v/>
      </c>
      <c r="I2098" s="3">
        <f>+VLOOKUP($A2098,MAGAZZINO!$B$2:$M$100000,9,FALSE)</f>
        <v/>
      </c>
      <c r="J2098" s="3">
        <f>+VLOOKUP($A2098,MAGAZZINO!$B$2:$M$100000,10,FALSE)</f>
        <v/>
      </c>
      <c r="K2098" s="3">
        <f>+VLOOKUP($A2098,MAGAZZINO!$B$2:$M$100000,11,FALSE)</f>
        <v/>
      </c>
      <c r="L2098" s="5">
        <f>+VLOOKUP($A2098,MAGAZZINO!$B$2:$M$100000,12,FALSE)</f>
        <v/>
      </c>
      <c r="M2098" s="47" t="n"/>
      <c r="N2098" s="88" t="n">
        <v>45965</v>
      </c>
      <c r="O2098" s="156" t="inlineStr">
        <is>
          <t>BIN HUMAID NATIONAL TRADING CO. (ARABIA SAUDITA)</t>
        </is>
      </c>
      <c r="P2098" s="155" t="inlineStr">
        <is>
          <t>IMPORT LICENSE N. 182480 DEL 08/01/2025                                                                                  AUT. ESPORTAZIONE MULTIPLA N. 6B/2025/2M RILASCIATA IL 26/05/2025                   (LICENZA DI SCARICO N. 6B/2025/5S RILASCIATA IL 29/10/2025)</t>
        </is>
      </c>
      <c r="Q2098" s="150" t="n"/>
      <c r="R2098" s="150" t="n"/>
      <c r="S2098" s="153" t="n"/>
    </row>
    <row r="2099" ht="36" customHeight="1">
      <c r="A2099" s="46" t="n">
        <v>4429</v>
      </c>
      <c r="B2099" s="4">
        <f>+VLOOKUP($A2099,MAGAZZINO!$B$2:$M$100000,2,FALSE)</f>
        <v/>
      </c>
      <c r="C2099" s="29">
        <f>+VLOOKUP($A2099,MAGAZZINO!$B$2:$M$100000,3,FALSE)</f>
        <v/>
      </c>
      <c r="D2099" s="3">
        <f>+VLOOKUP($A2099,MAGAZZINO!$B$2:$M$100000,4,FALSE)</f>
        <v/>
      </c>
      <c r="E2099" s="3">
        <f>+VLOOKUP($A2099,MAGAZZINO!$B$2:$M$100000,5,FALSE)</f>
        <v/>
      </c>
      <c r="F2099" s="3">
        <f>+VLOOKUP($A2099,MAGAZZINO!$B$2:$M$100000,6,FALSE)</f>
        <v/>
      </c>
      <c r="G2099" s="3">
        <f>+VLOOKUP($A2099,MAGAZZINO!$B$2:$M$100000,7,FALSE)</f>
        <v/>
      </c>
      <c r="H2099" s="3">
        <f>+VLOOKUP($A2099,MAGAZZINO!$B$2:$M$100000,8,FALSE)</f>
        <v/>
      </c>
      <c r="I2099" s="3">
        <f>+VLOOKUP($A2099,MAGAZZINO!$B$2:$M$100000,9,FALSE)</f>
        <v/>
      </c>
      <c r="J2099" s="3">
        <f>+VLOOKUP($A2099,MAGAZZINO!$B$2:$M$100000,10,FALSE)</f>
        <v/>
      </c>
      <c r="K2099" s="3">
        <f>+VLOOKUP($A2099,MAGAZZINO!$B$2:$M$100000,11,FALSE)</f>
        <v/>
      </c>
      <c r="L2099" s="5">
        <f>+VLOOKUP($A2099,MAGAZZINO!$B$2:$M$100000,12,FALSE)</f>
        <v/>
      </c>
      <c r="M2099" s="47" t="n"/>
      <c r="N2099" s="88" t="n">
        <v>45965</v>
      </c>
      <c r="O2099" s="156" t="inlineStr">
        <is>
          <t>BIN HUMAID NATIONAL TRADING CO. (ARABIA SAUDITA)</t>
        </is>
      </c>
      <c r="P2099" s="155" t="inlineStr">
        <is>
          <t>IMPORT LICENSE N. 182480 DEL 08/01/2025                                                                                  AUT. ESPORTAZIONE MULTIPLA N. 6B/2025/2M RILASCIATA IL 26/05/2025                   (LICENZA DI SCARICO N. 6B/2025/5S RILASCIATA IL 29/10/2025)</t>
        </is>
      </c>
      <c r="Q2099" s="150" t="n"/>
      <c r="R2099" s="150" t="n"/>
      <c r="S2099" s="153" t="n"/>
    </row>
    <row r="2100" ht="36" customHeight="1">
      <c r="A2100" s="46" t="n">
        <v>4430</v>
      </c>
      <c r="B2100" s="4">
        <f>+VLOOKUP($A2100,MAGAZZINO!$B$2:$M$100000,2,FALSE)</f>
        <v/>
      </c>
      <c r="C2100" s="29">
        <f>+VLOOKUP($A2100,MAGAZZINO!$B$2:$M$100000,3,FALSE)</f>
        <v/>
      </c>
      <c r="D2100" s="3">
        <f>+VLOOKUP($A2100,MAGAZZINO!$B$2:$M$100000,4,FALSE)</f>
        <v/>
      </c>
      <c r="E2100" s="3">
        <f>+VLOOKUP($A2100,MAGAZZINO!$B$2:$M$100000,5,FALSE)</f>
        <v/>
      </c>
      <c r="F2100" s="3">
        <f>+VLOOKUP($A2100,MAGAZZINO!$B$2:$M$100000,6,FALSE)</f>
        <v/>
      </c>
      <c r="G2100" s="3">
        <f>+VLOOKUP($A2100,MAGAZZINO!$B$2:$M$100000,7,FALSE)</f>
        <v/>
      </c>
      <c r="H2100" s="3">
        <f>+VLOOKUP($A2100,MAGAZZINO!$B$2:$M$100000,8,FALSE)</f>
        <v/>
      </c>
      <c r="I2100" s="3">
        <f>+VLOOKUP($A2100,MAGAZZINO!$B$2:$M$100000,9,FALSE)</f>
        <v/>
      </c>
      <c r="J2100" s="3">
        <f>+VLOOKUP($A2100,MAGAZZINO!$B$2:$M$100000,10,FALSE)</f>
        <v/>
      </c>
      <c r="K2100" s="3">
        <f>+VLOOKUP($A2100,MAGAZZINO!$B$2:$M$100000,11,FALSE)</f>
        <v/>
      </c>
      <c r="L2100" s="5">
        <f>+VLOOKUP($A2100,MAGAZZINO!$B$2:$M$100000,12,FALSE)</f>
        <v/>
      </c>
      <c r="M2100" s="47" t="n"/>
      <c r="N2100" s="88" t="n">
        <v>45965</v>
      </c>
      <c r="O2100" s="156" t="inlineStr">
        <is>
          <t>BIN HUMAID NATIONAL TRADING CO. (ARABIA SAUDITA)</t>
        </is>
      </c>
      <c r="P2100" s="155" t="inlineStr">
        <is>
          <t>IMPORT LICENSE N. 182480 DEL 08/01/2025                                                                                  AUT. ESPORTAZIONE MULTIPLA N. 6B/2025/2M RILASCIATA IL 26/05/2025                   (LICENZA DI SCARICO N. 6B/2025/5S RILASCIATA IL 29/10/2025)</t>
        </is>
      </c>
      <c r="Q2100" s="150" t="n"/>
      <c r="R2100" s="150" t="n"/>
      <c r="S2100" s="153" t="n"/>
    </row>
    <row r="2101" ht="36" customHeight="1">
      <c r="A2101" s="46" t="n">
        <v>4431</v>
      </c>
      <c r="B2101" s="4">
        <f>+VLOOKUP($A2101,MAGAZZINO!$B$2:$M$100000,2,FALSE)</f>
        <v/>
      </c>
      <c r="C2101" s="29">
        <f>+VLOOKUP($A2101,MAGAZZINO!$B$2:$M$100000,3,FALSE)</f>
        <v/>
      </c>
      <c r="D2101" s="3">
        <f>+VLOOKUP($A2101,MAGAZZINO!$B$2:$M$100000,4,FALSE)</f>
        <v/>
      </c>
      <c r="E2101" s="3">
        <f>+VLOOKUP($A2101,MAGAZZINO!$B$2:$M$100000,5,FALSE)</f>
        <v/>
      </c>
      <c r="F2101" s="3">
        <f>+VLOOKUP($A2101,MAGAZZINO!$B$2:$M$100000,6,FALSE)</f>
        <v/>
      </c>
      <c r="G2101" s="3">
        <f>+VLOOKUP($A2101,MAGAZZINO!$B$2:$M$100000,7,FALSE)</f>
        <v/>
      </c>
      <c r="H2101" s="3">
        <f>+VLOOKUP($A2101,MAGAZZINO!$B$2:$M$100000,8,FALSE)</f>
        <v/>
      </c>
      <c r="I2101" s="3">
        <f>+VLOOKUP($A2101,MAGAZZINO!$B$2:$M$100000,9,FALSE)</f>
        <v/>
      </c>
      <c r="J2101" s="3">
        <f>+VLOOKUP($A2101,MAGAZZINO!$B$2:$M$100000,10,FALSE)</f>
        <v/>
      </c>
      <c r="K2101" s="3">
        <f>+VLOOKUP($A2101,MAGAZZINO!$B$2:$M$100000,11,FALSE)</f>
        <v/>
      </c>
      <c r="L2101" s="5">
        <f>+VLOOKUP($A2101,MAGAZZINO!$B$2:$M$100000,12,FALSE)</f>
        <v/>
      </c>
      <c r="M2101" s="47" t="n"/>
      <c r="N2101" s="88" t="n">
        <v>45965</v>
      </c>
      <c r="O2101" s="156" t="inlineStr">
        <is>
          <t>BIN HUMAID NATIONAL TRADING CO. (ARABIA SAUDITA)</t>
        </is>
      </c>
      <c r="P2101" s="155" t="inlineStr">
        <is>
          <t>IMPORT LICENSE N. 182480 DEL 08/01/2025                                                                                  AUT. ESPORTAZIONE MULTIPLA N. 6B/2025/2M RILASCIATA IL 26/05/2025                   (LICENZA DI SCARICO N. 6B/2025/5S RILASCIATA IL 29/10/2025)</t>
        </is>
      </c>
      <c r="Q2101" s="150" t="n"/>
      <c r="R2101" s="150" t="n"/>
      <c r="S2101" s="153" t="n"/>
    </row>
    <row r="2102" ht="36" customHeight="1">
      <c r="A2102" s="46" t="n">
        <v>4432</v>
      </c>
      <c r="B2102" s="4">
        <f>+VLOOKUP($A2102,MAGAZZINO!$B$2:$M$100000,2,FALSE)</f>
        <v/>
      </c>
      <c r="C2102" s="29">
        <f>+VLOOKUP($A2102,MAGAZZINO!$B$2:$M$100000,3,FALSE)</f>
        <v/>
      </c>
      <c r="D2102" s="3">
        <f>+VLOOKUP($A2102,MAGAZZINO!$B$2:$M$100000,4,FALSE)</f>
        <v/>
      </c>
      <c r="E2102" s="3">
        <f>+VLOOKUP($A2102,MAGAZZINO!$B$2:$M$100000,5,FALSE)</f>
        <v/>
      </c>
      <c r="F2102" s="3">
        <f>+VLOOKUP($A2102,MAGAZZINO!$B$2:$M$100000,6,FALSE)</f>
        <v/>
      </c>
      <c r="G2102" s="3">
        <f>+VLOOKUP($A2102,MAGAZZINO!$B$2:$M$100000,7,FALSE)</f>
        <v/>
      </c>
      <c r="H2102" s="3">
        <f>+VLOOKUP($A2102,MAGAZZINO!$B$2:$M$100000,8,FALSE)</f>
        <v/>
      </c>
      <c r="I2102" s="3">
        <f>+VLOOKUP($A2102,MAGAZZINO!$B$2:$M$100000,9,FALSE)</f>
        <v/>
      </c>
      <c r="J2102" s="3">
        <f>+VLOOKUP($A2102,MAGAZZINO!$B$2:$M$100000,10,FALSE)</f>
        <v/>
      </c>
      <c r="K2102" s="3">
        <f>+VLOOKUP($A2102,MAGAZZINO!$B$2:$M$100000,11,FALSE)</f>
        <v/>
      </c>
      <c r="L2102" s="5">
        <f>+VLOOKUP($A2102,MAGAZZINO!$B$2:$M$100000,12,FALSE)</f>
        <v/>
      </c>
      <c r="M2102" s="47" t="n"/>
      <c r="N2102" s="88" t="n">
        <v>45965</v>
      </c>
      <c r="O2102" s="156" t="inlineStr">
        <is>
          <t>BIN HUMAID NATIONAL TRADING CO. (ARABIA SAUDITA)</t>
        </is>
      </c>
      <c r="P2102" s="155" t="inlineStr">
        <is>
          <t>IMPORT LICENSE N. 182480 DEL 08/01/2025                                                                                  AUT. ESPORTAZIONE MULTIPLA N. 6B/2025/2M RILASCIATA IL 26/05/2025                   (LICENZA DI SCARICO N. 6B/2025/5S RILASCIATA IL 29/10/2025)</t>
        </is>
      </c>
      <c r="Q2102" s="150" t="n"/>
      <c r="R2102" s="150" t="n"/>
      <c r="S2102" s="153" t="n"/>
    </row>
    <row r="2103" ht="36" customHeight="1">
      <c r="A2103" s="46" t="n">
        <v>4433</v>
      </c>
      <c r="B2103" s="4">
        <f>+VLOOKUP($A2103,MAGAZZINO!$B$2:$M$100000,2,FALSE)</f>
        <v/>
      </c>
      <c r="C2103" s="29">
        <f>+VLOOKUP($A2103,MAGAZZINO!$B$2:$M$100000,3,FALSE)</f>
        <v/>
      </c>
      <c r="D2103" s="3">
        <f>+VLOOKUP($A2103,MAGAZZINO!$B$2:$M$100000,4,FALSE)</f>
        <v/>
      </c>
      <c r="E2103" s="3">
        <f>+VLOOKUP($A2103,MAGAZZINO!$B$2:$M$100000,5,FALSE)</f>
        <v/>
      </c>
      <c r="F2103" s="3">
        <f>+VLOOKUP($A2103,MAGAZZINO!$B$2:$M$100000,6,FALSE)</f>
        <v/>
      </c>
      <c r="G2103" s="3">
        <f>+VLOOKUP($A2103,MAGAZZINO!$B$2:$M$100000,7,FALSE)</f>
        <v/>
      </c>
      <c r="H2103" s="3">
        <f>+VLOOKUP($A2103,MAGAZZINO!$B$2:$M$100000,8,FALSE)</f>
        <v/>
      </c>
      <c r="I2103" s="3">
        <f>+VLOOKUP($A2103,MAGAZZINO!$B$2:$M$100000,9,FALSE)</f>
        <v/>
      </c>
      <c r="J2103" s="3">
        <f>+VLOOKUP($A2103,MAGAZZINO!$B$2:$M$100000,10,FALSE)</f>
        <v/>
      </c>
      <c r="K2103" s="3">
        <f>+VLOOKUP($A2103,MAGAZZINO!$B$2:$M$100000,11,FALSE)</f>
        <v/>
      </c>
      <c r="L2103" s="5">
        <f>+VLOOKUP($A2103,MAGAZZINO!$B$2:$M$100000,12,FALSE)</f>
        <v/>
      </c>
      <c r="M2103" s="47" t="n"/>
      <c r="N2103" s="88" t="n">
        <v>45965</v>
      </c>
      <c r="O2103" s="156" t="inlineStr">
        <is>
          <t>BIN HUMAID NATIONAL TRADING CO. (ARABIA SAUDITA)</t>
        </is>
      </c>
      <c r="P2103" s="155" t="inlineStr">
        <is>
          <t>IMPORT LICENSE N. 182480 DEL 08/01/2025                                                                                  AUT. ESPORTAZIONE MULTIPLA N. 6B/2025/2M RILASCIATA IL 26/05/2025                   (LICENZA DI SCARICO N. 6B/2025/5S RILASCIATA IL 29/10/2025)</t>
        </is>
      </c>
      <c r="Q2103" s="150" t="n"/>
      <c r="R2103" s="150" t="n"/>
      <c r="S2103" s="153" t="n"/>
    </row>
    <row r="2104" ht="36" customHeight="1">
      <c r="A2104" s="46" t="n">
        <v>4434</v>
      </c>
      <c r="B2104" s="4">
        <f>+VLOOKUP($A2104,MAGAZZINO!$B$2:$M$100000,2,FALSE)</f>
        <v/>
      </c>
      <c r="C2104" s="29">
        <f>+VLOOKUP($A2104,MAGAZZINO!$B$2:$M$100000,3,FALSE)</f>
        <v/>
      </c>
      <c r="D2104" s="3">
        <f>+VLOOKUP($A2104,MAGAZZINO!$B$2:$M$100000,4,FALSE)</f>
        <v/>
      </c>
      <c r="E2104" s="3">
        <f>+VLOOKUP($A2104,MAGAZZINO!$B$2:$M$100000,5,FALSE)</f>
        <v/>
      </c>
      <c r="F2104" s="3">
        <f>+VLOOKUP($A2104,MAGAZZINO!$B$2:$M$100000,6,FALSE)</f>
        <v/>
      </c>
      <c r="G2104" s="3">
        <f>+VLOOKUP($A2104,MAGAZZINO!$B$2:$M$100000,7,FALSE)</f>
        <v/>
      </c>
      <c r="H2104" s="3">
        <f>+VLOOKUP($A2104,MAGAZZINO!$B$2:$M$100000,8,FALSE)</f>
        <v/>
      </c>
      <c r="I2104" s="3">
        <f>+VLOOKUP($A2104,MAGAZZINO!$B$2:$M$100000,9,FALSE)</f>
        <v/>
      </c>
      <c r="J2104" s="3">
        <f>+VLOOKUP($A2104,MAGAZZINO!$B$2:$M$100000,10,FALSE)</f>
        <v/>
      </c>
      <c r="K2104" s="3">
        <f>+VLOOKUP($A2104,MAGAZZINO!$B$2:$M$100000,11,FALSE)</f>
        <v/>
      </c>
      <c r="L2104" s="5">
        <f>+VLOOKUP($A2104,MAGAZZINO!$B$2:$M$100000,12,FALSE)</f>
        <v/>
      </c>
      <c r="M2104" s="47" t="n"/>
      <c r="N2104" s="88" t="n">
        <v>45965</v>
      </c>
      <c r="O2104" s="156" t="inlineStr">
        <is>
          <t>BIN HUMAID NATIONAL TRADING CO. (ARABIA SAUDITA)</t>
        </is>
      </c>
      <c r="P2104" s="155" t="inlineStr">
        <is>
          <t>IMPORT LICENSE N. 182480 DEL 08/01/2025                                                                                  AUT. ESPORTAZIONE MULTIPLA N. 6B/2025/2M RILASCIATA IL 26/05/2025                   (LICENZA DI SCARICO N. 6B/2025/5S RILASCIATA IL 29/10/2025)</t>
        </is>
      </c>
      <c r="Q2104" s="150" t="n"/>
      <c r="R2104" s="150" t="n"/>
      <c r="S2104" s="153" t="n"/>
    </row>
    <row r="2105" ht="36" customHeight="1">
      <c r="A2105" s="46" t="n">
        <v>4435</v>
      </c>
      <c r="B2105" s="4">
        <f>+VLOOKUP($A2105,MAGAZZINO!$B$2:$M$100000,2,FALSE)</f>
        <v/>
      </c>
      <c r="C2105" s="29">
        <f>+VLOOKUP($A2105,MAGAZZINO!$B$2:$M$100000,3,FALSE)</f>
        <v/>
      </c>
      <c r="D2105" s="3">
        <f>+VLOOKUP($A2105,MAGAZZINO!$B$2:$M$100000,4,FALSE)</f>
        <v/>
      </c>
      <c r="E2105" s="3">
        <f>+VLOOKUP($A2105,MAGAZZINO!$B$2:$M$100000,5,FALSE)</f>
        <v/>
      </c>
      <c r="F2105" s="3">
        <f>+VLOOKUP($A2105,MAGAZZINO!$B$2:$M$100000,6,FALSE)</f>
        <v/>
      </c>
      <c r="G2105" s="3">
        <f>+VLOOKUP($A2105,MAGAZZINO!$B$2:$M$100000,7,FALSE)</f>
        <v/>
      </c>
      <c r="H2105" s="3">
        <f>+VLOOKUP($A2105,MAGAZZINO!$B$2:$M$100000,8,FALSE)</f>
        <v/>
      </c>
      <c r="I2105" s="3">
        <f>+VLOOKUP($A2105,MAGAZZINO!$B$2:$M$100000,9,FALSE)</f>
        <v/>
      </c>
      <c r="J2105" s="3">
        <f>+VLOOKUP($A2105,MAGAZZINO!$B$2:$M$100000,10,FALSE)</f>
        <v/>
      </c>
      <c r="K2105" s="3">
        <f>+VLOOKUP($A2105,MAGAZZINO!$B$2:$M$100000,11,FALSE)</f>
        <v/>
      </c>
      <c r="L2105" s="5">
        <f>+VLOOKUP($A2105,MAGAZZINO!$B$2:$M$100000,12,FALSE)</f>
        <v/>
      </c>
      <c r="M2105" s="47" t="n"/>
      <c r="N2105" s="88" t="n">
        <v>45965</v>
      </c>
      <c r="O2105" s="156" t="inlineStr">
        <is>
          <t>BIN HUMAID NATIONAL TRADING CO. (ARABIA SAUDITA)</t>
        </is>
      </c>
      <c r="P2105" s="155" t="inlineStr">
        <is>
          <t>IMPORT LICENSE N. 182480 DEL 08/01/2025                                                                                  AUT. ESPORTAZIONE MULTIPLA N. 6B/2025/2M RILASCIATA IL 26/05/2025                   (LICENZA DI SCARICO N. 6B/2025/5S RILASCIATA IL 29/10/2025)</t>
        </is>
      </c>
      <c r="Q2105" s="150" t="n"/>
      <c r="R2105" s="150" t="n"/>
      <c r="S2105" s="153" t="n"/>
    </row>
    <row r="2106" ht="36" customHeight="1">
      <c r="A2106" s="46" t="n">
        <v>4436</v>
      </c>
      <c r="B2106" s="4">
        <f>+VLOOKUP($A2106,MAGAZZINO!$B$2:$M$100000,2,FALSE)</f>
        <v/>
      </c>
      <c r="C2106" s="29">
        <f>+VLOOKUP($A2106,MAGAZZINO!$B$2:$M$100000,3,FALSE)</f>
        <v/>
      </c>
      <c r="D2106" s="3">
        <f>+VLOOKUP($A2106,MAGAZZINO!$B$2:$M$100000,4,FALSE)</f>
        <v/>
      </c>
      <c r="E2106" s="3">
        <f>+VLOOKUP($A2106,MAGAZZINO!$B$2:$M$100000,5,FALSE)</f>
        <v/>
      </c>
      <c r="F2106" s="3">
        <f>+VLOOKUP($A2106,MAGAZZINO!$B$2:$M$100000,6,FALSE)</f>
        <v/>
      </c>
      <c r="G2106" s="3">
        <f>+VLOOKUP($A2106,MAGAZZINO!$B$2:$M$100000,7,FALSE)</f>
        <v/>
      </c>
      <c r="H2106" s="3">
        <f>+VLOOKUP($A2106,MAGAZZINO!$B$2:$M$100000,8,FALSE)</f>
        <v/>
      </c>
      <c r="I2106" s="3">
        <f>+VLOOKUP($A2106,MAGAZZINO!$B$2:$M$100000,9,FALSE)</f>
        <v/>
      </c>
      <c r="J2106" s="3">
        <f>+VLOOKUP($A2106,MAGAZZINO!$B$2:$M$100000,10,FALSE)</f>
        <v/>
      </c>
      <c r="K2106" s="3">
        <f>+VLOOKUP($A2106,MAGAZZINO!$B$2:$M$100000,11,FALSE)</f>
        <v/>
      </c>
      <c r="L2106" s="5">
        <f>+VLOOKUP($A2106,MAGAZZINO!$B$2:$M$100000,12,FALSE)</f>
        <v/>
      </c>
      <c r="M2106" s="47" t="n"/>
      <c r="N2106" s="88" t="n">
        <v>45965</v>
      </c>
      <c r="O2106" s="156" t="inlineStr">
        <is>
          <t>BIN HUMAID NATIONAL TRADING CO. (ARABIA SAUDITA)</t>
        </is>
      </c>
      <c r="P2106" s="155" t="inlineStr">
        <is>
          <t>IMPORT LICENSE N. 182480 DEL 08/01/2025                                                                                  AUT. ESPORTAZIONE MULTIPLA N. 6B/2025/2M RILASCIATA IL 26/05/2025                   (LICENZA DI SCARICO N. 6B/2025/5S RILASCIATA IL 29/10/2025)</t>
        </is>
      </c>
      <c r="Q2106" s="150" t="n"/>
      <c r="R2106" s="150" t="n"/>
      <c r="S2106" s="153" t="n"/>
    </row>
    <row r="2107" ht="36" customHeight="1">
      <c r="A2107" s="46" t="n">
        <v>4437</v>
      </c>
      <c r="B2107" s="4">
        <f>+VLOOKUP($A2107,MAGAZZINO!$B$2:$M$100000,2,FALSE)</f>
        <v/>
      </c>
      <c r="C2107" s="29">
        <f>+VLOOKUP($A2107,MAGAZZINO!$B$2:$M$100000,3,FALSE)</f>
        <v/>
      </c>
      <c r="D2107" s="3">
        <f>+VLOOKUP($A2107,MAGAZZINO!$B$2:$M$100000,4,FALSE)</f>
        <v/>
      </c>
      <c r="E2107" s="3">
        <f>+VLOOKUP($A2107,MAGAZZINO!$B$2:$M$100000,5,FALSE)</f>
        <v/>
      </c>
      <c r="F2107" s="3">
        <f>+VLOOKUP($A2107,MAGAZZINO!$B$2:$M$100000,6,FALSE)</f>
        <v/>
      </c>
      <c r="G2107" s="3">
        <f>+VLOOKUP($A2107,MAGAZZINO!$B$2:$M$100000,7,FALSE)</f>
        <v/>
      </c>
      <c r="H2107" s="3">
        <f>+VLOOKUP($A2107,MAGAZZINO!$B$2:$M$100000,8,FALSE)</f>
        <v/>
      </c>
      <c r="I2107" s="3">
        <f>+VLOOKUP($A2107,MAGAZZINO!$B$2:$M$100000,9,FALSE)</f>
        <v/>
      </c>
      <c r="J2107" s="3">
        <f>+VLOOKUP($A2107,MAGAZZINO!$B$2:$M$100000,10,FALSE)</f>
        <v/>
      </c>
      <c r="K2107" s="3">
        <f>+VLOOKUP($A2107,MAGAZZINO!$B$2:$M$100000,11,FALSE)</f>
        <v/>
      </c>
      <c r="L2107" s="5">
        <f>+VLOOKUP($A2107,MAGAZZINO!$B$2:$M$100000,12,FALSE)</f>
        <v/>
      </c>
      <c r="M2107" s="47" t="n"/>
      <c r="N2107" s="88" t="n">
        <v>45965</v>
      </c>
      <c r="O2107" s="156" t="inlineStr">
        <is>
          <t>BIN HUMAID NATIONAL TRADING CO. (ARABIA SAUDITA)</t>
        </is>
      </c>
      <c r="P2107" s="155" t="inlineStr">
        <is>
          <t>IMPORT LICENSE N. 182480 DEL 08/01/2025                                                                                  AUT. ESPORTAZIONE MULTIPLA N. 6B/2025/2M RILASCIATA IL 26/05/2025                   (LICENZA DI SCARICO N. 6B/2025/5S RILASCIATA IL 29/10/2025)</t>
        </is>
      </c>
      <c r="Q2107" s="150" t="n"/>
      <c r="R2107" s="150" t="n"/>
      <c r="S2107" s="153" t="n"/>
    </row>
    <row r="2108" ht="36" customHeight="1">
      <c r="A2108" s="46" t="n">
        <v>4438</v>
      </c>
      <c r="B2108" s="4">
        <f>+VLOOKUP($A2108,MAGAZZINO!$B$2:$M$100000,2,FALSE)</f>
        <v/>
      </c>
      <c r="C2108" s="29">
        <f>+VLOOKUP($A2108,MAGAZZINO!$B$2:$M$100000,3,FALSE)</f>
        <v/>
      </c>
      <c r="D2108" s="3">
        <f>+VLOOKUP($A2108,MAGAZZINO!$B$2:$M$100000,4,FALSE)</f>
        <v/>
      </c>
      <c r="E2108" s="3">
        <f>+VLOOKUP($A2108,MAGAZZINO!$B$2:$M$100000,5,FALSE)</f>
        <v/>
      </c>
      <c r="F2108" s="3">
        <f>+VLOOKUP($A2108,MAGAZZINO!$B$2:$M$100000,6,FALSE)</f>
        <v/>
      </c>
      <c r="G2108" s="3">
        <f>+VLOOKUP($A2108,MAGAZZINO!$B$2:$M$100000,7,FALSE)</f>
        <v/>
      </c>
      <c r="H2108" s="3">
        <f>+VLOOKUP($A2108,MAGAZZINO!$B$2:$M$100000,8,FALSE)</f>
        <v/>
      </c>
      <c r="I2108" s="3">
        <f>+VLOOKUP($A2108,MAGAZZINO!$B$2:$M$100000,9,FALSE)</f>
        <v/>
      </c>
      <c r="J2108" s="3">
        <f>+VLOOKUP($A2108,MAGAZZINO!$B$2:$M$100000,10,FALSE)</f>
        <v/>
      </c>
      <c r="K2108" s="3">
        <f>+VLOOKUP($A2108,MAGAZZINO!$B$2:$M$100000,11,FALSE)</f>
        <v/>
      </c>
      <c r="L2108" s="5">
        <f>+VLOOKUP($A2108,MAGAZZINO!$B$2:$M$100000,12,FALSE)</f>
        <v/>
      </c>
      <c r="M2108" s="47" t="n"/>
      <c r="N2108" s="88" t="n">
        <v>45965</v>
      </c>
      <c r="O2108" s="156" t="inlineStr">
        <is>
          <t>BIN HUMAID NATIONAL TRADING CO. (ARABIA SAUDITA)</t>
        </is>
      </c>
      <c r="P2108" s="155" t="inlineStr">
        <is>
          <t>IMPORT LICENSE N. 182480 DEL 08/01/2025                                                                                  AUT. ESPORTAZIONE MULTIPLA N. 6B/2025/2M RILASCIATA IL 26/05/2025                   (LICENZA DI SCARICO N. 6B/2025/5S RILASCIATA IL 29/10/2025)</t>
        </is>
      </c>
      <c r="Q2108" s="150" t="n"/>
      <c r="R2108" s="150" t="n"/>
      <c r="S2108" s="153" t="n"/>
    </row>
    <row r="2109" ht="36" customHeight="1">
      <c r="A2109" s="46" t="n">
        <v>4439</v>
      </c>
      <c r="B2109" s="4">
        <f>+VLOOKUP($A2109,MAGAZZINO!$B$2:$M$100000,2,FALSE)</f>
        <v/>
      </c>
      <c r="C2109" s="29">
        <f>+VLOOKUP($A2109,MAGAZZINO!$B$2:$M$100000,3,FALSE)</f>
        <v/>
      </c>
      <c r="D2109" s="3">
        <f>+VLOOKUP($A2109,MAGAZZINO!$B$2:$M$100000,4,FALSE)</f>
        <v/>
      </c>
      <c r="E2109" s="3">
        <f>+VLOOKUP($A2109,MAGAZZINO!$B$2:$M$100000,5,FALSE)</f>
        <v/>
      </c>
      <c r="F2109" s="3">
        <f>+VLOOKUP($A2109,MAGAZZINO!$B$2:$M$100000,6,FALSE)</f>
        <v/>
      </c>
      <c r="G2109" s="3">
        <f>+VLOOKUP($A2109,MAGAZZINO!$B$2:$M$100000,7,FALSE)</f>
        <v/>
      </c>
      <c r="H2109" s="3">
        <f>+VLOOKUP($A2109,MAGAZZINO!$B$2:$M$100000,8,FALSE)</f>
        <v/>
      </c>
      <c r="I2109" s="3">
        <f>+VLOOKUP($A2109,MAGAZZINO!$B$2:$M$100000,9,FALSE)</f>
        <v/>
      </c>
      <c r="J2109" s="3">
        <f>+VLOOKUP($A2109,MAGAZZINO!$B$2:$M$100000,10,FALSE)</f>
        <v/>
      </c>
      <c r="K2109" s="3">
        <f>+VLOOKUP($A2109,MAGAZZINO!$B$2:$M$100000,11,FALSE)</f>
        <v/>
      </c>
      <c r="L2109" s="5">
        <f>+VLOOKUP($A2109,MAGAZZINO!$B$2:$M$100000,12,FALSE)</f>
        <v/>
      </c>
      <c r="M2109" s="47" t="n"/>
      <c r="N2109" s="88" t="n">
        <v>45965</v>
      </c>
      <c r="O2109" s="156" t="inlineStr">
        <is>
          <t>BIN HUMAID NATIONAL TRADING CO. (ARABIA SAUDITA)</t>
        </is>
      </c>
      <c r="P2109" s="155" t="inlineStr">
        <is>
          <t>IMPORT LICENSE N. 182480 DEL 08/01/2025                                                                                  AUT. ESPORTAZIONE MULTIPLA N. 6B/2025/2M RILASCIATA IL 26/05/2025                   (LICENZA DI SCARICO N. 6B/2025/5S RILASCIATA IL 29/10/2025)</t>
        </is>
      </c>
      <c r="Q2109" s="150" t="n"/>
      <c r="R2109" s="150" t="n"/>
      <c r="S2109" s="153" t="n"/>
    </row>
    <row r="2110" ht="36" customHeight="1">
      <c r="A2110" s="46" t="n">
        <v>4440</v>
      </c>
      <c r="B2110" s="4">
        <f>+VLOOKUP($A2110,MAGAZZINO!$B$2:$M$100000,2,FALSE)</f>
        <v/>
      </c>
      <c r="C2110" s="29">
        <f>+VLOOKUP($A2110,MAGAZZINO!$B$2:$M$100000,3,FALSE)</f>
        <v/>
      </c>
      <c r="D2110" s="3">
        <f>+VLOOKUP($A2110,MAGAZZINO!$B$2:$M$100000,4,FALSE)</f>
        <v/>
      </c>
      <c r="E2110" s="3">
        <f>+VLOOKUP($A2110,MAGAZZINO!$B$2:$M$100000,5,FALSE)</f>
        <v/>
      </c>
      <c r="F2110" s="3">
        <f>+VLOOKUP($A2110,MAGAZZINO!$B$2:$M$100000,6,FALSE)</f>
        <v/>
      </c>
      <c r="G2110" s="3">
        <f>+VLOOKUP($A2110,MAGAZZINO!$B$2:$M$100000,7,FALSE)</f>
        <v/>
      </c>
      <c r="H2110" s="3">
        <f>+VLOOKUP($A2110,MAGAZZINO!$B$2:$M$100000,8,FALSE)</f>
        <v/>
      </c>
      <c r="I2110" s="3">
        <f>+VLOOKUP($A2110,MAGAZZINO!$B$2:$M$100000,9,FALSE)</f>
        <v/>
      </c>
      <c r="J2110" s="3">
        <f>+VLOOKUP($A2110,MAGAZZINO!$B$2:$M$100000,10,FALSE)</f>
        <v/>
      </c>
      <c r="K2110" s="3">
        <f>+VLOOKUP($A2110,MAGAZZINO!$B$2:$M$100000,11,FALSE)</f>
        <v/>
      </c>
      <c r="L2110" s="5">
        <f>+VLOOKUP($A2110,MAGAZZINO!$B$2:$M$100000,12,FALSE)</f>
        <v/>
      </c>
      <c r="M2110" s="47" t="n"/>
      <c r="N2110" s="88" t="n">
        <v>45965</v>
      </c>
      <c r="O2110" s="156" t="inlineStr">
        <is>
          <t>BIN HUMAID NATIONAL TRADING CO. (ARABIA SAUDITA)</t>
        </is>
      </c>
      <c r="P2110" s="155" t="inlineStr">
        <is>
          <t>IMPORT LICENSE N. 182480 DEL 08/01/2025                                                                                  AUT. ESPORTAZIONE MULTIPLA N. 6B/2025/2M RILASCIATA IL 26/05/2025                   (LICENZA DI SCARICO N. 6B/2025/5S RILASCIATA IL 29/10/2025)</t>
        </is>
      </c>
      <c r="Q2110" s="150" t="n"/>
      <c r="R2110" s="150" t="n"/>
      <c r="S2110" s="153" t="n"/>
    </row>
    <row r="2111" ht="36" customHeight="1">
      <c r="A2111" s="46" t="n">
        <v>4441</v>
      </c>
      <c r="B2111" s="4">
        <f>+VLOOKUP($A2111,MAGAZZINO!$B$2:$M$100000,2,FALSE)</f>
        <v/>
      </c>
      <c r="C2111" s="29">
        <f>+VLOOKUP($A2111,MAGAZZINO!$B$2:$M$100000,3,FALSE)</f>
        <v/>
      </c>
      <c r="D2111" s="3">
        <f>+VLOOKUP($A2111,MAGAZZINO!$B$2:$M$100000,4,FALSE)</f>
        <v/>
      </c>
      <c r="E2111" s="3">
        <f>+VLOOKUP($A2111,MAGAZZINO!$B$2:$M$100000,5,FALSE)</f>
        <v/>
      </c>
      <c r="F2111" s="3">
        <f>+VLOOKUP($A2111,MAGAZZINO!$B$2:$M$100000,6,FALSE)</f>
        <v/>
      </c>
      <c r="G2111" s="3">
        <f>+VLOOKUP($A2111,MAGAZZINO!$B$2:$M$100000,7,FALSE)</f>
        <v/>
      </c>
      <c r="H2111" s="3">
        <f>+VLOOKUP($A2111,MAGAZZINO!$B$2:$M$100000,8,FALSE)</f>
        <v/>
      </c>
      <c r="I2111" s="3">
        <f>+VLOOKUP($A2111,MAGAZZINO!$B$2:$M$100000,9,FALSE)</f>
        <v/>
      </c>
      <c r="J2111" s="3">
        <f>+VLOOKUP($A2111,MAGAZZINO!$B$2:$M$100000,10,FALSE)</f>
        <v/>
      </c>
      <c r="K2111" s="3">
        <f>+VLOOKUP($A2111,MAGAZZINO!$B$2:$M$100000,11,FALSE)</f>
        <v/>
      </c>
      <c r="L2111" s="5">
        <f>+VLOOKUP($A2111,MAGAZZINO!$B$2:$M$100000,12,FALSE)</f>
        <v/>
      </c>
      <c r="M2111" s="47" t="n"/>
      <c r="N2111" s="88" t="n">
        <v>45965</v>
      </c>
      <c r="O2111" s="156" t="inlineStr">
        <is>
          <t>BIN HUMAID NATIONAL TRADING CO. (ARABIA SAUDITA)</t>
        </is>
      </c>
      <c r="P2111" s="155" t="inlineStr">
        <is>
          <t>IMPORT LICENSE N. 182480 DEL 08/01/2025                                                                                  AUT. ESPORTAZIONE MULTIPLA N. 6B/2025/2M RILASCIATA IL 26/05/2025                   (LICENZA DI SCARICO N. 6B/2025/5S RILASCIATA IL 29/10/2025)</t>
        </is>
      </c>
      <c r="Q2111" s="150" t="n"/>
      <c r="R2111" s="150" t="n"/>
      <c r="S2111" s="153" t="n"/>
    </row>
    <row r="2112" ht="36" customHeight="1">
      <c r="A2112" s="46" t="n">
        <v>4442</v>
      </c>
      <c r="B2112" s="4">
        <f>+VLOOKUP($A2112,MAGAZZINO!$B$2:$M$100000,2,FALSE)</f>
        <v/>
      </c>
      <c r="C2112" s="29">
        <f>+VLOOKUP($A2112,MAGAZZINO!$B$2:$M$100000,3,FALSE)</f>
        <v/>
      </c>
      <c r="D2112" s="3">
        <f>+VLOOKUP($A2112,MAGAZZINO!$B$2:$M$100000,4,FALSE)</f>
        <v/>
      </c>
      <c r="E2112" s="3">
        <f>+VLOOKUP($A2112,MAGAZZINO!$B$2:$M$100000,5,FALSE)</f>
        <v/>
      </c>
      <c r="F2112" s="3">
        <f>+VLOOKUP($A2112,MAGAZZINO!$B$2:$M$100000,6,FALSE)</f>
        <v/>
      </c>
      <c r="G2112" s="3">
        <f>+VLOOKUP($A2112,MAGAZZINO!$B$2:$M$100000,7,FALSE)</f>
        <v/>
      </c>
      <c r="H2112" s="3">
        <f>+VLOOKUP($A2112,MAGAZZINO!$B$2:$M$100000,8,FALSE)</f>
        <v/>
      </c>
      <c r="I2112" s="3">
        <f>+VLOOKUP($A2112,MAGAZZINO!$B$2:$M$100000,9,FALSE)</f>
        <v/>
      </c>
      <c r="J2112" s="3">
        <f>+VLOOKUP($A2112,MAGAZZINO!$B$2:$M$100000,10,FALSE)</f>
        <v/>
      </c>
      <c r="K2112" s="3">
        <f>+VLOOKUP($A2112,MAGAZZINO!$B$2:$M$100000,11,FALSE)</f>
        <v/>
      </c>
      <c r="L2112" s="5">
        <f>+VLOOKUP($A2112,MAGAZZINO!$B$2:$M$100000,12,FALSE)</f>
        <v/>
      </c>
      <c r="M2112" s="47" t="n"/>
      <c r="N2112" s="88" t="n">
        <v>45965</v>
      </c>
      <c r="O2112" s="156" t="inlineStr">
        <is>
          <t>BIN HUMAID NATIONAL TRADING CO. (ARABIA SAUDITA)</t>
        </is>
      </c>
      <c r="P2112" s="155" t="inlineStr">
        <is>
          <t>IMPORT LICENSE N. 182480 DEL 08/01/2025                                                                                  AUT. ESPORTAZIONE MULTIPLA N. 6B/2025/2M RILASCIATA IL 26/05/2025                   (LICENZA DI SCARICO N. 6B/2025/5S RILASCIATA IL 29/10/2025)</t>
        </is>
      </c>
      <c r="Q2112" s="150" t="n"/>
      <c r="R2112" s="150" t="n"/>
      <c r="S2112" s="153" t="n"/>
    </row>
    <row r="2113" ht="36" customHeight="1">
      <c r="A2113" s="46" t="n">
        <v>4443</v>
      </c>
      <c r="B2113" s="4">
        <f>+VLOOKUP($A2113,MAGAZZINO!$B$2:$M$100000,2,FALSE)</f>
        <v/>
      </c>
      <c r="C2113" s="29">
        <f>+VLOOKUP($A2113,MAGAZZINO!$B$2:$M$100000,3,FALSE)</f>
        <v/>
      </c>
      <c r="D2113" s="3">
        <f>+VLOOKUP($A2113,MAGAZZINO!$B$2:$M$100000,4,FALSE)</f>
        <v/>
      </c>
      <c r="E2113" s="3">
        <f>+VLOOKUP($A2113,MAGAZZINO!$B$2:$M$100000,5,FALSE)</f>
        <v/>
      </c>
      <c r="F2113" s="3">
        <f>+VLOOKUP($A2113,MAGAZZINO!$B$2:$M$100000,6,FALSE)</f>
        <v/>
      </c>
      <c r="G2113" s="3">
        <f>+VLOOKUP($A2113,MAGAZZINO!$B$2:$M$100000,7,FALSE)</f>
        <v/>
      </c>
      <c r="H2113" s="3">
        <f>+VLOOKUP($A2113,MAGAZZINO!$B$2:$M$100000,8,FALSE)</f>
        <v/>
      </c>
      <c r="I2113" s="3">
        <f>+VLOOKUP($A2113,MAGAZZINO!$B$2:$M$100000,9,FALSE)</f>
        <v/>
      </c>
      <c r="J2113" s="3">
        <f>+VLOOKUP($A2113,MAGAZZINO!$B$2:$M$100000,10,FALSE)</f>
        <v/>
      </c>
      <c r="K2113" s="3">
        <f>+VLOOKUP($A2113,MAGAZZINO!$B$2:$M$100000,11,FALSE)</f>
        <v/>
      </c>
      <c r="L2113" s="5">
        <f>+VLOOKUP($A2113,MAGAZZINO!$B$2:$M$100000,12,FALSE)</f>
        <v/>
      </c>
      <c r="M2113" s="47" t="n"/>
      <c r="N2113" s="88" t="n">
        <v>45965</v>
      </c>
      <c r="O2113" s="156" t="inlineStr">
        <is>
          <t>BIN HUMAID NATIONAL TRADING CO. (ARABIA SAUDITA)</t>
        </is>
      </c>
      <c r="P2113" s="155" t="inlineStr">
        <is>
          <t>IMPORT LICENSE N. 182480 DEL 08/01/2025                                                                                  AUT. ESPORTAZIONE MULTIPLA N. 6B/2025/2M RILASCIATA IL 26/05/2025                   (LICENZA DI SCARICO N. 6B/2025/5S RILASCIATA IL 29/10/2025)</t>
        </is>
      </c>
      <c r="Q2113" s="150" t="n"/>
      <c r="R2113" s="150" t="n"/>
      <c r="S2113" s="153" t="n"/>
    </row>
    <row r="2114" ht="36" customHeight="1">
      <c r="A2114" s="46" t="n">
        <v>4444</v>
      </c>
      <c r="B2114" s="4">
        <f>+VLOOKUP($A2114,MAGAZZINO!$B$2:$M$100000,2,FALSE)</f>
        <v/>
      </c>
      <c r="C2114" s="29">
        <f>+VLOOKUP($A2114,MAGAZZINO!$B$2:$M$100000,3,FALSE)</f>
        <v/>
      </c>
      <c r="D2114" s="3">
        <f>+VLOOKUP($A2114,MAGAZZINO!$B$2:$M$100000,4,FALSE)</f>
        <v/>
      </c>
      <c r="E2114" s="3">
        <f>+VLOOKUP($A2114,MAGAZZINO!$B$2:$M$100000,5,FALSE)</f>
        <v/>
      </c>
      <c r="F2114" s="3">
        <f>+VLOOKUP($A2114,MAGAZZINO!$B$2:$M$100000,6,FALSE)</f>
        <v/>
      </c>
      <c r="G2114" s="3">
        <f>+VLOOKUP($A2114,MAGAZZINO!$B$2:$M$100000,7,FALSE)</f>
        <v/>
      </c>
      <c r="H2114" s="3">
        <f>+VLOOKUP($A2114,MAGAZZINO!$B$2:$M$100000,8,FALSE)</f>
        <v/>
      </c>
      <c r="I2114" s="3">
        <f>+VLOOKUP($A2114,MAGAZZINO!$B$2:$M$100000,9,FALSE)</f>
        <v/>
      </c>
      <c r="J2114" s="3">
        <f>+VLOOKUP($A2114,MAGAZZINO!$B$2:$M$100000,10,FALSE)</f>
        <v/>
      </c>
      <c r="K2114" s="3">
        <f>+VLOOKUP($A2114,MAGAZZINO!$B$2:$M$100000,11,FALSE)</f>
        <v/>
      </c>
      <c r="L2114" s="5">
        <f>+VLOOKUP($A2114,MAGAZZINO!$B$2:$M$100000,12,FALSE)</f>
        <v/>
      </c>
      <c r="M2114" s="47" t="n"/>
      <c r="N2114" s="88" t="n">
        <v>45965</v>
      </c>
      <c r="O2114" s="156" t="inlineStr">
        <is>
          <t>BIN HUMAID NATIONAL TRADING CO. (ARABIA SAUDITA)</t>
        </is>
      </c>
      <c r="P2114" s="155" t="inlineStr">
        <is>
          <t>IMPORT LICENSE N. 182480 DEL 08/01/2025                                                                                  AUT. ESPORTAZIONE MULTIPLA N. 6B/2025/2M RILASCIATA IL 26/05/2025                   (LICENZA DI SCARICO N. 6B/2025/5S RILASCIATA IL 29/10/2025)</t>
        </is>
      </c>
      <c r="Q2114" s="150" t="n"/>
      <c r="R2114" s="150" t="n"/>
      <c r="S2114" s="153" t="n"/>
    </row>
    <row r="2115" ht="36" customHeight="1">
      <c r="A2115" s="46" t="n">
        <v>4445</v>
      </c>
      <c r="B2115" s="4">
        <f>+VLOOKUP($A2115,MAGAZZINO!$B$2:$M$100000,2,FALSE)</f>
        <v/>
      </c>
      <c r="C2115" s="29">
        <f>+VLOOKUP($A2115,MAGAZZINO!$B$2:$M$100000,3,FALSE)</f>
        <v/>
      </c>
      <c r="D2115" s="3">
        <f>+VLOOKUP($A2115,MAGAZZINO!$B$2:$M$100000,4,FALSE)</f>
        <v/>
      </c>
      <c r="E2115" s="3">
        <f>+VLOOKUP($A2115,MAGAZZINO!$B$2:$M$100000,5,FALSE)</f>
        <v/>
      </c>
      <c r="F2115" s="3">
        <f>+VLOOKUP($A2115,MAGAZZINO!$B$2:$M$100000,6,FALSE)</f>
        <v/>
      </c>
      <c r="G2115" s="3">
        <f>+VLOOKUP($A2115,MAGAZZINO!$B$2:$M$100000,7,FALSE)</f>
        <v/>
      </c>
      <c r="H2115" s="3">
        <f>+VLOOKUP($A2115,MAGAZZINO!$B$2:$M$100000,8,FALSE)</f>
        <v/>
      </c>
      <c r="I2115" s="3">
        <f>+VLOOKUP($A2115,MAGAZZINO!$B$2:$M$100000,9,FALSE)</f>
        <v/>
      </c>
      <c r="J2115" s="3">
        <f>+VLOOKUP($A2115,MAGAZZINO!$B$2:$M$100000,10,FALSE)</f>
        <v/>
      </c>
      <c r="K2115" s="3">
        <f>+VLOOKUP($A2115,MAGAZZINO!$B$2:$M$100000,11,FALSE)</f>
        <v/>
      </c>
      <c r="L2115" s="5">
        <f>+VLOOKUP($A2115,MAGAZZINO!$B$2:$M$100000,12,FALSE)</f>
        <v/>
      </c>
      <c r="M2115" s="47" t="n"/>
      <c r="N2115" s="88" t="n">
        <v>45965</v>
      </c>
      <c r="O2115" s="156" t="inlineStr">
        <is>
          <t>BIN HUMAID NATIONAL TRADING CO. (ARABIA SAUDITA)</t>
        </is>
      </c>
      <c r="P2115" s="155" t="inlineStr">
        <is>
          <t>IMPORT LICENSE N. 182480 DEL 08/01/2025                                                                                  AUT. ESPORTAZIONE MULTIPLA N. 6B/2025/2M RILASCIATA IL 26/05/2025                   (LICENZA DI SCARICO N. 6B/2025/5S RILASCIATA IL 29/10/2025)</t>
        </is>
      </c>
      <c r="Q2115" s="150" t="n"/>
      <c r="R2115" s="150" t="n"/>
      <c r="S2115" s="153" t="n"/>
    </row>
    <row r="2116" ht="36" customHeight="1">
      <c r="A2116" s="46" t="n">
        <v>4446</v>
      </c>
      <c r="B2116" s="4">
        <f>+VLOOKUP($A2116,MAGAZZINO!$B$2:$M$100000,2,FALSE)</f>
        <v/>
      </c>
      <c r="C2116" s="29">
        <f>+VLOOKUP($A2116,MAGAZZINO!$B$2:$M$100000,3,FALSE)</f>
        <v/>
      </c>
      <c r="D2116" s="3">
        <f>+VLOOKUP($A2116,MAGAZZINO!$B$2:$M$100000,4,FALSE)</f>
        <v/>
      </c>
      <c r="E2116" s="3">
        <f>+VLOOKUP($A2116,MAGAZZINO!$B$2:$M$100000,5,FALSE)</f>
        <v/>
      </c>
      <c r="F2116" s="3">
        <f>+VLOOKUP($A2116,MAGAZZINO!$B$2:$M$100000,6,FALSE)</f>
        <v/>
      </c>
      <c r="G2116" s="3">
        <f>+VLOOKUP($A2116,MAGAZZINO!$B$2:$M$100000,7,FALSE)</f>
        <v/>
      </c>
      <c r="H2116" s="3">
        <f>+VLOOKUP($A2116,MAGAZZINO!$B$2:$M$100000,8,FALSE)</f>
        <v/>
      </c>
      <c r="I2116" s="3">
        <f>+VLOOKUP($A2116,MAGAZZINO!$B$2:$M$100000,9,FALSE)</f>
        <v/>
      </c>
      <c r="J2116" s="3">
        <f>+VLOOKUP($A2116,MAGAZZINO!$B$2:$M$100000,10,FALSE)</f>
        <v/>
      </c>
      <c r="K2116" s="3">
        <f>+VLOOKUP($A2116,MAGAZZINO!$B$2:$M$100000,11,FALSE)</f>
        <v/>
      </c>
      <c r="L2116" s="5">
        <f>+VLOOKUP($A2116,MAGAZZINO!$B$2:$M$100000,12,FALSE)</f>
        <v/>
      </c>
      <c r="M2116" s="47" t="n"/>
      <c r="N2116" s="88" t="n">
        <v>45965</v>
      </c>
      <c r="O2116" s="156" t="inlineStr">
        <is>
          <t>BIN HUMAID NATIONAL TRADING CO. (ARABIA SAUDITA)</t>
        </is>
      </c>
      <c r="P2116" s="155" t="inlineStr">
        <is>
          <t>IMPORT LICENSE N. 182480 DEL 08/01/2025                                                                                  AUT. ESPORTAZIONE MULTIPLA N. 6B/2025/2M RILASCIATA IL 26/05/2025                   (LICENZA DI SCARICO N. 6B/2025/5S RILASCIATA IL 29/10/2025)</t>
        </is>
      </c>
      <c r="Q2116" s="150" t="n"/>
      <c r="R2116" s="150" t="n"/>
      <c r="S2116" s="153" t="n"/>
    </row>
    <row r="2117" ht="36" customHeight="1">
      <c r="A2117" s="46" t="n">
        <v>4447</v>
      </c>
      <c r="B2117" s="4">
        <f>+VLOOKUP($A2117,MAGAZZINO!$B$2:$M$100000,2,FALSE)</f>
        <v/>
      </c>
      <c r="C2117" s="29">
        <f>+VLOOKUP($A2117,MAGAZZINO!$B$2:$M$100000,3,FALSE)</f>
        <v/>
      </c>
      <c r="D2117" s="3">
        <f>+VLOOKUP($A2117,MAGAZZINO!$B$2:$M$100000,4,FALSE)</f>
        <v/>
      </c>
      <c r="E2117" s="3">
        <f>+VLOOKUP($A2117,MAGAZZINO!$B$2:$M$100000,5,FALSE)</f>
        <v/>
      </c>
      <c r="F2117" s="3">
        <f>+VLOOKUP($A2117,MAGAZZINO!$B$2:$M$100000,6,FALSE)</f>
        <v/>
      </c>
      <c r="G2117" s="3">
        <f>+VLOOKUP($A2117,MAGAZZINO!$B$2:$M$100000,7,FALSE)</f>
        <v/>
      </c>
      <c r="H2117" s="3">
        <f>+VLOOKUP($A2117,MAGAZZINO!$B$2:$M$100000,8,FALSE)</f>
        <v/>
      </c>
      <c r="I2117" s="3">
        <f>+VLOOKUP($A2117,MAGAZZINO!$B$2:$M$100000,9,FALSE)</f>
        <v/>
      </c>
      <c r="J2117" s="3">
        <f>+VLOOKUP($A2117,MAGAZZINO!$B$2:$M$100000,10,FALSE)</f>
        <v/>
      </c>
      <c r="K2117" s="3">
        <f>+VLOOKUP($A2117,MAGAZZINO!$B$2:$M$100000,11,FALSE)</f>
        <v/>
      </c>
      <c r="L2117" s="5">
        <f>+VLOOKUP($A2117,MAGAZZINO!$B$2:$M$100000,12,FALSE)</f>
        <v/>
      </c>
      <c r="M2117" s="47" t="n"/>
      <c r="N2117" s="88" t="n">
        <v>45965</v>
      </c>
      <c r="O2117" s="156" t="inlineStr">
        <is>
          <t>BIN HUMAID NATIONAL TRADING CO. (ARABIA SAUDITA)</t>
        </is>
      </c>
      <c r="P2117" s="155" t="inlineStr">
        <is>
          <t>IMPORT LICENSE N. 182480 DEL 08/01/2025                                                                                  AUT. ESPORTAZIONE MULTIPLA N. 6B/2025/2M RILASCIATA IL 26/05/2025                   (LICENZA DI SCARICO N. 6B/2025/5S RILASCIATA IL 29/10/2025)</t>
        </is>
      </c>
      <c r="Q2117" s="150" t="n"/>
      <c r="R2117" s="150" t="n"/>
      <c r="S2117" s="153" t="n"/>
    </row>
    <row r="2118" ht="36" customHeight="1">
      <c r="A2118" s="46" t="n">
        <v>4448</v>
      </c>
      <c r="B2118" s="4">
        <f>+VLOOKUP($A2118,MAGAZZINO!$B$2:$M$100000,2,FALSE)</f>
        <v/>
      </c>
      <c r="C2118" s="29">
        <f>+VLOOKUP($A2118,MAGAZZINO!$B$2:$M$100000,3,FALSE)</f>
        <v/>
      </c>
      <c r="D2118" s="3">
        <f>+VLOOKUP($A2118,MAGAZZINO!$B$2:$M$100000,4,FALSE)</f>
        <v/>
      </c>
      <c r="E2118" s="3">
        <f>+VLOOKUP($A2118,MAGAZZINO!$B$2:$M$100000,5,FALSE)</f>
        <v/>
      </c>
      <c r="F2118" s="3">
        <f>+VLOOKUP($A2118,MAGAZZINO!$B$2:$M$100000,6,FALSE)</f>
        <v/>
      </c>
      <c r="G2118" s="3">
        <f>+VLOOKUP($A2118,MAGAZZINO!$B$2:$M$100000,7,FALSE)</f>
        <v/>
      </c>
      <c r="H2118" s="3">
        <f>+VLOOKUP($A2118,MAGAZZINO!$B$2:$M$100000,8,FALSE)</f>
        <v/>
      </c>
      <c r="I2118" s="3">
        <f>+VLOOKUP($A2118,MAGAZZINO!$B$2:$M$100000,9,FALSE)</f>
        <v/>
      </c>
      <c r="J2118" s="3">
        <f>+VLOOKUP($A2118,MAGAZZINO!$B$2:$M$100000,10,FALSE)</f>
        <v/>
      </c>
      <c r="K2118" s="3">
        <f>+VLOOKUP($A2118,MAGAZZINO!$B$2:$M$100000,11,FALSE)</f>
        <v/>
      </c>
      <c r="L2118" s="5">
        <f>+VLOOKUP($A2118,MAGAZZINO!$B$2:$M$100000,12,FALSE)</f>
        <v/>
      </c>
      <c r="M2118" s="47" t="n"/>
      <c r="N2118" s="88" t="n">
        <v>45965</v>
      </c>
      <c r="O2118" s="156" t="inlineStr">
        <is>
          <t>BIN HUMAID NATIONAL TRADING CO. (ARABIA SAUDITA)</t>
        </is>
      </c>
      <c r="P2118" s="155" t="inlineStr">
        <is>
          <t>IMPORT LICENSE N. 182480 DEL 08/01/2025                                                                                  AUT. ESPORTAZIONE MULTIPLA N. 6B/2025/2M RILASCIATA IL 26/05/2025                   (LICENZA DI SCARICO N. 6B/2025/5S RILASCIATA IL 29/10/2025)</t>
        </is>
      </c>
      <c r="Q2118" s="150" t="n"/>
      <c r="R2118" s="150" t="n"/>
      <c r="S2118" s="153" t="n"/>
    </row>
    <row r="2119" ht="36" customHeight="1">
      <c r="A2119" s="46" t="n">
        <v>4449</v>
      </c>
      <c r="B2119" s="4">
        <f>+VLOOKUP($A2119,MAGAZZINO!$B$2:$M$100000,2,FALSE)</f>
        <v/>
      </c>
      <c r="C2119" s="29">
        <f>+VLOOKUP($A2119,MAGAZZINO!$B$2:$M$100000,3,FALSE)</f>
        <v/>
      </c>
      <c r="D2119" s="3">
        <f>+VLOOKUP($A2119,MAGAZZINO!$B$2:$M$100000,4,FALSE)</f>
        <v/>
      </c>
      <c r="E2119" s="3">
        <f>+VLOOKUP($A2119,MAGAZZINO!$B$2:$M$100000,5,FALSE)</f>
        <v/>
      </c>
      <c r="F2119" s="3">
        <f>+VLOOKUP($A2119,MAGAZZINO!$B$2:$M$100000,6,FALSE)</f>
        <v/>
      </c>
      <c r="G2119" s="3">
        <f>+VLOOKUP($A2119,MAGAZZINO!$B$2:$M$100000,7,FALSE)</f>
        <v/>
      </c>
      <c r="H2119" s="3">
        <f>+VLOOKUP($A2119,MAGAZZINO!$B$2:$M$100000,8,FALSE)</f>
        <v/>
      </c>
      <c r="I2119" s="3">
        <f>+VLOOKUP($A2119,MAGAZZINO!$B$2:$M$100000,9,FALSE)</f>
        <v/>
      </c>
      <c r="J2119" s="3">
        <f>+VLOOKUP($A2119,MAGAZZINO!$B$2:$M$100000,10,FALSE)</f>
        <v/>
      </c>
      <c r="K2119" s="3">
        <f>+VLOOKUP($A2119,MAGAZZINO!$B$2:$M$100000,11,FALSE)</f>
        <v/>
      </c>
      <c r="L2119" s="5">
        <f>+VLOOKUP($A2119,MAGAZZINO!$B$2:$M$100000,12,FALSE)</f>
        <v/>
      </c>
      <c r="M2119" s="47" t="n"/>
      <c r="N2119" s="88" t="n">
        <v>45965</v>
      </c>
      <c r="O2119" s="156" t="inlineStr">
        <is>
          <t>BIN HUMAID NATIONAL TRADING CO. (ARABIA SAUDITA)</t>
        </is>
      </c>
      <c r="P2119" s="155" t="inlineStr">
        <is>
          <t>IMPORT LICENSE N. 182480 DEL 08/01/2025                                                                                  AUT. ESPORTAZIONE MULTIPLA N. 6B/2025/2M RILASCIATA IL 26/05/2025                   (LICENZA DI SCARICO N. 6B/2025/5S RILASCIATA IL 29/10/2025)</t>
        </is>
      </c>
      <c r="Q2119" s="150" t="n"/>
      <c r="R2119" s="150" t="n"/>
      <c r="S2119" s="153" t="n"/>
    </row>
    <row r="2120" ht="36" customHeight="1">
      <c r="A2120" s="46" t="n">
        <v>4450</v>
      </c>
      <c r="B2120" s="4">
        <f>+VLOOKUP($A2120,MAGAZZINO!$B$2:$M$100000,2,FALSE)</f>
        <v/>
      </c>
      <c r="C2120" s="29">
        <f>+VLOOKUP($A2120,MAGAZZINO!$B$2:$M$100000,3,FALSE)</f>
        <v/>
      </c>
      <c r="D2120" s="3">
        <f>+VLOOKUP($A2120,MAGAZZINO!$B$2:$M$100000,4,FALSE)</f>
        <v/>
      </c>
      <c r="E2120" s="3">
        <f>+VLOOKUP($A2120,MAGAZZINO!$B$2:$M$100000,5,FALSE)</f>
        <v/>
      </c>
      <c r="F2120" s="3">
        <f>+VLOOKUP($A2120,MAGAZZINO!$B$2:$M$100000,6,FALSE)</f>
        <v/>
      </c>
      <c r="G2120" s="3">
        <f>+VLOOKUP($A2120,MAGAZZINO!$B$2:$M$100000,7,FALSE)</f>
        <v/>
      </c>
      <c r="H2120" s="3">
        <f>+VLOOKUP($A2120,MAGAZZINO!$B$2:$M$100000,8,FALSE)</f>
        <v/>
      </c>
      <c r="I2120" s="3">
        <f>+VLOOKUP($A2120,MAGAZZINO!$B$2:$M$100000,9,FALSE)</f>
        <v/>
      </c>
      <c r="J2120" s="3">
        <f>+VLOOKUP($A2120,MAGAZZINO!$B$2:$M$100000,10,FALSE)</f>
        <v/>
      </c>
      <c r="K2120" s="3">
        <f>+VLOOKUP($A2120,MAGAZZINO!$B$2:$M$100000,11,FALSE)</f>
        <v/>
      </c>
      <c r="L2120" s="5">
        <f>+VLOOKUP($A2120,MAGAZZINO!$B$2:$M$100000,12,FALSE)</f>
        <v/>
      </c>
      <c r="M2120" s="47" t="n"/>
      <c r="N2120" s="88" t="n">
        <v>45965</v>
      </c>
      <c r="O2120" s="156" t="inlineStr">
        <is>
          <t>BIN HUMAID NATIONAL TRADING CO. (ARABIA SAUDITA)</t>
        </is>
      </c>
      <c r="P2120" s="155" t="inlineStr">
        <is>
          <t>IMPORT LICENSE N. 182480 DEL 08/01/2025                                                                                  AUT. ESPORTAZIONE MULTIPLA N. 6B/2025/2M RILASCIATA IL 26/05/2025                   (LICENZA DI SCARICO N. 6B/2025/5S RILASCIATA IL 29/10/2025)</t>
        </is>
      </c>
      <c r="Q2120" s="150" t="n"/>
      <c r="R2120" s="150" t="n"/>
      <c r="S2120" s="153" t="n"/>
    </row>
    <row r="2121" ht="36" customHeight="1">
      <c r="A2121" s="46" t="n">
        <v>4451</v>
      </c>
      <c r="B2121" s="4">
        <f>+VLOOKUP($A2121,MAGAZZINO!$B$2:$M$100000,2,FALSE)</f>
        <v/>
      </c>
      <c r="C2121" s="29">
        <f>+VLOOKUP($A2121,MAGAZZINO!$B$2:$M$100000,3,FALSE)</f>
        <v/>
      </c>
      <c r="D2121" s="3">
        <f>+VLOOKUP($A2121,MAGAZZINO!$B$2:$M$100000,4,FALSE)</f>
        <v/>
      </c>
      <c r="E2121" s="3">
        <f>+VLOOKUP($A2121,MAGAZZINO!$B$2:$M$100000,5,FALSE)</f>
        <v/>
      </c>
      <c r="F2121" s="3">
        <f>+VLOOKUP($A2121,MAGAZZINO!$B$2:$M$100000,6,FALSE)</f>
        <v/>
      </c>
      <c r="G2121" s="3">
        <f>+VLOOKUP($A2121,MAGAZZINO!$B$2:$M$100000,7,FALSE)</f>
        <v/>
      </c>
      <c r="H2121" s="3">
        <f>+VLOOKUP($A2121,MAGAZZINO!$B$2:$M$100000,8,FALSE)</f>
        <v/>
      </c>
      <c r="I2121" s="3">
        <f>+VLOOKUP($A2121,MAGAZZINO!$B$2:$M$100000,9,FALSE)</f>
        <v/>
      </c>
      <c r="J2121" s="3">
        <f>+VLOOKUP($A2121,MAGAZZINO!$B$2:$M$100000,10,FALSE)</f>
        <v/>
      </c>
      <c r="K2121" s="3">
        <f>+VLOOKUP($A2121,MAGAZZINO!$B$2:$M$100000,11,FALSE)</f>
        <v/>
      </c>
      <c r="L2121" s="5">
        <f>+VLOOKUP($A2121,MAGAZZINO!$B$2:$M$100000,12,FALSE)</f>
        <v/>
      </c>
      <c r="M2121" s="47" t="n"/>
      <c r="N2121" s="88" t="n">
        <v>45965</v>
      </c>
      <c r="O2121" s="156" t="inlineStr">
        <is>
          <t>BIN HUMAID NATIONAL TRADING CO. (ARABIA SAUDITA)</t>
        </is>
      </c>
      <c r="P2121" s="155" t="inlineStr">
        <is>
          <t>IMPORT LICENSE N. 182480 DEL 08/01/2025                                                                                  AUT. ESPORTAZIONE MULTIPLA N. 6B/2025/2M RILASCIATA IL 26/05/2025                   (LICENZA DI SCARICO N. 6B/2025/5S RILASCIATA IL 29/10/2025)</t>
        </is>
      </c>
      <c r="Q2121" s="150" t="n"/>
      <c r="R2121" s="150" t="n"/>
      <c r="S2121" s="153" t="n"/>
    </row>
    <row r="2122" ht="36" customHeight="1">
      <c r="A2122" s="46" t="n">
        <v>4452</v>
      </c>
      <c r="B2122" s="4">
        <f>+VLOOKUP($A2122,MAGAZZINO!$B$2:$M$100000,2,FALSE)</f>
        <v/>
      </c>
      <c r="C2122" s="29">
        <f>+VLOOKUP($A2122,MAGAZZINO!$B$2:$M$100000,3,FALSE)</f>
        <v/>
      </c>
      <c r="D2122" s="3">
        <f>+VLOOKUP($A2122,MAGAZZINO!$B$2:$M$100000,4,FALSE)</f>
        <v/>
      </c>
      <c r="E2122" s="3">
        <f>+VLOOKUP($A2122,MAGAZZINO!$B$2:$M$100000,5,FALSE)</f>
        <v/>
      </c>
      <c r="F2122" s="3">
        <f>+VLOOKUP($A2122,MAGAZZINO!$B$2:$M$100000,6,FALSE)</f>
        <v/>
      </c>
      <c r="G2122" s="3">
        <f>+VLOOKUP($A2122,MAGAZZINO!$B$2:$M$100000,7,FALSE)</f>
        <v/>
      </c>
      <c r="H2122" s="3">
        <f>+VLOOKUP($A2122,MAGAZZINO!$B$2:$M$100000,8,FALSE)</f>
        <v/>
      </c>
      <c r="I2122" s="3">
        <f>+VLOOKUP($A2122,MAGAZZINO!$B$2:$M$100000,9,FALSE)</f>
        <v/>
      </c>
      <c r="J2122" s="3">
        <f>+VLOOKUP($A2122,MAGAZZINO!$B$2:$M$100000,10,FALSE)</f>
        <v/>
      </c>
      <c r="K2122" s="3">
        <f>+VLOOKUP($A2122,MAGAZZINO!$B$2:$M$100000,11,FALSE)</f>
        <v/>
      </c>
      <c r="L2122" s="5">
        <f>+VLOOKUP($A2122,MAGAZZINO!$B$2:$M$100000,12,FALSE)</f>
        <v/>
      </c>
      <c r="M2122" s="47" t="n"/>
      <c r="N2122" s="88" t="n">
        <v>45965</v>
      </c>
      <c r="O2122" s="156" t="inlineStr">
        <is>
          <t>BIN HUMAID NATIONAL TRADING CO. (ARABIA SAUDITA)</t>
        </is>
      </c>
      <c r="P2122" s="155" t="inlineStr">
        <is>
          <t>IMPORT LICENSE N. 182480 DEL 08/01/2025                                                                                  AUT. ESPORTAZIONE MULTIPLA N. 6B/2025/2M RILASCIATA IL 26/05/2025                   (LICENZA DI SCARICO N. 6B/2025/5S RILASCIATA IL 29/10/2025)</t>
        </is>
      </c>
      <c r="Q2122" s="150" t="n"/>
      <c r="R2122" s="150" t="n"/>
      <c r="S2122" s="153" t="n"/>
    </row>
    <row r="2123" ht="36" customHeight="1">
      <c r="A2123" s="46" t="n">
        <v>4453</v>
      </c>
      <c r="B2123" s="4">
        <f>+VLOOKUP($A2123,MAGAZZINO!$B$2:$M$100000,2,FALSE)</f>
        <v/>
      </c>
      <c r="C2123" s="29">
        <f>+VLOOKUP($A2123,MAGAZZINO!$B$2:$M$100000,3,FALSE)</f>
        <v/>
      </c>
      <c r="D2123" s="3">
        <f>+VLOOKUP($A2123,MAGAZZINO!$B$2:$M$100000,4,FALSE)</f>
        <v/>
      </c>
      <c r="E2123" s="3">
        <f>+VLOOKUP($A2123,MAGAZZINO!$B$2:$M$100000,5,FALSE)</f>
        <v/>
      </c>
      <c r="F2123" s="3">
        <f>+VLOOKUP($A2123,MAGAZZINO!$B$2:$M$100000,6,FALSE)</f>
        <v/>
      </c>
      <c r="G2123" s="3">
        <f>+VLOOKUP($A2123,MAGAZZINO!$B$2:$M$100000,7,FALSE)</f>
        <v/>
      </c>
      <c r="H2123" s="3">
        <f>+VLOOKUP($A2123,MAGAZZINO!$B$2:$M$100000,8,FALSE)</f>
        <v/>
      </c>
      <c r="I2123" s="3">
        <f>+VLOOKUP($A2123,MAGAZZINO!$B$2:$M$100000,9,FALSE)</f>
        <v/>
      </c>
      <c r="J2123" s="3">
        <f>+VLOOKUP($A2123,MAGAZZINO!$B$2:$M$100000,10,FALSE)</f>
        <v/>
      </c>
      <c r="K2123" s="3">
        <f>+VLOOKUP($A2123,MAGAZZINO!$B$2:$M$100000,11,FALSE)</f>
        <v/>
      </c>
      <c r="L2123" s="5">
        <f>+VLOOKUP($A2123,MAGAZZINO!$B$2:$M$100000,12,FALSE)</f>
        <v/>
      </c>
      <c r="M2123" s="47" t="n"/>
      <c r="N2123" s="88" t="n">
        <v>45965</v>
      </c>
      <c r="O2123" s="156" t="inlineStr">
        <is>
          <t>BIN HUMAID NATIONAL TRADING CO. (ARABIA SAUDITA)</t>
        </is>
      </c>
      <c r="P2123" s="155" t="inlineStr">
        <is>
          <t>IMPORT LICENSE N. 182480 DEL 08/01/2025                                                                                  AUT. ESPORTAZIONE MULTIPLA N. 6B/2025/2M RILASCIATA IL 26/05/2025                   (LICENZA DI SCARICO N. 6B/2025/5S RILASCIATA IL 29/10/2025)</t>
        </is>
      </c>
      <c r="Q2123" s="150" t="n"/>
      <c r="R2123" s="150" t="n"/>
      <c r="S2123" s="153" t="n"/>
    </row>
    <row r="2124" ht="36" customHeight="1">
      <c r="A2124" s="46" t="n">
        <v>4454</v>
      </c>
      <c r="B2124" s="4">
        <f>+VLOOKUP($A2124,MAGAZZINO!$B$2:$M$100000,2,FALSE)</f>
        <v/>
      </c>
      <c r="C2124" s="29">
        <f>+VLOOKUP($A2124,MAGAZZINO!$B$2:$M$100000,3,FALSE)</f>
        <v/>
      </c>
      <c r="D2124" s="3">
        <f>+VLOOKUP($A2124,MAGAZZINO!$B$2:$M$100000,4,FALSE)</f>
        <v/>
      </c>
      <c r="E2124" s="3">
        <f>+VLOOKUP($A2124,MAGAZZINO!$B$2:$M$100000,5,FALSE)</f>
        <v/>
      </c>
      <c r="F2124" s="3">
        <f>+VLOOKUP($A2124,MAGAZZINO!$B$2:$M$100000,6,FALSE)</f>
        <v/>
      </c>
      <c r="G2124" s="3">
        <f>+VLOOKUP($A2124,MAGAZZINO!$B$2:$M$100000,7,FALSE)</f>
        <v/>
      </c>
      <c r="H2124" s="3">
        <f>+VLOOKUP($A2124,MAGAZZINO!$B$2:$M$100000,8,FALSE)</f>
        <v/>
      </c>
      <c r="I2124" s="3">
        <f>+VLOOKUP($A2124,MAGAZZINO!$B$2:$M$100000,9,FALSE)</f>
        <v/>
      </c>
      <c r="J2124" s="3">
        <f>+VLOOKUP($A2124,MAGAZZINO!$B$2:$M$100000,10,FALSE)</f>
        <v/>
      </c>
      <c r="K2124" s="3">
        <f>+VLOOKUP($A2124,MAGAZZINO!$B$2:$M$100000,11,FALSE)</f>
        <v/>
      </c>
      <c r="L2124" s="5">
        <f>+VLOOKUP($A2124,MAGAZZINO!$B$2:$M$100000,12,FALSE)</f>
        <v/>
      </c>
      <c r="M2124" s="47" t="n"/>
      <c r="N2124" s="88" t="n">
        <v>45965</v>
      </c>
      <c r="O2124" s="156" t="inlineStr">
        <is>
          <t>BIN HUMAID NATIONAL TRADING CO. (ARABIA SAUDITA)</t>
        </is>
      </c>
      <c r="P2124" s="155" t="inlineStr">
        <is>
          <t>IMPORT LICENSE N. 182480 DEL 08/01/2025                                                                                  AUT. ESPORTAZIONE MULTIPLA N. 6B/2025/2M RILASCIATA IL 26/05/2025                   (LICENZA DI SCARICO N. 6B/2025/5S RILASCIATA IL 29/10/2025)</t>
        </is>
      </c>
      <c r="Q2124" s="150" t="n"/>
      <c r="R2124" s="150" t="n"/>
      <c r="S2124" s="153" t="n"/>
    </row>
    <row r="2125" ht="36" customHeight="1">
      <c r="A2125" s="46" t="n">
        <v>4455</v>
      </c>
      <c r="B2125" s="4">
        <f>+VLOOKUP($A2125,MAGAZZINO!$B$2:$M$100000,2,FALSE)</f>
        <v/>
      </c>
      <c r="C2125" s="29">
        <f>+VLOOKUP($A2125,MAGAZZINO!$B$2:$M$100000,3,FALSE)</f>
        <v/>
      </c>
      <c r="D2125" s="3">
        <f>+VLOOKUP($A2125,MAGAZZINO!$B$2:$M$100000,4,FALSE)</f>
        <v/>
      </c>
      <c r="E2125" s="3">
        <f>+VLOOKUP($A2125,MAGAZZINO!$B$2:$M$100000,5,FALSE)</f>
        <v/>
      </c>
      <c r="F2125" s="3">
        <f>+VLOOKUP($A2125,MAGAZZINO!$B$2:$M$100000,6,FALSE)</f>
        <v/>
      </c>
      <c r="G2125" s="3">
        <f>+VLOOKUP($A2125,MAGAZZINO!$B$2:$M$100000,7,FALSE)</f>
        <v/>
      </c>
      <c r="H2125" s="3">
        <f>+VLOOKUP($A2125,MAGAZZINO!$B$2:$M$100000,8,FALSE)</f>
        <v/>
      </c>
      <c r="I2125" s="3">
        <f>+VLOOKUP($A2125,MAGAZZINO!$B$2:$M$100000,9,FALSE)</f>
        <v/>
      </c>
      <c r="J2125" s="3">
        <f>+VLOOKUP($A2125,MAGAZZINO!$B$2:$M$100000,10,FALSE)</f>
        <v/>
      </c>
      <c r="K2125" s="3">
        <f>+VLOOKUP($A2125,MAGAZZINO!$B$2:$M$100000,11,FALSE)</f>
        <v/>
      </c>
      <c r="L2125" s="5">
        <f>+VLOOKUP($A2125,MAGAZZINO!$B$2:$M$100000,12,FALSE)</f>
        <v/>
      </c>
      <c r="M2125" s="47" t="n"/>
      <c r="N2125" s="88" t="n">
        <v>45965</v>
      </c>
      <c r="O2125" s="156" t="inlineStr">
        <is>
          <t>BIN HUMAID NATIONAL TRADING CO. (ARABIA SAUDITA)</t>
        </is>
      </c>
      <c r="P2125" s="155" t="inlineStr">
        <is>
          <t>IMPORT LICENSE N. 182480 DEL 08/01/2025                                                                                  AUT. ESPORTAZIONE MULTIPLA N. 6B/2025/2M RILASCIATA IL 26/05/2025                   (LICENZA DI SCARICO N. 6B/2025/5S RILASCIATA IL 29/10/2025)</t>
        </is>
      </c>
      <c r="Q2125" s="150" t="n"/>
      <c r="R2125" s="150" t="n"/>
      <c r="S2125" s="153" t="n"/>
    </row>
    <row r="2126" ht="36" customHeight="1">
      <c r="A2126" s="46" t="n">
        <v>4456</v>
      </c>
      <c r="B2126" s="4">
        <f>+VLOOKUP($A2126,MAGAZZINO!$B$2:$M$100000,2,FALSE)</f>
        <v/>
      </c>
      <c r="C2126" s="29">
        <f>+VLOOKUP($A2126,MAGAZZINO!$B$2:$M$100000,3,FALSE)</f>
        <v/>
      </c>
      <c r="D2126" s="3">
        <f>+VLOOKUP($A2126,MAGAZZINO!$B$2:$M$100000,4,FALSE)</f>
        <v/>
      </c>
      <c r="E2126" s="3">
        <f>+VLOOKUP($A2126,MAGAZZINO!$B$2:$M$100000,5,FALSE)</f>
        <v/>
      </c>
      <c r="F2126" s="3">
        <f>+VLOOKUP($A2126,MAGAZZINO!$B$2:$M$100000,6,FALSE)</f>
        <v/>
      </c>
      <c r="G2126" s="3">
        <f>+VLOOKUP($A2126,MAGAZZINO!$B$2:$M$100000,7,FALSE)</f>
        <v/>
      </c>
      <c r="H2126" s="3">
        <f>+VLOOKUP($A2126,MAGAZZINO!$B$2:$M$100000,8,FALSE)</f>
        <v/>
      </c>
      <c r="I2126" s="3">
        <f>+VLOOKUP($A2126,MAGAZZINO!$B$2:$M$100000,9,FALSE)</f>
        <v/>
      </c>
      <c r="J2126" s="3">
        <f>+VLOOKUP($A2126,MAGAZZINO!$B$2:$M$100000,10,FALSE)</f>
        <v/>
      </c>
      <c r="K2126" s="3">
        <f>+VLOOKUP($A2126,MAGAZZINO!$B$2:$M$100000,11,FALSE)</f>
        <v/>
      </c>
      <c r="L2126" s="5">
        <f>+VLOOKUP($A2126,MAGAZZINO!$B$2:$M$100000,12,FALSE)</f>
        <v/>
      </c>
      <c r="M2126" s="47" t="n"/>
      <c r="N2126" s="88" t="n">
        <v>45965</v>
      </c>
      <c r="O2126" s="156" t="inlineStr">
        <is>
          <t>BIN HUMAID NATIONAL TRADING CO. (ARABIA SAUDITA)</t>
        </is>
      </c>
      <c r="P2126" s="155" t="inlineStr">
        <is>
          <t>IMPORT LICENSE N. 182480 DEL 08/01/2025                                                                                  AUT. ESPORTAZIONE MULTIPLA N. 6B/2025/2M RILASCIATA IL 26/05/2025                   (LICENZA DI SCARICO N. 6B/2025/5S RILASCIATA IL 29/10/2025)</t>
        </is>
      </c>
      <c r="Q2126" s="150" t="n"/>
      <c r="R2126" s="150" t="n"/>
      <c r="S2126" s="153" t="n"/>
    </row>
    <row r="2127" ht="36" customHeight="1">
      <c r="A2127" s="46" t="n">
        <v>4457</v>
      </c>
      <c r="B2127" s="4">
        <f>+VLOOKUP($A2127,MAGAZZINO!$B$2:$M$100000,2,FALSE)</f>
        <v/>
      </c>
      <c r="C2127" s="29">
        <f>+VLOOKUP($A2127,MAGAZZINO!$B$2:$M$100000,3,FALSE)</f>
        <v/>
      </c>
      <c r="D2127" s="3">
        <f>+VLOOKUP($A2127,MAGAZZINO!$B$2:$M$100000,4,FALSE)</f>
        <v/>
      </c>
      <c r="E2127" s="3">
        <f>+VLOOKUP($A2127,MAGAZZINO!$B$2:$M$100000,5,FALSE)</f>
        <v/>
      </c>
      <c r="F2127" s="3">
        <f>+VLOOKUP($A2127,MAGAZZINO!$B$2:$M$100000,6,FALSE)</f>
        <v/>
      </c>
      <c r="G2127" s="3">
        <f>+VLOOKUP($A2127,MAGAZZINO!$B$2:$M$100000,7,FALSE)</f>
        <v/>
      </c>
      <c r="H2127" s="3">
        <f>+VLOOKUP($A2127,MAGAZZINO!$B$2:$M$100000,8,FALSE)</f>
        <v/>
      </c>
      <c r="I2127" s="3">
        <f>+VLOOKUP($A2127,MAGAZZINO!$B$2:$M$100000,9,FALSE)</f>
        <v/>
      </c>
      <c r="J2127" s="3">
        <f>+VLOOKUP($A2127,MAGAZZINO!$B$2:$M$100000,10,FALSE)</f>
        <v/>
      </c>
      <c r="K2127" s="3">
        <f>+VLOOKUP($A2127,MAGAZZINO!$B$2:$M$100000,11,FALSE)</f>
        <v/>
      </c>
      <c r="L2127" s="5">
        <f>+VLOOKUP($A2127,MAGAZZINO!$B$2:$M$100000,12,FALSE)</f>
        <v/>
      </c>
      <c r="M2127" s="47" t="n"/>
      <c r="N2127" s="88" t="n">
        <v>45965</v>
      </c>
      <c r="O2127" s="156" t="inlineStr">
        <is>
          <t>BIN HUMAID NATIONAL TRADING CO. (ARABIA SAUDITA)</t>
        </is>
      </c>
      <c r="P2127" s="155" t="inlineStr">
        <is>
          <t>IMPORT LICENSE N. 182480 DEL 08/01/2025                                                                                  AUT. ESPORTAZIONE MULTIPLA N. 6B/2025/2M RILASCIATA IL 26/05/2025                   (LICENZA DI SCARICO N. 6B/2025/5S RILASCIATA IL 29/10/2025)</t>
        </is>
      </c>
      <c r="Q2127" s="150" t="n"/>
      <c r="R2127" s="150" t="n"/>
      <c r="S2127" s="153" t="n"/>
    </row>
    <row r="2128" ht="36" customHeight="1">
      <c r="A2128" s="46" t="n">
        <v>4458</v>
      </c>
      <c r="B2128" s="4">
        <f>+VLOOKUP($A2128,MAGAZZINO!$B$2:$M$100000,2,FALSE)</f>
        <v/>
      </c>
      <c r="C2128" s="29">
        <f>+VLOOKUP($A2128,MAGAZZINO!$B$2:$M$100000,3,FALSE)</f>
        <v/>
      </c>
      <c r="D2128" s="3">
        <f>+VLOOKUP($A2128,MAGAZZINO!$B$2:$M$100000,4,FALSE)</f>
        <v/>
      </c>
      <c r="E2128" s="3">
        <f>+VLOOKUP($A2128,MAGAZZINO!$B$2:$M$100000,5,FALSE)</f>
        <v/>
      </c>
      <c r="F2128" s="3">
        <f>+VLOOKUP($A2128,MAGAZZINO!$B$2:$M$100000,6,FALSE)</f>
        <v/>
      </c>
      <c r="G2128" s="3">
        <f>+VLOOKUP($A2128,MAGAZZINO!$B$2:$M$100000,7,FALSE)</f>
        <v/>
      </c>
      <c r="H2128" s="3">
        <f>+VLOOKUP($A2128,MAGAZZINO!$B$2:$M$100000,8,FALSE)</f>
        <v/>
      </c>
      <c r="I2128" s="3">
        <f>+VLOOKUP($A2128,MAGAZZINO!$B$2:$M$100000,9,FALSE)</f>
        <v/>
      </c>
      <c r="J2128" s="3">
        <f>+VLOOKUP($A2128,MAGAZZINO!$B$2:$M$100000,10,FALSE)</f>
        <v/>
      </c>
      <c r="K2128" s="3">
        <f>+VLOOKUP($A2128,MAGAZZINO!$B$2:$M$100000,11,FALSE)</f>
        <v/>
      </c>
      <c r="L2128" s="5">
        <f>+VLOOKUP($A2128,MAGAZZINO!$B$2:$M$100000,12,FALSE)</f>
        <v/>
      </c>
      <c r="M2128" s="47" t="n"/>
      <c r="N2128" s="88" t="n">
        <v>45965</v>
      </c>
      <c r="O2128" s="156" t="inlineStr">
        <is>
          <t>BIN HUMAID NATIONAL TRADING CO. (ARABIA SAUDITA)</t>
        </is>
      </c>
      <c r="P2128" s="155" t="inlineStr">
        <is>
          <t>IMPORT LICENSE N. 182480 DEL 08/01/2025                                                                                  AUT. ESPORTAZIONE MULTIPLA N. 6B/2025/2M RILASCIATA IL 26/05/2025                   (LICENZA DI SCARICO N. 6B/2025/5S RILASCIATA IL 29/10/2025)</t>
        </is>
      </c>
      <c r="Q2128" s="150" t="n"/>
      <c r="R2128" s="150" t="n"/>
      <c r="S2128" s="153" t="n"/>
    </row>
    <row r="2129" ht="36" customHeight="1">
      <c r="A2129" s="46" t="n">
        <v>4459</v>
      </c>
      <c r="B2129" s="4">
        <f>+VLOOKUP($A2129,MAGAZZINO!$B$2:$M$100000,2,FALSE)</f>
        <v/>
      </c>
      <c r="C2129" s="29">
        <f>+VLOOKUP($A2129,MAGAZZINO!$B$2:$M$100000,3,FALSE)</f>
        <v/>
      </c>
      <c r="D2129" s="3">
        <f>+VLOOKUP($A2129,MAGAZZINO!$B$2:$M$100000,4,FALSE)</f>
        <v/>
      </c>
      <c r="E2129" s="3">
        <f>+VLOOKUP($A2129,MAGAZZINO!$B$2:$M$100000,5,FALSE)</f>
        <v/>
      </c>
      <c r="F2129" s="3">
        <f>+VLOOKUP($A2129,MAGAZZINO!$B$2:$M$100000,6,FALSE)</f>
        <v/>
      </c>
      <c r="G2129" s="3">
        <f>+VLOOKUP($A2129,MAGAZZINO!$B$2:$M$100000,7,FALSE)</f>
        <v/>
      </c>
      <c r="H2129" s="3">
        <f>+VLOOKUP($A2129,MAGAZZINO!$B$2:$M$100000,8,FALSE)</f>
        <v/>
      </c>
      <c r="I2129" s="3">
        <f>+VLOOKUP($A2129,MAGAZZINO!$B$2:$M$100000,9,FALSE)</f>
        <v/>
      </c>
      <c r="J2129" s="3">
        <f>+VLOOKUP($A2129,MAGAZZINO!$B$2:$M$100000,10,FALSE)</f>
        <v/>
      </c>
      <c r="K2129" s="3">
        <f>+VLOOKUP($A2129,MAGAZZINO!$B$2:$M$100000,11,FALSE)</f>
        <v/>
      </c>
      <c r="L2129" s="5">
        <f>+VLOOKUP($A2129,MAGAZZINO!$B$2:$M$100000,12,FALSE)</f>
        <v/>
      </c>
      <c r="M2129" s="47" t="n"/>
      <c r="N2129" s="88" t="n">
        <v>45965</v>
      </c>
      <c r="O2129" s="156" t="inlineStr">
        <is>
          <t>BIN HUMAID NATIONAL TRADING CO. (ARABIA SAUDITA)</t>
        </is>
      </c>
      <c r="P2129" s="155" t="inlineStr">
        <is>
          <t>IMPORT LICENSE N. 182480 DEL 08/01/2025                                                                                  AUT. ESPORTAZIONE MULTIPLA N. 6B/2025/2M RILASCIATA IL 26/05/2025                   (LICENZA DI SCARICO N. 6B/2025/5S RILASCIATA IL 29/10/2025)</t>
        </is>
      </c>
      <c r="Q2129" s="150" t="n"/>
      <c r="R2129" s="150" t="n"/>
      <c r="S2129" s="153" t="n"/>
    </row>
    <row r="2130" ht="36" customHeight="1">
      <c r="A2130" s="46" t="n">
        <v>4460</v>
      </c>
      <c r="B2130" s="4">
        <f>+VLOOKUP($A2130,MAGAZZINO!$B$2:$M$100000,2,FALSE)</f>
        <v/>
      </c>
      <c r="C2130" s="29">
        <f>+VLOOKUP($A2130,MAGAZZINO!$B$2:$M$100000,3,FALSE)</f>
        <v/>
      </c>
      <c r="D2130" s="3">
        <f>+VLOOKUP($A2130,MAGAZZINO!$B$2:$M$100000,4,FALSE)</f>
        <v/>
      </c>
      <c r="E2130" s="3">
        <f>+VLOOKUP($A2130,MAGAZZINO!$B$2:$M$100000,5,FALSE)</f>
        <v/>
      </c>
      <c r="F2130" s="3">
        <f>+VLOOKUP($A2130,MAGAZZINO!$B$2:$M$100000,6,FALSE)</f>
        <v/>
      </c>
      <c r="G2130" s="3">
        <f>+VLOOKUP($A2130,MAGAZZINO!$B$2:$M$100000,7,FALSE)</f>
        <v/>
      </c>
      <c r="H2130" s="3">
        <f>+VLOOKUP($A2130,MAGAZZINO!$B$2:$M$100000,8,FALSE)</f>
        <v/>
      </c>
      <c r="I2130" s="3">
        <f>+VLOOKUP($A2130,MAGAZZINO!$B$2:$M$100000,9,FALSE)</f>
        <v/>
      </c>
      <c r="J2130" s="3">
        <f>+VLOOKUP($A2130,MAGAZZINO!$B$2:$M$100000,10,FALSE)</f>
        <v/>
      </c>
      <c r="K2130" s="3">
        <f>+VLOOKUP($A2130,MAGAZZINO!$B$2:$M$100000,11,FALSE)</f>
        <v/>
      </c>
      <c r="L2130" s="5">
        <f>+VLOOKUP($A2130,MAGAZZINO!$B$2:$M$100000,12,FALSE)</f>
        <v/>
      </c>
      <c r="M2130" s="47" t="n"/>
      <c r="N2130" s="88" t="n">
        <v>45965</v>
      </c>
      <c r="O2130" s="156" t="inlineStr">
        <is>
          <t>BIN HUMAID NATIONAL TRADING CO. (ARABIA SAUDITA)</t>
        </is>
      </c>
      <c r="P2130" s="155" t="inlineStr">
        <is>
          <t>IMPORT LICENSE N. 182480 DEL 08/01/2025                                                                                  AUT. ESPORTAZIONE MULTIPLA N. 6B/2025/2M RILASCIATA IL 26/05/2025                   (LICENZA DI SCARICO N. 6B/2025/5S RILASCIATA IL 29/10/2025)</t>
        </is>
      </c>
      <c r="Q2130" s="150" t="n"/>
      <c r="R2130" s="150" t="n"/>
      <c r="S2130" s="153" t="n"/>
    </row>
    <row r="2131" ht="36" customHeight="1">
      <c r="A2131" s="46" t="n">
        <v>4461</v>
      </c>
      <c r="B2131" s="4">
        <f>+VLOOKUP($A2131,MAGAZZINO!$B$2:$M$100000,2,FALSE)</f>
        <v/>
      </c>
      <c r="C2131" s="29">
        <f>+VLOOKUP($A2131,MAGAZZINO!$B$2:$M$100000,3,FALSE)</f>
        <v/>
      </c>
      <c r="D2131" s="3">
        <f>+VLOOKUP($A2131,MAGAZZINO!$B$2:$M$100000,4,FALSE)</f>
        <v/>
      </c>
      <c r="E2131" s="3">
        <f>+VLOOKUP($A2131,MAGAZZINO!$B$2:$M$100000,5,FALSE)</f>
        <v/>
      </c>
      <c r="F2131" s="3">
        <f>+VLOOKUP($A2131,MAGAZZINO!$B$2:$M$100000,6,FALSE)</f>
        <v/>
      </c>
      <c r="G2131" s="3">
        <f>+VLOOKUP($A2131,MAGAZZINO!$B$2:$M$100000,7,FALSE)</f>
        <v/>
      </c>
      <c r="H2131" s="3">
        <f>+VLOOKUP($A2131,MAGAZZINO!$B$2:$M$100000,8,FALSE)</f>
        <v/>
      </c>
      <c r="I2131" s="3">
        <f>+VLOOKUP($A2131,MAGAZZINO!$B$2:$M$100000,9,FALSE)</f>
        <v/>
      </c>
      <c r="J2131" s="3">
        <f>+VLOOKUP($A2131,MAGAZZINO!$B$2:$M$100000,10,FALSE)</f>
        <v/>
      </c>
      <c r="K2131" s="3">
        <f>+VLOOKUP($A2131,MAGAZZINO!$B$2:$M$100000,11,FALSE)</f>
        <v/>
      </c>
      <c r="L2131" s="5">
        <f>+VLOOKUP($A2131,MAGAZZINO!$B$2:$M$100000,12,FALSE)</f>
        <v/>
      </c>
      <c r="M2131" s="47" t="n"/>
      <c r="N2131" s="88" t="n">
        <v>45965</v>
      </c>
      <c r="O2131" s="156" t="inlineStr">
        <is>
          <t>BIN HUMAID NATIONAL TRADING CO. (ARABIA SAUDITA)</t>
        </is>
      </c>
      <c r="P2131" s="155" t="inlineStr">
        <is>
          <t>IMPORT LICENSE N. 182480 DEL 08/01/2025                                                                                  AUT. ESPORTAZIONE MULTIPLA N. 6B/2025/2M RILASCIATA IL 26/05/2025                   (LICENZA DI SCARICO N. 6B/2025/5S RILASCIATA IL 29/10/2025)</t>
        </is>
      </c>
      <c r="Q2131" s="150" t="n"/>
      <c r="R2131" s="150" t="n"/>
      <c r="S2131" s="153" t="n"/>
    </row>
    <row r="2132" ht="36" customHeight="1">
      <c r="A2132" s="46" t="n">
        <v>4462</v>
      </c>
      <c r="B2132" s="4">
        <f>+VLOOKUP($A2132,MAGAZZINO!$B$2:$M$100000,2,FALSE)</f>
        <v/>
      </c>
      <c r="C2132" s="29">
        <f>+VLOOKUP($A2132,MAGAZZINO!$B$2:$M$100000,3,FALSE)</f>
        <v/>
      </c>
      <c r="D2132" s="3">
        <f>+VLOOKUP($A2132,MAGAZZINO!$B$2:$M$100000,4,FALSE)</f>
        <v/>
      </c>
      <c r="E2132" s="3">
        <f>+VLOOKUP($A2132,MAGAZZINO!$B$2:$M$100000,5,FALSE)</f>
        <v/>
      </c>
      <c r="F2132" s="3">
        <f>+VLOOKUP($A2132,MAGAZZINO!$B$2:$M$100000,6,FALSE)</f>
        <v/>
      </c>
      <c r="G2132" s="3">
        <f>+VLOOKUP($A2132,MAGAZZINO!$B$2:$M$100000,7,FALSE)</f>
        <v/>
      </c>
      <c r="H2132" s="3">
        <f>+VLOOKUP($A2132,MAGAZZINO!$B$2:$M$100000,8,FALSE)</f>
        <v/>
      </c>
      <c r="I2132" s="3">
        <f>+VLOOKUP($A2132,MAGAZZINO!$B$2:$M$100000,9,FALSE)</f>
        <v/>
      </c>
      <c r="J2132" s="3">
        <f>+VLOOKUP($A2132,MAGAZZINO!$B$2:$M$100000,10,FALSE)</f>
        <v/>
      </c>
      <c r="K2132" s="3">
        <f>+VLOOKUP($A2132,MAGAZZINO!$B$2:$M$100000,11,FALSE)</f>
        <v/>
      </c>
      <c r="L2132" s="5">
        <f>+VLOOKUP($A2132,MAGAZZINO!$B$2:$M$100000,12,FALSE)</f>
        <v/>
      </c>
      <c r="M2132" s="47" t="n"/>
      <c r="N2132" s="88" t="n">
        <v>45965</v>
      </c>
      <c r="O2132" s="156" t="inlineStr">
        <is>
          <t>BIN HUMAID NATIONAL TRADING CO. (ARABIA SAUDITA)</t>
        </is>
      </c>
      <c r="P2132" s="155" t="inlineStr">
        <is>
          <t>IMPORT LICENSE N. 182480 DEL 08/01/2025                                                                                  AUT. ESPORTAZIONE MULTIPLA N. 6B/2025/2M RILASCIATA IL 26/05/2025                   (LICENZA DI SCARICO N. 6B/2025/5S RILASCIATA IL 29/10/2025)</t>
        </is>
      </c>
      <c r="Q2132" s="150" t="n"/>
      <c r="R2132" s="150" t="n"/>
      <c r="S2132" s="153" t="n"/>
    </row>
    <row r="2133" ht="36" customHeight="1">
      <c r="A2133" s="46" t="n">
        <v>4463</v>
      </c>
      <c r="B2133" s="4">
        <f>+VLOOKUP($A2133,MAGAZZINO!$B$2:$M$100000,2,FALSE)</f>
        <v/>
      </c>
      <c r="C2133" s="29">
        <f>+VLOOKUP($A2133,MAGAZZINO!$B$2:$M$100000,3,FALSE)</f>
        <v/>
      </c>
      <c r="D2133" s="3">
        <f>+VLOOKUP($A2133,MAGAZZINO!$B$2:$M$100000,4,FALSE)</f>
        <v/>
      </c>
      <c r="E2133" s="3">
        <f>+VLOOKUP($A2133,MAGAZZINO!$B$2:$M$100000,5,FALSE)</f>
        <v/>
      </c>
      <c r="F2133" s="3">
        <f>+VLOOKUP($A2133,MAGAZZINO!$B$2:$M$100000,6,FALSE)</f>
        <v/>
      </c>
      <c r="G2133" s="3">
        <f>+VLOOKUP($A2133,MAGAZZINO!$B$2:$M$100000,7,FALSE)</f>
        <v/>
      </c>
      <c r="H2133" s="3">
        <f>+VLOOKUP($A2133,MAGAZZINO!$B$2:$M$100000,8,FALSE)</f>
        <v/>
      </c>
      <c r="I2133" s="3">
        <f>+VLOOKUP($A2133,MAGAZZINO!$B$2:$M$100000,9,FALSE)</f>
        <v/>
      </c>
      <c r="J2133" s="3">
        <f>+VLOOKUP($A2133,MAGAZZINO!$B$2:$M$100000,10,FALSE)</f>
        <v/>
      </c>
      <c r="K2133" s="3">
        <f>+VLOOKUP($A2133,MAGAZZINO!$B$2:$M$100000,11,FALSE)</f>
        <v/>
      </c>
      <c r="L2133" s="5">
        <f>+VLOOKUP($A2133,MAGAZZINO!$B$2:$M$100000,12,FALSE)</f>
        <v/>
      </c>
      <c r="M2133" s="47" t="n"/>
      <c r="N2133" s="88" t="n">
        <v>45965</v>
      </c>
      <c r="O2133" s="156" t="inlineStr">
        <is>
          <t>BIN HUMAID NATIONAL TRADING CO. (ARABIA SAUDITA)</t>
        </is>
      </c>
      <c r="P2133" s="155" t="inlineStr">
        <is>
          <t>IMPORT LICENSE N. 182480 DEL 08/01/2025                                                                                  AUT. ESPORTAZIONE MULTIPLA N. 6B/2025/2M RILASCIATA IL 26/05/2025                   (LICENZA DI SCARICO N. 6B/2025/5S RILASCIATA IL 29/10/2025)</t>
        </is>
      </c>
      <c r="Q2133" s="150" t="n"/>
      <c r="R2133" s="150" t="n"/>
      <c r="S2133" s="153" t="n"/>
    </row>
    <row r="2134" ht="36" customHeight="1">
      <c r="A2134" s="46" t="n">
        <v>4464</v>
      </c>
      <c r="B2134" s="4">
        <f>+VLOOKUP($A2134,MAGAZZINO!$B$2:$M$100000,2,FALSE)</f>
        <v/>
      </c>
      <c r="C2134" s="29">
        <f>+VLOOKUP($A2134,MAGAZZINO!$B$2:$M$100000,3,FALSE)</f>
        <v/>
      </c>
      <c r="D2134" s="3">
        <f>+VLOOKUP($A2134,MAGAZZINO!$B$2:$M$100000,4,FALSE)</f>
        <v/>
      </c>
      <c r="E2134" s="3">
        <f>+VLOOKUP($A2134,MAGAZZINO!$B$2:$M$100000,5,FALSE)</f>
        <v/>
      </c>
      <c r="F2134" s="3">
        <f>+VLOOKUP($A2134,MAGAZZINO!$B$2:$M$100000,6,FALSE)</f>
        <v/>
      </c>
      <c r="G2134" s="3">
        <f>+VLOOKUP($A2134,MAGAZZINO!$B$2:$M$100000,7,FALSE)</f>
        <v/>
      </c>
      <c r="H2134" s="3">
        <f>+VLOOKUP($A2134,MAGAZZINO!$B$2:$M$100000,8,FALSE)</f>
        <v/>
      </c>
      <c r="I2134" s="3">
        <f>+VLOOKUP($A2134,MAGAZZINO!$B$2:$M$100000,9,FALSE)</f>
        <v/>
      </c>
      <c r="J2134" s="3">
        <f>+VLOOKUP($A2134,MAGAZZINO!$B$2:$M$100000,10,FALSE)</f>
        <v/>
      </c>
      <c r="K2134" s="3">
        <f>+VLOOKUP($A2134,MAGAZZINO!$B$2:$M$100000,11,FALSE)</f>
        <v/>
      </c>
      <c r="L2134" s="5">
        <f>+VLOOKUP($A2134,MAGAZZINO!$B$2:$M$100000,12,FALSE)</f>
        <v/>
      </c>
      <c r="M2134" s="47" t="n"/>
      <c r="N2134" s="88" t="n">
        <v>45965</v>
      </c>
      <c r="O2134" s="156" t="inlineStr">
        <is>
          <t>BIN HUMAID NATIONAL TRADING CO. (ARABIA SAUDITA)</t>
        </is>
      </c>
      <c r="P2134" s="155" t="inlineStr">
        <is>
          <t>IMPORT LICENSE N. 182480 DEL 08/01/2025                                                                                  AUT. ESPORTAZIONE MULTIPLA N. 6B/2025/2M RILASCIATA IL 26/05/2025                   (LICENZA DI SCARICO N. 6B/2025/5S RILASCIATA IL 29/10/2025)</t>
        </is>
      </c>
      <c r="Q2134" s="150" t="n"/>
      <c r="R2134" s="150" t="n"/>
      <c r="S2134" s="153" t="n"/>
    </row>
    <row r="2135" ht="36" customHeight="1">
      <c r="A2135" s="46" t="n">
        <v>4465</v>
      </c>
      <c r="B2135" s="4">
        <f>+VLOOKUP($A2135,MAGAZZINO!$B$2:$M$100000,2,FALSE)</f>
        <v/>
      </c>
      <c r="C2135" s="29">
        <f>+VLOOKUP($A2135,MAGAZZINO!$B$2:$M$100000,3,FALSE)</f>
        <v/>
      </c>
      <c r="D2135" s="3">
        <f>+VLOOKUP($A2135,MAGAZZINO!$B$2:$M$100000,4,FALSE)</f>
        <v/>
      </c>
      <c r="E2135" s="3">
        <f>+VLOOKUP($A2135,MAGAZZINO!$B$2:$M$100000,5,FALSE)</f>
        <v/>
      </c>
      <c r="F2135" s="3">
        <f>+VLOOKUP($A2135,MAGAZZINO!$B$2:$M$100000,6,FALSE)</f>
        <v/>
      </c>
      <c r="G2135" s="3">
        <f>+VLOOKUP($A2135,MAGAZZINO!$B$2:$M$100000,7,FALSE)</f>
        <v/>
      </c>
      <c r="H2135" s="3">
        <f>+VLOOKUP($A2135,MAGAZZINO!$B$2:$M$100000,8,FALSE)</f>
        <v/>
      </c>
      <c r="I2135" s="3">
        <f>+VLOOKUP($A2135,MAGAZZINO!$B$2:$M$100000,9,FALSE)</f>
        <v/>
      </c>
      <c r="J2135" s="3">
        <f>+VLOOKUP($A2135,MAGAZZINO!$B$2:$M$100000,10,FALSE)</f>
        <v/>
      </c>
      <c r="K2135" s="3">
        <f>+VLOOKUP($A2135,MAGAZZINO!$B$2:$M$100000,11,FALSE)</f>
        <v/>
      </c>
      <c r="L2135" s="5">
        <f>+VLOOKUP($A2135,MAGAZZINO!$B$2:$M$100000,12,FALSE)</f>
        <v/>
      </c>
      <c r="M2135" s="47" t="n"/>
      <c r="N2135" s="88" t="n">
        <v>45965</v>
      </c>
      <c r="O2135" s="156" t="inlineStr">
        <is>
          <t>BIN HUMAID NATIONAL TRADING CO. (ARABIA SAUDITA)</t>
        </is>
      </c>
      <c r="P2135" s="155" t="inlineStr">
        <is>
          <t>IMPORT LICENSE N. 182480 DEL 08/01/2025                                                                                  AUT. ESPORTAZIONE MULTIPLA N. 6B/2025/2M RILASCIATA IL 26/05/2025                   (LICENZA DI SCARICO N. 6B/2025/5S RILASCIATA IL 29/10/2025)</t>
        </is>
      </c>
      <c r="Q2135" s="150" t="n"/>
      <c r="R2135" s="150" t="n"/>
      <c r="S2135" s="153" t="n"/>
    </row>
    <row r="2136" ht="36" customHeight="1">
      <c r="A2136" s="46" t="n">
        <v>4466</v>
      </c>
      <c r="B2136" s="4">
        <f>+VLOOKUP($A2136,MAGAZZINO!$B$2:$M$100000,2,FALSE)</f>
        <v/>
      </c>
      <c r="C2136" s="29">
        <f>+VLOOKUP($A2136,MAGAZZINO!$B$2:$M$100000,3,FALSE)</f>
        <v/>
      </c>
      <c r="D2136" s="3">
        <f>+VLOOKUP($A2136,MAGAZZINO!$B$2:$M$100000,4,FALSE)</f>
        <v/>
      </c>
      <c r="E2136" s="3">
        <f>+VLOOKUP($A2136,MAGAZZINO!$B$2:$M$100000,5,FALSE)</f>
        <v/>
      </c>
      <c r="F2136" s="3">
        <f>+VLOOKUP($A2136,MAGAZZINO!$B$2:$M$100000,6,FALSE)</f>
        <v/>
      </c>
      <c r="G2136" s="3">
        <f>+VLOOKUP($A2136,MAGAZZINO!$B$2:$M$100000,7,FALSE)</f>
        <v/>
      </c>
      <c r="H2136" s="3">
        <f>+VLOOKUP($A2136,MAGAZZINO!$B$2:$M$100000,8,FALSE)</f>
        <v/>
      </c>
      <c r="I2136" s="3">
        <f>+VLOOKUP($A2136,MAGAZZINO!$B$2:$M$100000,9,FALSE)</f>
        <v/>
      </c>
      <c r="J2136" s="3">
        <f>+VLOOKUP($A2136,MAGAZZINO!$B$2:$M$100000,10,FALSE)</f>
        <v/>
      </c>
      <c r="K2136" s="3">
        <f>+VLOOKUP($A2136,MAGAZZINO!$B$2:$M$100000,11,FALSE)</f>
        <v/>
      </c>
      <c r="L2136" s="5">
        <f>+VLOOKUP($A2136,MAGAZZINO!$B$2:$M$100000,12,FALSE)</f>
        <v/>
      </c>
      <c r="M2136" s="47" t="n"/>
      <c r="N2136" s="88" t="n">
        <v>45965</v>
      </c>
      <c r="O2136" s="156" t="inlineStr">
        <is>
          <t>BIN HUMAID NATIONAL TRADING CO. (ARABIA SAUDITA)</t>
        </is>
      </c>
      <c r="P2136" s="155" t="inlineStr">
        <is>
          <t>IMPORT LICENSE N. 182480 DEL 08/01/2025                                                                                  AUT. ESPORTAZIONE MULTIPLA N. 6B/2025/2M RILASCIATA IL 26/05/2025                   (LICENZA DI SCARICO N. 6B/2025/5S RILASCIATA IL 29/10/2025)</t>
        </is>
      </c>
      <c r="Q2136" s="150" t="n"/>
      <c r="R2136" s="150" t="n"/>
      <c r="S2136" s="153" t="n"/>
    </row>
    <row r="2137" ht="36" customHeight="1">
      <c r="A2137" s="46" t="n">
        <v>4467</v>
      </c>
      <c r="B2137" s="4">
        <f>+VLOOKUP($A2137,MAGAZZINO!$B$2:$M$100000,2,FALSE)</f>
        <v/>
      </c>
      <c r="C2137" s="29">
        <f>+VLOOKUP($A2137,MAGAZZINO!$B$2:$M$100000,3,FALSE)</f>
        <v/>
      </c>
      <c r="D2137" s="3">
        <f>+VLOOKUP($A2137,MAGAZZINO!$B$2:$M$100000,4,FALSE)</f>
        <v/>
      </c>
      <c r="E2137" s="3">
        <f>+VLOOKUP($A2137,MAGAZZINO!$B$2:$M$100000,5,FALSE)</f>
        <v/>
      </c>
      <c r="F2137" s="3">
        <f>+VLOOKUP($A2137,MAGAZZINO!$B$2:$M$100000,6,FALSE)</f>
        <v/>
      </c>
      <c r="G2137" s="3">
        <f>+VLOOKUP($A2137,MAGAZZINO!$B$2:$M$100000,7,FALSE)</f>
        <v/>
      </c>
      <c r="H2137" s="3">
        <f>+VLOOKUP($A2137,MAGAZZINO!$B$2:$M$100000,8,FALSE)</f>
        <v/>
      </c>
      <c r="I2137" s="3">
        <f>+VLOOKUP($A2137,MAGAZZINO!$B$2:$M$100000,9,FALSE)</f>
        <v/>
      </c>
      <c r="J2137" s="3">
        <f>+VLOOKUP($A2137,MAGAZZINO!$B$2:$M$100000,10,FALSE)</f>
        <v/>
      </c>
      <c r="K2137" s="3">
        <f>+VLOOKUP($A2137,MAGAZZINO!$B$2:$M$100000,11,FALSE)</f>
        <v/>
      </c>
      <c r="L2137" s="5">
        <f>+VLOOKUP($A2137,MAGAZZINO!$B$2:$M$100000,12,FALSE)</f>
        <v/>
      </c>
      <c r="M2137" s="47" t="n"/>
      <c r="N2137" s="88" t="n">
        <v>45965</v>
      </c>
      <c r="O2137" s="156" t="inlineStr">
        <is>
          <t>BIN HUMAID NATIONAL TRADING CO. (ARABIA SAUDITA)</t>
        </is>
      </c>
      <c r="P2137" s="155" t="inlineStr">
        <is>
          <t>IMPORT LICENSE N. 182480 DEL 08/01/2025                                                                                  AUT. ESPORTAZIONE MULTIPLA N. 6B/2025/2M RILASCIATA IL 26/05/2025                   (LICENZA DI SCARICO N. 6B/2025/5S RILASCIATA IL 29/10/2025)</t>
        </is>
      </c>
      <c r="Q2137" s="150" t="n"/>
      <c r="R2137" s="150" t="n"/>
      <c r="S2137" s="153" t="n"/>
    </row>
    <row r="2138" ht="36" customHeight="1">
      <c r="A2138" s="46" t="n">
        <v>4468</v>
      </c>
      <c r="B2138" s="4">
        <f>+VLOOKUP($A2138,MAGAZZINO!$B$2:$M$100000,2,FALSE)</f>
        <v/>
      </c>
      <c r="C2138" s="29">
        <f>+VLOOKUP($A2138,MAGAZZINO!$B$2:$M$100000,3,FALSE)</f>
        <v/>
      </c>
      <c r="D2138" s="3">
        <f>+VLOOKUP($A2138,MAGAZZINO!$B$2:$M$100000,4,FALSE)</f>
        <v/>
      </c>
      <c r="E2138" s="3">
        <f>+VLOOKUP($A2138,MAGAZZINO!$B$2:$M$100000,5,FALSE)</f>
        <v/>
      </c>
      <c r="F2138" s="3">
        <f>+VLOOKUP($A2138,MAGAZZINO!$B$2:$M$100000,6,FALSE)</f>
        <v/>
      </c>
      <c r="G2138" s="3">
        <f>+VLOOKUP($A2138,MAGAZZINO!$B$2:$M$100000,7,FALSE)</f>
        <v/>
      </c>
      <c r="H2138" s="3">
        <f>+VLOOKUP($A2138,MAGAZZINO!$B$2:$M$100000,8,FALSE)</f>
        <v/>
      </c>
      <c r="I2138" s="3">
        <f>+VLOOKUP($A2138,MAGAZZINO!$B$2:$M$100000,9,FALSE)</f>
        <v/>
      </c>
      <c r="J2138" s="3">
        <f>+VLOOKUP($A2138,MAGAZZINO!$B$2:$M$100000,10,FALSE)</f>
        <v/>
      </c>
      <c r="K2138" s="3">
        <f>+VLOOKUP($A2138,MAGAZZINO!$B$2:$M$100000,11,FALSE)</f>
        <v/>
      </c>
      <c r="L2138" s="5">
        <f>+VLOOKUP($A2138,MAGAZZINO!$B$2:$M$100000,12,FALSE)</f>
        <v/>
      </c>
      <c r="M2138" s="47" t="n"/>
      <c r="N2138" s="88" t="n">
        <v>45965</v>
      </c>
      <c r="O2138" s="156" t="inlineStr">
        <is>
          <t>BIN HUMAID NATIONAL TRADING CO. (ARABIA SAUDITA)</t>
        </is>
      </c>
      <c r="P2138" s="155" t="inlineStr">
        <is>
          <t>IMPORT LICENSE N. 182480 DEL 08/01/2025                                                                                  AUT. ESPORTAZIONE MULTIPLA N. 6B/2025/2M RILASCIATA IL 26/05/2025                   (LICENZA DI SCARICO N. 6B/2025/5S RILASCIATA IL 29/10/2025)</t>
        </is>
      </c>
      <c r="Q2138" s="150" t="n"/>
      <c r="R2138" s="150" t="n"/>
      <c r="S2138" s="153" t="n"/>
    </row>
    <row r="2139" ht="36" customHeight="1">
      <c r="A2139" s="46" t="n">
        <v>4469</v>
      </c>
      <c r="B2139" s="4">
        <f>+VLOOKUP($A2139,MAGAZZINO!$B$2:$M$100000,2,FALSE)</f>
        <v/>
      </c>
      <c r="C2139" s="29">
        <f>+VLOOKUP($A2139,MAGAZZINO!$B$2:$M$100000,3,FALSE)</f>
        <v/>
      </c>
      <c r="D2139" s="3">
        <f>+VLOOKUP($A2139,MAGAZZINO!$B$2:$M$100000,4,FALSE)</f>
        <v/>
      </c>
      <c r="E2139" s="3">
        <f>+VLOOKUP($A2139,MAGAZZINO!$B$2:$M$100000,5,FALSE)</f>
        <v/>
      </c>
      <c r="F2139" s="3">
        <f>+VLOOKUP($A2139,MAGAZZINO!$B$2:$M$100000,6,FALSE)</f>
        <v/>
      </c>
      <c r="G2139" s="3">
        <f>+VLOOKUP($A2139,MAGAZZINO!$B$2:$M$100000,7,FALSE)</f>
        <v/>
      </c>
      <c r="H2139" s="3">
        <f>+VLOOKUP($A2139,MAGAZZINO!$B$2:$M$100000,8,FALSE)</f>
        <v/>
      </c>
      <c r="I2139" s="3">
        <f>+VLOOKUP($A2139,MAGAZZINO!$B$2:$M$100000,9,FALSE)</f>
        <v/>
      </c>
      <c r="J2139" s="3">
        <f>+VLOOKUP($A2139,MAGAZZINO!$B$2:$M$100000,10,FALSE)</f>
        <v/>
      </c>
      <c r="K2139" s="3">
        <f>+VLOOKUP($A2139,MAGAZZINO!$B$2:$M$100000,11,FALSE)</f>
        <v/>
      </c>
      <c r="L2139" s="5">
        <f>+VLOOKUP($A2139,MAGAZZINO!$B$2:$M$100000,12,FALSE)</f>
        <v/>
      </c>
      <c r="M2139" s="47" t="n"/>
      <c r="N2139" s="88" t="n">
        <v>45965</v>
      </c>
      <c r="O2139" s="156" t="inlineStr">
        <is>
          <t>BIN HUMAID NATIONAL TRADING CO. (ARABIA SAUDITA)</t>
        </is>
      </c>
      <c r="P2139" s="155" t="inlineStr">
        <is>
          <t>IMPORT LICENSE N. 182480 DEL 08/01/2025                                                                                  AUT. ESPORTAZIONE MULTIPLA N. 6B/2025/2M RILASCIATA IL 26/05/2025                   (LICENZA DI SCARICO N. 6B/2025/5S RILASCIATA IL 29/10/2025)</t>
        </is>
      </c>
      <c r="Q2139" s="150" t="n"/>
      <c r="R2139" s="150" t="n"/>
      <c r="S2139" s="153" t="n"/>
    </row>
    <row r="2140" ht="36" customHeight="1">
      <c r="A2140" s="46" t="n">
        <v>4470</v>
      </c>
      <c r="B2140" s="4">
        <f>+VLOOKUP($A2140,MAGAZZINO!$B$2:$M$100000,2,FALSE)</f>
        <v/>
      </c>
      <c r="C2140" s="29">
        <f>+VLOOKUP($A2140,MAGAZZINO!$B$2:$M$100000,3,FALSE)</f>
        <v/>
      </c>
      <c r="D2140" s="3">
        <f>+VLOOKUP($A2140,MAGAZZINO!$B$2:$M$100000,4,FALSE)</f>
        <v/>
      </c>
      <c r="E2140" s="3">
        <f>+VLOOKUP($A2140,MAGAZZINO!$B$2:$M$100000,5,FALSE)</f>
        <v/>
      </c>
      <c r="F2140" s="3">
        <f>+VLOOKUP($A2140,MAGAZZINO!$B$2:$M$100000,6,FALSE)</f>
        <v/>
      </c>
      <c r="G2140" s="3">
        <f>+VLOOKUP($A2140,MAGAZZINO!$B$2:$M$100000,7,FALSE)</f>
        <v/>
      </c>
      <c r="H2140" s="3">
        <f>+VLOOKUP($A2140,MAGAZZINO!$B$2:$M$100000,8,FALSE)</f>
        <v/>
      </c>
      <c r="I2140" s="3">
        <f>+VLOOKUP($A2140,MAGAZZINO!$B$2:$M$100000,9,FALSE)</f>
        <v/>
      </c>
      <c r="J2140" s="3">
        <f>+VLOOKUP($A2140,MAGAZZINO!$B$2:$M$100000,10,FALSE)</f>
        <v/>
      </c>
      <c r="K2140" s="3">
        <f>+VLOOKUP($A2140,MAGAZZINO!$B$2:$M$100000,11,FALSE)</f>
        <v/>
      </c>
      <c r="L2140" s="5">
        <f>+VLOOKUP($A2140,MAGAZZINO!$B$2:$M$100000,12,FALSE)</f>
        <v/>
      </c>
      <c r="M2140" s="47" t="n"/>
      <c r="N2140" s="88" t="n">
        <v>45965</v>
      </c>
      <c r="O2140" s="156" t="inlineStr">
        <is>
          <t>BIN HUMAID NATIONAL TRADING CO. (ARABIA SAUDITA)</t>
        </is>
      </c>
      <c r="P2140" s="155" t="inlineStr">
        <is>
          <t>IMPORT LICENSE N. 182480 DEL 08/01/2025                                                                                  AUT. ESPORTAZIONE MULTIPLA N. 6B/2025/2M RILASCIATA IL 26/05/2025                   (LICENZA DI SCARICO N. 6B/2025/5S RILASCIATA IL 29/10/2025)</t>
        </is>
      </c>
      <c r="Q2140" s="150" t="n"/>
      <c r="R2140" s="150" t="n"/>
      <c r="S2140" s="153" t="n"/>
    </row>
    <row r="2141" ht="36" customHeight="1">
      <c r="A2141" s="46" t="n">
        <v>4471</v>
      </c>
      <c r="B2141" s="4">
        <f>+VLOOKUP($A2141,MAGAZZINO!$B$2:$M$100000,2,FALSE)</f>
        <v/>
      </c>
      <c r="C2141" s="29">
        <f>+VLOOKUP($A2141,MAGAZZINO!$B$2:$M$100000,3,FALSE)</f>
        <v/>
      </c>
      <c r="D2141" s="3">
        <f>+VLOOKUP($A2141,MAGAZZINO!$B$2:$M$100000,4,FALSE)</f>
        <v/>
      </c>
      <c r="E2141" s="3">
        <f>+VLOOKUP($A2141,MAGAZZINO!$B$2:$M$100000,5,FALSE)</f>
        <v/>
      </c>
      <c r="F2141" s="3">
        <f>+VLOOKUP($A2141,MAGAZZINO!$B$2:$M$100000,6,FALSE)</f>
        <v/>
      </c>
      <c r="G2141" s="3">
        <f>+VLOOKUP($A2141,MAGAZZINO!$B$2:$M$100000,7,FALSE)</f>
        <v/>
      </c>
      <c r="H2141" s="3">
        <f>+VLOOKUP($A2141,MAGAZZINO!$B$2:$M$100000,8,FALSE)</f>
        <v/>
      </c>
      <c r="I2141" s="3">
        <f>+VLOOKUP($A2141,MAGAZZINO!$B$2:$M$100000,9,FALSE)</f>
        <v/>
      </c>
      <c r="J2141" s="3">
        <f>+VLOOKUP($A2141,MAGAZZINO!$B$2:$M$100000,10,FALSE)</f>
        <v/>
      </c>
      <c r="K2141" s="3">
        <f>+VLOOKUP($A2141,MAGAZZINO!$B$2:$M$100000,11,FALSE)</f>
        <v/>
      </c>
      <c r="L2141" s="5">
        <f>+VLOOKUP($A2141,MAGAZZINO!$B$2:$M$100000,12,FALSE)</f>
        <v/>
      </c>
      <c r="M2141" s="47" t="n"/>
      <c r="N2141" s="88" t="n">
        <v>45965</v>
      </c>
      <c r="O2141" s="156" t="inlineStr">
        <is>
          <t>BIN HUMAID NATIONAL TRADING CO. (ARABIA SAUDITA)</t>
        </is>
      </c>
      <c r="P2141" s="155" t="inlineStr">
        <is>
          <t>IMPORT LICENSE N. 182480 DEL 08/01/2025                                                                                  AUT. ESPORTAZIONE MULTIPLA N. 6B/2025/2M RILASCIATA IL 26/05/2025                   (LICENZA DI SCARICO N. 6B/2025/5S RILASCIATA IL 29/10/2025)</t>
        </is>
      </c>
      <c r="Q2141" s="150" t="n"/>
      <c r="R2141" s="150" t="n"/>
      <c r="S2141" s="153" t="n"/>
    </row>
    <row r="2142" ht="36" customHeight="1">
      <c r="A2142" s="46" t="n">
        <v>4472</v>
      </c>
      <c r="B2142" s="4">
        <f>+VLOOKUP($A2142,MAGAZZINO!$B$2:$M$100000,2,FALSE)</f>
        <v/>
      </c>
      <c r="C2142" s="29">
        <f>+VLOOKUP($A2142,MAGAZZINO!$B$2:$M$100000,3,FALSE)</f>
        <v/>
      </c>
      <c r="D2142" s="3">
        <f>+VLOOKUP($A2142,MAGAZZINO!$B$2:$M$100000,4,FALSE)</f>
        <v/>
      </c>
      <c r="E2142" s="3">
        <f>+VLOOKUP($A2142,MAGAZZINO!$B$2:$M$100000,5,FALSE)</f>
        <v/>
      </c>
      <c r="F2142" s="3">
        <f>+VLOOKUP($A2142,MAGAZZINO!$B$2:$M$100000,6,FALSE)</f>
        <v/>
      </c>
      <c r="G2142" s="3">
        <f>+VLOOKUP($A2142,MAGAZZINO!$B$2:$M$100000,7,FALSE)</f>
        <v/>
      </c>
      <c r="H2142" s="3">
        <f>+VLOOKUP($A2142,MAGAZZINO!$B$2:$M$100000,8,FALSE)</f>
        <v/>
      </c>
      <c r="I2142" s="3">
        <f>+VLOOKUP($A2142,MAGAZZINO!$B$2:$M$100000,9,FALSE)</f>
        <v/>
      </c>
      <c r="J2142" s="3">
        <f>+VLOOKUP($A2142,MAGAZZINO!$B$2:$M$100000,10,FALSE)</f>
        <v/>
      </c>
      <c r="K2142" s="3">
        <f>+VLOOKUP($A2142,MAGAZZINO!$B$2:$M$100000,11,FALSE)</f>
        <v/>
      </c>
      <c r="L2142" s="5">
        <f>+VLOOKUP($A2142,MAGAZZINO!$B$2:$M$100000,12,FALSE)</f>
        <v/>
      </c>
      <c r="M2142" s="47" t="n"/>
      <c r="N2142" s="88" t="n">
        <v>45965</v>
      </c>
      <c r="O2142" s="156" t="inlineStr">
        <is>
          <t>BIN HUMAID NATIONAL TRADING CO. (ARABIA SAUDITA)</t>
        </is>
      </c>
      <c r="P2142" s="155" t="inlineStr">
        <is>
          <t>IMPORT LICENSE N. 182480 DEL 08/01/2025                                                                                  AUT. ESPORTAZIONE MULTIPLA N. 6B/2025/2M RILASCIATA IL 26/05/2025                   (LICENZA DI SCARICO N. 6B/2025/5S RILASCIATA IL 29/10/2025)</t>
        </is>
      </c>
      <c r="Q2142" s="150" t="n"/>
      <c r="R2142" s="150" t="n"/>
      <c r="S2142" s="153" t="n"/>
    </row>
    <row r="2143" ht="36" customHeight="1">
      <c r="A2143" s="46" t="n">
        <v>4473</v>
      </c>
      <c r="B2143" s="4">
        <f>+VLOOKUP($A2143,MAGAZZINO!$B$2:$M$100000,2,FALSE)</f>
        <v/>
      </c>
      <c r="C2143" s="29">
        <f>+VLOOKUP($A2143,MAGAZZINO!$B$2:$M$100000,3,FALSE)</f>
        <v/>
      </c>
      <c r="D2143" s="3">
        <f>+VLOOKUP($A2143,MAGAZZINO!$B$2:$M$100000,4,FALSE)</f>
        <v/>
      </c>
      <c r="E2143" s="3">
        <f>+VLOOKUP($A2143,MAGAZZINO!$B$2:$M$100000,5,FALSE)</f>
        <v/>
      </c>
      <c r="F2143" s="3">
        <f>+VLOOKUP($A2143,MAGAZZINO!$B$2:$M$100000,6,FALSE)</f>
        <v/>
      </c>
      <c r="G2143" s="3">
        <f>+VLOOKUP($A2143,MAGAZZINO!$B$2:$M$100000,7,FALSE)</f>
        <v/>
      </c>
      <c r="H2143" s="3">
        <f>+VLOOKUP($A2143,MAGAZZINO!$B$2:$M$100000,8,FALSE)</f>
        <v/>
      </c>
      <c r="I2143" s="3">
        <f>+VLOOKUP($A2143,MAGAZZINO!$B$2:$M$100000,9,FALSE)</f>
        <v/>
      </c>
      <c r="J2143" s="3">
        <f>+VLOOKUP($A2143,MAGAZZINO!$B$2:$M$100000,10,FALSE)</f>
        <v/>
      </c>
      <c r="K2143" s="3">
        <f>+VLOOKUP($A2143,MAGAZZINO!$B$2:$M$100000,11,FALSE)</f>
        <v/>
      </c>
      <c r="L2143" s="5">
        <f>+VLOOKUP($A2143,MAGAZZINO!$B$2:$M$100000,12,FALSE)</f>
        <v/>
      </c>
      <c r="M2143" s="47" t="n"/>
      <c r="N2143" s="88" t="n">
        <v>45965</v>
      </c>
      <c r="O2143" s="156" t="inlineStr">
        <is>
          <t>BIN HUMAID NATIONAL TRADING CO. (ARABIA SAUDITA)</t>
        </is>
      </c>
      <c r="P2143" s="155" t="inlineStr">
        <is>
          <t>IMPORT LICENSE N. 182480 DEL 08/01/2025                                                                                  AUT. ESPORTAZIONE MULTIPLA N. 6B/2025/2M RILASCIATA IL 26/05/2025                   (LICENZA DI SCARICO N. 6B/2025/5S RILASCIATA IL 29/10/2025)</t>
        </is>
      </c>
      <c r="Q2143" s="150" t="n"/>
      <c r="R2143" s="150" t="n"/>
      <c r="S2143" s="153" t="n"/>
    </row>
    <row r="2144" ht="36" customHeight="1">
      <c r="A2144" s="46" t="n">
        <v>4474</v>
      </c>
      <c r="B2144" s="4">
        <f>+VLOOKUP($A2144,MAGAZZINO!$B$2:$M$100000,2,FALSE)</f>
        <v/>
      </c>
      <c r="C2144" s="29">
        <f>+VLOOKUP($A2144,MAGAZZINO!$B$2:$M$100000,3,FALSE)</f>
        <v/>
      </c>
      <c r="D2144" s="3">
        <f>+VLOOKUP($A2144,MAGAZZINO!$B$2:$M$100000,4,FALSE)</f>
        <v/>
      </c>
      <c r="E2144" s="3">
        <f>+VLOOKUP($A2144,MAGAZZINO!$B$2:$M$100000,5,FALSE)</f>
        <v/>
      </c>
      <c r="F2144" s="3">
        <f>+VLOOKUP($A2144,MAGAZZINO!$B$2:$M$100000,6,FALSE)</f>
        <v/>
      </c>
      <c r="G2144" s="3">
        <f>+VLOOKUP($A2144,MAGAZZINO!$B$2:$M$100000,7,FALSE)</f>
        <v/>
      </c>
      <c r="H2144" s="3">
        <f>+VLOOKUP($A2144,MAGAZZINO!$B$2:$M$100000,8,FALSE)</f>
        <v/>
      </c>
      <c r="I2144" s="3">
        <f>+VLOOKUP($A2144,MAGAZZINO!$B$2:$M$100000,9,FALSE)</f>
        <v/>
      </c>
      <c r="J2144" s="3">
        <f>+VLOOKUP($A2144,MAGAZZINO!$B$2:$M$100000,10,FALSE)</f>
        <v/>
      </c>
      <c r="K2144" s="3">
        <f>+VLOOKUP($A2144,MAGAZZINO!$B$2:$M$100000,11,FALSE)</f>
        <v/>
      </c>
      <c r="L2144" s="5">
        <f>+VLOOKUP($A2144,MAGAZZINO!$B$2:$M$100000,12,FALSE)</f>
        <v/>
      </c>
      <c r="M2144" s="47" t="n"/>
      <c r="N2144" s="88" t="n">
        <v>45965</v>
      </c>
      <c r="O2144" s="156" t="inlineStr">
        <is>
          <t>BIN HUMAID NATIONAL TRADING CO. (ARABIA SAUDITA)</t>
        </is>
      </c>
      <c r="P2144" s="155" t="inlineStr">
        <is>
          <t>IMPORT LICENSE N. 182480 DEL 08/01/2025                                                                                  AUT. ESPORTAZIONE MULTIPLA N. 6B/2025/2M RILASCIATA IL 26/05/2025                   (LICENZA DI SCARICO N. 6B/2025/5S RILASCIATA IL 29/10/2025)</t>
        </is>
      </c>
      <c r="Q2144" s="150" t="n"/>
      <c r="R2144" s="150" t="n"/>
      <c r="S2144" s="153" t="n"/>
    </row>
    <row r="2145" ht="36" customHeight="1">
      <c r="A2145" s="46" t="n">
        <v>4475</v>
      </c>
      <c r="B2145" s="4">
        <f>+VLOOKUP($A2145,MAGAZZINO!$B$2:$M$100000,2,FALSE)</f>
        <v/>
      </c>
      <c r="C2145" s="29">
        <f>+VLOOKUP($A2145,MAGAZZINO!$B$2:$M$100000,3,FALSE)</f>
        <v/>
      </c>
      <c r="D2145" s="3">
        <f>+VLOOKUP($A2145,MAGAZZINO!$B$2:$M$100000,4,FALSE)</f>
        <v/>
      </c>
      <c r="E2145" s="3">
        <f>+VLOOKUP($A2145,MAGAZZINO!$B$2:$M$100000,5,FALSE)</f>
        <v/>
      </c>
      <c r="F2145" s="3">
        <f>+VLOOKUP($A2145,MAGAZZINO!$B$2:$M$100000,6,FALSE)</f>
        <v/>
      </c>
      <c r="G2145" s="3">
        <f>+VLOOKUP($A2145,MAGAZZINO!$B$2:$M$100000,7,FALSE)</f>
        <v/>
      </c>
      <c r="H2145" s="3">
        <f>+VLOOKUP($A2145,MAGAZZINO!$B$2:$M$100000,8,FALSE)</f>
        <v/>
      </c>
      <c r="I2145" s="3">
        <f>+VLOOKUP($A2145,MAGAZZINO!$B$2:$M$100000,9,FALSE)</f>
        <v/>
      </c>
      <c r="J2145" s="3">
        <f>+VLOOKUP($A2145,MAGAZZINO!$B$2:$M$100000,10,FALSE)</f>
        <v/>
      </c>
      <c r="K2145" s="3">
        <f>+VLOOKUP($A2145,MAGAZZINO!$B$2:$M$100000,11,FALSE)</f>
        <v/>
      </c>
      <c r="L2145" s="5">
        <f>+VLOOKUP($A2145,MAGAZZINO!$B$2:$M$100000,12,FALSE)</f>
        <v/>
      </c>
      <c r="M2145" s="47" t="n"/>
      <c r="N2145" s="88" t="n">
        <v>45965</v>
      </c>
      <c r="O2145" s="156" t="inlineStr">
        <is>
          <t>BIN HUMAID NATIONAL TRADING CO. (ARABIA SAUDITA)</t>
        </is>
      </c>
      <c r="P2145" s="155" t="inlineStr">
        <is>
          <t>IMPORT LICENSE N. 182480 DEL 08/01/2025                                                                                  AUT. ESPORTAZIONE MULTIPLA N. 6B/2025/2M RILASCIATA IL 26/05/2025                   (LICENZA DI SCARICO N. 6B/2025/5S RILASCIATA IL 29/10/2025)</t>
        </is>
      </c>
      <c r="Q2145" s="150" t="n"/>
      <c r="R2145" s="150" t="n"/>
      <c r="S2145" s="153" t="n"/>
    </row>
    <row r="2146" ht="36" customHeight="1">
      <c r="A2146" s="46" t="n">
        <v>4476</v>
      </c>
      <c r="B2146" s="4">
        <f>+VLOOKUP($A2146,MAGAZZINO!$B$2:$M$100000,2,FALSE)</f>
        <v/>
      </c>
      <c r="C2146" s="29">
        <f>+VLOOKUP($A2146,MAGAZZINO!$B$2:$M$100000,3,FALSE)</f>
        <v/>
      </c>
      <c r="D2146" s="3">
        <f>+VLOOKUP($A2146,MAGAZZINO!$B$2:$M$100000,4,FALSE)</f>
        <v/>
      </c>
      <c r="E2146" s="3">
        <f>+VLOOKUP($A2146,MAGAZZINO!$B$2:$M$100000,5,FALSE)</f>
        <v/>
      </c>
      <c r="F2146" s="3">
        <f>+VLOOKUP($A2146,MAGAZZINO!$B$2:$M$100000,6,FALSE)</f>
        <v/>
      </c>
      <c r="G2146" s="3">
        <f>+VLOOKUP($A2146,MAGAZZINO!$B$2:$M$100000,7,FALSE)</f>
        <v/>
      </c>
      <c r="H2146" s="3">
        <f>+VLOOKUP($A2146,MAGAZZINO!$B$2:$M$100000,8,FALSE)</f>
        <v/>
      </c>
      <c r="I2146" s="3">
        <f>+VLOOKUP($A2146,MAGAZZINO!$B$2:$M$100000,9,FALSE)</f>
        <v/>
      </c>
      <c r="J2146" s="3">
        <f>+VLOOKUP($A2146,MAGAZZINO!$B$2:$M$100000,10,FALSE)</f>
        <v/>
      </c>
      <c r="K2146" s="3">
        <f>+VLOOKUP($A2146,MAGAZZINO!$B$2:$M$100000,11,FALSE)</f>
        <v/>
      </c>
      <c r="L2146" s="5">
        <f>+VLOOKUP($A2146,MAGAZZINO!$B$2:$M$100000,12,FALSE)</f>
        <v/>
      </c>
      <c r="M2146" s="47" t="n"/>
      <c r="N2146" s="88" t="n">
        <v>45965</v>
      </c>
      <c r="O2146" s="156" t="inlineStr">
        <is>
          <t>BIN HUMAID NATIONAL TRADING CO. (ARABIA SAUDITA)</t>
        </is>
      </c>
      <c r="P2146" s="155" t="inlineStr">
        <is>
          <t>IMPORT LICENSE N. 182480 DEL 08/01/2025                                                                                  AUT. ESPORTAZIONE MULTIPLA N. 6B/2025/2M RILASCIATA IL 26/05/2025                   (LICENZA DI SCARICO N. 6B/2025/5S RILASCIATA IL 29/10/2025)</t>
        </is>
      </c>
      <c r="Q2146" s="150" t="n"/>
      <c r="R2146" s="150" t="n"/>
      <c r="S2146" s="153" t="n"/>
    </row>
    <row r="2147" ht="36" customHeight="1">
      <c r="A2147" s="46" t="n">
        <v>4477</v>
      </c>
      <c r="B2147" s="4">
        <f>+VLOOKUP($A2147,MAGAZZINO!$B$2:$M$100000,2,FALSE)</f>
        <v/>
      </c>
      <c r="C2147" s="29">
        <f>+VLOOKUP($A2147,MAGAZZINO!$B$2:$M$100000,3,FALSE)</f>
        <v/>
      </c>
      <c r="D2147" s="3">
        <f>+VLOOKUP($A2147,MAGAZZINO!$B$2:$M$100000,4,FALSE)</f>
        <v/>
      </c>
      <c r="E2147" s="3">
        <f>+VLOOKUP($A2147,MAGAZZINO!$B$2:$M$100000,5,FALSE)</f>
        <v/>
      </c>
      <c r="F2147" s="3">
        <f>+VLOOKUP($A2147,MAGAZZINO!$B$2:$M$100000,6,FALSE)</f>
        <v/>
      </c>
      <c r="G2147" s="3">
        <f>+VLOOKUP($A2147,MAGAZZINO!$B$2:$M$100000,7,FALSE)</f>
        <v/>
      </c>
      <c r="H2147" s="3">
        <f>+VLOOKUP($A2147,MAGAZZINO!$B$2:$M$100000,8,FALSE)</f>
        <v/>
      </c>
      <c r="I2147" s="3">
        <f>+VLOOKUP($A2147,MAGAZZINO!$B$2:$M$100000,9,FALSE)</f>
        <v/>
      </c>
      <c r="J2147" s="3">
        <f>+VLOOKUP($A2147,MAGAZZINO!$B$2:$M$100000,10,FALSE)</f>
        <v/>
      </c>
      <c r="K2147" s="3">
        <f>+VLOOKUP($A2147,MAGAZZINO!$B$2:$M$100000,11,FALSE)</f>
        <v/>
      </c>
      <c r="L2147" s="5">
        <f>+VLOOKUP($A2147,MAGAZZINO!$B$2:$M$100000,12,FALSE)</f>
        <v/>
      </c>
      <c r="M2147" s="47" t="n"/>
      <c r="N2147" s="88" t="n">
        <v>45965</v>
      </c>
      <c r="O2147" s="156" t="inlineStr">
        <is>
          <t>BIN HUMAID NATIONAL TRADING CO. (ARABIA SAUDITA)</t>
        </is>
      </c>
      <c r="P2147" s="155" t="inlineStr">
        <is>
          <t>IMPORT LICENSE N. 182480 DEL 08/01/2025                                                                                  AUT. ESPORTAZIONE MULTIPLA N. 6B/2025/2M RILASCIATA IL 26/05/2025                   (LICENZA DI SCARICO N. 6B/2025/5S RILASCIATA IL 29/10/2025)</t>
        </is>
      </c>
      <c r="Q2147" s="150" t="n"/>
      <c r="R2147" s="150" t="n"/>
      <c r="S2147" s="153" t="n"/>
    </row>
    <row r="2148" ht="36" customHeight="1">
      <c r="A2148" s="46" t="n">
        <v>4478</v>
      </c>
      <c r="B2148" s="4">
        <f>+VLOOKUP($A2148,MAGAZZINO!$B$2:$M$100000,2,FALSE)</f>
        <v/>
      </c>
      <c r="C2148" s="29">
        <f>+VLOOKUP($A2148,MAGAZZINO!$B$2:$M$100000,3,FALSE)</f>
        <v/>
      </c>
      <c r="D2148" s="3">
        <f>+VLOOKUP($A2148,MAGAZZINO!$B$2:$M$100000,4,FALSE)</f>
        <v/>
      </c>
      <c r="E2148" s="3">
        <f>+VLOOKUP($A2148,MAGAZZINO!$B$2:$M$100000,5,FALSE)</f>
        <v/>
      </c>
      <c r="F2148" s="3">
        <f>+VLOOKUP($A2148,MAGAZZINO!$B$2:$M$100000,6,FALSE)</f>
        <v/>
      </c>
      <c r="G2148" s="3">
        <f>+VLOOKUP($A2148,MAGAZZINO!$B$2:$M$100000,7,FALSE)</f>
        <v/>
      </c>
      <c r="H2148" s="3">
        <f>+VLOOKUP($A2148,MAGAZZINO!$B$2:$M$100000,8,FALSE)</f>
        <v/>
      </c>
      <c r="I2148" s="3">
        <f>+VLOOKUP($A2148,MAGAZZINO!$B$2:$M$100000,9,FALSE)</f>
        <v/>
      </c>
      <c r="J2148" s="3">
        <f>+VLOOKUP($A2148,MAGAZZINO!$B$2:$M$100000,10,FALSE)</f>
        <v/>
      </c>
      <c r="K2148" s="3">
        <f>+VLOOKUP($A2148,MAGAZZINO!$B$2:$M$100000,11,FALSE)</f>
        <v/>
      </c>
      <c r="L2148" s="5">
        <f>+VLOOKUP($A2148,MAGAZZINO!$B$2:$M$100000,12,FALSE)</f>
        <v/>
      </c>
      <c r="M2148" s="47" t="n"/>
      <c r="N2148" s="88" t="n">
        <v>45965</v>
      </c>
      <c r="O2148" s="156" t="inlineStr">
        <is>
          <t>BIN HUMAID NATIONAL TRADING CO. (ARABIA SAUDITA)</t>
        </is>
      </c>
      <c r="P2148" s="155" t="inlineStr">
        <is>
          <t>IMPORT LICENSE N. 182480 DEL 08/01/2025                                                                                  AUT. ESPORTAZIONE MULTIPLA N. 6B/2025/2M RILASCIATA IL 26/05/2025                   (LICENZA DI SCARICO N. 6B/2025/5S RILASCIATA IL 29/10/2025)</t>
        </is>
      </c>
      <c r="Q2148" s="150" t="n"/>
      <c r="R2148" s="150" t="n"/>
      <c r="S2148" s="153" t="n"/>
    </row>
    <row r="2149" ht="36" customHeight="1">
      <c r="A2149" s="46" t="n">
        <v>4479</v>
      </c>
      <c r="B2149" s="4">
        <f>+VLOOKUP($A2149,MAGAZZINO!$B$2:$M$100000,2,FALSE)</f>
        <v/>
      </c>
      <c r="C2149" s="29">
        <f>+VLOOKUP($A2149,MAGAZZINO!$B$2:$M$100000,3,FALSE)</f>
        <v/>
      </c>
      <c r="D2149" s="3">
        <f>+VLOOKUP($A2149,MAGAZZINO!$B$2:$M$100000,4,FALSE)</f>
        <v/>
      </c>
      <c r="E2149" s="3">
        <f>+VLOOKUP($A2149,MAGAZZINO!$B$2:$M$100000,5,FALSE)</f>
        <v/>
      </c>
      <c r="F2149" s="3">
        <f>+VLOOKUP($A2149,MAGAZZINO!$B$2:$M$100000,6,FALSE)</f>
        <v/>
      </c>
      <c r="G2149" s="3">
        <f>+VLOOKUP($A2149,MAGAZZINO!$B$2:$M$100000,7,FALSE)</f>
        <v/>
      </c>
      <c r="H2149" s="3">
        <f>+VLOOKUP($A2149,MAGAZZINO!$B$2:$M$100000,8,FALSE)</f>
        <v/>
      </c>
      <c r="I2149" s="3">
        <f>+VLOOKUP($A2149,MAGAZZINO!$B$2:$M$100000,9,FALSE)</f>
        <v/>
      </c>
      <c r="J2149" s="3">
        <f>+VLOOKUP($A2149,MAGAZZINO!$B$2:$M$100000,10,FALSE)</f>
        <v/>
      </c>
      <c r="K2149" s="3">
        <f>+VLOOKUP($A2149,MAGAZZINO!$B$2:$M$100000,11,FALSE)</f>
        <v/>
      </c>
      <c r="L2149" s="5">
        <f>+VLOOKUP($A2149,MAGAZZINO!$B$2:$M$100000,12,FALSE)</f>
        <v/>
      </c>
      <c r="M2149" s="47" t="n"/>
      <c r="N2149" s="88" t="n">
        <v>45965</v>
      </c>
      <c r="O2149" s="156" t="inlineStr">
        <is>
          <t>BIN HUMAID NATIONAL TRADING CO. (ARABIA SAUDITA)</t>
        </is>
      </c>
      <c r="P2149" s="155" t="inlineStr">
        <is>
          <t>IMPORT LICENSE N. 182480 DEL 08/01/2025                                                                                  AUT. ESPORTAZIONE MULTIPLA N. 6B/2025/2M RILASCIATA IL 26/05/2025                   (LICENZA DI SCARICO N. 6B/2025/5S RILASCIATA IL 29/10/2025)</t>
        </is>
      </c>
      <c r="Q2149" s="150" t="n"/>
      <c r="R2149" s="150" t="n"/>
      <c r="S2149" s="153" t="n"/>
    </row>
    <row r="2150" ht="36" customHeight="1">
      <c r="A2150" s="46" t="n">
        <v>4480</v>
      </c>
      <c r="B2150" s="4">
        <f>+VLOOKUP($A2150,MAGAZZINO!$B$2:$M$100000,2,FALSE)</f>
        <v/>
      </c>
      <c r="C2150" s="29">
        <f>+VLOOKUP($A2150,MAGAZZINO!$B$2:$M$100000,3,FALSE)</f>
        <v/>
      </c>
      <c r="D2150" s="3">
        <f>+VLOOKUP($A2150,MAGAZZINO!$B$2:$M$100000,4,FALSE)</f>
        <v/>
      </c>
      <c r="E2150" s="3">
        <f>+VLOOKUP($A2150,MAGAZZINO!$B$2:$M$100000,5,FALSE)</f>
        <v/>
      </c>
      <c r="F2150" s="3">
        <f>+VLOOKUP($A2150,MAGAZZINO!$B$2:$M$100000,6,FALSE)</f>
        <v/>
      </c>
      <c r="G2150" s="3">
        <f>+VLOOKUP($A2150,MAGAZZINO!$B$2:$M$100000,7,FALSE)</f>
        <v/>
      </c>
      <c r="H2150" s="3">
        <f>+VLOOKUP($A2150,MAGAZZINO!$B$2:$M$100000,8,FALSE)</f>
        <v/>
      </c>
      <c r="I2150" s="3">
        <f>+VLOOKUP($A2150,MAGAZZINO!$B$2:$M$100000,9,FALSE)</f>
        <v/>
      </c>
      <c r="J2150" s="3">
        <f>+VLOOKUP($A2150,MAGAZZINO!$B$2:$M$100000,10,FALSE)</f>
        <v/>
      </c>
      <c r="K2150" s="3">
        <f>+VLOOKUP($A2150,MAGAZZINO!$B$2:$M$100000,11,FALSE)</f>
        <v/>
      </c>
      <c r="L2150" s="5">
        <f>+VLOOKUP($A2150,MAGAZZINO!$B$2:$M$100000,12,FALSE)</f>
        <v/>
      </c>
      <c r="M2150" s="47" t="n"/>
      <c r="N2150" s="88" t="n">
        <v>45965</v>
      </c>
      <c r="O2150" s="156" t="inlineStr">
        <is>
          <t>BIN HUMAID NATIONAL TRADING CO. (ARABIA SAUDITA)</t>
        </is>
      </c>
      <c r="P2150" s="155" t="inlineStr">
        <is>
          <t>IMPORT LICENSE N. 182480 DEL 08/01/2025                                                                                  AUT. ESPORTAZIONE MULTIPLA N. 6B/2025/2M RILASCIATA IL 26/05/2025                   (LICENZA DI SCARICO N. 6B/2025/5S RILASCIATA IL 29/10/2025)</t>
        </is>
      </c>
      <c r="Q2150" s="150" t="n"/>
      <c r="R2150" s="150" t="n"/>
      <c r="S2150" s="153" t="n"/>
    </row>
    <row r="2151" ht="36" customHeight="1">
      <c r="A2151" s="46" t="n">
        <v>4481</v>
      </c>
      <c r="B2151" s="4">
        <f>+VLOOKUP($A2151,MAGAZZINO!$B$2:$M$100000,2,FALSE)</f>
        <v/>
      </c>
      <c r="C2151" s="29">
        <f>+VLOOKUP($A2151,MAGAZZINO!$B$2:$M$100000,3,FALSE)</f>
        <v/>
      </c>
      <c r="D2151" s="3">
        <f>+VLOOKUP($A2151,MAGAZZINO!$B$2:$M$100000,4,FALSE)</f>
        <v/>
      </c>
      <c r="E2151" s="3">
        <f>+VLOOKUP($A2151,MAGAZZINO!$B$2:$M$100000,5,FALSE)</f>
        <v/>
      </c>
      <c r="F2151" s="3">
        <f>+VLOOKUP($A2151,MAGAZZINO!$B$2:$M$100000,6,FALSE)</f>
        <v/>
      </c>
      <c r="G2151" s="3">
        <f>+VLOOKUP($A2151,MAGAZZINO!$B$2:$M$100000,7,FALSE)</f>
        <v/>
      </c>
      <c r="H2151" s="3">
        <f>+VLOOKUP($A2151,MAGAZZINO!$B$2:$M$100000,8,FALSE)</f>
        <v/>
      </c>
      <c r="I2151" s="3">
        <f>+VLOOKUP($A2151,MAGAZZINO!$B$2:$M$100000,9,FALSE)</f>
        <v/>
      </c>
      <c r="J2151" s="3">
        <f>+VLOOKUP($A2151,MAGAZZINO!$B$2:$M$100000,10,FALSE)</f>
        <v/>
      </c>
      <c r="K2151" s="3">
        <f>+VLOOKUP($A2151,MAGAZZINO!$B$2:$M$100000,11,FALSE)</f>
        <v/>
      </c>
      <c r="L2151" s="5">
        <f>+VLOOKUP($A2151,MAGAZZINO!$B$2:$M$100000,12,FALSE)</f>
        <v/>
      </c>
      <c r="M2151" s="47" t="n"/>
      <c r="N2151" s="88" t="n">
        <v>45965</v>
      </c>
      <c r="O2151" s="156" t="inlineStr">
        <is>
          <t>BIN HUMAID NATIONAL TRADING CO. (ARABIA SAUDITA)</t>
        </is>
      </c>
      <c r="P2151" s="155" t="inlineStr">
        <is>
          <t>IMPORT LICENSE N. 182480 DEL 08/01/2025                                                                                  AUT. ESPORTAZIONE MULTIPLA N. 6B/2025/2M RILASCIATA IL 26/05/2025                   (LICENZA DI SCARICO N. 6B/2025/5S RILASCIATA IL 29/10/2025)</t>
        </is>
      </c>
      <c r="Q2151" s="150" t="n"/>
      <c r="R2151" s="150" t="n"/>
      <c r="S2151" s="153" t="n"/>
    </row>
    <row r="2152" ht="36" customHeight="1">
      <c r="A2152" s="46" t="n">
        <v>4482</v>
      </c>
      <c r="B2152" s="4">
        <f>+VLOOKUP($A2152,MAGAZZINO!$B$2:$M$100000,2,FALSE)</f>
        <v/>
      </c>
      <c r="C2152" s="29">
        <f>+VLOOKUP($A2152,MAGAZZINO!$B$2:$M$100000,3,FALSE)</f>
        <v/>
      </c>
      <c r="D2152" s="3">
        <f>+VLOOKUP($A2152,MAGAZZINO!$B$2:$M$100000,4,FALSE)</f>
        <v/>
      </c>
      <c r="E2152" s="3">
        <f>+VLOOKUP($A2152,MAGAZZINO!$B$2:$M$100000,5,FALSE)</f>
        <v/>
      </c>
      <c r="F2152" s="3">
        <f>+VLOOKUP($A2152,MAGAZZINO!$B$2:$M$100000,6,FALSE)</f>
        <v/>
      </c>
      <c r="G2152" s="3">
        <f>+VLOOKUP($A2152,MAGAZZINO!$B$2:$M$100000,7,FALSE)</f>
        <v/>
      </c>
      <c r="H2152" s="3">
        <f>+VLOOKUP($A2152,MAGAZZINO!$B$2:$M$100000,8,FALSE)</f>
        <v/>
      </c>
      <c r="I2152" s="3">
        <f>+VLOOKUP($A2152,MAGAZZINO!$B$2:$M$100000,9,FALSE)</f>
        <v/>
      </c>
      <c r="J2152" s="3">
        <f>+VLOOKUP($A2152,MAGAZZINO!$B$2:$M$100000,10,FALSE)</f>
        <v/>
      </c>
      <c r="K2152" s="3">
        <f>+VLOOKUP($A2152,MAGAZZINO!$B$2:$M$100000,11,FALSE)</f>
        <v/>
      </c>
      <c r="L2152" s="5">
        <f>+VLOOKUP($A2152,MAGAZZINO!$B$2:$M$100000,12,FALSE)</f>
        <v/>
      </c>
      <c r="M2152" s="47" t="n"/>
      <c r="N2152" s="88" t="n">
        <v>45965</v>
      </c>
      <c r="O2152" s="156" t="inlineStr">
        <is>
          <t>BIN HUMAID NATIONAL TRADING CO. (ARABIA SAUDITA)</t>
        </is>
      </c>
      <c r="P2152" s="155" t="inlineStr">
        <is>
          <t>IMPORT LICENSE N. 182480 DEL 08/01/2025                                                                                  AUT. ESPORTAZIONE MULTIPLA N. 6B/2025/2M RILASCIATA IL 26/05/2025                   (LICENZA DI SCARICO N. 6B/2025/5S RILASCIATA IL 29/10/2025)</t>
        </is>
      </c>
      <c r="Q2152" s="150" t="n"/>
      <c r="R2152" s="150" t="n"/>
      <c r="S2152" s="153" t="n"/>
    </row>
    <row r="2153" ht="36" customHeight="1">
      <c r="A2153" s="46" t="n">
        <v>4483</v>
      </c>
      <c r="B2153" s="4">
        <f>+VLOOKUP($A2153,MAGAZZINO!$B$2:$M$100000,2,FALSE)</f>
        <v/>
      </c>
      <c r="C2153" s="29">
        <f>+VLOOKUP($A2153,MAGAZZINO!$B$2:$M$100000,3,FALSE)</f>
        <v/>
      </c>
      <c r="D2153" s="3">
        <f>+VLOOKUP($A2153,MAGAZZINO!$B$2:$M$100000,4,FALSE)</f>
        <v/>
      </c>
      <c r="E2153" s="3">
        <f>+VLOOKUP($A2153,MAGAZZINO!$B$2:$M$100000,5,FALSE)</f>
        <v/>
      </c>
      <c r="F2153" s="3">
        <f>+VLOOKUP($A2153,MAGAZZINO!$B$2:$M$100000,6,FALSE)</f>
        <v/>
      </c>
      <c r="G2153" s="3">
        <f>+VLOOKUP($A2153,MAGAZZINO!$B$2:$M$100000,7,FALSE)</f>
        <v/>
      </c>
      <c r="H2153" s="3">
        <f>+VLOOKUP($A2153,MAGAZZINO!$B$2:$M$100000,8,FALSE)</f>
        <v/>
      </c>
      <c r="I2153" s="3">
        <f>+VLOOKUP($A2153,MAGAZZINO!$B$2:$M$100000,9,FALSE)</f>
        <v/>
      </c>
      <c r="J2153" s="3">
        <f>+VLOOKUP($A2153,MAGAZZINO!$B$2:$M$100000,10,FALSE)</f>
        <v/>
      </c>
      <c r="K2153" s="3">
        <f>+VLOOKUP($A2153,MAGAZZINO!$B$2:$M$100000,11,FALSE)</f>
        <v/>
      </c>
      <c r="L2153" s="5">
        <f>+VLOOKUP($A2153,MAGAZZINO!$B$2:$M$100000,12,FALSE)</f>
        <v/>
      </c>
      <c r="M2153" s="47" t="n"/>
      <c r="N2153" s="88" t="n">
        <v>45965</v>
      </c>
      <c r="O2153" s="156" t="inlineStr">
        <is>
          <t>BIN HUMAID NATIONAL TRADING CO. (ARABIA SAUDITA)</t>
        </is>
      </c>
      <c r="P2153" s="155" t="inlineStr">
        <is>
          <t>IMPORT LICENSE N. 182480 DEL 08/01/2025                                                                                  AUT. ESPORTAZIONE MULTIPLA N. 6B/2025/2M RILASCIATA IL 26/05/2025                   (LICENZA DI SCARICO N. 6B/2025/5S RILASCIATA IL 29/10/2025)</t>
        </is>
      </c>
      <c r="Q2153" s="150" t="n"/>
      <c r="R2153" s="150" t="n"/>
      <c r="S2153" s="153" t="n"/>
    </row>
    <row r="2154" ht="36" customHeight="1">
      <c r="A2154" s="46" t="n">
        <v>4484</v>
      </c>
      <c r="B2154" s="4">
        <f>+VLOOKUP($A2154,MAGAZZINO!$B$2:$M$100000,2,FALSE)</f>
        <v/>
      </c>
      <c r="C2154" s="29">
        <f>+VLOOKUP($A2154,MAGAZZINO!$B$2:$M$100000,3,FALSE)</f>
        <v/>
      </c>
      <c r="D2154" s="3">
        <f>+VLOOKUP($A2154,MAGAZZINO!$B$2:$M$100000,4,FALSE)</f>
        <v/>
      </c>
      <c r="E2154" s="3">
        <f>+VLOOKUP($A2154,MAGAZZINO!$B$2:$M$100000,5,FALSE)</f>
        <v/>
      </c>
      <c r="F2154" s="3">
        <f>+VLOOKUP($A2154,MAGAZZINO!$B$2:$M$100000,6,FALSE)</f>
        <v/>
      </c>
      <c r="G2154" s="3">
        <f>+VLOOKUP($A2154,MAGAZZINO!$B$2:$M$100000,7,FALSE)</f>
        <v/>
      </c>
      <c r="H2154" s="3">
        <f>+VLOOKUP($A2154,MAGAZZINO!$B$2:$M$100000,8,FALSE)</f>
        <v/>
      </c>
      <c r="I2154" s="3">
        <f>+VLOOKUP($A2154,MAGAZZINO!$B$2:$M$100000,9,FALSE)</f>
        <v/>
      </c>
      <c r="J2154" s="3">
        <f>+VLOOKUP($A2154,MAGAZZINO!$B$2:$M$100000,10,FALSE)</f>
        <v/>
      </c>
      <c r="K2154" s="3">
        <f>+VLOOKUP($A2154,MAGAZZINO!$B$2:$M$100000,11,FALSE)</f>
        <v/>
      </c>
      <c r="L2154" s="5">
        <f>+VLOOKUP($A2154,MAGAZZINO!$B$2:$M$100000,12,FALSE)</f>
        <v/>
      </c>
      <c r="M2154" s="47" t="n"/>
      <c r="N2154" s="88" t="n">
        <v>45965</v>
      </c>
      <c r="O2154" s="156" t="inlineStr">
        <is>
          <t>BIN HUMAID NATIONAL TRADING CO. (ARABIA SAUDITA)</t>
        </is>
      </c>
      <c r="P2154" s="155" t="inlineStr">
        <is>
          <t>IMPORT LICENSE N. 182480 DEL 08/01/2025                                                                                  AUT. ESPORTAZIONE MULTIPLA N. 6B/2025/2M RILASCIATA IL 26/05/2025                   (LICENZA DI SCARICO N. 6B/2025/5S RILASCIATA IL 29/10/2025)</t>
        </is>
      </c>
      <c r="Q2154" s="150" t="n"/>
      <c r="R2154" s="150" t="n"/>
      <c r="S2154" s="153" t="n"/>
    </row>
    <row r="2155" ht="36" customHeight="1">
      <c r="A2155" s="46" t="n">
        <v>4485</v>
      </c>
      <c r="B2155" s="4">
        <f>+VLOOKUP($A2155,MAGAZZINO!$B$2:$M$100000,2,FALSE)</f>
        <v/>
      </c>
      <c r="C2155" s="29">
        <f>+VLOOKUP($A2155,MAGAZZINO!$B$2:$M$100000,3,FALSE)</f>
        <v/>
      </c>
      <c r="D2155" s="3">
        <f>+VLOOKUP($A2155,MAGAZZINO!$B$2:$M$100000,4,FALSE)</f>
        <v/>
      </c>
      <c r="E2155" s="3">
        <f>+VLOOKUP($A2155,MAGAZZINO!$B$2:$M$100000,5,FALSE)</f>
        <v/>
      </c>
      <c r="F2155" s="3">
        <f>+VLOOKUP($A2155,MAGAZZINO!$B$2:$M$100000,6,FALSE)</f>
        <v/>
      </c>
      <c r="G2155" s="3">
        <f>+VLOOKUP($A2155,MAGAZZINO!$B$2:$M$100000,7,FALSE)</f>
        <v/>
      </c>
      <c r="H2155" s="3">
        <f>+VLOOKUP($A2155,MAGAZZINO!$B$2:$M$100000,8,FALSE)</f>
        <v/>
      </c>
      <c r="I2155" s="3">
        <f>+VLOOKUP($A2155,MAGAZZINO!$B$2:$M$100000,9,FALSE)</f>
        <v/>
      </c>
      <c r="J2155" s="3">
        <f>+VLOOKUP($A2155,MAGAZZINO!$B$2:$M$100000,10,FALSE)</f>
        <v/>
      </c>
      <c r="K2155" s="3">
        <f>+VLOOKUP($A2155,MAGAZZINO!$B$2:$M$100000,11,FALSE)</f>
        <v/>
      </c>
      <c r="L2155" s="5">
        <f>+VLOOKUP($A2155,MAGAZZINO!$B$2:$M$100000,12,FALSE)</f>
        <v/>
      </c>
      <c r="M2155" s="47" t="n"/>
      <c r="N2155" s="88" t="n">
        <v>45965</v>
      </c>
      <c r="O2155" s="156" t="inlineStr">
        <is>
          <t>BIN HUMAID NATIONAL TRADING CO. (ARABIA SAUDITA)</t>
        </is>
      </c>
      <c r="P2155" s="155" t="inlineStr">
        <is>
          <t>IMPORT LICENSE N. 182480 DEL 08/01/2025                                                                                  AUT. ESPORTAZIONE MULTIPLA N. 6B/2025/2M RILASCIATA IL 26/05/2025                   (LICENZA DI SCARICO N. 6B/2025/5S RILASCIATA IL 29/10/2025)</t>
        </is>
      </c>
      <c r="Q2155" s="150" t="n"/>
      <c r="R2155" s="150" t="n"/>
      <c r="S2155" s="153" t="n"/>
    </row>
    <row r="2156" ht="36" customHeight="1">
      <c r="A2156" s="46" t="n">
        <v>4486</v>
      </c>
      <c r="B2156" s="4">
        <f>+VLOOKUP($A2156,MAGAZZINO!$B$2:$M$100000,2,FALSE)</f>
        <v/>
      </c>
      <c r="C2156" s="29">
        <f>+VLOOKUP($A2156,MAGAZZINO!$B$2:$M$100000,3,FALSE)</f>
        <v/>
      </c>
      <c r="D2156" s="3">
        <f>+VLOOKUP($A2156,MAGAZZINO!$B$2:$M$100000,4,FALSE)</f>
        <v/>
      </c>
      <c r="E2156" s="3">
        <f>+VLOOKUP($A2156,MAGAZZINO!$B$2:$M$100000,5,FALSE)</f>
        <v/>
      </c>
      <c r="F2156" s="3">
        <f>+VLOOKUP($A2156,MAGAZZINO!$B$2:$M$100000,6,FALSE)</f>
        <v/>
      </c>
      <c r="G2156" s="3">
        <f>+VLOOKUP($A2156,MAGAZZINO!$B$2:$M$100000,7,FALSE)</f>
        <v/>
      </c>
      <c r="H2156" s="3">
        <f>+VLOOKUP($A2156,MAGAZZINO!$B$2:$M$100000,8,FALSE)</f>
        <v/>
      </c>
      <c r="I2156" s="3">
        <f>+VLOOKUP($A2156,MAGAZZINO!$B$2:$M$100000,9,FALSE)</f>
        <v/>
      </c>
      <c r="J2156" s="3">
        <f>+VLOOKUP($A2156,MAGAZZINO!$B$2:$M$100000,10,FALSE)</f>
        <v/>
      </c>
      <c r="K2156" s="3">
        <f>+VLOOKUP($A2156,MAGAZZINO!$B$2:$M$100000,11,FALSE)</f>
        <v/>
      </c>
      <c r="L2156" s="5">
        <f>+VLOOKUP($A2156,MAGAZZINO!$B$2:$M$100000,12,FALSE)</f>
        <v/>
      </c>
      <c r="M2156" s="47" t="n"/>
      <c r="N2156" s="88" t="n">
        <v>45965</v>
      </c>
      <c r="O2156" s="156" t="inlineStr">
        <is>
          <t>BIN HUMAID NATIONAL TRADING CO. (ARABIA SAUDITA)</t>
        </is>
      </c>
      <c r="P2156" s="155" t="inlineStr">
        <is>
          <t>IMPORT LICENSE N. 182480 DEL 08/01/2025                                                                                  AUT. ESPORTAZIONE MULTIPLA N. 6B/2025/2M RILASCIATA IL 26/05/2025                   (LICENZA DI SCARICO N. 6B/2025/5S RILASCIATA IL 29/10/2025)</t>
        </is>
      </c>
      <c r="Q2156" s="150" t="n"/>
      <c r="R2156" s="150" t="n"/>
      <c r="S2156" s="153" t="n"/>
    </row>
    <row r="2157" ht="36" customHeight="1">
      <c r="A2157" s="46" t="n">
        <v>4487</v>
      </c>
      <c r="B2157" s="4">
        <f>+VLOOKUP($A2157,MAGAZZINO!$B$2:$M$100000,2,FALSE)</f>
        <v/>
      </c>
      <c r="C2157" s="29">
        <f>+VLOOKUP($A2157,MAGAZZINO!$B$2:$M$100000,3,FALSE)</f>
        <v/>
      </c>
      <c r="D2157" s="3">
        <f>+VLOOKUP($A2157,MAGAZZINO!$B$2:$M$100000,4,FALSE)</f>
        <v/>
      </c>
      <c r="E2157" s="3">
        <f>+VLOOKUP($A2157,MAGAZZINO!$B$2:$M$100000,5,FALSE)</f>
        <v/>
      </c>
      <c r="F2157" s="3">
        <f>+VLOOKUP($A2157,MAGAZZINO!$B$2:$M$100000,6,FALSE)</f>
        <v/>
      </c>
      <c r="G2157" s="3">
        <f>+VLOOKUP($A2157,MAGAZZINO!$B$2:$M$100000,7,FALSE)</f>
        <v/>
      </c>
      <c r="H2157" s="3">
        <f>+VLOOKUP($A2157,MAGAZZINO!$B$2:$M$100000,8,FALSE)</f>
        <v/>
      </c>
      <c r="I2157" s="3">
        <f>+VLOOKUP($A2157,MAGAZZINO!$B$2:$M$100000,9,FALSE)</f>
        <v/>
      </c>
      <c r="J2157" s="3">
        <f>+VLOOKUP($A2157,MAGAZZINO!$B$2:$M$100000,10,FALSE)</f>
        <v/>
      </c>
      <c r="K2157" s="3">
        <f>+VLOOKUP($A2157,MAGAZZINO!$B$2:$M$100000,11,FALSE)</f>
        <v/>
      </c>
      <c r="L2157" s="5">
        <f>+VLOOKUP($A2157,MAGAZZINO!$B$2:$M$100000,12,FALSE)</f>
        <v/>
      </c>
      <c r="M2157" s="47" t="n"/>
      <c r="N2157" s="88" t="n">
        <v>45965</v>
      </c>
      <c r="O2157" s="156" t="inlineStr">
        <is>
          <t>BIN HUMAID NATIONAL TRADING CO. (ARABIA SAUDITA)</t>
        </is>
      </c>
      <c r="P2157" s="155" t="inlineStr">
        <is>
          <t>IMPORT LICENSE N. 182480 DEL 08/01/2025                                                                                  AUT. ESPORTAZIONE MULTIPLA N. 6B/2025/2M RILASCIATA IL 26/05/2025                   (LICENZA DI SCARICO N. 6B/2025/5S RILASCIATA IL 29/10/2025)</t>
        </is>
      </c>
      <c r="Q2157" s="150" t="n"/>
      <c r="R2157" s="150" t="n"/>
      <c r="S2157" s="153" t="n"/>
    </row>
    <row r="2158" ht="36" customHeight="1">
      <c r="A2158" s="46" t="n">
        <v>4488</v>
      </c>
      <c r="B2158" s="4">
        <f>+VLOOKUP($A2158,MAGAZZINO!$B$2:$M$100000,2,FALSE)</f>
        <v/>
      </c>
      <c r="C2158" s="29">
        <f>+VLOOKUP($A2158,MAGAZZINO!$B$2:$M$100000,3,FALSE)</f>
        <v/>
      </c>
      <c r="D2158" s="3">
        <f>+VLOOKUP($A2158,MAGAZZINO!$B$2:$M$100000,4,FALSE)</f>
        <v/>
      </c>
      <c r="E2158" s="3">
        <f>+VLOOKUP($A2158,MAGAZZINO!$B$2:$M$100000,5,FALSE)</f>
        <v/>
      </c>
      <c r="F2158" s="3">
        <f>+VLOOKUP($A2158,MAGAZZINO!$B$2:$M$100000,6,FALSE)</f>
        <v/>
      </c>
      <c r="G2158" s="3">
        <f>+VLOOKUP($A2158,MAGAZZINO!$B$2:$M$100000,7,FALSE)</f>
        <v/>
      </c>
      <c r="H2158" s="3">
        <f>+VLOOKUP($A2158,MAGAZZINO!$B$2:$M$100000,8,FALSE)</f>
        <v/>
      </c>
      <c r="I2158" s="3">
        <f>+VLOOKUP($A2158,MAGAZZINO!$B$2:$M$100000,9,FALSE)</f>
        <v/>
      </c>
      <c r="J2158" s="3">
        <f>+VLOOKUP($A2158,MAGAZZINO!$B$2:$M$100000,10,FALSE)</f>
        <v/>
      </c>
      <c r="K2158" s="3">
        <f>+VLOOKUP($A2158,MAGAZZINO!$B$2:$M$100000,11,FALSE)</f>
        <v/>
      </c>
      <c r="L2158" s="5">
        <f>+VLOOKUP($A2158,MAGAZZINO!$B$2:$M$100000,12,FALSE)</f>
        <v/>
      </c>
      <c r="M2158" s="47" t="n"/>
      <c r="N2158" s="88" t="n">
        <v>45965</v>
      </c>
      <c r="O2158" s="156" t="inlineStr">
        <is>
          <t>BIN HUMAID NATIONAL TRADING CO. (ARABIA SAUDITA)</t>
        </is>
      </c>
      <c r="P2158" s="155" t="inlineStr">
        <is>
          <t>IMPORT LICENSE N. 182480 DEL 08/01/2025                                                                                  AUT. ESPORTAZIONE MULTIPLA N. 6B/2025/2M RILASCIATA IL 26/05/2025                   (LICENZA DI SCARICO N. 6B/2025/5S RILASCIATA IL 29/10/2025)</t>
        </is>
      </c>
      <c r="Q2158" s="150" t="n"/>
      <c r="R2158" s="150" t="n"/>
      <c r="S2158" s="153" t="n"/>
    </row>
    <row r="2159" ht="36" customHeight="1">
      <c r="A2159" s="46" t="n">
        <v>4489</v>
      </c>
      <c r="B2159" s="4">
        <f>+VLOOKUP($A2159,MAGAZZINO!$B$2:$M$100000,2,FALSE)</f>
        <v/>
      </c>
      <c r="C2159" s="29">
        <f>+VLOOKUP($A2159,MAGAZZINO!$B$2:$M$100000,3,FALSE)</f>
        <v/>
      </c>
      <c r="D2159" s="3">
        <f>+VLOOKUP($A2159,MAGAZZINO!$B$2:$M$100000,4,FALSE)</f>
        <v/>
      </c>
      <c r="E2159" s="3">
        <f>+VLOOKUP($A2159,MAGAZZINO!$B$2:$M$100000,5,FALSE)</f>
        <v/>
      </c>
      <c r="F2159" s="3">
        <f>+VLOOKUP($A2159,MAGAZZINO!$B$2:$M$100000,6,FALSE)</f>
        <v/>
      </c>
      <c r="G2159" s="3">
        <f>+VLOOKUP($A2159,MAGAZZINO!$B$2:$M$100000,7,FALSE)</f>
        <v/>
      </c>
      <c r="H2159" s="3">
        <f>+VLOOKUP($A2159,MAGAZZINO!$B$2:$M$100000,8,FALSE)</f>
        <v/>
      </c>
      <c r="I2159" s="3">
        <f>+VLOOKUP($A2159,MAGAZZINO!$B$2:$M$100000,9,FALSE)</f>
        <v/>
      </c>
      <c r="J2159" s="3">
        <f>+VLOOKUP($A2159,MAGAZZINO!$B$2:$M$100000,10,FALSE)</f>
        <v/>
      </c>
      <c r="K2159" s="3">
        <f>+VLOOKUP($A2159,MAGAZZINO!$B$2:$M$100000,11,FALSE)</f>
        <v/>
      </c>
      <c r="L2159" s="5">
        <f>+VLOOKUP($A2159,MAGAZZINO!$B$2:$M$100000,12,FALSE)</f>
        <v/>
      </c>
      <c r="M2159" s="47" t="n"/>
      <c r="N2159" s="88" t="n">
        <v>45965</v>
      </c>
      <c r="O2159" s="156" t="inlineStr">
        <is>
          <t>BIN HUMAID NATIONAL TRADING CO. (ARABIA SAUDITA)</t>
        </is>
      </c>
      <c r="P2159" s="155" t="inlineStr">
        <is>
          <t>IMPORT LICENSE N. 182480 DEL 08/01/2025                                                                                  AUT. ESPORTAZIONE MULTIPLA N. 6B/2025/2M RILASCIATA IL 26/05/2025                   (LICENZA DI SCARICO N. 6B/2025/5S RILASCIATA IL 29/10/2025)</t>
        </is>
      </c>
      <c r="Q2159" s="150" t="n"/>
      <c r="R2159" s="150" t="n"/>
      <c r="S2159" s="153" t="n"/>
    </row>
    <row r="2160" ht="36" customHeight="1">
      <c r="A2160" s="46" t="n">
        <v>4490</v>
      </c>
      <c r="B2160" s="4">
        <f>+VLOOKUP($A2160,MAGAZZINO!$B$2:$M$100000,2,FALSE)</f>
        <v/>
      </c>
      <c r="C2160" s="29">
        <f>+VLOOKUP($A2160,MAGAZZINO!$B$2:$M$100000,3,FALSE)</f>
        <v/>
      </c>
      <c r="D2160" s="3">
        <f>+VLOOKUP($A2160,MAGAZZINO!$B$2:$M$100000,4,FALSE)</f>
        <v/>
      </c>
      <c r="E2160" s="3">
        <f>+VLOOKUP($A2160,MAGAZZINO!$B$2:$M$100000,5,FALSE)</f>
        <v/>
      </c>
      <c r="F2160" s="3">
        <f>+VLOOKUP($A2160,MAGAZZINO!$B$2:$M$100000,6,FALSE)</f>
        <v/>
      </c>
      <c r="G2160" s="3">
        <f>+VLOOKUP($A2160,MAGAZZINO!$B$2:$M$100000,7,FALSE)</f>
        <v/>
      </c>
      <c r="H2160" s="3">
        <f>+VLOOKUP($A2160,MAGAZZINO!$B$2:$M$100000,8,FALSE)</f>
        <v/>
      </c>
      <c r="I2160" s="3">
        <f>+VLOOKUP($A2160,MAGAZZINO!$B$2:$M$100000,9,FALSE)</f>
        <v/>
      </c>
      <c r="J2160" s="3">
        <f>+VLOOKUP($A2160,MAGAZZINO!$B$2:$M$100000,10,FALSE)</f>
        <v/>
      </c>
      <c r="K2160" s="3">
        <f>+VLOOKUP($A2160,MAGAZZINO!$B$2:$M$100000,11,FALSE)</f>
        <v/>
      </c>
      <c r="L2160" s="5">
        <f>+VLOOKUP($A2160,MAGAZZINO!$B$2:$M$100000,12,FALSE)</f>
        <v/>
      </c>
      <c r="M2160" s="47" t="n"/>
      <c r="N2160" s="88" t="n">
        <v>45965</v>
      </c>
      <c r="O2160" s="156" t="inlineStr">
        <is>
          <t>BIN HUMAID NATIONAL TRADING CO. (ARABIA SAUDITA)</t>
        </is>
      </c>
      <c r="P2160" s="155" t="inlineStr">
        <is>
          <t>IMPORT LICENSE N. 182480 DEL 08/01/2025                                                                                  AUT. ESPORTAZIONE MULTIPLA N. 6B/2025/2M RILASCIATA IL 26/05/2025                   (LICENZA DI SCARICO N. 6B/2025/5S RILASCIATA IL 29/10/2025)</t>
        </is>
      </c>
      <c r="Q2160" s="150" t="n"/>
      <c r="R2160" s="150" t="n"/>
      <c r="S2160" s="153" t="n"/>
    </row>
    <row r="2161" ht="36" customHeight="1">
      <c r="A2161" s="46" t="n">
        <v>4491</v>
      </c>
      <c r="B2161" s="4">
        <f>+VLOOKUP($A2161,MAGAZZINO!$B$2:$M$100000,2,FALSE)</f>
        <v/>
      </c>
      <c r="C2161" s="29">
        <f>+VLOOKUP($A2161,MAGAZZINO!$B$2:$M$100000,3,FALSE)</f>
        <v/>
      </c>
      <c r="D2161" s="3">
        <f>+VLOOKUP($A2161,MAGAZZINO!$B$2:$M$100000,4,FALSE)</f>
        <v/>
      </c>
      <c r="E2161" s="3">
        <f>+VLOOKUP($A2161,MAGAZZINO!$B$2:$M$100000,5,FALSE)</f>
        <v/>
      </c>
      <c r="F2161" s="3">
        <f>+VLOOKUP($A2161,MAGAZZINO!$B$2:$M$100000,6,FALSE)</f>
        <v/>
      </c>
      <c r="G2161" s="3">
        <f>+VLOOKUP($A2161,MAGAZZINO!$B$2:$M$100000,7,FALSE)</f>
        <v/>
      </c>
      <c r="H2161" s="3">
        <f>+VLOOKUP($A2161,MAGAZZINO!$B$2:$M$100000,8,FALSE)</f>
        <v/>
      </c>
      <c r="I2161" s="3">
        <f>+VLOOKUP($A2161,MAGAZZINO!$B$2:$M$100000,9,FALSE)</f>
        <v/>
      </c>
      <c r="J2161" s="3">
        <f>+VLOOKUP($A2161,MAGAZZINO!$B$2:$M$100000,10,FALSE)</f>
        <v/>
      </c>
      <c r="K2161" s="3">
        <f>+VLOOKUP($A2161,MAGAZZINO!$B$2:$M$100000,11,FALSE)</f>
        <v/>
      </c>
      <c r="L2161" s="5">
        <f>+VLOOKUP($A2161,MAGAZZINO!$B$2:$M$100000,12,FALSE)</f>
        <v/>
      </c>
      <c r="M2161" s="47" t="n"/>
      <c r="N2161" s="88" t="n">
        <v>45965</v>
      </c>
      <c r="O2161" s="156" t="inlineStr">
        <is>
          <t>BIN HUMAID NATIONAL TRADING CO. (ARABIA SAUDITA)</t>
        </is>
      </c>
      <c r="P2161" s="155" t="inlineStr">
        <is>
          <t>IMPORT LICENSE N. 182480 DEL 08/01/2025                                                                                  AUT. ESPORTAZIONE MULTIPLA N. 6B/2025/2M RILASCIATA IL 26/05/2025                   (LICENZA DI SCARICO N. 6B/2025/5S RILASCIATA IL 29/10/2025)</t>
        </is>
      </c>
      <c r="Q2161" s="150" t="n"/>
      <c r="R2161" s="150" t="n"/>
      <c r="S2161" s="153" t="n"/>
    </row>
    <row r="2162" ht="36" customHeight="1">
      <c r="A2162" s="46" t="n">
        <v>4492</v>
      </c>
      <c r="B2162" s="4">
        <f>+VLOOKUP($A2162,MAGAZZINO!$B$2:$M$100000,2,FALSE)</f>
        <v/>
      </c>
      <c r="C2162" s="29">
        <f>+VLOOKUP($A2162,MAGAZZINO!$B$2:$M$100000,3,FALSE)</f>
        <v/>
      </c>
      <c r="D2162" s="3">
        <f>+VLOOKUP($A2162,MAGAZZINO!$B$2:$M$100000,4,FALSE)</f>
        <v/>
      </c>
      <c r="E2162" s="3">
        <f>+VLOOKUP($A2162,MAGAZZINO!$B$2:$M$100000,5,FALSE)</f>
        <v/>
      </c>
      <c r="F2162" s="3">
        <f>+VLOOKUP($A2162,MAGAZZINO!$B$2:$M$100000,6,FALSE)</f>
        <v/>
      </c>
      <c r="G2162" s="3">
        <f>+VLOOKUP($A2162,MAGAZZINO!$B$2:$M$100000,7,FALSE)</f>
        <v/>
      </c>
      <c r="H2162" s="3">
        <f>+VLOOKUP($A2162,MAGAZZINO!$B$2:$M$100000,8,FALSE)</f>
        <v/>
      </c>
      <c r="I2162" s="3">
        <f>+VLOOKUP($A2162,MAGAZZINO!$B$2:$M$100000,9,FALSE)</f>
        <v/>
      </c>
      <c r="J2162" s="3">
        <f>+VLOOKUP($A2162,MAGAZZINO!$B$2:$M$100000,10,FALSE)</f>
        <v/>
      </c>
      <c r="K2162" s="3">
        <f>+VLOOKUP($A2162,MAGAZZINO!$B$2:$M$100000,11,FALSE)</f>
        <v/>
      </c>
      <c r="L2162" s="5">
        <f>+VLOOKUP($A2162,MAGAZZINO!$B$2:$M$100000,12,FALSE)</f>
        <v/>
      </c>
      <c r="M2162" s="47" t="n"/>
      <c r="N2162" s="88" t="n">
        <v>45965</v>
      </c>
      <c r="O2162" s="156" t="inlineStr">
        <is>
          <t>BIN HUMAID NATIONAL TRADING CO. (ARABIA SAUDITA)</t>
        </is>
      </c>
      <c r="P2162" s="155" t="inlineStr">
        <is>
          <t>IMPORT LICENSE N. 182480 DEL 08/01/2025                                                                                  AUT. ESPORTAZIONE MULTIPLA N. 6B/2025/2M RILASCIATA IL 26/05/2025                   (LICENZA DI SCARICO N. 6B/2025/5S RILASCIATA IL 29/10/2025)</t>
        </is>
      </c>
      <c r="Q2162" s="150" t="n"/>
      <c r="R2162" s="150" t="n"/>
      <c r="S2162" s="153" t="n"/>
    </row>
    <row r="2163" ht="36" customHeight="1">
      <c r="A2163" s="46" t="n">
        <v>4493</v>
      </c>
      <c r="B2163" s="4">
        <f>+VLOOKUP($A2163,MAGAZZINO!$B$2:$M$100000,2,FALSE)</f>
        <v/>
      </c>
      <c r="C2163" s="29">
        <f>+VLOOKUP($A2163,MAGAZZINO!$B$2:$M$100000,3,FALSE)</f>
        <v/>
      </c>
      <c r="D2163" s="3">
        <f>+VLOOKUP($A2163,MAGAZZINO!$B$2:$M$100000,4,FALSE)</f>
        <v/>
      </c>
      <c r="E2163" s="3">
        <f>+VLOOKUP($A2163,MAGAZZINO!$B$2:$M$100000,5,FALSE)</f>
        <v/>
      </c>
      <c r="F2163" s="3">
        <f>+VLOOKUP($A2163,MAGAZZINO!$B$2:$M$100000,6,FALSE)</f>
        <v/>
      </c>
      <c r="G2163" s="3">
        <f>+VLOOKUP($A2163,MAGAZZINO!$B$2:$M$100000,7,FALSE)</f>
        <v/>
      </c>
      <c r="H2163" s="3">
        <f>+VLOOKUP($A2163,MAGAZZINO!$B$2:$M$100000,8,FALSE)</f>
        <v/>
      </c>
      <c r="I2163" s="3">
        <f>+VLOOKUP($A2163,MAGAZZINO!$B$2:$M$100000,9,FALSE)</f>
        <v/>
      </c>
      <c r="J2163" s="3">
        <f>+VLOOKUP($A2163,MAGAZZINO!$B$2:$M$100000,10,FALSE)</f>
        <v/>
      </c>
      <c r="K2163" s="3">
        <f>+VLOOKUP($A2163,MAGAZZINO!$B$2:$M$100000,11,FALSE)</f>
        <v/>
      </c>
      <c r="L2163" s="5">
        <f>+VLOOKUP($A2163,MAGAZZINO!$B$2:$M$100000,12,FALSE)</f>
        <v/>
      </c>
      <c r="M2163" s="47" t="n"/>
      <c r="N2163" s="88" t="n">
        <v>45965</v>
      </c>
      <c r="O2163" s="156" t="inlineStr">
        <is>
          <t>BIN HUMAID NATIONAL TRADING CO. (ARABIA SAUDITA)</t>
        </is>
      </c>
      <c r="P2163" s="155" t="inlineStr">
        <is>
          <t>IMPORT LICENSE N. 182480 DEL 08/01/2025                                                                                  AUT. ESPORTAZIONE MULTIPLA N. 6B/2025/2M RILASCIATA IL 26/05/2025                   (LICENZA DI SCARICO N. 6B/2025/5S RILASCIATA IL 29/10/2025)</t>
        </is>
      </c>
      <c r="Q2163" s="150" t="n"/>
      <c r="R2163" s="150" t="n"/>
      <c r="S2163" s="153" t="n"/>
    </row>
    <row r="2164" ht="36" customHeight="1">
      <c r="A2164" s="46" t="n">
        <v>4494</v>
      </c>
      <c r="B2164" s="4">
        <f>+VLOOKUP($A2164,MAGAZZINO!$B$2:$M$100000,2,FALSE)</f>
        <v/>
      </c>
      <c r="C2164" s="29">
        <f>+VLOOKUP($A2164,MAGAZZINO!$B$2:$M$100000,3,FALSE)</f>
        <v/>
      </c>
      <c r="D2164" s="3">
        <f>+VLOOKUP($A2164,MAGAZZINO!$B$2:$M$100000,4,FALSE)</f>
        <v/>
      </c>
      <c r="E2164" s="3">
        <f>+VLOOKUP($A2164,MAGAZZINO!$B$2:$M$100000,5,FALSE)</f>
        <v/>
      </c>
      <c r="F2164" s="3">
        <f>+VLOOKUP($A2164,MAGAZZINO!$B$2:$M$100000,6,FALSE)</f>
        <v/>
      </c>
      <c r="G2164" s="3">
        <f>+VLOOKUP($A2164,MAGAZZINO!$B$2:$M$100000,7,FALSE)</f>
        <v/>
      </c>
      <c r="H2164" s="3">
        <f>+VLOOKUP($A2164,MAGAZZINO!$B$2:$M$100000,8,FALSE)</f>
        <v/>
      </c>
      <c r="I2164" s="3">
        <f>+VLOOKUP($A2164,MAGAZZINO!$B$2:$M$100000,9,FALSE)</f>
        <v/>
      </c>
      <c r="J2164" s="3">
        <f>+VLOOKUP($A2164,MAGAZZINO!$B$2:$M$100000,10,FALSE)</f>
        <v/>
      </c>
      <c r="K2164" s="3">
        <f>+VLOOKUP($A2164,MAGAZZINO!$B$2:$M$100000,11,FALSE)</f>
        <v/>
      </c>
      <c r="L2164" s="5">
        <f>+VLOOKUP($A2164,MAGAZZINO!$B$2:$M$100000,12,FALSE)</f>
        <v/>
      </c>
      <c r="M2164" s="47" t="n"/>
      <c r="N2164" s="88" t="n">
        <v>45965</v>
      </c>
      <c r="O2164" s="156" t="inlineStr">
        <is>
          <t>BIN HUMAID NATIONAL TRADING CO. (ARABIA SAUDITA)</t>
        </is>
      </c>
      <c r="P2164" s="155" t="inlineStr">
        <is>
          <t>IMPORT LICENSE N. 182480 DEL 08/01/2025                                                                                  AUT. ESPORTAZIONE MULTIPLA N. 6B/2025/2M RILASCIATA IL 26/05/2025                   (LICENZA DI SCARICO N. 6B/2025/5S RILASCIATA IL 29/10/2025)</t>
        </is>
      </c>
      <c r="Q2164" s="150" t="n"/>
      <c r="R2164" s="150" t="n"/>
      <c r="S2164" s="153" t="n"/>
    </row>
    <row r="2165" ht="36" customHeight="1">
      <c r="A2165" s="46" t="n">
        <v>4495</v>
      </c>
      <c r="B2165" s="4">
        <f>+VLOOKUP($A2165,MAGAZZINO!$B$2:$M$100000,2,FALSE)</f>
        <v/>
      </c>
      <c r="C2165" s="29">
        <f>+VLOOKUP($A2165,MAGAZZINO!$B$2:$M$100000,3,FALSE)</f>
        <v/>
      </c>
      <c r="D2165" s="3">
        <f>+VLOOKUP($A2165,MAGAZZINO!$B$2:$M$100000,4,FALSE)</f>
        <v/>
      </c>
      <c r="E2165" s="3">
        <f>+VLOOKUP($A2165,MAGAZZINO!$B$2:$M$100000,5,FALSE)</f>
        <v/>
      </c>
      <c r="F2165" s="3">
        <f>+VLOOKUP($A2165,MAGAZZINO!$B$2:$M$100000,6,FALSE)</f>
        <v/>
      </c>
      <c r="G2165" s="3">
        <f>+VLOOKUP($A2165,MAGAZZINO!$B$2:$M$100000,7,FALSE)</f>
        <v/>
      </c>
      <c r="H2165" s="3">
        <f>+VLOOKUP($A2165,MAGAZZINO!$B$2:$M$100000,8,FALSE)</f>
        <v/>
      </c>
      <c r="I2165" s="3">
        <f>+VLOOKUP($A2165,MAGAZZINO!$B$2:$M$100000,9,FALSE)</f>
        <v/>
      </c>
      <c r="J2165" s="3">
        <f>+VLOOKUP($A2165,MAGAZZINO!$B$2:$M$100000,10,FALSE)</f>
        <v/>
      </c>
      <c r="K2165" s="3">
        <f>+VLOOKUP($A2165,MAGAZZINO!$B$2:$M$100000,11,FALSE)</f>
        <v/>
      </c>
      <c r="L2165" s="5">
        <f>+VLOOKUP($A2165,MAGAZZINO!$B$2:$M$100000,12,FALSE)</f>
        <v/>
      </c>
      <c r="M2165" s="47" t="n"/>
      <c r="N2165" s="88" t="n">
        <v>45965</v>
      </c>
      <c r="O2165" s="156" t="inlineStr">
        <is>
          <t>BIN HUMAID NATIONAL TRADING CO. (ARABIA SAUDITA)</t>
        </is>
      </c>
      <c r="P2165" s="155" t="inlineStr">
        <is>
          <t>IMPORT LICENSE N. 182480 DEL 08/01/2025                                                                                  AUT. ESPORTAZIONE MULTIPLA N. 6B/2025/2M RILASCIATA IL 26/05/2025                   (LICENZA DI SCARICO N. 6B/2025/5S RILASCIATA IL 29/10/2025)</t>
        </is>
      </c>
      <c r="Q2165" s="150" t="n"/>
      <c r="R2165" s="150" t="n"/>
      <c r="S2165" s="153" t="n"/>
    </row>
    <row r="2166" ht="36" customHeight="1">
      <c r="A2166" s="46" t="n">
        <v>4496</v>
      </c>
      <c r="B2166" s="4">
        <f>+VLOOKUP($A2166,MAGAZZINO!$B$2:$M$100000,2,FALSE)</f>
        <v/>
      </c>
      <c r="C2166" s="29">
        <f>+VLOOKUP($A2166,MAGAZZINO!$B$2:$M$100000,3,FALSE)</f>
        <v/>
      </c>
      <c r="D2166" s="3">
        <f>+VLOOKUP($A2166,MAGAZZINO!$B$2:$M$100000,4,FALSE)</f>
        <v/>
      </c>
      <c r="E2166" s="3">
        <f>+VLOOKUP($A2166,MAGAZZINO!$B$2:$M$100000,5,FALSE)</f>
        <v/>
      </c>
      <c r="F2166" s="3">
        <f>+VLOOKUP($A2166,MAGAZZINO!$B$2:$M$100000,6,FALSE)</f>
        <v/>
      </c>
      <c r="G2166" s="3">
        <f>+VLOOKUP($A2166,MAGAZZINO!$B$2:$M$100000,7,FALSE)</f>
        <v/>
      </c>
      <c r="H2166" s="3">
        <f>+VLOOKUP($A2166,MAGAZZINO!$B$2:$M$100000,8,FALSE)</f>
        <v/>
      </c>
      <c r="I2166" s="3">
        <f>+VLOOKUP($A2166,MAGAZZINO!$B$2:$M$100000,9,FALSE)</f>
        <v/>
      </c>
      <c r="J2166" s="3">
        <f>+VLOOKUP($A2166,MAGAZZINO!$B$2:$M$100000,10,FALSE)</f>
        <v/>
      </c>
      <c r="K2166" s="3">
        <f>+VLOOKUP($A2166,MAGAZZINO!$B$2:$M$100000,11,FALSE)</f>
        <v/>
      </c>
      <c r="L2166" s="5">
        <f>+VLOOKUP($A2166,MAGAZZINO!$B$2:$M$100000,12,FALSE)</f>
        <v/>
      </c>
      <c r="M2166" s="47" t="n"/>
      <c r="N2166" s="88" t="n">
        <v>45965</v>
      </c>
      <c r="O2166" s="156" t="inlineStr">
        <is>
          <t>BIN HUMAID NATIONAL TRADING CO. (ARABIA SAUDITA)</t>
        </is>
      </c>
      <c r="P2166" s="155" t="inlineStr">
        <is>
          <t>IMPORT LICENSE N. 182480 DEL 08/01/2025                                                                                  AUT. ESPORTAZIONE MULTIPLA N. 6B/2025/2M RILASCIATA IL 26/05/2025                   (LICENZA DI SCARICO N. 6B/2025/5S RILASCIATA IL 29/10/2025)</t>
        </is>
      </c>
      <c r="Q2166" s="150" t="n"/>
      <c r="R2166" s="150" t="n"/>
      <c r="S2166" s="153" t="n"/>
    </row>
    <row r="2167" ht="36" customHeight="1">
      <c r="A2167" s="46" t="n">
        <v>4497</v>
      </c>
      <c r="B2167" s="4">
        <f>+VLOOKUP($A2167,MAGAZZINO!$B$2:$M$100000,2,FALSE)</f>
        <v/>
      </c>
      <c r="C2167" s="29">
        <f>+VLOOKUP($A2167,MAGAZZINO!$B$2:$M$100000,3,FALSE)</f>
        <v/>
      </c>
      <c r="D2167" s="3">
        <f>+VLOOKUP($A2167,MAGAZZINO!$B$2:$M$100000,4,FALSE)</f>
        <v/>
      </c>
      <c r="E2167" s="3">
        <f>+VLOOKUP($A2167,MAGAZZINO!$B$2:$M$100000,5,FALSE)</f>
        <v/>
      </c>
      <c r="F2167" s="3">
        <f>+VLOOKUP($A2167,MAGAZZINO!$B$2:$M$100000,6,FALSE)</f>
        <v/>
      </c>
      <c r="G2167" s="3">
        <f>+VLOOKUP($A2167,MAGAZZINO!$B$2:$M$100000,7,FALSE)</f>
        <v/>
      </c>
      <c r="H2167" s="3">
        <f>+VLOOKUP($A2167,MAGAZZINO!$B$2:$M$100000,8,FALSE)</f>
        <v/>
      </c>
      <c r="I2167" s="3">
        <f>+VLOOKUP($A2167,MAGAZZINO!$B$2:$M$100000,9,FALSE)</f>
        <v/>
      </c>
      <c r="J2167" s="3">
        <f>+VLOOKUP($A2167,MAGAZZINO!$B$2:$M$100000,10,FALSE)</f>
        <v/>
      </c>
      <c r="K2167" s="3">
        <f>+VLOOKUP($A2167,MAGAZZINO!$B$2:$M$100000,11,FALSE)</f>
        <v/>
      </c>
      <c r="L2167" s="5">
        <f>+VLOOKUP($A2167,MAGAZZINO!$B$2:$M$100000,12,FALSE)</f>
        <v/>
      </c>
      <c r="M2167" s="47" t="n"/>
      <c r="N2167" s="88" t="n">
        <v>45965</v>
      </c>
      <c r="O2167" s="156" t="inlineStr">
        <is>
          <t>BIN HUMAID NATIONAL TRADING CO. (ARABIA SAUDITA)</t>
        </is>
      </c>
      <c r="P2167" s="155" t="inlineStr">
        <is>
          <t>IMPORT LICENSE N. 182480 DEL 08/01/2025                                                                                  AUT. ESPORTAZIONE MULTIPLA N. 6B/2025/2M RILASCIATA IL 26/05/2025                   (LICENZA DI SCARICO N. 6B/2025/5S RILASCIATA IL 29/10/2025)</t>
        </is>
      </c>
      <c r="Q2167" s="150" t="n"/>
      <c r="R2167" s="150" t="n"/>
      <c r="S2167" s="153" t="n"/>
    </row>
    <row r="2168" ht="36" customHeight="1">
      <c r="A2168" s="46" t="n">
        <v>4498</v>
      </c>
      <c r="B2168" s="4">
        <f>+VLOOKUP($A2168,MAGAZZINO!$B$2:$M$100000,2,FALSE)</f>
        <v/>
      </c>
      <c r="C2168" s="29">
        <f>+VLOOKUP($A2168,MAGAZZINO!$B$2:$M$100000,3,FALSE)</f>
        <v/>
      </c>
      <c r="D2168" s="3">
        <f>+VLOOKUP($A2168,MAGAZZINO!$B$2:$M$100000,4,FALSE)</f>
        <v/>
      </c>
      <c r="E2168" s="3">
        <f>+VLOOKUP($A2168,MAGAZZINO!$B$2:$M$100000,5,FALSE)</f>
        <v/>
      </c>
      <c r="F2168" s="3">
        <f>+VLOOKUP($A2168,MAGAZZINO!$B$2:$M$100000,6,FALSE)</f>
        <v/>
      </c>
      <c r="G2168" s="3">
        <f>+VLOOKUP($A2168,MAGAZZINO!$B$2:$M$100000,7,FALSE)</f>
        <v/>
      </c>
      <c r="H2168" s="3">
        <f>+VLOOKUP($A2168,MAGAZZINO!$B$2:$M$100000,8,FALSE)</f>
        <v/>
      </c>
      <c r="I2168" s="3">
        <f>+VLOOKUP($A2168,MAGAZZINO!$B$2:$M$100000,9,FALSE)</f>
        <v/>
      </c>
      <c r="J2168" s="3">
        <f>+VLOOKUP($A2168,MAGAZZINO!$B$2:$M$100000,10,FALSE)</f>
        <v/>
      </c>
      <c r="K2168" s="3">
        <f>+VLOOKUP($A2168,MAGAZZINO!$B$2:$M$100000,11,FALSE)</f>
        <v/>
      </c>
      <c r="L2168" s="5">
        <f>+VLOOKUP($A2168,MAGAZZINO!$B$2:$M$100000,12,FALSE)</f>
        <v/>
      </c>
      <c r="M2168" s="47" t="n"/>
      <c r="N2168" s="88" t="n">
        <v>45965</v>
      </c>
      <c r="O2168" s="156" t="inlineStr">
        <is>
          <t>BIN HUMAID NATIONAL TRADING CO. (ARABIA SAUDITA)</t>
        </is>
      </c>
      <c r="P2168" s="155" t="inlineStr">
        <is>
          <t>IMPORT LICENSE N. 182480 DEL 08/01/2025                                                                                  AUT. ESPORTAZIONE MULTIPLA N. 6B/2025/2M RILASCIATA IL 26/05/2025                   (LICENZA DI SCARICO N. 6B/2025/5S RILASCIATA IL 29/10/2025)</t>
        </is>
      </c>
      <c r="Q2168" s="150" t="n"/>
      <c r="R2168" s="150" t="n"/>
      <c r="S2168" s="153" t="n"/>
    </row>
    <row r="2169" ht="36" customHeight="1">
      <c r="A2169" s="46" t="n">
        <v>4499</v>
      </c>
      <c r="B2169" s="4">
        <f>+VLOOKUP($A2169,MAGAZZINO!$B$2:$M$100000,2,FALSE)</f>
        <v/>
      </c>
      <c r="C2169" s="29">
        <f>+VLOOKUP($A2169,MAGAZZINO!$B$2:$M$100000,3,FALSE)</f>
        <v/>
      </c>
      <c r="D2169" s="3">
        <f>+VLOOKUP($A2169,MAGAZZINO!$B$2:$M$100000,4,FALSE)</f>
        <v/>
      </c>
      <c r="E2169" s="3">
        <f>+VLOOKUP($A2169,MAGAZZINO!$B$2:$M$100000,5,FALSE)</f>
        <v/>
      </c>
      <c r="F2169" s="3">
        <f>+VLOOKUP($A2169,MAGAZZINO!$B$2:$M$100000,6,FALSE)</f>
        <v/>
      </c>
      <c r="G2169" s="3">
        <f>+VLOOKUP($A2169,MAGAZZINO!$B$2:$M$100000,7,FALSE)</f>
        <v/>
      </c>
      <c r="H2169" s="3">
        <f>+VLOOKUP($A2169,MAGAZZINO!$B$2:$M$100000,8,FALSE)</f>
        <v/>
      </c>
      <c r="I2169" s="3">
        <f>+VLOOKUP($A2169,MAGAZZINO!$B$2:$M$100000,9,FALSE)</f>
        <v/>
      </c>
      <c r="J2169" s="3">
        <f>+VLOOKUP($A2169,MAGAZZINO!$B$2:$M$100000,10,FALSE)</f>
        <v/>
      </c>
      <c r="K2169" s="3">
        <f>+VLOOKUP($A2169,MAGAZZINO!$B$2:$M$100000,11,FALSE)</f>
        <v/>
      </c>
      <c r="L2169" s="5">
        <f>+VLOOKUP($A2169,MAGAZZINO!$B$2:$M$100000,12,FALSE)</f>
        <v/>
      </c>
      <c r="M2169" s="47" t="n"/>
      <c r="N2169" s="88" t="n">
        <v>45965</v>
      </c>
      <c r="O2169" s="156" t="inlineStr">
        <is>
          <t>BIN HUMAID NATIONAL TRADING CO. (ARABIA SAUDITA)</t>
        </is>
      </c>
      <c r="P2169" s="155" t="inlineStr">
        <is>
          <t>IMPORT LICENSE N. 182480 DEL 08/01/2025                                                                                  AUT. ESPORTAZIONE MULTIPLA N. 6B/2025/2M RILASCIATA IL 26/05/2025                   (LICENZA DI SCARICO N. 6B/2025/5S RILASCIATA IL 29/10/2025)</t>
        </is>
      </c>
      <c r="Q2169" s="150" t="n"/>
      <c r="R2169" s="150" t="n"/>
      <c r="S2169" s="153" t="n"/>
    </row>
    <row r="2170" ht="36" customHeight="1">
      <c r="A2170" s="46" t="n">
        <v>4500</v>
      </c>
      <c r="B2170" s="4">
        <f>+VLOOKUP($A2170,MAGAZZINO!$B$2:$M$100000,2,FALSE)</f>
        <v/>
      </c>
      <c r="C2170" s="29">
        <f>+VLOOKUP($A2170,MAGAZZINO!$B$2:$M$100000,3,FALSE)</f>
        <v/>
      </c>
      <c r="D2170" s="3">
        <f>+VLOOKUP($A2170,MAGAZZINO!$B$2:$M$100000,4,FALSE)</f>
        <v/>
      </c>
      <c r="E2170" s="3">
        <f>+VLOOKUP($A2170,MAGAZZINO!$B$2:$M$100000,5,FALSE)</f>
        <v/>
      </c>
      <c r="F2170" s="3">
        <f>+VLOOKUP($A2170,MAGAZZINO!$B$2:$M$100000,6,FALSE)</f>
        <v/>
      </c>
      <c r="G2170" s="3">
        <f>+VLOOKUP($A2170,MAGAZZINO!$B$2:$M$100000,7,FALSE)</f>
        <v/>
      </c>
      <c r="H2170" s="3">
        <f>+VLOOKUP($A2170,MAGAZZINO!$B$2:$M$100000,8,FALSE)</f>
        <v/>
      </c>
      <c r="I2170" s="3">
        <f>+VLOOKUP($A2170,MAGAZZINO!$B$2:$M$100000,9,FALSE)</f>
        <v/>
      </c>
      <c r="J2170" s="3">
        <f>+VLOOKUP($A2170,MAGAZZINO!$B$2:$M$100000,10,FALSE)</f>
        <v/>
      </c>
      <c r="K2170" s="3">
        <f>+VLOOKUP($A2170,MAGAZZINO!$B$2:$M$100000,11,FALSE)</f>
        <v/>
      </c>
      <c r="L2170" s="5">
        <f>+VLOOKUP($A2170,MAGAZZINO!$B$2:$M$100000,12,FALSE)</f>
        <v/>
      </c>
      <c r="M2170" s="47" t="n"/>
      <c r="N2170" s="88" t="n">
        <v>45965</v>
      </c>
      <c r="O2170" s="156" t="inlineStr">
        <is>
          <t>BIN HUMAID NATIONAL TRADING CO. (ARABIA SAUDITA)</t>
        </is>
      </c>
      <c r="P2170" s="155" t="inlineStr">
        <is>
          <t>IMPORT LICENSE N. 182480 DEL 08/01/2025                                                                                  AUT. ESPORTAZIONE MULTIPLA N. 6B/2025/2M RILASCIATA IL 26/05/2025                   (LICENZA DI SCARICO N. 6B/2025/5S RILASCIATA IL 29/10/2025)</t>
        </is>
      </c>
      <c r="Q2170" s="150" t="n"/>
      <c r="R2170" s="150" t="n"/>
      <c r="S2170" s="153" t="n"/>
    </row>
    <row r="2171" ht="36" customHeight="1">
      <c r="A2171" s="46" t="n">
        <v>4501</v>
      </c>
      <c r="B2171" s="4">
        <f>+VLOOKUP($A2171,MAGAZZINO!$B$2:$M$100000,2,FALSE)</f>
        <v/>
      </c>
      <c r="C2171" s="29">
        <f>+VLOOKUP($A2171,MAGAZZINO!$B$2:$M$100000,3,FALSE)</f>
        <v/>
      </c>
      <c r="D2171" s="3">
        <f>+VLOOKUP($A2171,MAGAZZINO!$B$2:$M$100000,4,FALSE)</f>
        <v/>
      </c>
      <c r="E2171" s="3">
        <f>+VLOOKUP($A2171,MAGAZZINO!$B$2:$M$100000,5,FALSE)</f>
        <v/>
      </c>
      <c r="F2171" s="3">
        <f>+VLOOKUP($A2171,MAGAZZINO!$B$2:$M$100000,6,FALSE)</f>
        <v/>
      </c>
      <c r="G2171" s="3">
        <f>+VLOOKUP($A2171,MAGAZZINO!$B$2:$M$100000,7,FALSE)</f>
        <v/>
      </c>
      <c r="H2171" s="3">
        <f>+VLOOKUP($A2171,MAGAZZINO!$B$2:$M$100000,8,FALSE)</f>
        <v/>
      </c>
      <c r="I2171" s="3">
        <f>+VLOOKUP($A2171,MAGAZZINO!$B$2:$M$100000,9,FALSE)</f>
        <v/>
      </c>
      <c r="J2171" s="3">
        <f>+VLOOKUP($A2171,MAGAZZINO!$B$2:$M$100000,10,FALSE)</f>
        <v/>
      </c>
      <c r="K2171" s="3">
        <f>+VLOOKUP($A2171,MAGAZZINO!$B$2:$M$100000,11,FALSE)</f>
        <v/>
      </c>
      <c r="L2171" s="5">
        <f>+VLOOKUP($A2171,MAGAZZINO!$B$2:$M$100000,12,FALSE)</f>
        <v/>
      </c>
      <c r="M2171" s="47" t="n"/>
      <c r="N2171" s="88" t="n">
        <v>45965</v>
      </c>
      <c r="O2171" s="156" t="inlineStr">
        <is>
          <t>BIN HUMAID NATIONAL TRADING CO. (ARABIA SAUDITA)</t>
        </is>
      </c>
      <c r="P2171" s="155" t="inlineStr">
        <is>
          <t>IMPORT LICENSE N. 182480 DEL 08/01/2025                                                                                  AUT. ESPORTAZIONE MULTIPLA N. 6B/2025/2M RILASCIATA IL 26/05/2025                   (LICENZA DI SCARICO N. 6B/2025/5S RILASCIATA IL 29/10/2025)</t>
        </is>
      </c>
      <c r="Q2171" s="150" t="n"/>
      <c r="R2171" s="150" t="n"/>
      <c r="S2171" s="153" t="n"/>
    </row>
    <row r="2172" ht="36" customHeight="1">
      <c r="A2172" s="46" t="n">
        <v>4502</v>
      </c>
      <c r="B2172" s="4">
        <f>+VLOOKUP($A2172,MAGAZZINO!$B$2:$M$100000,2,FALSE)</f>
        <v/>
      </c>
      <c r="C2172" s="29">
        <f>+VLOOKUP($A2172,MAGAZZINO!$B$2:$M$100000,3,FALSE)</f>
        <v/>
      </c>
      <c r="D2172" s="3">
        <f>+VLOOKUP($A2172,MAGAZZINO!$B$2:$M$100000,4,FALSE)</f>
        <v/>
      </c>
      <c r="E2172" s="3">
        <f>+VLOOKUP($A2172,MAGAZZINO!$B$2:$M$100000,5,FALSE)</f>
        <v/>
      </c>
      <c r="F2172" s="3">
        <f>+VLOOKUP($A2172,MAGAZZINO!$B$2:$M$100000,6,FALSE)</f>
        <v/>
      </c>
      <c r="G2172" s="3">
        <f>+VLOOKUP($A2172,MAGAZZINO!$B$2:$M$100000,7,FALSE)</f>
        <v/>
      </c>
      <c r="H2172" s="3">
        <f>+VLOOKUP($A2172,MAGAZZINO!$B$2:$M$100000,8,FALSE)</f>
        <v/>
      </c>
      <c r="I2172" s="3">
        <f>+VLOOKUP($A2172,MAGAZZINO!$B$2:$M$100000,9,FALSE)</f>
        <v/>
      </c>
      <c r="J2172" s="3">
        <f>+VLOOKUP($A2172,MAGAZZINO!$B$2:$M$100000,10,FALSE)</f>
        <v/>
      </c>
      <c r="K2172" s="3">
        <f>+VLOOKUP($A2172,MAGAZZINO!$B$2:$M$100000,11,FALSE)</f>
        <v/>
      </c>
      <c r="L2172" s="5">
        <f>+VLOOKUP($A2172,MAGAZZINO!$B$2:$M$100000,12,FALSE)</f>
        <v/>
      </c>
      <c r="M2172" s="47" t="n"/>
      <c r="N2172" s="88" t="n">
        <v>45965</v>
      </c>
      <c r="O2172" s="156" t="inlineStr">
        <is>
          <t>BIN HUMAID NATIONAL TRADING CO. (ARABIA SAUDITA)</t>
        </is>
      </c>
      <c r="P2172" s="155" t="inlineStr">
        <is>
          <t>IMPORT LICENSE N. 182480 DEL 08/01/2025                                                                                  AUT. ESPORTAZIONE MULTIPLA N. 6B/2025/2M RILASCIATA IL 26/05/2025                   (LICENZA DI SCARICO N. 6B/2025/5S RILASCIATA IL 29/10/2025)</t>
        </is>
      </c>
      <c r="Q2172" s="150" t="n"/>
      <c r="R2172" s="150" t="n"/>
      <c r="S2172" s="153" t="n"/>
    </row>
    <row r="2173" ht="36" customHeight="1">
      <c r="A2173" s="46" t="n">
        <v>4503</v>
      </c>
      <c r="B2173" s="4">
        <f>+VLOOKUP($A2173,MAGAZZINO!$B$2:$M$100000,2,FALSE)</f>
        <v/>
      </c>
      <c r="C2173" s="29">
        <f>+VLOOKUP($A2173,MAGAZZINO!$B$2:$M$100000,3,FALSE)</f>
        <v/>
      </c>
      <c r="D2173" s="3">
        <f>+VLOOKUP($A2173,MAGAZZINO!$B$2:$M$100000,4,FALSE)</f>
        <v/>
      </c>
      <c r="E2173" s="3">
        <f>+VLOOKUP($A2173,MAGAZZINO!$B$2:$M$100000,5,FALSE)</f>
        <v/>
      </c>
      <c r="F2173" s="3">
        <f>+VLOOKUP($A2173,MAGAZZINO!$B$2:$M$100000,6,FALSE)</f>
        <v/>
      </c>
      <c r="G2173" s="3">
        <f>+VLOOKUP($A2173,MAGAZZINO!$B$2:$M$100000,7,FALSE)</f>
        <v/>
      </c>
      <c r="H2173" s="3">
        <f>+VLOOKUP($A2173,MAGAZZINO!$B$2:$M$100000,8,FALSE)</f>
        <v/>
      </c>
      <c r="I2173" s="3">
        <f>+VLOOKUP($A2173,MAGAZZINO!$B$2:$M$100000,9,FALSE)</f>
        <v/>
      </c>
      <c r="J2173" s="3">
        <f>+VLOOKUP($A2173,MAGAZZINO!$B$2:$M$100000,10,FALSE)</f>
        <v/>
      </c>
      <c r="K2173" s="3">
        <f>+VLOOKUP($A2173,MAGAZZINO!$B$2:$M$100000,11,FALSE)</f>
        <v/>
      </c>
      <c r="L2173" s="5">
        <f>+VLOOKUP($A2173,MAGAZZINO!$B$2:$M$100000,12,FALSE)</f>
        <v/>
      </c>
      <c r="M2173" s="47" t="n"/>
      <c r="N2173" s="88" t="n">
        <v>45965</v>
      </c>
      <c r="O2173" s="156" t="inlineStr">
        <is>
          <t>BIN HUMAID NATIONAL TRADING CO. (ARABIA SAUDITA)</t>
        </is>
      </c>
      <c r="P2173" s="155" t="inlineStr">
        <is>
          <t>IMPORT LICENSE N. 182480 DEL 08/01/2025                                                                                  AUT. ESPORTAZIONE MULTIPLA N. 6B/2025/2M RILASCIATA IL 26/05/2025                   (LICENZA DI SCARICO N. 6B/2025/5S RILASCIATA IL 29/10/2025)</t>
        </is>
      </c>
      <c r="Q2173" s="150" t="n"/>
      <c r="R2173" s="150" t="n"/>
      <c r="S2173" s="153" t="n"/>
    </row>
    <row r="2174" ht="36" customHeight="1">
      <c r="A2174" s="46" t="n">
        <v>4504</v>
      </c>
      <c r="B2174" s="4">
        <f>+VLOOKUP($A2174,MAGAZZINO!$B$2:$M$100000,2,FALSE)</f>
        <v/>
      </c>
      <c r="C2174" s="29">
        <f>+VLOOKUP($A2174,MAGAZZINO!$B$2:$M$100000,3,FALSE)</f>
        <v/>
      </c>
      <c r="D2174" s="3">
        <f>+VLOOKUP($A2174,MAGAZZINO!$B$2:$M$100000,4,FALSE)</f>
        <v/>
      </c>
      <c r="E2174" s="3">
        <f>+VLOOKUP($A2174,MAGAZZINO!$B$2:$M$100000,5,FALSE)</f>
        <v/>
      </c>
      <c r="F2174" s="3">
        <f>+VLOOKUP($A2174,MAGAZZINO!$B$2:$M$100000,6,FALSE)</f>
        <v/>
      </c>
      <c r="G2174" s="3">
        <f>+VLOOKUP($A2174,MAGAZZINO!$B$2:$M$100000,7,FALSE)</f>
        <v/>
      </c>
      <c r="H2174" s="3">
        <f>+VLOOKUP($A2174,MAGAZZINO!$B$2:$M$100000,8,FALSE)</f>
        <v/>
      </c>
      <c r="I2174" s="3">
        <f>+VLOOKUP($A2174,MAGAZZINO!$B$2:$M$100000,9,FALSE)</f>
        <v/>
      </c>
      <c r="J2174" s="3">
        <f>+VLOOKUP($A2174,MAGAZZINO!$B$2:$M$100000,10,FALSE)</f>
        <v/>
      </c>
      <c r="K2174" s="3">
        <f>+VLOOKUP($A2174,MAGAZZINO!$B$2:$M$100000,11,FALSE)</f>
        <v/>
      </c>
      <c r="L2174" s="5">
        <f>+VLOOKUP($A2174,MAGAZZINO!$B$2:$M$100000,12,FALSE)</f>
        <v/>
      </c>
      <c r="M2174" s="47" t="n"/>
      <c r="N2174" s="88" t="n">
        <v>45965</v>
      </c>
      <c r="O2174" s="156" t="inlineStr">
        <is>
          <t>BIN HUMAID NATIONAL TRADING CO. (ARABIA SAUDITA)</t>
        </is>
      </c>
      <c r="P2174" s="155" t="inlineStr">
        <is>
          <t>IMPORT LICENSE N. 182480 DEL 08/01/2025                                                                                  AUT. ESPORTAZIONE MULTIPLA N. 6B/2025/2M RILASCIATA IL 26/05/2025                   (LICENZA DI SCARICO N. 6B/2025/5S RILASCIATA IL 29/10/2025)</t>
        </is>
      </c>
      <c r="Q2174" s="150" t="n"/>
      <c r="R2174" s="150" t="n"/>
      <c r="S2174" s="153" t="n"/>
    </row>
    <row r="2175" ht="36" customHeight="1">
      <c r="A2175" s="46" t="n">
        <v>4505</v>
      </c>
      <c r="B2175" s="4">
        <f>+VLOOKUP($A2175,MAGAZZINO!$B$2:$M$100000,2,FALSE)</f>
        <v/>
      </c>
      <c r="C2175" s="29">
        <f>+VLOOKUP($A2175,MAGAZZINO!$B$2:$M$100000,3,FALSE)</f>
        <v/>
      </c>
      <c r="D2175" s="3">
        <f>+VLOOKUP($A2175,MAGAZZINO!$B$2:$M$100000,4,FALSE)</f>
        <v/>
      </c>
      <c r="E2175" s="3">
        <f>+VLOOKUP($A2175,MAGAZZINO!$B$2:$M$100000,5,FALSE)</f>
        <v/>
      </c>
      <c r="F2175" s="3">
        <f>+VLOOKUP($A2175,MAGAZZINO!$B$2:$M$100000,6,FALSE)</f>
        <v/>
      </c>
      <c r="G2175" s="3">
        <f>+VLOOKUP($A2175,MAGAZZINO!$B$2:$M$100000,7,FALSE)</f>
        <v/>
      </c>
      <c r="H2175" s="3">
        <f>+VLOOKUP($A2175,MAGAZZINO!$B$2:$M$100000,8,FALSE)</f>
        <v/>
      </c>
      <c r="I2175" s="3">
        <f>+VLOOKUP($A2175,MAGAZZINO!$B$2:$M$100000,9,FALSE)</f>
        <v/>
      </c>
      <c r="J2175" s="3">
        <f>+VLOOKUP($A2175,MAGAZZINO!$B$2:$M$100000,10,FALSE)</f>
        <v/>
      </c>
      <c r="K2175" s="3">
        <f>+VLOOKUP($A2175,MAGAZZINO!$B$2:$M$100000,11,FALSE)</f>
        <v/>
      </c>
      <c r="L2175" s="5">
        <f>+VLOOKUP($A2175,MAGAZZINO!$B$2:$M$100000,12,FALSE)</f>
        <v/>
      </c>
      <c r="M2175" s="47" t="n"/>
      <c r="N2175" s="88" t="n">
        <v>45965</v>
      </c>
      <c r="O2175" s="156" t="inlineStr">
        <is>
          <t>BIN HUMAID NATIONAL TRADING CO. (ARABIA SAUDITA)</t>
        </is>
      </c>
      <c r="P2175" s="155" t="inlineStr">
        <is>
          <t>IMPORT LICENSE N. 182480 DEL 08/01/2025                                                                                  AUT. ESPORTAZIONE MULTIPLA N. 6B/2025/2M RILASCIATA IL 26/05/2025                   (LICENZA DI SCARICO N. 6B/2025/5S RILASCIATA IL 29/10/2025)</t>
        </is>
      </c>
      <c r="Q2175" s="150" t="n"/>
      <c r="R2175" s="150" t="n"/>
      <c r="S2175" s="153" t="n"/>
    </row>
    <row r="2176" ht="36" customHeight="1">
      <c r="A2176" s="46" t="n">
        <v>4506</v>
      </c>
      <c r="B2176" s="4">
        <f>+VLOOKUP($A2176,MAGAZZINO!$B$2:$M$100000,2,FALSE)</f>
        <v/>
      </c>
      <c r="C2176" s="29">
        <f>+VLOOKUP($A2176,MAGAZZINO!$B$2:$M$100000,3,FALSE)</f>
        <v/>
      </c>
      <c r="D2176" s="3">
        <f>+VLOOKUP($A2176,MAGAZZINO!$B$2:$M$100000,4,FALSE)</f>
        <v/>
      </c>
      <c r="E2176" s="3">
        <f>+VLOOKUP($A2176,MAGAZZINO!$B$2:$M$100000,5,FALSE)</f>
        <v/>
      </c>
      <c r="F2176" s="3">
        <f>+VLOOKUP($A2176,MAGAZZINO!$B$2:$M$100000,6,FALSE)</f>
        <v/>
      </c>
      <c r="G2176" s="3">
        <f>+VLOOKUP($A2176,MAGAZZINO!$B$2:$M$100000,7,FALSE)</f>
        <v/>
      </c>
      <c r="H2176" s="3">
        <f>+VLOOKUP($A2176,MAGAZZINO!$B$2:$M$100000,8,FALSE)</f>
        <v/>
      </c>
      <c r="I2176" s="3">
        <f>+VLOOKUP($A2176,MAGAZZINO!$B$2:$M$100000,9,FALSE)</f>
        <v/>
      </c>
      <c r="J2176" s="3">
        <f>+VLOOKUP($A2176,MAGAZZINO!$B$2:$M$100000,10,FALSE)</f>
        <v/>
      </c>
      <c r="K2176" s="3">
        <f>+VLOOKUP($A2176,MAGAZZINO!$B$2:$M$100000,11,FALSE)</f>
        <v/>
      </c>
      <c r="L2176" s="5">
        <f>+VLOOKUP($A2176,MAGAZZINO!$B$2:$M$100000,12,FALSE)</f>
        <v/>
      </c>
      <c r="M2176" s="47" t="n"/>
      <c r="N2176" s="88" t="n">
        <v>45965</v>
      </c>
      <c r="O2176" s="156" t="inlineStr">
        <is>
          <t>BIN HUMAID NATIONAL TRADING CO. (ARABIA SAUDITA)</t>
        </is>
      </c>
      <c r="P2176" s="155" t="inlineStr">
        <is>
          <t>IMPORT LICENSE N. 182480 DEL 08/01/2025                                                                                  AUT. ESPORTAZIONE MULTIPLA N. 6B/2025/2M RILASCIATA IL 26/05/2025                   (LICENZA DI SCARICO N. 6B/2025/5S RILASCIATA IL 29/10/2025)</t>
        </is>
      </c>
      <c r="Q2176" s="150" t="n"/>
      <c r="R2176" s="150" t="n"/>
      <c r="S2176" s="153" t="n"/>
    </row>
    <row r="2177" ht="36" customHeight="1">
      <c r="A2177" s="46" t="n">
        <v>4507</v>
      </c>
      <c r="B2177" s="4">
        <f>+VLOOKUP($A2177,MAGAZZINO!$B$2:$M$100000,2,FALSE)</f>
        <v/>
      </c>
      <c r="C2177" s="29">
        <f>+VLOOKUP($A2177,MAGAZZINO!$B$2:$M$100000,3,FALSE)</f>
        <v/>
      </c>
      <c r="D2177" s="3">
        <f>+VLOOKUP($A2177,MAGAZZINO!$B$2:$M$100000,4,FALSE)</f>
        <v/>
      </c>
      <c r="E2177" s="3">
        <f>+VLOOKUP($A2177,MAGAZZINO!$B$2:$M$100000,5,FALSE)</f>
        <v/>
      </c>
      <c r="F2177" s="3">
        <f>+VLOOKUP($A2177,MAGAZZINO!$B$2:$M$100000,6,FALSE)</f>
        <v/>
      </c>
      <c r="G2177" s="3">
        <f>+VLOOKUP($A2177,MAGAZZINO!$B$2:$M$100000,7,FALSE)</f>
        <v/>
      </c>
      <c r="H2177" s="3">
        <f>+VLOOKUP($A2177,MAGAZZINO!$B$2:$M$100000,8,FALSE)</f>
        <v/>
      </c>
      <c r="I2177" s="3">
        <f>+VLOOKUP($A2177,MAGAZZINO!$B$2:$M$100000,9,FALSE)</f>
        <v/>
      </c>
      <c r="J2177" s="3">
        <f>+VLOOKUP($A2177,MAGAZZINO!$B$2:$M$100000,10,FALSE)</f>
        <v/>
      </c>
      <c r="K2177" s="3">
        <f>+VLOOKUP($A2177,MAGAZZINO!$B$2:$M$100000,11,FALSE)</f>
        <v/>
      </c>
      <c r="L2177" s="5">
        <f>+VLOOKUP($A2177,MAGAZZINO!$B$2:$M$100000,12,FALSE)</f>
        <v/>
      </c>
      <c r="M2177" s="47" t="n"/>
      <c r="N2177" s="88" t="n">
        <v>45965</v>
      </c>
      <c r="O2177" s="156" t="inlineStr">
        <is>
          <t>BIN HUMAID NATIONAL TRADING CO. (ARABIA SAUDITA)</t>
        </is>
      </c>
      <c r="P2177" s="155" t="inlineStr">
        <is>
          <t>IMPORT LICENSE N. 182480 DEL 08/01/2025                                                                                  AUT. ESPORTAZIONE MULTIPLA N. 6B/2025/2M RILASCIATA IL 26/05/2025                   (LICENZA DI SCARICO N. 6B/2025/5S RILASCIATA IL 29/10/2025)</t>
        </is>
      </c>
      <c r="Q2177" s="150" t="n"/>
      <c r="R2177" s="150" t="n"/>
      <c r="S2177" s="153" t="n"/>
    </row>
    <row r="2178" ht="36" customHeight="1">
      <c r="A2178" s="46" t="n">
        <v>4508</v>
      </c>
      <c r="B2178" s="4">
        <f>+VLOOKUP($A2178,MAGAZZINO!$B$2:$M$100000,2,FALSE)</f>
        <v/>
      </c>
      <c r="C2178" s="29">
        <f>+VLOOKUP($A2178,MAGAZZINO!$B$2:$M$100000,3,FALSE)</f>
        <v/>
      </c>
      <c r="D2178" s="3">
        <f>+VLOOKUP($A2178,MAGAZZINO!$B$2:$M$100000,4,FALSE)</f>
        <v/>
      </c>
      <c r="E2178" s="3">
        <f>+VLOOKUP($A2178,MAGAZZINO!$B$2:$M$100000,5,FALSE)</f>
        <v/>
      </c>
      <c r="F2178" s="3">
        <f>+VLOOKUP($A2178,MAGAZZINO!$B$2:$M$100000,6,FALSE)</f>
        <v/>
      </c>
      <c r="G2178" s="3">
        <f>+VLOOKUP($A2178,MAGAZZINO!$B$2:$M$100000,7,FALSE)</f>
        <v/>
      </c>
      <c r="H2178" s="3">
        <f>+VLOOKUP($A2178,MAGAZZINO!$B$2:$M$100000,8,FALSE)</f>
        <v/>
      </c>
      <c r="I2178" s="3">
        <f>+VLOOKUP($A2178,MAGAZZINO!$B$2:$M$100000,9,FALSE)</f>
        <v/>
      </c>
      <c r="J2178" s="3">
        <f>+VLOOKUP($A2178,MAGAZZINO!$B$2:$M$100000,10,FALSE)</f>
        <v/>
      </c>
      <c r="K2178" s="3">
        <f>+VLOOKUP($A2178,MAGAZZINO!$B$2:$M$100000,11,FALSE)</f>
        <v/>
      </c>
      <c r="L2178" s="5">
        <f>+VLOOKUP($A2178,MAGAZZINO!$B$2:$M$100000,12,FALSE)</f>
        <v/>
      </c>
      <c r="M2178" s="47" t="n"/>
      <c r="N2178" s="88" t="n">
        <v>45965</v>
      </c>
      <c r="O2178" s="156" t="inlineStr">
        <is>
          <t>BIN HUMAID NATIONAL TRADING CO. (ARABIA SAUDITA)</t>
        </is>
      </c>
      <c r="P2178" s="155" t="inlineStr">
        <is>
          <t>IMPORT LICENSE N. 182480 DEL 08/01/2025                                                                                  AUT. ESPORTAZIONE MULTIPLA N. 6B/2025/2M RILASCIATA IL 26/05/2025                   (LICENZA DI SCARICO N. 6B/2025/5S RILASCIATA IL 29/10/2025)</t>
        </is>
      </c>
      <c r="Q2178" s="150" t="n"/>
      <c r="R2178" s="150" t="n"/>
      <c r="S2178" s="153" t="n"/>
    </row>
    <row r="2179" ht="36" customHeight="1">
      <c r="A2179" s="46" t="n">
        <v>4509</v>
      </c>
      <c r="B2179" s="4">
        <f>+VLOOKUP($A2179,MAGAZZINO!$B$2:$M$100000,2,FALSE)</f>
        <v/>
      </c>
      <c r="C2179" s="29">
        <f>+VLOOKUP($A2179,MAGAZZINO!$B$2:$M$100000,3,FALSE)</f>
        <v/>
      </c>
      <c r="D2179" s="3">
        <f>+VLOOKUP($A2179,MAGAZZINO!$B$2:$M$100000,4,FALSE)</f>
        <v/>
      </c>
      <c r="E2179" s="3">
        <f>+VLOOKUP($A2179,MAGAZZINO!$B$2:$M$100000,5,FALSE)</f>
        <v/>
      </c>
      <c r="F2179" s="3">
        <f>+VLOOKUP($A2179,MAGAZZINO!$B$2:$M$100000,6,FALSE)</f>
        <v/>
      </c>
      <c r="G2179" s="3">
        <f>+VLOOKUP($A2179,MAGAZZINO!$B$2:$M$100000,7,FALSE)</f>
        <v/>
      </c>
      <c r="H2179" s="3">
        <f>+VLOOKUP($A2179,MAGAZZINO!$B$2:$M$100000,8,FALSE)</f>
        <v/>
      </c>
      <c r="I2179" s="3">
        <f>+VLOOKUP($A2179,MAGAZZINO!$B$2:$M$100000,9,FALSE)</f>
        <v/>
      </c>
      <c r="J2179" s="3">
        <f>+VLOOKUP($A2179,MAGAZZINO!$B$2:$M$100000,10,FALSE)</f>
        <v/>
      </c>
      <c r="K2179" s="3">
        <f>+VLOOKUP($A2179,MAGAZZINO!$B$2:$M$100000,11,FALSE)</f>
        <v/>
      </c>
      <c r="L2179" s="5">
        <f>+VLOOKUP($A2179,MAGAZZINO!$B$2:$M$100000,12,FALSE)</f>
        <v/>
      </c>
      <c r="M2179" s="47" t="n"/>
      <c r="N2179" s="88" t="n">
        <v>45965</v>
      </c>
      <c r="O2179" s="156" t="inlineStr">
        <is>
          <t>BIN HUMAID NATIONAL TRADING CO. (ARABIA SAUDITA)</t>
        </is>
      </c>
      <c r="P2179" s="155" t="inlineStr">
        <is>
          <t>IMPORT LICENSE N. 182480 DEL 08/01/2025                                                                                  AUT. ESPORTAZIONE MULTIPLA N. 6B/2025/2M RILASCIATA IL 26/05/2025                   (LICENZA DI SCARICO N. 6B/2025/5S RILASCIATA IL 29/10/2025)</t>
        </is>
      </c>
      <c r="Q2179" s="150" t="n"/>
      <c r="R2179" s="150" t="n"/>
      <c r="S2179" s="153" t="n"/>
    </row>
    <row r="2180" ht="36" customHeight="1">
      <c r="A2180" s="46" t="n">
        <v>4510</v>
      </c>
      <c r="B2180" s="4">
        <f>+VLOOKUP($A2180,MAGAZZINO!$B$2:$M$100000,2,FALSE)</f>
        <v/>
      </c>
      <c r="C2180" s="29">
        <f>+VLOOKUP($A2180,MAGAZZINO!$B$2:$M$100000,3,FALSE)</f>
        <v/>
      </c>
      <c r="D2180" s="3">
        <f>+VLOOKUP($A2180,MAGAZZINO!$B$2:$M$100000,4,FALSE)</f>
        <v/>
      </c>
      <c r="E2180" s="3">
        <f>+VLOOKUP($A2180,MAGAZZINO!$B$2:$M$100000,5,FALSE)</f>
        <v/>
      </c>
      <c r="F2180" s="3">
        <f>+VLOOKUP($A2180,MAGAZZINO!$B$2:$M$100000,6,FALSE)</f>
        <v/>
      </c>
      <c r="G2180" s="3">
        <f>+VLOOKUP($A2180,MAGAZZINO!$B$2:$M$100000,7,FALSE)</f>
        <v/>
      </c>
      <c r="H2180" s="3">
        <f>+VLOOKUP($A2180,MAGAZZINO!$B$2:$M$100000,8,FALSE)</f>
        <v/>
      </c>
      <c r="I2180" s="3">
        <f>+VLOOKUP($A2180,MAGAZZINO!$B$2:$M$100000,9,FALSE)</f>
        <v/>
      </c>
      <c r="J2180" s="3">
        <f>+VLOOKUP($A2180,MAGAZZINO!$B$2:$M$100000,10,FALSE)</f>
        <v/>
      </c>
      <c r="K2180" s="3">
        <f>+VLOOKUP($A2180,MAGAZZINO!$B$2:$M$100000,11,FALSE)</f>
        <v/>
      </c>
      <c r="L2180" s="5">
        <f>+VLOOKUP($A2180,MAGAZZINO!$B$2:$M$100000,12,FALSE)</f>
        <v/>
      </c>
      <c r="M2180" s="47" t="n"/>
      <c r="N2180" s="88" t="n">
        <v>45965</v>
      </c>
      <c r="O2180" s="156" t="inlineStr">
        <is>
          <t>BIN HUMAID NATIONAL TRADING CO. (ARABIA SAUDITA)</t>
        </is>
      </c>
      <c r="P2180" s="155" t="inlineStr">
        <is>
          <t>IMPORT LICENSE N. 182480 DEL 08/01/2025                                                                                  AUT. ESPORTAZIONE MULTIPLA N. 6B/2025/2M RILASCIATA IL 26/05/2025                   (LICENZA DI SCARICO N. 6B/2025/5S RILASCIATA IL 29/10/2025)</t>
        </is>
      </c>
      <c r="Q2180" s="150" t="n"/>
      <c r="R2180" s="150" t="n"/>
      <c r="S2180" s="153" t="n"/>
    </row>
    <row r="2181" ht="36" customHeight="1">
      <c r="A2181" s="46" t="n">
        <v>4511</v>
      </c>
      <c r="B2181" s="4">
        <f>+VLOOKUP($A2181,MAGAZZINO!$B$2:$M$100000,2,FALSE)</f>
        <v/>
      </c>
      <c r="C2181" s="29">
        <f>+VLOOKUP($A2181,MAGAZZINO!$B$2:$M$100000,3,FALSE)</f>
        <v/>
      </c>
      <c r="D2181" s="3">
        <f>+VLOOKUP($A2181,MAGAZZINO!$B$2:$M$100000,4,FALSE)</f>
        <v/>
      </c>
      <c r="E2181" s="3">
        <f>+VLOOKUP($A2181,MAGAZZINO!$B$2:$M$100000,5,FALSE)</f>
        <v/>
      </c>
      <c r="F2181" s="3">
        <f>+VLOOKUP($A2181,MAGAZZINO!$B$2:$M$100000,6,FALSE)</f>
        <v/>
      </c>
      <c r="G2181" s="3">
        <f>+VLOOKUP($A2181,MAGAZZINO!$B$2:$M$100000,7,FALSE)</f>
        <v/>
      </c>
      <c r="H2181" s="3">
        <f>+VLOOKUP($A2181,MAGAZZINO!$B$2:$M$100000,8,FALSE)</f>
        <v/>
      </c>
      <c r="I2181" s="3">
        <f>+VLOOKUP($A2181,MAGAZZINO!$B$2:$M$100000,9,FALSE)</f>
        <v/>
      </c>
      <c r="J2181" s="3">
        <f>+VLOOKUP($A2181,MAGAZZINO!$B$2:$M$100000,10,FALSE)</f>
        <v/>
      </c>
      <c r="K2181" s="3">
        <f>+VLOOKUP($A2181,MAGAZZINO!$B$2:$M$100000,11,FALSE)</f>
        <v/>
      </c>
      <c r="L2181" s="5">
        <f>+VLOOKUP($A2181,MAGAZZINO!$B$2:$M$100000,12,FALSE)</f>
        <v/>
      </c>
      <c r="M2181" s="47" t="n"/>
      <c r="N2181" s="88" t="n">
        <v>45965</v>
      </c>
      <c r="O2181" s="156" t="inlineStr">
        <is>
          <t>BIN HUMAID NATIONAL TRADING CO. (ARABIA SAUDITA)</t>
        </is>
      </c>
      <c r="P2181" s="155" t="inlineStr">
        <is>
          <t>IMPORT LICENSE N. 182480 DEL 08/01/2025                                                                                  AUT. ESPORTAZIONE MULTIPLA N. 6B/2025/2M RILASCIATA IL 26/05/2025                   (LICENZA DI SCARICO N. 6B/2025/5S RILASCIATA IL 29/10/2025)</t>
        </is>
      </c>
      <c r="Q2181" s="150" t="n"/>
      <c r="R2181" s="150" t="n"/>
      <c r="S2181" s="153" t="n"/>
    </row>
    <row r="2182" ht="36" customHeight="1">
      <c r="A2182" s="46" t="n">
        <v>4512</v>
      </c>
      <c r="B2182" s="4">
        <f>+VLOOKUP($A2182,MAGAZZINO!$B$2:$M$100000,2,FALSE)</f>
        <v/>
      </c>
      <c r="C2182" s="29">
        <f>+VLOOKUP($A2182,MAGAZZINO!$B$2:$M$100000,3,FALSE)</f>
        <v/>
      </c>
      <c r="D2182" s="3">
        <f>+VLOOKUP($A2182,MAGAZZINO!$B$2:$M$100000,4,FALSE)</f>
        <v/>
      </c>
      <c r="E2182" s="3">
        <f>+VLOOKUP($A2182,MAGAZZINO!$B$2:$M$100000,5,FALSE)</f>
        <v/>
      </c>
      <c r="F2182" s="3">
        <f>+VLOOKUP($A2182,MAGAZZINO!$B$2:$M$100000,6,FALSE)</f>
        <v/>
      </c>
      <c r="G2182" s="3">
        <f>+VLOOKUP($A2182,MAGAZZINO!$B$2:$M$100000,7,FALSE)</f>
        <v/>
      </c>
      <c r="H2182" s="3">
        <f>+VLOOKUP($A2182,MAGAZZINO!$B$2:$M$100000,8,FALSE)</f>
        <v/>
      </c>
      <c r="I2182" s="3">
        <f>+VLOOKUP($A2182,MAGAZZINO!$B$2:$M$100000,9,FALSE)</f>
        <v/>
      </c>
      <c r="J2182" s="3">
        <f>+VLOOKUP($A2182,MAGAZZINO!$B$2:$M$100000,10,FALSE)</f>
        <v/>
      </c>
      <c r="K2182" s="3">
        <f>+VLOOKUP($A2182,MAGAZZINO!$B$2:$M$100000,11,FALSE)</f>
        <v/>
      </c>
      <c r="L2182" s="5">
        <f>+VLOOKUP($A2182,MAGAZZINO!$B$2:$M$100000,12,FALSE)</f>
        <v/>
      </c>
      <c r="M2182" s="47" t="n"/>
      <c r="N2182" s="88" t="n">
        <v>45965</v>
      </c>
      <c r="O2182" s="156" t="inlineStr">
        <is>
          <t>BIN HUMAID NATIONAL TRADING CO. (ARABIA SAUDITA)</t>
        </is>
      </c>
      <c r="P2182" s="155" t="inlineStr">
        <is>
          <t>IMPORT LICENSE N. 182480 DEL 08/01/2025                                                                                  AUT. ESPORTAZIONE MULTIPLA N. 6B/2025/2M RILASCIATA IL 26/05/2025                   (LICENZA DI SCARICO N. 6B/2025/5S RILASCIATA IL 29/10/2025)</t>
        </is>
      </c>
      <c r="Q2182" s="150" t="n"/>
      <c r="R2182" s="150" t="n"/>
      <c r="S2182" s="153" t="n"/>
    </row>
    <row r="2183" ht="36" customHeight="1">
      <c r="A2183" s="46" t="n">
        <v>4513</v>
      </c>
      <c r="B2183" s="4">
        <f>+VLOOKUP($A2183,MAGAZZINO!$B$2:$M$100000,2,FALSE)</f>
        <v/>
      </c>
      <c r="C2183" s="29">
        <f>+VLOOKUP($A2183,MAGAZZINO!$B$2:$M$100000,3,FALSE)</f>
        <v/>
      </c>
      <c r="D2183" s="3">
        <f>+VLOOKUP($A2183,MAGAZZINO!$B$2:$M$100000,4,FALSE)</f>
        <v/>
      </c>
      <c r="E2183" s="3">
        <f>+VLOOKUP($A2183,MAGAZZINO!$B$2:$M$100000,5,FALSE)</f>
        <v/>
      </c>
      <c r="F2183" s="3">
        <f>+VLOOKUP($A2183,MAGAZZINO!$B$2:$M$100000,6,FALSE)</f>
        <v/>
      </c>
      <c r="G2183" s="3">
        <f>+VLOOKUP($A2183,MAGAZZINO!$B$2:$M$100000,7,FALSE)</f>
        <v/>
      </c>
      <c r="H2183" s="3">
        <f>+VLOOKUP($A2183,MAGAZZINO!$B$2:$M$100000,8,FALSE)</f>
        <v/>
      </c>
      <c r="I2183" s="3">
        <f>+VLOOKUP($A2183,MAGAZZINO!$B$2:$M$100000,9,FALSE)</f>
        <v/>
      </c>
      <c r="J2183" s="3">
        <f>+VLOOKUP($A2183,MAGAZZINO!$B$2:$M$100000,10,FALSE)</f>
        <v/>
      </c>
      <c r="K2183" s="3">
        <f>+VLOOKUP($A2183,MAGAZZINO!$B$2:$M$100000,11,FALSE)</f>
        <v/>
      </c>
      <c r="L2183" s="5">
        <f>+VLOOKUP($A2183,MAGAZZINO!$B$2:$M$100000,12,FALSE)</f>
        <v/>
      </c>
      <c r="M2183" s="47" t="n"/>
      <c r="N2183" s="88" t="n">
        <v>45965</v>
      </c>
      <c r="O2183" s="156" t="inlineStr">
        <is>
          <t>BIN HUMAID NATIONAL TRADING CO. (ARABIA SAUDITA)</t>
        </is>
      </c>
      <c r="P2183" s="155" t="inlineStr">
        <is>
          <t>IMPORT LICENSE N. 182480 DEL 08/01/2025                                                                                  AUT. ESPORTAZIONE MULTIPLA N. 6B/2025/2M RILASCIATA IL 26/05/2025                   (LICENZA DI SCARICO N. 6B/2025/5S RILASCIATA IL 29/10/2025)</t>
        </is>
      </c>
      <c r="Q2183" s="150" t="n"/>
      <c r="R2183" s="150" t="n"/>
      <c r="S2183" s="153" t="n"/>
    </row>
    <row r="2184" ht="36" customHeight="1">
      <c r="A2184" s="46" t="n">
        <v>4514</v>
      </c>
      <c r="B2184" s="4">
        <f>+VLOOKUP($A2184,MAGAZZINO!$B$2:$M$100000,2,FALSE)</f>
        <v/>
      </c>
      <c r="C2184" s="29">
        <f>+VLOOKUP($A2184,MAGAZZINO!$B$2:$M$100000,3,FALSE)</f>
        <v/>
      </c>
      <c r="D2184" s="3">
        <f>+VLOOKUP($A2184,MAGAZZINO!$B$2:$M$100000,4,FALSE)</f>
        <v/>
      </c>
      <c r="E2184" s="3">
        <f>+VLOOKUP($A2184,MAGAZZINO!$B$2:$M$100000,5,FALSE)</f>
        <v/>
      </c>
      <c r="F2184" s="3">
        <f>+VLOOKUP($A2184,MAGAZZINO!$B$2:$M$100000,6,FALSE)</f>
        <v/>
      </c>
      <c r="G2184" s="3">
        <f>+VLOOKUP($A2184,MAGAZZINO!$B$2:$M$100000,7,FALSE)</f>
        <v/>
      </c>
      <c r="H2184" s="3">
        <f>+VLOOKUP($A2184,MAGAZZINO!$B$2:$M$100000,8,FALSE)</f>
        <v/>
      </c>
      <c r="I2184" s="3">
        <f>+VLOOKUP($A2184,MAGAZZINO!$B$2:$M$100000,9,FALSE)</f>
        <v/>
      </c>
      <c r="J2184" s="3">
        <f>+VLOOKUP($A2184,MAGAZZINO!$B$2:$M$100000,10,FALSE)</f>
        <v/>
      </c>
      <c r="K2184" s="3">
        <f>+VLOOKUP($A2184,MAGAZZINO!$B$2:$M$100000,11,FALSE)</f>
        <v/>
      </c>
      <c r="L2184" s="5">
        <f>+VLOOKUP($A2184,MAGAZZINO!$B$2:$M$100000,12,FALSE)</f>
        <v/>
      </c>
      <c r="M2184" s="47" t="n"/>
      <c r="N2184" s="88" t="n">
        <v>45965</v>
      </c>
      <c r="O2184" s="156" t="inlineStr">
        <is>
          <t>BIN HUMAID NATIONAL TRADING CO. (ARABIA SAUDITA)</t>
        </is>
      </c>
      <c r="P2184" s="155" t="inlineStr">
        <is>
          <t>IMPORT LICENSE N. 182480 DEL 08/01/2025                                                                                  AUT. ESPORTAZIONE MULTIPLA N. 6B/2025/2M RILASCIATA IL 26/05/2025                   (LICENZA DI SCARICO N. 6B/2025/5S RILASCIATA IL 29/10/2025)</t>
        </is>
      </c>
      <c r="Q2184" s="150" t="n"/>
      <c r="R2184" s="150" t="n"/>
      <c r="S2184" s="153" t="n"/>
    </row>
    <row r="2185" ht="36" customHeight="1">
      <c r="A2185" s="46" t="n">
        <v>4515</v>
      </c>
      <c r="B2185" s="4">
        <f>+VLOOKUP($A2185,MAGAZZINO!$B$2:$M$100000,2,FALSE)</f>
        <v/>
      </c>
      <c r="C2185" s="29">
        <f>+VLOOKUP($A2185,MAGAZZINO!$B$2:$M$100000,3,FALSE)</f>
        <v/>
      </c>
      <c r="D2185" s="3">
        <f>+VLOOKUP($A2185,MAGAZZINO!$B$2:$M$100000,4,FALSE)</f>
        <v/>
      </c>
      <c r="E2185" s="3">
        <f>+VLOOKUP($A2185,MAGAZZINO!$B$2:$M$100000,5,FALSE)</f>
        <v/>
      </c>
      <c r="F2185" s="3">
        <f>+VLOOKUP($A2185,MAGAZZINO!$B$2:$M$100000,6,FALSE)</f>
        <v/>
      </c>
      <c r="G2185" s="3">
        <f>+VLOOKUP($A2185,MAGAZZINO!$B$2:$M$100000,7,FALSE)</f>
        <v/>
      </c>
      <c r="H2185" s="3">
        <f>+VLOOKUP($A2185,MAGAZZINO!$B$2:$M$100000,8,FALSE)</f>
        <v/>
      </c>
      <c r="I2185" s="3">
        <f>+VLOOKUP($A2185,MAGAZZINO!$B$2:$M$100000,9,FALSE)</f>
        <v/>
      </c>
      <c r="J2185" s="3">
        <f>+VLOOKUP($A2185,MAGAZZINO!$B$2:$M$100000,10,FALSE)</f>
        <v/>
      </c>
      <c r="K2185" s="3">
        <f>+VLOOKUP($A2185,MAGAZZINO!$B$2:$M$100000,11,FALSE)</f>
        <v/>
      </c>
      <c r="L2185" s="5">
        <f>+VLOOKUP($A2185,MAGAZZINO!$B$2:$M$100000,12,FALSE)</f>
        <v/>
      </c>
      <c r="M2185" s="47" t="n"/>
      <c r="N2185" s="88" t="n">
        <v>45965</v>
      </c>
      <c r="O2185" s="156" t="inlineStr">
        <is>
          <t>BIN HUMAID NATIONAL TRADING CO. (ARABIA SAUDITA)</t>
        </is>
      </c>
      <c r="P2185" s="155" t="inlineStr">
        <is>
          <t>IMPORT LICENSE N. 182480 DEL 08/01/2025                                                                                  AUT. ESPORTAZIONE MULTIPLA N. 6B/2025/2M RILASCIATA IL 26/05/2025                   (LICENZA DI SCARICO N. 6B/2025/5S RILASCIATA IL 29/10/2025)</t>
        </is>
      </c>
      <c r="Q2185" s="150" t="n"/>
      <c r="R2185" s="150" t="n"/>
      <c r="S2185" s="153" t="n"/>
    </row>
    <row r="2186" ht="36" customHeight="1">
      <c r="A2186" s="46" t="n">
        <v>4516</v>
      </c>
      <c r="B2186" s="4">
        <f>+VLOOKUP($A2186,MAGAZZINO!$B$2:$M$100000,2,FALSE)</f>
        <v/>
      </c>
      <c r="C2186" s="29">
        <f>+VLOOKUP($A2186,MAGAZZINO!$B$2:$M$100000,3,FALSE)</f>
        <v/>
      </c>
      <c r="D2186" s="3">
        <f>+VLOOKUP($A2186,MAGAZZINO!$B$2:$M$100000,4,FALSE)</f>
        <v/>
      </c>
      <c r="E2186" s="3">
        <f>+VLOOKUP($A2186,MAGAZZINO!$B$2:$M$100000,5,FALSE)</f>
        <v/>
      </c>
      <c r="F2186" s="3">
        <f>+VLOOKUP($A2186,MAGAZZINO!$B$2:$M$100000,6,FALSE)</f>
        <v/>
      </c>
      <c r="G2186" s="3">
        <f>+VLOOKUP($A2186,MAGAZZINO!$B$2:$M$100000,7,FALSE)</f>
        <v/>
      </c>
      <c r="H2186" s="3">
        <f>+VLOOKUP($A2186,MAGAZZINO!$B$2:$M$100000,8,FALSE)</f>
        <v/>
      </c>
      <c r="I2186" s="3">
        <f>+VLOOKUP($A2186,MAGAZZINO!$B$2:$M$100000,9,FALSE)</f>
        <v/>
      </c>
      <c r="J2186" s="3">
        <f>+VLOOKUP($A2186,MAGAZZINO!$B$2:$M$100000,10,FALSE)</f>
        <v/>
      </c>
      <c r="K2186" s="3">
        <f>+VLOOKUP($A2186,MAGAZZINO!$B$2:$M$100000,11,FALSE)</f>
        <v/>
      </c>
      <c r="L2186" s="5">
        <f>+VLOOKUP($A2186,MAGAZZINO!$B$2:$M$100000,12,FALSE)</f>
        <v/>
      </c>
      <c r="M2186" s="47" t="n"/>
      <c r="N2186" s="88" t="n">
        <v>45965</v>
      </c>
      <c r="O2186" s="156" t="inlineStr">
        <is>
          <t>BIN HUMAID NATIONAL TRADING CO. (ARABIA SAUDITA)</t>
        </is>
      </c>
      <c r="P2186" s="155" t="inlineStr">
        <is>
          <t>IMPORT LICENSE N. 182480 DEL 08/01/2025                                                                                  AUT. ESPORTAZIONE MULTIPLA N. 6B/2025/2M RILASCIATA IL 26/05/2025                   (LICENZA DI SCARICO N. 6B/2025/5S RILASCIATA IL 29/10/2025)</t>
        </is>
      </c>
      <c r="Q2186" s="150" t="n"/>
      <c r="R2186" s="150" t="n"/>
      <c r="S2186" s="153" t="n"/>
    </row>
    <row r="2187" ht="36" customHeight="1">
      <c r="A2187" s="46" t="n">
        <v>4517</v>
      </c>
      <c r="B2187" s="4">
        <f>+VLOOKUP($A2187,MAGAZZINO!$B$2:$M$100000,2,FALSE)</f>
        <v/>
      </c>
      <c r="C2187" s="29">
        <f>+VLOOKUP($A2187,MAGAZZINO!$B$2:$M$100000,3,FALSE)</f>
        <v/>
      </c>
      <c r="D2187" s="3">
        <f>+VLOOKUP($A2187,MAGAZZINO!$B$2:$M$100000,4,FALSE)</f>
        <v/>
      </c>
      <c r="E2187" s="3">
        <f>+VLOOKUP($A2187,MAGAZZINO!$B$2:$M$100000,5,FALSE)</f>
        <v/>
      </c>
      <c r="F2187" s="3">
        <f>+VLOOKUP($A2187,MAGAZZINO!$B$2:$M$100000,6,FALSE)</f>
        <v/>
      </c>
      <c r="G2187" s="3">
        <f>+VLOOKUP($A2187,MAGAZZINO!$B$2:$M$100000,7,FALSE)</f>
        <v/>
      </c>
      <c r="H2187" s="3">
        <f>+VLOOKUP($A2187,MAGAZZINO!$B$2:$M$100000,8,FALSE)</f>
        <v/>
      </c>
      <c r="I2187" s="3">
        <f>+VLOOKUP($A2187,MAGAZZINO!$B$2:$M$100000,9,FALSE)</f>
        <v/>
      </c>
      <c r="J2187" s="3">
        <f>+VLOOKUP($A2187,MAGAZZINO!$B$2:$M$100000,10,FALSE)</f>
        <v/>
      </c>
      <c r="K2187" s="3">
        <f>+VLOOKUP($A2187,MAGAZZINO!$B$2:$M$100000,11,FALSE)</f>
        <v/>
      </c>
      <c r="L2187" s="5">
        <f>+VLOOKUP($A2187,MAGAZZINO!$B$2:$M$100000,12,FALSE)</f>
        <v/>
      </c>
      <c r="M2187" s="47" t="n"/>
      <c r="N2187" s="88" t="n">
        <v>45965</v>
      </c>
      <c r="O2187" s="156" t="inlineStr">
        <is>
          <t>BIN HUMAID NATIONAL TRADING CO. (ARABIA SAUDITA)</t>
        </is>
      </c>
      <c r="P2187" s="155" t="inlineStr">
        <is>
          <t>IMPORT LICENSE N. 182480 DEL 08/01/2025                                                                                  AUT. ESPORTAZIONE MULTIPLA N. 6B/2025/2M RILASCIATA IL 26/05/2025                   (LICENZA DI SCARICO N. 6B/2025/5S RILASCIATA IL 29/10/2025)</t>
        </is>
      </c>
      <c r="Q2187" s="150" t="n"/>
      <c r="R2187" s="150" t="n"/>
      <c r="S2187" s="153" t="n"/>
    </row>
    <row r="2188" ht="36" customHeight="1">
      <c r="A2188" s="46" t="n">
        <v>4518</v>
      </c>
      <c r="B2188" s="4">
        <f>+VLOOKUP($A2188,MAGAZZINO!$B$2:$M$100000,2,FALSE)</f>
        <v/>
      </c>
      <c r="C2188" s="29">
        <f>+VLOOKUP($A2188,MAGAZZINO!$B$2:$M$100000,3,FALSE)</f>
        <v/>
      </c>
      <c r="D2188" s="3">
        <f>+VLOOKUP($A2188,MAGAZZINO!$B$2:$M$100000,4,FALSE)</f>
        <v/>
      </c>
      <c r="E2188" s="3">
        <f>+VLOOKUP($A2188,MAGAZZINO!$B$2:$M$100000,5,FALSE)</f>
        <v/>
      </c>
      <c r="F2188" s="3">
        <f>+VLOOKUP($A2188,MAGAZZINO!$B$2:$M$100000,6,FALSE)</f>
        <v/>
      </c>
      <c r="G2188" s="3">
        <f>+VLOOKUP($A2188,MAGAZZINO!$B$2:$M$100000,7,FALSE)</f>
        <v/>
      </c>
      <c r="H2188" s="3">
        <f>+VLOOKUP($A2188,MAGAZZINO!$B$2:$M$100000,8,FALSE)</f>
        <v/>
      </c>
      <c r="I2188" s="3">
        <f>+VLOOKUP($A2188,MAGAZZINO!$B$2:$M$100000,9,FALSE)</f>
        <v/>
      </c>
      <c r="J2188" s="3">
        <f>+VLOOKUP($A2188,MAGAZZINO!$B$2:$M$100000,10,FALSE)</f>
        <v/>
      </c>
      <c r="K2188" s="3">
        <f>+VLOOKUP($A2188,MAGAZZINO!$B$2:$M$100000,11,FALSE)</f>
        <v/>
      </c>
      <c r="L2188" s="5">
        <f>+VLOOKUP($A2188,MAGAZZINO!$B$2:$M$100000,12,FALSE)</f>
        <v/>
      </c>
      <c r="M2188" s="47" t="n"/>
      <c r="N2188" s="88" t="n">
        <v>45965</v>
      </c>
      <c r="O2188" s="156" t="inlineStr">
        <is>
          <t>BIN HUMAID NATIONAL TRADING CO. (ARABIA SAUDITA)</t>
        </is>
      </c>
      <c r="P2188" s="155" t="inlineStr">
        <is>
          <t>IMPORT LICENSE N. 182480 DEL 08/01/2025                                                                                  AUT. ESPORTAZIONE MULTIPLA N. 6B/2025/2M RILASCIATA IL 26/05/2025                   (LICENZA DI SCARICO N. 6B/2025/5S RILASCIATA IL 29/10/2025)</t>
        </is>
      </c>
      <c r="Q2188" s="150" t="n"/>
      <c r="R2188" s="150" t="n"/>
      <c r="S2188" s="153" t="n"/>
    </row>
    <row r="2189" ht="36" customHeight="1">
      <c r="A2189" s="46" t="n">
        <v>4519</v>
      </c>
      <c r="B2189" s="4">
        <f>+VLOOKUP($A2189,MAGAZZINO!$B$2:$M$100000,2,FALSE)</f>
        <v/>
      </c>
      <c r="C2189" s="29">
        <f>+VLOOKUP($A2189,MAGAZZINO!$B$2:$M$100000,3,FALSE)</f>
        <v/>
      </c>
      <c r="D2189" s="3">
        <f>+VLOOKUP($A2189,MAGAZZINO!$B$2:$M$100000,4,FALSE)</f>
        <v/>
      </c>
      <c r="E2189" s="3">
        <f>+VLOOKUP($A2189,MAGAZZINO!$B$2:$M$100000,5,FALSE)</f>
        <v/>
      </c>
      <c r="F2189" s="3">
        <f>+VLOOKUP($A2189,MAGAZZINO!$B$2:$M$100000,6,FALSE)</f>
        <v/>
      </c>
      <c r="G2189" s="3">
        <f>+VLOOKUP($A2189,MAGAZZINO!$B$2:$M$100000,7,FALSE)</f>
        <v/>
      </c>
      <c r="H2189" s="3">
        <f>+VLOOKUP($A2189,MAGAZZINO!$B$2:$M$100000,8,FALSE)</f>
        <v/>
      </c>
      <c r="I2189" s="3">
        <f>+VLOOKUP($A2189,MAGAZZINO!$B$2:$M$100000,9,FALSE)</f>
        <v/>
      </c>
      <c r="J2189" s="3">
        <f>+VLOOKUP($A2189,MAGAZZINO!$B$2:$M$100000,10,FALSE)</f>
        <v/>
      </c>
      <c r="K2189" s="3">
        <f>+VLOOKUP($A2189,MAGAZZINO!$B$2:$M$100000,11,FALSE)</f>
        <v/>
      </c>
      <c r="L2189" s="5">
        <f>+VLOOKUP($A2189,MAGAZZINO!$B$2:$M$100000,12,FALSE)</f>
        <v/>
      </c>
      <c r="M2189" s="47" t="n"/>
      <c r="N2189" s="88" t="n">
        <v>45965</v>
      </c>
      <c r="O2189" s="156" t="inlineStr">
        <is>
          <t>BIN HUMAID NATIONAL TRADING CO. (ARABIA SAUDITA)</t>
        </is>
      </c>
      <c r="P2189" s="155" t="inlineStr">
        <is>
          <t>IMPORT LICENSE N. 182480 DEL 08/01/2025                                                                                  AUT. ESPORTAZIONE MULTIPLA N. 6B/2025/2M RILASCIATA IL 26/05/2025                   (LICENZA DI SCARICO N. 6B/2025/5S RILASCIATA IL 29/10/2025)</t>
        </is>
      </c>
      <c r="Q2189" s="150" t="n"/>
      <c r="R2189" s="150" t="n"/>
      <c r="S2189" s="153" t="n"/>
    </row>
    <row r="2190" ht="36" customHeight="1">
      <c r="A2190" s="46" t="n">
        <v>4520</v>
      </c>
      <c r="B2190" s="4">
        <f>+VLOOKUP($A2190,MAGAZZINO!$B$2:$M$100000,2,FALSE)</f>
        <v/>
      </c>
      <c r="C2190" s="29">
        <f>+VLOOKUP($A2190,MAGAZZINO!$B$2:$M$100000,3,FALSE)</f>
        <v/>
      </c>
      <c r="D2190" s="3">
        <f>+VLOOKUP($A2190,MAGAZZINO!$B$2:$M$100000,4,FALSE)</f>
        <v/>
      </c>
      <c r="E2190" s="3">
        <f>+VLOOKUP($A2190,MAGAZZINO!$B$2:$M$100000,5,FALSE)</f>
        <v/>
      </c>
      <c r="F2190" s="3">
        <f>+VLOOKUP($A2190,MAGAZZINO!$B$2:$M$100000,6,FALSE)</f>
        <v/>
      </c>
      <c r="G2190" s="3">
        <f>+VLOOKUP($A2190,MAGAZZINO!$B$2:$M$100000,7,FALSE)</f>
        <v/>
      </c>
      <c r="H2190" s="3">
        <f>+VLOOKUP($A2190,MAGAZZINO!$B$2:$M$100000,8,FALSE)</f>
        <v/>
      </c>
      <c r="I2190" s="3">
        <f>+VLOOKUP($A2190,MAGAZZINO!$B$2:$M$100000,9,FALSE)</f>
        <v/>
      </c>
      <c r="J2190" s="3">
        <f>+VLOOKUP($A2190,MAGAZZINO!$B$2:$M$100000,10,FALSE)</f>
        <v/>
      </c>
      <c r="K2190" s="3">
        <f>+VLOOKUP($A2190,MAGAZZINO!$B$2:$M$100000,11,FALSE)</f>
        <v/>
      </c>
      <c r="L2190" s="5">
        <f>+VLOOKUP($A2190,MAGAZZINO!$B$2:$M$100000,12,FALSE)</f>
        <v/>
      </c>
      <c r="M2190" s="47" t="n"/>
      <c r="N2190" s="88" t="n">
        <v>45965</v>
      </c>
      <c r="O2190" s="156" t="inlineStr">
        <is>
          <t>BIN HUMAID NATIONAL TRADING CO. (ARABIA SAUDITA)</t>
        </is>
      </c>
      <c r="P2190" s="155" t="inlineStr">
        <is>
          <t>IMPORT LICENSE N. 182480 DEL 08/01/2025                                                                                  AUT. ESPORTAZIONE MULTIPLA N. 6B/2025/2M RILASCIATA IL 26/05/2025                   (LICENZA DI SCARICO N. 6B/2025/5S RILASCIATA IL 29/10/2025)</t>
        </is>
      </c>
      <c r="Q2190" s="150" t="n"/>
      <c r="R2190" s="150" t="n"/>
      <c r="S2190" s="153" t="n"/>
    </row>
    <row r="2191" ht="36" customHeight="1">
      <c r="A2191" s="46" t="n">
        <v>4521</v>
      </c>
      <c r="B2191" s="4">
        <f>+VLOOKUP($A2191,MAGAZZINO!$B$2:$M$100000,2,FALSE)</f>
        <v/>
      </c>
      <c r="C2191" s="29">
        <f>+VLOOKUP($A2191,MAGAZZINO!$B$2:$M$100000,3,FALSE)</f>
        <v/>
      </c>
      <c r="D2191" s="3">
        <f>+VLOOKUP($A2191,MAGAZZINO!$B$2:$M$100000,4,FALSE)</f>
        <v/>
      </c>
      <c r="E2191" s="3">
        <f>+VLOOKUP($A2191,MAGAZZINO!$B$2:$M$100000,5,FALSE)</f>
        <v/>
      </c>
      <c r="F2191" s="3">
        <f>+VLOOKUP($A2191,MAGAZZINO!$B$2:$M$100000,6,FALSE)</f>
        <v/>
      </c>
      <c r="G2191" s="3">
        <f>+VLOOKUP($A2191,MAGAZZINO!$B$2:$M$100000,7,FALSE)</f>
        <v/>
      </c>
      <c r="H2191" s="3">
        <f>+VLOOKUP($A2191,MAGAZZINO!$B$2:$M$100000,8,FALSE)</f>
        <v/>
      </c>
      <c r="I2191" s="3">
        <f>+VLOOKUP($A2191,MAGAZZINO!$B$2:$M$100000,9,FALSE)</f>
        <v/>
      </c>
      <c r="J2191" s="3">
        <f>+VLOOKUP($A2191,MAGAZZINO!$B$2:$M$100000,10,FALSE)</f>
        <v/>
      </c>
      <c r="K2191" s="3">
        <f>+VLOOKUP($A2191,MAGAZZINO!$B$2:$M$100000,11,FALSE)</f>
        <v/>
      </c>
      <c r="L2191" s="5">
        <f>+VLOOKUP($A2191,MAGAZZINO!$B$2:$M$100000,12,FALSE)</f>
        <v/>
      </c>
      <c r="M2191" s="47" t="n"/>
      <c r="N2191" s="88" t="n">
        <v>45965</v>
      </c>
      <c r="O2191" s="156" t="inlineStr">
        <is>
          <t>BIN HUMAID NATIONAL TRADING CO. (ARABIA SAUDITA)</t>
        </is>
      </c>
      <c r="P2191" s="155" t="inlineStr">
        <is>
          <t>IMPORT LICENSE N. 182480 DEL 08/01/2025                                                                                  AUT. ESPORTAZIONE MULTIPLA N. 6B/2025/2M RILASCIATA IL 26/05/2025                   (LICENZA DI SCARICO N. 6B/2025/5S RILASCIATA IL 29/10/2025)</t>
        </is>
      </c>
      <c r="Q2191" s="150" t="n"/>
      <c r="R2191" s="150" t="n"/>
      <c r="S2191" s="153" t="n"/>
    </row>
    <row r="2192" ht="36" customHeight="1">
      <c r="A2192" s="46" t="n">
        <v>4522</v>
      </c>
      <c r="B2192" s="4">
        <f>+VLOOKUP($A2192,MAGAZZINO!$B$2:$M$100000,2,FALSE)</f>
        <v/>
      </c>
      <c r="C2192" s="29">
        <f>+VLOOKUP($A2192,MAGAZZINO!$B$2:$M$100000,3,FALSE)</f>
        <v/>
      </c>
      <c r="D2192" s="3">
        <f>+VLOOKUP($A2192,MAGAZZINO!$B$2:$M$100000,4,FALSE)</f>
        <v/>
      </c>
      <c r="E2192" s="3">
        <f>+VLOOKUP($A2192,MAGAZZINO!$B$2:$M$100000,5,FALSE)</f>
        <v/>
      </c>
      <c r="F2192" s="3">
        <f>+VLOOKUP($A2192,MAGAZZINO!$B$2:$M$100000,6,FALSE)</f>
        <v/>
      </c>
      <c r="G2192" s="3">
        <f>+VLOOKUP($A2192,MAGAZZINO!$B$2:$M$100000,7,FALSE)</f>
        <v/>
      </c>
      <c r="H2192" s="3">
        <f>+VLOOKUP($A2192,MAGAZZINO!$B$2:$M$100000,8,FALSE)</f>
        <v/>
      </c>
      <c r="I2192" s="3">
        <f>+VLOOKUP($A2192,MAGAZZINO!$B$2:$M$100000,9,FALSE)</f>
        <v/>
      </c>
      <c r="J2192" s="3">
        <f>+VLOOKUP($A2192,MAGAZZINO!$B$2:$M$100000,10,FALSE)</f>
        <v/>
      </c>
      <c r="K2192" s="3">
        <f>+VLOOKUP($A2192,MAGAZZINO!$B$2:$M$100000,11,FALSE)</f>
        <v/>
      </c>
      <c r="L2192" s="5">
        <f>+VLOOKUP($A2192,MAGAZZINO!$B$2:$M$100000,12,FALSE)</f>
        <v/>
      </c>
      <c r="M2192" s="47" t="n"/>
      <c r="N2192" s="88" t="n">
        <v>45965</v>
      </c>
      <c r="O2192" s="156" t="inlineStr">
        <is>
          <t>BIN HUMAID NATIONAL TRADING CO. (ARABIA SAUDITA)</t>
        </is>
      </c>
      <c r="P2192" s="155" t="inlineStr">
        <is>
          <t>IMPORT LICENSE N. 182480 DEL 08/01/2025                                                                                  AUT. ESPORTAZIONE MULTIPLA N. 6B/2025/2M RILASCIATA IL 26/05/2025                   (LICENZA DI SCARICO N. 6B/2025/5S RILASCIATA IL 29/10/2025)</t>
        </is>
      </c>
      <c r="Q2192" s="150" t="n"/>
      <c r="R2192" s="150" t="n"/>
      <c r="S2192" s="153" t="n"/>
    </row>
    <row r="2193" ht="36" customHeight="1">
      <c r="A2193" s="46" t="n">
        <v>4523</v>
      </c>
      <c r="B2193" s="4">
        <f>+VLOOKUP($A2193,MAGAZZINO!$B$2:$M$100000,2,FALSE)</f>
        <v/>
      </c>
      <c r="C2193" s="29">
        <f>+VLOOKUP($A2193,MAGAZZINO!$B$2:$M$100000,3,FALSE)</f>
        <v/>
      </c>
      <c r="D2193" s="3">
        <f>+VLOOKUP($A2193,MAGAZZINO!$B$2:$M$100000,4,FALSE)</f>
        <v/>
      </c>
      <c r="E2193" s="3">
        <f>+VLOOKUP($A2193,MAGAZZINO!$B$2:$M$100000,5,FALSE)</f>
        <v/>
      </c>
      <c r="F2193" s="3">
        <f>+VLOOKUP($A2193,MAGAZZINO!$B$2:$M$100000,6,FALSE)</f>
        <v/>
      </c>
      <c r="G2193" s="3">
        <f>+VLOOKUP($A2193,MAGAZZINO!$B$2:$M$100000,7,FALSE)</f>
        <v/>
      </c>
      <c r="H2193" s="3">
        <f>+VLOOKUP($A2193,MAGAZZINO!$B$2:$M$100000,8,FALSE)</f>
        <v/>
      </c>
      <c r="I2193" s="3">
        <f>+VLOOKUP($A2193,MAGAZZINO!$B$2:$M$100000,9,FALSE)</f>
        <v/>
      </c>
      <c r="J2193" s="3">
        <f>+VLOOKUP($A2193,MAGAZZINO!$B$2:$M$100000,10,FALSE)</f>
        <v/>
      </c>
      <c r="K2193" s="3">
        <f>+VLOOKUP($A2193,MAGAZZINO!$B$2:$M$100000,11,FALSE)</f>
        <v/>
      </c>
      <c r="L2193" s="5">
        <f>+VLOOKUP($A2193,MAGAZZINO!$B$2:$M$100000,12,FALSE)</f>
        <v/>
      </c>
      <c r="M2193" s="47" t="n"/>
      <c r="N2193" s="88" t="n">
        <v>45965</v>
      </c>
      <c r="O2193" s="156" t="inlineStr">
        <is>
          <t>BIN HUMAID NATIONAL TRADING CO. (ARABIA SAUDITA)</t>
        </is>
      </c>
      <c r="P2193" s="155" t="inlineStr">
        <is>
          <t>IMPORT LICENSE N. 182480 DEL 08/01/2025                                                                                  AUT. ESPORTAZIONE MULTIPLA N. 6B/2025/2M RILASCIATA IL 26/05/2025                   (LICENZA DI SCARICO N. 6B/2025/5S RILASCIATA IL 29/10/2025)</t>
        </is>
      </c>
      <c r="Q2193" s="150" t="n"/>
      <c r="R2193" s="150" t="n"/>
      <c r="S2193" s="153" t="n"/>
    </row>
    <row r="2194" ht="36" customHeight="1">
      <c r="A2194" s="46" t="n">
        <v>4524</v>
      </c>
      <c r="B2194" s="4">
        <f>+VLOOKUP($A2194,MAGAZZINO!$B$2:$M$100000,2,FALSE)</f>
        <v/>
      </c>
      <c r="C2194" s="29">
        <f>+VLOOKUP($A2194,MAGAZZINO!$B$2:$M$100000,3,FALSE)</f>
        <v/>
      </c>
      <c r="D2194" s="3">
        <f>+VLOOKUP($A2194,MAGAZZINO!$B$2:$M$100000,4,FALSE)</f>
        <v/>
      </c>
      <c r="E2194" s="3">
        <f>+VLOOKUP($A2194,MAGAZZINO!$B$2:$M$100000,5,FALSE)</f>
        <v/>
      </c>
      <c r="F2194" s="3">
        <f>+VLOOKUP($A2194,MAGAZZINO!$B$2:$M$100000,6,FALSE)</f>
        <v/>
      </c>
      <c r="G2194" s="3">
        <f>+VLOOKUP($A2194,MAGAZZINO!$B$2:$M$100000,7,FALSE)</f>
        <v/>
      </c>
      <c r="H2194" s="3">
        <f>+VLOOKUP($A2194,MAGAZZINO!$B$2:$M$100000,8,FALSE)</f>
        <v/>
      </c>
      <c r="I2194" s="3">
        <f>+VLOOKUP($A2194,MAGAZZINO!$B$2:$M$100000,9,FALSE)</f>
        <v/>
      </c>
      <c r="J2194" s="3">
        <f>+VLOOKUP($A2194,MAGAZZINO!$B$2:$M$100000,10,FALSE)</f>
        <v/>
      </c>
      <c r="K2194" s="3">
        <f>+VLOOKUP($A2194,MAGAZZINO!$B$2:$M$100000,11,FALSE)</f>
        <v/>
      </c>
      <c r="L2194" s="5">
        <f>+VLOOKUP($A2194,MAGAZZINO!$B$2:$M$100000,12,FALSE)</f>
        <v/>
      </c>
      <c r="M2194" s="47" t="n"/>
      <c r="N2194" s="88" t="n">
        <v>45965</v>
      </c>
      <c r="O2194" s="156" t="inlineStr">
        <is>
          <t>BIN HUMAID NATIONAL TRADING CO. (ARABIA SAUDITA)</t>
        </is>
      </c>
      <c r="P2194" s="155" t="inlineStr">
        <is>
          <t>IMPORT LICENSE N. 182480 DEL 08/01/2025                                                                                  AUT. ESPORTAZIONE MULTIPLA N. 6B/2025/2M RILASCIATA IL 26/05/2025                   (LICENZA DI SCARICO N. 6B/2025/5S RILASCIATA IL 29/10/2025)</t>
        </is>
      </c>
      <c r="Q2194" s="150" t="n"/>
      <c r="R2194" s="150" t="n"/>
      <c r="S2194" s="153" t="n"/>
    </row>
    <row r="2195" ht="36" customHeight="1">
      <c r="A2195" s="46" t="n">
        <v>4525</v>
      </c>
      <c r="B2195" s="4">
        <f>+VLOOKUP($A2195,MAGAZZINO!$B$2:$M$100000,2,FALSE)</f>
        <v/>
      </c>
      <c r="C2195" s="29">
        <f>+VLOOKUP($A2195,MAGAZZINO!$B$2:$M$100000,3,FALSE)</f>
        <v/>
      </c>
      <c r="D2195" s="3">
        <f>+VLOOKUP($A2195,MAGAZZINO!$B$2:$M$100000,4,FALSE)</f>
        <v/>
      </c>
      <c r="E2195" s="3">
        <f>+VLOOKUP($A2195,MAGAZZINO!$B$2:$M$100000,5,FALSE)</f>
        <v/>
      </c>
      <c r="F2195" s="3">
        <f>+VLOOKUP($A2195,MAGAZZINO!$B$2:$M$100000,6,FALSE)</f>
        <v/>
      </c>
      <c r="G2195" s="3">
        <f>+VLOOKUP($A2195,MAGAZZINO!$B$2:$M$100000,7,FALSE)</f>
        <v/>
      </c>
      <c r="H2195" s="3">
        <f>+VLOOKUP($A2195,MAGAZZINO!$B$2:$M$100000,8,FALSE)</f>
        <v/>
      </c>
      <c r="I2195" s="3">
        <f>+VLOOKUP($A2195,MAGAZZINO!$B$2:$M$100000,9,FALSE)</f>
        <v/>
      </c>
      <c r="J2195" s="3">
        <f>+VLOOKUP($A2195,MAGAZZINO!$B$2:$M$100000,10,FALSE)</f>
        <v/>
      </c>
      <c r="K2195" s="3">
        <f>+VLOOKUP($A2195,MAGAZZINO!$B$2:$M$100000,11,FALSE)</f>
        <v/>
      </c>
      <c r="L2195" s="5">
        <f>+VLOOKUP($A2195,MAGAZZINO!$B$2:$M$100000,12,FALSE)</f>
        <v/>
      </c>
      <c r="M2195" s="47" t="n"/>
      <c r="N2195" s="88" t="n">
        <v>45965</v>
      </c>
      <c r="O2195" s="156" t="inlineStr">
        <is>
          <t>BIN HUMAID NATIONAL TRADING CO. (ARABIA SAUDITA)</t>
        </is>
      </c>
      <c r="P2195" s="155" t="inlineStr">
        <is>
          <t>IMPORT LICENSE N. 182480 DEL 08/01/2025                                                                                  AUT. ESPORTAZIONE MULTIPLA N. 6B/2025/2M RILASCIATA IL 26/05/2025                   (LICENZA DI SCARICO N. 6B/2025/5S RILASCIATA IL 29/10/2025)</t>
        </is>
      </c>
      <c r="Q2195" s="150" t="n"/>
      <c r="R2195" s="150" t="n"/>
      <c r="S2195" s="153" t="n"/>
    </row>
    <row r="2196" ht="36" customHeight="1">
      <c r="A2196" s="46" t="n">
        <v>4526</v>
      </c>
      <c r="B2196" s="4">
        <f>+VLOOKUP($A2196,MAGAZZINO!$B$2:$M$100000,2,FALSE)</f>
        <v/>
      </c>
      <c r="C2196" s="29">
        <f>+VLOOKUP($A2196,MAGAZZINO!$B$2:$M$100000,3,FALSE)</f>
        <v/>
      </c>
      <c r="D2196" s="3">
        <f>+VLOOKUP($A2196,MAGAZZINO!$B$2:$M$100000,4,FALSE)</f>
        <v/>
      </c>
      <c r="E2196" s="3">
        <f>+VLOOKUP($A2196,MAGAZZINO!$B$2:$M$100000,5,FALSE)</f>
        <v/>
      </c>
      <c r="F2196" s="3">
        <f>+VLOOKUP($A2196,MAGAZZINO!$B$2:$M$100000,6,FALSE)</f>
        <v/>
      </c>
      <c r="G2196" s="3">
        <f>+VLOOKUP($A2196,MAGAZZINO!$B$2:$M$100000,7,FALSE)</f>
        <v/>
      </c>
      <c r="H2196" s="3">
        <f>+VLOOKUP($A2196,MAGAZZINO!$B$2:$M$100000,8,FALSE)</f>
        <v/>
      </c>
      <c r="I2196" s="3">
        <f>+VLOOKUP($A2196,MAGAZZINO!$B$2:$M$100000,9,FALSE)</f>
        <v/>
      </c>
      <c r="J2196" s="3">
        <f>+VLOOKUP($A2196,MAGAZZINO!$B$2:$M$100000,10,FALSE)</f>
        <v/>
      </c>
      <c r="K2196" s="3">
        <f>+VLOOKUP($A2196,MAGAZZINO!$B$2:$M$100000,11,FALSE)</f>
        <v/>
      </c>
      <c r="L2196" s="5">
        <f>+VLOOKUP($A2196,MAGAZZINO!$B$2:$M$100000,12,FALSE)</f>
        <v/>
      </c>
      <c r="M2196" s="47" t="n"/>
      <c r="N2196" s="88" t="n">
        <v>45965</v>
      </c>
      <c r="O2196" s="156" t="inlineStr">
        <is>
          <t>BIN HUMAID NATIONAL TRADING CO. (ARABIA SAUDITA)</t>
        </is>
      </c>
      <c r="P2196" s="155" t="inlineStr">
        <is>
          <t>IMPORT LICENSE N. 182480 DEL 08/01/2025                                                                                  AUT. ESPORTAZIONE MULTIPLA N. 6B/2025/2M RILASCIATA IL 26/05/2025                   (LICENZA DI SCARICO N. 6B/2025/5S RILASCIATA IL 29/10/2025)</t>
        </is>
      </c>
      <c r="Q2196" s="150" t="n"/>
      <c r="R2196" s="150" t="n"/>
      <c r="S2196" s="153" t="n"/>
    </row>
    <row r="2197" ht="36" customHeight="1">
      <c r="A2197" s="46" t="n">
        <v>4527</v>
      </c>
      <c r="B2197" s="4">
        <f>+VLOOKUP($A2197,MAGAZZINO!$B$2:$M$100000,2,FALSE)</f>
        <v/>
      </c>
      <c r="C2197" s="29">
        <f>+VLOOKUP($A2197,MAGAZZINO!$B$2:$M$100000,3,FALSE)</f>
        <v/>
      </c>
      <c r="D2197" s="3">
        <f>+VLOOKUP($A2197,MAGAZZINO!$B$2:$M$100000,4,FALSE)</f>
        <v/>
      </c>
      <c r="E2197" s="3">
        <f>+VLOOKUP($A2197,MAGAZZINO!$B$2:$M$100000,5,FALSE)</f>
        <v/>
      </c>
      <c r="F2197" s="3">
        <f>+VLOOKUP($A2197,MAGAZZINO!$B$2:$M$100000,6,FALSE)</f>
        <v/>
      </c>
      <c r="G2197" s="3">
        <f>+VLOOKUP($A2197,MAGAZZINO!$B$2:$M$100000,7,FALSE)</f>
        <v/>
      </c>
      <c r="H2197" s="3">
        <f>+VLOOKUP($A2197,MAGAZZINO!$B$2:$M$100000,8,FALSE)</f>
        <v/>
      </c>
      <c r="I2197" s="3">
        <f>+VLOOKUP($A2197,MAGAZZINO!$B$2:$M$100000,9,FALSE)</f>
        <v/>
      </c>
      <c r="J2197" s="3">
        <f>+VLOOKUP($A2197,MAGAZZINO!$B$2:$M$100000,10,FALSE)</f>
        <v/>
      </c>
      <c r="K2197" s="3">
        <f>+VLOOKUP($A2197,MAGAZZINO!$B$2:$M$100000,11,FALSE)</f>
        <v/>
      </c>
      <c r="L2197" s="5">
        <f>+VLOOKUP($A2197,MAGAZZINO!$B$2:$M$100000,12,FALSE)</f>
        <v/>
      </c>
      <c r="M2197" s="47" t="n"/>
      <c r="N2197" s="88" t="n">
        <v>45965</v>
      </c>
      <c r="O2197" s="156" t="inlineStr">
        <is>
          <t>BIN HUMAID NATIONAL TRADING CO. (ARABIA SAUDITA)</t>
        </is>
      </c>
      <c r="P2197" s="155" t="inlineStr">
        <is>
          <t>IMPORT LICENSE N. 182480 DEL 08/01/2025                                                                                  AUT. ESPORTAZIONE MULTIPLA N. 6B/2025/2M RILASCIATA IL 26/05/2025                   (LICENZA DI SCARICO N. 6B/2025/5S RILASCIATA IL 29/10/2025)</t>
        </is>
      </c>
      <c r="Q2197" s="150" t="n"/>
      <c r="R2197" s="150" t="n"/>
      <c r="S2197" s="153" t="n"/>
    </row>
    <row r="2198" ht="36" customHeight="1">
      <c r="A2198" s="46" t="n">
        <v>4528</v>
      </c>
      <c r="B2198" s="4">
        <f>+VLOOKUP($A2198,MAGAZZINO!$B$2:$M$100000,2,FALSE)</f>
        <v/>
      </c>
      <c r="C2198" s="29">
        <f>+VLOOKUP($A2198,MAGAZZINO!$B$2:$M$100000,3,FALSE)</f>
        <v/>
      </c>
      <c r="D2198" s="3">
        <f>+VLOOKUP($A2198,MAGAZZINO!$B$2:$M$100000,4,FALSE)</f>
        <v/>
      </c>
      <c r="E2198" s="3">
        <f>+VLOOKUP($A2198,MAGAZZINO!$B$2:$M$100000,5,FALSE)</f>
        <v/>
      </c>
      <c r="F2198" s="3">
        <f>+VLOOKUP($A2198,MAGAZZINO!$B$2:$M$100000,6,FALSE)</f>
        <v/>
      </c>
      <c r="G2198" s="3">
        <f>+VLOOKUP($A2198,MAGAZZINO!$B$2:$M$100000,7,FALSE)</f>
        <v/>
      </c>
      <c r="H2198" s="3">
        <f>+VLOOKUP($A2198,MAGAZZINO!$B$2:$M$100000,8,FALSE)</f>
        <v/>
      </c>
      <c r="I2198" s="3">
        <f>+VLOOKUP($A2198,MAGAZZINO!$B$2:$M$100000,9,FALSE)</f>
        <v/>
      </c>
      <c r="J2198" s="3">
        <f>+VLOOKUP($A2198,MAGAZZINO!$B$2:$M$100000,10,FALSE)</f>
        <v/>
      </c>
      <c r="K2198" s="3">
        <f>+VLOOKUP($A2198,MAGAZZINO!$B$2:$M$100000,11,FALSE)</f>
        <v/>
      </c>
      <c r="L2198" s="5">
        <f>+VLOOKUP($A2198,MAGAZZINO!$B$2:$M$100000,12,FALSE)</f>
        <v/>
      </c>
      <c r="M2198" s="47" t="n"/>
      <c r="N2198" s="88" t="n">
        <v>45965</v>
      </c>
      <c r="O2198" s="156" t="inlineStr">
        <is>
          <t>BIN HUMAID NATIONAL TRADING CO. (ARABIA SAUDITA)</t>
        </is>
      </c>
      <c r="P2198" s="155" t="inlineStr">
        <is>
          <t>IMPORT LICENSE N. 182480 DEL 08/01/2025                                                                                  AUT. ESPORTAZIONE MULTIPLA N. 6B/2025/2M RILASCIATA IL 26/05/2025                   (LICENZA DI SCARICO N. 6B/2025/5S RILASCIATA IL 29/10/2025)</t>
        </is>
      </c>
      <c r="Q2198" s="150" t="n"/>
      <c r="R2198" s="150" t="n"/>
      <c r="S2198" s="153" t="n"/>
    </row>
    <row r="2199" ht="36" customHeight="1">
      <c r="A2199" s="46" t="n">
        <v>4529</v>
      </c>
      <c r="B2199" s="4">
        <f>+VLOOKUP($A2199,MAGAZZINO!$B$2:$M$100000,2,FALSE)</f>
        <v/>
      </c>
      <c r="C2199" s="29">
        <f>+VLOOKUP($A2199,MAGAZZINO!$B$2:$M$100000,3,FALSE)</f>
        <v/>
      </c>
      <c r="D2199" s="3">
        <f>+VLOOKUP($A2199,MAGAZZINO!$B$2:$M$100000,4,FALSE)</f>
        <v/>
      </c>
      <c r="E2199" s="3">
        <f>+VLOOKUP($A2199,MAGAZZINO!$B$2:$M$100000,5,FALSE)</f>
        <v/>
      </c>
      <c r="F2199" s="3">
        <f>+VLOOKUP($A2199,MAGAZZINO!$B$2:$M$100000,6,FALSE)</f>
        <v/>
      </c>
      <c r="G2199" s="3">
        <f>+VLOOKUP($A2199,MAGAZZINO!$B$2:$M$100000,7,FALSE)</f>
        <v/>
      </c>
      <c r="H2199" s="3">
        <f>+VLOOKUP($A2199,MAGAZZINO!$B$2:$M$100000,8,FALSE)</f>
        <v/>
      </c>
      <c r="I2199" s="3">
        <f>+VLOOKUP($A2199,MAGAZZINO!$B$2:$M$100000,9,FALSE)</f>
        <v/>
      </c>
      <c r="J2199" s="3">
        <f>+VLOOKUP($A2199,MAGAZZINO!$B$2:$M$100000,10,FALSE)</f>
        <v/>
      </c>
      <c r="K2199" s="3">
        <f>+VLOOKUP($A2199,MAGAZZINO!$B$2:$M$100000,11,FALSE)</f>
        <v/>
      </c>
      <c r="L2199" s="5">
        <f>+VLOOKUP($A2199,MAGAZZINO!$B$2:$M$100000,12,FALSE)</f>
        <v/>
      </c>
      <c r="M2199" s="47" t="n"/>
      <c r="N2199" s="88" t="n">
        <v>45965</v>
      </c>
      <c r="O2199" s="156" t="inlineStr">
        <is>
          <t>BIN HUMAID NATIONAL TRADING CO. (ARABIA SAUDITA)</t>
        </is>
      </c>
      <c r="P2199" s="155" t="inlineStr">
        <is>
          <t>IMPORT LICENSE N. 182480 DEL 08/01/2025                                                                                  AUT. ESPORTAZIONE MULTIPLA N. 6B/2025/2M RILASCIATA IL 26/05/2025                   (LICENZA DI SCARICO N. 6B/2025/5S RILASCIATA IL 29/10/2025)</t>
        </is>
      </c>
      <c r="Q2199" s="150" t="n"/>
      <c r="R2199" s="150" t="n"/>
      <c r="S2199" s="153" t="n"/>
    </row>
    <row r="2200" ht="36" customHeight="1">
      <c r="A2200" s="46" t="n">
        <v>4530</v>
      </c>
      <c r="B2200" s="4">
        <f>+VLOOKUP($A2200,MAGAZZINO!$B$2:$M$100000,2,FALSE)</f>
        <v/>
      </c>
      <c r="C2200" s="29">
        <f>+VLOOKUP($A2200,MAGAZZINO!$B$2:$M$100000,3,FALSE)</f>
        <v/>
      </c>
      <c r="D2200" s="3">
        <f>+VLOOKUP($A2200,MAGAZZINO!$B$2:$M$100000,4,FALSE)</f>
        <v/>
      </c>
      <c r="E2200" s="3">
        <f>+VLOOKUP($A2200,MAGAZZINO!$B$2:$M$100000,5,FALSE)</f>
        <v/>
      </c>
      <c r="F2200" s="3">
        <f>+VLOOKUP($A2200,MAGAZZINO!$B$2:$M$100000,6,FALSE)</f>
        <v/>
      </c>
      <c r="G2200" s="3">
        <f>+VLOOKUP($A2200,MAGAZZINO!$B$2:$M$100000,7,FALSE)</f>
        <v/>
      </c>
      <c r="H2200" s="3">
        <f>+VLOOKUP($A2200,MAGAZZINO!$B$2:$M$100000,8,FALSE)</f>
        <v/>
      </c>
      <c r="I2200" s="3">
        <f>+VLOOKUP($A2200,MAGAZZINO!$B$2:$M$100000,9,FALSE)</f>
        <v/>
      </c>
      <c r="J2200" s="3">
        <f>+VLOOKUP($A2200,MAGAZZINO!$B$2:$M$100000,10,FALSE)</f>
        <v/>
      </c>
      <c r="K2200" s="3">
        <f>+VLOOKUP($A2200,MAGAZZINO!$B$2:$M$100000,11,FALSE)</f>
        <v/>
      </c>
      <c r="L2200" s="5">
        <f>+VLOOKUP($A2200,MAGAZZINO!$B$2:$M$100000,12,FALSE)</f>
        <v/>
      </c>
      <c r="M2200" s="47" t="n"/>
      <c r="N2200" s="88" t="n">
        <v>45965</v>
      </c>
      <c r="O2200" s="156" t="inlineStr">
        <is>
          <t>BIN HUMAID NATIONAL TRADING CO. (ARABIA SAUDITA)</t>
        </is>
      </c>
      <c r="P2200" s="155" t="inlineStr">
        <is>
          <t>IMPORT LICENSE N. 182480 DEL 08/01/2025                                                                                  AUT. ESPORTAZIONE MULTIPLA N. 6B/2025/2M RILASCIATA IL 26/05/2025                   (LICENZA DI SCARICO N. 6B/2025/5S RILASCIATA IL 29/10/2025)</t>
        </is>
      </c>
      <c r="Q2200" s="150" t="n"/>
      <c r="R2200" s="150" t="n"/>
      <c r="S2200" s="153" t="n"/>
    </row>
    <row r="2201" ht="36" customHeight="1">
      <c r="A2201" s="46" t="n">
        <v>4531</v>
      </c>
      <c r="B2201" s="4">
        <f>+VLOOKUP($A2201,MAGAZZINO!$B$2:$M$100000,2,FALSE)</f>
        <v/>
      </c>
      <c r="C2201" s="29">
        <f>+VLOOKUP($A2201,MAGAZZINO!$B$2:$M$100000,3,FALSE)</f>
        <v/>
      </c>
      <c r="D2201" s="3">
        <f>+VLOOKUP($A2201,MAGAZZINO!$B$2:$M$100000,4,FALSE)</f>
        <v/>
      </c>
      <c r="E2201" s="3">
        <f>+VLOOKUP($A2201,MAGAZZINO!$B$2:$M$100000,5,FALSE)</f>
        <v/>
      </c>
      <c r="F2201" s="3">
        <f>+VLOOKUP($A2201,MAGAZZINO!$B$2:$M$100000,6,FALSE)</f>
        <v/>
      </c>
      <c r="G2201" s="3">
        <f>+VLOOKUP($A2201,MAGAZZINO!$B$2:$M$100000,7,FALSE)</f>
        <v/>
      </c>
      <c r="H2201" s="3">
        <f>+VLOOKUP($A2201,MAGAZZINO!$B$2:$M$100000,8,FALSE)</f>
        <v/>
      </c>
      <c r="I2201" s="3">
        <f>+VLOOKUP($A2201,MAGAZZINO!$B$2:$M$100000,9,FALSE)</f>
        <v/>
      </c>
      <c r="J2201" s="3">
        <f>+VLOOKUP($A2201,MAGAZZINO!$B$2:$M$100000,10,FALSE)</f>
        <v/>
      </c>
      <c r="K2201" s="3">
        <f>+VLOOKUP($A2201,MAGAZZINO!$B$2:$M$100000,11,FALSE)</f>
        <v/>
      </c>
      <c r="L2201" s="5">
        <f>+VLOOKUP($A2201,MAGAZZINO!$B$2:$M$100000,12,FALSE)</f>
        <v/>
      </c>
      <c r="M2201" s="47" t="n"/>
      <c r="N2201" s="88" t="n">
        <v>45965</v>
      </c>
      <c r="O2201" s="156" t="inlineStr">
        <is>
          <t>BIN HUMAID NATIONAL TRADING CO. (ARABIA SAUDITA)</t>
        </is>
      </c>
      <c r="P2201" s="155" t="inlineStr">
        <is>
          <t>IMPORT LICENSE N. 182480 DEL 08/01/2025                                                                                  AUT. ESPORTAZIONE MULTIPLA N. 6B/2025/2M RILASCIATA IL 26/05/2025                   (LICENZA DI SCARICO N. 6B/2025/5S RILASCIATA IL 29/10/2025)</t>
        </is>
      </c>
      <c r="Q2201" s="150" t="n"/>
      <c r="R2201" s="150" t="n"/>
      <c r="S2201" s="153" t="n"/>
    </row>
    <row r="2202" ht="36" customHeight="1">
      <c r="A2202" s="46" t="n">
        <v>4532</v>
      </c>
      <c r="B2202" s="4">
        <f>+VLOOKUP($A2202,MAGAZZINO!$B$2:$M$100000,2,FALSE)</f>
        <v/>
      </c>
      <c r="C2202" s="29">
        <f>+VLOOKUP($A2202,MAGAZZINO!$B$2:$M$100000,3,FALSE)</f>
        <v/>
      </c>
      <c r="D2202" s="3">
        <f>+VLOOKUP($A2202,MAGAZZINO!$B$2:$M$100000,4,FALSE)</f>
        <v/>
      </c>
      <c r="E2202" s="3">
        <f>+VLOOKUP($A2202,MAGAZZINO!$B$2:$M$100000,5,FALSE)</f>
        <v/>
      </c>
      <c r="F2202" s="3">
        <f>+VLOOKUP($A2202,MAGAZZINO!$B$2:$M$100000,6,FALSE)</f>
        <v/>
      </c>
      <c r="G2202" s="3">
        <f>+VLOOKUP($A2202,MAGAZZINO!$B$2:$M$100000,7,FALSE)</f>
        <v/>
      </c>
      <c r="H2202" s="3">
        <f>+VLOOKUP($A2202,MAGAZZINO!$B$2:$M$100000,8,FALSE)</f>
        <v/>
      </c>
      <c r="I2202" s="3">
        <f>+VLOOKUP($A2202,MAGAZZINO!$B$2:$M$100000,9,FALSE)</f>
        <v/>
      </c>
      <c r="J2202" s="3">
        <f>+VLOOKUP($A2202,MAGAZZINO!$B$2:$M$100000,10,FALSE)</f>
        <v/>
      </c>
      <c r="K2202" s="3">
        <f>+VLOOKUP($A2202,MAGAZZINO!$B$2:$M$100000,11,FALSE)</f>
        <v/>
      </c>
      <c r="L2202" s="5">
        <f>+VLOOKUP($A2202,MAGAZZINO!$B$2:$M$100000,12,FALSE)</f>
        <v/>
      </c>
      <c r="M2202" s="47" t="n"/>
      <c r="N2202" s="54" t="n"/>
      <c r="O2202" s="3" t="n"/>
      <c r="P2202" s="149" t="n"/>
      <c r="Q2202" s="150" t="n"/>
      <c r="R2202" s="150" t="n"/>
      <c r="S2202" s="151" t="n"/>
    </row>
    <row r="2203" ht="36" customHeight="1">
      <c r="A2203" s="46" t="n">
        <v>4533</v>
      </c>
      <c r="B2203" s="4">
        <f>+VLOOKUP($A2203,MAGAZZINO!$B$2:$M$100000,2,FALSE)</f>
        <v/>
      </c>
      <c r="C2203" s="29">
        <f>+VLOOKUP($A2203,MAGAZZINO!$B$2:$M$100000,3,FALSE)</f>
        <v/>
      </c>
      <c r="D2203" s="3">
        <f>+VLOOKUP($A2203,MAGAZZINO!$B$2:$M$100000,4,FALSE)</f>
        <v/>
      </c>
      <c r="E2203" s="3">
        <f>+VLOOKUP($A2203,MAGAZZINO!$B$2:$M$100000,5,FALSE)</f>
        <v/>
      </c>
      <c r="F2203" s="3">
        <f>+VLOOKUP($A2203,MAGAZZINO!$B$2:$M$100000,6,FALSE)</f>
        <v/>
      </c>
      <c r="G2203" s="3">
        <f>+VLOOKUP($A2203,MAGAZZINO!$B$2:$M$100000,7,FALSE)</f>
        <v/>
      </c>
      <c r="H2203" s="3">
        <f>+VLOOKUP($A2203,MAGAZZINO!$B$2:$M$100000,8,FALSE)</f>
        <v/>
      </c>
      <c r="I2203" s="3">
        <f>+VLOOKUP($A2203,MAGAZZINO!$B$2:$M$100000,9,FALSE)</f>
        <v/>
      </c>
      <c r="J2203" s="3">
        <f>+VLOOKUP($A2203,MAGAZZINO!$B$2:$M$100000,10,FALSE)</f>
        <v/>
      </c>
      <c r="K2203" s="3">
        <f>+VLOOKUP($A2203,MAGAZZINO!$B$2:$M$100000,11,FALSE)</f>
        <v/>
      </c>
      <c r="L2203" s="5">
        <f>+VLOOKUP($A2203,MAGAZZINO!$B$2:$M$100000,12,FALSE)</f>
        <v/>
      </c>
      <c r="M2203" s="47" t="n"/>
      <c r="N2203" s="54" t="n"/>
      <c r="O2203" s="3" t="n"/>
      <c r="P2203" s="149" t="n"/>
      <c r="Q2203" s="150" t="n"/>
      <c r="R2203" s="150" t="n"/>
      <c r="S2203" s="151" t="n"/>
    </row>
    <row r="2204" ht="36" customHeight="1">
      <c r="A2204" s="46" t="n">
        <v>4534</v>
      </c>
      <c r="B2204" s="4">
        <f>+VLOOKUP($A2204,MAGAZZINO!$B$2:$M$100000,2,FALSE)</f>
        <v/>
      </c>
      <c r="C2204" s="29">
        <f>+VLOOKUP($A2204,MAGAZZINO!$B$2:$M$100000,3,FALSE)</f>
        <v/>
      </c>
      <c r="D2204" s="3">
        <f>+VLOOKUP($A2204,MAGAZZINO!$B$2:$M$100000,4,FALSE)</f>
        <v/>
      </c>
      <c r="E2204" s="3">
        <f>+VLOOKUP($A2204,MAGAZZINO!$B$2:$M$100000,5,FALSE)</f>
        <v/>
      </c>
      <c r="F2204" s="3">
        <f>+VLOOKUP($A2204,MAGAZZINO!$B$2:$M$100000,6,FALSE)</f>
        <v/>
      </c>
      <c r="G2204" s="3">
        <f>+VLOOKUP($A2204,MAGAZZINO!$B$2:$M$100000,7,FALSE)</f>
        <v/>
      </c>
      <c r="H2204" s="3">
        <f>+VLOOKUP($A2204,MAGAZZINO!$B$2:$M$100000,8,FALSE)</f>
        <v/>
      </c>
      <c r="I2204" s="3">
        <f>+VLOOKUP($A2204,MAGAZZINO!$B$2:$M$100000,9,FALSE)</f>
        <v/>
      </c>
      <c r="J2204" s="3">
        <f>+VLOOKUP($A2204,MAGAZZINO!$B$2:$M$100000,10,FALSE)</f>
        <v/>
      </c>
      <c r="K2204" s="3">
        <f>+VLOOKUP($A2204,MAGAZZINO!$B$2:$M$100000,11,FALSE)</f>
        <v/>
      </c>
      <c r="L2204" s="5">
        <f>+VLOOKUP($A2204,MAGAZZINO!$B$2:$M$100000,12,FALSE)</f>
        <v/>
      </c>
      <c r="M2204" s="47" t="n"/>
      <c r="N2204" s="54" t="n"/>
      <c r="O2204" s="3" t="n"/>
      <c r="P2204" s="149" t="n"/>
      <c r="Q2204" s="150" t="n"/>
      <c r="R2204" s="150" t="n"/>
      <c r="S2204" s="151" t="n"/>
    </row>
    <row r="2205" ht="36" customHeight="1">
      <c r="A2205" s="46" t="n">
        <v>4535</v>
      </c>
      <c r="B2205" s="4">
        <f>+VLOOKUP($A2205,MAGAZZINO!$B$2:$M$100000,2,FALSE)</f>
        <v/>
      </c>
      <c r="C2205" s="29">
        <f>+VLOOKUP($A2205,MAGAZZINO!$B$2:$M$100000,3,FALSE)</f>
        <v/>
      </c>
      <c r="D2205" s="3">
        <f>+VLOOKUP($A2205,MAGAZZINO!$B$2:$M$100000,4,FALSE)</f>
        <v/>
      </c>
      <c r="E2205" s="3">
        <f>+VLOOKUP($A2205,MAGAZZINO!$B$2:$M$100000,5,FALSE)</f>
        <v/>
      </c>
      <c r="F2205" s="3">
        <f>+VLOOKUP($A2205,MAGAZZINO!$B$2:$M$100000,6,FALSE)</f>
        <v/>
      </c>
      <c r="G2205" s="3">
        <f>+VLOOKUP($A2205,MAGAZZINO!$B$2:$M$100000,7,FALSE)</f>
        <v/>
      </c>
      <c r="H2205" s="3">
        <f>+VLOOKUP($A2205,MAGAZZINO!$B$2:$M$100000,8,FALSE)</f>
        <v/>
      </c>
      <c r="I2205" s="3">
        <f>+VLOOKUP($A2205,MAGAZZINO!$B$2:$M$100000,9,FALSE)</f>
        <v/>
      </c>
      <c r="J2205" s="3">
        <f>+VLOOKUP($A2205,MAGAZZINO!$B$2:$M$100000,10,FALSE)</f>
        <v/>
      </c>
      <c r="K2205" s="3">
        <f>+VLOOKUP($A2205,MAGAZZINO!$B$2:$M$100000,11,FALSE)</f>
        <v/>
      </c>
      <c r="L2205" s="5">
        <f>+VLOOKUP($A2205,MAGAZZINO!$B$2:$M$100000,12,FALSE)</f>
        <v/>
      </c>
      <c r="M2205" s="47" t="n"/>
      <c r="N2205" s="54" t="n"/>
      <c r="O2205" s="3" t="n"/>
      <c r="P2205" s="149" t="n"/>
      <c r="Q2205" s="150" t="n"/>
      <c r="R2205" s="150" t="n"/>
      <c r="S2205" s="151" t="n"/>
    </row>
    <row r="2206" ht="36" customHeight="1">
      <c r="A2206" s="46" t="n">
        <v>4536</v>
      </c>
      <c r="B2206" s="4">
        <f>+VLOOKUP($A2206,MAGAZZINO!$B$2:$M$100000,2,FALSE)</f>
        <v/>
      </c>
      <c r="C2206" s="29">
        <f>+VLOOKUP($A2206,MAGAZZINO!$B$2:$M$100000,3,FALSE)</f>
        <v/>
      </c>
      <c r="D2206" s="3">
        <f>+VLOOKUP($A2206,MAGAZZINO!$B$2:$M$100000,4,FALSE)</f>
        <v/>
      </c>
      <c r="E2206" s="3">
        <f>+VLOOKUP($A2206,MAGAZZINO!$B$2:$M$100000,5,FALSE)</f>
        <v/>
      </c>
      <c r="F2206" s="3">
        <f>+VLOOKUP($A2206,MAGAZZINO!$B$2:$M$100000,6,FALSE)</f>
        <v/>
      </c>
      <c r="G2206" s="3">
        <f>+VLOOKUP($A2206,MAGAZZINO!$B$2:$M$100000,7,FALSE)</f>
        <v/>
      </c>
      <c r="H2206" s="3">
        <f>+VLOOKUP($A2206,MAGAZZINO!$B$2:$M$100000,8,FALSE)</f>
        <v/>
      </c>
      <c r="I2206" s="3">
        <f>+VLOOKUP($A2206,MAGAZZINO!$B$2:$M$100000,9,FALSE)</f>
        <v/>
      </c>
      <c r="J2206" s="3">
        <f>+VLOOKUP($A2206,MAGAZZINO!$B$2:$M$100000,10,FALSE)</f>
        <v/>
      </c>
      <c r="K2206" s="3">
        <f>+VLOOKUP($A2206,MAGAZZINO!$B$2:$M$100000,11,FALSE)</f>
        <v/>
      </c>
      <c r="L2206" s="5">
        <f>+VLOOKUP($A2206,MAGAZZINO!$B$2:$M$100000,12,FALSE)</f>
        <v/>
      </c>
      <c r="M2206" s="47" t="n"/>
      <c r="N2206" s="54" t="n"/>
      <c r="O2206" s="3" t="n"/>
      <c r="P2206" s="149" t="n"/>
      <c r="Q2206" s="150" t="n"/>
      <c r="R2206" s="150" t="n"/>
      <c r="S2206" s="151" t="n"/>
    </row>
    <row r="2207" ht="36" customHeight="1">
      <c r="A2207" s="46" t="n">
        <v>4537</v>
      </c>
      <c r="B2207" s="4">
        <f>+VLOOKUP($A2207,MAGAZZINO!$B$2:$M$100000,2,FALSE)</f>
        <v/>
      </c>
      <c r="C2207" s="29">
        <f>+VLOOKUP($A2207,MAGAZZINO!$B$2:$M$100000,3,FALSE)</f>
        <v/>
      </c>
      <c r="D2207" s="3">
        <f>+VLOOKUP($A2207,MAGAZZINO!$B$2:$M$100000,4,FALSE)</f>
        <v/>
      </c>
      <c r="E2207" s="3">
        <f>+VLOOKUP($A2207,MAGAZZINO!$B$2:$M$100000,5,FALSE)</f>
        <v/>
      </c>
      <c r="F2207" s="3">
        <f>+VLOOKUP($A2207,MAGAZZINO!$B$2:$M$100000,6,FALSE)</f>
        <v/>
      </c>
      <c r="G2207" s="3">
        <f>+VLOOKUP($A2207,MAGAZZINO!$B$2:$M$100000,7,FALSE)</f>
        <v/>
      </c>
      <c r="H2207" s="3">
        <f>+VLOOKUP($A2207,MAGAZZINO!$B$2:$M$100000,8,FALSE)</f>
        <v/>
      </c>
      <c r="I2207" s="3">
        <f>+VLOOKUP($A2207,MAGAZZINO!$B$2:$M$100000,9,FALSE)</f>
        <v/>
      </c>
      <c r="J2207" s="3">
        <f>+VLOOKUP($A2207,MAGAZZINO!$B$2:$M$100000,10,FALSE)</f>
        <v/>
      </c>
      <c r="K2207" s="3">
        <f>+VLOOKUP($A2207,MAGAZZINO!$B$2:$M$100000,11,FALSE)</f>
        <v/>
      </c>
      <c r="L2207" s="5">
        <f>+VLOOKUP($A2207,MAGAZZINO!$B$2:$M$100000,12,FALSE)</f>
        <v/>
      </c>
      <c r="M2207" s="47" t="n"/>
      <c r="N2207" s="54" t="n"/>
      <c r="O2207" s="3" t="n"/>
      <c r="P2207" s="149" t="n"/>
      <c r="Q2207" s="150" t="n"/>
      <c r="R2207" s="150" t="n"/>
      <c r="S2207" s="151" t="n"/>
    </row>
    <row r="2208" ht="36" customHeight="1">
      <c r="A2208" s="46" t="n">
        <v>4538</v>
      </c>
      <c r="B2208" s="4">
        <f>+VLOOKUP($A2208,MAGAZZINO!$B$2:$M$100000,2,FALSE)</f>
        <v/>
      </c>
      <c r="C2208" s="29">
        <f>+VLOOKUP($A2208,MAGAZZINO!$B$2:$M$100000,3,FALSE)</f>
        <v/>
      </c>
      <c r="D2208" s="3">
        <f>+VLOOKUP($A2208,MAGAZZINO!$B$2:$M$100000,4,FALSE)</f>
        <v/>
      </c>
      <c r="E2208" s="3">
        <f>+VLOOKUP($A2208,MAGAZZINO!$B$2:$M$100000,5,FALSE)</f>
        <v/>
      </c>
      <c r="F2208" s="3">
        <f>+VLOOKUP($A2208,MAGAZZINO!$B$2:$M$100000,6,FALSE)</f>
        <v/>
      </c>
      <c r="G2208" s="3">
        <f>+VLOOKUP($A2208,MAGAZZINO!$B$2:$M$100000,7,FALSE)</f>
        <v/>
      </c>
      <c r="H2208" s="3">
        <f>+VLOOKUP($A2208,MAGAZZINO!$B$2:$M$100000,8,FALSE)</f>
        <v/>
      </c>
      <c r="I2208" s="3">
        <f>+VLOOKUP($A2208,MAGAZZINO!$B$2:$M$100000,9,FALSE)</f>
        <v/>
      </c>
      <c r="J2208" s="3">
        <f>+VLOOKUP($A2208,MAGAZZINO!$B$2:$M$100000,10,FALSE)</f>
        <v/>
      </c>
      <c r="K2208" s="3">
        <f>+VLOOKUP($A2208,MAGAZZINO!$B$2:$M$100000,11,FALSE)</f>
        <v/>
      </c>
      <c r="L2208" s="5">
        <f>+VLOOKUP($A2208,MAGAZZINO!$B$2:$M$100000,12,FALSE)</f>
        <v/>
      </c>
      <c r="M2208" s="47" t="n"/>
      <c r="N2208" s="54" t="n"/>
      <c r="O2208" s="3" t="n"/>
      <c r="P2208" s="149" t="n"/>
      <c r="Q2208" s="150" t="n"/>
      <c r="R2208" s="150" t="n"/>
      <c r="S2208" s="151" t="n"/>
    </row>
    <row r="2209" ht="36" customHeight="1">
      <c r="A2209" s="46" t="n">
        <v>4539</v>
      </c>
      <c r="B2209" s="4">
        <f>+VLOOKUP($A2209,MAGAZZINO!$B$2:$M$100000,2,FALSE)</f>
        <v/>
      </c>
      <c r="C2209" s="29">
        <f>+VLOOKUP($A2209,MAGAZZINO!$B$2:$M$100000,3,FALSE)</f>
        <v/>
      </c>
      <c r="D2209" s="3">
        <f>+VLOOKUP($A2209,MAGAZZINO!$B$2:$M$100000,4,FALSE)</f>
        <v/>
      </c>
      <c r="E2209" s="3">
        <f>+VLOOKUP($A2209,MAGAZZINO!$B$2:$M$100000,5,FALSE)</f>
        <v/>
      </c>
      <c r="F2209" s="3">
        <f>+VLOOKUP($A2209,MAGAZZINO!$B$2:$M$100000,6,FALSE)</f>
        <v/>
      </c>
      <c r="G2209" s="3">
        <f>+VLOOKUP($A2209,MAGAZZINO!$B$2:$M$100000,7,FALSE)</f>
        <v/>
      </c>
      <c r="H2209" s="3">
        <f>+VLOOKUP($A2209,MAGAZZINO!$B$2:$M$100000,8,FALSE)</f>
        <v/>
      </c>
      <c r="I2209" s="3">
        <f>+VLOOKUP($A2209,MAGAZZINO!$B$2:$M$100000,9,FALSE)</f>
        <v/>
      </c>
      <c r="J2209" s="3">
        <f>+VLOOKUP($A2209,MAGAZZINO!$B$2:$M$100000,10,FALSE)</f>
        <v/>
      </c>
      <c r="K2209" s="3">
        <f>+VLOOKUP($A2209,MAGAZZINO!$B$2:$M$100000,11,FALSE)</f>
        <v/>
      </c>
      <c r="L2209" s="5">
        <f>+VLOOKUP($A2209,MAGAZZINO!$B$2:$M$100000,12,FALSE)</f>
        <v/>
      </c>
      <c r="M2209" s="47" t="n"/>
      <c r="N2209" s="54" t="n"/>
      <c r="O2209" s="3" t="n"/>
      <c r="P2209" s="149" t="n"/>
      <c r="Q2209" s="150" t="n"/>
      <c r="R2209" s="150" t="n"/>
      <c r="S2209" s="151" t="n"/>
    </row>
    <row r="2210" ht="36" customHeight="1">
      <c r="A2210" s="46" t="n">
        <v>4540</v>
      </c>
      <c r="B2210" s="4">
        <f>+VLOOKUP($A2210,MAGAZZINO!$B$2:$M$100000,2,FALSE)</f>
        <v/>
      </c>
      <c r="C2210" s="29">
        <f>+VLOOKUP($A2210,MAGAZZINO!$B$2:$M$100000,3,FALSE)</f>
        <v/>
      </c>
      <c r="D2210" s="3">
        <f>+VLOOKUP($A2210,MAGAZZINO!$B$2:$M$100000,4,FALSE)</f>
        <v/>
      </c>
      <c r="E2210" s="3">
        <f>+VLOOKUP($A2210,MAGAZZINO!$B$2:$M$100000,5,FALSE)</f>
        <v/>
      </c>
      <c r="F2210" s="3">
        <f>+VLOOKUP($A2210,MAGAZZINO!$B$2:$M$100000,6,FALSE)</f>
        <v/>
      </c>
      <c r="G2210" s="3">
        <f>+VLOOKUP($A2210,MAGAZZINO!$B$2:$M$100000,7,FALSE)</f>
        <v/>
      </c>
      <c r="H2210" s="3">
        <f>+VLOOKUP($A2210,MAGAZZINO!$B$2:$M$100000,8,FALSE)</f>
        <v/>
      </c>
      <c r="I2210" s="3">
        <f>+VLOOKUP($A2210,MAGAZZINO!$B$2:$M$100000,9,FALSE)</f>
        <v/>
      </c>
      <c r="J2210" s="3">
        <f>+VLOOKUP($A2210,MAGAZZINO!$B$2:$M$100000,10,FALSE)</f>
        <v/>
      </c>
      <c r="K2210" s="3">
        <f>+VLOOKUP($A2210,MAGAZZINO!$B$2:$M$100000,11,FALSE)</f>
        <v/>
      </c>
      <c r="L2210" s="5">
        <f>+VLOOKUP($A2210,MAGAZZINO!$B$2:$M$100000,12,FALSE)</f>
        <v/>
      </c>
      <c r="M2210" s="47" t="n"/>
      <c r="N2210" s="54" t="n"/>
      <c r="O2210" s="3" t="n"/>
      <c r="P2210" s="149" t="n"/>
      <c r="Q2210" s="150" t="n"/>
      <c r="R2210" s="150" t="n"/>
      <c r="S2210" s="151" t="n"/>
    </row>
    <row r="2211" ht="36" customHeight="1">
      <c r="A2211" s="46" t="n">
        <v>4541</v>
      </c>
      <c r="B2211" s="4">
        <f>+VLOOKUP($A2211,MAGAZZINO!$B$2:$M$100000,2,FALSE)</f>
        <v/>
      </c>
      <c r="C2211" s="29">
        <f>+VLOOKUP($A2211,MAGAZZINO!$B$2:$M$100000,3,FALSE)</f>
        <v/>
      </c>
      <c r="D2211" s="3">
        <f>+VLOOKUP($A2211,MAGAZZINO!$B$2:$M$100000,4,FALSE)</f>
        <v/>
      </c>
      <c r="E2211" s="3">
        <f>+VLOOKUP($A2211,MAGAZZINO!$B$2:$M$100000,5,FALSE)</f>
        <v/>
      </c>
      <c r="F2211" s="3">
        <f>+VLOOKUP($A2211,MAGAZZINO!$B$2:$M$100000,6,FALSE)</f>
        <v/>
      </c>
      <c r="G2211" s="3">
        <f>+VLOOKUP($A2211,MAGAZZINO!$B$2:$M$100000,7,FALSE)</f>
        <v/>
      </c>
      <c r="H2211" s="3">
        <f>+VLOOKUP($A2211,MAGAZZINO!$B$2:$M$100000,8,FALSE)</f>
        <v/>
      </c>
      <c r="I2211" s="3">
        <f>+VLOOKUP($A2211,MAGAZZINO!$B$2:$M$100000,9,FALSE)</f>
        <v/>
      </c>
      <c r="J2211" s="3">
        <f>+VLOOKUP($A2211,MAGAZZINO!$B$2:$M$100000,10,FALSE)</f>
        <v/>
      </c>
      <c r="K2211" s="3">
        <f>+VLOOKUP($A2211,MAGAZZINO!$B$2:$M$100000,11,FALSE)</f>
        <v/>
      </c>
      <c r="L2211" s="5">
        <f>+VLOOKUP($A2211,MAGAZZINO!$B$2:$M$100000,12,FALSE)</f>
        <v/>
      </c>
      <c r="M2211" s="47" t="n"/>
      <c r="N2211" s="54" t="n"/>
      <c r="O2211" s="3" t="n"/>
      <c r="P2211" s="149" t="n"/>
      <c r="Q2211" s="150" t="n"/>
      <c r="R2211" s="150" t="n"/>
      <c r="S2211" s="151" t="n"/>
    </row>
    <row r="2212" ht="36" customHeight="1">
      <c r="A2212" s="46" t="n">
        <v>4542</v>
      </c>
      <c r="B2212" s="4">
        <f>+VLOOKUP($A2212,MAGAZZINO!$B$2:$M$100000,2,FALSE)</f>
        <v/>
      </c>
      <c r="C2212" s="29">
        <f>+VLOOKUP($A2212,MAGAZZINO!$B$2:$M$100000,3,FALSE)</f>
        <v/>
      </c>
      <c r="D2212" s="3">
        <f>+VLOOKUP($A2212,MAGAZZINO!$B$2:$M$100000,4,FALSE)</f>
        <v/>
      </c>
      <c r="E2212" s="3">
        <f>+VLOOKUP($A2212,MAGAZZINO!$B$2:$M$100000,5,FALSE)</f>
        <v/>
      </c>
      <c r="F2212" s="3">
        <f>+VLOOKUP($A2212,MAGAZZINO!$B$2:$M$100000,6,FALSE)</f>
        <v/>
      </c>
      <c r="G2212" s="3">
        <f>+VLOOKUP($A2212,MAGAZZINO!$B$2:$M$100000,7,FALSE)</f>
        <v/>
      </c>
      <c r="H2212" s="3">
        <f>+VLOOKUP($A2212,MAGAZZINO!$B$2:$M$100000,8,FALSE)</f>
        <v/>
      </c>
      <c r="I2212" s="3">
        <f>+VLOOKUP($A2212,MAGAZZINO!$B$2:$M$100000,9,FALSE)</f>
        <v/>
      </c>
      <c r="J2212" s="3">
        <f>+VLOOKUP($A2212,MAGAZZINO!$B$2:$M$100000,10,FALSE)</f>
        <v/>
      </c>
      <c r="K2212" s="3">
        <f>+VLOOKUP($A2212,MAGAZZINO!$B$2:$M$100000,11,FALSE)</f>
        <v/>
      </c>
      <c r="L2212" s="5">
        <f>+VLOOKUP($A2212,MAGAZZINO!$B$2:$M$100000,12,FALSE)</f>
        <v/>
      </c>
      <c r="M2212" s="47" t="n"/>
      <c r="N2212" s="54" t="n"/>
      <c r="O2212" s="3" t="n"/>
      <c r="P2212" s="149" t="n"/>
      <c r="Q2212" s="150" t="n"/>
      <c r="R2212" s="150" t="n"/>
      <c r="S2212" s="151" t="n"/>
    </row>
    <row r="2213" ht="36" customHeight="1">
      <c r="A2213" s="46" t="n">
        <v>4543</v>
      </c>
      <c r="B2213" s="4">
        <f>+VLOOKUP($A2213,MAGAZZINO!$B$2:$M$100000,2,FALSE)</f>
        <v/>
      </c>
      <c r="C2213" s="29">
        <f>+VLOOKUP($A2213,MAGAZZINO!$B$2:$M$100000,3,FALSE)</f>
        <v/>
      </c>
      <c r="D2213" s="3">
        <f>+VLOOKUP($A2213,MAGAZZINO!$B$2:$M$100000,4,FALSE)</f>
        <v/>
      </c>
      <c r="E2213" s="3">
        <f>+VLOOKUP($A2213,MAGAZZINO!$B$2:$M$100000,5,FALSE)</f>
        <v/>
      </c>
      <c r="F2213" s="3">
        <f>+VLOOKUP($A2213,MAGAZZINO!$B$2:$M$100000,6,FALSE)</f>
        <v/>
      </c>
      <c r="G2213" s="3">
        <f>+VLOOKUP($A2213,MAGAZZINO!$B$2:$M$100000,7,FALSE)</f>
        <v/>
      </c>
      <c r="H2213" s="3">
        <f>+VLOOKUP($A2213,MAGAZZINO!$B$2:$M$100000,8,FALSE)</f>
        <v/>
      </c>
      <c r="I2213" s="3">
        <f>+VLOOKUP($A2213,MAGAZZINO!$B$2:$M$100000,9,FALSE)</f>
        <v/>
      </c>
      <c r="J2213" s="3">
        <f>+VLOOKUP($A2213,MAGAZZINO!$B$2:$M$100000,10,FALSE)</f>
        <v/>
      </c>
      <c r="K2213" s="3">
        <f>+VLOOKUP($A2213,MAGAZZINO!$B$2:$M$100000,11,FALSE)</f>
        <v/>
      </c>
      <c r="L2213" s="5">
        <f>+VLOOKUP($A2213,MAGAZZINO!$B$2:$M$100000,12,FALSE)</f>
        <v/>
      </c>
      <c r="M2213" s="47" t="n"/>
      <c r="N2213" s="54" t="n"/>
      <c r="O2213" s="3" t="n"/>
      <c r="P2213" s="149" t="n"/>
      <c r="Q2213" s="150" t="n"/>
      <c r="R2213" s="150" t="n"/>
      <c r="S2213" s="151" t="n"/>
    </row>
    <row r="2214" ht="36" customHeight="1">
      <c r="A2214" s="46" t="n">
        <v>4544</v>
      </c>
      <c r="B2214" s="4">
        <f>+VLOOKUP($A2214,MAGAZZINO!$B$2:$M$100000,2,FALSE)</f>
        <v/>
      </c>
      <c r="C2214" s="29">
        <f>+VLOOKUP($A2214,MAGAZZINO!$B$2:$M$100000,3,FALSE)</f>
        <v/>
      </c>
      <c r="D2214" s="3">
        <f>+VLOOKUP($A2214,MAGAZZINO!$B$2:$M$100000,4,FALSE)</f>
        <v/>
      </c>
      <c r="E2214" s="3">
        <f>+VLOOKUP($A2214,MAGAZZINO!$B$2:$M$100000,5,FALSE)</f>
        <v/>
      </c>
      <c r="F2214" s="3">
        <f>+VLOOKUP($A2214,MAGAZZINO!$B$2:$M$100000,6,FALSE)</f>
        <v/>
      </c>
      <c r="G2214" s="3">
        <f>+VLOOKUP($A2214,MAGAZZINO!$B$2:$M$100000,7,FALSE)</f>
        <v/>
      </c>
      <c r="H2214" s="3">
        <f>+VLOOKUP($A2214,MAGAZZINO!$B$2:$M$100000,8,FALSE)</f>
        <v/>
      </c>
      <c r="I2214" s="3">
        <f>+VLOOKUP($A2214,MAGAZZINO!$B$2:$M$100000,9,FALSE)</f>
        <v/>
      </c>
      <c r="J2214" s="3">
        <f>+VLOOKUP($A2214,MAGAZZINO!$B$2:$M$100000,10,FALSE)</f>
        <v/>
      </c>
      <c r="K2214" s="3">
        <f>+VLOOKUP($A2214,MAGAZZINO!$B$2:$M$100000,11,FALSE)</f>
        <v/>
      </c>
      <c r="L2214" s="5">
        <f>+VLOOKUP($A2214,MAGAZZINO!$B$2:$M$100000,12,FALSE)</f>
        <v/>
      </c>
      <c r="M2214" s="47" t="n"/>
      <c r="N2214" s="54" t="n"/>
      <c r="O2214" s="3" t="n"/>
      <c r="P2214" s="149" t="n"/>
      <c r="Q2214" s="150" t="n"/>
      <c r="R2214" s="150" t="n"/>
      <c r="S2214" s="151" t="n"/>
    </row>
    <row r="2215" ht="36" customHeight="1">
      <c r="A2215" s="46" t="n">
        <v>4545</v>
      </c>
      <c r="B2215" s="4">
        <f>+VLOOKUP($A2215,MAGAZZINO!$B$2:$M$100000,2,FALSE)</f>
        <v/>
      </c>
      <c r="C2215" s="29">
        <f>+VLOOKUP($A2215,MAGAZZINO!$B$2:$M$100000,3,FALSE)</f>
        <v/>
      </c>
      <c r="D2215" s="3">
        <f>+VLOOKUP($A2215,MAGAZZINO!$B$2:$M$100000,4,FALSE)</f>
        <v/>
      </c>
      <c r="E2215" s="3">
        <f>+VLOOKUP($A2215,MAGAZZINO!$B$2:$M$100000,5,FALSE)</f>
        <v/>
      </c>
      <c r="F2215" s="3">
        <f>+VLOOKUP($A2215,MAGAZZINO!$B$2:$M$100000,6,FALSE)</f>
        <v/>
      </c>
      <c r="G2215" s="3">
        <f>+VLOOKUP($A2215,MAGAZZINO!$B$2:$M$100000,7,FALSE)</f>
        <v/>
      </c>
      <c r="H2215" s="3">
        <f>+VLOOKUP($A2215,MAGAZZINO!$B$2:$M$100000,8,FALSE)</f>
        <v/>
      </c>
      <c r="I2215" s="3">
        <f>+VLOOKUP($A2215,MAGAZZINO!$B$2:$M$100000,9,FALSE)</f>
        <v/>
      </c>
      <c r="J2215" s="3">
        <f>+VLOOKUP($A2215,MAGAZZINO!$B$2:$M$100000,10,FALSE)</f>
        <v/>
      </c>
      <c r="K2215" s="3">
        <f>+VLOOKUP($A2215,MAGAZZINO!$B$2:$M$100000,11,FALSE)</f>
        <v/>
      </c>
      <c r="L2215" s="5">
        <f>+VLOOKUP($A2215,MAGAZZINO!$B$2:$M$100000,12,FALSE)</f>
        <v/>
      </c>
      <c r="M2215" s="47" t="n"/>
      <c r="N2215" s="54" t="n"/>
      <c r="O2215" s="3" t="n"/>
      <c r="P2215" s="149" t="n"/>
      <c r="Q2215" s="150" t="n"/>
      <c r="R2215" s="150" t="n"/>
      <c r="S2215" s="151" t="n"/>
    </row>
    <row r="2216" ht="36" customHeight="1">
      <c r="A2216" s="46" t="n">
        <v>4546</v>
      </c>
      <c r="B2216" s="4">
        <f>+VLOOKUP($A2216,MAGAZZINO!$B$2:$M$100000,2,FALSE)</f>
        <v/>
      </c>
      <c r="C2216" s="29">
        <f>+VLOOKUP($A2216,MAGAZZINO!$B$2:$M$100000,3,FALSE)</f>
        <v/>
      </c>
      <c r="D2216" s="3">
        <f>+VLOOKUP($A2216,MAGAZZINO!$B$2:$M$100000,4,FALSE)</f>
        <v/>
      </c>
      <c r="E2216" s="3">
        <f>+VLOOKUP($A2216,MAGAZZINO!$B$2:$M$100000,5,FALSE)</f>
        <v/>
      </c>
      <c r="F2216" s="3">
        <f>+VLOOKUP($A2216,MAGAZZINO!$B$2:$M$100000,6,FALSE)</f>
        <v/>
      </c>
      <c r="G2216" s="3">
        <f>+VLOOKUP($A2216,MAGAZZINO!$B$2:$M$100000,7,FALSE)</f>
        <v/>
      </c>
      <c r="H2216" s="3">
        <f>+VLOOKUP($A2216,MAGAZZINO!$B$2:$M$100000,8,FALSE)</f>
        <v/>
      </c>
      <c r="I2216" s="3">
        <f>+VLOOKUP($A2216,MAGAZZINO!$B$2:$M$100000,9,FALSE)</f>
        <v/>
      </c>
      <c r="J2216" s="3">
        <f>+VLOOKUP($A2216,MAGAZZINO!$B$2:$M$100000,10,FALSE)</f>
        <v/>
      </c>
      <c r="K2216" s="3">
        <f>+VLOOKUP($A2216,MAGAZZINO!$B$2:$M$100000,11,FALSE)</f>
        <v/>
      </c>
      <c r="L2216" s="5">
        <f>+VLOOKUP($A2216,MAGAZZINO!$B$2:$M$100000,12,FALSE)</f>
        <v/>
      </c>
      <c r="M2216" s="47" t="n"/>
      <c r="N2216" s="54" t="n"/>
      <c r="O2216" s="3" t="n"/>
      <c r="P2216" s="149" t="n"/>
      <c r="Q2216" s="150" t="n"/>
      <c r="R2216" s="150" t="n"/>
      <c r="S2216" s="151" t="n"/>
    </row>
    <row r="2217" ht="36" customHeight="1">
      <c r="A2217" s="46" t="n">
        <v>4547</v>
      </c>
      <c r="B2217" s="4">
        <f>+VLOOKUP($A2217,MAGAZZINO!$B$2:$M$100000,2,FALSE)</f>
        <v/>
      </c>
      <c r="C2217" s="29">
        <f>+VLOOKUP($A2217,MAGAZZINO!$B$2:$M$100000,3,FALSE)</f>
        <v/>
      </c>
      <c r="D2217" s="3">
        <f>+VLOOKUP($A2217,MAGAZZINO!$B$2:$M$100000,4,FALSE)</f>
        <v/>
      </c>
      <c r="E2217" s="3">
        <f>+VLOOKUP($A2217,MAGAZZINO!$B$2:$M$100000,5,FALSE)</f>
        <v/>
      </c>
      <c r="F2217" s="3">
        <f>+VLOOKUP($A2217,MAGAZZINO!$B$2:$M$100000,6,FALSE)</f>
        <v/>
      </c>
      <c r="G2217" s="3">
        <f>+VLOOKUP($A2217,MAGAZZINO!$B$2:$M$100000,7,FALSE)</f>
        <v/>
      </c>
      <c r="H2217" s="3">
        <f>+VLOOKUP($A2217,MAGAZZINO!$B$2:$M$100000,8,FALSE)</f>
        <v/>
      </c>
      <c r="I2217" s="3">
        <f>+VLOOKUP($A2217,MAGAZZINO!$B$2:$M$100000,9,FALSE)</f>
        <v/>
      </c>
      <c r="J2217" s="3">
        <f>+VLOOKUP($A2217,MAGAZZINO!$B$2:$M$100000,10,FALSE)</f>
        <v/>
      </c>
      <c r="K2217" s="3">
        <f>+VLOOKUP($A2217,MAGAZZINO!$B$2:$M$100000,11,FALSE)</f>
        <v/>
      </c>
      <c r="L2217" s="5">
        <f>+VLOOKUP($A2217,MAGAZZINO!$B$2:$M$100000,12,FALSE)</f>
        <v/>
      </c>
      <c r="M2217" s="47" t="n"/>
      <c r="N2217" s="54" t="n"/>
      <c r="O2217" s="3" t="n"/>
      <c r="P2217" s="149" t="n"/>
      <c r="Q2217" s="150" t="n"/>
      <c r="R2217" s="150" t="n"/>
      <c r="S2217" s="151" t="n"/>
    </row>
    <row r="2218" ht="36" customHeight="1">
      <c r="A2218" s="46" t="n">
        <v>4548</v>
      </c>
      <c r="B2218" s="4">
        <f>+VLOOKUP($A2218,MAGAZZINO!$B$2:$M$100000,2,FALSE)</f>
        <v/>
      </c>
      <c r="C2218" s="29">
        <f>+VLOOKUP($A2218,MAGAZZINO!$B$2:$M$100000,3,FALSE)</f>
        <v/>
      </c>
      <c r="D2218" s="3">
        <f>+VLOOKUP($A2218,MAGAZZINO!$B$2:$M$100000,4,FALSE)</f>
        <v/>
      </c>
      <c r="E2218" s="3">
        <f>+VLOOKUP($A2218,MAGAZZINO!$B$2:$M$100000,5,FALSE)</f>
        <v/>
      </c>
      <c r="F2218" s="3">
        <f>+VLOOKUP($A2218,MAGAZZINO!$B$2:$M$100000,6,FALSE)</f>
        <v/>
      </c>
      <c r="G2218" s="3">
        <f>+VLOOKUP($A2218,MAGAZZINO!$B$2:$M$100000,7,FALSE)</f>
        <v/>
      </c>
      <c r="H2218" s="3">
        <f>+VLOOKUP($A2218,MAGAZZINO!$B$2:$M$100000,8,FALSE)</f>
        <v/>
      </c>
      <c r="I2218" s="3">
        <f>+VLOOKUP($A2218,MAGAZZINO!$B$2:$M$100000,9,FALSE)</f>
        <v/>
      </c>
      <c r="J2218" s="3">
        <f>+VLOOKUP($A2218,MAGAZZINO!$B$2:$M$100000,10,FALSE)</f>
        <v/>
      </c>
      <c r="K2218" s="3">
        <f>+VLOOKUP($A2218,MAGAZZINO!$B$2:$M$100000,11,FALSE)</f>
        <v/>
      </c>
      <c r="L2218" s="5">
        <f>+VLOOKUP($A2218,MAGAZZINO!$B$2:$M$100000,12,FALSE)</f>
        <v/>
      </c>
      <c r="M2218" s="47" t="n"/>
      <c r="N2218" s="54" t="n"/>
      <c r="O2218" s="3" t="n"/>
      <c r="P2218" s="149" t="n"/>
      <c r="Q2218" s="150" t="n"/>
      <c r="R2218" s="150" t="n"/>
      <c r="S2218" s="151" t="n"/>
    </row>
    <row r="2219" ht="36" customHeight="1">
      <c r="A2219" s="46" t="n">
        <v>4549</v>
      </c>
      <c r="B2219" s="4">
        <f>+VLOOKUP($A2219,MAGAZZINO!$B$2:$M$100000,2,FALSE)</f>
        <v/>
      </c>
      <c r="C2219" s="29">
        <f>+VLOOKUP($A2219,MAGAZZINO!$B$2:$M$100000,3,FALSE)</f>
        <v/>
      </c>
      <c r="D2219" s="3">
        <f>+VLOOKUP($A2219,MAGAZZINO!$B$2:$M$100000,4,FALSE)</f>
        <v/>
      </c>
      <c r="E2219" s="3">
        <f>+VLOOKUP($A2219,MAGAZZINO!$B$2:$M$100000,5,FALSE)</f>
        <v/>
      </c>
      <c r="F2219" s="3">
        <f>+VLOOKUP($A2219,MAGAZZINO!$B$2:$M$100000,6,FALSE)</f>
        <v/>
      </c>
      <c r="G2219" s="3">
        <f>+VLOOKUP($A2219,MAGAZZINO!$B$2:$M$100000,7,FALSE)</f>
        <v/>
      </c>
      <c r="H2219" s="3">
        <f>+VLOOKUP($A2219,MAGAZZINO!$B$2:$M$100000,8,FALSE)</f>
        <v/>
      </c>
      <c r="I2219" s="3">
        <f>+VLOOKUP($A2219,MAGAZZINO!$B$2:$M$100000,9,FALSE)</f>
        <v/>
      </c>
      <c r="J2219" s="3">
        <f>+VLOOKUP($A2219,MAGAZZINO!$B$2:$M$100000,10,FALSE)</f>
        <v/>
      </c>
      <c r="K2219" s="3">
        <f>+VLOOKUP($A2219,MAGAZZINO!$B$2:$M$100000,11,FALSE)</f>
        <v/>
      </c>
      <c r="L2219" s="5">
        <f>+VLOOKUP($A2219,MAGAZZINO!$B$2:$M$100000,12,FALSE)</f>
        <v/>
      </c>
      <c r="M2219" s="47" t="n"/>
      <c r="N2219" s="54" t="n"/>
      <c r="O2219" s="3" t="n"/>
      <c r="P2219" s="149" t="n"/>
      <c r="Q2219" s="150" t="n"/>
      <c r="R2219" s="150" t="n"/>
      <c r="S2219" s="151" t="n"/>
    </row>
    <row r="2220" ht="36" customHeight="1">
      <c r="A2220" s="46" t="n">
        <v>4550</v>
      </c>
      <c r="B2220" s="4">
        <f>+VLOOKUP($A2220,MAGAZZINO!$B$2:$M$100000,2,FALSE)</f>
        <v/>
      </c>
      <c r="C2220" s="29">
        <f>+VLOOKUP($A2220,MAGAZZINO!$B$2:$M$100000,3,FALSE)</f>
        <v/>
      </c>
      <c r="D2220" s="3">
        <f>+VLOOKUP($A2220,MAGAZZINO!$B$2:$M$100000,4,FALSE)</f>
        <v/>
      </c>
      <c r="E2220" s="3">
        <f>+VLOOKUP($A2220,MAGAZZINO!$B$2:$M$100000,5,FALSE)</f>
        <v/>
      </c>
      <c r="F2220" s="3">
        <f>+VLOOKUP($A2220,MAGAZZINO!$B$2:$M$100000,6,FALSE)</f>
        <v/>
      </c>
      <c r="G2220" s="3">
        <f>+VLOOKUP($A2220,MAGAZZINO!$B$2:$M$100000,7,FALSE)</f>
        <v/>
      </c>
      <c r="H2220" s="3">
        <f>+VLOOKUP($A2220,MAGAZZINO!$B$2:$M$100000,8,FALSE)</f>
        <v/>
      </c>
      <c r="I2220" s="3">
        <f>+VLOOKUP($A2220,MAGAZZINO!$B$2:$M$100000,9,FALSE)</f>
        <v/>
      </c>
      <c r="J2220" s="3">
        <f>+VLOOKUP($A2220,MAGAZZINO!$B$2:$M$100000,10,FALSE)</f>
        <v/>
      </c>
      <c r="K2220" s="3">
        <f>+VLOOKUP($A2220,MAGAZZINO!$B$2:$M$100000,11,FALSE)</f>
        <v/>
      </c>
      <c r="L2220" s="5">
        <f>+VLOOKUP($A2220,MAGAZZINO!$B$2:$M$100000,12,FALSE)</f>
        <v/>
      </c>
      <c r="M2220" s="47" t="n"/>
      <c r="N2220" s="54" t="n"/>
      <c r="O2220" s="3" t="n"/>
      <c r="P2220" s="149" t="n"/>
      <c r="Q2220" s="150" t="n"/>
      <c r="R2220" s="150" t="n"/>
      <c r="S2220" s="151" t="n"/>
    </row>
    <row r="2221" ht="36" customHeight="1">
      <c r="A2221" s="46" t="n">
        <v>4551</v>
      </c>
      <c r="B2221" s="4">
        <f>+VLOOKUP($A2221,MAGAZZINO!$B$2:$M$100000,2,FALSE)</f>
        <v/>
      </c>
      <c r="C2221" s="29">
        <f>+VLOOKUP($A2221,MAGAZZINO!$B$2:$M$100000,3,FALSE)</f>
        <v/>
      </c>
      <c r="D2221" s="3">
        <f>+VLOOKUP($A2221,MAGAZZINO!$B$2:$M$100000,4,FALSE)</f>
        <v/>
      </c>
      <c r="E2221" s="3">
        <f>+VLOOKUP($A2221,MAGAZZINO!$B$2:$M$100000,5,FALSE)</f>
        <v/>
      </c>
      <c r="F2221" s="3">
        <f>+VLOOKUP($A2221,MAGAZZINO!$B$2:$M$100000,6,FALSE)</f>
        <v/>
      </c>
      <c r="G2221" s="3">
        <f>+VLOOKUP($A2221,MAGAZZINO!$B$2:$M$100000,7,FALSE)</f>
        <v/>
      </c>
      <c r="H2221" s="3">
        <f>+VLOOKUP($A2221,MAGAZZINO!$B$2:$M$100000,8,FALSE)</f>
        <v/>
      </c>
      <c r="I2221" s="3">
        <f>+VLOOKUP($A2221,MAGAZZINO!$B$2:$M$100000,9,FALSE)</f>
        <v/>
      </c>
      <c r="J2221" s="3">
        <f>+VLOOKUP($A2221,MAGAZZINO!$B$2:$M$100000,10,FALSE)</f>
        <v/>
      </c>
      <c r="K2221" s="3">
        <f>+VLOOKUP($A2221,MAGAZZINO!$B$2:$M$100000,11,FALSE)</f>
        <v/>
      </c>
      <c r="L2221" s="5">
        <f>+VLOOKUP($A2221,MAGAZZINO!$B$2:$M$100000,12,FALSE)</f>
        <v/>
      </c>
      <c r="M2221" s="47" t="n"/>
      <c r="N2221" s="54" t="n"/>
      <c r="O2221" s="3" t="n"/>
      <c r="P2221" s="149" t="n"/>
      <c r="Q2221" s="150" t="n"/>
      <c r="R2221" s="150" t="n"/>
      <c r="S2221" s="151" t="n"/>
    </row>
    <row r="2222" ht="36" customHeight="1">
      <c r="A2222" s="46" t="n">
        <v>4552</v>
      </c>
      <c r="B2222" s="4">
        <f>+VLOOKUP($A2222,MAGAZZINO!$B$2:$M$100000,2,FALSE)</f>
        <v/>
      </c>
      <c r="C2222" s="29">
        <f>+VLOOKUP($A2222,MAGAZZINO!$B$2:$M$100000,3,FALSE)</f>
        <v/>
      </c>
      <c r="D2222" s="3">
        <f>+VLOOKUP($A2222,MAGAZZINO!$B$2:$M$100000,4,FALSE)</f>
        <v/>
      </c>
      <c r="E2222" s="3">
        <f>+VLOOKUP($A2222,MAGAZZINO!$B$2:$M$100000,5,FALSE)</f>
        <v/>
      </c>
      <c r="F2222" s="3">
        <f>+VLOOKUP($A2222,MAGAZZINO!$B$2:$M$100000,6,FALSE)</f>
        <v/>
      </c>
      <c r="G2222" s="3">
        <f>+VLOOKUP($A2222,MAGAZZINO!$B$2:$M$100000,7,FALSE)</f>
        <v/>
      </c>
      <c r="H2222" s="3">
        <f>+VLOOKUP($A2222,MAGAZZINO!$B$2:$M$100000,8,FALSE)</f>
        <v/>
      </c>
      <c r="I2222" s="3">
        <f>+VLOOKUP($A2222,MAGAZZINO!$B$2:$M$100000,9,FALSE)</f>
        <v/>
      </c>
      <c r="J2222" s="3">
        <f>+VLOOKUP($A2222,MAGAZZINO!$B$2:$M$100000,10,FALSE)</f>
        <v/>
      </c>
      <c r="K2222" s="3">
        <f>+VLOOKUP($A2222,MAGAZZINO!$B$2:$M$100000,11,FALSE)</f>
        <v/>
      </c>
      <c r="L2222" s="5">
        <f>+VLOOKUP($A2222,MAGAZZINO!$B$2:$M$100000,12,FALSE)</f>
        <v/>
      </c>
      <c r="M2222" s="47" t="n"/>
      <c r="N2222" s="54" t="n"/>
      <c r="O2222" s="3" t="n"/>
      <c r="P2222" s="149" t="n"/>
      <c r="Q2222" s="150" t="n"/>
      <c r="R2222" s="150" t="n"/>
      <c r="S2222" s="151" t="n"/>
    </row>
    <row r="2223" ht="36" customHeight="1">
      <c r="A2223" s="46" t="n">
        <v>4553</v>
      </c>
      <c r="B2223" s="4">
        <f>+VLOOKUP($A2223,MAGAZZINO!$B$2:$M$100000,2,FALSE)</f>
        <v/>
      </c>
      <c r="C2223" s="29">
        <f>+VLOOKUP($A2223,MAGAZZINO!$B$2:$M$100000,3,FALSE)</f>
        <v/>
      </c>
      <c r="D2223" s="3">
        <f>+VLOOKUP($A2223,MAGAZZINO!$B$2:$M$100000,4,FALSE)</f>
        <v/>
      </c>
      <c r="E2223" s="3">
        <f>+VLOOKUP($A2223,MAGAZZINO!$B$2:$M$100000,5,FALSE)</f>
        <v/>
      </c>
      <c r="F2223" s="3">
        <f>+VLOOKUP($A2223,MAGAZZINO!$B$2:$M$100000,6,FALSE)</f>
        <v/>
      </c>
      <c r="G2223" s="3">
        <f>+VLOOKUP($A2223,MAGAZZINO!$B$2:$M$100000,7,FALSE)</f>
        <v/>
      </c>
      <c r="H2223" s="3">
        <f>+VLOOKUP($A2223,MAGAZZINO!$B$2:$M$100000,8,FALSE)</f>
        <v/>
      </c>
      <c r="I2223" s="3">
        <f>+VLOOKUP($A2223,MAGAZZINO!$B$2:$M$100000,9,FALSE)</f>
        <v/>
      </c>
      <c r="J2223" s="3">
        <f>+VLOOKUP($A2223,MAGAZZINO!$B$2:$M$100000,10,FALSE)</f>
        <v/>
      </c>
      <c r="K2223" s="3">
        <f>+VLOOKUP($A2223,MAGAZZINO!$B$2:$M$100000,11,FALSE)</f>
        <v/>
      </c>
      <c r="L2223" s="5">
        <f>+VLOOKUP($A2223,MAGAZZINO!$B$2:$M$100000,12,FALSE)</f>
        <v/>
      </c>
      <c r="M2223" s="47" t="n"/>
      <c r="N2223" s="54" t="n"/>
      <c r="O2223" s="3" t="n"/>
      <c r="P2223" s="149" t="n"/>
      <c r="Q2223" s="150" t="n"/>
      <c r="R2223" s="150" t="n"/>
      <c r="S2223" s="151" t="n"/>
    </row>
    <row r="2224" ht="36" customHeight="1">
      <c r="A2224" s="46" t="n">
        <v>4554</v>
      </c>
      <c r="B2224" s="4">
        <f>+VLOOKUP($A2224,MAGAZZINO!$B$2:$M$100000,2,FALSE)</f>
        <v/>
      </c>
      <c r="C2224" s="29">
        <f>+VLOOKUP($A2224,MAGAZZINO!$B$2:$M$100000,3,FALSE)</f>
        <v/>
      </c>
      <c r="D2224" s="3">
        <f>+VLOOKUP($A2224,MAGAZZINO!$B$2:$M$100000,4,FALSE)</f>
        <v/>
      </c>
      <c r="E2224" s="3">
        <f>+VLOOKUP($A2224,MAGAZZINO!$B$2:$M$100000,5,FALSE)</f>
        <v/>
      </c>
      <c r="F2224" s="3">
        <f>+VLOOKUP($A2224,MAGAZZINO!$B$2:$M$100000,6,FALSE)</f>
        <v/>
      </c>
      <c r="G2224" s="3">
        <f>+VLOOKUP($A2224,MAGAZZINO!$B$2:$M$100000,7,FALSE)</f>
        <v/>
      </c>
      <c r="H2224" s="3">
        <f>+VLOOKUP($A2224,MAGAZZINO!$B$2:$M$100000,8,FALSE)</f>
        <v/>
      </c>
      <c r="I2224" s="3">
        <f>+VLOOKUP($A2224,MAGAZZINO!$B$2:$M$100000,9,FALSE)</f>
        <v/>
      </c>
      <c r="J2224" s="3">
        <f>+VLOOKUP($A2224,MAGAZZINO!$B$2:$M$100000,10,FALSE)</f>
        <v/>
      </c>
      <c r="K2224" s="3">
        <f>+VLOOKUP($A2224,MAGAZZINO!$B$2:$M$100000,11,FALSE)</f>
        <v/>
      </c>
      <c r="L2224" s="5">
        <f>+VLOOKUP($A2224,MAGAZZINO!$B$2:$M$100000,12,FALSE)</f>
        <v/>
      </c>
      <c r="M2224" s="47" t="n"/>
      <c r="N2224" s="54" t="n"/>
      <c r="O2224" s="3" t="n"/>
      <c r="P2224" s="149" t="n"/>
      <c r="Q2224" s="150" t="n"/>
      <c r="R2224" s="150" t="n"/>
      <c r="S2224" s="151" t="n"/>
    </row>
    <row r="2225" ht="36" customHeight="1">
      <c r="A2225" s="46" t="n">
        <v>4555</v>
      </c>
      <c r="B2225" s="4">
        <f>+VLOOKUP($A2225,MAGAZZINO!$B$2:$M$100000,2,FALSE)</f>
        <v/>
      </c>
      <c r="C2225" s="29">
        <f>+VLOOKUP($A2225,MAGAZZINO!$B$2:$M$100000,3,FALSE)</f>
        <v/>
      </c>
      <c r="D2225" s="3">
        <f>+VLOOKUP($A2225,MAGAZZINO!$B$2:$M$100000,4,FALSE)</f>
        <v/>
      </c>
      <c r="E2225" s="3">
        <f>+VLOOKUP($A2225,MAGAZZINO!$B$2:$M$100000,5,FALSE)</f>
        <v/>
      </c>
      <c r="F2225" s="3">
        <f>+VLOOKUP($A2225,MAGAZZINO!$B$2:$M$100000,6,FALSE)</f>
        <v/>
      </c>
      <c r="G2225" s="3">
        <f>+VLOOKUP($A2225,MAGAZZINO!$B$2:$M$100000,7,FALSE)</f>
        <v/>
      </c>
      <c r="H2225" s="3">
        <f>+VLOOKUP($A2225,MAGAZZINO!$B$2:$M$100000,8,FALSE)</f>
        <v/>
      </c>
      <c r="I2225" s="3">
        <f>+VLOOKUP($A2225,MAGAZZINO!$B$2:$M$100000,9,FALSE)</f>
        <v/>
      </c>
      <c r="J2225" s="3">
        <f>+VLOOKUP($A2225,MAGAZZINO!$B$2:$M$100000,10,FALSE)</f>
        <v/>
      </c>
      <c r="K2225" s="3">
        <f>+VLOOKUP($A2225,MAGAZZINO!$B$2:$M$100000,11,FALSE)</f>
        <v/>
      </c>
      <c r="L2225" s="5">
        <f>+VLOOKUP($A2225,MAGAZZINO!$B$2:$M$100000,12,FALSE)</f>
        <v/>
      </c>
      <c r="M2225" s="47" t="n"/>
      <c r="N2225" s="54" t="n"/>
      <c r="O2225" s="3" t="n"/>
      <c r="P2225" s="149" t="n"/>
      <c r="Q2225" s="150" t="n"/>
      <c r="R2225" s="150" t="n"/>
      <c r="S2225" s="151" t="n"/>
    </row>
    <row r="2226" ht="36" customHeight="1">
      <c r="A2226" s="46" t="n">
        <v>4556</v>
      </c>
      <c r="B2226" s="4">
        <f>+VLOOKUP($A2226,MAGAZZINO!$B$2:$M$100000,2,FALSE)</f>
        <v/>
      </c>
      <c r="C2226" s="29">
        <f>+VLOOKUP($A2226,MAGAZZINO!$B$2:$M$100000,3,FALSE)</f>
        <v/>
      </c>
      <c r="D2226" s="3">
        <f>+VLOOKUP($A2226,MAGAZZINO!$B$2:$M$100000,4,FALSE)</f>
        <v/>
      </c>
      <c r="E2226" s="3">
        <f>+VLOOKUP($A2226,MAGAZZINO!$B$2:$M$100000,5,FALSE)</f>
        <v/>
      </c>
      <c r="F2226" s="3">
        <f>+VLOOKUP($A2226,MAGAZZINO!$B$2:$M$100000,6,FALSE)</f>
        <v/>
      </c>
      <c r="G2226" s="3">
        <f>+VLOOKUP($A2226,MAGAZZINO!$B$2:$M$100000,7,FALSE)</f>
        <v/>
      </c>
      <c r="H2226" s="3">
        <f>+VLOOKUP($A2226,MAGAZZINO!$B$2:$M$100000,8,FALSE)</f>
        <v/>
      </c>
      <c r="I2226" s="3">
        <f>+VLOOKUP($A2226,MAGAZZINO!$B$2:$M$100000,9,FALSE)</f>
        <v/>
      </c>
      <c r="J2226" s="3">
        <f>+VLOOKUP($A2226,MAGAZZINO!$B$2:$M$100000,10,FALSE)</f>
        <v/>
      </c>
      <c r="K2226" s="3">
        <f>+VLOOKUP($A2226,MAGAZZINO!$B$2:$M$100000,11,FALSE)</f>
        <v/>
      </c>
      <c r="L2226" s="5">
        <f>+VLOOKUP($A2226,MAGAZZINO!$B$2:$M$100000,12,FALSE)</f>
        <v/>
      </c>
      <c r="M2226" s="47" t="n"/>
      <c r="N2226" s="54" t="n"/>
      <c r="O2226" s="3" t="n"/>
      <c r="P2226" s="149" t="n"/>
      <c r="Q2226" s="150" t="n"/>
      <c r="R2226" s="150" t="n"/>
      <c r="S2226" s="151" t="n"/>
    </row>
    <row r="2227" ht="36" customHeight="1">
      <c r="A2227" s="46" t="n">
        <v>4557</v>
      </c>
      <c r="B2227" s="4">
        <f>+VLOOKUP($A2227,MAGAZZINO!$B$2:$M$100000,2,FALSE)</f>
        <v/>
      </c>
      <c r="C2227" s="29">
        <f>+VLOOKUP($A2227,MAGAZZINO!$B$2:$M$100000,3,FALSE)</f>
        <v/>
      </c>
      <c r="D2227" s="3">
        <f>+VLOOKUP($A2227,MAGAZZINO!$B$2:$M$100000,4,FALSE)</f>
        <v/>
      </c>
      <c r="E2227" s="3">
        <f>+VLOOKUP($A2227,MAGAZZINO!$B$2:$M$100000,5,FALSE)</f>
        <v/>
      </c>
      <c r="F2227" s="3">
        <f>+VLOOKUP($A2227,MAGAZZINO!$B$2:$M$100000,6,FALSE)</f>
        <v/>
      </c>
      <c r="G2227" s="3">
        <f>+VLOOKUP($A2227,MAGAZZINO!$B$2:$M$100000,7,FALSE)</f>
        <v/>
      </c>
      <c r="H2227" s="3">
        <f>+VLOOKUP($A2227,MAGAZZINO!$B$2:$M$100000,8,FALSE)</f>
        <v/>
      </c>
      <c r="I2227" s="3">
        <f>+VLOOKUP($A2227,MAGAZZINO!$B$2:$M$100000,9,FALSE)</f>
        <v/>
      </c>
      <c r="J2227" s="3">
        <f>+VLOOKUP($A2227,MAGAZZINO!$B$2:$M$100000,10,FALSE)</f>
        <v/>
      </c>
      <c r="K2227" s="3">
        <f>+VLOOKUP($A2227,MAGAZZINO!$B$2:$M$100000,11,FALSE)</f>
        <v/>
      </c>
      <c r="L2227" s="5">
        <f>+VLOOKUP($A2227,MAGAZZINO!$B$2:$M$100000,12,FALSE)</f>
        <v/>
      </c>
      <c r="M2227" s="47" t="n"/>
      <c r="N2227" s="54" t="n"/>
      <c r="O2227" s="3" t="n"/>
      <c r="P2227" s="149" t="n"/>
      <c r="Q2227" s="150" t="n"/>
      <c r="R2227" s="150" t="n"/>
      <c r="S2227" s="151" t="n"/>
    </row>
    <row r="2228" ht="36" customHeight="1">
      <c r="A2228" s="46" t="n">
        <v>4558</v>
      </c>
      <c r="B2228" s="4">
        <f>+VLOOKUP($A2228,MAGAZZINO!$B$2:$M$100000,2,FALSE)</f>
        <v/>
      </c>
      <c r="C2228" s="29">
        <f>+VLOOKUP($A2228,MAGAZZINO!$B$2:$M$100000,3,FALSE)</f>
        <v/>
      </c>
      <c r="D2228" s="3">
        <f>+VLOOKUP($A2228,MAGAZZINO!$B$2:$M$100000,4,FALSE)</f>
        <v/>
      </c>
      <c r="E2228" s="3">
        <f>+VLOOKUP($A2228,MAGAZZINO!$B$2:$M$100000,5,FALSE)</f>
        <v/>
      </c>
      <c r="F2228" s="3">
        <f>+VLOOKUP($A2228,MAGAZZINO!$B$2:$M$100000,6,FALSE)</f>
        <v/>
      </c>
      <c r="G2228" s="3">
        <f>+VLOOKUP($A2228,MAGAZZINO!$B$2:$M$100000,7,FALSE)</f>
        <v/>
      </c>
      <c r="H2228" s="3">
        <f>+VLOOKUP($A2228,MAGAZZINO!$B$2:$M$100000,8,FALSE)</f>
        <v/>
      </c>
      <c r="I2228" s="3">
        <f>+VLOOKUP($A2228,MAGAZZINO!$B$2:$M$100000,9,FALSE)</f>
        <v/>
      </c>
      <c r="J2228" s="3">
        <f>+VLOOKUP($A2228,MAGAZZINO!$B$2:$M$100000,10,FALSE)</f>
        <v/>
      </c>
      <c r="K2228" s="3">
        <f>+VLOOKUP($A2228,MAGAZZINO!$B$2:$M$100000,11,FALSE)</f>
        <v/>
      </c>
      <c r="L2228" s="5">
        <f>+VLOOKUP($A2228,MAGAZZINO!$B$2:$M$100000,12,FALSE)</f>
        <v/>
      </c>
      <c r="M2228" s="47" t="n"/>
      <c r="N2228" s="54" t="n"/>
      <c r="O2228" s="3" t="n"/>
      <c r="P2228" s="149" t="n"/>
      <c r="Q2228" s="150" t="n"/>
      <c r="R2228" s="150" t="n"/>
      <c r="S2228" s="151" t="n"/>
    </row>
    <row r="2229" ht="36" customHeight="1">
      <c r="A2229" s="46" t="n">
        <v>4559</v>
      </c>
      <c r="B2229" s="4">
        <f>+VLOOKUP($A2229,MAGAZZINO!$B$2:$M$100000,2,FALSE)</f>
        <v/>
      </c>
      <c r="C2229" s="29">
        <f>+VLOOKUP($A2229,MAGAZZINO!$B$2:$M$100000,3,FALSE)</f>
        <v/>
      </c>
      <c r="D2229" s="3">
        <f>+VLOOKUP($A2229,MAGAZZINO!$B$2:$M$100000,4,FALSE)</f>
        <v/>
      </c>
      <c r="E2229" s="3">
        <f>+VLOOKUP($A2229,MAGAZZINO!$B$2:$M$100000,5,FALSE)</f>
        <v/>
      </c>
      <c r="F2229" s="3">
        <f>+VLOOKUP($A2229,MAGAZZINO!$B$2:$M$100000,6,FALSE)</f>
        <v/>
      </c>
      <c r="G2229" s="3">
        <f>+VLOOKUP($A2229,MAGAZZINO!$B$2:$M$100000,7,FALSE)</f>
        <v/>
      </c>
      <c r="H2229" s="3">
        <f>+VLOOKUP($A2229,MAGAZZINO!$B$2:$M$100000,8,FALSE)</f>
        <v/>
      </c>
      <c r="I2229" s="3">
        <f>+VLOOKUP($A2229,MAGAZZINO!$B$2:$M$100000,9,FALSE)</f>
        <v/>
      </c>
      <c r="J2229" s="3">
        <f>+VLOOKUP($A2229,MAGAZZINO!$B$2:$M$100000,10,FALSE)</f>
        <v/>
      </c>
      <c r="K2229" s="3">
        <f>+VLOOKUP($A2229,MAGAZZINO!$B$2:$M$100000,11,FALSE)</f>
        <v/>
      </c>
      <c r="L2229" s="5">
        <f>+VLOOKUP($A2229,MAGAZZINO!$B$2:$M$100000,12,FALSE)</f>
        <v/>
      </c>
      <c r="M2229" s="47" t="n"/>
      <c r="N2229" s="54" t="n"/>
      <c r="O2229" s="3" t="n"/>
      <c r="P2229" s="149" t="n"/>
      <c r="Q2229" s="150" t="n"/>
      <c r="R2229" s="150" t="n"/>
      <c r="S2229" s="151" t="n"/>
    </row>
    <row r="2230" ht="36" customHeight="1">
      <c r="A2230" s="46" t="n">
        <v>4560</v>
      </c>
      <c r="B2230" s="4">
        <f>+VLOOKUP($A2230,MAGAZZINO!$B$2:$M$100000,2,FALSE)</f>
        <v/>
      </c>
      <c r="C2230" s="29">
        <f>+VLOOKUP($A2230,MAGAZZINO!$B$2:$M$100000,3,FALSE)</f>
        <v/>
      </c>
      <c r="D2230" s="3">
        <f>+VLOOKUP($A2230,MAGAZZINO!$B$2:$M$100000,4,FALSE)</f>
        <v/>
      </c>
      <c r="E2230" s="3">
        <f>+VLOOKUP($A2230,MAGAZZINO!$B$2:$M$100000,5,FALSE)</f>
        <v/>
      </c>
      <c r="F2230" s="3">
        <f>+VLOOKUP($A2230,MAGAZZINO!$B$2:$M$100000,6,FALSE)</f>
        <v/>
      </c>
      <c r="G2230" s="3">
        <f>+VLOOKUP($A2230,MAGAZZINO!$B$2:$M$100000,7,FALSE)</f>
        <v/>
      </c>
      <c r="H2230" s="3">
        <f>+VLOOKUP($A2230,MAGAZZINO!$B$2:$M$100000,8,FALSE)</f>
        <v/>
      </c>
      <c r="I2230" s="3">
        <f>+VLOOKUP($A2230,MAGAZZINO!$B$2:$M$100000,9,FALSE)</f>
        <v/>
      </c>
      <c r="J2230" s="3">
        <f>+VLOOKUP($A2230,MAGAZZINO!$B$2:$M$100000,10,FALSE)</f>
        <v/>
      </c>
      <c r="K2230" s="3">
        <f>+VLOOKUP($A2230,MAGAZZINO!$B$2:$M$100000,11,FALSE)</f>
        <v/>
      </c>
      <c r="L2230" s="5">
        <f>+VLOOKUP($A2230,MAGAZZINO!$B$2:$M$100000,12,FALSE)</f>
        <v/>
      </c>
      <c r="M2230" s="47" t="n"/>
      <c r="N2230" s="54" t="n"/>
      <c r="O2230" s="3" t="n"/>
      <c r="P2230" s="149" t="n"/>
      <c r="Q2230" s="150" t="n"/>
      <c r="R2230" s="150" t="n"/>
      <c r="S2230" s="151" t="n"/>
    </row>
    <row r="2231" ht="36" customHeight="1">
      <c r="A2231" s="46" t="n">
        <v>4561</v>
      </c>
      <c r="B2231" s="4">
        <f>+VLOOKUP($A2231,MAGAZZINO!$B$2:$M$100000,2,FALSE)</f>
        <v/>
      </c>
      <c r="C2231" s="29">
        <f>+VLOOKUP($A2231,MAGAZZINO!$B$2:$M$100000,3,FALSE)</f>
        <v/>
      </c>
      <c r="D2231" s="3">
        <f>+VLOOKUP($A2231,MAGAZZINO!$B$2:$M$100000,4,FALSE)</f>
        <v/>
      </c>
      <c r="E2231" s="3">
        <f>+VLOOKUP($A2231,MAGAZZINO!$B$2:$M$100000,5,FALSE)</f>
        <v/>
      </c>
      <c r="F2231" s="3">
        <f>+VLOOKUP($A2231,MAGAZZINO!$B$2:$M$100000,6,FALSE)</f>
        <v/>
      </c>
      <c r="G2231" s="3">
        <f>+VLOOKUP($A2231,MAGAZZINO!$B$2:$M$100000,7,FALSE)</f>
        <v/>
      </c>
      <c r="H2231" s="3">
        <f>+VLOOKUP($A2231,MAGAZZINO!$B$2:$M$100000,8,FALSE)</f>
        <v/>
      </c>
      <c r="I2231" s="3">
        <f>+VLOOKUP($A2231,MAGAZZINO!$B$2:$M$100000,9,FALSE)</f>
        <v/>
      </c>
      <c r="J2231" s="3">
        <f>+VLOOKUP($A2231,MAGAZZINO!$B$2:$M$100000,10,FALSE)</f>
        <v/>
      </c>
      <c r="K2231" s="3">
        <f>+VLOOKUP($A2231,MAGAZZINO!$B$2:$M$100000,11,FALSE)</f>
        <v/>
      </c>
      <c r="L2231" s="5">
        <f>+VLOOKUP($A2231,MAGAZZINO!$B$2:$M$100000,12,FALSE)</f>
        <v/>
      </c>
      <c r="M2231" s="47" t="n"/>
      <c r="N2231" s="54" t="n"/>
      <c r="O2231" s="3" t="n"/>
      <c r="P2231" s="149" t="n"/>
      <c r="Q2231" s="150" t="n"/>
      <c r="R2231" s="150" t="n"/>
      <c r="S2231" s="151" t="n"/>
    </row>
    <row r="2232" ht="36" customHeight="1">
      <c r="A2232" s="46" t="n">
        <v>4562</v>
      </c>
      <c r="B2232" s="4">
        <f>+VLOOKUP($A2232,MAGAZZINO!$B$2:$M$100000,2,FALSE)</f>
        <v/>
      </c>
      <c r="C2232" s="29">
        <f>+VLOOKUP($A2232,MAGAZZINO!$B$2:$M$100000,3,FALSE)</f>
        <v/>
      </c>
      <c r="D2232" s="3">
        <f>+VLOOKUP($A2232,MAGAZZINO!$B$2:$M$100000,4,FALSE)</f>
        <v/>
      </c>
      <c r="E2232" s="3">
        <f>+VLOOKUP($A2232,MAGAZZINO!$B$2:$M$100000,5,FALSE)</f>
        <v/>
      </c>
      <c r="F2232" s="3">
        <f>+VLOOKUP($A2232,MAGAZZINO!$B$2:$M$100000,6,FALSE)</f>
        <v/>
      </c>
      <c r="G2232" s="3">
        <f>+VLOOKUP($A2232,MAGAZZINO!$B$2:$M$100000,7,FALSE)</f>
        <v/>
      </c>
      <c r="H2232" s="3">
        <f>+VLOOKUP($A2232,MAGAZZINO!$B$2:$M$100000,8,FALSE)</f>
        <v/>
      </c>
      <c r="I2232" s="3">
        <f>+VLOOKUP($A2232,MAGAZZINO!$B$2:$M$100000,9,FALSE)</f>
        <v/>
      </c>
      <c r="J2232" s="3">
        <f>+VLOOKUP($A2232,MAGAZZINO!$B$2:$M$100000,10,FALSE)</f>
        <v/>
      </c>
      <c r="K2232" s="3">
        <f>+VLOOKUP($A2232,MAGAZZINO!$B$2:$M$100000,11,FALSE)</f>
        <v/>
      </c>
      <c r="L2232" s="5">
        <f>+VLOOKUP($A2232,MAGAZZINO!$B$2:$M$100000,12,FALSE)</f>
        <v/>
      </c>
      <c r="M2232" s="47" t="n"/>
      <c r="N2232" s="54" t="n"/>
      <c r="O2232" s="3" t="n"/>
      <c r="P2232" s="149" t="n"/>
      <c r="Q2232" s="150" t="n"/>
      <c r="R2232" s="150" t="n"/>
      <c r="S2232" s="151" t="n"/>
    </row>
    <row r="2233" ht="36" customHeight="1">
      <c r="A2233" s="46" t="n">
        <v>4563</v>
      </c>
      <c r="B2233" s="4">
        <f>+VLOOKUP($A2233,MAGAZZINO!$B$2:$M$100000,2,FALSE)</f>
        <v/>
      </c>
      <c r="C2233" s="29">
        <f>+VLOOKUP($A2233,MAGAZZINO!$B$2:$M$100000,3,FALSE)</f>
        <v/>
      </c>
      <c r="D2233" s="3">
        <f>+VLOOKUP($A2233,MAGAZZINO!$B$2:$M$100000,4,FALSE)</f>
        <v/>
      </c>
      <c r="E2233" s="3">
        <f>+VLOOKUP($A2233,MAGAZZINO!$B$2:$M$100000,5,FALSE)</f>
        <v/>
      </c>
      <c r="F2233" s="3">
        <f>+VLOOKUP($A2233,MAGAZZINO!$B$2:$M$100000,6,FALSE)</f>
        <v/>
      </c>
      <c r="G2233" s="3">
        <f>+VLOOKUP($A2233,MAGAZZINO!$B$2:$M$100000,7,FALSE)</f>
        <v/>
      </c>
      <c r="H2233" s="3">
        <f>+VLOOKUP($A2233,MAGAZZINO!$B$2:$M$100000,8,FALSE)</f>
        <v/>
      </c>
      <c r="I2233" s="3">
        <f>+VLOOKUP($A2233,MAGAZZINO!$B$2:$M$100000,9,FALSE)</f>
        <v/>
      </c>
      <c r="J2233" s="3">
        <f>+VLOOKUP($A2233,MAGAZZINO!$B$2:$M$100000,10,FALSE)</f>
        <v/>
      </c>
      <c r="K2233" s="3">
        <f>+VLOOKUP($A2233,MAGAZZINO!$B$2:$M$100000,11,FALSE)</f>
        <v/>
      </c>
      <c r="L2233" s="5">
        <f>+VLOOKUP($A2233,MAGAZZINO!$B$2:$M$100000,12,FALSE)</f>
        <v/>
      </c>
      <c r="M2233" s="47" t="n"/>
      <c r="N2233" s="54" t="n"/>
      <c r="O2233" s="3" t="n"/>
      <c r="P2233" s="149" t="n"/>
      <c r="Q2233" s="150" t="n"/>
      <c r="R2233" s="150" t="n"/>
      <c r="S2233" s="151" t="n"/>
    </row>
    <row r="2234" ht="36" customHeight="1">
      <c r="A2234" s="46" t="n">
        <v>4564</v>
      </c>
      <c r="B2234" s="4">
        <f>+VLOOKUP($A2234,MAGAZZINO!$B$2:$M$100000,2,FALSE)</f>
        <v/>
      </c>
      <c r="C2234" s="29">
        <f>+VLOOKUP($A2234,MAGAZZINO!$B$2:$M$100000,3,FALSE)</f>
        <v/>
      </c>
      <c r="D2234" s="3">
        <f>+VLOOKUP($A2234,MAGAZZINO!$B$2:$M$100000,4,FALSE)</f>
        <v/>
      </c>
      <c r="E2234" s="3">
        <f>+VLOOKUP($A2234,MAGAZZINO!$B$2:$M$100000,5,FALSE)</f>
        <v/>
      </c>
      <c r="F2234" s="3">
        <f>+VLOOKUP($A2234,MAGAZZINO!$B$2:$M$100000,6,FALSE)</f>
        <v/>
      </c>
      <c r="G2234" s="3">
        <f>+VLOOKUP($A2234,MAGAZZINO!$B$2:$M$100000,7,FALSE)</f>
        <v/>
      </c>
      <c r="H2234" s="3">
        <f>+VLOOKUP($A2234,MAGAZZINO!$B$2:$M$100000,8,FALSE)</f>
        <v/>
      </c>
      <c r="I2234" s="3">
        <f>+VLOOKUP($A2234,MAGAZZINO!$B$2:$M$100000,9,FALSE)</f>
        <v/>
      </c>
      <c r="J2234" s="3">
        <f>+VLOOKUP($A2234,MAGAZZINO!$B$2:$M$100000,10,FALSE)</f>
        <v/>
      </c>
      <c r="K2234" s="3">
        <f>+VLOOKUP($A2234,MAGAZZINO!$B$2:$M$100000,11,FALSE)</f>
        <v/>
      </c>
      <c r="L2234" s="5">
        <f>+VLOOKUP($A2234,MAGAZZINO!$B$2:$M$100000,12,FALSE)</f>
        <v/>
      </c>
      <c r="M2234" s="47" t="n"/>
      <c r="N2234" s="54" t="n"/>
      <c r="O2234" s="3" t="n"/>
      <c r="P2234" s="149" t="n"/>
      <c r="Q2234" s="150" t="n"/>
      <c r="R2234" s="150" t="n"/>
      <c r="S2234" s="151" t="n"/>
    </row>
    <row r="2235" ht="36" customHeight="1">
      <c r="A2235" s="46" t="n">
        <v>4565</v>
      </c>
      <c r="B2235" s="4">
        <f>+VLOOKUP($A2235,MAGAZZINO!$B$2:$M$100000,2,FALSE)</f>
        <v/>
      </c>
      <c r="C2235" s="29">
        <f>+VLOOKUP($A2235,MAGAZZINO!$B$2:$M$100000,3,FALSE)</f>
        <v/>
      </c>
      <c r="D2235" s="3">
        <f>+VLOOKUP($A2235,MAGAZZINO!$B$2:$M$100000,4,FALSE)</f>
        <v/>
      </c>
      <c r="E2235" s="3">
        <f>+VLOOKUP($A2235,MAGAZZINO!$B$2:$M$100000,5,FALSE)</f>
        <v/>
      </c>
      <c r="F2235" s="3">
        <f>+VLOOKUP($A2235,MAGAZZINO!$B$2:$M$100000,6,FALSE)</f>
        <v/>
      </c>
      <c r="G2235" s="3">
        <f>+VLOOKUP($A2235,MAGAZZINO!$B$2:$M$100000,7,FALSE)</f>
        <v/>
      </c>
      <c r="H2235" s="3">
        <f>+VLOOKUP($A2235,MAGAZZINO!$B$2:$M$100000,8,FALSE)</f>
        <v/>
      </c>
      <c r="I2235" s="3">
        <f>+VLOOKUP($A2235,MAGAZZINO!$B$2:$M$100000,9,FALSE)</f>
        <v/>
      </c>
      <c r="J2235" s="3">
        <f>+VLOOKUP($A2235,MAGAZZINO!$B$2:$M$100000,10,FALSE)</f>
        <v/>
      </c>
      <c r="K2235" s="3">
        <f>+VLOOKUP($A2235,MAGAZZINO!$B$2:$M$100000,11,FALSE)</f>
        <v/>
      </c>
      <c r="L2235" s="5">
        <f>+VLOOKUP($A2235,MAGAZZINO!$B$2:$M$100000,12,FALSE)</f>
        <v/>
      </c>
      <c r="M2235" s="47" t="n"/>
      <c r="N2235" s="54" t="n"/>
      <c r="O2235" s="3" t="n"/>
      <c r="P2235" s="149" t="n"/>
      <c r="Q2235" s="150" t="n"/>
      <c r="R2235" s="150" t="n"/>
      <c r="S2235" s="151" t="n"/>
    </row>
    <row r="2236" ht="36" customHeight="1">
      <c r="A2236" s="46" t="n">
        <v>4566</v>
      </c>
      <c r="B2236" s="4">
        <f>+VLOOKUP($A2236,MAGAZZINO!$B$2:$M$100000,2,FALSE)</f>
        <v/>
      </c>
      <c r="C2236" s="29">
        <f>+VLOOKUP($A2236,MAGAZZINO!$B$2:$M$100000,3,FALSE)</f>
        <v/>
      </c>
      <c r="D2236" s="3">
        <f>+VLOOKUP($A2236,MAGAZZINO!$B$2:$M$100000,4,FALSE)</f>
        <v/>
      </c>
      <c r="E2236" s="3">
        <f>+VLOOKUP($A2236,MAGAZZINO!$B$2:$M$100000,5,FALSE)</f>
        <v/>
      </c>
      <c r="F2236" s="3">
        <f>+VLOOKUP($A2236,MAGAZZINO!$B$2:$M$100000,6,FALSE)</f>
        <v/>
      </c>
      <c r="G2236" s="3">
        <f>+VLOOKUP($A2236,MAGAZZINO!$B$2:$M$100000,7,FALSE)</f>
        <v/>
      </c>
      <c r="H2236" s="3">
        <f>+VLOOKUP($A2236,MAGAZZINO!$B$2:$M$100000,8,FALSE)</f>
        <v/>
      </c>
      <c r="I2236" s="3">
        <f>+VLOOKUP($A2236,MAGAZZINO!$B$2:$M$100000,9,FALSE)</f>
        <v/>
      </c>
      <c r="J2236" s="3">
        <f>+VLOOKUP($A2236,MAGAZZINO!$B$2:$M$100000,10,FALSE)</f>
        <v/>
      </c>
      <c r="K2236" s="3">
        <f>+VLOOKUP($A2236,MAGAZZINO!$B$2:$M$100000,11,FALSE)</f>
        <v/>
      </c>
      <c r="L2236" s="5">
        <f>+VLOOKUP($A2236,MAGAZZINO!$B$2:$M$100000,12,FALSE)</f>
        <v/>
      </c>
      <c r="M2236" s="47" t="n"/>
      <c r="N2236" s="54" t="n"/>
      <c r="O2236" s="3" t="n"/>
      <c r="P2236" s="149" t="n"/>
      <c r="Q2236" s="150" t="n"/>
      <c r="R2236" s="150" t="n"/>
      <c r="S2236" s="151" t="n"/>
    </row>
    <row r="2237" ht="36" customHeight="1">
      <c r="A2237" s="46" t="n">
        <v>4567</v>
      </c>
      <c r="B2237" s="4">
        <f>+VLOOKUP($A2237,MAGAZZINO!$B$2:$M$100000,2,FALSE)</f>
        <v/>
      </c>
      <c r="C2237" s="29">
        <f>+VLOOKUP($A2237,MAGAZZINO!$B$2:$M$100000,3,FALSE)</f>
        <v/>
      </c>
      <c r="D2237" s="3">
        <f>+VLOOKUP($A2237,MAGAZZINO!$B$2:$M$100000,4,FALSE)</f>
        <v/>
      </c>
      <c r="E2237" s="3">
        <f>+VLOOKUP($A2237,MAGAZZINO!$B$2:$M$100000,5,FALSE)</f>
        <v/>
      </c>
      <c r="F2237" s="3">
        <f>+VLOOKUP($A2237,MAGAZZINO!$B$2:$M$100000,6,FALSE)</f>
        <v/>
      </c>
      <c r="G2237" s="3">
        <f>+VLOOKUP($A2237,MAGAZZINO!$B$2:$M$100000,7,FALSE)</f>
        <v/>
      </c>
      <c r="H2237" s="3">
        <f>+VLOOKUP($A2237,MAGAZZINO!$B$2:$M$100000,8,FALSE)</f>
        <v/>
      </c>
      <c r="I2237" s="3">
        <f>+VLOOKUP($A2237,MAGAZZINO!$B$2:$M$100000,9,FALSE)</f>
        <v/>
      </c>
      <c r="J2237" s="3">
        <f>+VLOOKUP($A2237,MAGAZZINO!$B$2:$M$100000,10,FALSE)</f>
        <v/>
      </c>
      <c r="K2237" s="3">
        <f>+VLOOKUP($A2237,MAGAZZINO!$B$2:$M$100000,11,FALSE)</f>
        <v/>
      </c>
      <c r="L2237" s="5">
        <f>+VLOOKUP($A2237,MAGAZZINO!$B$2:$M$100000,12,FALSE)</f>
        <v/>
      </c>
      <c r="M2237" s="47" t="n"/>
      <c r="N2237" s="54" t="n"/>
      <c r="O2237" s="3" t="n"/>
      <c r="P2237" s="149" t="n"/>
      <c r="Q2237" s="150" t="n"/>
      <c r="R2237" s="150" t="n"/>
      <c r="S2237" s="151" t="n"/>
    </row>
    <row r="2238" ht="36" customHeight="1">
      <c r="A2238" s="46" t="n">
        <v>4568</v>
      </c>
      <c r="B2238" s="4">
        <f>+VLOOKUP($A2238,MAGAZZINO!$B$2:$M$100000,2,FALSE)</f>
        <v/>
      </c>
      <c r="C2238" s="29">
        <f>+VLOOKUP($A2238,MAGAZZINO!$B$2:$M$100000,3,FALSE)</f>
        <v/>
      </c>
      <c r="D2238" s="3">
        <f>+VLOOKUP($A2238,MAGAZZINO!$B$2:$M$100000,4,FALSE)</f>
        <v/>
      </c>
      <c r="E2238" s="3">
        <f>+VLOOKUP($A2238,MAGAZZINO!$B$2:$M$100000,5,FALSE)</f>
        <v/>
      </c>
      <c r="F2238" s="3">
        <f>+VLOOKUP($A2238,MAGAZZINO!$B$2:$M$100000,6,FALSE)</f>
        <v/>
      </c>
      <c r="G2238" s="3">
        <f>+VLOOKUP($A2238,MAGAZZINO!$B$2:$M$100000,7,FALSE)</f>
        <v/>
      </c>
      <c r="H2238" s="3">
        <f>+VLOOKUP($A2238,MAGAZZINO!$B$2:$M$100000,8,FALSE)</f>
        <v/>
      </c>
      <c r="I2238" s="3">
        <f>+VLOOKUP($A2238,MAGAZZINO!$B$2:$M$100000,9,FALSE)</f>
        <v/>
      </c>
      <c r="J2238" s="3">
        <f>+VLOOKUP($A2238,MAGAZZINO!$B$2:$M$100000,10,FALSE)</f>
        <v/>
      </c>
      <c r="K2238" s="3">
        <f>+VLOOKUP($A2238,MAGAZZINO!$B$2:$M$100000,11,FALSE)</f>
        <v/>
      </c>
      <c r="L2238" s="5">
        <f>+VLOOKUP($A2238,MAGAZZINO!$B$2:$M$100000,12,FALSE)</f>
        <v/>
      </c>
      <c r="M2238" s="47" t="n"/>
      <c r="N2238" s="54" t="n"/>
      <c r="O2238" s="3" t="n"/>
      <c r="P2238" s="149" t="n"/>
      <c r="Q2238" s="150" t="n"/>
      <c r="R2238" s="150" t="n"/>
      <c r="S2238" s="151" t="n"/>
    </row>
    <row r="2239" ht="36" customHeight="1">
      <c r="A2239" s="46" t="n">
        <v>4569</v>
      </c>
      <c r="B2239" s="4">
        <f>+VLOOKUP($A2239,MAGAZZINO!$B$2:$M$100000,2,FALSE)</f>
        <v/>
      </c>
      <c r="C2239" s="29">
        <f>+VLOOKUP($A2239,MAGAZZINO!$B$2:$M$100000,3,FALSE)</f>
        <v/>
      </c>
      <c r="D2239" s="3">
        <f>+VLOOKUP($A2239,MAGAZZINO!$B$2:$M$100000,4,FALSE)</f>
        <v/>
      </c>
      <c r="E2239" s="3">
        <f>+VLOOKUP($A2239,MAGAZZINO!$B$2:$M$100000,5,FALSE)</f>
        <v/>
      </c>
      <c r="F2239" s="3">
        <f>+VLOOKUP($A2239,MAGAZZINO!$B$2:$M$100000,6,FALSE)</f>
        <v/>
      </c>
      <c r="G2239" s="3">
        <f>+VLOOKUP($A2239,MAGAZZINO!$B$2:$M$100000,7,FALSE)</f>
        <v/>
      </c>
      <c r="H2239" s="3">
        <f>+VLOOKUP($A2239,MAGAZZINO!$B$2:$M$100000,8,FALSE)</f>
        <v/>
      </c>
      <c r="I2239" s="3">
        <f>+VLOOKUP($A2239,MAGAZZINO!$B$2:$M$100000,9,FALSE)</f>
        <v/>
      </c>
      <c r="J2239" s="3">
        <f>+VLOOKUP($A2239,MAGAZZINO!$B$2:$M$100000,10,FALSE)</f>
        <v/>
      </c>
      <c r="K2239" s="3">
        <f>+VLOOKUP($A2239,MAGAZZINO!$B$2:$M$100000,11,FALSE)</f>
        <v/>
      </c>
      <c r="L2239" s="5">
        <f>+VLOOKUP($A2239,MAGAZZINO!$B$2:$M$100000,12,FALSE)</f>
        <v/>
      </c>
      <c r="M2239" s="47" t="n"/>
      <c r="N2239" s="54" t="n"/>
      <c r="O2239" s="3" t="n"/>
      <c r="P2239" s="149" t="n"/>
      <c r="Q2239" s="150" t="n"/>
      <c r="R2239" s="150" t="n"/>
      <c r="S2239" s="151" t="n"/>
    </row>
    <row r="2240" ht="36" customHeight="1">
      <c r="A2240" s="46" t="n">
        <v>4570</v>
      </c>
      <c r="B2240" s="4">
        <f>+VLOOKUP($A2240,MAGAZZINO!$B$2:$M$100000,2,FALSE)</f>
        <v/>
      </c>
      <c r="C2240" s="29">
        <f>+VLOOKUP($A2240,MAGAZZINO!$B$2:$M$100000,3,FALSE)</f>
        <v/>
      </c>
      <c r="D2240" s="3">
        <f>+VLOOKUP($A2240,MAGAZZINO!$B$2:$M$100000,4,FALSE)</f>
        <v/>
      </c>
      <c r="E2240" s="3">
        <f>+VLOOKUP($A2240,MAGAZZINO!$B$2:$M$100000,5,FALSE)</f>
        <v/>
      </c>
      <c r="F2240" s="3">
        <f>+VLOOKUP($A2240,MAGAZZINO!$B$2:$M$100000,6,FALSE)</f>
        <v/>
      </c>
      <c r="G2240" s="3">
        <f>+VLOOKUP($A2240,MAGAZZINO!$B$2:$M$100000,7,FALSE)</f>
        <v/>
      </c>
      <c r="H2240" s="3">
        <f>+VLOOKUP($A2240,MAGAZZINO!$B$2:$M$100000,8,FALSE)</f>
        <v/>
      </c>
      <c r="I2240" s="3">
        <f>+VLOOKUP($A2240,MAGAZZINO!$B$2:$M$100000,9,FALSE)</f>
        <v/>
      </c>
      <c r="J2240" s="3">
        <f>+VLOOKUP($A2240,MAGAZZINO!$B$2:$M$100000,10,FALSE)</f>
        <v/>
      </c>
      <c r="K2240" s="3">
        <f>+VLOOKUP($A2240,MAGAZZINO!$B$2:$M$100000,11,FALSE)</f>
        <v/>
      </c>
      <c r="L2240" s="5">
        <f>+VLOOKUP($A2240,MAGAZZINO!$B$2:$M$100000,12,FALSE)</f>
        <v/>
      </c>
      <c r="M2240" s="47" t="n"/>
      <c r="N2240" s="54" t="n"/>
      <c r="O2240" s="3" t="n"/>
      <c r="P2240" s="149" t="n"/>
      <c r="Q2240" s="150" t="n"/>
      <c r="R2240" s="150" t="n"/>
      <c r="S2240" s="151" t="n"/>
    </row>
    <row r="2241" ht="36" customHeight="1">
      <c r="A2241" s="46" t="n">
        <v>4571</v>
      </c>
      <c r="B2241" s="4">
        <f>+VLOOKUP($A2241,MAGAZZINO!$B$2:$M$100000,2,FALSE)</f>
        <v/>
      </c>
      <c r="C2241" s="29">
        <f>+VLOOKUP($A2241,MAGAZZINO!$B$2:$M$100000,3,FALSE)</f>
        <v/>
      </c>
      <c r="D2241" s="3">
        <f>+VLOOKUP($A2241,MAGAZZINO!$B$2:$M$100000,4,FALSE)</f>
        <v/>
      </c>
      <c r="E2241" s="3">
        <f>+VLOOKUP($A2241,MAGAZZINO!$B$2:$M$100000,5,FALSE)</f>
        <v/>
      </c>
      <c r="F2241" s="3">
        <f>+VLOOKUP($A2241,MAGAZZINO!$B$2:$M$100000,6,FALSE)</f>
        <v/>
      </c>
      <c r="G2241" s="3">
        <f>+VLOOKUP($A2241,MAGAZZINO!$B$2:$M$100000,7,FALSE)</f>
        <v/>
      </c>
      <c r="H2241" s="3">
        <f>+VLOOKUP($A2241,MAGAZZINO!$B$2:$M$100000,8,FALSE)</f>
        <v/>
      </c>
      <c r="I2241" s="3">
        <f>+VLOOKUP($A2241,MAGAZZINO!$B$2:$M$100000,9,FALSE)</f>
        <v/>
      </c>
      <c r="J2241" s="3">
        <f>+VLOOKUP($A2241,MAGAZZINO!$B$2:$M$100000,10,FALSE)</f>
        <v/>
      </c>
      <c r="K2241" s="3">
        <f>+VLOOKUP($A2241,MAGAZZINO!$B$2:$M$100000,11,FALSE)</f>
        <v/>
      </c>
      <c r="L2241" s="5">
        <f>+VLOOKUP($A2241,MAGAZZINO!$B$2:$M$100000,12,FALSE)</f>
        <v/>
      </c>
      <c r="M2241" s="47" t="n"/>
      <c r="N2241" s="54" t="n"/>
      <c r="O2241" s="3" t="n"/>
      <c r="P2241" s="149" t="n"/>
      <c r="Q2241" s="150" t="n"/>
      <c r="R2241" s="150" t="n"/>
      <c r="S2241" s="151" t="n"/>
    </row>
    <row r="2242" ht="36" customHeight="1">
      <c r="A2242" s="46" t="n">
        <v>4572</v>
      </c>
      <c r="B2242" s="4">
        <f>+VLOOKUP($A2242,MAGAZZINO!$B$2:$M$100000,2,FALSE)</f>
        <v/>
      </c>
      <c r="C2242" s="29">
        <f>+VLOOKUP($A2242,MAGAZZINO!$B$2:$M$100000,3,FALSE)</f>
        <v/>
      </c>
      <c r="D2242" s="3">
        <f>+VLOOKUP($A2242,MAGAZZINO!$B$2:$M$100000,4,FALSE)</f>
        <v/>
      </c>
      <c r="E2242" s="3">
        <f>+VLOOKUP($A2242,MAGAZZINO!$B$2:$M$100000,5,FALSE)</f>
        <v/>
      </c>
      <c r="F2242" s="3">
        <f>+VLOOKUP($A2242,MAGAZZINO!$B$2:$M$100000,6,FALSE)</f>
        <v/>
      </c>
      <c r="G2242" s="3">
        <f>+VLOOKUP($A2242,MAGAZZINO!$B$2:$M$100000,7,FALSE)</f>
        <v/>
      </c>
      <c r="H2242" s="3">
        <f>+VLOOKUP($A2242,MAGAZZINO!$B$2:$M$100000,8,FALSE)</f>
        <v/>
      </c>
      <c r="I2242" s="3">
        <f>+VLOOKUP($A2242,MAGAZZINO!$B$2:$M$100000,9,FALSE)</f>
        <v/>
      </c>
      <c r="J2242" s="3">
        <f>+VLOOKUP($A2242,MAGAZZINO!$B$2:$M$100000,10,FALSE)</f>
        <v/>
      </c>
      <c r="K2242" s="3">
        <f>+VLOOKUP($A2242,MAGAZZINO!$B$2:$M$100000,11,FALSE)</f>
        <v/>
      </c>
      <c r="L2242" s="5">
        <f>+VLOOKUP($A2242,MAGAZZINO!$B$2:$M$100000,12,FALSE)</f>
        <v/>
      </c>
      <c r="M2242" s="47" t="n"/>
      <c r="N2242" s="54" t="n"/>
      <c r="O2242" s="3" t="n"/>
      <c r="P2242" s="149" t="n"/>
      <c r="Q2242" s="150" t="n"/>
      <c r="R2242" s="150" t="n"/>
      <c r="S2242" s="151" t="n"/>
    </row>
    <row r="2243" ht="36" customHeight="1">
      <c r="A2243" s="46" t="n">
        <v>4573</v>
      </c>
      <c r="B2243" s="4">
        <f>+VLOOKUP($A2243,MAGAZZINO!$B$2:$M$100000,2,FALSE)</f>
        <v/>
      </c>
      <c r="C2243" s="29">
        <f>+VLOOKUP($A2243,MAGAZZINO!$B$2:$M$100000,3,FALSE)</f>
        <v/>
      </c>
      <c r="D2243" s="3">
        <f>+VLOOKUP($A2243,MAGAZZINO!$B$2:$M$100000,4,FALSE)</f>
        <v/>
      </c>
      <c r="E2243" s="3">
        <f>+VLOOKUP($A2243,MAGAZZINO!$B$2:$M$100000,5,FALSE)</f>
        <v/>
      </c>
      <c r="F2243" s="3">
        <f>+VLOOKUP($A2243,MAGAZZINO!$B$2:$M$100000,6,FALSE)</f>
        <v/>
      </c>
      <c r="G2243" s="3">
        <f>+VLOOKUP($A2243,MAGAZZINO!$B$2:$M$100000,7,FALSE)</f>
        <v/>
      </c>
      <c r="H2243" s="3">
        <f>+VLOOKUP($A2243,MAGAZZINO!$B$2:$M$100000,8,FALSE)</f>
        <v/>
      </c>
      <c r="I2243" s="3">
        <f>+VLOOKUP($A2243,MAGAZZINO!$B$2:$M$100000,9,FALSE)</f>
        <v/>
      </c>
      <c r="J2243" s="3">
        <f>+VLOOKUP($A2243,MAGAZZINO!$B$2:$M$100000,10,FALSE)</f>
        <v/>
      </c>
      <c r="K2243" s="3">
        <f>+VLOOKUP($A2243,MAGAZZINO!$B$2:$M$100000,11,FALSE)</f>
        <v/>
      </c>
      <c r="L2243" s="5">
        <f>+VLOOKUP($A2243,MAGAZZINO!$B$2:$M$100000,12,FALSE)</f>
        <v/>
      </c>
      <c r="M2243" s="47" t="n"/>
      <c r="N2243" s="54" t="n"/>
      <c r="O2243" s="3" t="n"/>
      <c r="P2243" s="149" t="n"/>
      <c r="Q2243" s="150" t="n"/>
      <c r="R2243" s="150" t="n"/>
      <c r="S2243" s="151" t="n"/>
    </row>
    <row r="2244" ht="36" customHeight="1">
      <c r="A2244" s="46" t="n">
        <v>4574</v>
      </c>
      <c r="B2244" s="4">
        <f>+VLOOKUP($A2244,MAGAZZINO!$B$2:$M$100000,2,FALSE)</f>
        <v/>
      </c>
      <c r="C2244" s="29">
        <f>+VLOOKUP($A2244,MAGAZZINO!$B$2:$M$100000,3,FALSE)</f>
        <v/>
      </c>
      <c r="D2244" s="3">
        <f>+VLOOKUP($A2244,MAGAZZINO!$B$2:$M$100000,4,FALSE)</f>
        <v/>
      </c>
      <c r="E2244" s="3">
        <f>+VLOOKUP($A2244,MAGAZZINO!$B$2:$M$100000,5,FALSE)</f>
        <v/>
      </c>
      <c r="F2244" s="3">
        <f>+VLOOKUP($A2244,MAGAZZINO!$B$2:$M$100000,6,FALSE)</f>
        <v/>
      </c>
      <c r="G2244" s="3">
        <f>+VLOOKUP($A2244,MAGAZZINO!$B$2:$M$100000,7,FALSE)</f>
        <v/>
      </c>
      <c r="H2244" s="3">
        <f>+VLOOKUP($A2244,MAGAZZINO!$B$2:$M$100000,8,FALSE)</f>
        <v/>
      </c>
      <c r="I2244" s="3">
        <f>+VLOOKUP($A2244,MAGAZZINO!$B$2:$M$100000,9,FALSE)</f>
        <v/>
      </c>
      <c r="J2244" s="3">
        <f>+VLOOKUP($A2244,MAGAZZINO!$B$2:$M$100000,10,FALSE)</f>
        <v/>
      </c>
      <c r="K2244" s="3">
        <f>+VLOOKUP($A2244,MAGAZZINO!$B$2:$M$100000,11,FALSE)</f>
        <v/>
      </c>
      <c r="L2244" s="5">
        <f>+VLOOKUP($A2244,MAGAZZINO!$B$2:$M$100000,12,FALSE)</f>
        <v/>
      </c>
      <c r="M2244" s="47" t="n"/>
      <c r="N2244" s="54" t="n"/>
      <c r="O2244" s="3" t="n"/>
      <c r="P2244" s="149" t="n"/>
      <c r="Q2244" s="150" t="n"/>
      <c r="R2244" s="150" t="n"/>
      <c r="S2244" s="151" t="n"/>
    </row>
    <row r="2245" ht="36" customHeight="1">
      <c r="A2245" s="46" t="n">
        <v>4575</v>
      </c>
      <c r="B2245" s="4">
        <f>+VLOOKUP($A2245,MAGAZZINO!$B$2:$M$100000,2,FALSE)</f>
        <v/>
      </c>
      <c r="C2245" s="29">
        <f>+VLOOKUP($A2245,MAGAZZINO!$B$2:$M$100000,3,FALSE)</f>
        <v/>
      </c>
      <c r="D2245" s="3">
        <f>+VLOOKUP($A2245,MAGAZZINO!$B$2:$M$100000,4,FALSE)</f>
        <v/>
      </c>
      <c r="E2245" s="3">
        <f>+VLOOKUP($A2245,MAGAZZINO!$B$2:$M$100000,5,FALSE)</f>
        <v/>
      </c>
      <c r="F2245" s="3">
        <f>+VLOOKUP($A2245,MAGAZZINO!$B$2:$M$100000,6,FALSE)</f>
        <v/>
      </c>
      <c r="G2245" s="3">
        <f>+VLOOKUP($A2245,MAGAZZINO!$B$2:$M$100000,7,FALSE)</f>
        <v/>
      </c>
      <c r="H2245" s="3">
        <f>+VLOOKUP($A2245,MAGAZZINO!$B$2:$M$100000,8,FALSE)</f>
        <v/>
      </c>
      <c r="I2245" s="3">
        <f>+VLOOKUP($A2245,MAGAZZINO!$B$2:$M$100000,9,FALSE)</f>
        <v/>
      </c>
      <c r="J2245" s="3">
        <f>+VLOOKUP($A2245,MAGAZZINO!$B$2:$M$100000,10,FALSE)</f>
        <v/>
      </c>
      <c r="K2245" s="3">
        <f>+VLOOKUP($A2245,MAGAZZINO!$B$2:$M$100000,11,FALSE)</f>
        <v/>
      </c>
      <c r="L2245" s="5">
        <f>+VLOOKUP($A2245,MAGAZZINO!$B$2:$M$100000,12,FALSE)</f>
        <v/>
      </c>
      <c r="M2245" s="47" t="n"/>
      <c r="N2245" s="54" t="n"/>
      <c r="O2245" s="3" t="n"/>
      <c r="P2245" s="149" t="n"/>
      <c r="Q2245" s="150" t="n"/>
      <c r="R2245" s="150" t="n"/>
      <c r="S2245" s="151" t="n"/>
    </row>
    <row r="2246" ht="36" customHeight="1">
      <c r="A2246" s="46" t="n">
        <v>4576</v>
      </c>
      <c r="B2246" s="4">
        <f>+VLOOKUP($A2246,MAGAZZINO!$B$2:$M$100000,2,FALSE)</f>
        <v/>
      </c>
      <c r="C2246" s="29">
        <f>+VLOOKUP($A2246,MAGAZZINO!$B$2:$M$100000,3,FALSE)</f>
        <v/>
      </c>
      <c r="D2246" s="3">
        <f>+VLOOKUP($A2246,MAGAZZINO!$B$2:$M$100000,4,FALSE)</f>
        <v/>
      </c>
      <c r="E2246" s="3">
        <f>+VLOOKUP($A2246,MAGAZZINO!$B$2:$M$100000,5,FALSE)</f>
        <v/>
      </c>
      <c r="F2246" s="3">
        <f>+VLOOKUP($A2246,MAGAZZINO!$B$2:$M$100000,6,FALSE)</f>
        <v/>
      </c>
      <c r="G2246" s="3">
        <f>+VLOOKUP($A2246,MAGAZZINO!$B$2:$M$100000,7,FALSE)</f>
        <v/>
      </c>
      <c r="H2246" s="3">
        <f>+VLOOKUP($A2246,MAGAZZINO!$B$2:$M$100000,8,FALSE)</f>
        <v/>
      </c>
      <c r="I2246" s="3">
        <f>+VLOOKUP($A2246,MAGAZZINO!$B$2:$M$100000,9,FALSE)</f>
        <v/>
      </c>
      <c r="J2246" s="3">
        <f>+VLOOKUP($A2246,MAGAZZINO!$B$2:$M$100000,10,FALSE)</f>
        <v/>
      </c>
      <c r="K2246" s="3">
        <f>+VLOOKUP($A2246,MAGAZZINO!$B$2:$M$100000,11,FALSE)</f>
        <v/>
      </c>
      <c r="L2246" s="5">
        <f>+VLOOKUP($A2246,MAGAZZINO!$B$2:$M$100000,12,FALSE)</f>
        <v/>
      </c>
      <c r="M2246" s="47" t="n"/>
      <c r="N2246" s="54" t="n"/>
      <c r="O2246" s="3" t="n"/>
      <c r="P2246" s="149" t="n"/>
      <c r="Q2246" s="150" t="n"/>
      <c r="R2246" s="150" t="n"/>
      <c r="S2246" s="151" t="n"/>
    </row>
    <row r="2247" ht="36" customHeight="1">
      <c r="A2247" s="46" t="n">
        <v>4577</v>
      </c>
      <c r="B2247" s="4">
        <f>+VLOOKUP($A2247,MAGAZZINO!$B$2:$M$100000,2,FALSE)</f>
        <v/>
      </c>
      <c r="C2247" s="29">
        <f>+VLOOKUP($A2247,MAGAZZINO!$B$2:$M$100000,3,FALSE)</f>
        <v/>
      </c>
      <c r="D2247" s="3">
        <f>+VLOOKUP($A2247,MAGAZZINO!$B$2:$M$100000,4,FALSE)</f>
        <v/>
      </c>
      <c r="E2247" s="3">
        <f>+VLOOKUP($A2247,MAGAZZINO!$B$2:$M$100000,5,FALSE)</f>
        <v/>
      </c>
      <c r="F2247" s="3">
        <f>+VLOOKUP($A2247,MAGAZZINO!$B$2:$M$100000,6,FALSE)</f>
        <v/>
      </c>
      <c r="G2247" s="3">
        <f>+VLOOKUP($A2247,MAGAZZINO!$B$2:$M$100000,7,FALSE)</f>
        <v/>
      </c>
      <c r="H2247" s="3">
        <f>+VLOOKUP($A2247,MAGAZZINO!$B$2:$M$100000,8,FALSE)</f>
        <v/>
      </c>
      <c r="I2247" s="3">
        <f>+VLOOKUP($A2247,MAGAZZINO!$B$2:$M$100000,9,FALSE)</f>
        <v/>
      </c>
      <c r="J2247" s="3">
        <f>+VLOOKUP($A2247,MAGAZZINO!$B$2:$M$100000,10,FALSE)</f>
        <v/>
      </c>
      <c r="K2247" s="3">
        <f>+VLOOKUP($A2247,MAGAZZINO!$B$2:$M$100000,11,FALSE)</f>
        <v/>
      </c>
      <c r="L2247" s="5">
        <f>+VLOOKUP($A2247,MAGAZZINO!$B$2:$M$100000,12,FALSE)</f>
        <v/>
      </c>
      <c r="M2247" s="47" t="n"/>
      <c r="N2247" s="54" t="n"/>
      <c r="O2247" s="3" t="n"/>
      <c r="P2247" s="149" t="n"/>
      <c r="Q2247" s="150" t="n"/>
      <c r="R2247" s="150" t="n"/>
      <c r="S2247" s="151" t="n"/>
    </row>
    <row r="2248" ht="36" customHeight="1">
      <c r="A2248" s="46" t="n">
        <v>4578</v>
      </c>
      <c r="B2248" s="4">
        <f>+VLOOKUP($A2248,MAGAZZINO!$B$2:$M$100000,2,FALSE)</f>
        <v/>
      </c>
      <c r="C2248" s="29">
        <f>+VLOOKUP($A2248,MAGAZZINO!$B$2:$M$100000,3,FALSE)</f>
        <v/>
      </c>
      <c r="D2248" s="3">
        <f>+VLOOKUP($A2248,MAGAZZINO!$B$2:$M$100000,4,FALSE)</f>
        <v/>
      </c>
      <c r="E2248" s="3">
        <f>+VLOOKUP($A2248,MAGAZZINO!$B$2:$M$100000,5,FALSE)</f>
        <v/>
      </c>
      <c r="F2248" s="3">
        <f>+VLOOKUP($A2248,MAGAZZINO!$B$2:$M$100000,6,FALSE)</f>
        <v/>
      </c>
      <c r="G2248" s="3">
        <f>+VLOOKUP($A2248,MAGAZZINO!$B$2:$M$100000,7,FALSE)</f>
        <v/>
      </c>
      <c r="H2248" s="3">
        <f>+VLOOKUP($A2248,MAGAZZINO!$B$2:$M$100000,8,FALSE)</f>
        <v/>
      </c>
      <c r="I2248" s="3">
        <f>+VLOOKUP($A2248,MAGAZZINO!$B$2:$M$100000,9,FALSE)</f>
        <v/>
      </c>
      <c r="J2248" s="3">
        <f>+VLOOKUP($A2248,MAGAZZINO!$B$2:$M$100000,10,FALSE)</f>
        <v/>
      </c>
      <c r="K2248" s="3">
        <f>+VLOOKUP($A2248,MAGAZZINO!$B$2:$M$100000,11,FALSE)</f>
        <v/>
      </c>
      <c r="L2248" s="5">
        <f>+VLOOKUP($A2248,MAGAZZINO!$B$2:$M$100000,12,FALSE)</f>
        <v/>
      </c>
      <c r="M2248" s="47" t="n"/>
      <c r="N2248" s="54" t="n"/>
      <c r="O2248" s="3" t="n"/>
      <c r="P2248" s="149" t="n"/>
      <c r="Q2248" s="150" t="n"/>
      <c r="R2248" s="150" t="n"/>
      <c r="S2248" s="151" t="n"/>
    </row>
    <row r="2249" ht="36" customHeight="1">
      <c r="A2249" s="46" t="n">
        <v>4579</v>
      </c>
      <c r="B2249" s="4">
        <f>+VLOOKUP($A2249,MAGAZZINO!$B$2:$M$100000,2,FALSE)</f>
        <v/>
      </c>
      <c r="C2249" s="29">
        <f>+VLOOKUP($A2249,MAGAZZINO!$B$2:$M$100000,3,FALSE)</f>
        <v/>
      </c>
      <c r="D2249" s="3">
        <f>+VLOOKUP($A2249,MAGAZZINO!$B$2:$M$100000,4,FALSE)</f>
        <v/>
      </c>
      <c r="E2249" s="3">
        <f>+VLOOKUP($A2249,MAGAZZINO!$B$2:$M$100000,5,FALSE)</f>
        <v/>
      </c>
      <c r="F2249" s="3">
        <f>+VLOOKUP($A2249,MAGAZZINO!$B$2:$M$100000,6,FALSE)</f>
        <v/>
      </c>
      <c r="G2249" s="3">
        <f>+VLOOKUP($A2249,MAGAZZINO!$B$2:$M$100000,7,FALSE)</f>
        <v/>
      </c>
      <c r="H2249" s="3">
        <f>+VLOOKUP($A2249,MAGAZZINO!$B$2:$M$100000,8,FALSE)</f>
        <v/>
      </c>
      <c r="I2249" s="3">
        <f>+VLOOKUP($A2249,MAGAZZINO!$B$2:$M$100000,9,FALSE)</f>
        <v/>
      </c>
      <c r="J2249" s="3">
        <f>+VLOOKUP($A2249,MAGAZZINO!$B$2:$M$100000,10,FALSE)</f>
        <v/>
      </c>
      <c r="K2249" s="3">
        <f>+VLOOKUP($A2249,MAGAZZINO!$B$2:$M$100000,11,FALSE)</f>
        <v/>
      </c>
      <c r="L2249" s="5">
        <f>+VLOOKUP($A2249,MAGAZZINO!$B$2:$M$100000,12,FALSE)</f>
        <v/>
      </c>
      <c r="M2249" s="47" t="n"/>
      <c r="N2249" s="54" t="n"/>
      <c r="O2249" s="3" t="n"/>
      <c r="P2249" s="149" t="n"/>
      <c r="Q2249" s="150" t="n"/>
      <c r="R2249" s="150" t="n"/>
      <c r="S2249" s="151" t="n"/>
    </row>
    <row r="2250" ht="36" customHeight="1">
      <c r="A2250" s="46" t="n">
        <v>4580</v>
      </c>
      <c r="B2250" s="4">
        <f>+VLOOKUP($A2250,MAGAZZINO!$B$2:$M$100000,2,FALSE)</f>
        <v/>
      </c>
      <c r="C2250" s="29">
        <f>+VLOOKUP($A2250,MAGAZZINO!$B$2:$M$100000,3,FALSE)</f>
        <v/>
      </c>
      <c r="D2250" s="3">
        <f>+VLOOKUP($A2250,MAGAZZINO!$B$2:$M$100000,4,FALSE)</f>
        <v/>
      </c>
      <c r="E2250" s="3">
        <f>+VLOOKUP($A2250,MAGAZZINO!$B$2:$M$100000,5,FALSE)</f>
        <v/>
      </c>
      <c r="F2250" s="3">
        <f>+VLOOKUP($A2250,MAGAZZINO!$B$2:$M$100000,6,FALSE)</f>
        <v/>
      </c>
      <c r="G2250" s="3">
        <f>+VLOOKUP($A2250,MAGAZZINO!$B$2:$M$100000,7,FALSE)</f>
        <v/>
      </c>
      <c r="H2250" s="3">
        <f>+VLOOKUP($A2250,MAGAZZINO!$B$2:$M$100000,8,FALSE)</f>
        <v/>
      </c>
      <c r="I2250" s="3">
        <f>+VLOOKUP($A2250,MAGAZZINO!$B$2:$M$100000,9,FALSE)</f>
        <v/>
      </c>
      <c r="J2250" s="3">
        <f>+VLOOKUP($A2250,MAGAZZINO!$B$2:$M$100000,10,FALSE)</f>
        <v/>
      </c>
      <c r="K2250" s="3">
        <f>+VLOOKUP($A2250,MAGAZZINO!$B$2:$M$100000,11,FALSE)</f>
        <v/>
      </c>
      <c r="L2250" s="5">
        <f>+VLOOKUP($A2250,MAGAZZINO!$B$2:$M$100000,12,FALSE)</f>
        <v/>
      </c>
      <c r="M2250" s="47" t="n"/>
      <c r="N2250" s="54" t="n"/>
      <c r="O2250" s="3" t="n"/>
      <c r="P2250" s="149" t="n"/>
      <c r="Q2250" s="150" t="n"/>
      <c r="R2250" s="150" t="n"/>
      <c r="S2250" s="151" t="n"/>
    </row>
    <row r="2251" ht="36" customHeight="1">
      <c r="A2251" s="46" t="n">
        <v>4581</v>
      </c>
      <c r="B2251" s="4">
        <f>+VLOOKUP($A2251,MAGAZZINO!$B$2:$M$100000,2,FALSE)</f>
        <v/>
      </c>
      <c r="C2251" s="29">
        <f>+VLOOKUP($A2251,MAGAZZINO!$B$2:$M$100000,3,FALSE)</f>
        <v/>
      </c>
      <c r="D2251" s="3">
        <f>+VLOOKUP($A2251,MAGAZZINO!$B$2:$M$100000,4,FALSE)</f>
        <v/>
      </c>
      <c r="E2251" s="3">
        <f>+VLOOKUP($A2251,MAGAZZINO!$B$2:$M$100000,5,FALSE)</f>
        <v/>
      </c>
      <c r="F2251" s="3">
        <f>+VLOOKUP($A2251,MAGAZZINO!$B$2:$M$100000,6,FALSE)</f>
        <v/>
      </c>
      <c r="G2251" s="3">
        <f>+VLOOKUP($A2251,MAGAZZINO!$B$2:$M$100000,7,FALSE)</f>
        <v/>
      </c>
      <c r="H2251" s="3">
        <f>+VLOOKUP($A2251,MAGAZZINO!$B$2:$M$100000,8,FALSE)</f>
        <v/>
      </c>
      <c r="I2251" s="3">
        <f>+VLOOKUP($A2251,MAGAZZINO!$B$2:$M$100000,9,FALSE)</f>
        <v/>
      </c>
      <c r="J2251" s="3">
        <f>+VLOOKUP($A2251,MAGAZZINO!$B$2:$M$100000,10,FALSE)</f>
        <v/>
      </c>
      <c r="K2251" s="3">
        <f>+VLOOKUP($A2251,MAGAZZINO!$B$2:$M$100000,11,FALSE)</f>
        <v/>
      </c>
      <c r="L2251" s="5">
        <f>+VLOOKUP($A2251,MAGAZZINO!$B$2:$M$100000,12,FALSE)</f>
        <v/>
      </c>
      <c r="M2251" s="47" t="n"/>
      <c r="N2251" s="54" t="n"/>
      <c r="O2251" s="3" t="n"/>
      <c r="P2251" s="149" t="n"/>
      <c r="Q2251" s="150" t="n"/>
      <c r="R2251" s="150" t="n"/>
      <c r="S2251" s="151" t="n"/>
    </row>
    <row r="2252" ht="36" customHeight="1">
      <c r="A2252" s="46" t="n">
        <v>4582</v>
      </c>
      <c r="B2252" s="4">
        <f>+VLOOKUP($A2252,MAGAZZINO!$B$2:$M$100000,2,FALSE)</f>
        <v/>
      </c>
      <c r="C2252" s="29">
        <f>+VLOOKUP($A2252,MAGAZZINO!$B$2:$M$100000,3,FALSE)</f>
        <v/>
      </c>
      <c r="D2252" s="3">
        <f>+VLOOKUP($A2252,MAGAZZINO!$B$2:$M$100000,4,FALSE)</f>
        <v/>
      </c>
      <c r="E2252" s="3">
        <f>+VLOOKUP($A2252,MAGAZZINO!$B$2:$M$100000,5,FALSE)</f>
        <v/>
      </c>
      <c r="F2252" s="3">
        <f>+VLOOKUP($A2252,MAGAZZINO!$B$2:$M$100000,6,FALSE)</f>
        <v/>
      </c>
      <c r="G2252" s="3">
        <f>+VLOOKUP($A2252,MAGAZZINO!$B$2:$M$100000,7,FALSE)</f>
        <v/>
      </c>
      <c r="H2252" s="3">
        <f>+VLOOKUP($A2252,MAGAZZINO!$B$2:$M$100000,8,FALSE)</f>
        <v/>
      </c>
      <c r="I2252" s="3">
        <f>+VLOOKUP($A2252,MAGAZZINO!$B$2:$M$100000,9,FALSE)</f>
        <v/>
      </c>
      <c r="J2252" s="3">
        <f>+VLOOKUP($A2252,MAGAZZINO!$B$2:$M$100000,10,FALSE)</f>
        <v/>
      </c>
      <c r="K2252" s="3">
        <f>+VLOOKUP($A2252,MAGAZZINO!$B$2:$M$100000,11,FALSE)</f>
        <v/>
      </c>
      <c r="L2252" s="5">
        <f>+VLOOKUP($A2252,MAGAZZINO!$B$2:$M$100000,12,FALSE)</f>
        <v/>
      </c>
      <c r="M2252" s="47" t="n"/>
      <c r="N2252" s="54" t="n"/>
      <c r="O2252" s="3" t="n"/>
      <c r="P2252" s="149" t="n"/>
      <c r="Q2252" s="150" t="n"/>
      <c r="R2252" s="150" t="n"/>
      <c r="S2252" s="151" t="n"/>
    </row>
    <row r="2253" ht="36" customHeight="1">
      <c r="A2253" s="46" t="n">
        <v>4583</v>
      </c>
      <c r="B2253" s="4">
        <f>+VLOOKUP($A2253,MAGAZZINO!$B$2:$M$100000,2,FALSE)</f>
        <v/>
      </c>
      <c r="C2253" s="29">
        <f>+VLOOKUP($A2253,MAGAZZINO!$B$2:$M$100000,3,FALSE)</f>
        <v/>
      </c>
      <c r="D2253" s="3">
        <f>+VLOOKUP($A2253,MAGAZZINO!$B$2:$M$100000,4,FALSE)</f>
        <v/>
      </c>
      <c r="E2253" s="3">
        <f>+VLOOKUP($A2253,MAGAZZINO!$B$2:$M$100000,5,FALSE)</f>
        <v/>
      </c>
      <c r="F2253" s="3">
        <f>+VLOOKUP($A2253,MAGAZZINO!$B$2:$M$100000,6,FALSE)</f>
        <v/>
      </c>
      <c r="G2253" s="3">
        <f>+VLOOKUP($A2253,MAGAZZINO!$B$2:$M$100000,7,FALSE)</f>
        <v/>
      </c>
      <c r="H2253" s="3">
        <f>+VLOOKUP($A2253,MAGAZZINO!$B$2:$M$100000,8,FALSE)</f>
        <v/>
      </c>
      <c r="I2253" s="3">
        <f>+VLOOKUP($A2253,MAGAZZINO!$B$2:$M$100000,9,FALSE)</f>
        <v/>
      </c>
      <c r="J2253" s="3">
        <f>+VLOOKUP($A2253,MAGAZZINO!$B$2:$M$100000,10,FALSE)</f>
        <v/>
      </c>
      <c r="K2253" s="3">
        <f>+VLOOKUP($A2253,MAGAZZINO!$B$2:$M$100000,11,FALSE)</f>
        <v/>
      </c>
      <c r="L2253" s="5">
        <f>+VLOOKUP($A2253,MAGAZZINO!$B$2:$M$100000,12,FALSE)</f>
        <v/>
      </c>
      <c r="M2253" s="47" t="n"/>
      <c r="N2253" s="54" t="n"/>
      <c r="O2253" s="3" t="n"/>
      <c r="P2253" s="149" t="n"/>
      <c r="Q2253" s="150" t="n"/>
      <c r="R2253" s="150" t="n"/>
      <c r="S2253" s="151" t="n"/>
    </row>
    <row r="2254" ht="36" customHeight="1">
      <c r="A2254" s="46" t="n">
        <v>4584</v>
      </c>
      <c r="B2254" s="4">
        <f>+VLOOKUP($A2254,MAGAZZINO!$B$2:$M$100000,2,FALSE)</f>
        <v/>
      </c>
      <c r="C2254" s="29">
        <f>+VLOOKUP($A2254,MAGAZZINO!$B$2:$M$100000,3,FALSE)</f>
        <v/>
      </c>
      <c r="D2254" s="3">
        <f>+VLOOKUP($A2254,MAGAZZINO!$B$2:$M$100000,4,FALSE)</f>
        <v/>
      </c>
      <c r="E2254" s="3">
        <f>+VLOOKUP($A2254,MAGAZZINO!$B$2:$M$100000,5,FALSE)</f>
        <v/>
      </c>
      <c r="F2254" s="3">
        <f>+VLOOKUP($A2254,MAGAZZINO!$B$2:$M$100000,6,FALSE)</f>
        <v/>
      </c>
      <c r="G2254" s="3">
        <f>+VLOOKUP($A2254,MAGAZZINO!$B$2:$M$100000,7,FALSE)</f>
        <v/>
      </c>
      <c r="H2254" s="3">
        <f>+VLOOKUP($A2254,MAGAZZINO!$B$2:$M$100000,8,FALSE)</f>
        <v/>
      </c>
      <c r="I2254" s="3">
        <f>+VLOOKUP($A2254,MAGAZZINO!$B$2:$M$100000,9,FALSE)</f>
        <v/>
      </c>
      <c r="J2254" s="3">
        <f>+VLOOKUP($A2254,MAGAZZINO!$B$2:$M$100000,10,FALSE)</f>
        <v/>
      </c>
      <c r="K2254" s="3">
        <f>+VLOOKUP($A2254,MAGAZZINO!$B$2:$M$100000,11,FALSE)</f>
        <v/>
      </c>
      <c r="L2254" s="5">
        <f>+VLOOKUP($A2254,MAGAZZINO!$B$2:$M$100000,12,FALSE)</f>
        <v/>
      </c>
      <c r="M2254" s="47" t="n"/>
      <c r="N2254" s="54" t="n"/>
      <c r="O2254" s="3" t="n"/>
      <c r="P2254" s="149" t="n"/>
      <c r="Q2254" s="150" t="n"/>
      <c r="R2254" s="150" t="n"/>
      <c r="S2254" s="151" t="n"/>
    </row>
    <row r="2255" ht="36" customHeight="1">
      <c r="A2255" s="46" t="n">
        <v>4585</v>
      </c>
      <c r="B2255" s="4">
        <f>+VLOOKUP($A2255,MAGAZZINO!$B$2:$M$100000,2,FALSE)</f>
        <v/>
      </c>
      <c r="C2255" s="29">
        <f>+VLOOKUP($A2255,MAGAZZINO!$B$2:$M$100000,3,FALSE)</f>
        <v/>
      </c>
      <c r="D2255" s="3">
        <f>+VLOOKUP($A2255,MAGAZZINO!$B$2:$M$100000,4,FALSE)</f>
        <v/>
      </c>
      <c r="E2255" s="3">
        <f>+VLOOKUP($A2255,MAGAZZINO!$B$2:$M$100000,5,FALSE)</f>
        <v/>
      </c>
      <c r="F2255" s="3">
        <f>+VLOOKUP($A2255,MAGAZZINO!$B$2:$M$100000,6,FALSE)</f>
        <v/>
      </c>
      <c r="G2255" s="3">
        <f>+VLOOKUP($A2255,MAGAZZINO!$B$2:$M$100000,7,FALSE)</f>
        <v/>
      </c>
      <c r="H2255" s="3">
        <f>+VLOOKUP($A2255,MAGAZZINO!$B$2:$M$100000,8,FALSE)</f>
        <v/>
      </c>
      <c r="I2255" s="3">
        <f>+VLOOKUP($A2255,MAGAZZINO!$B$2:$M$100000,9,FALSE)</f>
        <v/>
      </c>
      <c r="J2255" s="3">
        <f>+VLOOKUP($A2255,MAGAZZINO!$B$2:$M$100000,10,FALSE)</f>
        <v/>
      </c>
      <c r="K2255" s="3">
        <f>+VLOOKUP($A2255,MAGAZZINO!$B$2:$M$100000,11,FALSE)</f>
        <v/>
      </c>
      <c r="L2255" s="5">
        <f>+VLOOKUP($A2255,MAGAZZINO!$B$2:$M$100000,12,FALSE)</f>
        <v/>
      </c>
      <c r="M2255" s="47" t="n"/>
      <c r="N2255" s="54" t="n"/>
      <c r="O2255" s="3" t="n"/>
      <c r="P2255" s="149" t="n"/>
      <c r="Q2255" s="150" t="n"/>
      <c r="R2255" s="150" t="n"/>
      <c r="S2255" s="151" t="n"/>
    </row>
    <row r="2256" ht="36" customHeight="1">
      <c r="A2256" s="46" t="n">
        <v>4586</v>
      </c>
      <c r="B2256" s="4">
        <f>+VLOOKUP($A2256,MAGAZZINO!$B$2:$M$100000,2,FALSE)</f>
        <v/>
      </c>
      <c r="C2256" s="29">
        <f>+VLOOKUP($A2256,MAGAZZINO!$B$2:$M$100000,3,FALSE)</f>
        <v/>
      </c>
      <c r="D2256" s="3">
        <f>+VLOOKUP($A2256,MAGAZZINO!$B$2:$M$100000,4,FALSE)</f>
        <v/>
      </c>
      <c r="E2256" s="3">
        <f>+VLOOKUP($A2256,MAGAZZINO!$B$2:$M$100000,5,FALSE)</f>
        <v/>
      </c>
      <c r="F2256" s="3">
        <f>+VLOOKUP($A2256,MAGAZZINO!$B$2:$M$100000,6,FALSE)</f>
        <v/>
      </c>
      <c r="G2256" s="3">
        <f>+VLOOKUP($A2256,MAGAZZINO!$B$2:$M$100000,7,FALSE)</f>
        <v/>
      </c>
      <c r="H2256" s="3">
        <f>+VLOOKUP($A2256,MAGAZZINO!$B$2:$M$100000,8,FALSE)</f>
        <v/>
      </c>
      <c r="I2256" s="3">
        <f>+VLOOKUP($A2256,MAGAZZINO!$B$2:$M$100000,9,FALSE)</f>
        <v/>
      </c>
      <c r="J2256" s="3">
        <f>+VLOOKUP($A2256,MAGAZZINO!$B$2:$M$100000,10,FALSE)</f>
        <v/>
      </c>
      <c r="K2256" s="3">
        <f>+VLOOKUP($A2256,MAGAZZINO!$B$2:$M$100000,11,FALSE)</f>
        <v/>
      </c>
      <c r="L2256" s="5">
        <f>+VLOOKUP($A2256,MAGAZZINO!$B$2:$M$100000,12,FALSE)</f>
        <v/>
      </c>
      <c r="M2256" s="47" t="n"/>
      <c r="N2256" s="54" t="n"/>
      <c r="O2256" s="3" t="n"/>
      <c r="P2256" s="149" t="n"/>
      <c r="Q2256" s="150" t="n"/>
      <c r="R2256" s="150" t="n"/>
      <c r="S2256" s="151" t="n"/>
    </row>
    <row r="2257" ht="36" customHeight="1">
      <c r="A2257" s="46" t="n">
        <v>4587</v>
      </c>
      <c r="B2257" s="4">
        <f>+VLOOKUP($A2257,MAGAZZINO!$B$2:$M$100000,2,FALSE)</f>
        <v/>
      </c>
      <c r="C2257" s="29">
        <f>+VLOOKUP($A2257,MAGAZZINO!$B$2:$M$100000,3,FALSE)</f>
        <v/>
      </c>
      <c r="D2257" s="3">
        <f>+VLOOKUP($A2257,MAGAZZINO!$B$2:$M$100000,4,FALSE)</f>
        <v/>
      </c>
      <c r="E2257" s="3">
        <f>+VLOOKUP($A2257,MAGAZZINO!$B$2:$M$100000,5,FALSE)</f>
        <v/>
      </c>
      <c r="F2257" s="3">
        <f>+VLOOKUP($A2257,MAGAZZINO!$B$2:$M$100000,6,FALSE)</f>
        <v/>
      </c>
      <c r="G2257" s="3">
        <f>+VLOOKUP($A2257,MAGAZZINO!$B$2:$M$100000,7,FALSE)</f>
        <v/>
      </c>
      <c r="H2257" s="3">
        <f>+VLOOKUP($A2257,MAGAZZINO!$B$2:$M$100000,8,FALSE)</f>
        <v/>
      </c>
      <c r="I2257" s="3">
        <f>+VLOOKUP($A2257,MAGAZZINO!$B$2:$M$100000,9,FALSE)</f>
        <v/>
      </c>
      <c r="J2257" s="3">
        <f>+VLOOKUP($A2257,MAGAZZINO!$B$2:$M$100000,10,FALSE)</f>
        <v/>
      </c>
      <c r="K2257" s="3">
        <f>+VLOOKUP($A2257,MAGAZZINO!$B$2:$M$100000,11,FALSE)</f>
        <v/>
      </c>
      <c r="L2257" s="5">
        <f>+VLOOKUP($A2257,MAGAZZINO!$B$2:$M$100000,12,FALSE)</f>
        <v/>
      </c>
      <c r="M2257" s="47" t="n"/>
      <c r="N2257" s="54" t="n"/>
      <c r="O2257" s="3" t="n"/>
      <c r="P2257" s="149" t="n"/>
      <c r="Q2257" s="150" t="n"/>
      <c r="R2257" s="150" t="n"/>
      <c r="S2257" s="151" t="n"/>
    </row>
    <row r="2258" ht="36" customHeight="1">
      <c r="A2258" s="46" t="n">
        <v>4588</v>
      </c>
      <c r="B2258" s="4">
        <f>+VLOOKUP($A2258,MAGAZZINO!$B$2:$M$100000,2,FALSE)</f>
        <v/>
      </c>
      <c r="C2258" s="29">
        <f>+VLOOKUP($A2258,MAGAZZINO!$B$2:$M$100000,3,FALSE)</f>
        <v/>
      </c>
      <c r="D2258" s="3">
        <f>+VLOOKUP($A2258,MAGAZZINO!$B$2:$M$100000,4,FALSE)</f>
        <v/>
      </c>
      <c r="E2258" s="3">
        <f>+VLOOKUP($A2258,MAGAZZINO!$B$2:$M$100000,5,FALSE)</f>
        <v/>
      </c>
      <c r="F2258" s="3">
        <f>+VLOOKUP($A2258,MAGAZZINO!$B$2:$M$100000,6,FALSE)</f>
        <v/>
      </c>
      <c r="G2258" s="3">
        <f>+VLOOKUP($A2258,MAGAZZINO!$B$2:$M$100000,7,FALSE)</f>
        <v/>
      </c>
      <c r="H2258" s="3">
        <f>+VLOOKUP($A2258,MAGAZZINO!$B$2:$M$100000,8,FALSE)</f>
        <v/>
      </c>
      <c r="I2258" s="3">
        <f>+VLOOKUP($A2258,MAGAZZINO!$B$2:$M$100000,9,FALSE)</f>
        <v/>
      </c>
      <c r="J2258" s="3">
        <f>+VLOOKUP($A2258,MAGAZZINO!$B$2:$M$100000,10,FALSE)</f>
        <v/>
      </c>
      <c r="K2258" s="3">
        <f>+VLOOKUP($A2258,MAGAZZINO!$B$2:$M$100000,11,FALSE)</f>
        <v/>
      </c>
      <c r="L2258" s="5">
        <f>+VLOOKUP($A2258,MAGAZZINO!$B$2:$M$100000,12,FALSE)</f>
        <v/>
      </c>
      <c r="M2258" s="47" t="n"/>
      <c r="N2258" s="54" t="n"/>
      <c r="O2258" s="3" t="n"/>
      <c r="P2258" s="149" t="n"/>
      <c r="Q2258" s="150" t="n"/>
      <c r="R2258" s="150" t="n"/>
      <c r="S2258" s="151" t="n"/>
    </row>
    <row r="2259" ht="36" customHeight="1">
      <c r="A2259" s="46" t="n">
        <v>4589</v>
      </c>
      <c r="B2259" s="4">
        <f>+VLOOKUP($A2259,MAGAZZINO!$B$2:$M$100000,2,FALSE)</f>
        <v/>
      </c>
      <c r="C2259" s="29">
        <f>+VLOOKUP($A2259,MAGAZZINO!$B$2:$M$100000,3,FALSE)</f>
        <v/>
      </c>
      <c r="D2259" s="3">
        <f>+VLOOKUP($A2259,MAGAZZINO!$B$2:$M$100000,4,FALSE)</f>
        <v/>
      </c>
      <c r="E2259" s="3">
        <f>+VLOOKUP($A2259,MAGAZZINO!$B$2:$M$100000,5,FALSE)</f>
        <v/>
      </c>
      <c r="F2259" s="3">
        <f>+VLOOKUP($A2259,MAGAZZINO!$B$2:$M$100000,6,FALSE)</f>
        <v/>
      </c>
      <c r="G2259" s="3">
        <f>+VLOOKUP($A2259,MAGAZZINO!$B$2:$M$100000,7,FALSE)</f>
        <v/>
      </c>
      <c r="H2259" s="3">
        <f>+VLOOKUP($A2259,MAGAZZINO!$B$2:$M$100000,8,FALSE)</f>
        <v/>
      </c>
      <c r="I2259" s="3">
        <f>+VLOOKUP($A2259,MAGAZZINO!$B$2:$M$100000,9,FALSE)</f>
        <v/>
      </c>
      <c r="J2259" s="3">
        <f>+VLOOKUP($A2259,MAGAZZINO!$B$2:$M$100000,10,FALSE)</f>
        <v/>
      </c>
      <c r="K2259" s="3">
        <f>+VLOOKUP($A2259,MAGAZZINO!$B$2:$M$100000,11,FALSE)</f>
        <v/>
      </c>
      <c r="L2259" s="5">
        <f>+VLOOKUP($A2259,MAGAZZINO!$B$2:$M$100000,12,FALSE)</f>
        <v/>
      </c>
      <c r="M2259" s="47" t="n"/>
      <c r="N2259" s="54" t="n"/>
      <c r="O2259" s="3" t="n"/>
      <c r="P2259" s="149" t="n"/>
      <c r="Q2259" s="150" t="n"/>
      <c r="R2259" s="150" t="n"/>
      <c r="S2259" s="151" t="n"/>
    </row>
    <row r="2260" ht="36" customHeight="1">
      <c r="A2260" s="46" t="n">
        <v>4590</v>
      </c>
      <c r="B2260" s="4">
        <f>+VLOOKUP($A2260,MAGAZZINO!$B$2:$M$100000,2,FALSE)</f>
        <v/>
      </c>
      <c r="C2260" s="29">
        <f>+VLOOKUP($A2260,MAGAZZINO!$B$2:$M$100000,3,FALSE)</f>
        <v/>
      </c>
      <c r="D2260" s="3">
        <f>+VLOOKUP($A2260,MAGAZZINO!$B$2:$M$100000,4,FALSE)</f>
        <v/>
      </c>
      <c r="E2260" s="3">
        <f>+VLOOKUP($A2260,MAGAZZINO!$B$2:$M$100000,5,FALSE)</f>
        <v/>
      </c>
      <c r="F2260" s="3">
        <f>+VLOOKUP($A2260,MAGAZZINO!$B$2:$M$100000,6,FALSE)</f>
        <v/>
      </c>
      <c r="G2260" s="3">
        <f>+VLOOKUP($A2260,MAGAZZINO!$B$2:$M$100000,7,FALSE)</f>
        <v/>
      </c>
      <c r="H2260" s="3">
        <f>+VLOOKUP($A2260,MAGAZZINO!$B$2:$M$100000,8,FALSE)</f>
        <v/>
      </c>
      <c r="I2260" s="3">
        <f>+VLOOKUP($A2260,MAGAZZINO!$B$2:$M$100000,9,FALSE)</f>
        <v/>
      </c>
      <c r="J2260" s="3">
        <f>+VLOOKUP($A2260,MAGAZZINO!$B$2:$M$100000,10,FALSE)</f>
        <v/>
      </c>
      <c r="K2260" s="3">
        <f>+VLOOKUP($A2260,MAGAZZINO!$B$2:$M$100000,11,FALSE)</f>
        <v/>
      </c>
      <c r="L2260" s="5">
        <f>+VLOOKUP($A2260,MAGAZZINO!$B$2:$M$100000,12,FALSE)</f>
        <v/>
      </c>
      <c r="M2260" s="47" t="n"/>
      <c r="N2260" s="54" t="n"/>
      <c r="O2260" s="3" t="n"/>
      <c r="P2260" s="149" t="n"/>
      <c r="Q2260" s="150" t="n"/>
      <c r="R2260" s="150" t="n"/>
      <c r="S2260" s="151" t="n"/>
    </row>
    <row r="2261" ht="36" customHeight="1">
      <c r="A2261" s="46" t="n">
        <v>4591</v>
      </c>
      <c r="B2261" s="4">
        <f>+VLOOKUP($A2261,MAGAZZINO!$B$2:$M$100000,2,FALSE)</f>
        <v/>
      </c>
      <c r="C2261" s="29">
        <f>+VLOOKUP($A2261,MAGAZZINO!$B$2:$M$100000,3,FALSE)</f>
        <v/>
      </c>
      <c r="D2261" s="3">
        <f>+VLOOKUP($A2261,MAGAZZINO!$B$2:$M$100000,4,FALSE)</f>
        <v/>
      </c>
      <c r="E2261" s="3">
        <f>+VLOOKUP($A2261,MAGAZZINO!$B$2:$M$100000,5,FALSE)</f>
        <v/>
      </c>
      <c r="F2261" s="3">
        <f>+VLOOKUP($A2261,MAGAZZINO!$B$2:$M$100000,6,FALSE)</f>
        <v/>
      </c>
      <c r="G2261" s="3">
        <f>+VLOOKUP($A2261,MAGAZZINO!$B$2:$M$100000,7,FALSE)</f>
        <v/>
      </c>
      <c r="H2261" s="3">
        <f>+VLOOKUP($A2261,MAGAZZINO!$B$2:$M$100000,8,FALSE)</f>
        <v/>
      </c>
      <c r="I2261" s="3">
        <f>+VLOOKUP($A2261,MAGAZZINO!$B$2:$M$100000,9,FALSE)</f>
        <v/>
      </c>
      <c r="J2261" s="3">
        <f>+VLOOKUP($A2261,MAGAZZINO!$B$2:$M$100000,10,FALSE)</f>
        <v/>
      </c>
      <c r="K2261" s="3">
        <f>+VLOOKUP($A2261,MAGAZZINO!$B$2:$M$100000,11,FALSE)</f>
        <v/>
      </c>
      <c r="L2261" s="5">
        <f>+VLOOKUP($A2261,MAGAZZINO!$B$2:$M$100000,12,FALSE)</f>
        <v/>
      </c>
      <c r="M2261" s="47" t="n"/>
      <c r="N2261" s="54" t="n"/>
      <c r="O2261" s="3" t="n"/>
      <c r="P2261" s="149" t="n"/>
      <c r="Q2261" s="150" t="n"/>
      <c r="R2261" s="150" t="n"/>
      <c r="S2261" s="151" t="n"/>
    </row>
    <row r="2262" ht="36" customHeight="1">
      <c r="A2262" s="46" t="n">
        <v>4592</v>
      </c>
      <c r="B2262" s="4">
        <f>+VLOOKUP($A2262,MAGAZZINO!$B$2:$M$100000,2,FALSE)</f>
        <v/>
      </c>
      <c r="C2262" s="29">
        <f>+VLOOKUP($A2262,MAGAZZINO!$B$2:$M$100000,3,FALSE)</f>
        <v/>
      </c>
      <c r="D2262" s="3">
        <f>+VLOOKUP($A2262,MAGAZZINO!$B$2:$M$100000,4,FALSE)</f>
        <v/>
      </c>
      <c r="E2262" s="3">
        <f>+VLOOKUP($A2262,MAGAZZINO!$B$2:$M$100000,5,FALSE)</f>
        <v/>
      </c>
      <c r="F2262" s="3">
        <f>+VLOOKUP($A2262,MAGAZZINO!$B$2:$M$100000,6,FALSE)</f>
        <v/>
      </c>
      <c r="G2262" s="3">
        <f>+VLOOKUP($A2262,MAGAZZINO!$B$2:$M$100000,7,FALSE)</f>
        <v/>
      </c>
      <c r="H2262" s="3">
        <f>+VLOOKUP($A2262,MAGAZZINO!$B$2:$M$100000,8,FALSE)</f>
        <v/>
      </c>
      <c r="I2262" s="3">
        <f>+VLOOKUP($A2262,MAGAZZINO!$B$2:$M$100000,9,FALSE)</f>
        <v/>
      </c>
      <c r="J2262" s="3">
        <f>+VLOOKUP($A2262,MAGAZZINO!$B$2:$M$100000,10,FALSE)</f>
        <v/>
      </c>
      <c r="K2262" s="3">
        <f>+VLOOKUP($A2262,MAGAZZINO!$B$2:$M$100000,11,FALSE)</f>
        <v/>
      </c>
      <c r="L2262" s="5">
        <f>+VLOOKUP($A2262,MAGAZZINO!$B$2:$M$100000,12,FALSE)</f>
        <v/>
      </c>
      <c r="M2262" s="47" t="n"/>
      <c r="N2262" s="54" t="n"/>
      <c r="O2262" s="3" t="n"/>
      <c r="P2262" s="149" t="n"/>
      <c r="Q2262" s="150" t="n"/>
      <c r="R2262" s="150" t="n"/>
      <c r="S2262" s="151" t="n"/>
    </row>
    <row r="2263" ht="36" customHeight="1">
      <c r="A2263" s="46" t="n">
        <v>4593</v>
      </c>
      <c r="B2263" s="4">
        <f>+VLOOKUP($A2263,MAGAZZINO!$B$2:$M$100000,2,FALSE)</f>
        <v/>
      </c>
      <c r="C2263" s="29">
        <f>+VLOOKUP($A2263,MAGAZZINO!$B$2:$M$100000,3,FALSE)</f>
        <v/>
      </c>
      <c r="D2263" s="3">
        <f>+VLOOKUP($A2263,MAGAZZINO!$B$2:$M$100000,4,FALSE)</f>
        <v/>
      </c>
      <c r="E2263" s="3">
        <f>+VLOOKUP($A2263,MAGAZZINO!$B$2:$M$100000,5,FALSE)</f>
        <v/>
      </c>
      <c r="F2263" s="3">
        <f>+VLOOKUP($A2263,MAGAZZINO!$B$2:$M$100000,6,FALSE)</f>
        <v/>
      </c>
      <c r="G2263" s="3">
        <f>+VLOOKUP($A2263,MAGAZZINO!$B$2:$M$100000,7,FALSE)</f>
        <v/>
      </c>
      <c r="H2263" s="3">
        <f>+VLOOKUP($A2263,MAGAZZINO!$B$2:$M$100000,8,FALSE)</f>
        <v/>
      </c>
      <c r="I2263" s="3">
        <f>+VLOOKUP($A2263,MAGAZZINO!$B$2:$M$100000,9,FALSE)</f>
        <v/>
      </c>
      <c r="J2263" s="3">
        <f>+VLOOKUP($A2263,MAGAZZINO!$B$2:$M$100000,10,FALSE)</f>
        <v/>
      </c>
      <c r="K2263" s="3">
        <f>+VLOOKUP($A2263,MAGAZZINO!$B$2:$M$100000,11,FALSE)</f>
        <v/>
      </c>
      <c r="L2263" s="5">
        <f>+VLOOKUP($A2263,MAGAZZINO!$B$2:$M$100000,12,FALSE)</f>
        <v/>
      </c>
      <c r="M2263" s="47" t="n"/>
      <c r="N2263" s="54" t="n"/>
      <c r="O2263" s="3" t="n"/>
      <c r="P2263" s="149" t="n"/>
      <c r="Q2263" s="150" t="n"/>
      <c r="R2263" s="150" t="n"/>
      <c r="S2263" s="151" t="n"/>
    </row>
    <row r="2264" ht="36" customHeight="1">
      <c r="A2264" s="46" t="n">
        <v>4594</v>
      </c>
      <c r="B2264" s="4">
        <f>+VLOOKUP($A2264,MAGAZZINO!$B$2:$M$100000,2,FALSE)</f>
        <v/>
      </c>
      <c r="C2264" s="29">
        <f>+VLOOKUP($A2264,MAGAZZINO!$B$2:$M$100000,3,FALSE)</f>
        <v/>
      </c>
      <c r="D2264" s="3">
        <f>+VLOOKUP($A2264,MAGAZZINO!$B$2:$M$100000,4,FALSE)</f>
        <v/>
      </c>
      <c r="E2264" s="3">
        <f>+VLOOKUP($A2264,MAGAZZINO!$B$2:$M$100000,5,FALSE)</f>
        <v/>
      </c>
      <c r="F2264" s="3">
        <f>+VLOOKUP($A2264,MAGAZZINO!$B$2:$M$100000,6,FALSE)</f>
        <v/>
      </c>
      <c r="G2264" s="3">
        <f>+VLOOKUP($A2264,MAGAZZINO!$B$2:$M$100000,7,FALSE)</f>
        <v/>
      </c>
      <c r="H2264" s="3">
        <f>+VLOOKUP($A2264,MAGAZZINO!$B$2:$M$100000,8,FALSE)</f>
        <v/>
      </c>
      <c r="I2264" s="3">
        <f>+VLOOKUP($A2264,MAGAZZINO!$B$2:$M$100000,9,FALSE)</f>
        <v/>
      </c>
      <c r="J2264" s="3">
        <f>+VLOOKUP($A2264,MAGAZZINO!$B$2:$M$100000,10,FALSE)</f>
        <v/>
      </c>
      <c r="K2264" s="3">
        <f>+VLOOKUP($A2264,MAGAZZINO!$B$2:$M$100000,11,FALSE)</f>
        <v/>
      </c>
      <c r="L2264" s="5">
        <f>+VLOOKUP($A2264,MAGAZZINO!$B$2:$M$100000,12,FALSE)</f>
        <v/>
      </c>
      <c r="M2264" s="47" t="n"/>
      <c r="N2264" s="54" t="n"/>
      <c r="O2264" s="3" t="n"/>
      <c r="P2264" s="149" t="n"/>
      <c r="Q2264" s="150" t="n"/>
      <c r="R2264" s="150" t="n"/>
      <c r="S2264" s="151" t="n"/>
    </row>
    <row r="2265" ht="36" customHeight="1">
      <c r="A2265" s="46" t="n">
        <v>4595</v>
      </c>
      <c r="B2265" s="4">
        <f>+VLOOKUP($A2265,MAGAZZINO!$B$2:$M$100000,2,FALSE)</f>
        <v/>
      </c>
      <c r="C2265" s="29">
        <f>+VLOOKUP($A2265,MAGAZZINO!$B$2:$M$100000,3,FALSE)</f>
        <v/>
      </c>
      <c r="D2265" s="3">
        <f>+VLOOKUP($A2265,MAGAZZINO!$B$2:$M$100000,4,FALSE)</f>
        <v/>
      </c>
      <c r="E2265" s="3">
        <f>+VLOOKUP($A2265,MAGAZZINO!$B$2:$M$100000,5,FALSE)</f>
        <v/>
      </c>
      <c r="F2265" s="3">
        <f>+VLOOKUP($A2265,MAGAZZINO!$B$2:$M$100000,6,FALSE)</f>
        <v/>
      </c>
      <c r="G2265" s="3">
        <f>+VLOOKUP($A2265,MAGAZZINO!$B$2:$M$100000,7,FALSE)</f>
        <v/>
      </c>
      <c r="H2265" s="3">
        <f>+VLOOKUP($A2265,MAGAZZINO!$B$2:$M$100000,8,FALSE)</f>
        <v/>
      </c>
      <c r="I2265" s="3">
        <f>+VLOOKUP($A2265,MAGAZZINO!$B$2:$M$100000,9,FALSE)</f>
        <v/>
      </c>
      <c r="J2265" s="3">
        <f>+VLOOKUP($A2265,MAGAZZINO!$B$2:$M$100000,10,FALSE)</f>
        <v/>
      </c>
      <c r="K2265" s="3">
        <f>+VLOOKUP($A2265,MAGAZZINO!$B$2:$M$100000,11,FALSE)</f>
        <v/>
      </c>
      <c r="L2265" s="5">
        <f>+VLOOKUP($A2265,MAGAZZINO!$B$2:$M$100000,12,FALSE)</f>
        <v/>
      </c>
      <c r="M2265" s="47" t="n"/>
      <c r="N2265" s="54" t="n"/>
      <c r="O2265" s="3" t="n"/>
      <c r="P2265" s="149" t="n"/>
      <c r="Q2265" s="150" t="n"/>
      <c r="R2265" s="150" t="n"/>
      <c r="S2265" s="151" t="n"/>
    </row>
    <row r="2266" ht="36" customHeight="1">
      <c r="A2266" s="46" t="n">
        <v>4596</v>
      </c>
      <c r="B2266" s="4">
        <f>+VLOOKUP($A2266,MAGAZZINO!$B$2:$M$100000,2,FALSE)</f>
        <v/>
      </c>
      <c r="C2266" s="29">
        <f>+VLOOKUP($A2266,MAGAZZINO!$B$2:$M$100000,3,FALSE)</f>
        <v/>
      </c>
      <c r="D2266" s="3">
        <f>+VLOOKUP($A2266,MAGAZZINO!$B$2:$M$100000,4,FALSE)</f>
        <v/>
      </c>
      <c r="E2266" s="3">
        <f>+VLOOKUP($A2266,MAGAZZINO!$B$2:$M$100000,5,FALSE)</f>
        <v/>
      </c>
      <c r="F2266" s="3">
        <f>+VLOOKUP($A2266,MAGAZZINO!$B$2:$M$100000,6,FALSE)</f>
        <v/>
      </c>
      <c r="G2266" s="3">
        <f>+VLOOKUP($A2266,MAGAZZINO!$B$2:$M$100000,7,FALSE)</f>
        <v/>
      </c>
      <c r="H2266" s="3">
        <f>+VLOOKUP($A2266,MAGAZZINO!$B$2:$M$100000,8,FALSE)</f>
        <v/>
      </c>
      <c r="I2266" s="3">
        <f>+VLOOKUP($A2266,MAGAZZINO!$B$2:$M$100000,9,FALSE)</f>
        <v/>
      </c>
      <c r="J2266" s="3">
        <f>+VLOOKUP($A2266,MAGAZZINO!$B$2:$M$100000,10,FALSE)</f>
        <v/>
      </c>
      <c r="K2266" s="3">
        <f>+VLOOKUP($A2266,MAGAZZINO!$B$2:$M$100000,11,FALSE)</f>
        <v/>
      </c>
      <c r="L2266" s="5">
        <f>+VLOOKUP($A2266,MAGAZZINO!$B$2:$M$100000,12,FALSE)</f>
        <v/>
      </c>
      <c r="M2266" s="47" t="n"/>
      <c r="N2266" s="54" t="n"/>
      <c r="O2266" s="3" t="n"/>
      <c r="P2266" s="149" t="n"/>
      <c r="Q2266" s="150" t="n"/>
      <c r="R2266" s="150" t="n"/>
      <c r="S2266" s="151" t="n"/>
    </row>
    <row r="2267" ht="36" customHeight="1">
      <c r="A2267" s="46" t="n">
        <v>4597</v>
      </c>
      <c r="B2267" s="4">
        <f>+VLOOKUP($A2267,MAGAZZINO!$B$2:$M$100000,2,FALSE)</f>
        <v/>
      </c>
      <c r="C2267" s="29">
        <f>+VLOOKUP($A2267,MAGAZZINO!$B$2:$M$100000,3,FALSE)</f>
        <v/>
      </c>
      <c r="D2267" s="3">
        <f>+VLOOKUP($A2267,MAGAZZINO!$B$2:$M$100000,4,FALSE)</f>
        <v/>
      </c>
      <c r="E2267" s="3">
        <f>+VLOOKUP($A2267,MAGAZZINO!$B$2:$M$100000,5,FALSE)</f>
        <v/>
      </c>
      <c r="F2267" s="3">
        <f>+VLOOKUP($A2267,MAGAZZINO!$B$2:$M$100000,6,FALSE)</f>
        <v/>
      </c>
      <c r="G2267" s="3">
        <f>+VLOOKUP($A2267,MAGAZZINO!$B$2:$M$100000,7,FALSE)</f>
        <v/>
      </c>
      <c r="H2267" s="3">
        <f>+VLOOKUP($A2267,MAGAZZINO!$B$2:$M$100000,8,FALSE)</f>
        <v/>
      </c>
      <c r="I2267" s="3">
        <f>+VLOOKUP($A2267,MAGAZZINO!$B$2:$M$100000,9,FALSE)</f>
        <v/>
      </c>
      <c r="J2267" s="3">
        <f>+VLOOKUP($A2267,MAGAZZINO!$B$2:$M$100000,10,FALSE)</f>
        <v/>
      </c>
      <c r="K2267" s="3">
        <f>+VLOOKUP($A2267,MAGAZZINO!$B$2:$M$100000,11,FALSE)</f>
        <v/>
      </c>
      <c r="L2267" s="5">
        <f>+VLOOKUP($A2267,MAGAZZINO!$B$2:$M$100000,12,FALSE)</f>
        <v/>
      </c>
      <c r="M2267" s="47" t="n"/>
      <c r="N2267" s="54" t="n"/>
      <c r="O2267" s="3" t="n"/>
      <c r="P2267" s="149" t="n"/>
      <c r="Q2267" s="150" t="n"/>
      <c r="R2267" s="150" t="n"/>
      <c r="S2267" s="151" t="n"/>
    </row>
    <row r="2268" ht="36" customHeight="1">
      <c r="A2268" s="46" t="n">
        <v>4598</v>
      </c>
      <c r="B2268" s="4">
        <f>+VLOOKUP($A2268,MAGAZZINO!$B$2:$M$100000,2,FALSE)</f>
        <v/>
      </c>
      <c r="C2268" s="29">
        <f>+VLOOKUP($A2268,MAGAZZINO!$B$2:$M$100000,3,FALSE)</f>
        <v/>
      </c>
      <c r="D2268" s="3">
        <f>+VLOOKUP($A2268,MAGAZZINO!$B$2:$M$100000,4,FALSE)</f>
        <v/>
      </c>
      <c r="E2268" s="3">
        <f>+VLOOKUP($A2268,MAGAZZINO!$B$2:$M$100000,5,FALSE)</f>
        <v/>
      </c>
      <c r="F2268" s="3">
        <f>+VLOOKUP($A2268,MAGAZZINO!$B$2:$M$100000,6,FALSE)</f>
        <v/>
      </c>
      <c r="G2268" s="3">
        <f>+VLOOKUP($A2268,MAGAZZINO!$B$2:$M$100000,7,FALSE)</f>
        <v/>
      </c>
      <c r="H2268" s="3">
        <f>+VLOOKUP($A2268,MAGAZZINO!$B$2:$M$100000,8,FALSE)</f>
        <v/>
      </c>
      <c r="I2268" s="3">
        <f>+VLOOKUP($A2268,MAGAZZINO!$B$2:$M$100000,9,FALSE)</f>
        <v/>
      </c>
      <c r="J2268" s="3">
        <f>+VLOOKUP($A2268,MAGAZZINO!$B$2:$M$100000,10,FALSE)</f>
        <v/>
      </c>
      <c r="K2268" s="3">
        <f>+VLOOKUP($A2268,MAGAZZINO!$B$2:$M$100000,11,FALSE)</f>
        <v/>
      </c>
      <c r="L2268" s="5">
        <f>+VLOOKUP($A2268,MAGAZZINO!$B$2:$M$100000,12,FALSE)</f>
        <v/>
      </c>
      <c r="M2268" s="47" t="n"/>
      <c r="N2268" s="54" t="n"/>
      <c r="O2268" s="3" t="n"/>
      <c r="P2268" s="149" t="n"/>
      <c r="Q2268" s="150" t="n"/>
      <c r="R2268" s="150" t="n"/>
      <c r="S2268" s="151" t="n"/>
    </row>
    <row r="2269" ht="36" customHeight="1">
      <c r="A2269" s="46" t="n">
        <v>4599</v>
      </c>
      <c r="B2269" s="4">
        <f>+VLOOKUP($A2269,MAGAZZINO!$B$2:$M$100000,2,FALSE)</f>
        <v/>
      </c>
      <c r="C2269" s="29">
        <f>+VLOOKUP($A2269,MAGAZZINO!$B$2:$M$100000,3,FALSE)</f>
        <v/>
      </c>
      <c r="D2269" s="3">
        <f>+VLOOKUP($A2269,MAGAZZINO!$B$2:$M$100000,4,FALSE)</f>
        <v/>
      </c>
      <c r="E2269" s="3">
        <f>+VLOOKUP($A2269,MAGAZZINO!$B$2:$M$100000,5,FALSE)</f>
        <v/>
      </c>
      <c r="F2269" s="3">
        <f>+VLOOKUP($A2269,MAGAZZINO!$B$2:$M$100000,6,FALSE)</f>
        <v/>
      </c>
      <c r="G2269" s="3">
        <f>+VLOOKUP($A2269,MAGAZZINO!$B$2:$M$100000,7,FALSE)</f>
        <v/>
      </c>
      <c r="H2269" s="3">
        <f>+VLOOKUP($A2269,MAGAZZINO!$B$2:$M$100000,8,FALSE)</f>
        <v/>
      </c>
      <c r="I2269" s="3">
        <f>+VLOOKUP($A2269,MAGAZZINO!$B$2:$M$100000,9,FALSE)</f>
        <v/>
      </c>
      <c r="J2269" s="3">
        <f>+VLOOKUP($A2269,MAGAZZINO!$B$2:$M$100000,10,FALSE)</f>
        <v/>
      </c>
      <c r="K2269" s="3">
        <f>+VLOOKUP($A2269,MAGAZZINO!$B$2:$M$100000,11,FALSE)</f>
        <v/>
      </c>
      <c r="L2269" s="5">
        <f>+VLOOKUP($A2269,MAGAZZINO!$B$2:$M$100000,12,FALSE)</f>
        <v/>
      </c>
      <c r="M2269" s="47" t="n"/>
      <c r="N2269" s="54" t="n"/>
      <c r="O2269" s="3" t="n"/>
      <c r="P2269" s="149" t="n"/>
      <c r="Q2269" s="150" t="n"/>
      <c r="R2269" s="150" t="n"/>
      <c r="S2269" s="151" t="n"/>
    </row>
    <row r="2270" ht="36" customHeight="1">
      <c r="A2270" s="46" t="n">
        <v>4600</v>
      </c>
      <c r="B2270" s="4">
        <f>+VLOOKUP($A2270,MAGAZZINO!$B$2:$M$100000,2,FALSE)</f>
        <v/>
      </c>
      <c r="C2270" s="29">
        <f>+VLOOKUP($A2270,MAGAZZINO!$B$2:$M$100000,3,FALSE)</f>
        <v/>
      </c>
      <c r="D2270" s="3">
        <f>+VLOOKUP($A2270,MAGAZZINO!$B$2:$M$100000,4,FALSE)</f>
        <v/>
      </c>
      <c r="E2270" s="3">
        <f>+VLOOKUP($A2270,MAGAZZINO!$B$2:$M$100000,5,FALSE)</f>
        <v/>
      </c>
      <c r="F2270" s="3">
        <f>+VLOOKUP($A2270,MAGAZZINO!$B$2:$M$100000,6,FALSE)</f>
        <v/>
      </c>
      <c r="G2270" s="3">
        <f>+VLOOKUP($A2270,MAGAZZINO!$B$2:$M$100000,7,FALSE)</f>
        <v/>
      </c>
      <c r="H2270" s="3">
        <f>+VLOOKUP($A2270,MAGAZZINO!$B$2:$M$100000,8,FALSE)</f>
        <v/>
      </c>
      <c r="I2270" s="3">
        <f>+VLOOKUP($A2270,MAGAZZINO!$B$2:$M$100000,9,FALSE)</f>
        <v/>
      </c>
      <c r="J2270" s="3">
        <f>+VLOOKUP($A2270,MAGAZZINO!$B$2:$M$100000,10,FALSE)</f>
        <v/>
      </c>
      <c r="K2270" s="3">
        <f>+VLOOKUP($A2270,MAGAZZINO!$B$2:$M$100000,11,FALSE)</f>
        <v/>
      </c>
      <c r="L2270" s="5">
        <f>+VLOOKUP($A2270,MAGAZZINO!$B$2:$M$100000,12,FALSE)</f>
        <v/>
      </c>
      <c r="M2270" s="47" t="n"/>
      <c r="N2270" s="54" t="n"/>
      <c r="O2270" s="3" t="n"/>
      <c r="P2270" s="149" t="n"/>
      <c r="Q2270" s="150" t="n"/>
      <c r="R2270" s="150" t="n"/>
      <c r="S2270" s="151" t="n"/>
    </row>
    <row r="2271" ht="36" customHeight="1">
      <c r="A2271" s="46" t="n">
        <v>4601</v>
      </c>
      <c r="B2271" s="4">
        <f>+VLOOKUP($A2271,MAGAZZINO!$B$2:$M$100000,2,FALSE)</f>
        <v/>
      </c>
      <c r="C2271" s="29">
        <f>+VLOOKUP($A2271,MAGAZZINO!$B$2:$M$100000,3,FALSE)</f>
        <v/>
      </c>
      <c r="D2271" s="3">
        <f>+VLOOKUP($A2271,MAGAZZINO!$B$2:$M$100000,4,FALSE)</f>
        <v/>
      </c>
      <c r="E2271" s="3">
        <f>+VLOOKUP($A2271,MAGAZZINO!$B$2:$M$100000,5,FALSE)</f>
        <v/>
      </c>
      <c r="F2271" s="3">
        <f>+VLOOKUP($A2271,MAGAZZINO!$B$2:$M$100000,6,FALSE)</f>
        <v/>
      </c>
      <c r="G2271" s="3">
        <f>+VLOOKUP($A2271,MAGAZZINO!$B$2:$M$100000,7,FALSE)</f>
        <v/>
      </c>
      <c r="H2271" s="3">
        <f>+VLOOKUP($A2271,MAGAZZINO!$B$2:$M$100000,8,FALSE)</f>
        <v/>
      </c>
      <c r="I2271" s="3">
        <f>+VLOOKUP($A2271,MAGAZZINO!$B$2:$M$100000,9,FALSE)</f>
        <v/>
      </c>
      <c r="J2271" s="3">
        <f>+VLOOKUP($A2271,MAGAZZINO!$B$2:$M$100000,10,FALSE)</f>
        <v/>
      </c>
      <c r="K2271" s="3">
        <f>+VLOOKUP($A2271,MAGAZZINO!$B$2:$M$100000,11,FALSE)</f>
        <v/>
      </c>
      <c r="L2271" s="5">
        <f>+VLOOKUP($A2271,MAGAZZINO!$B$2:$M$100000,12,FALSE)</f>
        <v/>
      </c>
      <c r="M2271" s="47" t="n"/>
      <c r="N2271" s="54" t="n"/>
      <c r="O2271" s="3" t="n"/>
      <c r="P2271" s="149" t="n"/>
      <c r="Q2271" s="150" t="n"/>
      <c r="R2271" s="150" t="n"/>
      <c r="S2271" s="151" t="n"/>
    </row>
    <row r="2272" ht="36" customHeight="1">
      <c r="A2272" s="46" t="n">
        <v>4602</v>
      </c>
      <c r="B2272" s="4">
        <f>+VLOOKUP($A2272,MAGAZZINO!$B$2:$M$100000,2,FALSE)</f>
        <v/>
      </c>
      <c r="C2272" s="29">
        <f>+VLOOKUP($A2272,MAGAZZINO!$B$2:$M$100000,3,FALSE)</f>
        <v/>
      </c>
      <c r="D2272" s="3">
        <f>+VLOOKUP($A2272,MAGAZZINO!$B$2:$M$100000,4,FALSE)</f>
        <v/>
      </c>
      <c r="E2272" s="3">
        <f>+VLOOKUP($A2272,MAGAZZINO!$B$2:$M$100000,5,FALSE)</f>
        <v/>
      </c>
      <c r="F2272" s="3">
        <f>+VLOOKUP($A2272,MAGAZZINO!$B$2:$M$100000,6,FALSE)</f>
        <v/>
      </c>
      <c r="G2272" s="3">
        <f>+VLOOKUP($A2272,MAGAZZINO!$B$2:$M$100000,7,FALSE)</f>
        <v/>
      </c>
      <c r="H2272" s="3">
        <f>+VLOOKUP($A2272,MAGAZZINO!$B$2:$M$100000,8,FALSE)</f>
        <v/>
      </c>
      <c r="I2272" s="3">
        <f>+VLOOKUP($A2272,MAGAZZINO!$B$2:$M$100000,9,FALSE)</f>
        <v/>
      </c>
      <c r="J2272" s="3">
        <f>+VLOOKUP($A2272,MAGAZZINO!$B$2:$M$100000,10,FALSE)</f>
        <v/>
      </c>
      <c r="K2272" s="3">
        <f>+VLOOKUP($A2272,MAGAZZINO!$B$2:$M$100000,11,FALSE)</f>
        <v/>
      </c>
      <c r="L2272" s="5">
        <f>+VLOOKUP($A2272,MAGAZZINO!$B$2:$M$100000,12,FALSE)</f>
        <v/>
      </c>
      <c r="M2272" s="47" t="n"/>
      <c r="N2272" s="54" t="n"/>
      <c r="O2272" s="3" t="n"/>
      <c r="P2272" s="149" t="n"/>
      <c r="Q2272" s="150" t="n"/>
      <c r="R2272" s="150" t="n"/>
      <c r="S2272" s="151" t="n"/>
    </row>
    <row r="2273" ht="36" customHeight="1">
      <c r="A2273" s="46" t="n">
        <v>4603</v>
      </c>
      <c r="B2273" s="4">
        <f>+VLOOKUP($A2273,MAGAZZINO!$B$2:$M$100000,2,FALSE)</f>
        <v/>
      </c>
      <c r="C2273" s="29">
        <f>+VLOOKUP($A2273,MAGAZZINO!$B$2:$M$100000,3,FALSE)</f>
        <v/>
      </c>
      <c r="D2273" s="3">
        <f>+VLOOKUP($A2273,MAGAZZINO!$B$2:$M$100000,4,FALSE)</f>
        <v/>
      </c>
      <c r="E2273" s="3">
        <f>+VLOOKUP($A2273,MAGAZZINO!$B$2:$M$100000,5,FALSE)</f>
        <v/>
      </c>
      <c r="F2273" s="3">
        <f>+VLOOKUP($A2273,MAGAZZINO!$B$2:$M$100000,6,FALSE)</f>
        <v/>
      </c>
      <c r="G2273" s="3">
        <f>+VLOOKUP($A2273,MAGAZZINO!$B$2:$M$100000,7,FALSE)</f>
        <v/>
      </c>
      <c r="H2273" s="3">
        <f>+VLOOKUP($A2273,MAGAZZINO!$B$2:$M$100000,8,FALSE)</f>
        <v/>
      </c>
      <c r="I2273" s="3">
        <f>+VLOOKUP($A2273,MAGAZZINO!$B$2:$M$100000,9,FALSE)</f>
        <v/>
      </c>
      <c r="J2273" s="3">
        <f>+VLOOKUP($A2273,MAGAZZINO!$B$2:$M$100000,10,FALSE)</f>
        <v/>
      </c>
      <c r="K2273" s="3">
        <f>+VLOOKUP($A2273,MAGAZZINO!$B$2:$M$100000,11,FALSE)</f>
        <v/>
      </c>
      <c r="L2273" s="5">
        <f>+VLOOKUP($A2273,MAGAZZINO!$B$2:$M$100000,12,FALSE)</f>
        <v/>
      </c>
      <c r="M2273" s="47" t="n"/>
      <c r="N2273" s="54" t="n"/>
      <c r="O2273" s="3" t="n"/>
      <c r="P2273" s="149" t="n"/>
      <c r="Q2273" s="150" t="n"/>
      <c r="R2273" s="150" t="n"/>
      <c r="S2273" s="151" t="n"/>
    </row>
    <row r="2274" ht="36" customHeight="1">
      <c r="A2274" s="46" t="n">
        <v>4604</v>
      </c>
      <c r="B2274" s="4">
        <f>+VLOOKUP($A2274,MAGAZZINO!$B$2:$M$100000,2,FALSE)</f>
        <v/>
      </c>
      <c r="C2274" s="29">
        <f>+VLOOKUP($A2274,MAGAZZINO!$B$2:$M$100000,3,FALSE)</f>
        <v/>
      </c>
      <c r="D2274" s="3">
        <f>+VLOOKUP($A2274,MAGAZZINO!$B$2:$M$100000,4,FALSE)</f>
        <v/>
      </c>
      <c r="E2274" s="3">
        <f>+VLOOKUP($A2274,MAGAZZINO!$B$2:$M$100000,5,FALSE)</f>
        <v/>
      </c>
      <c r="F2274" s="3">
        <f>+VLOOKUP($A2274,MAGAZZINO!$B$2:$M$100000,6,FALSE)</f>
        <v/>
      </c>
      <c r="G2274" s="3">
        <f>+VLOOKUP($A2274,MAGAZZINO!$B$2:$M$100000,7,FALSE)</f>
        <v/>
      </c>
      <c r="H2274" s="3">
        <f>+VLOOKUP($A2274,MAGAZZINO!$B$2:$M$100000,8,FALSE)</f>
        <v/>
      </c>
      <c r="I2274" s="3">
        <f>+VLOOKUP($A2274,MAGAZZINO!$B$2:$M$100000,9,FALSE)</f>
        <v/>
      </c>
      <c r="J2274" s="3">
        <f>+VLOOKUP($A2274,MAGAZZINO!$B$2:$M$100000,10,FALSE)</f>
        <v/>
      </c>
      <c r="K2274" s="3">
        <f>+VLOOKUP($A2274,MAGAZZINO!$B$2:$M$100000,11,FALSE)</f>
        <v/>
      </c>
      <c r="L2274" s="5">
        <f>+VLOOKUP($A2274,MAGAZZINO!$B$2:$M$100000,12,FALSE)</f>
        <v/>
      </c>
      <c r="M2274" s="47" t="n"/>
      <c r="N2274" s="54" t="n"/>
      <c r="O2274" s="3" t="n"/>
      <c r="P2274" s="149" t="n"/>
      <c r="Q2274" s="150" t="n"/>
      <c r="R2274" s="150" t="n"/>
      <c r="S2274" s="151" t="n"/>
    </row>
    <row r="2275" ht="36" customHeight="1">
      <c r="A2275" s="46" t="n">
        <v>4605</v>
      </c>
      <c r="B2275" s="4">
        <f>+VLOOKUP($A2275,MAGAZZINO!$B$2:$M$100000,2,FALSE)</f>
        <v/>
      </c>
      <c r="C2275" s="29">
        <f>+VLOOKUP($A2275,MAGAZZINO!$B$2:$M$100000,3,FALSE)</f>
        <v/>
      </c>
      <c r="D2275" s="3">
        <f>+VLOOKUP($A2275,MAGAZZINO!$B$2:$M$100000,4,FALSE)</f>
        <v/>
      </c>
      <c r="E2275" s="3">
        <f>+VLOOKUP($A2275,MAGAZZINO!$B$2:$M$100000,5,FALSE)</f>
        <v/>
      </c>
      <c r="F2275" s="3">
        <f>+VLOOKUP($A2275,MAGAZZINO!$B$2:$M$100000,6,FALSE)</f>
        <v/>
      </c>
      <c r="G2275" s="3">
        <f>+VLOOKUP($A2275,MAGAZZINO!$B$2:$M$100000,7,FALSE)</f>
        <v/>
      </c>
      <c r="H2275" s="3">
        <f>+VLOOKUP($A2275,MAGAZZINO!$B$2:$M$100000,8,FALSE)</f>
        <v/>
      </c>
      <c r="I2275" s="3">
        <f>+VLOOKUP($A2275,MAGAZZINO!$B$2:$M$100000,9,FALSE)</f>
        <v/>
      </c>
      <c r="J2275" s="3">
        <f>+VLOOKUP($A2275,MAGAZZINO!$B$2:$M$100000,10,FALSE)</f>
        <v/>
      </c>
      <c r="K2275" s="3">
        <f>+VLOOKUP($A2275,MAGAZZINO!$B$2:$M$100000,11,FALSE)</f>
        <v/>
      </c>
      <c r="L2275" s="5">
        <f>+VLOOKUP($A2275,MAGAZZINO!$B$2:$M$100000,12,FALSE)</f>
        <v/>
      </c>
      <c r="M2275" s="47" t="n"/>
      <c r="N2275" s="54" t="n"/>
      <c r="O2275" s="3" t="n"/>
      <c r="P2275" s="149" t="n"/>
      <c r="Q2275" s="150" t="n"/>
      <c r="R2275" s="150" t="n"/>
      <c r="S2275" s="151" t="n"/>
    </row>
    <row r="2276" ht="36" customHeight="1">
      <c r="A2276" s="46" t="n">
        <v>4606</v>
      </c>
      <c r="B2276" s="4">
        <f>+VLOOKUP($A2276,MAGAZZINO!$B$2:$M$100000,2,FALSE)</f>
        <v/>
      </c>
      <c r="C2276" s="29">
        <f>+VLOOKUP($A2276,MAGAZZINO!$B$2:$M$100000,3,FALSE)</f>
        <v/>
      </c>
      <c r="D2276" s="3">
        <f>+VLOOKUP($A2276,MAGAZZINO!$B$2:$M$100000,4,FALSE)</f>
        <v/>
      </c>
      <c r="E2276" s="3">
        <f>+VLOOKUP($A2276,MAGAZZINO!$B$2:$M$100000,5,FALSE)</f>
        <v/>
      </c>
      <c r="F2276" s="3">
        <f>+VLOOKUP($A2276,MAGAZZINO!$B$2:$M$100000,6,FALSE)</f>
        <v/>
      </c>
      <c r="G2276" s="3">
        <f>+VLOOKUP($A2276,MAGAZZINO!$B$2:$M$100000,7,FALSE)</f>
        <v/>
      </c>
      <c r="H2276" s="3">
        <f>+VLOOKUP($A2276,MAGAZZINO!$B$2:$M$100000,8,FALSE)</f>
        <v/>
      </c>
      <c r="I2276" s="3">
        <f>+VLOOKUP($A2276,MAGAZZINO!$B$2:$M$100000,9,FALSE)</f>
        <v/>
      </c>
      <c r="J2276" s="3">
        <f>+VLOOKUP($A2276,MAGAZZINO!$B$2:$M$100000,10,FALSE)</f>
        <v/>
      </c>
      <c r="K2276" s="3">
        <f>+VLOOKUP($A2276,MAGAZZINO!$B$2:$M$100000,11,FALSE)</f>
        <v/>
      </c>
      <c r="L2276" s="5">
        <f>+VLOOKUP($A2276,MAGAZZINO!$B$2:$M$100000,12,FALSE)</f>
        <v/>
      </c>
      <c r="M2276" s="47" t="n"/>
      <c r="N2276" s="54" t="n"/>
      <c r="O2276" s="3" t="n"/>
      <c r="P2276" s="149" t="n"/>
      <c r="Q2276" s="150" t="n"/>
      <c r="R2276" s="150" t="n"/>
      <c r="S2276" s="151" t="n"/>
    </row>
    <row r="2277" ht="36" customHeight="1">
      <c r="A2277" s="46" t="n">
        <v>4607</v>
      </c>
      <c r="B2277" s="4">
        <f>+VLOOKUP($A2277,MAGAZZINO!$B$2:$M$100000,2,FALSE)</f>
        <v/>
      </c>
      <c r="C2277" s="29">
        <f>+VLOOKUP($A2277,MAGAZZINO!$B$2:$M$100000,3,FALSE)</f>
        <v/>
      </c>
      <c r="D2277" s="3">
        <f>+VLOOKUP($A2277,MAGAZZINO!$B$2:$M$100000,4,FALSE)</f>
        <v/>
      </c>
      <c r="E2277" s="3">
        <f>+VLOOKUP($A2277,MAGAZZINO!$B$2:$M$100000,5,FALSE)</f>
        <v/>
      </c>
      <c r="F2277" s="3">
        <f>+VLOOKUP($A2277,MAGAZZINO!$B$2:$M$100000,6,FALSE)</f>
        <v/>
      </c>
      <c r="G2277" s="3">
        <f>+VLOOKUP($A2277,MAGAZZINO!$B$2:$M$100000,7,FALSE)</f>
        <v/>
      </c>
      <c r="H2277" s="3">
        <f>+VLOOKUP($A2277,MAGAZZINO!$B$2:$M$100000,8,FALSE)</f>
        <v/>
      </c>
      <c r="I2277" s="3">
        <f>+VLOOKUP($A2277,MAGAZZINO!$B$2:$M$100000,9,FALSE)</f>
        <v/>
      </c>
      <c r="J2277" s="3">
        <f>+VLOOKUP($A2277,MAGAZZINO!$B$2:$M$100000,10,FALSE)</f>
        <v/>
      </c>
      <c r="K2277" s="3">
        <f>+VLOOKUP($A2277,MAGAZZINO!$B$2:$M$100000,11,FALSE)</f>
        <v/>
      </c>
      <c r="L2277" s="5">
        <f>+VLOOKUP($A2277,MAGAZZINO!$B$2:$M$100000,12,FALSE)</f>
        <v/>
      </c>
      <c r="M2277" s="47" t="n"/>
      <c r="N2277" s="54" t="n"/>
      <c r="O2277" s="3" t="n"/>
      <c r="P2277" s="149" t="n"/>
      <c r="Q2277" s="150" t="n"/>
      <c r="R2277" s="150" t="n"/>
      <c r="S2277" s="151" t="n"/>
    </row>
    <row r="2278" ht="36" customHeight="1">
      <c r="A2278" s="46" t="n">
        <v>4608</v>
      </c>
      <c r="B2278" s="4">
        <f>+VLOOKUP($A2278,MAGAZZINO!$B$2:$M$100000,2,FALSE)</f>
        <v/>
      </c>
      <c r="C2278" s="29">
        <f>+VLOOKUP($A2278,MAGAZZINO!$B$2:$M$100000,3,FALSE)</f>
        <v/>
      </c>
      <c r="D2278" s="3">
        <f>+VLOOKUP($A2278,MAGAZZINO!$B$2:$M$100000,4,FALSE)</f>
        <v/>
      </c>
      <c r="E2278" s="3">
        <f>+VLOOKUP($A2278,MAGAZZINO!$B$2:$M$100000,5,FALSE)</f>
        <v/>
      </c>
      <c r="F2278" s="3">
        <f>+VLOOKUP($A2278,MAGAZZINO!$B$2:$M$100000,6,FALSE)</f>
        <v/>
      </c>
      <c r="G2278" s="3">
        <f>+VLOOKUP($A2278,MAGAZZINO!$B$2:$M$100000,7,FALSE)</f>
        <v/>
      </c>
      <c r="H2278" s="3">
        <f>+VLOOKUP($A2278,MAGAZZINO!$B$2:$M$100000,8,FALSE)</f>
        <v/>
      </c>
      <c r="I2278" s="3">
        <f>+VLOOKUP($A2278,MAGAZZINO!$B$2:$M$100000,9,FALSE)</f>
        <v/>
      </c>
      <c r="J2278" s="3">
        <f>+VLOOKUP($A2278,MAGAZZINO!$B$2:$M$100000,10,FALSE)</f>
        <v/>
      </c>
      <c r="K2278" s="3">
        <f>+VLOOKUP($A2278,MAGAZZINO!$B$2:$M$100000,11,FALSE)</f>
        <v/>
      </c>
      <c r="L2278" s="5">
        <f>+VLOOKUP($A2278,MAGAZZINO!$B$2:$M$100000,12,FALSE)</f>
        <v/>
      </c>
      <c r="M2278" s="47" t="n"/>
      <c r="N2278" s="54" t="n"/>
      <c r="O2278" s="3" t="n"/>
      <c r="P2278" s="149" t="n"/>
      <c r="Q2278" s="150" t="n"/>
      <c r="R2278" s="150" t="n"/>
      <c r="S2278" s="151" t="n"/>
    </row>
    <row r="2279" ht="36" customHeight="1">
      <c r="A2279" s="46" t="n">
        <v>4609</v>
      </c>
      <c r="B2279" s="4">
        <f>+VLOOKUP($A2279,MAGAZZINO!$B$2:$M$100000,2,FALSE)</f>
        <v/>
      </c>
      <c r="C2279" s="29">
        <f>+VLOOKUP($A2279,MAGAZZINO!$B$2:$M$100000,3,FALSE)</f>
        <v/>
      </c>
      <c r="D2279" s="3">
        <f>+VLOOKUP($A2279,MAGAZZINO!$B$2:$M$100000,4,FALSE)</f>
        <v/>
      </c>
      <c r="E2279" s="3">
        <f>+VLOOKUP($A2279,MAGAZZINO!$B$2:$M$100000,5,FALSE)</f>
        <v/>
      </c>
      <c r="F2279" s="3">
        <f>+VLOOKUP($A2279,MAGAZZINO!$B$2:$M$100000,6,FALSE)</f>
        <v/>
      </c>
      <c r="G2279" s="3">
        <f>+VLOOKUP($A2279,MAGAZZINO!$B$2:$M$100000,7,FALSE)</f>
        <v/>
      </c>
      <c r="H2279" s="3">
        <f>+VLOOKUP($A2279,MAGAZZINO!$B$2:$M$100000,8,FALSE)</f>
        <v/>
      </c>
      <c r="I2279" s="3">
        <f>+VLOOKUP($A2279,MAGAZZINO!$B$2:$M$100000,9,FALSE)</f>
        <v/>
      </c>
      <c r="J2279" s="3">
        <f>+VLOOKUP($A2279,MAGAZZINO!$B$2:$M$100000,10,FALSE)</f>
        <v/>
      </c>
      <c r="K2279" s="3">
        <f>+VLOOKUP($A2279,MAGAZZINO!$B$2:$M$100000,11,FALSE)</f>
        <v/>
      </c>
      <c r="L2279" s="5">
        <f>+VLOOKUP($A2279,MAGAZZINO!$B$2:$M$100000,12,FALSE)</f>
        <v/>
      </c>
      <c r="M2279" s="47" t="n"/>
      <c r="N2279" s="54" t="n"/>
      <c r="O2279" s="3" t="n"/>
      <c r="P2279" s="149" t="n"/>
      <c r="Q2279" s="150" t="n"/>
      <c r="R2279" s="150" t="n"/>
      <c r="S2279" s="151" t="n"/>
    </row>
    <row r="2280" ht="36" customHeight="1">
      <c r="A2280" s="46" t="n">
        <v>4610</v>
      </c>
      <c r="B2280" s="4">
        <f>+VLOOKUP($A2280,MAGAZZINO!$B$2:$M$100000,2,FALSE)</f>
        <v/>
      </c>
      <c r="C2280" s="29">
        <f>+VLOOKUP($A2280,MAGAZZINO!$B$2:$M$100000,3,FALSE)</f>
        <v/>
      </c>
      <c r="D2280" s="3">
        <f>+VLOOKUP($A2280,MAGAZZINO!$B$2:$M$100000,4,FALSE)</f>
        <v/>
      </c>
      <c r="E2280" s="3">
        <f>+VLOOKUP($A2280,MAGAZZINO!$B$2:$M$100000,5,FALSE)</f>
        <v/>
      </c>
      <c r="F2280" s="3">
        <f>+VLOOKUP($A2280,MAGAZZINO!$B$2:$M$100000,6,FALSE)</f>
        <v/>
      </c>
      <c r="G2280" s="3">
        <f>+VLOOKUP($A2280,MAGAZZINO!$B$2:$M$100000,7,FALSE)</f>
        <v/>
      </c>
      <c r="H2280" s="3">
        <f>+VLOOKUP($A2280,MAGAZZINO!$B$2:$M$100000,8,FALSE)</f>
        <v/>
      </c>
      <c r="I2280" s="3">
        <f>+VLOOKUP($A2280,MAGAZZINO!$B$2:$M$100000,9,FALSE)</f>
        <v/>
      </c>
      <c r="J2280" s="3">
        <f>+VLOOKUP($A2280,MAGAZZINO!$B$2:$M$100000,10,FALSE)</f>
        <v/>
      </c>
      <c r="K2280" s="3">
        <f>+VLOOKUP($A2280,MAGAZZINO!$B$2:$M$100000,11,FALSE)</f>
        <v/>
      </c>
      <c r="L2280" s="5">
        <f>+VLOOKUP($A2280,MAGAZZINO!$B$2:$M$100000,12,FALSE)</f>
        <v/>
      </c>
      <c r="M2280" s="47" t="n"/>
      <c r="N2280" s="54" t="n"/>
      <c r="O2280" s="3" t="n"/>
      <c r="P2280" s="149" t="n"/>
      <c r="Q2280" s="150" t="n"/>
      <c r="R2280" s="150" t="n"/>
      <c r="S2280" s="151" t="n"/>
    </row>
    <row r="2281" ht="36" customHeight="1">
      <c r="A2281" s="46" t="n">
        <v>4611</v>
      </c>
      <c r="B2281" s="4">
        <f>+VLOOKUP($A2281,MAGAZZINO!$B$2:$M$100000,2,FALSE)</f>
        <v/>
      </c>
      <c r="C2281" s="29">
        <f>+VLOOKUP($A2281,MAGAZZINO!$B$2:$M$100000,3,FALSE)</f>
        <v/>
      </c>
      <c r="D2281" s="3">
        <f>+VLOOKUP($A2281,MAGAZZINO!$B$2:$M$100000,4,FALSE)</f>
        <v/>
      </c>
      <c r="E2281" s="3">
        <f>+VLOOKUP($A2281,MAGAZZINO!$B$2:$M$100000,5,FALSE)</f>
        <v/>
      </c>
      <c r="F2281" s="3">
        <f>+VLOOKUP($A2281,MAGAZZINO!$B$2:$M$100000,6,FALSE)</f>
        <v/>
      </c>
      <c r="G2281" s="3">
        <f>+VLOOKUP($A2281,MAGAZZINO!$B$2:$M$100000,7,FALSE)</f>
        <v/>
      </c>
      <c r="H2281" s="3">
        <f>+VLOOKUP($A2281,MAGAZZINO!$B$2:$M$100000,8,FALSE)</f>
        <v/>
      </c>
      <c r="I2281" s="3">
        <f>+VLOOKUP($A2281,MAGAZZINO!$B$2:$M$100000,9,FALSE)</f>
        <v/>
      </c>
      <c r="J2281" s="3">
        <f>+VLOOKUP($A2281,MAGAZZINO!$B$2:$M$100000,10,FALSE)</f>
        <v/>
      </c>
      <c r="K2281" s="3">
        <f>+VLOOKUP($A2281,MAGAZZINO!$B$2:$M$100000,11,FALSE)</f>
        <v/>
      </c>
      <c r="L2281" s="5">
        <f>+VLOOKUP($A2281,MAGAZZINO!$B$2:$M$100000,12,FALSE)</f>
        <v/>
      </c>
      <c r="M2281" s="47" t="n"/>
      <c r="N2281" s="54" t="n"/>
      <c r="O2281" s="3" t="n"/>
      <c r="P2281" s="149" t="n"/>
      <c r="Q2281" s="150" t="n"/>
      <c r="R2281" s="150" t="n"/>
      <c r="S2281" s="151" t="n"/>
    </row>
    <row r="2282" ht="36" customHeight="1">
      <c r="A2282" s="46" t="n">
        <v>4612</v>
      </c>
      <c r="B2282" s="4">
        <f>+VLOOKUP($A2282,MAGAZZINO!$B$2:$M$100000,2,FALSE)</f>
        <v/>
      </c>
      <c r="C2282" s="29">
        <f>+VLOOKUP($A2282,MAGAZZINO!$B$2:$M$100000,3,FALSE)</f>
        <v/>
      </c>
      <c r="D2282" s="3">
        <f>+VLOOKUP($A2282,MAGAZZINO!$B$2:$M$100000,4,FALSE)</f>
        <v/>
      </c>
      <c r="E2282" s="3">
        <f>+VLOOKUP($A2282,MAGAZZINO!$B$2:$M$100000,5,FALSE)</f>
        <v/>
      </c>
      <c r="F2282" s="3">
        <f>+VLOOKUP($A2282,MAGAZZINO!$B$2:$M$100000,6,FALSE)</f>
        <v/>
      </c>
      <c r="G2282" s="3">
        <f>+VLOOKUP($A2282,MAGAZZINO!$B$2:$M$100000,7,FALSE)</f>
        <v/>
      </c>
      <c r="H2282" s="3">
        <f>+VLOOKUP($A2282,MAGAZZINO!$B$2:$M$100000,8,FALSE)</f>
        <v/>
      </c>
      <c r="I2282" s="3">
        <f>+VLOOKUP($A2282,MAGAZZINO!$B$2:$M$100000,9,FALSE)</f>
        <v/>
      </c>
      <c r="J2282" s="3">
        <f>+VLOOKUP($A2282,MAGAZZINO!$B$2:$M$100000,10,FALSE)</f>
        <v/>
      </c>
      <c r="K2282" s="3">
        <f>+VLOOKUP($A2282,MAGAZZINO!$B$2:$M$100000,11,FALSE)</f>
        <v/>
      </c>
      <c r="L2282" s="5">
        <f>+VLOOKUP($A2282,MAGAZZINO!$B$2:$M$100000,12,FALSE)</f>
        <v/>
      </c>
      <c r="M2282" s="47" t="n"/>
      <c r="N2282" s="54" t="n"/>
      <c r="O2282" s="3" t="n"/>
      <c r="P2282" s="149" t="n"/>
      <c r="Q2282" s="150" t="n"/>
      <c r="R2282" s="150" t="n"/>
      <c r="S2282" s="151" t="n"/>
    </row>
    <row r="2283" ht="36" customHeight="1">
      <c r="A2283" s="46" t="n">
        <v>4613</v>
      </c>
      <c r="B2283" s="4">
        <f>+VLOOKUP($A2283,MAGAZZINO!$B$2:$M$100000,2,FALSE)</f>
        <v/>
      </c>
      <c r="C2283" s="29">
        <f>+VLOOKUP($A2283,MAGAZZINO!$B$2:$M$100000,3,FALSE)</f>
        <v/>
      </c>
      <c r="D2283" s="3">
        <f>+VLOOKUP($A2283,MAGAZZINO!$B$2:$M$100000,4,FALSE)</f>
        <v/>
      </c>
      <c r="E2283" s="3">
        <f>+VLOOKUP($A2283,MAGAZZINO!$B$2:$M$100000,5,FALSE)</f>
        <v/>
      </c>
      <c r="F2283" s="3">
        <f>+VLOOKUP($A2283,MAGAZZINO!$B$2:$M$100000,6,FALSE)</f>
        <v/>
      </c>
      <c r="G2283" s="3">
        <f>+VLOOKUP($A2283,MAGAZZINO!$B$2:$M$100000,7,FALSE)</f>
        <v/>
      </c>
      <c r="H2283" s="3">
        <f>+VLOOKUP($A2283,MAGAZZINO!$B$2:$M$100000,8,FALSE)</f>
        <v/>
      </c>
      <c r="I2283" s="3">
        <f>+VLOOKUP($A2283,MAGAZZINO!$B$2:$M$100000,9,FALSE)</f>
        <v/>
      </c>
      <c r="J2283" s="3">
        <f>+VLOOKUP($A2283,MAGAZZINO!$B$2:$M$100000,10,FALSE)</f>
        <v/>
      </c>
      <c r="K2283" s="3">
        <f>+VLOOKUP($A2283,MAGAZZINO!$B$2:$M$100000,11,FALSE)</f>
        <v/>
      </c>
      <c r="L2283" s="5">
        <f>+VLOOKUP($A2283,MAGAZZINO!$B$2:$M$100000,12,FALSE)</f>
        <v/>
      </c>
      <c r="M2283" s="47" t="n"/>
      <c r="N2283" s="54" t="n"/>
      <c r="O2283" s="3" t="n"/>
      <c r="P2283" s="149" t="n"/>
      <c r="Q2283" s="150" t="n"/>
      <c r="R2283" s="150" t="n"/>
      <c r="S2283" s="151" t="n"/>
    </row>
    <row r="2284" ht="36" customHeight="1">
      <c r="A2284" s="46" t="n">
        <v>4614</v>
      </c>
      <c r="B2284" s="4">
        <f>+VLOOKUP($A2284,MAGAZZINO!$B$2:$M$100000,2,FALSE)</f>
        <v/>
      </c>
      <c r="C2284" s="29">
        <f>+VLOOKUP($A2284,MAGAZZINO!$B$2:$M$100000,3,FALSE)</f>
        <v/>
      </c>
      <c r="D2284" s="3">
        <f>+VLOOKUP($A2284,MAGAZZINO!$B$2:$M$100000,4,FALSE)</f>
        <v/>
      </c>
      <c r="E2284" s="3">
        <f>+VLOOKUP($A2284,MAGAZZINO!$B$2:$M$100000,5,FALSE)</f>
        <v/>
      </c>
      <c r="F2284" s="3">
        <f>+VLOOKUP($A2284,MAGAZZINO!$B$2:$M$100000,6,FALSE)</f>
        <v/>
      </c>
      <c r="G2284" s="3">
        <f>+VLOOKUP($A2284,MAGAZZINO!$B$2:$M$100000,7,FALSE)</f>
        <v/>
      </c>
      <c r="H2284" s="3">
        <f>+VLOOKUP($A2284,MAGAZZINO!$B$2:$M$100000,8,FALSE)</f>
        <v/>
      </c>
      <c r="I2284" s="3">
        <f>+VLOOKUP($A2284,MAGAZZINO!$B$2:$M$100000,9,FALSE)</f>
        <v/>
      </c>
      <c r="J2284" s="3">
        <f>+VLOOKUP($A2284,MAGAZZINO!$B$2:$M$100000,10,FALSE)</f>
        <v/>
      </c>
      <c r="K2284" s="3">
        <f>+VLOOKUP($A2284,MAGAZZINO!$B$2:$M$100000,11,FALSE)</f>
        <v/>
      </c>
      <c r="L2284" s="5">
        <f>+VLOOKUP($A2284,MAGAZZINO!$B$2:$M$100000,12,FALSE)</f>
        <v/>
      </c>
      <c r="M2284" s="47" t="n"/>
      <c r="N2284" s="54" t="n"/>
      <c r="O2284" s="3" t="n"/>
      <c r="P2284" s="149" t="n"/>
      <c r="Q2284" s="150" t="n"/>
      <c r="R2284" s="150" t="n"/>
      <c r="S2284" s="151" t="n"/>
    </row>
    <row r="2285" ht="36" customHeight="1">
      <c r="A2285" s="46" t="n">
        <v>4615</v>
      </c>
      <c r="B2285" s="4">
        <f>+VLOOKUP($A2285,MAGAZZINO!$B$2:$M$100000,2,FALSE)</f>
        <v/>
      </c>
      <c r="C2285" s="29">
        <f>+VLOOKUP($A2285,MAGAZZINO!$B$2:$M$100000,3,FALSE)</f>
        <v/>
      </c>
      <c r="D2285" s="3">
        <f>+VLOOKUP($A2285,MAGAZZINO!$B$2:$M$100000,4,FALSE)</f>
        <v/>
      </c>
      <c r="E2285" s="3">
        <f>+VLOOKUP($A2285,MAGAZZINO!$B$2:$M$100000,5,FALSE)</f>
        <v/>
      </c>
      <c r="F2285" s="3">
        <f>+VLOOKUP($A2285,MAGAZZINO!$B$2:$M$100000,6,FALSE)</f>
        <v/>
      </c>
      <c r="G2285" s="3">
        <f>+VLOOKUP($A2285,MAGAZZINO!$B$2:$M$100000,7,FALSE)</f>
        <v/>
      </c>
      <c r="H2285" s="3">
        <f>+VLOOKUP($A2285,MAGAZZINO!$B$2:$M$100000,8,FALSE)</f>
        <v/>
      </c>
      <c r="I2285" s="3">
        <f>+VLOOKUP($A2285,MAGAZZINO!$B$2:$M$100000,9,FALSE)</f>
        <v/>
      </c>
      <c r="J2285" s="3">
        <f>+VLOOKUP($A2285,MAGAZZINO!$B$2:$M$100000,10,FALSE)</f>
        <v/>
      </c>
      <c r="K2285" s="3">
        <f>+VLOOKUP($A2285,MAGAZZINO!$B$2:$M$100000,11,FALSE)</f>
        <v/>
      </c>
      <c r="L2285" s="5">
        <f>+VLOOKUP($A2285,MAGAZZINO!$B$2:$M$100000,12,FALSE)</f>
        <v/>
      </c>
      <c r="M2285" s="47" t="n"/>
      <c r="N2285" s="54" t="n"/>
      <c r="O2285" s="3" t="n"/>
      <c r="P2285" s="149" t="n"/>
      <c r="Q2285" s="150" t="n"/>
      <c r="R2285" s="150" t="n"/>
      <c r="S2285" s="151" t="n"/>
    </row>
    <row r="2286" ht="36" customHeight="1">
      <c r="A2286" s="46" t="n">
        <v>4616</v>
      </c>
      <c r="B2286" s="4">
        <f>+VLOOKUP($A2286,MAGAZZINO!$B$2:$M$100000,2,FALSE)</f>
        <v/>
      </c>
      <c r="C2286" s="29">
        <f>+VLOOKUP($A2286,MAGAZZINO!$B$2:$M$100000,3,FALSE)</f>
        <v/>
      </c>
      <c r="D2286" s="3">
        <f>+VLOOKUP($A2286,MAGAZZINO!$B$2:$M$100000,4,FALSE)</f>
        <v/>
      </c>
      <c r="E2286" s="3">
        <f>+VLOOKUP($A2286,MAGAZZINO!$B$2:$M$100000,5,FALSE)</f>
        <v/>
      </c>
      <c r="F2286" s="3">
        <f>+VLOOKUP($A2286,MAGAZZINO!$B$2:$M$100000,6,FALSE)</f>
        <v/>
      </c>
      <c r="G2286" s="3">
        <f>+VLOOKUP($A2286,MAGAZZINO!$B$2:$M$100000,7,FALSE)</f>
        <v/>
      </c>
      <c r="H2286" s="3">
        <f>+VLOOKUP($A2286,MAGAZZINO!$B$2:$M$100000,8,FALSE)</f>
        <v/>
      </c>
      <c r="I2286" s="3">
        <f>+VLOOKUP($A2286,MAGAZZINO!$B$2:$M$100000,9,FALSE)</f>
        <v/>
      </c>
      <c r="J2286" s="3">
        <f>+VLOOKUP($A2286,MAGAZZINO!$B$2:$M$100000,10,FALSE)</f>
        <v/>
      </c>
      <c r="K2286" s="3">
        <f>+VLOOKUP($A2286,MAGAZZINO!$B$2:$M$100000,11,FALSE)</f>
        <v/>
      </c>
      <c r="L2286" s="5">
        <f>+VLOOKUP($A2286,MAGAZZINO!$B$2:$M$100000,12,FALSE)</f>
        <v/>
      </c>
      <c r="M2286" s="47" t="n"/>
      <c r="N2286" s="54" t="n"/>
      <c r="O2286" s="3" t="n"/>
      <c r="P2286" s="149" t="n"/>
      <c r="Q2286" s="150" t="n"/>
      <c r="R2286" s="150" t="n"/>
      <c r="S2286" s="151" t="n"/>
    </row>
    <row r="2287" ht="36" customHeight="1">
      <c r="A2287" s="46" t="n">
        <v>4617</v>
      </c>
      <c r="B2287" s="4">
        <f>+VLOOKUP($A2287,MAGAZZINO!$B$2:$M$100000,2,FALSE)</f>
        <v/>
      </c>
      <c r="C2287" s="29">
        <f>+VLOOKUP($A2287,MAGAZZINO!$B$2:$M$100000,3,FALSE)</f>
        <v/>
      </c>
      <c r="D2287" s="3">
        <f>+VLOOKUP($A2287,MAGAZZINO!$B$2:$M$100000,4,FALSE)</f>
        <v/>
      </c>
      <c r="E2287" s="3">
        <f>+VLOOKUP($A2287,MAGAZZINO!$B$2:$M$100000,5,FALSE)</f>
        <v/>
      </c>
      <c r="F2287" s="3">
        <f>+VLOOKUP($A2287,MAGAZZINO!$B$2:$M$100000,6,FALSE)</f>
        <v/>
      </c>
      <c r="G2287" s="3">
        <f>+VLOOKUP($A2287,MAGAZZINO!$B$2:$M$100000,7,FALSE)</f>
        <v/>
      </c>
      <c r="H2287" s="3">
        <f>+VLOOKUP($A2287,MAGAZZINO!$B$2:$M$100000,8,FALSE)</f>
        <v/>
      </c>
      <c r="I2287" s="3">
        <f>+VLOOKUP($A2287,MAGAZZINO!$B$2:$M$100000,9,FALSE)</f>
        <v/>
      </c>
      <c r="J2287" s="3">
        <f>+VLOOKUP($A2287,MAGAZZINO!$B$2:$M$100000,10,FALSE)</f>
        <v/>
      </c>
      <c r="K2287" s="3">
        <f>+VLOOKUP($A2287,MAGAZZINO!$B$2:$M$100000,11,FALSE)</f>
        <v/>
      </c>
      <c r="L2287" s="5">
        <f>+VLOOKUP($A2287,MAGAZZINO!$B$2:$M$100000,12,FALSE)</f>
        <v/>
      </c>
      <c r="M2287" s="47" t="n"/>
      <c r="N2287" s="54" t="n"/>
      <c r="O2287" s="3" t="n"/>
      <c r="P2287" s="149" t="n"/>
      <c r="Q2287" s="150" t="n"/>
      <c r="R2287" s="150" t="n"/>
      <c r="S2287" s="151" t="n"/>
    </row>
    <row r="2288" ht="36" customHeight="1">
      <c r="A2288" s="46" t="n">
        <v>4618</v>
      </c>
      <c r="B2288" s="4">
        <f>+VLOOKUP($A2288,MAGAZZINO!$B$2:$M$100000,2,FALSE)</f>
        <v/>
      </c>
      <c r="C2288" s="29">
        <f>+VLOOKUP($A2288,MAGAZZINO!$B$2:$M$100000,3,FALSE)</f>
        <v/>
      </c>
      <c r="D2288" s="3">
        <f>+VLOOKUP($A2288,MAGAZZINO!$B$2:$M$100000,4,FALSE)</f>
        <v/>
      </c>
      <c r="E2288" s="3">
        <f>+VLOOKUP($A2288,MAGAZZINO!$B$2:$M$100000,5,FALSE)</f>
        <v/>
      </c>
      <c r="F2288" s="3">
        <f>+VLOOKUP($A2288,MAGAZZINO!$B$2:$M$100000,6,FALSE)</f>
        <v/>
      </c>
      <c r="G2288" s="3">
        <f>+VLOOKUP($A2288,MAGAZZINO!$B$2:$M$100000,7,FALSE)</f>
        <v/>
      </c>
      <c r="H2288" s="3">
        <f>+VLOOKUP($A2288,MAGAZZINO!$B$2:$M$100000,8,FALSE)</f>
        <v/>
      </c>
      <c r="I2288" s="3">
        <f>+VLOOKUP($A2288,MAGAZZINO!$B$2:$M$100000,9,FALSE)</f>
        <v/>
      </c>
      <c r="J2288" s="3">
        <f>+VLOOKUP($A2288,MAGAZZINO!$B$2:$M$100000,10,FALSE)</f>
        <v/>
      </c>
      <c r="K2288" s="3">
        <f>+VLOOKUP($A2288,MAGAZZINO!$B$2:$M$100000,11,FALSE)</f>
        <v/>
      </c>
      <c r="L2288" s="5">
        <f>+VLOOKUP($A2288,MAGAZZINO!$B$2:$M$100000,12,FALSE)</f>
        <v/>
      </c>
      <c r="M2288" s="47" t="n"/>
      <c r="N2288" s="54" t="n"/>
      <c r="O2288" s="3" t="n"/>
      <c r="P2288" s="149" t="n"/>
      <c r="Q2288" s="150" t="n"/>
      <c r="R2288" s="150" t="n"/>
      <c r="S2288" s="151" t="n"/>
    </row>
    <row r="2289" ht="36" customHeight="1">
      <c r="A2289" s="46" t="n">
        <v>4619</v>
      </c>
      <c r="B2289" s="4">
        <f>+VLOOKUP($A2289,MAGAZZINO!$B$2:$M$100000,2,FALSE)</f>
        <v/>
      </c>
      <c r="C2289" s="29">
        <f>+VLOOKUP($A2289,MAGAZZINO!$B$2:$M$100000,3,FALSE)</f>
        <v/>
      </c>
      <c r="D2289" s="3">
        <f>+VLOOKUP($A2289,MAGAZZINO!$B$2:$M$100000,4,FALSE)</f>
        <v/>
      </c>
      <c r="E2289" s="3">
        <f>+VLOOKUP($A2289,MAGAZZINO!$B$2:$M$100000,5,FALSE)</f>
        <v/>
      </c>
      <c r="F2289" s="3">
        <f>+VLOOKUP($A2289,MAGAZZINO!$B$2:$M$100000,6,FALSE)</f>
        <v/>
      </c>
      <c r="G2289" s="3">
        <f>+VLOOKUP($A2289,MAGAZZINO!$B$2:$M$100000,7,FALSE)</f>
        <v/>
      </c>
      <c r="H2289" s="3">
        <f>+VLOOKUP($A2289,MAGAZZINO!$B$2:$M$100000,8,FALSE)</f>
        <v/>
      </c>
      <c r="I2289" s="3">
        <f>+VLOOKUP($A2289,MAGAZZINO!$B$2:$M$100000,9,FALSE)</f>
        <v/>
      </c>
      <c r="J2289" s="3">
        <f>+VLOOKUP($A2289,MAGAZZINO!$B$2:$M$100000,10,FALSE)</f>
        <v/>
      </c>
      <c r="K2289" s="3">
        <f>+VLOOKUP($A2289,MAGAZZINO!$B$2:$M$100000,11,FALSE)</f>
        <v/>
      </c>
      <c r="L2289" s="5">
        <f>+VLOOKUP($A2289,MAGAZZINO!$B$2:$M$100000,12,FALSE)</f>
        <v/>
      </c>
      <c r="M2289" s="47" t="n"/>
      <c r="N2289" s="54" t="n"/>
      <c r="O2289" s="3" t="n"/>
      <c r="P2289" s="149" t="n"/>
      <c r="Q2289" s="150" t="n"/>
      <c r="R2289" s="150" t="n"/>
      <c r="S2289" s="151" t="n"/>
    </row>
    <row r="2290" ht="36" customHeight="1">
      <c r="A2290" s="46" t="n">
        <v>4620</v>
      </c>
      <c r="B2290" s="4">
        <f>+VLOOKUP($A2290,MAGAZZINO!$B$2:$M$100000,2,FALSE)</f>
        <v/>
      </c>
      <c r="C2290" s="29">
        <f>+VLOOKUP($A2290,MAGAZZINO!$B$2:$M$100000,3,FALSE)</f>
        <v/>
      </c>
      <c r="D2290" s="3">
        <f>+VLOOKUP($A2290,MAGAZZINO!$B$2:$M$100000,4,FALSE)</f>
        <v/>
      </c>
      <c r="E2290" s="3">
        <f>+VLOOKUP($A2290,MAGAZZINO!$B$2:$M$100000,5,FALSE)</f>
        <v/>
      </c>
      <c r="F2290" s="3">
        <f>+VLOOKUP($A2290,MAGAZZINO!$B$2:$M$100000,6,FALSE)</f>
        <v/>
      </c>
      <c r="G2290" s="3">
        <f>+VLOOKUP($A2290,MAGAZZINO!$B$2:$M$100000,7,FALSE)</f>
        <v/>
      </c>
      <c r="H2290" s="3">
        <f>+VLOOKUP($A2290,MAGAZZINO!$B$2:$M$100000,8,FALSE)</f>
        <v/>
      </c>
      <c r="I2290" s="3">
        <f>+VLOOKUP($A2290,MAGAZZINO!$B$2:$M$100000,9,FALSE)</f>
        <v/>
      </c>
      <c r="J2290" s="3">
        <f>+VLOOKUP($A2290,MAGAZZINO!$B$2:$M$100000,10,FALSE)</f>
        <v/>
      </c>
      <c r="K2290" s="3">
        <f>+VLOOKUP($A2290,MAGAZZINO!$B$2:$M$100000,11,FALSE)</f>
        <v/>
      </c>
      <c r="L2290" s="5">
        <f>+VLOOKUP($A2290,MAGAZZINO!$B$2:$M$100000,12,FALSE)</f>
        <v/>
      </c>
      <c r="M2290" s="47" t="n"/>
      <c r="N2290" s="54" t="n"/>
      <c r="O2290" s="3" t="n"/>
      <c r="P2290" s="149" t="n"/>
      <c r="Q2290" s="150" t="n"/>
      <c r="R2290" s="150" t="n"/>
      <c r="S2290" s="151" t="n"/>
    </row>
    <row r="2291" ht="36" customHeight="1">
      <c r="A2291" s="46" t="n">
        <v>4621</v>
      </c>
      <c r="B2291" s="4">
        <f>+VLOOKUP($A2291,MAGAZZINO!$B$2:$M$100000,2,FALSE)</f>
        <v/>
      </c>
      <c r="C2291" s="29">
        <f>+VLOOKUP($A2291,MAGAZZINO!$B$2:$M$100000,3,FALSE)</f>
        <v/>
      </c>
      <c r="D2291" s="3">
        <f>+VLOOKUP($A2291,MAGAZZINO!$B$2:$M$100000,4,FALSE)</f>
        <v/>
      </c>
      <c r="E2291" s="3">
        <f>+VLOOKUP($A2291,MAGAZZINO!$B$2:$M$100000,5,FALSE)</f>
        <v/>
      </c>
      <c r="F2291" s="3">
        <f>+VLOOKUP($A2291,MAGAZZINO!$B$2:$M$100000,6,FALSE)</f>
        <v/>
      </c>
      <c r="G2291" s="3">
        <f>+VLOOKUP($A2291,MAGAZZINO!$B$2:$M$100000,7,FALSE)</f>
        <v/>
      </c>
      <c r="H2291" s="3">
        <f>+VLOOKUP($A2291,MAGAZZINO!$B$2:$M$100000,8,FALSE)</f>
        <v/>
      </c>
      <c r="I2291" s="3">
        <f>+VLOOKUP($A2291,MAGAZZINO!$B$2:$M$100000,9,FALSE)</f>
        <v/>
      </c>
      <c r="J2291" s="3">
        <f>+VLOOKUP($A2291,MAGAZZINO!$B$2:$M$100000,10,FALSE)</f>
        <v/>
      </c>
      <c r="K2291" s="3">
        <f>+VLOOKUP($A2291,MAGAZZINO!$B$2:$M$100000,11,FALSE)</f>
        <v/>
      </c>
      <c r="L2291" s="5">
        <f>+VLOOKUP($A2291,MAGAZZINO!$B$2:$M$100000,12,FALSE)</f>
        <v/>
      </c>
      <c r="M2291" s="47" t="n"/>
      <c r="N2291" s="54" t="n"/>
      <c r="O2291" s="3" t="n"/>
      <c r="P2291" s="149" t="n"/>
      <c r="Q2291" s="150" t="n"/>
      <c r="R2291" s="150" t="n"/>
      <c r="S2291" s="151" t="n"/>
    </row>
    <row r="2292" ht="36" customHeight="1">
      <c r="A2292" s="46" t="n">
        <v>4622</v>
      </c>
      <c r="B2292" s="4">
        <f>+VLOOKUP($A2292,MAGAZZINO!$B$2:$M$100000,2,FALSE)</f>
        <v/>
      </c>
      <c r="C2292" s="29">
        <f>+VLOOKUP($A2292,MAGAZZINO!$B$2:$M$100000,3,FALSE)</f>
        <v/>
      </c>
      <c r="D2292" s="3">
        <f>+VLOOKUP($A2292,MAGAZZINO!$B$2:$M$100000,4,FALSE)</f>
        <v/>
      </c>
      <c r="E2292" s="3">
        <f>+VLOOKUP($A2292,MAGAZZINO!$B$2:$M$100000,5,FALSE)</f>
        <v/>
      </c>
      <c r="F2292" s="3">
        <f>+VLOOKUP($A2292,MAGAZZINO!$B$2:$M$100000,6,FALSE)</f>
        <v/>
      </c>
      <c r="G2292" s="3">
        <f>+VLOOKUP($A2292,MAGAZZINO!$B$2:$M$100000,7,FALSE)</f>
        <v/>
      </c>
      <c r="H2292" s="3">
        <f>+VLOOKUP($A2292,MAGAZZINO!$B$2:$M$100000,8,FALSE)</f>
        <v/>
      </c>
      <c r="I2292" s="3">
        <f>+VLOOKUP($A2292,MAGAZZINO!$B$2:$M$100000,9,FALSE)</f>
        <v/>
      </c>
      <c r="J2292" s="3">
        <f>+VLOOKUP($A2292,MAGAZZINO!$B$2:$M$100000,10,FALSE)</f>
        <v/>
      </c>
      <c r="K2292" s="3">
        <f>+VLOOKUP($A2292,MAGAZZINO!$B$2:$M$100000,11,FALSE)</f>
        <v/>
      </c>
      <c r="L2292" s="5">
        <f>+VLOOKUP($A2292,MAGAZZINO!$B$2:$M$100000,12,FALSE)</f>
        <v/>
      </c>
      <c r="M2292" s="47" t="n"/>
      <c r="N2292" s="54" t="n"/>
      <c r="O2292" s="3" t="n"/>
      <c r="P2292" s="149" t="n"/>
      <c r="Q2292" s="150" t="n"/>
      <c r="R2292" s="150" t="n"/>
      <c r="S2292" s="151" t="n"/>
    </row>
    <row r="2293" ht="36" customHeight="1">
      <c r="A2293" s="46" t="n">
        <v>4623</v>
      </c>
      <c r="B2293" s="4">
        <f>+VLOOKUP($A2293,MAGAZZINO!$B$2:$M$100000,2,FALSE)</f>
        <v/>
      </c>
      <c r="C2293" s="29">
        <f>+VLOOKUP($A2293,MAGAZZINO!$B$2:$M$100000,3,FALSE)</f>
        <v/>
      </c>
      <c r="D2293" s="3">
        <f>+VLOOKUP($A2293,MAGAZZINO!$B$2:$M$100000,4,FALSE)</f>
        <v/>
      </c>
      <c r="E2293" s="3">
        <f>+VLOOKUP($A2293,MAGAZZINO!$B$2:$M$100000,5,FALSE)</f>
        <v/>
      </c>
      <c r="F2293" s="3">
        <f>+VLOOKUP($A2293,MAGAZZINO!$B$2:$M$100000,6,FALSE)</f>
        <v/>
      </c>
      <c r="G2293" s="3">
        <f>+VLOOKUP($A2293,MAGAZZINO!$B$2:$M$100000,7,FALSE)</f>
        <v/>
      </c>
      <c r="H2293" s="3">
        <f>+VLOOKUP($A2293,MAGAZZINO!$B$2:$M$100000,8,FALSE)</f>
        <v/>
      </c>
      <c r="I2293" s="3">
        <f>+VLOOKUP($A2293,MAGAZZINO!$B$2:$M$100000,9,FALSE)</f>
        <v/>
      </c>
      <c r="J2293" s="3">
        <f>+VLOOKUP($A2293,MAGAZZINO!$B$2:$M$100000,10,FALSE)</f>
        <v/>
      </c>
      <c r="K2293" s="3">
        <f>+VLOOKUP($A2293,MAGAZZINO!$B$2:$M$100000,11,FALSE)</f>
        <v/>
      </c>
      <c r="L2293" s="5">
        <f>+VLOOKUP($A2293,MAGAZZINO!$B$2:$M$100000,12,FALSE)</f>
        <v/>
      </c>
      <c r="M2293" s="47" t="n"/>
      <c r="N2293" s="54" t="n"/>
      <c r="O2293" s="3" t="n"/>
      <c r="P2293" s="149" t="n"/>
      <c r="Q2293" s="150" t="n"/>
      <c r="R2293" s="150" t="n"/>
      <c r="S2293" s="151" t="n"/>
    </row>
    <row r="2294" ht="36" customHeight="1">
      <c r="A2294" s="46" t="n">
        <v>4624</v>
      </c>
      <c r="B2294" s="4">
        <f>+VLOOKUP($A2294,MAGAZZINO!$B$2:$M$100000,2,FALSE)</f>
        <v/>
      </c>
      <c r="C2294" s="29">
        <f>+VLOOKUP($A2294,MAGAZZINO!$B$2:$M$100000,3,FALSE)</f>
        <v/>
      </c>
      <c r="D2294" s="3">
        <f>+VLOOKUP($A2294,MAGAZZINO!$B$2:$M$100000,4,FALSE)</f>
        <v/>
      </c>
      <c r="E2294" s="3">
        <f>+VLOOKUP($A2294,MAGAZZINO!$B$2:$M$100000,5,FALSE)</f>
        <v/>
      </c>
      <c r="F2294" s="3">
        <f>+VLOOKUP($A2294,MAGAZZINO!$B$2:$M$100000,6,FALSE)</f>
        <v/>
      </c>
      <c r="G2294" s="3">
        <f>+VLOOKUP($A2294,MAGAZZINO!$B$2:$M$100000,7,FALSE)</f>
        <v/>
      </c>
      <c r="H2294" s="3">
        <f>+VLOOKUP($A2294,MAGAZZINO!$B$2:$M$100000,8,FALSE)</f>
        <v/>
      </c>
      <c r="I2294" s="3">
        <f>+VLOOKUP($A2294,MAGAZZINO!$B$2:$M$100000,9,FALSE)</f>
        <v/>
      </c>
      <c r="J2294" s="3">
        <f>+VLOOKUP($A2294,MAGAZZINO!$B$2:$M$100000,10,FALSE)</f>
        <v/>
      </c>
      <c r="K2294" s="3">
        <f>+VLOOKUP($A2294,MAGAZZINO!$B$2:$M$100000,11,FALSE)</f>
        <v/>
      </c>
      <c r="L2294" s="5">
        <f>+VLOOKUP($A2294,MAGAZZINO!$B$2:$M$100000,12,FALSE)</f>
        <v/>
      </c>
      <c r="M2294" s="47" t="n"/>
      <c r="N2294" s="54" t="n"/>
      <c r="O2294" s="3" t="n"/>
      <c r="P2294" s="149" t="n"/>
      <c r="Q2294" s="150" t="n"/>
      <c r="R2294" s="150" t="n"/>
      <c r="S2294" s="151" t="n"/>
    </row>
    <row r="2295" ht="36" customHeight="1">
      <c r="A2295" s="46" t="n">
        <v>4625</v>
      </c>
      <c r="B2295" s="4">
        <f>+VLOOKUP($A2295,MAGAZZINO!$B$2:$M$100000,2,FALSE)</f>
        <v/>
      </c>
      <c r="C2295" s="29">
        <f>+VLOOKUP($A2295,MAGAZZINO!$B$2:$M$100000,3,FALSE)</f>
        <v/>
      </c>
      <c r="D2295" s="3">
        <f>+VLOOKUP($A2295,MAGAZZINO!$B$2:$M$100000,4,FALSE)</f>
        <v/>
      </c>
      <c r="E2295" s="3">
        <f>+VLOOKUP($A2295,MAGAZZINO!$B$2:$M$100000,5,FALSE)</f>
        <v/>
      </c>
      <c r="F2295" s="3">
        <f>+VLOOKUP($A2295,MAGAZZINO!$B$2:$M$100000,6,FALSE)</f>
        <v/>
      </c>
      <c r="G2295" s="3">
        <f>+VLOOKUP($A2295,MAGAZZINO!$B$2:$M$100000,7,FALSE)</f>
        <v/>
      </c>
      <c r="H2295" s="3">
        <f>+VLOOKUP($A2295,MAGAZZINO!$B$2:$M$100000,8,FALSE)</f>
        <v/>
      </c>
      <c r="I2295" s="3">
        <f>+VLOOKUP($A2295,MAGAZZINO!$B$2:$M$100000,9,FALSE)</f>
        <v/>
      </c>
      <c r="J2295" s="3">
        <f>+VLOOKUP($A2295,MAGAZZINO!$B$2:$M$100000,10,FALSE)</f>
        <v/>
      </c>
      <c r="K2295" s="3">
        <f>+VLOOKUP($A2295,MAGAZZINO!$B$2:$M$100000,11,FALSE)</f>
        <v/>
      </c>
      <c r="L2295" s="5">
        <f>+VLOOKUP($A2295,MAGAZZINO!$B$2:$M$100000,12,FALSE)</f>
        <v/>
      </c>
      <c r="M2295" s="47" t="n"/>
      <c r="N2295" s="54" t="n"/>
      <c r="O2295" s="3" t="n"/>
      <c r="P2295" s="149" t="n"/>
      <c r="Q2295" s="150" t="n"/>
      <c r="R2295" s="150" t="n"/>
      <c r="S2295" s="151" t="n"/>
    </row>
    <row r="2296" ht="36" customHeight="1">
      <c r="A2296" s="46" t="n">
        <v>4626</v>
      </c>
      <c r="B2296" s="4">
        <f>+VLOOKUP($A2296,MAGAZZINO!$B$2:$M$100000,2,FALSE)</f>
        <v/>
      </c>
      <c r="C2296" s="29">
        <f>+VLOOKUP($A2296,MAGAZZINO!$B$2:$M$100000,3,FALSE)</f>
        <v/>
      </c>
      <c r="D2296" s="3">
        <f>+VLOOKUP($A2296,MAGAZZINO!$B$2:$M$100000,4,FALSE)</f>
        <v/>
      </c>
      <c r="E2296" s="3">
        <f>+VLOOKUP($A2296,MAGAZZINO!$B$2:$M$100000,5,FALSE)</f>
        <v/>
      </c>
      <c r="F2296" s="3">
        <f>+VLOOKUP($A2296,MAGAZZINO!$B$2:$M$100000,6,FALSE)</f>
        <v/>
      </c>
      <c r="G2296" s="3">
        <f>+VLOOKUP($A2296,MAGAZZINO!$B$2:$M$100000,7,FALSE)</f>
        <v/>
      </c>
      <c r="H2296" s="3">
        <f>+VLOOKUP($A2296,MAGAZZINO!$B$2:$M$100000,8,FALSE)</f>
        <v/>
      </c>
      <c r="I2296" s="3">
        <f>+VLOOKUP($A2296,MAGAZZINO!$B$2:$M$100000,9,FALSE)</f>
        <v/>
      </c>
      <c r="J2296" s="3">
        <f>+VLOOKUP($A2296,MAGAZZINO!$B$2:$M$100000,10,FALSE)</f>
        <v/>
      </c>
      <c r="K2296" s="3">
        <f>+VLOOKUP($A2296,MAGAZZINO!$B$2:$M$100000,11,FALSE)</f>
        <v/>
      </c>
      <c r="L2296" s="5">
        <f>+VLOOKUP($A2296,MAGAZZINO!$B$2:$M$100000,12,FALSE)</f>
        <v/>
      </c>
      <c r="M2296" s="47" t="n"/>
      <c r="N2296" s="54" t="n"/>
      <c r="O2296" s="3" t="n"/>
      <c r="P2296" s="149" t="n"/>
      <c r="Q2296" s="150" t="n"/>
      <c r="R2296" s="150" t="n"/>
      <c r="S2296" s="151" t="n"/>
    </row>
    <row r="2297" ht="36" customHeight="1">
      <c r="A2297" s="46" t="n">
        <v>4627</v>
      </c>
      <c r="B2297" s="4">
        <f>+VLOOKUP($A2297,MAGAZZINO!$B$2:$M$100000,2,FALSE)</f>
        <v/>
      </c>
      <c r="C2297" s="29">
        <f>+VLOOKUP($A2297,MAGAZZINO!$B$2:$M$100000,3,FALSE)</f>
        <v/>
      </c>
      <c r="D2297" s="3">
        <f>+VLOOKUP($A2297,MAGAZZINO!$B$2:$M$100000,4,FALSE)</f>
        <v/>
      </c>
      <c r="E2297" s="3">
        <f>+VLOOKUP($A2297,MAGAZZINO!$B$2:$M$100000,5,FALSE)</f>
        <v/>
      </c>
      <c r="F2297" s="3">
        <f>+VLOOKUP($A2297,MAGAZZINO!$B$2:$M$100000,6,FALSE)</f>
        <v/>
      </c>
      <c r="G2297" s="3">
        <f>+VLOOKUP($A2297,MAGAZZINO!$B$2:$M$100000,7,FALSE)</f>
        <v/>
      </c>
      <c r="H2297" s="3">
        <f>+VLOOKUP($A2297,MAGAZZINO!$B$2:$M$100000,8,FALSE)</f>
        <v/>
      </c>
      <c r="I2297" s="3">
        <f>+VLOOKUP($A2297,MAGAZZINO!$B$2:$M$100000,9,FALSE)</f>
        <v/>
      </c>
      <c r="J2297" s="3">
        <f>+VLOOKUP($A2297,MAGAZZINO!$B$2:$M$100000,10,FALSE)</f>
        <v/>
      </c>
      <c r="K2297" s="3">
        <f>+VLOOKUP($A2297,MAGAZZINO!$B$2:$M$100000,11,FALSE)</f>
        <v/>
      </c>
      <c r="L2297" s="5">
        <f>+VLOOKUP($A2297,MAGAZZINO!$B$2:$M$100000,12,FALSE)</f>
        <v/>
      </c>
      <c r="M2297" s="47" t="n"/>
      <c r="N2297" s="54" t="n"/>
      <c r="O2297" s="3" t="n"/>
      <c r="P2297" s="149" t="n"/>
      <c r="Q2297" s="150" t="n"/>
      <c r="R2297" s="150" t="n"/>
      <c r="S2297" s="151" t="n"/>
    </row>
    <row r="2298" ht="36" customHeight="1">
      <c r="A2298" s="46" t="n">
        <v>4628</v>
      </c>
      <c r="B2298" s="4">
        <f>+VLOOKUP($A2298,MAGAZZINO!$B$2:$M$100000,2,FALSE)</f>
        <v/>
      </c>
      <c r="C2298" s="29">
        <f>+VLOOKUP($A2298,MAGAZZINO!$B$2:$M$100000,3,FALSE)</f>
        <v/>
      </c>
      <c r="D2298" s="3">
        <f>+VLOOKUP($A2298,MAGAZZINO!$B$2:$M$100000,4,FALSE)</f>
        <v/>
      </c>
      <c r="E2298" s="3">
        <f>+VLOOKUP($A2298,MAGAZZINO!$B$2:$M$100000,5,FALSE)</f>
        <v/>
      </c>
      <c r="F2298" s="3">
        <f>+VLOOKUP($A2298,MAGAZZINO!$B$2:$M$100000,6,FALSE)</f>
        <v/>
      </c>
      <c r="G2298" s="3">
        <f>+VLOOKUP($A2298,MAGAZZINO!$B$2:$M$100000,7,FALSE)</f>
        <v/>
      </c>
      <c r="H2298" s="3">
        <f>+VLOOKUP($A2298,MAGAZZINO!$B$2:$M$100000,8,FALSE)</f>
        <v/>
      </c>
      <c r="I2298" s="3">
        <f>+VLOOKUP($A2298,MAGAZZINO!$B$2:$M$100000,9,FALSE)</f>
        <v/>
      </c>
      <c r="J2298" s="3">
        <f>+VLOOKUP($A2298,MAGAZZINO!$B$2:$M$100000,10,FALSE)</f>
        <v/>
      </c>
      <c r="K2298" s="3">
        <f>+VLOOKUP($A2298,MAGAZZINO!$B$2:$M$100000,11,FALSE)</f>
        <v/>
      </c>
      <c r="L2298" s="5">
        <f>+VLOOKUP($A2298,MAGAZZINO!$B$2:$M$100000,12,FALSE)</f>
        <v/>
      </c>
      <c r="M2298" s="47" t="n"/>
      <c r="N2298" s="54" t="n"/>
      <c r="O2298" s="3" t="n"/>
      <c r="P2298" s="149" t="n"/>
      <c r="Q2298" s="150" t="n"/>
      <c r="R2298" s="150" t="n"/>
      <c r="S2298" s="151" t="n"/>
    </row>
    <row r="2299" ht="36" customHeight="1">
      <c r="A2299" s="46" t="n">
        <v>4629</v>
      </c>
      <c r="B2299" s="4">
        <f>+VLOOKUP($A2299,MAGAZZINO!$B$2:$M$100000,2,FALSE)</f>
        <v/>
      </c>
      <c r="C2299" s="29">
        <f>+VLOOKUP($A2299,MAGAZZINO!$B$2:$M$100000,3,FALSE)</f>
        <v/>
      </c>
      <c r="D2299" s="3">
        <f>+VLOOKUP($A2299,MAGAZZINO!$B$2:$M$100000,4,FALSE)</f>
        <v/>
      </c>
      <c r="E2299" s="3">
        <f>+VLOOKUP($A2299,MAGAZZINO!$B$2:$M$100000,5,FALSE)</f>
        <v/>
      </c>
      <c r="F2299" s="3">
        <f>+VLOOKUP($A2299,MAGAZZINO!$B$2:$M$100000,6,FALSE)</f>
        <v/>
      </c>
      <c r="G2299" s="3">
        <f>+VLOOKUP($A2299,MAGAZZINO!$B$2:$M$100000,7,FALSE)</f>
        <v/>
      </c>
      <c r="H2299" s="3">
        <f>+VLOOKUP($A2299,MAGAZZINO!$B$2:$M$100000,8,FALSE)</f>
        <v/>
      </c>
      <c r="I2299" s="3">
        <f>+VLOOKUP($A2299,MAGAZZINO!$B$2:$M$100000,9,FALSE)</f>
        <v/>
      </c>
      <c r="J2299" s="3">
        <f>+VLOOKUP($A2299,MAGAZZINO!$B$2:$M$100000,10,FALSE)</f>
        <v/>
      </c>
      <c r="K2299" s="3">
        <f>+VLOOKUP($A2299,MAGAZZINO!$B$2:$M$100000,11,FALSE)</f>
        <v/>
      </c>
      <c r="L2299" s="5">
        <f>+VLOOKUP($A2299,MAGAZZINO!$B$2:$M$100000,12,FALSE)</f>
        <v/>
      </c>
      <c r="M2299" s="47" t="n"/>
      <c r="N2299" s="54" t="n"/>
      <c r="O2299" s="3" t="n"/>
      <c r="P2299" s="149" t="n"/>
      <c r="Q2299" s="150" t="n"/>
      <c r="R2299" s="150" t="n"/>
      <c r="S2299" s="151" t="n"/>
    </row>
    <row r="2300" ht="36" customHeight="1">
      <c r="A2300" s="46" t="n">
        <v>4630</v>
      </c>
      <c r="B2300" s="4">
        <f>+VLOOKUP($A2300,MAGAZZINO!$B$2:$M$100000,2,FALSE)</f>
        <v/>
      </c>
      <c r="C2300" s="29">
        <f>+VLOOKUP($A2300,MAGAZZINO!$B$2:$M$100000,3,FALSE)</f>
        <v/>
      </c>
      <c r="D2300" s="3">
        <f>+VLOOKUP($A2300,MAGAZZINO!$B$2:$M$100000,4,FALSE)</f>
        <v/>
      </c>
      <c r="E2300" s="3">
        <f>+VLOOKUP($A2300,MAGAZZINO!$B$2:$M$100000,5,FALSE)</f>
        <v/>
      </c>
      <c r="F2300" s="3">
        <f>+VLOOKUP($A2300,MAGAZZINO!$B$2:$M$100000,6,FALSE)</f>
        <v/>
      </c>
      <c r="G2300" s="3">
        <f>+VLOOKUP($A2300,MAGAZZINO!$B$2:$M$100000,7,FALSE)</f>
        <v/>
      </c>
      <c r="H2300" s="3">
        <f>+VLOOKUP($A2300,MAGAZZINO!$B$2:$M$100000,8,FALSE)</f>
        <v/>
      </c>
      <c r="I2300" s="3">
        <f>+VLOOKUP($A2300,MAGAZZINO!$B$2:$M$100000,9,FALSE)</f>
        <v/>
      </c>
      <c r="J2300" s="3">
        <f>+VLOOKUP($A2300,MAGAZZINO!$B$2:$M$100000,10,FALSE)</f>
        <v/>
      </c>
      <c r="K2300" s="3">
        <f>+VLOOKUP($A2300,MAGAZZINO!$B$2:$M$100000,11,FALSE)</f>
        <v/>
      </c>
      <c r="L2300" s="5">
        <f>+VLOOKUP($A2300,MAGAZZINO!$B$2:$M$100000,12,FALSE)</f>
        <v/>
      </c>
      <c r="M2300" s="47" t="n"/>
      <c r="N2300" s="54" t="n"/>
      <c r="O2300" s="3" t="n"/>
      <c r="P2300" s="149" t="n"/>
      <c r="Q2300" s="150" t="n"/>
      <c r="R2300" s="150" t="n"/>
      <c r="S2300" s="151" t="n"/>
    </row>
    <row r="2301" ht="36" customHeight="1">
      <c r="A2301" s="46" t="n">
        <v>4631</v>
      </c>
      <c r="B2301" s="4">
        <f>+VLOOKUP($A2301,MAGAZZINO!$B$2:$M$100000,2,FALSE)</f>
        <v/>
      </c>
      <c r="C2301" s="29">
        <f>+VLOOKUP($A2301,MAGAZZINO!$B$2:$M$100000,3,FALSE)</f>
        <v/>
      </c>
      <c r="D2301" s="3">
        <f>+VLOOKUP($A2301,MAGAZZINO!$B$2:$M$100000,4,FALSE)</f>
        <v/>
      </c>
      <c r="E2301" s="3">
        <f>+VLOOKUP($A2301,MAGAZZINO!$B$2:$M$100000,5,FALSE)</f>
        <v/>
      </c>
      <c r="F2301" s="3">
        <f>+VLOOKUP($A2301,MAGAZZINO!$B$2:$M$100000,6,FALSE)</f>
        <v/>
      </c>
      <c r="G2301" s="3">
        <f>+VLOOKUP($A2301,MAGAZZINO!$B$2:$M$100000,7,FALSE)</f>
        <v/>
      </c>
      <c r="H2301" s="3">
        <f>+VLOOKUP($A2301,MAGAZZINO!$B$2:$M$100000,8,FALSE)</f>
        <v/>
      </c>
      <c r="I2301" s="3">
        <f>+VLOOKUP($A2301,MAGAZZINO!$B$2:$M$100000,9,FALSE)</f>
        <v/>
      </c>
      <c r="J2301" s="3">
        <f>+VLOOKUP($A2301,MAGAZZINO!$B$2:$M$100000,10,FALSE)</f>
        <v/>
      </c>
      <c r="K2301" s="3">
        <f>+VLOOKUP($A2301,MAGAZZINO!$B$2:$M$100000,11,FALSE)</f>
        <v/>
      </c>
      <c r="L2301" s="5">
        <f>+VLOOKUP($A2301,MAGAZZINO!$B$2:$M$100000,12,FALSE)</f>
        <v/>
      </c>
      <c r="M2301" s="47" t="n"/>
      <c r="N2301" s="54" t="n"/>
      <c r="O2301" s="3" t="n"/>
      <c r="P2301" s="149" t="n"/>
      <c r="Q2301" s="150" t="n"/>
      <c r="R2301" s="150" t="n"/>
      <c r="S2301" s="151" t="n"/>
    </row>
    <row r="2302" ht="36" customHeight="1">
      <c r="A2302" s="46" t="n">
        <v>4632</v>
      </c>
      <c r="B2302" s="4">
        <f>+VLOOKUP($A2302,MAGAZZINO!$B$2:$M$100000,2,FALSE)</f>
        <v/>
      </c>
      <c r="C2302" s="29">
        <f>+VLOOKUP($A2302,MAGAZZINO!$B$2:$M$100000,3,FALSE)</f>
        <v/>
      </c>
      <c r="D2302" s="3">
        <f>+VLOOKUP($A2302,MAGAZZINO!$B$2:$M$100000,4,FALSE)</f>
        <v/>
      </c>
      <c r="E2302" s="3">
        <f>+VLOOKUP($A2302,MAGAZZINO!$B$2:$M$100000,5,FALSE)</f>
        <v/>
      </c>
      <c r="F2302" s="3">
        <f>+VLOOKUP($A2302,MAGAZZINO!$B$2:$M$100000,6,FALSE)</f>
        <v/>
      </c>
      <c r="G2302" s="3">
        <f>+VLOOKUP($A2302,MAGAZZINO!$B$2:$M$100000,7,FALSE)</f>
        <v/>
      </c>
      <c r="H2302" s="3">
        <f>+VLOOKUP($A2302,MAGAZZINO!$B$2:$M$100000,8,FALSE)</f>
        <v/>
      </c>
      <c r="I2302" s="3">
        <f>+VLOOKUP($A2302,MAGAZZINO!$B$2:$M$100000,9,FALSE)</f>
        <v/>
      </c>
      <c r="J2302" s="3">
        <f>+VLOOKUP($A2302,MAGAZZINO!$B$2:$M$100000,10,FALSE)</f>
        <v/>
      </c>
      <c r="K2302" s="3">
        <f>+VLOOKUP($A2302,MAGAZZINO!$B$2:$M$100000,11,FALSE)</f>
        <v/>
      </c>
      <c r="L2302" s="5">
        <f>+VLOOKUP($A2302,MAGAZZINO!$B$2:$M$100000,12,FALSE)</f>
        <v/>
      </c>
      <c r="M2302" s="47" t="n"/>
      <c r="N2302" s="54" t="n"/>
      <c r="O2302" s="3" t="n"/>
      <c r="P2302" s="149" t="n"/>
      <c r="Q2302" s="150" t="n"/>
      <c r="R2302" s="150" t="n"/>
      <c r="S2302" s="151" t="n"/>
    </row>
    <row r="2303" ht="36" customHeight="1">
      <c r="A2303" s="46" t="n">
        <v>4633</v>
      </c>
      <c r="B2303" s="4">
        <f>+VLOOKUP($A2303,MAGAZZINO!$B$2:$M$100000,2,FALSE)</f>
        <v/>
      </c>
      <c r="C2303" s="29">
        <f>+VLOOKUP($A2303,MAGAZZINO!$B$2:$M$100000,3,FALSE)</f>
        <v/>
      </c>
      <c r="D2303" s="3">
        <f>+VLOOKUP($A2303,MAGAZZINO!$B$2:$M$100000,4,FALSE)</f>
        <v/>
      </c>
      <c r="E2303" s="3">
        <f>+VLOOKUP($A2303,MAGAZZINO!$B$2:$M$100000,5,FALSE)</f>
        <v/>
      </c>
      <c r="F2303" s="3">
        <f>+VLOOKUP($A2303,MAGAZZINO!$B$2:$M$100000,6,FALSE)</f>
        <v/>
      </c>
      <c r="G2303" s="3">
        <f>+VLOOKUP($A2303,MAGAZZINO!$B$2:$M$100000,7,FALSE)</f>
        <v/>
      </c>
      <c r="H2303" s="3">
        <f>+VLOOKUP($A2303,MAGAZZINO!$B$2:$M$100000,8,FALSE)</f>
        <v/>
      </c>
      <c r="I2303" s="3">
        <f>+VLOOKUP($A2303,MAGAZZINO!$B$2:$M$100000,9,FALSE)</f>
        <v/>
      </c>
      <c r="J2303" s="3">
        <f>+VLOOKUP($A2303,MAGAZZINO!$B$2:$M$100000,10,FALSE)</f>
        <v/>
      </c>
      <c r="K2303" s="3">
        <f>+VLOOKUP($A2303,MAGAZZINO!$B$2:$M$100000,11,FALSE)</f>
        <v/>
      </c>
      <c r="L2303" s="5">
        <f>+VLOOKUP($A2303,MAGAZZINO!$B$2:$M$100000,12,FALSE)</f>
        <v/>
      </c>
      <c r="M2303" s="47" t="n"/>
      <c r="N2303" s="54" t="n"/>
      <c r="O2303" s="3" t="n"/>
      <c r="P2303" s="149" t="n"/>
      <c r="Q2303" s="150" t="n"/>
      <c r="R2303" s="150" t="n"/>
      <c r="S2303" s="151" t="n"/>
    </row>
    <row r="2304" ht="36" customHeight="1">
      <c r="A2304" s="46" t="n">
        <v>4634</v>
      </c>
      <c r="B2304" s="4">
        <f>+VLOOKUP($A2304,MAGAZZINO!$B$2:$M$100000,2,FALSE)</f>
        <v/>
      </c>
      <c r="C2304" s="29">
        <f>+VLOOKUP($A2304,MAGAZZINO!$B$2:$M$100000,3,FALSE)</f>
        <v/>
      </c>
      <c r="D2304" s="3">
        <f>+VLOOKUP($A2304,MAGAZZINO!$B$2:$M$100000,4,FALSE)</f>
        <v/>
      </c>
      <c r="E2304" s="3">
        <f>+VLOOKUP($A2304,MAGAZZINO!$B$2:$M$100000,5,FALSE)</f>
        <v/>
      </c>
      <c r="F2304" s="3">
        <f>+VLOOKUP($A2304,MAGAZZINO!$B$2:$M$100000,6,FALSE)</f>
        <v/>
      </c>
      <c r="G2304" s="3">
        <f>+VLOOKUP($A2304,MAGAZZINO!$B$2:$M$100000,7,FALSE)</f>
        <v/>
      </c>
      <c r="H2304" s="3">
        <f>+VLOOKUP($A2304,MAGAZZINO!$B$2:$M$100000,8,FALSE)</f>
        <v/>
      </c>
      <c r="I2304" s="3">
        <f>+VLOOKUP($A2304,MAGAZZINO!$B$2:$M$100000,9,FALSE)</f>
        <v/>
      </c>
      <c r="J2304" s="3">
        <f>+VLOOKUP($A2304,MAGAZZINO!$B$2:$M$100000,10,FALSE)</f>
        <v/>
      </c>
      <c r="K2304" s="3">
        <f>+VLOOKUP($A2304,MAGAZZINO!$B$2:$M$100000,11,FALSE)</f>
        <v/>
      </c>
      <c r="L2304" s="5">
        <f>+VLOOKUP($A2304,MAGAZZINO!$B$2:$M$100000,12,FALSE)</f>
        <v/>
      </c>
      <c r="M2304" s="47" t="n"/>
      <c r="N2304" s="54" t="n"/>
      <c r="O2304" s="3" t="n"/>
      <c r="P2304" s="149" t="n"/>
      <c r="Q2304" s="150" t="n"/>
      <c r="R2304" s="150" t="n"/>
      <c r="S2304" s="151" t="n"/>
    </row>
    <row r="2305" ht="36" customHeight="1">
      <c r="A2305" s="46" t="n">
        <v>4635</v>
      </c>
      <c r="B2305" s="4">
        <f>+VLOOKUP($A2305,MAGAZZINO!$B$2:$M$100000,2,FALSE)</f>
        <v/>
      </c>
      <c r="C2305" s="29">
        <f>+VLOOKUP($A2305,MAGAZZINO!$B$2:$M$100000,3,FALSE)</f>
        <v/>
      </c>
      <c r="D2305" s="3">
        <f>+VLOOKUP($A2305,MAGAZZINO!$B$2:$M$100000,4,FALSE)</f>
        <v/>
      </c>
      <c r="E2305" s="3">
        <f>+VLOOKUP($A2305,MAGAZZINO!$B$2:$M$100000,5,FALSE)</f>
        <v/>
      </c>
      <c r="F2305" s="3">
        <f>+VLOOKUP($A2305,MAGAZZINO!$B$2:$M$100000,6,FALSE)</f>
        <v/>
      </c>
      <c r="G2305" s="3">
        <f>+VLOOKUP($A2305,MAGAZZINO!$B$2:$M$100000,7,FALSE)</f>
        <v/>
      </c>
      <c r="H2305" s="3">
        <f>+VLOOKUP($A2305,MAGAZZINO!$B$2:$M$100000,8,FALSE)</f>
        <v/>
      </c>
      <c r="I2305" s="3">
        <f>+VLOOKUP($A2305,MAGAZZINO!$B$2:$M$100000,9,FALSE)</f>
        <v/>
      </c>
      <c r="J2305" s="3">
        <f>+VLOOKUP($A2305,MAGAZZINO!$B$2:$M$100000,10,FALSE)</f>
        <v/>
      </c>
      <c r="K2305" s="3">
        <f>+VLOOKUP($A2305,MAGAZZINO!$B$2:$M$100000,11,FALSE)</f>
        <v/>
      </c>
      <c r="L2305" s="5">
        <f>+VLOOKUP($A2305,MAGAZZINO!$B$2:$M$100000,12,FALSE)</f>
        <v/>
      </c>
      <c r="M2305" s="47" t="n"/>
      <c r="N2305" s="54" t="n"/>
      <c r="O2305" s="3" t="n"/>
      <c r="P2305" s="149" t="n"/>
      <c r="Q2305" s="150" t="n"/>
      <c r="R2305" s="150" t="n"/>
      <c r="S2305" s="151" t="n"/>
    </row>
    <row r="2306" ht="36" customHeight="1">
      <c r="A2306" s="46" t="n">
        <v>4636</v>
      </c>
      <c r="B2306" s="4">
        <f>+VLOOKUP($A2306,MAGAZZINO!$B$2:$M$100000,2,FALSE)</f>
        <v/>
      </c>
      <c r="C2306" s="29">
        <f>+VLOOKUP($A2306,MAGAZZINO!$B$2:$M$100000,3,FALSE)</f>
        <v/>
      </c>
      <c r="D2306" s="3">
        <f>+VLOOKUP($A2306,MAGAZZINO!$B$2:$M$100000,4,FALSE)</f>
        <v/>
      </c>
      <c r="E2306" s="3">
        <f>+VLOOKUP($A2306,MAGAZZINO!$B$2:$M$100000,5,FALSE)</f>
        <v/>
      </c>
      <c r="F2306" s="3">
        <f>+VLOOKUP($A2306,MAGAZZINO!$B$2:$M$100000,6,FALSE)</f>
        <v/>
      </c>
      <c r="G2306" s="3">
        <f>+VLOOKUP($A2306,MAGAZZINO!$B$2:$M$100000,7,FALSE)</f>
        <v/>
      </c>
      <c r="H2306" s="3">
        <f>+VLOOKUP($A2306,MAGAZZINO!$B$2:$M$100000,8,FALSE)</f>
        <v/>
      </c>
      <c r="I2306" s="3">
        <f>+VLOOKUP($A2306,MAGAZZINO!$B$2:$M$100000,9,FALSE)</f>
        <v/>
      </c>
      <c r="J2306" s="3">
        <f>+VLOOKUP($A2306,MAGAZZINO!$B$2:$M$100000,10,FALSE)</f>
        <v/>
      </c>
      <c r="K2306" s="3">
        <f>+VLOOKUP($A2306,MAGAZZINO!$B$2:$M$100000,11,FALSE)</f>
        <v/>
      </c>
      <c r="L2306" s="5">
        <f>+VLOOKUP($A2306,MAGAZZINO!$B$2:$M$100000,12,FALSE)</f>
        <v/>
      </c>
      <c r="M2306" s="47" t="n"/>
      <c r="N2306" s="54" t="n"/>
      <c r="O2306" s="3" t="n"/>
      <c r="P2306" s="149" t="n"/>
      <c r="Q2306" s="150" t="n"/>
      <c r="R2306" s="150" t="n"/>
      <c r="S2306" s="151" t="n"/>
    </row>
    <row r="2307" ht="36" customHeight="1">
      <c r="A2307" s="46" t="n">
        <v>4637</v>
      </c>
      <c r="B2307" s="4">
        <f>+VLOOKUP($A2307,MAGAZZINO!$B$2:$M$100000,2,FALSE)</f>
        <v/>
      </c>
      <c r="C2307" s="29">
        <f>+VLOOKUP($A2307,MAGAZZINO!$B$2:$M$100000,3,FALSE)</f>
        <v/>
      </c>
      <c r="D2307" s="3">
        <f>+VLOOKUP($A2307,MAGAZZINO!$B$2:$M$100000,4,FALSE)</f>
        <v/>
      </c>
      <c r="E2307" s="3">
        <f>+VLOOKUP($A2307,MAGAZZINO!$B$2:$M$100000,5,FALSE)</f>
        <v/>
      </c>
      <c r="F2307" s="3">
        <f>+VLOOKUP($A2307,MAGAZZINO!$B$2:$M$100000,6,FALSE)</f>
        <v/>
      </c>
      <c r="G2307" s="3">
        <f>+VLOOKUP($A2307,MAGAZZINO!$B$2:$M$100000,7,FALSE)</f>
        <v/>
      </c>
      <c r="H2307" s="3">
        <f>+VLOOKUP($A2307,MAGAZZINO!$B$2:$M$100000,8,FALSE)</f>
        <v/>
      </c>
      <c r="I2307" s="3">
        <f>+VLOOKUP($A2307,MAGAZZINO!$B$2:$M$100000,9,FALSE)</f>
        <v/>
      </c>
      <c r="J2307" s="3">
        <f>+VLOOKUP($A2307,MAGAZZINO!$B$2:$M$100000,10,FALSE)</f>
        <v/>
      </c>
      <c r="K2307" s="3">
        <f>+VLOOKUP($A2307,MAGAZZINO!$B$2:$M$100000,11,FALSE)</f>
        <v/>
      </c>
      <c r="L2307" s="5">
        <f>+VLOOKUP($A2307,MAGAZZINO!$B$2:$M$100000,12,FALSE)</f>
        <v/>
      </c>
      <c r="M2307" s="47" t="n"/>
      <c r="N2307" s="54" t="n"/>
      <c r="O2307" s="3" t="n"/>
      <c r="P2307" s="149" t="n"/>
      <c r="Q2307" s="150" t="n"/>
      <c r="R2307" s="150" t="n"/>
      <c r="S2307" s="151" t="n"/>
    </row>
    <row r="2308" ht="36" customHeight="1">
      <c r="A2308" s="46" t="n">
        <v>4638</v>
      </c>
      <c r="B2308" s="4">
        <f>+VLOOKUP($A2308,MAGAZZINO!$B$2:$M$100000,2,FALSE)</f>
        <v/>
      </c>
      <c r="C2308" s="29">
        <f>+VLOOKUP($A2308,MAGAZZINO!$B$2:$M$100000,3,FALSE)</f>
        <v/>
      </c>
      <c r="D2308" s="3">
        <f>+VLOOKUP($A2308,MAGAZZINO!$B$2:$M$100000,4,FALSE)</f>
        <v/>
      </c>
      <c r="E2308" s="3">
        <f>+VLOOKUP($A2308,MAGAZZINO!$B$2:$M$100000,5,FALSE)</f>
        <v/>
      </c>
      <c r="F2308" s="3">
        <f>+VLOOKUP($A2308,MAGAZZINO!$B$2:$M$100000,6,FALSE)</f>
        <v/>
      </c>
      <c r="G2308" s="3">
        <f>+VLOOKUP($A2308,MAGAZZINO!$B$2:$M$100000,7,FALSE)</f>
        <v/>
      </c>
      <c r="H2308" s="3">
        <f>+VLOOKUP($A2308,MAGAZZINO!$B$2:$M$100000,8,FALSE)</f>
        <v/>
      </c>
      <c r="I2308" s="3">
        <f>+VLOOKUP($A2308,MAGAZZINO!$B$2:$M$100000,9,FALSE)</f>
        <v/>
      </c>
      <c r="J2308" s="3">
        <f>+VLOOKUP($A2308,MAGAZZINO!$B$2:$M$100000,10,FALSE)</f>
        <v/>
      </c>
      <c r="K2308" s="3">
        <f>+VLOOKUP($A2308,MAGAZZINO!$B$2:$M$100000,11,FALSE)</f>
        <v/>
      </c>
      <c r="L2308" s="5">
        <f>+VLOOKUP($A2308,MAGAZZINO!$B$2:$M$100000,12,FALSE)</f>
        <v/>
      </c>
      <c r="M2308" s="47" t="n"/>
      <c r="N2308" s="54" t="n"/>
      <c r="O2308" s="3" t="n"/>
      <c r="P2308" s="149" t="n"/>
      <c r="Q2308" s="150" t="n"/>
      <c r="R2308" s="150" t="n"/>
      <c r="S2308" s="151" t="n"/>
    </row>
    <row r="2309" ht="36" customHeight="1">
      <c r="A2309" s="46" t="n">
        <v>4639</v>
      </c>
      <c r="B2309" s="4">
        <f>+VLOOKUP($A2309,MAGAZZINO!$B$2:$M$100000,2,FALSE)</f>
        <v/>
      </c>
      <c r="C2309" s="29">
        <f>+VLOOKUP($A2309,MAGAZZINO!$B$2:$M$100000,3,FALSE)</f>
        <v/>
      </c>
      <c r="D2309" s="3">
        <f>+VLOOKUP($A2309,MAGAZZINO!$B$2:$M$100000,4,FALSE)</f>
        <v/>
      </c>
      <c r="E2309" s="3">
        <f>+VLOOKUP($A2309,MAGAZZINO!$B$2:$M$100000,5,FALSE)</f>
        <v/>
      </c>
      <c r="F2309" s="3">
        <f>+VLOOKUP($A2309,MAGAZZINO!$B$2:$M$100000,6,FALSE)</f>
        <v/>
      </c>
      <c r="G2309" s="3">
        <f>+VLOOKUP($A2309,MAGAZZINO!$B$2:$M$100000,7,FALSE)</f>
        <v/>
      </c>
      <c r="H2309" s="3">
        <f>+VLOOKUP($A2309,MAGAZZINO!$B$2:$M$100000,8,FALSE)</f>
        <v/>
      </c>
      <c r="I2309" s="3">
        <f>+VLOOKUP($A2309,MAGAZZINO!$B$2:$M$100000,9,FALSE)</f>
        <v/>
      </c>
      <c r="J2309" s="3">
        <f>+VLOOKUP($A2309,MAGAZZINO!$B$2:$M$100000,10,FALSE)</f>
        <v/>
      </c>
      <c r="K2309" s="3">
        <f>+VLOOKUP($A2309,MAGAZZINO!$B$2:$M$100000,11,FALSE)</f>
        <v/>
      </c>
      <c r="L2309" s="5">
        <f>+VLOOKUP($A2309,MAGAZZINO!$B$2:$M$100000,12,FALSE)</f>
        <v/>
      </c>
      <c r="M2309" s="47" t="n"/>
      <c r="N2309" s="54" t="n"/>
      <c r="O2309" s="3" t="n"/>
      <c r="P2309" s="149" t="n"/>
      <c r="Q2309" s="150" t="n"/>
      <c r="R2309" s="150" t="n"/>
      <c r="S2309" s="151" t="n"/>
    </row>
    <row r="2310" ht="36" customHeight="1">
      <c r="A2310" s="46" t="n">
        <v>4640</v>
      </c>
      <c r="B2310" s="4">
        <f>+VLOOKUP($A2310,MAGAZZINO!$B$2:$M$100000,2,FALSE)</f>
        <v/>
      </c>
      <c r="C2310" s="29">
        <f>+VLOOKUP($A2310,MAGAZZINO!$B$2:$M$100000,3,FALSE)</f>
        <v/>
      </c>
      <c r="D2310" s="3">
        <f>+VLOOKUP($A2310,MAGAZZINO!$B$2:$M$100000,4,FALSE)</f>
        <v/>
      </c>
      <c r="E2310" s="3">
        <f>+VLOOKUP($A2310,MAGAZZINO!$B$2:$M$100000,5,FALSE)</f>
        <v/>
      </c>
      <c r="F2310" s="3">
        <f>+VLOOKUP($A2310,MAGAZZINO!$B$2:$M$100000,6,FALSE)</f>
        <v/>
      </c>
      <c r="G2310" s="3">
        <f>+VLOOKUP($A2310,MAGAZZINO!$B$2:$M$100000,7,FALSE)</f>
        <v/>
      </c>
      <c r="H2310" s="3">
        <f>+VLOOKUP($A2310,MAGAZZINO!$B$2:$M$100000,8,FALSE)</f>
        <v/>
      </c>
      <c r="I2310" s="3">
        <f>+VLOOKUP($A2310,MAGAZZINO!$B$2:$M$100000,9,FALSE)</f>
        <v/>
      </c>
      <c r="J2310" s="3">
        <f>+VLOOKUP($A2310,MAGAZZINO!$B$2:$M$100000,10,FALSE)</f>
        <v/>
      </c>
      <c r="K2310" s="3">
        <f>+VLOOKUP($A2310,MAGAZZINO!$B$2:$M$100000,11,FALSE)</f>
        <v/>
      </c>
      <c r="L2310" s="5">
        <f>+VLOOKUP($A2310,MAGAZZINO!$B$2:$M$100000,12,FALSE)</f>
        <v/>
      </c>
      <c r="M2310" s="47" t="n"/>
      <c r="N2310" s="54" t="n"/>
      <c r="O2310" s="3" t="n"/>
      <c r="P2310" s="149" t="n"/>
      <c r="Q2310" s="150" t="n"/>
      <c r="R2310" s="150" t="n"/>
      <c r="S2310" s="151" t="n"/>
    </row>
    <row r="2311" ht="36" customHeight="1">
      <c r="A2311" s="46" t="n">
        <v>4641</v>
      </c>
      <c r="B2311" s="4">
        <f>+VLOOKUP($A2311,MAGAZZINO!$B$2:$M$100000,2,FALSE)</f>
        <v/>
      </c>
      <c r="C2311" s="29">
        <f>+VLOOKUP($A2311,MAGAZZINO!$B$2:$M$100000,3,FALSE)</f>
        <v/>
      </c>
      <c r="D2311" s="3">
        <f>+VLOOKUP($A2311,MAGAZZINO!$B$2:$M$100000,4,FALSE)</f>
        <v/>
      </c>
      <c r="E2311" s="3">
        <f>+VLOOKUP($A2311,MAGAZZINO!$B$2:$M$100000,5,FALSE)</f>
        <v/>
      </c>
      <c r="F2311" s="3">
        <f>+VLOOKUP($A2311,MAGAZZINO!$B$2:$M$100000,6,FALSE)</f>
        <v/>
      </c>
      <c r="G2311" s="3">
        <f>+VLOOKUP($A2311,MAGAZZINO!$B$2:$M$100000,7,FALSE)</f>
        <v/>
      </c>
      <c r="H2311" s="3">
        <f>+VLOOKUP($A2311,MAGAZZINO!$B$2:$M$100000,8,FALSE)</f>
        <v/>
      </c>
      <c r="I2311" s="3">
        <f>+VLOOKUP($A2311,MAGAZZINO!$B$2:$M$100000,9,FALSE)</f>
        <v/>
      </c>
      <c r="J2311" s="3">
        <f>+VLOOKUP($A2311,MAGAZZINO!$B$2:$M$100000,10,FALSE)</f>
        <v/>
      </c>
      <c r="K2311" s="3">
        <f>+VLOOKUP($A2311,MAGAZZINO!$B$2:$M$100000,11,FALSE)</f>
        <v/>
      </c>
      <c r="L2311" s="5">
        <f>+VLOOKUP($A2311,MAGAZZINO!$B$2:$M$100000,12,FALSE)</f>
        <v/>
      </c>
      <c r="M2311" s="47" t="n"/>
      <c r="N2311" s="54" t="n"/>
      <c r="O2311" s="3" t="n"/>
      <c r="P2311" s="149" t="n"/>
      <c r="Q2311" s="150" t="n"/>
      <c r="R2311" s="150" t="n"/>
      <c r="S2311" s="151" t="n"/>
    </row>
    <row r="2312" ht="36" customHeight="1">
      <c r="A2312" s="46" t="n">
        <v>4642</v>
      </c>
      <c r="B2312" s="4">
        <f>+VLOOKUP($A2312,MAGAZZINO!$B$2:$M$100000,2,FALSE)</f>
        <v/>
      </c>
      <c r="C2312" s="29">
        <f>+VLOOKUP($A2312,MAGAZZINO!$B$2:$M$100000,3,FALSE)</f>
        <v/>
      </c>
      <c r="D2312" s="3">
        <f>+VLOOKUP($A2312,MAGAZZINO!$B$2:$M$100000,4,FALSE)</f>
        <v/>
      </c>
      <c r="E2312" s="3">
        <f>+VLOOKUP($A2312,MAGAZZINO!$B$2:$M$100000,5,FALSE)</f>
        <v/>
      </c>
      <c r="F2312" s="3">
        <f>+VLOOKUP($A2312,MAGAZZINO!$B$2:$M$100000,6,FALSE)</f>
        <v/>
      </c>
      <c r="G2312" s="3">
        <f>+VLOOKUP($A2312,MAGAZZINO!$B$2:$M$100000,7,FALSE)</f>
        <v/>
      </c>
      <c r="H2312" s="3">
        <f>+VLOOKUP($A2312,MAGAZZINO!$B$2:$M$100000,8,FALSE)</f>
        <v/>
      </c>
      <c r="I2312" s="3">
        <f>+VLOOKUP($A2312,MAGAZZINO!$B$2:$M$100000,9,FALSE)</f>
        <v/>
      </c>
      <c r="J2312" s="3">
        <f>+VLOOKUP($A2312,MAGAZZINO!$B$2:$M$100000,10,FALSE)</f>
        <v/>
      </c>
      <c r="K2312" s="3">
        <f>+VLOOKUP($A2312,MAGAZZINO!$B$2:$M$100000,11,FALSE)</f>
        <v/>
      </c>
      <c r="L2312" s="5">
        <f>+VLOOKUP($A2312,MAGAZZINO!$B$2:$M$100000,12,FALSE)</f>
        <v/>
      </c>
      <c r="M2312" s="47" t="n"/>
      <c r="N2312" s="54" t="n"/>
      <c r="O2312" s="3" t="n"/>
      <c r="P2312" s="149" t="n"/>
      <c r="Q2312" s="150" t="n"/>
      <c r="R2312" s="150" t="n"/>
      <c r="S2312" s="151" t="n"/>
    </row>
    <row r="2313" ht="36" customHeight="1">
      <c r="A2313" s="46" t="n">
        <v>4643</v>
      </c>
      <c r="B2313" s="4">
        <f>+VLOOKUP($A2313,MAGAZZINO!$B$2:$M$100000,2,FALSE)</f>
        <v/>
      </c>
      <c r="C2313" s="29">
        <f>+VLOOKUP($A2313,MAGAZZINO!$B$2:$M$100000,3,FALSE)</f>
        <v/>
      </c>
      <c r="D2313" s="3">
        <f>+VLOOKUP($A2313,MAGAZZINO!$B$2:$M$100000,4,FALSE)</f>
        <v/>
      </c>
      <c r="E2313" s="3">
        <f>+VLOOKUP($A2313,MAGAZZINO!$B$2:$M$100000,5,FALSE)</f>
        <v/>
      </c>
      <c r="F2313" s="3">
        <f>+VLOOKUP($A2313,MAGAZZINO!$B$2:$M$100000,6,FALSE)</f>
        <v/>
      </c>
      <c r="G2313" s="3">
        <f>+VLOOKUP($A2313,MAGAZZINO!$B$2:$M$100000,7,FALSE)</f>
        <v/>
      </c>
      <c r="H2313" s="3">
        <f>+VLOOKUP($A2313,MAGAZZINO!$B$2:$M$100000,8,FALSE)</f>
        <v/>
      </c>
      <c r="I2313" s="3">
        <f>+VLOOKUP($A2313,MAGAZZINO!$B$2:$M$100000,9,FALSE)</f>
        <v/>
      </c>
      <c r="J2313" s="3">
        <f>+VLOOKUP($A2313,MAGAZZINO!$B$2:$M$100000,10,FALSE)</f>
        <v/>
      </c>
      <c r="K2313" s="3">
        <f>+VLOOKUP($A2313,MAGAZZINO!$B$2:$M$100000,11,FALSE)</f>
        <v/>
      </c>
      <c r="L2313" s="5">
        <f>+VLOOKUP($A2313,MAGAZZINO!$B$2:$M$100000,12,FALSE)</f>
        <v/>
      </c>
      <c r="M2313" s="47" t="n"/>
      <c r="N2313" s="54" t="n"/>
      <c r="O2313" s="3" t="n"/>
      <c r="P2313" s="149" t="n"/>
      <c r="Q2313" s="150" t="n"/>
      <c r="R2313" s="150" t="n"/>
      <c r="S2313" s="151" t="n"/>
    </row>
    <row r="2314" ht="36" customHeight="1">
      <c r="A2314" s="46" t="n">
        <v>4644</v>
      </c>
      <c r="B2314" s="4">
        <f>+VLOOKUP($A2314,MAGAZZINO!$B$2:$M$100000,2,FALSE)</f>
        <v/>
      </c>
      <c r="C2314" s="29">
        <f>+VLOOKUP($A2314,MAGAZZINO!$B$2:$M$100000,3,FALSE)</f>
        <v/>
      </c>
      <c r="D2314" s="3">
        <f>+VLOOKUP($A2314,MAGAZZINO!$B$2:$M$100000,4,FALSE)</f>
        <v/>
      </c>
      <c r="E2314" s="3">
        <f>+VLOOKUP($A2314,MAGAZZINO!$B$2:$M$100000,5,FALSE)</f>
        <v/>
      </c>
      <c r="F2314" s="3">
        <f>+VLOOKUP($A2314,MAGAZZINO!$B$2:$M$100000,6,FALSE)</f>
        <v/>
      </c>
      <c r="G2314" s="3">
        <f>+VLOOKUP($A2314,MAGAZZINO!$B$2:$M$100000,7,FALSE)</f>
        <v/>
      </c>
      <c r="H2314" s="3">
        <f>+VLOOKUP($A2314,MAGAZZINO!$B$2:$M$100000,8,FALSE)</f>
        <v/>
      </c>
      <c r="I2314" s="3">
        <f>+VLOOKUP($A2314,MAGAZZINO!$B$2:$M$100000,9,FALSE)</f>
        <v/>
      </c>
      <c r="J2314" s="3">
        <f>+VLOOKUP($A2314,MAGAZZINO!$B$2:$M$100000,10,FALSE)</f>
        <v/>
      </c>
      <c r="K2314" s="3">
        <f>+VLOOKUP($A2314,MAGAZZINO!$B$2:$M$100000,11,FALSE)</f>
        <v/>
      </c>
      <c r="L2314" s="5">
        <f>+VLOOKUP($A2314,MAGAZZINO!$B$2:$M$100000,12,FALSE)</f>
        <v/>
      </c>
      <c r="M2314" s="47" t="n"/>
      <c r="N2314" s="54" t="n"/>
      <c r="O2314" s="3" t="n"/>
      <c r="P2314" s="149" t="n"/>
      <c r="Q2314" s="150" t="n"/>
      <c r="R2314" s="150" t="n"/>
      <c r="S2314" s="151" t="n"/>
    </row>
    <row r="2315" ht="36" customHeight="1">
      <c r="A2315" s="46" t="n">
        <v>4645</v>
      </c>
      <c r="B2315" s="4">
        <f>+VLOOKUP($A2315,MAGAZZINO!$B$2:$M$100000,2,FALSE)</f>
        <v/>
      </c>
      <c r="C2315" s="29">
        <f>+VLOOKUP($A2315,MAGAZZINO!$B$2:$M$100000,3,FALSE)</f>
        <v/>
      </c>
      <c r="D2315" s="3">
        <f>+VLOOKUP($A2315,MAGAZZINO!$B$2:$M$100000,4,FALSE)</f>
        <v/>
      </c>
      <c r="E2315" s="3">
        <f>+VLOOKUP($A2315,MAGAZZINO!$B$2:$M$100000,5,FALSE)</f>
        <v/>
      </c>
      <c r="F2315" s="3">
        <f>+VLOOKUP($A2315,MAGAZZINO!$B$2:$M$100000,6,FALSE)</f>
        <v/>
      </c>
      <c r="G2315" s="3">
        <f>+VLOOKUP($A2315,MAGAZZINO!$B$2:$M$100000,7,FALSE)</f>
        <v/>
      </c>
      <c r="H2315" s="3">
        <f>+VLOOKUP($A2315,MAGAZZINO!$B$2:$M$100000,8,FALSE)</f>
        <v/>
      </c>
      <c r="I2315" s="3">
        <f>+VLOOKUP($A2315,MAGAZZINO!$B$2:$M$100000,9,FALSE)</f>
        <v/>
      </c>
      <c r="J2315" s="3">
        <f>+VLOOKUP($A2315,MAGAZZINO!$B$2:$M$100000,10,FALSE)</f>
        <v/>
      </c>
      <c r="K2315" s="3">
        <f>+VLOOKUP($A2315,MAGAZZINO!$B$2:$M$100000,11,FALSE)</f>
        <v/>
      </c>
      <c r="L2315" s="5">
        <f>+VLOOKUP($A2315,MAGAZZINO!$B$2:$M$100000,12,FALSE)</f>
        <v/>
      </c>
      <c r="M2315" s="47" t="n"/>
      <c r="N2315" s="54" t="n"/>
      <c r="O2315" s="3" t="n"/>
      <c r="P2315" s="149" t="n"/>
      <c r="Q2315" s="150" t="n"/>
      <c r="R2315" s="150" t="n"/>
      <c r="S2315" s="151" t="n"/>
    </row>
    <row r="2316" ht="36" customHeight="1">
      <c r="A2316" s="46" t="n">
        <v>4646</v>
      </c>
      <c r="B2316" s="4">
        <f>+VLOOKUP($A2316,MAGAZZINO!$B$2:$M$100000,2,FALSE)</f>
        <v/>
      </c>
      <c r="C2316" s="29">
        <f>+VLOOKUP($A2316,MAGAZZINO!$B$2:$M$100000,3,FALSE)</f>
        <v/>
      </c>
      <c r="D2316" s="3">
        <f>+VLOOKUP($A2316,MAGAZZINO!$B$2:$M$100000,4,FALSE)</f>
        <v/>
      </c>
      <c r="E2316" s="3">
        <f>+VLOOKUP($A2316,MAGAZZINO!$B$2:$M$100000,5,FALSE)</f>
        <v/>
      </c>
      <c r="F2316" s="3">
        <f>+VLOOKUP($A2316,MAGAZZINO!$B$2:$M$100000,6,FALSE)</f>
        <v/>
      </c>
      <c r="G2316" s="3">
        <f>+VLOOKUP($A2316,MAGAZZINO!$B$2:$M$100000,7,FALSE)</f>
        <v/>
      </c>
      <c r="H2316" s="3">
        <f>+VLOOKUP($A2316,MAGAZZINO!$B$2:$M$100000,8,FALSE)</f>
        <v/>
      </c>
      <c r="I2316" s="3">
        <f>+VLOOKUP($A2316,MAGAZZINO!$B$2:$M$100000,9,FALSE)</f>
        <v/>
      </c>
      <c r="J2316" s="3">
        <f>+VLOOKUP($A2316,MAGAZZINO!$B$2:$M$100000,10,FALSE)</f>
        <v/>
      </c>
      <c r="K2316" s="3">
        <f>+VLOOKUP($A2316,MAGAZZINO!$B$2:$M$100000,11,FALSE)</f>
        <v/>
      </c>
      <c r="L2316" s="5">
        <f>+VLOOKUP($A2316,MAGAZZINO!$B$2:$M$100000,12,FALSE)</f>
        <v/>
      </c>
      <c r="M2316" s="47" t="n"/>
      <c r="N2316" s="54" t="n"/>
      <c r="O2316" s="3" t="n"/>
      <c r="P2316" s="149" t="n"/>
      <c r="Q2316" s="150" t="n"/>
      <c r="R2316" s="150" t="n"/>
      <c r="S2316" s="151" t="n"/>
    </row>
    <row r="2317" ht="36" customHeight="1" thickBot="1">
      <c r="A2317" s="48" t="n"/>
      <c r="B2317" s="49" t="n"/>
      <c r="C2317" s="50" t="n"/>
      <c r="D2317" s="51" t="n"/>
      <c r="E2317" s="51" t="n"/>
      <c r="F2317" s="51" t="n"/>
      <c r="G2317" s="51" t="n"/>
      <c r="H2317" s="51" t="n"/>
      <c r="I2317" s="51" t="n"/>
      <c r="J2317" s="51" t="n"/>
      <c r="K2317" s="51" t="n"/>
      <c r="L2317" s="52" t="n"/>
      <c r="M2317" s="53" t="n"/>
      <c r="N2317" s="55" t="n"/>
      <c r="O2317" s="51" t="n"/>
      <c r="P2317" s="182" t="n"/>
      <c r="Q2317" s="183" t="n"/>
      <c r="R2317" s="183" t="n"/>
      <c r="S2317" s="184" t="n"/>
    </row>
    <row r="2318"/>
    <row r="2319">
      <c r="A2319" s="34" t="n"/>
      <c r="B2319" s="35" t="n"/>
      <c r="C2319" s="36" t="n"/>
      <c r="N2319" s="35" t="n"/>
    </row>
    <row r="2320"/>
    <row r="2321"/>
    <row r="2322"/>
    <row r="2323">
      <c r="L2323" s="44">
        <f>+SUM(L2:L2322)</f>
        <v/>
      </c>
    </row>
  </sheetData>
  <mergeCells count="2323">
    <mergeCell ref="P528:S528"/>
    <mergeCell ref="P1718:S1718"/>
    <mergeCell ref="P2016:S2016"/>
    <mergeCell ref="P957:S957"/>
    <mergeCell ref="P2314:S2314"/>
    <mergeCell ref="P1255:S1255"/>
    <mergeCell ref="P2010:S2010"/>
    <mergeCell ref="P2227:S2227"/>
    <mergeCell ref="P828:S828"/>
    <mergeCell ref="P2041:S2041"/>
    <mergeCell ref="P254:S254"/>
    <mergeCell ref="P683:S683"/>
    <mergeCell ref="P368:S368"/>
    <mergeCell ref="P981:S981"/>
    <mergeCell ref="P2043:S2043"/>
    <mergeCell ref="P1288:S1288"/>
    <mergeCell ref="P973:S973"/>
    <mergeCell ref="P256:S256"/>
    <mergeCell ref="P554:S554"/>
    <mergeCell ref="P1700:S1700"/>
    <mergeCell ref="P983:S983"/>
    <mergeCell ref="P2036:S2036"/>
    <mergeCell ref="P1281:S1281"/>
    <mergeCell ref="P668:S668"/>
    <mergeCell ref="P222:S222"/>
    <mergeCell ref="P975:S975"/>
    <mergeCell ref="P854:S854"/>
    <mergeCell ref="P2069:S2069"/>
    <mergeCell ref="P1308:S1308"/>
    <mergeCell ref="P1283:S1283"/>
    <mergeCell ref="P968:S968"/>
    <mergeCell ref="P1642:S1642"/>
    <mergeCell ref="P887:S887"/>
    <mergeCell ref="P98:S98"/>
    <mergeCell ref="P396:S396"/>
    <mergeCell ref="P1001:S1001"/>
    <mergeCell ref="P696:S696"/>
    <mergeCell ref="P994:S994"/>
    <mergeCell ref="P2087:S2087"/>
    <mergeCell ref="P1668:S1668"/>
    <mergeCell ref="P269:S269"/>
    <mergeCell ref="P1782:S1782"/>
    <mergeCell ref="P2080:S2080"/>
    <mergeCell ref="P1021:S1021"/>
    <mergeCell ref="P302:S302"/>
    <mergeCell ref="P1968:S1968"/>
    <mergeCell ref="P600:S600"/>
    <mergeCell ref="P898:S898"/>
    <mergeCell ref="P1029:S1029"/>
    <mergeCell ref="P2082:S2082"/>
    <mergeCell ref="P1327:S1327"/>
    <mergeCell ref="P1356:S1356"/>
    <mergeCell ref="P2113:S2113"/>
    <mergeCell ref="P1054:S1054"/>
    <mergeCell ref="P1352:S1352"/>
    <mergeCell ref="P1650:S1650"/>
    <mergeCell ref="P1083:S1083"/>
    <mergeCell ref="P1354:S1354"/>
    <mergeCell ref="P328:S328"/>
    <mergeCell ref="P626:S626"/>
    <mergeCell ref="P1810:S1810"/>
    <mergeCell ref="P1055:S1055"/>
    <mergeCell ref="P2108:S2108"/>
    <mergeCell ref="P1353:S1353"/>
    <mergeCell ref="P1049:S1049"/>
    <mergeCell ref="P172:S172"/>
    <mergeCell ref="P321:S321"/>
    <mergeCell ref="P1383:S1383"/>
    <mergeCell ref="P628:S628"/>
    <mergeCell ref="P926:S926"/>
    <mergeCell ref="P1224:S1224"/>
    <mergeCell ref="P165:S165"/>
    <mergeCell ref="P2110:S2110"/>
    <mergeCell ref="P1355:S1355"/>
    <mergeCell ref="P1653:S1653"/>
    <mergeCell ref="P323:S323"/>
    <mergeCell ref="P2126:S2126"/>
    <mergeCell ref="P41:S41"/>
    <mergeCell ref="P1225:S1225"/>
    <mergeCell ref="P470:S470"/>
    <mergeCell ref="P2039:S2039"/>
    <mergeCell ref="P1523:S1523"/>
    <mergeCell ref="P768:S768"/>
    <mergeCell ref="P1821:S1821"/>
    <mergeCell ref="P944:S944"/>
    <mergeCell ref="P252:S252"/>
    <mergeCell ref="P34:S34"/>
    <mergeCell ref="P979:S979"/>
    <mergeCell ref="P341:S341"/>
    <mergeCell ref="P639:S639"/>
    <mergeCell ref="P1525:S1525"/>
    <mergeCell ref="P770:S770"/>
    <mergeCell ref="P1823:S1823"/>
    <mergeCell ref="P1068:S1068"/>
    <mergeCell ref="P1366:S1366"/>
    <mergeCell ref="P552:S552"/>
    <mergeCell ref="P36:S36"/>
    <mergeCell ref="P1427:S1427"/>
    <mergeCell ref="P2040:S2040"/>
    <mergeCell ref="P1725:S1725"/>
    <mergeCell ref="P1279:S1279"/>
    <mergeCell ref="P641:S641"/>
    <mergeCell ref="P2154:S2154"/>
    <mergeCell ref="P336:S336"/>
    <mergeCell ref="P2025:S2025"/>
    <mergeCell ref="P2268:S2268"/>
    <mergeCell ref="P183:S183"/>
    <mergeCell ref="P997:S997"/>
    <mergeCell ref="P1295:S1295"/>
    <mergeCell ref="P2181:S2181"/>
    <mergeCell ref="P1453:S1453"/>
    <mergeCell ref="P394:S394"/>
    <mergeCell ref="P692:S692"/>
    <mergeCell ref="P54:S54"/>
    <mergeCell ref="P990:S990"/>
    <mergeCell ref="P2180:S2180"/>
    <mergeCell ref="P1297:S1297"/>
    <mergeCell ref="P781:S781"/>
    <mergeCell ref="P271:S271"/>
    <mergeCell ref="P265:S265"/>
    <mergeCell ref="P2210:S2210"/>
    <mergeCell ref="P1455:S1455"/>
    <mergeCell ref="P563:S563"/>
    <mergeCell ref="P1753:S1753"/>
    <mergeCell ref="P694:S694"/>
    <mergeCell ref="P2051:S2051"/>
    <mergeCell ref="P992:S992"/>
    <mergeCell ref="P237:S237"/>
    <mergeCell ref="P2182:S2182"/>
    <mergeCell ref="P1150:S1150"/>
    <mergeCell ref="P565:S565"/>
    <mergeCell ref="P1755:S1755"/>
    <mergeCell ref="P2053:S2053"/>
    <mergeCell ref="P266:S266"/>
    <mergeCell ref="P1450:S1450"/>
    <mergeCell ref="P710:S710"/>
    <mergeCell ref="P1437:S1437"/>
    <mergeCell ref="P405:S405"/>
    <mergeCell ref="P1595:S1595"/>
    <mergeCell ref="P1132:S1132"/>
    <mergeCell ref="P1806:S1806"/>
    <mergeCell ref="P1168:S1168"/>
    <mergeCell ref="P413:S413"/>
    <mergeCell ref="P2104:S2104"/>
    <mergeCell ref="P1466:S1466"/>
    <mergeCell ref="P407:S407"/>
    <mergeCell ref="P1597:S1597"/>
    <mergeCell ref="P705:S705"/>
    <mergeCell ref="P1895:S1895"/>
    <mergeCell ref="P2193:S2193"/>
    <mergeCell ref="P1379:S1379"/>
    <mergeCell ref="P863:S863"/>
    <mergeCell ref="P1161:S1161"/>
    <mergeCell ref="P2106:S2106"/>
    <mergeCell ref="P1468:S1468"/>
    <mergeCell ref="P1766:S1766"/>
    <mergeCell ref="P1897:S1897"/>
    <mergeCell ref="P2195:S2195"/>
    <mergeCell ref="P110:S110"/>
    <mergeCell ref="P408:S408"/>
    <mergeCell ref="P1977:S1977"/>
    <mergeCell ref="P439:S439"/>
    <mergeCell ref="P433:S433"/>
    <mergeCell ref="P731:S731"/>
    <mergeCell ref="P739:S739"/>
    <mergeCell ref="P435:S435"/>
    <mergeCell ref="P2124:S2124"/>
    <mergeCell ref="P39:S39"/>
    <mergeCell ref="P1092:S1092"/>
    <mergeCell ref="P1825:S1825"/>
    <mergeCell ref="P1521:S1521"/>
    <mergeCell ref="P766:S766"/>
    <mergeCell ref="P1819:S1819"/>
    <mergeCell ref="P1064:S1064"/>
    <mergeCell ref="P2117:S2117"/>
    <mergeCell ref="P1362:S1362"/>
    <mergeCell ref="P1058:S1058"/>
    <mergeCell ref="P32:S32"/>
    <mergeCell ref="P2275:S2275"/>
    <mergeCell ref="P1398:S1398"/>
    <mergeCell ref="P339:S339"/>
    <mergeCell ref="P1392:S1392"/>
    <mergeCell ref="P1066:S1066"/>
    <mergeCell ref="P2119:S2119"/>
    <mergeCell ref="P1364:S1364"/>
    <mergeCell ref="P1093:S1093"/>
    <mergeCell ref="P2277:S2277"/>
    <mergeCell ref="P1820:S1820"/>
    <mergeCell ref="P761:S761"/>
    <mergeCell ref="P1095:S1095"/>
    <mergeCell ref="P1393:S1393"/>
    <mergeCell ref="P2264:S2264"/>
    <mergeCell ref="P1837:S1837"/>
    <mergeCell ref="P1120:S1120"/>
    <mergeCell ref="P1418:S1418"/>
    <mergeCell ref="P25:S25"/>
    <mergeCell ref="P50:S50"/>
    <mergeCell ref="P1847:S1847"/>
    <mergeCell ref="P479:S479"/>
    <mergeCell ref="P1532:S1532"/>
    <mergeCell ref="P2145:S2145"/>
    <mergeCell ref="P1119:S1119"/>
    <mergeCell ref="P777:S777"/>
    <mergeCell ref="P60:S60"/>
    <mergeCell ref="P1426:S1426"/>
    <mergeCell ref="P2259:S2259"/>
    <mergeCell ref="P174:S174"/>
    <mergeCell ref="P52:S52"/>
    <mergeCell ref="P350:S350"/>
    <mergeCell ref="P1540:S1540"/>
    <mergeCell ref="P481:S481"/>
    <mergeCell ref="P1838:S1838"/>
    <mergeCell ref="P1121:S1121"/>
    <mergeCell ref="P779:S779"/>
    <mergeCell ref="P1419:S1419"/>
    <mergeCell ref="P1077:S1077"/>
    <mergeCell ref="P360:S360"/>
    <mergeCell ref="P1533:S1533"/>
    <mergeCell ref="P352:S352"/>
    <mergeCell ref="P1446:S1446"/>
    <mergeCell ref="P1421:S1421"/>
    <mergeCell ref="P1079:S1079"/>
    <mergeCell ref="P1863:S1863"/>
    <mergeCell ref="P505:S505"/>
    <mergeCell ref="P78:S78"/>
    <mergeCell ref="P376:S376"/>
    <mergeCell ref="P1566:S1566"/>
    <mergeCell ref="P507:S507"/>
    <mergeCell ref="P1560:S1560"/>
    <mergeCell ref="P805:S805"/>
    <mergeCell ref="P1103:S1103"/>
    <mergeCell ref="P71:S71"/>
    <mergeCell ref="P378:S378"/>
    <mergeCell ref="P1891:S1891"/>
    <mergeCell ref="P1866:S1866"/>
    <mergeCell ref="P79:S79"/>
    <mergeCell ref="P73:S73"/>
    <mergeCell ref="P2225:S2225"/>
    <mergeCell ref="P1893:S1893"/>
    <mergeCell ref="P2191:S2191"/>
    <mergeCell ref="P861:S861"/>
    <mergeCell ref="P1159:S1159"/>
    <mergeCell ref="P1588:S1588"/>
    <mergeCell ref="P2220:S2220"/>
    <mergeCell ref="P406:S406"/>
    <mergeCell ref="P1190:S1190"/>
    <mergeCell ref="P1917:S1917"/>
    <mergeCell ref="P220:S220"/>
    <mergeCell ref="P518:S518"/>
    <mergeCell ref="P1490:S1490"/>
    <mergeCell ref="P431:S431"/>
    <mergeCell ref="P729:S729"/>
    <mergeCell ref="P1919:S1919"/>
    <mergeCell ref="P1027:S1027"/>
    <mergeCell ref="P2217:S2217"/>
    <mergeCell ref="P520:S520"/>
    <mergeCell ref="P1185:S1185"/>
    <mergeCell ref="P1492:S1492"/>
    <mergeCell ref="P1790:S1790"/>
    <mergeCell ref="P2088:S2088"/>
    <mergeCell ref="P1948:S1948"/>
    <mergeCell ref="P2219:S2219"/>
    <mergeCell ref="P2246:S2246"/>
    <mergeCell ref="P1187:S1187"/>
    <mergeCell ref="P1491:S1491"/>
    <mergeCell ref="P432:S432"/>
    <mergeCell ref="P730:S730"/>
    <mergeCell ref="P5:S5"/>
    <mergeCell ref="P303:S303"/>
    <mergeCell ref="P2248:S2248"/>
    <mergeCell ref="P732:S732"/>
    <mergeCell ref="P1203:S1203"/>
    <mergeCell ref="P1632:S1632"/>
    <mergeCell ref="P21:S21"/>
    <mergeCell ref="P1843:S1843"/>
    <mergeCell ref="P1205:S1205"/>
    <mergeCell ref="P450:S450"/>
    <mergeCell ref="P1503:S1503"/>
    <mergeCell ref="P748:S748"/>
    <mergeCell ref="P1634:S1634"/>
    <mergeCell ref="P1661:S1661"/>
    <mergeCell ref="P1932:S1932"/>
    <mergeCell ref="P906:S906"/>
    <mergeCell ref="P900:S900"/>
    <mergeCell ref="P145:S145"/>
    <mergeCell ref="P23:S23"/>
    <mergeCell ref="P443:S443"/>
    <mergeCell ref="P2266:S2266"/>
    <mergeCell ref="P2143:S2143"/>
    <mergeCell ref="P908:S908"/>
    <mergeCell ref="P16:S16"/>
    <mergeCell ref="P1206:S1206"/>
    <mergeCell ref="P147:S147"/>
    <mergeCell ref="P1200:S1200"/>
    <mergeCell ref="P445:S445"/>
    <mergeCell ref="P1417:S1417"/>
    <mergeCell ref="P18:S18"/>
    <mergeCell ref="P1531:S1531"/>
    <mergeCell ref="P1231:S1231"/>
    <mergeCell ref="P501:S501"/>
    <mergeCell ref="P1345:S1345"/>
    <mergeCell ref="P2317:S2317"/>
    <mergeCell ref="P1562:S1562"/>
    <mergeCell ref="P918:S918"/>
    <mergeCell ref="P801:S801"/>
    <mergeCell ref="P163:S163"/>
    <mergeCell ref="P1135:S1135"/>
    <mergeCell ref="P1433:S1433"/>
    <mergeCell ref="P496:S496"/>
    <mergeCell ref="P1862:S1862"/>
    <mergeCell ref="P1856:S1856"/>
    <mergeCell ref="P1101:S1101"/>
    <mergeCell ref="P830:S830"/>
    <mergeCell ref="P1128:S1128"/>
    <mergeCell ref="P1399:S1399"/>
    <mergeCell ref="P44:S44"/>
    <mergeCell ref="P69:S69"/>
    <mergeCell ref="P2312:S2312"/>
    <mergeCell ref="P1435:S1435"/>
    <mergeCell ref="P919:S919"/>
    <mergeCell ref="P1557:S1557"/>
    <mergeCell ref="P1733:S1733"/>
    <mergeCell ref="P158:S158"/>
    <mergeCell ref="P832:S832"/>
    <mergeCell ref="P1130:S1130"/>
    <mergeCell ref="P1559:S1559"/>
    <mergeCell ref="P527:S527"/>
    <mergeCell ref="P1430:S1430"/>
    <mergeCell ref="P1859:S1859"/>
    <mergeCell ref="P216:S216"/>
    <mergeCell ref="P514:S514"/>
    <mergeCell ref="P848:S848"/>
    <mergeCell ref="P1575:S1575"/>
    <mergeCell ref="P516:S516"/>
    <mergeCell ref="P245:S245"/>
    <mergeCell ref="P543:S543"/>
    <mergeCell ref="P814:S814"/>
    <mergeCell ref="P972:S972"/>
    <mergeCell ref="P1270:S1270"/>
    <mergeCell ref="P89:S89"/>
    <mergeCell ref="P211:S211"/>
    <mergeCell ref="P1148:S1148"/>
    <mergeCell ref="P1577:S1577"/>
    <mergeCell ref="P1875:S1875"/>
    <mergeCell ref="P1183:S1183"/>
    <mergeCell ref="P545:S545"/>
    <mergeCell ref="P1735:S1735"/>
    <mergeCell ref="P843:S843"/>
    <mergeCell ref="P88:S88"/>
    <mergeCell ref="P2033:S2033"/>
    <mergeCell ref="P974:S974"/>
    <mergeCell ref="P1272:S1272"/>
    <mergeCell ref="P240:S240"/>
    <mergeCell ref="P1570:S1570"/>
    <mergeCell ref="P511:S511"/>
    <mergeCell ref="P2244:S2244"/>
    <mergeCell ref="P845:S845"/>
    <mergeCell ref="P728:S728"/>
    <mergeCell ref="P2035:S2035"/>
    <mergeCell ref="P1143:S1143"/>
    <mergeCell ref="P1572:S1572"/>
    <mergeCell ref="P542:S542"/>
    <mergeCell ref="P1174:S1174"/>
    <mergeCell ref="P115:S115"/>
    <mergeCell ref="P1628:S1628"/>
    <mergeCell ref="P1603:S1603"/>
    <mergeCell ref="P273:S273"/>
    <mergeCell ref="P571:S571"/>
    <mergeCell ref="P229:S229"/>
    <mergeCell ref="P869:S869"/>
    <mergeCell ref="P1934:S1934"/>
    <mergeCell ref="P1630:S1630"/>
    <mergeCell ref="P1928:S1928"/>
    <mergeCell ref="P573:S573"/>
    <mergeCell ref="P2226:S2226"/>
    <mergeCell ref="P871:S871"/>
    <mergeCell ref="P141:S141"/>
    <mergeCell ref="P116:S116"/>
    <mergeCell ref="P1169:S1169"/>
    <mergeCell ref="P2262:S2262"/>
    <mergeCell ref="P1325:S1325"/>
    <mergeCell ref="P1623:S1623"/>
    <mergeCell ref="P230:S230"/>
    <mergeCell ref="P1659:S1659"/>
    <mergeCell ref="P1930:S1930"/>
    <mergeCell ref="P1957:S1957"/>
    <mergeCell ref="P2228:S2228"/>
    <mergeCell ref="P1202:S1202"/>
    <mergeCell ref="P143:S143"/>
    <mergeCell ref="P1196:S1196"/>
    <mergeCell ref="P441:S441"/>
    <mergeCell ref="P1929:S1929"/>
    <mergeCell ref="P477:S477"/>
    <mergeCell ref="P255:S255"/>
    <mergeCell ref="P2257:S2257"/>
    <mergeCell ref="P1316:S1316"/>
    <mergeCell ref="P284:S284"/>
    <mergeCell ref="P1685:S1685"/>
    <mergeCell ref="P1343:S1343"/>
    <mergeCell ref="P1983:S1983"/>
    <mergeCell ref="P1641:S1641"/>
    <mergeCell ref="P2097:S2097"/>
    <mergeCell ref="P1220:S1220"/>
    <mergeCell ref="P503:S503"/>
    <mergeCell ref="P932:S932"/>
    <mergeCell ref="P1985:S1985"/>
    <mergeCell ref="P1643:S1643"/>
    <mergeCell ref="P617:S617"/>
    <mergeCell ref="P2283:S2283"/>
    <mergeCell ref="P915:S915"/>
    <mergeCell ref="P909:S909"/>
    <mergeCell ref="P154:S154"/>
    <mergeCell ref="P1344:S1344"/>
    <mergeCell ref="P803:S803"/>
    <mergeCell ref="P2285:S2285"/>
    <mergeCell ref="P1555:S1555"/>
    <mergeCell ref="P917:S917"/>
    <mergeCell ref="P1215:S1215"/>
    <mergeCell ref="P498:S498"/>
    <mergeCell ref="P156:S156"/>
    <mergeCell ref="P1855:S1855"/>
    <mergeCell ref="P485:S485"/>
    <mergeCell ref="P1669:S1669"/>
    <mergeCell ref="P643:S643"/>
    <mergeCell ref="P180:S180"/>
    <mergeCell ref="P487:S487"/>
    <mergeCell ref="P1704:S1704"/>
    <mergeCell ref="P1400:S1400"/>
    <mergeCell ref="P645:S645"/>
    <mergeCell ref="P1698:S1698"/>
    <mergeCell ref="P943:S943"/>
    <mergeCell ref="P937:S937"/>
    <mergeCell ref="P182:S182"/>
    <mergeCell ref="P480:S480"/>
    <mergeCell ref="P970:S970"/>
    <mergeCell ref="P945:S945"/>
    <mergeCell ref="P1998:S1998"/>
    <mergeCell ref="P1268:S1268"/>
    <mergeCell ref="P1243:S1243"/>
    <mergeCell ref="P1541:S1541"/>
    <mergeCell ref="P2031:S2031"/>
    <mergeCell ref="P1568:S1568"/>
    <mergeCell ref="P567:S567"/>
    <mergeCell ref="P865:S865"/>
    <mergeCell ref="P996:S996"/>
    <mergeCell ref="P358:S358"/>
    <mergeCell ref="P1172:S1172"/>
    <mergeCell ref="P1294:S1294"/>
    <mergeCell ref="P656:S656"/>
    <mergeCell ref="P569:S569"/>
    <mergeCell ref="P867:S867"/>
    <mergeCell ref="P1165:S1165"/>
    <mergeCell ref="P2057:S2057"/>
    <mergeCell ref="P106:S106"/>
    <mergeCell ref="P1296:S1296"/>
    <mergeCell ref="P658:S658"/>
    <mergeCell ref="P1594:S1594"/>
    <mergeCell ref="P956:S956"/>
    <mergeCell ref="P264:S264"/>
    <mergeCell ref="P226:S226"/>
    <mergeCell ref="P1901:S1901"/>
    <mergeCell ref="P1167:S1167"/>
    <mergeCell ref="P1596:S1596"/>
    <mergeCell ref="P868:S868"/>
    <mergeCell ref="P526:S526"/>
    <mergeCell ref="P551:S551"/>
    <mergeCell ref="P709:S709"/>
    <mergeCell ref="P1007:S1007"/>
    <mergeCell ref="P885:S885"/>
    <mergeCell ref="P1612:S1612"/>
    <mergeCell ref="P282:S282"/>
    <mergeCell ref="P580:S580"/>
    <mergeCell ref="P1770:S1770"/>
    <mergeCell ref="P1015:S1015"/>
    <mergeCell ref="P711:S711"/>
    <mergeCell ref="P1009:S1009"/>
    <mergeCell ref="P1307:S1307"/>
    <mergeCell ref="P1981:S1981"/>
    <mergeCell ref="P582:S582"/>
    <mergeCell ref="P1772:S1772"/>
    <mergeCell ref="P125:S125"/>
    <mergeCell ref="P2095:S2095"/>
    <mergeCell ref="P2070:S2070"/>
    <mergeCell ref="P1309:S1309"/>
    <mergeCell ref="P283:S283"/>
    <mergeCell ref="P581:S581"/>
    <mergeCell ref="P277:S277"/>
    <mergeCell ref="P2281:S2281"/>
    <mergeCell ref="P2072:S2072"/>
    <mergeCell ref="P285:S285"/>
    <mergeCell ref="P1665:S1665"/>
    <mergeCell ref="P310:S310"/>
    <mergeCell ref="P1963:S1963"/>
    <mergeCell ref="P608:S608"/>
    <mergeCell ref="P1483:S1483"/>
    <mergeCell ref="P424:S424"/>
    <mergeCell ref="P722:S722"/>
    <mergeCell ref="P1396:S1396"/>
    <mergeCell ref="P1694:S1694"/>
    <mergeCell ref="P1965:S1965"/>
    <mergeCell ref="P939:S939"/>
    <mergeCell ref="P1992:S1992"/>
    <mergeCell ref="P301:S301"/>
    <mergeCell ref="P295:S295"/>
    <mergeCell ref="P178:S178"/>
    <mergeCell ref="P2123:S2123"/>
    <mergeCell ref="P1783:S1783"/>
    <mergeCell ref="P267:S267"/>
    <mergeCell ref="P2000:S2000"/>
    <mergeCell ref="P941:S941"/>
    <mergeCell ref="P1994:S1994"/>
    <mergeCell ref="P1239:S1239"/>
    <mergeCell ref="P2292:S2292"/>
    <mergeCell ref="P1537:S1537"/>
    <mergeCell ref="P1233:S1233"/>
    <mergeCell ref="P478:S478"/>
    <mergeCell ref="P636:S636"/>
    <mergeCell ref="P296:S296"/>
    <mergeCell ref="P1697:S1697"/>
    <mergeCell ref="P1995:S1995"/>
    <mergeCell ref="P1380:S1380"/>
    <mergeCell ref="P354:S354"/>
    <mergeCell ref="P652:S652"/>
    <mergeCell ref="P1836:S1836"/>
    <mergeCell ref="P1081:S1081"/>
    <mergeCell ref="P2134:S2134"/>
    <mergeCell ref="P347:S347"/>
    <mergeCell ref="P1409:S1409"/>
    <mergeCell ref="P654:S654"/>
    <mergeCell ref="P1707:S1707"/>
    <mergeCell ref="P952:S952"/>
    <mergeCell ref="P2142:S2142"/>
    <mergeCell ref="P191:S191"/>
    <mergeCell ref="P2136:S2136"/>
    <mergeCell ref="P1381:S1381"/>
    <mergeCell ref="P51:S51"/>
    <mergeCell ref="P1679:S1679"/>
    <mergeCell ref="P349:S349"/>
    <mergeCell ref="P1709:S1709"/>
    <mergeCell ref="P954:S954"/>
    <mergeCell ref="P1252:S1252"/>
    <mergeCell ref="P1112:S1112"/>
    <mergeCell ref="P1410:S1410"/>
    <mergeCell ref="P1681:S1681"/>
    <mergeCell ref="P1708:S1708"/>
    <mergeCell ref="P649:S649"/>
    <mergeCell ref="P380:S380"/>
    <mergeCell ref="P2137:S2137"/>
    <mergeCell ref="P1621:S1621"/>
    <mergeCell ref="P67:S67"/>
    <mergeCell ref="P680:S680"/>
    <mergeCell ref="P794:S794"/>
    <mergeCell ref="P253:S253"/>
    <mergeCell ref="P1741:S1741"/>
    <mergeCell ref="P707:S707"/>
    <mergeCell ref="P682:S682"/>
    <mergeCell ref="P367:S367"/>
    <mergeCell ref="P980:S980"/>
    <mergeCell ref="P1094:S1094"/>
    <mergeCell ref="P1768:S1768"/>
    <mergeCell ref="P2066:S2066"/>
    <mergeCell ref="P1305:S1305"/>
    <mergeCell ref="M2:M3"/>
    <mergeCell ref="P248:S248"/>
    <mergeCell ref="P1761:S1761"/>
    <mergeCell ref="P1394:S1394"/>
    <mergeCell ref="P2068:S2068"/>
    <mergeCell ref="P1605:S1605"/>
    <mergeCell ref="P579:S579"/>
    <mergeCell ref="P1763:S1763"/>
    <mergeCell ref="P393:S393"/>
    <mergeCell ref="P395:S395"/>
    <mergeCell ref="P693:S693"/>
    <mergeCell ref="P1481:S1481"/>
    <mergeCell ref="P726:S726"/>
    <mergeCell ref="P1779:S1779"/>
    <mergeCell ref="P1754:S1754"/>
    <mergeCell ref="P1062:S1062"/>
    <mergeCell ref="P720:S720"/>
    <mergeCell ref="P1018:S1018"/>
    <mergeCell ref="P2208:S2208"/>
    <mergeCell ref="P1789:S1789"/>
    <mergeCell ref="P1667:S1667"/>
    <mergeCell ref="P1474:S1474"/>
    <mergeCell ref="P1903:S1903"/>
    <mergeCell ref="P1781:S1781"/>
    <mergeCell ref="P2079:S2079"/>
    <mergeCell ref="P1020:S1020"/>
    <mergeCell ref="P292:S292"/>
    <mergeCell ref="P2089:S2089"/>
    <mergeCell ref="P721:S721"/>
    <mergeCell ref="P2081:S2081"/>
    <mergeCell ref="P294:S294"/>
    <mergeCell ref="P1349:S1349"/>
    <mergeCell ref="P1507:S1507"/>
    <mergeCell ref="P108:S108"/>
    <mergeCell ref="P2234:S2234"/>
    <mergeCell ref="P319:S319"/>
    <mergeCell ref="P1807:S1807"/>
    <mergeCell ref="P1052:S1052"/>
    <mergeCell ref="P2105:S2105"/>
    <mergeCell ref="P1046:S1046"/>
    <mergeCell ref="P20:S20"/>
    <mergeCell ref="P318:S318"/>
    <mergeCell ref="P747:S747"/>
    <mergeCell ref="P625:S625"/>
    <mergeCell ref="P923:S923"/>
    <mergeCell ref="P1809:S1809"/>
    <mergeCell ref="P2107:S2107"/>
    <mergeCell ref="P22:S22"/>
    <mergeCell ref="P320:S320"/>
    <mergeCell ref="P618:S618"/>
    <mergeCell ref="P314:S314"/>
    <mergeCell ref="P749:S749"/>
    <mergeCell ref="P1047:S1047"/>
    <mergeCell ref="P2140:S2140"/>
    <mergeCell ref="P620:S620"/>
    <mergeCell ref="P1408:S1408"/>
    <mergeCell ref="P1706:S1706"/>
    <mergeCell ref="P2135:S2135"/>
    <mergeCell ref="P1520:S1520"/>
    <mergeCell ref="P461:S461"/>
    <mergeCell ref="P678:S678"/>
    <mergeCell ref="P460:S460"/>
    <mergeCell ref="P338:S338"/>
    <mergeCell ref="P2029:S2029"/>
    <mergeCell ref="P2166:S2166"/>
    <mergeCell ref="P2160:S2160"/>
    <mergeCell ref="P1522:S1522"/>
    <mergeCell ref="P767:S767"/>
    <mergeCell ref="P1065:S1065"/>
    <mergeCell ref="P373:S373"/>
    <mergeCell ref="P671:S671"/>
    <mergeCell ref="P33:S33"/>
    <mergeCell ref="P2159:S2159"/>
    <mergeCell ref="P978:S978"/>
    <mergeCell ref="P1853:S1853"/>
    <mergeCell ref="P244:S244"/>
    <mergeCell ref="P2151:S2151"/>
    <mergeCell ref="P1434:S1434"/>
    <mergeCell ref="P1732:S1732"/>
    <mergeCell ref="P35:S35"/>
    <mergeCell ref="P673:S673"/>
    <mergeCell ref="P333:S333"/>
    <mergeCell ref="P2161:S2161"/>
    <mergeCell ref="P1734:S1734"/>
    <mergeCell ref="P2032:S2032"/>
    <mergeCell ref="P389:S389"/>
    <mergeCell ref="P1721:S1721"/>
    <mergeCell ref="P391:S391"/>
    <mergeCell ref="P689:S689"/>
    <mergeCell ref="P1879:S1879"/>
    <mergeCell ref="P1416:S1416"/>
    <mergeCell ref="P86:S86"/>
    <mergeCell ref="P384:S384"/>
    <mergeCell ref="P1750:S1750"/>
    <mergeCell ref="P691:S691"/>
    <mergeCell ref="P989:S989"/>
    <mergeCell ref="P2179:S2179"/>
    <mergeCell ref="P849:S849"/>
    <mergeCell ref="P1147:S1147"/>
    <mergeCell ref="P392:S392"/>
    <mergeCell ref="P1445:S1445"/>
    <mergeCell ref="P386:S386"/>
    <mergeCell ref="P1576:S1576"/>
    <mergeCell ref="P1874:S1874"/>
    <mergeCell ref="P1752:S1752"/>
    <mergeCell ref="P1358:S1358"/>
    <mergeCell ref="P1910:S1910"/>
    <mergeCell ref="P1447:S1447"/>
    <mergeCell ref="P1745:S1745"/>
    <mergeCell ref="P686:S686"/>
    <mergeCell ref="P1876:S1876"/>
    <mergeCell ref="P2174:S2174"/>
    <mergeCell ref="P531:S531"/>
    <mergeCell ref="P1747:S1747"/>
    <mergeCell ref="P104:S104"/>
    <mergeCell ref="P2230:S2230"/>
    <mergeCell ref="P560:S560"/>
    <mergeCell ref="P831:S831"/>
    <mergeCell ref="P114:S114"/>
    <mergeCell ref="P1803:S1803"/>
    <mergeCell ref="P2101:S2101"/>
    <mergeCell ref="P404:S404"/>
    <mergeCell ref="P1892:S1892"/>
    <mergeCell ref="P860:S860"/>
    <mergeCell ref="P105:S105"/>
    <mergeCell ref="P99:S99"/>
    <mergeCell ref="P1805:S1805"/>
    <mergeCell ref="P1289:S1289"/>
    <mergeCell ref="P1050:S1050"/>
    <mergeCell ref="P2103:S2103"/>
    <mergeCell ref="P1587:S1587"/>
    <mergeCell ref="P316:S316"/>
    <mergeCell ref="P1894:S1894"/>
    <mergeCell ref="P1500:S1500"/>
    <mergeCell ref="P745:S745"/>
    <mergeCell ref="P107:S107"/>
    <mergeCell ref="P1798:S1798"/>
    <mergeCell ref="P1160:S1160"/>
    <mergeCell ref="P1043:S1043"/>
    <mergeCell ref="P1458:S1458"/>
    <mergeCell ref="P101:S101"/>
    <mergeCell ref="P1887:S1887"/>
    <mergeCell ref="P1377:S1377"/>
    <mergeCell ref="P616:S616"/>
    <mergeCell ref="P1045:S1045"/>
    <mergeCell ref="P430:S430"/>
    <mergeCell ref="P102:S102"/>
    <mergeCell ref="P1074:S1074"/>
    <mergeCell ref="P1516:S1516"/>
    <mergeCell ref="P1945:S1945"/>
    <mergeCell ref="P2243:S2243"/>
    <mergeCell ref="P1518:S1518"/>
    <mergeCell ref="P763:S763"/>
    <mergeCell ref="P1816:S1816"/>
    <mergeCell ref="P1061:S1061"/>
    <mergeCell ref="P757:S757"/>
    <mergeCell ref="P29:S29"/>
    <mergeCell ref="P4:S4"/>
    <mergeCell ref="P1974:S1974"/>
    <mergeCell ref="P2245:S2245"/>
    <mergeCell ref="P2272:S2272"/>
    <mergeCell ref="P1213:S1213"/>
    <mergeCell ref="P458:S458"/>
    <mergeCell ref="P1511:S1511"/>
    <mergeCell ref="P756:S756"/>
    <mergeCell ref="P1940:S1940"/>
    <mergeCell ref="P1818:S1818"/>
    <mergeCell ref="P792:S792"/>
    <mergeCell ref="P31:S31"/>
    <mergeCell ref="P1976:S1976"/>
    <mergeCell ref="P1221:S1221"/>
    <mergeCell ref="P329:S329"/>
    <mergeCell ref="P2274:S2274"/>
    <mergeCell ref="P1519:S1519"/>
    <mergeCell ref="P1817:S1817"/>
    <mergeCell ref="P1513:S1513"/>
    <mergeCell ref="P758:S758"/>
    <mergeCell ref="P331:S331"/>
    <mergeCell ref="P787:S787"/>
    <mergeCell ref="P1544:S1544"/>
    <mergeCell ref="P1216:S1216"/>
    <mergeCell ref="P1658:S1658"/>
    <mergeCell ref="P186:S186"/>
    <mergeCell ref="P818:S818"/>
    <mergeCell ref="P476:S476"/>
    <mergeCell ref="P1529:S1529"/>
    <mergeCell ref="P57:S57"/>
    <mergeCell ref="P1958:S1958"/>
    <mergeCell ref="P1241:S1241"/>
    <mergeCell ref="P486:S486"/>
    <mergeCell ref="P171:S171"/>
    <mergeCell ref="P1539:S1539"/>
    <mergeCell ref="P820:S820"/>
    <mergeCell ref="P1118:S1118"/>
    <mergeCell ref="P776:S776"/>
    <mergeCell ref="P357:S357"/>
    <mergeCell ref="P42:S42"/>
    <mergeCell ref="P1870:S1870"/>
    <mergeCell ref="P1232:S1232"/>
    <mergeCell ref="P786:S786"/>
    <mergeCell ref="P471:S471"/>
    <mergeCell ref="P1084:S1084"/>
    <mergeCell ref="P2177:S2177"/>
    <mergeCell ref="P1959:S1959"/>
    <mergeCell ref="P1145:S1145"/>
    <mergeCell ref="P1443:S1443"/>
    <mergeCell ref="P1872:S1872"/>
    <mergeCell ref="P2170:S2170"/>
    <mergeCell ref="P2206:S2206"/>
    <mergeCell ref="P1743:S1743"/>
    <mergeCell ref="P1984:S1984"/>
    <mergeCell ref="P802:S802"/>
    <mergeCell ref="P199:S199"/>
    <mergeCell ref="P497:S497"/>
    <mergeCell ref="P1888:S1888"/>
    <mergeCell ref="P856:S856"/>
    <mergeCell ref="P70:S70"/>
    <mergeCell ref="P1285:S1285"/>
    <mergeCell ref="P1583:S1583"/>
    <mergeCell ref="P499:S499"/>
    <mergeCell ref="P2232:S2232"/>
    <mergeCell ref="P1890:S1890"/>
    <mergeCell ref="P2188:S2188"/>
    <mergeCell ref="P103:S103"/>
    <mergeCell ref="P833:S833"/>
    <mergeCell ref="P1156:S1156"/>
    <mergeCell ref="P858:S858"/>
    <mergeCell ref="P1287:S1287"/>
    <mergeCell ref="P1585:S1585"/>
    <mergeCell ref="P1883:S1883"/>
    <mergeCell ref="P1158:S1158"/>
    <mergeCell ref="P1456:S1456"/>
    <mergeCell ref="N2:N3"/>
    <mergeCell ref="P426:S426"/>
    <mergeCell ref="P1885:S1885"/>
    <mergeCell ref="P1311:S1311"/>
    <mergeCell ref="P1487:S1487"/>
    <mergeCell ref="P428:S428"/>
    <mergeCell ref="P1916:S1916"/>
    <mergeCell ref="P884:S884"/>
    <mergeCell ref="P129:S129"/>
    <mergeCell ref="P1182:S1182"/>
    <mergeCell ref="P1313:S1313"/>
    <mergeCell ref="P1611:S1611"/>
    <mergeCell ref="P1909:S1909"/>
    <mergeCell ref="P2216:S2216"/>
    <mergeCell ref="P886:S886"/>
    <mergeCell ref="P131:S131"/>
    <mergeCell ref="P1184:S1184"/>
    <mergeCell ref="P429:S429"/>
    <mergeCell ref="P1482:S1482"/>
    <mergeCell ref="P423:S423"/>
    <mergeCell ref="P1613:S1613"/>
    <mergeCell ref="P1911:S1911"/>
    <mergeCell ref="P124:S124"/>
    <mergeCell ref="P1947:S1947"/>
    <mergeCell ref="P2270:S2270"/>
    <mergeCell ref="P1484:S1484"/>
    <mergeCell ref="P414:S414"/>
    <mergeCell ref="P126:S126"/>
    <mergeCell ref="P1629:S1629"/>
    <mergeCell ref="P1026:S1026"/>
    <mergeCell ref="P1324:S1324"/>
    <mergeCell ref="P2296:S2296"/>
    <mergeCell ref="P599:S599"/>
    <mergeCell ref="P897:S897"/>
    <mergeCell ref="P142:S142"/>
    <mergeCell ref="P1332:S1332"/>
    <mergeCell ref="P1028:S1028"/>
    <mergeCell ref="P1326:S1326"/>
    <mergeCell ref="P816:S816"/>
    <mergeCell ref="P1624:S1624"/>
    <mergeCell ref="P55:S55"/>
    <mergeCell ref="P2298:S2298"/>
    <mergeCell ref="P1543:S1543"/>
    <mergeCell ref="P899:S899"/>
    <mergeCell ref="P144:S144"/>
    <mergeCell ref="P442:S442"/>
    <mergeCell ref="P1993:S1993"/>
    <mergeCell ref="P1116:S1116"/>
    <mergeCell ref="P1955:S1955"/>
    <mergeCell ref="P594:S594"/>
    <mergeCell ref="P1230:S1230"/>
    <mergeCell ref="P811:S811"/>
    <mergeCell ref="P2255:S2255"/>
    <mergeCell ref="P1553:S1553"/>
    <mergeCell ref="P2280:S2280"/>
    <mergeCell ref="P195:S195"/>
    <mergeCell ref="P493:S493"/>
    <mergeCell ref="P529:S529"/>
    <mergeCell ref="P800:S800"/>
    <mergeCell ref="P1713:S1713"/>
    <mergeCell ref="P66:S66"/>
    <mergeCell ref="P2011:S2011"/>
    <mergeCell ref="P1256:S1256"/>
    <mergeCell ref="P197:S197"/>
    <mergeCell ref="P2309:S2309"/>
    <mergeCell ref="P1554:S1554"/>
    <mergeCell ref="P495:S495"/>
    <mergeCell ref="P793:S793"/>
    <mergeCell ref="P951:S951"/>
    <mergeCell ref="P829:S829"/>
    <mergeCell ref="P68:S68"/>
    <mergeCell ref="P1258:S1258"/>
    <mergeCell ref="P2311:S2311"/>
    <mergeCell ref="P1556:S1556"/>
    <mergeCell ref="P1854:S1854"/>
    <mergeCell ref="P795:S795"/>
    <mergeCell ref="P524:S524"/>
    <mergeCell ref="P2012:S2012"/>
    <mergeCell ref="P953:S953"/>
    <mergeCell ref="P1129:S1129"/>
    <mergeCell ref="P824:S824"/>
    <mergeCell ref="P2014:S2014"/>
    <mergeCell ref="P513:S513"/>
    <mergeCell ref="P1607:S1607"/>
    <mergeCell ref="P969:S969"/>
    <mergeCell ref="P208:S208"/>
    <mergeCell ref="P2153:S2153"/>
    <mergeCell ref="P1941:S1941"/>
    <mergeCell ref="P1696:S1696"/>
    <mergeCell ref="P366:S366"/>
    <mergeCell ref="P664:S664"/>
    <mergeCell ref="P2030:S2030"/>
    <mergeCell ref="P1609:S1609"/>
    <mergeCell ref="P971:S971"/>
    <mergeCell ref="P1907:S1907"/>
    <mergeCell ref="P210:S210"/>
    <mergeCell ref="P1269:S1269"/>
    <mergeCell ref="P1943:S1943"/>
    <mergeCell ref="P2241:S2241"/>
    <mergeCell ref="P1996:S1996"/>
    <mergeCell ref="P666:S666"/>
    <mergeCell ref="P544:S544"/>
    <mergeCell ref="P964:S964"/>
    <mergeCell ref="P209:S209"/>
    <mergeCell ref="P1271:S1271"/>
    <mergeCell ref="P1936:S1936"/>
    <mergeCell ref="P2207:S2207"/>
    <mergeCell ref="P122:S122"/>
    <mergeCell ref="P966:S966"/>
    <mergeCell ref="P234:S234"/>
    <mergeCell ref="P236:S236"/>
    <mergeCell ref="P595:S595"/>
    <mergeCell ref="P570:S570"/>
    <mergeCell ref="P893:S893"/>
    <mergeCell ref="P2083:S2083"/>
    <mergeCell ref="P1024:S1024"/>
    <mergeCell ref="P1322:S1322"/>
    <mergeCell ref="P1620:S1620"/>
    <mergeCell ref="P1656:S1656"/>
    <mergeCell ref="P901:S901"/>
    <mergeCell ref="P1199:S1199"/>
    <mergeCell ref="P895:S895"/>
    <mergeCell ref="P1193:S1193"/>
    <mergeCell ref="P1351:S1351"/>
    <mergeCell ref="P1622:S1622"/>
    <mergeCell ref="P1920:S1920"/>
    <mergeCell ref="P894:S894"/>
    <mergeCell ref="P590:S590"/>
    <mergeCell ref="P1780:S1780"/>
    <mergeCell ref="P2078:S2078"/>
    <mergeCell ref="P1956:S1956"/>
    <mergeCell ref="P598:S598"/>
    <mergeCell ref="P1651:S1651"/>
    <mergeCell ref="P896:S896"/>
    <mergeCell ref="P2109:S2109"/>
    <mergeCell ref="P1951:S1951"/>
    <mergeCell ref="P1682:S1682"/>
    <mergeCell ref="P623:S623"/>
    <mergeCell ref="P921:S921"/>
    <mergeCell ref="P1796:S1796"/>
    <mergeCell ref="P1350:S1350"/>
    <mergeCell ref="P1035:S1035"/>
    <mergeCell ref="P1648:S1648"/>
    <mergeCell ref="P1982:S1982"/>
    <mergeCell ref="P614:S614"/>
    <mergeCell ref="P2096:S2096"/>
    <mergeCell ref="P1341:S1341"/>
    <mergeCell ref="P624:S624"/>
    <mergeCell ref="P309:S309"/>
    <mergeCell ref="P1335:S1335"/>
    <mergeCell ref="P922:S922"/>
    <mergeCell ref="P1677:S1677"/>
    <mergeCell ref="P1036:S1036"/>
    <mergeCell ref="P153:S153"/>
    <mergeCell ref="P924:S924"/>
    <mergeCell ref="P609:S609"/>
    <mergeCell ref="P1222:S1222"/>
    <mergeCell ref="P1336:S1336"/>
    <mergeCell ref="P2308:S2308"/>
    <mergeCell ref="O2:O3"/>
    <mergeCell ref="P2122:S2122"/>
    <mergeCell ref="P1063:S1063"/>
    <mergeCell ref="P1361:S1361"/>
    <mergeCell ref="P940:S940"/>
    <mergeCell ref="P179:S179"/>
    <mergeCell ref="P1369:S1369"/>
    <mergeCell ref="P337:S337"/>
    <mergeCell ref="P635:S635"/>
    <mergeCell ref="P2026:S2026"/>
    <mergeCell ref="P1722:S1722"/>
    <mergeCell ref="P662:S662"/>
    <mergeCell ref="P637:S637"/>
    <mergeCell ref="P935:S935"/>
    <mergeCell ref="P2028:S2028"/>
    <mergeCell ref="P2022:S2022"/>
    <mergeCell ref="P1723:S1723"/>
    <mergeCell ref="P2021:S2021"/>
    <mergeCell ref="P962:S962"/>
    <mergeCell ref="P207:S207"/>
    <mergeCell ref="P564:S564"/>
    <mergeCell ref="P2023:S2023"/>
    <mergeCell ref="P993:S993"/>
    <mergeCell ref="P232:S232"/>
    <mergeCell ref="P1082:S1082"/>
    <mergeCell ref="P566:S566"/>
    <mergeCell ref="P688:S688"/>
    <mergeCell ref="P864:S864"/>
    <mergeCell ref="P2054:S2054"/>
    <mergeCell ref="P2048:S2048"/>
    <mergeCell ref="P1293:S1293"/>
    <mergeCell ref="P1591:S1591"/>
    <mergeCell ref="P532:S532"/>
    <mergeCell ref="P261:S261"/>
    <mergeCell ref="P559:S559"/>
    <mergeCell ref="P1749:S1749"/>
    <mergeCell ref="P690:S690"/>
    <mergeCell ref="P988:S988"/>
    <mergeCell ref="P866:S866"/>
    <mergeCell ref="P1593:S1593"/>
    <mergeCell ref="P561:S561"/>
    <mergeCell ref="P1751:S1751"/>
    <mergeCell ref="P2049:S2049"/>
    <mergeCell ref="P706:S706"/>
    <mergeCell ref="P279:S279"/>
    <mergeCell ref="P1006:S1006"/>
    <mergeCell ref="P251:S251"/>
    <mergeCell ref="P2190:S2190"/>
    <mergeCell ref="P1164:S1164"/>
    <mergeCell ref="P1462:S1462"/>
    <mergeCell ref="P403:S403"/>
    <mergeCell ref="P701:S701"/>
    <mergeCell ref="P2067:S2067"/>
    <mergeCell ref="P1375:S1375"/>
    <mergeCell ref="P1008:S1008"/>
    <mergeCell ref="P1673:S1673"/>
    <mergeCell ref="P280:S280"/>
    <mergeCell ref="P1166:S1166"/>
    <mergeCell ref="P411:S411"/>
    <mergeCell ref="P274:S274"/>
    <mergeCell ref="P2102:S2102"/>
    <mergeCell ref="P1464:S1464"/>
    <mergeCell ref="P1787:S1787"/>
    <mergeCell ref="P1762:S1762"/>
    <mergeCell ref="P703:S703"/>
    <mergeCell ref="P193:S193"/>
    <mergeCell ref="P246:S246"/>
    <mergeCell ref="P1973:S1973"/>
    <mergeCell ref="P1764:S1764"/>
    <mergeCell ref="P2062:S2062"/>
    <mergeCell ref="P1334:S1334"/>
    <mergeCell ref="P300:S300"/>
    <mergeCell ref="P936:S936"/>
    <mergeCell ref="P2120:S2120"/>
    <mergeCell ref="P1365:S1365"/>
    <mergeCell ref="P1359:S1359"/>
    <mergeCell ref="P1657:S1657"/>
    <mergeCell ref="P631:S631"/>
    <mergeCell ref="P2209:S2209"/>
    <mergeCell ref="P1815:S1815"/>
    <mergeCell ref="P938:S938"/>
    <mergeCell ref="P422:S422"/>
    <mergeCell ref="P1693:S1693"/>
    <mergeCell ref="P1236:S1236"/>
    <mergeCell ref="P1060:S1060"/>
    <mergeCell ref="P335:S335"/>
    <mergeCell ref="P1388:S1388"/>
    <mergeCell ref="P633:S633"/>
    <mergeCell ref="P2:S3"/>
    <mergeCell ref="P931:S931"/>
    <mergeCell ref="P2121:S2121"/>
    <mergeCell ref="P2115:S2115"/>
    <mergeCell ref="P1360:S1360"/>
    <mergeCell ref="P1688:S1688"/>
    <mergeCell ref="P933:S933"/>
    <mergeCell ref="P1389:S1389"/>
    <mergeCell ref="P1833:S1833"/>
    <mergeCell ref="P1078:S1078"/>
    <mergeCell ref="P46:S46"/>
    <mergeCell ref="P2289:S2289"/>
    <mergeCell ref="P773:S773"/>
    <mergeCell ref="P651:S651"/>
    <mergeCell ref="P1835:S1835"/>
    <mergeCell ref="P2133:S2133"/>
    <mergeCell ref="P1378:S1378"/>
    <mergeCell ref="P1107:S1107"/>
    <mergeCell ref="P48:S48"/>
    <mergeCell ref="P984:S984"/>
    <mergeCell ref="P346:S346"/>
    <mergeCell ref="P1536:S1536"/>
    <mergeCell ref="P1530:S1530"/>
    <mergeCell ref="P775:S775"/>
    <mergeCell ref="P1828:S1828"/>
    <mergeCell ref="P1073:S1073"/>
    <mergeCell ref="P1109:S1109"/>
    <mergeCell ref="P2045:S2045"/>
    <mergeCell ref="P1407:S1407"/>
    <mergeCell ref="P348:S348"/>
    <mergeCell ref="P1538:S1538"/>
    <mergeCell ref="P646:S646"/>
    <mergeCell ref="P1830:S1830"/>
    <mergeCell ref="P1075:S1075"/>
    <mergeCell ref="P804:S804"/>
    <mergeCell ref="P1102:S1102"/>
    <mergeCell ref="P43:S43"/>
    <mergeCell ref="P2047:S2047"/>
    <mergeCell ref="P648:S648"/>
    <mergeCell ref="P1432:S1432"/>
    <mergeCell ref="P74:S74"/>
    <mergeCell ref="P372:S372"/>
    <mergeCell ref="P1406:S1406"/>
    <mergeCell ref="P76:S76"/>
    <mergeCell ref="P374:S374"/>
    <mergeCell ref="P672:S672"/>
    <mergeCell ref="P1460:S1460"/>
    <mergeCell ref="P1758:S1758"/>
    <mergeCell ref="P699:S699"/>
    <mergeCell ref="P674:S674"/>
    <mergeCell ref="P1889:S1889"/>
    <mergeCell ref="P2187:S2187"/>
    <mergeCell ref="P2065:S2065"/>
    <mergeCell ref="P1760:S1760"/>
    <mergeCell ref="P2058:S2058"/>
    <mergeCell ref="P999:S999"/>
    <mergeCell ref="P2189:S2189"/>
    <mergeCell ref="P2060:S2060"/>
    <mergeCell ref="P1486:S1486"/>
    <mergeCell ref="P87:S87"/>
    <mergeCell ref="P1600:S1600"/>
    <mergeCell ref="P298:S298"/>
    <mergeCell ref="P2205:S2205"/>
    <mergeCell ref="P1488:S1488"/>
    <mergeCell ref="P1173:S1173"/>
    <mergeCell ref="P1786:S1786"/>
    <mergeCell ref="P418:S418"/>
    <mergeCell ref="P412:S412"/>
    <mergeCell ref="P1900:S1900"/>
    <mergeCell ref="P1778:S1778"/>
    <mergeCell ref="P1788:S1788"/>
    <mergeCell ref="P420:S420"/>
    <mergeCell ref="P1473:S1473"/>
    <mergeCell ref="P2086:S2086"/>
    <mergeCell ref="P718:S718"/>
    <mergeCell ref="P1771:S1771"/>
    <mergeCell ref="P712:S712"/>
    <mergeCell ref="P2111:S2111"/>
    <mergeCell ref="P2200:S2200"/>
    <mergeCell ref="P743:S743"/>
    <mergeCell ref="P1804:S1804"/>
    <mergeCell ref="P17:S17"/>
    <mergeCell ref="P1201:S1201"/>
    <mergeCell ref="P446:S446"/>
    <mergeCell ref="P1499:S1499"/>
    <mergeCell ref="P440:S440"/>
    <mergeCell ref="P738:S738"/>
    <mergeCell ref="P19:S19"/>
    <mergeCell ref="P317:S317"/>
    <mergeCell ref="P448:S448"/>
    <mergeCell ref="P1501:S1501"/>
    <mergeCell ref="P771:S771"/>
    <mergeCell ref="P746:S746"/>
    <mergeCell ref="P1799:S1799"/>
    <mergeCell ref="P1069:S1069"/>
    <mergeCell ref="P1044:S1044"/>
    <mergeCell ref="P12:S12"/>
    <mergeCell ref="P1832:S1832"/>
    <mergeCell ref="P2130:S2130"/>
    <mergeCell ref="P1826:S1826"/>
    <mergeCell ref="P1071:S1071"/>
    <mergeCell ref="P14:S14"/>
    <mergeCell ref="P1100:S1100"/>
    <mergeCell ref="P1371:S1371"/>
    <mergeCell ref="P2155:S2155"/>
    <mergeCell ref="P914:S914"/>
    <mergeCell ref="P159:S159"/>
    <mergeCell ref="P1728:S1728"/>
    <mergeCell ref="P2157:S2157"/>
    <mergeCell ref="P1131:S1131"/>
    <mergeCell ref="P72:S72"/>
    <mergeCell ref="P370:S370"/>
    <mergeCell ref="P2315:S2315"/>
    <mergeCell ref="P1858:S1858"/>
    <mergeCell ref="P916:S916"/>
    <mergeCell ref="P161:S161"/>
    <mergeCell ref="P1214:S1214"/>
    <mergeCell ref="P484:S484"/>
    <mergeCell ref="P459:S459"/>
    <mergeCell ref="P65:S65"/>
    <mergeCell ref="P1431:S1431"/>
    <mergeCell ref="P1425:S1425"/>
    <mergeCell ref="P1729:S1729"/>
    <mergeCell ref="P1860:S1860"/>
    <mergeCell ref="P2158:S2158"/>
    <mergeCell ref="P2152:S2152"/>
    <mergeCell ref="P1126:S1126"/>
    <mergeCell ref="P784:S784"/>
    <mergeCell ref="P243:S243"/>
    <mergeCell ref="P1731:S1731"/>
    <mergeCell ref="P212:S212"/>
    <mergeCell ref="P510:S510"/>
    <mergeCell ref="P844:S844"/>
    <mergeCell ref="P1115:S1115"/>
    <mergeCell ref="P83:S83"/>
    <mergeCell ref="P1273:S1273"/>
    <mergeCell ref="P512:S512"/>
    <mergeCell ref="P810:S810"/>
    <mergeCell ref="P1144:S1144"/>
    <mergeCell ref="P85:S85"/>
    <mergeCell ref="P383:S383"/>
    <mergeCell ref="P1573:S1573"/>
    <mergeCell ref="P541:S541"/>
    <mergeCell ref="P1567:S1567"/>
    <mergeCell ref="P1871:S1871"/>
    <mergeCell ref="P839:S839"/>
    <mergeCell ref="P84:S84"/>
    <mergeCell ref="P1110:S1110"/>
    <mergeCell ref="P1784:S1784"/>
    <mergeCell ref="P1146:S1146"/>
    <mergeCell ref="P1444:S1444"/>
    <mergeCell ref="P385:S385"/>
    <mergeCell ref="P1898:S1898"/>
    <mergeCell ref="P1873:S1873"/>
    <mergeCell ref="P2171:S2171"/>
    <mergeCell ref="P841:S841"/>
    <mergeCell ref="P1139:S1139"/>
    <mergeCell ref="P80:S80"/>
    <mergeCell ref="P2198:S2198"/>
    <mergeCell ref="P1141:S1141"/>
    <mergeCell ref="P986:S986"/>
    <mergeCell ref="P225:S225"/>
    <mergeCell ref="P1197:S1197"/>
    <mergeCell ref="P1495:S1495"/>
    <mergeCell ref="P1924:S1924"/>
    <mergeCell ref="P227:S227"/>
    <mergeCell ref="P1286:S1286"/>
    <mergeCell ref="P2222:S2222"/>
    <mergeCell ref="P525:S525"/>
    <mergeCell ref="P2258:S2258"/>
    <mergeCell ref="P444:S444"/>
    <mergeCell ref="P1497:S1497"/>
    <mergeCell ref="P742:S742"/>
    <mergeCell ref="P859:S859"/>
    <mergeCell ref="P1795:S1795"/>
    <mergeCell ref="P1040:S1040"/>
    <mergeCell ref="P736:S736"/>
    <mergeCell ref="P2224:S2224"/>
    <mergeCell ref="P1586:S1586"/>
    <mergeCell ref="P2251:S2251"/>
    <mergeCell ref="P1192:S1192"/>
    <mergeCell ref="P437:S437"/>
    <mergeCell ref="P1797:S1797"/>
    <mergeCell ref="P10:S10"/>
    <mergeCell ref="K2:K3"/>
    <mergeCell ref="P2253:S2253"/>
    <mergeCell ref="P1498:S1498"/>
    <mergeCell ref="P155:S155"/>
    <mergeCell ref="P130:S130"/>
    <mergeCell ref="P1339:S1339"/>
    <mergeCell ref="P1637:S1637"/>
    <mergeCell ref="P1971:S1971"/>
    <mergeCell ref="P2242:S2242"/>
    <mergeCell ref="P912:S912"/>
    <mergeCell ref="P157:S157"/>
    <mergeCell ref="P1210:S1210"/>
    <mergeCell ref="P455:S455"/>
    <mergeCell ref="P1508:S1508"/>
    <mergeCell ref="P1645:S1645"/>
    <mergeCell ref="P1639:S1639"/>
    <mergeCell ref="P1666:S1666"/>
    <mergeCell ref="P1937:S1937"/>
    <mergeCell ref="P150:S150"/>
    <mergeCell ref="P2271:S2271"/>
    <mergeCell ref="P1212:S1212"/>
    <mergeCell ref="P457:S457"/>
    <mergeCell ref="P755:S755"/>
    <mergeCell ref="P1053:S1053"/>
    <mergeCell ref="P1939:S1939"/>
    <mergeCell ref="P913:S913"/>
    <mergeCell ref="P1966:S1966"/>
    <mergeCell ref="P1211:S1211"/>
    <mergeCell ref="P907:S907"/>
    <mergeCell ref="P152:S152"/>
    <mergeCell ref="P30:S30"/>
    <mergeCell ref="P2273:S2273"/>
    <mergeCell ref="P2156:S2156"/>
    <mergeCell ref="P1640:S1640"/>
    <mergeCell ref="P1851:S1851"/>
    <mergeCell ref="P452:S452"/>
    <mergeCell ref="P2185:S2185"/>
    <mergeCell ref="P176:S176"/>
    <mergeCell ref="P2297:S2297"/>
    <mergeCell ref="P1238:S1238"/>
    <mergeCell ref="P483:S483"/>
    <mergeCell ref="P56:S56"/>
    <mergeCell ref="P2299:S2299"/>
    <mergeCell ref="P1569:S1569"/>
    <mergeCell ref="P214:S214"/>
    <mergeCell ref="P1867:S1867"/>
    <mergeCell ref="P170:S170"/>
    <mergeCell ref="P783:S783"/>
    <mergeCell ref="P835:S835"/>
    <mergeCell ref="P468:S468"/>
    <mergeCell ref="P49:S49"/>
    <mergeCell ref="P1571:S1571"/>
    <mergeCell ref="P1869:S1869"/>
    <mergeCell ref="P2167:S2167"/>
    <mergeCell ref="P837:S837"/>
    <mergeCell ref="P812:S812"/>
    <mergeCell ref="P1266:S1266"/>
    <mergeCell ref="P1564:S1564"/>
    <mergeCell ref="P1137:S1137"/>
    <mergeCell ref="P196:S196"/>
    <mergeCell ref="P1282:S1282"/>
    <mergeCell ref="P1257:S1257"/>
    <mergeCell ref="P198:S198"/>
    <mergeCell ref="P521:S521"/>
    <mergeCell ref="P1292:S1292"/>
    <mergeCell ref="P977:S977"/>
    <mergeCell ref="P1626:S1626"/>
    <mergeCell ref="P1284:S1284"/>
    <mergeCell ref="P1582:S1582"/>
    <mergeCell ref="P550:S550"/>
    <mergeCell ref="P1163:S1163"/>
    <mergeCell ref="P821:S821"/>
    <mergeCell ref="P2038:S2038"/>
    <mergeCell ref="P1592:S1592"/>
    <mergeCell ref="P1277:S1277"/>
    <mergeCell ref="P522:S522"/>
    <mergeCell ref="P1926:S1926"/>
    <mergeCell ref="P1584:S1584"/>
    <mergeCell ref="P2249:S2249"/>
    <mergeCell ref="P1882:S1882"/>
    <mergeCell ref="P850:S850"/>
    <mergeCell ref="P95:S95"/>
    <mergeCell ref="P881:S881"/>
    <mergeCell ref="P120:S120"/>
    <mergeCell ref="P1310:S1310"/>
    <mergeCell ref="P1608:S1608"/>
    <mergeCell ref="P847:S847"/>
    <mergeCell ref="P1005:S1005"/>
    <mergeCell ref="P1303:S1303"/>
    <mergeCell ref="P1181:S1181"/>
    <mergeCell ref="P1610:S1610"/>
    <mergeCell ref="P242:S242"/>
    <mergeCell ref="P1908:S1908"/>
    <mergeCell ref="P578:S578"/>
    <mergeCell ref="P876:S876"/>
    <mergeCell ref="P121:S121"/>
    <mergeCell ref="P1962:S1962"/>
    <mergeCell ref="P878:S878"/>
    <mergeCell ref="P123:S123"/>
    <mergeCell ref="P421:S421"/>
    <mergeCell ref="P1964:S1964"/>
    <mergeCell ref="P1209:S1209"/>
    <mergeCell ref="P1023:S1023"/>
    <mergeCell ref="P262:S262"/>
    <mergeCell ref="P2293:S2293"/>
    <mergeCell ref="P1323:S1323"/>
    <mergeCell ref="P568:S568"/>
    <mergeCell ref="P297:S297"/>
    <mergeCell ref="P291:S291"/>
    <mergeCell ref="P589:S589"/>
    <mergeCell ref="P2295:S2295"/>
    <mergeCell ref="P1534:S1534"/>
    <mergeCell ref="P508:S508"/>
    <mergeCell ref="P263:S263"/>
    <mergeCell ref="P1692:S1692"/>
    <mergeCell ref="P1654:S1654"/>
    <mergeCell ref="P1990:S1990"/>
    <mergeCell ref="P1235:S1235"/>
    <mergeCell ref="P597:S597"/>
    <mergeCell ref="P293:S293"/>
    <mergeCell ref="P474:S474"/>
    <mergeCell ref="P134:S134"/>
    <mergeCell ref="P808:S808"/>
    <mergeCell ref="P47:S47"/>
    <mergeCell ref="P1237:S1237"/>
    <mergeCell ref="P2290:S2290"/>
    <mergeCell ref="P1535:S1535"/>
    <mergeCell ref="P1649:S1649"/>
    <mergeCell ref="P1108:S1108"/>
    <mergeCell ref="P192:S192"/>
    <mergeCell ref="P2008:S2008"/>
    <mergeCell ref="P1253:S1253"/>
    <mergeCell ref="P194:S194"/>
    <mergeCell ref="P949:S949"/>
    <mergeCell ref="P492:S492"/>
    <mergeCell ref="P1980:S1980"/>
    <mergeCell ref="P650:S650"/>
    <mergeCell ref="P948:S948"/>
    <mergeCell ref="P1834:S1834"/>
    <mergeCell ref="P187:S187"/>
    <mergeCell ref="P2132:S2132"/>
    <mergeCell ref="P223:S223"/>
    <mergeCell ref="P1675:S1675"/>
    <mergeCell ref="P494:S494"/>
    <mergeCell ref="P1711:S1711"/>
    <mergeCell ref="P1705:S1705"/>
    <mergeCell ref="P950:S950"/>
    <mergeCell ref="P2009:S2009"/>
    <mergeCell ref="P2003:S2003"/>
    <mergeCell ref="P1248:S1248"/>
    <mergeCell ref="P189:S189"/>
    <mergeCell ref="P1922:S1922"/>
    <mergeCell ref="P523:S523"/>
    <mergeCell ref="P1250:S1250"/>
    <mergeCell ref="P218:S218"/>
    <mergeCell ref="P1548:S1548"/>
    <mergeCell ref="P1306:S1306"/>
    <mergeCell ref="P1604:S1604"/>
    <mergeCell ref="P205:S205"/>
    <mergeCell ref="P2150:S2150"/>
    <mergeCell ref="P1395:S1395"/>
    <mergeCell ref="P1091:S1091"/>
    <mergeCell ref="P363:S363"/>
    <mergeCell ref="P1606:S1606"/>
    <mergeCell ref="P1090:S1090"/>
    <mergeCell ref="P1904:S1904"/>
    <mergeCell ref="P574:S574"/>
    <mergeCell ref="P58:S58"/>
    <mergeCell ref="P872:S872"/>
    <mergeCell ref="P1424:S1424"/>
    <mergeCell ref="P1695:S1695"/>
    <mergeCell ref="P1003:S1003"/>
    <mergeCell ref="P365:S365"/>
    <mergeCell ref="P1301:S1301"/>
    <mergeCell ref="P663:S663"/>
    <mergeCell ref="P961:S961"/>
    <mergeCell ref="P1337:S1337"/>
    <mergeCell ref="P1906:S1906"/>
    <mergeCell ref="P1390:S1390"/>
    <mergeCell ref="P880:S880"/>
    <mergeCell ref="P1178:S1178"/>
    <mergeCell ref="P874:S874"/>
    <mergeCell ref="P119:S119"/>
    <mergeCell ref="P2064:S2064"/>
    <mergeCell ref="P1724:S1724"/>
    <mergeCell ref="P665:S665"/>
    <mergeCell ref="P1601:S1601"/>
    <mergeCell ref="P963:S963"/>
    <mergeCell ref="P1019:S1019"/>
    <mergeCell ref="P2235:S2235"/>
    <mergeCell ref="P1319:S1319"/>
    <mergeCell ref="P1775:S1775"/>
    <mergeCell ref="P716:S716"/>
    <mergeCell ref="P1014:S1014"/>
    <mergeCell ref="P2204:S2204"/>
    <mergeCell ref="P1321:S1321"/>
    <mergeCell ref="P1619:S1619"/>
    <mergeCell ref="P593:S593"/>
    <mergeCell ref="P289:S289"/>
    <mergeCell ref="P1479:S1479"/>
    <mergeCell ref="P587:S587"/>
    <mergeCell ref="P1777:S1777"/>
    <mergeCell ref="P1022:S1022"/>
    <mergeCell ref="P2075:S2075"/>
    <mergeCell ref="P1320:S1320"/>
    <mergeCell ref="P1016:S1016"/>
    <mergeCell ref="P1314:S1314"/>
    <mergeCell ref="P1472:S1472"/>
    <mergeCell ref="P2286:S2286"/>
    <mergeCell ref="P132:S132"/>
    <mergeCell ref="P2077:S2077"/>
    <mergeCell ref="P290:S290"/>
    <mergeCell ref="P1347:S1347"/>
    <mergeCell ref="P1032:S1032"/>
    <mergeCell ref="P744:S744"/>
    <mergeCell ref="P1042:S1042"/>
    <mergeCell ref="P1340:S1340"/>
    <mergeCell ref="P1034:S1034"/>
    <mergeCell ref="P621:S621"/>
    <mergeCell ref="P8:S8"/>
    <mergeCell ref="P615:S615"/>
    <mergeCell ref="P735:S735"/>
    <mergeCell ref="P1671:S1671"/>
    <mergeCell ref="P1342:S1342"/>
    <mergeCell ref="P272:S272"/>
    <mergeCell ref="P2005:S2005"/>
    <mergeCell ref="P1701:S1701"/>
    <mergeCell ref="P1676:S1676"/>
    <mergeCell ref="P1999:S1999"/>
    <mergeCell ref="P606:S606"/>
    <mergeCell ref="P308:S308"/>
    <mergeCell ref="P160:S160"/>
    <mergeCell ref="P2007:S2007"/>
    <mergeCell ref="P2305:S2305"/>
    <mergeCell ref="P2001:S2001"/>
    <mergeCell ref="P1246:S1246"/>
    <mergeCell ref="P2146:S2146"/>
    <mergeCell ref="P334:S334"/>
    <mergeCell ref="P1086:S1086"/>
    <mergeCell ref="P1420:S1420"/>
    <mergeCell ref="P1691:S1691"/>
    <mergeCell ref="P361:S361"/>
    <mergeCell ref="P2027:S2027"/>
    <mergeCell ref="P659:S659"/>
    <mergeCell ref="P634:S634"/>
    <mergeCell ref="P2147:S2147"/>
    <mergeCell ref="P2141:S2141"/>
    <mergeCell ref="P1386:S1386"/>
    <mergeCell ref="P1422:S1422"/>
    <mergeCell ref="P1720:S1720"/>
    <mergeCell ref="P661:S661"/>
    <mergeCell ref="P1714:S1714"/>
    <mergeCell ref="P959:S959"/>
    <mergeCell ref="P2149:S2149"/>
    <mergeCell ref="P1730:S1730"/>
    <mergeCell ref="P1415:S1415"/>
    <mergeCell ref="P1686:S1686"/>
    <mergeCell ref="P356:S356"/>
    <mergeCell ref="P1844:S1844"/>
    <mergeCell ref="P1259:S1259"/>
    <mergeCell ref="P387:S387"/>
    <mergeCell ref="P685:S685"/>
    <mergeCell ref="P1290:S1290"/>
    <mergeCell ref="P1448:S1448"/>
    <mergeCell ref="P1746:S1746"/>
    <mergeCell ref="P687:S687"/>
    <mergeCell ref="P985:S985"/>
    <mergeCell ref="P2175:S2175"/>
    <mergeCell ref="P224:S224"/>
    <mergeCell ref="P2169:S2169"/>
    <mergeCell ref="P1441:S1441"/>
    <mergeCell ref="P382:S382"/>
    <mergeCell ref="P260:S260"/>
    <mergeCell ref="P558:S558"/>
    <mergeCell ref="P1748:S1748"/>
    <mergeCell ref="P2046:S2046"/>
    <mergeCell ref="P987:S987"/>
    <mergeCell ref="P259:S259"/>
    <mergeCell ref="P1041:S1041"/>
    <mergeCell ref="P827:S827"/>
    <mergeCell ref="P400:S400"/>
    <mergeCell ref="P698:S698"/>
    <mergeCell ref="P1372:S1372"/>
    <mergeCell ref="P1127:S1127"/>
    <mergeCell ref="P611:S611"/>
    <mergeCell ref="P1801:S1801"/>
    <mergeCell ref="P2099:S2099"/>
    <mergeCell ref="P1461:S1461"/>
    <mergeCell ref="P402:S402"/>
    <mergeCell ref="P1338:S1338"/>
    <mergeCell ref="P2213:S2213"/>
    <mergeCell ref="P619:S619"/>
    <mergeCell ref="P1672:S1672"/>
    <mergeCell ref="P401:S401"/>
    <mergeCell ref="P97:S97"/>
    <mergeCell ref="P1463:S1463"/>
    <mergeCell ref="P2084:S2084"/>
    <mergeCell ref="P1367:S1367"/>
    <mergeCell ref="P612:S612"/>
    <mergeCell ref="P1972:S1972"/>
    <mergeCell ref="P299:S299"/>
    <mergeCell ref="P1056:S1056"/>
    <mergeCell ref="P113:S113"/>
    <mergeCell ref="P2239:S2239"/>
    <mergeCell ref="P840:S840"/>
    <mergeCell ref="P330:S330"/>
    <mergeCell ref="P1514:S1514"/>
    <mergeCell ref="P759:S759"/>
    <mergeCell ref="A1:M1"/>
    <mergeCell ref="P1812:S1812"/>
    <mergeCell ref="P1057:S1057"/>
    <mergeCell ref="P1087:S1087"/>
    <mergeCell ref="P332:S332"/>
    <mergeCell ref="P752:S752"/>
    <mergeCell ref="P630:S630"/>
    <mergeCell ref="P1814:S1814"/>
    <mergeCell ref="P1059:S1059"/>
    <mergeCell ref="P2112:S2112"/>
    <mergeCell ref="P1357:S1357"/>
    <mergeCell ref="P27:S27"/>
    <mergeCell ref="P325:S325"/>
    <mergeCell ref="P456:S456"/>
    <mergeCell ref="P1813:S1813"/>
    <mergeCell ref="P1509:S1509"/>
    <mergeCell ref="P754:S754"/>
    <mergeCell ref="P632:S632"/>
    <mergeCell ref="P790:S790"/>
    <mergeCell ref="P1088:S1088"/>
    <mergeCell ref="P327:S327"/>
    <mergeCell ref="P1517:S1517"/>
    <mergeCell ref="P472:S472"/>
    <mergeCell ref="P1954:S1954"/>
    <mergeCell ref="P1742:S1742"/>
    <mergeCell ref="P1413:S1413"/>
    <mergeCell ref="P167:S167"/>
    <mergeCell ref="P45:S45"/>
    <mergeCell ref="P343:S343"/>
    <mergeCell ref="P2288:S2288"/>
    <mergeCell ref="P1229:S1229"/>
    <mergeCell ref="P1527:S1527"/>
    <mergeCell ref="P772:S772"/>
    <mergeCell ref="P38:S38"/>
    <mergeCell ref="P1228:S1228"/>
    <mergeCell ref="P2254:S2254"/>
    <mergeCell ref="P1744:S1744"/>
    <mergeCell ref="P2042:S2042"/>
    <mergeCell ref="P1738:S1738"/>
    <mergeCell ref="P467:S467"/>
    <mergeCell ref="P345:S345"/>
    <mergeCell ref="P2173:S2173"/>
    <mergeCell ref="P169:S169"/>
    <mergeCell ref="P774:S774"/>
    <mergeCell ref="P1072:S1072"/>
    <mergeCell ref="P40:S40"/>
    <mergeCell ref="P2044:S2044"/>
    <mergeCell ref="P1528:S1528"/>
    <mergeCell ref="P469:S469"/>
    <mergeCell ref="P257:S257"/>
    <mergeCell ref="P1739:S1739"/>
    <mergeCell ref="P340:S340"/>
    <mergeCell ref="P798:S798"/>
    <mergeCell ref="P2183:S2183"/>
    <mergeCell ref="P1157:S1157"/>
    <mergeCell ref="P371:S371"/>
    <mergeCell ref="P1884:S1884"/>
    <mergeCell ref="P1098:S1098"/>
    <mergeCell ref="P1457:S1457"/>
    <mergeCell ref="P702:S702"/>
    <mergeCell ref="P398:S398"/>
    <mergeCell ref="P1886:S1886"/>
    <mergeCell ref="P2184:S2184"/>
    <mergeCell ref="P1152:S1152"/>
    <mergeCell ref="P93:S93"/>
    <mergeCell ref="P1581:S1581"/>
    <mergeCell ref="P1459:S1459"/>
    <mergeCell ref="P1757:S1757"/>
    <mergeCell ref="P2055:S2055"/>
    <mergeCell ref="P1915:S1915"/>
    <mergeCell ref="P2186:S2186"/>
    <mergeCell ref="P1154:S1154"/>
    <mergeCell ref="P399:S399"/>
    <mergeCell ref="P1452:S1452"/>
    <mergeCell ref="P697:S697"/>
    <mergeCell ref="P1881:S1881"/>
    <mergeCell ref="P1759:S1759"/>
    <mergeCell ref="C2:C3"/>
    <mergeCell ref="P2215:S2215"/>
    <mergeCell ref="P1454:S1454"/>
    <mergeCell ref="P1485:S1485"/>
    <mergeCell ref="P111:S111"/>
    <mergeCell ref="P724:S724"/>
    <mergeCell ref="P409:S409"/>
    <mergeCell ref="P1599:S1599"/>
    <mergeCell ref="P2212:S2212"/>
    <mergeCell ref="P882:S882"/>
    <mergeCell ref="P1180:S1180"/>
    <mergeCell ref="P1136:S1136"/>
    <mergeCell ref="P1478:S1478"/>
    <mergeCell ref="P419:S419"/>
    <mergeCell ref="P1785:S1785"/>
    <mergeCell ref="P1470:S1470"/>
    <mergeCell ref="P2214:S2214"/>
    <mergeCell ref="P1899:S1899"/>
    <mergeCell ref="P427:S427"/>
    <mergeCell ref="P2197:S2197"/>
    <mergeCell ref="P1480:S1480"/>
    <mergeCell ref="P112:S112"/>
    <mergeCell ref="P1382:S1382"/>
    <mergeCell ref="P1384:S1384"/>
    <mergeCell ref="P1625:S1625"/>
    <mergeCell ref="P1198:S1198"/>
    <mergeCell ref="P139:S139"/>
    <mergeCell ref="P1925:S1925"/>
    <mergeCell ref="P138:S138"/>
    <mergeCell ref="P2284:S2284"/>
    <mergeCell ref="P2294:S2294"/>
    <mergeCell ref="P1927:S1927"/>
    <mergeCell ref="P9:S9"/>
    <mergeCell ref="P2250:S2250"/>
    <mergeCell ref="P140:S140"/>
    <mergeCell ref="P463:S463"/>
    <mergeCell ref="P438:S438"/>
    <mergeCell ref="P1829:S1829"/>
    <mergeCell ref="P797:S797"/>
    <mergeCell ref="P1404:S1404"/>
    <mergeCell ref="P11:S11"/>
    <mergeCell ref="P2279:S2279"/>
    <mergeCell ref="P1524:S1524"/>
    <mergeCell ref="P465:S465"/>
    <mergeCell ref="P799:S799"/>
    <mergeCell ref="P1097:S1097"/>
    <mergeCell ref="P1526:S1526"/>
    <mergeCell ref="P2310:S2310"/>
    <mergeCell ref="P1824:S1824"/>
    <mergeCell ref="P765:S765"/>
    <mergeCell ref="P489:S489"/>
    <mergeCell ref="P1551:S1551"/>
    <mergeCell ref="P796:S796"/>
    <mergeCell ref="B2:B3"/>
    <mergeCell ref="P1849:S1849"/>
    <mergeCell ref="P823:S823"/>
    <mergeCell ref="P62:S62"/>
    <mergeCell ref="P1428:S1428"/>
    <mergeCell ref="P491:S491"/>
    <mergeCell ref="P369:S369"/>
    <mergeCell ref="P667:S667"/>
    <mergeCell ref="P1857:S1857"/>
    <mergeCell ref="P825:S825"/>
    <mergeCell ref="P1096:S1096"/>
    <mergeCell ref="P1123:S1123"/>
    <mergeCell ref="P64:S64"/>
    <mergeCell ref="P1254:S1254"/>
    <mergeCell ref="P362:S362"/>
    <mergeCell ref="P2307:S2307"/>
    <mergeCell ref="P1552:S1552"/>
    <mergeCell ref="P1850:S1850"/>
    <mergeCell ref="P1546:S1546"/>
    <mergeCell ref="P791:S791"/>
    <mergeCell ref="P1125:S1125"/>
    <mergeCell ref="P1423:S1423"/>
    <mergeCell ref="P364:S364"/>
    <mergeCell ref="P1877:S1877"/>
    <mergeCell ref="P1852:S1852"/>
    <mergeCell ref="P2211:S2211"/>
    <mergeCell ref="P238:S238"/>
    <mergeCell ref="P509:S509"/>
    <mergeCell ref="P1991:S1991"/>
    <mergeCell ref="P965:S965"/>
    <mergeCell ref="P204:S204"/>
    <mergeCell ref="P82:S82"/>
    <mergeCell ref="P1176:S1176"/>
    <mergeCell ref="P809:S809"/>
    <mergeCell ref="P538:S538"/>
    <mergeCell ref="P967:S967"/>
    <mergeCell ref="P75:S75"/>
    <mergeCell ref="P2020:S2020"/>
    <mergeCell ref="P1265:S1265"/>
    <mergeCell ref="P206:S206"/>
    <mergeCell ref="P233:S233"/>
    <mergeCell ref="P504:S504"/>
    <mergeCell ref="P2237:S2237"/>
    <mergeCell ref="P540:S540"/>
    <mergeCell ref="P1476:S1476"/>
    <mergeCell ref="P838:S838"/>
    <mergeCell ref="P1267:S1267"/>
    <mergeCell ref="P1590:S1590"/>
    <mergeCell ref="P1565:S1565"/>
    <mergeCell ref="P506:S506"/>
    <mergeCell ref="P235:S235"/>
    <mergeCell ref="P533:S533"/>
    <mergeCell ref="P1776:S1776"/>
    <mergeCell ref="P1194:S1194"/>
    <mergeCell ref="P1921:S1921"/>
    <mergeCell ref="P1318:S1318"/>
    <mergeCell ref="P1616:S1616"/>
    <mergeCell ref="P1494:S1494"/>
    <mergeCell ref="P1792:S1792"/>
    <mergeCell ref="P217:S217"/>
    <mergeCell ref="P1652:S1652"/>
    <mergeCell ref="P1923:S1923"/>
    <mergeCell ref="P2221:S2221"/>
    <mergeCell ref="P136:S136"/>
    <mergeCell ref="P891:S891"/>
    <mergeCell ref="P1189:S1189"/>
    <mergeCell ref="P434:S434"/>
    <mergeCell ref="P1618:S1618"/>
    <mergeCell ref="P1496:S1496"/>
    <mergeCell ref="P1278:S1278"/>
    <mergeCell ref="P7:S7"/>
    <mergeCell ref="P1952:S1952"/>
    <mergeCell ref="P2223:S2223"/>
    <mergeCell ref="P1191:S1191"/>
    <mergeCell ref="P436:S436"/>
    <mergeCell ref="P1489:S1489"/>
    <mergeCell ref="P734:S734"/>
    <mergeCell ref="P1647:S1647"/>
    <mergeCell ref="P1918:S1918"/>
    <mergeCell ref="P2252:S2252"/>
    <mergeCell ref="P1207:S1207"/>
    <mergeCell ref="P1636:S1636"/>
    <mergeCell ref="P1794:S1794"/>
    <mergeCell ref="P902:S902"/>
    <mergeCell ref="P2092:S2092"/>
    <mergeCell ref="P1033:S1033"/>
    <mergeCell ref="P1331:S1331"/>
    <mergeCell ref="P1638:S1638"/>
    <mergeCell ref="P2303:S2303"/>
    <mergeCell ref="P910:S910"/>
    <mergeCell ref="P1846:S1846"/>
    <mergeCell ref="P904:S904"/>
    <mergeCell ref="P149:S149"/>
    <mergeCell ref="P2094:S2094"/>
    <mergeCell ref="P447:S447"/>
    <mergeCell ref="P1333:S1333"/>
    <mergeCell ref="P1631:S1631"/>
    <mergeCell ref="P605:S605"/>
    <mergeCell ref="D2:J2"/>
    <mergeCell ref="P1550:S1550"/>
    <mergeCell ref="P1848:S1848"/>
    <mergeCell ref="P151:S151"/>
    <mergeCell ref="P449:S449"/>
    <mergeCell ref="P607:S607"/>
    <mergeCell ref="P905:S905"/>
    <mergeCell ref="P1662:S1662"/>
    <mergeCell ref="P930:S930"/>
    <mergeCell ref="P175:S175"/>
    <mergeCell ref="P534:S534"/>
    <mergeCell ref="P1261:S1261"/>
    <mergeCell ref="P202:S202"/>
    <mergeCell ref="P177:S177"/>
    <mergeCell ref="P500:S500"/>
    <mergeCell ref="P475:S475"/>
    <mergeCell ref="P536:S536"/>
    <mergeCell ref="P834:S834"/>
    <mergeCell ref="P2024:S2024"/>
    <mergeCell ref="P2018:S2018"/>
    <mergeCell ref="P1263:S1263"/>
    <mergeCell ref="P2316:S2316"/>
    <mergeCell ref="P1561:S1561"/>
    <mergeCell ref="P231:S231"/>
    <mergeCell ref="P958:S958"/>
    <mergeCell ref="P836:S836"/>
    <mergeCell ref="P1134:S1134"/>
    <mergeCell ref="P1563:S1563"/>
    <mergeCell ref="P1861:S1861"/>
    <mergeCell ref="P2019:S2019"/>
    <mergeCell ref="P2034:S2034"/>
    <mergeCell ref="P562:S562"/>
    <mergeCell ref="P2050:S2050"/>
    <mergeCell ref="P991:S991"/>
    <mergeCell ref="P676:S676"/>
    <mergeCell ref="P555:S555"/>
    <mergeCell ref="P213:S213"/>
    <mergeCell ref="P1579:S1579"/>
    <mergeCell ref="P862:S862"/>
    <mergeCell ref="P249:S249"/>
    <mergeCell ref="P1737:S1737"/>
    <mergeCell ref="P1614:S1614"/>
    <mergeCell ref="P976:S976"/>
    <mergeCell ref="P221:S221"/>
    <mergeCell ref="P1274:S1274"/>
    <mergeCell ref="P557:S557"/>
    <mergeCell ref="P215:S215"/>
    <mergeCell ref="P549:S549"/>
    <mergeCell ref="P1162:S1162"/>
    <mergeCell ref="P2037:S2037"/>
    <mergeCell ref="P1914:S1914"/>
    <mergeCell ref="P1276:S1276"/>
    <mergeCell ref="P1574:S1574"/>
    <mergeCell ref="P275:S275"/>
    <mergeCell ref="P704:S704"/>
    <mergeCell ref="P1002:S1002"/>
    <mergeCell ref="P247:S247"/>
    <mergeCell ref="P241:S241"/>
    <mergeCell ref="P575:S575"/>
    <mergeCell ref="P873:S873"/>
    <mergeCell ref="P2063:S2063"/>
    <mergeCell ref="P1004:S1004"/>
    <mergeCell ref="P1302:S1302"/>
    <mergeCell ref="P547:S547"/>
    <mergeCell ref="P276:S276"/>
    <mergeCell ref="P270:S270"/>
    <mergeCell ref="P1363:S1363"/>
    <mergeCell ref="P577:S577"/>
    <mergeCell ref="P2090:S2090"/>
    <mergeCell ref="P1633:S1633"/>
    <mergeCell ref="P1329:S1329"/>
    <mergeCell ref="P1304:S1304"/>
    <mergeCell ref="P1627:S1627"/>
    <mergeCell ref="P576:S576"/>
    <mergeCell ref="P278:S278"/>
    <mergeCell ref="P1663:S1663"/>
    <mergeCell ref="P1961:S1961"/>
    <mergeCell ref="P2085:S2085"/>
    <mergeCell ref="P1330:S1330"/>
    <mergeCell ref="P2261:S2261"/>
    <mergeCell ref="P417:S417"/>
    <mergeCell ref="P903:S903"/>
    <mergeCell ref="P1660:S1660"/>
    <mergeCell ref="P1687:S1687"/>
    <mergeCell ref="P2116:S2116"/>
    <mergeCell ref="P717:S717"/>
    <mergeCell ref="P1689:S1689"/>
    <mergeCell ref="P934:S934"/>
    <mergeCell ref="P1987:S1987"/>
    <mergeCell ref="P928:S928"/>
    <mergeCell ref="P173:S173"/>
    <mergeCell ref="P2118:S2118"/>
    <mergeCell ref="P1226:S1226"/>
    <mergeCell ref="P1048:S1048"/>
    <mergeCell ref="P719:S719"/>
    <mergeCell ref="P1655:S1655"/>
    <mergeCell ref="P927:S927"/>
    <mergeCell ref="P1989:S1989"/>
    <mergeCell ref="P1234:S1234"/>
    <mergeCell ref="P2287:S2287"/>
    <mergeCell ref="P473:S473"/>
    <mergeCell ref="P1690:S1690"/>
    <mergeCell ref="P1348:S1348"/>
    <mergeCell ref="P1988:S1988"/>
    <mergeCell ref="P1684:S1684"/>
    <mergeCell ref="P1646:S1646"/>
    <mergeCell ref="P929:S929"/>
    <mergeCell ref="P502:S502"/>
    <mergeCell ref="P1373:S1373"/>
    <mergeCell ref="P1402:S1402"/>
    <mergeCell ref="P647:S647"/>
    <mergeCell ref="P1831:S1831"/>
    <mergeCell ref="P1076:S1076"/>
    <mergeCell ref="P184:S184"/>
    <mergeCell ref="P2129:S2129"/>
    <mergeCell ref="P1374:S1374"/>
    <mergeCell ref="P1070:S1070"/>
    <mergeCell ref="P1368:S1368"/>
    <mergeCell ref="P342:S342"/>
    <mergeCell ref="P1702:S1702"/>
    <mergeCell ref="P947:S947"/>
    <mergeCell ref="P553:S553"/>
    <mergeCell ref="P1245:S1245"/>
    <mergeCell ref="P2131:S2131"/>
    <mergeCell ref="P1376:S1376"/>
    <mergeCell ref="P1105:S1105"/>
    <mergeCell ref="P1403:S1403"/>
    <mergeCell ref="P1674:S1674"/>
    <mergeCell ref="P1099:S1099"/>
    <mergeCell ref="P1397:S1397"/>
    <mergeCell ref="P642:S642"/>
    <mergeCell ref="P344:S344"/>
    <mergeCell ref="P1405:S1405"/>
    <mergeCell ref="P1703:S1703"/>
    <mergeCell ref="P644:S644"/>
    <mergeCell ref="P942:S942"/>
    <mergeCell ref="P700:S700"/>
    <mergeCell ref="P998:S998"/>
    <mergeCell ref="P789:S789"/>
    <mergeCell ref="P1842:S1842"/>
    <mergeCell ref="P2059:S2059"/>
    <mergeCell ref="P1000:S1000"/>
    <mergeCell ref="P1298:S1298"/>
    <mergeCell ref="P660:S660"/>
    <mergeCell ref="P537:S537"/>
    <mergeCell ref="P1089:S1089"/>
    <mergeCell ref="P1387:S1387"/>
    <mergeCell ref="P695:S695"/>
    <mergeCell ref="P355:S355"/>
    <mergeCell ref="P2061:S2061"/>
    <mergeCell ref="P1300:S1300"/>
    <mergeCell ref="P1598:S1598"/>
    <mergeCell ref="P572:S572"/>
    <mergeCell ref="P268:S268"/>
    <mergeCell ref="P1756:S1756"/>
    <mergeCell ref="P1299:S1299"/>
    <mergeCell ref="P995:S995"/>
    <mergeCell ref="P2056:S2056"/>
    <mergeCell ref="P713:S713"/>
    <mergeCell ref="P1011:S1011"/>
    <mergeCell ref="P2201:S2201"/>
    <mergeCell ref="P250:S250"/>
    <mergeCell ref="P286:S286"/>
    <mergeCell ref="P2114:S2114"/>
    <mergeCell ref="P584:S584"/>
    <mergeCell ref="P1896:S1896"/>
    <mergeCell ref="P1774:S1774"/>
    <mergeCell ref="P715:S715"/>
    <mergeCell ref="P1013:S1013"/>
    <mergeCell ref="P258:S258"/>
    <mergeCell ref="P2203:S2203"/>
    <mergeCell ref="P556:S556"/>
    <mergeCell ref="P1171:S1171"/>
    <mergeCell ref="P1469:S1469"/>
    <mergeCell ref="P714:S714"/>
    <mergeCell ref="P410:S410"/>
    <mergeCell ref="P1767:S1767"/>
    <mergeCell ref="P708:S708"/>
    <mergeCell ref="P2196:S2196"/>
    <mergeCell ref="P2074:S2074"/>
    <mergeCell ref="P1680:S1680"/>
    <mergeCell ref="P925:S925"/>
    <mergeCell ref="P287:S287"/>
    <mergeCell ref="P585:S585"/>
    <mergeCell ref="P281:S281"/>
    <mergeCell ref="P1471:S1471"/>
    <mergeCell ref="P1769:S1769"/>
    <mergeCell ref="P1986:S1986"/>
    <mergeCell ref="P312:S312"/>
    <mergeCell ref="P610:S610"/>
    <mergeCell ref="P1800:S1800"/>
    <mergeCell ref="P741:S741"/>
    <mergeCell ref="P1039:S1039"/>
    <mergeCell ref="P13:S13"/>
    <mergeCell ref="P1827:S1827"/>
    <mergeCell ref="P2125:S2125"/>
    <mergeCell ref="P2100:S2100"/>
    <mergeCell ref="P1370:S1370"/>
    <mergeCell ref="P15:S15"/>
    <mergeCell ref="P313:S313"/>
    <mergeCell ref="P307:S307"/>
    <mergeCell ref="P2127:S2127"/>
    <mergeCell ref="P1670:S1670"/>
    <mergeCell ref="P315:S315"/>
    <mergeCell ref="P1664:S1664"/>
    <mergeCell ref="P638:S638"/>
    <mergeCell ref="P613:S613"/>
    <mergeCell ref="P911:S911"/>
    <mergeCell ref="P1822:S1822"/>
    <mergeCell ref="P727:S727"/>
    <mergeCell ref="P1401:S1401"/>
    <mergeCell ref="P1699:S1699"/>
    <mergeCell ref="P640:S640"/>
    <mergeCell ref="P2128:S2128"/>
    <mergeCell ref="P454:S454"/>
    <mergeCell ref="P785:S785"/>
    <mergeCell ref="P1113:S1113"/>
    <mergeCell ref="P1726:S1726"/>
    <mergeCell ref="P1840:S1840"/>
    <mergeCell ref="P1085:S1085"/>
    <mergeCell ref="P2138:S2138"/>
    <mergeCell ref="P53:S53"/>
    <mergeCell ref="P28:S28"/>
    <mergeCell ref="P351:S351"/>
    <mergeCell ref="P326:S326"/>
    <mergeCell ref="P1717:S1717"/>
    <mergeCell ref="P2148:S2148"/>
    <mergeCell ref="P780:S780"/>
    <mergeCell ref="P239:S239"/>
    <mergeCell ref="P1429:S1429"/>
    <mergeCell ref="P1114:S1114"/>
    <mergeCell ref="P1727:S1727"/>
    <mergeCell ref="P1385:S1385"/>
    <mergeCell ref="P1412:S1412"/>
    <mergeCell ref="P1683:S1683"/>
    <mergeCell ref="P353:S353"/>
    <mergeCell ref="P1841:S1841"/>
    <mergeCell ref="P1080:S1080"/>
    <mergeCell ref="P2052:S2052"/>
    <mergeCell ref="P1414:S1414"/>
    <mergeCell ref="P1712:S1712"/>
    <mergeCell ref="P653:S653"/>
    <mergeCell ref="P1111:S1111"/>
    <mergeCell ref="P1439:S1439"/>
    <mergeCell ref="P806:S806"/>
    <mergeCell ref="P684:S684"/>
    <mergeCell ref="P982:S982"/>
    <mergeCell ref="P2172:S2172"/>
    <mergeCell ref="P1868:S1868"/>
    <mergeCell ref="P842:S842"/>
    <mergeCell ref="P1140:S1140"/>
    <mergeCell ref="P81:S81"/>
    <mergeCell ref="P1411:S1411"/>
    <mergeCell ref="P379:S379"/>
    <mergeCell ref="P677:S677"/>
    <mergeCell ref="P1106:S1106"/>
    <mergeCell ref="P2199:S2199"/>
    <mergeCell ref="P1142:S1142"/>
    <mergeCell ref="P1465:S1465"/>
    <mergeCell ref="P1440:S1440"/>
    <mergeCell ref="P381:S381"/>
    <mergeCell ref="P679:S679"/>
    <mergeCell ref="P2192:S2192"/>
    <mergeCell ref="P1467:S1467"/>
    <mergeCell ref="P1442:S1442"/>
    <mergeCell ref="P1765:S1765"/>
    <mergeCell ref="P1740:S1740"/>
    <mergeCell ref="P1010:S1010"/>
    <mergeCell ref="P2194:S2194"/>
    <mergeCell ref="P737:S737"/>
    <mergeCell ref="P397:S397"/>
    <mergeCell ref="P826:S826"/>
    <mergeCell ref="P1124:S1124"/>
    <mergeCell ref="P92:S92"/>
    <mergeCell ref="P2218:S2218"/>
    <mergeCell ref="P1037:S1037"/>
    <mergeCell ref="P819:S819"/>
    <mergeCell ref="P1912:S1912"/>
    <mergeCell ref="P1195:S1195"/>
    <mergeCell ref="P1493:S1493"/>
    <mergeCell ref="P855:S855"/>
    <mergeCell ref="P100:S100"/>
    <mergeCell ref="P1791:S1791"/>
    <mergeCell ref="P94:S94"/>
    <mergeCell ref="P1153:S1153"/>
    <mergeCell ref="P2098:S2098"/>
    <mergeCell ref="P311:S311"/>
    <mergeCell ref="P2256:S2256"/>
    <mergeCell ref="P857:S857"/>
    <mergeCell ref="P740:S740"/>
    <mergeCell ref="P1793:S1793"/>
    <mergeCell ref="P1155:S1155"/>
    <mergeCell ref="P1038:S1038"/>
    <mergeCell ref="P723:S723"/>
    <mergeCell ref="P425:S425"/>
    <mergeCell ref="P6:S6"/>
    <mergeCell ref="P2093:S2093"/>
    <mergeCell ref="P1067:S1067"/>
    <mergeCell ref="P725:S725"/>
    <mergeCell ref="P1938:S1938"/>
    <mergeCell ref="P539:S539"/>
    <mergeCell ref="P750:S750"/>
    <mergeCell ref="P1967:S1967"/>
    <mergeCell ref="P2238:S2238"/>
    <mergeCell ref="P451:S451"/>
    <mergeCell ref="P1504:S1504"/>
    <mergeCell ref="P627:S627"/>
    <mergeCell ref="P1635:S1635"/>
    <mergeCell ref="P1933:S1933"/>
    <mergeCell ref="P1811:S1811"/>
    <mergeCell ref="P24:S24"/>
    <mergeCell ref="P1969:S1969"/>
    <mergeCell ref="P2240:S2240"/>
    <mergeCell ref="P322:S322"/>
    <mergeCell ref="P2267:S2267"/>
    <mergeCell ref="P1512:S1512"/>
    <mergeCell ref="P1208:S1208"/>
    <mergeCell ref="P453:S453"/>
    <mergeCell ref="P1506:S1506"/>
    <mergeCell ref="P751:S751"/>
    <mergeCell ref="P1935:S1935"/>
    <mergeCell ref="P2233:S2233"/>
    <mergeCell ref="P26:S26"/>
    <mergeCell ref="P148:S148"/>
    <mergeCell ref="P324:S324"/>
    <mergeCell ref="P2269:S2269"/>
    <mergeCell ref="P622:S622"/>
    <mergeCell ref="P482:S482"/>
    <mergeCell ref="P753:S753"/>
    <mergeCell ref="P1051:S1051"/>
    <mergeCell ref="P1839:S1839"/>
    <mergeCell ref="P782:S782"/>
    <mergeCell ref="P2168:S2168"/>
    <mergeCell ref="P1864:S1864"/>
    <mergeCell ref="P2162:S2162"/>
    <mergeCell ref="P807:S807"/>
    <mergeCell ref="P769:S769"/>
    <mergeCell ref="P77:S77"/>
    <mergeCell ref="P375:S375"/>
    <mergeCell ref="P1953:S1953"/>
    <mergeCell ref="P166:S166"/>
    <mergeCell ref="P1219:S1219"/>
    <mergeCell ref="P464:S464"/>
    <mergeCell ref="P1138:S1138"/>
    <mergeCell ref="P2164:S2164"/>
    <mergeCell ref="P1436:S1436"/>
    <mergeCell ref="P681:S681"/>
    <mergeCell ref="P377:S377"/>
    <mergeCell ref="P1946:S1946"/>
    <mergeCell ref="P675:S675"/>
    <mergeCell ref="P37:S37"/>
    <mergeCell ref="P1865:S1865"/>
    <mergeCell ref="P1227:S1227"/>
    <mergeCell ref="P168:S168"/>
    <mergeCell ref="P2163:S2163"/>
    <mergeCell ref="P466:S466"/>
    <mergeCell ref="P764:S764"/>
    <mergeCell ref="P1438:S1438"/>
    <mergeCell ref="P1736:S1736"/>
    <mergeCell ref="P2165:S2165"/>
    <mergeCell ref="P1133:S1133"/>
    <mergeCell ref="P822:S822"/>
    <mergeCell ref="P63:S63"/>
    <mergeCell ref="P517:S517"/>
    <mergeCell ref="P851:S851"/>
    <mergeCell ref="P96:S96"/>
    <mergeCell ref="P1149:S1149"/>
    <mergeCell ref="P90:S90"/>
    <mergeCell ref="P1280:S1280"/>
    <mergeCell ref="P388:S388"/>
    <mergeCell ref="P1578:S1578"/>
    <mergeCell ref="P546:S546"/>
    <mergeCell ref="P817:S817"/>
    <mergeCell ref="P853:S853"/>
    <mergeCell ref="P1151:S1151"/>
    <mergeCell ref="P1449:S1449"/>
    <mergeCell ref="P390:S390"/>
    <mergeCell ref="P1580:S1580"/>
    <mergeCell ref="P1878:S1878"/>
    <mergeCell ref="P548:S548"/>
    <mergeCell ref="P2176:S2176"/>
    <mergeCell ref="P846:S846"/>
    <mergeCell ref="P91:S91"/>
    <mergeCell ref="P1275:S1275"/>
    <mergeCell ref="P1451:S1451"/>
    <mergeCell ref="P1880:S1880"/>
    <mergeCell ref="P2178:S2178"/>
    <mergeCell ref="P877:S877"/>
    <mergeCell ref="P535:S535"/>
    <mergeCell ref="P879:S879"/>
    <mergeCell ref="P1177:S1177"/>
    <mergeCell ref="P118:S118"/>
    <mergeCell ref="P416:S416"/>
    <mergeCell ref="P1291:S1291"/>
    <mergeCell ref="P530:S530"/>
    <mergeCell ref="P117:S117"/>
    <mergeCell ref="P2263:S2263"/>
    <mergeCell ref="P1204:S1204"/>
    <mergeCell ref="P1179:S1179"/>
    <mergeCell ref="P1502:S1502"/>
    <mergeCell ref="P109:S109"/>
    <mergeCell ref="P1477:S1477"/>
    <mergeCell ref="P2229:S2229"/>
    <mergeCell ref="P2265:S2265"/>
    <mergeCell ref="P1510:S1510"/>
    <mergeCell ref="P1808:S1808"/>
    <mergeCell ref="P1802:S1802"/>
    <mergeCell ref="P1960:S1960"/>
    <mergeCell ref="P778:S778"/>
    <mergeCell ref="P2260:S2260"/>
    <mergeCell ref="P1505:S1505"/>
    <mergeCell ref="P592:S592"/>
    <mergeCell ref="P890:S890"/>
    <mergeCell ref="P1678:S1678"/>
    <mergeCell ref="P2291:S2291"/>
    <mergeCell ref="P1949:S1949"/>
    <mergeCell ref="P2247:S2247"/>
    <mergeCell ref="P892:S892"/>
    <mergeCell ref="P162:S162"/>
    <mergeCell ref="P137:S137"/>
    <mergeCell ref="P1644:S1644"/>
    <mergeCell ref="P1942:S1942"/>
    <mergeCell ref="P1978:S1978"/>
    <mergeCell ref="P1223:S1223"/>
    <mergeCell ref="P164:S164"/>
    <mergeCell ref="P2276:S2276"/>
    <mergeCell ref="P1217:S1217"/>
    <mergeCell ref="P462:S462"/>
    <mergeCell ref="P1515:S1515"/>
    <mergeCell ref="P760:S760"/>
    <mergeCell ref="P1950:S1950"/>
    <mergeCell ref="P1944:S1944"/>
    <mergeCell ref="P2278:S2278"/>
    <mergeCell ref="P1104:S1104"/>
    <mergeCell ref="P762:S762"/>
    <mergeCell ref="A2:A3"/>
    <mergeCell ref="P1979:S1979"/>
    <mergeCell ref="P920:S920"/>
    <mergeCell ref="P1218:S1218"/>
    <mergeCell ref="P1975:S1975"/>
    <mergeCell ref="P305:S305"/>
    <mergeCell ref="P188:S188"/>
    <mergeCell ref="P59:S59"/>
    <mergeCell ref="P2004:S2004"/>
    <mergeCell ref="P1249:S1249"/>
    <mergeCell ref="P190:S190"/>
    <mergeCell ref="P488:S488"/>
    <mergeCell ref="P1970:S1970"/>
    <mergeCell ref="P61:S61"/>
    <mergeCell ref="P2006:S2006"/>
    <mergeCell ref="P1251:S1251"/>
    <mergeCell ref="P359:S359"/>
    <mergeCell ref="P2304:S2304"/>
    <mergeCell ref="P1549:S1549"/>
    <mergeCell ref="P490:S490"/>
    <mergeCell ref="P219:S219"/>
    <mergeCell ref="P788:S788"/>
    <mergeCell ref="P946:S946"/>
    <mergeCell ref="P1122:S1122"/>
    <mergeCell ref="P185:S185"/>
    <mergeCell ref="P1244:S1244"/>
    <mergeCell ref="P2306:S2306"/>
    <mergeCell ref="P519:S519"/>
    <mergeCell ref="N1:S1"/>
    <mergeCell ref="P1117:S1117"/>
    <mergeCell ref="P201:S201"/>
    <mergeCell ref="P1905:S1905"/>
    <mergeCell ref="P1391:S1391"/>
    <mergeCell ref="P875:S875"/>
    <mergeCell ref="P1719:S1719"/>
    <mergeCell ref="P1602:S1602"/>
    <mergeCell ref="P2017:S2017"/>
    <mergeCell ref="P203:S203"/>
    <mergeCell ref="P1175:S1175"/>
    <mergeCell ref="P1902:S1902"/>
    <mergeCell ref="P1264:S1264"/>
    <mergeCell ref="P870:S870"/>
    <mergeCell ref="P2236:S2236"/>
    <mergeCell ref="P1475:S1475"/>
    <mergeCell ref="P1773:S1773"/>
    <mergeCell ref="P1931:S1931"/>
    <mergeCell ref="P2202:S2202"/>
    <mergeCell ref="P1589:S1589"/>
    <mergeCell ref="P1170:S1170"/>
    <mergeCell ref="P415:S415"/>
    <mergeCell ref="P2231:S2231"/>
    <mergeCell ref="P588:S588"/>
    <mergeCell ref="P2076:S2076"/>
    <mergeCell ref="P1017:S1017"/>
    <mergeCell ref="P1315:S1315"/>
    <mergeCell ref="P852:S852"/>
    <mergeCell ref="P888:S888"/>
    <mergeCell ref="P133:S133"/>
    <mergeCell ref="P1186:S1186"/>
    <mergeCell ref="P127:S127"/>
    <mergeCell ref="P1317:S1317"/>
    <mergeCell ref="P1615:S1615"/>
    <mergeCell ref="P1913:S1913"/>
    <mergeCell ref="P583:S583"/>
    <mergeCell ref="P2071:S2071"/>
    <mergeCell ref="P1012:S1012"/>
    <mergeCell ref="P135:S135"/>
    <mergeCell ref="P1188:S1188"/>
    <mergeCell ref="P1346:S1346"/>
    <mergeCell ref="P1617:S1617"/>
    <mergeCell ref="P591:S591"/>
    <mergeCell ref="P2282:S2282"/>
    <mergeCell ref="P889:S889"/>
    <mergeCell ref="P883:S883"/>
    <mergeCell ref="P128:S128"/>
    <mergeCell ref="P2073:S2073"/>
    <mergeCell ref="P1312:S1312"/>
    <mergeCell ref="P586:S586"/>
    <mergeCell ref="P601:S601"/>
    <mergeCell ref="P1030:S1030"/>
    <mergeCell ref="P1328:S1328"/>
    <mergeCell ref="P2002:S2002"/>
    <mergeCell ref="P1247:S1247"/>
    <mergeCell ref="P2300:S2300"/>
    <mergeCell ref="P1545:S1545"/>
    <mergeCell ref="P603:S603"/>
    <mergeCell ref="P146:S146"/>
    <mergeCell ref="P2091:S2091"/>
    <mergeCell ref="P304:S304"/>
    <mergeCell ref="P1240:S1240"/>
    <mergeCell ref="P602:S602"/>
    <mergeCell ref="P181:S181"/>
    <mergeCell ref="P596:S596"/>
    <mergeCell ref="P733:S733"/>
    <mergeCell ref="P2302:S2302"/>
    <mergeCell ref="P1547:S1547"/>
    <mergeCell ref="P1031:S1031"/>
    <mergeCell ref="P1845:S1845"/>
    <mergeCell ref="P1025:S1025"/>
    <mergeCell ref="P515:S515"/>
    <mergeCell ref="P813:S813"/>
    <mergeCell ref="P306:S306"/>
    <mergeCell ref="P2301:S2301"/>
    <mergeCell ref="P604:S604"/>
    <mergeCell ref="P1997:S1997"/>
    <mergeCell ref="P1242:S1242"/>
    <mergeCell ref="P815:S815"/>
    <mergeCell ref="P1542:S1542"/>
    <mergeCell ref="P629:S629"/>
    <mergeCell ref="P1715:S1715"/>
    <mergeCell ref="P960:S960"/>
    <mergeCell ref="P2013:S2013"/>
    <mergeCell ref="P2144:S2144"/>
    <mergeCell ref="P655:S655"/>
    <mergeCell ref="P288:S288"/>
    <mergeCell ref="P2015:S2015"/>
    <mergeCell ref="P1260:S1260"/>
    <mergeCell ref="P2313:S2313"/>
    <mergeCell ref="P1558:S1558"/>
    <mergeCell ref="P228:S228"/>
    <mergeCell ref="P1716:S1716"/>
    <mergeCell ref="P657:S657"/>
    <mergeCell ref="P1710:S1710"/>
    <mergeCell ref="P955:S955"/>
    <mergeCell ref="P200:S200"/>
    <mergeCell ref="P2139:S2139"/>
    <mergeCell ref="P1262:S1262"/>
  </mergeCells>
  <pageMargins left="0.2362204724409449" right="0.2362204724409449" top="0.7480314960629921" bottom="0.7480314960629921" header="0.3149606299212598" footer="0.3149606299212598"/>
  <pageSetup orientation="landscape" paperSize="8" scale="93" fitToHeight="0"/>
  <rowBreaks count="4" manualBreakCount="4">
    <brk id="212" min="0" max="18" man="1"/>
    <brk id="231" min="0" max="18" man="1"/>
    <brk id="250" min="0" max="18" man="1"/>
    <brk id="269" min="0" max="16383" man="1"/>
  </rowBreaks>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T1903"/>
  <sheetViews>
    <sheetView view="pageLayout" topLeftCell="A232" zoomScale="70" zoomScaleNormal="90" zoomScalePageLayoutView="70" workbookViewId="0">
      <selection activeCell="K232" sqref="K232"/>
    </sheetView>
  </sheetViews>
  <sheetFormatPr baseColWidth="10" defaultColWidth="9.1640625" defaultRowHeight="12"/>
  <cols>
    <col width="5.5" bestFit="1" customWidth="1" style="30" min="1" max="1"/>
    <col width="8.1640625" bestFit="1" customWidth="1" style="31" min="2" max="2"/>
    <col width="3.1640625" customWidth="1" style="32" min="3" max="3"/>
    <col width="14.6640625" customWidth="1" style="17" min="4" max="4"/>
    <col width="8.5" customWidth="1" style="17" min="5" max="5"/>
    <col width="13.5" customWidth="1" style="17" min="6" max="6"/>
    <col width="14.5" customWidth="1" style="17" min="7" max="7"/>
    <col width="10.5" customWidth="1" style="17" min="8" max="10"/>
    <col width="14" customWidth="1" style="17" min="11" max="11"/>
    <col width="7.6640625" bestFit="1" customWidth="1" style="44" min="12" max="12"/>
    <col width="14" customWidth="1" style="33" min="13" max="13"/>
    <col width="8.1640625" bestFit="1" customWidth="1" style="31" min="14" max="14"/>
    <col width="7.6640625" bestFit="1" customWidth="1" style="44" min="15" max="15"/>
    <col width="15.6640625" customWidth="1" style="17" min="16" max="16"/>
    <col width="10.6640625" bestFit="1" customWidth="1" style="17" min="17" max="17"/>
    <col width="11" customWidth="1" style="17" min="18" max="18"/>
    <col width="7.6640625" bestFit="1" customWidth="1" style="17" min="19" max="19"/>
    <col width="8.1640625" bestFit="1" customWidth="1" style="31" min="20" max="20"/>
    <col width="9.1640625" customWidth="1" style="1" min="21" max="21"/>
    <col width="9.1640625" customWidth="1" style="1" min="22" max="16384"/>
  </cols>
  <sheetData>
    <row r="1" customFormat="1" s="174">
      <c r="A1" s="185" t="n"/>
      <c r="N1" s="185" t="n"/>
    </row>
    <row r="2" customFormat="1" s="174">
      <c r="A2" s="188" t="n"/>
      <c r="B2" s="186" t="n"/>
      <c r="C2" s="190" t="n"/>
      <c r="D2" s="191" t="n"/>
      <c r="K2" s="191" t="n"/>
      <c r="L2" s="78" t="n"/>
      <c r="M2" s="187" t="n"/>
      <c r="N2" s="186" t="n"/>
      <c r="O2" s="78" t="n"/>
      <c r="P2" s="191" t="n"/>
      <c r="Q2" s="189" t="n"/>
    </row>
    <row r="3" ht="48" customFormat="1" customHeight="1" s="174">
      <c r="D3" s="191" t="n"/>
      <c r="E3" s="191" t="n"/>
      <c r="F3" s="191" t="n"/>
      <c r="G3" s="191" t="n"/>
      <c r="H3" s="191" t="n"/>
      <c r="I3" s="191" t="n"/>
      <c r="J3" s="191" t="n"/>
      <c r="L3" s="78" t="n"/>
      <c r="O3" s="78" t="n"/>
      <c r="Q3" s="16" t="n"/>
      <c r="R3" s="16" t="n"/>
      <c r="S3" s="16" t="n"/>
      <c r="T3" s="35" t="n"/>
    </row>
    <row r="4" ht="36" customHeight="1"/>
    <row r="5" ht="36" customHeight="1"/>
    <row r="6" ht="36" customHeight="1"/>
    <row r="7" ht="36" customHeight="1"/>
    <row r="8" ht="36" customHeight="1"/>
    <row r="9" ht="36" customHeight="1"/>
    <row r="10" ht="36" customHeight="1"/>
    <row r="11" ht="36" customHeight="1"/>
    <row r="12" ht="36" customHeight="1"/>
    <row r="13" ht="36" customHeight="1"/>
    <row r="14" ht="36" customHeight="1"/>
    <row r="15" ht="36" customHeight="1"/>
    <row r="16" ht="36" customHeight="1"/>
    <row r="17" ht="36" customHeight="1"/>
    <row r="18" ht="36" customHeight="1"/>
    <row r="19" ht="36" customHeight="1"/>
    <row r="20" ht="36" customHeight="1"/>
    <row r="21" ht="36" customHeight="1">
      <c r="T21" s="82" t="n"/>
    </row>
    <row r="22" ht="36" customHeight="1">
      <c r="T22" s="82" t="inlineStr">
        <is>
          <t>.</t>
        </is>
      </c>
    </row>
    <row r="23" ht="36" customHeight="1"/>
    <row r="24" ht="36" customHeight="1"/>
    <row r="25" ht="36" customHeight="1"/>
    <row r="26" ht="36" customHeight="1"/>
    <row r="27" ht="36" customHeight="1"/>
    <row r="28" ht="36" customHeight="1"/>
    <row r="29" ht="36" customHeight="1"/>
    <row r="30" ht="36" customHeight="1"/>
    <row r="31" ht="36" customHeight="1"/>
    <row r="32" ht="36" customHeight="1"/>
    <row r="33" ht="36" customHeight="1"/>
    <row r="34" ht="36" customHeight="1"/>
    <row r="35" ht="36" customHeight="1"/>
    <row r="36" ht="36" customHeight="1"/>
    <row r="37" ht="36" customHeight="1"/>
    <row r="38" ht="36" customHeight="1"/>
    <row r="39" ht="36" customHeight="1"/>
    <row r="40" ht="36" customHeight="1">
      <c r="T40" s="82" t="n"/>
    </row>
    <row r="41" ht="36" customHeight="1">
      <c r="T41" s="82" t="inlineStr">
        <is>
          <t>.</t>
        </is>
      </c>
    </row>
    <row r="42" ht="36" customHeight="1"/>
    <row r="43" ht="36" customHeight="1"/>
    <row r="44" ht="36" customHeight="1"/>
    <row r="45" ht="36" customHeight="1"/>
    <row r="46" ht="36" customHeight="1"/>
    <row r="47" ht="36" customHeight="1"/>
    <row r="48" ht="36" customHeight="1"/>
    <row r="49" ht="36" customHeight="1"/>
    <row r="50" ht="36" customHeight="1"/>
    <row r="51" ht="36" customHeight="1"/>
    <row r="52" ht="36" customHeight="1"/>
    <row r="53" ht="36" customHeight="1"/>
    <row r="54" ht="36" customHeight="1"/>
    <row r="55" ht="36" customHeight="1"/>
    <row r="56" ht="36" customHeight="1"/>
    <row r="57" ht="36" customHeight="1"/>
    <row r="58" ht="36" customHeight="1"/>
    <row r="59" ht="36" customHeight="1">
      <c r="T59" s="82" t="n"/>
    </row>
    <row r="60" ht="36" customHeight="1">
      <c r="T60" s="82" t="inlineStr">
        <is>
          <t>.</t>
        </is>
      </c>
    </row>
    <row r="61" ht="36" customHeight="1"/>
    <row r="62" ht="36" customHeight="1"/>
    <row r="63" ht="36" customHeight="1"/>
    <row r="64" ht="36" customHeight="1"/>
    <row r="65" ht="36" customHeight="1"/>
    <row r="66" ht="36" customHeight="1"/>
    <row r="67" ht="36" customHeight="1"/>
    <row r="68" ht="36" customHeight="1"/>
    <row r="69" ht="36" customHeight="1"/>
    <row r="70" ht="36" customHeight="1"/>
    <row r="71" ht="36" customHeight="1"/>
    <row r="72" ht="36" customHeight="1"/>
    <row r="73" ht="36" customHeight="1"/>
    <row r="74" ht="36" customHeight="1"/>
    <row r="75" ht="36" customHeight="1"/>
    <row r="76" ht="36" customHeight="1"/>
    <row r="77" ht="36" customHeight="1"/>
    <row r="78" ht="36" customHeight="1">
      <c r="T78" s="82" t="n"/>
    </row>
    <row r="79" ht="36" customHeight="1">
      <c r="T79" s="82" t="inlineStr">
        <is>
          <t>.</t>
        </is>
      </c>
    </row>
    <row r="80" ht="36" customHeight="1"/>
    <row r="81" ht="36" customHeight="1"/>
    <row r="82" ht="36" customHeight="1"/>
    <row r="83" ht="36" customHeight="1"/>
    <row r="84" ht="36" customHeight="1"/>
    <row r="85" ht="36" customHeight="1"/>
    <row r="86" ht="36" customHeight="1"/>
    <row r="87" ht="36" customHeight="1"/>
    <row r="88" ht="36" customHeight="1"/>
    <row r="89" ht="36" customHeight="1"/>
    <row r="90" ht="36" customHeight="1"/>
    <row r="91" ht="36" customHeight="1"/>
    <row r="92" ht="36" customHeight="1"/>
    <row r="93" ht="36" customHeight="1"/>
    <row r="94" ht="36" customHeight="1"/>
    <row r="95" ht="36" customHeight="1"/>
    <row r="96" ht="36" customHeight="1"/>
    <row r="97" ht="36" customHeight="1">
      <c r="T97" s="82" t="n"/>
    </row>
    <row r="98" ht="36" customHeight="1">
      <c r="T98" s="82" t="inlineStr">
        <is>
          <t>.</t>
        </is>
      </c>
    </row>
    <row r="99" ht="36" customHeight="1"/>
    <row r="100" ht="36" customHeight="1"/>
    <row r="101" ht="36" customHeight="1"/>
    <row r="102" ht="36" customHeight="1"/>
    <row r="103" ht="36" customHeight="1"/>
    <row r="104" ht="36" customHeight="1"/>
    <row r="105" ht="36" customHeight="1"/>
    <row r="106" ht="36" customHeight="1"/>
    <row r="107" ht="36" customHeight="1"/>
    <row r="108" ht="36" customHeight="1"/>
    <row r="109" ht="36" customHeight="1"/>
    <row r="110" ht="36" customHeight="1"/>
    <row r="111" ht="36" customHeight="1"/>
    <row r="112" ht="36" customHeight="1"/>
    <row r="113" ht="36" customHeight="1"/>
    <row r="114" ht="36" customHeight="1"/>
    <row r="115" ht="36" customHeight="1"/>
    <row r="116" ht="36" customHeight="1">
      <c r="T116" s="82" t="n"/>
    </row>
    <row r="117" ht="36" customHeight="1">
      <c r="T117" s="82" t="inlineStr">
        <is>
          <t>.</t>
        </is>
      </c>
    </row>
    <row r="118" ht="36" customHeight="1"/>
    <row r="119" ht="36" customHeight="1"/>
    <row r="120" ht="36" customHeight="1"/>
    <row r="121" ht="36" customHeight="1"/>
    <row r="122" ht="36" customHeight="1"/>
    <row r="123" ht="36" customHeight="1"/>
    <row r="124" ht="36" customHeight="1"/>
    <row r="125" ht="36" customHeight="1"/>
    <row r="126" ht="36" customHeight="1"/>
    <row r="127" ht="36" customHeight="1"/>
    <row r="128" ht="36" customHeight="1"/>
    <row r="129" ht="36" customHeight="1"/>
    <row r="130" ht="36" customHeight="1"/>
    <row r="131" ht="36" customHeight="1"/>
    <row r="132" ht="36" customHeight="1"/>
    <row r="133" ht="36" customHeight="1"/>
    <row r="134" ht="36" customHeight="1"/>
    <row r="135" ht="36" customHeight="1">
      <c r="T135" s="82" t="n"/>
    </row>
    <row r="136" ht="36" customHeight="1">
      <c r="T136" s="82" t="inlineStr">
        <is>
          <t>.</t>
        </is>
      </c>
    </row>
    <row r="137" ht="36" customHeight="1"/>
    <row r="138" ht="36" customHeight="1"/>
    <row r="139" ht="36" customHeight="1"/>
    <row r="140" ht="36" customHeight="1"/>
    <row r="141" ht="36" customHeight="1"/>
    <row r="142" ht="36" customHeight="1"/>
    <row r="143" ht="36" customHeight="1"/>
    <row r="144" ht="36" customHeight="1"/>
    <row r="145" ht="36" customHeight="1"/>
    <row r="146" ht="36" customHeight="1"/>
    <row r="147" ht="36" customHeight="1"/>
    <row r="148" ht="36" customHeight="1"/>
    <row r="149" ht="36" customHeight="1"/>
    <row r="150" ht="36" customHeight="1"/>
    <row r="151" ht="36" customHeight="1"/>
    <row r="152" ht="36" customHeight="1"/>
    <row r="153" ht="36" customHeight="1"/>
    <row r="154" ht="36" customHeight="1">
      <c r="T154" s="82" t="n"/>
    </row>
    <row r="155" ht="36" customHeight="1">
      <c r="T155" s="82" t="inlineStr">
        <is>
          <t>.</t>
        </is>
      </c>
    </row>
    <row r="156" ht="36" customHeight="1"/>
    <row r="157" ht="36" customHeight="1"/>
    <row r="158" ht="36" customHeight="1"/>
    <row r="159" ht="36" customHeight="1"/>
    <row r="160" ht="36" customHeight="1"/>
    <row r="161" ht="36" customHeight="1"/>
    <row r="162" ht="36" customHeight="1"/>
    <row r="163" ht="36" customHeight="1"/>
    <row r="164" ht="36" customHeight="1"/>
    <row r="165" ht="36" customHeight="1"/>
    <row r="166" ht="36" customHeight="1"/>
    <row r="167" ht="36" customHeight="1"/>
    <row r="168" ht="36" customHeight="1"/>
    <row r="169" ht="36" customHeight="1"/>
    <row r="170" ht="36" customHeight="1"/>
    <row r="171" ht="36" customHeight="1"/>
    <row r="172" ht="36" customHeight="1"/>
    <row r="173" ht="36" customHeight="1">
      <c r="T173" s="82" t="n"/>
    </row>
    <row r="174" ht="36" customHeight="1">
      <c r="T174" s="82" t="inlineStr">
        <is>
          <t>.</t>
        </is>
      </c>
    </row>
    <row r="175" ht="36" customHeight="1"/>
    <row r="176" ht="36" customHeight="1"/>
    <row r="177" ht="36" customHeight="1"/>
    <row r="178" ht="36" customHeight="1"/>
    <row r="179" ht="36" customHeight="1"/>
    <row r="180" ht="36" customHeight="1"/>
    <row r="181" ht="36" customHeight="1"/>
    <row r="182" ht="36" customHeight="1"/>
    <row r="183" ht="36" customHeight="1"/>
    <row r="184" ht="36" customHeight="1"/>
    <row r="185" ht="36" customHeight="1"/>
    <row r="186" ht="36" customHeight="1"/>
    <row r="187" ht="36" customHeight="1"/>
    <row r="188" ht="36" customHeight="1"/>
    <row r="189" ht="36" customHeight="1"/>
    <row r="190" ht="36" customHeight="1"/>
    <row r="191" ht="36" customHeight="1"/>
    <row r="192" ht="36" customHeight="1">
      <c r="T192" s="82" t="n"/>
    </row>
    <row r="193" ht="36" customHeight="1">
      <c r="T193" s="82" t="inlineStr">
        <is>
          <t>.</t>
        </is>
      </c>
    </row>
    <row r="194" ht="36" customHeight="1"/>
    <row r="195" ht="36" customHeight="1"/>
    <row r="196" ht="36" customHeight="1"/>
    <row r="197" ht="36" customHeight="1"/>
    <row r="198" ht="36" customHeight="1"/>
    <row r="199" ht="36" customHeight="1"/>
    <row r="200" ht="36" customHeight="1"/>
    <row r="201" ht="36" customHeight="1"/>
    <row r="202" ht="36" customHeight="1"/>
    <row r="203" ht="36" customHeight="1"/>
    <row r="204" ht="36" customHeight="1"/>
    <row r="205" ht="36" customHeight="1"/>
    <row r="206" ht="36" customHeight="1"/>
    <row r="207" ht="36" customHeight="1"/>
    <row r="208" ht="36" customHeight="1"/>
    <row r="209" ht="36" customHeight="1"/>
    <row r="210" ht="36" customHeight="1"/>
    <row r="211" ht="36" customHeight="1">
      <c r="T211" s="82" t="n"/>
    </row>
    <row r="212" ht="36" customHeight="1">
      <c r="T212" s="82" t="inlineStr">
        <is>
          <t>.</t>
        </is>
      </c>
    </row>
    <row r="213" ht="36" customHeight="1"/>
    <row r="214" ht="36" customHeight="1"/>
    <row r="215" ht="36" customHeight="1"/>
    <row r="216" ht="36" customHeight="1"/>
    <row r="217" ht="36" customHeight="1"/>
    <row r="218" ht="36" customHeight="1"/>
    <row r="219" ht="36" customHeight="1"/>
    <row r="220" ht="36" customHeight="1"/>
    <row r="221" ht="36" customHeight="1"/>
    <row r="222" ht="36" customHeight="1"/>
    <row r="223" ht="36" customHeight="1"/>
    <row r="224" ht="36" customHeight="1"/>
    <row r="225" ht="36" customHeight="1"/>
    <row r="226" ht="36" customHeight="1"/>
    <row r="227" ht="36" customHeight="1"/>
    <row r="228" ht="36" customHeight="1"/>
    <row r="229" ht="36" customHeight="1"/>
    <row r="230" ht="36" customHeight="1">
      <c r="T230" s="82" t="n"/>
    </row>
    <row r="231" ht="36" customHeight="1">
      <c r="T231" s="82" t="inlineStr">
        <is>
          <t>.</t>
        </is>
      </c>
    </row>
    <row r="232" ht="36" customHeight="1"/>
    <row r="233" ht="36" customHeight="1"/>
    <row r="234" ht="36" customHeight="1"/>
    <row r="235" ht="36" customHeight="1"/>
    <row r="236" ht="36" customHeight="1"/>
    <row r="237" ht="36" customHeight="1"/>
    <row r="238" ht="36" customHeight="1"/>
    <row r="239" ht="36" customHeight="1"/>
    <row r="240" ht="36" customHeight="1"/>
    <row r="241" ht="36" customHeight="1"/>
    <row r="242" ht="36" customHeight="1"/>
    <row r="243" ht="36" customHeight="1"/>
    <row r="244" ht="36" customHeight="1"/>
    <row r="245" ht="36" customHeight="1"/>
    <row r="246" ht="36" customHeight="1"/>
    <row r="247" ht="36" customHeight="1"/>
    <row r="248" ht="36" customHeight="1"/>
    <row r="249" ht="36" customHeight="1">
      <c r="T249" s="82" t="n"/>
    </row>
    <row r="250" ht="36" customHeight="1">
      <c r="T250" s="82" t="inlineStr">
        <is>
          <t>.</t>
        </is>
      </c>
    </row>
    <row r="251" ht="36" customHeight="1"/>
    <row r="252" ht="36" customHeight="1"/>
    <row r="253" ht="36" customHeight="1"/>
    <row r="254" ht="36" customHeight="1"/>
    <row r="255" ht="36" customHeight="1"/>
    <row r="256" ht="36" customHeight="1"/>
    <row r="257" ht="36" customHeight="1"/>
    <row r="258" ht="36" customHeight="1"/>
    <row r="259" ht="36" customHeight="1"/>
    <row r="260" ht="36" customHeight="1"/>
    <row r="261" ht="36" customHeight="1"/>
    <row r="262" ht="36" customHeight="1"/>
    <row r="263" ht="36" customHeight="1"/>
    <row r="264" ht="36" customHeight="1"/>
    <row r="265" ht="36" customHeight="1"/>
    <row r="266" ht="36" customHeight="1"/>
    <row r="267" ht="36" customHeight="1"/>
    <row r="268" ht="36" customHeight="1">
      <c r="T268" s="82" t="n"/>
    </row>
    <row r="269" ht="36" customHeight="1">
      <c r="T269" s="82" t="inlineStr">
        <is>
          <t>.</t>
        </is>
      </c>
    </row>
    <row r="270" ht="36" customHeight="1"/>
    <row r="271" ht="36" customHeight="1"/>
    <row r="272" ht="36" customHeight="1"/>
    <row r="273" ht="36" customHeight="1"/>
    <row r="274" ht="36" customHeight="1"/>
    <row r="275" ht="36" customHeight="1"/>
    <row r="276" ht="36" customHeight="1"/>
    <row r="277" ht="36" customHeight="1"/>
    <row r="278" ht="36" customHeight="1"/>
    <row r="279" ht="36" customHeight="1"/>
    <row r="280" ht="36" customHeight="1"/>
    <row r="281" ht="36" customHeight="1"/>
    <row r="282" ht="36" customHeight="1"/>
    <row r="283" ht="36" customHeight="1"/>
    <row r="284" ht="36" customHeight="1"/>
    <row r="285" ht="36" customHeight="1"/>
    <row r="286" ht="36" customHeight="1"/>
    <row r="287" ht="36" customHeight="1">
      <c r="T287" s="82" t="n"/>
    </row>
    <row r="288" ht="36" customHeight="1">
      <c r="T288" s="82" t="inlineStr">
        <is>
          <t>.</t>
        </is>
      </c>
    </row>
    <row r="289" ht="36" customHeight="1"/>
    <row r="290" ht="36" customHeight="1"/>
    <row r="291" ht="36" customHeight="1"/>
    <row r="292" ht="36" customHeight="1"/>
    <row r="293" ht="36" customHeight="1"/>
    <row r="294" ht="36" customHeight="1"/>
    <row r="295" ht="36" customHeight="1"/>
    <row r="296" ht="36" customHeight="1"/>
    <row r="297" ht="36" customHeight="1"/>
    <row r="298" ht="36" customHeight="1"/>
    <row r="299" ht="36" customHeight="1"/>
    <row r="300" ht="36" customHeight="1"/>
    <row r="301" ht="36" customHeight="1"/>
    <row r="302" ht="36" customHeight="1"/>
    <row r="303" ht="36" customHeight="1"/>
    <row r="304" ht="36" customHeight="1"/>
    <row r="305" ht="36" customHeight="1"/>
    <row r="306" ht="36" customHeight="1">
      <c r="T306" s="82" t="n"/>
    </row>
    <row r="307" ht="36" customHeight="1">
      <c r="T307" s="82" t="inlineStr">
        <is>
          <t>.</t>
        </is>
      </c>
    </row>
    <row r="308" ht="36" customHeight="1"/>
    <row r="309" ht="36" customHeight="1"/>
    <row r="310" ht="36" customHeight="1"/>
    <row r="311" ht="36" customHeight="1"/>
    <row r="312" ht="36" customHeight="1"/>
    <row r="313" ht="36" customHeight="1"/>
    <row r="314" ht="36" customHeight="1"/>
    <row r="315" ht="36" customHeight="1"/>
    <row r="316" ht="36" customHeight="1"/>
    <row r="317" ht="36" customHeight="1"/>
    <row r="318" ht="36" customHeight="1"/>
    <row r="319" ht="36" customHeight="1"/>
    <row r="320" ht="36" customHeight="1"/>
    <row r="321" ht="36" customHeight="1"/>
    <row r="322" ht="36" customHeight="1"/>
    <row r="323" ht="36" customHeight="1"/>
    <row r="324" ht="36" customHeight="1"/>
    <row r="325" ht="36" customHeight="1">
      <c r="T325" s="82" t="n"/>
    </row>
    <row r="326" ht="36" customHeight="1">
      <c r="T326" s="82" t="inlineStr">
        <is>
          <t>.</t>
        </is>
      </c>
    </row>
    <row r="327" ht="36" customHeight="1"/>
    <row r="328" ht="36" customHeight="1"/>
    <row r="329" ht="36" customHeight="1"/>
    <row r="330" ht="36" customHeight="1"/>
    <row r="331" ht="36" customHeight="1"/>
    <row r="332" ht="36" customHeight="1"/>
    <row r="333" ht="36" customHeight="1"/>
    <row r="334" ht="36" customHeight="1"/>
    <row r="335" ht="36" customHeight="1"/>
    <row r="336" ht="36" customHeight="1"/>
    <row r="337" ht="36" customHeight="1"/>
    <row r="338" ht="36" customHeight="1"/>
    <row r="339" ht="36" customHeight="1"/>
    <row r="340" ht="36" customHeight="1"/>
    <row r="341" ht="36" customHeight="1"/>
    <row r="342" ht="36" customHeight="1"/>
    <row r="343" ht="36" customHeight="1"/>
    <row r="344" ht="36" customHeight="1">
      <c r="T344" s="82" t="n"/>
    </row>
    <row r="345" ht="36" customHeight="1">
      <c r="T345" s="82" t="inlineStr">
        <is>
          <t>.</t>
        </is>
      </c>
    </row>
    <row r="346" ht="36" customHeight="1"/>
    <row r="347" ht="36" customHeight="1"/>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c r="T363" s="82" t="n"/>
    </row>
    <row r="364" ht="36" customHeight="1">
      <c r="T364" s="82" t="inlineStr">
        <is>
          <t>.</t>
        </is>
      </c>
    </row>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c r="T382" s="82" t="n"/>
    </row>
    <row r="383" ht="36" customHeight="1">
      <c r="T383" s="82" t="inlineStr">
        <is>
          <t>.</t>
        </is>
      </c>
    </row>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c r="T401" s="82" t="n"/>
    </row>
    <row r="402" ht="36" customHeight="1">
      <c r="T402" s="82" t="inlineStr">
        <is>
          <t>.</t>
        </is>
      </c>
    </row>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c r="T420" s="82" t="n"/>
    </row>
    <row r="421" ht="36" customHeight="1">
      <c r="T421" s="82" t="inlineStr">
        <is>
          <t>.</t>
        </is>
      </c>
    </row>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c r="T439" s="82" t="n"/>
    </row>
    <row r="440" ht="36" customHeight="1">
      <c r="T440" s="82" t="inlineStr">
        <is>
          <t>.</t>
        </is>
      </c>
    </row>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c r="T458" s="82" t="n"/>
    </row>
    <row r="459" ht="36" customHeight="1">
      <c r="T459" s="82" t="inlineStr">
        <is>
          <t>.</t>
        </is>
      </c>
    </row>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c r="T477" s="82" t="n"/>
    </row>
    <row r="478" ht="36" customHeight="1">
      <c r="T478" s="82" t="inlineStr">
        <is>
          <t>.</t>
        </is>
      </c>
    </row>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c r="T496" s="82" t="n"/>
    </row>
    <row r="497" ht="36" customHeight="1">
      <c r="T497" s="82" t="inlineStr">
        <is>
          <t>.</t>
        </is>
      </c>
    </row>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c r="T515" s="82" t="n"/>
    </row>
    <row r="516" ht="36" customHeight="1">
      <c r="T516" s="82" t="inlineStr">
        <is>
          <t>.</t>
        </is>
      </c>
    </row>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c r="T534" s="82" t="n"/>
    </row>
    <row r="535" ht="36" customHeight="1">
      <c r="T535" s="82" t="inlineStr">
        <is>
          <t>.</t>
        </is>
      </c>
    </row>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c r="T553" s="82" t="n"/>
    </row>
    <row r="554" ht="36" customHeight="1">
      <c r="T554" s="82" t="inlineStr">
        <is>
          <t>.</t>
        </is>
      </c>
    </row>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c r="T572" s="82" t="n"/>
    </row>
    <row r="573" ht="36" customHeight="1">
      <c r="T573" s="82" t="inlineStr">
        <is>
          <t>.</t>
        </is>
      </c>
    </row>
    <row r="574" ht="36" customHeight="1"/>
    <row r="575" ht="36" customHeight="1"/>
    <row r="576" ht="36" customHeight="1"/>
    <row r="577" ht="36" customHeight="1"/>
    <row r="578" ht="36" customHeight="1"/>
    <row r="579" ht="36" customHeight="1"/>
    <row r="580" ht="36" customHeight="1"/>
    <row r="581" ht="36" customHeight="1"/>
    <row r="582" ht="36" customHeight="1"/>
    <row r="583" ht="36" customHeight="1"/>
    <row r="584" ht="36" customHeight="1"/>
    <row r="585" ht="36" customHeight="1"/>
    <row r="586" ht="36" customHeight="1"/>
    <row r="587" ht="36" customHeight="1"/>
    <row r="588" ht="36" customHeight="1"/>
    <row r="589" ht="36" customHeight="1"/>
    <row r="590" ht="36" customHeight="1"/>
    <row r="591" ht="36" customHeight="1">
      <c r="T591" s="82" t="n"/>
    </row>
    <row r="592" ht="36" customHeight="1">
      <c r="T592" s="82" t="inlineStr">
        <is>
          <t>.</t>
        </is>
      </c>
    </row>
    <row r="593" ht="36" customHeight="1"/>
    <row r="594" ht="36" customHeight="1"/>
    <row r="595" ht="36" customHeight="1"/>
    <row r="596" ht="36" customHeight="1"/>
    <row r="597" ht="36" customHeight="1"/>
    <row r="598" ht="36" customHeight="1"/>
    <row r="599" ht="36" customHeight="1"/>
    <row r="600" ht="36" customHeight="1"/>
    <row r="601" ht="36" customHeight="1"/>
    <row r="602" ht="36" customHeight="1"/>
    <row r="603" ht="36" customHeight="1"/>
    <row r="604" ht="36" customHeight="1"/>
    <row r="605" ht="36" customHeight="1"/>
    <row r="606" ht="36" customHeight="1"/>
    <row r="607" ht="36" customHeight="1"/>
    <row r="608" ht="36" customHeight="1"/>
    <row r="609" ht="36" customHeight="1"/>
    <row r="610" ht="36" customHeight="1">
      <c r="T610" s="82" t="n"/>
    </row>
    <row r="611" ht="36" customHeight="1">
      <c r="T611" s="82" t="inlineStr">
        <is>
          <t>.</t>
        </is>
      </c>
    </row>
    <row r="612" ht="36" customHeight="1"/>
    <row r="613" ht="36" customHeight="1"/>
    <row r="614" ht="36" customHeight="1"/>
    <row r="615" ht="36" customHeight="1"/>
    <row r="616" ht="36" customHeight="1"/>
    <row r="617" ht="36" customHeight="1"/>
    <row r="618" ht="36" customHeight="1"/>
    <row r="619" ht="36" customHeight="1"/>
    <row r="620" ht="36" customHeight="1"/>
    <row r="621" ht="36" customHeight="1"/>
    <row r="622" ht="36" customHeight="1"/>
    <row r="623" ht="36" customHeight="1"/>
    <row r="624" ht="36" customHeight="1"/>
    <row r="625" ht="36" customHeight="1"/>
    <row r="626" ht="36" customHeight="1"/>
    <row r="627" ht="36" customHeight="1"/>
    <row r="628" ht="36" customHeight="1"/>
    <row r="629" ht="36" customHeight="1">
      <c r="T629" s="82" t="n"/>
    </row>
    <row r="630" ht="36" customHeight="1">
      <c r="T630" s="82" t="inlineStr">
        <is>
          <t>.</t>
        </is>
      </c>
    </row>
    <row r="631" ht="36" customHeight="1"/>
    <row r="632" ht="36" customHeight="1"/>
    <row r="633" ht="36" customHeight="1"/>
    <row r="634" ht="36" customHeight="1"/>
    <row r="635" ht="36" customHeight="1"/>
    <row r="636" ht="36" customHeight="1"/>
    <row r="637" ht="36" customHeight="1"/>
    <row r="638" ht="36" customHeight="1"/>
    <row r="639" ht="36" customHeight="1"/>
    <row r="640" ht="36" customHeight="1"/>
    <row r="641" ht="36" customHeight="1"/>
    <row r="642" ht="36" customHeight="1"/>
    <row r="643" ht="36" customHeight="1"/>
    <row r="644" ht="36" customHeight="1"/>
    <row r="645" ht="36" customHeight="1"/>
    <row r="646" ht="36" customHeight="1"/>
    <row r="647" ht="36" customHeight="1"/>
    <row r="648" ht="36" customHeight="1">
      <c r="T648" s="82" t="n"/>
    </row>
    <row r="649" ht="36" customHeight="1">
      <c r="T649" s="82" t="inlineStr">
        <is>
          <t>.</t>
        </is>
      </c>
    </row>
    <row r="650" ht="36" customHeight="1"/>
    <row r="651" ht="36" customHeight="1"/>
    <row r="652" ht="36" customHeight="1"/>
    <row r="653" ht="36" customHeight="1"/>
    <row r="654" ht="36" customHeight="1"/>
    <row r="655" ht="36" customHeight="1"/>
    <row r="656" ht="36" customHeight="1"/>
    <row r="657" ht="36" customHeight="1"/>
    <row r="658" ht="36" customHeight="1"/>
    <row r="659" ht="36" customHeight="1"/>
    <row r="660" ht="36" customHeight="1"/>
    <row r="661" ht="36" customHeight="1"/>
    <row r="662" ht="36" customHeight="1"/>
    <row r="663" ht="36" customHeight="1"/>
    <row r="664" ht="36" customHeight="1"/>
    <row r="665" ht="36" customHeight="1"/>
    <row r="666" ht="36" customHeight="1"/>
    <row r="667" ht="36" customHeight="1">
      <c r="T667" s="82" t="n"/>
    </row>
    <row r="668" ht="36" customHeight="1">
      <c r="T668" s="82" t="inlineStr">
        <is>
          <t>.</t>
        </is>
      </c>
    </row>
    <row r="669" ht="36" customHeight="1"/>
    <row r="670" ht="36" customHeight="1"/>
    <row r="671" ht="36" customHeight="1"/>
    <row r="672" ht="36" customHeight="1"/>
    <row r="673" ht="36" customHeight="1"/>
    <row r="674" ht="36" customHeight="1"/>
    <row r="675" ht="36" customHeight="1"/>
    <row r="676" ht="36" customHeight="1"/>
    <row r="677" ht="36" customHeight="1"/>
    <row r="678" ht="36" customHeight="1"/>
    <row r="679" ht="36" customHeight="1"/>
    <row r="680" ht="36" customHeight="1"/>
    <row r="681" ht="36" customHeight="1"/>
    <row r="682" ht="36" customHeight="1"/>
    <row r="683" ht="36" customHeight="1"/>
    <row r="684" ht="36" customHeight="1"/>
    <row r="685" ht="36" customHeight="1"/>
    <row r="686" ht="36" customHeight="1">
      <c r="T686" s="82" t="n"/>
    </row>
    <row r="687" ht="36" customHeight="1">
      <c r="T687" s="82" t="inlineStr">
        <is>
          <t>.</t>
        </is>
      </c>
    </row>
    <row r="688" ht="36" customHeight="1"/>
    <row r="689" ht="36" customHeight="1"/>
    <row r="690" ht="36" customHeight="1"/>
    <row r="691" ht="36" customHeight="1"/>
    <row r="692" ht="36" customHeight="1"/>
    <row r="693" ht="36" customHeight="1"/>
    <row r="694" ht="36" customHeight="1"/>
    <row r="695" ht="36" customHeight="1"/>
    <row r="696" ht="36" customHeight="1"/>
    <row r="697" ht="36" customHeight="1"/>
    <row r="698" ht="36" customHeight="1"/>
    <row r="699" ht="36" customHeight="1"/>
    <row r="700" ht="36" customHeight="1"/>
    <row r="701" ht="36" customHeight="1"/>
    <row r="702" ht="36" customHeight="1"/>
    <row r="703" ht="36" customHeight="1"/>
    <row r="704" ht="36" customHeight="1"/>
    <row r="705" ht="36" customHeight="1">
      <c r="T705" s="82" t="n"/>
    </row>
    <row r="706" ht="36" customHeight="1">
      <c r="T706" s="82" t="inlineStr">
        <is>
          <t>.</t>
        </is>
      </c>
    </row>
    <row r="707" ht="36" customHeight="1"/>
    <row r="708" ht="36" customHeight="1"/>
    <row r="709" ht="36" customHeight="1"/>
    <row r="710" ht="36" customHeight="1"/>
    <row r="711" ht="36" customHeight="1"/>
    <row r="712" ht="36" customHeight="1"/>
    <row r="713" ht="36" customHeight="1"/>
    <row r="714" ht="36" customHeight="1"/>
    <row r="715" ht="36" customHeight="1"/>
    <row r="716" ht="36" customHeight="1"/>
    <row r="717" ht="36" customHeight="1"/>
    <row r="718" ht="36" customHeight="1"/>
    <row r="719" ht="36" customHeight="1"/>
    <row r="720" ht="36" customHeight="1"/>
    <row r="721" ht="36" customHeight="1"/>
    <row r="722" ht="36" customHeight="1"/>
    <row r="723" ht="36" customHeight="1"/>
    <row r="724" ht="36" customHeight="1">
      <c r="T724" s="82" t="n"/>
    </row>
    <row r="725" ht="36" customHeight="1">
      <c r="T725" s="82" t="inlineStr">
        <is>
          <t>.</t>
        </is>
      </c>
    </row>
    <row r="726" ht="36" customHeight="1"/>
    <row r="727" ht="36" customHeight="1"/>
    <row r="728" ht="36" customHeight="1"/>
    <row r="729" ht="36" customHeight="1"/>
    <row r="730" ht="36" customHeight="1"/>
    <row r="731" ht="36" customHeight="1"/>
    <row r="732" ht="36" customHeight="1"/>
    <row r="733" ht="36" customHeight="1"/>
    <row r="734" ht="36" customHeight="1"/>
    <row r="735" ht="36" customHeight="1"/>
    <row r="736" ht="36" customHeight="1"/>
    <row r="737" ht="36" customHeight="1"/>
    <row r="738" ht="36" customHeight="1"/>
    <row r="739" ht="36" customHeight="1"/>
    <row r="740" ht="36" customHeight="1"/>
    <row r="741" ht="36" customHeight="1"/>
    <row r="742" ht="36" customHeight="1"/>
    <row r="743" ht="36" customHeight="1">
      <c r="T743" s="82" t="n"/>
    </row>
    <row r="744" ht="36" customHeight="1">
      <c r="T744" s="82" t="inlineStr">
        <is>
          <t>.</t>
        </is>
      </c>
    </row>
    <row r="745" ht="36" customHeight="1"/>
    <row r="746" ht="36" customHeight="1"/>
    <row r="747" ht="36" customHeight="1"/>
    <row r="748" ht="36" customHeight="1"/>
    <row r="749" ht="36" customHeight="1"/>
    <row r="750" ht="36" customHeight="1"/>
    <row r="751" ht="36" customHeight="1"/>
    <row r="752" ht="36" customHeight="1"/>
    <row r="753" ht="36" customHeight="1"/>
    <row r="754" ht="36" customHeight="1"/>
    <row r="755" ht="36" customHeight="1"/>
    <row r="756" ht="36" customHeight="1"/>
    <row r="757" ht="36" customHeight="1"/>
    <row r="758" ht="36" customHeight="1"/>
    <row r="759" ht="36" customHeight="1"/>
    <row r="760" ht="36" customHeight="1"/>
    <row r="761" ht="36" customHeight="1"/>
    <row r="762" ht="36" customHeight="1">
      <c r="T762" s="82" t="n"/>
    </row>
    <row r="763" ht="36" customHeight="1">
      <c r="T763" s="82" t="inlineStr">
        <is>
          <t>.</t>
        </is>
      </c>
    </row>
    <row r="764" ht="36" customHeight="1"/>
    <row r="765" ht="36" customHeight="1"/>
    <row r="766" ht="36" customHeight="1"/>
    <row r="767" ht="36" customHeight="1"/>
    <row r="768" ht="36" customHeight="1"/>
    <row r="769" ht="36" customHeight="1"/>
    <row r="770" ht="36" customHeight="1"/>
    <row r="771" ht="36" customHeight="1"/>
    <row r="772" ht="36" customHeight="1"/>
    <row r="773" ht="36" customHeight="1"/>
    <row r="774" ht="36" customHeight="1"/>
    <row r="775" ht="36" customHeight="1"/>
    <row r="776" ht="36" customHeight="1"/>
    <row r="777" ht="36" customHeight="1"/>
    <row r="778" ht="36" customHeight="1"/>
    <row r="779" ht="36" customHeight="1"/>
    <row r="780" ht="36" customHeight="1"/>
    <row r="781" ht="36" customHeight="1">
      <c r="T781" s="82" t="n"/>
    </row>
    <row r="782" ht="36" customHeight="1">
      <c r="T782" s="82" t="inlineStr">
        <is>
          <t>.</t>
        </is>
      </c>
    </row>
    <row r="783" ht="36" customHeight="1"/>
    <row r="784" ht="36" customHeight="1"/>
    <row r="785" ht="36" customHeight="1"/>
    <row r="786" ht="36" customHeight="1"/>
    <row r="787" ht="36" customHeight="1"/>
    <row r="788" ht="36" customHeight="1"/>
    <row r="789" ht="36" customHeight="1"/>
    <row r="790" ht="36" customHeight="1"/>
    <row r="791" ht="36" customHeight="1"/>
    <row r="792" ht="36" customHeight="1"/>
    <row r="793" ht="36" customHeight="1"/>
    <row r="794" ht="36" customHeight="1"/>
    <row r="795" ht="36" customHeight="1"/>
    <row r="796" ht="36" customHeight="1"/>
    <row r="797" ht="36" customHeight="1"/>
    <row r="798" ht="36" customHeight="1"/>
    <row r="799" ht="36" customHeight="1"/>
    <row r="800" ht="36" customHeight="1">
      <c r="T800" s="82" t="n"/>
    </row>
    <row r="801" ht="36" customHeight="1">
      <c r="T801" s="82" t="inlineStr">
        <is>
          <t>.</t>
        </is>
      </c>
    </row>
    <row r="802" ht="36" customHeight="1"/>
    <row r="803" ht="36" customHeight="1"/>
    <row r="804" ht="36" customHeight="1"/>
    <row r="805" ht="36" customHeight="1"/>
    <row r="806" ht="36" customHeight="1"/>
    <row r="807" ht="36" customHeight="1"/>
    <row r="808" ht="36" customHeight="1"/>
    <row r="809" ht="36" customHeight="1"/>
    <row r="810" ht="36" customHeight="1"/>
    <row r="811" ht="36" customHeight="1"/>
    <row r="812" ht="36" customHeight="1"/>
    <row r="813" ht="36" customHeight="1"/>
    <row r="814" ht="36" customHeight="1"/>
    <row r="815" ht="36" customHeight="1"/>
    <row r="816" ht="36" customHeight="1"/>
    <row r="817" ht="36" customHeight="1"/>
    <row r="818" ht="36" customHeight="1"/>
    <row r="819" ht="36" customHeight="1">
      <c r="T819" s="82" t="n"/>
    </row>
    <row r="820" ht="36" customHeight="1">
      <c r="T820" s="82" t="inlineStr">
        <is>
          <t>.</t>
        </is>
      </c>
    </row>
    <row r="821" ht="36" customHeight="1"/>
    <row r="822" ht="36" customHeight="1"/>
    <row r="823" ht="36" customHeight="1"/>
    <row r="824" ht="36" customHeight="1"/>
    <row r="825" ht="36" customHeight="1"/>
    <row r="826" ht="36" customHeight="1"/>
    <row r="827" ht="36" customHeight="1"/>
    <row r="828" ht="36" customHeight="1"/>
    <row r="829" ht="36" customHeight="1"/>
    <row r="830" ht="36" customHeight="1"/>
    <row r="831" ht="36" customHeight="1"/>
    <row r="832" ht="36" customHeight="1"/>
    <row r="833" ht="36" customHeight="1"/>
    <row r="834" ht="36" customHeight="1"/>
    <row r="835" ht="36" customHeight="1"/>
    <row r="836" ht="36" customHeight="1"/>
    <row r="837" ht="36" customHeight="1"/>
    <row r="838" ht="36" customHeight="1">
      <c r="T838" s="82" t="n"/>
    </row>
    <row r="839" ht="36" customHeight="1">
      <c r="T839" s="82" t="inlineStr">
        <is>
          <t>.</t>
        </is>
      </c>
    </row>
    <row r="840" ht="36" customHeight="1"/>
    <row r="841" ht="36" customHeight="1"/>
    <row r="842" ht="36" customHeight="1"/>
    <row r="843" ht="36" customHeight="1"/>
    <row r="844" ht="36" customHeight="1"/>
    <row r="845" ht="36" customHeight="1"/>
    <row r="846" ht="36" customHeight="1"/>
    <row r="847" ht="36" customHeight="1"/>
    <row r="848" ht="36" customHeight="1"/>
    <row r="849" ht="36" customHeight="1"/>
    <row r="850" ht="36" customHeight="1"/>
    <row r="851" ht="36" customHeight="1"/>
    <row r="852" ht="36" customHeight="1"/>
    <row r="853" ht="36" customHeight="1"/>
    <row r="854" ht="36" customHeight="1"/>
    <row r="855" ht="36" customHeight="1"/>
    <row r="856" ht="36" customHeight="1"/>
    <row r="857" ht="36" customHeight="1">
      <c r="T857" s="82" t="n"/>
    </row>
    <row r="858" ht="36" customHeight="1">
      <c r="T858" s="82" t="inlineStr">
        <is>
          <t>.</t>
        </is>
      </c>
    </row>
    <row r="859" ht="36" customHeight="1"/>
    <row r="860" ht="36" customHeight="1"/>
    <row r="861" ht="36" customHeight="1"/>
    <row r="862" ht="36" customHeight="1"/>
    <row r="863" ht="36" customHeight="1"/>
    <row r="864" ht="36" customHeight="1"/>
    <row r="865" ht="36" customHeight="1"/>
    <row r="866" ht="36" customHeight="1"/>
    <row r="867" ht="36" customHeight="1"/>
    <row r="868" ht="36" customHeight="1"/>
    <row r="869" ht="36" customHeight="1"/>
    <row r="870" ht="36" customHeight="1"/>
    <row r="871" ht="36" customHeight="1"/>
    <row r="872" ht="36" customHeight="1"/>
    <row r="873" ht="36" customHeight="1"/>
    <row r="874" ht="36" customHeight="1"/>
    <row r="875" ht="36" customHeight="1"/>
    <row r="876" ht="36" customHeight="1">
      <c r="T876" s="82" t="n"/>
    </row>
    <row r="877" ht="36" customHeight="1">
      <c r="T877" s="82" t="inlineStr">
        <is>
          <t>.</t>
        </is>
      </c>
    </row>
    <row r="878" ht="36" customHeight="1"/>
    <row r="879" ht="36" customHeight="1"/>
    <row r="880" ht="36" customHeight="1"/>
    <row r="881" ht="36" customHeight="1"/>
    <row r="882" ht="36" customHeight="1"/>
    <row r="883" ht="36" customHeight="1"/>
    <row r="884" ht="36" customHeight="1"/>
    <row r="885" ht="36" customHeight="1"/>
    <row r="886" ht="36" customHeight="1"/>
    <row r="887" ht="36" customHeight="1"/>
    <row r="888" ht="36" customHeight="1"/>
    <row r="889" ht="36" customHeight="1"/>
    <row r="890" ht="36" customHeight="1"/>
    <row r="891" ht="36" customHeight="1"/>
    <row r="892" ht="36" customHeight="1"/>
    <row r="893" ht="36" customHeight="1"/>
    <row r="894" ht="36" customHeight="1"/>
    <row r="895" ht="36" customHeight="1">
      <c r="T895" s="82" t="n"/>
    </row>
    <row r="896" ht="36" customHeight="1">
      <c r="T896" s="82" t="inlineStr">
        <is>
          <t>.</t>
        </is>
      </c>
    </row>
    <row r="897" ht="36" customHeight="1"/>
    <row r="898" ht="36" customHeight="1"/>
    <row r="899" ht="36" customHeight="1"/>
    <row r="900" ht="36" customHeight="1"/>
    <row r="901" ht="36" customHeight="1"/>
    <row r="902" ht="36" customHeight="1"/>
    <row r="903" ht="36" customHeight="1"/>
    <row r="904" ht="36" customHeight="1"/>
    <row r="905" ht="36" customHeight="1"/>
    <row r="906" ht="36" customHeight="1"/>
    <row r="907" ht="36" customHeight="1"/>
    <row r="908" ht="36" customHeight="1"/>
    <row r="909" ht="36" customHeight="1"/>
    <row r="910" ht="36" customHeight="1"/>
    <row r="911" ht="36" customHeight="1"/>
    <row r="912" ht="36" customHeight="1"/>
    <row r="913" ht="36" customHeight="1"/>
    <row r="914" ht="36" customHeight="1">
      <c r="T914" s="82" t="n"/>
    </row>
    <row r="915" ht="36" customHeight="1">
      <c r="T915" s="82" t="inlineStr">
        <is>
          <t>.</t>
        </is>
      </c>
    </row>
    <row r="916" ht="36" customHeight="1"/>
    <row r="917" ht="36" customHeight="1"/>
    <row r="918" ht="36" customHeight="1"/>
    <row r="919" ht="36" customHeight="1"/>
    <row r="920" ht="36" customHeight="1"/>
    <row r="921" ht="36" customHeight="1"/>
    <row r="922" ht="36" customHeight="1"/>
    <row r="923" ht="36" customHeight="1"/>
    <row r="924" ht="36" customHeight="1"/>
    <row r="925" ht="36" customHeight="1"/>
    <row r="926" ht="36" customHeight="1"/>
    <row r="927" ht="36" customHeight="1"/>
    <row r="928" ht="36" customHeight="1"/>
    <row r="929" ht="36" customHeight="1"/>
    <row r="930" ht="36" customHeight="1"/>
    <row r="931" ht="36" customHeight="1"/>
    <row r="932" ht="36" customHeight="1"/>
    <row r="933" ht="36" customHeight="1">
      <c r="T933" s="82" t="n"/>
    </row>
    <row r="934" ht="36" customHeight="1">
      <c r="T934" s="82" t="inlineStr">
        <is>
          <t>.</t>
        </is>
      </c>
    </row>
    <row r="935" ht="36" customHeight="1"/>
    <row r="936" ht="36" customHeight="1"/>
    <row r="937" ht="36" customHeight="1"/>
    <row r="938" ht="36" customHeight="1"/>
    <row r="939" ht="36" customHeight="1"/>
    <row r="940" ht="36" customHeight="1"/>
    <row r="941" ht="36" customHeight="1"/>
    <row r="942" ht="36" customHeight="1"/>
    <row r="943" ht="36" customHeight="1"/>
    <row r="944" ht="36" customHeight="1"/>
    <row r="945" ht="36" customHeight="1"/>
    <row r="946" ht="36" customHeight="1"/>
    <row r="947" ht="36" customHeight="1"/>
    <row r="948" ht="36" customHeight="1"/>
    <row r="949" ht="36" customHeight="1"/>
    <row r="950" ht="36" customHeight="1"/>
    <row r="951" ht="36" customHeight="1"/>
    <row r="952" ht="36" customHeight="1">
      <c r="T952" s="82" t="n"/>
    </row>
    <row r="953" ht="36" customHeight="1">
      <c r="T953" s="82" t="inlineStr">
        <is>
          <t>.</t>
        </is>
      </c>
    </row>
    <row r="954" ht="36" customHeight="1"/>
    <row r="955" ht="36" customHeight="1"/>
    <row r="956" ht="36" customHeight="1"/>
    <row r="957" ht="36" customHeight="1"/>
    <row r="958" ht="36" customHeight="1"/>
    <row r="959" ht="36" customHeight="1"/>
    <row r="960" ht="36" customHeight="1"/>
    <row r="961" ht="36" customHeight="1"/>
    <row r="962" ht="36" customHeight="1"/>
    <row r="963" ht="36" customHeight="1"/>
    <row r="964" ht="36" customHeight="1"/>
    <row r="965" ht="36" customHeight="1"/>
    <row r="966" ht="36" customHeight="1"/>
    <row r="967" ht="36" customHeight="1"/>
    <row r="968" ht="36" customHeight="1"/>
    <row r="969" ht="36" customHeight="1"/>
    <row r="970" ht="36" customHeight="1"/>
    <row r="971" ht="36" customHeight="1">
      <c r="T971" s="82" t="n"/>
    </row>
    <row r="972" ht="36" customHeight="1">
      <c r="T972" s="82" t="inlineStr">
        <is>
          <t>.</t>
        </is>
      </c>
    </row>
    <row r="973" ht="36" customHeight="1"/>
    <row r="974" ht="36" customHeight="1"/>
    <row r="975" ht="36" customHeight="1"/>
    <row r="976" ht="36" customHeight="1"/>
    <row r="977" ht="36" customHeight="1"/>
    <row r="978" ht="36" customHeight="1"/>
    <row r="979" ht="36" customHeight="1"/>
    <row r="980" ht="36" customHeight="1"/>
    <row r="981" ht="36" customHeight="1"/>
    <row r="982" ht="36" customHeight="1"/>
    <row r="983" ht="36" customHeight="1"/>
    <row r="984" ht="36" customHeight="1"/>
    <row r="985" ht="36" customHeight="1"/>
    <row r="986" ht="36" customHeight="1"/>
    <row r="987" ht="36" customHeight="1"/>
    <row r="988" ht="36" customHeight="1"/>
    <row r="989" ht="36" customHeight="1"/>
    <row r="990" ht="36" customHeight="1">
      <c r="T990" s="82" t="n"/>
    </row>
    <row r="991" ht="36" customHeight="1">
      <c r="T991" s="82" t="inlineStr">
        <is>
          <t>.</t>
        </is>
      </c>
    </row>
    <row r="992" ht="36" customHeight="1"/>
    <row r="993" ht="36" customHeight="1"/>
    <row r="994" ht="36" customHeight="1"/>
    <row r="995" ht="36" customHeight="1"/>
    <row r="996" ht="36" customHeight="1"/>
    <row r="997" ht="36" customHeight="1"/>
    <row r="998" ht="36" customHeight="1"/>
    <row r="999" ht="36" customHeight="1"/>
    <row r="1000" ht="36" customHeight="1"/>
    <row r="1001" ht="36" customHeight="1"/>
    <row r="1002" ht="36" customHeight="1"/>
    <row r="1003" ht="36" customHeight="1"/>
    <row r="1004" ht="36" customHeight="1"/>
    <row r="1005" ht="36" customHeight="1"/>
    <row r="1006" ht="36" customHeight="1"/>
    <row r="1007" ht="36" customHeight="1"/>
    <row r="1008" ht="36" customHeight="1"/>
    <row r="1009" ht="36" customHeight="1">
      <c r="T1009" s="82" t="n"/>
    </row>
    <row r="1010" ht="36" customHeight="1">
      <c r="T1010" s="82" t="inlineStr">
        <is>
          <t>.</t>
        </is>
      </c>
    </row>
    <row r="1011" ht="36" customHeight="1"/>
    <row r="1012" ht="36" customHeight="1"/>
    <row r="1013" ht="36" customHeight="1"/>
    <row r="1014" ht="36" customHeight="1"/>
    <row r="1015" ht="36" customHeight="1"/>
    <row r="1016" ht="36" customHeight="1"/>
    <row r="1017" ht="36" customHeight="1"/>
    <row r="1018" ht="36" customHeight="1"/>
    <row r="1019" ht="36" customHeight="1"/>
    <row r="1020" ht="36" customHeight="1"/>
    <row r="1021" ht="36" customHeight="1"/>
    <row r="1022" ht="36" customHeight="1"/>
    <row r="1023" ht="36" customHeight="1"/>
    <row r="1024" ht="36" customHeight="1"/>
    <row r="1025" ht="36" customHeight="1"/>
    <row r="1026" ht="36" customHeight="1"/>
    <row r="1027" ht="36" customHeight="1"/>
    <row r="1028" ht="36" customHeight="1">
      <c r="T1028" s="82" t="n"/>
    </row>
    <row r="1029" ht="36" customHeight="1">
      <c r="T1029" s="82" t="inlineStr">
        <is>
          <t>.</t>
        </is>
      </c>
    </row>
    <row r="1030" ht="36" customHeight="1"/>
    <row r="1031" ht="36" customHeight="1"/>
    <row r="1032" ht="36" customHeight="1"/>
    <row r="1033" ht="36" customHeight="1"/>
    <row r="1034" ht="36" customHeight="1"/>
    <row r="1035" ht="36" customHeight="1"/>
    <row r="1036" ht="36" customHeight="1"/>
    <row r="1037" ht="36" customHeight="1"/>
    <row r="1038" ht="36" customHeight="1"/>
    <row r="1039" ht="36" customHeight="1"/>
    <row r="1040" ht="36" customHeight="1"/>
    <row r="1041" ht="36" customHeight="1"/>
    <row r="1042" ht="36" customHeight="1"/>
    <row r="1043" ht="36" customHeight="1"/>
    <row r="1044" ht="36" customHeight="1"/>
    <row r="1045" ht="36" customHeight="1"/>
    <row r="1046" ht="36" customHeight="1"/>
    <row r="1047" ht="36" customHeight="1">
      <c r="T1047" s="82" t="n"/>
    </row>
    <row r="1048" ht="36" customHeight="1">
      <c r="T1048" s="82" t="inlineStr">
        <is>
          <t>.</t>
        </is>
      </c>
    </row>
    <row r="1049" ht="36" customHeight="1"/>
    <row r="1050" ht="36" customHeight="1"/>
    <row r="1051" ht="36" customHeight="1"/>
    <row r="1052" ht="36" customHeight="1"/>
    <row r="1053" ht="36" customHeight="1"/>
    <row r="1054" ht="36" customHeight="1"/>
    <row r="1055" ht="36" customHeight="1"/>
    <row r="1056" ht="36" customHeight="1"/>
    <row r="1057" ht="36" customHeight="1"/>
    <row r="1058" ht="36" customHeight="1"/>
    <row r="1059" ht="36" customHeight="1"/>
    <row r="1060" ht="36" customHeight="1"/>
    <row r="1061" ht="36" customHeight="1"/>
    <row r="1062" ht="36" customHeight="1"/>
    <row r="1063" ht="36" customHeight="1"/>
    <row r="1064" ht="36" customHeight="1"/>
    <row r="1065" ht="36" customHeight="1"/>
    <row r="1066" ht="36" customHeight="1">
      <c r="T1066" s="82" t="n"/>
    </row>
    <row r="1067" ht="36" customHeight="1">
      <c r="T1067" s="82" t="inlineStr">
        <is>
          <t>.</t>
        </is>
      </c>
    </row>
    <row r="1068" ht="36" customHeight="1"/>
    <row r="1069" ht="36" customHeight="1"/>
    <row r="1070" ht="36" customHeight="1"/>
    <row r="1071" ht="36" customHeight="1"/>
    <row r="1072" ht="36" customHeight="1"/>
    <row r="1073" ht="36" customHeight="1"/>
    <row r="1074" ht="36" customHeight="1"/>
    <row r="1075" ht="36" customHeight="1"/>
    <row r="1076" ht="36" customHeight="1"/>
    <row r="1077" ht="36" customHeight="1"/>
    <row r="1078" ht="36" customHeight="1"/>
    <row r="1079" ht="36" customHeight="1"/>
    <row r="1080" ht="36" customHeight="1"/>
    <row r="1081" ht="36" customHeight="1"/>
    <row r="1082" ht="36" customHeight="1"/>
    <row r="1083" ht="36" customHeight="1"/>
    <row r="1084" ht="36" customHeight="1"/>
    <row r="1085" ht="36" customHeight="1">
      <c r="T1085" s="82" t="n"/>
    </row>
    <row r="1086" ht="36" customHeight="1">
      <c r="T1086" s="82" t="inlineStr">
        <is>
          <t>.</t>
        </is>
      </c>
    </row>
    <row r="1087" ht="36" customHeight="1"/>
    <row r="1088" ht="36" customHeight="1"/>
    <row r="1089" ht="36" customHeight="1"/>
    <row r="1090" ht="36" customHeight="1"/>
    <row r="1091" ht="36" customHeight="1"/>
    <row r="1092" ht="36" customHeight="1"/>
    <row r="1093" ht="36" customHeight="1"/>
    <row r="1094" ht="36" customHeight="1"/>
    <row r="1095" ht="36" customHeight="1"/>
    <row r="1096" ht="36" customHeight="1"/>
    <row r="1097" ht="36" customHeight="1"/>
    <row r="1098" ht="36" customHeight="1"/>
    <row r="1099" ht="36" customHeight="1"/>
    <row r="1100" ht="36" customHeight="1"/>
    <row r="1101" ht="36" customHeight="1"/>
    <row r="1102" ht="36" customHeight="1"/>
    <row r="1103" ht="36" customHeight="1"/>
    <row r="1104" ht="36" customHeight="1">
      <c r="T1104" s="82" t="n"/>
    </row>
    <row r="1105" ht="36" customHeight="1">
      <c r="T1105" s="82" t="inlineStr">
        <is>
          <t>.</t>
        </is>
      </c>
    </row>
    <row r="1106" ht="36" customHeight="1"/>
    <row r="1107" ht="36" customHeight="1"/>
    <row r="1108" ht="36" customHeight="1"/>
    <row r="1109" ht="36" customHeight="1"/>
    <row r="1110" ht="36" customHeight="1"/>
    <row r="1111" ht="36" customHeight="1"/>
    <row r="1112" ht="36" customHeight="1"/>
    <row r="1113" ht="36" customHeight="1"/>
    <row r="1114" ht="36" customHeight="1"/>
    <row r="1115" ht="36" customHeight="1"/>
    <row r="1116" ht="36" customHeight="1"/>
    <row r="1117" ht="36" customHeight="1"/>
    <row r="1118" ht="36" customHeight="1"/>
    <row r="1119" ht="36" customHeight="1"/>
    <row r="1120" ht="36" customHeight="1"/>
    <row r="1121" ht="36" customHeight="1"/>
    <row r="1122" ht="36" customHeight="1"/>
    <row r="1123" ht="36" customHeight="1">
      <c r="T1123" s="82" t="n"/>
    </row>
    <row r="1124" ht="36" customHeight="1">
      <c r="T1124" s="82" t="inlineStr">
        <is>
          <t>.</t>
        </is>
      </c>
    </row>
    <row r="1125" ht="36" customHeight="1"/>
    <row r="1126" ht="36" customHeight="1"/>
    <row r="1127" ht="36" customHeight="1"/>
    <row r="1128" ht="36" customHeight="1"/>
    <row r="1129" ht="36" customHeight="1"/>
    <row r="1130" ht="36" customHeight="1"/>
    <row r="1131" ht="36" customHeight="1"/>
    <row r="1132" ht="36" customHeight="1"/>
    <row r="1133" ht="36" customHeight="1"/>
    <row r="1134" ht="36" customHeight="1"/>
    <row r="1135" ht="36" customHeight="1"/>
    <row r="1136" ht="36" customHeight="1"/>
    <row r="1137" ht="36" customHeight="1"/>
    <row r="1138" ht="36" customHeight="1"/>
    <row r="1139" ht="36" customHeight="1"/>
    <row r="1140" ht="36" customHeight="1"/>
    <row r="1141" ht="36" customHeight="1"/>
    <row r="1142" ht="36" customHeight="1">
      <c r="T1142" s="82" t="n"/>
    </row>
    <row r="1143" ht="36" customHeight="1">
      <c r="T1143" s="82" t="inlineStr">
        <is>
          <t>.</t>
        </is>
      </c>
    </row>
    <row r="1144" ht="36" customHeight="1"/>
    <row r="1145" ht="36" customHeight="1"/>
    <row r="1146" ht="36" customHeight="1"/>
    <row r="1147" ht="36" customHeight="1"/>
    <row r="1148" ht="36" customHeight="1"/>
    <row r="1149" ht="36" customHeight="1"/>
    <row r="1150" ht="36" customHeight="1"/>
    <row r="1151" ht="36" customHeight="1"/>
    <row r="1152" ht="36" customHeight="1"/>
    <row r="1153" ht="36" customHeight="1"/>
    <row r="1154" ht="36" customHeight="1"/>
    <row r="1155" ht="36" customHeight="1"/>
    <row r="1156" ht="36" customHeight="1"/>
    <row r="1157" ht="36" customHeight="1"/>
    <row r="1158" ht="36" customHeight="1"/>
    <row r="1159" ht="36" customHeight="1"/>
    <row r="1160" ht="36" customHeight="1"/>
    <row r="1161" ht="36" customHeight="1">
      <c r="T1161" s="82" t="n"/>
    </row>
    <row r="1162" ht="36" customHeight="1">
      <c r="T1162" s="82" t="inlineStr">
        <is>
          <t>.</t>
        </is>
      </c>
    </row>
    <row r="1163" ht="36" customHeight="1"/>
    <row r="1164" ht="36" customHeight="1"/>
    <row r="1165" ht="36" customHeight="1"/>
    <row r="1166" ht="36" customHeight="1"/>
    <row r="1167" ht="36" customHeight="1"/>
    <row r="1168" ht="36" customHeight="1"/>
    <row r="1169" ht="36" customHeight="1"/>
    <row r="1170" ht="36" customHeight="1"/>
    <row r="1171" ht="36" customHeight="1"/>
    <row r="1172" ht="36" customHeight="1"/>
    <row r="1173" ht="36" customHeight="1"/>
    <row r="1174" ht="36" customHeight="1"/>
    <row r="1175" ht="36" customHeight="1"/>
    <row r="1176" ht="36" customHeight="1"/>
    <row r="1177" ht="36" customHeight="1"/>
    <row r="1178" ht="36" customHeight="1"/>
    <row r="1179" ht="36" customHeight="1"/>
    <row r="1180" ht="36" customHeight="1">
      <c r="T1180" s="82" t="n"/>
    </row>
    <row r="1181" ht="36" customHeight="1">
      <c r="T1181" s="82" t="inlineStr">
        <is>
          <t>.</t>
        </is>
      </c>
    </row>
    <row r="1182" ht="36" customHeight="1"/>
    <row r="1183" ht="36" customHeight="1"/>
    <row r="1184" ht="36" customHeight="1"/>
    <row r="1185" ht="36" customHeight="1"/>
    <row r="1186" ht="36" customHeight="1"/>
    <row r="1187" ht="36" customHeight="1"/>
    <row r="1188" ht="36" customHeight="1"/>
    <row r="1189" ht="36" customHeight="1"/>
    <row r="1190" ht="36" customHeight="1"/>
    <row r="1191" ht="36" customHeight="1"/>
    <row r="1192" ht="36" customHeight="1"/>
    <row r="1193" ht="36" customHeight="1"/>
    <row r="1194" ht="36" customHeight="1"/>
    <row r="1195" ht="36" customHeight="1"/>
    <row r="1196" ht="36" customHeight="1"/>
    <row r="1197" ht="36" customHeight="1"/>
    <row r="1198" ht="36" customHeight="1"/>
    <row r="1199" ht="36" customHeight="1">
      <c r="T1199" s="82" t="n"/>
    </row>
    <row r="1200" ht="36" customHeight="1">
      <c r="T1200" s="82" t="inlineStr">
        <is>
          <t>.</t>
        </is>
      </c>
    </row>
    <row r="1201" ht="36" customHeight="1"/>
    <row r="1202" ht="36" customHeight="1"/>
    <row r="1203" ht="36" customHeight="1"/>
    <row r="1204" ht="36" customHeight="1"/>
    <row r="1205" ht="36" customHeight="1"/>
    <row r="1206" ht="36" customHeight="1"/>
    <row r="1207" ht="36" customHeight="1"/>
    <row r="1208" ht="36" customHeight="1"/>
    <row r="1209" ht="36" customHeight="1"/>
    <row r="1210" ht="36" customHeight="1"/>
    <row r="1211" ht="36" customHeight="1"/>
    <row r="1212" ht="36" customHeight="1"/>
    <row r="1213" ht="36" customHeight="1"/>
    <row r="1214" ht="36" customHeight="1"/>
    <row r="1215" ht="36" customHeight="1"/>
    <row r="1216" ht="36" customHeight="1"/>
    <row r="1217" ht="36" customHeight="1"/>
    <row r="1218" ht="36" customHeight="1">
      <c r="T1218" s="82" t="n"/>
    </row>
    <row r="1219" ht="36" customHeight="1">
      <c r="T1219" s="82" t="inlineStr">
        <is>
          <t>.</t>
        </is>
      </c>
    </row>
    <row r="1220" ht="36" customHeight="1"/>
    <row r="1221" ht="36" customHeight="1"/>
    <row r="1222" ht="36" customHeight="1"/>
    <row r="1223" ht="36" customHeight="1"/>
    <row r="1224" ht="36" customHeight="1"/>
    <row r="1225" ht="36" customHeight="1"/>
    <row r="1226" ht="36" customHeight="1"/>
    <row r="1227" ht="36" customHeight="1"/>
    <row r="1228" ht="36" customHeight="1"/>
    <row r="1229" ht="36" customHeight="1"/>
    <row r="1230" ht="36" customHeight="1"/>
    <row r="1231" ht="36" customHeight="1"/>
    <row r="1232" ht="36" customHeight="1"/>
    <row r="1233" ht="36" customHeight="1"/>
    <row r="1234" ht="36" customHeight="1"/>
    <row r="1235" ht="36" customHeight="1"/>
    <row r="1236" ht="36" customHeight="1"/>
    <row r="1237" ht="36" customHeight="1">
      <c r="T1237" s="82" t="n"/>
    </row>
    <row r="1238" ht="36" customHeight="1">
      <c r="T1238" s="82" t="inlineStr">
        <is>
          <t>.</t>
        </is>
      </c>
    </row>
    <row r="1239" ht="36" customHeight="1"/>
    <row r="1240" ht="36" customHeight="1"/>
    <row r="1241" ht="36" customHeight="1"/>
    <row r="1242" ht="36" customHeight="1"/>
    <row r="1243" ht="36" customHeight="1"/>
    <row r="1244" ht="36" customHeight="1"/>
    <row r="1245" ht="36" customHeight="1"/>
    <row r="1246" ht="36" customHeight="1"/>
    <row r="1247" ht="36" customHeight="1"/>
    <row r="1248" ht="36" customHeight="1"/>
    <row r="1249" ht="36" customHeight="1"/>
    <row r="1250" ht="36" customHeight="1"/>
    <row r="1251" ht="36" customHeight="1"/>
    <row r="1252" ht="36" customHeight="1"/>
    <row r="1253" ht="36" customHeight="1"/>
    <row r="1254" ht="36" customHeight="1"/>
    <row r="1255" ht="36" customHeight="1"/>
    <row r="1256" ht="36" customHeight="1">
      <c r="T1256" s="82" t="n"/>
    </row>
    <row r="1257" ht="36" customHeight="1">
      <c r="T1257" s="82" t="inlineStr">
        <is>
          <t>.</t>
        </is>
      </c>
    </row>
    <row r="1258" ht="36" customHeight="1"/>
    <row r="1259" ht="36" customHeight="1"/>
    <row r="1260" ht="36" customHeight="1"/>
    <row r="1261" ht="36" customHeight="1"/>
    <row r="1262" ht="36" customHeight="1"/>
    <row r="1263" ht="36" customHeight="1"/>
    <row r="1264" ht="36" customHeight="1"/>
    <row r="1265" ht="36" customHeight="1"/>
    <row r="1266" ht="36" customHeight="1"/>
    <row r="1267" ht="36" customHeight="1"/>
    <row r="1268" ht="36" customHeight="1"/>
    <row r="1269" ht="36" customHeight="1"/>
    <row r="1270" ht="36" customHeight="1"/>
    <row r="1271" ht="36" customHeight="1"/>
    <row r="1272" ht="36" customHeight="1"/>
    <row r="1273" ht="36" customHeight="1"/>
    <row r="1274" ht="36" customHeight="1"/>
    <row r="1275" ht="36" customHeight="1">
      <c r="T1275" s="82" t="n"/>
    </row>
    <row r="1276" ht="36" customHeight="1">
      <c r="T1276" s="82" t="inlineStr">
        <is>
          <t>.</t>
        </is>
      </c>
    </row>
    <row r="1277" ht="36" customHeight="1"/>
    <row r="1278" ht="36" customHeight="1"/>
    <row r="1279" ht="36" customHeight="1"/>
    <row r="1280" ht="36" customHeight="1"/>
    <row r="1281" ht="36" customHeight="1"/>
    <row r="1282" ht="36" customHeight="1"/>
    <row r="1283" ht="36" customHeight="1"/>
    <row r="1284" ht="36" customHeight="1"/>
    <row r="1285" ht="36" customHeight="1"/>
    <row r="1286" ht="36" customHeight="1"/>
    <row r="1287" ht="36" customHeight="1"/>
    <row r="1288" ht="36" customHeight="1"/>
    <row r="1289" ht="36" customHeight="1"/>
    <row r="1290" ht="36" customHeight="1"/>
    <row r="1291" ht="36" customHeight="1"/>
    <row r="1292" ht="36" customHeight="1"/>
    <row r="1293" ht="36" customHeight="1"/>
    <row r="1294" ht="36" customHeight="1">
      <c r="T1294" s="82" t="n"/>
    </row>
    <row r="1295" ht="36" customHeight="1">
      <c r="T1295" s="82" t="inlineStr">
        <is>
          <t>.</t>
        </is>
      </c>
    </row>
    <row r="1296" ht="36" customHeight="1"/>
    <row r="1297" ht="36" customHeight="1"/>
    <row r="1298" ht="36" customHeight="1"/>
    <row r="1299" ht="36" customHeight="1"/>
    <row r="1300" ht="36" customHeight="1"/>
    <row r="1301" ht="36" customHeight="1"/>
    <row r="1302" ht="36" customHeight="1"/>
    <row r="1303" ht="36" customHeight="1"/>
    <row r="1304" ht="36" customHeight="1"/>
    <row r="1305" ht="36" customHeight="1"/>
    <row r="1306" ht="36" customHeight="1"/>
    <row r="1307" ht="36" customHeight="1"/>
    <row r="1308" ht="36" customHeight="1"/>
    <row r="1309" ht="36" customHeight="1"/>
    <row r="1310" ht="36" customHeight="1"/>
    <row r="1311" ht="36" customHeight="1"/>
    <row r="1312" ht="36" customHeight="1"/>
    <row r="1313" ht="36" customHeight="1">
      <c r="T1313" s="82" t="n"/>
    </row>
    <row r="1314" ht="36" customHeight="1">
      <c r="T1314" s="82" t="inlineStr">
        <is>
          <t>.</t>
        </is>
      </c>
    </row>
    <row r="1315" ht="36" customHeight="1"/>
    <row r="1316" ht="36" customHeight="1"/>
    <row r="1317" ht="36" customHeight="1"/>
    <row r="1318" ht="36" customHeight="1"/>
    <row r="1319" ht="36" customHeight="1"/>
    <row r="1320" ht="36" customHeight="1"/>
    <row r="1321" ht="36" customHeight="1"/>
    <row r="1322" ht="36" customHeight="1"/>
    <row r="1323" ht="36" customHeight="1"/>
    <row r="1324" ht="36" customHeight="1"/>
    <row r="1325" ht="36" customHeight="1"/>
    <row r="1326" ht="36" customHeight="1"/>
    <row r="1327" ht="36" customHeight="1"/>
    <row r="1328" ht="36" customHeight="1"/>
    <row r="1329" ht="36" customHeight="1"/>
    <row r="1330" ht="36" customHeight="1"/>
    <row r="1331" ht="36" customHeight="1"/>
    <row r="1332" ht="36" customHeight="1">
      <c r="T1332" s="82" t="n"/>
    </row>
    <row r="1333" ht="36" customHeight="1">
      <c r="T1333" s="82" t="inlineStr">
        <is>
          <t>.</t>
        </is>
      </c>
    </row>
    <row r="1334" ht="36" customHeight="1"/>
    <row r="1335" ht="36" customHeight="1"/>
    <row r="1336" ht="36" customHeight="1"/>
    <row r="1337" ht="36" customHeight="1"/>
    <row r="1338" ht="36" customHeight="1"/>
    <row r="1339" ht="36" customHeight="1"/>
    <row r="1340" ht="36" customHeight="1"/>
    <row r="1341" ht="36" customHeight="1"/>
    <row r="1342" ht="36" customHeight="1"/>
    <row r="1343" ht="36" customHeight="1"/>
    <row r="1344" ht="36" customHeight="1"/>
    <row r="1345" ht="36" customHeight="1"/>
    <row r="1346" ht="36" customHeight="1"/>
    <row r="1347" ht="36" customHeight="1"/>
    <row r="1348" ht="36" customHeight="1"/>
    <row r="1349" ht="36" customHeight="1"/>
    <row r="1350" ht="36" customHeight="1"/>
    <row r="1351" ht="36" customHeight="1">
      <c r="T1351" s="82" t="n"/>
    </row>
    <row r="1352" ht="36" customHeight="1">
      <c r="T1352" s="82" t="inlineStr">
        <is>
          <t>.</t>
        </is>
      </c>
    </row>
    <row r="1353" ht="36" customHeight="1"/>
    <row r="1354" ht="36" customHeight="1"/>
    <row r="1355" ht="36" customHeight="1"/>
    <row r="1356" ht="36" customHeight="1"/>
    <row r="1357" ht="36" customHeight="1"/>
    <row r="1358" ht="36" customHeight="1"/>
    <row r="1359" ht="36" customHeight="1"/>
    <row r="1360" ht="36" customHeight="1"/>
    <row r="1361" ht="36" customHeight="1"/>
    <row r="1362" ht="36" customHeight="1"/>
    <row r="1363" ht="36" customHeight="1"/>
    <row r="1364" ht="36" customHeight="1"/>
    <row r="1365" ht="36" customHeight="1"/>
    <row r="1366" ht="36" customHeight="1"/>
    <row r="1367" ht="36" customHeight="1"/>
    <row r="1368" ht="36" customHeight="1"/>
    <row r="1369" ht="36" customHeight="1"/>
    <row r="1370" ht="36" customHeight="1">
      <c r="T1370" s="82" t="n"/>
    </row>
    <row r="1371" ht="36" customHeight="1">
      <c r="T1371" s="82" t="inlineStr">
        <is>
          <t>.</t>
        </is>
      </c>
    </row>
    <row r="1372" ht="36" customHeight="1"/>
    <row r="1373" ht="36" customHeight="1"/>
    <row r="1374" ht="36" customHeight="1"/>
    <row r="1375" ht="36" customHeight="1"/>
    <row r="1376" ht="36" customHeight="1"/>
    <row r="1377" ht="36" customHeight="1"/>
    <row r="1378" ht="36" customHeight="1"/>
    <row r="1379" ht="36" customHeight="1"/>
    <row r="1380" ht="36" customHeight="1"/>
    <row r="1381" ht="36" customHeight="1"/>
    <row r="1382" ht="36" customHeight="1"/>
    <row r="1383" ht="36" customHeight="1"/>
    <row r="1384" ht="36" customHeight="1"/>
    <row r="1385" ht="36" customHeight="1"/>
    <row r="1386" ht="36" customHeight="1"/>
    <row r="1387" ht="36" customHeight="1"/>
    <row r="1388" ht="36" customHeight="1"/>
    <row r="1389" ht="36" customHeight="1">
      <c r="T1389" s="82" t="n"/>
    </row>
    <row r="1390" ht="36" customHeight="1">
      <c r="T1390" s="82" t="inlineStr">
        <is>
          <t>.</t>
        </is>
      </c>
    </row>
    <row r="1391" ht="36" customHeight="1"/>
    <row r="1392" ht="36" customHeight="1"/>
    <row r="1393" ht="36" customHeight="1"/>
    <row r="1394" ht="36" customHeight="1"/>
    <row r="1395" ht="36" customHeight="1"/>
    <row r="1396" ht="36" customHeight="1"/>
    <row r="1397" ht="36" customHeight="1"/>
    <row r="1398" ht="36" customHeight="1"/>
    <row r="1399" ht="36" customHeight="1"/>
    <row r="1400" ht="36" customHeight="1"/>
    <row r="1401" ht="36" customHeight="1"/>
    <row r="1402" ht="36" customHeight="1"/>
    <row r="1403" ht="36" customHeight="1"/>
    <row r="1404" ht="36" customHeight="1"/>
    <row r="1405" ht="36" customHeight="1"/>
    <row r="1406" ht="36" customHeight="1"/>
    <row r="1407" ht="36" customHeight="1"/>
    <row r="1408" ht="36" customHeight="1">
      <c r="T1408" s="82" t="n"/>
    </row>
    <row r="1409" ht="36" customHeight="1">
      <c r="T1409" s="82" t="inlineStr">
        <is>
          <t>.</t>
        </is>
      </c>
    </row>
    <row r="1410" ht="36" customHeight="1"/>
    <row r="1411" ht="36" customHeight="1"/>
    <row r="1412" ht="36" customHeight="1"/>
    <row r="1413" ht="36" customHeight="1"/>
    <row r="1414" ht="36" customHeight="1"/>
    <row r="1415" ht="36" customHeight="1"/>
    <row r="1416" ht="36" customHeight="1"/>
    <row r="1417" ht="36" customHeight="1"/>
    <row r="1418" ht="36" customHeight="1"/>
    <row r="1419" ht="36" customHeight="1"/>
    <row r="1420" ht="36" customHeight="1"/>
    <row r="1421" ht="36" customHeight="1"/>
    <row r="1422" ht="36" customHeight="1"/>
    <row r="1423" ht="36" customHeight="1"/>
    <row r="1424" ht="36" customHeight="1"/>
    <row r="1425" ht="36" customHeight="1"/>
    <row r="1426" ht="36" customHeight="1"/>
    <row r="1427" ht="36" customHeight="1">
      <c r="T1427" s="82" t="n"/>
    </row>
    <row r="1428" ht="36" customHeight="1">
      <c r="T1428" s="82" t="inlineStr">
        <is>
          <t>.</t>
        </is>
      </c>
    </row>
    <row r="1429" ht="36" customHeight="1"/>
    <row r="1430" ht="36" customHeight="1"/>
    <row r="1431" ht="36" customHeight="1"/>
    <row r="1432" ht="36" customHeight="1"/>
    <row r="1433" ht="36" customHeight="1"/>
    <row r="1434" ht="36" customHeight="1"/>
    <row r="1435" ht="36" customHeight="1"/>
    <row r="1436" ht="36" customHeight="1"/>
    <row r="1437" ht="36" customHeight="1"/>
    <row r="1438" ht="36" customHeight="1"/>
    <row r="1439" ht="36" customHeight="1"/>
    <row r="1440" ht="36" customHeight="1"/>
    <row r="1441" ht="36" customHeight="1"/>
    <row r="1442" ht="36" customHeight="1"/>
    <row r="1443" ht="36" customHeight="1"/>
    <row r="1444" ht="36" customHeight="1"/>
    <row r="1445" ht="36" customHeight="1"/>
    <row r="1446" ht="36" customHeight="1">
      <c r="T1446" s="82" t="n"/>
    </row>
    <row r="1447" ht="36" customHeight="1">
      <c r="T1447" s="82" t="inlineStr">
        <is>
          <t>.</t>
        </is>
      </c>
    </row>
    <row r="1448" ht="36" customHeight="1"/>
    <row r="1449" ht="36" customHeight="1"/>
    <row r="1450" ht="36" customHeight="1"/>
    <row r="1451" ht="36" customHeight="1"/>
    <row r="1452" ht="36" customHeight="1"/>
    <row r="1453" ht="36" customHeight="1"/>
    <row r="1454" ht="36" customHeight="1"/>
    <row r="1455" ht="36" customHeight="1"/>
    <row r="1456" ht="36" customHeight="1"/>
    <row r="1457" ht="36" customHeight="1"/>
    <row r="1458" ht="36" customHeight="1"/>
    <row r="1459" ht="36" customHeight="1"/>
    <row r="1460" ht="36" customHeight="1"/>
    <row r="1461" ht="36" customHeight="1"/>
    <row r="1462" ht="36" customHeight="1"/>
    <row r="1463" ht="36" customHeight="1"/>
    <row r="1464" ht="36" customHeight="1"/>
    <row r="1465" ht="36" customHeight="1">
      <c r="T1465" s="82" t="n"/>
    </row>
    <row r="1466" ht="36" customHeight="1">
      <c r="T1466" s="82" t="inlineStr">
        <is>
          <t>.</t>
        </is>
      </c>
    </row>
    <row r="1467" ht="36" customHeight="1"/>
    <row r="1468" ht="36" customHeight="1"/>
    <row r="1469" ht="36" customHeight="1"/>
    <row r="1470" ht="36" customHeight="1"/>
    <row r="1471" ht="36" customHeight="1"/>
    <row r="1472" ht="36" customHeight="1"/>
    <row r="1473" ht="36" customHeight="1"/>
    <row r="1474" ht="36" customHeight="1"/>
    <row r="1475" ht="36" customHeight="1"/>
    <row r="1476" ht="36" customHeight="1"/>
    <row r="1477" ht="36" customHeight="1"/>
    <row r="1478" ht="36" customHeight="1"/>
    <row r="1479" ht="36" customHeight="1"/>
    <row r="1480" ht="36" customHeight="1"/>
    <row r="1481" ht="36" customHeight="1"/>
    <row r="1482" ht="36" customHeight="1"/>
    <row r="1483" ht="36" customHeight="1"/>
    <row r="1484" ht="36" customHeight="1">
      <c r="T1484" s="82" t="n"/>
    </row>
    <row r="1485" ht="36" customHeight="1">
      <c r="T1485" s="82" t="inlineStr">
        <is>
          <t>.</t>
        </is>
      </c>
    </row>
    <row r="1486" ht="36" customHeight="1"/>
    <row r="1487" ht="36" customHeight="1"/>
    <row r="1488" ht="36" customHeight="1"/>
    <row r="1489" ht="36" customHeight="1"/>
    <row r="1490" ht="36" customHeight="1"/>
    <row r="1491" ht="36" customHeight="1"/>
    <row r="1492" ht="36" customHeight="1"/>
    <row r="1493" ht="36" customHeight="1"/>
    <row r="1494" ht="36" customHeight="1"/>
    <row r="1495" ht="36" customHeight="1"/>
    <row r="1496" ht="36" customHeight="1"/>
    <row r="1497" ht="36" customHeight="1"/>
    <row r="1498" ht="36" customHeight="1"/>
    <row r="1499" ht="36" customHeight="1"/>
    <row r="1500" ht="36" customHeight="1"/>
    <row r="1501" ht="36" customHeight="1"/>
    <row r="1502" ht="36" customHeight="1"/>
    <row r="1503" ht="36" customHeight="1">
      <c r="T1503" s="82" t="n"/>
    </row>
    <row r="1504" ht="36" customHeight="1">
      <c r="T1504" s="82" t="inlineStr">
        <is>
          <t>.</t>
        </is>
      </c>
    </row>
    <row r="1505" ht="36" customHeight="1"/>
    <row r="1506" ht="36" customHeight="1"/>
    <row r="1507" ht="36" customHeight="1"/>
    <row r="1508" ht="36" customHeight="1"/>
    <row r="1509" ht="36" customHeight="1"/>
    <row r="1510" ht="36" customHeight="1"/>
    <row r="1511" ht="36" customHeight="1"/>
    <row r="1512" ht="36" customHeight="1"/>
    <row r="1513" ht="36" customHeight="1"/>
    <row r="1514" ht="36" customHeight="1"/>
    <row r="1515" ht="36" customHeight="1"/>
    <row r="1516" ht="36" customHeight="1"/>
    <row r="1517" ht="36" customHeight="1"/>
    <row r="1518" ht="36" customHeight="1"/>
    <row r="1519" ht="36" customHeight="1"/>
    <row r="1520" ht="36" customHeight="1"/>
    <row r="1521" ht="36" customHeight="1"/>
    <row r="1522" ht="36" customHeight="1">
      <c r="T1522" s="82" t="n"/>
    </row>
    <row r="1523" ht="36" customHeight="1">
      <c r="T1523" s="82" t="inlineStr">
        <is>
          <t>.</t>
        </is>
      </c>
    </row>
    <row r="1524" ht="36" customHeight="1"/>
    <row r="1525" ht="36" customHeight="1"/>
    <row r="1526" ht="36" customHeight="1"/>
    <row r="1527" ht="36" customHeight="1"/>
    <row r="1528" ht="36" customHeight="1"/>
    <row r="1529" ht="36" customHeight="1"/>
    <row r="1530" ht="36" customHeight="1"/>
    <row r="1531" ht="36" customHeight="1"/>
    <row r="1532" ht="36" customHeight="1"/>
    <row r="1533" ht="36" customHeight="1"/>
    <row r="1534" ht="36" customHeight="1"/>
    <row r="1535" ht="36" customHeight="1"/>
    <row r="1536" ht="36" customHeight="1"/>
    <row r="1537" ht="36" customHeight="1"/>
    <row r="1538" ht="36" customHeight="1"/>
    <row r="1539" ht="36" customHeight="1"/>
    <row r="1540" ht="36" customHeight="1"/>
    <row r="1541" ht="36" customHeight="1">
      <c r="T1541" s="82" t="n"/>
    </row>
    <row r="1542" ht="36" customHeight="1">
      <c r="T1542" s="82" t="inlineStr">
        <is>
          <t>.</t>
        </is>
      </c>
    </row>
    <row r="1543" ht="36" customHeight="1"/>
    <row r="1544" ht="36" customHeight="1"/>
    <row r="1545" ht="36" customHeight="1"/>
    <row r="1546" ht="36" customHeight="1"/>
    <row r="1547" ht="36" customHeight="1"/>
    <row r="1548" ht="36" customHeight="1"/>
    <row r="1549" ht="36" customHeight="1"/>
    <row r="1550" ht="36" customHeight="1"/>
    <row r="1551" ht="36" customHeight="1"/>
    <row r="1552" ht="36" customHeight="1"/>
    <row r="1553" ht="36" customHeight="1"/>
    <row r="1554" ht="36" customHeight="1"/>
    <row r="1555" ht="36" customHeight="1"/>
    <row r="1556" ht="36" customHeight="1"/>
    <row r="1557" ht="36" customHeight="1"/>
    <row r="1558" ht="36" customHeight="1"/>
    <row r="1559" ht="36" customHeight="1"/>
    <row r="1560" ht="36" customHeight="1">
      <c r="T1560" s="82" t="n"/>
    </row>
    <row r="1561" ht="36" customHeight="1">
      <c r="T1561" s="82" t="inlineStr">
        <is>
          <t>.</t>
        </is>
      </c>
    </row>
    <row r="1562" ht="36" customHeight="1"/>
    <row r="1563" ht="36" customHeight="1"/>
    <row r="1564" ht="36" customHeight="1"/>
    <row r="1565" ht="36" customHeight="1"/>
    <row r="1566" ht="36" customHeight="1"/>
    <row r="1567" ht="36" customHeight="1"/>
    <row r="1568" ht="36" customHeight="1"/>
    <row r="1569" ht="36" customHeight="1"/>
    <row r="1570" ht="36" customHeight="1"/>
    <row r="1571" ht="36" customHeight="1"/>
    <row r="1572" ht="36" customHeight="1"/>
    <row r="1573" ht="36" customHeight="1"/>
    <row r="1574" ht="36" customHeight="1"/>
    <row r="1575" ht="36" customHeight="1"/>
    <row r="1576" ht="36" customHeight="1"/>
    <row r="1577" ht="36" customHeight="1"/>
    <row r="1578" ht="36" customHeight="1"/>
    <row r="1579" ht="36" customHeight="1">
      <c r="T1579" s="82" t="n"/>
    </row>
    <row r="1580" ht="36" customHeight="1">
      <c r="T1580" s="82" t="inlineStr">
        <is>
          <t>.</t>
        </is>
      </c>
    </row>
    <row r="1581" ht="36" customHeight="1"/>
    <row r="1582" ht="36" customHeight="1"/>
    <row r="1583" ht="36" customHeight="1"/>
    <row r="1584" ht="36" customHeight="1"/>
    <row r="1585" ht="36" customHeight="1"/>
    <row r="1586" ht="36" customHeight="1"/>
    <row r="1587" ht="36" customHeight="1"/>
    <row r="1588" ht="36" customHeight="1"/>
    <row r="1589" ht="36" customHeight="1"/>
    <row r="1590" ht="36" customHeight="1"/>
    <row r="1591" ht="36" customHeight="1"/>
    <row r="1592" ht="36" customHeight="1"/>
    <row r="1593" ht="36" customHeight="1"/>
    <row r="1594" ht="36" customHeight="1"/>
    <row r="1595" ht="36" customHeight="1"/>
    <row r="1596" ht="36" customHeight="1"/>
    <row r="1597" ht="36" customHeight="1"/>
    <row r="1598" ht="36" customHeight="1">
      <c r="T1598" s="82" t="n"/>
    </row>
    <row r="1599" ht="36" customHeight="1">
      <c r="T1599" s="82" t="inlineStr">
        <is>
          <t>.</t>
        </is>
      </c>
    </row>
    <row r="1600" ht="36" customHeight="1"/>
    <row r="1601" ht="36" customHeight="1"/>
    <row r="1602" ht="36" customHeight="1"/>
    <row r="1603" ht="36" customHeight="1"/>
    <row r="1604" ht="36" customHeight="1"/>
    <row r="1605" ht="36" customHeight="1"/>
    <row r="1606" ht="36" customHeight="1"/>
    <row r="1607" ht="36" customHeight="1"/>
    <row r="1608" ht="36" customHeight="1"/>
    <row r="1609" ht="36" customHeight="1"/>
    <row r="1610" ht="36" customHeight="1"/>
    <row r="1611" ht="36" customHeight="1"/>
    <row r="1612" ht="36" customHeight="1"/>
    <row r="1613" ht="36" customHeight="1"/>
    <row r="1614" ht="36" customHeight="1"/>
    <row r="1615" ht="36" customHeight="1"/>
    <row r="1616" ht="36" customHeight="1"/>
    <row r="1617" ht="36" customHeight="1">
      <c r="T1617" s="82" t="n"/>
    </row>
    <row r="1618" ht="36" customHeight="1">
      <c r="T1618" s="82" t="inlineStr">
        <is>
          <t>.</t>
        </is>
      </c>
    </row>
    <row r="1619" ht="36" customHeight="1"/>
    <row r="1620" ht="36" customHeight="1"/>
    <row r="1621" ht="36" customHeight="1"/>
    <row r="1622" ht="36" customHeight="1"/>
    <row r="1623" ht="36" customHeight="1"/>
    <row r="1624" ht="36" customHeight="1"/>
    <row r="1625" ht="36" customHeight="1"/>
    <row r="1626" ht="36" customHeight="1"/>
    <row r="1627" ht="36" customHeight="1"/>
    <row r="1628" ht="36" customHeight="1"/>
    <row r="1629" ht="36" customHeight="1"/>
    <row r="1630" ht="36" customHeight="1"/>
    <row r="1631" ht="36" customHeight="1"/>
    <row r="1632" ht="36" customHeight="1"/>
    <row r="1633" ht="36" customHeight="1"/>
    <row r="1634" ht="36" customHeight="1"/>
    <row r="1635" ht="36" customHeight="1"/>
    <row r="1636" ht="36" customHeight="1">
      <c r="T1636" s="82" t="n"/>
    </row>
    <row r="1637" ht="36" customHeight="1">
      <c r="T1637" s="82" t="inlineStr">
        <is>
          <t>.</t>
        </is>
      </c>
    </row>
    <row r="1638" ht="36" customHeight="1"/>
    <row r="1639" ht="36" customHeight="1"/>
    <row r="1640" ht="36" customHeight="1"/>
    <row r="1641" ht="36" customHeight="1"/>
    <row r="1642" ht="36" customHeight="1"/>
    <row r="1643" ht="36" customHeight="1"/>
    <row r="1644" ht="36" customHeight="1"/>
    <row r="1645" ht="36" customHeight="1"/>
    <row r="1646" ht="36" customHeight="1"/>
    <row r="1647" ht="36" customHeight="1"/>
    <row r="1648" ht="36" customHeight="1"/>
    <row r="1649" ht="36" customHeight="1"/>
    <row r="1650" ht="36" customHeight="1"/>
    <row r="1651" ht="36" customHeight="1"/>
    <row r="1652" ht="36" customHeight="1"/>
    <row r="1653" ht="36" customHeight="1"/>
    <row r="1654" ht="36" customHeight="1"/>
    <row r="1655" ht="36" customHeight="1">
      <c r="T1655" s="82" t="n"/>
    </row>
    <row r="1656" ht="36" customHeight="1">
      <c r="T1656" s="82" t="inlineStr">
        <is>
          <t>.</t>
        </is>
      </c>
    </row>
    <row r="1657" ht="36" customHeight="1"/>
    <row r="1658" ht="36" customHeight="1"/>
    <row r="1659" ht="36" customHeight="1"/>
    <row r="1660" ht="36" customHeight="1"/>
    <row r="1661" ht="36" customHeight="1"/>
    <row r="1662" ht="36" customHeight="1"/>
    <row r="1663" ht="36" customHeight="1"/>
    <row r="1664" ht="36" customHeight="1"/>
    <row r="1665" ht="36" customHeight="1"/>
    <row r="1666" ht="36" customHeight="1"/>
    <row r="1667" ht="36" customHeight="1"/>
    <row r="1668" ht="36" customHeight="1"/>
    <row r="1669" ht="36" customHeight="1"/>
    <row r="1670" ht="36" customHeight="1"/>
    <row r="1671" ht="36" customHeight="1"/>
    <row r="1672" ht="36" customHeight="1"/>
    <row r="1673" ht="36" customHeight="1"/>
    <row r="1674" ht="36" customHeight="1">
      <c r="T1674" s="82" t="n"/>
    </row>
    <row r="1675" ht="36" customHeight="1">
      <c r="T1675" s="82" t="inlineStr">
        <is>
          <t>.</t>
        </is>
      </c>
    </row>
    <row r="1676" ht="36" customHeight="1"/>
    <row r="1677" ht="36" customHeight="1"/>
    <row r="1678" ht="36" customHeight="1"/>
    <row r="1679" ht="36" customHeight="1"/>
    <row r="1680" ht="36" customHeight="1"/>
    <row r="1681" ht="36" customHeight="1"/>
    <row r="1682" ht="36" customHeight="1"/>
    <row r="1683" ht="36" customHeight="1"/>
    <row r="1684" ht="36" customHeight="1"/>
    <row r="1685" ht="36" customHeight="1"/>
    <row r="1686" ht="36" customHeight="1"/>
    <row r="1687" ht="36" customHeight="1"/>
    <row r="1688" ht="36" customHeight="1"/>
    <row r="1689" ht="36" customHeight="1"/>
    <row r="1690" ht="36" customHeight="1"/>
    <row r="1691" ht="36" customHeight="1"/>
    <row r="1692" ht="36" customHeight="1"/>
    <row r="1693" ht="36" customHeight="1">
      <c r="T1693" s="82" t="n"/>
    </row>
    <row r="1694" ht="36" customHeight="1">
      <c r="T1694" s="82" t="inlineStr">
        <is>
          <t>.</t>
        </is>
      </c>
    </row>
    <row r="1695" ht="36" customHeight="1"/>
    <row r="1696" ht="36" customHeight="1"/>
    <row r="1697" ht="36" customHeight="1"/>
    <row r="1698" ht="36" customHeight="1"/>
    <row r="1699" ht="36" customHeight="1"/>
    <row r="1700" ht="36" customHeight="1"/>
    <row r="1701" ht="36" customHeight="1"/>
    <row r="1702" ht="36" customHeight="1"/>
    <row r="1703" ht="36" customHeight="1"/>
    <row r="1704" ht="36" customHeight="1"/>
    <row r="1705" ht="36" customHeight="1"/>
    <row r="1706" ht="36" customHeight="1"/>
    <row r="1707" ht="36" customHeight="1"/>
    <row r="1708" ht="36" customHeight="1"/>
    <row r="1709" ht="36" customHeight="1"/>
    <row r="1710" ht="36" customHeight="1"/>
    <row r="1711" ht="36" customHeight="1"/>
    <row r="1712" ht="36" customHeight="1">
      <c r="T1712" s="82" t="n"/>
    </row>
    <row r="1713" ht="36" customHeight="1">
      <c r="T1713" s="82" t="inlineStr">
        <is>
          <t>.</t>
        </is>
      </c>
    </row>
    <row r="1714" ht="36" customHeight="1"/>
    <row r="1715" ht="36" customHeight="1"/>
    <row r="1716" ht="36" customHeight="1"/>
    <row r="1717" ht="36" customHeight="1"/>
    <row r="1718" ht="36" customHeight="1"/>
    <row r="1719" ht="36" customHeight="1"/>
    <row r="1720" ht="36" customHeight="1"/>
    <row r="1721" ht="36" customHeight="1"/>
    <row r="1722" ht="36" customHeight="1"/>
    <row r="1723" ht="36" customHeight="1"/>
    <row r="1724" ht="36" customHeight="1"/>
    <row r="1725" ht="36" customHeight="1"/>
    <row r="1726" ht="36" customHeight="1"/>
    <row r="1727" ht="36" customHeight="1"/>
    <row r="1728" ht="36" customHeight="1"/>
    <row r="1729" ht="36" customHeight="1"/>
    <row r="1730" ht="36" customHeight="1"/>
    <row r="1731" ht="36" customHeight="1">
      <c r="T1731" s="82" t="n"/>
    </row>
    <row r="1732" ht="36" customHeight="1">
      <c r="T1732" s="82" t="inlineStr">
        <is>
          <t>.</t>
        </is>
      </c>
    </row>
    <row r="1733" ht="36" customHeight="1"/>
    <row r="1734" ht="36" customHeight="1"/>
    <row r="1735" ht="36" customHeight="1"/>
    <row r="1736" ht="36" customHeight="1"/>
    <row r="1737" ht="36" customHeight="1"/>
    <row r="1738" ht="36" customHeight="1"/>
    <row r="1739" ht="36" customHeight="1"/>
    <row r="1740" ht="36" customHeight="1"/>
    <row r="1741" ht="36" customHeight="1"/>
    <row r="1742" ht="36" customHeight="1"/>
    <row r="1743" ht="36" customHeight="1"/>
    <row r="1744" ht="36" customHeight="1"/>
    <row r="1745" ht="36" customHeight="1"/>
    <row r="1746" ht="36" customHeight="1"/>
    <row r="1747" ht="36" customHeight="1"/>
    <row r="1748" ht="36" customHeight="1"/>
    <row r="1749" ht="36" customHeight="1"/>
    <row r="1750" ht="36" customHeight="1">
      <c r="T1750" s="82" t="n"/>
    </row>
    <row r="1751" ht="36" customHeight="1">
      <c r="T1751" s="82" t="inlineStr">
        <is>
          <t>.</t>
        </is>
      </c>
    </row>
    <row r="1752" ht="36" customHeight="1"/>
    <row r="1753" ht="36" customHeight="1"/>
    <row r="1754" ht="36" customHeight="1"/>
    <row r="1755" ht="36" customHeight="1"/>
    <row r="1756" ht="36" customHeight="1"/>
    <row r="1757" ht="36" customHeight="1"/>
    <row r="1758" ht="36" customHeight="1"/>
    <row r="1759" ht="36" customHeight="1"/>
    <row r="1760" ht="36" customHeight="1"/>
    <row r="1761" ht="36" customHeight="1"/>
    <row r="1762" ht="36" customHeight="1"/>
    <row r="1763" ht="36" customHeight="1"/>
    <row r="1764" ht="36" customHeight="1"/>
    <row r="1765" ht="36" customHeight="1"/>
    <row r="1766" ht="36" customHeight="1"/>
    <row r="1767" ht="36" customHeight="1"/>
    <row r="1768" ht="36" customHeight="1"/>
    <row r="1769" ht="36" customHeight="1">
      <c r="T1769" s="82" t="n"/>
    </row>
    <row r="1770" ht="36" customHeight="1">
      <c r="T1770" s="82" t="inlineStr">
        <is>
          <t>.</t>
        </is>
      </c>
    </row>
    <row r="1771" ht="36" customHeight="1"/>
    <row r="1772" ht="36" customHeight="1"/>
    <row r="1773" ht="36" customHeight="1"/>
    <row r="1774" ht="36" customHeight="1"/>
    <row r="1775" ht="36" customHeight="1"/>
    <row r="1776" ht="36" customHeight="1"/>
    <row r="1777" ht="36" customHeight="1"/>
    <row r="1778" ht="36" customHeight="1"/>
    <row r="1779" ht="36" customHeight="1"/>
    <row r="1780" ht="36" customHeight="1"/>
    <row r="1781" ht="36" customHeight="1"/>
    <row r="1782" ht="36" customHeight="1"/>
    <row r="1783" ht="36" customHeight="1"/>
    <row r="1784" ht="36" customHeight="1"/>
    <row r="1785" ht="36" customHeight="1"/>
    <row r="1786" ht="36" customHeight="1"/>
    <row r="1787" ht="36" customHeight="1"/>
    <row r="1788" ht="36" customHeight="1">
      <c r="T1788" s="82" t="n"/>
    </row>
    <row r="1789" ht="36" customHeight="1">
      <c r="T1789" s="82" t="inlineStr">
        <is>
          <t>.</t>
        </is>
      </c>
    </row>
    <row r="1790" ht="36" customHeight="1"/>
    <row r="1791" ht="36" customHeight="1"/>
    <row r="1792" ht="36" customHeight="1"/>
    <row r="1793" ht="36" customHeight="1"/>
    <row r="1794" ht="36" customHeight="1"/>
    <row r="1795" ht="36" customHeight="1"/>
    <row r="1796" ht="36" customHeight="1"/>
    <row r="1797" ht="36" customHeight="1"/>
    <row r="1798" ht="36" customHeight="1"/>
    <row r="1799" ht="36" customHeight="1"/>
    <row r="1800" ht="36" customHeight="1"/>
    <row r="1801" ht="36" customHeight="1"/>
    <row r="1802" ht="36" customHeight="1"/>
    <row r="1803" ht="36" customHeight="1"/>
    <row r="1804" ht="36" customHeight="1"/>
    <row r="1805" ht="36" customHeight="1"/>
    <row r="1806" ht="36" customHeight="1"/>
    <row r="1807" ht="36" customHeight="1">
      <c r="T1807" s="82" t="n"/>
    </row>
    <row r="1808" ht="36" customHeight="1">
      <c r="T1808" s="82" t="inlineStr">
        <is>
          <t>.</t>
        </is>
      </c>
    </row>
    <row r="1809" ht="36" customHeight="1"/>
    <row r="1810" ht="36" customHeight="1"/>
    <row r="1811" ht="36" customHeight="1"/>
    <row r="1812" ht="36" customHeight="1"/>
    <row r="1813" ht="36" customHeight="1"/>
    <row r="1814" ht="36" customHeight="1"/>
    <row r="1815" ht="36" customHeight="1"/>
    <row r="1816" ht="36" customHeight="1"/>
    <row r="1817" ht="36" customHeight="1"/>
    <row r="1818" ht="36" customHeight="1"/>
    <row r="1819" ht="36" customHeight="1"/>
    <row r="1820" ht="36" customHeight="1"/>
    <row r="1821" ht="36" customHeight="1"/>
    <row r="1822" ht="36" customHeight="1"/>
    <row r="1823" ht="36" customHeight="1"/>
    <row r="1824" ht="36" customHeight="1"/>
    <row r="1825" ht="36" customHeight="1"/>
    <row r="1826" ht="36" customHeight="1">
      <c r="T1826" s="82" t="n"/>
    </row>
    <row r="1827" ht="36" customHeight="1">
      <c r="T1827" s="82" t="inlineStr">
        <is>
          <t>.</t>
        </is>
      </c>
    </row>
    <row r="1828" ht="36" customHeight="1"/>
    <row r="1829" ht="36" customHeight="1"/>
    <row r="1830" ht="36" customHeight="1"/>
    <row r="1831" ht="36" customHeight="1"/>
    <row r="1832" ht="36" customHeight="1"/>
    <row r="1833" ht="36" customHeight="1"/>
    <row r="1834" ht="36" customHeight="1"/>
    <row r="1835" ht="36" customHeight="1"/>
    <row r="1836" ht="36" customHeight="1"/>
    <row r="1837" ht="36" customHeight="1"/>
    <row r="1838" ht="36" customHeight="1"/>
    <row r="1839" ht="36" customHeight="1"/>
    <row r="1840" ht="36" customHeight="1"/>
    <row r="1841" ht="36" customHeight="1"/>
    <row r="1842" ht="36" customHeight="1"/>
    <row r="1843" ht="36" customHeight="1"/>
    <row r="1844" ht="36" customHeight="1"/>
    <row r="1845" ht="36" customHeight="1">
      <c r="T1845" s="82" t="n"/>
    </row>
    <row r="1846" ht="36" customHeight="1">
      <c r="T1846" s="82" t="inlineStr">
        <is>
          <t>.</t>
        </is>
      </c>
    </row>
    <row r="1847" ht="36" customHeight="1"/>
    <row r="1848" ht="36" customHeight="1"/>
    <row r="1849" ht="36" customHeight="1"/>
    <row r="1850" ht="36" customHeight="1"/>
    <row r="1851" ht="36" customHeight="1"/>
    <row r="1852" ht="36" customHeight="1"/>
    <row r="1853" ht="36" customHeight="1"/>
    <row r="1854" ht="36" customHeight="1"/>
    <row r="1855" ht="36" customHeight="1"/>
    <row r="1856" ht="36" customHeight="1"/>
    <row r="1857" ht="36" customHeight="1"/>
    <row r="1858" ht="36" customHeight="1"/>
    <row r="1859" ht="36" customHeight="1"/>
    <row r="1860" ht="36" customHeight="1"/>
    <row r="1861" ht="36" customHeight="1"/>
    <row r="1862" ht="36" customHeight="1"/>
    <row r="1863" ht="36" customHeight="1"/>
    <row r="1864" ht="36" customHeight="1">
      <c r="T1864" s="82" t="n"/>
    </row>
    <row r="1865" ht="36" customHeight="1">
      <c r="T1865" s="82" t="inlineStr">
        <is>
          <t>.</t>
        </is>
      </c>
    </row>
    <row r="1866" ht="36" customHeight="1"/>
    <row r="1867" ht="36" customHeight="1"/>
    <row r="1868" ht="36" customHeight="1"/>
    <row r="1869" ht="36" customHeight="1"/>
    <row r="1870" ht="36" customHeight="1"/>
    <row r="1871" ht="36" customHeight="1"/>
    <row r="1872" ht="36" customHeight="1"/>
    <row r="1873" ht="36" customHeight="1"/>
    <row r="1874" ht="36" customHeight="1"/>
    <row r="1875" ht="36" customHeight="1"/>
    <row r="1876" ht="36" customHeight="1"/>
    <row r="1877" ht="36" customHeight="1"/>
    <row r="1878" ht="36" customHeight="1"/>
    <row r="1879" ht="36" customHeight="1"/>
    <row r="1880" ht="36" customHeight="1"/>
    <row r="1881" ht="36" customHeight="1"/>
    <row r="1882" ht="36" customHeight="1"/>
    <row r="1883" ht="36" customHeight="1">
      <c r="T1883" s="82" t="n"/>
    </row>
    <row r="1884" ht="36" customHeight="1">
      <c r="T1884" s="82" t="inlineStr">
        <is>
          <t>.</t>
        </is>
      </c>
    </row>
    <row r="1885" ht="36" customHeight="1"/>
    <row r="1886" ht="36" customHeight="1"/>
    <row r="1887" ht="36" customHeight="1"/>
    <row r="1888" ht="36" customHeight="1"/>
    <row r="1889" ht="36" customHeight="1"/>
    <row r="1890" ht="36" customHeight="1"/>
    <row r="1891" ht="36" customHeight="1"/>
    <row r="1892" ht="36" customHeight="1"/>
    <row r="1893" ht="36" customHeight="1"/>
    <row r="1894" ht="36" customHeight="1"/>
    <row r="1895" ht="36" customHeight="1"/>
    <row r="1896" ht="36" customHeight="1"/>
    <row r="1897" ht="36" customHeight="1"/>
    <row r="1898" ht="36" customHeight="1"/>
    <row r="1899" ht="36" customHeight="1"/>
    <row r="1900" ht="36" customHeight="1"/>
    <row r="1901" ht="36" customHeight="1"/>
    <row r="1902" ht="36" customHeight="1">
      <c r="T1902" s="82" t="n"/>
    </row>
    <row r="1903" ht="36" customHeight="1">
      <c r="T1903" s="82" t="inlineStr">
        <is>
          <t>.</t>
        </is>
      </c>
    </row>
    <row r="1904" ht="36" customHeight="1"/>
    <row r="1905" ht="36" customHeight="1"/>
    <row r="1906" ht="36" customHeight="1"/>
    <row r="1907" ht="36" customHeight="1"/>
    <row r="1908" ht="36" customHeight="1"/>
    <row r="1909" ht="36" customHeight="1"/>
    <row r="1910" ht="36" customHeight="1"/>
    <row r="1911" ht="36" customHeight="1"/>
    <row r="1912" ht="36" customHeight="1"/>
    <row r="1913" ht="36" customHeight="1"/>
    <row r="1914" ht="36" customHeight="1"/>
    <row r="1915" ht="36" customHeight="1"/>
    <row r="1916" ht="36" customHeight="1"/>
    <row r="1917" ht="36" customHeight="1"/>
  </sheetData>
  <mergeCells count="11">
    <mergeCell ref="A1:M1"/>
    <mergeCell ref="Q2:T2"/>
    <mergeCell ref="N1:T1"/>
    <mergeCell ref="M2:M3"/>
    <mergeCell ref="B2:B3"/>
    <mergeCell ref="A2:A3"/>
    <mergeCell ref="N2:N3"/>
    <mergeCell ref="C2:C3"/>
    <mergeCell ref="D2:J2"/>
    <mergeCell ref="P2:P3"/>
    <mergeCell ref="K2:K3"/>
  </mergeCells>
  <pageMargins left="0.2362204724409449" right="0.2362204724409449" top="0.7480314960629921" bottom="0.7480314960629921" header="0.3149606299212598" footer="0.3149606299212598"/>
  <pageSetup orientation="landscape" paperSize="8" scale="93"/>
  <headerFooter>
    <oddHeader>&amp;L&amp;"-,Grassetto"REGISTRO CARICO E SCARICO ARMI N. 7&amp;C_x000a__x000a__x000a__x000a__x000a__x000a__x000a__x000a__x000a__x000a_&amp;G&amp;R&amp;"-,Grassetto"BCW - BRESCIA CUSTOM WORKS SRL</oddHeader>
    <oddFooter>&amp;R&amp;P</oddFooter>
    <evenHeader/>
    <evenFooter/>
    <firstHeader/>
    <firstFooter/>
  </headerFooter>
</worksheet>
</file>

<file path=xl/worksheets/sheet6.xml><?xml version="1.0" encoding="utf-8"?>
<worksheet xmlns="http://schemas.openxmlformats.org/spreadsheetml/2006/main">
  <sheetPr>
    <tabColor rgb="FFFF0000"/>
    <outlinePr summaryBelow="1" summaryRight="1"/>
    <pageSetUpPr/>
  </sheetPr>
  <dimension ref="A1:T2340"/>
  <sheetViews>
    <sheetView view="pageLayout" topLeftCell="X1" zoomScaleNormal="90" workbookViewId="0">
      <selection activeCell="F7" sqref="F7"/>
    </sheetView>
  </sheetViews>
  <sheetFormatPr baseColWidth="10" defaultColWidth="9.1640625" defaultRowHeight="12"/>
  <cols>
    <col width="5.5" bestFit="1" customWidth="1" style="30" min="1" max="1"/>
    <col width="8.1640625" bestFit="1" customWidth="1" style="31" min="2" max="2"/>
    <col width="3.1640625" customWidth="1" style="32" min="3" max="3"/>
    <col width="14.6640625" customWidth="1" style="17" min="4" max="4"/>
    <col width="8.5" customWidth="1" style="17" min="5" max="5"/>
    <col width="13.5" customWidth="1" style="17" min="6" max="6"/>
    <col width="14.5" customWidth="1" style="17" min="7" max="7"/>
    <col width="10.5" customWidth="1" style="17" min="8" max="10"/>
    <col width="14" customWidth="1" style="17" min="11" max="11"/>
    <col width="7.6640625" bestFit="1" customWidth="1" style="44" min="12" max="12"/>
    <col width="14" customWidth="1" style="33" min="13" max="13"/>
    <col width="8.1640625" bestFit="1" customWidth="1" style="31" min="14" max="14"/>
    <col width="7.6640625" bestFit="1" customWidth="1" style="44" min="15" max="15"/>
    <col width="15.6640625" customWidth="1" style="17" min="16" max="16"/>
    <col width="10.6640625" bestFit="1" customWidth="1" style="17" min="17" max="17"/>
    <col width="11" customWidth="1" style="17" min="18" max="18"/>
    <col width="7.6640625" bestFit="1" customWidth="1" style="17" min="19" max="19"/>
    <col width="8.1640625" bestFit="1" customWidth="1" style="31" min="20" max="20"/>
    <col width="9.1640625" customWidth="1" style="1" min="21" max="21"/>
    <col width="9.1640625" customWidth="1" style="1" min="22" max="16384"/>
  </cols>
  <sheetData>
    <row r="1" customFormat="1" s="174">
      <c r="A1" s="192" t="n"/>
      <c r="N1" s="192" t="n"/>
    </row>
    <row r="2" customFormat="1" s="174">
      <c r="A2" s="188" t="n"/>
      <c r="B2" s="186" t="n"/>
      <c r="C2" s="190" t="n"/>
      <c r="D2" s="191" t="n"/>
      <c r="K2" s="191" t="n"/>
      <c r="L2" s="78" t="n"/>
      <c r="M2" s="187" t="n"/>
      <c r="N2" s="186" t="n"/>
      <c r="O2" s="78" t="n"/>
      <c r="P2" s="191" t="n"/>
      <c r="Q2" s="189" t="n"/>
    </row>
    <row r="3" ht="48" customFormat="1" customHeight="1" s="174">
      <c r="D3" s="191" t="n"/>
      <c r="E3" s="191" t="n"/>
      <c r="F3" s="191" t="n"/>
      <c r="G3" s="191" t="n"/>
      <c r="H3" s="191" t="n"/>
      <c r="I3" s="191" t="n"/>
      <c r="J3" s="191" t="n"/>
      <c r="L3" s="78" t="n"/>
      <c r="O3" s="78" t="n"/>
      <c r="Q3" s="16" t="n"/>
      <c r="R3" s="16" t="n"/>
      <c r="S3" s="16" t="n"/>
      <c r="T3" s="35" t="n"/>
    </row>
    <row r="4" ht="36" customHeight="1">
      <c r="A4" s="30">
        <f>+REGISTRO!A4</f>
        <v/>
      </c>
      <c r="B4" s="31">
        <f>+VLOOKUP($A4,MAGAZZINO!$B$2:$M$4838,2,FALSE)</f>
        <v/>
      </c>
      <c r="C4" s="32">
        <f>+VLOOKUP($A4,MAGAZZINO!$B$2:$M$4838,3,FALSE)</f>
        <v/>
      </c>
      <c r="D4" s="17">
        <f>+VLOOKUP($A4,MAGAZZINO!$B$2:$M$4838,4,FALSE)</f>
        <v/>
      </c>
      <c r="E4" s="17">
        <f>+VLOOKUP($A4,MAGAZZINO!$B$2:$M$4838,5,FALSE)</f>
        <v/>
      </c>
      <c r="F4" s="17">
        <f>+VLOOKUP($A4,MAGAZZINO!$B$2:$M$4838,6,FALSE)</f>
        <v/>
      </c>
      <c r="G4" s="17">
        <f>+VLOOKUP($A4,MAGAZZINO!$B$2:$M$4838,7,FALSE)</f>
        <v/>
      </c>
      <c r="H4" s="17">
        <f>+VLOOKUP($A4,MAGAZZINO!$B$2:$M$4838,8,FALSE)</f>
        <v/>
      </c>
      <c r="I4" s="17">
        <f>+VLOOKUP($A4,MAGAZZINO!$B$2:$M$4838,9,FALSE)</f>
        <v/>
      </c>
      <c r="J4" s="17">
        <f>+VLOOKUP($A4,MAGAZZINO!$B$2:$M$4838,10,FALSE)</f>
        <v/>
      </c>
      <c r="K4" s="17">
        <f>+VLOOKUP($A4,MAGAZZINO!$B$2:$M$4838,11,FALSE)</f>
        <v/>
      </c>
      <c r="L4" s="44">
        <f>+VLOOKUP($A4,MAGAZZINO!$B$2:$M$4838,12,FALSE)</f>
        <v/>
      </c>
    </row>
    <row r="5" ht="36" customHeight="1">
      <c r="A5" s="30">
        <f>+REGISTRO!A5</f>
        <v/>
      </c>
      <c r="B5" s="31">
        <f>+VLOOKUP($A5,MAGAZZINO!$B$2:$M$4838,2,FALSE)</f>
        <v/>
      </c>
      <c r="C5" s="32">
        <f>+VLOOKUP($A5,MAGAZZINO!$B$2:$M$4838,3,FALSE)</f>
        <v/>
      </c>
      <c r="D5" s="17">
        <f>+VLOOKUP($A5,MAGAZZINO!$B$2:$M$4838,4,FALSE)</f>
        <v/>
      </c>
      <c r="E5" s="17">
        <f>+VLOOKUP($A5,MAGAZZINO!$B$2:$M$4838,5,FALSE)</f>
        <v/>
      </c>
      <c r="F5" s="17">
        <f>+VLOOKUP($A5,MAGAZZINO!$B$2:$M$4838,6,FALSE)</f>
        <v/>
      </c>
      <c r="G5" s="17">
        <f>+VLOOKUP($A5,MAGAZZINO!$B$2:$M$4838,7,FALSE)</f>
        <v/>
      </c>
      <c r="H5" s="17">
        <f>+VLOOKUP($A5,MAGAZZINO!$B$2:$M$4838,8,FALSE)</f>
        <v/>
      </c>
      <c r="I5" s="17">
        <f>+VLOOKUP($A5,MAGAZZINO!$B$2:$M$4838,9,FALSE)</f>
        <v/>
      </c>
      <c r="J5" s="17">
        <f>+VLOOKUP($A5,MAGAZZINO!$B$2:$M$4838,10,FALSE)</f>
        <v/>
      </c>
      <c r="K5" s="17">
        <f>+VLOOKUP($A5,MAGAZZINO!$B$2:$M$4838,11,FALSE)</f>
        <v/>
      </c>
      <c r="L5" s="44">
        <f>+VLOOKUP($A5,MAGAZZINO!$B$2:$M$4838,12,FALSE)</f>
        <v/>
      </c>
    </row>
    <row r="6" ht="36" customHeight="1">
      <c r="A6" s="30">
        <f>+REGISTRO!A6</f>
        <v/>
      </c>
      <c r="B6" s="31">
        <f>+VLOOKUP($A6,MAGAZZINO!$B$2:$M$4838,2,FALSE)</f>
        <v/>
      </c>
      <c r="C6" s="32">
        <f>+VLOOKUP($A6,MAGAZZINO!$B$2:$M$4838,3,FALSE)</f>
        <v/>
      </c>
      <c r="D6" s="17">
        <f>+VLOOKUP($A6,MAGAZZINO!$B$2:$M$4838,4,FALSE)</f>
        <v/>
      </c>
      <c r="E6" s="17">
        <f>+VLOOKUP($A6,MAGAZZINO!$B$2:$M$4838,5,FALSE)</f>
        <v/>
      </c>
      <c r="F6" s="17">
        <f>+VLOOKUP($A6,MAGAZZINO!$B$2:$M$4838,6,FALSE)</f>
        <v/>
      </c>
      <c r="G6" s="17">
        <f>+VLOOKUP($A6,MAGAZZINO!$B$2:$M$4838,7,FALSE)</f>
        <v/>
      </c>
      <c r="H6" s="17">
        <f>+VLOOKUP($A6,MAGAZZINO!$B$2:$M$4838,8,FALSE)</f>
        <v/>
      </c>
      <c r="I6" s="17">
        <f>+VLOOKUP($A6,MAGAZZINO!$B$2:$M$4838,9,FALSE)</f>
        <v/>
      </c>
      <c r="J6" s="17">
        <f>+VLOOKUP($A6,MAGAZZINO!$B$2:$M$4838,10,FALSE)</f>
        <v/>
      </c>
      <c r="K6" s="17">
        <f>+VLOOKUP($A6,MAGAZZINO!$B$2:$M$4838,11,FALSE)</f>
        <v/>
      </c>
      <c r="L6" s="44">
        <f>+VLOOKUP($A6,MAGAZZINO!$B$2:$M$4838,12,FALSE)</f>
        <v/>
      </c>
    </row>
    <row r="7" ht="36" customHeight="1">
      <c r="A7" s="30">
        <f>+REGISTRO!A7</f>
        <v/>
      </c>
      <c r="B7" s="31">
        <f>+VLOOKUP($A7,MAGAZZINO!$B$2:$M$4838,2,FALSE)</f>
        <v/>
      </c>
      <c r="C7" s="32">
        <f>+VLOOKUP($A7,MAGAZZINO!$B$2:$M$4838,3,FALSE)</f>
        <v/>
      </c>
      <c r="D7" s="17">
        <f>+VLOOKUP($A7,MAGAZZINO!$B$2:$M$4838,4,FALSE)</f>
        <v/>
      </c>
      <c r="E7" s="17">
        <f>+VLOOKUP($A7,MAGAZZINO!$B$2:$M$4838,5,FALSE)</f>
        <v/>
      </c>
      <c r="F7" s="17">
        <f>+VLOOKUP($A7,MAGAZZINO!$B$2:$M$4838,6,FALSE)</f>
        <v/>
      </c>
      <c r="G7" s="17">
        <f>+VLOOKUP($A7,MAGAZZINO!$B$2:$M$4838,7,FALSE)</f>
        <v/>
      </c>
      <c r="H7" s="17">
        <f>+VLOOKUP($A7,MAGAZZINO!$B$2:$M$4838,8,FALSE)</f>
        <v/>
      </c>
      <c r="I7" s="17">
        <f>+VLOOKUP($A7,MAGAZZINO!$B$2:$M$4838,9,FALSE)</f>
        <v/>
      </c>
      <c r="J7" s="17">
        <f>+VLOOKUP($A7,MAGAZZINO!$B$2:$M$4838,10,FALSE)</f>
        <v/>
      </c>
      <c r="K7" s="17">
        <f>+VLOOKUP($A7,MAGAZZINO!$B$2:$M$4838,11,FALSE)</f>
        <v/>
      </c>
      <c r="L7" s="44">
        <f>+VLOOKUP($A7,MAGAZZINO!$B$2:$M$4838,12,FALSE)</f>
        <v/>
      </c>
    </row>
    <row r="8" ht="36" customHeight="1">
      <c r="A8" s="30">
        <f>+REGISTRO!A8</f>
        <v/>
      </c>
      <c r="B8" s="31">
        <f>+VLOOKUP($A8,MAGAZZINO!$B$2:$M$4838,2,FALSE)</f>
        <v/>
      </c>
      <c r="C8" s="32">
        <f>+VLOOKUP($A8,MAGAZZINO!$B$2:$M$4838,3,FALSE)</f>
        <v/>
      </c>
      <c r="D8" s="17">
        <f>+VLOOKUP($A8,MAGAZZINO!$B$2:$M$4838,4,FALSE)</f>
        <v/>
      </c>
      <c r="E8" s="17">
        <f>+VLOOKUP($A8,MAGAZZINO!$B$2:$M$4838,5,FALSE)</f>
        <v/>
      </c>
      <c r="F8" s="17">
        <f>+VLOOKUP($A8,MAGAZZINO!$B$2:$M$4838,6,FALSE)</f>
        <v/>
      </c>
      <c r="G8" s="17">
        <f>+VLOOKUP($A8,MAGAZZINO!$B$2:$M$4838,7,FALSE)</f>
        <v/>
      </c>
      <c r="H8" s="17">
        <f>+VLOOKUP($A8,MAGAZZINO!$B$2:$M$4838,8,FALSE)</f>
        <v/>
      </c>
      <c r="I8" s="17">
        <f>+VLOOKUP($A8,MAGAZZINO!$B$2:$M$4838,9,FALSE)</f>
        <v/>
      </c>
      <c r="J8" s="17">
        <f>+VLOOKUP($A8,MAGAZZINO!$B$2:$M$4838,10,FALSE)</f>
        <v/>
      </c>
      <c r="K8" s="17">
        <f>+VLOOKUP($A8,MAGAZZINO!$B$2:$M$4838,11,FALSE)</f>
        <v/>
      </c>
      <c r="L8" s="44">
        <f>+VLOOKUP($A8,MAGAZZINO!$B$2:$M$4838,12,FALSE)</f>
        <v/>
      </c>
    </row>
    <row r="9" ht="36" customHeight="1">
      <c r="A9" s="30">
        <f>+REGISTRO!A9</f>
        <v/>
      </c>
      <c r="B9" s="31">
        <f>+VLOOKUP($A9,MAGAZZINO!$B$2:$M$4838,2,FALSE)</f>
        <v/>
      </c>
      <c r="C9" s="32">
        <f>+VLOOKUP($A9,MAGAZZINO!$B$2:$M$4838,3,FALSE)</f>
        <v/>
      </c>
      <c r="D9" s="17">
        <f>+VLOOKUP($A9,MAGAZZINO!$B$2:$M$4838,4,FALSE)</f>
        <v/>
      </c>
      <c r="E9" s="17">
        <f>+VLOOKUP($A9,MAGAZZINO!$B$2:$M$4838,5,FALSE)</f>
        <v/>
      </c>
      <c r="F9" s="17">
        <f>+VLOOKUP($A9,MAGAZZINO!$B$2:$M$4838,6,FALSE)</f>
        <v/>
      </c>
      <c r="G9" s="17">
        <f>+VLOOKUP($A9,MAGAZZINO!$B$2:$M$4838,7,FALSE)</f>
        <v/>
      </c>
      <c r="H9" s="17">
        <f>+VLOOKUP($A9,MAGAZZINO!$B$2:$M$4838,8,FALSE)</f>
        <v/>
      </c>
      <c r="I9" s="17">
        <f>+VLOOKUP($A9,MAGAZZINO!$B$2:$M$4838,9,FALSE)</f>
        <v/>
      </c>
      <c r="J9" s="17">
        <f>+VLOOKUP($A9,MAGAZZINO!$B$2:$M$4838,10,FALSE)</f>
        <v/>
      </c>
      <c r="K9" s="17">
        <f>+VLOOKUP($A9,MAGAZZINO!$B$2:$M$4838,11,FALSE)</f>
        <v/>
      </c>
      <c r="L9" s="44">
        <f>+VLOOKUP($A9,MAGAZZINO!$B$2:$M$4838,12,FALSE)</f>
        <v/>
      </c>
    </row>
    <row r="10" ht="36" customHeight="1">
      <c r="A10" s="30">
        <f>+REGISTRO!A10</f>
        <v/>
      </c>
      <c r="B10" s="31">
        <f>+VLOOKUP($A10,MAGAZZINO!$B$2:$M$4838,2,FALSE)</f>
        <v/>
      </c>
      <c r="C10" s="32">
        <f>+VLOOKUP($A10,MAGAZZINO!$B$2:$M$4838,3,FALSE)</f>
        <v/>
      </c>
      <c r="D10" s="17">
        <f>+VLOOKUP($A10,MAGAZZINO!$B$2:$M$4838,4,FALSE)</f>
        <v/>
      </c>
      <c r="E10" s="17">
        <f>+VLOOKUP($A10,MAGAZZINO!$B$2:$M$4838,5,FALSE)</f>
        <v/>
      </c>
      <c r="F10" s="17">
        <f>+VLOOKUP($A10,MAGAZZINO!$B$2:$M$4838,6,FALSE)</f>
        <v/>
      </c>
      <c r="G10" s="17">
        <f>+VLOOKUP($A10,MAGAZZINO!$B$2:$M$4838,7,FALSE)</f>
        <v/>
      </c>
      <c r="H10" s="17">
        <f>+VLOOKUP($A10,MAGAZZINO!$B$2:$M$4838,8,FALSE)</f>
        <v/>
      </c>
      <c r="I10" s="17">
        <f>+VLOOKUP($A10,MAGAZZINO!$B$2:$M$4838,9,FALSE)</f>
        <v/>
      </c>
      <c r="J10" s="17">
        <f>+VLOOKUP($A10,MAGAZZINO!$B$2:$M$4838,10,FALSE)</f>
        <v/>
      </c>
      <c r="K10" s="17">
        <f>+VLOOKUP($A10,MAGAZZINO!$B$2:$M$4838,11,FALSE)</f>
        <v/>
      </c>
      <c r="L10" s="44">
        <f>+VLOOKUP($A10,MAGAZZINO!$B$2:$M$4838,12,FALSE)</f>
        <v/>
      </c>
    </row>
    <row r="11" ht="36" customHeight="1">
      <c r="A11" s="30">
        <f>+REGISTRO!A11</f>
        <v/>
      </c>
      <c r="B11" s="31">
        <f>+VLOOKUP($A11,MAGAZZINO!$B$2:$M$4838,2,FALSE)</f>
        <v/>
      </c>
      <c r="C11" s="32">
        <f>+VLOOKUP($A11,MAGAZZINO!$B$2:$M$4838,3,FALSE)</f>
        <v/>
      </c>
      <c r="D11" s="17">
        <f>+VLOOKUP($A11,MAGAZZINO!$B$2:$M$4838,4,FALSE)</f>
        <v/>
      </c>
      <c r="E11" s="17">
        <f>+VLOOKUP($A11,MAGAZZINO!$B$2:$M$4838,5,FALSE)</f>
        <v/>
      </c>
      <c r="F11" s="17">
        <f>+VLOOKUP($A11,MAGAZZINO!$B$2:$M$4838,6,FALSE)</f>
        <v/>
      </c>
      <c r="G11" s="17">
        <f>+VLOOKUP($A11,MAGAZZINO!$B$2:$M$4838,7,FALSE)</f>
        <v/>
      </c>
      <c r="H11" s="17">
        <f>+VLOOKUP($A11,MAGAZZINO!$B$2:$M$4838,8,FALSE)</f>
        <v/>
      </c>
      <c r="I11" s="17">
        <f>+VLOOKUP($A11,MAGAZZINO!$B$2:$M$4838,9,FALSE)</f>
        <v/>
      </c>
      <c r="J11" s="17">
        <f>+VLOOKUP($A11,MAGAZZINO!$B$2:$M$4838,10,FALSE)</f>
        <v/>
      </c>
      <c r="K11" s="17">
        <f>+VLOOKUP($A11,MAGAZZINO!$B$2:$M$4838,11,FALSE)</f>
        <v/>
      </c>
      <c r="L11" s="44">
        <f>+VLOOKUP($A11,MAGAZZINO!$B$2:$M$4838,12,FALSE)</f>
        <v/>
      </c>
    </row>
    <row r="12" ht="36" customHeight="1">
      <c r="A12" s="30">
        <f>+REGISTRO!A12</f>
        <v/>
      </c>
      <c r="B12" s="31">
        <f>+VLOOKUP($A12,MAGAZZINO!$B$2:$M$4838,2,FALSE)</f>
        <v/>
      </c>
      <c r="C12" s="32">
        <f>+VLOOKUP($A12,MAGAZZINO!$B$2:$M$4838,3,FALSE)</f>
        <v/>
      </c>
      <c r="D12" s="17">
        <f>+VLOOKUP($A12,MAGAZZINO!$B$2:$M$4838,4,FALSE)</f>
        <v/>
      </c>
      <c r="E12" s="17">
        <f>+VLOOKUP($A12,MAGAZZINO!$B$2:$M$4838,5,FALSE)</f>
        <v/>
      </c>
      <c r="F12" s="17">
        <f>+VLOOKUP($A12,MAGAZZINO!$B$2:$M$4838,6,FALSE)</f>
        <v/>
      </c>
      <c r="G12" s="17">
        <f>+VLOOKUP($A12,MAGAZZINO!$B$2:$M$4838,7,FALSE)</f>
        <v/>
      </c>
      <c r="H12" s="17">
        <f>+VLOOKUP($A12,MAGAZZINO!$B$2:$M$4838,8,FALSE)</f>
        <v/>
      </c>
      <c r="I12" s="17">
        <f>+VLOOKUP($A12,MAGAZZINO!$B$2:$M$4838,9,FALSE)</f>
        <v/>
      </c>
      <c r="J12" s="17">
        <f>+VLOOKUP($A12,MAGAZZINO!$B$2:$M$4838,10,FALSE)</f>
        <v/>
      </c>
      <c r="K12" s="17">
        <f>+VLOOKUP($A12,MAGAZZINO!$B$2:$M$4838,11,FALSE)</f>
        <v/>
      </c>
      <c r="L12" s="44">
        <f>+VLOOKUP($A12,MAGAZZINO!$B$2:$M$4838,12,FALSE)</f>
        <v/>
      </c>
    </row>
    <row r="13" ht="36" customHeight="1">
      <c r="A13" s="30">
        <f>+REGISTRO!A13</f>
        <v/>
      </c>
      <c r="B13" s="31">
        <f>+VLOOKUP($A13,MAGAZZINO!$B$2:$M$4838,2,FALSE)</f>
        <v/>
      </c>
      <c r="C13" s="32">
        <f>+VLOOKUP($A13,MAGAZZINO!$B$2:$M$4838,3,FALSE)</f>
        <v/>
      </c>
      <c r="D13" s="17">
        <f>+VLOOKUP($A13,MAGAZZINO!$B$2:$M$4838,4,FALSE)</f>
        <v/>
      </c>
      <c r="E13" s="17">
        <f>+VLOOKUP($A13,MAGAZZINO!$B$2:$M$4838,5,FALSE)</f>
        <v/>
      </c>
      <c r="F13" s="17">
        <f>+VLOOKUP($A13,MAGAZZINO!$B$2:$M$4838,6,FALSE)</f>
        <v/>
      </c>
      <c r="G13" s="17">
        <f>+VLOOKUP($A13,MAGAZZINO!$B$2:$M$4838,7,FALSE)</f>
        <v/>
      </c>
      <c r="H13" s="17">
        <f>+VLOOKUP($A13,MAGAZZINO!$B$2:$M$4838,8,FALSE)</f>
        <v/>
      </c>
      <c r="I13" s="17">
        <f>+VLOOKUP($A13,MAGAZZINO!$B$2:$M$4838,9,FALSE)</f>
        <v/>
      </c>
      <c r="J13" s="17">
        <f>+VLOOKUP($A13,MAGAZZINO!$B$2:$M$4838,10,FALSE)</f>
        <v/>
      </c>
      <c r="K13" s="17">
        <f>+VLOOKUP($A13,MAGAZZINO!$B$2:$M$4838,11,FALSE)</f>
        <v/>
      </c>
      <c r="L13" s="44">
        <f>+VLOOKUP($A13,MAGAZZINO!$B$2:$M$4838,12,FALSE)</f>
        <v/>
      </c>
    </row>
    <row r="14" ht="36" customHeight="1">
      <c r="A14" s="30">
        <f>+REGISTRO!A14</f>
        <v/>
      </c>
      <c r="B14" s="31">
        <f>+VLOOKUP($A14,MAGAZZINO!$B$2:$M$4838,2,FALSE)</f>
        <v/>
      </c>
      <c r="C14" s="32">
        <f>+VLOOKUP($A14,MAGAZZINO!$B$2:$M$4838,3,FALSE)</f>
        <v/>
      </c>
      <c r="D14" s="17">
        <f>+VLOOKUP($A14,MAGAZZINO!$B$2:$M$4838,4,FALSE)</f>
        <v/>
      </c>
      <c r="E14" s="17">
        <f>+VLOOKUP($A14,MAGAZZINO!$B$2:$M$4838,5,FALSE)</f>
        <v/>
      </c>
      <c r="F14" s="17">
        <f>+VLOOKUP($A14,MAGAZZINO!$B$2:$M$4838,6,FALSE)</f>
        <v/>
      </c>
      <c r="G14" s="17">
        <f>+VLOOKUP($A14,MAGAZZINO!$B$2:$M$4838,7,FALSE)</f>
        <v/>
      </c>
      <c r="H14" s="17">
        <f>+VLOOKUP($A14,MAGAZZINO!$B$2:$M$4838,8,FALSE)</f>
        <v/>
      </c>
      <c r="I14" s="17">
        <f>+VLOOKUP($A14,MAGAZZINO!$B$2:$M$4838,9,FALSE)</f>
        <v/>
      </c>
      <c r="J14" s="17">
        <f>+VLOOKUP($A14,MAGAZZINO!$B$2:$M$4838,10,FALSE)</f>
        <v/>
      </c>
      <c r="K14" s="17">
        <f>+VLOOKUP($A14,MAGAZZINO!$B$2:$M$4838,11,FALSE)</f>
        <v/>
      </c>
      <c r="L14" s="44">
        <f>+VLOOKUP($A14,MAGAZZINO!$B$2:$M$4838,12,FALSE)</f>
        <v/>
      </c>
    </row>
    <row r="15" ht="36" customHeight="1">
      <c r="A15" s="30">
        <f>+REGISTRO!A15</f>
        <v/>
      </c>
      <c r="B15" s="31">
        <f>+VLOOKUP($A15,MAGAZZINO!$B$2:$M$4838,2,FALSE)</f>
        <v/>
      </c>
      <c r="C15" s="32">
        <f>+VLOOKUP($A15,MAGAZZINO!$B$2:$M$4838,3,FALSE)</f>
        <v/>
      </c>
      <c r="D15" s="17">
        <f>+VLOOKUP($A15,MAGAZZINO!$B$2:$M$4838,4,FALSE)</f>
        <v/>
      </c>
      <c r="E15" s="17">
        <f>+VLOOKUP($A15,MAGAZZINO!$B$2:$M$4838,5,FALSE)</f>
        <v/>
      </c>
      <c r="F15" s="17">
        <f>+VLOOKUP($A15,MAGAZZINO!$B$2:$M$4838,6,FALSE)</f>
        <v/>
      </c>
      <c r="G15" s="17">
        <f>+VLOOKUP($A15,MAGAZZINO!$B$2:$M$4838,7,FALSE)</f>
        <v/>
      </c>
      <c r="H15" s="17">
        <f>+VLOOKUP($A15,MAGAZZINO!$B$2:$M$4838,8,FALSE)</f>
        <v/>
      </c>
      <c r="I15" s="17">
        <f>+VLOOKUP($A15,MAGAZZINO!$B$2:$M$4838,9,FALSE)</f>
        <v/>
      </c>
      <c r="J15" s="17">
        <f>+VLOOKUP($A15,MAGAZZINO!$B$2:$M$4838,10,FALSE)</f>
        <v/>
      </c>
      <c r="K15" s="17">
        <f>+VLOOKUP($A15,MAGAZZINO!$B$2:$M$4838,11,FALSE)</f>
        <v/>
      </c>
      <c r="L15" s="44">
        <f>+VLOOKUP($A15,MAGAZZINO!$B$2:$M$4838,12,FALSE)</f>
        <v/>
      </c>
    </row>
    <row r="16" ht="36" customHeight="1">
      <c r="A16" s="30">
        <f>+REGISTRO!A16</f>
        <v/>
      </c>
      <c r="B16" s="31">
        <f>+VLOOKUP($A16,MAGAZZINO!$B$2:$M$4838,2,FALSE)</f>
        <v/>
      </c>
      <c r="C16" s="32">
        <f>+VLOOKUP($A16,MAGAZZINO!$B$2:$M$4838,3,FALSE)</f>
        <v/>
      </c>
      <c r="D16" s="17">
        <f>+VLOOKUP($A16,MAGAZZINO!$B$2:$M$4838,4,FALSE)</f>
        <v/>
      </c>
      <c r="E16" s="17">
        <f>+VLOOKUP($A16,MAGAZZINO!$B$2:$M$4838,5,FALSE)</f>
        <v/>
      </c>
      <c r="F16" s="17">
        <f>+VLOOKUP($A16,MAGAZZINO!$B$2:$M$4838,6,FALSE)</f>
        <v/>
      </c>
      <c r="G16" s="17">
        <f>+VLOOKUP($A16,MAGAZZINO!$B$2:$M$4838,7,FALSE)</f>
        <v/>
      </c>
      <c r="H16" s="17">
        <f>+VLOOKUP($A16,MAGAZZINO!$B$2:$M$4838,8,FALSE)</f>
        <v/>
      </c>
      <c r="I16" s="17">
        <f>+VLOOKUP($A16,MAGAZZINO!$B$2:$M$4838,9,FALSE)</f>
        <v/>
      </c>
      <c r="J16" s="17">
        <f>+VLOOKUP($A16,MAGAZZINO!$B$2:$M$4838,10,FALSE)</f>
        <v/>
      </c>
      <c r="K16" s="17">
        <f>+VLOOKUP($A16,MAGAZZINO!$B$2:$M$4838,11,FALSE)</f>
        <v/>
      </c>
      <c r="L16" s="44">
        <f>+VLOOKUP($A16,MAGAZZINO!$B$2:$M$4838,12,FALSE)</f>
        <v/>
      </c>
    </row>
    <row r="17" ht="36" customHeight="1">
      <c r="A17" s="30">
        <f>+REGISTRO!A17</f>
        <v/>
      </c>
      <c r="B17" s="31">
        <f>+VLOOKUP($A17,MAGAZZINO!$B$2:$M$4838,2,FALSE)</f>
        <v/>
      </c>
      <c r="C17" s="32">
        <f>+VLOOKUP($A17,MAGAZZINO!$B$2:$M$4838,3,FALSE)</f>
        <v/>
      </c>
      <c r="D17" s="17">
        <f>+VLOOKUP($A17,MAGAZZINO!$B$2:$M$4838,4,FALSE)</f>
        <v/>
      </c>
      <c r="E17" s="17">
        <f>+VLOOKUP($A17,MAGAZZINO!$B$2:$M$4838,5,FALSE)</f>
        <v/>
      </c>
      <c r="F17" s="17">
        <f>+VLOOKUP($A17,MAGAZZINO!$B$2:$M$4838,6,FALSE)</f>
        <v/>
      </c>
      <c r="G17" s="17">
        <f>+VLOOKUP($A17,MAGAZZINO!$B$2:$M$4838,7,FALSE)</f>
        <v/>
      </c>
      <c r="H17" s="17">
        <f>+VLOOKUP($A17,MAGAZZINO!$B$2:$M$4838,8,FALSE)</f>
        <v/>
      </c>
      <c r="I17" s="17">
        <f>+VLOOKUP($A17,MAGAZZINO!$B$2:$M$4838,9,FALSE)</f>
        <v/>
      </c>
      <c r="J17" s="17">
        <f>+VLOOKUP($A17,MAGAZZINO!$B$2:$M$4838,10,FALSE)</f>
        <v/>
      </c>
      <c r="K17" s="17">
        <f>+VLOOKUP($A17,MAGAZZINO!$B$2:$M$4838,11,FALSE)</f>
        <v/>
      </c>
      <c r="L17" s="44">
        <f>+VLOOKUP($A17,MAGAZZINO!$B$2:$M$4838,12,FALSE)</f>
        <v/>
      </c>
    </row>
    <row r="18" ht="36" customHeight="1">
      <c r="A18" s="30">
        <f>+REGISTRO!A18</f>
        <v/>
      </c>
      <c r="B18" s="31">
        <f>+VLOOKUP($A18,MAGAZZINO!$B$2:$M$4838,2,FALSE)</f>
        <v/>
      </c>
      <c r="C18" s="32">
        <f>+VLOOKUP($A18,MAGAZZINO!$B$2:$M$4838,3,FALSE)</f>
        <v/>
      </c>
      <c r="D18" s="17">
        <f>+VLOOKUP($A18,MAGAZZINO!$B$2:$M$4838,4,FALSE)</f>
        <v/>
      </c>
      <c r="E18" s="17">
        <f>+VLOOKUP($A18,MAGAZZINO!$B$2:$M$4838,5,FALSE)</f>
        <v/>
      </c>
      <c r="F18" s="17">
        <f>+VLOOKUP($A18,MAGAZZINO!$B$2:$M$4838,6,FALSE)</f>
        <v/>
      </c>
      <c r="G18" s="17">
        <f>+VLOOKUP($A18,MAGAZZINO!$B$2:$M$4838,7,FALSE)</f>
        <v/>
      </c>
      <c r="H18" s="17">
        <f>+VLOOKUP($A18,MAGAZZINO!$B$2:$M$4838,8,FALSE)</f>
        <v/>
      </c>
      <c r="I18" s="17">
        <f>+VLOOKUP($A18,MAGAZZINO!$B$2:$M$4838,9,FALSE)</f>
        <v/>
      </c>
      <c r="J18" s="17">
        <f>+VLOOKUP($A18,MAGAZZINO!$B$2:$M$4838,10,FALSE)</f>
        <v/>
      </c>
      <c r="K18" s="17">
        <f>+VLOOKUP($A18,MAGAZZINO!$B$2:$M$4838,11,FALSE)</f>
        <v/>
      </c>
      <c r="L18" s="44">
        <f>+VLOOKUP($A18,MAGAZZINO!$B$2:$M$4838,12,FALSE)</f>
        <v/>
      </c>
    </row>
    <row r="19" ht="36" customHeight="1">
      <c r="A19" s="30">
        <f>+REGISTRO!A19</f>
        <v/>
      </c>
      <c r="B19" s="31">
        <f>+VLOOKUP($A19,MAGAZZINO!$B$2:$M$4838,2,FALSE)</f>
        <v/>
      </c>
      <c r="C19" s="32">
        <f>+VLOOKUP($A19,MAGAZZINO!$B$2:$M$4838,3,FALSE)</f>
        <v/>
      </c>
      <c r="D19" s="17">
        <f>+VLOOKUP($A19,MAGAZZINO!$B$2:$M$4838,4,FALSE)</f>
        <v/>
      </c>
      <c r="E19" s="17">
        <f>+VLOOKUP($A19,MAGAZZINO!$B$2:$M$4838,5,FALSE)</f>
        <v/>
      </c>
      <c r="F19" s="17">
        <f>+VLOOKUP($A19,MAGAZZINO!$B$2:$M$4838,6,FALSE)</f>
        <v/>
      </c>
      <c r="G19" s="17">
        <f>+VLOOKUP($A19,MAGAZZINO!$B$2:$M$4838,7,FALSE)</f>
        <v/>
      </c>
      <c r="H19" s="17">
        <f>+VLOOKUP($A19,MAGAZZINO!$B$2:$M$4838,8,FALSE)</f>
        <v/>
      </c>
      <c r="I19" s="17">
        <f>+VLOOKUP($A19,MAGAZZINO!$B$2:$M$4838,9,FALSE)</f>
        <v/>
      </c>
      <c r="J19" s="17">
        <f>+VLOOKUP($A19,MAGAZZINO!$B$2:$M$4838,10,FALSE)</f>
        <v/>
      </c>
      <c r="K19" s="17">
        <f>+VLOOKUP($A19,MAGAZZINO!$B$2:$M$4838,11,FALSE)</f>
        <v/>
      </c>
      <c r="L19" s="44">
        <f>+VLOOKUP($A19,MAGAZZINO!$B$2:$M$4838,12,FALSE)</f>
        <v/>
      </c>
    </row>
    <row r="20" ht="36" customHeight="1">
      <c r="A20" s="30">
        <f>+REGISTRO!A20</f>
        <v/>
      </c>
      <c r="B20" s="31">
        <f>+VLOOKUP($A20,MAGAZZINO!$B$2:$M$4838,2,FALSE)</f>
        <v/>
      </c>
      <c r="C20" s="32">
        <f>+VLOOKUP($A20,MAGAZZINO!$B$2:$M$4838,3,FALSE)</f>
        <v/>
      </c>
      <c r="D20" s="17">
        <f>+VLOOKUP($A20,MAGAZZINO!$B$2:$M$4838,4,FALSE)</f>
        <v/>
      </c>
      <c r="E20" s="17">
        <f>+VLOOKUP($A20,MAGAZZINO!$B$2:$M$4838,5,FALSE)</f>
        <v/>
      </c>
      <c r="F20" s="17">
        <f>+VLOOKUP($A20,MAGAZZINO!$B$2:$M$4838,6,FALSE)</f>
        <v/>
      </c>
      <c r="G20" s="17">
        <f>+VLOOKUP($A20,MAGAZZINO!$B$2:$M$4838,7,FALSE)</f>
        <v/>
      </c>
      <c r="H20" s="17">
        <f>+VLOOKUP($A20,MAGAZZINO!$B$2:$M$4838,8,FALSE)</f>
        <v/>
      </c>
      <c r="I20" s="17">
        <f>+VLOOKUP($A20,MAGAZZINO!$B$2:$M$4838,9,FALSE)</f>
        <v/>
      </c>
      <c r="J20" s="17">
        <f>+VLOOKUP($A20,MAGAZZINO!$B$2:$M$4838,10,FALSE)</f>
        <v/>
      </c>
      <c r="K20" s="17">
        <f>+VLOOKUP($A20,MAGAZZINO!$B$2:$M$4838,11,FALSE)</f>
        <v/>
      </c>
      <c r="L20" s="44">
        <f>+VLOOKUP($A20,MAGAZZINO!$B$2:$M$4838,12,FALSE)</f>
        <v/>
      </c>
    </row>
    <row r="21" ht="36" customHeight="1">
      <c r="A21" s="30">
        <f>+REGISTRO!A21</f>
        <v/>
      </c>
      <c r="B21" s="31">
        <f>+VLOOKUP($A21,MAGAZZINO!$B$2:$M$4838,2,FALSE)</f>
        <v/>
      </c>
      <c r="C21" s="32">
        <f>+VLOOKUP($A21,MAGAZZINO!$B$2:$M$4838,3,FALSE)</f>
        <v/>
      </c>
      <c r="D21" s="17">
        <f>+VLOOKUP($A21,MAGAZZINO!$B$2:$M$4838,4,FALSE)</f>
        <v/>
      </c>
      <c r="E21" s="17">
        <f>+VLOOKUP($A21,MAGAZZINO!$B$2:$M$4838,5,FALSE)</f>
        <v/>
      </c>
      <c r="F21" s="17">
        <f>+VLOOKUP($A21,MAGAZZINO!$B$2:$M$4838,6,FALSE)</f>
        <v/>
      </c>
      <c r="G21" s="17">
        <f>+VLOOKUP($A21,MAGAZZINO!$B$2:$M$4838,7,FALSE)</f>
        <v/>
      </c>
      <c r="H21" s="17">
        <f>+VLOOKUP($A21,MAGAZZINO!$B$2:$M$4838,8,FALSE)</f>
        <v/>
      </c>
      <c r="I21" s="17">
        <f>+VLOOKUP($A21,MAGAZZINO!$B$2:$M$4838,9,FALSE)</f>
        <v/>
      </c>
      <c r="J21" s="17">
        <f>+VLOOKUP($A21,MAGAZZINO!$B$2:$M$4838,10,FALSE)</f>
        <v/>
      </c>
      <c r="K21" s="17">
        <f>+VLOOKUP($A21,MAGAZZINO!$B$2:$M$4838,11,FALSE)</f>
        <v/>
      </c>
      <c r="L21" s="44">
        <f>+VLOOKUP($A21,MAGAZZINO!$B$2:$M$4838,12,FALSE)</f>
        <v/>
      </c>
    </row>
    <row r="22" ht="36" customHeight="1">
      <c r="A22" s="30">
        <f>+REGISTRO!A22</f>
        <v/>
      </c>
      <c r="B22" s="31">
        <f>+VLOOKUP($A22,MAGAZZINO!$B$2:$M$4838,2,FALSE)</f>
        <v/>
      </c>
      <c r="C22" s="32">
        <f>+VLOOKUP($A22,MAGAZZINO!$B$2:$M$4838,3,FALSE)</f>
        <v/>
      </c>
      <c r="D22" s="17">
        <f>+VLOOKUP($A22,MAGAZZINO!$B$2:$M$4838,4,FALSE)</f>
        <v/>
      </c>
      <c r="E22" s="17">
        <f>+VLOOKUP($A22,MAGAZZINO!$B$2:$M$4838,5,FALSE)</f>
        <v/>
      </c>
      <c r="F22" s="17">
        <f>+VLOOKUP($A22,MAGAZZINO!$B$2:$M$4838,6,FALSE)</f>
        <v/>
      </c>
      <c r="G22" s="17">
        <f>+VLOOKUP($A22,MAGAZZINO!$B$2:$M$4838,7,FALSE)</f>
        <v/>
      </c>
      <c r="H22" s="17">
        <f>+VLOOKUP($A22,MAGAZZINO!$B$2:$M$4838,8,FALSE)</f>
        <v/>
      </c>
      <c r="I22" s="17">
        <f>+VLOOKUP($A22,MAGAZZINO!$B$2:$M$4838,9,FALSE)</f>
        <v/>
      </c>
      <c r="J22" s="17">
        <f>+VLOOKUP($A22,MAGAZZINO!$B$2:$M$4838,10,FALSE)</f>
        <v/>
      </c>
      <c r="K22" s="17">
        <f>+VLOOKUP($A22,MAGAZZINO!$B$2:$M$4838,11,FALSE)</f>
        <v/>
      </c>
      <c r="L22" s="44">
        <f>+VLOOKUP($A22,MAGAZZINO!$B$2:$M$4838,12,FALSE)</f>
        <v/>
      </c>
    </row>
    <row r="23" ht="36" customHeight="1">
      <c r="A23" s="30">
        <f>+REGISTRO!A23</f>
        <v/>
      </c>
      <c r="B23" s="31">
        <f>+VLOOKUP($A23,MAGAZZINO!$B$2:$M$4838,2,FALSE)</f>
        <v/>
      </c>
      <c r="C23" s="32">
        <f>+VLOOKUP($A23,MAGAZZINO!$B$2:$M$4838,3,FALSE)</f>
        <v/>
      </c>
      <c r="D23" s="17">
        <f>+VLOOKUP($A23,MAGAZZINO!$B$2:$M$4838,4,FALSE)</f>
        <v/>
      </c>
      <c r="E23" s="17">
        <f>+VLOOKUP($A23,MAGAZZINO!$B$2:$M$4838,5,FALSE)</f>
        <v/>
      </c>
      <c r="F23" s="17">
        <f>+VLOOKUP($A23,MAGAZZINO!$B$2:$M$4838,6,FALSE)</f>
        <v/>
      </c>
      <c r="G23" s="17">
        <f>+VLOOKUP($A23,MAGAZZINO!$B$2:$M$4838,7,FALSE)</f>
        <v/>
      </c>
      <c r="H23" s="17">
        <f>+VLOOKUP($A23,MAGAZZINO!$B$2:$M$4838,8,FALSE)</f>
        <v/>
      </c>
      <c r="I23" s="17">
        <f>+VLOOKUP($A23,MAGAZZINO!$B$2:$M$4838,9,FALSE)</f>
        <v/>
      </c>
      <c r="J23" s="17">
        <f>+VLOOKUP($A23,MAGAZZINO!$B$2:$M$4838,10,FALSE)</f>
        <v/>
      </c>
      <c r="K23" s="17">
        <f>+VLOOKUP($A23,MAGAZZINO!$B$2:$M$4838,11,FALSE)</f>
        <v/>
      </c>
      <c r="L23" s="44">
        <f>+VLOOKUP($A23,MAGAZZINO!$B$2:$M$4838,12,FALSE)</f>
        <v/>
      </c>
    </row>
    <row r="24" ht="36" customHeight="1">
      <c r="A24" s="30">
        <f>+REGISTRO!A24</f>
        <v/>
      </c>
      <c r="B24" s="31">
        <f>+VLOOKUP($A24,MAGAZZINO!$B$2:$M$4838,2,FALSE)</f>
        <v/>
      </c>
      <c r="C24" s="32">
        <f>+VLOOKUP($A24,MAGAZZINO!$B$2:$M$4838,3,FALSE)</f>
        <v/>
      </c>
      <c r="D24" s="17">
        <f>+VLOOKUP($A24,MAGAZZINO!$B$2:$M$4838,4,FALSE)</f>
        <v/>
      </c>
      <c r="E24" s="17">
        <f>+VLOOKUP($A24,MAGAZZINO!$B$2:$M$4838,5,FALSE)</f>
        <v/>
      </c>
      <c r="F24" s="17">
        <f>+VLOOKUP($A24,MAGAZZINO!$B$2:$M$4838,6,FALSE)</f>
        <v/>
      </c>
      <c r="G24" s="17">
        <f>+VLOOKUP($A24,MAGAZZINO!$B$2:$M$4838,7,FALSE)</f>
        <v/>
      </c>
      <c r="H24" s="17">
        <f>+VLOOKUP($A24,MAGAZZINO!$B$2:$M$4838,8,FALSE)</f>
        <v/>
      </c>
      <c r="I24" s="17">
        <f>+VLOOKUP($A24,MAGAZZINO!$B$2:$M$4838,9,FALSE)</f>
        <v/>
      </c>
      <c r="J24" s="17">
        <f>+VLOOKUP($A24,MAGAZZINO!$B$2:$M$4838,10,FALSE)</f>
        <v/>
      </c>
      <c r="K24" s="17">
        <f>+VLOOKUP($A24,MAGAZZINO!$B$2:$M$4838,11,FALSE)</f>
        <v/>
      </c>
      <c r="L24" s="44">
        <f>+VLOOKUP($A24,MAGAZZINO!$B$2:$M$4838,12,FALSE)</f>
        <v/>
      </c>
    </row>
    <row r="25" ht="36" customHeight="1">
      <c r="A25" s="30">
        <f>+REGISTRO!A25</f>
        <v/>
      </c>
      <c r="B25" s="31">
        <f>+VLOOKUP($A25,MAGAZZINO!$B$2:$M$4838,2,FALSE)</f>
        <v/>
      </c>
      <c r="C25" s="32">
        <f>+VLOOKUP($A25,MAGAZZINO!$B$2:$M$4838,3,FALSE)</f>
        <v/>
      </c>
      <c r="D25" s="17">
        <f>+VLOOKUP($A25,MAGAZZINO!$B$2:$M$4838,4,FALSE)</f>
        <v/>
      </c>
      <c r="E25" s="17">
        <f>+VLOOKUP($A25,MAGAZZINO!$B$2:$M$4838,5,FALSE)</f>
        <v/>
      </c>
      <c r="F25" s="17">
        <f>+VLOOKUP($A25,MAGAZZINO!$B$2:$M$4838,6,FALSE)</f>
        <v/>
      </c>
      <c r="G25" s="17">
        <f>+VLOOKUP($A25,MAGAZZINO!$B$2:$M$4838,7,FALSE)</f>
        <v/>
      </c>
      <c r="H25" s="17">
        <f>+VLOOKUP($A25,MAGAZZINO!$B$2:$M$4838,8,FALSE)</f>
        <v/>
      </c>
      <c r="I25" s="17">
        <f>+VLOOKUP($A25,MAGAZZINO!$B$2:$M$4838,9,FALSE)</f>
        <v/>
      </c>
      <c r="J25" s="17">
        <f>+VLOOKUP($A25,MAGAZZINO!$B$2:$M$4838,10,FALSE)</f>
        <v/>
      </c>
      <c r="K25" s="17">
        <f>+VLOOKUP($A25,MAGAZZINO!$B$2:$M$4838,11,FALSE)</f>
        <v/>
      </c>
      <c r="L25" s="44">
        <f>+VLOOKUP($A25,MAGAZZINO!$B$2:$M$4838,12,FALSE)</f>
        <v/>
      </c>
    </row>
    <row r="26" ht="36" customHeight="1">
      <c r="A26" s="30">
        <f>+REGISTRO!A26</f>
        <v/>
      </c>
      <c r="B26" s="31">
        <f>+VLOOKUP($A26,MAGAZZINO!$B$2:$M$4838,2,FALSE)</f>
        <v/>
      </c>
      <c r="C26" s="32">
        <f>+VLOOKUP($A26,MAGAZZINO!$B$2:$M$4838,3,FALSE)</f>
        <v/>
      </c>
      <c r="D26" s="17">
        <f>+VLOOKUP($A26,MAGAZZINO!$B$2:$M$4838,4,FALSE)</f>
        <v/>
      </c>
      <c r="E26" s="17">
        <f>+VLOOKUP($A26,MAGAZZINO!$B$2:$M$4838,5,FALSE)</f>
        <v/>
      </c>
      <c r="F26" s="17">
        <f>+VLOOKUP($A26,MAGAZZINO!$B$2:$M$4838,6,FALSE)</f>
        <v/>
      </c>
      <c r="G26" s="17">
        <f>+VLOOKUP($A26,MAGAZZINO!$B$2:$M$4838,7,FALSE)</f>
        <v/>
      </c>
      <c r="H26" s="17">
        <f>+VLOOKUP($A26,MAGAZZINO!$B$2:$M$4838,8,FALSE)</f>
        <v/>
      </c>
      <c r="I26" s="17">
        <f>+VLOOKUP($A26,MAGAZZINO!$B$2:$M$4838,9,FALSE)</f>
        <v/>
      </c>
      <c r="J26" s="17">
        <f>+VLOOKUP($A26,MAGAZZINO!$B$2:$M$4838,10,FALSE)</f>
        <v/>
      </c>
      <c r="K26" s="17">
        <f>+VLOOKUP($A26,MAGAZZINO!$B$2:$M$4838,11,FALSE)</f>
        <v/>
      </c>
      <c r="L26" s="44">
        <f>+VLOOKUP($A26,MAGAZZINO!$B$2:$M$4838,12,FALSE)</f>
        <v/>
      </c>
    </row>
    <row r="27" ht="36" customHeight="1">
      <c r="A27" s="30">
        <f>+REGISTRO!A27</f>
        <v/>
      </c>
      <c r="B27" s="31">
        <f>+VLOOKUP($A27,MAGAZZINO!$B$2:$M$4838,2,FALSE)</f>
        <v/>
      </c>
      <c r="C27" s="32">
        <f>+VLOOKUP($A27,MAGAZZINO!$B$2:$M$4838,3,FALSE)</f>
        <v/>
      </c>
      <c r="D27" s="17">
        <f>+VLOOKUP($A27,MAGAZZINO!$B$2:$M$4838,4,FALSE)</f>
        <v/>
      </c>
      <c r="E27" s="17">
        <f>+VLOOKUP($A27,MAGAZZINO!$B$2:$M$4838,5,FALSE)</f>
        <v/>
      </c>
      <c r="F27" s="17">
        <f>+VLOOKUP($A27,MAGAZZINO!$B$2:$M$4838,6,FALSE)</f>
        <v/>
      </c>
      <c r="G27" s="17">
        <f>+VLOOKUP($A27,MAGAZZINO!$B$2:$M$4838,7,FALSE)</f>
        <v/>
      </c>
      <c r="H27" s="17">
        <f>+VLOOKUP($A27,MAGAZZINO!$B$2:$M$4838,8,FALSE)</f>
        <v/>
      </c>
      <c r="I27" s="17">
        <f>+VLOOKUP($A27,MAGAZZINO!$B$2:$M$4838,9,FALSE)</f>
        <v/>
      </c>
      <c r="J27" s="17">
        <f>+VLOOKUP($A27,MAGAZZINO!$B$2:$M$4838,10,FALSE)</f>
        <v/>
      </c>
      <c r="K27" s="17">
        <f>+VLOOKUP($A27,MAGAZZINO!$B$2:$M$4838,11,FALSE)</f>
        <v/>
      </c>
      <c r="L27" s="44">
        <f>+VLOOKUP($A27,MAGAZZINO!$B$2:$M$4838,12,FALSE)</f>
        <v/>
      </c>
    </row>
    <row r="28" ht="36" customHeight="1">
      <c r="A28" s="30">
        <f>+REGISTRO!A28</f>
        <v/>
      </c>
      <c r="B28" s="31">
        <f>+VLOOKUP($A28,MAGAZZINO!$B$2:$M$4838,2,FALSE)</f>
        <v/>
      </c>
      <c r="C28" s="32">
        <f>+VLOOKUP($A28,MAGAZZINO!$B$2:$M$4838,3,FALSE)</f>
        <v/>
      </c>
      <c r="D28" s="17">
        <f>+VLOOKUP($A28,MAGAZZINO!$B$2:$M$4838,4,FALSE)</f>
        <v/>
      </c>
      <c r="E28" s="17">
        <f>+VLOOKUP($A28,MAGAZZINO!$B$2:$M$4838,5,FALSE)</f>
        <v/>
      </c>
      <c r="F28" s="17">
        <f>+VLOOKUP($A28,MAGAZZINO!$B$2:$M$4838,6,FALSE)</f>
        <v/>
      </c>
      <c r="G28" s="17">
        <f>+VLOOKUP($A28,MAGAZZINO!$B$2:$M$4838,7,FALSE)</f>
        <v/>
      </c>
      <c r="H28" s="17">
        <f>+VLOOKUP($A28,MAGAZZINO!$B$2:$M$4838,8,FALSE)</f>
        <v/>
      </c>
      <c r="I28" s="17">
        <f>+VLOOKUP($A28,MAGAZZINO!$B$2:$M$4838,9,FALSE)</f>
        <v/>
      </c>
      <c r="J28" s="17">
        <f>+VLOOKUP($A28,MAGAZZINO!$B$2:$M$4838,10,FALSE)</f>
        <v/>
      </c>
      <c r="K28" s="17">
        <f>+VLOOKUP($A28,MAGAZZINO!$B$2:$M$4838,11,FALSE)</f>
        <v/>
      </c>
      <c r="L28" s="44">
        <f>+VLOOKUP($A28,MAGAZZINO!$B$2:$M$4838,12,FALSE)</f>
        <v/>
      </c>
    </row>
    <row r="29" ht="36" customHeight="1">
      <c r="A29" s="30">
        <f>+REGISTRO!A29</f>
        <v/>
      </c>
      <c r="B29" s="31">
        <f>+VLOOKUP($A29,MAGAZZINO!$B$2:$M$4838,2,FALSE)</f>
        <v/>
      </c>
      <c r="C29" s="32">
        <f>+VLOOKUP($A29,MAGAZZINO!$B$2:$M$4838,3,FALSE)</f>
        <v/>
      </c>
      <c r="D29" s="17">
        <f>+VLOOKUP($A29,MAGAZZINO!$B$2:$M$4838,4,FALSE)</f>
        <v/>
      </c>
      <c r="E29" s="17">
        <f>+VLOOKUP($A29,MAGAZZINO!$B$2:$M$4838,5,FALSE)</f>
        <v/>
      </c>
      <c r="F29" s="17">
        <f>+VLOOKUP($A29,MAGAZZINO!$B$2:$M$4838,6,FALSE)</f>
        <v/>
      </c>
      <c r="G29" s="17">
        <f>+VLOOKUP($A29,MAGAZZINO!$B$2:$M$4838,7,FALSE)</f>
        <v/>
      </c>
      <c r="H29" s="17">
        <f>+VLOOKUP($A29,MAGAZZINO!$B$2:$M$4838,8,FALSE)</f>
        <v/>
      </c>
      <c r="I29" s="17">
        <f>+VLOOKUP($A29,MAGAZZINO!$B$2:$M$4838,9,FALSE)</f>
        <v/>
      </c>
      <c r="J29" s="17">
        <f>+VLOOKUP($A29,MAGAZZINO!$B$2:$M$4838,10,FALSE)</f>
        <v/>
      </c>
      <c r="K29" s="17">
        <f>+VLOOKUP($A29,MAGAZZINO!$B$2:$M$4838,11,FALSE)</f>
        <v/>
      </c>
      <c r="L29" s="44">
        <f>+VLOOKUP($A29,MAGAZZINO!$B$2:$M$4838,12,FALSE)</f>
        <v/>
      </c>
    </row>
    <row r="30" ht="36" customHeight="1">
      <c r="A30" s="30">
        <f>+REGISTRO!A30</f>
        <v/>
      </c>
      <c r="B30" s="31">
        <f>+VLOOKUP($A30,MAGAZZINO!$B$2:$M$4838,2,FALSE)</f>
        <v/>
      </c>
      <c r="C30" s="32">
        <f>+VLOOKUP($A30,MAGAZZINO!$B$2:$M$4838,3,FALSE)</f>
        <v/>
      </c>
      <c r="D30" s="17">
        <f>+VLOOKUP($A30,MAGAZZINO!$B$2:$M$4838,4,FALSE)</f>
        <v/>
      </c>
      <c r="E30" s="17">
        <f>+VLOOKUP($A30,MAGAZZINO!$B$2:$M$4838,5,FALSE)</f>
        <v/>
      </c>
      <c r="F30" s="17">
        <f>+VLOOKUP($A30,MAGAZZINO!$B$2:$M$4838,6,FALSE)</f>
        <v/>
      </c>
      <c r="G30" s="17">
        <f>+VLOOKUP($A30,MAGAZZINO!$B$2:$M$4838,7,FALSE)</f>
        <v/>
      </c>
      <c r="H30" s="17">
        <f>+VLOOKUP($A30,MAGAZZINO!$B$2:$M$4838,8,FALSE)</f>
        <v/>
      </c>
      <c r="I30" s="17">
        <f>+VLOOKUP($A30,MAGAZZINO!$B$2:$M$4838,9,FALSE)</f>
        <v/>
      </c>
      <c r="J30" s="17">
        <f>+VLOOKUP($A30,MAGAZZINO!$B$2:$M$4838,10,FALSE)</f>
        <v/>
      </c>
      <c r="K30" s="17">
        <f>+VLOOKUP($A30,MAGAZZINO!$B$2:$M$4838,11,FALSE)</f>
        <v/>
      </c>
      <c r="L30" s="44">
        <f>+VLOOKUP($A30,MAGAZZINO!$B$2:$M$4838,12,FALSE)</f>
        <v/>
      </c>
    </row>
    <row r="31" ht="36" customHeight="1">
      <c r="A31" s="30">
        <f>+REGISTRO!A31</f>
        <v/>
      </c>
      <c r="B31" s="31">
        <f>+VLOOKUP($A31,MAGAZZINO!$B$2:$M$4838,2,FALSE)</f>
        <v/>
      </c>
      <c r="C31" s="32">
        <f>+VLOOKUP($A31,MAGAZZINO!$B$2:$M$4838,3,FALSE)</f>
        <v/>
      </c>
      <c r="D31" s="17">
        <f>+VLOOKUP($A31,MAGAZZINO!$B$2:$M$4838,4,FALSE)</f>
        <v/>
      </c>
      <c r="E31" s="17">
        <f>+VLOOKUP($A31,MAGAZZINO!$B$2:$M$4838,5,FALSE)</f>
        <v/>
      </c>
      <c r="F31" s="17">
        <f>+VLOOKUP($A31,MAGAZZINO!$B$2:$M$4838,6,FALSE)</f>
        <v/>
      </c>
      <c r="G31" s="17">
        <f>+VLOOKUP($A31,MAGAZZINO!$B$2:$M$4838,7,FALSE)</f>
        <v/>
      </c>
      <c r="H31" s="17">
        <f>+VLOOKUP($A31,MAGAZZINO!$B$2:$M$4838,8,FALSE)</f>
        <v/>
      </c>
      <c r="I31" s="17">
        <f>+VLOOKUP($A31,MAGAZZINO!$B$2:$M$4838,9,FALSE)</f>
        <v/>
      </c>
      <c r="J31" s="17">
        <f>+VLOOKUP($A31,MAGAZZINO!$B$2:$M$4838,10,FALSE)</f>
        <v/>
      </c>
      <c r="K31" s="17">
        <f>+VLOOKUP($A31,MAGAZZINO!$B$2:$M$4838,11,FALSE)</f>
        <v/>
      </c>
      <c r="L31" s="44">
        <f>+VLOOKUP($A31,MAGAZZINO!$B$2:$M$4838,12,FALSE)</f>
        <v/>
      </c>
    </row>
    <row r="32" ht="36" customHeight="1">
      <c r="A32" s="30">
        <f>+REGISTRO!A32</f>
        <v/>
      </c>
      <c r="B32" s="31">
        <f>+VLOOKUP($A32,MAGAZZINO!$B$2:$M$4838,2,FALSE)</f>
        <v/>
      </c>
      <c r="C32" s="32">
        <f>+VLOOKUP($A32,MAGAZZINO!$B$2:$M$4838,3,FALSE)</f>
        <v/>
      </c>
      <c r="D32" s="17">
        <f>+VLOOKUP($A32,MAGAZZINO!$B$2:$M$4838,4,FALSE)</f>
        <v/>
      </c>
      <c r="E32" s="17">
        <f>+VLOOKUP($A32,MAGAZZINO!$B$2:$M$4838,5,FALSE)</f>
        <v/>
      </c>
      <c r="F32" s="17">
        <f>+VLOOKUP($A32,MAGAZZINO!$B$2:$M$4838,6,FALSE)</f>
        <v/>
      </c>
      <c r="G32" s="17">
        <f>+VLOOKUP($A32,MAGAZZINO!$B$2:$M$4838,7,FALSE)</f>
        <v/>
      </c>
      <c r="H32" s="17">
        <f>+VLOOKUP($A32,MAGAZZINO!$B$2:$M$4838,8,FALSE)</f>
        <v/>
      </c>
      <c r="I32" s="17">
        <f>+VLOOKUP($A32,MAGAZZINO!$B$2:$M$4838,9,FALSE)</f>
        <v/>
      </c>
      <c r="J32" s="17">
        <f>+VLOOKUP($A32,MAGAZZINO!$B$2:$M$4838,10,FALSE)</f>
        <v/>
      </c>
      <c r="K32" s="17">
        <f>+VLOOKUP($A32,MAGAZZINO!$B$2:$M$4838,11,FALSE)</f>
        <v/>
      </c>
      <c r="L32" s="44">
        <f>+VLOOKUP($A32,MAGAZZINO!$B$2:$M$4838,12,FALSE)</f>
        <v/>
      </c>
    </row>
    <row r="33" ht="36" customHeight="1">
      <c r="A33" s="30">
        <f>+REGISTRO!A33</f>
        <v/>
      </c>
      <c r="B33" s="31">
        <f>+VLOOKUP($A33,MAGAZZINO!$B$2:$M$4838,2,FALSE)</f>
        <v/>
      </c>
      <c r="C33" s="32">
        <f>+VLOOKUP($A33,MAGAZZINO!$B$2:$M$4838,3,FALSE)</f>
        <v/>
      </c>
      <c r="D33" s="17">
        <f>+VLOOKUP($A33,MAGAZZINO!$B$2:$M$4838,4,FALSE)</f>
        <v/>
      </c>
      <c r="E33" s="17">
        <f>+VLOOKUP($A33,MAGAZZINO!$B$2:$M$4838,5,FALSE)</f>
        <v/>
      </c>
      <c r="F33" s="17">
        <f>+VLOOKUP($A33,MAGAZZINO!$B$2:$M$4838,6,FALSE)</f>
        <v/>
      </c>
      <c r="G33" s="17">
        <f>+VLOOKUP($A33,MAGAZZINO!$B$2:$M$4838,7,FALSE)</f>
        <v/>
      </c>
      <c r="H33" s="17">
        <f>+VLOOKUP($A33,MAGAZZINO!$B$2:$M$4838,8,FALSE)</f>
        <v/>
      </c>
      <c r="I33" s="17">
        <f>+VLOOKUP($A33,MAGAZZINO!$B$2:$M$4838,9,FALSE)</f>
        <v/>
      </c>
      <c r="J33" s="17">
        <f>+VLOOKUP($A33,MAGAZZINO!$B$2:$M$4838,10,FALSE)</f>
        <v/>
      </c>
      <c r="K33" s="17">
        <f>+VLOOKUP($A33,MAGAZZINO!$B$2:$M$4838,11,FALSE)</f>
        <v/>
      </c>
      <c r="L33" s="44">
        <f>+VLOOKUP($A33,MAGAZZINO!$B$2:$M$4838,12,FALSE)</f>
        <v/>
      </c>
    </row>
    <row r="34" ht="36" customHeight="1">
      <c r="A34" s="30">
        <f>+REGISTRO!A34</f>
        <v/>
      </c>
      <c r="B34" s="31">
        <f>+VLOOKUP($A34,MAGAZZINO!$B$2:$M$4838,2,FALSE)</f>
        <v/>
      </c>
      <c r="C34" s="32">
        <f>+VLOOKUP($A34,MAGAZZINO!$B$2:$M$4838,3,FALSE)</f>
        <v/>
      </c>
      <c r="D34" s="17">
        <f>+VLOOKUP($A34,MAGAZZINO!$B$2:$M$4838,4,FALSE)</f>
        <v/>
      </c>
      <c r="E34" s="17">
        <f>+VLOOKUP($A34,MAGAZZINO!$B$2:$M$4838,5,FALSE)</f>
        <v/>
      </c>
      <c r="F34" s="17">
        <f>+VLOOKUP($A34,MAGAZZINO!$B$2:$M$4838,6,FALSE)</f>
        <v/>
      </c>
      <c r="G34" s="17">
        <f>+VLOOKUP($A34,MAGAZZINO!$B$2:$M$4838,7,FALSE)</f>
        <v/>
      </c>
      <c r="H34" s="17">
        <f>+VLOOKUP($A34,MAGAZZINO!$B$2:$M$4838,8,FALSE)</f>
        <v/>
      </c>
      <c r="I34" s="17">
        <f>+VLOOKUP($A34,MAGAZZINO!$B$2:$M$4838,9,FALSE)</f>
        <v/>
      </c>
      <c r="J34" s="17">
        <f>+VLOOKUP($A34,MAGAZZINO!$B$2:$M$4838,10,FALSE)</f>
        <v/>
      </c>
      <c r="K34" s="17">
        <f>+VLOOKUP($A34,MAGAZZINO!$B$2:$M$4838,11,FALSE)</f>
        <v/>
      </c>
      <c r="L34" s="44">
        <f>+VLOOKUP($A34,MAGAZZINO!$B$2:$M$4838,12,FALSE)</f>
        <v/>
      </c>
    </row>
    <row r="35" ht="36" customHeight="1">
      <c r="A35" s="30">
        <f>+REGISTRO!A35</f>
        <v/>
      </c>
      <c r="B35" s="31">
        <f>+VLOOKUP($A35,MAGAZZINO!$B$2:$M$4838,2,FALSE)</f>
        <v/>
      </c>
      <c r="C35" s="32">
        <f>+VLOOKUP($A35,MAGAZZINO!$B$2:$M$4838,3,FALSE)</f>
        <v/>
      </c>
      <c r="D35" s="17">
        <f>+VLOOKUP($A35,MAGAZZINO!$B$2:$M$4838,4,FALSE)</f>
        <v/>
      </c>
      <c r="E35" s="17">
        <f>+VLOOKUP($A35,MAGAZZINO!$B$2:$M$4838,5,FALSE)</f>
        <v/>
      </c>
      <c r="F35" s="17">
        <f>+VLOOKUP($A35,MAGAZZINO!$B$2:$M$4838,6,FALSE)</f>
        <v/>
      </c>
      <c r="G35" s="17">
        <f>+VLOOKUP($A35,MAGAZZINO!$B$2:$M$4838,7,FALSE)</f>
        <v/>
      </c>
      <c r="H35" s="17">
        <f>+VLOOKUP($A35,MAGAZZINO!$B$2:$M$4838,8,FALSE)</f>
        <v/>
      </c>
      <c r="I35" s="17">
        <f>+VLOOKUP($A35,MAGAZZINO!$B$2:$M$4838,9,FALSE)</f>
        <v/>
      </c>
      <c r="J35" s="17">
        <f>+VLOOKUP($A35,MAGAZZINO!$B$2:$M$4838,10,FALSE)</f>
        <v/>
      </c>
      <c r="K35" s="17">
        <f>+VLOOKUP($A35,MAGAZZINO!$B$2:$M$4838,11,FALSE)</f>
        <v/>
      </c>
      <c r="L35" s="44">
        <f>+VLOOKUP($A35,MAGAZZINO!$B$2:$M$4838,12,FALSE)</f>
        <v/>
      </c>
    </row>
    <row r="36" ht="36" customHeight="1">
      <c r="A36" s="30">
        <f>+REGISTRO!A36</f>
        <v/>
      </c>
      <c r="B36" s="31">
        <f>+VLOOKUP($A36,MAGAZZINO!$B$2:$M$4838,2,FALSE)</f>
        <v/>
      </c>
      <c r="C36" s="32">
        <f>+VLOOKUP($A36,MAGAZZINO!$B$2:$M$4838,3,FALSE)</f>
        <v/>
      </c>
      <c r="D36" s="17">
        <f>+VLOOKUP($A36,MAGAZZINO!$B$2:$M$4838,4,FALSE)</f>
        <v/>
      </c>
      <c r="E36" s="17">
        <f>+VLOOKUP($A36,MAGAZZINO!$B$2:$M$4838,5,FALSE)</f>
        <v/>
      </c>
      <c r="F36" s="17">
        <f>+VLOOKUP($A36,MAGAZZINO!$B$2:$M$4838,6,FALSE)</f>
        <v/>
      </c>
      <c r="G36" s="17">
        <f>+VLOOKUP($A36,MAGAZZINO!$B$2:$M$4838,7,FALSE)</f>
        <v/>
      </c>
      <c r="H36" s="17">
        <f>+VLOOKUP($A36,MAGAZZINO!$B$2:$M$4838,8,FALSE)</f>
        <v/>
      </c>
      <c r="I36" s="17">
        <f>+VLOOKUP($A36,MAGAZZINO!$B$2:$M$4838,9,FALSE)</f>
        <v/>
      </c>
      <c r="J36" s="17">
        <f>+VLOOKUP($A36,MAGAZZINO!$B$2:$M$4838,10,FALSE)</f>
        <v/>
      </c>
      <c r="K36" s="17">
        <f>+VLOOKUP($A36,MAGAZZINO!$B$2:$M$4838,11,FALSE)</f>
        <v/>
      </c>
      <c r="L36" s="44">
        <f>+VLOOKUP($A36,MAGAZZINO!$B$2:$M$4838,12,FALSE)</f>
        <v/>
      </c>
    </row>
    <row r="37" ht="36" customHeight="1">
      <c r="A37" s="30">
        <f>+REGISTRO!A37</f>
        <v/>
      </c>
      <c r="B37" s="31">
        <f>+VLOOKUP($A37,MAGAZZINO!$B$2:$M$4838,2,FALSE)</f>
        <v/>
      </c>
      <c r="C37" s="32">
        <f>+VLOOKUP($A37,MAGAZZINO!$B$2:$M$4838,3,FALSE)</f>
        <v/>
      </c>
      <c r="D37" s="17">
        <f>+VLOOKUP($A37,MAGAZZINO!$B$2:$M$4838,4,FALSE)</f>
        <v/>
      </c>
      <c r="E37" s="17">
        <f>+VLOOKUP($A37,MAGAZZINO!$B$2:$M$4838,5,FALSE)</f>
        <v/>
      </c>
      <c r="F37" s="17">
        <f>+VLOOKUP($A37,MAGAZZINO!$B$2:$M$4838,6,FALSE)</f>
        <v/>
      </c>
      <c r="G37" s="17">
        <f>+VLOOKUP($A37,MAGAZZINO!$B$2:$M$4838,7,FALSE)</f>
        <v/>
      </c>
      <c r="H37" s="17">
        <f>+VLOOKUP($A37,MAGAZZINO!$B$2:$M$4838,8,FALSE)</f>
        <v/>
      </c>
      <c r="I37" s="17">
        <f>+VLOOKUP($A37,MAGAZZINO!$B$2:$M$4838,9,FALSE)</f>
        <v/>
      </c>
      <c r="J37" s="17">
        <f>+VLOOKUP($A37,MAGAZZINO!$B$2:$M$4838,10,FALSE)</f>
        <v/>
      </c>
      <c r="K37" s="17">
        <f>+VLOOKUP($A37,MAGAZZINO!$B$2:$M$4838,11,FALSE)</f>
        <v/>
      </c>
      <c r="L37" s="44">
        <f>+VLOOKUP($A37,MAGAZZINO!$B$2:$M$4838,12,FALSE)</f>
        <v/>
      </c>
    </row>
    <row r="38" ht="36" customHeight="1">
      <c r="A38" s="30">
        <f>+REGISTRO!A38</f>
        <v/>
      </c>
      <c r="B38" s="31">
        <f>+VLOOKUP($A38,MAGAZZINO!$B$2:$M$4838,2,FALSE)</f>
        <v/>
      </c>
      <c r="C38" s="32">
        <f>+VLOOKUP($A38,MAGAZZINO!$B$2:$M$4838,3,FALSE)</f>
        <v/>
      </c>
      <c r="D38" s="17">
        <f>+VLOOKUP($A38,MAGAZZINO!$B$2:$M$4838,4,FALSE)</f>
        <v/>
      </c>
      <c r="E38" s="17">
        <f>+VLOOKUP($A38,MAGAZZINO!$B$2:$M$4838,5,FALSE)</f>
        <v/>
      </c>
      <c r="F38" s="17">
        <f>+VLOOKUP($A38,MAGAZZINO!$B$2:$M$4838,6,FALSE)</f>
        <v/>
      </c>
      <c r="G38" s="17">
        <f>+VLOOKUP($A38,MAGAZZINO!$B$2:$M$4838,7,FALSE)</f>
        <v/>
      </c>
      <c r="H38" s="17">
        <f>+VLOOKUP($A38,MAGAZZINO!$B$2:$M$4838,8,FALSE)</f>
        <v/>
      </c>
      <c r="I38" s="17">
        <f>+VLOOKUP($A38,MAGAZZINO!$B$2:$M$4838,9,FALSE)</f>
        <v/>
      </c>
      <c r="J38" s="17">
        <f>+VLOOKUP($A38,MAGAZZINO!$B$2:$M$4838,10,FALSE)</f>
        <v/>
      </c>
      <c r="K38" s="17">
        <f>+VLOOKUP($A38,MAGAZZINO!$B$2:$M$4838,11,FALSE)</f>
        <v/>
      </c>
      <c r="L38" s="44">
        <f>+VLOOKUP($A38,MAGAZZINO!$B$2:$M$4838,12,FALSE)</f>
        <v/>
      </c>
    </row>
    <row r="39" ht="36" customHeight="1">
      <c r="A39" s="30">
        <f>+REGISTRO!A39</f>
        <v/>
      </c>
      <c r="B39" s="31">
        <f>+VLOOKUP($A39,MAGAZZINO!$B$2:$M$4838,2,FALSE)</f>
        <v/>
      </c>
      <c r="C39" s="32">
        <f>+VLOOKUP($A39,MAGAZZINO!$B$2:$M$4838,3,FALSE)</f>
        <v/>
      </c>
      <c r="D39" s="17">
        <f>+VLOOKUP($A39,MAGAZZINO!$B$2:$M$4838,4,FALSE)</f>
        <v/>
      </c>
      <c r="E39" s="17">
        <f>+VLOOKUP($A39,MAGAZZINO!$B$2:$M$4838,5,FALSE)</f>
        <v/>
      </c>
      <c r="F39" s="17">
        <f>+VLOOKUP($A39,MAGAZZINO!$B$2:$M$4838,6,FALSE)</f>
        <v/>
      </c>
      <c r="G39" s="17">
        <f>+VLOOKUP($A39,MAGAZZINO!$B$2:$M$4838,7,FALSE)</f>
        <v/>
      </c>
      <c r="H39" s="17">
        <f>+VLOOKUP($A39,MAGAZZINO!$B$2:$M$4838,8,FALSE)</f>
        <v/>
      </c>
      <c r="I39" s="17">
        <f>+VLOOKUP($A39,MAGAZZINO!$B$2:$M$4838,9,FALSE)</f>
        <v/>
      </c>
      <c r="J39" s="17">
        <f>+VLOOKUP($A39,MAGAZZINO!$B$2:$M$4838,10,FALSE)</f>
        <v/>
      </c>
      <c r="K39" s="17">
        <f>+VLOOKUP($A39,MAGAZZINO!$B$2:$M$4838,11,FALSE)</f>
        <v/>
      </c>
      <c r="L39" s="44">
        <f>+VLOOKUP($A39,MAGAZZINO!$B$2:$M$4838,12,FALSE)</f>
        <v/>
      </c>
    </row>
    <row r="40" ht="36" customHeight="1">
      <c r="A40" s="30">
        <f>+REGISTRO!A40</f>
        <v/>
      </c>
      <c r="B40" s="31">
        <f>+VLOOKUP($A40,MAGAZZINO!$B$2:$M$4838,2,FALSE)</f>
        <v/>
      </c>
      <c r="C40" s="32">
        <f>+VLOOKUP($A40,MAGAZZINO!$B$2:$M$4838,3,FALSE)</f>
        <v/>
      </c>
      <c r="D40" s="17">
        <f>+VLOOKUP($A40,MAGAZZINO!$B$2:$M$4838,4,FALSE)</f>
        <v/>
      </c>
      <c r="E40" s="17">
        <f>+VLOOKUP($A40,MAGAZZINO!$B$2:$M$4838,5,FALSE)</f>
        <v/>
      </c>
      <c r="F40" s="17">
        <f>+VLOOKUP($A40,MAGAZZINO!$B$2:$M$4838,6,FALSE)</f>
        <v/>
      </c>
      <c r="G40" s="17">
        <f>+VLOOKUP($A40,MAGAZZINO!$B$2:$M$4838,7,FALSE)</f>
        <v/>
      </c>
      <c r="H40" s="17">
        <f>+VLOOKUP($A40,MAGAZZINO!$B$2:$M$4838,8,FALSE)</f>
        <v/>
      </c>
      <c r="I40" s="17">
        <f>+VLOOKUP($A40,MAGAZZINO!$B$2:$M$4838,9,FALSE)</f>
        <v/>
      </c>
      <c r="J40" s="17">
        <f>+VLOOKUP($A40,MAGAZZINO!$B$2:$M$4838,10,FALSE)</f>
        <v/>
      </c>
      <c r="K40" s="17">
        <f>+VLOOKUP($A40,MAGAZZINO!$B$2:$M$4838,11,FALSE)</f>
        <v/>
      </c>
      <c r="L40" s="44">
        <f>+VLOOKUP($A40,MAGAZZINO!$B$2:$M$4838,12,FALSE)</f>
        <v/>
      </c>
    </row>
    <row r="41" ht="36" customHeight="1">
      <c r="A41" s="30">
        <f>+REGISTRO!A41</f>
        <v/>
      </c>
      <c r="B41" s="31">
        <f>+VLOOKUP($A41,MAGAZZINO!$B$2:$M$4838,2,FALSE)</f>
        <v/>
      </c>
      <c r="C41" s="32">
        <f>+VLOOKUP($A41,MAGAZZINO!$B$2:$M$4838,3,FALSE)</f>
        <v/>
      </c>
      <c r="D41" s="17">
        <f>+VLOOKUP($A41,MAGAZZINO!$B$2:$M$4838,4,FALSE)</f>
        <v/>
      </c>
      <c r="E41" s="17">
        <f>+VLOOKUP($A41,MAGAZZINO!$B$2:$M$4838,5,FALSE)</f>
        <v/>
      </c>
      <c r="F41" s="17">
        <f>+VLOOKUP($A41,MAGAZZINO!$B$2:$M$4838,6,FALSE)</f>
        <v/>
      </c>
      <c r="G41" s="17">
        <f>+VLOOKUP($A41,MAGAZZINO!$B$2:$M$4838,7,FALSE)</f>
        <v/>
      </c>
      <c r="H41" s="17">
        <f>+VLOOKUP($A41,MAGAZZINO!$B$2:$M$4838,8,FALSE)</f>
        <v/>
      </c>
      <c r="I41" s="17">
        <f>+VLOOKUP($A41,MAGAZZINO!$B$2:$M$4838,9,FALSE)</f>
        <v/>
      </c>
      <c r="J41" s="17">
        <f>+VLOOKUP($A41,MAGAZZINO!$B$2:$M$4838,10,FALSE)</f>
        <v/>
      </c>
      <c r="K41" s="17">
        <f>+VLOOKUP($A41,MAGAZZINO!$B$2:$M$4838,11,FALSE)</f>
        <v/>
      </c>
      <c r="L41" s="44">
        <f>+VLOOKUP($A41,MAGAZZINO!$B$2:$M$4838,12,FALSE)</f>
        <v/>
      </c>
    </row>
    <row r="42" ht="36" customHeight="1">
      <c r="A42" s="30">
        <f>+REGISTRO!A42</f>
        <v/>
      </c>
      <c r="B42" s="31">
        <f>+VLOOKUP($A42,MAGAZZINO!$B$2:$M$4838,2,FALSE)</f>
        <v/>
      </c>
      <c r="C42" s="32">
        <f>+VLOOKUP($A42,MAGAZZINO!$B$2:$M$4838,3,FALSE)</f>
        <v/>
      </c>
      <c r="D42" s="17">
        <f>+VLOOKUP($A42,MAGAZZINO!$B$2:$M$4838,4,FALSE)</f>
        <v/>
      </c>
      <c r="E42" s="17">
        <f>+VLOOKUP($A42,MAGAZZINO!$B$2:$M$4838,5,FALSE)</f>
        <v/>
      </c>
      <c r="F42" s="17">
        <f>+VLOOKUP($A42,MAGAZZINO!$B$2:$M$4838,6,FALSE)</f>
        <v/>
      </c>
      <c r="G42" s="17">
        <f>+VLOOKUP($A42,MAGAZZINO!$B$2:$M$4838,7,FALSE)</f>
        <v/>
      </c>
      <c r="H42" s="17">
        <f>+VLOOKUP($A42,MAGAZZINO!$B$2:$M$4838,8,FALSE)</f>
        <v/>
      </c>
      <c r="I42" s="17">
        <f>+VLOOKUP($A42,MAGAZZINO!$B$2:$M$4838,9,FALSE)</f>
        <v/>
      </c>
      <c r="J42" s="17">
        <f>+VLOOKUP($A42,MAGAZZINO!$B$2:$M$4838,10,FALSE)</f>
        <v/>
      </c>
      <c r="K42" s="17">
        <f>+VLOOKUP($A42,MAGAZZINO!$B$2:$M$4838,11,FALSE)</f>
        <v/>
      </c>
      <c r="L42" s="44">
        <f>+VLOOKUP($A42,MAGAZZINO!$B$2:$M$4838,12,FALSE)</f>
        <v/>
      </c>
    </row>
    <row r="43" ht="36" customHeight="1">
      <c r="A43" s="30">
        <f>+REGISTRO!A43</f>
        <v/>
      </c>
      <c r="B43" s="31">
        <f>+VLOOKUP($A43,MAGAZZINO!$B$2:$M$4838,2,FALSE)</f>
        <v/>
      </c>
      <c r="C43" s="32">
        <f>+VLOOKUP($A43,MAGAZZINO!$B$2:$M$4838,3,FALSE)</f>
        <v/>
      </c>
      <c r="D43" s="17">
        <f>+VLOOKUP($A43,MAGAZZINO!$B$2:$M$4838,4,FALSE)</f>
        <v/>
      </c>
      <c r="E43" s="17">
        <f>+VLOOKUP($A43,MAGAZZINO!$B$2:$M$4838,5,FALSE)</f>
        <v/>
      </c>
      <c r="F43" s="17">
        <f>+VLOOKUP($A43,MAGAZZINO!$B$2:$M$4838,6,FALSE)</f>
        <v/>
      </c>
      <c r="G43" s="17">
        <f>+VLOOKUP($A43,MAGAZZINO!$B$2:$M$4838,7,FALSE)</f>
        <v/>
      </c>
      <c r="H43" s="17">
        <f>+VLOOKUP($A43,MAGAZZINO!$B$2:$M$4838,8,FALSE)</f>
        <v/>
      </c>
      <c r="I43" s="17">
        <f>+VLOOKUP($A43,MAGAZZINO!$B$2:$M$4838,9,FALSE)</f>
        <v/>
      </c>
      <c r="J43" s="17">
        <f>+VLOOKUP($A43,MAGAZZINO!$B$2:$M$4838,10,FALSE)</f>
        <v/>
      </c>
      <c r="K43" s="17">
        <f>+VLOOKUP($A43,MAGAZZINO!$B$2:$M$4838,11,FALSE)</f>
        <v/>
      </c>
      <c r="L43" s="44">
        <f>+VLOOKUP($A43,MAGAZZINO!$B$2:$M$4838,12,FALSE)</f>
        <v/>
      </c>
    </row>
    <row r="44" ht="36" customHeight="1">
      <c r="A44" s="30">
        <f>+REGISTRO!A44</f>
        <v/>
      </c>
      <c r="B44" s="31">
        <f>+VLOOKUP($A44,MAGAZZINO!$B$2:$M$4838,2,FALSE)</f>
        <v/>
      </c>
      <c r="C44" s="32">
        <f>+VLOOKUP($A44,MAGAZZINO!$B$2:$M$4838,3,FALSE)</f>
        <v/>
      </c>
      <c r="D44" s="17">
        <f>+VLOOKUP($A44,MAGAZZINO!$B$2:$M$4838,4,FALSE)</f>
        <v/>
      </c>
      <c r="E44" s="17">
        <f>+VLOOKUP($A44,MAGAZZINO!$B$2:$M$4838,5,FALSE)</f>
        <v/>
      </c>
      <c r="F44" s="17">
        <f>+VLOOKUP($A44,MAGAZZINO!$B$2:$M$4838,6,FALSE)</f>
        <v/>
      </c>
      <c r="G44" s="17">
        <f>+VLOOKUP($A44,MAGAZZINO!$B$2:$M$4838,7,FALSE)</f>
        <v/>
      </c>
      <c r="H44" s="17">
        <f>+VLOOKUP($A44,MAGAZZINO!$B$2:$M$4838,8,FALSE)</f>
        <v/>
      </c>
      <c r="I44" s="17">
        <f>+VLOOKUP($A44,MAGAZZINO!$B$2:$M$4838,9,FALSE)</f>
        <v/>
      </c>
      <c r="J44" s="17">
        <f>+VLOOKUP($A44,MAGAZZINO!$B$2:$M$4838,10,FALSE)</f>
        <v/>
      </c>
      <c r="K44" s="17">
        <f>+VLOOKUP($A44,MAGAZZINO!$B$2:$M$4838,11,FALSE)</f>
        <v/>
      </c>
      <c r="L44" s="44">
        <f>+VLOOKUP($A44,MAGAZZINO!$B$2:$M$4838,12,FALSE)</f>
        <v/>
      </c>
    </row>
    <row r="45" ht="36" customHeight="1">
      <c r="A45" s="30">
        <f>+REGISTRO!A45</f>
        <v/>
      </c>
      <c r="B45" s="31">
        <f>+VLOOKUP($A45,MAGAZZINO!$B$2:$M$4838,2,FALSE)</f>
        <v/>
      </c>
      <c r="C45" s="32">
        <f>+VLOOKUP($A45,MAGAZZINO!$B$2:$M$4838,3,FALSE)</f>
        <v/>
      </c>
      <c r="D45" s="17">
        <f>+VLOOKUP($A45,MAGAZZINO!$B$2:$M$4838,4,FALSE)</f>
        <v/>
      </c>
      <c r="E45" s="17">
        <f>+VLOOKUP($A45,MAGAZZINO!$B$2:$M$4838,5,FALSE)</f>
        <v/>
      </c>
      <c r="F45" s="17">
        <f>+VLOOKUP($A45,MAGAZZINO!$B$2:$M$4838,6,FALSE)</f>
        <v/>
      </c>
      <c r="G45" s="17">
        <f>+VLOOKUP($A45,MAGAZZINO!$B$2:$M$4838,7,FALSE)</f>
        <v/>
      </c>
      <c r="H45" s="17">
        <f>+VLOOKUP($A45,MAGAZZINO!$B$2:$M$4838,8,FALSE)</f>
        <v/>
      </c>
      <c r="I45" s="17">
        <f>+VLOOKUP($A45,MAGAZZINO!$B$2:$M$4838,9,FALSE)</f>
        <v/>
      </c>
      <c r="J45" s="17">
        <f>+VLOOKUP($A45,MAGAZZINO!$B$2:$M$4838,10,FALSE)</f>
        <v/>
      </c>
      <c r="K45" s="17">
        <f>+VLOOKUP($A45,MAGAZZINO!$B$2:$M$4838,11,FALSE)</f>
        <v/>
      </c>
      <c r="L45" s="44">
        <f>+VLOOKUP($A45,MAGAZZINO!$B$2:$M$4838,12,FALSE)</f>
        <v/>
      </c>
    </row>
    <row r="46" ht="36" customHeight="1">
      <c r="A46" s="30">
        <f>+REGISTRO!A46</f>
        <v/>
      </c>
      <c r="B46" s="31">
        <f>+VLOOKUP($A46,MAGAZZINO!$B$2:$M$4838,2,FALSE)</f>
        <v/>
      </c>
      <c r="C46" s="32">
        <f>+VLOOKUP($A46,MAGAZZINO!$B$2:$M$4838,3,FALSE)</f>
        <v/>
      </c>
      <c r="D46" s="17">
        <f>+VLOOKUP($A46,MAGAZZINO!$B$2:$M$4838,4,FALSE)</f>
        <v/>
      </c>
      <c r="E46" s="17">
        <f>+VLOOKUP($A46,MAGAZZINO!$B$2:$M$4838,5,FALSE)</f>
        <v/>
      </c>
      <c r="F46" s="17">
        <f>+VLOOKUP($A46,MAGAZZINO!$B$2:$M$4838,6,FALSE)</f>
        <v/>
      </c>
      <c r="G46" s="17">
        <f>+VLOOKUP($A46,MAGAZZINO!$B$2:$M$4838,7,FALSE)</f>
        <v/>
      </c>
      <c r="H46" s="17">
        <f>+VLOOKUP($A46,MAGAZZINO!$B$2:$M$4838,8,FALSE)</f>
        <v/>
      </c>
      <c r="I46" s="17">
        <f>+VLOOKUP($A46,MAGAZZINO!$B$2:$M$4838,9,FALSE)</f>
        <v/>
      </c>
      <c r="J46" s="17">
        <f>+VLOOKUP($A46,MAGAZZINO!$B$2:$M$4838,10,FALSE)</f>
        <v/>
      </c>
      <c r="K46" s="17">
        <f>+VLOOKUP($A46,MAGAZZINO!$B$2:$M$4838,11,FALSE)</f>
        <v/>
      </c>
      <c r="L46" s="44">
        <f>+VLOOKUP($A46,MAGAZZINO!$B$2:$M$4838,12,FALSE)</f>
        <v/>
      </c>
    </row>
    <row r="47" ht="36" customHeight="1">
      <c r="A47" s="30">
        <f>+REGISTRO!A47</f>
        <v/>
      </c>
      <c r="B47" s="31">
        <f>+VLOOKUP($A47,MAGAZZINO!$B$2:$M$4838,2,FALSE)</f>
        <v/>
      </c>
      <c r="C47" s="32">
        <f>+VLOOKUP($A47,MAGAZZINO!$B$2:$M$4838,3,FALSE)</f>
        <v/>
      </c>
      <c r="D47" s="17">
        <f>+VLOOKUP($A47,MAGAZZINO!$B$2:$M$4838,4,FALSE)</f>
        <v/>
      </c>
      <c r="E47" s="17">
        <f>+VLOOKUP($A47,MAGAZZINO!$B$2:$M$4838,5,FALSE)</f>
        <v/>
      </c>
      <c r="F47" s="17">
        <f>+VLOOKUP($A47,MAGAZZINO!$B$2:$M$4838,6,FALSE)</f>
        <v/>
      </c>
      <c r="G47" s="17">
        <f>+VLOOKUP($A47,MAGAZZINO!$B$2:$M$4838,7,FALSE)</f>
        <v/>
      </c>
      <c r="H47" s="17">
        <f>+VLOOKUP($A47,MAGAZZINO!$B$2:$M$4838,8,FALSE)</f>
        <v/>
      </c>
      <c r="I47" s="17">
        <f>+VLOOKUP($A47,MAGAZZINO!$B$2:$M$4838,9,FALSE)</f>
        <v/>
      </c>
      <c r="J47" s="17">
        <f>+VLOOKUP($A47,MAGAZZINO!$B$2:$M$4838,10,FALSE)</f>
        <v/>
      </c>
      <c r="K47" s="17">
        <f>+VLOOKUP($A47,MAGAZZINO!$B$2:$M$4838,11,FALSE)</f>
        <v/>
      </c>
      <c r="L47" s="44">
        <f>+VLOOKUP($A47,MAGAZZINO!$B$2:$M$4838,12,FALSE)</f>
        <v/>
      </c>
    </row>
    <row r="48" ht="36" customHeight="1">
      <c r="A48" s="30">
        <f>+REGISTRO!A48</f>
        <v/>
      </c>
      <c r="B48" s="31">
        <f>+VLOOKUP($A48,MAGAZZINO!$B$2:$M$4838,2,FALSE)</f>
        <v/>
      </c>
      <c r="C48" s="32">
        <f>+VLOOKUP($A48,MAGAZZINO!$B$2:$M$4838,3,FALSE)</f>
        <v/>
      </c>
      <c r="D48" s="17">
        <f>+VLOOKUP($A48,MAGAZZINO!$B$2:$M$4838,4,FALSE)</f>
        <v/>
      </c>
      <c r="E48" s="17">
        <f>+VLOOKUP($A48,MAGAZZINO!$B$2:$M$4838,5,FALSE)</f>
        <v/>
      </c>
      <c r="F48" s="17">
        <f>+VLOOKUP($A48,MAGAZZINO!$B$2:$M$4838,6,FALSE)</f>
        <v/>
      </c>
      <c r="G48" s="17">
        <f>+VLOOKUP($A48,MAGAZZINO!$B$2:$M$4838,7,FALSE)</f>
        <v/>
      </c>
      <c r="H48" s="17">
        <f>+VLOOKUP($A48,MAGAZZINO!$B$2:$M$4838,8,FALSE)</f>
        <v/>
      </c>
      <c r="I48" s="17">
        <f>+VLOOKUP($A48,MAGAZZINO!$B$2:$M$4838,9,FALSE)</f>
        <v/>
      </c>
      <c r="J48" s="17">
        <f>+VLOOKUP($A48,MAGAZZINO!$B$2:$M$4838,10,FALSE)</f>
        <v/>
      </c>
      <c r="K48" s="17">
        <f>+VLOOKUP($A48,MAGAZZINO!$B$2:$M$4838,11,FALSE)</f>
        <v/>
      </c>
      <c r="L48" s="44">
        <f>+VLOOKUP($A48,MAGAZZINO!$B$2:$M$4838,12,FALSE)</f>
        <v/>
      </c>
    </row>
    <row r="49" ht="36" customHeight="1">
      <c r="A49" s="30">
        <f>+REGISTRO!A49</f>
        <v/>
      </c>
      <c r="B49" s="31">
        <f>+VLOOKUP($A49,MAGAZZINO!$B$2:$M$4838,2,FALSE)</f>
        <v/>
      </c>
      <c r="C49" s="32">
        <f>+VLOOKUP($A49,MAGAZZINO!$B$2:$M$4838,3,FALSE)</f>
        <v/>
      </c>
      <c r="D49" s="17">
        <f>+VLOOKUP($A49,MAGAZZINO!$B$2:$M$4838,4,FALSE)</f>
        <v/>
      </c>
      <c r="E49" s="17">
        <f>+VLOOKUP($A49,MAGAZZINO!$B$2:$M$4838,5,FALSE)</f>
        <v/>
      </c>
      <c r="F49" s="17">
        <f>+VLOOKUP($A49,MAGAZZINO!$B$2:$M$4838,6,FALSE)</f>
        <v/>
      </c>
      <c r="G49" s="17">
        <f>+VLOOKUP($A49,MAGAZZINO!$B$2:$M$4838,7,FALSE)</f>
        <v/>
      </c>
      <c r="H49" s="17">
        <f>+VLOOKUP($A49,MAGAZZINO!$B$2:$M$4838,8,FALSE)</f>
        <v/>
      </c>
      <c r="I49" s="17">
        <f>+VLOOKUP($A49,MAGAZZINO!$B$2:$M$4838,9,FALSE)</f>
        <v/>
      </c>
      <c r="J49" s="17">
        <f>+VLOOKUP($A49,MAGAZZINO!$B$2:$M$4838,10,FALSE)</f>
        <v/>
      </c>
      <c r="K49" s="17">
        <f>+VLOOKUP($A49,MAGAZZINO!$B$2:$M$4838,11,FALSE)</f>
        <v/>
      </c>
      <c r="L49" s="44">
        <f>+VLOOKUP($A49,MAGAZZINO!$B$2:$M$4838,12,FALSE)</f>
        <v/>
      </c>
    </row>
    <row r="50" ht="36" customHeight="1">
      <c r="A50" s="30">
        <f>+REGISTRO!A50</f>
        <v/>
      </c>
      <c r="B50" s="31">
        <f>+VLOOKUP($A50,MAGAZZINO!$B$2:$M$4838,2,FALSE)</f>
        <v/>
      </c>
      <c r="C50" s="32">
        <f>+VLOOKUP($A50,MAGAZZINO!$B$2:$M$4838,3,FALSE)</f>
        <v/>
      </c>
      <c r="D50" s="17">
        <f>+VLOOKUP($A50,MAGAZZINO!$B$2:$M$4838,4,FALSE)</f>
        <v/>
      </c>
      <c r="E50" s="17">
        <f>+VLOOKUP($A50,MAGAZZINO!$B$2:$M$4838,5,FALSE)</f>
        <v/>
      </c>
      <c r="F50" s="17">
        <f>+VLOOKUP($A50,MAGAZZINO!$B$2:$M$4838,6,FALSE)</f>
        <v/>
      </c>
      <c r="G50" s="17">
        <f>+VLOOKUP($A50,MAGAZZINO!$B$2:$M$4838,7,FALSE)</f>
        <v/>
      </c>
      <c r="H50" s="17">
        <f>+VLOOKUP($A50,MAGAZZINO!$B$2:$M$4838,8,FALSE)</f>
        <v/>
      </c>
      <c r="I50" s="17">
        <f>+VLOOKUP($A50,MAGAZZINO!$B$2:$M$4838,9,FALSE)</f>
        <v/>
      </c>
      <c r="J50" s="17">
        <f>+VLOOKUP($A50,MAGAZZINO!$B$2:$M$4838,10,FALSE)</f>
        <v/>
      </c>
      <c r="K50" s="17">
        <f>+VLOOKUP($A50,MAGAZZINO!$B$2:$M$4838,11,FALSE)</f>
        <v/>
      </c>
      <c r="L50" s="44">
        <f>+VLOOKUP($A50,MAGAZZINO!$B$2:$M$4838,12,FALSE)</f>
        <v/>
      </c>
    </row>
    <row r="51" ht="36" customHeight="1">
      <c r="A51" s="30">
        <f>+REGISTRO!A51</f>
        <v/>
      </c>
      <c r="B51" s="31">
        <f>+VLOOKUP($A51,MAGAZZINO!$B$2:$M$4838,2,FALSE)</f>
        <v/>
      </c>
      <c r="C51" s="32">
        <f>+VLOOKUP($A51,MAGAZZINO!$B$2:$M$4838,3,FALSE)</f>
        <v/>
      </c>
      <c r="D51" s="17">
        <f>+VLOOKUP($A51,MAGAZZINO!$B$2:$M$4838,4,FALSE)</f>
        <v/>
      </c>
      <c r="E51" s="17">
        <f>+VLOOKUP($A51,MAGAZZINO!$B$2:$M$4838,5,FALSE)</f>
        <v/>
      </c>
      <c r="F51" s="17">
        <f>+VLOOKUP($A51,MAGAZZINO!$B$2:$M$4838,6,FALSE)</f>
        <v/>
      </c>
      <c r="G51" s="17">
        <f>+VLOOKUP($A51,MAGAZZINO!$B$2:$M$4838,7,FALSE)</f>
        <v/>
      </c>
      <c r="H51" s="17">
        <f>+VLOOKUP($A51,MAGAZZINO!$B$2:$M$4838,8,FALSE)</f>
        <v/>
      </c>
      <c r="I51" s="17">
        <f>+VLOOKUP($A51,MAGAZZINO!$B$2:$M$4838,9,FALSE)</f>
        <v/>
      </c>
      <c r="J51" s="17">
        <f>+VLOOKUP($A51,MAGAZZINO!$B$2:$M$4838,10,FALSE)</f>
        <v/>
      </c>
      <c r="K51" s="17">
        <f>+VLOOKUP($A51,MAGAZZINO!$B$2:$M$4838,11,FALSE)</f>
        <v/>
      </c>
      <c r="L51" s="44">
        <f>+VLOOKUP($A51,MAGAZZINO!$B$2:$M$4838,12,FALSE)</f>
        <v/>
      </c>
    </row>
    <row r="52" ht="36" customHeight="1">
      <c r="A52" s="30">
        <f>+REGISTRO!A52</f>
        <v/>
      </c>
      <c r="B52" s="31">
        <f>+VLOOKUP($A52,MAGAZZINO!$B$2:$M$4838,2,FALSE)</f>
        <v/>
      </c>
      <c r="C52" s="32">
        <f>+VLOOKUP($A52,MAGAZZINO!$B$2:$M$4838,3,FALSE)</f>
        <v/>
      </c>
      <c r="D52" s="17">
        <f>+VLOOKUP($A52,MAGAZZINO!$B$2:$M$4838,4,FALSE)</f>
        <v/>
      </c>
      <c r="E52" s="17">
        <f>+VLOOKUP($A52,MAGAZZINO!$B$2:$M$4838,5,FALSE)</f>
        <v/>
      </c>
      <c r="F52" s="17">
        <f>+VLOOKUP($A52,MAGAZZINO!$B$2:$M$4838,6,FALSE)</f>
        <v/>
      </c>
      <c r="G52" s="17">
        <f>+VLOOKUP($A52,MAGAZZINO!$B$2:$M$4838,7,FALSE)</f>
        <v/>
      </c>
      <c r="H52" s="17">
        <f>+VLOOKUP($A52,MAGAZZINO!$B$2:$M$4838,8,FALSE)</f>
        <v/>
      </c>
      <c r="I52" s="17">
        <f>+VLOOKUP($A52,MAGAZZINO!$B$2:$M$4838,9,FALSE)</f>
        <v/>
      </c>
      <c r="J52" s="17">
        <f>+VLOOKUP($A52,MAGAZZINO!$B$2:$M$4838,10,FALSE)</f>
        <v/>
      </c>
      <c r="K52" s="17">
        <f>+VLOOKUP($A52,MAGAZZINO!$B$2:$M$4838,11,FALSE)</f>
        <v/>
      </c>
      <c r="L52" s="44">
        <f>+VLOOKUP($A52,MAGAZZINO!$B$2:$M$4838,12,FALSE)</f>
        <v/>
      </c>
    </row>
    <row r="53" ht="36" customHeight="1">
      <c r="A53" s="30">
        <f>+REGISTRO!A53</f>
        <v/>
      </c>
      <c r="B53" s="31">
        <f>+VLOOKUP($A53,MAGAZZINO!$B$2:$M$4838,2,FALSE)</f>
        <v/>
      </c>
      <c r="C53" s="32">
        <f>+VLOOKUP($A53,MAGAZZINO!$B$2:$M$4838,3,FALSE)</f>
        <v/>
      </c>
      <c r="D53" s="17">
        <f>+VLOOKUP($A53,MAGAZZINO!$B$2:$M$4838,4,FALSE)</f>
        <v/>
      </c>
      <c r="E53" s="17">
        <f>+VLOOKUP($A53,MAGAZZINO!$B$2:$M$4838,5,FALSE)</f>
        <v/>
      </c>
      <c r="F53" s="17">
        <f>+VLOOKUP($A53,MAGAZZINO!$B$2:$M$4838,6,FALSE)</f>
        <v/>
      </c>
      <c r="G53" s="17">
        <f>+VLOOKUP($A53,MAGAZZINO!$B$2:$M$4838,7,FALSE)</f>
        <v/>
      </c>
      <c r="H53" s="17">
        <f>+VLOOKUP($A53,MAGAZZINO!$B$2:$M$4838,8,FALSE)</f>
        <v/>
      </c>
      <c r="I53" s="17">
        <f>+VLOOKUP($A53,MAGAZZINO!$B$2:$M$4838,9,FALSE)</f>
        <v/>
      </c>
      <c r="J53" s="17">
        <f>+VLOOKUP($A53,MAGAZZINO!$B$2:$M$4838,10,FALSE)</f>
        <v/>
      </c>
      <c r="K53" s="17">
        <f>+VLOOKUP($A53,MAGAZZINO!$B$2:$M$4838,11,FALSE)</f>
        <v/>
      </c>
      <c r="L53" s="44">
        <f>+VLOOKUP($A53,MAGAZZINO!$B$2:$M$4838,12,FALSE)</f>
        <v/>
      </c>
    </row>
    <row r="54" ht="36" customHeight="1">
      <c r="A54" s="30">
        <f>+REGISTRO!A54</f>
        <v/>
      </c>
      <c r="B54" s="31">
        <f>+VLOOKUP($A54,MAGAZZINO!$B$2:$M$4838,2,FALSE)</f>
        <v/>
      </c>
      <c r="C54" s="32">
        <f>+VLOOKUP($A54,MAGAZZINO!$B$2:$M$4838,3,FALSE)</f>
        <v/>
      </c>
      <c r="D54" s="17">
        <f>+VLOOKUP($A54,MAGAZZINO!$B$2:$M$4838,4,FALSE)</f>
        <v/>
      </c>
      <c r="E54" s="17">
        <f>+VLOOKUP($A54,MAGAZZINO!$B$2:$M$4838,5,FALSE)</f>
        <v/>
      </c>
      <c r="F54" s="17">
        <f>+VLOOKUP($A54,MAGAZZINO!$B$2:$M$4838,6,FALSE)</f>
        <v/>
      </c>
      <c r="G54" s="17">
        <f>+VLOOKUP($A54,MAGAZZINO!$B$2:$M$4838,7,FALSE)</f>
        <v/>
      </c>
      <c r="H54" s="17">
        <f>+VLOOKUP($A54,MAGAZZINO!$B$2:$M$4838,8,FALSE)</f>
        <v/>
      </c>
      <c r="I54" s="17">
        <f>+VLOOKUP($A54,MAGAZZINO!$B$2:$M$4838,9,FALSE)</f>
        <v/>
      </c>
      <c r="J54" s="17">
        <f>+VLOOKUP($A54,MAGAZZINO!$B$2:$M$4838,10,FALSE)</f>
        <v/>
      </c>
      <c r="K54" s="17">
        <f>+VLOOKUP($A54,MAGAZZINO!$B$2:$M$4838,11,FALSE)</f>
        <v/>
      </c>
      <c r="L54" s="44">
        <f>+VLOOKUP($A54,MAGAZZINO!$B$2:$M$4838,12,FALSE)</f>
        <v/>
      </c>
    </row>
    <row r="55" ht="36" customHeight="1">
      <c r="A55" s="30">
        <f>+REGISTRO!A55</f>
        <v/>
      </c>
      <c r="B55" s="31">
        <f>+VLOOKUP($A55,MAGAZZINO!$B$2:$M$4838,2,FALSE)</f>
        <v/>
      </c>
      <c r="C55" s="32">
        <f>+VLOOKUP($A55,MAGAZZINO!$B$2:$M$4838,3,FALSE)</f>
        <v/>
      </c>
      <c r="D55" s="17">
        <f>+VLOOKUP($A55,MAGAZZINO!$B$2:$M$4838,4,FALSE)</f>
        <v/>
      </c>
      <c r="E55" s="17">
        <f>+VLOOKUP($A55,MAGAZZINO!$B$2:$M$4838,5,FALSE)</f>
        <v/>
      </c>
      <c r="F55" s="17">
        <f>+VLOOKUP($A55,MAGAZZINO!$B$2:$M$4838,6,FALSE)</f>
        <v/>
      </c>
      <c r="G55" s="17">
        <f>+VLOOKUP($A55,MAGAZZINO!$B$2:$M$4838,7,FALSE)</f>
        <v/>
      </c>
      <c r="H55" s="17">
        <f>+VLOOKUP($A55,MAGAZZINO!$B$2:$M$4838,8,FALSE)</f>
        <v/>
      </c>
      <c r="I55" s="17">
        <f>+VLOOKUP($A55,MAGAZZINO!$B$2:$M$4838,9,FALSE)</f>
        <v/>
      </c>
      <c r="J55" s="17">
        <f>+VLOOKUP($A55,MAGAZZINO!$B$2:$M$4838,10,FALSE)</f>
        <v/>
      </c>
      <c r="K55" s="17">
        <f>+VLOOKUP($A55,MAGAZZINO!$B$2:$M$4838,11,FALSE)</f>
        <v/>
      </c>
      <c r="L55" s="44">
        <f>+VLOOKUP($A55,MAGAZZINO!$B$2:$M$4838,12,FALSE)</f>
        <v/>
      </c>
    </row>
    <row r="56" ht="36" customHeight="1">
      <c r="A56" s="30">
        <f>+REGISTRO!A56</f>
        <v/>
      </c>
      <c r="B56" s="31">
        <f>+VLOOKUP($A56,MAGAZZINO!$B$2:$M$4838,2,FALSE)</f>
        <v/>
      </c>
      <c r="C56" s="32">
        <f>+VLOOKUP($A56,MAGAZZINO!$B$2:$M$4838,3,FALSE)</f>
        <v/>
      </c>
      <c r="D56" s="17">
        <f>+VLOOKUP($A56,MAGAZZINO!$B$2:$M$4838,4,FALSE)</f>
        <v/>
      </c>
      <c r="E56" s="17">
        <f>+VLOOKUP($A56,MAGAZZINO!$B$2:$M$4838,5,FALSE)</f>
        <v/>
      </c>
      <c r="F56" s="17">
        <f>+VLOOKUP($A56,MAGAZZINO!$B$2:$M$4838,6,FALSE)</f>
        <v/>
      </c>
      <c r="G56" s="17">
        <f>+VLOOKUP($A56,MAGAZZINO!$B$2:$M$4838,7,FALSE)</f>
        <v/>
      </c>
      <c r="H56" s="17">
        <f>+VLOOKUP($A56,MAGAZZINO!$B$2:$M$4838,8,FALSE)</f>
        <v/>
      </c>
      <c r="I56" s="17">
        <f>+VLOOKUP($A56,MAGAZZINO!$B$2:$M$4838,9,FALSE)</f>
        <v/>
      </c>
      <c r="J56" s="17">
        <f>+VLOOKUP($A56,MAGAZZINO!$B$2:$M$4838,10,FALSE)</f>
        <v/>
      </c>
      <c r="K56" s="17">
        <f>+VLOOKUP($A56,MAGAZZINO!$B$2:$M$4838,11,FALSE)</f>
        <v/>
      </c>
      <c r="L56" s="44">
        <f>+VLOOKUP($A56,MAGAZZINO!$B$2:$M$4838,12,FALSE)</f>
        <v/>
      </c>
    </row>
    <row r="57" ht="36" customHeight="1">
      <c r="A57" s="30">
        <f>+REGISTRO!A57</f>
        <v/>
      </c>
      <c r="B57" s="31">
        <f>+VLOOKUP($A57,MAGAZZINO!$B$2:$M$4838,2,FALSE)</f>
        <v/>
      </c>
      <c r="C57" s="32">
        <f>+VLOOKUP($A57,MAGAZZINO!$B$2:$M$4838,3,FALSE)</f>
        <v/>
      </c>
      <c r="D57" s="17">
        <f>+VLOOKUP($A57,MAGAZZINO!$B$2:$M$4838,4,FALSE)</f>
        <v/>
      </c>
      <c r="E57" s="17">
        <f>+VLOOKUP($A57,MAGAZZINO!$B$2:$M$4838,5,FALSE)</f>
        <v/>
      </c>
      <c r="F57" s="17">
        <f>+VLOOKUP($A57,MAGAZZINO!$B$2:$M$4838,6,FALSE)</f>
        <v/>
      </c>
      <c r="G57" s="17">
        <f>+VLOOKUP($A57,MAGAZZINO!$B$2:$M$4838,7,FALSE)</f>
        <v/>
      </c>
      <c r="H57" s="17">
        <f>+VLOOKUP($A57,MAGAZZINO!$B$2:$M$4838,8,FALSE)</f>
        <v/>
      </c>
      <c r="I57" s="17">
        <f>+VLOOKUP($A57,MAGAZZINO!$B$2:$M$4838,9,FALSE)</f>
        <v/>
      </c>
      <c r="J57" s="17">
        <f>+VLOOKUP($A57,MAGAZZINO!$B$2:$M$4838,10,FALSE)</f>
        <v/>
      </c>
      <c r="K57" s="17">
        <f>+VLOOKUP($A57,MAGAZZINO!$B$2:$M$4838,11,FALSE)</f>
        <v/>
      </c>
      <c r="L57" s="44">
        <f>+VLOOKUP($A57,MAGAZZINO!$B$2:$M$4838,12,FALSE)</f>
        <v/>
      </c>
    </row>
    <row r="58" ht="36" customHeight="1">
      <c r="A58" s="30">
        <f>+REGISTRO!A58</f>
        <v/>
      </c>
      <c r="B58" s="31">
        <f>+VLOOKUP($A58,MAGAZZINO!$B$2:$M$4838,2,FALSE)</f>
        <v/>
      </c>
      <c r="C58" s="32">
        <f>+VLOOKUP($A58,MAGAZZINO!$B$2:$M$4838,3,FALSE)</f>
        <v/>
      </c>
      <c r="D58" s="17">
        <f>+VLOOKUP($A58,MAGAZZINO!$B$2:$M$4838,4,FALSE)</f>
        <v/>
      </c>
      <c r="E58" s="17">
        <f>+VLOOKUP($A58,MAGAZZINO!$B$2:$M$4838,5,FALSE)</f>
        <v/>
      </c>
      <c r="F58" s="17">
        <f>+VLOOKUP($A58,MAGAZZINO!$B$2:$M$4838,6,FALSE)</f>
        <v/>
      </c>
      <c r="G58" s="17">
        <f>+VLOOKUP($A58,MAGAZZINO!$B$2:$M$4838,7,FALSE)</f>
        <v/>
      </c>
      <c r="H58" s="17">
        <f>+VLOOKUP($A58,MAGAZZINO!$B$2:$M$4838,8,FALSE)</f>
        <v/>
      </c>
      <c r="I58" s="17">
        <f>+VLOOKUP($A58,MAGAZZINO!$B$2:$M$4838,9,FALSE)</f>
        <v/>
      </c>
      <c r="J58" s="17">
        <f>+VLOOKUP($A58,MAGAZZINO!$B$2:$M$4838,10,FALSE)</f>
        <v/>
      </c>
      <c r="K58" s="17">
        <f>+VLOOKUP($A58,MAGAZZINO!$B$2:$M$4838,11,FALSE)</f>
        <v/>
      </c>
      <c r="L58" s="44">
        <f>+VLOOKUP($A58,MAGAZZINO!$B$2:$M$4838,12,FALSE)</f>
        <v/>
      </c>
    </row>
    <row r="59" ht="36" customHeight="1">
      <c r="A59" s="30">
        <f>+REGISTRO!A59</f>
        <v/>
      </c>
      <c r="B59" s="31">
        <f>+VLOOKUP($A59,MAGAZZINO!$B$2:$M$4838,2,FALSE)</f>
        <v/>
      </c>
      <c r="C59" s="32">
        <f>+VLOOKUP($A59,MAGAZZINO!$B$2:$M$4838,3,FALSE)</f>
        <v/>
      </c>
      <c r="D59" s="17">
        <f>+VLOOKUP($A59,MAGAZZINO!$B$2:$M$4838,4,FALSE)</f>
        <v/>
      </c>
      <c r="E59" s="17">
        <f>+VLOOKUP($A59,MAGAZZINO!$B$2:$M$4838,5,FALSE)</f>
        <v/>
      </c>
      <c r="F59" s="17">
        <f>+VLOOKUP($A59,MAGAZZINO!$B$2:$M$4838,6,FALSE)</f>
        <v/>
      </c>
      <c r="G59" s="17">
        <f>+VLOOKUP($A59,MAGAZZINO!$B$2:$M$4838,7,FALSE)</f>
        <v/>
      </c>
      <c r="H59" s="17">
        <f>+VLOOKUP($A59,MAGAZZINO!$B$2:$M$4838,8,FALSE)</f>
        <v/>
      </c>
      <c r="I59" s="17">
        <f>+VLOOKUP($A59,MAGAZZINO!$B$2:$M$4838,9,FALSE)</f>
        <v/>
      </c>
      <c r="J59" s="17">
        <f>+VLOOKUP($A59,MAGAZZINO!$B$2:$M$4838,10,FALSE)</f>
        <v/>
      </c>
      <c r="K59" s="17">
        <f>+VLOOKUP($A59,MAGAZZINO!$B$2:$M$4838,11,FALSE)</f>
        <v/>
      </c>
      <c r="L59" s="44">
        <f>+VLOOKUP($A59,MAGAZZINO!$B$2:$M$4838,12,FALSE)</f>
        <v/>
      </c>
    </row>
    <row r="60" ht="36" customHeight="1">
      <c r="A60" s="30">
        <f>+REGISTRO!A60</f>
        <v/>
      </c>
      <c r="B60" s="31">
        <f>+VLOOKUP($A60,MAGAZZINO!$B$2:$M$4838,2,FALSE)</f>
        <v/>
      </c>
      <c r="C60" s="32">
        <f>+VLOOKUP($A60,MAGAZZINO!$B$2:$M$4838,3,FALSE)</f>
        <v/>
      </c>
      <c r="D60" s="17">
        <f>+VLOOKUP($A60,MAGAZZINO!$B$2:$M$4838,4,FALSE)</f>
        <v/>
      </c>
      <c r="E60" s="17">
        <f>+VLOOKUP($A60,MAGAZZINO!$B$2:$M$4838,5,FALSE)</f>
        <v/>
      </c>
      <c r="F60" s="17">
        <f>+VLOOKUP($A60,MAGAZZINO!$B$2:$M$4838,6,FALSE)</f>
        <v/>
      </c>
      <c r="G60" s="17">
        <f>+VLOOKUP($A60,MAGAZZINO!$B$2:$M$4838,7,FALSE)</f>
        <v/>
      </c>
      <c r="H60" s="17">
        <f>+VLOOKUP($A60,MAGAZZINO!$B$2:$M$4838,8,FALSE)</f>
        <v/>
      </c>
      <c r="I60" s="17">
        <f>+VLOOKUP($A60,MAGAZZINO!$B$2:$M$4838,9,FALSE)</f>
        <v/>
      </c>
      <c r="J60" s="17">
        <f>+VLOOKUP($A60,MAGAZZINO!$B$2:$M$4838,10,FALSE)</f>
        <v/>
      </c>
      <c r="K60" s="17">
        <f>+VLOOKUP($A60,MAGAZZINO!$B$2:$M$4838,11,FALSE)</f>
        <v/>
      </c>
      <c r="L60" s="44">
        <f>+VLOOKUP($A60,MAGAZZINO!$B$2:$M$4838,12,FALSE)</f>
        <v/>
      </c>
    </row>
    <row r="61" ht="36" customHeight="1">
      <c r="A61" s="30">
        <f>+REGISTRO!A61</f>
        <v/>
      </c>
      <c r="B61" s="31">
        <f>+VLOOKUP($A61,MAGAZZINO!$B$2:$M$4838,2,FALSE)</f>
        <v/>
      </c>
      <c r="C61" s="32">
        <f>+VLOOKUP($A61,MAGAZZINO!$B$2:$M$4838,3,FALSE)</f>
        <v/>
      </c>
      <c r="D61" s="17">
        <f>+VLOOKUP($A61,MAGAZZINO!$B$2:$M$4838,4,FALSE)</f>
        <v/>
      </c>
      <c r="E61" s="17">
        <f>+VLOOKUP($A61,MAGAZZINO!$B$2:$M$4838,5,FALSE)</f>
        <v/>
      </c>
      <c r="F61" s="17">
        <f>+VLOOKUP($A61,MAGAZZINO!$B$2:$M$4838,6,FALSE)</f>
        <v/>
      </c>
      <c r="G61" s="17">
        <f>+VLOOKUP($A61,MAGAZZINO!$B$2:$M$4838,7,FALSE)</f>
        <v/>
      </c>
      <c r="H61" s="17">
        <f>+VLOOKUP($A61,MAGAZZINO!$B$2:$M$4838,8,FALSE)</f>
        <v/>
      </c>
      <c r="I61" s="17">
        <f>+VLOOKUP($A61,MAGAZZINO!$B$2:$M$4838,9,FALSE)</f>
        <v/>
      </c>
      <c r="J61" s="17">
        <f>+VLOOKUP($A61,MAGAZZINO!$B$2:$M$4838,10,FALSE)</f>
        <v/>
      </c>
      <c r="K61" s="17">
        <f>+VLOOKUP($A61,MAGAZZINO!$B$2:$M$4838,11,FALSE)</f>
        <v/>
      </c>
      <c r="L61" s="44">
        <f>+VLOOKUP($A61,MAGAZZINO!$B$2:$M$4838,12,FALSE)</f>
        <v/>
      </c>
    </row>
    <row r="62" ht="36" customHeight="1">
      <c r="A62" s="30">
        <f>+REGISTRO!A62</f>
        <v/>
      </c>
      <c r="B62" s="31">
        <f>+VLOOKUP($A62,MAGAZZINO!$B$2:$M$4838,2,FALSE)</f>
        <v/>
      </c>
      <c r="C62" s="32">
        <f>+VLOOKUP($A62,MAGAZZINO!$B$2:$M$4838,3,FALSE)</f>
        <v/>
      </c>
      <c r="D62" s="17">
        <f>+VLOOKUP($A62,MAGAZZINO!$B$2:$M$4838,4,FALSE)</f>
        <v/>
      </c>
      <c r="E62" s="17">
        <f>+VLOOKUP($A62,MAGAZZINO!$B$2:$M$4838,5,FALSE)</f>
        <v/>
      </c>
      <c r="F62" s="17">
        <f>+VLOOKUP($A62,MAGAZZINO!$B$2:$M$4838,6,FALSE)</f>
        <v/>
      </c>
      <c r="G62" s="17">
        <f>+VLOOKUP($A62,MAGAZZINO!$B$2:$M$4838,7,FALSE)</f>
        <v/>
      </c>
      <c r="H62" s="17">
        <f>+VLOOKUP($A62,MAGAZZINO!$B$2:$M$4838,8,FALSE)</f>
        <v/>
      </c>
      <c r="I62" s="17">
        <f>+VLOOKUP($A62,MAGAZZINO!$B$2:$M$4838,9,FALSE)</f>
        <v/>
      </c>
      <c r="J62" s="17">
        <f>+VLOOKUP($A62,MAGAZZINO!$B$2:$M$4838,10,FALSE)</f>
        <v/>
      </c>
      <c r="K62" s="17">
        <f>+VLOOKUP($A62,MAGAZZINO!$B$2:$M$4838,11,FALSE)</f>
        <v/>
      </c>
      <c r="L62" s="44">
        <f>+VLOOKUP($A62,MAGAZZINO!$B$2:$M$4838,12,FALSE)</f>
        <v/>
      </c>
    </row>
    <row r="63" ht="36" customHeight="1">
      <c r="A63" s="30">
        <f>+REGISTRO!A63</f>
        <v/>
      </c>
      <c r="B63" s="31">
        <f>+VLOOKUP($A63,MAGAZZINO!$B$2:$M$4838,2,FALSE)</f>
        <v/>
      </c>
      <c r="C63" s="32">
        <f>+VLOOKUP($A63,MAGAZZINO!$B$2:$M$4838,3,FALSE)</f>
        <v/>
      </c>
      <c r="D63" s="17">
        <f>+VLOOKUP($A63,MAGAZZINO!$B$2:$M$4838,4,FALSE)</f>
        <v/>
      </c>
      <c r="E63" s="17">
        <f>+VLOOKUP($A63,MAGAZZINO!$B$2:$M$4838,5,FALSE)</f>
        <v/>
      </c>
      <c r="F63" s="17">
        <f>+VLOOKUP($A63,MAGAZZINO!$B$2:$M$4838,6,FALSE)</f>
        <v/>
      </c>
      <c r="G63" s="17">
        <f>+VLOOKUP($A63,MAGAZZINO!$B$2:$M$4838,7,FALSE)</f>
        <v/>
      </c>
      <c r="H63" s="17">
        <f>+VLOOKUP($A63,MAGAZZINO!$B$2:$M$4838,8,FALSE)</f>
        <v/>
      </c>
      <c r="I63" s="17">
        <f>+VLOOKUP($A63,MAGAZZINO!$B$2:$M$4838,9,FALSE)</f>
        <v/>
      </c>
      <c r="J63" s="17">
        <f>+VLOOKUP($A63,MAGAZZINO!$B$2:$M$4838,10,FALSE)</f>
        <v/>
      </c>
      <c r="K63" s="17">
        <f>+VLOOKUP($A63,MAGAZZINO!$B$2:$M$4838,11,FALSE)</f>
        <v/>
      </c>
      <c r="L63" s="44">
        <f>+VLOOKUP($A63,MAGAZZINO!$B$2:$M$4838,12,FALSE)</f>
        <v/>
      </c>
    </row>
    <row r="64" ht="36" customHeight="1">
      <c r="A64" s="30">
        <f>+REGISTRO!A64</f>
        <v/>
      </c>
      <c r="B64" s="31">
        <f>+VLOOKUP($A64,MAGAZZINO!$B$2:$M$4838,2,FALSE)</f>
        <v/>
      </c>
      <c r="C64" s="32">
        <f>+VLOOKUP($A64,MAGAZZINO!$B$2:$M$4838,3,FALSE)</f>
        <v/>
      </c>
      <c r="D64" s="17">
        <f>+VLOOKUP($A64,MAGAZZINO!$B$2:$M$4838,4,FALSE)</f>
        <v/>
      </c>
      <c r="E64" s="17">
        <f>+VLOOKUP($A64,MAGAZZINO!$B$2:$M$4838,5,FALSE)</f>
        <v/>
      </c>
      <c r="F64" s="17">
        <f>+VLOOKUP($A64,MAGAZZINO!$B$2:$M$4838,6,FALSE)</f>
        <v/>
      </c>
      <c r="G64" s="17">
        <f>+VLOOKUP($A64,MAGAZZINO!$B$2:$M$4838,7,FALSE)</f>
        <v/>
      </c>
      <c r="H64" s="17">
        <f>+VLOOKUP($A64,MAGAZZINO!$B$2:$M$4838,8,FALSE)</f>
        <v/>
      </c>
      <c r="I64" s="17">
        <f>+VLOOKUP($A64,MAGAZZINO!$B$2:$M$4838,9,FALSE)</f>
        <v/>
      </c>
      <c r="J64" s="17">
        <f>+VLOOKUP($A64,MAGAZZINO!$B$2:$M$4838,10,FALSE)</f>
        <v/>
      </c>
      <c r="K64" s="17">
        <f>+VLOOKUP($A64,MAGAZZINO!$B$2:$M$4838,11,FALSE)</f>
        <v/>
      </c>
      <c r="L64" s="44">
        <f>+VLOOKUP($A64,MAGAZZINO!$B$2:$M$4838,12,FALSE)</f>
        <v/>
      </c>
    </row>
    <row r="65" ht="36" customHeight="1">
      <c r="A65" s="30">
        <f>+REGISTRO!A65</f>
        <v/>
      </c>
      <c r="B65" s="31">
        <f>+VLOOKUP($A65,MAGAZZINO!$B$2:$M$4838,2,FALSE)</f>
        <v/>
      </c>
      <c r="C65" s="32">
        <f>+VLOOKUP($A65,MAGAZZINO!$B$2:$M$4838,3,FALSE)</f>
        <v/>
      </c>
      <c r="D65" s="17">
        <f>+VLOOKUP($A65,MAGAZZINO!$B$2:$M$4838,4,FALSE)</f>
        <v/>
      </c>
      <c r="E65" s="17">
        <f>+VLOOKUP($A65,MAGAZZINO!$B$2:$M$4838,5,FALSE)</f>
        <v/>
      </c>
      <c r="F65" s="17">
        <f>+VLOOKUP($A65,MAGAZZINO!$B$2:$M$4838,6,FALSE)</f>
        <v/>
      </c>
      <c r="G65" s="17">
        <f>+VLOOKUP($A65,MAGAZZINO!$B$2:$M$4838,7,FALSE)</f>
        <v/>
      </c>
      <c r="H65" s="17">
        <f>+VLOOKUP($A65,MAGAZZINO!$B$2:$M$4838,8,FALSE)</f>
        <v/>
      </c>
      <c r="I65" s="17">
        <f>+VLOOKUP($A65,MAGAZZINO!$B$2:$M$4838,9,FALSE)</f>
        <v/>
      </c>
      <c r="J65" s="17">
        <f>+VLOOKUP($A65,MAGAZZINO!$B$2:$M$4838,10,FALSE)</f>
        <v/>
      </c>
      <c r="K65" s="17">
        <f>+VLOOKUP($A65,MAGAZZINO!$B$2:$M$4838,11,FALSE)</f>
        <v/>
      </c>
      <c r="L65" s="44">
        <f>+VLOOKUP($A65,MAGAZZINO!$B$2:$M$4838,12,FALSE)</f>
        <v/>
      </c>
    </row>
    <row r="66" ht="36" customHeight="1">
      <c r="A66" s="30">
        <f>+REGISTRO!A66</f>
        <v/>
      </c>
      <c r="B66" s="31">
        <f>+VLOOKUP($A66,MAGAZZINO!$B$2:$M$4838,2,FALSE)</f>
        <v/>
      </c>
      <c r="C66" s="32">
        <f>+VLOOKUP($A66,MAGAZZINO!$B$2:$M$4838,3,FALSE)</f>
        <v/>
      </c>
      <c r="D66" s="17">
        <f>+VLOOKUP($A66,MAGAZZINO!$B$2:$M$4838,4,FALSE)</f>
        <v/>
      </c>
      <c r="E66" s="17">
        <f>+VLOOKUP($A66,MAGAZZINO!$B$2:$M$4838,5,FALSE)</f>
        <v/>
      </c>
      <c r="F66" s="17">
        <f>+VLOOKUP($A66,MAGAZZINO!$B$2:$M$4838,6,FALSE)</f>
        <v/>
      </c>
      <c r="G66" s="17">
        <f>+VLOOKUP($A66,MAGAZZINO!$B$2:$M$4838,7,FALSE)</f>
        <v/>
      </c>
      <c r="H66" s="17">
        <f>+VLOOKUP($A66,MAGAZZINO!$B$2:$M$4838,8,FALSE)</f>
        <v/>
      </c>
      <c r="I66" s="17">
        <f>+VLOOKUP($A66,MAGAZZINO!$B$2:$M$4838,9,FALSE)</f>
        <v/>
      </c>
      <c r="J66" s="17">
        <f>+VLOOKUP($A66,MAGAZZINO!$B$2:$M$4838,10,FALSE)</f>
        <v/>
      </c>
      <c r="K66" s="17">
        <f>+VLOOKUP($A66,MAGAZZINO!$B$2:$M$4838,11,FALSE)</f>
        <v/>
      </c>
      <c r="L66" s="44">
        <f>+VLOOKUP($A66,MAGAZZINO!$B$2:$M$4838,12,FALSE)</f>
        <v/>
      </c>
    </row>
    <row r="67" ht="36" customHeight="1">
      <c r="A67" s="30">
        <f>+REGISTRO!A67</f>
        <v/>
      </c>
      <c r="B67" s="31">
        <f>+VLOOKUP($A67,MAGAZZINO!$B$2:$M$4838,2,FALSE)</f>
        <v/>
      </c>
      <c r="C67" s="32">
        <f>+VLOOKUP($A67,MAGAZZINO!$B$2:$M$4838,3,FALSE)</f>
        <v/>
      </c>
      <c r="D67" s="17">
        <f>+VLOOKUP($A67,MAGAZZINO!$B$2:$M$4838,4,FALSE)</f>
        <v/>
      </c>
      <c r="E67" s="17">
        <f>+VLOOKUP($A67,MAGAZZINO!$B$2:$M$4838,5,FALSE)</f>
        <v/>
      </c>
      <c r="F67" s="17">
        <f>+VLOOKUP($A67,MAGAZZINO!$B$2:$M$4838,6,FALSE)</f>
        <v/>
      </c>
      <c r="G67" s="17">
        <f>+VLOOKUP($A67,MAGAZZINO!$B$2:$M$4838,7,FALSE)</f>
        <v/>
      </c>
      <c r="H67" s="17">
        <f>+VLOOKUP($A67,MAGAZZINO!$B$2:$M$4838,8,FALSE)</f>
        <v/>
      </c>
      <c r="I67" s="17">
        <f>+VLOOKUP($A67,MAGAZZINO!$B$2:$M$4838,9,FALSE)</f>
        <v/>
      </c>
      <c r="J67" s="17">
        <f>+VLOOKUP($A67,MAGAZZINO!$B$2:$M$4838,10,FALSE)</f>
        <v/>
      </c>
      <c r="K67" s="17">
        <f>+VLOOKUP($A67,MAGAZZINO!$B$2:$M$4838,11,FALSE)</f>
        <v/>
      </c>
      <c r="L67" s="44">
        <f>+VLOOKUP($A67,MAGAZZINO!$B$2:$M$4838,12,FALSE)</f>
        <v/>
      </c>
    </row>
    <row r="68" ht="36" customHeight="1">
      <c r="A68" s="30">
        <f>+REGISTRO!A68</f>
        <v/>
      </c>
      <c r="B68" s="31">
        <f>+VLOOKUP($A68,MAGAZZINO!$B$2:$M$4838,2,FALSE)</f>
        <v/>
      </c>
      <c r="C68" s="32">
        <f>+VLOOKUP($A68,MAGAZZINO!$B$2:$M$4838,3,FALSE)</f>
        <v/>
      </c>
      <c r="D68" s="17">
        <f>+VLOOKUP($A68,MAGAZZINO!$B$2:$M$4838,4,FALSE)</f>
        <v/>
      </c>
      <c r="E68" s="17">
        <f>+VLOOKUP($A68,MAGAZZINO!$B$2:$M$4838,5,FALSE)</f>
        <v/>
      </c>
      <c r="F68" s="17">
        <f>+VLOOKUP($A68,MAGAZZINO!$B$2:$M$4838,6,FALSE)</f>
        <v/>
      </c>
      <c r="G68" s="17">
        <f>+VLOOKUP($A68,MAGAZZINO!$B$2:$M$4838,7,FALSE)</f>
        <v/>
      </c>
      <c r="H68" s="17">
        <f>+VLOOKUP($A68,MAGAZZINO!$B$2:$M$4838,8,FALSE)</f>
        <v/>
      </c>
      <c r="I68" s="17">
        <f>+VLOOKUP($A68,MAGAZZINO!$B$2:$M$4838,9,FALSE)</f>
        <v/>
      </c>
      <c r="J68" s="17">
        <f>+VLOOKUP($A68,MAGAZZINO!$B$2:$M$4838,10,FALSE)</f>
        <v/>
      </c>
      <c r="K68" s="17">
        <f>+VLOOKUP($A68,MAGAZZINO!$B$2:$M$4838,11,FALSE)</f>
        <v/>
      </c>
      <c r="L68" s="44">
        <f>+VLOOKUP($A68,MAGAZZINO!$B$2:$M$4838,12,FALSE)</f>
        <v/>
      </c>
    </row>
    <row r="69" ht="36" customHeight="1">
      <c r="A69" s="30">
        <f>+REGISTRO!A69</f>
        <v/>
      </c>
      <c r="B69" s="31">
        <f>+VLOOKUP($A69,MAGAZZINO!$B$2:$M$4838,2,FALSE)</f>
        <v/>
      </c>
      <c r="C69" s="32">
        <f>+VLOOKUP($A69,MAGAZZINO!$B$2:$M$4838,3,FALSE)</f>
        <v/>
      </c>
      <c r="D69" s="17">
        <f>+VLOOKUP($A69,MAGAZZINO!$B$2:$M$4838,4,FALSE)</f>
        <v/>
      </c>
      <c r="E69" s="17">
        <f>+VLOOKUP($A69,MAGAZZINO!$B$2:$M$4838,5,FALSE)</f>
        <v/>
      </c>
      <c r="F69" s="17">
        <f>+VLOOKUP($A69,MAGAZZINO!$B$2:$M$4838,6,FALSE)</f>
        <v/>
      </c>
      <c r="G69" s="17">
        <f>+VLOOKUP($A69,MAGAZZINO!$B$2:$M$4838,7,FALSE)</f>
        <v/>
      </c>
      <c r="H69" s="17">
        <f>+VLOOKUP($A69,MAGAZZINO!$B$2:$M$4838,8,FALSE)</f>
        <v/>
      </c>
      <c r="I69" s="17">
        <f>+VLOOKUP($A69,MAGAZZINO!$B$2:$M$4838,9,FALSE)</f>
        <v/>
      </c>
      <c r="J69" s="17">
        <f>+VLOOKUP($A69,MAGAZZINO!$B$2:$M$4838,10,FALSE)</f>
        <v/>
      </c>
      <c r="K69" s="17">
        <f>+VLOOKUP($A69,MAGAZZINO!$B$2:$M$4838,11,FALSE)</f>
        <v/>
      </c>
      <c r="L69" s="44">
        <f>+VLOOKUP($A69,MAGAZZINO!$B$2:$M$4838,12,FALSE)</f>
        <v/>
      </c>
    </row>
    <row r="70" ht="36" customHeight="1">
      <c r="A70" s="30">
        <f>+REGISTRO!A70</f>
        <v/>
      </c>
      <c r="B70" s="31">
        <f>+VLOOKUP($A70,MAGAZZINO!$B$2:$M$4838,2,FALSE)</f>
        <v/>
      </c>
      <c r="C70" s="32">
        <f>+VLOOKUP($A70,MAGAZZINO!$B$2:$M$4838,3,FALSE)</f>
        <v/>
      </c>
      <c r="D70" s="17">
        <f>+VLOOKUP($A70,MAGAZZINO!$B$2:$M$4838,4,FALSE)</f>
        <v/>
      </c>
      <c r="E70" s="17">
        <f>+VLOOKUP($A70,MAGAZZINO!$B$2:$M$4838,5,FALSE)</f>
        <v/>
      </c>
      <c r="F70" s="17">
        <f>+VLOOKUP($A70,MAGAZZINO!$B$2:$M$4838,6,FALSE)</f>
        <v/>
      </c>
      <c r="G70" s="17">
        <f>+VLOOKUP($A70,MAGAZZINO!$B$2:$M$4838,7,FALSE)</f>
        <v/>
      </c>
      <c r="H70" s="17">
        <f>+VLOOKUP($A70,MAGAZZINO!$B$2:$M$4838,8,FALSE)</f>
        <v/>
      </c>
      <c r="I70" s="17">
        <f>+VLOOKUP($A70,MAGAZZINO!$B$2:$M$4838,9,FALSE)</f>
        <v/>
      </c>
      <c r="J70" s="17">
        <f>+VLOOKUP($A70,MAGAZZINO!$B$2:$M$4838,10,FALSE)</f>
        <v/>
      </c>
      <c r="K70" s="17">
        <f>+VLOOKUP($A70,MAGAZZINO!$B$2:$M$4838,11,FALSE)</f>
        <v/>
      </c>
      <c r="L70" s="44">
        <f>+VLOOKUP($A70,MAGAZZINO!$B$2:$M$4838,12,FALSE)</f>
        <v/>
      </c>
    </row>
    <row r="71" ht="36" customHeight="1">
      <c r="A71" s="30">
        <f>+REGISTRO!A71</f>
        <v/>
      </c>
      <c r="B71" s="31">
        <f>+VLOOKUP($A71,MAGAZZINO!$B$2:$M$4838,2,FALSE)</f>
        <v/>
      </c>
      <c r="C71" s="32">
        <f>+VLOOKUP($A71,MAGAZZINO!$B$2:$M$4838,3,FALSE)</f>
        <v/>
      </c>
      <c r="D71" s="17">
        <f>+VLOOKUP($A71,MAGAZZINO!$B$2:$M$4838,4,FALSE)</f>
        <v/>
      </c>
      <c r="E71" s="17">
        <f>+VLOOKUP($A71,MAGAZZINO!$B$2:$M$4838,5,FALSE)</f>
        <v/>
      </c>
      <c r="F71" s="17">
        <f>+VLOOKUP($A71,MAGAZZINO!$B$2:$M$4838,6,FALSE)</f>
        <v/>
      </c>
      <c r="G71" s="17">
        <f>+VLOOKUP($A71,MAGAZZINO!$B$2:$M$4838,7,FALSE)</f>
        <v/>
      </c>
      <c r="H71" s="17">
        <f>+VLOOKUP($A71,MAGAZZINO!$B$2:$M$4838,8,FALSE)</f>
        <v/>
      </c>
      <c r="I71" s="17">
        <f>+VLOOKUP($A71,MAGAZZINO!$B$2:$M$4838,9,FALSE)</f>
        <v/>
      </c>
      <c r="J71" s="17">
        <f>+VLOOKUP($A71,MAGAZZINO!$B$2:$M$4838,10,FALSE)</f>
        <v/>
      </c>
      <c r="K71" s="17">
        <f>+VLOOKUP($A71,MAGAZZINO!$B$2:$M$4838,11,FALSE)</f>
        <v/>
      </c>
      <c r="L71" s="44">
        <f>+VLOOKUP($A71,MAGAZZINO!$B$2:$M$4838,12,FALSE)</f>
        <v/>
      </c>
    </row>
    <row r="72" ht="36" customHeight="1">
      <c r="A72" s="30">
        <f>+REGISTRO!A72</f>
        <v/>
      </c>
      <c r="B72" s="31">
        <f>+VLOOKUP($A72,MAGAZZINO!$B$2:$M$4838,2,FALSE)</f>
        <v/>
      </c>
      <c r="C72" s="32">
        <f>+VLOOKUP($A72,MAGAZZINO!$B$2:$M$4838,3,FALSE)</f>
        <v/>
      </c>
      <c r="D72" s="17">
        <f>+VLOOKUP($A72,MAGAZZINO!$B$2:$M$4838,4,FALSE)</f>
        <v/>
      </c>
      <c r="E72" s="17">
        <f>+VLOOKUP($A72,MAGAZZINO!$B$2:$M$4838,5,FALSE)</f>
        <v/>
      </c>
      <c r="F72" s="17">
        <f>+VLOOKUP($A72,MAGAZZINO!$B$2:$M$4838,6,FALSE)</f>
        <v/>
      </c>
      <c r="G72" s="17">
        <f>+VLOOKUP($A72,MAGAZZINO!$B$2:$M$4838,7,FALSE)</f>
        <v/>
      </c>
      <c r="H72" s="17">
        <f>+VLOOKUP($A72,MAGAZZINO!$B$2:$M$4838,8,FALSE)</f>
        <v/>
      </c>
      <c r="I72" s="17">
        <f>+VLOOKUP($A72,MAGAZZINO!$B$2:$M$4838,9,FALSE)</f>
        <v/>
      </c>
      <c r="J72" s="17">
        <f>+VLOOKUP($A72,MAGAZZINO!$B$2:$M$4838,10,FALSE)</f>
        <v/>
      </c>
      <c r="K72" s="17">
        <f>+VLOOKUP($A72,MAGAZZINO!$B$2:$M$4838,11,FALSE)</f>
        <v/>
      </c>
      <c r="L72" s="44">
        <f>+VLOOKUP($A72,MAGAZZINO!$B$2:$M$4838,12,FALSE)</f>
        <v/>
      </c>
    </row>
    <row r="73" ht="36" customHeight="1">
      <c r="A73" s="30">
        <f>+REGISTRO!A73</f>
        <v/>
      </c>
      <c r="B73" s="31">
        <f>+VLOOKUP($A73,MAGAZZINO!$B$2:$M$4838,2,FALSE)</f>
        <v/>
      </c>
      <c r="C73" s="32">
        <f>+VLOOKUP($A73,MAGAZZINO!$B$2:$M$4838,3,FALSE)</f>
        <v/>
      </c>
      <c r="D73" s="17">
        <f>+VLOOKUP($A73,MAGAZZINO!$B$2:$M$4838,4,FALSE)</f>
        <v/>
      </c>
      <c r="E73" s="17">
        <f>+VLOOKUP($A73,MAGAZZINO!$B$2:$M$4838,5,FALSE)</f>
        <v/>
      </c>
      <c r="F73" s="17">
        <f>+VLOOKUP($A73,MAGAZZINO!$B$2:$M$4838,6,FALSE)</f>
        <v/>
      </c>
      <c r="G73" s="17">
        <f>+VLOOKUP($A73,MAGAZZINO!$B$2:$M$4838,7,FALSE)</f>
        <v/>
      </c>
      <c r="H73" s="17">
        <f>+VLOOKUP($A73,MAGAZZINO!$B$2:$M$4838,8,FALSE)</f>
        <v/>
      </c>
      <c r="I73" s="17">
        <f>+VLOOKUP($A73,MAGAZZINO!$B$2:$M$4838,9,FALSE)</f>
        <v/>
      </c>
      <c r="J73" s="17">
        <f>+VLOOKUP($A73,MAGAZZINO!$B$2:$M$4838,10,FALSE)</f>
        <v/>
      </c>
      <c r="K73" s="17">
        <f>+VLOOKUP($A73,MAGAZZINO!$B$2:$M$4838,11,FALSE)</f>
        <v/>
      </c>
      <c r="L73" s="44">
        <f>+VLOOKUP($A73,MAGAZZINO!$B$2:$M$4838,12,FALSE)</f>
        <v/>
      </c>
    </row>
    <row r="74" ht="36" customHeight="1">
      <c r="A74" s="30">
        <f>+REGISTRO!A74</f>
        <v/>
      </c>
      <c r="B74" s="31">
        <f>+VLOOKUP($A74,MAGAZZINO!$B$2:$M$4838,2,FALSE)</f>
        <v/>
      </c>
      <c r="C74" s="32">
        <f>+VLOOKUP($A74,MAGAZZINO!$B$2:$M$4838,3,FALSE)</f>
        <v/>
      </c>
      <c r="D74" s="17">
        <f>+VLOOKUP($A74,MAGAZZINO!$B$2:$M$4838,4,FALSE)</f>
        <v/>
      </c>
      <c r="E74" s="17">
        <f>+VLOOKUP($A74,MAGAZZINO!$B$2:$M$4838,5,FALSE)</f>
        <v/>
      </c>
      <c r="F74" s="17">
        <f>+VLOOKUP($A74,MAGAZZINO!$B$2:$M$4838,6,FALSE)</f>
        <v/>
      </c>
      <c r="G74" s="17">
        <f>+VLOOKUP($A74,MAGAZZINO!$B$2:$M$4838,7,FALSE)</f>
        <v/>
      </c>
      <c r="H74" s="17">
        <f>+VLOOKUP($A74,MAGAZZINO!$B$2:$M$4838,8,FALSE)</f>
        <v/>
      </c>
      <c r="I74" s="17">
        <f>+VLOOKUP($A74,MAGAZZINO!$B$2:$M$4838,9,FALSE)</f>
        <v/>
      </c>
      <c r="J74" s="17">
        <f>+VLOOKUP($A74,MAGAZZINO!$B$2:$M$4838,10,FALSE)</f>
        <v/>
      </c>
      <c r="K74" s="17">
        <f>+VLOOKUP($A74,MAGAZZINO!$B$2:$M$4838,11,FALSE)</f>
        <v/>
      </c>
      <c r="L74" s="44">
        <f>+VLOOKUP($A74,MAGAZZINO!$B$2:$M$4838,12,FALSE)</f>
        <v/>
      </c>
    </row>
    <row r="75" ht="36" customHeight="1">
      <c r="A75" s="30">
        <f>+REGISTRO!A75</f>
        <v/>
      </c>
      <c r="B75" s="31">
        <f>+VLOOKUP($A75,MAGAZZINO!$B$2:$M$4838,2,FALSE)</f>
        <v/>
      </c>
      <c r="C75" s="32">
        <f>+VLOOKUP($A75,MAGAZZINO!$B$2:$M$4838,3,FALSE)</f>
        <v/>
      </c>
      <c r="D75" s="17">
        <f>+VLOOKUP($A75,MAGAZZINO!$B$2:$M$4838,4,FALSE)</f>
        <v/>
      </c>
      <c r="E75" s="17">
        <f>+VLOOKUP($A75,MAGAZZINO!$B$2:$M$4838,5,FALSE)</f>
        <v/>
      </c>
      <c r="F75" s="17">
        <f>+VLOOKUP($A75,MAGAZZINO!$B$2:$M$4838,6,FALSE)</f>
        <v/>
      </c>
      <c r="G75" s="17">
        <f>+VLOOKUP($A75,MAGAZZINO!$B$2:$M$4838,7,FALSE)</f>
        <v/>
      </c>
      <c r="H75" s="17">
        <f>+VLOOKUP($A75,MAGAZZINO!$B$2:$M$4838,8,FALSE)</f>
        <v/>
      </c>
      <c r="I75" s="17">
        <f>+VLOOKUP($A75,MAGAZZINO!$B$2:$M$4838,9,FALSE)</f>
        <v/>
      </c>
      <c r="J75" s="17">
        <f>+VLOOKUP($A75,MAGAZZINO!$B$2:$M$4838,10,FALSE)</f>
        <v/>
      </c>
      <c r="K75" s="17">
        <f>+VLOOKUP($A75,MAGAZZINO!$B$2:$M$4838,11,FALSE)</f>
        <v/>
      </c>
      <c r="L75" s="44">
        <f>+VLOOKUP($A75,MAGAZZINO!$B$2:$M$4838,12,FALSE)</f>
        <v/>
      </c>
    </row>
    <row r="76" ht="36" customHeight="1">
      <c r="A76" s="30">
        <f>+REGISTRO!A76</f>
        <v/>
      </c>
      <c r="B76" s="31">
        <f>+VLOOKUP($A76,MAGAZZINO!$B$2:$M$4838,2,FALSE)</f>
        <v/>
      </c>
      <c r="C76" s="32">
        <f>+VLOOKUP($A76,MAGAZZINO!$B$2:$M$4838,3,FALSE)</f>
        <v/>
      </c>
      <c r="D76" s="17">
        <f>+VLOOKUP($A76,MAGAZZINO!$B$2:$M$4838,4,FALSE)</f>
        <v/>
      </c>
      <c r="E76" s="17">
        <f>+VLOOKUP($A76,MAGAZZINO!$B$2:$M$4838,5,FALSE)</f>
        <v/>
      </c>
      <c r="F76" s="17">
        <f>+VLOOKUP($A76,MAGAZZINO!$B$2:$M$4838,6,FALSE)</f>
        <v/>
      </c>
      <c r="G76" s="17">
        <f>+VLOOKUP($A76,MAGAZZINO!$B$2:$M$4838,7,FALSE)</f>
        <v/>
      </c>
      <c r="H76" s="17">
        <f>+VLOOKUP($A76,MAGAZZINO!$B$2:$M$4838,8,FALSE)</f>
        <v/>
      </c>
      <c r="I76" s="17">
        <f>+VLOOKUP($A76,MAGAZZINO!$B$2:$M$4838,9,FALSE)</f>
        <v/>
      </c>
      <c r="J76" s="17">
        <f>+VLOOKUP($A76,MAGAZZINO!$B$2:$M$4838,10,FALSE)</f>
        <v/>
      </c>
      <c r="K76" s="17">
        <f>+VLOOKUP($A76,MAGAZZINO!$B$2:$M$4838,11,FALSE)</f>
        <v/>
      </c>
      <c r="L76" s="44">
        <f>+VLOOKUP($A76,MAGAZZINO!$B$2:$M$4838,12,FALSE)</f>
        <v/>
      </c>
    </row>
    <row r="77" ht="36" customHeight="1">
      <c r="A77" s="30">
        <f>+REGISTRO!A77</f>
        <v/>
      </c>
      <c r="B77" s="31">
        <f>+VLOOKUP($A77,MAGAZZINO!$B$2:$M$4838,2,FALSE)</f>
        <v/>
      </c>
      <c r="C77" s="32">
        <f>+VLOOKUP($A77,MAGAZZINO!$B$2:$M$4838,3,FALSE)</f>
        <v/>
      </c>
      <c r="D77" s="17">
        <f>+VLOOKUP($A77,MAGAZZINO!$B$2:$M$4838,4,FALSE)</f>
        <v/>
      </c>
      <c r="E77" s="17">
        <f>+VLOOKUP($A77,MAGAZZINO!$B$2:$M$4838,5,FALSE)</f>
        <v/>
      </c>
      <c r="F77" s="17">
        <f>+VLOOKUP($A77,MAGAZZINO!$B$2:$M$4838,6,FALSE)</f>
        <v/>
      </c>
      <c r="G77" s="17">
        <f>+VLOOKUP($A77,MAGAZZINO!$B$2:$M$4838,7,FALSE)</f>
        <v/>
      </c>
      <c r="H77" s="17">
        <f>+VLOOKUP($A77,MAGAZZINO!$B$2:$M$4838,8,FALSE)</f>
        <v/>
      </c>
      <c r="I77" s="17">
        <f>+VLOOKUP($A77,MAGAZZINO!$B$2:$M$4838,9,FALSE)</f>
        <v/>
      </c>
      <c r="J77" s="17">
        <f>+VLOOKUP($A77,MAGAZZINO!$B$2:$M$4838,10,FALSE)</f>
        <v/>
      </c>
      <c r="K77" s="17">
        <f>+VLOOKUP($A77,MAGAZZINO!$B$2:$M$4838,11,FALSE)</f>
        <v/>
      </c>
      <c r="L77" s="44">
        <f>+VLOOKUP($A77,MAGAZZINO!$B$2:$M$4838,12,FALSE)</f>
        <v/>
      </c>
    </row>
    <row r="78" ht="36" customHeight="1">
      <c r="A78" s="30">
        <f>+REGISTRO!A78</f>
        <v/>
      </c>
      <c r="B78" s="31">
        <f>+VLOOKUP($A78,MAGAZZINO!$B$2:$M$4838,2,FALSE)</f>
        <v/>
      </c>
      <c r="C78" s="32">
        <f>+VLOOKUP($A78,MAGAZZINO!$B$2:$M$4838,3,FALSE)</f>
        <v/>
      </c>
      <c r="D78" s="17">
        <f>+VLOOKUP($A78,MAGAZZINO!$B$2:$M$4838,4,FALSE)</f>
        <v/>
      </c>
      <c r="E78" s="17">
        <f>+VLOOKUP($A78,MAGAZZINO!$B$2:$M$4838,5,FALSE)</f>
        <v/>
      </c>
      <c r="F78" s="17">
        <f>+VLOOKUP($A78,MAGAZZINO!$B$2:$M$4838,6,FALSE)</f>
        <v/>
      </c>
      <c r="G78" s="17">
        <f>+VLOOKUP($A78,MAGAZZINO!$B$2:$M$4838,7,FALSE)</f>
        <v/>
      </c>
      <c r="H78" s="17">
        <f>+VLOOKUP($A78,MAGAZZINO!$B$2:$M$4838,8,FALSE)</f>
        <v/>
      </c>
      <c r="I78" s="17">
        <f>+VLOOKUP($A78,MAGAZZINO!$B$2:$M$4838,9,FALSE)</f>
        <v/>
      </c>
      <c r="J78" s="17">
        <f>+VLOOKUP($A78,MAGAZZINO!$B$2:$M$4838,10,FALSE)</f>
        <v/>
      </c>
      <c r="K78" s="17">
        <f>+VLOOKUP($A78,MAGAZZINO!$B$2:$M$4838,11,FALSE)</f>
        <v/>
      </c>
      <c r="L78" s="44">
        <f>+VLOOKUP($A78,MAGAZZINO!$B$2:$M$4838,12,FALSE)</f>
        <v/>
      </c>
    </row>
    <row r="79" ht="36" customHeight="1">
      <c r="A79" s="30">
        <f>+REGISTRO!A79</f>
        <v/>
      </c>
      <c r="B79" s="31">
        <f>+VLOOKUP($A79,MAGAZZINO!$B$2:$M$4838,2,FALSE)</f>
        <v/>
      </c>
      <c r="C79" s="32">
        <f>+VLOOKUP($A79,MAGAZZINO!$B$2:$M$4838,3,FALSE)</f>
        <v/>
      </c>
      <c r="D79" s="17">
        <f>+VLOOKUP($A79,MAGAZZINO!$B$2:$M$4838,4,FALSE)</f>
        <v/>
      </c>
      <c r="E79" s="17">
        <f>+VLOOKUP($A79,MAGAZZINO!$B$2:$M$4838,5,FALSE)</f>
        <v/>
      </c>
      <c r="F79" s="17">
        <f>+VLOOKUP($A79,MAGAZZINO!$B$2:$M$4838,6,FALSE)</f>
        <v/>
      </c>
      <c r="G79" s="17">
        <f>+VLOOKUP($A79,MAGAZZINO!$B$2:$M$4838,7,FALSE)</f>
        <v/>
      </c>
      <c r="H79" s="17">
        <f>+VLOOKUP($A79,MAGAZZINO!$B$2:$M$4838,8,FALSE)</f>
        <v/>
      </c>
      <c r="I79" s="17">
        <f>+VLOOKUP($A79,MAGAZZINO!$B$2:$M$4838,9,FALSE)</f>
        <v/>
      </c>
      <c r="J79" s="17">
        <f>+VLOOKUP($A79,MAGAZZINO!$B$2:$M$4838,10,FALSE)</f>
        <v/>
      </c>
      <c r="K79" s="17">
        <f>+VLOOKUP($A79,MAGAZZINO!$B$2:$M$4838,11,FALSE)</f>
        <v/>
      </c>
      <c r="L79" s="44">
        <f>+VLOOKUP($A79,MAGAZZINO!$B$2:$M$4838,12,FALSE)</f>
        <v/>
      </c>
    </row>
    <row r="80" ht="36" customHeight="1">
      <c r="A80" s="30">
        <f>+REGISTRO!A80</f>
        <v/>
      </c>
      <c r="B80" s="31">
        <f>+VLOOKUP($A80,MAGAZZINO!$B$2:$M$4838,2,FALSE)</f>
        <v/>
      </c>
      <c r="C80" s="32">
        <f>+VLOOKUP($A80,MAGAZZINO!$B$2:$M$4838,3,FALSE)</f>
        <v/>
      </c>
      <c r="D80" s="17">
        <f>+VLOOKUP($A80,MAGAZZINO!$B$2:$M$4838,4,FALSE)</f>
        <v/>
      </c>
      <c r="E80" s="17">
        <f>+VLOOKUP($A80,MAGAZZINO!$B$2:$M$4838,5,FALSE)</f>
        <v/>
      </c>
      <c r="F80" s="17">
        <f>+VLOOKUP($A80,MAGAZZINO!$B$2:$M$4838,6,FALSE)</f>
        <v/>
      </c>
      <c r="G80" s="17">
        <f>+VLOOKUP($A80,MAGAZZINO!$B$2:$M$4838,7,FALSE)</f>
        <v/>
      </c>
      <c r="H80" s="17">
        <f>+VLOOKUP($A80,MAGAZZINO!$B$2:$M$4838,8,FALSE)</f>
        <v/>
      </c>
      <c r="I80" s="17">
        <f>+VLOOKUP($A80,MAGAZZINO!$B$2:$M$4838,9,FALSE)</f>
        <v/>
      </c>
      <c r="J80" s="17">
        <f>+VLOOKUP($A80,MAGAZZINO!$B$2:$M$4838,10,FALSE)</f>
        <v/>
      </c>
      <c r="K80" s="17">
        <f>+VLOOKUP($A80,MAGAZZINO!$B$2:$M$4838,11,FALSE)</f>
        <v/>
      </c>
      <c r="L80" s="44">
        <f>+VLOOKUP($A80,MAGAZZINO!$B$2:$M$4838,12,FALSE)</f>
        <v/>
      </c>
    </row>
    <row r="81" ht="36" customHeight="1">
      <c r="A81" s="30">
        <f>+REGISTRO!A81</f>
        <v/>
      </c>
      <c r="B81" s="31">
        <f>+VLOOKUP($A81,MAGAZZINO!$B$2:$M$4838,2,FALSE)</f>
        <v/>
      </c>
      <c r="C81" s="32">
        <f>+VLOOKUP($A81,MAGAZZINO!$B$2:$M$4838,3,FALSE)</f>
        <v/>
      </c>
      <c r="D81" s="17">
        <f>+VLOOKUP($A81,MAGAZZINO!$B$2:$M$4838,4,FALSE)</f>
        <v/>
      </c>
      <c r="E81" s="17">
        <f>+VLOOKUP($A81,MAGAZZINO!$B$2:$M$4838,5,FALSE)</f>
        <v/>
      </c>
      <c r="F81" s="17">
        <f>+VLOOKUP($A81,MAGAZZINO!$B$2:$M$4838,6,FALSE)</f>
        <v/>
      </c>
      <c r="G81" s="17">
        <f>+VLOOKUP($A81,MAGAZZINO!$B$2:$M$4838,7,FALSE)</f>
        <v/>
      </c>
      <c r="H81" s="17">
        <f>+VLOOKUP($A81,MAGAZZINO!$B$2:$M$4838,8,FALSE)</f>
        <v/>
      </c>
      <c r="I81" s="17">
        <f>+VLOOKUP($A81,MAGAZZINO!$B$2:$M$4838,9,FALSE)</f>
        <v/>
      </c>
      <c r="J81" s="17">
        <f>+VLOOKUP($A81,MAGAZZINO!$B$2:$M$4838,10,FALSE)</f>
        <v/>
      </c>
      <c r="K81" s="17">
        <f>+VLOOKUP($A81,MAGAZZINO!$B$2:$M$4838,11,FALSE)</f>
        <v/>
      </c>
      <c r="L81" s="44">
        <f>+VLOOKUP($A81,MAGAZZINO!$B$2:$M$4838,12,FALSE)</f>
        <v/>
      </c>
    </row>
    <row r="82" ht="36" customHeight="1">
      <c r="A82" s="30">
        <f>+REGISTRO!A82</f>
        <v/>
      </c>
      <c r="B82" s="31">
        <f>+VLOOKUP($A82,MAGAZZINO!$B$2:$M$4838,2,FALSE)</f>
        <v/>
      </c>
      <c r="C82" s="32">
        <f>+VLOOKUP($A82,MAGAZZINO!$B$2:$M$4838,3,FALSE)</f>
        <v/>
      </c>
      <c r="D82" s="17">
        <f>+VLOOKUP($A82,MAGAZZINO!$B$2:$M$4838,4,FALSE)</f>
        <v/>
      </c>
      <c r="E82" s="17">
        <f>+VLOOKUP($A82,MAGAZZINO!$B$2:$M$4838,5,FALSE)</f>
        <v/>
      </c>
      <c r="F82" s="17">
        <f>+VLOOKUP($A82,MAGAZZINO!$B$2:$M$4838,6,FALSE)</f>
        <v/>
      </c>
      <c r="G82" s="17">
        <f>+VLOOKUP($A82,MAGAZZINO!$B$2:$M$4838,7,FALSE)</f>
        <v/>
      </c>
      <c r="H82" s="17">
        <f>+VLOOKUP($A82,MAGAZZINO!$B$2:$M$4838,8,FALSE)</f>
        <v/>
      </c>
      <c r="I82" s="17">
        <f>+VLOOKUP($A82,MAGAZZINO!$B$2:$M$4838,9,FALSE)</f>
        <v/>
      </c>
      <c r="J82" s="17">
        <f>+VLOOKUP($A82,MAGAZZINO!$B$2:$M$4838,10,FALSE)</f>
        <v/>
      </c>
      <c r="K82" s="17">
        <f>+VLOOKUP($A82,MAGAZZINO!$B$2:$M$4838,11,FALSE)</f>
        <v/>
      </c>
      <c r="L82" s="44">
        <f>+VLOOKUP($A82,MAGAZZINO!$B$2:$M$4838,12,FALSE)</f>
        <v/>
      </c>
    </row>
    <row r="83" ht="36" customHeight="1">
      <c r="A83" s="30">
        <f>+REGISTRO!A83</f>
        <v/>
      </c>
      <c r="B83" s="31">
        <f>+VLOOKUP($A83,MAGAZZINO!$B$2:$M$4838,2,FALSE)</f>
        <v/>
      </c>
      <c r="C83" s="32">
        <f>+VLOOKUP($A83,MAGAZZINO!$B$2:$M$4838,3,FALSE)</f>
        <v/>
      </c>
      <c r="D83" s="17">
        <f>+VLOOKUP($A83,MAGAZZINO!$B$2:$M$4838,4,FALSE)</f>
        <v/>
      </c>
      <c r="E83" s="17">
        <f>+VLOOKUP($A83,MAGAZZINO!$B$2:$M$4838,5,FALSE)</f>
        <v/>
      </c>
      <c r="F83" s="17">
        <f>+VLOOKUP($A83,MAGAZZINO!$B$2:$M$4838,6,FALSE)</f>
        <v/>
      </c>
      <c r="G83" s="17">
        <f>+VLOOKUP($A83,MAGAZZINO!$B$2:$M$4838,7,FALSE)</f>
        <v/>
      </c>
      <c r="H83" s="17">
        <f>+VLOOKUP($A83,MAGAZZINO!$B$2:$M$4838,8,FALSE)</f>
        <v/>
      </c>
      <c r="I83" s="17">
        <f>+VLOOKUP($A83,MAGAZZINO!$B$2:$M$4838,9,FALSE)</f>
        <v/>
      </c>
      <c r="J83" s="17">
        <f>+VLOOKUP($A83,MAGAZZINO!$B$2:$M$4838,10,FALSE)</f>
        <v/>
      </c>
      <c r="K83" s="17">
        <f>+VLOOKUP($A83,MAGAZZINO!$B$2:$M$4838,11,FALSE)</f>
        <v/>
      </c>
      <c r="L83" s="44">
        <f>+VLOOKUP($A83,MAGAZZINO!$B$2:$M$4838,12,FALSE)</f>
        <v/>
      </c>
    </row>
    <row r="84" ht="36" customHeight="1">
      <c r="A84" s="30">
        <f>+REGISTRO!A84</f>
        <v/>
      </c>
      <c r="B84" s="31">
        <f>+VLOOKUP($A84,MAGAZZINO!$B$2:$M$4838,2,FALSE)</f>
        <v/>
      </c>
      <c r="C84" s="32">
        <f>+VLOOKUP($A84,MAGAZZINO!$B$2:$M$4838,3,FALSE)</f>
        <v/>
      </c>
      <c r="D84" s="17">
        <f>+VLOOKUP($A84,MAGAZZINO!$B$2:$M$4838,4,FALSE)</f>
        <v/>
      </c>
      <c r="E84" s="17">
        <f>+VLOOKUP($A84,MAGAZZINO!$B$2:$M$4838,5,FALSE)</f>
        <v/>
      </c>
      <c r="F84" s="17">
        <f>+VLOOKUP($A84,MAGAZZINO!$B$2:$M$4838,6,FALSE)</f>
        <v/>
      </c>
      <c r="G84" s="17">
        <f>+VLOOKUP($A84,MAGAZZINO!$B$2:$M$4838,7,FALSE)</f>
        <v/>
      </c>
      <c r="H84" s="17">
        <f>+VLOOKUP($A84,MAGAZZINO!$B$2:$M$4838,8,FALSE)</f>
        <v/>
      </c>
      <c r="I84" s="17">
        <f>+VLOOKUP($A84,MAGAZZINO!$B$2:$M$4838,9,FALSE)</f>
        <v/>
      </c>
      <c r="J84" s="17">
        <f>+VLOOKUP($A84,MAGAZZINO!$B$2:$M$4838,10,FALSE)</f>
        <v/>
      </c>
      <c r="K84" s="17">
        <f>+VLOOKUP($A84,MAGAZZINO!$B$2:$M$4838,11,FALSE)</f>
        <v/>
      </c>
      <c r="L84" s="44">
        <f>+VLOOKUP($A84,MAGAZZINO!$B$2:$M$4838,12,FALSE)</f>
        <v/>
      </c>
    </row>
    <row r="85" ht="36" customHeight="1">
      <c r="A85" s="30">
        <f>+REGISTRO!A85</f>
        <v/>
      </c>
      <c r="B85" s="31">
        <f>+VLOOKUP($A85,MAGAZZINO!$B$2:$M$4838,2,FALSE)</f>
        <v/>
      </c>
      <c r="C85" s="32">
        <f>+VLOOKUP($A85,MAGAZZINO!$B$2:$M$4838,3,FALSE)</f>
        <v/>
      </c>
      <c r="D85" s="17">
        <f>+VLOOKUP($A85,MAGAZZINO!$B$2:$M$4838,4,FALSE)</f>
        <v/>
      </c>
      <c r="E85" s="17">
        <f>+VLOOKUP($A85,MAGAZZINO!$B$2:$M$4838,5,FALSE)</f>
        <v/>
      </c>
      <c r="F85" s="17">
        <f>+VLOOKUP($A85,MAGAZZINO!$B$2:$M$4838,6,FALSE)</f>
        <v/>
      </c>
      <c r="G85" s="17">
        <f>+VLOOKUP($A85,MAGAZZINO!$B$2:$M$4838,7,FALSE)</f>
        <v/>
      </c>
      <c r="H85" s="17">
        <f>+VLOOKUP($A85,MAGAZZINO!$B$2:$M$4838,8,FALSE)</f>
        <v/>
      </c>
      <c r="I85" s="17">
        <f>+VLOOKUP($A85,MAGAZZINO!$B$2:$M$4838,9,FALSE)</f>
        <v/>
      </c>
      <c r="J85" s="17">
        <f>+VLOOKUP($A85,MAGAZZINO!$B$2:$M$4838,10,FALSE)</f>
        <v/>
      </c>
      <c r="K85" s="17">
        <f>+VLOOKUP($A85,MAGAZZINO!$B$2:$M$4838,11,FALSE)</f>
        <v/>
      </c>
      <c r="L85" s="44">
        <f>+VLOOKUP($A85,MAGAZZINO!$B$2:$M$4838,12,FALSE)</f>
        <v/>
      </c>
    </row>
    <row r="86" ht="36" customHeight="1">
      <c r="A86" s="30">
        <f>+REGISTRO!A86</f>
        <v/>
      </c>
      <c r="B86" s="31">
        <f>+VLOOKUP($A86,MAGAZZINO!$B$2:$M$4838,2,FALSE)</f>
        <v/>
      </c>
      <c r="C86" s="32">
        <f>+VLOOKUP($A86,MAGAZZINO!$B$2:$M$4838,3,FALSE)</f>
        <v/>
      </c>
      <c r="D86" s="17">
        <f>+VLOOKUP($A86,MAGAZZINO!$B$2:$M$4838,4,FALSE)</f>
        <v/>
      </c>
      <c r="E86" s="17">
        <f>+VLOOKUP($A86,MAGAZZINO!$B$2:$M$4838,5,FALSE)</f>
        <v/>
      </c>
      <c r="F86" s="17">
        <f>+VLOOKUP($A86,MAGAZZINO!$B$2:$M$4838,6,FALSE)</f>
        <v/>
      </c>
      <c r="G86" s="17">
        <f>+VLOOKUP($A86,MAGAZZINO!$B$2:$M$4838,7,FALSE)</f>
        <v/>
      </c>
      <c r="H86" s="17">
        <f>+VLOOKUP($A86,MAGAZZINO!$B$2:$M$4838,8,FALSE)</f>
        <v/>
      </c>
      <c r="I86" s="17">
        <f>+VLOOKUP($A86,MAGAZZINO!$B$2:$M$4838,9,FALSE)</f>
        <v/>
      </c>
      <c r="J86" s="17">
        <f>+VLOOKUP($A86,MAGAZZINO!$B$2:$M$4838,10,FALSE)</f>
        <v/>
      </c>
      <c r="K86" s="17">
        <f>+VLOOKUP($A86,MAGAZZINO!$B$2:$M$4838,11,FALSE)</f>
        <v/>
      </c>
      <c r="L86" s="44">
        <f>+VLOOKUP($A86,MAGAZZINO!$B$2:$M$4838,12,FALSE)</f>
        <v/>
      </c>
    </row>
    <row r="87" ht="36" customHeight="1">
      <c r="A87" s="30">
        <f>+REGISTRO!A87</f>
        <v/>
      </c>
      <c r="B87" s="31">
        <f>+VLOOKUP($A87,MAGAZZINO!$B$2:$M$4838,2,FALSE)</f>
        <v/>
      </c>
      <c r="C87" s="32">
        <f>+VLOOKUP($A87,MAGAZZINO!$B$2:$M$4838,3,FALSE)</f>
        <v/>
      </c>
      <c r="D87" s="17">
        <f>+VLOOKUP($A87,MAGAZZINO!$B$2:$M$4838,4,FALSE)</f>
        <v/>
      </c>
      <c r="E87" s="17">
        <f>+VLOOKUP($A87,MAGAZZINO!$B$2:$M$4838,5,FALSE)</f>
        <v/>
      </c>
      <c r="F87" s="17">
        <f>+VLOOKUP($A87,MAGAZZINO!$B$2:$M$4838,6,FALSE)</f>
        <v/>
      </c>
      <c r="G87" s="17">
        <f>+VLOOKUP($A87,MAGAZZINO!$B$2:$M$4838,7,FALSE)</f>
        <v/>
      </c>
      <c r="H87" s="17">
        <f>+VLOOKUP($A87,MAGAZZINO!$B$2:$M$4838,8,FALSE)</f>
        <v/>
      </c>
      <c r="I87" s="17">
        <f>+VLOOKUP($A87,MAGAZZINO!$B$2:$M$4838,9,FALSE)</f>
        <v/>
      </c>
      <c r="J87" s="17">
        <f>+VLOOKUP($A87,MAGAZZINO!$B$2:$M$4838,10,FALSE)</f>
        <v/>
      </c>
      <c r="K87" s="17">
        <f>+VLOOKUP($A87,MAGAZZINO!$B$2:$M$4838,11,FALSE)</f>
        <v/>
      </c>
      <c r="L87" s="44">
        <f>+VLOOKUP($A87,MAGAZZINO!$B$2:$M$4838,12,FALSE)</f>
        <v/>
      </c>
    </row>
    <row r="88" ht="36" customHeight="1">
      <c r="A88" s="30">
        <f>+REGISTRO!A88</f>
        <v/>
      </c>
      <c r="B88" s="31">
        <f>+VLOOKUP($A88,MAGAZZINO!$B$2:$M$4838,2,FALSE)</f>
        <v/>
      </c>
      <c r="C88" s="32">
        <f>+VLOOKUP($A88,MAGAZZINO!$B$2:$M$4838,3,FALSE)</f>
        <v/>
      </c>
      <c r="D88" s="17">
        <f>+VLOOKUP($A88,MAGAZZINO!$B$2:$M$4838,4,FALSE)</f>
        <v/>
      </c>
      <c r="E88" s="17">
        <f>+VLOOKUP($A88,MAGAZZINO!$B$2:$M$4838,5,FALSE)</f>
        <v/>
      </c>
      <c r="F88" s="17">
        <f>+VLOOKUP($A88,MAGAZZINO!$B$2:$M$4838,6,FALSE)</f>
        <v/>
      </c>
      <c r="G88" s="17">
        <f>+VLOOKUP($A88,MAGAZZINO!$B$2:$M$4838,7,FALSE)</f>
        <v/>
      </c>
      <c r="H88" s="17">
        <f>+VLOOKUP($A88,MAGAZZINO!$B$2:$M$4838,8,FALSE)</f>
        <v/>
      </c>
      <c r="I88" s="17">
        <f>+VLOOKUP($A88,MAGAZZINO!$B$2:$M$4838,9,FALSE)</f>
        <v/>
      </c>
      <c r="J88" s="17">
        <f>+VLOOKUP($A88,MAGAZZINO!$B$2:$M$4838,10,FALSE)</f>
        <v/>
      </c>
      <c r="K88" s="17">
        <f>+VLOOKUP($A88,MAGAZZINO!$B$2:$M$4838,11,FALSE)</f>
        <v/>
      </c>
      <c r="L88" s="44">
        <f>+VLOOKUP($A88,MAGAZZINO!$B$2:$M$4838,12,FALSE)</f>
        <v/>
      </c>
    </row>
    <row r="89" ht="36" customHeight="1">
      <c r="A89" s="30">
        <f>+REGISTRO!A89</f>
        <v/>
      </c>
      <c r="B89" s="31">
        <f>+VLOOKUP($A89,MAGAZZINO!$B$2:$M$4838,2,FALSE)</f>
        <v/>
      </c>
      <c r="C89" s="32">
        <f>+VLOOKUP($A89,MAGAZZINO!$B$2:$M$4838,3,FALSE)</f>
        <v/>
      </c>
      <c r="D89" s="17">
        <f>+VLOOKUP($A89,MAGAZZINO!$B$2:$M$4838,4,FALSE)</f>
        <v/>
      </c>
      <c r="E89" s="17">
        <f>+VLOOKUP($A89,MAGAZZINO!$B$2:$M$4838,5,FALSE)</f>
        <v/>
      </c>
      <c r="F89" s="17">
        <f>+VLOOKUP($A89,MAGAZZINO!$B$2:$M$4838,6,FALSE)</f>
        <v/>
      </c>
      <c r="G89" s="17">
        <f>+VLOOKUP($A89,MAGAZZINO!$B$2:$M$4838,7,FALSE)</f>
        <v/>
      </c>
      <c r="H89" s="17">
        <f>+VLOOKUP($A89,MAGAZZINO!$B$2:$M$4838,8,FALSE)</f>
        <v/>
      </c>
      <c r="I89" s="17">
        <f>+VLOOKUP($A89,MAGAZZINO!$B$2:$M$4838,9,FALSE)</f>
        <v/>
      </c>
      <c r="J89" s="17">
        <f>+VLOOKUP($A89,MAGAZZINO!$B$2:$M$4838,10,FALSE)</f>
        <v/>
      </c>
      <c r="K89" s="17">
        <f>+VLOOKUP($A89,MAGAZZINO!$B$2:$M$4838,11,FALSE)</f>
        <v/>
      </c>
      <c r="L89" s="44">
        <f>+VLOOKUP($A89,MAGAZZINO!$B$2:$M$4838,12,FALSE)</f>
        <v/>
      </c>
    </row>
    <row r="90" ht="36" customHeight="1">
      <c r="A90" s="30">
        <f>+REGISTRO!A90</f>
        <v/>
      </c>
      <c r="B90" s="31">
        <f>+VLOOKUP($A90,MAGAZZINO!$B$2:$M$4838,2,FALSE)</f>
        <v/>
      </c>
      <c r="C90" s="32">
        <f>+VLOOKUP($A90,MAGAZZINO!$B$2:$M$4838,3,FALSE)</f>
        <v/>
      </c>
      <c r="D90" s="17">
        <f>+VLOOKUP($A90,MAGAZZINO!$B$2:$M$4838,4,FALSE)</f>
        <v/>
      </c>
      <c r="E90" s="17">
        <f>+VLOOKUP($A90,MAGAZZINO!$B$2:$M$4838,5,FALSE)</f>
        <v/>
      </c>
      <c r="F90" s="17">
        <f>+VLOOKUP($A90,MAGAZZINO!$B$2:$M$4838,6,FALSE)</f>
        <v/>
      </c>
      <c r="G90" s="17">
        <f>+VLOOKUP($A90,MAGAZZINO!$B$2:$M$4838,7,FALSE)</f>
        <v/>
      </c>
      <c r="H90" s="17">
        <f>+VLOOKUP($A90,MAGAZZINO!$B$2:$M$4838,8,FALSE)</f>
        <v/>
      </c>
      <c r="I90" s="17">
        <f>+VLOOKUP($A90,MAGAZZINO!$B$2:$M$4838,9,FALSE)</f>
        <v/>
      </c>
      <c r="J90" s="17">
        <f>+VLOOKUP($A90,MAGAZZINO!$B$2:$M$4838,10,FALSE)</f>
        <v/>
      </c>
      <c r="K90" s="17">
        <f>+VLOOKUP($A90,MAGAZZINO!$B$2:$M$4838,11,FALSE)</f>
        <v/>
      </c>
      <c r="L90" s="44">
        <f>+VLOOKUP($A90,MAGAZZINO!$B$2:$M$4838,12,FALSE)</f>
        <v/>
      </c>
    </row>
    <row r="91" ht="36" customHeight="1">
      <c r="A91" s="30">
        <f>+REGISTRO!A91</f>
        <v/>
      </c>
      <c r="B91" s="31">
        <f>+VLOOKUP($A91,MAGAZZINO!$B$2:$M$4838,2,FALSE)</f>
        <v/>
      </c>
      <c r="C91" s="32">
        <f>+VLOOKUP($A91,MAGAZZINO!$B$2:$M$4838,3,FALSE)</f>
        <v/>
      </c>
      <c r="D91" s="17">
        <f>+VLOOKUP($A91,MAGAZZINO!$B$2:$M$4838,4,FALSE)</f>
        <v/>
      </c>
      <c r="E91" s="17">
        <f>+VLOOKUP($A91,MAGAZZINO!$B$2:$M$4838,5,FALSE)</f>
        <v/>
      </c>
      <c r="F91" s="17">
        <f>+VLOOKUP($A91,MAGAZZINO!$B$2:$M$4838,6,FALSE)</f>
        <v/>
      </c>
      <c r="G91" s="17">
        <f>+VLOOKUP($A91,MAGAZZINO!$B$2:$M$4838,7,FALSE)</f>
        <v/>
      </c>
      <c r="H91" s="17">
        <f>+VLOOKUP($A91,MAGAZZINO!$B$2:$M$4838,8,FALSE)</f>
        <v/>
      </c>
      <c r="I91" s="17">
        <f>+VLOOKUP($A91,MAGAZZINO!$B$2:$M$4838,9,FALSE)</f>
        <v/>
      </c>
      <c r="J91" s="17">
        <f>+VLOOKUP($A91,MAGAZZINO!$B$2:$M$4838,10,FALSE)</f>
        <v/>
      </c>
      <c r="K91" s="17">
        <f>+VLOOKUP($A91,MAGAZZINO!$B$2:$M$4838,11,FALSE)</f>
        <v/>
      </c>
      <c r="L91" s="44">
        <f>+VLOOKUP($A91,MAGAZZINO!$B$2:$M$4838,12,FALSE)</f>
        <v/>
      </c>
    </row>
    <row r="92" ht="36" customHeight="1">
      <c r="A92" s="30">
        <f>+REGISTRO!A92</f>
        <v/>
      </c>
      <c r="B92" s="31">
        <f>+VLOOKUP($A92,MAGAZZINO!$B$2:$M$4838,2,FALSE)</f>
        <v/>
      </c>
      <c r="C92" s="32">
        <f>+VLOOKUP($A92,MAGAZZINO!$B$2:$M$4838,3,FALSE)</f>
        <v/>
      </c>
      <c r="D92" s="17">
        <f>+VLOOKUP($A92,MAGAZZINO!$B$2:$M$4838,4,FALSE)</f>
        <v/>
      </c>
      <c r="E92" s="17">
        <f>+VLOOKUP($A92,MAGAZZINO!$B$2:$M$4838,5,FALSE)</f>
        <v/>
      </c>
      <c r="F92" s="17">
        <f>+VLOOKUP($A92,MAGAZZINO!$B$2:$M$4838,6,FALSE)</f>
        <v/>
      </c>
      <c r="G92" s="17">
        <f>+VLOOKUP($A92,MAGAZZINO!$B$2:$M$4838,7,FALSE)</f>
        <v/>
      </c>
      <c r="H92" s="17">
        <f>+VLOOKUP($A92,MAGAZZINO!$B$2:$M$4838,8,FALSE)</f>
        <v/>
      </c>
      <c r="I92" s="17">
        <f>+VLOOKUP($A92,MAGAZZINO!$B$2:$M$4838,9,FALSE)</f>
        <v/>
      </c>
      <c r="J92" s="17">
        <f>+VLOOKUP($A92,MAGAZZINO!$B$2:$M$4838,10,FALSE)</f>
        <v/>
      </c>
      <c r="K92" s="17">
        <f>+VLOOKUP($A92,MAGAZZINO!$B$2:$M$4838,11,FALSE)</f>
        <v/>
      </c>
      <c r="L92" s="44">
        <f>+VLOOKUP($A92,MAGAZZINO!$B$2:$M$4838,12,FALSE)</f>
        <v/>
      </c>
    </row>
    <row r="93" ht="36" customHeight="1">
      <c r="A93" s="30">
        <f>+REGISTRO!A93</f>
        <v/>
      </c>
      <c r="B93" s="31">
        <f>+VLOOKUP($A93,MAGAZZINO!$B$2:$M$4838,2,FALSE)</f>
        <v/>
      </c>
      <c r="C93" s="32">
        <f>+VLOOKUP($A93,MAGAZZINO!$B$2:$M$4838,3,FALSE)</f>
        <v/>
      </c>
      <c r="D93" s="17">
        <f>+VLOOKUP($A93,MAGAZZINO!$B$2:$M$4838,4,FALSE)</f>
        <v/>
      </c>
      <c r="E93" s="17">
        <f>+VLOOKUP($A93,MAGAZZINO!$B$2:$M$4838,5,FALSE)</f>
        <v/>
      </c>
      <c r="F93" s="17">
        <f>+VLOOKUP($A93,MAGAZZINO!$B$2:$M$4838,6,FALSE)</f>
        <v/>
      </c>
      <c r="G93" s="17">
        <f>+VLOOKUP($A93,MAGAZZINO!$B$2:$M$4838,7,FALSE)</f>
        <v/>
      </c>
      <c r="H93" s="17">
        <f>+VLOOKUP($A93,MAGAZZINO!$B$2:$M$4838,8,FALSE)</f>
        <v/>
      </c>
      <c r="I93" s="17">
        <f>+VLOOKUP($A93,MAGAZZINO!$B$2:$M$4838,9,FALSE)</f>
        <v/>
      </c>
      <c r="J93" s="17">
        <f>+VLOOKUP($A93,MAGAZZINO!$B$2:$M$4838,10,FALSE)</f>
        <v/>
      </c>
      <c r="K93" s="17">
        <f>+VLOOKUP($A93,MAGAZZINO!$B$2:$M$4838,11,FALSE)</f>
        <v/>
      </c>
      <c r="L93" s="44">
        <f>+VLOOKUP($A93,MAGAZZINO!$B$2:$M$4838,12,FALSE)</f>
        <v/>
      </c>
    </row>
    <row r="94" ht="36" customHeight="1">
      <c r="A94" s="30">
        <f>+REGISTRO!A94</f>
        <v/>
      </c>
      <c r="B94" s="31">
        <f>+VLOOKUP($A94,MAGAZZINO!$B$2:$M$4838,2,FALSE)</f>
        <v/>
      </c>
      <c r="C94" s="32">
        <f>+VLOOKUP($A94,MAGAZZINO!$B$2:$M$4838,3,FALSE)</f>
        <v/>
      </c>
      <c r="D94" s="17">
        <f>+VLOOKUP($A94,MAGAZZINO!$B$2:$M$4838,4,FALSE)</f>
        <v/>
      </c>
      <c r="E94" s="17">
        <f>+VLOOKUP($A94,MAGAZZINO!$B$2:$M$4838,5,FALSE)</f>
        <v/>
      </c>
      <c r="F94" s="17">
        <f>+VLOOKUP($A94,MAGAZZINO!$B$2:$M$4838,6,FALSE)</f>
        <v/>
      </c>
      <c r="G94" s="17">
        <f>+VLOOKUP($A94,MAGAZZINO!$B$2:$M$4838,7,FALSE)</f>
        <v/>
      </c>
      <c r="H94" s="17">
        <f>+VLOOKUP($A94,MAGAZZINO!$B$2:$M$4838,8,FALSE)</f>
        <v/>
      </c>
      <c r="I94" s="17">
        <f>+VLOOKUP($A94,MAGAZZINO!$B$2:$M$4838,9,FALSE)</f>
        <v/>
      </c>
      <c r="J94" s="17">
        <f>+VLOOKUP($A94,MAGAZZINO!$B$2:$M$4838,10,FALSE)</f>
        <v/>
      </c>
      <c r="K94" s="17">
        <f>+VLOOKUP($A94,MAGAZZINO!$B$2:$M$4838,11,FALSE)</f>
        <v/>
      </c>
      <c r="L94" s="44">
        <f>+VLOOKUP($A94,MAGAZZINO!$B$2:$M$4838,12,FALSE)</f>
        <v/>
      </c>
    </row>
    <row r="95" ht="36" customHeight="1">
      <c r="A95" s="30">
        <f>+REGISTRO!A95</f>
        <v/>
      </c>
      <c r="B95" s="31">
        <f>+VLOOKUP($A95,MAGAZZINO!$B$2:$M$4838,2,FALSE)</f>
        <v/>
      </c>
      <c r="C95" s="32">
        <f>+VLOOKUP($A95,MAGAZZINO!$B$2:$M$4838,3,FALSE)</f>
        <v/>
      </c>
      <c r="D95" s="17">
        <f>+VLOOKUP($A95,MAGAZZINO!$B$2:$M$4838,4,FALSE)</f>
        <v/>
      </c>
      <c r="E95" s="17">
        <f>+VLOOKUP($A95,MAGAZZINO!$B$2:$M$4838,5,FALSE)</f>
        <v/>
      </c>
      <c r="F95" s="17">
        <f>+VLOOKUP($A95,MAGAZZINO!$B$2:$M$4838,6,FALSE)</f>
        <v/>
      </c>
      <c r="G95" s="17">
        <f>+VLOOKUP($A95,MAGAZZINO!$B$2:$M$4838,7,FALSE)</f>
        <v/>
      </c>
      <c r="H95" s="17">
        <f>+VLOOKUP($A95,MAGAZZINO!$B$2:$M$4838,8,FALSE)</f>
        <v/>
      </c>
      <c r="I95" s="17">
        <f>+VLOOKUP($A95,MAGAZZINO!$B$2:$M$4838,9,FALSE)</f>
        <v/>
      </c>
      <c r="J95" s="17">
        <f>+VLOOKUP($A95,MAGAZZINO!$B$2:$M$4838,10,FALSE)</f>
        <v/>
      </c>
      <c r="K95" s="17">
        <f>+VLOOKUP($A95,MAGAZZINO!$B$2:$M$4838,11,FALSE)</f>
        <v/>
      </c>
      <c r="L95" s="44">
        <f>+VLOOKUP($A95,MAGAZZINO!$B$2:$M$4838,12,FALSE)</f>
        <v/>
      </c>
    </row>
    <row r="96" ht="36" customHeight="1">
      <c r="A96" s="30">
        <f>+REGISTRO!A96</f>
        <v/>
      </c>
      <c r="B96" s="31">
        <f>+VLOOKUP($A96,MAGAZZINO!$B$2:$M$4838,2,FALSE)</f>
        <v/>
      </c>
      <c r="C96" s="32">
        <f>+VLOOKUP($A96,MAGAZZINO!$B$2:$M$4838,3,FALSE)</f>
        <v/>
      </c>
      <c r="D96" s="17">
        <f>+VLOOKUP($A96,MAGAZZINO!$B$2:$M$4838,4,FALSE)</f>
        <v/>
      </c>
      <c r="E96" s="17">
        <f>+VLOOKUP($A96,MAGAZZINO!$B$2:$M$4838,5,FALSE)</f>
        <v/>
      </c>
      <c r="F96" s="17">
        <f>+VLOOKUP($A96,MAGAZZINO!$B$2:$M$4838,6,FALSE)</f>
        <v/>
      </c>
      <c r="G96" s="17">
        <f>+VLOOKUP($A96,MAGAZZINO!$B$2:$M$4838,7,FALSE)</f>
        <v/>
      </c>
      <c r="H96" s="17">
        <f>+VLOOKUP($A96,MAGAZZINO!$B$2:$M$4838,8,FALSE)</f>
        <v/>
      </c>
      <c r="I96" s="17">
        <f>+VLOOKUP($A96,MAGAZZINO!$B$2:$M$4838,9,FALSE)</f>
        <v/>
      </c>
      <c r="J96" s="17">
        <f>+VLOOKUP($A96,MAGAZZINO!$B$2:$M$4838,10,FALSE)</f>
        <v/>
      </c>
      <c r="K96" s="17">
        <f>+VLOOKUP($A96,MAGAZZINO!$B$2:$M$4838,11,FALSE)</f>
        <v/>
      </c>
      <c r="L96" s="44">
        <f>+VLOOKUP($A96,MAGAZZINO!$B$2:$M$4838,12,FALSE)</f>
        <v/>
      </c>
    </row>
    <row r="97" ht="36" customHeight="1">
      <c r="A97" s="30">
        <f>+REGISTRO!A97</f>
        <v/>
      </c>
      <c r="B97" s="31">
        <f>+VLOOKUP($A97,MAGAZZINO!$B$2:$M$4838,2,FALSE)</f>
        <v/>
      </c>
      <c r="C97" s="32">
        <f>+VLOOKUP($A97,MAGAZZINO!$B$2:$M$4838,3,FALSE)</f>
        <v/>
      </c>
      <c r="D97" s="17">
        <f>+VLOOKUP($A97,MAGAZZINO!$B$2:$M$4838,4,FALSE)</f>
        <v/>
      </c>
      <c r="E97" s="17">
        <f>+VLOOKUP($A97,MAGAZZINO!$B$2:$M$4838,5,FALSE)</f>
        <v/>
      </c>
      <c r="F97" s="17">
        <f>+VLOOKUP($A97,MAGAZZINO!$B$2:$M$4838,6,FALSE)</f>
        <v/>
      </c>
      <c r="G97" s="17">
        <f>+VLOOKUP($A97,MAGAZZINO!$B$2:$M$4838,7,FALSE)</f>
        <v/>
      </c>
      <c r="H97" s="17">
        <f>+VLOOKUP($A97,MAGAZZINO!$B$2:$M$4838,8,FALSE)</f>
        <v/>
      </c>
      <c r="I97" s="17">
        <f>+VLOOKUP($A97,MAGAZZINO!$B$2:$M$4838,9,FALSE)</f>
        <v/>
      </c>
      <c r="J97" s="17">
        <f>+VLOOKUP($A97,MAGAZZINO!$B$2:$M$4838,10,FALSE)</f>
        <v/>
      </c>
      <c r="K97" s="17">
        <f>+VLOOKUP($A97,MAGAZZINO!$B$2:$M$4838,11,FALSE)</f>
        <v/>
      </c>
      <c r="L97" s="44">
        <f>+VLOOKUP($A97,MAGAZZINO!$B$2:$M$4838,12,FALSE)</f>
        <v/>
      </c>
    </row>
    <row r="98" ht="36" customHeight="1">
      <c r="A98" s="30">
        <f>+REGISTRO!A98</f>
        <v/>
      </c>
      <c r="B98" s="31">
        <f>+VLOOKUP($A98,MAGAZZINO!$B$2:$M$4838,2,FALSE)</f>
        <v/>
      </c>
      <c r="C98" s="32">
        <f>+VLOOKUP($A98,MAGAZZINO!$B$2:$M$4838,3,FALSE)</f>
        <v/>
      </c>
      <c r="D98" s="17">
        <f>+VLOOKUP($A98,MAGAZZINO!$B$2:$M$4838,4,FALSE)</f>
        <v/>
      </c>
      <c r="E98" s="17">
        <f>+VLOOKUP($A98,MAGAZZINO!$B$2:$M$4838,5,FALSE)</f>
        <v/>
      </c>
      <c r="F98" s="17">
        <f>+VLOOKUP($A98,MAGAZZINO!$B$2:$M$4838,6,FALSE)</f>
        <v/>
      </c>
      <c r="G98" s="17">
        <f>+VLOOKUP($A98,MAGAZZINO!$B$2:$M$4838,7,FALSE)</f>
        <v/>
      </c>
      <c r="H98" s="17">
        <f>+VLOOKUP($A98,MAGAZZINO!$B$2:$M$4838,8,FALSE)</f>
        <v/>
      </c>
      <c r="I98" s="17">
        <f>+VLOOKUP($A98,MAGAZZINO!$B$2:$M$4838,9,FALSE)</f>
        <v/>
      </c>
      <c r="J98" s="17">
        <f>+VLOOKUP($A98,MAGAZZINO!$B$2:$M$4838,10,FALSE)</f>
        <v/>
      </c>
      <c r="K98" s="17">
        <f>+VLOOKUP($A98,MAGAZZINO!$B$2:$M$4838,11,FALSE)</f>
        <v/>
      </c>
      <c r="L98" s="44">
        <f>+VLOOKUP($A98,MAGAZZINO!$B$2:$M$4838,12,FALSE)</f>
        <v/>
      </c>
    </row>
    <row r="99" ht="36" customHeight="1">
      <c r="A99" s="30">
        <f>+REGISTRO!A99</f>
        <v/>
      </c>
      <c r="B99" s="31">
        <f>+VLOOKUP($A99,MAGAZZINO!$B$2:$M$4838,2,FALSE)</f>
        <v/>
      </c>
      <c r="C99" s="32">
        <f>+VLOOKUP($A99,MAGAZZINO!$B$2:$M$4838,3,FALSE)</f>
        <v/>
      </c>
      <c r="D99" s="17">
        <f>+VLOOKUP($A99,MAGAZZINO!$B$2:$M$4838,4,FALSE)</f>
        <v/>
      </c>
      <c r="E99" s="17">
        <f>+VLOOKUP($A99,MAGAZZINO!$B$2:$M$4838,5,FALSE)</f>
        <v/>
      </c>
      <c r="F99" s="17">
        <f>+VLOOKUP($A99,MAGAZZINO!$B$2:$M$4838,6,FALSE)</f>
        <v/>
      </c>
      <c r="G99" s="17">
        <f>+VLOOKUP($A99,MAGAZZINO!$B$2:$M$4838,7,FALSE)</f>
        <v/>
      </c>
      <c r="H99" s="17">
        <f>+VLOOKUP($A99,MAGAZZINO!$B$2:$M$4838,8,FALSE)</f>
        <v/>
      </c>
      <c r="I99" s="17">
        <f>+VLOOKUP($A99,MAGAZZINO!$B$2:$M$4838,9,FALSE)</f>
        <v/>
      </c>
      <c r="J99" s="17">
        <f>+VLOOKUP($A99,MAGAZZINO!$B$2:$M$4838,10,FALSE)</f>
        <v/>
      </c>
      <c r="K99" s="17">
        <f>+VLOOKUP($A99,MAGAZZINO!$B$2:$M$4838,11,FALSE)</f>
        <v/>
      </c>
      <c r="L99" s="44">
        <f>+VLOOKUP($A99,MAGAZZINO!$B$2:$M$4838,12,FALSE)</f>
        <v/>
      </c>
    </row>
    <row r="100" ht="36" customHeight="1">
      <c r="A100" s="30">
        <f>+REGISTRO!A100</f>
        <v/>
      </c>
      <c r="B100" s="31">
        <f>+VLOOKUP($A100,MAGAZZINO!$B$2:$M$4838,2,FALSE)</f>
        <v/>
      </c>
      <c r="C100" s="32">
        <f>+VLOOKUP($A100,MAGAZZINO!$B$2:$M$4838,3,FALSE)</f>
        <v/>
      </c>
      <c r="D100" s="17">
        <f>+VLOOKUP($A100,MAGAZZINO!$B$2:$M$4838,4,FALSE)</f>
        <v/>
      </c>
      <c r="E100" s="17">
        <f>+VLOOKUP($A100,MAGAZZINO!$B$2:$M$4838,5,FALSE)</f>
        <v/>
      </c>
      <c r="F100" s="17">
        <f>+VLOOKUP($A100,MAGAZZINO!$B$2:$M$4838,6,FALSE)</f>
        <v/>
      </c>
      <c r="G100" s="17">
        <f>+VLOOKUP($A100,MAGAZZINO!$B$2:$M$4838,7,FALSE)</f>
        <v/>
      </c>
      <c r="H100" s="17">
        <f>+VLOOKUP($A100,MAGAZZINO!$B$2:$M$4838,8,FALSE)</f>
        <v/>
      </c>
      <c r="I100" s="17">
        <f>+VLOOKUP($A100,MAGAZZINO!$B$2:$M$4838,9,FALSE)</f>
        <v/>
      </c>
      <c r="J100" s="17">
        <f>+VLOOKUP($A100,MAGAZZINO!$B$2:$M$4838,10,FALSE)</f>
        <v/>
      </c>
      <c r="K100" s="17">
        <f>+VLOOKUP($A100,MAGAZZINO!$B$2:$M$4838,11,FALSE)</f>
        <v/>
      </c>
      <c r="L100" s="44">
        <f>+VLOOKUP($A100,MAGAZZINO!$B$2:$M$4838,12,FALSE)</f>
        <v/>
      </c>
    </row>
    <row r="101" ht="36" customHeight="1">
      <c r="A101" s="30">
        <f>+REGISTRO!A101</f>
        <v/>
      </c>
      <c r="B101" s="31">
        <f>+VLOOKUP($A101,MAGAZZINO!$B$2:$M$4838,2,FALSE)</f>
        <v/>
      </c>
      <c r="C101" s="32">
        <f>+VLOOKUP($A101,MAGAZZINO!$B$2:$M$4838,3,FALSE)</f>
        <v/>
      </c>
      <c r="D101" s="17">
        <f>+VLOOKUP($A101,MAGAZZINO!$B$2:$M$4838,4,FALSE)</f>
        <v/>
      </c>
      <c r="E101" s="17">
        <f>+VLOOKUP($A101,MAGAZZINO!$B$2:$M$4838,5,FALSE)</f>
        <v/>
      </c>
      <c r="F101" s="17">
        <f>+VLOOKUP($A101,MAGAZZINO!$B$2:$M$4838,6,FALSE)</f>
        <v/>
      </c>
      <c r="G101" s="17">
        <f>+VLOOKUP($A101,MAGAZZINO!$B$2:$M$4838,7,FALSE)</f>
        <v/>
      </c>
      <c r="H101" s="17">
        <f>+VLOOKUP($A101,MAGAZZINO!$B$2:$M$4838,8,FALSE)</f>
        <v/>
      </c>
      <c r="I101" s="17">
        <f>+VLOOKUP($A101,MAGAZZINO!$B$2:$M$4838,9,FALSE)</f>
        <v/>
      </c>
      <c r="J101" s="17">
        <f>+VLOOKUP($A101,MAGAZZINO!$B$2:$M$4838,10,FALSE)</f>
        <v/>
      </c>
      <c r="K101" s="17">
        <f>+VLOOKUP($A101,MAGAZZINO!$B$2:$M$4838,11,FALSE)</f>
        <v/>
      </c>
      <c r="L101" s="44">
        <f>+VLOOKUP($A101,MAGAZZINO!$B$2:$M$4838,12,FALSE)</f>
        <v/>
      </c>
    </row>
    <row r="102" ht="36" customHeight="1">
      <c r="A102" s="30">
        <f>+REGISTRO!A102</f>
        <v/>
      </c>
      <c r="B102" s="31">
        <f>+VLOOKUP($A102,MAGAZZINO!$B$2:$M$4838,2,FALSE)</f>
        <v/>
      </c>
      <c r="C102" s="32">
        <f>+VLOOKUP($A102,MAGAZZINO!$B$2:$M$4838,3,FALSE)</f>
        <v/>
      </c>
      <c r="D102" s="17">
        <f>+VLOOKUP($A102,MAGAZZINO!$B$2:$M$4838,4,FALSE)</f>
        <v/>
      </c>
      <c r="E102" s="17">
        <f>+VLOOKUP($A102,MAGAZZINO!$B$2:$M$4838,5,FALSE)</f>
        <v/>
      </c>
      <c r="F102" s="17">
        <f>+VLOOKUP($A102,MAGAZZINO!$B$2:$M$4838,6,FALSE)</f>
        <v/>
      </c>
      <c r="G102" s="17">
        <f>+VLOOKUP($A102,MAGAZZINO!$B$2:$M$4838,7,FALSE)</f>
        <v/>
      </c>
      <c r="H102" s="17">
        <f>+VLOOKUP($A102,MAGAZZINO!$B$2:$M$4838,8,FALSE)</f>
        <v/>
      </c>
      <c r="I102" s="17">
        <f>+VLOOKUP($A102,MAGAZZINO!$B$2:$M$4838,9,FALSE)</f>
        <v/>
      </c>
      <c r="J102" s="17">
        <f>+VLOOKUP($A102,MAGAZZINO!$B$2:$M$4838,10,FALSE)</f>
        <v/>
      </c>
      <c r="K102" s="17">
        <f>+VLOOKUP($A102,MAGAZZINO!$B$2:$M$4838,11,FALSE)</f>
        <v/>
      </c>
      <c r="L102" s="44">
        <f>+VLOOKUP($A102,MAGAZZINO!$B$2:$M$4838,12,FALSE)</f>
        <v/>
      </c>
    </row>
    <row r="103" ht="36" customHeight="1">
      <c r="A103" s="30">
        <f>+REGISTRO!A103</f>
        <v/>
      </c>
      <c r="B103" s="31">
        <f>+VLOOKUP($A103,MAGAZZINO!$B$2:$M$4838,2,FALSE)</f>
        <v/>
      </c>
      <c r="C103" s="32">
        <f>+VLOOKUP($A103,MAGAZZINO!$B$2:$M$4838,3,FALSE)</f>
        <v/>
      </c>
      <c r="D103" s="17">
        <f>+VLOOKUP($A103,MAGAZZINO!$B$2:$M$4838,4,FALSE)</f>
        <v/>
      </c>
      <c r="E103" s="17">
        <f>+VLOOKUP($A103,MAGAZZINO!$B$2:$M$4838,5,FALSE)</f>
        <v/>
      </c>
      <c r="F103" s="17">
        <f>+VLOOKUP($A103,MAGAZZINO!$B$2:$M$4838,6,FALSE)</f>
        <v/>
      </c>
      <c r="G103" s="17">
        <f>+VLOOKUP($A103,MAGAZZINO!$B$2:$M$4838,7,FALSE)</f>
        <v/>
      </c>
      <c r="H103" s="17">
        <f>+VLOOKUP($A103,MAGAZZINO!$B$2:$M$4838,8,FALSE)</f>
        <v/>
      </c>
      <c r="I103" s="17">
        <f>+VLOOKUP($A103,MAGAZZINO!$B$2:$M$4838,9,FALSE)</f>
        <v/>
      </c>
      <c r="J103" s="17">
        <f>+VLOOKUP($A103,MAGAZZINO!$B$2:$M$4838,10,FALSE)</f>
        <v/>
      </c>
      <c r="K103" s="17">
        <f>+VLOOKUP($A103,MAGAZZINO!$B$2:$M$4838,11,FALSE)</f>
        <v/>
      </c>
      <c r="L103" s="44">
        <f>+VLOOKUP($A103,MAGAZZINO!$B$2:$M$4838,12,FALSE)</f>
        <v/>
      </c>
    </row>
    <row r="104" ht="36" customHeight="1">
      <c r="A104" s="30">
        <f>+REGISTRO!A104</f>
        <v/>
      </c>
      <c r="B104" s="31">
        <f>+VLOOKUP($A104,MAGAZZINO!$B$2:$M$4838,2,FALSE)</f>
        <v/>
      </c>
      <c r="C104" s="32">
        <f>+VLOOKUP($A104,MAGAZZINO!$B$2:$M$4838,3,FALSE)</f>
        <v/>
      </c>
      <c r="D104" s="17">
        <f>+VLOOKUP($A104,MAGAZZINO!$B$2:$M$4838,4,FALSE)</f>
        <v/>
      </c>
      <c r="E104" s="17">
        <f>+VLOOKUP($A104,MAGAZZINO!$B$2:$M$4838,5,FALSE)</f>
        <v/>
      </c>
      <c r="F104" s="17">
        <f>+VLOOKUP($A104,MAGAZZINO!$B$2:$M$4838,6,FALSE)</f>
        <v/>
      </c>
      <c r="G104" s="17">
        <f>+VLOOKUP($A104,MAGAZZINO!$B$2:$M$4838,7,FALSE)</f>
        <v/>
      </c>
      <c r="H104" s="17">
        <f>+VLOOKUP($A104,MAGAZZINO!$B$2:$M$4838,8,FALSE)</f>
        <v/>
      </c>
      <c r="I104" s="17">
        <f>+VLOOKUP($A104,MAGAZZINO!$B$2:$M$4838,9,FALSE)</f>
        <v/>
      </c>
      <c r="J104" s="17">
        <f>+VLOOKUP($A104,MAGAZZINO!$B$2:$M$4838,10,FALSE)</f>
        <v/>
      </c>
      <c r="K104" s="17">
        <f>+VLOOKUP($A104,MAGAZZINO!$B$2:$M$4838,11,FALSE)</f>
        <v/>
      </c>
      <c r="L104" s="44">
        <f>+VLOOKUP($A104,MAGAZZINO!$B$2:$M$4838,12,FALSE)</f>
        <v/>
      </c>
    </row>
    <row r="105" ht="36" customHeight="1">
      <c r="A105" s="30">
        <f>+REGISTRO!A105</f>
        <v/>
      </c>
      <c r="B105" s="31">
        <f>+VLOOKUP($A105,MAGAZZINO!$B$2:$M$4838,2,FALSE)</f>
        <v/>
      </c>
      <c r="C105" s="32">
        <f>+VLOOKUP($A105,MAGAZZINO!$B$2:$M$4838,3,FALSE)</f>
        <v/>
      </c>
      <c r="D105" s="17">
        <f>+VLOOKUP($A105,MAGAZZINO!$B$2:$M$4838,4,FALSE)</f>
        <v/>
      </c>
      <c r="E105" s="17">
        <f>+VLOOKUP($A105,MAGAZZINO!$B$2:$M$4838,5,FALSE)</f>
        <v/>
      </c>
      <c r="F105" s="17">
        <f>+VLOOKUP($A105,MAGAZZINO!$B$2:$M$4838,6,FALSE)</f>
        <v/>
      </c>
      <c r="G105" s="17">
        <f>+VLOOKUP($A105,MAGAZZINO!$B$2:$M$4838,7,FALSE)</f>
        <v/>
      </c>
      <c r="H105" s="17">
        <f>+VLOOKUP($A105,MAGAZZINO!$B$2:$M$4838,8,FALSE)</f>
        <v/>
      </c>
      <c r="I105" s="17">
        <f>+VLOOKUP($A105,MAGAZZINO!$B$2:$M$4838,9,FALSE)</f>
        <v/>
      </c>
      <c r="J105" s="17">
        <f>+VLOOKUP($A105,MAGAZZINO!$B$2:$M$4838,10,FALSE)</f>
        <v/>
      </c>
      <c r="K105" s="17">
        <f>+VLOOKUP($A105,MAGAZZINO!$B$2:$M$4838,11,FALSE)</f>
        <v/>
      </c>
      <c r="L105" s="44">
        <f>+VLOOKUP($A105,MAGAZZINO!$B$2:$M$4838,12,FALSE)</f>
        <v/>
      </c>
    </row>
    <row r="106" ht="36" customHeight="1">
      <c r="A106" s="30">
        <f>+REGISTRO!A106</f>
        <v/>
      </c>
      <c r="B106" s="31">
        <f>+VLOOKUP($A106,MAGAZZINO!$B$2:$M$4838,2,FALSE)</f>
        <v/>
      </c>
      <c r="C106" s="32">
        <f>+VLOOKUP($A106,MAGAZZINO!$B$2:$M$4838,3,FALSE)</f>
        <v/>
      </c>
      <c r="D106" s="17">
        <f>+VLOOKUP($A106,MAGAZZINO!$B$2:$M$4838,4,FALSE)</f>
        <v/>
      </c>
      <c r="E106" s="17">
        <f>+VLOOKUP($A106,MAGAZZINO!$B$2:$M$4838,5,FALSE)</f>
        <v/>
      </c>
      <c r="F106" s="17">
        <f>+VLOOKUP($A106,MAGAZZINO!$B$2:$M$4838,6,FALSE)</f>
        <v/>
      </c>
      <c r="G106" s="17">
        <f>+VLOOKUP($A106,MAGAZZINO!$B$2:$M$4838,7,FALSE)</f>
        <v/>
      </c>
      <c r="H106" s="17">
        <f>+VLOOKUP($A106,MAGAZZINO!$B$2:$M$4838,8,FALSE)</f>
        <v/>
      </c>
      <c r="I106" s="17">
        <f>+VLOOKUP($A106,MAGAZZINO!$B$2:$M$4838,9,FALSE)</f>
        <v/>
      </c>
      <c r="J106" s="17">
        <f>+VLOOKUP($A106,MAGAZZINO!$B$2:$M$4838,10,FALSE)</f>
        <v/>
      </c>
      <c r="K106" s="17">
        <f>+VLOOKUP($A106,MAGAZZINO!$B$2:$M$4838,11,FALSE)</f>
        <v/>
      </c>
      <c r="L106" s="44">
        <f>+VLOOKUP($A106,MAGAZZINO!$B$2:$M$4838,12,FALSE)</f>
        <v/>
      </c>
    </row>
    <row r="107" ht="36" customHeight="1">
      <c r="A107" s="30">
        <f>+REGISTRO!A107</f>
        <v/>
      </c>
      <c r="B107" s="31">
        <f>+VLOOKUP($A107,MAGAZZINO!$B$2:$M$4838,2,FALSE)</f>
        <v/>
      </c>
      <c r="C107" s="32">
        <f>+VLOOKUP($A107,MAGAZZINO!$B$2:$M$4838,3,FALSE)</f>
        <v/>
      </c>
      <c r="D107" s="17">
        <f>+VLOOKUP($A107,MAGAZZINO!$B$2:$M$4838,4,FALSE)</f>
        <v/>
      </c>
      <c r="E107" s="17">
        <f>+VLOOKUP($A107,MAGAZZINO!$B$2:$M$4838,5,FALSE)</f>
        <v/>
      </c>
      <c r="F107" s="17">
        <f>+VLOOKUP($A107,MAGAZZINO!$B$2:$M$4838,6,FALSE)</f>
        <v/>
      </c>
      <c r="G107" s="17">
        <f>+VLOOKUP($A107,MAGAZZINO!$B$2:$M$4838,7,FALSE)</f>
        <v/>
      </c>
      <c r="H107" s="17">
        <f>+VLOOKUP($A107,MAGAZZINO!$B$2:$M$4838,8,FALSE)</f>
        <v/>
      </c>
      <c r="I107" s="17">
        <f>+VLOOKUP($A107,MAGAZZINO!$B$2:$M$4838,9,FALSE)</f>
        <v/>
      </c>
      <c r="J107" s="17">
        <f>+VLOOKUP($A107,MAGAZZINO!$B$2:$M$4838,10,FALSE)</f>
        <v/>
      </c>
      <c r="K107" s="17">
        <f>+VLOOKUP($A107,MAGAZZINO!$B$2:$M$4838,11,FALSE)</f>
        <v/>
      </c>
      <c r="L107" s="44">
        <f>+VLOOKUP($A107,MAGAZZINO!$B$2:$M$4838,12,FALSE)</f>
        <v/>
      </c>
    </row>
    <row r="108" ht="36" customHeight="1">
      <c r="A108" s="30">
        <f>+REGISTRO!A108</f>
        <v/>
      </c>
      <c r="B108" s="31">
        <f>+VLOOKUP($A108,MAGAZZINO!$B$2:$M$4838,2,FALSE)</f>
        <v/>
      </c>
      <c r="C108" s="32">
        <f>+VLOOKUP($A108,MAGAZZINO!$B$2:$M$4838,3,FALSE)</f>
        <v/>
      </c>
      <c r="D108" s="17">
        <f>+VLOOKUP($A108,MAGAZZINO!$B$2:$M$4838,4,FALSE)</f>
        <v/>
      </c>
      <c r="E108" s="17">
        <f>+VLOOKUP($A108,MAGAZZINO!$B$2:$M$4838,5,FALSE)</f>
        <v/>
      </c>
      <c r="F108" s="17">
        <f>+VLOOKUP($A108,MAGAZZINO!$B$2:$M$4838,6,FALSE)</f>
        <v/>
      </c>
      <c r="G108" s="17">
        <f>+VLOOKUP($A108,MAGAZZINO!$B$2:$M$4838,7,FALSE)</f>
        <v/>
      </c>
      <c r="H108" s="17">
        <f>+VLOOKUP($A108,MAGAZZINO!$B$2:$M$4838,8,FALSE)</f>
        <v/>
      </c>
      <c r="I108" s="17">
        <f>+VLOOKUP($A108,MAGAZZINO!$B$2:$M$4838,9,FALSE)</f>
        <v/>
      </c>
      <c r="J108" s="17">
        <f>+VLOOKUP($A108,MAGAZZINO!$B$2:$M$4838,10,FALSE)</f>
        <v/>
      </c>
      <c r="K108" s="17">
        <f>+VLOOKUP($A108,MAGAZZINO!$B$2:$M$4838,11,FALSE)</f>
        <v/>
      </c>
      <c r="L108" s="44">
        <f>+VLOOKUP($A108,MAGAZZINO!$B$2:$M$4838,12,FALSE)</f>
        <v/>
      </c>
    </row>
    <row r="109" ht="36" customHeight="1">
      <c r="A109" s="30">
        <f>+REGISTRO!A109</f>
        <v/>
      </c>
      <c r="B109" s="31">
        <f>+VLOOKUP($A109,MAGAZZINO!$B$2:$M$4838,2,FALSE)</f>
        <v/>
      </c>
      <c r="C109" s="32">
        <f>+VLOOKUP($A109,MAGAZZINO!$B$2:$M$4838,3,FALSE)</f>
        <v/>
      </c>
      <c r="D109" s="17">
        <f>+VLOOKUP($A109,MAGAZZINO!$B$2:$M$4838,4,FALSE)</f>
        <v/>
      </c>
      <c r="E109" s="17">
        <f>+VLOOKUP($A109,MAGAZZINO!$B$2:$M$4838,5,FALSE)</f>
        <v/>
      </c>
      <c r="F109" s="17">
        <f>+VLOOKUP($A109,MAGAZZINO!$B$2:$M$4838,6,FALSE)</f>
        <v/>
      </c>
      <c r="G109" s="17">
        <f>+VLOOKUP($A109,MAGAZZINO!$B$2:$M$4838,7,FALSE)</f>
        <v/>
      </c>
      <c r="H109" s="17">
        <f>+VLOOKUP($A109,MAGAZZINO!$B$2:$M$4838,8,FALSE)</f>
        <v/>
      </c>
      <c r="I109" s="17">
        <f>+VLOOKUP($A109,MAGAZZINO!$B$2:$M$4838,9,FALSE)</f>
        <v/>
      </c>
      <c r="J109" s="17">
        <f>+VLOOKUP($A109,MAGAZZINO!$B$2:$M$4838,10,FALSE)</f>
        <v/>
      </c>
      <c r="K109" s="17">
        <f>+VLOOKUP($A109,MAGAZZINO!$B$2:$M$4838,11,FALSE)</f>
        <v/>
      </c>
      <c r="L109" s="44">
        <f>+VLOOKUP($A109,MAGAZZINO!$B$2:$M$4838,12,FALSE)</f>
        <v/>
      </c>
    </row>
    <row r="110" ht="36" customHeight="1">
      <c r="A110" s="30">
        <f>+REGISTRO!A110</f>
        <v/>
      </c>
      <c r="B110" s="31">
        <f>+VLOOKUP($A110,MAGAZZINO!$B$2:$M$4838,2,FALSE)</f>
        <v/>
      </c>
      <c r="C110" s="32">
        <f>+VLOOKUP($A110,MAGAZZINO!$B$2:$M$4838,3,FALSE)</f>
        <v/>
      </c>
      <c r="D110" s="17">
        <f>+VLOOKUP($A110,MAGAZZINO!$B$2:$M$4838,4,FALSE)</f>
        <v/>
      </c>
      <c r="E110" s="17">
        <f>+VLOOKUP($A110,MAGAZZINO!$B$2:$M$4838,5,FALSE)</f>
        <v/>
      </c>
      <c r="F110" s="17">
        <f>+VLOOKUP($A110,MAGAZZINO!$B$2:$M$4838,6,FALSE)</f>
        <v/>
      </c>
      <c r="G110" s="17">
        <f>+VLOOKUP($A110,MAGAZZINO!$B$2:$M$4838,7,FALSE)</f>
        <v/>
      </c>
      <c r="H110" s="17">
        <f>+VLOOKUP($A110,MAGAZZINO!$B$2:$M$4838,8,FALSE)</f>
        <v/>
      </c>
      <c r="I110" s="17">
        <f>+VLOOKUP($A110,MAGAZZINO!$B$2:$M$4838,9,FALSE)</f>
        <v/>
      </c>
      <c r="J110" s="17">
        <f>+VLOOKUP($A110,MAGAZZINO!$B$2:$M$4838,10,FALSE)</f>
        <v/>
      </c>
      <c r="K110" s="17">
        <f>+VLOOKUP($A110,MAGAZZINO!$B$2:$M$4838,11,FALSE)</f>
        <v/>
      </c>
      <c r="L110" s="44">
        <f>+VLOOKUP($A110,MAGAZZINO!$B$2:$M$4838,12,FALSE)</f>
        <v/>
      </c>
    </row>
    <row r="111" ht="36" customHeight="1">
      <c r="A111" s="30">
        <f>+REGISTRO!A111</f>
        <v/>
      </c>
      <c r="B111" s="31">
        <f>+VLOOKUP($A111,MAGAZZINO!$B$2:$M$4838,2,FALSE)</f>
        <v/>
      </c>
      <c r="C111" s="32">
        <f>+VLOOKUP($A111,MAGAZZINO!$B$2:$M$4838,3,FALSE)</f>
        <v/>
      </c>
      <c r="D111" s="17">
        <f>+VLOOKUP($A111,MAGAZZINO!$B$2:$M$4838,4,FALSE)</f>
        <v/>
      </c>
      <c r="E111" s="17">
        <f>+VLOOKUP($A111,MAGAZZINO!$B$2:$M$4838,5,FALSE)</f>
        <v/>
      </c>
      <c r="F111" s="17">
        <f>+VLOOKUP($A111,MAGAZZINO!$B$2:$M$4838,6,FALSE)</f>
        <v/>
      </c>
      <c r="G111" s="17">
        <f>+VLOOKUP($A111,MAGAZZINO!$B$2:$M$4838,7,FALSE)</f>
        <v/>
      </c>
      <c r="H111" s="17">
        <f>+VLOOKUP($A111,MAGAZZINO!$B$2:$M$4838,8,FALSE)</f>
        <v/>
      </c>
      <c r="I111" s="17">
        <f>+VLOOKUP($A111,MAGAZZINO!$B$2:$M$4838,9,FALSE)</f>
        <v/>
      </c>
      <c r="J111" s="17">
        <f>+VLOOKUP($A111,MAGAZZINO!$B$2:$M$4838,10,FALSE)</f>
        <v/>
      </c>
      <c r="K111" s="17">
        <f>+VLOOKUP($A111,MAGAZZINO!$B$2:$M$4838,11,FALSE)</f>
        <v/>
      </c>
      <c r="L111" s="44">
        <f>+VLOOKUP($A111,MAGAZZINO!$B$2:$M$4838,12,FALSE)</f>
        <v/>
      </c>
    </row>
    <row r="112" ht="36" customHeight="1">
      <c r="A112" s="30">
        <f>+REGISTRO!A112</f>
        <v/>
      </c>
      <c r="B112" s="31">
        <f>+VLOOKUP($A112,MAGAZZINO!$B$2:$M$4838,2,FALSE)</f>
        <v/>
      </c>
      <c r="C112" s="32">
        <f>+VLOOKUP($A112,MAGAZZINO!$B$2:$M$4838,3,FALSE)</f>
        <v/>
      </c>
      <c r="D112" s="17">
        <f>+VLOOKUP($A112,MAGAZZINO!$B$2:$M$4838,4,FALSE)</f>
        <v/>
      </c>
      <c r="E112" s="17">
        <f>+VLOOKUP($A112,MAGAZZINO!$B$2:$M$4838,5,FALSE)</f>
        <v/>
      </c>
      <c r="F112" s="17">
        <f>+VLOOKUP($A112,MAGAZZINO!$B$2:$M$4838,6,FALSE)</f>
        <v/>
      </c>
      <c r="G112" s="17">
        <f>+VLOOKUP($A112,MAGAZZINO!$B$2:$M$4838,7,FALSE)</f>
        <v/>
      </c>
      <c r="H112" s="17">
        <f>+VLOOKUP($A112,MAGAZZINO!$B$2:$M$4838,8,FALSE)</f>
        <v/>
      </c>
      <c r="I112" s="17">
        <f>+VLOOKUP($A112,MAGAZZINO!$B$2:$M$4838,9,FALSE)</f>
        <v/>
      </c>
      <c r="J112" s="17">
        <f>+VLOOKUP($A112,MAGAZZINO!$B$2:$M$4838,10,FALSE)</f>
        <v/>
      </c>
      <c r="K112" s="17">
        <f>+VLOOKUP($A112,MAGAZZINO!$B$2:$M$4838,11,FALSE)</f>
        <v/>
      </c>
      <c r="L112" s="44">
        <f>+VLOOKUP($A112,MAGAZZINO!$B$2:$M$4838,12,FALSE)</f>
        <v/>
      </c>
    </row>
    <row r="113" ht="36" customHeight="1">
      <c r="A113" s="30">
        <f>+REGISTRO!A113</f>
        <v/>
      </c>
      <c r="B113" s="31">
        <f>+VLOOKUP($A113,MAGAZZINO!$B$2:$M$4838,2,FALSE)</f>
        <v/>
      </c>
      <c r="C113" s="32">
        <f>+VLOOKUP($A113,MAGAZZINO!$B$2:$M$4838,3,FALSE)</f>
        <v/>
      </c>
      <c r="D113" s="17">
        <f>+VLOOKUP($A113,MAGAZZINO!$B$2:$M$4838,4,FALSE)</f>
        <v/>
      </c>
      <c r="E113" s="17">
        <f>+VLOOKUP($A113,MAGAZZINO!$B$2:$M$4838,5,FALSE)</f>
        <v/>
      </c>
      <c r="F113" s="17">
        <f>+VLOOKUP($A113,MAGAZZINO!$B$2:$M$4838,6,FALSE)</f>
        <v/>
      </c>
      <c r="G113" s="17">
        <f>+VLOOKUP($A113,MAGAZZINO!$B$2:$M$4838,7,FALSE)</f>
        <v/>
      </c>
      <c r="H113" s="17">
        <f>+VLOOKUP($A113,MAGAZZINO!$B$2:$M$4838,8,FALSE)</f>
        <v/>
      </c>
      <c r="I113" s="17">
        <f>+VLOOKUP($A113,MAGAZZINO!$B$2:$M$4838,9,FALSE)</f>
        <v/>
      </c>
      <c r="J113" s="17">
        <f>+VLOOKUP($A113,MAGAZZINO!$B$2:$M$4838,10,FALSE)</f>
        <v/>
      </c>
      <c r="K113" s="17">
        <f>+VLOOKUP($A113,MAGAZZINO!$B$2:$M$4838,11,FALSE)</f>
        <v/>
      </c>
      <c r="L113" s="44">
        <f>+VLOOKUP($A113,MAGAZZINO!$B$2:$M$4838,12,FALSE)</f>
        <v/>
      </c>
    </row>
    <row r="114" ht="36" customHeight="1">
      <c r="A114" s="30">
        <f>+REGISTRO!A114</f>
        <v/>
      </c>
      <c r="B114" s="31">
        <f>+VLOOKUP($A114,MAGAZZINO!$B$2:$M$4838,2,FALSE)</f>
        <v/>
      </c>
      <c r="C114" s="32">
        <f>+VLOOKUP($A114,MAGAZZINO!$B$2:$M$4838,3,FALSE)</f>
        <v/>
      </c>
      <c r="D114" s="17">
        <f>+VLOOKUP($A114,MAGAZZINO!$B$2:$M$4838,4,FALSE)</f>
        <v/>
      </c>
      <c r="E114" s="17">
        <f>+VLOOKUP($A114,MAGAZZINO!$B$2:$M$4838,5,FALSE)</f>
        <v/>
      </c>
      <c r="F114" s="17">
        <f>+VLOOKUP($A114,MAGAZZINO!$B$2:$M$4838,6,FALSE)</f>
        <v/>
      </c>
      <c r="G114" s="17">
        <f>+VLOOKUP($A114,MAGAZZINO!$B$2:$M$4838,7,FALSE)</f>
        <v/>
      </c>
      <c r="H114" s="17">
        <f>+VLOOKUP($A114,MAGAZZINO!$B$2:$M$4838,8,FALSE)</f>
        <v/>
      </c>
      <c r="I114" s="17">
        <f>+VLOOKUP($A114,MAGAZZINO!$B$2:$M$4838,9,FALSE)</f>
        <v/>
      </c>
      <c r="J114" s="17">
        <f>+VLOOKUP($A114,MAGAZZINO!$B$2:$M$4838,10,FALSE)</f>
        <v/>
      </c>
      <c r="K114" s="17">
        <f>+VLOOKUP($A114,MAGAZZINO!$B$2:$M$4838,11,FALSE)</f>
        <v/>
      </c>
      <c r="L114" s="44">
        <f>+VLOOKUP($A114,MAGAZZINO!$B$2:$M$4838,12,FALSE)</f>
        <v/>
      </c>
    </row>
    <row r="115" ht="36" customHeight="1">
      <c r="A115" s="30">
        <f>+REGISTRO!A115</f>
        <v/>
      </c>
      <c r="B115" s="31">
        <f>+VLOOKUP($A115,MAGAZZINO!$B$2:$M$4838,2,FALSE)</f>
        <v/>
      </c>
      <c r="C115" s="32">
        <f>+VLOOKUP($A115,MAGAZZINO!$B$2:$M$4838,3,FALSE)</f>
        <v/>
      </c>
      <c r="D115" s="17">
        <f>+VLOOKUP($A115,MAGAZZINO!$B$2:$M$4838,4,FALSE)</f>
        <v/>
      </c>
      <c r="E115" s="17">
        <f>+VLOOKUP($A115,MAGAZZINO!$B$2:$M$4838,5,FALSE)</f>
        <v/>
      </c>
      <c r="F115" s="17">
        <f>+VLOOKUP($A115,MAGAZZINO!$B$2:$M$4838,6,FALSE)</f>
        <v/>
      </c>
      <c r="G115" s="17">
        <f>+VLOOKUP($A115,MAGAZZINO!$B$2:$M$4838,7,FALSE)</f>
        <v/>
      </c>
      <c r="H115" s="17">
        <f>+VLOOKUP($A115,MAGAZZINO!$B$2:$M$4838,8,FALSE)</f>
        <v/>
      </c>
      <c r="I115" s="17">
        <f>+VLOOKUP($A115,MAGAZZINO!$B$2:$M$4838,9,FALSE)</f>
        <v/>
      </c>
      <c r="J115" s="17">
        <f>+VLOOKUP($A115,MAGAZZINO!$B$2:$M$4838,10,FALSE)</f>
        <v/>
      </c>
      <c r="K115" s="17">
        <f>+VLOOKUP($A115,MAGAZZINO!$B$2:$M$4838,11,FALSE)</f>
        <v/>
      </c>
      <c r="L115" s="44">
        <f>+VLOOKUP($A115,MAGAZZINO!$B$2:$M$4838,12,FALSE)</f>
        <v/>
      </c>
    </row>
    <row r="116" ht="36" customHeight="1">
      <c r="A116" s="30">
        <f>+REGISTRO!A116</f>
        <v/>
      </c>
      <c r="B116" s="31">
        <f>+VLOOKUP($A116,MAGAZZINO!$B$2:$M$4838,2,FALSE)</f>
        <v/>
      </c>
      <c r="C116" s="32">
        <f>+VLOOKUP($A116,MAGAZZINO!$B$2:$M$4838,3,FALSE)</f>
        <v/>
      </c>
      <c r="D116" s="17">
        <f>+VLOOKUP($A116,MAGAZZINO!$B$2:$M$4838,4,FALSE)</f>
        <v/>
      </c>
      <c r="E116" s="17">
        <f>+VLOOKUP($A116,MAGAZZINO!$B$2:$M$4838,5,FALSE)</f>
        <v/>
      </c>
      <c r="F116" s="17">
        <f>+VLOOKUP($A116,MAGAZZINO!$B$2:$M$4838,6,FALSE)</f>
        <v/>
      </c>
      <c r="G116" s="17">
        <f>+VLOOKUP($A116,MAGAZZINO!$B$2:$M$4838,7,FALSE)</f>
        <v/>
      </c>
      <c r="H116" s="17">
        <f>+VLOOKUP($A116,MAGAZZINO!$B$2:$M$4838,8,FALSE)</f>
        <v/>
      </c>
      <c r="I116" s="17">
        <f>+VLOOKUP($A116,MAGAZZINO!$B$2:$M$4838,9,FALSE)</f>
        <v/>
      </c>
      <c r="J116" s="17">
        <f>+VLOOKUP($A116,MAGAZZINO!$B$2:$M$4838,10,FALSE)</f>
        <v/>
      </c>
      <c r="K116" s="17">
        <f>+VLOOKUP($A116,MAGAZZINO!$B$2:$M$4838,11,FALSE)</f>
        <v/>
      </c>
      <c r="L116" s="44">
        <f>+VLOOKUP($A116,MAGAZZINO!$B$2:$M$4838,12,FALSE)</f>
        <v/>
      </c>
    </row>
    <row r="117" ht="36" customHeight="1">
      <c r="A117" s="30">
        <f>+REGISTRO!A117</f>
        <v/>
      </c>
      <c r="B117" s="31">
        <f>+VLOOKUP($A117,MAGAZZINO!$B$2:$M$4838,2,FALSE)</f>
        <v/>
      </c>
      <c r="C117" s="32">
        <f>+VLOOKUP($A117,MAGAZZINO!$B$2:$M$4838,3,FALSE)</f>
        <v/>
      </c>
      <c r="D117" s="17">
        <f>+VLOOKUP($A117,MAGAZZINO!$B$2:$M$4838,4,FALSE)</f>
        <v/>
      </c>
      <c r="E117" s="17">
        <f>+VLOOKUP($A117,MAGAZZINO!$B$2:$M$4838,5,FALSE)</f>
        <v/>
      </c>
      <c r="F117" s="17">
        <f>+VLOOKUP($A117,MAGAZZINO!$B$2:$M$4838,6,FALSE)</f>
        <v/>
      </c>
      <c r="G117" s="17">
        <f>+VLOOKUP($A117,MAGAZZINO!$B$2:$M$4838,7,FALSE)</f>
        <v/>
      </c>
      <c r="H117" s="17">
        <f>+VLOOKUP($A117,MAGAZZINO!$B$2:$M$4838,8,FALSE)</f>
        <v/>
      </c>
      <c r="I117" s="17">
        <f>+VLOOKUP($A117,MAGAZZINO!$B$2:$M$4838,9,FALSE)</f>
        <v/>
      </c>
      <c r="J117" s="17">
        <f>+VLOOKUP($A117,MAGAZZINO!$B$2:$M$4838,10,FALSE)</f>
        <v/>
      </c>
      <c r="K117" s="17">
        <f>+VLOOKUP($A117,MAGAZZINO!$B$2:$M$4838,11,FALSE)</f>
        <v/>
      </c>
      <c r="L117" s="44">
        <f>+VLOOKUP($A117,MAGAZZINO!$B$2:$M$4838,12,FALSE)</f>
        <v/>
      </c>
    </row>
    <row r="118" ht="36" customHeight="1">
      <c r="A118" s="30">
        <f>+REGISTRO!A118</f>
        <v/>
      </c>
      <c r="B118" s="31">
        <f>+VLOOKUP($A118,MAGAZZINO!$B$2:$M$4838,2,FALSE)</f>
        <v/>
      </c>
      <c r="C118" s="32">
        <f>+VLOOKUP($A118,MAGAZZINO!$B$2:$M$4838,3,FALSE)</f>
        <v/>
      </c>
      <c r="D118" s="17">
        <f>+VLOOKUP($A118,MAGAZZINO!$B$2:$M$4838,4,FALSE)</f>
        <v/>
      </c>
      <c r="E118" s="17">
        <f>+VLOOKUP($A118,MAGAZZINO!$B$2:$M$4838,5,FALSE)</f>
        <v/>
      </c>
      <c r="F118" s="17">
        <f>+VLOOKUP($A118,MAGAZZINO!$B$2:$M$4838,6,FALSE)</f>
        <v/>
      </c>
      <c r="G118" s="17">
        <f>+VLOOKUP($A118,MAGAZZINO!$B$2:$M$4838,7,FALSE)</f>
        <v/>
      </c>
      <c r="H118" s="17">
        <f>+VLOOKUP($A118,MAGAZZINO!$B$2:$M$4838,8,FALSE)</f>
        <v/>
      </c>
      <c r="I118" s="17">
        <f>+VLOOKUP($A118,MAGAZZINO!$B$2:$M$4838,9,FALSE)</f>
        <v/>
      </c>
      <c r="J118" s="17">
        <f>+VLOOKUP($A118,MAGAZZINO!$B$2:$M$4838,10,FALSE)</f>
        <v/>
      </c>
      <c r="K118" s="17">
        <f>+VLOOKUP($A118,MAGAZZINO!$B$2:$M$4838,11,FALSE)</f>
        <v/>
      </c>
      <c r="L118" s="44">
        <f>+VLOOKUP($A118,MAGAZZINO!$B$2:$M$4838,12,FALSE)</f>
        <v/>
      </c>
    </row>
    <row r="119" ht="36" customHeight="1">
      <c r="A119" s="30">
        <f>+REGISTRO!A119</f>
        <v/>
      </c>
      <c r="B119" s="31">
        <f>+VLOOKUP($A119,MAGAZZINO!$B$2:$M$4838,2,FALSE)</f>
        <v/>
      </c>
      <c r="C119" s="32">
        <f>+VLOOKUP($A119,MAGAZZINO!$B$2:$M$4838,3,FALSE)</f>
        <v/>
      </c>
      <c r="D119" s="17">
        <f>+VLOOKUP($A119,MAGAZZINO!$B$2:$M$4838,4,FALSE)</f>
        <v/>
      </c>
      <c r="E119" s="17">
        <f>+VLOOKUP($A119,MAGAZZINO!$B$2:$M$4838,5,FALSE)</f>
        <v/>
      </c>
      <c r="F119" s="17">
        <f>+VLOOKUP($A119,MAGAZZINO!$B$2:$M$4838,6,FALSE)</f>
        <v/>
      </c>
      <c r="G119" s="17">
        <f>+VLOOKUP($A119,MAGAZZINO!$B$2:$M$4838,7,FALSE)</f>
        <v/>
      </c>
      <c r="H119" s="17">
        <f>+VLOOKUP($A119,MAGAZZINO!$B$2:$M$4838,8,FALSE)</f>
        <v/>
      </c>
      <c r="I119" s="17">
        <f>+VLOOKUP($A119,MAGAZZINO!$B$2:$M$4838,9,FALSE)</f>
        <v/>
      </c>
      <c r="J119" s="17">
        <f>+VLOOKUP($A119,MAGAZZINO!$B$2:$M$4838,10,FALSE)</f>
        <v/>
      </c>
      <c r="K119" s="17">
        <f>+VLOOKUP($A119,MAGAZZINO!$B$2:$M$4838,11,FALSE)</f>
        <v/>
      </c>
      <c r="L119" s="44">
        <f>+VLOOKUP($A119,MAGAZZINO!$B$2:$M$4838,12,FALSE)</f>
        <v/>
      </c>
    </row>
    <row r="120" ht="36" customHeight="1">
      <c r="A120" s="30">
        <f>+REGISTRO!A120</f>
        <v/>
      </c>
      <c r="B120" s="31">
        <f>+VLOOKUP($A120,MAGAZZINO!$B$2:$M$4838,2,FALSE)</f>
        <v/>
      </c>
      <c r="C120" s="32">
        <f>+VLOOKUP($A120,MAGAZZINO!$B$2:$M$4838,3,FALSE)</f>
        <v/>
      </c>
      <c r="D120" s="17">
        <f>+VLOOKUP($A120,MAGAZZINO!$B$2:$M$4838,4,FALSE)</f>
        <v/>
      </c>
      <c r="E120" s="17">
        <f>+VLOOKUP($A120,MAGAZZINO!$B$2:$M$4838,5,FALSE)</f>
        <v/>
      </c>
      <c r="F120" s="17">
        <f>+VLOOKUP($A120,MAGAZZINO!$B$2:$M$4838,6,FALSE)</f>
        <v/>
      </c>
      <c r="G120" s="17">
        <f>+VLOOKUP($A120,MAGAZZINO!$B$2:$M$4838,7,FALSE)</f>
        <v/>
      </c>
      <c r="H120" s="17">
        <f>+VLOOKUP($A120,MAGAZZINO!$B$2:$M$4838,8,FALSE)</f>
        <v/>
      </c>
      <c r="I120" s="17">
        <f>+VLOOKUP($A120,MAGAZZINO!$B$2:$M$4838,9,FALSE)</f>
        <v/>
      </c>
      <c r="J120" s="17">
        <f>+VLOOKUP($A120,MAGAZZINO!$B$2:$M$4838,10,FALSE)</f>
        <v/>
      </c>
      <c r="K120" s="17">
        <f>+VLOOKUP($A120,MAGAZZINO!$B$2:$M$4838,11,FALSE)</f>
        <v/>
      </c>
      <c r="L120" s="44">
        <f>+VLOOKUP($A120,MAGAZZINO!$B$2:$M$4838,12,FALSE)</f>
        <v/>
      </c>
    </row>
    <row r="121" ht="36" customHeight="1">
      <c r="A121" s="30">
        <f>+REGISTRO!A121</f>
        <v/>
      </c>
      <c r="B121" s="31">
        <f>+VLOOKUP($A121,MAGAZZINO!$B$2:$M$4838,2,FALSE)</f>
        <v/>
      </c>
      <c r="C121" s="32">
        <f>+VLOOKUP($A121,MAGAZZINO!$B$2:$M$4838,3,FALSE)</f>
        <v/>
      </c>
      <c r="D121" s="17">
        <f>+VLOOKUP($A121,MAGAZZINO!$B$2:$M$4838,4,FALSE)</f>
        <v/>
      </c>
      <c r="E121" s="17">
        <f>+VLOOKUP($A121,MAGAZZINO!$B$2:$M$4838,5,FALSE)</f>
        <v/>
      </c>
      <c r="F121" s="17">
        <f>+VLOOKUP($A121,MAGAZZINO!$B$2:$M$4838,6,FALSE)</f>
        <v/>
      </c>
      <c r="G121" s="17">
        <f>+VLOOKUP($A121,MAGAZZINO!$B$2:$M$4838,7,FALSE)</f>
        <v/>
      </c>
      <c r="H121" s="17">
        <f>+VLOOKUP($A121,MAGAZZINO!$B$2:$M$4838,8,FALSE)</f>
        <v/>
      </c>
      <c r="I121" s="17">
        <f>+VLOOKUP($A121,MAGAZZINO!$B$2:$M$4838,9,FALSE)</f>
        <v/>
      </c>
      <c r="J121" s="17">
        <f>+VLOOKUP($A121,MAGAZZINO!$B$2:$M$4838,10,FALSE)</f>
        <v/>
      </c>
      <c r="K121" s="17">
        <f>+VLOOKUP($A121,MAGAZZINO!$B$2:$M$4838,11,FALSE)</f>
        <v/>
      </c>
      <c r="L121" s="44">
        <f>+VLOOKUP($A121,MAGAZZINO!$B$2:$M$4838,12,FALSE)</f>
        <v/>
      </c>
    </row>
    <row r="122" ht="36" customHeight="1">
      <c r="A122" s="30">
        <f>+REGISTRO!A122</f>
        <v/>
      </c>
      <c r="B122" s="31">
        <f>+VLOOKUP($A122,MAGAZZINO!$B$2:$M$4838,2,FALSE)</f>
        <v/>
      </c>
      <c r="C122" s="32">
        <f>+VLOOKUP($A122,MAGAZZINO!$B$2:$M$4838,3,FALSE)</f>
        <v/>
      </c>
      <c r="D122" s="17">
        <f>+VLOOKUP($A122,MAGAZZINO!$B$2:$M$4838,4,FALSE)</f>
        <v/>
      </c>
      <c r="E122" s="17">
        <f>+VLOOKUP($A122,MAGAZZINO!$B$2:$M$4838,5,FALSE)</f>
        <v/>
      </c>
      <c r="F122" s="17">
        <f>+VLOOKUP($A122,MAGAZZINO!$B$2:$M$4838,6,FALSE)</f>
        <v/>
      </c>
      <c r="G122" s="17">
        <f>+VLOOKUP($A122,MAGAZZINO!$B$2:$M$4838,7,FALSE)</f>
        <v/>
      </c>
      <c r="H122" s="17">
        <f>+VLOOKUP($A122,MAGAZZINO!$B$2:$M$4838,8,FALSE)</f>
        <v/>
      </c>
      <c r="I122" s="17">
        <f>+VLOOKUP($A122,MAGAZZINO!$B$2:$M$4838,9,FALSE)</f>
        <v/>
      </c>
      <c r="J122" s="17">
        <f>+VLOOKUP($A122,MAGAZZINO!$B$2:$M$4838,10,FALSE)</f>
        <v/>
      </c>
      <c r="K122" s="17">
        <f>+VLOOKUP($A122,MAGAZZINO!$B$2:$M$4838,11,FALSE)</f>
        <v/>
      </c>
      <c r="L122" s="44">
        <f>+VLOOKUP($A122,MAGAZZINO!$B$2:$M$4838,12,FALSE)</f>
        <v/>
      </c>
    </row>
    <row r="123" ht="36" customHeight="1">
      <c r="A123" s="30">
        <f>+REGISTRO!A123</f>
        <v/>
      </c>
      <c r="B123" s="31">
        <f>+VLOOKUP($A123,MAGAZZINO!$B$2:$M$4838,2,FALSE)</f>
        <v/>
      </c>
      <c r="C123" s="32">
        <f>+VLOOKUP($A123,MAGAZZINO!$B$2:$M$4838,3,FALSE)</f>
        <v/>
      </c>
      <c r="D123" s="17">
        <f>+VLOOKUP($A123,MAGAZZINO!$B$2:$M$4838,4,FALSE)</f>
        <v/>
      </c>
      <c r="E123" s="17">
        <f>+VLOOKUP($A123,MAGAZZINO!$B$2:$M$4838,5,FALSE)</f>
        <v/>
      </c>
      <c r="F123" s="17">
        <f>+VLOOKUP($A123,MAGAZZINO!$B$2:$M$4838,6,FALSE)</f>
        <v/>
      </c>
      <c r="G123" s="17">
        <f>+VLOOKUP($A123,MAGAZZINO!$B$2:$M$4838,7,FALSE)</f>
        <v/>
      </c>
      <c r="H123" s="17">
        <f>+VLOOKUP($A123,MAGAZZINO!$B$2:$M$4838,8,FALSE)</f>
        <v/>
      </c>
      <c r="I123" s="17">
        <f>+VLOOKUP($A123,MAGAZZINO!$B$2:$M$4838,9,FALSE)</f>
        <v/>
      </c>
      <c r="J123" s="17">
        <f>+VLOOKUP($A123,MAGAZZINO!$B$2:$M$4838,10,FALSE)</f>
        <v/>
      </c>
      <c r="K123" s="17">
        <f>+VLOOKUP($A123,MAGAZZINO!$B$2:$M$4838,11,FALSE)</f>
        <v/>
      </c>
      <c r="L123" s="44">
        <f>+VLOOKUP($A123,MAGAZZINO!$B$2:$M$4838,12,FALSE)</f>
        <v/>
      </c>
    </row>
    <row r="124" ht="36" customHeight="1">
      <c r="A124" s="30">
        <f>+REGISTRO!A124</f>
        <v/>
      </c>
      <c r="B124" s="31">
        <f>+VLOOKUP($A124,MAGAZZINO!$B$2:$M$4838,2,FALSE)</f>
        <v/>
      </c>
      <c r="C124" s="32">
        <f>+VLOOKUP($A124,MAGAZZINO!$B$2:$M$4838,3,FALSE)</f>
        <v/>
      </c>
      <c r="D124" s="17">
        <f>+VLOOKUP($A124,MAGAZZINO!$B$2:$M$4838,4,FALSE)</f>
        <v/>
      </c>
      <c r="E124" s="17">
        <f>+VLOOKUP($A124,MAGAZZINO!$B$2:$M$4838,5,FALSE)</f>
        <v/>
      </c>
      <c r="F124" s="17">
        <f>+VLOOKUP($A124,MAGAZZINO!$B$2:$M$4838,6,FALSE)</f>
        <v/>
      </c>
      <c r="G124" s="17">
        <f>+VLOOKUP($A124,MAGAZZINO!$B$2:$M$4838,7,FALSE)</f>
        <v/>
      </c>
      <c r="H124" s="17">
        <f>+VLOOKUP($A124,MAGAZZINO!$B$2:$M$4838,8,FALSE)</f>
        <v/>
      </c>
      <c r="I124" s="17">
        <f>+VLOOKUP($A124,MAGAZZINO!$B$2:$M$4838,9,FALSE)</f>
        <v/>
      </c>
      <c r="J124" s="17">
        <f>+VLOOKUP($A124,MAGAZZINO!$B$2:$M$4838,10,FALSE)</f>
        <v/>
      </c>
      <c r="K124" s="17">
        <f>+VLOOKUP($A124,MAGAZZINO!$B$2:$M$4838,11,FALSE)</f>
        <v/>
      </c>
      <c r="L124" s="44">
        <f>+VLOOKUP($A124,MAGAZZINO!$B$2:$M$4838,12,FALSE)</f>
        <v/>
      </c>
    </row>
    <row r="125" ht="36" customHeight="1">
      <c r="A125" s="30">
        <f>+REGISTRO!A125</f>
        <v/>
      </c>
      <c r="B125" s="31">
        <f>+VLOOKUP($A125,MAGAZZINO!$B$2:$M$4838,2,FALSE)</f>
        <v/>
      </c>
      <c r="C125" s="32">
        <f>+VLOOKUP($A125,MAGAZZINO!$B$2:$M$4838,3,FALSE)</f>
        <v/>
      </c>
      <c r="D125" s="17">
        <f>+VLOOKUP($A125,MAGAZZINO!$B$2:$M$4838,4,FALSE)</f>
        <v/>
      </c>
      <c r="E125" s="17">
        <f>+VLOOKUP($A125,MAGAZZINO!$B$2:$M$4838,5,FALSE)</f>
        <v/>
      </c>
      <c r="F125" s="17">
        <f>+VLOOKUP($A125,MAGAZZINO!$B$2:$M$4838,6,FALSE)</f>
        <v/>
      </c>
      <c r="G125" s="17">
        <f>+VLOOKUP($A125,MAGAZZINO!$B$2:$M$4838,7,FALSE)</f>
        <v/>
      </c>
      <c r="H125" s="17">
        <f>+VLOOKUP($A125,MAGAZZINO!$B$2:$M$4838,8,FALSE)</f>
        <v/>
      </c>
      <c r="I125" s="17">
        <f>+VLOOKUP($A125,MAGAZZINO!$B$2:$M$4838,9,FALSE)</f>
        <v/>
      </c>
      <c r="J125" s="17">
        <f>+VLOOKUP($A125,MAGAZZINO!$B$2:$M$4838,10,FALSE)</f>
        <v/>
      </c>
      <c r="K125" s="17">
        <f>+VLOOKUP($A125,MAGAZZINO!$B$2:$M$4838,11,FALSE)</f>
        <v/>
      </c>
      <c r="L125" s="44">
        <f>+VLOOKUP($A125,MAGAZZINO!$B$2:$M$4838,12,FALSE)</f>
        <v/>
      </c>
    </row>
    <row r="126" ht="36" customHeight="1">
      <c r="A126" s="30">
        <f>+REGISTRO!A126</f>
        <v/>
      </c>
      <c r="B126" s="31">
        <f>+VLOOKUP($A126,MAGAZZINO!$B$2:$M$4838,2,FALSE)</f>
        <v/>
      </c>
      <c r="C126" s="32">
        <f>+VLOOKUP($A126,MAGAZZINO!$B$2:$M$4838,3,FALSE)</f>
        <v/>
      </c>
      <c r="D126" s="17">
        <f>+VLOOKUP($A126,MAGAZZINO!$B$2:$M$4838,4,FALSE)</f>
        <v/>
      </c>
      <c r="E126" s="17">
        <f>+VLOOKUP($A126,MAGAZZINO!$B$2:$M$4838,5,FALSE)</f>
        <v/>
      </c>
      <c r="F126" s="17">
        <f>+VLOOKUP($A126,MAGAZZINO!$B$2:$M$4838,6,FALSE)</f>
        <v/>
      </c>
      <c r="G126" s="17">
        <f>+VLOOKUP($A126,MAGAZZINO!$B$2:$M$4838,7,FALSE)</f>
        <v/>
      </c>
      <c r="H126" s="17">
        <f>+VLOOKUP($A126,MAGAZZINO!$B$2:$M$4838,8,FALSE)</f>
        <v/>
      </c>
      <c r="I126" s="17">
        <f>+VLOOKUP($A126,MAGAZZINO!$B$2:$M$4838,9,FALSE)</f>
        <v/>
      </c>
      <c r="J126" s="17">
        <f>+VLOOKUP($A126,MAGAZZINO!$B$2:$M$4838,10,FALSE)</f>
        <v/>
      </c>
      <c r="K126" s="17">
        <f>+VLOOKUP($A126,MAGAZZINO!$B$2:$M$4838,11,FALSE)</f>
        <v/>
      </c>
      <c r="L126" s="44">
        <f>+VLOOKUP($A126,MAGAZZINO!$B$2:$M$4838,12,FALSE)</f>
        <v/>
      </c>
    </row>
    <row r="127" ht="36" customHeight="1">
      <c r="A127" s="30">
        <f>+REGISTRO!A127</f>
        <v/>
      </c>
      <c r="B127" s="31">
        <f>+VLOOKUP($A127,MAGAZZINO!$B$2:$M$4838,2,FALSE)</f>
        <v/>
      </c>
      <c r="C127" s="32">
        <f>+VLOOKUP($A127,MAGAZZINO!$B$2:$M$4838,3,FALSE)</f>
        <v/>
      </c>
      <c r="D127" s="17">
        <f>+VLOOKUP($A127,MAGAZZINO!$B$2:$M$4838,4,FALSE)</f>
        <v/>
      </c>
      <c r="E127" s="17">
        <f>+VLOOKUP($A127,MAGAZZINO!$B$2:$M$4838,5,FALSE)</f>
        <v/>
      </c>
      <c r="F127" s="17">
        <f>+VLOOKUP($A127,MAGAZZINO!$B$2:$M$4838,6,FALSE)</f>
        <v/>
      </c>
      <c r="G127" s="17">
        <f>+VLOOKUP($A127,MAGAZZINO!$B$2:$M$4838,7,FALSE)</f>
        <v/>
      </c>
      <c r="H127" s="17">
        <f>+VLOOKUP($A127,MAGAZZINO!$B$2:$M$4838,8,FALSE)</f>
        <v/>
      </c>
      <c r="I127" s="17">
        <f>+VLOOKUP($A127,MAGAZZINO!$B$2:$M$4838,9,FALSE)</f>
        <v/>
      </c>
      <c r="J127" s="17">
        <f>+VLOOKUP($A127,MAGAZZINO!$B$2:$M$4838,10,FALSE)</f>
        <v/>
      </c>
      <c r="K127" s="17">
        <f>+VLOOKUP($A127,MAGAZZINO!$B$2:$M$4838,11,FALSE)</f>
        <v/>
      </c>
      <c r="L127" s="44">
        <f>+VLOOKUP($A127,MAGAZZINO!$B$2:$M$4838,12,FALSE)</f>
        <v/>
      </c>
    </row>
    <row r="128" ht="36" customHeight="1">
      <c r="A128" s="30">
        <f>+REGISTRO!A128</f>
        <v/>
      </c>
      <c r="B128" s="31">
        <f>+VLOOKUP($A128,MAGAZZINO!$B$2:$M$4838,2,FALSE)</f>
        <v/>
      </c>
      <c r="C128" s="32">
        <f>+VLOOKUP($A128,MAGAZZINO!$B$2:$M$4838,3,FALSE)</f>
        <v/>
      </c>
      <c r="D128" s="17">
        <f>+VLOOKUP($A128,MAGAZZINO!$B$2:$M$4838,4,FALSE)</f>
        <v/>
      </c>
      <c r="E128" s="17">
        <f>+VLOOKUP($A128,MAGAZZINO!$B$2:$M$4838,5,FALSE)</f>
        <v/>
      </c>
      <c r="F128" s="17">
        <f>+VLOOKUP($A128,MAGAZZINO!$B$2:$M$4838,6,FALSE)</f>
        <v/>
      </c>
      <c r="G128" s="17">
        <f>+VLOOKUP($A128,MAGAZZINO!$B$2:$M$4838,7,FALSE)</f>
        <v/>
      </c>
      <c r="H128" s="17">
        <f>+VLOOKUP($A128,MAGAZZINO!$B$2:$M$4838,8,FALSE)</f>
        <v/>
      </c>
      <c r="I128" s="17">
        <f>+VLOOKUP($A128,MAGAZZINO!$B$2:$M$4838,9,FALSE)</f>
        <v/>
      </c>
      <c r="J128" s="17">
        <f>+VLOOKUP($A128,MAGAZZINO!$B$2:$M$4838,10,FALSE)</f>
        <v/>
      </c>
      <c r="K128" s="17">
        <f>+VLOOKUP($A128,MAGAZZINO!$B$2:$M$4838,11,FALSE)</f>
        <v/>
      </c>
      <c r="L128" s="44">
        <f>+VLOOKUP($A128,MAGAZZINO!$B$2:$M$4838,12,FALSE)</f>
        <v/>
      </c>
    </row>
    <row r="129" ht="36" customHeight="1">
      <c r="A129" s="30">
        <f>+REGISTRO!A129</f>
        <v/>
      </c>
      <c r="B129" s="31">
        <f>+VLOOKUP($A129,MAGAZZINO!$B$2:$M$4838,2,FALSE)</f>
        <v/>
      </c>
      <c r="C129" s="32">
        <f>+VLOOKUP($A129,MAGAZZINO!$B$2:$M$4838,3,FALSE)</f>
        <v/>
      </c>
      <c r="D129" s="17">
        <f>+VLOOKUP($A129,MAGAZZINO!$B$2:$M$4838,4,FALSE)</f>
        <v/>
      </c>
      <c r="E129" s="17">
        <f>+VLOOKUP($A129,MAGAZZINO!$B$2:$M$4838,5,FALSE)</f>
        <v/>
      </c>
      <c r="F129" s="17">
        <f>+VLOOKUP($A129,MAGAZZINO!$B$2:$M$4838,6,FALSE)</f>
        <v/>
      </c>
      <c r="G129" s="17">
        <f>+VLOOKUP($A129,MAGAZZINO!$B$2:$M$4838,7,FALSE)</f>
        <v/>
      </c>
      <c r="H129" s="17">
        <f>+VLOOKUP($A129,MAGAZZINO!$B$2:$M$4838,8,FALSE)</f>
        <v/>
      </c>
      <c r="I129" s="17">
        <f>+VLOOKUP($A129,MAGAZZINO!$B$2:$M$4838,9,FALSE)</f>
        <v/>
      </c>
      <c r="J129" s="17">
        <f>+VLOOKUP($A129,MAGAZZINO!$B$2:$M$4838,10,FALSE)</f>
        <v/>
      </c>
      <c r="K129" s="17">
        <f>+VLOOKUP($A129,MAGAZZINO!$B$2:$M$4838,11,FALSE)</f>
        <v/>
      </c>
      <c r="L129" s="44">
        <f>+VLOOKUP($A129,MAGAZZINO!$B$2:$M$4838,12,FALSE)</f>
        <v/>
      </c>
    </row>
    <row r="130" ht="36" customHeight="1">
      <c r="A130" s="30">
        <f>+REGISTRO!A130</f>
        <v/>
      </c>
      <c r="B130" s="31">
        <f>+VLOOKUP($A130,MAGAZZINO!$B$2:$M$4838,2,FALSE)</f>
        <v/>
      </c>
      <c r="C130" s="32">
        <f>+VLOOKUP($A130,MAGAZZINO!$B$2:$M$4838,3,FALSE)</f>
        <v/>
      </c>
      <c r="D130" s="17">
        <f>+VLOOKUP($A130,MAGAZZINO!$B$2:$M$4838,4,FALSE)</f>
        <v/>
      </c>
      <c r="E130" s="17">
        <f>+VLOOKUP($A130,MAGAZZINO!$B$2:$M$4838,5,FALSE)</f>
        <v/>
      </c>
      <c r="F130" s="17">
        <f>+VLOOKUP($A130,MAGAZZINO!$B$2:$M$4838,6,FALSE)</f>
        <v/>
      </c>
      <c r="G130" s="17">
        <f>+VLOOKUP($A130,MAGAZZINO!$B$2:$M$4838,7,FALSE)</f>
        <v/>
      </c>
      <c r="H130" s="17">
        <f>+VLOOKUP($A130,MAGAZZINO!$B$2:$M$4838,8,FALSE)</f>
        <v/>
      </c>
      <c r="I130" s="17">
        <f>+VLOOKUP($A130,MAGAZZINO!$B$2:$M$4838,9,FALSE)</f>
        <v/>
      </c>
      <c r="J130" s="17">
        <f>+VLOOKUP($A130,MAGAZZINO!$B$2:$M$4838,10,FALSE)</f>
        <v/>
      </c>
      <c r="K130" s="17">
        <f>+VLOOKUP($A130,MAGAZZINO!$B$2:$M$4838,11,FALSE)</f>
        <v/>
      </c>
      <c r="L130" s="44">
        <f>+VLOOKUP($A130,MAGAZZINO!$B$2:$M$4838,12,FALSE)</f>
        <v/>
      </c>
    </row>
    <row r="131" ht="36" customHeight="1">
      <c r="A131" s="30">
        <f>+REGISTRO!A131</f>
        <v/>
      </c>
      <c r="B131" s="31">
        <f>+VLOOKUP($A131,MAGAZZINO!$B$2:$M$4838,2,FALSE)</f>
        <v/>
      </c>
      <c r="C131" s="32">
        <f>+VLOOKUP($A131,MAGAZZINO!$B$2:$M$4838,3,FALSE)</f>
        <v/>
      </c>
      <c r="D131" s="17">
        <f>+VLOOKUP($A131,MAGAZZINO!$B$2:$M$4838,4,FALSE)</f>
        <v/>
      </c>
      <c r="E131" s="17">
        <f>+VLOOKUP($A131,MAGAZZINO!$B$2:$M$4838,5,FALSE)</f>
        <v/>
      </c>
      <c r="F131" s="17">
        <f>+VLOOKUP($A131,MAGAZZINO!$B$2:$M$4838,6,FALSE)</f>
        <v/>
      </c>
      <c r="G131" s="17">
        <f>+VLOOKUP($A131,MAGAZZINO!$B$2:$M$4838,7,FALSE)</f>
        <v/>
      </c>
      <c r="H131" s="17">
        <f>+VLOOKUP($A131,MAGAZZINO!$B$2:$M$4838,8,FALSE)</f>
        <v/>
      </c>
      <c r="I131" s="17">
        <f>+VLOOKUP($A131,MAGAZZINO!$B$2:$M$4838,9,FALSE)</f>
        <v/>
      </c>
      <c r="J131" s="17">
        <f>+VLOOKUP($A131,MAGAZZINO!$B$2:$M$4838,10,FALSE)</f>
        <v/>
      </c>
      <c r="K131" s="17">
        <f>+VLOOKUP($A131,MAGAZZINO!$B$2:$M$4838,11,FALSE)</f>
        <v/>
      </c>
      <c r="L131" s="44">
        <f>+VLOOKUP($A131,MAGAZZINO!$B$2:$M$4838,12,FALSE)</f>
        <v/>
      </c>
    </row>
    <row r="132" ht="36" customHeight="1">
      <c r="A132" s="30">
        <f>+REGISTRO!A132</f>
        <v/>
      </c>
      <c r="B132" s="31">
        <f>+VLOOKUP($A132,MAGAZZINO!$B$2:$M$4838,2,FALSE)</f>
        <v/>
      </c>
      <c r="C132" s="32">
        <f>+VLOOKUP($A132,MAGAZZINO!$B$2:$M$4838,3,FALSE)</f>
        <v/>
      </c>
      <c r="D132" s="17">
        <f>+VLOOKUP($A132,MAGAZZINO!$B$2:$M$4838,4,FALSE)</f>
        <v/>
      </c>
      <c r="E132" s="17">
        <f>+VLOOKUP($A132,MAGAZZINO!$B$2:$M$4838,5,FALSE)</f>
        <v/>
      </c>
      <c r="F132" s="17">
        <f>+VLOOKUP($A132,MAGAZZINO!$B$2:$M$4838,6,FALSE)</f>
        <v/>
      </c>
      <c r="G132" s="17">
        <f>+VLOOKUP($A132,MAGAZZINO!$B$2:$M$4838,7,FALSE)</f>
        <v/>
      </c>
      <c r="H132" s="17">
        <f>+VLOOKUP($A132,MAGAZZINO!$B$2:$M$4838,8,FALSE)</f>
        <v/>
      </c>
      <c r="I132" s="17">
        <f>+VLOOKUP($A132,MAGAZZINO!$B$2:$M$4838,9,FALSE)</f>
        <v/>
      </c>
      <c r="J132" s="17">
        <f>+VLOOKUP($A132,MAGAZZINO!$B$2:$M$4838,10,FALSE)</f>
        <v/>
      </c>
      <c r="K132" s="17">
        <f>+VLOOKUP($A132,MAGAZZINO!$B$2:$M$4838,11,FALSE)</f>
        <v/>
      </c>
      <c r="L132" s="44">
        <f>+VLOOKUP($A132,MAGAZZINO!$B$2:$M$4838,12,FALSE)</f>
        <v/>
      </c>
    </row>
    <row r="133" ht="36" customHeight="1">
      <c r="A133" s="30">
        <f>+REGISTRO!A133</f>
        <v/>
      </c>
      <c r="B133" s="31">
        <f>+VLOOKUP($A133,MAGAZZINO!$B$2:$M$4838,2,FALSE)</f>
        <v/>
      </c>
      <c r="C133" s="32">
        <f>+VLOOKUP($A133,MAGAZZINO!$B$2:$M$4838,3,FALSE)</f>
        <v/>
      </c>
      <c r="D133" s="17">
        <f>+VLOOKUP($A133,MAGAZZINO!$B$2:$M$4838,4,FALSE)</f>
        <v/>
      </c>
      <c r="E133" s="17">
        <f>+VLOOKUP($A133,MAGAZZINO!$B$2:$M$4838,5,FALSE)</f>
        <v/>
      </c>
      <c r="F133" s="17">
        <f>+VLOOKUP($A133,MAGAZZINO!$B$2:$M$4838,6,FALSE)</f>
        <v/>
      </c>
      <c r="G133" s="17">
        <f>+VLOOKUP($A133,MAGAZZINO!$B$2:$M$4838,7,FALSE)</f>
        <v/>
      </c>
      <c r="H133" s="17">
        <f>+VLOOKUP($A133,MAGAZZINO!$B$2:$M$4838,8,FALSE)</f>
        <v/>
      </c>
      <c r="I133" s="17">
        <f>+VLOOKUP($A133,MAGAZZINO!$B$2:$M$4838,9,FALSE)</f>
        <v/>
      </c>
      <c r="J133" s="17">
        <f>+VLOOKUP($A133,MAGAZZINO!$B$2:$M$4838,10,FALSE)</f>
        <v/>
      </c>
      <c r="K133" s="17">
        <f>+VLOOKUP($A133,MAGAZZINO!$B$2:$M$4838,11,FALSE)</f>
        <v/>
      </c>
      <c r="L133" s="44">
        <f>+VLOOKUP($A133,MAGAZZINO!$B$2:$M$4838,12,FALSE)</f>
        <v/>
      </c>
    </row>
    <row r="134" ht="36" customHeight="1">
      <c r="A134" s="30">
        <f>+REGISTRO!A134</f>
        <v/>
      </c>
      <c r="B134" s="31">
        <f>+VLOOKUP($A134,MAGAZZINO!$B$2:$M$4838,2,FALSE)</f>
        <v/>
      </c>
      <c r="C134" s="32">
        <f>+VLOOKUP($A134,MAGAZZINO!$B$2:$M$4838,3,FALSE)</f>
        <v/>
      </c>
      <c r="D134" s="17">
        <f>+VLOOKUP($A134,MAGAZZINO!$B$2:$M$4838,4,FALSE)</f>
        <v/>
      </c>
      <c r="E134" s="17">
        <f>+VLOOKUP($A134,MAGAZZINO!$B$2:$M$4838,5,FALSE)</f>
        <v/>
      </c>
      <c r="F134" s="17">
        <f>+VLOOKUP($A134,MAGAZZINO!$B$2:$M$4838,6,FALSE)</f>
        <v/>
      </c>
      <c r="G134" s="17">
        <f>+VLOOKUP($A134,MAGAZZINO!$B$2:$M$4838,7,FALSE)</f>
        <v/>
      </c>
      <c r="H134" s="17">
        <f>+VLOOKUP($A134,MAGAZZINO!$B$2:$M$4838,8,FALSE)</f>
        <v/>
      </c>
      <c r="I134" s="17">
        <f>+VLOOKUP($A134,MAGAZZINO!$B$2:$M$4838,9,FALSE)</f>
        <v/>
      </c>
      <c r="J134" s="17">
        <f>+VLOOKUP($A134,MAGAZZINO!$B$2:$M$4838,10,FALSE)</f>
        <v/>
      </c>
      <c r="K134" s="17">
        <f>+VLOOKUP($A134,MAGAZZINO!$B$2:$M$4838,11,FALSE)</f>
        <v/>
      </c>
      <c r="L134" s="44">
        <f>+VLOOKUP($A134,MAGAZZINO!$B$2:$M$4838,12,FALSE)</f>
        <v/>
      </c>
    </row>
    <row r="135" ht="36" customHeight="1">
      <c r="A135" s="30">
        <f>+REGISTRO!A135</f>
        <v/>
      </c>
      <c r="B135" s="31">
        <f>+VLOOKUP($A135,MAGAZZINO!$B$2:$M$4838,2,FALSE)</f>
        <v/>
      </c>
      <c r="C135" s="32">
        <f>+VLOOKUP($A135,MAGAZZINO!$B$2:$M$4838,3,FALSE)</f>
        <v/>
      </c>
      <c r="D135" s="17">
        <f>+VLOOKUP($A135,MAGAZZINO!$B$2:$M$4838,4,FALSE)</f>
        <v/>
      </c>
      <c r="E135" s="17">
        <f>+VLOOKUP($A135,MAGAZZINO!$B$2:$M$4838,5,FALSE)</f>
        <v/>
      </c>
      <c r="F135" s="17">
        <f>+VLOOKUP($A135,MAGAZZINO!$B$2:$M$4838,6,FALSE)</f>
        <v/>
      </c>
      <c r="G135" s="17">
        <f>+VLOOKUP($A135,MAGAZZINO!$B$2:$M$4838,7,FALSE)</f>
        <v/>
      </c>
      <c r="H135" s="17">
        <f>+VLOOKUP($A135,MAGAZZINO!$B$2:$M$4838,8,FALSE)</f>
        <v/>
      </c>
      <c r="I135" s="17">
        <f>+VLOOKUP($A135,MAGAZZINO!$B$2:$M$4838,9,FALSE)</f>
        <v/>
      </c>
      <c r="J135" s="17">
        <f>+VLOOKUP($A135,MAGAZZINO!$B$2:$M$4838,10,FALSE)</f>
        <v/>
      </c>
      <c r="K135" s="17">
        <f>+VLOOKUP($A135,MAGAZZINO!$B$2:$M$4838,11,FALSE)</f>
        <v/>
      </c>
      <c r="L135" s="44">
        <f>+VLOOKUP($A135,MAGAZZINO!$B$2:$M$4838,12,FALSE)</f>
        <v/>
      </c>
    </row>
    <row r="136" ht="36" customHeight="1">
      <c r="A136" s="30">
        <f>+REGISTRO!A136</f>
        <v/>
      </c>
      <c r="B136" s="31">
        <f>+VLOOKUP($A136,MAGAZZINO!$B$2:$M$4838,2,FALSE)</f>
        <v/>
      </c>
      <c r="C136" s="32">
        <f>+VLOOKUP($A136,MAGAZZINO!$B$2:$M$4838,3,FALSE)</f>
        <v/>
      </c>
      <c r="D136" s="17">
        <f>+VLOOKUP($A136,MAGAZZINO!$B$2:$M$4838,4,FALSE)</f>
        <v/>
      </c>
      <c r="E136" s="17">
        <f>+VLOOKUP($A136,MAGAZZINO!$B$2:$M$4838,5,FALSE)</f>
        <v/>
      </c>
      <c r="F136" s="17">
        <f>+VLOOKUP($A136,MAGAZZINO!$B$2:$M$4838,6,FALSE)</f>
        <v/>
      </c>
      <c r="G136" s="17">
        <f>+VLOOKUP($A136,MAGAZZINO!$B$2:$M$4838,7,FALSE)</f>
        <v/>
      </c>
      <c r="H136" s="17">
        <f>+VLOOKUP($A136,MAGAZZINO!$B$2:$M$4838,8,FALSE)</f>
        <v/>
      </c>
      <c r="I136" s="17">
        <f>+VLOOKUP($A136,MAGAZZINO!$B$2:$M$4838,9,FALSE)</f>
        <v/>
      </c>
      <c r="J136" s="17">
        <f>+VLOOKUP($A136,MAGAZZINO!$B$2:$M$4838,10,FALSE)</f>
        <v/>
      </c>
      <c r="K136" s="17">
        <f>+VLOOKUP($A136,MAGAZZINO!$B$2:$M$4838,11,FALSE)</f>
        <v/>
      </c>
      <c r="L136" s="44">
        <f>+VLOOKUP($A136,MAGAZZINO!$B$2:$M$4838,12,FALSE)</f>
        <v/>
      </c>
    </row>
    <row r="137" ht="36" customHeight="1">
      <c r="A137" s="30">
        <f>+REGISTRO!A137</f>
        <v/>
      </c>
      <c r="B137" s="31">
        <f>+VLOOKUP($A137,MAGAZZINO!$B$2:$M$4838,2,FALSE)</f>
        <v/>
      </c>
      <c r="C137" s="32">
        <f>+VLOOKUP($A137,MAGAZZINO!$B$2:$M$4838,3,FALSE)</f>
        <v/>
      </c>
      <c r="D137" s="17">
        <f>+VLOOKUP($A137,MAGAZZINO!$B$2:$M$4838,4,FALSE)</f>
        <v/>
      </c>
      <c r="E137" s="17">
        <f>+VLOOKUP($A137,MAGAZZINO!$B$2:$M$4838,5,FALSE)</f>
        <v/>
      </c>
      <c r="F137" s="17">
        <f>+VLOOKUP($A137,MAGAZZINO!$B$2:$M$4838,6,FALSE)</f>
        <v/>
      </c>
      <c r="G137" s="17">
        <f>+VLOOKUP($A137,MAGAZZINO!$B$2:$M$4838,7,FALSE)</f>
        <v/>
      </c>
      <c r="H137" s="17">
        <f>+VLOOKUP($A137,MAGAZZINO!$B$2:$M$4838,8,FALSE)</f>
        <v/>
      </c>
      <c r="I137" s="17">
        <f>+VLOOKUP($A137,MAGAZZINO!$B$2:$M$4838,9,FALSE)</f>
        <v/>
      </c>
      <c r="J137" s="17">
        <f>+VLOOKUP($A137,MAGAZZINO!$B$2:$M$4838,10,FALSE)</f>
        <v/>
      </c>
      <c r="K137" s="17">
        <f>+VLOOKUP($A137,MAGAZZINO!$B$2:$M$4838,11,FALSE)</f>
        <v/>
      </c>
      <c r="L137" s="44">
        <f>+VLOOKUP($A137,MAGAZZINO!$B$2:$M$4838,12,FALSE)</f>
        <v/>
      </c>
    </row>
    <row r="138" ht="36" customHeight="1">
      <c r="A138" s="30">
        <f>+REGISTRO!A138</f>
        <v/>
      </c>
      <c r="B138" s="31">
        <f>+VLOOKUP($A138,MAGAZZINO!$B$2:$M$4838,2,FALSE)</f>
        <v/>
      </c>
      <c r="C138" s="32">
        <f>+VLOOKUP($A138,MAGAZZINO!$B$2:$M$4838,3,FALSE)</f>
        <v/>
      </c>
      <c r="D138" s="17">
        <f>+VLOOKUP($A138,MAGAZZINO!$B$2:$M$4838,4,FALSE)</f>
        <v/>
      </c>
      <c r="E138" s="17">
        <f>+VLOOKUP($A138,MAGAZZINO!$B$2:$M$4838,5,FALSE)</f>
        <v/>
      </c>
      <c r="F138" s="17">
        <f>+VLOOKUP($A138,MAGAZZINO!$B$2:$M$4838,6,FALSE)</f>
        <v/>
      </c>
      <c r="G138" s="17">
        <f>+VLOOKUP($A138,MAGAZZINO!$B$2:$M$4838,7,FALSE)</f>
        <v/>
      </c>
      <c r="H138" s="17">
        <f>+VLOOKUP($A138,MAGAZZINO!$B$2:$M$4838,8,FALSE)</f>
        <v/>
      </c>
      <c r="I138" s="17">
        <f>+VLOOKUP($A138,MAGAZZINO!$B$2:$M$4838,9,FALSE)</f>
        <v/>
      </c>
      <c r="J138" s="17">
        <f>+VLOOKUP($A138,MAGAZZINO!$B$2:$M$4838,10,FALSE)</f>
        <v/>
      </c>
      <c r="K138" s="17">
        <f>+VLOOKUP($A138,MAGAZZINO!$B$2:$M$4838,11,FALSE)</f>
        <v/>
      </c>
      <c r="L138" s="44">
        <f>+VLOOKUP($A138,MAGAZZINO!$B$2:$M$4838,12,FALSE)</f>
        <v/>
      </c>
    </row>
    <row r="139" ht="36" customHeight="1">
      <c r="A139" s="30">
        <f>+REGISTRO!A139</f>
        <v/>
      </c>
      <c r="B139" s="31">
        <f>+VLOOKUP($A139,MAGAZZINO!$B$2:$M$4838,2,FALSE)</f>
        <v/>
      </c>
      <c r="C139" s="32">
        <f>+VLOOKUP($A139,MAGAZZINO!$B$2:$M$4838,3,FALSE)</f>
        <v/>
      </c>
      <c r="D139" s="17">
        <f>+VLOOKUP($A139,MAGAZZINO!$B$2:$M$4838,4,FALSE)</f>
        <v/>
      </c>
      <c r="E139" s="17">
        <f>+VLOOKUP($A139,MAGAZZINO!$B$2:$M$4838,5,FALSE)</f>
        <v/>
      </c>
      <c r="F139" s="17">
        <f>+VLOOKUP($A139,MAGAZZINO!$B$2:$M$4838,6,FALSE)</f>
        <v/>
      </c>
      <c r="G139" s="17">
        <f>+VLOOKUP($A139,MAGAZZINO!$B$2:$M$4838,7,FALSE)</f>
        <v/>
      </c>
      <c r="H139" s="17">
        <f>+VLOOKUP($A139,MAGAZZINO!$B$2:$M$4838,8,FALSE)</f>
        <v/>
      </c>
      <c r="I139" s="17">
        <f>+VLOOKUP($A139,MAGAZZINO!$B$2:$M$4838,9,FALSE)</f>
        <v/>
      </c>
      <c r="J139" s="17">
        <f>+VLOOKUP($A139,MAGAZZINO!$B$2:$M$4838,10,FALSE)</f>
        <v/>
      </c>
      <c r="K139" s="17">
        <f>+VLOOKUP($A139,MAGAZZINO!$B$2:$M$4838,11,FALSE)</f>
        <v/>
      </c>
      <c r="L139" s="44">
        <f>+VLOOKUP($A139,MAGAZZINO!$B$2:$M$4838,12,FALSE)</f>
        <v/>
      </c>
    </row>
    <row r="140" ht="36" customHeight="1">
      <c r="A140" s="30">
        <f>+REGISTRO!A140</f>
        <v/>
      </c>
      <c r="B140" s="31">
        <f>+VLOOKUP($A140,MAGAZZINO!$B$2:$M$4838,2,FALSE)</f>
        <v/>
      </c>
      <c r="C140" s="32">
        <f>+VLOOKUP($A140,MAGAZZINO!$B$2:$M$4838,3,FALSE)</f>
        <v/>
      </c>
      <c r="D140" s="17">
        <f>+VLOOKUP($A140,MAGAZZINO!$B$2:$M$4838,4,FALSE)</f>
        <v/>
      </c>
      <c r="E140" s="17">
        <f>+VLOOKUP($A140,MAGAZZINO!$B$2:$M$4838,5,FALSE)</f>
        <v/>
      </c>
      <c r="F140" s="17">
        <f>+VLOOKUP($A140,MAGAZZINO!$B$2:$M$4838,6,FALSE)</f>
        <v/>
      </c>
      <c r="G140" s="17">
        <f>+VLOOKUP($A140,MAGAZZINO!$B$2:$M$4838,7,FALSE)</f>
        <v/>
      </c>
      <c r="H140" s="17">
        <f>+VLOOKUP($A140,MAGAZZINO!$B$2:$M$4838,8,FALSE)</f>
        <v/>
      </c>
      <c r="I140" s="17">
        <f>+VLOOKUP($A140,MAGAZZINO!$B$2:$M$4838,9,FALSE)</f>
        <v/>
      </c>
      <c r="J140" s="17">
        <f>+VLOOKUP($A140,MAGAZZINO!$B$2:$M$4838,10,FALSE)</f>
        <v/>
      </c>
      <c r="K140" s="17">
        <f>+VLOOKUP($A140,MAGAZZINO!$B$2:$M$4838,11,FALSE)</f>
        <v/>
      </c>
      <c r="L140" s="44">
        <f>+VLOOKUP($A140,MAGAZZINO!$B$2:$M$4838,12,FALSE)</f>
        <v/>
      </c>
    </row>
    <row r="141" ht="36" customHeight="1">
      <c r="A141" s="30">
        <f>+REGISTRO!A141</f>
        <v/>
      </c>
      <c r="B141" s="31">
        <f>+VLOOKUP($A141,MAGAZZINO!$B$2:$M$4838,2,FALSE)</f>
        <v/>
      </c>
      <c r="C141" s="32">
        <f>+VLOOKUP($A141,MAGAZZINO!$B$2:$M$4838,3,FALSE)</f>
        <v/>
      </c>
      <c r="D141" s="17">
        <f>+VLOOKUP($A141,MAGAZZINO!$B$2:$M$4838,4,FALSE)</f>
        <v/>
      </c>
      <c r="E141" s="17">
        <f>+VLOOKUP($A141,MAGAZZINO!$B$2:$M$4838,5,FALSE)</f>
        <v/>
      </c>
      <c r="F141" s="17">
        <f>+VLOOKUP($A141,MAGAZZINO!$B$2:$M$4838,6,FALSE)</f>
        <v/>
      </c>
      <c r="G141" s="17">
        <f>+VLOOKUP($A141,MAGAZZINO!$B$2:$M$4838,7,FALSE)</f>
        <v/>
      </c>
      <c r="H141" s="17">
        <f>+VLOOKUP($A141,MAGAZZINO!$B$2:$M$4838,8,FALSE)</f>
        <v/>
      </c>
      <c r="I141" s="17">
        <f>+VLOOKUP($A141,MAGAZZINO!$B$2:$M$4838,9,FALSE)</f>
        <v/>
      </c>
      <c r="J141" s="17">
        <f>+VLOOKUP($A141,MAGAZZINO!$B$2:$M$4838,10,FALSE)</f>
        <v/>
      </c>
      <c r="K141" s="17">
        <f>+VLOOKUP($A141,MAGAZZINO!$B$2:$M$4838,11,FALSE)</f>
        <v/>
      </c>
      <c r="L141" s="44">
        <f>+VLOOKUP($A141,MAGAZZINO!$B$2:$M$4838,12,FALSE)</f>
        <v/>
      </c>
    </row>
    <row r="142" ht="36" customHeight="1">
      <c r="A142" s="30">
        <f>+REGISTRO!A142</f>
        <v/>
      </c>
      <c r="B142" s="31">
        <f>+VLOOKUP($A142,MAGAZZINO!$B$2:$M$4838,2,FALSE)</f>
        <v/>
      </c>
      <c r="C142" s="32">
        <f>+VLOOKUP($A142,MAGAZZINO!$B$2:$M$4838,3,FALSE)</f>
        <v/>
      </c>
      <c r="D142" s="17">
        <f>+VLOOKUP($A142,MAGAZZINO!$B$2:$M$4838,4,FALSE)</f>
        <v/>
      </c>
      <c r="E142" s="17">
        <f>+VLOOKUP($A142,MAGAZZINO!$B$2:$M$4838,5,FALSE)</f>
        <v/>
      </c>
      <c r="F142" s="17">
        <f>+VLOOKUP($A142,MAGAZZINO!$B$2:$M$4838,6,FALSE)</f>
        <v/>
      </c>
      <c r="G142" s="17">
        <f>+VLOOKUP($A142,MAGAZZINO!$B$2:$M$4838,7,FALSE)</f>
        <v/>
      </c>
      <c r="H142" s="17">
        <f>+VLOOKUP($A142,MAGAZZINO!$B$2:$M$4838,8,FALSE)</f>
        <v/>
      </c>
      <c r="I142" s="17">
        <f>+VLOOKUP($A142,MAGAZZINO!$B$2:$M$4838,9,FALSE)</f>
        <v/>
      </c>
      <c r="J142" s="17">
        <f>+VLOOKUP($A142,MAGAZZINO!$B$2:$M$4838,10,FALSE)</f>
        <v/>
      </c>
      <c r="K142" s="17">
        <f>+VLOOKUP($A142,MAGAZZINO!$B$2:$M$4838,11,FALSE)</f>
        <v/>
      </c>
      <c r="L142" s="44">
        <f>+VLOOKUP($A142,MAGAZZINO!$B$2:$M$4838,12,FALSE)</f>
        <v/>
      </c>
    </row>
    <row r="143" ht="36" customHeight="1">
      <c r="A143" s="30">
        <f>+REGISTRO!A143</f>
        <v/>
      </c>
      <c r="B143" s="31">
        <f>+VLOOKUP($A143,MAGAZZINO!$B$2:$M$4838,2,FALSE)</f>
        <v/>
      </c>
      <c r="C143" s="32">
        <f>+VLOOKUP($A143,MAGAZZINO!$B$2:$M$4838,3,FALSE)</f>
        <v/>
      </c>
      <c r="D143" s="17">
        <f>+VLOOKUP($A143,MAGAZZINO!$B$2:$M$4838,4,FALSE)</f>
        <v/>
      </c>
      <c r="E143" s="17">
        <f>+VLOOKUP($A143,MAGAZZINO!$B$2:$M$4838,5,FALSE)</f>
        <v/>
      </c>
      <c r="F143" s="17">
        <f>+VLOOKUP($A143,MAGAZZINO!$B$2:$M$4838,6,FALSE)</f>
        <v/>
      </c>
      <c r="G143" s="17">
        <f>+VLOOKUP($A143,MAGAZZINO!$B$2:$M$4838,7,FALSE)</f>
        <v/>
      </c>
      <c r="H143" s="17">
        <f>+VLOOKUP($A143,MAGAZZINO!$B$2:$M$4838,8,FALSE)</f>
        <v/>
      </c>
      <c r="I143" s="17">
        <f>+VLOOKUP($A143,MAGAZZINO!$B$2:$M$4838,9,FALSE)</f>
        <v/>
      </c>
      <c r="J143" s="17">
        <f>+VLOOKUP($A143,MAGAZZINO!$B$2:$M$4838,10,FALSE)</f>
        <v/>
      </c>
      <c r="K143" s="17">
        <f>+VLOOKUP($A143,MAGAZZINO!$B$2:$M$4838,11,FALSE)</f>
        <v/>
      </c>
      <c r="L143" s="44">
        <f>+VLOOKUP($A143,MAGAZZINO!$B$2:$M$4838,12,FALSE)</f>
        <v/>
      </c>
    </row>
    <row r="144" ht="36" customHeight="1">
      <c r="A144" s="30">
        <f>+REGISTRO!A144</f>
        <v/>
      </c>
      <c r="B144" s="31">
        <f>+VLOOKUP($A144,MAGAZZINO!$B$2:$M$4838,2,FALSE)</f>
        <v/>
      </c>
      <c r="C144" s="32">
        <f>+VLOOKUP($A144,MAGAZZINO!$B$2:$M$4838,3,FALSE)</f>
        <v/>
      </c>
      <c r="D144" s="17">
        <f>+VLOOKUP($A144,MAGAZZINO!$B$2:$M$4838,4,FALSE)</f>
        <v/>
      </c>
      <c r="E144" s="17">
        <f>+VLOOKUP($A144,MAGAZZINO!$B$2:$M$4838,5,FALSE)</f>
        <v/>
      </c>
      <c r="F144" s="17">
        <f>+VLOOKUP($A144,MAGAZZINO!$B$2:$M$4838,6,FALSE)</f>
        <v/>
      </c>
      <c r="G144" s="17">
        <f>+VLOOKUP($A144,MAGAZZINO!$B$2:$M$4838,7,FALSE)</f>
        <v/>
      </c>
      <c r="H144" s="17">
        <f>+VLOOKUP($A144,MAGAZZINO!$B$2:$M$4838,8,FALSE)</f>
        <v/>
      </c>
      <c r="I144" s="17">
        <f>+VLOOKUP($A144,MAGAZZINO!$B$2:$M$4838,9,FALSE)</f>
        <v/>
      </c>
      <c r="J144" s="17">
        <f>+VLOOKUP($A144,MAGAZZINO!$B$2:$M$4838,10,FALSE)</f>
        <v/>
      </c>
      <c r="K144" s="17">
        <f>+VLOOKUP($A144,MAGAZZINO!$B$2:$M$4838,11,FALSE)</f>
        <v/>
      </c>
      <c r="L144" s="44">
        <f>+VLOOKUP($A144,MAGAZZINO!$B$2:$M$4838,12,FALSE)</f>
        <v/>
      </c>
    </row>
    <row r="145" ht="36" customHeight="1">
      <c r="A145" s="30">
        <f>+REGISTRO!A145</f>
        <v/>
      </c>
      <c r="B145" s="31">
        <f>+VLOOKUP($A145,MAGAZZINO!$B$2:$M$4838,2,FALSE)</f>
        <v/>
      </c>
      <c r="C145" s="32">
        <f>+VLOOKUP($A145,MAGAZZINO!$B$2:$M$4838,3,FALSE)</f>
        <v/>
      </c>
      <c r="D145" s="17">
        <f>+VLOOKUP($A145,MAGAZZINO!$B$2:$M$4838,4,FALSE)</f>
        <v/>
      </c>
      <c r="E145" s="17">
        <f>+VLOOKUP($A145,MAGAZZINO!$B$2:$M$4838,5,FALSE)</f>
        <v/>
      </c>
      <c r="F145" s="17">
        <f>+VLOOKUP($A145,MAGAZZINO!$B$2:$M$4838,6,FALSE)</f>
        <v/>
      </c>
      <c r="G145" s="17">
        <f>+VLOOKUP($A145,MAGAZZINO!$B$2:$M$4838,7,FALSE)</f>
        <v/>
      </c>
      <c r="H145" s="17">
        <f>+VLOOKUP($A145,MAGAZZINO!$B$2:$M$4838,8,FALSE)</f>
        <v/>
      </c>
      <c r="I145" s="17">
        <f>+VLOOKUP($A145,MAGAZZINO!$B$2:$M$4838,9,FALSE)</f>
        <v/>
      </c>
      <c r="J145" s="17">
        <f>+VLOOKUP($A145,MAGAZZINO!$B$2:$M$4838,10,FALSE)</f>
        <v/>
      </c>
      <c r="K145" s="17">
        <f>+VLOOKUP($A145,MAGAZZINO!$B$2:$M$4838,11,FALSE)</f>
        <v/>
      </c>
      <c r="L145" s="44">
        <f>+VLOOKUP($A145,MAGAZZINO!$B$2:$M$4838,12,FALSE)</f>
        <v/>
      </c>
    </row>
    <row r="146" ht="36" customHeight="1">
      <c r="A146" s="30">
        <f>+REGISTRO!A146</f>
        <v/>
      </c>
      <c r="B146" s="31">
        <f>+VLOOKUP($A146,MAGAZZINO!$B$2:$M$4838,2,FALSE)</f>
        <v/>
      </c>
      <c r="C146" s="32">
        <f>+VLOOKUP($A146,MAGAZZINO!$B$2:$M$4838,3,FALSE)</f>
        <v/>
      </c>
      <c r="D146" s="17">
        <f>+VLOOKUP($A146,MAGAZZINO!$B$2:$M$4838,4,FALSE)</f>
        <v/>
      </c>
      <c r="E146" s="17">
        <f>+VLOOKUP($A146,MAGAZZINO!$B$2:$M$4838,5,FALSE)</f>
        <v/>
      </c>
      <c r="F146" s="17">
        <f>+VLOOKUP($A146,MAGAZZINO!$B$2:$M$4838,6,FALSE)</f>
        <v/>
      </c>
      <c r="G146" s="17">
        <f>+VLOOKUP($A146,MAGAZZINO!$B$2:$M$4838,7,FALSE)</f>
        <v/>
      </c>
      <c r="H146" s="17">
        <f>+VLOOKUP($A146,MAGAZZINO!$B$2:$M$4838,8,FALSE)</f>
        <v/>
      </c>
      <c r="I146" s="17">
        <f>+VLOOKUP($A146,MAGAZZINO!$B$2:$M$4838,9,FALSE)</f>
        <v/>
      </c>
      <c r="J146" s="17">
        <f>+VLOOKUP($A146,MAGAZZINO!$B$2:$M$4838,10,FALSE)</f>
        <v/>
      </c>
      <c r="K146" s="17">
        <f>+VLOOKUP($A146,MAGAZZINO!$B$2:$M$4838,11,FALSE)</f>
        <v/>
      </c>
      <c r="L146" s="44">
        <f>+VLOOKUP($A146,MAGAZZINO!$B$2:$M$4838,12,FALSE)</f>
        <v/>
      </c>
    </row>
    <row r="147" ht="36" customHeight="1">
      <c r="A147" s="30">
        <f>+REGISTRO!A147</f>
        <v/>
      </c>
      <c r="B147" s="31">
        <f>+VLOOKUP($A147,MAGAZZINO!$B$2:$M$4838,2,FALSE)</f>
        <v/>
      </c>
      <c r="C147" s="32">
        <f>+VLOOKUP($A147,MAGAZZINO!$B$2:$M$4838,3,FALSE)</f>
        <v/>
      </c>
      <c r="D147" s="17">
        <f>+VLOOKUP($A147,MAGAZZINO!$B$2:$M$4838,4,FALSE)</f>
        <v/>
      </c>
      <c r="E147" s="17">
        <f>+VLOOKUP($A147,MAGAZZINO!$B$2:$M$4838,5,FALSE)</f>
        <v/>
      </c>
      <c r="F147" s="17">
        <f>+VLOOKUP($A147,MAGAZZINO!$B$2:$M$4838,6,FALSE)</f>
        <v/>
      </c>
      <c r="G147" s="17">
        <f>+VLOOKUP($A147,MAGAZZINO!$B$2:$M$4838,7,FALSE)</f>
        <v/>
      </c>
      <c r="H147" s="17">
        <f>+VLOOKUP($A147,MAGAZZINO!$B$2:$M$4838,8,FALSE)</f>
        <v/>
      </c>
      <c r="I147" s="17">
        <f>+VLOOKUP($A147,MAGAZZINO!$B$2:$M$4838,9,FALSE)</f>
        <v/>
      </c>
      <c r="J147" s="17">
        <f>+VLOOKUP($A147,MAGAZZINO!$B$2:$M$4838,10,FALSE)</f>
        <v/>
      </c>
      <c r="K147" s="17">
        <f>+VLOOKUP($A147,MAGAZZINO!$B$2:$M$4838,11,FALSE)</f>
        <v/>
      </c>
      <c r="L147" s="44">
        <f>+VLOOKUP($A147,MAGAZZINO!$B$2:$M$4838,12,FALSE)</f>
        <v/>
      </c>
    </row>
    <row r="148" ht="36" customHeight="1">
      <c r="A148" s="30">
        <f>+REGISTRO!A148</f>
        <v/>
      </c>
      <c r="B148" s="31">
        <f>+VLOOKUP($A148,MAGAZZINO!$B$2:$M$4838,2,FALSE)</f>
        <v/>
      </c>
      <c r="C148" s="32">
        <f>+VLOOKUP($A148,MAGAZZINO!$B$2:$M$4838,3,FALSE)</f>
        <v/>
      </c>
      <c r="D148" s="17">
        <f>+VLOOKUP($A148,MAGAZZINO!$B$2:$M$4838,4,FALSE)</f>
        <v/>
      </c>
      <c r="E148" s="17">
        <f>+VLOOKUP($A148,MAGAZZINO!$B$2:$M$4838,5,FALSE)</f>
        <v/>
      </c>
      <c r="F148" s="17">
        <f>+VLOOKUP($A148,MAGAZZINO!$B$2:$M$4838,6,FALSE)</f>
        <v/>
      </c>
      <c r="G148" s="17">
        <f>+VLOOKUP($A148,MAGAZZINO!$B$2:$M$4838,7,FALSE)</f>
        <v/>
      </c>
      <c r="H148" s="17">
        <f>+VLOOKUP($A148,MAGAZZINO!$B$2:$M$4838,8,FALSE)</f>
        <v/>
      </c>
      <c r="I148" s="17">
        <f>+VLOOKUP($A148,MAGAZZINO!$B$2:$M$4838,9,FALSE)</f>
        <v/>
      </c>
      <c r="J148" s="17">
        <f>+VLOOKUP($A148,MAGAZZINO!$B$2:$M$4838,10,FALSE)</f>
        <v/>
      </c>
      <c r="K148" s="17">
        <f>+VLOOKUP($A148,MAGAZZINO!$B$2:$M$4838,11,FALSE)</f>
        <v/>
      </c>
      <c r="L148" s="44">
        <f>+VLOOKUP($A148,MAGAZZINO!$B$2:$M$4838,12,FALSE)</f>
        <v/>
      </c>
    </row>
    <row r="149" ht="36" customHeight="1">
      <c r="A149" s="30">
        <f>+REGISTRO!A149</f>
        <v/>
      </c>
      <c r="B149" s="31">
        <f>+VLOOKUP($A149,MAGAZZINO!$B$2:$M$4838,2,FALSE)</f>
        <v/>
      </c>
      <c r="C149" s="32">
        <f>+VLOOKUP($A149,MAGAZZINO!$B$2:$M$4838,3,FALSE)</f>
        <v/>
      </c>
      <c r="D149" s="17">
        <f>+VLOOKUP($A149,MAGAZZINO!$B$2:$M$4838,4,FALSE)</f>
        <v/>
      </c>
      <c r="E149" s="17">
        <f>+VLOOKUP($A149,MAGAZZINO!$B$2:$M$4838,5,FALSE)</f>
        <v/>
      </c>
      <c r="F149" s="17">
        <f>+VLOOKUP($A149,MAGAZZINO!$B$2:$M$4838,6,FALSE)</f>
        <v/>
      </c>
      <c r="G149" s="17">
        <f>+VLOOKUP($A149,MAGAZZINO!$B$2:$M$4838,7,FALSE)</f>
        <v/>
      </c>
      <c r="H149" s="17">
        <f>+VLOOKUP($A149,MAGAZZINO!$B$2:$M$4838,8,FALSE)</f>
        <v/>
      </c>
      <c r="I149" s="17">
        <f>+VLOOKUP($A149,MAGAZZINO!$B$2:$M$4838,9,FALSE)</f>
        <v/>
      </c>
      <c r="J149" s="17">
        <f>+VLOOKUP($A149,MAGAZZINO!$B$2:$M$4838,10,FALSE)</f>
        <v/>
      </c>
      <c r="K149" s="17">
        <f>+VLOOKUP($A149,MAGAZZINO!$B$2:$M$4838,11,FALSE)</f>
        <v/>
      </c>
      <c r="L149" s="44">
        <f>+VLOOKUP($A149,MAGAZZINO!$B$2:$M$4838,12,FALSE)</f>
        <v/>
      </c>
    </row>
    <row r="150" ht="36" customHeight="1">
      <c r="A150" s="30">
        <f>+REGISTRO!A150</f>
        <v/>
      </c>
      <c r="B150" s="31">
        <f>+VLOOKUP($A150,MAGAZZINO!$B$2:$M$4838,2,FALSE)</f>
        <v/>
      </c>
      <c r="C150" s="32">
        <f>+VLOOKUP($A150,MAGAZZINO!$B$2:$M$4838,3,FALSE)</f>
        <v/>
      </c>
      <c r="D150" s="17">
        <f>+VLOOKUP($A150,MAGAZZINO!$B$2:$M$4838,4,FALSE)</f>
        <v/>
      </c>
      <c r="E150" s="17">
        <f>+VLOOKUP($A150,MAGAZZINO!$B$2:$M$4838,5,FALSE)</f>
        <v/>
      </c>
      <c r="F150" s="17">
        <f>+VLOOKUP($A150,MAGAZZINO!$B$2:$M$4838,6,FALSE)</f>
        <v/>
      </c>
      <c r="G150" s="17">
        <f>+VLOOKUP($A150,MAGAZZINO!$B$2:$M$4838,7,FALSE)</f>
        <v/>
      </c>
      <c r="H150" s="17">
        <f>+VLOOKUP($A150,MAGAZZINO!$B$2:$M$4838,8,FALSE)</f>
        <v/>
      </c>
      <c r="I150" s="17">
        <f>+VLOOKUP($A150,MAGAZZINO!$B$2:$M$4838,9,FALSE)</f>
        <v/>
      </c>
      <c r="J150" s="17">
        <f>+VLOOKUP($A150,MAGAZZINO!$B$2:$M$4838,10,FALSE)</f>
        <v/>
      </c>
      <c r="K150" s="17">
        <f>+VLOOKUP($A150,MAGAZZINO!$B$2:$M$4838,11,FALSE)</f>
        <v/>
      </c>
      <c r="L150" s="44">
        <f>+VLOOKUP($A150,MAGAZZINO!$B$2:$M$4838,12,FALSE)</f>
        <v/>
      </c>
    </row>
    <row r="151" ht="36" customHeight="1">
      <c r="A151" s="30">
        <f>+REGISTRO!A151</f>
        <v/>
      </c>
      <c r="B151" s="31">
        <f>+VLOOKUP($A151,MAGAZZINO!$B$2:$M$4838,2,FALSE)</f>
        <v/>
      </c>
      <c r="C151" s="32">
        <f>+VLOOKUP($A151,MAGAZZINO!$B$2:$M$4838,3,FALSE)</f>
        <v/>
      </c>
      <c r="D151" s="17">
        <f>+VLOOKUP($A151,MAGAZZINO!$B$2:$M$4838,4,FALSE)</f>
        <v/>
      </c>
      <c r="E151" s="17">
        <f>+VLOOKUP($A151,MAGAZZINO!$B$2:$M$4838,5,FALSE)</f>
        <v/>
      </c>
      <c r="F151" s="17">
        <f>+VLOOKUP($A151,MAGAZZINO!$B$2:$M$4838,6,FALSE)</f>
        <v/>
      </c>
      <c r="G151" s="17">
        <f>+VLOOKUP($A151,MAGAZZINO!$B$2:$M$4838,7,FALSE)</f>
        <v/>
      </c>
      <c r="H151" s="17">
        <f>+VLOOKUP($A151,MAGAZZINO!$B$2:$M$4838,8,FALSE)</f>
        <v/>
      </c>
      <c r="I151" s="17">
        <f>+VLOOKUP($A151,MAGAZZINO!$B$2:$M$4838,9,FALSE)</f>
        <v/>
      </c>
      <c r="J151" s="17">
        <f>+VLOOKUP($A151,MAGAZZINO!$B$2:$M$4838,10,FALSE)</f>
        <v/>
      </c>
      <c r="K151" s="17">
        <f>+VLOOKUP($A151,MAGAZZINO!$B$2:$M$4838,11,FALSE)</f>
        <v/>
      </c>
      <c r="L151" s="44">
        <f>+VLOOKUP($A151,MAGAZZINO!$B$2:$M$4838,12,FALSE)</f>
        <v/>
      </c>
    </row>
    <row r="152" ht="36" customHeight="1">
      <c r="A152" s="30">
        <f>+REGISTRO!A152</f>
        <v/>
      </c>
      <c r="B152" s="31">
        <f>+VLOOKUP($A152,MAGAZZINO!$B$2:$M$4838,2,FALSE)</f>
        <v/>
      </c>
      <c r="C152" s="32">
        <f>+VLOOKUP($A152,MAGAZZINO!$B$2:$M$4838,3,FALSE)</f>
        <v/>
      </c>
      <c r="D152" s="17">
        <f>+VLOOKUP($A152,MAGAZZINO!$B$2:$M$4838,4,FALSE)</f>
        <v/>
      </c>
      <c r="E152" s="17">
        <f>+VLOOKUP($A152,MAGAZZINO!$B$2:$M$4838,5,FALSE)</f>
        <v/>
      </c>
      <c r="F152" s="17">
        <f>+VLOOKUP($A152,MAGAZZINO!$B$2:$M$4838,6,FALSE)</f>
        <v/>
      </c>
      <c r="G152" s="17">
        <f>+VLOOKUP($A152,MAGAZZINO!$B$2:$M$4838,7,FALSE)</f>
        <v/>
      </c>
      <c r="H152" s="17">
        <f>+VLOOKUP($A152,MAGAZZINO!$B$2:$M$4838,8,FALSE)</f>
        <v/>
      </c>
      <c r="I152" s="17">
        <f>+VLOOKUP($A152,MAGAZZINO!$B$2:$M$4838,9,FALSE)</f>
        <v/>
      </c>
      <c r="J152" s="17">
        <f>+VLOOKUP($A152,MAGAZZINO!$B$2:$M$4838,10,FALSE)</f>
        <v/>
      </c>
      <c r="K152" s="17">
        <f>+VLOOKUP($A152,MAGAZZINO!$B$2:$M$4838,11,FALSE)</f>
        <v/>
      </c>
      <c r="L152" s="44">
        <f>+VLOOKUP($A152,MAGAZZINO!$B$2:$M$4838,12,FALSE)</f>
        <v/>
      </c>
    </row>
    <row r="153" ht="36" customHeight="1">
      <c r="A153" s="30">
        <f>+REGISTRO!A153</f>
        <v/>
      </c>
      <c r="B153" s="31">
        <f>+VLOOKUP($A153,MAGAZZINO!$B$2:$M$4838,2,FALSE)</f>
        <v/>
      </c>
      <c r="C153" s="32">
        <f>+VLOOKUP($A153,MAGAZZINO!$B$2:$M$4838,3,FALSE)</f>
        <v/>
      </c>
      <c r="D153" s="17">
        <f>+VLOOKUP($A153,MAGAZZINO!$B$2:$M$4838,4,FALSE)</f>
        <v/>
      </c>
      <c r="E153" s="17">
        <f>+VLOOKUP($A153,MAGAZZINO!$B$2:$M$4838,5,FALSE)</f>
        <v/>
      </c>
      <c r="F153" s="17">
        <f>+VLOOKUP($A153,MAGAZZINO!$B$2:$M$4838,6,FALSE)</f>
        <v/>
      </c>
      <c r="G153" s="17">
        <f>+VLOOKUP($A153,MAGAZZINO!$B$2:$M$4838,7,FALSE)</f>
        <v/>
      </c>
      <c r="H153" s="17">
        <f>+VLOOKUP($A153,MAGAZZINO!$B$2:$M$4838,8,FALSE)</f>
        <v/>
      </c>
      <c r="I153" s="17">
        <f>+VLOOKUP($A153,MAGAZZINO!$B$2:$M$4838,9,FALSE)</f>
        <v/>
      </c>
      <c r="J153" s="17">
        <f>+VLOOKUP($A153,MAGAZZINO!$B$2:$M$4838,10,FALSE)</f>
        <v/>
      </c>
      <c r="K153" s="17">
        <f>+VLOOKUP($A153,MAGAZZINO!$B$2:$M$4838,11,FALSE)</f>
        <v/>
      </c>
      <c r="L153" s="44">
        <f>+VLOOKUP($A153,MAGAZZINO!$B$2:$M$4838,12,FALSE)</f>
        <v/>
      </c>
    </row>
    <row r="154" ht="36" customHeight="1">
      <c r="A154" s="30">
        <f>+REGISTRO!A154</f>
        <v/>
      </c>
      <c r="B154" s="31">
        <f>+VLOOKUP($A154,MAGAZZINO!$B$2:$M$4838,2,FALSE)</f>
        <v/>
      </c>
      <c r="C154" s="32">
        <f>+VLOOKUP($A154,MAGAZZINO!$B$2:$M$4838,3,FALSE)</f>
        <v/>
      </c>
      <c r="D154" s="17">
        <f>+VLOOKUP($A154,MAGAZZINO!$B$2:$M$4838,4,FALSE)</f>
        <v/>
      </c>
      <c r="E154" s="17">
        <f>+VLOOKUP($A154,MAGAZZINO!$B$2:$M$4838,5,FALSE)</f>
        <v/>
      </c>
      <c r="F154" s="17">
        <f>+VLOOKUP($A154,MAGAZZINO!$B$2:$M$4838,6,FALSE)</f>
        <v/>
      </c>
      <c r="G154" s="17">
        <f>+VLOOKUP($A154,MAGAZZINO!$B$2:$M$4838,7,FALSE)</f>
        <v/>
      </c>
      <c r="H154" s="17">
        <f>+VLOOKUP($A154,MAGAZZINO!$B$2:$M$4838,8,FALSE)</f>
        <v/>
      </c>
      <c r="I154" s="17">
        <f>+VLOOKUP($A154,MAGAZZINO!$B$2:$M$4838,9,FALSE)</f>
        <v/>
      </c>
      <c r="J154" s="17">
        <f>+VLOOKUP($A154,MAGAZZINO!$B$2:$M$4838,10,FALSE)</f>
        <v/>
      </c>
      <c r="K154" s="17">
        <f>+VLOOKUP($A154,MAGAZZINO!$B$2:$M$4838,11,FALSE)</f>
        <v/>
      </c>
      <c r="L154" s="44">
        <f>+VLOOKUP($A154,MAGAZZINO!$B$2:$M$4838,12,FALSE)</f>
        <v/>
      </c>
    </row>
    <row r="155" ht="36" customHeight="1">
      <c r="A155" s="30">
        <f>+REGISTRO!A155</f>
        <v/>
      </c>
      <c r="B155" s="31">
        <f>+VLOOKUP($A155,MAGAZZINO!$B$2:$M$4838,2,FALSE)</f>
        <v/>
      </c>
      <c r="C155" s="32">
        <f>+VLOOKUP($A155,MAGAZZINO!$B$2:$M$4838,3,FALSE)</f>
        <v/>
      </c>
      <c r="D155" s="17">
        <f>+VLOOKUP($A155,MAGAZZINO!$B$2:$M$4838,4,FALSE)</f>
        <v/>
      </c>
      <c r="E155" s="17">
        <f>+VLOOKUP($A155,MAGAZZINO!$B$2:$M$4838,5,FALSE)</f>
        <v/>
      </c>
      <c r="F155" s="17">
        <f>+VLOOKUP($A155,MAGAZZINO!$B$2:$M$4838,6,FALSE)</f>
        <v/>
      </c>
      <c r="G155" s="17">
        <f>+VLOOKUP($A155,MAGAZZINO!$B$2:$M$4838,7,FALSE)</f>
        <v/>
      </c>
      <c r="H155" s="17">
        <f>+VLOOKUP($A155,MAGAZZINO!$B$2:$M$4838,8,FALSE)</f>
        <v/>
      </c>
      <c r="I155" s="17">
        <f>+VLOOKUP($A155,MAGAZZINO!$B$2:$M$4838,9,FALSE)</f>
        <v/>
      </c>
      <c r="J155" s="17">
        <f>+VLOOKUP($A155,MAGAZZINO!$B$2:$M$4838,10,FALSE)</f>
        <v/>
      </c>
      <c r="K155" s="17">
        <f>+VLOOKUP($A155,MAGAZZINO!$B$2:$M$4838,11,FALSE)</f>
        <v/>
      </c>
      <c r="L155" s="44">
        <f>+VLOOKUP($A155,MAGAZZINO!$B$2:$M$4838,12,FALSE)</f>
        <v/>
      </c>
    </row>
    <row r="156" ht="36" customHeight="1">
      <c r="A156" s="30">
        <f>+REGISTRO!A156</f>
        <v/>
      </c>
      <c r="B156" s="31">
        <f>+VLOOKUP($A156,MAGAZZINO!$B$2:$M$4838,2,FALSE)</f>
        <v/>
      </c>
      <c r="C156" s="32">
        <f>+VLOOKUP($A156,MAGAZZINO!$B$2:$M$4838,3,FALSE)</f>
        <v/>
      </c>
      <c r="D156" s="17">
        <f>+VLOOKUP($A156,MAGAZZINO!$B$2:$M$4838,4,FALSE)</f>
        <v/>
      </c>
      <c r="E156" s="17">
        <f>+VLOOKUP($A156,MAGAZZINO!$B$2:$M$4838,5,FALSE)</f>
        <v/>
      </c>
      <c r="F156" s="17">
        <f>+VLOOKUP($A156,MAGAZZINO!$B$2:$M$4838,6,FALSE)</f>
        <v/>
      </c>
      <c r="G156" s="17">
        <f>+VLOOKUP($A156,MAGAZZINO!$B$2:$M$4838,7,FALSE)</f>
        <v/>
      </c>
      <c r="H156" s="17">
        <f>+VLOOKUP($A156,MAGAZZINO!$B$2:$M$4838,8,FALSE)</f>
        <v/>
      </c>
      <c r="I156" s="17">
        <f>+VLOOKUP($A156,MAGAZZINO!$B$2:$M$4838,9,FALSE)</f>
        <v/>
      </c>
      <c r="J156" s="17">
        <f>+VLOOKUP($A156,MAGAZZINO!$B$2:$M$4838,10,FALSE)</f>
        <v/>
      </c>
      <c r="K156" s="17">
        <f>+VLOOKUP($A156,MAGAZZINO!$B$2:$M$4838,11,FALSE)</f>
        <v/>
      </c>
      <c r="L156" s="44">
        <f>+VLOOKUP($A156,MAGAZZINO!$B$2:$M$4838,12,FALSE)</f>
        <v/>
      </c>
    </row>
    <row r="157" ht="36" customHeight="1">
      <c r="A157" s="30">
        <f>+REGISTRO!A157</f>
        <v/>
      </c>
      <c r="B157" s="31">
        <f>+VLOOKUP($A157,MAGAZZINO!$B$2:$M$4838,2,FALSE)</f>
        <v/>
      </c>
      <c r="C157" s="32">
        <f>+VLOOKUP($A157,MAGAZZINO!$B$2:$M$4838,3,FALSE)</f>
        <v/>
      </c>
      <c r="D157" s="17">
        <f>+VLOOKUP($A157,MAGAZZINO!$B$2:$M$4838,4,FALSE)</f>
        <v/>
      </c>
      <c r="E157" s="17">
        <f>+VLOOKUP($A157,MAGAZZINO!$B$2:$M$4838,5,FALSE)</f>
        <v/>
      </c>
      <c r="F157" s="17">
        <f>+VLOOKUP($A157,MAGAZZINO!$B$2:$M$4838,6,FALSE)</f>
        <v/>
      </c>
      <c r="G157" s="17">
        <f>+VLOOKUP($A157,MAGAZZINO!$B$2:$M$4838,7,FALSE)</f>
        <v/>
      </c>
      <c r="H157" s="17">
        <f>+VLOOKUP($A157,MAGAZZINO!$B$2:$M$4838,8,FALSE)</f>
        <v/>
      </c>
      <c r="I157" s="17">
        <f>+VLOOKUP($A157,MAGAZZINO!$B$2:$M$4838,9,FALSE)</f>
        <v/>
      </c>
      <c r="J157" s="17">
        <f>+VLOOKUP($A157,MAGAZZINO!$B$2:$M$4838,10,FALSE)</f>
        <v/>
      </c>
      <c r="K157" s="17">
        <f>+VLOOKUP($A157,MAGAZZINO!$B$2:$M$4838,11,FALSE)</f>
        <v/>
      </c>
      <c r="L157" s="44">
        <f>+VLOOKUP($A157,MAGAZZINO!$B$2:$M$4838,12,FALSE)</f>
        <v/>
      </c>
    </row>
    <row r="158" ht="36" customHeight="1">
      <c r="A158" s="30">
        <f>+REGISTRO!A158</f>
        <v/>
      </c>
      <c r="B158" s="31">
        <f>+VLOOKUP($A158,MAGAZZINO!$B$2:$M$4838,2,FALSE)</f>
        <v/>
      </c>
      <c r="C158" s="32">
        <f>+VLOOKUP($A158,MAGAZZINO!$B$2:$M$4838,3,FALSE)</f>
        <v/>
      </c>
      <c r="D158" s="17">
        <f>+VLOOKUP($A158,MAGAZZINO!$B$2:$M$4838,4,FALSE)</f>
        <v/>
      </c>
      <c r="E158" s="17">
        <f>+VLOOKUP($A158,MAGAZZINO!$B$2:$M$4838,5,FALSE)</f>
        <v/>
      </c>
      <c r="F158" s="17">
        <f>+VLOOKUP($A158,MAGAZZINO!$B$2:$M$4838,6,FALSE)</f>
        <v/>
      </c>
      <c r="G158" s="17">
        <f>+VLOOKUP($A158,MAGAZZINO!$B$2:$M$4838,7,FALSE)</f>
        <v/>
      </c>
      <c r="H158" s="17">
        <f>+VLOOKUP($A158,MAGAZZINO!$B$2:$M$4838,8,FALSE)</f>
        <v/>
      </c>
      <c r="I158" s="17">
        <f>+VLOOKUP($A158,MAGAZZINO!$B$2:$M$4838,9,FALSE)</f>
        <v/>
      </c>
      <c r="J158" s="17">
        <f>+VLOOKUP($A158,MAGAZZINO!$B$2:$M$4838,10,FALSE)</f>
        <v/>
      </c>
      <c r="K158" s="17">
        <f>+VLOOKUP($A158,MAGAZZINO!$B$2:$M$4838,11,FALSE)</f>
        <v/>
      </c>
      <c r="L158" s="44">
        <f>+VLOOKUP($A158,MAGAZZINO!$B$2:$M$4838,12,FALSE)</f>
        <v/>
      </c>
    </row>
    <row r="159" ht="36" customHeight="1">
      <c r="A159" s="30">
        <f>+REGISTRO!A159</f>
        <v/>
      </c>
      <c r="B159" s="31">
        <f>+VLOOKUP($A159,MAGAZZINO!$B$2:$M$4838,2,FALSE)</f>
        <v/>
      </c>
      <c r="C159" s="32">
        <f>+VLOOKUP($A159,MAGAZZINO!$B$2:$M$4838,3,FALSE)</f>
        <v/>
      </c>
      <c r="D159" s="17">
        <f>+VLOOKUP($A159,MAGAZZINO!$B$2:$M$4838,4,FALSE)</f>
        <v/>
      </c>
      <c r="E159" s="17">
        <f>+VLOOKUP($A159,MAGAZZINO!$B$2:$M$4838,5,FALSE)</f>
        <v/>
      </c>
      <c r="F159" s="17">
        <f>+VLOOKUP($A159,MAGAZZINO!$B$2:$M$4838,6,FALSE)</f>
        <v/>
      </c>
      <c r="G159" s="17">
        <f>+VLOOKUP($A159,MAGAZZINO!$B$2:$M$4838,7,FALSE)</f>
        <v/>
      </c>
      <c r="H159" s="17">
        <f>+VLOOKUP($A159,MAGAZZINO!$B$2:$M$4838,8,FALSE)</f>
        <v/>
      </c>
      <c r="I159" s="17">
        <f>+VLOOKUP($A159,MAGAZZINO!$B$2:$M$4838,9,FALSE)</f>
        <v/>
      </c>
      <c r="J159" s="17">
        <f>+VLOOKUP($A159,MAGAZZINO!$B$2:$M$4838,10,FALSE)</f>
        <v/>
      </c>
      <c r="K159" s="17">
        <f>+VLOOKUP($A159,MAGAZZINO!$B$2:$M$4838,11,FALSE)</f>
        <v/>
      </c>
      <c r="L159" s="44">
        <f>+VLOOKUP($A159,MAGAZZINO!$B$2:$M$4838,12,FALSE)</f>
        <v/>
      </c>
    </row>
    <row r="160" ht="36" customHeight="1">
      <c r="A160" s="30">
        <f>+REGISTRO!A160</f>
        <v/>
      </c>
      <c r="B160" s="31">
        <f>+VLOOKUP($A160,MAGAZZINO!$B$2:$M$4838,2,FALSE)</f>
        <v/>
      </c>
      <c r="C160" s="32">
        <f>+VLOOKUP($A160,MAGAZZINO!$B$2:$M$4838,3,FALSE)</f>
        <v/>
      </c>
      <c r="D160" s="17">
        <f>+VLOOKUP($A160,MAGAZZINO!$B$2:$M$4838,4,FALSE)</f>
        <v/>
      </c>
      <c r="E160" s="17">
        <f>+VLOOKUP($A160,MAGAZZINO!$B$2:$M$4838,5,FALSE)</f>
        <v/>
      </c>
      <c r="F160" s="17">
        <f>+VLOOKUP($A160,MAGAZZINO!$B$2:$M$4838,6,FALSE)</f>
        <v/>
      </c>
      <c r="G160" s="17">
        <f>+VLOOKUP($A160,MAGAZZINO!$B$2:$M$4838,7,FALSE)</f>
        <v/>
      </c>
      <c r="H160" s="17">
        <f>+VLOOKUP($A160,MAGAZZINO!$B$2:$M$4838,8,FALSE)</f>
        <v/>
      </c>
      <c r="I160" s="17">
        <f>+VLOOKUP($A160,MAGAZZINO!$B$2:$M$4838,9,FALSE)</f>
        <v/>
      </c>
      <c r="J160" s="17">
        <f>+VLOOKUP($A160,MAGAZZINO!$B$2:$M$4838,10,FALSE)</f>
        <v/>
      </c>
      <c r="K160" s="17">
        <f>+VLOOKUP($A160,MAGAZZINO!$B$2:$M$4838,11,FALSE)</f>
        <v/>
      </c>
      <c r="L160" s="44">
        <f>+VLOOKUP($A160,MAGAZZINO!$B$2:$M$4838,12,FALSE)</f>
        <v/>
      </c>
    </row>
    <row r="161" ht="36" customHeight="1">
      <c r="A161" s="30">
        <f>+REGISTRO!A161</f>
        <v/>
      </c>
      <c r="B161" s="31">
        <f>+VLOOKUP($A161,MAGAZZINO!$B$2:$M$4838,2,FALSE)</f>
        <v/>
      </c>
      <c r="C161" s="32">
        <f>+VLOOKUP($A161,MAGAZZINO!$B$2:$M$4838,3,FALSE)</f>
        <v/>
      </c>
      <c r="D161" s="17">
        <f>+VLOOKUP($A161,MAGAZZINO!$B$2:$M$4838,4,FALSE)</f>
        <v/>
      </c>
      <c r="E161" s="17">
        <f>+VLOOKUP($A161,MAGAZZINO!$B$2:$M$4838,5,FALSE)</f>
        <v/>
      </c>
      <c r="F161" s="17">
        <f>+VLOOKUP($A161,MAGAZZINO!$B$2:$M$4838,6,FALSE)</f>
        <v/>
      </c>
      <c r="G161" s="17">
        <f>+VLOOKUP($A161,MAGAZZINO!$B$2:$M$4838,7,FALSE)</f>
        <v/>
      </c>
      <c r="H161" s="17">
        <f>+VLOOKUP($A161,MAGAZZINO!$B$2:$M$4838,8,FALSE)</f>
        <v/>
      </c>
      <c r="I161" s="17">
        <f>+VLOOKUP($A161,MAGAZZINO!$B$2:$M$4838,9,FALSE)</f>
        <v/>
      </c>
      <c r="J161" s="17">
        <f>+VLOOKUP($A161,MAGAZZINO!$B$2:$M$4838,10,FALSE)</f>
        <v/>
      </c>
      <c r="K161" s="17">
        <f>+VLOOKUP($A161,MAGAZZINO!$B$2:$M$4838,11,FALSE)</f>
        <v/>
      </c>
      <c r="L161" s="44">
        <f>+VLOOKUP($A161,MAGAZZINO!$B$2:$M$4838,12,FALSE)</f>
        <v/>
      </c>
    </row>
    <row r="162" ht="36" customHeight="1">
      <c r="A162" s="30">
        <f>+REGISTRO!A162</f>
        <v/>
      </c>
      <c r="B162" s="31">
        <f>+VLOOKUP($A162,MAGAZZINO!$B$2:$M$4838,2,FALSE)</f>
        <v/>
      </c>
      <c r="C162" s="32">
        <f>+VLOOKUP($A162,MAGAZZINO!$B$2:$M$4838,3,FALSE)</f>
        <v/>
      </c>
      <c r="D162" s="17">
        <f>+VLOOKUP($A162,MAGAZZINO!$B$2:$M$4838,4,FALSE)</f>
        <v/>
      </c>
      <c r="E162" s="17">
        <f>+VLOOKUP($A162,MAGAZZINO!$B$2:$M$4838,5,FALSE)</f>
        <v/>
      </c>
      <c r="F162" s="17">
        <f>+VLOOKUP($A162,MAGAZZINO!$B$2:$M$4838,6,FALSE)</f>
        <v/>
      </c>
      <c r="G162" s="17">
        <f>+VLOOKUP($A162,MAGAZZINO!$B$2:$M$4838,7,FALSE)</f>
        <v/>
      </c>
      <c r="H162" s="17">
        <f>+VLOOKUP($A162,MAGAZZINO!$B$2:$M$4838,8,FALSE)</f>
        <v/>
      </c>
      <c r="I162" s="17">
        <f>+VLOOKUP($A162,MAGAZZINO!$B$2:$M$4838,9,FALSE)</f>
        <v/>
      </c>
      <c r="J162" s="17">
        <f>+VLOOKUP($A162,MAGAZZINO!$B$2:$M$4838,10,FALSE)</f>
        <v/>
      </c>
      <c r="K162" s="17">
        <f>+VLOOKUP($A162,MAGAZZINO!$B$2:$M$4838,11,FALSE)</f>
        <v/>
      </c>
      <c r="L162" s="44">
        <f>+VLOOKUP($A162,MAGAZZINO!$B$2:$M$4838,12,FALSE)</f>
        <v/>
      </c>
    </row>
    <row r="163" ht="36" customHeight="1">
      <c r="A163" s="30">
        <f>+REGISTRO!A163</f>
        <v/>
      </c>
      <c r="B163" s="31">
        <f>+VLOOKUP($A163,MAGAZZINO!$B$2:$M$4838,2,FALSE)</f>
        <v/>
      </c>
      <c r="C163" s="32">
        <f>+VLOOKUP($A163,MAGAZZINO!$B$2:$M$4838,3,FALSE)</f>
        <v/>
      </c>
      <c r="D163" s="17">
        <f>+VLOOKUP($A163,MAGAZZINO!$B$2:$M$4838,4,FALSE)</f>
        <v/>
      </c>
      <c r="E163" s="17">
        <f>+VLOOKUP($A163,MAGAZZINO!$B$2:$M$4838,5,FALSE)</f>
        <v/>
      </c>
      <c r="F163" s="17">
        <f>+VLOOKUP($A163,MAGAZZINO!$B$2:$M$4838,6,FALSE)</f>
        <v/>
      </c>
      <c r="G163" s="17">
        <f>+VLOOKUP($A163,MAGAZZINO!$B$2:$M$4838,7,FALSE)</f>
        <v/>
      </c>
      <c r="H163" s="17">
        <f>+VLOOKUP($A163,MAGAZZINO!$B$2:$M$4838,8,FALSE)</f>
        <v/>
      </c>
      <c r="I163" s="17">
        <f>+VLOOKUP($A163,MAGAZZINO!$B$2:$M$4838,9,FALSE)</f>
        <v/>
      </c>
      <c r="J163" s="17">
        <f>+VLOOKUP($A163,MAGAZZINO!$B$2:$M$4838,10,FALSE)</f>
        <v/>
      </c>
      <c r="K163" s="17">
        <f>+VLOOKUP($A163,MAGAZZINO!$B$2:$M$4838,11,FALSE)</f>
        <v/>
      </c>
      <c r="L163" s="44">
        <f>+VLOOKUP($A163,MAGAZZINO!$B$2:$M$4838,12,FALSE)</f>
        <v/>
      </c>
    </row>
    <row r="164" ht="36" customHeight="1">
      <c r="A164" s="30">
        <f>+REGISTRO!A164</f>
        <v/>
      </c>
      <c r="B164" s="31">
        <f>+VLOOKUP($A164,MAGAZZINO!$B$2:$M$4838,2,FALSE)</f>
        <v/>
      </c>
      <c r="C164" s="32">
        <f>+VLOOKUP($A164,MAGAZZINO!$B$2:$M$4838,3,FALSE)</f>
        <v/>
      </c>
      <c r="D164" s="17">
        <f>+VLOOKUP($A164,MAGAZZINO!$B$2:$M$4838,4,FALSE)</f>
        <v/>
      </c>
      <c r="E164" s="17">
        <f>+VLOOKUP($A164,MAGAZZINO!$B$2:$M$4838,5,FALSE)</f>
        <v/>
      </c>
      <c r="F164" s="17">
        <f>+VLOOKUP($A164,MAGAZZINO!$B$2:$M$4838,6,FALSE)</f>
        <v/>
      </c>
      <c r="G164" s="17">
        <f>+VLOOKUP($A164,MAGAZZINO!$B$2:$M$4838,7,FALSE)</f>
        <v/>
      </c>
      <c r="H164" s="17">
        <f>+VLOOKUP($A164,MAGAZZINO!$B$2:$M$4838,8,FALSE)</f>
        <v/>
      </c>
      <c r="I164" s="17">
        <f>+VLOOKUP($A164,MAGAZZINO!$B$2:$M$4838,9,FALSE)</f>
        <v/>
      </c>
      <c r="J164" s="17">
        <f>+VLOOKUP($A164,MAGAZZINO!$B$2:$M$4838,10,FALSE)</f>
        <v/>
      </c>
      <c r="K164" s="17">
        <f>+VLOOKUP($A164,MAGAZZINO!$B$2:$M$4838,11,FALSE)</f>
        <v/>
      </c>
      <c r="L164" s="44">
        <f>+VLOOKUP($A164,MAGAZZINO!$B$2:$M$4838,12,FALSE)</f>
        <v/>
      </c>
    </row>
    <row r="165" ht="36" customHeight="1">
      <c r="A165" s="30">
        <f>+REGISTRO!A165</f>
        <v/>
      </c>
      <c r="B165" s="31">
        <f>+VLOOKUP($A165,MAGAZZINO!$B$2:$M$4838,2,FALSE)</f>
        <v/>
      </c>
      <c r="C165" s="32">
        <f>+VLOOKUP($A165,MAGAZZINO!$B$2:$M$4838,3,FALSE)</f>
        <v/>
      </c>
      <c r="D165" s="17">
        <f>+VLOOKUP($A165,MAGAZZINO!$B$2:$M$4838,4,FALSE)</f>
        <v/>
      </c>
      <c r="E165" s="17">
        <f>+VLOOKUP($A165,MAGAZZINO!$B$2:$M$4838,5,FALSE)</f>
        <v/>
      </c>
      <c r="F165" s="17">
        <f>+VLOOKUP($A165,MAGAZZINO!$B$2:$M$4838,6,FALSE)</f>
        <v/>
      </c>
      <c r="G165" s="17">
        <f>+VLOOKUP($A165,MAGAZZINO!$B$2:$M$4838,7,FALSE)</f>
        <v/>
      </c>
      <c r="H165" s="17">
        <f>+VLOOKUP($A165,MAGAZZINO!$B$2:$M$4838,8,FALSE)</f>
        <v/>
      </c>
      <c r="I165" s="17">
        <f>+VLOOKUP($A165,MAGAZZINO!$B$2:$M$4838,9,FALSE)</f>
        <v/>
      </c>
      <c r="J165" s="17">
        <f>+VLOOKUP($A165,MAGAZZINO!$B$2:$M$4838,10,FALSE)</f>
        <v/>
      </c>
      <c r="K165" s="17">
        <f>+VLOOKUP($A165,MAGAZZINO!$B$2:$M$4838,11,FALSE)</f>
        <v/>
      </c>
      <c r="L165" s="44">
        <f>+VLOOKUP($A165,MAGAZZINO!$B$2:$M$4838,12,FALSE)</f>
        <v/>
      </c>
    </row>
    <row r="166" ht="36" customHeight="1">
      <c r="A166" s="30">
        <f>+REGISTRO!A166</f>
        <v/>
      </c>
      <c r="B166" s="31">
        <f>+VLOOKUP($A166,MAGAZZINO!$B$2:$M$4838,2,FALSE)</f>
        <v/>
      </c>
      <c r="C166" s="32">
        <f>+VLOOKUP($A166,MAGAZZINO!$B$2:$M$4838,3,FALSE)</f>
        <v/>
      </c>
      <c r="D166" s="17">
        <f>+VLOOKUP($A166,MAGAZZINO!$B$2:$M$4838,4,FALSE)</f>
        <v/>
      </c>
      <c r="E166" s="17">
        <f>+VLOOKUP($A166,MAGAZZINO!$B$2:$M$4838,5,FALSE)</f>
        <v/>
      </c>
      <c r="F166" s="17">
        <f>+VLOOKUP($A166,MAGAZZINO!$B$2:$M$4838,6,FALSE)</f>
        <v/>
      </c>
      <c r="G166" s="17">
        <f>+VLOOKUP($A166,MAGAZZINO!$B$2:$M$4838,7,FALSE)</f>
        <v/>
      </c>
      <c r="H166" s="17">
        <f>+VLOOKUP($A166,MAGAZZINO!$B$2:$M$4838,8,FALSE)</f>
        <v/>
      </c>
      <c r="I166" s="17">
        <f>+VLOOKUP($A166,MAGAZZINO!$B$2:$M$4838,9,FALSE)</f>
        <v/>
      </c>
      <c r="J166" s="17">
        <f>+VLOOKUP($A166,MAGAZZINO!$B$2:$M$4838,10,FALSE)</f>
        <v/>
      </c>
      <c r="K166" s="17">
        <f>+VLOOKUP($A166,MAGAZZINO!$B$2:$M$4838,11,FALSE)</f>
        <v/>
      </c>
      <c r="L166" s="44">
        <f>+VLOOKUP($A166,MAGAZZINO!$B$2:$M$4838,12,FALSE)</f>
        <v/>
      </c>
    </row>
    <row r="167" ht="36" customHeight="1">
      <c r="A167" s="30">
        <f>+REGISTRO!A167</f>
        <v/>
      </c>
      <c r="B167" s="31">
        <f>+VLOOKUP($A167,MAGAZZINO!$B$2:$M$4838,2,FALSE)</f>
        <v/>
      </c>
      <c r="C167" s="32">
        <f>+VLOOKUP($A167,MAGAZZINO!$B$2:$M$4838,3,FALSE)</f>
        <v/>
      </c>
      <c r="D167" s="17">
        <f>+VLOOKUP($A167,MAGAZZINO!$B$2:$M$4838,4,FALSE)</f>
        <v/>
      </c>
      <c r="E167" s="17">
        <f>+VLOOKUP($A167,MAGAZZINO!$B$2:$M$4838,5,FALSE)</f>
        <v/>
      </c>
      <c r="F167" s="17">
        <f>+VLOOKUP($A167,MAGAZZINO!$B$2:$M$4838,6,FALSE)</f>
        <v/>
      </c>
      <c r="G167" s="17">
        <f>+VLOOKUP($A167,MAGAZZINO!$B$2:$M$4838,7,FALSE)</f>
        <v/>
      </c>
      <c r="H167" s="17">
        <f>+VLOOKUP($A167,MAGAZZINO!$B$2:$M$4838,8,FALSE)</f>
        <v/>
      </c>
      <c r="I167" s="17">
        <f>+VLOOKUP($A167,MAGAZZINO!$B$2:$M$4838,9,FALSE)</f>
        <v/>
      </c>
      <c r="J167" s="17">
        <f>+VLOOKUP($A167,MAGAZZINO!$B$2:$M$4838,10,FALSE)</f>
        <v/>
      </c>
      <c r="K167" s="17">
        <f>+VLOOKUP($A167,MAGAZZINO!$B$2:$M$4838,11,FALSE)</f>
        <v/>
      </c>
      <c r="L167" s="44">
        <f>+VLOOKUP($A167,MAGAZZINO!$B$2:$M$4838,12,FALSE)</f>
        <v/>
      </c>
    </row>
    <row r="168" ht="36" customHeight="1">
      <c r="A168" s="30">
        <f>+REGISTRO!A168</f>
        <v/>
      </c>
      <c r="B168" s="31">
        <f>+VLOOKUP($A168,MAGAZZINO!$B$2:$M$4838,2,FALSE)</f>
        <v/>
      </c>
      <c r="C168" s="32">
        <f>+VLOOKUP($A168,MAGAZZINO!$B$2:$M$4838,3,FALSE)</f>
        <v/>
      </c>
      <c r="D168" s="17">
        <f>+VLOOKUP($A168,MAGAZZINO!$B$2:$M$4838,4,FALSE)</f>
        <v/>
      </c>
      <c r="E168" s="17">
        <f>+VLOOKUP($A168,MAGAZZINO!$B$2:$M$4838,5,FALSE)</f>
        <v/>
      </c>
      <c r="F168" s="17">
        <f>+VLOOKUP($A168,MAGAZZINO!$B$2:$M$4838,6,FALSE)</f>
        <v/>
      </c>
      <c r="G168" s="17">
        <f>+VLOOKUP($A168,MAGAZZINO!$B$2:$M$4838,7,FALSE)</f>
        <v/>
      </c>
      <c r="H168" s="17">
        <f>+VLOOKUP($A168,MAGAZZINO!$B$2:$M$4838,8,FALSE)</f>
        <v/>
      </c>
      <c r="I168" s="17">
        <f>+VLOOKUP($A168,MAGAZZINO!$B$2:$M$4838,9,FALSE)</f>
        <v/>
      </c>
      <c r="J168" s="17">
        <f>+VLOOKUP($A168,MAGAZZINO!$B$2:$M$4838,10,FALSE)</f>
        <v/>
      </c>
      <c r="K168" s="17">
        <f>+VLOOKUP($A168,MAGAZZINO!$B$2:$M$4838,11,FALSE)</f>
        <v/>
      </c>
      <c r="L168" s="44">
        <f>+VLOOKUP($A168,MAGAZZINO!$B$2:$M$4838,12,FALSE)</f>
        <v/>
      </c>
    </row>
    <row r="169" ht="36" customHeight="1">
      <c r="A169" s="30">
        <f>+REGISTRO!A169</f>
        <v/>
      </c>
      <c r="B169" s="31">
        <f>+VLOOKUP($A169,MAGAZZINO!$B$2:$M$4838,2,FALSE)</f>
        <v/>
      </c>
      <c r="C169" s="32">
        <f>+VLOOKUP($A169,MAGAZZINO!$B$2:$M$4838,3,FALSE)</f>
        <v/>
      </c>
      <c r="D169" s="17">
        <f>+VLOOKUP($A169,MAGAZZINO!$B$2:$M$4838,4,FALSE)</f>
        <v/>
      </c>
      <c r="E169" s="17">
        <f>+VLOOKUP($A169,MAGAZZINO!$B$2:$M$4838,5,FALSE)</f>
        <v/>
      </c>
      <c r="F169" s="17">
        <f>+VLOOKUP($A169,MAGAZZINO!$B$2:$M$4838,6,FALSE)</f>
        <v/>
      </c>
      <c r="G169" s="17">
        <f>+VLOOKUP($A169,MAGAZZINO!$B$2:$M$4838,7,FALSE)</f>
        <v/>
      </c>
      <c r="H169" s="17">
        <f>+VLOOKUP($A169,MAGAZZINO!$B$2:$M$4838,8,FALSE)</f>
        <v/>
      </c>
      <c r="I169" s="17">
        <f>+VLOOKUP($A169,MAGAZZINO!$B$2:$M$4838,9,FALSE)</f>
        <v/>
      </c>
      <c r="J169" s="17">
        <f>+VLOOKUP($A169,MAGAZZINO!$B$2:$M$4838,10,FALSE)</f>
        <v/>
      </c>
      <c r="K169" s="17">
        <f>+VLOOKUP($A169,MAGAZZINO!$B$2:$M$4838,11,FALSE)</f>
        <v/>
      </c>
      <c r="L169" s="44">
        <f>+VLOOKUP($A169,MAGAZZINO!$B$2:$M$4838,12,FALSE)</f>
        <v/>
      </c>
    </row>
    <row r="170" ht="36" customHeight="1">
      <c r="A170" s="30">
        <f>+REGISTRO!A170</f>
        <v/>
      </c>
      <c r="B170" s="31">
        <f>+VLOOKUP($A170,MAGAZZINO!$B$2:$M$4838,2,FALSE)</f>
        <v/>
      </c>
      <c r="C170" s="32">
        <f>+VLOOKUP($A170,MAGAZZINO!$B$2:$M$4838,3,FALSE)</f>
        <v/>
      </c>
      <c r="D170" s="17">
        <f>+VLOOKUP($A170,MAGAZZINO!$B$2:$M$4838,4,FALSE)</f>
        <v/>
      </c>
      <c r="E170" s="17">
        <f>+VLOOKUP($A170,MAGAZZINO!$B$2:$M$4838,5,FALSE)</f>
        <v/>
      </c>
      <c r="F170" s="17">
        <f>+VLOOKUP($A170,MAGAZZINO!$B$2:$M$4838,6,FALSE)</f>
        <v/>
      </c>
      <c r="G170" s="17">
        <f>+VLOOKUP($A170,MAGAZZINO!$B$2:$M$4838,7,FALSE)</f>
        <v/>
      </c>
      <c r="H170" s="17">
        <f>+VLOOKUP($A170,MAGAZZINO!$B$2:$M$4838,8,FALSE)</f>
        <v/>
      </c>
      <c r="I170" s="17">
        <f>+VLOOKUP($A170,MAGAZZINO!$B$2:$M$4838,9,FALSE)</f>
        <v/>
      </c>
      <c r="J170" s="17">
        <f>+VLOOKUP($A170,MAGAZZINO!$B$2:$M$4838,10,FALSE)</f>
        <v/>
      </c>
      <c r="K170" s="17">
        <f>+VLOOKUP($A170,MAGAZZINO!$B$2:$M$4838,11,FALSE)</f>
        <v/>
      </c>
      <c r="L170" s="44">
        <f>+VLOOKUP($A170,MAGAZZINO!$B$2:$M$4838,12,FALSE)</f>
        <v/>
      </c>
    </row>
    <row r="171" ht="36" customHeight="1">
      <c r="A171" s="30">
        <f>+REGISTRO!A171</f>
        <v/>
      </c>
      <c r="B171" s="31">
        <f>+VLOOKUP($A171,MAGAZZINO!$B$2:$M$4838,2,FALSE)</f>
        <v/>
      </c>
      <c r="C171" s="32">
        <f>+VLOOKUP($A171,MAGAZZINO!$B$2:$M$4838,3,FALSE)</f>
        <v/>
      </c>
      <c r="D171" s="17">
        <f>+VLOOKUP($A171,MAGAZZINO!$B$2:$M$4838,4,FALSE)</f>
        <v/>
      </c>
      <c r="E171" s="17">
        <f>+VLOOKUP($A171,MAGAZZINO!$B$2:$M$4838,5,FALSE)</f>
        <v/>
      </c>
      <c r="F171" s="17">
        <f>+VLOOKUP($A171,MAGAZZINO!$B$2:$M$4838,6,FALSE)</f>
        <v/>
      </c>
      <c r="G171" s="17">
        <f>+VLOOKUP($A171,MAGAZZINO!$B$2:$M$4838,7,FALSE)</f>
        <v/>
      </c>
      <c r="H171" s="17">
        <f>+VLOOKUP($A171,MAGAZZINO!$B$2:$M$4838,8,FALSE)</f>
        <v/>
      </c>
      <c r="I171" s="17">
        <f>+VLOOKUP($A171,MAGAZZINO!$B$2:$M$4838,9,FALSE)</f>
        <v/>
      </c>
      <c r="J171" s="17">
        <f>+VLOOKUP($A171,MAGAZZINO!$B$2:$M$4838,10,FALSE)</f>
        <v/>
      </c>
      <c r="K171" s="17">
        <f>+VLOOKUP($A171,MAGAZZINO!$B$2:$M$4838,11,FALSE)</f>
        <v/>
      </c>
      <c r="L171" s="44">
        <f>+VLOOKUP($A171,MAGAZZINO!$B$2:$M$4838,12,FALSE)</f>
        <v/>
      </c>
    </row>
    <row r="172" ht="36" customHeight="1">
      <c r="A172" s="30">
        <f>+REGISTRO!A172</f>
        <v/>
      </c>
      <c r="B172" s="31">
        <f>+VLOOKUP($A172,MAGAZZINO!$B$2:$M$4838,2,FALSE)</f>
        <v/>
      </c>
      <c r="C172" s="32">
        <f>+VLOOKUP($A172,MAGAZZINO!$B$2:$M$4838,3,FALSE)</f>
        <v/>
      </c>
      <c r="D172" s="17">
        <f>+VLOOKUP($A172,MAGAZZINO!$B$2:$M$4838,4,FALSE)</f>
        <v/>
      </c>
      <c r="E172" s="17">
        <f>+VLOOKUP($A172,MAGAZZINO!$B$2:$M$4838,5,FALSE)</f>
        <v/>
      </c>
      <c r="F172" s="17">
        <f>+VLOOKUP($A172,MAGAZZINO!$B$2:$M$4838,6,FALSE)</f>
        <v/>
      </c>
      <c r="G172" s="17">
        <f>+VLOOKUP($A172,MAGAZZINO!$B$2:$M$4838,7,FALSE)</f>
        <v/>
      </c>
      <c r="H172" s="17">
        <f>+VLOOKUP($A172,MAGAZZINO!$B$2:$M$4838,8,FALSE)</f>
        <v/>
      </c>
      <c r="I172" s="17">
        <f>+VLOOKUP($A172,MAGAZZINO!$B$2:$M$4838,9,FALSE)</f>
        <v/>
      </c>
      <c r="J172" s="17">
        <f>+VLOOKUP($A172,MAGAZZINO!$B$2:$M$4838,10,FALSE)</f>
        <v/>
      </c>
      <c r="K172" s="17">
        <f>+VLOOKUP($A172,MAGAZZINO!$B$2:$M$4838,11,FALSE)</f>
        <v/>
      </c>
      <c r="L172" s="44">
        <f>+VLOOKUP($A172,MAGAZZINO!$B$2:$M$4838,12,FALSE)</f>
        <v/>
      </c>
    </row>
    <row r="173" ht="36" customHeight="1">
      <c r="A173" s="30">
        <f>+REGISTRO!A173</f>
        <v/>
      </c>
      <c r="B173" s="31">
        <f>+VLOOKUP($A173,MAGAZZINO!$B$2:$M$4838,2,FALSE)</f>
        <v/>
      </c>
      <c r="C173" s="32">
        <f>+VLOOKUP($A173,MAGAZZINO!$B$2:$M$4838,3,FALSE)</f>
        <v/>
      </c>
      <c r="D173" s="17">
        <f>+VLOOKUP($A173,MAGAZZINO!$B$2:$M$4838,4,FALSE)</f>
        <v/>
      </c>
      <c r="E173" s="17">
        <f>+VLOOKUP($A173,MAGAZZINO!$B$2:$M$4838,5,FALSE)</f>
        <v/>
      </c>
      <c r="F173" s="17">
        <f>+VLOOKUP($A173,MAGAZZINO!$B$2:$M$4838,6,FALSE)</f>
        <v/>
      </c>
      <c r="G173" s="17">
        <f>+VLOOKUP($A173,MAGAZZINO!$B$2:$M$4838,7,FALSE)</f>
        <v/>
      </c>
      <c r="H173" s="17">
        <f>+VLOOKUP($A173,MAGAZZINO!$B$2:$M$4838,8,FALSE)</f>
        <v/>
      </c>
      <c r="I173" s="17">
        <f>+VLOOKUP($A173,MAGAZZINO!$B$2:$M$4838,9,FALSE)</f>
        <v/>
      </c>
      <c r="J173" s="17">
        <f>+VLOOKUP($A173,MAGAZZINO!$B$2:$M$4838,10,FALSE)</f>
        <v/>
      </c>
      <c r="K173" s="17">
        <f>+VLOOKUP($A173,MAGAZZINO!$B$2:$M$4838,11,FALSE)</f>
        <v/>
      </c>
      <c r="L173" s="44">
        <f>+VLOOKUP($A173,MAGAZZINO!$B$2:$M$4838,12,FALSE)</f>
        <v/>
      </c>
    </row>
    <row r="174" ht="36" customHeight="1">
      <c r="A174" s="30">
        <f>+REGISTRO!A174</f>
        <v/>
      </c>
      <c r="B174" s="31">
        <f>+VLOOKUP($A174,MAGAZZINO!$B$2:$M$4838,2,FALSE)</f>
        <v/>
      </c>
      <c r="C174" s="32">
        <f>+VLOOKUP($A174,MAGAZZINO!$B$2:$M$4838,3,FALSE)</f>
        <v/>
      </c>
      <c r="D174" s="17">
        <f>+VLOOKUP($A174,MAGAZZINO!$B$2:$M$4838,4,FALSE)</f>
        <v/>
      </c>
      <c r="E174" s="17">
        <f>+VLOOKUP($A174,MAGAZZINO!$B$2:$M$4838,5,FALSE)</f>
        <v/>
      </c>
      <c r="F174" s="17">
        <f>+VLOOKUP($A174,MAGAZZINO!$B$2:$M$4838,6,FALSE)</f>
        <v/>
      </c>
      <c r="G174" s="17">
        <f>+VLOOKUP($A174,MAGAZZINO!$B$2:$M$4838,7,FALSE)</f>
        <v/>
      </c>
      <c r="H174" s="17">
        <f>+VLOOKUP($A174,MAGAZZINO!$B$2:$M$4838,8,FALSE)</f>
        <v/>
      </c>
      <c r="I174" s="17">
        <f>+VLOOKUP($A174,MAGAZZINO!$B$2:$M$4838,9,FALSE)</f>
        <v/>
      </c>
      <c r="J174" s="17">
        <f>+VLOOKUP($A174,MAGAZZINO!$B$2:$M$4838,10,FALSE)</f>
        <v/>
      </c>
      <c r="K174" s="17">
        <f>+VLOOKUP($A174,MAGAZZINO!$B$2:$M$4838,11,FALSE)</f>
        <v/>
      </c>
      <c r="L174" s="44">
        <f>+VLOOKUP($A174,MAGAZZINO!$B$2:$M$4838,12,FALSE)</f>
        <v/>
      </c>
    </row>
    <row r="175" ht="36" customHeight="1">
      <c r="A175" s="30">
        <f>+REGISTRO!A175</f>
        <v/>
      </c>
      <c r="B175" s="31">
        <f>+VLOOKUP($A175,MAGAZZINO!$B$2:$M$4838,2,FALSE)</f>
        <v/>
      </c>
      <c r="C175" s="32">
        <f>+VLOOKUP($A175,MAGAZZINO!$B$2:$M$4838,3,FALSE)</f>
        <v/>
      </c>
      <c r="D175" s="17">
        <f>+VLOOKUP($A175,MAGAZZINO!$B$2:$M$4838,4,FALSE)</f>
        <v/>
      </c>
      <c r="E175" s="17">
        <f>+VLOOKUP($A175,MAGAZZINO!$B$2:$M$4838,5,FALSE)</f>
        <v/>
      </c>
      <c r="F175" s="17">
        <f>+VLOOKUP($A175,MAGAZZINO!$B$2:$M$4838,6,FALSE)</f>
        <v/>
      </c>
      <c r="G175" s="17">
        <f>+VLOOKUP($A175,MAGAZZINO!$B$2:$M$4838,7,FALSE)</f>
        <v/>
      </c>
      <c r="H175" s="17">
        <f>+VLOOKUP($A175,MAGAZZINO!$B$2:$M$4838,8,FALSE)</f>
        <v/>
      </c>
      <c r="I175" s="17">
        <f>+VLOOKUP($A175,MAGAZZINO!$B$2:$M$4838,9,FALSE)</f>
        <v/>
      </c>
      <c r="J175" s="17">
        <f>+VLOOKUP($A175,MAGAZZINO!$B$2:$M$4838,10,FALSE)</f>
        <v/>
      </c>
      <c r="K175" s="17">
        <f>+VLOOKUP($A175,MAGAZZINO!$B$2:$M$4838,11,FALSE)</f>
        <v/>
      </c>
      <c r="L175" s="44">
        <f>+VLOOKUP($A175,MAGAZZINO!$B$2:$M$4838,12,FALSE)</f>
        <v/>
      </c>
    </row>
    <row r="176" ht="36" customHeight="1">
      <c r="A176" s="30">
        <f>+REGISTRO!A176</f>
        <v/>
      </c>
      <c r="B176" s="31">
        <f>+VLOOKUP($A176,MAGAZZINO!$B$2:$M$4838,2,FALSE)</f>
        <v/>
      </c>
      <c r="C176" s="32">
        <f>+VLOOKUP($A176,MAGAZZINO!$B$2:$M$4838,3,FALSE)</f>
        <v/>
      </c>
      <c r="D176" s="17">
        <f>+VLOOKUP($A176,MAGAZZINO!$B$2:$M$4838,4,FALSE)</f>
        <v/>
      </c>
      <c r="E176" s="17">
        <f>+VLOOKUP($A176,MAGAZZINO!$B$2:$M$4838,5,FALSE)</f>
        <v/>
      </c>
      <c r="F176" s="17">
        <f>+VLOOKUP($A176,MAGAZZINO!$B$2:$M$4838,6,FALSE)</f>
        <v/>
      </c>
      <c r="G176" s="17">
        <f>+VLOOKUP($A176,MAGAZZINO!$B$2:$M$4838,7,FALSE)</f>
        <v/>
      </c>
      <c r="H176" s="17">
        <f>+VLOOKUP($A176,MAGAZZINO!$B$2:$M$4838,8,FALSE)</f>
        <v/>
      </c>
      <c r="I176" s="17">
        <f>+VLOOKUP($A176,MAGAZZINO!$B$2:$M$4838,9,FALSE)</f>
        <v/>
      </c>
      <c r="J176" s="17">
        <f>+VLOOKUP($A176,MAGAZZINO!$B$2:$M$4838,10,FALSE)</f>
        <v/>
      </c>
      <c r="K176" s="17">
        <f>+VLOOKUP($A176,MAGAZZINO!$B$2:$M$4838,11,FALSE)</f>
        <v/>
      </c>
      <c r="L176" s="44">
        <f>+VLOOKUP($A176,MAGAZZINO!$B$2:$M$4838,12,FALSE)</f>
        <v/>
      </c>
    </row>
    <row r="177" ht="36" customHeight="1">
      <c r="A177" s="30">
        <f>+REGISTRO!A177</f>
        <v/>
      </c>
      <c r="B177" s="31">
        <f>+VLOOKUP($A177,MAGAZZINO!$B$2:$M$4838,2,FALSE)</f>
        <v/>
      </c>
      <c r="C177" s="32">
        <f>+VLOOKUP($A177,MAGAZZINO!$B$2:$M$4838,3,FALSE)</f>
        <v/>
      </c>
      <c r="D177" s="17">
        <f>+VLOOKUP($A177,MAGAZZINO!$B$2:$M$4838,4,FALSE)</f>
        <v/>
      </c>
      <c r="E177" s="17">
        <f>+VLOOKUP($A177,MAGAZZINO!$B$2:$M$4838,5,FALSE)</f>
        <v/>
      </c>
      <c r="F177" s="17">
        <f>+VLOOKUP($A177,MAGAZZINO!$B$2:$M$4838,6,FALSE)</f>
        <v/>
      </c>
      <c r="G177" s="17">
        <f>+VLOOKUP($A177,MAGAZZINO!$B$2:$M$4838,7,FALSE)</f>
        <v/>
      </c>
      <c r="H177" s="17">
        <f>+VLOOKUP($A177,MAGAZZINO!$B$2:$M$4838,8,FALSE)</f>
        <v/>
      </c>
      <c r="I177" s="17">
        <f>+VLOOKUP($A177,MAGAZZINO!$B$2:$M$4838,9,FALSE)</f>
        <v/>
      </c>
      <c r="J177" s="17">
        <f>+VLOOKUP($A177,MAGAZZINO!$B$2:$M$4838,10,FALSE)</f>
        <v/>
      </c>
      <c r="K177" s="17">
        <f>+VLOOKUP($A177,MAGAZZINO!$B$2:$M$4838,11,FALSE)</f>
        <v/>
      </c>
      <c r="L177" s="44">
        <f>+VLOOKUP($A177,MAGAZZINO!$B$2:$M$4838,12,FALSE)</f>
        <v/>
      </c>
    </row>
    <row r="178" ht="36" customHeight="1">
      <c r="A178" s="30">
        <f>+REGISTRO!A178</f>
        <v/>
      </c>
      <c r="B178" s="31">
        <f>+VLOOKUP($A178,MAGAZZINO!$B$2:$M$4838,2,FALSE)</f>
        <v/>
      </c>
      <c r="C178" s="32">
        <f>+VLOOKUP($A178,MAGAZZINO!$B$2:$M$4838,3,FALSE)</f>
        <v/>
      </c>
      <c r="D178" s="17">
        <f>+VLOOKUP($A178,MAGAZZINO!$B$2:$M$4838,4,FALSE)</f>
        <v/>
      </c>
      <c r="E178" s="17">
        <f>+VLOOKUP($A178,MAGAZZINO!$B$2:$M$4838,5,FALSE)</f>
        <v/>
      </c>
      <c r="F178" s="17">
        <f>+VLOOKUP($A178,MAGAZZINO!$B$2:$M$4838,6,FALSE)</f>
        <v/>
      </c>
      <c r="G178" s="17">
        <f>+VLOOKUP($A178,MAGAZZINO!$B$2:$M$4838,7,FALSE)</f>
        <v/>
      </c>
      <c r="H178" s="17">
        <f>+VLOOKUP($A178,MAGAZZINO!$B$2:$M$4838,8,FALSE)</f>
        <v/>
      </c>
      <c r="I178" s="17">
        <f>+VLOOKUP($A178,MAGAZZINO!$B$2:$M$4838,9,FALSE)</f>
        <v/>
      </c>
      <c r="J178" s="17">
        <f>+VLOOKUP($A178,MAGAZZINO!$B$2:$M$4838,10,FALSE)</f>
        <v/>
      </c>
      <c r="K178" s="17">
        <f>+VLOOKUP($A178,MAGAZZINO!$B$2:$M$4838,11,FALSE)</f>
        <v/>
      </c>
      <c r="L178" s="44">
        <f>+VLOOKUP($A178,MAGAZZINO!$B$2:$M$4838,12,FALSE)</f>
        <v/>
      </c>
    </row>
    <row r="179" ht="36" customHeight="1">
      <c r="A179" s="30">
        <f>+REGISTRO!A179</f>
        <v/>
      </c>
      <c r="B179" s="31">
        <f>+VLOOKUP($A179,MAGAZZINO!$B$2:$M$4838,2,FALSE)</f>
        <v/>
      </c>
      <c r="C179" s="32">
        <f>+VLOOKUP($A179,MAGAZZINO!$B$2:$M$4838,3,FALSE)</f>
        <v/>
      </c>
      <c r="D179" s="17">
        <f>+VLOOKUP($A179,MAGAZZINO!$B$2:$M$4838,4,FALSE)</f>
        <v/>
      </c>
      <c r="E179" s="17">
        <f>+VLOOKUP($A179,MAGAZZINO!$B$2:$M$4838,5,FALSE)</f>
        <v/>
      </c>
      <c r="F179" s="17">
        <f>+VLOOKUP($A179,MAGAZZINO!$B$2:$M$4838,6,FALSE)</f>
        <v/>
      </c>
      <c r="G179" s="17">
        <f>+VLOOKUP($A179,MAGAZZINO!$B$2:$M$4838,7,FALSE)</f>
        <v/>
      </c>
      <c r="H179" s="17">
        <f>+VLOOKUP($A179,MAGAZZINO!$B$2:$M$4838,8,FALSE)</f>
        <v/>
      </c>
      <c r="I179" s="17">
        <f>+VLOOKUP($A179,MAGAZZINO!$B$2:$M$4838,9,FALSE)</f>
        <v/>
      </c>
      <c r="J179" s="17">
        <f>+VLOOKUP($A179,MAGAZZINO!$B$2:$M$4838,10,FALSE)</f>
        <v/>
      </c>
      <c r="K179" s="17">
        <f>+VLOOKUP($A179,MAGAZZINO!$B$2:$M$4838,11,FALSE)</f>
        <v/>
      </c>
      <c r="L179" s="44">
        <f>+VLOOKUP($A179,MAGAZZINO!$B$2:$M$4838,12,FALSE)</f>
        <v/>
      </c>
    </row>
    <row r="180" ht="36" customHeight="1">
      <c r="A180" s="30">
        <f>+REGISTRO!A180</f>
        <v/>
      </c>
      <c r="B180" s="31">
        <f>+VLOOKUP($A180,MAGAZZINO!$B$2:$M$4838,2,FALSE)</f>
        <v/>
      </c>
      <c r="C180" s="32">
        <f>+VLOOKUP($A180,MAGAZZINO!$B$2:$M$4838,3,FALSE)</f>
        <v/>
      </c>
      <c r="D180" s="17">
        <f>+VLOOKUP($A180,MAGAZZINO!$B$2:$M$4838,4,FALSE)</f>
        <v/>
      </c>
      <c r="E180" s="17">
        <f>+VLOOKUP($A180,MAGAZZINO!$B$2:$M$4838,5,FALSE)</f>
        <v/>
      </c>
      <c r="F180" s="17">
        <f>+VLOOKUP($A180,MAGAZZINO!$B$2:$M$4838,6,FALSE)</f>
        <v/>
      </c>
      <c r="G180" s="17">
        <f>+VLOOKUP($A180,MAGAZZINO!$B$2:$M$4838,7,FALSE)</f>
        <v/>
      </c>
      <c r="H180" s="17">
        <f>+VLOOKUP($A180,MAGAZZINO!$B$2:$M$4838,8,FALSE)</f>
        <v/>
      </c>
      <c r="I180" s="17">
        <f>+VLOOKUP($A180,MAGAZZINO!$B$2:$M$4838,9,FALSE)</f>
        <v/>
      </c>
      <c r="J180" s="17">
        <f>+VLOOKUP($A180,MAGAZZINO!$B$2:$M$4838,10,FALSE)</f>
        <v/>
      </c>
      <c r="K180" s="17">
        <f>+VLOOKUP($A180,MAGAZZINO!$B$2:$M$4838,11,FALSE)</f>
        <v/>
      </c>
      <c r="L180" s="44">
        <f>+VLOOKUP($A180,MAGAZZINO!$B$2:$M$4838,12,FALSE)</f>
        <v/>
      </c>
    </row>
    <row r="181" ht="36" customHeight="1">
      <c r="A181" s="30">
        <f>+REGISTRO!A181</f>
        <v/>
      </c>
      <c r="B181" s="31">
        <f>+VLOOKUP($A181,MAGAZZINO!$B$2:$M$4838,2,FALSE)</f>
        <v/>
      </c>
      <c r="C181" s="32">
        <f>+VLOOKUP($A181,MAGAZZINO!$B$2:$M$4838,3,FALSE)</f>
        <v/>
      </c>
      <c r="D181" s="17">
        <f>+VLOOKUP($A181,MAGAZZINO!$B$2:$M$4838,4,FALSE)</f>
        <v/>
      </c>
      <c r="E181" s="17">
        <f>+VLOOKUP($A181,MAGAZZINO!$B$2:$M$4838,5,FALSE)</f>
        <v/>
      </c>
      <c r="F181" s="17">
        <f>+VLOOKUP($A181,MAGAZZINO!$B$2:$M$4838,6,FALSE)</f>
        <v/>
      </c>
      <c r="G181" s="17">
        <f>+VLOOKUP($A181,MAGAZZINO!$B$2:$M$4838,7,FALSE)</f>
        <v/>
      </c>
      <c r="H181" s="17">
        <f>+VLOOKUP($A181,MAGAZZINO!$B$2:$M$4838,8,FALSE)</f>
        <v/>
      </c>
      <c r="I181" s="17">
        <f>+VLOOKUP($A181,MAGAZZINO!$B$2:$M$4838,9,FALSE)</f>
        <v/>
      </c>
      <c r="J181" s="17">
        <f>+VLOOKUP($A181,MAGAZZINO!$B$2:$M$4838,10,FALSE)</f>
        <v/>
      </c>
      <c r="K181" s="17">
        <f>+VLOOKUP($A181,MAGAZZINO!$B$2:$M$4838,11,FALSE)</f>
        <v/>
      </c>
      <c r="L181" s="44">
        <f>+VLOOKUP($A181,MAGAZZINO!$B$2:$M$4838,12,FALSE)</f>
        <v/>
      </c>
    </row>
    <row r="182" ht="36" customHeight="1">
      <c r="A182" s="30">
        <f>+REGISTRO!A182</f>
        <v/>
      </c>
      <c r="B182" s="31">
        <f>+VLOOKUP($A182,MAGAZZINO!$B$2:$M$4838,2,FALSE)</f>
        <v/>
      </c>
      <c r="C182" s="32">
        <f>+VLOOKUP($A182,MAGAZZINO!$B$2:$M$4838,3,FALSE)</f>
        <v/>
      </c>
      <c r="D182" s="17">
        <f>+VLOOKUP($A182,MAGAZZINO!$B$2:$M$4838,4,FALSE)</f>
        <v/>
      </c>
      <c r="E182" s="17">
        <f>+VLOOKUP($A182,MAGAZZINO!$B$2:$M$4838,5,FALSE)</f>
        <v/>
      </c>
      <c r="F182" s="17">
        <f>+VLOOKUP($A182,MAGAZZINO!$B$2:$M$4838,6,FALSE)</f>
        <v/>
      </c>
      <c r="G182" s="17">
        <f>+VLOOKUP($A182,MAGAZZINO!$B$2:$M$4838,7,FALSE)</f>
        <v/>
      </c>
      <c r="H182" s="17">
        <f>+VLOOKUP($A182,MAGAZZINO!$B$2:$M$4838,8,FALSE)</f>
        <v/>
      </c>
      <c r="I182" s="17">
        <f>+VLOOKUP($A182,MAGAZZINO!$B$2:$M$4838,9,FALSE)</f>
        <v/>
      </c>
      <c r="J182" s="17">
        <f>+VLOOKUP($A182,MAGAZZINO!$B$2:$M$4838,10,FALSE)</f>
        <v/>
      </c>
      <c r="K182" s="17">
        <f>+VLOOKUP($A182,MAGAZZINO!$B$2:$M$4838,11,FALSE)</f>
        <v/>
      </c>
      <c r="L182" s="44">
        <f>+VLOOKUP($A182,MAGAZZINO!$B$2:$M$4838,12,FALSE)</f>
        <v/>
      </c>
    </row>
    <row r="183" ht="36" customHeight="1">
      <c r="A183" s="30">
        <f>+REGISTRO!A183</f>
        <v/>
      </c>
      <c r="B183" s="31">
        <f>+VLOOKUP($A183,MAGAZZINO!$B$2:$M$4838,2,FALSE)</f>
        <v/>
      </c>
      <c r="C183" s="32">
        <f>+VLOOKUP($A183,MAGAZZINO!$B$2:$M$4838,3,FALSE)</f>
        <v/>
      </c>
      <c r="D183" s="17">
        <f>+VLOOKUP($A183,MAGAZZINO!$B$2:$M$4838,4,FALSE)</f>
        <v/>
      </c>
      <c r="E183" s="17">
        <f>+VLOOKUP($A183,MAGAZZINO!$B$2:$M$4838,5,FALSE)</f>
        <v/>
      </c>
      <c r="F183" s="17">
        <f>+VLOOKUP($A183,MAGAZZINO!$B$2:$M$4838,6,FALSE)</f>
        <v/>
      </c>
      <c r="G183" s="17">
        <f>+VLOOKUP($A183,MAGAZZINO!$B$2:$M$4838,7,FALSE)</f>
        <v/>
      </c>
      <c r="H183" s="17">
        <f>+VLOOKUP($A183,MAGAZZINO!$B$2:$M$4838,8,FALSE)</f>
        <v/>
      </c>
      <c r="I183" s="17">
        <f>+VLOOKUP($A183,MAGAZZINO!$B$2:$M$4838,9,FALSE)</f>
        <v/>
      </c>
      <c r="J183" s="17">
        <f>+VLOOKUP($A183,MAGAZZINO!$B$2:$M$4838,10,FALSE)</f>
        <v/>
      </c>
      <c r="K183" s="17">
        <f>+VLOOKUP($A183,MAGAZZINO!$B$2:$M$4838,11,FALSE)</f>
        <v/>
      </c>
      <c r="L183" s="44">
        <f>+VLOOKUP($A183,MAGAZZINO!$B$2:$M$4838,12,FALSE)</f>
        <v/>
      </c>
    </row>
    <row r="184" ht="36" customHeight="1">
      <c r="A184" s="30">
        <f>+REGISTRO!A184</f>
        <v/>
      </c>
      <c r="B184" s="31">
        <f>+VLOOKUP($A184,MAGAZZINO!$B$2:$M$4838,2,FALSE)</f>
        <v/>
      </c>
      <c r="C184" s="32">
        <f>+VLOOKUP($A184,MAGAZZINO!$B$2:$M$4838,3,FALSE)</f>
        <v/>
      </c>
      <c r="D184" s="17">
        <f>+VLOOKUP($A184,MAGAZZINO!$B$2:$M$4838,4,FALSE)</f>
        <v/>
      </c>
      <c r="E184" s="17">
        <f>+VLOOKUP($A184,MAGAZZINO!$B$2:$M$4838,5,FALSE)</f>
        <v/>
      </c>
      <c r="F184" s="17">
        <f>+VLOOKUP($A184,MAGAZZINO!$B$2:$M$4838,6,FALSE)</f>
        <v/>
      </c>
      <c r="G184" s="17">
        <f>+VLOOKUP($A184,MAGAZZINO!$B$2:$M$4838,7,FALSE)</f>
        <v/>
      </c>
      <c r="H184" s="17">
        <f>+VLOOKUP($A184,MAGAZZINO!$B$2:$M$4838,8,FALSE)</f>
        <v/>
      </c>
      <c r="I184" s="17">
        <f>+VLOOKUP($A184,MAGAZZINO!$B$2:$M$4838,9,FALSE)</f>
        <v/>
      </c>
      <c r="J184" s="17">
        <f>+VLOOKUP($A184,MAGAZZINO!$B$2:$M$4838,10,FALSE)</f>
        <v/>
      </c>
      <c r="K184" s="17">
        <f>+VLOOKUP($A184,MAGAZZINO!$B$2:$M$4838,11,FALSE)</f>
        <v/>
      </c>
      <c r="L184" s="44">
        <f>+VLOOKUP($A184,MAGAZZINO!$B$2:$M$4838,12,FALSE)</f>
        <v/>
      </c>
    </row>
    <row r="185" ht="36" customHeight="1">
      <c r="A185" s="30">
        <f>+REGISTRO!A185</f>
        <v/>
      </c>
      <c r="B185" s="31">
        <f>+VLOOKUP($A185,MAGAZZINO!$B$2:$M$4838,2,FALSE)</f>
        <v/>
      </c>
      <c r="C185" s="32">
        <f>+VLOOKUP($A185,MAGAZZINO!$B$2:$M$4838,3,FALSE)</f>
        <v/>
      </c>
      <c r="D185" s="17">
        <f>+VLOOKUP($A185,MAGAZZINO!$B$2:$M$4838,4,FALSE)</f>
        <v/>
      </c>
      <c r="E185" s="17">
        <f>+VLOOKUP($A185,MAGAZZINO!$B$2:$M$4838,5,FALSE)</f>
        <v/>
      </c>
      <c r="F185" s="17">
        <f>+VLOOKUP($A185,MAGAZZINO!$B$2:$M$4838,6,FALSE)</f>
        <v/>
      </c>
      <c r="G185" s="17">
        <f>+VLOOKUP($A185,MAGAZZINO!$B$2:$M$4838,7,FALSE)</f>
        <v/>
      </c>
      <c r="H185" s="17">
        <f>+VLOOKUP($A185,MAGAZZINO!$B$2:$M$4838,8,FALSE)</f>
        <v/>
      </c>
      <c r="I185" s="17">
        <f>+VLOOKUP($A185,MAGAZZINO!$B$2:$M$4838,9,FALSE)</f>
        <v/>
      </c>
      <c r="J185" s="17">
        <f>+VLOOKUP($A185,MAGAZZINO!$B$2:$M$4838,10,FALSE)</f>
        <v/>
      </c>
      <c r="K185" s="17">
        <f>+VLOOKUP($A185,MAGAZZINO!$B$2:$M$4838,11,FALSE)</f>
        <v/>
      </c>
      <c r="L185" s="44">
        <f>+VLOOKUP($A185,MAGAZZINO!$B$2:$M$4838,12,FALSE)</f>
        <v/>
      </c>
    </row>
    <row r="186" ht="36" customHeight="1">
      <c r="A186" s="30">
        <f>+REGISTRO!#REF!</f>
        <v/>
      </c>
      <c r="B186" s="31">
        <f>+VLOOKUP($A186,MAGAZZINO!$B$2:$M$4838,2,FALSE)</f>
        <v/>
      </c>
      <c r="C186" s="32">
        <f>+VLOOKUP($A186,MAGAZZINO!$B$2:$M$4838,3,FALSE)</f>
        <v/>
      </c>
      <c r="D186" s="17">
        <f>+VLOOKUP($A186,MAGAZZINO!$B$2:$M$4838,4,FALSE)</f>
        <v/>
      </c>
      <c r="E186" s="17">
        <f>+VLOOKUP($A186,MAGAZZINO!$B$2:$M$4838,5,FALSE)</f>
        <v/>
      </c>
      <c r="F186" s="17">
        <f>+VLOOKUP($A186,MAGAZZINO!$B$2:$M$4838,6,FALSE)</f>
        <v/>
      </c>
      <c r="G186" s="17">
        <f>+VLOOKUP($A186,MAGAZZINO!$B$2:$M$4838,7,FALSE)</f>
        <v/>
      </c>
      <c r="H186" s="17">
        <f>+VLOOKUP($A186,MAGAZZINO!$B$2:$M$4838,8,FALSE)</f>
        <v/>
      </c>
      <c r="I186" s="17">
        <f>+VLOOKUP($A186,MAGAZZINO!$B$2:$M$4838,9,FALSE)</f>
        <v/>
      </c>
      <c r="J186" s="17">
        <f>+VLOOKUP($A186,MAGAZZINO!$B$2:$M$4838,10,FALSE)</f>
        <v/>
      </c>
      <c r="K186" s="17">
        <f>+VLOOKUP($A186,MAGAZZINO!$B$2:$M$4838,11,FALSE)</f>
        <v/>
      </c>
      <c r="L186" s="44">
        <f>+VLOOKUP($A186,MAGAZZINO!$B$2:$M$4838,12,FALSE)</f>
        <v/>
      </c>
    </row>
    <row r="187" ht="36" customHeight="1">
      <c r="A187" s="30">
        <f>+REGISTRO!#REF!</f>
        <v/>
      </c>
      <c r="B187" s="31">
        <f>+VLOOKUP($A187,MAGAZZINO!$B$2:$M$4838,2,FALSE)</f>
        <v/>
      </c>
      <c r="C187" s="32">
        <f>+VLOOKUP($A187,MAGAZZINO!$B$2:$M$4838,3,FALSE)</f>
        <v/>
      </c>
      <c r="D187" s="17">
        <f>+VLOOKUP($A187,MAGAZZINO!$B$2:$M$4838,4,FALSE)</f>
        <v/>
      </c>
      <c r="E187" s="17">
        <f>+VLOOKUP($A187,MAGAZZINO!$B$2:$M$4838,5,FALSE)</f>
        <v/>
      </c>
      <c r="F187" s="17">
        <f>+VLOOKUP($A187,MAGAZZINO!$B$2:$M$4838,6,FALSE)</f>
        <v/>
      </c>
      <c r="G187" s="17">
        <f>+VLOOKUP($A187,MAGAZZINO!$B$2:$M$4838,7,FALSE)</f>
        <v/>
      </c>
      <c r="H187" s="17">
        <f>+VLOOKUP($A187,MAGAZZINO!$B$2:$M$4838,8,FALSE)</f>
        <v/>
      </c>
      <c r="I187" s="17">
        <f>+VLOOKUP($A187,MAGAZZINO!$B$2:$M$4838,9,FALSE)</f>
        <v/>
      </c>
      <c r="J187" s="17">
        <f>+VLOOKUP($A187,MAGAZZINO!$B$2:$M$4838,10,FALSE)</f>
        <v/>
      </c>
      <c r="K187" s="17">
        <f>+VLOOKUP($A187,MAGAZZINO!$B$2:$M$4838,11,FALSE)</f>
        <v/>
      </c>
      <c r="L187" s="44">
        <f>+VLOOKUP($A187,MAGAZZINO!$B$2:$M$4838,12,FALSE)</f>
        <v/>
      </c>
    </row>
    <row r="188" ht="36" customHeight="1">
      <c r="A188" s="30">
        <f>+REGISTRO!#REF!</f>
        <v/>
      </c>
      <c r="B188" s="31">
        <f>+VLOOKUP($A188,MAGAZZINO!$B$2:$M$4838,2,FALSE)</f>
        <v/>
      </c>
      <c r="C188" s="32">
        <f>+VLOOKUP($A188,MAGAZZINO!$B$2:$M$4838,3,FALSE)</f>
        <v/>
      </c>
      <c r="D188" s="17">
        <f>+VLOOKUP($A188,MAGAZZINO!$B$2:$M$4838,4,FALSE)</f>
        <v/>
      </c>
      <c r="E188" s="17">
        <f>+VLOOKUP($A188,MAGAZZINO!$B$2:$M$4838,5,FALSE)</f>
        <v/>
      </c>
      <c r="F188" s="17">
        <f>+VLOOKUP($A188,MAGAZZINO!$B$2:$M$4838,6,FALSE)</f>
        <v/>
      </c>
      <c r="G188" s="17">
        <f>+VLOOKUP($A188,MAGAZZINO!$B$2:$M$4838,7,FALSE)</f>
        <v/>
      </c>
      <c r="H188" s="17">
        <f>+VLOOKUP($A188,MAGAZZINO!$B$2:$M$4838,8,FALSE)</f>
        <v/>
      </c>
      <c r="I188" s="17">
        <f>+VLOOKUP($A188,MAGAZZINO!$B$2:$M$4838,9,FALSE)</f>
        <v/>
      </c>
      <c r="J188" s="17">
        <f>+VLOOKUP($A188,MAGAZZINO!$B$2:$M$4838,10,FALSE)</f>
        <v/>
      </c>
      <c r="K188" s="17">
        <f>+VLOOKUP($A188,MAGAZZINO!$B$2:$M$4838,11,FALSE)</f>
        <v/>
      </c>
      <c r="L188" s="44">
        <f>+VLOOKUP($A188,MAGAZZINO!$B$2:$M$4838,12,FALSE)</f>
        <v/>
      </c>
    </row>
    <row r="189" ht="36" customHeight="1">
      <c r="A189" s="30">
        <f>+REGISTRO!#REF!</f>
        <v/>
      </c>
      <c r="B189" s="31">
        <f>+VLOOKUP($A189,MAGAZZINO!$B$2:$M$4838,2,FALSE)</f>
        <v/>
      </c>
      <c r="C189" s="32">
        <f>+VLOOKUP($A189,MAGAZZINO!$B$2:$M$4838,3,FALSE)</f>
        <v/>
      </c>
      <c r="D189" s="17">
        <f>+VLOOKUP($A189,MAGAZZINO!$B$2:$M$4838,4,FALSE)</f>
        <v/>
      </c>
      <c r="E189" s="17">
        <f>+VLOOKUP($A189,MAGAZZINO!$B$2:$M$4838,5,FALSE)</f>
        <v/>
      </c>
      <c r="F189" s="17">
        <f>+VLOOKUP($A189,MAGAZZINO!$B$2:$M$4838,6,FALSE)</f>
        <v/>
      </c>
      <c r="G189" s="17">
        <f>+VLOOKUP($A189,MAGAZZINO!$B$2:$M$4838,7,FALSE)</f>
        <v/>
      </c>
      <c r="H189" s="17">
        <f>+VLOOKUP($A189,MAGAZZINO!$B$2:$M$4838,8,FALSE)</f>
        <v/>
      </c>
      <c r="I189" s="17">
        <f>+VLOOKUP($A189,MAGAZZINO!$B$2:$M$4838,9,FALSE)</f>
        <v/>
      </c>
      <c r="J189" s="17">
        <f>+VLOOKUP($A189,MAGAZZINO!$B$2:$M$4838,10,FALSE)</f>
        <v/>
      </c>
      <c r="K189" s="17">
        <f>+VLOOKUP($A189,MAGAZZINO!$B$2:$M$4838,11,FALSE)</f>
        <v/>
      </c>
      <c r="L189" s="44">
        <f>+VLOOKUP($A189,MAGAZZINO!$B$2:$M$4838,12,FALSE)</f>
        <v/>
      </c>
    </row>
    <row r="190" ht="36" customHeight="1">
      <c r="A190" s="30">
        <f>+REGISTRO!#REF!</f>
        <v/>
      </c>
      <c r="B190" s="31">
        <f>+VLOOKUP($A190,MAGAZZINO!$B$2:$M$4838,2,FALSE)</f>
        <v/>
      </c>
      <c r="C190" s="32">
        <f>+VLOOKUP($A190,MAGAZZINO!$B$2:$M$4838,3,FALSE)</f>
        <v/>
      </c>
      <c r="D190" s="17">
        <f>+VLOOKUP($A190,MAGAZZINO!$B$2:$M$4838,4,FALSE)</f>
        <v/>
      </c>
      <c r="E190" s="17">
        <f>+VLOOKUP($A190,MAGAZZINO!$B$2:$M$4838,5,FALSE)</f>
        <v/>
      </c>
      <c r="F190" s="17">
        <f>+VLOOKUP($A190,MAGAZZINO!$B$2:$M$4838,6,FALSE)</f>
        <v/>
      </c>
      <c r="G190" s="17">
        <f>+VLOOKUP($A190,MAGAZZINO!$B$2:$M$4838,7,FALSE)</f>
        <v/>
      </c>
      <c r="H190" s="17">
        <f>+VLOOKUP($A190,MAGAZZINO!$B$2:$M$4838,8,FALSE)</f>
        <v/>
      </c>
      <c r="I190" s="17">
        <f>+VLOOKUP($A190,MAGAZZINO!$B$2:$M$4838,9,FALSE)</f>
        <v/>
      </c>
      <c r="J190" s="17">
        <f>+VLOOKUP($A190,MAGAZZINO!$B$2:$M$4838,10,FALSE)</f>
        <v/>
      </c>
      <c r="K190" s="17">
        <f>+VLOOKUP($A190,MAGAZZINO!$B$2:$M$4838,11,FALSE)</f>
        <v/>
      </c>
      <c r="L190" s="44">
        <f>+VLOOKUP($A190,MAGAZZINO!$B$2:$M$4838,12,FALSE)</f>
        <v/>
      </c>
    </row>
    <row r="191" ht="36" customHeight="1">
      <c r="A191" s="30">
        <f>+REGISTRO!#REF!</f>
        <v/>
      </c>
      <c r="B191" s="31">
        <f>+VLOOKUP($A191,MAGAZZINO!$B$2:$M$4838,2,FALSE)</f>
        <v/>
      </c>
      <c r="C191" s="32">
        <f>+VLOOKUP($A191,MAGAZZINO!$B$2:$M$4838,3,FALSE)</f>
        <v/>
      </c>
      <c r="D191" s="17">
        <f>+VLOOKUP($A191,MAGAZZINO!$B$2:$M$4838,4,FALSE)</f>
        <v/>
      </c>
      <c r="E191" s="17">
        <f>+VLOOKUP($A191,MAGAZZINO!$B$2:$M$4838,5,FALSE)</f>
        <v/>
      </c>
      <c r="F191" s="17">
        <f>+VLOOKUP($A191,MAGAZZINO!$B$2:$M$4838,6,FALSE)</f>
        <v/>
      </c>
      <c r="G191" s="17">
        <f>+VLOOKUP($A191,MAGAZZINO!$B$2:$M$4838,7,FALSE)</f>
        <v/>
      </c>
      <c r="H191" s="17">
        <f>+VLOOKUP($A191,MAGAZZINO!$B$2:$M$4838,8,FALSE)</f>
        <v/>
      </c>
      <c r="I191" s="17">
        <f>+VLOOKUP($A191,MAGAZZINO!$B$2:$M$4838,9,FALSE)</f>
        <v/>
      </c>
      <c r="J191" s="17">
        <f>+VLOOKUP($A191,MAGAZZINO!$B$2:$M$4838,10,FALSE)</f>
        <v/>
      </c>
      <c r="K191" s="17">
        <f>+VLOOKUP($A191,MAGAZZINO!$B$2:$M$4838,11,FALSE)</f>
        <v/>
      </c>
      <c r="L191" s="44">
        <f>+VLOOKUP($A191,MAGAZZINO!$B$2:$M$4838,12,FALSE)</f>
        <v/>
      </c>
    </row>
    <row r="192" ht="36" customHeight="1">
      <c r="A192" s="30">
        <f>+REGISTRO!#REF!</f>
        <v/>
      </c>
      <c r="B192" s="31">
        <f>+VLOOKUP($A192,MAGAZZINO!$B$2:$M$4838,2,FALSE)</f>
        <v/>
      </c>
      <c r="C192" s="32">
        <f>+VLOOKUP($A192,MAGAZZINO!$B$2:$M$4838,3,FALSE)</f>
        <v/>
      </c>
      <c r="D192" s="17">
        <f>+VLOOKUP($A192,MAGAZZINO!$B$2:$M$4838,4,FALSE)</f>
        <v/>
      </c>
      <c r="E192" s="17">
        <f>+VLOOKUP($A192,MAGAZZINO!$B$2:$M$4838,5,FALSE)</f>
        <v/>
      </c>
      <c r="F192" s="17">
        <f>+VLOOKUP($A192,MAGAZZINO!$B$2:$M$4838,6,FALSE)</f>
        <v/>
      </c>
      <c r="G192" s="17">
        <f>+VLOOKUP($A192,MAGAZZINO!$B$2:$M$4838,7,FALSE)</f>
        <v/>
      </c>
      <c r="H192" s="17">
        <f>+VLOOKUP($A192,MAGAZZINO!$B$2:$M$4838,8,FALSE)</f>
        <v/>
      </c>
      <c r="I192" s="17">
        <f>+VLOOKUP($A192,MAGAZZINO!$B$2:$M$4838,9,FALSE)</f>
        <v/>
      </c>
      <c r="J192" s="17">
        <f>+VLOOKUP($A192,MAGAZZINO!$B$2:$M$4838,10,FALSE)</f>
        <v/>
      </c>
      <c r="K192" s="17">
        <f>+VLOOKUP($A192,MAGAZZINO!$B$2:$M$4838,11,FALSE)</f>
        <v/>
      </c>
      <c r="L192" s="44">
        <f>+VLOOKUP($A192,MAGAZZINO!$B$2:$M$4838,12,FALSE)</f>
        <v/>
      </c>
    </row>
    <row r="193" ht="36" customHeight="1">
      <c r="A193" s="30">
        <f>+REGISTRO!#REF!</f>
        <v/>
      </c>
      <c r="B193" s="31">
        <f>+VLOOKUP($A193,MAGAZZINO!$B$2:$M$4838,2,FALSE)</f>
        <v/>
      </c>
      <c r="C193" s="32">
        <f>+VLOOKUP($A193,MAGAZZINO!$B$2:$M$4838,3,FALSE)</f>
        <v/>
      </c>
      <c r="D193" s="17">
        <f>+VLOOKUP($A193,MAGAZZINO!$B$2:$M$4838,4,FALSE)</f>
        <v/>
      </c>
      <c r="E193" s="17">
        <f>+VLOOKUP($A193,MAGAZZINO!$B$2:$M$4838,5,FALSE)</f>
        <v/>
      </c>
      <c r="F193" s="17">
        <f>+VLOOKUP($A193,MAGAZZINO!$B$2:$M$4838,6,FALSE)</f>
        <v/>
      </c>
      <c r="G193" s="17">
        <f>+VLOOKUP($A193,MAGAZZINO!$B$2:$M$4838,7,FALSE)</f>
        <v/>
      </c>
      <c r="H193" s="17">
        <f>+VLOOKUP($A193,MAGAZZINO!$B$2:$M$4838,8,FALSE)</f>
        <v/>
      </c>
      <c r="I193" s="17">
        <f>+VLOOKUP($A193,MAGAZZINO!$B$2:$M$4838,9,FALSE)</f>
        <v/>
      </c>
      <c r="J193" s="17">
        <f>+VLOOKUP($A193,MAGAZZINO!$B$2:$M$4838,10,FALSE)</f>
        <v/>
      </c>
      <c r="K193" s="17">
        <f>+VLOOKUP($A193,MAGAZZINO!$B$2:$M$4838,11,FALSE)</f>
        <v/>
      </c>
      <c r="L193" s="44">
        <f>+VLOOKUP($A193,MAGAZZINO!$B$2:$M$4838,12,FALSE)</f>
        <v/>
      </c>
    </row>
    <row r="194" ht="36" customHeight="1">
      <c r="A194" s="30">
        <f>+REGISTRO!#REF!</f>
        <v/>
      </c>
      <c r="B194" s="31">
        <f>+VLOOKUP($A194,MAGAZZINO!$B$2:$M$4838,2,FALSE)</f>
        <v/>
      </c>
      <c r="C194" s="32">
        <f>+VLOOKUP($A194,MAGAZZINO!$B$2:$M$4838,3,FALSE)</f>
        <v/>
      </c>
      <c r="D194" s="17">
        <f>+VLOOKUP($A194,MAGAZZINO!$B$2:$M$4838,4,FALSE)</f>
        <v/>
      </c>
      <c r="E194" s="17">
        <f>+VLOOKUP($A194,MAGAZZINO!$B$2:$M$4838,5,FALSE)</f>
        <v/>
      </c>
      <c r="F194" s="17">
        <f>+VLOOKUP($A194,MAGAZZINO!$B$2:$M$4838,6,FALSE)</f>
        <v/>
      </c>
      <c r="G194" s="17">
        <f>+VLOOKUP($A194,MAGAZZINO!$B$2:$M$4838,7,FALSE)</f>
        <v/>
      </c>
      <c r="H194" s="17">
        <f>+VLOOKUP($A194,MAGAZZINO!$B$2:$M$4838,8,FALSE)</f>
        <v/>
      </c>
      <c r="I194" s="17">
        <f>+VLOOKUP($A194,MAGAZZINO!$B$2:$M$4838,9,FALSE)</f>
        <v/>
      </c>
      <c r="J194" s="17">
        <f>+VLOOKUP($A194,MAGAZZINO!$B$2:$M$4838,10,FALSE)</f>
        <v/>
      </c>
      <c r="K194" s="17">
        <f>+VLOOKUP($A194,MAGAZZINO!$B$2:$M$4838,11,FALSE)</f>
        <v/>
      </c>
      <c r="L194" s="44">
        <f>+VLOOKUP($A194,MAGAZZINO!$B$2:$M$4838,12,FALSE)</f>
        <v/>
      </c>
    </row>
    <row r="195" ht="36" customHeight="1">
      <c r="A195" s="30">
        <f>+REGISTRO!#REF!</f>
        <v/>
      </c>
      <c r="B195" s="31">
        <f>+VLOOKUP($A195,MAGAZZINO!$B$2:$M$4838,2,FALSE)</f>
        <v/>
      </c>
      <c r="C195" s="32">
        <f>+VLOOKUP($A195,MAGAZZINO!$B$2:$M$4838,3,FALSE)</f>
        <v/>
      </c>
      <c r="D195" s="17">
        <f>+VLOOKUP($A195,MAGAZZINO!$B$2:$M$4838,4,FALSE)</f>
        <v/>
      </c>
      <c r="E195" s="17">
        <f>+VLOOKUP($A195,MAGAZZINO!$B$2:$M$4838,5,FALSE)</f>
        <v/>
      </c>
      <c r="F195" s="17">
        <f>+VLOOKUP($A195,MAGAZZINO!$B$2:$M$4838,6,FALSE)</f>
        <v/>
      </c>
      <c r="G195" s="17">
        <f>+VLOOKUP($A195,MAGAZZINO!$B$2:$M$4838,7,FALSE)</f>
        <v/>
      </c>
      <c r="H195" s="17">
        <f>+VLOOKUP($A195,MAGAZZINO!$B$2:$M$4838,8,FALSE)</f>
        <v/>
      </c>
      <c r="I195" s="17">
        <f>+VLOOKUP($A195,MAGAZZINO!$B$2:$M$4838,9,FALSE)</f>
        <v/>
      </c>
      <c r="J195" s="17">
        <f>+VLOOKUP($A195,MAGAZZINO!$B$2:$M$4838,10,FALSE)</f>
        <v/>
      </c>
      <c r="K195" s="17">
        <f>+VLOOKUP($A195,MAGAZZINO!$B$2:$M$4838,11,FALSE)</f>
        <v/>
      </c>
      <c r="L195" s="44">
        <f>+VLOOKUP($A195,MAGAZZINO!$B$2:$M$4838,12,FALSE)</f>
        <v/>
      </c>
    </row>
    <row r="196" ht="36" customHeight="1">
      <c r="A196" s="30">
        <f>+REGISTRO!#REF!</f>
        <v/>
      </c>
      <c r="B196" s="31">
        <f>+VLOOKUP($A196,MAGAZZINO!$B$2:$M$4838,2,FALSE)</f>
        <v/>
      </c>
      <c r="C196" s="32">
        <f>+VLOOKUP($A196,MAGAZZINO!$B$2:$M$4838,3,FALSE)</f>
        <v/>
      </c>
      <c r="D196" s="17">
        <f>+VLOOKUP($A196,MAGAZZINO!$B$2:$M$4838,4,FALSE)</f>
        <v/>
      </c>
      <c r="E196" s="17">
        <f>+VLOOKUP($A196,MAGAZZINO!$B$2:$M$4838,5,FALSE)</f>
        <v/>
      </c>
      <c r="F196" s="17">
        <f>+VLOOKUP($A196,MAGAZZINO!$B$2:$M$4838,6,FALSE)</f>
        <v/>
      </c>
      <c r="G196" s="17">
        <f>+VLOOKUP($A196,MAGAZZINO!$B$2:$M$4838,7,FALSE)</f>
        <v/>
      </c>
      <c r="H196" s="17">
        <f>+VLOOKUP($A196,MAGAZZINO!$B$2:$M$4838,8,FALSE)</f>
        <v/>
      </c>
      <c r="I196" s="17">
        <f>+VLOOKUP($A196,MAGAZZINO!$B$2:$M$4838,9,FALSE)</f>
        <v/>
      </c>
      <c r="J196" s="17">
        <f>+VLOOKUP($A196,MAGAZZINO!$B$2:$M$4838,10,FALSE)</f>
        <v/>
      </c>
      <c r="K196" s="17">
        <f>+VLOOKUP($A196,MAGAZZINO!$B$2:$M$4838,11,FALSE)</f>
        <v/>
      </c>
      <c r="L196" s="44">
        <f>+VLOOKUP($A196,MAGAZZINO!$B$2:$M$4838,12,FALSE)</f>
        <v/>
      </c>
    </row>
    <row r="197" ht="36" customHeight="1">
      <c r="A197" s="30">
        <f>+REGISTRO!#REF!</f>
        <v/>
      </c>
      <c r="B197" s="31">
        <f>+VLOOKUP($A197,MAGAZZINO!$B$2:$M$4838,2,FALSE)</f>
        <v/>
      </c>
      <c r="C197" s="32">
        <f>+VLOOKUP($A197,MAGAZZINO!$B$2:$M$4838,3,FALSE)</f>
        <v/>
      </c>
      <c r="D197" s="17">
        <f>+VLOOKUP($A197,MAGAZZINO!$B$2:$M$4838,4,FALSE)</f>
        <v/>
      </c>
      <c r="E197" s="17">
        <f>+VLOOKUP($A197,MAGAZZINO!$B$2:$M$4838,5,FALSE)</f>
        <v/>
      </c>
      <c r="F197" s="17">
        <f>+VLOOKUP($A197,MAGAZZINO!$B$2:$M$4838,6,FALSE)</f>
        <v/>
      </c>
      <c r="G197" s="17">
        <f>+VLOOKUP($A197,MAGAZZINO!$B$2:$M$4838,7,FALSE)</f>
        <v/>
      </c>
      <c r="H197" s="17">
        <f>+VLOOKUP($A197,MAGAZZINO!$B$2:$M$4838,8,FALSE)</f>
        <v/>
      </c>
      <c r="I197" s="17">
        <f>+VLOOKUP($A197,MAGAZZINO!$B$2:$M$4838,9,FALSE)</f>
        <v/>
      </c>
      <c r="J197" s="17">
        <f>+VLOOKUP($A197,MAGAZZINO!$B$2:$M$4838,10,FALSE)</f>
        <v/>
      </c>
      <c r="K197" s="17">
        <f>+VLOOKUP($A197,MAGAZZINO!$B$2:$M$4838,11,FALSE)</f>
        <v/>
      </c>
      <c r="L197" s="44">
        <f>+VLOOKUP($A197,MAGAZZINO!$B$2:$M$4838,12,FALSE)</f>
        <v/>
      </c>
    </row>
    <row r="198" ht="36" customHeight="1">
      <c r="A198" s="30">
        <f>+REGISTRO!#REF!</f>
        <v/>
      </c>
      <c r="B198" s="31">
        <f>+VLOOKUP($A198,MAGAZZINO!$B$2:$M$4838,2,FALSE)</f>
        <v/>
      </c>
      <c r="C198" s="32">
        <f>+VLOOKUP($A198,MAGAZZINO!$B$2:$M$4838,3,FALSE)</f>
        <v/>
      </c>
      <c r="D198" s="17">
        <f>+VLOOKUP($A198,MAGAZZINO!$B$2:$M$4838,4,FALSE)</f>
        <v/>
      </c>
      <c r="E198" s="17">
        <f>+VLOOKUP($A198,MAGAZZINO!$B$2:$M$4838,5,FALSE)</f>
        <v/>
      </c>
      <c r="F198" s="17">
        <f>+VLOOKUP($A198,MAGAZZINO!$B$2:$M$4838,6,FALSE)</f>
        <v/>
      </c>
      <c r="G198" s="17">
        <f>+VLOOKUP($A198,MAGAZZINO!$B$2:$M$4838,7,FALSE)</f>
        <v/>
      </c>
      <c r="H198" s="17">
        <f>+VLOOKUP($A198,MAGAZZINO!$B$2:$M$4838,8,FALSE)</f>
        <v/>
      </c>
      <c r="I198" s="17">
        <f>+VLOOKUP($A198,MAGAZZINO!$B$2:$M$4838,9,FALSE)</f>
        <v/>
      </c>
      <c r="J198" s="17">
        <f>+VLOOKUP($A198,MAGAZZINO!$B$2:$M$4838,10,FALSE)</f>
        <v/>
      </c>
      <c r="K198" s="17">
        <f>+VLOOKUP($A198,MAGAZZINO!$B$2:$M$4838,11,FALSE)</f>
        <v/>
      </c>
      <c r="L198" s="44">
        <f>+VLOOKUP($A198,MAGAZZINO!$B$2:$M$4838,12,FALSE)</f>
        <v/>
      </c>
    </row>
    <row r="199" ht="36" customHeight="1">
      <c r="A199" s="30">
        <f>+REGISTRO!#REF!</f>
        <v/>
      </c>
      <c r="B199" s="31">
        <f>+VLOOKUP($A199,MAGAZZINO!$B$2:$M$4838,2,FALSE)</f>
        <v/>
      </c>
      <c r="C199" s="32">
        <f>+VLOOKUP($A199,MAGAZZINO!$B$2:$M$4838,3,FALSE)</f>
        <v/>
      </c>
      <c r="D199" s="17">
        <f>+VLOOKUP($A199,MAGAZZINO!$B$2:$M$4838,4,FALSE)</f>
        <v/>
      </c>
      <c r="E199" s="17">
        <f>+VLOOKUP($A199,MAGAZZINO!$B$2:$M$4838,5,FALSE)</f>
        <v/>
      </c>
      <c r="F199" s="17">
        <f>+VLOOKUP($A199,MAGAZZINO!$B$2:$M$4838,6,FALSE)</f>
        <v/>
      </c>
      <c r="G199" s="17">
        <f>+VLOOKUP($A199,MAGAZZINO!$B$2:$M$4838,7,FALSE)</f>
        <v/>
      </c>
      <c r="H199" s="17">
        <f>+VLOOKUP($A199,MAGAZZINO!$B$2:$M$4838,8,FALSE)</f>
        <v/>
      </c>
      <c r="I199" s="17">
        <f>+VLOOKUP($A199,MAGAZZINO!$B$2:$M$4838,9,FALSE)</f>
        <v/>
      </c>
      <c r="J199" s="17">
        <f>+VLOOKUP($A199,MAGAZZINO!$B$2:$M$4838,10,FALSE)</f>
        <v/>
      </c>
      <c r="K199" s="17">
        <f>+VLOOKUP($A199,MAGAZZINO!$B$2:$M$4838,11,FALSE)</f>
        <v/>
      </c>
      <c r="L199" s="44">
        <f>+VLOOKUP($A199,MAGAZZINO!$B$2:$M$4838,12,FALSE)</f>
        <v/>
      </c>
    </row>
    <row r="200" ht="36" customHeight="1">
      <c r="A200" s="30">
        <f>+REGISTRO!#REF!</f>
        <v/>
      </c>
      <c r="B200" s="31">
        <f>+VLOOKUP($A200,MAGAZZINO!$B$2:$M$4838,2,FALSE)</f>
        <v/>
      </c>
      <c r="C200" s="32">
        <f>+VLOOKUP($A200,MAGAZZINO!$B$2:$M$4838,3,FALSE)</f>
        <v/>
      </c>
      <c r="D200" s="17">
        <f>+VLOOKUP($A200,MAGAZZINO!$B$2:$M$4838,4,FALSE)</f>
        <v/>
      </c>
      <c r="E200" s="17">
        <f>+VLOOKUP($A200,MAGAZZINO!$B$2:$M$4838,5,FALSE)</f>
        <v/>
      </c>
      <c r="F200" s="17">
        <f>+VLOOKUP($A200,MAGAZZINO!$B$2:$M$4838,6,FALSE)</f>
        <v/>
      </c>
      <c r="G200" s="17">
        <f>+VLOOKUP($A200,MAGAZZINO!$B$2:$M$4838,7,FALSE)</f>
        <v/>
      </c>
      <c r="H200" s="17">
        <f>+VLOOKUP($A200,MAGAZZINO!$B$2:$M$4838,8,FALSE)</f>
        <v/>
      </c>
      <c r="I200" s="17">
        <f>+VLOOKUP($A200,MAGAZZINO!$B$2:$M$4838,9,FALSE)</f>
        <v/>
      </c>
      <c r="J200" s="17">
        <f>+VLOOKUP($A200,MAGAZZINO!$B$2:$M$4838,10,FALSE)</f>
        <v/>
      </c>
      <c r="K200" s="17">
        <f>+VLOOKUP($A200,MAGAZZINO!$B$2:$M$4838,11,FALSE)</f>
        <v/>
      </c>
      <c r="L200" s="44">
        <f>+VLOOKUP($A200,MAGAZZINO!$B$2:$M$4838,12,FALSE)</f>
        <v/>
      </c>
    </row>
    <row r="201" ht="36" customHeight="1">
      <c r="A201" s="30">
        <f>+REGISTRO!#REF!</f>
        <v/>
      </c>
      <c r="B201" s="31">
        <f>+VLOOKUP($A201,MAGAZZINO!$B$2:$M$4838,2,FALSE)</f>
        <v/>
      </c>
      <c r="C201" s="32">
        <f>+VLOOKUP($A201,MAGAZZINO!$B$2:$M$4838,3,FALSE)</f>
        <v/>
      </c>
      <c r="D201" s="17">
        <f>+VLOOKUP($A201,MAGAZZINO!$B$2:$M$4838,4,FALSE)</f>
        <v/>
      </c>
      <c r="E201" s="17">
        <f>+VLOOKUP($A201,MAGAZZINO!$B$2:$M$4838,5,FALSE)</f>
        <v/>
      </c>
      <c r="F201" s="17">
        <f>+VLOOKUP($A201,MAGAZZINO!$B$2:$M$4838,6,FALSE)</f>
        <v/>
      </c>
      <c r="G201" s="17">
        <f>+VLOOKUP($A201,MAGAZZINO!$B$2:$M$4838,7,FALSE)</f>
        <v/>
      </c>
      <c r="H201" s="17">
        <f>+VLOOKUP($A201,MAGAZZINO!$B$2:$M$4838,8,FALSE)</f>
        <v/>
      </c>
      <c r="I201" s="17">
        <f>+VLOOKUP($A201,MAGAZZINO!$B$2:$M$4838,9,FALSE)</f>
        <v/>
      </c>
      <c r="J201" s="17">
        <f>+VLOOKUP($A201,MAGAZZINO!$B$2:$M$4838,10,FALSE)</f>
        <v/>
      </c>
      <c r="K201" s="17">
        <f>+VLOOKUP($A201,MAGAZZINO!$B$2:$M$4838,11,FALSE)</f>
        <v/>
      </c>
      <c r="L201" s="44">
        <f>+VLOOKUP($A201,MAGAZZINO!$B$2:$M$4838,12,FALSE)</f>
        <v/>
      </c>
    </row>
    <row r="202" ht="36" customHeight="1">
      <c r="A202" s="30">
        <f>+REGISTRO!#REF!</f>
        <v/>
      </c>
      <c r="B202" s="31">
        <f>+VLOOKUP($A202,MAGAZZINO!$B$2:$M$4838,2,FALSE)</f>
        <v/>
      </c>
      <c r="C202" s="32">
        <f>+VLOOKUP($A202,MAGAZZINO!$B$2:$M$4838,3,FALSE)</f>
        <v/>
      </c>
      <c r="D202" s="17">
        <f>+VLOOKUP($A202,MAGAZZINO!$B$2:$M$4838,4,FALSE)</f>
        <v/>
      </c>
      <c r="E202" s="17">
        <f>+VLOOKUP($A202,MAGAZZINO!$B$2:$M$4838,5,FALSE)</f>
        <v/>
      </c>
      <c r="F202" s="17">
        <f>+VLOOKUP($A202,MAGAZZINO!$B$2:$M$4838,6,FALSE)</f>
        <v/>
      </c>
      <c r="G202" s="17">
        <f>+VLOOKUP($A202,MAGAZZINO!$B$2:$M$4838,7,FALSE)</f>
        <v/>
      </c>
      <c r="H202" s="17">
        <f>+VLOOKUP($A202,MAGAZZINO!$B$2:$M$4838,8,FALSE)</f>
        <v/>
      </c>
      <c r="I202" s="17">
        <f>+VLOOKUP($A202,MAGAZZINO!$B$2:$M$4838,9,FALSE)</f>
        <v/>
      </c>
      <c r="J202" s="17">
        <f>+VLOOKUP($A202,MAGAZZINO!$B$2:$M$4838,10,FALSE)</f>
        <v/>
      </c>
      <c r="K202" s="17">
        <f>+VLOOKUP($A202,MAGAZZINO!$B$2:$M$4838,11,FALSE)</f>
        <v/>
      </c>
      <c r="L202" s="44">
        <f>+VLOOKUP($A202,MAGAZZINO!$B$2:$M$4838,12,FALSE)</f>
        <v/>
      </c>
    </row>
    <row r="203" ht="36" customHeight="1">
      <c r="A203" s="30">
        <f>+REGISTRO!A186</f>
        <v/>
      </c>
      <c r="B203" s="31">
        <f>+VLOOKUP($A203,MAGAZZINO!$B$2:$M$4838,2,FALSE)</f>
        <v/>
      </c>
      <c r="C203" s="32">
        <f>+VLOOKUP($A203,MAGAZZINO!$B$2:$M$4838,3,FALSE)</f>
        <v/>
      </c>
      <c r="D203" s="17">
        <f>+VLOOKUP($A203,MAGAZZINO!$B$2:$M$4838,4,FALSE)</f>
        <v/>
      </c>
      <c r="E203" s="17">
        <f>+VLOOKUP($A203,MAGAZZINO!$B$2:$M$4838,5,FALSE)</f>
        <v/>
      </c>
      <c r="F203" s="17">
        <f>+VLOOKUP($A203,MAGAZZINO!$B$2:$M$4838,6,FALSE)</f>
        <v/>
      </c>
      <c r="G203" s="17">
        <f>+VLOOKUP($A203,MAGAZZINO!$B$2:$M$4838,7,FALSE)</f>
        <v/>
      </c>
      <c r="H203" s="17">
        <f>+VLOOKUP($A203,MAGAZZINO!$B$2:$M$4838,8,FALSE)</f>
        <v/>
      </c>
      <c r="I203" s="17">
        <f>+VLOOKUP($A203,MAGAZZINO!$B$2:$M$4838,9,FALSE)</f>
        <v/>
      </c>
      <c r="J203" s="17">
        <f>+VLOOKUP($A203,MAGAZZINO!$B$2:$M$4838,10,FALSE)</f>
        <v/>
      </c>
      <c r="K203" s="17">
        <f>+VLOOKUP($A203,MAGAZZINO!$B$2:$M$4838,11,FALSE)</f>
        <v/>
      </c>
      <c r="L203" s="44">
        <f>+VLOOKUP($A203,MAGAZZINO!$B$2:$M$4838,12,FALSE)</f>
        <v/>
      </c>
    </row>
    <row r="204" ht="36" customHeight="1">
      <c r="A204" s="30">
        <f>+REGISTRO!A187</f>
        <v/>
      </c>
      <c r="B204" s="31">
        <f>+VLOOKUP($A204,MAGAZZINO!$B$2:$M$4838,2,FALSE)</f>
        <v/>
      </c>
      <c r="C204" s="32">
        <f>+VLOOKUP($A204,MAGAZZINO!$B$2:$M$4838,3,FALSE)</f>
        <v/>
      </c>
      <c r="D204" s="17">
        <f>+VLOOKUP($A204,MAGAZZINO!$B$2:$M$4838,4,FALSE)</f>
        <v/>
      </c>
      <c r="E204" s="17">
        <f>+VLOOKUP($A204,MAGAZZINO!$B$2:$M$4838,5,FALSE)</f>
        <v/>
      </c>
      <c r="F204" s="17">
        <f>+VLOOKUP($A204,MAGAZZINO!$B$2:$M$4838,6,FALSE)</f>
        <v/>
      </c>
      <c r="G204" s="17">
        <f>+VLOOKUP($A204,MAGAZZINO!$B$2:$M$4838,7,FALSE)</f>
        <v/>
      </c>
      <c r="H204" s="17">
        <f>+VLOOKUP($A204,MAGAZZINO!$B$2:$M$4838,8,FALSE)</f>
        <v/>
      </c>
      <c r="I204" s="17">
        <f>+VLOOKUP($A204,MAGAZZINO!$B$2:$M$4838,9,FALSE)</f>
        <v/>
      </c>
      <c r="J204" s="17">
        <f>+VLOOKUP($A204,MAGAZZINO!$B$2:$M$4838,10,FALSE)</f>
        <v/>
      </c>
      <c r="K204" s="17">
        <f>+VLOOKUP($A204,MAGAZZINO!$B$2:$M$4838,11,FALSE)</f>
        <v/>
      </c>
      <c r="L204" s="44">
        <f>+VLOOKUP($A204,MAGAZZINO!$B$2:$M$4838,12,FALSE)</f>
        <v/>
      </c>
    </row>
    <row r="205" ht="36" customHeight="1">
      <c r="A205" s="30">
        <f>+REGISTRO!A188</f>
        <v/>
      </c>
      <c r="B205" s="31">
        <f>+VLOOKUP($A205,MAGAZZINO!$B$2:$M$4838,2,FALSE)</f>
        <v/>
      </c>
      <c r="C205" s="32">
        <f>+VLOOKUP($A205,MAGAZZINO!$B$2:$M$4838,3,FALSE)</f>
        <v/>
      </c>
      <c r="D205" s="17">
        <f>+VLOOKUP($A205,MAGAZZINO!$B$2:$M$4838,4,FALSE)</f>
        <v/>
      </c>
      <c r="E205" s="17">
        <f>+VLOOKUP($A205,MAGAZZINO!$B$2:$M$4838,5,FALSE)</f>
        <v/>
      </c>
      <c r="F205" s="17">
        <f>+VLOOKUP($A205,MAGAZZINO!$B$2:$M$4838,6,FALSE)</f>
        <v/>
      </c>
      <c r="G205" s="17">
        <f>+VLOOKUP($A205,MAGAZZINO!$B$2:$M$4838,7,FALSE)</f>
        <v/>
      </c>
      <c r="H205" s="17">
        <f>+VLOOKUP($A205,MAGAZZINO!$B$2:$M$4838,8,FALSE)</f>
        <v/>
      </c>
      <c r="I205" s="17">
        <f>+VLOOKUP($A205,MAGAZZINO!$B$2:$M$4838,9,FALSE)</f>
        <v/>
      </c>
      <c r="J205" s="17">
        <f>+VLOOKUP($A205,MAGAZZINO!$B$2:$M$4838,10,FALSE)</f>
        <v/>
      </c>
      <c r="K205" s="17">
        <f>+VLOOKUP($A205,MAGAZZINO!$B$2:$M$4838,11,FALSE)</f>
        <v/>
      </c>
      <c r="L205" s="44">
        <f>+VLOOKUP($A205,MAGAZZINO!$B$2:$M$4838,12,FALSE)</f>
        <v/>
      </c>
    </row>
    <row r="206" ht="36" customHeight="1">
      <c r="A206" s="30">
        <f>+REGISTRO!A189</f>
        <v/>
      </c>
      <c r="B206" s="31">
        <f>+VLOOKUP($A206,MAGAZZINO!$B$2:$M$4838,2,FALSE)</f>
        <v/>
      </c>
      <c r="C206" s="32">
        <f>+VLOOKUP($A206,MAGAZZINO!$B$2:$M$4838,3,FALSE)</f>
        <v/>
      </c>
      <c r="D206" s="17">
        <f>+VLOOKUP($A206,MAGAZZINO!$B$2:$M$4838,4,FALSE)</f>
        <v/>
      </c>
      <c r="E206" s="17">
        <f>+VLOOKUP($A206,MAGAZZINO!$B$2:$M$4838,5,FALSE)</f>
        <v/>
      </c>
      <c r="F206" s="17">
        <f>+VLOOKUP($A206,MAGAZZINO!$B$2:$M$4838,6,FALSE)</f>
        <v/>
      </c>
      <c r="G206" s="17">
        <f>+VLOOKUP($A206,MAGAZZINO!$B$2:$M$4838,7,FALSE)</f>
        <v/>
      </c>
      <c r="H206" s="17">
        <f>+VLOOKUP($A206,MAGAZZINO!$B$2:$M$4838,8,FALSE)</f>
        <v/>
      </c>
      <c r="I206" s="17">
        <f>+VLOOKUP($A206,MAGAZZINO!$B$2:$M$4838,9,FALSE)</f>
        <v/>
      </c>
      <c r="J206" s="17">
        <f>+VLOOKUP($A206,MAGAZZINO!$B$2:$M$4838,10,FALSE)</f>
        <v/>
      </c>
      <c r="K206" s="17">
        <f>+VLOOKUP($A206,MAGAZZINO!$B$2:$M$4838,11,FALSE)</f>
        <v/>
      </c>
      <c r="L206" s="44">
        <f>+VLOOKUP($A206,MAGAZZINO!$B$2:$M$4838,12,FALSE)</f>
        <v/>
      </c>
    </row>
    <row r="207" ht="36" customHeight="1">
      <c r="A207" s="30">
        <f>+REGISTRO!A190</f>
        <v/>
      </c>
      <c r="B207" s="31">
        <f>+VLOOKUP($A207,MAGAZZINO!$B$2:$M$4838,2,FALSE)</f>
        <v/>
      </c>
      <c r="C207" s="32">
        <f>+VLOOKUP($A207,MAGAZZINO!$B$2:$M$4838,3,FALSE)</f>
        <v/>
      </c>
      <c r="D207" s="17">
        <f>+VLOOKUP($A207,MAGAZZINO!$B$2:$M$4838,4,FALSE)</f>
        <v/>
      </c>
      <c r="E207" s="17">
        <f>+VLOOKUP($A207,MAGAZZINO!$B$2:$M$4838,5,FALSE)</f>
        <v/>
      </c>
      <c r="F207" s="17">
        <f>+VLOOKUP($A207,MAGAZZINO!$B$2:$M$4838,6,FALSE)</f>
        <v/>
      </c>
      <c r="G207" s="17">
        <f>+VLOOKUP($A207,MAGAZZINO!$B$2:$M$4838,7,FALSE)</f>
        <v/>
      </c>
      <c r="H207" s="17">
        <f>+VLOOKUP($A207,MAGAZZINO!$B$2:$M$4838,8,FALSE)</f>
        <v/>
      </c>
      <c r="I207" s="17">
        <f>+VLOOKUP($A207,MAGAZZINO!$B$2:$M$4838,9,FALSE)</f>
        <v/>
      </c>
      <c r="J207" s="17">
        <f>+VLOOKUP($A207,MAGAZZINO!$B$2:$M$4838,10,FALSE)</f>
        <v/>
      </c>
      <c r="K207" s="17">
        <f>+VLOOKUP($A207,MAGAZZINO!$B$2:$M$4838,11,FALSE)</f>
        <v/>
      </c>
      <c r="L207" s="44">
        <f>+VLOOKUP($A207,MAGAZZINO!$B$2:$M$4838,12,FALSE)</f>
        <v/>
      </c>
    </row>
    <row r="208" ht="36" customHeight="1">
      <c r="A208" s="30">
        <f>+REGISTRO!A191</f>
        <v/>
      </c>
      <c r="B208" s="31">
        <f>+VLOOKUP($A208,MAGAZZINO!$B$2:$M$4838,2,FALSE)</f>
        <v/>
      </c>
      <c r="C208" s="32">
        <f>+VLOOKUP($A208,MAGAZZINO!$B$2:$M$4838,3,FALSE)</f>
        <v/>
      </c>
      <c r="D208" s="17">
        <f>+VLOOKUP($A208,MAGAZZINO!$B$2:$M$4838,4,FALSE)</f>
        <v/>
      </c>
      <c r="E208" s="17">
        <f>+VLOOKUP($A208,MAGAZZINO!$B$2:$M$4838,5,FALSE)</f>
        <v/>
      </c>
      <c r="F208" s="17">
        <f>+VLOOKUP($A208,MAGAZZINO!$B$2:$M$4838,6,FALSE)</f>
        <v/>
      </c>
      <c r="G208" s="17">
        <f>+VLOOKUP($A208,MAGAZZINO!$B$2:$M$4838,7,FALSE)</f>
        <v/>
      </c>
      <c r="H208" s="17">
        <f>+VLOOKUP($A208,MAGAZZINO!$B$2:$M$4838,8,FALSE)</f>
        <v/>
      </c>
      <c r="I208" s="17">
        <f>+VLOOKUP($A208,MAGAZZINO!$B$2:$M$4838,9,FALSE)</f>
        <v/>
      </c>
      <c r="J208" s="17">
        <f>+VLOOKUP($A208,MAGAZZINO!$B$2:$M$4838,10,FALSE)</f>
        <v/>
      </c>
      <c r="K208" s="17">
        <f>+VLOOKUP($A208,MAGAZZINO!$B$2:$M$4838,11,FALSE)</f>
        <v/>
      </c>
      <c r="L208" s="44">
        <f>+VLOOKUP($A208,MAGAZZINO!$B$2:$M$4838,12,FALSE)</f>
        <v/>
      </c>
    </row>
    <row r="209" ht="36" customHeight="1">
      <c r="A209" s="30">
        <f>+REGISTRO!A192</f>
        <v/>
      </c>
      <c r="B209" s="31">
        <f>+VLOOKUP($A209,MAGAZZINO!$B$2:$M$4838,2,FALSE)</f>
        <v/>
      </c>
      <c r="C209" s="32">
        <f>+VLOOKUP($A209,MAGAZZINO!$B$2:$M$4838,3,FALSE)</f>
        <v/>
      </c>
      <c r="D209" s="17">
        <f>+VLOOKUP($A209,MAGAZZINO!$B$2:$M$4838,4,FALSE)</f>
        <v/>
      </c>
      <c r="E209" s="17">
        <f>+VLOOKUP($A209,MAGAZZINO!$B$2:$M$4838,5,FALSE)</f>
        <v/>
      </c>
      <c r="F209" s="17">
        <f>+VLOOKUP($A209,MAGAZZINO!$B$2:$M$4838,6,FALSE)</f>
        <v/>
      </c>
      <c r="G209" s="17">
        <f>+VLOOKUP($A209,MAGAZZINO!$B$2:$M$4838,7,FALSE)</f>
        <v/>
      </c>
      <c r="H209" s="17">
        <f>+VLOOKUP($A209,MAGAZZINO!$B$2:$M$4838,8,FALSE)</f>
        <v/>
      </c>
      <c r="I209" s="17">
        <f>+VLOOKUP($A209,MAGAZZINO!$B$2:$M$4838,9,FALSE)</f>
        <v/>
      </c>
      <c r="J209" s="17">
        <f>+VLOOKUP($A209,MAGAZZINO!$B$2:$M$4838,10,FALSE)</f>
        <v/>
      </c>
      <c r="K209" s="17">
        <f>+VLOOKUP($A209,MAGAZZINO!$B$2:$M$4838,11,FALSE)</f>
        <v/>
      </c>
      <c r="L209" s="44">
        <f>+VLOOKUP($A209,MAGAZZINO!$B$2:$M$4838,12,FALSE)</f>
        <v/>
      </c>
    </row>
    <row r="210" ht="36" customHeight="1">
      <c r="A210" s="30">
        <f>+REGISTRO!A193</f>
        <v/>
      </c>
      <c r="B210" s="31">
        <f>+VLOOKUP($A210,MAGAZZINO!$B$2:$M$4838,2,FALSE)</f>
        <v/>
      </c>
      <c r="C210" s="32">
        <f>+VLOOKUP($A210,MAGAZZINO!$B$2:$M$4838,3,FALSE)</f>
        <v/>
      </c>
      <c r="D210" s="17">
        <f>+VLOOKUP($A210,MAGAZZINO!$B$2:$M$4838,4,FALSE)</f>
        <v/>
      </c>
      <c r="E210" s="17">
        <f>+VLOOKUP($A210,MAGAZZINO!$B$2:$M$4838,5,FALSE)</f>
        <v/>
      </c>
      <c r="F210" s="17">
        <f>+VLOOKUP($A210,MAGAZZINO!$B$2:$M$4838,6,FALSE)</f>
        <v/>
      </c>
      <c r="G210" s="17">
        <f>+VLOOKUP($A210,MAGAZZINO!$B$2:$M$4838,7,FALSE)</f>
        <v/>
      </c>
      <c r="H210" s="17">
        <f>+VLOOKUP($A210,MAGAZZINO!$B$2:$M$4838,8,FALSE)</f>
        <v/>
      </c>
      <c r="I210" s="17">
        <f>+VLOOKUP($A210,MAGAZZINO!$B$2:$M$4838,9,FALSE)</f>
        <v/>
      </c>
      <c r="J210" s="17">
        <f>+VLOOKUP($A210,MAGAZZINO!$B$2:$M$4838,10,FALSE)</f>
        <v/>
      </c>
      <c r="K210" s="17">
        <f>+VLOOKUP($A210,MAGAZZINO!$B$2:$M$4838,11,FALSE)</f>
        <v/>
      </c>
      <c r="L210" s="44">
        <f>+VLOOKUP($A210,MAGAZZINO!$B$2:$M$4838,12,FALSE)</f>
        <v/>
      </c>
    </row>
    <row r="211" ht="36" customHeight="1">
      <c r="A211" s="30">
        <f>+REGISTRO!A194</f>
        <v/>
      </c>
      <c r="B211" s="31">
        <f>+VLOOKUP($A211,MAGAZZINO!$B$2:$M$4838,2,FALSE)</f>
        <v/>
      </c>
      <c r="C211" s="32">
        <f>+VLOOKUP($A211,MAGAZZINO!$B$2:$M$4838,3,FALSE)</f>
        <v/>
      </c>
      <c r="D211" s="17">
        <f>+VLOOKUP($A211,MAGAZZINO!$B$2:$M$4838,4,FALSE)</f>
        <v/>
      </c>
      <c r="E211" s="17">
        <f>+VLOOKUP($A211,MAGAZZINO!$B$2:$M$4838,5,FALSE)</f>
        <v/>
      </c>
      <c r="F211" s="17">
        <f>+VLOOKUP($A211,MAGAZZINO!$B$2:$M$4838,6,FALSE)</f>
        <v/>
      </c>
      <c r="G211" s="17">
        <f>+VLOOKUP($A211,MAGAZZINO!$B$2:$M$4838,7,FALSE)</f>
        <v/>
      </c>
      <c r="H211" s="17">
        <f>+VLOOKUP($A211,MAGAZZINO!$B$2:$M$4838,8,FALSE)</f>
        <v/>
      </c>
      <c r="I211" s="17">
        <f>+VLOOKUP($A211,MAGAZZINO!$B$2:$M$4838,9,FALSE)</f>
        <v/>
      </c>
      <c r="J211" s="17">
        <f>+VLOOKUP($A211,MAGAZZINO!$B$2:$M$4838,10,FALSE)</f>
        <v/>
      </c>
      <c r="K211" s="17">
        <f>+VLOOKUP($A211,MAGAZZINO!$B$2:$M$4838,11,FALSE)</f>
        <v/>
      </c>
      <c r="L211" s="44">
        <f>+VLOOKUP($A211,MAGAZZINO!$B$2:$M$4838,12,FALSE)</f>
        <v/>
      </c>
    </row>
    <row r="212" ht="36" customHeight="1">
      <c r="A212" s="30">
        <f>+REGISTRO!A195</f>
        <v/>
      </c>
      <c r="B212" s="31">
        <f>+VLOOKUP($A212,MAGAZZINO!$B$2:$M$4838,2,FALSE)</f>
        <v/>
      </c>
      <c r="C212" s="32">
        <f>+VLOOKUP($A212,MAGAZZINO!$B$2:$M$4838,3,FALSE)</f>
        <v/>
      </c>
      <c r="D212" s="17">
        <f>+VLOOKUP($A212,MAGAZZINO!$B$2:$M$4838,4,FALSE)</f>
        <v/>
      </c>
      <c r="E212" s="17">
        <f>+VLOOKUP($A212,MAGAZZINO!$B$2:$M$4838,5,FALSE)</f>
        <v/>
      </c>
      <c r="F212" s="17">
        <f>+VLOOKUP($A212,MAGAZZINO!$B$2:$M$4838,6,FALSE)</f>
        <v/>
      </c>
      <c r="G212" s="17">
        <f>+VLOOKUP($A212,MAGAZZINO!$B$2:$M$4838,7,FALSE)</f>
        <v/>
      </c>
      <c r="H212" s="17">
        <f>+VLOOKUP($A212,MAGAZZINO!$B$2:$M$4838,8,FALSE)</f>
        <v/>
      </c>
      <c r="I212" s="17">
        <f>+VLOOKUP($A212,MAGAZZINO!$B$2:$M$4838,9,FALSE)</f>
        <v/>
      </c>
      <c r="J212" s="17">
        <f>+VLOOKUP($A212,MAGAZZINO!$B$2:$M$4838,10,FALSE)</f>
        <v/>
      </c>
      <c r="K212" s="17">
        <f>+VLOOKUP($A212,MAGAZZINO!$B$2:$M$4838,11,FALSE)</f>
        <v/>
      </c>
      <c r="L212" s="44">
        <f>+VLOOKUP($A212,MAGAZZINO!$B$2:$M$4838,12,FALSE)</f>
        <v/>
      </c>
    </row>
    <row r="213" ht="36" customHeight="1">
      <c r="A213" s="30">
        <f>+REGISTRO!A196</f>
        <v/>
      </c>
      <c r="B213" s="31">
        <f>+VLOOKUP($A213,MAGAZZINO!$B$2:$M$4838,2,FALSE)</f>
        <v/>
      </c>
      <c r="C213" s="32">
        <f>+VLOOKUP($A213,MAGAZZINO!$B$2:$M$4838,3,FALSE)</f>
        <v/>
      </c>
      <c r="D213" s="17">
        <f>+VLOOKUP($A213,MAGAZZINO!$B$2:$M$4838,4,FALSE)</f>
        <v/>
      </c>
      <c r="E213" s="17">
        <f>+VLOOKUP($A213,MAGAZZINO!$B$2:$M$4838,5,FALSE)</f>
        <v/>
      </c>
      <c r="F213" s="17">
        <f>+VLOOKUP($A213,MAGAZZINO!$B$2:$M$4838,6,FALSE)</f>
        <v/>
      </c>
      <c r="G213" s="17">
        <f>+VLOOKUP($A213,MAGAZZINO!$B$2:$M$4838,7,FALSE)</f>
        <v/>
      </c>
      <c r="H213" s="17">
        <f>+VLOOKUP($A213,MAGAZZINO!$B$2:$M$4838,8,FALSE)</f>
        <v/>
      </c>
      <c r="I213" s="17">
        <f>+VLOOKUP($A213,MAGAZZINO!$B$2:$M$4838,9,FALSE)</f>
        <v/>
      </c>
      <c r="J213" s="17">
        <f>+VLOOKUP($A213,MAGAZZINO!$B$2:$M$4838,10,FALSE)</f>
        <v/>
      </c>
      <c r="K213" s="17">
        <f>+VLOOKUP($A213,MAGAZZINO!$B$2:$M$4838,11,FALSE)</f>
        <v/>
      </c>
      <c r="L213" s="44">
        <f>+VLOOKUP($A213,MAGAZZINO!$B$2:$M$4838,12,FALSE)</f>
        <v/>
      </c>
    </row>
    <row r="214" ht="36" customHeight="1">
      <c r="A214" s="30">
        <f>+REGISTRO!A197</f>
        <v/>
      </c>
      <c r="B214" s="31">
        <f>+VLOOKUP($A214,MAGAZZINO!$B$2:$M$4838,2,FALSE)</f>
        <v/>
      </c>
      <c r="C214" s="32">
        <f>+VLOOKUP($A214,MAGAZZINO!$B$2:$M$4838,3,FALSE)</f>
        <v/>
      </c>
      <c r="D214" s="17">
        <f>+VLOOKUP($A214,MAGAZZINO!$B$2:$M$4838,4,FALSE)</f>
        <v/>
      </c>
      <c r="E214" s="17">
        <f>+VLOOKUP($A214,MAGAZZINO!$B$2:$M$4838,5,FALSE)</f>
        <v/>
      </c>
      <c r="F214" s="17">
        <f>+VLOOKUP($A214,MAGAZZINO!$B$2:$M$4838,6,FALSE)</f>
        <v/>
      </c>
      <c r="G214" s="17">
        <f>+VLOOKUP($A214,MAGAZZINO!$B$2:$M$4838,7,FALSE)</f>
        <v/>
      </c>
      <c r="H214" s="17">
        <f>+VLOOKUP($A214,MAGAZZINO!$B$2:$M$4838,8,FALSE)</f>
        <v/>
      </c>
      <c r="I214" s="17">
        <f>+VLOOKUP($A214,MAGAZZINO!$B$2:$M$4838,9,FALSE)</f>
        <v/>
      </c>
      <c r="J214" s="17">
        <f>+VLOOKUP($A214,MAGAZZINO!$B$2:$M$4838,10,FALSE)</f>
        <v/>
      </c>
      <c r="K214" s="17">
        <f>+VLOOKUP($A214,MAGAZZINO!$B$2:$M$4838,11,FALSE)</f>
        <v/>
      </c>
      <c r="L214" s="44">
        <f>+VLOOKUP($A214,MAGAZZINO!$B$2:$M$4838,12,FALSE)</f>
        <v/>
      </c>
    </row>
    <row r="215" ht="36" customHeight="1">
      <c r="A215" s="30">
        <f>+REGISTRO!A198</f>
        <v/>
      </c>
      <c r="B215" s="31">
        <f>+VLOOKUP($A215,MAGAZZINO!$B$2:$M$4838,2,FALSE)</f>
        <v/>
      </c>
      <c r="C215" s="32">
        <f>+VLOOKUP($A215,MAGAZZINO!$B$2:$M$4838,3,FALSE)</f>
        <v/>
      </c>
      <c r="D215" s="17">
        <f>+VLOOKUP($A215,MAGAZZINO!$B$2:$M$4838,4,FALSE)</f>
        <v/>
      </c>
      <c r="E215" s="17">
        <f>+VLOOKUP($A215,MAGAZZINO!$B$2:$M$4838,5,FALSE)</f>
        <v/>
      </c>
      <c r="F215" s="17">
        <f>+VLOOKUP($A215,MAGAZZINO!$B$2:$M$4838,6,FALSE)</f>
        <v/>
      </c>
      <c r="G215" s="17">
        <f>+VLOOKUP($A215,MAGAZZINO!$B$2:$M$4838,7,FALSE)</f>
        <v/>
      </c>
      <c r="H215" s="17">
        <f>+VLOOKUP($A215,MAGAZZINO!$B$2:$M$4838,8,FALSE)</f>
        <v/>
      </c>
      <c r="I215" s="17">
        <f>+VLOOKUP($A215,MAGAZZINO!$B$2:$M$4838,9,FALSE)</f>
        <v/>
      </c>
      <c r="J215" s="17">
        <f>+VLOOKUP($A215,MAGAZZINO!$B$2:$M$4838,10,FALSE)</f>
        <v/>
      </c>
      <c r="K215" s="17">
        <f>+VLOOKUP($A215,MAGAZZINO!$B$2:$M$4838,11,FALSE)</f>
        <v/>
      </c>
      <c r="L215" s="44">
        <f>+VLOOKUP($A215,MAGAZZINO!$B$2:$M$4838,12,FALSE)</f>
        <v/>
      </c>
    </row>
    <row r="216" ht="36" customHeight="1">
      <c r="A216" s="30">
        <f>+REGISTRO!A199</f>
        <v/>
      </c>
      <c r="B216" s="31">
        <f>+VLOOKUP($A216,MAGAZZINO!$B$2:$M$4838,2,FALSE)</f>
        <v/>
      </c>
      <c r="C216" s="32">
        <f>+VLOOKUP($A216,MAGAZZINO!$B$2:$M$4838,3,FALSE)</f>
        <v/>
      </c>
      <c r="D216" s="17">
        <f>+VLOOKUP($A216,MAGAZZINO!$B$2:$M$4838,4,FALSE)</f>
        <v/>
      </c>
      <c r="E216" s="17">
        <f>+VLOOKUP($A216,MAGAZZINO!$B$2:$M$4838,5,FALSE)</f>
        <v/>
      </c>
      <c r="F216" s="17">
        <f>+VLOOKUP($A216,MAGAZZINO!$B$2:$M$4838,6,FALSE)</f>
        <v/>
      </c>
      <c r="G216" s="17">
        <f>+VLOOKUP($A216,MAGAZZINO!$B$2:$M$4838,7,FALSE)</f>
        <v/>
      </c>
      <c r="H216" s="17">
        <f>+VLOOKUP($A216,MAGAZZINO!$B$2:$M$4838,8,FALSE)</f>
        <v/>
      </c>
      <c r="I216" s="17">
        <f>+VLOOKUP($A216,MAGAZZINO!$B$2:$M$4838,9,FALSE)</f>
        <v/>
      </c>
      <c r="J216" s="17">
        <f>+VLOOKUP($A216,MAGAZZINO!$B$2:$M$4838,10,FALSE)</f>
        <v/>
      </c>
      <c r="K216" s="17">
        <f>+VLOOKUP($A216,MAGAZZINO!$B$2:$M$4838,11,FALSE)</f>
        <v/>
      </c>
      <c r="L216" s="44">
        <f>+VLOOKUP($A216,MAGAZZINO!$B$2:$M$4838,12,FALSE)</f>
        <v/>
      </c>
    </row>
    <row r="217" ht="36" customHeight="1">
      <c r="A217" s="30">
        <f>+REGISTRO!A200</f>
        <v/>
      </c>
      <c r="B217" s="31">
        <f>+VLOOKUP($A217,MAGAZZINO!$B$2:$M$4838,2,FALSE)</f>
        <v/>
      </c>
      <c r="C217" s="32">
        <f>+VLOOKUP($A217,MAGAZZINO!$B$2:$M$4838,3,FALSE)</f>
        <v/>
      </c>
      <c r="D217" s="17">
        <f>+VLOOKUP($A217,MAGAZZINO!$B$2:$M$4838,4,FALSE)</f>
        <v/>
      </c>
      <c r="E217" s="17">
        <f>+VLOOKUP($A217,MAGAZZINO!$B$2:$M$4838,5,FALSE)</f>
        <v/>
      </c>
      <c r="F217" s="17">
        <f>+VLOOKUP($A217,MAGAZZINO!$B$2:$M$4838,6,FALSE)</f>
        <v/>
      </c>
      <c r="G217" s="17">
        <f>+VLOOKUP($A217,MAGAZZINO!$B$2:$M$4838,7,FALSE)</f>
        <v/>
      </c>
      <c r="H217" s="17">
        <f>+VLOOKUP($A217,MAGAZZINO!$B$2:$M$4838,8,FALSE)</f>
        <v/>
      </c>
      <c r="I217" s="17">
        <f>+VLOOKUP($A217,MAGAZZINO!$B$2:$M$4838,9,FALSE)</f>
        <v/>
      </c>
      <c r="J217" s="17">
        <f>+VLOOKUP($A217,MAGAZZINO!$B$2:$M$4838,10,FALSE)</f>
        <v/>
      </c>
      <c r="K217" s="17">
        <f>+VLOOKUP($A217,MAGAZZINO!$B$2:$M$4838,11,FALSE)</f>
        <v/>
      </c>
      <c r="L217" s="44">
        <f>+VLOOKUP($A217,MAGAZZINO!$B$2:$M$4838,12,FALSE)</f>
        <v/>
      </c>
    </row>
    <row r="218" ht="36" customHeight="1">
      <c r="A218" s="30">
        <f>+REGISTRO!A201</f>
        <v/>
      </c>
      <c r="B218" s="31">
        <f>+VLOOKUP($A218,MAGAZZINO!$B$2:$M$4838,2,FALSE)</f>
        <v/>
      </c>
      <c r="C218" s="32">
        <f>+VLOOKUP($A218,MAGAZZINO!$B$2:$M$4838,3,FALSE)</f>
        <v/>
      </c>
      <c r="D218" s="17">
        <f>+VLOOKUP($A218,MAGAZZINO!$B$2:$M$4838,4,FALSE)</f>
        <v/>
      </c>
      <c r="E218" s="17">
        <f>+VLOOKUP($A218,MAGAZZINO!$B$2:$M$4838,5,FALSE)</f>
        <v/>
      </c>
      <c r="F218" s="17">
        <f>+VLOOKUP($A218,MAGAZZINO!$B$2:$M$4838,6,FALSE)</f>
        <v/>
      </c>
      <c r="G218" s="17">
        <f>+VLOOKUP($A218,MAGAZZINO!$B$2:$M$4838,7,FALSE)</f>
        <v/>
      </c>
      <c r="H218" s="17">
        <f>+VLOOKUP($A218,MAGAZZINO!$B$2:$M$4838,8,FALSE)</f>
        <v/>
      </c>
      <c r="I218" s="17">
        <f>+VLOOKUP($A218,MAGAZZINO!$B$2:$M$4838,9,FALSE)</f>
        <v/>
      </c>
      <c r="J218" s="17">
        <f>+VLOOKUP($A218,MAGAZZINO!$B$2:$M$4838,10,FALSE)</f>
        <v/>
      </c>
      <c r="K218" s="17">
        <f>+VLOOKUP($A218,MAGAZZINO!$B$2:$M$4838,11,FALSE)</f>
        <v/>
      </c>
      <c r="L218" s="44">
        <f>+VLOOKUP($A218,MAGAZZINO!$B$2:$M$4838,12,FALSE)</f>
        <v/>
      </c>
    </row>
    <row r="219" ht="36" customHeight="1">
      <c r="A219" s="30">
        <f>+REGISTRO!A202</f>
        <v/>
      </c>
      <c r="B219" s="31">
        <f>+VLOOKUP($A219,MAGAZZINO!$B$2:$M$4838,2,FALSE)</f>
        <v/>
      </c>
      <c r="C219" s="32">
        <f>+VLOOKUP($A219,MAGAZZINO!$B$2:$M$4838,3,FALSE)</f>
        <v/>
      </c>
      <c r="D219" s="17">
        <f>+VLOOKUP($A219,MAGAZZINO!$B$2:$M$4838,4,FALSE)</f>
        <v/>
      </c>
      <c r="E219" s="17">
        <f>+VLOOKUP($A219,MAGAZZINO!$B$2:$M$4838,5,FALSE)</f>
        <v/>
      </c>
      <c r="F219" s="17">
        <f>+VLOOKUP($A219,MAGAZZINO!$B$2:$M$4838,6,FALSE)</f>
        <v/>
      </c>
      <c r="G219" s="17">
        <f>+VLOOKUP($A219,MAGAZZINO!$B$2:$M$4838,7,FALSE)</f>
        <v/>
      </c>
      <c r="H219" s="17">
        <f>+VLOOKUP($A219,MAGAZZINO!$B$2:$M$4838,8,FALSE)</f>
        <v/>
      </c>
      <c r="I219" s="17">
        <f>+VLOOKUP($A219,MAGAZZINO!$B$2:$M$4838,9,FALSE)</f>
        <v/>
      </c>
      <c r="J219" s="17">
        <f>+VLOOKUP($A219,MAGAZZINO!$B$2:$M$4838,10,FALSE)</f>
        <v/>
      </c>
      <c r="K219" s="17">
        <f>+VLOOKUP($A219,MAGAZZINO!$B$2:$M$4838,11,FALSE)</f>
        <v/>
      </c>
      <c r="L219" s="44">
        <f>+VLOOKUP($A219,MAGAZZINO!$B$2:$M$4838,12,FALSE)</f>
        <v/>
      </c>
    </row>
    <row r="220" ht="36" customHeight="1">
      <c r="A220" s="30">
        <f>+REGISTRO!A203</f>
        <v/>
      </c>
      <c r="B220" s="31">
        <f>+VLOOKUP($A220,MAGAZZINO!$B$2:$M$4838,2,FALSE)</f>
        <v/>
      </c>
      <c r="C220" s="32">
        <f>+VLOOKUP($A220,MAGAZZINO!$B$2:$M$4838,3,FALSE)</f>
        <v/>
      </c>
      <c r="D220" s="17">
        <f>+VLOOKUP($A220,MAGAZZINO!$B$2:$M$4838,4,FALSE)</f>
        <v/>
      </c>
      <c r="E220" s="17">
        <f>+VLOOKUP($A220,MAGAZZINO!$B$2:$M$4838,5,FALSE)</f>
        <v/>
      </c>
      <c r="F220" s="17">
        <f>+VLOOKUP($A220,MAGAZZINO!$B$2:$M$4838,6,FALSE)</f>
        <v/>
      </c>
      <c r="G220" s="17">
        <f>+VLOOKUP($A220,MAGAZZINO!$B$2:$M$4838,7,FALSE)</f>
        <v/>
      </c>
      <c r="H220" s="17">
        <f>+VLOOKUP($A220,MAGAZZINO!$B$2:$M$4838,8,FALSE)</f>
        <v/>
      </c>
      <c r="I220" s="17">
        <f>+VLOOKUP($A220,MAGAZZINO!$B$2:$M$4838,9,FALSE)</f>
        <v/>
      </c>
      <c r="J220" s="17">
        <f>+VLOOKUP($A220,MAGAZZINO!$B$2:$M$4838,10,FALSE)</f>
        <v/>
      </c>
      <c r="K220" s="17">
        <f>+VLOOKUP($A220,MAGAZZINO!$B$2:$M$4838,11,FALSE)</f>
        <v/>
      </c>
      <c r="L220" s="44">
        <f>+VLOOKUP($A220,MAGAZZINO!$B$2:$M$4838,12,FALSE)</f>
        <v/>
      </c>
    </row>
    <row r="221" ht="36" customHeight="1">
      <c r="A221" s="30">
        <f>+REGISTRO!A204</f>
        <v/>
      </c>
      <c r="B221" s="31">
        <f>+VLOOKUP($A221,MAGAZZINO!$B$2:$M$4838,2,FALSE)</f>
        <v/>
      </c>
      <c r="C221" s="32">
        <f>+VLOOKUP($A221,MAGAZZINO!$B$2:$M$4838,3,FALSE)</f>
        <v/>
      </c>
      <c r="D221" s="17">
        <f>+VLOOKUP($A221,MAGAZZINO!$B$2:$M$4838,4,FALSE)</f>
        <v/>
      </c>
      <c r="E221" s="17">
        <f>+VLOOKUP($A221,MAGAZZINO!$B$2:$M$4838,5,FALSE)</f>
        <v/>
      </c>
      <c r="F221" s="17">
        <f>+VLOOKUP($A221,MAGAZZINO!$B$2:$M$4838,6,FALSE)</f>
        <v/>
      </c>
      <c r="G221" s="17">
        <f>+VLOOKUP($A221,MAGAZZINO!$B$2:$M$4838,7,FALSE)</f>
        <v/>
      </c>
      <c r="H221" s="17">
        <f>+VLOOKUP($A221,MAGAZZINO!$B$2:$M$4838,8,FALSE)</f>
        <v/>
      </c>
      <c r="I221" s="17">
        <f>+VLOOKUP($A221,MAGAZZINO!$B$2:$M$4838,9,FALSE)</f>
        <v/>
      </c>
      <c r="J221" s="17">
        <f>+VLOOKUP($A221,MAGAZZINO!$B$2:$M$4838,10,FALSE)</f>
        <v/>
      </c>
      <c r="K221" s="17">
        <f>+VLOOKUP($A221,MAGAZZINO!$B$2:$M$4838,11,FALSE)</f>
        <v/>
      </c>
      <c r="L221" s="44">
        <f>+VLOOKUP($A221,MAGAZZINO!$B$2:$M$4838,12,FALSE)</f>
        <v/>
      </c>
    </row>
    <row r="222" ht="36" customHeight="1">
      <c r="A222" s="30">
        <f>+REGISTRO!A205</f>
        <v/>
      </c>
      <c r="B222" s="31">
        <f>+VLOOKUP($A222,MAGAZZINO!$B$2:$M$4838,2,FALSE)</f>
        <v/>
      </c>
      <c r="C222" s="32">
        <f>+VLOOKUP($A222,MAGAZZINO!$B$2:$M$4838,3,FALSE)</f>
        <v/>
      </c>
      <c r="D222" s="17">
        <f>+VLOOKUP($A222,MAGAZZINO!$B$2:$M$4838,4,FALSE)</f>
        <v/>
      </c>
      <c r="E222" s="17">
        <f>+VLOOKUP($A222,MAGAZZINO!$B$2:$M$4838,5,FALSE)</f>
        <v/>
      </c>
      <c r="F222" s="17">
        <f>+VLOOKUP($A222,MAGAZZINO!$B$2:$M$4838,6,FALSE)</f>
        <v/>
      </c>
      <c r="G222" s="17">
        <f>+VLOOKUP($A222,MAGAZZINO!$B$2:$M$4838,7,FALSE)</f>
        <v/>
      </c>
      <c r="H222" s="17">
        <f>+VLOOKUP($A222,MAGAZZINO!$B$2:$M$4838,8,FALSE)</f>
        <v/>
      </c>
      <c r="I222" s="17">
        <f>+VLOOKUP($A222,MAGAZZINO!$B$2:$M$4838,9,FALSE)</f>
        <v/>
      </c>
      <c r="J222" s="17">
        <f>+VLOOKUP($A222,MAGAZZINO!$B$2:$M$4838,10,FALSE)</f>
        <v/>
      </c>
      <c r="K222" s="17">
        <f>+VLOOKUP($A222,MAGAZZINO!$B$2:$M$4838,11,FALSE)</f>
        <v/>
      </c>
      <c r="L222" s="44">
        <f>+VLOOKUP($A222,MAGAZZINO!$B$2:$M$4838,12,FALSE)</f>
        <v/>
      </c>
    </row>
    <row r="223" ht="36" customHeight="1">
      <c r="A223" s="30">
        <f>+REGISTRO!A206</f>
        <v/>
      </c>
      <c r="B223" s="31">
        <f>+VLOOKUP($A223,MAGAZZINO!$B$2:$M$4838,2,FALSE)</f>
        <v/>
      </c>
      <c r="C223" s="32">
        <f>+VLOOKUP($A223,MAGAZZINO!$B$2:$M$4838,3,FALSE)</f>
        <v/>
      </c>
      <c r="D223" s="17">
        <f>+VLOOKUP($A223,MAGAZZINO!$B$2:$M$4838,4,FALSE)</f>
        <v/>
      </c>
      <c r="E223" s="17">
        <f>+VLOOKUP($A223,MAGAZZINO!$B$2:$M$4838,5,FALSE)</f>
        <v/>
      </c>
      <c r="F223" s="17">
        <f>+VLOOKUP($A223,MAGAZZINO!$B$2:$M$4838,6,FALSE)</f>
        <v/>
      </c>
      <c r="G223" s="17">
        <f>+VLOOKUP($A223,MAGAZZINO!$B$2:$M$4838,7,FALSE)</f>
        <v/>
      </c>
      <c r="H223" s="17">
        <f>+VLOOKUP($A223,MAGAZZINO!$B$2:$M$4838,8,FALSE)</f>
        <v/>
      </c>
      <c r="I223" s="17">
        <f>+VLOOKUP($A223,MAGAZZINO!$B$2:$M$4838,9,FALSE)</f>
        <v/>
      </c>
      <c r="J223" s="17">
        <f>+VLOOKUP($A223,MAGAZZINO!$B$2:$M$4838,10,FALSE)</f>
        <v/>
      </c>
      <c r="K223" s="17">
        <f>+VLOOKUP($A223,MAGAZZINO!$B$2:$M$4838,11,FALSE)</f>
        <v/>
      </c>
      <c r="L223" s="44">
        <f>+VLOOKUP($A223,MAGAZZINO!$B$2:$M$4838,12,FALSE)</f>
        <v/>
      </c>
    </row>
    <row r="224" ht="36" customHeight="1">
      <c r="A224" s="30">
        <f>+REGISTRO!A207</f>
        <v/>
      </c>
      <c r="B224" s="31">
        <f>+VLOOKUP($A224,MAGAZZINO!$B$2:$M$4838,2,FALSE)</f>
        <v/>
      </c>
      <c r="C224" s="32">
        <f>+VLOOKUP($A224,MAGAZZINO!$B$2:$M$4838,3,FALSE)</f>
        <v/>
      </c>
      <c r="D224" s="17">
        <f>+VLOOKUP($A224,MAGAZZINO!$B$2:$M$4838,4,FALSE)</f>
        <v/>
      </c>
      <c r="E224" s="17">
        <f>+VLOOKUP($A224,MAGAZZINO!$B$2:$M$4838,5,FALSE)</f>
        <v/>
      </c>
      <c r="F224" s="17">
        <f>+VLOOKUP($A224,MAGAZZINO!$B$2:$M$4838,6,FALSE)</f>
        <v/>
      </c>
      <c r="G224" s="17">
        <f>+VLOOKUP($A224,MAGAZZINO!$B$2:$M$4838,7,FALSE)</f>
        <v/>
      </c>
      <c r="H224" s="17">
        <f>+VLOOKUP($A224,MAGAZZINO!$B$2:$M$4838,8,FALSE)</f>
        <v/>
      </c>
      <c r="I224" s="17">
        <f>+VLOOKUP($A224,MAGAZZINO!$B$2:$M$4838,9,FALSE)</f>
        <v/>
      </c>
      <c r="J224" s="17">
        <f>+VLOOKUP($A224,MAGAZZINO!$B$2:$M$4838,10,FALSE)</f>
        <v/>
      </c>
      <c r="K224" s="17">
        <f>+VLOOKUP($A224,MAGAZZINO!$B$2:$M$4838,11,FALSE)</f>
        <v/>
      </c>
      <c r="L224" s="44">
        <f>+VLOOKUP($A224,MAGAZZINO!$B$2:$M$4838,12,FALSE)</f>
        <v/>
      </c>
    </row>
    <row r="225" ht="36" customHeight="1">
      <c r="A225" s="30">
        <f>+REGISTRO!A208</f>
        <v/>
      </c>
      <c r="B225" s="31">
        <f>+VLOOKUP($A225,MAGAZZINO!$B$2:$M$4838,2,FALSE)</f>
        <v/>
      </c>
      <c r="C225" s="32">
        <f>+VLOOKUP($A225,MAGAZZINO!$B$2:$M$4838,3,FALSE)</f>
        <v/>
      </c>
      <c r="D225" s="17">
        <f>+VLOOKUP($A225,MAGAZZINO!$B$2:$M$4838,4,FALSE)</f>
        <v/>
      </c>
      <c r="E225" s="17">
        <f>+VLOOKUP($A225,MAGAZZINO!$B$2:$M$4838,5,FALSE)</f>
        <v/>
      </c>
      <c r="F225" s="17">
        <f>+VLOOKUP($A225,MAGAZZINO!$B$2:$M$4838,6,FALSE)</f>
        <v/>
      </c>
      <c r="G225" s="17">
        <f>+VLOOKUP($A225,MAGAZZINO!$B$2:$M$4838,7,FALSE)</f>
        <v/>
      </c>
      <c r="H225" s="17">
        <f>+VLOOKUP($A225,MAGAZZINO!$B$2:$M$4838,8,FALSE)</f>
        <v/>
      </c>
      <c r="I225" s="17">
        <f>+VLOOKUP($A225,MAGAZZINO!$B$2:$M$4838,9,FALSE)</f>
        <v/>
      </c>
      <c r="J225" s="17">
        <f>+VLOOKUP($A225,MAGAZZINO!$B$2:$M$4838,10,FALSE)</f>
        <v/>
      </c>
      <c r="K225" s="17">
        <f>+VLOOKUP($A225,MAGAZZINO!$B$2:$M$4838,11,FALSE)</f>
        <v/>
      </c>
      <c r="L225" s="44">
        <f>+VLOOKUP($A225,MAGAZZINO!$B$2:$M$4838,12,FALSE)</f>
        <v/>
      </c>
    </row>
    <row r="226" ht="36" customHeight="1">
      <c r="A226" s="30">
        <f>+REGISTRO!A209</f>
        <v/>
      </c>
      <c r="B226" s="31">
        <f>+VLOOKUP($A226,MAGAZZINO!$B$2:$M$4838,2,FALSE)</f>
        <v/>
      </c>
      <c r="C226" s="32">
        <f>+VLOOKUP($A226,MAGAZZINO!$B$2:$M$4838,3,FALSE)</f>
        <v/>
      </c>
      <c r="D226" s="17">
        <f>+VLOOKUP($A226,MAGAZZINO!$B$2:$M$4838,4,FALSE)</f>
        <v/>
      </c>
      <c r="E226" s="17">
        <f>+VLOOKUP($A226,MAGAZZINO!$B$2:$M$4838,5,FALSE)</f>
        <v/>
      </c>
      <c r="F226" s="17">
        <f>+VLOOKUP($A226,MAGAZZINO!$B$2:$M$4838,6,FALSE)</f>
        <v/>
      </c>
      <c r="G226" s="17">
        <f>+VLOOKUP($A226,MAGAZZINO!$B$2:$M$4838,7,FALSE)</f>
        <v/>
      </c>
      <c r="H226" s="17">
        <f>+VLOOKUP($A226,MAGAZZINO!$B$2:$M$4838,8,FALSE)</f>
        <v/>
      </c>
      <c r="I226" s="17">
        <f>+VLOOKUP($A226,MAGAZZINO!$B$2:$M$4838,9,FALSE)</f>
        <v/>
      </c>
      <c r="J226" s="17">
        <f>+VLOOKUP($A226,MAGAZZINO!$B$2:$M$4838,10,FALSE)</f>
        <v/>
      </c>
      <c r="K226" s="17">
        <f>+VLOOKUP($A226,MAGAZZINO!$B$2:$M$4838,11,FALSE)</f>
        <v/>
      </c>
      <c r="L226" s="44">
        <f>+VLOOKUP($A226,MAGAZZINO!$B$2:$M$4838,12,FALSE)</f>
        <v/>
      </c>
    </row>
    <row r="227" ht="36" customHeight="1">
      <c r="A227" s="30">
        <f>+REGISTRO!A210</f>
        <v/>
      </c>
      <c r="B227" s="31">
        <f>+VLOOKUP($A227,MAGAZZINO!$B$2:$M$4838,2,FALSE)</f>
        <v/>
      </c>
      <c r="C227" s="32">
        <f>+VLOOKUP($A227,MAGAZZINO!$B$2:$M$4838,3,FALSE)</f>
        <v/>
      </c>
      <c r="D227" s="17">
        <f>+VLOOKUP($A227,MAGAZZINO!$B$2:$M$4838,4,FALSE)</f>
        <v/>
      </c>
      <c r="E227" s="17">
        <f>+VLOOKUP($A227,MAGAZZINO!$B$2:$M$4838,5,FALSE)</f>
        <v/>
      </c>
      <c r="F227" s="17">
        <f>+VLOOKUP($A227,MAGAZZINO!$B$2:$M$4838,6,FALSE)</f>
        <v/>
      </c>
      <c r="G227" s="17">
        <f>+VLOOKUP($A227,MAGAZZINO!$B$2:$M$4838,7,FALSE)</f>
        <v/>
      </c>
      <c r="H227" s="17">
        <f>+VLOOKUP($A227,MAGAZZINO!$B$2:$M$4838,8,FALSE)</f>
        <v/>
      </c>
      <c r="I227" s="17">
        <f>+VLOOKUP($A227,MAGAZZINO!$B$2:$M$4838,9,FALSE)</f>
        <v/>
      </c>
      <c r="J227" s="17">
        <f>+VLOOKUP($A227,MAGAZZINO!$B$2:$M$4838,10,FALSE)</f>
        <v/>
      </c>
      <c r="K227" s="17">
        <f>+VLOOKUP($A227,MAGAZZINO!$B$2:$M$4838,11,FALSE)</f>
        <v/>
      </c>
      <c r="L227" s="44">
        <f>+VLOOKUP($A227,MAGAZZINO!$B$2:$M$4838,12,FALSE)</f>
        <v/>
      </c>
    </row>
    <row r="228" ht="36" customHeight="1">
      <c r="A228" s="30">
        <f>+REGISTRO!A211</f>
        <v/>
      </c>
      <c r="B228" s="31">
        <f>+VLOOKUP($A228,MAGAZZINO!$B$2:$M$4838,2,FALSE)</f>
        <v/>
      </c>
      <c r="C228" s="32">
        <f>+VLOOKUP($A228,MAGAZZINO!$B$2:$M$4838,3,FALSE)</f>
        <v/>
      </c>
      <c r="D228" s="17">
        <f>+VLOOKUP($A228,MAGAZZINO!$B$2:$M$4838,4,FALSE)</f>
        <v/>
      </c>
      <c r="E228" s="17">
        <f>+VLOOKUP($A228,MAGAZZINO!$B$2:$M$4838,5,FALSE)</f>
        <v/>
      </c>
      <c r="F228" s="17">
        <f>+VLOOKUP($A228,MAGAZZINO!$B$2:$M$4838,6,FALSE)</f>
        <v/>
      </c>
      <c r="G228" s="17">
        <f>+VLOOKUP($A228,MAGAZZINO!$B$2:$M$4838,7,FALSE)</f>
        <v/>
      </c>
      <c r="H228" s="17">
        <f>+VLOOKUP($A228,MAGAZZINO!$B$2:$M$4838,8,FALSE)</f>
        <v/>
      </c>
      <c r="I228" s="17">
        <f>+VLOOKUP($A228,MAGAZZINO!$B$2:$M$4838,9,FALSE)</f>
        <v/>
      </c>
      <c r="J228" s="17">
        <f>+VLOOKUP($A228,MAGAZZINO!$B$2:$M$4838,10,FALSE)</f>
        <v/>
      </c>
      <c r="K228" s="17">
        <f>+VLOOKUP($A228,MAGAZZINO!$B$2:$M$4838,11,FALSE)</f>
        <v/>
      </c>
      <c r="L228" s="44">
        <f>+VLOOKUP($A228,MAGAZZINO!$B$2:$M$4838,12,FALSE)</f>
        <v/>
      </c>
    </row>
    <row r="229" ht="36" customHeight="1">
      <c r="A229" s="30">
        <f>+REGISTRO!A212</f>
        <v/>
      </c>
      <c r="B229" s="31">
        <f>+VLOOKUP($A229,MAGAZZINO!$B$2:$M$4838,2,FALSE)</f>
        <v/>
      </c>
      <c r="C229" s="32">
        <f>+VLOOKUP($A229,MAGAZZINO!$B$2:$M$4838,3,FALSE)</f>
        <v/>
      </c>
      <c r="D229" s="17">
        <f>+VLOOKUP($A229,MAGAZZINO!$B$2:$M$4838,4,FALSE)</f>
        <v/>
      </c>
      <c r="E229" s="17">
        <f>+VLOOKUP($A229,MAGAZZINO!$B$2:$M$4838,5,FALSE)</f>
        <v/>
      </c>
      <c r="F229" s="17">
        <f>+VLOOKUP($A229,MAGAZZINO!$B$2:$M$4838,6,FALSE)</f>
        <v/>
      </c>
      <c r="G229" s="17">
        <f>+VLOOKUP($A229,MAGAZZINO!$B$2:$M$4838,7,FALSE)</f>
        <v/>
      </c>
      <c r="H229" s="17">
        <f>+VLOOKUP($A229,MAGAZZINO!$B$2:$M$4838,8,FALSE)</f>
        <v/>
      </c>
      <c r="I229" s="17">
        <f>+VLOOKUP($A229,MAGAZZINO!$B$2:$M$4838,9,FALSE)</f>
        <v/>
      </c>
      <c r="J229" s="17">
        <f>+VLOOKUP($A229,MAGAZZINO!$B$2:$M$4838,10,FALSE)</f>
        <v/>
      </c>
      <c r="K229" s="17">
        <f>+VLOOKUP($A229,MAGAZZINO!$B$2:$M$4838,11,FALSE)</f>
        <v/>
      </c>
      <c r="L229" s="44">
        <f>+VLOOKUP($A229,MAGAZZINO!$B$2:$M$4838,12,FALSE)</f>
        <v/>
      </c>
    </row>
    <row r="230" ht="36" customHeight="1">
      <c r="A230" s="30">
        <f>+REGISTRO!A213</f>
        <v/>
      </c>
      <c r="B230" s="31">
        <f>+VLOOKUP($A230,MAGAZZINO!$B$2:$M$4838,2,FALSE)</f>
        <v/>
      </c>
      <c r="C230" s="32">
        <f>+VLOOKUP($A230,MAGAZZINO!$B$2:$M$4838,3,FALSE)</f>
        <v/>
      </c>
      <c r="D230" s="17">
        <f>+VLOOKUP($A230,MAGAZZINO!$B$2:$M$4838,4,FALSE)</f>
        <v/>
      </c>
      <c r="E230" s="17">
        <f>+VLOOKUP($A230,MAGAZZINO!$B$2:$M$4838,5,FALSE)</f>
        <v/>
      </c>
      <c r="F230" s="17">
        <f>+VLOOKUP($A230,MAGAZZINO!$B$2:$M$4838,6,FALSE)</f>
        <v/>
      </c>
      <c r="G230" s="17">
        <f>+VLOOKUP($A230,MAGAZZINO!$B$2:$M$4838,7,FALSE)</f>
        <v/>
      </c>
      <c r="H230" s="17">
        <f>+VLOOKUP($A230,MAGAZZINO!$B$2:$M$4838,8,FALSE)</f>
        <v/>
      </c>
      <c r="I230" s="17">
        <f>+VLOOKUP($A230,MAGAZZINO!$B$2:$M$4838,9,FALSE)</f>
        <v/>
      </c>
      <c r="J230" s="17">
        <f>+VLOOKUP($A230,MAGAZZINO!$B$2:$M$4838,10,FALSE)</f>
        <v/>
      </c>
      <c r="K230" s="17">
        <f>+VLOOKUP($A230,MAGAZZINO!$B$2:$M$4838,11,FALSE)</f>
        <v/>
      </c>
      <c r="L230" s="44">
        <f>+VLOOKUP($A230,MAGAZZINO!$B$2:$M$4838,12,FALSE)</f>
        <v/>
      </c>
    </row>
    <row r="231" ht="36" customHeight="1">
      <c r="A231" s="30">
        <f>+REGISTRO!A214</f>
        <v/>
      </c>
      <c r="B231" s="31">
        <f>+VLOOKUP($A231,MAGAZZINO!$B$2:$M$4838,2,FALSE)</f>
        <v/>
      </c>
      <c r="C231" s="32">
        <f>+VLOOKUP($A231,MAGAZZINO!$B$2:$M$4838,3,FALSE)</f>
        <v/>
      </c>
      <c r="D231" s="17">
        <f>+VLOOKUP($A231,MAGAZZINO!$B$2:$M$4838,4,FALSE)</f>
        <v/>
      </c>
      <c r="E231" s="17">
        <f>+VLOOKUP($A231,MAGAZZINO!$B$2:$M$4838,5,FALSE)</f>
        <v/>
      </c>
      <c r="F231" s="17">
        <f>+VLOOKUP($A231,MAGAZZINO!$B$2:$M$4838,6,FALSE)</f>
        <v/>
      </c>
      <c r="G231" s="17">
        <f>+VLOOKUP($A231,MAGAZZINO!$B$2:$M$4838,7,FALSE)</f>
        <v/>
      </c>
      <c r="H231" s="17">
        <f>+VLOOKUP($A231,MAGAZZINO!$B$2:$M$4838,8,FALSE)</f>
        <v/>
      </c>
      <c r="I231" s="17">
        <f>+VLOOKUP($A231,MAGAZZINO!$B$2:$M$4838,9,FALSE)</f>
        <v/>
      </c>
      <c r="J231" s="17">
        <f>+VLOOKUP($A231,MAGAZZINO!$B$2:$M$4838,10,FALSE)</f>
        <v/>
      </c>
      <c r="K231" s="17">
        <f>+VLOOKUP($A231,MAGAZZINO!$B$2:$M$4838,11,FALSE)</f>
        <v/>
      </c>
      <c r="L231" s="44">
        <f>+VLOOKUP($A231,MAGAZZINO!$B$2:$M$4838,12,FALSE)</f>
        <v/>
      </c>
    </row>
    <row r="232" ht="36" customHeight="1">
      <c r="A232" s="30">
        <f>+REGISTRO!A215</f>
        <v/>
      </c>
      <c r="B232" s="31">
        <f>+VLOOKUP($A232,MAGAZZINO!$B$2:$M$4838,2,FALSE)</f>
        <v/>
      </c>
      <c r="C232" s="32">
        <f>+VLOOKUP($A232,MAGAZZINO!$B$2:$M$4838,3,FALSE)</f>
        <v/>
      </c>
      <c r="D232" s="17">
        <f>+VLOOKUP($A232,MAGAZZINO!$B$2:$M$4838,4,FALSE)</f>
        <v/>
      </c>
      <c r="E232" s="17">
        <f>+VLOOKUP($A232,MAGAZZINO!$B$2:$M$4838,5,FALSE)</f>
        <v/>
      </c>
      <c r="F232" s="17">
        <f>+VLOOKUP($A232,MAGAZZINO!$B$2:$M$4838,6,FALSE)</f>
        <v/>
      </c>
      <c r="G232" s="17">
        <f>+VLOOKUP($A232,MAGAZZINO!$B$2:$M$4838,7,FALSE)</f>
        <v/>
      </c>
      <c r="H232" s="17">
        <f>+VLOOKUP($A232,MAGAZZINO!$B$2:$M$4838,8,FALSE)</f>
        <v/>
      </c>
      <c r="I232" s="17">
        <f>+VLOOKUP($A232,MAGAZZINO!$B$2:$M$4838,9,FALSE)</f>
        <v/>
      </c>
      <c r="J232" s="17">
        <f>+VLOOKUP($A232,MAGAZZINO!$B$2:$M$4838,10,FALSE)</f>
        <v/>
      </c>
      <c r="K232" s="17">
        <f>+VLOOKUP($A232,MAGAZZINO!$B$2:$M$4838,11,FALSE)</f>
        <v/>
      </c>
      <c r="L232" s="44">
        <f>+VLOOKUP($A232,MAGAZZINO!$B$2:$M$4838,12,FALSE)</f>
        <v/>
      </c>
    </row>
    <row r="233" ht="36" customHeight="1">
      <c r="A233" s="30">
        <f>+REGISTRO!A216</f>
        <v/>
      </c>
      <c r="B233" s="31">
        <f>+VLOOKUP($A233,MAGAZZINO!$B$2:$M$4838,2,FALSE)</f>
        <v/>
      </c>
      <c r="C233" s="32">
        <f>+VLOOKUP($A233,MAGAZZINO!$B$2:$M$4838,3,FALSE)</f>
        <v/>
      </c>
      <c r="D233" s="17">
        <f>+VLOOKUP($A233,MAGAZZINO!$B$2:$M$4838,4,FALSE)</f>
        <v/>
      </c>
      <c r="E233" s="17">
        <f>+VLOOKUP($A233,MAGAZZINO!$B$2:$M$4838,5,FALSE)</f>
        <v/>
      </c>
      <c r="F233" s="17">
        <f>+VLOOKUP($A233,MAGAZZINO!$B$2:$M$4838,6,FALSE)</f>
        <v/>
      </c>
      <c r="G233" s="17">
        <f>+VLOOKUP($A233,MAGAZZINO!$B$2:$M$4838,7,FALSE)</f>
        <v/>
      </c>
      <c r="H233" s="17">
        <f>+VLOOKUP($A233,MAGAZZINO!$B$2:$M$4838,8,FALSE)</f>
        <v/>
      </c>
      <c r="I233" s="17">
        <f>+VLOOKUP($A233,MAGAZZINO!$B$2:$M$4838,9,FALSE)</f>
        <v/>
      </c>
      <c r="J233" s="17">
        <f>+VLOOKUP($A233,MAGAZZINO!$B$2:$M$4838,10,FALSE)</f>
        <v/>
      </c>
      <c r="K233" s="17">
        <f>+VLOOKUP($A233,MAGAZZINO!$B$2:$M$4838,11,FALSE)</f>
        <v/>
      </c>
      <c r="L233" s="44">
        <f>+VLOOKUP($A233,MAGAZZINO!$B$2:$M$4838,12,FALSE)</f>
        <v/>
      </c>
    </row>
    <row r="234" ht="36" customHeight="1">
      <c r="A234" s="30">
        <f>+REGISTRO!A217</f>
        <v/>
      </c>
      <c r="B234" s="31">
        <f>+VLOOKUP($A234,MAGAZZINO!$B$2:$M$4838,2,FALSE)</f>
        <v/>
      </c>
      <c r="C234" s="32">
        <f>+VLOOKUP($A234,MAGAZZINO!$B$2:$M$4838,3,FALSE)</f>
        <v/>
      </c>
      <c r="D234" s="17">
        <f>+VLOOKUP($A234,MAGAZZINO!$B$2:$M$4838,4,FALSE)</f>
        <v/>
      </c>
      <c r="E234" s="17">
        <f>+VLOOKUP($A234,MAGAZZINO!$B$2:$M$4838,5,FALSE)</f>
        <v/>
      </c>
      <c r="F234" s="17">
        <f>+VLOOKUP($A234,MAGAZZINO!$B$2:$M$4838,6,FALSE)</f>
        <v/>
      </c>
      <c r="G234" s="17">
        <f>+VLOOKUP($A234,MAGAZZINO!$B$2:$M$4838,7,FALSE)</f>
        <v/>
      </c>
      <c r="H234" s="17">
        <f>+VLOOKUP($A234,MAGAZZINO!$B$2:$M$4838,8,FALSE)</f>
        <v/>
      </c>
      <c r="I234" s="17">
        <f>+VLOOKUP($A234,MAGAZZINO!$B$2:$M$4838,9,FALSE)</f>
        <v/>
      </c>
      <c r="J234" s="17">
        <f>+VLOOKUP($A234,MAGAZZINO!$B$2:$M$4838,10,FALSE)</f>
        <v/>
      </c>
      <c r="K234" s="17">
        <f>+VLOOKUP($A234,MAGAZZINO!$B$2:$M$4838,11,FALSE)</f>
        <v/>
      </c>
      <c r="L234" s="44">
        <f>+VLOOKUP($A234,MAGAZZINO!$B$2:$M$4838,12,FALSE)</f>
        <v/>
      </c>
    </row>
    <row r="235" ht="36" customHeight="1">
      <c r="A235" s="30">
        <f>+REGISTRO!A218</f>
        <v/>
      </c>
      <c r="B235" s="31">
        <f>+VLOOKUP($A235,MAGAZZINO!$B$2:$M$4838,2,FALSE)</f>
        <v/>
      </c>
      <c r="C235" s="32">
        <f>+VLOOKUP($A235,MAGAZZINO!$B$2:$M$4838,3,FALSE)</f>
        <v/>
      </c>
      <c r="D235" s="17">
        <f>+VLOOKUP($A235,MAGAZZINO!$B$2:$M$4838,4,FALSE)</f>
        <v/>
      </c>
      <c r="E235" s="17">
        <f>+VLOOKUP($A235,MAGAZZINO!$B$2:$M$4838,5,FALSE)</f>
        <v/>
      </c>
      <c r="F235" s="17">
        <f>+VLOOKUP($A235,MAGAZZINO!$B$2:$M$4838,6,FALSE)</f>
        <v/>
      </c>
      <c r="G235" s="17">
        <f>+VLOOKUP($A235,MAGAZZINO!$B$2:$M$4838,7,FALSE)</f>
        <v/>
      </c>
      <c r="H235" s="17">
        <f>+VLOOKUP($A235,MAGAZZINO!$B$2:$M$4838,8,FALSE)</f>
        <v/>
      </c>
      <c r="I235" s="17">
        <f>+VLOOKUP($A235,MAGAZZINO!$B$2:$M$4838,9,FALSE)</f>
        <v/>
      </c>
      <c r="J235" s="17">
        <f>+VLOOKUP($A235,MAGAZZINO!$B$2:$M$4838,10,FALSE)</f>
        <v/>
      </c>
      <c r="K235" s="17">
        <f>+VLOOKUP($A235,MAGAZZINO!$B$2:$M$4838,11,FALSE)</f>
        <v/>
      </c>
      <c r="L235" s="44">
        <f>+VLOOKUP($A235,MAGAZZINO!$B$2:$M$4838,12,FALSE)</f>
        <v/>
      </c>
    </row>
    <row r="236" ht="36" customHeight="1">
      <c r="A236" s="30">
        <f>+REGISTRO!A219</f>
        <v/>
      </c>
      <c r="B236" s="31">
        <f>+VLOOKUP($A236,MAGAZZINO!$B$2:$M$4838,2,FALSE)</f>
        <v/>
      </c>
      <c r="C236" s="32">
        <f>+VLOOKUP($A236,MAGAZZINO!$B$2:$M$4838,3,FALSE)</f>
        <v/>
      </c>
      <c r="D236" s="17">
        <f>+VLOOKUP($A236,MAGAZZINO!$B$2:$M$4838,4,FALSE)</f>
        <v/>
      </c>
      <c r="E236" s="17">
        <f>+VLOOKUP($A236,MAGAZZINO!$B$2:$M$4838,5,FALSE)</f>
        <v/>
      </c>
      <c r="F236" s="17">
        <f>+VLOOKUP($A236,MAGAZZINO!$B$2:$M$4838,6,FALSE)</f>
        <v/>
      </c>
      <c r="G236" s="17">
        <f>+VLOOKUP($A236,MAGAZZINO!$B$2:$M$4838,7,FALSE)</f>
        <v/>
      </c>
      <c r="H236" s="17">
        <f>+VLOOKUP($A236,MAGAZZINO!$B$2:$M$4838,8,FALSE)</f>
        <v/>
      </c>
      <c r="I236" s="17">
        <f>+VLOOKUP($A236,MAGAZZINO!$B$2:$M$4838,9,FALSE)</f>
        <v/>
      </c>
      <c r="J236" s="17">
        <f>+VLOOKUP($A236,MAGAZZINO!$B$2:$M$4838,10,FALSE)</f>
        <v/>
      </c>
      <c r="K236" s="17">
        <f>+VLOOKUP($A236,MAGAZZINO!$B$2:$M$4838,11,FALSE)</f>
        <v/>
      </c>
      <c r="L236" s="44">
        <f>+VLOOKUP($A236,MAGAZZINO!$B$2:$M$4838,12,FALSE)</f>
        <v/>
      </c>
    </row>
    <row r="237" ht="36" customHeight="1">
      <c r="A237" s="30">
        <f>+REGISTRO!A220</f>
        <v/>
      </c>
      <c r="B237" s="31">
        <f>+VLOOKUP($A237,MAGAZZINO!$B$2:$M$4838,2,FALSE)</f>
        <v/>
      </c>
      <c r="C237" s="32">
        <f>+VLOOKUP($A237,MAGAZZINO!$B$2:$M$4838,3,FALSE)</f>
        <v/>
      </c>
      <c r="D237" s="17">
        <f>+VLOOKUP($A237,MAGAZZINO!$B$2:$M$4838,4,FALSE)</f>
        <v/>
      </c>
      <c r="E237" s="17">
        <f>+VLOOKUP($A237,MAGAZZINO!$B$2:$M$4838,5,FALSE)</f>
        <v/>
      </c>
      <c r="F237" s="17">
        <f>+VLOOKUP($A237,MAGAZZINO!$B$2:$M$4838,6,FALSE)</f>
        <v/>
      </c>
      <c r="G237" s="17">
        <f>+VLOOKUP($A237,MAGAZZINO!$B$2:$M$4838,7,FALSE)</f>
        <v/>
      </c>
      <c r="H237" s="17">
        <f>+VLOOKUP($A237,MAGAZZINO!$B$2:$M$4838,8,FALSE)</f>
        <v/>
      </c>
      <c r="I237" s="17">
        <f>+VLOOKUP($A237,MAGAZZINO!$B$2:$M$4838,9,FALSE)</f>
        <v/>
      </c>
      <c r="J237" s="17">
        <f>+VLOOKUP($A237,MAGAZZINO!$B$2:$M$4838,10,FALSE)</f>
        <v/>
      </c>
      <c r="K237" s="17">
        <f>+VLOOKUP($A237,MAGAZZINO!$B$2:$M$4838,11,FALSE)</f>
        <v/>
      </c>
      <c r="L237" s="44">
        <f>+VLOOKUP($A237,MAGAZZINO!$B$2:$M$4838,12,FALSE)</f>
        <v/>
      </c>
    </row>
    <row r="238" ht="36" customHeight="1">
      <c r="A238" s="30">
        <f>+REGISTRO!A221</f>
        <v/>
      </c>
      <c r="B238" s="31">
        <f>+VLOOKUP($A238,MAGAZZINO!$B$2:$M$4838,2,FALSE)</f>
        <v/>
      </c>
      <c r="C238" s="32">
        <f>+VLOOKUP($A238,MAGAZZINO!$B$2:$M$4838,3,FALSE)</f>
        <v/>
      </c>
      <c r="D238" s="17">
        <f>+VLOOKUP($A238,MAGAZZINO!$B$2:$M$4838,4,FALSE)</f>
        <v/>
      </c>
      <c r="E238" s="17">
        <f>+VLOOKUP($A238,MAGAZZINO!$B$2:$M$4838,5,FALSE)</f>
        <v/>
      </c>
      <c r="F238" s="17">
        <f>+VLOOKUP($A238,MAGAZZINO!$B$2:$M$4838,6,FALSE)</f>
        <v/>
      </c>
      <c r="G238" s="17">
        <f>+VLOOKUP($A238,MAGAZZINO!$B$2:$M$4838,7,FALSE)</f>
        <v/>
      </c>
      <c r="H238" s="17">
        <f>+VLOOKUP($A238,MAGAZZINO!$B$2:$M$4838,8,FALSE)</f>
        <v/>
      </c>
      <c r="I238" s="17">
        <f>+VLOOKUP($A238,MAGAZZINO!$B$2:$M$4838,9,FALSE)</f>
        <v/>
      </c>
      <c r="J238" s="17">
        <f>+VLOOKUP($A238,MAGAZZINO!$B$2:$M$4838,10,FALSE)</f>
        <v/>
      </c>
      <c r="K238" s="17">
        <f>+VLOOKUP($A238,MAGAZZINO!$B$2:$M$4838,11,FALSE)</f>
        <v/>
      </c>
      <c r="L238" s="44">
        <f>+VLOOKUP($A238,MAGAZZINO!$B$2:$M$4838,12,FALSE)</f>
        <v/>
      </c>
    </row>
    <row r="239" ht="36" customHeight="1">
      <c r="A239" s="30">
        <f>+REGISTRO!A222</f>
        <v/>
      </c>
      <c r="B239" s="31">
        <f>+VLOOKUP($A239,MAGAZZINO!$B$2:$M$4838,2,FALSE)</f>
        <v/>
      </c>
      <c r="C239" s="32">
        <f>+VLOOKUP($A239,MAGAZZINO!$B$2:$M$4838,3,FALSE)</f>
        <v/>
      </c>
      <c r="D239" s="17">
        <f>+VLOOKUP($A239,MAGAZZINO!$B$2:$M$4838,4,FALSE)</f>
        <v/>
      </c>
      <c r="E239" s="17">
        <f>+VLOOKUP($A239,MAGAZZINO!$B$2:$M$4838,5,FALSE)</f>
        <v/>
      </c>
      <c r="F239" s="17">
        <f>+VLOOKUP($A239,MAGAZZINO!$B$2:$M$4838,6,FALSE)</f>
        <v/>
      </c>
      <c r="G239" s="17">
        <f>+VLOOKUP($A239,MAGAZZINO!$B$2:$M$4838,7,FALSE)</f>
        <v/>
      </c>
      <c r="H239" s="17">
        <f>+VLOOKUP($A239,MAGAZZINO!$B$2:$M$4838,8,FALSE)</f>
        <v/>
      </c>
      <c r="I239" s="17">
        <f>+VLOOKUP($A239,MAGAZZINO!$B$2:$M$4838,9,FALSE)</f>
        <v/>
      </c>
      <c r="J239" s="17">
        <f>+VLOOKUP($A239,MAGAZZINO!$B$2:$M$4838,10,FALSE)</f>
        <v/>
      </c>
      <c r="K239" s="17">
        <f>+VLOOKUP($A239,MAGAZZINO!$B$2:$M$4838,11,FALSE)</f>
        <v/>
      </c>
      <c r="L239" s="44">
        <f>+VLOOKUP($A239,MAGAZZINO!$B$2:$M$4838,12,FALSE)</f>
        <v/>
      </c>
    </row>
    <row r="240" ht="36" customHeight="1">
      <c r="A240" s="30">
        <f>+REGISTRO!A223</f>
        <v/>
      </c>
      <c r="B240" s="31">
        <f>+VLOOKUP($A240,MAGAZZINO!$B$2:$M$4838,2,FALSE)</f>
        <v/>
      </c>
      <c r="C240" s="32">
        <f>+VLOOKUP($A240,MAGAZZINO!$B$2:$M$4838,3,FALSE)</f>
        <v/>
      </c>
      <c r="D240" s="17">
        <f>+VLOOKUP($A240,MAGAZZINO!$B$2:$M$4838,4,FALSE)</f>
        <v/>
      </c>
      <c r="E240" s="17">
        <f>+VLOOKUP($A240,MAGAZZINO!$B$2:$M$4838,5,FALSE)</f>
        <v/>
      </c>
      <c r="F240" s="17">
        <f>+VLOOKUP($A240,MAGAZZINO!$B$2:$M$4838,6,FALSE)</f>
        <v/>
      </c>
      <c r="G240" s="17">
        <f>+VLOOKUP($A240,MAGAZZINO!$B$2:$M$4838,7,FALSE)</f>
        <v/>
      </c>
      <c r="H240" s="17">
        <f>+VLOOKUP($A240,MAGAZZINO!$B$2:$M$4838,8,FALSE)</f>
        <v/>
      </c>
      <c r="I240" s="17">
        <f>+VLOOKUP($A240,MAGAZZINO!$B$2:$M$4838,9,FALSE)</f>
        <v/>
      </c>
      <c r="J240" s="17">
        <f>+VLOOKUP($A240,MAGAZZINO!$B$2:$M$4838,10,FALSE)</f>
        <v/>
      </c>
      <c r="K240" s="17">
        <f>+VLOOKUP($A240,MAGAZZINO!$B$2:$M$4838,11,FALSE)</f>
        <v/>
      </c>
      <c r="L240" s="44">
        <f>+VLOOKUP($A240,MAGAZZINO!$B$2:$M$4838,12,FALSE)</f>
        <v/>
      </c>
    </row>
    <row r="241" ht="36" customHeight="1">
      <c r="A241" s="30">
        <f>+REGISTRO!A224</f>
        <v/>
      </c>
      <c r="B241" s="31">
        <f>+VLOOKUP($A241,MAGAZZINO!$B$2:$M$4838,2,FALSE)</f>
        <v/>
      </c>
      <c r="C241" s="32">
        <f>+VLOOKUP($A241,MAGAZZINO!$B$2:$M$4838,3,FALSE)</f>
        <v/>
      </c>
      <c r="D241" s="17">
        <f>+VLOOKUP($A241,MAGAZZINO!$B$2:$M$4838,4,FALSE)</f>
        <v/>
      </c>
      <c r="E241" s="17">
        <f>+VLOOKUP($A241,MAGAZZINO!$B$2:$M$4838,5,FALSE)</f>
        <v/>
      </c>
      <c r="F241" s="17">
        <f>+VLOOKUP($A241,MAGAZZINO!$B$2:$M$4838,6,FALSE)</f>
        <v/>
      </c>
      <c r="G241" s="17">
        <f>+VLOOKUP($A241,MAGAZZINO!$B$2:$M$4838,7,FALSE)</f>
        <v/>
      </c>
      <c r="H241" s="17">
        <f>+VLOOKUP($A241,MAGAZZINO!$B$2:$M$4838,8,FALSE)</f>
        <v/>
      </c>
      <c r="I241" s="17">
        <f>+VLOOKUP($A241,MAGAZZINO!$B$2:$M$4838,9,FALSE)</f>
        <v/>
      </c>
      <c r="J241" s="17">
        <f>+VLOOKUP($A241,MAGAZZINO!$B$2:$M$4838,10,FALSE)</f>
        <v/>
      </c>
      <c r="K241" s="17">
        <f>+VLOOKUP($A241,MAGAZZINO!$B$2:$M$4838,11,FALSE)</f>
        <v/>
      </c>
      <c r="L241" s="44">
        <f>+VLOOKUP($A241,MAGAZZINO!$B$2:$M$4838,12,FALSE)</f>
        <v/>
      </c>
    </row>
    <row r="242" ht="36" customHeight="1">
      <c r="A242" s="30">
        <f>+REGISTRO!A225</f>
        <v/>
      </c>
      <c r="B242" s="31">
        <f>+VLOOKUP($A242,MAGAZZINO!$B$2:$M$4838,2,FALSE)</f>
        <v/>
      </c>
      <c r="C242" s="32">
        <f>+VLOOKUP($A242,MAGAZZINO!$B$2:$M$4838,3,FALSE)</f>
        <v/>
      </c>
      <c r="D242" s="17">
        <f>+VLOOKUP($A242,MAGAZZINO!$B$2:$M$4838,4,FALSE)</f>
        <v/>
      </c>
      <c r="E242" s="17">
        <f>+VLOOKUP($A242,MAGAZZINO!$B$2:$M$4838,5,FALSE)</f>
        <v/>
      </c>
      <c r="F242" s="17">
        <f>+VLOOKUP($A242,MAGAZZINO!$B$2:$M$4838,6,FALSE)</f>
        <v/>
      </c>
      <c r="G242" s="17">
        <f>+VLOOKUP($A242,MAGAZZINO!$B$2:$M$4838,7,FALSE)</f>
        <v/>
      </c>
      <c r="H242" s="17">
        <f>+VLOOKUP($A242,MAGAZZINO!$B$2:$M$4838,8,FALSE)</f>
        <v/>
      </c>
      <c r="I242" s="17">
        <f>+VLOOKUP($A242,MAGAZZINO!$B$2:$M$4838,9,FALSE)</f>
        <v/>
      </c>
      <c r="J242" s="17">
        <f>+VLOOKUP($A242,MAGAZZINO!$B$2:$M$4838,10,FALSE)</f>
        <v/>
      </c>
      <c r="K242" s="17">
        <f>+VLOOKUP($A242,MAGAZZINO!$B$2:$M$4838,11,FALSE)</f>
        <v/>
      </c>
      <c r="L242" s="44">
        <f>+VLOOKUP($A242,MAGAZZINO!$B$2:$M$4838,12,FALSE)</f>
        <v/>
      </c>
    </row>
    <row r="243" ht="36" customHeight="1">
      <c r="A243" s="30">
        <f>+REGISTRO!A226</f>
        <v/>
      </c>
      <c r="B243" s="31">
        <f>+VLOOKUP($A243,MAGAZZINO!$B$2:$M$4838,2,FALSE)</f>
        <v/>
      </c>
      <c r="C243" s="32">
        <f>+VLOOKUP($A243,MAGAZZINO!$B$2:$M$4838,3,FALSE)</f>
        <v/>
      </c>
      <c r="D243" s="17">
        <f>+VLOOKUP($A243,MAGAZZINO!$B$2:$M$4838,4,FALSE)</f>
        <v/>
      </c>
      <c r="E243" s="17">
        <f>+VLOOKUP($A243,MAGAZZINO!$B$2:$M$4838,5,FALSE)</f>
        <v/>
      </c>
      <c r="F243" s="17">
        <f>+VLOOKUP($A243,MAGAZZINO!$B$2:$M$4838,6,FALSE)</f>
        <v/>
      </c>
      <c r="G243" s="17">
        <f>+VLOOKUP($A243,MAGAZZINO!$B$2:$M$4838,7,FALSE)</f>
        <v/>
      </c>
      <c r="H243" s="17">
        <f>+VLOOKUP($A243,MAGAZZINO!$B$2:$M$4838,8,FALSE)</f>
        <v/>
      </c>
      <c r="I243" s="17">
        <f>+VLOOKUP($A243,MAGAZZINO!$B$2:$M$4838,9,FALSE)</f>
        <v/>
      </c>
      <c r="J243" s="17">
        <f>+VLOOKUP($A243,MAGAZZINO!$B$2:$M$4838,10,FALSE)</f>
        <v/>
      </c>
      <c r="K243" s="17">
        <f>+VLOOKUP($A243,MAGAZZINO!$B$2:$M$4838,11,FALSE)</f>
        <v/>
      </c>
      <c r="L243" s="44">
        <f>+VLOOKUP($A243,MAGAZZINO!$B$2:$M$4838,12,FALSE)</f>
        <v/>
      </c>
    </row>
    <row r="244" ht="36" customHeight="1">
      <c r="A244" s="30">
        <f>+REGISTRO!A227</f>
        <v/>
      </c>
      <c r="B244" s="31">
        <f>+VLOOKUP($A244,MAGAZZINO!$B$2:$M$4838,2,FALSE)</f>
        <v/>
      </c>
      <c r="C244" s="32">
        <f>+VLOOKUP($A244,MAGAZZINO!$B$2:$M$4838,3,FALSE)</f>
        <v/>
      </c>
      <c r="D244" s="17">
        <f>+VLOOKUP($A244,MAGAZZINO!$B$2:$M$4838,4,FALSE)</f>
        <v/>
      </c>
      <c r="E244" s="17">
        <f>+VLOOKUP($A244,MAGAZZINO!$B$2:$M$4838,5,FALSE)</f>
        <v/>
      </c>
      <c r="F244" s="17">
        <f>+VLOOKUP($A244,MAGAZZINO!$B$2:$M$4838,6,FALSE)</f>
        <v/>
      </c>
      <c r="G244" s="17">
        <f>+VLOOKUP($A244,MAGAZZINO!$B$2:$M$4838,7,FALSE)</f>
        <v/>
      </c>
      <c r="H244" s="17">
        <f>+VLOOKUP($A244,MAGAZZINO!$B$2:$M$4838,8,FALSE)</f>
        <v/>
      </c>
      <c r="I244" s="17">
        <f>+VLOOKUP($A244,MAGAZZINO!$B$2:$M$4838,9,FALSE)</f>
        <v/>
      </c>
      <c r="J244" s="17">
        <f>+VLOOKUP($A244,MAGAZZINO!$B$2:$M$4838,10,FALSE)</f>
        <v/>
      </c>
      <c r="K244" s="17">
        <f>+VLOOKUP($A244,MAGAZZINO!$B$2:$M$4838,11,FALSE)</f>
        <v/>
      </c>
      <c r="L244" s="44">
        <f>+VLOOKUP($A244,MAGAZZINO!$B$2:$M$4838,12,FALSE)</f>
        <v/>
      </c>
    </row>
    <row r="245" ht="36" customHeight="1">
      <c r="A245" s="30">
        <f>+REGISTRO!A228</f>
        <v/>
      </c>
      <c r="B245" s="31">
        <f>+VLOOKUP($A245,MAGAZZINO!$B$2:$M$4838,2,FALSE)</f>
        <v/>
      </c>
      <c r="C245" s="32">
        <f>+VLOOKUP($A245,MAGAZZINO!$B$2:$M$4838,3,FALSE)</f>
        <v/>
      </c>
      <c r="D245" s="17">
        <f>+VLOOKUP($A245,MAGAZZINO!$B$2:$M$4838,4,FALSE)</f>
        <v/>
      </c>
      <c r="E245" s="17">
        <f>+VLOOKUP($A245,MAGAZZINO!$B$2:$M$4838,5,FALSE)</f>
        <v/>
      </c>
      <c r="F245" s="17">
        <f>+VLOOKUP($A245,MAGAZZINO!$B$2:$M$4838,6,FALSE)</f>
        <v/>
      </c>
      <c r="G245" s="17">
        <f>+VLOOKUP($A245,MAGAZZINO!$B$2:$M$4838,7,FALSE)</f>
        <v/>
      </c>
      <c r="H245" s="17">
        <f>+VLOOKUP($A245,MAGAZZINO!$B$2:$M$4838,8,FALSE)</f>
        <v/>
      </c>
      <c r="I245" s="17">
        <f>+VLOOKUP($A245,MAGAZZINO!$B$2:$M$4838,9,FALSE)</f>
        <v/>
      </c>
      <c r="J245" s="17">
        <f>+VLOOKUP($A245,MAGAZZINO!$B$2:$M$4838,10,FALSE)</f>
        <v/>
      </c>
      <c r="K245" s="17">
        <f>+VLOOKUP($A245,MAGAZZINO!$B$2:$M$4838,11,FALSE)</f>
        <v/>
      </c>
      <c r="L245" s="44">
        <f>+VLOOKUP($A245,MAGAZZINO!$B$2:$M$4838,12,FALSE)</f>
        <v/>
      </c>
    </row>
    <row r="246" ht="36" customHeight="1">
      <c r="A246" s="30">
        <f>+REGISTRO!A229</f>
        <v/>
      </c>
      <c r="B246" s="31">
        <f>+VLOOKUP($A246,MAGAZZINO!$B$2:$M$4838,2,FALSE)</f>
        <v/>
      </c>
      <c r="C246" s="32">
        <f>+VLOOKUP($A246,MAGAZZINO!$B$2:$M$4838,3,FALSE)</f>
        <v/>
      </c>
      <c r="D246" s="17">
        <f>+VLOOKUP($A246,MAGAZZINO!$B$2:$M$4838,4,FALSE)</f>
        <v/>
      </c>
      <c r="E246" s="17">
        <f>+VLOOKUP($A246,MAGAZZINO!$B$2:$M$4838,5,FALSE)</f>
        <v/>
      </c>
      <c r="F246" s="17">
        <f>+VLOOKUP($A246,MAGAZZINO!$B$2:$M$4838,6,FALSE)</f>
        <v/>
      </c>
      <c r="G246" s="17">
        <f>+VLOOKUP($A246,MAGAZZINO!$B$2:$M$4838,7,FALSE)</f>
        <v/>
      </c>
      <c r="H246" s="17">
        <f>+VLOOKUP($A246,MAGAZZINO!$B$2:$M$4838,8,FALSE)</f>
        <v/>
      </c>
      <c r="I246" s="17">
        <f>+VLOOKUP($A246,MAGAZZINO!$B$2:$M$4838,9,FALSE)</f>
        <v/>
      </c>
      <c r="J246" s="17">
        <f>+VLOOKUP($A246,MAGAZZINO!$B$2:$M$4838,10,FALSE)</f>
        <v/>
      </c>
      <c r="K246" s="17">
        <f>+VLOOKUP($A246,MAGAZZINO!$B$2:$M$4838,11,FALSE)</f>
        <v/>
      </c>
      <c r="L246" s="44">
        <f>+VLOOKUP($A246,MAGAZZINO!$B$2:$M$4838,12,FALSE)</f>
        <v/>
      </c>
    </row>
    <row r="247" ht="36" customHeight="1">
      <c r="A247" s="30">
        <f>+REGISTRO!A230</f>
        <v/>
      </c>
      <c r="B247" s="31">
        <f>+VLOOKUP($A247,MAGAZZINO!$B$2:$M$4838,2,FALSE)</f>
        <v/>
      </c>
      <c r="C247" s="32">
        <f>+VLOOKUP($A247,MAGAZZINO!$B$2:$M$4838,3,FALSE)</f>
        <v/>
      </c>
      <c r="D247" s="17">
        <f>+VLOOKUP($A247,MAGAZZINO!$B$2:$M$4838,4,FALSE)</f>
        <v/>
      </c>
      <c r="E247" s="17">
        <f>+VLOOKUP($A247,MAGAZZINO!$B$2:$M$4838,5,FALSE)</f>
        <v/>
      </c>
      <c r="F247" s="17">
        <f>+VLOOKUP($A247,MAGAZZINO!$B$2:$M$4838,6,FALSE)</f>
        <v/>
      </c>
      <c r="G247" s="17">
        <f>+VLOOKUP($A247,MAGAZZINO!$B$2:$M$4838,7,FALSE)</f>
        <v/>
      </c>
      <c r="H247" s="17">
        <f>+VLOOKUP($A247,MAGAZZINO!$B$2:$M$4838,8,FALSE)</f>
        <v/>
      </c>
      <c r="I247" s="17">
        <f>+VLOOKUP($A247,MAGAZZINO!$B$2:$M$4838,9,FALSE)</f>
        <v/>
      </c>
      <c r="J247" s="17">
        <f>+VLOOKUP($A247,MAGAZZINO!$B$2:$M$4838,10,FALSE)</f>
        <v/>
      </c>
      <c r="K247" s="17">
        <f>+VLOOKUP($A247,MAGAZZINO!$B$2:$M$4838,11,FALSE)</f>
        <v/>
      </c>
      <c r="L247" s="44">
        <f>+VLOOKUP($A247,MAGAZZINO!$B$2:$M$4838,12,FALSE)</f>
        <v/>
      </c>
    </row>
    <row r="248" ht="36" customHeight="1">
      <c r="A248" s="30">
        <f>+REGISTRO!A231</f>
        <v/>
      </c>
      <c r="B248" s="31">
        <f>+VLOOKUP($A248,MAGAZZINO!$B$2:$M$4838,2,FALSE)</f>
        <v/>
      </c>
      <c r="C248" s="32">
        <f>+VLOOKUP($A248,MAGAZZINO!$B$2:$M$4838,3,FALSE)</f>
        <v/>
      </c>
      <c r="D248" s="17">
        <f>+VLOOKUP($A248,MAGAZZINO!$B$2:$M$4838,4,FALSE)</f>
        <v/>
      </c>
      <c r="E248" s="17">
        <f>+VLOOKUP($A248,MAGAZZINO!$B$2:$M$4838,5,FALSE)</f>
        <v/>
      </c>
      <c r="F248" s="17">
        <f>+VLOOKUP($A248,MAGAZZINO!$B$2:$M$4838,6,FALSE)</f>
        <v/>
      </c>
      <c r="G248" s="17">
        <f>+VLOOKUP($A248,MAGAZZINO!$B$2:$M$4838,7,FALSE)</f>
        <v/>
      </c>
      <c r="H248" s="17">
        <f>+VLOOKUP($A248,MAGAZZINO!$B$2:$M$4838,8,FALSE)</f>
        <v/>
      </c>
      <c r="I248" s="17">
        <f>+VLOOKUP($A248,MAGAZZINO!$B$2:$M$4838,9,FALSE)</f>
        <v/>
      </c>
      <c r="J248" s="17">
        <f>+VLOOKUP($A248,MAGAZZINO!$B$2:$M$4838,10,FALSE)</f>
        <v/>
      </c>
      <c r="K248" s="17">
        <f>+VLOOKUP($A248,MAGAZZINO!$B$2:$M$4838,11,FALSE)</f>
        <v/>
      </c>
      <c r="L248" s="44">
        <f>+VLOOKUP($A248,MAGAZZINO!$B$2:$M$4838,12,FALSE)</f>
        <v/>
      </c>
    </row>
    <row r="249" ht="36" customHeight="1">
      <c r="A249" s="30">
        <f>+REGISTRO!A232</f>
        <v/>
      </c>
      <c r="B249" s="31">
        <f>+VLOOKUP($A249,MAGAZZINO!$B$2:$M$4838,2,FALSE)</f>
        <v/>
      </c>
      <c r="C249" s="32">
        <f>+VLOOKUP($A249,MAGAZZINO!$B$2:$M$4838,3,FALSE)</f>
        <v/>
      </c>
      <c r="D249" s="17">
        <f>+VLOOKUP($A249,MAGAZZINO!$B$2:$M$4838,4,FALSE)</f>
        <v/>
      </c>
      <c r="E249" s="17">
        <f>+VLOOKUP($A249,MAGAZZINO!$B$2:$M$4838,5,FALSE)</f>
        <v/>
      </c>
      <c r="F249" s="17">
        <f>+VLOOKUP($A249,MAGAZZINO!$B$2:$M$4838,6,FALSE)</f>
        <v/>
      </c>
      <c r="G249" s="17">
        <f>+VLOOKUP($A249,MAGAZZINO!$B$2:$M$4838,7,FALSE)</f>
        <v/>
      </c>
      <c r="H249" s="17">
        <f>+VLOOKUP($A249,MAGAZZINO!$B$2:$M$4838,8,FALSE)</f>
        <v/>
      </c>
      <c r="I249" s="17">
        <f>+VLOOKUP($A249,MAGAZZINO!$B$2:$M$4838,9,FALSE)</f>
        <v/>
      </c>
      <c r="J249" s="17">
        <f>+VLOOKUP($A249,MAGAZZINO!$B$2:$M$4838,10,FALSE)</f>
        <v/>
      </c>
      <c r="K249" s="17">
        <f>+VLOOKUP($A249,MAGAZZINO!$B$2:$M$4838,11,FALSE)</f>
        <v/>
      </c>
      <c r="L249" s="44">
        <f>+VLOOKUP($A249,MAGAZZINO!$B$2:$M$4838,12,FALSE)</f>
        <v/>
      </c>
    </row>
    <row r="250" ht="36" customHeight="1">
      <c r="A250" s="30">
        <f>+REGISTRO!A233</f>
        <v/>
      </c>
      <c r="B250" s="31">
        <f>+VLOOKUP($A250,MAGAZZINO!$B$2:$M$4838,2,FALSE)</f>
        <v/>
      </c>
      <c r="C250" s="32">
        <f>+VLOOKUP($A250,MAGAZZINO!$B$2:$M$4838,3,FALSE)</f>
        <v/>
      </c>
      <c r="D250" s="17">
        <f>+VLOOKUP($A250,MAGAZZINO!$B$2:$M$4838,4,FALSE)</f>
        <v/>
      </c>
      <c r="E250" s="17">
        <f>+VLOOKUP($A250,MAGAZZINO!$B$2:$M$4838,5,FALSE)</f>
        <v/>
      </c>
      <c r="F250" s="17">
        <f>+VLOOKUP($A250,MAGAZZINO!$B$2:$M$4838,6,FALSE)</f>
        <v/>
      </c>
      <c r="G250" s="17">
        <f>+VLOOKUP($A250,MAGAZZINO!$B$2:$M$4838,7,FALSE)</f>
        <v/>
      </c>
      <c r="H250" s="17">
        <f>+VLOOKUP($A250,MAGAZZINO!$B$2:$M$4838,8,FALSE)</f>
        <v/>
      </c>
      <c r="I250" s="17">
        <f>+VLOOKUP($A250,MAGAZZINO!$B$2:$M$4838,9,FALSE)</f>
        <v/>
      </c>
      <c r="J250" s="17">
        <f>+VLOOKUP($A250,MAGAZZINO!$B$2:$M$4838,10,FALSE)</f>
        <v/>
      </c>
      <c r="K250" s="17">
        <f>+VLOOKUP($A250,MAGAZZINO!$B$2:$M$4838,11,FALSE)</f>
        <v/>
      </c>
      <c r="L250" s="44">
        <f>+VLOOKUP($A250,MAGAZZINO!$B$2:$M$4838,12,FALSE)</f>
        <v/>
      </c>
    </row>
    <row r="251" ht="36" customHeight="1">
      <c r="A251" s="30">
        <f>+REGISTRO!A234</f>
        <v/>
      </c>
      <c r="B251" s="31">
        <f>+VLOOKUP($A251,MAGAZZINO!$B$2:$M$4838,2,FALSE)</f>
        <v/>
      </c>
      <c r="C251" s="32">
        <f>+VLOOKUP($A251,MAGAZZINO!$B$2:$M$4838,3,FALSE)</f>
        <v/>
      </c>
      <c r="D251" s="17">
        <f>+VLOOKUP($A251,MAGAZZINO!$B$2:$M$4838,4,FALSE)</f>
        <v/>
      </c>
      <c r="E251" s="17">
        <f>+VLOOKUP($A251,MAGAZZINO!$B$2:$M$4838,5,FALSE)</f>
        <v/>
      </c>
      <c r="F251" s="17">
        <f>+VLOOKUP($A251,MAGAZZINO!$B$2:$M$4838,6,FALSE)</f>
        <v/>
      </c>
      <c r="G251" s="17">
        <f>+VLOOKUP($A251,MAGAZZINO!$B$2:$M$4838,7,FALSE)</f>
        <v/>
      </c>
      <c r="H251" s="17">
        <f>+VLOOKUP($A251,MAGAZZINO!$B$2:$M$4838,8,FALSE)</f>
        <v/>
      </c>
      <c r="I251" s="17">
        <f>+VLOOKUP($A251,MAGAZZINO!$B$2:$M$4838,9,FALSE)</f>
        <v/>
      </c>
      <c r="J251" s="17">
        <f>+VLOOKUP($A251,MAGAZZINO!$B$2:$M$4838,10,FALSE)</f>
        <v/>
      </c>
      <c r="K251" s="17">
        <f>+VLOOKUP($A251,MAGAZZINO!$B$2:$M$4838,11,FALSE)</f>
        <v/>
      </c>
      <c r="L251" s="44">
        <f>+VLOOKUP($A251,MAGAZZINO!$B$2:$M$4838,12,FALSE)</f>
        <v/>
      </c>
    </row>
    <row r="252" ht="36" customHeight="1">
      <c r="A252" s="30">
        <f>+REGISTRO!A235</f>
        <v/>
      </c>
      <c r="B252" s="31">
        <f>+VLOOKUP($A252,MAGAZZINO!$B$2:$M$4838,2,FALSE)</f>
        <v/>
      </c>
      <c r="C252" s="32">
        <f>+VLOOKUP($A252,MAGAZZINO!$B$2:$M$4838,3,FALSE)</f>
        <v/>
      </c>
      <c r="D252" s="17">
        <f>+VLOOKUP($A252,MAGAZZINO!$B$2:$M$4838,4,FALSE)</f>
        <v/>
      </c>
      <c r="E252" s="17">
        <f>+VLOOKUP($A252,MAGAZZINO!$B$2:$M$4838,5,FALSE)</f>
        <v/>
      </c>
      <c r="F252" s="17">
        <f>+VLOOKUP($A252,MAGAZZINO!$B$2:$M$4838,6,FALSE)</f>
        <v/>
      </c>
      <c r="G252" s="17">
        <f>+VLOOKUP($A252,MAGAZZINO!$B$2:$M$4838,7,FALSE)</f>
        <v/>
      </c>
      <c r="H252" s="17">
        <f>+VLOOKUP($A252,MAGAZZINO!$B$2:$M$4838,8,FALSE)</f>
        <v/>
      </c>
      <c r="I252" s="17">
        <f>+VLOOKUP($A252,MAGAZZINO!$B$2:$M$4838,9,FALSE)</f>
        <v/>
      </c>
      <c r="J252" s="17">
        <f>+VLOOKUP($A252,MAGAZZINO!$B$2:$M$4838,10,FALSE)</f>
        <v/>
      </c>
      <c r="K252" s="17">
        <f>+VLOOKUP($A252,MAGAZZINO!$B$2:$M$4838,11,FALSE)</f>
        <v/>
      </c>
      <c r="L252" s="44">
        <f>+VLOOKUP($A252,MAGAZZINO!$B$2:$M$4838,12,FALSE)</f>
        <v/>
      </c>
    </row>
    <row r="253" ht="36" customHeight="1">
      <c r="A253" s="30">
        <f>+REGISTRO!A236</f>
        <v/>
      </c>
      <c r="B253" s="31">
        <f>+VLOOKUP($A253,MAGAZZINO!$B$2:$M$4838,2,FALSE)</f>
        <v/>
      </c>
      <c r="C253" s="32">
        <f>+VLOOKUP($A253,MAGAZZINO!$B$2:$M$4838,3,FALSE)</f>
        <v/>
      </c>
      <c r="D253" s="17">
        <f>+VLOOKUP($A253,MAGAZZINO!$B$2:$M$4838,4,FALSE)</f>
        <v/>
      </c>
      <c r="E253" s="17">
        <f>+VLOOKUP($A253,MAGAZZINO!$B$2:$M$4838,5,FALSE)</f>
        <v/>
      </c>
      <c r="F253" s="17">
        <f>+VLOOKUP($A253,MAGAZZINO!$B$2:$M$4838,6,FALSE)</f>
        <v/>
      </c>
      <c r="G253" s="17">
        <f>+VLOOKUP($A253,MAGAZZINO!$B$2:$M$4838,7,FALSE)</f>
        <v/>
      </c>
      <c r="H253" s="17">
        <f>+VLOOKUP($A253,MAGAZZINO!$B$2:$M$4838,8,FALSE)</f>
        <v/>
      </c>
      <c r="I253" s="17">
        <f>+VLOOKUP($A253,MAGAZZINO!$B$2:$M$4838,9,FALSE)</f>
        <v/>
      </c>
      <c r="J253" s="17">
        <f>+VLOOKUP($A253,MAGAZZINO!$B$2:$M$4838,10,FALSE)</f>
        <v/>
      </c>
      <c r="K253" s="17">
        <f>+VLOOKUP($A253,MAGAZZINO!$B$2:$M$4838,11,FALSE)</f>
        <v/>
      </c>
      <c r="L253" s="44">
        <f>+VLOOKUP($A253,MAGAZZINO!$B$2:$M$4838,12,FALSE)</f>
        <v/>
      </c>
    </row>
    <row r="254" ht="36" customHeight="1">
      <c r="A254" s="30">
        <f>+REGISTRO!A237</f>
        <v/>
      </c>
      <c r="B254" s="31">
        <f>+VLOOKUP($A254,MAGAZZINO!$B$2:$M$4838,2,FALSE)</f>
        <v/>
      </c>
      <c r="C254" s="32">
        <f>+VLOOKUP($A254,MAGAZZINO!$B$2:$M$4838,3,FALSE)</f>
        <v/>
      </c>
      <c r="D254" s="17">
        <f>+VLOOKUP($A254,MAGAZZINO!$B$2:$M$4838,4,FALSE)</f>
        <v/>
      </c>
      <c r="E254" s="17">
        <f>+VLOOKUP($A254,MAGAZZINO!$B$2:$M$4838,5,FALSE)</f>
        <v/>
      </c>
      <c r="F254" s="17">
        <f>+VLOOKUP($A254,MAGAZZINO!$B$2:$M$4838,6,FALSE)</f>
        <v/>
      </c>
      <c r="G254" s="17">
        <f>+VLOOKUP($A254,MAGAZZINO!$B$2:$M$4838,7,FALSE)</f>
        <v/>
      </c>
      <c r="H254" s="17">
        <f>+VLOOKUP($A254,MAGAZZINO!$B$2:$M$4838,8,FALSE)</f>
        <v/>
      </c>
      <c r="I254" s="17">
        <f>+VLOOKUP($A254,MAGAZZINO!$B$2:$M$4838,9,FALSE)</f>
        <v/>
      </c>
      <c r="J254" s="17">
        <f>+VLOOKUP($A254,MAGAZZINO!$B$2:$M$4838,10,FALSE)</f>
        <v/>
      </c>
      <c r="K254" s="17">
        <f>+VLOOKUP($A254,MAGAZZINO!$B$2:$M$4838,11,FALSE)</f>
        <v/>
      </c>
      <c r="L254" s="44">
        <f>+VLOOKUP($A254,MAGAZZINO!$B$2:$M$4838,12,FALSE)</f>
        <v/>
      </c>
    </row>
    <row r="255" ht="36" customHeight="1">
      <c r="A255" s="30">
        <f>+REGISTRO!A238</f>
        <v/>
      </c>
      <c r="B255" s="31">
        <f>+VLOOKUP($A255,MAGAZZINO!$B$2:$M$4838,2,FALSE)</f>
        <v/>
      </c>
      <c r="C255" s="32">
        <f>+VLOOKUP($A255,MAGAZZINO!$B$2:$M$4838,3,FALSE)</f>
        <v/>
      </c>
      <c r="D255" s="17">
        <f>+VLOOKUP($A255,MAGAZZINO!$B$2:$M$4838,4,FALSE)</f>
        <v/>
      </c>
      <c r="E255" s="17">
        <f>+VLOOKUP($A255,MAGAZZINO!$B$2:$M$4838,5,FALSE)</f>
        <v/>
      </c>
      <c r="F255" s="17">
        <f>+VLOOKUP($A255,MAGAZZINO!$B$2:$M$4838,6,FALSE)</f>
        <v/>
      </c>
      <c r="G255" s="17">
        <f>+VLOOKUP($A255,MAGAZZINO!$B$2:$M$4838,7,FALSE)</f>
        <v/>
      </c>
      <c r="H255" s="17">
        <f>+VLOOKUP($A255,MAGAZZINO!$B$2:$M$4838,8,FALSE)</f>
        <v/>
      </c>
      <c r="I255" s="17">
        <f>+VLOOKUP($A255,MAGAZZINO!$B$2:$M$4838,9,FALSE)</f>
        <v/>
      </c>
      <c r="J255" s="17">
        <f>+VLOOKUP($A255,MAGAZZINO!$B$2:$M$4838,10,FALSE)</f>
        <v/>
      </c>
      <c r="K255" s="17">
        <f>+VLOOKUP($A255,MAGAZZINO!$B$2:$M$4838,11,FALSE)</f>
        <v/>
      </c>
      <c r="L255" s="44">
        <f>+VLOOKUP($A255,MAGAZZINO!$B$2:$M$4838,12,FALSE)</f>
        <v/>
      </c>
    </row>
    <row r="256" ht="36" customHeight="1">
      <c r="A256" s="30">
        <f>+REGISTRO!A239</f>
        <v/>
      </c>
      <c r="B256" s="31">
        <f>+VLOOKUP($A256,MAGAZZINO!$B$2:$M$4838,2,FALSE)</f>
        <v/>
      </c>
      <c r="C256" s="32">
        <f>+VLOOKUP($A256,MAGAZZINO!$B$2:$M$4838,3,FALSE)</f>
        <v/>
      </c>
      <c r="D256" s="17">
        <f>+VLOOKUP($A256,MAGAZZINO!$B$2:$M$4838,4,FALSE)</f>
        <v/>
      </c>
      <c r="E256" s="17">
        <f>+VLOOKUP($A256,MAGAZZINO!$B$2:$M$4838,5,FALSE)</f>
        <v/>
      </c>
      <c r="F256" s="17">
        <f>+VLOOKUP($A256,MAGAZZINO!$B$2:$M$4838,6,FALSE)</f>
        <v/>
      </c>
      <c r="G256" s="17">
        <f>+VLOOKUP($A256,MAGAZZINO!$B$2:$M$4838,7,FALSE)</f>
        <v/>
      </c>
      <c r="H256" s="17">
        <f>+VLOOKUP($A256,MAGAZZINO!$B$2:$M$4838,8,FALSE)</f>
        <v/>
      </c>
      <c r="I256" s="17">
        <f>+VLOOKUP($A256,MAGAZZINO!$B$2:$M$4838,9,FALSE)</f>
        <v/>
      </c>
      <c r="J256" s="17">
        <f>+VLOOKUP($A256,MAGAZZINO!$B$2:$M$4838,10,FALSE)</f>
        <v/>
      </c>
      <c r="K256" s="17">
        <f>+VLOOKUP($A256,MAGAZZINO!$B$2:$M$4838,11,FALSE)</f>
        <v/>
      </c>
      <c r="L256" s="44">
        <f>+VLOOKUP($A256,MAGAZZINO!$B$2:$M$4838,12,FALSE)</f>
        <v/>
      </c>
    </row>
    <row r="257" ht="36" customHeight="1">
      <c r="A257" s="30">
        <f>+REGISTRO!A240</f>
        <v/>
      </c>
      <c r="B257" s="31">
        <f>+VLOOKUP($A257,MAGAZZINO!$B$2:$M$4838,2,FALSE)</f>
        <v/>
      </c>
      <c r="C257" s="32">
        <f>+VLOOKUP($A257,MAGAZZINO!$B$2:$M$4838,3,FALSE)</f>
        <v/>
      </c>
      <c r="D257" s="17">
        <f>+VLOOKUP($A257,MAGAZZINO!$B$2:$M$4838,4,FALSE)</f>
        <v/>
      </c>
      <c r="E257" s="17">
        <f>+VLOOKUP($A257,MAGAZZINO!$B$2:$M$4838,5,FALSE)</f>
        <v/>
      </c>
      <c r="F257" s="17">
        <f>+VLOOKUP($A257,MAGAZZINO!$B$2:$M$4838,6,FALSE)</f>
        <v/>
      </c>
      <c r="G257" s="17">
        <f>+VLOOKUP($A257,MAGAZZINO!$B$2:$M$4838,7,FALSE)</f>
        <v/>
      </c>
      <c r="H257" s="17">
        <f>+VLOOKUP($A257,MAGAZZINO!$B$2:$M$4838,8,FALSE)</f>
        <v/>
      </c>
      <c r="I257" s="17">
        <f>+VLOOKUP($A257,MAGAZZINO!$B$2:$M$4838,9,FALSE)</f>
        <v/>
      </c>
      <c r="J257" s="17">
        <f>+VLOOKUP($A257,MAGAZZINO!$B$2:$M$4838,10,FALSE)</f>
        <v/>
      </c>
      <c r="K257" s="17">
        <f>+VLOOKUP($A257,MAGAZZINO!$B$2:$M$4838,11,FALSE)</f>
        <v/>
      </c>
      <c r="L257" s="44">
        <f>+VLOOKUP($A257,MAGAZZINO!$B$2:$M$4838,12,FALSE)</f>
        <v/>
      </c>
    </row>
    <row r="258" ht="36" customHeight="1">
      <c r="A258" s="30">
        <f>+REGISTRO!A241</f>
        <v/>
      </c>
      <c r="B258" s="31">
        <f>+VLOOKUP($A258,MAGAZZINO!$B$2:$M$4838,2,FALSE)</f>
        <v/>
      </c>
      <c r="C258" s="32">
        <f>+VLOOKUP($A258,MAGAZZINO!$B$2:$M$4838,3,FALSE)</f>
        <v/>
      </c>
      <c r="D258" s="17">
        <f>+VLOOKUP($A258,MAGAZZINO!$B$2:$M$4838,4,FALSE)</f>
        <v/>
      </c>
      <c r="E258" s="17">
        <f>+VLOOKUP($A258,MAGAZZINO!$B$2:$M$4838,5,FALSE)</f>
        <v/>
      </c>
      <c r="F258" s="17">
        <f>+VLOOKUP($A258,MAGAZZINO!$B$2:$M$4838,6,FALSE)</f>
        <v/>
      </c>
      <c r="G258" s="17">
        <f>+VLOOKUP($A258,MAGAZZINO!$B$2:$M$4838,7,FALSE)</f>
        <v/>
      </c>
      <c r="H258" s="17">
        <f>+VLOOKUP($A258,MAGAZZINO!$B$2:$M$4838,8,FALSE)</f>
        <v/>
      </c>
      <c r="I258" s="17">
        <f>+VLOOKUP($A258,MAGAZZINO!$B$2:$M$4838,9,FALSE)</f>
        <v/>
      </c>
      <c r="J258" s="17">
        <f>+VLOOKUP($A258,MAGAZZINO!$B$2:$M$4838,10,FALSE)</f>
        <v/>
      </c>
      <c r="K258" s="17">
        <f>+VLOOKUP($A258,MAGAZZINO!$B$2:$M$4838,11,FALSE)</f>
        <v/>
      </c>
      <c r="L258" s="44">
        <f>+VLOOKUP($A258,MAGAZZINO!$B$2:$M$4838,12,FALSE)</f>
        <v/>
      </c>
    </row>
    <row r="259" ht="36" customHeight="1">
      <c r="A259" s="30">
        <f>+REGISTRO!A242</f>
        <v/>
      </c>
      <c r="B259" s="31">
        <f>+VLOOKUP($A259,MAGAZZINO!$B$2:$M$4838,2,FALSE)</f>
        <v/>
      </c>
      <c r="C259" s="32">
        <f>+VLOOKUP($A259,MAGAZZINO!$B$2:$M$4838,3,FALSE)</f>
        <v/>
      </c>
      <c r="D259" s="17">
        <f>+VLOOKUP($A259,MAGAZZINO!$B$2:$M$4838,4,FALSE)</f>
        <v/>
      </c>
      <c r="E259" s="17">
        <f>+VLOOKUP($A259,MAGAZZINO!$B$2:$M$4838,5,FALSE)</f>
        <v/>
      </c>
      <c r="F259" s="17">
        <f>+VLOOKUP($A259,MAGAZZINO!$B$2:$M$4838,6,FALSE)</f>
        <v/>
      </c>
      <c r="G259" s="17">
        <f>+VLOOKUP($A259,MAGAZZINO!$B$2:$M$4838,7,FALSE)</f>
        <v/>
      </c>
      <c r="H259" s="17">
        <f>+VLOOKUP($A259,MAGAZZINO!$B$2:$M$4838,8,FALSE)</f>
        <v/>
      </c>
      <c r="I259" s="17">
        <f>+VLOOKUP($A259,MAGAZZINO!$B$2:$M$4838,9,FALSE)</f>
        <v/>
      </c>
      <c r="J259" s="17">
        <f>+VLOOKUP($A259,MAGAZZINO!$B$2:$M$4838,10,FALSE)</f>
        <v/>
      </c>
      <c r="K259" s="17">
        <f>+VLOOKUP($A259,MAGAZZINO!$B$2:$M$4838,11,FALSE)</f>
        <v/>
      </c>
      <c r="L259" s="44">
        <f>+VLOOKUP($A259,MAGAZZINO!$B$2:$M$4838,12,FALSE)</f>
        <v/>
      </c>
    </row>
    <row r="260" ht="36" customHeight="1">
      <c r="A260" s="30">
        <f>+REGISTRO!A243</f>
        <v/>
      </c>
      <c r="B260" s="31">
        <f>+VLOOKUP($A260,MAGAZZINO!$B$2:$M$4838,2,FALSE)</f>
        <v/>
      </c>
      <c r="C260" s="32">
        <f>+VLOOKUP($A260,MAGAZZINO!$B$2:$M$4838,3,FALSE)</f>
        <v/>
      </c>
      <c r="D260" s="17">
        <f>+VLOOKUP($A260,MAGAZZINO!$B$2:$M$4838,4,FALSE)</f>
        <v/>
      </c>
      <c r="E260" s="17">
        <f>+VLOOKUP($A260,MAGAZZINO!$B$2:$M$4838,5,FALSE)</f>
        <v/>
      </c>
      <c r="F260" s="17">
        <f>+VLOOKUP($A260,MAGAZZINO!$B$2:$M$4838,6,FALSE)</f>
        <v/>
      </c>
      <c r="G260" s="17">
        <f>+VLOOKUP($A260,MAGAZZINO!$B$2:$M$4838,7,FALSE)</f>
        <v/>
      </c>
      <c r="H260" s="17">
        <f>+VLOOKUP($A260,MAGAZZINO!$B$2:$M$4838,8,FALSE)</f>
        <v/>
      </c>
      <c r="I260" s="17">
        <f>+VLOOKUP($A260,MAGAZZINO!$B$2:$M$4838,9,FALSE)</f>
        <v/>
      </c>
      <c r="J260" s="17">
        <f>+VLOOKUP($A260,MAGAZZINO!$B$2:$M$4838,10,FALSE)</f>
        <v/>
      </c>
      <c r="K260" s="17">
        <f>+VLOOKUP($A260,MAGAZZINO!$B$2:$M$4838,11,FALSE)</f>
        <v/>
      </c>
      <c r="L260" s="44">
        <f>+VLOOKUP($A260,MAGAZZINO!$B$2:$M$4838,12,FALSE)</f>
        <v/>
      </c>
    </row>
    <row r="261" ht="36" customHeight="1">
      <c r="A261" s="30">
        <f>+REGISTRO!A244</f>
        <v/>
      </c>
      <c r="B261" s="31">
        <f>+VLOOKUP($A261,MAGAZZINO!$B$2:$M$4838,2,FALSE)</f>
        <v/>
      </c>
      <c r="C261" s="32">
        <f>+VLOOKUP($A261,MAGAZZINO!$B$2:$M$4838,3,FALSE)</f>
        <v/>
      </c>
      <c r="D261" s="17">
        <f>+VLOOKUP($A261,MAGAZZINO!$B$2:$M$4838,4,FALSE)</f>
        <v/>
      </c>
      <c r="E261" s="17">
        <f>+VLOOKUP($A261,MAGAZZINO!$B$2:$M$4838,5,FALSE)</f>
        <v/>
      </c>
      <c r="F261" s="17">
        <f>+VLOOKUP($A261,MAGAZZINO!$B$2:$M$4838,6,FALSE)</f>
        <v/>
      </c>
      <c r="G261" s="17">
        <f>+VLOOKUP($A261,MAGAZZINO!$B$2:$M$4838,7,FALSE)</f>
        <v/>
      </c>
      <c r="H261" s="17">
        <f>+VLOOKUP($A261,MAGAZZINO!$B$2:$M$4838,8,FALSE)</f>
        <v/>
      </c>
      <c r="I261" s="17">
        <f>+VLOOKUP($A261,MAGAZZINO!$B$2:$M$4838,9,FALSE)</f>
        <v/>
      </c>
      <c r="J261" s="17">
        <f>+VLOOKUP($A261,MAGAZZINO!$B$2:$M$4838,10,FALSE)</f>
        <v/>
      </c>
      <c r="K261" s="17">
        <f>+VLOOKUP($A261,MAGAZZINO!$B$2:$M$4838,11,FALSE)</f>
        <v/>
      </c>
      <c r="L261" s="44">
        <f>+VLOOKUP($A261,MAGAZZINO!$B$2:$M$4838,12,FALSE)</f>
        <v/>
      </c>
    </row>
    <row r="262" ht="36" customHeight="1">
      <c r="A262" s="30">
        <f>+REGISTRO!A245</f>
        <v/>
      </c>
      <c r="B262" s="31">
        <f>+VLOOKUP($A262,MAGAZZINO!$B$2:$M$4838,2,FALSE)</f>
        <v/>
      </c>
      <c r="C262" s="32">
        <f>+VLOOKUP($A262,MAGAZZINO!$B$2:$M$4838,3,FALSE)</f>
        <v/>
      </c>
      <c r="D262" s="17">
        <f>+VLOOKUP($A262,MAGAZZINO!$B$2:$M$4838,4,FALSE)</f>
        <v/>
      </c>
      <c r="E262" s="17">
        <f>+VLOOKUP($A262,MAGAZZINO!$B$2:$M$4838,5,FALSE)</f>
        <v/>
      </c>
      <c r="F262" s="17">
        <f>+VLOOKUP($A262,MAGAZZINO!$B$2:$M$4838,6,FALSE)</f>
        <v/>
      </c>
      <c r="G262" s="17">
        <f>+VLOOKUP($A262,MAGAZZINO!$B$2:$M$4838,7,FALSE)</f>
        <v/>
      </c>
      <c r="H262" s="17">
        <f>+VLOOKUP($A262,MAGAZZINO!$B$2:$M$4838,8,FALSE)</f>
        <v/>
      </c>
      <c r="I262" s="17">
        <f>+VLOOKUP($A262,MAGAZZINO!$B$2:$M$4838,9,FALSE)</f>
        <v/>
      </c>
      <c r="J262" s="17">
        <f>+VLOOKUP($A262,MAGAZZINO!$B$2:$M$4838,10,FALSE)</f>
        <v/>
      </c>
      <c r="K262" s="17">
        <f>+VLOOKUP($A262,MAGAZZINO!$B$2:$M$4838,11,FALSE)</f>
        <v/>
      </c>
      <c r="L262" s="44">
        <f>+VLOOKUP($A262,MAGAZZINO!$B$2:$M$4838,12,FALSE)</f>
        <v/>
      </c>
    </row>
    <row r="263" ht="36" customHeight="1">
      <c r="A263" s="30">
        <f>+REGISTRO!A246</f>
        <v/>
      </c>
      <c r="B263" s="31">
        <f>+VLOOKUP($A263,MAGAZZINO!$B$2:$M$4838,2,FALSE)</f>
        <v/>
      </c>
      <c r="C263" s="32">
        <f>+VLOOKUP($A263,MAGAZZINO!$B$2:$M$4838,3,FALSE)</f>
        <v/>
      </c>
      <c r="D263" s="17">
        <f>+VLOOKUP($A263,MAGAZZINO!$B$2:$M$4838,4,FALSE)</f>
        <v/>
      </c>
      <c r="E263" s="17">
        <f>+VLOOKUP($A263,MAGAZZINO!$B$2:$M$4838,5,FALSE)</f>
        <v/>
      </c>
      <c r="F263" s="17">
        <f>+VLOOKUP($A263,MAGAZZINO!$B$2:$M$4838,6,FALSE)</f>
        <v/>
      </c>
      <c r="G263" s="17">
        <f>+VLOOKUP($A263,MAGAZZINO!$B$2:$M$4838,7,FALSE)</f>
        <v/>
      </c>
      <c r="H263" s="17">
        <f>+VLOOKUP($A263,MAGAZZINO!$B$2:$M$4838,8,FALSE)</f>
        <v/>
      </c>
      <c r="I263" s="17">
        <f>+VLOOKUP($A263,MAGAZZINO!$B$2:$M$4838,9,FALSE)</f>
        <v/>
      </c>
      <c r="J263" s="17">
        <f>+VLOOKUP($A263,MAGAZZINO!$B$2:$M$4838,10,FALSE)</f>
        <v/>
      </c>
      <c r="K263" s="17">
        <f>+VLOOKUP($A263,MAGAZZINO!$B$2:$M$4838,11,FALSE)</f>
        <v/>
      </c>
      <c r="L263" s="44">
        <f>+VLOOKUP($A263,MAGAZZINO!$B$2:$M$4838,12,FALSE)</f>
        <v/>
      </c>
    </row>
    <row r="264" ht="36" customHeight="1">
      <c r="A264" s="30">
        <f>+REGISTRO!A247</f>
        <v/>
      </c>
      <c r="B264" s="31">
        <f>+VLOOKUP($A264,MAGAZZINO!$B$2:$M$4838,2,FALSE)</f>
        <v/>
      </c>
      <c r="C264" s="32">
        <f>+VLOOKUP($A264,MAGAZZINO!$B$2:$M$4838,3,FALSE)</f>
        <v/>
      </c>
      <c r="D264" s="17">
        <f>+VLOOKUP($A264,MAGAZZINO!$B$2:$M$4838,4,FALSE)</f>
        <v/>
      </c>
      <c r="E264" s="17">
        <f>+VLOOKUP($A264,MAGAZZINO!$B$2:$M$4838,5,FALSE)</f>
        <v/>
      </c>
      <c r="F264" s="17">
        <f>+VLOOKUP($A264,MAGAZZINO!$B$2:$M$4838,6,FALSE)</f>
        <v/>
      </c>
      <c r="G264" s="17">
        <f>+VLOOKUP($A264,MAGAZZINO!$B$2:$M$4838,7,FALSE)</f>
        <v/>
      </c>
      <c r="H264" s="17">
        <f>+VLOOKUP($A264,MAGAZZINO!$B$2:$M$4838,8,FALSE)</f>
        <v/>
      </c>
      <c r="I264" s="17">
        <f>+VLOOKUP($A264,MAGAZZINO!$B$2:$M$4838,9,FALSE)</f>
        <v/>
      </c>
      <c r="J264" s="17">
        <f>+VLOOKUP($A264,MAGAZZINO!$B$2:$M$4838,10,FALSE)</f>
        <v/>
      </c>
      <c r="K264" s="17">
        <f>+VLOOKUP($A264,MAGAZZINO!$B$2:$M$4838,11,FALSE)</f>
        <v/>
      </c>
      <c r="L264" s="44">
        <f>+VLOOKUP($A264,MAGAZZINO!$B$2:$M$4838,12,FALSE)</f>
        <v/>
      </c>
    </row>
    <row r="265" ht="36" customHeight="1">
      <c r="A265" s="30">
        <f>+REGISTRO!A248</f>
        <v/>
      </c>
      <c r="B265" s="31">
        <f>+VLOOKUP($A265,MAGAZZINO!$B$2:$M$4838,2,FALSE)</f>
        <v/>
      </c>
      <c r="C265" s="32">
        <f>+VLOOKUP($A265,MAGAZZINO!$B$2:$M$4838,3,FALSE)</f>
        <v/>
      </c>
      <c r="D265" s="17">
        <f>+VLOOKUP($A265,MAGAZZINO!$B$2:$M$4838,4,FALSE)</f>
        <v/>
      </c>
      <c r="E265" s="17">
        <f>+VLOOKUP($A265,MAGAZZINO!$B$2:$M$4838,5,FALSE)</f>
        <v/>
      </c>
      <c r="F265" s="17">
        <f>+VLOOKUP($A265,MAGAZZINO!$B$2:$M$4838,6,FALSE)</f>
        <v/>
      </c>
      <c r="G265" s="17">
        <f>+VLOOKUP($A265,MAGAZZINO!$B$2:$M$4838,7,FALSE)</f>
        <v/>
      </c>
      <c r="H265" s="17">
        <f>+VLOOKUP($A265,MAGAZZINO!$B$2:$M$4838,8,FALSE)</f>
        <v/>
      </c>
      <c r="I265" s="17">
        <f>+VLOOKUP($A265,MAGAZZINO!$B$2:$M$4838,9,FALSE)</f>
        <v/>
      </c>
      <c r="J265" s="17">
        <f>+VLOOKUP($A265,MAGAZZINO!$B$2:$M$4838,10,FALSE)</f>
        <v/>
      </c>
      <c r="K265" s="17">
        <f>+VLOOKUP($A265,MAGAZZINO!$B$2:$M$4838,11,FALSE)</f>
        <v/>
      </c>
      <c r="L265" s="44">
        <f>+VLOOKUP($A265,MAGAZZINO!$B$2:$M$4838,12,FALSE)</f>
        <v/>
      </c>
    </row>
    <row r="266" ht="36" customHeight="1">
      <c r="A266" s="30">
        <f>+REGISTRO!A249</f>
        <v/>
      </c>
      <c r="B266" s="31">
        <f>+VLOOKUP($A266,MAGAZZINO!$B$2:$M$4838,2,FALSE)</f>
        <v/>
      </c>
      <c r="C266" s="32">
        <f>+VLOOKUP($A266,MAGAZZINO!$B$2:$M$4838,3,FALSE)</f>
        <v/>
      </c>
      <c r="D266" s="17">
        <f>+VLOOKUP($A266,MAGAZZINO!$B$2:$M$4838,4,FALSE)</f>
        <v/>
      </c>
      <c r="E266" s="17">
        <f>+VLOOKUP($A266,MAGAZZINO!$B$2:$M$4838,5,FALSE)</f>
        <v/>
      </c>
      <c r="F266" s="17">
        <f>+VLOOKUP($A266,MAGAZZINO!$B$2:$M$4838,6,FALSE)</f>
        <v/>
      </c>
      <c r="G266" s="17">
        <f>+VLOOKUP($A266,MAGAZZINO!$B$2:$M$4838,7,FALSE)</f>
        <v/>
      </c>
      <c r="H266" s="17">
        <f>+VLOOKUP($A266,MAGAZZINO!$B$2:$M$4838,8,FALSE)</f>
        <v/>
      </c>
      <c r="I266" s="17">
        <f>+VLOOKUP($A266,MAGAZZINO!$B$2:$M$4838,9,FALSE)</f>
        <v/>
      </c>
      <c r="J266" s="17">
        <f>+VLOOKUP($A266,MAGAZZINO!$B$2:$M$4838,10,FALSE)</f>
        <v/>
      </c>
      <c r="K266" s="17">
        <f>+VLOOKUP($A266,MAGAZZINO!$B$2:$M$4838,11,FALSE)</f>
        <v/>
      </c>
      <c r="L266" s="44">
        <f>+VLOOKUP($A266,MAGAZZINO!$B$2:$M$4838,12,FALSE)</f>
        <v/>
      </c>
    </row>
    <row r="267" ht="36" customHeight="1">
      <c r="A267" s="30">
        <f>+REGISTRO!A250</f>
        <v/>
      </c>
      <c r="B267" s="31">
        <f>+VLOOKUP($A267,MAGAZZINO!$B$2:$M$4838,2,FALSE)</f>
        <v/>
      </c>
      <c r="C267" s="32">
        <f>+VLOOKUP($A267,MAGAZZINO!$B$2:$M$4838,3,FALSE)</f>
        <v/>
      </c>
      <c r="D267" s="17">
        <f>+VLOOKUP($A267,MAGAZZINO!$B$2:$M$4838,4,FALSE)</f>
        <v/>
      </c>
      <c r="E267" s="17">
        <f>+VLOOKUP($A267,MAGAZZINO!$B$2:$M$4838,5,FALSE)</f>
        <v/>
      </c>
      <c r="F267" s="17">
        <f>+VLOOKUP($A267,MAGAZZINO!$B$2:$M$4838,6,FALSE)</f>
        <v/>
      </c>
      <c r="G267" s="17">
        <f>+VLOOKUP($A267,MAGAZZINO!$B$2:$M$4838,7,FALSE)</f>
        <v/>
      </c>
      <c r="H267" s="17">
        <f>+VLOOKUP($A267,MAGAZZINO!$B$2:$M$4838,8,FALSE)</f>
        <v/>
      </c>
      <c r="I267" s="17">
        <f>+VLOOKUP($A267,MAGAZZINO!$B$2:$M$4838,9,FALSE)</f>
        <v/>
      </c>
      <c r="J267" s="17">
        <f>+VLOOKUP($A267,MAGAZZINO!$B$2:$M$4838,10,FALSE)</f>
        <v/>
      </c>
      <c r="K267" s="17">
        <f>+VLOOKUP($A267,MAGAZZINO!$B$2:$M$4838,11,FALSE)</f>
        <v/>
      </c>
      <c r="L267" s="44">
        <f>+VLOOKUP($A267,MAGAZZINO!$B$2:$M$4838,12,FALSE)</f>
        <v/>
      </c>
    </row>
    <row r="268" ht="36" customHeight="1">
      <c r="A268" s="30">
        <f>+REGISTRO!A251</f>
        <v/>
      </c>
      <c r="B268" s="31">
        <f>+VLOOKUP($A268,MAGAZZINO!$B$2:$M$4838,2,FALSE)</f>
        <v/>
      </c>
      <c r="C268" s="32">
        <f>+VLOOKUP($A268,MAGAZZINO!$B$2:$M$4838,3,FALSE)</f>
        <v/>
      </c>
      <c r="D268" s="17">
        <f>+VLOOKUP($A268,MAGAZZINO!$B$2:$M$4838,4,FALSE)</f>
        <v/>
      </c>
      <c r="E268" s="17">
        <f>+VLOOKUP($A268,MAGAZZINO!$B$2:$M$4838,5,FALSE)</f>
        <v/>
      </c>
      <c r="F268" s="17">
        <f>+VLOOKUP($A268,MAGAZZINO!$B$2:$M$4838,6,FALSE)</f>
        <v/>
      </c>
      <c r="G268" s="17">
        <f>+VLOOKUP($A268,MAGAZZINO!$B$2:$M$4838,7,FALSE)</f>
        <v/>
      </c>
      <c r="H268" s="17">
        <f>+VLOOKUP($A268,MAGAZZINO!$B$2:$M$4838,8,FALSE)</f>
        <v/>
      </c>
      <c r="I268" s="17">
        <f>+VLOOKUP($A268,MAGAZZINO!$B$2:$M$4838,9,FALSE)</f>
        <v/>
      </c>
      <c r="J268" s="17">
        <f>+VLOOKUP($A268,MAGAZZINO!$B$2:$M$4838,10,FALSE)</f>
        <v/>
      </c>
      <c r="K268" s="17">
        <f>+VLOOKUP($A268,MAGAZZINO!$B$2:$M$4838,11,FALSE)</f>
        <v/>
      </c>
      <c r="L268" s="44">
        <f>+VLOOKUP($A268,MAGAZZINO!$B$2:$M$4838,12,FALSE)</f>
        <v/>
      </c>
    </row>
    <row r="269" ht="36" customHeight="1">
      <c r="A269" s="30">
        <f>+REGISTRO!A252</f>
        <v/>
      </c>
      <c r="B269" s="31">
        <f>+VLOOKUP($A269,MAGAZZINO!$B$2:$M$4838,2,FALSE)</f>
        <v/>
      </c>
      <c r="C269" s="32">
        <f>+VLOOKUP($A269,MAGAZZINO!$B$2:$M$4838,3,FALSE)</f>
        <v/>
      </c>
      <c r="D269" s="17">
        <f>+VLOOKUP($A269,MAGAZZINO!$B$2:$M$4838,4,FALSE)</f>
        <v/>
      </c>
      <c r="E269" s="17">
        <f>+VLOOKUP($A269,MAGAZZINO!$B$2:$M$4838,5,FALSE)</f>
        <v/>
      </c>
      <c r="F269" s="17">
        <f>+VLOOKUP($A269,MAGAZZINO!$B$2:$M$4838,6,FALSE)</f>
        <v/>
      </c>
      <c r="G269" s="17">
        <f>+VLOOKUP($A269,MAGAZZINO!$B$2:$M$4838,7,FALSE)</f>
        <v/>
      </c>
      <c r="H269" s="17">
        <f>+VLOOKUP($A269,MAGAZZINO!$B$2:$M$4838,8,FALSE)</f>
        <v/>
      </c>
      <c r="I269" s="17">
        <f>+VLOOKUP($A269,MAGAZZINO!$B$2:$M$4838,9,FALSE)</f>
        <v/>
      </c>
      <c r="J269" s="17">
        <f>+VLOOKUP($A269,MAGAZZINO!$B$2:$M$4838,10,FALSE)</f>
        <v/>
      </c>
      <c r="K269" s="17">
        <f>+VLOOKUP($A269,MAGAZZINO!$B$2:$M$4838,11,FALSE)</f>
        <v/>
      </c>
      <c r="L269" s="44">
        <f>+VLOOKUP($A269,MAGAZZINO!$B$2:$M$4838,12,FALSE)</f>
        <v/>
      </c>
    </row>
    <row r="270" ht="36" customHeight="1">
      <c r="A270" s="30">
        <f>+REGISTRO!A253</f>
        <v/>
      </c>
      <c r="B270" s="31">
        <f>+VLOOKUP($A270,MAGAZZINO!$B$2:$M$4838,2,FALSE)</f>
        <v/>
      </c>
      <c r="C270" s="32">
        <f>+VLOOKUP($A270,MAGAZZINO!$B$2:$M$4838,3,FALSE)</f>
        <v/>
      </c>
      <c r="D270" s="17">
        <f>+VLOOKUP($A270,MAGAZZINO!$B$2:$M$4838,4,FALSE)</f>
        <v/>
      </c>
      <c r="E270" s="17">
        <f>+VLOOKUP($A270,MAGAZZINO!$B$2:$M$4838,5,FALSE)</f>
        <v/>
      </c>
      <c r="F270" s="17">
        <f>+VLOOKUP($A270,MAGAZZINO!$B$2:$M$4838,6,FALSE)</f>
        <v/>
      </c>
      <c r="G270" s="17">
        <f>+VLOOKUP($A270,MAGAZZINO!$B$2:$M$4838,7,FALSE)</f>
        <v/>
      </c>
      <c r="H270" s="17">
        <f>+VLOOKUP($A270,MAGAZZINO!$B$2:$M$4838,8,FALSE)</f>
        <v/>
      </c>
      <c r="I270" s="17">
        <f>+VLOOKUP($A270,MAGAZZINO!$B$2:$M$4838,9,FALSE)</f>
        <v/>
      </c>
      <c r="J270" s="17">
        <f>+VLOOKUP($A270,MAGAZZINO!$B$2:$M$4838,10,FALSE)</f>
        <v/>
      </c>
      <c r="K270" s="17">
        <f>+VLOOKUP($A270,MAGAZZINO!$B$2:$M$4838,11,FALSE)</f>
        <v/>
      </c>
      <c r="L270" s="44">
        <f>+VLOOKUP($A270,MAGAZZINO!$B$2:$M$4838,12,FALSE)</f>
        <v/>
      </c>
    </row>
    <row r="271" ht="36" customHeight="1">
      <c r="A271" s="30">
        <f>+REGISTRO!A254</f>
        <v/>
      </c>
      <c r="B271" s="31">
        <f>+VLOOKUP($A271,MAGAZZINO!$B$2:$M$4838,2,FALSE)</f>
        <v/>
      </c>
      <c r="C271" s="32">
        <f>+VLOOKUP($A271,MAGAZZINO!$B$2:$M$4838,3,FALSE)</f>
        <v/>
      </c>
      <c r="D271" s="17">
        <f>+VLOOKUP($A271,MAGAZZINO!$B$2:$M$4838,4,FALSE)</f>
        <v/>
      </c>
      <c r="E271" s="17">
        <f>+VLOOKUP($A271,MAGAZZINO!$B$2:$M$4838,5,FALSE)</f>
        <v/>
      </c>
      <c r="F271" s="17">
        <f>+VLOOKUP($A271,MAGAZZINO!$B$2:$M$4838,6,FALSE)</f>
        <v/>
      </c>
      <c r="G271" s="17">
        <f>+VLOOKUP($A271,MAGAZZINO!$B$2:$M$4838,7,FALSE)</f>
        <v/>
      </c>
      <c r="H271" s="17">
        <f>+VLOOKUP($A271,MAGAZZINO!$B$2:$M$4838,8,FALSE)</f>
        <v/>
      </c>
      <c r="I271" s="17">
        <f>+VLOOKUP($A271,MAGAZZINO!$B$2:$M$4838,9,FALSE)</f>
        <v/>
      </c>
      <c r="J271" s="17">
        <f>+VLOOKUP($A271,MAGAZZINO!$B$2:$M$4838,10,FALSE)</f>
        <v/>
      </c>
      <c r="K271" s="17">
        <f>+VLOOKUP($A271,MAGAZZINO!$B$2:$M$4838,11,FALSE)</f>
        <v/>
      </c>
      <c r="L271" s="44">
        <f>+VLOOKUP($A271,MAGAZZINO!$B$2:$M$4838,12,FALSE)</f>
        <v/>
      </c>
    </row>
    <row r="272" ht="36" customHeight="1">
      <c r="A272" s="30">
        <f>+REGISTRO!A255</f>
        <v/>
      </c>
      <c r="B272" s="31">
        <f>+VLOOKUP($A272,MAGAZZINO!$B$2:$M$4838,2,FALSE)</f>
        <v/>
      </c>
      <c r="C272" s="32">
        <f>+VLOOKUP($A272,MAGAZZINO!$B$2:$M$4838,3,FALSE)</f>
        <v/>
      </c>
      <c r="D272" s="17">
        <f>+VLOOKUP($A272,MAGAZZINO!$B$2:$M$4838,4,FALSE)</f>
        <v/>
      </c>
      <c r="E272" s="17">
        <f>+VLOOKUP($A272,MAGAZZINO!$B$2:$M$4838,5,FALSE)</f>
        <v/>
      </c>
      <c r="F272" s="17">
        <f>+VLOOKUP($A272,MAGAZZINO!$B$2:$M$4838,6,FALSE)</f>
        <v/>
      </c>
      <c r="G272" s="17">
        <f>+VLOOKUP($A272,MAGAZZINO!$B$2:$M$4838,7,FALSE)</f>
        <v/>
      </c>
      <c r="H272" s="17">
        <f>+VLOOKUP($A272,MAGAZZINO!$B$2:$M$4838,8,FALSE)</f>
        <v/>
      </c>
      <c r="I272" s="17">
        <f>+VLOOKUP($A272,MAGAZZINO!$B$2:$M$4838,9,FALSE)</f>
        <v/>
      </c>
      <c r="J272" s="17">
        <f>+VLOOKUP($A272,MAGAZZINO!$B$2:$M$4838,10,FALSE)</f>
        <v/>
      </c>
      <c r="K272" s="17">
        <f>+VLOOKUP($A272,MAGAZZINO!$B$2:$M$4838,11,FALSE)</f>
        <v/>
      </c>
      <c r="L272" s="44">
        <f>+VLOOKUP($A272,MAGAZZINO!$B$2:$M$4838,12,FALSE)</f>
        <v/>
      </c>
    </row>
    <row r="273" ht="36" customHeight="1">
      <c r="A273" s="30">
        <f>+REGISTRO!A256</f>
        <v/>
      </c>
      <c r="B273" s="31">
        <f>+VLOOKUP($A273,MAGAZZINO!$B$2:$M$4838,2,FALSE)</f>
        <v/>
      </c>
      <c r="C273" s="32">
        <f>+VLOOKUP($A273,MAGAZZINO!$B$2:$M$4838,3,FALSE)</f>
        <v/>
      </c>
      <c r="D273" s="17">
        <f>+VLOOKUP($A273,MAGAZZINO!$B$2:$M$4838,4,FALSE)</f>
        <v/>
      </c>
      <c r="E273" s="17">
        <f>+VLOOKUP($A273,MAGAZZINO!$B$2:$M$4838,5,FALSE)</f>
        <v/>
      </c>
      <c r="F273" s="17">
        <f>+VLOOKUP($A273,MAGAZZINO!$B$2:$M$4838,6,FALSE)</f>
        <v/>
      </c>
      <c r="G273" s="17">
        <f>+VLOOKUP($A273,MAGAZZINO!$B$2:$M$4838,7,FALSE)</f>
        <v/>
      </c>
      <c r="H273" s="17">
        <f>+VLOOKUP($A273,MAGAZZINO!$B$2:$M$4838,8,FALSE)</f>
        <v/>
      </c>
      <c r="I273" s="17">
        <f>+VLOOKUP($A273,MAGAZZINO!$B$2:$M$4838,9,FALSE)</f>
        <v/>
      </c>
      <c r="J273" s="17">
        <f>+VLOOKUP($A273,MAGAZZINO!$B$2:$M$4838,10,FALSE)</f>
        <v/>
      </c>
      <c r="K273" s="17">
        <f>+VLOOKUP($A273,MAGAZZINO!$B$2:$M$4838,11,FALSE)</f>
        <v/>
      </c>
      <c r="L273" s="44">
        <f>+VLOOKUP($A273,MAGAZZINO!$B$2:$M$4838,12,FALSE)</f>
        <v/>
      </c>
    </row>
    <row r="274" ht="36" customHeight="1">
      <c r="A274" s="30">
        <f>+REGISTRO!A257</f>
        <v/>
      </c>
      <c r="B274" s="31">
        <f>+VLOOKUP($A274,MAGAZZINO!$B$2:$M$4838,2,FALSE)</f>
        <v/>
      </c>
      <c r="C274" s="32">
        <f>+VLOOKUP($A274,MAGAZZINO!$B$2:$M$4838,3,FALSE)</f>
        <v/>
      </c>
      <c r="D274" s="17">
        <f>+VLOOKUP($A274,MAGAZZINO!$B$2:$M$4838,4,FALSE)</f>
        <v/>
      </c>
      <c r="E274" s="17">
        <f>+VLOOKUP($A274,MAGAZZINO!$B$2:$M$4838,5,FALSE)</f>
        <v/>
      </c>
      <c r="F274" s="17">
        <f>+VLOOKUP($A274,MAGAZZINO!$B$2:$M$4838,6,FALSE)</f>
        <v/>
      </c>
      <c r="G274" s="17">
        <f>+VLOOKUP($A274,MAGAZZINO!$B$2:$M$4838,7,FALSE)</f>
        <v/>
      </c>
      <c r="H274" s="17">
        <f>+VLOOKUP($A274,MAGAZZINO!$B$2:$M$4838,8,FALSE)</f>
        <v/>
      </c>
      <c r="I274" s="17">
        <f>+VLOOKUP($A274,MAGAZZINO!$B$2:$M$4838,9,FALSE)</f>
        <v/>
      </c>
      <c r="J274" s="17">
        <f>+VLOOKUP($A274,MAGAZZINO!$B$2:$M$4838,10,FALSE)</f>
        <v/>
      </c>
      <c r="K274" s="17">
        <f>+VLOOKUP($A274,MAGAZZINO!$B$2:$M$4838,11,FALSE)</f>
        <v/>
      </c>
      <c r="L274" s="44">
        <f>+VLOOKUP($A274,MAGAZZINO!$B$2:$M$4838,12,FALSE)</f>
        <v/>
      </c>
    </row>
    <row r="275" ht="36" customHeight="1">
      <c r="A275" s="30">
        <f>+REGISTRO!A258</f>
        <v/>
      </c>
      <c r="B275" s="31">
        <f>+VLOOKUP($A275,MAGAZZINO!$B$2:$M$4838,2,FALSE)</f>
        <v/>
      </c>
      <c r="C275" s="32">
        <f>+VLOOKUP($A275,MAGAZZINO!$B$2:$M$4838,3,FALSE)</f>
        <v/>
      </c>
      <c r="D275" s="17">
        <f>+VLOOKUP($A275,MAGAZZINO!$B$2:$M$4838,4,FALSE)</f>
        <v/>
      </c>
      <c r="E275" s="17">
        <f>+VLOOKUP($A275,MAGAZZINO!$B$2:$M$4838,5,FALSE)</f>
        <v/>
      </c>
      <c r="F275" s="17">
        <f>+VLOOKUP($A275,MAGAZZINO!$B$2:$M$4838,6,FALSE)</f>
        <v/>
      </c>
      <c r="G275" s="17">
        <f>+VLOOKUP($A275,MAGAZZINO!$B$2:$M$4838,7,FALSE)</f>
        <v/>
      </c>
      <c r="H275" s="17">
        <f>+VLOOKUP($A275,MAGAZZINO!$B$2:$M$4838,8,FALSE)</f>
        <v/>
      </c>
      <c r="I275" s="17">
        <f>+VLOOKUP($A275,MAGAZZINO!$B$2:$M$4838,9,FALSE)</f>
        <v/>
      </c>
      <c r="J275" s="17">
        <f>+VLOOKUP($A275,MAGAZZINO!$B$2:$M$4838,10,FALSE)</f>
        <v/>
      </c>
      <c r="K275" s="17">
        <f>+VLOOKUP($A275,MAGAZZINO!$B$2:$M$4838,11,FALSE)</f>
        <v/>
      </c>
      <c r="L275" s="44">
        <f>+VLOOKUP($A275,MAGAZZINO!$B$2:$M$4838,12,FALSE)</f>
        <v/>
      </c>
    </row>
    <row r="276" ht="36" customHeight="1">
      <c r="A276" s="30">
        <f>+REGISTRO!A259</f>
        <v/>
      </c>
      <c r="B276" s="31">
        <f>+VLOOKUP($A276,MAGAZZINO!$B$2:$M$4838,2,FALSE)</f>
        <v/>
      </c>
      <c r="C276" s="32">
        <f>+VLOOKUP($A276,MAGAZZINO!$B$2:$M$4838,3,FALSE)</f>
        <v/>
      </c>
      <c r="D276" s="17">
        <f>+VLOOKUP($A276,MAGAZZINO!$B$2:$M$4838,4,FALSE)</f>
        <v/>
      </c>
      <c r="E276" s="17">
        <f>+VLOOKUP($A276,MAGAZZINO!$B$2:$M$4838,5,FALSE)</f>
        <v/>
      </c>
      <c r="F276" s="17">
        <f>+VLOOKUP($A276,MAGAZZINO!$B$2:$M$4838,6,FALSE)</f>
        <v/>
      </c>
      <c r="G276" s="17">
        <f>+VLOOKUP($A276,MAGAZZINO!$B$2:$M$4838,7,FALSE)</f>
        <v/>
      </c>
      <c r="H276" s="17">
        <f>+VLOOKUP($A276,MAGAZZINO!$B$2:$M$4838,8,FALSE)</f>
        <v/>
      </c>
      <c r="I276" s="17">
        <f>+VLOOKUP($A276,MAGAZZINO!$B$2:$M$4838,9,FALSE)</f>
        <v/>
      </c>
      <c r="J276" s="17">
        <f>+VLOOKUP($A276,MAGAZZINO!$B$2:$M$4838,10,FALSE)</f>
        <v/>
      </c>
      <c r="K276" s="17">
        <f>+VLOOKUP($A276,MAGAZZINO!$B$2:$M$4838,11,FALSE)</f>
        <v/>
      </c>
      <c r="L276" s="44">
        <f>+VLOOKUP($A276,MAGAZZINO!$B$2:$M$4838,12,FALSE)</f>
        <v/>
      </c>
    </row>
    <row r="277" ht="36" customHeight="1">
      <c r="A277" s="30">
        <f>+REGISTRO!A260</f>
        <v/>
      </c>
      <c r="B277" s="31">
        <f>+VLOOKUP($A277,MAGAZZINO!$B$2:$M$4838,2,FALSE)</f>
        <v/>
      </c>
      <c r="C277" s="32">
        <f>+VLOOKUP($A277,MAGAZZINO!$B$2:$M$4838,3,FALSE)</f>
        <v/>
      </c>
      <c r="D277" s="17">
        <f>+VLOOKUP($A277,MAGAZZINO!$B$2:$M$4838,4,FALSE)</f>
        <v/>
      </c>
      <c r="E277" s="17">
        <f>+VLOOKUP($A277,MAGAZZINO!$B$2:$M$4838,5,FALSE)</f>
        <v/>
      </c>
      <c r="F277" s="17">
        <f>+VLOOKUP($A277,MAGAZZINO!$B$2:$M$4838,6,FALSE)</f>
        <v/>
      </c>
      <c r="G277" s="17">
        <f>+VLOOKUP($A277,MAGAZZINO!$B$2:$M$4838,7,FALSE)</f>
        <v/>
      </c>
      <c r="H277" s="17">
        <f>+VLOOKUP($A277,MAGAZZINO!$B$2:$M$4838,8,FALSE)</f>
        <v/>
      </c>
      <c r="I277" s="17">
        <f>+VLOOKUP($A277,MAGAZZINO!$B$2:$M$4838,9,FALSE)</f>
        <v/>
      </c>
      <c r="J277" s="17">
        <f>+VLOOKUP($A277,MAGAZZINO!$B$2:$M$4838,10,FALSE)</f>
        <v/>
      </c>
      <c r="K277" s="17">
        <f>+VLOOKUP($A277,MAGAZZINO!$B$2:$M$4838,11,FALSE)</f>
        <v/>
      </c>
      <c r="L277" s="44">
        <f>+VLOOKUP($A277,MAGAZZINO!$B$2:$M$4838,12,FALSE)</f>
        <v/>
      </c>
    </row>
    <row r="278" ht="36" customHeight="1">
      <c r="A278" s="30">
        <f>+REGISTRO!A261</f>
        <v/>
      </c>
      <c r="B278" s="31">
        <f>+VLOOKUP($A278,MAGAZZINO!$B$2:$M$4838,2,FALSE)</f>
        <v/>
      </c>
      <c r="C278" s="32">
        <f>+VLOOKUP($A278,MAGAZZINO!$B$2:$M$4838,3,FALSE)</f>
        <v/>
      </c>
      <c r="D278" s="17">
        <f>+VLOOKUP($A278,MAGAZZINO!$B$2:$M$4838,4,FALSE)</f>
        <v/>
      </c>
      <c r="E278" s="17">
        <f>+VLOOKUP($A278,MAGAZZINO!$B$2:$M$4838,5,FALSE)</f>
        <v/>
      </c>
      <c r="F278" s="17">
        <f>+VLOOKUP($A278,MAGAZZINO!$B$2:$M$4838,6,FALSE)</f>
        <v/>
      </c>
      <c r="G278" s="17">
        <f>+VLOOKUP($A278,MAGAZZINO!$B$2:$M$4838,7,FALSE)</f>
        <v/>
      </c>
      <c r="H278" s="17">
        <f>+VLOOKUP($A278,MAGAZZINO!$B$2:$M$4838,8,FALSE)</f>
        <v/>
      </c>
      <c r="I278" s="17">
        <f>+VLOOKUP($A278,MAGAZZINO!$B$2:$M$4838,9,FALSE)</f>
        <v/>
      </c>
      <c r="J278" s="17">
        <f>+VLOOKUP($A278,MAGAZZINO!$B$2:$M$4838,10,FALSE)</f>
        <v/>
      </c>
      <c r="K278" s="17">
        <f>+VLOOKUP($A278,MAGAZZINO!$B$2:$M$4838,11,FALSE)</f>
        <v/>
      </c>
      <c r="L278" s="44">
        <f>+VLOOKUP($A278,MAGAZZINO!$B$2:$M$4838,12,FALSE)</f>
        <v/>
      </c>
    </row>
    <row r="279" ht="36" customHeight="1">
      <c r="A279" s="30">
        <f>+REGISTRO!A262</f>
        <v/>
      </c>
      <c r="B279" s="31">
        <f>+VLOOKUP($A279,MAGAZZINO!$B$2:$M$4838,2,FALSE)</f>
        <v/>
      </c>
      <c r="C279" s="32">
        <f>+VLOOKUP($A279,MAGAZZINO!$B$2:$M$4838,3,FALSE)</f>
        <v/>
      </c>
      <c r="D279" s="17">
        <f>+VLOOKUP($A279,MAGAZZINO!$B$2:$M$4838,4,FALSE)</f>
        <v/>
      </c>
      <c r="E279" s="17">
        <f>+VLOOKUP($A279,MAGAZZINO!$B$2:$M$4838,5,FALSE)</f>
        <v/>
      </c>
      <c r="F279" s="17">
        <f>+VLOOKUP($A279,MAGAZZINO!$B$2:$M$4838,6,FALSE)</f>
        <v/>
      </c>
      <c r="G279" s="17">
        <f>+VLOOKUP($A279,MAGAZZINO!$B$2:$M$4838,7,FALSE)</f>
        <v/>
      </c>
      <c r="H279" s="17">
        <f>+VLOOKUP($A279,MAGAZZINO!$B$2:$M$4838,8,FALSE)</f>
        <v/>
      </c>
      <c r="I279" s="17">
        <f>+VLOOKUP($A279,MAGAZZINO!$B$2:$M$4838,9,FALSE)</f>
        <v/>
      </c>
      <c r="J279" s="17">
        <f>+VLOOKUP($A279,MAGAZZINO!$B$2:$M$4838,10,FALSE)</f>
        <v/>
      </c>
      <c r="K279" s="17">
        <f>+VLOOKUP($A279,MAGAZZINO!$B$2:$M$4838,11,FALSE)</f>
        <v/>
      </c>
      <c r="L279" s="44">
        <f>+VLOOKUP($A279,MAGAZZINO!$B$2:$M$4838,12,FALSE)</f>
        <v/>
      </c>
    </row>
    <row r="280" ht="36" customHeight="1">
      <c r="A280" s="30">
        <f>+REGISTRO!A263</f>
        <v/>
      </c>
      <c r="B280" s="31">
        <f>+VLOOKUP($A280,MAGAZZINO!$B$2:$M$4838,2,FALSE)</f>
        <v/>
      </c>
      <c r="C280" s="32">
        <f>+VLOOKUP($A280,MAGAZZINO!$B$2:$M$4838,3,FALSE)</f>
        <v/>
      </c>
      <c r="D280" s="17">
        <f>+VLOOKUP($A280,MAGAZZINO!$B$2:$M$4838,4,FALSE)</f>
        <v/>
      </c>
      <c r="E280" s="17">
        <f>+VLOOKUP($A280,MAGAZZINO!$B$2:$M$4838,5,FALSE)</f>
        <v/>
      </c>
      <c r="F280" s="17">
        <f>+VLOOKUP($A280,MAGAZZINO!$B$2:$M$4838,6,FALSE)</f>
        <v/>
      </c>
      <c r="G280" s="17">
        <f>+VLOOKUP($A280,MAGAZZINO!$B$2:$M$4838,7,FALSE)</f>
        <v/>
      </c>
      <c r="H280" s="17">
        <f>+VLOOKUP($A280,MAGAZZINO!$B$2:$M$4838,8,FALSE)</f>
        <v/>
      </c>
      <c r="I280" s="17">
        <f>+VLOOKUP($A280,MAGAZZINO!$B$2:$M$4838,9,FALSE)</f>
        <v/>
      </c>
      <c r="J280" s="17">
        <f>+VLOOKUP($A280,MAGAZZINO!$B$2:$M$4838,10,FALSE)</f>
        <v/>
      </c>
      <c r="K280" s="17">
        <f>+VLOOKUP($A280,MAGAZZINO!$B$2:$M$4838,11,FALSE)</f>
        <v/>
      </c>
      <c r="L280" s="44">
        <f>+VLOOKUP($A280,MAGAZZINO!$B$2:$M$4838,12,FALSE)</f>
        <v/>
      </c>
    </row>
    <row r="281" ht="36" customHeight="1">
      <c r="A281" s="30">
        <f>+REGISTRO!A264</f>
        <v/>
      </c>
      <c r="B281" s="31">
        <f>+VLOOKUP($A281,MAGAZZINO!$B$2:$M$4838,2,FALSE)</f>
        <v/>
      </c>
      <c r="C281" s="32">
        <f>+VLOOKUP($A281,MAGAZZINO!$B$2:$M$4838,3,FALSE)</f>
        <v/>
      </c>
      <c r="D281" s="17">
        <f>+VLOOKUP($A281,MAGAZZINO!$B$2:$M$4838,4,FALSE)</f>
        <v/>
      </c>
      <c r="E281" s="17">
        <f>+VLOOKUP($A281,MAGAZZINO!$B$2:$M$4838,5,FALSE)</f>
        <v/>
      </c>
      <c r="F281" s="17">
        <f>+VLOOKUP($A281,MAGAZZINO!$B$2:$M$4838,6,FALSE)</f>
        <v/>
      </c>
      <c r="G281" s="17">
        <f>+VLOOKUP($A281,MAGAZZINO!$B$2:$M$4838,7,FALSE)</f>
        <v/>
      </c>
      <c r="H281" s="17">
        <f>+VLOOKUP($A281,MAGAZZINO!$B$2:$M$4838,8,FALSE)</f>
        <v/>
      </c>
      <c r="I281" s="17">
        <f>+VLOOKUP($A281,MAGAZZINO!$B$2:$M$4838,9,FALSE)</f>
        <v/>
      </c>
      <c r="J281" s="17">
        <f>+VLOOKUP($A281,MAGAZZINO!$B$2:$M$4838,10,FALSE)</f>
        <v/>
      </c>
      <c r="K281" s="17">
        <f>+VLOOKUP($A281,MAGAZZINO!$B$2:$M$4838,11,FALSE)</f>
        <v/>
      </c>
      <c r="L281" s="44">
        <f>+VLOOKUP($A281,MAGAZZINO!$B$2:$M$4838,12,FALSE)</f>
        <v/>
      </c>
    </row>
    <row r="282" ht="36" customHeight="1">
      <c r="A282" s="30">
        <f>+REGISTRO!A265</f>
        <v/>
      </c>
      <c r="B282" s="31">
        <f>+VLOOKUP($A282,MAGAZZINO!$B$2:$M$4838,2,FALSE)</f>
        <v/>
      </c>
      <c r="C282" s="32">
        <f>+VLOOKUP($A282,MAGAZZINO!$B$2:$M$4838,3,FALSE)</f>
        <v/>
      </c>
      <c r="D282" s="17">
        <f>+VLOOKUP($A282,MAGAZZINO!$B$2:$M$4838,4,FALSE)</f>
        <v/>
      </c>
      <c r="E282" s="17">
        <f>+VLOOKUP($A282,MAGAZZINO!$B$2:$M$4838,5,FALSE)</f>
        <v/>
      </c>
      <c r="F282" s="17">
        <f>+VLOOKUP($A282,MAGAZZINO!$B$2:$M$4838,6,FALSE)</f>
        <v/>
      </c>
      <c r="G282" s="17">
        <f>+VLOOKUP($A282,MAGAZZINO!$B$2:$M$4838,7,FALSE)</f>
        <v/>
      </c>
      <c r="H282" s="17">
        <f>+VLOOKUP($A282,MAGAZZINO!$B$2:$M$4838,8,FALSE)</f>
        <v/>
      </c>
      <c r="I282" s="17">
        <f>+VLOOKUP($A282,MAGAZZINO!$B$2:$M$4838,9,FALSE)</f>
        <v/>
      </c>
      <c r="J282" s="17">
        <f>+VLOOKUP($A282,MAGAZZINO!$B$2:$M$4838,10,FALSE)</f>
        <v/>
      </c>
      <c r="K282" s="17">
        <f>+VLOOKUP($A282,MAGAZZINO!$B$2:$M$4838,11,FALSE)</f>
        <v/>
      </c>
      <c r="L282" s="44">
        <f>+VLOOKUP($A282,MAGAZZINO!$B$2:$M$4838,12,FALSE)</f>
        <v/>
      </c>
    </row>
    <row r="283" ht="36" customHeight="1">
      <c r="A283" s="30">
        <f>+REGISTRO!A266</f>
        <v/>
      </c>
      <c r="B283" s="31">
        <f>+VLOOKUP($A283,MAGAZZINO!$B$2:$M$4838,2,FALSE)</f>
        <v/>
      </c>
      <c r="C283" s="32">
        <f>+VLOOKUP($A283,MAGAZZINO!$B$2:$M$4838,3,FALSE)</f>
        <v/>
      </c>
      <c r="D283" s="17">
        <f>+VLOOKUP($A283,MAGAZZINO!$B$2:$M$4838,4,FALSE)</f>
        <v/>
      </c>
      <c r="E283" s="17">
        <f>+VLOOKUP($A283,MAGAZZINO!$B$2:$M$4838,5,FALSE)</f>
        <v/>
      </c>
      <c r="F283" s="17">
        <f>+VLOOKUP($A283,MAGAZZINO!$B$2:$M$4838,6,FALSE)</f>
        <v/>
      </c>
      <c r="G283" s="17">
        <f>+VLOOKUP($A283,MAGAZZINO!$B$2:$M$4838,7,FALSE)</f>
        <v/>
      </c>
      <c r="H283" s="17">
        <f>+VLOOKUP($A283,MAGAZZINO!$B$2:$M$4838,8,FALSE)</f>
        <v/>
      </c>
      <c r="I283" s="17">
        <f>+VLOOKUP($A283,MAGAZZINO!$B$2:$M$4838,9,FALSE)</f>
        <v/>
      </c>
      <c r="J283" s="17">
        <f>+VLOOKUP($A283,MAGAZZINO!$B$2:$M$4838,10,FALSE)</f>
        <v/>
      </c>
      <c r="K283" s="17">
        <f>+VLOOKUP($A283,MAGAZZINO!$B$2:$M$4838,11,FALSE)</f>
        <v/>
      </c>
      <c r="L283" s="44">
        <f>+VLOOKUP($A283,MAGAZZINO!$B$2:$M$4838,12,FALSE)</f>
        <v/>
      </c>
    </row>
    <row r="284" ht="36" customHeight="1">
      <c r="A284" s="30">
        <f>+REGISTRO!A267</f>
        <v/>
      </c>
      <c r="B284" s="31">
        <f>+VLOOKUP($A284,MAGAZZINO!$B$2:$M$4838,2,FALSE)</f>
        <v/>
      </c>
      <c r="C284" s="32">
        <f>+VLOOKUP($A284,MAGAZZINO!$B$2:$M$4838,3,FALSE)</f>
        <v/>
      </c>
      <c r="D284" s="17">
        <f>+VLOOKUP($A284,MAGAZZINO!$B$2:$M$4838,4,FALSE)</f>
        <v/>
      </c>
      <c r="E284" s="17">
        <f>+VLOOKUP($A284,MAGAZZINO!$B$2:$M$4838,5,FALSE)</f>
        <v/>
      </c>
      <c r="F284" s="17">
        <f>+VLOOKUP($A284,MAGAZZINO!$B$2:$M$4838,6,FALSE)</f>
        <v/>
      </c>
      <c r="G284" s="17">
        <f>+VLOOKUP($A284,MAGAZZINO!$B$2:$M$4838,7,FALSE)</f>
        <v/>
      </c>
      <c r="H284" s="17">
        <f>+VLOOKUP($A284,MAGAZZINO!$B$2:$M$4838,8,FALSE)</f>
        <v/>
      </c>
      <c r="I284" s="17">
        <f>+VLOOKUP($A284,MAGAZZINO!$B$2:$M$4838,9,FALSE)</f>
        <v/>
      </c>
      <c r="J284" s="17">
        <f>+VLOOKUP($A284,MAGAZZINO!$B$2:$M$4838,10,FALSE)</f>
        <v/>
      </c>
      <c r="K284" s="17">
        <f>+VLOOKUP($A284,MAGAZZINO!$B$2:$M$4838,11,FALSE)</f>
        <v/>
      </c>
      <c r="L284" s="44">
        <f>+VLOOKUP($A284,MAGAZZINO!$B$2:$M$4838,12,FALSE)</f>
        <v/>
      </c>
    </row>
    <row r="285" ht="36" customHeight="1">
      <c r="A285" s="30">
        <f>+REGISTRO!A268</f>
        <v/>
      </c>
      <c r="B285" s="31">
        <f>+VLOOKUP($A285,MAGAZZINO!$B$2:$M$4838,2,FALSE)</f>
        <v/>
      </c>
      <c r="C285" s="32">
        <f>+VLOOKUP($A285,MAGAZZINO!$B$2:$M$4838,3,FALSE)</f>
        <v/>
      </c>
      <c r="D285" s="17">
        <f>+VLOOKUP($A285,MAGAZZINO!$B$2:$M$4838,4,FALSE)</f>
        <v/>
      </c>
      <c r="E285" s="17">
        <f>+VLOOKUP($A285,MAGAZZINO!$B$2:$M$4838,5,FALSE)</f>
        <v/>
      </c>
      <c r="F285" s="17">
        <f>+VLOOKUP($A285,MAGAZZINO!$B$2:$M$4838,6,FALSE)</f>
        <v/>
      </c>
      <c r="G285" s="17">
        <f>+VLOOKUP($A285,MAGAZZINO!$B$2:$M$4838,7,FALSE)</f>
        <v/>
      </c>
      <c r="H285" s="17">
        <f>+VLOOKUP($A285,MAGAZZINO!$B$2:$M$4838,8,FALSE)</f>
        <v/>
      </c>
      <c r="I285" s="17">
        <f>+VLOOKUP($A285,MAGAZZINO!$B$2:$M$4838,9,FALSE)</f>
        <v/>
      </c>
      <c r="J285" s="17">
        <f>+VLOOKUP($A285,MAGAZZINO!$B$2:$M$4838,10,FALSE)</f>
        <v/>
      </c>
      <c r="K285" s="17">
        <f>+VLOOKUP($A285,MAGAZZINO!$B$2:$M$4838,11,FALSE)</f>
        <v/>
      </c>
      <c r="L285" s="44">
        <f>+VLOOKUP($A285,MAGAZZINO!$B$2:$M$4838,12,FALSE)</f>
        <v/>
      </c>
    </row>
    <row r="286" ht="36" customHeight="1">
      <c r="A286" s="30">
        <f>+REGISTRO!A269</f>
        <v/>
      </c>
      <c r="B286" s="31">
        <f>+VLOOKUP($A286,MAGAZZINO!$B$2:$M$4838,2,FALSE)</f>
        <v/>
      </c>
      <c r="C286" s="32">
        <f>+VLOOKUP($A286,MAGAZZINO!$B$2:$M$4838,3,FALSE)</f>
        <v/>
      </c>
      <c r="D286" s="17">
        <f>+VLOOKUP($A286,MAGAZZINO!$B$2:$M$4838,4,FALSE)</f>
        <v/>
      </c>
      <c r="E286" s="17">
        <f>+VLOOKUP($A286,MAGAZZINO!$B$2:$M$4838,5,FALSE)</f>
        <v/>
      </c>
      <c r="F286" s="17">
        <f>+VLOOKUP($A286,MAGAZZINO!$B$2:$M$4838,6,FALSE)</f>
        <v/>
      </c>
      <c r="G286" s="17">
        <f>+VLOOKUP($A286,MAGAZZINO!$B$2:$M$4838,7,FALSE)</f>
        <v/>
      </c>
      <c r="H286" s="17">
        <f>+VLOOKUP($A286,MAGAZZINO!$B$2:$M$4838,8,FALSE)</f>
        <v/>
      </c>
      <c r="I286" s="17">
        <f>+VLOOKUP($A286,MAGAZZINO!$B$2:$M$4838,9,FALSE)</f>
        <v/>
      </c>
      <c r="J286" s="17">
        <f>+VLOOKUP($A286,MAGAZZINO!$B$2:$M$4838,10,FALSE)</f>
        <v/>
      </c>
      <c r="K286" s="17">
        <f>+VLOOKUP($A286,MAGAZZINO!$B$2:$M$4838,11,FALSE)</f>
        <v/>
      </c>
      <c r="L286" s="44">
        <f>+VLOOKUP($A286,MAGAZZINO!$B$2:$M$4838,12,FALSE)</f>
        <v/>
      </c>
    </row>
    <row r="287" ht="36" customHeight="1">
      <c r="A287" s="30">
        <f>+REGISTRO!A270</f>
        <v/>
      </c>
      <c r="B287" s="31">
        <f>+VLOOKUP($A287,MAGAZZINO!$B$2:$M$4838,2,FALSE)</f>
        <v/>
      </c>
      <c r="C287" s="32">
        <f>+VLOOKUP($A287,MAGAZZINO!$B$2:$M$4838,3,FALSE)</f>
        <v/>
      </c>
      <c r="D287" s="17">
        <f>+VLOOKUP($A287,MAGAZZINO!$B$2:$M$4838,4,FALSE)</f>
        <v/>
      </c>
      <c r="E287" s="17">
        <f>+VLOOKUP($A287,MAGAZZINO!$B$2:$M$4838,5,FALSE)</f>
        <v/>
      </c>
      <c r="F287" s="17">
        <f>+VLOOKUP($A287,MAGAZZINO!$B$2:$M$4838,6,FALSE)</f>
        <v/>
      </c>
      <c r="G287" s="17">
        <f>+VLOOKUP($A287,MAGAZZINO!$B$2:$M$4838,7,FALSE)</f>
        <v/>
      </c>
      <c r="H287" s="17">
        <f>+VLOOKUP($A287,MAGAZZINO!$B$2:$M$4838,8,FALSE)</f>
        <v/>
      </c>
      <c r="I287" s="17">
        <f>+VLOOKUP($A287,MAGAZZINO!$B$2:$M$4838,9,FALSE)</f>
        <v/>
      </c>
      <c r="J287" s="17">
        <f>+VLOOKUP($A287,MAGAZZINO!$B$2:$M$4838,10,FALSE)</f>
        <v/>
      </c>
      <c r="K287" s="17">
        <f>+VLOOKUP($A287,MAGAZZINO!$B$2:$M$4838,11,FALSE)</f>
        <v/>
      </c>
      <c r="L287" s="44">
        <f>+VLOOKUP($A287,MAGAZZINO!$B$2:$M$4838,12,FALSE)</f>
        <v/>
      </c>
    </row>
    <row r="288" ht="36" customHeight="1">
      <c r="A288" s="30">
        <f>+REGISTRO!A271</f>
        <v/>
      </c>
      <c r="B288" s="31">
        <f>+VLOOKUP($A288,MAGAZZINO!$B$2:$M$4838,2,FALSE)</f>
        <v/>
      </c>
      <c r="C288" s="32">
        <f>+VLOOKUP($A288,MAGAZZINO!$B$2:$M$4838,3,FALSE)</f>
        <v/>
      </c>
      <c r="D288" s="17">
        <f>+VLOOKUP($A288,MAGAZZINO!$B$2:$M$4838,4,FALSE)</f>
        <v/>
      </c>
      <c r="E288" s="17">
        <f>+VLOOKUP($A288,MAGAZZINO!$B$2:$M$4838,5,FALSE)</f>
        <v/>
      </c>
      <c r="F288" s="17">
        <f>+VLOOKUP($A288,MAGAZZINO!$B$2:$M$4838,6,FALSE)</f>
        <v/>
      </c>
      <c r="G288" s="17">
        <f>+VLOOKUP($A288,MAGAZZINO!$B$2:$M$4838,7,FALSE)</f>
        <v/>
      </c>
      <c r="H288" s="17">
        <f>+VLOOKUP($A288,MAGAZZINO!$B$2:$M$4838,8,FALSE)</f>
        <v/>
      </c>
      <c r="I288" s="17">
        <f>+VLOOKUP($A288,MAGAZZINO!$B$2:$M$4838,9,FALSE)</f>
        <v/>
      </c>
      <c r="J288" s="17">
        <f>+VLOOKUP($A288,MAGAZZINO!$B$2:$M$4838,10,FALSE)</f>
        <v/>
      </c>
      <c r="K288" s="17">
        <f>+VLOOKUP($A288,MAGAZZINO!$B$2:$M$4838,11,FALSE)</f>
        <v/>
      </c>
      <c r="L288" s="44">
        <f>+VLOOKUP($A288,MAGAZZINO!$B$2:$M$4838,12,FALSE)</f>
        <v/>
      </c>
    </row>
    <row r="289" ht="36" customHeight="1">
      <c r="A289" s="30">
        <f>+REGISTRO!A272</f>
        <v/>
      </c>
      <c r="B289" s="31">
        <f>+VLOOKUP($A289,MAGAZZINO!$B$2:$M$4838,2,FALSE)</f>
        <v/>
      </c>
      <c r="C289" s="32">
        <f>+VLOOKUP($A289,MAGAZZINO!$B$2:$M$4838,3,FALSE)</f>
        <v/>
      </c>
      <c r="D289" s="17">
        <f>+VLOOKUP($A289,MAGAZZINO!$B$2:$M$4838,4,FALSE)</f>
        <v/>
      </c>
      <c r="E289" s="17">
        <f>+VLOOKUP($A289,MAGAZZINO!$B$2:$M$4838,5,FALSE)</f>
        <v/>
      </c>
      <c r="F289" s="17">
        <f>+VLOOKUP($A289,MAGAZZINO!$B$2:$M$4838,6,FALSE)</f>
        <v/>
      </c>
      <c r="G289" s="17">
        <f>+VLOOKUP($A289,MAGAZZINO!$B$2:$M$4838,7,FALSE)</f>
        <v/>
      </c>
      <c r="H289" s="17">
        <f>+VLOOKUP($A289,MAGAZZINO!$B$2:$M$4838,8,FALSE)</f>
        <v/>
      </c>
      <c r="I289" s="17">
        <f>+VLOOKUP($A289,MAGAZZINO!$B$2:$M$4838,9,FALSE)</f>
        <v/>
      </c>
      <c r="J289" s="17">
        <f>+VLOOKUP($A289,MAGAZZINO!$B$2:$M$4838,10,FALSE)</f>
        <v/>
      </c>
      <c r="K289" s="17">
        <f>+VLOOKUP($A289,MAGAZZINO!$B$2:$M$4838,11,FALSE)</f>
        <v/>
      </c>
      <c r="L289" s="44">
        <f>+VLOOKUP($A289,MAGAZZINO!$B$2:$M$4838,12,FALSE)</f>
        <v/>
      </c>
    </row>
    <row r="290" ht="36" customHeight="1">
      <c r="A290" s="30">
        <f>+REGISTRO!A273</f>
        <v/>
      </c>
      <c r="B290" s="31">
        <f>+VLOOKUP($A290,MAGAZZINO!$B$2:$M$4838,2,FALSE)</f>
        <v/>
      </c>
      <c r="C290" s="32">
        <f>+VLOOKUP($A290,MAGAZZINO!$B$2:$M$4838,3,FALSE)</f>
        <v/>
      </c>
      <c r="D290" s="17">
        <f>+VLOOKUP($A290,MAGAZZINO!$B$2:$M$4838,4,FALSE)</f>
        <v/>
      </c>
      <c r="E290" s="17">
        <f>+VLOOKUP($A290,MAGAZZINO!$B$2:$M$4838,5,FALSE)</f>
        <v/>
      </c>
      <c r="F290" s="17">
        <f>+VLOOKUP($A290,MAGAZZINO!$B$2:$M$4838,6,FALSE)</f>
        <v/>
      </c>
      <c r="G290" s="17">
        <f>+VLOOKUP($A290,MAGAZZINO!$B$2:$M$4838,7,FALSE)</f>
        <v/>
      </c>
      <c r="H290" s="17">
        <f>+VLOOKUP($A290,MAGAZZINO!$B$2:$M$4838,8,FALSE)</f>
        <v/>
      </c>
      <c r="I290" s="17">
        <f>+VLOOKUP($A290,MAGAZZINO!$B$2:$M$4838,9,FALSE)</f>
        <v/>
      </c>
      <c r="J290" s="17">
        <f>+VLOOKUP($A290,MAGAZZINO!$B$2:$M$4838,10,FALSE)</f>
        <v/>
      </c>
      <c r="K290" s="17">
        <f>+VLOOKUP($A290,MAGAZZINO!$B$2:$M$4838,11,FALSE)</f>
        <v/>
      </c>
      <c r="L290" s="44">
        <f>+VLOOKUP($A290,MAGAZZINO!$B$2:$M$4838,12,FALSE)</f>
        <v/>
      </c>
    </row>
    <row r="291" ht="36" customHeight="1">
      <c r="A291" s="30">
        <f>+REGISTRO!A274</f>
        <v/>
      </c>
      <c r="B291" s="31">
        <f>+VLOOKUP($A291,MAGAZZINO!$B$2:$M$4838,2,FALSE)</f>
        <v/>
      </c>
      <c r="C291" s="32">
        <f>+VLOOKUP($A291,MAGAZZINO!$B$2:$M$4838,3,FALSE)</f>
        <v/>
      </c>
      <c r="D291" s="17">
        <f>+VLOOKUP($A291,MAGAZZINO!$B$2:$M$4838,4,FALSE)</f>
        <v/>
      </c>
      <c r="E291" s="17">
        <f>+VLOOKUP($A291,MAGAZZINO!$B$2:$M$4838,5,FALSE)</f>
        <v/>
      </c>
      <c r="F291" s="17">
        <f>+VLOOKUP($A291,MAGAZZINO!$B$2:$M$4838,6,FALSE)</f>
        <v/>
      </c>
      <c r="G291" s="17">
        <f>+VLOOKUP($A291,MAGAZZINO!$B$2:$M$4838,7,FALSE)</f>
        <v/>
      </c>
      <c r="H291" s="17">
        <f>+VLOOKUP($A291,MAGAZZINO!$B$2:$M$4838,8,FALSE)</f>
        <v/>
      </c>
      <c r="I291" s="17">
        <f>+VLOOKUP($A291,MAGAZZINO!$B$2:$M$4838,9,FALSE)</f>
        <v/>
      </c>
      <c r="J291" s="17">
        <f>+VLOOKUP($A291,MAGAZZINO!$B$2:$M$4838,10,FALSE)</f>
        <v/>
      </c>
      <c r="K291" s="17">
        <f>+VLOOKUP($A291,MAGAZZINO!$B$2:$M$4838,11,FALSE)</f>
        <v/>
      </c>
      <c r="L291" s="44">
        <f>+VLOOKUP($A291,MAGAZZINO!$B$2:$M$4838,12,FALSE)</f>
        <v/>
      </c>
    </row>
    <row r="292" ht="36" customHeight="1">
      <c r="A292" s="30">
        <f>+REGISTRO!A275</f>
        <v/>
      </c>
      <c r="B292" s="31">
        <f>+VLOOKUP($A292,MAGAZZINO!$B$2:$M$4838,2,FALSE)</f>
        <v/>
      </c>
      <c r="C292" s="32">
        <f>+VLOOKUP($A292,MAGAZZINO!$B$2:$M$4838,3,FALSE)</f>
        <v/>
      </c>
      <c r="D292" s="17">
        <f>+VLOOKUP($A292,MAGAZZINO!$B$2:$M$4838,4,FALSE)</f>
        <v/>
      </c>
      <c r="E292" s="17">
        <f>+VLOOKUP($A292,MAGAZZINO!$B$2:$M$4838,5,FALSE)</f>
        <v/>
      </c>
      <c r="F292" s="17">
        <f>+VLOOKUP($A292,MAGAZZINO!$B$2:$M$4838,6,FALSE)</f>
        <v/>
      </c>
      <c r="G292" s="17">
        <f>+VLOOKUP($A292,MAGAZZINO!$B$2:$M$4838,7,FALSE)</f>
        <v/>
      </c>
      <c r="H292" s="17">
        <f>+VLOOKUP($A292,MAGAZZINO!$B$2:$M$4838,8,FALSE)</f>
        <v/>
      </c>
      <c r="I292" s="17">
        <f>+VLOOKUP($A292,MAGAZZINO!$B$2:$M$4838,9,FALSE)</f>
        <v/>
      </c>
      <c r="J292" s="17">
        <f>+VLOOKUP($A292,MAGAZZINO!$B$2:$M$4838,10,FALSE)</f>
        <v/>
      </c>
      <c r="K292" s="17">
        <f>+VLOOKUP($A292,MAGAZZINO!$B$2:$M$4838,11,FALSE)</f>
        <v/>
      </c>
      <c r="L292" s="44">
        <f>+VLOOKUP($A292,MAGAZZINO!$B$2:$M$4838,12,FALSE)</f>
        <v/>
      </c>
    </row>
    <row r="293" ht="36" customHeight="1">
      <c r="A293" s="30">
        <f>+REGISTRO!A276</f>
        <v/>
      </c>
      <c r="B293" s="31">
        <f>+VLOOKUP($A293,MAGAZZINO!$B$2:$M$4838,2,FALSE)</f>
        <v/>
      </c>
      <c r="C293" s="32">
        <f>+VLOOKUP($A293,MAGAZZINO!$B$2:$M$4838,3,FALSE)</f>
        <v/>
      </c>
      <c r="D293" s="17">
        <f>+VLOOKUP($A293,MAGAZZINO!$B$2:$M$4838,4,FALSE)</f>
        <v/>
      </c>
      <c r="E293" s="17">
        <f>+VLOOKUP($A293,MAGAZZINO!$B$2:$M$4838,5,FALSE)</f>
        <v/>
      </c>
      <c r="F293" s="17">
        <f>+VLOOKUP($A293,MAGAZZINO!$B$2:$M$4838,6,FALSE)</f>
        <v/>
      </c>
      <c r="G293" s="17">
        <f>+VLOOKUP($A293,MAGAZZINO!$B$2:$M$4838,7,FALSE)</f>
        <v/>
      </c>
      <c r="H293" s="17">
        <f>+VLOOKUP($A293,MAGAZZINO!$B$2:$M$4838,8,FALSE)</f>
        <v/>
      </c>
      <c r="I293" s="17">
        <f>+VLOOKUP($A293,MAGAZZINO!$B$2:$M$4838,9,FALSE)</f>
        <v/>
      </c>
      <c r="J293" s="17">
        <f>+VLOOKUP($A293,MAGAZZINO!$B$2:$M$4838,10,FALSE)</f>
        <v/>
      </c>
      <c r="K293" s="17">
        <f>+VLOOKUP($A293,MAGAZZINO!$B$2:$M$4838,11,FALSE)</f>
        <v/>
      </c>
      <c r="L293" s="44">
        <f>+VLOOKUP($A293,MAGAZZINO!$B$2:$M$4838,12,FALSE)</f>
        <v/>
      </c>
    </row>
    <row r="294" ht="36" customHeight="1">
      <c r="A294" s="30">
        <f>+REGISTRO!A277</f>
        <v/>
      </c>
      <c r="B294" s="31">
        <f>+VLOOKUP($A294,MAGAZZINO!$B$2:$M$4838,2,FALSE)</f>
        <v/>
      </c>
      <c r="C294" s="32">
        <f>+VLOOKUP($A294,MAGAZZINO!$B$2:$M$4838,3,FALSE)</f>
        <v/>
      </c>
      <c r="D294" s="17">
        <f>+VLOOKUP($A294,MAGAZZINO!$B$2:$M$4838,4,FALSE)</f>
        <v/>
      </c>
      <c r="E294" s="17">
        <f>+VLOOKUP($A294,MAGAZZINO!$B$2:$M$4838,5,FALSE)</f>
        <v/>
      </c>
      <c r="F294" s="17">
        <f>+VLOOKUP($A294,MAGAZZINO!$B$2:$M$4838,6,FALSE)</f>
        <v/>
      </c>
      <c r="G294" s="17">
        <f>+VLOOKUP($A294,MAGAZZINO!$B$2:$M$4838,7,FALSE)</f>
        <v/>
      </c>
      <c r="H294" s="17">
        <f>+VLOOKUP($A294,MAGAZZINO!$B$2:$M$4838,8,FALSE)</f>
        <v/>
      </c>
      <c r="I294" s="17">
        <f>+VLOOKUP($A294,MAGAZZINO!$B$2:$M$4838,9,FALSE)</f>
        <v/>
      </c>
      <c r="J294" s="17">
        <f>+VLOOKUP($A294,MAGAZZINO!$B$2:$M$4838,10,FALSE)</f>
        <v/>
      </c>
      <c r="K294" s="17">
        <f>+VLOOKUP($A294,MAGAZZINO!$B$2:$M$4838,11,FALSE)</f>
        <v/>
      </c>
      <c r="L294" s="44">
        <f>+VLOOKUP($A294,MAGAZZINO!$B$2:$M$4838,12,FALSE)</f>
        <v/>
      </c>
    </row>
    <row r="295" ht="36" customHeight="1">
      <c r="A295" s="30">
        <f>+REGISTRO!A278</f>
        <v/>
      </c>
      <c r="B295" s="31">
        <f>+VLOOKUP($A295,MAGAZZINO!$B$2:$M$4838,2,FALSE)</f>
        <v/>
      </c>
      <c r="C295" s="32">
        <f>+VLOOKUP($A295,MAGAZZINO!$B$2:$M$4838,3,FALSE)</f>
        <v/>
      </c>
      <c r="D295" s="17">
        <f>+VLOOKUP($A295,MAGAZZINO!$B$2:$M$4838,4,FALSE)</f>
        <v/>
      </c>
      <c r="E295" s="17">
        <f>+VLOOKUP($A295,MAGAZZINO!$B$2:$M$4838,5,FALSE)</f>
        <v/>
      </c>
      <c r="F295" s="17">
        <f>+VLOOKUP($A295,MAGAZZINO!$B$2:$M$4838,6,FALSE)</f>
        <v/>
      </c>
      <c r="G295" s="17">
        <f>+VLOOKUP($A295,MAGAZZINO!$B$2:$M$4838,7,FALSE)</f>
        <v/>
      </c>
      <c r="H295" s="17">
        <f>+VLOOKUP($A295,MAGAZZINO!$B$2:$M$4838,8,FALSE)</f>
        <v/>
      </c>
      <c r="I295" s="17">
        <f>+VLOOKUP($A295,MAGAZZINO!$B$2:$M$4838,9,FALSE)</f>
        <v/>
      </c>
      <c r="J295" s="17">
        <f>+VLOOKUP($A295,MAGAZZINO!$B$2:$M$4838,10,FALSE)</f>
        <v/>
      </c>
      <c r="K295" s="17">
        <f>+VLOOKUP($A295,MAGAZZINO!$B$2:$M$4838,11,FALSE)</f>
        <v/>
      </c>
      <c r="L295" s="44">
        <f>+VLOOKUP($A295,MAGAZZINO!$B$2:$M$4838,12,FALSE)</f>
        <v/>
      </c>
    </row>
    <row r="296" ht="36" customHeight="1">
      <c r="A296" s="30">
        <f>+REGISTRO!A279</f>
        <v/>
      </c>
      <c r="B296" s="31">
        <f>+VLOOKUP($A296,MAGAZZINO!$B$2:$M$4838,2,FALSE)</f>
        <v/>
      </c>
      <c r="C296" s="32">
        <f>+VLOOKUP($A296,MAGAZZINO!$B$2:$M$4838,3,FALSE)</f>
        <v/>
      </c>
      <c r="D296" s="17">
        <f>+VLOOKUP($A296,MAGAZZINO!$B$2:$M$4838,4,FALSE)</f>
        <v/>
      </c>
      <c r="E296" s="17">
        <f>+VLOOKUP($A296,MAGAZZINO!$B$2:$M$4838,5,FALSE)</f>
        <v/>
      </c>
      <c r="F296" s="17">
        <f>+VLOOKUP($A296,MAGAZZINO!$B$2:$M$4838,6,FALSE)</f>
        <v/>
      </c>
      <c r="G296" s="17">
        <f>+VLOOKUP($A296,MAGAZZINO!$B$2:$M$4838,7,FALSE)</f>
        <v/>
      </c>
      <c r="H296" s="17">
        <f>+VLOOKUP($A296,MAGAZZINO!$B$2:$M$4838,8,FALSE)</f>
        <v/>
      </c>
      <c r="I296" s="17">
        <f>+VLOOKUP($A296,MAGAZZINO!$B$2:$M$4838,9,FALSE)</f>
        <v/>
      </c>
      <c r="J296" s="17">
        <f>+VLOOKUP($A296,MAGAZZINO!$B$2:$M$4838,10,FALSE)</f>
        <v/>
      </c>
      <c r="K296" s="17">
        <f>+VLOOKUP($A296,MAGAZZINO!$B$2:$M$4838,11,FALSE)</f>
        <v/>
      </c>
      <c r="L296" s="44">
        <f>+VLOOKUP($A296,MAGAZZINO!$B$2:$M$4838,12,FALSE)</f>
        <v/>
      </c>
    </row>
    <row r="297" ht="36" customHeight="1">
      <c r="A297" s="30">
        <f>+REGISTRO!A280</f>
        <v/>
      </c>
      <c r="B297" s="31">
        <f>+VLOOKUP($A297,MAGAZZINO!$B$2:$M$4838,2,FALSE)</f>
        <v/>
      </c>
      <c r="C297" s="32">
        <f>+VLOOKUP($A297,MAGAZZINO!$B$2:$M$4838,3,FALSE)</f>
        <v/>
      </c>
      <c r="D297" s="17">
        <f>+VLOOKUP($A297,MAGAZZINO!$B$2:$M$4838,4,FALSE)</f>
        <v/>
      </c>
      <c r="E297" s="17">
        <f>+VLOOKUP($A297,MAGAZZINO!$B$2:$M$4838,5,FALSE)</f>
        <v/>
      </c>
      <c r="F297" s="17">
        <f>+VLOOKUP($A297,MAGAZZINO!$B$2:$M$4838,6,FALSE)</f>
        <v/>
      </c>
      <c r="G297" s="17">
        <f>+VLOOKUP($A297,MAGAZZINO!$B$2:$M$4838,7,FALSE)</f>
        <v/>
      </c>
      <c r="H297" s="17">
        <f>+VLOOKUP($A297,MAGAZZINO!$B$2:$M$4838,8,FALSE)</f>
        <v/>
      </c>
      <c r="I297" s="17">
        <f>+VLOOKUP($A297,MAGAZZINO!$B$2:$M$4838,9,FALSE)</f>
        <v/>
      </c>
      <c r="J297" s="17">
        <f>+VLOOKUP($A297,MAGAZZINO!$B$2:$M$4838,10,FALSE)</f>
        <v/>
      </c>
      <c r="K297" s="17">
        <f>+VLOOKUP($A297,MAGAZZINO!$B$2:$M$4838,11,FALSE)</f>
        <v/>
      </c>
      <c r="L297" s="44">
        <f>+VLOOKUP($A297,MAGAZZINO!$B$2:$M$4838,12,FALSE)</f>
        <v/>
      </c>
    </row>
    <row r="298" ht="36" customHeight="1">
      <c r="A298" s="30">
        <f>+REGISTRO!A281</f>
        <v/>
      </c>
      <c r="B298" s="31">
        <f>+VLOOKUP($A298,MAGAZZINO!$B$2:$M$4838,2,FALSE)</f>
        <v/>
      </c>
      <c r="C298" s="32">
        <f>+VLOOKUP($A298,MAGAZZINO!$B$2:$M$4838,3,FALSE)</f>
        <v/>
      </c>
      <c r="D298" s="17">
        <f>+VLOOKUP($A298,MAGAZZINO!$B$2:$M$4838,4,FALSE)</f>
        <v/>
      </c>
      <c r="E298" s="17">
        <f>+VLOOKUP($A298,MAGAZZINO!$B$2:$M$4838,5,FALSE)</f>
        <v/>
      </c>
      <c r="F298" s="17">
        <f>+VLOOKUP($A298,MAGAZZINO!$B$2:$M$4838,6,FALSE)</f>
        <v/>
      </c>
      <c r="G298" s="17">
        <f>+VLOOKUP($A298,MAGAZZINO!$B$2:$M$4838,7,FALSE)</f>
        <v/>
      </c>
      <c r="H298" s="17">
        <f>+VLOOKUP($A298,MAGAZZINO!$B$2:$M$4838,8,FALSE)</f>
        <v/>
      </c>
      <c r="I298" s="17">
        <f>+VLOOKUP($A298,MAGAZZINO!$B$2:$M$4838,9,FALSE)</f>
        <v/>
      </c>
      <c r="J298" s="17">
        <f>+VLOOKUP($A298,MAGAZZINO!$B$2:$M$4838,10,FALSE)</f>
        <v/>
      </c>
      <c r="K298" s="17">
        <f>+VLOOKUP($A298,MAGAZZINO!$B$2:$M$4838,11,FALSE)</f>
        <v/>
      </c>
      <c r="L298" s="44">
        <f>+VLOOKUP($A298,MAGAZZINO!$B$2:$M$4838,12,FALSE)</f>
        <v/>
      </c>
    </row>
    <row r="299" ht="36" customHeight="1">
      <c r="A299" s="30">
        <f>+REGISTRO!A282</f>
        <v/>
      </c>
      <c r="B299" s="31">
        <f>+VLOOKUP($A299,MAGAZZINO!$B$2:$M$4838,2,FALSE)</f>
        <v/>
      </c>
      <c r="C299" s="32">
        <f>+VLOOKUP($A299,MAGAZZINO!$B$2:$M$4838,3,FALSE)</f>
        <v/>
      </c>
      <c r="D299" s="17">
        <f>+VLOOKUP($A299,MAGAZZINO!$B$2:$M$4838,4,FALSE)</f>
        <v/>
      </c>
      <c r="E299" s="17">
        <f>+VLOOKUP($A299,MAGAZZINO!$B$2:$M$4838,5,FALSE)</f>
        <v/>
      </c>
      <c r="F299" s="17">
        <f>+VLOOKUP($A299,MAGAZZINO!$B$2:$M$4838,6,FALSE)</f>
        <v/>
      </c>
      <c r="G299" s="17">
        <f>+VLOOKUP($A299,MAGAZZINO!$B$2:$M$4838,7,FALSE)</f>
        <v/>
      </c>
      <c r="H299" s="17">
        <f>+VLOOKUP($A299,MAGAZZINO!$B$2:$M$4838,8,FALSE)</f>
        <v/>
      </c>
      <c r="I299" s="17">
        <f>+VLOOKUP($A299,MAGAZZINO!$B$2:$M$4838,9,FALSE)</f>
        <v/>
      </c>
      <c r="J299" s="17">
        <f>+VLOOKUP($A299,MAGAZZINO!$B$2:$M$4838,10,FALSE)</f>
        <v/>
      </c>
      <c r="K299" s="17">
        <f>+VLOOKUP($A299,MAGAZZINO!$B$2:$M$4838,11,FALSE)</f>
        <v/>
      </c>
      <c r="L299" s="44">
        <f>+VLOOKUP($A299,MAGAZZINO!$B$2:$M$4838,12,FALSE)</f>
        <v/>
      </c>
    </row>
    <row r="300" ht="36" customHeight="1">
      <c r="A300" s="30">
        <f>+REGISTRO!A283</f>
        <v/>
      </c>
      <c r="B300" s="31">
        <f>+VLOOKUP($A300,MAGAZZINO!$B$2:$M$4838,2,FALSE)</f>
        <v/>
      </c>
      <c r="C300" s="32">
        <f>+VLOOKUP($A300,MAGAZZINO!$B$2:$M$4838,3,FALSE)</f>
        <v/>
      </c>
      <c r="D300" s="17">
        <f>+VLOOKUP($A300,MAGAZZINO!$B$2:$M$4838,4,FALSE)</f>
        <v/>
      </c>
      <c r="E300" s="17">
        <f>+VLOOKUP($A300,MAGAZZINO!$B$2:$M$4838,5,FALSE)</f>
        <v/>
      </c>
      <c r="F300" s="17">
        <f>+VLOOKUP($A300,MAGAZZINO!$B$2:$M$4838,6,FALSE)</f>
        <v/>
      </c>
      <c r="G300" s="17">
        <f>+VLOOKUP($A300,MAGAZZINO!$B$2:$M$4838,7,FALSE)</f>
        <v/>
      </c>
      <c r="H300" s="17">
        <f>+VLOOKUP($A300,MAGAZZINO!$B$2:$M$4838,8,FALSE)</f>
        <v/>
      </c>
      <c r="I300" s="17">
        <f>+VLOOKUP($A300,MAGAZZINO!$B$2:$M$4838,9,FALSE)</f>
        <v/>
      </c>
      <c r="J300" s="17">
        <f>+VLOOKUP($A300,MAGAZZINO!$B$2:$M$4838,10,FALSE)</f>
        <v/>
      </c>
      <c r="K300" s="17">
        <f>+VLOOKUP($A300,MAGAZZINO!$B$2:$M$4838,11,FALSE)</f>
        <v/>
      </c>
      <c r="L300" s="44">
        <f>+VLOOKUP($A300,MAGAZZINO!$B$2:$M$4838,12,FALSE)</f>
        <v/>
      </c>
    </row>
    <row r="301" ht="36" customHeight="1">
      <c r="A301" s="30">
        <f>+REGISTRO!A284</f>
        <v/>
      </c>
      <c r="B301" s="31">
        <f>+VLOOKUP($A301,MAGAZZINO!$B$2:$M$4838,2,FALSE)</f>
        <v/>
      </c>
      <c r="C301" s="32">
        <f>+VLOOKUP($A301,MAGAZZINO!$B$2:$M$4838,3,FALSE)</f>
        <v/>
      </c>
      <c r="D301" s="17">
        <f>+VLOOKUP($A301,MAGAZZINO!$B$2:$M$4838,4,FALSE)</f>
        <v/>
      </c>
      <c r="E301" s="17">
        <f>+VLOOKUP($A301,MAGAZZINO!$B$2:$M$4838,5,FALSE)</f>
        <v/>
      </c>
      <c r="F301" s="17">
        <f>+VLOOKUP($A301,MAGAZZINO!$B$2:$M$4838,6,FALSE)</f>
        <v/>
      </c>
      <c r="G301" s="17">
        <f>+VLOOKUP($A301,MAGAZZINO!$B$2:$M$4838,7,FALSE)</f>
        <v/>
      </c>
      <c r="H301" s="17">
        <f>+VLOOKUP($A301,MAGAZZINO!$B$2:$M$4838,8,FALSE)</f>
        <v/>
      </c>
      <c r="I301" s="17">
        <f>+VLOOKUP($A301,MAGAZZINO!$B$2:$M$4838,9,FALSE)</f>
        <v/>
      </c>
      <c r="J301" s="17">
        <f>+VLOOKUP($A301,MAGAZZINO!$B$2:$M$4838,10,FALSE)</f>
        <v/>
      </c>
      <c r="K301" s="17">
        <f>+VLOOKUP($A301,MAGAZZINO!$B$2:$M$4838,11,FALSE)</f>
        <v/>
      </c>
      <c r="L301" s="44">
        <f>+VLOOKUP($A301,MAGAZZINO!$B$2:$M$4838,12,FALSE)</f>
        <v/>
      </c>
    </row>
    <row r="302" ht="36" customHeight="1">
      <c r="A302" s="30">
        <f>+REGISTRO!A285</f>
        <v/>
      </c>
      <c r="B302" s="31">
        <f>+VLOOKUP($A302,MAGAZZINO!$B$2:$M$4838,2,FALSE)</f>
        <v/>
      </c>
      <c r="C302" s="32">
        <f>+VLOOKUP($A302,MAGAZZINO!$B$2:$M$4838,3,FALSE)</f>
        <v/>
      </c>
      <c r="D302" s="17">
        <f>+VLOOKUP($A302,MAGAZZINO!$B$2:$M$4838,4,FALSE)</f>
        <v/>
      </c>
      <c r="E302" s="17">
        <f>+VLOOKUP($A302,MAGAZZINO!$B$2:$M$4838,5,FALSE)</f>
        <v/>
      </c>
      <c r="F302" s="17">
        <f>+VLOOKUP($A302,MAGAZZINO!$B$2:$M$4838,6,FALSE)</f>
        <v/>
      </c>
      <c r="G302" s="17">
        <f>+VLOOKUP($A302,MAGAZZINO!$B$2:$M$4838,7,FALSE)</f>
        <v/>
      </c>
      <c r="H302" s="17">
        <f>+VLOOKUP($A302,MAGAZZINO!$B$2:$M$4838,8,FALSE)</f>
        <v/>
      </c>
      <c r="I302" s="17">
        <f>+VLOOKUP($A302,MAGAZZINO!$B$2:$M$4838,9,FALSE)</f>
        <v/>
      </c>
      <c r="J302" s="17">
        <f>+VLOOKUP($A302,MAGAZZINO!$B$2:$M$4838,10,FALSE)</f>
        <v/>
      </c>
      <c r="K302" s="17">
        <f>+VLOOKUP($A302,MAGAZZINO!$B$2:$M$4838,11,FALSE)</f>
        <v/>
      </c>
      <c r="L302" s="44">
        <f>+VLOOKUP($A302,MAGAZZINO!$B$2:$M$4838,12,FALSE)</f>
        <v/>
      </c>
    </row>
    <row r="303" ht="36" customHeight="1">
      <c r="A303" s="30">
        <f>+REGISTRO!A286</f>
        <v/>
      </c>
      <c r="B303" s="31">
        <f>+VLOOKUP($A303,MAGAZZINO!$B$2:$M$4838,2,FALSE)</f>
        <v/>
      </c>
      <c r="C303" s="32">
        <f>+VLOOKUP($A303,MAGAZZINO!$B$2:$M$4838,3,FALSE)</f>
        <v/>
      </c>
      <c r="D303" s="17">
        <f>+VLOOKUP($A303,MAGAZZINO!$B$2:$M$4838,4,FALSE)</f>
        <v/>
      </c>
      <c r="E303" s="17">
        <f>+VLOOKUP($A303,MAGAZZINO!$B$2:$M$4838,5,FALSE)</f>
        <v/>
      </c>
      <c r="F303" s="17">
        <f>+VLOOKUP($A303,MAGAZZINO!$B$2:$M$4838,6,FALSE)</f>
        <v/>
      </c>
      <c r="G303" s="17">
        <f>+VLOOKUP($A303,MAGAZZINO!$B$2:$M$4838,7,FALSE)</f>
        <v/>
      </c>
      <c r="H303" s="17">
        <f>+VLOOKUP($A303,MAGAZZINO!$B$2:$M$4838,8,FALSE)</f>
        <v/>
      </c>
      <c r="I303" s="17">
        <f>+VLOOKUP($A303,MAGAZZINO!$B$2:$M$4838,9,FALSE)</f>
        <v/>
      </c>
      <c r="J303" s="17">
        <f>+VLOOKUP($A303,MAGAZZINO!$B$2:$M$4838,10,FALSE)</f>
        <v/>
      </c>
      <c r="K303" s="17">
        <f>+VLOOKUP($A303,MAGAZZINO!$B$2:$M$4838,11,FALSE)</f>
        <v/>
      </c>
      <c r="L303" s="44">
        <f>+VLOOKUP($A303,MAGAZZINO!$B$2:$M$4838,12,FALSE)</f>
        <v/>
      </c>
    </row>
    <row r="304" ht="36" customHeight="1">
      <c r="A304" s="30">
        <f>+REGISTRO!A287</f>
        <v/>
      </c>
      <c r="B304" s="31">
        <f>+VLOOKUP($A304,MAGAZZINO!$B$2:$M$4838,2,FALSE)</f>
        <v/>
      </c>
      <c r="C304" s="32">
        <f>+VLOOKUP($A304,MAGAZZINO!$B$2:$M$4838,3,FALSE)</f>
        <v/>
      </c>
      <c r="D304" s="17">
        <f>+VLOOKUP($A304,MAGAZZINO!$B$2:$M$4838,4,FALSE)</f>
        <v/>
      </c>
      <c r="E304" s="17">
        <f>+VLOOKUP($A304,MAGAZZINO!$B$2:$M$4838,5,FALSE)</f>
        <v/>
      </c>
      <c r="F304" s="17">
        <f>+VLOOKUP($A304,MAGAZZINO!$B$2:$M$4838,6,FALSE)</f>
        <v/>
      </c>
      <c r="G304" s="17">
        <f>+VLOOKUP($A304,MAGAZZINO!$B$2:$M$4838,7,FALSE)</f>
        <v/>
      </c>
      <c r="H304" s="17">
        <f>+VLOOKUP($A304,MAGAZZINO!$B$2:$M$4838,8,FALSE)</f>
        <v/>
      </c>
      <c r="I304" s="17">
        <f>+VLOOKUP($A304,MAGAZZINO!$B$2:$M$4838,9,FALSE)</f>
        <v/>
      </c>
      <c r="J304" s="17">
        <f>+VLOOKUP($A304,MAGAZZINO!$B$2:$M$4838,10,FALSE)</f>
        <v/>
      </c>
      <c r="K304" s="17">
        <f>+VLOOKUP($A304,MAGAZZINO!$B$2:$M$4838,11,FALSE)</f>
        <v/>
      </c>
      <c r="L304" s="44">
        <f>+VLOOKUP($A304,MAGAZZINO!$B$2:$M$4838,12,FALSE)</f>
        <v/>
      </c>
    </row>
    <row r="305" ht="36" customHeight="1">
      <c r="A305" s="30">
        <f>+REGISTRO!A288</f>
        <v/>
      </c>
      <c r="B305" s="31">
        <f>+VLOOKUP($A305,MAGAZZINO!$B$2:$M$4838,2,FALSE)</f>
        <v/>
      </c>
      <c r="C305" s="32">
        <f>+VLOOKUP($A305,MAGAZZINO!$B$2:$M$4838,3,FALSE)</f>
        <v/>
      </c>
      <c r="D305" s="17">
        <f>+VLOOKUP($A305,MAGAZZINO!$B$2:$M$4838,4,FALSE)</f>
        <v/>
      </c>
      <c r="E305" s="17">
        <f>+VLOOKUP($A305,MAGAZZINO!$B$2:$M$4838,5,FALSE)</f>
        <v/>
      </c>
      <c r="F305" s="17">
        <f>+VLOOKUP($A305,MAGAZZINO!$B$2:$M$4838,6,FALSE)</f>
        <v/>
      </c>
      <c r="G305" s="17">
        <f>+VLOOKUP($A305,MAGAZZINO!$B$2:$M$4838,7,FALSE)</f>
        <v/>
      </c>
      <c r="H305" s="17">
        <f>+VLOOKUP($A305,MAGAZZINO!$B$2:$M$4838,8,FALSE)</f>
        <v/>
      </c>
      <c r="I305" s="17">
        <f>+VLOOKUP($A305,MAGAZZINO!$B$2:$M$4838,9,FALSE)</f>
        <v/>
      </c>
      <c r="J305" s="17">
        <f>+VLOOKUP($A305,MAGAZZINO!$B$2:$M$4838,10,FALSE)</f>
        <v/>
      </c>
      <c r="K305" s="17">
        <f>+VLOOKUP($A305,MAGAZZINO!$B$2:$M$4838,11,FALSE)</f>
        <v/>
      </c>
      <c r="L305" s="44">
        <f>+VLOOKUP($A305,MAGAZZINO!$B$2:$M$4838,12,FALSE)</f>
        <v/>
      </c>
    </row>
    <row r="306" ht="36" customHeight="1">
      <c r="A306" s="30">
        <f>+REGISTRO!A289</f>
        <v/>
      </c>
      <c r="B306" s="31">
        <f>+VLOOKUP($A306,MAGAZZINO!$B$2:$M$4838,2,FALSE)</f>
        <v/>
      </c>
      <c r="C306" s="32">
        <f>+VLOOKUP($A306,MAGAZZINO!$B$2:$M$4838,3,FALSE)</f>
        <v/>
      </c>
      <c r="D306" s="17">
        <f>+VLOOKUP($A306,MAGAZZINO!$B$2:$M$4838,4,FALSE)</f>
        <v/>
      </c>
      <c r="E306" s="17">
        <f>+VLOOKUP($A306,MAGAZZINO!$B$2:$M$4838,5,FALSE)</f>
        <v/>
      </c>
      <c r="F306" s="17">
        <f>+VLOOKUP($A306,MAGAZZINO!$B$2:$M$4838,6,FALSE)</f>
        <v/>
      </c>
      <c r="G306" s="17">
        <f>+VLOOKUP($A306,MAGAZZINO!$B$2:$M$4838,7,FALSE)</f>
        <v/>
      </c>
      <c r="H306" s="17">
        <f>+VLOOKUP($A306,MAGAZZINO!$B$2:$M$4838,8,FALSE)</f>
        <v/>
      </c>
      <c r="I306" s="17">
        <f>+VLOOKUP($A306,MAGAZZINO!$B$2:$M$4838,9,FALSE)</f>
        <v/>
      </c>
      <c r="J306" s="17">
        <f>+VLOOKUP($A306,MAGAZZINO!$B$2:$M$4838,10,FALSE)</f>
        <v/>
      </c>
      <c r="K306" s="17">
        <f>+VLOOKUP($A306,MAGAZZINO!$B$2:$M$4838,11,FALSE)</f>
        <v/>
      </c>
      <c r="L306" s="44">
        <f>+VLOOKUP($A306,MAGAZZINO!$B$2:$M$4838,12,FALSE)</f>
        <v/>
      </c>
    </row>
    <row r="307" ht="36" customHeight="1">
      <c r="A307" s="30">
        <f>+REGISTRO!A290</f>
        <v/>
      </c>
      <c r="B307" s="31">
        <f>+VLOOKUP($A307,MAGAZZINO!$B$2:$M$4838,2,FALSE)</f>
        <v/>
      </c>
      <c r="C307" s="32">
        <f>+VLOOKUP($A307,MAGAZZINO!$B$2:$M$4838,3,FALSE)</f>
        <v/>
      </c>
      <c r="D307" s="17">
        <f>+VLOOKUP($A307,MAGAZZINO!$B$2:$M$4838,4,FALSE)</f>
        <v/>
      </c>
      <c r="E307" s="17">
        <f>+VLOOKUP($A307,MAGAZZINO!$B$2:$M$4838,5,FALSE)</f>
        <v/>
      </c>
      <c r="F307" s="17">
        <f>+VLOOKUP($A307,MAGAZZINO!$B$2:$M$4838,6,FALSE)</f>
        <v/>
      </c>
      <c r="G307" s="17">
        <f>+VLOOKUP($A307,MAGAZZINO!$B$2:$M$4838,7,FALSE)</f>
        <v/>
      </c>
      <c r="H307" s="17">
        <f>+VLOOKUP($A307,MAGAZZINO!$B$2:$M$4838,8,FALSE)</f>
        <v/>
      </c>
      <c r="I307" s="17">
        <f>+VLOOKUP($A307,MAGAZZINO!$B$2:$M$4838,9,FALSE)</f>
        <v/>
      </c>
      <c r="J307" s="17">
        <f>+VLOOKUP($A307,MAGAZZINO!$B$2:$M$4838,10,FALSE)</f>
        <v/>
      </c>
      <c r="K307" s="17">
        <f>+VLOOKUP($A307,MAGAZZINO!$B$2:$M$4838,11,FALSE)</f>
        <v/>
      </c>
      <c r="L307" s="44">
        <f>+VLOOKUP($A307,MAGAZZINO!$B$2:$M$4838,12,FALSE)</f>
        <v/>
      </c>
    </row>
    <row r="308" ht="36" customHeight="1">
      <c r="A308" s="30">
        <f>+REGISTRO!A291</f>
        <v/>
      </c>
      <c r="B308" s="31">
        <f>+VLOOKUP($A308,MAGAZZINO!$B$2:$M$4838,2,FALSE)</f>
        <v/>
      </c>
      <c r="C308" s="32">
        <f>+VLOOKUP($A308,MAGAZZINO!$B$2:$M$4838,3,FALSE)</f>
        <v/>
      </c>
      <c r="D308" s="17">
        <f>+VLOOKUP($A308,MAGAZZINO!$B$2:$M$4838,4,FALSE)</f>
        <v/>
      </c>
      <c r="E308" s="17">
        <f>+VLOOKUP($A308,MAGAZZINO!$B$2:$M$4838,5,FALSE)</f>
        <v/>
      </c>
      <c r="F308" s="17">
        <f>+VLOOKUP($A308,MAGAZZINO!$B$2:$M$4838,6,FALSE)</f>
        <v/>
      </c>
      <c r="G308" s="17">
        <f>+VLOOKUP($A308,MAGAZZINO!$B$2:$M$4838,7,FALSE)</f>
        <v/>
      </c>
      <c r="H308" s="17">
        <f>+VLOOKUP($A308,MAGAZZINO!$B$2:$M$4838,8,FALSE)</f>
        <v/>
      </c>
      <c r="I308" s="17">
        <f>+VLOOKUP($A308,MAGAZZINO!$B$2:$M$4838,9,FALSE)</f>
        <v/>
      </c>
      <c r="J308" s="17">
        <f>+VLOOKUP($A308,MAGAZZINO!$B$2:$M$4838,10,FALSE)</f>
        <v/>
      </c>
      <c r="K308" s="17">
        <f>+VLOOKUP($A308,MAGAZZINO!$B$2:$M$4838,11,FALSE)</f>
        <v/>
      </c>
      <c r="L308" s="44">
        <f>+VLOOKUP($A308,MAGAZZINO!$B$2:$M$4838,12,FALSE)</f>
        <v/>
      </c>
    </row>
    <row r="309" ht="36" customHeight="1">
      <c r="A309" s="30">
        <f>+REGISTRO!A292</f>
        <v/>
      </c>
      <c r="B309" s="31">
        <f>+VLOOKUP($A309,MAGAZZINO!$B$2:$M$4838,2,FALSE)</f>
        <v/>
      </c>
      <c r="C309" s="32">
        <f>+VLOOKUP($A309,MAGAZZINO!$B$2:$M$4838,3,FALSE)</f>
        <v/>
      </c>
      <c r="D309" s="17">
        <f>+VLOOKUP($A309,MAGAZZINO!$B$2:$M$4838,4,FALSE)</f>
        <v/>
      </c>
      <c r="E309" s="17">
        <f>+VLOOKUP($A309,MAGAZZINO!$B$2:$M$4838,5,FALSE)</f>
        <v/>
      </c>
      <c r="F309" s="17">
        <f>+VLOOKUP($A309,MAGAZZINO!$B$2:$M$4838,6,FALSE)</f>
        <v/>
      </c>
      <c r="G309" s="17">
        <f>+VLOOKUP($A309,MAGAZZINO!$B$2:$M$4838,7,FALSE)</f>
        <v/>
      </c>
      <c r="H309" s="17">
        <f>+VLOOKUP($A309,MAGAZZINO!$B$2:$M$4838,8,FALSE)</f>
        <v/>
      </c>
      <c r="I309" s="17">
        <f>+VLOOKUP($A309,MAGAZZINO!$B$2:$M$4838,9,FALSE)</f>
        <v/>
      </c>
      <c r="J309" s="17">
        <f>+VLOOKUP($A309,MAGAZZINO!$B$2:$M$4838,10,FALSE)</f>
        <v/>
      </c>
      <c r="K309" s="17">
        <f>+VLOOKUP($A309,MAGAZZINO!$B$2:$M$4838,11,FALSE)</f>
        <v/>
      </c>
      <c r="L309" s="44">
        <f>+VLOOKUP($A309,MAGAZZINO!$B$2:$M$4838,12,FALSE)</f>
        <v/>
      </c>
    </row>
    <row r="310" ht="36" customHeight="1">
      <c r="A310" s="30">
        <f>+REGISTRO!A293</f>
        <v/>
      </c>
      <c r="B310" s="31">
        <f>+VLOOKUP($A310,MAGAZZINO!$B$2:$M$4838,2,FALSE)</f>
        <v/>
      </c>
      <c r="C310" s="32">
        <f>+VLOOKUP($A310,MAGAZZINO!$B$2:$M$4838,3,FALSE)</f>
        <v/>
      </c>
      <c r="D310" s="17">
        <f>+VLOOKUP($A310,MAGAZZINO!$B$2:$M$4838,4,FALSE)</f>
        <v/>
      </c>
      <c r="E310" s="17">
        <f>+VLOOKUP($A310,MAGAZZINO!$B$2:$M$4838,5,FALSE)</f>
        <v/>
      </c>
      <c r="F310" s="17">
        <f>+VLOOKUP($A310,MAGAZZINO!$B$2:$M$4838,6,FALSE)</f>
        <v/>
      </c>
      <c r="G310" s="17">
        <f>+VLOOKUP($A310,MAGAZZINO!$B$2:$M$4838,7,FALSE)</f>
        <v/>
      </c>
      <c r="H310" s="17">
        <f>+VLOOKUP($A310,MAGAZZINO!$B$2:$M$4838,8,FALSE)</f>
        <v/>
      </c>
      <c r="I310" s="17">
        <f>+VLOOKUP($A310,MAGAZZINO!$B$2:$M$4838,9,FALSE)</f>
        <v/>
      </c>
      <c r="J310" s="17">
        <f>+VLOOKUP($A310,MAGAZZINO!$B$2:$M$4838,10,FALSE)</f>
        <v/>
      </c>
      <c r="K310" s="17">
        <f>+VLOOKUP($A310,MAGAZZINO!$B$2:$M$4838,11,FALSE)</f>
        <v/>
      </c>
      <c r="L310" s="44">
        <f>+VLOOKUP($A310,MAGAZZINO!$B$2:$M$4838,12,FALSE)</f>
        <v/>
      </c>
    </row>
    <row r="311" ht="36" customHeight="1">
      <c r="A311" s="30">
        <f>+REGISTRO!A294</f>
        <v/>
      </c>
      <c r="B311" s="31">
        <f>+VLOOKUP($A311,MAGAZZINO!$B$2:$M$4838,2,FALSE)</f>
        <v/>
      </c>
      <c r="C311" s="32">
        <f>+VLOOKUP($A311,MAGAZZINO!$B$2:$M$4838,3,FALSE)</f>
        <v/>
      </c>
      <c r="D311" s="17">
        <f>+VLOOKUP($A311,MAGAZZINO!$B$2:$M$4838,4,FALSE)</f>
        <v/>
      </c>
      <c r="E311" s="17">
        <f>+VLOOKUP($A311,MAGAZZINO!$B$2:$M$4838,5,FALSE)</f>
        <v/>
      </c>
      <c r="F311" s="17">
        <f>+VLOOKUP($A311,MAGAZZINO!$B$2:$M$4838,6,FALSE)</f>
        <v/>
      </c>
      <c r="G311" s="17">
        <f>+VLOOKUP($A311,MAGAZZINO!$B$2:$M$4838,7,FALSE)</f>
        <v/>
      </c>
      <c r="H311" s="17">
        <f>+VLOOKUP($A311,MAGAZZINO!$B$2:$M$4838,8,FALSE)</f>
        <v/>
      </c>
      <c r="I311" s="17">
        <f>+VLOOKUP($A311,MAGAZZINO!$B$2:$M$4838,9,FALSE)</f>
        <v/>
      </c>
      <c r="J311" s="17">
        <f>+VLOOKUP($A311,MAGAZZINO!$B$2:$M$4838,10,FALSE)</f>
        <v/>
      </c>
      <c r="K311" s="17">
        <f>+VLOOKUP($A311,MAGAZZINO!$B$2:$M$4838,11,FALSE)</f>
        <v/>
      </c>
      <c r="L311" s="44">
        <f>+VLOOKUP($A311,MAGAZZINO!$B$2:$M$4838,12,FALSE)</f>
        <v/>
      </c>
    </row>
    <row r="312" ht="36" customHeight="1">
      <c r="A312" s="30">
        <f>+REGISTRO!A295</f>
        <v/>
      </c>
      <c r="B312" s="31">
        <f>+VLOOKUP($A312,MAGAZZINO!$B$2:$M$4838,2,FALSE)</f>
        <v/>
      </c>
      <c r="C312" s="32">
        <f>+VLOOKUP($A312,MAGAZZINO!$B$2:$M$4838,3,FALSE)</f>
        <v/>
      </c>
      <c r="D312" s="17">
        <f>+VLOOKUP($A312,MAGAZZINO!$B$2:$M$4838,4,FALSE)</f>
        <v/>
      </c>
      <c r="E312" s="17">
        <f>+VLOOKUP($A312,MAGAZZINO!$B$2:$M$4838,5,FALSE)</f>
        <v/>
      </c>
      <c r="F312" s="17">
        <f>+VLOOKUP($A312,MAGAZZINO!$B$2:$M$4838,6,FALSE)</f>
        <v/>
      </c>
      <c r="G312" s="17">
        <f>+VLOOKUP($A312,MAGAZZINO!$B$2:$M$4838,7,FALSE)</f>
        <v/>
      </c>
      <c r="H312" s="17">
        <f>+VLOOKUP($A312,MAGAZZINO!$B$2:$M$4838,8,FALSE)</f>
        <v/>
      </c>
      <c r="I312" s="17">
        <f>+VLOOKUP($A312,MAGAZZINO!$B$2:$M$4838,9,FALSE)</f>
        <v/>
      </c>
      <c r="J312" s="17">
        <f>+VLOOKUP($A312,MAGAZZINO!$B$2:$M$4838,10,FALSE)</f>
        <v/>
      </c>
      <c r="K312" s="17">
        <f>+VLOOKUP($A312,MAGAZZINO!$B$2:$M$4838,11,FALSE)</f>
        <v/>
      </c>
      <c r="L312" s="44">
        <f>+VLOOKUP($A312,MAGAZZINO!$B$2:$M$4838,12,FALSE)</f>
        <v/>
      </c>
    </row>
    <row r="313" ht="36" customHeight="1">
      <c r="A313" s="30">
        <f>+REGISTRO!A296</f>
        <v/>
      </c>
      <c r="B313" s="31">
        <f>+VLOOKUP($A313,MAGAZZINO!$B$2:$M$4838,2,FALSE)</f>
        <v/>
      </c>
      <c r="C313" s="32">
        <f>+VLOOKUP($A313,MAGAZZINO!$B$2:$M$4838,3,FALSE)</f>
        <v/>
      </c>
      <c r="D313" s="17">
        <f>+VLOOKUP($A313,MAGAZZINO!$B$2:$M$4838,4,FALSE)</f>
        <v/>
      </c>
      <c r="E313" s="17">
        <f>+VLOOKUP($A313,MAGAZZINO!$B$2:$M$4838,5,FALSE)</f>
        <v/>
      </c>
      <c r="F313" s="17">
        <f>+VLOOKUP($A313,MAGAZZINO!$B$2:$M$4838,6,FALSE)</f>
        <v/>
      </c>
      <c r="G313" s="17">
        <f>+VLOOKUP($A313,MAGAZZINO!$B$2:$M$4838,7,FALSE)</f>
        <v/>
      </c>
      <c r="H313" s="17">
        <f>+VLOOKUP($A313,MAGAZZINO!$B$2:$M$4838,8,FALSE)</f>
        <v/>
      </c>
      <c r="I313" s="17">
        <f>+VLOOKUP($A313,MAGAZZINO!$B$2:$M$4838,9,FALSE)</f>
        <v/>
      </c>
      <c r="J313" s="17">
        <f>+VLOOKUP($A313,MAGAZZINO!$B$2:$M$4838,10,FALSE)</f>
        <v/>
      </c>
      <c r="K313" s="17">
        <f>+VLOOKUP($A313,MAGAZZINO!$B$2:$M$4838,11,FALSE)</f>
        <v/>
      </c>
      <c r="L313" s="44">
        <f>+VLOOKUP($A313,MAGAZZINO!$B$2:$M$4838,12,FALSE)</f>
        <v/>
      </c>
    </row>
    <row r="314" ht="36" customHeight="1">
      <c r="A314" s="30">
        <f>+REGISTRO!A297</f>
        <v/>
      </c>
      <c r="B314" s="31">
        <f>+VLOOKUP($A314,MAGAZZINO!$B$2:$M$4838,2,FALSE)</f>
        <v/>
      </c>
      <c r="C314" s="32">
        <f>+VLOOKUP($A314,MAGAZZINO!$B$2:$M$4838,3,FALSE)</f>
        <v/>
      </c>
      <c r="D314" s="17">
        <f>+VLOOKUP($A314,MAGAZZINO!$B$2:$M$4838,4,FALSE)</f>
        <v/>
      </c>
      <c r="E314" s="17">
        <f>+VLOOKUP($A314,MAGAZZINO!$B$2:$M$4838,5,FALSE)</f>
        <v/>
      </c>
      <c r="F314" s="17">
        <f>+VLOOKUP($A314,MAGAZZINO!$B$2:$M$4838,6,FALSE)</f>
        <v/>
      </c>
      <c r="G314" s="17">
        <f>+VLOOKUP($A314,MAGAZZINO!$B$2:$M$4838,7,FALSE)</f>
        <v/>
      </c>
      <c r="H314" s="17">
        <f>+VLOOKUP($A314,MAGAZZINO!$B$2:$M$4838,8,FALSE)</f>
        <v/>
      </c>
      <c r="I314" s="17">
        <f>+VLOOKUP($A314,MAGAZZINO!$B$2:$M$4838,9,FALSE)</f>
        <v/>
      </c>
      <c r="J314" s="17">
        <f>+VLOOKUP($A314,MAGAZZINO!$B$2:$M$4838,10,FALSE)</f>
        <v/>
      </c>
      <c r="K314" s="17">
        <f>+VLOOKUP($A314,MAGAZZINO!$B$2:$M$4838,11,FALSE)</f>
        <v/>
      </c>
      <c r="L314" s="44">
        <f>+VLOOKUP($A314,MAGAZZINO!$B$2:$M$4838,12,FALSE)</f>
        <v/>
      </c>
    </row>
    <row r="315" ht="36" customHeight="1">
      <c r="A315" s="30">
        <f>+REGISTRO!A298</f>
        <v/>
      </c>
      <c r="B315" s="31">
        <f>+VLOOKUP($A315,MAGAZZINO!$B$2:$M$4838,2,FALSE)</f>
        <v/>
      </c>
      <c r="C315" s="32">
        <f>+VLOOKUP($A315,MAGAZZINO!$B$2:$M$4838,3,FALSE)</f>
        <v/>
      </c>
      <c r="D315" s="17">
        <f>+VLOOKUP($A315,MAGAZZINO!$B$2:$M$4838,4,FALSE)</f>
        <v/>
      </c>
      <c r="E315" s="17">
        <f>+VLOOKUP($A315,MAGAZZINO!$B$2:$M$4838,5,FALSE)</f>
        <v/>
      </c>
      <c r="F315" s="17">
        <f>+VLOOKUP($A315,MAGAZZINO!$B$2:$M$4838,6,FALSE)</f>
        <v/>
      </c>
      <c r="G315" s="17">
        <f>+VLOOKUP($A315,MAGAZZINO!$B$2:$M$4838,7,FALSE)</f>
        <v/>
      </c>
      <c r="H315" s="17">
        <f>+VLOOKUP($A315,MAGAZZINO!$B$2:$M$4838,8,FALSE)</f>
        <v/>
      </c>
      <c r="I315" s="17">
        <f>+VLOOKUP($A315,MAGAZZINO!$B$2:$M$4838,9,FALSE)</f>
        <v/>
      </c>
      <c r="J315" s="17">
        <f>+VLOOKUP($A315,MAGAZZINO!$B$2:$M$4838,10,FALSE)</f>
        <v/>
      </c>
      <c r="K315" s="17">
        <f>+VLOOKUP($A315,MAGAZZINO!$B$2:$M$4838,11,FALSE)</f>
        <v/>
      </c>
      <c r="L315" s="44">
        <f>+VLOOKUP($A315,MAGAZZINO!$B$2:$M$4838,12,FALSE)</f>
        <v/>
      </c>
    </row>
    <row r="316" ht="36" customHeight="1">
      <c r="A316" s="30">
        <f>+REGISTRO!A299</f>
        <v/>
      </c>
      <c r="B316" s="31">
        <f>+VLOOKUP($A316,MAGAZZINO!$B$2:$M$4838,2,FALSE)</f>
        <v/>
      </c>
      <c r="C316" s="32">
        <f>+VLOOKUP($A316,MAGAZZINO!$B$2:$M$4838,3,FALSE)</f>
        <v/>
      </c>
      <c r="D316" s="17">
        <f>+VLOOKUP($A316,MAGAZZINO!$B$2:$M$4838,4,FALSE)</f>
        <v/>
      </c>
      <c r="E316" s="17">
        <f>+VLOOKUP($A316,MAGAZZINO!$B$2:$M$4838,5,FALSE)</f>
        <v/>
      </c>
      <c r="F316" s="17">
        <f>+VLOOKUP($A316,MAGAZZINO!$B$2:$M$4838,6,FALSE)</f>
        <v/>
      </c>
      <c r="G316" s="17">
        <f>+VLOOKUP($A316,MAGAZZINO!$B$2:$M$4838,7,FALSE)</f>
        <v/>
      </c>
      <c r="H316" s="17">
        <f>+VLOOKUP($A316,MAGAZZINO!$B$2:$M$4838,8,FALSE)</f>
        <v/>
      </c>
      <c r="I316" s="17">
        <f>+VLOOKUP($A316,MAGAZZINO!$B$2:$M$4838,9,FALSE)</f>
        <v/>
      </c>
      <c r="J316" s="17">
        <f>+VLOOKUP($A316,MAGAZZINO!$B$2:$M$4838,10,FALSE)</f>
        <v/>
      </c>
      <c r="K316" s="17">
        <f>+VLOOKUP($A316,MAGAZZINO!$B$2:$M$4838,11,FALSE)</f>
        <v/>
      </c>
      <c r="L316" s="44">
        <f>+VLOOKUP($A316,MAGAZZINO!$B$2:$M$4838,12,FALSE)</f>
        <v/>
      </c>
    </row>
    <row r="317" ht="36" customHeight="1">
      <c r="A317" s="30">
        <f>+REGISTRO!A300</f>
        <v/>
      </c>
      <c r="B317" s="31">
        <f>+VLOOKUP($A317,MAGAZZINO!$B$2:$M$4838,2,FALSE)</f>
        <v/>
      </c>
      <c r="C317" s="32">
        <f>+VLOOKUP($A317,MAGAZZINO!$B$2:$M$4838,3,FALSE)</f>
        <v/>
      </c>
      <c r="D317" s="17">
        <f>+VLOOKUP($A317,MAGAZZINO!$B$2:$M$4838,4,FALSE)</f>
        <v/>
      </c>
      <c r="E317" s="17">
        <f>+VLOOKUP($A317,MAGAZZINO!$B$2:$M$4838,5,FALSE)</f>
        <v/>
      </c>
      <c r="F317" s="17">
        <f>+VLOOKUP($A317,MAGAZZINO!$B$2:$M$4838,6,FALSE)</f>
        <v/>
      </c>
      <c r="G317" s="17">
        <f>+VLOOKUP($A317,MAGAZZINO!$B$2:$M$4838,7,FALSE)</f>
        <v/>
      </c>
      <c r="H317" s="17">
        <f>+VLOOKUP($A317,MAGAZZINO!$B$2:$M$4838,8,FALSE)</f>
        <v/>
      </c>
      <c r="I317" s="17">
        <f>+VLOOKUP($A317,MAGAZZINO!$B$2:$M$4838,9,FALSE)</f>
        <v/>
      </c>
      <c r="J317" s="17">
        <f>+VLOOKUP($A317,MAGAZZINO!$B$2:$M$4838,10,FALSE)</f>
        <v/>
      </c>
      <c r="K317" s="17">
        <f>+VLOOKUP($A317,MAGAZZINO!$B$2:$M$4838,11,FALSE)</f>
        <v/>
      </c>
      <c r="L317" s="44">
        <f>+VLOOKUP($A317,MAGAZZINO!$B$2:$M$4838,12,FALSE)</f>
        <v/>
      </c>
    </row>
    <row r="318" ht="36" customHeight="1">
      <c r="A318" s="30">
        <f>+REGISTRO!A301</f>
        <v/>
      </c>
      <c r="B318" s="31">
        <f>+VLOOKUP($A318,MAGAZZINO!$B$2:$M$4838,2,FALSE)</f>
        <v/>
      </c>
      <c r="C318" s="32">
        <f>+VLOOKUP($A318,MAGAZZINO!$B$2:$M$4838,3,FALSE)</f>
        <v/>
      </c>
      <c r="D318" s="17">
        <f>+VLOOKUP($A318,MAGAZZINO!$B$2:$M$4838,4,FALSE)</f>
        <v/>
      </c>
      <c r="E318" s="17">
        <f>+VLOOKUP($A318,MAGAZZINO!$B$2:$M$4838,5,FALSE)</f>
        <v/>
      </c>
      <c r="F318" s="17">
        <f>+VLOOKUP($A318,MAGAZZINO!$B$2:$M$4838,6,FALSE)</f>
        <v/>
      </c>
      <c r="G318" s="17">
        <f>+VLOOKUP($A318,MAGAZZINO!$B$2:$M$4838,7,FALSE)</f>
        <v/>
      </c>
      <c r="H318" s="17">
        <f>+VLOOKUP($A318,MAGAZZINO!$B$2:$M$4838,8,FALSE)</f>
        <v/>
      </c>
      <c r="I318" s="17">
        <f>+VLOOKUP($A318,MAGAZZINO!$B$2:$M$4838,9,FALSE)</f>
        <v/>
      </c>
      <c r="J318" s="17">
        <f>+VLOOKUP($A318,MAGAZZINO!$B$2:$M$4838,10,FALSE)</f>
        <v/>
      </c>
      <c r="K318" s="17">
        <f>+VLOOKUP($A318,MAGAZZINO!$B$2:$M$4838,11,FALSE)</f>
        <v/>
      </c>
      <c r="L318" s="44">
        <f>+VLOOKUP($A318,MAGAZZINO!$B$2:$M$4838,12,FALSE)</f>
        <v/>
      </c>
    </row>
    <row r="319" ht="36" customHeight="1">
      <c r="A319" s="30">
        <f>+REGISTRO!A302</f>
        <v/>
      </c>
      <c r="B319" s="31">
        <f>+VLOOKUP($A319,MAGAZZINO!$B$2:$M$4838,2,FALSE)</f>
        <v/>
      </c>
      <c r="C319" s="32">
        <f>+VLOOKUP($A319,MAGAZZINO!$B$2:$M$4838,3,FALSE)</f>
        <v/>
      </c>
      <c r="D319" s="17">
        <f>+VLOOKUP($A319,MAGAZZINO!$B$2:$M$4838,4,FALSE)</f>
        <v/>
      </c>
      <c r="E319" s="17">
        <f>+VLOOKUP($A319,MAGAZZINO!$B$2:$M$4838,5,FALSE)</f>
        <v/>
      </c>
      <c r="F319" s="17">
        <f>+VLOOKUP($A319,MAGAZZINO!$B$2:$M$4838,6,FALSE)</f>
        <v/>
      </c>
      <c r="G319" s="17">
        <f>+VLOOKUP($A319,MAGAZZINO!$B$2:$M$4838,7,FALSE)</f>
        <v/>
      </c>
      <c r="H319" s="17">
        <f>+VLOOKUP($A319,MAGAZZINO!$B$2:$M$4838,8,FALSE)</f>
        <v/>
      </c>
      <c r="I319" s="17">
        <f>+VLOOKUP($A319,MAGAZZINO!$B$2:$M$4838,9,FALSE)</f>
        <v/>
      </c>
      <c r="J319" s="17">
        <f>+VLOOKUP($A319,MAGAZZINO!$B$2:$M$4838,10,FALSE)</f>
        <v/>
      </c>
      <c r="K319" s="17">
        <f>+VLOOKUP($A319,MAGAZZINO!$B$2:$M$4838,11,FALSE)</f>
        <v/>
      </c>
      <c r="L319" s="44">
        <f>+VLOOKUP($A319,MAGAZZINO!$B$2:$M$4838,12,FALSE)</f>
        <v/>
      </c>
    </row>
    <row r="320" ht="36" customHeight="1">
      <c r="A320" s="30">
        <f>+REGISTRO!A303</f>
        <v/>
      </c>
      <c r="B320" s="31">
        <f>+VLOOKUP($A320,MAGAZZINO!$B$2:$M$4838,2,FALSE)</f>
        <v/>
      </c>
      <c r="C320" s="32">
        <f>+VLOOKUP($A320,MAGAZZINO!$B$2:$M$4838,3,FALSE)</f>
        <v/>
      </c>
      <c r="D320" s="17">
        <f>+VLOOKUP($A320,MAGAZZINO!$B$2:$M$4838,4,FALSE)</f>
        <v/>
      </c>
      <c r="E320" s="17">
        <f>+VLOOKUP($A320,MAGAZZINO!$B$2:$M$4838,5,FALSE)</f>
        <v/>
      </c>
      <c r="F320" s="17">
        <f>+VLOOKUP($A320,MAGAZZINO!$B$2:$M$4838,6,FALSE)</f>
        <v/>
      </c>
      <c r="G320" s="17">
        <f>+VLOOKUP($A320,MAGAZZINO!$B$2:$M$4838,7,FALSE)</f>
        <v/>
      </c>
      <c r="H320" s="17">
        <f>+VLOOKUP($A320,MAGAZZINO!$B$2:$M$4838,8,FALSE)</f>
        <v/>
      </c>
      <c r="I320" s="17">
        <f>+VLOOKUP($A320,MAGAZZINO!$B$2:$M$4838,9,FALSE)</f>
        <v/>
      </c>
      <c r="J320" s="17">
        <f>+VLOOKUP($A320,MAGAZZINO!$B$2:$M$4838,10,FALSE)</f>
        <v/>
      </c>
      <c r="K320" s="17">
        <f>+VLOOKUP($A320,MAGAZZINO!$B$2:$M$4838,11,FALSE)</f>
        <v/>
      </c>
      <c r="L320" s="44">
        <f>+VLOOKUP($A320,MAGAZZINO!$B$2:$M$4838,12,FALSE)</f>
        <v/>
      </c>
    </row>
    <row r="321" ht="36" customHeight="1">
      <c r="A321" s="30">
        <f>+REGISTRO!A304</f>
        <v/>
      </c>
      <c r="B321" s="31">
        <f>+VLOOKUP($A321,MAGAZZINO!$B$2:$M$4838,2,FALSE)</f>
        <v/>
      </c>
      <c r="C321" s="32">
        <f>+VLOOKUP($A321,MAGAZZINO!$B$2:$M$4838,3,FALSE)</f>
        <v/>
      </c>
      <c r="D321" s="17">
        <f>+VLOOKUP($A321,MAGAZZINO!$B$2:$M$4838,4,FALSE)</f>
        <v/>
      </c>
      <c r="E321" s="17">
        <f>+VLOOKUP($A321,MAGAZZINO!$B$2:$M$4838,5,FALSE)</f>
        <v/>
      </c>
      <c r="F321" s="17">
        <f>+VLOOKUP($A321,MAGAZZINO!$B$2:$M$4838,6,FALSE)</f>
        <v/>
      </c>
      <c r="G321" s="17">
        <f>+VLOOKUP($A321,MAGAZZINO!$B$2:$M$4838,7,FALSE)</f>
        <v/>
      </c>
      <c r="H321" s="17">
        <f>+VLOOKUP($A321,MAGAZZINO!$B$2:$M$4838,8,FALSE)</f>
        <v/>
      </c>
      <c r="I321" s="17">
        <f>+VLOOKUP($A321,MAGAZZINO!$B$2:$M$4838,9,FALSE)</f>
        <v/>
      </c>
      <c r="J321" s="17">
        <f>+VLOOKUP($A321,MAGAZZINO!$B$2:$M$4838,10,FALSE)</f>
        <v/>
      </c>
      <c r="K321" s="17">
        <f>+VLOOKUP($A321,MAGAZZINO!$B$2:$M$4838,11,FALSE)</f>
        <v/>
      </c>
      <c r="L321" s="44">
        <f>+VLOOKUP($A321,MAGAZZINO!$B$2:$M$4838,12,FALSE)</f>
        <v/>
      </c>
    </row>
    <row r="322" ht="36" customHeight="1">
      <c r="A322" s="30">
        <f>+REGISTRO!A305</f>
        <v/>
      </c>
      <c r="B322" s="31">
        <f>+VLOOKUP($A322,MAGAZZINO!$B$2:$M$4838,2,FALSE)</f>
        <v/>
      </c>
      <c r="C322" s="32">
        <f>+VLOOKUP($A322,MAGAZZINO!$B$2:$M$4838,3,FALSE)</f>
        <v/>
      </c>
      <c r="D322" s="17">
        <f>+VLOOKUP($A322,MAGAZZINO!$B$2:$M$4838,4,FALSE)</f>
        <v/>
      </c>
      <c r="E322" s="17">
        <f>+VLOOKUP($A322,MAGAZZINO!$B$2:$M$4838,5,FALSE)</f>
        <v/>
      </c>
      <c r="F322" s="17">
        <f>+VLOOKUP($A322,MAGAZZINO!$B$2:$M$4838,6,FALSE)</f>
        <v/>
      </c>
      <c r="G322" s="17">
        <f>+VLOOKUP($A322,MAGAZZINO!$B$2:$M$4838,7,FALSE)</f>
        <v/>
      </c>
      <c r="H322" s="17">
        <f>+VLOOKUP($A322,MAGAZZINO!$B$2:$M$4838,8,FALSE)</f>
        <v/>
      </c>
      <c r="I322" s="17">
        <f>+VLOOKUP($A322,MAGAZZINO!$B$2:$M$4838,9,FALSE)</f>
        <v/>
      </c>
      <c r="J322" s="17">
        <f>+VLOOKUP($A322,MAGAZZINO!$B$2:$M$4838,10,FALSE)</f>
        <v/>
      </c>
      <c r="K322" s="17">
        <f>+VLOOKUP($A322,MAGAZZINO!$B$2:$M$4838,11,FALSE)</f>
        <v/>
      </c>
      <c r="L322" s="44">
        <f>+VLOOKUP($A322,MAGAZZINO!$B$2:$M$4838,12,FALSE)</f>
        <v/>
      </c>
    </row>
    <row r="323" ht="36" customHeight="1">
      <c r="A323" s="30">
        <f>+REGISTRO!A306</f>
        <v/>
      </c>
      <c r="B323" s="31">
        <f>+VLOOKUP($A323,MAGAZZINO!$B$2:$M$4838,2,FALSE)</f>
        <v/>
      </c>
      <c r="C323" s="32">
        <f>+VLOOKUP($A323,MAGAZZINO!$B$2:$M$4838,3,FALSE)</f>
        <v/>
      </c>
      <c r="D323" s="17">
        <f>+VLOOKUP($A323,MAGAZZINO!$B$2:$M$4838,4,FALSE)</f>
        <v/>
      </c>
      <c r="E323" s="17">
        <f>+VLOOKUP($A323,MAGAZZINO!$B$2:$M$4838,5,FALSE)</f>
        <v/>
      </c>
      <c r="F323" s="17">
        <f>+VLOOKUP($A323,MAGAZZINO!$B$2:$M$4838,6,FALSE)</f>
        <v/>
      </c>
      <c r="G323" s="17">
        <f>+VLOOKUP($A323,MAGAZZINO!$B$2:$M$4838,7,FALSE)</f>
        <v/>
      </c>
      <c r="H323" s="17">
        <f>+VLOOKUP($A323,MAGAZZINO!$B$2:$M$4838,8,FALSE)</f>
        <v/>
      </c>
      <c r="I323" s="17">
        <f>+VLOOKUP($A323,MAGAZZINO!$B$2:$M$4838,9,FALSE)</f>
        <v/>
      </c>
      <c r="J323" s="17">
        <f>+VLOOKUP($A323,MAGAZZINO!$B$2:$M$4838,10,FALSE)</f>
        <v/>
      </c>
      <c r="K323" s="17">
        <f>+VLOOKUP($A323,MAGAZZINO!$B$2:$M$4838,11,FALSE)</f>
        <v/>
      </c>
      <c r="L323" s="44">
        <f>+VLOOKUP($A323,MAGAZZINO!$B$2:$M$4838,12,FALSE)</f>
        <v/>
      </c>
    </row>
    <row r="324" ht="36" customHeight="1">
      <c r="A324" s="30">
        <f>+REGISTRO!A307</f>
        <v/>
      </c>
      <c r="B324" s="31">
        <f>+VLOOKUP($A324,MAGAZZINO!$B$2:$M$4838,2,FALSE)</f>
        <v/>
      </c>
      <c r="C324" s="32">
        <f>+VLOOKUP($A324,MAGAZZINO!$B$2:$M$4838,3,FALSE)</f>
        <v/>
      </c>
      <c r="D324" s="17">
        <f>+VLOOKUP($A324,MAGAZZINO!$B$2:$M$4838,4,FALSE)</f>
        <v/>
      </c>
      <c r="E324" s="17">
        <f>+VLOOKUP($A324,MAGAZZINO!$B$2:$M$4838,5,FALSE)</f>
        <v/>
      </c>
      <c r="F324" s="17">
        <f>+VLOOKUP($A324,MAGAZZINO!$B$2:$M$4838,6,FALSE)</f>
        <v/>
      </c>
      <c r="G324" s="17">
        <f>+VLOOKUP($A324,MAGAZZINO!$B$2:$M$4838,7,FALSE)</f>
        <v/>
      </c>
      <c r="H324" s="17">
        <f>+VLOOKUP($A324,MAGAZZINO!$B$2:$M$4838,8,FALSE)</f>
        <v/>
      </c>
      <c r="I324" s="17">
        <f>+VLOOKUP($A324,MAGAZZINO!$B$2:$M$4838,9,FALSE)</f>
        <v/>
      </c>
      <c r="J324" s="17">
        <f>+VLOOKUP($A324,MAGAZZINO!$B$2:$M$4838,10,FALSE)</f>
        <v/>
      </c>
      <c r="K324" s="17">
        <f>+VLOOKUP($A324,MAGAZZINO!$B$2:$M$4838,11,FALSE)</f>
        <v/>
      </c>
      <c r="L324" s="44">
        <f>+VLOOKUP($A324,MAGAZZINO!$B$2:$M$4838,12,FALSE)</f>
        <v/>
      </c>
    </row>
    <row r="325" ht="36" customHeight="1">
      <c r="A325" s="30">
        <f>+REGISTRO!A308</f>
        <v/>
      </c>
      <c r="B325" s="31">
        <f>+VLOOKUP($A325,MAGAZZINO!$B$2:$M$4838,2,FALSE)</f>
        <v/>
      </c>
      <c r="C325" s="32">
        <f>+VLOOKUP($A325,MAGAZZINO!$B$2:$M$4838,3,FALSE)</f>
        <v/>
      </c>
      <c r="D325" s="17">
        <f>+VLOOKUP($A325,MAGAZZINO!$B$2:$M$4838,4,FALSE)</f>
        <v/>
      </c>
      <c r="E325" s="17">
        <f>+VLOOKUP($A325,MAGAZZINO!$B$2:$M$4838,5,FALSE)</f>
        <v/>
      </c>
      <c r="F325" s="17">
        <f>+VLOOKUP($A325,MAGAZZINO!$B$2:$M$4838,6,FALSE)</f>
        <v/>
      </c>
      <c r="G325" s="17">
        <f>+VLOOKUP($A325,MAGAZZINO!$B$2:$M$4838,7,FALSE)</f>
        <v/>
      </c>
      <c r="H325" s="17">
        <f>+VLOOKUP($A325,MAGAZZINO!$B$2:$M$4838,8,FALSE)</f>
        <v/>
      </c>
      <c r="I325" s="17">
        <f>+VLOOKUP($A325,MAGAZZINO!$B$2:$M$4838,9,FALSE)</f>
        <v/>
      </c>
      <c r="J325" s="17">
        <f>+VLOOKUP($A325,MAGAZZINO!$B$2:$M$4838,10,FALSE)</f>
        <v/>
      </c>
      <c r="K325" s="17">
        <f>+VLOOKUP($A325,MAGAZZINO!$B$2:$M$4838,11,FALSE)</f>
        <v/>
      </c>
      <c r="L325" s="44">
        <f>+VLOOKUP($A325,MAGAZZINO!$B$2:$M$4838,12,FALSE)</f>
        <v/>
      </c>
    </row>
    <row r="326" ht="36" customHeight="1">
      <c r="A326" s="30">
        <f>+REGISTRO!A309</f>
        <v/>
      </c>
      <c r="B326" s="31">
        <f>+VLOOKUP($A326,MAGAZZINO!$B$2:$M$4838,2,FALSE)</f>
        <v/>
      </c>
      <c r="C326" s="32">
        <f>+VLOOKUP($A326,MAGAZZINO!$B$2:$M$4838,3,FALSE)</f>
        <v/>
      </c>
      <c r="D326" s="17">
        <f>+VLOOKUP($A326,MAGAZZINO!$B$2:$M$4838,4,FALSE)</f>
        <v/>
      </c>
      <c r="E326" s="17">
        <f>+VLOOKUP($A326,MAGAZZINO!$B$2:$M$4838,5,FALSE)</f>
        <v/>
      </c>
      <c r="F326" s="17">
        <f>+VLOOKUP($A326,MAGAZZINO!$B$2:$M$4838,6,FALSE)</f>
        <v/>
      </c>
      <c r="G326" s="17">
        <f>+VLOOKUP($A326,MAGAZZINO!$B$2:$M$4838,7,FALSE)</f>
        <v/>
      </c>
      <c r="H326" s="17">
        <f>+VLOOKUP($A326,MAGAZZINO!$B$2:$M$4838,8,FALSE)</f>
        <v/>
      </c>
      <c r="I326" s="17">
        <f>+VLOOKUP($A326,MAGAZZINO!$B$2:$M$4838,9,FALSE)</f>
        <v/>
      </c>
      <c r="J326" s="17">
        <f>+VLOOKUP($A326,MAGAZZINO!$B$2:$M$4838,10,FALSE)</f>
        <v/>
      </c>
      <c r="K326" s="17">
        <f>+VLOOKUP($A326,MAGAZZINO!$B$2:$M$4838,11,FALSE)</f>
        <v/>
      </c>
      <c r="L326" s="44">
        <f>+VLOOKUP($A326,MAGAZZINO!$B$2:$M$4838,12,FALSE)</f>
        <v/>
      </c>
    </row>
    <row r="327" ht="36" customHeight="1">
      <c r="A327" s="30">
        <f>+REGISTRO!A310</f>
        <v/>
      </c>
      <c r="B327" s="31">
        <f>+VLOOKUP($A327,MAGAZZINO!$B$2:$M$4838,2,FALSE)</f>
        <v/>
      </c>
      <c r="C327" s="32">
        <f>+VLOOKUP($A327,MAGAZZINO!$B$2:$M$4838,3,FALSE)</f>
        <v/>
      </c>
      <c r="D327" s="17">
        <f>+VLOOKUP($A327,MAGAZZINO!$B$2:$M$4838,4,FALSE)</f>
        <v/>
      </c>
      <c r="E327" s="17">
        <f>+VLOOKUP($A327,MAGAZZINO!$B$2:$M$4838,5,FALSE)</f>
        <v/>
      </c>
      <c r="F327" s="17">
        <f>+VLOOKUP($A327,MAGAZZINO!$B$2:$M$4838,6,FALSE)</f>
        <v/>
      </c>
      <c r="G327" s="17">
        <f>+VLOOKUP($A327,MAGAZZINO!$B$2:$M$4838,7,FALSE)</f>
        <v/>
      </c>
      <c r="H327" s="17">
        <f>+VLOOKUP($A327,MAGAZZINO!$B$2:$M$4838,8,FALSE)</f>
        <v/>
      </c>
      <c r="I327" s="17">
        <f>+VLOOKUP($A327,MAGAZZINO!$B$2:$M$4838,9,FALSE)</f>
        <v/>
      </c>
      <c r="J327" s="17">
        <f>+VLOOKUP($A327,MAGAZZINO!$B$2:$M$4838,10,FALSE)</f>
        <v/>
      </c>
      <c r="K327" s="17">
        <f>+VLOOKUP($A327,MAGAZZINO!$B$2:$M$4838,11,FALSE)</f>
        <v/>
      </c>
      <c r="L327" s="44">
        <f>+VLOOKUP($A327,MAGAZZINO!$B$2:$M$4838,12,FALSE)</f>
        <v/>
      </c>
    </row>
    <row r="328" ht="36" customHeight="1">
      <c r="A328" s="30">
        <f>+REGISTRO!A311</f>
        <v/>
      </c>
      <c r="B328" s="31">
        <f>+VLOOKUP($A328,MAGAZZINO!$B$2:$M$4838,2,FALSE)</f>
        <v/>
      </c>
      <c r="C328" s="32">
        <f>+VLOOKUP($A328,MAGAZZINO!$B$2:$M$4838,3,FALSE)</f>
        <v/>
      </c>
      <c r="D328" s="17">
        <f>+VLOOKUP($A328,MAGAZZINO!$B$2:$M$4838,4,FALSE)</f>
        <v/>
      </c>
      <c r="E328" s="17">
        <f>+VLOOKUP($A328,MAGAZZINO!$B$2:$M$4838,5,FALSE)</f>
        <v/>
      </c>
      <c r="F328" s="17">
        <f>+VLOOKUP($A328,MAGAZZINO!$B$2:$M$4838,6,FALSE)</f>
        <v/>
      </c>
      <c r="G328" s="17">
        <f>+VLOOKUP($A328,MAGAZZINO!$B$2:$M$4838,7,FALSE)</f>
        <v/>
      </c>
      <c r="H328" s="17">
        <f>+VLOOKUP($A328,MAGAZZINO!$B$2:$M$4838,8,FALSE)</f>
        <v/>
      </c>
      <c r="I328" s="17">
        <f>+VLOOKUP($A328,MAGAZZINO!$B$2:$M$4838,9,FALSE)</f>
        <v/>
      </c>
      <c r="J328" s="17">
        <f>+VLOOKUP($A328,MAGAZZINO!$B$2:$M$4838,10,FALSE)</f>
        <v/>
      </c>
      <c r="K328" s="17">
        <f>+VLOOKUP($A328,MAGAZZINO!$B$2:$M$4838,11,FALSE)</f>
        <v/>
      </c>
      <c r="L328" s="44">
        <f>+VLOOKUP($A328,MAGAZZINO!$B$2:$M$4838,12,FALSE)</f>
        <v/>
      </c>
    </row>
    <row r="329" ht="36" customHeight="1">
      <c r="A329" s="30">
        <f>+REGISTRO!A312</f>
        <v/>
      </c>
      <c r="B329" s="31">
        <f>+VLOOKUP($A329,MAGAZZINO!$B$2:$M$4838,2,FALSE)</f>
        <v/>
      </c>
      <c r="C329" s="32">
        <f>+VLOOKUP($A329,MAGAZZINO!$B$2:$M$4838,3,FALSE)</f>
        <v/>
      </c>
      <c r="D329" s="17">
        <f>+VLOOKUP($A329,MAGAZZINO!$B$2:$M$4838,4,FALSE)</f>
        <v/>
      </c>
      <c r="E329" s="17">
        <f>+VLOOKUP($A329,MAGAZZINO!$B$2:$M$4838,5,FALSE)</f>
        <v/>
      </c>
      <c r="F329" s="17">
        <f>+VLOOKUP($A329,MAGAZZINO!$B$2:$M$4838,6,FALSE)</f>
        <v/>
      </c>
      <c r="G329" s="17">
        <f>+VLOOKUP($A329,MAGAZZINO!$B$2:$M$4838,7,FALSE)</f>
        <v/>
      </c>
      <c r="H329" s="17">
        <f>+VLOOKUP($A329,MAGAZZINO!$B$2:$M$4838,8,FALSE)</f>
        <v/>
      </c>
      <c r="I329" s="17">
        <f>+VLOOKUP($A329,MAGAZZINO!$B$2:$M$4838,9,FALSE)</f>
        <v/>
      </c>
      <c r="J329" s="17">
        <f>+VLOOKUP($A329,MAGAZZINO!$B$2:$M$4838,10,FALSE)</f>
        <v/>
      </c>
      <c r="K329" s="17">
        <f>+VLOOKUP($A329,MAGAZZINO!$B$2:$M$4838,11,FALSE)</f>
        <v/>
      </c>
      <c r="L329" s="44">
        <f>+VLOOKUP($A329,MAGAZZINO!$B$2:$M$4838,12,FALSE)</f>
        <v/>
      </c>
    </row>
    <row r="330" ht="36" customHeight="1">
      <c r="A330" s="30">
        <f>+REGISTRO!A313</f>
        <v/>
      </c>
      <c r="B330" s="31">
        <f>+VLOOKUP($A330,MAGAZZINO!$B$2:$M$4838,2,FALSE)</f>
        <v/>
      </c>
      <c r="C330" s="32">
        <f>+VLOOKUP($A330,MAGAZZINO!$B$2:$M$4838,3,FALSE)</f>
        <v/>
      </c>
      <c r="D330" s="17">
        <f>+VLOOKUP($A330,MAGAZZINO!$B$2:$M$4838,4,FALSE)</f>
        <v/>
      </c>
      <c r="E330" s="17">
        <f>+VLOOKUP($A330,MAGAZZINO!$B$2:$M$4838,5,FALSE)</f>
        <v/>
      </c>
      <c r="F330" s="17">
        <f>+VLOOKUP($A330,MAGAZZINO!$B$2:$M$4838,6,FALSE)</f>
        <v/>
      </c>
      <c r="G330" s="17">
        <f>+VLOOKUP($A330,MAGAZZINO!$B$2:$M$4838,7,FALSE)</f>
        <v/>
      </c>
      <c r="H330" s="17">
        <f>+VLOOKUP($A330,MAGAZZINO!$B$2:$M$4838,8,FALSE)</f>
        <v/>
      </c>
      <c r="I330" s="17">
        <f>+VLOOKUP($A330,MAGAZZINO!$B$2:$M$4838,9,FALSE)</f>
        <v/>
      </c>
      <c r="J330" s="17">
        <f>+VLOOKUP($A330,MAGAZZINO!$B$2:$M$4838,10,FALSE)</f>
        <v/>
      </c>
      <c r="K330" s="17">
        <f>+VLOOKUP($A330,MAGAZZINO!$B$2:$M$4838,11,FALSE)</f>
        <v/>
      </c>
      <c r="L330" s="44">
        <f>+VLOOKUP($A330,MAGAZZINO!$B$2:$M$4838,12,FALSE)</f>
        <v/>
      </c>
    </row>
    <row r="331" ht="36" customHeight="1">
      <c r="A331" s="30">
        <f>+REGISTRO!A314</f>
        <v/>
      </c>
      <c r="B331" s="31">
        <f>+VLOOKUP($A331,MAGAZZINO!$B$2:$M$4838,2,FALSE)</f>
        <v/>
      </c>
      <c r="C331" s="32">
        <f>+VLOOKUP($A331,MAGAZZINO!$B$2:$M$4838,3,FALSE)</f>
        <v/>
      </c>
      <c r="D331" s="17">
        <f>+VLOOKUP($A331,MAGAZZINO!$B$2:$M$4838,4,FALSE)</f>
        <v/>
      </c>
      <c r="E331" s="17">
        <f>+VLOOKUP($A331,MAGAZZINO!$B$2:$M$4838,5,FALSE)</f>
        <v/>
      </c>
      <c r="F331" s="17">
        <f>+VLOOKUP($A331,MAGAZZINO!$B$2:$M$4838,6,FALSE)</f>
        <v/>
      </c>
      <c r="G331" s="17">
        <f>+VLOOKUP($A331,MAGAZZINO!$B$2:$M$4838,7,FALSE)</f>
        <v/>
      </c>
      <c r="H331" s="17">
        <f>+VLOOKUP($A331,MAGAZZINO!$B$2:$M$4838,8,FALSE)</f>
        <v/>
      </c>
      <c r="I331" s="17">
        <f>+VLOOKUP($A331,MAGAZZINO!$B$2:$M$4838,9,FALSE)</f>
        <v/>
      </c>
      <c r="J331" s="17">
        <f>+VLOOKUP($A331,MAGAZZINO!$B$2:$M$4838,10,FALSE)</f>
        <v/>
      </c>
      <c r="K331" s="17">
        <f>+VLOOKUP($A331,MAGAZZINO!$B$2:$M$4838,11,FALSE)</f>
        <v/>
      </c>
      <c r="L331" s="44">
        <f>+VLOOKUP($A331,MAGAZZINO!$B$2:$M$4838,12,FALSE)</f>
        <v/>
      </c>
    </row>
    <row r="332" ht="36" customHeight="1">
      <c r="A332" s="30">
        <f>+REGISTRO!A315</f>
        <v/>
      </c>
      <c r="B332" s="31">
        <f>+VLOOKUP($A332,MAGAZZINO!$B$2:$M$4838,2,FALSE)</f>
        <v/>
      </c>
      <c r="C332" s="32">
        <f>+VLOOKUP($A332,MAGAZZINO!$B$2:$M$4838,3,FALSE)</f>
        <v/>
      </c>
      <c r="D332" s="17">
        <f>+VLOOKUP($A332,MAGAZZINO!$B$2:$M$4838,4,FALSE)</f>
        <v/>
      </c>
      <c r="E332" s="17">
        <f>+VLOOKUP($A332,MAGAZZINO!$B$2:$M$4838,5,FALSE)</f>
        <v/>
      </c>
      <c r="F332" s="17">
        <f>+VLOOKUP($A332,MAGAZZINO!$B$2:$M$4838,6,FALSE)</f>
        <v/>
      </c>
      <c r="G332" s="17">
        <f>+VLOOKUP($A332,MAGAZZINO!$B$2:$M$4838,7,FALSE)</f>
        <v/>
      </c>
      <c r="H332" s="17">
        <f>+VLOOKUP($A332,MAGAZZINO!$B$2:$M$4838,8,FALSE)</f>
        <v/>
      </c>
      <c r="I332" s="17">
        <f>+VLOOKUP($A332,MAGAZZINO!$B$2:$M$4838,9,FALSE)</f>
        <v/>
      </c>
      <c r="J332" s="17">
        <f>+VLOOKUP($A332,MAGAZZINO!$B$2:$M$4838,10,FALSE)</f>
        <v/>
      </c>
      <c r="K332" s="17">
        <f>+VLOOKUP($A332,MAGAZZINO!$B$2:$M$4838,11,FALSE)</f>
        <v/>
      </c>
      <c r="L332" s="44">
        <f>+VLOOKUP($A332,MAGAZZINO!$B$2:$M$4838,12,FALSE)</f>
        <v/>
      </c>
    </row>
    <row r="333" ht="36" customHeight="1">
      <c r="A333" s="30">
        <f>+REGISTRO!A316</f>
        <v/>
      </c>
      <c r="B333" s="31">
        <f>+VLOOKUP($A333,MAGAZZINO!$B$2:$M$4838,2,FALSE)</f>
        <v/>
      </c>
      <c r="C333" s="32">
        <f>+VLOOKUP($A333,MAGAZZINO!$B$2:$M$4838,3,FALSE)</f>
        <v/>
      </c>
      <c r="D333" s="17">
        <f>+VLOOKUP($A333,MAGAZZINO!$B$2:$M$4838,4,FALSE)</f>
        <v/>
      </c>
      <c r="E333" s="17">
        <f>+VLOOKUP($A333,MAGAZZINO!$B$2:$M$4838,5,FALSE)</f>
        <v/>
      </c>
      <c r="F333" s="17">
        <f>+VLOOKUP($A333,MAGAZZINO!$B$2:$M$4838,6,FALSE)</f>
        <v/>
      </c>
      <c r="G333" s="17">
        <f>+VLOOKUP($A333,MAGAZZINO!$B$2:$M$4838,7,FALSE)</f>
        <v/>
      </c>
      <c r="H333" s="17">
        <f>+VLOOKUP($A333,MAGAZZINO!$B$2:$M$4838,8,FALSE)</f>
        <v/>
      </c>
      <c r="I333" s="17">
        <f>+VLOOKUP($A333,MAGAZZINO!$B$2:$M$4838,9,FALSE)</f>
        <v/>
      </c>
      <c r="J333" s="17">
        <f>+VLOOKUP($A333,MAGAZZINO!$B$2:$M$4838,10,FALSE)</f>
        <v/>
      </c>
      <c r="K333" s="17">
        <f>+VLOOKUP($A333,MAGAZZINO!$B$2:$M$4838,11,FALSE)</f>
        <v/>
      </c>
      <c r="L333" s="44">
        <f>+VLOOKUP($A333,MAGAZZINO!$B$2:$M$4838,12,FALSE)</f>
        <v/>
      </c>
    </row>
    <row r="334" ht="36" customHeight="1">
      <c r="A334" s="30">
        <f>+REGISTRO!A317</f>
        <v/>
      </c>
      <c r="B334" s="31">
        <f>+VLOOKUP($A334,MAGAZZINO!$B$2:$M$4838,2,FALSE)</f>
        <v/>
      </c>
      <c r="C334" s="32">
        <f>+VLOOKUP($A334,MAGAZZINO!$B$2:$M$4838,3,FALSE)</f>
        <v/>
      </c>
      <c r="D334" s="17">
        <f>+VLOOKUP($A334,MAGAZZINO!$B$2:$M$4838,4,FALSE)</f>
        <v/>
      </c>
      <c r="E334" s="17">
        <f>+VLOOKUP($A334,MAGAZZINO!$B$2:$M$4838,5,FALSE)</f>
        <v/>
      </c>
      <c r="F334" s="17">
        <f>+VLOOKUP($A334,MAGAZZINO!$B$2:$M$4838,6,FALSE)</f>
        <v/>
      </c>
      <c r="G334" s="17">
        <f>+VLOOKUP($A334,MAGAZZINO!$B$2:$M$4838,7,FALSE)</f>
        <v/>
      </c>
      <c r="H334" s="17">
        <f>+VLOOKUP($A334,MAGAZZINO!$B$2:$M$4838,8,FALSE)</f>
        <v/>
      </c>
      <c r="I334" s="17">
        <f>+VLOOKUP($A334,MAGAZZINO!$B$2:$M$4838,9,FALSE)</f>
        <v/>
      </c>
      <c r="J334" s="17">
        <f>+VLOOKUP($A334,MAGAZZINO!$B$2:$M$4838,10,FALSE)</f>
        <v/>
      </c>
      <c r="K334" s="17">
        <f>+VLOOKUP($A334,MAGAZZINO!$B$2:$M$4838,11,FALSE)</f>
        <v/>
      </c>
      <c r="L334" s="44">
        <f>+VLOOKUP($A334,MAGAZZINO!$B$2:$M$4838,12,FALSE)</f>
        <v/>
      </c>
    </row>
    <row r="335" ht="36" customHeight="1">
      <c r="A335" s="30">
        <f>+REGISTRO!A318</f>
        <v/>
      </c>
      <c r="B335" s="31">
        <f>+VLOOKUP($A335,MAGAZZINO!$B$2:$M$4838,2,FALSE)</f>
        <v/>
      </c>
      <c r="C335" s="32">
        <f>+VLOOKUP($A335,MAGAZZINO!$B$2:$M$4838,3,FALSE)</f>
        <v/>
      </c>
      <c r="D335" s="17">
        <f>+VLOOKUP($A335,MAGAZZINO!$B$2:$M$4838,4,FALSE)</f>
        <v/>
      </c>
      <c r="E335" s="17">
        <f>+VLOOKUP($A335,MAGAZZINO!$B$2:$M$4838,5,FALSE)</f>
        <v/>
      </c>
      <c r="F335" s="17">
        <f>+VLOOKUP($A335,MAGAZZINO!$B$2:$M$4838,6,FALSE)</f>
        <v/>
      </c>
      <c r="G335" s="17">
        <f>+VLOOKUP($A335,MAGAZZINO!$B$2:$M$4838,7,FALSE)</f>
        <v/>
      </c>
      <c r="H335" s="17">
        <f>+VLOOKUP($A335,MAGAZZINO!$B$2:$M$4838,8,FALSE)</f>
        <v/>
      </c>
      <c r="I335" s="17">
        <f>+VLOOKUP($A335,MAGAZZINO!$B$2:$M$4838,9,FALSE)</f>
        <v/>
      </c>
      <c r="J335" s="17">
        <f>+VLOOKUP($A335,MAGAZZINO!$B$2:$M$4838,10,FALSE)</f>
        <v/>
      </c>
      <c r="K335" s="17">
        <f>+VLOOKUP($A335,MAGAZZINO!$B$2:$M$4838,11,FALSE)</f>
        <v/>
      </c>
      <c r="L335" s="44">
        <f>+VLOOKUP($A335,MAGAZZINO!$B$2:$M$4838,12,FALSE)</f>
        <v/>
      </c>
    </row>
    <row r="336" ht="36" customHeight="1">
      <c r="A336" s="30">
        <f>+REGISTRO!A319</f>
        <v/>
      </c>
      <c r="B336" s="31">
        <f>+VLOOKUP($A336,MAGAZZINO!$B$2:$M$4838,2,FALSE)</f>
        <v/>
      </c>
      <c r="C336" s="32">
        <f>+VLOOKUP($A336,MAGAZZINO!$B$2:$M$4838,3,FALSE)</f>
        <v/>
      </c>
      <c r="D336" s="17">
        <f>+VLOOKUP($A336,MAGAZZINO!$B$2:$M$4838,4,FALSE)</f>
        <v/>
      </c>
      <c r="E336" s="17">
        <f>+VLOOKUP($A336,MAGAZZINO!$B$2:$M$4838,5,FALSE)</f>
        <v/>
      </c>
      <c r="F336" s="17">
        <f>+VLOOKUP($A336,MAGAZZINO!$B$2:$M$4838,6,FALSE)</f>
        <v/>
      </c>
      <c r="G336" s="17">
        <f>+VLOOKUP($A336,MAGAZZINO!$B$2:$M$4838,7,FALSE)</f>
        <v/>
      </c>
      <c r="H336" s="17">
        <f>+VLOOKUP($A336,MAGAZZINO!$B$2:$M$4838,8,FALSE)</f>
        <v/>
      </c>
      <c r="I336" s="17">
        <f>+VLOOKUP($A336,MAGAZZINO!$B$2:$M$4838,9,FALSE)</f>
        <v/>
      </c>
      <c r="J336" s="17">
        <f>+VLOOKUP($A336,MAGAZZINO!$B$2:$M$4838,10,FALSE)</f>
        <v/>
      </c>
      <c r="K336" s="17">
        <f>+VLOOKUP($A336,MAGAZZINO!$B$2:$M$4838,11,FALSE)</f>
        <v/>
      </c>
      <c r="L336" s="44">
        <f>+VLOOKUP($A336,MAGAZZINO!$B$2:$M$4838,12,FALSE)</f>
        <v/>
      </c>
    </row>
    <row r="337" ht="36" customHeight="1">
      <c r="A337" s="30">
        <f>+REGISTRO!A320</f>
        <v/>
      </c>
      <c r="B337" s="31">
        <f>+VLOOKUP($A337,MAGAZZINO!$B$2:$M$4838,2,FALSE)</f>
        <v/>
      </c>
      <c r="C337" s="32">
        <f>+VLOOKUP($A337,MAGAZZINO!$B$2:$M$4838,3,FALSE)</f>
        <v/>
      </c>
      <c r="D337" s="17">
        <f>+VLOOKUP($A337,MAGAZZINO!$B$2:$M$4838,4,FALSE)</f>
        <v/>
      </c>
      <c r="E337" s="17">
        <f>+VLOOKUP($A337,MAGAZZINO!$B$2:$M$4838,5,FALSE)</f>
        <v/>
      </c>
      <c r="F337" s="17">
        <f>+VLOOKUP($A337,MAGAZZINO!$B$2:$M$4838,6,FALSE)</f>
        <v/>
      </c>
      <c r="G337" s="17">
        <f>+VLOOKUP($A337,MAGAZZINO!$B$2:$M$4838,7,FALSE)</f>
        <v/>
      </c>
      <c r="H337" s="17">
        <f>+VLOOKUP($A337,MAGAZZINO!$B$2:$M$4838,8,FALSE)</f>
        <v/>
      </c>
      <c r="I337" s="17">
        <f>+VLOOKUP($A337,MAGAZZINO!$B$2:$M$4838,9,FALSE)</f>
        <v/>
      </c>
      <c r="J337" s="17">
        <f>+VLOOKUP($A337,MAGAZZINO!$B$2:$M$4838,10,FALSE)</f>
        <v/>
      </c>
      <c r="K337" s="17">
        <f>+VLOOKUP($A337,MAGAZZINO!$B$2:$M$4838,11,FALSE)</f>
        <v/>
      </c>
      <c r="L337" s="44">
        <f>+VLOOKUP($A337,MAGAZZINO!$B$2:$M$4838,12,FALSE)</f>
        <v/>
      </c>
    </row>
    <row r="338" ht="36" customHeight="1">
      <c r="A338" s="30">
        <f>+REGISTRO!A321</f>
        <v/>
      </c>
      <c r="B338" s="31">
        <f>+VLOOKUP($A338,MAGAZZINO!$B$2:$M$4838,2,FALSE)</f>
        <v/>
      </c>
      <c r="C338" s="32">
        <f>+VLOOKUP($A338,MAGAZZINO!$B$2:$M$4838,3,FALSE)</f>
        <v/>
      </c>
      <c r="D338" s="17">
        <f>+VLOOKUP($A338,MAGAZZINO!$B$2:$M$4838,4,FALSE)</f>
        <v/>
      </c>
      <c r="E338" s="17">
        <f>+VLOOKUP($A338,MAGAZZINO!$B$2:$M$4838,5,FALSE)</f>
        <v/>
      </c>
      <c r="F338" s="17">
        <f>+VLOOKUP($A338,MAGAZZINO!$B$2:$M$4838,6,FALSE)</f>
        <v/>
      </c>
      <c r="G338" s="17">
        <f>+VLOOKUP($A338,MAGAZZINO!$B$2:$M$4838,7,FALSE)</f>
        <v/>
      </c>
      <c r="H338" s="17">
        <f>+VLOOKUP($A338,MAGAZZINO!$B$2:$M$4838,8,FALSE)</f>
        <v/>
      </c>
      <c r="I338" s="17">
        <f>+VLOOKUP($A338,MAGAZZINO!$B$2:$M$4838,9,FALSE)</f>
        <v/>
      </c>
      <c r="J338" s="17">
        <f>+VLOOKUP($A338,MAGAZZINO!$B$2:$M$4838,10,FALSE)</f>
        <v/>
      </c>
      <c r="K338" s="17">
        <f>+VLOOKUP($A338,MAGAZZINO!$B$2:$M$4838,11,FALSE)</f>
        <v/>
      </c>
      <c r="L338" s="44">
        <f>+VLOOKUP($A338,MAGAZZINO!$B$2:$M$4838,12,FALSE)</f>
        <v/>
      </c>
    </row>
    <row r="339" ht="36" customHeight="1">
      <c r="A339" s="30">
        <f>+REGISTRO!A322</f>
        <v/>
      </c>
      <c r="B339" s="31">
        <f>+VLOOKUP($A339,MAGAZZINO!$B$2:$M$4838,2,FALSE)</f>
        <v/>
      </c>
      <c r="C339" s="32">
        <f>+VLOOKUP($A339,MAGAZZINO!$B$2:$M$4838,3,FALSE)</f>
        <v/>
      </c>
      <c r="D339" s="17">
        <f>+VLOOKUP($A339,MAGAZZINO!$B$2:$M$4838,4,FALSE)</f>
        <v/>
      </c>
      <c r="E339" s="17">
        <f>+VLOOKUP($A339,MAGAZZINO!$B$2:$M$4838,5,FALSE)</f>
        <v/>
      </c>
      <c r="F339" s="17">
        <f>+VLOOKUP($A339,MAGAZZINO!$B$2:$M$4838,6,FALSE)</f>
        <v/>
      </c>
      <c r="G339" s="17">
        <f>+VLOOKUP($A339,MAGAZZINO!$B$2:$M$4838,7,FALSE)</f>
        <v/>
      </c>
      <c r="H339" s="17">
        <f>+VLOOKUP($A339,MAGAZZINO!$B$2:$M$4838,8,FALSE)</f>
        <v/>
      </c>
      <c r="I339" s="17">
        <f>+VLOOKUP($A339,MAGAZZINO!$B$2:$M$4838,9,FALSE)</f>
        <v/>
      </c>
      <c r="J339" s="17">
        <f>+VLOOKUP($A339,MAGAZZINO!$B$2:$M$4838,10,FALSE)</f>
        <v/>
      </c>
      <c r="K339" s="17">
        <f>+VLOOKUP($A339,MAGAZZINO!$B$2:$M$4838,11,FALSE)</f>
        <v/>
      </c>
      <c r="L339" s="44">
        <f>+VLOOKUP($A339,MAGAZZINO!$B$2:$M$4838,12,FALSE)</f>
        <v/>
      </c>
    </row>
    <row r="340" ht="36" customHeight="1">
      <c r="A340" s="30">
        <f>+REGISTRO!A323</f>
        <v/>
      </c>
      <c r="B340" s="31">
        <f>+VLOOKUP($A340,MAGAZZINO!$B$2:$M$4838,2,FALSE)</f>
        <v/>
      </c>
      <c r="C340" s="32">
        <f>+VLOOKUP($A340,MAGAZZINO!$B$2:$M$4838,3,FALSE)</f>
        <v/>
      </c>
      <c r="D340" s="17">
        <f>+VLOOKUP($A340,MAGAZZINO!$B$2:$M$4838,4,FALSE)</f>
        <v/>
      </c>
      <c r="E340" s="17">
        <f>+VLOOKUP($A340,MAGAZZINO!$B$2:$M$4838,5,FALSE)</f>
        <v/>
      </c>
      <c r="F340" s="17">
        <f>+VLOOKUP($A340,MAGAZZINO!$B$2:$M$4838,6,FALSE)</f>
        <v/>
      </c>
      <c r="G340" s="17">
        <f>+VLOOKUP($A340,MAGAZZINO!$B$2:$M$4838,7,FALSE)</f>
        <v/>
      </c>
      <c r="H340" s="17">
        <f>+VLOOKUP($A340,MAGAZZINO!$B$2:$M$4838,8,FALSE)</f>
        <v/>
      </c>
      <c r="I340" s="17">
        <f>+VLOOKUP($A340,MAGAZZINO!$B$2:$M$4838,9,FALSE)</f>
        <v/>
      </c>
      <c r="J340" s="17">
        <f>+VLOOKUP($A340,MAGAZZINO!$B$2:$M$4838,10,FALSE)</f>
        <v/>
      </c>
      <c r="K340" s="17">
        <f>+VLOOKUP($A340,MAGAZZINO!$B$2:$M$4838,11,FALSE)</f>
        <v/>
      </c>
      <c r="L340" s="44">
        <f>+VLOOKUP($A340,MAGAZZINO!$B$2:$M$4838,12,FALSE)</f>
        <v/>
      </c>
    </row>
    <row r="341" ht="36" customHeight="1">
      <c r="A341" s="30">
        <f>+REGISTRO!A324</f>
        <v/>
      </c>
      <c r="B341" s="31">
        <f>+VLOOKUP($A341,MAGAZZINO!$B$2:$M$4838,2,FALSE)</f>
        <v/>
      </c>
      <c r="C341" s="32">
        <f>+VLOOKUP($A341,MAGAZZINO!$B$2:$M$4838,3,FALSE)</f>
        <v/>
      </c>
      <c r="D341" s="17">
        <f>+VLOOKUP($A341,MAGAZZINO!$B$2:$M$4838,4,FALSE)</f>
        <v/>
      </c>
      <c r="E341" s="17">
        <f>+VLOOKUP($A341,MAGAZZINO!$B$2:$M$4838,5,FALSE)</f>
        <v/>
      </c>
      <c r="F341" s="17">
        <f>+VLOOKUP($A341,MAGAZZINO!$B$2:$M$4838,6,FALSE)</f>
        <v/>
      </c>
      <c r="G341" s="17">
        <f>+VLOOKUP($A341,MAGAZZINO!$B$2:$M$4838,7,FALSE)</f>
        <v/>
      </c>
      <c r="H341" s="17">
        <f>+VLOOKUP($A341,MAGAZZINO!$B$2:$M$4838,8,FALSE)</f>
        <v/>
      </c>
      <c r="I341" s="17">
        <f>+VLOOKUP($A341,MAGAZZINO!$B$2:$M$4838,9,FALSE)</f>
        <v/>
      </c>
      <c r="J341" s="17">
        <f>+VLOOKUP($A341,MAGAZZINO!$B$2:$M$4838,10,FALSE)</f>
        <v/>
      </c>
      <c r="K341" s="17">
        <f>+VLOOKUP($A341,MAGAZZINO!$B$2:$M$4838,11,FALSE)</f>
        <v/>
      </c>
      <c r="L341" s="44">
        <f>+VLOOKUP($A341,MAGAZZINO!$B$2:$M$4838,12,FALSE)</f>
        <v/>
      </c>
    </row>
    <row r="342" ht="36" customHeight="1">
      <c r="A342" s="30">
        <f>+REGISTRO!A325</f>
        <v/>
      </c>
      <c r="B342" s="31">
        <f>+VLOOKUP($A342,MAGAZZINO!$B$2:$M$4838,2,FALSE)</f>
        <v/>
      </c>
      <c r="C342" s="32">
        <f>+VLOOKUP($A342,MAGAZZINO!$B$2:$M$4838,3,FALSE)</f>
        <v/>
      </c>
      <c r="D342" s="17">
        <f>+VLOOKUP($A342,MAGAZZINO!$B$2:$M$4838,4,FALSE)</f>
        <v/>
      </c>
      <c r="E342" s="17">
        <f>+VLOOKUP($A342,MAGAZZINO!$B$2:$M$4838,5,FALSE)</f>
        <v/>
      </c>
      <c r="F342" s="17">
        <f>+VLOOKUP($A342,MAGAZZINO!$B$2:$M$4838,6,FALSE)</f>
        <v/>
      </c>
      <c r="G342" s="17">
        <f>+VLOOKUP($A342,MAGAZZINO!$B$2:$M$4838,7,FALSE)</f>
        <v/>
      </c>
      <c r="H342" s="17">
        <f>+VLOOKUP($A342,MAGAZZINO!$B$2:$M$4838,8,FALSE)</f>
        <v/>
      </c>
      <c r="I342" s="17">
        <f>+VLOOKUP($A342,MAGAZZINO!$B$2:$M$4838,9,FALSE)</f>
        <v/>
      </c>
      <c r="J342" s="17">
        <f>+VLOOKUP($A342,MAGAZZINO!$B$2:$M$4838,10,FALSE)</f>
        <v/>
      </c>
      <c r="K342" s="17">
        <f>+VLOOKUP($A342,MAGAZZINO!$B$2:$M$4838,11,FALSE)</f>
        <v/>
      </c>
      <c r="L342" s="44">
        <f>+VLOOKUP($A342,MAGAZZINO!$B$2:$M$4838,12,FALSE)</f>
        <v/>
      </c>
    </row>
    <row r="343" ht="36" customHeight="1">
      <c r="A343" s="30">
        <f>+REGISTRO!A326</f>
        <v/>
      </c>
      <c r="B343" s="31">
        <f>+VLOOKUP($A343,MAGAZZINO!$B$2:$M$4838,2,FALSE)</f>
        <v/>
      </c>
      <c r="C343" s="32">
        <f>+VLOOKUP($A343,MAGAZZINO!$B$2:$M$4838,3,FALSE)</f>
        <v/>
      </c>
      <c r="D343" s="17">
        <f>+VLOOKUP($A343,MAGAZZINO!$B$2:$M$4838,4,FALSE)</f>
        <v/>
      </c>
      <c r="E343" s="17">
        <f>+VLOOKUP($A343,MAGAZZINO!$B$2:$M$4838,5,FALSE)</f>
        <v/>
      </c>
      <c r="F343" s="17">
        <f>+VLOOKUP($A343,MAGAZZINO!$B$2:$M$4838,6,FALSE)</f>
        <v/>
      </c>
      <c r="G343" s="17">
        <f>+VLOOKUP($A343,MAGAZZINO!$B$2:$M$4838,7,FALSE)</f>
        <v/>
      </c>
      <c r="H343" s="17">
        <f>+VLOOKUP($A343,MAGAZZINO!$B$2:$M$4838,8,FALSE)</f>
        <v/>
      </c>
      <c r="I343" s="17">
        <f>+VLOOKUP($A343,MAGAZZINO!$B$2:$M$4838,9,FALSE)</f>
        <v/>
      </c>
      <c r="J343" s="17">
        <f>+VLOOKUP($A343,MAGAZZINO!$B$2:$M$4838,10,FALSE)</f>
        <v/>
      </c>
      <c r="K343" s="17">
        <f>+VLOOKUP($A343,MAGAZZINO!$B$2:$M$4838,11,FALSE)</f>
        <v/>
      </c>
      <c r="L343" s="44">
        <f>+VLOOKUP($A343,MAGAZZINO!$B$2:$M$4838,12,FALSE)</f>
        <v/>
      </c>
    </row>
    <row r="344" ht="36" customHeight="1">
      <c r="A344" s="30">
        <f>+REGISTRO!A327</f>
        <v/>
      </c>
      <c r="B344" s="31">
        <f>+VLOOKUP($A344,MAGAZZINO!$B$2:$M$4838,2,FALSE)</f>
        <v/>
      </c>
      <c r="C344" s="32">
        <f>+VLOOKUP($A344,MAGAZZINO!$B$2:$M$4838,3,FALSE)</f>
        <v/>
      </c>
      <c r="D344" s="17">
        <f>+VLOOKUP($A344,MAGAZZINO!$B$2:$M$4838,4,FALSE)</f>
        <v/>
      </c>
      <c r="E344" s="17">
        <f>+VLOOKUP($A344,MAGAZZINO!$B$2:$M$4838,5,FALSE)</f>
        <v/>
      </c>
      <c r="F344" s="17">
        <f>+VLOOKUP($A344,MAGAZZINO!$B$2:$M$4838,6,FALSE)</f>
        <v/>
      </c>
      <c r="G344" s="17">
        <f>+VLOOKUP($A344,MAGAZZINO!$B$2:$M$4838,7,FALSE)</f>
        <v/>
      </c>
      <c r="H344" s="17">
        <f>+VLOOKUP($A344,MAGAZZINO!$B$2:$M$4838,8,FALSE)</f>
        <v/>
      </c>
      <c r="I344" s="17">
        <f>+VLOOKUP($A344,MAGAZZINO!$B$2:$M$4838,9,FALSE)</f>
        <v/>
      </c>
      <c r="J344" s="17">
        <f>+VLOOKUP($A344,MAGAZZINO!$B$2:$M$4838,10,FALSE)</f>
        <v/>
      </c>
      <c r="K344" s="17">
        <f>+VLOOKUP($A344,MAGAZZINO!$B$2:$M$4838,11,FALSE)</f>
        <v/>
      </c>
      <c r="L344" s="44">
        <f>+VLOOKUP($A344,MAGAZZINO!$B$2:$M$4838,12,FALSE)</f>
        <v/>
      </c>
    </row>
    <row r="345" ht="36" customHeight="1">
      <c r="A345" s="30">
        <f>+REGISTRO!A328</f>
        <v/>
      </c>
      <c r="B345" s="31">
        <f>+VLOOKUP($A345,MAGAZZINO!$B$2:$M$4838,2,FALSE)</f>
        <v/>
      </c>
      <c r="C345" s="32">
        <f>+VLOOKUP($A345,MAGAZZINO!$B$2:$M$4838,3,FALSE)</f>
        <v/>
      </c>
      <c r="D345" s="17">
        <f>+VLOOKUP($A345,MAGAZZINO!$B$2:$M$4838,4,FALSE)</f>
        <v/>
      </c>
      <c r="E345" s="17">
        <f>+VLOOKUP($A345,MAGAZZINO!$B$2:$M$4838,5,FALSE)</f>
        <v/>
      </c>
      <c r="F345" s="17">
        <f>+VLOOKUP($A345,MAGAZZINO!$B$2:$M$4838,6,FALSE)</f>
        <v/>
      </c>
      <c r="G345" s="17">
        <f>+VLOOKUP($A345,MAGAZZINO!$B$2:$M$4838,7,FALSE)</f>
        <v/>
      </c>
      <c r="H345" s="17">
        <f>+VLOOKUP($A345,MAGAZZINO!$B$2:$M$4838,8,FALSE)</f>
        <v/>
      </c>
      <c r="I345" s="17">
        <f>+VLOOKUP($A345,MAGAZZINO!$B$2:$M$4838,9,FALSE)</f>
        <v/>
      </c>
      <c r="J345" s="17">
        <f>+VLOOKUP($A345,MAGAZZINO!$B$2:$M$4838,10,FALSE)</f>
        <v/>
      </c>
      <c r="K345" s="17">
        <f>+VLOOKUP($A345,MAGAZZINO!$B$2:$M$4838,11,FALSE)</f>
        <v/>
      </c>
      <c r="L345" s="44">
        <f>+VLOOKUP($A345,MAGAZZINO!$B$2:$M$4838,12,FALSE)</f>
        <v/>
      </c>
    </row>
    <row r="346" ht="36" customHeight="1">
      <c r="A346" s="30">
        <f>+REGISTRO!A329</f>
        <v/>
      </c>
      <c r="B346" s="31">
        <f>+VLOOKUP($A346,MAGAZZINO!$B$2:$M$4838,2,FALSE)</f>
        <v/>
      </c>
      <c r="C346" s="32">
        <f>+VLOOKUP($A346,MAGAZZINO!$B$2:$M$4838,3,FALSE)</f>
        <v/>
      </c>
      <c r="D346" s="17">
        <f>+VLOOKUP($A346,MAGAZZINO!$B$2:$M$4838,4,FALSE)</f>
        <v/>
      </c>
      <c r="E346" s="17">
        <f>+VLOOKUP($A346,MAGAZZINO!$B$2:$M$4838,5,FALSE)</f>
        <v/>
      </c>
      <c r="F346" s="17">
        <f>+VLOOKUP($A346,MAGAZZINO!$B$2:$M$4838,6,FALSE)</f>
        <v/>
      </c>
      <c r="G346" s="17">
        <f>+VLOOKUP($A346,MAGAZZINO!$B$2:$M$4838,7,FALSE)</f>
        <v/>
      </c>
      <c r="H346" s="17">
        <f>+VLOOKUP($A346,MAGAZZINO!$B$2:$M$4838,8,FALSE)</f>
        <v/>
      </c>
      <c r="I346" s="17">
        <f>+VLOOKUP($A346,MAGAZZINO!$B$2:$M$4838,9,FALSE)</f>
        <v/>
      </c>
      <c r="J346" s="17">
        <f>+VLOOKUP($A346,MAGAZZINO!$B$2:$M$4838,10,FALSE)</f>
        <v/>
      </c>
      <c r="K346" s="17">
        <f>+VLOOKUP($A346,MAGAZZINO!$B$2:$M$4838,11,FALSE)</f>
        <v/>
      </c>
      <c r="L346" s="44">
        <f>+VLOOKUP($A346,MAGAZZINO!$B$2:$M$4838,12,FALSE)</f>
        <v/>
      </c>
    </row>
    <row r="347" ht="36" customHeight="1">
      <c r="A347" s="30">
        <f>+REGISTRO!A330</f>
        <v/>
      </c>
      <c r="B347" s="31">
        <f>+VLOOKUP($A347,MAGAZZINO!$B$2:$M$4838,2,FALSE)</f>
        <v/>
      </c>
      <c r="C347" s="32">
        <f>+VLOOKUP($A347,MAGAZZINO!$B$2:$M$4838,3,FALSE)</f>
        <v/>
      </c>
      <c r="D347" s="17">
        <f>+VLOOKUP($A347,MAGAZZINO!$B$2:$M$4838,4,FALSE)</f>
        <v/>
      </c>
      <c r="E347" s="17">
        <f>+VLOOKUP($A347,MAGAZZINO!$B$2:$M$4838,5,FALSE)</f>
        <v/>
      </c>
      <c r="F347" s="17">
        <f>+VLOOKUP($A347,MAGAZZINO!$B$2:$M$4838,6,FALSE)</f>
        <v/>
      </c>
      <c r="G347" s="17">
        <f>+VLOOKUP($A347,MAGAZZINO!$B$2:$M$4838,7,FALSE)</f>
        <v/>
      </c>
      <c r="H347" s="17">
        <f>+VLOOKUP($A347,MAGAZZINO!$B$2:$M$4838,8,FALSE)</f>
        <v/>
      </c>
      <c r="I347" s="17">
        <f>+VLOOKUP($A347,MAGAZZINO!$B$2:$M$4838,9,FALSE)</f>
        <v/>
      </c>
      <c r="J347" s="17">
        <f>+VLOOKUP($A347,MAGAZZINO!$B$2:$M$4838,10,FALSE)</f>
        <v/>
      </c>
      <c r="K347" s="17">
        <f>+VLOOKUP($A347,MAGAZZINO!$B$2:$M$4838,11,FALSE)</f>
        <v/>
      </c>
      <c r="L347" s="44">
        <f>+VLOOKUP($A347,MAGAZZINO!$B$2:$M$4838,12,FALSE)</f>
        <v/>
      </c>
    </row>
    <row r="348" ht="36" customHeight="1">
      <c r="A348" s="30">
        <f>+REGISTRO!A331</f>
        <v/>
      </c>
      <c r="B348" s="31">
        <f>+VLOOKUP($A348,MAGAZZINO!$B$2:$M$4838,2,FALSE)</f>
        <v/>
      </c>
      <c r="C348" s="32">
        <f>+VLOOKUP($A348,MAGAZZINO!$B$2:$M$4838,3,FALSE)</f>
        <v/>
      </c>
      <c r="D348" s="17">
        <f>+VLOOKUP($A348,MAGAZZINO!$B$2:$M$4838,4,FALSE)</f>
        <v/>
      </c>
      <c r="E348" s="17">
        <f>+VLOOKUP($A348,MAGAZZINO!$B$2:$M$4838,5,FALSE)</f>
        <v/>
      </c>
      <c r="F348" s="17">
        <f>+VLOOKUP($A348,MAGAZZINO!$B$2:$M$4838,6,FALSE)</f>
        <v/>
      </c>
      <c r="G348" s="17">
        <f>+VLOOKUP($A348,MAGAZZINO!$B$2:$M$4838,7,FALSE)</f>
        <v/>
      </c>
      <c r="H348" s="17">
        <f>+VLOOKUP($A348,MAGAZZINO!$B$2:$M$4838,8,FALSE)</f>
        <v/>
      </c>
      <c r="I348" s="17">
        <f>+VLOOKUP($A348,MAGAZZINO!$B$2:$M$4838,9,FALSE)</f>
        <v/>
      </c>
      <c r="J348" s="17">
        <f>+VLOOKUP($A348,MAGAZZINO!$B$2:$M$4838,10,FALSE)</f>
        <v/>
      </c>
      <c r="K348" s="17">
        <f>+VLOOKUP($A348,MAGAZZINO!$B$2:$M$4838,11,FALSE)</f>
        <v/>
      </c>
      <c r="L348" s="44">
        <f>+VLOOKUP($A348,MAGAZZINO!$B$2:$M$4838,12,FALSE)</f>
        <v/>
      </c>
    </row>
    <row r="349" ht="36" customHeight="1">
      <c r="A349" s="30">
        <f>+REGISTRO!A332</f>
        <v/>
      </c>
      <c r="B349" s="31">
        <f>+VLOOKUP($A349,MAGAZZINO!$B$2:$M$4838,2,FALSE)</f>
        <v/>
      </c>
      <c r="C349" s="32">
        <f>+VLOOKUP($A349,MAGAZZINO!$B$2:$M$4838,3,FALSE)</f>
        <v/>
      </c>
      <c r="D349" s="17">
        <f>+VLOOKUP($A349,MAGAZZINO!$B$2:$M$4838,4,FALSE)</f>
        <v/>
      </c>
      <c r="E349" s="17">
        <f>+VLOOKUP($A349,MAGAZZINO!$B$2:$M$4838,5,FALSE)</f>
        <v/>
      </c>
      <c r="F349" s="17">
        <f>+VLOOKUP($A349,MAGAZZINO!$B$2:$M$4838,6,FALSE)</f>
        <v/>
      </c>
      <c r="G349" s="17">
        <f>+VLOOKUP($A349,MAGAZZINO!$B$2:$M$4838,7,FALSE)</f>
        <v/>
      </c>
      <c r="H349" s="17">
        <f>+VLOOKUP($A349,MAGAZZINO!$B$2:$M$4838,8,FALSE)</f>
        <v/>
      </c>
      <c r="I349" s="17">
        <f>+VLOOKUP($A349,MAGAZZINO!$B$2:$M$4838,9,FALSE)</f>
        <v/>
      </c>
      <c r="J349" s="17">
        <f>+VLOOKUP($A349,MAGAZZINO!$B$2:$M$4838,10,FALSE)</f>
        <v/>
      </c>
      <c r="K349" s="17">
        <f>+VLOOKUP($A349,MAGAZZINO!$B$2:$M$4838,11,FALSE)</f>
        <v/>
      </c>
      <c r="L349" s="44">
        <f>+VLOOKUP($A349,MAGAZZINO!$B$2:$M$4838,12,FALSE)</f>
        <v/>
      </c>
    </row>
    <row r="350" ht="36" customHeight="1">
      <c r="A350" s="30">
        <f>+REGISTRO!A333</f>
        <v/>
      </c>
      <c r="B350" s="31">
        <f>+VLOOKUP($A350,MAGAZZINO!$B$2:$M$4838,2,FALSE)</f>
        <v/>
      </c>
      <c r="C350" s="32">
        <f>+VLOOKUP($A350,MAGAZZINO!$B$2:$M$4838,3,FALSE)</f>
        <v/>
      </c>
      <c r="D350" s="17">
        <f>+VLOOKUP($A350,MAGAZZINO!$B$2:$M$4838,4,FALSE)</f>
        <v/>
      </c>
      <c r="E350" s="17">
        <f>+VLOOKUP($A350,MAGAZZINO!$B$2:$M$4838,5,FALSE)</f>
        <v/>
      </c>
      <c r="F350" s="17">
        <f>+VLOOKUP($A350,MAGAZZINO!$B$2:$M$4838,6,FALSE)</f>
        <v/>
      </c>
      <c r="G350" s="17">
        <f>+VLOOKUP($A350,MAGAZZINO!$B$2:$M$4838,7,FALSE)</f>
        <v/>
      </c>
      <c r="H350" s="17">
        <f>+VLOOKUP($A350,MAGAZZINO!$B$2:$M$4838,8,FALSE)</f>
        <v/>
      </c>
      <c r="I350" s="17">
        <f>+VLOOKUP($A350,MAGAZZINO!$B$2:$M$4838,9,FALSE)</f>
        <v/>
      </c>
      <c r="J350" s="17">
        <f>+VLOOKUP($A350,MAGAZZINO!$B$2:$M$4838,10,FALSE)</f>
        <v/>
      </c>
      <c r="K350" s="17">
        <f>+VLOOKUP($A350,MAGAZZINO!$B$2:$M$4838,11,FALSE)</f>
        <v/>
      </c>
      <c r="L350" s="44">
        <f>+VLOOKUP($A350,MAGAZZINO!$B$2:$M$4838,12,FALSE)</f>
        <v/>
      </c>
    </row>
    <row r="351" ht="36" customHeight="1">
      <c r="A351" s="30">
        <f>+REGISTRO!A334</f>
        <v/>
      </c>
      <c r="B351" s="31">
        <f>+VLOOKUP($A351,MAGAZZINO!$B$2:$M$4838,2,FALSE)</f>
        <v/>
      </c>
      <c r="C351" s="32">
        <f>+VLOOKUP($A351,MAGAZZINO!$B$2:$M$4838,3,FALSE)</f>
        <v/>
      </c>
      <c r="D351" s="17">
        <f>+VLOOKUP($A351,MAGAZZINO!$B$2:$M$4838,4,FALSE)</f>
        <v/>
      </c>
      <c r="E351" s="17">
        <f>+VLOOKUP($A351,MAGAZZINO!$B$2:$M$4838,5,FALSE)</f>
        <v/>
      </c>
      <c r="F351" s="17">
        <f>+VLOOKUP($A351,MAGAZZINO!$B$2:$M$4838,6,FALSE)</f>
        <v/>
      </c>
      <c r="G351" s="17">
        <f>+VLOOKUP($A351,MAGAZZINO!$B$2:$M$4838,7,FALSE)</f>
        <v/>
      </c>
      <c r="H351" s="17">
        <f>+VLOOKUP($A351,MAGAZZINO!$B$2:$M$4838,8,FALSE)</f>
        <v/>
      </c>
      <c r="I351" s="17">
        <f>+VLOOKUP($A351,MAGAZZINO!$B$2:$M$4838,9,FALSE)</f>
        <v/>
      </c>
      <c r="J351" s="17">
        <f>+VLOOKUP($A351,MAGAZZINO!$B$2:$M$4838,10,FALSE)</f>
        <v/>
      </c>
      <c r="K351" s="17">
        <f>+VLOOKUP($A351,MAGAZZINO!$B$2:$M$4838,11,FALSE)</f>
        <v/>
      </c>
      <c r="L351" s="44">
        <f>+VLOOKUP($A351,MAGAZZINO!$B$2:$M$4838,12,FALSE)</f>
        <v/>
      </c>
    </row>
    <row r="352" ht="36" customHeight="1">
      <c r="A352" s="30">
        <f>+REGISTRO!A335</f>
        <v/>
      </c>
      <c r="B352" s="31">
        <f>+VLOOKUP($A352,MAGAZZINO!$B$2:$M$4838,2,FALSE)</f>
        <v/>
      </c>
      <c r="C352" s="32">
        <f>+VLOOKUP($A352,MAGAZZINO!$B$2:$M$4838,3,FALSE)</f>
        <v/>
      </c>
      <c r="D352" s="17">
        <f>+VLOOKUP($A352,MAGAZZINO!$B$2:$M$4838,4,FALSE)</f>
        <v/>
      </c>
      <c r="E352" s="17">
        <f>+VLOOKUP($A352,MAGAZZINO!$B$2:$M$4838,5,FALSE)</f>
        <v/>
      </c>
      <c r="F352" s="17">
        <f>+VLOOKUP($A352,MAGAZZINO!$B$2:$M$4838,6,FALSE)</f>
        <v/>
      </c>
      <c r="G352" s="17">
        <f>+VLOOKUP($A352,MAGAZZINO!$B$2:$M$4838,7,FALSE)</f>
        <v/>
      </c>
      <c r="H352" s="17">
        <f>+VLOOKUP($A352,MAGAZZINO!$B$2:$M$4838,8,FALSE)</f>
        <v/>
      </c>
      <c r="I352" s="17">
        <f>+VLOOKUP($A352,MAGAZZINO!$B$2:$M$4838,9,FALSE)</f>
        <v/>
      </c>
      <c r="J352" s="17">
        <f>+VLOOKUP($A352,MAGAZZINO!$B$2:$M$4838,10,FALSE)</f>
        <v/>
      </c>
      <c r="K352" s="17">
        <f>+VLOOKUP($A352,MAGAZZINO!$B$2:$M$4838,11,FALSE)</f>
        <v/>
      </c>
      <c r="L352" s="44">
        <f>+VLOOKUP($A352,MAGAZZINO!$B$2:$M$4838,12,FALSE)</f>
        <v/>
      </c>
    </row>
    <row r="353" ht="36" customHeight="1">
      <c r="A353" s="30">
        <f>+REGISTRO!A336</f>
        <v/>
      </c>
      <c r="B353" s="31">
        <f>+VLOOKUP($A353,MAGAZZINO!$B$2:$M$4838,2,FALSE)</f>
        <v/>
      </c>
      <c r="C353" s="32">
        <f>+VLOOKUP($A353,MAGAZZINO!$B$2:$M$4838,3,FALSE)</f>
        <v/>
      </c>
      <c r="D353" s="17">
        <f>+VLOOKUP($A353,MAGAZZINO!$B$2:$M$4838,4,FALSE)</f>
        <v/>
      </c>
      <c r="E353" s="17">
        <f>+VLOOKUP($A353,MAGAZZINO!$B$2:$M$4838,5,FALSE)</f>
        <v/>
      </c>
      <c r="F353" s="17">
        <f>+VLOOKUP($A353,MAGAZZINO!$B$2:$M$4838,6,FALSE)</f>
        <v/>
      </c>
      <c r="G353" s="17">
        <f>+VLOOKUP($A353,MAGAZZINO!$B$2:$M$4838,7,FALSE)</f>
        <v/>
      </c>
      <c r="H353" s="17">
        <f>+VLOOKUP($A353,MAGAZZINO!$B$2:$M$4838,8,FALSE)</f>
        <v/>
      </c>
      <c r="I353" s="17">
        <f>+VLOOKUP($A353,MAGAZZINO!$B$2:$M$4838,9,FALSE)</f>
        <v/>
      </c>
      <c r="J353" s="17">
        <f>+VLOOKUP($A353,MAGAZZINO!$B$2:$M$4838,10,FALSE)</f>
        <v/>
      </c>
      <c r="K353" s="17">
        <f>+VLOOKUP($A353,MAGAZZINO!$B$2:$M$4838,11,FALSE)</f>
        <v/>
      </c>
      <c r="L353" s="44">
        <f>+VLOOKUP($A353,MAGAZZINO!$B$2:$M$4838,12,FALSE)</f>
        <v/>
      </c>
    </row>
    <row r="354" ht="36" customHeight="1">
      <c r="A354" s="30">
        <f>+REGISTRO!A337</f>
        <v/>
      </c>
      <c r="B354" s="31">
        <f>+VLOOKUP($A354,MAGAZZINO!$B$2:$M$4838,2,FALSE)</f>
        <v/>
      </c>
      <c r="C354" s="32">
        <f>+VLOOKUP($A354,MAGAZZINO!$B$2:$M$4838,3,FALSE)</f>
        <v/>
      </c>
      <c r="D354" s="17">
        <f>+VLOOKUP($A354,MAGAZZINO!$B$2:$M$4838,4,FALSE)</f>
        <v/>
      </c>
      <c r="E354" s="17">
        <f>+VLOOKUP($A354,MAGAZZINO!$B$2:$M$4838,5,FALSE)</f>
        <v/>
      </c>
      <c r="F354" s="17">
        <f>+VLOOKUP($A354,MAGAZZINO!$B$2:$M$4838,6,FALSE)</f>
        <v/>
      </c>
      <c r="G354" s="17">
        <f>+VLOOKUP($A354,MAGAZZINO!$B$2:$M$4838,7,FALSE)</f>
        <v/>
      </c>
      <c r="H354" s="17">
        <f>+VLOOKUP($A354,MAGAZZINO!$B$2:$M$4838,8,FALSE)</f>
        <v/>
      </c>
      <c r="I354" s="17">
        <f>+VLOOKUP($A354,MAGAZZINO!$B$2:$M$4838,9,FALSE)</f>
        <v/>
      </c>
      <c r="J354" s="17">
        <f>+VLOOKUP($A354,MAGAZZINO!$B$2:$M$4838,10,FALSE)</f>
        <v/>
      </c>
      <c r="K354" s="17">
        <f>+VLOOKUP($A354,MAGAZZINO!$B$2:$M$4838,11,FALSE)</f>
        <v/>
      </c>
      <c r="L354" s="44">
        <f>+VLOOKUP($A354,MAGAZZINO!$B$2:$M$4838,12,FALSE)</f>
        <v/>
      </c>
    </row>
    <row r="355" ht="36" customHeight="1">
      <c r="A355" s="30">
        <f>+REGISTRO!A338</f>
        <v/>
      </c>
      <c r="B355" s="31">
        <f>+VLOOKUP($A355,MAGAZZINO!$B$2:$M$4838,2,FALSE)</f>
        <v/>
      </c>
      <c r="C355" s="32">
        <f>+VLOOKUP($A355,MAGAZZINO!$B$2:$M$4838,3,FALSE)</f>
        <v/>
      </c>
      <c r="D355" s="17">
        <f>+VLOOKUP($A355,MAGAZZINO!$B$2:$M$4838,4,FALSE)</f>
        <v/>
      </c>
      <c r="E355" s="17">
        <f>+VLOOKUP($A355,MAGAZZINO!$B$2:$M$4838,5,FALSE)</f>
        <v/>
      </c>
      <c r="F355" s="17">
        <f>+VLOOKUP($A355,MAGAZZINO!$B$2:$M$4838,6,FALSE)</f>
        <v/>
      </c>
      <c r="G355" s="17">
        <f>+VLOOKUP($A355,MAGAZZINO!$B$2:$M$4838,7,FALSE)</f>
        <v/>
      </c>
      <c r="H355" s="17">
        <f>+VLOOKUP($A355,MAGAZZINO!$B$2:$M$4838,8,FALSE)</f>
        <v/>
      </c>
      <c r="I355" s="17">
        <f>+VLOOKUP($A355,MAGAZZINO!$B$2:$M$4838,9,FALSE)</f>
        <v/>
      </c>
      <c r="J355" s="17">
        <f>+VLOOKUP($A355,MAGAZZINO!$B$2:$M$4838,10,FALSE)</f>
        <v/>
      </c>
      <c r="K355" s="17">
        <f>+VLOOKUP($A355,MAGAZZINO!$B$2:$M$4838,11,FALSE)</f>
        <v/>
      </c>
      <c r="L355" s="44">
        <f>+VLOOKUP($A355,MAGAZZINO!$B$2:$M$4838,12,FALSE)</f>
        <v/>
      </c>
    </row>
    <row r="356" ht="36" customHeight="1">
      <c r="A356" s="30">
        <f>+REGISTRO!A339</f>
        <v/>
      </c>
      <c r="B356" s="31">
        <f>+VLOOKUP($A356,MAGAZZINO!$B$2:$M$4838,2,FALSE)</f>
        <v/>
      </c>
      <c r="C356" s="32">
        <f>+VLOOKUP($A356,MAGAZZINO!$B$2:$M$4838,3,FALSE)</f>
        <v/>
      </c>
      <c r="D356" s="17">
        <f>+VLOOKUP($A356,MAGAZZINO!$B$2:$M$4838,4,FALSE)</f>
        <v/>
      </c>
      <c r="E356" s="17">
        <f>+VLOOKUP($A356,MAGAZZINO!$B$2:$M$4838,5,FALSE)</f>
        <v/>
      </c>
      <c r="F356" s="17">
        <f>+VLOOKUP($A356,MAGAZZINO!$B$2:$M$4838,6,FALSE)</f>
        <v/>
      </c>
      <c r="G356" s="17">
        <f>+VLOOKUP($A356,MAGAZZINO!$B$2:$M$4838,7,FALSE)</f>
        <v/>
      </c>
      <c r="H356" s="17">
        <f>+VLOOKUP($A356,MAGAZZINO!$B$2:$M$4838,8,FALSE)</f>
        <v/>
      </c>
      <c r="I356" s="17">
        <f>+VLOOKUP($A356,MAGAZZINO!$B$2:$M$4838,9,FALSE)</f>
        <v/>
      </c>
      <c r="J356" s="17">
        <f>+VLOOKUP($A356,MAGAZZINO!$B$2:$M$4838,10,FALSE)</f>
        <v/>
      </c>
      <c r="K356" s="17">
        <f>+VLOOKUP($A356,MAGAZZINO!$B$2:$M$4838,11,FALSE)</f>
        <v/>
      </c>
      <c r="L356" s="44">
        <f>+VLOOKUP($A356,MAGAZZINO!$B$2:$M$4838,12,FALSE)</f>
        <v/>
      </c>
    </row>
    <row r="357" ht="36" customHeight="1">
      <c r="A357" s="30">
        <f>+REGISTRO!A340</f>
        <v/>
      </c>
      <c r="B357" s="31">
        <f>+VLOOKUP($A357,MAGAZZINO!$B$2:$M$4838,2,FALSE)</f>
        <v/>
      </c>
      <c r="C357" s="32">
        <f>+VLOOKUP($A357,MAGAZZINO!$B$2:$M$4838,3,FALSE)</f>
        <v/>
      </c>
      <c r="D357" s="17">
        <f>+VLOOKUP($A357,MAGAZZINO!$B$2:$M$4838,4,FALSE)</f>
        <v/>
      </c>
      <c r="E357" s="17">
        <f>+VLOOKUP($A357,MAGAZZINO!$B$2:$M$4838,5,FALSE)</f>
        <v/>
      </c>
      <c r="F357" s="17">
        <f>+VLOOKUP($A357,MAGAZZINO!$B$2:$M$4838,6,FALSE)</f>
        <v/>
      </c>
      <c r="G357" s="17">
        <f>+VLOOKUP($A357,MAGAZZINO!$B$2:$M$4838,7,FALSE)</f>
        <v/>
      </c>
      <c r="H357" s="17">
        <f>+VLOOKUP($A357,MAGAZZINO!$B$2:$M$4838,8,FALSE)</f>
        <v/>
      </c>
      <c r="I357" s="17">
        <f>+VLOOKUP($A357,MAGAZZINO!$B$2:$M$4838,9,FALSE)</f>
        <v/>
      </c>
      <c r="J357" s="17">
        <f>+VLOOKUP($A357,MAGAZZINO!$B$2:$M$4838,10,FALSE)</f>
        <v/>
      </c>
      <c r="K357" s="17">
        <f>+VLOOKUP($A357,MAGAZZINO!$B$2:$M$4838,11,FALSE)</f>
        <v/>
      </c>
      <c r="L357" s="44">
        <f>+VLOOKUP($A357,MAGAZZINO!$B$2:$M$4838,12,FALSE)</f>
        <v/>
      </c>
    </row>
    <row r="358" ht="36" customHeight="1">
      <c r="A358" s="30">
        <f>+REGISTRO!A341</f>
        <v/>
      </c>
      <c r="B358" s="31">
        <f>+VLOOKUP($A358,MAGAZZINO!$B$2:$M$4838,2,FALSE)</f>
        <v/>
      </c>
      <c r="C358" s="32">
        <f>+VLOOKUP($A358,MAGAZZINO!$B$2:$M$4838,3,FALSE)</f>
        <v/>
      </c>
      <c r="D358" s="17">
        <f>+VLOOKUP($A358,MAGAZZINO!$B$2:$M$4838,4,FALSE)</f>
        <v/>
      </c>
      <c r="E358" s="17">
        <f>+VLOOKUP($A358,MAGAZZINO!$B$2:$M$4838,5,FALSE)</f>
        <v/>
      </c>
      <c r="F358" s="17">
        <f>+VLOOKUP($A358,MAGAZZINO!$B$2:$M$4838,6,FALSE)</f>
        <v/>
      </c>
      <c r="G358" s="17">
        <f>+VLOOKUP($A358,MAGAZZINO!$B$2:$M$4838,7,FALSE)</f>
        <v/>
      </c>
      <c r="H358" s="17">
        <f>+VLOOKUP($A358,MAGAZZINO!$B$2:$M$4838,8,FALSE)</f>
        <v/>
      </c>
      <c r="I358" s="17">
        <f>+VLOOKUP($A358,MAGAZZINO!$B$2:$M$4838,9,FALSE)</f>
        <v/>
      </c>
      <c r="J358" s="17">
        <f>+VLOOKUP($A358,MAGAZZINO!$B$2:$M$4838,10,FALSE)</f>
        <v/>
      </c>
      <c r="K358" s="17">
        <f>+VLOOKUP($A358,MAGAZZINO!$B$2:$M$4838,11,FALSE)</f>
        <v/>
      </c>
      <c r="L358" s="44">
        <f>+VLOOKUP($A358,MAGAZZINO!$B$2:$M$4838,12,FALSE)</f>
        <v/>
      </c>
    </row>
    <row r="359" ht="36" customHeight="1">
      <c r="A359" s="30">
        <f>+REGISTRO!A342</f>
        <v/>
      </c>
      <c r="B359" s="31">
        <f>+VLOOKUP($A359,MAGAZZINO!$B$2:$M$4838,2,FALSE)</f>
        <v/>
      </c>
      <c r="C359" s="32">
        <f>+VLOOKUP($A359,MAGAZZINO!$B$2:$M$4838,3,FALSE)</f>
        <v/>
      </c>
      <c r="D359" s="17">
        <f>+VLOOKUP($A359,MAGAZZINO!$B$2:$M$4838,4,FALSE)</f>
        <v/>
      </c>
      <c r="E359" s="17">
        <f>+VLOOKUP($A359,MAGAZZINO!$B$2:$M$4838,5,FALSE)</f>
        <v/>
      </c>
      <c r="F359" s="17">
        <f>+VLOOKUP($A359,MAGAZZINO!$B$2:$M$4838,6,FALSE)</f>
        <v/>
      </c>
      <c r="G359" s="17">
        <f>+VLOOKUP($A359,MAGAZZINO!$B$2:$M$4838,7,FALSE)</f>
        <v/>
      </c>
      <c r="H359" s="17">
        <f>+VLOOKUP($A359,MAGAZZINO!$B$2:$M$4838,8,FALSE)</f>
        <v/>
      </c>
      <c r="I359" s="17">
        <f>+VLOOKUP($A359,MAGAZZINO!$B$2:$M$4838,9,FALSE)</f>
        <v/>
      </c>
      <c r="J359" s="17">
        <f>+VLOOKUP($A359,MAGAZZINO!$B$2:$M$4838,10,FALSE)</f>
        <v/>
      </c>
      <c r="K359" s="17">
        <f>+VLOOKUP($A359,MAGAZZINO!$B$2:$M$4838,11,FALSE)</f>
        <v/>
      </c>
      <c r="L359" s="44">
        <f>+VLOOKUP($A359,MAGAZZINO!$B$2:$M$4838,12,FALSE)</f>
        <v/>
      </c>
    </row>
    <row r="360" ht="36" customHeight="1">
      <c r="A360" s="30">
        <f>+REGISTRO!A343</f>
        <v/>
      </c>
      <c r="B360" s="31">
        <f>+VLOOKUP($A360,MAGAZZINO!$B$2:$M$4838,2,FALSE)</f>
        <v/>
      </c>
      <c r="C360" s="32">
        <f>+VLOOKUP($A360,MAGAZZINO!$B$2:$M$4838,3,FALSE)</f>
        <v/>
      </c>
      <c r="D360" s="17">
        <f>+VLOOKUP($A360,MAGAZZINO!$B$2:$M$4838,4,FALSE)</f>
        <v/>
      </c>
      <c r="E360" s="17">
        <f>+VLOOKUP($A360,MAGAZZINO!$B$2:$M$4838,5,FALSE)</f>
        <v/>
      </c>
      <c r="F360" s="17">
        <f>+VLOOKUP($A360,MAGAZZINO!$B$2:$M$4838,6,FALSE)</f>
        <v/>
      </c>
      <c r="G360" s="17">
        <f>+VLOOKUP($A360,MAGAZZINO!$B$2:$M$4838,7,FALSE)</f>
        <v/>
      </c>
      <c r="H360" s="17">
        <f>+VLOOKUP($A360,MAGAZZINO!$B$2:$M$4838,8,FALSE)</f>
        <v/>
      </c>
      <c r="I360" s="17">
        <f>+VLOOKUP($A360,MAGAZZINO!$B$2:$M$4838,9,FALSE)</f>
        <v/>
      </c>
      <c r="J360" s="17">
        <f>+VLOOKUP($A360,MAGAZZINO!$B$2:$M$4838,10,FALSE)</f>
        <v/>
      </c>
      <c r="K360" s="17">
        <f>+VLOOKUP($A360,MAGAZZINO!$B$2:$M$4838,11,FALSE)</f>
        <v/>
      </c>
      <c r="L360" s="44">
        <f>+VLOOKUP($A360,MAGAZZINO!$B$2:$M$4838,12,FALSE)</f>
        <v/>
      </c>
    </row>
    <row r="361" ht="36" customHeight="1">
      <c r="A361" s="30">
        <f>+REGISTRO!A344</f>
        <v/>
      </c>
      <c r="B361" s="31">
        <f>+VLOOKUP($A361,MAGAZZINO!$B$2:$M$4838,2,FALSE)</f>
        <v/>
      </c>
      <c r="C361" s="32">
        <f>+VLOOKUP($A361,MAGAZZINO!$B$2:$M$4838,3,FALSE)</f>
        <v/>
      </c>
      <c r="D361" s="17">
        <f>+VLOOKUP($A361,MAGAZZINO!$B$2:$M$4838,4,FALSE)</f>
        <v/>
      </c>
      <c r="E361" s="17">
        <f>+VLOOKUP($A361,MAGAZZINO!$B$2:$M$4838,5,FALSE)</f>
        <v/>
      </c>
      <c r="F361" s="17">
        <f>+VLOOKUP($A361,MAGAZZINO!$B$2:$M$4838,6,FALSE)</f>
        <v/>
      </c>
      <c r="G361" s="17">
        <f>+VLOOKUP($A361,MAGAZZINO!$B$2:$M$4838,7,FALSE)</f>
        <v/>
      </c>
      <c r="H361" s="17">
        <f>+VLOOKUP($A361,MAGAZZINO!$B$2:$M$4838,8,FALSE)</f>
        <v/>
      </c>
      <c r="I361" s="17">
        <f>+VLOOKUP($A361,MAGAZZINO!$B$2:$M$4838,9,FALSE)</f>
        <v/>
      </c>
      <c r="J361" s="17">
        <f>+VLOOKUP($A361,MAGAZZINO!$B$2:$M$4838,10,FALSE)</f>
        <v/>
      </c>
      <c r="K361" s="17">
        <f>+VLOOKUP($A361,MAGAZZINO!$B$2:$M$4838,11,FALSE)</f>
        <v/>
      </c>
      <c r="L361" s="44">
        <f>+VLOOKUP($A361,MAGAZZINO!$B$2:$M$4838,12,FALSE)</f>
        <v/>
      </c>
    </row>
    <row r="362" ht="36" customHeight="1">
      <c r="A362" s="30">
        <f>+REGISTRO!A345</f>
        <v/>
      </c>
      <c r="B362" s="31">
        <f>+VLOOKUP($A362,MAGAZZINO!$B$2:$M$4838,2,FALSE)</f>
        <v/>
      </c>
      <c r="C362" s="32">
        <f>+VLOOKUP($A362,MAGAZZINO!$B$2:$M$4838,3,FALSE)</f>
        <v/>
      </c>
      <c r="D362" s="17">
        <f>+VLOOKUP($A362,MAGAZZINO!$B$2:$M$4838,4,FALSE)</f>
        <v/>
      </c>
      <c r="E362" s="17">
        <f>+VLOOKUP($A362,MAGAZZINO!$B$2:$M$4838,5,FALSE)</f>
        <v/>
      </c>
      <c r="F362" s="17">
        <f>+VLOOKUP($A362,MAGAZZINO!$B$2:$M$4838,6,FALSE)</f>
        <v/>
      </c>
      <c r="G362" s="17">
        <f>+VLOOKUP($A362,MAGAZZINO!$B$2:$M$4838,7,FALSE)</f>
        <v/>
      </c>
      <c r="H362" s="17">
        <f>+VLOOKUP($A362,MAGAZZINO!$B$2:$M$4838,8,FALSE)</f>
        <v/>
      </c>
      <c r="I362" s="17">
        <f>+VLOOKUP($A362,MAGAZZINO!$B$2:$M$4838,9,FALSE)</f>
        <v/>
      </c>
      <c r="J362" s="17">
        <f>+VLOOKUP($A362,MAGAZZINO!$B$2:$M$4838,10,FALSE)</f>
        <v/>
      </c>
      <c r="K362" s="17">
        <f>+VLOOKUP($A362,MAGAZZINO!$B$2:$M$4838,11,FALSE)</f>
        <v/>
      </c>
      <c r="L362" s="44">
        <f>+VLOOKUP($A362,MAGAZZINO!$B$2:$M$4838,12,FALSE)</f>
        <v/>
      </c>
    </row>
    <row r="363" ht="36" customHeight="1">
      <c r="A363" s="30">
        <f>+REGISTRO!A346</f>
        <v/>
      </c>
      <c r="B363" s="31">
        <f>+VLOOKUP($A363,MAGAZZINO!$B$2:$M$4838,2,FALSE)</f>
        <v/>
      </c>
      <c r="C363" s="32">
        <f>+VLOOKUP($A363,MAGAZZINO!$B$2:$M$4838,3,FALSE)</f>
        <v/>
      </c>
      <c r="D363" s="17">
        <f>+VLOOKUP($A363,MAGAZZINO!$B$2:$M$4838,4,FALSE)</f>
        <v/>
      </c>
      <c r="E363" s="17">
        <f>+VLOOKUP($A363,MAGAZZINO!$B$2:$M$4838,5,FALSE)</f>
        <v/>
      </c>
      <c r="F363" s="17">
        <f>+VLOOKUP($A363,MAGAZZINO!$B$2:$M$4838,6,FALSE)</f>
        <v/>
      </c>
      <c r="G363" s="17">
        <f>+VLOOKUP($A363,MAGAZZINO!$B$2:$M$4838,7,FALSE)</f>
        <v/>
      </c>
      <c r="H363" s="17">
        <f>+VLOOKUP($A363,MAGAZZINO!$B$2:$M$4838,8,FALSE)</f>
        <v/>
      </c>
      <c r="I363" s="17">
        <f>+VLOOKUP($A363,MAGAZZINO!$B$2:$M$4838,9,FALSE)</f>
        <v/>
      </c>
      <c r="J363" s="17">
        <f>+VLOOKUP($A363,MAGAZZINO!$B$2:$M$4838,10,FALSE)</f>
        <v/>
      </c>
      <c r="K363" s="17">
        <f>+VLOOKUP($A363,MAGAZZINO!$B$2:$M$4838,11,FALSE)</f>
        <v/>
      </c>
      <c r="L363" s="44">
        <f>+VLOOKUP($A363,MAGAZZINO!$B$2:$M$4838,12,FALSE)</f>
        <v/>
      </c>
    </row>
    <row r="364" ht="36" customHeight="1">
      <c r="A364" s="30">
        <f>+REGISTRO!A347</f>
        <v/>
      </c>
      <c r="B364" s="31">
        <f>+VLOOKUP($A364,MAGAZZINO!$B$2:$M$4838,2,FALSE)</f>
        <v/>
      </c>
      <c r="C364" s="32">
        <f>+VLOOKUP($A364,MAGAZZINO!$B$2:$M$4838,3,FALSE)</f>
        <v/>
      </c>
      <c r="D364" s="17">
        <f>+VLOOKUP($A364,MAGAZZINO!$B$2:$M$4838,4,FALSE)</f>
        <v/>
      </c>
      <c r="E364" s="17">
        <f>+VLOOKUP($A364,MAGAZZINO!$B$2:$M$4838,5,FALSE)</f>
        <v/>
      </c>
      <c r="F364" s="17">
        <f>+VLOOKUP($A364,MAGAZZINO!$B$2:$M$4838,6,FALSE)</f>
        <v/>
      </c>
      <c r="G364" s="17">
        <f>+VLOOKUP($A364,MAGAZZINO!$B$2:$M$4838,7,FALSE)</f>
        <v/>
      </c>
      <c r="H364" s="17">
        <f>+VLOOKUP($A364,MAGAZZINO!$B$2:$M$4838,8,FALSE)</f>
        <v/>
      </c>
      <c r="I364" s="17">
        <f>+VLOOKUP($A364,MAGAZZINO!$B$2:$M$4838,9,FALSE)</f>
        <v/>
      </c>
      <c r="J364" s="17">
        <f>+VLOOKUP($A364,MAGAZZINO!$B$2:$M$4838,10,FALSE)</f>
        <v/>
      </c>
      <c r="K364" s="17">
        <f>+VLOOKUP($A364,MAGAZZINO!$B$2:$M$4838,11,FALSE)</f>
        <v/>
      </c>
      <c r="L364" s="44">
        <f>+VLOOKUP($A364,MAGAZZINO!$B$2:$M$4838,12,FALSE)</f>
        <v/>
      </c>
    </row>
    <row r="365" ht="36" customHeight="1">
      <c r="A365" s="30">
        <f>+REGISTRO!A348</f>
        <v/>
      </c>
      <c r="B365" s="31">
        <f>+VLOOKUP($A365,MAGAZZINO!$B$2:$M$4838,2,FALSE)</f>
        <v/>
      </c>
      <c r="C365" s="32">
        <f>+VLOOKUP($A365,MAGAZZINO!$B$2:$M$4838,3,FALSE)</f>
        <v/>
      </c>
      <c r="D365" s="17">
        <f>+VLOOKUP($A365,MAGAZZINO!$B$2:$M$4838,4,FALSE)</f>
        <v/>
      </c>
      <c r="E365" s="17">
        <f>+VLOOKUP($A365,MAGAZZINO!$B$2:$M$4838,5,FALSE)</f>
        <v/>
      </c>
      <c r="F365" s="17">
        <f>+VLOOKUP($A365,MAGAZZINO!$B$2:$M$4838,6,FALSE)</f>
        <v/>
      </c>
      <c r="G365" s="17">
        <f>+VLOOKUP($A365,MAGAZZINO!$B$2:$M$4838,7,FALSE)</f>
        <v/>
      </c>
      <c r="H365" s="17">
        <f>+VLOOKUP($A365,MAGAZZINO!$B$2:$M$4838,8,FALSE)</f>
        <v/>
      </c>
      <c r="I365" s="17">
        <f>+VLOOKUP($A365,MAGAZZINO!$B$2:$M$4838,9,FALSE)</f>
        <v/>
      </c>
      <c r="J365" s="17">
        <f>+VLOOKUP($A365,MAGAZZINO!$B$2:$M$4838,10,FALSE)</f>
        <v/>
      </c>
      <c r="K365" s="17">
        <f>+VLOOKUP($A365,MAGAZZINO!$B$2:$M$4838,11,FALSE)</f>
        <v/>
      </c>
      <c r="L365" s="44">
        <f>+VLOOKUP($A365,MAGAZZINO!$B$2:$M$4838,12,FALSE)</f>
        <v/>
      </c>
    </row>
    <row r="366" ht="36" customHeight="1">
      <c r="A366" s="30">
        <f>+REGISTRO!A349</f>
        <v/>
      </c>
      <c r="B366" s="31">
        <f>+VLOOKUP($A366,MAGAZZINO!$B$2:$M$4838,2,FALSE)</f>
        <v/>
      </c>
      <c r="C366" s="32">
        <f>+VLOOKUP($A366,MAGAZZINO!$B$2:$M$4838,3,FALSE)</f>
        <v/>
      </c>
      <c r="D366" s="17">
        <f>+VLOOKUP($A366,MAGAZZINO!$B$2:$M$4838,4,FALSE)</f>
        <v/>
      </c>
      <c r="E366" s="17">
        <f>+VLOOKUP($A366,MAGAZZINO!$B$2:$M$4838,5,FALSE)</f>
        <v/>
      </c>
      <c r="F366" s="17">
        <f>+VLOOKUP($A366,MAGAZZINO!$B$2:$M$4838,6,FALSE)</f>
        <v/>
      </c>
      <c r="G366" s="17">
        <f>+VLOOKUP($A366,MAGAZZINO!$B$2:$M$4838,7,FALSE)</f>
        <v/>
      </c>
      <c r="H366" s="17">
        <f>+VLOOKUP($A366,MAGAZZINO!$B$2:$M$4838,8,FALSE)</f>
        <v/>
      </c>
      <c r="I366" s="17">
        <f>+VLOOKUP($A366,MAGAZZINO!$B$2:$M$4838,9,FALSE)</f>
        <v/>
      </c>
      <c r="J366" s="17">
        <f>+VLOOKUP($A366,MAGAZZINO!$B$2:$M$4838,10,FALSE)</f>
        <v/>
      </c>
      <c r="K366" s="17">
        <f>+VLOOKUP($A366,MAGAZZINO!$B$2:$M$4838,11,FALSE)</f>
        <v/>
      </c>
      <c r="L366" s="44">
        <f>+VLOOKUP($A366,MAGAZZINO!$B$2:$M$4838,12,FALSE)</f>
        <v/>
      </c>
    </row>
    <row r="367" ht="36" customHeight="1">
      <c r="A367" s="30">
        <f>+REGISTRO!A350</f>
        <v/>
      </c>
      <c r="B367" s="31">
        <f>+VLOOKUP($A367,MAGAZZINO!$B$2:$M$4838,2,FALSE)</f>
        <v/>
      </c>
      <c r="C367" s="32">
        <f>+VLOOKUP($A367,MAGAZZINO!$B$2:$M$4838,3,FALSE)</f>
        <v/>
      </c>
      <c r="D367" s="17">
        <f>+VLOOKUP($A367,MAGAZZINO!$B$2:$M$4838,4,FALSE)</f>
        <v/>
      </c>
      <c r="E367" s="17">
        <f>+VLOOKUP($A367,MAGAZZINO!$B$2:$M$4838,5,FALSE)</f>
        <v/>
      </c>
      <c r="F367" s="17">
        <f>+VLOOKUP($A367,MAGAZZINO!$B$2:$M$4838,6,FALSE)</f>
        <v/>
      </c>
      <c r="G367" s="17">
        <f>+VLOOKUP($A367,MAGAZZINO!$B$2:$M$4838,7,FALSE)</f>
        <v/>
      </c>
      <c r="H367" s="17">
        <f>+VLOOKUP($A367,MAGAZZINO!$B$2:$M$4838,8,FALSE)</f>
        <v/>
      </c>
      <c r="I367" s="17">
        <f>+VLOOKUP($A367,MAGAZZINO!$B$2:$M$4838,9,FALSE)</f>
        <v/>
      </c>
      <c r="J367" s="17">
        <f>+VLOOKUP($A367,MAGAZZINO!$B$2:$M$4838,10,FALSE)</f>
        <v/>
      </c>
      <c r="K367" s="17">
        <f>+VLOOKUP($A367,MAGAZZINO!$B$2:$M$4838,11,FALSE)</f>
        <v/>
      </c>
      <c r="L367" s="44">
        <f>+VLOOKUP($A367,MAGAZZINO!$B$2:$M$4838,12,FALSE)</f>
        <v/>
      </c>
    </row>
    <row r="368" ht="36" customHeight="1">
      <c r="A368" s="30">
        <f>+REGISTRO!A351</f>
        <v/>
      </c>
      <c r="B368" s="31">
        <f>+VLOOKUP($A368,MAGAZZINO!$B$2:$M$4838,2,FALSE)</f>
        <v/>
      </c>
      <c r="C368" s="32">
        <f>+VLOOKUP($A368,MAGAZZINO!$B$2:$M$4838,3,FALSE)</f>
        <v/>
      </c>
      <c r="D368" s="17">
        <f>+VLOOKUP($A368,MAGAZZINO!$B$2:$M$4838,4,FALSE)</f>
        <v/>
      </c>
      <c r="E368" s="17">
        <f>+VLOOKUP($A368,MAGAZZINO!$B$2:$M$4838,5,FALSE)</f>
        <v/>
      </c>
      <c r="F368" s="17">
        <f>+VLOOKUP($A368,MAGAZZINO!$B$2:$M$4838,6,FALSE)</f>
        <v/>
      </c>
      <c r="G368" s="17">
        <f>+VLOOKUP($A368,MAGAZZINO!$B$2:$M$4838,7,FALSE)</f>
        <v/>
      </c>
      <c r="H368" s="17">
        <f>+VLOOKUP($A368,MAGAZZINO!$B$2:$M$4838,8,FALSE)</f>
        <v/>
      </c>
      <c r="I368" s="17">
        <f>+VLOOKUP($A368,MAGAZZINO!$B$2:$M$4838,9,FALSE)</f>
        <v/>
      </c>
      <c r="J368" s="17">
        <f>+VLOOKUP($A368,MAGAZZINO!$B$2:$M$4838,10,FALSE)</f>
        <v/>
      </c>
      <c r="K368" s="17">
        <f>+VLOOKUP($A368,MAGAZZINO!$B$2:$M$4838,11,FALSE)</f>
        <v/>
      </c>
      <c r="L368" s="44">
        <f>+VLOOKUP($A368,MAGAZZINO!$B$2:$M$4838,12,FALSE)</f>
        <v/>
      </c>
    </row>
    <row r="369" ht="36" customHeight="1">
      <c r="A369" s="30">
        <f>+REGISTRO!A352</f>
        <v/>
      </c>
      <c r="B369" s="31">
        <f>+VLOOKUP($A369,MAGAZZINO!$B$2:$M$4838,2,FALSE)</f>
        <v/>
      </c>
      <c r="C369" s="32">
        <f>+VLOOKUP($A369,MAGAZZINO!$B$2:$M$4838,3,FALSE)</f>
        <v/>
      </c>
      <c r="D369" s="17">
        <f>+VLOOKUP($A369,MAGAZZINO!$B$2:$M$4838,4,FALSE)</f>
        <v/>
      </c>
      <c r="E369" s="17">
        <f>+VLOOKUP($A369,MAGAZZINO!$B$2:$M$4838,5,FALSE)</f>
        <v/>
      </c>
      <c r="F369" s="17">
        <f>+VLOOKUP($A369,MAGAZZINO!$B$2:$M$4838,6,FALSE)</f>
        <v/>
      </c>
      <c r="G369" s="17">
        <f>+VLOOKUP($A369,MAGAZZINO!$B$2:$M$4838,7,FALSE)</f>
        <v/>
      </c>
      <c r="H369" s="17">
        <f>+VLOOKUP($A369,MAGAZZINO!$B$2:$M$4838,8,FALSE)</f>
        <v/>
      </c>
      <c r="I369" s="17">
        <f>+VLOOKUP($A369,MAGAZZINO!$B$2:$M$4838,9,FALSE)</f>
        <v/>
      </c>
      <c r="J369" s="17">
        <f>+VLOOKUP($A369,MAGAZZINO!$B$2:$M$4838,10,FALSE)</f>
        <v/>
      </c>
      <c r="K369" s="17">
        <f>+VLOOKUP($A369,MAGAZZINO!$B$2:$M$4838,11,FALSE)</f>
        <v/>
      </c>
      <c r="L369" s="44">
        <f>+VLOOKUP($A369,MAGAZZINO!$B$2:$M$4838,12,FALSE)</f>
        <v/>
      </c>
    </row>
    <row r="370" ht="36" customHeight="1">
      <c r="A370" s="30">
        <f>+REGISTRO!A353</f>
        <v/>
      </c>
      <c r="B370" s="31">
        <f>+VLOOKUP($A370,MAGAZZINO!$B$2:$M$4838,2,FALSE)</f>
        <v/>
      </c>
      <c r="C370" s="32">
        <f>+VLOOKUP($A370,MAGAZZINO!$B$2:$M$4838,3,FALSE)</f>
        <v/>
      </c>
      <c r="D370" s="17">
        <f>+VLOOKUP($A370,MAGAZZINO!$B$2:$M$4838,4,FALSE)</f>
        <v/>
      </c>
      <c r="E370" s="17">
        <f>+VLOOKUP($A370,MAGAZZINO!$B$2:$M$4838,5,FALSE)</f>
        <v/>
      </c>
      <c r="F370" s="17">
        <f>+VLOOKUP($A370,MAGAZZINO!$B$2:$M$4838,6,FALSE)</f>
        <v/>
      </c>
      <c r="G370" s="17">
        <f>+VLOOKUP($A370,MAGAZZINO!$B$2:$M$4838,7,FALSE)</f>
        <v/>
      </c>
      <c r="H370" s="17">
        <f>+VLOOKUP($A370,MAGAZZINO!$B$2:$M$4838,8,FALSE)</f>
        <v/>
      </c>
      <c r="I370" s="17">
        <f>+VLOOKUP($A370,MAGAZZINO!$B$2:$M$4838,9,FALSE)</f>
        <v/>
      </c>
      <c r="J370" s="17">
        <f>+VLOOKUP($A370,MAGAZZINO!$B$2:$M$4838,10,FALSE)</f>
        <v/>
      </c>
      <c r="K370" s="17">
        <f>+VLOOKUP($A370,MAGAZZINO!$B$2:$M$4838,11,FALSE)</f>
        <v/>
      </c>
      <c r="L370" s="44">
        <f>+VLOOKUP($A370,MAGAZZINO!$B$2:$M$4838,12,FALSE)</f>
        <v/>
      </c>
    </row>
    <row r="371" ht="36" customHeight="1">
      <c r="A371" s="30">
        <f>+REGISTRO!A354</f>
        <v/>
      </c>
      <c r="B371" s="31">
        <f>+VLOOKUP($A371,MAGAZZINO!$B$2:$M$4838,2,FALSE)</f>
        <v/>
      </c>
      <c r="C371" s="32">
        <f>+VLOOKUP($A371,MAGAZZINO!$B$2:$M$4838,3,FALSE)</f>
        <v/>
      </c>
      <c r="D371" s="17">
        <f>+VLOOKUP($A371,MAGAZZINO!$B$2:$M$4838,4,FALSE)</f>
        <v/>
      </c>
      <c r="E371" s="17">
        <f>+VLOOKUP($A371,MAGAZZINO!$B$2:$M$4838,5,FALSE)</f>
        <v/>
      </c>
      <c r="F371" s="17">
        <f>+VLOOKUP($A371,MAGAZZINO!$B$2:$M$4838,6,FALSE)</f>
        <v/>
      </c>
      <c r="G371" s="17">
        <f>+VLOOKUP($A371,MAGAZZINO!$B$2:$M$4838,7,FALSE)</f>
        <v/>
      </c>
      <c r="H371" s="17">
        <f>+VLOOKUP($A371,MAGAZZINO!$B$2:$M$4838,8,FALSE)</f>
        <v/>
      </c>
      <c r="I371" s="17">
        <f>+VLOOKUP($A371,MAGAZZINO!$B$2:$M$4838,9,FALSE)</f>
        <v/>
      </c>
      <c r="J371" s="17">
        <f>+VLOOKUP($A371,MAGAZZINO!$B$2:$M$4838,10,FALSE)</f>
        <v/>
      </c>
      <c r="K371" s="17">
        <f>+VLOOKUP($A371,MAGAZZINO!$B$2:$M$4838,11,FALSE)</f>
        <v/>
      </c>
      <c r="L371" s="44">
        <f>+VLOOKUP($A371,MAGAZZINO!$B$2:$M$4838,12,FALSE)</f>
        <v/>
      </c>
    </row>
    <row r="372" ht="36" customHeight="1">
      <c r="A372" s="30">
        <f>+REGISTRO!A355</f>
        <v/>
      </c>
      <c r="B372" s="31">
        <f>+VLOOKUP($A372,MAGAZZINO!$B$2:$M$4838,2,FALSE)</f>
        <v/>
      </c>
      <c r="C372" s="32">
        <f>+VLOOKUP($A372,MAGAZZINO!$B$2:$M$4838,3,FALSE)</f>
        <v/>
      </c>
      <c r="D372" s="17">
        <f>+VLOOKUP($A372,MAGAZZINO!$B$2:$M$4838,4,FALSE)</f>
        <v/>
      </c>
      <c r="E372" s="17">
        <f>+VLOOKUP($A372,MAGAZZINO!$B$2:$M$4838,5,FALSE)</f>
        <v/>
      </c>
      <c r="F372" s="17">
        <f>+VLOOKUP($A372,MAGAZZINO!$B$2:$M$4838,6,FALSE)</f>
        <v/>
      </c>
      <c r="G372" s="17">
        <f>+VLOOKUP($A372,MAGAZZINO!$B$2:$M$4838,7,FALSE)</f>
        <v/>
      </c>
      <c r="H372" s="17">
        <f>+VLOOKUP($A372,MAGAZZINO!$B$2:$M$4838,8,FALSE)</f>
        <v/>
      </c>
      <c r="I372" s="17">
        <f>+VLOOKUP($A372,MAGAZZINO!$B$2:$M$4838,9,FALSE)</f>
        <v/>
      </c>
      <c r="J372" s="17">
        <f>+VLOOKUP($A372,MAGAZZINO!$B$2:$M$4838,10,FALSE)</f>
        <v/>
      </c>
      <c r="K372" s="17">
        <f>+VLOOKUP($A372,MAGAZZINO!$B$2:$M$4838,11,FALSE)</f>
        <v/>
      </c>
      <c r="L372" s="44">
        <f>+VLOOKUP($A372,MAGAZZINO!$B$2:$M$4838,12,FALSE)</f>
        <v/>
      </c>
    </row>
    <row r="373" ht="36" customHeight="1">
      <c r="A373" s="30">
        <f>+REGISTRO!A356</f>
        <v/>
      </c>
      <c r="B373" s="31">
        <f>+VLOOKUP($A373,MAGAZZINO!$B$2:$M$4838,2,FALSE)</f>
        <v/>
      </c>
      <c r="C373" s="32">
        <f>+VLOOKUP($A373,MAGAZZINO!$B$2:$M$4838,3,FALSE)</f>
        <v/>
      </c>
      <c r="D373" s="17">
        <f>+VLOOKUP($A373,MAGAZZINO!$B$2:$M$4838,4,FALSE)</f>
        <v/>
      </c>
      <c r="E373" s="17">
        <f>+VLOOKUP($A373,MAGAZZINO!$B$2:$M$4838,5,FALSE)</f>
        <v/>
      </c>
      <c r="F373" s="17">
        <f>+VLOOKUP($A373,MAGAZZINO!$B$2:$M$4838,6,FALSE)</f>
        <v/>
      </c>
      <c r="G373" s="17">
        <f>+VLOOKUP($A373,MAGAZZINO!$B$2:$M$4838,7,FALSE)</f>
        <v/>
      </c>
      <c r="H373" s="17">
        <f>+VLOOKUP($A373,MAGAZZINO!$B$2:$M$4838,8,FALSE)</f>
        <v/>
      </c>
      <c r="I373" s="17">
        <f>+VLOOKUP($A373,MAGAZZINO!$B$2:$M$4838,9,FALSE)</f>
        <v/>
      </c>
      <c r="J373" s="17">
        <f>+VLOOKUP($A373,MAGAZZINO!$B$2:$M$4838,10,FALSE)</f>
        <v/>
      </c>
      <c r="K373" s="17">
        <f>+VLOOKUP($A373,MAGAZZINO!$B$2:$M$4838,11,FALSE)</f>
        <v/>
      </c>
      <c r="L373" s="44">
        <f>+VLOOKUP($A373,MAGAZZINO!$B$2:$M$4838,12,FALSE)</f>
        <v/>
      </c>
    </row>
    <row r="374" ht="36" customHeight="1">
      <c r="A374" s="30">
        <f>+REGISTRO!A357</f>
        <v/>
      </c>
      <c r="B374" s="31">
        <f>+VLOOKUP($A374,MAGAZZINO!$B$2:$M$4838,2,FALSE)</f>
        <v/>
      </c>
      <c r="C374" s="32">
        <f>+VLOOKUP($A374,MAGAZZINO!$B$2:$M$4838,3,FALSE)</f>
        <v/>
      </c>
      <c r="D374" s="17">
        <f>+VLOOKUP($A374,MAGAZZINO!$B$2:$M$4838,4,FALSE)</f>
        <v/>
      </c>
      <c r="E374" s="17">
        <f>+VLOOKUP($A374,MAGAZZINO!$B$2:$M$4838,5,FALSE)</f>
        <v/>
      </c>
      <c r="F374" s="17">
        <f>+VLOOKUP($A374,MAGAZZINO!$B$2:$M$4838,6,FALSE)</f>
        <v/>
      </c>
      <c r="G374" s="17">
        <f>+VLOOKUP($A374,MAGAZZINO!$B$2:$M$4838,7,FALSE)</f>
        <v/>
      </c>
      <c r="H374" s="17">
        <f>+VLOOKUP($A374,MAGAZZINO!$B$2:$M$4838,8,FALSE)</f>
        <v/>
      </c>
      <c r="I374" s="17">
        <f>+VLOOKUP($A374,MAGAZZINO!$B$2:$M$4838,9,FALSE)</f>
        <v/>
      </c>
      <c r="J374" s="17">
        <f>+VLOOKUP($A374,MAGAZZINO!$B$2:$M$4838,10,FALSE)</f>
        <v/>
      </c>
      <c r="K374" s="17">
        <f>+VLOOKUP($A374,MAGAZZINO!$B$2:$M$4838,11,FALSE)</f>
        <v/>
      </c>
      <c r="L374" s="44">
        <f>+VLOOKUP($A374,MAGAZZINO!$B$2:$M$4838,12,FALSE)</f>
        <v/>
      </c>
    </row>
    <row r="375" ht="36" customHeight="1">
      <c r="A375" s="30">
        <f>+REGISTRO!A358</f>
        <v/>
      </c>
      <c r="B375" s="31">
        <f>+VLOOKUP($A375,MAGAZZINO!$B$2:$M$4838,2,FALSE)</f>
        <v/>
      </c>
      <c r="C375" s="32">
        <f>+VLOOKUP($A375,MAGAZZINO!$B$2:$M$4838,3,FALSE)</f>
        <v/>
      </c>
      <c r="D375" s="17">
        <f>+VLOOKUP($A375,MAGAZZINO!$B$2:$M$4838,4,FALSE)</f>
        <v/>
      </c>
      <c r="E375" s="17">
        <f>+VLOOKUP($A375,MAGAZZINO!$B$2:$M$4838,5,FALSE)</f>
        <v/>
      </c>
      <c r="F375" s="17">
        <f>+VLOOKUP($A375,MAGAZZINO!$B$2:$M$4838,6,FALSE)</f>
        <v/>
      </c>
      <c r="G375" s="17">
        <f>+VLOOKUP($A375,MAGAZZINO!$B$2:$M$4838,7,FALSE)</f>
        <v/>
      </c>
      <c r="H375" s="17">
        <f>+VLOOKUP($A375,MAGAZZINO!$B$2:$M$4838,8,FALSE)</f>
        <v/>
      </c>
      <c r="I375" s="17">
        <f>+VLOOKUP($A375,MAGAZZINO!$B$2:$M$4838,9,FALSE)</f>
        <v/>
      </c>
      <c r="J375" s="17">
        <f>+VLOOKUP($A375,MAGAZZINO!$B$2:$M$4838,10,FALSE)</f>
        <v/>
      </c>
      <c r="K375" s="17">
        <f>+VLOOKUP($A375,MAGAZZINO!$B$2:$M$4838,11,FALSE)</f>
        <v/>
      </c>
      <c r="L375" s="44">
        <f>+VLOOKUP($A375,MAGAZZINO!$B$2:$M$4838,12,FALSE)</f>
        <v/>
      </c>
    </row>
    <row r="376" ht="36" customHeight="1">
      <c r="A376" s="30">
        <f>+REGISTRO!A359</f>
        <v/>
      </c>
      <c r="B376" s="31">
        <f>+VLOOKUP($A376,MAGAZZINO!$B$2:$M$4838,2,FALSE)</f>
        <v/>
      </c>
      <c r="C376" s="32">
        <f>+VLOOKUP($A376,MAGAZZINO!$B$2:$M$4838,3,FALSE)</f>
        <v/>
      </c>
      <c r="D376" s="17">
        <f>+VLOOKUP($A376,MAGAZZINO!$B$2:$M$4838,4,FALSE)</f>
        <v/>
      </c>
      <c r="E376" s="17">
        <f>+VLOOKUP($A376,MAGAZZINO!$B$2:$M$4838,5,FALSE)</f>
        <v/>
      </c>
      <c r="F376" s="17">
        <f>+VLOOKUP($A376,MAGAZZINO!$B$2:$M$4838,6,FALSE)</f>
        <v/>
      </c>
      <c r="G376" s="17">
        <f>+VLOOKUP($A376,MAGAZZINO!$B$2:$M$4838,7,FALSE)</f>
        <v/>
      </c>
      <c r="H376" s="17">
        <f>+VLOOKUP($A376,MAGAZZINO!$B$2:$M$4838,8,FALSE)</f>
        <v/>
      </c>
      <c r="I376" s="17">
        <f>+VLOOKUP($A376,MAGAZZINO!$B$2:$M$4838,9,FALSE)</f>
        <v/>
      </c>
      <c r="J376" s="17">
        <f>+VLOOKUP($A376,MAGAZZINO!$B$2:$M$4838,10,FALSE)</f>
        <v/>
      </c>
      <c r="K376" s="17">
        <f>+VLOOKUP($A376,MAGAZZINO!$B$2:$M$4838,11,FALSE)</f>
        <v/>
      </c>
      <c r="L376" s="44">
        <f>+VLOOKUP($A376,MAGAZZINO!$B$2:$M$4838,12,FALSE)</f>
        <v/>
      </c>
    </row>
    <row r="377" ht="36" customHeight="1">
      <c r="A377" s="30">
        <f>+REGISTRO!A360</f>
        <v/>
      </c>
      <c r="B377" s="31">
        <f>+VLOOKUP($A377,MAGAZZINO!$B$2:$M$4838,2,FALSE)</f>
        <v/>
      </c>
      <c r="C377" s="32">
        <f>+VLOOKUP($A377,MAGAZZINO!$B$2:$M$4838,3,FALSE)</f>
        <v/>
      </c>
      <c r="D377" s="17">
        <f>+VLOOKUP($A377,MAGAZZINO!$B$2:$M$4838,4,FALSE)</f>
        <v/>
      </c>
      <c r="E377" s="17">
        <f>+VLOOKUP($A377,MAGAZZINO!$B$2:$M$4838,5,FALSE)</f>
        <v/>
      </c>
      <c r="F377" s="17">
        <f>+VLOOKUP($A377,MAGAZZINO!$B$2:$M$4838,6,FALSE)</f>
        <v/>
      </c>
      <c r="G377" s="17">
        <f>+VLOOKUP($A377,MAGAZZINO!$B$2:$M$4838,7,FALSE)</f>
        <v/>
      </c>
      <c r="H377" s="17">
        <f>+VLOOKUP($A377,MAGAZZINO!$B$2:$M$4838,8,FALSE)</f>
        <v/>
      </c>
      <c r="I377" s="17">
        <f>+VLOOKUP($A377,MAGAZZINO!$B$2:$M$4838,9,FALSE)</f>
        <v/>
      </c>
      <c r="J377" s="17">
        <f>+VLOOKUP($A377,MAGAZZINO!$B$2:$M$4838,10,FALSE)</f>
        <v/>
      </c>
      <c r="K377" s="17">
        <f>+VLOOKUP($A377,MAGAZZINO!$B$2:$M$4838,11,FALSE)</f>
        <v/>
      </c>
      <c r="L377" s="44">
        <f>+VLOOKUP($A377,MAGAZZINO!$B$2:$M$4838,12,FALSE)</f>
        <v/>
      </c>
    </row>
    <row r="378" ht="36" customHeight="1">
      <c r="A378" s="30">
        <f>+REGISTRO!A361</f>
        <v/>
      </c>
      <c r="B378" s="31">
        <f>+VLOOKUP($A378,MAGAZZINO!$B$2:$M$4838,2,FALSE)</f>
        <v/>
      </c>
      <c r="C378" s="32">
        <f>+VLOOKUP($A378,MAGAZZINO!$B$2:$M$4838,3,FALSE)</f>
        <v/>
      </c>
      <c r="D378" s="17">
        <f>+VLOOKUP($A378,MAGAZZINO!$B$2:$M$4838,4,FALSE)</f>
        <v/>
      </c>
      <c r="E378" s="17">
        <f>+VLOOKUP($A378,MAGAZZINO!$B$2:$M$4838,5,FALSE)</f>
        <v/>
      </c>
      <c r="F378" s="17">
        <f>+VLOOKUP($A378,MAGAZZINO!$B$2:$M$4838,6,FALSE)</f>
        <v/>
      </c>
      <c r="G378" s="17">
        <f>+VLOOKUP($A378,MAGAZZINO!$B$2:$M$4838,7,FALSE)</f>
        <v/>
      </c>
      <c r="H378" s="17">
        <f>+VLOOKUP($A378,MAGAZZINO!$B$2:$M$4838,8,FALSE)</f>
        <v/>
      </c>
      <c r="I378" s="17">
        <f>+VLOOKUP($A378,MAGAZZINO!$B$2:$M$4838,9,FALSE)</f>
        <v/>
      </c>
      <c r="J378" s="17">
        <f>+VLOOKUP($A378,MAGAZZINO!$B$2:$M$4838,10,FALSE)</f>
        <v/>
      </c>
      <c r="K378" s="17">
        <f>+VLOOKUP($A378,MAGAZZINO!$B$2:$M$4838,11,FALSE)</f>
        <v/>
      </c>
      <c r="L378" s="44">
        <f>+VLOOKUP($A378,MAGAZZINO!$B$2:$M$4838,12,FALSE)</f>
        <v/>
      </c>
    </row>
    <row r="379" ht="36" customHeight="1">
      <c r="A379" s="30">
        <f>+REGISTRO!A362</f>
        <v/>
      </c>
      <c r="B379" s="31">
        <f>+VLOOKUP($A379,MAGAZZINO!$B$2:$M$4838,2,FALSE)</f>
        <v/>
      </c>
      <c r="C379" s="32">
        <f>+VLOOKUP($A379,MAGAZZINO!$B$2:$M$4838,3,FALSE)</f>
        <v/>
      </c>
      <c r="D379" s="17">
        <f>+VLOOKUP($A379,MAGAZZINO!$B$2:$M$4838,4,FALSE)</f>
        <v/>
      </c>
      <c r="E379" s="17">
        <f>+VLOOKUP($A379,MAGAZZINO!$B$2:$M$4838,5,FALSE)</f>
        <v/>
      </c>
      <c r="F379" s="17">
        <f>+VLOOKUP($A379,MAGAZZINO!$B$2:$M$4838,6,FALSE)</f>
        <v/>
      </c>
      <c r="G379" s="17">
        <f>+VLOOKUP($A379,MAGAZZINO!$B$2:$M$4838,7,FALSE)</f>
        <v/>
      </c>
      <c r="H379" s="17">
        <f>+VLOOKUP($A379,MAGAZZINO!$B$2:$M$4838,8,FALSE)</f>
        <v/>
      </c>
      <c r="I379" s="17">
        <f>+VLOOKUP($A379,MAGAZZINO!$B$2:$M$4838,9,FALSE)</f>
        <v/>
      </c>
      <c r="J379" s="17">
        <f>+VLOOKUP($A379,MAGAZZINO!$B$2:$M$4838,10,FALSE)</f>
        <v/>
      </c>
      <c r="K379" s="17">
        <f>+VLOOKUP($A379,MAGAZZINO!$B$2:$M$4838,11,FALSE)</f>
        <v/>
      </c>
      <c r="L379" s="44">
        <f>+VLOOKUP($A379,MAGAZZINO!$B$2:$M$4838,12,FALSE)</f>
        <v/>
      </c>
    </row>
    <row r="380" ht="36" customHeight="1">
      <c r="A380" s="30">
        <f>+REGISTRO!A363</f>
        <v/>
      </c>
      <c r="B380" s="31">
        <f>+VLOOKUP($A380,MAGAZZINO!$B$2:$M$4838,2,FALSE)</f>
        <v/>
      </c>
      <c r="C380" s="32">
        <f>+VLOOKUP($A380,MAGAZZINO!$B$2:$M$4838,3,FALSE)</f>
        <v/>
      </c>
      <c r="D380" s="17">
        <f>+VLOOKUP($A380,MAGAZZINO!$B$2:$M$4838,4,FALSE)</f>
        <v/>
      </c>
      <c r="E380" s="17">
        <f>+VLOOKUP($A380,MAGAZZINO!$B$2:$M$4838,5,FALSE)</f>
        <v/>
      </c>
      <c r="F380" s="17">
        <f>+VLOOKUP($A380,MAGAZZINO!$B$2:$M$4838,6,FALSE)</f>
        <v/>
      </c>
      <c r="G380" s="17">
        <f>+VLOOKUP($A380,MAGAZZINO!$B$2:$M$4838,7,FALSE)</f>
        <v/>
      </c>
      <c r="H380" s="17">
        <f>+VLOOKUP($A380,MAGAZZINO!$B$2:$M$4838,8,FALSE)</f>
        <v/>
      </c>
      <c r="I380" s="17">
        <f>+VLOOKUP($A380,MAGAZZINO!$B$2:$M$4838,9,FALSE)</f>
        <v/>
      </c>
      <c r="J380" s="17">
        <f>+VLOOKUP($A380,MAGAZZINO!$B$2:$M$4838,10,FALSE)</f>
        <v/>
      </c>
      <c r="K380" s="17">
        <f>+VLOOKUP($A380,MAGAZZINO!$B$2:$M$4838,11,FALSE)</f>
        <v/>
      </c>
      <c r="L380" s="44">
        <f>+VLOOKUP($A380,MAGAZZINO!$B$2:$M$4838,12,FALSE)</f>
        <v/>
      </c>
    </row>
    <row r="381" ht="36" customHeight="1">
      <c r="A381" s="30">
        <f>+REGISTRO!A364</f>
        <v/>
      </c>
      <c r="B381" s="31">
        <f>+VLOOKUP($A381,MAGAZZINO!$B$2:$M$4838,2,FALSE)</f>
        <v/>
      </c>
      <c r="C381" s="32">
        <f>+VLOOKUP($A381,MAGAZZINO!$B$2:$M$4838,3,FALSE)</f>
        <v/>
      </c>
      <c r="D381" s="17">
        <f>+VLOOKUP($A381,MAGAZZINO!$B$2:$M$4838,4,FALSE)</f>
        <v/>
      </c>
      <c r="E381" s="17">
        <f>+VLOOKUP($A381,MAGAZZINO!$B$2:$M$4838,5,FALSE)</f>
        <v/>
      </c>
      <c r="F381" s="17">
        <f>+VLOOKUP($A381,MAGAZZINO!$B$2:$M$4838,6,FALSE)</f>
        <v/>
      </c>
      <c r="G381" s="17">
        <f>+VLOOKUP($A381,MAGAZZINO!$B$2:$M$4838,7,FALSE)</f>
        <v/>
      </c>
      <c r="H381" s="17">
        <f>+VLOOKUP($A381,MAGAZZINO!$B$2:$M$4838,8,FALSE)</f>
        <v/>
      </c>
      <c r="I381" s="17">
        <f>+VLOOKUP($A381,MAGAZZINO!$B$2:$M$4838,9,FALSE)</f>
        <v/>
      </c>
      <c r="J381" s="17">
        <f>+VLOOKUP($A381,MAGAZZINO!$B$2:$M$4838,10,FALSE)</f>
        <v/>
      </c>
      <c r="K381" s="17">
        <f>+VLOOKUP($A381,MAGAZZINO!$B$2:$M$4838,11,FALSE)</f>
        <v/>
      </c>
      <c r="L381" s="44">
        <f>+VLOOKUP($A381,MAGAZZINO!$B$2:$M$4838,12,FALSE)</f>
        <v/>
      </c>
    </row>
    <row r="382" ht="36" customHeight="1">
      <c r="A382" s="30">
        <f>+REGISTRO!A365</f>
        <v/>
      </c>
      <c r="B382" s="31">
        <f>+VLOOKUP($A382,MAGAZZINO!$B$2:$M$4838,2,FALSE)</f>
        <v/>
      </c>
      <c r="C382" s="32">
        <f>+VLOOKUP($A382,MAGAZZINO!$B$2:$M$4838,3,FALSE)</f>
        <v/>
      </c>
      <c r="D382" s="17">
        <f>+VLOOKUP($A382,MAGAZZINO!$B$2:$M$4838,4,FALSE)</f>
        <v/>
      </c>
      <c r="E382" s="17">
        <f>+VLOOKUP($A382,MAGAZZINO!$B$2:$M$4838,5,FALSE)</f>
        <v/>
      </c>
      <c r="F382" s="17">
        <f>+VLOOKUP($A382,MAGAZZINO!$B$2:$M$4838,6,FALSE)</f>
        <v/>
      </c>
      <c r="G382" s="17">
        <f>+VLOOKUP($A382,MAGAZZINO!$B$2:$M$4838,7,FALSE)</f>
        <v/>
      </c>
      <c r="H382" s="17">
        <f>+VLOOKUP($A382,MAGAZZINO!$B$2:$M$4838,8,FALSE)</f>
        <v/>
      </c>
      <c r="I382" s="17">
        <f>+VLOOKUP($A382,MAGAZZINO!$B$2:$M$4838,9,FALSE)</f>
        <v/>
      </c>
      <c r="J382" s="17">
        <f>+VLOOKUP($A382,MAGAZZINO!$B$2:$M$4838,10,FALSE)</f>
        <v/>
      </c>
      <c r="K382" s="17">
        <f>+VLOOKUP($A382,MAGAZZINO!$B$2:$M$4838,11,FALSE)</f>
        <v/>
      </c>
      <c r="L382" s="44">
        <f>+VLOOKUP($A382,MAGAZZINO!$B$2:$M$4838,12,FALSE)</f>
        <v/>
      </c>
    </row>
    <row r="383" ht="36" customHeight="1">
      <c r="A383" s="30">
        <f>+REGISTRO!A366</f>
        <v/>
      </c>
      <c r="B383" s="31">
        <f>+VLOOKUP($A383,MAGAZZINO!$B$2:$M$4838,2,FALSE)</f>
        <v/>
      </c>
      <c r="C383" s="32">
        <f>+VLOOKUP($A383,MAGAZZINO!$B$2:$M$4838,3,FALSE)</f>
        <v/>
      </c>
      <c r="D383" s="17">
        <f>+VLOOKUP($A383,MAGAZZINO!$B$2:$M$4838,4,FALSE)</f>
        <v/>
      </c>
      <c r="E383" s="17">
        <f>+VLOOKUP($A383,MAGAZZINO!$B$2:$M$4838,5,FALSE)</f>
        <v/>
      </c>
      <c r="F383" s="17">
        <f>+VLOOKUP($A383,MAGAZZINO!$B$2:$M$4838,6,FALSE)</f>
        <v/>
      </c>
      <c r="G383" s="17">
        <f>+VLOOKUP($A383,MAGAZZINO!$B$2:$M$4838,7,FALSE)</f>
        <v/>
      </c>
      <c r="H383" s="17">
        <f>+VLOOKUP($A383,MAGAZZINO!$B$2:$M$4838,8,FALSE)</f>
        <v/>
      </c>
      <c r="I383" s="17">
        <f>+VLOOKUP($A383,MAGAZZINO!$B$2:$M$4838,9,FALSE)</f>
        <v/>
      </c>
      <c r="J383" s="17">
        <f>+VLOOKUP($A383,MAGAZZINO!$B$2:$M$4838,10,FALSE)</f>
        <v/>
      </c>
      <c r="K383" s="17">
        <f>+VLOOKUP($A383,MAGAZZINO!$B$2:$M$4838,11,FALSE)</f>
        <v/>
      </c>
      <c r="L383" s="44">
        <f>+VLOOKUP($A383,MAGAZZINO!$B$2:$M$4838,12,FALSE)</f>
        <v/>
      </c>
    </row>
    <row r="384" ht="36" customHeight="1">
      <c r="A384" s="30">
        <f>+REGISTRO!A367</f>
        <v/>
      </c>
      <c r="B384" s="31">
        <f>+VLOOKUP($A384,MAGAZZINO!$B$2:$M$4838,2,FALSE)</f>
        <v/>
      </c>
      <c r="C384" s="32">
        <f>+VLOOKUP($A384,MAGAZZINO!$B$2:$M$4838,3,FALSE)</f>
        <v/>
      </c>
      <c r="D384" s="17">
        <f>+VLOOKUP($A384,MAGAZZINO!$B$2:$M$4838,4,FALSE)</f>
        <v/>
      </c>
      <c r="E384" s="17">
        <f>+VLOOKUP($A384,MAGAZZINO!$B$2:$M$4838,5,FALSE)</f>
        <v/>
      </c>
      <c r="F384" s="17">
        <f>+VLOOKUP($A384,MAGAZZINO!$B$2:$M$4838,6,FALSE)</f>
        <v/>
      </c>
      <c r="G384" s="17">
        <f>+VLOOKUP($A384,MAGAZZINO!$B$2:$M$4838,7,FALSE)</f>
        <v/>
      </c>
      <c r="H384" s="17">
        <f>+VLOOKUP($A384,MAGAZZINO!$B$2:$M$4838,8,FALSE)</f>
        <v/>
      </c>
      <c r="I384" s="17">
        <f>+VLOOKUP($A384,MAGAZZINO!$B$2:$M$4838,9,FALSE)</f>
        <v/>
      </c>
      <c r="J384" s="17">
        <f>+VLOOKUP($A384,MAGAZZINO!$B$2:$M$4838,10,FALSE)</f>
        <v/>
      </c>
      <c r="K384" s="17">
        <f>+VLOOKUP($A384,MAGAZZINO!$B$2:$M$4838,11,FALSE)</f>
        <v/>
      </c>
      <c r="L384" s="44">
        <f>+VLOOKUP($A384,MAGAZZINO!$B$2:$M$4838,12,FALSE)</f>
        <v/>
      </c>
    </row>
    <row r="385" ht="36" customHeight="1">
      <c r="A385" s="30">
        <f>+REGISTRO!A368</f>
        <v/>
      </c>
      <c r="B385" s="31">
        <f>+VLOOKUP($A385,MAGAZZINO!$B$2:$M$4838,2,FALSE)</f>
        <v/>
      </c>
      <c r="C385" s="32">
        <f>+VLOOKUP($A385,MAGAZZINO!$B$2:$M$4838,3,FALSE)</f>
        <v/>
      </c>
      <c r="D385" s="17">
        <f>+VLOOKUP($A385,MAGAZZINO!$B$2:$M$4838,4,FALSE)</f>
        <v/>
      </c>
      <c r="E385" s="17">
        <f>+VLOOKUP($A385,MAGAZZINO!$B$2:$M$4838,5,FALSE)</f>
        <v/>
      </c>
      <c r="F385" s="17">
        <f>+VLOOKUP($A385,MAGAZZINO!$B$2:$M$4838,6,FALSE)</f>
        <v/>
      </c>
      <c r="G385" s="17">
        <f>+VLOOKUP($A385,MAGAZZINO!$B$2:$M$4838,7,FALSE)</f>
        <v/>
      </c>
      <c r="H385" s="17">
        <f>+VLOOKUP($A385,MAGAZZINO!$B$2:$M$4838,8,FALSE)</f>
        <v/>
      </c>
      <c r="I385" s="17">
        <f>+VLOOKUP($A385,MAGAZZINO!$B$2:$M$4838,9,FALSE)</f>
        <v/>
      </c>
      <c r="J385" s="17">
        <f>+VLOOKUP($A385,MAGAZZINO!$B$2:$M$4838,10,FALSE)</f>
        <v/>
      </c>
      <c r="K385" s="17">
        <f>+VLOOKUP($A385,MAGAZZINO!$B$2:$M$4838,11,FALSE)</f>
        <v/>
      </c>
      <c r="L385" s="44">
        <f>+VLOOKUP($A385,MAGAZZINO!$B$2:$M$4838,12,FALSE)</f>
        <v/>
      </c>
    </row>
    <row r="386" ht="36" customHeight="1">
      <c r="A386" s="30">
        <f>+REGISTRO!A369</f>
        <v/>
      </c>
      <c r="B386" s="31">
        <f>+VLOOKUP($A386,MAGAZZINO!$B$2:$M$4838,2,FALSE)</f>
        <v/>
      </c>
      <c r="C386" s="32">
        <f>+VLOOKUP($A386,MAGAZZINO!$B$2:$M$4838,3,FALSE)</f>
        <v/>
      </c>
      <c r="D386" s="17">
        <f>+VLOOKUP($A386,MAGAZZINO!$B$2:$M$4838,4,FALSE)</f>
        <v/>
      </c>
      <c r="E386" s="17">
        <f>+VLOOKUP($A386,MAGAZZINO!$B$2:$M$4838,5,FALSE)</f>
        <v/>
      </c>
      <c r="F386" s="17">
        <f>+VLOOKUP($A386,MAGAZZINO!$B$2:$M$4838,6,FALSE)</f>
        <v/>
      </c>
      <c r="G386" s="17">
        <f>+VLOOKUP($A386,MAGAZZINO!$B$2:$M$4838,7,FALSE)</f>
        <v/>
      </c>
      <c r="H386" s="17">
        <f>+VLOOKUP($A386,MAGAZZINO!$B$2:$M$4838,8,FALSE)</f>
        <v/>
      </c>
      <c r="I386" s="17">
        <f>+VLOOKUP($A386,MAGAZZINO!$B$2:$M$4838,9,FALSE)</f>
        <v/>
      </c>
      <c r="J386" s="17">
        <f>+VLOOKUP($A386,MAGAZZINO!$B$2:$M$4838,10,FALSE)</f>
        <v/>
      </c>
      <c r="K386" s="17">
        <f>+VLOOKUP($A386,MAGAZZINO!$B$2:$M$4838,11,FALSE)</f>
        <v/>
      </c>
      <c r="L386" s="44">
        <f>+VLOOKUP($A386,MAGAZZINO!$B$2:$M$4838,12,FALSE)</f>
        <v/>
      </c>
    </row>
    <row r="387" ht="36" customHeight="1">
      <c r="A387" s="30">
        <f>+REGISTRO!A370</f>
        <v/>
      </c>
      <c r="B387" s="31">
        <f>+VLOOKUP($A387,MAGAZZINO!$B$2:$M$4838,2,FALSE)</f>
        <v/>
      </c>
      <c r="C387" s="32">
        <f>+VLOOKUP($A387,MAGAZZINO!$B$2:$M$4838,3,FALSE)</f>
        <v/>
      </c>
      <c r="D387" s="17">
        <f>+VLOOKUP($A387,MAGAZZINO!$B$2:$M$4838,4,FALSE)</f>
        <v/>
      </c>
      <c r="E387" s="17">
        <f>+VLOOKUP($A387,MAGAZZINO!$B$2:$M$4838,5,FALSE)</f>
        <v/>
      </c>
      <c r="F387" s="17">
        <f>+VLOOKUP($A387,MAGAZZINO!$B$2:$M$4838,6,FALSE)</f>
        <v/>
      </c>
      <c r="G387" s="17">
        <f>+VLOOKUP($A387,MAGAZZINO!$B$2:$M$4838,7,FALSE)</f>
        <v/>
      </c>
      <c r="H387" s="17">
        <f>+VLOOKUP($A387,MAGAZZINO!$B$2:$M$4838,8,FALSE)</f>
        <v/>
      </c>
      <c r="I387" s="17">
        <f>+VLOOKUP($A387,MAGAZZINO!$B$2:$M$4838,9,FALSE)</f>
        <v/>
      </c>
      <c r="J387" s="17">
        <f>+VLOOKUP($A387,MAGAZZINO!$B$2:$M$4838,10,FALSE)</f>
        <v/>
      </c>
      <c r="K387" s="17">
        <f>+VLOOKUP($A387,MAGAZZINO!$B$2:$M$4838,11,FALSE)</f>
        <v/>
      </c>
      <c r="L387" s="44">
        <f>+VLOOKUP($A387,MAGAZZINO!$B$2:$M$4838,12,FALSE)</f>
        <v/>
      </c>
    </row>
    <row r="388" ht="36" customHeight="1">
      <c r="A388" s="30">
        <f>+REGISTRO!A371</f>
        <v/>
      </c>
      <c r="B388" s="31">
        <f>+VLOOKUP($A388,MAGAZZINO!$B$2:$M$4838,2,FALSE)</f>
        <v/>
      </c>
      <c r="C388" s="32">
        <f>+VLOOKUP($A388,MAGAZZINO!$B$2:$M$4838,3,FALSE)</f>
        <v/>
      </c>
      <c r="D388" s="17">
        <f>+VLOOKUP($A388,MAGAZZINO!$B$2:$M$4838,4,FALSE)</f>
        <v/>
      </c>
      <c r="E388" s="17">
        <f>+VLOOKUP($A388,MAGAZZINO!$B$2:$M$4838,5,FALSE)</f>
        <v/>
      </c>
      <c r="F388" s="17">
        <f>+VLOOKUP($A388,MAGAZZINO!$B$2:$M$4838,6,FALSE)</f>
        <v/>
      </c>
      <c r="G388" s="17">
        <f>+VLOOKUP($A388,MAGAZZINO!$B$2:$M$4838,7,FALSE)</f>
        <v/>
      </c>
      <c r="H388" s="17">
        <f>+VLOOKUP($A388,MAGAZZINO!$B$2:$M$4838,8,FALSE)</f>
        <v/>
      </c>
      <c r="I388" s="17">
        <f>+VLOOKUP($A388,MAGAZZINO!$B$2:$M$4838,9,FALSE)</f>
        <v/>
      </c>
      <c r="J388" s="17">
        <f>+VLOOKUP($A388,MAGAZZINO!$B$2:$M$4838,10,FALSE)</f>
        <v/>
      </c>
      <c r="K388" s="17">
        <f>+VLOOKUP($A388,MAGAZZINO!$B$2:$M$4838,11,FALSE)</f>
        <v/>
      </c>
      <c r="L388" s="44">
        <f>+VLOOKUP($A388,MAGAZZINO!$B$2:$M$4838,12,FALSE)</f>
        <v/>
      </c>
    </row>
    <row r="389" ht="36" customHeight="1">
      <c r="A389" s="30">
        <f>+REGISTRO!A372</f>
        <v/>
      </c>
      <c r="B389" s="31">
        <f>+VLOOKUP($A389,MAGAZZINO!$B$2:$M$4838,2,FALSE)</f>
        <v/>
      </c>
      <c r="C389" s="32">
        <f>+VLOOKUP($A389,MAGAZZINO!$B$2:$M$4838,3,FALSE)</f>
        <v/>
      </c>
      <c r="D389" s="17">
        <f>+VLOOKUP($A389,MAGAZZINO!$B$2:$M$4838,4,FALSE)</f>
        <v/>
      </c>
      <c r="E389" s="17">
        <f>+VLOOKUP($A389,MAGAZZINO!$B$2:$M$4838,5,FALSE)</f>
        <v/>
      </c>
      <c r="F389" s="17">
        <f>+VLOOKUP($A389,MAGAZZINO!$B$2:$M$4838,6,FALSE)</f>
        <v/>
      </c>
      <c r="G389" s="17">
        <f>+VLOOKUP($A389,MAGAZZINO!$B$2:$M$4838,7,FALSE)</f>
        <v/>
      </c>
      <c r="H389" s="17">
        <f>+VLOOKUP($A389,MAGAZZINO!$B$2:$M$4838,8,FALSE)</f>
        <v/>
      </c>
      <c r="I389" s="17">
        <f>+VLOOKUP($A389,MAGAZZINO!$B$2:$M$4838,9,FALSE)</f>
        <v/>
      </c>
      <c r="J389" s="17">
        <f>+VLOOKUP($A389,MAGAZZINO!$B$2:$M$4838,10,FALSE)</f>
        <v/>
      </c>
      <c r="K389" s="17">
        <f>+VLOOKUP($A389,MAGAZZINO!$B$2:$M$4838,11,FALSE)</f>
        <v/>
      </c>
      <c r="L389" s="44">
        <f>+VLOOKUP($A389,MAGAZZINO!$B$2:$M$4838,12,FALSE)</f>
        <v/>
      </c>
    </row>
    <row r="390" ht="36" customHeight="1">
      <c r="A390" s="30">
        <f>+REGISTRO!A373</f>
        <v/>
      </c>
      <c r="B390" s="31">
        <f>+VLOOKUP($A390,MAGAZZINO!$B$2:$M$4838,2,FALSE)</f>
        <v/>
      </c>
      <c r="C390" s="32">
        <f>+VLOOKUP($A390,MAGAZZINO!$B$2:$M$4838,3,FALSE)</f>
        <v/>
      </c>
      <c r="D390" s="17">
        <f>+VLOOKUP($A390,MAGAZZINO!$B$2:$M$4838,4,FALSE)</f>
        <v/>
      </c>
      <c r="E390" s="17">
        <f>+VLOOKUP($A390,MAGAZZINO!$B$2:$M$4838,5,FALSE)</f>
        <v/>
      </c>
      <c r="F390" s="17">
        <f>+VLOOKUP($A390,MAGAZZINO!$B$2:$M$4838,6,FALSE)</f>
        <v/>
      </c>
      <c r="G390" s="17">
        <f>+VLOOKUP($A390,MAGAZZINO!$B$2:$M$4838,7,FALSE)</f>
        <v/>
      </c>
      <c r="H390" s="17">
        <f>+VLOOKUP($A390,MAGAZZINO!$B$2:$M$4838,8,FALSE)</f>
        <v/>
      </c>
      <c r="I390" s="17">
        <f>+VLOOKUP($A390,MAGAZZINO!$B$2:$M$4838,9,FALSE)</f>
        <v/>
      </c>
      <c r="J390" s="17">
        <f>+VLOOKUP($A390,MAGAZZINO!$B$2:$M$4838,10,FALSE)</f>
        <v/>
      </c>
      <c r="K390" s="17">
        <f>+VLOOKUP($A390,MAGAZZINO!$B$2:$M$4838,11,FALSE)</f>
        <v/>
      </c>
      <c r="L390" s="44">
        <f>+VLOOKUP($A390,MAGAZZINO!$B$2:$M$4838,12,FALSE)</f>
        <v/>
      </c>
    </row>
    <row r="391" ht="36" customHeight="1">
      <c r="A391" s="30">
        <f>+REGISTRO!A374</f>
        <v/>
      </c>
      <c r="B391" s="31">
        <f>+VLOOKUP($A391,MAGAZZINO!$B$2:$M$4838,2,FALSE)</f>
        <v/>
      </c>
      <c r="C391" s="32">
        <f>+VLOOKUP($A391,MAGAZZINO!$B$2:$M$4838,3,FALSE)</f>
        <v/>
      </c>
      <c r="D391" s="17">
        <f>+VLOOKUP($A391,MAGAZZINO!$B$2:$M$4838,4,FALSE)</f>
        <v/>
      </c>
      <c r="E391" s="17">
        <f>+VLOOKUP($A391,MAGAZZINO!$B$2:$M$4838,5,FALSE)</f>
        <v/>
      </c>
      <c r="F391" s="17">
        <f>+VLOOKUP($A391,MAGAZZINO!$B$2:$M$4838,6,FALSE)</f>
        <v/>
      </c>
      <c r="G391" s="17">
        <f>+VLOOKUP($A391,MAGAZZINO!$B$2:$M$4838,7,FALSE)</f>
        <v/>
      </c>
      <c r="H391" s="17">
        <f>+VLOOKUP($A391,MAGAZZINO!$B$2:$M$4838,8,FALSE)</f>
        <v/>
      </c>
      <c r="I391" s="17">
        <f>+VLOOKUP($A391,MAGAZZINO!$B$2:$M$4838,9,FALSE)</f>
        <v/>
      </c>
      <c r="J391" s="17">
        <f>+VLOOKUP($A391,MAGAZZINO!$B$2:$M$4838,10,FALSE)</f>
        <v/>
      </c>
      <c r="K391" s="17">
        <f>+VLOOKUP($A391,MAGAZZINO!$B$2:$M$4838,11,FALSE)</f>
        <v/>
      </c>
      <c r="L391" s="44">
        <f>+VLOOKUP($A391,MAGAZZINO!$B$2:$M$4838,12,FALSE)</f>
        <v/>
      </c>
    </row>
    <row r="392" ht="36" customHeight="1">
      <c r="A392" s="30">
        <f>+REGISTRO!A375</f>
        <v/>
      </c>
      <c r="B392" s="31">
        <f>+VLOOKUP($A392,MAGAZZINO!$B$2:$M$4838,2,FALSE)</f>
        <v/>
      </c>
      <c r="C392" s="32">
        <f>+VLOOKUP($A392,MAGAZZINO!$B$2:$M$4838,3,FALSE)</f>
        <v/>
      </c>
      <c r="D392" s="17">
        <f>+VLOOKUP($A392,MAGAZZINO!$B$2:$M$4838,4,FALSE)</f>
        <v/>
      </c>
      <c r="E392" s="17">
        <f>+VLOOKUP($A392,MAGAZZINO!$B$2:$M$4838,5,FALSE)</f>
        <v/>
      </c>
      <c r="F392" s="17">
        <f>+VLOOKUP($A392,MAGAZZINO!$B$2:$M$4838,6,FALSE)</f>
        <v/>
      </c>
      <c r="G392" s="17">
        <f>+VLOOKUP($A392,MAGAZZINO!$B$2:$M$4838,7,FALSE)</f>
        <v/>
      </c>
      <c r="H392" s="17">
        <f>+VLOOKUP($A392,MAGAZZINO!$B$2:$M$4838,8,FALSE)</f>
        <v/>
      </c>
      <c r="I392" s="17">
        <f>+VLOOKUP($A392,MAGAZZINO!$B$2:$M$4838,9,FALSE)</f>
        <v/>
      </c>
      <c r="J392" s="17">
        <f>+VLOOKUP($A392,MAGAZZINO!$B$2:$M$4838,10,FALSE)</f>
        <v/>
      </c>
      <c r="K392" s="17">
        <f>+VLOOKUP($A392,MAGAZZINO!$B$2:$M$4838,11,FALSE)</f>
        <v/>
      </c>
      <c r="L392" s="44">
        <f>+VLOOKUP($A392,MAGAZZINO!$B$2:$M$4838,12,FALSE)</f>
        <v/>
      </c>
    </row>
    <row r="393" ht="36" customHeight="1">
      <c r="A393" s="30">
        <f>+REGISTRO!A376</f>
        <v/>
      </c>
      <c r="B393" s="31">
        <f>+VLOOKUP($A393,MAGAZZINO!$B$2:$M$4838,2,FALSE)</f>
        <v/>
      </c>
      <c r="C393" s="32">
        <f>+VLOOKUP($A393,MAGAZZINO!$B$2:$M$4838,3,FALSE)</f>
        <v/>
      </c>
      <c r="D393" s="17">
        <f>+VLOOKUP($A393,MAGAZZINO!$B$2:$M$4838,4,FALSE)</f>
        <v/>
      </c>
      <c r="E393" s="17">
        <f>+VLOOKUP($A393,MAGAZZINO!$B$2:$M$4838,5,FALSE)</f>
        <v/>
      </c>
      <c r="F393" s="17">
        <f>+VLOOKUP($A393,MAGAZZINO!$B$2:$M$4838,6,FALSE)</f>
        <v/>
      </c>
      <c r="G393" s="17">
        <f>+VLOOKUP($A393,MAGAZZINO!$B$2:$M$4838,7,FALSE)</f>
        <v/>
      </c>
      <c r="H393" s="17">
        <f>+VLOOKUP($A393,MAGAZZINO!$B$2:$M$4838,8,FALSE)</f>
        <v/>
      </c>
      <c r="I393" s="17">
        <f>+VLOOKUP($A393,MAGAZZINO!$B$2:$M$4838,9,FALSE)</f>
        <v/>
      </c>
      <c r="J393" s="17">
        <f>+VLOOKUP($A393,MAGAZZINO!$B$2:$M$4838,10,FALSE)</f>
        <v/>
      </c>
      <c r="K393" s="17">
        <f>+VLOOKUP($A393,MAGAZZINO!$B$2:$M$4838,11,FALSE)</f>
        <v/>
      </c>
      <c r="L393" s="44">
        <f>+VLOOKUP($A393,MAGAZZINO!$B$2:$M$4838,12,FALSE)</f>
        <v/>
      </c>
    </row>
    <row r="394" ht="36" customHeight="1">
      <c r="A394" s="30">
        <f>+REGISTRO!A377</f>
        <v/>
      </c>
      <c r="B394" s="31">
        <f>+VLOOKUP($A394,MAGAZZINO!$B$2:$M$4838,2,FALSE)</f>
        <v/>
      </c>
      <c r="C394" s="32">
        <f>+VLOOKUP($A394,MAGAZZINO!$B$2:$M$4838,3,FALSE)</f>
        <v/>
      </c>
      <c r="D394" s="17">
        <f>+VLOOKUP($A394,MAGAZZINO!$B$2:$M$4838,4,FALSE)</f>
        <v/>
      </c>
      <c r="E394" s="17">
        <f>+VLOOKUP($A394,MAGAZZINO!$B$2:$M$4838,5,FALSE)</f>
        <v/>
      </c>
      <c r="F394" s="17">
        <f>+VLOOKUP($A394,MAGAZZINO!$B$2:$M$4838,6,FALSE)</f>
        <v/>
      </c>
      <c r="G394" s="17">
        <f>+VLOOKUP($A394,MAGAZZINO!$B$2:$M$4838,7,FALSE)</f>
        <v/>
      </c>
      <c r="H394" s="17">
        <f>+VLOOKUP($A394,MAGAZZINO!$B$2:$M$4838,8,FALSE)</f>
        <v/>
      </c>
      <c r="I394" s="17">
        <f>+VLOOKUP($A394,MAGAZZINO!$B$2:$M$4838,9,FALSE)</f>
        <v/>
      </c>
      <c r="J394" s="17">
        <f>+VLOOKUP($A394,MAGAZZINO!$B$2:$M$4838,10,FALSE)</f>
        <v/>
      </c>
      <c r="K394" s="17">
        <f>+VLOOKUP($A394,MAGAZZINO!$B$2:$M$4838,11,FALSE)</f>
        <v/>
      </c>
      <c r="L394" s="44">
        <f>+VLOOKUP($A394,MAGAZZINO!$B$2:$M$4838,12,FALSE)</f>
        <v/>
      </c>
    </row>
    <row r="395" ht="36" customHeight="1">
      <c r="A395" s="30">
        <f>+REGISTRO!A378</f>
        <v/>
      </c>
      <c r="B395" s="31">
        <f>+VLOOKUP($A395,MAGAZZINO!$B$2:$M$4838,2,FALSE)</f>
        <v/>
      </c>
      <c r="C395" s="32">
        <f>+VLOOKUP($A395,MAGAZZINO!$B$2:$M$4838,3,FALSE)</f>
        <v/>
      </c>
      <c r="D395" s="17">
        <f>+VLOOKUP($A395,MAGAZZINO!$B$2:$M$4838,4,FALSE)</f>
        <v/>
      </c>
      <c r="E395" s="17">
        <f>+VLOOKUP($A395,MAGAZZINO!$B$2:$M$4838,5,FALSE)</f>
        <v/>
      </c>
      <c r="F395" s="17">
        <f>+VLOOKUP($A395,MAGAZZINO!$B$2:$M$4838,6,FALSE)</f>
        <v/>
      </c>
      <c r="G395" s="17">
        <f>+VLOOKUP($A395,MAGAZZINO!$B$2:$M$4838,7,FALSE)</f>
        <v/>
      </c>
      <c r="H395" s="17">
        <f>+VLOOKUP($A395,MAGAZZINO!$B$2:$M$4838,8,FALSE)</f>
        <v/>
      </c>
      <c r="I395" s="17">
        <f>+VLOOKUP($A395,MAGAZZINO!$B$2:$M$4838,9,FALSE)</f>
        <v/>
      </c>
      <c r="J395" s="17">
        <f>+VLOOKUP($A395,MAGAZZINO!$B$2:$M$4838,10,FALSE)</f>
        <v/>
      </c>
      <c r="K395" s="17">
        <f>+VLOOKUP($A395,MAGAZZINO!$B$2:$M$4838,11,FALSE)</f>
        <v/>
      </c>
      <c r="L395" s="44">
        <f>+VLOOKUP($A395,MAGAZZINO!$B$2:$M$4838,12,FALSE)</f>
        <v/>
      </c>
    </row>
    <row r="396" ht="36" customHeight="1">
      <c r="A396" s="30">
        <f>+REGISTRO!#REF!</f>
        <v/>
      </c>
      <c r="B396" s="31">
        <f>+VLOOKUP($A396,MAGAZZINO!$B$2:$M$4838,2,FALSE)</f>
        <v/>
      </c>
      <c r="C396" s="32">
        <f>+VLOOKUP($A396,MAGAZZINO!$B$2:$M$4838,3,FALSE)</f>
        <v/>
      </c>
      <c r="D396" s="17">
        <f>+VLOOKUP($A396,MAGAZZINO!$B$2:$M$4838,4,FALSE)</f>
        <v/>
      </c>
      <c r="E396" s="17">
        <f>+VLOOKUP($A396,MAGAZZINO!$B$2:$M$4838,5,FALSE)</f>
        <v/>
      </c>
      <c r="F396" s="17">
        <f>+VLOOKUP($A396,MAGAZZINO!$B$2:$M$4838,6,FALSE)</f>
        <v/>
      </c>
      <c r="G396" s="17">
        <f>+VLOOKUP($A396,MAGAZZINO!$B$2:$M$4838,7,FALSE)</f>
        <v/>
      </c>
      <c r="H396" s="17">
        <f>+VLOOKUP($A396,MAGAZZINO!$B$2:$M$4838,8,FALSE)</f>
        <v/>
      </c>
      <c r="I396" s="17">
        <f>+VLOOKUP($A396,MAGAZZINO!$B$2:$M$4838,9,FALSE)</f>
        <v/>
      </c>
      <c r="J396" s="17">
        <f>+VLOOKUP($A396,MAGAZZINO!$B$2:$M$4838,10,FALSE)</f>
        <v/>
      </c>
      <c r="K396" s="17">
        <f>+VLOOKUP($A396,MAGAZZINO!$B$2:$M$4838,11,FALSE)</f>
        <v/>
      </c>
      <c r="L396" s="44">
        <f>+VLOOKUP($A396,MAGAZZINO!$B$2:$M$4838,12,FALSE)</f>
        <v/>
      </c>
    </row>
    <row r="397" ht="36" customHeight="1">
      <c r="A397" s="30">
        <f>+REGISTRO!#REF!</f>
        <v/>
      </c>
      <c r="B397" s="31">
        <f>+VLOOKUP($A397,MAGAZZINO!$B$2:$M$4838,2,FALSE)</f>
        <v/>
      </c>
      <c r="C397" s="32">
        <f>+VLOOKUP($A397,MAGAZZINO!$B$2:$M$4838,3,FALSE)</f>
        <v/>
      </c>
      <c r="D397" s="17">
        <f>+VLOOKUP($A397,MAGAZZINO!$B$2:$M$4838,4,FALSE)</f>
        <v/>
      </c>
      <c r="E397" s="17">
        <f>+VLOOKUP($A397,MAGAZZINO!$B$2:$M$4838,5,FALSE)</f>
        <v/>
      </c>
      <c r="F397" s="17">
        <f>+VLOOKUP($A397,MAGAZZINO!$B$2:$M$4838,6,FALSE)</f>
        <v/>
      </c>
      <c r="G397" s="17">
        <f>+VLOOKUP($A397,MAGAZZINO!$B$2:$M$4838,7,FALSE)</f>
        <v/>
      </c>
      <c r="H397" s="17">
        <f>+VLOOKUP($A397,MAGAZZINO!$B$2:$M$4838,8,FALSE)</f>
        <v/>
      </c>
      <c r="I397" s="17">
        <f>+VLOOKUP($A397,MAGAZZINO!$B$2:$M$4838,9,FALSE)</f>
        <v/>
      </c>
      <c r="J397" s="17">
        <f>+VLOOKUP($A397,MAGAZZINO!$B$2:$M$4838,10,FALSE)</f>
        <v/>
      </c>
      <c r="K397" s="17">
        <f>+VLOOKUP($A397,MAGAZZINO!$B$2:$M$4838,11,FALSE)</f>
        <v/>
      </c>
      <c r="L397" s="44">
        <f>+VLOOKUP($A397,MAGAZZINO!$B$2:$M$4838,12,FALSE)</f>
        <v/>
      </c>
    </row>
    <row r="398" ht="36" customHeight="1">
      <c r="A398" s="30">
        <f>+REGISTRO!A381</f>
        <v/>
      </c>
      <c r="B398" s="31">
        <f>+VLOOKUP($A398,MAGAZZINO!$B$2:$M$4838,2,FALSE)</f>
        <v/>
      </c>
      <c r="C398" s="32">
        <f>+VLOOKUP($A398,MAGAZZINO!$B$2:$M$4838,3,FALSE)</f>
        <v/>
      </c>
      <c r="D398" s="17">
        <f>+VLOOKUP($A398,MAGAZZINO!$B$2:$M$4838,4,FALSE)</f>
        <v/>
      </c>
      <c r="E398" s="17">
        <f>+VLOOKUP($A398,MAGAZZINO!$B$2:$M$4838,5,FALSE)</f>
        <v/>
      </c>
      <c r="F398" s="17">
        <f>+VLOOKUP($A398,MAGAZZINO!$B$2:$M$4838,6,FALSE)</f>
        <v/>
      </c>
      <c r="G398" s="17">
        <f>+VLOOKUP($A398,MAGAZZINO!$B$2:$M$4838,7,FALSE)</f>
        <v/>
      </c>
      <c r="H398" s="17">
        <f>+VLOOKUP($A398,MAGAZZINO!$B$2:$M$4838,8,FALSE)</f>
        <v/>
      </c>
      <c r="I398" s="17">
        <f>+VLOOKUP($A398,MAGAZZINO!$B$2:$M$4838,9,FALSE)</f>
        <v/>
      </c>
      <c r="J398" s="17">
        <f>+VLOOKUP($A398,MAGAZZINO!$B$2:$M$4838,10,FALSE)</f>
        <v/>
      </c>
      <c r="K398" s="17">
        <f>+VLOOKUP($A398,MAGAZZINO!$B$2:$M$4838,11,FALSE)</f>
        <v/>
      </c>
      <c r="L398" s="44">
        <f>+VLOOKUP($A398,MAGAZZINO!$B$2:$M$4838,12,FALSE)</f>
        <v/>
      </c>
    </row>
    <row r="399" ht="36" customHeight="1">
      <c r="A399" s="30">
        <f>+REGISTRO!A382</f>
        <v/>
      </c>
      <c r="B399" s="31">
        <f>+VLOOKUP($A399,MAGAZZINO!$B$2:$M$4838,2,FALSE)</f>
        <v/>
      </c>
      <c r="C399" s="32">
        <f>+VLOOKUP($A399,MAGAZZINO!$B$2:$M$4838,3,FALSE)</f>
        <v/>
      </c>
      <c r="D399" s="17">
        <f>+VLOOKUP($A399,MAGAZZINO!$B$2:$M$4838,4,FALSE)</f>
        <v/>
      </c>
      <c r="E399" s="17">
        <f>+VLOOKUP($A399,MAGAZZINO!$B$2:$M$4838,5,FALSE)</f>
        <v/>
      </c>
      <c r="F399" s="17">
        <f>+VLOOKUP($A399,MAGAZZINO!$B$2:$M$4838,6,FALSE)</f>
        <v/>
      </c>
      <c r="G399" s="17">
        <f>+VLOOKUP($A399,MAGAZZINO!$B$2:$M$4838,7,FALSE)</f>
        <v/>
      </c>
      <c r="H399" s="17">
        <f>+VLOOKUP($A399,MAGAZZINO!$B$2:$M$4838,8,FALSE)</f>
        <v/>
      </c>
      <c r="I399" s="17">
        <f>+VLOOKUP($A399,MAGAZZINO!$B$2:$M$4838,9,FALSE)</f>
        <v/>
      </c>
      <c r="J399" s="17">
        <f>+VLOOKUP($A399,MAGAZZINO!$B$2:$M$4838,10,FALSE)</f>
        <v/>
      </c>
      <c r="K399" s="17">
        <f>+VLOOKUP($A399,MAGAZZINO!$B$2:$M$4838,11,FALSE)</f>
        <v/>
      </c>
      <c r="L399" s="44">
        <f>+VLOOKUP($A399,MAGAZZINO!$B$2:$M$4838,12,FALSE)</f>
        <v/>
      </c>
    </row>
    <row r="400" ht="36" customHeight="1">
      <c r="A400" s="30">
        <f>+REGISTRO!A383</f>
        <v/>
      </c>
      <c r="B400" s="31">
        <f>+VLOOKUP($A400,MAGAZZINO!$B$2:$M$4838,2,FALSE)</f>
        <v/>
      </c>
      <c r="C400" s="32">
        <f>+VLOOKUP($A400,MAGAZZINO!$B$2:$M$4838,3,FALSE)</f>
        <v/>
      </c>
      <c r="D400" s="17">
        <f>+VLOOKUP($A400,MAGAZZINO!$B$2:$M$4838,4,FALSE)</f>
        <v/>
      </c>
      <c r="E400" s="17">
        <f>+VLOOKUP($A400,MAGAZZINO!$B$2:$M$4838,5,FALSE)</f>
        <v/>
      </c>
      <c r="F400" s="17">
        <f>+VLOOKUP($A400,MAGAZZINO!$B$2:$M$4838,6,FALSE)</f>
        <v/>
      </c>
      <c r="G400" s="17">
        <f>+VLOOKUP($A400,MAGAZZINO!$B$2:$M$4838,7,FALSE)</f>
        <v/>
      </c>
      <c r="H400" s="17">
        <f>+VLOOKUP($A400,MAGAZZINO!$B$2:$M$4838,8,FALSE)</f>
        <v/>
      </c>
      <c r="I400" s="17">
        <f>+VLOOKUP($A400,MAGAZZINO!$B$2:$M$4838,9,FALSE)</f>
        <v/>
      </c>
      <c r="J400" s="17">
        <f>+VLOOKUP($A400,MAGAZZINO!$B$2:$M$4838,10,FALSE)</f>
        <v/>
      </c>
      <c r="K400" s="17">
        <f>+VLOOKUP($A400,MAGAZZINO!$B$2:$M$4838,11,FALSE)</f>
        <v/>
      </c>
      <c r="L400" s="44">
        <f>+VLOOKUP($A400,MAGAZZINO!$B$2:$M$4838,12,FALSE)</f>
        <v/>
      </c>
    </row>
    <row r="401" ht="36" customHeight="1">
      <c r="A401" s="30">
        <f>+REGISTRO!A384</f>
        <v/>
      </c>
      <c r="B401" s="31">
        <f>+VLOOKUP($A401,MAGAZZINO!$B$2:$M$4838,2,FALSE)</f>
        <v/>
      </c>
      <c r="C401" s="32">
        <f>+VLOOKUP($A401,MAGAZZINO!$B$2:$M$4838,3,FALSE)</f>
        <v/>
      </c>
      <c r="D401" s="17">
        <f>+VLOOKUP($A401,MAGAZZINO!$B$2:$M$4838,4,FALSE)</f>
        <v/>
      </c>
      <c r="E401" s="17">
        <f>+VLOOKUP($A401,MAGAZZINO!$B$2:$M$4838,5,FALSE)</f>
        <v/>
      </c>
      <c r="F401" s="17">
        <f>+VLOOKUP($A401,MAGAZZINO!$B$2:$M$4838,6,FALSE)</f>
        <v/>
      </c>
      <c r="G401" s="17">
        <f>+VLOOKUP($A401,MAGAZZINO!$B$2:$M$4838,7,FALSE)</f>
        <v/>
      </c>
      <c r="H401" s="17">
        <f>+VLOOKUP($A401,MAGAZZINO!$B$2:$M$4838,8,FALSE)</f>
        <v/>
      </c>
      <c r="I401" s="17">
        <f>+VLOOKUP($A401,MAGAZZINO!$B$2:$M$4838,9,FALSE)</f>
        <v/>
      </c>
      <c r="J401" s="17">
        <f>+VLOOKUP($A401,MAGAZZINO!$B$2:$M$4838,10,FALSE)</f>
        <v/>
      </c>
      <c r="K401" s="17">
        <f>+VLOOKUP($A401,MAGAZZINO!$B$2:$M$4838,11,FALSE)</f>
        <v/>
      </c>
      <c r="L401" s="44">
        <f>+VLOOKUP($A401,MAGAZZINO!$B$2:$M$4838,12,FALSE)</f>
        <v/>
      </c>
    </row>
    <row r="402" ht="36" customHeight="1">
      <c r="A402" s="30">
        <f>+REGISTRO!A385</f>
        <v/>
      </c>
      <c r="B402" s="31">
        <f>+VLOOKUP($A402,MAGAZZINO!$B$2:$M$4838,2,FALSE)</f>
        <v/>
      </c>
      <c r="C402" s="32">
        <f>+VLOOKUP($A402,MAGAZZINO!$B$2:$M$4838,3,FALSE)</f>
        <v/>
      </c>
      <c r="D402" s="17">
        <f>+VLOOKUP($A402,MAGAZZINO!$B$2:$M$4838,4,FALSE)</f>
        <v/>
      </c>
      <c r="E402" s="17">
        <f>+VLOOKUP($A402,MAGAZZINO!$B$2:$M$4838,5,FALSE)</f>
        <v/>
      </c>
      <c r="F402" s="17">
        <f>+VLOOKUP($A402,MAGAZZINO!$B$2:$M$4838,6,FALSE)</f>
        <v/>
      </c>
      <c r="G402" s="17">
        <f>+VLOOKUP($A402,MAGAZZINO!$B$2:$M$4838,7,FALSE)</f>
        <v/>
      </c>
      <c r="H402" s="17">
        <f>+VLOOKUP($A402,MAGAZZINO!$B$2:$M$4838,8,FALSE)</f>
        <v/>
      </c>
      <c r="I402" s="17">
        <f>+VLOOKUP($A402,MAGAZZINO!$B$2:$M$4838,9,FALSE)</f>
        <v/>
      </c>
      <c r="J402" s="17">
        <f>+VLOOKUP($A402,MAGAZZINO!$B$2:$M$4838,10,FALSE)</f>
        <v/>
      </c>
      <c r="K402" s="17">
        <f>+VLOOKUP($A402,MAGAZZINO!$B$2:$M$4838,11,FALSE)</f>
        <v/>
      </c>
      <c r="L402" s="44">
        <f>+VLOOKUP($A402,MAGAZZINO!$B$2:$M$4838,12,FALSE)</f>
        <v/>
      </c>
    </row>
    <row r="403" ht="36" customHeight="1">
      <c r="A403" s="30">
        <f>+REGISTRO!A386</f>
        <v/>
      </c>
      <c r="B403" s="31">
        <f>+VLOOKUP($A403,MAGAZZINO!$B$2:$M$4838,2,FALSE)</f>
        <v/>
      </c>
      <c r="C403" s="32">
        <f>+VLOOKUP($A403,MAGAZZINO!$B$2:$M$4838,3,FALSE)</f>
        <v/>
      </c>
      <c r="D403" s="17">
        <f>+VLOOKUP($A403,MAGAZZINO!$B$2:$M$4838,4,FALSE)</f>
        <v/>
      </c>
      <c r="E403" s="17">
        <f>+VLOOKUP($A403,MAGAZZINO!$B$2:$M$4838,5,FALSE)</f>
        <v/>
      </c>
      <c r="F403" s="17">
        <f>+VLOOKUP($A403,MAGAZZINO!$B$2:$M$4838,6,FALSE)</f>
        <v/>
      </c>
      <c r="G403" s="17">
        <f>+VLOOKUP($A403,MAGAZZINO!$B$2:$M$4838,7,FALSE)</f>
        <v/>
      </c>
      <c r="H403" s="17">
        <f>+VLOOKUP($A403,MAGAZZINO!$B$2:$M$4838,8,FALSE)</f>
        <v/>
      </c>
      <c r="I403" s="17">
        <f>+VLOOKUP($A403,MAGAZZINO!$B$2:$M$4838,9,FALSE)</f>
        <v/>
      </c>
      <c r="J403" s="17">
        <f>+VLOOKUP($A403,MAGAZZINO!$B$2:$M$4838,10,FALSE)</f>
        <v/>
      </c>
      <c r="K403" s="17">
        <f>+VLOOKUP($A403,MAGAZZINO!$B$2:$M$4838,11,FALSE)</f>
        <v/>
      </c>
      <c r="L403" s="44">
        <f>+VLOOKUP($A403,MAGAZZINO!$B$2:$M$4838,12,FALSE)</f>
        <v/>
      </c>
    </row>
    <row r="404" ht="36" customHeight="1">
      <c r="A404" s="30">
        <f>+REGISTRO!A387</f>
        <v/>
      </c>
      <c r="B404" s="31">
        <f>+VLOOKUP($A404,MAGAZZINO!$B$2:$M$4838,2,FALSE)</f>
        <v/>
      </c>
      <c r="C404" s="32">
        <f>+VLOOKUP($A404,MAGAZZINO!$B$2:$M$4838,3,FALSE)</f>
        <v/>
      </c>
      <c r="D404" s="17">
        <f>+VLOOKUP($A404,MAGAZZINO!$B$2:$M$4838,4,FALSE)</f>
        <v/>
      </c>
      <c r="E404" s="17">
        <f>+VLOOKUP($A404,MAGAZZINO!$B$2:$M$4838,5,FALSE)</f>
        <v/>
      </c>
      <c r="F404" s="17">
        <f>+VLOOKUP($A404,MAGAZZINO!$B$2:$M$4838,6,FALSE)</f>
        <v/>
      </c>
      <c r="G404" s="17">
        <f>+VLOOKUP($A404,MAGAZZINO!$B$2:$M$4838,7,FALSE)</f>
        <v/>
      </c>
      <c r="H404" s="17">
        <f>+VLOOKUP($A404,MAGAZZINO!$B$2:$M$4838,8,FALSE)</f>
        <v/>
      </c>
      <c r="I404" s="17">
        <f>+VLOOKUP($A404,MAGAZZINO!$B$2:$M$4838,9,FALSE)</f>
        <v/>
      </c>
      <c r="J404" s="17">
        <f>+VLOOKUP($A404,MAGAZZINO!$B$2:$M$4838,10,FALSE)</f>
        <v/>
      </c>
      <c r="K404" s="17">
        <f>+VLOOKUP($A404,MAGAZZINO!$B$2:$M$4838,11,FALSE)</f>
        <v/>
      </c>
      <c r="L404" s="44">
        <f>+VLOOKUP($A404,MAGAZZINO!$B$2:$M$4838,12,FALSE)</f>
        <v/>
      </c>
    </row>
    <row r="405" ht="36" customHeight="1">
      <c r="A405" s="30">
        <f>+REGISTRO!A388</f>
        <v/>
      </c>
      <c r="B405" s="31">
        <f>+VLOOKUP($A405,MAGAZZINO!$B$2:$M$4838,2,FALSE)</f>
        <v/>
      </c>
      <c r="C405" s="32">
        <f>+VLOOKUP($A405,MAGAZZINO!$B$2:$M$4838,3,FALSE)</f>
        <v/>
      </c>
      <c r="D405" s="17">
        <f>+VLOOKUP($A405,MAGAZZINO!$B$2:$M$4838,4,FALSE)</f>
        <v/>
      </c>
      <c r="E405" s="17">
        <f>+VLOOKUP($A405,MAGAZZINO!$B$2:$M$4838,5,FALSE)</f>
        <v/>
      </c>
      <c r="F405" s="17">
        <f>+VLOOKUP($A405,MAGAZZINO!$B$2:$M$4838,6,FALSE)</f>
        <v/>
      </c>
      <c r="G405" s="17">
        <f>+VLOOKUP($A405,MAGAZZINO!$B$2:$M$4838,7,FALSE)</f>
        <v/>
      </c>
      <c r="H405" s="17">
        <f>+VLOOKUP($A405,MAGAZZINO!$B$2:$M$4838,8,FALSE)</f>
        <v/>
      </c>
      <c r="I405" s="17">
        <f>+VLOOKUP($A405,MAGAZZINO!$B$2:$M$4838,9,FALSE)</f>
        <v/>
      </c>
      <c r="J405" s="17">
        <f>+VLOOKUP($A405,MAGAZZINO!$B$2:$M$4838,10,FALSE)</f>
        <v/>
      </c>
      <c r="K405" s="17">
        <f>+VLOOKUP($A405,MAGAZZINO!$B$2:$M$4838,11,FALSE)</f>
        <v/>
      </c>
      <c r="L405" s="44">
        <f>+VLOOKUP($A405,MAGAZZINO!$B$2:$M$4838,12,FALSE)</f>
        <v/>
      </c>
    </row>
    <row r="406" ht="36" customHeight="1">
      <c r="A406" s="30">
        <f>+REGISTRO!A389</f>
        <v/>
      </c>
      <c r="B406" s="31">
        <f>+VLOOKUP($A406,MAGAZZINO!$B$2:$M$4838,2,FALSE)</f>
        <v/>
      </c>
      <c r="C406" s="32">
        <f>+VLOOKUP($A406,MAGAZZINO!$B$2:$M$4838,3,FALSE)</f>
        <v/>
      </c>
      <c r="D406" s="17">
        <f>+VLOOKUP($A406,MAGAZZINO!$B$2:$M$4838,4,FALSE)</f>
        <v/>
      </c>
      <c r="E406" s="17">
        <f>+VLOOKUP($A406,MAGAZZINO!$B$2:$M$4838,5,FALSE)</f>
        <v/>
      </c>
      <c r="F406" s="17">
        <f>+VLOOKUP($A406,MAGAZZINO!$B$2:$M$4838,6,FALSE)</f>
        <v/>
      </c>
      <c r="G406" s="17">
        <f>+VLOOKUP($A406,MAGAZZINO!$B$2:$M$4838,7,FALSE)</f>
        <v/>
      </c>
      <c r="H406" s="17">
        <f>+VLOOKUP($A406,MAGAZZINO!$B$2:$M$4838,8,FALSE)</f>
        <v/>
      </c>
      <c r="I406" s="17">
        <f>+VLOOKUP($A406,MAGAZZINO!$B$2:$M$4838,9,FALSE)</f>
        <v/>
      </c>
      <c r="J406" s="17">
        <f>+VLOOKUP($A406,MAGAZZINO!$B$2:$M$4838,10,FALSE)</f>
        <v/>
      </c>
      <c r="K406" s="17">
        <f>+VLOOKUP($A406,MAGAZZINO!$B$2:$M$4838,11,FALSE)</f>
        <v/>
      </c>
      <c r="L406" s="44">
        <f>+VLOOKUP($A406,MAGAZZINO!$B$2:$M$4838,12,FALSE)</f>
        <v/>
      </c>
    </row>
    <row r="407" ht="36" customHeight="1">
      <c r="A407" s="30">
        <f>+REGISTRO!A390</f>
        <v/>
      </c>
      <c r="B407" s="31">
        <f>+VLOOKUP($A407,MAGAZZINO!$B$2:$M$4838,2,FALSE)</f>
        <v/>
      </c>
      <c r="C407" s="32">
        <f>+VLOOKUP($A407,MAGAZZINO!$B$2:$M$4838,3,FALSE)</f>
        <v/>
      </c>
      <c r="D407" s="17">
        <f>+VLOOKUP($A407,MAGAZZINO!$B$2:$M$4838,4,FALSE)</f>
        <v/>
      </c>
      <c r="E407" s="17">
        <f>+VLOOKUP($A407,MAGAZZINO!$B$2:$M$4838,5,FALSE)</f>
        <v/>
      </c>
      <c r="F407" s="17">
        <f>+VLOOKUP($A407,MAGAZZINO!$B$2:$M$4838,6,FALSE)</f>
        <v/>
      </c>
      <c r="G407" s="17">
        <f>+VLOOKUP($A407,MAGAZZINO!$B$2:$M$4838,7,FALSE)</f>
        <v/>
      </c>
      <c r="H407" s="17">
        <f>+VLOOKUP($A407,MAGAZZINO!$B$2:$M$4838,8,FALSE)</f>
        <v/>
      </c>
      <c r="I407" s="17">
        <f>+VLOOKUP($A407,MAGAZZINO!$B$2:$M$4838,9,FALSE)</f>
        <v/>
      </c>
      <c r="J407" s="17">
        <f>+VLOOKUP($A407,MAGAZZINO!$B$2:$M$4838,10,FALSE)</f>
        <v/>
      </c>
      <c r="K407" s="17">
        <f>+VLOOKUP($A407,MAGAZZINO!$B$2:$M$4838,11,FALSE)</f>
        <v/>
      </c>
      <c r="L407" s="44">
        <f>+VLOOKUP($A407,MAGAZZINO!$B$2:$M$4838,12,FALSE)</f>
        <v/>
      </c>
    </row>
    <row r="408" ht="36" customHeight="1">
      <c r="A408" s="30">
        <f>+REGISTRO!A391</f>
        <v/>
      </c>
      <c r="B408" s="31">
        <f>+VLOOKUP($A408,MAGAZZINO!$B$2:$M$4838,2,FALSE)</f>
        <v/>
      </c>
      <c r="C408" s="32">
        <f>+VLOOKUP($A408,MAGAZZINO!$B$2:$M$4838,3,FALSE)</f>
        <v/>
      </c>
      <c r="D408" s="17">
        <f>+VLOOKUP($A408,MAGAZZINO!$B$2:$M$4838,4,FALSE)</f>
        <v/>
      </c>
      <c r="E408" s="17">
        <f>+VLOOKUP($A408,MAGAZZINO!$B$2:$M$4838,5,FALSE)</f>
        <v/>
      </c>
      <c r="F408" s="17">
        <f>+VLOOKUP($A408,MAGAZZINO!$B$2:$M$4838,6,FALSE)</f>
        <v/>
      </c>
      <c r="G408" s="17">
        <f>+VLOOKUP($A408,MAGAZZINO!$B$2:$M$4838,7,FALSE)</f>
        <v/>
      </c>
      <c r="H408" s="17">
        <f>+VLOOKUP($A408,MAGAZZINO!$B$2:$M$4838,8,FALSE)</f>
        <v/>
      </c>
      <c r="I408" s="17">
        <f>+VLOOKUP($A408,MAGAZZINO!$B$2:$M$4838,9,FALSE)</f>
        <v/>
      </c>
      <c r="J408" s="17">
        <f>+VLOOKUP($A408,MAGAZZINO!$B$2:$M$4838,10,FALSE)</f>
        <v/>
      </c>
      <c r="K408" s="17">
        <f>+VLOOKUP($A408,MAGAZZINO!$B$2:$M$4838,11,FALSE)</f>
        <v/>
      </c>
      <c r="L408" s="44">
        <f>+VLOOKUP($A408,MAGAZZINO!$B$2:$M$4838,12,FALSE)</f>
        <v/>
      </c>
    </row>
    <row r="409" ht="36" customHeight="1">
      <c r="A409" s="30">
        <f>+REGISTRO!A392</f>
        <v/>
      </c>
      <c r="B409" s="31">
        <f>+VLOOKUP($A409,MAGAZZINO!$B$2:$M$4838,2,FALSE)</f>
        <v/>
      </c>
      <c r="C409" s="32">
        <f>+VLOOKUP($A409,MAGAZZINO!$B$2:$M$4838,3,FALSE)</f>
        <v/>
      </c>
      <c r="D409" s="17">
        <f>+VLOOKUP($A409,MAGAZZINO!$B$2:$M$4838,4,FALSE)</f>
        <v/>
      </c>
      <c r="E409" s="17">
        <f>+VLOOKUP($A409,MAGAZZINO!$B$2:$M$4838,5,FALSE)</f>
        <v/>
      </c>
      <c r="F409" s="17">
        <f>+VLOOKUP($A409,MAGAZZINO!$B$2:$M$4838,6,FALSE)</f>
        <v/>
      </c>
      <c r="G409" s="17">
        <f>+VLOOKUP($A409,MAGAZZINO!$B$2:$M$4838,7,FALSE)</f>
        <v/>
      </c>
      <c r="H409" s="17">
        <f>+VLOOKUP($A409,MAGAZZINO!$B$2:$M$4838,8,FALSE)</f>
        <v/>
      </c>
      <c r="I409" s="17">
        <f>+VLOOKUP($A409,MAGAZZINO!$B$2:$M$4838,9,FALSE)</f>
        <v/>
      </c>
      <c r="J409" s="17">
        <f>+VLOOKUP($A409,MAGAZZINO!$B$2:$M$4838,10,FALSE)</f>
        <v/>
      </c>
      <c r="K409" s="17">
        <f>+VLOOKUP($A409,MAGAZZINO!$B$2:$M$4838,11,FALSE)</f>
        <v/>
      </c>
      <c r="L409" s="44">
        <f>+VLOOKUP($A409,MAGAZZINO!$B$2:$M$4838,12,FALSE)</f>
        <v/>
      </c>
    </row>
    <row r="410" ht="36" customHeight="1">
      <c r="A410" s="30">
        <f>+REGISTRO!A393</f>
        <v/>
      </c>
      <c r="B410" s="31">
        <f>+VLOOKUP($A410,MAGAZZINO!$B$2:$M$4838,2,FALSE)</f>
        <v/>
      </c>
      <c r="C410" s="32">
        <f>+VLOOKUP($A410,MAGAZZINO!$B$2:$M$4838,3,FALSE)</f>
        <v/>
      </c>
      <c r="D410" s="17">
        <f>+VLOOKUP($A410,MAGAZZINO!$B$2:$M$4838,4,FALSE)</f>
        <v/>
      </c>
      <c r="E410" s="17">
        <f>+VLOOKUP($A410,MAGAZZINO!$B$2:$M$4838,5,FALSE)</f>
        <v/>
      </c>
      <c r="F410" s="17">
        <f>+VLOOKUP($A410,MAGAZZINO!$B$2:$M$4838,6,FALSE)</f>
        <v/>
      </c>
      <c r="G410" s="17">
        <f>+VLOOKUP($A410,MAGAZZINO!$B$2:$M$4838,7,FALSE)</f>
        <v/>
      </c>
      <c r="H410" s="17">
        <f>+VLOOKUP($A410,MAGAZZINO!$B$2:$M$4838,8,FALSE)</f>
        <v/>
      </c>
      <c r="I410" s="17">
        <f>+VLOOKUP($A410,MAGAZZINO!$B$2:$M$4838,9,FALSE)</f>
        <v/>
      </c>
      <c r="J410" s="17">
        <f>+VLOOKUP($A410,MAGAZZINO!$B$2:$M$4838,10,FALSE)</f>
        <v/>
      </c>
      <c r="K410" s="17">
        <f>+VLOOKUP($A410,MAGAZZINO!$B$2:$M$4838,11,FALSE)</f>
        <v/>
      </c>
      <c r="L410" s="44">
        <f>+VLOOKUP($A410,MAGAZZINO!$B$2:$M$4838,12,FALSE)</f>
        <v/>
      </c>
    </row>
    <row r="411" ht="36" customHeight="1">
      <c r="A411" s="30">
        <f>+REGISTRO!A394</f>
        <v/>
      </c>
      <c r="B411" s="31">
        <f>+VLOOKUP($A411,MAGAZZINO!$B$2:$M$4838,2,FALSE)</f>
        <v/>
      </c>
      <c r="C411" s="32">
        <f>+VLOOKUP($A411,MAGAZZINO!$B$2:$M$4838,3,FALSE)</f>
        <v/>
      </c>
      <c r="D411" s="17">
        <f>+VLOOKUP($A411,MAGAZZINO!$B$2:$M$4838,4,FALSE)</f>
        <v/>
      </c>
      <c r="E411" s="17">
        <f>+VLOOKUP($A411,MAGAZZINO!$B$2:$M$4838,5,FALSE)</f>
        <v/>
      </c>
      <c r="F411" s="17">
        <f>+VLOOKUP($A411,MAGAZZINO!$B$2:$M$4838,6,FALSE)</f>
        <v/>
      </c>
      <c r="G411" s="17">
        <f>+VLOOKUP($A411,MAGAZZINO!$B$2:$M$4838,7,FALSE)</f>
        <v/>
      </c>
      <c r="H411" s="17">
        <f>+VLOOKUP($A411,MAGAZZINO!$B$2:$M$4838,8,FALSE)</f>
        <v/>
      </c>
      <c r="I411" s="17">
        <f>+VLOOKUP($A411,MAGAZZINO!$B$2:$M$4838,9,FALSE)</f>
        <v/>
      </c>
      <c r="J411" s="17">
        <f>+VLOOKUP($A411,MAGAZZINO!$B$2:$M$4838,10,FALSE)</f>
        <v/>
      </c>
      <c r="K411" s="17">
        <f>+VLOOKUP($A411,MAGAZZINO!$B$2:$M$4838,11,FALSE)</f>
        <v/>
      </c>
      <c r="L411" s="44">
        <f>+VLOOKUP($A411,MAGAZZINO!$B$2:$M$4838,12,FALSE)</f>
        <v/>
      </c>
    </row>
    <row r="412" ht="36" customHeight="1">
      <c r="A412" s="30">
        <f>+REGISTRO!A395</f>
        <v/>
      </c>
      <c r="B412" s="31">
        <f>+VLOOKUP($A412,MAGAZZINO!$B$2:$M$4838,2,FALSE)</f>
        <v/>
      </c>
      <c r="C412" s="32">
        <f>+VLOOKUP($A412,MAGAZZINO!$B$2:$M$4838,3,FALSE)</f>
        <v/>
      </c>
      <c r="D412" s="17">
        <f>+VLOOKUP($A412,MAGAZZINO!$B$2:$M$4838,4,FALSE)</f>
        <v/>
      </c>
      <c r="E412" s="17">
        <f>+VLOOKUP($A412,MAGAZZINO!$B$2:$M$4838,5,FALSE)</f>
        <v/>
      </c>
      <c r="F412" s="17">
        <f>+VLOOKUP($A412,MAGAZZINO!$B$2:$M$4838,6,FALSE)</f>
        <v/>
      </c>
      <c r="G412" s="17">
        <f>+VLOOKUP($A412,MAGAZZINO!$B$2:$M$4838,7,FALSE)</f>
        <v/>
      </c>
      <c r="H412" s="17">
        <f>+VLOOKUP($A412,MAGAZZINO!$B$2:$M$4838,8,FALSE)</f>
        <v/>
      </c>
      <c r="I412" s="17">
        <f>+VLOOKUP($A412,MAGAZZINO!$B$2:$M$4838,9,FALSE)</f>
        <v/>
      </c>
      <c r="J412" s="17">
        <f>+VLOOKUP($A412,MAGAZZINO!$B$2:$M$4838,10,FALSE)</f>
        <v/>
      </c>
      <c r="K412" s="17">
        <f>+VLOOKUP($A412,MAGAZZINO!$B$2:$M$4838,11,FALSE)</f>
        <v/>
      </c>
      <c r="L412" s="44">
        <f>+VLOOKUP($A412,MAGAZZINO!$B$2:$M$4838,12,FALSE)</f>
        <v/>
      </c>
    </row>
    <row r="413" ht="36" customHeight="1">
      <c r="A413" s="30">
        <f>+REGISTRO!A396</f>
        <v/>
      </c>
      <c r="B413" s="31">
        <f>+VLOOKUP($A413,MAGAZZINO!$B$2:$M$4838,2,FALSE)</f>
        <v/>
      </c>
      <c r="C413" s="32">
        <f>+VLOOKUP($A413,MAGAZZINO!$B$2:$M$4838,3,FALSE)</f>
        <v/>
      </c>
      <c r="D413" s="17">
        <f>+VLOOKUP($A413,MAGAZZINO!$B$2:$M$4838,4,FALSE)</f>
        <v/>
      </c>
      <c r="E413" s="17">
        <f>+VLOOKUP($A413,MAGAZZINO!$B$2:$M$4838,5,FALSE)</f>
        <v/>
      </c>
      <c r="F413" s="17">
        <f>+VLOOKUP($A413,MAGAZZINO!$B$2:$M$4838,6,FALSE)</f>
        <v/>
      </c>
      <c r="G413" s="17">
        <f>+VLOOKUP($A413,MAGAZZINO!$B$2:$M$4838,7,FALSE)</f>
        <v/>
      </c>
      <c r="H413" s="17">
        <f>+VLOOKUP($A413,MAGAZZINO!$B$2:$M$4838,8,FALSE)</f>
        <v/>
      </c>
      <c r="I413" s="17">
        <f>+VLOOKUP($A413,MAGAZZINO!$B$2:$M$4838,9,FALSE)</f>
        <v/>
      </c>
      <c r="J413" s="17">
        <f>+VLOOKUP($A413,MAGAZZINO!$B$2:$M$4838,10,FALSE)</f>
        <v/>
      </c>
      <c r="K413" s="17">
        <f>+VLOOKUP($A413,MAGAZZINO!$B$2:$M$4838,11,FALSE)</f>
        <v/>
      </c>
      <c r="L413" s="44">
        <f>+VLOOKUP($A413,MAGAZZINO!$B$2:$M$4838,12,FALSE)</f>
        <v/>
      </c>
    </row>
    <row r="414" ht="36" customHeight="1">
      <c r="A414" s="30">
        <f>+REGISTRO!A397</f>
        <v/>
      </c>
      <c r="B414" s="31">
        <f>+VLOOKUP($A414,MAGAZZINO!$B$2:$M$4838,2,FALSE)</f>
        <v/>
      </c>
      <c r="C414" s="32">
        <f>+VLOOKUP($A414,MAGAZZINO!$B$2:$M$4838,3,FALSE)</f>
        <v/>
      </c>
      <c r="D414" s="17">
        <f>+VLOOKUP($A414,MAGAZZINO!$B$2:$M$4838,4,FALSE)</f>
        <v/>
      </c>
      <c r="E414" s="17">
        <f>+VLOOKUP($A414,MAGAZZINO!$B$2:$M$4838,5,FALSE)</f>
        <v/>
      </c>
      <c r="F414" s="17">
        <f>+VLOOKUP($A414,MAGAZZINO!$B$2:$M$4838,6,FALSE)</f>
        <v/>
      </c>
      <c r="G414" s="17">
        <f>+VLOOKUP($A414,MAGAZZINO!$B$2:$M$4838,7,FALSE)</f>
        <v/>
      </c>
      <c r="H414" s="17">
        <f>+VLOOKUP($A414,MAGAZZINO!$B$2:$M$4838,8,FALSE)</f>
        <v/>
      </c>
      <c r="I414" s="17">
        <f>+VLOOKUP($A414,MAGAZZINO!$B$2:$M$4838,9,FALSE)</f>
        <v/>
      </c>
      <c r="J414" s="17">
        <f>+VLOOKUP($A414,MAGAZZINO!$B$2:$M$4838,10,FALSE)</f>
        <v/>
      </c>
      <c r="K414" s="17">
        <f>+VLOOKUP($A414,MAGAZZINO!$B$2:$M$4838,11,FALSE)</f>
        <v/>
      </c>
      <c r="L414" s="44">
        <f>+VLOOKUP($A414,MAGAZZINO!$B$2:$M$4838,12,FALSE)</f>
        <v/>
      </c>
    </row>
    <row r="415" ht="36" customHeight="1">
      <c r="A415" s="30">
        <f>+REGISTRO!A398</f>
        <v/>
      </c>
      <c r="B415" s="31">
        <f>+VLOOKUP($A415,MAGAZZINO!$B$2:$M$4838,2,FALSE)</f>
        <v/>
      </c>
      <c r="C415" s="32">
        <f>+VLOOKUP($A415,MAGAZZINO!$B$2:$M$4838,3,FALSE)</f>
        <v/>
      </c>
      <c r="D415" s="17">
        <f>+VLOOKUP($A415,MAGAZZINO!$B$2:$M$4838,4,FALSE)</f>
        <v/>
      </c>
      <c r="E415" s="17">
        <f>+VLOOKUP($A415,MAGAZZINO!$B$2:$M$4838,5,FALSE)</f>
        <v/>
      </c>
      <c r="F415" s="17">
        <f>+VLOOKUP($A415,MAGAZZINO!$B$2:$M$4838,6,FALSE)</f>
        <v/>
      </c>
      <c r="G415" s="17">
        <f>+VLOOKUP($A415,MAGAZZINO!$B$2:$M$4838,7,FALSE)</f>
        <v/>
      </c>
      <c r="H415" s="17">
        <f>+VLOOKUP($A415,MAGAZZINO!$B$2:$M$4838,8,FALSE)</f>
        <v/>
      </c>
      <c r="I415" s="17">
        <f>+VLOOKUP($A415,MAGAZZINO!$B$2:$M$4838,9,FALSE)</f>
        <v/>
      </c>
      <c r="J415" s="17">
        <f>+VLOOKUP($A415,MAGAZZINO!$B$2:$M$4838,10,FALSE)</f>
        <v/>
      </c>
      <c r="K415" s="17">
        <f>+VLOOKUP($A415,MAGAZZINO!$B$2:$M$4838,11,FALSE)</f>
        <v/>
      </c>
      <c r="L415" s="44">
        <f>+VLOOKUP($A415,MAGAZZINO!$B$2:$M$4838,12,FALSE)</f>
        <v/>
      </c>
    </row>
    <row r="416" ht="36" customHeight="1">
      <c r="A416" s="30">
        <f>+REGISTRO!A399</f>
        <v/>
      </c>
      <c r="B416" s="31">
        <f>+VLOOKUP($A416,MAGAZZINO!$B$2:$M$4838,2,FALSE)</f>
        <v/>
      </c>
      <c r="C416" s="32">
        <f>+VLOOKUP($A416,MAGAZZINO!$B$2:$M$4838,3,FALSE)</f>
        <v/>
      </c>
      <c r="D416" s="17">
        <f>+VLOOKUP($A416,MAGAZZINO!$B$2:$M$4838,4,FALSE)</f>
        <v/>
      </c>
      <c r="E416" s="17">
        <f>+VLOOKUP($A416,MAGAZZINO!$B$2:$M$4838,5,FALSE)</f>
        <v/>
      </c>
      <c r="F416" s="17">
        <f>+VLOOKUP($A416,MAGAZZINO!$B$2:$M$4838,6,FALSE)</f>
        <v/>
      </c>
      <c r="G416" s="17">
        <f>+VLOOKUP($A416,MAGAZZINO!$B$2:$M$4838,7,FALSE)</f>
        <v/>
      </c>
      <c r="H416" s="17">
        <f>+VLOOKUP($A416,MAGAZZINO!$B$2:$M$4838,8,FALSE)</f>
        <v/>
      </c>
      <c r="I416" s="17">
        <f>+VLOOKUP($A416,MAGAZZINO!$B$2:$M$4838,9,FALSE)</f>
        <v/>
      </c>
      <c r="J416" s="17">
        <f>+VLOOKUP($A416,MAGAZZINO!$B$2:$M$4838,10,FALSE)</f>
        <v/>
      </c>
      <c r="K416" s="17">
        <f>+VLOOKUP($A416,MAGAZZINO!$B$2:$M$4838,11,FALSE)</f>
        <v/>
      </c>
      <c r="L416" s="44">
        <f>+VLOOKUP($A416,MAGAZZINO!$B$2:$M$4838,12,FALSE)</f>
        <v/>
      </c>
    </row>
    <row r="417" ht="36" customHeight="1">
      <c r="A417" s="30">
        <f>+REGISTRO!A400</f>
        <v/>
      </c>
      <c r="B417" s="31">
        <f>+VLOOKUP($A417,MAGAZZINO!$B$2:$M$4838,2,FALSE)</f>
        <v/>
      </c>
      <c r="C417" s="32">
        <f>+VLOOKUP($A417,MAGAZZINO!$B$2:$M$4838,3,FALSE)</f>
        <v/>
      </c>
      <c r="D417" s="17">
        <f>+VLOOKUP($A417,MAGAZZINO!$B$2:$M$4838,4,FALSE)</f>
        <v/>
      </c>
      <c r="E417" s="17">
        <f>+VLOOKUP($A417,MAGAZZINO!$B$2:$M$4838,5,FALSE)</f>
        <v/>
      </c>
      <c r="F417" s="17">
        <f>+VLOOKUP($A417,MAGAZZINO!$B$2:$M$4838,6,FALSE)</f>
        <v/>
      </c>
      <c r="G417" s="17">
        <f>+VLOOKUP($A417,MAGAZZINO!$B$2:$M$4838,7,FALSE)</f>
        <v/>
      </c>
      <c r="H417" s="17">
        <f>+VLOOKUP($A417,MAGAZZINO!$B$2:$M$4838,8,FALSE)</f>
        <v/>
      </c>
      <c r="I417" s="17">
        <f>+VLOOKUP($A417,MAGAZZINO!$B$2:$M$4838,9,FALSE)</f>
        <v/>
      </c>
      <c r="J417" s="17">
        <f>+VLOOKUP($A417,MAGAZZINO!$B$2:$M$4838,10,FALSE)</f>
        <v/>
      </c>
      <c r="K417" s="17">
        <f>+VLOOKUP($A417,MAGAZZINO!$B$2:$M$4838,11,FALSE)</f>
        <v/>
      </c>
      <c r="L417" s="44">
        <f>+VLOOKUP($A417,MAGAZZINO!$B$2:$M$4838,12,FALSE)</f>
        <v/>
      </c>
    </row>
    <row r="418" ht="36" customHeight="1">
      <c r="A418" s="30">
        <f>+REGISTRO!A401</f>
        <v/>
      </c>
      <c r="B418" s="31">
        <f>+VLOOKUP($A418,MAGAZZINO!$B$2:$M$4838,2,FALSE)</f>
        <v/>
      </c>
      <c r="C418" s="32">
        <f>+VLOOKUP($A418,MAGAZZINO!$B$2:$M$4838,3,FALSE)</f>
        <v/>
      </c>
      <c r="D418" s="17">
        <f>+VLOOKUP($A418,MAGAZZINO!$B$2:$M$4838,4,FALSE)</f>
        <v/>
      </c>
      <c r="E418" s="17">
        <f>+VLOOKUP($A418,MAGAZZINO!$B$2:$M$4838,5,FALSE)</f>
        <v/>
      </c>
      <c r="F418" s="17">
        <f>+VLOOKUP($A418,MAGAZZINO!$B$2:$M$4838,6,FALSE)</f>
        <v/>
      </c>
      <c r="G418" s="17">
        <f>+VLOOKUP($A418,MAGAZZINO!$B$2:$M$4838,7,FALSE)</f>
        <v/>
      </c>
      <c r="H418" s="17">
        <f>+VLOOKUP($A418,MAGAZZINO!$B$2:$M$4838,8,FALSE)</f>
        <v/>
      </c>
      <c r="I418" s="17">
        <f>+VLOOKUP($A418,MAGAZZINO!$B$2:$M$4838,9,FALSE)</f>
        <v/>
      </c>
      <c r="J418" s="17">
        <f>+VLOOKUP($A418,MAGAZZINO!$B$2:$M$4838,10,FALSE)</f>
        <v/>
      </c>
      <c r="K418" s="17">
        <f>+VLOOKUP($A418,MAGAZZINO!$B$2:$M$4838,11,FALSE)</f>
        <v/>
      </c>
      <c r="L418" s="44">
        <f>+VLOOKUP($A418,MAGAZZINO!$B$2:$M$4838,12,FALSE)</f>
        <v/>
      </c>
    </row>
    <row r="419" ht="36" customHeight="1">
      <c r="A419" s="30">
        <f>+REGISTRO!A402</f>
        <v/>
      </c>
      <c r="B419" s="31">
        <f>+VLOOKUP($A419,MAGAZZINO!$B$2:$M$4838,2,FALSE)</f>
        <v/>
      </c>
      <c r="C419" s="32">
        <f>+VLOOKUP($A419,MAGAZZINO!$B$2:$M$4838,3,FALSE)</f>
        <v/>
      </c>
      <c r="D419" s="17">
        <f>+VLOOKUP($A419,MAGAZZINO!$B$2:$M$4838,4,FALSE)</f>
        <v/>
      </c>
      <c r="E419" s="17">
        <f>+VLOOKUP($A419,MAGAZZINO!$B$2:$M$4838,5,FALSE)</f>
        <v/>
      </c>
      <c r="F419" s="17">
        <f>+VLOOKUP($A419,MAGAZZINO!$B$2:$M$4838,6,FALSE)</f>
        <v/>
      </c>
      <c r="G419" s="17">
        <f>+VLOOKUP($A419,MAGAZZINO!$B$2:$M$4838,7,FALSE)</f>
        <v/>
      </c>
      <c r="H419" s="17">
        <f>+VLOOKUP($A419,MAGAZZINO!$B$2:$M$4838,8,FALSE)</f>
        <v/>
      </c>
      <c r="I419" s="17">
        <f>+VLOOKUP($A419,MAGAZZINO!$B$2:$M$4838,9,FALSE)</f>
        <v/>
      </c>
      <c r="J419" s="17">
        <f>+VLOOKUP($A419,MAGAZZINO!$B$2:$M$4838,10,FALSE)</f>
        <v/>
      </c>
      <c r="K419" s="17">
        <f>+VLOOKUP($A419,MAGAZZINO!$B$2:$M$4838,11,FALSE)</f>
        <v/>
      </c>
      <c r="L419" s="44">
        <f>+VLOOKUP($A419,MAGAZZINO!$B$2:$M$4838,12,FALSE)</f>
        <v/>
      </c>
    </row>
    <row r="420" ht="36" customHeight="1">
      <c r="A420" s="30">
        <f>+REGISTRO!A403</f>
        <v/>
      </c>
      <c r="B420" s="31">
        <f>+VLOOKUP($A420,MAGAZZINO!$B$2:$M$4838,2,FALSE)</f>
        <v/>
      </c>
      <c r="C420" s="32">
        <f>+VLOOKUP($A420,MAGAZZINO!$B$2:$M$4838,3,FALSE)</f>
        <v/>
      </c>
      <c r="D420" s="17">
        <f>+VLOOKUP($A420,MAGAZZINO!$B$2:$M$4838,4,FALSE)</f>
        <v/>
      </c>
      <c r="E420" s="17">
        <f>+VLOOKUP($A420,MAGAZZINO!$B$2:$M$4838,5,FALSE)</f>
        <v/>
      </c>
      <c r="F420" s="17">
        <f>+VLOOKUP($A420,MAGAZZINO!$B$2:$M$4838,6,FALSE)</f>
        <v/>
      </c>
      <c r="G420" s="17">
        <f>+VLOOKUP($A420,MAGAZZINO!$B$2:$M$4838,7,FALSE)</f>
        <v/>
      </c>
      <c r="H420" s="17">
        <f>+VLOOKUP($A420,MAGAZZINO!$B$2:$M$4838,8,FALSE)</f>
        <v/>
      </c>
      <c r="I420" s="17">
        <f>+VLOOKUP($A420,MAGAZZINO!$B$2:$M$4838,9,FALSE)</f>
        <v/>
      </c>
      <c r="J420" s="17">
        <f>+VLOOKUP($A420,MAGAZZINO!$B$2:$M$4838,10,FALSE)</f>
        <v/>
      </c>
      <c r="K420" s="17">
        <f>+VLOOKUP($A420,MAGAZZINO!$B$2:$M$4838,11,FALSE)</f>
        <v/>
      </c>
      <c r="L420" s="44">
        <f>+VLOOKUP($A420,MAGAZZINO!$B$2:$M$4838,12,FALSE)</f>
        <v/>
      </c>
    </row>
    <row r="421" ht="36" customHeight="1">
      <c r="A421" s="30">
        <f>+REGISTRO!A404</f>
        <v/>
      </c>
      <c r="B421" s="31">
        <f>+VLOOKUP($A421,MAGAZZINO!$B$2:$M$4838,2,FALSE)</f>
        <v/>
      </c>
      <c r="C421" s="32">
        <f>+VLOOKUP($A421,MAGAZZINO!$B$2:$M$4838,3,FALSE)</f>
        <v/>
      </c>
      <c r="D421" s="17">
        <f>+VLOOKUP($A421,MAGAZZINO!$B$2:$M$4838,4,FALSE)</f>
        <v/>
      </c>
      <c r="E421" s="17">
        <f>+VLOOKUP($A421,MAGAZZINO!$B$2:$M$4838,5,FALSE)</f>
        <v/>
      </c>
      <c r="F421" s="17">
        <f>+VLOOKUP($A421,MAGAZZINO!$B$2:$M$4838,6,FALSE)</f>
        <v/>
      </c>
      <c r="G421" s="17">
        <f>+VLOOKUP($A421,MAGAZZINO!$B$2:$M$4838,7,FALSE)</f>
        <v/>
      </c>
      <c r="H421" s="17">
        <f>+VLOOKUP($A421,MAGAZZINO!$B$2:$M$4838,8,FALSE)</f>
        <v/>
      </c>
      <c r="I421" s="17">
        <f>+VLOOKUP($A421,MAGAZZINO!$B$2:$M$4838,9,FALSE)</f>
        <v/>
      </c>
      <c r="J421" s="17">
        <f>+VLOOKUP($A421,MAGAZZINO!$B$2:$M$4838,10,FALSE)</f>
        <v/>
      </c>
      <c r="K421" s="17">
        <f>+VLOOKUP($A421,MAGAZZINO!$B$2:$M$4838,11,FALSE)</f>
        <v/>
      </c>
      <c r="L421" s="44">
        <f>+VLOOKUP($A421,MAGAZZINO!$B$2:$M$4838,12,FALSE)</f>
        <v/>
      </c>
    </row>
    <row r="422" ht="36" customHeight="1">
      <c r="A422" s="30">
        <f>+REGISTRO!A405</f>
        <v/>
      </c>
      <c r="B422" s="31">
        <f>+VLOOKUP($A422,MAGAZZINO!$B$2:$M$4838,2,FALSE)</f>
        <v/>
      </c>
      <c r="C422" s="32">
        <f>+VLOOKUP($A422,MAGAZZINO!$B$2:$M$4838,3,FALSE)</f>
        <v/>
      </c>
      <c r="D422" s="17">
        <f>+VLOOKUP($A422,MAGAZZINO!$B$2:$M$4838,4,FALSE)</f>
        <v/>
      </c>
      <c r="E422" s="17">
        <f>+VLOOKUP($A422,MAGAZZINO!$B$2:$M$4838,5,FALSE)</f>
        <v/>
      </c>
      <c r="F422" s="17">
        <f>+VLOOKUP($A422,MAGAZZINO!$B$2:$M$4838,6,FALSE)</f>
        <v/>
      </c>
      <c r="G422" s="17">
        <f>+VLOOKUP($A422,MAGAZZINO!$B$2:$M$4838,7,FALSE)</f>
        <v/>
      </c>
      <c r="H422" s="17">
        <f>+VLOOKUP($A422,MAGAZZINO!$B$2:$M$4838,8,FALSE)</f>
        <v/>
      </c>
      <c r="I422" s="17">
        <f>+VLOOKUP($A422,MAGAZZINO!$B$2:$M$4838,9,FALSE)</f>
        <v/>
      </c>
      <c r="J422" s="17">
        <f>+VLOOKUP($A422,MAGAZZINO!$B$2:$M$4838,10,FALSE)</f>
        <v/>
      </c>
      <c r="K422" s="17">
        <f>+VLOOKUP($A422,MAGAZZINO!$B$2:$M$4838,11,FALSE)</f>
        <v/>
      </c>
      <c r="L422" s="44">
        <f>+VLOOKUP($A422,MAGAZZINO!$B$2:$M$4838,12,FALSE)</f>
        <v/>
      </c>
    </row>
    <row r="423" ht="36" customHeight="1">
      <c r="A423" s="30">
        <f>+REGISTRO!A406</f>
        <v/>
      </c>
      <c r="B423" s="31">
        <f>+VLOOKUP($A423,MAGAZZINO!$B$2:$M$4838,2,FALSE)</f>
        <v/>
      </c>
      <c r="C423" s="32">
        <f>+VLOOKUP($A423,MAGAZZINO!$B$2:$M$4838,3,FALSE)</f>
        <v/>
      </c>
      <c r="D423" s="17">
        <f>+VLOOKUP($A423,MAGAZZINO!$B$2:$M$4838,4,FALSE)</f>
        <v/>
      </c>
      <c r="E423" s="17">
        <f>+VLOOKUP($A423,MAGAZZINO!$B$2:$M$4838,5,FALSE)</f>
        <v/>
      </c>
      <c r="F423" s="17">
        <f>+VLOOKUP($A423,MAGAZZINO!$B$2:$M$4838,6,FALSE)</f>
        <v/>
      </c>
      <c r="G423" s="17">
        <f>+VLOOKUP($A423,MAGAZZINO!$B$2:$M$4838,7,FALSE)</f>
        <v/>
      </c>
      <c r="H423" s="17">
        <f>+VLOOKUP($A423,MAGAZZINO!$B$2:$M$4838,8,FALSE)</f>
        <v/>
      </c>
      <c r="I423" s="17">
        <f>+VLOOKUP($A423,MAGAZZINO!$B$2:$M$4838,9,FALSE)</f>
        <v/>
      </c>
      <c r="J423" s="17">
        <f>+VLOOKUP($A423,MAGAZZINO!$B$2:$M$4838,10,FALSE)</f>
        <v/>
      </c>
      <c r="K423" s="17">
        <f>+VLOOKUP($A423,MAGAZZINO!$B$2:$M$4838,11,FALSE)</f>
        <v/>
      </c>
      <c r="L423" s="44">
        <f>+VLOOKUP($A423,MAGAZZINO!$B$2:$M$4838,12,FALSE)</f>
        <v/>
      </c>
    </row>
    <row r="424" ht="36" customHeight="1">
      <c r="A424" s="30">
        <f>+REGISTRO!A407</f>
        <v/>
      </c>
      <c r="B424" s="31">
        <f>+VLOOKUP($A424,MAGAZZINO!$B$2:$M$4838,2,FALSE)</f>
        <v/>
      </c>
      <c r="C424" s="32">
        <f>+VLOOKUP($A424,MAGAZZINO!$B$2:$M$4838,3,FALSE)</f>
        <v/>
      </c>
      <c r="D424" s="17">
        <f>+VLOOKUP($A424,MAGAZZINO!$B$2:$M$4838,4,FALSE)</f>
        <v/>
      </c>
      <c r="E424" s="17">
        <f>+VLOOKUP($A424,MAGAZZINO!$B$2:$M$4838,5,FALSE)</f>
        <v/>
      </c>
      <c r="F424" s="17">
        <f>+VLOOKUP($A424,MAGAZZINO!$B$2:$M$4838,6,FALSE)</f>
        <v/>
      </c>
      <c r="G424" s="17">
        <f>+VLOOKUP($A424,MAGAZZINO!$B$2:$M$4838,7,FALSE)</f>
        <v/>
      </c>
      <c r="H424" s="17">
        <f>+VLOOKUP($A424,MAGAZZINO!$B$2:$M$4838,8,FALSE)</f>
        <v/>
      </c>
      <c r="I424" s="17">
        <f>+VLOOKUP($A424,MAGAZZINO!$B$2:$M$4838,9,FALSE)</f>
        <v/>
      </c>
      <c r="J424" s="17">
        <f>+VLOOKUP($A424,MAGAZZINO!$B$2:$M$4838,10,FALSE)</f>
        <v/>
      </c>
      <c r="K424" s="17">
        <f>+VLOOKUP($A424,MAGAZZINO!$B$2:$M$4838,11,FALSE)</f>
        <v/>
      </c>
      <c r="L424" s="44">
        <f>+VLOOKUP($A424,MAGAZZINO!$B$2:$M$4838,12,FALSE)</f>
        <v/>
      </c>
    </row>
    <row r="425" ht="36" customHeight="1">
      <c r="A425" s="30">
        <f>+REGISTRO!A408</f>
        <v/>
      </c>
      <c r="B425" s="31">
        <f>+VLOOKUP($A425,MAGAZZINO!$B$2:$M$4838,2,FALSE)</f>
        <v/>
      </c>
      <c r="C425" s="32">
        <f>+VLOOKUP($A425,MAGAZZINO!$B$2:$M$4838,3,FALSE)</f>
        <v/>
      </c>
      <c r="D425" s="17">
        <f>+VLOOKUP($A425,MAGAZZINO!$B$2:$M$4838,4,FALSE)</f>
        <v/>
      </c>
      <c r="E425" s="17">
        <f>+VLOOKUP($A425,MAGAZZINO!$B$2:$M$4838,5,FALSE)</f>
        <v/>
      </c>
      <c r="F425" s="17">
        <f>+VLOOKUP($A425,MAGAZZINO!$B$2:$M$4838,6,FALSE)</f>
        <v/>
      </c>
      <c r="G425" s="17">
        <f>+VLOOKUP($A425,MAGAZZINO!$B$2:$M$4838,7,FALSE)</f>
        <v/>
      </c>
      <c r="H425" s="17">
        <f>+VLOOKUP($A425,MAGAZZINO!$B$2:$M$4838,8,FALSE)</f>
        <v/>
      </c>
      <c r="I425" s="17">
        <f>+VLOOKUP($A425,MAGAZZINO!$B$2:$M$4838,9,FALSE)</f>
        <v/>
      </c>
      <c r="J425" s="17">
        <f>+VLOOKUP($A425,MAGAZZINO!$B$2:$M$4838,10,FALSE)</f>
        <v/>
      </c>
      <c r="K425" s="17">
        <f>+VLOOKUP($A425,MAGAZZINO!$B$2:$M$4838,11,FALSE)</f>
        <v/>
      </c>
      <c r="L425" s="44">
        <f>+VLOOKUP($A425,MAGAZZINO!$B$2:$M$4838,12,FALSE)</f>
        <v/>
      </c>
    </row>
    <row r="426" ht="36" customHeight="1">
      <c r="A426" s="30">
        <f>+REGISTRO!A409</f>
        <v/>
      </c>
      <c r="B426" s="31">
        <f>+VLOOKUP($A426,MAGAZZINO!$B$2:$M$4838,2,FALSE)</f>
        <v/>
      </c>
      <c r="C426" s="32">
        <f>+VLOOKUP($A426,MAGAZZINO!$B$2:$M$4838,3,FALSE)</f>
        <v/>
      </c>
      <c r="D426" s="17">
        <f>+VLOOKUP($A426,MAGAZZINO!$B$2:$M$4838,4,FALSE)</f>
        <v/>
      </c>
      <c r="E426" s="17">
        <f>+VLOOKUP($A426,MAGAZZINO!$B$2:$M$4838,5,FALSE)</f>
        <v/>
      </c>
      <c r="F426" s="17">
        <f>+VLOOKUP($A426,MAGAZZINO!$B$2:$M$4838,6,FALSE)</f>
        <v/>
      </c>
      <c r="G426" s="17">
        <f>+VLOOKUP($A426,MAGAZZINO!$B$2:$M$4838,7,FALSE)</f>
        <v/>
      </c>
      <c r="H426" s="17">
        <f>+VLOOKUP($A426,MAGAZZINO!$B$2:$M$4838,8,FALSE)</f>
        <v/>
      </c>
      <c r="I426" s="17">
        <f>+VLOOKUP($A426,MAGAZZINO!$B$2:$M$4838,9,FALSE)</f>
        <v/>
      </c>
      <c r="J426" s="17">
        <f>+VLOOKUP($A426,MAGAZZINO!$B$2:$M$4838,10,FALSE)</f>
        <v/>
      </c>
      <c r="K426" s="17">
        <f>+VLOOKUP($A426,MAGAZZINO!$B$2:$M$4838,11,FALSE)</f>
        <v/>
      </c>
      <c r="L426" s="44">
        <f>+VLOOKUP($A426,MAGAZZINO!$B$2:$M$4838,12,FALSE)</f>
        <v/>
      </c>
    </row>
    <row r="427" ht="36" customHeight="1">
      <c r="A427" s="30">
        <f>+REGISTRO!A410</f>
        <v/>
      </c>
      <c r="B427" s="31">
        <f>+VLOOKUP($A427,MAGAZZINO!$B$2:$M$4838,2,FALSE)</f>
        <v/>
      </c>
      <c r="C427" s="32">
        <f>+VLOOKUP($A427,MAGAZZINO!$B$2:$M$4838,3,FALSE)</f>
        <v/>
      </c>
      <c r="D427" s="17">
        <f>+VLOOKUP($A427,MAGAZZINO!$B$2:$M$4838,4,FALSE)</f>
        <v/>
      </c>
      <c r="E427" s="17">
        <f>+VLOOKUP($A427,MAGAZZINO!$B$2:$M$4838,5,FALSE)</f>
        <v/>
      </c>
      <c r="F427" s="17">
        <f>+VLOOKUP($A427,MAGAZZINO!$B$2:$M$4838,6,FALSE)</f>
        <v/>
      </c>
      <c r="G427" s="17">
        <f>+VLOOKUP($A427,MAGAZZINO!$B$2:$M$4838,7,FALSE)</f>
        <v/>
      </c>
      <c r="H427" s="17">
        <f>+VLOOKUP($A427,MAGAZZINO!$B$2:$M$4838,8,FALSE)</f>
        <v/>
      </c>
      <c r="I427" s="17">
        <f>+VLOOKUP($A427,MAGAZZINO!$B$2:$M$4838,9,FALSE)</f>
        <v/>
      </c>
      <c r="J427" s="17">
        <f>+VLOOKUP($A427,MAGAZZINO!$B$2:$M$4838,10,FALSE)</f>
        <v/>
      </c>
      <c r="K427" s="17">
        <f>+VLOOKUP($A427,MAGAZZINO!$B$2:$M$4838,11,FALSE)</f>
        <v/>
      </c>
      <c r="L427" s="44">
        <f>+VLOOKUP($A427,MAGAZZINO!$B$2:$M$4838,12,FALSE)</f>
        <v/>
      </c>
    </row>
    <row r="428" ht="36" customHeight="1">
      <c r="A428" s="30">
        <f>+REGISTRO!A411</f>
        <v/>
      </c>
      <c r="B428" s="31">
        <f>+VLOOKUP($A428,MAGAZZINO!$B$2:$M$4838,2,FALSE)</f>
        <v/>
      </c>
      <c r="C428" s="32">
        <f>+VLOOKUP($A428,MAGAZZINO!$B$2:$M$4838,3,FALSE)</f>
        <v/>
      </c>
      <c r="D428" s="17">
        <f>+VLOOKUP($A428,MAGAZZINO!$B$2:$M$4838,4,FALSE)</f>
        <v/>
      </c>
      <c r="E428" s="17">
        <f>+VLOOKUP($A428,MAGAZZINO!$B$2:$M$4838,5,FALSE)</f>
        <v/>
      </c>
      <c r="F428" s="17">
        <f>+VLOOKUP($A428,MAGAZZINO!$B$2:$M$4838,6,FALSE)</f>
        <v/>
      </c>
      <c r="G428" s="17">
        <f>+VLOOKUP($A428,MAGAZZINO!$B$2:$M$4838,7,FALSE)</f>
        <v/>
      </c>
      <c r="H428" s="17">
        <f>+VLOOKUP($A428,MAGAZZINO!$B$2:$M$4838,8,FALSE)</f>
        <v/>
      </c>
      <c r="I428" s="17">
        <f>+VLOOKUP($A428,MAGAZZINO!$B$2:$M$4838,9,FALSE)</f>
        <v/>
      </c>
      <c r="J428" s="17">
        <f>+VLOOKUP($A428,MAGAZZINO!$B$2:$M$4838,10,FALSE)</f>
        <v/>
      </c>
      <c r="K428" s="17">
        <f>+VLOOKUP($A428,MAGAZZINO!$B$2:$M$4838,11,FALSE)</f>
        <v/>
      </c>
      <c r="L428" s="44">
        <f>+VLOOKUP($A428,MAGAZZINO!$B$2:$M$4838,12,FALSE)</f>
        <v/>
      </c>
    </row>
    <row r="429" ht="36" customHeight="1">
      <c r="A429" s="30">
        <f>+REGISTRO!A412</f>
        <v/>
      </c>
      <c r="B429" s="31">
        <f>+VLOOKUP($A429,MAGAZZINO!$B$2:$M$4838,2,FALSE)</f>
        <v/>
      </c>
      <c r="C429" s="32">
        <f>+VLOOKUP($A429,MAGAZZINO!$B$2:$M$4838,3,FALSE)</f>
        <v/>
      </c>
      <c r="D429" s="17">
        <f>+VLOOKUP($A429,MAGAZZINO!$B$2:$M$4838,4,FALSE)</f>
        <v/>
      </c>
      <c r="E429" s="17">
        <f>+VLOOKUP($A429,MAGAZZINO!$B$2:$M$4838,5,FALSE)</f>
        <v/>
      </c>
      <c r="F429" s="17">
        <f>+VLOOKUP($A429,MAGAZZINO!$B$2:$M$4838,6,FALSE)</f>
        <v/>
      </c>
      <c r="G429" s="17">
        <f>+VLOOKUP($A429,MAGAZZINO!$B$2:$M$4838,7,FALSE)</f>
        <v/>
      </c>
      <c r="H429" s="17">
        <f>+VLOOKUP($A429,MAGAZZINO!$B$2:$M$4838,8,FALSE)</f>
        <v/>
      </c>
      <c r="I429" s="17">
        <f>+VLOOKUP($A429,MAGAZZINO!$B$2:$M$4838,9,FALSE)</f>
        <v/>
      </c>
      <c r="J429" s="17">
        <f>+VLOOKUP($A429,MAGAZZINO!$B$2:$M$4838,10,FALSE)</f>
        <v/>
      </c>
      <c r="K429" s="17">
        <f>+VLOOKUP($A429,MAGAZZINO!$B$2:$M$4838,11,FALSE)</f>
        <v/>
      </c>
      <c r="L429" s="44">
        <f>+VLOOKUP($A429,MAGAZZINO!$B$2:$M$4838,12,FALSE)</f>
        <v/>
      </c>
    </row>
    <row r="430" ht="36" customHeight="1">
      <c r="A430" s="30">
        <f>+REGISTRO!A413</f>
        <v/>
      </c>
      <c r="B430" s="31">
        <f>+VLOOKUP($A430,MAGAZZINO!$B$2:$M$4838,2,FALSE)</f>
        <v/>
      </c>
      <c r="C430" s="32">
        <f>+VLOOKUP($A430,MAGAZZINO!$B$2:$M$4838,3,FALSE)</f>
        <v/>
      </c>
      <c r="D430" s="17">
        <f>+VLOOKUP($A430,MAGAZZINO!$B$2:$M$4838,4,FALSE)</f>
        <v/>
      </c>
      <c r="E430" s="17">
        <f>+VLOOKUP($A430,MAGAZZINO!$B$2:$M$4838,5,FALSE)</f>
        <v/>
      </c>
      <c r="F430" s="17">
        <f>+VLOOKUP($A430,MAGAZZINO!$B$2:$M$4838,6,FALSE)</f>
        <v/>
      </c>
      <c r="G430" s="17">
        <f>+VLOOKUP($A430,MAGAZZINO!$B$2:$M$4838,7,FALSE)</f>
        <v/>
      </c>
      <c r="H430" s="17">
        <f>+VLOOKUP($A430,MAGAZZINO!$B$2:$M$4838,8,FALSE)</f>
        <v/>
      </c>
      <c r="I430" s="17">
        <f>+VLOOKUP($A430,MAGAZZINO!$B$2:$M$4838,9,FALSE)</f>
        <v/>
      </c>
      <c r="J430" s="17">
        <f>+VLOOKUP($A430,MAGAZZINO!$B$2:$M$4838,10,FALSE)</f>
        <v/>
      </c>
      <c r="K430" s="17">
        <f>+VLOOKUP($A430,MAGAZZINO!$B$2:$M$4838,11,FALSE)</f>
        <v/>
      </c>
      <c r="L430" s="44">
        <f>+VLOOKUP($A430,MAGAZZINO!$B$2:$M$4838,12,FALSE)</f>
        <v/>
      </c>
    </row>
    <row r="431" ht="36" customHeight="1">
      <c r="A431" s="30">
        <f>+REGISTRO!A414</f>
        <v/>
      </c>
      <c r="B431" s="31">
        <f>+VLOOKUP($A431,MAGAZZINO!$B$2:$M$4838,2,FALSE)</f>
        <v/>
      </c>
      <c r="C431" s="32">
        <f>+VLOOKUP($A431,MAGAZZINO!$B$2:$M$4838,3,FALSE)</f>
        <v/>
      </c>
      <c r="D431" s="17">
        <f>+VLOOKUP($A431,MAGAZZINO!$B$2:$M$4838,4,FALSE)</f>
        <v/>
      </c>
      <c r="E431" s="17">
        <f>+VLOOKUP($A431,MAGAZZINO!$B$2:$M$4838,5,FALSE)</f>
        <v/>
      </c>
      <c r="F431" s="17">
        <f>+VLOOKUP($A431,MAGAZZINO!$B$2:$M$4838,6,FALSE)</f>
        <v/>
      </c>
      <c r="G431" s="17">
        <f>+VLOOKUP($A431,MAGAZZINO!$B$2:$M$4838,7,FALSE)</f>
        <v/>
      </c>
      <c r="H431" s="17">
        <f>+VLOOKUP($A431,MAGAZZINO!$B$2:$M$4838,8,FALSE)</f>
        <v/>
      </c>
      <c r="I431" s="17">
        <f>+VLOOKUP($A431,MAGAZZINO!$B$2:$M$4838,9,FALSE)</f>
        <v/>
      </c>
      <c r="J431" s="17">
        <f>+VLOOKUP($A431,MAGAZZINO!$B$2:$M$4838,10,FALSE)</f>
        <v/>
      </c>
      <c r="K431" s="17">
        <f>+VLOOKUP($A431,MAGAZZINO!$B$2:$M$4838,11,FALSE)</f>
        <v/>
      </c>
      <c r="L431" s="44">
        <f>+VLOOKUP($A431,MAGAZZINO!$B$2:$M$4838,12,FALSE)</f>
        <v/>
      </c>
    </row>
    <row r="432" ht="36" customHeight="1">
      <c r="A432" s="30">
        <f>+REGISTRO!A415</f>
        <v/>
      </c>
      <c r="B432" s="31">
        <f>+VLOOKUP($A432,MAGAZZINO!$B$2:$M$4838,2,FALSE)</f>
        <v/>
      </c>
      <c r="C432" s="32">
        <f>+VLOOKUP($A432,MAGAZZINO!$B$2:$M$4838,3,FALSE)</f>
        <v/>
      </c>
      <c r="D432" s="17">
        <f>+VLOOKUP($A432,MAGAZZINO!$B$2:$M$4838,4,FALSE)</f>
        <v/>
      </c>
      <c r="E432" s="17">
        <f>+VLOOKUP($A432,MAGAZZINO!$B$2:$M$4838,5,FALSE)</f>
        <v/>
      </c>
      <c r="F432" s="17">
        <f>+VLOOKUP($A432,MAGAZZINO!$B$2:$M$4838,6,FALSE)</f>
        <v/>
      </c>
      <c r="G432" s="17">
        <f>+VLOOKUP($A432,MAGAZZINO!$B$2:$M$4838,7,FALSE)</f>
        <v/>
      </c>
      <c r="H432" s="17">
        <f>+VLOOKUP($A432,MAGAZZINO!$B$2:$M$4838,8,FALSE)</f>
        <v/>
      </c>
      <c r="I432" s="17">
        <f>+VLOOKUP($A432,MAGAZZINO!$B$2:$M$4838,9,FALSE)</f>
        <v/>
      </c>
      <c r="J432" s="17">
        <f>+VLOOKUP($A432,MAGAZZINO!$B$2:$M$4838,10,FALSE)</f>
        <v/>
      </c>
      <c r="K432" s="17">
        <f>+VLOOKUP($A432,MAGAZZINO!$B$2:$M$4838,11,FALSE)</f>
        <v/>
      </c>
      <c r="L432" s="44">
        <f>+VLOOKUP($A432,MAGAZZINO!$B$2:$M$4838,12,FALSE)</f>
        <v/>
      </c>
    </row>
    <row r="433" ht="36" customHeight="1">
      <c r="A433" s="30">
        <f>+REGISTRO!A416</f>
        <v/>
      </c>
      <c r="B433" s="31">
        <f>+VLOOKUP($A433,MAGAZZINO!$B$2:$M$4838,2,FALSE)</f>
        <v/>
      </c>
      <c r="C433" s="32">
        <f>+VLOOKUP($A433,MAGAZZINO!$B$2:$M$4838,3,FALSE)</f>
        <v/>
      </c>
      <c r="D433" s="17">
        <f>+VLOOKUP($A433,MAGAZZINO!$B$2:$M$4838,4,FALSE)</f>
        <v/>
      </c>
      <c r="E433" s="17">
        <f>+VLOOKUP($A433,MAGAZZINO!$B$2:$M$4838,5,FALSE)</f>
        <v/>
      </c>
      <c r="F433" s="17">
        <f>+VLOOKUP($A433,MAGAZZINO!$B$2:$M$4838,6,FALSE)</f>
        <v/>
      </c>
      <c r="G433" s="17">
        <f>+VLOOKUP($A433,MAGAZZINO!$B$2:$M$4838,7,FALSE)</f>
        <v/>
      </c>
      <c r="H433" s="17">
        <f>+VLOOKUP($A433,MAGAZZINO!$B$2:$M$4838,8,FALSE)</f>
        <v/>
      </c>
      <c r="I433" s="17">
        <f>+VLOOKUP($A433,MAGAZZINO!$B$2:$M$4838,9,FALSE)</f>
        <v/>
      </c>
      <c r="J433" s="17">
        <f>+VLOOKUP($A433,MAGAZZINO!$B$2:$M$4838,10,FALSE)</f>
        <v/>
      </c>
      <c r="K433" s="17">
        <f>+VLOOKUP($A433,MAGAZZINO!$B$2:$M$4838,11,FALSE)</f>
        <v/>
      </c>
      <c r="L433" s="44">
        <f>+VLOOKUP($A433,MAGAZZINO!$B$2:$M$4838,12,FALSE)</f>
        <v/>
      </c>
    </row>
    <row r="434" ht="36" customHeight="1">
      <c r="A434" s="30">
        <f>+REGISTRO!A417</f>
        <v/>
      </c>
      <c r="B434" s="31">
        <f>+VLOOKUP($A434,MAGAZZINO!$B$2:$M$4838,2,FALSE)</f>
        <v/>
      </c>
      <c r="C434" s="32">
        <f>+VLOOKUP($A434,MAGAZZINO!$B$2:$M$4838,3,FALSE)</f>
        <v/>
      </c>
      <c r="D434" s="17">
        <f>+VLOOKUP($A434,MAGAZZINO!$B$2:$M$4838,4,FALSE)</f>
        <v/>
      </c>
      <c r="E434" s="17">
        <f>+VLOOKUP($A434,MAGAZZINO!$B$2:$M$4838,5,FALSE)</f>
        <v/>
      </c>
      <c r="F434" s="17">
        <f>+VLOOKUP($A434,MAGAZZINO!$B$2:$M$4838,6,FALSE)</f>
        <v/>
      </c>
      <c r="G434" s="17">
        <f>+VLOOKUP($A434,MAGAZZINO!$B$2:$M$4838,7,FALSE)</f>
        <v/>
      </c>
      <c r="H434" s="17">
        <f>+VLOOKUP($A434,MAGAZZINO!$B$2:$M$4838,8,FALSE)</f>
        <v/>
      </c>
      <c r="I434" s="17">
        <f>+VLOOKUP($A434,MAGAZZINO!$B$2:$M$4838,9,FALSE)</f>
        <v/>
      </c>
      <c r="J434" s="17">
        <f>+VLOOKUP($A434,MAGAZZINO!$B$2:$M$4838,10,FALSE)</f>
        <v/>
      </c>
      <c r="K434" s="17">
        <f>+VLOOKUP($A434,MAGAZZINO!$B$2:$M$4838,11,FALSE)</f>
        <v/>
      </c>
      <c r="L434" s="44">
        <f>+VLOOKUP($A434,MAGAZZINO!$B$2:$M$4838,12,FALSE)</f>
        <v/>
      </c>
    </row>
    <row r="435" ht="36" customHeight="1">
      <c r="A435" s="30">
        <f>+REGISTRO!A418</f>
        <v/>
      </c>
      <c r="B435" s="31">
        <f>+VLOOKUP($A435,MAGAZZINO!$B$2:$M$4838,2,FALSE)</f>
        <v/>
      </c>
      <c r="C435" s="32">
        <f>+VLOOKUP($A435,MAGAZZINO!$B$2:$M$4838,3,FALSE)</f>
        <v/>
      </c>
      <c r="D435" s="17">
        <f>+VLOOKUP($A435,MAGAZZINO!$B$2:$M$4838,4,FALSE)</f>
        <v/>
      </c>
      <c r="E435" s="17">
        <f>+VLOOKUP($A435,MAGAZZINO!$B$2:$M$4838,5,FALSE)</f>
        <v/>
      </c>
      <c r="F435" s="17">
        <f>+VLOOKUP($A435,MAGAZZINO!$B$2:$M$4838,6,FALSE)</f>
        <v/>
      </c>
      <c r="G435" s="17">
        <f>+VLOOKUP($A435,MAGAZZINO!$B$2:$M$4838,7,FALSE)</f>
        <v/>
      </c>
      <c r="H435" s="17">
        <f>+VLOOKUP($A435,MAGAZZINO!$B$2:$M$4838,8,FALSE)</f>
        <v/>
      </c>
      <c r="I435" s="17">
        <f>+VLOOKUP($A435,MAGAZZINO!$B$2:$M$4838,9,FALSE)</f>
        <v/>
      </c>
      <c r="J435" s="17">
        <f>+VLOOKUP($A435,MAGAZZINO!$B$2:$M$4838,10,FALSE)</f>
        <v/>
      </c>
      <c r="K435" s="17">
        <f>+VLOOKUP($A435,MAGAZZINO!$B$2:$M$4838,11,FALSE)</f>
        <v/>
      </c>
      <c r="L435" s="44">
        <f>+VLOOKUP($A435,MAGAZZINO!$B$2:$M$4838,12,FALSE)</f>
        <v/>
      </c>
    </row>
    <row r="436" ht="36" customHeight="1">
      <c r="A436" s="30">
        <f>+REGISTRO!A419</f>
        <v/>
      </c>
      <c r="B436" s="31">
        <f>+VLOOKUP($A436,MAGAZZINO!$B$2:$M$4838,2,FALSE)</f>
        <v/>
      </c>
      <c r="C436" s="32">
        <f>+VLOOKUP($A436,MAGAZZINO!$B$2:$M$4838,3,FALSE)</f>
        <v/>
      </c>
      <c r="D436" s="17">
        <f>+VLOOKUP($A436,MAGAZZINO!$B$2:$M$4838,4,FALSE)</f>
        <v/>
      </c>
      <c r="E436" s="17">
        <f>+VLOOKUP($A436,MAGAZZINO!$B$2:$M$4838,5,FALSE)</f>
        <v/>
      </c>
      <c r="F436" s="17">
        <f>+VLOOKUP($A436,MAGAZZINO!$B$2:$M$4838,6,FALSE)</f>
        <v/>
      </c>
      <c r="G436" s="17">
        <f>+VLOOKUP($A436,MAGAZZINO!$B$2:$M$4838,7,FALSE)</f>
        <v/>
      </c>
      <c r="H436" s="17">
        <f>+VLOOKUP($A436,MAGAZZINO!$B$2:$M$4838,8,FALSE)</f>
        <v/>
      </c>
      <c r="I436" s="17">
        <f>+VLOOKUP($A436,MAGAZZINO!$B$2:$M$4838,9,FALSE)</f>
        <v/>
      </c>
      <c r="J436" s="17">
        <f>+VLOOKUP($A436,MAGAZZINO!$B$2:$M$4838,10,FALSE)</f>
        <v/>
      </c>
      <c r="K436" s="17">
        <f>+VLOOKUP($A436,MAGAZZINO!$B$2:$M$4838,11,FALSE)</f>
        <v/>
      </c>
      <c r="L436" s="44">
        <f>+VLOOKUP($A436,MAGAZZINO!$B$2:$M$4838,12,FALSE)</f>
        <v/>
      </c>
    </row>
    <row r="437" ht="36" customHeight="1">
      <c r="A437" s="30">
        <f>+REGISTRO!A420</f>
        <v/>
      </c>
      <c r="B437" s="31">
        <f>+VLOOKUP($A437,MAGAZZINO!$B$2:$M$4838,2,FALSE)</f>
        <v/>
      </c>
      <c r="C437" s="32">
        <f>+VLOOKUP($A437,MAGAZZINO!$B$2:$M$4838,3,FALSE)</f>
        <v/>
      </c>
      <c r="D437" s="17">
        <f>+VLOOKUP($A437,MAGAZZINO!$B$2:$M$4838,4,FALSE)</f>
        <v/>
      </c>
      <c r="E437" s="17">
        <f>+VLOOKUP($A437,MAGAZZINO!$B$2:$M$4838,5,FALSE)</f>
        <v/>
      </c>
      <c r="F437" s="17">
        <f>+VLOOKUP($A437,MAGAZZINO!$B$2:$M$4838,6,FALSE)</f>
        <v/>
      </c>
      <c r="G437" s="17">
        <f>+VLOOKUP($A437,MAGAZZINO!$B$2:$M$4838,7,FALSE)</f>
        <v/>
      </c>
      <c r="H437" s="17">
        <f>+VLOOKUP($A437,MAGAZZINO!$B$2:$M$4838,8,FALSE)</f>
        <v/>
      </c>
      <c r="I437" s="17">
        <f>+VLOOKUP($A437,MAGAZZINO!$B$2:$M$4838,9,FALSE)</f>
        <v/>
      </c>
      <c r="J437" s="17">
        <f>+VLOOKUP($A437,MAGAZZINO!$B$2:$M$4838,10,FALSE)</f>
        <v/>
      </c>
      <c r="K437" s="17">
        <f>+VLOOKUP($A437,MAGAZZINO!$B$2:$M$4838,11,FALSE)</f>
        <v/>
      </c>
      <c r="L437" s="44">
        <f>+VLOOKUP($A437,MAGAZZINO!$B$2:$M$4838,12,FALSE)</f>
        <v/>
      </c>
    </row>
    <row r="438" ht="36" customHeight="1">
      <c r="A438" s="30">
        <f>+REGISTRO!A421</f>
        <v/>
      </c>
      <c r="B438" s="31">
        <f>+VLOOKUP($A438,MAGAZZINO!$B$2:$M$4838,2,FALSE)</f>
        <v/>
      </c>
      <c r="C438" s="32">
        <f>+VLOOKUP($A438,MAGAZZINO!$B$2:$M$4838,3,FALSE)</f>
        <v/>
      </c>
      <c r="D438" s="17">
        <f>+VLOOKUP($A438,MAGAZZINO!$B$2:$M$4838,4,FALSE)</f>
        <v/>
      </c>
      <c r="E438" s="17">
        <f>+VLOOKUP($A438,MAGAZZINO!$B$2:$M$4838,5,FALSE)</f>
        <v/>
      </c>
      <c r="F438" s="17">
        <f>+VLOOKUP($A438,MAGAZZINO!$B$2:$M$4838,6,FALSE)</f>
        <v/>
      </c>
      <c r="G438" s="17">
        <f>+VLOOKUP($A438,MAGAZZINO!$B$2:$M$4838,7,FALSE)</f>
        <v/>
      </c>
      <c r="H438" s="17">
        <f>+VLOOKUP($A438,MAGAZZINO!$B$2:$M$4838,8,FALSE)</f>
        <v/>
      </c>
      <c r="I438" s="17">
        <f>+VLOOKUP($A438,MAGAZZINO!$B$2:$M$4838,9,FALSE)</f>
        <v/>
      </c>
      <c r="J438" s="17">
        <f>+VLOOKUP($A438,MAGAZZINO!$B$2:$M$4838,10,FALSE)</f>
        <v/>
      </c>
      <c r="K438" s="17">
        <f>+VLOOKUP($A438,MAGAZZINO!$B$2:$M$4838,11,FALSE)</f>
        <v/>
      </c>
      <c r="L438" s="44">
        <f>+VLOOKUP($A438,MAGAZZINO!$B$2:$M$4838,12,FALSE)</f>
        <v/>
      </c>
    </row>
    <row r="439" ht="36" customHeight="1">
      <c r="A439" s="30">
        <f>+REGISTRO!A422</f>
        <v/>
      </c>
      <c r="B439" s="31">
        <f>+VLOOKUP($A439,MAGAZZINO!$B$2:$M$4838,2,FALSE)</f>
        <v/>
      </c>
      <c r="C439" s="32">
        <f>+VLOOKUP($A439,MAGAZZINO!$B$2:$M$4838,3,FALSE)</f>
        <v/>
      </c>
      <c r="D439" s="17">
        <f>+VLOOKUP($A439,MAGAZZINO!$B$2:$M$4838,4,FALSE)</f>
        <v/>
      </c>
      <c r="E439" s="17">
        <f>+VLOOKUP($A439,MAGAZZINO!$B$2:$M$4838,5,FALSE)</f>
        <v/>
      </c>
      <c r="F439" s="17">
        <f>+VLOOKUP($A439,MAGAZZINO!$B$2:$M$4838,6,FALSE)</f>
        <v/>
      </c>
      <c r="G439" s="17">
        <f>+VLOOKUP($A439,MAGAZZINO!$B$2:$M$4838,7,FALSE)</f>
        <v/>
      </c>
      <c r="H439" s="17">
        <f>+VLOOKUP($A439,MAGAZZINO!$B$2:$M$4838,8,FALSE)</f>
        <v/>
      </c>
      <c r="I439" s="17">
        <f>+VLOOKUP($A439,MAGAZZINO!$B$2:$M$4838,9,FALSE)</f>
        <v/>
      </c>
      <c r="J439" s="17">
        <f>+VLOOKUP($A439,MAGAZZINO!$B$2:$M$4838,10,FALSE)</f>
        <v/>
      </c>
      <c r="K439" s="17">
        <f>+VLOOKUP($A439,MAGAZZINO!$B$2:$M$4838,11,FALSE)</f>
        <v/>
      </c>
      <c r="L439" s="44">
        <f>+VLOOKUP($A439,MAGAZZINO!$B$2:$M$4838,12,FALSE)</f>
        <v/>
      </c>
    </row>
    <row r="440" ht="36" customHeight="1">
      <c r="A440" s="30">
        <f>+REGISTRO!A423</f>
        <v/>
      </c>
      <c r="B440" s="31">
        <f>+VLOOKUP($A440,MAGAZZINO!$B$2:$M$4838,2,FALSE)</f>
        <v/>
      </c>
      <c r="C440" s="32">
        <f>+VLOOKUP($A440,MAGAZZINO!$B$2:$M$4838,3,FALSE)</f>
        <v/>
      </c>
      <c r="D440" s="17">
        <f>+VLOOKUP($A440,MAGAZZINO!$B$2:$M$4838,4,FALSE)</f>
        <v/>
      </c>
      <c r="E440" s="17">
        <f>+VLOOKUP($A440,MAGAZZINO!$B$2:$M$4838,5,FALSE)</f>
        <v/>
      </c>
      <c r="F440" s="17">
        <f>+VLOOKUP($A440,MAGAZZINO!$B$2:$M$4838,6,FALSE)</f>
        <v/>
      </c>
      <c r="G440" s="17">
        <f>+VLOOKUP($A440,MAGAZZINO!$B$2:$M$4838,7,FALSE)</f>
        <v/>
      </c>
      <c r="H440" s="17">
        <f>+VLOOKUP($A440,MAGAZZINO!$B$2:$M$4838,8,FALSE)</f>
        <v/>
      </c>
      <c r="I440" s="17">
        <f>+VLOOKUP($A440,MAGAZZINO!$B$2:$M$4838,9,FALSE)</f>
        <v/>
      </c>
      <c r="J440" s="17">
        <f>+VLOOKUP($A440,MAGAZZINO!$B$2:$M$4838,10,FALSE)</f>
        <v/>
      </c>
      <c r="K440" s="17">
        <f>+VLOOKUP($A440,MAGAZZINO!$B$2:$M$4838,11,FALSE)</f>
        <v/>
      </c>
      <c r="L440" s="44">
        <f>+VLOOKUP($A440,MAGAZZINO!$B$2:$M$4838,12,FALSE)</f>
        <v/>
      </c>
    </row>
    <row r="441" ht="36" customHeight="1">
      <c r="A441" s="30">
        <f>+REGISTRO!A424</f>
        <v/>
      </c>
      <c r="B441" s="31">
        <f>+VLOOKUP($A441,MAGAZZINO!$B$2:$M$4838,2,FALSE)</f>
        <v/>
      </c>
      <c r="C441" s="32">
        <f>+VLOOKUP($A441,MAGAZZINO!$B$2:$M$4838,3,FALSE)</f>
        <v/>
      </c>
      <c r="D441" s="17">
        <f>+VLOOKUP($A441,MAGAZZINO!$B$2:$M$4838,4,FALSE)</f>
        <v/>
      </c>
      <c r="E441" s="17">
        <f>+VLOOKUP($A441,MAGAZZINO!$B$2:$M$4838,5,FALSE)</f>
        <v/>
      </c>
      <c r="F441" s="17">
        <f>+VLOOKUP($A441,MAGAZZINO!$B$2:$M$4838,6,FALSE)</f>
        <v/>
      </c>
      <c r="G441" s="17">
        <f>+VLOOKUP($A441,MAGAZZINO!$B$2:$M$4838,7,FALSE)</f>
        <v/>
      </c>
      <c r="H441" s="17">
        <f>+VLOOKUP($A441,MAGAZZINO!$B$2:$M$4838,8,FALSE)</f>
        <v/>
      </c>
      <c r="I441" s="17">
        <f>+VLOOKUP($A441,MAGAZZINO!$B$2:$M$4838,9,FALSE)</f>
        <v/>
      </c>
      <c r="J441" s="17">
        <f>+VLOOKUP($A441,MAGAZZINO!$B$2:$M$4838,10,FALSE)</f>
        <v/>
      </c>
      <c r="K441" s="17">
        <f>+VLOOKUP($A441,MAGAZZINO!$B$2:$M$4838,11,FALSE)</f>
        <v/>
      </c>
      <c r="L441" s="44">
        <f>+VLOOKUP($A441,MAGAZZINO!$B$2:$M$4838,12,FALSE)</f>
        <v/>
      </c>
    </row>
    <row r="442" ht="36" customHeight="1">
      <c r="A442" s="30">
        <f>+REGISTRO!A425</f>
        <v/>
      </c>
      <c r="B442" s="31">
        <f>+VLOOKUP($A442,MAGAZZINO!$B$2:$M$4838,2,FALSE)</f>
        <v/>
      </c>
      <c r="C442" s="32">
        <f>+VLOOKUP($A442,MAGAZZINO!$B$2:$M$4838,3,FALSE)</f>
        <v/>
      </c>
      <c r="D442" s="17">
        <f>+VLOOKUP($A442,MAGAZZINO!$B$2:$M$4838,4,FALSE)</f>
        <v/>
      </c>
      <c r="E442" s="17">
        <f>+VLOOKUP($A442,MAGAZZINO!$B$2:$M$4838,5,FALSE)</f>
        <v/>
      </c>
      <c r="F442" s="17">
        <f>+VLOOKUP($A442,MAGAZZINO!$B$2:$M$4838,6,FALSE)</f>
        <v/>
      </c>
      <c r="G442" s="17">
        <f>+VLOOKUP($A442,MAGAZZINO!$B$2:$M$4838,7,FALSE)</f>
        <v/>
      </c>
      <c r="H442" s="17">
        <f>+VLOOKUP($A442,MAGAZZINO!$B$2:$M$4838,8,FALSE)</f>
        <v/>
      </c>
      <c r="I442" s="17">
        <f>+VLOOKUP($A442,MAGAZZINO!$B$2:$M$4838,9,FALSE)</f>
        <v/>
      </c>
      <c r="J442" s="17">
        <f>+VLOOKUP($A442,MAGAZZINO!$B$2:$M$4838,10,FALSE)</f>
        <v/>
      </c>
      <c r="K442" s="17">
        <f>+VLOOKUP($A442,MAGAZZINO!$B$2:$M$4838,11,FALSE)</f>
        <v/>
      </c>
      <c r="L442" s="44">
        <f>+VLOOKUP($A442,MAGAZZINO!$B$2:$M$4838,12,FALSE)</f>
        <v/>
      </c>
    </row>
    <row r="443" ht="36" customHeight="1">
      <c r="A443" s="30">
        <f>+REGISTRO!A426</f>
        <v/>
      </c>
      <c r="B443" s="31">
        <f>+VLOOKUP($A443,MAGAZZINO!$B$2:$M$4838,2,FALSE)</f>
        <v/>
      </c>
      <c r="C443" s="32">
        <f>+VLOOKUP($A443,MAGAZZINO!$B$2:$M$4838,3,FALSE)</f>
        <v/>
      </c>
      <c r="D443" s="17">
        <f>+VLOOKUP($A443,MAGAZZINO!$B$2:$M$4838,4,FALSE)</f>
        <v/>
      </c>
      <c r="E443" s="17">
        <f>+VLOOKUP($A443,MAGAZZINO!$B$2:$M$4838,5,FALSE)</f>
        <v/>
      </c>
      <c r="F443" s="17">
        <f>+VLOOKUP($A443,MAGAZZINO!$B$2:$M$4838,6,FALSE)</f>
        <v/>
      </c>
      <c r="G443" s="17">
        <f>+VLOOKUP($A443,MAGAZZINO!$B$2:$M$4838,7,FALSE)</f>
        <v/>
      </c>
      <c r="H443" s="17">
        <f>+VLOOKUP($A443,MAGAZZINO!$B$2:$M$4838,8,FALSE)</f>
        <v/>
      </c>
      <c r="I443" s="17">
        <f>+VLOOKUP($A443,MAGAZZINO!$B$2:$M$4838,9,FALSE)</f>
        <v/>
      </c>
      <c r="J443" s="17">
        <f>+VLOOKUP($A443,MAGAZZINO!$B$2:$M$4838,10,FALSE)</f>
        <v/>
      </c>
      <c r="K443" s="17">
        <f>+VLOOKUP($A443,MAGAZZINO!$B$2:$M$4838,11,FALSE)</f>
        <v/>
      </c>
      <c r="L443" s="44">
        <f>+VLOOKUP($A443,MAGAZZINO!$B$2:$M$4838,12,FALSE)</f>
        <v/>
      </c>
    </row>
    <row r="444" ht="36" customHeight="1">
      <c r="A444" s="30">
        <f>+REGISTRO!A427</f>
        <v/>
      </c>
      <c r="B444" s="31">
        <f>+VLOOKUP($A444,MAGAZZINO!$B$2:$M$4838,2,FALSE)</f>
        <v/>
      </c>
      <c r="C444" s="32">
        <f>+VLOOKUP($A444,MAGAZZINO!$B$2:$M$4838,3,FALSE)</f>
        <v/>
      </c>
      <c r="D444" s="17">
        <f>+VLOOKUP($A444,MAGAZZINO!$B$2:$M$4838,4,FALSE)</f>
        <v/>
      </c>
      <c r="E444" s="17">
        <f>+VLOOKUP($A444,MAGAZZINO!$B$2:$M$4838,5,FALSE)</f>
        <v/>
      </c>
      <c r="F444" s="17">
        <f>+VLOOKUP($A444,MAGAZZINO!$B$2:$M$4838,6,FALSE)</f>
        <v/>
      </c>
      <c r="G444" s="17">
        <f>+VLOOKUP($A444,MAGAZZINO!$B$2:$M$4838,7,FALSE)</f>
        <v/>
      </c>
      <c r="H444" s="17">
        <f>+VLOOKUP($A444,MAGAZZINO!$B$2:$M$4838,8,FALSE)</f>
        <v/>
      </c>
      <c r="I444" s="17">
        <f>+VLOOKUP($A444,MAGAZZINO!$B$2:$M$4838,9,FALSE)</f>
        <v/>
      </c>
      <c r="J444" s="17">
        <f>+VLOOKUP($A444,MAGAZZINO!$B$2:$M$4838,10,FALSE)</f>
        <v/>
      </c>
      <c r="K444" s="17">
        <f>+VLOOKUP($A444,MAGAZZINO!$B$2:$M$4838,11,FALSE)</f>
        <v/>
      </c>
      <c r="L444" s="44">
        <f>+VLOOKUP($A444,MAGAZZINO!$B$2:$M$4838,12,FALSE)</f>
        <v/>
      </c>
    </row>
    <row r="445" ht="36" customHeight="1">
      <c r="A445" s="30">
        <f>+REGISTRO!A428</f>
        <v/>
      </c>
      <c r="B445" s="31">
        <f>+VLOOKUP($A445,MAGAZZINO!$B$2:$M$4838,2,FALSE)</f>
        <v/>
      </c>
      <c r="C445" s="32">
        <f>+VLOOKUP($A445,MAGAZZINO!$B$2:$M$4838,3,FALSE)</f>
        <v/>
      </c>
      <c r="D445" s="17">
        <f>+VLOOKUP($A445,MAGAZZINO!$B$2:$M$4838,4,FALSE)</f>
        <v/>
      </c>
      <c r="E445" s="17">
        <f>+VLOOKUP($A445,MAGAZZINO!$B$2:$M$4838,5,FALSE)</f>
        <v/>
      </c>
      <c r="F445" s="17">
        <f>+VLOOKUP($A445,MAGAZZINO!$B$2:$M$4838,6,FALSE)</f>
        <v/>
      </c>
      <c r="G445" s="17">
        <f>+VLOOKUP($A445,MAGAZZINO!$B$2:$M$4838,7,FALSE)</f>
        <v/>
      </c>
      <c r="H445" s="17">
        <f>+VLOOKUP($A445,MAGAZZINO!$B$2:$M$4838,8,FALSE)</f>
        <v/>
      </c>
      <c r="I445" s="17">
        <f>+VLOOKUP($A445,MAGAZZINO!$B$2:$M$4838,9,FALSE)</f>
        <v/>
      </c>
      <c r="J445" s="17">
        <f>+VLOOKUP($A445,MAGAZZINO!$B$2:$M$4838,10,FALSE)</f>
        <v/>
      </c>
      <c r="K445" s="17">
        <f>+VLOOKUP($A445,MAGAZZINO!$B$2:$M$4838,11,FALSE)</f>
        <v/>
      </c>
      <c r="L445" s="44">
        <f>+VLOOKUP($A445,MAGAZZINO!$B$2:$M$4838,12,FALSE)</f>
        <v/>
      </c>
    </row>
    <row r="446" ht="36" customHeight="1">
      <c r="A446" s="30">
        <f>+REGISTRO!A429</f>
        <v/>
      </c>
      <c r="B446" s="31">
        <f>+VLOOKUP($A446,MAGAZZINO!$B$2:$M$4838,2,FALSE)</f>
        <v/>
      </c>
      <c r="C446" s="32">
        <f>+VLOOKUP($A446,MAGAZZINO!$B$2:$M$4838,3,FALSE)</f>
        <v/>
      </c>
      <c r="D446" s="17">
        <f>+VLOOKUP($A446,MAGAZZINO!$B$2:$M$4838,4,FALSE)</f>
        <v/>
      </c>
      <c r="E446" s="17">
        <f>+VLOOKUP($A446,MAGAZZINO!$B$2:$M$4838,5,FALSE)</f>
        <v/>
      </c>
      <c r="F446" s="17">
        <f>+VLOOKUP($A446,MAGAZZINO!$B$2:$M$4838,6,FALSE)</f>
        <v/>
      </c>
      <c r="G446" s="17">
        <f>+VLOOKUP($A446,MAGAZZINO!$B$2:$M$4838,7,FALSE)</f>
        <v/>
      </c>
      <c r="H446" s="17">
        <f>+VLOOKUP($A446,MAGAZZINO!$B$2:$M$4838,8,FALSE)</f>
        <v/>
      </c>
      <c r="I446" s="17">
        <f>+VLOOKUP($A446,MAGAZZINO!$B$2:$M$4838,9,FALSE)</f>
        <v/>
      </c>
      <c r="J446" s="17">
        <f>+VLOOKUP($A446,MAGAZZINO!$B$2:$M$4838,10,FALSE)</f>
        <v/>
      </c>
      <c r="K446" s="17">
        <f>+VLOOKUP($A446,MAGAZZINO!$B$2:$M$4838,11,FALSE)</f>
        <v/>
      </c>
      <c r="L446" s="44">
        <f>+VLOOKUP($A446,MAGAZZINO!$B$2:$M$4838,12,FALSE)</f>
        <v/>
      </c>
    </row>
    <row r="447" ht="36" customHeight="1">
      <c r="A447" s="30">
        <f>+REGISTRO!A430</f>
        <v/>
      </c>
      <c r="B447" s="31">
        <f>+VLOOKUP($A447,MAGAZZINO!$B$2:$M$4838,2,FALSE)</f>
        <v/>
      </c>
      <c r="C447" s="32">
        <f>+VLOOKUP($A447,MAGAZZINO!$B$2:$M$4838,3,FALSE)</f>
        <v/>
      </c>
      <c r="D447" s="17">
        <f>+VLOOKUP($A447,MAGAZZINO!$B$2:$M$4838,4,FALSE)</f>
        <v/>
      </c>
      <c r="E447" s="17">
        <f>+VLOOKUP($A447,MAGAZZINO!$B$2:$M$4838,5,FALSE)</f>
        <v/>
      </c>
      <c r="F447" s="17">
        <f>+VLOOKUP($A447,MAGAZZINO!$B$2:$M$4838,6,FALSE)</f>
        <v/>
      </c>
      <c r="G447" s="17">
        <f>+VLOOKUP($A447,MAGAZZINO!$B$2:$M$4838,7,FALSE)</f>
        <v/>
      </c>
      <c r="H447" s="17">
        <f>+VLOOKUP($A447,MAGAZZINO!$B$2:$M$4838,8,FALSE)</f>
        <v/>
      </c>
      <c r="I447" s="17">
        <f>+VLOOKUP($A447,MAGAZZINO!$B$2:$M$4838,9,FALSE)</f>
        <v/>
      </c>
      <c r="J447" s="17">
        <f>+VLOOKUP($A447,MAGAZZINO!$B$2:$M$4838,10,FALSE)</f>
        <v/>
      </c>
      <c r="K447" s="17">
        <f>+VLOOKUP($A447,MAGAZZINO!$B$2:$M$4838,11,FALSE)</f>
        <v/>
      </c>
      <c r="L447" s="44">
        <f>+VLOOKUP($A447,MAGAZZINO!$B$2:$M$4838,12,FALSE)</f>
        <v/>
      </c>
    </row>
    <row r="448" ht="36" customHeight="1">
      <c r="A448" s="30">
        <f>+REGISTRO!A431</f>
        <v/>
      </c>
      <c r="B448" s="31">
        <f>+VLOOKUP($A448,MAGAZZINO!$B$2:$M$4838,2,FALSE)</f>
        <v/>
      </c>
      <c r="C448" s="32">
        <f>+VLOOKUP($A448,MAGAZZINO!$B$2:$M$4838,3,FALSE)</f>
        <v/>
      </c>
      <c r="D448" s="17">
        <f>+VLOOKUP($A448,MAGAZZINO!$B$2:$M$4838,4,FALSE)</f>
        <v/>
      </c>
      <c r="E448" s="17">
        <f>+VLOOKUP($A448,MAGAZZINO!$B$2:$M$4838,5,FALSE)</f>
        <v/>
      </c>
      <c r="F448" s="17">
        <f>+VLOOKUP($A448,MAGAZZINO!$B$2:$M$4838,6,FALSE)</f>
        <v/>
      </c>
      <c r="G448" s="17">
        <f>+VLOOKUP($A448,MAGAZZINO!$B$2:$M$4838,7,FALSE)</f>
        <v/>
      </c>
      <c r="H448" s="17">
        <f>+VLOOKUP($A448,MAGAZZINO!$B$2:$M$4838,8,FALSE)</f>
        <v/>
      </c>
      <c r="I448" s="17">
        <f>+VLOOKUP($A448,MAGAZZINO!$B$2:$M$4838,9,FALSE)</f>
        <v/>
      </c>
      <c r="J448" s="17">
        <f>+VLOOKUP($A448,MAGAZZINO!$B$2:$M$4838,10,FALSE)</f>
        <v/>
      </c>
      <c r="K448" s="17">
        <f>+VLOOKUP($A448,MAGAZZINO!$B$2:$M$4838,11,FALSE)</f>
        <v/>
      </c>
      <c r="L448" s="44">
        <f>+VLOOKUP($A448,MAGAZZINO!$B$2:$M$4838,12,FALSE)</f>
        <v/>
      </c>
    </row>
    <row r="449" ht="36" customHeight="1">
      <c r="A449" s="30">
        <f>+REGISTRO!A432</f>
        <v/>
      </c>
      <c r="B449" s="31">
        <f>+VLOOKUP($A449,MAGAZZINO!$B$2:$M$4838,2,FALSE)</f>
        <v/>
      </c>
      <c r="C449" s="32">
        <f>+VLOOKUP($A449,MAGAZZINO!$B$2:$M$4838,3,FALSE)</f>
        <v/>
      </c>
      <c r="D449" s="17">
        <f>+VLOOKUP($A449,MAGAZZINO!$B$2:$M$4838,4,FALSE)</f>
        <v/>
      </c>
      <c r="E449" s="17">
        <f>+VLOOKUP($A449,MAGAZZINO!$B$2:$M$4838,5,FALSE)</f>
        <v/>
      </c>
      <c r="F449" s="17">
        <f>+VLOOKUP($A449,MAGAZZINO!$B$2:$M$4838,6,FALSE)</f>
        <v/>
      </c>
      <c r="G449" s="17">
        <f>+VLOOKUP($A449,MAGAZZINO!$B$2:$M$4838,7,FALSE)</f>
        <v/>
      </c>
      <c r="H449" s="17">
        <f>+VLOOKUP($A449,MAGAZZINO!$B$2:$M$4838,8,FALSE)</f>
        <v/>
      </c>
      <c r="I449" s="17">
        <f>+VLOOKUP($A449,MAGAZZINO!$B$2:$M$4838,9,FALSE)</f>
        <v/>
      </c>
      <c r="J449" s="17">
        <f>+VLOOKUP($A449,MAGAZZINO!$B$2:$M$4838,10,FALSE)</f>
        <v/>
      </c>
      <c r="K449" s="17">
        <f>+VLOOKUP($A449,MAGAZZINO!$B$2:$M$4838,11,FALSE)</f>
        <v/>
      </c>
      <c r="L449" s="44">
        <f>+VLOOKUP($A449,MAGAZZINO!$B$2:$M$4838,12,FALSE)</f>
        <v/>
      </c>
    </row>
    <row r="450" ht="36" customHeight="1">
      <c r="A450" s="30">
        <f>+REGISTRO!A433</f>
        <v/>
      </c>
      <c r="B450" s="31">
        <f>+VLOOKUP($A450,MAGAZZINO!$B$2:$M$4838,2,FALSE)</f>
        <v/>
      </c>
      <c r="C450" s="32">
        <f>+VLOOKUP($A450,MAGAZZINO!$B$2:$M$4838,3,FALSE)</f>
        <v/>
      </c>
      <c r="D450" s="17">
        <f>+VLOOKUP($A450,MAGAZZINO!$B$2:$M$4838,4,FALSE)</f>
        <v/>
      </c>
      <c r="E450" s="17">
        <f>+VLOOKUP($A450,MAGAZZINO!$B$2:$M$4838,5,FALSE)</f>
        <v/>
      </c>
      <c r="F450" s="17">
        <f>+VLOOKUP($A450,MAGAZZINO!$B$2:$M$4838,6,FALSE)</f>
        <v/>
      </c>
      <c r="G450" s="17">
        <f>+VLOOKUP($A450,MAGAZZINO!$B$2:$M$4838,7,FALSE)</f>
        <v/>
      </c>
      <c r="H450" s="17">
        <f>+VLOOKUP($A450,MAGAZZINO!$B$2:$M$4838,8,FALSE)</f>
        <v/>
      </c>
      <c r="I450" s="17">
        <f>+VLOOKUP($A450,MAGAZZINO!$B$2:$M$4838,9,FALSE)</f>
        <v/>
      </c>
      <c r="J450" s="17">
        <f>+VLOOKUP($A450,MAGAZZINO!$B$2:$M$4838,10,FALSE)</f>
        <v/>
      </c>
      <c r="K450" s="17">
        <f>+VLOOKUP($A450,MAGAZZINO!$B$2:$M$4838,11,FALSE)</f>
        <v/>
      </c>
      <c r="L450" s="44">
        <f>+VLOOKUP($A450,MAGAZZINO!$B$2:$M$4838,12,FALSE)</f>
        <v/>
      </c>
    </row>
    <row r="451" ht="36" customHeight="1">
      <c r="A451" s="30">
        <f>+REGISTRO!A434</f>
        <v/>
      </c>
      <c r="B451" s="31">
        <f>+VLOOKUP($A451,MAGAZZINO!$B$2:$M$4838,2,FALSE)</f>
        <v/>
      </c>
      <c r="C451" s="32">
        <f>+VLOOKUP($A451,MAGAZZINO!$B$2:$M$4838,3,FALSE)</f>
        <v/>
      </c>
      <c r="D451" s="17">
        <f>+VLOOKUP($A451,MAGAZZINO!$B$2:$M$4838,4,FALSE)</f>
        <v/>
      </c>
      <c r="E451" s="17">
        <f>+VLOOKUP($A451,MAGAZZINO!$B$2:$M$4838,5,FALSE)</f>
        <v/>
      </c>
      <c r="F451" s="17">
        <f>+VLOOKUP($A451,MAGAZZINO!$B$2:$M$4838,6,FALSE)</f>
        <v/>
      </c>
      <c r="G451" s="17">
        <f>+VLOOKUP($A451,MAGAZZINO!$B$2:$M$4838,7,FALSE)</f>
        <v/>
      </c>
      <c r="H451" s="17">
        <f>+VLOOKUP($A451,MAGAZZINO!$B$2:$M$4838,8,FALSE)</f>
        <v/>
      </c>
      <c r="I451" s="17">
        <f>+VLOOKUP($A451,MAGAZZINO!$B$2:$M$4838,9,FALSE)</f>
        <v/>
      </c>
      <c r="J451" s="17">
        <f>+VLOOKUP($A451,MAGAZZINO!$B$2:$M$4838,10,FALSE)</f>
        <v/>
      </c>
      <c r="K451" s="17">
        <f>+VLOOKUP($A451,MAGAZZINO!$B$2:$M$4838,11,FALSE)</f>
        <v/>
      </c>
      <c r="L451" s="44">
        <f>+VLOOKUP($A451,MAGAZZINO!$B$2:$M$4838,12,FALSE)</f>
        <v/>
      </c>
    </row>
    <row r="452" ht="36" customHeight="1">
      <c r="A452" s="30">
        <f>+REGISTRO!A435</f>
        <v/>
      </c>
      <c r="B452" s="31">
        <f>+VLOOKUP($A452,MAGAZZINO!$B$2:$M$4838,2,FALSE)</f>
        <v/>
      </c>
      <c r="C452" s="32">
        <f>+VLOOKUP($A452,MAGAZZINO!$B$2:$M$4838,3,FALSE)</f>
        <v/>
      </c>
      <c r="D452" s="17">
        <f>+VLOOKUP($A452,MAGAZZINO!$B$2:$M$4838,4,FALSE)</f>
        <v/>
      </c>
      <c r="E452" s="17">
        <f>+VLOOKUP($A452,MAGAZZINO!$B$2:$M$4838,5,FALSE)</f>
        <v/>
      </c>
      <c r="F452" s="17">
        <f>+VLOOKUP($A452,MAGAZZINO!$B$2:$M$4838,6,FALSE)</f>
        <v/>
      </c>
      <c r="G452" s="17">
        <f>+VLOOKUP($A452,MAGAZZINO!$B$2:$M$4838,7,FALSE)</f>
        <v/>
      </c>
      <c r="H452" s="17">
        <f>+VLOOKUP($A452,MAGAZZINO!$B$2:$M$4838,8,FALSE)</f>
        <v/>
      </c>
      <c r="I452" s="17">
        <f>+VLOOKUP($A452,MAGAZZINO!$B$2:$M$4838,9,FALSE)</f>
        <v/>
      </c>
      <c r="J452" s="17">
        <f>+VLOOKUP($A452,MAGAZZINO!$B$2:$M$4838,10,FALSE)</f>
        <v/>
      </c>
      <c r="K452" s="17">
        <f>+VLOOKUP($A452,MAGAZZINO!$B$2:$M$4838,11,FALSE)</f>
        <v/>
      </c>
      <c r="L452" s="44">
        <f>+VLOOKUP($A452,MAGAZZINO!$B$2:$M$4838,12,FALSE)</f>
        <v/>
      </c>
    </row>
    <row r="453" ht="36" customHeight="1">
      <c r="A453" s="30">
        <f>+REGISTRO!A436</f>
        <v/>
      </c>
      <c r="B453" s="31">
        <f>+VLOOKUP($A453,MAGAZZINO!$B$2:$M$4838,2,FALSE)</f>
        <v/>
      </c>
      <c r="C453" s="32">
        <f>+VLOOKUP($A453,MAGAZZINO!$B$2:$M$4838,3,FALSE)</f>
        <v/>
      </c>
      <c r="D453" s="17">
        <f>+VLOOKUP($A453,MAGAZZINO!$B$2:$M$4838,4,FALSE)</f>
        <v/>
      </c>
      <c r="E453" s="17">
        <f>+VLOOKUP($A453,MAGAZZINO!$B$2:$M$4838,5,FALSE)</f>
        <v/>
      </c>
      <c r="F453" s="17">
        <f>+VLOOKUP($A453,MAGAZZINO!$B$2:$M$4838,6,FALSE)</f>
        <v/>
      </c>
      <c r="G453" s="17">
        <f>+VLOOKUP($A453,MAGAZZINO!$B$2:$M$4838,7,FALSE)</f>
        <v/>
      </c>
      <c r="H453" s="17">
        <f>+VLOOKUP($A453,MAGAZZINO!$B$2:$M$4838,8,FALSE)</f>
        <v/>
      </c>
      <c r="I453" s="17">
        <f>+VLOOKUP($A453,MAGAZZINO!$B$2:$M$4838,9,FALSE)</f>
        <v/>
      </c>
      <c r="J453" s="17">
        <f>+VLOOKUP($A453,MAGAZZINO!$B$2:$M$4838,10,FALSE)</f>
        <v/>
      </c>
      <c r="K453" s="17">
        <f>+VLOOKUP($A453,MAGAZZINO!$B$2:$M$4838,11,FALSE)</f>
        <v/>
      </c>
      <c r="L453" s="44">
        <f>+VLOOKUP($A453,MAGAZZINO!$B$2:$M$4838,12,FALSE)</f>
        <v/>
      </c>
    </row>
    <row r="454" ht="36" customHeight="1">
      <c r="A454" s="30">
        <f>+REGISTRO!A437</f>
        <v/>
      </c>
      <c r="B454" s="31">
        <f>+VLOOKUP($A454,MAGAZZINO!$B$2:$M$4838,2,FALSE)</f>
        <v/>
      </c>
      <c r="C454" s="32">
        <f>+VLOOKUP($A454,MAGAZZINO!$B$2:$M$4838,3,FALSE)</f>
        <v/>
      </c>
      <c r="D454" s="17">
        <f>+VLOOKUP($A454,MAGAZZINO!$B$2:$M$4838,4,FALSE)</f>
        <v/>
      </c>
      <c r="E454" s="17">
        <f>+VLOOKUP($A454,MAGAZZINO!$B$2:$M$4838,5,FALSE)</f>
        <v/>
      </c>
      <c r="F454" s="17">
        <f>+VLOOKUP($A454,MAGAZZINO!$B$2:$M$4838,6,FALSE)</f>
        <v/>
      </c>
      <c r="G454" s="17">
        <f>+VLOOKUP($A454,MAGAZZINO!$B$2:$M$4838,7,FALSE)</f>
        <v/>
      </c>
      <c r="H454" s="17">
        <f>+VLOOKUP($A454,MAGAZZINO!$B$2:$M$4838,8,FALSE)</f>
        <v/>
      </c>
      <c r="I454" s="17">
        <f>+VLOOKUP($A454,MAGAZZINO!$B$2:$M$4838,9,FALSE)</f>
        <v/>
      </c>
      <c r="J454" s="17">
        <f>+VLOOKUP($A454,MAGAZZINO!$B$2:$M$4838,10,FALSE)</f>
        <v/>
      </c>
      <c r="K454" s="17">
        <f>+VLOOKUP($A454,MAGAZZINO!$B$2:$M$4838,11,FALSE)</f>
        <v/>
      </c>
      <c r="L454" s="44">
        <f>+VLOOKUP($A454,MAGAZZINO!$B$2:$M$4838,12,FALSE)</f>
        <v/>
      </c>
    </row>
    <row r="455" ht="36" customHeight="1">
      <c r="A455" s="30">
        <f>+REGISTRO!A438</f>
        <v/>
      </c>
      <c r="B455" s="31">
        <f>+VLOOKUP($A455,MAGAZZINO!$B$2:$M$4838,2,FALSE)</f>
        <v/>
      </c>
      <c r="C455" s="32">
        <f>+VLOOKUP($A455,MAGAZZINO!$B$2:$M$4838,3,FALSE)</f>
        <v/>
      </c>
      <c r="D455" s="17">
        <f>+VLOOKUP($A455,MAGAZZINO!$B$2:$M$4838,4,FALSE)</f>
        <v/>
      </c>
      <c r="E455" s="17">
        <f>+VLOOKUP($A455,MAGAZZINO!$B$2:$M$4838,5,FALSE)</f>
        <v/>
      </c>
      <c r="F455" s="17">
        <f>+VLOOKUP($A455,MAGAZZINO!$B$2:$M$4838,6,FALSE)</f>
        <v/>
      </c>
      <c r="G455" s="17">
        <f>+VLOOKUP($A455,MAGAZZINO!$B$2:$M$4838,7,FALSE)</f>
        <v/>
      </c>
      <c r="H455" s="17">
        <f>+VLOOKUP($A455,MAGAZZINO!$B$2:$M$4838,8,FALSE)</f>
        <v/>
      </c>
      <c r="I455" s="17">
        <f>+VLOOKUP($A455,MAGAZZINO!$B$2:$M$4838,9,FALSE)</f>
        <v/>
      </c>
      <c r="J455" s="17">
        <f>+VLOOKUP($A455,MAGAZZINO!$B$2:$M$4838,10,FALSE)</f>
        <v/>
      </c>
      <c r="K455" s="17">
        <f>+VLOOKUP($A455,MAGAZZINO!$B$2:$M$4838,11,FALSE)</f>
        <v/>
      </c>
      <c r="L455" s="44">
        <f>+VLOOKUP($A455,MAGAZZINO!$B$2:$M$4838,12,FALSE)</f>
        <v/>
      </c>
    </row>
    <row r="456" ht="36" customHeight="1">
      <c r="A456" s="30">
        <f>+REGISTRO!A439</f>
        <v/>
      </c>
      <c r="B456" s="31">
        <f>+VLOOKUP($A456,MAGAZZINO!$B$2:$M$4838,2,FALSE)</f>
        <v/>
      </c>
      <c r="C456" s="32">
        <f>+VLOOKUP($A456,MAGAZZINO!$B$2:$M$4838,3,FALSE)</f>
        <v/>
      </c>
      <c r="D456" s="17">
        <f>+VLOOKUP($A456,MAGAZZINO!$B$2:$M$4838,4,FALSE)</f>
        <v/>
      </c>
      <c r="E456" s="17">
        <f>+VLOOKUP($A456,MAGAZZINO!$B$2:$M$4838,5,FALSE)</f>
        <v/>
      </c>
      <c r="F456" s="17">
        <f>+VLOOKUP($A456,MAGAZZINO!$B$2:$M$4838,6,FALSE)</f>
        <v/>
      </c>
      <c r="G456" s="17">
        <f>+VLOOKUP($A456,MAGAZZINO!$B$2:$M$4838,7,FALSE)</f>
        <v/>
      </c>
      <c r="H456" s="17">
        <f>+VLOOKUP($A456,MAGAZZINO!$B$2:$M$4838,8,FALSE)</f>
        <v/>
      </c>
      <c r="I456" s="17">
        <f>+VLOOKUP($A456,MAGAZZINO!$B$2:$M$4838,9,FALSE)</f>
        <v/>
      </c>
      <c r="J456" s="17">
        <f>+VLOOKUP($A456,MAGAZZINO!$B$2:$M$4838,10,FALSE)</f>
        <v/>
      </c>
      <c r="K456" s="17">
        <f>+VLOOKUP($A456,MAGAZZINO!$B$2:$M$4838,11,FALSE)</f>
        <v/>
      </c>
      <c r="L456" s="44">
        <f>+VLOOKUP($A456,MAGAZZINO!$B$2:$M$4838,12,FALSE)</f>
        <v/>
      </c>
    </row>
    <row r="457" ht="36" customHeight="1">
      <c r="A457" s="30">
        <f>+REGISTRO!A440</f>
        <v/>
      </c>
      <c r="B457" s="31">
        <f>+VLOOKUP($A457,MAGAZZINO!$B$2:$M$4838,2,FALSE)</f>
        <v/>
      </c>
      <c r="C457" s="32">
        <f>+VLOOKUP($A457,MAGAZZINO!$B$2:$M$4838,3,FALSE)</f>
        <v/>
      </c>
      <c r="D457" s="17">
        <f>+VLOOKUP($A457,MAGAZZINO!$B$2:$M$4838,4,FALSE)</f>
        <v/>
      </c>
      <c r="E457" s="17">
        <f>+VLOOKUP($A457,MAGAZZINO!$B$2:$M$4838,5,FALSE)</f>
        <v/>
      </c>
      <c r="F457" s="17">
        <f>+VLOOKUP($A457,MAGAZZINO!$B$2:$M$4838,6,FALSE)</f>
        <v/>
      </c>
      <c r="G457" s="17">
        <f>+VLOOKUP($A457,MAGAZZINO!$B$2:$M$4838,7,FALSE)</f>
        <v/>
      </c>
      <c r="H457" s="17">
        <f>+VLOOKUP($A457,MAGAZZINO!$B$2:$M$4838,8,FALSE)</f>
        <v/>
      </c>
      <c r="I457" s="17">
        <f>+VLOOKUP($A457,MAGAZZINO!$B$2:$M$4838,9,FALSE)</f>
        <v/>
      </c>
      <c r="J457" s="17">
        <f>+VLOOKUP($A457,MAGAZZINO!$B$2:$M$4838,10,FALSE)</f>
        <v/>
      </c>
      <c r="K457" s="17">
        <f>+VLOOKUP($A457,MAGAZZINO!$B$2:$M$4838,11,FALSE)</f>
        <v/>
      </c>
      <c r="L457" s="44">
        <f>+VLOOKUP($A457,MAGAZZINO!$B$2:$M$4838,12,FALSE)</f>
        <v/>
      </c>
    </row>
    <row r="458" ht="36" customHeight="1">
      <c r="A458" s="30">
        <f>+REGISTRO!A441</f>
        <v/>
      </c>
      <c r="B458" s="31">
        <f>+VLOOKUP($A458,MAGAZZINO!$B$2:$M$4838,2,FALSE)</f>
        <v/>
      </c>
      <c r="C458" s="32">
        <f>+VLOOKUP($A458,MAGAZZINO!$B$2:$M$4838,3,FALSE)</f>
        <v/>
      </c>
      <c r="D458" s="17">
        <f>+VLOOKUP($A458,MAGAZZINO!$B$2:$M$4838,4,FALSE)</f>
        <v/>
      </c>
      <c r="E458" s="17">
        <f>+VLOOKUP($A458,MAGAZZINO!$B$2:$M$4838,5,FALSE)</f>
        <v/>
      </c>
      <c r="F458" s="17">
        <f>+VLOOKUP($A458,MAGAZZINO!$B$2:$M$4838,6,FALSE)</f>
        <v/>
      </c>
      <c r="G458" s="17">
        <f>+VLOOKUP($A458,MAGAZZINO!$B$2:$M$4838,7,FALSE)</f>
        <v/>
      </c>
      <c r="H458" s="17">
        <f>+VLOOKUP($A458,MAGAZZINO!$B$2:$M$4838,8,FALSE)</f>
        <v/>
      </c>
      <c r="I458" s="17">
        <f>+VLOOKUP($A458,MAGAZZINO!$B$2:$M$4838,9,FALSE)</f>
        <v/>
      </c>
      <c r="J458" s="17">
        <f>+VLOOKUP($A458,MAGAZZINO!$B$2:$M$4838,10,FALSE)</f>
        <v/>
      </c>
      <c r="K458" s="17">
        <f>+VLOOKUP($A458,MAGAZZINO!$B$2:$M$4838,11,FALSE)</f>
        <v/>
      </c>
      <c r="L458" s="44">
        <f>+VLOOKUP($A458,MAGAZZINO!$B$2:$M$4838,12,FALSE)</f>
        <v/>
      </c>
    </row>
    <row r="459" ht="36" customHeight="1">
      <c r="A459" s="30">
        <f>+REGISTRO!A442</f>
        <v/>
      </c>
      <c r="B459" s="31">
        <f>+VLOOKUP($A459,MAGAZZINO!$B$2:$M$4838,2,FALSE)</f>
        <v/>
      </c>
      <c r="C459" s="32">
        <f>+VLOOKUP($A459,MAGAZZINO!$B$2:$M$4838,3,FALSE)</f>
        <v/>
      </c>
      <c r="D459" s="17">
        <f>+VLOOKUP($A459,MAGAZZINO!$B$2:$M$4838,4,FALSE)</f>
        <v/>
      </c>
      <c r="E459" s="17">
        <f>+VLOOKUP($A459,MAGAZZINO!$B$2:$M$4838,5,FALSE)</f>
        <v/>
      </c>
      <c r="F459" s="17">
        <f>+VLOOKUP($A459,MAGAZZINO!$B$2:$M$4838,6,FALSE)</f>
        <v/>
      </c>
      <c r="G459" s="17">
        <f>+VLOOKUP($A459,MAGAZZINO!$B$2:$M$4838,7,FALSE)</f>
        <v/>
      </c>
      <c r="H459" s="17">
        <f>+VLOOKUP($A459,MAGAZZINO!$B$2:$M$4838,8,FALSE)</f>
        <v/>
      </c>
      <c r="I459" s="17">
        <f>+VLOOKUP($A459,MAGAZZINO!$B$2:$M$4838,9,FALSE)</f>
        <v/>
      </c>
      <c r="J459" s="17">
        <f>+VLOOKUP($A459,MAGAZZINO!$B$2:$M$4838,10,FALSE)</f>
        <v/>
      </c>
      <c r="K459" s="17">
        <f>+VLOOKUP($A459,MAGAZZINO!$B$2:$M$4838,11,FALSE)</f>
        <v/>
      </c>
      <c r="L459" s="44">
        <f>+VLOOKUP($A459,MAGAZZINO!$B$2:$M$4838,12,FALSE)</f>
        <v/>
      </c>
    </row>
    <row r="460" ht="36" customHeight="1">
      <c r="A460" s="30">
        <f>+REGISTRO!A443</f>
        <v/>
      </c>
      <c r="B460" s="31">
        <f>+VLOOKUP($A460,MAGAZZINO!$B$2:$M$4838,2,FALSE)</f>
        <v/>
      </c>
      <c r="C460" s="32">
        <f>+VLOOKUP($A460,MAGAZZINO!$B$2:$M$4838,3,FALSE)</f>
        <v/>
      </c>
      <c r="D460" s="17">
        <f>+VLOOKUP($A460,MAGAZZINO!$B$2:$M$4838,4,FALSE)</f>
        <v/>
      </c>
      <c r="E460" s="17">
        <f>+VLOOKUP($A460,MAGAZZINO!$B$2:$M$4838,5,FALSE)</f>
        <v/>
      </c>
      <c r="F460" s="17">
        <f>+VLOOKUP($A460,MAGAZZINO!$B$2:$M$4838,6,FALSE)</f>
        <v/>
      </c>
      <c r="G460" s="17">
        <f>+VLOOKUP($A460,MAGAZZINO!$B$2:$M$4838,7,FALSE)</f>
        <v/>
      </c>
      <c r="H460" s="17">
        <f>+VLOOKUP($A460,MAGAZZINO!$B$2:$M$4838,8,FALSE)</f>
        <v/>
      </c>
      <c r="I460" s="17">
        <f>+VLOOKUP($A460,MAGAZZINO!$B$2:$M$4838,9,FALSE)</f>
        <v/>
      </c>
      <c r="J460" s="17">
        <f>+VLOOKUP($A460,MAGAZZINO!$B$2:$M$4838,10,FALSE)</f>
        <v/>
      </c>
      <c r="K460" s="17">
        <f>+VLOOKUP($A460,MAGAZZINO!$B$2:$M$4838,11,FALSE)</f>
        <v/>
      </c>
      <c r="L460" s="44">
        <f>+VLOOKUP($A460,MAGAZZINO!$B$2:$M$4838,12,FALSE)</f>
        <v/>
      </c>
    </row>
    <row r="461" ht="36" customHeight="1">
      <c r="A461" s="30">
        <f>+REGISTRO!A444</f>
        <v/>
      </c>
      <c r="B461" s="31">
        <f>+VLOOKUP($A461,MAGAZZINO!$B$2:$M$4838,2,FALSE)</f>
        <v/>
      </c>
      <c r="C461" s="32">
        <f>+VLOOKUP($A461,MAGAZZINO!$B$2:$M$4838,3,FALSE)</f>
        <v/>
      </c>
      <c r="D461" s="17">
        <f>+VLOOKUP($A461,MAGAZZINO!$B$2:$M$4838,4,FALSE)</f>
        <v/>
      </c>
      <c r="E461" s="17">
        <f>+VLOOKUP($A461,MAGAZZINO!$B$2:$M$4838,5,FALSE)</f>
        <v/>
      </c>
      <c r="F461" s="17">
        <f>+VLOOKUP($A461,MAGAZZINO!$B$2:$M$4838,6,FALSE)</f>
        <v/>
      </c>
      <c r="G461" s="17">
        <f>+VLOOKUP($A461,MAGAZZINO!$B$2:$M$4838,7,FALSE)</f>
        <v/>
      </c>
      <c r="H461" s="17">
        <f>+VLOOKUP($A461,MAGAZZINO!$B$2:$M$4838,8,FALSE)</f>
        <v/>
      </c>
      <c r="I461" s="17">
        <f>+VLOOKUP($A461,MAGAZZINO!$B$2:$M$4838,9,FALSE)</f>
        <v/>
      </c>
      <c r="J461" s="17">
        <f>+VLOOKUP($A461,MAGAZZINO!$B$2:$M$4838,10,FALSE)</f>
        <v/>
      </c>
      <c r="K461" s="17">
        <f>+VLOOKUP($A461,MAGAZZINO!$B$2:$M$4838,11,FALSE)</f>
        <v/>
      </c>
      <c r="L461" s="44">
        <f>+VLOOKUP($A461,MAGAZZINO!$B$2:$M$4838,12,FALSE)</f>
        <v/>
      </c>
    </row>
    <row r="462" ht="36" customHeight="1">
      <c r="A462" s="30">
        <f>+REGISTRO!A445</f>
        <v/>
      </c>
      <c r="B462" s="31">
        <f>+VLOOKUP($A462,MAGAZZINO!$B$2:$M$4838,2,FALSE)</f>
        <v/>
      </c>
      <c r="C462" s="32">
        <f>+VLOOKUP($A462,MAGAZZINO!$B$2:$M$4838,3,FALSE)</f>
        <v/>
      </c>
      <c r="D462" s="17">
        <f>+VLOOKUP($A462,MAGAZZINO!$B$2:$M$4838,4,FALSE)</f>
        <v/>
      </c>
      <c r="E462" s="17">
        <f>+VLOOKUP($A462,MAGAZZINO!$B$2:$M$4838,5,FALSE)</f>
        <v/>
      </c>
      <c r="F462" s="17">
        <f>+VLOOKUP($A462,MAGAZZINO!$B$2:$M$4838,6,FALSE)</f>
        <v/>
      </c>
      <c r="G462" s="17">
        <f>+VLOOKUP($A462,MAGAZZINO!$B$2:$M$4838,7,FALSE)</f>
        <v/>
      </c>
      <c r="H462" s="17">
        <f>+VLOOKUP($A462,MAGAZZINO!$B$2:$M$4838,8,FALSE)</f>
        <v/>
      </c>
      <c r="I462" s="17">
        <f>+VLOOKUP($A462,MAGAZZINO!$B$2:$M$4838,9,FALSE)</f>
        <v/>
      </c>
      <c r="J462" s="17">
        <f>+VLOOKUP($A462,MAGAZZINO!$B$2:$M$4838,10,FALSE)</f>
        <v/>
      </c>
      <c r="K462" s="17">
        <f>+VLOOKUP($A462,MAGAZZINO!$B$2:$M$4838,11,FALSE)</f>
        <v/>
      </c>
      <c r="L462" s="44">
        <f>+VLOOKUP($A462,MAGAZZINO!$B$2:$M$4838,12,FALSE)</f>
        <v/>
      </c>
    </row>
    <row r="463" ht="36" customHeight="1">
      <c r="A463" s="30">
        <f>+REGISTRO!A446</f>
        <v/>
      </c>
      <c r="B463" s="31">
        <f>+VLOOKUP($A463,MAGAZZINO!$B$2:$M$4838,2,FALSE)</f>
        <v/>
      </c>
      <c r="C463" s="32">
        <f>+VLOOKUP($A463,MAGAZZINO!$B$2:$M$4838,3,FALSE)</f>
        <v/>
      </c>
      <c r="D463" s="17">
        <f>+VLOOKUP($A463,MAGAZZINO!$B$2:$M$4838,4,FALSE)</f>
        <v/>
      </c>
      <c r="E463" s="17">
        <f>+VLOOKUP($A463,MAGAZZINO!$B$2:$M$4838,5,FALSE)</f>
        <v/>
      </c>
      <c r="F463" s="17">
        <f>+VLOOKUP($A463,MAGAZZINO!$B$2:$M$4838,6,FALSE)</f>
        <v/>
      </c>
      <c r="G463" s="17">
        <f>+VLOOKUP($A463,MAGAZZINO!$B$2:$M$4838,7,FALSE)</f>
        <v/>
      </c>
      <c r="H463" s="17">
        <f>+VLOOKUP($A463,MAGAZZINO!$B$2:$M$4838,8,FALSE)</f>
        <v/>
      </c>
      <c r="I463" s="17">
        <f>+VLOOKUP($A463,MAGAZZINO!$B$2:$M$4838,9,FALSE)</f>
        <v/>
      </c>
      <c r="J463" s="17">
        <f>+VLOOKUP($A463,MAGAZZINO!$B$2:$M$4838,10,FALSE)</f>
        <v/>
      </c>
      <c r="K463" s="17">
        <f>+VLOOKUP($A463,MAGAZZINO!$B$2:$M$4838,11,FALSE)</f>
        <v/>
      </c>
      <c r="L463" s="44">
        <f>+VLOOKUP($A463,MAGAZZINO!$B$2:$M$4838,12,FALSE)</f>
        <v/>
      </c>
    </row>
    <row r="464" ht="36" customHeight="1">
      <c r="A464" s="30">
        <f>+REGISTRO!A447</f>
        <v/>
      </c>
      <c r="B464" s="31">
        <f>+VLOOKUP($A464,MAGAZZINO!$B$2:$M$4838,2,FALSE)</f>
        <v/>
      </c>
      <c r="C464" s="32">
        <f>+VLOOKUP($A464,MAGAZZINO!$B$2:$M$4838,3,FALSE)</f>
        <v/>
      </c>
      <c r="D464" s="17">
        <f>+VLOOKUP($A464,MAGAZZINO!$B$2:$M$4838,4,FALSE)</f>
        <v/>
      </c>
      <c r="E464" s="17">
        <f>+VLOOKUP($A464,MAGAZZINO!$B$2:$M$4838,5,FALSE)</f>
        <v/>
      </c>
      <c r="F464" s="17">
        <f>+VLOOKUP($A464,MAGAZZINO!$B$2:$M$4838,6,FALSE)</f>
        <v/>
      </c>
      <c r="G464" s="17">
        <f>+VLOOKUP($A464,MAGAZZINO!$B$2:$M$4838,7,FALSE)</f>
        <v/>
      </c>
      <c r="H464" s="17">
        <f>+VLOOKUP($A464,MAGAZZINO!$B$2:$M$4838,8,FALSE)</f>
        <v/>
      </c>
      <c r="I464" s="17">
        <f>+VLOOKUP($A464,MAGAZZINO!$B$2:$M$4838,9,FALSE)</f>
        <v/>
      </c>
      <c r="J464" s="17">
        <f>+VLOOKUP($A464,MAGAZZINO!$B$2:$M$4838,10,FALSE)</f>
        <v/>
      </c>
      <c r="K464" s="17">
        <f>+VLOOKUP($A464,MAGAZZINO!$B$2:$M$4838,11,FALSE)</f>
        <v/>
      </c>
      <c r="L464" s="44">
        <f>+VLOOKUP($A464,MAGAZZINO!$B$2:$M$4838,12,FALSE)</f>
        <v/>
      </c>
    </row>
    <row r="465" ht="36" customHeight="1">
      <c r="A465" s="30">
        <f>+REGISTRO!A448</f>
        <v/>
      </c>
      <c r="B465" s="31">
        <f>+VLOOKUP($A465,MAGAZZINO!$B$2:$M$4838,2,FALSE)</f>
        <v/>
      </c>
      <c r="C465" s="32">
        <f>+VLOOKUP($A465,MAGAZZINO!$B$2:$M$4838,3,FALSE)</f>
        <v/>
      </c>
      <c r="D465" s="17">
        <f>+VLOOKUP($A465,MAGAZZINO!$B$2:$M$4838,4,FALSE)</f>
        <v/>
      </c>
      <c r="E465" s="17">
        <f>+VLOOKUP($A465,MAGAZZINO!$B$2:$M$4838,5,FALSE)</f>
        <v/>
      </c>
      <c r="F465" s="17">
        <f>+VLOOKUP($A465,MAGAZZINO!$B$2:$M$4838,6,FALSE)</f>
        <v/>
      </c>
      <c r="G465" s="17">
        <f>+VLOOKUP($A465,MAGAZZINO!$B$2:$M$4838,7,FALSE)</f>
        <v/>
      </c>
      <c r="H465" s="17">
        <f>+VLOOKUP($A465,MAGAZZINO!$B$2:$M$4838,8,FALSE)</f>
        <v/>
      </c>
      <c r="I465" s="17">
        <f>+VLOOKUP($A465,MAGAZZINO!$B$2:$M$4838,9,FALSE)</f>
        <v/>
      </c>
      <c r="J465" s="17">
        <f>+VLOOKUP($A465,MAGAZZINO!$B$2:$M$4838,10,FALSE)</f>
        <v/>
      </c>
      <c r="K465" s="17">
        <f>+VLOOKUP($A465,MAGAZZINO!$B$2:$M$4838,11,FALSE)</f>
        <v/>
      </c>
      <c r="L465" s="44">
        <f>+VLOOKUP($A465,MAGAZZINO!$B$2:$M$4838,12,FALSE)</f>
        <v/>
      </c>
    </row>
    <row r="466" ht="36" customHeight="1">
      <c r="A466" s="30">
        <f>+REGISTRO!A449</f>
        <v/>
      </c>
      <c r="B466" s="31">
        <f>+VLOOKUP($A466,MAGAZZINO!$B$2:$M$4838,2,FALSE)</f>
        <v/>
      </c>
      <c r="C466" s="32">
        <f>+VLOOKUP($A466,MAGAZZINO!$B$2:$M$4838,3,FALSE)</f>
        <v/>
      </c>
      <c r="D466" s="17">
        <f>+VLOOKUP($A466,MAGAZZINO!$B$2:$M$4838,4,FALSE)</f>
        <v/>
      </c>
      <c r="E466" s="17">
        <f>+VLOOKUP($A466,MAGAZZINO!$B$2:$M$4838,5,FALSE)</f>
        <v/>
      </c>
      <c r="F466" s="17">
        <f>+VLOOKUP($A466,MAGAZZINO!$B$2:$M$4838,6,FALSE)</f>
        <v/>
      </c>
      <c r="G466" s="17">
        <f>+VLOOKUP($A466,MAGAZZINO!$B$2:$M$4838,7,FALSE)</f>
        <v/>
      </c>
      <c r="H466" s="17">
        <f>+VLOOKUP($A466,MAGAZZINO!$B$2:$M$4838,8,FALSE)</f>
        <v/>
      </c>
      <c r="I466" s="17">
        <f>+VLOOKUP($A466,MAGAZZINO!$B$2:$M$4838,9,FALSE)</f>
        <v/>
      </c>
      <c r="J466" s="17">
        <f>+VLOOKUP($A466,MAGAZZINO!$B$2:$M$4838,10,FALSE)</f>
        <v/>
      </c>
      <c r="K466" s="17">
        <f>+VLOOKUP($A466,MAGAZZINO!$B$2:$M$4838,11,FALSE)</f>
        <v/>
      </c>
      <c r="L466" s="44">
        <f>+VLOOKUP($A466,MAGAZZINO!$B$2:$M$4838,12,FALSE)</f>
        <v/>
      </c>
    </row>
    <row r="467" ht="36" customHeight="1">
      <c r="A467" s="30">
        <f>+REGISTRO!A450</f>
        <v/>
      </c>
      <c r="B467" s="31">
        <f>+VLOOKUP($A467,MAGAZZINO!$B$2:$M$4838,2,FALSE)</f>
        <v/>
      </c>
      <c r="C467" s="32">
        <f>+VLOOKUP($A467,MAGAZZINO!$B$2:$M$4838,3,FALSE)</f>
        <v/>
      </c>
      <c r="D467" s="17">
        <f>+VLOOKUP($A467,MAGAZZINO!$B$2:$M$4838,4,FALSE)</f>
        <v/>
      </c>
      <c r="E467" s="17">
        <f>+VLOOKUP($A467,MAGAZZINO!$B$2:$M$4838,5,FALSE)</f>
        <v/>
      </c>
      <c r="F467" s="17">
        <f>+VLOOKUP($A467,MAGAZZINO!$B$2:$M$4838,6,FALSE)</f>
        <v/>
      </c>
      <c r="G467" s="17">
        <f>+VLOOKUP($A467,MAGAZZINO!$B$2:$M$4838,7,FALSE)</f>
        <v/>
      </c>
      <c r="H467" s="17">
        <f>+VLOOKUP($A467,MAGAZZINO!$B$2:$M$4838,8,FALSE)</f>
        <v/>
      </c>
      <c r="I467" s="17">
        <f>+VLOOKUP($A467,MAGAZZINO!$B$2:$M$4838,9,FALSE)</f>
        <v/>
      </c>
      <c r="J467" s="17">
        <f>+VLOOKUP($A467,MAGAZZINO!$B$2:$M$4838,10,FALSE)</f>
        <v/>
      </c>
      <c r="K467" s="17">
        <f>+VLOOKUP($A467,MAGAZZINO!$B$2:$M$4838,11,FALSE)</f>
        <v/>
      </c>
      <c r="L467" s="44">
        <f>+VLOOKUP($A467,MAGAZZINO!$B$2:$M$4838,12,FALSE)</f>
        <v/>
      </c>
    </row>
    <row r="468" ht="36" customHeight="1">
      <c r="A468" s="30">
        <f>+REGISTRO!A451</f>
        <v/>
      </c>
      <c r="B468" s="31">
        <f>+VLOOKUP($A468,MAGAZZINO!$B$2:$M$4838,2,FALSE)</f>
        <v/>
      </c>
      <c r="C468" s="32">
        <f>+VLOOKUP($A468,MAGAZZINO!$B$2:$M$4838,3,FALSE)</f>
        <v/>
      </c>
      <c r="D468" s="17">
        <f>+VLOOKUP($A468,MAGAZZINO!$B$2:$M$4838,4,FALSE)</f>
        <v/>
      </c>
      <c r="E468" s="17">
        <f>+VLOOKUP($A468,MAGAZZINO!$B$2:$M$4838,5,FALSE)</f>
        <v/>
      </c>
      <c r="F468" s="17">
        <f>+VLOOKUP($A468,MAGAZZINO!$B$2:$M$4838,6,FALSE)</f>
        <v/>
      </c>
      <c r="G468" s="17">
        <f>+VLOOKUP($A468,MAGAZZINO!$B$2:$M$4838,7,FALSE)</f>
        <v/>
      </c>
      <c r="H468" s="17">
        <f>+VLOOKUP($A468,MAGAZZINO!$B$2:$M$4838,8,FALSE)</f>
        <v/>
      </c>
      <c r="I468" s="17">
        <f>+VLOOKUP($A468,MAGAZZINO!$B$2:$M$4838,9,FALSE)</f>
        <v/>
      </c>
      <c r="J468" s="17">
        <f>+VLOOKUP($A468,MAGAZZINO!$B$2:$M$4838,10,FALSE)</f>
        <v/>
      </c>
      <c r="K468" s="17">
        <f>+VLOOKUP($A468,MAGAZZINO!$B$2:$M$4838,11,FALSE)</f>
        <v/>
      </c>
      <c r="L468" s="44">
        <f>+VLOOKUP($A468,MAGAZZINO!$B$2:$M$4838,12,FALSE)</f>
        <v/>
      </c>
    </row>
    <row r="469" ht="36" customHeight="1">
      <c r="A469" s="30">
        <f>+REGISTRO!A452</f>
        <v/>
      </c>
      <c r="B469" s="31">
        <f>+VLOOKUP($A469,MAGAZZINO!$B$2:$M$4838,2,FALSE)</f>
        <v/>
      </c>
      <c r="C469" s="32">
        <f>+VLOOKUP($A469,MAGAZZINO!$B$2:$M$4838,3,FALSE)</f>
        <v/>
      </c>
      <c r="D469" s="17">
        <f>+VLOOKUP($A469,MAGAZZINO!$B$2:$M$4838,4,FALSE)</f>
        <v/>
      </c>
      <c r="E469" s="17">
        <f>+VLOOKUP($A469,MAGAZZINO!$B$2:$M$4838,5,FALSE)</f>
        <v/>
      </c>
      <c r="F469" s="17">
        <f>+VLOOKUP($A469,MAGAZZINO!$B$2:$M$4838,6,FALSE)</f>
        <v/>
      </c>
      <c r="G469" s="17">
        <f>+VLOOKUP($A469,MAGAZZINO!$B$2:$M$4838,7,FALSE)</f>
        <v/>
      </c>
      <c r="H469" s="17">
        <f>+VLOOKUP($A469,MAGAZZINO!$B$2:$M$4838,8,FALSE)</f>
        <v/>
      </c>
      <c r="I469" s="17">
        <f>+VLOOKUP($A469,MAGAZZINO!$B$2:$M$4838,9,FALSE)</f>
        <v/>
      </c>
      <c r="J469" s="17">
        <f>+VLOOKUP($A469,MAGAZZINO!$B$2:$M$4838,10,FALSE)</f>
        <v/>
      </c>
      <c r="K469" s="17">
        <f>+VLOOKUP($A469,MAGAZZINO!$B$2:$M$4838,11,FALSE)</f>
        <v/>
      </c>
      <c r="L469" s="44">
        <f>+VLOOKUP($A469,MAGAZZINO!$B$2:$M$4838,12,FALSE)</f>
        <v/>
      </c>
    </row>
    <row r="470" ht="36" customHeight="1">
      <c r="A470" s="30">
        <f>+REGISTRO!A453</f>
        <v/>
      </c>
      <c r="B470" s="31">
        <f>+VLOOKUP($A470,MAGAZZINO!$B$2:$M$4838,2,FALSE)</f>
        <v/>
      </c>
      <c r="C470" s="32">
        <f>+VLOOKUP($A470,MAGAZZINO!$B$2:$M$4838,3,FALSE)</f>
        <v/>
      </c>
      <c r="D470" s="17">
        <f>+VLOOKUP($A470,MAGAZZINO!$B$2:$M$4838,4,FALSE)</f>
        <v/>
      </c>
      <c r="E470" s="17">
        <f>+VLOOKUP($A470,MAGAZZINO!$B$2:$M$4838,5,FALSE)</f>
        <v/>
      </c>
      <c r="F470" s="17">
        <f>+VLOOKUP($A470,MAGAZZINO!$B$2:$M$4838,6,FALSE)</f>
        <v/>
      </c>
      <c r="G470" s="17">
        <f>+VLOOKUP($A470,MAGAZZINO!$B$2:$M$4838,7,FALSE)</f>
        <v/>
      </c>
      <c r="H470" s="17">
        <f>+VLOOKUP($A470,MAGAZZINO!$B$2:$M$4838,8,FALSE)</f>
        <v/>
      </c>
      <c r="I470" s="17">
        <f>+VLOOKUP($A470,MAGAZZINO!$B$2:$M$4838,9,FALSE)</f>
        <v/>
      </c>
      <c r="J470" s="17">
        <f>+VLOOKUP($A470,MAGAZZINO!$B$2:$M$4838,10,FALSE)</f>
        <v/>
      </c>
      <c r="K470" s="17">
        <f>+VLOOKUP($A470,MAGAZZINO!$B$2:$M$4838,11,FALSE)</f>
        <v/>
      </c>
      <c r="L470" s="44">
        <f>+VLOOKUP($A470,MAGAZZINO!$B$2:$M$4838,12,FALSE)</f>
        <v/>
      </c>
    </row>
    <row r="471" ht="36" customHeight="1">
      <c r="A471" s="30">
        <f>+REGISTRO!A454</f>
        <v/>
      </c>
      <c r="B471" s="31">
        <f>+VLOOKUP($A471,MAGAZZINO!$B$2:$M$4838,2,FALSE)</f>
        <v/>
      </c>
      <c r="C471" s="32">
        <f>+VLOOKUP($A471,MAGAZZINO!$B$2:$M$4838,3,FALSE)</f>
        <v/>
      </c>
      <c r="D471" s="17">
        <f>+VLOOKUP($A471,MAGAZZINO!$B$2:$M$4838,4,FALSE)</f>
        <v/>
      </c>
      <c r="E471" s="17">
        <f>+VLOOKUP($A471,MAGAZZINO!$B$2:$M$4838,5,FALSE)</f>
        <v/>
      </c>
      <c r="F471" s="17">
        <f>+VLOOKUP($A471,MAGAZZINO!$B$2:$M$4838,6,FALSE)</f>
        <v/>
      </c>
      <c r="G471" s="17">
        <f>+VLOOKUP($A471,MAGAZZINO!$B$2:$M$4838,7,FALSE)</f>
        <v/>
      </c>
      <c r="H471" s="17">
        <f>+VLOOKUP($A471,MAGAZZINO!$B$2:$M$4838,8,FALSE)</f>
        <v/>
      </c>
      <c r="I471" s="17">
        <f>+VLOOKUP($A471,MAGAZZINO!$B$2:$M$4838,9,FALSE)</f>
        <v/>
      </c>
      <c r="J471" s="17">
        <f>+VLOOKUP($A471,MAGAZZINO!$B$2:$M$4838,10,FALSE)</f>
        <v/>
      </c>
      <c r="K471" s="17">
        <f>+VLOOKUP($A471,MAGAZZINO!$B$2:$M$4838,11,FALSE)</f>
        <v/>
      </c>
      <c r="L471" s="44">
        <f>+VLOOKUP($A471,MAGAZZINO!$B$2:$M$4838,12,FALSE)</f>
        <v/>
      </c>
    </row>
    <row r="472" ht="36" customHeight="1">
      <c r="A472" s="30">
        <f>+REGISTRO!A455</f>
        <v/>
      </c>
      <c r="B472" s="31">
        <f>+VLOOKUP($A472,MAGAZZINO!$B$2:$M$4838,2,FALSE)</f>
        <v/>
      </c>
      <c r="C472" s="32">
        <f>+VLOOKUP($A472,MAGAZZINO!$B$2:$M$4838,3,FALSE)</f>
        <v/>
      </c>
      <c r="D472" s="17">
        <f>+VLOOKUP($A472,MAGAZZINO!$B$2:$M$4838,4,FALSE)</f>
        <v/>
      </c>
      <c r="E472" s="17">
        <f>+VLOOKUP($A472,MAGAZZINO!$B$2:$M$4838,5,FALSE)</f>
        <v/>
      </c>
      <c r="F472" s="17">
        <f>+VLOOKUP($A472,MAGAZZINO!$B$2:$M$4838,6,FALSE)</f>
        <v/>
      </c>
      <c r="G472" s="17">
        <f>+VLOOKUP($A472,MAGAZZINO!$B$2:$M$4838,7,FALSE)</f>
        <v/>
      </c>
      <c r="H472" s="17">
        <f>+VLOOKUP($A472,MAGAZZINO!$B$2:$M$4838,8,FALSE)</f>
        <v/>
      </c>
      <c r="I472" s="17">
        <f>+VLOOKUP($A472,MAGAZZINO!$B$2:$M$4838,9,FALSE)</f>
        <v/>
      </c>
      <c r="J472" s="17">
        <f>+VLOOKUP($A472,MAGAZZINO!$B$2:$M$4838,10,FALSE)</f>
        <v/>
      </c>
      <c r="K472" s="17">
        <f>+VLOOKUP($A472,MAGAZZINO!$B$2:$M$4838,11,FALSE)</f>
        <v/>
      </c>
      <c r="L472" s="44">
        <f>+VLOOKUP($A472,MAGAZZINO!$B$2:$M$4838,12,FALSE)</f>
        <v/>
      </c>
    </row>
    <row r="473" ht="36" customHeight="1">
      <c r="A473" s="30">
        <f>+REGISTRO!A456</f>
        <v/>
      </c>
      <c r="B473" s="31">
        <f>+VLOOKUP($A473,MAGAZZINO!$B$2:$M$4838,2,FALSE)</f>
        <v/>
      </c>
      <c r="C473" s="32">
        <f>+VLOOKUP($A473,MAGAZZINO!$B$2:$M$4838,3,FALSE)</f>
        <v/>
      </c>
      <c r="D473" s="17">
        <f>+VLOOKUP($A473,MAGAZZINO!$B$2:$M$4838,4,FALSE)</f>
        <v/>
      </c>
      <c r="E473" s="17">
        <f>+VLOOKUP($A473,MAGAZZINO!$B$2:$M$4838,5,FALSE)</f>
        <v/>
      </c>
      <c r="F473" s="17">
        <f>+VLOOKUP($A473,MAGAZZINO!$B$2:$M$4838,6,FALSE)</f>
        <v/>
      </c>
      <c r="G473" s="17">
        <f>+VLOOKUP($A473,MAGAZZINO!$B$2:$M$4838,7,FALSE)</f>
        <v/>
      </c>
      <c r="H473" s="17">
        <f>+VLOOKUP($A473,MAGAZZINO!$B$2:$M$4838,8,FALSE)</f>
        <v/>
      </c>
      <c r="I473" s="17">
        <f>+VLOOKUP($A473,MAGAZZINO!$B$2:$M$4838,9,FALSE)</f>
        <v/>
      </c>
      <c r="J473" s="17">
        <f>+VLOOKUP($A473,MAGAZZINO!$B$2:$M$4838,10,FALSE)</f>
        <v/>
      </c>
      <c r="K473" s="17">
        <f>+VLOOKUP($A473,MAGAZZINO!$B$2:$M$4838,11,FALSE)</f>
        <v/>
      </c>
      <c r="L473" s="44">
        <f>+VLOOKUP($A473,MAGAZZINO!$B$2:$M$4838,12,FALSE)</f>
        <v/>
      </c>
    </row>
    <row r="474" ht="36" customHeight="1">
      <c r="A474" s="30">
        <f>+REGISTRO!A457</f>
        <v/>
      </c>
      <c r="B474" s="31">
        <f>+VLOOKUP($A474,MAGAZZINO!$B$2:$M$4838,2,FALSE)</f>
        <v/>
      </c>
      <c r="C474" s="32">
        <f>+VLOOKUP($A474,MAGAZZINO!$B$2:$M$4838,3,FALSE)</f>
        <v/>
      </c>
      <c r="D474" s="17">
        <f>+VLOOKUP($A474,MAGAZZINO!$B$2:$M$4838,4,FALSE)</f>
        <v/>
      </c>
      <c r="E474" s="17">
        <f>+VLOOKUP($A474,MAGAZZINO!$B$2:$M$4838,5,FALSE)</f>
        <v/>
      </c>
      <c r="F474" s="17">
        <f>+VLOOKUP($A474,MAGAZZINO!$B$2:$M$4838,6,FALSE)</f>
        <v/>
      </c>
      <c r="G474" s="17">
        <f>+VLOOKUP($A474,MAGAZZINO!$B$2:$M$4838,7,FALSE)</f>
        <v/>
      </c>
      <c r="H474" s="17">
        <f>+VLOOKUP($A474,MAGAZZINO!$B$2:$M$4838,8,FALSE)</f>
        <v/>
      </c>
      <c r="I474" s="17">
        <f>+VLOOKUP($A474,MAGAZZINO!$B$2:$M$4838,9,FALSE)</f>
        <v/>
      </c>
      <c r="J474" s="17">
        <f>+VLOOKUP($A474,MAGAZZINO!$B$2:$M$4838,10,FALSE)</f>
        <v/>
      </c>
      <c r="K474" s="17">
        <f>+VLOOKUP($A474,MAGAZZINO!$B$2:$M$4838,11,FALSE)</f>
        <v/>
      </c>
      <c r="L474" s="44">
        <f>+VLOOKUP($A474,MAGAZZINO!$B$2:$M$4838,12,FALSE)</f>
        <v/>
      </c>
    </row>
    <row r="475" ht="36" customHeight="1">
      <c r="A475" s="30">
        <f>+REGISTRO!A458</f>
        <v/>
      </c>
      <c r="B475" s="31">
        <f>+VLOOKUP($A475,MAGAZZINO!$B$2:$M$4838,2,FALSE)</f>
        <v/>
      </c>
      <c r="C475" s="32">
        <f>+VLOOKUP($A475,MAGAZZINO!$B$2:$M$4838,3,FALSE)</f>
        <v/>
      </c>
      <c r="D475" s="17">
        <f>+VLOOKUP($A475,MAGAZZINO!$B$2:$M$4838,4,FALSE)</f>
        <v/>
      </c>
      <c r="E475" s="17">
        <f>+VLOOKUP($A475,MAGAZZINO!$B$2:$M$4838,5,FALSE)</f>
        <v/>
      </c>
      <c r="F475" s="17">
        <f>+VLOOKUP($A475,MAGAZZINO!$B$2:$M$4838,6,FALSE)</f>
        <v/>
      </c>
      <c r="G475" s="17">
        <f>+VLOOKUP($A475,MAGAZZINO!$B$2:$M$4838,7,FALSE)</f>
        <v/>
      </c>
      <c r="H475" s="17">
        <f>+VLOOKUP($A475,MAGAZZINO!$B$2:$M$4838,8,FALSE)</f>
        <v/>
      </c>
      <c r="I475" s="17">
        <f>+VLOOKUP($A475,MAGAZZINO!$B$2:$M$4838,9,FALSE)</f>
        <v/>
      </c>
      <c r="J475" s="17">
        <f>+VLOOKUP($A475,MAGAZZINO!$B$2:$M$4838,10,FALSE)</f>
        <v/>
      </c>
      <c r="K475" s="17">
        <f>+VLOOKUP($A475,MAGAZZINO!$B$2:$M$4838,11,FALSE)</f>
        <v/>
      </c>
      <c r="L475" s="44">
        <f>+VLOOKUP($A475,MAGAZZINO!$B$2:$M$4838,12,FALSE)</f>
        <v/>
      </c>
    </row>
    <row r="476" ht="36" customHeight="1">
      <c r="A476" s="30">
        <f>+REGISTRO!A459</f>
        <v/>
      </c>
      <c r="B476" s="31">
        <f>+VLOOKUP($A476,MAGAZZINO!$B$2:$M$4838,2,FALSE)</f>
        <v/>
      </c>
      <c r="C476" s="32">
        <f>+VLOOKUP($A476,MAGAZZINO!$B$2:$M$4838,3,FALSE)</f>
        <v/>
      </c>
      <c r="D476" s="17">
        <f>+VLOOKUP($A476,MAGAZZINO!$B$2:$M$4838,4,FALSE)</f>
        <v/>
      </c>
      <c r="E476" s="17">
        <f>+VLOOKUP($A476,MAGAZZINO!$B$2:$M$4838,5,FALSE)</f>
        <v/>
      </c>
      <c r="F476" s="17">
        <f>+VLOOKUP($A476,MAGAZZINO!$B$2:$M$4838,6,FALSE)</f>
        <v/>
      </c>
      <c r="G476" s="17">
        <f>+VLOOKUP($A476,MAGAZZINO!$B$2:$M$4838,7,FALSE)</f>
        <v/>
      </c>
      <c r="H476" s="17">
        <f>+VLOOKUP($A476,MAGAZZINO!$B$2:$M$4838,8,FALSE)</f>
        <v/>
      </c>
      <c r="I476" s="17">
        <f>+VLOOKUP($A476,MAGAZZINO!$B$2:$M$4838,9,FALSE)</f>
        <v/>
      </c>
      <c r="J476" s="17">
        <f>+VLOOKUP($A476,MAGAZZINO!$B$2:$M$4838,10,FALSE)</f>
        <v/>
      </c>
      <c r="K476" s="17">
        <f>+VLOOKUP($A476,MAGAZZINO!$B$2:$M$4838,11,FALSE)</f>
        <v/>
      </c>
      <c r="L476" s="44">
        <f>+VLOOKUP($A476,MAGAZZINO!$B$2:$M$4838,12,FALSE)</f>
        <v/>
      </c>
    </row>
    <row r="477" ht="36" customHeight="1">
      <c r="A477" s="30">
        <f>+REGISTRO!A460</f>
        <v/>
      </c>
      <c r="B477" s="31">
        <f>+VLOOKUP($A477,MAGAZZINO!$B$2:$M$4838,2,FALSE)</f>
        <v/>
      </c>
      <c r="C477" s="32">
        <f>+VLOOKUP($A477,MAGAZZINO!$B$2:$M$4838,3,FALSE)</f>
        <v/>
      </c>
      <c r="D477" s="17">
        <f>+VLOOKUP($A477,MAGAZZINO!$B$2:$M$4838,4,FALSE)</f>
        <v/>
      </c>
      <c r="E477" s="17">
        <f>+VLOOKUP($A477,MAGAZZINO!$B$2:$M$4838,5,FALSE)</f>
        <v/>
      </c>
      <c r="F477" s="17">
        <f>+VLOOKUP($A477,MAGAZZINO!$B$2:$M$4838,6,FALSE)</f>
        <v/>
      </c>
      <c r="G477" s="17">
        <f>+VLOOKUP($A477,MAGAZZINO!$B$2:$M$4838,7,FALSE)</f>
        <v/>
      </c>
      <c r="H477" s="17">
        <f>+VLOOKUP($A477,MAGAZZINO!$B$2:$M$4838,8,FALSE)</f>
        <v/>
      </c>
      <c r="I477" s="17">
        <f>+VLOOKUP($A477,MAGAZZINO!$B$2:$M$4838,9,FALSE)</f>
        <v/>
      </c>
      <c r="J477" s="17">
        <f>+VLOOKUP($A477,MAGAZZINO!$B$2:$M$4838,10,FALSE)</f>
        <v/>
      </c>
      <c r="K477" s="17">
        <f>+VLOOKUP($A477,MAGAZZINO!$B$2:$M$4838,11,FALSE)</f>
        <v/>
      </c>
      <c r="L477" s="44">
        <f>+VLOOKUP($A477,MAGAZZINO!$B$2:$M$4838,12,FALSE)</f>
        <v/>
      </c>
    </row>
    <row r="478" ht="36" customHeight="1">
      <c r="A478" s="30">
        <f>+REGISTRO!A461</f>
        <v/>
      </c>
      <c r="B478" s="31">
        <f>+VLOOKUP($A478,MAGAZZINO!$B$2:$M$4838,2,FALSE)</f>
        <v/>
      </c>
      <c r="C478" s="32">
        <f>+VLOOKUP($A478,MAGAZZINO!$B$2:$M$4838,3,FALSE)</f>
        <v/>
      </c>
      <c r="D478" s="17">
        <f>+VLOOKUP($A478,MAGAZZINO!$B$2:$M$4838,4,FALSE)</f>
        <v/>
      </c>
      <c r="E478" s="17">
        <f>+VLOOKUP($A478,MAGAZZINO!$B$2:$M$4838,5,FALSE)</f>
        <v/>
      </c>
      <c r="F478" s="17">
        <f>+VLOOKUP($A478,MAGAZZINO!$B$2:$M$4838,6,FALSE)</f>
        <v/>
      </c>
      <c r="G478" s="17">
        <f>+VLOOKUP($A478,MAGAZZINO!$B$2:$M$4838,7,FALSE)</f>
        <v/>
      </c>
      <c r="H478" s="17">
        <f>+VLOOKUP($A478,MAGAZZINO!$B$2:$M$4838,8,FALSE)</f>
        <v/>
      </c>
      <c r="I478" s="17">
        <f>+VLOOKUP($A478,MAGAZZINO!$B$2:$M$4838,9,FALSE)</f>
        <v/>
      </c>
      <c r="J478" s="17">
        <f>+VLOOKUP($A478,MAGAZZINO!$B$2:$M$4838,10,FALSE)</f>
        <v/>
      </c>
      <c r="K478" s="17">
        <f>+VLOOKUP($A478,MAGAZZINO!$B$2:$M$4838,11,FALSE)</f>
        <v/>
      </c>
      <c r="L478" s="44">
        <f>+VLOOKUP($A478,MAGAZZINO!$B$2:$M$4838,12,FALSE)</f>
        <v/>
      </c>
    </row>
    <row r="479" ht="36" customHeight="1">
      <c r="A479" s="30">
        <f>+REGISTRO!A462</f>
        <v/>
      </c>
      <c r="B479" s="31">
        <f>+VLOOKUP($A479,MAGAZZINO!$B$2:$M$4838,2,FALSE)</f>
        <v/>
      </c>
      <c r="C479" s="32">
        <f>+VLOOKUP($A479,MAGAZZINO!$B$2:$M$4838,3,FALSE)</f>
        <v/>
      </c>
      <c r="D479" s="17">
        <f>+VLOOKUP($A479,MAGAZZINO!$B$2:$M$4838,4,FALSE)</f>
        <v/>
      </c>
      <c r="E479" s="17">
        <f>+VLOOKUP($A479,MAGAZZINO!$B$2:$M$4838,5,FALSE)</f>
        <v/>
      </c>
      <c r="F479" s="17">
        <f>+VLOOKUP($A479,MAGAZZINO!$B$2:$M$4838,6,FALSE)</f>
        <v/>
      </c>
      <c r="G479" s="17">
        <f>+VLOOKUP($A479,MAGAZZINO!$B$2:$M$4838,7,FALSE)</f>
        <v/>
      </c>
      <c r="H479" s="17">
        <f>+VLOOKUP($A479,MAGAZZINO!$B$2:$M$4838,8,FALSE)</f>
        <v/>
      </c>
      <c r="I479" s="17">
        <f>+VLOOKUP($A479,MAGAZZINO!$B$2:$M$4838,9,FALSE)</f>
        <v/>
      </c>
      <c r="J479" s="17">
        <f>+VLOOKUP($A479,MAGAZZINO!$B$2:$M$4838,10,FALSE)</f>
        <v/>
      </c>
      <c r="K479" s="17">
        <f>+VLOOKUP($A479,MAGAZZINO!$B$2:$M$4838,11,FALSE)</f>
        <v/>
      </c>
      <c r="L479" s="44">
        <f>+VLOOKUP($A479,MAGAZZINO!$B$2:$M$4838,12,FALSE)</f>
        <v/>
      </c>
    </row>
    <row r="480" ht="36" customHeight="1">
      <c r="A480" s="30">
        <f>+REGISTRO!A463</f>
        <v/>
      </c>
      <c r="B480" s="31">
        <f>+VLOOKUP($A480,MAGAZZINO!$B$2:$M$4838,2,FALSE)</f>
        <v/>
      </c>
      <c r="C480" s="32">
        <f>+VLOOKUP($A480,MAGAZZINO!$B$2:$M$4838,3,FALSE)</f>
        <v/>
      </c>
      <c r="D480" s="17">
        <f>+VLOOKUP($A480,MAGAZZINO!$B$2:$M$4838,4,FALSE)</f>
        <v/>
      </c>
      <c r="E480" s="17">
        <f>+VLOOKUP($A480,MAGAZZINO!$B$2:$M$4838,5,FALSE)</f>
        <v/>
      </c>
      <c r="F480" s="17">
        <f>+VLOOKUP($A480,MAGAZZINO!$B$2:$M$4838,6,FALSE)</f>
        <v/>
      </c>
      <c r="G480" s="17">
        <f>+VLOOKUP($A480,MAGAZZINO!$B$2:$M$4838,7,FALSE)</f>
        <v/>
      </c>
      <c r="H480" s="17">
        <f>+VLOOKUP($A480,MAGAZZINO!$B$2:$M$4838,8,FALSE)</f>
        <v/>
      </c>
      <c r="I480" s="17">
        <f>+VLOOKUP($A480,MAGAZZINO!$B$2:$M$4838,9,FALSE)</f>
        <v/>
      </c>
      <c r="J480" s="17">
        <f>+VLOOKUP($A480,MAGAZZINO!$B$2:$M$4838,10,FALSE)</f>
        <v/>
      </c>
      <c r="K480" s="17">
        <f>+VLOOKUP($A480,MAGAZZINO!$B$2:$M$4838,11,FALSE)</f>
        <v/>
      </c>
      <c r="L480" s="44">
        <f>+VLOOKUP($A480,MAGAZZINO!$B$2:$M$4838,12,FALSE)</f>
        <v/>
      </c>
    </row>
    <row r="481" ht="36" customHeight="1">
      <c r="A481" s="30">
        <f>+REGISTRO!A464</f>
        <v/>
      </c>
      <c r="B481" s="31">
        <f>+VLOOKUP($A481,MAGAZZINO!$B$2:$M$4838,2,FALSE)</f>
        <v/>
      </c>
      <c r="C481" s="32">
        <f>+VLOOKUP($A481,MAGAZZINO!$B$2:$M$4838,3,FALSE)</f>
        <v/>
      </c>
      <c r="D481" s="17">
        <f>+VLOOKUP($A481,MAGAZZINO!$B$2:$M$4838,4,FALSE)</f>
        <v/>
      </c>
      <c r="E481" s="17">
        <f>+VLOOKUP($A481,MAGAZZINO!$B$2:$M$4838,5,FALSE)</f>
        <v/>
      </c>
      <c r="F481" s="17">
        <f>+VLOOKUP($A481,MAGAZZINO!$B$2:$M$4838,6,FALSE)</f>
        <v/>
      </c>
      <c r="G481" s="17">
        <f>+VLOOKUP($A481,MAGAZZINO!$B$2:$M$4838,7,FALSE)</f>
        <v/>
      </c>
      <c r="H481" s="17">
        <f>+VLOOKUP($A481,MAGAZZINO!$B$2:$M$4838,8,FALSE)</f>
        <v/>
      </c>
      <c r="I481" s="17">
        <f>+VLOOKUP($A481,MAGAZZINO!$B$2:$M$4838,9,FALSE)</f>
        <v/>
      </c>
      <c r="J481" s="17">
        <f>+VLOOKUP($A481,MAGAZZINO!$B$2:$M$4838,10,FALSE)</f>
        <v/>
      </c>
      <c r="K481" s="17">
        <f>+VLOOKUP($A481,MAGAZZINO!$B$2:$M$4838,11,FALSE)</f>
        <v/>
      </c>
      <c r="L481" s="44">
        <f>+VLOOKUP($A481,MAGAZZINO!$B$2:$M$4838,12,FALSE)</f>
        <v/>
      </c>
    </row>
    <row r="482" ht="36" customHeight="1">
      <c r="A482" s="30">
        <f>+REGISTRO!A465</f>
        <v/>
      </c>
      <c r="B482" s="31">
        <f>+VLOOKUP($A482,MAGAZZINO!$B$2:$M$4838,2,FALSE)</f>
        <v/>
      </c>
      <c r="C482" s="32">
        <f>+VLOOKUP($A482,MAGAZZINO!$B$2:$M$4838,3,FALSE)</f>
        <v/>
      </c>
      <c r="D482" s="17">
        <f>+VLOOKUP($A482,MAGAZZINO!$B$2:$M$4838,4,FALSE)</f>
        <v/>
      </c>
      <c r="E482" s="17">
        <f>+VLOOKUP($A482,MAGAZZINO!$B$2:$M$4838,5,FALSE)</f>
        <v/>
      </c>
      <c r="F482" s="17">
        <f>+VLOOKUP($A482,MAGAZZINO!$B$2:$M$4838,6,FALSE)</f>
        <v/>
      </c>
      <c r="G482" s="17">
        <f>+VLOOKUP($A482,MAGAZZINO!$B$2:$M$4838,7,FALSE)</f>
        <v/>
      </c>
      <c r="H482" s="17">
        <f>+VLOOKUP($A482,MAGAZZINO!$B$2:$M$4838,8,FALSE)</f>
        <v/>
      </c>
      <c r="I482" s="17">
        <f>+VLOOKUP($A482,MAGAZZINO!$B$2:$M$4838,9,FALSE)</f>
        <v/>
      </c>
      <c r="J482" s="17">
        <f>+VLOOKUP($A482,MAGAZZINO!$B$2:$M$4838,10,FALSE)</f>
        <v/>
      </c>
      <c r="K482" s="17">
        <f>+VLOOKUP($A482,MAGAZZINO!$B$2:$M$4838,11,FALSE)</f>
        <v/>
      </c>
      <c r="L482" s="44">
        <f>+VLOOKUP($A482,MAGAZZINO!$B$2:$M$4838,12,FALSE)</f>
        <v/>
      </c>
    </row>
    <row r="483" ht="36" customHeight="1">
      <c r="A483" s="30">
        <f>+REGISTRO!A466</f>
        <v/>
      </c>
      <c r="B483" s="31">
        <f>+VLOOKUP($A483,MAGAZZINO!$B$2:$M$4838,2,FALSE)</f>
        <v/>
      </c>
      <c r="C483" s="32">
        <f>+VLOOKUP($A483,MAGAZZINO!$B$2:$M$4838,3,FALSE)</f>
        <v/>
      </c>
      <c r="D483" s="17">
        <f>+VLOOKUP($A483,MAGAZZINO!$B$2:$M$4838,4,FALSE)</f>
        <v/>
      </c>
      <c r="E483" s="17">
        <f>+VLOOKUP($A483,MAGAZZINO!$B$2:$M$4838,5,FALSE)</f>
        <v/>
      </c>
      <c r="F483" s="17">
        <f>+VLOOKUP($A483,MAGAZZINO!$B$2:$M$4838,6,FALSE)</f>
        <v/>
      </c>
      <c r="G483" s="17">
        <f>+VLOOKUP($A483,MAGAZZINO!$B$2:$M$4838,7,FALSE)</f>
        <v/>
      </c>
      <c r="H483" s="17">
        <f>+VLOOKUP($A483,MAGAZZINO!$B$2:$M$4838,8,FALSE)</f>
        <v/>
      </c>
      <c r="I483" s="17">
        <f>+VLOOKUP($A483,MAGAZZINO!$B$2:$M$4838,9,FALSE)</f>
        <v/>
      </c>
      <c r="J483" s="17">
        <f>+VLOOKUP($A483,MAGAZZINO!$B$2:$M$4838,10,FALSE)</f>
        <v/>
      </c>
      <c r="K483" s="17">
        <f>+VLOOKUP($A483,MAGAZZINO!$B$2:$M$4838,11,FALSE)</f>
        <v/>
      </c>
      <c r="L483" s="44">
        <f>+VLOOKUP($A483,MAGAZZINO!$B$2:$M$4838,12,FALSE)</f>
        <v/>
      </c>
    </row>
    <row r="484" ht="36" customHeight="1">
      <c r="A484" s="30">
        <f>+REGISTRO!A467</f>
        <v/>
      </c>
      <c r="B484" s="31">
        <f>+VLOOKUP($A484,MAGAZZINO!$B$2:$M$4838,2,FALSE)</f>
        <v/>
      </c>
      <c r="C484" s="32">
        <f>+VLOOKUP($A484,MAGAZZINO!$B$2:$M$4838,3,FALSE)</f>
        <v/>
      </c>
      <c r="D484" s="17">
        <f>+VLOOKUP($A484,MAGAZZINO!$B$2:$M$4838,4,FALSE)</f>
        <v/>
      </c>
      <c r="E484" s="17">
        <f>+VLOOKUP($A484,MAGAZZINO!$B$2:$M$4838,5,FALSE)</f>
        <v/>
      </c>
      <c r="F484" s="17">
        <f>+VLOOKUP($A484,MAGAZZINO!$B$2:$M$4838,6,FALSE)</f>
        <v/>
      </c>
      <c r="G484" s="17">
        <f>+VLOOKUP($A484,MAGAZZINO!$B$2:$M$4838,7,FALSE)</f>
        <v/>
      </c>
      <c r="H484" s="17">
        <f>+VLOOKUP($A484,MAGAZZINO!$B$2:$M$4838,8,FALSE)</f>
        <v/>
      </c>
      <c r="I484" s="17">
        <f>+VLOOKUP($A484,MAGAZZINO!$B$2:$M$4838,9,FALSE)</f>
        <v/>
      </c>
      <c r="J484" s="17">
        <f>+VLOOKUP($A484,MAGAZZINO!$B$2:$M$4838,10,FALSE)</f>
        <v/>
      </c>
      <c r="K484" s="17">
        <f>+VLOOKUP($A484,MAGAZZINO!$B$2:$M$4838,11,FALSE)</f>
        <v/>
      </c>
      <c r="L484" s="44">
        <f>+VLOOKUP($A484,MAGAZZINO!$B$2:$M$4838,12,FALSE)</f>
        <v/>
      </c>
    </row>
    <row r="485" ht="36" customHeight="1">
      <c r="A485" s="30">
        <f>+REGISTRO!A468</f>
        <v/>
      </c>
      <c r="B485" s="31">
        <f>+VLOOKUP($A485,MAGAZZINO!$B$2:$M$4838,2,FALSE)</f>
        <v/>
      </c>
      <c r="C485" s="32">
        <f>+VLOOKUP($A485,MAGAZZINO!$B$2:$M$4838,3,FALSE)</f>
        <v/>
      </c>
      <c r="D485" s="17">
        <f>+VLOOKUP($A485,MAGAZZINO!$B$2:$M$4838,4,FALSE)</f>
        <v/>
      </c>
      <c r="E485" s="17">
        <f>+VLOOKUP($A485,MAGAZZINO!$B$2:$M$4838,5,FALSE)</f>
        <v/>
      </c>
      <c r="F485" s="17">
        <f>+VLOOKUP($A485,MAGAZZINO!$B$2:$M$4838,6,FALSE)</f>
        <v/>
      </c>
      <c r="G485" s="17">
        <f>+VLOOKUP($A485,MAGAZZINO!$B$2:$M$4838,7,FALSE)</f>
        <v/>
      </c>
      <c r="H485" s="17">
        <f>+VLOOKUP($A485,MAGAZZINO!$B$2:$M$4838,8,FALSE)</f>
        <v/>
      </c>
      <c r="I485" s="17">
        <f>+VLOOKUP($A485,MAGAZZINO!$B$2:$M$4838,9,FALSE)</f>
        <v/>
      </c>
      <c r="J485" s="17">
        <f>+VLOOKUP($A485,MAGAZZINO!$B$2:$M$4838,10,FALSE)</f>
        <v/>
      </c>
      <c r="K485" s="17">
        <f>+VLOOKUP($A485,MAGAZZINO!$B$2:$M$4838,11,FALSE)</f>
        <v/>
      </c>
      <c r="L485" s="44">
        <f>+VLOOKUP($A485,MAGAZZINO!$B$2:$M$4838,12,FALSE)</f>
        <v/>
      </c>
    </row>
    <row r="486" ht="36" customHeight="1">
      <c r="A486" s="30">
        <f>+REGISTRO!A469</f>
        <v/>
      </c>
      <c r="B486" s="31">
        <f>+VLOOKUP($A486,MAGAZZINO!$B$2:$M$4838,2,FALSE)</f>
        <v/>
      </c>
      <c r="C486" s="32">
        <f>+VLOOKUP($A486,MAGAZZINO!$B$2:$M$4838,3,FALSE)</f>
        <v/>
      </c>
      <c r="D486" s="17">
        <f>+VLOOKUP($A486,MAGAZZINO!$B$2:$M$4838,4,FALSE)</f>
        <v/>
      </c>
      <c r="E486" s="17">
        <f>+VLOOKUP($A486,MAGAZZINO!$B$2:$M$4838,5,FALSE)</f>
        <v/>
      </c>
      <c r="F486" s="17">
        <f>+VLOOKUP($A486,MAGAZZINO!$B$2:$M$4838,6,FALSE)</f>
        <v/>
      </c>
      <c r="G486" s="17">
        <f>+VLOOKUP($A486,MAGAZZINO!$B$2:$M$4838,7,FALSE)</f>
        <v/>
      </c>
      <c r="H486" s="17">
        <f>+VLOOKUP($A486,MAGAZZINO!$B$2:$M$4838,8,FALSE)</f>
        <v/>
      </c>
      <c r="I486" s="17">
        <f>+VLOOKUP($A486,MAGAZZINO!$B$2:$M$4838,9,FALSE)</f>
        <v/>
      </c>
      <c r="J486" s="17">
        <f>+VLOOKUP($A486,MAGAZZINO!$B$2:$M$4838,10,FALSE)</f>
        <v/>
      </c>
      <c r="K486" s="17">
        <f>+VLOOKUP($A486,MAGAZZINO!$B$2:$M$4838,11,FALSE)</f>
        <v/>
      </c>
      <c r="L486" s="44">
        <f>+VLOOKUP($A486,MAGAZZINO!$B$2:$M$4838,12,FALSE)</f>
        <v/>
      </c>
    </row>
    <row r="487" ht="36" customHeight="1">
      <c r="A487" s="30">
        <f>+REGISTRO!A470</f>
        <v/>
      </c>
      <c r="B487" s="31">
        <f>+VLOOKUP($A487,MAGAZZINO!$B$2:$M$4838,2,FALSE)</f>
        <v/>
      </c>
      <c r="C487" s="32">
        <f>+VLOOKUP($A487,MAGAZZINO!$B$2:$M$4838,3,FALSE)</f>
        <v/>
      </c>
      <c r="D487" s="17">
        <f>+VLOOKUP($A487,MAGAZZINO!$B$2:$M$4838,4,FALSE)</f>
        <v/>
      </c>
      <c r="E487" s="17">
        <f>+VLOOKUP($A487,MAGAZZINO!$B$2:$M$4838,5,FALSE)</f>
        <v/>
      </c>
      <c r="F487" s="17">
        <f>+VLOOKUP($A487,MAGAZZINO!$B$2:$M$4838,6,FALSE)</f>
        <v/>
      </c>
      <c r="G487" s="17">
        <f>+VLOOKUP($A487,MAGAZZINO!$B$2:$M$4838,7,FALSE)</f>
        <v/>
      </c>
      <c r="H487" s="17">
        <f>+VLOOKUP($A487,MAGAZZINO!$B$2:$M$4838,8,FALSE)</f>
        <v/>
      </c>
      <c r="I487" s="17">
        <f>+VLOOKUP($A487,MAGAZZINO!$B$2:$M$4838,9,FALSE)</f>
        <v/>
      </c>
      <c r="J487" s="17">
        <f>+VLOOKUP($A487,MAGAZZINO!$B$2:$M$4838,10,FALSE)</f>
        <v/>
      </c>
      <c r="K487" s="17">
        <f>+VLOOKUP($A487,MAGAZZINO!$B$2:$M$4838,11,FALSE)</f>
        <v/>
      </c>
      <c r="L487" s="44">
        <f>+VLOOKUP($A487,MAGAZZINO!$B$2:$M$4838,12,FALSE)</f>
        <v/>
      </c>
    </row>
    <row r="488" ht="36" customHeight="1">
      <c r="A488" s="30">
        <f>+REGISTRO!A471</f>
        <v/>
      </c>
      <c r="B488" s="31">
        <f>+VLOOKUP($A488,MAGAZZINO!$B$2:$M$4838,2,FALSE)</f>
        <v/>
      </c>
      <c r="C488" s="32">
        <f>+VLOOKUP($A488,MAGAZZINO!$B$2:$M$4838,3,FALSE)</f>
        <v/>
      </c>
      <c r="D488" s="17">
        <f>+VLOOKUP($A488,MAGAZZINO!$B$2:$M$4838,4,FALSE)</f>
        <v/>
      </c>
      <c r="E488" s="17">
        <f>+VLOOKUP($A488,MAGAZZINO!$B$2:$M$4838,5,FALSE)</f>
        <v/>
      </c>
      <c r="F488" s="17">
        <f>+VLOOKUP($A488,MAGAZZINO!$B$2:$M$4838,6,FALSE)</f>
        <v/>
      </c>
      <c r="G488" s="17">
        <f>+VLOOKUP($A488,MAGAZZINO!$B$2:$M$4838,7,FALSE)</f>
        <v/>
      </c>
      <c r="H488" s="17">
        <f>+VLOOKUP($A488,MAGAZZINO!$B$2:$M$4838,8,FALSE)</f>
        <v/>
      </c>
      <c r="I488" s="17">
        <f>+VLOOKUP($A488,MAGAZZINO!$B$2:$M$4838,9,FALSE)</f>
        <v/>
      </c>
      <c r="J488" s="17">
        <f>+VLOOKUP($A488,MAGAZZINO!$B$2:$M$4838,10,FALSE)</f>
        <v/>
      </c>
      <c r="K488" s="17">
        <f>+VLOOKUP($A488,MAGAZZINO!$B$2:$M$4838,11,FALSE)</f>
        <v/>
      </c>
      <c r="L488" s="44">
        <f>+VLOOKUP($A488,MAGAZZINO!$B$2:$M$4838,12,FALSE)</f>
        <v/>
      </c>
    </row>
    <row r="489" ht="36" customHeight="1">
      <c r="A489" s="30">
        <f>+REGISTRO!A472</f>
        <v/>
      </c>
      <c r="B489" s="31">
        <f>+VLOOKUP($A489,MAGAZZINO!$B$2:$M$4838,2,FALSE)</f>
        <v/>
      </c>
      <c r="C489" s="32">
        <f>+VLOOKUP($A489,MAGAZZINO!$B$2:$M$4838,3,FALSE)</f>
        <v/>
      </c>
      <c r="D489" s="17">
        <f>+VLOOKUP($A489,MAGAZZINO!$B$2:$M$4838,4,FALSE)</f>
        <v/>
      </c>
      <c r="E489" s="17">
        <f>+VLOOKUP($A489,MAGAZZINO!$B$2:$M$4838,5,FALSE)</f>
        <v/>
      </c>
      <c r="F489" s="17">
        <f>+VLOOKUP($A489,MAGAZZINO!$B$2:$M$4838,6,FALSE)</f>
        <v/>
      </c>
      <c r="G489" s="17">
        <f>+VLOOKUP($A489,MAGAZZINO!$B$2:$M$4838,7,FALSE)</f>
        <v/>
      </c>
      <c r="H489" s="17">
        <f>+VLOOKUP($A489,MAGAZZINO!$B$2:$M$4838,8,FALSE)</f>
        <v/>
      </c>
      <c r="I489" s="17">
        <f>+VLOOKUP($A489,MAGAZZINO!$B$2:$M$4838,9,FALSE)</f>
        <v/>
      </c>
      <c r="J489" s="17">
        <f>+VLOOKUP($A489,MAGAZZINO!$B$2:$M$4838,10,FALSE)</f>
        <v/>
      </c>
      <c r="K489" s="17">
        <f>+VLOOKUP($A489,MAGAZZINO!$B$2:$M$4838,11,FALSE)</f>
        <v/>
      </c>
      <c r="L489" s="44">
        <f>+VLOOKUP($A489,MAGAZZINO!$B$2:$M$4838,12,FALSE)</f>
        <v/>
      </c>
    </row>
    <row r="490" ht="36" customHeight="1">
      <c r="A490" s="30">
        <f>+REGISTRO!A473</f>
        <v/>
      </c>
      <c r="B490" s="31">
        <f>+VLOOKUP($A490,MAGAZZINO!$B$2:$M$4838,2,FALSE)</f>
        <v/>
      </c>
      <c r="C490" s="32">
        <f>+VLOOKUP($A490,MAGAZZINO!$B$2:$M$4838,3,FALSE)</f>
        <v/>
      </c>
      <c r="D490" s="17">
        <f>+VLOOKUP($A490,MAGAZZINO!$B$2:$M$4838,4,FALSE)</f>
        <v/>
      </c>
      <c r="E490" s="17">
        <f>+VLOOKUP($A490,MAGAZZINO!$B$2:$M$4838,5,FALSE)</f>
        <v/>
      </c>
      <c r="F490" s="17">
        <f>+VLOOKUP($A490,MAGAZZINO!$B$2:$M$4838,6,FALSE)</f>
        <v/>
      </c>
      <c r="G490" s="17">
        <f>+VLOOKUP($A490,MAGAZZINO!$B$2:$M$4838,7,FALSE)</f>
        <v/>
      </c>
      <c r="H490" s="17">
        <f>+VLOOKUP($A490,MAGAZZINO!$B$2:$M$4838,8,FALSE)</f>
        <v/>
      </c>
      <c r="I490" s="17">
        <f>+VLOOKUP($A490,MAGAZZINO!$B$2:$M$4838,9,FALSE)</f>
        <v/>
      </c>
      <c r="J490" s="17">
        <f>+VLOOKUP($A490,MAGAZZINO!$B$2:$M$4838,10,FALSE)</f>
        <v/>
      </c>
      <c r="K490" s="17">
        <f>+VLOOKUP($A490,MAGAZZINO!$B$2:$M$4838,11,FALSE)</f>
        <v/>
      </c>
      <c r="L490" s="44">
        <f>+VLOOKUP($A490,MAGAZZINO!$B$2:$M$4838,12,FALSE)</f>
        <v/>
      </c>
    </row>
    <row r="491" ht="36" customHeight="1">
      <c r="A491" s="30">
        <f>+REGISTRO!A474</f>
        <v/>
      </c>
      <c r="B491" s="31">
        <f>+VLOOKUP($A491,MAGAZZINO!$B$2:$M$4838,2,FALSE)</f>
        <v/>
      </c>
      <c r="C491" s="32">
        <f>+VLOOKUP($A491,MAGAZZINO!$B$2:$M$4838,3,FALSE)</f>
        <v/>
      </c>
      <c r="D491" s="17">
        <f>+VLOOKUP($A491,MAGAZZINO!$B$2:$M$4838,4,FALSE)</f>
        <v/>
      </c>
      <c r="E491" s="17">
        <f>+VLOOKUP($A491,MAGAZZINO!$B$2:$M$4838,5,FALSE)</f>
        <v/>
      </c>
      <c r="F491" s="17">
        <f>+VLOOKUP($A491,MAGAZZINO!$B$2:$M$4838,6,FALSE)</f>
        <v/>
      </c>
      <c r="G491" s="17">
        <f>+VLOOKUP($A491,MAGAZZINO!$B$2:$M$4838,7,FALSE)</f>
        <v/>
      </c>
      <c r="H491" s="17">
        <f>+VLOOKUP($A491,MAGAZZINO!$B$2:$M$4838,8,FALSE)</f>
        <v/>
      </c>
      <c r="I491" s="17">
        <f>+VLOOKUP($A491,MAGAZZINO!$B$2:$M$4838,9,FALSE)</f>
        <v/>
      </c>
      <c r="J491" s="17">
        <f>+VLOOKUP($A491,MAGAZZINO!$B$2:$M$4838,10,FALSE)</f>
        <v/>
      </c>
      <c r="K491" s="17">
        <f>+VLOOKUP($A491,MAGAZZINO!$B$2:$M$4838,11,FALSE)</f>
        <v/>
      </c>
      <c r="L491" s="44">
        <f>+VLOOKUP($A491,MAGAZZINO!$B$2:$M$4838,12,FALSE)</f>
        <v/>
      </c>
    </row>
    <row r="492" ht="36" customHeight="1">
      <c r="A492" s="30">
        <f>+REGISTRO!A475</f>
        <v/>
      </c>
      <c r="B492" s="31">
        <f>+VLOOKUP($A492,MAGAZZINO!$B$2:$M$4838,2,FALSE)</f>
        <v/>
      </c>
      <c r="C492" s="32">
        <f>+VLOOKUP($A492,MAGAZZINO!$B$2:$M$4838,3,FALSE)</f>
        <v/>
      </c>
      <c r="D492" s="17">
        <f>+VLOOKUP($A492,MAGAZZINO!$B$2:$M$4838,4,FALSE)</f>
        <v/>
      </c>
      <c r="E492" s="17">
        <f>+VLOOKUP($A492,MAGAZZINO!$B$2:$M$4838,5,FALSE)</f>
        <v/>
      </c>
      <c r="F492" s="17">
        <f>+VLOOKUP($A492,MAGAZZINO!$B$2:$M$4838,6,FALSE)</f>
        <v/>
      </c>
      <c r="G492" s="17">
        <f>+VLOOKUP($A492,MAGAZZINO!$B$2:$M$4838,7,FALSE)</f>
        <v/>
      </c>
      <c r="H492" s="17">
        <f>+VLOOKUP($A492,MAGAZZINO!$B$2:$M$4838,8,FALSE)</f>
        <v/>
      </c>
      <c r="I492" s="17">
        <f>+VLOOKUP($A492,MAGAZZINO!$B$2:$M$4838,9,FALSE)</f>
        <v/>
      </c>
      <c r="J492" s="17">
        <f>+VLOOKUP($A492,MAGAZZINO!$B$2:$M$4838,10,FALSE)</f>
        <v/>
      </c>
      <c r="K492" s="17">
        <f>+VLOOKUP($A492,MAGAZZINO!$B$2:$M$4838,11,FALSE)</f>
        <v/>
      </c>
      <c r="L492" s="44">
        <f>+VLOOKUP($A492,MAGAZZINO!$B$2:$M$4838,12,FALSE)</f>
        <v/>
      </c>
    </row>
    <row r="493" ht="36" customHeight="1">
      <c r="A493" s="30">
        <f>+REGISTRO!A476</f>
        <v/>
      </c>
      <c r="B493" s="31">
        <f>+VLOOKUP($A493,MAGAZZINO!$B$2:$M$4838,2,FALSE)</f>
        <v/>
      </c>
      <c r="C493" s="32">
        <f>+VLOOKUP($A493,MAGAZZINO!$B$2:$M$4838,3,FALSE)</f>
        <v/>
      </c>
      <c r="D493" s="17">
        <f>+VLOOKUP($A493,MAGAZZINO!$B$2:$M$4838,4,FALSE)</f>
        <v/>
      </c>
      <c r="E493" s="17">
        <f>+VLOOKUP($A493,MAGAZZINO!$B$2:$M$4838,5,FALSE)</f>
        <v/>
      </c>
      <c r="F493" s="17">
        <f>+VLOOKUP($A493,MAGAZZINO!$B$2:$M$4838,6,FALSE)</f>
        <v/>
      </c>
      <c r="G493" s="17">
        <f>+VLOOKUP($A493,MAGAZZINO!$B$2:$M$4838,7,FALSE)</f>
        <v/>
      </c>
      <c r="H493" s="17">
        <f>+VLOOKUP($A493,MAGAZZINO!$B$2:$M$4838,8,FALSE)</f>
        <v/>
      </c>
      <c r="I493" s="17">
        <f>+VLOOKUP($A493,MAGAZZINO!$B$2:$M$4838,9,FALSE)</f>
        <v/>
      </c>
      <c r="J493" s="17">
        <f>+VLOOKUP($A493,MAGAZZINO!$B$2:$M$4838,10,FALSE)</f>
        <v/>
      </c>
      <c r="K493" s="17">
        <f>+VLOOKUP($A493,MAGAZZINO!$B$2:$M$4838,11,FALSE)</f>
        <v/>
      </c>
      <c r="L493" s="44">
        <f>+VLOOKUP($A493,MAGAZZINO!$B$2:$M$4838,12,FALSE)</f>
        <v/>
      </c>
    </row>
    <row r="494" ht="36" customHeight="1">
      <c r="A494" s="30">
        <f>+REGISTRO!A477</f>
        <v/>
      </c>
      <c r="B494" s="31">
        <f>+VLOOKUP($A494,MAGAZZINO!$B$2:$M$4838,2,FALSE)</f>
        <v/>
      </c>
      <c r="C494" s="32">
        <f>+VLOOKUP($A494,MAGAZZINO!$B$2:$M$4838,3,FALSE)</f>
        <v/>
      </c>
      <c r="D494" s="17">
        <f>+VLOOKUP($A494,MAGAZZINO!$B$2:$M$4838,4,FALSE)</f>
        <v/>
      </c>
      <c r="E494" s="17">
        <f>+VLOOKUP($A494,MAGAZZINO!$B$2:$M$4838,5,FALSE)</f>
        <v/>
      </c>
      <c r="F494" s="17">
        <f>+VLOOKUP($A494,MAGAZZINO!$B$2:$M$4838,6,FALSE)</f>
        <v/>
      </c>
      <c r="G494" s="17">
        <f>+VLOOKUP($A494,MAGAZZINO!$B$2:$M$4838,7,FALSE)</f>
        <v/>
      </c>
      <c r="H494" s="17">
        <f>+VLOOKUP($A494,MAGAZZINO!$B$2:$M$4838,8,FALSE)</f>
        <v/>
      </c>
      <c r="I494" s="17">
        <f>+VLOOKUP($A494,MAGAZZINO!$B$2:$M$4838,9,FALSE)</f>
        <v/>
      </c>
      <c r="J494" s="17">
        <f>+VLOOKUP($A494,MAGAZZINO!$B$2:$M$4838,10,FALSE)</f>
        <v/>
      </c>
      <c r="K494" s="17">
        <f>+VLOOKUP($A494,MAGAZZINO!$B$2:$M$4838,11,FALSE)</f>
        <v/>
      </c>
      <c r="L494" s="44">
        <f>+VLOOKUP($A494,MAGAZZINO!$B$2:$M$4838,12,FALSE)</f>
        <v/>
      </c>
    </row>
    <row r="495" ht="36" customHeight="1">
      <c r="A495" s="30">
        <f>+REGISTRO!A478</f>
        <v/>
      </c>
      <c r="B495" s="31">
        <f>+VLOOKUP($A495,MAGAZZINO!$B$2:$M$4838,2,FALSE)</f>
        <v/>
      </c>
      <c r="C495" s="32">
        <f>+VLOOKUP($A495,MAGAZZINO!$B$2:$M$4838,3,FALSE)</f>
        <v/>
      </c>
      <c r="D495" s="17">
        <f>+VLOOKUP($A495,MAGAZZINO!$B$2:$M$4838,4,FALSE)</f>
        <v/>
      </c>
      <c r="E495" s="17">
        <f>+VLOOKUP($A495,MAGAZZINO!$B$2:$M$4838,5,FALSE)</f>
        <v/>
      </c>
      <c r="F495" s="17">
        <f>+VLOOKUP($A495,MAGAZZINO!$B$2:$M$4838,6,FALSE)</f>
        <v/>
      </c>
      <c r="G495" s="17">
        <f>+VLOOKUP($A495,MAGAZZINO!$B$2:$M$4838,7,FALSE)</f>
        <v/>
      </c>
      <c r="H495" s="17">
        <f>+VLOOKUP($A495,MAGAZZINO!$B$2:$M$4838,8,FALSE)</f>
        <v/>
      </c>
      <c r="I495" s="17">
        <f>+VLOOKUP($A495,MAGAZZINO!$B$2:$M$4838,9,FALSE)</f>
        <v/>
      </c>
      <c r="J495" s="17">
        <f>+VLOOKUP($A495,MAGAZZINO!$B$2:$M$4838,10,FALSE)</f>
        <v/>
      </c>
      <c r="K495" s="17">
        <f>+VLOOKUP($A495,MAGAZZINO!$B$2:$M$4838,11,FALSE)</f>
        <v/>
      </c>
      <c r="L495" s="44">
        <f>+VLOOKUP($A495,MAGAZZINO!$B$2:$M$4838,12,FALSE)</f>
        <v/>
      </c>
    </row>
    <row r="496" ht="36" customHeight="1">
      <c r="A496" s="30">
        <f>+REGISTRO!A479</f>
        <v/>
      </c>
      <c r="B496" s="31">
        <f>+VLOOKUP($A496,MAGAZZINO!$B$2:$M$4838,2,FALSE)</f>
        <v/>
      </c>
      <c r="C496" s="32">
        <f>+VLOOKUP($A496,MAGAZZINO!$B$2:$M$4838,3,FALSE)</f>
        <v/>
      </c>
      <c r="D496" s="17">
        <f>+VLOOKUP($A496,MAGAZZINO!$B$2:$M$4838,4,FALSE)</f>
        <v/>
      </c>
      <c r="E496" s="17">
        <f>+VLOOKUP($A496,MAGAZZINO!$B$2:$M$4838,5,FALSE)</f>
        <v/>
      </c>
      <c r="F496" s="17">
        <f>+VLOOKUP($A496,MAGAZZINO!$B$2:$M$4838,6,FALSE)</f>
        <v/>
      </c>
      <c r="G496" s="17">
        <f>+VLOOKUP($A496,MAGAZZINO!$B$2:$M$4838,7,FALSE)</f>
        <v/>
      </c>
      <c r="H496" s="17">
        <f>+VLOOKUP($A496,MAGAZZINO!$B$2:$M$4838,8,FALSE)</f>
        <v/>
      </c>
      <c r="I496" s="17">
        <f>+VLOOKUP($A496,MAGAZZINO!$B$2:$M$4838,9,FALSE)</f>
        <v/>
      </c>
      <c r="J496" s="17">
        <f>+VLOOKUP($A496,MAGAZZINO!$B$2:$M$4838,10,FALSE)</f>
        <v/>
      </c>
      <c r="K496" s="17">
        <f>+VLOOKUP($A496,MAGAZZINO!$B$2:$M$4838,11,FALSE)</f>
        <v/>
      </c>
      <c r="L496" s="44">
        <f>+VLOOKUP($A496,MAGAZZINO!$B$2:$M$4838,12,FALSE)</f>
        <v/>
      </c>
    </row>
    <row r="497" ht="36" customHeight="1">
      <c r="A497" s="30">
        <f>+REGISTRO!A480</f>
        <v/>
      </c>
      <c r="B497" s="31">
        <f>+VLOOKUP($A497,MAGAZZINO!$B$2:$M$4838,2,FALSE)</f>
        <v/>
      </c>
      <c r="C497" s="32">
        <f>+VLOOKUP($A497,MAGAZZINO!$B$2:$M$4838,3,FALSE)</f>
        <v/>
      </c>
      <c r="D497" s="17">
        <f>+VLOOKUP($A497,MAGAZZINO!$B$2:$M$4838,4,FALSE)</f>
        <v/>
      </c>
      <c r="E497" s="17">
        <f>+VLOOKUP($A497,MAGAZZINO!$B$2:$M$4838,5,FALSE)</f>
        <v/>
      </c>
      <c r="F497" s="17">
        <f>+VLOOKUP($A497,MAGAZZINO!$B$2:$M$4838,6,FALSE)</f>
        <v/>
      </c>
      <c r="G497" s="17">
        <f>+VLOOKUP($A497,MAGAZZINO!$B$2:$M$4838,7,FALSE)</f>
        <v/>
      </c>
      <c r="H497" s="17">
        <f>+VLOOKUP($A497,MAGAZZINO!$B$2:$M$4838,8,FALSE)</f>
        <v/>
      </c>
      <c r="I497" s="17">
        <f>+VLOOKUP($A497,MAGAZZINO!$B$2:$M$4838,9,FALSE)</f>
        <v/>
      </c>
      <c r="J497" s="17">
        <f>+VLOOKUP($A497,MAGAZZINO!$B$2:$M$4838,10,FALSE)</f>
        <v/>
      </c>
      <c r="K497" s="17">
        <f>+VLOOKUP($A497,MAGAZZINO!$B$2:$M$4838,11,FALSE)</f>
        <v/>
      </c>
      <c r="L497" s="44">
        <f>+VLOOKUP($A497,MAGAZZINO!$B$2:$M$4838,12,FALSE)</f>
        <v/>
      </c>
    </row>
    <row r="498" ht="36" customHeight="1">
      <c r="A498" s="30">
        <f>+REGISTRO!A481</f>
        <v/>
      </c>
      <c r="B498" s="31">
        <f>+VLOOKUP($A498,MAGAZZINO!$B$2:$M$4838,2,FALSE)</f>
        <v/>
      </c>
      <c r="C498" s="32">
        <f>+VLOOKUP($A498,MAGAZZINO!$B$2:$M$4838,3,FALSE)</f>
        <v/>
      </c>
      <c r="D498" s="17">
        <f>+VLOOKUP($A498,MAGAZZINO!$B$2:$M$4838,4,FALSE)</f>
        <v/>
      </c>
      <c r="E498" s="17">
        <f>+VLOOKUP($A498,MAGAZZINO!$B$2:$M$4838,5,FALSE)</f>
        <v/>
      </c>
      <c r="F498" s="17">
        <f>+VLOOKUP($A498,MAGAZZINO!$B$2:$M$4838,6,FALSE)</f>
        <v/>
      </c>
      <c r="G498" s="17">
        <f>+VLOOKUP($A498,MAGAZZINO!$B$2:$M$4838,7,FALSE)</f>
        <v/>
      </c>
      <c r="H498" s="17">
        <f>+VLOOKUP($A498,MAGAZZINO!$B$2:$M$4838,8,FALSE)</f>
        <v/>
      </c>
      <c r="I498" s="17">
        <f>+VLOOKUP($A498,MAGAZZINO!$B$2:$M$4838,9,FALSE)</f>
        <v/>
      </c>
      <c r="J498" s="17">
        <f>+VLOOKUP($A498,MAGAZZINO!$B$2:$M$4838,10,FALSE)</f>
        <v/>
      </c>
      <c r="K498" s="17">
        <f>+VLOOKUP($A498,MAGAZZINO!$B$2:$M$4838,11,FALSE)</f>
        <v/>
      </c>
      <c r="L498" s="44">
        <f>+VLOOKUP($A498,MAGAZZINO!$B$2:$M$4838,12,FALSE)</f>
        <v/>
      </c>
    </row>
    <row r="499" ht="36" customHeight="1">
      <c r="A499" s="30">
        <f>+REGISTRO!A482</f>
        <v/>
      </c>
      <c r="B499" s="31">
        <f>+VLOOKUP($A499,MAGAZZINO!$B$2:$M$4838,2,FALSE)</f>
        <v/>
      </c>
      <c r="C499" s="32">
        <f>+VLOOKUP($A499,MAGAZZINO!$B$2:$M$4838,3,FALSE)</f>
        <v/>
      </c>
      <c r="D499" s="17">
        <f>+VLOOKUP($A499,MAGAZZINO!$B$2:$M$4838,4,FALSE)</f>
        <v/>
      </c>
      <c r="E499" s="17">
        <f>+VLOOKUP($A499,MAGAZZINO!$B$2:$M$4838,5,FALSE)</f>
        <v/>
      </c>
      <c r="F499" s="17">
        <f>+VLOOKUP($A499,MAGAZZINO!$B$2:$M$4838,6,FALSE)</f>
        <v/>
      </c>
      <c r="G499" s="17">
        <f>+VLOOKUP($A499,MAGAZZINO!$B$2:$M$4838,7,FALSE)</f>
        <v/>
      </c>
      <c r="H499" s="17">
        <f>+VLOOKUP($A499,MAGAZZINO!$B$2:$M$4838,8,FALSE)</f>
        <v/>
      </c>
      <c r="I499" s="17">
        <f>+VLOOKUP($A499,MAGAZZINO!$B$2:$M$4838,9,FALSE)</f>
        <v/>
      </c>
      <c r="J499" s="17">
        <f>+VLOOKUP($A499,MAGAZZINO!$B$2:$M$4838,10,FALSE)</f>
        <v/>
      </c>
      <c r="K499" s="17">
        <f>+VLOOKUP($A499,MAGAZZINO!$B$2:$M$4838,11,FALSE)</f>
        <v/>
      </c>
      <c r="L499" s="44">
        <f>+VLOOKUP($A499,MAGAZZINO!$B$2:$M$4838,12,FALSE)</f>
        <v/>
      </c>
    </row>
    <row r="500" ht="36" customHeight="1">
      <c r="A500" s="30">
        <f>+REGISTRO!A483</f>
        <v/>
      </c>
      <c r="B500" s="31">
        <f>+VLOOKUP($A500,MAGAZZINO!$B$2:$M$4838,2,FALSE)</f>
        <v/>
      </c>
      <c r="C500" s="32">
        <f>+VLOOKUP($A500,MAGAZZINO!$B$2:$M$4838,3,FALSE)</f>
        <v/>
      </c>
      <c r="D500" s="17">
        <f>+VLOOKUP($A500,MAGAZZINO!$B$2:$M$4838,4,FALSE)</f>
        <v/>
      </c>
      <c r="E500" s="17">
        <f>+VLOOKUP($A500,MAGAZZINO!$B$2:$M$4838,5,FALSE)</f>
        <v/>
      </c>
      <c r="F500" s="17">
        <f>+VLOOKUP($A500,MAGAZZINO!$B$2:$M$4838,6,FALSE)</f>
        <v/>
      </c>
      <c r="G500" s="17">
        <f>+VLOOKUP($A500,MAGAZZINO!$B$2:$M$4838,7,FALSE)</f>
        <v/>
      </c>
      <c r="H500" s="17">
        <f>+VLOOKUP($A500,MAGAZZINO!$B$2:$M$4838,8,FALSE)</f>
        <v/>
      </c>
      <c r="I500" s="17">
        <f>+VLOOKUP($A500,MAGAZZINO!$B$2:$M$4838,9,FALSE)</f>
        <v/>
      </c>
      <c r="J500" s="17">
        <f>+VLOOKUP($A500,MAGAZZINO!$B$2:$M$4838,10,FALSE)</f>
        <v/>
      </c>
      <c r="K500" s="17">
        <f>+VLOOKUP($A500,MAGAZZINO!$B$2:$M$4838,11,FALSE)</f>
        <v/>
      </c>
      <c r="L500" s="44">
        <f>+VLOOKUP($A500,MAGAZZINO!$B$2:$M$4838,12,FALSE)</f>
        <v/>
      </c>
    </row>
    <row r="501" ht="36" customHeight="1">
      <c r="A501" s="30">
        <f>+REGISTRO!A484</f>
        <v/>
      </c>
      <c r="B501" s="31">
        <f>+VLOOKUP($A501,MAGAZZINO!$B$2:$M$4838,2,FALSE)</f>
        <v/>
      </c>
      <c r="C501" s="32">
        <f>+VLOOKUP($A501,MAGAZZINO!$B$2:$M$4838,3,FALSE)</f>
        <v/>
      </c>
      <c r="D501" s="17">
        <f>+VLOOKUP($A501,MAGAZZINO!$B$2:$M$4838,4,FALSE)</f>
        <v/>
      </c>
      <c r="E501" s="17">
        <f>+VLOOKUP($A501,MAGAZZINO!$B$2:$M$4838,5,FALSE)</f>
        <v/>
      </c>
      <c r="F501" s="17">
        <f>+VLOOKUP($A501,MAGAZZINO!$B$2:$M$4838,6,FALSE)</f>
        <v/>
      </c>
      <c r="G501" s="17">
        <f>+VLOOKUP($A501,MAGAZZINO!$B$2:$M$4838,7,FALSE)</f>
        <v/>
      </c>
      <c r="H501" s="17">
        <f>+VLOOKUP($A501,MAGAZZINO!$B$2:$M$4838,8,FALSE)</f>
        <v/>
      </c>
      <c r="I501" s="17">
        <f>+VLOOKUP($A501,MAGAZZINO!$B$2:$M$4838,9,FALSE)</f>
        <v/>
      </c>
      <c r="J501" s="17">
        <f>+VLOOKUP($A501,MAGAZZINO!$B$2:$M$4838,10,FALSE)</f>
        <v/>
      </c>
      <c r="K501" s="17">
        <f>+VLOOKUP($A501,MAGAZZINO!$B$2:$M$4838,11,FALSE)</f>
        <v/>
      </c>
      <c r="L501" s="44">
        <f>+VLOOKUP($A501,MAGAZZINO!$B$2:$M$4838,12,FALSE)</f>
        <v/>
      </c>
    </row>
    <row r="502" ht="36" customHeight="1">
      <c r="A502" s="30">
        <f>+REGISTRO!A485</f>
        <v/>
      </c>
      <c r="B502" s="31">
        <f>+VLOOKUP($A502,MAGAZZINO!$B$2:$M$4838,2,FALSE)</f>
        <v/>
      </c>
      <c r="C502" s="32">
        <f>+VLOOKUP($A502,MAGAZZINO!$B$2:$M$4838,3,FALSE)</f>
        <v/>
      </c>
      <c r="D502" s="17">
        <f>+VLOOKUP($A502,MAGAZZINO!$B$2:$M$4838,4,FALSE)</f>
        <v/>
      </c>
      <c r="E502" s="17">
        <f>+VLOOKUP($A502,MAGAZZINO!$B$2:$M$4838,5,FALSE)</f>
        <v/>
      </c>
      <c r="F502" s="17">
        <f>+VLOOKUP($A502,MAGAZZINO!$B$2:$M$4838,6,FALSE)</f>
        <v/>
      </c>
      <c r="G502" s="17">
        <f>+VLOOKUP($A502,MAGAZZINO!$B$2:$M$4838,7,FALSE)</f>
        <v/>
      </c>
      <c r="H502" s="17">
        <f>+VLOOKUP($A502,MAGAZZINO!$B$2:$M$4838,8,FALSE)</f>
        <v/>
      </c>
      <c r="I502" s="17">
        <f>+VLOOKUP($A502,MAGAZZINO!$B$2:$M$4838,9,FALSE)</f>
        <v/>
      </c>
      <c r="J502" s="17">
        <f>+VLOOKUP($A502,MAGAZZINO!$B$2:$M$4838,10,FALSE)</f>
        <v/>
      </c>
      <c r="K502" s="17">
        <f>+VLOOKUP($A502,MAGAZZINO!$B$2:$M$4838,11,FALSE)</f>
        <v/>
      </c>
      <c r="L502" s="44">
        <f>+VLOOKUP($A502,MAGAZZINO!$B$2:$M$4838,12,FALSE)</f>
        <v/>
      </c>
    </row>
    <row r="503" ht="36" customHeight="1">
      <c r="A503" s="30">
        <f>+REGISTRO!A486</f>
        <v/>
      </c>
      <c r="B503" s="31">
        <f>+VLOOKUP($A503,MAGAZZINO!$B$2:$M$4838,2,FALSE)</f>
        <v/>
      </c>
      <c r="C503" s="32">
        <f>+VLOOKUP($A503,MAGAZZINO!$B$2:$M$4838,3,FALSE)</f>
        <v/>
      </c>
      <c r="D503" s="17">
        <f>+VLOOKUP($A503,MAGAZZINO!$B$2:$M$4838,4,FALSE)</f>
        <v/>
      </c>
      <c r="E503" s="17">
        <f>+VLOOKUP($A503,MAGAZZINO!$B$2:$M$4838,5,FALSE)</f>
        <v/>
      </c>
      <c r="F503" s="17">
        <f>+VLOOKUP($A503,MAGAZZINO!$B$2:$M$4838,6,FALSE)</f>
        <v/>
      </c>
      <c r="G503" s="17">
        <f>+VLOOKUP($A503,MAGAZZINO!$B$2:$M$4838,7,FALSE)</f>
        <v/>
      </c>
      <c r="H503" s="17">
        <f>+VLOOKUP($A503,MAGAZZINO!$B$2:$M$4838,8,FALSE)</f>
        <v/>
      </c>
      <c r="I503" s="17">
        <f>+VLOOKUP($A503,MAGAZZINO!$B$2:$M$4838,9,FALSE)</f>
        <v/>
      </c>
      <c r="J503" s="17">
        <f>+VLOOKUP($A503,MAGAZZINO!$B$2:$M$4838,10,FALSE)</f>
        <v/>
      </c>
      <c r="K503" s="17">
        <f>+VLOOKUP($A503,MAGAZZINO!$B$2:$M$4838,11,FALSE)</f>
        <v/>
      </c>
      <c r="L503" s="44">
        <f>+VLOOKUP($A503,MAGAZZINO!$B$2:$M$4838,12,FALSE)</f>
        <v/>
      </c>
    </row>
    <row r="504" ht="36" customHeight="1">
      <c r="A504" s="30">
        <f>+REGISTRO!A487</f>
        <v/>
      </c>
      <c r="B504" s="31">
        <f>+VLOOKUP($A504,MAGAZZINO!$B$2:$M$4838,2,FALSE)</f>
        <v/>
      </c>
      <c r="C504" s="32">
        <f>+VLOOKUP($A504,MAGAZZINO!$B$2:$M$4838,3,FALSE)</f>
        <v/>
      </c>
      <c r="D504" s="17">
        <f>+VLOOKUP($A504,MAGAZZINO!$B$2:$M$4838,4,FALSE)</f>
        <v/>
      </c>
      <c r="E504" s="17">
        <f>+VLOOKUP($A504,MAGAZZINO!$B$2:$M$4838,5,FALSE)</f>
        <v/>
      </c>
      <c r="F504" s="17">
        <f>+VLOOKUP($A504,MAGAZZINO!$B$2:$M$4838,6,FALSE)</f>
        <v/>
      </c>
      <c r="G504" s="17">
        <f>+VLOOKUP($A504,MAGAZZINO!$B$2:$M$4838,7,FALSE)</f>
        <v/>
      </c>
      <c r="H504" s="17">
        <f>+VLOOKUP($A504,MAGAZZINO!$B$2:$M$4838,8,FALSE)</f>
        <v/>
      </c>
      <c r="I504" s="17">
        <f>+VLOOKUP($A504,MAGAZZINO!$B$2:$M$4838,9,FALSE)</f>
        <v/>
      </c>
      <c r="J504" s="17">
        <f>+VLOOKUP($A504,MAGAZZINO!$B$2:$M$4838,10,FALSE)</f>
        <v/>
      </c>
      <c r="K504" s="17">
        <f>+VLOOKUP($A504,MAGAZZINO!$B$2:$M$4838,11,FALSE)</f>
        <v/>
      </c>
      <c r="L504" s="44">
        <f>+VLOOKUP($A504,MAGAZZINO!$B$2:$M$4838,12,FALSE)</f>
        <v/>
      </c>
    </row>
    <row r="505" ht="36" customHeight="1">
      <c r="A505" s="30">
        <f>+REGISTRO!A488</f>
        <v/>
      </c>
      <c r="B505" s="31">
        <f>+VLOOKUP($A505,MAGAZZINO!$B$2:$M$4838,2,FALSE)</f>
        <v/>
      </c>
      <c r="C505" s="32">
        <f>+VLOOKUP($A505,MAGAZZINO!$B$2:$M$4838,3,FALSE)</f>
        <v/>
      </c>
      <c r="D505" s="17">
        <f>+VLOOKUP($A505,MAGAZZINO!$B$2:$M$4838,4,FALSE)</f>
        <v/>
      </c>
      <c r="E505" s="17">
        <f>+VLOOKUP($A505,MAGAZZINO!$B$2:$M$4838,5,FALSE)</f>
        <v/>
      </c>
      <c r="F505" s="17">
        <f>+VLOOKUP($A505,MAGAZZINO!$B$2:$M$4838,6,FALSE)</f>
        <v/>
      </c>
      <c r="G505" s="17">
        <f>+VLOOKUP($A505,MAGAZZINO!$B$2:$M$4838,7,FALSE)</f>
        <v/>
      </c>
      <c r="H505" s="17">
        <f>+VLOOKUP($A505,MAGAZZINO!$B$2:$M$4838,8,FALSE)</f>
        <v/>
      </c>
      <c r="I505" s="17">
        <f>+VLOOKUP($A505,MAGAZZINO!$B$2:$M$4838,9,FALSE)</f>
        <v/>
      </c>
      <c r="J505" s="17">
        <f>+VLOOKUP($A505,MAGAZZINO!$B$2:$M$4838,10,FALSE)</f>
        <v/>
      </c>
      <c r="K505" s="17">
        <f>+VLOOKUP($A505,MAGAZZINO!$B$2:$M$4838,11,FALSE)</f>
        <v/>
      </c>
      <c r="L505" s="44">
        <f>+VLOOKUP($A505,MAGAZZINO!$B$2:$M$4838,12,FALSE)</f>
        <v/>
      </c>
    </row>
    <row r="506" ht="36" customHeight="1">
      <c r="A506" s="30">
        <f>+REGISTRO!A489</f>
        <v/>
      </c>
      <c r="B506" s="31">
        <f>+VLOOKUP($A506,MAGAZZINO!$B$2:$M$4838,2,FALSE)</f>
        <v/>
      </c>
      <c r="C506" s="32">
        <f>+VLOOKUP($A506,MAGAZZINO!$B$2:$M$4838,3,FALSE)</f>
        <v/>
      </c>
      <c r="D506" s="17">
        <f>+VLOOKUP($A506,MAGAZZINO!$B$2:$M$4838,4,FALSE)</f>
        <v/>
      </c>
      <c r="E506" s="17">
        <f>+VLOOKUP($A506,MAGAZZINO!$B$2:$M$4838,5,FALSE)</f>
        <v/>
      </c>
      <c r="F506" s="17">
        <f>+VLOOKUP($A506,MAGAZZINO!$B$2:$M$4838,6,FALSE)</f>
        <v/>
      </c>
      <c r="G506" s="17">
        <f>+VLOOKUP($A506,MAGAZZINO!$B$2:$M$4838,7,FALSE)</f>
        <v/>
      </c>
      <c r="H506" s="17">
        <f>+VLOOKUP($A506,MAGAZZINO!$B$2:$M$4838,8,FALSE)</f>
        <v/>
      </c>
      <c r="I506" s="17">
        <f>+VLOOKUP($A506,MAGAZZINO!$B$2:$M$4838,9,FALSE)</f>
        <v/>
      </c>
      <c r="J506" s="17">
        <f>+VLOOKUP($A506,MAGAZZINO!$B$2:$M$4838,10,FALSE)</f>
        <v/>
      </c>
      <c r="K506" s="17">
        <f>+VLOOKUP($A506,MAGAZZINO!$B$2:$M$4838,11,FALSE)</f>
        <v/>
      </c>
      <c r="L506" s="44">
        <f>+VLOOKUP($A506,MAGAZZINO!$B$2:$M$4838,12,FALSE)</f>
        <v/>
      </c>
    </row>
    <row r="507" ht="36" customHeight="1">
      <c r="A507" s="30">
        <f>+REGISTRO!A490</f>
        <v/>
      </c>
      <c r="B507" s="31">
        <f>+VLOOKUP($A507,MAGAZZINO!$B$2:$M$4838,2,FALSE)</f>
        <v/>
      </c>
      <c r="C507" s="32">
        <f>+VLOOKUP($A507,MAGAZZINO!$B$2:$M$4838,3,FALSE)</f>
        <v/>
      </c>
      <c r="D507" s="17">
        <f>+VLOOKUP($A507,MAGAZZINO!$B$2:$M$4838,4,FALSE)</f>
        <v/>
      </c>
      <c r="E507" s="17">
        <f>+VLOOKUP($A507,MAGAZZINO!$B$2:$M$4838,5,FALSE)</f>
        <v/>
      </c>
      <c r="F507" s="17">
        <f>+VLOOKUP($A507,MAGAZZINO!$B$2:$M$4838,6,FALSE)</f>
        <v/>
      </c>
      <c r="G507" s="17">
        <f>+VLOOKUP($A507,MAGAZZINO!$B$2:$M$4838,7,FALSE)</f>
        <v/>
      </c>
      <c r="H507" s="17">
        <f>+VLOOKUP($A507,MAGAZZINO!$B$2:$M$4838,8,FALSE)</f>
        <v/>
      </c>
      <c r="I507" s="17">
        <f>+VLOOKUP($A507,MAGAZZINO!$B$2:$M$4838,9,FALSE)</f>
        <v/>
      </c>
      <c r="J507" s="17">
        <f>+VLOOKUP($A507,MAGAZZINO!$B$2:$M$4838,10,FALSE)</f>
        <v/>
      </c>
      <c r="K507" s="17">
        <f>+VLOOKUP($A507,MAGAZZINO!$B$2:$M$4838,11,FALSE)</f>
        <v/>
      </c>
      <c r="L507" s="44">
        <f>+VLOOKUP($A507,MAGAZZINO!$B$2:$M$4838,12,FALSE)</f>
        <v/>
      </c>
    </row>
    <row r="508" ht="36" customHeight="1">
      <c r="A508" s="30">
        <f>+REGISTRO!A491</f>
        <v/>
      </c>
      <c r="B508" s="31">
        <f>+VLOOKUP($A508,MAGAZZINO!$B$2:$M$4838,2,FALSE)</f>
        <v/>
      </c>
      <c r="C508" s="32">
        <f>+VLOOKUP($A508,MAGAZZINO!$B$2:$M$4838,3,FALSE)</f>
        <v/>
      </c>
      <c r="D508" s="17">
        <f>+VLOOKUP($A508,MAGAZZINO!$B$2:$M$4838,4,FALSE)</f>
        <v/>
      </c>
      <c r="E508" s="17">
        <f>+VLOOKUP($A508,MAGAZZINO!$B$2:$M$4838,5,FALSE)</f>
        <v/>
      </c>
      <c r="F508" s="17">
        <f>+VLOOKUP($A508,MAGAZZINO!$B$2:$M$4838,6,FALSE)</f>
        <v/>
      </c>
      <c r="G508" s="17">
        <f>+VLOOKUP($A508,MAGAZZINO!$B$2:$M$4838,7,FALSE)</f>
        <v/>
      </c>
      <c r="H508" s="17">
        <f>+VLOOKUP($A508,MAGAZZINO!$B$2:$M$4838,8,FALSE)</f>
        <v/>
      </c>
      <c r="I508" s="17">
        <f>+VLOOKUP($A508,MAGAZZINO!$B$2:$M$4838,9,FALSE)</f>
        <v/>
      </c>
      <c r="J508" s="17">
        <f>+VLOOKUP($A508,MAGAZZINO!$B$2:$M$4838,10,FALSE)</f>
        <v/>
      </c>
      <c r="K508" s="17">
        <f>+VLOOKUP($A508,MAGAZZINO!$B$2:$M$4838,11,FALSE)</f>
        <v/>
      </c>
      <c r="L508" s="44">
        <f>+VLOOKUP($A508,MAGAZZINO!$B$2:$M$4838,12,FALSE)</f>
        <v/>
      </c>
    </row>
    <row r="509" ht="36" customHeight="1">
      <c r="A509" s="30">
        <f>+REGISTRO!A492</f>
        <v/>
      </c>
      <c r="B509" s="31">
        <f>+VLOOKUP($A509,MAGAZZINO!$B$2:$M$4838,2,FALSE)</f>
        <v/>
      </c>
      <c r="C509" s="32">
        <f>+VLOOKUP($A509,MAGAZZINO!$B$2:$M$4838,3,FALSE)</f>
        <v/>
      </c>
      <c r="D509" s="17">
        <f>+VLOOKUP($A509,MAGAZZINO!$B$2:$M$4838,4,FALSE)</f>
        <v/>
      </c>
      <c r="E509" s="17">
        <f>+VLOOKUP($A509,MAGAZZINO!$B$2:$M$4838,5,FALSE)</f>
        <v/>
      </c>
      <c r="F509" s="17">
        <f>+VLOOKUP($A509,MAGAZZINO!$B$2:$M$4838,6,FALSE)</f>
        <v/>
      </c>
      <c r="G509" s="17">
        <f>+VLOOKUP($A509,MAGAZZINO!$B$2:$M$4838,7,FALSE)</f>
        <v/>
      </c>
      <c r="H509" s="17">
        <f>+VLOOKUP($A509,MAGAZZINO!$B$2:$M$4838,8,FALSE)</f>
        <v/>
      </c>
      <c r="I509" s="17">
        <f>+VLOOKUP($A509,MAGAZZINO!$B$2:$M$4838,9,FALSE)</f>
        <v/>
      </c>
      <c r="J509" s="17">
        <f>+VLOOKUP($A509,MAGAZZINO!$B$2:$M$4838,10,FALSE)</f>
        <v/>
      </c>
      <c r="K509" s="17">
        <f>+VLOOKUP($A509,MAGAZZINO!$B$2:$M$4838,11,FALSE)</f>
        <v/>
      </c>
      <c r="L509" s="44">
        <f>+VLOOKUP($A509,MAGAZZINO!$B$2:$M$4838,12,FALSE)</f>
        <v/>
      </c>
    </row>
    <row r="510" ht="36" customHeight="1">
      <c r="A510" s="30">
        <f>+REGISTRO!A493</f>
        <v/>
      </c>
      <c r="B510" s="31">
        <f>+VLOOKUP($A510,MAGAZZINO!$B$2:$M$4838,2,FALSE)</f>
        <v/>
      </c>
      <c r="C510" s="32">
        <f>+VLOOKUP($A510,MAGAZZINO!$B$2:$M$4838,3,FALSE)</f>
        <v/>
      </c>
      <c r="D510" s="17">
        <f>+VLOOKUP($A510,MAGAZZINO!$B$2:$M$4838,4,FALSE)</f>
        <v/>
      </c>
      <c r="E510" s="17">
        <f>+VLOOKUP($A510,MAGAZZINO!$B$2:$M$4838,5,FALSE)</f>
        <v/>
      </c>
      <c r="F510" s="17">
        <f>+VLOOKUP($A510,MAGAZZINO!$B$2:$M$4838,6,FALSE)</f>
        <v/>
      </c>
      <c r="G510" s="17">
        <f>+VLOOKUP($A510,MAGAZZINO!$B$2:$M$4838,7,FALSE)</f>
        <v/>
      </c>
      <c r="H510" s="17">
        <f>+VLOOKUP($A510,MAGAZZINO!$B$2:$M$4838,8,FALSE)</f>
        <v/>
      </c>
      <c r="I510" s="17">
        <f>+VLOOKUP($A510,MAGAZZINO!$B$2:$M$4838,9,FALSE)</f>
        <v/>
      </c>
      <c r="J510" s="17">
        <f>+VLOOKUP($A510,MAGAZZINO!$B$2:$M$4838,10,FALSE)</f>
        <v/>
      </c>
      <c r="K510" s="17">
        <f>+VLOOKUP($A510,MAGAZZINO!$B$2:$M$4838,11,FALSE)</f>
        <v/>
      </c>
      <c r="L510" s="44">
        <f>+VLOOKUP($A510,MAGAZZINO!$B$2:$M$4838,12,FALSE)</f>
        <v/>
      </c>
    </row>
    <row r="511" ht="36" customHeight="1">
      <c r="A511" s="30">
        <f>+REGISTRO!A494</f>
        <v/>
      </c>
      <c r="B511" s="31">
        <f>+VLOOKUP($A511,MAGAZZINO!$B$2:$M$4838,2,FALSE)</f>
        <v/>
      </c>
      <c r="C511" s="32">
        <f>+VLOOKUP($A511,MAGAZZINO!$B$2:$M$4838,3,FALSE)</f>
        <v/>
      </c>
      <c r="D511" s="17">
        <f>+VLOOKUP($A511,MAGAZZINO!$B$2:$M$4838,4,FALSE)</f>
        <v/>
      </c>
      <c r="E511" s="17">
        <f>+VLOOKUP($A511,MAGAZZINO!$B$2:$M$4838,5,FALSE)</f>
        <v/>
      </c>
      <c r="F511" s="17">
        <f>+VLOOKUP($A511,MAGAZZINO!$B$2:$M$4838,6,FALSE)</f>
        <v/>
      </c>
      <c r="G511" s="17">
        <f>+VLOOKUP($A511,MAGAZZINO!$B$2:$M$4838,7,FALSE)</f>
        <v/>
      </c>
      <c r="H511" s="17">
        <f>+VLOOKUP($A511,MAGAZZINO!$B$2:$M$4838,8,FALSE)</f>
        <v/>
      </c>
      <c r="I511" s="17">
        <f>+VLOOKUP($A511,MAGAZZINO!$B$2:$M$4838,9,FALSE)</f>
        <v/>
      </c>
      <c r="J511" s="17">
        <f>+VLOOKUP($A511,MAGAZZINO!$B$2:$M$4838,10,FALSE)</f>
        <v/>
      </c>
      <c r="K511" s="17">
        <f>+VLOOKUP($A511,MAGAZZINO!$B$2:$M$4838,11,FALSE)</f>
        <v/>
      </c>
      <c r="L511" s="44">
        <f>+VLOOKUP($A511,MAGAZZINO!$B$2:$M$4838,12,FALSE)</f>
        <v/>
      </c>
    </row>
    <row r="512" ht="36" customHeight="1">
      <c r="A512" s="30">
        <f>+REGISTRO!A495</f>
        <v/>
      </c>
      <c r="B512" s="31">
        <f>+VLOOKUP($A512,MAGAZZINO!$B$2:$M$4838,2,FALSE)</f>
        <v/>
      </c>
      <c r="C512" s="32">
        <f>+VLOOKUP($A512,MAGAZZINO!$B$2:$M$4838,3,FALSE)</f>
        <v/>
      </c>
      <c r="D512" s="17">
        <f>+VLOOKUP($A512,MAGAZZINO!$B$2:$M$4838,4,FALSE)</f>
        <v/>
      </c>
      <c r="E512" s="17">
        <f>+VLOOKUP($A512,MAGAZZINO!$B$2:$M$4838,5,FALSE)</f>
        <v/>
      </c>
      <c r="F512" s="17">
        <f>+VLOOKUP($A512,MAGAZZINO!$B$2:$M$4838,6,FALSE)</f>
        <v/>
      </c>
      <c r="G512" s="17">
        <f>+VLOOKUP($A512,MAGAZZINO!$B$2:$M$4838,7,FALSE)</f>
        <v/>
      </c>
      <c r="H512" s="17">
        <f>+VLOOKUP($A512,MAGAZZINO!$B$2:$M$4838,8,FALSE)</f>
        <v/>
      </c>
      <c r="I512" s="17">
        <f>+VLOOKUP($A512,MAGAZZINO!$B$2:$M$4838,9,FALSE)</f>
        <v/>
      </c>
      <c r="J512" s="17">
        <f>+VLOOKUP($A512,MAGAZZINO!$B$2:$M$4838,10,FALSE)</f>
        <v/>
      </c>
      <c r="K512" s="17">
        <f>+VLOOKUP($A512,MAGAZZINO!$B$2:$M$4838,11,FALSE)</f>
        <v/>
      </c>
      <c r="L512" s="44">
        <f>+VLOOKUP($A512,MAGAZZINO!$B$2:$M$4838,12,FALSE)</f>
        <v/>
      </c>
    </row>
    <row r="513" ht="36" customHeight="1">
      <c r="A513" s="30">
        <f>+REGISTRO!A496</f>
        <v/>
      </c>
      <c r="B513" s="31">
        <f>+VLOOKUP($A513,MAGAZZINO!$B$2:$M$4838,2,FALSE)</f>
        <v/>
      </c>
      <c r="C513" s="32">
        <f>+VLOOKUP($A513,MAGAZZINO!$B$2:$M$4838,3,FALSE)</f>
        <v/>
      </c>
      <c r="D513" s="17">
        <f>+VLOOKUP($A513,MAGAZZINO!$B$2:$M$4838,4,FALSE)</f>
        <v/>
      </c>
      <c r="E513" s="17">
        <f>+VLOOKUP($A513,MAGAZZINO!$B$2:$M$4838,5,FALSE)</f>
        <v/>
      </c>
      <c r="F513" s="17">
        <f>+VLOOKUP($A513,MAGAZZINO!$B$2:$M$4838,6,FALSE)</f>
        <v/>
      </c>
      <c r="G513" s="17">
        <f>+VLOOKUP($A513,MAGAZZINO!$B$2:$M$4838,7,FALSE)</f>
        <v/>
      </c>
      <c r="H513" s="17">
        <f>+VLOOKUP($A513,MAGAZZINO!$B$2:$M$4838,8,FALSE)</f>
        <v/>
      </c>
      <c r="I513" s="17">
        <f>+VLOOKUP($A513,MAGAZZINO!$B$2:$M$4838,9,FALSE)</f>
        <v/>
      </c>
      <c r="J513" s="17">
        <f>+VLOOKUP($A513,MAGAZZINO!$B$2:$M$4838,10,FALSE)</f>
        <v/>
      </c>
      <c r="K513" s="17">
        <f>+VLOOKUP($A513,MAGAZZINO!$B$2:$M$4838,11,FALSE)</f>
        <v/>
      </c>
      <c r="L513" s="44">
        <f>+VLOOKUP($A513,MAGAZZINO!$B$2:$M$4838,12,FALSE)</f>
        <v/>
      </c>
    </row>
    <row r="514" ht="36" customHeight="1">
      <c r="A514" s="30">
        <f>+REGISTRO!A497</f>
        <v/>
      </c>
      <c r="B514" s="31">
        <f>+VLOOKUP($A514,MAGAZZINO!$B$2:$M$4838,2,FALSE)</f>
        <v/>
      </c>
      <c r="C514" s="32">
        <f>+VLOOKUP($A514,MAGAZZINO!$B$2:$M$4838,3,FALSE)</f>
        <v/>
      </c>
      <c r="D514" s="17">
        <f>+VLOOKUP($A514,MAGAZZINO!$B$2:$M$4838,4,FALSE)</f>
        <v/>
      </c>
      <c r="E514" s="17">
        <f>+VLOOKUP($A514,MAGAZZINO!$B$2:$M$4838,5,FALSE)</f>
        <v/>
      </c>
      <c r="F514" s="17">
        <f>+VLOOKUP($A514,MAGAZZINO!$B$2:$M$4838,6,FALSE)</f>
        <v/>
      </c>
      <c r="G514" s="17">
        <f>+VLOOKUP($A514,MAGAZZINO!$B$2:$M$4838,7,FALSE)</f>
        <v/>
      </c>
      <c r="H514" s="17">
        <f>+VLOOKUP($A514,MAGAZZINO!$B$2:$M$4838,8,FALSE)</f>
        <v/>
      </c>
      <c r="I514" s="17">
        <f>+VLOOKUP($A514,MAGAZZINO!$B$2:$M$4838,9,FALSE)</f>
        <v/>
      </c>
      <c r="J514" s="17">
        <f>+VLOOKUP($A514,MAGAZZINO!$B$2:$M$4838,10,FALSE)</f>
        <v/>
      </c>
      <c r="K514" s="17">
        <f>+VLOOKUP($A514,MAGAZZINO!$B$2:$M$4838,11,FALSE)</f>
        <v/>
      </c>
      <c r="L514" s="44">
        <f>+VLOOKUP($A514,MAGAZZINO!$B$2:$M$4838,12,FALSE)</f>
        <v/>
      </c>
    </row>
    <row r="515" ht="36" customHeight="1">
      <c r="A515" s="30">
        <f>+REGISTRO!A498</f>
        <v/>
      </c>
      <c r="B515" s="31">
        <f>+VLOOKUP($A515,MAGAZZINO!$B$2:$M$4838,2,FALSE)</f>
        <v/>
      </c>
      <c r="C515" s="32">
        <f>+VLOOKUP($A515,MAGAZZINO!$B$2:$M$4838,3,FALSE)</f>
        <v/>
      </c>
      <c r="D515" s="17">
        <f>+VLOOKUP($A515,MAGAZZINO!$B$2:$M$4838,4,FALSE)</f>
        <v/>
      </c>
      <c r="E515" s="17">
        <f>+VLOOKUP($A515,MAGAZZINO!$B$2:$M$4838,5,FALSE)</f>
        <v/>
      </c>
      <c r="F515" s="17">
        <f>+VLOOKUP($A515,MAGAZZINO!$B$2:$M$4838,6,FALSE)</f>
        <v/>
      </c>
      <c r="G515" s="17">
        <f>+VLOOKUP($A515,MAGAZZINO!$B$2:$M$4838,7,FALSE)</f>
        <v/>
      </c>
      <c r="H515" s="17">
        <f>+VLOOKUP($A515,MAGAZZINO!$B$2:$M$4838,8,FALSE)</f>
        <v/>
      </c>
      <c r="I515" s="17">
        <f>+VLOOKUP($A515,MAGAZZINO!$B$2:$M$4838,9,FALSE)</f>
        <v/>
      </c>
      <c r="J515" s="17">
        <f>+VLOOKUP($A515,MAGAZZINO!$B$2:$M$4838,10,FALSE)</f>
        <v/>
      </c>
      <c r="K515" s="17">
        <f>+VLOOKUP($A515,MAGAZZINO!$B$2:$M$4838,11,FALSE)</f>
        <v/>
      </c>
      <c r="L515" s="44">
        <f>+VLOOKUP($A515,MAGAZZINO!$B$2:$M$4838,12,FALSE)</f>
        <v/>
      </c>
    </row>
    <row r="516" ht="36" customHeight="1">
      <c r="A516" s="30">
        <f>+REGISTRO!A499</f>
        <v/>
      </c>
      <c r="B516" s="31">
        <f>+VLOOKUP($A516,MAGAZZINO!$B$2:$M$4838,2,FALSE)</f>
        <v/>
      </c>
      <c r="C516" s="32">
        <f>+VLOOKUP($A516,MAGAZZINO!$B$2:$M$4838,3,FALSE)</f>
        <v/>
      </c>
      <c r="D516" s="17">
        <f>+VLOOKUP($A516,MAGAZZINO!$B$2:$M$4838,4,FALSE)</f>
        <v/>
      </c>
      <c r="E516" s="17">
        <f>+VLOOKUP($A516,MAGAZZINO!$B$2:$M$4838,5,FALSE)</f>
        <v/>
      </c>
      <c r="F516" s="17">
        <f>+VLOOKUP($A516,MAGAZZINO!$B$2:$M$4838,6,FALSE)</f>
        <v/>
      </c>
      <c r="G516" s="17">
        <f>+VLOOKUP($A516,MAGAZZINO!$B$2:$M$4838,7,FALSE)</f>
        <v/>
      </c>
      <c r="H516" s="17">
        <f>+VLOOKUP($A516,MAGAZZINO!$B$2:$M$4838,8,FALSE)</f>
        <v/>
      </c>
      <c r="I516" s="17">
        <f>+VLOOKUP($A516,MAGAZZINO!$B$2:$M$4838,9,FALSE)</f>
        <v/>
      </c>
      <c r="J516" s="17">
        <f>+VLOOKUP($A516,MAGAZZINO!$B$2:$M$4838,10,FALSE)</f>
        <v/>
      </c>
      <c r="K516" s="17">
        <f>+VLOOKUP($A516,MAGAZZINO!$B$2:$M$4838,11,FALSE)</f>
        <v/>
      </c>
      <c r="L516" s="44">
        <f>+VLOOKUP($A516,MAGAZZINO!$B$2:$M$4838,12,FALSE)</f>
        <v/>
      </c>
    </row>
    <row r="517" ht="36" customHeight="1">
      <c r="A517" s="30">
        <f>+REGISTRO!A500</f>
        <v/>
      </c>
      <c r="B517" s="31">
        <f>+VLOOKUP($A517,MAGAZZINO!$B$2:$M$4838,2,FALSE)</f>
        <v/>
      </c>
      <c r="C517" s="32">
        <f>+VLOOKUP($A517,MAGAZZINO!$B$2:$M$4838,3,FALSE)</f>
        <v/>
      </c>
      <c r="D517" s="17">
        <f>+VLOOKUP($A517,MAGAZZINO!$B$2:$M$4838,4,FALSE)</f>
        <v/>
      </c>
      <c r="E517" s="17">
        <f>+VLOOKUP($A517,MAGAZZINO!$B$2:$M$4838,5,FALSE)</f>
        <v/>
      </c>
      <c r="F517" s="17">
        <f>+VLOOKUP($A517,MAGAZZINO!$B$2:$M$4838,6,FALSE)</f>
        <v/>
      </c>
      <c r="G517" s="17">
        <f>+VLOOKUP($A517,MAGAZZINO!$B$2:$M$4838,7,FALSE)</f>
        <v/>
      </c>
      <c r="H517" s="17">
        <f>+VLOOKUP($A517,MAGAZZINO!$B$2:$M$4838,8,FALSE)</f>
        <v/>
      </c>
      <c r="I517" s="17">
        <f>+VLOOKUP($A517,MAGAZZINO!$B$2:$M$4838,9,FALSE)</f>
        <v/>
      </c>
      <c r="J517" s="17">
        <f>+VLOOKUP($A517,MAGAZZINO!$B$2:$M$4838,10,FALSE)</f>
        <v/>
      </c>
      <c r="K517" s="17">
        <f>+VLOOKUP($A517,MAGAZZINO!$B$2:$M$4838,11,FALSE)</f>
        <v/>
      </c>
      <c r="L517" s="44">
        <f>+VLOOKUP($A517,MAGAZZINO!$B$2:$M$4838,12,FALSE)</f>
        <v/>
      </c>
    </row>
    <row r="518" ht="36" customHeight="1">
      <c r="A518" s="30">
        <f>+REGISTRO!A501</f>
        <v/>
      </c>
      <c r="B518" s="31">
        <f>+VLOOKUP($A518,MAGAZZINO!$B$2:$M$4838,2,FALSE)</f>
        <v/>
      </c>
      <c r="C518" s="32">
        <f>+VLOOKUP($A518,MAGAZZINO!$B$2:$M$4838,3,FALSE)</f>
        <v/>
      </c>
      <c r="D518" s="17">
        <f>+VLOOKUP($A518,MAGAZZINO!$B$2:$M$4838,4,FALSE)</f>
        <v/>
      </c>
      <c r="E518" s="17">
        <f>+VLOOKUP($A518,MAGAZZINO!$B$2:$M$4838,5,FALSE)</f>
        <v/>
      </c>
      <c r="F518" s="17">
        <f>+VLOOKUP($A518,MAGAZZINO!$B$2:$M$4838,6,FALSE)</f>
        <v/>
      </c>
      <c r="G518" s="17">
        <f>+VLOOKUP($A518,MAGAZZINO!$B$2:$M$4838,7,FALSE)</f>
        <v/>
      </c>
      <c r="H518" s="17">
        <f>+VLOOKUP($A518,MAGAZZINO!$B$2:$M$4838,8,FALSE)</f>
        <v/>
      </c>
      <c r="I518" s="17">
        <f>+VLOOKUP($A518,MAGAZZINO!$B$2:$M$4838,9,FALSE)</f>
        <v/>
      </c>
      <c r="J518" s="17">
        <f>+VLOOKUP($A518,MAGAZZINO!$B$2:$M$4838,10,FALSE)</f>
        <v/>
      </c>
      <c r="K518" s="17">
        <f>+VLOOKUP($A518,MAGAZZINO!$B$2:$M$4838,11,FALSE)</f>
        <v/>
      </c>
      <c r="L518" s="44">
        <f>+VLOOKUP($A518,MAGAZZINO!$B$2:$M$4838,12,FALSE)</f>
        <v/>
      </c>
    </row>
    <row r="519" ht="36" customHeight="1">
      <c r="A519" s="30">
        <f>+REGISTRO!A502</f>
        <v/>
      </c>
      <c r="B519" s="31">
        <f>+VLOOKUP($A519,MAGAZZINO!$B$2:$M$4838,2,FALSE)</f>
        <v/>
      </c>
      <c r="C519" s="32">
        <f>+VLOOKUP($A519,MAGAZZINO!$B$2:$M$4838,3,FALSE)</f>
        <v/>
      </c>
      <c r="D519" s="17">
        <f>+VLOOKUP($A519,MAGAZZINO!$B$2:$M$4838,4,FALSE)</f>
        <v/>
      </c>
      <c r="E519" s="17">
        <f>+VLOOKUP($A519,MAGAZZINO!$B$2:$M$4838,5,FALSE)</f>
        <v/>
      </c>
      <c r="F519" s="17">
        <f>+VLOOKUP($A519,MAGAZZINO!$B$2:$M$4838,6,FALSE)</f>
        <v/>
      </c>
      <c r="G519" s="17">
        <f>+VLOOKUP($A519,MAGAZZINO!$B$2:$M$4838,7,FALSE)</f>
        <v/>
      </c>
      <c r="H519" s="17">
        <f>+VLOOKUP($A519,MAGAZZINO!$B$2:$M$4838,8,FALSE)</f>
        <v/>
      </c>
      <c r="I519" s="17">
        <f>+VLOOKUP($A519,MAGAZZINO!$B$2:$M$4838,9,FALSE)</f>
        <v/>
      </c>
      <c r="J519" s="17">
        <f>+VLOOKUP($A519,MAGAZZINO!$B$2:$M$4838,10,FALSE)</f>
        <v/>
      </c>
      <c r="K519" s="17">
        <f>+VLOOKUP($A519,MAGAZZINO!$B$2:$M$4838,11,FALSE)</f>
        <v/>
      </c>
      <c r="L519" s="44">
        <f>+VLOOKUP($A519,MAGAZZINO!$B$2:$M$4838,12,FALSE)</f>
        <v/>
      </c>
    </row>
    <row r="520" ht="36" customHeight="1">
      <c r="A520" s="30">
        <f>+REGISTRO!A503</f>
        <v/>
      </c>
      <c r="B520" s="31">
        <f>+VLOOKUP($A520,MAGAZZINO!$B$2:$M$4838,2,FALSE)</f>
        <v/>
      </c>
      <c r="C520" s="32">
        <f>+VLOOKUP($A520,MAGAZZINO!$B$2:$M$4838,3,FALSE)</f>
        <v/>
      </c>
      <c r="D520" s="17">
        <f>+VLOOKUP($A520,MAGAZZINO!$B$2:$M$4838,4,FALSE)</f>
        <v/>
      </c>
      <c r="E520" s="17">
        <f>+VLOOKUP($A520,MAGAZZINO!$B$2:$M$4838,5,FALSE)</f>
        <v/>
      </c>
      <c r="F520" s="17">
        <f>+VLOOKUP($A520,MAGAZZINO!$B$2:$M$4838,6,FALSE)</f>
        <v/>
      </c>
      <c r="G520" s="17">
        <f>+VLOOKUP($A520,MAGAZZINO!$B$2:$M$4838,7,FALSE)</f>
        <v/>
      </c>
      <c r="H520" s="17">
        <f>+VLOOKUP($A520,MAGAZZINO!$B$2:$M$4838,8,FALSE)</f>
        <v/>
      </c>
      <c r="I520" s="17">
        <f>+VLOOKUP($A520,MAGAZZINO!$B$2:$M$4838,9,FALSE)</f>
        <v/>
      </c>
      <c r="J520" s="17">
        <f>+VLOOKUP($A520,MAGAZZINO!$B$2:$M$4838,10,FALSE)</f>
        <v/>
      </c>
      <c r="K520" s="17">
        <f>+VLOOKUP($A520,MAGAZZINO!$B$2:$M$4838,11,FALSE)</f>
        <v/>
      </c>
      <c r="L520" s="44">
        <f>+VLOOKUP($A520,MAGAZZINO!$B$2:$M$4838,12,FALSE)</f>
        <v/>
      </c>
    </row>
    <row r="521" ht="36" customHeight="1">
      <c r="A521" s="30">
        <f>+REGISTRO!A504</f>
        <v/>
      </c>
      <c r="B521" s="31">
        <f>+VLOOKUP($A521,MAGAZZINO!$B$2:$M$4838,2,FALSE)</f>
        <v/>
      </c>
      <c r="C521" s="32">
        <f>+VLOOKUP($A521,MAGAZZINO!$B$2:$M$4838,3,FALSE)</f>
        <v/>
      </c>
      <c r="D521" s="17">
        <f>+VLOOKUP($A521,MAGAZZINO!$B$2:$M$4838,4,FALSE)</f>
        <v/>
      </c>
      <c r="E521" s="17">
        <f>+VLOOKUP($A521,MAGAZZINO!$B$2:$M$4838,5,FALSE)</f>
        <v/>
      </c>
      <c r="F521" s="17">
        <f>+VLOOKUP($A521,MAGAZZINO!$B$2:$M$4838,6,FALSE)</f>
        <v/>
      </c>
      <c r="G521" s="17">
        <f>+VLOOKUP($A521,MAGAZZINO!$B$2:$M$4838,7,FALSE)</f>
        <v/>
      </c>
      <c r="H521" s="17">
        <f>+VLOOKUP($A521,MAGAZZINO!$B$2:$M$4838,8,FALSE)</f>
        <v/>
      </c>
      <c r="I521" s="17">
        <f>+VLOOKUP($A521,MAGAZZINO!$B$2:$M$4838,9,FALSE)</f>
        <v/>
      </c>
      <c r="J521" s="17">
        <f>+VLOOKUP($A521,MAGAZZINO!$B$2:$M$4838,10,FALSE)</f>
        <v/>
      </c>
      <c r="K521" s="17">
        <f>+VLOOKUP($A521,MAGAZZINO!$B$2:$M$4838,11,FALSE)</f>
        <v/>
      </c>
      <c r="L521" s="44">
        <f>+VLOOKUP($A521,MAGAZZINO!$B$2:$M$4838,12,FALSE)</f>
        <v/>
      </c>
    </row>
    <row r="522" ht="36" customHeight="1">
      <c r="A522" s="30">
        <f>+REGISTRO!A505</f>
        <v/>
      </c>
      <c r="B522" s="31">
        <f>+VLOOKUP($A522,MAGAZZINO!$B$2:$M$4838,2,FALSE)</f>
        <v/>
      </c>
      <c r="C522" s="32">
        <f>+VLOOKUP($A522,MAGAZZINO!$B$2:$M$4838,3,FALSE)</f>
        <v/>
      </c>
      <c r="D522" s="17">
        <f>+VLOOKUP($A522,MAGAZZINO!$B$2:$M$4838,4,FALSE)</f>
        <v/>
      </c>
      <c r="E522" s="17">
        <f>+VLOOKUP($A522,MAGAZZINO!$B$2:$M$4838,5,FALSE)</f>
        <v/>
      </c>
      <c r="F522" s="17">
        <f>+VLOOKUP($A522,MAGAZZINO!$B$2:$M$4838,6,FALSE)</f>
        <v/>
      </c>
      <c r="G522" s="17">
        <f>+VLOOKUP($A522,MAGAZZINO!$B$2:$M$4838,7,FALSE)</f>
        <v/>
      </c>
      <c r="H522" s="17">
        <f>+VLOOKUP($A522,MAGAZZINO!$B$2:$M$4838,8,FALSE)</f>
        <v/>
      </c>
      <c r="I522" s="17">
        <f>+VLOOKUP($A522,MAGAZZINO!$B$2:$M$4838,9,FALSE)</f>
        <v/>
      </c>
      <c r="J522" s="17">
        <f>+VLOOKUP($A522,MAGAZZINO!$B$2:$M$4838,10,FALSE)</f>
        <v/>
      </c>
      <c r="K522" s="17">
        <f>+VLOOKUP($A522,MAGAZZINO!$B$2:$M$4838,11,FALSE)</f>
        <v/>
      </c>
      <c r="L522" s="44">
        <f>+VLOOKUP($A522,MAGAZZINO!$B$2:$M$4838,12,FALSE)</f>
        <v/>
      </c>
    </row>
    <row r="523" ht="36" customHeight="1">
      <c r="A523" s="30">
        <f>+REGISTRO!A506</f>
        <v/>
      </c>
      <c r="B523" s="31">
        <f>+VLOOKUP($A523,MAGAZZINO!$B$2:$M$4838,2,FALSE)</f>
        <v/>
      </c>
      <c r="C523" s="32">
        <f>+VLOOKUP($A523,MAGAZZINO!$B$2:$M$4838,3,FALSE)</f>
        <v/>
      </c>
      <c r="D523" s="17">
        <f>+VLOOKUP($A523,MAGAZZINO!$B$2:$M$4838,4,FALSE)</f>
        <v/>
      </c>
      <c r="E523" s="17">
        <f>+VLOOKUP($A523,MAGAZZINO!$B$2:$M$4838,5,FALSE)</f>
        <v/>
      </c>
      <c r="F523" s="17">
        <f>+VLOOKUP($A523,MAGAZZINO!$B$2:$M$4838,6,FALSE)</f>
        <v/>
      </c>
      <c r="G523" s="17">
        <f>+VLOOKUP($A523,MAGAZZINO!$B$2:$M$4838,7,FALSE)</f>
        <v/>
      </c>
      <c r="H523" s="17">
        <f>+VLOOKUP($A523,MAGAZZINO!$B$2:$M$4838,8,FALSE)</f>
        <v/>
      </c>
      <c r="I523" s="17">
        <f>+VLOOKUP($A523,MAGAZZINO!$B$2:$M$4838,9,FALSE)</f>
        <v/>
      </c>
      <c r="J523" s="17">
        <f>+VLOOKUP($A523,MAGAZZINO!$B$2:$M$4838,10,FALSE)</f>
        <v/>
      </c>
      <c r="K523" s="17">
        <f>+VLOOKUP($A523,MAGAZZINO!$B$2:$M$4838,11,FALSE)</f>
        <v/>
      </c>
      <c r="L523" s="44">
        <f>+VLOOKUP($A523,MAGAZZINO!$B$2:$M$4838,12,FALSE)</f>
        <v/>
      </c>
    </row>
    <row r="524" ht="36" customHeight="1">
      <c r="A524" s="30">
        <f>+REGISTRO!A507</f>
        <v/>
      </c>
      <c r="B524" s="31">
        <f>+VLOOKUP($A524,MAGAZZINO!$B$2:$M$4838,2,FALSE)</f>
        <v/>
      </c>
      <c r="C524" s="32">
        <f>+VLOOKUP($A524,MAGAZZINO!$B$2:$M$4838,3,FALSE)</f>
        <v/>
      </c>
      <c r="D524" s="17">
        <f>+VLOOKUP($A524,MAGAZZINO!$B$2:$M$4838,4,FALSE)</f>
        <v/>
      </c>
      <c r="E524" s="17">
        <f>+VLOOKUP($A524,MAGAZZINO!$B$2:$M$4838,5,FALSE)</f>
        <v/>
      </c>
      <c r="F524" s="17">
        <f>+VLOOKUP($A524,MAGAZZINO!$B$2:$M$4838,6,FALSE)</f>
        <v/>
      </c>
      <c r="G524" s="17">
        <f>+VLOOKUP($A524,MAGAZZINO!$B$2:$M$4838,7,FALSE)</f>
        <v/>
      </c>
      <c r="H524" s="17">
        <f>+VLOOKUP($A524,MAGAZZINO!$B$2:$M$4838,8,FALSE)</f>
        <v/>
      </c>
      <c r="I524" s="17">
        <f>+VLOOKUP($A524,MAGAZZINO!$B$2:$M$4838,9,FALSE)</f>
        <v/>
      </c>
      <c r="J524" s="17">
        <f>+VLOOKUP($A524,MAGAZZINO!$B$2:$M$4838,10,FALSE)</f>
        <v/>
      </c>
      <c r="K524" s="17">
        <f>+VLOOKUP($A524,MAGAZZINO!$B$2:$M$4838,11,FALSE)</f>
        <v/>
      </c>
      <c r="L524" s="44">
        <f>+VLOOKUP($A524,MAGAZZINO!$B$2:$M$4838,12,FALSE)</f>
        <v/>
      </c>
    </row>
    <row r="525" ht="36" customHeight="1">
      <c r="A525" s="30">
        <f>+REGISTRO!A508</f>
        <v/>
      </c>
      <c r="B525" s="31">
        <f>+VLOOKUP($A525,MAGAZZINO!$B$2:$M$4838,2,FALSE)</f>
        <v/>
      </c>
      <c r="C525" s="32">
        <f>+VLOOKUP($A525,MAGAZZINO!$B$2:$M$4838,3,FALSE)</f>
        <v/>
      </c>
      <c r="D525" s="17">
        <f>+VLOOKUP($A525,MAGAZZINO!$B$2:$M$4838,4,FALSE)</f>
        <v/>
      </c>
      <c r="E525" s="17">
        <f>+VLOOKUP($A525,MAGAZZINO!$B$2:$M$4838,5,FALSE)</f>
        <v/>
      </c>
      <c r="F525" s="17">
        <f>+VLOOKUP($A525,MAGAZZINO!$B$2:$M$4838,6,FALSE)</f>
        <v/>
      </c>
      <c r="G525" s="17">
        <f>+VLOOKUP($A525,MAGAZZINO!$B$2:$M$4838,7,FALSE)</f>
        <v/>
      </c>
      <c r="H525" s="17">
        <f>+VLOOKUP($A525,MAGAZZINO!$B$2:$M$4838,8,FALSE)</f>
        <v/>
      </c>
      <c r="I525" s="17">
        <f>+VLOOKUP($A525,MAGAZZINO!$B$2:$M$4838,9,FALSE)</f>
        <v/>
      </c>
      <c r="J525" s="17">
        <f>+VLOOKUP($A525,MAGAZZINO!$B$2:$M$4838,10,FALSE)</f>
        <v/>
      </c>
      <c r="K525" s="17">
        <f>+VLOOKUP($A525,MAGAZZINO!$B$2:$M$4838,11,FALSE)</f>
        <v/>
      </c>
      <c r="L525" s="44">
        <f>+VLOOKUP($A525,MAGAZZINO!$B$2:$M$4838,12,FALSE)</f>
        <v/>
      </c>
    </row>
    <row r="526" ht="36" customHeight="1">
      <c r="A526" s="30">
        <f>+REGISTRO!A509</f>
        <v/>
      </c>
      <c r="B526" s="31">
        <f>+VLOOKUP($A526,MAGAZZINO!$B$2:$M$4838,2,FALSE)</f>
        <v/>
      </c>
      <c r="C526" s="32">
        <f>+VLOOKUP($A526,MAGAZZINO!$B$2:$M$4838,3,FALSE)</f>
        <v/>
      </c>
      <c r="D526" s="17">
        <f>+VLOOKUP($A526,MAGAZZINO!$B$2:$M$4838,4,FALSE)</f>
        <v/>
      </c>
      <c r="E526" s="17">
        <f>+VLOOKUP($A526,MAGAZZINO!$B$2:$M$4838,5,FALSE)</f>
        <v/>
      </c>
      <c r="F526" s="17">
        <f>+VLOOKUP($A526,MAGAZZINO!$B$2:$M$4838,6,FALSE)</f>
        <v/>
      </c>
      <c r="G526" s="17">
        <f>+VLOOKUP($A526,MAGAZZINO!$B$2:$M$4838,7,FALSE)</f>
        <v/>
      </c>
      <c r="H526" s="17">
        <f>+VLOOKUP($A526,MAGAZZINO!$B$2:$M$4838,8,FALSE)</f>
        <v/>
      </c>
      <c r="I526" s="17">
        <f>+VLOOKUP($A526,MAGAZZINO!$B$2:$M$4838,9,FALSE)</f>
        <v/>
      </c>
      <c r="J526" s="17">
        <f>+VLOOKUP($A526,MAGAZZINO!$B$2:$M$4838,10,FALSE)</f>
        <v/>
      </c>
      <c r="K526" s="17">
        <f>+VLOOKUP($A526,MAGAZZINO!$B$2:$M$4838,11,FALSE)</f>
        <v/>
      </c>
      <c r="L526" s="44">
        <f>+VLOOKUP($A526,MAGAZZINO!$B$2:$M$4838,12,FALSE)</f>
        <v/>
      </c>
    </row>
    <row r="527" ht="36" customHeight="1">
      <c r="A527" s="30">
        <f>+REGISTRO!A510</f>
        <v/>
      </c>
      <c r="B527" s="31">
        <f>+VLOOKUP($A527,MAGAZZINO!$B$2:$M$4838,2,FALSE)</f>
        <v/>
      </c>
      <c r="C527" s="32">
        <f>+VLOOKUP($A527,MAGAZZINO!$B$2:$M$4838,3,FALSE)</f>
        <v/>
      </c>
      <c r="D527" s="17">
        <f>+VLOOKUP($A527,MAGAZZINO!$B$2:$M$4838,4,FALSE)</f>
        <v/>
      </c>
      <c r="E527" s="17">
        <f>+VLOOKUP($A527,MAGAZZINO!$B$2:$M$4838,5,FALSE)</f>
        <v/>
      </c>
      <c r="F527" s="17">
        <f>+VLOOKUP($A527,MAGAZZINO!$B$2:$M$4838,6,FALSE)</f>
        <v/>
      </c>
      <c r="G527" s="17">
        <f>+VLOOKUP($A527,MAGAZZINO!$B$2:$M$4838,7,FALSE)</f>
        <v/>
      </c>
      <c r="H527" s="17">
        <f>+VLOOKUP($A527,MAGAZZINO!$B$2:$M$4838,8,FALSE)</f>
        <v/>
      </c>
      <c r="I527" s="17">
        <f>+VLOOKUP($A527,MAGAZZINO!$B$2:$M$4838,9,FALSE)</f>
        <v/>
      </c>
      <c r="J527" s="17">
        <f>+VLOOKUP($A527,MAGAZZINO!$B$2:$M$4838,10,FALSE)</f>
        <v/>
      </c>
      <c r="K527" s="17">
        <f>+VLOOKUP($A527,MAGAZZINO!$B$2:$M$4838,11,FALSE)</f>
        <v/>
      </c>
      <c r="L527" s="44">
        <f>+VLOOKUP($A527,MAGAZZINO!$B$2:$M$4838,12,FALSE)</f>
        <v/>
      </c>
    </row>
    <row r="528" ht="36" customHeight="1">
      <c r="A528" s="30">
        <f>+REGISTRO!A511</f>
        <v/>
      </c>
      <c r="B528" s="31">
        <f>+VLOOKUP($A528,MAGAZZINO!$B$2:$M$4838,2,FALSE)</f>
        <v/>
      </c>
      <c r="C528" s="32">
        <f>+VLOOKUP($A528,MAGAZZINO!$B$2:$M$4838,3,FALSE)</f>
        <v/>
      </c>
      <c r="D528" s="17">
        <f>+VLOOKUP($A528,MAGAZZINO!$B$2:$M$4838,4,FALSE)</f>
        <v/>
      </c>
      <c r="E528" s="17">
        <f>+VLOOKUP($A528,MAGAZZINO!$B$2:$M$4838,5,FALSE)</f>
        <v/>
      </c>
      <c r="F528" s="17">
        <f>+VLOOKUP($A528,MAGAZZINO!$B$2:$M$4838,6,FALSE)</f>
        <v/>
      </c>
      <c r="G528" s="17">
        <f>+VLOOKUP($A528,MAGAZZINO!$B$2:$M$4838,7,FALSE)</f>
        <v/>
      </c>
      <c r="H528" s="17">
        <f>+VLOOKUP($A528,MAGAZZINO!$B$2:$M$4838,8,FALSE)</f>
        <v/>
      </c>
      <c r="I528" s="17">
        <f>+VLOOKUP($A528,MAGAZZINO!$B$2:$M$4838,9,FALSE)</f>
        <v/>
      </c>
      <c r="J528" s="17">
        <f>+VLOOKUP($A528,MAGAZZINO!$B$2:$M$4838,10,FALSE)</f>
        <v/>
      </c>
      <c r="K528" s="17">
        <f>+VLOOKUP($A528,MAGAZZINO!$B$2:$M$4838,11,FALSE)</f>
        <v/>
      </c>
      <c r="L528" s="44">
        <f>+VLOOKUP($A528,MAGAZZINO!$B$2:$M$4838,12,FALSE)</f>
        <v/>
      </c>
    </row>
    <row r="529" ht="36" customHeight="1">
      <c r="A529" s="30">
        <f>+REGISTRO!A512</f>
        <v/>
      </c>
      <c r="B529" s="31">
        <f>+VLOOKUP($A529,MAGAZZINO!$B$2:$M$4838,2,FALSE)</f>
        <v/>
      </c>
      <c r="C529" s="32">
        <f>+VLOOKUP($A529,MAGAZZINO!$B$2:$M$4838,3,FALSE)</f>
        <v/>
      </c>
      <c r="D529" s="17">
        <f>+VLOOKUP($A529,MAGAZZINO!$B$2:$M$4838,4,FALSE)</f>
        <v/>
      </c>
      <c r="E529" s="17">
        <f>+VLOOKUP($A529,MAGAZZINO!$B$2:$M$4838,5,FALSE)</f>
        <v/>
      </c>
      <c r="F529" s="17">
        <f>+VLOOKUP($A529,MAGAZZINO!$B$2:$M$4838,6,FALSE)</f>
        <v/>
      </c>
      <c r="G529" s="17">
        <f>+VLOOKUP($A529,MAGAZZINO!$B$2:$M$4838,7,FALSE)</f>
        <v/>
      </c>
      <c r="H529" s="17">
        <f>+VLOOKUP($A529,MAGAZZINO!$B$2:$M$4838,8,FALSE)</f>
        <v/>
      </c>
      <c r="I529" s="17">
        <f>+VLOOKUP($A529,MAGAZZINO!$B$2:$M$4838,9,FALSE)</f>
        <v/>
      </c>
      <c r="J529" s="17">
        <f>+VLOOKUP($A529,MAGAZZINO!$B$2:$M$4838,10,FALSE)</f>
        <v/>
      </c>
      <c r="K529" s="17">
        <f>+VLOOKUP($A529,MAGAZZINO!$B$2:$M$4838,11,FALSE)</f>
        <v/>
      </c>
      <c r="L529" s="44">
        <f>+VLOOKUP($A529,MAGAZZINO!$B$2:$M$4838,12,FALSE)</f>
        <v/>
      </c>
    </row>
    <row r="530" ht="36" customHeight="1">
      <c r="A530" s="30">
        <f>+REGISTRO!A513</f>
        <v/>
      </c>
      <c r="B530" s="31">
        <f>+VLOOKUP($A530,MAGAZZINO!$B$2:$M$4838,2,FALSE)</f>
        <v/>
      </c>
      <c r="C530" s="32">
        <f>+VLOOKUP($A530,MAGAZZINO!$B$2:$M$4838,3,FALSE)</f>
        <v/>
      </c>
      <c r="D530" s="17">
        <f>+VLOOKUP($A530,MAGAZZINO!$B$2:$M$4838,4,FALSE)</f>
        <v/>
      </c>
      <c r="E530" s="17">
        <f>+VLOOKUP($A530,MAGAZZINO!$B$2:$M$4838,5,FALSE)</f>
        <v/>
      </c>
      <c r="F530" s="17">
        <f>+VLOOKUP($A530,MAGAZZINO!$B$2:$M$4838,6,FALSE)</f>
        <v/>
      </c>
      <c r="G530" s="17">
        <f>+VLOOKUP($A530,MAGAZZINO!$B$2:$M$4838,7,FALSE)</f>
        <v/>
      </c>
      <c r="H530" s="17">
        <f>+VLOOKUP($A530,MAGAZZINO!$B$2:$M$4838,8,FALSE)</f>
        <v/>
      </c>
      <c r="I530" s="17">
        <f>+VLOOKUP($A530,MAGAZZINO!$B$2:$M$4838,9,FALSE)</f>
        <v/>
      </c>
      <c r="J530" s="17">
        <f>+VLOOKUP($A530,MAGAZZINO!$B$2:$M$4838,10,FALSE)</f>
        <v/>
      </c>
      <c r="K530" s="17">
        <f>+VLOOKUP($A530,MAGAZZINO!$B$2:$M$4838,11,FALSE)</f>
        <v/>
      </c>
      <c r="L530" s="44">
        <f>+VLOOKUP($A530,MAGAZZINO!$B$2:$M$4838,12,FALSE)</f>
        <v/>
      </c>
    </row>
    <row r="531" ht="36" customHeight="1">
      <c r="A531" s="30">
        <f>+REGISTRO!A514</f>
        <v/>
      </c>
      <c r="B531" s="31">
        <f>+VLOOKUP($A531,MAGAZZINO!$B$2:$M$4838,2,FALSE)</f>
        <v/>
      </c>
      <c r="C531" s="32">
        <f>+VLOOKUP($A531,MAGAZZINO!$B$2:$M$4838,3,FALSE)</f>
        <v/>
      </c>
      <c r="D531" s="17">
        <f>+VLOOKUP($A531,MAGAZZINO!$B$2:$M$4838,4,FALSE)</f>
        <v/>
      </c>
      <c r="E531" s="17">
        <f>+VLOOKUP($A531,MAGAZZINO!$B$2:$M$4838,5,FALSE)</f>
        <v/>
      </c>
      <c r="F531" s="17">
        <f>+VLOOKUP($A531,MAGAZZINO!$B$2:$M$4838,6,FALSE)</f>
        <v/>
      </c>
      <c r="G531" s="17">
        <f>+VLOOKUP($A531,MAGAZZINO!$B$2:$M$4838,7,FALSE)</f>
        <v/>
      </c>
      <c r="H531" s="17">
        <f>+VLOOKUP($A531,MAGAZZINO!$B$2:$M$4838,8,FALSE)</f>
        <v/>
      </c>
      <c r="I531" s="17">
        <f>+VLOOKUP($A531,MAGAZZINO!$B$2:$M$4838,9,FALSE)</f>
        <v/>
      </c>
      <c r="J531" s="17">
        <f>+VLOOKUP($A531,MAGAZZINO!$B$2:$M$4838,10,FALSE)</f>
        <v/>
      </c>
      <c r="K531" s="17">
        <f>+VLOOKUP($A531,MAGAZZINO!$B$2:$M$4838,11,FALSE)</f>
        <v/>
      </c>
      <c r="L531" s="44">
        <f>+VLOOKUP($A531,MAGAZZINO!$B$2:$M$4838,12,FALSE)</f>
        <v/>
      </c>
    </row>
    <row r="532" ht="36" customHeight="1">
      <c r="A532" s="30">
        <f>+REGISTRO!A515</f>
        <v/>
      </c>
      <c r="B532" s="31">
        <f>+VLOOKUP($A532,MAGAZZINO!$B$2:$M$4838,2,FALSE)</f>
        <v/>
      </c>
      <c r="C532" s="32">
        <f>+VLOOKUP($A532,MAGAZZINO!$B$2:$M$4838,3,FALSE)</f>
        <v/>
      </c>
      <c r="D532" s="17">
        <f>+VLOOKUP($A532,MAGAZZINO!$B$2:$M$4838,4,FALSE)</f>
        <v/>
      </c>
      <c r="E532" s="17">
        <f>+VLOOKUP($A532,MAGAZZINO!$B$2:$M$4838,5,FALSE)</f>
        <v/>
      </c>
      <c r="F532" s="17">
        <f>+VLOOKUP($A532,MAGAZZINO!$B$2:$M$4838,6,FALSE)</f>
        <v/>
      </c>
      <c r="G532" s="17">
        <f>+VLOOKUP($A532,MAGAZZINO!$B$2:$M$4838,7,FALSE)</f>
        <v/>
      </c>
      <c r="H532" s="17">
        <f>+VLOOKUP($A532,MAGAZZINO!$B$2:$M$4838,8,FALSE)</f>
        <v/>
      </c>
      <c r="I532" s="17">
        <f>+VLOOKUP($A532,MAGAZZINO!$B$2:$M$4838,9,FALSE)</f>
        <v/>
      </c>
      <c r="J532" s="17">
        <f>+VLOOKUP($A532,MAGAZZINO!$B$2:$M$4838,10,FALSE)</f>
        <v/>
      </c>
      <c r="K532" s="17">
        <f>+VLOOKUP($A532,MAGAZZINO!$B$2:$M$4838,11,FALSE)</f>
        <v/>
      </c>
      <c r="L532" s="44">
        <f>+VLOOKUP($A532,MAGAZZINO!$B$2:$M$4838,12,FALSE)</f>
        <v/>
      </c>
    </row>
    <row r="533" ht="36" customHeight="1">
      <c r="A533" s="30">
        <f>+REGISTRO!A516</f>
        <v/>
      </c>
      <c r="B533" s="31">
        <f>+VLOOKUP($A533,MAGAZZINO!$B$2:$M$4838,2,FALSE)</f>
        <v/>
      </c>
      <c r="C533" s="32">
        <f>+VLOOKUP($A533,MAGAZZINO!$B$2:$M$4838,3,FALSE)</f>
        <v/>
      </c>
      <c r="D533" s="17">
        <f>+VLOOKUP($A533,MAGAZZINO!$B$2:$M$4838,4,FALSE)</f>
        <v/>
      </c>
      <c r="E533" s="17">
        <f>+VLOOKUP($A533,MAGAZZINO!$B$2:$M$4838,5,FALSE)</f>
        <v/>
      </c>
      <c r="F533" s="17">
        <f>+VLOOKUP($A533,MAGAZZINO!$B$2:$M$4838,6,FALSE)</f>
        <v/>
      </c>
      <c r="G533" s="17">
        <f>+VLOOKUP($A533,MAGAZZINO!$B$2:$M$4838,7,FALSE)</f>
        <v/>
      </c>
      <c r="H533" s="17">
        <f>+VLOOKUP($A533,MAGAZZINO!$B$2:$M$4838,8,FALSE)</f>
        <v/>
      </c>
      <c r="I533" s="17">
        <f>+VLOOKUP($A533,MAGAZZINO!$B$2:$M$4838,9,FALSE)</f>
        <v/>
      </c>
      <c r="J533" s="17">
        <f>+VLOOKUP($A533,MAGAZZINO!$B$2:$M$4838,10,FALSE)</f>
        <v/>
      </c>
      <c r="K533" s="17">
        <f>+VLOOKUP($A533,MAGAZZINO!$B$2:$M$4838,11,FALSE)</f>
        <v/>
      </c>
      <c r="L533" s="44">
        <f>+VLOOKUP($A533,MAGAZZINO!$B$2:$M$4838,12,FALSE)</f>
        <v/>
      </c>
    </row>
    <row r="534" ht="36" customHeight="1">
      <c r="A534" s="30">
        <f>+REGISTRO!A517</f>
        <v/>
      </c>
      <c r="B534" s="31">
        <f>+VLOOKUP($A534,MAGAZZINO!$B$2:$M$4838,2,FALSE)</f>
        <v/>
      </c>
      <c r="C534" s="32">
        <f>+VLOOKUP($A534,MAGAZZINO!$B$2:$M$4838,3,FALSE)</f>
        <v/>
      </c>
      <c r="D534" s="17">
        <f>+VLOOKUP($A534,MAGAZZINO!$B$2:$M$4838,4,FALSE)</f>
        <v/>
      </c>
      <c r="E534" s="17">
        <f>+VLOOKUP($A534,MAGAZZINO!$B$2:$M$4838,5,FALSE)</f>
        <v/>
      </c>
      <c r="F534" s="17">
        <f>+VLOOKUP($A534,MAGAZZINO!$B$2:$M$4838,6,FALSE)</f>
        <v/>
      </c>
      <c r="G534" s="17">
        <f>+VLOOKUP($A534,MAGAZZINO!$B$2:$M$4838,7,FALSE)</f>
        <v/>
      </c>
      <c r="H534" s="17">
        <f>+VLOOKUP($A534,MAGAZZINO!$B$2:$M$4838,8,FALSE)</f>
        <v/>
      </c>
      <c r="I534" s="17">
        <f>+VLOOKUP($A534,MAGAZZINO!$B$2:$M$4838,9,FALSE)</f>
        <v/>
      </c>
      <c r="J534" s="17">
        <f>+VLOOKUP($A534,MAGAZZINO!$B$2:$M$4838,10,FALSE)</f>
        <v/>
      </c>
      <c r="K534" s="17">
        <f>+VLOOKUP($A534,MAGAZZINO!$B$2:$M$4838,11,FALSE)</f>
        <v/>
      </c>
      <c r="L534" s="44">
        <f>+VLOOKUP($A534,MAGAZZINO!$B$2:$M$4838,12,FALSE)</f>
        <v/>
      </c>
    </row>
    <row r="535" ht="36" customHeight="1">
      <c r="A535" s="30">
        <f>+REGISTRO!A518</f>
        <v/>
      </c>
      <c r="B535" s="31">
        <f>+VLOOKUP($A535,MAGAZZINO!$B$2:$M$4838,2,FALSE)</f>
        <v/>
      </c>
      <c r="C535" s="32">
        <f>+VLOOKUP($A535,MAGAZZINO!$B$2:$M$4838,3,FALSE)</f>
        <v/>
      </c>
      <c r="D535" s="17">
        <f>+VLOOKUP($A535,MAGAZZINO!$B$2:$M$4838,4,FALSE)</f>
        <v/>
      </c>
      <c r="E535" s="17">
        <f>+VLOOKUP($A535,MAGAZZINO!$B$2:$M$4838,5,FALSE)</f>
        <v/>
      </c>
      <c r="F535" s="17">
        <f>+VLOOKUP($A535,MAGAZZINO!$B$2:$M$4838,6,FALSE)</f>
        <v/>
      </c>
      <c r="G535" s="17">
        <f>+VLOOKUP($A535,MAGAZZINO!$B$2:$M$4838,7,FALSE)</f>
        <v/>
      </c>
      <c r="H535" s="17">
        <f>+VLOOKUP($A535,MAGAZZINO!$B$2:$M$4838,8,FALSE)</f>
        <v/>
      </c>
      <c r="I535" s="17">
        <f>+VLOOKUP($A535,MAGAZZINO!$B$2:$M$4838,9,FALSE)</f>
        <v/>
      </c>
      <c r="J535" s="17">
        <f>+VLOOKUP($A535,MAGAZZINO!$B$2:$M$4838,10,FALSE)</f>
        <v/>
      </c>
      <c r="K535" s="17">
        <f>+VLOOKUP($A535,MAGAZZINO!$B$2:$M$4838,11,FALSE)</f>
        <v/>
      </c>
      <c r="L535" s="44">
        <f>+VLOOKUP($A535,MAGAZZINO!$B$2:$M$4838,12,FALSE)</f>
        <v/>
      </c>
    </row>
    <row r="536" ht="36" customHeight="1">
      <c r="A536" s="30">
        <f>+REGISTRO!A519</f>
        <v/>
      </c>
      <c r="B536" s="31">
        <f>+VLOOKUP($A536,MAGAZZINO!$B$2:$M$4838,2,FALSE)</f>
        <v/>
      </c>
      <c r="C536" s="32">
        <f>+VLOOKUP($A536,MAGAZZINO!$B$2:$M$4838,3,FALSE)</f>
        <v/>
      </c>
      <c r="D536" s="17">
        <f>+VLOOKUP($A536,MAGAZZINO!$B$2:$M$4838,4,FALSE)</f>
        <v/>
      </c>
      <c r="E536" s="17">
        <f>+VLOOKUP($A536,MAGAZZINO!$B$2:$M$4838,5,FALSE)</f>
        <v/>
      </c>
      <c r="F536" s="17">
        <f>+VLOOKUP($A536,MAGAZZINO!$B$2:$M$4838,6,FALSE)</f>
        <v/>
      </c>
      <c r="G536" s="17">
        <f>+VLOOKUP($A536,MAGAZZINO!$B$2:$M$4838,7,FALSE)</f>
        <v/>
      </c>
      <c r="H536" s="17">
        <f>+VLOOKUP($A536,MAGAZZINO!$B$2:$M$4838,8,FALSE)</f>
        <v/>
      </c>
      <c r="I536" s="17">
        <f>+VLOOKUP($A536,MAGAZZINO!$B$2:$M$4838,9,FALSE)</f>
        <v/>
      </c>
      <c r="J536" s="17">
        <f>+VLOOKUP($A536,MAGAZZINO!$B$2:$M$4838,10,FALSE)</f>
        <v/>
      </c>
      <c r="K536" s="17">
        <f>+VLOOKUP($A536,MAGAZZINO!$B$2:$M$4838,11,FALSE)</f>
        <v/>
      </c>
      <c r="L536" s="44">
        <f>+VLOOKUP($A536,MAGAZZINO!$B$2:$M$4838,12,FALSE)</f>
        <v/>
      </c>
    </row>
    <row r="537" ht="36" customHeight="1">
      <c r="A537" s="30">
        <f>+REGISTRO!A520</f>
        <v/>
      </c>
      <c r="B537" s="31">
        <f>+VLOOKUP($A537,MAGAZZINO!$B$2:$M$4838,2,FALSE)</f>
        <v/>
      </c>
      <c r="C537" s="32">
        <f>+VLOOKUP($A537,MAGAZZINO!$B$2:$M$4838,3,FALSE)</f>
        <v/>
      </c>
      <c r="D537" s="17">
        <f>+VLOOKUP($A537,MAGAZZINO!$B$2:$M$4838,4,FALSE)</f>
        <v/>
      </c>
      <c r="E537" s="17">
        <f>+VLOOKUP($A537,MAGAZZINO!$B$2:$M$4838,5,FALSE)</f>
        <v/>
      </c>
      <c r="F537" s="17">
        <f>+VLOOKUP($A537,MAGAZZINO!$B$2:$M$4838,6,FALSE)</f>
        <v/>
      </c>
      <c r="G537" s="17">
        <f>+VLOOKUP($A537,MAGAZZINO!$B$2:$M$4838,7,FALSE)</f>
        <v/>
      </c>
      <c r="H537" s="17">
        <f>+VLOOKUP($A537,MAGAZZINO!$B$2:$M$4838,8,FALSE)</f>
        <v/>
      </c>
      <c r="I537" s="17">
        <f>+VLOOKUP($A537,MAGAZZINO!$B$2:$M$4838,9,FALSE)</f>
        <v/>
      </c>
      <c r="J537" s="17">
        <f>+VLOOKUP($A537,MAGAZZINO!$B$2:$M$4838,10,FALSE)</f>
        <v/>
      </c>
      <c r="K537" s="17">
        <f>+VLOOKUP($A537,MAGAZZINO!$B$2:$M$4838,11,FALSE)</f>
        <v/>
      </c>
      <c r="L537" s="44">
        <f>+VLOOKUP($A537,MAGAZZINO!$B$2:$M$4838,12,FALSE)</f>
        <v/>
      </c>
    </row>
    <row r="538" ht="36" customHeight="1">
      <c r="A538" s="30">
        <f>+REGISTRO!A521</f>
        <v/>
      </c>
      <c r="B538" s="31">
        <f>+VLOOKUP($A538,MAGAZZINO!$B$2:$M$4838,2,FALSE)</f>
        <v/>
      </c>
      <c r="C538" s="32">
        <f>+VLOOKUP($A538,MAGAZZINO!$B$2:$M$4838,3,FALSE)</f>
        <v/>
      </c>
      <c r="D538" s="17">
        <f>+VLOOKUP($A538,MAGAZZINO!$B$2:$M$4838,4,FALSE)</f>
        <v/>
      </c>
      <c r="E538" s="17">
        <f>+VLOOKUP($A538,MAGAZZINO!$B$2:$M$4838,5,FALSE)</f>
        <v/>
      </c>
      <c r="F538" s="17">
        <f>+VLOOKUP($A538,MAGAZZINO!$B$2:$M$4838,6,FALSE)</f>
        <v/>
      </c>
      <c r="G538" s="17">
        <f>+VLOOKUP($A538,MAGAZZINO!$B$2:$M$4838,7,FALSE)</f>
        <v/>
      </c>
      <c r="H538" s="17">
        <f>+VLOOKUP($A538,MAGAZZINO!$B$2:$M$4838,8,FALSE)</f>
        <v/>
      </c>
      <c r="I538" s="17">
        <f>+VLOOKUP($A538,MAGAZZINO!$B$2:$M$4838,9,FALSE)</f>
        <v/>
      </c>
      <c r="J538" s="17">
        <f>+VLOOKUP($A538,MAGAZZINO!$B$2:$M$4838,10,FALSE)</f>
        <v/>
      </c>
      <c r="K538" s="17">
        <f>+VLOOKUP($A538,MAGAZZINO!$B$2:$M$4838,11,FALSE)</f>
        <v/>
      </c>
      <c r="L538" s="44">
        <f>+VLOOKUP($A538,MAGAZZINO!$B$2:$M$4838,12,FALSE)</f>
        <v/>
      </c>
    </row>
    <row r="539" ht="36" customHeight="1">
      <c r="A539" s="30">
        <f>+REGISTRO!A522</f>
        <v/>
      </c>
      <c r="B539" s="31">
        <f>+VLOOKUP($A539,MAGAZZINO!$B$2:$M$4838,2,FALSE)</f>
        <v/>
      </c>
      <c r="C539" s="32">
        <f>+VLOOKUP($A539,MAGAZZINO!$B$2:$M$4838,3,FALSE)</f>
        <v/>
      </c>
      <c r="D539" s="17">
        <f>+VLOOKUP($A539,MAGAZZINO!$B$2:$M$4838,4,FALSE)</f>
        <v/>
      </c>
      <c r="E539" s="17">
        <f>+VLOOKUP($A539,MAGAZZINO!$B$2:$M$4838,5,FALSE)</f>
        <v/>
      </c>
      <c r="F539" s="17">
        <f>+VLOOKUP($A539,MAGAZZINO!$B$2:$M$4838,6,FALSE)</f>
        <v/>
      </c>
      <c r="G539" s="17">
        <f>+VLOOKUP($A539,MAGAZZINO!$B$2:$M$4838,7,FALSE)</f>
        <v/>
      </c>
      <c r="H539" s="17">
        <f>+VLOOKUP($A539,MAGAZZINO!$B$2:$M$4838,8,FALSE)</f>
        <v/>
      </c>
      <c r="I539" s="17">
        <f>+VLOOKUP($A539,MAGAZZINO!$B$2:$M$4838,9,FALSE)</f>
        <v/>
      </c>
      <c r="J539" s="17">
        <f>+VLOOKUP($A539,MAGAZZINO!$B$2:$M$4838,10,FALSE)</f>
        <v/>
      </c>
      <c r="K539" s="17">
        <f>+VLOOKUP($A539,MAGAZZINO!$B$2:$M$4838,11,FALSE)</f>
        <v/>
      </c>
      <c r="L539" s="44">
        <f>+VLOOKUP($A539,MAGAZZINO!$B$2:$M$4838,12,FALSE)</f>
        <v/>
      </c>
    </row>
    <row r="540" ht="36" customHeight="1">
      <c r="A540" s="30">
        <f>+REGISTRO!A523</f>
        <v/>
      </c>
      <c r="B540" s="31">
        <f>+VLOOKUP($A540,MAGAZZINO!$B$2:$M$4838,2,FALSE)</f>
        <v/>
      </c>
      <c r="C540" s="32">
        <f>+VLOOKUP($A540,MAGAZZINO!$B$2:$M$4838,3,FALSE)</f>
        <v/>
      </c>
      <c r="D540" s="17">
        <f>+VLOOKUP($A540,MAGAZZINO!$B$2:$M$4838,4,FALSE)</f>
        <v/>
      </c>
      <c r="E540" s="17">
        <f>+VLOOKUP($A540,MAGAZZINO!$B$2:$M$4838,5,FALSE)</f>
        <v/>
      </c>
      <c r="F540" s="17">
        <f>+VLOOKUP($A540,MAGAZZINO!$B$2:$M$4838,6,FALSE)</f>
        <v/>
      </c>
      <c r="G540" s="17">
        <f>+VLOOKUP($A540,MAGAZZINO!$B$2:$M$4838,7,FALSE)</f>
        <v/>
      </c>
      <c r="H540" s="17">
        <f>+VLOOKUP($A540,MAGAZZINO!$B$2:$M$4838,8,FALSE)</f>
        <v/>
      </c>
      <c r="I540" s="17">
        <f>+VLOOKUP($A540,MAGAZZINO!$B$2:$M$4838,9,FALSE)</f>
        <v/>
      </c>
      <c r="J540" s="17">
        <f>+VLOOKUP($A540,MAGAZZINO!$B$2:$M$4838,10,FALSE)</f>
        <v/>
      </c>
      <c r="K540" s="17">
        <f>+VLOOKUP($A540,MAGAZZINO!$B$2:$M$4838,11,FALSE)</f>
        <v/>
      </c>
      <c r="L540" s="44">
        <f>+VLOOKUP($A540,MAGAZZINO!$B$2:$M$4838,12,FALSE)</f>
        <v/>
      </c>
    </row>
    <row r="541" ht="36" customHeight="1">
      <c r="A541" s="30">
        <f>+REGISTRO!A524</f>
        <v/>
      </c>
      <c r="B541" s="31">
        <f>+VLOOKUP($A541,MAGAZZINO!$B$2:$M$4838,2,FALSE)</f>
        <v/>
      </c>
      <c r="C541" s="32">
        <f>+VLOOKUP($A541,MAGAZZINO!$B$2:$M$4838,3,FALSE)</f>
        <v/>
      </c>
      <c r="D541" s="17">
        <f>+VLOOKUP($A541,MAGAZZINO!$B$2:$M$4838,4,FALSE)</f>
        <v/>
      </c>
      <c r="E541" s="17">
        <f>+VLOOKUP($A541,MAGAZZINO!$B$2:$M$4838,5,FALSE)</f>
        <v/>
      </c>
      <c r="F541" s="17">
        <f>+VLOOKUP($A541,MAGAZZINO!$B$2:$M$4838,6,FALSE)</f>
        <v/>
      </c>
      <c r="G541" s="17">
        <f>+VLOOKUP($A541,MAGAZZINO!$B$2:$M$4838,7,FALSE)</f>
        <v/>
      </c>
      <c r="H541" s="17">
        <f>+VLOOKUP($A541,MAGAZZINO!$B$2:$M$4838,8,FALSE)</f>
        <v/>
      </c>
      <c r="I541" s="17">
        <f>+VLOOKUP($A541,MAGAZZINO!$B$2:$M$4838,9,FALSE)</f>
        <v/>
      </c>
      <c r="J541" s="17">
        <f>+VLOOKUP($A541,MAGAZZINO!$B$2:$M$4838,10,FALSE)</f>
        <v/>
      </c>
      <c r="K541" s="17">
        <f>+VLOOKUP($A541,MAGAZZINO!$B$2:$M$4838,11,FALSE)</f>
        <v/>
      </c>
      <c r="L541" s="44">
        <f>+VLOOKUP($A541,MAGAZZINO!$B$2:$M$4838,12,FALSE)</f>
        <v/>
      </c>
    </row>
    <row r="542" ht="36" customHeight="1">
      <c r="A542" s="30">
        <f>+REGISTRO!A525</f>
        <v/>
      </c>
      <c r="B542" s="31">
        <f>+VLOOKUP($A542,MAGAZZINO!$B$2:$M$4838,2,FALSE)</f>
        <v/>
      </c>
      <c r="C542" s="32">
        <f>+VLOOKUP($A542,MAGAZZINO!$B$2:$M$4838,3,FALSE)</f>
        <v/>
      </c>
      <c r="D542" s="17">
        <f>+VLOOKUP($A542,MAGAZZINO!$B$2:$M$4838,4,FALSE)</f>
        <v/>
      </c>
      <c r="E542" s="17">
        <f>+VLOOKUP($A542,MAGAZZINO!$B$2:$M$4838,5,FALSE)</f>
        <v/>
      </c>
      <c r="F542" s="17">
        <f>+VLOOKUP($A542,MAGAZZINO!$B$2:$M$4838,6,FALSE)</f>
        <v/>
      </c>
      <c r="G542" s="17">
        <f>+VLOOKUP($A542,MAGAZZINO!$B$2:$M$4838,7,FALSE)</f>
        <v/>
      </c>
      <c r="H542" s="17">
        <f>+VLOOKUP($A542,MAGAZZINO!$B$2:$M$4838,8,FALSE)</f>
        <v/>
      </c>
      <c r="I542" s="17">
        <f>+VLOOKUP($A542,MAGAZZINO!$B$2:$M$4838,9,FALSE)</f>
        <v/>
      </c>
      <c r="J542" s="17">
        <f>+VLOOKUP($A542,MAGAZZINO!$B$2:$M$4838,10,FALSE)</f>
        <v/>
      </c>
      <c r="K542" s="17">
        <f>+VLOOKUP($A542,MAGAZZINO!$B$2:$M$4838,11,FALSE)</f>
        <v/>
      </c>
      <c r="L542" s="44">
        <f>+VLOOKUP($A542,MAGAZZINO!$B$2:$M$4838,12,FALSE)</f>
        <v/>
      </c>
    </row>
    <row r="543" ht="36" customHeight="1">
      <c r="A543" s="30">
        <f>+REGISTRO!A526</f>
        <v/>
      </c>
      <c r="B543" s="31">
        <f>+VLOOKUP($A543,MAGAZZINO!$B$2:$M$4838,2,FALSE)</f>
        <v/>
      </c>
      <c r="C543" s="32">
        <f>+VLOOKUP($A543,MAGAZZINO!$B$2:$M$4838,3,FALSE)</f>
        <v/>
      </c>
      <c r="D543" s="17">
        <f>+VLOOKUP($A543,MAGAZZINO!$B$2:$M$4838,4,FALSE)</f>
        <v/>
      </c>
      <c r="E543" s="17">
        <f>+VLOOKUP($A543,MAGAZZINO!$B$2:$M$4838,5,FALSE)</f>
        <v/>
      </c>
      <c r="F543" s="17">
        <f>+VLOOKUP($A543,MAGAZZINO!$B$2:$M$4838,6,FALSE)</f>
        <v/>
      </c>
      <c r="G543" s="17">
        <f>+VLOOKUP($A543,MAGAZZINO!$B$2:$M$4838,7,FALSE)</f>
        <v/>
      </c>
      <c r="H543" s="17">
        <f>+VLOOKUP($A543,MAGAZZINO!$B$2:$M$4838,8,FALSE)</f>
        <v/>
      </c>
      <c r="I543" s="17">
        <f>+VLOOKUP($A543,MAGAZZINO!$B$2:$M$4838,9,FALSE)</f>
        <v/>
      </c>
      <c r="J543" s="17">
        <f>+VLOOKUP($A543,MAGAZZINO!$B$2:$M$4838,10,FALSE)</f>
        <v/>
      </c>
      <c r="K543" s="17">
        <f>+VLOOKUP($A543,MAGAZZINO!$B$2:$M$4838,11,FALSE)</f>
        <v/>
      </c>
      <c r="L543" s="44">
        <f>+VLOOKUP($A543,MAGAZZINO!$B$2:$M$4838,12,FALSE)</f>
        <v/>
      </c>
    </row>
    <row r="544" ht="36" customHeight="1">
      <c r="A544" s="30">
        <f>+REGISTRO!A527</f>
        <v/>
      </c>
      <c r="B544" s="31">
        <f>+VLOOKUP($A544,MAGAZZINO!$B$2:$M$4838,2,FALSE)</f>
        <v/>
      </c>
      <c r="C544" s="32">
        <f>+VLOOKUP($A544,MAGAZZINO!$B$2:$M$4838,3,FALSE)</f>
        <v/>
      </c>
      <c r="D544" s="17">
        <f>+VLOOKUP($A544,MAGAZZINO!$B$2:$M$4838,4,FALSE)</f>
        <v/>
      </c>
      <c r="E544" s="17">
        <f>+VLOOKUP($A544,MAGAZZINO!$B$2:$M$4838,5,FALSE)</f>
        <v/>
      </c>
      <c r="F544" s="17">
        <f>+VLOOKUP($A544,MAGAZZINO!$B$2:$M$4838,6,FALSE)</f>
        <v/>
      </c>
      <c r="G544" s="17">
        <f>+VLOOKUP($A544,MAGAZZINO!$B$2:$M$4838,7,FALSE)</f>
        <v/>
      </c>
      <c r="H544" s="17">
        <f>+VLOOKUP($A544,MAGAZZINO!$B$2:$M$4838,8,FALSE)</f>
        <v/>
      </c>
      <c r="I544" s="17">
        <f>+VLOOKUP($A544,MAGAZZINO!$B$2:$M$4838,9,FALSE)</f>
        <v/>
      </c>
      <c r="J544" s="17">
        <f>+VLOOKUP($A544,MAGAZZINO!$B$2:$M$4838,10,FALSE)</f>
        <v/>
      </c>
      <c r="K544" s="17">
        <f>+VLOOKUP($A544,MAGAZZINO!$B$2:$M$4838,11,FALSE)</f>
        <v/>
      </c>
      <c r="L544" s="44">
        <f>+VLOOKUP($A544,MAGAZZINO!$B$2:$M$4838,12,FALSE)</f>
        <v/>
      </c>
    </row>
    <row r="545" ht="36" customHeight="1">
      <c r="A545" s="30">
        <f>+REGISTRO!A528</f>
        <v/>
      </c>
      <c r="B545" s="31">
        <f>+VLOOKUP($A545,MAGAZZINO!$B$2:$M$4838,2,FALSE)</f>
        <v/>
      </c>
      <c r="C545" s="32">
        <f>+VLOOKUP($A545,MAGAZZINO!$B$2:$M$4838,3,FALSE)</f>
        <v/>
      </c>
      <c r="D545" s="17">
        <f>+VLOOKUP($A545,MAGAZZINO!$B$2:$M$4838,4,FALSE)</f>
        <v/>
      </c>
      <c r="E545" s="17">
        <f>+VLOOKUP($A545,MAGAZZINO!$B$2:$M$4838,5,FALSE)</f>
        <v/>
      </c>
      <c r="F545" s="17">
        <f>+VLOOKUP($A545,MAGAZZINO!$B$2:$M$4838,6,FALSE)</f>
        <v/>
      </c>
      <c r="G545" s="17">
        <f>+VLOOKUP($A545,MAGAZZINO!$B$2:$M$4838,7,FALSE)</f>
        <v/>
      </c>
      <c r="H545" s="17">
        <f>+VLOOKUP($A545,MAGAZZINO!$B$2:$M$4838,8,FALSE)</f>
        <v/>
      </c>
      <c r="I545" s="17">
        <f>+VLOOKUP($A545,MAGAZZINO!$B$2:$M$4838,9,FALSE)</f>
        <v/>
      </c>
      <c r="J545" s="17">
        <f>+VLOOKUP($A545,MAGAZZINO!$B$2:$M$4838,10,FALSE)</f>
        <v/>
      </c>
      <c r="K545" s="17">
        <f>+VLOOKUP($A545,MAGAZZINO!$B$2:$M$4838,11,FALSE)</f>
        <v/>
      </c>
      <c r="L545" s="44">
        <f>+VLOOKUP($A545,MAGAZZINO!$B$2:$M$4838,12,FALSE)</f>
        <v/>
      </c>
    </row>
    <row r="546" ht="36" customHeight="1">
      <c r="A546" s="30">
        <f>+REGISTRO!A529</f>
        <v/>
      </c>
      <c r="B546" s="31">
        <f>+VLOOKUP($A546,MAGAZZINO!$B$2:$M$4838,2,FALSE)</f>
        <v/>
      </c>
      <c r="C546" s="32">
        <f>+VLOOKUP($A546,MAGAZZINO!$B$2:$M$4838,3,FALSE)</f>
        <v/>
      </c>
      <c r="D546" s="17">
        <f>+VLOOKUP($A546,MAGAZZINO!$B$2:$M$4838,4,FALSE)</f>
        <v/>
      </c>
      <c r="E546" s="17">
        <f>+VLOOKUP($A546,MAGAZZINO!$B$2:$M$4838,5,FALSE)</f>
        <v/>
      </c>
      <c r="F546" s="17">
        <f>+VLOOKUP($A546,MAGAZZINO!$B$2:$M$4838,6,FALSE)</f>
        <v/>
      </c>
      <c r="G546" s="17">
        <f>+VLOOKUP($A546,MAGAZZINO!$B$2:$M$4838,7,FALSE)</f>
        <v/>
      </c>
      <c r="H546" s="17">
        <f>+VLOOKUP($A546,MAGAZZINO!$B$2:$M$4838,8,FALSE)</f>
        <v/>
      </c>
      <c r="I546" s="17">
        <f>+VLOOKUP($A546,MAGAZZINO!$B$2:$M$4838,9,FALSE)</f>
        <v/>
      </c>
      <c r="J546" s="17">
        <f>+VLOOKUP($A546,MAGAZZINO!$B$2:$M$4838,10,FALSE)</f>
        <v/>
      </c>
      <c r="K546" s="17">
        <f>+VLOOKUP($A546,MAGAZZINO!$B$2:$M$4838,11,FALSE)</f>
        <v/>
      </c>
      <c r="L546" s="44">
        <f>+VLOOKUP($A546,MAGAZZINO!$B$2:$M$4838,12,FALSE)</f>
        <v/>
      </c>
    </row>
    <row r="547" ht="36" customHeight="1">
      <c r="A547" s="30">
        <f>+REGISTRO!A530</f>
        <v/>
      </c>
      <c r="B547" s="31">
        <f>+VLOOKUP($A547,MAGAZZINO!$B$2:$M$4838,2,FALSE)</f>
        <v/>
      </c>
      <c r="C547" s="32">
        <f>+VLOOKUP($A547,MAGAZZINO!$B$2:$M$4838,3,FALSE)</f>
        <v/>
      </c>
      <c r="D547" s="17">
        <f>+VLOOKUP($A547,MAGAZZINO!$B$2:$M$4838,4,FALSE)</f>
        <v/>
      </c>
      <c r="E547" s="17">
        <f>+VLOOKUP($A547,MAGAZZINO!$B$2:$M$4838,5,FALSE)</f>
        <v/>
      </c>
      <c r="F547" s="17">
        <f>+VLOOKUP($A547,MAGAZZINO!$B$2:$M$4838,6,FALSE)</f>
        <v/>
      </c>
      <c r="G547" s="17">
        <f>+VLOOKUP($A547,MAGAZZINO!$B$2:$M$4838,7,FALSE)</f>
        <v/>
      </c>
      <c r="H547" s="17">
        <f>+VLOOKUP($A547,MAGAZZINO!$B$2:$M$4838,8,FALSE)</f>
        <v/>
      </c>
      <c r="I547" s="17">
        <f>+VLOOKUP($A547,MAGAZZINO!$B$2:$M$4838,9,FALSE)</f>
        <v/>
      </c>
      <c r="J547" s="17">
        <f>+VLOOKUP($A547,MAGAZZINO!$B$2:$M$4838,10,FALSE)</f>
        <v/>
      </c>
      <c r="K547" s="17">
        <f>+VLOOKUP($A547,MAGAZZINO!$B$2:$M$4838,11,FALSE)</f>
        <v/>
      </c>
      <c r="L547" s="44">
        <f>+VLOOKUP($A547,MAGAZZINO!$B$2:$M$4838,12,FALSE)</f>
        <v/>
      </c>
    </row>
    <row r="548" ht="36" customHeight="1">
      <c r="A548" s="30">
        <f>+REGISTRO!A531</f>
        <v/>
      </c>
      <c r="B548" s="31">
        <f>+VLOOKUP($A548,MAGAZZINO!$B$2:$M$4838,2,FALSE)</f>
        <v/>
      </c>
      <c r="C548" s="32">
        <f>+VLOOKUP($A548,MAGAZZINO!$B$2:$M$4838,3,FALSE)</f>
        <v/>
      </c>
      <c r="D548" s="17">
        <f>+VLOOKUP($A548,MAGAZZINO!$B$2:$M$4838,4,FALSE)</f>
        <v/>
      </c>
      <c r="E548" s="17">
        <f>+VLOOKUP($A548,MAGAZZINO!$B$2:$M$4838,5,FALSE)</f>
        <v/>
      </c>
      <c r="F548" s="17">
        <f>+VLOOKUP($A548,MAGAZZINO!$B$2:$M$4838,6,FALSE)</f>
        <v/>
      </c>
      <c r="G548" s="17">
        <f>+VLOOKUP($A548,MAGAZZINO!$B$2:$M$4838,7,FALSE)</f>
        <v/>
      </c>
      <c r="H548" s="17">
        <f>+VLOOKUP($A548,MAGAZZINO!$B$2:$M$4838,8,FALSE)</f>
        <v/>
      </c>
      <c r="I548" s="17">
        <f>+VLOOKUP($A548,MAGAZZINO!$B$2:$M$4838,9,FALSE)</f>
        <v/>
      </c>
      <c r="J548" s="17">
        <f>+VLOOKUP($A548,MAGAZZINO!$B$2:$M$4838,10,FALSE)</f>
        <v/>
      </c>
      <c r="K548" s="17">
        <f>+VLOOKUP($A548,MAGAZZINO!$B$2:$M$4838,11,FALSE)</f>
        <v/>
      </c>
      <c r="L548" s="44">
        <f>+VLOOKUP($A548,MAGAZZINO!$B$2:$M$4838,12,FALSE)</f>
        <v/>
      </c>
    </row>
    <row r="549" ht="36" customHeight="1">
      <c r="A549" s="30">
        <f>+REGISTRO!A532</f>
        <v/>
      </c>
      <c r="B549" s="31">
        <f>+VLOOKUP($A549,MAGAZZINO!$B$2:$M$4838,2,FALSE)</f>
        <v/>
      </c>
      <c r="C549" s="32">
        <f>+VLOOKUP($A549,MAGAZZINO!$B$2:$M$4838,3,FALSE)</f>
        <v/>
      </c>
      <c r="D549" s="17">
        <f>+VLOOKUP($A549,MAGAZZINO!$B$2:$M$4838,4,FALSE)</f>
        <v/>
      </c>
      <c r="E549" s="17">
        <f>+VLOOKUP($A549,MAGAZZINO!$B$2:$M$4838,5,FALSE)</f>
        <v/>
      </c>
      <c r="F549" s="17">
        <f>+VLOOKUP($A549,MAGAZZINO!$B$2:$M$4838,6,FALSE)</f>
        <v/>
      </c>
      <c r="G549" s="17">
        <f>+VLOOKUP($A549,MAGAZZINO!$B$2:$M$4838,7,FALSE)</f>
        <v/>
      </c>
      <c r="H549" s="17">
        <f>+VLOOKUP($A549,MAGAZZINO!$B$2:$M$4838,8,FALSE)</f>
        <v/>
      </c>
      <c r="I549" s="17">
        <f>+VLOOKUP($A549,MAGAZZINO!$B$2:$M$4838,9,FALSE)</f>
        <v/>
      </c>
      <c r="J549" s="17">
        <f>+VLOOKUP($A549,MAGAZZINO!$B$2:$M$4838,10,FALSE)</f>
        <v/>
      </c>
      <c r="K549" s="17">
        <f>+VLOOKUP($A549,MAGAZZINO!$B$2:$M$4838,11,FALSE)</f>
        <v/>
      </c>
      <c r="L549" s="44">
        <f>+VLOOKUP($A549,MAGAZZINO!$B$2:$M$4838,12,FALSE)</f>
        <v/>
      </c>
    </row>
    <row r="550" ht="36" customHeight="1">
      <c r="A550" s="30">
        <f>+REGISTRO!A533</f>
        <v/>
      </c>
      <c r="B550" s="31">
        <f>+VLOOKUP($A550,MAGAZZINO!$B$2:$M$4838,2,FALSE)</f>
        <v/>
      </c>
      <c r="C550" s="32">
        <f>+VLOOKUP($A550,MAGAZZINO!$B$2:$M$4838,3,FALSE)</f>
        <v/>
      </c>
      <c r="D550" s="17">
        <f>+VLOOKUP($A550,MAGAZZINO!$B$2:$M$4838,4,FALSE)</f>
        <v/>
      </c>
      <c r="E550" s="17">
        <f>+VLOOKUP($A550,MAGAZZINO!$B$2:$M$4838,5,FALSE)</f>
        <v/>
      </c>
      <c r="F550" s="17">
        <f>+VLOOKUP($A550,MAGAZZINO!$B$2:$M$4838,6,FALSE)</f>
        <v/>
      </c>
      <c r="G550" s="17">
        <f>+VLOOKUP($A550,MAGAZZINO!$B$2:$M$4838,7,FALSE)</f>
        <v/>
      </c>
      <c r="H550" s="17">
        <f>+VLOOKUP($A550,MAGAZZINO!$B$2:$M$4838,8,FALSE)</f>
        <v/>
      </c>
      <c r="I550" s="17">
        <f>+VLOOKUP($A550,MAGAZZINO!$B$2:$M$4838,9,FALSE)</f>
        <v/>
      </c>
      <c r="J550" s="17">
        <f>+VLOOKUP($A550,MAGAZZINO!$B$2:$M$4838,10,FALSE)</f>
        <v/>
      </c>
      <c r="K550" s="17">
        <f>+VLOOKUP($A550,MAGAZZINO!$B$2:$M$4838,11,FALSE)</f>
        <v/>
      </c>
      <c r="L550" s="44">
        <f>+VLOOKUP($A550,MAGAZZINO!$B$2:$M$4838,12,FALSE)</f>
        <v/>
      </c>
    </row>
    <row r="551" ht="36" customHeight="1">
      <c r="A551" s="30">
        <f>+REGISTRO!A534</f>
        <v/>
      </c>
      <c r="B551" s="31">
        <f>+VLOOKUP($A551,MAGAZZINO!$B$2:$M$4838,2,FALSE)</f>
        <v/>
      </c>
      <c r="C551" s="32">
        <f>+VLOOKUP($A551,MAGAZZINO!$B$2:$M$4838,3,FALSE)</f>
        <v/>
      </c>
      <c r="D551" s="17">
        <f>+VLOOKUP($A551,MAGAZZINO!$B$2:$M$4838,4,FALSE)</f>
        <v/>
      </c>
      <c r="E551" s="17">
        <f>+VLOOKUP($A551,MAGAZZINO!$B$2:$M$4838,5,FALSE)</f>
        <v/>
      </c>
      <c r="F551" s="17">
        <f>+VLOOKUP($A551,MAGAZZINO!$B$2:$M$4838,6,FALSE)</f>
        <v/>
      </c>
      <c r="G551" s="17">
        <f>+VLOOKUP($A551,MAGAZZINO!$B$2:$M$4838,7,FALSE)</f>
        <v/>
      </c>
      <c r="H551" s="17">
        <f>+VLOOKUP($A551,MAGAZZINO!$B$2:$M$4838,8,FALSE)</f>
        <v/>
      </c>
      <c r="I551" s="17">
        <f>+VLOOKUP($A551,MAGAZZINO!$B$2:$M$4838,9,FALSE)</f>
        <v/>
      </c>
      <c r="J551" s="17">
        <f>+VLOOKUP($A551,MAGAZZINO!$B$2:$M$4838,10,FALSE)</f>
        <v/>
      </c>
      <c r="K551" s="17">
        <f>+VLOOKUP($A551,MAGAZZINO!$B$2:$M$4838,11,FALSE)</f>
        <v/>
      </c>
      <c r="L551" s="44">
        <f>+VLOOKUP($A551,MAGAZZINO!$B$2:$M$4838,12,FALSE)</f>
        <v/>
      </c>
    </row>
    <row r="552" ht="36" customHeight="1">
      <c r="A552" s="30">
        <f>+REGISTRO!A535</f>
        <v/>
      </c>
      <c r="B552" s="31">
        <f>+VLOOKUP($A552,MAGAZZINO!$B$2:$M$4838,2,FALSE)</f>
        <v/>
      </c>
      <c r="C552" s="32">
        <f>+VLOOKUP($A552,MAGAZZINO!$B$2:$M$4838,3,FALSE)</f>
        <v/>
      </c>
      <c r="D552" s="17">
        <f>+VLOOKUP($A552,MAGAZZINO!$B$2:$M$4838,4,FALSE)</f>
        <v/>
      </c>
      <c r="E552" s="17">
        <f>+VLOOKUP($A552,MAGAZZINO!$B$2:$M$4838,5,FALSE)</f>
        <v/>
      </c>
      <c r="F552" s="17">
        <f>+VLOOKUP($A552,MAGAZZINO!$B$2:$M$4838,6,FALSE)</f>
        <v/>
      </c>
      <c r="G552" s="17">
        <f>+VLOOKUP($A552,MAGAZZINO!$B$2:$M$4838,7,FALSE)</f>
        <v/>
      </c>
      <c r="H552" s="17">
        <f>+VLOOKUP($A552,MAGAZZINO!$B$2:$M$4838,8,FALSE)</f>
        <v/>
      </c>
      <c r="I552" s="17">
        <f>+VLOOKUP($A552,MAGAZZINO!$B$2:$M$4838,9,FALSE)</f>
        <v/>
      </c>
      <c r="J552" s="17">
        <f>+VLOOKUP($A552,MAGAZZINO!$B$2:$M$4838,10,FALSE)</f>
        <v/>
      </c>
      <c r="K552" s="17">
        <f>+VLOOKUP($A552,MAGAZZINO!$B$2:$M$4838,11,FALSE)</f>
        <v/>
      </c>
      <c r="L552" s="44">
        <f>+VLOOKUP($A552,MAGAZZINO!$B$2:$M$4838,12,FALSE)</f>
        <v/>
      </c>
    </row>
    <row r="553" ht="36" customHeight="1">
      <c r="A553" s="30">
        <f>+REGISTRO!A536</f>
        <v/>
      </c>
      <c r="B553" s="31">
        <f>+VLOOKUP($A553,MAGAZZINO!$B$2:$M$4838,2,FALSE)</f>
        <v/>
      </c>
      <c r="C553" s="32">
        <f>+VLOOKUP($A553,MAGAZZINO!$B$2:$M$4838,3,FALSE)</f>
        <v/>
      </c>
      <c r="D553" s="17">
        <f>+VLOOKUP($A553,MAGAZZINO!$B$2:$M$4838,4,FALSE)</f>
        <v/>
      </c>
      <c r="E553" s="17">
        <f>+VLOOKUP($A553,MAGAZZINO!$B$2:$M$4838,5,FALSE)</f>
        <v/>
      </c>
      <c r="F553" s="17">
        <f>+VLOOKUP($A553,MAGAZZINO!$B$2:$M$4838,6,FALSE)</f>
        <v/>
      </c>
      <c r="G553" s="17">
        <f>+VLOOKUP($A553,MAGAZZINO!$B$2:$M$4838,7,FALSE)</f>
        <v/>
      </c>
      <c r="H553" s="17">
        <f>+VLOOKUP($A553,MAGAZZINO!$B$2:$M$4838,8,FALSE)</f>
        <v/>
      </c>
      <c r="I553" s="17">
        <f>+VLOOKUP($A553,MAGAZZINO!$B$2:$M$4838,9,FALSE)</f>
        <v/>
      </c>
      <c r="J553" s="17">
        <f>+VLOOKUP($A553,MAGAZZINO!$B$2:$M$4838,10,FALSE)</f>
        <v/>
      </c>
      <c r="K553" s="17">
        <f>+VLOOKUP($A553,MAGAZZINO!$B$2:$M$4838,11,FALSE)</f>
        <v/>
      </c>
      <c r="L553" s="44">
        <f>+VLOOKUP($A553,MAGAZZINO!$B$2:$M$4838,12,FALSE)</f>
        <v/>
      </c>
    </row>
    <row r="554" ht="36" customHeight="1">
      <c r="A554" s="30">
        <f>+REGISTRO!A537</f>
        <v/>
      </c>
      <c r="B554" s="31">
        <f>+VLOOKUP($A554,MAGAZZINO!$B$2:$M$4838,2,FALSE)</f>
        <v/>
      </c>
      <c r="C554" s="32">
        <f>+VLOOKUP($A554,MAGAZZINO!$B$2:$M$4838,3,FALSE)</f>
        <v/>
      </c>
      <c r="D554" s="17">
        <f>+VLOOKUP($A554,MAGAZZINO!$B$2:$M$4838,4,FALSE)</f>
        <v/>
      </c>
      <c r="E554" s="17">
        <f>+VLOOKUP($A554,MAGAZZINO!$B$2:$M$4838,5,FALSE)</f>
        <v/>
      </c>
      <c r="F554" s="17">
        <f>+VLOOKUP($A554,MAGAZZINO!$B$2:$M$4838,6,FALSE)</f>
        <v/>
      </c>
      <c r="G554" s="17">
        <f>+VLOOKUP($A554,MAGAZZINO!$B$2:$M$4838,7,FALSE)</f>
        <v/>
      </c>
      <c r="H554" s="17">
        <f>+VLOOKUP($A554,MAGAZZINO!$B$2:$M$4838,8,FALSE)</f>
        <v/>
      </c>
      <c r="I554" s="17">
        <f>+VLOOKUP($A554,MAGAZZINO!$B$2:$M$4838,9,FALSE)</f>
        <v/>
      </c>
      <c r="J554" s="17">
        <f>+VLOOKUP($A554,MAGAZZINO!$B$2:$M$4838,10,FALSE)</f>
        <v/>
      </c>
      <c r="K554" s="17">
        <f>+VLOOKUP($A554,MAGAZZINO!$B$2:$M$4838,11,FALSE)</f>
        <v/>
      </c>
      <c r="L554" s="44">
        <f>+VLOOKUP($A554,MAGAZZINO!$B$2:$M$4838,12,FALSE)</f>
        <v/>
      </c>
    </row>
    <row r="555" ht="36" customHeight="1">
      <c r="A555" s="30">
        <f>+REGISTRO!A538</f>
        <v/>
      </c>
      <c r="B555" s="31">
        <f>+VLOOKUP($A555,MAGAZZINO!$B$2:$M$4838,2,FALSE)</f>
        <v/>
      </c>
      <c r="C555" s="32">
        <f>+VLOOKUP($A555,MAGAZZINO!$B$2:$M$4838,3,FALSE)</f>
        <v/>
      </c>
      <c r="D555" s="17">
        <f>+VLOOKUP($A555,MAGAZZINO!$B$2:$M$4838,4,FALSE)</f>
        <v/>
      </c>
      <c r="E555" s="17">
        <f>+VLOOKUP($A555,MAGAZZINO!$B$2:$M$4838,5,FALSE)</f>
        <v/>
      </c>
      <c r="F555" s="17">
        <f>+VLOOKUP($A555,MAGAZZINO!$B$2:$M$4838,6,FALSE)</f>
        <v/>
      </c>
      <c r="G555" s="17">
        <f>+VLOOKUP($A555,MAGAZZINO!$B$2:$M$4838,7,FALSE)</f>
        <v/>
      </c>
      <c r="H555" s="17">
        <f>+VLOOKUP($A555,MAGAZZINO!$B$2:$M$4838,8,FALSE)</f>
        <v/>
      </c>
      <c r="I555" s="17">
        <f>+VLOOKUP($A555,MAGAZZINO!$B$2:$M$4838,9,FALSE)</f>
        <v/>
      </c>
      <c r="J555" s="17">
        <f>+VLOOKUP($A555,MAGAZZINO!$B$2:$M$4838,10,FALSE)</f>
        <v/>
      </c>
      <c r="K555" s="17">
        <f>+VLOOKUP($A555,MAGAZZINO!$B$2:$M$4838,11,FALSE)</f>
        <v/>
      </c>
      <c r="L555" s="44">
        <f>+VLOOKUP($A555,MAGAZZINO!$B$2:$M$4838,12,FALSE)</f>
        <v/>
      </c>
    </row>
    <row r="556" ht="36" customHeight="1">
      <c r="A556" s="30">
        <f>+REGISTRO!A539</f>
        <v/>
      </c>
      <c r="B556" s="31">
        <f>+VLOOKUP($A556,MAGAZZINO!$B$2:$M$4838,2,FALSE)</f>
        <v/>
      </c>
      <c r="C556" s="32">
        <f>+VLOOKUP($A556,MAGAZZINO!$B$2:$M$4838,3,FALSE)</f>
        <v/>
      </c>
      <c r="D556" s="17">
        <f>+VLOOKUP($A556,MAGAZZINO!$B$2:$M$4838,4,FALSE)</f>
        <v/>
      </c>
      <c r="E556" s="17">
        <f>+VLOOKUP($A556,MAGAZZINO!$B$2:$M$4838,5,FALSE)</f>
        <v/>
      </c>
      <c r="F556" s="17">
        <f>+VLOOKUP($A556,MAGAZZINO!$B$2:$M$4838,6,FALSE)</f>
        <v/>
      </c>
      <c r="G556" s="17">
        <f>+VLOOKUP($A556,MAGAZZINO!$B$2:$M$4838,7,FALSE)</f>
        <v/>
      </c>
      <c r="H556" s="17">
        <f>+VLOOKUP($A556,MAGAZZINO!$B$2:$M$4838,8,FALSE)</f>
        <v/>
      </c>
      <c r="I556" s="17">
        <f>+VLOOKUP($A556,MAGAZZINO!$B$2:$M$4838,9,FALSE)</f>
        <v/>
      </c>
      <c r="J556" s="17">
        <f>+VLOOKUP($A556,MAGAZZINO!$B$2:$M$4838,10,FALSE)</f>
        <v/>
      </c>
      <c r="K556" s="17">
        <f>+VLOOKUP($A556,MAGAZZINO!$B$2:$M$4838,11,FALSE)</f>
        <v/>
      </c>
      <c r="L556" s="44">
        <f>+VLOOKUP($A556,MAGAZZINO!$B$2:$M$4838,12,FALSE)</f>
        <v/>
      </c>
    </row>
    <row r="557" ht="36" customHeight="1">
      <c r="A557" s="30">
        <f>+REGISTRO!A540</f>
        <v/>
      </c>
      <c r="B557" s="31">
        <f>+VLOOKUP($A557,MAGAZZINO!$B$2:$M$4838,2,FALSE)</f>
        <v/>
      </c>
      <c r="C557" s="32">
        <f>+VLOOKUP($A557,MAGAZZINO!$B$2:$M$4838,3,FALSE)</f>
        <v/>
      </c>
      <c r="D557" s="17">
        <f>+VLOOKUP($A557,MAGAZZINO!$B$2:$M$4838,4,FALSE)</f>
        <v/>
      </c>
      <c r="E557" s="17">
        <f>+VLOOKUP($A557,MAGAZZINO!$B$2:$M$4838,5,FALSE)</f>
        <v/>
      </c>
      <c r="F557" s="17">
        <f>+VLOOKUP($A557,MAGAZZINO!$B$2:$M$4838,6,FALSE)</f>
        <v/>
      </c>
      <c r="G557" s="17">
        <f>+VLOOKUP($A557,MAGAZZINO!$B$2:$M$4838,7,FALSE)</f>
        <v/>
      </c>
      <c r="H557" s="17">
        <f>+VLOOKUP($A557,MAGAZZINO!$B$2:$M$4838,8,FALSE)</f>
        <v/>
      </c>
      <c r="I557" s="17">
        <f>+VLOOKUP($A557,MAGAZZINO!$B$2:$M$4838,9,FALSE)</f>
        <v/>
      </c>
      <c r="J557" s="17">
        <f>+VLOOKUP($A557,MAGAZZINO!$B$2:$M$4838,10,FALSE)</f>
        <v/>
      </c>
      <c r="K557" s="17">
        <f>+VLOOKUP($A557,MAGAZZINO!$B$2:$M$4838,11,FALSE)</f>
        <v/>
      </c>
      <c r="L557" s="44">
        <f>+VLOOKUP($A557,MAGAZZINO!$B$2:$M$4838,12,FALSE)</f>
        <v/>
      </c>
    </row>
    <row r="558" ht="36" customHeight="1">
      <c r="A558" s="30">
        <f>+REGISTRO!A541</f>
        <v/>
      </c>
      <c r="B558" s="31">
        <f>+VLOOKUP($A558,MAGAZZINO!$B$2:$M$4838,2,FALSE)</f>
        <v/>
      </c>
      <c r="C558" s="32">
        <f>+VLOOKUP($A558,MAGAZZINO!$B$2:$M$4838,3,FALSE)</f>
        <v/>
      </c>
      <c r="D558" s="17">
        <f>+VLOOKUP($A558,MAGAZZINO!$B$2:$M$4838,4,FALSE)</f>
        <v/>
      </c>
      <c r="E558" s="17">
        <f>+VLOOKUP($A558,MAGAZZINO!$B$2:$M$4838,5,FALSE)</f>
        <v/>
      </c>
      <c r="F558" s="17">
        <f>+VLOOKUP($A558,MAGAZZINO!$B$2:$M$4838,6,FALSE)</f>
        <v/>
      </c>
      <c r="G558" s="17">
        <f>+VLOOKUP($A558,MAGAZZINO!$B$2:$M$4838,7,FALSE)</f>
        <v/>
      </c>
      <c r="H558" s="17">
        <f>+VLOOKUP($A558,MAGAZZINO!$B$2:$M$4838,8,FALSE)</f>
        <v/>
      </c>
      <c r="I558" s="17">
        <f>+VLOOKUP($A558,MAGAZZINO!$B$2:$M$4838,9,FALSE)</f>
        <v/>
      </c>
      <c r="J558" s="17">
        <f>+VLOOKUP($A558,MAGAZZINO!$B$2:$M$4838,10,FALSE)</f>
        <v/>
      </c>
      <c r="K558" s="17">
        <f>+VLOOKUP($A558,MAGAZZINO!$B$2:$M$4838,11,FALSE)</f>
        <v/>
      </c>
      <c r="L558" s="44">
        <f>+VLOOKUP($A558,MAGAZZINO!$B$2:$M$4838,12,FALSE)</f>
        <v/>
      </c>
    </row>
    <row r="559" ht="36" customHeight="1">
      <c r="A559" s="30">
        <f>+REGISTRO!A542</f>
        <v/>
      </c>
      <c r="B559" s="31">
        <f>+VLOOKUP($A559,MAGAZZINO!$B$2:$M$4838,2,FALSE)</f>
        <v/>
      </c>
      <c r="C559" s="32">
        <f>+VLOOKUP($A559,MAGAZZINO!$B$2:$M$4838,3,FALSE)</f>
        <v/>
      </c>
      <c r="D559" s="17">
        <f>+VLOOKUP($A559,MAGAZZINO!$B$2:$M$4838,4,FALSE)</f>
        <v/>
      </c>
      <c r="E559" s="17">
        <f>+VLOOKUP($A559,MAGAZZINO!$B$2:$M$4838,5,FALSE)</f>
        <v/>
      </c>
      <c r="F559" s="17">
        <f>+VLOOKUP($A559,MAGAZZINO!$B$2:$M$4838,6,FALSE)</f>
        <v/>
      </c>
      <c r="G559" s="17">
        <f>+VLOOKUP($A559,MAGAZZINO!$B$2:$M$4838,7,FALSE)</f>
        <v/>
      </c>
      <c r="H559" s="17">
        <f>+VLOOKUP($A559,MAGAZZINO!$B$2:$M$4838,8,FALSE)</f>
        <v/>
      </c>
      <c r="I559" s="17">
        <f>+VLOOKUP($A559,MAGAZZINO!$B$2:$M$4838,9,FALSE)</f>
        <v/>
      </c>
      <c r="J559" s="17">
        <f>+VLOOKUP($A559,MAGAZZINO!$B$2:$M$4838,10,FALSE)</f>
        <v/>
      </c>
      <c r="K559" s="17">
        <f>+VLOOKUP($A559,MAGAZZINO!$B$2:$M$4838,11,FALSE)</f>
        <v/>
      </c>
      <c r="L559" s="44">
        <f>+VLOOKUP($A559,MAGAZZINO!$B$2:$M$4838,12,FALSE)</f>
        <v/>
      </c>
    </row>
    <row r="560" ht="36" customHeight="1">
      <c r="A560" s="30">
        <f>+REGISTRO!A543</f>
        <v/>
      </c>
      <c r="B560" s="31">
        <f>+VLOOKUP($A560,MAGAZZINO!$B$2:$M$4838,2,FALSE)</f>
        <v/>
      </c>
      <c r="C560" s="32">
        <f>+VLOOKUP($A560,MAGAZZINO!$B$2:$M$4838,3,FALSE)</f>
        <v/>
      </c>
      <c r="D560" s="17">
        <f>+VLOOKUP($A560,MAGAZZINO!$B$2:$M$4838,4,FALSE)</f>
        <v/>
      </c>
      <c r="E560" s="17">
        <f>+VLOOKUP($A560,MAGAZZINO!$B$2:$M$4838,5,FALSE)</f>
        <v/>
      </c>
      <c r="F560" s="17">
        <f>+VLOOKUP($A560,MAGAZZINO!$B$2:$M$4838,6,FALSE)</f>
        <v/>
      </c>
      <c r="G560" s="17">
        <f>+VLOOKUP($A560,MAGAZZINO!$B$2:$M$4838,7,FALSE)</f>
        <v/>
      </c>
      <c r="H560" s="17">
        <f>+VLOOKUP($A560,MAGAZZINO!$B$2:$M$4838,8,FALSE)</f>
        <v/>
      </c>
      <c r="I560" s="17">
        <f>+VLOOKUP($A560,MAGAZZINO!$B$2:$M$4838,9,FALSE)</f>
        <v/>
      </c>
      <c r="J560" s="17">
        <f>+VLOOKUP($A560,MAGAZZINO!$B$2:$M$4838,10,FALSE)</f>
        <v/>
      </c>
      <c r="K560" s="17">
        <f>+VLOOKUP($A560,MAGAZZINO!$B$2:$M$4838,11,FALSE)</f>
        <v/>
      </c>
      <c r="L560" s="44">
        <f>+VLOOKUP($A560,MAGAZZINO!$B$2:$M$4838,12,FALSE)</f>
        <v/>
      </c>
    </row>
    <row r="561" ht="36" customHeight="1">
      <c r="A561" s="30">
        <f>+REGISTRO!A544</f>
        <v/>
      </c>
      <c r="B561" s="31">
        <f>+VLOOKUP($A561,MAGAZZINO!$B$2:$M$4838,2,FALSE)</f>
        <v/>
      </c>
      <c r="C561" s="32">
        <f>+VLOOKUP($A561,MAGAZZINO!$B$2:$M$4838,3,FALSE)</f>
        <v/>
      </c>
      <c r="D561" s="17">
        <f>+VLOOKUP($A561,MAGAZZINO!$B$2:$M$4838,4,FALSE)</f>
        <v/>
      </c>
      <c r="E561" s="17">
        <f>+VLOOKUP($A561,MAGAZZINO!$B$2:$M$4838,5,FALSE)</f>
        <v/>
      </c>
      <c r="F561" s="17">
        <f>+VLOOKUP($A561,MAGAZZINO!$B$2:$M$4838,6,FALSE)</f>
        <v/>
      </c>
      <c r="G561" s="17">
        <f>+VLOOKUP($A561,MAGAZZINO!$B$2:$M$4838,7,FALSE)</f>
        <v/>
      </c>
      <c r="H561" s="17">
        <f>+VLOOKUP($A561,MAGAZZINO!$B$2:$M$4838,8,FALSE)</f>
        <v/>
      </c>
      <c r="I561" s="17">
        <f>+VLOOKUP($A561,MAGAZZINO!$B$2:$M$4838,9,FALSE)</f>
        <v/>
      </c>
      <c r="J561" s="17">
        <f>+VLOOKUP($A561,MAGAZZINO!$B$2:$M$4838,10,FALSE)</f>
        <v/>
      </c>
      <c r="K561" s="17">
        <f>+VLOOKUP($A561,MAGAZZINO!$B$2:$M$4838,11,FALSE)</f>
        <v/>
      </c>
      <c r="L561" s="44">
        <f>+VLOOKUP($A561,MAGAZZINO!$B$2:$M$4838,12,FALSE)</f>
        <v/>
      </c>
    </row>
    <row r="562" ht="36" customHeight="1">
      <c r="A562" s="30">
        <f>+REGISTRO!A545</f>
        <v/>
      </c>
      <c r="B562" s="31">
        <f>+VLOOKUP($A562,MAGAZZINO!$B$2:$M$4838,2,FALSE)</f>
        <v/>
      </c>
      <c r="C562" s="32">
        <f>+VLOOKUP($A562,MAGAZZINO!$B$2:$M$4838,3,FALSE)</f>
        <v/>
      </c>
      <c r="D562" s="17">
        <f>+VLOOKUP($A562,MAGAZZINO!$B$2:$M$4838,4,FALSE)</f>
        <v/>
      </c>
      <c r="E562" s="17">
        <f>+VLOOKUP($A562,MAGAZZINO!$B$2:$M$4838,5,FALSE)</f>
        <v/>
      </c>
      <c r="F562" s="17">
        <f>+VLOOKUP($A562,MAGAZZINO!$B$2:$M$4838,6,FALSE)</f>
        <v/>
      </c>
      <c r="G562" s="17">
        <f>+VLOOKUP($A562,MAGAZZINO!$B$2:$M$4838,7,FALSE)</f>
        <v/>
      </c>
      <c r="H562" s="17">
        <f>+VLOOKUP($A562,MAGAZZINO!$B$2:$M$4838,8,FALSE)</f>
        <v/>
      </c>
      <c r="I562" s="17">
        <f>+VLOOKUP($A562,MAGAZZINO!$B$2:$M$4838,9,FALSE)</f>
        <v/>
      </c>
      <c r="J562" s="17">
        <f>+VLOOKUP($A562,MAGAZZINO!$B$2:$M$4838,10,FALSE)</f>
        <v/>
      </c>
      <c r="K562" s="17">
        <f>+VLOOKUP($A562,MAGAZZINO!$B$2:$M$4838,11,FALSE)</f>
        <v/>
      </c>
      <c r="L562" s="44">
        <f>+VLOOKUP($A562,MAGAZZINO!$B$2:$M$4838,12,FALSE)</f>
        <v/>
      </c>
    </row>
    <row r="563" ht="36" customHeight="1">
      <c r="A563" s="30">
        <f>+REGISTRO!A546</f>
        <v/>
      </c>
      <c r="B563" s="31">
        <f>+VLOOKUP($A563,MAGAZZINO!$B$2:$M$4838,2,FALSE)</f>
        <v/>
      </c>
      <c r="C563" s="32">
        <f>+VLOOKUP($A563,MAGAZZINO!$B$2:$M$4838,3,FALSE)</f>
        <v/>
      </c>
      <c r="D563" s="17">
        <f>+VLOOKUP($A563,MAGAZZINO!$B$2:$M$4838,4,FALSE)</f>
        <v/>
      </c>
      <c r="E563" s="17">
        <f>+VLOOKUP($A563,MAGAZZINO!$B$2:$M$4838,5,FALSE)</f>
        <v/>
      </c>
      <c r="F563" s="17">
        <f>+VLOOKUP($A563,MAGAZZINO!$B$2:$M$4838,6,FALSE)</f>
        <v/>
      </c>
      <c r="G563" s="17">
        <f>+VLOOKUP($A563,MAGAZZINO!$B$2:$M$4838,7,FALSE)</f>
        <v/>
      </c>
      <c r="H563" s="17">
        <f>+VLOOKUP($A563,MAGAZZINO!$B$2:$M$4838,8,FALSE)</f>
        <v/>
      </c>
      <c r="I563" s="17">
        <f>+VLOOKUP($A563,MAGAZZINO!$B$2:$M$4838,9,FALSE)</f>
        <v/>
      </c>
      <c r="J563" s="17">
        <f>+VLOOKUP($A563,MAGAZZINO!$B$2:$M$4838,10,FALSE)</f>
        <v/>
      </c>
      <c r="K563" s="17">
        <f>+VLOOKUP($A563,MAGAZZINO!$B$2:$M$4838,11,FALSE)</f>
        <v/>
      </c>
      <c r="L563" s="44">
        <f>+VLOOKUP($A563,MAGAZZINO!$B$2:$M$4838,12,FALSE)</f>
        <v/>
      </c>
    </row>
    <row r="564" ht="36" customHeight="1">
      <c r="A564" s="30">
        <f>+REGISTRO!A547</f>
        <v/>
      </c>
      <c r="B564" s="31">
        <f>+VLOOKUP($A564,MAGAZZINO!$B$2:$M$4838,2,FALSE)</f>
        <v/>
      </c>
      <c r="C564" s="32">
        <f>+VLOOKUP($A564,MAGAZZINO!$B$2:$M$4838,3,FALSE)</f>
        <v/>
      </c>
      <c r="D564" s="17">
        <f>+VLOOKUP($A564,MAGAZZINO!$B$2:$M$4838,4,FALSE)</f>
        <v/>
      </c>
      <c r="E564" s="17">
        <f>+VLOOKUP($A564,MAGAZZINO!$B$2:$M$4838,5,FALSE)</f>
        <v/>
      </c>
      <c r="F564" s="17">
        <f>+VLOOKUP($A564,MAGAZZINO!$B$2:$M$4838,6,FALSE)</f>
        <v/>
      </c>
      <c r="G564" s="17">
        <f>+VLOOKUP($A564,MAGAZZINO!$B$2:$M$4838,7,FALSE)</f>
        <v/>
      </c>
      <c r="H564" s="17">
        <f>+VLOOKUP($A564,MAGAZZINO!$B$2:$M$4838,8,FALSE)</f>
        <v/>
      </c>
      <c r="I564" s="17">
        <f>+VLOOKUP($A564,MAGAZZINO!$B$2:$M$4838,9,FALSE)</f>
        <v/>
      </c>
      <c r="J564" s="17">
        <f>+VLOOKUP($A564,MAGAZZINO!$B$2:$M$4838,10,FALSE)</f>
        <v/>
      </c>
      <c r="K564" s="17">
        <f>+VLOOKUP($A564,MAGAZZINO!$B$2:$M$4838,11,FALSE)</f>
        <v/>
      </c>
      <c r="L564" s="44">
        <f>+VLOOKUP($A564,MAGAZZINO!$B$2:$M$4838,12,FALSE)</f>
        <v/>
      </c>
    </row>
    <row r="565" ht="36" customHeight="1">
      <c r="A565" s="30">
        <f>+REGISTRO!A548</f>
        <v/>
      </c>
      <c r="B565" s="31">
        <f>+VLOOKUP($A565,MAGAZZINO!$B$2:$M$4838,2,FALSE)</f>
        <v/>
      </c>
      <c r="C565" s="32">
        <f>+VLOOKUP($A565,MAGAZZINO!$B$2:$M$4838,3,FALSE)</f>
        <v/>
      </c>
      <c r="D565" s="17">
        <f>+VLOOKUP($A565,MAGAZZINO!$B$2:$M$4838,4,FALSE)</f>
        <v/>
      </c>
      <c r="E565" s="17">
        <f>+VLOOKUP($A565,MAGAZZINO!$B$2:$M$4838,5,FALSE)</f>
        <v/>
      </c>
      <c r="F565" s="17">
        <f>+VLOOKUP($A565,MAGAZZINO!$B$2:$M$4838,6,FALSE)</f>
        <v/>
      </c>
      <c r="G565" s="17">
        <f>+VLOOKUP($A565,MAGAZZINO!$B$2:$M$4838,7,FALSE)</f>
        <v/>
      </c>
      <c r="H565" s="17">
        <f>+VLOOKUP($A565,MAGAZZINO!$B$2:$M$4838,8,FALSE)</f>
        <v/>
      </c>
      <c r="I565" s="17">
        <f>+VLOOKUP($A565,MAGAZZINO!$B$2:$M$4838,9,FALSE)</f>
        <v/>
      </c>
      <c r="J565" s="17">
        <f>+VLOOKUP($A565,MAGAZZINO!$B$2:$M$4838,10,FALSE)</f>
        <v/>
      </c>
      <c r="K565" s="17">
        <f>+VLOOKUP($A565,MAGAZZINO!$B$2:$M$4838,11,FALSE)</f>
        <v/>
      </c>
      <c r="L565" s="44">
        <f>+VLOOKUP($A565,MAGAZZINO!$B$2:$M$4838,12,FALSE)</f>
        <v/>
      </c>
    </row>
    <row r="566" ht="36" customHeight="1">
      <c r="A566" s="30">
        <f>+REGISTRO!A549</f>
        <v/>
      </c>
      <c r="B566" s="31">
        <f>+VLOOKUP($A566,MAGAZZINO!$B$2:$M$4838,2,FALSE)</f>
        <v/>
      </c>
      <c r="C566" s="32">
        <f>+VLOOKUP($A566,MAGAZZINO!$B$2:$M$4838,3,FALSE)</f>
        <v/>
      </c>
      <c r="D566" s="17">
        <f>+VLOOKUP($A566,MAGAZZINO!$B$2:$M$4838,4,FALSE)</f>
        <v/>
      </c>
      <c r="E566" s="17">
        <f>+VLOOKUP($A566,MAGAZZINO!$B$2:$M$4838,5,FALSE)</f>
        <v/>
      </c>
      <c r="F566" s="17">
        <f>+VLOOKUP($A566,MAGAZZINO!$B$2:$M$4838,6,FALSE)</f>
        <v/>
      </c>
      <c r="G566" s="17">
        <f>+VLOOKUP($A566,MAGAZZINO!$B$2:$M$4838,7,FALSE)</f>
        <v/>
      </c>
      <c r="H566" s="17">
        <f>+VLOOKUP($A566,MAGAZZINO!$B$2:$M$4838,8,FALSE)</f>
        <v/>
      </c>
      <c r="I566" s="17">
        <f>+VLOOKUP($A566,MAGAZZINO!$B$2:$M$4838,9,FALSE)</f>
        <v/>
      </c>
      <c r="J566" s="17">
        <f>+VLOOKUP($A566,MAGAZZINO!$B$2:$M$4838,10,FALSE)</f>
        <v/>
      </c>
      <c r="K566" s="17">
        <f>+VLOOKUP($A566,MAGAZZINO!$B$2:$M$4838,11,FALSE)</f>
        <v/>
      </c>
      <c r="L566" s="44">
        <f>+VLOOKUP($A566,MAGAZZINO!$B$2:$M$4838,12,FALSE)</f>
        <v/>
      </c>
    </row>
    <row r="567" ht="36" customHeight="1">
      <c r="A567" s="30">
        <f>+REGISTRO!A550</f>
        <v/>
      </c>
      <c r="B567" s="31">
        <f>+VLOOKUP($A567,MAGAZZINO!$B$2:$M$4838,2,FALSE)</f>
        <v/>
      </c>
      <c r="C567" s="32">
        <f>+VLOOKUP($A567,MAGAZZINO!$B$2:$M$4838,3,FALSE)</f>
        <v/>
      </c>
      <c r="D567" s="17">
        <f>+VLOOKUP($A567,MAGAZZINO!$B$2:$M$4838,4,FALSE)</f>
        <v/>
      </c>
      <c r="E567" s="17">
        <f>+VLOOKUP($A567,MAGAZZINO!$B$2:$M$4838,5,FALSE)</f>
        <v/>
      </c>
      <c r="F567" s="17">
        <f>+VLOOKUP($A567,MAGAZZINO!$B$2:$M$4838,6,FALSE)</f>
        <v/>
      </c>
      <c r="G567" s="17">
        <f>+VLOOKUP($A567,MAGAZZINO!$B$2:$M$4838,7,FALSE)</f>
        <v/>
      </c>
      <c r="H567" s="17">
        <f>+VLOOKUP($A567,MAGAZZINO!$B$2:$M$4838,8,FALSE)</f>
        <v/>
      </c>
      <c r="I567" s="17">
        <f>+VLOOKUP($A567,MAGAZZINO!$B$2:$M$4838,9,FALSE)</f>
        <v/>
      </c>
      <c r="J567" s="17">
        <f>+VLOOKUP($A567,MAGAZZINO!$B$2:$M$4838,10,FALSE)</f>
        <v/>
      </c>
      <c r="K567" s="17">
        <f>+VLOOKUP($A567,MAGAZZINO!$B$2:$M$4838,11,FALSE)</f>
        <v/>
      </c>
      <c r="L567" s="44">
        <f>+VLOOKUP($A567,MAGAZZINO!$B$2:$M$4838,12,FALSE)</f>
        <v/>
      </c>
    </row>
    <row r="568" ht="36" customHeight="1">
      <c r="A568" s="30">
        <f>+REGISTRO!A551</f>
        <v/>
      </c>
      <c r="B568" s="31">
        <f>+VLOOKUP($A568,MAGAZZINO!$B$2:$M$4838,2,FALSE)</f>
        <v/>
      </c>
      <c r="C568" s="32">
        <f>+VLOOKUP($A568,MAGAZZINO!$B$2:$M$4838,3,FALSE)</f>
        <v/>
      </c>
      <c r="D568" s="17">
        <f>+VLOOKUP($A568,MAGAZZINO!$B$2:$M$4838,4,FALSE)</f>
        <v/>
      </c>
      <c r="E568" s="17">
        <f>+VLOOKUP($A568,MAGAZZINO!$B$2:$M$4838,5,FALSE)</f>
        <v/>
      </c>
      <c r="F568" s="17">
        <f>+VLOOKUP($A568,MAGAZZINO!$B$2:$M$4838,6,FALSE)</f>
        <v/>
      </c>
      <c r="G568" s="17">
        <f>+VLOOKUP($A568,MAGAZZINO!$B$2:$M$4838,7,FALSE)</f>
        <v/>
      </c>
      <c r="H568" s="17">
        <f>+VLOOKUP($A568,MAGAZZINO!$B$2:$M$4838,8,FALSE)</f>
        <v/>
      </c>
      <c r="I568" s="17">
        <f>+VLOOKUP($A568,MAGAZZINO!$B$2:$M$4838,9,FALSE)</f>
        <v/>
      </c>
      <c r="J568" s="17">
        <f>+VLOOKUP($A568,MAGAZZINO!$B$2:$M$4838,10,FALSE)</f>
        <v/>
      </c>
      <c r="K568" s="17">
        <f>+VLOOKUP($A568,MAGAZZINO!$B$2:$M$4838,11,FALSE)</f>
        <v/>
      </c>
      <c r="L568" s="44">
        <f>+VLOOKUP($A568,MAGAZZINO!$B$2:$M$4838,12,FALSE)</f>
        <v/>
      </c>
    </row>
    <row r="569" ht="36" customHeight="1">
      <c r="A569" s="30">
        <f>+REGISTRO!A552</f>
        <v/>
      </c>
      <c r="B569" s="31">
        <f>+VLOOKUP($A569,MAGAZZINO!$B$2:$M$4838,2,FALSE)</f>
        <v/>
      </c>
      <c r="C569" s="32">
        <f>+VLOOKUP($A569,MAGAZZINO!$B$2:$M$4838,3,FALSE)</f>
        <v/>
      </c>
      <c r="D569" s="17">
        <f>+VLOOKUP($A569,MAGAZZINO!$B$2:$M$4838,4,FALSE)</f>
        <v/>
      </c>
      <c r="E569" s="17">
        <f>+VLOOKUP($A569,MAGAZZINO!$B$2:$M$4838,5,FALSE)</f>
        <v/>
      </c>
      <c r="F569" s="17">
        <f>+VLOOKUP($A569,MAGAZZINO!$B$2:$M$4838,6,FALSE)</f>
        <v/>
      </c>
      <c r="G569" s="17">
        <f>+VLOOKUP($A569,MAGAZZINO!$B$2:$M$4838,7,FALSE)</f>
        <v/>
      </c>
      <c r="H569" s="17">
        <f>+VLOOKUP($A569,MAGAZZINO!$B$2:$M$4838,8,FALSE)</f>
        <v/>
      </c>
      <c r="I569" s="17">
        <f>+VLOOKUP($A569,MAGAZZINO!$B$2:$M$4838,9,FALSE)</f>
        <v/>
      </c>
      <c r="J569" s="17">
        <f>+VLOOKUP($A569,MAGAZZINO!$B$2:$M$4838,10,FALSE)</f>
        <v/>
      </c>
      <c r="K569" s="17">
        <f>+VLOOKUP($A569,MAGAZZINO!$B$2:$M$4838,11,FALSE)</f>
        <v/>
      </c>
      <c r="L569" s="44">
        <f>+VLOOKUP($A569,MAGAZZINO!$B$2:$M$4838,12,FALSE)</f>
        <v/>
      </c>
    </row>
    <row r="570" ht="36" customHeight="1">
      <c r="A570" s="30">
        <f>+REGISTRO!A553</f>
        <v/>
      </c>
      <c r="B570" s="31">
        <f>+VLOOKUP($A570,MAGAZZINO!$B$2:$M$4838,2,FALSE)</f>
        <v/>
      </c>
      <c r="C570" s="32">
        <f>+VLOOKUP($A570,MAGAZZINO!$B$2:$M$4838,3,FALSE)</f>
        <v/>
      </c>
      <c r="D570" s="17">
        <f>+VLOOKUP($A570,MAGAZZINO!$B$2:$M$4838,4,FALSE)</f>
        <v/>
      </c>
      <c r="E570" s="17">
        <f>+VLOOKUP($A570,MAGAZZINO!$B$2:$M$4838,5,FALSE)</f>
        <v/>
      </c>
      <c r="F570" s="17">
        <f>+VLOOKUP($A570,MAGAZZINO!$B$2:$M$4838,6,FALSE)</f>
        <v/>
      </c>
      <c r="G570" s="17">
        <f>+VLOOKUP($A570,MAGAZZINO!$B$2:$M$4838,7,FALSE)</f>
        <v/>
      </c>
      <c r="H570" s="17">
        <f>+VLOOKUP($A570,MAGAZZINO!$B$2:$M$4838,8,FALSE)</f>
        <v/>
      </c>
      <c r="I570" s="17">
        <f>+VLOOKUP($A570,MAGAZZINO!$B$2:$M$4838,9,FALSE)</f>
        <v/>
      </c>
      <c r="J570" s="17">
        <f>+VLOOKUP($A570,MAGAZZINO!$B$2:$M$4838,10,FALSE)</f>
        <v/>
      </c>
      <c r="K570" s="17">
        <f>+VLOOKUP($A570,MAGAZZINO!$B$2:$M$4838,11,FALSE)</f>
        <v/>
      </c>
      <c r="L570" s="44">
        <f>+VLOOKUP($A570,MAGAZZINO!$B$2:$M$4838,12,FALSE)</f>
        <v/>
      </c>
    </row>
    <row r="571" ht="36" customHeight="1">
      <c r="A571" s="30">
        <f>+REGISTRO!A554</f>
        <v/>
      </c>
      <c r="B571" s="31">
        <f>+VLOOKUP($A571,MAGAZZINO!$B$2:$M$4838,2,FALSE)</f>
        <v/>
      </c>
      <c r="C571" s="32">
        <f>+VLOOKUP($A571,MAGAZZINO!$B$2:$M$4838,3,FALSE)</f>
        <v/>
      </c>
      <c r="D571" s="17">
        <f>+VLOOKUP($A571,MAGAZZINO!$B$2:$M$4838,4,FALSE)</f>
        <v/>
      </c>
      <c r="E571" s="17">
        <f>+VLOOKUP($A571,MAGAZZINO!$B$2:$M$4838,5,FALSE)</f>
        <v/>
      </c>
      <c r="F571" s="17">
        <f>+VLOOKUP($A571,MAGAZZINO!$B$2:$M$4838,6,FALSE)</f>
        <v/>
      </c>
      <c r="G571" s="17">
        <f>+VLOOKUP($A571,MAGAZZINO!$B$2:$M$4838,7,FALSE)</f>
        <v/>
      </c>
      <c r="H571" s="17">
        <f>+VLOOKUP($A571,MAGAZZINO!$B$2:$M$4838,8,FALSE)</f>
        <v/>
      </c>
      <c r="I571" s="17">
        <f>+VLOOKUP($A571,MAGAZZINO!$B$2:$M$4838,9,FALSE)</f>
        <v/>
      </c>
      <c r="J571" s="17">
        <f>+VLOOKUP($A571,MAGAZZINO!$B$2:$M$4838,10,FALSE)</f>
        <v/>
      </c>
      <c r="K571" s="17">
        <f>+VLOOKUP($A571,MAGAZZINO!$B$2:$M$4838,11,FALSE)</f>
        <v/>
      </c>
      <c r="L571" s="44">
        <f>+VLOOKUP($A571,MAGAZZINO!$B$2:$M$4838,12,FALSE)</f>
        <v/>
      </c>
    </row>
    <row r="572" ht="36" customHeight="1">
      <c r="A572" s="30">
        <f>+REGISTRO!A555</f>
        <v/>
      </c>
      <c r="B572" s="31">
        <f>+VLOOKUP($A572,MAGAZZINO!$B$2:$M$4838,2,FALSE)</f>
        <v/>
      </c>
      <c r="C572" s="32">
        <f>+VLOOKUP($A572,MAGAZZINO!$B$2:$M$4838,3,FALSE)</f>
        <v/>
      </c>
      <c r="D572" s="17">
        <f>+VLOOKUP($A572,MAGAZZINO!$B$2:$M$4838,4,FALSE)</f>
        <v/>
      </c>
      <c r="E572" s="17">
        <f>+VLOOKUP($A572,MAGAZZINO!$B$2:$M$4838,5,FALSE)</f>
        <v/>
      </c>
      <c r="F572" s="17">
        <f>+VLOOKUP($A572,MAGAZZINO!$B$2:$M$4838,6,FALSE)</f>
        <v/>
      </c>
      <c r="G572" s="17">
        <f>+VLOOKUP($A572,MAGAZZINO!$B$2:$M$4838,7,FALSE)</f>
        <v/>
      </c>
      <c r="H572" s="17">
        <f>+VLOOKUP($A572,MAGAZZINO!$B$2:$M$4838,8,FALSE)</f>
        <v/>
      </c>
      <c r="I572" s="17">
        <f>+VLOOKUP($A572,MAGAZZINO!$B$2:$M$4838,9,FALSE)</f>
        <v/>
      </c>
      <c r="J572" s="17">
        <f>+VLOOKUP($A572,MAGAZZINO!$B$2:$M$4838,10,FALSE)</f>
        <v/>
      </c>
      <c r="K572" s="17">
        <f>+VLOOKUP($A572,MAGAZZINO!$B$2:$M$4838,11,FALSE)</f>
        <v/>
      </c>
      <c r="L572" s="44">
        <f>+VLOOKUP($A572,MAGAZZINO!$B$2:$M$4838,12,FALSE)</f>
        <v/>
      </c>
    </row>
    <row r="573" ht="36" customHeight="1">
      <c r="A573" s="30">
        <f>+REGISTRO!A556</f>
        <v/>
      </c>
      <c r="B573" s="31">
        <f>+VLOOKUP($A573,MAGAZZINO!$B$2:$M$4838,2,FALSE)</f>
        <v/>
      </c>
      <c r="C573" s="32">
        <f>+VLOOKUP($A573,MAGAZZINO!$B$2:$M$4838,3,FALSE)</f>
        <v/>
      </c>
      <c r="D573" s="17">
        <f>+VLOOKUP($A573,MAGAZZINO!$B$2:$M$4838,4,FALSE)</f>
        <v/>
      </c>
      <c r="E573" s="17">
        <f>+VLOOKUP($A573,MAGAZZINO!$B$2:$M$4838,5,FALSE)</f>
        <v/>
      </c>
      <c r="F573" s="17">
        <f>+VLOOKUP($A573,MAGAZZINO!$B$2:$M$4838,6,FALSE)</f>
        <v/>
      </c>
      <c r="G573" s="17">
        <f>+VLOOKUP($A573,MAGAZZINO!$B$2:$M$4838,7,FALSE)</f>
        <v/>
      </c>
      <c r="H573" s="17">
        <f>+VLOOKUP($A573,MAGAZZINO!$B$2:$M$4838,8,FALSE)</f>
        <v/>
      </c>
      <c r="I573" s="17">
        <f>+VLOOKUP($A573,MAGAZZINO!$B$2:$M$4838,9,FALSE)</f>
        <v/>
      </c>
      <c r="J573" s="17">
        <f>+VLOOKUP($A573,MAGAZZINO!$B$2:$M$4838,10,FALSE)</f>
        <v/>
      </c>
      <c r="K573" s="17">
        <f>+VLOOKUP($A573,MAGAZZINO!$B$2:$M$4838,11,FALSE)</f>
        <v/>
      </c>
      <c r="L573" s="44">
        <f>+VLOOKUP($A573,MAGAZZINO!$B$2:$M$4838,12,FALSE)</f>
        <v/>
      </c>
    </row>
    <row r="574" ht="36" customHeight="1">
      <c r="A574" s="30">
        <f>+REGISTRO!A557</f>
        <v/>
      </c>
      <c r="B574" s="31">
        <f>+VLOOKUP($A574,MAGAZZINO!$B$2:$M$4838,2,FALSE)</f>
        <v/>
      </c>
      <c r="C574" s="32">
        <f>+VLOOKUP($A574,MAGAZZINO!$B$2:$M$4838,3,FALSE)</f>
        <v/>
      </c>
      <c r="D574" s="17">
        <f>+VLOOKUP($A574,MAGAZZINO!$B$2:$M$4838,4,FALSE)</f>
        <v/>
      </c>
      <c r="E574" s="17">
        <f>+VLOOKUP($A574,MAGAZZINO!$B$2:$M$4838,5,FALSE)</f>
        <v/>
      </c>
      <c r="F574" s="17">
        <f>+VLOOKUP($A574,MAGAZZINO!$B$2:$M$4838,6,FALSE)</f>
        <v/>
      </c>
      <c r="G574" s="17">
        <f>+VLOOKUP($A574,MAGAZZINO!$B$2:$M$4838,7,FALSE)</f>
        <v/>
      </c>
      <c r="H574" s="17">
        <f>+VLOOKUP($A574,MAGAZZINO!$B$2:$M$4838,8,FALSE)</f>
        <v/>
      </c>
      <c r="I574" s="17">
        <f>+VLOOKUP($A574,MAGAZZINO!$B$2:$M$4838,9,FALSE)</f>
        <v/>
      </c>
      <c r="J574" s="17">
        <f>+VLOOKUP($A574,MAGAZZINO!$B$2:$M$4838,10,FALSE)</f>
        <v/>
      </c>
      <c r="K574" s="17">
        <f>+VLOOKUP($A574,MAGAZZINO!$B$2:$M$4838,11,FALSE)</f>
        <v/>
      </c>
      <c r="L574" s="44">
        <f>+VLOOKUP($A574,MAGAZZINO!$B$2:$M$4838,12,FALSE)</f>
        <v/>
      </c>
    </row>
    <row r="575" ht="36" customHeight="1">
      <c r="A575" s="30">
        <f>+REGISTRO!A558</f>
        <v/>
      </c>
      <c r="B575" s="31">
        <f>+VLOOKUP($A575,MAGAZZINO!$B$2:$M$4838,2,FALSE)</f>
        <v/>
      </c>
      <c r="C575" s="32">
        <f>+VLOOKUP($A575,MAGAZZINO!$B$2:$M$4838,3,FALSE)</f>
        <v/>
      </c>
      <c r="D575" s="17">
        <f>+VLOOKUP($A575,MAGAZZINO!$B$2:$M$4838,4,FALSE)</f>
        <v/>
      </c>
      <c r="E575" s="17">
        <f>+VLOOKUP($A575,MAGAZZINO!$B$2:$M$4838,5,FALSE)</f>
        <v/>
      </c>
      <c r="F575" s="17">
        <f>+VLOOKUP($A575,MAGAZZINO!$B$2:$M$4838,6,FALSE)</f>
        <v/>
      </c>
      <c r="G575" s="17">
        <f>+VLOOKUP($A575,MAGAZZINO!$B$2:$M$4838,7,FALSE)</f>
        <v/>
      </c>
      <c r="H575" s="17">
        <f>+VLOOKUP($A575,MAGAZZINO!$B$2:$M$4838,8,FALSE)</f>
        <v/>
      </c>
      <c r="I575" s="17">
        <f>+VLOOKUP($A575,MAGAZZINO!$B$2:$M$4838,9,FALSE)</f>
        <v/>
      </c>
      <c r="J575" s="17">
        <f>+VLOOKUP($A575,MAGAZZINO!$B$2:$M$4838,10,FALSE)</f>
        <v/>
      </c>
      <c r="K575" s="17">
        <f>+VLOOKUP($A575,MAGAZZINO!$B$2:$M$4838,11,FALSE)</f>
        <v/>
      </c>
      <c r="L575" s="44">
        <f>+VLOOKUP($A575,MAGAZZINO!$B$2:$M$4838,12,FALSE)</f>
        <v/>
      </c>
    </row>
    <row r="576" ht="36" customHeight="1">
      <c r="A576" s="30">
        <f>+REGISTRO!A559</f>
        <v/>
      </c>
      <c r="B576" s="31">
        <f>+VLOOKUP($A576,MAGAZZINO!$B$2:$M$4838,2,FALSE)</f>
        <v/>
      </c>
      <c r="C576" s="32">
        <f>+VLOOKUP($A576,MAGAZZINO!$B$2:$M$4838,3,FALSE)</f>
        <v/>
      </c>
      <c r="D576" s="17">
        <f>+VLOOKUP($A576,MAGAZZINO!$B$2:$M$4838,4,FALSE)</f>
        <v/>
      </c>
      <c r="E576" s="17">
        <f>+VLOOKUP($A576,MAGAZZINO!$B$2:$M$4838,5,FALSE)</f>
        <v/>
      </c>
      <c r="F576" s="17">
        <f>+VLOOKUP($A576,MAGAZZINO!$B$2:$M$4838,6,FALSE)</f>
        <v/>
      </c>
      <c r="G576" s="17">
        <f>+VLOOKUP($A576,MAGAZZINO!$B$2:$M$4838,7,FALSE)</f>
        <v/>
      </c>
      <c r="H576" s="17">
        <f>+VLOOKUP($A576,MAGAZZINO!$B$2:$M$4838,8,FALSE)</f>
        <v/>
      </c>
      <c r="I576" s="17">
        <f>+VLOOKUP($A576,MAGAZZINO!$B$2:$M$4838,9,FALSE)</f>
        <v/>
      </c>
      <c r="J576" s="17">
        <f>+VLOOKUP($A576,MAGAZZINO!$B$2:$M$4838,10,FALSE)</f>
        <v/>
      </c>
      <c r="K576" s="17">
        <f>+VLOOKUP($A576,MAGAZZINO!$B$2:$M$4838,11,FALSE)</f>
        <v/>
      </c>
      <c r="L576" s="44">
        <f>+VLOOKUP($A576,MAGAZZINO!$B$2:$M$4838,12,FALSE)</f>
        <v/>
      </c>
    </row>
    <row r="577" ht="36" customHeight="1">
      <c r="A577" s="30">
        <f>+REGISTRO!A560</f>
        <v/>
      </c>
      <c r="B577" s="31">
        <f>+VLOOKUP($A577,MAGAZZINO!$B$2:$M$4838,2,FALSE)</f>
        <v/>
      </c>
      <c r="C577" s="32">
        <f>+VLOOKUP($A577,MAGAZZINO!$B$2:$M$4838,3,FALSE)</f>
        <v/>
      </c>
      <c r="D577" s="17">
        <f>+VLOOKUP($A577,MAGAZZINO!$B$2:$M$4838,4,FALSE)</f>
        <v/>
      </c>
      <c r="E577" s="17">
        <f>+VLOOKUP($A577,MAGAZZINO!$B$2:$M$4838,5,FALSE)</f>
        <v/>
      </c>
      <c r="F577" s="17">
        <f>+VLOOKUP($A577,MAGAZZINO!$B$2:$M$4838,6,FALSE)</f>
        <v/>
      </c>
      <c r="G577" s="17">
        <f>+VLOOKUP($A577,MAGAZZINO!$B$2:$M$4838,7,FALSE)</f>
        <v/>
      </c>
      <c r="H577" s="17">
        <f>+VLOOKUP($A577,MAGAZZINO!$B$2:$M$4838,8,FALSE)</f>
        <v/>
      </c>
      <c r="I577" s="17">
        <f>+VLOOKUP($A577,MAGAZZINO!$B$2:$M$4838,9,FALSE)</f>
        <v/>
      </c>
      <c r="J577" s="17">
        <f>+VLOOKUP($A577,MAGAZZINO!$B$2:$M$4838,10,FALSE)</f>
        <v/>
      </c>
      <c r="K577" s="17">
        <f>+VLOOKUP($A577,MAGAZZINO!$B$2:$M$4838,11,FALSE)</f>
        <v/>
      </c>
      <c r="L577" s="44">
        <f>+VLOOKUP($A577,MAGAZZINO!$B$2:$M$4838,12,FALSE)</f>
        <v/>
      </c>
    </row>
    <row r="578" ht="36" customHeight="1">
      <c r="A578" s="30">
        <f>+REGISTRO!A561</f>
        <v/>
      </c>
      <c r="B578" s="31">
        <f>+VLOOKUP($A578,MAGAZZINO!$B$2:$M$4838,2,FALSE)</f>
        <v/>
      </c>
      <c r="C578" s="32">
        <f>+VLOOKUP($A578,MAGAZZINO!$B$2:$M$4838,3,FALSE)</f>
        <v/>
      </c>
      <c r="D578" s="17">
        <f>+VLOOKUP($A578,MAGAZZINO!$B$2:$M$4838,4,FALSE)</f>
        <v/>
      </c>
      <c r="E578" s="17">
        <f>+VLOOKUP($A578,MAGAZZINO!$B$2:$M$4838,5,FALSE)</f>
        <v/>
      </c>
      <c r="F578" s="17">
        <f>+VLOOKUP($A578,MAGAZZINO!$B$2:$M$4838,6,FALSE)</f>
        <v/>
      </c>
      <c r="G578" s="17">
        <f>+VLOOKUP($A578,MAGAZZINO!$B$2:$M$4838,7,FALSE)</f>
        <v/>
      </c>
      <c r="H578" s="17">
        <f>+VLOOKUP($A578,MAGAZZINO!$B$2:$M$4838,8,FALSE)</f>
        <v/>
      </c>
      <c r="I578" s="17">
        <f>+VLOOKUP($A578,MAGAZZINO!$B$2:$M$4838,9,FALSE)</f>
        <v/>
      </c>
      <c r="J578" s="17">
        <f>+VLOOKUP($A578,MAGAZZINO!$B$2:$M$4838,10,FALSE)</f>
        <v/>
      </c>
      <c r="K578" s="17">
        <f>+VLOOKUP($A578,MAGAZZINO!$B$2:$M$4838,11,FALSE)</f>
        <v/>
      </c>
      <c r="L578" s="44">
        <f>+VLOOKUP($A578,MAGAZZINO!$B$2:$M$4838,12,FALSE)</f>
        <v/>
      </c>
    </row>
    <row r="579" ht="36" customHeight="1">
      <c r="A579" s="30">
        <f>+REGISTRO!A562</f>
        <v/>
      </c>
      <c r="B579" s="31">
        <f>+VLOOKUP($A579,MAGAZZINO!$B$2:$M$4838,2,FALSE)</f>
        <v/>
      </c>
      <c r="C579" s="32">
        <f>+VLOOKUP($A579,MAGAZZINO!$B$2:$M$4838,3,FALSE)</f>
        <v/>
      </c>
      <c r="D579" s="17">
        <f>+VLOOKUP($A579,MAGAZZINO!$B$2:$M$4838,4,FALSE)</f>
        <v/>
      </c>
      <c r="E579" s="17">
        <f>+VLOOKUP($A579,MAGAZZINO!$B$2:$M$4838,5,FALSE)</f>
        <v/>
      </c>
      <c r="F579" s="17">
        <f>+VLOOKUP($A579,MAGAZZINO!$B$2:$M$4838,6,FALSE)</f>
        <v/>
      </c>
      <c r="G579" s="17">
        <f>+VLOOKUP($A579,MAGAZZINO!$B$2:$M$4838,7,FALSE)</f>
        <v/>
      </c>
      <c r="H579" s="17">
        <f>+VLOOKUP($A579,MAGAZZINO!$B$2:$M$4838,8,FALSE)</f>
        <v/>
      </c>
      <c r="I579" s="17">
        <f>+VLOOKUP($A579,MAGAZZINO!$B$2:$M$4838,9,FALSE)</f>
        <v/>
      </c>
      <c r="J579" s="17">
        <f>+VLOOKUP($A579,MAGAZZINO!$B$2:$M$4838,10,FALSE)</f>
        <v/>
      </c>
      <c r="K579" s="17">
        <f>+VLOOKUP($A579,MAGAZZINO!$B$2:$M$4838,11,FALSE)</f>
        <v/>
      </c>
      <c r="L579" s="44">
        <f>+VLOOKUP($A579,MAGAZZINO!$B$2:$M$4838,12,FALSE)</f>
        <v/>
      </c>
    </row>
    <row r="580" ht="36" customHeight="1">
      <c r="A580" s="30">
        <f>+REGISTRO!A563</f>
        <v/>
      </c>
      <c r="B580" s="31">
        <f>+VLOOKUP($A580,MAGAZZINO!$B$2:$M$4838,2,FALSE)</f>
        <v/>
      </c>
      <c r="C580" s="32">
        <f>+VLOOKUP($A580,MAGAZZINO!$B$2:$M$4838,3,FALSE)</f>
        <v/>
      </c>
      <c r="D580" s="17">
        <f>+VLOOKUP($A580,MAGAZZINO!$B$2:$M$4838,4,FALSE)</f>
        <v/>
      </c>
      <c r="E580" s="17">
        <f>+VLOOKUP($A580,MAGAZZINO!$B$2:$M$4838,5,FALSE)</f>
        <v/>
      </c>
      <c r="F580" s="17">
        <f>+VLOOKUP($A580,MAGAZZINO!$B$2:$M$4838,6,FALSE)</f>
        <v/>
      </c>
      <c r="G580" s="17">
        <f>+VLOOKUP($A580,MAGAZZINO!$B$2:$M$4838,7,FALSE)</f>
        <v/>
      </c>
      <c r="H580" s="17">
        <f>+VLOOKUP($A580,MAGAZZINO!$B$2:$M$4838,8,FALSE)</f>
        <v/>
      </c>
      <c r="I580" s="17">
        <f>+VLOOKUP($A580,MAGAZZINO!$B$2:$M$4838,9,FALSE)</f>
        <v/>
      </c>
      <c r="J580" s="17">
        <f>+VLOOKUP($A580,MAGAZZINO!$B$2:$M$4838,10,FALSE)</f>
        <v/>
      </c>
      <c r="K580" s="17">
        <f>+VLOOKUP($A580,MAGAZZINO!$B$2:$M$4838,11,FALSE)</f>
        <v/>
      </c>
      <c r="L580" s="44">
        <f>+VLOOKUP($A580,MAGAZZINO!$B$2:$M$4838,12,FALSE)</f>
        <v/>
      </c>
    </row>
    <row r="581" ht="36" customHeight="1">
      <c r="A581" s="30">
        <f>+REGISTRO!A564</f>
        <v/>
      </c>
      <c r="B581" s="31">
        <f>+VLOOKUP($A581,MAGAZZINO!$B$2:$M$4838,2,FALSE)</f>
        <v/>
      </c>
      <c r="C581" s="32">
        <f>+VLOOKUP($A581,MAGAZZINO!$B$2:$M$4838,3,FALSE)</f>
        <v/>
      </c>
      <c r="D581" s="17">
        <f>+VLOOKUP($A581,MAGAZZINO!$B$2:$M$4838,4,FALSE)</f>
        <v/>
      </c>
      <c r="E581" s="17">
        <f>+VLOOKUP($A581,MAGAZZINO!$B$2:$M$4838,5,FALSE)</f>
        <v/>
      </c>
      <c r="F581" s="17">
        <f>+VLOOKUP($A581,MAGAZZINO!$B$2:$M$4838,6,FALSE)</f>
        <v/>
      </c>
      <c r="G581" s="17">
        <f>+VLOOKUP($A581,MAGAZZINO!$B$2:$M$4838,7,FALSE)</f>
        <v/>
      </c>
      <c r="H581" s="17">
        <f>+VLOOKUP($A581,MAGAZZINO!$B$2:$M$4838,8,FALSE)</f>
        <v/>
      </c>
      <c r="I581" s="17">
        <f>+VLOOKUP($A581,MAGAZZINO!$B$2:$M$4838,9,FALSE)</f>
        <v/>
      </c>
      <c r="J581" s="17">
        <f>+VLOOKUP($A581,MAGAZZINO!$B$2:$M$4838,10,FALSE)</f>
        <v/>
      </c>
      <c r="K581" s="17">
        <f>+VLOOKUP($A581,MAGAZZINO!$B$2:$M$4838,11,FALSE)</f>
        <v/>
      </c>
      <c r="L581" s="44">
        <f>+VLOOKUP($A581,MAGAZZINO!$B$2:$M$4838,12,FALSE)</f>
        <v/>
      </c>
    </row>
    <row r="582" ht="36" customHeight="1">
      <c r="A582" s="30">
        <f>+REGISTRO!A565</f>
        <v/>
      </c>
      <c r="B582" s="31">
        <f>+VLOOKUP($A582,MAGAZZINO!$B$2:$M$4838,2,FALSE)</f>
        <v/>
      </c>
      <c r="C582" s="32">
        <f>+VLOOKUP($A582,MAGAZZINO!$B$2:$M$4838,3,FALSE)</f>
        <v/>
      </c>
      <c r="D582" s="17">
        <f>+VLOOKUP($A582,MAGAZZINO!$B$2:$M$4838,4,FALSE)</f>
        <v/>
      </c>
      <c r="E582" s="17">
        <f>+VLOOKUP($A582,MAGAZZINO!$B$2:$M$4838,5,FALSE)</f>
        <v/>
      </c>
      <c r="F582" s="17">
        <f>+VLOOKUP($A582,MAGAZZINO!$B$2:$M$4838,6,FALSE)</f>
        <v/>
      </c>
      <c r="G582" s="17">
        <f>+VLOOKUP($A582,MAGAZZINO!$B$2:$M$4838,7,FALSE)</f>
        <v/>
      </c>
      <c r="H582" s="17">
        <f>+VLOOKUP($A582,MAGAZZINO!$B$2:$M$4838,8,FALSE)</f>
        <v/>
      </c>
      <c r="I582" s="17">
        <f>+VLOOKUP($A582,MAGAZZINO!$B$2:$M$4838,9,FALSE)</f>
        <v/>
      </c>
      <c r="J582" s="17">
        <f>+VLOOKUP($A582,MAGAZZINO!$B$2:$M$4838,10,FALSE)</f>
        <v/>
      </c>
      <c r="K582" s="17">
        <f>+VLOOKUP($A582,MAGAZZINO!$B$2:$M$4838,11,FALSE)</f>
        <v/>
      </c>
      <c r="L582" s="44">
        <f>+VLOOKUP($A582,MAGAZZINO!$B$2:$M$4838,12,FALSE)</f>
        <v/>
      </c>
    </row>
    <row r="583" ht="36" customHeight="1">
      <c r="A583" s="30">
        <f>+REGISTRO!A566</f>
        <v/>
      </c>
      <c r="B583" s="31">
        <f>+VLOOKUP($A583,MAGAZZINO!$B$2:$M$4838,2,FALSE)</f>
        <v/>
      </c>
      <c r="C583" s="32">
        <f>+VLOOKUP($A583,MAGAZZINO!$B$2:$M$4838,3,FALSE)</f>
        <v/>
      </c>
      <c r="D583" s="17">
        <f>+VLOOKUP($A583,MAGAZZINO!$B$2:$M$4838,4,FALSE)</f>
        <v/>
      </c>
      <c r="E583" s="17">
        <f>+VLOOKUP($A583,MAGAZZINO!$B$2:$M$4838,5,FALSE)</f>
        <v/>
      </c>
      <c r="F583" s="17">
        <f>+VLOOKUP($A583,MAGAZZINO!$B$2:$M$4838,6,FALSE)</f>
        <v/>
      </c>
      <c r="G583" s="17">
        <f>+VLOOKUP($A583,MAGAZZINO!$B$2:$M$4838,7,FALSE)</f>
        <v/>
      </c>
      <c r="H583" s="17">
        <f>+VLOOKUP($A583,MAGAZZINO!$B$2:$M$4838,8,FALSE)</f>
        <v/>
      </c>
      <c r="I583" s="17">
        <f>+VLOOKUP($A583,MAGAZZINO!$B$2:$M$4838,9,FALSE)</f>
        <v/>
      </c>
      <c r="J583" s="17">
        <f>+VLOOKUP($A583,MAGAZZINO!$B$2:$M$4838,10,FALSE)</f>
        <v/>
      </c>
      <c r="K583" s="17">
        <f>+VLOOKUP($A583,MAGAZZINO!$B$2:$M$4838,11,FALSE)</f>
        <v/>
      </c>
      <c r="L583" s="44">
        <f>+VLOOKUP($A583,MAGAZZINO!$B$2:$M$4838,12,FALSE)</f>
        <v/>
      </c>
    </row>
    <row r="584" ht="36" customHeight="1">
      <c r="A584" s="30">
        <f>+REGISTRO!A567</f>
        <v/>
      </c>
      <c r="B584" s="31">
        <f>+VLOOKUP($A584,MAGAZZINO!$B$2:$M$4838,2,FALSE)</f>
        <v/>
      </c>
      <c r="C584" s="32">
        <f>+VLOOKUP($A584,MAGAZZINO!$B$2:$M$4838,3,FALSE)</f>
        <v/>
      </c>
      <c r="D584" s="17">
        <f>+VLOOKUP($A584,MAGAZZINO!$B$2:$M$4838,4,FALSE)</f>
        <v/>
      </c>
      <c r="E584" s="17">
        <f>+VLOOKUP($A584,MAGAZZINO!$B$2:$M$4838,5,FALSE)</f>
        <v/>
      </c>
      <c r="F584" s="17">
        <f>+VLOOKUP($A584,MAGAZZINO!$B$2:$M$4838,6,FALSE)</f>
        <v/>
      </c>
      <c r="G584" s="17">
        <f>+VLOOKUP($A584,MAGAZZINO!$B$2:$M$4838,7,FALSE)</f>
        <v/>
      </c>
      <c r="H584" s="17">
        <f>+VLOOKUP($A584,MAGAZZINO!$B$2:$M$4838,8,FALSE)</f>
        <v/>
      </c>
      <c r="I584" s="17">
        <f>+VLOOKUP($A584,MAGAZZINO!$B$2:$M$4838,9,FALSE)</f>
        <v/>
      </c>
      <c r="J584" s="17">
        <f>+VLOOKUP($A584,MAGAZZINO!$B$2:$M$4838,10,FALSE)</f>
        <v/>
      </c>
      <c r="K584" s="17">
        <f>+VLOOKUP($A584,MAGAZZINO!$B$2:$M$4838,11,FALSE)</f>
        <v/>
      </c>
      <c r="L584" s="44">
        <f>+VLOOKUP($A584,MAGAZZINO!$B$2:$M$4838,12,FALSE)</f>
        <v/>
      </c>
    </row>
    <row r="585" ht="36" customHeight="1">
      <c r="A585" s="30">
        <f>+REGISTRO!A568</f>
        <v/>
      </c>
      <c r="B585" s="31">
        <f>+VLOOKUP($A585,MAGAZZINO!$B$2:$M$4838,2,FALSE)</f>
        <v/>
      </c>
      <c r="C585" s="32">
        <f>+VLOOKUP($A585,MAGAZZINO!$B$2:$M$4838,3,FALSE)</f>
        <v/>
      </c>
      <c r="D585" s="17">
        <f>+VLOOKUP($A585,MAGAZZINO!$B$2:$M$4838,4,FALSE)</f>
        <v/>
      </c>
      <c r="E585" s="17">
        <f>+VLOOKUP($A585,MAGAZZINO!$B$2:$M$4838,5,FALSE)</f>
        <v/>
      </c>
      <c r="F585" s="17">
        <f>+VLOOKUP($A585,MAGAZZINO!$B$2:$M$4838,6,FALSE)</f>
        <v/>
      </c>
      <c r="G585" s="17">
        <f>+VLOOKUP($A585,MAGAZZINO!$B$2:$M$4838,7,FALSE)</f>
        <v/>
      </c>
      <c r="H585" s="17">
        <f>+VLOOKUP($A585,MAGAZZINO!$B$2:$M$4838,8,FALSE)</f>
        <v/>
      </c>
      <c r="I585" s="17">
        <f>+VLOOKUP($A585,MAGAZZINO!$B$2:$M$4838,9,FALSE)</f>
        <v/>
      </c>
      <c r="J585" s="17">
        <f>+VLOOKUP($A585,MAGAZZINO!$B$2:$M$4838,10,FALSE)</f>
        <v/>
      </c>
      <c r="K585" s="17">
        <f>+VLOOKUP($A585,MAGAZZINO!$B$2:$M$4838,11,FALSE)</f>
        <v/>
      </c>
      <c r="L585" s="44">
        <f>+VLOOKUP($A585,MAGAZZINO!$B$2:$M$4838,12,FALSE)</f>
        <v/>
      </c>
    </row>
    <row r="586" ht="36" customHeight="1">
      <c r="A586" s="30">
        <f>+REGISTRO!A569</f>
        <v/>
      </c>
      <c r="B586" s="31">
        <f>+VLOOKUP($A586,MAGAZZINO!$B$2:$M$4838,2,FALSE)</f>
        <v/>
      </c>
      <c r="C586" s="32">
        <f>+VLOOKUP($A586,MAGAZZINO!$B$2:$M$4838,3,FALSE)</f>
        <v/>
      </c>
      <c r="D586" s="17">
        <f>+VLOOKUP($A586,MAGAZZINO!$B$2:$M$4838,4,FALSE)</f>
        <v/>
      </c>
      <c r="E586" s="17">
        <f>+VLOOKUP($A586,MAGAZZINO!$B$2:$M$4838,5,FALSE)</f>
        <v/>
      </c>
      <c r="F586" s="17">
        <f>+VLOOKUP($A586,MAGAZZINO!$B$2:$M$4838,6,FALSE)</f>
        <v/>
      </c>
      <c r="G586" s="17">
        <f>+VLOOKUP($A586,MAGAZZINO!$B$2:$M$4838,7,FALSE)</f>
        <v/>
      </c>
      <c r="H586" s="17">
        <f>+VLOOKUP($A586,MAGAZZINO!$B$2:$M$4838,8,FALSE)</f>
        <v/>
      </c>
      <c r="I586" s="17">
        <f>+VLOOKUP($A586,MAGAZZINO!$B$2:$M$4838,9,FALSE)</f>
        <v/>
      </c>
      <c r="J586" s="17">
        <f>+VLOOKUP($A586,MAGAZZINO!$B$2:$M$4838,10,FALSE)</f>
        <v/>
      </c>
      <c r="K586" s="17">
        <f>+VLOOKUP($A586,MAGAZZINO!$B$2:$M$4838,11,FALSE)</f>
        <v/>
      </c>
      <c r="L586" s="44">
        <f>+VLOOKUP($A586,MAGAZZINO!$B$2:$M$4838,12,FALSE)</f>
        <v/>
      </c>
    </row>
    <row r="587" ht="36" customHeight="1">
      <c r="A587" s="30">
        <f>+REGISTRO!A570</f>
        <v/>
      </c>
      <c r="B587" s="31">
        <f>+VLOOKUP($A587,MAGAZZINO!$B$2:$M$4838,2,FALSE)</f>
        <v/>
      </c>
      <c r="C587" s="32">
        <f>+VLOOKUP($A587,MAGAZZINO!$B$2:$M$4838,3,FALSE)</f>
        <v/>
      </c>
      <c r="D587" s="17">
        <f>+VLOOKUP($A587,MAGAZZINO!$B$2:$M$4838,4,FALSE)</f>
        <v/>
      </c>
      <c r="E587" s="17">
        <f>+VLOOKUP($A587,MAGAZZINO!$B$2:$M$4838,5,FALSE)</f>
        <v/>
      </c>
      <c r="F587" s="17">
        <f>+VLOOKUP($A587,MAGAZZINO!$B$2:$M$4838,6,FALSE)</f>
        <v/>
      </c>
      <c r="G587" s="17">
        <f>+VLOOKUP($A587,MAGAZZINO!$B$2:$M$4838,7,FALSE)</f>
        <v/>
      </c>
      <c r="H587" s="17">
        <f>+VLOOKUP($A587,MAGAZZINO!$B$2:$M$4838,8,FALSE)</f>
        <v/>
      </c>
      <c r="I587" s="17">
        <f>+VLOOKUP($A587,MAGAZZINO!$B$2:$M$4838,9,FALSE)</f>
        <v/>
      </c>
      <c r="J587" s="17">
        <f>+VLOOKUP($A587,MAGAZZINO!$B$2:$M$4838,10,FALSE)</f>
        <v/>
      </c>
      <c r="K587" s="17">
        <f>+VLOOKUP($A587,MAGAZZINO!$B$2:$M$4838,11,FALSE)</f>
        <v/>
      </c>
      <c r="L587" s="44">
        <f>+VLOOKUP($A587,MAGAZZINO!$B$2:$M$4838,12,FALSE)</f>
        <v/>
      </c>
    </row>
    <row r="588" ht="36" customHeight="1">
      <c r="A588" s="30">
        <f>+REGISTRO!A571</f>
        <v/>
      </c>
      <c r="B588" s="31">
        <f>+VLOOKUP($A588,MAGAZZINO!$B$2:$M$4838,2,FALSE)</f>
        <v/>
      </c>
      <c r="C588" s="32">
        <f>+VLOOKUP($A588,MAGAZZINO!$B$2:$M$4838,3,FALSE)</f>
        <v/>
      </c>
      <c r="D588" s="17">
        <f>+VLOOKUP($A588,MAGAZZINO!$B$2:$M$4838,4,FALSE)</f>
        <v/>
      </c>
      <c r="E588" s="17">
        <f>+VLOOKUP($A588,MAGAZZINO!$B$2:$M$4838,5,FALSE)</f>
        <v/>
      </c>
      <c r="F588" s="17">
        <f>+VLOOKUP($A588,MAGAZZINO!$B$2:$M$4838,6,FALSE)</f>
        <v/>
      </c>
      <c r="G588" s="17">
        <f>+VLOOKUP($A588,MAGAZZINO!$B$2:$M$4838,7,FALSE)</f>
        <v/>
      </c>
      <c r="H588" s="17">
        <f>+VLOOKUP($A588,MAGAZZINO!$B$2:$M$4838,8,FALSE)</f>
        <v/>
      </c>
      <c r="I588" s="17">
        <f>+VLOOKUP($A588,MAGAZZINO!$B$2:$M$4838,9,FALSE)</f>
        <v/>
      </c>
      <c r="J588" s="17">
        <f>+VLOOKUP($A588,MAGAZZINO!$B$2:$M$4838,10,FALSE)</f>
        <v/>
      </c>
      <c r="K588" s="17">
        <f>+VLOOKUP($A588,MAGAZZINO!$B$2:$M$4838,11,FALSE)</f>
        <v/>
      </c>
      <c r="L588" s="44">
        <f>+VLOOKUP($A588,MAGAZZINO!$B$2:$M$4838,12,FALSE)</f>
        <v/>
      </c>
    </row>
    <row r="589" ht="36" customHeight="1">
      <c r="A589" s="30">
        <f>+REGISTRO!A572</f>
        <v/>
      </c>
      <c r="B589" s="31">
        <f>+VLOOKUP($A589,MAGAZZINO!$B$2:$M$4838,2,FALSE)</f>
        <v/>
      </c>
      <c r="C589" s="32">
        <f>+VLOOKUP($A589,MAGAZZINO!$B$2:$M$4838,3,FALSE)</f>
        <v/>
      </c>
      <c r="D589" s="17">
        <f>+VLOOKUP($A589,MAGAZZINO!$B$2:$M$4838,4,FALSE)</f>
        <v/>
      </c>
      <c r="E589" s="17">
        <f>+VLOOKUP($A589,MAGAZZINO!$B$2:$M$4838,5,FALSE)</f>
        <v/>
      </c>
      <c r="F589" s="17">
        <f>+VLOOKUP($A589,MAGAZZINO!$B$2:$M$4838,6,FALSE)</f>
        <v/>
      </c>
      <c r="G589" s="17">
        <f>+VLOOKUP($A589,MAGAZZINO!$B$2:$M$4838,7,FALSE)</f>
        <v/>
      </c>
      <c r="H589" s="17">
        <f>+VLOOKUP($A589,MAGAZZINO!$B$2:$M$4838,8,FALSE)</f>
        <v/>
      </c>
      <c r="I589" s="17">
        <f>+VLOOKUP($A589,MAGAZZINO!$B$2:$M$4838,9,FALSE)</f>
        <v/>
      </c>
      <c r="J589" s="17">
        <f>+VLOOKUP($A589,MAGAZZINO!$B$2:$M$4838,10,FALSE)</f>
        <v/>
      </c>
      <c r="K589" s="17">
        <f>+VLOOKUP($A589,MAGAZZINO!$B$2:$M$4838,11,FALSE)</f>
        <v/>
      </c>
      <c r="L589" s="44">
        <f>+VLOOKUP($A589,MAGAZZINO!$B$2:$M$4838,12,FALSE)</f>
        <v/>
      </c>
    </row>
    <row r="590" ht="36" customHeight="1">
      <c r="A590" s="30">
        <f>+REGISTRO!A573</f>
        <v/>
      </c>
      <c r="B590" s="31">
        <f>+VLOOKUP($A590,MAGAZZINO!$B$2:$M$4838,2,FALSE)</f>
        <v/>
      </c>
      <c r="C590" s="32">
        <f>+VLOOKUP($A590,MAGAZZINO!$B$2:$M$4838,3,FALSE)</f>
        <v/>
      </c>
      <c r="D590" s="17">
        <f>+VLOOKUP($A590,MAGAZZINO!$B$2:$M$4838,4,FALSE)</f>
        <v/>
      </c>
      <c r="E590" s="17">
        <f>+VLOOKUP($A590,MAGAZZINO!$B$2:$M$4838,5,FALSE)</f>
        <v/>
      </c>
      <c r="F590" s="17">
        <f>+VLOOKUP($A590,MAGAZZINO!$B$2:$M$4838,6,FALSE)</f>
        <v/>
      </c>
      <c r="G590" s="17">
        <f>+VLOOKUP($A590,MAGAZZINO!$B$2:$M$4838,7,FALSE)</f>
        <v/>
      </c>
      <c r="H590" s="17">
        <f>+VLOOKUP($A590,MAGAZZINO!$B$2:$M$4838,8,FALSE)</f>
        <v/>
      </c>
      <c r="I590" s="17">
        <f>+VLOOKUP($A590,MAGAZZINO!$B$2:$M$4838,9,FALSE)</f>
        <v/>
      </c>
      <c r="J590" s="17">
        <f>+VLOOKUP($A590,MAGAZZINO!$B$2:$M$4838,10,FALSE)</f>
        <v/>
      </c>
      <c r="K590" s="17">
        <f>+VLOOKUP($A590,MAGAZZINO!$B$2:$M$4838,11,FALSE)</f>
        <v/>
      </c>
      <c r="L590" s="44">
        <f>+VLOOKUP($A590,MAGAZZINO!$B$2:$M$4838,12,FALSE)</f>
        <v/>
      </c>
    </row>
    <row r="591" ht="36" customHeight="1">
      <c r="A591" s="30">
        <f>+REGISTRO!A574</f>
        <v/>
      </c>
      <c r="B591" s="31">
        <f>+VLOOKUP($A591,MAGAZZINO!$B$2:$M$4838,2,FALSE)</f>
        <v/>
      </c>
      <c r="C591" s="32">
        <f>+VLOOKUP($A591,MAGAZZINO!$B$2:$M$4838,3,FALSE)</f>
        <v/>
      </c>
      <c r="D591" s="17">
        <f>+VLOOKUP($A591,MAGAZZINO!$B$2:$M$4838,4,FALSE)</f>
        <v/>
      </c>
      <c r="E591" s="17">
        <f>+VLOOKUP($A591,MAGAZZINO!$B$2:$M$4838,5,FALSE)</f>
        <v/>
      </c>
      <c r="F591" s="17">
        <f>+VLOOKUP($A591,MAGAZZINO!$B$2:$M$4838,6,FALSE)</f>
        <v/>
      </c>
      <c r="G591" s="17">
        <f>+VLOOKUP($A591,MAGAZZINO!$B$2:$M$4838,7,FALSE)</f>
        <v/>
      </c>
      <c r="H591" s="17">
        <f>+VLOOKUP($A591,MAGAZZINO!$B$2:$M$4838,8,FALSE)</f>
        <v/>
      </c>
      <c r="I591" s="17">
        <f>+VLOOKUP($A591,MAGAZZINO!$B$2:$M$4838,9,FALSE)</f>
        <v/>
      </c>
      <c r="J591" s="17">
        <f>+VLOOKUP($A591,MAGAZZINO!$B$2:$M$4838,10,FALSE)</f>
        <v/>
      </c>
      <c r="K591" s="17">
        <f>+VLOOKUP($A591,MAGAZZINO!$B$2:$M$4838,11,FALSE)</f>
        <v/>
      </c>
      <c r="L591" s="44">
        <f>+VLOOKUP($A591,MAGAZZINO!$B$2:$M$4838,12,FALSE)</f>
        <v/>
      </c>
    </row>
    <row r="592" ht="36" customHeight="1">
      <c r="A592" s="30">
        <f>+REGISTRO!A575</f>
        <v/>
      </c>
      <c r="B592" s="31">
        <f>+VLOOKUP($A592,MAGAZZINO!$B$2:$M$4838,2,FALSE)</f>
        <v/>
      </c>
      <c r="C592" s="32">
        <f>+VLOOKUP($A592,MAGAZZINO!$B$2:$M$4838,3,FALSE)</f>
        <v/>
      </c>
      <c r="D592" s="17">
        <f>+VLOOKUP($A592,MAGAZZINO!$B$2:$M$4838,4,FALSE)</f>
        <v/>
      </c>
      <c r="E592" s="17">
        <f>+VLOOKUP($A592,MAGAZZINO!$B$2:$M$4838,5,FALSE)</f>
        <v/>
      </c>
      <c r="F592" s="17">
        <f>+VLOOKUP($A592,MAGAZZINO!$B$2:$M$4838,6,FALSE)</f>
        <v/>
      </c>
      <c r="G592" s="17">
        <f>+VLOOKUP($A592,MAGAZZINO!$B$2:$M$4838,7,FALSE)</f>
        <v/>
      </c>
      <c r="H592" s="17">
        <f>+VLOOKUP($A592,MAGAZZINO!$B$2:$M$4838,8,FALSE)</f>
        <v/>
      </c>
      <c r="I592" s="17">
        <f>+VLOOKUP($A592,MAGAZZINO!$B$2:$M$4838,9,FALSE)</f>
        <v/>
      </c>
      <c r="J592" s="17">
        <f>+VLOOKUP($A592,MAGAZZINO!$B$2:$M$4838,10,FALSE)</f>
        <v/>
      </c>
      <c r="K592" s="17">
        <f>+VLOOKUP($A592,MAGAZZINO!$B$2:$M$4838,11,FALSE)</f>
        <v/>
      </c>
      <c r="L592" s="44">
        <f>+VLOOKUP($A592,MAGAZZINO!$B$2:$M$4838,12,FALSE)</f>
        <v/>
      </c>
    </row>
    <row r="593" ht="36" customHeight="1">
      <c r="A593" s="30">
        <f>+REGISTRO!A576</f>
        <v/>
      </c>
      <c r="B593" s="31">
        <f>+VLOOKUP($A593,MAGAZZINO!$B$2:$M$4838,2,FALSE)</f>
        <v/>
      </c>
      <c r="C593" s="32">
        <f>+VLOOKUP($A593,MAGAZZINO!$B$2:$M$4838,3,FALSE)</f>
        <v/>
      </c>
      <c r="D593" s="17">
        <f>+VLOOKUP($A593,MAGAZZINO!$B$2:$M$4838,4,FALSE)</f>
        <v/>
      </c>
      <c r="E593" s="17">
        <f>+VLOOKUP($A593,MAGAZZINO!$B$2:$M$4838,5,FALSE)</f>
        <v/>
      </c>
      <c r="F593" s="17">
        <f>+VLOOKUP($A593,MAGAZZINO!$B$2:$M$4838,6,FALSE)</f>
        <v/>
      </c>
      <c r="G593" s="17">
        <f>+VLOOKUP($A593,MAGAZZINO!$B$2:$M$4838,7,FALSE)</f>
        <v/>
      </c>
      <c r="H593" s="17">
        <f>+VLOOKUP($A593,MAGAZZINO!$B$2:$M$4838,8,FALSE)</f>
        <v/>
      </c>
      <c r="I593" s="17">
        <f>+VLOOKUP($A593,MAGAZZINO!$B$2:$M$4838,9,FALSE)</f>
        <v/>
      </c>
      <c r="J593" s="17">
        <f>+VLOOKUP($A593,MAGAZZINO!$B$2:$M$4838,10,FALSE)</f>
        <v/>
      </c>
      <c r="K593" s="17">
        <f>+VLOOKUP($A593,MAGAZZINO!$B$2:$M$4838,11,FALSE)</f>
        <v/>
      </c>
      <c r="L593" s="44">
        <f>+VLOOKUP($A593,MAGAZZINO!$B$2:$M$4838,12,FALSE)</f>
        <v/>
      </c>
    </row>
    <row r="594" ht="36" customHeight="1">
      <c r="A594" s="30">
        <f>+REGISTRO!A577</f>
        <v/>
      </c>
      <c r="B594" s="31">
        <f>+VLOOKUP($A594,MAGAZZINO!$B$2:$M$4838,2,FALSE)</f>
        <v/>
      </c>
      <c r="C594" s="32">
        <f>+VLOOKUP($A594,MAGAZZINO!$B$2:$M$4838,3,FALSE)</f>
        <v/>
      </c>
      <c r="D594" s="17">
        <f>+VLOOKUP($A594,MAGAZZINO!$B$2:$M$4838,4,FALSE)</f>
        <v/>
      </c>
      <c r="E594" s="17">
        <f>+VLOOKUP($A594,MAGAZZINO!$B$2:$M$4838,5,FALSE)</f>
        <v/>
      </c>
      <c r="F594" s="17">
        <f>+VLOOKUP($A594,MAGAZZINO!$B$2:$M$4838,6,FALSE)</f>
        <v/>
      </c>
      <c r="G594" s="17">
        <f>+VLOOKUP($A594,MAGAZZINO!$B$2:$M$4838,7,FALSE)</f>
        <v/>
      </c>
      <c r="H594" s="17">
        <f>+VLOOKUP($A594,MAGAZZINO!$B$2:$M$4838,8,FALSE)</f>
        <v/>
      </c>
      <c r="I594" s="17">
        <f>+VLOOKUP($A594,MAGAZZINO!$B$2:$M$4838,9,FALSE)</f>
        <v/>
      </c>
      <c r="J594" s="17">
        <f>+VLOOKUP($A594,MAGAZZINO!$B$2:$M$4838,10,FALSE)</f>
        <v/>
      </c>
      <c r="K594" s="17">
        <f>+VLOOKUP($A594,MAGAZZINO!$B$2:$M$4838,11,FALSE)</f>
        <v/>
      </c>
      <c r="L594" s="44">
        <f>+VLOOKUP($A594,MAGAZZINO!$B$2:$M$4838,12,FALSE)</f>
        <v/>
      </c>
    </row>
    <row r="595" ht="36" customHeight="1">
      <c r="A595" s="30">
        <f>+REGISTRO!A578</f>
        <v/>
      </c>
      <c r="B595" s="31">
        <f>+VLOOKUP($A595,MAGAZZINO!$B$2:$M$4838,2,FALSE)</f>
        <v/>
      </c>
      <c r="C595" s="32">
        <f>+VLOOKUP($A595,MAGAZZINO!$B$2:$M$4838,3,FALSE)</f>
        <v/>
      </c>
      <c r="D595" s="17">
        <f>+VLOOKUP($A595,MAGAZZINO!$B$2:$M$4838,4,FALSE)</f>
        <v/>
      </c>
      <c r="E595" s="17">
        <f>+VLOOKUP($A595,MAGAZZINO!$B$2:$M$4838,5,FALSE)</f>
        <v/>
      </c>
      <c r="F595" s="17">
        <f>+VLOOKUP($A595,MAGAZZINO!$B$2:$M$4838,6,FALSE)</f>
        <v/>
      </c>
      <c r="G595" s="17">
        <f>+VLOOKUP($A595,MAGAZZINO!$B$2:$M$4838,7,FALSE)</f>
        <v/>
      </c>
      <c r="H595" s="17">
        <f>+VLOOKUP($A595,MAGAZZINO!$B$2:$M$4838,8,FALSE)</f>
        <v/>
      </c>
      <c r="I595" s="17">
        <f>+VLOOKUP($A595,MAGAZZINO!$B$2:$M$4838,9,FALSE)</f>
        <v/>
      </c>
      <c r="J595" s="17">
        <f>+VLOOKUP($A595,MAGAZZINO!$B$2:$M$4838,10,FALSE)</f>
        <v/>
      </c>
      <c r="K595" s="17">
        <f>+VLOOKUP($A595,MAGAZZINO!$B$2:$M$4838,11,FALSE)</f>
        <v/>
      </c>
      <c r="L595" s="44">
        <f>+VLOOKUP($A595,MAGAZZINO!$B$2:$M$4838,12,FALSE)</f>
        <v/>
      </c>
    </row>
    <row r="596" ht="36" customHeight="1">
      <c r="A596" s="30">
        <f>+REGISTRO!A579</f>
        <v/>
      </c>
      <c r="B596" s="31">
        <f>+VLOOKUP($A596,MAGAZZINO!$B$2:$M$4838,2,FALSE)</f>
        <v/>
      </c>
      <c r="C596" s="32">
        <f>+VLOOKUP($A596,MAGAZZINO!$B$2:$M$4838,3,FALSE)</f>
        <v/>
      </c>
      <c r="D596" s="17">
        <f>+VLOOKUP($A596,MAGAZZINO!$B$2:$M$4838,4,FALSE)</f>
        <v/>
      </c>
      <c r="E596" s="17">
        <f>+VLOOKUP($A596,MAGAZZINO!$B$2:$M$4838,5,FALSE)</f>
        <v/>
      </c>
      <c r="F596" s="17">
        <f>+VLOOKUP($A596,MAGAZZINO!$B$2:$M$4838,6,FALSE)</f>
        <v/>
      </c>
      <c r="G596" s="17">
        <f>+VLOOKUP($A596,MAGAZZINO!$B$2:$M$4838,7,FALSE)</f>
        <v/>
      </c>
      <c r="H596" s="17">
        <f>+VLOOKUP($A596,MAGAZZINO!$B$2:$M$4838,8,FALSE)</f>
        <v/>
      </c>
      <c r="I596" s="17">
        <f>+VLOOKUP($A596,MAGAZZINO!$B$2:$M$4838,9,FALSE)</f>
        <v/>
      </c>
      <c r="J596" s="17">
        <f>+VLOOKUP($A596,MAGAZZINO!$B$2:$M$4838,10,FALSE)</f>
        <v/>
      </c>
      <c r="K596" s="17">
        <f>+VLOOKUP($A596,MAGAZZINO!$B$2:$M$4838,11,FALSE)</f>
        <v/>
      </c>
      <c r="L596" s="44">
        <f>+VLOOKUP($A596,MAGAZZINO!$B$2:$M$4838,12,FALSE)</f>
        <v/>
      </c>
    </row>
    <row r="597" ht="36" customHeight="1">
      <c r="A597" s="30">
        <f>+REGISTRO!A580</f>
        <v/>
      </c>
      <c r="B597" s="31">
        <f>+VLOOKUP($A597,MAGAZZINO!$B$2:$M$4838,2,FALSE)</f>
        <v/>
      </c>
      <c r="C597" s="32">
        <f>+VLOOKUP($A597,MAGAZZINO!$B$2:$M$4838,3,FALSE)</f>
        <v/>
      </c>
      <c r="D597" s="17">
        <f>+VLOOKUP($A597,MAGAZZINO!$B$2:$M$4838,4,FALSE)</f>
        <v/>
      </c>
      <c r="E597" s="17">
        <f>+VLOOKUP($A597,MAGAZZINO!$B$2:$M$4838,5,FALSE)</f>
        <v/>
      </c>
      <c r="F597" s="17">
        <f>+VLOOKUP($A597,MAGAZZINO!$B$2:$M$4838,6,FALSE)</f>
        <v/>
      </c>
      <c r="G597" s="17">
        <f>+VLOOKUP($A597,MAGAZZINO!$B$2:$M$4838,7,FALSE)</f>
        <v/>
      </c>
      <c r="H597" s="17">
        <f>+VLOOKUP($A597,MAGAZZINO!$B$2:$M$4838,8,FALSE)</f>
        <v/>
      </c>
      <c r="I597" s="17">
        <f>+VLOOKUP($A597,MAGAZZINO!$B$2:$M$4838,9,FALSE)</f>
        <v/>
      </c>
      <c r="J597" s="17">
        <f>+VLOOKUP($A597,MAGAZZINO!$B$2:$M$4838,10,FALSE)</f>
        <v/>
      </c>
      <c r="K597" s="17">
        <f>+VLOOKUP($A597,MAGAZZINO!$B$2:$M$4838,11,FALSE)</f>
        <v/>
      </c>
      <c r="L597" s="44">
        <f>+VLOOKUP($A597,MAGAZZINO!$B$2:$M$4838,12,FALSE)</f>
        <v/>
      </c>
    </row>
    <row r="598" ht="36" customHeight="1">
      <c r="A598" s="30">
        <f>+REGISTRO!A581</f>
        <v/>
      </c>
      <c r="B598" s="31">
        <f>+VLOOKUP($A598,MAGAZZINO!$B$2:$M$4838,2,FALSE)</f>
        <v/>
      </c>
      <c r="C598" s="32">
        <f>+VLOOKUP($A598,MAGAZZINO!$B$2:$M$4838,3,FALSE)</f>
        <v/>
      </c>
      <c r="D598" s="17">
        <f>+VLOOKUP($A598,MAGAZZINO!$B$2:$M$4838,4,FALSE)</f>
        <v/>
      </c>
      <c r="E598" s="17">
        <f>+VLOOKUP($A598,MAGAZZINO!$B$2:$M$4838,5,FALSE)</f>
        <v/>
      </c>
      <c r="F598" s="17">
        <f>+VLOOKUP($A598,MAGAZZINO!$B$2:$M$4838,6,FALSE)</f>
        <v/>
      </c>
      <c r="G598" s="17">
        <f>+VLOOKUP($A598,MAGAZZINO!$B$2:$M$4838,7,FALSE)</f>
        <v/>
      </c>
      <c r="H598" s="17">
        <f>+VLOOKUP($A598,MAGAZZINO!$B$2:$M$4838,8,FALSE)</f>
        <v/>
      </c>
      <c r="I598" s="17">
        <f>+VLOOKUP($A598,MAGAZZINO!$B$2:$M$4838,9,FALSE)</f>
        <v/>
      </c>
      <c r="J598" s="17">
        <f>+VLOOKUP($A598,MAGAZZINO!$B$2:$M$4838,10,FALSE)</f>
        <v/>
      </c>
      <c r="K598" s="17">
        <f>+VLOOKUP($A598,MAGAZZINO!$B$2:$M$4838,11,FALSE)</f>
        <v/>
      </c>
      <c r="L598" s="44">
        <f>+VLOOKUP($A598,MAGAZZINO!$B$2:$M$4838,12,FALSE)</f>
        <v/>
      </c>
    </row>
    <row r="599" ht="36" customHeight="1">
      <c r="A599" s="30">
        <f>+REGISTRO!A582</f>
        <v/>
      </c>
      <c r="B599" s="31">
        <f>+VLOOKUP($A599,MAGAZZINO!$B$2:$M$4838,2,FALSE)</f>
        <v/>
      </c>
      <c r="C599" s="32">
        <f>+VLOOKUP($A599,MAGAZZINO!$B$2:$M$4838,3,FALSE)</f>
        <v/>
      </c>
      <c r="D599" s="17">
        <f>+VLOOKUP($A599,MAGAZZINO!$B$2:$M$4838,4,FALSE)</f>
        <v/>
      </c>
      <c r="E599" s="17">
        <f>+VLOOKUP($A599,MAGAZZINO!$B$2:$M$4838,5,FALSE)</f>
        <v/>
      </c>
      <c r="F599" s="17">
        <f>+VLOOKUP($A599,MAGAZZINO!$B$2:$M$4838,6,FALSE)</f>
        <v/>
      </c>
      <c r="G599" s="17">
        <f>+VLOOKUP($A599,MAGAZZINO!$B$2:$M$4838,7,FALSE)</f>
        <v/>
      </c>
      <c r="H599" s="17">
        <f>+VLOOKUP($A599,MAGAZZINO!$B$2:$M$4838,8,FALSE)</f>
        <v/>
      </c>
      <c r="I599" s="17">
        <f>+VLOOKUP($A599,MAGAZZINO!$B$2:$M$4838,9,FALSE)</f>
        <v/>
      </c>
      <c r="J599" s="17">
        <f>+VLOOKUP($A599,MAGAZZINO!$B$2:$M$4838,10,FALSE)</f>
        <v/>
      </c>
      <c r="K599" s="17">
        <f>+VLOOKUP($A599,MAGAZZINO!$B$2:$M$4838,11,FALSE)</f>
        <v/>
      </c>
      <c r="L599" s="44">
        <f>+VLOOKUP($A599,MAGAZZINO!$B$2:$M$4838,12,FALSE)</f>
        <v/>
      </c>
    </row>
    <row r="600" ht="36" customHeight="1">
      <c r="A600" s="30">
        <f>+REGISTRO!A583</f>
        <v/>
      </c>
      <c r="B600" s="31">
        <f>+VLOOKUP($A600,MAGAZZINO!$B$2:$M$4838,2,FALSE)</f>
        <v/>
      </c>
      <c r="C600" s="32">
        <f>+VLOOKUP($A600,MAGAZZINO!$B$2:$M$4838,3,FALSE)</f>
        <v/>
      </c>
      <c r="D600" s="17">
        <f>+VLOOKUP($A600,MAGAZZINO!$B$2:$M$4838,4,FALSE)</f>
        <v/>
      </c>
      <c r="E600" s="17">
        <f>+VLOOKUP($A600,MAGAZZINO!$B$2:$M$4838,5,FALSE)</f>
        <v/>
      </c>
      <c r="F600" s="17">
        <f>+VLOOKUP($A600,MAGAZZINO!$B$2:$M$4838,6,FALSE)</f>
        <v/>
      </c>
      <c r="G600" s="17">
        <f>+VLOOKUP($A600,MAGAZZINO!$B$2:$M$4838,7,FALSE)</f>
        <v/>
      </c>
      <c r="H600" s="17">
        <f>+VLOOKUP($A600,MAGAZZINO!$B$2:$M$4838,8,FALSE)</f>
        <v/>
      </c>
      <c r="I600" s="17">
        <f>+VLOOKUP($A600,MAGAZZINO!$B$2:$M$4838,9,FALSE)</f>
        <v/>
      </c>
      <c r="J600" s="17">
        <f>+VLOOKUP($A600,MAGAZZINO!$B$2:$M$4838,10,FALSE)</f>
        <v/>
      </c>
      <c r="K600" s="17">
        <f>+VLOOKUP($A600,MAGAZZINO!$B$2:$M$4838,11,FALSE)</f>
        <v/>
      </c>
      <c r="L600" s="44">
        <f>+VLOOKUP($A600,MAGAZZINO!$B$2:$M$4838,12,FALSE)</f>
        <v/>
      </c>
    </row>
    <row r="601" ht="36" customHeight="1">
      <c r="A601" s="30">
        <f>+REGISTRO!A584</f>
        <v/>
      </c>
      <c r="B601" s="31">
        <f>+VLOOKUP($A601,MAGAZZINO!$B$2:$M$4838,2,FALSE)</f>
        <v/>
      </c>
      <c r="C601" s="32">
        <f>+VLOOKUP($A601,MAGAZZINO!$B$2:$M$4838,3,FALSE)</f>
        <v/>
      </c>
      <c r="D601" s="17">
        <f>+VLOOKUP($A601,MAGAZZINO!$B$2:$M$4838,4,FALSE)</f>
        <v/>
      </c>
      <c r="E601" s="17">
        <f>+VLOOKUP($A601,MAGAZZINO!$B$2:$M$4838,5,FALSE)</f>
        <v/>
      </c>
      <c r="F601" s="17">
        <f>+VLOOKUP($A601,MAGAZZINO!$B$2:$M$4838,6,FALSE)</f>
        <v/>
      </c>
      <c r="G601" s="17">
        <f>+VLOOKUP($A601,MAGAZZINO!$B$2:$M$4838,7,FALSE)</f>
        <v/>
      </c>
      <c r="H601" s="17">
        <f>+VLOOKUP($A601,MAGAZZINO!$B$2:$M$4838,8,FALSE)</f>
        <v/>
      </c>
      <c r="I601" s="17">
        <f>+VLOOKUP($A601,MAGAZZINO!$B$2:$M$4838,9,FALSE)</f>
        <v/>
      </c>
      <c r="J601" s="17">
        <f>+VLOOKUP($A601,MAGAZZINO!$B$2:$M$4838,10,FALSE)</f>
        <v/>
      </c>
      <c r="K601" s="17">
        <f>+VLOOKUP($A601,MAGAZZINO!$B$2:$M$4838,11,FALSE)</f>
        <v/>
      </c>
      <c r="L601" s="44">
        <f>+VLOOKUP($A601,MAGAZZINO!$B$2:$M$4838,12,FALSE)</f>
        <v/>
      </c>
    </row>
    <row r="602" ht="36" customHeight="1">
      <c r="A602" s="30">
        <f>+REGISTRO!A585</f>
        <v/>
      </c>
      <c r="B602" s="31">
        <f>+VLOOKUP($A602,MAGAZZINO!$B$2:$M$4838,2,FALSE)</f>
        <v/>
      </c>
      <c r="C602" s="32">
        <f>+VLOOKUP($A602,MAGAZZINO!$B$2:$M$4838,3,FALSE)</f>
        <v/>
      </c>
      <c r="D602" s="17">
        <f>+VLOOKUP($A602,MAGAZZINO!$B$2:$M$4838,4,FALSE)</f>
        <v/>
      </c>
      <c r="E602" s="17">
        <f>+VLOOKUP($A602,MAGAZZINO!$B$2:$M$4838,5,FALSE)</f>
        <v/>
      </c>
      <c r="F602" s="17">
        <f>+VLOOKUP($A602,MAGAZZINO!$B$2:$M$4838,6,FALSE)</f>
        <v/>
      </c>
      <c r="G602" s="17">
        <f>+VLOOKUP($A602,MAGAZZINO!$B$2:$M$4838,7,FALSE)</f>
        <v/>
      </c>
      <c r="H602" s="17">
        <f>+VLOOKUP($A602,MAGAZZINO!$B$2:$M$4838,8,FALSE)</f>
        <v/>
      </c>
      <c r="I602" s="17">
        <f>+VLOOKUP($A602,MAGAZZINO!$B$2:$M$4838,9,FALSE)</f>
        <v/>
      </c>
      <c r="J602" s="17">
        <f>+VLOOKUP($A602,MAGAZZINO!$B$2:$M$4838,10,FALSE)</f>
        <v/>
      </c>
      <c r="K602" s="17">
        <f>+VLOOKUP($A602,MAGAZZINO!$B$2:$M$4838,11,FALSE)</f>
        <v/>
      </c>
      <c r="L602" s="44">
        <f>+VLOOKUP($A602,MAGAZZINO!$B$2:$M$4838,12,FALSE)</f>
        <v/>
      </c>
    </row>
    <row r="603" ht="36" customHeight="1">
      <c r="A603" s="30">
        <f>+REGISTRO!A586</f>
        <v/>
      </c>
      <c r="B603" s="31">
        <f>+VLOOKUP($A603,MAGAZZINO!$B$2:$M$4838,2,FALSE)</f>
        <v/>
      </c>
      <c r="C603" s="32">
        <f>+VLOOKUP($A603,MAGAZZINO!$B$2:$M$4838,3,FALSE)</f>
        <v/>
      </c>
      <c r="D603" s="17">
        <f>+VLOOKUP($A603,MAGAZZINO!$B$2:$M$4838,4,FALSE)</f>
        <v/>
      </c>
      <c r="E603" s="17">
        <f>+VLOOKUP($A603,MAGAZZINO!$B$2:$M$4838,5,FALSE)</f>
        <v/>
      </c>
      <c r="F603" s="17">
        <f>+VLOOKUP($A603,MAGAZZINO!$B$2:$M$4838,6,FALSE)</f>
        <v/>
      </c>
      <c r="G603" s="17">
        <f>+VLOOKUP($A603,MAGAZZINO!$B$2:$M$4838,7,FALSE)</f>
        <v/>
      </c>
      <c r="H603" s="17">
        <f>+VLOOKUP($A603,MAGAZZINO!$B$2:$M$4838,8,FALSE)</f>
        <v/>
      </c>
      <c r="I603" s="17">
        <f>+VLOOKUP($A603,MAGAZZINO!$B$2:$M$4838,9,FALSE)</f>
        <v/>
      </c>
      <c r="J603" s="17">
        <f>+VLOOKUP($A603,MAGAZZINO!$B$2:$M$4838,10,FALSE)</f>
        <v/>
      </c>
      <c r="K603" s="17">
        <f>+VLOOKUP($A603,MAGAZZINO!$B$2:$M$4838,11,FALSE)</f>
        <v/>
      </c>
      <c r="L603" s="44">
        <f>+VLOOKUP($A603,MAGAZZINO!$B$2:$M$4838,12,FALSE)</f>
        <v/>
      </c>
    </row>
    <row r="604" ht="36" customHeight="1">
      <c r="A604" s="30">
        <f>+REGISTRO!A587</f>
        <v/>
      </c>
      <c r="B604" s="31">
        <f>+VLOOKUP($A604,MAGAZZINO!$B$2:$M$4838,2,FALSE)</f>
        <v/>
      </c>
      <c r="C604" s="32">
        <f>+VLOOKUP($A604,MAGAZZINO!$B$2:$M$4838,3,FALSE)</f>
        <v/>
      </c>
      <c r="D604" s="17">
        <f>+VLOOKUP($A604,MAGAZZINO!$B$2:$M$4838,4,FALSE)</f>
        <v/>
      </c>
      <c r="E604" s="17">
        <f>+VLOOKUP($A604,MAGAZZINO!$B$2:$M$4838,5,FALSE)</f>
        <v/>
      </c>
      <c r="F604" s="17">
        <f>+VLOOKUP($A604,MAGAZZINO!$B$2:$M$4838,6,FALSE)</f>
        <v/>
      </c>
      <c r="G604" s="17">
        <f>+VLOOKUP($A604,MAGAZZINO!$B$2:$M$4838,7,FALSE)</f>
        <v/>
      </c>
      <c r="H604" s="17">
        <f>+VLOOKUP($A604,MAGAZZINO!$B$2:$M$4838,8,FALSE)</f>
        <v/>
      </c>
      <c r="I604" s="17">
        <f>+VLOOKUP($A604,MAGAZZINO!$B$2:$M$4838,9,FALSE)</f>
        <v/>
      </c>
      <c r="J604" s="17">
        <f>+VLOOKUP($A604,MAGAZZINO!$B$2:$M$4838,10,FALSE)</f>
        <v/>
      </c>
      <c r="K604" s="17">
        <f>+VLOOKUP($A604,MAGAZZINO!$B$2:$M$4838,11,FALSE)</f>
        <v/>
      </c>
      <c r="L604" s="44">
        <f>+VLOOKUP($A604,MAGAZZINO!$B$2:$M$4838,12,FALSE)</f>
        <v/>
      </c>
    </row>
    <row r="605" ht="36" customHeight="1">
      <c r="A605" s="30">
        <f>+REGISTRO!A588</f>
        <v/>
      </c>
      <c r="B605" s="31">
        <f>+VLOOKUP($A605,MAGAZZINO!$B$2:$M$4838,2,FALSE)</f>
        <v/>
      </c>
      <c r="C605" s="32">
        <f>+VLOOKUP($A605,MAGAZZINO!$B$2:$M$4838,3,FALSE)</f>
        <v/>
      </c>
      <c r="D605" s="17">
        <f>+VLOOKUP($A605,MAGAZZINO!$B$2:$M$4838,4,FALSE)</f>
        <v/>
      </c>
      <c r="E605" s="17">
        <f>+VLOOKUP($A605,MAGAZZINO!$B$2:$M$4838,5,FALSE)</f>
        <v/>
      </c>
      <c r="F605" s="17">
        <f>+VLOOKUP($A605,MAGAZZINO!$B$2:$M$4838,6,FALSE)</f>
        <v/>
      </c>
      <c r="G605" s="17">
        <f>+VLOOKUP($A605,MAGAZZINO!$B$2:$M$4838,7,FALSE)</f>
        <v/>
      </c>
      <c r="H605" s="17">
        <f>+VLOOKUP($A605,MAGAZZINO!$B$2:$M$4838,8,FALSE)</f>
        <v/>
      </c>
      <c r="I605" s="17">
        <f>+VLOOKUP($A605,MAGAZZINO!$B$2:$M$4838,9,FALSE)</f>
        <v/>
      </c>
      <c r="J605" s="17">
        <f>+VLOOKUP($A605,MAGAZZINO!$B$2:$M$4838,10,FALSE)</f>
        <v/>
      </c>
      <c r="K605" s="17">
        <f>+VLOOKUP($A605,MAGAZZINO!$B$2:$M$4838,11,FALSE)</f>
        <v/>
      </c>
      <c r="L605" s="44">
        <f>+VLOOKUP($A605,MAGAZZINO!$B$2:$M$4838,12,FALSE)</f>
        <v/>
      </c>
    </row>
    <row r="606" ht="36" customHeight="1">
      <c r="A606" s="30">
        <f>+REGISTRO!A589</f>
        <v/>
      </c>
      <c r="B606" s="31">
        <f>+VLOOKUP($A606,MAGAZZINO!$B$2:$M$4838,2,FALSE)</f>
        <v/>
      </c>
      <c r="C606" s="32">
        <f>+VLOOKUP($A606,MAGAZZINO!$B$2:$M$4838,3,FALSE)</f>
        <v/>
      </c>
      <c r="D606" s="17">
        <f>+VLOOKUP($A606,MAGAZZINO!$B$2:$M$4838,4,FALSE)</f>
        <v/>
      </c>
      <c r="E606" s="17">
        <f>+VLOOKUP($A606,MAGAZZINO!$B$2:$M$4838,5,FALSE)</f>
        <v/>
      </c>
      <c r="F606" s="17">
        <f>+VLOOKUP($A606,MAGAZZINO!$B$2:$M$4838,6,FALSE)</f>
        <v/>
      </c>
      <c r="G606" s="17">
        <f>+VLOOKUP($A606,MAGAZZINO!$B$2:$M$4838,7,FALSE)</f>
        <v/>
      </c>
      <c r="H606" s="17">
        <f>+VLOOKUP($A606,MAGAZZINO!$B$2:$M$4838,8,FALSE)</f>
        <v/>
      </c>
      <c r="I606" s="17">
        <f>+VLOOKUP($A606,MAGAZZINO!$B$2:$M$4838,9,FALSE)</f>
        <v/>
      </c>
      <c r="J606" s="17">
        <f>+VLOOKUP($A606,MAGAZZINO!$B$2:$M$4838,10,FALSE)</f>
        <v/>
      </c>
      <c r="K606" s="17">
        <f>+VLOOKUP($A606,MAGAZZINO!$B$2:$M$4838,11,FALSE)</f>
        <v/>
      </c>
      <c r="L606" s="44">
        <f>+VLOOKUP($A606,MAGAZZINO!$B$2:$M$4838,12,FALSE)</f>
        <v/>
      </c>
    </row>
    <row r="607" ht="36" customHeight="1">
      <c r="A607" s="30">
        <f>+REGISTRO!A590</f>
        <v/>
      </c>
      <c r="B607" s="31">
        <f>+VLOOKUP($A607,MAGAZZINO!$B$2:$M$4838,2,FALSE)</f>
        <v/>
      </c>
      <c r="C607" s="32">
        <f>+VLOOKUP($A607,MAGAZZINO!$B$2:$M$4838,3,FALSE)</f>
        <v/>
      </c>
      <c r="D607" s="17">
        <f>+VLOOKUP($A607,MAGAZZINO!$B$2:$M$4838,4,FALSE)</f>
        <v/>
      </c>
      <c r="E607" s="17">
        <f>+VLOOKUP($A607,MAGAZZINO!$B$2:$M$4838,5,FALSE)</f>
        <v/>
      </c>
      <c r="F607" s="17">
        <f>+VLOOKUP($A607,MAGAZZINO!$B$2:$M$4838,6,FALSE)</f>
        <v/>
      </c>
      <c r="G607" s="17">
        <f>+VLOOKUP($A607,MAGAZZINO!$B$2:$M$4838,7,FALSE)</f>
        <v/>
      </c>
      <c r="H607" s="17">
        <f>+VLOOKUP($A607,MAGAZZINO!$B$2:$M$4838,8,FALSE)</f>
        <v/>
      </c>
      <c r="I607" s="17">
        <f>+VLOOKUP($A607,MAGAZZINO!$B$2:$M$4838,9,FALSE)</f>
        <v/>
      </c>
      <c r="J607" s="17">
        <f>+VLOOKUP($A607,MAGAZZINO!$B$2:$M$4838,10,FALSE)</f>
        <v/>
      </c>
      <c r="K607" s="17">
        <f>+VLOOKUP($A607,MAGAZZINO!$B$2:$M$4838,11,FALSE)</f>
        <v/>
      </c>
      <c r="L607" s="44">
        <f>+VLOOKUP($A607,MAGAZZINO!$B$2:$M$4838,12,FALSE)</f>
        <v/>
      </c>
    </row>
    <row r="608" ht="36" customHeight="1">
      <c r="A608" s="30">
        <f>+REGISTRO!A591</f>
        <v/>
      </c>
      <c r="B608" s="31">
        <f>+VLOOKUP($A608,MAGAZZINO!$B$2:$M$4838,2,FALSE)</f>
        <v/>
      </c>
      <c r="C608" s="32">
        <f>+VLOOKUP($A608,MAGAZZINO!$B$2:$M$4838,3,FALSE)</f>
        <v/>
      </c>
      <c r="D608" s="17">
        <f>+VLOOKUP($A608,MAGAZZINO!$B$2:$M$4838,4,FALSE)</f>
        <v/>
      </c>
      <c r="E608" s="17">
        <f>+VLOOKUP($A608,MAGAZZINO!$B$2:$M$4838,5,FALSE)</f>
        <v/>
      </c>
      <c r="F608" s="17">
        <f>+VLOOKUP($A608,MAGAZZINO!$B$2:$M$4838,6,FALSE)</f>
        <v/>
      </c>
      <c r="G608" s="17">
        <f>+VLOOKUP($A608,MAGAZZINO!$B$2:$M$4838,7,FALSE)</f>
        <v/>
      </c>
      <c r="H608" s="17">
        <f>+VLOOKUP($A608,MAGAZZINO!$B$2:$M$4838,8,FALSE)</f>
        <v/>
      </c>
      <c r="I608" s="17">
        <f>+VLOOKUP($A608,MAGAZZINO!$B$2:$M$4838,9,FALSE)</f>
        <v/>
      </c>
      <c r="J608" s="17">
        <f>+VLOOKUP($A608,MAGAZZINO!$B$2:$M$4838,10,FALSE)</f>
        <v/>
      </c>
      <c r="K608" s="17">
        <f>+VLOOKUP($A608,MAGAZZINO!$B$2:$M$4838,11,FALSE)</f>
        <v/>
      </c>
      <c r="L608" s="44">
        <f>+VLOOKUP($A608,MAGAZZINO!$B$2:$M$4838,12,FALSE)</f>
        <v/>
      </c>
    </row>
    <row r="609" ht="36" customHeight="1">
      <c r="A609" s="30">
        <f>+REGISTRO!A592</f>
        <v/>
      </c>
      <c r="B609" s="31">
        <f>+VLOOKUP($A609,MAGAZZINO!$B$2:$M$4838,2,FALSE)</f>
        <v/>
      </c>
      <c r="C609" s="32">
        <f>+VLOOKUP($A609,MAGAZZINO!$B$2:$M$4838,3,FALSE)</f>
        <v/>
      </c>
      <c r="D609" s="17">
        <f>+VLOOKUP($A609,MAGAZZINO!$B$2:$M$4838,4,FALSE)</f>
        <v/>
      </c>
      <c r="E609" s="17">
        <f>+VLOOKUP($A609,MAGAZZINO!$B$2:$M$4838,5,FALSE)</f>
        <v/>
      </c>
      <c r="F609" s="17">
        <f>+VLOOKUP($A609,MAGAZZINO!$B$2:$M$4838,6,FALSE)</f>
        <v/>
      </c>
      <c r="G609" s="17">
        <f>+VLOOKUP($A609,MAGAZZINO!$B$2:$M$4838,7,FALSE)</f>
        <v/>
      </c>
      <c r="H609" s="17">
        <f>+VLOOKUP($A609,MAGAZZINO!$B$2:$M$4838,8,FALSE)</f>
        <v/>
      </c>
      <c r="I609" s="17">
        <f>+VLOOKUP($A609,MAGAZZINO!$B$2:$M$4838,9,FALSE)</f>
        <v/>
      </c>
      <c r="J609" s="17">
        <f>+VLOOKUP($A609,MAGAZZINO!$B$2:$M$4838,10,FALSE)</f>
        <v/>
      </c>
      <c r="K609" s="17">
        <f>+VLOOKUP($A609,MAGAZZINO!$B$2:$M$4838,11,FALSE)</f>
        <v/>
      </c>
      <c r="L609" s="44">
        <f>+VLOOKUP($A609,MAGAZZINO!$B$2:$M$4838,12,FALSE)</f>
        <v/>
      </c>
    </row>
    <row r="610" ht="36" customHeight="1">
      <c r="A610" s="30">
        <f>+REGISTRO!A593</f>
        <v/>
      </c>
      <c r="B610" s="31">
        <f>+VLOOKUP($A610,MAGAZZINO!$B$2:$M$4838,2,FALSE)</f>
        <v/>
      </c>
      <c r="C610" s="32">
        <f>+VLOOKUP($A610,MAGAZZINO!$B$2:$M$4838,3,FALSE)</f>
        <v/>
      </c>
      <c r="D610" s="17">
        <f>+VLOOKUP($A610,MAGAZZINO!$B$2:$M$4838,4,FALSE)</f>
        <v/>
      </c>
      <c r="E610" s="17">
        <f>+VLOOKUP($A610,MAGAZZINO!$B$2:$M$4838,5,FALSE)</f>
        <v/>
      </c>
      <c r="F610" s="17">
        <f>+VLOOKUP($A610,MAGAZZINO!$B$2:$M$4838,6,FALSE)</f>
        <v/>
      </c>
      <c r="G610" s="17">
        <f>+VLOOKUP($A610,MAGAZZINO!$B$2:$M$4838,7,FALSE)</f>
        <v/>
      </c>
      <c r="H610" s="17">
        <f>+VLOOKUP($A610,MAGAZZINO!$B$2:$M$4838,8,FALSE)</f>
        <v/>
      </c>
      <c r="I610" s="17">
        <f>+VLOOKUP($A610,MAGAZZINO!$B$2:$M$4838,9,FALSE)</f>
        <v/>
      </c>
      <c r="J610" s="17">
        <f>+VLOOKUP($A610,MAGAZZINO!$B$2:$M$4838,10,FALSE)</f>
        <v/>
      </c>
      <c r="K610" s="17">
        <f>+VLOOKUP($A610,MAGAZZINO!$B$2:$M$4838,11,FALSE)</f>
        <v/>
      </c>
      <c r="L610" s="44">
        <f>+VLOOKUP($A610,MAGAZZINO!$B$2:$M$4838,12,FALSE)</f>
        <v/>
      </c>
    </row>
    <row r="611" ht="36" customHeight="1">
      <c r="A611" s="30">
        <f>+REGISTRO!A594</f>
        <v/>
      </c>
      <c r="B611" s="31">
        <f>+VLOOKUP($A611,MAGAZZINO!$B$2:$M$4838,2,FALSE)</f>
        <v/>
      </c>
      <c r="C611" s="32">
        <f>+VLOOKUP($A611,MAGAZZINO!$B$2:$M$4838,3,FALSE)</f>
        <v/>
      </c>
      <c r="D611" s="17">
        <f>+VLOOKUP($A611,MAGAZZINO!$B$2:$M$4838,4,FALSE)</f>
        <v/>
      </c>
      <c r="E611" s="17">
        <f>+VLOOKUP($A611,MAGAZZINO!$B$2:$M$4838,5,FALSE)</f>
        <v/>
      </c>
      <c r="F611" s="17">
        <f>+VLOOKUP($A611,MAGAZZINO!$B$2:$M$4838,6,FALSE)</f>
        <v/>
      </c>
      <c r="G611" s="17">
        <f>+VLOOKUP($A611,MAGAZZINO!$B$2:$M$4838,7,FALSE)</f>
        <v/>
      </c>
      <c r="H611" s="17">
        <f>+VLOOKUP($A611,MAGAZZINO!$B$2:$M$4838,8,FALSE)</f>
        <v/>
      </c>
      <c r="I611" s="17">
        <f>+VLOOKUP($A611,MAGAZZINO!$B$2:$M$4838,9,FALSE)</f>
        <v/>
      </c>
      <c r="J611" s="17">
        <f>+VLOOKUP($A611,MAGAZZINO!$B$2:$M$4838,10,FALSE)</f>
        <v/>
      </c>
      <c r="K611" s="17">
        <f>+VLOOKUP($A611,MAGAZZINO!$B$2:$M$4838,11,FALSE)</f>
        <v/>
      </c>
      <c r="L611" s="44">
        <f>+VLOOKUP($A611,MAGAZZINO!$B$2:$M$4838,12,FALSE)</f>
        <v/>
      </c>
    </row>
    <row r="612" ht="36" customHeight="1">
      <c r="A612" s="30">
        <f>+REGISTRO!A595</f>
        <v/>
      </c>
      <c r="B612" s="31">
        <f>+VLOOKUP($A612,MAGAZZINO!$B$2:$M$4838,2,FALSE)</f>
        <v/>
      </c>
      <c r="C612" s="32">
        <f>+VLOOKUP($A612,MAGAZZINO!$B$2:$M$4838,3,FALSE)</f>
        <v/>
      </c>
      <c r="D612" s="17">
        <f>+VLOOKUP($A612,MAGAZZINO!$B$2:$M$4838,4,FALSE)</f>
        <v/>
      </c>
      <c r="E612" s="17">
        <f>+VLOOKUP($A612,MAGAZZINO!$B$2:$M$4838,5,FALSE)</f>
        <v/>
      </c>
      <c r="F612" s="17">
        <f>+VLOOKUP($A612,MAGAZZINO!$B$2:$M$4838,6,FALSE)</f>
        <v/>
      </c>
      <c r="G612" s="17">
        <f>+VLOOKUP($A612,MAGAZZINO!$B$2:$M$4838,7,FALSE)</f>
        <v/>
      </c>
      <c r="H612" s="17">
        <f>+VLOOKUP($A612,MAGAZZINO!$B$2:$M$4838,8,FALSE)</f>
        <v/>
      </c>
      <c r="I612" s="17">
        <f>+VLOOKUP($A612,MAGAZZINO!$B$2:$M$4838,9,FALSE)</f>
        <v/>
      </c>
      <c r="J612" s="17">
        <f>+VLOOKUP($A612,MAGAZZINO!$B$2:$M$4838,10,FALSE)</f>
        <v/>
      </c>
      <c r="K612" s="17">
        <f>+VLOOKUP($A612,MAGAZZINO!$B$2:$M$4838,11,FALSE)</f>
        <v/>
      </c>
      <c r="L612" s="44">
        <f>+VLOOKUP($A612,MAGAZZINO!$B$2:$M$4838,12,FALSE)</f>
        <v/>
      </c>
    </row>
    <row r="613" ht="36" customHeight="1">
      <c r="A613" s="30">
        <f>+REGISTRO!A596</f>
        <v/>
      </c>
      <c r="B613" s="31">
        <f>+VLOOKUP($A613,MAGAZZINO!$B$2:$M$4838,2,FALSE)</f>
        <v/>
      </c>
      <c r="C613" s="32">
        <f>+VLOOKUP($A613,MAGAZZINO!$B$2:$M$4838,3,FALSE)</f>
        <v/>
      </c>
      <c r="D613" s="17">
        <f>+VLOOKUP($A613,MAGAZZINO!$B$2:$M$4838,4,FALSE)</f>
        <v/>
      </c>
      <c r="E613" s="17">
        <f>+VLOOKUP($A613,MAGAZZINO!$B$2:$M$4838,5,FALSE)</f>
        <v/>
      </c>
      <c r="F613" s="17">
        <f>+VLOOKUP($A613,MAGAZZINO!$B$2:$M$4838,6,FALSE)</f>
        <v/>
      </c>
      <c r="G613" s="17">
        <f>+VLOOKUP($A613,MAGAZZINO!$B$2:$M$4838,7,FALSE)</f>
        <v/>
      </c>
      <c r="H613" s="17">
        <f>+VLOOKUP($A613,MAGAZZINO!$B$2:$M$4838,8,FALSE)</f>
        <v/>
      </c>
      <c r="I613" s="17">
        <f>+VLOOKUP($A613,MAGAZZINO!$B$2:$M$4838,9,FALSE)</f>
        <v/>
      </c>
      <c r="J613" s="17">
        <f>+VLOOKUP($A613,MAGAZZINO!$B$2:$M$4838,10,FALSE)</f>
        <v/>
      </c>
      <c r="K613" s="17">
        <f>+VLOOKUP($A613,MAGAZZINO!$B$2:$M$4838,11,FALSE)</f>
        <v/>
      </c>
      <c r="L613" s="44">
        <f>+VLOOKUP($A613,MAGAZZINO!$B$2:$M$4838,12,FALSE)</f>
        <v/>
      </c>
    </row>
    <row r="614" ht="36" customHeight="1">
      <c r="A614" s="30">
        <f>+REGISTRO!A597</f>
        <v/>
      </c>
      <c r="B614" s="31">
        <f>+VLOOKUP($A614,MAGAZZINO!$B$2:$M$4838,2,FALSE)</f>
        <v/>
      </c>
      <c r="C614" s="32">
        <f>+VLOOKUP($A614,MAGAZZINO!$B$2:$M$4838,3,FALSE)</f>
        <v/>
      </c>
      <c r="D614" s="17">
        <f>+VLOOKUP($A614,MAGAZZINO!$B$2:$M$4838,4,FALSE)</f>
        <v/>
      </c>
      <c r="E614" s="17">
        <f>+VLOOKUP($A614,MAGAZZINO!$B$2:$M$4838,5,FALSE)</f>
        <v/>
      </c>
      <c r="F614" s="17">
        <f>+VLOOKUP($A614,MAGAZZINO!$B$2:$M$4838,6,FALSE)</f>
        <v/>
      </c>
      <c r="G614" s="17">
        <f>+VLOOKUP($A614,MAGAZZINO!$B$2:$M$4838,7,FALSE)</f>
        <v/>
      </c>
      <c r="H614" s="17">
        <f>+VLOOKUP($A614,MAGAZZINO!$B$2:$M$4838,8,FALSE)</f>
        <v/>
      </c>
      <c r="I614" s="17">
        <f>+VLOOKUP($A614,MAGAZZINO!$B$2:$M$4838,9,FALSE)</f>
        <v/>
      </c>
      <c r="J614" s="17">
        <f>+VLOOKUP($A614,MAGAZZINO!$B$2:$M$4838,10,FALSE)</f>
        <v/>
      </c>
      <c r="K614" s="17">
        <f>+VLOOKUP($A614,MAGAZZINO!$B$2:$M$4838,11,FALSE)</f>
        <v/>
      </c>
      <c r="L614" s="44">
        <f>+VLOOKUP($A614,MAGAZZINO!$B$2:$M$4838,12,FALSE)</f>
        <v/>
      </c>
    </row>
    <row r="615" ht="36" customHeight="1">
      <c r="A615" s="30">
        <f>+REGISTRO!A598</f>
        <v/>
      </c>
      <c r="B615" s="31">
        <f>+VLOOKUP($A615,MAGAZZINO!$B$2:$M$4838,2,FALSE)</f>
        <v/>
      </c>
      <c r="C615" s="32">
        <f>+VLOOKUP($A615,MAGAZZINO!$B$2:$M$4838,3,FALSE)</f>
        <v/>
      </c>
      <c r="D615" s="17">
        <f>+VLOOKUP($A615,MAGAZZINO!$B$2:$M$4838,4,FALSE)</f>
        <v/>
      </c>
      <c r="E615" s="17">
        <f>+VLOOKUP($A615,MAGAZZINO!$B$2:$M$4838,5,FALSE)</f>
        <v/>
      </c>
      <c r="F615" s="17">
        <f>+VLOOKUP($A615,MAGAZZINO!$B$2:$M$4838,6,FALSE)</f>
        <v/>
      </c>
      <c r="G615" s="17">
        <f>+VLOOKUP($A615,MAGAZZINO!$B$2:$M$4838,7,FALSE)</f>
        <v/>
      </c>
      <c r="H615" s="17">
        <f>+VLOOKUP($A615,MAGAZZINO!$B$2:$M$4838,8,FALSE)</f>
        <v/>
      </c>
      <c r="I615" s="17">
        <f>+VLOOKUP($A615,MAGAZZINO!$B$2:$M$4838,9,FALSE)</f>
        <v/>
      </c>
      <c r="J615" s="17">
        <f>+VLOOKUP($A615,MAGAZZINO!$B$2:$M$4838,10,FALSE)</f>
        <v/>
      </c>
      <c r="K615" s="17">
        <f>+VLOOKUP($A615,MAGAZZINO!$B$2:$M$4838,11,FALSE)</f>
        <v/>
      </c>
      <c r="L615" s="44">
        <f>+VLOOKUP($A615,MAGAZZINO!$B$2:$M$4838,12,FALSE)</f>
        <v/>
      </c>
    </row>
    <row r="616" ht="36" customHeight="1">
      <c r="A616" s="30">
        <f>+REGISTRO!A599</f>
        <v/>
      </c>
      <c r="B616" s="31">
        <f>+VLOOKUP($A616,MAGAZZINO!$B$2:$M$4838,2,FALSE)</f>
        <v/>
      </c>
      <c r="C616" s="32">
        <f>+VLOOKUP($A616,MAGAZZINO!$B$2:$M$4838,3,FALSE)</f>
        <v/>
      </c>
      <c r="D616" s="17">
        <f>+VLOOKUP($A616,MAGAZZINO!$B$2:$M$4838,4,FALSE)</f>
        <v/>
      </c>
      <c r="E616" s="17">
        <f>+VLOOKUP($A616,MAGAZZINO!$B$2:$M$4838,5,FALSE)</f>
        <v/>
      </c>
      <c r="F616" s="17">
        <f>+VLOOKUP($A616,MAGAZZINO!$B$2:$M$4838,6,FALSE)</f>
        <v/>
      </c>
      <c r="G616" s="17">
        <f>+VLOOKUP($A616,MAGAZZINO!$B$2:$M$4838,7,FALSE)</f>
        <v/>
      </c>
      <c r="H616" s="17">
        <f>+VLOOKUP($A616,MAGAZZINO!$B$2:$M$4838,8,FALSE)</f>
        <v/>
      </c>
      <c r="I616" s="17">
        <f>+VLOOKUP($A616,MAGAZZINO!$B$2:$M$4838,9,FALSE)</f>
        <v/>
      </c>
      <c r="J616" s="17">
        <f>+VLOOKUP($A616,MAGAZZINO!$B$2:$M$4838,10,FALSE)</f>
        <v/>
      </c>
      <c r="K616" s="17">
        <f>+VLOOKUP($A616,MAGAZZINO!$B$2:$M$4838,11,FALSE)</f>
        <v/>
      </c>
      <c r="L616" s="44">
        <f>+VLOOKUP($A616,MAGAZZINO!$B$2:$M$4838,12,FALSE)</f>
        <v/>
      </c>
    </row>
    <row r="617" ht="36" customHeight="1">
      <c r="A617" s="30">
        <f>+REGISTRO!A600</f>
        <v/>
      </c>
      <c r="B617" s="31">
        <f>+VLOOKUP($A617,MAGAZZINO!$B$2:$M$4838,2,FALSE)</f>
        <v/>
      </c>
      <c r="C617" s="32">
        <f>+VLOOKUP($A617,MAGAZZINO!$B$2:$M$4838,3,FALSE)</f>
        <v/>
      </c>
      <c r="D617" s="17">
        <f>+VLOOKUP($A617,MAGAZZINO!$B$2:$M$4838,4,FALSE)</f>
        <v/>
      </c>
      <c r="E617" s="17">
        <f>+VLOOKUP($A617,MAGAZZINO!$B$2:$M$4838,5,FALSE)</f>
        <v/>
      </c>
      <c r="F617" s="17">
        <f>+VLOOKUP($A617,MAGAZZINO!$B$2:$M$4838,6,FALSE)</f>
        <v/>
      </c>
      <c r="G617" s="17">
        <f>+VLOOKUP($A617,MAGAZZINO!$B$2:$M$4838,7,FALSE)</f>
        <v/>
      </c>
      <c r="H617" s="17">
        <f>+VLOOKUP($A617,MAGAZZINO!$B$2:$M$4838,8,FALSE)</f>
        <v/>
      </c>
      <c r="I617" s="17">
        <f>+VLOOKUP($A617,MAGAZZINO!$B$2:$M$4838,9,FALSE)</f>
        <v/>
      </c>
      <c r="J617" s="17">
        <f>+VLOOKUP($A617,MAGAZZINO!$B$2:$M$4838,10,FALSE)</f>
        <v/>
      </c>
      <c r="K617" s="17">
        <f>+VLOOKUP($A617,MAGAZZINO!$B$2:$M$4838,11,FALSE)</f>
        <v/>
      </c>
      <c r="L617" s="44">
        <f>+VLOOKUP($A617,MAGAZZINO!$B$2:$M$4838,12,FALSE)</f>
        <v/>
      </c>
    </row>
    <row r="618" ht="36" customHeight="1">
      <c r="A618" s="30">
        <f>+REGISTRO!A601</f>
        <v/>
      </c>
      <c r="B618" s="31">
        <f>+VLOOKUP($A618,MAGAZZINO!$B$2:$M$4838,2,FALSE)</f>
        <v/>
      </c>
      <c r="C618" s="32">
        <f>+VLOOKUP($A618,MAGAZZINO!$B$2:$M$4838,3,FALSE)</f>
        <v/>
      </c>
      <c r="D618" s="17">
        <f>+VLOOKUP($A618,MAGAZZINO!$B$2:$M$4838,4,FALSE)</f>
        <v/>
      </c>
      <c r="E618" s="17">
        <f>+VLOOKUP($A618,MAGAZZINO!$B$2:$M$4838,5,FALSE)</f>
        <v/>
      </c>
      <c r="F618" s="17">
        <f>+VLOOKUP($A618,MAGAZZINO!$B$2:$M$4838,6,FALSE)</f>
        <v/>
      </c>
      <c r="G618" s="17">
        <f>+VLOOKUP($A618,MAGAZZINO!$B$2:$M$4838,7,FALSE)</f>
        <v/>
      </c>
      <c r="H618" s="17">
        <f>+VLOOKUP($A618,MAGAZZINO!$B$2:$M$4838,8,FALSE)</f>
        <v/>
      </c>
      <c r="I618" s="17">
        <f>+VLOOKUP($A618,MAGAZZINO!$B$2:$M$4838,9,FALSE)</f>
        <v/>
      </c>
      <c r="J618" s="17">
        <f>+VLOOKUP($A618,MAGAZZINO!$B$2:$M$4838,10,FALSE)</f>
        <v/>
      </c>
      <c r="K618" s="17">
        <f>+VLOOKUP($A618,MAGAZZINO!$B$2:$M$4838,11,FALSE)</f>
        <v/>
      </c>
      <c r="L618" s="44">
        <f>+VLOOKUP($A618,MAGAZZINO!$B$2:$M$4838,12,FALSE)</f>
        <v/>
      </c>
    </row>
    <row r="619" ht="36" customHeight="1">
      <c r="A619" s="30">
        <f>+REGISTRO!A602</f>
        <v/>
      </c>
      <c r="B619" s="31">
        <f>+VLOOKUP($A619,MAGAZZINO!$B$2:$M$4838,2,FALSE)</f>
        <v/>
      </c>
      <c r="C619" s="32">
        <f>+VLOOKUP($A619,MAGAZZINO!$B$2:$M$4838,3,FALSE)</f>
        <v/>
      </c>
      <c r="D619" s="17">
        <f>+VLOOKUP($A619,MAGAZZINO!$B$2:$M$4838,4,FALSE)</f>
        <v/>
      </c>
      <c r="E619" s="17">
        <f>+VLOOKUP($A619,MAGAZZINO!$B$2:$M$4838,5,FALSE)</f>
        <v/>
      </c>
      <c r="F619" s="17">
        <f>+VLOOKUP($A619,MAGAZZINO!$B$2:$M$4838,6,FALSE)</f>
        <v/>
      </c>
      <c r="G619" s="17">
        <f>+VLOOKUP($A619,MAGAZZINO!$B$2:$M$4838,7,FALSE)</f>
        <v/>
      </c>
      <c r="H619" s="17">
        <f>+VLOOKUP($A619,MAGAZZINO!$B$2:$M$4838,8,FALSE)</f>
        <v/>
      </c>
      <c r="I619" s="17">
        <f>+VLOOKUP($A619,MAGAZZINO!$B$2:$M$4838,9,FALSE)</f>
        <v/>
      </c>
      <c r="J619" s="17">
        <f>+VLOOKUP($A619,MAGAZZINO!$B$2:$M$4838,10,FALSE)</f>
        <v/>
      </c>
      <c r="K619" s="17">
        <f>+VLOOKUP($A619,MAGAZZINO!$B$2:$M$4838,11,FALSE)</f>
        <v/>
      </c>
      <c r="L619" s="44">
        <f>+VLOOKUP($A619,MAGAZZINO!$B$2:$M$4838,12,FALSE)</f>
        <v/>
      </c>
    </row>
    <row r="620" ht="36" customHeight="1">
      <c r="A620" s="30">
        <f>+REGISTRO!A603</f>
        <v/>
      </c>
      <c r="B620" s="31">
        <f>+VLOOKUP($A620,MAGAZZINO!$B$2:$M$4838,2,FALSE)</f>
        <v/>
      </c>
      <c r="C620" s="32">
        <f>+VLOOKUP($A620,MAGAZZINO!$B$2:$M$4838,3,FALSE)</f>
        <v/>
      </c>
      <c r="D620" s="17">
        <f>+VLOOKUP($A620,MAGAZZINO!$B$2:$M$4838,4,FALSE)</f>
        <v/>
      </c>
      <c r="E620" s="17">
        <f>+VLOOKUP($A620,MAGAZZINO!$B$2:$M$4838,5,FALSE)</f>
        <v/>
      </c>
      <c r="F620" s="17">
        <f>+VLOOKUP($A620,MAGAZZINO!$B$2:$M$4838,6,FALSE)</f>
        <v/>
      </c>
      <c r="G620" s="17">
        <f>+VLOOKUP($A620,MAGAZZINO!$B$2:$M$4838,7,FALSE)</f>
        <v/>
      </c>
      <c r="H620" s="17">
        <f>+VLOOKUP($A620,MAGAZZINO!$B$2:$M$4838,8,FALSE)</f>
        <v/>
      </c>
      <c r="I620" s="17">
        <f>+VLOOKUP($A620,MAGAZZINO!$B$2:$M$4838,9,FALSE)</f>
        <v/>
      </c>
      <c r="J620" s="17">
        <f>+VLOOKUP($A620,MAGAZZINO!$B$2:$M$4838,10,FALSE)</f>
        <v/>
      </c>
      <c r="K620" s="17">
        <f>+VLOOKUP($A620,MAGAZZINO!$B$2:$M$4838,11,FALSE)</f>
        <v/>
      </c>
      <c r="L620" s="44">
        <f>+VLOOKUP($A620,MAGAZZINO!$B$2:$M$4838,12,FALSE)</f>
        <v/>
      </c>
    </row>
    <row r="621" ht="36" customHeight="1">
      <c r="A621" s="30">
        <f>+REGISTRO!A604</f>
        <v/>
      </c>
      <c r="B621" s="31">
        <f>+VLOOKUP($A621,MAGAZZINO!$B$2:$M$4838,2,FALSE)</f>
        <v/>
      </c>
      <c r="C621" s="32">
        <f>+VLOOKUP($A621,MAGAZZINO!$B$2:$M$4838,3,FALSE)</f>
        <v/>
      </c>
      <c r="D621" s="17">
        <f>+VLOOKUP($A621,MAGAZZINO!$B$2:$M$4838,4,FALSE)</f>
        <v/>
      </c>
      <c r="E621" s="17">
        <f>+VLOOKUP($A621,MAGAZZINO!$B$2:$M$4838,5,FALSE)</f>
        <v/>
      </c>
      <c r="F621" s="17">
        <f>+VLOOKUP($A621,MAGAZZINO!$B$2:$M$4838,6,FALSE)</f>
        <v/>
      </c>
      <c r="G621" s="17">
        <f>+VLOOKUP($A621,MAGAZZINO!$B$2:$M$4838,7,FALSE)</f>
        <v/>
      </c>
      <c r="H621" s="17">
        <f>+VLOOKUP($A621,MAGAZZINO!$B$2:$M$4838,8,FALSE)</f>
        <v/>
      </c>
      <c r="I621" s="17">
        <f>+VLOOKUP($A621,MAGAZZINO!$B$2:$M$4838,9,FALSE)</f>
        <v/>
      </c>
      <c r="J621" s="17">
        <f>+VLOOKUP($A621,MAGAZZINO!$B$2:$M$4838,10,FALSE)</f>
        <v/>
      </c>
      <c r="K621" s="17">
        <f>+VLOOKUP($A621,MAGAZZINO!$B$2:$M$4838,11,FALSE)</f>
        <v/>
      </c>
      <c r="L621" s="44">
        <f>+VLOOKUP($A621,MAGAZZINO!$B$2:$M$4838,12,FALSE)</f>
        <v/>
      </c>
    </row>
    <row r="622" ht="36" customHeight="1">
      <c r="A622" s="30">
        <f>+REGISTRO!A605</f>
        <v/>
      </c>
      <c r="B622" s="31">
        <f>+VLOOKUP($A622,MAGAZZINO!$B$2:$M$4838,2,FALSE)</f>
        <v/>
      </c>
      <c r="C622" s="32">
        <f>+VLOOKUP($A622,MAGAZZINO!$B$2:$M$4838,3,FALSE)</f>
        <v/>
      </c>
      <c r="D622" s="17">
        <f>+VLOOKUP($A622,MAGAZZINO!$B$2:$M$4838,4,FALSE)</f>
        <v/>
      </c>
      <c r="E622" s="17">
        <f>+VLOOKUP($A622,MAGAZZINO!$B$2:$M$4838,5,FALSE)</f>
        <v/>
      </c>
      <c r="F622" s="17">
        <f>+VLOOKUP($A622,MAGAZZINO!$B$2:$M$4838,6,FALSE)</f>
        <v/>
      </c>
      <c r="G622" s="17">
        <f>+VLOOKUP($A622,MAGAZZINO!$B$2:$M$4838,7,FALSE)</f>
        <v/>
      </c>
      <c r="H622" s="17">
        <f>+VLOOKUP($A622,MAGAZZINO!$B$2:$M$4838,8,FALSE)</f>
        <v/>
      </c>
      <c r="I622" s="17">
        <f>+VLOOKUP($A622,MAGAZZINO!$B$2:$M$4838,9,FALSE)</f>
        <v/>
      </c>
      <c r="J622" s="17">
        <f>+VLOOKUP($A622,MAGAZZINO!$B$2:$M$4838,10,FALSE)</f>
        <v/>
      </c>
      <c r="K622" s="17">
        <f>+VLOOKUP($A622,MAGAZZINO!$B$2:$M$4838,11,FALSE)</f>
        <v/>
      </c>
      <c r="L622" s="44">
        <f>+VLOOKUP($A622,MAGAZZINO!$B$2:$M$4838,12,FALSE)</f>
        <v/>
      </c>
    </row>
    <row r="623" ht="36" customHeight="1">
      <c r="A623" s="30">
        <f>+REGISTRO!A606</f>
        <v/>
      </c>
      <c r="B623" s="31">
        <f>+VLOOKUP($A623,MAGAZZINO!$B$2:$M$4838,2,FALSE)</f>
        <v/>
      </c>
      <c r="C623" s="32">
        <f>+VLOOKUP($A623,MAGAZZINO!$B$2:$M$4838,3,FALSE)</f>
        <v/>
      </c>
      <c r="D623" s="17">
        <f>+VLOOKUP($A623,MAGAZZINO!$B$2:$M$4838,4,FALSE)</f>
        <v/>
      </c>
      <c r="E623" s="17">
        <f>+VLOOKUP($A623,MAGAZZINO!$B$2:$M$4838,5,FALSE)</f>
        <v/>
      </c>
      <c r="F623" s="17">
        <f>+VLOOKUP($A623,MAGAZZINO!$B$2:$M$4838,6,FALSE)</f>
        <v/>
      </c>
      <c r="G623" s="17">
        <f>+VLOOKUP($A623,MAGAZZINO!$B$2:$M$4838,7,FALSE)</f>
        <v/>
      </c>
      <c r="H623" s="17">
        <f>+VLOOKUP($A623,MAGAZZINO!$B$2:$M$4838,8,FALSE)</f>
        <v/>
      </c>
      <c r="I623" s="17">
        <f>+VLOOKUP($A623,MAGAZZINO!$B$2:$M$4838,9,FALSE)</f>
        <v/>
      </c>
      <c r="J623" s="17">
        <f>+VLOOKUP($A623,MAGAZZINO!$B$2:$M$4838,10,FALSE)</f>
        <v/>
      </c>
      <c r="K623" s="17">
        <f>+VLOOKUP($A623,MAGAZZINO!$B$2:$M$4838,11,FALSE)</f>
        <v/>
      </c>
      <c r="L623" s="44">
        <f>+VLOOKUP($A623,MAGAZZINO!$B$2:$M$4838,12,FALSE)</f>
        <v/>
      </c>
    </row>
    <row r="624" ht="36" customHeight="1">
      <c r="A624" s="30">
        <f>+REGISTRO!A607</f>
        <v/>
      </c>
      <c r="B624" s="31">
        <f>+VLOOKUP($A624,MAGAZZINO!$B$2:$M$4838,2,FALSE)</f>
        <v/>
      </c>
      <c r="C624" s="32">
        <f>+VLOOKUP($A624,MAGAZZINO!$B$2:$M$4838,3,FALSE)</f>
        <v/>
      </c>
      <c r="D624" s="17">
        <f>+VLOOKUP($A624,MAGAZZINO!$B$2:$M$4838,4,FALSE)</f>
        <v/>
      </c>
      <c r="E624" s="17">
        <f>+VLOOKUP($A624,MAGAZZINO!$B$2:$M$4838,5,FALSE)</f>
        <v/>
      </c>
      <c r="F624" s="17">
        <f>+VLOOKUP($A624,MAGAZZINO!$B$2:$M$4838,6,FALSE)</f>
        <v/>
      </c>
      <c r="G624" s="17">
        <f>+VLOOKUP($A624,MAGAZZINO!$B$2:$M$4838,7,FALSE)</f>
        <v/>
      </c>
      <c r="H624" s="17">
        <f>+VLOOKUP($A624,MAGAZZINO!$B$2:$M$4838,8,FALSE)</f>
        <v/>
      </c>
      <c r="I624" s="17">
        <f>+VLOOKUP($A624,MAGAZZINO!$B$2:$M$4838,9,FALSE)</f>
        <v/>
      </c>
      <c r="J624" s="17">
        <f>+VLOOKUP($A624,MAGAZZINO!$B$2:$M$4838,10,FALSE)</f>
        <v/>
      </c>
      <c r="K624" s="17">
        <f>+VLOOKUP($A624,MAGAZZINO!$B$2:$M$4838,11,FALSE)</f>
        <v/>
      </c>
      <c r="L624" s="44">
        <f>+VLOOKUP($A624,MAGAZZINO!$B$2:$M$4838,12,FALSE)</f>
        <v/>
      </c>
    </row>
    <row r="625" ht="36" customHeight="1">
      <c r="A625" s="30">
        <f>+REGISTRO!A608</f>
        <v/>
      </c>
      <c r="B625" s="31">
        <f>+VLOOKUP($A625,MAGAZZINO!$B$2:$M$4838,2,FALSE)</f>
        <v/>
      </c>
      <c r="C625" s="32">
        <f>+VLOOKUP($A625,MAGAZZINO!$B$2:$M$4838,3,FALSE)</f>
        <v/>
      </c>
      <c r="D625" s="17">
        <f>+VLOOKUP($A625,MAGAZZINO!$B$2:$M$4838,4,FALSE)</f>
        <v/>
      </c>
      <c r="E625" s="17">
        <f>+VLOOKUP($A625,MAGAZZINO!$B$2:$M$4838,5,FALSE)</f>
        <v/>
      </c>
      <c r="F625" s="17">
        <f>+VLOOKUP($A625,MAGAZZINO!$B$2:$M$4838,6,FALSE)</f>
        <v/>
      </c>
      <c r="G625" s="17">
        <f>+VLOOKUP($A625,MAGAZZINO!$B$2:$M$4838,7,FALSE)</f>
        <v/>
      </c>
      <c r="H625" s="17">
        <f>+VLOOKUP($A625,MAGAZZINO!$B$2:$M$4838,8,FALSE)</f>
        <v/>
      </c>
      <c r="I625" s="17">
        <f>+VLOOKUP($A625,MAGAZZINO!$B$2:$M$4838,9,FALSE)</f>
        <v/>
      </c>
      <c r="J625" s="17">
        <f>+VLOOKUP($A625,MAGAZZINO!$B$2:$M$4838,10,FALSE)</f>
        <v/>
      </c>
      <c r="K625" s="17">
        <f>+VLOOKUP($A625,MAGAZZINO!$B$2:$M$4838,11,FALSE)</f>
        <v/>
      </c>
      <c r="L625" s="44">
        <f>+VLOOKUP($A625,MAGAZZINO!$B$2:$M$4838,12,FALSE)</f>
        <v/>
      </c>
    </row>
    <row r="626" ht="36" customHeight="1">
      <c r="A626" s="30">
        <f>+REGISTRO!A609</f>
        <v/>
      </c>
      <c r="B626" s="31">
        <f>+VLOOKUP($A626,MAGAZZINO!$B$2:$M$4838,2,FALSE)</f>
        <v/>
      </c>
      <c r="C626" s="32">
        <f>+VLOOKUP($A626,MAGAZZINO!$B$2:$M$4838,3,FALSE)</f>
        <v/>
      </c>
      <c r="D626" s="17">
        <f>+VLOOKUP($A626,MAGAZZINO!$B$2:$M$4838,4,FALSE)</f>
        <v/>
      </c>
      <c r="E626" s="17">
        <f>+VLOOKUP($A626,MAGAZZINO!$B$2:$M$4838,5,FALSE)</f>
        <v/>
      </c>
      <c r="F626" s="17">
        <f>+VLOOKUP($A626,MAGAZZINO!$B$2:$M$4838,6,FALSE)</f>
        <v/>
      </c>
      <c r="G626" s="17">
        <f>+VLOOKUP($A626,MAGAZZINO!$B$2:$M$4838,7,FALSE)</f>
        <v/>
      </c>
      <c r="H626" s="17">
        <f>+VLOOKUP($A626,MAGAZZINO!$B$2:$M$4838,8,FALSE)</f>
        <v/>
      </c>
      <c r="I626" s="17">
        <f>+VLOOKUP($A626,MAGAZZINO!$B$2:$M$4838,9,FALSE)</f>
        <v/>
      </c>
      <c r="J626" s="17">
        <f>+VLOOKUP($A626,MAGAZZINO!$B$2:$M$4838,10,FALSE)</f>
        <v/>
      </c>
      <c r="K626" s="17">
        <f>+VLOOKUP($A626,MAGAZZINO!$B$2:$M$4838,11,FALSE)</f>
        <v/>
      </c>
      <c r="L626" s="44">
        <f>+VLOOKUP($A626,MAGAZZINO!$B$2:$M$4838,12,FALSE)</f>
        <v/>
      </c>
    </row>
    <row r="627" ht="36" customHeight="1">
      <c r="A627" s="30">
        <f>+REGISTRO!A610</f>
        <v/>
      </c>
      <c r="B627" s="31">
        <f>+VLOOKUP($A627,MAGAZZINO!$B$2:$M$4838,2,FALSE)</f>
        <v/>
      </c>
      <c r="C627" s="32">
        <f>+VLOOKUP($A627,MAGAZZINO!$B$2:$M$4838,3,FALSE)</f>
        <v/>
      </c>
      <c r="D627" s="17">
        <f>+VLOOKUP($A627,MAGAZZINO!$B$2:$M$4838,4,FALSE)</f>
        <v/>
      </c>
      <c r="E627" s="17">
        <f>+VLOOKUP($A627,MAGAZZINO!$B$2:$M$4838,5,FALSE)</f>
        <v/>
      </c>
      <c r="F627" s="17">
        <f>+VLOOKUP($A627,MAGAZZINO!$B$2:$M$4838,6,FALSE)</f>
        <v/>
      </c>
      <c r="G627" s="17">
        <f>+VLOOKUP($A627,MAGAZZINO!$B$2:$M$4838,7,FALSE)</f>
        <v/>
      </c>
      <c r="H627" s="17">
        <f>+VLOOKUP($A627,MAGAZZINO!$B$2:$M$4838,8,FALSE)</f>
        <v/>
      </c>
      <c r="I627" s="17">
        <f>+VLOOKUP($A627,MAGAZZINO!$B$2:$M$4838,9,FALSE)</f>
        <v/>
      </c>
      <c r="J627" s="17">
        <f>+VLOOKUP($A627,MAGAZZINO!$B$2:$M$4838,10,FALSE)</f>
        <v/>
      </c>
      <c r="K627" s="17">
        <f>+VLOOKUP($A627,MAGAZZINO!$B$2:$M$4838,11,FALSE)</f>
        <v/>
      </c>
      <c r="L627" s="44">
        <f>+VLOOKUP($A627,MAGAZZINO!$B$2:$M$4838,12,FALSE)</f>
        <v/>
      </c>
    </row>
    <row r="628" ht="36" customHeight="1">
      <c r="A628" s="30">
        <f>+REGISTRO!A611</f>
        <v/>
      </c>
      <c r="B628" s="31">
        <f>+VLOOKUP($A628,MAGAZZINO!$B$2:$M$4838,2,FALSE)</f>
        <v/>
      </c>
      <c r="C628" s="32">
        <f>+VLOOKUP($A628,MAGAZZINO!$B$2:$M$4838,3,FALSE)</f>
        <v/>
      </c>
      <c r="D628" s="17">
        <f>+VLOOKUP($A628,MAGAZZINO!$B$2:$M$4838,4,FALSE)</f>
        <v/>
      </c>
      <c r="E628" s="17">
        <f>+VLOOKUP($A628,MAGAZZINO!$B$2:$M$4838,5,FALSE)</f>
        <v/>
      </c>
      <c r="F628" s="17">
        <f>+VLOOKUP($A628,MAGAZZINO!$B$2:$M$4838,6,FALSE)</f>
        <v/>
      </c>
      <c r="G628" s="17">
        <f>+VLOOKUP($A628,MAGAZZINO!$B$2:$M$4838,7,FALSE)</f>
        <v/>
      </c>
      <c r="H628" s="17">
        <f>+VLOOKUP($A628,MAGAZZINO!$B$2:$M$4838,8,FALSE)</f>
        <v/>
      </c>
      <c r="I628" s="17">
        <f>+VLOOKUP($A628,MAGAZZINO!$B$2:$M$4838,9,FALSE)</f>
        <v/>
      </c>
      <c r="J628" s="17">
        <f>+VLOOKUP($A628,MAGAZZINO!$B$2:$M$4838,10,FALSE)</f>
        <v/>
      </c>
      <c r="K628" s="17">
        <f>+VLOOKUP($A628,MAGAZZINO!$B$2:$M$4838,11,FALSE)</f>
        <v/>
      </c>
      <c r="L628" s="44">
        <f>+VLOOKUP($A628,MAGAZZINO!$B$2:$M$4838,12,FALSE)</f>
        <v/>
      </c>
    </row>
    <row r="629" ht="36" customHeight="1">
      <c r="A629" s="30">
        <f>+REGISTRO!A612</f>
        <v/>
      </c>
      <c r="B629" s="31">
        <f>+VLOOKUP($A629,MAGAZZINO!$B$2:$M$4838,2,FALSE)</f>
        <v/>
      </c>
      <c r="C629" s="32">
        <f>+VLOOKUP($A629,MAGAZZINO!$B$2:$M$4838,3,FALSE)</f>
        <v/>
      </c>
      <c r="D629" s="17">
        <f>+VLOOKUP($A629,MAGAZZINO!$B$2:$M$4838,4,FALSE)</f>
        <v/>
      </c>
      <c r="E629" s="17">
        <f>+VLOOKUP($A629,MAGAZZINO!$B$2:$M$4838,5,FALSE)</f>
        <v/>
      </c>
      <c r="F629" s="17">
        <f>+VLOOKUP($A629,MAGAZZINO!$B$2:$M$4838,6,FALSE)</f>
        <v/>
      </c>
      <c r="G629" s="17">
        <f>+VLOOKUP($A629,MAGAZZINO!$B$2:$M$4838,7,FALSE)</f>
        <v/>
      </c>
      <c r="H629" s="17">
        <f>+VLOOKUP($A629,MAGAZZINO!$B$2:$M$4838,8,FALSE)</f>
        <v/>
      </c>
      <c r="I629" s="17">
        <f>+VLOOKUP($A629,MAGAZZINO!$B$2:$M$4838,9,FALSE)</f>
        <v/>
      </c>
      <c r="J629" s="17">
        <f>+VLOOKUP($A629,MAGAZZINO!$B$2:$M$4838,10,FALSE)</f>
        <v/>
      </c>
      <c r="K629" s="17">
        <f>+VLOOKUP($A629,MAGAZZINO!$B$2:$M$4838,11,FALSE)</f>
        <v/>
      </c>
      <c r="L629" s="44">
        <f>+VLOOKUP($A629,MAGAZZINO!$B$2:$M$4838,12,FALSE)</f>
        <v/>
      </c>
    </row>
    <row r="630" ht="36" customHeight="1">
      <c r="A630" s="30">
        <f>+REGISTRO!A613</f>
        <v/>
      </c>
      <c r="B630" s="31">
        <f>+VLOOKUP($A630,MAGAZZINO!$B$2:$M$4838,2,FALSE)</f>
        <v/>
      </c>
      <c r="C630" s="32">
        <f>+VLOOKUP($A630,MAGAZZINO!$B$2:$M$4838,3,FALSE)</f>
        <v/>
      </c>
      <c r="D630" s="17">
        <f>+VLOOKUP($A630,MAGAZZINO!$B$2:$M$4838,4,FALSE)</f>
        <v/>
      </c>
      <c r="E630" s="17">
        <f>+VLOOKUP($A630,MAGAZZINO!$B$2:$M$4838,5,FALSE)</f>
        <v/>
      </c>
      <c r="F630" s="17">
        <f>+VLOOKUP($A630,MAGAZZINO!$B$2:$M$4838,6,FALSE)</f>
        <v/>
      </c>
      <c r="G630" s="17">
        <f>+VLOOKUP($A630,MAGAZZINO!$B$2:$M$4838,7,FALSE)</f>
        <v/>
      </c>
      <c r="H630" s="17">
        <f>+VLOOKUP($A630,MAGAZZINO!$B$2:$M$4838,8,FALSE)</f>
        <v/>
      </c>
      <c r="I630" s="17">
        <f>+VLOOKUP($A630,MAGAZZINO!$B$2:$M$4838,9,FALSE)</f>
        <v/>
      </c>
      <c r="J630" s="17">
        <f>+VLOOKUP($A630,MAGAZZINO!$B$2:$M$4838,10,FALSE)</f>
        <v/>
      </c>
      <c r="K630" s="17">
        <f>+VLOOKUP($A630,MAGAZZINO!$B$2:$M$4838,11,FALSE)</f>
        <v/>
      </c>
      <c r="L630" s="44">
        <f>+VLOOKUP($A630,MAGAZZINO!$B$2:$M$4838,12,FALSE)</f>
        <v/>
      </c>
    </row>
    <row r="631" ht="36" customHeight="1">
      <c r="A631" s="30">
        <f>+REGISTRO!A614</f>
        <v/>
      </c>
      <c r="B631" s="31">
        <f>+VLOOKUP($A631,MAGAZZINO!$B$2:$M$4838,2,FALSE)</f>
        <v/>
      </c>
      <c r="C631" s="32">
        <f>+VLOOKUP($A631,MAGAZZINO!$B$2:$M$4838,3,FALSE)</f>
        <v/>
      </c>
      <c r="D631" s="17">
        <f>+VLOOKUP($A631,MAGAZZINO!$B$2:$M$4838,4,FALSE)</f>
        <v/>
      </c>
      <c r="E631" s="17">
        <f>+VLOOKUP($A631,MAGAZZINO!$B$2:$M$4838,5,FALSE)</f>
        <v/>
      </c>
      <c r="F631" s="17">
        <f>+VLOOKUP($A631,MAGAZZINO!$B$2:$M$4838,6,FALSE)</f>
        <v/>
      </c>
      <c r="G631" s="17">
        <f>+VLOOKUP($A631,MAGAZZINO!$B$2:$M$4838,7,FALSE)</f>
        <v/>
      </c>
      <c r="H631" s="17">
        <f>+VLOOKUP($A631,MAGAZZINO!$B$2:$M$4838,8,FALSE)</f>
        <v/>
      </c>
      <c r="I631" s="17">
        <f>+VLOOKUP($A631,MAGAZZINO!$B$2:$M$4838,9,FALSE)</f>
        <v/>
      </c>
      <c r="J631" s="17">
        <f>+VLOOKUP($A631,MAGAZZINO!$B$2:$M$4838,10,FALSE)</f>
        <v/>
      </c>
      <c r="K631" s="17">
        <f>+VLOOKUP($A631,MAGAZZINO!$B$2:$M$4838,11,FALSE)</f>
        <v/>
      </c>
      <c r="L631" s="44">
        <f>+VLOOKUP($A631,MAGAZZINO!$B$2:$M$4838,12,FALSE)</f>
        <v/>
      </c>
    </row>
    <row r="632" ht="36" customHeight="1">
      <c r="A632" s="30">
        <f>+REGISTRO!A615</f>
        <v/>
      </c>
      <c r="B632" s="31">
        <f>+VLOOKUP($A632,MAGAZZINO!$B$2:$M$4838,2,FALSE)</f>
        <v/>
      </c>
      <c r="C632" s="32">
        <f>+VLOOKUP($A632,MAGAZZINO!$B$2:$M$4838,3,FALSE)</f>
        <v/>
      </c>
      <c r="D632" s="17">
        <f>+VLOOKUP($A632,MAGAZZINO!$B$2:$M$4838,4,FALSE)</f>
        <v/>
      </c>
      <c r="E632" s="17">
        <f>+VLOOKUP($A632,MAGAZZINO!$B$2:$M$4838,5,FALSE)</f>
        <v/>
      </c>
      <c r="F632" s="17">
        <f>+VLOOKUP($A632,MAGAZZINO!$B$2:$M$4838,6,FALSE)</f>
        <v/>
      </c>
      <c r="G632" s="17">
        <f>+VLOOKUP($A632,MAGAZZINO!$B$2:$M$4838,7,FALSE)</f>
        <v/>
      </c>
      <c r="H632" s="17">
        <f>+VLOOKUP($A632,MAGAZZINO!$B$2:$M$4838,8,FALSE)</f>
        <v/>
      </c>
      <c r="I632" s="17">
        <f>+VLOOKUP($A632,MAGAZZINO!$B$2:$M$4838,9,FALSE)</f>
        <v/>
      </c>
      <c r="J632" s="17">
        <f>+VLOOKUP($A632,MAGAZZINO!$B$2:$M$4838,10,FALSE)</f>
        <v/>
      </c>
      <c r="K632" s="17">
        <f>+VLOOKUP($A632,MAGAZZINO!$B$2:$M$4838,11,FALSE)</f>
        <v/>
      </c>
      <c r="L632" s="44">
        <f>+VLOOKUP($A632,MAGAZZINO!$B$2:$M$4838,12,FALSE)</f>
        <v/>
      </c>
    </row>
    <row r="633" ht="36" customHeight="1">
      <c r="A633" s="30">
        <f>+REGISTRO!A616</f>
        <v/>
      </c>
      <c r="B633" s="31">
        <f>+VLOOKUP($A633,MAGAZZINO!$B$2:$M$4838,2,FALSE)</f>
        <v/>
      </c>
      <c r="C633" s="32">
        <f>+VLOOKUP($A633,MAGAZZINO!$B$2:$M$4838,3,FALSE)</f>
        <v/>
      </c>
      <c r="D633" s="17">
        <f>+VLOOKUP($A633,MAGAZZINO!$B$2:$M$4838,4,FALSE)</f>
        <v/>
      </c>
      <c r="E633" s="17">
        <f>+VLOOKUP($A633,MAGAZZINO!$B$2:$M$4838,5,FALSE)</f>
        <v/>
      </c>
      <c r="F633" s="17">
        <f>+VLOOKUP($A633,MAGAZZINO!$B$2:$M$4838,6,FALSE)</f>
        <v/>
      </c>
      <c r="G633" s="17">
        <f>+VLOOKUP($A633,MAGAZZINO!$B$2:$M$4838,7,FALSE)</f>
        <v/>
      </c>
      <c r="H633" s="17">
        <f>+VLOOKUP($A633,MAGAZZINO!$B$2:$M$4838,8,FALSE)</f>
        <v/>
      </c>
      <c r="I633" s="17">
        <f>+VLOOKUP($A633,MAGAZZINO!$B$2:$M$4838,9,FALSE)</f>
        <v/>
      </c>
      <c r="J633" s="17">
        <f>+VLOOKUP($A633,MAGAZZINO!$B$2:$M$4838,10,FALSE)</f>
        <v/>
      </c>
      <c r="K633" s="17">
        <f>+VLOOKUP($A633,MAGAZZINO!$B$2:$M$4838,11,FALSE)</f>
        <v/>
      </c>
      <c r="L633" s="44">
        <f>+VLOOKUP($A633,MAGAZZINO!$B$2:$M$4838,12,FALSE)</f>
        <v/>
      </c>
    </row>
    <row r="634" ht="36" customHeight="1">
      <c r="A634" s="30">
        <f>+REGISTRO!A617</f>
        <v/>
      </c>
      <c r="B634" s="31">
        <f>+VLOOKUP($A634,MAGAZZINO!$B$2:$M$4838,2,FALSE)</f>
        <v/>
      </c>
      <c r="C634" s="32">
        <f>+VLOOKUP($A634,MAGAZZINO!$B$2:$M$4838,3,FALSE)</f>
        <v/>
      </c>
      <c r="D634" s="17">
        <f>+VLOOKUP($A634,MAGAZZINO!$B$2:$M$4838,4,FALSE)</f>
        <v/>
      </c>
      <c r="E634" s="17">
        <f>+VLOOKUP($A634,MAGAZZINO!$B$2:$M$4838,5,FALSE)</f>
        <v/>
      </c>
      <c r="F634" s="17">
        <f>+VLOOKUP($A634,MAGAZZINO!$B$2:$M$4838,6,FALSE)</f>
        <v/>
      </c>
      <c r="G634" s="17">
        <f>+VLOOKUP($A634,MAGAZZINO!$B$2:$M$4838,7,FALSE)</f>
        <v/>
      </c>
      <c r="H634" s="17">
        <f>+VLOOKUP($A634,MAGAZZINO!$B$2:$M$4838,8,FALSE)</f>
        <v/>
      </c>
      <c r="I634" s="17">
        <f>+VLOOKUP($A634,MAGAZZINO!$B$2:$M$4838,9,FALSE)</f>
        <v/>
      </c>
      <c r="J634" s="17">
        <f>+VLOOKUP($A634,MAGAZZINO!$B$2:$M$4838,10,FALSE)</f>
        <v/>
      </c>
      <c r="K634" s="17">
        <f>+VLOOKUP($A634,MAGAZZINO!$B$2:$M$4838,11,FALSE)</f>
        <v/>
      </c>
      <c r="L634" s="44">
        <f>+VLOOKUP($A634,MAGAZZINO!$B$2:$M$4838,12,FALSE)</f>
        <v/>
      </c>
    </row>
    <row r="635" ht="36" customHeight="1">
      <c r="A635" s="30">
        <f>+REGISTRO!A618</f>
        <v/>
      </c>
      <c r="B635" s="31">
        <f>+VLOOKUP($A635,MAGAZZINO!$B$2:$M$4838,2,FALSE)</f>
        <v/>
      </c>
      <c r="C635" s="32">
        <f>+VLOOKUP($A635,MAGAZZINO!$B$2:$M$4838,3,FALSE)</f>
        <v/>
      </c>
      <c r="D635" s="17">
        <f>+VLOOKUP($A635,MAGAZZINO!$B$2:$M$4838,4,FALSE)</f>
        <v/>
      </c>
      <c r="E635" s="17">
        <f>+VLOOKUP($A635,MAGAZZINO!$B$2:$M$4838,5,FALSE)</f>
        <v/>
      </c>
      <c r="F635" s="17">
        <f>+VLOOKUP($A635,MAGAZZINO!$B$2:$M$4838,6,FALSE)</f>
        <v/>
      </c>
      <c r="G635" s="17">
        <f>+VLOOKUP($A635,MAGAZZINO!$B$2:$M$4838,7,FALSE)</f>
        <v/>
      </c>
      <c r="H635" s="17">
        <f>+VLOOKUP($A635,MAGAZZINO!$B$2:$M$4838,8,FALSE)</f>
        <v/>
      </c>
      <c r="I635" s="17">
        <f>+VLOOKUP($A635,MAGAZZINO!$B$2:$M$4838,9,FALSE)</f>
        <v/>
      </c>
      <c r="J635" s="17">
        <f>+VLOOKUP($A635,MAGAZZINO!$B$2:$M$4838,10,FALSE)</f>
        <v/>
      </c>
      <c r="K635" s="17">
        <f>+VLOOKUP($A635,MAGAZZINO!$B$2:$M$4838,11,FALSE)</f>
        <v/>
      </c>
      <c r="L635" s="44">
        <f>+VLOOKUP($A635,MAGAZZINO!$B$2:$M$4838,12,FALSE)</f>
        <v/>
      </c>
    </row>
    <row r="636" ht="36" customHeight="1">
      <c r="A636" s="30">
        <f>+REGISTRO!A619</f>
        <v/>
      </c>
      <c r="B636" s="31">
        <f>+VLOOKUP($A636,MAGAZZINO!$B$2:$M$4838,2,FALSE)</f>
        <v/>
      </c>
      <c r="C636" s="32">
        <f>+VLOOKUP($A636,MAGAZZINO!$B$2:$M$4838,3,FALSE)</f>
        <v/>
      </c>
      <c r="D636" s="17">
        <f>+VLOOKUP($A636,MAGAZZINO!$B$2:$M$4838,4,FALSE)</f>
        <v/>
      </c>
      <c r="E636" s="17">
        <f>+VLOOKUP($A636,MAGAZZINO!$B$2:$M$4838,5,FALSE)</f>
        <v/>
      </c>
      <c r="F636" s="17">
        <f>+VLOOKUP($A636,MAGAZZINO!$B$2:$M$4838,6,FALSE)</f>
        <v/>
      </c>
      <c r="G636" s="17">
        <f>+VLOOKUP($A636,MAGAZZINO!$B$2:$M$4838,7,FALSE)</f>
        <v/>
      </c>
      <c r="H636" s="17">
        <f>+VLOOKUP($A636,MAGAZZINO!$B$2:$M$4838,8,FALSE)</f>
        <v/>
      </c>
      <c r="I636" s="17">
        <f>+VLOOKUP($A636,MAGAZZINO!$B$2:$M$4838,9,FALSE)</f>
        <v/>
      </c>
      <c r="J636" s="17">
        <f>+VLOOKUP($A636,MAGAZZINO!$B$2:$M$4838,10,FALSE)</f>
        <v/>
      </c>
      <c r="K636" s="17">
        <f>+VLOOKUP($A636,MAGAZZINO!$B$2:$M$4838,11,FALSE)</f>
        <v/>
      </c>
      <c r="L636" s="44">
        <f>+VLOOKUP($A636,MAGAZZINO!$B$2:$M$4838,12,FALSE)</f>
        <v/>
      </c>
    </row>
    <row r="637" ht="36" customHeight="1">
      <c r="A637" s="30">
        <f>+REGISTRO!A620</f>
        <v/>
      </c>
      <c r="B637" s="31">
        <f>+VLOOKUP($A637,MAGAZZINO!$B$2:$M$4838,2,FALSE)</f>
        <v/>
      </c>
      <c r="C637" s="32">
        <f>+VLOOKUP($A637,MAGAZZINO!$B$2:$M$4838,3,FALSE)</f>
        <v/>
      </c>
      <c r="D637" s="17">
        <f>+VLOOKUP($A637,MAGAZZINO!$B$2:$M$4838,4,FALSE)</f>
        <v/>
      </c>
      <c r="E637" s="17">
        <f>+VLOOKUP($A637,MAGAZZINO!$B$2:$M$4838,5,FALSE)</f>
        <v/>
      </c>
      <c r="F637" s="17">
        <f>+VLOOKUP($A637,MAGAZZINO!$B$2:$M$4838,6,FALSE)</f>
        <v/>
      </c>
      <c r="G637" s="17">
        <f>+VLOOKUP($A637,MAGAZZINO!$B$2:$M$4838,7,FALSE)</f>
        <v/>
      </c>
      <c r="H637" s="17">
        <f>+VLOOKUP($A637,MAGAZZINO!$B$2:$M$4838,8,FALSE)</f>
        <v/>
      </c>
      <c r="I637" s="17">
        <f>+VLOOKUP($A637,MAGAZZINO!$B$2:$M$4838,9,FALSE)</f>
        <v/>
      </c>
      <c r="J637" s="17">
        <f>+VLOOKUP($A637,MAGAZZINO!$B$2:$M$4838,10,FALSE)</f>
        <v/>
      </c>
      <c r="K637" s="17">
        <f>+VLOOKUP($A637,MAGAZZINO!$B$2:$M$4838,11,FALSE)</f>
        <v/>
      </c>
      <c r="L637" s="44">
        <f>+VLOOKUP($A637,MAGAZZINO!$B$2:$M$4838,12,FALSE)</f>
        <v/>
      </c>
    </row>
    <row r="638" ht="36" customHeight="1">
      <c r="A638" s="30">
        <f>+REGISTRO!A621</f>
        <v/>
      </c>
      <c r="B638" s="31">
        <f>+VLOOKUP($A638,MAGAZZINO!$B$2:$M$4838,2,FALSE)</f>
        <v/>
      </c>
      <c r="C638" s="32">
        <f>+VLOOKUP($A638,MAGAZZINO!$B$2:$M$4838,3,FALSE)</f>
        <v/>
      </c>
      <c r="D638" s="17">
        <f>+VLOOKUP($A638,MAGAZZINO!$B$2:$M$4838,4,FALSE)</f>
        <v/>
      </c>
      <c r="E638" s="17">
        <f>+VLOOKUP($A638,MAGAZZINO!$B$2:$M$4838,5,FALSE)</f>
        <v/>
      </c>
      <c r="F638" s="17">
        <f>+VLOOKUP($A638,MAGAZZINO!$B$2:$M$4838,6,FALSE)</f>
        <v/>
      </c>
      <c r="G638" s="17">
        <f>+VLOOKUP($A638,MAGAZZINO!$B$2:$M$4838,7,FALSE)</f>
        <v/>
      </c>
      <c r="H638" s="17">
        <f>+VLOOKUP($A638,MAGAZZINO!$B$2:$M$4838,8,FALSE)</f>
        <v/>
      </c>
      <c r="I638" s="17">
        <f>+VLOOKUP($A638,MAGAZZINO!$B$2:$M$4838,9,FALSE)</f>
        <v/>
      </c>
      <c r="J638" s="17">
        <f>+VLOOKUP($A638,MAGAZZINO!$B$2:$M$4838,10,FALSE)</f>
        <v/>
      </c>
      <c r="K638" s="17">
        <f>+VLOOKUP($A638,MAGAZZINO!$B$2:$M$4838,11,FALSE)</f>
        <v/>
      </c>
      <c r="L638" s="44">
        <f>+VLOOKUP($A638,MAGAZZINO!$B$2:$M$4838,12,FALSE)</f>
        <v/>
      </c>
    </row>
    <row r="639" ht="36" customHeight="1">
      <c r="A639" s="30">
        <f>+REGISTRO!A622</f>
        <v/>
      </c>
      <c r="B639" s="31">
        <f>+VLOOKUP($A639,MAGAZZINO!$B$2:$M$4838,2,FALSE)</f>
        <v/>
      </c>
      <c r="C639" s="32">
        <f>+VLOOKUP($A639,MAGAZZINO!$B$2:$M$4838,3,FALSE)</f>
        <v/>
      </c>
      <c r="D639" s="17">
        <f>+VLOOKUP($A639,MAGAZZINO!$B$2:$M$4838,4,FALSE)</f>
        <v/>
      </c>
      <c r="E639" s="17">
        <f>+VLOOKUP($A639,MAGAZZINO!$B$2:$M$4838,5,FALSE)</f>
        <v/>
      </c>
      <c r="F639" s="17">
        <f>+VLOOKUP($A639,MAGAZZINO!$B$2:$M$4838,6,FALSE)</f>
        <v/>
      </c>
      <c r="G639" s="17">
        <f>+VLOOKUP($A639,MAGAZZINO!$B$2:$M$4838,7,FALSE)</f>
        <v/>
      </c>
      <c r="H639" s="17">
        <f>+VLOOKUP($A639,MAGAZZINO!$B$2:$M$4838,8,FALSE)</f>
        <v/>
      </c>
      <c r="I639" s="17">
        <f>+VLOOKUP($A639,MAGAZZINO!$B$2:$M$4838,9,FALSE)</f>
        <v/>
      </c>
      <c r="J639" s="17">
        <f>+VLOOKUP($A639,MAGAZZINO!$B$2:$M$4838,10,FALSE)</f>
        <v/>
      </c>
      <c r="K639" s="17">
        <f>+VLOOKUP($A639,MAGAZZINO!$B$2:$M$4838,11,FALSE)</f>
        <v/>
      </c>
      <c r="L639" s="44">
        <f>+VLOOKUP($A639,MAGAZZINO!$B$2:$M$4838,12,FALSE)</f>
        <v/>
      </c>
    </row>
    <row r="640" ht="36" customHeight="1">
      <c r="A640" s="30">
        <f>+REGISTRO!A623</f>
        <v/>
      </c>
      <c r="B640" s="31">
        <f>+VLOOKUP($A640,MAGAZZINO!$B$2:$M$4838,2,FALSE)</f>
        <v/>
      </c>
      <c r="C640" s="32">
        <f>+VLOOKUP($A640,MAGAZZINO!$B$2:$M$4838,3,FALSE)</f>
        <v/>
      </c>
      <c r="D640" s="17">
        <f>+VLOOKUP($A640,MAGAZZINO!$B$2:$M$4838,4,FALSE)</f>
        <v/>
      </c>
      <c r="E640" s="17">
        <f>+VLOOKUP($A640,MAGAZZINO!$B$2:$M$4838,5,FALSE)</f>
        <v/>
      </c>
      <c r="F640" s="17">
        <f>+VLOOKUP($A640,MAGAZZINO!$B$2:$M$4838,6,FALSE)</f>
        <v/>
      </c>
      <c r="G640" s="17">
        <f>+VLOOKUP($A640,MAGAZZINO!$B$2:$M$4838,7,FALSE)</f>
        <v/>
      </c>
      <c r="H640" s="17">
        <f>+VLOOKUP($A640,MAGAZZINO!$B$2:$M$4838,8,FALSE)</f>
        <v/>
      </c>
      <c r="I640" s="17">
        <f>+VLOOKUP($A640,MAGAZZINO!$B$2:$M$4838,9,FALSE)</f>
        <v/>
      </c>
      <c r="J640" s="17">
        <f>+VLOOKUP($A640,MAGAZZINO!$B$2:$M$4838,10,FALSE)</f>
        <v/>
      </c>
      <c r="K640" s="17">
        <f>+VLOOKUP($A640,MAGAZZINO!$B$2:$M$4838,11,FALSE)</f>
        <v/>
      </c>
      <c r="L640" s="44">
        <f>+VLOOKUP($A640,MAGAZZINO!$B$2:$M$4838,12,FALSE)</f>
        <v/>
      </c>
    </row>
    <row r="641" ht="36" customHeight="1">
      <c r="A641" s="30">
        <f>+REGISTRO!A624</f>
        <v/>
      </c>
      <c r="B641" s="31">
        <f>+VLOOKUP($A641,MAGAZZINO!$B$2:$M$4838,2,FALSE)</f>
        <v/>
      </c>
      <c r="C641" s="32">
        <f>+VLOOKUP($A641,MAGAZZINO!$B$2:$M$4838,3,FALSE)</f>
        <v/>
      </c>
      <c r="D641" s="17">
        <f>+VLOOKUP($A641,MAGAZZINO!$B$2:$M$4838,4,FALSE)</f>
        <v/>
      </c>
      <c r="E641" s="17">
        <f>+VLOOKUP($A641,MAGAZZINO!$B$2:$M$4838,5,FALSE)</f>
        <v/>
      </c>
      <c r="F641" s="17">
        <f>+VLOOKUP($A641,MAGAZZINO!$B$2:$M$4838,6,FALSE)</f>
        <v/>
      </c>
      <c r="G641" s="17">
        <f>+VLOOKUP($A641,MAGAZZINO!$B$2:$M$4838,7,FALSE)</f>
        <v/>
      </c>
      <c r="H641" s="17">
        <f>+VLOOKUP($A641,MAGAZZINO!$B$2:$M$4838,8,FALSE)</f>
        <v/>
      </c>
      <c r="I641" s="17">
        <f>+VLOOKUP($A641,MAGAZZINO!$B$2:$M$4838,9,FALSE)</f>
        <v/>
      </c>
      <c r="J641" s="17">
        <f>+VLOOKUP($A641,MAGAZZINO!$B$2:$M$4838,10,FALSE)</f>
        <v/>
      </c>
      <c r="K641" s="17">
        <f>+VLOOKUP($A641,MAGAZZINO!$B$2:$M$4838,11,FALSE)</f>
        <v/>
      </c>
      <c r="L641" s="44">
        <f>+VLOOKUP($A641,MAGAZZINO!$B$2:$M$4838,12,FALSE)</f>
        <v/>
      </c>
    </row>
    <row r="642" ht="36" customHeight="1">
      <c r="A642" s="30">
        <f>+REGISTRO!A625</f>
        <v/>
      </c>
      <c r="B642" s="31">
        <f>+VLOOKUP($A642,MAGAZZINO!$B$2:$M$4838,2,FALSE)</f>
        <v/>
      </c>
      <c r="C642" s="32">
        <f>+VLOOKUP($A642,MAGAZZINO!$B$2:$M$4838,3,FALSE)</f>
        <v/>
      </c>
      <c r="D642" s="17">
        <f>+VLOOKUP($A642,MAGAZZINO!$B$2:$M$4838,4,FALSE)</f>
        <v/>
      </c>
      <c r="E642" s="17">
        <f>+VLOOKUP($A642,MAGAZZINO!$B$2:$M$4838,5,FALSE)</f>
        <v/>
      </c>
      <c r="F642" s="17">
        <f>+VLOOKUP($A642,MAGAZZINO!$B$2:$M$4838,6,FALSE)</f>
        <v/>
      </c>
      <c r="G642" s="17">
        <f>+VLOOKUP($A642,MAGAZZINO!$B$2:$M$4838,7,FALSE)</f>
        <v/>
      </c>
      <c r="H642" s="17">
        <f>+VLOOKUP($A642,MAGAZZINO!$B$2:$M$4838,8,FALSE)</f>
        <v/>
      </c>
      <c r="I642" s="17">
        <f>+VLOOKUP($A642,MAGAZZINO!$B$2:$M$4838,9,FALSE)</f>
        <v/>
      </c>
      <c r="J642" s="17">
        <f>+VLOOKUP($A642,MAGAZZINO!$B$2:$M$4838,10,FALSE)</f>
        <v/>
      </c>
      <c r="K642" s="17">
        <f>+VLOOKUP($A642,MAGAZZINO!$B$2:$M$4838,11,FALSE)</f>
        <v/>
      </c>
      <c r="L642" s="44">
        <f>+VLOOKUP($A642,MAGAZZINO!$B$2:$M$4838,12,FALSE)</f>
        <v/>
      </c>
    </row>
    <row r="643" ht="36" customHeight="1">
      <c r="A643" s="30">
        <f>+REGISTRO!A626</f>
        <v/>
      </c>
      <c r="B643" s="31">
        <f>+VLOOKUP($A643,MAGAZZINO!$B$2:$M$4838,2,FALSE)</f>
        <v/>
      </c>
      <c r="C643" s="32">
        <f>+VLOOKUP($A643,MAGAZZINO!$B$2:$M$4838,3,FALSE)</f>
        <v/>
      </c>
      <c r="D643" s="17">
        <f>+VLOOKUP($A643,MAGAZZINO!$B$2:$M$4838,4,FALSE)</f>
        <v/>
      </c>
      <c r="E643" s="17">
        <f>+VLOOKUP($A643,MAGAZZINO!$B$2:$M$4838,5,FALSE)</f>
        <v/>
      </c>
      <c r="F643" s="17">
        <f>+VLOOKUP($A643,MAGAZZINO!$B$2:$M$4838,6,FALSE)</f>
        <v/>
      </c>
      <c r="G643" s="17">
        <f>+VLOOKUP($A643,MAGAZZINO!$B$2:$M$4838,7,FALSE)</f>
        <v/>
      </c>
      <c r="H643" s="17">
        <f>+VLOOKUP($A643,MAGAZZINO!$B$2:$M$4838,8,FALSE)</f>
        <v/>
      </c>
      <c r="I643" s="17">
        <f>+VLOOKUP($A643,MAGAZZINO!$B$2:$M$4838,9,FALSE)</f>
        <v/>
      </c>
      <c r="J643" s="17">
        <f>+VLOOKUP($A643,MAGAZZINO!$B$2:$M$4838,10,FALSE)</f>
        <v/>
      </c>
      <c r="K643" s="17">
        <f>+VLOOKUP($A643,MAGAZZINO!$B$2:$M$4838,11,FALSE)</f>
        <v/>
      </c>
      <c r="L643" s="44">
        <f>+VLOOKUP($A643,MAGAZZINO!$B$2:$M$4838,12,FALSE)</f>
        <v/>
      </c>
    </row>
    <row r="644" ht="36" customHeight="1">
      <c r="A644" s="30">
        <f>+REGISTRO!A627</f>
        <v/>
      </c>
      <c r="B644" s="31">
        <f>+VLOOKUP($A644,MAGAZZINO!$B$2:$M$4838,2,FALSE)</f>
        <v/>
      </c>
      <c r="C644" s="32">
        <f>+VLOOKUP($A644,MAGAZZINO!$B$2:$M$4838,3,FALSE)</f>
        <v/>
      </c>
      <c r="D644" s="17">
        <f>+VLOOKUP($A644,MAGAZZINO!$B$2:$M$4838,4,FALSE)</f>
        <v/>
      </c>
      <c r="E644" s="17">
        <f>+VLOOKUP($A644,MAGAZZINO!$B$2:$M$4838,5,FALSE)</f>
        <v/>
      </c>
      <c r="F644" s="17">
        <f>+VLOOKUP($A644,MAGAZZINO!$B$2:$M$4838,6,FALSE)</f>
        <v/>
      </c>
      <c r="G644" s="17">
        <f>+VLOOKUP($A644,MAGAZZINO!$B$2:$M$4838,7,FALSE)</f>
        <v/>
      </c>
      <c r="H644" s="17">
        <f>+VLOOKUP($A644,MAGAZZINO!$B$2:$M$4838,8,FALSE)</f>
        <v/>
      </c>
      <c r="I644" s="17">
        <f>+VLOOKUP($A644,MAGAZZINO!$B$2:$M$4838,9,FALSE)</f>
        <v/>
      </c>
      <c r="J644" s="17">
        <f>+VLOOKUP($A644,MAGAZZINO!$B$2:$M$4838,10,FALSE)</f>
        <v/>
      </c>
      <c r="K644" s="17">
        <f>+VLOOKUP($A644,MAGAZZINO!$B$2:$M$4838,11,FALSE)</f>
        <v/>
      </c>
      <c r="L644" s="44">
        <f>+VLOOKUP($A644,MAGAZZINO!$B$2:$M$4838,12,FALSE)</f>
        <v/>
      </c>
    </row>
    <row r="645" ht="36" customHeight="1">
      <c r="A645" s="30">
        <f>+REGISTRO!A628</f>
        <v/>
      </c>
      <c r="B645" s="31">
        <f>+VLOOKUP($A645,MAGAZZINO!$B$2:$M$4838,2,FALSE)</f>
        <v/>
      </c>
      <c r="C645" s="32">
        <f>+VLOOKUP($A645,MAGAZZINO!$B$2:$M$4838,3,FALSE)</f>
        <v/>
      </c>
      <c r="D645" s="17">
        <f>+VLOOKUP($A645,MAGAZZINO!$B$2:$M$4838,4,FALSE)</f>
        <v/>
      </c>
      <c r="E645" s="17">
        <f>+VLOOKUP($A645,MAGAZZINO!$B$2:$M$4838,5,FALSE)</f>
        <v/>
      </c>
      <c r="F645" s="17">
        <f>+VLOOKUP($A645,MAGAZZINO!$B$2:$M$4838,6,FALSE)</f>
        <v/>
      </c>
      <c r="G645" s="17">
        <f>+VLOOKUP($A645,MAGAZZINO!$B$2:$M$4838,7,FALSE)</f>
        <v/>
      </c>
      <c r="H645" s="17">
        <f>+VLOOKUP($A645,MAGAZZINO!$B$2:$M$4838,8,FALSE)</f>
        <v/>
      </c>
      <c r="I645" s="17">
        <f>+VLOOKUP($A645,MAGAZZINO!$B$2:$M$4838,9,FALSE)</f>
        <v/>
      </c>
      <c r="J645" s="17">
        <f>+VLOOKUP($A645,MAGAZZINO!$B$2:$M$4838,10,FALSE)</f>
        <v/>
      </c>
      <c r="K645" s="17">
        <f>+VLOOKUP($A645,MAGAZZINO!$B$2:$M$4838,11,FALSE)</f>
        <v/>
      </c>
      <c r="L645" s="44">
        <f>+VLOOKUP($A645,MAGAZZINO!$B$2:$M$4838,12,FALSE)</f>
        <v/>
      </c>
    </row>
    <row r="646" ht="36" customHeight="1">
      <c r="A646" s="30">
        <f>+REGISTRO!A629</f>
        <v/>
      </c>
      <c r="B646" s="31">
        <f>+VLOOKUP($A646,MAGAZZINO!$B$2:$M$4838,2,FALSE)</f>
        <v/>
      </c>
      <c r="C646" s="32">
        <f>+VLOOKUP($A646,MAGAZZINO!$B$2:$M$4838,3,FALSE)</f>
        <v/>
      </c>
      <c r="D646" s="17">
        <f>+VLOOKUP($A646,MAGAZZINO!$B$2:$M$4838,4,FALSE)</f>
        <v/>
      </c>
      <c r="E646" s="17">
        <f>+VLOOKUP($A646,MAGAZZINO!$B$2:$M$4838,5,FALSE)</f>
        <v/>
      </c>
      <c r="F646" s="17">
        <f>+VLOOKUP($A646,MAGAZZINO!$B$2:$M$4838,6,FALSE)</f>
        <v/>
      </c>
      <c r="G646" s="17">
        <f>+VLOOKUP($A646,MAGAZZINO!$B$2:$M$4838,7,FALSE)</f>
        <v/>
      </c>
      <c r="H646" s="17">
        <f>+VLOOKUP($A646,MAGAZZINO!$B$2:$M$4838,8,FALSE)</f>
        <v/>
      </c>
      <c r="I646" s="17">
        <f>+VLOOKUP($A646,MAGAZZINO!$B$2:$M$4838,9,FALSE)</f>
        <v/>
      </c>
      <c r="J646" s="17">
        <f>+VLOOKUP($A646,MAGAZZINO!$B$2:$M$4838,10,FALSE)</f>
        <v/>
      </c>
      <c r="K646" s="17">
        <f>+VLOOKUP($A646,MAGAZZINO!$B$2:$M$4838,11,FALSE)</f>
        <v/>
      </c>
      <c r="L646" s="44">
        <f>+VLOOKUP($A646,MAGAZZINO!$B$2:$M$4838,12,FALSE)</f>
        <v/>
      </c>
    </row>
    <row r="647" ht="36" customHeight="1">
      <c r="A647" s="30">
        <f>+REGISTRO!A630</f>
        <v/>
      </c>
      <c r="B647" s="31">
        <f>+VLOOKUP($A647,MAGAZZINO!$B$2:$M$4838,2,FALSE)</f>
        <v/>
      </c>
      <c r="C647" s="32">
        <f>+VLOOKUP($A647,MAGAZZINO!$B$2:$M$4838,3,FALSE)</f>
        <v/>
      </c>
      <c r="D647" s="17">
        <f>+VLOOKUP($A647,MAGAZZINO!$B$2:$M$4838,4,FALSE)</f>
        <v/>
      </c>
      <c r="E647" s="17">
        <f>+VLOOKUP($A647,MAGAZZINO!$B$2:$M$4838,5,FALSE)</f>
        <v/>
      </c>
      <c r="F647" s="17">
        <f>+VLOOKUP($A647,MAGAZZINO!$B$2:$M$4838,6,FALSE)</f>
        <v/>
      </c>
      <c r="G647" s="17">
        <f>+VLOOKUP($A647,MAGAZZINO!$B$2:$M$4838,7,FALSE)</f>
        <v/>
      </c>
      <c r="H647" s="17">
        <f>+VLOOKUP($A647,MAGAZZINO!$B$2:$M$4838,8,FALSE)</f>
        <v/>
      </c>
      <c r="I647" s="17">
        <f>+VLOOKUP($A647,MAGAZZINO!$B$2:$M$4838,9,FALSE)</f>
        <v/>
      </c>
      <c r="J647" s="17">
        <f>+VLOOKUP($A647,MAGAZZINO!$B$2:$M$4838,10,FALSE)</f>
        <v/>
      </c>
      <c r="K647" s="17">
        <f>+VLOOKUP($A647,MAGAZZINO!$B$2:$M$4838,11,FALSE)</f>
        <v/>
      </c>
      <c r="L647" s="44">
        <f>+VLOOKUP($A647,MAGAZZINO!$B$2:$M$4838,12,FALSE)</f>
        <v/>
      </c>
    </row>
    <row r="648" ht="36" customHeight="1">
      <c r="A648" s="30">
        <f>+REGISTRO!A631</f>
        <v/>
      </c>
      <c r="B648" s="31">
        <f>+VLOOKUP($A648,MAGAZZINO!$B$2:$M$4838,2,FALSE)</f>
        <v/>
      </c>
      <c r="C648" s="32">
        <f>+VLOOKUP($A648,MAGAZZINO!$B$2:$M$4838,3,FALSE)</f>
        <v/>
      </c>
      <c r="D648" s="17">
        <f>+VLOOKUP($A648,MAGAZZINO!$B$2:$M$4838,4,FALSE)</f>
        <v/>
      </c>
      <c r="E648" s="17">
        <f>+VLOOKUP($A648,MAGAZZINO!$B$2:$M$4838,5,FALSE)</f>
        <v/>
      </c>
      <c r="F648" s="17">
        <f>+VLOOKUP($A648,MAGAZZINO!$B$2:$M$4838,6,FALSE)</f>
        <v/>
      </c>
      <c r="G648" s="17">
        <f>+VLOOKUP($A648,MAGAZZINO!$B$2:$M$4838,7,FALSE)</f>
        <v/>
      </c>
      <c r="H648" s="17">
        <f>+VLOOKUP($A648,MAGAZZINO!$B$2:$M$4838,8,FALSE)</f>
        <v/>
      </c>
      <c r="I648" s="17">
        <f>+VLOOKUP($A648,MAGAZZINO!$B$2:$M$4838,9,FALSE)</f>
        <v/>
      </c>
      <c r="J648" s="17">
        <f>+VLOOKUP($A648,MAGAZZINO!$B$2:$M$4838,10,FALSE)</f>
        <v/>
      </c>
      <c r="K648" s="17">
        <f>+VLOOKUP($A648,MAGAZZINO!$B$2:$M$4838,11,FALSE)</f>
        <v/>
      </c>
      <c r="L648" s="44">
        <f>+VLOOKUP($A648,MAGAZZINO!$B$2:$M$4838,12,FALSE)</f>
        <v/>
      </c>
    </row>
    <row r="649" ht="36" customHeight="1">
      <c r="A649" s="30">
        <f>+REGISTRO!A632</f>
        <v/>
      </c>
      <c r="B649" s="31">
        <f>+VLOOKUP($A649,MAGAZZINO!$B$2:$M$4838,2,FALSE)</f>
        <v/>
      </c>
      <c r="C649" s="32">
        <f>+VLOOKUP($A649,MAGAZZINO!$B$2:$M$4838,3,FALSE)</f>
        <v/>
      </c>
      <c r="D649" s="17">
        <f>+VLOOKUP($A649,MAGAZZINO!$B$2:$M$4838,4,FALSE)</f>
        <v/>
      </c>
      <c r="E649" s="17">
        <f>+VLOOKUP($A649,MAGAZZINO!$B$2:$M$4838,5,FALSE)</f>
        <v/>
      </c>
      <c r="F649" s="17">
        <f>+VLOOKUP($A649,MAGAZZINO!$B$2:$M$4838,6,FALSE)</f>
        <v/>
      </c>
      <c r="G649" s="17">
        <f>+VLOOKUP($A649,MAGAZZINO!$B$2:$M$4838,7,FALSE)</f>
        <v/>
      </c>
      <c r="H649" s="17">
        <f>+VLOOKUP($A649,MAGAZZINO!$B$2:$M$4838,8,FALSE)</f>
        <v/>
      </c>
      <c r="I649" s="17">
        <f>+VLOOKUP($A649,MAGAZZINO!$B$2:$M$4838,9,FALSE)</f>
        <v/>
      </c>
      <c r="J649" s="17">
        <f>+VLOOKUP($A649,MAGAZZINO!$B$2:$M$4838,10,FALSE)</f>
        <v/>
      </c>
      <c r="K649" s="17">
        <f>+VLOOKUP($A649,MAGAZZINO!$B$2:$M$4838,11,FALSE)</f>
        <v/>
      </c>
      <c r="L649" s="44">
        <f>+VLOOKUP($A649,MAGAZZINO!$B$2:$M$4838,12,FALSE)</f>
        <v/>
      </c>
    </row>
    <row r="650" ht="36" customHeight="1">
      <c r="A650" s="30">
        <f>+REGISTRO!A633</f>
        <v/>
      </c>
      <c r="B650" s="31">
        <f>+VLOOKUP($A650,MAGAZZINO!$B$2:$M$4838,2,FALSE)</f>
        <v/>
      </c>
      <c r="C650" s="32">
        <f>+VLOOKUP($A650,MAGAZZINO!$B$2:$M$4838,3,FALSE)</f>
        <v/>
      </c>
      <c r="D650" s="17">
        <f>+VLOOKUP($A650,MAGAZZINO!$B$2:$M$4838,4,FALSE)</f>
        <v/>
      </c>
      <c r="E650" s="17">
        <f>+VLOOKUP($A650,MAGAZZINO!$B$2:$M$4838,5,FALSE)</f>
        <v/>
      </c>
      <c r="F650" s="17">
        <f>+VLOOKUP($A650,MAGAZZINO!$B$2:$M$4838,6,FALSE)</f>
        <v/>
      </c>
      <c r="G650" s="17">
        <f>+VLOOKUP($A650,MAGAZZINO!$B$2:$M$4838,7,FALSE)</f>
        <v/>
      </c>
      <c r="H650" s="17">
        <f>+VLOOKUP($A650,MAGAZZINO!$B$2:$M$4838,8,FALSE)</f>
        <v/>
      </c>
      <c r="I650" s="17">
        <f>+VLOOKUP($A650,MAGAZZINO!$B$2:$M$4838,9,FALSE)</f>
        <v/>
      </c>
      <c r="J650" s="17">
        <f>+VLOOKUP($A650,MAGAZZINO!$B$2:$M$4838,10,FALSE)</f>
        <v/>
      </c>
      <c r="K650" s="17">
        <f>+VLOOKUP($A650,MAGAZZINO!$B$2:$M$4838,11,FALSE)</f>
        <v/>
      </c>
      <c r="L650" s="44">
        <f>+VLOOKUP($A650,MAGAZZINO!$B$2:$M$4838,12,FALSE)</f>
        <v/>
      </c>
    </row>
    <row r="651" ht="36" customHeight="1">
      <c r="A651" s="30">
        <f>+REGISTRO!A634</f>
        <v/>
      </c>
      <c r="B651" s="31">
        <f>+VLOOKUP($A651,MAGAZZINO!$B$2:$M$4838,2,FALSE)</f>
        <v/>
      </c>
      <c r="C651" s="32">
        <f>+VLOOKUP($A651,MAGAZZINO!$B$2:$M$4838,3,FALSE)</f>
        <v/>
      </c>
      <c r="D651" s="17">
        <f>+VLOOKUP($A651,MAGAZZINO!$B$2:$M$4838,4,FALSE)</f>
        <v/>
      </c>
      <c r="E651" s="17">
        <f>+VLOOKUP($A651,MAGAZZINO!$B$2:$M$4838,5,FALSE)</f>
        <v/>
      </c>
      <c r="F651" s="17">
        <f>+VLOOKUP($A651,MAGAZZINO!$B$2:$M$4838,6,FALSE)</f>
        <v/>
      </c>
      <c r="G651" s="17">
        <f>+VLOOKUP($A651,MAGAZZINO!$B$2:$M$4838,7,FALSE)</f>
        <v/>
      </c>
      <c r="H651" s="17">
        <f>+VLOOKUP($A651,MAGAZZINO!$B$2:$M$4838,8,FALSE)</f>
        <v/>
      </c>
      <c r="I651" s="17">
        <f>+VLOOKUP($A651,MAGAZZINO!$B$2:$M$4838,9,FALSE)</f>
        <v/>
      </c>
      <c r="J651" s="17">
        <f>+VLOOKUP($A651,MAGAZZINO!$B$2:$M$4838,10,FALSE)</f>
        <v/>
      </c>
      <c r="K651" s="17">
        <f>+VLOOKUP($A651,MAGAZZINO!$B$2:$M$4838,11,FALSE)</f>
        <v/>
      </c>
      <c r="L651" s="44">
        <f>+VLOOKUP($A651,MAGAZZINO!$B$2:$M$4838,12,FALSE)</f>
        <v/>
      </c>
    </row>
    <row r="652" ht="36" customHeight="1">
      <c r="A652" s="30">
        <f>+REGISTRO!A635</f>
        <v/>
      </c>
      <c r="B652" s="31">
        <f>+VLOOKUP($A652,MAGAZZINO!$B$2:$M$4838,2,FALSE)</f>
        <v/>
      </c>
      <c r="C652" s="32">
        <f>+VLOOKUP($A652,MAGAZZINO!$B$2:$M$4838,3,FALSE)</f>
        <v/>
      </c>
      <c r="D652" s="17">
        <f>+VLOOKUP($A652,MAGAZZINO!$B$2:$M$4838,4,FALSE)</f>
        <v/>
      </c>
      <c r="E652" s="17">
        <f>+VLOOKUP($A652,MAGAZZINO!$B$2:$M$4838,5,FALSE)</f>
        <v/>
      </c>
      <c r="F652" s="17">
        <f>+VLOOKUP($A652,MAGAZZINO!$B$2:$M$4838,6,FALSE)</f>
        <v/>
      </c>
      <c r="G652" s="17">
        <f>+VLOOKUP($A652,MAGAZZINO!$B$2:$M$4838,7,FALSE)</f>
        <v/>
      </c>
      <c r="H652" s="17">
        <f>+VLOOKUP($A652,MAGAZZINO!$B$2:$M$4838,8,FALSE)</f>
        <v/>
      </c>
      <c r="I652" s="17">
        <f>+VLOOKUP($A652,MAGAZZINO!$B$2:$M$4838,9,FALSE)</f>
        <v/>
      </c>
      <c r="J652" s="17">
        <f>+VLOOKUP($A652,MAGAZZINO!$B$2:$M$4838,10,FALSE)</f>
        <v/>
      </c>
      <c r="K652" s="17">
        <f>+VLOOKUP($A652,MAGAZZINO!$B$2:$M$4838,11,FALSE)</f>
        <v/>
      </c>
      <c r="L652" s="44">
        <f>+VLOOKUP($A652,MAGAZZINO!$B$2:$M$4838,12,FALSE)</f>
        <v/>
      </c>
    </row>
    <row r="653" ht="36" customHeight="1">
      <c r="A653" s="30">
        <f>+REGISTRO!A636</f>
        <v/>
      </c>
      <c r="B653" s="31">
        <f>+VLOOKUP($A653,MAGAZZINO!$B$2:$M$4838,2,FALSE)</f>
        <v/>
      </c>
      <c r="C653" s="32">
        <f>+VLOOKUP($A653,MAGAZZINO!$B$2:$M$4838,3,FALSE)</f>
        <v/>
      </c>
      <c r="D653" s="17">
        <f>+VLOOKUP($A653,MAGAZZINO!$B$2:$M$4838,4,FALSE)</f>
        <v/>
      </c>
      <c r="E653" s="17">
        <f>+VLOOKUP($A653,MAGAZZINO!$B$2:$M$4838,5,FALSE)</f>
        <v/>
      </c>
      <c r="F653" s="17">
        <f>+VLOOKUP($A653,MAGAZZINO!$B$2:$M$4838,6,FALSE)</f>
        <v/>
      </c>
      <c r="G653" s="17">
        <f>+VLOOKUP($A653,MAGAZZINO!$B$2:$M$4838,7,FALSE)</f>
        <v/>
      </c>
      <c r="H653" s="17">
        <f>+VLOOKUP($A653,MAGAZZINO!$B$2:$M$4838,8,FALSE)</f>
        <v/>
      </c>
      <c r="I653" s="17">
        <f>+VLOOKUP($A653,MAGAZZINO!$B$2:$M$4838,9,FALSE)</f>
        <v/>
      </c>
      <c r="J653" s="17">
        <f>+VLOOKUP($A653,MAGAZZINO!$B$2:$M$4838,10,FALSE)</f>
        <v/>
      </c>
      <c r="K653" s="17">
        <f>+VLOOKUP($A653,MAGAZZINO!$B$2:$M$4838,11,FALSE)</f>
        <v/>
      </c>
      <c r="L653" s="44">
        <f>+VLOOKUP($A653,MAGAZZINO!$B$2:$M$4838,12,FALSE)</f>
        <v/>
      </c>
    </row>
    <row r="654" ht="36" customHeight="1">
      <c r="A654" s="30">
        <f>+REGISTRO!A637</f>
        <v/>
      </c>
      <c r="B654" s="31">
        <f>+VLOOKUP($A654,MAGAZZINO!$B$2:$M$4838,2,FALSE)</f>
        <v/>
      </c>
      <c r="C654" s="32">
        <f>+VLOOKUP($A654,MAGAZZINO!$B$2:$M$4838,3,FALSE)</f>
        <v/>
      </c>
      <c r="D654" s="17">
        <f>+VLOOKUP($A654,MAGAZZINO!$B$2:$M$4838,4,FALSE)</f>
        <v/>
      </c>
      <c r="E654" s="17">
        <f>+VLOOKUP($A654,MAGAZZINO!$B$2:$M$4838,5,FALSE)</f>
        <v/>
      </c>
      <c r="F654" s="17">
        <f>+VLOOKUP($A654,MAGAZZINO!$B$2:$M$4838,6,FALSE)</f>
        <v/>
      </c>
      <c r="G654" s="17">
        <f>+VLOOKUP($A654,MAGAZZINO!$B$2:$M$4838,7,FALSE)</f>
        <v/>
      </c>
      <c r="H654" s="17">
        <f>+VLOOKUP($A654,MAGAZZINO!$B$2:$M$4838,8,FALSE)</f>
        <v/>
      </c>
      <c r="I654" s="17">
        <f>+VLOOKUP($A654,MAGAZZINO!$B$2:$M$4838,9,FALSE)</f>
        <v/>
      </c>
      <c r="J654" s="17">
        <f>+VLOOKUP($A654,MAGAZZINO!$B$2:$M$4838,10,FALSE)</f>
        <v/>
      </c>
      <c r="K654" s="17">
        <f>+VLOOKUP($A654,MAGAZZINO!$B$2:$M$4838,11,FALSE)</f>
        <v/>
      </c>
      <c r="L654" s="44">
        <f>+VLOOKUP($A654,MAGAZZINO!$B$2:$M$4838,12,FALSE)</f>
        <v/>
      </c>
    </row>
    <row r="655" ht="36" customHeight="1">
      <c r="A655" s="30">
        <f>+REGISTRO!A638</f>
        <v/>
      </c>
      <c r="B655" s="31">
        <f>+VLOOKUP($A655,MAGAZZINO!$B$2:$M$4838,2,FALSE)</f>
        <v/>
      </c>
      <c r="C655" s="32">
        <f>+VLOOKUP($A655,MAGAZZINO!$B$2:$M$4838,3,FALSE)</f>
        <v/>
      </c>
      <c r="D655" s="17">
        <f>+VLOOKUP($A655,MAGAZZINO!$B$2:$M$4838,4,FALSE)</f>
        <v/>
      </c>
      <c r="E655" s="17">
        <f>+VLOOKUP($A655,MAGAZZINO!$B$2:$M$4838,5,FALSE)</f>
        <v/>
      </c>
      <c r="F655" s="17">
        <f>+VLOOKUP($A655,MAGAZZINO!$B$2:$M$4838,6,FALSE)</f>
        <v/>
      </c>
      <c r="G655" s="17">
        <f>+VLOOKUP($A655,MAGAZZINO!$B$2:$M$4838,7,FALSE)</f>
        <v/>
      </c>
      <c r="H655" s="17">
        <f>+VLOOKUP($A655,MAGAZZINO!$B$2:$M$4838,8,FALSE)</f>
        <v/>
      </c>
      <c r="I655" s="17">
        <f>+VLOOKUP($A655,MAGAZZINO!$B$2:$M$4838,9,FALSE)</f>
        <v/>
      </c>
      <c r="J655" s="17">
        <f>+VLOOKUP($A655,MAGAZZINO!$B$2:$M$4838,10,FALSE)</f>
        <v/>
      </c>
      <c r="K655" s="17">
        <f>+VLOOKUP($A655,MAGAZZINO!$B$2:$M$4838,11,FALSE)</f>
        <v/>
      </c>
      <c r="L655" s="44">
        <f>+VLOOKUP($A655,MAGAZZINO!$B$2:$M$4838,12,FALSE)</f>
        <v/>
      </c>
    </row>
    <row r="656" ht="36" customHeight="1">
      <c r="A656" s="30">
        <f>+REGISTRO!A639</f>
        <v/>
      </c>
      <c r="B656" s="31">
        <f>+VLOOKUP($A656,MAGAZZINO!$B$2:$M$4838,2,FALSE)</f>
        <v/>
      </c>
      <c r="C656" s="32">
        <f>+VLOOKUP($A656,MAGAZZINO!$B$2:$M$4838,3,FALSE)</f>
        <v/>
      </c>
      <c r="D656" s="17">
        <f>+VLOOKUP($A656,MAGAZZINO!$B$2:$M$4838,4,FALSE)</f>
        <v/>
      </c>
      <c r="E656" s="17">
        <f>+VLOOKUP($A656,MAGAZZINO!$B$2:$M$4838,5,FALSE)</f>
        <v/>
      </c>
      <c r="F656" s="17">
        <f>+VLOOKUP($A656,MAGAZZINO!$B$2:$M$4838,6,FALSE)</f>
        <v/>
      </c>
      <c r="G656" s="17">
        <f>+VLOOKUP($A656,MAGAZZINO!$B$2:$M$4838,7,FALSE)</f>
        <v/>
      </c>
      <c r="H656" s="17">
        <f>+VLOOKUP($A656,MAGAZZINO!$B$2:$M$4838,8,FALSE)</f>
        <v/>
      </c>
      <c r="I656" s="17">
        <f>+VLOOKUP($A656,MAGAZZINO!$B$2:$M$4838,9,FALSE)</f>
        <v/>
      </c>
      <c r="J656" s="17">
        <f>+VLOOKUP($A656,MAGAZZINO!$B$2:$M$4838,10,FALSE)</f>
        <v/>
      </c>
      <c r="K656" s="17">
        <f>+VLOOKUP($A656,MAGAZZINO!$B$2:$M$4838,11,FALSE)</f>
        <v/>
      </c>
      <c r="L656" s="44">
        <f>+VLOOKUP($A656,MAGAZZINO!$B$2:$M$4838,12,FALSE)</f>
        <v/>
      </c>
    </row>
    <row r="657" ht="36" customHeight="1">
      <c r="A657" s="30">
        <f>+REGISTRO!A640</f>
        <v/>
      </c>
      <c r="B657" s="31">
        <f>+VLOOKUP($A657,MAGAZZINO!$B$2:$M$4838,2,FALSE)</f>
        <v/>
      </c>
      <c r="C657" s="32">
        <f>+VLOOKUP($A657,MAGAZZINO!$B$2:$M$4838,3,FALSE)</f>
        <v/>
      </c>
      <c r="D657" s="17">
        <f>+VLOOKUP($A657,MAGAZZINO!$B$2:$M$4838,4,FALSE)</f>
        <v/>
      </c>
      <c r="E657" s="17">
        <f>+VLOOKUP($A657,MAGAZZINO!$B$2:$M$4838,5,FALSE)</f>
        <v/>
      </c>
      <c r="F657" s="17">
        <f>+VLOOKUP($A657,MAGAZZINO!$B$2:$M$4838,6,FALSE)</f>
        <v/>
      </c>
      <c r="G657" s="17">
        <f>+VLOOKUP($A657,MAGAZZINO!$B$2:$M$4838,7,FALSE)</f>
        <v/>
      </c>
      <c r="H657" s="17">
        <f>+VLOOKUP($A657,MAGAZZINO!$B$2:$M$4838,8,FALSE)</f>
        <v/>
      </c>
      <c r="I657" s="17">
        <f>+VLOOKUP($A657,MAGAZZINO!$B$2:$M$4838,9,FALSE)</f>
        <v/>
      </c>
      <c r="J657" s="17">
        <f>+VLOOKUP($A657,MAGAZZINO!$B$2:$M$4838,10,FALSE)</f>
        <v/>
      </c>
      <c r="K657" s="17">
        <f>+VLOOKUP($A657,MAGAZZINO!$B$2:$M$4838,11,FALSE)</f>
        <v/>
      </c>
      <c r="L657" s="44">
        <f>+VLOOKUP($A657,MAGAZZINO!$B$2:$M$4838,12,FALSE)</f>
        <v/>
      </c>
    </row>
    <row r="658" ht="36" customHeight="1">
      <c r="A658" s="30">
        <f>+REGISTRO!A641</f>
        <v/>
      </c>
      <c r="B658" s="31">
        <f>+VLOOKUP($A658,MAGAZZINO!$B$2:$M$4838,2,FALSE)</f>
        <v/>
      </c>
      <c r="C658" s="32">
        <f>+VLOOKUP($A658,MAGAZZINO!$B$2:$M$4838,3,FALSE)</f>
        <v/>
      </c>
      <c r="D658" s="17">
        <f>+VLOOKUP($A658,MAGAZZINO!$B$2:$M$4838,4,FALSE)</f>
        <v/>
      </c>
      <c r="E658" s="17">
        <f>+VLOOKUP($A658,MAGAZZINO!$B$2:$M$4838,5,FALSE)</f>
        <v/>
      </c>
      <c r="F658" s="17">
        <f>+VLOOKUP($A658,MAGAZZINO!$B$2:$M$4838,6,FALSE)</f>
        <v/>
      </c>
      <c r="G658" s="17">
        <f>+VLOOKUP($A658,MAGAZZINO!$B$2:$M$4838,7,FALSE)</f>
        <v/>
      </c>
      <c r="H658" s="17">
        <f>+VLOOKUP($A658,MAGAZZINO!$B$2:$M$4838,8,FALSE)</f>
        <v/>
      </c>
      <c r="I658" s="17">
        <f>+VLOOKUP($A658,MAGAZZINO!$B$2:$M$4838,9,FALSE)</f>
        <v/>
      </c>
      <c r="J658" s="17">
        <f>+VLOOKUP($A658,MAGAZZINO!$B$2:$M$4838,10,FALSE)</f>
        <v/>
      </c>
      <c r="K658" s="17">
        <f>+VLOOKUP($A658,MAGAZZINO!$B$2:$M$4838,11,FALSE)</f>
        <v/>
      </c>
      <c r="L658" s="44">
        <f>+VLOOKUP($A658,MAGAZZINO!$B$2:$M$4838,12,FALSE)</f>
        <v/>
      </c>
    </row>
    <row r="659" ht="36" customHeight="1">
      <c r="A659" s="30">
        <f>+REGISTRO!A642</f>
        <v/>
      </c>
      <c r="B659" s="31">
        <f>+VLOOKUP($A659,MAGAZZINO!$B$2:$M$4838,2,FALSE)</f>
        <v/>
      </c>
      <c r="C659" s="32">
        <f>+VLOOKUP($A659,MAGAZZINO!$B$2:$M$4838,3,FALSE)</f>
        <v/>
      </c>
      <c r="D659" s="17">
        <f>+VLOOKUP($A659,MAGAZZINO!$B$2:$M$4838,4,FALSE)</f>
        <v/>
      </c>
      <c r="E659" s="17">
        <f>+VLOOKUP($A659,MAGAZZINO!$B$2:$M$4838,5,FALSE)</f>
        <v/>
      </c>
      <c r="F659" s="17">
        <f>+VLOOKUP($A659,MAGAZZINO!$B$2:$M$4838,6,FALSE)</f>
        <v/>
      </c>
      <c r="G659" s="17">
        <f>+VLOOKUP($A659,MAGAZZINO!$B$2:$M$4838,7,FALSE)</f>
        <v/>
      </c>
      <c r="H659" s="17">
        <f>+VLOOKUP($A659,MAGAZZINO!$B$2:$M$4838,8,FALSE)</f>
        <v/>
      </c>
      <c r="I659" s="17">
        <f>+VLOOKUP($A659,MAGAZZINO!$B$2:$M$4838,9,FALSE)</f>
        <v/>
      </c>
      <c r="J659" s="17">
        <f>+VLOOKUP($A659,MAGAZZINO!$B$2:$M$4838,10,FALSE)</f>
        <v/>
      </c>
      <c r="K659" s="17">
        <f>+VLOOKUP($A659,MAGAZZINO!$B$2:$M$4838,11,FALSE)</f>
        <v/>
      </c>
      <c r="L659" s="44">
        <f>+VLOOKUP($A659,MAGAZZINO!$B$2:$M$4838,12,FALSE)</f>
        <v/>
      </c>
    </row>
    <row r="660" ht="36" customHeight="1">
      <c r="A660" s="30">
        <f>+REGISTRO!A643</f>
        <v/>
      </c>
      <c r="B660" s="31">
        <f>+VLOOKUP($A660,MAGAZZINO!$B$2:$M$4838,2,FALSE)</f>
        <v/>
      </c>
      <c r="C660" s="32">
        <f>+VLOOKUP($A660,MAGAZZINO!$B$2:$M$4838,3,FALSE)</f>
        <v/>
      </c>
      <c r="D660" s="17">
        <f>+VLOOKUP($A660,MAGAZZINO!$B$2:$M$4838,4,FALSE)</f>
        <v/>
      </c>
      <c r="E660" s="17">
        <f>+VLOOKUP($A660,MAGAZZINO!$B$2:$M$4838,5,FALSE)</f>
        <v/>
      </c>
      <c r="F660" s="17">
        <f>+VLOOKUP($A660,MAGAZZINO!$B$2:$M$4838,6,FALSE)</f>
        <v/>
      </c>
      <c r="G660" s="17">
        <f>+VLOOKUP($A660,MAGAZZINO!$B$2:$M$4838,7,FALSE)</f>
        <v/>
      </c>
      <c r="H660" s="17">
        <f>+VLOOKUP($A660,MAGAZZINO!$B$2:$M$4838,8,FALSE)</f>
        <v/>
      </c>
      <c r="I660" s="17">
        <f>+VLOOKUP($A660,MAGAZZINO!$B$2:$M$4838,9,FALSE)</f>
        <v/>
      </c>
      <c r="J660" s="17">
        <f>+VLOOKUP($A660,MAGAZZINO!$B$2:$M$4838,10,FALSE)</f>
        <v/>
      </c>
      <c r="K660" s="17">
        <f>+VLOOKUP($A660,MAGAZZINO!$B$2:$M$4838,11,FALSE)</f>
        <v/>
      </c>
      <c r="L660" s="44">
        <f>+VLOOKUP($A660,MAGAZZINO!$B$2:$M$4838,12,FALSE)</f>
        <v/>
      </c>
    </row>
    <row r="661" ht="36" customHeight="1">
      <c r="A661" s="30">
        <f>+REGISTRO!A644</f>
        <v/>
      </c>
      <c r="B661" s="31">
        <f>+VLOOKUP($A661,MAGAZZINO!$B$2:$M$4838,2,FALSE)</f>
        <v/>
      </c>
      <c r="C661" s="32">
        <f>+VLOOKUP($A661,MAGAZZINO!$B$2:$M$4838,3,FALSE)</f>
        <v/>
      </c>
      <c r="D661" s="17">
        <f>+VLOOKUP($A661,MAGAZZINO!$B$2:$M$4838,4,FALSE)</f>
        <v/>
      </c>
      <c r="E661" s="17">
        <f>+VLOOKUP($A661,MAGAZZINO!$B$2:$M$4838,5,FALSE)</f>
        <v/>
      </c>
      <c r="F661" s="17">
        <f>+VLOOKUP($A661,MAGAZZINO!$B$2:$M$4838,6,FALSE)</f>
        <v/>
      </c>
      <c r="G661" s="17">
        <f>+VLOOKUP($A661,MAGAZZINO!$B$2:$M$4838,7,FALSE)</f>
        <v/>
      </c>
      <c r="H661" s="17">
        <f>+VLOOKUP($A661,MAGAZZINO!$B$2:$M$4838,8,FALSE)</f>
        <v/>
      </c>
      <c r="I661" s="17">
        <f>+VLOOKUP($A661,MAGAZZINO!$B$2:$M$4838,9,FALSE)</f>
        <v/>
      </c>
      <c r="J661" s="17">
        <f>+VLOOKUP($A661,MAGAZZINO!$B$2:$M$4838,10,FALSE)</f>
        <v/>
      </c>
      <c r="K661" s="17">
        <f>+VLOOKUP($A661,MAGAZZINO!$B$2:$M$4838,11,FALSE)</f>
        <v/>
      </c>
      <c r="L661" s="44">
        <f>+VLOOKUP($A661,MAGAZZINO!$B$2:$M$4838,12,FALSE)</f>
        <v/>
      </c>
    </row>
    <row r="662" ht="36" customHeight="1">
      <c r="A662" s="30">
        <f>+REGISTRO!A645</f>
        <v/>
      </c>
      <c r="B662" s="31">
        <f>+VLOOKUP($A662,MAGAZZINO!$B$2:$M$4838,2,FALSE)</f>
        <v/>
      </c>
      <c r="C662" s="32">
        <f>+VLOOKUP($A662,MAGAZZINO!$B$2:$M$4838,3,FALSE)</f>
        <v/>
      </c>
      <c r="D662" s="17">
        <f>+VLOOKUP($A662,MAGAZZINO!$B$2:$M$4838,4,FALSE)</f>
        <v/>
      </c>
      <c r="E662" s="17">
        <f>+VLOOKUP($A662,MAGAZZINO!$B$2:$M$4838,5,FALSE)</f>
        <v/>
      </c>
      <c r="F662" s="17">
        <f>+VLOOKUP($A662,MAGAZZINO!$B$2:$M$4838,6,FALSE)</f>
        <v/>
      </c>
      <c r="G662" s="17">
        <f>+VLOOKUP($A662,MAGAZZINO!$B$2:$M$4838,7,FALSE)</f>
        <v/>
      </c>
      <c r="H662" s="17">
        <f>+VLOOKUP($A662,MAGAZZINO!$B$2:$M$4838,8,FALSE)</f>
        <v/>
      </c>
      <c r="I662" s="17">
        <f>+VLOOKUP($A662,MAGAZZINO!$B$2:$M$4838,9,FALSE)</f>
        <v/>
      </c>
      <c r="J662" s="17">
        <f>+VLOOKUP($A662,MAGAZZINO!$B$2:$M$4838,10,FALSE)</f>
        <v/>
      </c>
      <c r="K662" s="17">
        <f>+VLOOKUP($A662,MAGAZZINO!$B$2:$M$4838,11,FALSE)</f>
        <v/>
      </c>
      <c r="L662" s="44">
        <f>+VLOOKUP($A662,MAGAZZINO!$B$2:$M$4838,12,FALSE)</f>
        <v/>
      </c>
    </row>
    <row r="663" ht="36" customHeight="1">
      <c r="A663" s="30">
        <f>+REGISTRO!A646</f>
        <v/>
      </c>
      <c r="B663" s="31">
        <f>+VLOOKUP($A663,MAGAZZINO!$B$2:$M$4838,2,FALSE)</f>
        <v/>
      </c>
      <c r="C663" s="32">
        <f>+VLOOKUP($A663,MAGAZZINO!$B$2:$M$4838,3,FALSE)</f>
        <v/>
      </c>
      <c r="D663" s="17">
        <f>+VLOOKUP($A663,MAGAZZINO!$B$2:$M$4838,4,FALSE)</f>
        <v/>
      </c>
      <c r="E663" s="17">
        <f>+VLOOKUP($A663,MAGAZZINO!$B$2:$M$4838,5,FALSE)</f>
        <v/>
      </c>
      <c r="F663" s="17">
        <f>+VLOOKUP($A663,MAGAZZINO!$B$2:$M$4838,6,FALSE)</f>
        <v/>
      </c>
      <c r="G663" s="17">
        <f>+VLOOKUP($A663,MAGAZZINO!$B$2:$M$4838,7,FALSE)</f>
        <v/>
      </c>
      <c r="H663" s="17">
        <f>+VLOOKUP($A663,MAGAZZINO!$B$2:$M$4838,8,FALSE)</f>
        <v/>
      </c>
      <c r="I663" s="17">
        <f>+VLOOKUP($A663,MAGAZZINO!$B$2:$M$4838,9,FALSE)</f>
        <v/>
      </c>
      <c r="J663" s="17">
        <f>+VLOOKUP($A663,MAGAZZINO!$B$2:$M$4838,10,FALSE)</f>
        <v/>
      </c>
      <c r="K663" s="17">
        <f>+VLOOKUP($A663,MAGAZZINO!$B$2:$M$4838,11,FALSE)</f>
        <v/>
      </c>
      <c r="L663" s="44">
        <f>+VLOOKUP($A663,MAGAZZINO!$B$2:$M$4838,12,FALSE)</f>
        <v/>
      </c>
    </row>
    <row r="664" ht="36" customHeight="1">
      <c r="A664" s="30">
        <f>+REGISTRO!A647</f>
        <v/>
      </c>
      <c r="B664" s="31">
        <f>+VLOOKUP($A664,MAGAZZINO!$B$2:$M$4838,2,FALSE)</f>
        <v/>
      </c>
      <c r="C664" s="32">
        <f>+VLOOKUP($A664,MAGAZZINO!$B$2:$M$4838,3,FALSE)</f>
        <v/>
      </c>
      <c r="D664" s="17">
        <f>+VLOOKUP($A664,MAGAZZINO!$B$2:$M$4838,4,FALSE)</f>
        <v/>
      </c>
      <c r="E664" s="17">
        <f>+VLOOKUP($A664,MAGAZZINO!$B$2:$M$4838,5,FALSE)</f>
        <v/>
      </c>
      <c r="F664" s="17">
        <f>+VLOOKUP($A664,MAGAZZINO!$B$2:$M$4838,6,FALSE)</f>
        <v/>
      </c>
      <c r="G664" s="17">
        <f>+VLOOKUP($A664,MAGAZZINO!$B$2:$M$4838,7,FALSE)</f>
        <v/>
      </c>
      <c r="H664" s="17">
        <f>+VLOOKUP($A664,MAGAZZINO!$B$2:$M$4838,8,FALSE)</f>
        <v/>
      </c>
      <c r="I664" s="17">
        <f>+VLOOKUP($A664,MAGAZZINO!$B$2:$M$4838,9,FALSE)</f>
        <v/>
      </c>
      <c r="J664" s="17">
        <f>+VLOOKUP($A664,MAGAZZINO!$B$2:$M$4838,10,FALSE)</f>
        <v/>
      </c>
      <c r="K664" s="17">
        <f>+VLOOKUP($A664,MAGAZZINO!$B$2:$M$4838,11,FALSE)</f>
        <v/>
      </c>
      <c r="L664" s="44">
        <f>+VLOOKUP($A664,MAGAZZINO!$B$2:$M$4838,12,FALSE)</f>
        <v/>
      </c>
    </row>
    <row r="665" ht="36" customHeight="1">
      <c r="A665" s="30">
        <f>+REGISTRO!A648</f>
        <v/>
      </c>
      <c r="B665" s="31">
        <f>+VLOOKUP($A665,MAGAZZINO!$B$2:$M$4838,2,FALSE)</f>
        <v/>
      </c>
      <c r="C665" s="32">
        <f>+VLOOKUP($A665,MAGAZZINO!$B$2:$M$4838,3,FALSE)</f>
        <v/>
      </c>
      <c r="D665" s="17">
        <f>+VLOOKUP($A665,MAGAZZINO!$B$2:$M$4838,4,FALSE)</f>
        <v/>
      </c>
      <c r="E665" s="17">
        <f>+VLOOKUP($A665,MAGAZZINO!$B$2:$M$4838,5,FALSE)</f>
        <v/>
      </c>
      <c r="F665" s="17">
        <f>+VLOOKUP($A665,MAGAZZINO!$B$2:$M$4838,6,FALSE)</f>
        <v/>
      </c>
      <c r="G665" s="17">
        <f>+VLOOKUP($A665,MAGAZZINO!$B$2:$M$4838,7,FALSE)</f>
        <v/>
      </c>
      <c r="H665" s="17">
        <f>+VLOOKUP($A665,MAGAZZINO!$B$2:$M$4838,8,FALSE)</f>
        <v/>
      </c>
      <c r="I665" s="17">
        <f>+VLOOKUP($A665,MAGAZZINO!$B$2:$M$4838,9,FALSE)</f>
        <v/>
      </c>
      <c r="J665" s="17">
        <f>+VLOOKUP($A665,MAGAZZINO!$B$2:$M$4838,10,FALSE)</f>
        <v/>
      </c>
      <c r="K665" s="17">
        <f>+VLOOKUP($A665,MAGAZZINO!$B$2:$M$4838,11,FALSE)</f>
        <v/>
      </c>
      <c r="L665" s="44">
        <f>+VLOOKUP($A665,MAGAZZINO!$B$2:$M$4838,12,FALSE)</f>
        <v/>
      </c>
    </row>
    <row r="666" ht="36" customHeight="1">
      <c r="A666" s="30">
        <f>+REGISTRO!A649</f>
        <v/>
      </c>
      <c r="B666" s="31">
        <f>+VLOOKUP($A666,MAGAZZINO!$B$2:$M$4838,2,FALSE)</f>
        <v/>
      </c>
      <c r="C666" s="32">
        <f>+VLOOKUP($A666,MAGAZZINO!$B$2:$M$4838,3,FALSE)</f>
        <v/>
      </c>
      <c r="D666" s="17">
        <f>+VLOOKUP($A666,MAGAZZINO!$B$2:$M$4838,4,FALSE)</f>
        <v/>
      </c>
      <c r="E666" s="17">
        <f>+VLOOKUP($A666,MAGAZZINO!$B$2:$M$4838,5,FALSE)</f>
        <v/>
      </c>
      <c r="F666" s="17">
        <f>+VLOOKUP($A666,MAGAZZINO!$B$2:$M$4838,6,FALSE)</f>
        <v/>
      </c>
      <c r="G666" s="17">
        <f>+VLOOKUP($A666,MAGAZZINO!$B$2:$M$4838,7,FALSE)</f>
        <v/>
      </c>
      <c r="H666" s="17">
        <f>+VLOOKUP($A666,MAGAZZINO!$B$2:$M$4838,8,FALSE)</f>
        <v/>
      </c>
      <c r="I666" s="17">
        <f>+VLOOKUP($A666,MAGAZZINO!$B$2:$M$4838,9,FALSE)</f>
        <v/>
      </c>
      <c r="J666" s="17">
        <f>+VLOOKUP($A666,MAGAZZINO!$B$2:$M$4838,10,FALSE)</f>
        <v/>
      </c>
      <c r="K666" s="17">
        <f>+VLOOKUP($A666,MAGAZZINO!$B$2:$M$4838,11,FALSE)</f>
        <v/>
      </c>
      <c r="L666" s="44">
        <f>+VLOOKUP($A666,MAGAZZINO!$B$2:$M$4838,12,FALSE)</f>
        <v/>
      </c>
    </row>
    <row r="667" ht="36" customHeight="1">
      <c r="A667" s="30">
        <f>+REGISTRO!A650</f>
        <v/>
      </c>
      <c r="B667" s="31">
        <f>+VLOOKUP($A667,MAGAZZINO!$B$2:$M$4838,2,FALSE)</f>
        <v/>
      </c>
      <c r="C667" s="32">
        <f>+VLOOKUP($A667,MAGAZZINO!$B$2:$M$4838,3,FALSE)</f>
        <v/>
      </c>
      <c r="D667" s="17">
        <f>+VLOOKUP($A667,MAGAZZINO!$B$2:$M$4838,4,FALSE)</f>
        <v/>
      </c>
      <c r="E667" s="17">
        <f>+VLOOKUP($A667,MAGAZZINO!$B$2:$M$4838,5,FALSE)</f>
        <v/>
      </c>
      <c r="F667" s="17">
        <f>+VLOOKUP($A667,MAGAZZINO!$B$2:$M$4838,6,FALSE)</f>
        <v/>
      </c>
      <c r="G667" s="17">
        <f>+VLOOKUP($A667,MAGAZZINO!$B$2:$M$4838,7,FALSE)</f>
        <v/>
      </c>
      <c r="H667" s="17">
        <f>+VLOOKUP($A667,MAGAZZINO!$B$2:$M$4838,8,FALSE)</f>
        <v/>
      </c>
      <c r="I667" s="17">
        <f>+VLOOKUP($A667,MAGAZZINO!$B$2:$M$4838,9,FALSE)</f>
        <v/>
      </c>
      <c r="J667" s="17">
        <f>+VLOOKUP($A667,MAGAZZINO!$B$2:$M$4838,10,FALSE)</f>
        <v/>
      </c>
      <c r="K667" s="17">
        <f>+VLOOKUP($A667,MAGAZZINO!$B$2:$M$4838,11,FALSE)</f>
        <v/>
      </c>
      <c r="L667" s="44">
        <f>+VLOOKUP($A667,MAGAZZINO!$B$2:$M$4838,12,FALSE)</f>
        <v/>
      </c>
    </row>
    <row r="668" ht="36" customHeight="1">
      <c r="A668" s="30">
        <f>+REGISTRO!A651</f>
        <v/>
      </c>
      <c r="B668" s="31">
        <f>+VLOOKUP($A668,MAGAZZINO!$B$2:$M$4838,2,FALSE)</f>
        <v/>
      </c>
      <c r="C668" s="32">
        <f>+VLOOKUP($A668,MAGAZZINO!$B$2:$M$4838,3,FALSE)</f>
        <v/>
      </c>
      <c r="D668" s="17">
        <f>+VLOOKUP($A668,MAGAZZINO!$B$2:$M$4838,4,FALSE)</f>
        <v/>
      </c>
      <c r="E668" s="17">
        <f>+VLOOKUP($A668,MAGAZZINO!$B$2:$M$4838,5,FALSE)</f>
        <v/>
      </c>
      <c r="F668" s="17">
        <f>+VLOOKUP($A668,MAGAZZINO!$B$2:$M$4838,6,FALSE)</f>
        <v/>
      </c>
      <c r="G668" s="17">
        <f>+VLOOKUP($A668,MAGAZZINO!$B$2:$M$4838,7,FALSE)</f>
        <v/>
      </c>
      <c r="H668" s="17">
        <f>+VLOOKUP($A668,MAGAZZINO!$B$2:$M$4838,8,FALSE)</f>
        <v/>
      </c>
      <c r="I668" s="17">
        <f>+VLOOKUP($A668,MAGAZZINO!$B$2:$M$4838,9,FALSE)</f>
        <v/>
      </c>
      <c r="J668" s="17">
        <f>+VLOOKUP($A668,MAGAZZINO!$B$2:$M$4838,10,FALSE)</f>
        <v/>
      </c>
      <c r="K668" s="17">
        <f>+VLOOKUP($A668,MAGAZZINO!$B$2:$M$4838,11,FALSE)</f>
        <v/>
      </c>
      <c r="L668" s="44">
        <f>+VLOOKUP($A668,MAGAZZINO!$B$2:$M$4838,12,FALSE)</f>
        <v/>
      </c>
    </row>
    <row r="669" ht="36" customHeight="1">
      <c r="A669" s="30">
        <f>+REGISTRO!#REF!</f>
        <v/>
      </c>
      <c r="B669" s="31">
        <f>+VLOOKUP($A669,MAGAZZINO!$B$2:$M$4838,2,FALSE)</f>
        <v/>
      </c>
      <c r="C669" s="32">
        <f>+VLOOKUP($A669,MAGAZZINO!$B$2:$M$4838,3,FALSE)</f>
        <v/>
      </c>
      <c r="D669" s="17">
        <f>+VLOOKUP($A669,MAGAZZINO!$B$2:$M$4838,4,FALSE)</f>
        <v/>
      </c>
      <c r="E669" s="17">
        <f>+VLOOKUP($A669,MAGAZZINO!$B$2:$M$4838,5,FALSE)</f>
        <v/>
      </c>
      <c r="F669" s="17">
        <f>+VLOOKUP($A669,MAGAZZINO!$B$2:$M$4838,6,FALSE)</f>
        <v/>
      </c>
      <c r="G669" s="17">
        <f>+VLOOKUP($A669,MAGAZZINO!$B$2:$M$4838,7,FALSE)</f>
        <v/>
      </c>
      <c r="H669" s="17">
        <f>+VLOOKUP($A669,MAGAZZINO!$B$2:$M$4838,8,FALSE)</f>
        <v/>
      </c>
      <c r="I669" s="17">
        <f>+VLOOKUP($A669,MAGAZZINO!$B$2:$M$4838,9,FALSE)</f>
        <v/>
      </c>
      <c r="J669" s="17">
        <f>+VLOOKUP($A669,MAGAZZINO!$B$2:$M$4838,10,FALSE)</f>
        <v/>
      </c>
      <c r="K669" s="17">
        <f>+VLOOKUP($A669,MAGAZZINO!$B$2:$M$4838,11,FALSE)</f>
        <v/>
      </c>
      <c r="L669" s="44">
        <f>+VLOOKUP($A669,MAGAZZINO!$B$2:$M$4838,12,FALSE)</f>
        <v/>
      </c>
    </row>
    <row r="670" ht="36" customHeight="1">
      <c r="A670" s="30">
        <f>+REGISTRO!#REF!</f>
        <v/>
      </c>
      <c r="B670" s="31">
        <f>+VLOOKUP($A670,MAGAZZINO!$B$2:$M$4838,2,FALSE)</f>
        <v/>
      </c>
      <c r="C670" s="32">
        <f>+VLOOKUP($A670,MAGAZZINO!$B$2:$M$4838,3,FALSE)</f>
        <v/>
      </c>
      <c r="D670" s="17">
        <f>+VLOOKUP($A670,MAGAZZINO!$B$2:$M$4838,4,FALSE)</f>
        <v/>
      </c>
      <c r="E670" s="17">
        <f>+VLOOKUP($A670,MAGAZZINO!$B$2:$M$4838,5,FALSE)</f>
        <v/>
      </c>
      <c r="F670" s="17">
        <f>+VLOOKUP($A670,MAGAZZINO!$B$2:$M$4838,6,FALSE)</f>
        <v/>
      </c>
      <c r="G670" s="17">
        <f>+VLOOKUP($A670,MAGAZZINO!$B$2:$M$4838,7,FALSE)</f>
        <v/>
      </c>
      <c r="H670" s="17">
        <f>+VLOOKUP($A670,MAGAZZINO!$B$2:$M$4838,8,FALSE)</f>
        <v/>
      </c>
      <c r="I670" s="17">
        <f>+VLOOKUP($A670,MAGAZZINO!$B$2:$M$4838,9,FALSE)</f>
        <v/>
      </c>
      <c r="J670" s="17">
        <f>+VLOOKUP($A670,MAGAZZINO!$B$2:$M$4838,10,FALSE)</f>
        <v/>
      </c>
      <c r="K670" s="17">
        <f>+VLOOKUP($A670,MAGAZZINO!$B$2:$M$4838,11,FALSE)</f>
        <v/>
      </c>
      <c r="L670" s="44">
        <f>+VLOOKUP($A670,MAGAZZINO!$B$2:$M$4838,12,FALSE)</f>
        <v/>
      </c>
    </row>
    <row r="671" ht="36" customHeight="1">
      <c r="A671" s="30">
        <f>+REGISTRO!#REF!</f>
        <v/>
      </c>
      <c r="B671" s="31">
        <f>+VLOOKUP($A671,MAGAZZINO!$B$2:$M$4838,2,FALSE)</f>
        <v/>
      </c>
      <c r="C671" s="32">
        <f>+VLOOKUP($A671,MAGAZZINO!$B$2:$M$4838,3,FALSE)</f>
        <v/>
      </c>
      <c r="D671" s="17">
        <f>+VLOOKUP($A671,MAGAZZINO!$B$2:$M$4838,4,FALSE)</f>
        <v/>
      </c>
      <c r="E671" s="17">
        <f>+VLOOKUP($A671,MAGAZZINO!$B$2:$M$4838,5,FALSE)</f>
        <v/>
      </c>
      <c r="F671" s="17">
        <f>+VLOOKUP($A671,MAGAZZINO!$B$2:$M$4838,6,FALSE)</f>
        <v/>
      </c>
      <c r="G671" s="17">
        <f>+VLOOKUP($A671,MAGAZZINO!$B$2:$M$4838,7,FALSE)</f>
        <v/>
      </c>
      <c r="H671" s="17">
        <f>+VLOOKUP($A671,MAGAZZINO!$B$2:$M$4838,8,FALSE)</f>
        <v/>
      </c>
      <c r="I671" s="17">
        <f>+VLOOKUP($A671,MAGAZZINO!$B$2:$M$4838,9,FALSE)</f>
        <v/>
      </c>
      <c r="J671" s="17">
        <f>+VLOOKUP($A671,MAGAZZINO!$B$2:$M$4838,10,FALSE)</f>
        <v/>
      </c>
      <c r="K671" s="17">
        <f>+VLOOKUP($A671,MAGAZZINO!$B$2:$M$4838,11,FALSE)</f>
        <v/>
      </c>
      <c r="L671" s="44">
        <f>+VLOOKUP($A671,MAGAZZINO!$B$2:$M$4838,12,FALSE)</f>
        <v/>
      </c>
    </row>
    <row r="672" ht="36" customHeight="1">
      <c r="A672" s="30">
        <f>+REGISTRO!A655</f>
        <v/>
      </c>
      <c r="B672" s="31">
        <f>+VLOOKUP($A672,MAGAZZINO!$B$2:$M$4838,2,FALSE)</f>
        <v/>
      </c>
      <c r="C672" s="32">
        <f>+VLOOKUP($A672,MAGAZZINO!$B$2:$M$4838,3,FALSE)</f>
        <v/>
      </c>
      <c r="D672" s="17">
        <f>+VLOOKUP($A672,MAGAZZINO!$B$2:$M$4838,4,FALSE)</f>
        <v/>
      </c>
      <c r="E672" s="17">
        <f>+VLOOKUP($A672,MAGAZZINO!$B$2:$M$4838,5,FALSE)</f>
        <v/>
      </c>
      <c r="F672" s="17">
        <f>+VLOOKUP($A672,MAGAZZINO!$B$2:$M$4838,6,FALSE)</f>
        <v/>
      </c>
      <c r="G672" s="17">
        <f>+VLOOKUP($A672,MAGAZZINO!$B$2:$M$4838,7,FALSE)</f>
        <v/>
      </c>
      <c r="H672" s="17">
        <f>+VLOOKUP($A672,MAGAZZINO!$B$2:$M$4838,8,FALSE)</f>
        <v/>
      </c>
      <c r="I672" s="17">
        <f>+VLOOKUP($A672,MAGAZZINO!$B$2:$M$4838,9,FALSE)</f>
        <v/>
      </c>
      <c r="J672" s="17">
        <f>+VLOOKUP($A672,MAGAZZINO!$B$2:$M$4838,10,FALSE)</f>
        <v/>
      </c>
      <c r="K672" s="17">
        <f>+VLOOKUP($A672,MAGAZZINO!$B$2:$M$4838,11,FALSE)</f>
        <v/>
      </c>
      <c r="L672" s="44">
        <f>+VLOOKUP($A672,MAGAZZINO!$B$2:$M$4838,12,FALSE)</f>
        <v/>
      </c>
    </row>
    <row r="673" ht="36" customHeight="1">
      <c r="A673" s="30">
        <f>+REGISTRO!A656</f>
        <v/>
      </c>
      <c r="B673" s="31">
        <f>+VLOOKUP($A673,MAGAZZINO!$B$2:$M$4838,2,FALSE)</f>
        <v/>
      </c>
      <c r="C673" s="32">
        <f>+VLOOKUP($A673,MAGAZZINO!$B$2:$M$4838,3,FALSE)</f>
        <v/>
      </c>
      <c r="D673" s="17">
        <f>+VLOOKUP($A673,MAGAZZINO!$B$2:$M$4838,4,FALSE)</f>
        <v/>
      </c>
      <c r="E673" s="17">
        <f>+VLOOKUP($A673,MAGAZZINO!$B$2:$M$4838,5,FALSE)</f>
        <v/>
      </c>
      <c r="F673" s="17">
        <f>+VLOOKUP($A673,MAGAZZINO!$B$2:$M$4838,6,FALSE)</f>
        <v/>
      </c>
      <c r="G673" s="17">
        <f>+VLOOKUP($A673,MAGAZZINO!$B$2:$M$4838,7,FALSE)</f>
        <v/>
      </c>
      <c r="H673" s="17">
        <f>+VLOOKUP($A673,MAGAZZINO!$B$2:$M$4838,8,FALSE)</f>
        <v/>
      </c>
      <c r="I673" s="17">
        <f>+VLOOKUP($A673,MAGAZZINO!$B$2:$M$4838,9,FALSE)</f>
        <v/>
      </c>
      <c r="J673" s="17">
        <f>+VLOOKUP($A673,MAGAZZINO!$B$2:$M$4838,10,FALSE)</f>
        <v/>
      </c>
      <c r="K673" s="17">
        <f>+VLOOKUP($A673,MAGAZZINO!$B$2:$M$4838,11,FALSE)</f>
        <v/>
      </c>
      <c r="L673" s="44">
        <f>+VLOOKUP($A673,MAGAZZINO!$B$2:$M$4838,12,FALSE)</f>
        <v/>
      </c>
    </row>
    <row r="674" ht="36" customHeight="1">
      <c r="A674" s="30">
        <f>+REGISTRO!A657</f>
        <v/>
      </c>
      <c r="B674" s="31">
        <f>+VLOOKUP($A674,MAGAZZINO!$B$2:$M$4838,2,FALSE)</f>
        <v/>
      </c>
      <c r="C674" s="32">
        <f>+VLOOKUP($A674,MAGAZZINO!$B$2:$M$4838,3,FALSE)</f>
        <v/>
      </c>
      <c r="D674" s="17">
        <f>+VLOOKUP($A674,MAGAZZINO!$B$2:$M$4838,4,FALSE)</f>
        <v/>
      </c>
      <c r="E674" s="17">
        <f>+VLOOKUP($A674,MAGAZZINO!$B$2:$M$4838,5,FALSE)</f>
        <v/>
      </c>
      <c r="F674" s="17">
        <f>+VLOOKUP($A674,MAGAZZINO!$B$2:$M$4838,6,FALSE)</f>
        <v/>
      </c>
      <c r="G674" s="17">
        <f>+VLOOKUP($A674,MAGAZZINO!$B$2:$M$4838,7,FALSE)</f>
        <v/>
      </c>
      <c r="H674" s="17">
        <f>+VLOOKUP($A674,MAGAZZINO!$B$2:$M$4838,8,FALSE)</f>
        <v/>
      </c>
      <c r="I674" s="17">
        <f>+VLOOKUP($A674,MAGAZZINO!$B$2:$M$4838,9,FALSE)</f>
        <v/>
      </c>
      <c r="J674" s="17">
        <f>+VLOOKUP($A674,MAGAZZINO!$B$2:$M$4838,10,FALSE)</f>
        <v/>
      </c>
      <c r="K674" s="17">
        <f>+VLOOKUP($A674,MAGAZZINO!$B$2:$M$4838,11,FALSE)</f>
        <v/>
      </c>
      <c r="L674" s="44">
        <f>+VLOOKUP($A674,MAGAZZINO!$B$2:$M$4838,12,FALSE)</f>
        <v/>
      </c>
    </row>
    <row r="675" ht="36" customHeight="1">
      <c r="A675" s="30">
        <f>+REGISTRO!A658</f>
        <v/>
      </c>
      <c r="B675" s="31">
        <f>+VLOOKUP($A675,MAGAZZINO!$B$2:$M$4838,2,FALSE)</f>
        <v/>
      </c>
      <c r="C675" s="32">
        <f>+VLOOKUP($A675,MAGAZZINO!$B$2:$M$4838,3,FALSE)</f>
        <v/>
      </c>
      <c r="D675" s="17">
        <f>+VLOOKUP($A675,MAGAZZINO!$B$2:$M$4838,4,FALSE)</f>
        <v/>
      </c>
      <c r="E675" s="17">
        <f>+VLOOKUP($A675,MAGAZZINO!$B$2:$M$4838,5,FALSE)</f>
        <v/>
      </c>
      <c r="F675" s="17">
        <f>+VLOOKUP($A675,MAGAZZINO!$B$2:$M$4838,6,FALSE)</f>
        <v/>
      </c>
      <c r="G675" s="17">
        <f>+VLOOKUP($A675,MAGAZZINO!$B$2:$M$4838,7,FALSE)</f>
        <v/>
      </c>
      <c r="H675" s="17">
        <f>+VLOOKUP($A675,MAGAZZINO!$B$2:$M$4838,8,FALSE)</f>
        <v/>
      </c>
      <c r="I675" s="17">
        <f>+VLOOKUP($A675,MAGAZZINO!$B$2:$M$4838,9,FALSE)</f>
        <v/>
      </c>
      <c r="J675" s="17">
        <f>+VLOOKUP($A675,MAGAZZINO!$B$2:$M$4838,10,FALSE)</f>
        <v/>
      </c>
      <c r="K675" s="17">
        <f>+VLOOKUP($A675,MAGAZZINO!$B$2:$M$4838,11,FALSE)</f>
        <v/>
      </c>
      <c r="L675" s="44">
        <f>+VLOOKUP($A675,MAGAZZINO!$B$2:$M$4838,12,FALSE)</f>
        <v/>
      </c>
    </row>
    <row r="676" ht="36" customHeight="1">
      <c r="A676" s="30">
        <f>+REGISTRO!A659</f>
        <v/>
      </c>
      <c r="B676" s="31">
        <f>+VLOOKUP($A676,MAGAZZINO!$B$2:$M$4838,2,FALSE)</f>
        <v/>
      </c>
      <c r="C676" s="32">
        <f>+VLOOKUP($A676,MAGAZZINO!$B$2:$M$4838,3,FALSE)</f>
        <v/>
      </c>
      <c r="D676" s="17">
        <f>+VLOOKUP($A676,MAGAZZINO!$B$2:$M$4838,4,FALSE)</f>
        <v/>
      </c>
      <c r="E676" s="17">
        <f>+VLOOKUP($A676,MAGAZZINO!$B$2:$M$4838,5,FALSE)</f>
        <v/>
      </c>
      <c r="F676" s="17">
        <f>+VLOOKUP($A676,MAGAZZINO!$B$2:$M$4838,6,FALSE)</f>
        <v/>
      </c>
      <c r="G676" s="17">
        <f>+VLOOKUP($A676,MAGAZZINO!$B$2:$M$4838,7,FALSE)</f>
        <v/>
      </c>
      <c r="H676" s="17">
        <f>+VLOOKUP($A676,MAGAZZINO!$B$2:$M$4838,8,FALSE)</f>
        <v/>
      </c>
      <c r="I676" s="17">
        <f>+VLOOKUP($A676,MAGAZZINO!$B$2:$M$4838,9,FALSE)</f>
        <v/>
      </c>
      <c r="J676" s="17">
        <f>+VLOOKUP($A676,MAGAZZINO!$B$2:$M$4838,10,FALSE)</f>
        <v/>
      </c>
      <c r="K676" s="17">
        <f>+VLOOKUP($A676,MAGAZZINO!$B$2:$M$4838,11,FALSE)</f>
        <v/>
      </c>
      <c r="L676" s="44">
        <f>+VLOOKUP($A676,MAGAZZINO!$B$2:$M$4838,12,FALSE)</f>
        <v/>
      </c>
    </row>
    <row r="677" ht="36" customHeight="1">
      <c r="A677" s="30">
        <f>+REGISTRO!A660</f>
        <v/>
      </c>
      <c r="B677" s="31">
        <f>+VLOOKUP($A677,MAGAZZINO!$B$2:$M$4838,2,FALSE)</f>
        <v/>
      </c>
      <c r="C677" s="32">
        <f>+VLOOKUP($A677,MAGAZZINO!$B$2:$M$4838,3,FALSE)</f>
        <v/>
      </c>
      <c r="D677" s="17">
        <f>+VLOOKUP($A677,MAGAZZINO!$B$2:$M$4838,4,FALSE)</f>
        <v/>
      </c>
      <c r="E677" s="17">
        <f>+VLOOKUP($A677,MAGAZZINO!$B$2:$M$4838,5,FALSE)</f>
        <v/>
      </c>
      <c r="F677" s="17">
        <f>+VLOOKUP($A677,MAGAZZINO!$B$2:$M$4838,6,FALSE)</f>
        <v/>
      </c>
      <c r="G677" s="17">
        <f>+VLOOKUP($A677,MAGAZZINO!$B$2:$M$4838,7,FALSE)</f>
        <v/>
      </c>
      <c r="H677" s="17">
        <f>+VLOOKUP($A677,MAGAZZINO!$B$2:$M$4838,8,FALSE)</f>
        <v/>
      </c>
      <c r="I677" s="17">
        <f>+VLOOKUP($A677,MAGAZZINO!$B$2:$M$4838,9,FALSE)</f>
        <v/>
      </c>
      <c r="J677" s="17">
        <f>+VLOOKUP($A677,MAGAZZINO!$B$2:$M$4838,10,FALSE)</f>
        <v/>
      </c>
      <c r="K677" s="17">
        <f>+VLOOKUP($A677,MAGAZZINO!$B$2:$M$4838,11,FALSE)</f>
        <v/>
      </c>
      <c r="L677" s="44">
        <f>+VLOOKUP($A677,MAGAZZINO!$B$2:$M$4838,12,FALSE)</f>
        <v/>
      </c>
    </row>
    <row r="678" ht="36" customHeight="1">
      <c r="A678" s="30">
        <f>+REGISTRO!A661</f>
        <v/>
      </c>
      <c r="B678" s="31">
        <f>+VLOOKUP($A678,MAGAZZINO!$B$2:$M$4838,2,FALSE)</f>
        <v/>
      </c>
      <c r="C678" s="32">
        <f>+VLOOKUP($A678,MAGAZZINO!$B$2:$M$4838,3,FALSE)</f>
        <v/>
      </c>
      <c r="D678" s="17">
        <f>+VLOOKUP($A678,MAGAZZINO!$B$2:$M$4838,4,FALSE)</f>
        <v/>
      </c>
      <c r="E678" s="17">
        <f>+VLOOKUP($A678,MAGAZZINO!$B$2:$M$4838,5,FALSE)</f>
        <v/>
      </c>
      <c r="F678" s="17">
        <f>+VLOOKUP($A678,MAGAZZINO!$B$2:$M$4838,6,FALSE)</f>
        <v/>
      </c>
      <c r="G678" s="17">
        <f>+VLOOKUP($A678,MAGAZZINO!$B$2:$M$4838,7,FALSE)</f>
        <v/>
      </c>
      <c r="H678" s="17">
        <f>+VLOOKUP($A678,MAGAZZINO!$B$2:$M$4838,8,FALSE)</f>
        <v/>
      </c>
      <c r="I678" s="17">
        <f>+VLOOKUP($A678,MAGAZZINO!$B$2:$M$4838,9,FALSE)</f>
        <v/>
      </c>
      <c r="J678" s="17">
        <f>+VLOOKUP($A678,MAGAZZINO!$B$2:$M$4838,10,FALSE)</f>
        <v/>
      </c>
      <c r="K678" s="17">
        <f>+VLOOKUP($A678,MAGAZZINO!$B$2:$M$4838,11,FALSE)</f>
        <v/>
      </c>
      <c r="L678" s="44">
        <f>+VLOOKUP($A678,MAGAZZINO!$B$2:$M$4838,12,FALSE)</f>
        <v/>
      </c>
    </row>
    <row r="679" ht="36" customHeight="1">
      <c r="A679" s="30">
        <f>+REGISTRO!A662</f>
        <v/>
      </c>
      <c r="B679" s="31">
        <f>+VLOOKUP($A679,MAGAZZINO!$B$2:$M$4838,2,FALSE)</f>
        <v/>
      </c>
      <c r="C679" s="32">
        <f>+VLOOKUP($A679,MAGAZZINO!$B$2:$M$4838,3,FALSE)</f>
        <v/>
      </c>
      <c r="D679" s="17">
        <f>+VLOOKUP($A679,MAGAZZINO!$B$2:$M$4838,4,FALSE)</f>
        <v/>
      </c>
      <c r="E679" s="17">
        <f>+VLOOKUP($A679,MAGAZZINO!$B$2:$M$4838,5,FALSE)</f>
        <v/>
      </c>
      <c r="F679" s="17">
        <f>+VLOOKUP($A679,MAGAZZINO!$B$2:$M$4838,6,FALSE)</f>
        <v/>
      </c>
      <c r="G679" s="17">
        <f>+VLOOKUP($A679,MAGAZZINO!$B$2:$M$4838,7,FALSE)</f>
        <v/>
      </c>
      <c r="H679" s="17">
        <f>+VLOOKUP($A679,MAGAZZINO!$B$2:$M$4838,8,FALSE)</f>
        <v/>
      </c>
      <c r="I679" s="17">
        <f>+VLOOKUP($A679,MAGAZZINO!$B$2:$M$4838,9,FALSE)</f>
        <v/>
      </c>
      <c r="J679" s="17">
        <f>+VLOOKUP($A679,MAGAZZINO!$B$2:$M$4838,10,FALSE)</f>
        <v/>
      </c>
      <c r="K679" s="17">
        <f>+VLOOKUP($A679,MAGAZZINO!$B$2:$M$4838,11,FALSE)</f>
        <v/>
      </c>
      <c r="L679" s="44">
        <f>+VLOOKUP($A679,MAGAZZINO!$B$2:$M$4838,12,FALSE)</f>
        <v/>
      </c>
    </row>
    <row r="680" ht="36" customHeight="1">
      <c r="A680" s="30">
        <f>+REGISTRO!A663</f>
        <v/>
      </c>
      <c r="B680" s="31">
        <f>+VLOOKUP($A680,MAGAZZINO!$B$2:$M$4838,2,FALSE)</f>
        <v/>
      </c>
      <c r="C680" s="32">
        <f>+VLOOKUP($A680,MAGAZZINO!$B$2:$M$4838,3,FALSE)</f>
        <v/>
      </c>
      <c r="D680" s="17">
        <f>+VLOOKUP($A680,MAGAZZINO!$B$2:$M$4838,4,FALSE)</f>
        <v/>
      </c>
      <c r="E680" s="17">
        <f>+VLOOKUP($A680,MAGAZZINO!$B$2:$M$4838,5,FALSE)</f>
        <v/>
      </c>
      <c r="F680" s="17">
        <f>+VLOOKUP($A680,MAGAZZINO!$B$2:$M$4838,6,FALSE)</f>
        <v/>
      </c>
      <c r="G680" s="17">
        <f>+VLOOKUP($A680,MAGAZZINO!$B$2:$M$4838,7,FALSE)</f>
        <v/>
      </c>
      <c r="H680" s="17">
        <f>+VLOOKUP($A680,MAGAZZINO!$B$2:$M$4838,8,FALSE)</f>
        <v/>
      </c>
      <c r="I680" s="17">
        <f>+VLOOKUP($A680,MAGAZZINO!$B$2:$M$4838,9,FALSE)</f>
        <v/>
      </c>
      <c r="J680" s="17">
        <f>+VLOOKUP($A680,MAGAZZINO!$B$2:$M$4838,10,FALSE)</f>
        <v/>
      </c>
      <c r="K680" s="17">
        <f>+VLOOKUP($A680,MAGAZZINO!$B$2:$M$4838,11,FALSE)</f>
        <v/>
      </c>
      <c r="L680" s="44">
        <f>+VLOOKUP($A680,MAGAZZINO!$B$2:$M$4838,12,FALSE)</f>
        <v/>
      </c>
    </row>
    <row r="681" ht="36" customHeight="1">
      <c r="A681" s="30">
        <f>+REGISTRO!A664</f>
        <v/>
      </c>
      <c r="B681" s="31">
        <f>+VLOOKUP($A681,MAGAZZINO!$B$2:$M$4838,2,FALSE)</f>
        <v/>
      </c>
      <c r="C681" s="32">
        <f>+VLOOKUP($A681,MAGAZZINO!$B$2:$M$4838,3,FALSE)</f>
        <v/>
      </c>
      <c r="D681" s="17">
        <f>+VLOOKUP($A681,MAGAZZINO!$B$2:$M$4838,4,FALSE)</f>
        <v/>
      </c>
      <c r="E681" s="17">
        <f>+VLOOKUP($A681,MAGAZZINO!$B$2:$M$4838,5,FALSE)</f>
        <v/>
      </c>
      <c r="F681" s="17">
        <f>+VLOOKUP($A681,MAGAZZINO!$B$2:$M$4838,6,FALSE)</f>
        <v/>
      </c>
      <c r="G681" s="17">
        <f>+VLOOKUP($A681,MAGAZZINO!$B$2:$M$4838,7,FALSE)</f>
        <v/>
      </c>
      <c r="H681" s="17">
        <f>+VLOOKUP($A681,MAGAZZINO!$B$2:$M$4838,8,FALSE)</f>
        <v/>
      </c>
      <c r="I681" s="17">
        <f>+VLOOKUP($A681,MAGAZZINO!$B$2:$M$4838,9,FALSE)</f>
        <v/>
      </c>
      <c r="J681" s="17">
        <f>+VLOOKUP($A681,MAGAZZINO!$B$2:$M$4838,10,FALSE)</f>
        <v/>
      </c>
      <c r="K681" s="17">
        <f>+VLOOKUP($A681,MAGAZZINO!$B$2:$M$4838,11,FALSE)</f>
        <v/>
      </c>
      <c r="L681" s="44">
        <f>+VLOOKUP($A681,MAGAZZINO!$B$2:$M$4838,12,FALSE)</f>
        <v/>
      </c>
    </row>
    <row r="682" ht="36" customHeight="1">
      <c r="A682" s="30">
        <f>+REGISTRO!#REF!</f>
        <v/>
      </c>
      <c r="B682" s="31">
        <f>+VLOOKUP($A682,MAGAZZINO!$B$2:$M$4838,2,FALSE)</f>
        <v/>
      </c>
      <c r="C682" s="32">
        <f>+VLOOKUP($A682,MAGAZZINO!$B$2:$M$4838,3,FALSE)</f>
        <v/>
      </c>
      <c r="D682" s="17">
        <f>+VLOOKUP($A682,MAGAZZINO!$B$2:$M$4838,4,FALSE)</f>
        <v/>
      </c>
      <c r="E682" s="17">
        <f>+VLOOKUP($A682,MAGAZZINO!$B$2:$M$4838,5,FALSE)</f>
        <v/>
      </c>
      <c r="F682" s="17">
        <f>+VLOOKUP($A682,MAGAZZINO!$B$2:$M$4838,6,FALSE)</f>
        <v/>
      </c>
      <c r="G682" s="17">
        <f>+VLOOKUP($A682,MAGAZZINO!$B$2:$M$4838,7,FALSE)</f>
        <v/>
      </c>
      <c r="H682" s="17">
        <f>+VLOOKUP($A682,MAGAZZINO!$B$2:$M$4838,8,FALSE)</f>
        <v/>
      </c>
      <c r="I682" s="17">
        <f>+VLOOKUP($A682,MAGAZZINO!$B$2:$M$4838,9,FALSE)</f>
        <v/>
      </c>
      <c r="J682" s="17">
        <f>+VLOOKUP($A682,MAGAZZINO!$B$2:$M$4838,10,FALSE)</f>
        <v/>
      </c>
      <c r="K682" s="17">
        <f>+VLOOKUP($A682,MAGAZZINO!$B$2:$M$4838,11,FALSE)</f>
        <v/>
      </c>
      <c r="L682" s="44">
        <f>+VLOOKUP($A682,MAGAZZINO!$B$2:$M$4838,12,FALSE)</f>
        <v/>
      </c>
    </row>
    <row r="683" ht="36" customHeight="1">
      <c r="A683" s="30">
        <f>+REGISTRO!#REF!</f>
        <v/>
      </c>
      <c r="B683" s="31">
        <f>+VLOOKUP($A683,MAGAZZINO!$B$2:$M$4838,2,FALSE)</f>
        <v/>
      </c>
      <c r="C683" s="32">
        <f>+VLOOKUP($A683,MAGAZZINO!$B$2:$M$4838,3,FALSE)</f>
        <v/>
      </c>
      <c r="D683" s="17">
        <f>+VLOOKUP($A683,MAGAZZINO!$B$2:$M$4838,4,FALSE)</f>
        <v/>
      </c>
      <c r="E683" s="17">
        <f>+VLOOKUP($A683,MAGAZZINO!$B$2:$M$4838,5,FALSE)</f>
        <v/>
      </c>
      <c r="F683" s="17">
        <f>+VLOOKUP($A683,MAGAZZINO!$B$2:$M$4838,6,FALSE)</f>
        <v/>
      </c>
      <c r="G683" s="17">
        <f>+VLOOKUP($A683,MAGAZZINO!$B$2:$M$4838,7,FALSE)</f>
        <v/>
      </c>
      <c r="H683" s="17">
        <f>+VLOOKUP($A683,MAGAZZINO!$B$2:$M$4838,8,FALSE)</f>
        <v/>
      </c>
      <c r="I683" s="17">
        <f>+VLOOKUP($A683,MAGAZZINO!$B$2:$M$4838,9,FALSE)</f>
        <v/>
      </c>
      <c r="J683" s="17">
        <f>+VLOOKUP($A683,MAGAZZINO!$B$2:$M$4838,10,FALSE)</f>
        <v/>
      </c>
      <c r="K683" s="17">
        <f>+VLOOKUP($A683,MAGAZZINO!$B$2:$M$4838,11,FALSE)</f>
        <v/>
      </c>
      <c r="L683" s="44">
        <f>+VLOOKUP($A683,MAGAZZINO!$B$2:$M$4838,12,FALSE)</f>
        <v/>
      </c>
    </row>
    <row r="684" ht="36" customHeight="1">
      <c r="A684" s="30">
        <f>+REGISTRO!#REF!</f>
        <v/>
      </c>
      <c r="B684" s="31">
        <f>+VLOOKUP($A684,MAGAZZINO!$B$2:$M$4838,2,FALSE)</f>
        <v/>
      </c>
      <c r="C684" s="32">
        <f>+VLOOKUP($A684,MAGAZZINO!$B$2:$M$4838,3,FALSE)</f>
        <v/>
      </c>
      <c r="D684" s="17">
        <f>+VLOOKUP($A684,MAGAZZINO!$B$2:$M$4838,4,FALSE)</f>
        <v/>
      </c>
      <c r="E684" s="17">
        <f>+VLOOKUP($A684,MAGAZZINO!$B$2:$M$4838,5,FALSE)</f>
        <v/>
      </c>
      <c r="F684" s="17">
        <f>+VLOOKUP($A684,MAGAZZINO!$B$2:$M$4838,6,FALSE)</f>
        <v/>
      </c>
      <c r="G684" s="17">
        <f>+VLOOKUP($A684,MAGAZZINO!$B$2:$M$4838,7,FALSE)</f>
        <v/>
      </c>
      <c r="H684" s="17">
        <f>+VLOOKUP($A684,MAGAZZINO!$B$2:$M$4838,8,FALSE)</f>
        <v/>
      </c>
      <c r="I684" s="17">
        <f>+VLOOKUP($A684,MAGAZZINO!$B$2:$M$4838,9,FALSE)</f>
        <v/>
      </c>
      <c r="J684" s="17">
        <f>+VLOOKUP($A684,MAGAZZINO!$B$2:$M$4838,10,FALSE)</f>
        <v/>
      </c>
      <c r="K684" s="17">
        <f>+VLOOKUP($A684,MAGAZZINO!$B$2:$M$4838,11,FALSE)</f>
        <v/>
      </c>
      <c r="L684" s="44">
        <f>+VLOOKUP($A684,MAGAZZINO!$B$2:$M$4838,12,FALSE)</f>
        <v/>
      </c>
    </row>
    <row r="685" ht="36" customHeight="1">
      <c r="A685" s="30">
        <f>+REGISTRO!#REF!</f>
        <v/>
      </c>
      <c r="B685" s="31">
        <f>+VLOOKUP($A685,MAGAZZINO!$B$2:$M$4838,2,FALSE)</f>
        <v/>
      </c>
      <c r="C685" s="32">
        <f>+VLOOKUP($A685,MAGAZZINO!$B$2:$M$4838,3,FALSE)</f>
        <v/>
      </c>
      <c r="D685" s="17">
        <f>+VLOOKUP($A685,MAGAZZINO!$B$2:$M$4838,4,FALSE)</f>
        <v/>
      </c>
      <c r="E685" s="17">
        <f>+VLOOKUP($A685,MAGAZZINO!$B$2:$M$4838,5,FALSE)</f>
        <v/>
      </c>
      <c r="F685" s="17">
        <f>+VLOOKUP($A685,MAGAZZINO!$B$2:$M$4838,6,FALSE)</f>
        <v/>
      </c>
      <c r="G685" s="17">
        <f>+VLOOKUP($A685,MAGAZZINO!$B$2:$M$4838,7,FALSE)</f>
        <v/>
      </c>
      <c r="H685" s="17">
        <f>+VLOOKUP($A685,MAGAZZINO!$B$2:$M$4838,8,FALSE)</f>
        <v/>
      </c>
      <c r="I685" s="17">
        <f>+VLOOKUP($A685,MAGAZZINO!$B$2:$M$4838,9,FALSE)</f>
        <v/>
      </c>
      <c r="J685" s="17">
        <f>+VLOOKUP($A685,MAGAZZINO!$B$2:$M$4838,10,FALSE)</f>
        <v/>
      </c>
      <c r="K685" s="17">
        <f>+VLOOKUP($A685,MAGAZZINO!$B$2:$M$4838,11,FALSE)</f>
        <v/>
      </c>
      <c r="L685" s="44">
        <f>+VLOOKUP($A685,MAGAZZINO!$B$2:$M$4838,12,FALSE)</f>
        <v/>
      </c>
    </row>
    <row r="686" ht="36" customHeight="1">
      <c r="A686" s="30">
        <f>+REGISTRO!#REF!</f>
        <v/>
      </c>
      <c r="B686" s="31">
        <f>+VLOOKUP($A686,MAGAZZINO!$B$2:$M$4838,2,FALSE)</f>
        <v/>
      </c>
      <c r="C686" s="32">
        <f>+VLOOKUP($A686,MAGAZZINO!$B$2:$M$4838,3,FALSE)</f>
        <v/>
      </c>
      <c r="D686" s="17">
        <f>+VLOOKUP($A686,MAGAZZINO!$B$2:$M$4838,4,FALSE)</f>
        <v/>
      </c>
      <c r="E686" s="17">
        <f>+VLOOKUP($A686,MAGAZZINO!$B$2:$M$4838,5,FALSE)</f>
        <v/>
      </c>
      <c r="F686" s="17">
        <f>+VLOOKUP($A686,MAGAZZINO!$B$2:$M$4838,6,FALSE)</f>
        <v/>
      </c>
      <c r="G686" s="17">
        <f>+VLOOKUP($A686,MAGAZZINO!$B$2:$M$4838,7,FALSE)</f>
        <v/>
      </c>
      <c r="H686" s="17">
        <f>+VLOOKUP($A686,MAGAZZINO!$B$2:$M$4838,8,FALSE)</f>
        <v/>
      </c>
      <c r="I686" s="17">
        <f>+VLOOKUP($A686,MAGAZZINO!$B$2:$M$4838,9,FALSE)</f>
        <v/>
      </c>
      <c r="J686" s="17">
        <f>+VLOOKUP($A686,MAGAZZINO!$B$2:$M$4838,10,FALSE)</f>
        <v/>
      </c>
      <c r="K686" s="17">
        <f>+VLOOKUP($A686,MAGAZZINO!$B$2:$M$4838,11,FALSE)</f>
        <v/>
      </c>
      <c r="L686" s="44">
        <f>+VLOOKUP($A686,MAGAZZINO!$B$2:$M$4838,12,FALSE)</f>
        <v/>
      </c>
    </row>
    <row r="687" ht="36" customHeight="1">
      <c r="A687" s="30">
        <f>+REGISTRO!#REF!</f>
        <v/>
      </c>
      <c r="B687" s="31">
        <f>+VLOOKUP($A687,MAGAZZINO!$B$2:$M$4838,2,FALSE)</f>
        <v/>
      </c>
      <c r="C687" s="32">
        <f>+VLOOKUP($A687,MAGAZZINO!$B$2:$M$4838,3,FALSE)</f>
        <v/>
      </c>
      <c r="D687" s="17">
        <f>+VLOOKUP($A687,MAGAZZINO!$B$2:$M$4838,4,FALSE)</f>
        <v/>
      </c>
      <c r="E687" s="17">
        <f>+VLOOKUP($A687,MAGAZZINO!$B$2:$M$4838,5,FALSE)</f>
        <v/>
      </c>
      <c r="F687" s="17">
        <f>+VLOOKUP($A687,MAGAZZINO!$B$2:$M$4838,6,FALSE)</f>
        <v/>
      </c>
      <c r="G687" s="17">
        <f>+VLOOKUP($A687,MAGAZZINO!$B$2:$M$4838,7,FALSE)</f>
        <v/>
      </c>
      <c r="H687" s="17">
        <f>+VLOOKUP($A687,MAGAZZINO!$B$2:$M$4838,8,FALSE)</f>
        <v/>
      </c>
      <c r="I687" s="17">
        <f>+VLOOKUP($A687,MAGAZZINO!$B$2:$M$4838,9,FALSE)</f>
        <v/>
      </c>
      <c r="J687" s="17">
        <f>+VLOOKUP($A687,MAGAZZINO!$B$2:$M$4838,10,FALSE)</f>
        <v/>
      </c>
      <c r="K687" s="17">
        <f>+VLOOKUP($A687,MAGAZZINO!$B$2:$M$4838,11,FALSE)</f>
        <v/>
      </c>
      <c r="L687" s="44">
        <f>+VLOOKUP($A687,MAGAZZINO!$B$2:$M$4838,12,FALSE)</f>
        <v/>
      </c>
    </row>
    <row r="688" ht="36" customHeight="1">
      <c r="A688" s="30">
        <f>+REGISTRO!#REF!</f>
        <v/>
      </c>
      <c r="B688" s="31">
        <f>+VLOOKUP($A688,MAGAZZINO!$B$2:$M$4838,2,FALSE)</f>
        <v/>
      </c>
      <c r="C688" s="32">
        <f>+VLOOKUP($A688,MAGAZZINO!$B$2:$M$4838,3,FALSE)</f>
        <v/>
      </c>
      <c r="D688" s="17">
        <f>+VLOOKUP($A688,MAGAZZINO!$B$2:$M$4838,4,FALSE)</f>
        <v/>
      </c>
      <c r="E688" s="17">
        <f>+VLOOKUP($A688,MAGAZZINO!$B$2:$M$4838,5,FALSE)</f>
        <v/>
      </c>
      <c r="F688" s="17">
        <f>+VLOOKUP($A688,MAGAZZINO!$B$2:$M$4838,6,FALSE)</f>
        <v/>
      </c>
      <c r="G688" s="17">
        <f>+VLOOKUP($A688,MAGAZZINO!$B$2:$M$4838,7,FALSE)</f>
        <v/>
      </c>
      <c r="H688" s="17">
        <f>+VLOOKUP($A688,MAGAZZINO!$B$2:$M$4838,8,FALSE)</f>
        <v/>
      </c>
      <c r="I688" s="17">
        <f>+VLOOKUP($A688,MAGAZZINO!$B$2:$M$4838,9,FALSE)</f>
        <v/>
      </c>
      <c r="J688" s="17">
        <f>+VLOOKUP($A688,MAGAZZINO!$B$2:$M$4838,10,FALSE)</f>
        <v/>
      </c>
      <c r="K688" s="17">
        <f>+VLOOKUP($A688,MAGAZZINO!$B$2:$M$4838,11,FALSE)</f>
        <v/>
      </c>
      <c r="L688" s="44">
        <f>+VLOOKUP($A688,MAGAZZINO!$B$2:$M$4838,12,FALSE)</f>
        <v/>
      </c>
    </row>
    <row r="689" ht="36" customHeight="1">
      <c r="A689" s="30">
        <f>+REGISTRO!#REF!</f>
        <v/>
      </c>
      <c r="B689" s="31">
        <f>+VLOOKUP($A689,MAGAZZINO!$B$2:$M$4838,2,FALSE)</f>
        <v/>
      </c>
      <c r="C689" s="32">
        <f>+VLOOKUP($A689,MAGAZZINO!$B$2:$M$4838,3,FALSE)</f>
        <v/>
      </c>
      <c r="D689" s="17">
        <f>+VLOOKUP($A689,MAGAZZINO!$B$2:$M$4838,4,FALSE)</f>
        <v/>
      </c>
      <c r="E689" s="17">
        <f>+VLOOKUP($A689,MAGAZZINO!$B$2:$M$4838,5,FALSE)</f>
        <v/>
      </c>
      <c r="F689" s="17">
        <f>+VLOOKUP($A689,MAGAZZINO!$B$2:$M$4838,6,FALSE)</f>
        <v/>
      </c>
      <c r="G689" s="17">
        <f>+VLOOKUP($A689,MAGAZZINO!$B$2:$M$4838,7,FALSE)</f>
        <v/>
      </c>
      <c r="H689" s="17">
        <f>+VLOOKUP($A689,MAGAZZINO!$B$2:$M$4838,8,FALSE)</f>
        <v/>
      </c>
      <c r="I689" s="17">
        <f>+VLOOKUP($A689,MAGAZZINO!$B$2:$M$4838,9,FALSE)</f>
        <v/>
      </c>
      <c r="J689" s="17">
        <f>+VLOOKUP($A689,MAGAZZINO!$B$2:$M$4838,10,FALSE)</f>
        <v/>
      </c>
      <c r="K689" s="17">
        <f>+VLOOKUP($A689,MAGAZZINO!$B$2:$M$4838,11,FALSE)</f>
        <v/>
      </c>
      <c r="L689" s="44">
        <f>+VLOOKUP($A689,MAGAZZINO!$B$2:$M$4838,12,FALSE)</f>
        <v/>
      </c>
    </row>
    <row r="690" ht="36" customHeight="1">
      <c r="A690" s="30">
        <f>+REGISTRO!#REF!</f>
        <v/>
      </c>
      <c r="B690" s="31">
        <f>+VLOOKUP($A690,MAGAZZINO!$B$2:$M$4838,2,FALSE)</f>
        <v/>
      </c>
      <c r="C690" s="32">
        <f>+VLOOKUP($A690,MAGAZZINO!$B$2:$M$4838,3,FALSE)</f>
        <v/>
      </c>
      <c r="D690" s="17">
        <f>+VLOOKUP($A690,MAGAZZINO!$B$2:$M$4838,4,FALSE)</f>
        <v/>
      </c>
      <c r="E690" s="17">
        <f>+VLOOKUP($A690,MAGAZZINO!$B$2:$M$4838,5,FALSE)</f>
        <v/>
      </c>
      <c r="F690" s="17">
        <f>+VLOOKUP($A690,MAGAZZINO!$B$2:$M$4838,6,FALSE)</f>
        <v/>
      </c>
      <c r="G690" s="17">
        <f>+VLOOKUP($A690,MAGAZZINO!$B$2:$M$4838,7,FALSE)</f>
        <v/>
      </c>
      <c r="H690" s="17">
        <f>+VLOOKUP($A690,MAGAZZINO!$B$2:$M$4838,8,FALSE)</f>
        <v/>
      </c>
      <c r="I690" s="17">
        <f>+VLOOKUP($A690,MAGAZZINO!$B$2:$M$4838,9,FALSE)</f>
        <v/>
      </c>
      <c r="J690" s="17">
        <f>+VLOOKUP($A690,MAGAZZINO!$B$2:$M$4838,10,FALSE)</f>
        <v/>
      </c>
      <c r="K690" s="17">
        <f>+VLOOKUP($A690,MAGAZZINO!$B$2:$M$4838,11,FALSE)</f>
        <v/>
      </c>
      <c r="L690" s="44">
        <f>+VLOOKUP($A690,MAGAZZINO!$B$2:$M$4838,12,FALSE)</f>
        <v/>
      </c>
    </row>
    <row r="691" ht="36" customHeight="1">
      <c r="A691" s="30">
        <f>+REGISTRO!#REF!</f>
        <v/>
      </c>
      <c r="B691" s="31">
        <f>+VLOOKUP($A691,MAGAZZINO!$B$2:$M$4838,2,FALSE)</f>
        <v/>
      </c>
      <c r="C691" s="32">
        <f>+VLOOKUP($A691,MAGAZZINO!$B$2:$M$4838,3,FALSE)</f>
        <v/>
      </c>
      <c r="D691" s="17">
        <f>+VLOOKUP($A691,MAGAZZINO!$B$2:$M$4838,4,FALSE)</f>
        <v/>
      </c>
      <c r="E691" s="17">
        <f>+VLOOKUP($A691,MAGAZZINO!$B$2:$M$4838,5,FALSE)</f>
        <v/>
      </c>
      <c r="F691" s="17">
        <f>+VLOOKUP($A691,MAGAZZINO!$B$2:$M$4838,6,FALSE)</f>
        <v/>
      </c>
      <c r="G691" s="17">
        <f>+VLOOKUP($A691,MAGAZZINO!$B$2:$M$4838,7,FALSE)</f>
        <v/>
      </c>
      <c r="H691" s="17">
        <f>+VLOOKUP($A691,MAGAZZINO!$B$2:$M$4838,8,FALSE)</f>
        <v/>
      </c>
      <c r="I691" s="17">
        <f>+VLOOKUP($A691,MAGAZZINO!$B$2:$M$4838,9,FALSE)</f>
        <v/>
      </c>
      <c r="J691" s="17">
        <f>+VLOOKUP($A691,MAGAZZINO!$B$2:$M$4838,10,FALSE)</f>
        <v/>
      </c>
      <c r="K691" s="17">
        <f>+VLOOKUP($A691,MAGAZZINO!$B$2:$M$4838,11,FALSE)</f>
        <v/>
      </c>
      <c r="L691" s="44">
        <f>+VLOOKUP($A691,MAGAZZINO!$B$2:$M$4838,12,FALSE)</f>
        <v/>
      </c>
    </row>
    <row r="692" ht="36" customHeight="1">
      <c r="A692" s="30">
        <f>+REGISTRO!A675</f>
        <v/>
      </c>
      <c r="B692" s="31">
        <f>+VLOOKUP($A692,MAGAZZINO!$B$2:$M$4838,2,FALSE)</f>
        <v/>
      </c>
      <c r="C692" s="32">
        <f>+VLOOKUP($A692,MAGAZZINO!$B$2:$M$4838,3,FALSE)</f>
        <v/>
      </c>
      <c r="D692" s="17">
        <f>+VLOOKUP($A692,MAGAZZINO!$B$2:$M$4838,4,FALSE)</f>
        <v/>
      </c>
      <c r="E692" s="17">
        <f>+VLOOKUP($A692,MAGAZZINO!$B$2:$M$4838,5,FALSE)</f>
        <v/>
      </c>
      <c r="F692" s="17">
        <f>+VLOOKUP($A692,MAGAZZINO!$B$2:$M$4838,6,FALSE)</f>
        <v/>
      </c>
      <c r="G692" s="17">
        <f>+VLOOKUP($A692,MAGAZZINO!$B$2:$M$4838,7,FALSE)</f>
        <v/>
      </c>
      <c r="H692" s="17">
        <f>+VLOOKUP($A692,MAGAZZINO!$B$2:$M$4838,8,FALSE)</f>
        <v/>
      </c>
      <c r="I692" s="17">
        <f>+VLOOKUP($A692,MAGAZZINO!$B$2:$M$4838,9,FALSE)</f>
        <v/>
      </c>
      <c r="J692" s="17">
        <f>+VLOOKUP($A692,MAGAZZINO!$B$2:$M$4838,10,FALSE)</f>
        <v/>
      </c>
      <c r="K692" s="17">
        <f>+VLOOKUP($A692,MAGAZZINO!$B$2:$M$4838,11,FALSE)</f>
        <v/>
      </c>
      <c r="L692" s="44">
        <f>+VLOOKUP($A692,MAGAZZINO!$B$2:$M$4838,12,FALSE)</f>
        <v/>
      </c>
    </row>
    <row r="693" ht="36" customHeight="1">
      <c r="A693" s="30">
        <f>+REGISTRO!A676</f>
        <v/>
      </c>
      <c r="B693" s="31">
        <f>+VLOOKUP($A693,MAGAZZINO!$B$2:$M$4838,2,FALSE)</f>
        <v/>
      </c>
      <c r="C693" s="32">
        <f>+VLOOKUP($A693,MAGAZZINO!$B$2:$M$4838,3,FALSE)</f>
        <v/>
      </c>
      <c r="D693" s="17">
        <f>+VLOOKUP($A693,MAGAZZINO!$B$2:$M$4838,4,FALSE)</f>
        <v/>
      </c>
      <c r="E693" s="17">
        <f>+VLOOKUP($A693,MAGAZZINO!$B$2:$M$4838,5,FALSE)</f>
        <v/>
      </c>
      <c r="F693" s="17">
        <f>+VLOOKUP($A693,MAGAZZINO!$B$2:$M$4838,6,FALSE)</f>
        <v/>
      </c>
      <c r="G693" s="17">
        <f>+VLOOKUP($A693,MAGAZZINO!$B$2:$M$4838,7,FALSE)</f>
        <v/>
      </c>
      <c r="H693" s="17">
        <f>+VLOOKUP($A693,MAGAZZINO!$B$2:$M$4838,8,FALSE)</f>
        <v/>
      </c>
      <c r="I693" s="17">
        <f>+VLOOKUP($A693,MAGAZZINO!$B$2:$M$4838,9,FALSE)</f>
        <v/>
      </c>
      <c r="J693" s="17">
        <f>+VLOOKUP($A693,MAGAZZINO!$B$2:$M$4838,10,FALSE)</f>
        <v/>
      </c>
      <c r="K693" s="17">
        <f>+VLOOKUP($A693,MAGAZZINO!$B$2:$M$4838,11,FALSE)</f>
        <v/>
      </c>
      <c r="L693" s="44">
        <f>+VLOOKUP($A693,MAGAZZINO!$B$2:$M$4838,12,FALSE)</f>
        <v/>
      </c>
    </row>
    <row r="694" ht="36" customHeight="1">
      <c r="A694" s="30">
        <f>+REGISTRO!A677</f>
        <v/>
      </c>
      <c r="B694" s="31">
        <f>+VLOOKUP($A694,MAGAZZINO!$B$2:$M$4838,2,FALSE)</f>
        <v/>
      </c>
      <c r="C694" s="32">
        <f>+VLOOKUP($A694,MAGAZZINO!$B$2:$M$4838,3,FALSE)</f>
        <v/>
      </c>
      <c r="D694" s="17">
        <f>+VLOOKUP($A694,MAGAZZINO!$B$2:$M$4838,4,FALSE)</f>
        <v/>
      </c>
      <c r="E694" s="17">
        <f>+VLOOKUP($A694,MAGAZZINO!$B$2:$M$4838,5,FALSE)</f>
        <v/>
      </c>
      <c r="F694" s="17">
        <f>+VLOOKUP($A694,MAGAZZINO!$B$2:$M$4838,6,FALSE)</f>
        <v/>
      </c>
      <c r="G694" s="17">
        <f>+VLOOKUP($A694,MAGAZZINO!$B$2:$M$4838,7,FALSE)</f>
        <v/>
      </c>
      <c r="H694" s="17">
        <f>+VLOOKUP($A694,MAGAZZINO!$B$2:$M$4838,8,FALSE)</f>
        <v/>
      </c>
      <c r="I694" s="17">
        <f>+VLOOKUP($A694,MAGAZZINO!$B$2:$M$4838,9,FALSE)</f>
        <v/>
      </c>
      <c r="J694" s="17">
        <f>+VLOOKUP($A694,MAGAZZINO!$B$2:$M$4838,10,FALSE)</f>
        <v/>
      </c>
      <c r="K694" s="17">
        <f>+VLOOKUP($A694,MAGAZZINO!$B$2:$M$4838,11,FALSE)</f>
        <v/>
      </c>
      <c r="L694" s="44">
        <f>+VLOOKUP($A694,MAGAZZINO!$B$2:$M$4838,12,FALSE)</f>
        <v/>
      </c>
    </row>
    <row r="695" ht="36" customHeight="1">
      <c r="A695" s="30">
        <f>+REGISTRO!#REF!</f>
        <v/>
      </c>
      <c r="B695" s="31">
        <f>+VLOOKUP($A695,MAGAZZINO!$B$2:$M$4838,2,FALSE)</f>
        <v/>
      </c>
      <c r="C695" s="32">
        <f>+VLOOKUP($A695,MAGAZZINO!$B$2:$M$4838,3,FALSE)</f>
        <v/>
      </c>
      <c r="D695" s="17">
        <f>+VLOOKUP($A695,MAGAZZINO!$B$2:$M$4838,4,FALSE)</f>
        <v/>
      </c>
      <c r="E695" s="17">
        <f>+VLOOKUP($A695,MAGAZZINO!$B$2:$M$4838,5,FALSE)</f>
        <v/>
      </c>
      <c r="F695" s="17">
        <f>+VLOOKUP($A695,MAGAZZINO!$B$2:$M$4838,6,FALSE)</f>
        <v/>
      </c>
      <c r="G695" s="17">
        <f>+VLOOKUP($A695,MAGAZZINO!$B$2:$M$4838,7,FALSE)</f>
        <v/>
      </c>
      <c r="H695" s="17">
        <f>+VLOOKUP($A695,MAGAZZINO!$B$2:$M$4838,8,FALSE)</f>
        <v/>
      </c>
      <c r="I695" s="17">
        <f>+VLOOKUP($A695,MAGAZZINO!$B$2:$M$4838,9,FALSE)</f>
        <v/>
      </c>
      <c r="J695" s="17">
        <f>+VLOOKUP($A695,MAGAZZINO!$B$2:$M$4838,10,FALSE)</f>
        <v/>
      </c>
      <c r="K695" s="17">
        <f>+VLOOKUP($A695,MAGAZZINO!$B$2:$M$4838,11,FALSE)</f>
        <v/>
      </c>
      <c r="L695" s="44">
        <f>+VLOOKUP($A695,MAGAZZINO!$B$2:$M$4838,12,FALSE)</f>
        <v/>
      </c>
    </row>
    <row r="696" ht="36" customHeight="1">
      <c r="A696" s="30">
        <f>+REGISTRO!#REF!</f>
        <v/>
      </c>
      <c r="B696" s="31">
        <f>+VLOOKUP($A696,MAGAZZINO!$B$2:$M$4838,2,FALSE)</f>
        <v/>
      </c>
      <c r="C696" s="32">
        <f>+VLOOKUP($A696,MAGAZZINO!$B$2:$M$4838,3,FALSE)</f>
        <v/>
      </c>
      <c r="D696" s="17">
        <f>+VLOOKUP($A696,MAGAZZINO!$B$2:$M$4838,4,FALSE)</f>
        <v/>
      </c>
      <c r="E696" s="17">
        <f>+VLOOKUP($A696,MAGAZZINO!$B$2:$M$4838,5,FALSE)</f>
        <v/>
      </c>
      <c r="F696" s="17">
        <f>+VLOOKUP($A696,MAGAZZINO!$B$2:$M$4838,6,FALSE)</f>
        <v/>
      </c>
      <c r="G696" s="17">
        <f>+VLOOKUP($A696,MAGAZZINO!$B$2:$M$4838,7,FALSE)</f>
        <v/>
      </c>
      <c r="H696" s="17">
        <f>+VLOOKUP($A696,MAGAZZINO!$B$2:$M$4838,8,FALSE)</f>
        <v/>
      </c>
      <c r="I696" s="17">
        <f>+VLOOKUP($A696,MAGAZZINO!$B$2:$M$4838,9,FALSE)</f>
        <v/>
      </c>
      <c r="J696" s="17">
        <f>+VLOOKUP($A696,MAGAZZINO!$B$2:$M$4838,10,FALSE)</f>
        <v/>
      </c>
      <c r="K696" s="17">
        <f>+VLOOKUP($A696,MAGAZZINO!$B$2:$M$4838,11,FALSE)</f>
        <v/>
      </c>
      <c r="L696" s="44">
        <f>+VLOOKUP($A696,MAGAZZINO!$B$2:$M$4838,12,FALSE)</f>
        <v/>
      </c>
    </row>
    <row r="697" ht="36" customHeight="1">
      <c r="A697" s="30">
        <f>+REGISTRO!#REF!</f>
        <v/>
      </c>
      <c r="B697" s="31">
        <f>+VLOOKUP($A697,MAGAZZINO!$B$2:$M$4838,2,FALSE)</f>
        <v/>
      </c>
      <c r="C697" s="32">
        <f>+VLOOKUP($A697,MAGAZZINO!$B$2:$M$4838,3,FALSE)</f>
        <v/>
      </c>
      <c r="D697" s="17">
        <f>+VLOOKUP($A697,MAGAZZINO!$B$2:$M$4838,4,FALSE)</f>
        <v/>
      </c>
      <c r="E697" s="17">
        <f>+VLOOKUP($A697,MAGAZZINO!$B$2:$M$4838,5,FALSE)</f>
        <v/>
      </c>
      <c r="F697" s="17">
        <f>+VLOOKUP($A697,MAGAZZINO!$B$2:$M$4838,6,FALSE)</f>
        <v/>
      </c>
      <c r="G697" s="17">
        <f>+VLOOKUP($A697,MAGAZZINO!$B$2:$M$4838,7,FALSE)</f>
        <v/>
      </c>
      <c r="H697" s="17">
        <f>+VLOOKUP($A697,MAGAZZINO!$B$2:$M$4838,8,FALSE)</f>
        <v/>
      </c>
      <c r="I697" s="17">
        <f>+VLOOKUP($A697,MAGAZZINO!$B$2:$M$4838,9,FALSE)</f>
        <v/>
      </c>
      <c r="J697" s="17">
        <f>+VLOOKUP($A697,MAGAZZINO!$B$2:$M$4838,10,FALSE)</f>
        <v/>
      </c>
      <c r="K697" s="17">
        <f>+VLOOKUP($A697,MAGAZZINO!$B$2:$M$4838,11,FALSE)</f>
        <v/>
      </c>
      <c r="L697" s="44">
        <f>+VLOOKUP($A697,MAGAZZINO!$B$2:$M$4838,12,FALSE)</f>
        <v/>
      </c>
    </row>
    <row r="698" ht="36" customHeight="1">
      <c r="A698" s="30">
        <f>+REGISTRO!#REF!</f>
        <v/>
      </c>
      <c r="B698" s="31">
        <f>+VLOOKUP($A698,MAGAZZINO!$B$2:$M$4838,2,FALSE)</f>
        <v/>
      </c>
      <c r="C698" s="32">
        <f>+VLOOKUP($A698,MAGAZZINO!$B$2:$M$4838,3,FALSE)</f>
        <v/>
      </c>
      <c r="D698" s="17">
        <f>+VLOOKUP($A698,MAGAZZINO!$B$2:$M$4838,4,FALSE)</f>
        <v/>
      </c>
      <c r="E698" s="17">
        <f>+VLOOKUP($A698,MAGAZZINO!$B$2:$M$4838,5,FALSE)</f>
        <v/>
      </c>
      <c r="F698" s="17">
        <f>+VLOOKUP($A698,MAGAZZINO!$B$2:$M$4838,6,FALSE)</f>
        <v/>
      </c>
      <c r="G698" s="17">
        <f>+VLOOKUP($A698,MAGAZZINO!$B$2:$M$4838,7,FALSE)</f>
        <v/>
      </c>
      <c r="H698" s="17">
        <f>+VLOOKUP($A698,MAGAZZINO!$B$2:$M$4838,8,FALSE)</f>
        <v/>
      </c>
      <c r="I698" s="17">
        <f>+VLOOKUP($A698,MAGAZZINO!$B$2:$M$4838,9,FALSE)</f>
        <v/>
      </c>
      <c r="J698" s="17">
        <f>+VLOOKUP($A698,MAGAZZINO!$B$2:$M$4838,10,FALSE)</f>
        <v/>
      </c>
      <c r="K698" s="17">
        <f>+VLOOKUP($A698,MAGAZZINO!$B$2:$M$4838,11,FALSE)</f>
        <v/>
      </c>
      <c r="L698" s="44">
        <f>+VLOOKUP($A698,MAGAZZINO!$B$2:$M$4838,12,FALSE)</f>
        <v/>
      </c>
    </row>
    <row r="699" ht="36" customHeight="1">
      <c r="A699" s="30">
        <f>+REGISTRO!A682</f>
        <v/>
      </c>
      <c r="B699" s="31">
        <f>+VLOOKUP($A699,MAGAZZINO!$B$2:$M$4838,2,FALSE)</f>
        <v/>
      </c>
      <c r="C699" s="32">
        <f>+VLOOKUP($A699,MAGAZZINO!$B$2:$M$4838,3,FALSE)</f>
        <v/>
      </c>
      <c r="D699" s="17">
        <f>+VLOOKUP($A699,MAGAZZINO!$B$2:$M$4838,4,FALSE)</f>
        <v/>
      </c>
      <c r="E699" s="17">
        <f>+VLOOKUP($A699,MAGAZZINO!$B$2:$M$4838,5,FALSE)</f>
        <v/>
      </c>
      <c r="F699" s="17">
        <f>+VLOOKUP($A699,MAGAZZINO!$B$2:$M$4838,6,FALSE)</f>
        <v/>
      </c>
      <c r="G699" s="17">
        <f>+VLOOKUP($A699,MAGAZZINO!$B$2:$M$4838,7,FALSE)</f>
        <v/>
      </c>
      <c r="H699" s="17">
        <f>+VLOOKUP($A699,MAGAZZINO!$B$2:$M$4838,8,FALSE)</f>
        <v/>
      </c>
      <c r="I699" s="17">
        <f>+VLOOKUP($A699,MAGAZZINO!$B$2:$M$4838,9,FALSE)</f>
        <v/>
      </c>
      <c r="J699" s="17">
        <f>+VLOOKUP($A699,MAGAZZINO!$B$2:$M$4838,10,FALSE)</f>
        <v/>
      </c>
      <c r="K699" s="17">
        <f>+VLOOKUP($A699,MAGAZZINO!$B$2:$M$4838,11,FALSE)</f>
        <v/>
      </c>
      <c r="L699" s="44">
        <f>+VLOOKUP($A699,MAGAZZINO!$B$2:$M$4838,12,FALSE)</f>
        <v/>
      </c>
    </row>
    <row r="700" ht="36" customHeight="1">
      <c r="A700" s="30">
        <f>+REGISTRO!A683</f>
        <v/>
      </c>
      <c r="B700" s="31">
        <f>+VLOOKUP($A700,MAGAZZINO!$B$2:$M$4838,2,FALSE)</f>
        <v/>
      </c>
      <c r="C700" s="32">
        <f>+VLOOKUP($A700,MAGAZZINO!$B$2:$M$4838,3,FALSE)</f>
        <v/>
      </c>
      <c r="D700" s="17">
        <f>+VLOOKUP($A700,MAGAZZINO!$B$2:$M$4838,4,FALSE)</f>
        <v/>
      </c>
      <c r="E700" s="17">
        <f>+VLOOKUP($A700,MAGAZZINO!$B$2:$M$4838,5,FALSE)</f>
        <v/>
      </c>
      <c r="F700" s="17">
        <f>+VLOOKUP($A700,MAGAZZINO!$B$2:$M$4838,6,FALSE)</f>
        <v/>
      </c>
      <c r="G700" s="17">
        <f>+VLOOKUP($A700,MAGAZZINO!$B$2:$M$4838,7,FALSE)</f>
        <v/>
      </c>
      <c r="H700" s="17">
        <f>+VLOOKUP($A700,MAGAZZINO!$B$2:$M$4838,8,FALSE)</f>
        <v/>
      </c>
      <c r="I700" s="17">
        <f>+VLOOKUP($A700,MAGAZZINO!$B$2:$M$4838,9,FALSE)</f>
        <v/>
      </c>
      <c r="J700" s="17">
        <f>+VLOOKUP($A700,MAGAZZINO!$B$2:$M$4838,10,FALSE)</f>
        <v/>
      </c>
      <c r="K700" s="17">
        <f>+VLOOKUP($A700,MAGAZZINO!$B$2:$M$4838,11,FALSE)</f>
        <v/>
      </c>
      <c r="L700" s="44">
        <f>+VLOOKUP($A700,MAGAZZINO!$B$2:$M$4838,12,FALSE)</f>
        <v/>
      </c>
    </row>
    <row r="701" ht="36" customHeight="1">
      <c r="A701" s="30">
        <f>+REGISTRO!A684</f>
        <v/>
      </c>
      <c r="B701" s="31">
        <f>+VLOOKUP($A701,MAGAZZINO!$B$2:$M$4838,2,FALSE)</f>
        <v/>
      </c>
      <c r="C701" s="32">
        <f>+VLOOKUP($A701,MAGAZZINO!$B$2:$M$4838,3,FALSE)</f>
        <v/>
      </c>
      <c r="D701" s="17">
        <f>+VLOOKUP($A701,MAGAZZINO!$B$2:$M$4838,4,FALSE)</f>
        <v/>
      </c>
      <c r="E701" s="17">
        <f>+VLOOKUP($A701,MAGAZZINO!$B$2:$M$4838,5,FALSE)</f>
        <v/>
      </c>
      <c r="F701" s="17">
        <f>+VLOOKUP($A701,MAGAZZINO!$B$2:$M$4838,6,FALSE)</f>
        <v/>
      </c>
      <c r="G701" s="17">
        <f>+VLOOKUP($A701,MAGAZZINO!$B$2:$M$4838,7,FALSE)</f>
        <v/>
      </c>
      <c r="H701" s="17">
        <f>+VLOOKUP($A701,MAGAZZINO!$B$2:$M$4838,8,FALSE)</f>
        <v/>
      </c>
      <c r="I701" s="17">
        <f>+VLOOKUP($A701,MAGAZZINO!$B$2:$M$4838,9,FALSE)</f>
        <v/>
      </c>
      <c r="J701" s="17">
        <f>+VLOOKUP($A701,MAGAZZINO!$B$2:$M$4838,10,FALSE)</f>
        <v/>
      </c>
      <c r="K701" s="17">
        <f>+VLOOKUP($A701,MAGAZZINO!$B$2:$M$4838,11,FALSE)</f>
        <v/>
      </c>
      <c r="L701" s="44">
        <f>+VLOOKUP($A701,MAGAZZINO!$B$2:$M$4838,12,FALSE)</f>
        <v/>
      </c>
    </row>
    <row r="702" ht="36" customHeight="1">
      <c r="A702" s="30">
        <f>+REGISTRO!A685</f>
        <v/>
      </c>
      <c r="B702" s="31">
        <f>+VLOOKUP($A702,MAGAZZINO!$B$2:$M$4838,2,FALSE)</f>
        <v/>
      </c>
      <c r="C702" s="32">
        <f>+VLOOKUP($A702,MAGAZZINO!$B$2:$M$4838,3,FALSE)</f>
        <v/>
      </c>
      <c r="D702" s="17">
        <f>+VLOOKUP($A702,MAGAZZINO!$B$2:$M$4838,4,FALSE)</f>
        <v/>
      </c>
      <c r="E702" s="17">
        <f>+VLOOKUP($A702,MAGAZZINO!$B$2:$M$4838,5,FALSE)</f>
        <v/>
      </c>
      <c r="F702" s="17">
        <f>+VLOOKUP($A702,MAGAZZINO!$B$2:$M$4838,6,FALSE)</f>
        <v/>
      </c>
      <c r="G702" s="17">
        <f>+VLOOKUP($A702,MAGAZZINO!$B$2:$M$4838,7,FALSE)</f>
        <v/>
      </c>
      <c r="H702" s="17">
        <f>+VLOOKUP($A702,MAGAZZINO!$B$2:$M$4838,8,FALSE)</f>
        <v/>
      </c>
      <c r="I702" s="17">
        <f>+VLOOKUP($A702,MAGAZZINO!$B$2:$M$4838,9,FALSE)</f>
        <v/>
      </c>
      <c r="J702" s="17">
        <f>+VLOOKUP($A702,MAGAZZINO!$B$2:$M$4838,10,FALSE)</f>
        <v/>
      </c>
      <c r="K702" s="17">
        <f>+VLOOKUP($A702,MAGAZZINO!$B$2:$M$4838,11,FALSE)</f>
        <v/>
      </c>
      <c r="L702" s="44">
        <f>+VLOOKUP($A702,MAGAZZINO!$B$2:$M$4838,12,FALSE)</f>
        <v/>
      </c>
    </row>
    <row r="703" ht="36" customHeight="1">
      <c r="A703" s="30">
        <f>+REGISTRO!A686</f>
        <v/>
      </c>
      <c r="B703" s="31">
        <f>+VLOOKUP($A703,MAGAZZINO!$B$2:$M$4838,2,FALSE)</f>
        <v/>
      </c>
      <c r="C703" s="32">
        <f>+VLOOKUP($A703,MAGAZZINO!$B$2:$M$4838,3,FALSE)</f>
        <v/>
      </c>
      <c r="D703" s="17">
        <f>+VLOOKUP($A703,MAGAZZINO!$B$2:$M$4838,4,FALSE)</f>
        <v/>
      </c>
      <c r="E703" s="17">
        <f>+VLOOKUP($A703,MAGAZZINO!$B$2:$M$4838,5,FALSE)</f>
        <v/>
      </c>
      <c r="F703" s="17">
        <f>+VLOOKUP($A703,MAGAZZINO!$B$2:$M$4838,6,FALSE)</f>
        <v/>
      </c>
      <c r="G703" s="17">
        <f>+VLOOKUP($A703,MAGAZZINO!$B$2:$M$4838,7,FALSE)</f>
        <v/>
      </c>
      <c r="H703" s="17">
        <f>+VLOOKUP($A703,MAGAZZINO!$B$2:$M$4838,8,FALSE)</f>
        <v/>
      </c>
      <c r="I703" s="17">
        <f>+VLOOKUP($A703,MAGAZZINO!$B$2:$M$4838,9,FALSE)</f>
        <v/>
      </c>
      <c r="J703" s="17">
        <f>+VLOOKUP($A703,MAGAZZINO!$B$2:$M$4838,10,FALSE)</f>
        <v/>
      </c>
      <c r="K703" s="17">
        <f>+VLOOKUP($A703,MAGAZZINO!$B$2:$M$4838,11,FALSE)</f>
        <v/>
      </c>
      <c r="L703" s="44">
        <f>+VLOOKUP($A703,MAGAZZINO!$B$2:$M$4838,12,FALSE)</f>
        <v/>
      </c>
    </row>
    <row r="704" ht="36" customHeight="1">
      <c r="A704" s="30">
        <f>+REGISTRO!A687</f>
        <v/>
      </c>
      <c r="B704" s="31">
        <f>+VLOOKUP($A704,MAGAZZINO!$B$2:$M$4838,2,FALSE)</f>
        <v/>
      </c>
      <c r="C704" s="32">
        <f>+VLOOKUP($A704,MAGAZZINO!$B$2:$M$4838,3,FALSE)</f>
        <v/>
      </c>
      <c r="D704" s="17">
        <f>+VLOOKUP($A704,MAGAZZINO!$B$2:$M$4838,4,FALSE)</f>
        <v/>
      </c>
      <c r="E704" s="17">
        <f>+VLOOKUP($A704,MAGAZZINO!$B$2:$M$4838,5,FALSE)</f>
        <v/>
      </c>
      <c r="F704" s="17">
        <f>+VLOOKUP($A704,MAGAZZINO!$B$2:$M$4838,6,FALSE)</f>
        <v/>
      </c>
      <c r="G704" s="17">
        <f>+VLOOKUP($A704,MAGAZZINO!$B$2:$M$4838,7,FALSE)</f>
        <v/>
      </c>
      <c r="H704" s="17">
        <f>+VLOOKUP($A704,MAGAZZINO!$B$2:$M$4838,8,FALSE)</f>
        <v/>
      </c>
      <c r="I704" s="17">
        <f>+VLOOKUP($A704,MAGAZZINO!$B$2:$M$4838,9,FALSE)</f>
        <v/>
      </c>
      <c r="J704" s="17">
        <f>+VLOOKUP($A704,MAGAZZINO!$B$2:$M$4838,10,FALSE)</f>
        <v/>
      </c>
      <c r="K704" s="17">
        <f>+VLOOKUP($A704,MAGAZZINO!$B$2:$M$4838,11,FALSE)</f>
        <v/>
      </c>
      <c r="L704" s="44">
        <f>+VLOOKUP($A704,MAGAZZINO!$B$2:$M$4838,12,FALSE)</f>
        <v/>
      </c>
    </row>
    <row r="705" ht="36" customHeight="1">
      <c r="A705" s="30">
        <f>+REGISTRO!A688</f>
        <v/>
      </c>
      <c r="B705" s="31">
        <f>+VLOOKUP($A705,MAGAZZINO!$B$2:$M$4838,2,FALSE)</f>
        <v/>
      </c>
      <c r="C705" s="32">
        <f>+VLOOKUP($A705,MAGAZZINO!$B$2:$M$4838,3,FALSE)</f>
        <v/>
      </c>
      <c r="D705" s="17">
        <f>+VLOOKUP($A705,MAGAZZINO!$B$2:$M$4838,4,FALSE)</f>
        <v/>
      </c>
      <c r="E705" s="17">
        <f>+VLOOKUP($A705,MAGAZZINO!$B$2:$M$4838,5,FALSE)</f>
        <v/>
      </c>
      <c r="F705" s="17">
        <f>+VLOOKUP($A705,MAGAZZINO!$B$2:$M$4838,6,FALSE)</f>
        <v/>
      </c>
      <c r="G705" s="17">
        <f>+VLOOKUP($A705,MAGAZZINO!$B$2:$M$4838,7,FALSE)</f>
        <v/>
      </c>
      <c r="H705" s="17">
        <f>+VLOOKUP($A705,MAGAZZINO!$B$2:$M$4838,8,FALSE)</f>
        <v/>
      </c>
      <c r="I705" s="17">
        <f>+VLOOKUP($A705,MAGAZZINO!$B$2:$M$4838,9,FALSE)</f>
        <v/>
      </c>
      <c r="J705" s="17">
        <f>+VLOOKUP($A705,MAGAZZINO!$B$2:$M$4838,10,FALSE)</f>
        <v/>
      </c>
      <c r="K705" s="17">
        <f>+VLOOKUP($A705,MAGAZZINO!$B$2:$M$4838,11,FALSE)</f>
        <v/>
      </c>
      <c r="L705" s="44">
        <f>+VLOOKUP($A705,MAGAZZINO!$B$2:$M$4838,12,FALSE)</f>
        <v/>
      </c>
    </row>
    <row r="706" ht="36" customHeight="1">
      <c r="A706" s="30">
        <f>+REGISTRO!A689</f>
        <v/>
      </c>
      <c r="B706" s="31">
        <f>+VLOOKUP($A706,MAGAZZINO!$B$2:$M$4838,2,FALSE)</f>
        <v/>
      </c>
      <c r="C706" s="32">
        <f>+VLOOKUP($A706,MAGAZZINO!$B$2:$M$4838,3,FALSE)</f>
        <v/>
      </c>
      <c r="D706" s="17">
        <f>+VLOOKUP($A706,MAGAZZINO!$B$2:$M$4838,4,FALSE)</f>
        <v/>
      </c>
      <c r="E706" s="17">
        <f>+VLOOKUP($A706,MAGAZZINO!$B$2:$M$4838,5,FALSE)</f>
        <v/>
      </c>
      <c r="F706" s="17">
        <f>+VLOOKUP($A706,MAGAZZINO!$B$2:$M$4838,6,FALSE)</f>
        <v/>
      </c>
      <c r="G706" s="17">
        <f>+VLOOKUP($A706,MAGAZZINO!$B$2:$M$4838,7,FALSE)</f>
        <v/>
      </c>
      <c r="H706" s="17">
        <f>+VLOOKUP($A706,MAGAZZINO!$B$2:$M$4838,8,FALSE)</f>
        <v/>
      </c>
      <c r="I706" s="17">
        <f>+VLOOKUP($A706,MAGAZZINO!$B$2:$M$4838,9,FALSE)</f>
        <v/>
      </c>
      <c r="J706" s="17">
        <f>+VLOOKUP($A706,MAGAZZINO!$B$2:$M$4838,10,FALSE)</f>
        <v/>
      </c>
      <c r="K706" s="17">
        <f>+VLOOKUP($A706,MAGAZZINO!$B$2:$M$4838,11,FALSE)</f>
        <v/>
      </c>
      <c r="L706" s="44">
        <f>+VLOOKUP($A706,MAGAZZINO!$B$2:$M$4838,12,FALSE)</f>
        <v/>
      </c>
    </row>
    <row r="707" ht="36" customHeight="1">
      <c r="A707" s="30">
        <f>+REGISTRO!A690</f>
        <v/>
      </c>
      <c r="B707" s="31">
        <f>+VLOOKUP($A707,MAGAZZINO!$B$2:$M$4838,2,FALSE)</f>
        <v/>
      </c>
      <c r="C707" s="32">
        <f>+VLOOKUP($A707,MAGAZZINO!$B$2:$M$4838,3,FALSE)</f>
        <v/>
      </c>
      <c r="D707" s="17">
        <f>+VLOOKUP($A707,MAGAZZINO!$B$2:$M$4838,4,FALSE)</f>
        <v/>
      </c>
      <c r="E707" s="17">
        <f>+VLOOKUP($A707,MAGAZZINO!$B$2:$M$4838,5,FALSE)</f>
        <v/>
      </c>
      <c r="F707" s="17">
        <f>+VLOOKUP($A707,MAGAZZINO!$B$2:$M$4838,6,FALSE)</f>
        <v/>
      </c>
      <c r="G707" s="17">
        <f>+VLOOKUP($A707,MAGAZZINO!$B$2:$M$4838,7,FALSE)</f>
        <v/>
      </c>
      <c r="H707" s="17">
        <f>+VLOOKUP($A707,MAGAZZINO!$B$2:$M$4838,8,FALSE)</f>
        <v/>
      </c>
      <c r="I707" s="17">
        <f>+VLOOKUP($A707,MAGAZZINO!$B$2:$M$4838,9,FALSE)</f>
        <v/>
      </c>
      <c r="J707" s="17">
        <f>+VLOOKUP($A707,MAGAZZINO!$B$2:$M$4838,10,FALSE)</f>
        <v/>
      </c>
      <c r="K707" s="17">
        <f>+VLOOKUP($A707,MAGAZZINO!$B$2:$M$4838,11,FALSE)</f>
        <v/>
      </c>
      <c r="L707" s="44">
        <f>+VLOOKUP($A707,MAGAZZINO!$B$2:$M$4838,12,FALSE)</f>
        <v/>
      </c>
    </row>
    <row r="708" ht="36" customHeight="1">
      <c r="A708" s="30">
        <f>+REGISTRO!A691</f>
        <v/>
      </c>
      <c r="B708" s="31">
        <f>+VLOOKUP($A708,MAGAZZINO!$B$2:$M$4838,2,FALSE)</f>
        <v/>
      </c>
      <c r="C708" s="32">
        <f>+VLOOKUP($A708,MAGAZZINO!$B$2:$M$4838,3,FALSE)</f>
        <v/>
      </c>
      <c r="D708" s="17">
        <f>+VLOOKUP($A708,MAGAZZINO!$B$2:$M$4838,4,FALSE)</f>
        <v/>
      </c>
      <c r="E708" s="17">
        <f>+VLOOKUP($A708,MAGAZZINO!$B$2:$M$4838,5,FALSE)</f>
        <v/>
      </c>
      <c r="F708" s="17">
        <f>+VLOOKUP($A708,MAGAZZINO!$B$2:$M$4838,6,FALSE)</f>
        <v/>
      </c>
      <c r="G708" s="17">
        <f>+VLOOKUP($A708,MAGAZZINO!$B$2:$M$4838,7,FALSE)</f>
        <v/>
      </c>
      <c r="H708" s="17">
        <f>+VLOOKUP($A708,MAGAZZINO!$B$2:$M$4838,8,FALSE)</f>
        <v/>
      </c>
      <c r="I708" s="17">
        <f>+VLOOKUP($A708,MAGAZZINO!$B$2:$M$4838,9,FALSE)</f>
        <v/>
      </c>
      <c r="J708" s="17">
        <f>+VLOOKUP($A708,MAGAZZINO!$B$2:$M$4838,10,FALSE)</f>
        <v/>
      </c>
      <c r="K708" s="17">
        <f>+VLOOKUP($A708,MAGAZZINO!$B$2:$M$4838,11,FALSE)</f>
        <v/>
      </c>
      <c r="L708" s="44">
        <f>+VLOOKUP($A708,MAGAZZINO!$B$2:$M$4838,12,FALSE)</f>
        <v/>
      </c>
    </row>
    <row r="709" ht="36" customHeight="1">
      <c r="A709" s="30">
        <f>+REGISTRO!A692</f>
        <v/>
      </c>
      <c r="B709" s="31">
        <f>+VLOOKUP($A709,MAGAZZINO!$B$2:$M$4838,2,FALSE)</f>
        <v/>
      </c>
      <c r="C709" s="32">
        <f>+VLOOKUP($A709,MAGAZZINO!$B$2:$M$4838,3,FALSE)</f>
        <v/>
      </c>
      <c r="D709" s="17">
        <f>+VLOOKUP($A709,MAGAZZINO!$B$2:$M$4838,4,FALSE)</f>
        <v/>
      </c>
      <c r="E709" s="17">
        <f>+VLOOKUP($A709,MAGAZZINO!$B$2:$M$4838,5,FALSE)</f>
        <v/>
      </c>
      <c r="F709" s="17">
        <f>+VLOOKUP($A709,MAGAZZINO!$B$2:$M$4838,6,FALSE)</f>
        <v/>
      </c>
      <c r="G709" s="17">
        <f>+VLOOKUP($A709,MAGAZZINO!$B$2:$M$4838,7,FALSE)</f>
        <v/>
      </c>
      <c r="H709" s="17">
        <f>+VLOOKUP($A709,MAGAZZINO!$B$2:$M$4838,8,FALSE)</f>
        <v/>
      </c>
      <c r="I709" s="17">
        <f>+VLOOKUP($A709,MAGAZZINO!$B$2:$M$4838,9,FALSE)</f>
        <v/>
      </c>
      <c r="J709" s="17">
        <f>+VLOOKUP($A709,MAGAZZINO!$B$2:$M$4838,10,FALSE)</f>
        <v/>
      </c>
      <c r="K709" s="17">
        <f>+VLOOKUP($A709,MAGAZZINO!$B$2:$M$4838,11,FALSE)</f>
        <v/>
      </c>
      <c r="L709" s="44">
        <f>+VLOOKUP($A709,MAGAZZINO!$B$2:$M$4838,12,FALSE)</f>
        <v/>
      </c>
    </row>
    <row r="710" ht="36" customHeight="1">
      <c r="A710" s="30">
        <f>+REGISTRO!A693</f>
        <v/>
      </c>
      <c r="B710" s="31">
        <f>+VLOOKUP($A710,MAGAZZINO!$B$2:$M$4838,2,FALSE)</f>
        <v/>
      </c>
      <c r="C710" s="32">
        <f>+VLOOKUP($A710,MAGAZZINO!$B$2:$M$4838,3,FALSE)</f>
        <v/>
      </c>
      <c r="D710" s="17">
        <f>+VLOOKUP($A710,MAGAZZINO!$B$2:$M$4838,4,FALSE)</f>
        <v/>
      </c>
      <c r="E710" s="17">
        <f>+VLOOKUP($A710,MAGAZZINO!$B$2:$M$4838,5,FALSE)</f>
        <v/>
      </c>
      <c r="F710" s="17">
        <f>+VLOOKUP($A710,MAGAZZINO!$B$2:$M$4838,6,FALSE)</f>
        <v/>
      </c>
      <c r="G710" s="17">
        <f>+VLOOKUP($A710,MAGAZZINO!$B$2:$M$4838,7,FALSE)</f>
        <v/>
      </c>
      <c r="H710" s="17">
        <f>+VLOOKUP($A710,MAGAZZINO!$B$2:$M$4838,8,FALSE)</f>
        <v/>
      </c>
      <c r="I710" s="17">
        <f>+VLOOKUP($A710,MAGAZZINO!$B$2:$M$4838,9,FALSE)</f>
        <v/>
      </c>
      <c r="J710" s="17">
        <f>+VLOOKUP($A710,MAGAZZINO!$B$2:$M$4838,10,FALSE)</f>
        <v/>
      </c>
      <c r="K710" s="17">
        <f>+VLOOKUP($A710,MAGAZZINO!$B$2:$M$4838,11,FALSE)</f>
        <v/>
      </c>
      <c r="L710" s="44">
        <f>+VLOOKUP($A710,MAGAZZINO!$B$2:$M$4838,12,FALSE)</f>
        <v/>
      </c>
    </row>
    <row r="711" ht="36" customHeight="1">
      <c r="A711" s="30">
        <f>+REGISTRO!A694</f>
        <v/>
      </c>
      <c r="B711" s="31">
        <f>+VLOOKUP($A711,MAGAZZINO!$B$2:$M$4838,2,FALSE)</f>
        <v/>
      </c>
      <c r="C711" s="32">
        <f>+VLOOKUP($A711,MAGAZZINO!$B$2:$M$4838,3,FALSE)</f>
        <v/>
      </c>
      <c r="D711" s="17">
        <f>+VLOOKUP($A711,MAGAZZINO!$B$2:$M$4838,4,FALSE)</f>
        <v/>
      </c>
      <c r="E711" s="17">
        <f>+VLOOKUP($A711,MAGAZZINO!$B$2:$M$4838,5,FALSE)</f>
        <v/>
      </c>
      <c r="F711" s="17">
        <f>+VLOOKUP($A711,MAGAZZINO!$B$2:$M$4838,6,FALSE)</f>
        <v/>
      </c>
      <c r="G711" s="17">
        <f>+VLOOKUP($A711,MAGAZZINO!$B$2:$M$4838,7,FALSE)</f>
        <v/>
      </c>
      <c r="H711" s="17">
        <f>+VLOOKUP($A711,MAGAZZINO!$B$2:$M$4838,8,FALSE)</f>
        <v/>
      </c>
      <c r="I711" s="17">
        <f>+VLOOKUP($A711,MAGAZZINO!$B$2:$M$4838,9,FALSE)</f>
        <v/>
      </c>
      <c r="J711" s="17">
        <f>+VLOOKUP($A711,MAGAZZINO!$B$2:$M$4838,10,FALSE)</f>
        <v/>
      </c>
      <c r="K711" s="17">
        <f>+VLOOKUP($A711,MAGAZZINO!$B$2:$M$4838,11,FALSE)</f>
        <v/>
      </c>
      <c r="L711" s="44">
        <f>+VLOOKUP($A711,MAGAZZINO!$B$2:$M$4838,12,FALSE)</f>
        <v/>
      </c>
    </row>
    <row r="712" ht="36" customHeight="1">
      <c r="A712" s="30">
        <f>+REGISTRO!A695</f>
        <v/>
      </c>
      <c r="B712" s="31">
        <f>+VLOOKUP($A712,MAGAZZINO!$B$2:$M$4838,2,FALSE)</f>
        <v/>
      </c>
      <c r="C712" s="32">
        <f>+VLOOKUP($A712,MAGAZZINO!$B$2:$M$4838,3,FALSE)</f>
        <v/>
      </c>
      <c r="D712" s="17">
        <f>+VLOOKUP($A712,MAGAZZINO!$B$2:$M$4838,4,FALSE)</f>
        <v/>
      </c>
      <c r="E712" s="17">
        <f>+VLOOKUP($A712,MAGAZZINO!$B$2:$M$4838,5,FALSE)</f>
        <v/>
      </c>
      <c r="F712" s="17">
        <f>+VLOOKUP($A712,MAGAZZINO!$B$2:$M$4838,6,FALSE)</f>
        <v/>
      </c>
      <c r="G712" s="17">
        <f>+VLOOKUP($A712,MAGAZZINO!$B$2:$M$4838,7,FALSE)</f>
        <v/>
      </c>
      <c r="H712" s="17">
        <f>+VLOOKUP($A712,MAGAZZINO!$B$2:$M$4838,8,FALSE)</f>
        <v/>
      </c>
      <c r="I712" s="17">
        <f>+VLOOKUP($A712,MAGAZZINO!$B$2:$M$4838,9,FALSE)</f>
        <v/>
      </c>
      <c r="J712" s="17">
        <f>+VLOOKUP($A712,MAGAZZINO!$B$2:$M$4838,10,FALSE)</f>
        <v/>
      </c>
      <c r="K712" s="17">
        <f>+VLOOKUP($A712,MAGAZZINO!$B$2:$M$4838,11,FALSE)</f>
        <v/>
      </c>
      <c r="L712" s="44">
        <f>+VLOOKUP($A712,MAGAZZINO!$B$2:$M$4838,12,FALSE)</f>
        <v/>
      </c>
    </row>
    <row r="713" ht="36" customHeight="1">
      <c r="A713" s="30">
        <f>+REGISTRO!A696</f>
        <v/>
      </c>
      <c r="B713" s="31">
        <f>+VLOOKUP($A713,MAGAZZINO!$B$2:$M$4838,2,FALSE)</f>
        <v/>
      </c>
      <c r="C713" s="32">
        <f>+VLOOKUP($A713,MAGAZZINO!$B$2:$M$4838,3,FALSE)</f>
        <v/>
      </c>
      <c r="D713" s="17">
        <f>+VLOOKUP($A713,MAGAZZINO!$B$2:$M$4838,4,FALSE)</f>
        <v/>
      </c>
      <c r="E713" s="17">
        <f>+VLOOKUP($A713,MAGAZZINO!$B$2:$M$4838,5,FALSE)</f>
        <v/>
      </c>
      <c r="F713" s="17">
        <f>+VLOOKUP($A713,MAGAZZINO!$B$2:$M$4838,6,FALSE)</f>
        <v/>
      </c>
      <c r="G713" s="17">
        <f>+VLOOKUP($A713,MAGAZZINO!$B$2:$M$4838,7,FALSE)</f>
        <v/>
      </c>
      <c r="H713" s="17">
        <f>+VLOOKUP($A713,MAGAZZINO!$B$2:$M$4838,8,FALSE)</f>
        <v/>
      </c>
      <c r="I713" s="17">
        <f>+VLOOKUP($A713,MAGAZZINO!$B$2:$M$4838,9,FALSE)</f>
        <v/>
      </c>
      <c r="J713" s="17">
        <f>+VLOOKUP($A713,MAGAZZINO!$B$2:$M$4838,10,FALSE)</f>
        <v/>
      </c>
      <c r="K713" s="17">
        <f>+VLOOKUP($A713,MAGAZZINO!$B$2:$M$4838,11,FALSE)</f>
        <v/>
      </c>
      <c r="L713" s="44">
        <f>+VLOOKUP($A713,MAGAZZINO!$B$2:$M$4838,12,FALSE)</f>
        <v/>
      </c>
    </row>
    <row r="714" ht="36" customHeight="1">
      <c r="A714" s="30">
        <f>+REGISTRO!A697</f>
        <v/>
      </c>
      <c r="B714" s="31">
        <f>+VLOOKUP($A714,MAGAZZINO!$B$2:$M$4838,2,FALSE)</f>
        <v/>
      </c>
      <c r="C714" s="32">
        <f>+VLOOKUP($A714,MAGAZZINO!$B$2:$M$4838,3,FALSE)</f>
        <v/>
      </c>
      <c r="D714" s="17">
        <f>+VLOOKUP($A714,MAGAZZINO!$B$2:$M$4838,4,FALSE)</f>
        <v/>
      </c>
      <c r="E714" s="17">
        <f>+VLOOKUP($A714,MAGAZZINO!$B$2:$M$4838,5,FALSE)</f>
        <v/>
      </c>
      <c r="F714" s="17">
        <f>+VLOOKUP($A714,MAGAZZINO!$B$2:$M$4838,6,FALSE)</f>
        <v/>
      </c>
      <c r="G714" s="17">
        <f>+VLOOKUP($A714,MAGAZZINO!$B$2:$M$4838,7,FALSE)</f>
        <v/>
      </c>
      <c r="H714" s="17">
        <f>+VLOOKUP($A714,MAGAZZINO!$B$2:$M$4838,8,FALSE)</f>
        <v/>
      </c>
      <c r="I714" s="17">
        <f>+VLOOKUP($A714,MAGAZZINO!$B$2:$M$4838,9,FALSE)</f>
        <v/>
      </c>
      <c r="J714" s="17">
        <f>+VLOOKUP($A714,MAGAZZINO!$B$2:$M$4838,10,FALSE)</f>
        <v/>
      </c>
      <c r="K714" s="17">
        <f>+VLOOKUP($A714,MAGAZZINO!$B$2:$M$4838,11,FALSE)</f>
        <v/>
      </c>
      <c r="L714" s="44">
        <f>+VLOOKUP($A714,MAGAZZINO!$B$2:$M$4838,12,FALSE)</f>
        <v/>
      </c>
    </row>
    <row r="715" ht="36" customHeight="1">
      <c r="A715" s="30">
        <f>+REGISTRO!A698</f>
        <v/>
      </c>
      <c r="B715" s="31">
        <f>+VLOOKUP($A715,MAGAZZINO!$B$2:$M$4838,2,FALSE)</f>
        <v/>
      </c>
      <c r="C715" s="32">
        <f>+VLOOKUP($A715,MAGAZZINO!$B$2:$M$4838,3,FALSE)</f>
        <v/>
      </c>
      <c r="D715" s="17">
        <f>+VLOOKUP($A715,MAGAZZINO!$B$2:$M$4838,4,FALSE)</f>
        <v/>
      </c>
      <c r="E715" s="17">
        <f>+VLOOKUP($A715,MAGAZZINO!$B$2:$M$4838,5,FALSE)</f>
        <v/>
      </c>
      <c r="F715" s="17">
        <f>+VLOOKUP($A715,MAGAZZINO!$B$2:$M$4838,6,FALSE)</f>
        <v/>
      </c>
      <c r="G715" s="17">
        <f>+VLOOKUP($A715,MAGAZZINO!$B$2:$M$4838,7,FALSE)</f>
        <v/>
      </c>
      <c r="H715" s="17">
        <f>+VLOOKUP($A715,MAGAZZINO!$B$2:$M$4838,8,FALSE)</f>
        <v/>
      </c>
      <c r="I715" s="17">
        <f>+VLOOKUP($A715,MAGAZZINO!$B$2:$M$4838,9,FALSE)</f>
        <v/>
      </c>
      <c r="J715" s="17">
        <f>+VLOOKUP($A715,MAGAZZINO!$B$2:$M$4838,10,FALSE)</f>
        <v/>
      </c>
      <c r="K715" s="17">
        <f>+VLOOKUP($A715,MAGAZZINO!$B$2:$M$4838,11,FALSE)</f>
        <v/>
      </c>
      <c r="L715" s="44">
        <f>+VLOOKUP($A715,MAGAZZINO!$B$2:$M$4838,12,FALSE)</f>
        <v/>
      </c>
    </row>
    <row r="716" ht="36" customHeight="1">
      <c r="A716" s="30">
        <f>+REGISTRO!A699</f>
        <v/>
      </c>
      <c r="B716" s="31">
        <f>+VLOOKUP($A716,MAGAZZINO!$B$2:$M$4838,2,FALSE)</f>
        <v/>
      </c>
      <c r="C716" s="32">
        <f>+VLOOKUP($A716,MAGAZZINO!$B$2:$M$4838,3,FALSE)</f>
        <v/>
      </c>
      <c r="D716" s="17">
        <f>+VLOOKUP($A716,MAGAZZINO!$B$2:$M$4838,4,FALSE)</f>
        <v/>
      </c>
      <c r="E716" s="17">
        <f>+VLOOKUP($A716,MAGAZZINO!$B$2:$M$4838,5,FALSE)</f>
        <v/>
      </c>
      <c r="F716" s="17">
        <f>+VLOOKUP($A716,MAGAZZINO!$B$2:$M$4838,6,FALSE)</f>
        <v/>
      </c>
      <c r="G716" s="17">
        <f>+VLOOKUP($A716,MAGAZZINO!$B$2:$M$4838,7,FALSE)</f>
        <v/>
      </c>
      <c r="H716" s="17">
        <f>+VLOOKUP($A716,MAGAZZINO!$B$2:$M$4838,8,FALSE)</f>
        <v/>
      </c>
      <c r="I716" s="17">
        <f>+VLOOKUP($A716,MAGAZZINO!$B$2:$M$4838,9,FALSE)</f>
        <v/>
      </c>
      <c r="J716" s="17">
        <f>+VLOOKUP($A716,MAGAZZINO!$B$2:$M$4838,10,FALSE)</f>
        <v/>
      </c>
      <c r="K716" s="17">
        <f>+VLOOKUP($A716,MAGAZZINO!$B$2:$M$4838,11,FALSE)</f>
        <v/>
      </c>
      <c r="L716" s="44">
        <f>+VLOOKUP($A716,MAGAZZINO!$B$2:$M$4838,12,FALSE)</f>
        <v/>
      </c>
    </row>
    <row r="717" ht="36" customHeight="1">
      <c r="A717" s="30">
        <f>+REGISTRO!A700</f>
        <v/>
      </c>
      <c r="B717" s="31">
        <f>+VLOOKUP($A717,MAGAZZINO!$B$2:$M$4838,2,FALSE)</f>
        <v/>
      </c>
      <c r="C717" s="32">
        <f>+VLOOKUP($A717,MAGAZZINO!$B$2:$M$4838,3,FALSE)</f>
        <v/>
      </c>
      <c r="D717" s="17">
        <f>+VLOOKUP($A717,MAGAZZINO!$B$2:$M$4838,4,FALSE)</f>
        <v/>
      </c>
      <c r="E717" s="17">
        <f>+VLOOKUP($A717,MAGAZZINO!$B$2:$M$4838,5,FALSE)</f>
        <v/>
      </c>
      <c r="F717" s="17">
        <f>+VLOOKUP($A717,MAGAZZINO!$B$2:$M$4838,6,FALSE)</f>
        <v/>
      </c>
      <c r="G717" s="17">
        <f>+VLOOKUP($A717,MAGAZZINO!$B$2:$M$4838,7,FALSE)</f>
        <v/>
      </c>
      <c r="H717" s="17">
        <f>+VLOOKUP($A717,MAGAZZINO!$B$2:$M$4838,8,FALSE)</f>
        <v/>
      </c>
      <c r="I717" s="17">
        <f>+VLOOKUP($A717,MAGAZZINO!$B$2:$M$4838,9,FALSE)</f>
        <v/>
      </c>
      <c r="J717" s="17">
        <f>+VLOOKUP($A717,MAGAZZINO!$B$2:$M$4838,10,FALSE)</f>
        <v/>
      </c>
      <c r="K717" s="17">
        <f>+VLOOKUP($A717,MAGAZZINO!$B$2:$M$4838,11,FALSE)</f>
        <v/>
      </c>
      <c r="L717" s="44">
        <f>+VLOOKUP($A717,MAGAZZINO!$B$2:$M$4838,12,FALSE)</f>
        <v/>
      </c>
    </row>
    <row r="718" ht="36" customHeight="1">
      <c r="A718" s="30">
        <f>+REGISTRO!A701</f>
        <v/>
      </c>
      <c r="B718" s="31">
        <f>+VLOOKUP($A718,MAGAZZINO!$B$2:$M$4838,2,FALSE)</f>
        <v/>
      </c>
      <c r="C718" s="32">
        <f>+VLOOKUP($A718,MAGAZZINO!$B$2:$M$4838,3,FALSE)</f>
        <v/>
      </c>
      <c r="D718" s="17">
        <f>+VLOOKUP($A718,MAGAZZINO!$B$2:$M$4838,4,FALSE)</f>
        <v/>
      </c>
      <c r="E718" s="17">
        <f>+VLOOKUP($A718,MAGAZZINO!$B$2:$M$4838,5,FALSE)</f>
        <v/>
      </c>
      <c r="F718" s="17">
        <f>+VLOOKUP($A718,MAGAZZINO!$B$2:$M$4838,6,FALSE)</f>
        <v/>
      </c>
      <c r="G718" s="17">
        <f>+VLOOKUP($A718,MAGAZZINO!$B$2:$M$4838,7,FALSE)</f>
        <v/>
      </c>
      <c r="H718" s="17">
        <f>+VLOOKUP($A718,MAGAZZINO!$B$2:$M$4838,8,FALSE)</f>
        <v/>
      </c>
      <c r="I718" s="17">
        <f>+VLOOKUP($A718,MAGAZZINO!$B$2:$M$4838,9,FALSE)</f>
        <v/>
      </c>
      <c r="J718" s="17">
        <f>+VLOOKUP($A718,MAGAZZINO!$B$2:$M$4838,10,FALSE)</f>
        <v/>
      </c>
      <c r="K718" s="17">
        <f>+VLOOKUP($A718,MAGAZZINO!$B$2:$M$4838,11,FALSE)</f>
        <v/>
      </c>
      <c r="L718" s="44">
        <f>+VLOOKUP($A718,MAGAZZINO!$B$2:$M$4838,12,FALSE)</f>
        <v/>
      </c>
    </row>
    <row r="719" ht="36" customHeight="1">
      <c r="A719" s="30">
        <f>+REGISTRO!A702</f>
        <v/>
      </c>
      <c r="B719" s="31">
        <f>+VLOOKUP($A719,MAGAZZINO!$B$2:$M$4838,2,FALSE)</f>
        <v/>
      </c>
      <c r="C719" s="32">
        <f>+VLOOKUP($A719,MAGAZZINO!$B$2:$M$4838,3,FALSE)</f>
        <v/>
      </c>
      <c r="D719" s="17">
        <f>+VLOOKUP($A719,MAGAZZINO!$B$2:$M$4838,4,FALSE)</f>
        <v/>
      </c>
      <c r="E719" s="17">
        <f>+VLOOKUP($A719,MAGAZZINO!$B$2:$M$4838,5,FALSE)</f>
        <v/>
      </c>
      <c r="F719" s="17">
        <f>+VLOOKUP($A719,MAGAZZINO!$B$2:$M$4838,6,FALSE)</f>
        <v/>
      </c>
      <c r="G719" s="17">
        <f>+VLOOKUP($A719,MAGAZZINO!$B$2:$M$4838,7,FALSE)</f>
        <v/>
      </c>
      <c r="H719" s="17">
        <f>+VLOOKUP($A719,MAGAZZINO!$B$2:$M$4838,8,FALSE)</f>
        <v/>
      </c>
      <c r="I719" s="17">
        <f>+VLOOKUP($A719,MAGAZZINO!$B$2:$M$4838,9,FALSE)</f>
        <v/>
      </c>
      <c r="J719" s="17">
        <f>+VLOOKUP($A719,MAGAZZINO!$B$2:$M$4838,10,FALSE)</f>
        <v/>
      </c>
      <c r="K719" s="17">
        <f>+VLOOKUP($A719,MAGAZZINO!$B$2:$M$4838,11,FALSE)</f>
        <v/>
      </c>
      <c r="L719" s="44">
        <f>+VLOOKUP($A719,MAGAZZINO!$B$2:$M$4838,12,FALSE)</f>
        <v/>
      </c>
    </row>
    <row r="720" ht="36" customHeight="1">
      <c r="A720" s="30">
        <f>+REGISTRO!A703</f>
        <v/>
      </c>
      <c r="B720" s="31">
        <f>+VLOOKUP($A720,MAGAZZINO!$B$2:$M$4838,2,FALSE)</f>
        <v/>
      </c>
      <c r="C720" s="32">
        <f>+VLOOKUP($A720,MAGAZZINO!$B$2:$M$4838,3,FALSE)</f>
        <v/>
      </c>
      <c r="D720" s="17">
        <f>+VLOOKUP($A720,MAGAZZINO!$B$2:$M$4838,4,FALSE)</f>
        <v/>
      </c>
      <c r="E720" s="17">
        <f>+VLOOKUP($A720,MAGAZZINO!$B$2:$M$4838,5,FALSE)</f>
        <v/>
      </c>
      <c r="F720" s="17">
        <f>+VLOOKUP($A720,MAGAZZINO!$B$2:$M$4838,6,FALSE)</f>
        <v/>
      </c>
      <c r="G720" s="17">
        <f>+VLOOKUP($A720,MAGAZZINO!$B$2:$M$4838,7,FALSE)</f>
        <v/>
      </c>
      <c r="H720" s="17">
        <f>+VLOOKUP($A720,MAGAZZINO!$B$2:$M$4838,8,FALSE)</f>
        <v/>
      </c>
      <c r="I720" s="17">
        <f>+VLOOKUP($A720,MAGAZZINO!$B$2:$M$4838,9,FALSE)</f>
        <v/>
      </c>
      <c r="J720" s="17">
        <f>+VLOOKUP($A720,MAGAZZINO!$B$2:$M$4838,10,FALSE)</f>
        <v/>
      </c>
      <c r="K720" s="17">
        <f>+VLOOKUP($A720,MAGAZZINO!$B$2:$M$4838,11,FALSE)</f>
        <v/>
      </c>
      <c r="L720" s="44">
        <f>+VLOOKUP($A720,MAGAZZINO!$B$2:$M$4838,12,FALSE)</f>
        <v/>
      </c>
    </row>
    <row r="721" ht="36" customHeight="1">
      <c r="A721" s="30">
        <f>+REGISTRO!A704</f>
        <v/>
      </c>
      <c r="B721" s="31">
        <f>+VLOOKUP($A721,MAGAZZINO!$B$2:$M$4838,2,FALSE)</f>
        <v/>
      </c>
      <c r="C721" s="32">
        <f>+VLOOKUP($A721,MAGAZZINO!$B$2:$M$4838,3,FALSE)</f>
        <v/>
      </c>
      <c r="D721" s="17">
        <f>+VLOOKUP($A721,MAGAZZINO!$B$2:$M$4838,4,FALSE)</f>
        <v/>
      </c>
      <c r="E721" s="17">
        <f>+VLOOKUP($A721,MAGAZZINO!$B$2:$M$4838,5,FALSE)</f>
        <v/>
      </c>
      <c r="F721" s="17">
        <f>+VLOOKUP($A721,MAGAZZINO!$B$2:$M$4838,6,FALSE)</f>
        <v/>
      </c>
      <c r="G721" s="17">
        <f>+VLOOKUP($A721,MAGAZZINO!$B$2:$M$4838,7,FALSE)</f>
        <v/>
      </c>
      <c r="H721" s="17">
        <f>+VLOOKUP($A721,MAGAZZINO!$B$2:$M$4838,8,FALSE)</f>
        <v/>
      </c>
      <c r="I721" s="17">
        <f>+VLOOKUP($A721,MAGAZZINO!$B$2:$M$4838,9,FALSE)</f>
        <v/>
      </c>
      <c r="J721" s="17">
        <f>+VLOOKUP($A721,MAGAZZINO!$B$2:$M$4838,10,FALSE)</f>
        <v/>
      </c>
      <c r="K721" s="17">
        <f>+VLOOKUP($A721,MAGAZZINO!$B$2:$M$4838,11,FALSE)</f>
        <v/>
      </c>
      <c r="L721" s="44">
        <f>+VLOOKUP($A721,MAGAZZINO!$B$2:$M$4838,12,FALSE)</f>
        <v/>
      </c>
    </row>
    <row r="722" ht="36" customHeight="1">
      <c r="A722" s="30">
        <f>+REGISTRO!A705</f>
        <v/>
      </c>
      <c r="B722" s="31">
        <f>+VLOOKUP($A722,MAGAZZINO!$B$2:$M$4838,2,FALSE)</f>
        <v/>
      </c>
      <c r="C722" s="32">
        <f>+VLOOKUP($A722,MAGAZZINO!$B$2:$M$4838,3,FALSE)</f>
        <v/>
      </c>
      <c r="D722" s="17">
        <f>+VLOOKUP($A722,MAGAZZINO!$B$2:$M$4838,4,FALSE)</f>
        <v/>
      </c>
      <c r="E722" s="17">
        <f>+VLOOKUP($A722,MAGAZZINO!$B$2:$M$4838,5,FALSE)</f>
        <v/>
      </c>
      <c r="F722" s="17">
        <f>+VLOOKUP($A722,MAGAZZINO!$B$2:$M$4838,6,FALSE)</f>
        <v/>
      </c>
      <c r="G722" s="17">
        <f>+VLOOKUP($A722,MAGAZZINO!$B$2:$M$4838,7,FALSE)</f>
        <v/>
      </c>
      <c r="H722" s="17">
        <f>+VLOOKUP($A722,MAGAZZINO!$B$2:$M$4838,8,FALSE)</f>
        <v/>
      </c>
      <c r="I722" s="17">
        <f>+VLOOKUP($A722,MAGAZZINO!$B$2:$M$4838,9,FALSE)</f>
        <v/>
      </c>
      <c r="J722" s="17">
        <f>+VLOOKUP($A722,MAGAZZINO!$B$2:$M$4838,10,FALSE)</f>
        <v/>
      </c>
      <c r="K722" s="17">
        <f>+VLOOKUP($A722,MAGAZZINO!$B$2:$M$4838,11,FALSE)</f>
        <v/>
      </c>
      <c r="L722" s="44">
        <f>+VLOOKUP($A722,MAGAZZINO!$B$2:$M$4838,12,FALSE)</f>
        <v/>
      </c>
    </row>
    <row r="723" ht="36" customHeight="1">
      <c r="A723" s="30">
        <f>+REGISTRO!A706</f>
        <v/>
      </c>
      <c r="B723" s="31">
        <f>+VLOOKUP($A723,MAGAZZINO!$B$2:$M$4838,2,FALSE)</f>
        <v/>
      </c>
      <c r="C723" s="32">
        <f>+VLOOKUP($A723,MAGAZZINO!$B$2:$M$4838,3,FALSE)</f>
        <v/>
      </c>
      <c r="D723" s="17">
        <f>+VLOOKUP($A723,MAGAZZINO!$B$2:$M$4838,4,FALSE)</f>
        <v/>
      </c>
      <c r="E723" s="17">
        <f>+VLOOKUP($A723,MAGAZZINO!$B$2:$M$4838,5,FALSE)</f>
        <v/>
      </c>
      <c r="F723" s="17">
        <f>+VLOOKUP($A723,MAGAZZINO!$B$2:$M$4838,6,FALSE)</f>
        <v/>
      </c>
      <c r="G723" s="17">
        <f>+VLOOKUP($A723,MAGAZZINO!$B$2:$M$4838,7,FALSE)</f>
        <v/>
      </c>
      <c r="H723" s="17">
        <f>+VLOOKUP($A723,MAGAZZINO!$B$2:$M$4838,8,FALSE)</f>
        <v/>
      </c>
      <c r="I723" s="17">
        <f>+VLOOKUP($A723,MAGAZZINO!$B$2:$M$4838,9,FALSE)</f>
        <v/>
      </c>
      <c r="J723" s="17">
        <f>+VLOOKUP($A723,MAGAZZINO!$B$2:$M$4838,10,FALSE)</f>
        <v/>
      </c>
      <c r="K723" s="17">
        <f>+VLOOKUP($A723,MAGAZZINO!$B$2:$M$4838,11,FALSE)</f>
        <v/>
      </c>
      <c r="L723" s="44">
        <f>+VLOOKUP($A723,MAGAZZINO!$B$2:$M$4838,12,FALSE)</f>
        <v/>
      </c>
    </row>
    <row r="724" ht="36" customHeight="1">
      <c r="A724" s="30">
        <f>+REGISTRO!A707</f>
        <v/>
      </c>
      <c r="B724" s="31">
        <f>+VLOOKUP($A724,MAGAZZINO!$B$2:$M$4838,2,FALSE)</f>
        <v/>
      </c>
      <c r="C724" s="32">
        <f>+VLOOKUP($A724,MAGAZZINO!$B$2:$M$4838,3,FALSE)</f>
        <v/>
      </c>
      <c r="D724" s="17">
        <f>+VLOOKUP($A724,MAGAZZINO!$B$2:$M$4838,4,FALSE)</f>
        <v/>
      </c>
      <c r="E724" s="17">
        <f>+VLOOKUP($A724,MAGAZZINO!$B$2:$M$4838,5,FALSE)</f>
        <v/>
      </c>
      <c r="F724" s="17">
        <f>+VLOOKUP($A724,MAGAZZINO!$B$2:$M$4838,6,FALSE)</f>
        <v/>
      </c>
      <c r="G724" s="17">
        <f>+VLOOKUP($A724,MAGAZZINO!$B$2:$M$4838,7,FALSE)</f>
        <v/>
      </c>
      <c r="H724" s="17">
        <f>+VLOOKUP($A724,MAGAZZINO!$B$2:$M$4838,8,FALSE)</f>
        <v/>
      </c>
      <c r="I724" s="17">
        <f>+VLOOKUP($A724,MAGAZZINO!$B$2:$M$4838,9,FALSE)</f>
        <v/>
      </c>
      <c r="J724" s="17">
        <f>+VLOOKUP($A724,MAGAZZINO!$B$2:$M$4838,10,FALSE)</f>
        <v/>
      </c>
      <c r="K724" s="17">
        <f>+VLOOKUP($A724,MAGAZZINO!$B$2:$M$4838,11,FALSE)</f>
        <v/>
      </c>
      <c r="L724" s="44">
        <f>+VLOOKUP($A724,MAGAZZINO!$B$2:$M$4838,12,FALSE)</f>
        <v/>
      </c>
    </row>
    <row r="725" ht="36" customHeight="1">
      <c r="A725" s="30">
        <f>+REGISTRO!A708</f>
        <v/>
      </c>
      <c r="B725" s="31">
        <f>+VLOOKUP($A725,MAGAZZINO!$B$2:$M$4838,2,FALSE)</f>
        <v/>
      </c>
      <c r="C725" s="32">
        <f>+VLOOKUP($A725,MAGAZZINO!$B$2:$M$4838,3,FALSE)</f>
        <v/>
      </c>
      <c r="D725" s="17">
        <f>+VLOOKUP($A725,MAGAZZINO!$B$2:$M$4838,4,FALSE)</f>
        <v/>
      </c>
      <c r="E725" s="17">
        <f>+VLOOKUP($A725,MAGAZZINO!$B$2:$M$4838,5,FALSE)</f>
        <v/>
      </c>
      <c r="F725" s="17">
        <f>+VLOOKUP($A725,MAGAZZINO!$B$2:$M$4838,6,FALSE)</f>
        <v/>
      </c>
      <c r="G725" s="17">
        <f>+VLOOKUP($A725,MAGAZZINO!$B$2:$M$4838,7,FALSE)</f>
        <v/>
      </c>
      <c r="H725" s="17">
        <f>+VLOOKUP($A725,MAGAZZINO!$B$2:$M$4838,8,FALSE)</f>
        <v/>
      </c>
      <c r="I725" s="17">
        <f>+VLOOKUP($A725,MAGAZZINO!$B$2:$M$4838,9,FALSE)</f>
        <v/>
      </c>
      <c r="J725" s="17">
        <f>+VLOOKUP($A725,MAGAZZINO!$B$2:$M$4838,10,FALSE)</f>
        <v/>
      </c>
      <c r="K725" s="17">
        <f>+VLOOKUP($A725,MAGAZZINO!$B$2:$M$4838,11,FALSE)</f>
        <v/>
      </c>
      <c r="L725" s="44">
        <f>+VLOOKUP($A725,MAGAZZINO!$B$2:$M$4838,12,FALSE)</f>
        <v/>
      </c>
    </row>
    <row r="726" ht="36" customHeight="1">
      <c r="A726" s="30">
        <f>+REGISTRO!A709</f>
        <v/>
      </c>
      <c r="B726" s="31">
        <f>+VLOOKUP($A726,MAGAZZINO!$B$2:$M$4838,2,FALSE)</f>
        <v/>
      </c>
      <c r="C726" s="32">
        <f>+VLOOKUP($A726,MAGAZZINO!$B$2:$M$4838,3,FALSE)</f>
        <v/>
      </c>
      <c r="D726" s="17">
        <f>+VLOOKUP($A726,MAGAZZINO!$B$2:$M$4838,4,FALSE)</f>
        <v/>
      </c>
      <c r="E726" s="17">
        <f>+VLOOKUP($A726,MAGAZZINO!$B$2:$M$4838,5,FALSE)</f>
        <v/>
      </c>
      <c r="F726" s="17">
        <f>+VLOOKUP($A726,MAGAZZINO!$B$2:$M$4838,6,FALSE)</f>
        <v/>
      </c>
      <c r="G726" s="17">
        <f>+VLOOKUP($A726,MAGAZZINO!$B$2:$M$4838,7,FALSE)</f>
        <v/>
      </c>
      <c r="H726" s="17">
        <f>+VLOOKUP($A726,MAGAZZINO!$B$2:$M$4838,8,FALSE)</f>
        <v/>
      </c>
      <c r="I726" s="17">
        <f>+VLOOKUP($A726,MAGAZZINO!$B$2:$M$4838,9,FALSE)</f>
        <v/>
      </c>
      <c r="J726" s="17">
        <f>+VLOOKUP($A726,MAGAZZINO!$B$2:$M$4838,10,FALSE)</f>
        <v/>
      </c>
      <c r="K726" s="17">
        <f>+VLOOKUP($A726,MAGAZZINO!$B$2:$M$4838,11,FALSE)</f>
        <v/>
      </c>
      <c r="L726" s="44">
        <f>+VLOOKUP($A726,MAGAZZINO!$B$2:$M$4838,12,FALSE)</f>
        <v/>
      </c>
    </row>
    <row r="727" ht="36" customHeight="1">
      <c r="A727" s="30">
        <f>+REGISTRO!A710</f>
        <v/>
      </c>
      <c r="B727" s="31">
        <f>+VLOOKUP($A727,MAGAZZINO!$B$2:$M$4838,2,FALSE)</f>
        <v/>
      </c>
      <c r="C727" s="32">
        <f>+VLOOKUP($A727,MAGAZZINO!$B$2:$M$4838,3,FALSE)</f>
        <v/>
      </c>
      <c r="D727" s="17">
        <f>+VLOOKUP($A727,MAGAZZINO!$B$2:$M$4838,4,FALSE)</f>
        <v/>
      </c>
      <c r="E727" s="17">
        <f>+VLOOKUP($A727,MAGAZZINO!$B$2:$M$4838,5,FALSE)</f>
        <v/>
      </c>
      <c r="F727" s="17">
        <f>+VLOOKUP($A727,MAGAZZINO!$B$2:$M$4838,6,FALSE)</f>
        <v/>
      </c>
      <c r="G727" s="17">
        <f>+VLOOKUP($A727,MAGAZZINO!$B$2:$M$4838,7,FALSE)</f>
        <v/>
      </c>
      <c r="H727" s="17">
        <f>+VLOOKUP($A727,MAGAZZINO!$B$2:$M$4838,8,FALSE)</f>
        <v/>
      </c>
      <c r="I727" s="17">
        <f>+VLOOKUP($A727,MAGAZZINO!$B$2:$M$4838,9,FALSE)</f>
        <v/>
      </c>
      <c r="J727" s="17">
        <f>+VLOOKUP($A727,MAGAZZINO!$B$2:$M$4838,10,FALSE)</f>
        <v/>
      </c>
      <c r="K727" s="17">
        <f>+VLOOKUP($A727,MAGAZZINO!$B$2:$M$4838,11,FALSE)</f>
        <v/>
      </c>
      <c r="L727" s="44">
        <f>+VLOOKUP($A727,MAGAZZINO!$B$2:$M$4838,12,FALSE)</f>
        <v/>
      </c>
    </row>
    <row r="728" ht="36" customHeight="1">
      <c r="A728" s="30">
        <f>+REGISTRO!A711</f>
        <v/>
      </c>
      <c r="B728" s="31">
        <f>+VLOOKUP($A728,MAGAZZINO!$B$2:$M$4838,2,FALSE)</f>
        <v/>
      </c>
      <c r="C728" s="32">
        <f>+VLOOKUP($A728,MAGAZZINO!$B$2:$M$4838,3,FALSE)</f>
        <v/>
      </c>
      <c r="D728" s="17">
        <f>+VLOOKUP($A728,MAGAZZINO!$B$2:$M$4838,4,FALSE)</f>
        <v/>
      </c>
      <c r="E728" s="17">
        <f>+VLOOKUP($A728,MAGAZZINO!$B$2:$M$4838,5,FALSE)</f>
        <v/>
      </c>
      <c r="F728" s="17">
        <f>+VLOOKUP($A728,MAGAZZINO!$B$2:$M$4838,6,FALSE)</f>
        <v/>
      </c>
      <c r="G728" s="17">
        <f>+VLOOKUP($A728,MAGAZZINO!$B$2:$M$4838,7,FALSE)</f>
        <v/>
      </c>
      <c r="H728" s="17">
        <f>+VLOOKUP($A728,MAGAZZINO!$B$2:$M$4838,8,FALSE)</f>
        <v/>
      </c>
      <c r="I728" s="17">
        <f>+VLOOKUP($A728,MAGAZZINO!$B$2:$M$4838,9,FALSE)</f>
        <v/>
      </c>
      <c r="J728" s="17">
        <f>+VLOOKUP($A728,MAGAZZINO!$B$2:$M$4838,10,FALSE)</f>
        <v/>
      </c>
      <c r="K728" s="17">
        <f>+VLOOKUP($A728,MAGAZZINO!$B$2:$M$4838,11,FALSE)</f>
        <v/>
      </c>
      <c r="L728" s="44">
        <f>+VLOOKUP($A728,MAGAZZINO!$B$2:$M$4838,12,FALSE)</f>
        <v/>
      </c>
    </row>
    <row r="729" ht="36" customHeight="1">
      <c r="A729" s="30">
        <f>+REGISTRO!A712</f>
        <v/>
      </c>
      <c r="B729" s="31">
        <f>+VLOOKUP($A729,MAGAZZINO!$B$2:$M$4838,2,FALSE)</f>
        <v/>
      </c>
      <c r="C729" s="32">
        <f>+VLOOKUP($A729,MAGAZZINO!$B$2:$M$4838,3,FALSE)</f>
        <v/>
      </c>
      <c r="D729" s="17">
        <f>+VLOOKUP($A729,MAGAZZINO!$B$2:$M$4838,4,FALSE)</f>
        <v/>
      </c>
      <c r="E729" s="17">
        <f>+VLOOKUP($A729,MAGAZZINO!$B$2:$M$4838,5,FALSE)</f>
        <v/>
      </c>
      <c r="F729" s="17">
        <f>+VLOOKUP($A729,MAGAZZINO!$B$2:$M$4838,6,FALSE)</f>
        <v/>
      </c>
      <c r="G729" s="17">
        <f>+VLOOKUP($A729,MAGAZZINO!$B$2:$M$4838,7,FALSE)</f>
        <v/>
      </c>
      <c r="H729" s="17">
        <f>+VLOOKUP($A729,MAGAZZINO!$B$2:$M$4838,8,FALSE)</f>
        <v/>
      </c>
      <c r="I729" s="17">
        <f>+VLOOKUP($A729,MAGAZZINO!$B$2:$M$4838,9,FALSE)</f>
        <v/>
      </c>
      <c r="J729" s="17">
        <f>+VLOOKUP($A729,MAGAZZINO!$B$2:$M$4838,10,FALSE)</f>
        <v/>
      </c>
      <c r="K729" s="17">
        <f>+VLOOKUP($A729,MAGAZZINO!$B$2:$M$4838,11,FALSE)</f>
        <v/>
      </c>
      <c r="L729" s="44">
        <f>+VLOOKUP($A729,MAGAZZINO!$B$2:$M$4838,12,FALSE)</f>
        <v/>
      </c>
    </row>
    <row r="730" ht="36" customHeight="1">
      <c r="A730" s="30">
        <f>+REGISTRO!A713</f>
        <v/>
      </c>
      <c r="B730" s="31">
        <f>+VLOOKUP($A730,MAGAZZINO!$B$2:$M$4838,2,FALSE)</f>
        <v/>
      </c>
      <c r="C730" s="32">
        <f>+VLOOKUP($A730,MAGAZZINO!$B$2:$M$4838,3,FALSE)</f>
        <v/>
      </c>
      <c r="D730" s="17">
        <f>+VLOOKUP($A730,MAGAZZINO!$B$2:$M$4838,4,FALSE)</f>
        <v/>
      </c>
      <c r="E730" s="17">
        <f>+VLOOKUP($A730,MAGAZZINO!$B$2:$M$4838,5,FALSE)</f>
        <v/>
      </c>
      <c r="F730" s="17">
        <f>+VLOOKUP($A730,MAGAZZINO!$B$2:$M$4838,6,FALSE)</f>
        <v/>
      </c>
      <c r="G730" s="17">
        <f>+VLOOKUP($A730,MAGAZZINO!$B$2:$M$4838,7,FALSE)</f>
        <v/>
      </c>
      <c r="H730" s="17">
        <f>+VLOOKUP($A730,MAGAZZINO!$B$2:$M$4838,8,FALSE)</f>
        <v/>
      </c>
      <c r="I730" s="17">
        <f>+VLOOKUP($A730,MAGAZZINO!$B$2:$M$4838,9,FALSE)</f>
        <v/>
      </c>
      <c r="J730" s="17">
        <f>+VLOOKUP($A730,MAGAZZINO!$B$2:$M$4838,10,FALSE)</f>
        <v/>
      </c>
      <c r="K730" s="17">
        <f>+VLOOKUP($A730,MAGAZZINO!$B$2:$M$4838,11,FALSE)</f>
        <v/>
      </c>
      <c r="L730" s="44">
        <f>+VLOOKUP($A730,MAGAZZINO!$B$2:$M$4838,12,FALSE)</f>
        <v/>
      </c>
    </row>
    <row r="731" ht="36" customHeight="1">
      <c r="A731" s="30">
        <f>+REGISTRO!A714</f>
        <v/>
      </c>
      <c r="B731" s="31">
        <f>+VLOOKUP($A731,MAGAZZINO!$B$2:$M$4838,2,FALSE)</f>
        <v/>
      </c>
      <c r="C731" s="32">
        <f>+VLOOKUP($A731,MAGAZZINO!$B$2:$M$4838,3,FALSE)</f>
        <v/>
      </c>
      <c r="D731" s="17">
        <f>+VLOOKUP($A731,MAGAZZINO!$B$2:$M$4838,4,FALSE)</f>
        <v/>
      </c>
      <c r="E731" s="17">
        <f>+VLOOKUP($A731,MAGAZZINO!$B$2:$M$4838,5,FALSE)</f>
        <v/>
      </c>
      <c r="F731" s="17">
        <f>+VLOOKUP($A731,MAGAZZINO!$B$2:$M$4838,6,FALSE)</f>
        <v/>
      </c>
      <c r="G731" s="17">
        <f>+VLOOKUP($A731,MAGAZZINO!$B$2:$M$4838,7,FALSE)</f>
        <v/>
      </c>
      <c r="H731" s="17">
        <f>+VLOOKUP($A731,MAGAZZINO!$B$2:$M$4838,8,FALSE)</f>
        <v/>
      </c>
      <c r="I731" s="17">
        <f>+VLOOKUP($A731,MAGAZZINO!$B$2:$M$4838,9,FALSE)</f>
        <v/>
      </c>
      <c r="J731" s="17">
        <f>+VLOOKUP($A731,MAGAZZINO!$B$2:$M$4838,10,FALSE)</f>
        <v/>
      </c>
      <c r="K731" s="17">
        <f>+VLOOKUP($A731,MAGAZZINO!$B$2:$M$4838,11,FALSE)</f>
        <v/>
      </c>
      <c r="L731" s="44">
        <f>+VLOOKUP($A731,MAGAZZINO!$B$2:$M$4838,12,FALSE)</f>
        <v/>
      </c>
    </row>
    <row r="732" ht="36" customHeight="1">
      <c r="A732" s="30">
        <f>+REGISTRO!A715</f>
        <v/>
      </c>
      <c r="B732" s="31">
        <f>+VLOOKUP($A732,MAGAZZINO!$B$2:$M$4838,2,FALSE)</f>
        <v/>
      </c>
      <c r="C732" s="32">
        <f>+VLOOKUP($A732,MAGAZZINO!$B$2:$M$4838,3,FALSE)</f>
        <v/>
      </c>
      <c r="D732" s="17">
        <f>+VLOOKUP($A732,MAGAZZINO!$B$2:$M$4838,4,FALSE)</f>
        <v/>
      </c>
      <c r="E732" s="17">
        <f>+VLOOKUP($A732,MAGAZZINO!$B$2:$M$4838,5,FALSE)</f>
        <v/>
      </c>
      <c r="F732" s="17">
        <f>+VLOOKUP($A732,MAGAZZINO!$B$2:$M$4838,6,FALSE)</f>
        <v/>
      </c>
      <c r="G732" s="17">
        <f>+VLOOKUP($A732,MAGAZZINO!$B$2:$M$4838,7,FALSE)</f>
        <v/>
      </c>
      <c r="H732" s="17">
        <f>+VLOOKUP($A732,MAGAZZINO!$B$2:$M$4838,8,FALSE)</f>
        <v/>
      </c>
      <c r="I732" s="17">
        <f>+VLOOKUP($A732,MAGAZZINO!$B$2:$M$4838,9,FALSE)</f>
        <v/>
      </c>
      <c r="J732" s="17">
        <f>+VLOOKUP($A732,MAGAZZINO!$B$2:$M$4838,10,FALSE)</f>
        <v/>
      </c>
      <c r="K732" s="17">
        <f>+VLOOKUP($A732,MAGAZZINO!$B$2:$M$4838,11,FALSE)</f>
        <v/>
      </c>
      <c r="L732" s="44">
        <f>+VLOOKUP($A732,MAGAZZINO!$B$2:$M$4838,12,FALSE)</f>
        <v/>
      </c>
    </row>
    <row r="733" ht="36" customHeight="1">
      <c r="A733" s="30">
        <f>+REGISTRO!A716</f>
        <v/>
      </c>
      <c r="B733" s="31">
        <f>+VLOOKUP($A733,MAGAZZINO!$B$2:$M$4838,2,FALSE)</f>
        <v/>
      </c>
      <c r="C733" s="32">
        <f>+VLOOKUP($A733,MAGAZZINO!$B$2:$M$4838,3,FALSE)</f>
        <v/>
      </c>
      <c r="D733" s="17">
        <f>+VLOOKUP($A733,MAGAZZINO!$B$2:$M$4838,4,FALSE)</f>
        <v/>
      </c>
      <c r="E733" s="17">
        <f>+VLOOKUP($A733,MAGAZZINO!$B$2:$M$4838,5,FALSE)</f>
        <v/>
      </c>
      <c r="F733" s="17">
        <f>+VLOOKUP($A733,MAGAZZINO!$B$2:$M$4838,6,FALSE)</f>
        <v/>
      </c>
      <c r="G733" s="17">
        <f>+VLOOKUP($A733,MAGAZZINO!$B$2:$M$4838,7,FALSE)</f>
        <v/>
      </c>
      <c r="H733" s="17">
        <f>+VLOOKUP($A733,MAGAZZINO!$B$2:$M$4838,8,FALSE)</f>
        <v/>
      </c>
      <c r="I733" s="17">
        <f>+VLOOKUP($A733,MAGAZZINO!$B$2:$M$4838,9,FALSE)</f>
        <v/>
      </c>
      <c r="J733" s="17">
        <f>+VLOOKUP($A733,MAGAZZINO!$B$2:$M$4838,10,FALSE)</f>
        <v/>
      </c>
      <c r="K733" s="17">
        <f>+VLOOKUP($A733,MAGAZZINO!$B$2:$M$4838,11,FALSE)</f>
        <v/>
      </c>
      <c r="L733" s="44">
        <f>+VLOOKUP($A733,MAGAZZINO!$B$2:$M$4838,12,FALSE)</f>
        <v/>
      </c>
    </row>
    <row r="734" ht="36" customHeight="1">
      <c r="A734" s="30">
        <f>+REGISTRO!A717</f>
        <v/>
      </c>
      <c r="B734" s="31">
        <f>+VLOOKUP($A734,MAGAZZINO!$B$2:$M$4838,2,FALSE)</f>
        <v/>
      </c>
      <c r="C734" s="32">
        <f>+VLOOKUP($A734,MAGAZZINO!$B$2:$M$4838,3,FALSE)</f>
        <v/>
      </c>
      <c r="D734" s="17">
        <f>+VLOOKUP($A734,MAGAZZINO!$B$2:$M$4838,4,FALSE)</f>
        <v/>
      </c>
      <c r="E734" s="17">
        <f>+VLOOKUP($A734,MAGAZZINO!$B$2:$M$4838,5,FALSE)</f>
        <v/>
      </c>
      <c r="F734" s="17">
        <f>+VLOOKUP($A734,MAGAZZINO!$B$2:$M$4838,6,FALSE)</f>
        <v/>
      </c>
      <c r="G734" s="17">
        <f>+VLOOKUP($A734,MAGAZZINO!$B$2:$M$4838,7,FALSE)</f>
        <v/>
      </c>
      <c r="H734" s="17">
        <f>+VLOOKUP($A734,MAGAZZINO!$B$2:$M$4838,8,FALSE)</f>
        <v/>
      </c>
      <c r="I734" s="17">
        <f>+VLOOKUP($A734,MAGAZZINO!$B$2:$M$4838,9,FALSE)</f>
        <v/>
      </c>
      <c r="J734" s="17">
        <f>+VLOOKUP($A734,MAGAZZINO!$B$2:$M$4838,10,FALSE)</f>
        <v/>
      </c>
      <c r="K734" s="17">
        <f>+VLOOKUP($A734,MAGAZZINO!$B$2:$M$4838,11,FALSE)</f>
        <v/>
      </c>
      <c r="L734" s="44">
        <f>+VLOOKUP($A734,MAGAZZINO!$B$2:$M$4838,12,FALSE)</f>
        <v/>
      </c>
    </row>
    <row r="735" ht="36" customHeight="1">
      <c r="A735" s="30">
        <f>+REGISTRO!A718</f>
        <v/>
      </c>
      <c r="B735" s="31">
        <f>+VLOOKUP($A735,MAGAZZINO!$B$2:$M$4838,2,FALSE)</f>
        <v/>
      </c>
      <c r="C735" s="32">
        <f>+VLOOKUP($A735,MAGAZZINO!$B$2:$M$4838,3,FALSE)</f>
        <v/>
      </c>
      <c r="D735" s="17">
        <f>+VLOOKUP($A735,MAGAZZINO!$B$2:$M$4838,4,FALSE)</f>
        <v/>
      </c>
      <c r="E735" s="17">
        <f>+VLOOKUP($A735,MAGAZZINO!$B$2:$M$4838,5,FALSE)</f>
        <v/>
      </c>
      <c r="F735" s="17">
        <f>+VLOOKUP($A735,MAGAZZINO!$B$2:$M$4838,6,FALSE)</f>
        <v/>
      </c>
      <c r="G735" s="17">
        <f>+VLOOKUP($A735,MAGAZZINO!$B$2:$M$4838,7,FALSE)</f>
        <v/>
      </c>
      <c r="H735" s="17">
        <f>+VLOOKUP($A735,MAGAZZINO!$B$2:$M$4838,8,FALSE)</f>
        <v/>
      </c>
      <c r="I735" s="17">
        <f>+VLOOKUP($A735,MAGAZZINO!$B$2:$M$4838,9,FALSE)</f>
        <v/>
      </c>
      <c r="J735" s="17">
        <f>+VLOOKUP($A735,MAGAZZINO!$B$2:$M$4838,10,FALSE)</f>
        <v/>
      </c>
      <c r="K735" s="17">
        <f>+VLOOKUP($A735,MAGAZZINO!$B$2:$M$4838,11,FALSE)</f>
        <v/>
      </c>
      <c r="L735" s="44">
        <f>+VLOOKUP($A735,MAGAZZINO!$B$2:$M$4838,12,FALSE)</f>
        <v/>
      </c>
    </row>
    <row r="736" ht="36" customHeight="1">
      <c r="A736" s="30">
        <f>+REGISTRO!A719</f>
        <v/>
      </c>
      <c r="B736" s="31">
        <f>+VLOOKUP($A736,MAGAZZINO!$B$2:$M$4838,2,FALSE)</f>
        <v/>
      </c>
      <c r="C736" s="32">
        <f>+VLOOKUP($A736,MAGAZZINO!$B$2:$M$4838,3,FALSE)</f>
        <v/>
      </c>
      <c r="D736" s="17">
        <f>+VLOOKUP($A736,MAGAZZINO!$B$2:$M$4838,4,FALSE)</f>
        <v/>
      </c>
      <c r="E736" s="17">
        <f>+VLOOKUP($A736,MAGAZZINO!$B$2:$M$4838,5,FALSE)</f>
        <v/>
      </c>
      <c r="F736" s="17">
        <f>+VLOOKUP($A736,MAGAZZINO!$B$2:$M$4838,6,FALSE)</f>
        <v/>
      </c>
      <c r="G736" s="17">
        <f>+VLOOKUP($A736,MAGAZZINO!$B$2:$M$4838,7,FALSE)</f>
        <v/>
      </c>
      <c r="H736" s="17">
        <f>+VLOOKUP($A736,MAGAZZINO!$B$2:$M$4838,8,FALSE)</f>
        <v/>
      </c>
      <c r="I736" s="17">
        <f>+VLOOKUP($A736,MAGAZZINO!$B$2:$M$4838,9,FALSE)</f>
        <v/>
      </c>
      <c r="J736" s="17">
        <f>+VLOOKUP($A736,MAGAZZINO!$B$2:$M$4838,10,FALSE)</f>
        <v/>
      </c>
      <c r="K736" s="17">
        <f>+VLOOKUP($A736,MAGAZZINO!$B$2:$M$4838,11,FALSE)</f>
        <v/>
      </c>
      <c r="L736" s="44">
        <f>+VLOOKUP($A736,MAGAZZINO!$B$2:$M$4838,12,FALSE)</f>
        <v/>
      </c>
    </row>
    <row r="737" ht="36" customHeight="1">
      <c r="A737" s="30">
        <f>+REGISTRO!A720</f>
        <v/>
      </c>
      <c r="B737" s="31">
        <f>+VLOOKUP($A737,MAGAZZINO!$B$2:$M$4838,2,FALSE)</f>
        <v/>
      </c>
      <c r="C737" s="32">
        <f>+VLOOKUP($A737,MAGAZZINO!$B$2:$M$4838,3,FALSE)</f>
        <v/>
      </c>
      <c r="D737" s="17">
        <f>+VLOOKUP($A737,MAGAZZINO!$B$2:$M$4838,4,FALSE)</f>
        <v/>
      </c>
      <c r="E737" s="17">
        <f>+VLOOKUP($A737,MAGAZZINO!$B$2:$M$4838,5,FALSE)</f>
        <v/>
      </c>
      <c r="F737" s="17">
        <f>+VLOOKUP($A737,MAGAZZINO!$B$2:$M$4838,6,FALSE)</f>
        <v/>
      </c>
      <c r="G737" s="17">
        <f>+VLOOKUP($A737,MAGAZZINO!$B$2:$M$4838,7,FALSE)</f>
        <v/>
      </c>
      <c r="H737" s="17">
        <f>+VLOOKUP($A737,MAGAZZINO!$B$2:$M$4838,8,FALSE)</f>
        <v/>
      </c>
      <c r="I737" s="17">
        <f>+VLOOKUP($A737,MAGAZZINO!$B$2:$M$4838,9,FALSE)</f>
        <v/>
      </c>
      <c r="J737" s="17">
        <f>+VLOOKUP($A737,MAGAZZINO!$B$2:$M$4838,10,FALSE)</f>
        <v/>
      </c>
      <c r="K737" s="17">
        <f>+VLOOKUP($A737,MAGAZZINO!$B$2:$M$4838,11,FALSE)</f>
        <v/>
      </c>
      <c r="L737" s="44">
        <f>+VLOOKUP($A737,MAGAZZINO!$B$2:$M$4838,12,FALSE)</f>
        <v/>
      </c>
    </row>
    <row r="738" ht="36" customHeight="1">
      <c r="A738" s="30">
        <f>+REGISTRO!A721</f>
        <v/>
      </c>
      <c r="B738" s="31">
        <f>+VLOOKUP($A738,MAGAZZINO!$B$2:$M$4838,2,FALSE)</f>
        <v/>
      </c>
      <c r="C738" s="32">
        <f>+VLOOKUP($A738,MAGAZZINO!$B$2:$M$4838,3,FALSE)</f>
        <v/>
      </c>
      <c r="D738" s="17">
        <f>+VLOOKUP($A738,MAGAZZINO!$B$2:$M$4838,4,FALSE)</f>
        <v/>
      </c>
      <c r="E738" s="17">
        <f>+VLOOKUP($A738,MAGAZZINO!$B$2:$M$4838,5,FALSE)</f>
        <v/>
      </c>
      <c r="F738" s="17">
        <f>+VLOOKUP($A738,MAGAZZINO!$B$2:$M$4838,6,FALSE)</f>
        <v/>
      </c>
      <c r="G738" s="17">
        <f>+VLOOKUP($A738,MAGAZZINO!$B$2:$M$4838,7,FALSE)</f>
        <v/>
      </c>
      <c r="H738" s="17">
        <f>+VLOOKUP($A738,MAGAZZINO!$B$2:$M$4838,8,FALSE)</f>
        <v/>
      </c>
      <c r="I738" s="17">
        <f>+VLOOKUP($A738,MAGAZZINO!$B$2:$M$4838,9,FALSE)</f>
        <v/>
      </c>
      <c r="J738" s="17">
        <f>+VLOOKUP($A738,MAGAZZINO!$B$2:$M$4838,10,FALSE)</f>
        <v/>
      </c>
      <c r="K738" s="17">
        <f>+VLOOKUP($A738,MAGAZZINO!$B$2:$M$4838,11,FALSE)</f>
        <v/>
      </c>
      <c r="L738" s="44">
        <f>+VLOOKUP($A738,MAGAZZINO!$B$2:$M$4838,12,FALSE)</f>
        <v/>
      </c>
    </row>
    <row r="739" ht="36" customHeight="1">
      <c r="A739" s="30">
        <f>+REGISTRO!A722</f>
        <v/>
      </c>
      <c r="B739" s="31">
        <f>+VLOOKUP($A739,MAGAZZINO!$B$2:$M$4838,2,FALSE)</f>
        <v/>
      </c>
      <c r="C739" s="32">
        <f>+VLOOKUP($A739,MAGAZZINO!$B$2:$M$4838,3,FALSE)</f>
        <v/>
      </c>
      <c r="D739" s="17">
        <f>+VLOOKUP($A739,MAGAZZINO!$B$2:$M$4838,4,FALSE)</f>
        <v/>
      </c>
      <c r="E739" s="17">
        <f>+VLOOKUP($A739,MAGAZZINO!$B$2:$M$4838,5,FALSE)</f>
        <v/>
      </c>
      <c r="F739" s="17">
        <f>+VLOOKUP($A739,MAGAZZINO!$B$2:$M$4838,6,FALSE)</f>
        <v/>
      </c>
      <c r="G739" s="17">
        <f>+VLOOKUP($A739,MAGAZZINO!$B$2:$M$4838,7,FALSE)</f>
        <v/>
      </c>
      <c r="H739" s="17">
        <f>+VLOOKUP($A739,MAGAZZINO!$B$2:$M$4838,8,FALSE)</f>
        <v/>
      </c>
      <c r="I739" s="17">
        <f>+VLOOKUP($A739,MAGAZZINO!$B$2:$M$4838,9,FALSE)</f>
        <v/>
      </c>
      <c r="J739" s="17">
        <f>+VLOOKUP($A739,MAGAZZINO!$B$2:$M$4838,10,FALSE)</f>
        <v/>
      </c>
      <c r="K739" s="17">
        <f>+VLOOKUP($A739,MAGAZZINO!$B$2:$M$4838,11,FALSE)</f>
        <v/>
      </c>
      <c r="L739" s="44">
        <f>+VLOOKUP($A739,MAGAZZINO!$B$2:$M$4838,12,FALSE)</f>
        <v/>
      </c>
    </row>
    <row r="740" ht="36" customHeight="1">
      <c r="A740" s="30">
        <f>+REGISTRO!A723</f>
        <v/>
      </c>
      <c r="B740" s="31">
        <f>+VLOOKUP($A740,MAGAZZINO!$B$2:$M$4838,2,FALSE)</f>
        <v/>
      </c>
      <c r="C740" s="32">
        <f>+VLOOKUP($A740,MAGAZZINO!$B$2:$M$4838,3,FALSE)</f>
        <v/>
      </c>
      <c r="D740" s="17">
        <f>+VLOOKUP($A740,MAGAZZINO!$B$2:$M$4838,4,FALSE)</f>
        <v/>
      </c>
      <c r="E740" s="17">
        <f>+VLOOKUP($A740,MAGAZZINO!$B$2:$M$4838,5,FALSE)</f>
        <v/>
      </c>
      <c r="F740" s="17">
        <f>+VLOOKUP($A740,MAGAZZINO!$B$2:$M$4838,6,FALSE)</f>
        <v/>
      </c>
      <c r="G740" s="17">
        <f>+VLOOKUP($A740,MAGAZZINO!$B$2:$M$4838,7,FALSE)</f>
        <v/>
      </c>
      <c r="H740" s="17">
        <f>+VLOOKUP($A740,MAGAZZINO!$B$2:$M$4838,8,FALSE)</f>
        <v/>
      </c>
      <c r="I740" s="17">
        <f>+VLOOKUP($A740,MAGAZZINO!$B$2:$M$4838,9,FALSE)</f>
        <v/>
      </c>
      <c r="J740" s="17">
        <f>+VLOOKUP($A740,MAGAZZINO!$B$2:$M$4838,10,FALSE)</f>
        <v/>
      </c>
      <c r="K740" s="17">
        <f>+VLOOKUP($A740,MAGAZZINO!$B$2:$M$4838,11,FALSE)</f>
        <v/>
      </c>
      <c r="L740" s="44">
        <f>+VLOOKUP($A740,MAGAZZINO!$B$2:$M$4838,12,FALSE)</f>
        <v/>
      </c>
    </row>
    <row r="741" ht="36" customHeight="1">
      <c r="A741" s="30">
        <f>+REGISTRO!A724</f>
        <v/>
      </c>
      <c r="B741" s="31">
        <f>+VLOOKUP($A741,MAGAZZINO!$B$2:$M$4838,2,FALSE)</f>
        <v/>
      </c>
      <c r="C741" s="32">
        <f>+VLOOKUP($A741,MAGAZZINO!$B$2:$M$4838,3,FALSE)</f>
        <v/>
      </c>
      <c r="D741" s="17">
        <f>+VLOOKUP($A741,MAGAZZINO!$B$2:$M$4838,4,FALSE)</f>
        <v/>
      </c>
      <c r="E741" s="17">
        <f>+VLOOKUP($A741,MAGAZZINO!$B$2:$M$4838,5,FALSE)</f>
        <v/>
      </c>
      <c r="F741" s="17">
        <f>+VLOOKUP($A741,MAGAZZINO!$B$2:$M$4838,6,FALSE)</f>
        <v/>
      </c>
      <c r="G741" s="17">
        <f>+VLOOKUP($A741,MAGAZZINO!$B$2:$M$4838,7,FALSE)</f>
        <v/>
      </c>
      <c r="H741" s="17">
        <f>+VLOOKUP($A741,MAGAZZINO!$B$2:$M$4838,8,FALSE)</f>
        <v/>
      </c>
      <c r="I741" s="17">
        <f>+VLOOKUP($A741,MAGAZZINO!$B$2:$M$4838,9,FALSE)</f>
        <v/>
      </c>
      <c r="J741" s="17">
        <f>+VLOOKUP($A741,MAGAZZINO!$B$2:$M$4838,10,FALSE)</f>
        <v/>
      </c>
      <c r="K741" s="17">
        <f>+VLOOKUP($A741,MAGAZZINO!$B$2:$M$4838,11,FALSE)</f>
        <v/>
      </c>
      <c r="L741" s="44">
        <f>+VLOOKUP($A741,MAGAZZINO!$B$2:$M$4838,12,FALSE)</f>
        <v/>
      </c>
    </row>
    <row r="742" ht="36" customHeight="1">
      <c r="A742" s="30">
        <f>+REGISTRO!A725</f>
        <v/>
      </c>
      <c r="B742" s="31">
        <f>+VLOOKUP($A742,MAGAZZINO!$B$2:$M$4838,2,FALSE)</f>
        <v/>
      </c>
      <c r="C742" s="32">
        <f>+VLOOKUP($A742,MAGAZZINO!$B$2:$M$4838,3,FALSE)</f>
        <v/>
      </c>
      <c r="D742" s="17">
        <f>+VLOOKUP($A742,MAGAZZINO!$B$2:$M$4838,4,FALSE)</f>
        <v/>
      </c>
      <c r="E742" s="17">
        <f>+VLOOKUP($A742,MAGAZZINO!$B$2:$M$4838,5,FALSE)</f>
        <v/>
      </c>
      <c r="F742" s="17">
        <f>+VLOOKUP($A742,MAGAZZINO!$B$2:$M$4838,6,FALSE)</f>
        <v/>
      </c>
      <c r="G742" s="17">
        <f>+VLOOKUP($A742,MAGAZZINO!$B$2:$M$4838,7,FALSE)</f>
        <v/>
      </c>
      <c r="H742" s="17">
        <f>+VLOOKUP($A742,MAGAZZINO!$B$2:$M$4838,8,FALSE)</f>
        <v/>
      </c>
      <c r="I742" s="17">
        <f>+VLOOKUP($A742,MAGAZZINO!$B$2:$M$4838,9,FALSE)</f>
        <v/>
      </c>
      <c r="J742" s="17">
        <f>+VLOOKUP($A742,MAGAZZINO!$B$2:$M$4838,10,FALSE)</f>
        <v/>
      </c>
      <c r="K742" s="17">
        <f>+VLOOKUP($A742,MAGAZZINO!$B$2:$M$4838,11,FALSE)</f>
        <v/>
      </c>
      <c r="L742" s="44">
        <f>+VLOOKUP($A742,MAGAZZINO!$B$2:$M$4838,12,FALSE)</f>
        <v/>
      </c>
    </row>
    <row r="743" ht="36" customHeight="1">
      <c r="A743" s="30">
        <f>+REGISTRO!A726</f>
        <v/>
      </c>
      <c r="B743" s="31">
        <f>+VLOOKUP($A743,MAGAZZINO!$B$2:$M$4838,2,FALSE)</f>
        <v/>
      </c>
      <c r="C743" s="32">
        <f>+VLOOKUP($A743,MAGAZZINO!$B$2:$M$4838,3,FALSE)</f>
        <v/>
      </c>
      <c r="D743" s="17">
        <f>+VLOOKUP($A743,MAGAZZINO!$B$2:$M$4838,4,FALSE)</f>
        <v/>
      </c>
      <c r="E743" s="17">
        <f>+VLOOKUP($A743,MAGAZZINO!$B$2:$M$4838,5,FALSE)</f>
        <v/>
      </c>
      <c r="F743" s="17">
        <f>+VLOOKUP($A743,MAGAZZINO!$B$2:$M$4838,6,FALSE)</f>
        <v/>
      </c>
      <c r="G743" s="17">
        <f>+VLOOKUP($A743,MAGAZZINO!$B$2:$M$4838,7,FALSE)</f>
        <v/>
      </c>
      <c r="H743" s="17">
        <f>+VLOOKUP($A743,MAGAZZINO!$B$2:$M$4838,8,FALSE)</f>
        <v/>
      </c>
      <c r="I743" s="17">
        <f>+VLOOKUP($A743,MAGAZZINO!$B$2:$M$4838,9,FALSE)</f>
        <v/>
      </c>
      <c r="J743" s="17">
        <f>+VLOOKUP($A743,MAGAZZINO!$B$2:$M$4838,10,FALSE)</f>
        <v/>
      </c>
      <c r="K743" s="17">
        <f>+VLOOKUP($A743,MAGAZZINO!$B$2:$M$4838,11,FALSE)</f>
        <v/>
      </c>
      <c r="L743" s="44">
        <f>+VLOOKUP($A743,MAGAZZINO!$B$2:$M$4838,12,FALSE)</f>
        <v/>
      </c>
    </row>
    <row r="744" ht="36" customHeight="1">
      <c r="A744" s="30">
        <f>+REGISTRO!A727</f>
        <v/>
      </c>
      <c r="B744" s="31">
        <f>+VLOOKUP($A744,MAGAZZINO!$B$2:$M$4838,2,FALSE)</f>
        <v/>
      </c>
      <c r="C744" s="32">
        <f>+VLOOKUP($A744,MAGAZZINO!$B$2:$M$4838,3,FALSE)</f>
        <v/>
      </c>
      <c r="D744" s="17">
        <f>+VLOOKUP($A744,MAGAZZINO!$B$2:$M$4838,4,FALSE)</f>
        <v/>
      </c>
      <c r="E744" s="17">
        <f>+VLOOKUP($A744,MAGAZZINO!$B$2:$M$4838,5,FALSE)</f>
        <v/>
      </c>
      <c r="F744" s="17">
        <f>+VLOOKUP($A744,MAGAZZINO!$B$2:$M$4838,6,FALSE)</f>
        <v/>
      </c>
      <c r="G744" s="17">
        <f>+VLOOKUP($A744,MAGAZZINO!$B$2:$M$4838,7,FALSE)</f>
        <v/>
      </c>
      <c r="H744" s="17">
        <f>+VLOOKUP($A744,MAGAZZINO!$B$2:$M$4838,8,FALSE)</f>
        <v/>
      </c>
      <c r="I744" s="17">
        <f>+VLOOKUP($A744,MAGAZZINO!$B$2:$M$4838,9,FALSE)</f>
        <v/>
      </c>
      <c r="J744" s="17">
        <f>+VLOOKUP($A744,MAGAZZINO!$B$2:$M$4838,10,FALSE)</f>
        <v/>
      </c>
      <c r="K744" s="17">
        <f>+VLOOKUP($A744,MAGAZZINO!$B$2:$M$4838,11,FALSE)</f>
        <v/>
      </c>
      <c r="L744" s="44">
        <f>+VLOOKUP($A744,MAGAZZINO!$B$2:$M$4838,12,FALSE)</f>
        <v/>
      </c>
    </row>
    <row r="745" ht="36" customHeight="1">
      <c r="A745" s="30">
        <f>+REGISTRO!A728</f>
        <v/>
      </c>
      <c r="B745" s="31">
        <f>+VLOOKUP($A745,MAGAZZINO!$B$2:$M$4838,2,FALSE)</f>
        <v/>
      </c>
      <c r="C745" s="32">
        <f>+VLOOKUP($A745,MAGAZZINO!$B$2:$M$4838,3,FALSE)</f>
        <v/>
      </c>
      <c r="D745" s="17">
        <f>+VLOOKUP($A745,MAGAZZINO!$B$2:$M$4838,4,FALSE)</f>
        <v/>
      </c>
      <c r="E745" s="17">
        <f>+VLOOKUP($A745,MAGAZZINO!$B$2:$M$4838,5,FALSE)</f>
        <v/>
      </c>
      <c r="F745" s="17">
        <f>+VLOOKUP($A745,MAGAZZINO!$B$2:$M$4838,6,FALSE)</f>
        <v/>
      </c>
      <c r="G745" s="17">
        <f>+VLOOKUP($A745,MAGAZZINO!$B$2:$M$4838,7,FALSE)</f>
        <v/>
      </c>
      <c r="H745" s="17">
        <f>+VLOOKUP($A745,MAGAZZINO!$B$2:$M$4838,8,FALSE)</f>
        <v/>
      </c>
      <c r="I745" s="17">
        <f>+VLOOKUP($A745,MAGAZZINO!$B$2:$M$4838,9,FALSE)</f>
        <v/>
      </c>
      <c r="J745" s="17">
        <f>+VLOOKUP($A745,MAGAZZINO!$B$2:$M$4838,10,FALSE)</f>
        <v/>
      </c>
      <c r="K745" s="17">
        <f>+VLOOKUP($A745,MAGAZZINO!$B$2:$M$4838,11,FALSE)</f>
        <v/>
      </c>
      <c r="L745" s="44">
        <f>+VLOOKUP($A745,MAGAZZINO!$B$2:$M$4838,12,FALSE)</f>
        <v/>
      </c>
    </row>
    <row r="746" ht="36" customHeight="1">
      <c r="A746" s="30">
        <f>+REGISTRO!A729</f>
        <v/>
      </c>
      <c r="B746" s="31">
        <f>+VLOOKUP($A746,MAGAZZINO!$B$2:$M$4838,2,FALSE)</f>
        <v/>
      </c>
      <c r="C746" s="32">
        <f>+VLOOKUP($A746,MAGAZZINO!$B$2:$M$4838,3,FALSE)</f>
        <v/>
      </c>
      <c r="D746" s="17">
        <f>+VLOOKUP($A746,MAGAZZINO!$B$2:$M$4838,4,FALSE)</f>
        <v/>
      </c>
      <c r="E746" s="17">
        <f>+VLOOKUP($A746,MAGAZZINO!$B$2:$M$4838,5,FALSE)</f>
        <v/>
      </c>
      <c r="F746" s="17">
        <f>+VLOOKUP($A746,MAGAZZINO!$B$2:$M$4838,6,FALSE)</f>
        <v/>
      </c>
      <c r="G746" s="17">
        <f>+VLOOKUP($A746,MAGAZZINO!$B$2:$M$4838,7,FALSE)</f>
        <v/>
      </c>
      <c r="H746" s="17">
        <f>+VLOOKUP($A746,MAGAZZINO!$B$2:$M$4838,8,FALSE)</f>
        <v/>
      </c>
      <c r="I746" s="17">
        <f>+VLOOKUP($A746,MAGAZZINO!$B$2:$M$4838,9,FALSE)</f>
        <v/>
      </c>
      <c r="J746" s="17">
        <f>+VLOOKUP($A746,MAGAZZINO!$B$2:$M$4838,10,FALSE)</f>
        <v/>
      </c>
      <c r="K746" s="17">
        <f>+VLOOKUP($A746,MAGAZZINO!$B$2:$M$4838,11,FALSE)</f>
        <v/>
      </c>
      <c r="L746" s="44">
        <f>+VLOOKUP($A746,MAGAZZINO!$B$2:$M$4838,12,FALSE)</f>
        <v/>
      </c>
    </row>
    <row r="747" ht="36" customHeight="1">
      <c r="A747" s="30">
        <f>+REGISTRO!A730</f>
        <v/>
      </c>
      <c r="B747" s="31">
        <f>+VLOOKUP($A747,MAGAZZINO!$B$2:$M$4838,2,FALSE)</f>
        <v/>
      </c>
      <c r="C747" s="32">
        <f>+VLOOKUP($A747,MAGAZZINO!$B$2:$M$4838,3,FALSE)</f>
        <v/>
      </c>
      <c r="D747" s="17">
        <f>+VLOOKUP($A747,MAGAZZINO!$B$2:$M$4838,4,FALSE)</f>
        <v/>
      </c>
      <c r="E747" s="17">
        <f>+VLOOKUP($A747,MAGAZZINO!$B$2:$M$4838,5,FALSE)</f>
        <v/>
      </c>
      <c r="F747" s="17">
        <f>+VLOOKUP($A747,MAGAZZINO!$B$2:$M$4838,6,FALSE)</f>
        <v/>
      </c>
      <c r="G747" s="17">
        <f>+VLOOKUP($A747,MAGAZZINO!$B$2:$M$4838,7,FALSE)</f>
        <v/>
      </c>
      <c r="H747" s="17">
        <f>+VLOOKUP($A747,MAGAZZINO!$B$2:$M$4838,8,FALSE)</f>
        <v/>
      </c>
      <c r="I747" s="17">
        <f>+VLOOKUP($A747,MAGAZZINO!$B$2:$M$4838,9,FALSE)</f>
        <v/>
      </c>
      <c r="J747" s="17">
        <f>+VLOOKUP($A747,MAGAZZINO!$B$2:$M$4838,10,FALSE)</f>
        <v/>
      </c>
      <c r="K747" s="17">
        <f>+VLOOKUP($A747,MAGAZZINO!$B$2:$M$4838,11,FALSE)</f>
        <v/>
      </c>
      <c r="L747" s="44">
        <f>+VLOOKUP($A747,MAGAZZINO!$B$2:$M$4838,12,FALSE)</f>
        <v/>
      </c>
    </row>
    <row r="748" ht="36" customHeight="1">
      <c r="A748" s="30">
        <f>+REGISTRO!A731</f>
        <v/>
      </c>
      <c r="B748" s="31">
        <f>+VLOOKUP($A748,MAGAZZINO!$B$2:$M$4838,2,FALSE)</f>
        <v/>
      </c>
      <c r="C748" s="32">
        <f>+VLOOKUP($A748,MAGAZZINO!$B$2:$M$4838,3,FALSE)</f>
        <v/>
      </c>
      <c r="D748" s="17">
        <f>+VLOOKUP($A748,MAGAZZINO!$B$2:$M$4838,4,FALSE)</f>
        <v/>
      </c>
      <c r="E748" s="17">
        <f>+VLOOKUP($A748,MAGAZZINO!$B$2:$M$4838,5,FALSE)</f>
        <v/>
      </c>
      <c r="F748" s="17">
        <f>+VLOOKUP($A748,MAGAZZINO!$B$2:$M$4838,6,FALSE)</f>
        <v/>
      </c>
      <c r="G748" s="17">
        <f>+VLOOKUP($A748,MAGAZZINO!$B$2:$M$4838,7,FALSE)</f>
        <v/>
      </c>
      <c r="H748" s="17">
        <f>+VLOOKUP($A748,MAGAZZINO!$B$2:$M$4838,8,FALSE)</f>
        <v/>
      </c>
      <c r="I748" s="17">
        <f>+VLOOKUP($A748,MAGAZZINO!$B$2:$M$4838,9,FALSE)</f>
        <v/>
      </c>
      <c r="J748" s="17">
        <f>+VLOOKUP($A748,MAGAZZINO!$B$2:$M$4838,10,FALSE)</f>
        <v/>
      </c>
      <c r="K748" s="17">
        <f>+VLOOKUP($A748,MAGAZZINO!$B$2:$M$4838,11,FALSE)</f>
        <v/>
      </c>
      <c r="L748" s="44">
        <f>+VLOOKUP($A748,MAGAZZINO!$B$2:$M$4838,12,FALSE)</f>
        <v/>
      </c>
    </row>
    <row r="749" ht="36" customHeight="1">
      <c r="A749" s="30">
        <f>+REGISTRO!A732</f>
        <v/>
      </c>
      <c r="B749" s="31">
        <f>+VLOOKUP($A749,MAGAZZINO!$B$2:$M$4838,2,FALSE)</f>
        <v/>
      </c>
      <c r="C749" s="32">
        <f>+VLOOKUP($A749,MAGAZZINO!$B$2:$M$4838,3,FALSE)</f>
        <v/>
      </c>
      <c r="D749" s="17">
        <f>+VLOOKUP($A749,MAGAZZINO!$B$2:$M$4838,4,FALSE)</f>
        <v/>
      </c>
      <c r="E749" s="17">
        <f>+VLOOKUP($A749,MAGAZZINO!$B$2:$M$4838,5,FALSE)</f>
        <v/>
      </c>
      <c r="F749" s="17">
        <f>+VLOOKUP($A749,MAGAZZINO!$B$2:$M$4838,6,FALSE)</f>
        <v/>
      </c>
      <c r="G749" s="17">
        <f>+VLOOKUP($A749,MAGAZZINO!$B$2:$M$4838,7,FALSE)</f>
        <v/>
      </c>
      <c r="H749" s="17">
        <f>+VLOOKUP($A749,MAGAZZINO!$B$2:$M$4838,8,FALSE)</f>
        <v/>
      </c>
      <c r="I749" s="17">
        <f>+VLOOKUP($A749,MAGAZZINO!$B$2:$M$4838,9,FALSE)</f>
        <v/>
      </c>
      <c r="J749" s="17">
        <f>+VLOOKUP($A749,MAGAZZINO!$B$2:$M$4838,10,FALSE)</f>
        <v/>
      </c>
      <c r="K749" s="17">
        <f>+VLOOKUP($A749,MAGAZZINO!$B$2:$M$4838,11,FALSE)</f>
        <v/>
      </c>
      <c r="L749" s="44">
        <f>+VLOOKUP($A749,MAGAZZINO!$B$2:$M$4838,12,FALSE)</f>
        <v/>
      </c>
    </row>
    <row r="750" ht="36" customHeight="1">
      <c r="A750" s="30">
        <f>+REGISTRO!A733</f>
        <v/>
      </c>
      <c r="B750" s="31">
        <f>+VLOOKUP($A750,MAGAZZINO!$B$2:$M$4838,2,FALSE)</f>
        <v/>
      </c>
      <c r="C750" s="32">
        <f>+VLOOKUP($A750,MAGAZZINO!$B$2:$M$4838,3,FALSE)</f>
        <v/>
      </c>
      <c r="D750" s="17">
        <f>+VLOOKUP($A750,MAGAZZINO!$B$2:$M$4838,4,FALSE)</f>
        <v/>
      </c>
      <c r="E750" s="17">
        <f>+VLOOKUP($A750,MAGAZZINO!$B$2:$M$4838,5,FALSE)</f>
        <v/>
      </c>
      <c r="F750" s="17">
        <f>+VLOOKUP($A750,MAGAZZINO!$B$2:$M$4838,6,FALSE)</f>
        <v/>
      </c>
      <c r="G750" s="17">
        <f>+VLOOKUP($A750,MAGAZZINO!$B$2:$M$4838,7,FALSE)</f>
        <v/>
      </c>
      <c r="H750" s="17">
        <f>+VLOOKUP($A750,MAGAZZINO!$B$2:$M$4838,8,FALSE)</f>
        <v/>
      </c>
      <c r="I750" s="17">
        <f>+VLOOKUP($A750,MAGAZZINO!$B$2:$M$4838,9,FALSE)</f>
        <v/>
      </c>
      <c r="J750" s="17">
        <f>+VLOOKUP($A750,MAGAZZINO!$B$2:$M$4838,10,FALSE)</f>
        <v/>
      </c>
      <c r="K750" s="17">
        <f>+VLOOKUP($A750,MAGAZZINO!$B$2:$M$4838,11,FALSE)</f>
        <v/>
      </c>
      <c r="L750" s="44">
        <f>+VLOOKUP($A750,MAGAZZINO!$B$2:$M$4838,12,FALSE)</f>
        <v/>
      </c>
    </row>
    <row r="751" ht="36" customHeight="1">
      <c r="A751" s="30">
        <f>+REGISTRO!A734</f>
        <v/>
      </c>
      <c r="B751" s="31">
        <f>+VLOOKUP($A751,MAGAZZINO!$B$2:$M$4838,2,FALSE)</f>
        <v/>
      </c>
      <c r="C751" s="32">
        <f>+VLOOKUP($A751,MAGAZZINO!$B$2:$M$4838,3,FALSE)</f>
        <v/>
      </c>
      <c r="D751" s="17">
        <f>+VLOOKUP($A751,MAGAZZINO!$B$2:$M$4838,4,FALSE)</f>
        <v/>
      </c>
      <c r="E751" s="17">
        <f>+VLOOKUP($A751,MAGAZZINO!$B$2:$M$4838,5,FALSE)</f>
        <v/>
      </c>
      <c r="F751" s="17">
        <f>+VLOOKUP($A751,MAGAZZINO!$B$2:$M$4838,6,FALSE)</f>
        <v/>
      </c>
      <c r="G751" s="17">
        <f>+VLOOKUP($A751,MAGAZZINO!$B$2:$M$4838,7,FALSE)</f>
        <v/>
      </c>
      <c r="H751" s="17">
        <f>+VLOOKUP($A751,MAGAZZINO!$B$2:$M$4838,8,FALSE)</f>
        <v/>
      </c>
      <c r="I751" s="17">
        <f>+VLOOKUP($A751,MAGAZZINO!$B$2:$M$4838,9,FALSE)</f>
        <v/>
      </c>
      <c r="J751" s="17">
        <f>+VLOOKUP($A751,MAGAZZINO!$B$2:$M$4838,10,FALSE)</f>
        <v/>
      </c>
      <c r="K751" s="17">
        <f>+VLOOKUP($A751,MAGAZZINO!$B$2:$M$4838,11,FALSE)</f>
        <v/>
      </c>
      <c r="L751" s="44">
        <f>+VLOOKUP($A751,MAGAZZINO!$B$2:$M$4838,12,FALSE)</f>
        <v/>
      </c>
    </row>
    <row r="752" ht="36" customHeight="1">
      <c r="A752" s="30">
        <f>+REGISTRO!A735</f>
        <v/>
      </c>
      <c r="B752" s="31">
        <f>+VLOOKUP($A752,MAGAZZINO!$B$2:$M$4838,2,FALSE)</f>
        <v/>
      </c>
      <c r="C752" s="32">
        <f>+VLOOKUP($A752,MAGAZZINO!$B$2:$M$4838,3,FALSE)</f>
        <v/>
      </c>
      <c r="D752" s="17">
        <f>+VLOOKUP($A752,MAGAZZINO!$B$2:$M$4838,4,FALSE)</f>
        <v/>
      </c>
      <c r="E752" s="17">
        <f>+VLOOKUP($A752,MAGAZZINO!$B$2:$M$4838,5,FALSE)</f>
        <v/>
      </c>
      <c r="F752" s="17">
        <f>+VLOOKUP($A752,MAGAZZINO!$B$2:$M$4838,6,FALSE)</f>
        <v/>
      </c>
      <c r="G752" s="17">
        <f>+VLOOKUP($A752,MAGAZZINO!$B$2:$M$4838,7,FALSE)</f>
        <v/>
      </c>
      <c r="H752" s="17">
        <f>+VLOOKUP($A752,MAGAZZINO!$B$2:$M$4838,8,FALSE)</f>
        <v/>
      </c>
      <c r="I752" s="17">
        <f>+VLOOKUP($A752,MAGAZZINO!$B$2:$M$4838,9,FALSE)</f>
        <v/>
      </c>
      <c r="J752" s="17">
        <f>+VLOOKUP($A752,MAGAZZINO!$B$2:$M$4838,10,FALSE)</f>
        <v/>
      </c>
      <c r="K752" s="17">
        <f>+VLOOKUP($A752,MAGAZZINO!$B$2:$M$4838,11,FALSE)</f>
        <v/>
      </c>
      <c r="L752" s="44">
        <f>+VLOOKUP($A752,MAGAZZINO!$B$2:$M$4838,12,FALSE)</f>
        <v/>
      </c>
    </row>
    <row r="753" ht="36" customHeight="1">
      <c r="A753" s="30">
        <f>+REGISTRO!A736</f>
        <v/>
      </c>
      <c r="B753" s="31">
        <f>+VLOOKUP($A753,MAGAZZINO!$B$2:$M$4838,2,FALSE)</f>
        <v/>
      </c>
      <c r="C753" s="32">
        <f>+VLOOKUP($A753,MAGAZZINO!$B$2:$M$4838,3,FALSE)</f>
        <v/>
      </c>
      <c r="D753" s="17">
        <f>+VLOOKUP($A753,MAGAZZINO!$B$2:$M$4838,4,FALSE)</f>
        <v/>
      </c>
      <c r="E753" s="17">
        <f>+VLOOKUP($A753,MAGAZZINO!$B$2:$M$4838,5,FALSE)</f>
        <v/>
      </c>
      <c r="F753" s="17">
        <f>+VLOOKUP($A753,MAGAZZINO!$B$2:$M$4838,6,FALSE)</f>
        <v/>
      </c>
      <c r="G753" s="17">
        <f>+VLOOKUP($A753,MAGAZZINO!$B$2:$M$4838,7,FALSE)</f>
        <v/>
      </c>
      <c r="H753" s="17">
        <f>+VLOOKUP($A753,MAGAZZINO!$B$2:$M$4838,8,FALSE)</f>
        <v/>
      </c>
      <c r="I753" s="17">
        <f>+VLOOKUP($A753,MAGAZZINO!$B$2:$M$4838,9,FALSE)</f>
        <v/>
      </c>
      <c r="J753" s="17">
        <f>+VLOOKUP($A753,MAGAZZINO!$B$2:$M$4838,10,FALSE)</f>
        <v/>
      </c>
      <c r="K753" s="17">
        <f>+VLOOKUP($A753,MAGAZZINO!$B$2:$M$4838,11,FALSE)</f>
        <v/>
      </c>
      <c r="L753" s="44">
        <f>+VLOOKUP($A753,MAGAZZINO!$B$2:$M$4838,12,FALSE)</f>
        <v/>
      </c>
    </row>
    <row r="754" ht="36" customHeight="1">
      <c r="A754" s="30">
        <f>+REGISTRO!A737</f>
        <v/>
      </c>
      <c r="B754" s="31">
        <f>+VLOOKUP($A754,MAGAZZINO!$B$2:$M$4838,2,FALSE)</f>
        <v/>
      </c>
      <c r="C754" s="32">
        <f>+VLOOKUP($A754,MAGAZZINO!$B$2:$M$4838,3,FALSE)</f>
        <v/>
      </c>
      <c r="D754" s="17">
        <f>+VLOOKUP($A754,MAGAZZINO!$B$2:$M$4838,4,FALSE)</f>
        <v/>
      </c>
      <c r="E754" s="17">
        <f>+VLOOKUP($A754,MAGAZZINO!$B$2:$M$4838,5,FALSE)</f>
        <v/>
      </c>
      <c r="F754" s="17">
        <f>+VLOOKUP($A754,MAGAZZINO!$B$2:$M$4838,6,FALSE)</f>
        <v/>
      </c>
      <c r="G754" s="17">
        <f>+VLOOKUP($A754,MAGAZZINO!$B$2:$M$4838,7,FALSE)</f>
        <v/>
      </c>
      <c r="H754" s="17">
        <f>+VLOOKUP($A754,MAGAZZINO!$B$2:$M$4838,8,FALSE)</f>
        <v/>
      </c>
      <c r="I754" s="17">
        <f>+VLOOKUP($A754,MAGAZZINO!$B$2:$M$4838,9,FALSE)</f>
        <v/>
      </c>
      <c r="J754" s="17">
        <f>+VLOOKUP($A754,MAGAZZINO!$B$2:$M$4838,10,FALSE)</f>
        <v/>
      </c>
      <c r="K754" s="17">
        <f>+VLOOKUP($A754,MAGAZZINO!$B$2:$M$4838,11,FALSE)</f>
        <v/>
      </c>
      <c r="L754" s="44">
        <f>+VLOOKUP($A754,MAGAZZINO!$B$2:$M$4838,12,FALSE)</f>
        <v/>
      </c>
    </row>
    <row r="755" ht="36" customHeight="1">
      <c r="A755" s="30">
        <f>+REGISTRO!A738</f>
        <v/>
      </c>
      <c r="B755" s="31">
        <f>+VLOOKUP($A755,MAGAZZINO!$B$2:$M$4838,2,FALSE)</f>
        <v/>
      </c>
      <c r="C755" s="32">
        <f>+VLOOKUP($A755,MAGAZZINO!$B$2:$M$4838,3,FALSE)</f>
        <v/>
      </c>
      <c r="D755" s="17">
        <f>+VLOOKUP($A755,MAGAZZINO!$B$2:$M$4838,4,FALSE)</f>
        <v/>
      </c>
      <c r="E755" s="17">
        <f>+VLOOKUP($A755,MAGAZZINO!$B$2:$M$4838,5,FALSE)</f>
        <v/>
      </c>
      <c r="F755" s="17">
        <f>+VLOOKUP($A755,MAGAZZINO!$B$2:$M$4838,6,FALSE)</f>
        <v/>
      </c>
      <c r="G755" s="17">
        <f>+VLOOKUP($A755,MAGAZZINO!$B$2:$M$4838,7,FALSE)</f>
        <v/>
      </c>
      <c r="H755" s="17">
        <f>+VLOOKUP($A755,MAGAZZINO!$B$2:$M$4838,8,FALSE)</f>
        <v/>
      </c>
      <c r="I755" s="17">
        <f>+VLOOKUP($A755,MAGAZZINO!$B$2:$M$4838,9,FALSE)</f>
        <v/>
      </c>
      <c r="J755" s="17">
        <f>+VLOOKUP($A755,MAGAZZINO!$B$2:$M$4838,10,FALSE)</f>
        <v/>
      </c>
      <c r="K755" s="17">
        <f>+VLOOKUP($A755,MAGAZZINO!$B$2:$M$4838,11,FALSE)</f>
        <v/>
      </c>
      <c r="L755" s="44">
        <f>+VLOOKUP($A755,MAGAZZINO!$B$2:$M$4838,12,FALSE)</f>
        <v/>
      </c>
    </row>
    <row r="756" ht="36" customHeight="1">
      <c r="A756" s="30">
        <f>+REGISTRO!A739</f>
        <v/>
      </c>
      <c r="B756" s="31">
        <f>+VLOOKUP($A756,MAGAZZINO!$B$2:$M$4838,2,FALSE)</f>
        <v/>
      </c>
      <c r="C756" s="32">
        <f>+VLOOKUP($A756,MAGAZZINO!$B$2:$M$4838,3,FALSE)</f>
        <v/>
      </c>
      <c r="D756" s="17">
        <f>+VLOOKUP($A756,MAGAZZINO!$B$2:$M$4838,4,FALSE)</f>
        <v/>
      </c>
      <c r="E756" s="17">
        <f>+VLOOKUP($A756,MAGAZZINO!$B$2:$M$4838,5,FALSE)</f>
        <v/>
      </c>
      <c r="F756" s="17">
        <f>+VLOOKUP($A756,MAGAZZINO!$B$2:$M$4838,6,FALSE)</f>
        <v/>
      </c>
      <c r="G756" s="17">
        <f>+VLOOKUP($A756,MAGAZZINO!$B$2:$M$4838,7,FALSE)</f>
        <v/>
      </c>
      <c r="H756" s="17">
        <f>+VLOOKUP($A756,MAGAZZINO!$B$2:$M$4838,8,FALSE)</f>
        <v/>
      </c>
      <c r="I756" s="17">
        <f>+VLOOKUP($A756,MAGAZZINO!$B$2:$M$4838,9,FALSE)</f>
        <v/>
      </c>
      <c r="J756" s="17">
        <f>+VLOOKUP($A756,MAGAZZINO!$B$2:$M$4838,10,FALSE)</f>
        <v/>
      </c>
      <c r="K756" s="17">
        <f>+VLOOKUP($A756,MAGAZZINO!$B$2:$M$4838,11,FALSE)</f>
        <v/>
      </c>
      <c r="L756" s="44">
        <f>+VLOOKUP($A756,MAGAZZINO!$B$2:$M$4838,12,FALSE)</f>
        <v/>
      </c>
    </row>
    <row r="757" ht="36" customHeight="1">
      <c r="A757" s="30">
        <f>+REGISTRO!A740</f>
        <v/>
      </c>
      <c r="B757" s="31">
        <f>+VLOOKUP($A757,MAGAZZINO!$B$2:$M$4838,2,FALSE)</f>
        <v/>
      </c>
      <c r="C757" s="32">
        <f>+VLOOKUP($A757,MAGAZZINO!$B$2:$M$4838,3,FALSE)</f>
        <v/>
      </c>
      <c r="D757" s="17">
        <f>+VLOOKUP($A757,MAGAZZINO!$B$2:$M$4838,4,FALSE)</f>
        <v/>
      </c>
      <c r="E757" s="17">
        <f>+VLOOKUP($A757,MAGAZZINO!$B$2:$M$4838,5,FALSE)</f>
        <v/>
      </c>
      <c r="F757" s="17">
        <f>+VLOOKUP($A757,MAGAZZINO!$B$2:$M$4838,6,FALSE)</f>
        <v/>
      </c>
      <c r="G757" s="17">
        <f>+VLOOKUP($A757,MAGAZZINO!$B$2:$M$4838,7,FALSE)</f>
        <v/>
      </c>
      <c r="H757" s="17">
        <f>+VLOOKUP($A757,MAGAZZINO!$B$2:$M$4838,8,FALSE)</f>
        <v/>
      </c>
      <c r="I757" s="17">
        <f>+VLOOKUP($A757,MAGAZZINO!$B$2:$M$4838,9,FALSE)</f>
        <v/>
      </c>
      <c r="J757" s="17">
        <f>+VLOOKUP($A757,MAGAZZINO!$B$2:$M$4838,10,FALSE)</f>
        <v/>
      </c>
      <c r="K757" s="17">
        <f>+VLOOKUP($A757,MAGAZZINO!$B$2:$M$4838,11,FALSE)</f>
        <v/>
      </c>
      <c r="L757" s="44">
        <f>+VLOOKUP($A757,MAGAZZINO!$B$2:$M$4838,12,FALSE)</f>
        <v/>
      </c>
    </row>
    <row r="758" ht="36" customHeight="1">
      <c r="A758" s="30">
        <f>+REGISTRO!A741</f>
        <v/>
      </c>
      <c r="B758" s="31">
        <f>+VLOOKUP($A758,MAGAZZINO!$B$2:$M$4838,2,FALSE)</f>
        <v/>
      </c>
      <c r="C758" s="32">
        <f>+VLOOKUP($A758,MAGAZZINO!$B$2:$M$4838,3,FALSE)</f>
        <v/>
      </c>
      <c r="D758" s="17">
        <f>+VLOOKUP($A758,MAGAZZINO!$B$2:$M$4838,4,FALSE)</f>
        <v/>
      </c>
      <c r="E758" s="17">
        <f>+VLOOKUP($A758,MAGAZZINO!$B$2:$M$4838,5,FALSE)</f>
        <v/>
      </c>
      <c r="F758" s="17">
        <f>+VLOOKUP($A758,MAGAZZINO!$B$2:$M$4838,6,FALSE)</f>
        <v/>
      </c>
      <c r="G758" s="17">
        <f>+VLOOKUP($A758,MAGAZZINO!$B$2:$M$4838,7,FALSE)</f>
        <v/>
      </c>
      <c r="H758" s="17">
        <f>+VLOOKUP($A758,MAGAZZINO!$B$2:$M$4838,8,FALSE)</f>
        <v/>
      </c>
      <c r="I758" s="17">
        <f>+VLOOKUP($A758,MAGAZZINO!$B$2:$M$4838,9,FALSE)</f>
        <v/>
      </c>
      <c r="J758" s="17">
        <f>+VLOOKUP($A758,MAGAZZINO!$B$2:$M$4838,10,FALSE)</f>
        <v/>
      </c>
      <c r="K758" s="17">
        <f>+VLOOKUP($A758,MAGAZZINO!$B$2:$M$4838,11,FALSE)</f>
        <v/>
      </c>
      <c r="L758" s="44">
        <f>+VLOOKUP($A758,MAGAZZINO!$B$2:$M$4838,12,FALSE)</f>
        <v/>
      </c>
    </row>
    <row r="759" ht="36" customHeight="1">
      <c r="A759" s="30">
        <f>+REGISTRO!A742</f>
        <v/>
      </c>
      <c r="B759" s="31">
        <f>+VLOOKUP($A759,MAGAZZINO!$B$2:$M$4838,2,FALSE)</f>
        <v/>
      </c>
      <c r="C759" s="32">
        <f>+VLOOKUP($A759,MAGAZZINO!$B$2:$M$4838,3,FALSE)</f>
        <v/>
      </c>
      <c r="D759" s="17">
        <f>+VLOOKUP($A759,MAGAZZINO!$B$2:$M$4838,4,FALSE)</f>
        <v/>
      </c>
      <c r="E759" s="17">
        <f>+VLOOKUP($A759,MAGAZZINO!$B$2:$M$4838,5,FALSE)</f>
        <v/>
      </c>
      <c r="F759" s="17">
        <f>+VLOOKUP($A759,MAGAZZINO!$B$2:$M$4838,6,FALSE)</f>
        <v/>
      </c>
      <c r="G759" s="17">
        <f>+VLOOKUP($A759,MAGAZZINO!$B$2:$M$4838,7,FALSE)</f>
        <v/>
      </c>
      <c r="H759" s="17">
        <f>+VLOOKUP($A759,MAGAZZINO!$B$2:$M$4838,8,FALSE)</f>
        <v/>
      </c>
      <c r="I759" s="17">
        <f>+VLOOKUP($A759,MAGAZZINO!$B$2:$M$4838,9,FALSE)</f>
        <v/>
      </c>
      <c r="J759" s="17">
        <f>+VLOOKUP($A759,MAGAZZINO!$B$2:$M$4838,10,FALSE)</f>
        <v/>
      </c>
      <c r="K759" s="17">
        <f>+VLOOKUP($A759,MAGAZZINO!$B$2:$M$4838,11,FALSE)</f>
        <v/>
      </c>
      <c r="L759" s="44">
        <f>+VLOOKUP($A759,MAGAZZINO!$B$2:$M$4838,12,FALSE)</f>
        <v/>
      </c>
    </row>
    <row r="760" ht="36" customHeight="1">
      <c r="A760" s="30">
        <f>+REGISTRO!A743</f>
        <v/>
      </c>
      <c r="B760" s="31">
        <f>+VLOOKUP($A760,MAGAZZINO!$B$2:$M$4838,2,FALSE)</f>
        <v/>
      </c>
      <c r="C760" s="32">
        <f>+VLOOKUP($A760,MAGAZZINO!$B$2:$M$4838,3,FALSE)</f>
        <v/>
      </c>
      <c r="D760" s="17">
        <f>+VLOOKUP($A760,MAGAZZINO!$B$2:$M$4838,4,FALSE)</f>
        <v/>
      </c>
      <c r="E760" s="17">
        <f>+VLOOKUP($A760,MAGAZZINO!$B$2:$M$4838,5,FALSE)</f>
        <v/>
      </c>
      <c r="F760" s="17">
        <f>+VLOOKUP($A760,MAGAZZINO!$B$2:$M$4838,6,FALSE)</f>
        <v/>
      </c>
      <c r="G760" s="17">
        <f>+VLOOKUP($A760,MAGAZZINO!$B$2:$M$4838,7,FALSE)</f>
        <v/>
      </c>
      <c r="H760" s="17">
        <f>+VLOOKUP($A760,MAGAZZINO!$B$2:$M$4838,8,FALSE)</f>
        <v/>
      </c>
      <c r="I760" s="17">
        <f>+VLOOKUP($A760,MAGAZZINO!$B$2:$M$4838,9,FALSE)</f>
        <v/>
      </c>
      <c r="J760" s="17">
        <f>+VLOOKUP($A760,MAGAZZINO!$B$2:$M$4838,10,FALSE)</f>
        <v/>
      </c>
      <c r="K760" s="17">
        <f>+VLOOKUP($A760,MAGAZZINO!$B$2:$M$4838,11,FALSE)</f>
        <v/>
      </c>
      <c r="L760" s="44">
        <f>+VLOOKUP($A760,MAGAZZINO!$B$2:$M$4838,12,FALSE)</f>
        <v/>
      </c>
    </row>
    <row r="761" ht="36" customHeight="1">
      <c r="A761" s="30">
        <f>+REGISTRO!A744</f>
        <v/>
      </c>
      <c r="B761" s="31">
        <f>+VLOOKUP($A761,MAGAZZINO!$B$2:$M$4838,2,FALSE)</f>
        <v/>
      </c>
      <c r="C761" s="32">
        <f>+VLOOKUP($A761,MAGAZZINO!$B$2:$M$4838,3,FALSE)</f>
        <v/>
      </c>
      <c r="D761" s="17">
        <f>+VLOOKUP($A761,MAGAZZINO!$B$2:$M$4838,4,FALSE)</f>
        <v/>
      </c>
      <c r="E761" s="17">
        <f>+VLOOKUP($A761,MAGAZZINO!$B$2:$M$4838,5,FALSE)</f>
        <v/>
      </c>
      <c r="F761" s="17">
        <f>+VLOOKUP($A761,MAGAZZINO!$B$2:$M$4838,6,FALSE)</f>
        <v/>
      </c>
      <c r="G761" s="17">
        <f>+VLOOKUP($A761,MAGAZZINO!$B$2:$M$4838,7,FALSE)</f>
        <v/>
      </c>
      <c r="H761" s="17">
        <f>+VLOOKUP($A761,MAGAZZINO!$B$2:$M$4838,8,FALSE)</f>
        <v/>
      </c>
      <c r="I761" s="17">
        <f>+VLOOKUP($A761,MAGAZZINO!$B$2:$M$4838,9,FALSE)</f>
        <v/>
      </c>
      <c r="J761" s="17">
        <f>+VLOOKUP($A761,MAGAZZINO!$B$2:$M$4838,10,FALSE)</f>
        <v/>
      </c>
      <c r="K761" s="17">
        <f>+VLOOKUP($A761,MAGAZZINO!$B$2:$M$4838,11,FALSE)</f>
        <v/>
      </c>
      <c r="L761" s="44">
        <f>+VLOOKUP($A761,MAGAZZINO!$B$2:$M$4838,12,FALSE)</f>
        <v/>
      </c>
    </row>
    <row r="762" ht="36" customHeight="1">
      <c r="A762" s="30">
        <f>+REGISTRO!A745</f>
        <v/>
      </c>
      <c r="B762" s="31">
        <f>+VLOOKUP($A762,MAGAZZINO!$B$2:$M$4838,2,FALSE)</f>
        <v/>
      </c>
      <c r="C762" s="32">
        <f>+VLOOKUP($A762,MAGAZZINO!$B$2:$M$4838,3,FALSE)</f>
        <v/>
      </c>
      <c r="D762" s="17">
        <f>+VLOOKUP($A762,MAGAZZINO!$B$2:$M$4838,4,FALSE)</f>
        <v/>
      </c>
      <c r="E762" s="17">
        <f>+VLOOKUP($A762,MAGAZZINO!$B$2:$M$4838,5,FALSE)</f>
        <v/>
      </c>
      <c r="F762" s="17">
        <f>+VLOOKUP($A762,MAGAZZINO!$B$2:$M$4838,6,FALSE)</f>
        <v/>
      </c>
      <c r="G762" s="17">
        <f>+VLOOKUP($A762,MAGAZZINO!$B$2:$M$4838,7,FALSE)</f>
        <v/>
      </c>
      <c r="H762" s="17">
        <f>+VLOOKUP($A762,MAGAZZINO!$B$2:$M$4838,8,FALSE)</f>
        <v/>
      </c>
      <c r="I762" s="17">
        <f>+VLOOKUP($A762,MAGAZZINO!$B$2:$M$4838,9,FALSE)</f>
        <v/>
      </c>
      <c r="J762" s="17">
        <f>+VLOOKUP($A762,MAGAZZINO!$B$2:$M$4838,10,FALSE)</f>
        <v/>
      </c>
      <c r="K762" s="17">
        <f>+VLOOKUP($A762,MAGAZZINO!$B$2:$M$4838,11,FALSE)</f>
        <v/>
      </c>
      <c r="L762" s="44">
        <f>+VLOOKUP($A762,MAGAZZINO!$B$2:$M$4838,12,FALSE)</f>
        <v/>
      </c>
    </row>
    <row r="763" ht="36" customHeight="1">
      <c r="A763" s="30">
        <f>+REGISTRO!A746</f>
        <v/>
      </c>
      <c r="B763" s="31">
        <f>+VLOOKUP($A763,MAGAZZINO!$B$2:$M$4838,2,FALSE)</f>
        <v/>
      </c>
      <c r="C763" s="32">
        <f>+VLOOKUP($A763,MAGAZZINO!$B$2:$M$4838,3,FALSE)</f>
        <v/>
      </c>
      <c r="D763" s="17">
        <f>+VLOOKUP($A763,MAGAZZINO!$B$2:$M$4838,4,FALSE)</f>
        <v/>
      </c>
      <c r="E763" s="17">
        <f>+VLOOKUP($A763,MAGAZZINO!$B$2:$M$4838,5,FALSE)</f>
        <v/>
      </c>
      <c r="F763" s="17">
        <f>+VLOOKUP($A763,MAGAZZINO!$B$2:$M$4838,6,FALSE)</f>
        <v/>
      </c>
      <c r="G763" s="17">
        <f>+VLOOKUP($A763,MAGAZZINO!$B$2:$M$4838,7,FALSE)</f>
        <v/>
      </c>
      <c r="H763" s="17">
        <f>+VLOOKUP($A763,MAGAZZINO!$B$2:$M$4838,8,FALSE)</f>
        <v/>
      </c>
      <c r="I763" s="17">
        <f>+VLOOKUP($A763,MAGAZZINO!$B$2:$M$4838,9,FALSE)</f>
        <v/>
      </c>
      <c r="J763" s="17">
        <f>+VLOOKUP($A763,MAGAZZINO!$B$2:$M$4838,10,FALSE)</f>
        <v/>
      </c>
      <c r="K763" s="17">
        <f>+VLOOKUP($A763,MAGAZZINO!$B$2:$M$4838,11,FALSE)</f>
        <v/>
      </c>
      <c r="L763" s="44">
        <f>+VLOOKUP($A763,MAGAZZINO!$B$2:$M$4838,12,FALSE)</f>
        <v/>
      </c>
    </row>
    <row r="764" ht="36" customHeight="1">
      <c r="A764" s="30">
        <f>+REGISTRO!A747</f>
        <v/>
      </c>
      <c r="B764" s="31">
        <f>+VLOOKUP($A764,MAGAZZINO!$B$2:$M$4838,2,FALSE)</f>
        <v/>
      </c>
      <c r="C764" s="32">
        <f>+VLOOKUP($A764,MAGAZZINO!$B$2:$M$4838,3,FALSE)</f>
        <v/>
      </c>
      <c r="D764" s="17">
        <f>+VLOOKUP($A764,MAGAZZINO!$B$2:$M$4838,4,FALSE)</f>
        <v/>
      </c>
      <c r="E764" s="17">
        <f>+VLOOKUP($A764,MAGAZZINO!$B$2:$M$4838,5,FALSE)</f>
        <v/>
      </c>
      <c r="F764" s="17">
        <f>+VLOOKUP($A764,MAGAZZINO!$B$2:$M$4838,6,FALSE)</f>
        <v/>
      </c>
      <c r="G764" s="17">
        <f>+VLOOKUP($A764,MAGAZZINO!$B$2:$M$4838,7,FALSE)</f>
        <v/>
      </c>
      <c r="H764" s="17">
        <f>+VLOOKUP($A764,MAGAZZINO!$B$2:$M$4838,8,FALSE)</f>
        <v/>
      </c>
      <c r="I764" s="17">
        <f>+VLOOKUP($A764,MAGAZZINO!$B$2:$M$4838,9,FALSE)</f>
        <v/>
      </c>
      <c r="J764" s="17">
        <f>+VLOOKUP($A764,MAGAZZINO!$B$2:$M$4838,10,FALSE)</f>
        <v/>
      </c>
      <c r="K764" s="17">
        <f>+VLOOKUP($A764,MAGAZZINO!$B$2:$M$4838,11,FALSE)</f>
        <v/>
      </c>
      <c r="L764" s="44">
        <f>+VLOOKUP($A764,MAGAZZINO!$B$2:$M$4838,12,FALSE)</f>
        <v/>
      </c>
    </row>
    <row r="765" ht="36" customHeight="1">
      <c r="A765" s="30">
        <f>+REGISTRO!A748</f>
        <v/>
      </c>
      <c r="B765" s="31">
        <f>+VLOOKUP($A765,MAGAZZINO!$B$2:$M$4838,2,FALSE)</f>
        <v/>
      </c>
      <c r="C765" s="32">
        <f>+VLOOKUP($A765,MAGAZZINO!$B$2:$M$4838,3,FALSE)</f>
        <v/>
      </c>
      <c r="D765" s="17">
        <f>+VLOOKUP($A765,MAGAZZINO!$B$2:$M$4838,4,FALSE)</f>
        <v/>
      </c>
      <c r="E765" s="17">
        <f>+VLOOKUP($A765,MAGAZZINO!$B$2:$M$4838,5,FALSE)</f>
        <v/>
      </c>
      <c r="F765" s="17">
        <f>+VLOOKUP($A765,MAGAZZINO!$B$2:$M$4838,6,FALSE)</f>
        <v/>
      </c>
      <c r="G765" s="17">
        <f>+VLOOKUP($A765,MAGAZZINO!$B$2:$M$4838,7,FALSE)</f>
        <v/>
      </c>
      <c r="H765" s="17">
        <f>+VLOOKUP($A765,MAGAZZINO!$B$2:$M$4838,8,FALSE)</f>
        <v/>
      </c>
      <c r="I765" s="17">
        <f>+VLOOKUP($A765,MAGAZZINO!$B$2:$M$4838,9,FALSE)</f>
        <v/>
      </c>
      <c r="J765" s="17">
        <f>+VLOOKUP($A765,MAGAZZINO!$B$2:$M$4838,10,FALSE)</f>
        <v/>
      </c>
      <c r="K765" s="17">
        <f>+VLOOKUP($A765,MAGAZZINO!$B$2:$M$4838,11,FALSE)</f>
        <v/>
      </c>
      <c r="L765" s="44">
        <f>+VLOOKUP($A765,MAGAZZINO!$B$2:$M$4838,12,FALSE)</f>
        <v/>
      </c>
    </row>
    <row r="766" ht="36" customHeight="1">
      <c r="A766" s="30">
        <f>+REGISTRO!A749</f>
        <v/>
      </c>
      <c r="B766" s="31">
        <f>+VLOOKUP($A766,MAGAZZINO!$B$2:$M$4838,2,FALSE)</f>
        <v/>
      </c>
      <c r="C766" s="32">
        <f>+VLOOKUP($A766,MAGAZZINO!$B$2:$M$4838,3,FALSE)</f>
        <v/>
      </c>
      <c r="D766" s="17">
        <f>+VLOOKUP($A766,MAGAZZINO!$B$2:$M$4838,4,FALSE)</f>
        <v/>
      </c>
      <c r="E766" s="17">
        <f>+VLOOKUP($A766,MAGAZZINO!$B$2:$M$4838,5,FALSE)</f>
        <v/>
      </c>
      <c r="F766" s="17">
        <f>+VLOOKUP($A766,MAGAZZINO!$B$2:$M$4838,6,FALSE)</f>
        <v/>
      </c>
      <c r="G766" s="17">
        <f>+VLOOKUP($A766,MAGAZZINO!$B$2:$M$4838,7,FALSE)</f>
        <v/>
      </c>
      <c r="H766" s="17">
        <f>+VLOOKUP($A766,MAGAZZINO!$B$2:$M$4838,8,FALSE)</f>
        <v/>
      </c>
      <c r="I766" s="17">
        <f>+VLOOKUP($A766,MAGAZZINO!$B$2:$M$4838,9,FALSE)</f>
        <v/>
      </c>
      <c r="J766" s="17">
        <f>+VLOOKUP($A766,MAGAZZINO!$B$2:$M$4838,10,FALSE)</f>
        <v/>
      </c>
      <c r="K766" s="17">
        <f>+VLOOKUP($A766,MAGAZZINO!$B$2:$M$4838,11,FALSE)</f>
        <v/>
      </c>
      <c r="L766" s="44">
        <f>+VLOOKUP($A766,MAGAZZINO!$B$2:$M$4838,12,FALSE)</f>
        <v/>
      </c>
    </row>
    <row r="767" ht="36" customHeight="1">
      <c r="A767" s="30">
        <f>+REGISTRO!A750</f>
        <v/>
      </c>
      <c r="B767" s="31">
        <f>+VLOOKUP($A767,MAGAZZINO!$B$2:$M$4838,2,FALSE)</f>
        <v/>
      </c>
      <c r="C767" s="32">
        <f>+VLOOKUP($A767,MAGAZZINO!$B$2:$M$4838,3,FALSE)</f>
        <v/>
      </c>
      <c r="D767" s="17">
        <f>+VLOOKUP($A767,MAGAZZINO!$B$2:$M$4838,4,FALSE)</f>
        <v/>
      </c>
      <c r="E767" s="17">
        <f>+VLOOKUP($A767,MAGAZZINO!$B$2:$M$4838,5,FALSE)</f>
        <v/>
      </c>
      <c r="F767" s="17">
        <f>+VLOOKUP($A767,MAGAZZINO!$B$2:$M$4838,6,FALSE)</f>
        <v/>
      </c>
      <c r="G767" s="17">
        <f>+VLOOKUP($A767,MAGAZZINO!$B$2:$M$4838,7,FALSE)</f>
        <v/>
      </c>
      <c r="H767" s="17">
        <f>+VLOOKUP($A767,MAGAZZINO!$B$2:$M$4838,8,FALSE)</f>
        <v/>
      </c>
      <c r="I767" s="17">
        <f>+VLOOKUP($A767,MAGAZZINO!$B$2:$M$4838,9,FALSE)</f>
        <v/>
      </c>
      <c r="J767" s="17">
        <f>+VLOOKUP($A767,MAGAZZINO!$B$2:$M$4838,10,FALSE)</f>
        <v/>
      </c>
      <c r="K767" s="17">
        <f>+VLOOKUP($A767,MAGAZZINO!$B$2:$M$4838,11,FALSE)</f>
        <v/>
      </c>
      <c r="L767" s="44">
        <f>+VLOOKUP($A767,MAGAZZINO!$B$2:$M$4838,12,FALSE)</f>
        <v/>
      </c>
    </row>
    <row r="768" ht="36" customHeight="1">
      <c r="A768" s="30">
        <f>+REGISTRO!A751</f>
        <v/>
      </c>
      <c r="B768" s="31">
        <f>+VLOOKUP($A768,MAGAZZINO!$B$2:$M$4838,2,FALSE)</f>
        <v/>
      </c>
      <c r="C768" s="32">
        <f>+VLOOKUP($A768,MAGAZZINO!$B$2:$M$4838,3,FALSE)</f>
        <v/>
      </c>
      <c r="D768" s="17">
        <f>+VLOOKUP($A768,MAGAZZINO!$B$2:$M$4838,4,FALSE)</f>
        <v/>
      </c>
      <c r="E768" s="17">
        <f>+VLOOKUP($A768,MAGAZZINO!$B$2:$M$4838,5,FALSE)</f>
        <v/>
      </c>
      <c r="F768" s="17">
        <f>+VLOOKUP($A768,MAGAZZINO!$B$2:$M$4838,6,FALSE)</f>
        <v/>
      </c>
      <c r="G768" s="17">
        <f>+VLOOKUP($A768,MAGAZZINO!$B$2:$M$4838,7,FALSE)</f>
        <v/>
      </c>
      <c r="H768" s="17">
        <f>+VLOOKUP($A768,MAGAZZINO!$B$2:$M$4838,8,FALSE)</f>
        <v/>
      </c>
      <c r="I768" s="17">
        <f>+VLOOKUP($A768,MAGAZZINO!$B$2:$M$4838,9,FALSE)</f>
        <v/>
      </c>
      <c r="J768" s="17">
        <f>+VLOOKUP($A768,MAGAZZINO!$B$2:$M$4838,10,FALSE)</f>
        <v/>
      </c>
      <c r="K768" s="17">
        <f>+VLOOKUP($A768,MAGAZZINO!$B$2:$M$4838,11,FALSE)</f>
        <v/>
      </c>
      <c r="L768" s="44">
        <f>+VLOOKUP($A768,MAGAZZINO!$B$2:$M$4838,12,FALSE)</f>
        <v/>
      </c>
    </row>
    <row r="769" ht="36" customHeight="1">
      <c r="A769" s="30">
        <f>+REGISTRO!A752</f>
        <v/>
      </c>
      <c r="B769" s="31">
        <f>+VLOOKUP($A769,MAGAZZINO!$B$2:$M$4838,2,FALSE)</f>
        <v/>
      </c>
      <c r="C769" s="32">
        <f>+VLOOKUP($A769,MAGAZZINO!$B$2:$M$4838,3,FALSE)</f>
        <v/>
      </c>
      <c r="D769" s="17">
        <f>+VLOOKUP($A769,MAGAZZINO!$B$2:$M$4838,4,FALSE)</f>
        <v/>
      </c>
      <c r="E769" s="17">
        <f>+VLOOKUP($A769,MAGAZZINO!$B$2:$M$4838,5,FALSE)</f>
        <v/>
      </c>
      <c r="F769" s="17">
        <f>+VLOOKUP($A769,MAGAZZINO!$B$2:$M$4838,6,FALSE)</f>
        <v/>
      </c>
      <c r="G769" s="17">
        <f>+VLOOKUP($A769,MAGAZZINO!$B$2:$M$4838,7,FALSE)</f>
        <v/>
      </c>
      <c r="H769" s="17">
        <f>+VLOOKUP($A769,MAGAZZINO!$B$2:$M$4838,8,FALSE)</f>
        <v/>
      </c>
      <c r="I769" s="17">
        <f>+VLOOKUP($A769,MAGAZZINO!$B$2:$M$4838,9,FALSE)</f>
        <v/>
      </c>
      <c r="J769" s="17">
        <f>+VLOOKUP($A769,MAGAZZINO!$B$2:$M$4838,10,FALSE)</f>
        <v/>
      </c>
      <c r="K769" s="17">
        <f>+VLOOKUP($A769,MAGAZZINO!$B$2:$M$4838,11,FALSE)</f>
        <v/>
      </c>
      <c r="L769" s="44">
        <f>+VLOOKUP($A769,MAGAZZINO!$B$2:$M$4838,12,FALSE)</f>
        <v/>
      </c>
    </row>
    <row r="770" ht="36" customHeight="1">
      <c r="A770" s="30">
        <f>+REGISTRO!A753</f>
        <v/>
      </c>
      <c r="B770" s="31">
        <f>+VLOOKUP($A770,MAGAZZINO!$B$2:$M$4838,2,FALSE)</f>
        <v/>
      </c>
      <c r="C770" s="32">
        <f>+VLOOKUP($A770,MAGAZZINO!$B$2:$M$4838,3,FALSE)</f>
        <v/>
      </c>
      <c r="D770" s="17">
        <f>+VLOOKUP($A770,MAGAZZINO!$B$2:$M$4838,4,FALSE)</f>
        <v/>
      </c>
      <c r="E770" s="17">
        <f>+VLOOKUP($A770,MAGAZZINO!$B$2:$M$4838,5,FALSE)</f>
        <v/>
      </c>
      <c r="F770" s="17">
        <f>+VLOOKUP($A770,MAGAZZINO!$B$2:$M$4838,6,FALSE)</f>
        <v/>
      </c>
      <c r="G770" s="17">
        <f>+VLOOKUP($A770,MAGAZZINO!$B$2:$M$4838,7,FALSE)</f>
        <v/>
      </c>
      <c r="H770" s="17">
        <f>+VLOOKUP($A770,MAGAZZINO!$B$2:$M$4838,8,FALSE)</f>
        <v/>
      </c>
      <c r="I770" s="17">
        <f>+VLOOKUP($A770,MAGAZZINO!$B$2:$M$4838,9,FALSE)</f>
        <v/>
      </c>
      <c r="J770" s="17">
        <f>+VLOOKUP($A770,MAGAZZINO!$B$2:$M$4838,10,FALSE)</f>
        <v/>
      </c>
      <c r="K770" s="17">
        <f>+VLOOKUP($A770,MAGAZZINO!$B$2:$M$4838,11,FALSE)</f>
        <v/>
      </c>
      <c r="L770" s="44">
        <f>+VLOOKUP($A770,MAGAZZINO!$B$2:$M$4838,12,FALSE)</f>
        <v/>
      </c>
    </row>
    <row r="771" ht="36" customHeight="1">
      <c r="A771" s="30">
        <f>+REGISTRO!A754</f>
        <v/>
      </c>
      <c r="B771" s="31">
        <f>+VLOOKUP($A771,MAGAZZINO!$B$2:$M$4838,2,FALSE)</f>
        <v/>
      </c>
      <c r="C771" s="32">
        <f>+VLOOKUP($A771,MAGAZZINO!$B$2:$M$4838,3,FALSE)</f>
        <v/>
      </c>
      <c r="D771" s="17">
        <f>+VLOOKUP($A771,MAGAZZINO!$B$2:$M$4838,4,FALSE)</f>
        <v/>
      </c>
      <c r="E771" s="17">
        <f>+VLOOKUP($A771,MAGAZZINO!$B$2:$M$4838,5,FALSE)</f>
        <v/>
      </c>
      <c r="F771" s="17">
        <f>+VLOOKUP($A771,MAGAZZINO!$B$2:$M$4838,6,FALSE)</f>
        <v/>
      </c>
      <c r="G771" s="17">
        <f>+VLOOKUP($A771,MAGAZZINO!$B$2:$M$4838,7,FALSE)</f>
        <v/>
      </c>
      <c r="H771" s="17">
        <f>+VLOOKUP($A771,MAGAZZINO!$B$2:$M$4838,8,FALSE)</f>
        <v/>
      </c>
      <c r="I771" s="17">
        <f>+VLOOKUP($A771,MAGAZZINO!$B$2:$M$4838,9,FALSE)</f>
        <v/>
      </c>
      <c r="J771" s="17">
        <f>+VLOOKUP($A771,MAGAZZINO!$B$2:$M$4838,10,FALSE)</f>
        <v/>
      </c>
      <c r="K771" s="17">
        <f>+VLOOKUP($A771,MAGAZZINO!$B$2:$M$4838,11,FALSE)</f>
        <v/>
      </c>
      <c r="L771" s="44">
        <f>+VLOOKUP($A771,MAGAZZINO!$B$2:$M$4838,12,FALSE)</f>
        <v/>
      </c>
    </row>
    <row r="772" ht="36" customHeight="1">
      <c r="A772" s="30">
        <f>+REGISTRO!A755</f>
        <v/>
      </c>
      <c r="B772" s="31">
        <f>+VLOOKUP($A772,MAGAZZINO!$B$2:$M$4838,2,FALSE)</f>
        <v/>
      </c>
      <c r="C772" s="32">
        <f>+VLOOKUP($A772,MAGAZZINO!$B$2:$M$4838,3,FALSE)</f>
        <v/>
      </c>
      <c r="D772" s="17">
        <f>+VLOOKUP($A772,MAGAZZINO!$B$2:$M$4838,4,FALSE)</f>
        <v/>
      </c>
      <c r="E772" s="17">
        <f>+VLOOKUP($A772,MAGAZZINO!$B$2:$M$4838,5,FALSE)</f>
        <v/>
      </c>
      <c r="F772" s="17">
        <f>+VLOOKUP($A772,MAGAZZINO!$B$2:$M$4838,6,FALSE)</f>
        <v/>
      </c>
      <c r="G772" s="17">
        <f>+VLOOKUP($A772,MAGAZZINO!$B$2:$M$4838,7,FALSE)</f>
        <v/>
      </c>
      <c r="H772" s="17">
        <f>+VLOOKUP($A772,MAGAZZINO!$B$2:$M$4838,8,FALSE)</f>
        <v/>
      </c>
      <c r="I772" s="17">
        <f>+VLOOKUP($A772,MAGAZZINO!$B$2:$M$4838,9,FALSE)</f>
        <v/>
      </c>
      <c r="J772" s="17">
        <f>+VLOOKUP($A772,MAGAZZINO!$B$2:$M$4838,10,FALSE)</f>
        <v/>
      </c>
      <c r="K772" s="17">
        <f>+VLOOKUP($A772,MAGAZZINO!$B$2:$M$4838,11,FALSE)</f>
        <v/>
      </c>
      <c r="L772" s="44">
        <f>+VLOOKUP($A772,MAGAZZINO!$B$2:$M$4838,12,FALSE)</f>
        <v/>
      </c>
    </row>
    <row r="773" ht="36" customHeight="1">
      <c r="A773" s="30">
        <f>+REGISTRO!A756</f>
        <v/>
      </c>
      <c r="B773" s="31">
        <f>+VLOOKUP($A773,MAGAZZINO!$B$2:$M$4838,2,FALSE)</f>
        <v/>
      </c>
      <c r="C773" s="32">
        <f>+VLOOKUP($A773,MAGAZZINO!$B$2:$M$4838,3,FALSE)</f>
        <v/>
      </c>
      <c r="D773" s="17">
        <f>+VLOOKUP($A773,MAGAZZINO!$B$2:$M$4838,4,FALSE)</f>
        <v/>
      </c>
      <c r="E773" s="17">
        <f>+VLOOKUP($A773,MAGAZZINO!$B$2:$M$4838,5,FALSE)</f>
        <v/>
      </c>
      <c r="F773" s="17">
        <f>+VLOOKUP($A773,MAGAZZINO!$B$2:$M$4838,6,FALSE)</f>
        <v/>
      </c>
      <c r="G773" s="17">
        <f>+VLOOKUP($A773,MAGAZZINO!$B$2:$M$4838,7,FALSE)</f>
        <v/>
      </c>
      <c r="H773" s="17">
        <f>+VLOOKUP($A773,MAGAZZINO!$B$2:$M$4838,8,FALSE)</f>
        <v/>
      </c>
      <c r="I773" s="17">
        <f>+VLOOKUP($A773,MAGAZZINO!$B$2:$M$4838,9,FALSE)</f>
        <v/>
      </c>
      <c r="J773" s="17">
        <f>+VLOOKUP($A773,MAGAZZINO!$B$2:$M$4838,10,FALSE)</f>
        <v/>
      </c>
      <c r="K773" s="17">
        <f>+VLOOKUP($A773,MAGAZZINO!$B$2:$M$4838,11,FALSE)</f>
        <v/>
      </c>
      <c r="L773" s="44">
        <f>+VLOOKUP($A773,MAGAZZINO!$B$2:$M$4838,12,FALSE)</f>
        <v/>
      </c>
    </row>
    <row r="774" ht="36" customHeight="1">
      <c r="A774" s="30">
        <f>+REGISTRO!A757</f>
        <v/>
      </c>
      <c r="B774" s="31">
        <f>+VLOOKUP($A774,MAGAZZINO!$B$2:$M$4838,2,FALSE)</f>
        <v/>
      </c>
      <c r="C774" s="32">
        <f>+VLOOKUP($A774,MAGAZZINO!$B$2:$M$4838,3,FALSE)</f>
        <v/>
      </c>
      <c r="D774" s="17">
        <f>+VLOOKUP($A774,MAGAZZINO!$B$2:$M$4838,4,FALSE)</f>
        <v/>
      </c>
      <c r="E774" s="17">
        <f>+VLOOKUP($A774,MAGAZZINO!$B$2:$M$4838,5,FALSE)</f>
        <v/>
      </c>
      <c r="F774" s="17">
        <f>+VLOOKUP($A774,MAGAZZINO!$B$2:$M$4838,6,FALSE)</f>
        <v/>
      </c>
      <c r="G774" s="17">
        <f>+VLOOKUP($A774,MAGAZZINO!$B$2:$M$4838,7,FALSE)</f>
        <v/>
      </c>
      <c r="H774" s="17">
        <f>+VLOOKUP($A774,MAGAZZINO!$B$2:$M$4838,8,FALSE)</f>
        <v/>
      </c>
      <c r="I774" s="17">
        <f>+VLOOKUP($A774,MAGAZZINO!$B$2:$M$4838,9,FALSE)</f>
        <v/>
      </c>
      <c r="J774" s="17">
        <f>+VLOOKUP($A774,MAGAZZINO!$B$2:$M$4838,10,FALSE)</f>
        <v/>
      </c>
      <c r="K774" s="17">
        <f>+VLOOKUP($A774,MAGAZZINO!$B$2:$M$4838,11,FALSE)</f>
        <v/>
      </c>
      <c r="L774" s="44">
        <f>+VLOOKUP($A774,MAGAZZINO!$B$2:$M$4838,12,FALSE)</f>
        <v/>
      </c>
    </row>
    <row r="775" ht="36" customHeight="1">
      <c r="A775" s="30">
        <f>+REGISTRO!A758</f>
        <v/>
      </c>
      <c r="B775" s="31">
        <f>+VLOOKUP($A775,MAGAZZINO!$B$2:$M$4838,2,FALSE)</f>
        <v/>
      </c>
      <c r="C775" s="32">
        <f>+VLOOKUP($A775,MAGAZZINO!$B$2:$M$4838,3,FALSE)</f>
        <v/>
      </c>
      <c r="D775" s="17">
        <f>+VLOOKUP($A775,MAGAZZINO!$B$2:$M$4838,4,FALSE)</f>
        <v/>
      </c>
      <c r="E775" s="17">
        <f>+VLOOKUP($A775,MAGAZZINO!$B$2:$M$4838,5,FALSE)</f>
        <v/>
      </c>
      <c r="F775" s="17">
        <f>+VLOOKUP($A775,MAGAZZINO!$B$2:$M$4838,6,FALSE)</f>
        <v/>
      </c>
      <c r="G775" s="17">
        <f>+VLOOKUP($A775,MAGAZZINO!$B$2:$M$4838,7,FALSE)</f>
        <v/>
      </c>
      <c r="H775" s="17">
        <f>+VLOOKUP($A775,MAGAZZINO!$B$2:$M$4838,8,FALSE)</f>
        <v/>
      </c>
      <c r="I775" s="17">
        <f>+VLOOKUP($A775,MAGAZZINO!$B$2:$M$4838,9,FALSE)</f>
        <v/>
      </c>
      <c r="J775" s="17">
        <f>+VLOOKUP($A775,MAGAZZINO!$B$2:$M$4838,10,FALSE)</f>
        <v/>
      </c>
      <c r="K775" s="17">
        <f>+VLOOKUP($A775,MAGAZZINO!$B$2:$M$4838,11,FALSE)</f>
        <v/>
      </c>
      <c r="L775" s="44">
        <f>+VLOOKUP($A775,MAGAZZINO!$B$2:$M$4838,12,FALSE)</f>
        <v/>
      </c>
    </row>
    <row r="776" ht="36" customHeight="1">
      <c r="A776" s="30">
        <f>+REGISTRO!A759</f>
        <v/>
      </c>
      <c r="B776" s="31">
        <f>+VLOOKUP($A776,MAGAZZINO!$B$2:$M$4838,2,FALSE)</f>
        <v/>
      </c>
      <c r="C776" s="32">
        <f>+VLOOKUP($A776,MAGAZZINO!$B$2:$M$4838,3,FALSE)</f>
        <v/>
      </c>
      <c r="D776" s="17">
        <f>+VLOOKUP($A776,MAGAZZINO!$B$2:$M$4838,4,FALSE)</f>
        <v/>
      </c>
      <c r="E776" s="17">
        <f>+VLOOKUP($A776,MAGAZZINO!$B$2:$M$4838,5,FALSE)</f>
        <v/>
      </c>
      <c r="F776" s="17">
        <f>+VLOOKUP($A776,MAGAZZINO!$B$2:$M$4838,6,FALSE)</f>
        <v/>
      </c>
      <c r="G776" s="17">
        <f>+VLOOKUP($A776,MAGAZZINO!$B$2:$M$4838,7,FALSE)</f>
        <v/>
      </c>
      <c r="H776" s="17">
        <f>+VLOOKUP($A776,MAGAZZINO!$B$2:$M$4838,8,FALSE)</f>
        <v/>
      </c>
      <c r="I776" s="17">
        <f>+VLOOKUP($A776,MAGAZZINO!$B$2:$M$4838,9,FALSE)</f>
        <v/>
      </c>
      <c r="J776" s="17">
        <f>+VLOOKUP($A776,MAGAZZINO!$B$2:$M$4838,10,FALSE)</f>
        <v/>
      </c>
      <c r="K776" s="17">
        <f>+VLOOKUP($A776,MAGAZZINO!$B$2:$M$4838,11,FALSE)</f>
        <v/>
      </c>
      <c r="L776" s="44">
        <f>+VLOOKUP($A776,MAGAZZINO!$B$2:$M$4838,12,FALSE)</f>
        <v/>
      </c>
    </row>
    <row r="777" ht="36" customHeight="1">
      <c r="A777" s="30">
        <f>+REGISTRO!A760</f>
        <v/>
      </c>
      <c r="B777" s="31">
        <f>+VLOOKUP($A777,MAGAZZINO!$B$2:$M$4838,2,FALSE)</f>
        <v/>
      </c>
      <c r="C777" s="32">
        <f>+VLOOKUP($A777,MAGAZZINO!$B$2:$M$4838,3,FALSE)</f>
        <v/>
      </c>
      <c r="D777" s="17">
        <f>+VLOOKUP($A777,MAGAZZINO!$B$2:$M$4838,4,FALSE)</f>
        <v/>
      </c>
      <c r="E777" s="17">
        <f>+VLOOKUP($A777,MAGAZZINO!$B$2:$M$4838,5,FALSE)</f>
        <v/>
      </c>
      <c r="F777" s="17">
        <f>+VLOOKUP($A777,MAGAZZINO!$B$2:$M$4838,6,FALSE)</f>
        <v/>
      </c>
      <c r="G777" s="17">
        <f>+VLOOKUP($A777,MAGAZZINO!$B$2:$M$4838,7,FALSE)</f>
        <v/>
      </c>
      <c r="H777" s="17">
        <f>+VLOOKUP($A777,MAGAZZINO!$B$2:$M$4838,8,FALSE)</f>
        <v/>
      </c>
      <c r="I777" s="17">
        <f>+VLOOKUP($A777,MAGAZZINO!$B$2:$M$4838,9,FALSE)</f>
        <v/>
      </c>
      <c r="J777" s="17">
        <f>+VLOOKUP($A777,MAGAZZINO!$B$2:$M$4838,10,FALSE)</f>
        <v/>
      </c>
      <c r="K777" s="17">
        <f>+VLOOKUP($A777,MAGAZZINO!$B$2:$M$4838,11,FALSE)</f>
        <v/>
      </c>
      <c r="L777" s="44">
        <f>+VLOOKUP($A777,MAGAZZINO!$B$2:$M$4838,12,FALSE)</f>
        <v/>
      </c>
    </row>
    <row r="778" ht="36" customHeight="1">
      <c r="A778" s="30">
        <f>+REGISTRO!A761</f>
        <v/>
      </c>
      <c r="B778" s="31">
        <f>+VLOOKUP($A778,MAGAZZINO!$B$2:$M$4838,2,FALSE)</f>
        <v/>
      </c>
      <c r="C778" s="32">
        <f>+VLOOKUP($A778,MAGAZZINO!$B$2:$M$4838,3,FALSE)</f>
        <v/>
      </c>
      <c r="D778" s="17">
        <f>+VLOOKUP($A778,MAGAZZINO!$B$2:$M$4838,4,FALSE)</f>
        <v/>
      </c>
      <c r="E778" s="17">
        <f>+VLOOKUP($A778,MAGAZZINO!$B$2:$M$4838,5,FALSE)</f>
        <v/>
      </c>
      <c r="F778" s="17">
        <f>+VLOOKUP($A778,MAGAZZINO!$B$2:$M$4838,6,FALSE)</f>
        <v/>
      </c>
      <c r="G778" s="17">
        <f>+VLOOKUP($A778,MAGAZZINO!$B$2:$M$4838,7,FALSE)</f>
        <v/>
      </c>
      <c r="H778" s="17">
        <f>+VLOOKUP($A778,MAGAZZINO!$B$2:$M$4838,8,FALSE)</f>
        <v/>
      </c>
      <c r="I778" s="17">
        <f>+VLOOKUP($A778,MAGAZZINO!$B$2:$M$4838,9,FALSE)</f>
        <v/>
      </c>
      <c r="J778" s="17">
        <f>+VLOOKUP($A778,MAGAZZINO!$B$2:$M$4838,10,FALSE)</f>
        <v/>
      </c>
      <c r="K778" s="17">
        <f>+VLOOKUP($A778,MAGAZZINO!$B$2:$M$4838,11,FALSE)</f>
        <v/>
      </c>
      <c r="L778" s="44">
        <f>+VLOOKUP($A778,MAGAZZINO!$B$2:$M$4838,12,FALSE)</f>
        <v/>
      </c>
    </row>
    <row r="779" ht="36" customHeight="1">
      <c r="A779" s="30">
        <f>+REGISTRO!A762</f>
        <v/>
      </c>
      <c r="B779" s="31">
        <f>+VLOOKUP($A779,MAGAZZINO!$B$2:$M$4838,2,FALSE)</f>
        <v/>
      </c>
      <c r="C779" s="32">
        <f>+VLOOKUP($A779,MAGAZZINO!$B$2:$M$4838,3,FALSE)</f>
        <v/>
      </c>
      <c r="D779" s="17">
        <f>+VLOOKUP($A779,MAGAZZINO!$B$2:$M$4838,4,FALSE)</f>
        <v/>
      </c>
      <c r="E779" s="17">
        <f>+VLOOKUP($A779,MAGAZZINO!$B$2:$M$4838,5,FALSE)</f>
        <v/>
      </c>
      <c r="F779" s="17">
        <f>+VLOOKUP($A779,MAGAZZINO!$B$2:$M$4838,6,FALSE)</f>
        <v/>
      </c>
      <c r="G779" s="17">
        <f>+VLOOKUP($A779,MAGAZZINO!$B$2:$M$4838,7,FALSE)</f>
        <v/>
      </c>
      <c r="H779" s="17">
        <f>+VLOOKUP($A779,MAGAZZINO!$B$2:$M$4838,8,FALSE)</f>
        <v/>
      </c>
      <c r="I779" s="17">
        <f>+VLOOKUP($A779,MAGAZZINO!$B$2:$M$4838,9,FALSE)</f>
        <v/>
      </c>
      <c r="J779" s="17">
        <f>+VLOOKUP($A779,MAGAZZINO!$B$2:$M$4838,10,FALSE)</f>
        <v/>
      </c>
      <c r="K779" s="17">
        <f>+VLOOKUP($A779,MAGAZZINO!$B$2:$M$4838,11,FALSE)</f>
        <v/>
      </c>
      <c r="L779" s="44">
        <f>+VLOOKUP($A779,MAGAZZINO!$B$2:$M$4838,12,FALSE)</f>
        <v/>
      </c>
    </row>
    <row r="780" ht="36" customHeight="1">
      <c r="A780" s="30">
        <f>+REGISTRO!A763</f>
        <v/>
      </c>
      <c r="B780" s="31">
        <f>+VLOOKUP($A780,MAGAZZINO!$B$2:$M$4838,2,FALSE)</f>
        <v/>
      </c>
      <c r="C780" s="32">
        <f>+VLOOKUP($A780,MAGAZZINO!$B$2:$M$4838,3,FALSE)</f>
        <v/>
      </c>
      <c r="D780" s="17">
        <f>+VLOOKUP($A780,MAGAZZINO!$B$2:$M$4838,4,FALSE)</f>
        <v/>
      </c>
      <c r="E780" s="17">
        <f>+VLOOKUP($A780,MAGAZZINO!$B$2:$M$4838,5,FALSE)</f>
        <v/>
      </c>
      <c r="F780" s="17">
        <f>+VLOOKUP($A780,MAGAZZINO!$B$2:$M$4838,6,FALSE)</f>
        <v/>
      </c>
      <c r="G780" s="17">
        <f>+VLOOKUP($A780,MAGAZZINO!$B$2:$M$4838,7,FALSE)</f>
        <v/>
      </c>
      <c r="H780" s="17">
        <f>+VLOOKUP($A780,MAGAZZINO!$B$2:$M$4838,8,FALSE)</f>
        <v/>
      </c>
      <c r="I780" s="17">
        <f>+VLOOKUP($A780,MAGAZZINO!$B$2:$M$4838,9,FALSE)</f>
        <v/>
      </c>
      <c r="J780" s="17">
        <f>+VLOOKUP($A780,MAGAZZINO!$B$2:$M$4838,10,FALSE)</f>
        <v/>
      </c>
      <c r="K780" s="17">
        <f>+VLOOKUP($A780,MAGAZZINO!$B$2:$M$4838,11,FALSE)</f>
        <v/>
      </c>
      <c r="L780" s="44">
        <f>+VLOOKUP($A780,MAGAZZINO!$B$2:$M$4838,12,FALSE)</f>
        <v/>
      </c>
    </row>
    <row r="781" ht="36" customHeight="1">
      <c r="A781" s="30">
        <f>+REGISTRO!A764</f>
        <v/>
      </c>
      <c r="B781" s="31">
        <f>+VLOOKUP($A781,MAGAZZINO!$B$2:$M$4838,2,FALSE)</f>
        <v/>
      </c>
      <c r="C781" s="32">
        <f>+VLOOKUP($A781,MAGAZZINO!$B$2:$M$4838,3,FALSE)</f>
        <v/>
      </c>
      <c r="D781" s="17">
        <f>+VLOOKUP($A781,MAGAZZINO!$B$2:$M$4838,4,FALSE)</f>
        <v/>
      </c>
      <c r="E781" s="17">
        <f>+VLOOKUP($A781,MAGAZZINO!$B$2:$M$4838,5,FALSE)</f>
        <v/>
      </c>
      <c r="F781" s="17">
        <f>+VLOOKUP($A781,MAGAZZINO!$B$2:$M$4838,6,FALSE)</f>
        <v/>
      </c>
      <c r="G781" s="17">
        <f>+VLOOKUP($A781,MAGAZZINO!$B$2:$M$4838,7,FALSE)</f>
        <v/>
      </c>
      <c r="H781" s="17">
        <f>+VLOOKUP($A781,MAGAZZINO!$B$2:$M$4838,8,FALSE)</f>
        <v/>
      </c>
      <c r="I781" s="17">
        <f>+VLOOKUP($A781,MAGAZZINO!$B$2:$M$4838,9,FALSE)</f>
        <v/>
      </c>
      <c r="J781" s="17">
        <f>+VLOOKUP($A781,MAGAZZINO!$B$2:$M$4838,10,FALSE)</f>
        <v/>
      </c>
      <c r="K781" s="17">
        <f>+VLOOKUP($A781,MAGAZZINO!$B$2:$M$4838,11,FALSE)</f>
        <v/>
      </c>
      <c r="L781" s="44">
        <f>+VLOOKUP($A781,MAGAZZINO!$B$2:$M$4838,12,FALSE)</f>
        <v/>
      </c>
    </row>
    <row r="782" ht="36" customHeight="1">
      <c r="A782" s="30">
        <f>+REGISTRO!A765</f>
        <v/>
      </c>
      <c r="B782" s="31">
        <f>+VLOOKUP($A782,MAGAZZINO!$B$2:$M$4838,2,FALSE)</f>
        <v/>
      </c>
      <c r="C782" s="32">
        <f>+VLOOKUP($A782,MAGAZZINO!$B$2:$M$4838,3,FALSE)</f>
        <v/>
      </c>
      <c r="D782" s="17">
        <f>+VLOOKUP($A782,MAGAZZINO!$B$2:$M$4838,4,FALSE)</f>
        <v/>
      </c>
      <c r="E782" s="17">
        <f>+VLOOKUP($A782,MAGAZZINO!$B$2:$M$4838,5,FALSE)</f>
        <v/>
      </c>
      <c r="F782" s="17">
        <f>+VLOOKUP($A782,MAGAZZINO!$B$2:$M$4838,6,FALSE)</f>
        <v/>
      </c>
      <c r="G782" s="17">
        <f>+VLOOKUP($A782,MAGAZZINO!$B$2:$M$4838,7,FALSE)</f>
        <v/>
      </c>
      <c r="H782" s="17">
        <f>+VLOOKUP($A782,MAGAZZINO!$B$2:$M$4838,8,FALSE)</f>
        <v/>
      </c>
      <c r="I782" s="17">
        <f>+VLOOKUP($A782,MAGAZZINO!$B$2:$M$4838,9,FALSE)</f>
        <v/>
      </c>
      <c r="J782" s="17">
        <f>+VLOOKUP($A782,MAGAZZINO!$B$2:$M$4838,10,FALSE)</f>
        <v/>
      </c>
      <c r="K782" s="17">
        <f>+VLOOKUP($A782,MAGAZZINO!$B$2:$M$4838,11,FALSE)</f>
        <v/>
      </c>
      <c r="L782" s="44">
        <f>+VLOOKUP($A782,MAGAZZINO!$B$2:$M$4838,12,FALSE)</f>
        <v/>
      </c>
    </row>
    <row r="783" ht="36" customHeight="1">
      <c r="A783" s="30">
        <f>+REGISTRO!A766</f>
        <v/>
      </c>
      <c r="B783" s="31">
        <f>+VLOOKUP($A783,MAGAZZINO!$B$2:$M$4838,2,FALSE)</f>
        <v/>
      </c>
      <c r="C783" s="32">
        <f>+VLOOKUP($A783,MAGAZZINO!$B$2:$M$4838,3,FALSE)</f>
        <v/>
      </c>
      <c r="D783" s="17">
        <f>+VLOOKUP($A783,MAGAZZINO!$B$2:$M$4838,4,FALSE)</f>
        <v/>
      </c>
      <c r="E783" s="17">
        <f>+VLOOKUP($A783,MAGAZZINO!$B$2:$M$4838,5,FALSE)</f>
        <v/>
      </c>
      <c r="F783" s="17">
        <f>+VLOOKUP($A783,MAGAZZINO!$B$2:$M$4838,6,FALSE)</f>
        <v/>
      </c>
      <c r="G783" s="17">
        <f>+VLOOKUP($A783,MAGAZZINO!$B$2:$M$4838,7,FALSE)</f>
        <v/>
      </c>
      <c r="H783" s="17">
        <f>+VLOOKUP($A783,MAGAZZINO!$B$2:$M$4838,8,FALSE)</f>
        <v/>
      </c>
      <c r="I783" s="17">
        <f>+VLOOKUP($A783,MAGAZZINO!$B$2:$M$4838,9,FALSE)</f>
        <v/>
      </c>
      <c r="J783" s="17">
        <f>+VLOOKUP($A783,MAGAZZINO!$B$2:$M$4838,10,FALSE)</f>
        <v/>
      </c>
      <c r="K783" s="17">
        <f>+VLOOKUP($A783,MAGAZZINO!$B$2:$M$4838,11,FALSE)</f>
        <v/>
      </c>
      <c r="L783" s="44">
        <f>+VLOOKUP($A783,MAGAZZINO!$B$2:$M$4838,12,FALSE)</f>
        <v/>
      </c>
    </row>
    <row r="784" ht="36" customHeight="1">
      <c r="A784" s="30">
        <f>+REGISTRO!A767</f>
        <v/>
      </c>
      <c r="B784" s="31">
        <f>+VLOOKUP($A784,MAGAZZINO!$B$2:$M$4838,2,FALSE)</f>
        <v/>
      </c>
      <c r="C784" s="32">
        <f>+VLOOKUP($A784,MAGAZZINO!$B$2:$M$4838,3,FALSE)</f>
        <v/>
      </c>
      <c r="D784" s="17">
        <f>+VLOOKUP($A784,MAGAZZINO!$B$2:$M$4838,4,FALSE)</f>
        <v/>
      </c>
      <c r="E784" s="17">
        <f>+VLOOKUP($A784,MAGAZZINO!$B$2:$M$4838,5,FALSE)</f>
        <v/>
      </c>
      <c r="F784" s="17">
        <f>+VLOOKUP($A784,MAGAZZINO!$B$2:$M$4838,6,FALSE)</f>
        <v/>
      </c>
      <c r="G784" s="17">
        <f>+VLOOKUP($A784,MAGAZZINO!$B$2:$M$4838,7,FALSE)</f>
        <v/>
      </c>
      <c r="H784" s="17">
        <f>+VLOOKUP($A784,MAGAZZINO!$B$2:$M$4838,8,FALSE)</f>
        <v/>
      </c>
      <c r="I784" s="17">
        <f>+VLOOKUP($A784,MAGAZZINO!$B$2:$M$4838,9,FALSE)</f>
        <v/>
      </c>
      <c r="J784" s="17">
        <f>+VLOOKUP($A784,MAGAZZINO!$B$2:$M$4838,10,FALSE)</f>
        <v/>
      </c>
      <c r="K784" s="17">
        <f>+VLOOKUP($A784,MAGAZZINO!$B$2:$M$4838,11,FALSE)</f>
        <v/>
      </c>
      <c r="L784" s="44">
        <f>+VLOOKUP($A784,MAGAZZINO!$B$2:$M$4838,12,FALSE)</f>
        <v/>
      </c>
    </row>
    <row r="785" ht="36" customHeight="1">
      <c r="A785" s="30">
        <f>+REGISTRO!A768</f>
        <v/>
      </c>
      <c r="B785" s="31">
        <f>+VLOOKUP($A785,MAGAZZINO!$B$2:$M$4838,2,FALSE)</f>
        <v/>
      </c>
      <c r="C785" s="32">
        <f>+VLOOKUP($A785,MAGAZZINO!$B$2:$M$4838,3,FALSE)</f>
        <v/>
      </c>
      <c r="D785" s="17">
        <f>+VLOOKUP($A785,MAGAZZINO!$B$2:$M$4838,4,FALSE)</f>
        <v/>
      </c>
      <c r="E785" s="17">
        <f>+VLOOKUP($A785,MAGAZZINO!$B$2:$M$4838,5,FALSE)</f>
        <v/>
      </c>
      <c r="F785" s="17">
        <f>+VLOOKUP($A785,MAGAZZINO!$B$2:$M$4838,6,FALSE)</f>
        <v/>
      </c>
      <c r="G785" s="17">
        <f>+VLOOKUP($A785,MAGAZZINO!$B$2:$M$4838,7,FALSE)</f>
        <v/>
      </c>
      <c r="H785" s="17">
        <f>+VLOOKUP($A785,MAGAZZINO!$B$2:$M$4838,8,FALSE)</f>
        <v/>
      </c>
      <c r="I785" s="17">
        <f>+VLOOKUP($A785,MAGAZZINO!$B$2:$M$4838,9,FALSE)</f>
        <v/>
      </c>
      <c r="J785" s="17">
        <f>+VLOOKUP($A785,MAGAZZINO!$B$2:$M$4838,10,FALSE)</f>
        <v/>
      </c>
      <c r="K785" s="17">
        <f>+VLOOKUP($A785,MAGAZZINO!$B$2:$M$4838,11,FALSE)</f>
        <v/>
      </c>
      <c r="L785" s="44">
        <f>+VLOOKUP($A785,MAGAZZINO!$B$2:$M$4838,12,FALSE)</f>
        <v/>
      </c>
    </row>
    <row r="786" ht="36" customHeight="1">
      <c r="A786" s="30">
        <f>+REGISTRO!A769</f>
        <v/>
      </c>
      <c r="B786" s="31">
        <f>+VLOOKUP($A786,MAGAZZINO!$B$2:$M$4838,2,FALSE)</f>
        <v/>
      </c>
      <c r="C786" s="32">
        <f>+VLOOKUP($A786,MAGAZZINO!$B$2:$M$4838,3,FALSE)</f>
        <v/>
      </c>
      <c r="D786" s="17">
        <f>+VLOOKUP($A786,MAGAZZINO!$B$2:$M$4838,4,FALSE)</f>
        <v/>
      </c>
      <c r="E786" s="17">
        <f>+VLOOKUP($A786,MAGAZZINO!$B$2:$M$4838,5,FALSE)</f>
        <v/>
      </c>
      <c r="F786" s="17">
        <f>+VLOOKUP($A786,MAGAZZINO!$B$2:$M$4838,6,FALSE)</f>
        <v/>
      </c>
      <c r="G786" s="17">
        <f>+VLOOKUP($A786,MAGAZZINO!$B$2:$M$4838,7,FALSE)</f>
        <v/>
      </c>
      <c r="H786" s="17">
        <f>+VLOOKUP($A786,MAGAZZINO!$B$2:$M$4838,8,FALSE)</f>
        <v/>
      </c>
      <c r="I786" s="17">
        <f>+VLOOKUP($A786,MAGAZZINO!$B$2:$M$4838,9,FALSE)</f>
        <v/>
      </c>
      <c r="J786" s="17">
        <f>+VLOOKUP($A786,MAGAZZINO!$B$2:$M$4838,10,FALSE)</f>
        <v/>
      </c>
      <c r="K786" s="17">
        <f>+VLOOKUP($A786,MAGAZZINO!$B$2:$M$4838,11,FALSE)</f>
        <v/>
      </c>
      <c r="L786" s="44">
        <f>+VLOOKUP($A786,MAGAZZINO!$B$2:$M$4838,12,FALSE)</f>
        <v/>
      </c>
    </row>
    <row r="787" ht="36" customHeight="1">
      <c r="A787" s="30">
        <f>+REGISTRO!A770</f>
        <v/>
      </c>
      <c r="B787" s="31">
        <f>+VLOOKUP($A787,MAGAZZINO!$B$2:$M$4838,2,FALSE)</f>
        <v/>
      </c>
      <c r="C787" s="32">
        <f>+VLOOKUP($A787,MAGAZZINO!$B$2:$M$4838,3,FALSE)</f>
        <v/>
      </c>
      <c r="D787" s="17">
        <f>+VLOOKUP($A787,MAGAZZINO!$B$2:$M$4838,4,FALSE)</f>
        <v/>
      </c>
      <c r="E787" s="17">
        <f>+VLOOKUP($A787,MAGAZZINO!$B$2:$M$4838,5,FALSE)</f>
        <v/>
      </c>
      <c r="F787" s="17">
        <f>+VLOOKUP($A787,MAGAZZINO!$B$2:$M$4838,6,FALSE)</f>
        <v/>
      </c>
      <c r="G787" s="17">
        <f>+VLOOKUP($A787,MAGAZZINO!$B$2:$M$4838,7,FALSE)</f>
        <v/>
      </c>
      <c r="H787" s="17">
        <f>+VLOOKUP($A787,MAGAZZINO!$B$2:$M$4838,8,FALSE)</f>
        <v/>
      </c>
      <c r="I787" s="17">
        <f>+VLOOKUP($A787,MAGAZZINO!$B$2:$M$4838,9,FALSE)</f>
        <v/>
      </c>
      <c r="J787" s="17">
        <f>+VLOOKUP($A787,MAGAZZINO!$B$2:$M$4838,10,FALSE)</f>
        <v/>
      </c>
      <c r="K787" s="17">
        <f>+VLOOKUP($A787,MAGAZZINO!$B$2:$M$4838,11,FALSE)</f>
        <v/>
      </c>
      <c r="L787" s="44">
        <f>+VLOOKUP($A787,MAGAZZINO!$B$2:$M$4838,12,FALSE)</f>
        <v/>
      </c>
    </row>
    <row r="788" ht="36" customHeight="1">
      <c r="A788" s="30">
        <f>+REGISTRO!A771</f>
        <v/>
      </c>
      <c r="B788" s="31">
        <f>+VLOOKUP($A788,MAGAZZINO!$B$2:$M$4838,2,FALSE)</f>
        <v/>
      </c>
      <c r="C788" s="32">
        <f>+VLOOKUP($A788,MAGAZZINO!$B$2:$M$4838,3,FALSE)</f>
        <v/>
      </c>
      <c r="D788" s="17">
        <f>+VLOOKUP($A788,MAGAZZINO!$B$2:$M$4838,4,FALSE)</f>
        <v/>
      </c>
      <c r="E788" s="17">
        <f>+VLOOKUP($A788,MAGAZZINO!$B$2:$M$4838,5,FALSE)</f>
        <v/>
      </c>
      <c r="F788" s="17">
        <f>+VLOOKUP($A788,MAGAZZINO!$B$2:$M$4838,6,FALSE)</f>
        <v/>
      </c>
      <c r="G788" s="17">
        <f>+VLOOKUP($A788,MAGAZZINO!$B$2:$M$4838,7,FALSE)</f>
        <v/>
      </c>
      <c r="H788" s="17">
        <f>+VLOOKUP($A788,MAGAZZINO!$B$2:$M$4838,8,FALSE)</f>
        <v/>
      </c>
      <c r="I788" s="17">
        <f>+VLOOKUP($A788,MAGAZZINO!$B$2:$M$4838,9,FALSE)</f>
        <v/>
      </c>
      <c r="J788" s="17">
        <f>+VLOOKUP($A788,MAGAZZINO!$B$2:$M$4838,10,FALSE)</f>
        <v/>
      </c>
      <c r="K788" s="17">
        <f>+VLOOKUP($A788,MAGAZZINO!$B$2:$M$4838,11,FALSE)</f>
        <v/>
      </c>
      <c r="L788" s="44">
        <f>+VLOOKUP($A788,MAGAZZINO!$B$2:$M$4838,12,FALSE)</f>
        <v/>
      </c>
    </row>
    <row r="789" ht="36" customHeight="1">
      <c r="A789" s="30">
        <f>+REGISTRO!A772</f>
        <v/>
      </c>
      <c r="B789" s="31">
        <f>+VLOOKUP($A789,MAGAZZINO!$B$2:$M$4838,2,FALSE)</f>
        <v/>
      </c>
      <c r="C789" s="32">
        <f>+VLOOKUP($A789,MAGAZZINO!$B$2:$M$4838,3,FALSE)</f>
        <v/>
      </c>
      <c r="D789" s="17">
        <f>+VLOOKUP($A789,MAGAZZINO!$B$2:$M$4838,4,FALSE)</f>
        <v/>
      </c>
      <c r="E789" s="17">
        <f>+VLOOKUP($A789,MAGAZZINO!$B$2:$M$4838,5,FALSE)</f>
        <v/>
      </c>
      <c r="F789" s="17">
        <f>+VLOOKUP($A789,MAGAZZINO!$B$2:$M$4838,6,FALSE)</f>
        <v/>
      </c>
      <c r="G789" s="17">
        <f>+VLOOKUP($A789,MAGAZZINO!$B$2:$M$4838,7,FALSE)</f>
        <v/>
      </c>
      <c r="H789" s="17">
        <f>+VLOOKUP($A789,MAGAZZINO!$B$2:$M$4838,8,FALSE)</f>
        <v/>
      </c>
      <c r="I789" s="17">
        <f>+VLOOKUP($A789,MAGAZZINO!$B$2:$M$4838,9,FALSE)</f>
        <v/>
      </c>
      <c r="J789" s="17">
        <f>+VLOOKUP($A789,MAGAZZINO!$B$2:$M$4838,10,FALSE)</f>
        <v/>
      </c>
      <c r="K789" s="17">
        <f>+VLOOKUP($A789,MAGAZZINO!$B$2:$M$4838,11,FALSE)</f>
        <v/>
      </c>
      <c r="L789" s="44">
        <f>+VLOOKUP($A789,MAGAZZINO!$B$2:$M$4838,12,FALSE)</f>
        <v/>
      </c>
    </row>
    <row r="790" ht="36" customHeight="1">
      <c r="A790" s="30">
        <f>+REGISTRO!A773</f>
        <v/>
      </c>
      <c r="B790" s="31">
        <f>+VLOOKUP($A790,MAGAZZINO!$B$2:$M$4838,2,FALSE)</f>
        <v/>
      </c>
      <c r="C790" s="32">
        <f>+VLOOKUP($A790,MAGAZZINO!$B$2:$M$4838,3,FALSE)</f>
        <v/>
      </c>
      <c r="D790" s="17">
        <f>+VLOOKUP($A790,MAGAZZINO!$B$2:$M$4838,4,FALSE)</f>
        <v/>
      </c>
      <c r="E790" s="17">
        <f>+VLOOKUP($A790,MAGAZZINO!$B$2:$M$4838,5,FALSE)</f>
        <v/>
      </c>
      <c r="F790" s="17">
        <f>+VLOOKUP($A790,MAGAZZINO!$B$2:$M$4838,6,FALSE)</f>
        <v/>
      </c>
      <c r="G790" s="17">
        <f>+VLOOKUP($A790,MAGAZZINO!$B$2:$M$4838,7,FALSE)</f>
        <v/>
      </c>
      <c r="H790" s="17">
        <f>+VLOOKUP($A790,MAGAZZINO!$B$2:$M$4838,8,FALSE)</f>
        <v/>
      </c>
      <c r="I790" s="17">
        <f>+VLOOKUP($A790,MAGAZZINO!$B$2:$M$4838,9,FALSE)</f>
        <v/>
      </c>
      <c r="J790" s="17">
        <f>+VLOOKUP($A790,MAGAZZINO!$B$2:$M$4838,10,FALSE)</f>
        <v/>
      </c>
      <c r="K790" s="17">
        <f>+VLOOKUP($A790,MAGAZZINO!$B$2:$M$4838,11,FALSE)</f>
        <v/>
      </c>
      <c r="L790" s="44">
        <f>+VLOOKUP($A790,MAGAZZINO!$B$2:$M$4838,12,FALSE)</f>
        <v/>
      </c>
    </row>
    <row r="791" ht="36" customHeight="1">
      <c r="A791" s="30">
        <f>+REGISTRO!A774</f>
        <v/>
      </c>
      <c r="B791" s="31">
        <f>+VLOOKUP($A791,MAGAZZINO!$B$2:$M$4838,2,FALSE)</f>
        <v/>
      </c>
      <c r="C791" s="32">
        <f>+VLOOKUP($A791,MAGAZZINO!$B$2:$M$4838,3,FALSE)</f>
        <v/>
      </c>
      <c r="D791" s="17">
        <f>+VLOOKUP($A791,MAGAZZINO!$B$2:$M$4838,4,FALSE)</f>
        <v/>
      </c>
      <c r="E791" s="17">
        <f>+VLOOKUP($A791,MAGAZZINO!$B$2:$M$4838,5,FALSE)</f>
        <v/>
      </c>
      <c r="F791" s="17">
        <f>+VLOOKUP($A791,MAGAZZINO!$B$2:$M$4838,6,FALSE)</f>
        <v/>
      </c>
      <c r="G791" s="17">
        <f>+VLOOKUP($A791,MAGAZZINO!$B$2:$M$4838,7,FALSE)</f>
        <v/>
      </c>
      <c r="H791" s="17">
        <f>+VLOOKUP($A791,MAGAZZINO!$B$2:$M$4838,8,FALSE)</f>
        <v/>
      </c>
      <c r="I791" s="17">
        <f>+VLOOKUP($A791,MAGAZZINO!$B$2:$M$4838,9,FALSE)</f>
        <v/>
      </c>
      <c r="J791" s="17">
        <f>+VLOOKUP($A791,MAGAZZINO!$B$2:$M$4838,10,FALSE)</f>
        <v/>
      </c>
      <c r="K791" s="17">
        <f>+VLOOKUP($A791,MAGAZZINO!$B$2:$M$4838,11,FALSE)</f>
        <v/>
      </c>
      <c r="L791" s="44">
        <f>+VLOOKUP($A791,MAGAZZINO!$B$2:$M$4838,12,FALSE)</f>
        <v/>
      </c>
    </row>
    <row r="792" ht="36" customHeight="1">
      <c r="A792" s="30">
        <f>+REGISTRO!A775</f>
        <v/>
      </c>
      <c r="B792" s="31">
        <f>+VLOOKUP($A792,MAGAZZINO!$B$2:$M$4838,2,FALSE)</f>
        <v/>
      </c>
      <c r="C792" s="32">
        <f>+VLOOKUP($A792,MAGAZZINO!$B$2:$M$4838,3,FALSE)</f>
        <v/>
      </c>
      <c r="D792" s="17">
        <f>+VLOOKUP($A792,MAGAZZINO!$B$2:$M$4838,4,FALSE)</f>
        <v/>
      </c>
      <c r="E792" s="17">
        <f>+VLOOKUP($A792,MAGAZZINO!$B$2:$M$4838,5,FALSE)</f>
        <v/>
      </c>
      <c r="F792" s="17">
        <f>+VLOOKUP($A792,MAGAZZINO!$B$2:$M$4838,6,FALSE)</f>
        <v/>
      </c>
      <c r="G792" s="17">
        <f>+VLOOKUP($A792,MAGAZZINO!$B$2:$M$4838,7,FALSE)</f>
        <v/>
      </c>
      <c r="H792" s="17">
        <f>+VLOOKUP($A792,MAGAZZINO!$B$2:$M$4838,8,FALSE)</f>
        <v/>
      </c>
      <c r="I792" s="17">
        <f>+VLOOKUP($A792,MAGAZZINO!$B$2:$M$4838,9,FALSE)</f>
        <v/>
      </c>
      <c r="J792" s="17">
        <f>+VLOOKUP($A792,MAGAZZINO!$B$2:$M$4838,10,FALSE)</f>
        <v/>
      </c>
      <c r="K792" s="17">
        <f>+VLOOKUP($A792,MAGAZZINO!$B$2:$M$4838,11,FALSE)</f>
        <v/>
      </c>
      <c r="L792" s="44">
        <f>+VLOOKUP($A792,MAGAZZINO!$B$2:$M$4838,12,FALSE)</f>
        <v/>
      </c>
    </row>
    <row r="793" ht="36" customHeight="1">
      <c r="A793" s="30">
        <f>+REGISTRO!A776</f>
        <v/>
      </c>
      <c r="B793" s="31">
        <f>+VLOOKUP($A793,MAGAZZINO!$B$2:$M$4838,2,FALSE)</f>
        <v/>
      </c>
      <c r="C793" s="32">
        <f>+VLOOKUP($A793,MAGAZZINO!$B$2:$M$4838,3,FALSE)</f>
        <v/>
      </c>
      <c r="D793" s="17">
        <f>+VLOOKUP($A793,MAGAZZINO!$B$2:$M$4838,4,FALSE)</f>
        <v/>
      </c>
      <c r="E793" s="17">
        <f>+VLOOKUP($A793,MAGAZZINO!$B$2:$M$4838,5,FALSE)</f>
        <v/>
      </c>
      <c r="F793" s="17">
        <f>+VLOOKUP($A793,MAGAZZINO!$B$2:$M$4838,6,FALSE)</f>
        <v/>
      </c>
      <c r="G793" s="17">
        <f>+VLOOKUP($A793,MAGAZZINO!$B$2:$M$4838,7,FALSE)</f>
        <v/>
      </c>
      <c r="H793" s="17">
        <f>+VLOOKUP($A793,MAGAZZINO!$B$2:$M$4838,8,FALSE)</f>
        <v/>
      </c>
      <c r="I793" s="17">
        <f>+VLOOKUP($A793,MAGAZZINO!$B$2:$M$4838,9,FALSE)</f>
        <v/>
      </c>
      <c r="J793" s="17">
        <f>+VLOOKUP($A793,MAGAZZINO!$B$2:$M$4838,10,FALSE)</f>
        <v/>
      </c>
      <c r="K793" s="17">
        <f>+VLOOKUP($A793,MAGAZZINO!$B$2:$M$4838,11,FALSE)</f>
        <v/>
      </c>
      <c r="L793" s="44">
        <f>+VLOOKUP($A793,MAGAZZINO!$B$2:$M$4838,12,FALSE)</f>
        <v/>
      </c>
    </row>
    <row r="794" ht="36" customHeight="1">
      <c r="A794" s="30">
        <f>+REGISTRO!A777</f>
        <v/>
      </c>
      <c r="B794" s="31">
        <f>+VLOOKUP($A794,MAGAZZINO!$B$2:$M$4838,2,FALSE)</f>
        <v/>
      </c>
      <c r="C794" s="32">
        <f>+VLOOKUP($A794,MAGAZZINO!$B$2:$M$4838,3,FALSE)</f>
        <v/>
      </c>
      <c r="D794" s="17">
        <f>+VLOOKUP($A794,MAGAZZINO!$B$2:$M$4838,4,FALSE)</f>
        <v/>
      </c>
      <c r="E794" s="17">
        <f>+VLOOKUP($A794,MAGAZZINO!$B$2:$M$4838,5,FALSE)</f>
        <v/>
      </c>
      <c r="F794" s="17">
        <f>+VLOOKUP($A794,MAGAZZINO!$B$2:$M$4838,6,FALSE)</f>
        <v/>
      </c>
      <c r="G794" s="17">
        <f>+VLOOKUP($A794,MAGAZZINO!$B$2:$M$4838,7,FALSE)</f>
        <v/>
      </c>
      <c r="H794" s="17">
        <f>+VLOOKUP($A794,MAGAZZINO!$B$2:$M$4838,8,FALSE)</f>
        <v/>
      </c>
      <c r="I794" s="17">
        <f>+VLOOKUP($A794,MAGAZZINO!$B$2:$M$4838,9,FALSE)</f>
        <v/>
      </c>
      <c r="J794" s="17">
        <f>+VLOOKUP($A794,MAGAZZINO!$B$2:$M$4838,10,FALSE)</f>
        <v/>
      </c>
      <c r="K794" s="17">
        <f>+VLOOKUP($A794,MAGAZZINO!$B$2:$M$4838,11,FALSE)</f>
        <v/>
      </c>
      <c r="L794" s="44">
        <f>+VLOOKUP($A794,MAGAZZINO!$B$2:$M$4838,12,FALSE)</f>
        <v/>
      </c>
    </row>
    <row r="795" ht="36" customHeight="1">
      <c r="A795" s="30">
        <f>+REGISTRO!A778</f>
        <v/>
      </c>
      <c r="B795" s="31">
        <f>+VLOOKUP($A795,MAGAZZINO!$B$2:$M$4838,2,FALSE)</f>
        <v/>
      </c>
      <c r="C795" s="32">
        <f>+VLOOKUP($A795,MAGAZZINO!$B$2:$M$4838,3,FALSE)</f>
        <v/>
      </c>
      <c r="D795" s="17">
        <f>+VLOOKUP($A795,MAGAZZINO!$B$2:$M$4838,4,FALSE)</f>
        <v/>
      </c>
      <c r="E795" s="17">
        <f>+VLOOKUP($A795,MAGAZZINO!$B$2:$M$4838,5,FALSE)</f>
        <v/>
      </c>
      <c r="F795" s="17">
        <f>+VLOOKUP($A795,MAGAZZINO!$B$2:$M$4838,6,FALSE)</f>
        <v/>
      </c>
      <c r="G795" s="17">
        <f>+VLOOKUP($A795,MAGAZZINO!$B$2:$M$4838,7,FALSE)</f>
        <v/>
      </c>
      <c r="H795" s="17">
        <f>+VLOOKUP($A795,MAGAZZINO!$B$2:$M$4838,8,FALSE)</f>
        <v/>
      </c>
      <c r="I795" s="17">
        <f>+VLOOKUP($A795,MAGAZZINO!$B$2:$M$4838,9,FALSE)</f>
        <v/>
      </c>
      <c r="J795" s="17">
        <f>+VLOOKUP($A795,MAGAZZINO!$B$2:$M$4838,10,FALSE)</f>
        <v/>
      </c>
      <c r="K795" s="17">
        <f>+VLOOKUP($A795,MAGAZZINO!$B$2:$M$4838,11,FALSE)</f>
        <v/>
      </c>
      <c r="L795" s="44">
        <f>+VLOOKUP($A795,MAGAZZINO!$B$2:$M$4838,12,FALSE)</f>
        <v/>
      </c>
    </row>
    <row r="796" ht="36" customHeight="1">
      <c r="A796" s="30">
        <f>+REGISTRO!A779</f>
        <v/>
      </c>
      <c r="B796" s="31">
        <f>+VLOOKUP($A796,MAGAZZINO!$B$2:$M$4838,2,FALSE)</f>
        <v/>
      </c>
      <c r="C796" s="32">
        <f>+VLOOKUP($A796,MAGAZZINO!$B$2:$M$4838,3,FALSE)</f>
        <v/>
      </c>
      <c r="D796" s="17">
        <f>+VLOOKUP($A796,MAGAZZINO!$B$2:$M$4838,4,FALSE)</f>
        <v/>
      </c>
      <c r="E796" s="17">
        <f>+VLOOKUP($A796,MAGAZZINO!$B$2:$M$4838,5,FALSE)</f>
        <v/>
      </c>
      <c r="F796" s="17">
        <f>+VLOOKUP($A796,MAGAZZINO!$B$2:$M$4838,6,FALSE)</f>
        <v/>
      </c>
      <c r="G796" s="17">
        <f>+VLOOKUP($A796,MAGAZZINO!$B$2:$M$4838,7,FALSE)</f>
        <v/>
      </c>
      <c r="H796" s="17">
        <f>+VLOOKUP($A796,MAGAZZINO!$B$2:$M$4838,8,FALSE)</f>
        <v/>
      </c>
      <c r="I796" s="17">
        <f>+VLOOKUP($A796,MAGAZZINO!$B$2:$M$4838,9,FALSE)</f>
        <v/>
      </c>
      <c r="J796" s="17">
        <f>+VLOOKUP($A796,MAGAZZINO!$B$2:$M$4838,10,FALSE)</f>
        <v/>
      </c>
      <c r="K796" s="17">
        <f>+VLOOKUP($A796,MAGAZZINO!$B$2:$M$4838,11,FALSE)</f>
        <v/>
      </c>
      <c r="L796" s="44">
        <f>+VLOOKUP($A796,MAGAZZINO!$B$2:$M$4838,12,FALSE)</f>
        <v/>
      </c>
    </row>
    <row r="797" ht="36" customHeight="1">
      <c r="A797" s="30">
        <f>+REGISTRO!A780</f>
        <v/>
      </c>
      <c r="B797" s="31">
        <f>+VLOOKUP($A797,MAGAZZINO!$B$2:$M$4838,2,FALSE)</f>
        <v/>
      </c>
      <c r="C797" s="32">
        <f>+VLOOKUP($A797,MAGAZZINO!$B$2:$M$4838,3,FALSE)</f>
        <v/>
      </c>
      <c r="D797" s="17">
        <f>+VLOOKUP($A797,MAGAZZINO!$B$2:$M$4838,4,FALSE)</f>
        <v/>
      </c>
      <c r="E797" s="17">
        <f>+VLOOKUP($A797,MAGAZZINO!$B$2:$M$4838,5,FALSE)</f>
        <v/>
      </c>
      <c r="F797" s="17">
        <f>+VLOOKUP($A797,MAGAZZINO!$B$2:$M$4838,6,FALSE)</f>
        <v/>
      </c>
      <c r="G797" s="17">
        <f>+VLOOKUP($A797,MAGAZZINO!$B$2:$M$4838,7,FALSE)</f>
        <v/>
      </c>
      <c r="H797" s="17">
        <f>+VLOOKUP($A797,MAGAZZINO!$B$2:$M$4838,8,FALSE)</f>
        <v/>
      </c>
      <c r="I797" s="17">
        <f>+VLOOKUP($A797,MAGAZZINO!$B$2:$M$4838,9,FALSE)</f>
        <v/>
      </c>
      <c r="J797" s="17">
        <f>+VLOOKUP($A797,MAGAZZINO!$B$2:$M$4838,10,FALSE)</f>
        <v/>
      </c>
      <c r="K797" s="17">
        <f>+VLOOKUP($A797,MAGAZZINO!$B$2:$M$4838,11,FALSE)</f>
        <v/>
      </c>
      <c r="L797" s="44">
        <f>+VLOOKUP($A797,MAGAZZINO!$B$2:$M$4838,12,FALSE)</f>
        <v/>
      </c>
    </row>
    <row r="798" ht="36" customHeight="1">
      <c r="A798" s="30">
        <f>+REGISTRO!A781</f>
        <v/>
      </c>
      <c r="B798" s="31">
        <f>+VLOOKUP($A798,MAGAZZINO!$B$2:$M$4838,2,FALSE)</f>
        <v/>
      </c>
      <c r="C798" s="32">
        <f>+VLOOKUP($A798,MAGAZZINO!$B$2:$M$4838,3,FALSE)</f>
        <v/>
      </c>
      <c r="D798" s="17">
        <f>+VLOOKUP($A798,MAGAZZINO!$B$2:$M$4838,4,FALSE)</f>
        <v/>
      </c>
      <c r="E798" s="17">
        <f>+VLOOKUP($A798,MAGAZZINO!$B$2:$M$4838,5,FALSE)</f>
        <v/>
      </c>
      <c r="F798" s="17">
        <f>+VLOOKUP($A798,MAGAZZINO!$B$2:$M$4838,6,FALSE)</f>
        <v/>
      </c>
      <c r="G798" s="17">
        <f>+VLOOKUP($A798,MAGAZZINO!$B$2:$M$4838,7,FALSE)</f>
        <v/>
      </c>
      <c r="H798" s="17">
        <f>+VLOOKUP($A798,MAGAZZINO!$B$2:$M$4838,8,FALSE)</f>
        <v/>
      </c>
      <c r="I798" s="17">
        <f>+VLOOKUP($A798,MAGAZZINO!$B$2:$M$4838,9,FALSE)</f>
        <v/>
      </c>
      <c r="J798" s="17">
        <f>+VLOOKUP($A798,MAGAZZINO!$B$2:$M$4838,10,FALSE)</f>
        <v/>
      </c>
      <c r="K798" s="17">
        <f>+VLOOKUP($A798,MAGAZZINO!$B$2:$M$4838,11,FALSE)</f>
        <v/>
      </c>
      <c r="L798" s="44">
        <f>+VLOOKUP($A798,MAGAZZINO!$B$2:$M$4838,12,FALSE)</f>
        <v/>
      </c>
    </row>
    <row r="799" ht="36" customHeight="1">
      <c r="A799" s="30">
        <f>+REGISTRO!A782</f>
        <v/>
      </c>
      <c r="B799" s="31">
        <f>+VLOOKUP($A799,MAGAZZINO!$B$2:$M$4838,2,FALSE)</f>
        <v/>
      </c>
      <c r="C799" s="32">
        <f>+VLOOKUP($A799,MAGAZZINO!$B$2:$M$4838,3,FALSE)</f>
        <v/>
      </c>
      <c r="D799" s="17">
        <f>+VLOOKUP($A799,MAGAZZINO!$B$2:$M$4838,4,FALSE)</f>
        <v/>
      </c>
      <c r="E799" s="17">
        <f>+VLOOKUP($A799,MAGAZZINO!$B$2:$M$4838,5,FALSE)</f>
        <v/>
      </c>
      <c r="F799" s="17">
        <f>+VLOOKUP($A799,MAGAZZINO!$B$2:$M$4838,6,FALSE)</f>
        <v/>
      </c>
      <c r="G799" s="17">
        <f>+VLOOKUP($A799,MAGAZZINO!$B$2:$M$4838,7,FALSE)</f>
        <v/>
      </c>
      <c r="H799" s="17">
        <f>+VLOOKUP($A799,MAGAZZINO!$B$2:$M$4838,8,FALSE)</f>
        <v/>
      </c>
      <c r="I799" s="17">
        <f>+VLOOKUP($A799,MAGAZZINO!$B$2:$M$4838,9,FALSE)</f>
        <v/>
      </c>
      <c r="J799" s="17">
        <f>+VLOOKUP($A799,MAGAZZINO!$B$2:$M$4838,10,FALSE)</f>
        <v/>
      </c>
      <c r="K799" s="17">
        <f>+VLOOKUP($A799,MAGAZZINO!$B$2:$M$4838,11,FALSE)</f>
        <v/>
      </c>
      <c r="L799" s="44">
        <f>+VLOOKUP($A799,MAGAZZINO!$B$2:$M$4838,12,FALSE)</f>
        <v/>
      </c>
    </row>
    <row r="800" ht="36" customHeight="1">
      <c r="A800" s="30">
        <f>+REGISTRO!A783</f>
        <v/>
      </c>
      <c r="B800" s="31">
        <f>+VLOOKUP($A800,MAGAZZINO!$B$2:$M$4838,2,FALSE)</f>
        <v/>
      </c>
      <c r="C800" s="32">
        <f>+VLOOKUP($A800,MAGAZZINO!$B$2:$M$4838,3,FALSE)</f>
        <v/>
      </c>
      <c r="D800" s="17">
        <f>+VLOOKUP($A800,MAGAZZINO!$B$2:$M$4838,4,FALSE)</f>
        <v/>
      </c>
      <c r="E800" s="17">
        <f>+VLOOKUP($A800,MAGAZZINO!$B$2:$M$4838,5,FALSE)</f>
        <v/>
      </c>
      <c r="F800" s="17">
        <f>+VLOOKUP($A800,MAGAZZINO!$B$2:$M$4838,6,FALSE)</f>
        <v/>
      </c>
      <c r="G800" s="17">
        <f>+VLOOKUP($A800,MAGAZZINO!$B$2:$M$4838,7,FALSE)</f>
        <v/>
      </c>
      <c r="H800" s="17">
        <f>+VLOOKUP($A800,MAGAZZINO!$B$2:$M$4838,8,FALSE)</f>
        <v/>
      </c>
      <c r="I800" s="17">
        <f>+VLOOKUP($A800,MAGAZZINO!$B$2:$M$4838,9,FALSE)</f>
        <v/>
      </c>
      <c r="J800" s="17">
        <f>+VLOOKUP($A800,MAGAZZINO!$B$2:$M$4838,10,FALSE)</f>
        <v/>
      </c>
      <c r="K800" s="17">
        <f>+VLOOKUP($A800,MAGAZZINO!$B$2:$M$4838,11,FALSE)</f>
        <v/>
      </c>
      <c r="L800" s="44">
        <f>+VLOOKUP($A800,MAGAZZINO!$B$2:$M$4838,12,FALSE)</f>
        <v/>
      </c>
    </row>
    <row r="801" ht="36" customHeight="1">
      <c r="A801" s="30">
        <f>+REGISTRO!A784</f>
        <v/>
      </c>
      <c r="B801" s="31">
        <f>+VLOOKUP($A801,MAGAZZINO!$B$2:$M$4838,2,FALSE)</f>
        <v/>
      </c>
      <c r="C801" s="32">
        <f>+VLOOKUP($A801,MAGAZZINO!$B$2:$M$4838,3,FALSE)</f>
        <v/>
      </c>
      <c r="D801" s="17">
        <f>+VLOOKUP($A801,MAGAZZINO!$B$2:$M$4838,4,FALSE)</f>
        <v/>
      </c>
      <c r="E801" s="17">
        <f>+VLOOKUP($A801,MAGAZZINO!$B$2:$M$4838,5,FALSE)</f>
        <v/>
      </c>
      <c r="F801" s="17">
        <f>+VLOOKUP($A801,MAGAZZINO!$B$2:$M$4838,6,FALSE)</f>
        <v/>
      </c>
      <c r="G801" s="17">
        <f>+VLOOKUP($A801,MAGAZZINO!$B$2:$M$4838,7,FALSE)</f>
        <v/>
      </c>
      <c r="H801" s="17">
        <f>+VLOOKUP($A801,MAGAZZINO!$B$2:$M$4838,8,FALSE)</f>
        <v/>
      </c>
      <c r="I801" s="17">
        <f>+VLOOKUP($A801,MAGAZZINO!$B$2:$M$4838,9,FALSE)</f>
        <v/>
      </c>
      <c r="J801" s="17">
        <f>+VLOOKUP($A801,MAGAZZINO!$B$2:$M$4838,10,FALSE)</f>
        <v/>
      </c>
      <c r="K801" s="17">
        <f>+VLOOKUP($A801,MAGAZZINO!$B$2:$M$4838,11,FALSE)</f>
        <v/>
      </c>
      <c r="L801" s="44">
        <f>+VLOOKUP($A801,MAGAZZINO!$B$2:$M$4838,12,FALSE)</f>
        <v/>
      </c>
    </row>
    <row r="802" ht="36" customHeight="1">
      <c r="A802" s="30">
        <f>+REGISTRO!A785</f>
        <v/>
      </c>
      <c r="B802" s="31">
        <f>+VLOOKUP($A802,MAGAZZINO!$B$2:$M$4838,2,FALSE)</f>
        <v/>
      </c>
      <c r="C802" s="32">
        <f>+VLOOKUP($A802,MAGAZZINO!$B$2:$M$4838,3,FALSE)</f>
        <v/>
      </c>
      <c r="D802" s="17">
        <f>+VLOOKUP($A802,MAGAZZINO!$B$2:$M$4838,4,FALSE)</f>
        <v/>
      </c>
      <c r="E802" s="17">
        <f>+VLOOKUP($A802,MAGAZZINO!$B$2:$M$4838,5,FALSE)</f>
        <v/>
      </c>
      <c r="F802" s="17">
        <f>+VLOOKUP($A802,MAGAZZINO!$B$2:$M$4838,6,FALSE)</f>
        <v/>
      </c>
      <c r="G802" s="17">
        <f>+VLOOKUP($A802,MAGAZZINO!$B$2:$M$4838,7,FALSE)</f>
        <v/>
      </c>
      <c r="H802" s="17">
        <f>+VLOOKUP($A802,MAGAZZINO!$B$2:$M$4838,8,FALSE)</f>
        <v/>
      </c>
      <c r="I802" s="17">
        <f>+VLOOKUP($A802,MAGAZZINO!$B$2:$M$4838,9,FALSE)</f>
        <v/>
      </c>
      <c r="J802" s="17">
        <f>+VLOOKUP($A802,MAGAZZINO!$B$2:$M$4838,10,FALSE)</f>
        <v/>
      </c>
      <c r="K802" s="17">
        <f>+VLOOKUP($A802,MAGAZZINO!$B$2:$M$4838,11,FALSE)</f>
        <v/>
      </c>
      <c r="L802" s="44">
        <f>+VLOOKUP($A802,MAGAZZINO!$B$2:$M$4838,12,FALSE)</f>
        <v/>
      </c>
    </row>
    <row r="803" ht="36" customHeight="1">
      <c r="A803" s="30">
        <f>+REGISTRO!A786</f>
        <v/>
      </c>
      <c r="B803" s="31">
        <f>+VLOOKUP($A803,MAGAZZINO!$B$2:$M$4838,2,FALSE)</f>
        <v/>
      </c>
      <c r="C803" s="32">
        <f>+VLOOKUP($A803,MAGAZZINO!$B$2:$M$4838,3,FALSE)</f>
        <v/>
      </c>
      <c r="D803" s="17">
        <f>+VLOOKUP($A803,MAGAZZINO!$B$2:$M$4838,4,FALSE)</f>
        <v/>
      </c>
      <c r="E803" s="17">
        <f>+VLOOKUP($A803,MAGAZZINO!$B$2:$M$4838,5,FALSE)</f>
        <v/>
      </c>
      <c r="F803" s="17">
        <f>+VLOOKUP($A803,MAGAZZINO!$B$2:$M$4838,6,FALSE)</f>
        <v/>
      </c>
      <c r="G803" s="17">
        <f>+VLOOKUP($A803,MAGAZZINO!$B$2:$M$4838,7,FALSE)</f>
        <v/>
      </c>
      <c r="H803" s="17">
        <f>+VLOOKUP($A803,MAGAZZINO!$B$2:$M$4838,8,FALSE)</f>
        <v/>
      </c>
      <c r="I803" s="17">
        <f>+VLOOKUP($A803,MAGAZZINO!$B$2:$M$4838,9,FALSE)</f>
        <v/>
      </c>
      <c r="J803" s="17">
        <f>+VLOOKUP($A803,MAGAZZINO!$B$2:$M$4838,10,FALSE)</f>
        <v/>
      </c>
      <c r="K803" s="17">
        <f>+VLOOKUP($A803,MAGAZZINO!$B$2:$M$4838,11,FALSE)</f>
        <v/>
      </c>
      <c r="L803" s="44">
        <f>+VLOOKUP($A803,MAGAZZINO!$B$2:$M$4838,12,FALSE)</f>
        <v/>
      </c>
    </row>
    <row r="804" ht="36" customHeight="1">
      <c r="A804" s="30">
        <f>+REGISTRO!A787</f>
        <v/>
      </c>
      <c r="B804" s="31">
        <f>+VLOOKUP($A804,MAGAZZINO!$B$2:$M$4838,2,FALSE)</f>
        <v/>
      </c>
      <c r="C804" s="32">
        <f>+VLOOKUP($A804,MAGAZZINO!$B$2:$M$4838,3,FALSE)</f>
        <v/>
      </c>
      <c r="D804" s="17">
        <f>+VLOOKUP($A804,MAGAZZINO!$B$2:$M$4838,4,FALSE)</f>
        <v/>
      </c>
      <c r="E804" s="17">
        <f>+VLOOKUP($A804,MAGAZZINO!$B$2:$M$4838,5,FALSE)</f>
        <v/>
      </c>
      <c r="F804" s="17">
        <f>+VLOOKUP($A804,MAGAZZINO!$B$2:$M$4838,6,FALSE)</f>
        <v/>
      </c>
      <c r="G804" s="17">
        <f>+VLOOKUP($A804,MAGAZZINO!$B$2:$M$4838,7,FALSE)</f>
        <v/>
      </c>
      <c r="H804" s="17">
        <f>+VLOOKUP($A804,MAGAZZINO!$B$2:$M$4838,8,FALSE)</f>
        <v/>
      </c>
      <c r="I804" s="17">
        <f>+VLOOKUP($A804,MAGAZZINO!$B$2:$M$4838,9,FALSE)</f>
        <v/>
      </c>
      <c r="J804" s="17">
        <f>+VLOOKUP($A804,MAGAZZINO!$B$2:$M$4838,10,FALSE)</f>
        <v/>
      </c>
      <c r="K804" s="17">
        <f>+VLOOKUP($A804,MAGAZZINO!$B$2:$M$4838,11,FALSE)</f>
        <v/>
      </c>
      <c r="L804" s="44">
        <f>+VLOOKUP($A804,MAGAZZINO!$B$2:$M$4838,12,FALSE)</f>
        <v/>
      </c>
    </row>
    <row r="805" ht="36" customHeight="1">
      <c r="A805" s="30">
        <f>+REGISTRO!A788</f>
        <v/>
      </c>
      <c r="B805" s="31">
        <f>+VLOOKUP($A805,MAGAZZINO!$B$2:$M$4838,2,FALSE)</f>
        <v/>
      </c>
      <c r="C805" s="32">
        <f>+VLOOKUP($A805,MAGAZZINO!$B$2:$M$4838,3,FALSE)</f>
        <v/>
      </c>
      <c r="D805" s="17">
        <f>+VLOOKUP($A805,MAGAZZINO!$B$2:$M$4838,4,FALSE)</f>
        <v/>
      </c>
      <c r="E805" s="17">
        <f>+VLOOKUP($A805,MAGAZZINO!$B$2:$M$4838,5,FALSE)</f>
        <v/>
      </c>
      <c r="F805" s="17">
        <f>+VLOOKUP($A805,MAGAZZINO!$B$2:$M$4838,6,FALSE)</f>
        <v/>
      </c>
      <c r="G805" s="17">
        <f>+VLOOKUP($A805,MAGAZZINO!$B$2:$M$4838,7,FALSE)</f>
        <v/>
      </c>
      <c r="H805" s="17">
        <f>+VLOOKUP($A805,MAGAZZINO!$B$2:$M$4838,8,FALSE)</f>
        <v/>
      </c>
      <c r="I805" s="17">
        <f>+VLOOKUP($A805,MAGAZZINO!$B$2:$M$4838,9,FALSE)</f>
        <v/>
      </c>
      <c r="J805" s="17">
        <f>+VLOOKUP($A805,MAGAZZINO!$B$2:$M$4838,10,FALSE)</f>
        <v/>
      </c>
      <c r="K805" s="17">
        <f>+VLOOKUP($A805,MAGAZZINO!$B$2:$M$4838,11,FALSE)</f>
        <v/>
      </c>
      <c r="L805" s="44">
        <f>+VLOOKUP($A805,MAGAZZINO!$B$2:$M$4838,12,FALSE)</f>
        <v/>
      </c>
    </row>
    <row r="806" ht="36" customHeight="1">
      <c r="A806" s="30">
        <f>+REGISTRO!A789</f>
        <v/>
      </c>
      <c r="B806" s="31">
        <f>+VLOOKUP($A806,MAGAZZINO!$B$2:$M$4838,2,FALSE)</f>
        <v/>
      </c>
      <c r="C806" s="32">
        <f>+VLOOKUP($A806,MAGAZZINO!$B$2:$M$4838,3,FALSE)</f>
        <v/>
      </c>
      <c r="D806" s="17">
        <f>+VLOOKUP($A806,MAGAZZINO!$B$2:$M$4838,4,FALSE)</f>
        <v/>
      </c>
      <c r="E806" s="17">
        <f>+VLOOKUP($A806,MAGAZZINO!$B$2:$M$4838,5,FALSE)</f>
        <v/>
      </c>
      <c r="F806" s="17">
        <f>+VLOOKUP($A806,MAGAZZINO!$B$2:$M$4838,6,FALSE)</f>
        <v/>
      </c>
      <c r="G806" s="17">
        <f>+VLOOKUP($A806,MAGAZZINO!$B$2:$M$4838,7,FALSE)</f>
        <v/>
      </c>
      <c r="H806" s="17">
        <f>+VLOOKUP($A806,MAGAZZINO!$B$2:$M$4838,8,FALSE)</f>
        <v/>
      </c>
      <c r="I806" s="17">
        <f>+VLOOKUP($A806,MAGAZZINO!$B$2:$M$4838,9,FALSE)</f>
        <v/>
      </c>
      <c r="J806" s="17">
        <f>+VLOOKUP($A806,MAGAZZINO!$B$2:$M$4838,10,FALSE)</f>
        <v/>
      </c>
      <c r="K806" s="17">
        <f>+VLOOKUP($A806,MAGAZZINO!$B$2:$M$4838,11,FALSE)</f>
        <v/>
      </c>
      <c r="L806" s="44">
        <f>+VLOOKUP($A806,MAGAZZINO!$B$2:$M$4838,12,FALSE)</f>
        <v/>
      </c>
    </row>
    <row r="807" ht="36" customHeight="1">
      <c r="A807" s="30">
        <f>+REGISTRO!A790</f>
        <v/>
      </c>
      <c r="B807" s="31">
        <f>+VLOOKUP($A807,MAGAZZINO!$B$2:$M$4838,2,FALSE)</f>
        <v/>
      </c>
      <c r="C807" s="32">
        <f>+VLOOKUP($A807,MAGAZZINO!$B$2:$M$4838,3,FALSE)</f>
        <v/>
      </c>
      <c r="D807" s="17">
        <f>+VLOOKUP($A807,MAGAZZINO!$B$2:$M$4838,4,FALSE)</f>
        <v/>
      </c>
      <c r="E807" s="17">
        <f>+VLOOKUP($A807,MAGAZZINO!$B$2:$M$4838,5,FALSE)</f>
        <v/>
      </c>
      <c r="F807" s="17">
        <f>+VLOOKUP($A807,MAGAZZINO!$B$2:$M$4838,6,FALSE)</f>
        <v/>
      </c>
      <c r="G807" s="17">
        <f>+VLOOKUP($A807,MAGAZZINO!$B$2:$M$4838,7,FALSE)</f>
        <v/>
      </c>
      <c r="H807" s="17">
        <f>+VLOOKUP($A807,MAGAZZINO!$B$2:$M$4838,8,FALSE)</f>
        <v/>
      </c>
      <c r="I807" s="17">
        <f>+VLOOKUP($A807,MAGAZZINO!$B$2:$M$4838,9,FALSE)</f>
        <v/>
      </c>
      <c r="J807" s="17">
        <f>+VLOOKUP($A807,MAGAZZINO!$B$2:$M$4838,10,FALSE)</f>
        <v/>
      </c>
      <c r="K807" s="17">
        <f>+VLOOKUP($A807,MAGAZZINO!$B$2:$M$4838,11,FALSE)</f>
        <v/>
      </c>
      <c r="L807" s="44">
        <f>+VLOOKUP($A807,MAGAZZINO!$B$2:$M$4838,12,FALSE)</f>
        <v/>
      </c>
    </row>
    <row r="808" ht="36" customHeight="1">
      <c r="A808" s="30">
        <f>+REGISTRO!A791</f>
        <v/>
      </c>
      <c r="B808" s="31">
        <f>+VLOOKUP($A808,MAGAZZINO!$B$2:$M$4838,2,FALSE)</f>
        <v/>
      </c>
      <c r="C808" s="32">
        <f>+VLOOKUP($A808,MAGAZZINO!$B$2:$M$4838,3,FALSE)</f>
        <v/>
      </c>
      <c r="D808" s="17">
        <f>+VLOOKUP($A808,MAGAZZINO!$B$2:$M$4838,4,FALSE)</f>
        <v/>
      </c>
      <c r="E808" s="17">
        <f>+VLOOKUP($A808,MAGAZZINO!$B$2:$M$4838,5,FALSE)</f>
        <v/>
      </c>
      <c r="F808" s="17">
        <f>+VLOOKUP($A808,MAGAZZINO!$B$2:$M$4838,6,FALSE)</f>
        <v/>
      </c>
      <c r="G808" s="17">
        <f>+VLOOKUP($A808,MAGAZZINO!$B$2:$M$4838,7,FALSE)</f>
        <v/>
      </c>
      <c r="H808" s="17">
        <f>+VLOOKUP($A808,MAGAZZINO!$B$2:$M$4838,8,FALSE)</f>
        <v/>
      </c>
      <c r="I808" s="17">
        <f>+VLOOKUP($A808,MAGAZZINO!$B$2:$M$4838,9,FALSE)</f>
        <v/>
      </c>
      <c r="J808" s="17">
        <f>+VLOOKUP($A808,MAGAZZINO!$B$2:$M$4838,10,FALSE)</f>
        <v/>
      </c>
      <c r="K808" s="17">
        <f>+VLOOKUP($A808,MAGAZZINO!$B$2:$M$4838,11,FALSE)</f>
        <v/>
      </c>
      <c r="L808" s="44">
        <f>+VLOOKUP($A808,MAGAZZINO!$B$2:$M$4838,12,FALSE)</f>
        <v/>
      </c>
    </row>
    <row r="809" ht="36" customHeight="1">
      <c r="A809" s="30">
        <f>+REGISTRO!A792</f>
        <v/>
      </c>
      <c r="B809" s="31">
        <f>+VLOOKUP($A809,MAGAZZINO!$B$2:$M$4838,2,FALSE)</f>
        <v/>
      </c>
      <c r="C809" s="32">
        <f>+VLOOKUP($A809,MAGAZZINO!$B$2:$M$4838,3,FALSE)</f>
        <v/>
      </c>
      <c r="D809" s="17">
        <f>+VLOOKUP($A809,MAGAZZINO!$B$2:$M$4838,4,FALSE)</f>
        <v/>
      </c>
      <c r="E809" s="17">
        <f>+VLOOKUP($A809,MAGAZZINO!$B$2:$M$4838,5,FALSE)</f>
        <v/>
      </c>
      <c r="F809" s="17">
        <f>+VLOOKUP($A809,MAGAZZINO!$B$2:$M$4838,6,FALSE)</f>
        <v/>
      </c>
      <c r="G809" s="17">
        <f>+VLOOKUP($A809,MAGAZZINO!$B$2:$M$4838,7,FALSE)</f>
        <v/>
      </c>
      <c r="H809" s="17">
        <f>+VLOOKUP($A809,MAGAZZINO!$B$2:$M$4838,8,FALSE)</f>
        <v/>
      </c>
      <c r="I809" s="17">
        <f>+VLOOKUP($A809,MAGAZZINO!$B$2:$M$4838,9,FALSE)</f>
        <v/>
      </c>
      <c r="J809" s="17">
        <f>+VLOOKUP($A809,MAGAZZINO!$B$2:$M$4838,10,FALSE)</f>
        <v/>
      </c>
      <c r="K809" s="17">
        <f>+VLOOKUP($A809,MAGAZZINO!$B$2:$M$4838,11,FALSE)</f>
        <v/>
      </c>
      <c r="L809" s="44">
        <f>+VLOOKUP($A809,MAGAZZINO!$B$2:$M$4838,12,FALSE)</f>
        <v/>
      </c>
    </row>
    <row r="810" ht="36" customHeight="1">
      <c r="A810" s="30">
        <f>+REGISTRO!A793</f>
        <v/>
      </c>
      <c r="B810" s="31">
        <f>+VLOOKUP($A810,MAGAZZINO!$B$2:$M$4838,2,FALSE)</f>
        <v/>
      </c>
      <c r="C810" s="32">
        <f>+VLOOKUP($A810,MAGAZZINO!$B$2:$M$4838,3,FALSE)</f>
        <v/>
      </c>
      <c r="D810" s="17">
        <f>+VLOOKUP($A810,MAGAZZINO!$B$2:$M$4838,4,FALSE)</f>
        <v/>
      </c>
      <c r="E810" s="17">
        <f>+VLOOKUP($A810,MAGAZZINO!$B$2:$M$4838,5,FALSE)</f>
        <v/>
      </c>
      <c r="F810" s="17">
        <f>+VLOOKUP($A810,MAGAZZINO!$B$2:$M$4838,6,FALSE)</f>
        <v/>
      </c>
      <c r="G810" s="17">
        <f>+VLOOKUP($A810,MAGAZZINO!$B$2:$M$4838,7,FALSE)</f>
        <v/>
      </c>
      <c r="H810" s="17">
        <f>+VLOOKUP($A810,MAGAZZINO!$B$2:$M$4838,8,FALSE)</f>
        <v/>
      </c>
      <c r="I810" s="17">
        <f>+VLOOKUP($A810,MAGAZZINO!$B$2:$M$4838,9,FALSE)</f>
        <v/>
      </c>
      <c r="J810" s="17">
        <f>+VLOOKUP($A810,MAGAZZINO!$B$2:$M$4838,10,FALSE)</f>
        <v/>
      </c>
      <c r="K810" s="17">
        <f>+VLOOKUP($A810,MAGAZZINO!$B$2:$M$4838,11,FALSE)</f>
        <v/>
      </c>
      <c r="L810" s="44">
        <f>+VLOOKUP($A810,MAGAZZINO!$B$2:$M$4838,12,FALSE)</f>
        <v/>
      </c>
    </row>
    <row r="811" ht="36" customHeight="1">
      <c r="A811" s="30">
        <f>+REGISTRO!A794</f>
        <v/>
      </c>
      <c r="B811" s="31">
        <f>+VLOOKUP($A811,MAGAZZINO!$B$2:$M$4838,2,FALSE)</f>
        <v/>
      </c>
      <c r="C811" s="32">
        <f>+VLOOKUP($A811,MAGAZZINO!$B$2:$M$4838,3,FALSE)</f>
        <v/>
      </c>
      <c r="D811" s="17">
        <f>+VLOOKUP($A811,MAGAZZINO!$B$2:$M$4838,4,FALSE)</f>
        <v/>
      </c>
      <c r="E811" s="17">
        <f>+VLOOKUP($A811,MAGAZZINO!$B$2:$M$4838,5,FALSE)</f>
        <v/>
      </c>
      <c r="F811" s="17">
        <f>+VLOOKUP($A811,MAGAZZINO!$B$2:$M$4838,6,FALSE)</f>
        <v/>
      </c>
      <c r="G811" s="17">
        <f>+VLOOKUP($A811,MAGAZZINO!$B$2:$M$4838,7,FALSE)</f>
        <v/>
      </c>
      <c r="H811" s="17">
        <f>+VLOOKUP($A811,MAGAZZINO!$B$2:$M$4838,8,FALSE)</f>
        <v/>
      </c>
      <c r="I811" s="17">
        <f>+VLOOKUP($A811,MAGAZZINO!$B$2:$M$4838,9,FALSE)</f>
        <v/>
      </c>
      <c r="J811" s="17">
        <f>+VLOOKUP($A811,MAGAZZINO!$B$2:$M$4838,10,FALSE)</f>
        <v/>
      </c>
      <c r="K811" s="17">
        <f>+VLOOKUP($A811,MAGAZZINO!$B$2:$M$4838,11,FALSE)</f>
        <v/>
      </c>
      <c r="L811" s="44">
        <f>+VLOOKUP($A811,MAGAZZINO!$B$2:$M$4838,12,FALSE)</f>
        <v/>
      </c>
    </row>
    <row r="812" ht="36" customHeight="1">
      <c r="A812" s="30">
        <f>+REGISTRO!A795</f>
        <v/>
      </c>
      <c r="B812" s="31">
        <f>+VLOOKUP($A812,MAGAZZINO!$B$2:$M$4838,2,FALSE)</f>
        <v/>
      </c>
      <c r="C812" s="32">
        <f>+VLOOKUP($A812,MAGAZZINO!$B$2:$M$4838,3,FALSE)</f>
        <v/>
      </c>
      <c r="D812" s="17">
        <f>+VLOOKUP($A812,MAGAZZINO!$B$2:$M$4838,4,FALSE)</f>
        <v/>
      </c>
      <c r="E812" s="17">
        <f>+VLOOKUP($A812,MAGAZZINO!$B$2:$M$4838,5,FALSE)</f>
        <v/>
      </c>
      <c r="F812" s="17">
        <f>+VLOOKUP($A812,MAGAZZINO!$B$2:$M$4838,6,FALSE)</f>
        <v/>
      </c>
      <c r="G812" s="17">
        <f>+VLOOKUP($A812,MAGAZZINO!$B$2:$M$4838,7,FALSE)</f>
        <v/>
      </c>
      <c r="H812" s="17">
        <f>+VLOOKUP($A812,MAGAZZINO!$B$2:$M$4838,8,FALSE)</f>
        <v/>
      </c>
      <c r="I812" s="17">
        <f>+VLOOKUP($A812,MAGAZZINO!$B$2:$M$4838,9,FALSE)</f>
        <v/>
      </c>
      <c r="J812" s="17">
        <f>+VLOOKUP($A812,MAGAZZINO!$B$2:$M$4838,10,FALSE)</f>
        <v/>
      </c>
      <c r="K812" s="17">
        <f>+VLOOKUP($A812,MAGAZZINO!$B$2:$M$4838,11,FALSE)</f>
        <v/>
      </c>
      <c r="L812" s="44">
        <f>+VLOOKUP($A812,MAGAZZINO!$B$2:$M$4838,12,FALSE)</f>
        <v/>
      </c>
    </row>
    <row r="813" ht="36" customHeight="1">
      <c r="A813" s="30">
        <f>+REGISTRO!A796</f>
        <v/>
      </c>
      <c r="B813" s="31">
        <f>+VLOOKUP($A813,MAGAZZINO!$B$2:$M$4838,2,FALSE)</f>
        <v/>
      </c>
      <c r="C813" s="32">
        <f>+VLOOKUP($A813,MAGAZZINO!$B$2:$M$4838,3,FALSE)</f>
        <v/>
      </c>
      <c r="D813" s="17">
        <f>+VLOOKUP($A813,MAGAZZINO!$B$2:$M$4838,4,FALSE)</f>
        <v/>
      </c>
      <c r="E813" s="17">
        <f>+VLOOKUP($A813,MAGAZZINO!$B$2:$M$4838,5,FALSE)</f>
        <v/>
      </c>
      <c r="F813" s="17">
        <f>+VLOOKUP($A813,MAGAZZINO!$B$2:$M$4838,6,FALSE)</f>
        <v/>
      </c>
      <c r="G813" s="17">
        <f>+VLOOKUP($A813,MAGAZZINO!$B$2:$M$4838,7,FALSE)</f>
        <v/>
      </c>
      <c r="H813" s="17">
        <f>+VLOOKUP($A813,MAGAZZINO!$B$2:$M$4838,8,FALSE)</f>
        <v/>
      </c>
      <c r="I813" s="17">
        <f>+VLOOKUP($A813,MAGAZZINO!$B$2:$M$4838,9,FALSE)</f>
        <v/>
      </c>
      <c r="J813" s="17">
        <f>+VLOOKUP($A813,MAGAZZINO!$B$2:$M$4838,10,FALSE)</f>
        <v/>
      </c>
      <c r="K813" s="17">
        <f>+VLOOKUP($A813,MAGAZZINO!$B$2:$M$4838,11,FALSE)</f>
        <v/>
      </c>
      <c r="L813" s="44">
        <f>+VLOOKUP($A813,MAGAZZINO!$B$2:$M$4838,12,FALSE)</f>
        <v/>
      </c>
    </row>
    <row r="814" ht="36" customHeight="1">
      <c r="A814" s="30">
        <f>+REGISTRO!A797</f>
        <v/>
      </c>
      <c r="B814" s="31">
        <f>+VLOOKUP($A814,MAGAZZINO!$B$2:$M$4838,2,FALSE)</f>
        <v/>
      </c>
      <c r="C814" s="32">
        <f>+VLOOKUP($A814,MAGAZZINO!$B$2:$M$4838,3,FALSE)</f>
        <v/>
      </c>
      <c r="D814" s="17">
        <f>+VLOOKUP($A814,MAGAZZINO!$B$2:$M$4838,4,FALSE)</f>
        <v/>
      </c>
      <c r="E814" s="17">
        <f>+VLOOKUP($A814,MAGAZZINO!$B$2:$M$4838,5,FALSE)</f>
        <v/>
      </c>
      <c r="F814" s="17">
        <f>+VLOOKUP($A814,MAGAZZINO!$B$2:$M$4838,6,FALSE)</f>
        <v/>
      </c>
      <c r="G814" s="17">
        <f>+VLOOKUP($A814,MAGAZZINO!$B$2:$M$4838,7,FALSE)</f>
        <v/>
      </c>
      <c r="H814" s="17">
        <f>+VLOOKUP($A814,MAGAZZINO!$B$2:$M$4838,8,FALSE)</f>
        <v/>
      </c>
      <c r="I814" s="17">
        <f>+VLOOKUP($A814,MAGAZZINO!$B$2:$M$4838,9,FALSE)</f>
        <v/>
      </c>
      <c r="J814" s="17">
        <f>+VLOOKUP($A814,MAGAZZINO!$B$2:$M$4838,10,FALSE)</f>
        <v/>
      </c>
      <c r="K814" s="17">
        <f>+VLOOKUP($A814,MAGAZZINO!$B$2:$M$4838,11,FALSE)</f>
        <v/>
      </c>
      <c r="L814" s="44">
        <f>+VLOOKUP($A814,MAGAZZINO!$B$2:$M$4838,12,FALSE)</f>
        <v/>
      </c>
    </row>
    <row r="815" ht="36" customHeight="1">
      <c r="A815" s="30">
        <f>+REGISTRO!A798</f>
        <v/>
      </c>
      <c r="B815" s="31">
        <f>+VLOOKUP($A815,MAGAZZINO!$B$2:$M$4838,2,FALSE)</f>
        <v/>
      </c>
      <c r="C815" s="32">
        <f>+VLOOKUP($A815,MAGAZZINO!$B$2:$M$4838,3,FALSE)</f>
        <v/>
      </c>
      <c r="D815" s="17">
        <f>+VLOOKUP($A815,MAGAZZINO!$B$2:$M$4838,4,FALSE)</f>
        <v/>
      </c>
      <c r="E815" s="17">
        <f>+VLOOKUP($A815,MAGAZZINO!$B$2:$M$4838,5,FALSE)</f>
        <v/>
      </c>
      <c r="F815" s="17">
        <f>+VLOOKUP($A815,MAGAZZINO!$B$2:$M$4838,6,FALSE)</f>
        <v/>
      </c>
      <c r="G815" s="17">
        <f>+VLOOKUP($A815,MAGAZZINO!$B$2:$M$4838,7,FALSE)</f>
        <v/>
      </c>
      <c r="H815" s="17">
        <f>+VLOOKUP($A815,MAGAZZINO!$B$2:$M$4838,8,FALSE)</f>
        <v/>
      </c>
      <c r="I815" s="17">
        <f>+VLOOKUP($A815,MAGAZZINO!$B$2:$M$4838,9,FALSE)</f>
        <v/>
      </c>
      <c r="J815" s="17">
        <f>+VLOOKUP($A815,MAGAZZINO!$B$2:$M$4838,10,FALSE)</f>
        <v/>
      </c>
      <c r="K815" s="17">
        <f>+VLOOKUP($A815,MAGAZZINO!$B$2:$M$4838,11,FALSE)</f>
        <v/>
      </c>
      <c r="L815" s="44">
        <f>+VLOOKUP($A815,MAGAZZINO!$B$2:$M$4838,12,FALSE)</f>
        <v/>
      </c>
    </row>
    <row r="816" ht="36" customHeight="1">
      <c r="A816" s="30">
        <f>+REGISTRO!A799</f>
        <v/>
      </c>
      <c r="B816" s="31">
        <f>+VLOOKUP($A816,MAGAZZINO!$B$2:$M$4838,2,FALSE)</f>
        <v/>
      </c>
      <c r="C816" s="32">
        <f>+VLOOKUP($A816,MAGAZZINO!$B$2:$M$4838,3,FALSE)</f>
        <v/>
      </c>
      <c r="D816" s="17">
        <f>+VLOOKUP($A816,MAGAZZINO!$B$2:$M$4838,4,FALSE)</f>
        <v/>
      </c>
      <c r="E816" s="17">
        <f>+VLOOKUP($A816,MAGAZZINO!$B$2:$M$4838,5,FALSE)</f>
        <v/>
      </c>
      <c r="F816" s="17">
        <f>+VLOOKUP($A816,MAGAZZINO!$B$2:$M$4838,6,FALSE)</f>
        <v/>
      </c>
      <c r="G816" s="17">
        <f>+VLOOKUP($A816,MAGAZZINO!$B$2:$M$4838,7,FALSE)</f>
        <v/>
      </c>
      <c r="H816" s="17">
        <f>+VLOOKUP($A816,MAGAZZINO!$B$2:$M$4838,8,FALSE)</f>
        <v/>
      </c>
      <c r="I816" s="17">
        <f>+VLOOKUP($A816,MAGAZZINO!$B$2:$M$4838,9,FALSE)</f>
        <v/>
      </c>
      <c r="J816" s="17">
        <f>+VLOOKUP($A816,MAGAZZINO!$B$2:$M$4838,10,FALSE)</f>
        <v/>
      </c>
      <c r="K816" s="17">
        <f>+VLOOKUP($A816,MAGAZZINO!$B$2:$M$4838,11,FALSE)</f>
        <v/>
      </c>
      <c r="L816" s="44">
        <f>+VLOOKUP($A816,MAGAZZINO!$B$2:$M$4838,12,FALSE)</f>
        <v/>
      </c>
    </row>
    <row r="817" ht="36" customHeight="1">
      <c r="A817" s="30">
        <f>+REGISTRO!A800</f>
        <v/>
      </c>
      <c r="B817" s="31">
        <f>+VLOOKUP($A817,MAGAZZINO!$B$2:$M$4838,2,FALSE)</f>
        <v/>
      </c>
      <c r="C817" s="32">
        <f>+VLOOKUP($A817,MAGAZZINO!$B$2:$M$4838,3,FALSE)</f>
        <v/>
      </c>
      <c r="D817" s="17">
        <f>+VLOOKUP($A817,MAGAZZINO!$B$2:$M$4838,4,FALSE)</f>
        <v/>
      </c>
      <c r="E817" s="17">
        <f>+VLOOKUP($A817,MAGAZZINO!$B$2:$M$4838,5,FALSE)</f>
        <v/>
      </c>
      <c r="F817" s="17">
        <f>+VLOOKUP($A817,MAGAZZINO!$B$2:$M$4838,6,FALSE)</f>
        <v/>
      </c>
      <c r="G817" s="17">
        <f>+VLOOKUP($A817,MAGAZZINO!$B$2:$M$4838,7,FALSE)</f>
        <v/>
      </c>
      <c r="H817" s="17">
        <f>+VLOOKUP($A817,MAGAZZINO!$B$2:$M$4838,8,FALSE)</f>
        <v/>
      </c>
      <c r="I817" s="17">
        <f>+VLOOKUP($A817,MAGAZZINO!$B$2:$M$4838,9,FALSE)</f>
        <v/>
      </c>
      <c r="J817" s="17">
        <f>+VLOOKUP($A817,MAGAZZINO!$B$2:$M$4838,10,FALSE)</f>
        <v/>
      </c>
      <c r="K817" s="17">
        <f>+VLOOKUP($A817,MAGAZZINO!$B$2:$M$4838,11,FALSE)</f>
        <v/>
      </c>
      <c r="L817" s="44">
        <f>+VLOOKUP($A817,MAGAZZINO!$B$2:$M$4838,12,FALSE)</f>
        <v/>
      </c>
    </row>
    <row r="818" ht="36" customHeight="1">
      <c r="A818" s="30">
        <f>+REGISTRO!A801</f>
        <v/>
      </c>
      <c r="B818" s="31">
        <f>+VLOOKUP($A818,MAGAZZINO!$B$2:$M$4838,2,FALSE)</f>
        <v/>
      </c>
      <c r="C818" s="32">
        <f>+VLOOKUP($A818,MAGAZZINO!$B$2:$M$4838,3,FALSE)</f>
        <v/>
      </c>
      <c r="D818" s="17">
        <f>+VLOOKUP($A818,MAGAZZINO!$B$2:$M$4838,4,FALSE)</f>
        <v/>
      </c>
      <c r="E818" s="17">
        <f>+VLOOKUP($A818,MAGAZZINO!$B$2:$M$4838,5,FALSE)</f>
        <v/>
      </c>
      <c r="F818" s="17">
        <f>+VLOOKUP($A818,MAGAZZINO!$B$2:$M$4838,6,FALSE)</f>
        <v/>
      </c>
      <c r="G818" s="17">
        <f>+VLOOKUP($A818,MAGAZZINO!$B$2:$M$4838,7,FALSE)</f>
        <v/>
      </c>
      <c r="H818" s="17">
        <f>+VLOOKUP($A818,MAGAZZINO!$B$2:$M$4838,8,FALSE)</f>
        <v/>
      </c>
      <c r="I818" s="17">
        <f>+VLOOKUP($A818,MAGAZZINO!$B$2:$M$4838,9,FALSE)</f>
        <v/>
      </c>
      <c r="J818" s="17">
        <f>+VLOOKUP($A818,MAGAZZINO!$B$2:$M$4838,10,FALSE)</f>
        <v/>
      </c>
      <c r="K818" s="17">
        <f>+VLOOKUP($A818,MAGAZZINO!$B$2:$M$4838,11,FALSE)</f>
        <v/>
      </c>
      <c r="L818" s="44">
        <f>+VLOOKUP($A818,MAGAZZINO!$B$2:$M$4838,12,FALSE)</f>
        <v/>
      </c>
    </row>
    <row r="819" ht="36" customHeight="1">
      <c r="A819" s="30">
        <f>+REGISTRO!A802</f>
        <v/>
      </c>
      <c r="B819" s="31">
        <f>+VLOOKUP($A819,MAGAZZINO!$B$2:$M$4838,2,FALSE)</f>
        <v/>
      </c>
      <c r="C819" s="32">
        <f>+VLOOKUP($A819,MAGAZZINO!$B$2:$M$4838,3,FALSE)</f>
        <v/>
      </c>
      <c r="D819" s="17">
        <f>+VLOOKUP($A819,MAGAZZINO!$B$2:$M$4838,4,FALSE)</f>
        <v/>
      </c>
      <c r="E819" s="17">
        <f>+VLOOKUP($A819,MAGAZZINO!$B$2:$M$4838,5,FALSE)</f>
        <v/>
      </c>
      <c r="F819" s="17">
        <f>+VLOOKUP($A819,MAGAZZINO!$B$2:$M$4838,6,FALSE)</f>
        <v/>
      </c>
      <c r="G819" s="17">
        <f>+VLOOKUP($A819,MAGAZZINO!$B$2:$M$4838,7,FALSE)</f>
        <v/>
      </c>
      <c r="H819" s="17">
        <f>+VLOOKUP($A819,MAGAZZINO!$B$2:$M$4838,8,FALSE)</f>
        <v/>
      </c>
      <c r="I819" s="17">
        <f>+VLOOKUP($A819,MAGAZZINO!$B$2:$M$4838,9,FALSE)</f>
        <v/>
      </c>
      <c r="J819" s="17">
        <f>+VLOOKUP($A819,MAGAZZINO!$B$2:$M$4838,10,FALSE)</f>
        <v/>
      </c>
      <c r="K819" s="17">
        <f>+VLOOKUP($A819,MAGAZZINO!$B$2:$M$4838,11,FALSE)</f>
        <v/>
      </c>
      <c r="L819" s="44">
        <f>+VLOOKUP($A819,MAGAZZINO!$B$2:$M$4838,12,FALSE)</f>
        <v/>
      </c>
    </row>
    <row r="820" ht="36" customHeight="1">
      <c r="A820" s="30">
        <f>+REGISTRO!A803</f>
        <v/>
      </c>
      <c r="B820" s="31">
        <f>+VLOOKUP($A820,MAGAZZINO!$B$2:$M$4838,2,FALSE)</f>
        <v/>
      </c>
      <c r="C820" s="32">
        <f>+VLOOKUP($A820,MAGAZZINO!$B$2:$M$4838,3,FALSE)</f>
        <v/>
      </c>
      <c r="D820" s="17">
        <f>+VLOOKUP($A820,MAGAZZINO!$B$2:$M$4838,4,FALSE)</f>
        <v/>
      </c>
      <c r="E820" s="17">
        <f>+VLOOKUP($A820,MAGAZZINO!$B$2:$M$4838,5,FALSE)</f>
        <v/>
      </c>
      <c r="F820" s="17">
        <f>+VLOOKUP($A820,MAGAZZINO!$B$2:$M$4838,6,FALSE)</f>
        <v/>
      </c>
      <c r="G820" s="17">
        <f>+VLOOKUP($A820,MAGAZZINO!$B$2:$M$4838,7,FALSE)</f>
        <v/>
      </c>
      <c r="H820" s="17">
        <f>+VLOOKUP($A820,MAGAZZINO!$B$2:$M$4838,8,FALSE)</f>
        <v/>
      </c>
      <c r="I820" s="17">
        <f>+VLOOKUP($A820,MAGAZZINO!$B$2:$M$4838,9,FALSE)</f>
        <v/>
      </c>
      <c r="J820" s="17">
        <f>+VLOOKUP($A820,MAGAZZINO!$B$2:$M$4838,10,FALSE)</f>
        <v/>
      </c>
      <c r="K820" s="17">
        <f>+VLOOKUP($A820,MAGAZZINO!$B$2:$M$4838,11,FALSE)</f>
        <v/>
      </c>
      <c r="L820" s="44">
        <f>+VLOOKUP($A820,MAGAZZINO!$B$2:$M$4838,12,FALSE)</f>
        <v/>
      </c>
    </row>
    <row r="821" ht="36" customHeight="1">
      <c r="A821" s="30">
        <f>+REGISTRO!A804</f>
        <v/>
      </c>
      <c r="B821" s="31">
        <f>+VLOOKUP($A821,MAGAZZINO!$B$2:$M$4838,2,FALSE)</f>
        <v/>
      </c>
      <c r="C821" s="32">
        <f>+VLOOKUP($A821,MAGAZZINO!$B$2:$M$4838,3,FALSE)</f>
        <v/>
      </c>
      <c r="D821" s="17">
        <f>+VLOOKUP($A821,MAGAZZINO!$B$2:$M$4838,4,FALSE)</f>
        <v/>
      </c>
      <c r="E821" s="17">
        <f>+VLOOKUP($A821,MAGAZZINO!$B$2:$M$4838,5,FALSE)</f>
        <v/>
      </c>
      <c r="F821" s="17">
        <f>+VLOOKUP($A821,MAGAZZINO!$B$2:$M$4838,6,FALSE)</f>
        <v/>
      </c>
      <c r="G821" s="17">
        <f>+VLOOKUP($A821,MAGAZZINO!$B$2:$M$4838,7,FALSE)</f>
        <v/>
      </c>
      <c r="H821" s="17">
        <f>+VLOOKUP($A821,MAGAZZINO!$B$2:$M$4838,8,FALSE)</f>
        <v/>
      </c>
      <c r="I821" s="17">
        <f>+VLOOKUP($A821,MAGAZZINO!$B$2:$M$4838,9,FALSE)</f>
        <v/>
      </c>
      <c r="J821" s="17">
        <f>+VLOOKUP($A821,MAGAZZINO!$B$2:$M$4838,10,FALSE)</f>
        <v/>
      </c>
      <c r="K821" s="17">
        <f>+VLOOKUP($A821,MAGAZZINO!$B$2:$M$4838,11,FALSE)</f>
        <v/>
      </c>
      <c r="L821" s="44">
        <f>+VLOOKUP($A821,MAGAZZINO!$B$2:$M$4838,12,FALSE)</f>
        <v/>
      </c>
    </row>
    <row r="822" ht="36" customHeight="1">
      <c r="A822" s="30">
        <f>+REGISTRO!A805</f>
        <v/>
      </c>
      <c r="B822" s="31">
        <f>+VLOOKUP($A822,MAGAZZINO!$B$2:$M$4838,2,FALSE)</f>
        <v/>
      </c>
      <c r="C822" s="32">
        <f>+VLOOKUP($A822,MAGAZZINO!$B$2:$M$4838,3,FALSE)</f>
        <v/>
      </c>
      <c r="D822" s="17">
        <f>+VLOOKUP($A822,MAGAZZINO!$B$2:$M$4838,4,FALSE)</f>
        <v/>
      </c>
      <c r="E822" s="17">
        <f>+VLOOKUP($A822,MAGAZZINO!$B$2:$M$4838,5,FALSE)</f>
        <v/>
      </c>
      <c r="F822" s="17">
        <f>+VLOOKUP($A822,MAGAZZINO!$B$2:$M$4838,6,FALSE)</f>
        <v/>
      </c>
      <c r="G822" s="17">
        <f>+VLOOKUP($A822,MAGAZZINO!$B$2:$M$4838,7,FALSE)</f>
        <v/>
      </c>
      <c r="H822" s="17">
        <f>+VLOOKUP($A822,MAGAZZINO!$B$2:$M$4838,8,FALSE)</f>
        <v/>
      </c>
      <c r="I822" s="17">
        <f>+VLOOKUP($A822,MAGAZZINO!$B$2:$M$4838,9,FALSE)</f>
        <v/>
      </c>
      <c r="J822" s="17">
        <f>+VLOOKUP($A822,MAGAZZINO!$B$2:$M$4838,10,FALSE)</f>
        <v/>
      </c>
      <c r="K822" s="17">
        <f>+VLOOKUP($A822,MAGAZZINO!$B$2:$M$4838,11,FALSE)</f>
        <v/>
      </c>
      <c r="L822" s="44">
        <f>+VLOOKUP($A822,MAGAZZINO!$B$2:$M$4838,12,FALSE)</f>
        <v/>
      </c>
    </row>
    <row r="823" ht="36" customHeight="1">
      <c r="A823" s="30">
        <f>+REGISTRO!A806</f>
        <v/>
      </c>
      <c r="B823" s="31">
        <f>+VLOOKUP($A823,MAGAZZINO!$B$2:$M$4838,2,FALSE)</f>
        <v/>
      </c>
      <c r="C823" s="32">
        <f>+VLOOKUP($A823,MAGAZZINO!$B$2:$M$4838,3,FALSE)</f>
        <v/>
      </c>
      <c r="D823" s="17">
        <f>+VLOOKUP($A823,MAGAZZINO!$B$2:$M$4838,4,FALSE)</f>
        <v/>
      </c>
      <c r="E823" s="17">
        <f>+VLOOKUP($A823,MAGAZZINO!$B$2:$M$4838,5,FALSE)</f>
        <v/>
      </c>
      <c r="F823" s="17">
        <f>+VLOOKUP($A823,MAGAZZINO!$B$2:$M$4838,6,FALSE)</f>
        <v/>
      </c>
      <c r="G823" s="17">
        <f>+VLOOKUP($A823,MAGAZZINO!$B$2:$M$4838,7,FALSE)</f>
        <v/>
      </c>
      <c r="H823" s="17">
        <f>+VLOOKUP($A823,MAGAZZINO!$B$2:$M$4838,8,FALSE)</f>
        <v/>
      </c>
      <c r="I823" s="17">
        <f>+VLOOKUP($A823,MAGAZZINO!$B$2:$M$4838,9,FALSE)</f>
        <v/>
      </c>
      <c r="J823" s="17">
        <f>+VLOOKUP($A823,MAGAZZINO!$B$2:$M$4838,10,FALSE)</f>
        <v/>
      </c>
      <c r="K823" s="17">
        <f>+VLOOKUP($A823,MAGAZZINO!$B$2:$M$4838,11,FALSE)</f>
        <v/>
      </c>
      <c r="L823" s="44">
        <f>+VLOOKUP($A823,MAGAZZINO!$B$2:$M$4838,12,FALSE)</f>
        <v/>
      </c>
    </row>
    <row r="824" ht="36" customHeight="1">
      <c r="A824" s="30">
        <f>+REGISTRO!A807</f>
        <v/>
      </c>
      <c r="B824" s="31">
        <f>+VLOOKUP($A824,MAGAZZINO!$B$2:$M$4838,2,FALSE)</f>
        <v/>
      </c>
      <c r="C824" s="32">
        <f>+VLOOKUP($A824,MAGAZZINO!$B$2:$M$4838,3,FALSE)</f>
        <v/>
      </c>
      <c r="D824" s="17">
        <f>+VLOOKUP($A824,MAGAZZINO!$B$2:$M$4838,4,FALSE)</f>
        <v/>
      </c>
      <c r="E824" s="17">
        <f>+VLOOKUP($A824,MAGAZZINO!$B$2:$M$4838,5,FALSE)</f>
        <v/>
      </c>
      <c r="F824" s="17">
        <f>+VLOOKUP($A824,MAGAZZINO!$B$2:$M$4838,6,FALSE)</f>
        <v/>
      </c>
      <c r="G824" s="17">
        <f>+VLOOKUP($A824,MAGAZZINO!$B$2:$M$4838,7,FALSE)</f>
        <v/>
      </c>
      <c r="H824" s="17">
        <f>+VLOOKUP($A824,MAGAZZINO!$B$2:$M$4838,8,FALSE)</f>
        <v/>
      </c>
      <c r="I824" s="17">
        <f>+VLOOKUP($A824,MAGAZZINO!$B$2:$M$4838,9,FALSE)</f>
        <v/>
      </c>
      <c r="J824" s="17">
        <f>+VLOOKUP($A824,MAGAZZINO!$B$2:$M$4838,10,FALSE)</f>
        <v/>
      </c>
      <c r="K824" s="17">
        <f>+VLOOKUP($A824,MAGAZZINO!$B$2:$M$4838,11,FALSE)</f>
        <v/>
      </c>
      <c r="L824" s="44">
        <f>+VLOOKUP($A824,MAGAZZINO!$B$2:$M$4838,12,FALSE)</f>
        <v/>
      </c>
    </row>
    <row r="825" ht="36" customHeight="1">
      <c r="A825" s="30">
        <f>+REGISTRO!A808</f>
        <v/>
      </c>
      <c r="B825" s="31">
        <f>+VLOOKUP($A825,MAGAZZINO!$B$2:$M$4838,2,FALSE)</f>
        <v/>
      </c>
      <c r="C825" s="32">
        <f>+VLOOKUP($A825,MAGAZZINO!$B$2:$M$4838,3,FALSE)</f>
        <v/>
      </c>
      <c r="D825" s="17">
        <f>+VLOOKUP($A825,MAGAZZINO!$B$2:$M$4838,4,FALSE)</f>
        <v/>
      </c>
      <c r="E825" s="17">
        <f>+VLOOKUP($A825,MAGAZZINO!$B$2:$M$4838,5,FALSE)</f>
        <v/>
      </c>
      <c r="F825" s="17">
        <f>+VLOOKUP($A825,MAGAZZINO!$B$2:$M$4838,6,FALSE)</f>
        <v/>
      </c>
      <c r="G825" s="17">
        <f>+VLOOKUP($A825,MAGAZZINO!$B$2:$M$4838,7,FALSE)</f>
        <v/>
      </c>
      <c r="H825" s="17">
        <f>+VLOOKUP($A825,MAGAZZINO!$B$2:$M$4838,8,FALSE)</f>
        <v/>
      </c>
      <c r="I825" s="17">
        <f>+VLOOKUP($A825,MAGAZZINO!$B$2:$M$4838,9,FALSE)</f>
        <v/>
      </c>
      <c r="J825" s="17">
        <f>+VLOOKUP($A825,MAGAZZINO!$B$2:$M$4838,10,FALSE)</f>
        <v/>
      </c>
      <c r="K825" s="17">
        <f>+VLOOKUP($A825,MAGAZZINO!$B$2:$M$4838,11,FALSE)</f>
        <v/>
      </c>
      <c r="L825" s="44">
        <f>+VLOOKUP($A825,MAGAZZINO!$B$2:$M$4838,12,FALSE)</f>
        <v/>
      </c>
    </row>
    <row r="826" ht="36" customHeight="1">
      <c r="A826" s="30">
        <f>+REGISTRO!A809</f>
        <v/>
      </c>
      <c r="B826" s="31">
        <f>+VLOOKUP($A826,MAGAZZINO!$B$2:$M$4838,2,FALSE)</f>
        <v/>
      </c>
      <c r="C826" s="32">
        <f>+VLOOKUP($A826,MAGAZZINO!$B$2:$M$4838,3,FALSE)</f>
        <v/>
      </c>
      <c r="D826" s="17">
        <f>+VLOOKUP($A826,MAGAZZINO!$B$2:$M$4838,4,FALSE)</f>
        <v/>
      </c>
      <c r="E826" s="17">
        <f>+VLOOKUP($A826,MAGAZZINO!$B$2:$M$4838,5,FALSE)</f>
        <v/>
      </c>
      <c r="F826" s="17">
        <f>+VLOOKUP($A826,MAGAZZINO!$B$2:$M$4838,6,FALSE)</f>
        <v/>
      </c>
      <c r="G826" s="17">
        <f>+VLOOKUP($A826,MAGAZZINO!$B$2:$M$4838,7,FALSE)</f>
        <v/>
      </c>
      <c r="H826" s="17">
        <f>+VLOOKUP($A826,MAGAZZINO!$B$2:$M$4838,8,FALSE)</f>
        <v/>
      </c>
      <c r="I826" s="17">
        <f>+VLOOKUP($A826,MAGAZZINO!$B$2:$M$4838,9,FALSE)</f>
        <v/>
      </c>
      <c r="J826" s="17">
        <f>+VLOOKUP($A826,MAGAZZINO!$B$2:$M$4838,10,FALSE)</f>
        <v/>
      </c>
      <c r="K826" s="17">
        <f>+VLOOKUP($A826,MAGAZZINO!$B$2:$M$4838,11,FALSE)</f>
        <v/>
      </c>
      <c r="L826" s="44">
        <f>+VLOOKUP($A826,MAGAZZINO!$B$2:$M$4838,12,FALSE)</f>
        <v/>
      </c>
    </row>
    <row r="827" ht="36" customHeight="1">
      <c r="A827" s="30">
        <f>+REGISTRO!A810</f>
        <v/>
      </c>
      <c r="B827" s="31">
        <f>+VLOOKUP($A827,MAGAZZINO!$B$2:$M$4838,2,FALSE)</f>
        <v/>
      </c>
      <c r="C827" s="32">
        <f>+VLOOKUP($A827,MAGAZZINO!$B$2:$M$4838,3,FALSE)</f>
        <v/>
      </c>
      <c r="D827" s="17">
        <f>+VLOOKUP($A827,MAGAZZINO!$B$2:$M$4838,4,FALSE)</f>
        <v/>
      </c>
      <c r="E827" s="17">
        <f>+VLOOKUP($A827,MAGAZZINO!$B$2:$M$4838,5,FALSE)</f>
        <v/>
      </c>
      <c r="F827" s="17">
        <f>+VLOOKUP($A827,MAGAZZINO!$B$2:$M$4838,6,FALSE)</f>
        <v/>
      </c>
      <c r="G827" s="17">
        <f>+VLOOKUP($A827,MAGAZZINO!$B$2:$M$4838,7,FALSE)</f>
        <v/>
      </c>
      <c r="H827" s="17">
        <f>+VLOOKUP($A827,MAGAZZINO!$B$2:$M$4838,8,FALSE)</f>
        <v/>
      </c>
      <c r="I827" s="17">
        <f>+VLOOKUP($A827,MAGAZZINO!$B$2:$M$4838,9,FALSE)</f>
        <v/>
      </c>
      <c r="J827" s="17">
        <f>+VLOOKUP($A827,MAGAZZINO!$B$2:$M$4838,10,FALSE)</f>
        <v/>
      </c>
      <c r="K827" s="17">
        <f>+VLOOKUP($A827,MAGAZZINO!$B$2:$M$4838,11,FALSE)</f>
        <v/>
      </c>
      <c r="L827" s="44">
        <f>+VLOOKUP($A827,MAGAZZINO!$B$2:$M$4838,12,FALSE)</f>
        <v/>
      </c>
    </row>
    <row r="828" ht="36" customHeight="1">
      <c r="A828" s="30">
        <f>+REGISTRO!A811</f>
        <v/>
      </c>
      <c r="B828" s="31">
        <f>+VLOOKUP($A828,MAGAZZINO!$B$2:$M$4838,2,FALSE)</f>
        <v/>
      </c>
      <c r="C828" s="32">
        <f>+VLOOKUP($A828,MAGAZZINO!$B$2:$M$4838,3,FALSE)</f>
        <v/>
      </c>
      <c r="D828" s="17">
        <f>+VLOOKUP($A828,MAGAZZINO!$B$2:$M$4838,4,FALSE)</f>
        <v/>
      </c>
      <c r="E828" s="17">
        <f>+VLOOKUP($A828,MAGAZZINO!$B$2:$M$4838,5,FALSE)</f>
        <v/>
      </c>
      <c r="F828" s="17">
        <f>+VLOOKUP($A828,MAGAZZINO!$B$2:$M$4838,6,FALSE)</f>
        <v/>
      </c>
      <c r="G828" s="17">
        <f>+VLOOKUP($A828,MAGAZZINO!$B$2:$M$4838,7,FALSE)</f>
        <v/>
      </c>
      <c r="H828" s="17">
        <f>+VLOOKUP($A828,MAGAZZINO!$B$2:$M$4838,8,FALSE)</f>
        <v/>
      </c>
      <c r="I828" s="17">
        <f>+VLOOKUP($A828,MAGAZZINO!$B$2:$M$4838,9,FALSE)</f>
        <v/>
      </c>
      <c r="J828" s="17">
        <f>+VLOOKUP($A828,MAGAZZINO!$B$2:$M$4838,10,FALSE)</f>
        <v/>
      </c>
      <c r="K828" s="17">
        <f>+VLOOKUP($A828,MAGAZZINO!$B$2:$M$4838,11,FALSE)</f>
        <v/>
      </c>
      <c r="L828" s="44">
        <f>+VLOOKUP($A828,MAGAZZINO!$B$2:$M$4838,12,FALSE)</f>
        <v/>
      </c>
    </row>
    <row r="829" ht="36" customHeight="1">
      <c r="A829" s="30">
        <f>+REGISTRO!A812</f>
        <v/>
      </c>
      <c r="B829" s="31">
        <f>+VLOOKUP($A829,MAGAZZINO!$B$2:$M$4838,2,FALSE)</f>
        <v/>
      </c>
      <c r="C829" s="32">
        <f>+VLOOKUP($A829,MAGAZZINO!$B$2:$M$4838,3,FALSE)</f>
        <v/>
      </c>
      <c r="D829" s="17">
        <f>+VLOOKUP($A829,MAGAZZINO!$B$2:$M$4838,4,FALSE)</f>
        <v/>
      </c>
      <c r="E829" s="17">
        <f>+VLOOKUP($A829,MAGAZZINO!$B$2:$M$4838,5,FALSE)</f>
        <v/>
      </c>
      <c r="F829" s="17">
        <f>+VLOOKUP($A829,MAGAZZINO!$B$2:$M$4838,6,FALSE)</f>
        <v/>
      </c>
      <c r="G829" s="17">
        <f>+VLOOKUP($A829,MAGAZZINO!$B$2:$M$4838,7,FALSE)</f>
        <v/>
      </c>
      <c r="H829" s="17">
        <f>+VLOOKUP($A829,MAGAZZINO!$B$2:$M$4838,8,FALSE)</f>
        <v/>
      </c>
      <c r="I829" s="17">
        <f>+VLOOKUP($A829,MAGAZZINO!$B$2:$M$4838,9,FALSE)</f>
        <v/>
      </c>
      <c r="J829" s="17">
        <f>+VLOOKUP($A829,MAGAZZINO!$B$2:$M$4838,10,FALSE)</f>
        <v/>
      </c>
      <c r="K829" s="17">
        <f>+VLOOKUP($A829,MAGAZZINO!$B$2:$M$4838,11,FALSE)</f>
        <v/>
      </c>
      <c r="L829" s="44">
        <f>+VLOOKUP($A829,MAGAZZINO!$B$2:$M$4838,12,FALSE)</f>
        <v/>
      </c>
    </row>
    <row r="830" ht="36" customHeight="1">
      <c r="A830" s="30">
        <f>+REGISTRO!A813</f>
        <v/>
      </c>
      <c r="B830" s="31">
        <f>+VLOOKUP($A830,MAGAZZINO!$B$2:$M$4838,2,FALSE)</f>
        <v/>
      </c>
      <c r="C830" s="32">
        <f>+VLOOKUP($A830,MAGAZZINO!$B$2:$M$4838,3,FALSE)</f>
        <v/>
      </c>
      <c r="D830" s="17">
        <f>+VLOOKUP($A830,MAGAZZINO!$B$2:$M$4838,4,FALSE)</f>
        <v/>
      </c>
      <c r="E830" s="17">
        <f>+VLOOKUP($A830,MAGAZZINO!$B$2:$M$4838,5,FALSE)</f>
        <v/>
      </c>
      <c r="F830" s="17">
        <f>+VLOOKUP($A830,MAGAZZINO!$B$2:$M$4838,6,FALSE)</f>
        <v/>
      </c>
      <c r="G830" s="17">
        <f>+VLOOKUP($A830,MAGAZZINO!$B$2:$M$4838,7,FALSE)</f>
        <v/>
      </c>
      <c r="H830" s="17">
        <f>+VLOOKUP($A830,MAGAZZINO!$B$2:$M$4838,8,FALSE)</f>
        <v/>
      </c>
      <c r="I830" s="17">
        <f>+VLOOKUP($A830,MAGAZZINO!$B$2:$M$4838,9,FALSE)</f>
        <v/>
      </c>
      <c r="J830" s="17">
        <f>+VLOOKUP($A830,MAGAZZINO!$B$2:$M$4838,10,FALSE)</f>
        <v/>
      </c>
      <c r="K830" s="17">
        <f>+VLOOKUP($A830,MAGAZZINO!$B$2:$M$4838,11,FALSE)</f>
        <v/>
      </c>
      <c r="L830" s="44">
        <f>+VLOOKUP($A830,MAGAZZINO!$B$2:$M$4838,12,FALSE)</f>
        <v/>
      </c>
    </row>
    <row r="831" ht="36" customHeight="1">
      <c r="A831" s="30">
        <f>+REGISTRO!A814</f>
        <v/>
      </c>
      <c r="B831" s="31">
        <f>+VLOOKUP($A831,MAGAZZINO!$B$2:$M$4838,2,FALSE)</f>
        <v/>
      </c>
      <c r="C831" s="32">
        <f>+VLOOKUP($A831,MAGAZZINO!$B$2:$M$4838,3,FALSE)</f>
        <v/>
      </c>
      <c r="D831" s="17">
        <f>+VLOOKUP($A831,MAGAZZINO!$B$2:$M$4838,4,FALSE)</f>
        <v/>
      </c>
      <c r="E831" s="17">
        <f>+VLOOKUP($A831,MAGAZZINO!$B$2:$M$4838,5,FALSE)</f>
        <v/>
      </c>
      <c r="F831" s="17">
        <f>+VLOOKUP($A831,MAGAZZINO!$B$2:$M$4838,6,FALSE)</f>
        <v/>
      </c>
      <c r="G831" s="17">
        <f>+VLOOKUP($A831,MAGAZZINO!$B$2:$M$4838,7,FALSE)</f>
        <v/>
      </c>
      <c r="H831" s="17">
        <f>+VLOOKUP($A831,MAGAZZINO!$B$2:$M$4838,8,FALSE)</f>
        <v/>
      </c>
      <c r="I831" s="17">
        <f>+VLOOKUP($A831,MAGAZZINO!$B$2:$M$4838,9,FALSE)</f>
        <v/>
      </c>
      <c r="J831" s="17">
        <f>+VLOOKUP($A831,MAGAZZINO!$B$2:$M$4838,10,FALSE)</f>
        <v/>
      </c>
      <c r="K831" s="17">
        <f>+VLOOKUP($A831,MAGAZZINO!$B$2:$M$4838,11,FALSE)</f>
        <v/>
      </c>
      <c r="L831" s="44">
        <f>+VLOOKUP($A831,MAGAZZINO!$B$2:$M$4838,12,FALSE)</f>
        <v/>
      </c>
    </row>
    <row r="832" ht="36" customHeight="1">
      <c r="A832" s="30">
        <f>+REGISTRO!A815</f>
        <v/>
      </c>
      <c r="B832" s="31">
        <f>+VLOOKUP($A832,MAGAZZINO!$B$2:$M$4838,2,FALSE)</f>
        <v/>
      </c>
      <c r="C832" s="32">
        <f>+VLOOKUP($A832,MAGAZZINO!$B$2:$M$4838,3,FALSE)</f>
        <v/>
      </c>
      <c r="D832" s="17">
        <f>+VLOOKUP($A832,MAGAZZINO!$B$2:$M$4838,4,FALSE)</f>
        <v/>
      </c>
      <c r="E832" s="17">
        <f>+VLOOKUP($A832,MAGAZZINO!$B$2:$M$4838,5,FALSE)</f>
        <v/>
      </c>
      <c r="F832" s="17">
        <f>+VLOOKUP($A832,MAGAZZINO!$B$2:$M$4838,6,FALSE)</f>
        <v/>
      </c>
      <c r="G832" s="17">
        <f>+VLOOKUP($A832,MAGAZZINO!$B$2:$M$4838,7,FALSE)</f>
        <v/>
      </c>
      <c r="H832" s="17">
        <f>+VLOOKUP($A832,MAGAZZINO!$B$2:$M$4838,8,FALSE)</f>
        <v/>
      </c>
      <c r="I832" s="17">
        <f>+VLOOKUP($A832,MAGAZZINO!$B$2:$M$4838,9,FALSE)</f>
        <v/>
      </c>
      <c r="J832" s="17">
        <f>+VLOOKUP($A832,MAGAZZINO!$B$2:$M$4838,10,FALSE)</f>
        <v/>
      </c>
      <c r="K832" s="17">
        <f>+VLOOKUP($A832,MAGAZZINO!$B$2:$M$4838,11,FALSE)</f>
        <v/>
      </c>
      <c r="L832" s="44">
        <f>+VLOOKUP($A832,MAGAZZINO!$B$2:$M$4838,12,FALSE)</f>
        <v/>
      </c>
    </row>
    <row r="833" ht="36" customHeight="1">
      <c r="A833" s="30">
        <f>+REGISTRO!A816</f>
        <v/>
      </c>
      <c r="B833" s="31">
        <f>+VLOOKUP($A833,MAGAZZINO!$B$2:$M$4838,2,FALSE)</f>
        <v/>
      </c>
      <c r="C833" s="32">
        <f>+VLOOKUP($A833,MAGAZZINO!$B$2:$M$4838,3,FALSE)</f>
        <v/>
      </c>
      <c r="D833" s="17">
        <f>+VLOOKUP($A833,MAGAZZINO!$B$2:$M$4838,4,FALSE)</f>
        <v/>
      </c>
      <c r="E833" s="17">
        <f>+VLOOKUP($A833,MAGAZZINO!$B$2:$M$4838,5,FALSE)</f>
        <v/>
      </c>
      <c r="F833" s="17">
        <f>+VLOOKUP($A833,MAGAZZINO!$B$2:$M$4838,6,FALSE)</f>
        <v/>
      </c>
      <c r="G833" s="17">
        <f>+VLOOKUP($A833,MAGAZZINO!$B$2:$M$4838,7,FALSE)</f>
        <v/>
      </c>
      <c r="H833" s="17">
        <f>+VLOOKUP($A833,MAGAZZINO!$B$2:$M$4838,8,FALSE)</f>
        <v/>
      </c>
      <c r="I833" s="17">
        <f>+VLOOKUP($A833,MAGAZZINO!$B$2:$M$4838,9,FALSE)</f>
        <v/>
      </c>
      <c r="J833" s="17">
        <f>+VLOOKUP($A833,MAGAZZINO!$B$2:$M$4838,10,FALSE)</f>
        <v/>
      </c>
      <c r="K833" s="17">
        <f>+VLOOKUP($A833,MAGAZZINO!$B$2:$M$4838,11,FALSE)</f>
        <v/>
      </c>
      <c r="L833" s="44">
        <f>+VLOOKUP($A833,MAGAZZINO!$B$2:$M$4838,12,FALSE)</f>
        <v/>
      </c>
    </row>
    <row r="834" ht="36" customHeight="1">
      <c r="A834" s="30">
        <f>+REGISTRO!A817</f>
        <v/>
      </c>
      <c r="B834" s="31">
        <f>+VLOOKUP($A834,MAGAZZINO!$B$2:$M$4838,2,FALSE)</f>
        <v/>
      </c>
      <c r="C834" s="32">
        <f>+VLOOKUP($A834,MAGAZZINO!$B$2:$M$4838,3,FALSE)</f>
        <v/>
      </c>
      <c r="D834" s="17">
        <f>+VLOOKUP($A834,MAGAZZINO!$B$2:$M$4838,4,FALSE)</f>
        <v/>
      </c>
      <c r="E834" s="17">
        <f>+VLOOKUP($A834,MAGAZZINO!$B$2:$M$4838,5,FALSE)</f>
        <v/>
      </c>
      <c r="F834" s="17">
        <f>+VLOOKUP($A834,MAGAZZINO!$B$2:$M$4838,6,FALSE)</f>
        <v/>
      </c>
      <c r="G834" s="17">
        <f>+VLOOKUP($A834,MAGAZZINO!$B$2:$M$4838,7,FALSE)</f>
        <v/>
      </c>
      <c r="H834" s="17">
        <f>+VLOOKUP($A834,MAGAZZINO!$B$2:$M$4838,8,FALSE)</f>
        <v/>
      </c>
      <c r="I834" s="17">
        <f>+VLOOKUP($A834,MAGAZZINO!$B$2:$M$4838,9,FALSE)</f>
        <v/>
      </c>
      <c r="J834" s="17">
        <f>+VLOOKUP($A834,MAGAZZINO!$B$2:$M$4838,10,FALSE)</f>
        <v/>
      </c>
      <c r="K834" s="17">
        <f>+VLOOKUP($A834,MAGAZZINO!$B$2:$M$4838,11,FALSE)</f>
        <v/>
      </c>
      <c r="L834" s="44">
        <f>+VLOOKUP($A834,MAGAZZINO!$B$2:$M$4838,12,FALSE)</f>
        <v/>
      </c>
    </row>
    <row r="835" ht="36" customHeight="1">
      <c r="A835" s="30">
        <f>+REGISTRO!A818</f>
        <v/>
      </c>
      <c r="B835" s="31">
        <f>+VLOOKUP($A835,MAGAZZINO!$B$2:$M$4838,2,FALSE)</f>
        <v/>
      </c>
      <c r="C835" s="32">
        <f>+VLOOKUP($A835,MAGAZZINO!$B$2:$M$4838,3,FALSE)</f>
        <v/>
      </c>
      <c r="D835" s="17">
        <f>+VLOOKUP($A835,MAGAZZINO!$B$2:$M$4838,4,FALSE)</f>
        <v/>
      </c>
      <c r="E835" s="17">
        <f>+VLOOKUP($A835,MAGAZZINO!$B$2:$M$4838,5,FALSE)</f>
        <v/>
      </c>
      <c r="F835" s="17">
        <f>+VLOOKUP($A835,MAGAZZINO!$B$2:$M$4838,6,FALSE)</f>
        <v/>
      </c>
      <c r="G835" s="17">
        <f>+VLOOKUP($A835,MAGAZZINO!$B$2:$M$4838,7,FALSE)</f>
        <v/>
      </c>
      <c r="H835" s="17">
        <f>+VLOOKUP($A835,MAGAZZINO!$B$2:$M$4838,8,FALSE)</f>
        <v/>
      </c>
      <c r="I835" s="17">
        <f>+VLOOKUP($A835,MAGAZZINO!$B$2:$M$4838,9,FALSE)</f>
        <v/>
      </c>
      <c r="J835" s="17">
        <f>+VLOOKUP($A835,MAGAZZINO!$B$2:$M$4838,10,FALSE)</f>
        <v/>
      </c>
      <c r="K835" s="17">
        <f>+VLOOKUP($A835,MAGAZZINO!$B$2:$M$4838,11,FALSE)</f>
        <v/>
      </c>
      <c r="L835" s="44">
        <f>+VLOOKUP($A835,MAGAZZINO!$B$2:$M$4838,12,FALSE)</f>
        <v/>
      </c>
    </row>
    <row r="836" ht="36" customHeight="1">
      <c r="A836" s="30">
        <f>+REGISTRO!A819</f>
        <v/>
      </c>
      <c r="B836" s="31">
        <f>+VLOOKUP($A836,MAGAZZINO!$B$2:$M$4838,2,FALSE)</f>
        <v/>
      </c>
      <c r="C836" s="32">
        <f>+VLOOKUP($A836,MAGAZZINO!$B$2:$M$4838,3,FALSE)</f>
        <v/>
      </c>
      <c r="D836" s="17">
        <f>+VLOOKUP($A836,MAGAZZINO!$B$2:$M$4838,4,FALSE)</f>
        <v/>
      </c>
      <c r="E836" s="17">
        <f>+VLOOKUP($A836,MAGAZZINO!$B$2:$M$4838,5,FALSE)</f>
        <v/>
      </c>
      <c r="F836" s="17">
        <f>+VLOOKUP($A836,MAGAZZINO!$B$2:$M$4838,6,FALSE)</f>
        <v/>
      </c>
      <c r="G836" s="17">
        <f>+VLOOKUP($A836,MAGAZZINO!$B$2:$M$4838,7,FALSE)</f>
        <v/>
      </c>
      <c r="H836" s="17">
        <f>+VLOOKUP($A836,MAGAZZINO!$B$2:$M$4838,8,FALSE)</f>
        <v/>
      </c>
      <c r="I836" s="17">
        <f>+VLOOKUP($A836,MAGAZZINO!$B$2:$M$4838,9,FALSE)</f>
        <v/>
      </c>
      <c r="J836" s="17">
        <f>+VLOOKUP($A836,MAGAZZINO!$B$2:$M$4838,10,FALSE)</f>
        <v/>
      </c>
      <c r="K836" s="17">
        <f>+VLOOKUP($A836,MAGAZZINO!$B$2:$M$4838,11,FALSE)</f>
        <v/>
      </c>
      <c r="L836" s="44">
        <f>+VLOOKUP($A836,MAGAZZINO!$B$2:$M$4838,12,FALSE)</f>
        <v/>
      </c>
    </row>
    <row r="837" ht="36" customHeight="1">
      <c r="A837" s="30">
        <f>+REGISTRO!A820</f>
        <v/>
      </c>
      <c r="B837" s="31">
        <f>+VLOOKUP($A837,MAGAZZINO!$B$2:$M$4838,2,FALSE)</f>
        <v/>
      </c>
      <c r="C837" s="32">
        <f>+VLOOKUP($A837,MAGAZZINO!$B$2:$M$4838,3,FALSE)</f>
        <v/>
      </c>
      <c r="D837" s="17">
        <f>+VLOOKUP($A837,MAGAZZINO!$B$2:$M$4838,4,FALSE)</f>
        <v/>
      </c>
      <c r="E837" s="17">
        <f>+VLOOKUP($A837,MAGAZZINO!$B$2:$M$4838,5,FALSE)</f>
        <v/>
      </c>
      <c r="F837" s="17">
        <f>+VLOOKUP($A837,MAGAZZINO!$B$2:$M$4838,6,FALSE)</f>
        <v/>
      </c>
      <c r="G837" s="17">
        <f>+VLOOKUP($A837,MAGAZZINO!$B$2:$M$4838,7,FALSE)</f>
        <v/>
      </c>
      <c r="H837" s="17">
        <f>+VLOOKUP($A837,MAGAZZINO!$B$2:$M$4838,8,FALSE)</f>
        <v/>
      </c>
      <c r="I837" s="17">
        <f>+VLOOKUP($A837,MAGAZZINO!$B$2:$M$4838,9,FALSE)</f>
        <v/>
      </c>
      <c r="J837" s="17">
        <f>+VLOOKUP($A837,MAGAZZINO!$B$2:$M$4838,10,FALSE)</f>
        <v/>
      </c>
      <c r="K837" s="17">
        <f>+VLOOKUP($A837,MAGAZZINO!$B$2:$M$4838,11,FALSE)</f>
        <v/>
      </c>
      <c r="L837" s="44">
        <f>+VLOOKUP($A837,MAGAZZINO!$B$2:$M$4838,12,FALSE)</f>
        <v/>
      </c>
    </row>
    <row r="838" ht="36" customHeight="1">
      <c r="A838" s="30">
        <f>+REGISTRO!A821</f>
        <v/>
      </c>
      <c r="B838" s="31">
        <f>+VLOOKUP($A838,MAGAZZINO!$B$2:$M$4838,2,FALSE)</f>
        <v/>
      </c>
      <c r="C838" s="32">
        <f>+VLOOKUP($A838,MAGAZZINO!$B$2:$M$4838,3,FALSE)</f>
        <v/>
      </c>
      <c r="D838" s="17">
        <f>+VLOOKUP($A838,MAGAZZINO!$B$2:$M$4838,4,FALSE)</f>
        <v/>
      </c>
      <c r="E838" s="17">
        <f>+VLOOKUP($A838,MAGAZZINO!$B$2:$M$4838,5,FALSE)</f>
        <v/>
      </c>
      <c r="F838" s="17">
        <f>+VLOOKUP($A838,MAGAZZINO!$B$2:$M$4838,6,FALSE)</f>
        <v/>
      </c>
      <c r="G838" s="17">
        <f>+VLOOKUP($A838,MAGAZZINO!$B$2:$M$4838,7,FALSE)</f>
        <v/>
      </c>
      <c r="H838" s="17">
        <f>+VLOOKUP($A838,MAGAZZINO!$B$2:$M$4838,8,FALSE)</f>
        <v/>
      </c>
      <c r="I838" s="17">
        <f>+VLOOKUP($A838,MAGAZZINO!$B$2:$M$4838,9,FALSE)</f>
        <v/>
      </c>
      <c r="J838" s="17">
        <f>+VLOOKUP($A838,MAGAZZINO!$B$2:$M$4838,10,FALSE)</f>
        <v/>
      </c>
      <c r="K838" s="17">
        <f>+VLOOKUP($A838,MAGAZZINO!$B$2:$M$4838,11,FALSE)</f>
        <v/>
      </c>
      <c r="L838" s="44">
        <f>+VLOOKUP($A838,MAGAZZINO!$B$2:$M$4838,12,FALSE)</f>
        <v/>
      </c>
    </row>
    <row r="839" ht="36" customHeight="1">
      <c r="A839" s="30">
        <f>+REGISTRO!A822</f>
        <v/>
      </c>
      <c r="B839" s="31">
        <f>+VLOOKUP($A839,MAGAZZINO!$B$2:$M$4838,2,FALSE)</f>
        <v/>
      </c>
      <c r="C839" s="32">
        <f>+VLOOKUP($A839,MAGAZZINO!$B$2:$M$4838,3,FALSE)</f>
        <v/>
      </c>
      <c r="D839" s="17">
        <f>+VLOOKUP($A839,MAGAZZINO!$B$2:$M$4838,4,FALSE)</f>
        <v/>
      </c>
      <c r="E839" s="17">
        <f>+VLOOKUP($A839,MAGAZZINO!$B$2:$M$4838,5,FALSE)</f>
        <v/>
      </c>
      <c r="F839" s="17">
        <f>+VLOOKUP($A839,MAGAZZINO!$B$2:$M$4838,6,FALSE)</f>
        <v/>
      </c>
      <c r="G839" s="17">
        <f>+VLOOKUP($A839,MAGAZZINO!$B$2:$M$4838,7,FALSE)</f>
        <v/>
      </c>
      <c r="H839" s="17">
        <f>+VLOOKUP($A839,MAGAZZINO!$B$2:$M$4838,8,FALSE)</f>
        <v/>
      </c>
      <c r="I839" s="17">
        <f>+VLOOKUP($A839,MAGAZZINO!$B$2:$M$4838,9,FALSE)</f>
        <v/>
      </c>
      <c r="J839" s="17">
        <f>+VLOOKUP($A839,MAGAZZINO!$B$2:$M$4838,10,FALSE)</f>
        <v/>
      </c>
      <c r="K839" s="17">
        <f>+VLOOKUP($A839,MAGAZZINO!$B$2:$M$4838,11,FALSE)</f>
        <v/>
      </c>
      <c r="L839" s="44">
        <f>+VLOOKUP($A839,MAGAZZINO!$B$2:$M$4838,12,FALSE)</f>
        <v/>
      </c>
    </row>
    <row r="840" ht="36" customHeight="1">
      <c r="A840" s="30">
        <f>+REGISTRO!A823</f>
        <v/>
      </c>
      <c r="B840" s="31">
        <f>+VLOOKUP($A840,MAGAZZINO!$B$2:$M$4838,2,FALSE)</f>
        <v/>
      </c>
      <c r="C840" s="32">
        <f>+VLOOKUP($A840,MAGAZZINO!$B$2:$M$4838,3,FALSE)</f>
        <v/>
      </c>
      <c r="D840" s="17">
        <f>+VLOOKUP($A840,MAGAZZINO!$B$2:$M$4838,4,FALSE)</f>
        <v/>
      </c>
      <c r="E840" s="17">
        <f>+VLOOKUP($A840,MAGAZZINO!$B$2:$M$4838,5,FALSE)</f>
        <v/>
      </c>
      <c r="F840" s="17">
        <f>+VLOOKUP($A840,MAGAZZINO!$B$2:$M$4838,6,FALSE)</f>
        <v/>
      </c>
      <c r="G840" s="17">
        <f>+VLOOKUP($A840,MAGAZZINO!$B$2:$M$4838,7,FALSE)</f>
        <v/>
      </c>
      <c r="H840" s="17">
        <f>+VLOOKUP($A840,MAGAZZINO!$B$2:$M$4838,8,FALSE)</f>
        <v/>
      </c>
      <c r="I840" s="17">
        <f>+VLOOKUP($A840,MAGAZZINO!$B$2:$M$4838,9,FALSE)</f>
        <v/>
      </c>
      <c r="J840" s="17">
        <f>+VLOOKUP($A840,MAGAZZINO!$B$2:$M$4838,10,FALSE)</f>
        <v/>
      </c>
      <c r="K840" s="17">
        <f>+VLOOKUP($A840,MAGAZZINO!$B$2:$M$4838,11,FALSE)</f>
        <v/>
      </c>
      <c r="L840" s="44">
        <f>+VLOOKUP($A840,MAGAZZINO!$B$2:$M$4838,12,FALSE)</f>
        <v/>
      </c>
    </row>
    <row r="841" ht="36" customHeight="1">
      <c r="A841" s="30">
        <f>+REGISTRO!A824</f>
        <v/>
      </c>
      <c r="B841" s="31">
        <f>+VLOOKUP($A841,MAGAZZINO!$B$2:$M$4838,2,FALSE)</f>
        <v/>
      </c>
      <c r="C841" s="32">
        <f>+VLOOKUP($A841,MAGAZZINO!$B$2:$M$4838,3,FALSE)</f>
        <v/>
      </c>
      <c r="D841" s="17">
        <f>+VLOOKUP($A841,MAGAZZINO!$B$2:$M$4838,4,FALSE)</f>
        <v/>
      </c>
      <c r="E841" s="17">
        <f>+VLOOKUP($A841,MAGAZZINO!$B$2:$M$4838,5,FALSE)</f>
        <v/>
      </c>
      <c r="F841" s="17">
        <f>+VLOOKUP($A841,MAGAZZINO!$B$2:$M$4838,6,FALSE)</f>
        <v/>
      </c>
      <c r="G841" s="17">
        <f>+VLOOKUP($A841,MAGAZZINO!$B$2:$M$4838,7,FALSE)</f>
        <v/>
      </c>
      <c r="H841" s="17">
        <f>+VLOOKUP($A841,MAGAZZINO!$B$2:$M$4838,8,FALSE)</f>
        <v/>
      </c>
      <c r="I841" s="17">
        <f>+VLOOKUP($A841,MAGAZZINO!$B$2:$M$4838,9,FALSE)</f>
        <v/>
      </c>
      <c r="J841" s="17">
        <f>+VLOOKUP($A841,MAGAZZINO!$B$2:$M$4838,10,FALSE)</f>
        <v/>
      </c>
      <c r="K841" s="17">
        <f>+VLOOKUP($A841,MAGAZZINO!$B$2:$M$4838,11,FALSE)</f>
        <v/>
      </c>
      <c r="L841" s="44">
        <f>+VLOOKUP($A841,MAGAZZINO!$B$2:$M$4838,12,FALSE)</f>
        <v/>
      </c>
    </row>
    <row r="842" ht="36" customHeight="1">
      <c r="A842" s="30">
        <f>+REGISTRO!A825</f>
        <v/>
      </c>
      <c r="B842" s="31">
        <f>+VLOOKUP($A842,MAGAZZINO!$B$2:$M$4838,2,FALSE)</f>
        <v/>
      </c>
      <c r="C842" s="32">
        <f>+VLOOKUP($A842,MAGAZZINO!$B$2:$M$4838,3,FALSE)</f>
        <v/>
      </c>
      <c r="D842" s="17">
        <f>+VLOOKUP($A842,MAGAZZINO!$B$2:$M$4838,4,FALSE)</f>
        <v/>
      </c>
      <c r="E842" s="17">
        <f>+VLOOKUP($A842,MAGAZZINO!$B$2:$M$4838,5,FALSE)</f>
        <v/>
      </c>
      <c r="F842" s="17">
        <f>+VLOOKUP($A842,MAGAZZINO!$B$2:$M$4838,6,FALSE)</f>
        <v/>
      </c>
      <c r="G842" s="17">
        <f>+VLOOKUP($A842,MAGAZZINO!$B$2:$M$4838,7,FALSE)</f>
        <v/>
      </c>
      <c r="H842" s="17">
        <f>+VLOOKUP($A842,MAGAZZINO!$B$2:$M$4838,8,FALSE)</f>
        <v/>
      </c>
      <c r="I842" s="17">
        <f>+VLOOKUP($A842,MAGAZZINO!$B$2:$M$4838,9,FALSE)</f>
        <v/>
      </c>
      <c r="J842" s="17">
        <f>+VLOOKUP($A842,MAGAZZINO!$B$2:$M$4838,10,FALSE)</f>
        <v/>
      </c>
      <c r="K842" s="17">
        <f>+VLOOKUP($A842,MAGAZZINO!$B$2:$M$4838,11,FALSE)</f>
        <v/>
      </c>
      <c r="L842" s="44">
        <f>+VLOOKUP($A842,MAGAZZINO!$B$2:$M$4838,12,FALSE)</f>
        <v/>
      </c>
    </row>
    <row r="843" ht="36" customHeight="1">
      <c r="A843" s="30">
        <f>+REGISTRO!A826</f>
        <v/>
      </c>
      <c r="B843" s="31">
        <f>+VLOOKUP($A843,MAGAZZINO!$B$2:$M$4838,2,FALSE)</f>
        <v/>
      </c>
      <c r="C843" s="32">
        <f>+VLOOKUP($A843,MAGAZZINO!$B$2:$M$4838,3,FALSE)</f>
        <v/>
      </c>
      <c r="D843" s="17">
        <f>+VLOOKUP($A843,MAGAZZINO!$B$2:$M$4838,4,FALSE)</f>
        <v/>
      </c>
      <c r="E843" s="17">
        <f>+VLOOKUP($A843,MAGAZZINO!$B$2:$M$4838,5,FALSE)</f>
        <v/>
      </c>
      <c r="F843" s="17">
        <f>+VLOOKUP($A843,MAGAZZINO!$B$2:$M$4838,6,FALSE)</f>
        <v/>
      </c>
      <c r="G843" s="17">
        <f>+VLOOKUP($A843,MAGAZZINO!$B$2:$M$4838,7,FALSE)</f>
        <v/>
      </c>
      <c r="H843" s="17">
        <f>+VLOOKUP($A843,MAGAZZINO!$B$2:$M$4838,8,FALSE)</f>
        <v/>
      </c>
      <c r="I843" s="17">
        <f>+VLOOKUP($A843,MAGAZZINO!$B$2:$M$4838,9,FALSE)</f>
        <v/>
      </c>
      <c r="J843" s="17">
        <f>+VLOOKUP($A843,MAGAZZINO!$B$2:$M$4838,10,FALSE)</f>
        <v/>
      </c>
      <c r="K843" s="17">
        <f>+VLOOKUP($A843,MAGAZZINO!$B$2:$M$4838,11,FALSE)</f>
        <v/>
      </c>
      <c r="L843" s="44">
        <f>+VLOOKUP($A843,MAGAZZINO!$B$2:$M$4838,12,FALSE)</f>
        <v/>
      </c>
    </row>
    <row r="844" ht="36" customHeight="1">
      <c r="A844" s="30">
        <f>+REGISTRO!A827</f>
        <v/>
      </c>
      <c r="B844" s="31">
        <f>+VLOOKUP($A844,MAGAZZINO!$B$2:$M$4838,2,FALSE)</f>
        <v/>
      </c>
      <c r="C844" s="32">
        <f>+VLOOKUP($A844,MAGAZZINO!$B$2:$M$4838,3,FALSE)</f>
        <v/>
      </c>
      <c r="D844" s="17">
        <f>+VLOOKUP($A844,MAGAZZINO!$B$2:$M$4838,4,FALSE)</f>
        <v/>
      </c>
      <c r="E844" s="17">
        <f>+VLOOKUP($A844,MAGAZZINO!$B$2:$M$4838,5,FALSE)</f>
        <v/>
      </c>
      <c r="F844" s="17">
        <f>+VLOOKUP($A844,MAGAZZINO!$B$2:$M$4838,6,FALSE)</f>
        <v/>
      </c>
      <c r="G844" s="17">
        <f>+VLOOKUP($A844,MAGAZZINO!$B$2:$M$4838,7,FALSE)</f>
        <v/>
      </c>
      <c r="H844" s="17">
        <f>+VLOOKUP($A844,MAGAZZINO!$B$2:$M$4838,8,FALSE)</f>
        <v/>
      </c>
      <c r="I844" s="17">
        <f>+VLOOKUP($A844,MAGAZZINO!$B$2:$M$4838,9,FALSE)</f>
        <v/>
      </c>
      <c r="J844" s="17">
        <f>+VLOOKUP($A844,MAGAZZINO!$B$2:$M$4838,10,FALSE)</f>
        <v/>
      </c>
      <c r="K844" s="17">
        <f>+VLOOKUP($A844,MAGAZZINO!$B$2:$M$4838,11,FALSE)</f>
        <v/>
      </c>
      <c r="L844" s="44">
        <f>+VLOOKUP($A844,MAGAZZINO!$B$2:$M$4838,12,FALSE)</f>
        <v/>
      </c>
    </row>
    <row r="845" ht="36" customHeight="1">
      <c r="A845" s="30">
        <f>+REGISTRO!A828</f>
        <v/>
      </c>
      <c r="B845" s="31">
        <f>+VLOOKUP($A845,MAGAZZINO!$B$2:$M$4838,2,FALSE)</f>
        <v/>
      </c>
      <c r="C845" s="32">
        <f>+VLOOKUP($A845,MAGAZZINO!$B$2:$M$4838,3,FALSE)</f>
        <v/>
      </c>
      <c r="D845" s="17">
        <f>+VLOOKUP($A845,MAGAZZINO!$B$2:$M$4838,4,FALSE)</f>
        <v/>
      </c>
      <c r="E845" s="17">
        <f>+VLOOKUP($A845,MAGAZZINO!$B$2:$M$4838,5,FALSE)</f>
        <v/>
      </c>
      <c r="F845" s="17">
        <f>+VLOOKUP($A845,MAGAZZINO!$B$2:$M$4838,6,FALSE)</f>
        <v/>
      </c>
      <c r="G845" s="17">
        <f>+VLOOKUP($A845,MAGAZZINO!$B$2:$M$4838,7,FALSE)</f>
        <v/>
      </c>
      <c r="H845" s="17">
        <f>+VLOOKUP($A845,MAGAZZINO!$B$2:$M$4838,8,FALSE)</f>
        <v/>
      </c>
      <c r="I845" s="17">
        <f>+VLOOKUP($A845,MAGAZZINO!$B$2:$M$4838,9,FALSE)</f>
        <v/>
      </c>
      <c r="J845" s="17">
        <f>+VLOOKUP($A845,MAGAZZINO!$B$2:$M$4838,10,FALSE)</f>
        <v/>
      </c>
      <c r="K845" s="17">
        <f>+VLOOKUP($A845,MAGAZZINO!$B$2:$M$4838,11,FALSE)</f>
        <v/>
      </c>
      <c r="L845" s="44">
        <f>+VLOOKUP($A845,MAGAZZINO!$B$2:$M$4838,12,FALSE)</f>
        <v/>
      </c>
    </row>
    <row r="846" ht="36" customHeight="1">
      <c r="A846" s="30">
        <f>+REGISTRO!A829</f>
        <v/>
      </c>
      <c r="B846" s="31">
        <f>+VLOOKUP($A846,MAGAZZINO!$B$2:$M$4838,2,FALSE)</f>
        <v/>
      </c>
      <c r="C846" s="32">
        <f>+VLOOKUP($A846,MAGAZZINO!$B$2:$M$4838,3,FALSE)</f>
        <v/>
      </c>
      <c r="D846" s="17">
        <f>+VLOOKUP($A846,MAGAZZINO!$B$2:$M$4838,4,FALSE)</f>
        <v/>
      </c>
      <c r="E846" s="17">
        <f>+VLOOKUP($A846,MAGAZZINO!$B$2:$M$4838,5,FALSE)</f>
        <v/>
      </c>
      <c r="F846" s="17">
        <f>+VLOOKUP($A846,MAGAZZINO!$B$2:$M$4838,6,FALSE)</f>
        <v/>
      </c>
      <c r="G846" s="17">
        <f>+VLOOKUP($A846,MAGAZZINO!$B$2:$M$4838,7,FALSE)</f>
        <v/>
      </c>
      <c r="H846" s="17">
        <f>+VLOOKUP($A846,MAGAZZINO!$B$2:$M$4838,8,FALSE)</f>
        <v/>
      </c>
      <c r="I846" s="17">
        <f>+VLOOKUP($A846,MAGAZZINO!$B$2:$M$4838,9,FALSE)</f>
        <v/>
      </c>
      <c r="J846" s="17">
        <f>+VLOOKUP($A846,MAGAZZINO!$B$2:$M$4838,10,FALSE)</f>
        <v/>
      </c>
      <c r="K846" s="17">
        <f>+VLOOKUP($A846,MAGAZZINO!$B$2:$M$4838,11,FALSE)</f>
        <v/>
      </c>
      <c r="L846" s="44">
        <f>+VLOOKUP($A846,MAGAZZINO!$B$2:$M$4838,12,FALSE)</f>
        <v/>
      </c>
    </row>
    <row r="847" ht="36" customHeight="1">
      <c r="A847" s="30">
        <f>+REGISTRO!A830</f>
        <v/>
      </c>
      <c r="B847" s="31">
        <f>+VLOOKUP($A847,MAGAZZINO!$B$2:$M$4838,2,FALSE)</f>
        <v/>
      </c>
      <c r="C847" s="32">
        <f>+VLOOKUP($A847,MAGAZZINO!$B$2:$M$4838,3,FALSE)</f>
        <v/>
      </c>
      <c r="D847" s="17">
        <f>+VLOOKUP($A847,MAGAZZINO!$B$2:$M$4838,4,FALSE)</f>
        <v/>
      </c>
      <c r="E847" s="17">
        <f>+VLOOKUP($A847,MAGAZZINO!$B$2:$M$4838,5,FALSE)</f>
        <v/>
      </c>
      <c r="F847" s="17">
        <f>+VLOOKUP($A847,MAGAZZINO!$B$2:$M$4838,6,FALSE)</f>
        <v/>
      </c>
      <c r="G847" s="17">
        <f>+VLOOKUP($A847,MAGAZZINO!$B$2:$M$4838,7,FALSE)</f>
        <v/>
      </c>
      <c r="H847" s="17">
        <f>+VLOOKUP($A847,MAGAZZINO!$B$2:$M$4838,8,FALSE)</f>
        <v/>
      </c>
      <c r="I847" s="17">
        <f>+VLOOKUP($A847,MAGAZZINO!$B$2:$M$4838,9,FALSE)</f>
        <v/>
      </c>
      <c r="J847" s="17">
        <f>+VLOOKUP($A847,MAGAZZINO!$B$2:$M$4838,10,FALSE)</f>
        <v/>
      </c>
      <c r="K847" s="17">
        <f>+VLOOKUP($A847,MAGAZZINO!$B$2:$M$4838,11,FALSE)</f>
        <v/>
      </c>
      <c r="L847" s="44">
        <f>+VLOOKUP($A847,MAGAZZINO!$B$2:$M$4838,12,FALSE)</f>
        <v/>
      </c>
    </row>
    <row r="848" ht="36" customHeight="1">
      <c r="A848" s="30">
        <f>+REGISTRO!A831</f>
        <v/>
      </c>
      <c r="B848" s="31">
        <f>+VLOOKUP($A848,MAGAZZINO!$B$2:$M$4838,2,FALSE)</f>
        <v/>
      </c>
      <c r="C848" s="32">
        <f>+VLOOKUP($A848,MAGAZZINO!$B$2:$M$4838,3,FALSE)</f>
        <v/>
      </c>
      <c r="D848" s="17">
        <f>+VLOOKUP($A848,MAGAZZINO!$B$2:$M$4838,4,FALSE)</f>
        <v/>
      </c>
      <c r="E848" s="17">
        <f>+VLOOKUP($A848,MAGAZZINO!$B$2:$M$4838,5,FALSE)</f>
        <v/>
      </c>
      <c r="F848" s="17">
        <f>+VLOOKUP($A848,MAGAZZINO!$B$2:$M$4838,6,FALSE)</f>
        <v/>
      </c>
      <c r="G848" s="17">
        <f>+VLOOKUP($A848,MAGAZZINO!$B$2:$M$4838,7,FALSE)</f>
        <v/>
      </c>
      <c r="H848" s="17">
        <f>+VLOOKUP($A848,MAGAZZINO!$B$2:$M$4838,8,FALSE)</f>
        <v/>
      </c>
      <c r="I848" s="17">
        <f>+VLOOKUP($A848,MAGAZZINO!$B$2:$M$4838,9,FALSE)</f>
        <v/>
      </c>
      <c r="J848" s="17">
        <f>+VLOOKUP($A848,MAGAZZINO!$B$2:$M$4838,10,FALSE)</f>
        <v/>
      </c>
      <c r="K848" s="17">
        <f>+VLOOKUP($A848,MAGAZZINO!$B$2:$M$4838,11,FALSE)</f>
        <v/>
      </c>
      <c r="L848" s="44">
        <f>+VLOOKUP($A848,MAGAZZINO!$B$2:$M$4838,12,FALSE)</f>
        <v/>
      </c>
    </row>
    <row r="849" ht="36" customHeight="1">
      <c r="A849" s="30">
        <f>+REGISTRO!A832</f>
        <v/>
      </c>
      <c r="B849" s="31">
        <f>+VLOOKUP($A849,MAGAZZINO!$B$2:$M$4838,2,FALSE)</f>
        <v/>
      </c>
      <c r="C849" s="32">
        <f>+VLOOKUP($A849,MAGAZZINO!$B$2:$M$4838,3,FALSE)</f>
        <v/>
      </c>
      <c r="D849" s="17">
        <f>+VLOOKUP($A849,MAGAZZINO!$B$2:$M$4838,4,FALSE)</f>
        <v/>
      </c>
      <c r="E849" s="17">
        <f>+VLOOKUP($A849,MAGAZZINO!$B$2:$M$4838,5,FALSE)</f>
        <v/>
      </c>
      <c r="F849" s="17">
        <f>+VLOOKUP($A849,MAGAZZINO!$B$2:$M$4838,6,FALSE)</f>
        <v/>
      </c>
      <c r="G849" s="17">
        <f>+VLOOKUP($A849,MAGAZZINO!$B$2:$M$4838,7,FALSE)</f>
        <v/>
      </c>
      <c r="H849" s="17">
        <f>+VLOOKUP($A849,MAGAZZINO!$B$2:$M$4838,8,FALSE)</f>
        <v/>
      </c>
      <c r="I849" s="17">
        <f>+VLOOKUP($A849,MAGAZZINO!$B$2:$M$4838,9,FALSE)</f>
        <v/>
      </c>
      <c r="J849" s="17">
        <f>+VLOOKUP($A849,MAGAZZINO!$B$2:$M$4838,10,FALSE)</f>
        <v/>
      </c>
      <c r="K849" s="17">
        <f>+VLOOKUP($A849,MAGAZZINO!$B$2:$M$4838,11,FALSE)</f>
        <v/>
      </c>
      <c r="L849" s="44">
        <f>+VLOOKUP($A849,MAGAZZINO!$B$2:$M$4838,12,FALSE)</f>
        <v/>
      </c>
    </row>
    <row r="850" ht="36" customHeight="1">
      <c r="A850" s="30">
        <f>+REGISTRO!A833</f>
        <v/>
      </c>
      <c r="B850" s="31">
        <f>+VLOOKUP($A850,MAGAZZINO!$B$2:$M$4838,2,FALSE)</f>
        <v/>
      </c>
      <c r="C850" s="32">
        <f>+VLOOKUP($A850,MAGAZZINO!$B$2:$M$4838,3,FALSE)</f>
        <v/>
      </c>
      <c r="D850" s="17">
        <f>+VLOOKUP($A850,MAGAZZINO!$B$2:$M$4838,4,FALSE)</f>
        <v/>
      </c>
      <c r="E850" s="17">
        <f>+VLOOKUP($A850,MAGAZZINO!$B$2:$M$4838,5,FALSE)</f>
        <v/>
      </c>
      <c r="F850" s="17">
        <f>+VLOOKUP($A850,MAGAZZINO!$B$2:$M$4838,6,FALSE)</f>
        <v/>
      </c>
      <c r="G850" s="17">
        <f>+VLOOKUP($A850,MAGAZZINO!$B$2:$M$4838,7,FALSE)</f>
        <v/>
      </c>
      <c r="H850" s="17">
        <f>+VLOOKUP($A850,MAGAZZINO!$B$2:$M$4838,8,FALSE)</f>
        <v/>
      </c>
      <c r="I850" s="17">
        <f>+VLOOKUP($A850,MAGAZZINO!$B$2:$M$4838,9,FALSE)</f>
        <v/>
      </c>
      <c r="J850" s="17">
        <f>+VLOOKUP($A850,MAGAZZINO!$B$2:$M$4838,10,FALSE)</f>
        <v/>
      </c>
      <c r="K850" s="17">
        <f>+VLOOKUP($A850,MAGAZZINO!$B$2:$M$4838,11,FALSE)</f>
        <v/>
      </c>
      <c r="L850" s="44">
        <f>+VLOOKUP($A850,MAGAZZINO!$B$2:$M$4838,12,FALSE)</f>
        <v/>
      </c>
    </row>
    <row r="851" ht="36" customHeight="1">
      <c r="A851" s="30">
        <f>+REGISTRO!A834</f>
        <v/>
      </c>
      <c r="B851" s="31">
        <f>+VLOOKUP($A851,MAGAZZINO!$B$2:$M$4838,2,FALSE)</f>
        <v/>
      </c>
      <c r="C851" s="32">
        <f>+VLOOKUP($A851,MAGAZZINO!$B$2:$M$4838,3,FALSE)</f>
        <v/>
      </c>
      <c r="D851" s="17">
        <f>+VLOOKUP($A851,MAGAZZINO!$B$2:$M$4838,4,FALSE)</f>
        <v/>
      </c>
      <c r="E851" s="17">
        <f>+VLOOKUP($A851,MAGAZZINO!$B$2:$M$4838,5,FALSE)</f>
        <v/>
      </c>
      <c r="F851" s="17">
        <f>+VLOOKUP($A851,MAGAZZINO!$B$2:$M$4838,6,FALSE)</f>
        <v/>
      </c>
      <c r="G851" s="17">
        <f>+VLOOKUP($A851,MAGAZZINO!$B$2:$M$4838,7,FALSE)</f>
        <v/>
      </c>
      <c r="H851" s="17">
        <f>+VLOOKUP($A851,MAGAZZINO!$B$2:$M$4838,8,FALSE)</f>
        <v/>
      </c>
      <c r="I851" s="17">
        <f>+VLOOKUP($A851,MAGAZZINO!$B$2:$M$4838,9,FALSE)</f>
        <v/>
      </c>
      <c r="J851" s="17">
        <f>+VLOOKUP($A851,MAGAZZINO!$B$2:$M$4838,10,FALSE)</f>
        <v/>
      </c>
      <c r="K851" s="17">
        <f>+VLOOKUP($A851,MAGAZZINO!$B$2:$M$4838,11,FALSE)</f>
        <v/>
      </c>
      <c r="L851" s="44">
        <f>+VLOOKUP($A851,MAGAZZINO!$B$2:$M$4838,12,FALSE)</f>
        <v/>
      </c>
    </row>
    <row r="852" ht="36" customHeight="1">
      <c r="A852" s="30">
        <f>+REGISTRO!A835</f>
        <v/>
      </c>
      <c r="B852" s="31">
        <f>+VLOOKUP($A852,MAGAZZINO!$B$2:$M$4838,2,FALSE)</f>
        <v/>
      </c>
      <c r="C852" s="32">
        <f>+VLOOKUP($A852,MAGAZZINO!$B$2:$M$4838,3,FALSE)</f>
        <v/>
      </c>
      <c r="D852" s="17">
        <f>+VLOOKUP($A852,MAGAZZINO!$B$2:$M$4838,4,FALSE)</f>
        <v/>
      </c>
      <c r="E852" s="17">
        <f>+VLOOKUP($A852,MAGAZZINO!$B$2:$M$4838,5,FALSE)</f>
        <v/>
      </c>
      <c r="F852" s="17">
        <f>+VLOOKUP($A852,MAGAZZINO!$B$2:$M$4838,6,FALSE)</f>
        <v/>
      </c>
      <c r="G852" s="17">
        <f>+VLOOKUP($A852,MAGAZZINO!$B$2:$M$4838,7,FALSE)</f>
        <v/>
      </c>
      <c r="H852" s="17">
        <f>+VLOOKUP($A852,MAGAZZINO!$B$2:$M$4838,8,FALSE)</f>
        <v/>
      </c>
      <c r="I852" s="17">
        <f>+VLOOKUP($A852,MAGAZZINO!$B$2:$M$4838,9,FALSE)</f>
        <v/>
      </c>
      <c r="J852" s="17">
        <f>+VLOOKUP($A852,MAGAZZINO!$B$2:$M$4838,10,FALSE)</f>
        <v/>
      </c>
      <c r="K852" s="17">
        <f>+VLOOKUP($A852,MAGAZZINO!$B$2:$M$4838,11,FALSE)</f>
        <v/>
      </c>
      <c r="L852" s="44">
        <f>+VLOOKUP($A852,MAGAZZINO!$B$2:$M$4838,12,FALSE)</f>
        <v/>
      </c>
    </row>
    <row r="853" ht="36" customHeight="1">
      <c r="A853" s="30">
        <f>+REGISTRO!A836</f>
        <v/>
      </c>
      <c r="B853" s="31">
        <f>+VLOOKUP($A853,MAGAZZINO!$B$2:$M$4838,2,FALSE)</f>
        <v/>
      </c>
      <c r="C853" s="32">
        <f>+VLOOKUP($A853,MAGAZZINO!$B$2:$M$4838,3,FALSE)</f>
        <v/>
      </c>
      <c r="D853" s="17">
        <f>+VLOOKUP($A853,MAGAZZINO!$B$2:$M$4838,4,FALSE)</f>
        <v/>
      </c>
      <c r="E853" s="17">
        <f>+VLOOKUP($A853,MAGAZZINO!$B$2:$M$4838,5,FALSE)</f>
        <v/>
      </c>
      <c r="F853" s="17">
        <f>+VLOOKUP($A853,MAGAZZINO!$B$2:$M$4838,6,FALSE)</f>
        <v/>
      </c>
      <c r="G853" s="17">
        <f>+VLOOKUP($A853,MAGAZZINO!$B$2:$M$4838,7,FALSE)</f>
        <v/>
      </c>
      <c r="H853" s="17">
        <f>+VLOOKUP($A853,MAGAZZINO!$B$2:$M$4838,8,FALSE)</f>
        <v/>
      </c>
      <c r="I853" s="17">
        <f>+VLOOKUP($A853,MAGAZZINO!$B$2:$M$4838,9,FALSE)</f>
        <v/>
      </c>
      <c r="J853" s="17">
        <f>+VLOOKUP($A853,MAGAZZINO!$B$2:$M$4838,10,FALSE)</f>
        <v/>
      </c>
      <c r="K853" s="17">
        <f>+VLOOKUP($A853,MAGAZZINO!$B$2:$M$4838,11,FALSE)</f>
        <v/>
      </c>
      <c r="L853" s="44">
        <f>+VLOOKUP($A853,MAGAZZINO!$B$2:$M$4838,12,FALSE)</f>
        <v/>
      </c>
    </row>
    <row r="854" ht="36" customHeight="1">
      <c r="A854" s="30">
        <f>+REGISTRO!A837</f>
        <v/>
      </c>
      <c r="B854" s="31">
        <f>+VLOOKUP($A854,MAGAZZINO!$B$2:$M$4838,2,FALSE)</f>
        <v/>
      </c>
      <c r="C854" s="32">
        <f>+VLOOKUP($A854,MAGAZZINO!$B$2:$M$4838,3,FALSE)</f>
        <v/>
      </c>
      <c r="D854" s="17">
        <f>+VLOOKUP($A854,MAGAZZINO!$B$2:$M$4838,4,FALSE)</f>
        <v/>
      </c>
      <c r="E854" s="17">
        <f>+VLOOKUP($A854,MAGAZZINO!$B$2:$M$4838,5,FALSE)</f>
        <v/>
      </c>
      <c r="F854" s="17">
        <f>+VLOOKUP($A854,MAGAZZINO!$B$2:$M$4838,6,FALSE)</f>
        <v/>
      </c>
      <c r="G854" s="17">
        <f>+VLOOKUP($A854,MAGAZZINO!$B$2:$M$4838,7,FALSE)</f>
        <v/>
      </c>
      <c r="H854" s="17">
        <f>+VLOOKUP($A854,MAGAZZINO!$B$2:$M$4838,8,FALSE)</f>
        <v/>
      </c>
      <c r="I854" s="17">
        <f>+VLOOKUP($A854,MAGAZZINO!$B$2:$M$4838,9,FALSE)</f>
        <v/>
      </c>
      <c r="J854" s="17">
        <f>+VLOOKUP($A854,MAGAZZINO!$B$2:$M$4838,10,FALSE)</f>
        <v/>
      </c>
      <c r="K854" s="17">
        <f>+VLOOKUP($A854,MAGAZZINO!$B$2:$M$4838,11,FALSE)</f>
        <v/>
      </c>
      <c r="L854" s="44">
        <f>+VLOOKUP($A854,MAGAZZINO!$B$2:$M$4838,12,FALSE)</f>
        <v/>
      </c>
    </row>
    <row r="855" ht="36" customHeight="1">
      <c r="A855" s="30">
        <f>+REGISTRO!A838</f>
        <v/>
      </c>
      <c r="B855" s="31">
        <f>+VLOOKUP($A855,MAGAZZINO!$B$2:$M$4838,2,FALSE)</f>
        <v/>
      </c>
      <c r="C855" s="32">
        <f>+VLOOKUP($A855,MAGAZZINO!$B$2:$M$4838,3,FALSE)</f>
        <v/>
      </c>
      <c r="D855" s="17">
        <f>+VLOOKUP($A855,MAGAZZINO!$B$2:$M$4838,4,FALSE)</f>
        <v/>
      </c>
      <c r="E855" s="17">
        <f>+VLOOKUP($A855,MAGAZZINO!$B$2:$M$4838,5,FALSE)</f>
        <v/>
      </c>
      <c r="F855" s="17">
        <f>+VLOOKUP($A855,MAGAZZINO!$B$2:$M$4838,6,FALSE)</f>
        <v/>
      </c>
      <c r="G855" s="17">
        <f>+VLOOKUP($A855,MAGAZZINO!$B$2:$M$4838,7,FALSE)</f>
        <v/>
      </c>
      <c r="H855" s="17">
        <f>+VLOOKUP($A855,MAGAZZINO!$B$2:$M$4838,8,FALSE)</f>
        <v/>
      </c>
      <c r="I855" s="17">
        <f>+VLOOKUP($A855,MAGAZZINO!$B$2:$M$4838,9,FALSE)</f>
        <v/>
      </c>
      <c r="J855" s="17">
        <f>+VLOOKUP($A855,MAGAZZINO!$B$2:$M$4838,10,FALSE)</f>
        <v/>
      </c>
      <c r="K855" s="17">
        <f>+VLOOKUP($A855,MAGAZZINO!$B$2:$M$4838,11,FALSE)</f>
        <v/>
      </c>
      <c r="L855" s="44">
        <f>+VLOOKUP($A855,MAGAZZINO!$B$2:$M$4838,12,FALSE)</f>
        <v/>
      </c>
    </row>
    <row r="856" ht="36" customHeight="1">
      <c r="A856" s="30">
        <f>+REGISTRO!A839</f>
        <v/>
      </c>
      <c r="B856" s="31">
        <f>+VLOOKUP($A856,MAGAZZINO!$B$2:$M$4838,2,FALSE)</f>
        <v/>
      </c>
      <c r="C856" s="32">
        <f>+VLOOKUP($A856,MAGAZZINO!$B$2:$M$4838,3,FALSE)</f>
        <v/>
      </c>
      <c r="D856" s="17">
        <f>+VLOOKUP($A856,MAGAZZINO!$B$2:$M$4838,4,FALSE)</f>
        <v/>
      </c>
      <c r="E856" s="17">
        <f>+VLOOKUP($A856,MAGAZZINO!$B$2:$M$4838,5,FALSE)</f>
        <v/>
      </c>
      <c r="F856" s="17">
        <f>+VLOOKUP($A856,MAGAZZINO!$B$2:$M$4838,6,FALSE)</f>
        <v/>
      </c>
      <c r="G856" s="17">
        <f>+VLOOKUP($A856,MAGAZZINO!$B$2:$M$4838,7,FALSE)</f>
        <v/>
      </c>
      <c r="H856" s="17">
        <f>+VLOOKUP($A856,MAGAZZINO!$B$2:$M$4838,8,FALSE)</f>
        <v/>
      </c>
      <c r="I856" s="17">
        <f>+VLOOKUP($A856,MAGAZZINO!$B$2:$M$4838,9,FALSE)</f>
        <v/>
      </c>
      <c r="J856" s="17">
        <f>+VLOOKUP($A856,MAGAZZINO!$B$2:$M$4838,10,FALSE)</f>
        <v/>
      </c>
      <c r="K856" s="17">
        <f>+VLOOKUP($A856,MAGAZZINO!$B$2:$M$4838,11,FALSE)</f>
        <v/>
      </c>
      <c r="L856" s="44">
        <f>+VLOOKUP($A856,MAGAZZINO!$B$2:$M$4838,12,FALSE)</f>
        <v/>
      </c>
    </row>
    <row r="857" ht="36" customHeight="1">
      <c r="A857" s="30">
        <f>+REGISTRO!A840</f>
        <v/>
      </c>
      <c r="B857" s="31">
        <f>+VLOOKUP($A857,MAGAZZINO!$B$2:$M$4838,2,FALSE)</f>
        <v/>
      </c>
      <c r="C857" s="32">
        <f>+VLOOKUP($A857,MAGAZZINO!$B$2:$M$4838,3,FALSE)</f>
        <v/>
      </c>
      <c r="D857" s="17">
        <f>+VLOOKUP($A857,MAGAZZINO!$B$2:$M$4838,4,FALSE)</f>
        <v/>
      </c>
      <c r="E857" s="17">
        <f>+VLOOKUP($A857,MAGAZZINO!$B$2:$M$4838,5,FALSE)</f>
        <v/>
      </c>
      <c r="F857" s="17">
        <f>+VLOOKUP($A857,MAGAZZINO!$B$2:$M$4838,6,FALSE)</f>
        <v/>
      </c>
      <c r="G857" s="17">
        <f>+VLOOKUP($A857,MAGAZZINO!$B$2:$M$4838,7,FALSE)</f>
        <v/>
      </c>
      <c r="H857" s="17">
        <f>+VLOOKUP($A857,MAGAZZINO!$B$2:$M$4838,8,FALSE)</f>
        <v/>
      </c>
      <c r="I857" s="17">
        <f>+VLOOKUP($A857,MAGAZZINO!$B$2:$M$4838,9,FALSE)</f>
        <v/>
      </c>
      <c r="J857" s="17">
        <f>+VLOOKUP($A857,MAGAZZINO!$B$2:$M$4838,10,FALSE)</f>
        <v/>
      </c>
      <c r="K857" s="17">
        <f>+VLOOKUP($A857,MAGAZZINO!$B$2:$M$4838,11,FALSE)</f>
        <v/>
      </c>
      <c r="L857" s="44">
        <f>+VLOOKUP($A857,MAGAZZINO!$B$2:$M$4838,12,FALSE)</f>
        <v/>
      </c>
    </row>
    <row r="858" ht="36" customHeight="1">
      <c r="A858" s="30">
        <f>+REGISTRO!A841</f>
        <v/>
      </c>
      <c r="B858" s="31">
        <f>+VLOOKUP($A858,MAGAZZINO!$B$2:$M$4838,2,FALSE)</f>
        <v/>
      </c>
      <c r="C858" s="32">
        <f>+VLOOKUP($A858,MAGAZZINO!$B$2:$M$4838,3,FALSE)</f>
        <v/>
      </c>
      <c r="D858" s="17">
        <f>+VLOOKUP($A858,MAGAZZINO!$B$2:$M$4838,4,FALSE)</f>
        <v/>
      </c>
      <c r="E858" s="17">
        <f>+VLOOKUP($A858,MAGAZZINO!$B$2:$M$4838,5,FALSE)</f>
        <v/>
      </c>
      <c r="F858" s="17">
        <f>+VLOOKUP($A858,MAGAZZINO!$B$2:$M$4838,6,FALSE)</f>
        <v/>
      </c>
      <c r="G858" s="17">
        <f>+VLOOKUP($A858,MAGAZZINO!$B$2:$M$4838,7,FALSE)</f>
        <v/>
      </c>
      <c r="H858" s="17">
        <f>+VLOOKUP($A858,MAGAZZINO!$B$2:$M$4838,8,FALSE)</f>
        <v/>
      </c>
      <c r="I858" s="17">
        <f>+VLOOKUP($A858,MAGAZZINO!$B$2:$M$4838,9,FALSE)</f>
        <v/>
      </c>
      <c r="J858" s="17">
        <f>+VLOOKUP($A858,MAGAZZINO!$B$2:$M$4838,10,FALSE)</f>
        <v/>
      </c>
      <c r="K858" s="17">
        <f>+VLOOKUP($A858,MAGAZZINO!$B$2:$M$4838,11,FALSE)</f>
        <v/>
      </c>
      <c r="L858" s="44">
        <f>+VLOOKUP($A858,MAGAZZINO!$B$2:$M$4838,12,FALSE)</f>
        <v/>
      </c>
    </row>
    <row r="859" ht="36" customHeight="1">
      <c r="A859" s="30">
        <f>+REGISTRO!A842</f>
        <v/>
      </c>
      <c r="B859" s="31">
        <f>+VLOOKUP($A859,MAGAZZINO!$B$2:$M$4838,2,FALSE)</f>
        <v/>
      </c>
      <c r="C859" s="32">
        <f>+VLOOKUP($A859,MAGAZZINO!$B$2:$M$4838,3,FALSE)</f>
        <v/>
      </c>
      <c r="D859" s="17">
        <f>+VLOOKUP($A859,MAGAZZINO!$B$2:$M$4838,4,FALSE)</f>
        <v/>
      </c>
      <c r="E859" s="17">
        <f>+VLOOKUP($A859,MAGAZZINO!$B$2:$M$4838,5,FALSE)</f>
        <v/>
      </c>
      <c r="F859" s="17">
        <f>+VLOOKUP($A859,MAGAZZINO!$B$2:$M$4838,6,FALSE)</f>
        <v/>
      </c>
      <c r="G859" s="17">
        <f>+VLOOKUP($A859,MAGAZZINO!$B$2:$M$4838,7,FALSE)</f>
        <v/>
      </c>
      <c r="H859" s="17">
        <f>+VLOOKUP($A859,MAGAZZINO!$B$2:$M$4838,8,FALSE)</f>
        <v/>
      </c>
      <c r="I859" s="17">
        <f>+VLOOKUP($A859,MAGAZZINO!$B$2:$M$4838,9,FALSE)</f>
        <v/>
      </c>
      <c r="J859" s="17">
        <f>+VLOOKUP($A859,MAGAZZINO!$B$2:$M$4838,10,FALSE)</f>
        <v/>
      </c>
      <c r="K859" s="17">
        <f>+VLOOKUP($A859,MAGAZZINO!$B$2:$M$4838,11,FALSE)</f>
        <v/>
      </c>
      <c r="L859" s="44">
        <f>+VLOOKUP($A859,MAGAZZINO!$B$2:$M$4838,12,FALSE)</f>
        <v/>
      </c>
    </row>
    <row r="860" ht="36" customHeight="1">
      <c r="A860" s="30">
        <f>+REGISTRO!A843</f>
        <v/>
      </c>
      <c r="B860" s="31">
        <f>+VLOOKUP($A860,MAGAZZINO!$B$2:$M$4838,2,FALSE)</f>
        <v/>
      </c>
      <c r="C860" s="32">
        <f>+VLOOKUP($A860,MAGAZZINO!$B$2:$M$4838,3,FALSE)</f>
        <v/>
      </c>
      <c r="D860" s="17">
        <f>+VLOOKUP($A860,MAGAZZINO!$B$2:$M$4838,4,FALSE)</f>
        <v/>
      </c>
      <c r="E860" s="17">
        <f>+VLOOKUP($A860,MAGAZZINO!$B$2:$M$4838,5,FALSE)</f>
        <v/>
      </c>
      <c r="F860" s="17">
        <f>+VLOOKUP($A860,MAGAZZINO!$B$2:$M$4838,6,FALSE)</f>
        <v/>
      </c>
      <c r="G860" s="17">
        <f>+VLOOKUP($A860,MAGAZZINO!$B$2:$M$4838,7,FALSE)</f>
        <v/>
      </c>
      <c r="H860" s="17">
        <f>+VLOOKUP($A860,MAGAZZINO!$B$2:$M$4838,8,FALSE)</f>
        <v/>
      </c>
      <c r="I860" s="17">
        <f>+VLOOKUP($A860,MAGAZZINO!$B$2:$M$4838,9,FALSE)</f>
        <v/>
      </c>
      <c r="J860" s="17">
        <f>+VLOOKUP($A860,MAGAZZINO!$B$2:$M$4838,10,FALSE)</f>
        <v/>
      </c>
      <c r="K860" s="17">
        <f>+VLOOKUP($A860,MAGAZZINO!$B$2:$M$4838,11,FALSE)</f>
        <v/>
      </c>
      <c r="L860" s="44">
        <f>+VLOOKUP($A860,MAGAZZINO!$B$2:$M$4838,12,FALSE)</f>
        <v/>
      </c>
    </row>
    <row r="861" ht="36" customHeight="1">
      <c r="A861" s="30">
        <f>+REGISTRO!A844</f>
        <v/>
      </c>
      <c r="B861" s="31">
        <f>+VLOOKUP($A861,MAGAZZINO!$B$2:$M$4838,2,FALSE)</f>
        <v/>
      </c>
      <c r="C861" s="32">
        <f>+VLOOKUP($A861,MAGAZZINO!$B$2:$M$4838,3,FALSE)</f>
        <v/>
      </c>
      <c r="D861" s="17">
        <f>+VLOOKUP($A861,MAGAZZINO!$B$2:$M$4838,4,FALSE)</f>
        <v/>
      </c>
      <c r="E861" s="17">
        <f>+VLOOKUP($A861,MAGAZZINO!$B$2:$M$4838,5,FALSE)</f>
        <v/>
      </c>
      <c r="F861" s="17">
        <f>+VLOOKUP($A861,MAGAZZINO!$B$2:$M$4838,6,FALSE)</f>
        <v/>
      </c>
      <c r="G861" s="17">
        <f>+VLOOKUP($A861,MAGAZZINO!$B$2:$M$4838,7,FALSE)</f>
        <v/>
      </c>
      <c r="H861" s="17">
        <f>+VLOOKUP($A861,MAGAZZINO!$B$2:$M$4838,8,FALSE)</f>
        <v/>
      </c>
      <c r="I861" s="17">
        <f>+VLOOKUP($A861,MAGAZZINO!$B$2:$M$4838,9,FALSE)</f>
        <v/>
      </c>
      <c r="J861" s="17">
        <f>+VLOOKUP($A861,MAGAZZINO!$B$2:$M$4838,10,FALSE)</f>
        <v/>
      </c>
      <c r="K861" s="17">
        <f>+VLOOKUP($A861,MAGAZZINO!$B$2:$M$4838,11,FALSE)</f>
        <v/>
      </c>
      <c r="L861" s="44">
        <f>+VLOOKUP($A861,MAGAZZINO!$B$2:$M$4838,12,FALSE)</f>
        <v/>
      </c>
    </row>
    <row r="862" ht="36" customHeight="1">
      <c r="A862" s="30">
        <f>+REGISTRO!A845</f>
        <v/>
      </c>
      <c r="B862" s="31">
        <f>+VLOOKUP($A862,MAGAZZINO!$B$2:$M$4838,2,FALSE)</f>
        <v/>
      </c>
      <c r="C862" s="32">
        <f>+VLOOKUP($A862,MAGAZZINO!$B$2:$M$4838,3,FALSE)</f>
        <v/>
      </c>
      <c r="D862" s="17">
        <f>+VLOOKUP($A862,MAGAZZINO!$B$2:$M$4838,4,FALSE)</f>
        <v/>
      </c>
      <c r="E862" s="17">
        <f>+VLOOKUP($A862,MAGAZZINO!$B$2:$M$4838,5,FALSE)</f>
        <v/>
      </c>
      <c r="F862" s="17">
        <f>+VLOOKUP($A862,MAGAZZINO!$B$2:$M$4838,6,FALSE)</f>
        <v/>
      </c>
      <c r="G862" s="17">
        <f>+VLOOKUP($A862,MAGAZZINO!$B$2:$M$4838,7,FALSE)</f>
        <v/>
      </c>
      <c r="H862" s="17">
        <f>+VLOOKUP($A862,MAGAZZINO!$B$2:$M$4838,8,FALSE)</f>
        <v/>
      </c>
      <c r="I862" s="17">
        <f>+VLOOKUP($A862,MAGAZZINO!$B$2:$M$4838,9,FALSE)</f>
        <v/>
      </c>
      <c r="J862" s="17">
        <f>+VLOOKUP($A862,MAGAZZINO!$B$2:$M$4838,10,FALSE)</f>
        <v/>
      </c>
      <c r="K862" s="17">
        <f>+VLOOKUP($A862,MAGAZZINO!$B$2:$M$4838,11,FALSE)</f>
        <v/>
      </c>
      <c r="L862" s="44">
        <f>+VLOOKUP($A862,MAGAZZINO!$B$2:$M$4838,12,FALSE)</f>
        <v/>
      </c>
    </row>
    <row r="863" ht="36" customHeight="1">
      <c r="A863" s="30">
        <f>+REGISTRO!A846</f>
        <v/>
      </c>
      <c r="B863" s="31">
        <f>+VLOOKUP($A863,MAGAZZINO!$B$2:$M$4838,2,FALSE)</f>
        <v/>
      </c>
      <c r="C863" s="32">
        <f>+VLOOKUP($A863,MAGAZZINO!$B$2:$M$4838,3,FALSE)</f>
        <v/>
      </c>
      <c r="D863" s="17">
        <f>+VLOOKUP($A863,MAGAZZINO!$B$2:$M$4838,4,FALSE)</f>
        <v/>
      </c>
      <c r="E863" s="17">
        <f>+VLOOKUP($A863,MAGAZZINO!$B$2:$M$4838,5,FALSE)</f>
        <v/>
      </c>
      <c r="F863" s="17">
        <f>+VLOOKUP($A863,MAGAZZINO!$B$2:$M$4838,6,FALSE)</f>
        <v/>
      </c>
      <c r="G863" s="17">
        <f>+VLOOKUP($A863,MAGAZZINO!$B$2:$M$4838,7,FALSE)</f>
        <v/>
      </c>
      <c r="H863" s="17">
        <f>+VLOOKUP($A863,MAGAZZINO!$B$2:$M$4838,8,FALSE)</f>
        <v/>
      </c>
      <c r="I863" s="17">
        <f>+VLOOKUP($A863,MAGAZZINO!$B$2:$M$4838,9,FALSE)</f>
        <v/>
      </c>
      <c r="J863" s="17">
        <f>+VLOOKUP($A863,MAGAZZINO!$B$2:$M$4838,10,FALSE)</f>
        <v/>
      </c>
      <c r="K863" s="17">
        <f>+VLOOKUP($A863,MAGAZZINO!$B$2:$M$4838,11,FALSE)</f>
        <v/>
      </c>
      <c r="L863" s="44">
        <f>+VLOOKUP($A863,MAGAZZINO!$B$2:$M$4838,12,FALSE)</f>
        <v/>
      </c>
    </row>
    <row r="864" ht="36" customHeight="1">
      <c r="A864" s="30">
        <f>+REGISTRO!A847</f>
        <v/>
      </c>
      <c r="B864" s="31">
        <f>+VLOOKUP($A864,MAGAZZINO!$B$2:$M$4838,2,FALSE)</f>
        <v/>
      </c>
      <c r="C864" s="32">
        <f>+VLOOKUP($A864,MAGAZZINO!$B$2:$M$4838,3,FALSE)</f>
        <v/>
      </c>
      <c r="D864" s="17">
        <f>+VLOOKUP($A864,MAGAZZINO!$B$2:$M$4838,4,FALSE)</f>
        <v/>
      </c>
      <c r="E864" s="17">
        <f>+VLOOKUP($A864,MAGAZZINO!$B$2:$M$4838,5,FALSE)</f>
        <v/>
      </c>
      <c r="F864" s="17">
        <f>+VLOOKUP($A864,MAGAZZINO!$B$2:$M$4838,6,FALSE)</f>
        <v/>
      </c>
      <c r="G864" s="17">
        <f>+VLOOKUP($A864,MAGAZZINO!$B$2:$M$4838,7,FALSE)</f>
        <v/>
      </c>
      <c r="H864" s="17">
        <f>+VLOOKUP($A864,MAGAZZINO!$B$2:$M$4838,8,FALSE)</f>
        <v/>
      </c>
      <c r="I864" s="17">
        <f>+VLOOKUP($A864,MAGAZZINO!$B$2:$M$4838,9,FALSE)</f>
        <v/>
      </c>
      <c r="J864" s="17">
        <f>+VLOOKUP($A864,MAGAZZINO!$B$2:$M$4838,10,FALSE)</f>
        <v/>
      </c>
      <c r="K864" s="17">
        <f>+VLOOKUP($A864,MAGAZZINO!$B$2:$M$4838,11,FALSE)</f>
        <v/>
      </c>
      <c r="L864" s="44">
        <f>+VLOOKUP($A864,MAGAZZINO!$B$2:$M$4838,12,FALSE)</f>
        <v/>
      </c>
    </row>
    <row r="865" ht="36" customHeight="1">
      <c r="A865" s="30">
        <f>+REGISTRO!A848</f>
        <v/>
      </c>
      <c r="B865" s="31">
        <f>+VLOOKUP($A865,MAGAZZINO!$B$2:$M$4838,2,FALSE)</f>
        <v/>
      </c>
      <c r="C865" s="32">
        <f>+VLOOKUP($A865,MAGAZZINO!$B$2:$M$4838,3,FALSE)</f>
        <v/>
      </c>
      <c r="D865" s="17">
        <f>+VLOOKUP($A865,MAGAZZINO!$B$2:$M$4838,4,FALSE)</f>
        <v/>
      </c>
      <c r="E865" s="17">
        <f>+VLOOKUP($A865,MAGAZZINO!$B$2:$M$4838,5,FALSE)</f>
        <v/>
      </c>
      <c r="F865" s="17">
        <f>+VLOOKUP($A865,MAGAZZINO!$B$2:$M$4838,6,FALSE)</f>
        <v/>
      </c>
      <c r="G865" s="17">
        <f>+VLOOKUP($A865,MAGAZZINO!$B$2:$M$4838,7,FALSE)</f>
        <v/>
      </c>
      <c r="H865" s="17">
        <f>+VLOOKUP($A865,MAGAZZINO!$B$2:$M$4838,8,FALSE)</f>
        <v/>
      </c>
      <c r="I865" s="17">
        <f>+VLOOKUP($A865,MAGAZZINO!$B$2:$M$4838,9,FALSE)</f>
        <v/>
      </c>
      <c r="J865" s="17">
        <f>+VLOOKUP($A865,MAGAZZINO!$B$2:$M$4838,10,FALSE)</f>
        <v/>
      </c>
      <c r="K865" s="17">
        <f>+VLOOKUP($A865,MAGAZZINO!$B$2:$M$4838,11,FALSE)</f>
        <v/>
      </c>
      <c r="L865" s="44">
        <f>+VLOOKUP($A865,MAGAZZINO!$B$2:$M$4838,12,FALSE)</f>
        <v/>
      </c>
    </row>
    <row r="866" ht="36" customHeight="1">
      <c r="A866" s="30">
        <f>+REGISTRO!A849</f>
        <v/>
      </c>
      <c r="B866" s="31">
        <f>+VLOOKUP($A866,MAGAZZINO!$B$2:$M$4838,2,FALSE)</f>
        <v/>
      </c>
      <c r="C866" s="32">
        <f>+VLOOKUP($A866,MAGAZZINO!$B$2:$M$4838,3,FALSE)</f>
        <v/>
      </c>
      <c r="D866" s="17">
        <f>+VLOOKUP($A866,MAGAZZINO!$B$2:$M$4838,4,FALSE)</f>
        <v/>
      </c>
      <c r="E866" s="17">
        <f>+VLOOKUP($A866,MAGAZZINO!$B$2:$M$4838,5,FALSE)</f>
        <v/>
      </c>
      <c r="F866" s="17">
        <f>+VLOOKUP($A866,MAGAZZINO!$B$2:$M$4838,6,FALSE)</f>
        <v/>
      </c>
      <c r="G866" s="17">
        <f>+VLOOKUP($A866,MAGAZZINO!$B$2:$M$4838,7,FALSE)</f>
        <v/>
      </c>
      <c r="H866" s="17">
        <f>+VLOOKUP($A866,MAGAZZINO!$B$2:$M$4838,8,FALSE)</f>
        <v/>
      </c>
      <c r="I866" s="17">
        <f>+VLOOKUP($A866,MAGAZZINO!$B$2:$M$4838,9,FALSE)</f>
        <v/>
      </c>
      <c r="J866" s="17">
        <f>+VLOOKUP($A866,MAGAZZINO!$B$2:$M$4838,10,FALSE)</f>
        <v/>
      </c>
      <c r="K866" s="17">
        <f>+VLOOKUP($A866,MAGAZZINO!$B$2:$M$4838,11,FALSE)</f>
        <v/>
      </c>
      <c r="L866" s="44">
        <f>+VLOOKUP($A866,MAGAZZINO!$B$2:$M$4838,12,FALSE)</f>
        <v/>
      </c>
    </row>
    <row r="867" ht="36" customHeight="1">
      <c r="A867" s="30">
        <f>+REGISTRO!A850</f>
        <v/>
      </c>
      <c r="B867" s="31">
        <f>+VLOOKUP($A867,MAGAZZINO!$B$2:$M$4838,2,FALSE)</f>
        <v/>
      </c>
      <c r="C867" s="32">
        <f>+VLOOKUP($A867,MAGAZZINO!$B$2:$M$4838,3,FALSE)</f>
        <v/>
      </c>
      <c r="D867" s="17">
        <f>+VLOOKUP($A867,MAGAZZINO!$B$2:$M$4838,4,FALSE)</f>
        <v/>
      </c>
      <c r="E867" s="17">
        <f>+VLOOKUP($A867,MAGAZZINO!$B$2:$M$4838,5,FALSE)</f>
        <v/>
      </c>
      <c r="F867" s="17">
        <f>+VLOOKUP($A867,MAGAZZINO!$B$2:$M$4838,6,FALSE)</f>
        <v/>
      </c>
      <c r="G867" s="17">
        <f>+VLOOKUP($A867,MAGAZZINO!$B$2:$M$4838,7,FALSE)</f>
        <v/>
      </c>
      <c r="H867" s="17">
        <f>+VLOOKUP($A867,MAGAZZINO!$B$2:$M$4838,8,FALSE)</f>
        <v/>
      </c>
      <c r="I867" s="17">
        <f>+VLOOKUP($A867,MAGAZZINO!$B$2:$M$4838,9,FALSE)</f>
        <v/>
      </c>
      <c r="J867" s="17">
        <f>+VLOOKUP($A867,MAGAZZINO!$B$2:$M$4838,10,FALSE)</f>
        <v/>
      </c>
      <c r="K867" s="17">
        <f>+VLOOKUP($A867,MAGAZZINO!$B$2:$M$4838,11,FALSE)</f>
        <v/>
      </c>
      <c r="L867" s="44">
        <f>+VLOOKUP($A867,MAGAZZINO!$B$2:$M$4838,12,FALSE)</f>
        <v/>
      </c>
    </row>
    <row r="868" ht="36" customHeight="1">
      <c r="A868" s="30">
        <f>+REGISTRO!A851</f>
        <v/>
      </c>
      <c r="B868" s="31">
        <f>+VLOOKUP($A868,MAGAZZINO!$B$2:$M$4838,2,FALSE)</f>
        <v/>
      </c>
      <c r="C868" s="32">
        <f>+VLOOKUP($A868,MAGAZZINO!$B$2:$M$4838,3,FALSE)</f>
        <v/>
      </c>
      <c r="D868" s="17">
        <f>+VLOOKUP($A868,MAGAZZINO!$B$2:$M$4838,4,FALSE)</f>
        <v/>
      </c>
      <c r="E868" s="17">
        <f>+VLOOKUP($A868,MAGAZZINO!$B$2:$M$4838,5,FALSE)</f>
        <v/>
      </c>
      <c r="F868" s="17">
        <f>+VLOOKUP($A868,MAGAZZINO!$B$2:$M$4838,6,FALSE)</f>
        <v/>
      </c>
      <c r="G868" s="17">
        <f>+VLOOKUP($A868,MAGAZZINO!$B$2:$M$4838,7,FALSE)</f>
        <v/>
      </c>
      <c r="H868" s="17">
        <f>+VLOOKUP($A868,MAGAZZINO!$B$2:$M$4838,8,FALSE)</f>
        <v/>
      </c>
      <c r="I868" s="17">
        <f>+VLOOKUP($A868,MAGAZZINO!$B$2:$M$4838,9,FALSE)</f>
        <v/>
      </c>
      <c r="J868" s="17">
        <f>+VLOOKUP($A868,MAGAZZINO!$B$2:$M$4838,10,FALSE)</f>
        <v/>
      </c>
      <c r="K868" s="17">
        <f>+VLOOKUP($A868,MAGAZZINO!$B$2:$M$4838,11,FALSE)</f>
        <v/>
      </c>
      <c r="L868" s="44">
        <f>+VLOOKUP($A868,MAGAZZINO!$B$2:$M$4838,12,FALSE)</f>
        <v/>
      </c>
    </row>
    <row r="869" ht="36" customHeight="1">
      <c r="A869" s="30">
        <f>+REGISTRO!A852</f>
        <v/>
      </c>
      <c r="B869" s="31">
        <f>+VLOOKUP($A869,MAGAZZINO!$B$2:$M$4838,2,FALSE)</f>
        <v/>
      </c>
      <c r="C869" s="32">
        <f>+VLOOKUP($A869,MAGAZZINO!$B$2:$M$4838,3,FALSE)</f>
        <v/>
      </c>
      <c r="D869" s="17">
        <f>+VLOOKUP($A869,MAGAZZINO!$B$2:$M$4838,4,FALSE)</f>
        <v/>
      </c>
      <c r="E869" s="17">
        <f>+VLOOKUP($A869,MAGAZZINO!$B$2:$M$4838,5,FALSE)</f>
        <v/>
      </c>
      <c r="F869" s="17">
        <f>+VLOOKUP($A869,MAGAZZINO!$B$2:$M$4838,6,FALSE)</f>
        <v/>
      </c>
      <c r="G869" s="17">
        <f>+VLOOKUP($A869,MAGAZZINO!$B$2:$M$4838,7,FALSE)</f>
        <v/>
      </c>
      <c r="H869" s="17">
        <f>+VLOOKUP($A869,MAGAZZINO!$B$2:$M$4838,8,FALSE)</f>
        <v/>
      </c>
      <c r="I869" s="17">
        <f>+VLOOKUP($A869,MAGAZZINO!$B$2:$M$4838,9,FALSE)</f>
        <v/>
      </c>
      <c r="J869" s="17">
        <f>+VLOOKUP($A869,MAGAZZINO!$B$2:$M$4838,10,FALSE)</f>
        <v/>
      </c>
      <c r="K869" s="17">
        <f>+VLOOKUP($A869,MAGAZZINO!$B$2:$M$4838,11,FALSE)</f>
        <v/>
      </c>
      <c r="L869" s="44">
        <f>+VLOOKUP($A869,MAGAZZINO!$B$2:$M$4838,12,FALSE)</f>
        <v/>
      </c>
    </row>
    <row r="870" ht="36" customHeight="1">
      <c r="A870" s="30">
        <f>+REGISTRO!A853</f>
        <v/>
      </c>
      <c r="B870" s="31">
        <f>+VLOOKUP($A870,MAGAZZINO!$B$2:$M$4838,2,FALSE)</f>
        <v/>
      </c>
      <c r="C870" s="32">
        <f>+VLOOKUP($A870,MAGAZZINO!$B$2:$M$4838,3,FALSE)</f>
        <v/>
      </c>
      <c r="D870" s="17">
        <f>+VLOOKUP($A870,MAGAZZINO!$B$2:$M$4838,4,FALSE)</f>
        <v/>
      </c>
      <c r="E870" s="17">
        <f>+VLOOKUP($A870,MAGAZZINO!$B$2:$M$4838,5,FALSE)</f>
        <v/>
      </c>
      <c r="F870" s="17">
        <f>+VLOOKUP($A870,MAGAZZINO!$B$2:$M$4838,6,FALSE)</f>
        <v/>
      </c>
      <c r="G870" s="17">
        <f>+VLOOKUP($A870,MAGAZZINO!$B$2:$M$4838,7,FALSE)</f>
        <v/>
      </c>
      <c r="H870" s="17">
        <f>+VLOOKUP($A870,MAGAZZINO!$B$2:$M$4838,8,FALSE)</f>
        <v/>
      </c>
      <c r="I870" s="17">
        <f>+VLOOKUP($A870,MAGAZZINO!$B$2:$M$4838,9,FALSE)</f>
        <v/>
      </c>
      <c r="J870" s="17">
        <f>+VLOOKUP($A870,MAGAZZINO!$B$2:$M$4838,10,FALSE)</f>
        <v/>
      </c>
      <c r="K870" s="17">
        <f>+VLOOKUP($A870,MAGAZZINO!$B$2:$M$4838,11,FALSE)</f>
        <v/>
      </c>
      <c r="L870" s="44">
        <f>+VLOOKUP($A870,MAGAZZINO!$B$2:$M$4838,12,FALSE)</f>
        <v/>
      </c>
    </row>
    <row r="871" ht="36" customHeight="1">
      <c r="A871" s="30">
        <f>+REGISTRO!A854</f>
        <v/>
      </c>
      <c r="B871" s="31">
        <f>+VLOOKUP($A871,MAGAZZINO!$B$2:$M$4838,2,FALSE)</f>
        <v/>
      </c>
      <c r="C871" s="32">
        <f>+VLOOKUP($A871,MAGAZZINO!$B$2:$M$4838,3,FALSE)</f>
        <v/>
      </c>
      <c r="D871" s="17">
        <f>+VLOOKUP($A871,MAGAZZINO!$B$2:$M$4838,4,FALSE)</f>
        <v/>
      </c>
      <c r="E871" s="17">
        <f>+VLOOKUP($A871,MAGAZZINO!$B$2:$M$4838,5,FALSE)</f>
        <v/>
      </c>
      <c r="F871" s="17">
        <f>+VLOOKUP($A871,MAGAZZINO!$B$2:$M$4838,6,FALSE)</f>
        <v/>
      </c>
      <c r="G871" s="17">
        <f>+VLOOKUP($A871,MAGAZZINO!$B$2:$M$4838,7,FALSE)</f>
        <v/>
      </c>
      <c r="H871" s="17">
        <f>+VLOOKUP($A871,MAGAZZINO!$B$2:$M$4838,8,FALSE)</f>
        <v/>
      </c>
      <c r="I871" s="17">
        <f>+VLOOKUP($A871,MAGAZZINO!$B$2:$M$4838,9,FALSE)</f>
        <v/>
      </c>
      <c r="J871" s="17">
        <f>+VLOOKUP($A871,MAGAZZINO!$B$2:$M$4838,10,FALSE)</f>
        <v/>
      </c>
      <c r="K871" s="17">
        <f>+VLOOKUP($A871,MAGAZZINO!$B$2:$M$4838,11,FALSE)</f>
        <v/>
      </c>
      <c r="L871" s="44">
        <f>+VLOOKUP($A871,MAGAZZINO!$B$2:$M$4838,12,FALSE)</f>
        <v/>
      </c>
    </row>
    <row r="872" ht="36" customHeight="1">
      <c r="A872" s="30">
        <f>+REGISTRO!A855</f>
        <v/>
      </c>
      <c r="B872" s="31">
        <f>+VLOOKUP($A872,MAGAZZINO!$B$2:$M$4838,2,FALSE)</f>
        <v/>
      </c>
      <c r="C872" s="32">
        <f>+VLOOKUP($A872,MAGAZZINO!$B$2:$M$4838,3,FALSE)</f>
        <v/>
      </c>
      <c r="D872" s="17">
        <f>+VLOOKUP($A872,MAGAZZINO!$B$2:$M$4838,4,FALSE)</f>
        <v/>
      </c>
      <c r="E872" s="17">
        <f>+VLOOKUP($A872,MAGAZZINO!$B$2:$M$4838,5,FALSE)</f>
        <v/>
      </c>
      <c r="F872" s="17">
        <f>+VLOOKUP($A872,MAGAZZINO!$B$2:$M$4838,6,FALSE)</f>
        <v/>
      </c>
      <c r="G872" s="17">
        <f>+VLOOKUP($A872,MAGAZZINO!$B$2:$M$4838,7,FALSE)</f>
        <v/>
      </c>
      <c r="H872" s="17">
        <f>+VLOOKUP($A872,MAGAZZINO!$B$2:$M$4838,8,FALSE)</f>
        <v/>
      </c>
      <c r="I872" s="17">
        <f>+VLOOKUP($A872,MAGAZZINO!$B$2:$M$4838,9,FALSE)</f>
        <v/>
      </c>
      <c r="J872" s="17">
        <f>+VLOOKUP($A872,MAGAZZINO!$B$2:$M$4838,10,FALSE)</f>
        <v/>
      </c>
      <c r="K872" s="17">
        <f>+VLOOKUP($A872,MAGAZZINO!$B$2:$M$4838,11,FALSE)</f>
        <v/>
      </c>
      <c r="L872" s="44">
        <f>+VLOOKUP($A872,MAGAZZINO!$B$2:$M$4838,12,FALSE)</f>
        <v/>
      </c>
    </row>
    <row r="873" ht="36" customHeight="1">
      <c r="A873" s="30">
        <f>+REGISTRO!A856</f>
        <v/>
      </c>
      <c r="B873" s="31">
        <f>+VLOOKUP($A873,MAGAZZINO!$B$2:$M$4838,2,FALSE)</f>
        <v/>
      </c>
      <c r="C873" s="32">
        <f>+VLOOKUP($A873,MAGAZZINO!$B$2:$M$4838,3,FALSE)</f>
        <v/>
      </c>
      <c r="D873" s="17">
        <f>+VLOOKUP($A873,MAGAZZINO!$B$2:$M$4838,4,FALSE)</f>
        <v/>
      </c>
      <c r="E873" s="17">
        <f>+VLOOKUP($A873,MAGAZZINO!$B$2:$M$4838,5,FALSE)</f>
        <v/>
      </c>
      <c r="F873" s="17">
        <f>+VLOOKUP($A873,MAGAZZINO!$B$2:$M$4838,6,FALSE)</f>
        <v/>
      </c>
      <c r="G873" s="17">
        <f>+VLOOKUP($A873,MAGAZZINO!$B$2:$M$4838,7,FALSE)</f>
        <v/>
      </c>
      <c r="H873" s="17">
        <f>+VLOOKUP($A873,MAGAZZINO!$B$2:$M$4838,8,FALSE)</f>
        <v/>
      </c>
      <c r="I873" s="17">
        <f>+VLOOKUP($A873,MAGAZZINO!$B$2:$M$4838,9,FALSE)</f>
        <v/>
      </c>
      <c r="J873" s="17">
        <f>+VLOOKUP($A873,MAGAZZINO!$B$2:$M$4838,10,FALSE)</f>
        <v/>
      </c>
      <c r="K873" s="17">
        <f>+VLOOKUP($A873,MAGAZZINO!$B$2:$M$4838,11,FALSE)</f>
        <v/>
      </c>
      <c r="L873" s="44">
        <f>+VLOOKUP($A873,MAGAZZINO!$B$2:$M$4838,12,FALSE)</f>
        <v/>
      </c>
    </row>
    <row r="874" ht="36" customHeight="1">
      <c r="A874" s="30">
        <f>+REGISTRO!A857</f>
        <v/>
      </c>
      <c r="B874" s="31">
        <f>+VLOOKUP($A874,MAGAZZINO!$B$2:$M$4838,2,FALSE)</f>
        <v/>
      </c>
      <c r="C874" s="32">
        <f>+VLOOKUP($A874,MAGAZZINO!$B$2:$M$4838,3,FALSE)</f>
        <v/>
      </c>
      <c r="D874" s="17">
        <f>+VLOOKUP($A874,MAGAZZINO!$B$2:$M$4838,4,FALSE)</f>
        <v/>
      </c>
      <c r="E874" s="17">
        <f>+VLOOKUP($A874,MAGAZZINO!$B$2:$M$4838,5,FALSE)</f>
        <v/>
      </c>
      <c r="F874" s="17">
        <f>+VLOOKUP($A874,MAGAZZINO!$B$2:$M$4838,6,FALSE)</f>
        <v/>
      </c>
      <c r="G874" s="17">
        <f>+VLOOKUP($A874,MAGAZZINO!$B$2:$M$4838,7,FALSE)</f>
        <v/>
      </c>
      <c r="H874" s="17">
        <f>+VLOOKUP($A874,MAGAZZINO!$B$2:$M$4838,8,FALSE)</f>
        <v/>
      </c>
      <c r="I874" s="17">
        <f>+VLOOKUP($A874,MAGAZZINO!$B$2:$M$4838,9,FALSE)</f>
        <v/>
      </c>
      <c r="J874" s="17">
        <f>+VLOOKUP($A874,MAGAZZINO!$B$2:$M$4838,10,FALSE)</f>
        <v/>
      </c>
      <c r="K874" s="17">
        <f>+VLOOKUP($A874,MAGAZZINO!$B$2:$M$4838,11,FALSE)</f>
        <v/>
      </c>
      <c r="L874" s="44">
        <f>+VLOOKUP($A874,MAGAZZINO!$B$2:$M$4838,12,FALSE)</f>
        <v/>
      </c>
    </row>
    <row r="875" ht="36" customHeight="1">
      <c r="A875" s="30">
        <f>+REGISTRO!A858</f>
        <v/>
      </c>
      <c r="B875" s="31">
        <f>+VLOOKUP($A875,MAGAZZINO!$B$2:$M$4838,2,FALSE)</f>
        <v/>
      </c>
      <c r="C875" s="32">
        <f>+VLOOKUP($A875,MAGAZZINO!$B$2:$M$4838,3,FALSE)</f>
        <v/>
      </c>
      <c r="D875" s="17">
        <f>+VLOOKUP($A875,MAGAZZINO!$B$2:$M$4838,4,FALSE)</f>
        <v/>
      </c>
      <c r="E875" s="17">
        <f>+VLOOKUP($A875,MAGAZZINO!$B$2:$M$4838,5,FALSE)</f>
        <v/>
      </c>
      <c r="F875" s="17">
        <f>+VLOOKUP($A875,MAGAZZINO!$B$2:$M$4838,6,FALSE)</f>
        <v/>
      </c>
      <c r="G875" s="17">
        <f>+VLOOKUP($A875,MAGAZZINO!$B$2:$M$4838,7,FALSE)</f>
        <v/>
      </c>
      <c r="H875" s="17">
        <f>+VLOOKUP($A875,MAGAZZINO!$B$2:$M$4838,8,FALSE)</f>
        <v/>
      </c>
      <c r="I875" s="17">
        <f>+VLOOKUP($A875,MAGAZZINO!$B$2:$M$4838,9,FALSE)</f>
        <v/>
      </c>
      <c r="J875" s="17">
        <f>+VLOOKUP($A875,MAGAZZINO!$B$2:$M$4838,10,FALSE)</f>
        <v/>
      </c>
      <c r="K875" s="17">
        <f>+VLOOKUP($A875,MAGAZZINO!$B$2:$M$4838,11,FALSE)</f>
        <v/>
      </c>
      <c r="L875" s="44">
        <f>+VLOOKUP($A875,MAGAZZINO!$B$2:$M$4838,12,FALSE)</f>
        <v/>
      </c>
    </row>
    <row r="876" ht="36" customHeight="1">
      <c r="A876" s="30">
        <f>+REGISTRO!A859</f>
        <v/>
      </c>
      <c r="B876" s="31">
        <f>+VLOOKUP($A876,MAGAZZINO!$B$2:$M$4838,2,FALSE)</f>
        <v/>
      </c>
      <c r="C876" s="32">
        <f>+VLOOKUP($A876,MAGAZZINO!$B$2:$M$4838,3,FALSE)</f>
        <v/>
      </c>
      <c r="D876" s="17">
        <f>+VLOOKUP($A876,MAGAZZINO!$B$2:$M$4838,4,FALSE)</f>
        <v/>
      </c>
      <c r="E876" s="17">
        <f>+VLOOKUP($A876,MAGAZZINO!$B$2:$M$4838,5,FALSE)</f>
        <v/>
      </c>
      <c r="F876" s="17">
        <f>+VLOOKUP($A876,MAGAZZINO!$B$2:$M$4838,6,FALSE)</f>
        <v/>
      </c>
      <c r="G876" s="17">
        <f>+VLOOKUP($A876,MAGAZZINO!$B$2:$M$4838,7,FALSE)</f>
        <v/>
      </c>
      <c r="H876" s="17">
        <f>+VLOOKUP($A876,MAGAZZINO!$B$2:$M$4838,8,FALSE)</f>
        <v/>
      </c>
      <c r="I876" s="17">
        <f>+VLOOKUP($A876,MAGAZZINO!$B$2:$M$4838,9,FALSE)</f>
        <v/>
      </c>
      <c r="J876" s="17">
        <f>+VLOOKUP($A876,MAGAZZINO!$B$2:$M$4838,10,FALSE)</f>
        <v/>
      </c>
      <c r="K876" s="17">
        <f>+VLOOKUP($A876,MAGAZZINO!$B$2:$M$4838,11,FALSE)</f>
        <v/>
      </c>
      <c r="L876" s="44">
        <f>+VLOOKUP($A876,MAGAZZINO!$B$2:$M$4838,12,FALSE)</f>
        <v/>
      </c>
    </row>
    <row r="877" ht="36" customHeight="1">
      <c r="A877" s="30">
        <f>+REGISTRO!A860</f>
        <v/>
      </c>
      <c r="B877" s="31">
        <f>+VLOOKUP($A877,MAGAZZINO!$B$2:$M$4838,2,FALSE)</f>
        <v/>
      </c>
      <c r="C877" s="32">
        <f>+VLOOKUP($A877,MAGAZZINO!$B$2:$M$4838,3,FALSE)</f>
        <v/>
      </c>
      <c r="D877" s="17">
        <f>+VLOOKUP($A877,MAGAZZINO!$B$2:$M$4838,4,FALSE)</f>
        <v/>
      </c>
      <c r="E877" s="17">
        <f>+VLOOKUP($A877,MAGAZZINO!$B$2:$M$4838,5,FALSE)</f>
        <v/>
      </c>
      <c r="F877" s="17">
        <f>+VLOOKUP($A877,MAGAZZINO!$B$2:$M$4838,6,FALSE)</f>
        <v/>
      </c>
      <c r="G877" s="17">
        <f>+VLOOKUP($A877,MAGAZZINO!$B$2:$M$4838,7,FALSE)</f>
        <v/>
      </c>
      <c r="H877" s="17">
        <f>+VLOOKUP($A877,MAGAZZINO!$B$2:$M$4838,8,FALSE)</f>
        <v/>
      </c>
      <c r="I877" s="17">
        <f>+VLOOKUP($A877,MAGAZZINO!$B$2:$M$4838,9,FALSE)</f>
        <v/>
      </c>
      <c r="J877" s="17">
        <f>+VLOOKUP($A877,MAGAZZINO!$B$2:$M$4838,10,FALSE)</f>
        <v/>
      </c>
      <c r="K877" s="17">
        <f>+VLOOKUP($A877,MAGAZZINO!$B$2:$M$4838,11,FALSE)</f>
        <v/>
      </c>
      <c r="L877" s="44">
        <f>+VLOOKUP($A877,MAGAZZINO!$B$2:$M$4838,12,FALSE)</f>
        <v/>
      </c>
    </row>
    <row r="878" ht="36" customHeight="1">
      <c r="A878" s="30">
        <f>+REGISTRO!A861</f>
        <v/>
      </c>
      <c r="B878" s="31">
        <f>+VLOOKUP($A878,MAGAZZINO!$B$2:$M$4838,2,FALSE)</f>
        <v/>
      </c>
      <c r="C878" s="32">
        <f>+VLOOKUP($A878,MAGAZZINO!$B$2:$M$4838,3,FALSE)</f>
        <v/>
      </c>
      <c r="D878" s="17">
        <f>+VLOOKUP($A878,MAGAZZINO!$B$2:$M$4838,4,FALSE)</f>
        <v/>
      </c>
      <c r="E878" s="17">
        <f>+VLOOKUP($A878,MAGAZZINO!$B$2:$M$4838,5,FALSE)</f>
        <v/>
      </c>
      <c r="F878" s="17">
        <f>+VLOOKUP($A878,MAGAZZINO!$B$2:$M$4838,6,FALSE)</f>
        <v/>
      </c>
      <c r="G878" s="17">
        <f>+VLOOKUP($A878,MAGAZZINO!$B$2:$M$4838,7,FALSE)</f>
        <v/>
      </c>
      <c r="H878" s="17">
        <f>+VLOOKUP($A878,MAGAZZINO!$B$2:$M$4838,8,FALSE)</f>
        <v/>
      </c>
      <c r="I878" s="17">
        <f>+VLOOKUP($A878,MAGAZZINO!$B$2:$M$4838,9,FALSE)</f>
        <v/>
      </c>
      <c r="J878" s="17">
        <f>+VLOOKUP($A878,MAGAZZINO!$B$2:$M$4838,10,FALSE)</f>
        <v/>
      </c>
      <c r="K878" s="17">
        <f>+VLOOKUP($A878,MAGAZZINO!$B$2:$M$4838,11,FALSE)</f>
        <v/>
      </c>
      <c r="L878" s="44">
        <f>+VLOOKUP($A878,MAGAZZINO!$B$2:$M$4838,12,FALSE)</f>
        <v/>
      </c>
    </row>
    <row r="879" ht="36" customHeight="1">
      <c r="A879" s="30">
        <f>+REGISTRO!A862</f>
        <v/>
      </c>
      <c r="B879" s="31">
        <f>+VLOOKUP($A879,MAGAZZINO!$B$2:$M$4838,2,FALSE)</f>
        <v/>
      </c>
      <c r="C879" s="32">
        <f>+VLOOKUP($A879,MAGAZZINO!$B$2:$M$4838,3,FALSE)</f>
        <v/>
      </c>
      <c r="D879" s="17">
        <f>+VLOOKUP($A879,MAGAZZINO!$B$2:$M$4838,4,FALSE)</f>
        <v/>
      </c>
      <c r="E879" s="17">
        <f>+VLOOKUP($A879,MAGAZZINO!$B$2:$M$4838,5,FALSE)</f>
        <v/>
      </c>
      <c r="F879" s="17">
        <f>+VLOOKUP($A879,MAGAZZINO!$B$2:$M$4838,6,FALSE)</f>
        <v/>
      </c>
      <c r="G879" s="17">
        <f>+VLOOKUP($A879,MAGAZZINO!$B$2:$M$4838,7,FALSE)</f>
        <v/>
      </c>
      <c r="H879" s="17">
        <f>+VLOOKUP($A879,MAGAZZINO!$B$2:$M$4838,8,FALSE)</f>
        <v/>
      </c>
      <c r="I879" s="17">
        <f>+VLOOKUP($A879,MAGAZZINO!$B$2:$M$4838,9,FALSE)</f>
        <v/>
      </c>
      <c r="J879" s="17">
        <f>+VLOOKUP($A879,MAGAZZINO!$B$2:$M$4838,10,FALSE)</f>
        <v/>
      </c>
      <c r="K879" s="17">
        <f>+VLOOKUP($A879,MAGAZZINO!$B$2:$M$4838,11,FALSE)</f>
        <v/>
      </c>
      <c r="L879" s="44">
        <f>+VLOOKUP($A879,MAGAZZINO!$B$2:$M$4838,12,FALSE)</f>
        <v/>
      </c>
    </row>
    <row r="880" ht="36" customHeight="1">
      <c r="A880" s="30">
        <f>+REGISTRO!A863</f>
        <v/>
      </c>
      <c r="B880" s="31">
        <f>+VLOOKUP($A880,MAGAZZINO!$B$2:$M$4838,2,FALSE)</f>
        <v/>
      </c>
      <c r="C880" s="32">
        <f>+VLOOKUP($A880,MAGAZZINO!$B$2:$M$4838,3,FALSE)</f>
        <v/>
      </c>
      <c r="D880" s="17">
        <f>+VLOOKUP($A880,MAGAZZINO!$B$2:$M$4838,4,FALSE)</f>
        <v/>
      </c>
      <c r="E880" s="17">
        <f>+VLOOKUP($A880,MAGAZZINO!$B$2:$M$4838,5,FALSE)</f>
        <v/>
      </c>
      <c r="F880" s="17">
        <f>+VLOOKUP($A880,MAGAZZINO!$B$2:$M$4838,6,FALSE)</f>
        <v/>
      </c>
      <c r="G880" s="17">
        <f>+VLOOKUP($A880,MAGAZZINO!$B$2:$M$4838,7,FALSE)</f>
        <v/>
      </c>
      <c r="H880" s="17">
        <f>+VLOOKUP($A880,MAGAZZINO!$B$2:$M$4838,8,FALSE)</f>
        <v/>
      </c>
      <c r="I880" s="17">
        <f>+VLOOKUP($A880,MAGAZZINO!$B$2:$M$4838,9,FALSE)</f>
        <v/>
      </c>
      <c r="J880" s="17">
        <f>+VLOOKUP($A880,MAGAZZINO!$B$2:$M$4838,10,FALSE)</f>
        <v/>
      </c>
      <c r="K880" s="17">
        <f>+VLOOKUP($A880,MAGAZZINO!$B$2:$M$4838,11,FALSE)</f>
        <v/>
      </c>
      <c r="L880" s="44">
        <f>+VLOOKUP($A880,MAGAZZINO!$B$2:$M$4838,12,FALSE)</f>
        <v/>
      </c>
    </row>
    <row r="881" ht="36" customHeight="1">
      <c r="A881" s="30">
        <f>+REGISTRO!A864</f>
        <v/>
      </c>
      <c r="B881" s="31">
        <f>+VLOOKUP($A881,MAGAZZINO!$B$2:$M$4838,2,FALSE)</f>
        <v/>
      </c>
      <c r="C881" s="32">
        <f>+VLOOKUP($A881,MAGAZZINO!$B$2:$M$4838,3,FALSE)</f>
        <v/>
      </c>
      <c r="D881" s="17">
        <f>+VLOOKUP($A881,MAGAZZINO!$B$2:$M$4838,4,FALSE)</f>
        <v/>
      </c>
      <c r="E881" s="17">
        <f>+VLOOKUP($A881,MAGAZZINO!$B$2:$M$4838,5,FALSE)</f>
        <v/>
      </c>
      <c r="F881" s="17">
        <f>+VLOOKUP($A881,MAGAZZINO!$B$2:$M$4838,6,FALSE)</f>
        <v/>
      </c>
      <c r="G881" s="17">
        <f>+VLOOKUP($A881,MAGAZZINO!$B$2:$M$4838,7,FALSE)</f>
        <v/>
      </c>
      <c r="H881" s="17">
        <f>+VLOOKUP($A881,MAGAZZINO!$B$2:$M$4838,8,FALSE)</f>
        <v/>
      </c>
      <c r="I881" s="17">
        <f>+VLOOKUP($A881,MAGAZZINO!$B$2:$M$4838,9,FALSE)</f>
        <v/>
      </c>
      <c r="J881" s="17">
        <f>+VLOOKUP($A881,MAGAZZINO!$B$2:$M$4838,10,FALSE)</f>
        <v/>
      </c>
      <c r="K881" s="17">
        <f>+VLOOKUP($A881,MAGAZZINO!$B$2:$M$4838,11,FALSE)</f>
        <v/>
      </c>
      <c r="L881" s="44">
        <f>+VLOOKUP($A881,MAGAZZINO!$B$2:$M$4838,12,FALSE)</f>
        <v/>
      </c>
    </row>
    <row r="882" ht="36" customHeight="1">
      <c r="A882" s="30">
        <f>+REGISTRO!A865</f>
        <v/>
      </c>
      <c r="B882" s="31">
        <f>+VLOOKUP($A882,MAGAZZINO!$B$2:$M$4838,2,FALSE)</f>
        <v/>
      </c>
      <c r="C882" s="32">
        <f>+VLOOKUP($A882,MAGAZZINO!$B$2:$M$4838,3,FALSE)</f>
        <v/>
      </c>
      <c r="D882" s="17">
        <f>+VLOOKUP($A882,MAGAZZINO!$B$2:$M$4838,4,FALSE)</f>
        <v/>
      </c>
      <c r="E882" s="17">
        <f>+VLOOKUP($A882,MAGAZZINO!$B$2:$M$4838,5,FALSE)</f>
        <v/>
      </c>
      <c r="F882" s="17">
        <f>+VLOOKUP($A882,MAGAZZINO!$B$2:$M$4838,6,FALSE)</f>
        <v/>
      </c>
      <c r="G882" s="17">
        <f>+VLOOKUP($A882,MAGAZZINO!$B$2:$M$4838,7,FALSE)</f>
        <v/>
      </c>
      <c r="H882" s="17">
        <f>+VLOOKUP($A882,MAGAZZINO!$B$2:$M$4838,8,FALSE)</f>
        <v/>
      </c>
      <c r="I882" s="17">
        <f>+VLOOKUP($A882,MAGAZZINO!$B$2:$M$4838,9,FALSE)</f>
        <v/>
      </c>
      <c r="J882" s="17">
        <f>+VLOOKUP($A882,MAGAZZINO!$B$2:$M$4838,10,FALSE)</f>
        <v/>
      </c>
      <c r="K882" s="17">
        <f>+VLOOKUP($A882,MAGAZZINO!$B$2:$M$4838,11,FALSE)</f>
        <v/>
      </c>
      <c r="L882" s="44">
        <f>+VLOOKUP($A882,MAGAZZINO!$B$2:$M$4838,12,FALSE)</f>
        <v/>
      </c>
    </row>
    <row r="883" ht="36" customHeight="1">
      <c r="A883" s="30">
        <f>+REGISTRO!A866</f>
        <v/>
      </c>
      <c r="B883" s="31">
        <f>+VLOOKUP($A883,MAGAZZINO!$B$2:$M$4838,2,FALSE)</f>
        <v/>
      </c>
      <c r="C883" s="32">
        <f>+VLOOKUP($A883,MAGAZZINO!$B$2:$M$4838,3,FALSE)</f>
        <v/>
      </c>
      <c r="D883" s="17">
        <f>+VLOOKUP($A883,MAGAZZINO!$B$2:$M$4838,4,FALSE)</f>
        <v/>
      </c>
      <c r="E883" s="17">
        <f>+VLOOKUP($A883,MAGAZZINO!$B$2:$M$4838,5,FALSE)</f>
        <v/>
      </c>
      <c r="F883" s="17">
        <f>+VLOOKUP($A883,MAGAZZINO!$B$2:$M$4838,6,FALSE)</f>
        <v/>
      </c>
      <c r="G883" s="17">
        <f>+VLOOKUP($A883,MAGAZZINO!$B$2:$M$4838,7,FALSE)</f>
        <v/>
      </c>
      <c r="H883" s="17">
        <f>+VLOOKUP($A883,MAGAZZINO!$B$2:$M$4838,8,FALSE)</f>
        <v/>
      </c>
      <c r="I883" s="17">
        <f>+VLOOKUP($A883,MAGAZZINO!$B$2:$M$4838,9,FALSE)</f>
        <v/>
      </c>
      <c r="J883" s="17">
        <f>+VLOOKUP($A883,MAGAZZINO!$B$2:$M$4838,10,FALSE)</f>
        <v/>
      </c>
      <c r="K883" s="17">
        <f>+VLOOKUP($A883,MAGAZZINO!$B$2:$M$4838,11,FALSE)</f>
        <v/>
      </c>
      <c r="L883" s="44">
        <f>+VLOOKUP($A883,MAGAZZINO!$B$2:$M$4838,12,FALSE)</f>
        <v/>
      </c>
    </row>
    <row r="884" ht="36" customHeight="1">
      <c r="A884" s="30">
        <f>+REGISTRO!A867</f>
        <v/>
      </c>
      <c r="B884" s="31">
        <f>+VLOOKUP($A884,MAGAZZINO!$B$2:$M$4838,2,FALSE)</f>
        <v/>
      </c>
      <c r="C884" s="32">
        <f>+VLOOKUP($A884,MAGAZZINO!$B$2:$M$4838,3,FALSE)</f>
        <v/>
      </c>
      <c r="D884" s="17">
        <f>+VLOOKUP($A884,MAGAZZINO!$B$2:$M$4838,4,FALSE)</f>
        <v/>
      </c>
      <c r="E884" s="17">
        <f>+VLOOKUP($A884,MAGAZZINO!$B$2:$M$4838,5,FALSE)</f>
        <v/>
      </c>
      <c r="F884" s="17">
        <f>+VLOOKUP($A884,MAGAZZINO!$B$2:$M$4838,6,FALSE)</f>
        <v/>
      </c>
      <c r="G884" s="17">
        <f>+VLOOKUP($A884,MAGAZZINO!$B$2:$M$4838,7,FALSE)</f>
        <v/>
      </c>
      <c r="H884" s="17">
        <f>+VLOOKUP($A884,MAGAZZINO!$B$2:$M$4838,8,FALSE)</f>
        <v/>
      </c>
      <c r="I884" s="17">
        <f>+VLOOKUP($A884,MAGAZZINO!$B$2:$M$4838,9,FALSE)</f>
        <v/>
      </c>
      <c r="J884" s="17">
        <f>+VLOOKUP($A884,MAGAZZINO!$B$2:$M$4838,10,FALSE)</f>
        <v/>
      </c>
      <c r="K884" s="17">
        <f>+VLOOKUP($A884,MAGAZZINO!$B$2:$M$4838,11,FALSE)</f>
        <v/>
      </c>
      <c r="L884" s="44">
        <f>+VLOOKUP($A884,MAGAZZINO!$B$2:$M$4838,12,FALSE)</f>
        <v/>
      </c>
    </row>
    <row r="885" ht="36" customHeight="1">
      <c r="A885" s="30">
        <f>+REGISTRO!A868</f>
        <v/>
      </c>
      <c r="B885" s="31">
        <f>+VLOOKUP($A885,MAGAZZINO!$B$2:$M$4838,2,FALSE)</f>
        <v/>
      </c>
      <c r="C885" s="32">
        <f>+VLOOKUP($A885,MAGAZZINO!$B$2:$M$4838,3,FALSE)</f>
        <v/>
      </c>
      <c r="D885" s="17">
        <f>+VLOOKUP($A885,MAGAZZINO!$B$2:$M$4838,4,FALSE)</f>
        <v/>
      </c>
      <c r="E885" s="17">
        <f>+VLOOKUP($A885,MAGAZZINO!$B$2:$M$4838,5,FALSE)</f>
        <v/>
      </c>
      <c r="F885" s="17">
        <f>+VLOOKUP($A885,MAGAZZINO!$B$2:$M$4838,6,FALSE)</f>
        <v/>
      </c>
      <c r="G885" s="17">
        <f>+VLOOKUP($A885,MAGAZZINO!$B$2:$M$4838,7,FALSE)</f>
        <v/>
      </c>
      <c r="H885" s="17">
        <f>+VLOOKUP($A885,MAGAZZINO!$B$2:$M$4838,8,FALSE)</f>
        <v/>
      </c>
      <c r="I885" s="17">
        <f>+VLOOKUP($A885,MAGAZZINO!$B$2:$M$4838,9,FALSE)</f>
        <v/>
      </c>
      <c r="J885" s="17">
        <f>+VLOOKUP($A885,MAGAZZINO!$B$2:$M$4838,10,FALSE)</f>
        <v/>
      </c>
      <c r="K885" s="17">
        <f>+VLOOKUP($A885,MAGAZZINO!$B$2:$M$4838,11,FALSE)</f>
        <v/>
      </c>
      <c r="L885" s="44">
        <f>+VLOOKUP($A885,MAGAZZINO!$B$2:$M$4838,12,FALSE)</f>
        <v/>
      </c>
    </row>
    <row r="886" ht="36" customHeight="1">
      <c r="A886" s="30">
        <f>+REGISTRO!A869</f>
        <v/>
      </c>
      <c r="B886" s="31">
        <f>+VLOOKUP($A886,MAGAZZINO!$B$2:$M$4838,2,FALSE)</f>
        <v/>
      </c>
      <c r="C886" s="32">
        <f>+VLOOKUP($A886,MAGAZZINO!$B$2:$M$4838,3,FALSE)</f>
        <v/>
      </c>
      <c r="D886" s="17">
        <f>+VLOOKUP($A886,MAGAZZINO!$B$2:$M$4838,4,FALSE)</f>
        <v/>
      </c>
      <c r="E886" s="17">
        <f>+VLOOKUP($A886,MAGAZZINO!$B$2:$M$4838,5,FALSE)</f>
        <v/>
      </c>
      <c r="F886" s="17">
        <f>+VLOOKUP($A886,MAGAZZINO!$B$2:$M$4838,6,FALSE)</f>
        <v/>
      </c>
      <c r="G886" s="17">
        <f>+VLOOKUP($A886,MAGAZZINO!$B$2:$M$4838,7,FALSE)</f>
        <v/>
      </c>
      <c r="H886" s="17">
        <f>+VLOOKUP($A886,MAGAZZINO!$B$2:$M$4838,8,FALSE)</f>
        <v/>
      </c>
      <c r="I886" s="17">
        <f>+VLOOKUP($A886,MAGAZZINO!$B$2:$M$4838,9,FALSE)</f>
        <v/>
      </c>
      <c r="J886" s="17">
        <f>+VLOOKUP($A886,MAGAZZINO!$B$2:$M$4838,10,FALSE)</f>
        <v/>
      </c>
      <c r="K886" s="17">
        <f>+VLOOKUP($A886,MAGAZZINO!$B$2:$M$4838,11,FALSE)</f>
        <v/>
      </c>
      <c r="L886" s="44">
        <f>+VLOOKUP($A886,MAGAZZINO!$B$2:$M$4838,12,FALSE)</f>
        <v/>
      </c>
    </row>
    <row r="887" ht="36" customHeight="1">
      <c r="A887" s="30">
        <f>+REGISTRO!A870</f>
        <v/>
      </c>
      <c r="B887" s="31">
        <f>+VLOOKUP($A887,MAGAZZINO!$B$2:$M$4838,2,FALSE)</f>
        <v/>
      </c>
      <c r="C887" s="32">
        <f>+VLOOKUP($A887,MAGAZZINO!$B$2:$M$4838,3,FALSE)</f>
        <v/>
      </c>
      <c r="D887" s="17">
        <f>+VLOOKUP($A887,MAGAZZINO!$B$2:$M$4838,4,FALSE)</f>
        <v/>
      </c>
      <c r="E887" s="17">
        <f>+VLOOKUP($A887,MAGAZZINO!$B$2:$M$4838,5,FALSE)</f>
        <v/>
      </c>
      <c r="F887" s="17">
        <f>+VLOOKUP($A887,MAGAZZINO!$B$2:$M$4838,6,FALSE)</f>
        <v/>
      </c>
      <c r="G887" s="17">
        <f>+VLOOKUP($A887,MAGAZZINO!$B$2:$M$4838,7,FALSE)</f>
        <v/>
      </c>
      <c r="H887" s="17">
        <f>+VLOOKUP($A887,MAGAZZINO!$B$2:$M$4838,8,FALSE)</f>
        <v/>
      </c>
      <c r="I887" s="17">
        <f>+VLOOKUP($A887,MAGAZZINO!$B$2:$M$4838,9,FALSE)</f>
        <v/>
      </c>
      <c r="J887" s="17">
        <f>+VLOOKUP($A887,MAGAZZINO!$B$2:$M$4838,10,FALSE)</f>
        <v/>
      </c>
      <c r="K887" s="17">
        <f>+VLOOKUP($A887,MAGAZZINO!$B$2:$M$4838,11,FALSE)</f>
        <v/>
      </c>
      <c r="L887" s="44">
        <f>+VLOOKUP($A887,MAGAZZINO!$B$2:$M$4838,12,FALSE)</f>
        <v/>
      </c>
    </row>
    <row r="888" ht="36" customHeight="1">
      <c r="A888" s="30">
        <f>+REGISTRO!A871</f>
        <v/>
      </c>
      <c r="B888" s="31">
        <f>+VLOOKUP($A888,MAGAZZINO!$B$2:$M$4838,2,FALSE)</f>
        <v/>
      </c>
      <c r="C888" s="32">
        <f>+VLOOKUP($A888,MAGAZZINO!$B$2:$M$4838,3,FALSE)</f>
        <v/>
      </c>
      <c r="D888" s="17">
        <f>+VLOOKUP($A888,MAGAZZINO!$B$2:$M$4838,4,FALSE)</f>
        <v/>
      </c>
      <c r="E888" s="17">
        <f>+VLOOKUP($A888,MAGAZZINO!$B$2:$M$4838,5,FALSE)</f>
        <v/>
      </c>
      <c r="F888" s="17">
        <f>+VLOOKUP($A888,MAGAZZINO!$B$2:$M$4838,6,FALSE)</f>
        <v/>
      </c>
      <c r="G888" s="17">
        <f>+VLOOKUP($A888,MAGAZZINO!$B$2:$M$4838,7,FALSE)</f>
        <v/>
      </c>
      <c r="H888" s="17">
        <f>+VLOOKUP($A888,MAGAZZINO!$B$2:$M$4838,8,FALSE)</f>
        <v/>
      </c>
      <c r="I888" s="17">
        <f>+VLOOKUP($A888,MAGAZZINO!$B$2:$M$4838,9,FALSE)</f>
        <v/>
      </c>
      <c r="J888" s="17">
        <f>+VLOOKUP($A888,MAGAZZINO!$B$2:$M$4838,10,FALSE)</f>
        <v/>
      </c>
      <c r="K888" s="17">
        <f>+VLOOKUP($A888,MAGAZZINO!$B$2:$M$4838,11,FALSE)</f>
        <v/>
      </c>
      <c r="L888" s="44">
        <f>+VLOOKUP($A888,MAGAZZINO!$B$2:$M$4838,12,FALSE)</f>
        <v/>
      </c>
    </row>
    <row r="889" ht="36" customHeight="1">
      <c r="A889" s="30">
        <f>+REGISTRO!A872</f>
        <v/>
      </c>
      <c r="B889" s="31">
        <f>+VLOOKUP($A889,MAGAZZINO!$B$2:$M$4838,2,FALSE)</f>
        <v/>
      </c>
      <c r="C889" s="32">
        <f>+VLOOKUP($A889,MAGAZZINO!$B$2:$M$4838,3,FALSE)</f>
        <v/>
      </c>
      <c r="D889" s="17">
        <f>+VLOOKUP($A889,MAGAZZINO!$B$2:$M$4838,4,FALSE)</f>
        <v/>
      </c>
      <c r="E889" s="17">
        <f>+VLOOKUP($A889,MAGAZZINO!$B$2:$M$4838,5,FALSE)</f>
        <v/>
      </c>
      <c r="F889" s="17">
        <f>+VLOOKUP($A889,MAGAZZINO!$B$2:$M$4838,6,FALSE)</f>
        <v/>
      </c>
      <c r="G889" s="17">
        <f>+VLOOKUP($A889,MAGAZZINO!$B$2:$M$4838,7,FALSE)</f>
        <v/>
      </c>
      <c r="H889" s="17">
        <f>+VLOOKUP($A889,MAGAZZINO!$B$2:$M$4838,8,FALSE)</f>
        <v/>
      </c>
      <c r="I889" s="17">
        <f>+VLOOKUP($A889,MAGAZZINO!$B$2:$M$4838,9,FALSE)</f>
        <v/>
      </c>
      <c r="J889" s="17">
        <f>+VLOOKUP($A889,MAGAZZINO!$B$2:$M$4838,10,FALSE)</f>
        <v/>
      </c>
      <c r="K889" s="17">
        <f>+VLOOKUP($A889,MAGAZZINO!$B$2:$M$4838,11,FALSE)</f>
        <v/>
      </c>
      <c r="L889" s="44">
        <f>+VLOOKUP($A889,MAGAZZINO!$B$2:$M$4838,12,FALSE)</f>
        <v/>
      </c>
    </row>
    <row r="890" ht="36" customHeight="1">
      <c r="A890" s="30">
        <f>+REGISTRO!A873</f>
        <v/>
      </c>
      <c r="B890" s="31">
        <f>+VLOOKUP($A890,MAGAZZINO!$B$2:$M$4838,2,FALSE)</f>
        <v/>
      </c>
      <c r="C890" s="32">
        <f>+VLOOKUP($A890,MAGAZZINO!$B$2:$M$4838,3,FALSE)</f>
        <v/>
      </c>
      <c r="D890" s="17">
        <f>+VLOOKUP($A890,MAGAZZINO!$B$2:$M$4838,4,FALSE)</f>
        <v/>
      </c>
      <c r="E890" s="17">
        <f>+VLOOKUP($A890,MAGAZZINO!$B$2:$M$4838,5,FALSE)</f>
        <v/>
      </c>
      <c r="F890" s="17">
        <f>+VLOOKUP($A890,MAGAZZINO!$B$2:$M$4838,6,FALSE)</f>
        <v/>
      </c>
      <c r="G890" s="17">
        <f>+VLOOKUP($A890,MAGAZZINO!$B$2:$M$4838,7,FALSE)</f>
        <v/>
      </c>
      <c r="H890" s="17">
        <f>+VLOOKUP($A890,MAGAZZINO!$B$2:$M$4838,8,FALSE)</f>
        <v/>
      </c>
      <c r="I890" s="17">
        <f>+VLOOKUP($A890,MAGAZZINO!$B$2:$M$4838,9,FALSE)</f>
        <v/>
      </c>
      <c r="J890" s="17">
        <f>+VLOOKUP($A890,MAGAZZINO!$B$2:$M$4838,10,FALSE)</f>
        <v/>
      </c>
      <c r="K890" s="17">
        <f>+VLOOKUP($A890,MAGAZZINO!$B$2:$M$4838,11,FALSE)</f>
        <v/>
      </c>
      <c r="L890" s="44">
        <f>+VLOOKUP($A890,MAGAZZINO!$B$2:$M$4838,12,FALSE)</f>
        <v/>
      </c>
    </row>
    <row r="891" ht="36" customHeight="1">
      <c r="A891" s="30">
        <f>+REGISTRO!A874</f>
        <v/>
      </c>
      <c r="B891" s="31">
        <f>+VLOOKUP($A891,MAGAZZINO!$B$2:$M$4838,2,FALSE)</f>
        <v/>
      </c>
      <c r="C891" s="32">
        <f>+VLOOKUP($A891,MAGAZZINO!$B$2:$M$4838,3,FALSE)</f>
        <v/>
      </c>
      <c r="D891" s="17">
        <f>+VLOOKUP($A891,MAGAZZINO!$B$2:$M$4838,4,FALSE)</f>
        <v/>
      </c>
      <c r="E891" s="17">
        <f>+VLOOKUP($A891,MAGAZZINO!$B$2:$M$4838,5,FALSE)</f>
        <v/>
      </c>
      <c r="F891" s="17">
        <f>+VLOOKUP($A891,MAGAZZINO!$B$2:$M$4838,6,FALSE)</f>
        <v/>
      </c>
      <c r="G891" s="17">
        <f>+VLOOKUP($A891,MAGAZZINO!$B$2:$M$4838,7,FALSE)</f>
        <v/>
      </c>
      <c r="H891" s="17">
        <f>+VLOOKUP($A891,MAGAZZINO!$B$2:$M$4838,8,FALSE)</f>
        <v/>
      </c>
      <c r="I891" s="17">
        <f>+VLOOKUP($A891,MAGAZZINO!$B$2:$M$4838,9,FALSE)</f>
        <v/>
      </c>
      <c r="J891" s="17">
        <f>+VLOOKUP($A891,MAGAZZINO!$B$2:$M$4838,10,FALSE)</f>
        <v/>
      </c>
      <c r="K891" s="17">
        <f>+VLOOKUP($A891,MAGAZZINO!$B$2:$M$4838,11,FALSE)</f>
        <v/>
      </c>
      <c r="L891" s="44">
        <f>+VLOOKUP($A891,MAGAZZINO!$B$2:$M$4838,12,FALSE)</f>
        <v/>
      </c>
    </row>
    <row r="892" ht="36" customHeight="1">
      <c r="A892" s="30">
        <f>+REGISTRO!A875</f>
        <v/>
      </c>
      <c r="B892" s="31">
        <f>+VLOOKUP($A892,MAGAZZINO!$B$2:$M$4838,2,FALSE)</f>
        <v/>
      </c>
      <c r="C892" s="32">
        <f>+VLOOKUP($A892,MAGAZZINO!$B$2:$M$4838,3,FALSE)</f>
        <v/>
      </c>
      <c r="D892" s="17">
        <f>+VLOOKUP($A892,MAGAZZINO!$B$2:$M$4838,4,FALSE)</f>
        <v/>
      </c>
      <c r="E892" s="17">
        <f>+VLOOKUP($A892,MAGAZZINO!$B$2:$M$4838,5,FALSE)</f>
        <v/>
      </c>
      <c r="F892" s="17">
        <f>+VLOOKUP($A892,MAGAZZINO!$B$2:$M$4838,6,FALSE)</f>
        <v/>
      </c>
      <c r="G892" s="17">
        <f>+VLOOKUP($A892,MAGAZZINO!$B$2:$M$4838,7,FALSE)</f>
        <v/>
      </c>
      <c r="H892" s="17">
        <f>+VLOOKUP($A892,MAGAZZINO!$B$2:$M$4838,8,FALSE)</f>
        <v/>
      </c>
      <c r="I892" s="17">
        <f>+VLOOKUP($A892,MAGAZZINO!$B$2:$M$4838,9,FALSE)</f>
        <v/>
      </c>
      <c r="J892" s="17">
        <f>+VLOOKUP($A892,MAGAZZINO!$B$2:$M$4838,10,FALSE)</f>
        <v/>
      </c>
      <c r="K892" s="17">
        <f>+VLOOKUP($A892,MAGAZZINO!$B$2:$M$4838,11,FALSE)</f>
        <v/>
      </c>
      <c r="L892" s="44">
        <f>+VLOOKUP($A892,MAGAZZINO!$B$2:$M$4838,12,FALSE)</f>
        <v/>
      </c>
    </row>
    <row r="893" ht="36" customHeight="1">
      <c r="A893" s="30">
        <f>+REGISTRO!A876</f>
        <v/>
      </c>
      <c r="B893" s="31">
        <f>+VLOOKUP($A893,MAGAZZINO!$B$2:$M$4838,2,FALSE)</f>
        <v/>
      </c>
      <c r="C893" s="32">
        <f>+VLOOKUP($A893,MAGAZZINO!$B$2:$M$4838,3,FALSE)</f>
        <v/>
      </c>
      <c r="D893" s="17">
        <f>+VLOOKUP($A893,MAGAZZINO!$B$2:$M$4838,4,FALSE)</f>
        <v/>
      </c>
      <c r="E893" s="17">
        <f>+VLOOKUP($A893,MAGAZZINO!$B$2:$M$4838,5,FALSE)</f>
        <v/>
      </c>
      <c r="F893" s="17">
        <f>+VLOOKUP($A893,MAGAZZINO!$B$2:$M$4838,6,FALSE)</f>
        <v/>
      </c>
      <c r="G893" s="17">
        <f>+VLOOKUP($A893,MAGAZZINO!$B$2:$M$4838,7,FALSE)</f>
        <v/>
      </c>
      <c r="H893" s="17">
        <f>+VLOOKUP($A893,MAGAZZINO!$B$2:$M$4838,8,FALSE)</f>
        <v/>
      </c>
      <c r="I893" s="17">
        <f>+VLOOKUP($A893,MAGAZZINO!$B$2:$M$4838,9,FALSE)</f>
        <v/>
      </c>
      <c r="J893" s="17">
        <f>+VLOOKUP($A893,MAGAZZINO!$B$2:$M$4838,10,FALSE)</f>
        <v/>
      </c>
      <c r="K893" s="17">
        <f>+VLOOKUP($A893,MAGAZZINO!$B$2:$M$4838,11,FALSE)</f>
        <v/>
      </c>
      <c r="L893" s="44">
        <f>+VLOOKUP($A893,MAGAZZINO!$B$2:$M$4838,12,FALSE)</f>
        <v/>
      </c>
    </row>
    <row r="894" ht="36" customHeight="1">
      <c r="A894" s="30">
        <f>+REGISTRO!A877</f>
        <v/>
      </c>
      <c r="B894" s="31">
        <f>+VLOOKUP($A894,MAGAZZINO!$B$2:$M$4838,2,FALSE)</f>
        <v/>
      </c>
      <c r="C894" s="32">
        <f>+VLOOKUP($A894,MAGAZZINO!$B$2:$M$4838,3,FALSE)</f>
        <v/>
      </c>
      <c r="D894" s="17">
        <f>+VLOOKUP($A894,MAGAZZINO!$B$2:$M$4838,4,FALSE)</f>
        <v/>
      </c>
      <c r="E894" s="17">
        <f>+VLOOKUP($A894,MAGAZZINO!$B$2:$M$4838,5,FALSE)</f>
        <v/>
      </c>
      <c r="F894" s="17">
        <f>+VLOOKUP($A894,MAGAZZINO!$B$2:$M$4838,6,FALSE)</f>
        <v/>
      </c>
      <c r="G894" s="17">
        <f>+VLOOKUP($A894,MAGAZZINO!$B$2:$M$4838,7,FALSE)</f>
        <v/>
      </c>
      <c r="H894" s="17">
        <f>+VLOOKUP($A894,MAGAZZINO!$B$2:$M$4838,8,FALSE)</f>
        <v/>
      </c>
      <c r="I894" s="17">
        <f>+VLOOKUP($A894,MAGAZZINO!$B$2:$M$4838,9,FALSE)</f>
        <v/>
      </c>
      <c r="J894" s="17">
        <f>+VLOOKUP($A894,MAGAZZINO!$B$2:$M$4838,10,FALSE)</f>
        <v/>
      </c>
      <c r="K894" s="17">
        <f>+VLOOKUP($A894,MAGAZZINO!$B$2:$M$4838,11,FALSE)</f>
        <v/>
      </c>
      <c r="L894" s="44">
        <f>+VLOOKUP($A894,MAGAZZINO!$B$2:$M$4838,12,FALSE)</f>
        <v/>
      </c>
    </row>
    <row r="895" ht="36" customHeight="1">
      <c r="A895" s="30">
        <f>+REGISTRO!A878</f>
        <v/>
      </c>
      <c r="B895" s="31">
        <f>+VLOOKUP($A895,MAGAZZINO!$B$2:$M$4838,2,FALSE)</f>
        <v/>
      </c>
      <c r="C895" s="32">
        <f>+VLOOKUP($A895,MAGAZZINO!$B$2:$M$4838,3,FALSE)</f>
        <v/>
      </c>
      <c r="D895" s="17">
        <f>+VLOOKUP($A895,MAGAZZINO!$B$2:$M$4838,4,FALSE)</f>
        <v/>
      </c>
      <c r="E895" s="17">
        <f>+VLOOKUP($A895,MAGAZZINO!$B$2:$M$4838,5,FALSE)</f>
        <v/>
      </c>
      <c r="F895" s="17">
        <f>+VLOOKUP($A895,MAGAZZINO!$B$2:$M$4838,6,FALSE)</f>
        <v/>
      </c>
      <c r="G895" s="17">
        <f>+VLOOKUP($A895,MAGAZZINO!$B$2:$M$4838,7,FALSE)</f>
        <v/>
      </c>
      <c r="H895" s="17">
        <f>+VLOOKUP($A895,MAGAZZINO!$B$2:$M$4838,8,FALSE)</f>
        <v/>
      </c>
      <c r="I895" s="17">
        <f>+VLOOKUP($A895,MAGAZZINO!$B$2:$M$4838,9,FALSE)</f>
        <v/>
      </c>
      <c r="J895" s="17">
        <f>+VLOOKUP($A895,MAGAZZINO!$B$2:$M$4838,10,FALSE)</f>
        <v/>
      </c>
      <c r="K895" s="17">
        <f>+VLOOKUP($A895,MAGAZZINO!$B$2:$M$4838,11,FALSE)</f>
        <v/>
      </c>
      <c r="L895" s="44">
        <f>+VLOOKUP($A895,MAGAZZINO!$B$2:$M$4838,12,FALSE)</f>
        <v/>
      </c>
    </row>
    <row r="896" ht="36" customHeight="1">
      <c r="A896" s="30">
        <f>+REGISTRO!A879</f>
        <v/>
      </c>
      <c r="B896" s="31">
        <f>+VLOOKUP($A896,MAGAZZINO!$B$2:$M$4838,2,FALSE)</f>
        <v/>
      </c>
      <c r="C896" s="32">
        <f>+VLOOKUP($A896,MAGAZZINO!$B$2:$M$4838,3,FALSE)</f>
        <v/>
      </c>
      <c r="D896" s="17">
        <f>+VLOOKUP($A896,MAGAZZINO!$B$2:$M$4838,4,FALSE)</f>
        <v/>
      </c>
      <c r="E896" s="17">
        <f>+VLOOKUP($A896,MAGAZZINO!$B$2:$M$4838,5,FALSE)</f>
        <v/>
      </c>
      <c r="F896" s="17">
        <f>+VLOOKUP($A896,MAGAZZINO!$B$2:$M$4838,6,FALSE)</f>
        <v/>
      </c>
      <c r="G896" s="17">
        <f>+VLOOKUP($A896,MAGAZZINO!$B$2:$M$4838,7,FALSE)</f>
        <v/>
      </c>
      <c r="H896" s="17">
        <f>+VLOOKUP($A896,MAGAZZINO!$B$2:$M$4838,8,FALSE)</f>
        <v/>
      </c>
      <c r="I896" s="17">
        <f>+VLOOKUP($A896,MAGAZZINO!$B$2:$M$4838,9,FALSE)</f>
        <v/>
      </c>
      <c r="J896" s="17">
        <f>+VLOOKUP($A896,MAGAZZINO!$B$2:$M$4838,10,FALSE)</f>
        <v/>
      </c>
      <c r="K896" s="17">
        <f>+VLOOKUP($A896,MAGAZZINO!$B$2:$M$4838,11,FALSE)</f>
        <v/>
      </c>
      <c r="L896" s="44">
        <f>+VLOOKUP($A896,MAGAZZINO!$B$2:$M$4838,12,FALSE)</f>
        <v/>
      </c>
    </row>
    <row r="897" ht="36" customHeight="1">
      <c r="A897" s="30">
        <f>+REGISTRO!A880</f>
        <v/>
      </c>
      <c r="B897" s="31">
        <f>+VLOOKUP($A897,MAGAZZINO!$B$2:$M$4838,2,FALSE)</f>
        <v/>
      </c>
      <c r="C897" s="32">
        <f>+VLOOKUP($A897,MAGAZZINO!$B$2:$M$4838,3,FALSE)</f>
        <v/>
      </c>
      <c r="D897" s="17">
        <f>+VLOOKUP($A897,MAGAZZINO!$B$2:$M$4838,4,FALSE)</f>
        <v/>
      </c>
      <c r="E897" s="17">
        <f>+VLOOKUP($A897,MAGAZZINO!$B$2:$M$4838,5,FALSE)</f>
        <v/>
      </c>
      <c r="F897" s="17">
        <f>+VLOOKUP($A897,MAGAZZINO!$B$2:$M$4838,6,FALSE)</f>
        <v/>
      </c>
      <c r="G897" s="17">
        <f>+VLOOKUP($A897,MAGAZZINO!$B$2:$M$4838,7,FALSE)</f>
        <v/>
      </c>
      <c r="H897" s="17">
        <f>+VLOOKUP($A897,MAGAZZINO!$B$2:$M$4838,8,FALSE)</f>
        <v/>
      </c>
      <c r="I897" s="17">
        <f>+VLOOKUP($A897,MAGAZZINO!$B$2:$M$4838,9,FALSE)</f>
        <v/>
      </c>
      <c r="J897" s="17">
        <f>+VLOOKUP($A897,MAGAZZINO!$B$2:$M$4838,10,FALSE)</f>
        <v/>
      </c>
      <c r="K897" s="17">
        <f>+VLOOKUP($A897,MAGAZZINO!$B$2:$M$4838,11,FALSE)</f>
        <v/>
      </c>
      <c r="L897" s="44">
        <f>+VLOOKUP($A897,MAGAZZINO!$B$2:$M$4838,12,FALSE)</f>
        <v/>
      </c>
    </row>
    <row r="898" ht="36" customHeight="1">
      <c r="A898" s="30">
        <f>+REGISTRO!A881</f>
        <v/>
      </c>
      <c r="B898" s="31">
        <f>+VLOOKUP($A898,MAGAZZINO!$B$2:$M$4838,2,FALSE)</f>
        <v/>
      </c>
      <c r="C898" s="32">
        <f>+VLOOKUP($A898,MAGAZZINO!$B$2:$M$4838,3,FALSE)</f>
        <v/>
      </c>
      <c r="D898" s="17">
        <f>+VLOOKUP($A898,MAGAZZINO!$B$2:$M$4838,4,FALSE)</f>
        <v/>
      </c>
      <c r="E898" s="17">
        <f>+VLOOKUP($A898,MAGAZZINO!$B$2:$M$4838,5,FALSE)</f>
        <v/>
      </c>
      <c r="F898" s="17">
        <f>+VLOOKUP($A898,MAGAZZINO!$B$2:$M$4838,6,FALSE)</f>
        <v/>
      </c>
      <c r="G898" s="17">
        <f>+VLOOKUP($A898,MAGAZZINO!$B$2:$M$4838,7,FALSE)</f>
        <v/>
      </c>
      <c r="H898" s="17">
        <f>+VLOOKUP($A898,MAGAZZINO!$B$2:$M$4838,8,FALSE)</f>
        <v/>
      </c>
      <c r="I898" s="17">
        <f>+VLOOKUP($A898,MAGAZZINO!$B$2:$M$4838,9,FALSE)</f>
        <v/>
      </c>
      <c r="J898" s="17">
        <f>+VLOOKUP($A898,MAGAZZINO!$B$2:$M$4838,10,FALSE)</f>
        <v/>
      </c>
      <c r="K898" s="17">
        <f>+VLOOKUP($A898,MAGAZZINO!$B$2:$M$4838,11,FALSE)</f>
        <v/>
      </c>
      <c r="L898" s="44">
        <f>+VLOOKUP($A898,MAGAZZINO!$B$2:$M$4838,12,FALSE)</f>
        <v/>
      </c>
    </row>
    <row r="899" ht="36" customHeight="1">
      <c r="A899" s="30">
        <f>+REGISTRO!A882</f>
        <v/>
      </c>
      <c r="B899" s="31">
        <f>+VLOOKUP($A899,MAGAZZINO!$B$2:$M$4838,2,FALSE)</f>
        <v/>
      </c>
      <c r="C899" s="32">
        <f>+VLOOKUP($A899,MAGAZZINO!$B$2:$M$4838,3,FALSE)</f>
        <v/>
      </c>
      <c r="D899" s="17">
        <f>+VLOOKUP($A899,MAGAZZINO!$B$2:$M$4838,4,FALSE)</f>
        <v/>
      </c>
      <c r="E899" s="17">
        <f>+VLOOKUP($A899,MAGAZZINO!$B$2:$M$4838,5,FALSE)</f>
        <v/>
      </c>
      <c r="F899" s="17">
        <f>+VLOOKUP($A899,MAGAZZINO!$B$2:$M$4838,6,FALSE)</f>
        <v/>
      </c>
      <c r="G899" s="17">
        <f>+VLOOKUP($A899,MAGAZZINO!$B$2:$M$4838,7,FALSE)</f>
        <v/>
      </c>
      <c r="H899" s="17">
        <f>+VLOOKUP($A899,MAGAZZINO!$B$2:$M$4838,8,FALSE)</f>
        <v/>
      </c>
      <c r="I899" s="17">
        <f>+VLOOKUP($A899,MAGAZZINO!$B$2:$M$4838,9,FALSE)</f>
        <v/>
      </c>
      <c r="J899" s="17">
        <f>+VLOOKUP($A899,MAGAZZINO!$B$2:$M$4838,10,FALSE)</f>
        <v/>
      </c>
      <c r="K899" s="17">
        <f>+VLOOKUP($A899,MAGAZZINO!$B$2:$M$4838,11,FALSE)</f>
        <v/>
      </c>
      <c r="L899" s="44">
        <f>+VLOOKUP($A899,MAGAZZINO!$B$2:$M$4838,12,FALSE)</f>
        <v/>
      </c>
    </row>
    <row r="900" ht="36" customHeight="1">
      <c r="A900" s="30">
        <f>+REGISTRO!A883</f>
        <v/>
      </c>
      <c r="B900" s="31">
        <f>+VLOOKUP($A900,MAGAZZINO!$B$2:$M$4838,2,FALSE)</f>
        <v/>
      </c>
      <c r="C900" s="32">
        <f>+VLOOKUP($A900,MAGAZZINO!$B$2:$M$4838,3,FALSE)</f>
        <v/>
      </c>
      <c r="D900" s="17">
        <f>+VLOOKUP($A900,MAGAZZINO!$B$2:$M$4838,4,FALSE)</f>
        <v/>
      </c>
      <c r="E900" s="17">
        <f>+VLOOKUP($A900,MAGAZZINO!$B$2:$M$4838,5,FALSE)</f>
        <v/>
      </c>
      <c r="F900" s="17">
        <f>+VLOOKUP($A900,MAGAZZINO!$B$2:$M$4838,6,FALSE)</f>
        <v/>
      </c>
      <c r="G900" s="17">
        <f>+VLOOKUP($A900,MAGAZZINO!$B$2:$M$4838,7,FALSE)</f>
        <v/>
      </c>
      <c r="H900" s="17">
        <f>+VLOOKUP($A900,MAGAZZINO!$B$2:$M$4838,8,FALSE)</f>
        <v/>
      </c>
      <c r="I900" s="17">
        <f>+VLOOKUP($A900,MAGAZZINO!$B$2:$M$4838,9,FALSE)</f>
        <v/>
      </c>
      <c r="J900" s="17">
        <f>+VLOOKUP($A900,MAGAZZINO!$B$2:$M$4838,10,FALSE)</f>
        <v/>
      </c>
      <c r="K900" s="17">
        <f>+VLOOKUP($A900,MAGAZZINO!$B$2:$M$4838,11,FALSE)</f>
        <v/>
      </c>
      <c r="L900" s="44">
        <f>+VLOOKUP($A900,MAGAZZINO!$B$2:$M$4838,12,FALSE)</f>
        <v/>
      </c>
    </row>
    <row r="901" ht="36" customHeight="1">
      <c r="A901" s="30">
        <f>+REGISTRO!A884</f>
        <v/>
      </c>
      <c r="B901" s="31">
        <f>+VLOOKUP($A901,MAGAZZINO!$B$2:$M$4838,2,FALSE)</f>
        <v/>
      </c>
      <c r="C901" s="32">
        <f>+VLOOKUP($A901,MAGAZZINO!$B$2:$M$4838,3,FALSE)</f>
        <v/>
      </c>
      <c r="D901" s="17">
        <f>+VLOOKUP($A901,MAGAZZINO!$B$2:$M$4838,4,FALSE)</f>
        <v/>
      </c>
      <c r="E901" s="17">
        <f>+VLOOKUP($A901,MAGAZZINO!$B$2:$M$4838,5,FALSE)</f>
        <v/>
      </c>
      <c r="F901" s="17">
        <f>+VLOOKUP($A901,MAGAZZINO!$B$2:$M$4838,6,FALSE)</f>
        <v/>
      </c>
      <c r="G901" s="17">
        <f>+VLOOKUP($A901,MAGAZZINO!$B$2:$M$4838,7,FALSE)</f>
        <v/>
      </c>
      <c r="H901" s="17">
        <f>+VLOOKUP($A901,MAGAZZINO!$B$2:$M$4838,8,FALSE)</f>
        <v/>
      </c>
      <c r="I901" s="17">
        <f>+VLOOKUP($A901,MAGAZZINO!$B$2:$M$4838,9,FALSE)</f>
        <v/>
      </c>
      <c r="J901" s="17">
        <f>+VLOOKUP($A901,MAGAZZINO!$B$2:$M$4838,10,FALSE)</f>
        <v/>
      </c>
      <c r="K901" s="17">
        <f>+VLOOKUP($A901,MAGAZZINO!$B$2:$M$4838,11,FALSE)</f>
        <v/>
      </c>
      <c r="L901" s="44">
        <f>+VLOOKUP($A901,MAGAZZINO!$B$2:$M$4838,12,FALSE)</f>
        <v/>
      </c>
    </row>
    <row r="902" ht="36" customHeight="1">
      <c r="A902" s="30">
        <f>+REGISTRO!A885</f>
        <v/>
      </c>
      <c r="B902" s="31">
        <f>+VLOOKUP($A902,MAGAZZINO!$B$2:$M$4838,2,FALSE)</f>
        <v/>
      </c>
      <c r="C902" s="32">
        <f>+VLOOKUP($A902,MAGAZZINO!$B$2:$M$4838,3,FALSE)</f>
        <v/>
      </c>
      <c r="D902" s="17">
        <f>+VLOOKUP($A902,MAGAZZINO!$B$2:$M$4838,4,FALSE)</f>
        <v/>
      </c>
      <c r="E902" s="17">
        <f>+VLOOKUP($A902,MAGAZZINO!$B$2:$M$4838,5,FALSE)</f>
        <v/>
      </c>
      <c r="F902" s="17">
        <f>+VLOOKUP($A902,MAGAZZINO!$B$2:$M$4838,6,FALSE)</f>
        <v/>
      </c>
      <c r="G902" s="17">
        <f>+VLOOKUP($A902,MAGAZZINO!$B$2:$M$4838,7,FALSE)</f>
        <v/>
      </c>
      <c r="H902" s="17">
        <f>+VLOOKUP($A902,MAGAZZINO!$B$2:$M$4838,8,FALSE)</f>
        <v/>
      </c>
      <c r="I902" s="17">
        <f>+VLOOKUP($A902,MAGAZZINO!$B$2:$M$4838,9,FALSE)</f>
        <v/>
      </c>
      <c r="J902" s="17">
        <f>+VLOOKUP($A902,MAGAZZINO!$B$2:$M$4838,10,FALSE)</f>
        <v/>
      </c>
      <c r="K902" s="17">
        <f>+VLOOKUP($A902,MAGAZZINO!$B$2:$M$4838,11,FALSE)</f>
        <v/>
      </c>
      <c r="L902" s="44">
        <f>+VLOOKUP($A902,MAGAZZINO!$B$2:$M$4838,12,FALSE)</f>
        <v/>
      </c>
    </row>
    <row r="903" ht="36" customHeight="1">
      <c r="A903" s="30">
        <f>+REGISTRO!A886</f>
        <v/>
      </c>
      <c r="B903" s="31">
        <f>+VLOOKUP($A903,MAGAZZINO!$B$2:$M$4838,2,FALSE)</f>
        <v/>
      </c>
      <c r="C903" s="32">
        <f>+VLOOKUP($A903,MAGAZZINO!$B$2:$M$4838,3,FALSE)</f>
        <v/>
      </c>
      <c r="D903" s="17">
        <f>+VLOOKUP($A903,MAGAZZINO!$B$2:$M$4838,4,FALSE)</f>
        <v/>
      </c>
      <c r="E903" s="17">
        <f>+VLOOKUP($A903,MAGAZZINO!$B$2:$M$4838,5,FALSE)</f>
        <v/>
      </c>
      <c r="F903" s="17">
        <f>+VLOOKUP($A903,MAGAZZINO!$B$2:$M$4838,6,FALSE)</f>
        <v/>
      </c>
      <c r="G903" s="17">
        <f>+VLOOKUP($A903,MAGAZZINO!$B$2:$M$4838,7,FALSE)</f>
        <v/>
      </c>
      <c r="H903" s="17">
        <f>+VLOOKUP($A903,MAGAZZINO!$B$2:$M$4838,8,FALSE)</f>
        <v/>
      </c>
      <c r="I903" s="17">
        <f>+VLOOKUP($A903,MAGAZZINO!$B$2:$M$4838,9,FALSE)</f>
        <v/>
      </c>
      <c r="J903" s="17">
        <f>+VLOOKUP($A903,MAGAZZINO!$B$2:$M$4838,10,FALSE)</f>
        <v/>
      </c>
      <c r="K903" s="17">
        <f>+VLOOKUP($A903,MAGAZZINO!$B$2:$M$4838,11,FALSE)</f>
        <v/>
      </c>
      <c r="L903" s="44">
        <f>+VLOOKUP($A903,MAGAZZINO!$B$2:$M$4838,12,FALSE)</f>
        <v/>
      </c>
    </row>
    <row r="904" ht="36" customHeight="1">
      <c r="A904" s="30">
        <f>+REGISTRO!A887</f>
        <v/>
      </c>
      <c r="B904" s="31">
        <f>+VLOOKUP($A904,MAGAZZINO!$B$2:$M$4838,2,FALSE)</f>
        <v/>
      </c>
      <c r="C904" s="32">
        <f>+VLOOKUP($A904,MAGAZZINO!$B$2:$M$4838,3,FALSE)</f>
        <v/>
      </c>
      <c r="D904" s="17">
        <f>+VLOOKUP($A904,MAGAZZINO!$B$2:$M$4838,4,FALSE)</f>
        <v/>
      </c>
      <c r="E904" s="17">
        <f>+VLOOKUP($A904,MAGAZZINO!$B$2:$M$4838,5,FALSE)</f>
        <v/>
      </c>
      <c r="F904" s="17">
        <f>+VLOOKUP($A904,MAGAZZINO!$B$2:$M$4838,6,FALSE)</f>
        <v/>
      </c>
      <c r="G904" s="17">
        <f>+VLOOKUP($A904,MAGAZZINO!$B$2:$M$4838,7,FALSE)</f>
        <v/>
      </c>
      <c r="H904" s="17">
        <f>+VLOOKUP($A904,MAGAZZINO!$B$2:$M$4838,8,FALSE)</f>
        <v/>
      </c>
      <c r="I904" s="17">
        <f>+VLOOKUP($A904,MAGAZZINO!$B$2:$M$4838,9,FALSE)</f>
        <v/>
      </c>
      <c r="J904" s="17">
        <f>+VLOOKUP($A904,MAGAZZINO!$B$2:$M$4838,10,FALSE)</f>
        <v/>
      </c>
      <c r="K904" s="17">
        <f>+VLOOKUP($A904,MAGAZZINO!$B$2:$M$4838,11,FALSE)</f>
        <v/>
      </c>
      <c r="L904" s="44">
        <f>+VLOOKUP($A904,MAGAZZINO!$B$2:$M$4838,12,FALSE)</f>
        <v/>
      </c>
    </row>
    <row r="905" ht="36" customHeight="1">
      <c r="A905" s="30">
        <f>+REGISTRO!A888</f>
        <v/>
      </c>
      <c r="B905" s="31">
        <f>+VLOOKUP($A905,MAGAZZINO!$B$2:$M$4838,2,FALSE)</f>
        <v/>
      </c>
      <c r="C905" s="32">
        <f>+VLOOKUP($A905,MAGAZZINO!$B$2:$M$4838,3,FALSE)</f>
        <v/>
      </c>
      <c r="D905" s="17">
        <f>+VLOOKUP($A905,MAGAZZINO!$B$2:$M$4838,4,FALSE)</f>
        <v/>
      </c>
      <c r="E905" s="17">
        <f>+VLOOKUP($A905,MAGAZZINO!$B$2:$M$4838,5,FALSE)</f>
        <v/>
      </c>
      <c r="F905" s="17">
        <f>+VLOOKUP($A905,MAGAZZINO!$B$2:$M$4838,6,FALSE)</f>
        <v/>
      </c>
      <c r="G905" s="17">
        <f>+VLOOKUP($A905,MAGAZZINO!$B$2:$M$4838,7,FALSE)</f>
        <v/>
      </c>
      <c r="H905" s="17">
        <f>+VLOOKUP($A905,MAGAZZINO!$B$2:$M$4838,8,FALSE)</f>
        <v/>
      </c>
      <c r="I905" s="17">
        <f>+VLOOKUP($A905,MAGAZZINO!$B$2:$M$4838,9,FALSE)</f>
        <v/>
      </c>
      <c r="J905" s="17">
        <f>+VLOOKUP($A905,MAGAZZINO!$B$2:$M$4838,10,FALSE)</f>
        <v/>
      </c>
      <c r="K905" s="17">
        <f>+VLOOKUP($A905,MAGAZZINO!$B$2:$M$4838,11,FALSE)</f>
        <v/>
      </c>
      <c r="L905" s="44">
        <f>+VLOOKUP($A905,MAGAZZINO!$B$2:$M$4838,12,FALSE)</f>
        <v/>
      </c>
    </row>
    <row r="906" ht="36" customHeight="1">
      <c r="A906" s="30">
        <f>+REGISTRO!A889</f>
        <v/>
      </c>
      <c r="B906" s="31">
        <f>+VLOOKUP($A906,MAGAZZINO!$B$2:$M$4838,2,FALSE)</f>
        <v/>
      </c>
      <c r="C906" s="32">
        <f>+VLOOKUP($A906,MAGAZZINO!$B$2:$M$4838,3,FALSE)</f>
        <v/>
      </c>
      <c r="D906" s="17">
        <f>+VLOOKUP($A906,MAGAZZINO!$B$2:$M$4838,4,FALSE)</f>
        <v/>
      </c>
      <c r="E906" s="17">
        <f>+VLOOKUP($A906,MAGAZZINO!$B$2:$M$4838,5,FALSE)</f>
        <v/>
      </c>
      <c r="F906" s="17">
        <f>+VLOOKUP($A906,MAGAZZINO!$B$2:$M$4838,6,FALSE)</f>
        <v/>
      </c>
      <c r="G906" s="17">
        <f>+VLOOKUP($A906,MAGAZZINO!$B$2:$M$4838,7,FALSE)</f>
        <v/>
      </c>
      <c r="H906" s="17">
        <f>+VLOOKUP($A906,MAGAZZINO!$B$2:$M$4838,8,FALSE)</f>
        <v/>
      </c>
      <c r="I906" s="17">
        <f>+VLOOKUP($A906,MAGAZZINO!$B$2:$M$4838,9,FALSE)</f>
        <v/>
      </c>
      <c r="J906" s="17">
        <f>+VLOOKUP($A906,MAGAZZINO!$B$2:$M$4838,10,FALSE)</f>
        <v/>
      </c>
      <c r="K906" s="17">
        <f>+VLOOKUP($A906,MAGAZZINO!$B$2:$M$4838,11,FALSE)</f>
        <v/>
      </c>
      <c r="L906" s="44">
        <f>+VLOOKUP($A906,MAGAZZINO!$B$2:$M$4838,12,FALSE)</f>
        <v/>
      </c>
    </row>
    <row r="907" ht="36" customHeight="1">
      <c r="A907" s="30">
        <f>+REGISTRO!A890</f>
        <v/>
      </c>
      <c r="B907" s="31">
        <f>+VLOOKUP($A907,MAGAZZINO!$B$2:$M$4838,2,FALSE)</f>
        <v/>
      </c>
      <c r="C907" s="32">
        <f>+VLOOKUP($A907,MAGAZZINO!$B$2:$M$4838,3,FALSE)</f>
        <v/>
      </c>
      <c r="D907" s="17">
        <f>+VLOOKUP($A907,MAGAZZINO!$B$2:$M$4838,4,FALSE)</f>
        <v/>
      </c>
      <c r="E907" s="17">
        <f>+VLOOKUP($A907,MAGAZZINO!$B$2:$M$4838,5,FALSE)</f>
        <v/>
      </c>
      <c r="F907" s="17">
        <f>+VLOOKUP($A907,MAGAZZINO!$B$2:$M$4838,6,FALSE)</f>
        <v/>
      </c>
      <c r="G907" s="17">
        <f>+VLOOKUP($A907,MAGAZZINO!$B$2:$M$4838,7,FALSE)</f>
        <v/>
      </c>
      <c r="H907" s="17">
        <f>+VLOOKUP($A907,MAGAZZINO!$B$2:$M$4838,8,FALSE)</f>
        <v/>
      </c>
      <c r="I907" s="17">
        <f>+VLOOKUP($A907,MAGAZZINO!$B$2:$M$4838,9,FALSE)</f>
        <v/>
      </c>
      <c r="J907" s="17">
        <f>+VLOOKUP($A907,MAGAZZINO!$B$2:$M$4838,10,FALSE)</f>
        <v/>
      </c>
      <c r="K907" s="17">
        <f>+VLOOKUP($A907,MAGAZZINO!$B$2:$M$4838,11,FALSE)</f>
        <v/>
      </c>
      <c r="L907" s="44">
        <f>+VLOOKUP($A907,MAGAZZINO!$B$2:$M$4838,12,FALSE)</f>
        <v/>
      </c>
    </row>
    <row r="908" ht="36" customHeight="1">
      <c r="A908" s="30">
        <f>+REGISTRO!A891</f>
        <v/>
      </c>
      <c r="B908" s="31">
        <f>+VLOOKUP($A908,MAGAZZINO!$B$2:$M$4838,2,FALSE)</f>
        <v/>
      </c>
      <c r="C908" s="32">
        <f>+VLOOKUP($A908,MAGAZZINO!$B$2:$M$4838,3,FALSE)</f>
        <v/>
      </c>
      <c r="D908" s="17">
        <f>+VLOOKUP($A908,MAGAZZINO!$B$2:$M$4838,4,FALSE)</f>
        <v/>
      </c>
      <c r="E908" s="17">
        <f>+VLOOKUP($A908,MAGAZZINO!$B$2:$M$4838,5,FALSE)</f>
        <v/>
      </c>
      <c r="F908" s="17">
        <f>+VLOOKUP($A908,MAGAZZINO!$B$2:$M$4838,6,FALSE)</f>
        <v/>
      </c>
      <c r="G908" s="17">
        <f>+VLOOKUP($A908,MAGAZZINO!$B$2:$M$4838,7,FALSE)</f>
        <v/>
      </c>
      <c r="H908" s="17">
        <f>+VLOOKUP($A908,MAGAZZINO!$B$2:$M$4838,8,FALSE)</f>
        <v/>
      </c>
      <c r="I908" s="17">
        <f>+VLOOKUP($A908,MAGAZZINO!$B$2:$M$4838,9,FALSE)</f>
        <v/>
      </c>
      <c r="J908" s="17">
        <f>+VLOOKUP($A908,MAGAZZINO!$B$2:$M$4838,10,FALSE)</f>
        <v/>
      </c>
      <c r="K908" s="17">
        <f>+VLOOKUP($A908,MAGAZZINO!$B$2:$M$4838,11,FALSE)</f>
        <v/>
      </c>
      <c r="L908" s="44">
        <f>+VLOOKUP($A908,MAGAZZINO!$B$2:$M$4838,12,FALSE)</f>
        <v/>
      </c>
    </row>
    <row r="909" ht="36" customHeight="1">
      <c r="A909" s="30">
        <f>+REGISTRO!A892</f>
        <v/>
      </c>
      <c r="B909" s="31">
        <f>+VLOOKUP($A909,MAGAZZINO!$B$2:$M$4838,2,FALSE)</f>
        <v/>
      </c>
      <c r="C909" s="32">
        <f>+VLOOKUP($A909,MAGAZZINO!$B$2:$M$4838,3,FALSE)</f>
        <v/>
      </c>
      <c r="D909" s="17">
        <f>+VLOOKUP($A909,MAGAZZINO!$B$2:$M$4838,4,FALSE)</f>
        <v/>
      </c>
      <c r="E909" s="17">
        <f>+VLOOKUP($A909,MAGAZZINO!$B$2:$M$4838,5,FALSE)</f>
        <v/>
      </c>
      <c r="F909" s="17">
        <f>+VLOOKUP($A909,MAGAZZINO!$B$2:$M$4838,6,FALSE)</f>
        <v/>
      </c>
      <c r="G909" s="17">
        <f>+VLOOKUP($A909,MAGAZZINO!$B$2:$M$4838,7,FALSE)</f>
        <v/>
      </c>
      <c r="H909" s="17">
        <f>+VLOOKUP($A909,MAGAZZINO!$B$2:$M$4838,8,FALSE)</f>
        <v/>
      </c>
      <c r="I909" s="17">
        <f>+VLOOKUP($A909,MAGAZZINO!$B$2:$M$4838,9,FALSE)</f>
        <v/>
      </c>
      <c r="J909" s="17">
        <f>+VLOOKUP($A909,MAGAZZINO!$B$2:$M$4838,10,FALSE)</f>
        <v/>
      </c>
      <c r="K909" s="17">
        <f>+VLOOKUP($A909,MAGAZZINO!$B$2:$M$4838,11,FALSE)</f>
        <v/>
      </c>
      <c r="L909" s="44">
        <f>+VLOOKUP($A909,MAGAZZINO!$B$2:$M$4838,12,FALSE)</f>
        <v/>
      </c>
    </row>
    <row r="910" ht="36" customHeight="1">
      <c r="A910" s="30">
        <f>+REGISTRO!A893</f>
        <v/>
      </c>
      <c r="B910" s="31">
        <f>+VLOOKUP($A910,MAGAZZINO!$B$2:$M$4838,2,FALSE)</f>
        <v/>
      </c>
      <c r="C910" s="32">
        <f>+VLOOKUP($A910,MAGAZZINO!$B$2:$M$4838,3,FALSE)</f>
        <v/>
      </c>
      <c r="D910" s="17">
        <f>+VLOOKUP($A910,MAGAZZINO!$B$2:$M$4838,4,FALSE)</f>
        <v/>
      </c>
      <c r="E910" s="17">
        <f>+VLOOKUP($A910,MAGAZZINO!$B$2:$M$4838,5,FALSE)</f>
        <v/>
      </c>
      <c r="F910" s="17">
        <f>+VLOOKUP($A910,MAGAZZINO!$B$2:$M$4838,6,FALSE)</f>
        <v/>
      </c>
      <c r="G910" s="17">
        <f>+VLOOKUP($A910,MAGAZZINO!$B$2:$M$4838,7,FALSE)</f>
        <v/>
      </c>
      <c r="H910" s="17">
        <f>+VLOOKUP($A910,MAGAZZINO!$B$2:$M$4838,8,FALSE)</f>
        <v/>
      </c>
      <c r="I910" s="17">
        <f>+VLOOKUP($A910,MAGAZZINO!$B$2:$M$4838,9,FALSE)</f>
        <v/>
      </c>
      <c r="J910" s="17">
        <f>+VLOOKUP($A910,MAGAZZINO!$B$2:$M$4838,10,FALSE)</f>
        <v/>
      </c>
      <c r="K910" s="17">
        <f>+VLOOKUP($A910,MAGAZZINO!$B$2:$M$4838,11,FALSE)</f>
        <v/>
      </c>
      <c r="L910" s="44">
        <f>+VLOOKUP($A910,MAGAZZINO!$B$2:$M$4838,12,FALSE)</f>
        <v/>
      </c>
    </row>
    <row r="911" ht="36" customHeight="1">
      <c r="A911" s="30">
        <f>+REGISTRO!A894</f>
        <v/>
      </c>
      <c r="B911" s="31">
        <f>+VLOOKUP($A911,MAGAZZINO!$B$2:$M$4838,2,FALSE)</f>
        <v/>
      </c>
      <c r="C911" s="32">
        <f>+VLOOKUP($A911,MAGAZZINO!$B$2:$M$4838,3,FALSE)</f>
        <v/>
      </c>
      <c r="D911" s="17">
        <f>+VLOOKUP($A911,MAGAZZINO!$B$2:$M$4838,4,FALSE)</f>
        <v/>
      </c>
      <c r="E911" s="17">
        <f>+VLOOKUP($A911,MAGAZZINO!$B$2:$M$4838,5,FALSE)</f>
        <v/>
      </c>
      <c r="F911" s="17">
        <f>+VLOOKUP($A911,MAGAZZINO!$B$2:$M$4838,6,FALSE)</f>
        <v/>
      </c>
      <c r="G911" s="17">
        <f>+VLOOKUP($A911,MAGAZZINO!$B$2:$M$4838,7,FALSE)</f>
        <v/>
      </c>
      <c r="H911" s="17">
        <f>+VLOOKUP($A911,MAGAZZINO!$B$2:$M$4838,8,FALSE)</f>
        <v/>
      </c>
      <c r="I911" s="17">
        <f>+VLOOKUP($A911,MAGAZZINO!$B$2:$M$4838,9,FALSE)</f>
        <v/>
      </c>
      <c r="J911" s="17">
        <f>+VLOOKUP($A911,MAGAZZINO!$B$2:$M$4838,10,FALSE)</f>
        <v/>
      </c>
      <c r="K911" s="17">
        <f>+VLOOKUP($A911,MAGAZZINO!$B$2:$M$4838,11,FALSE)</f>
        <v/>
      </c>
      <c r="L911" s="44">
        <f>+VLOOKUP($A911,MAGAZZINO!$B$2:$M$4838,12,FALSE)</f>
        <v/>
      </c>
    </row>
    <row r="912" ht="36" customHeight="1">
      <c r="A912" s="30">
        <f>+REGISTRO!A895</f>
        <v/>
      </c>
      <c r="B912" s="31">
        <f>+VLOOKUP($A912,MAGAZZINO!$B$2:$M$4838,2,FALSE)</f>
        <v/>
      </c>
      <c r="C912" s="32">
        <f>+VLOOKUP($A912,MAGAZZINO!$B$2:$M$4838,3,FALSE)</f>
        <v/>
      </c>
      <c r="D912" s="17">
        <f>+VLOOKUP($A912,MAGAZZINO!$B$2:$M$4838,4,FALSE)</f>
        <v/>
      </c>
      <c r="E912" s="17">
        <f>+VLOOKUP($A912,MAGAZZINO!$B$2:$M$4838,5,FALSE)</f>
        <v/>
      </c>
      <c r="F912" s="17">
        <f>+VLOOKUP($A912,MAGAZZINO!$B$2:$M$4838,6,FALSE)</f>
        <v/>
      </c>
      <c r="G912" s="17">
        <f>+VLOOKUP($A912,MAGAZZINO!$B$2:$M$4838,7,FALSE)</f>
        <v/>
      </c>
      <c r="H912" s="17">
        <f>+VLOOKUP($A912,MAGAZZINO!$B$2:$M$4838,8,FALSE)</f>
        <v/>
      </c>
      <c r="I912" s="17">
        <f>+VLOOKUP($A912,MAGAZZINO!$B$2:$M$4838,9,FALSE)</f>
        <v/>
      </c>
      <c r="J912" s="17">
        <f>+VLOOKUP($A912,MAGAZZINO!$B$2:$M$4838,10,FALSE)</f>
        <v/>
      </c>
      <c r="K912" s="17">
        <f>+VLOOKUP($A912,MAGAZZINO!$B$2:$M$4838,11,FALSE)</f>
        <v/>
      </c>
      <c r="L912" s="44">
        <f>+VLOOKUP($A912,MAGAZZINO!$B$2:$M$4838,12,FALSE)</f>
        <v/>
      </c>
    </row>
    <row r="913" ht="36" customHeight="1">
      <c r="A913" s="30">
        <f>+REGISTRO!A896</f>
        <v/>
      </c>
      <c r="B913" s="31">
        <f>+VLOOKUP($A913,MAGAZZINO!$B$2:$M$4838,2,FALSE)</f>
        <v/>
      </c>
      <c r="C913" s="32">
        <f>+VLOOKUP($A913,MAGAZZINO!$B$2:$M$4838,3,FALSE)</f>
        <v/>
      </c>
      <c r="D913" s="17">
        <f>+VLOOKUP($A913,MAGAZZINO!$B$2:$M$4838,4,FALSE)</f>
        <v/>
      </c>
      <c r="E913" s="17">
        <f>+VLOOKUP($A913,MAGAZZINO!$B$2:$M$4838,5,FALSE)</f>
        <v/>
      </c>
      <c r="F913" s="17">
        <f>+VLOOKUP($A913,MAGAZZINO!$B$2:$M$4838,6,FALSE)</f>
        <v/>
      </c>
      <c r="G913" s="17">
        <f>+VLOOKUP($A913,MAGAZZINO!$B$2:$M$4838,7,FALSE)</f>
        <v/>
      </c>
      <c r="H913" s="17">
        <f>+VLOOKUP($A913,MAGAZZINO!$B$2:$M$4838,8,FALSE)</f>
        <v/>
      </c>
      <c r="I913" s="17">
        <f>+VLOOKUP($A913,MAGAZZINO!$B$2:$M$4838,9,FALSE)</f>
        <v/>
      </c>
      <c r="J913" s="17">
        <f>+VLOOKUP($A913,MAGAZZINO!$B$2:$M$4838,10,FALSE)</f>
        <v/>
      </c>
      <c r="K913" s="17">
        <f>+VLOOKUP($A913,MAGAZZINO!$B$2:$M$4838,11,FALSE)</f>
        <v/>
      </c>
      <c r="L913" s="44">
        <f>+VLOOKUP($A913,MAGAZZINO!$B$2:$M$4838,12,FALSE)</f>
        <v/>
      </c>
    </row>
    <row r="914" ht="36" customHeight="1">
      <c r="A914" s="30">
        <f>+REGISTRO!A897</f>
        <v/>
      </c>
      <c r="B914" s="31">
        <f>+VLOOKUP($A914,MAGAZZINO!$B$2:$M$4838,2,FALSE)</f>
        <v/>
      </c>
      <c r="C914" s="32">
        <f>+VLOOKUP($A914,MAGAZZINO!$B$2:$M$4838,3,FALSE)</f>
        <v/>
      </c>
      <c r="D914" s="17">
        <f>+VLOOKUP($A914,MAGAZZINO!$B$2:$M$4838,4,FALSE)</f>
        <v/>
      </c>
      <c r="E914" s="17">
        <f>+VLOOKUP($A914,MAGAZZINO!$B$2:$M$4838,5,FALSE)</f>
        <v/>
      </c>
      <c r="F914" s="17">
        <f>+VLOOKUP($A914,MAGAZZINO!$B$2:$M$4838,6,FALSE)</f>
        <v/>
      </c>
      <c r="G914" s="17">
        <f>+VLOOKUP($A914,MAGAZZINO!$B$2:$M$4838,7,FALSE)</f>
        <v/>
      </c>
      <c r="H914" s="17">
        <f>+VLOOKUP($A914,MAGAZZINO!$B$2:$M$4838,8,FALSE)</f>
        <v/>
      </c>
      <c r="I914" s="17">
        <f>+VLOOKUP($A914,MAGAZZINO!$B$2:$M$4838,9,FALSE)</f>
        <v/>
      </c>
      <c r="J914" s="17">
        <f>+VLOOKUP($A914,MAGAZZINO!$B$2:$M$4838,10,FALSE)</f>
        <v/>
      </c>
      <c r="K914" s="17">
        <f>+VLOOKUP($A914,MAGAZZINO!$B$2:$M$4838,11,FALSE)</f>
        <v/>
      </c>
      <c r="L914" s="44">
        <f>+VLOOKUP($A914,MAGAZZINO!$B$2:$M$4838,12,FALSE)</f>
        <v/>
      </c>
    </row>
    <row r="915" ht="36" customHeight="1">
      <c r="A915" s="30">
        <f>+REGISTRO!A898</f>
        <v/>
      </c>
      <c r="B915" s="31">
        <f>+VLOOKUP($A915,MAGAZZINO!$B$2:$M$4838,2,FALSE)</f>
        <v/>
      </c>
      <c r="C915" s="32">
        <f>+VLOOKUP($A915,MAGAZZINO!$B$2:$M$4838,3,FALSE)</f>
        <v/>
      </c>
      <c r="D915" s="17">
        <f>+VLOOKUP($A915,MAGAZZINO!$B$2:$M$4838,4,FALSE)</f>
        <v/>
      </c>
      <c r="E915" s="17">
        <f>+VLOOKUP($A915,MAGAZZINO!$B$2:$M$4838,5,FALSE)</f>
        <v/>
      </c>
      <c r="F915" s="17">
        <f>+VLOOKUP($A915,MAGAZZINO!$B$2:$M$4838,6,FALSE)</f>
        <v/>
      </c>
      <c r="G915" s="17">
        <f>+VLOOKUP($A915,MAGAZZINO!$B$2:$M$4838,7,FALSE)</f>
        <v/>
      </c>
      <c r="H915" s="17">
        <f>+VLOOKUP($A915,MAGAZZINO!$B$2:$M$4838,8,FALSE)</f>
        <v/>
      </c>
      <c r="I915" s="17">
        <f>+VLOOKUP($A915,MAGAZZINO!$B$2:$M$4838,9,FALSE)</f>
        <v/>
      </c>
      <c r="J915" s="17">
        <f>+VLOOKUP($A915,MAGAZZINO!$B$2:$M$4838,10,FALSE)</f>
        <v/>
      </c>
      <c r="K915" s="17">
        <f>+VLOOKUP($A915,MAGAZZINO!$B$2:$M$4838,11,FALSE)</f>
        <v/>
      </c>
      <c r="L915" s="44">
        <f>+VLOOKUP($A915,MAGAZZINO!$B$2:$M$4838,12,FALSE)</f>
        <v/>
      </c>
    </row>
    <row r="916" ht="36" customHeight="1">
      <c r="A916" s="30">
        <f>+REGISTRO!A899</f>
        <v/>
      </c>
      <c r="B916" s="31">
        <f>+VLOOKUP($A916,MAGAZZINO!$B$2:$M$4838,2,FALSE)</f>
        <v/>
      </c>
      <c r="C916" s="32">
        <f>+VLOOKUP($A916,MAGAZZINO!$B$2:$M$4838,3,FALSE)</f>
        <v/>
      </c>
      <c r="D916" s="17">
        <f>+VLOOKUP($A916,MAGAZZINO!$B$2:$M$4838,4,FALSE)</f>
        <v/>
      </c>
      <c r="E916" s="17">
        <f>+VLOOKUP($A916,MAGAZZINO!$B$2:$M$4838,5,FALSE)</f>
        <v/>
      </c>
      <c r="F916" s="17">
        <f>+VLOOKUP($A916,MAGAZZINO!$B$2:$M$4838,6,FALSE)</f>
        <v/>
      </c>
      <c r="G916" s="17">
        <f>+VLOOKUP($A916,MAGAZZINO!$B$2:$M$4838,7,FALSE)</f>
        <v/>
      </c>
      <c r="H916" s="17">
        <f>+VLOOKUP($A916,MAGAZZINO!$B$2:$M$4838,8,FALSE)</f>
        <v/>
      </c>
      <c r="I916" s="17">
        <f>+VLOOKUP($A916,MAGAZZINO!$B$2:$M$4838,9,FALSE)</f>
        <v/>
      </c>
      <c r="J916" s="17">
        <f>+VLOOKUP($A916,MAGAZZINO!$B$2:$M$4838,10,FALSE)</f>
        <v/>
      </c>
      <c r="K916" s="17">
        <f>+VLOOKUP($A916,MAGAZZINO!$B$2:$M$4838,11,FALSE)</f>
        <v/>
      </c>
      <c r="L916" s="44">
        <f>+VLOOKUP($A916,MAGAZZINO!$B$2:$M$4838,12,FALSE)</f>
        <v/>
      </c>
    </row>
    <row r="917" ht="36" customHeight="1">
      <c r="A917" s="30">
        <f>+REGISTRO!A900</f>
        <v/>
      </c>
      <c r="B917" s="31">
        <f>+VLOOKUP($A917,MAGAZZINO!$B$2:$M$4838,2,FALSE)</f>
        <v/>
      </c>
      <c r="C917" s="32">
        <f>+VLOOKUP($A917,MAGAZZINO!$B$2:$M$4838,3,FALSE)</f>
        <v/>
      </c>
      <c r="D917" s="17">
        <f>+VLOOKUP($A917,MAGAZZINO!$B$2:$M$4838,4,FALSE)</f>
        <v/>
      </c>
      <c r="E917" s="17">
        <f>+VLOOKUP($A917,MAGAZZINO!$B$2:$M$4838,5,FALSE)</f>
        <v/>
      </c>
      <c r="F917" s="17">
        <f>+VLOOKUP($A917,MAGAZZINO!$B$2:$M$4838,6,FALSE)</f>
        <v/>
      </c>
      <c r="G917" s="17">
        <f>+VLOOKUP($A917,MAGAZZINO!$B$2:$M$4838,7,FALSE)</f>
        <v/>
      </c>
      <c r="H917" s="17">
        <f>+VLOOKUP($A917,MAGAZZINO!$B$2:$M$4838,8,FALSE)</f>
        <v/>
      </c>
      <c r="I917" s="17">
        <f>+VLOOKUP($A917,MAGAZZINO!$B$2:$M$4838,9,FALSE)</f>
        <v/>
      </c>
      <c r="J917" s="17">
        <f>+VLOOKUP($A917,MAGAZZINO!$B$2:$M$4838,10,FALSE)</f>
        <v/>
      </c>
      <c r="K917" s="17">
        <f>+VLOOKUP($A917,MAGAZZINO!$B$2:$M$4838,11,FALSE)</f>
        <v/>
      </c>
      <c r="L917" s="44">
        <f>+VLOOKUP($A917,MAGAZZINO!$B$2:$M$4838,12,FALSE)</f>
        <v/>
      </c>
    </row>
    <row r="918" ht="36" customHeight="1">
      <c r="A918" s="30">
        <f>+REGISTRO!A901</f>
        <v/>
      </c>
      <c r="B918" s="31">
        <f>+VLOOKUP($A918,MAGAZZINO!$B$2:$M$4838,2,FALSE)</f>
        <v/>
      </c>
      <c r="C918" s="32">
        <f>+VLOOKUP($A918,MAGAZZINO!$B$2:$M$4838,3,FALSE)</f>
        <v/>
      </c>
      <c r="D918" s="17">
        <f>+VLOOKUP($A918,MAGAZZINO!$B$2:$M$4838,4,FALSE)</f>
        <v/>
      </c>
      <c r="E918" s="17">
        <f>+VLOOKUP($A918,MAGAZZINO!$B$2:$M$4838,5,FALSE)</f>
        <v/>
      </c>
      <c r="F918" s="17">
        <f>+VLOOKUP($A918,MAGAZZINO!$B$2:$M$4838,6,FALSE)</f>
        <v/>
      </c>
      <c r="G918" s="17">
        <f>+VLOOKUP($A918,MAGAZZINO!$B$2:$M$4838,7,FALSE)</f>
        <v/>
      </c>
      <c r="H918" s="17">
        <f>+VLOOKUP($A918,MAGAZZINO!$B$2:$M$4838,8,FALSE)</f>
        <v/>
      </c>
      <c r="I918" s="17">
        <f>+VLOOKUP($A918,MAGAZZINO!$B$2:$M$4838,9,FALSE)</f>
        <v/>
      </c>
      <c r="J918" s="17">
        <f>+VLOOKUP($A918,MAGAZZINO!$B$2:$M$4838,10,FALSE)</f>
        <v/>
      </c>
      <c r="K918" s="17">
        <f>+VLOOKUP($A918,MAGAZZINO!$B$2:$M$4838,11,FALSE)</f>
        <v/>
      </c>
      <c r="L918" s="44">
        <f>+VLOOKUP($A918,MAGAZZINO!$B$2:$M$4838,12,FALSE)</f>
        <v/>
      </c>
    </row>
    <row r="919" ht="36" customHeight="1">
      <c r="A919" s="30">
        <f>+REGISTRO!A902</f>
        <v/>
      </c>
      <c r="B919" s="31">
        <f>+VLOOKUP($A919,MAGAZZINO!$B$2:$M$4838,2,FALSE)</f>
        <v/>
      </c>
      <c r="C919" s="32">
        <f>+VLOOKUP($A919,MAGAZZINO!$B$2:$M$4838,3,FALSE)</f>
        <v/>
      </c>
      <c r="D919" s="17">
        <f>+VLOOKUP($A919,MAGAZZINO!$B$2:$M$4838,4,FALSE)</f>
        <v/>
      </c>
      <c r="E919" s="17">
        <f>+VLOOKUP($A919,MAGAZZINO!$B$2:$M$4838,5,FALSE)</f>
        <v/>
      </c>
      <c r="F919" s="17">
        <f>+VLOOKUP($A919,MAGAZZINO!$B$2:$M$4838,6,FALSE)</f>
        <v/>
      </c>
      <c r="G919" s="17">
        <f>+VLOOKUP($A919,MAGAZZINO!$B$2:$M$4838,7,FALSE)</f>
        <v/>
      </c>
      <c r="H919" s="17">
        <f>+VLOOKUP($A919,MAGAZZINO!$B$2:$M$4838,8,FALSE)</f>
        <v/>
      </c>
      <c r="I919" s="17">
        <f>+VLOOKUP($A919,MAGAZZINO!$B$2:$M$4838,9,FALSE)</f>
        <v/>
      </c>
      <c r="J919" s="17">
        <f>+VLOOKUP($A919,MAGAZZINO!$B$2:$M$4838,10,FALSE)</f>
        <v/>
      </c>
      <c r="K919" s="17">
        <f>+VLOOKUP($A919,MAGAZZINO!$B$2:$M$4838,11,FALSE)</f>
        <v/>
      </c>
      <c r="L919" s="44">
        <f>+VLOOKUP($A919,MAGAZZINO!$B$2:$M$4838,12,FALSE)</f>
        <v/>
      </c>
    </row>
    <row r="920" ht="36" customHeight="1">
      <c r="A920" s="30">
        <f>+REGISTRO!A903</f>
        <v/>
      </c>
      <c r="B920" s="31">
        <f>+VLOOKUP($A920,MAGAZZINO!$B$2:$M$4838,2,FALSE)</f>
        <v/>
      </c>
      <c r="C920" s="32">
        <f>+VLOOKUP($A920,MAGAZZINO!$B$2:$M$4838,3,FALSE)</f>
        <v/>
      </c>
      <c r="D920" s="17">
        <f>+VLOOKUP($A920,MAGAZZINO!$B$2:$M$4838,4,FALSE)</f>
        <v/>
      </c>
      <c r="E920" s="17">
        <f>+VLOOKUP($A920,MAGAZZINO!$B$2:$M$4838,5,FALSE)</f>
        <v/>
      </c>
      <c r="F920" s="17">
        <f>+VLOOKUP($A920,MAGAZZINO!$B$2:$M$4838,6,FALSE)</f>
        <v/>
      </c>
      <c r="G920" s="17">
        <f>+VLOOKUP($A920,MAGAZZINO!$B$2:$M$4838,7,FALSE)</f>
        <v/>
      </c>
      <c r="H920" s="17">
        <f>+VLOOKUP($A920,MAGAZZINO!$B$2:$M$4838,8,FALSE)</f>
        <v/>
      </c>
      <c r="I920" s="17">
        <f>+VLOOKUP($A920,MAGAZZINO!$B$2:$M$4838,9,FALSE)</f>
        <v/>
      </c>
      <c r="J920" s="17">
        <f>+VLOOKUP($A920,MAGAZZINO!$B$2:$M$4838,10,FALSE)</f>
        <v/>
      </c>
      <c r="K920" s="17">
        <f>+VLOOKUP($A920,MAGAZZINO!$B$2:$M$4838,11,FALSE)</f>
        <v/>
      </c>
      <c r="L920" s="44">
        <f>+VLOOKUP($A920,MAGAZZINO!$B$2:$M$4838,12,FALSE)</f>
        <v/>
      </c>
    </row>
    <row r="921" ht="36" customHeight="1">
      <c r="A921" s="30">
        <f>+REGISTRO!A904</f>
        <v/>
      </c>
      <c r="B921" s="31">
        <f>+VLOOKUP($A921,MAGAZZINO!$B$2:$M$4838,2,FALSE)</f>
        <v/>
      </c>
      <c r="C921" s="32">
        <f>+VLOOKUP($A921,MAGAZZINO!$B$2:$M$4838,3,FALSE)</f>
        <v/>
      </c>
      <c r="D921" s="17">
        <f>+VLOOKUP($A921,MAGAZZINO!$B$2:$M$4838,4,FALSE)</f>
        <v/>
      </c>
      <c r="E921" s="17">
        <f>+VLOOKUP($A921,MAGAZZINO!$B$2:$M$4838,5,FALSE)</f>
        <v/>
      </c>
      <c r="F921" s="17">
        <f>+VLOOKUP($A921,MAGAZZINO!$B$2:$M$4838,6,FALSE)</f>
        <v/>
      </c>
      <c r="G921" s="17">
        <f>+VLOOKUP($A921,MAGAZZINO!$B$2:$M$4838,7,FALSE)</f>
        <v/>
      </c>
      <c r="H921" s="17">
        <f>+VLOOKUP($A921,MAGAZZINO!$B$2:$M$4838,8,FALSE)</f>
        <v/>
      </c>
      <c r="I921" s="17">
        <f>+VLOOKUP($A921,MAGAZZINO!$B$2:$M$4838,9,FALSE)</f>
        <v/>
      </c>
      <c r="J921" s="17">
        <f>+VLOOKUP($A921,MAGAZZINO!$B$2:$M$4838,10,FALSE)</f>
        <v/>
      </c>
      <c r="K921" s="17">
        <f>+VLOOKUP($A921,MAGAZZINO!$B$2:$M$4838,11,FALSE)</f>
        <v/>
      </c>
      <c r="L921" s="44">
        <f>+VLOOKUP($A921,MAGAZZINO!$B$2:$M$4838,12,FALSE)</f>
        <v/>
      </c>
    </row>
    <row r="922" ht="36" customHeight="1">
      <c r="A922" s="30">
        <f>+REGISTRO!A905</f>
        <v/>
      </c>
      <c r="B922" s="31">
        <f>+VLOOKUP($A922,MAGAZZINO!$B$2:$M$4838,2,FALSE)</f>
        <v/>
      </c>
      <c r="C922" s="32">
        <f>+VLOOKUP($A922,MAGAZZINO!$B$2:$M$4838,3,FALSE)</f>
        <v/>
      </c>
      <c r="D922" s="17">
        <f>+VLOOKUP($A922,MAGAZZINO!$B$2:$M$4838,4,FALSE)</f>
        <v/>
      </c>
      <c r="E922" s="17">
        <f>+VLOOKUP($A922,MAGAZZINO!$B$2:$M$4838,5,FALSE)</f>
        <v/>
      </c>
      <c r="F922" s="17">
        <f>+VLOOKUP($A922,MAGAZZINO!$B$2:$M$4838,6,FALSE)</f>
        <v/>
      </c>
      <c r="G922" s="17">
        <f>+VLOOKUP($A922,MAGAZZINO!$B$2:$M$4838,7,FALSE)</f>
        <v/>
      </c>
      <c r="H922" s="17">
        <f>+VLOOKUP($A922,MAGAZZINO!$B$2:$M$4838,8,FALSE)</f>
        <v/>
      </c>
      <c r="I922" s="17">
        <f>+VLOOKUP($A922,MAGAZZINO!$B$2:$M$4838,9,FALSE)</f>
        <v/>
      </c>
      <c r="J922" s="17">
        <f>+VLOOKUP($A922,MAGAZZINO!$B$2:$M$4838,10,FALSE)</f>
        <v/>
      </c>
      <c r="K922" s="17">
        <f>+VLOOKUP($A922,MAGAZZINO!$B$2:$M$4838,11,FALSE)</f>
        <v/>
      </c>
      <c r="L922" s="44">
        <f>+VLOOKUP($A922,MAGAZZINO!$B$2:$M$4838,12,FALSE)</f>
        <v/>
      </c>
    </row>
    <row r="923" ht="36" customHeight="1">
      <c r="A923" s="30">
        <f>+REGISTRO!A906</f>
        <v/>
      </c>
      <c r="B923" s="31">
        <f>+VLOOKUP($A923,MAGAZZINO!$B$2:$M$4838,2,FALSE)</f>
        <v/>
      </c>
      <c r="C923" s="32">
        <f>+VLOOKUP($A923,MAGAZZINO!$B$2:$M$4838,3,FALSE)</f>
        <v/>
      </c>
      <c r="D923" s="17">
        <f>+VLOOKUP($A923,MAGAZZINO!$B$2:$M$4838,4,FALSE)</f>
        <v/>
      </c>
      <c r="E923" s="17">
        <f>+VLOOKUP($A923,MAGAZZINO!$B$2:$M$4838,5,FALSE)</f>
        <v/>
      </c>
      <c r="F923" s="17">
        <f>+VLOOKUP($A923,MAGAZZINO!$B$2:$M$4838,6,FALSE)</f>
        <v/>
      </c>
      <c r="G923" s="17">
        <f>+VLOOKUP($A923,MAGAZZINO!$B$2:$M$4838,7,FALSE)</f>
        <v/>
      </c>
      <c r="H923" s="17">
        <f>+VLOOKUP($A923,MAGAZZINO!$B$2:$M$4838,8,FALSE)</f>
        <v/>
      </c>
      <c r="I923" s="17">
        <f>+VLOOKUP($A923,MAGAZZINO!$B$2:$M$4838,9,FALSE)</f>
        <v/>
      </c>
      <c r="J923" s="17">
        <f>+VLOOKUP($A923,MAGAZZINO!$B$2:$M$4838,10,FALSE)</f>
        <v/>
      </c>
      <c r="K923" s="17">
        <f>+VLOOKUP($A923,MAGAZZINO!$B$2:$M$4838,11,FALSE)</f>
        <v/>
      </c>
      <c r="L923" s="44">
        <f>+VLOOKUP($A923,MAGAZZINO!$B$2:$M$4838,12,FALSE)</f>
        <v/>
      </c>
    </row>
    <row r="924" ht="36" customHeight="1">
      <c r="A924" s="30">
        <f>+REGISTRO!A907</f>
        <v/>
      </c>
      <c r="B924" s="31">
        <f>+VLOOKUP($A924,MAGAZZINO!$B$2:$M$4838,2,FALSE)</f>
        <v/>
      </c>
      <c r="C924" s="32">
        <f>+VLOOKUP($A924,MAGAZZINO!$B$2:$M$4838,3,FALSE)</f>
        <v/>
      </c>
      <c r="D924" s="17">
        <f>+VLOOKUP($A924,MAGAZZINO!$B$2:$M$4838,4,FALSE)</f>
        <v/>
      </c>
      <c r="E924" s="17">
        <f>+VLOOKUP($A924,MAGAZZINO!$B$2:$M$4838,5,FALSE)</f>
        <v/>
      </c>
      <c r="F924" s="17">
        <f>+VLOOKUP($A924,MAGAZZINO!$B$2:$M$4838,6,FALSE)</f>
        <v/>
      </c>
      <c r="G924" s="17">
        <f>+VLOOKUP($A924,MAGAZZINO!$B$2:$M$4838,7,FALSE)</f>
        <v/>
      </c>
      <c r="H924" s="17">
        <f>+VLOOKUP($A924,MAGAZZINO!$B$2:$M$4838,8,FALSE)</f>
        <v/>
      </c>
      <c r="I924" s="17">
        <f>+VLOOKUP($A924,MAGAZZINO!$B$2:$M$4838,9,FALSE)</f>
        <v/>
      </c>
      <c r="J924" s="17">
        <f>+VLOOKUP($A924,MAGAZZINO!$B$2:$M$4838,10,FALSE)</f>
        <v/>
      </c>
      <c r="K924" s="17">
        <f>+VLOOKUP($A924,MAGAZZINO!$B$2:$M$4838,11,FALSE)</f>
        <v/>
      </c>
      <c r="L924" s="44">
        <f>+VLOOKUP($A924,MAGAZZINO!$B$2:$M$4838,12,FALSE)</f>
        <v/>
      </c>
    </row>
    <row r="925" ht="36" customHeight="1">
      <c r="A925" s="30">
        <f>+REGISTRO!A908</f>
        <v/>
      </c>
      <c r="B925" s="31">
        <f>+VLOOKUP($A925,MAGAZZINO!$B$2:$M$4838,2,FALSE)</f>
        <v/>
      </c>
      <c r="C925" s="32">
        <f>+VLOOKUP($A925,MAGAZZINO!$B$2:$M$4838,3,FALSE)</f>
        <v/>
      </c>
      <c r="D925" s="17">
        <f>+VLOOKUP($A925,MAGAZZINO!$B$2:$M$4838,4,FALSE)</f>
        <v/>
      </c>
      <c r="E925" s="17">
        <f>+VLOOKUP($A925,MAGAZZINO!$B$2:$M$4838,5,FALSE)</f>
        <v/>
      </c>
      <c r="F925" s="17">
        <f>+VLOOKUP($A925,MAGAZZINO!$B$2:$M$4838,6,FALSE)</f>
        <v/>
      </c>
      <c r="G925" s="17">
        <f>+VLOOKUP($A925,MAGAZZINO!$B$2:$M$4838,7,FALSE)</f>
        <v/>
      </c>
      <c r="H925" s="17">
        <f>+VLOOKUP($A925,MAGAZZINO!$B$2:$M$4838,8,FALSE)</f>
        <v/>
      </c>
      <c r="I925" s="17">
        <f>+VLOOKUP($A925,MAGAZZINO!$B$2:$M$4838,9,FALSE)</f>
        <v/>
      </c>
      <c r="J925" s="17">
        <f>+VLOOKUP($A925,MAGAZZINO!$B$2:$M$4838,10,FALSE)</f>
        <v/>
      </c>
      <c r="K925" s="17">
        <f>+VLOOKUP($A925,MAGAZZINO!$B$2:$M$4838,11,FALSE)</f>
        <v/>
      </c>
      <c r="L925" s="44">
        <f>+VLOOKUP($A925,MAGAZZINO!$B$2:$M$4838,12,FALSE)</f>
        <v/>
      </c>
    </row>
    <row r="926" ht="36" customHeight="1">
      <c r="A926" s="30">
        <f>+REGISTRO!A909</f>
        <v/>
      </c>
      <c r="B926" s="31">
        <f>+VLOOKUP($A926,MAGAZZINO!$B$2:$M$4838,2,FALSE)</f>
        <v/>
      </c>
      <c r="C926" s="32">
        <f>+VLOOKUP($A926,MAGAZZINO!$B$2:$M$4838,3,FALSE)</f>
        <v/>
      </c>
      <c r="D926" s="17">
        <f>+VLOOKUP($A926,MAGAZZINO!$B$2:$M$4838,4,FALSE)</f>
        <v/>
      </c>
      <c r="E926" s="17">
        <f>+VLOOKUP($A926,MAGAZZINO!$B$2:$M$4838,5,FALSE)</f>
        <v/>
      </c>
      <c r="F926" s="17">
        <f>+VLOOKUP($A926,MAGAZZINO!$B$2:$M$4838,6,FALSE)</f>
        <v/>
      </c>
      <c r="G926" s="17">
        <f>+VLOOKUP($A926,MAGAZZINO!$B$2:$M$4838,7,FALSE)</f>
        <v/>
      </c>
      <c r="H926" s="17">
        <f>+VLOOKUP($A926,MAGAZZINO!$B$2:$M$4838,8,FALSE)</f>
        <v/>
      </c>
      <c r="I926" s="17">
        <f>+VLOOKUP($A926,MAGAZZINO!$B$2:$M$4838,9,FALSE)</f>
        <v/>
      </c>
      <c r="J926" s="17">
        <f>+VLOOKUP($A926,MAGAZZINO!$B$2:$M$4838,10,FALSE)</f>
        <v/>
      </c>
      <c r="K926" s="17">
        <f>+VLOOKUP($A926,MAGAZZINO!$B$2:$M$4838,11,FALSE)</f>
        <v/>
      </c>
      <c r="L926" s="44">
        <f>+VLOOKUP($A926,MAGAZZINO!$B$2:$M$4838,12,FALSE)</f>
        <v/>
      </c>
    </row>
    <row r="927" ht="36" customHeight="1">
      <c r="A927" s="30">
        <f>+REGISTRO!A910</f>
        <v/>
      </c>
      <c r="B927" s="31">
        <f>+VLOOKUP($A927,MAGAZZINO!$B$2:$M$4838,2,FALSE)</f>
        <v/>
      </c>
      <c r="C927" s="32">
        <f>+VLOOKUP($A927,MAGAZZINO!$B$2:$M$4838,3,FALSE)</f>
        <v/>
      </c>
      <c r="D927" s="17">
        <f>+VLOOKUP($A927,MAGAZZINO!$B$2:$M$4838,4,FALSE)</f>
        <v/>
      </c>
      <c r="E927" s="17">
        <f>+VLOOKUP($A927,MAGAZZINO!$B$2:$M$4838,5,FALSE)</f>
        <v/>
      </c>
      <c r="F927" s="17">
        <f>+VLOOKUP($A927,MAGAZZINO!$B$2:$M$4838,6,FALSE)</f>
        <v/>
      </c>
      <c r="G927" s="17">
        <f>+VLOOKUP($A927,MAGAZZINO!$B$2:$M$4838,7,FALSE)</f>
        <v/>
      </c>
      <c r="H927" s="17">
        <f>+VLOOKUP($A927,MAGAZZINO!$B$2:$M$4838,8,FALSE)</f>
        <v/>
      </c>
      <c r="I927" s="17">
        <f>+VLOOKUP($A927,MAGAZZINO!$B$2:$M$4838,9,FALSE)</f>
        <v/>
      </c>
      <c r="J927" s="17">
        <f>+VLOOKUP($A927,MAGAZZINO!$B$2:$M$4838,10,FALSE)</f>
        <v/>
      </c>
      <c r="K927" s="17">
        <f>+VLOOKUP($A927,MAGAZZINO!$B$2:$M$4838,11,FALSE)</f>
        <v/>
      </c>
      <c r="L927" s="44">
        <f>+VLOOKUP($A927,MAGAZZINO!$B$2:$M$4838,12,FALSE)</f>
        <v/>
      </c>
    </row>
    <row r="928" ht="36" customHeight="1">
      <c r="A928" s="30">
        <f>+REGISTRO!A911</f>
        <v/>
      </c>
      <c r="B928" s="31">
        <f>+VLOOKUP($A928,MAGAZZINO!$B$2:$M$4838,2,FALSE)</f>
        <v/>
      </c>
      <c r="C928" s="32">
        <f>+VLOOKUP($A928,MAGAZZINO!$B$2:$M$4838,3,FALSE)</f>
        <v/>
      </c>
      <c r="D928" s="17">
        <f>+VLOOKUP($A928,MAGAZZINO!$B$2:$M$4838,4,FALSE)</f>
        <v/>
      </c>
      <c r="E928" s="17">
        <f>+VLOOKUP($A928,MAGAZZINO!$B$2:$M$4838,5,FALSE)</f>
        <v/>
      </c>
      <c r="F928" s="17">
        <f>+VLOOKUP($A928,MAGAZZINO!$B$2:$M$4838,6,FALSE)</f>
        <v/>
      </c>
      <c r="G928" s="17">
        <f>+VLOOKUP($A928,MAGAZZINO!$B$2:$M$4838,7,FALSE)</f>
        <v/>
      </c>
      <c r="H928" s="17">
        <f>+VLOOKUP($A928,MAGAZZINO!$B$2:$M$4838,8,FALSE)</f>
        <v/>
      </c>
      <c r="I928" s="17">
        <f>+VLOOKUP($A928,MAGAZZINO!$B$2:$M$4838,9,FALSE)</f>
        <v/>
      </c>
      <c r="J928" s="17">
        <f>+VLOOKUP($A928,MAGAZZINO!$B$2:$M$4838,10,FALSE)</f>
        <v/>
      </c>
      <c r="K928" s="17">
        <f>+VLOOKUP($A928,MAGAZZINO!$B$2:$M$4838,11,FALSE)</f>
        <v/>
      </c>
      <c r="L928" s="44">
        <f>+VLOOKUP($A928,MAGAZZINO!$B$2:$M$4838,12,FALSE)</f>
        <v/>
      </c>
    </row>
    <row r="929" ht="36" customHeight="1">
      <c r="A929" s="30">
        <f>+REGISTRO!A912</f>
        <v/>
      </c>
      <c r="B929" s="31">
        <f>+VLOOKUP($A929,MAGAZZINO!$B$2:$M$4838,2,FALSE)</f>
        <v/>
      </c>
      <c r="C929" s="32">
        <f>+VLOOKUP($A929,MAGAZZINO!$B$2:$M$4838,3,FALSE)</f>
        <v/>
      </c>
      <c r="D929" s="17">
        <f>+VLOOKUP($A929,MAGAZZINO!$B$2:$M$4838,4,FALSE)</f>
        <v/>
      </c>
      <c r="E929" s="17">
        <f>+VLOOKUP($A929,MAGAZZINO!$B$2:$M$4838,5,FALSE)</f>
        <v/>
      </c>
      <c r="F929" s="17">
        <f>+VLOOKUP($A929,MAGAZZINO!$B$2:$M$4838,6,FALSE)</f>
        <v/>
      </c>
      <c r="G929" s="17">
        <f>+VLOOKUP($A929,MAGAZZINO!$B$2:$M$4838,7,FALSE)</f>
        <v/>
      </c>
      <c r="H929" s="17">
        <f>+VLOOKUP($A929,MAGAZZINO!$B$2:$M$4838,8,FALSE)</f>
        <v/>
      </c>
      <c r="I929" s="17">
        <f>+VLOOKUP($A929,MAGAZZINO!$B$2:$M$4838,9,FALSE)</f>
        <v/>
      </c>
      <c r="J929" s="17">
        <f>+VLOOKUP($A929,MAGAZZINO!$B$2:$M$4838,10,FALSE)</f>
        <v/>
      </c>
      <c r="K929" s="17">
        <f>+VLOOKUP($A929,MAGAZZINO!$B$2:$M$4838,11,FALSE)</f>
        <v/>
      </c>
      <c r="L929" s="44">
        <f>+VLOOKUP($A929,MAGAZZINO!$B$2:$M$4838,12,FALSE)</f>
        <v/>
      </c>
    </row>
    <row r="930" ht="36" customHeight="1">
      <c r="A930" s="30">
        <f>+REGISTRO!A913</f>
        <v/>
      </c>
      <c r="B930" s="31">
        <f>+VLOOKUP($A930,MAGAZZINO!$B$2:$M$4838,2,FALSE)</f>
        <v/>
      </c>
      <c r="C930" s="32">
        <f>+VLOOKUP($A930,MAGAZZINO!$B$2:$M$4838,3,FALSE)</f>
        <v/>
      </c>
      <c r="D930" s="17">
        <f>+VLOOKUP($A930,MAGAZZINO!$B$2:$M$4838,4,FALSE)</f>
        <v/>
      </c>
      <c r="E930" s="17">
        <f>+VLOOKUP($A930,MAGAZZINO!$B$2:$M$4838,5,FALSE)</f>
        <v/>
      </c>
      <c r="F930" s="17">
        <f>+VLOOKUP($A930,MAGAZZINO!$B$2:$M$4838,6,FALSE)</f>
        <v/>
      </c>
      <c r="G930" s="17">
        <f>+VLOOKUP($A930,MAGAZZINO!$B$2:$M$4838,7,FALSE)</f>
        <v/>
      </c>
      <c r="H930" s="17">
        <f>+VLOOKUP($A930,MAGAZZINO!$B$2:$M$4838,8,FALSE)</f>
        <v/>
      </c>
      <c r="I930" s="17">
        <f>+VLOOKUP($A930,MAGAZZINO!$B$2:$M$4838,9,FALSE)</f>
        <v/>
      </c>
      <c r="J930" s="17">
        <f>+VLOOKUP($A930,MAGAZZINO!$B$2:$M$4838,10,FALSE)</f>
        <v/>
      </c>
      <c r="K930" s="17">
        <f>+VLOOKUP($A930,MAGAZZINO!$B$2:$M$4838,11,FALSE)</f>
        <v/>
      </c>
      <c r="L930" s="44">
        <f>+VLOOKUP($A930,MAGAZZINO!$B$2:$M$4838,12,FALSE)</f>
        <v/>
      </c>
    </row>
    <row r="931" ht="36" customHeight="1">
      <c r="A931" s="30">
        <f>+REGISTRO!A914</f>
        <v/>
      </c>
      <c r="B931" s="31">
        <f>+VLOOKUP($A931,MAGAZZINO!$B$2:$M$4838,2,FALSE)</f>
        <v/>
      </c>
      <c r="C931" s="32">
        <f>+VLOOKUP($A931,MAGAZZINO!$B$2:$M$4838,3,FALSE)</f>
        <v/>
      </c>
      <c r="D931" s="17">
        <f>+VLOOKUP($A931,MAGAZZINO!$B$2:$M$4838,4,FALSE)</f>
        <v/>
      </c>
      <c r="E931" s="17">
        <f>+VLOOKUP($A931,MAGAZZINO!$B$2:$M$4838,5,FALSE)</f>
        <v/>
      </c>
      <c r="F931" s="17">
        <f>+VLOOKUP($A931,MAGAZZINO!$B$2:$M$4838,6,FALSE)</f>
        <v/>
      </c>
      <c r="G931" s="17">
        <f>+VLOOKUP($A931,MAGAZZINO!$B$2:$M$4838,7,FALSE)</f>
        <v/>
      </c>
      <c r="H931" s="17">
        <f>+VLOOKUP($A931,MAGAZZINO!$B$2:$M$4838,8,FALSE)</f>
        <v/>
      </c>
      <c r="I931" s="17">
        <f>+VLOOKUP($A931,MAGAZZINO!$B$2:$M$4838,9,FALSE)</f>
        <v/>
      </c>
      <c r="J931" s="17">
        <f>+VLOOKUP($A931,MAGAZZINO!$B$2:$M$4838,10,FALSE)</f>
        <v/>
      </c>
      <c r="K931" s="17">
        <f>+VLOOKUP($A931,MAGAZZINO!$B$2:$M$4838,11,FALSE)</f>
        <v/>
      </c>
      <c r="L931" s="44">
        <f>+VLOOKUP($A931,MAGAZZINO!$B$2:$M$4838,12,FALSE)</f>
        <v/>
      </c>
    </row>
    <row r="932" ht="36" customHeight="1">
      <c r="A932" s="30">
        <f>+REGISTRO!A915</f>
        <v/>
      </c>
      <c r="B932" s="31">
        <f>+VLOOKUP($A932,MAGAZZINO!$B$2:$M$4838,2,FALSE)</f>
        <v/>
      </c>
      <c r="C932" s="32">
        <f>+VLOOKUP($A932,MAGAZZINO!$B$2:$M$4838,3,FALSE)</f>
        <v/>
      </c>
      <c r="D932" s="17">
        <f>+VLOOKUP($A932,MAGAZZINO!$B$2:$M$4838,4,FALSE)</f>
        <v/>
      </c>
      <c r="E932" s="17">
        <f>+VLOOKUP($A932,MAGAZZINO!$B$2:$M$4838,5,FALSE)</f>
        <v/>
      </c>
      <c r="F932" s="17">
        <f>+VLOOKUP($A932,MAGAZZINO!$B$2:$M$4838,6,FALSE)</f>
        <v/>
      </c>
      <c r="G932" s="17">
        <f>+VLOOKUP($A932,MAGAZZINO!$B$2:$M$4838,7,FALSE)</f>
        <v/>
      </c>
      <c r="H932" s="17">
        <f>+VLOOKUP($A932,MAGAZZINO!$B$2:$M$4838,8,FALSE)</f>
        <v/>
      </c>
      <c r="I932" s="17">
        <f>+VLOOKUP($A932,MAGAZZINO!$B$2:$M$4838,9,FALSE)</f>
        <v/>
      </c>
      <c r="J932" s="17">
        <f>+VLOOKUP($A932,MAGAZZINO!$B$2:$M$4838,10,FALSE)</f>
        <v/>
      </c>
      <c r="K932" s="17">
        <f>+VLOOKUP($A932,MAGAZZINO!$B$2:$M$4838,11,FALSE)</f>
        <v/>
      </c>
      <c r="L932" s="44">
        <f>+VLOOKUP($A932,MAGAZZINO!$B$2:$M$4838,12,FALSE)</f>
        <v/>
      </c>
    </row>
    <row r="933" ht="36" customHeight="1">
      <c r="A933" s="30">
        <f>+REGISTRO!A916</f>
        <v/>
      </c>
      <c r="B933" s="31">
        <f>+VLOOKUP($A933,MAGAZZINO!$B$2:$M$4838,2,FALSE)</f>
        <v/>
      </c>
      <c r="C933" s="32">
        <f>+VLOOKUP($A933,MAGAZZINO!$B$2:$M$4838,3,FALSE)</f>
        <v/>
      </c>
      <c r="D933" s="17">
        <f>+VLOOKUP($A933,MAGAZZINO!$B$2:$M$4838,4,FALSE)</f>
        <v/>
      </c>
      <c r="E933" s="17">
        <f>+VLOOKUP($A933,MAGAZZINO!$B$2:$M$4838,5,FALSE)</f>
        <v/>
      </c>
      <c r="F933" s="17">
        <f>+VLOOKUP($A933,MAGAZZINO!$B$2:$M$4838,6,FALSE)</f>
        <v/>
      </c>
      <c r="G933" s="17">
        <f>+VLOOKUP($A933,MAGAZZINO!$B$2:$M$4838,7,FALSE)</f>
        <v/>
      </c>
      <c r="H933" s="17">
        <f>+VLOOKUP($A933,MAGAZZINO!$B$2:$M$4838,8,FALSE)</f>
        <v/>
      </c>
      <c r="I933" s="17">
        <f>+VLOOKUP($A933,MAGAZZINO!$B$2:$M$4838,9,FALSE)</f>
        <v/>
      </c>
      <c r="J933" s="17">
        <f>+VLOOKUP($A933,MAGAZZINO!$B$2:$M$4838,10,FALSE)</f>
        <v/>
      </c>
      <c r="K933" s="17">
        <f>+VLOOKUP($A933,MAGAZZINO!$B$2:$M$4838,11,FALSE)</f>
        <v/>
      </c>
      <c r="L933" s="44">
        <f>+VLOOKUP($A933,MAGAZZINO!$B$2:$M$4838,12,FALSE)</f>
        <v/>
      </c>
    </row>
    <row r="934" ht="36" customHeight="1">
      <c r="A934" s="30">
        <f>+REGISTRO!A917</f>
        <v/>
      </c>
      <c r="B934" s="31">
        <f>+VLOOKUP($A934,MAGAZZINO!$B$2:$M$4838,2,FALSE)</f>
        <v/>
      </c>
      <c r="C934" s="32">
        <f>+VLOOKUP($A934,MAGAZZINO!$B$2:$M$4838,3,FALSE)</f>
        <v/>
      </c>
      <c r="D934" s="17">
        <f>+VLOOKUP($A934,MAGAZZINO!$B$2:$M$4838,4,FALSE)</f>
        <v/>
      </c>
      <c r="E934" s="17">
        <f>+VLOOKUP($A934,MAGAZZINO!$B$2:$M$4838,5,FALSE)</f>
        <v/>
      </c>
      <c r="F934" s="17">
        <f>+VLOOKUP($A934,MAGAZZINO!$B$2:$M$4838,6,FALSE)</f>
        <v/>
      </c>
      <c r="G934" s="17">
        <f>+VLOOKUP($A934,MAGAZZINO!$B$2:$M$4838,7,FALSE)</f>
        <v/>
      </c>
      <c r="H934" s="17">
        <f>+VLOOKUP($A934,MAGAZZINO!$B$2:$M$4838,8,FALSE)</f>
        <v/>
      </c>
      <c r="I934" s="17">
        <f>+VLOOKUP($A934,MAGAZZINO!$B$2:$M$4838,9,FALSE)</f>
        <v/>
      </c>
      <c r="J934" s="17">
        <f>+VLOOKUP($A934,MAGAZZINO!$B$2:$M$4838,10,FALSE)</f>
        <v/>
      </c>
      <c r="K934" s="17">
        <f>+VLOOKUP($A934,MAGAZZINO!$B$2:$M$4838,11,FALSE)</f>
        <v/>
      </c>
      <c r="L934" s="44">
        <f>+VLOOKUP($A934,MAGAZZINO!$B$2:$M$4838,12,FALSE)</f>
        <v/>
      </c>
    </row>
    <row r="935" ht="36" customHeight="1">
      <c r="A935" s="30">
        <f>+REGISTRO!A918</f>
        <v/>
      </c>
      <c r="B935" s="31">
        <f>+VLOOKUP($A935,MAGAZZINO!$B$2:$M$4838,2,FALSE)</f>
        <v/>
      </c>
      <c r="C935" s="32">
        <f>+VLOOKUP($A935,MAGAZZINO!$B$2:$M$4838,3,FALSE)</f>
        <v/>
      </c>
      <c r="D935" s="17">
        <f>+VLOOKUP($A935,MAGAZZINO!$B$2:$M$4838,4,FALSE)</f>
        <v/>
      </c>
      <c r="E935" s="17">
        <f>+VLOOKUP($A935,MAGAZZINO!$B$2:$M$4838,5,FALSE)</f>
        <v/>
      </c>
      <c r="F935" s="17">
        <f>+VLOOKUP($A935,MAGAZZINO!$B$2:$M$4838,6,FALSE)</f>
        <v/>
      </c>
      <c r="G935" s="17">
        <f>+VLOOKUP($A935,MAGAZZINO!$B$2:$M$4838,7,FALSE)</f>
        <v/>
      </c>
      <c r="H935" s="17">
        <f>+VLOOKUP($A935,MAGAZZINO!$B$2:$M$4838,8,FALSE)</f>
        <v/>
      </c>
      <c r="I935" s="17">
        <f>+VLOOKUP($A935,MAGAZZINO!$B$2:$M$4838,9,FALSE)</f>
        <v/>
      </c>
      <c r="J935" s="17">
        <f>+VLOOKUP($A935,MAGAZZINO!$B$2:$M$4838,10,FALSE)</f>
        <v/>
      </c>
      <c r="K935" s="17">
        <f>+VLOOKUP($A935,MAGAZZINO!$B$2:$M$4838,11,FALSE)</f>
        <v/>
      </c>
      <c r="L935" s="44">
        <f>+VLOOKUP($A935,MAGAZZINO!$B$2:$M$4838,12,FALSE)</f>
        <v/>
      </c>
    </row>
    <row r="936" ht="36" customHeight="1">
      <c r="A936" s="30">
        <f>+REGISTRO!A919</f>
        <v/>
      </c>
      <c r="B936" s="31">
        <f>+VLOOKUP($A936,MAGAZZINO!$B$2:$M$4838,2,FALSE)</f>
        <v/>
      </c>
      <c r="C936" s="32">
        <f>+VLOOKUP($A936,MAGAZZINO!$B$2:$M$4838,3,FALSE)</f>
        <v/>
      </c>
      <c r="D936" s="17">
        <f>+VLOOKUP($A936,MAGAZZINO!$B$2:$M$4838,4,FALSE)</f>
        <v/>
      </c>
      <c r="E936" s="17">
        <f>+VLOOKUP($A936,MAGAZZINO!$B$2:$M$4838,5,FALSE)</f>
        <v/>
      </c>
      <c r="F936" s="17">
        <f>+VLOOKUP($A936,MAGAZZINO!$B$2:$M$4838,6,FALSE)</f>
        <v/>
      </c>
      <c r="G936" s="17">
        <f>+VLOOKUP($A936,MAGAZZINO!$B$2:$M$4838,7,FALSE)</f>
        <v/>
      </c>
      <c r="H936" s="17">
        <f>+VLOOKUP($A936,MAGAZZINO!$B$2:$M$4838,8,FALSE)</f>
        <v/>
      </c>
      <c r="I936" s="17">
        <f>+VLOOKUP($A936,MAGAZZINO!$B$2:$M$4838,9,FALSE)</f>
        <v/>
      </c>
      <c r="J936" s="17">
        <f>+VLOOKUP($A936,MAGAZZINO!$B$2:$M$4838,10,FALSE)</f>
        <v/>
      </c>
      <c r="K936" s="17">
        <f>+VLOOKUP($A936,MAGAZZINO!$B$2:$M$4838,11,FALSE)</f>
        <v/>
      </c>
      <c r="L936" s="44">
        <f>+VLOOKUP($A936,MAGAZZINO!$B$2:$M$4838,12,FALSE)</f>
        <v/>
      </c>
    </row>
    <row r="937" ht="36" customHeight="1">
      <c r="A937" s="30">
        <f>+REGISTRO!A920</f>
        <v/>
      </c>
      <c r="B937" s="31">
        <f>+VLOOKUP($A937,MAGAZZINO!$B$2:$M$4838,2,FALSE)</f>
        <v/>
      </c>
      <c r="C937" s="32">
        <f>+VLOOKUP($A937,MAGAZZINO!$B$2:$M$4838,3,FALSE)</f>
        <v/>
      </c>
      <c r="D937" s="17">
        <f>+VLOOKUP($A937,MAGAZZINO!$B$2:$M$4838,4,FALSE)</f>
        <v/>
      </c>
      <c r="E937" s="17">
        <f>+VLOOKUP($A937,MAGAZZINO!$B$2:$M$4838,5,FALSE)</f>
        <v/>
      </c>
      <c r="F937" s="17">
        <f>+VLOOKUP($A937,MAGAZZINO!$B$2:$M$4838,6,FALSE)</f>
        <v/>
      </c>
      <c r="G937" s="17">
        <f>+VLOOKUP($A937,MAGAZZINO!$B$2:$M$4838,7,FALSE)</f>
        <v/>
      </c>
      <c r="H937" s="17">
        <f>+VLOOKUP($A937,MAGAZZINO!$B$2:$M$4838,8,FALSE)</f>
        <v/>
      </c>
      <c r="I937" s="17">
        <f>+VLOOKUP($A937,MAGAZZINO!$B$2:$M$4838,9,FALSE)</f>
        <v/>
      </c>
      <c r="J937" s="17">
        <f>+VLOOKUP($A937,MAGAZZINO!$B$2:$M$4838,10,FALSE)</f>
        <v/>
      </c>
      <c r="K937" s="17">
        <f>+VLOOKUP($A937,MAGAZZINO!$B$2:$M$4838,11,FALSE)</f>
        <v/>
      </c>
      <c r="L937" s="44">
        <f>+VLOOKUP($A937,MAGAZZINO!$B$2:$M$4838,12,FALSE)</f>
        <v/>
      </c>
    </row>
    <row r="938" ht="36" customHeight="1">
      <c r="A938" s="30">
        <f>+REGISTRO!A921</f>
        <v/>
      </c>
      <c r="B938" s="31">
        <f>+VLOOKUP($A938,MAGAZZINO!$B$2:$M$4838,2,FALSE)</f>
        <v/>
      </c>
      <c r="C938" s="32">
        <f>+VLOOKUP($A938,MAGAZZINO!$B$2:$M$4838,3,FALSE)</f>
        <v/>
      </c>
      <c r="D938" s="17">
        <f>+VLOOKUP($A938,MAGAZZINO!$B$2:$M$4838,4,FALSE)</f>
        <v/>
      </c>
      <c r="E938" s="17">
        <f>+VLOOKUP($A938,MAGAZZINO!$B$2:$M$4838,5,FALSE)</f>
        <v/>
      </c>
      <c r="F938" s="17">
        <f>+VLOOKUP($A938,MAGAZZINO!$B$2:$M$4838,6,FALSE)</f>
        <v/>
      </c>
      <c r="G938" s="17">
        <f>+VLOOKUP($A938,MAGAZZINO!$B$2:$M$4838,7,FALSE)</f>
        <v/>
      </c>
      <c r="H938" s="17">
        <f>+VLOOKUP($A938,MAGAZZINO!$B$2:$M$4838,8,FALSE)</f>
        <v/>
      </c>
      <c r="I938" s="17">
        <f>+VLOOKUP($A938,MAGAZZINO!$B$2:$M$4838,9,FALSE)</f>
        <v/>
      </c>
      <c r="J938" s="17">
        <f>+VLOOKUP($A938,MAGAZZINO!$B$2:$M$4838,10,FALSE)</f>
        <v/>
      </c>
      <c r="K938" s="17">
        <f>+VLOOKUP($A938,MAGAZZINO!$B$2:$M$4838,11,FALSE)</f>
        <v/>
      </c>
      <c r="L938" s="44">
        <f>+VLOOKUP($A938,MAGAZZINO!$B$2:$M$4838,12,FALSE)</f>
        <v/>
      </c>
    </row>
    <row r="939" ht="36" customHeight="1">
      <c r="A939" s="30">
        <f>+REGISTRO!A922</f>
        <v/>
      </c>
      <c r="B939" s="31">
        <f>+VLOOKUP($A939,MAGAZZINO!$B$2:$M$4838,2,FALSE)</f>
        <v/>
      </c>
      <c r="C939" s="32">
        <f>+VLOOKUP($A939,MAGAZZINO!$B$2:$M$4838,3,FALSE)</f>
        <v/>
      </c>
      <c r="D939" s="17">
        <f>+VLOOKUP($A939,MAGAZZINO!$B$2:$M$4838,4,FALSE)</f>
        <v/>
      </c>
      <c r="E939" s="17">
        <f>+VLOOKUP($A939,MAGAZZINO!$B$2:$M$4838,5,FALSE)</f>
        <v/>
      </c>
      <c r="F939" s="17">
        <f>+VLOOKUP($A939,MAGAZZINO!$B$2:$M$4838,6,FALSE)</f>
        <v/>
      </c>
      <c r="G939" s="17">
        <f>+VLOOKUP($A939,MAGAZZINO!$B$2:$M$4838,7,FALSE)</f>
        <v/>
      </c>
      <c r="H939" s="17">
        <f>+VLOOKUP($A939,MAGAZZINO!$B$2:$M$4838,8,FALSE)</f>
        <v/>
      </c>
      <c r="I939" s="17">
        <f>+VLOOKUP($A939,MAGAZZINO!$B$2:$M$4838,9,FALSE)</f>
        <v/>
      </c>
      <c r="J939" s="17">
        <f>+VLOOKUP($A939,MAGAZZINO!$B$2:$M$4838,10,FALSE)</f>
        <v/>
      </c>
      <c r="K939" s="17">
        <f>+VLOOKUP($A939,MAGAZZINO!$B$2:$M$4838,11,FALSE)</f>
        <v/>
      </c>
      <c r="L939" s="44">
        <f>+VLOOKUP($A939,MAGAZZINO!$B$2:$M$4838,12,FALSE)</f>
        <v/>
      </c>
    </row>
    <row r="940" ht="36" customHeight="1">
      <c r="A940" s="30">
        <f>+REGISTRO!A923</f>
        <v/>
      </c>
      <c r="B940" s="31">
        <f>+VLOOKUP($A940,MAGAZZINO!$B$2:$M$4838,2,FALSE)</f>
        <v/>
      </c>
      <c r="C940" s="32">
        <f>+VLOOKUP($A940,MAGAZZINO!$B$2:$M$4838,3,FALSE)</f>
        <v/>
      </c>
      <c r="D940" s="17">
        <f>+VLOOKUP($A940,MAGAZZINO!$B$2:$M$4838,4,FALSE)</f>
        <v/>
      </c>
      <c r="E940" s="17">
        <f>+VLOOKUP($A940,MAGAZZINO!$B$2:$M$4838,5,FALSE)</f>
        <v/>
      </c>
      <c r="F940" s="17">
        <f>+VLOOKUP($A940,MAGAZZINO!$B$2:$M$4838,6,FALSE)</f>
        <v/>
      </c>
      <c r="G940" s="17">
        <f>+VLOOKUP($A940,MAGAZZINO!$B$2:$M$4838,7,FALSE)</f>
        <v/>
      </c>
      <c r="H940" s="17">
        <f>+VLOOKUP($A940,MAGAZZINO!$B$2:$M$4838,8,FALSE)</f>
        <v/>
      </c>
      <c r="I940" s="17">
        <f>+VLOOKUP($A940,MAGAZZINO!$B$2:$M$4838,9,FALSE)</f>
        <v/>
      </c>
      <c r="J940" s="17">
        <f>+VLOOKUP($A940,MAGAZZINO!$B$2:$M$4838,10,FALSE)</f>
        <v/>
      </c>
      <c r="K940" s="17">
        <f>+VLOOKUP($A940,MAGAZZINO!$B$2:$M$4838,11,FALSE)</f>
        <v/>
      </c>
      <c r="L940" s="44">
        <f>+VLOOKUP($A940,MAGAZZINO!$B$2:$M$4838,12,FALSE)</f>
        <v/>
      </c>
    </row>
    <row r="941" ht="36" customHeight="1">
      <c r="A941" s="30">
        <f>+REGISTRO!A924</f>
        <v/>
      </c>
      <c r="B941" s="31">
        <f>+VLOOKUP($A941,MAGAZZINO!$B$2:$M$4838,2,FALSE)</f>
        <v/>
      </c>
      <c r="C941" s="32">
        <f>+VLOOKUP($A941,MAGAZZINO!$B$2:$M$4838,3,FALSE)</f>
        <v/>
      </c>
      <c r="D941" s="17">
        <f>+VLOOKUP($A941,MAGAZZINO!$B$2:$M$4838,4,FALSE)</f>
        <v/>
      </c>
      <c r="E941" s="17">
        <f>+VLOOKUP($A941,MAGAZZINO!$B$2:$M$4838,5,FALSE)</f>
        <v/>
      </c>
      <c r="F941" s="17">
        <f>+VLOOKUP($A941,MAGAZZINO!$B$2:$M$4838,6,FALSE)</f>
        <v/>
      </c>
      <c r="G941" s="17">
        <f>+VLOOKUP($A941,MAGAZZINO!$B$2:$M$4838,7,FALSE)</f>
        <v/>
      </c>
      <c r="H941" s="17">
        <f>+VLOOKUP($A941,MAGAZZINO!$B$2:$M$4838,8,FALSE)</f>
        <v/>
      </c>
      <c r="I941" s="17">
        <f>+VLOOKUP($A941,MAGAZZINO!$B$2:$M$4838,9,FALSE)</f>
        <v/>
      </c>
      <c r="J941" s="17">
        <f>+VLOOKUP($A941,MAGAZZINO!$B$2:$M$4838,10,FALSE)</f>
        <v/>
      </c>
      <c r="K941" s="17">
        <f>+VLOOKUP($A941,MAGAZZINO!$B$2:$M$4838,11,FALSE)</f>
        <v/>
      </c>
      <c r="L941" s="44">
        <f>+VLOOKUP($A941,MAGAZZINO!$B$2:$M$4838,12,FALSE)</f>
        <v/>
      </c>
    </row>
    <row r="942" ht="36" customHeight="1">
      <c r="A942" s="30">
        <f>+REGISTRO!A925</f>
        <v/>
      </c>
      <c r="B942" s="31">
        <f>+VLOOKUP($A942,MAGAZZINO!$B$2:$M$4838,2,FALSE)</f>
        <v/>
      </c>
      <c r="C942" s="32">
        <f>+VLOOKUP($A942,MAGAZZINO!$B$2:$M$4838,3,FALSE)</f>
        <v/>
      </c>
      <c r="D942" s="17">
        <f>+VLOOKUP($A942,MAGAZZINO!$B$2:$M$4838,4,FALSE)</f>
        <v/>
      </c>
      <c r="E942" s="17">
        <f>+VLOOKUP($A942,MAGAZZINO!$B$2:$M$4838,5,FALSE)</f>
        <v/>
      </c>
      <c r="F942" s="17">
        <f>+VLOOKUP($A942,MAGAZZINO!$B$2:$M$4838,6,FALSE)</f>
        <v/>
      </c>
      <c r="G942" s="17">
        <f>+VLOOKUP($A942,MAGAZZINO!$B$2:$M$4838,7,FALSE)</f>
        <v/>
      </c>
      <c r="H942" s="17">
        <f>+VLOOKUP($A942,MAGAZZINO!$B$2:$M$4838,8,FALSE)</f>
        <v/>
      </c>
      <c r="I942" s="17">
        <f>+VLOOKUP($A942,MAGAZZINO!$B$2:$M$4838,9,FALSE)</f>
        <v/>
      </c>
      <c r="J942" s="17">
        <f>+VLOOKUP($A942,MAGAZZINO!$B$2:$M$4838,10,FALSE)</f>
        <v/>
      </c>
      <c r="K942" s="17">
        <f>+VLOOKUP($A942,MAGAZZINO!$B$2:$M$4838,11,FALSE)</f>
        <v/>
      </c>
      <c r="L942" s="44">
        <f>+VLOOKUP($A942,MAGAZZINO!$B$2:$M$4838,12,FALSE)</f>
        <v/>
      </c>
    </row>
    <row r="943" ht="36" customHeight="1">
      <c r="A943" s="30">
        <f>+REGISTRO!A926</f>
        <v/>
      </c>
      <c r="B943" s="31">
        <f>+VLOOKUP($A943,MAGAZZINO!$B$2:$M$4838,2,FALSE)</f>
        <v/>
      </c>
      <c r="C943" s="32">
        <f>+VLOOKUP($A943,MAGAZZINO!$B$2:$M$4838,3,FALSE)</f>
        <v/>
      </c>
      <c r="D943" s="17">
        <f>+VLOOKUP($A943,MAGAZZINO!$B$2:$M$4838,4,FALSE)</f>
        <v/>
      </c>
      <c r="E943" s="17">
        <f>+VLOOKUP($A943,MAGAZZINO!$B$2:$M$4838,5,FALSE)</f>
        <v/>
      </c>
      <c r="F943" s="17">
        <f>+VLOOKUP($A943,MAGAZZINO!$B$2:$M$4838,6,FALSE)</f>
        <v/>
      </c>
      <c r="G943" s="17">
        <f>+VLOOKUP($A943,MAGAZZINO!$B$2:$M$4838,7,FALSE)</f>
        <v/>
      </c>
      <c r="H943" s="17">
        <f>+VLOOKUP($A943,MAGAZZINO!$B$2:$M$4838,8,FALSE)</f>
        <v/>
      </c>
      <c r="I943" s="17">
        <f>+VLOOKUP($A943,MAGAZZINO!$B$2:$M$4838,9,FALSE)</f>
        <v/>
      </c>
      <c r="J943" s="17">
        <f>+VLOOKUP($A943,MAGAZZINO!$B$2:$M$4838,10,FALSE)</f>
        <v/>
      </c>
      <c r="K943" s="17">
        <f>+VLOOKUP($A943,MAGAZZINO!$B$2:$M$4838,11,FALSE)</f>
        <v/>
      </c>
      <c r="L943" s="44">
        <f>+VLOOKUP($A943,MAGAZZINO!$B$2:$M$4838,12,FALSE)</f>
        <v/>
      </c>
    </row>
    <row r="944" ht="36" customHeight="1">
      <c r="A944" s="30">
        <f>+REGISTRO!A927</f>
        <v/>
      </c>
      <c r="B944" s="31">
        <f>+VLOOKUP($A944,MAGAZZINO!$B$2:$M$4838,2,FALSE)</f>
        <v/>
      </c>
      <c r="C944" s="32">
        <f>+VLOOKUP($A944,MAGAZZINO!$B$2:$M$4838,3,FALSE)</f>
        <v/>
      </c>
      <c r="D944" s="17">
        <f>+VLOOKUP($A944,MAGAZZINO!$B$2:$M$4838,4,FALSE)</f>
        <v/>
      </c>
      <c r="E944" s="17">
        <f>+VLOOKUP($A944,MAGAZZINO!$B$2:$M$4838,5,FALSE)</f>
        <v/>
      </c>
      <c r="F944" s="17">
        <f>+VLOOKUP($A944,MAGAZZINO!$B$2:$M$4838,6,FALSE)</f>
        <v/>
      </c>
      <c r="G944" s="17">
        <f>+VLOOKUP($A944,MAGAZZINO!$B$2:$M$4838,7,FALSE)</f>
        <v/>
      </c>
      <c r="H944" s="17">
        <f>+VLOOKUP($A944,MAGAZZINO!$B$2:$M$4838,8,FALSE)</f>
        <v/>
      </c>
      <c r="I944" s="17">
        <f>+VLOOKUP($A944,MAGAZZINO!$B$2:$M$4838,9,FALSE)</f>
        <v/>
      </c>
      <c r="J944" s="17">
        <f>+VLOOKUP($A944,MAGAZZINO!$B$2:$M$4838,10,FALSE)</f>
        <v/>
      </c>
      <c r="K944" s="17">
        <f>+VLOOKUP($A944,MAGAZZINO!$B$2:$M$4838,11,FALSE)</f>
        <v/>
      </c>
      <c r="L944" s="44">
        <f>+VLOOKUP($A944,MAGAZZINO!$B$2:$M$4838,12,FALSE)</f>
        <v/>
      </c>
    </row>
    <row r="945" ht="36" customHeight="1">
      <c r="A945" s="30">
        <f>+REGISTRO!A928</f>
        <v/>
      </c>
      <c r="B945" s="31">
        <f>+VLOOKUP($A945,MAGAZZINO!$B$2:$M$4838,2,FALSE)</f>
        <v/>
      </c>
      <c r="C945" s="32">
        <f>+VLOOKUP($A945,MAGAZZINO!$B$2:$M$4838,3,FALSE)</f>
        <v/>
      </c>
      <c r="D945" s="17">
        <f>+VLOOKUP($A945,MAGAZZINO!$B$2:$M$4838,4,FALSE)</f>
        <v/>
      </c>
      <c r="E945" s="17">
        <f>+VLOOKUP($A945,MAGAZZINO!$B$2:$M$4838,5,FALSE)</f>
        <v/>
      </c>
      <c r="F945" s="17">
        <f>+VLOOKUP($A945,MAGAZZINO!$B$2:$M$4838,6,FALSE)</f>
        <v/>
      </c>
      <c r="G945" s="17">
        <f>+VLOOKUP($A945,MAGAZZINO!$B$2:$M$4838,7,FALSE)</f>
        <v/>
      </c>
      <c r="H945" s="17">
        <f>+VLOOKUP($A945,MAGAZZINO!$B$2:$M$4838,8,FALSE)</f>
        <v/>
      </c>
      <c r="I945" s="17">
        <f>+VLOOKUP($A945,MAGAZZINO!$B$2:$M$4838,9,FALSE)</f>
        <v/>
      </c>
      <c r="J945" s="17">
        <f>+VLOOKUP($A945,MAGAZZINO!$B$2:$M$4838,10,FALSE)</f>
        <v/>
      </c>
      <c r="K945" s="17">
        <f>+VLOOKUP($A945,MAGAZZINO!$B$2:$M$4838,11,FALSE)</f>
        <v/>
      </c>
      <c r="L945" s="44">
        <f>+VLOOKUP($A945,MAGAZZINO!$B$2:$M$4838,12,FALSE)</f>
        <v/>
      </c>
    </row>
    <row r="946" ht="36" customHeight="1">
      <c r="A946" s="30">
        <f>+REGISTRO!A929</f>
        <v/>
      </c>
      <c r="B946" s="31">
        <f>+VLOOKUP($A946,MAGAZZINO!$B$2:$M$4838,2,FALSE)</f>
        <v/>
      </c>
      <c r="C946" s="32">
        <f>+VLOOKUP($A946,MAGAZZINO!$B$2:$M$4838,3,FALSE)</f>
        <v/>
      </c>
      <c r="D946" s="17">
        <f>+VLOOKUP($A946,MAGAZZINO!$B$2:$M$4838,4,FALSE)</f>
        <v/>
      </c>
      <c r="E946" s="17">
        <f>+VLOOKUP($A946,MAGAZZINO!$B$2:$M$4838,5,FALSE)</f>
        <v/>
      </c>
      <c r="F946" s="17">
        <f>+VLOOKUP($A946,MAGAZZINO!$B$2:$M$4838,6,FALSE)</f>
        <v/>
      </c>
      <c r="G946" s="17">
        <f>+VLOOKUP($A946,MAGAZZINO!$B$2:$M$4838,7,FALSE)</f>
        <v/>
      </c>
      <c r="H946" s="17">
        <f>+VLOOKUP($A946,MAGAZZINO!$B$2:$M$4838,8,FALSE)</f>
        <v/>
      </c>
      <c r="I946" s="17">
        <f>+VLOOKUP($A946,MAGAZZINO!$B$2:$M$4838,9,FALSE)</f>
        <v/>
      </c>
      <c r="J946" s="17">
        <f>+VLOOKUP($A946,MAGAZZINO!$B$2:$M$4838,10,FALSE)</f>
        <v/>
      </c>
      <c r="K946" s="17">
        <f>+VLOOKUP($A946,MAGAZZINO!$B$2:$M$4838,11,FALSE)</f>
        <v/>
      </c>
      <c r="L946" s="44">
        <f>+VLOOKUP($A946,MAGAZZINO!$B$2:$M$4838,12,FALSE)</f>
        <v/>
      </c>
    </row>
    <row r="947" ht="36" customHeight="1">
      <c r="A947" s="30">
        <f>+REGISTRO!A930</f>
        <v/>
      </c>
      <c r="B947" s="31">
        <f>+VLOOKUP($A947,MAGAZZINO!$B$2:$M$4838,2,FALSE)</f>
        <v/>
      </c>
      <c r="C947" s="32">
        <f>+VLOOKUP($A947,MAGAZZINO!$B$2:$M$4838,3,FALSE)</f>
        <v/>
      </c>
      <c r="D947" s="17">
        <f>+VLOOKUP($A947,MAGAZZINO!$B$2:$M$4838,4,FALSE)</f>
        <v/>
      </c>
      <c r="E947" s="17">
        <f>+VLOOKUP($A947,MAGAZZINO!$B$2:$M$4838,5,FALSE)</f>
        <v/>
      </c>
      <c r="F947" s="17">
        <f>+VLOOKUP($A947,MAGAZZINO!$B$2:$M$4838,6,FALSE)</f>
        <v/>
      </c>
      <c r="G947" s="17">
        <f>+VLOOKUP($A947,MAGAZZINO!$B$2:$M$4838,7,FALSE)</f>
        <v/>
      </c>
      <c r="H947" s="17">
        <f>+VLOOKUP($A947,MAGAZZINO!$B$2:$M$4838,8,FALSE)</f>
        <v/>
      </c>
      <c r="I947" s="17">
        <f>+VLOOKUP($A947,MAGAZZINO!$B$2:$M$4838,9,FALSE)</f>
        <v/>
      </c>
      <c r="J947" s="17">
        <f>+VLOOKUP($A947,MAGAZZINO!$B$2:$M$4838,10,FALSE)</f>
        <v/>
      </c>
      <c r="K947" s="17">
        <f>+VLOOKUP($A947,MAGAZZINO!$B$2:$M$4838,11,FALSE)</f>
        <v/>
      </c>
      <c r="L947" s="44">
        <f>+VLOOKUP($A947,MAGAZZINO!$B$2:$M$4838,12,FALSE)</f>
        <v/>
      </c>
    </row>
    <row r="948" ht="36" customHeight="1">
      <c r="A948" s="30">
        <f>+REGISTRO!A931</f>
        <v/>
      </c>
      <c r="B948" s="31">
        <f>+VLOOKUP($A948,MAGAZZINO!$B$2:$M$4838,2,FALSE)</f>
        <v/>
      </c>
      <c r="C948" s="32">
        <f>+VLOOKUP($A948,MAGAZZINO!$B$2:$M$4838,3,FALSE)</f>
        <v/>
      </c>
      <c r="D948" s="17">
        <f>+VLOOKUP($A948,MAGAZZINO!$B$2:$M$4838,4,FALSE)</f>
        <v/>
      </c>
      <c r="E948" s="17">
        <f>+VLOOKUP($A948,MAGAZZINO!$B$2:$M$4838,5,FALSE)</f>
        <v/>
      </c>
      <c r="F948" s="17">
        <f>+VLOOKUP($A948,MAGAZZINO!$B$2:$M$4838,6,FALSE)</f>
        <v/>
      </c>
      <c r="G948" s="17">
        <f>+VLOOKUP($A948,MAGAZZINO!$B$2:$M$4838,7,FALSE)</f>
        <v/>
      </c>
      <c r="H948" s="17">
        <f>+VLOOKUP($A948,MAGAZZINO!$B$2:$M$4838,8,FALSE)</f>
        <v/>
      </c>
      <c r="I948" s="17">
        <f>+VLOOKUP($A948,MAGAZZINO!$B$2:$M$4838,9,FALSE)</f>
        <v/>
      </c>
      <c r="J948" s="17">
        <f>+VLOOKUP($A948,MAGAZZINO!$B$2:$M$4838,10,FALSE)</f>
        <v/>
      </c>
      <c r="K948" s="17">
        <f>+VLOOKUP($A948,MAGAZZINO!$B$2:$M$4838,11,FALSE)</f>
        <v/>
      </c>
      <c r="L948" s="44">
        <f>+VLOOKUP($A948,MAGAZZINO!$B$2:$M$4838,12,FALSE)</f>
        <v/>
      </c>
    </row>
    <row r="949" ht="36" customHeight="1">
      <c r="A949" s="30">
        <f>+REGISTRO!A932</f>
        <v/>
      </c>
      <c r="B949" s="31">
        <f>+VLOOKUP($A949,MAGAZZINO!$B$2:$M$4838,2,FALSE)</f>
        <v/>
      </c>
      <c r="C949" s="32">
        <f>+VLOOKUP($A949,MAGAZZINO!$B$2:$M$4838,3,FALSE)</f>
        <v/>
      </c>
      <c r="D949" s="17">
        <f>+VLOOKUP($A949,MAGAZZINO!$B$2:$M$4838,4,FALSE)</f>
        <v/>
      </c>
      <c r="E949" s="17">
        <f>+VLOOKUP($A949,MAGAZZINO!$B$2:$M$4838,5,FALSE)</f>
        <v/>
      </c>
      <c r="F949" s="17">
        <f>+VLOOKUP($A949,MAGAZZINO!$B$2:$M$4838,6,FALSE)</f>
        <v/>
      </c>
      <c r="G949" s="17">
        <f>+VLOOKUP($A949,MAGAZZINO!$B$2:$M$4838,7,FALSE)</f>
        <v/>
      </c>
      <c r="H949" s="17">
        <f>+VLOOKUP($A949,MAGAZZINO!$B$2:$M$4838,8,FALSE)</f>
        <v/>
      </c>
      <c r="I949" s="17">
        <f>+VLOOKUP($A949,MAGAZZINO!$B$2:$M$4838,9,FALSE)</f>
        <v/>
      </c>
      <c r="J949" s="17">
        <f>+VLOOKUP($A949,MAGAZZINO!$B$2:$M$4838,10,FALSE)</f>
        <v/>
      </c>
      <c r="K949" s="17">
        <f>+VLOOKUP($A949,MAGAZZINO!$B$2:$M$4838,11,FALSE)</f>
        <v/>
      </c>
      <c r="L949" s="44">
        <f>+VLOOKUP($A949,MAGAZZINO!$B$2:$M$4838,12,FALSE)</f>
        <v/>
      </c>
    </row>
    <row r="950" ht="36" customHeight="1">
      <c r="A950" s="30">
        <f>+REGISTRO!A933</f>
        <v/>
      </c>
      <c r="B950" s="31">
        <f>+VLOOKUP($A950,MAGAZZINO!$B$2:$M$4838,2,FALSE)</f>
        <v/>
      </c>
      <c r="C950" s="32">
        <f>+VLOOKUP($A950,MAGAZZINO!$B$2:$M$4838,3,FALSE)</f>
        <v/>
      </c>
      <c r="D950" s="17">
        <f>+VLOOKUP($A950,MAGAZZINO!$B$2:$M$4838,4,FALSE)</f>
        <v/>
      </c>
      <c r="E950" s="17">
        <f>+VLOOKUP($A950,MAGAZZINO!$B$2:$M$4838,5,FALSE)</f>
        <v/>
      </c>
      <c r="F950" s="17">
        <f>+VLOOKUP($A950,MAGAZZINO!$B$2:$M$4838,6,FALSE)</f>
        <v/>
      </c>
      <c r="G950" s="17">
        <f>+VLOOKUP($A950,MAGAZZINO!$B$2:$M$4838,7,FALSE)</f>
        <v/>
      </c>
      <c r="H950" s="17">
        <f>+VLOOKUP($A950,MAGAZZINO!$B$2:$M$4838,8,FALSE)</f>
        <v/>
      </c>
      <c r="I950" s="17">
        <f>+VLOOKUP($A950,MAGAZZINO!$B$2:$M$4838,9,FALSE)</f>
        <v/>
      </c>
      <c r="J950" s="17">
        <f>+VLOOKUP($A950,MAGAZZINO!$B$2:$M$4838,10,FALSE)</f>
        <v/>
      </c>
      <c r="K950" s="17">
        <f>+VLOOKUP($A950,MAGAZZINO!$B$2:$M$4838,11,FALSE)</f>
        <v/>
      </c>
      <c r="L950" s="44">
        <f>+VLOOKUP($A950,MAGAZZINO!$B$2:$M$4838,12,FALSE)</f>
        <v/>
      </c>
    </row>
    <row r="951" ht="36" customHeight="1">
      <c r="A951" s="30">
        <f>+REGISTRO!A934</f>
        <v/>
      </c>
      <c r="B951" s="31">
        <f>+VLOOKUP($A951,MAGAZZINO!$B$2:$M$4838,2,FALSE)</f>
        <v/>
      </c>
      <c r="C951" s="32">
        <f>+VLOOKUP($A951,MAGAZZINO!$B$2:$M$4838,3,FALSE)</f>
        <v/>
      </c>
      <c r="D951" s="17">
        <f>+VLOOKUP($A951,MAGAZZINO!$B$2:$M$4838,4,FALSE)</f>
        <v/>
      </c>
      <c r="E951" s="17">
        <f>+VLOOKUP($A951,MAGAZZINO!$B$2:$M$4838,5,FALSE)</f>
        <v/>
      </c>
      <c r="F951" s="17">
        <f>+VLOOKUP($A951,MAGAZZINO!$B$2:$M$4838,6,FALSE)</f>
        <v/>
      </c>
      <c r="G951" s="17">
        <f>+VLOOKUP($A951,MAGAZZINO!$B$2:$M$4838,7,FALSE)</f>
        <v/>
      </c>
      <c r="H951" s="17">
        <f>+VLOOKUP($A951,MAGAZZINO!$B$2:$M$4838,8,FALSE)</f>
        <v/>
      </c>
      <c r="I951" s="17">
        <f>+VLOOKUP($A951,MAGAZZINO!$B$2:$M$4838,9,FALSE)</f>
        <v/>
      </c>
      <c r="J951" s="17">
        <f>+VLOOKUP($A951,MAGAZZINO!$B$2:$M$4838,10,FALSE)</f>
        <v/>
      </c>
      <c r="K951" s="17">
        <f>+VLOOKUP($A951,MAGAZZINO!$B$2:$M$4838,11,FALSE)</f>
        <v/>
      </c>
      <c r="L951" s="44">
        <f>+VLOOKUP($A951,MAGAZZINO!$B$2:$M$4838,12,FALSE)</f>
        <v/>
      </c>
    </row>
    <row r="952" ht="36" customHeight="1">
      <c r="A952" s="30">
        <f>+REGISTRO!A935</f>
        <v/>
      </c>
      <c r="B952" s="31">
        <f>+VLOOKUP($A952,MAGAZZINO!$B$2:$M$4838,2,FALSE)</f>
        <v/>
      </c>
      <c r="C952" s="32">
        <f>+VLOOKUP($A952,MAGAZZINO!$B$2:$M$4838,3,FALSE)</f>
        <v/>
      </c>
      <c r="D952" s="17">
        <f>+VLOOKUP($A952,MAGAZZINO!$B$2:$M$4838,4,FALSE)</f>
        <v/>
      </c>
      <c r="E952" s="17">
        <f>+VLOOKUP($A952,MAGAZZINO!$B$2:$M$4838,5,FALSE)</f>
        <v/>
      </c>
      <c r="F952" s="17">
        <f>+VLOOKUP($A952,MAGAZZINO!$B$2:$M$4838,6,FALSE)</f>
        <v/>
      </c>
      <c r="G952" s="17">
        <f>+VLOOKUP($A952,MAGAZZINO!$B$2:$M$4838,7,FALSE)</f>
        <v/>
      </c>
      <c r="H952" s="17">
        <f>+VLOOKUP($A952,MAGAZZINO!$B$2:$M$4838,8,FALSE)</f>
        <v/>
      </c>
      <c r="I952" s="17">
        <f>+VLOOKUP($A952,MAGAZZINO!$B$2:$M$4838,9,FALSE)</f>
        <v/>
      </c>
      <c r="J952" s="17">
        <f>+VLOOKUP($A952,MAGAZZINO!$B$2:$M$4838,10,FALSE)</f>
        <v/>
      </c>
      <c r="K952" s="17">
        <f>+VLOOKUP($A952,MAGAZZINO!$B$2:$M$4838,11,FALSE)</f>
        <v/>
      </c>
      <c r="L952" s="44">
        <f>+VLOOKUP($A952,MAGAZZINO!$B$2:$M$4838,12,FALSE)</f>
        <v/>
      </c>
    </row>
    <row r="953" ht="36" customHeight="1">
      <c r="A953" s="30">
        <f>+REGISTRO!A936</f>
        <v/>
      </c>
      <c r="B953" s="31">
        <f>+VLOOKUP($A953,MAGAZZINO!$B$2:$M$4838,2,FALSE)</f>
        <v/>
      </c>
      <c r="C953" s="32">
        <f>+VLOOKUP($A953,MAGAZZINO!$B$2:$M$4838,3,FALSE)</f>
        <v/>
      </c>
      <c r="D953" s="17">
        <f>+VLOOKUP($A953,MAGAZZINO!$B$2:$M$4838,4,FALSE)</f>
        <v/>
      </c>
      <c r="E953" s="17">
        <f>+VLOOKUP($A953,MAGAZZINO!$B$2:$M$4838,5,FALSE)</f>
        <v/>
      </c>
      <c r="F953" s="17">
        <f>+VLOOKUP($A953,MAGAZZINO!$B$2:$M$4838,6,FALSE)</f>
        <v/>
      </c>
      <c r="G953" s="17">
        <f>+VLOOKUP($A953,MAGAZZINO!$B$2:$M$4838,7,FALSE)</f>
        <v/>
      </c>
      <c r="H953" s="17">
        <f>+VLOOKUP($A953,MAGAZZINO!$B$2:$M$4838,8,FALSE)</f>
        <v/>
      </c>
      <c r="I953" s="17">
        <f>+VLOOKUP($A953,MAGAZZINO!$B$2:$M$4838,9,FALSE)</f>
        <v/>
      </c>
      <c r="J953" s="17">
        <f>+VLOOKUP($A953,MAGAZZINO!$B$2:$M$4838,10,FALSE)</f>
        <v/>
      </c>
      <c r="K953" s="17">
        <f>+VLOOKUP($A953,MAGAZZINO!$B$2:$M$4838,11,FALSE)</f>
        <v/>
      </c>
      <c r="L953" s="44">
        <f>+VLOOKUP($A953,MAGAZZINO!$B$2:$M$4838,12,FALSE)</f>
        <v/>
      </c>
    </row>
    <row r="954" ht="36" customHeight="1">
      <c r="A954" s="30">
        <f>+REGISTRO!A937</f>
        <v/>
      </c>
      <c r="B954" s="31">
        <f>+VLOOKUP($A954,MAGAZZINO!$B$2:$M$4838,2,FALSE)</f>
        <v/>
      </c>
      <c r="C954" s="32">
        <f>+VLOOKUP($A954,MAGAZZINO!$B$2:$M$4838,3,FALSE)</f>
        <v/>
      </c>
      <c r="D954" s="17">
        <f>+VLOOKUP($A954,MAGAZZINO!$B$2:$M$4838,4,FALSE)</f>
        <v/>
      </c>
      <c r="E954" s="17">
        <f>+VLOOKUP($A954,MAGAZZINO!$B$2:$M$4838,5,FALSE)</f>
        <v/>
      </c>
      <c r="F954" s="17">
        <f>+VLOOKUP($A954,MAGAZZINO!$B$2:$M$4838,6,FALSE)</f>
        <v/>
      </c>
      <c r="G954" s="17">
        <f>+VLOOKUP($A954,MAGAZZINO!$B$2:$M$4838,7,FALSE)</f>
        <v/>
      </c>
      <c r="H954" s="17">
        <f>+VLOOKUP($A954,MAGAZZINO!$B$2:$M$4838,8,FALSE)</f>
        <v/>
      </c>
      <c r="I954" s="17">
        <f>+VLOOKUP($A954,MAGAZZINO!$B$2:$M$4838,9,FALSE)</f>
        <v/>
      </c>
      <c r="J954" s="17">
        <f>+VLOOKUP($A954,MAGAZZINO!$B$2:$M$4838,10,FALSE)</f>
        <v/>
      </c>
      <c r="K954" s="17">
        <f>+VLOOKUP($A954,MAGAZZINO!$B$2:$M$4838,11,FALSE)</f>
        <v/>
      </c>
      <c r="L954" s="44">
        <f>+VLOOKUP($A954,MAGAZZINO!$B$2:$M$4838,12,FALSE)</f>
        <v/>
      </c>
    </row>
    <row r="955" ht="36" customHeight="1">
      <c r="A955" s="30">
        <f>+REGISTRO!A938</f>
        <v/>
      </c>
      <c r="B955" s="31">
        <f>+VLOOKUP($A955,MAGAZZINO!$B$2:$M$4838,2,FALSE)</f>
        <v/>
      </c>
      <c r="C955" s="32">
        <f>+VLOOKUP($A955,MAGAZZINO!$B$2:$M$4838,3,FALSE)</f>
        <v/>
      </c>
      <c r="D955" s="17">
        <f>+VLOOKUP($A955,MAGAZZINO!$B$2:$M$4838,4,FALSE)</f>
        <v/>
      </c>
      <c r="E955" s="17">
        <f>+VLOOKUP($A955,MAGAZZINO!$B$2:$M$4838,5,FALSE)</f>
        <v/>
      </c>
      <c r="F955" s="17">
        <f>+VLOOKUP($A955,MAGAZZINO!$B$2:$M$4838,6,FALSE)</f>
        <v/>
      </c>
      <c r="G955" s="17">
        <f>+VLOOKUP($A955,MAGAZZINO!$B$2:$M$4838,7,FALSE)</f>
        <v/>
      </c>
      <c r="H955" s="17">
        <f>+VLOOKUP($A955,MAGAZZINO!$B$2:$M$4838,8,FALSE)</f>
        <v/>
      </c>
      <c r="I955" s="17">
        <f>+VLOOKUP($A955,MAGAZZINO!$B$2:$M$4838,9,FALSE)</f>
        <v/>
      </c>
      <c r="J955" s="17">
        <f>+VLOOKUP($A955,MAGAZZINO!$B$2:$M$4838,10,FALSE)</f>
        <v/>
      </c>
      <c r="K955" s="17">
        <f>+VLOOKUP($A955,MAGAZZINO!$B$2:$M$4838,11,FALSE)</f>
        <v/>
      </c>
      <c r="L955" s="44">
        <f>+VLOOKUP($A955,MAGAZZINO!$B$2:$M$4838,12,FALSE)</f>
        <v/>
      </c>
    </row>
    <row r="956" ht="36" customHeight="1">
      <c r="A956" s="30">
        <f>+REGISTRO!A939</f>
        <v/>
      </c>
      <c r="B956" s="31">
        <f>+VLOOKUP($A956,MAGAZZINO!$B$2:$M$4838,2,FALSE)</f>
        <v/>
      </c>
      <c r="C956" s="32">
        <f>+VLOOKUP($A956,MAGAZZINO!$B$2:$M$4838,3,FALSE)</f>
        <v/>
      </c>
      <c r="D956" s="17">
        <f>+VLOOKUP($A956,MAGAZZINO!$B$2:$M$4838,4,FALSE)</f>
        <v/>
      </c>
      <c r="E956" s="17">
        <f>+VLOOKUP($A956,MAGAZZINO!$B$2:$M$4838,5,FALSE)</f>
        <v/>
      </c>
      <c r="F956" s="17">
        <f>+VLOOKUP($A956,MAGAZZINO!$B$2:$M$4838,6,FALSE)</f>
        <v/>
      </c>
      <c r="G956" s="17">
        <f>+VLOOKUP($A956,MAGAZZINO!$B$2:$M$4838,7,FALSE)</f>
        <v/>
      </c>
      <c r="H956" s="17">
        <f>+VLOOKUP($A956,MAGAZZINO!$B$2:$M$4838,8,FALSE)</f>
        <v/>
      </c>
      <c r="I956" s="17">
        <f>+VLOOKUP($A956,MAGAZZINO!$B$2:$M$4838,9,FALSE)</f>
        <v/>
      </c>
      <c r="J956" s="17">
        <f>+VLOOKUP($A956,MAGAZZINO!$B$2:$M$4838,10,FALSE)</f>
        <v/>
      </c>
      <c r="K956" s="17">
        <f>+VLOOKUP($A956,MAGAZZINO!$B$2:$M$4838,11,FALSE)</f>
        <v/>
      </c>
      <c r="L956" s="44">
        <f>+VLOOKUP($A956,MAGAZZINO!$B$2:$M$4838,12,FALSE)</f>
        <v/>
      </c>
    </row>
    <row r="957" ht="36" customHeight="1">
      <c r="A957" s="30">
        <f>+REGISTRO!A940</f>
        <v/>
      </c>
      <c r="B957" s="31">
        <f>+VLOOKUP($A957,MAGAZZINO!$B$2:$M$4838,2,FALSE)</f>
        <v/>
      </c>
      <c r="C957" s="32">
        <f>+VLOOKUP($A957,MAGAZZINO!$B$2:$M$4838,3,FALSE)</f>
        <v/>
      </c>
      <c r="D957" s="17">
        <f>+VLOOKUP($A957,MAGAZZINO!$B$2:$M$4838,4,FALSE)</f>
        <v/>
      </c>
      <c r="E957" s="17">
        <f>+VLOOKUP($A957,MAGAZZINO!$B$2:$M$4838,5,FALSE)</f>
        <v/>
      </c>
      <c r="F957" s="17">
        <f>+VLOOKUP($A957,MAGAZZINO!$B$2:$M$4838,6,FALSE)</f>
        <v/>
      </c>
      <c r="G957" s="17">
        <f>+VLOOKUP($A957,MAGAZZINO!$B$2:$M$4838,7,FALSE)</f>
        <v/>
      </c>
      <c r="H957" s="17">
        <f>+VLOOKUP($A957,MAGAZZINO!$B$2:$M$4838,8,FALSE)</f>
        <v/>
      </c>
      <c r="I957" s="17">
        <f>+VLOOKUP($A957,MAGAZZINO!$B$2:$M$4838,9,FALSE)</f>
        <v/>
      </c>
      <c r="J957" s="17">
        <f>+VLOOKUP($A957,MAGAZZINO!$B$2:$M$4838,10,FALSE)</f>
        <v/>
      </c>
      <c r="K957" s="17">
        <f>+VLOOKUP($A957,MAGAZZINO!$B$2:$M$4838,11,FALSE)</f>
        <v/>
      </c>
      <c r="L957" s="44">
        <f>+VLOOKUP($A957,MAGAZZINO!$B$2:$M$4838,12,FALSE)</f>
        <v/>
      </c>
    </row>
    <row r="958" ht="36" customHeight="1">
      <c r="A958" s="30">
        <f>+REGISTRO!A941</f>
        <v/>
      </c>
      <c r="B958" s="31">
        <f>+VLOOKUP($A958,MAGAZZINO!$B$2:$M$4838,2,FALSE)</f>
        <v/>
      </c>
      <c r="C958" s="32">
        <f>+VLOOKUP($A958,MAGAZZINO!$B$2:$M$4838,3,FALSE)</f>
        <v/>
      </c>
      <c r="D958" s="17">
        <f>+VLOOKUP($A958,MAGAZZINO!$B$2:$M$4838,4,FALSE)</f>
        <v/>
      </c>
      <c r="E958" s="17">
        <f>+VLOOKUP($A958,MAGAZZINO!$B$2:$M$4838,5,FALSE)</f>
        <v/>
      </c>
      <c r="F958" s="17">
        <f>+VLOOKUP($A958,MAGAZZINO!$B$2:$M$4838,6,FALSE)</f>
        <v/>
      </c>
      <c r="G958" s="17">
        <f>+VLOOKUP($A958,MAGAZZINO!$B$2:$M$4838,7,FALSE)</f>
        <v/>
      </c>
      <c r="H958" s="17">
        <f>+VLOOKUP($A958,MAGAZZINO!$B$2:$M$4838,8,FALSE)</f>
        <v/>
      </c>
      <c r="I958" s="17">
        <f>+VLOOKUP($A958,MAGAZZINO!$B$2:$M$4838,9,FALSE)</f>
        <v/>
      </c>
      <c r="J958" s="17">
        <f>+VLOOKUP($A958,MAGAZZINO!$B$2:$M$4838,10,FALSE)</f>
        <v/>
      </c>
      <c r="K958" s="17">
        <f>+VLOOKUP($A958,MAGAZZINO!$B$2:$M$4838,11,FALSE)</f>
        <v/>
      </c>
      <c r="L958" s="44">
        <f>+VLOOKUP($A958,MAGAZZINO!$B$2:$M$4838,12,FALSE)</f>
        <v/>
      </c>
    </row>
    <row r="959" ht="36" customHeight="1">
      <c r="A959" s="30">
        <f>+REGISTRO!A942</f>
        <v/>
      </c>
      <c r="B959" s="31">
        <f>+VLOOKUP($A959,MAGAZZINO!$B$2:$M$4838,2,FALSE)</f>
        <v/>
      </c>
      <c r="C959" s="32">
        <f>+VLOOKUP($A959,MAGAZZINO!$B$2:$M$4838,3,FALSE)</f>
        <v/>
      </c>
      <c r="D959" s="17">
        <f>+VLOOKUP($A959,MAGAZZINO!$B$2:$M$4838,4,FALSE)</f>
        <v/>
      </c>
      <c r="E959" s="17">
        <f>+VLOOKUP($A959,MAGAZZINO!$B$2:$M$4838,5,FALSE)</f>
        <v/>
      </c>
      <c r="F959" s="17">
        <f>+VLOOKUP($A959,MAGAZZINO!$B$2:$M$4838,6,FALSE)</f>
        <v/>
      </c>
      <c r="G959" s="17">
        <f>+VLOOKUP($A959,MAGAZZINO!$B$2:$M$4838,7,FALSE)</f>
        <v/>
      </c>
      <c r="H959" s="17">
        <f>+VLOOKUP($A959,MAGAZZINO!$B$2:$M$4838,8,FALSE)</f>
        <v/>
      </c>
      <c r="I959" s="17">
        <f>+VLOOKUP($A959,MAGAZZINO!$B$2:$M$4838,9,FALSE)</f>
        <v/>
      </c>
      <c r="J959" s="17">
        <f>+VLOOKUP($A959,MAGAZZINO!$B$2:$M$4838,10,FALSE)</f>
        <v/>
      </c>
      <c r="K959" s="17">
        <f>+VLOOKUP($A959,MAGAZZINO!$B$2:$M$4838,11,FALSE)</f>
        <v/>
      </c>
      <c r="L959" s="44">
        <f>+VLOOKUP($A959,MAGAZZINO!$B$2:$M$4838,12,FALSE)</f>
        <v/>
      </c>
    </row>
    <row r="960" ht="36" customHeight="1">
      <c r="A960" s="30">
        <f>+REGISTRO!A943</f>
        <v/>
      </c>
      <c r="B960" s="31">
        <f>+VLOOKUP($A960,MAGAZZINO!$B$2:$M$4838,2,FALSE)</f>
        <v/>
      </c>
      <c r="C960" s="32">
        <f>+VLOOKUP($A960,MAGAZZINO!$B$2:$M$4838,3,FALSE)</f>
        <v/>
      </c>
      <c r="D960" s="17">
        <f>+VLOOKUP($A960,MAGAZZINO!$B$2:$M$4838,4,FALSE)</f>
        <v/>
      </c>
      <c r="E960" s="17">
        <f>+VLOOKUP($A960,MAGAZZINO!$B$2:$M$4838,5,FALSE)</f>
        <v/>
      </c>
      <c r="F960" s="17">
        <f>+VLOOKUP($A960,MAGAZZINO!$B$2:$M$4838,6,FALSE)</f>
        <v/>
      </c>
      <c r="G960" s="17">
        <f>+VLOOKUP($A960,MAGAZZINO!$B$2:$M$4838,7,FALSE)</f>
        <v/>
      </c>
      <c r="H960" s="17">
        <f>+VLOOKUP($A960,MAGAZZINO!$B$2:$M$4838,8,FALSE)</f>
        <v/>
      </c>
      <c r="I960" s="17">
        <f>+VLOOKUP($A960,MAGAZZINO!$B$2:$M$4838,9,FALSE)</f>
        <v/>
      </c>
      <c r="J960" s="17">
        <f>+VLOOKUP($A960,MAGAZZINO!$B$2:$M$4838,10,FALSE)</f>
        <v/>
      </c>
      <c r="K960" s="17">
        <f>+VLOOKUP($A960,MAGAZZINO!$B$2:$M$4838,11,FALSE)</f>
        <v/>
      </c>
      <c r="L960" s="44">
        <f>+VLOOKUP($A960,MAGAZZINO!$B$2:$M$4838,12,FALSE)</f>
        <v/>
      </c>
    </row>
    <row r="961" ht="36" customHeight="1">
      <c r="A961" s="30">
        <f>+REGISTRO!A944</f>
        <v/>
      </c>
      <c r="B961" s="31">
        <f>+VLOOKUP($A961,MAGAZZINO!$B$2:$M$4838,2,FALSE)</f>
        <v/>
      </c>
      <c r="C961" s="32">
        <f>+VLOOKUP($A961,MAGAZZINO!$B$2:$M$4838,3,FALSE)</f>
        <v/>
      </c>
      <c r="D961" s="17">
        <f>+VLOOKUP($A961,MAGAZZINO!$B$2:$M$4838,4,FALSE)</f>
        <v/>
      </c>
      <c r="E961" s="17">
        <f>+VLOOKUP($A961,MAGAZZINO!$B$2:$M$4838,5,FALSE)</f>
        <v/>
      </c>
      <c r="F961" s="17">
        <f>+VLOOKUP($A961,MAGAZZINO!$B$2:$M$4838,6,FALSE)</f>
        <v/>
      </c>
      <c r="G961" s="17">
        <f>+VLOOKUP($A961,MAGAZZINO!$B$2:$M$4838,7,FALSE)</f>
        <v/>
      </c>
      <c r="H961" s="17">
        <f>+VLOOKUP($A961,MAGAZZINO!$B$2:$M$4838,8,FALSE)</f>
        <v/>
      </c>
      <c r="I961" s="17">
        <f>+VLOOKUP($A961,MAGAZZINO!$B$2:$M$4838,9,FALSE)</f>
        <v/>
      </c>
      <c r="J961" s="17">
        <f>+VLOOKUP($A961,MAGAZZINO!$B$2:$M$4838,10,FALSE)</f>
        <v/>
      </c>
      <c r="K961" s="17">
        <f>+VLOOKUP($A961,MAGAZZINO!$B$2:$M$4838,11,FALSE)</f>
        <v/>
      </c>
      <c r="L961" s="44">
        <f>+VLOOKUP($A961,MAGAZZINO!$B$2:$M$4838,12,FALSE)</f>
        <v/>
      </c>
    </row>
    <row r="962" ht="36" customHeight="1">
      <c r="A962" s="30">
        <f>+REGISTRO!A945</f>
        <v/>
      </c>
      <c r="B962" s="31">
        <f>+VLOOKUP($A962,MAGAZZINO!$B$2:$M$4838,2,FALSE)</f>
        <v/>
      </c>
      <c r="C962" s="32">
        <f>+VLOOKUP($A962,MAGAZZINO!$B$2:$M$4838,3,FALSE)</f>
        <v/>
      </c>
      <c r="D962" s="17">
        <f>+VLOOKUP($A962,MAGAZZINO!$B$2:$M$4838,4,FALSE)</f>
        <v/>
      </c>
      <c r="E962" s="17">
        <f>+VLOOKUP($A962,MAGAZZINO!$B$2:$M$4838,5,FALSE)</f>
        <v/>
      </c>
      <c r="F962" s="17">
        <f>+VLOOKUP($A962,MAGAZZINO!$B$2:$M$4838,6,FALSE)</f>
        <v/>
      </c>
      <c r="G962" s="17">
        <f>+VLOOKUP($A962,MAGAZZINO!$B$2:$M$4838,7,FALSE)</f>
        <v/>
      </c>
      <c r="H962" s="17">
        <f>+VLOOKUP($A962,MAGAZZINO!$B$2:$M$4838,8,FALSE)</f>
        <v/>
      </c>
      <c r="I962" s="17">
        <f>+VLOOKUP($A962,MAGAZZINO!$B$2:$M$4838,9,FALSE)</f>
        <v/>
      </c>
      <c r="J962" s="17">
        <f>+VLOOKUP($A962,MAGAZZINO!$B$2:$M$4838,10,FALSE)</f>
        <v/>
      </c>
      <c r="K962" s="17">
        <f>+VLOOKUP($A962,MAGAZZINO!$B$2:$M$4838,11,FALSE)</f>
        <v/>
      </c>
      <c r="L962" s="44">
        <f>+VLOOKUP($A962,MAGAZZINO!$B$2:$M$4838,12,FALSE)</f>
        <v/>
      </c>
    </row>
    <row r="963" ht="36" customHeight="1">
      <c r="A963" s="30">
        <f>+REGISTRO!A946</f>
        <v/>
      </c>
      <c r="B963" s="31">
        <f>+VLOOKUP($A963,MAGAZZINO!$B$2:$M$4838,2,FALSE)</f>
        <v/>
      </c>
      <c r="C963" s="32">
        <f>+VLOOKUP($A963,MAGAZZINO!$B$2:$M$4838,3,FALSE)</f>
        <v/>
      </c>
      <c r="D963" s="17">
        <f>+VLOOKUP($A963,MAGAZZINO!$B$2:$M$4838,4,FALSE)</f>
        <v/>
      </c>
      <c r="E963" s="17">
        <f>+VLOOKUP($A963,MAGAZZINO!$B$2:$M$4838,5,FALSE)</f>
        <v/>
      </c>
      <c r="F963" s="17">
        <f>+VLOOKUP($A963,MAGAZZINO!$B$2:$M$4838,6,FALSE)</f>
        <v/>
      </c>
      <c r="G963" s="17">
        <f>+VLOOKUP($A963,MAGAZZINO!$B$2:$M$4838,7,FALSE)</f>
        <v/>
      </c>
      <c r="H963" s="17">
        <f>+VLOOKUP($A963,MAGAZZINO!$B$2:$M$4838,8,FALSE)</f>
        <v/>
      </c>
      <c r="I963" s="17">
        <f>+VLOOKUP($A963,MAGAZZINO!$B$2:$M$4838,9,FALSE)</f>
        <v/>
      </c>
      <c r="J963" s="17">
        <f>+VLOOKUP($A963,MAGAZZINO!$B$2:$M$4838,10,FALSE)</f>
        <v/>
      </c>
      <c r="K963" s="17">
        <f>+VLOOKUP($A963,MAGAZZINO!$B$2:$M$4838,11,FALSE)</f>
        <v/>
      </c>
      <c r="L963" s="44">
        <f>+VLOOKUP($A963,MAGAZZINO!$B$2:$M$4838,12,FALSE)</f>
        <v/>
      </c>
    </row>
    <row r="964" ht="36" customHeight="1">
      <c r="A964" s="30">
        <f>+REGISTRO!A947</f>
        <v/>
      </c>
      <c r="B964" s="31">
        <f>+VLOOKUP($A964,MAGAZZINO!$B$2:$M$4838,2,FALSE)</f>
        <v/>
      </c>
      <c r="C964" s="32">
        <f>+VLOOKUP($A964,MAGAZZINO!$B$2:$M$4838,3,FALSE)</f>
        <v/>
      </c>
      <c r="D964" s="17">
        <f>+VLOOKUP($A964,MAGAZZINO!$B$2:$M$4838,4,FALSE)</f>
        <v/>
      </c>
      <c r="E964" s="17">
        <f>+VLOOKUP($A964,MAGAZZINO!$B$2:$M$4838,5,FALSE)</f>
        <v/>
      </c>
      <c r="F964" s="17">
        <f>+VLOOKUP($A964,MAGAZZINO!$B$2:$M$4838,6,FALSE)</f>
        <v/>
      </c>
      <c r="G964" s="17">
        <f>+VLOOKUP($A964,MAGAZZINO!$B$2:$M$4838,7,FALSE)</f>
        <v/>
      </c>
      <c r="H964" s="17">
        <f>+VLOOKUP($A964,MAGAZZINO!$B$2:$M$4838,8,FALSE)</f>
        <v/>
      </c>
      <c r="I964" s="17">
        <f>+VLOOKUP($A964,MAGAZZINO!$B$2:$M$4838,9,FALSE)</f>
        <v/>
      </c>
      <c r="J964" s="17">
        <f>+VLOOKUP($A964,MAGAZZINO!$B$2:$M$4838,10,FALSE)</f>
        <v/>
      </c>
      <c r="K964" s="17">
        <f>+VLOOKUP($A964,MAGAZZINO!$B$2:$M$4838,11,FALSE)</f>
        <v/>
      </c>
      <c r="L964" s="44">
        <f>+VLOOKUP($A964,MAGAZZINO!$B$2:$M$4838,12,FALSE)</f>
        <v/>
      </c>
    </row>
    <row r="965" ht="36" customHeight="1">
      <c r="A965" s="30">
        <f>+REGISTRO!A948</f>
        <v/>
      </c>
      <c r="B965" s="31">
        <f>+VLOOKUP($A965,MAGAZZINO!$B$2:$M$4838,2,FALSE)</f>
        <v/>
      </c>
      <c r="C965" s="32">
        <f>+VLOOKUP($A965,MAGAZZINO!$B$2:$M$4838,3,FALSE)</f>
        <v/>
      </c>
      <c r="D965" s="17">
        <f>+VLOOKUP($A965,MAGAZZINO!$B$2:$M$4838,4,FALSE)</f>
        <v/>
      </c>
      <c r="E965" s="17">
        <f>+VLOOKUP($A965,MAGAZZINO!$B$2:$M$4838,5,FALSE)</f>
        <v/>
      </c>
      <c r="F965" s="17">
        <f>+VLOOKUP($A965,MAGAZZINO!$B$2:$M$4838,6,FALSE)</f>
        <v/>
      </c>
      <c r="G965" s="17">
        <f>+VLOOKUP($A965,MAGAZZINO!$B$2:$M$4838,7,FALSE)</f>
        <v/>
      </c>
      <c r="H965" s="17">
        <f>+VLOOKUP($A965,MAGAZZINO!$B$2:$M$4838,8,FALSE)</f>
        <v/>
      </c>
      <c r="I965" s="17">
        <f>+VLOOKUP($A965,MAGAZZINO!$B$2:$M$4838,9,FALSE)</f>
        <v/>
      </c>
      <c r="J965" s="17">
        <f>+VLOOKUP($A965,MAGAZZINO!$B$2:$M$4838,10,FALSE)</f>
        <v/>
      </c>
      <c r="K965" s="17">
        <f>+VLOOKUP($A965,MAGAZZINO!$B$2:$M$4838,11,FALSE)</f>
        <v/>
      </c>
      <c r="L965" s="44">
        <f>+VLOOKUP($A965,MAGAZZINO!$B$2:$M$4838,12,FALSE)</f>
        <v/>
      </c>
    </row>
    <row r="966" ht="36" customHeight="1">
      <c r="A966" s="30">
        <f>+REGISTRO!A949</f>
        <v/>
      </c>
      <c r="B966" s="31">
        <f>+VLOOKUP($A966,MAGAZZINO!$B$2:$M$4838,2,FALSE)</f>
        <v/>
      </c>
      <c r="C966" s="32">
        <f>+VLOOKUP($A966,MAGAZZINO!$B$2:$M$4838,3,FALSE)</f>
        <v/>
      </c>
      <c r="D966" s="17">
        <f>+VLOOKUP($A966,MAGAZZINO!$B$2:$M$4838,4,FALSE)</f>
        <v/>
      </c>
      <c r="E966" s="17">
        <f>+VLOOKUP($A966,MAGAZZINO!$B$2:$M$4838,5,FALSE)</f>
        <v/>
      </c>
      <c r="F966" s="17">
        <f>+VLOOKUP($A966,MAGAZZINO!$B$2:$M$4838,6,FALSE)</f>
        <v/>
      </c>
      <c r="G966" s="17">
        <f>+VLOOKUP($A966,MAGAZZINO!$B$2:$M$4838,7,FALSE)</f>
        <v/>
      </c>
      <c r="H966" s="17">
        <f>+VLOOKUP($A966,MAGAZZINO!$B$2:$M$4838,8,FALSE)</f>
        <v/>
      </c>
      <c r="I966" s="17">
        <f>+VLOOKUP($A966,MAGAZZINO!$B$2:$M$4838,9,FALSE)</f>
        <v/>
      </c>
      <c r="J966" s="17">
        <f>+VLOOKUP($A966,MAGAZZINO!$B$2:$M$4838,10,FALSE)</f>
        <v/>
      </c>
      <c r="K966" s="17">
        <f>+VLOOKUP($A966,MAGAZZINO!$B$2:$M$4838,11,FALSE)</f>
        <v/>
      </c>
      <c r="L966" s="44">
        <f>+VLOOKUP($A966,MAGAZZINO!$B$2:$M$4838,12,FALSE)</f>
        <v/>
      </c>
    </row>
    <row r="967" ht="36" customHeight="1">
      <c r="A967" s="30">
        <f>+REGISTRO!A950</f>
        <v/>
      </c>
      <c r="B967" s="31">
        <f>+VLOOKUP($A967,MAGAZZINO!$B$2:$M$4838,2,FALSE)</f>
        <v/>
      </c>
      <c r="C967" s="32">
        <f>+VLOOKUP($A967,MAGAZZINO!$B$2:$M$4838,3,FALSE)</f>
        <v/>
      </c>
      <c r="D967" s="17">
        <f>+VLOOKUP($A967,MAGAZZINO!$B$2:$M$4838,4,FALSE)</f>
        <v/>
      </c>
      <c r="E967" s="17">
        <f>+VLOOKUP($A967,MAGAZZINO!$B$2:$M$4838,5,FALSE)</f>
        <v/>
      </c>
      <c r="F967" s="17">
        <f>+VLOOKUP($A967,MAGAZZINO!$B$2:$M$4838,6,FALSE)</f>
        <v/>
      </c>
      <c r="G967" s="17">
        <f>+VLOOKUP($A967,MAGAZZINO!$B$2:$M$4838,7,FALSE)</f>
        <v/>
      </c>
      <c r="H967" s="17">
        <f>+VLOOKUP($A967,MAGAZZINO!$B$2:$M$4838,8,FALSE)</f>
        <v/>
      </c>
      <c r="I967" s="17">
        <f>+VLOOKUP($A967,MAGAZZINO!$B$2:$M$4838,9,FALSE)</f>
        <v/>
      </c>
      <c r="J967" s="17">
        <f>+VLOOKUP($A967,MAGAZZINO!$B$2:$M$4838,10,FALSE)</f>
        <v/>
      </c>
      <c r="K967" s="17">
        <f>+VLOOKUP($A967,MAGAZZINO!$B$2:$M$4838,11,FALSE)</f>
        <v/>
      </c>
      <c r="L967" s="44">
        <f>+VLOOKUP($A967,MAGAZZINO!$B$2:$M$4838,12,FALSE)</f>
        <v/>
      </c>
    </row>
    <row r="968" ht="36" customHeight="1">
      <c r="A968" s="30">
        <f>+REGISTRO!A951</f>
        <v/>
      </c>
      <c r="B968" s="31">
        <f>+VLOOKUP($A968,MAGAZZINO!$B$2:$M$4838,2,FALSE)</f>
        <v/>
      </c>
      <c r="C968" s="32">
        <f>+VLOOKUP($A968,MAGAZZINO!$B$2:$M$4838,3,FALSE)</f>
        <v/>
      </c>
      <c r="D968" s="17">
        <f>+VLOOKUP($A968,MAGAZZINO!$B$2:$M$4838,4,FALSE)</f>
        <v/>
      </c>
      <c r="E968" s="17">
        <f>+VLOOKUP($A968,MAGAZZINO!$B$2:$M$4838,5,FALSE)</f>
        <v/>
      </c>
      <c r="F968" s="17">
        <f>+VLOOKUP($A968,MAGAZZINO!$B$2:$M$4838,6,FALSE)</f>
        <v/>
      </c>
      <c r="G968" s="17">
        <f>+VLOOKUP($A968,MAGAZZINO!$B$2:$M$4838,7,FALSE)</f>
        <v/>
      </c>
      <c r="H968" s="17">
        <f>+VLOOKUP($A968,MAGAZZINO!$B$2:$M$4838,8,FALSE)</f>
        <v/>
      </c>
      <c r="I968" s="17">
        <f>+VLOOKUP($A968,MAGAZZINO!$B$2:$M$4838,9,FALSE)</f>
        <v/>
      </c>
      <c r="J968" s="17">
        <f>+VLOOKUP($A968,MAGAZZINO!$B$2:$M$4838,10,FALSE)</f>
        <v/>
      </c>
      <c r="K968" s="17">
        <f>+VLOOKUP($A968,MAGAZZINO!$B$2:$M$4838,11,FALSE)</f>
        <v/>
      </c>
      <c r="L968" s="44">
        <f>+VLOOKUP($A968,MAGAZZINO!$B$2:$M$4838,12,FALSE)</f>
        <v/>
      </c>
    </row>
    <row r="969" ht="36" customHeight="1">
      <c r="A969" s="30">
        <f>+REGISTRO!A952</f>
        <v/>
      </c>
      <c r="B969" s="31">
        <f>+VLOOKUP($A969,MAGAZZINO!$B$2:$M$4838,2,FALSE)</f>
        <v/>
      </c>
      <c r="C969" s="32">
        <f>+VLOOKUP($A969,MAGAZZINO!$B$2:$M$4838,3,FALSE)</f>
        <v/>
      </c>
      <c r="D969" s="17">
        <f>+VLOOKUP($A969,MAGAZZINO!$B$2:$M$4838,4,FALSE)</f>
        <v/>
      </c>
      <c r="E969" s="17">
        <f>+VLOOKUP($A969,MAGAZZINO!$B$2:$M$4838,5,FALSE)</f>
        <v/>
      </c>
      <c r="F969" s="17">
        <f>+VLOOKUP($A969,MAGAZZINO!$B$2:$M$4838,6,FALSE)</f>
        <v/>
      </c>
      <c r="G969" s="17">
        <f>+VLOOKUP($A969,MAGAZZINO!$B$2:$M$4838,7,FALSE)</f>
        <v/>
      </c>
      <c r="H969" s="17">
        <f>+VLOOKUP($A969,MAGAZZINO!$B$2:$M$4838,8,FALSE)</f>
        <v/>
      </c>
      <c r="I969" s="17">
        <f>+VLOOKUP($A969,MAGAZZINO!$B$2:$M$4838,9,FALSE)</f>
        <v/>
      </c>
      <c r="J969" s="17">
        <f>+VLOOKUP($A969,MAGAZZINO!$B$2:$M$4838,10,FALSE)</f>
        <v/>
      </c>
      <c r="K969" s="17">
        <f>+VLOOKUP($A969,MAGAZZINO!$B$2:$M$4838,11,FALSE)</f>
        <v/>
      </c>
      <c r="L969" s="44">
        <f>+VLOOKUP($A969,MAGAZZINO!$B$2:$M$4838,12,FALSE)</f>
        <v/>
      </c>
    </row>
    <row r="970" ht="36" customHeight="1">
      <c r="A970" s="30">
        <f>+REGISTRO!A953</f>
        <v/>
      </c>
      <c r="B970" s="31">
        <f>+VLOOKUP($A970,MAGAZZINO!$B$2:$M$4838,2,FALSE)</f>
        <v/>
      </c>
      <c r="C970" s="32">
        <f>+VLOOKUP($A970,MAGAZZINO!$B$2:$M$4838,3,FALSE)</f>
        <v/>
      </c>
      <c r="D970" s="17">
        <f>+VLOOKUP($A970,MAGAZZINO!$B$2:$M$4838,4,FALSE)</f>
        <v/>
      </c>
      <c r="E970" s="17">
        <f>+VLOOKUP($A970,MAGAZZINO!$B$2:$M$4838,5,FALSE)</f>
        <v/>
      </c>
      <c r="F970" s="17">
        <f>+VLOOKUP($A970,MAGAZZINO!$B$2:$M$4838,6,FALSE)</f>
        <v/>
      </c>
      <c r="G970" s="17">
        <f>+VLOOKUP($A970,MAGAZZINO!$B$2:$M$4838,7,FALSE)</f>
        <v/>
      </c>
      <c r="H970" s="17">
        <f>+VLOOKUP($A970,MAGAZZINO!$B$2:$M$4838,8,FALSE)</f>
        <v/>
      </c>
      <c r="I970" s="17">
        <f>+VLOOKUP($A970,MAGAZZINO!$B$2:$M$4838,9,FALSE)</f>
        <v/>
      </c>
      <c r="J970" s="17">
        <f>+VLOOKUP($A970,MAGAZZINO!$B$2:$M$4838,10,FALSE)</f>
        <v/>
      </c>
      <c r="K970" s="17">
        <f>+VLOOKUP($A970,MAGAZZINO!$B$2:$M$4838,11,FALSE)</f>
        <v/>
      </c>
      <c r="L970" s="44">
        <f>+VLOOKUP($A970,MAGAZZINO!$B$2:$M$4838,12,FALSE)</f>
        <v/>
      </c>
    </row>
    <row r="971" ht="36" customHeight="1">
      <c r="A971" s="30">
        <f>+REGISTRO!A954</f>
        <v/>
      </c>
      <c r="B971" s="31">
        <f>+VLOOKUP($A971,MAGAZZINO!$B$2:$M$4838,2,FALSE)</f>
        <v/>
      </c>
      <c r="C971" s="32">
        <f>+VLOOKUP($A971,MAGAZZINO!$B$2:$M$4838,3,FALSE)</f>
        <v/>
      </c>
      <c r="D971" s="17">
        <f>+VLOOKUP($A971,MAGAZZINO!$B$2:$M$4838,4,FALSE)</f>
        <v/>
      </c>
      <c r="E971" s="17">
        <f>+VLOOKUP($A971,MAGAZZINO!$B$2:$M$4838,5,FALSE)</f>
        <v/>
      </c>
      <c r="F971" s="17">
        <f>+VLOOKUP($A971,MAGAZZINO!$B$2:$M$4838,6,FALSE)</f>
        <v/>
      </c>
      <c r="G971" s="17">
        <f>+VLOOKUP($A971,MAGAZZINO!$B$2:$M$4838,7,FALSE)</f>
        <v/>
      </c>
      <c r="H971" s="17">
        <f>+VLOOKUP($A971,MAGAZZINO!$B$2:$M$4838,8,FALSE)</f>
        <v/>
      </c>
      <c r="I971" s="17">
        <f>+VLOOKUP($A971,MAGAZZINO!$B$2:$M$4838,9,FALSE)</f>
        <v/>
      </c>
      <c r="J971" s="17">
        <f>+VLOOKUP($A971,MAGAZZINO!$B$2:$M$4838,10,FALSE)</f>
        <v/>
      </c>
      <c r="K971" s="17">
        <f>+VLOOKUP($A971,MAGAZZINO!$B$2:$M$4838,11,FALSE)</f>
        <v/>
      </c>
      <c r="L971" s="44">
        <f>+VLOOKUP($A971,MAGAZZINO!$B$2:$M$4838,12,FALSE)</f>
        <v/>
      </c>
    </row>
    <row r="972" ht="36" customHeight="1">
      <c r="A972" s="30">
        <f>+REGISTRO!A955</f>
        <v/>
      </c>
      <c r="B972" s="31">
        <f>+VLOOKUP($A972,MAGAZZINO!$B$2:$M$4838,2,FALSE)</f>
        <v/>
      </c>
      <c r="C972" s="32">
        <f>+VLOOKUP($A972,MAGAZZINO!$B$2:$M$4838,3,FALSE)</f>
        <v/>
      </c>
      <c r="D972" s="17">
        <f>+VLOOKUP($A972,MAGAZZINO!$B$2:$M$4838,4,FALSE)</f>
        <v/>
      </c>
      <c r="E972" s="17">
        <f>+VLOOKUP($A972,MAGAZZINO!$B$2:$M$4838,5,FALSE)</f>
        <v/>
      </c>
      <c r="F972" s="17">
        <f>+VLOOKUP($A972,MAGAZZINO!$B$2:$M$4838,6,FALSE)</f>
        <v/>
      </c>
      <c r="G972" s="17">
        <f>+VLOOKUP($A972,MAGAZZINO!$B$2:$M$4838,7,FALSE)</f>
        <v/>
      </c>
      <c r="H972" s="17">
        <f>+VLOOKUP($A972,MAGAZZINO!$B$2:$M$4838,8,FALSE)</f>
        <v/>
      </c>
      <c r="I972" s="17">
        <f>+VLOOKUP($A972,MAGAZZINO!$B$2:$M$4838,9,FALSE)</f>
        <v/>
      </c>
      <c r="J972" s="17">
        <f>+VLOOKUP($A972,MAGAZZINO!$B$2:$M$4838,10,FALSE)</f>
        <v/>
      </c>
      <c r="K972" s="17">
        <f>+VLOOKUP($A972,MAGAZZINO!$B$2:$M$4838,11,FALSE)</f>
        <v/>
      </c>
      <c r="L972" s="44">
        <f>+VLOOKUP($A972,MAGAZZINO!$B$2:$M$4838,12,FALSE)</f>
        <v/>
      </c>
    </row>
    <row r="973" ht="36" customHeight="1">
      <c r="A973" s="30">
        <f>+REGISTRO!A956</f>
        <v/>
      </c>
      <c r="B973" s="31">
        <f>+VLOOKUP($A973,MAGAZZINO!$B$2:$M$4838,2,FALSE)</f>
        <v/>
      </c>
      <c r="C973" s="32">
        <f>+VLOOKUP($A973,MAGAZZINO!$B$2:$M$4838,3,FALSE)</f>
        <v/>
      </c>
      <c r="D973" s="17">
        <f>+VLOOKUP($A973,MAGAZZINO!$B$2:$M$4838,4,FALSE)</f>
        <v/>
      </c>
      <c r="E973" s="17">
        <f>+VLOOKUP($A973,MAGAZZINO!$B$2:$M$4838,5,FALSE)</f>
        <v/>
      </c>
      <c r="F973" s="17">
        <f>+VLOOKUP($A973,MAGAZZINO!$B$2:$M$4838,6,FALSE)</f>
        <v/>
      </c>
      <c r="G973" s="17">
        <f>+VLOOKUP($A973,MAGAZZINO!$B$2:$M$4838,7,FALSE)</f>
        <v/>
      </c>
      <c r="H973" s="17">
        <f>+VLOOKUP($A973,MAGAZZINO!$B$2:$M$4838,8,FALSE)</f>
        <v/>
      </c>
      <c r="I973" s="17">
        <f>+VLOOKUP($A973,MAGAZZINO!$B$2:$M$4838,9,FALSE)</f>
        <v/>
      </c>
      <c r="J973" s="17">
        <f>+VLOOKUP($A973,MAGAZZINO!$B$2:$M$4838,10,FALSE)</f>
        <v/>
      </c>
      <c r="K973" s="17">
        <f>+VLOOKUP($A973,MAGAZZINO!$B$2:$M$4838,11,FALSE)</f>
        <v/>
      </c>
      <c r="L973" s="44">
        <f>+VLOOKUP($A973,MAGAZZINO!$B$2:$M$4838,12,FALSE)</f>
        <v/>
      </c>
    </row>
    <row r="974" ht="36" customHeight="1">
      <c r="A974" s="30">
        <f>+REGISTRO!A957</f>
        <v/>
      </c>
      <c r="B974" s="31">
        <f>+VLOOKUP($A974,MAGAZZINO!$B$2:$M$4838,2,FALSE)</f>
        <v/>
      </c>
      <c r="C974" s="32">
        <f>+VLOOKUP($A974,MAGAZZINO!$B$2:$M$4838,3,FALSE)</f>
        <v/>
      </c>
      <c r="D974" s="17">
        <f>+VLOOKUP($A974,MAGAZZINO!$B$2:$M$4838,4,FALSE)</f>
        <v/>
      </c>
      <c r="E974" s="17">
        <f>+VLOOKUP($A974,MAGAZZINO!$B$2:$M$4838,5,FALSE)</f>
        <v/>
      </c>
      <c r="F974" s="17">
        <f>+VLOOKUP($A974,MAGAZZINO!$B$2:$M$4838,6,FALSE)</f>
        <v/>
      </c>
      <c r="G974" s="17">
        <f>+VLOOKUP($A974,MAGAZZINO!$B$2:$M$4838,7,FALSE)</f>
        <v/>
      </c>
      <c r="H974" s="17">
        <f>+VLOOKUP($A974,MAGAZZINO!$B$2:$M$4838,8,FALSE)</f>
        <v/>
      </c>
      <c r="I974" s="17">
        <f>+VLOOKUP($A974,MAGAZZINO!$B$2:$M$4838,9,FALSE)</f>
        <v/>
      </c>
      <c r="J974" s="17">
        <f>+VLOOKUP($A974,MAGAZZINO!$B$2:$M$4838,10,FALSE)</f>
        <v/>
      </c>
      <c r="K974" s="17">
        <f>+VLOOKUP($A974,MAGAZZINO!$B$2:$M$4838,11,FALSE)</f>
        <v/>
      </c>
      <c r="L974" s="44">
        <f>+VLOOKUP($A974,MAGAZZINO!$B$2:$M$4838,12,FALSE)</f>
        <v/>
      </c>
    </row>
    <row r="975" ht="36" customHeight="1">
      <c r="A975" s="30">
        <f>+REGISTRO!A958</f>
        <v/>
      </c>
      <c r="B975" s="31">
        <f>+VLOOKUP($A975,MAGAZZINO!$B$2:$M$4838,2,FALSE)</f>
        <v/>
      </c>
      <c r="C975" s="32">
        <f>+VLOOKUP($A975,MAGAZZINO!$B$2:$M$4838,3,FALSE)</f>
        <v/>
      </c>
      <c r="D975" s="17">
        <f>+VLOOKUP($A975,MAGAZZINO!$B$2:$M$4838,4,FALSE)</f>
        <v/>
      </c>
      <c r="E975" s="17">
        <f>+VLOOKUP($A975,MAGAZZINO!$B$2:$M$4838,5,FALSE)</f>
        <v/>
      </c>
      <c r="F975" s="17">
        <f>+VLOOKUP($A975,MAGAZZINO!$B$2:$M$4838,6,FALSE)</f>
        <v/>
      </c>
      <c r="G975" s="17">
        <f>+VLOOKUP($A975,MAGAZZINO!$B$2:$M$4838,7,FALSE)</f>
        <v/>
      </c>
      <c r="H975" s="17">
        <f>+VLOOKUP($A975,MAGAZZINO!$B$2:$M$4838,8,FALSE)</f>
        <v/>
      </c>
      <c r="I975" s="17">
        <f>+VLOOKUP($A975,MAGAZZINO!$B$2:$M$4838,9,FALSE)</f>
        <v/>
      </c>
      <c r="J975" s="17">
        <f>+VLOOKUP($A975,MAGAZZINO!$B$2:$M$4838,10,FALSE)</f>
        <v/>
      </c>
      <c r="K975" s="17">
        <f>+VLOOKUP($A975,MAGAZZINO!$B$2:$M$4838,11,FALSE)</f>
        <v/>
      </c>
      <c r="L975" s="44">
        <f>+VLOOKUP($A975,MAGAZZINO!$B$2:$M$4838,12,FALSE)</f>
        <v/>
      </c>
    </row>
    <row r="976" ht="36" customHeight="1">
      <c r="A976" s="30">
        <f>+REGISTRO!A959</f>
        <v/>
      </c>
      <c r="B976" s="31">
        <f>+VLOOKUP($A976,MAGAZZINO!$B$2:$M$4838,2,FALSE)</f>
        <v/>
      </c>
      <c r="C976" s="32">
        <f>+VLOOKUP($A976,MAGAZZINO!$B$2:$M$4838,3,FALSE)</f>
        <v/>
      </c>
      <c r="D976" s="17">
        <f>+VLOOKUP($A976,MAGAZZINO!$B$2:$M$4838,4,FALSE)</f>
        <v/>
      </c>
      <c r="E976" s="17">
        <f>+VLOOKUP($A976,MAGAZZINO!$B$2:$M$4838,5,FALSE)</f>
        <v/>
      </c>
      <c r="F976" s="17">
        <f>+VLOOKUP($A976,MAGAZZINO!$B$2:$M$4838,6,FALSE)</f>
        <v/>
      </c>
      <c r="G976" s="17">
        <f>+VLOOKUP($A976,MAGAZZINO!$B$2:$M$4838,7,FALSE)</f>
        <v/>
      </c>
      <c r="H976" s="17">
        <f>+VLOOKUP($A976,MAGAZZINO!$B$2:$M$4838,8,FALSE)</f>
        <v/>
      </c>
      <c r="I976" s="17">
        <f>+VLOOKUP($A976,MAGAZZINO!$B$2:$M$4838,9,FALSE)</f>
        <v/>
      </c>
      <c r="J976" s="17">
        <f>+VLOOKUP($A976,MAGAZZINO!$B$2:$M$4838,10,FALSE)</f>
        <v/>
      </c>
      <c r="K976" s="17">
        <f>+VLOOKUP($A976,MAGAZZINO!$B$2:$M$4838,11,FALSE)</f>
        <v/>
      </c>
      <c r="L976" s="44">
        <f>+VLOOKUP($A976,MAGAZZINO!$B$2:$M$4838,12,FALSE)</f>
        <v/>
      </c>
    </row>
    <row r="977" ht="36" customHeight="1">
      <c r="A977" s="30">
        <f>+REGISTRO!A960</f>
        <v/>
      </c>
      <c r="B977" s="31">
        <f>+VLOOKUP($A977,MAGAZZINO!$B$2:$M$4838,2,FALSE)</f>
        <v/>
      </c>
      <c r="C977" s="32">
        <f>+VLOOKUP($A977,MAGAZZINO!$B$2:$M$4838,3,FALSE)</f>
        <v/>
      </c>
      <c r="D977" s="17">
        <f>+VLOOKUP($A977,MAGAZZINO!$B$2:$M$4838,4,FALSE)</f>
        <v/>
      </c>
      <c r="E977" s="17">
        <f>+VLOOKUP($A977,MAGAZZINO!$B$2:$M$4838,5,FALSE)</f>
        <v/>
      </c>
      <c r="F977" s="17">
        <f>+VLOOKUP($A977,MAGAZZINO!$B$2:$M$4838,6,FALSE)</f>
        <v/>
      </c>
      <c r="G977" s="17">
        <f>+VLOOKUP($A977,MAGAZZINO!$B$2:$M$4838,7,FALSE)</f>
        <v/>
      </c>
      <c r="H977" s="17">
        <f>+VLOOKUP($A977,MAGAZZINO!$B$2:$M$4838,8,FALSE)</f>
        <v/>
      </c>
      <c r="I977" s="17">
        <f>+VLOOKUP($A977,MAGAZZINO!$B$2:$M$4838,9,FALSE)</f>
        <v/>
      </c>
      <c r="J977" s="17">
        <f>+VLOOKUP($A977,MAGAZZINO!$B$2:$M$4838,10,FALSE)</f>
        <v/>
      </c>
      <c r="K977" s="17">
        <f>+VLOOKUP($A977,MAGAZZINO!$B$2:$M$4838,11,FALSE)</f>
        <v/>
      </c>
      <c r="L977" s="44">
        <f>+VLOOKUP($A977,MAGAZZINO!$B$2:$M$4838,12,FALSE)</f>
        <v/>
      </c>
    </row>
    <row r="978" ht="36" customHeight="1">
      <c r="A978" s="30">
        <f>+REGISTRO!A961</f>
        <v/>
      </c>
      <c r="B978" s="31">
        <f>+VLOOKUP($A978,MAGAZZINO!$B$2:$M$4838,2,FALSE)</f>
        <v/>
      </c>
      <c r="C978" s="32">
        <f>+VLOOKUP($A978,MAGAZZINO!$B$2:$M$4838,3,FALSE)</f>
        <v/>
      </c>
      <c r="D978" s="17">
        <f>+VLOOKUP($A978,MAGAZZINO!$B$2:$M$4838,4,FALSE)</f>
        <v/>
      </c>
      <c r="E978" s="17">
        <f>+VLOOKUP($A978,MAGAZZINO!$B$2:$M$4838,5,FALSE)</f>
        <v/>
      </c>
      <c r="F978" s="17">
        <f>+VLOOKUP($A978,MAGAZZINO!$B$2:$M$4838,6,FALSE)</f>
        <v/>
      </c>
      <c r="G978" s="17">
        <f>+VLOOKUP($A978,MAGAZZINO!$B$2:$M$4838,7,FALSE)</f>
        <v/>
      </c>
      <c r="H978" s="17">
        <f>+VLOOKUP($A978,MAGAZZINO!$B$2:$M$4838,8,FALSE)</f>
        <v/>
      </c>
      <c r="I978" s="17">
        <f>+VLOOKUP($A978,MAGAZZINO!$B$2:$M$4838,9,FALSE)</f>
        <v/>
      </c>
      <c r="J978" s="17">
        <f>+VLOOKUP($A978,MAGAZZINO!$B$2:$M$4838,10,FALSE)</f>
        <v/>
      </c>
      <c r="K978" s="17">
        <f>+VLOOKUP($A978,MAGAZZINO!$B$2:$M$4838,11,FALSE)</f>
        <v/>
      </c>
      <c r="L978" s="44">
        <f>+VLOOKUP($A978,MAGAZZINO!$B$2:$M$4838,12,FALSE)</f>
        <v/>
      </c>
    </row>
    <row r="979" ht="36" customHeight="1">
      <c r="A979" s="30">
        <f>+REGISTRO!A962</f>
        <v/>
      </c>
      <c r="B979" s="31">
        <f>+VLOOKUP($A979,MAGAZZINO!$B$2:$M$4838,2,FALSE)</f>
        <v/>
      </c>
      <c r="C979" s="32">
        <f>+VLOOKUP($A979,MAGAZZINO!$B$2:$M$4838,3,FALSE)</f>
        <v/>
      </c>
      <c r="D979" s="17">
        <f>+VLOOKUP($A979,MAGAZZINO!$B$2:$M$4838,4,FALSE)</f>
        <v/>
      </c>
      <c r="E979" s="17">
        <f>+VLOOKUP($A979,MAGAZZINO!$B$2:$M$4838,5,FALSE)</f>
        <v/>
      </c>
      <c r="F979" s="17">
        <f>+VLOOKUP($A979,MAGAZZINO!$B$2:$M$4838,6,FALSE)</f>
        <v/>
      </c>
      <c r="G979" s="17">
        <f>+VLOOKUP($A979,MAGAZZINO!$B$2:$M$4838,7,FALSE)</f>
        <v/>
      </c>
      <c r="H979" s="17">
        <f>+VLOOKUP($A979,MAGAZZINO!$B$2:$M$4838,8,FALSE)</f>
        <v/>
      </c>
      <c r="I979" s="17">
        <f>+VLOOKUP($A979,MAGAZZINO!$B$2:$M$4838,9,FALSE)</f>
        <v/>
      </c>
      <c r="J979" s="17">
        <f>+VLOOKUP($A979,MAGAZZINO!$B$2:$M$4838,10,FALSE)</f>
        <v/>
      </c>
      <c r="K979" s="17">
        <f>+VLOOKUP($A979,MAGAZZINO!$B$2:$M$4838,11,FALSE)</f>
        <v/>
      </c>
      <c r="L979" s="44">
        <f>+VLOOKUP($A979,MAGAZZINO!$B$2:$M$4838,12,FALSE)</f>
        <v/>
      </c>
    </row>
    <row r="980" ht="36" customHeight="1">
      <c r="A980" s="30">
        <f>+REGISTRO!A963</f>
        <v/>
      </c>
      <c r="B980" s="31">
        <f>+VLOOKUP($A980,MAGAZZINO!$B$2:$M$4838,2,FALSE)</f>
        <v/>
      </c>
      <c r="C980" s="32">
        <f>+VLOOKUP($A980,MAGAZZINO!$B$2:$M$4838,3,FALSE)</f>
        <v/>
      </c>
      <c r="D980" s="17">
        <f>+VLOOKUP($A980,MAGAZZINO!$B$2:$M$4838,4,FALSE)</f>
        <v/>
      </c>
      <c r="E980" s="17">
        <f>+VLOOKUP($A980,MAGAZZINO!$B$2:$M$4838,5,FALSE)</f>
        <v/>
      </c>
      <c r="F980" s="17">
        <f>+VLOOKUP($A980,MAGAZZINO!$B$2:$M$4838,6,FALSE)</f>
        <v/>
      </c>
      <c r="G980" s="17">
        <f>+VLOOKUP($A980,MAGAZZINO!$B$2:$M$4838,7,FALSE)</f>
        <v/>
      </c>
      <c r="H980" s="17">
        <f>+VLOOKUP($A980,MAGAZZINO!$B$2:$M$4838,8,FALSE)</f>
        <v/>
      </c>
      <c r="I980" s="17">
        <f>+VLOOKUP($A980,MAGAZZINO!$B$2:$M$4838,9,FALSE)</f>
        <v/>
      </c>
      <c r="J980" s="17">
        <f>+VLOOKUP($A980,MAGAZZINO!$B$2:$M$4838,10,FALSE)</f>
        <v/>
      </c>
      <c r="K980" s="17">
        <f>+VLOOKUP($A980,MAGAZZINO!$B$2:$M$4838,11,FALSE)</f>
        <v/>
      </c>
      <c r="L980" s="44">
        <f>+VLOOKUP($A980,MAGAZZINO!$B$2:$M$4838,12,FALSE)</f>
        <v/>
      </c>
    </row>
    <row r="981" ht="36" customHeight="1">
      <c r="A981" s="30">
        <f>+REGISTRO!A964</f>
        <v/>
      </c>
      <c r="B981" s="31">
        <f>+VLOOKUP($A981,MAGAZZINO!$B$2:$M$4838,2,FALSE)</f>
        <v/>
      </c>
      <c r="C981" s="32">
        <f>+VLOOKUP($A981,MAGAZZINO!$B$2:$M$4838,3,FALSE)</f>
        <v/>
      </c>
      <c r="D981" s="17">
        <f>+VLOOKUP($A981,MAGAZZINO!$B$2:$M$4838,4,FALSE)</f>
        <v/>
      </c>
      <c r="E981" s="17">
        <f>+VLOOKUP($A981,MAGAZZINO!$B$2:$M$4838,5,FALSE)</f>
        <v/>
      </c>
      <c r="F981" s="17">
        <f>+VLOOKUP($A981,MAGAZZINO!$B$2:$M$4838,6,FALSE)</f>
        <v/>
      </c>
      <c r="G981" s="17">
        <f>+VLOOKUP($A981,MAGAZZINO!$B$2:$M$4838,7,FALSE)</f>
        <v/>
      </c>
      <c r="H981" s="17">
        <f>+VLOOKUP($A981,MAGAZZINO!$B$2:$M$4838,8,FALSE)</f>
        <v/>
      </c>
      <c r="I981" s="17">
        <f>+VLOOKUP($A981,MAGAZZINO!$B$2:$M$4838,9,FALSE)</f>
        <v/>
      </c>
      <c r="J981" s="17">
        <f>+VLOOKUP($A981,MAGAZZINO!$B$2:$M$4838,10,FALSE)</f>
        <v/>
      </c>
      <c r="K981" s="17">
        <f>+VLOOKUP($A981,MAGAZZINO!$B$2:$M$4838,11,FALSE)</f>
        <v/>
      </c>
      <c r="L981" s="44">
        <f>+VLOOKUP($A981,MAGAZZINO!$B$2:$M$4838,12,FALSE)</f>
        <v/>
      </c>
    </row>
    <row r="982" ht="36" customHeight="1">
      <c r="A982" s="30">
        <f>+REGISTRO!A965</f>
        <v/>
      </c>
      <c r="B982" s="31">
        <f>+VLOOKUP($A982,MAGAZZINO!$B$2:$M$4838,2,FALSE)</f>
        <v/>
      </c>
      <c r="C982" s="32">
        <f>+VLOOKUP($A982,MAGAZZINO!$B$2:$M$4838,3,FALSE)</f>
        <v/>
      </c>
      <c r="D982" s="17">
        <f>+VLOOKUP($A982,MAGAZZINO!$B$2:$M$4838,4,FALSE)</f>
        <v/>
      </c>
      <c r="E982" s="17">
        <f>+VLOOKUP($A982,MAGAZZINO!$B$2:$M$4838,5,FALSE)</f>
        <v/>
      </c>
      <c r="F982" s="17">
        <f>+VLOOKUP($A982,MAGAZZINO!$B$2:$M$4838,6,FALSE)</f>
        <v/>
      </c>
      <c r="G982" s="17">
        <f>+VLOOKUP($A982,MAGAZZINO!$B$2:$M$4838,7,FALSE)</f>
        <v/>
      </c>
      <c r="H982" s="17">
        <f>+VLOOKUP($A982,MAGAZZINO!$B$2:$M$4838,8,FALSE)</f>
        <v/>
      </c>
      <c r="I982" s="17">
        <f>+VLOOKUP($A982,MAGAZZINO!$B$2:$M$4838,9,FALSE)</f>
        <v/>
      </c>
      <c r="J982" s="17">
        <f>+VLOOKUP($A982,MAGAZZINO!$B$2:$M$4838,10,FALSE)</f>
        <v/>
      </c>
      <c r="K982" s="17">
        <f>+VLOOKUP($A982,MAGAZZINO!$B$2:$M$4838,11,FALSE)</f>
        <v/>
      </c>
      <c r="L982" s="44">
        <f>+VLOOKUP($A982,MAGAZZINO!$B$2:$M$4838,12,FALSE)</f>
        <v/>
      </c>
    </row>
    <row r="983" ht="36" customHeight="1">
      <c r="A983" s="30">
        <f>+REGISTRO!A966</f>
        <v/>
      </c>
      <c r="B983" s="31">
        <f>+VLOOKUP($A983,MAGAZZINO!$B$2:$M$4838,2,FALSE)</f>
        <v/>
      </c>
      <c r="C983" s="32">
        <f>+VLOOKUP($A983,MAGAZZINO!$B$2:$M$4838,3,FALSE)</f>
        <v/>
      </c>
      <c r="D983" s="17">
        <f>+VLOOKUP($A983,MAGAZZINO!$B$2:$M$4838,4,FALSE)</f>
        <v/>
      </c>
      <c r="E983" s="17">
        <f>+VLOOKUP($A983,MAGAZZINO!$B$2:$M$4838,5,FALSE)</f>
        <v/>
      </c>
      <c r="F983" s="17">
        <f>+VLOOKUP($A983,MAGAZZINO!$B$2:$M$4838,6,FALSE)</f>
        <v/>
      </c>
      <c r="G983" s="17">
        <f>+VLOOKUP($A983,MAGAZZINO!$B$2:$M$4838,7,FALSE)</f>
        <v/>
      </c>
      <c r="H983" s="17">
        <f>+VLOOKUP($A983,MAGAZZINO!$B$2:$M$4838,8,FALSE)</f>
        <v/>
      </c>
      <c r="I983" s="17">
        <f>+VLOOKUP($A983,MAGAZZINO!$B$2:$M$4838,9,FALSE)</f>
        <v/>
      </c>
      <c r="J983" s="17">
        <f>+VLOOKUP($A983,MAGAZZINO!$B$2:$M$4838,10,FALSE)</f>
        <v/>
      </c>
      <c r="K983" s="17">
        <f>+VLOOKUP($A983,MAGAZZINO!$B$2:$M$4838,11,FALSE)</f>
        <v/>
      </c>
      <c r="L983" s="44">
        <f>+VLOOKUP($A983,MAGAZZINO!$B$2:$M$4838,12,FALSE)</f>
        <v/>
      </c>
    </row>
    <row r="984" ht="36" customHeight="1">
      <c r="A984" s="30">
        <f>+REGISTRO!A967</f>
        <v/>
      </c>
      <c r="B984" s="31">
        <f>+VLOOKUP($A984,MAGAZZINO!$B$2:$M$4838,2,FALSE)</f>
        <v/>
      </c>
      <c r="C984" s="32">
        <f>+VLOOKUP($A984,MAGAZZINO!$B$2:$M$4838,3,FALSE)</f>
        <v/>
      </c>
      <c r="D984" s="17">
        <f>+VLOOKUP($A984,MAGAZZINO!$B$2:$M$4838,4,FALSE)</f>
        <v/>
      </c>
      <c r="E984" s="17">
        <f>+VLOOKUP($A984,MAGAZZINO!$B$2:$M$4838,5,FALSE)</f>
        <v/>
      </c>
      <c r="F984" s="17">
        <f>+VLOOKUP($A984,MAGAZZINO!$B$2:$M$4838,6,FALSE)</f>
        <v/>
      </c>
      <c r="G984" s="17">
        <f>+VLOOKUP($A984,MAGAZZINO!$B$2:$M$4838,7,FALSE)</f>
        <v/>
      </c>
      <c r="H984" s="17">
        <f>+VLOOKUP($A984,MAGAZZINO!$B$2:$M$4838,8,FALSE)</f>
        <v/>
      </c>
      <c r="I984" s="17">
        <f>+VLOOKUP($A984,MAGAZZINO!$B$2:$M$4838,9,FALSE)</f>
        <v/>
      </c>
      <c r="J984" s="17">
        <f>+VLOOKUP($A984,MAGAZZINO!$B$2:$M$4838,10,FALSE)</f>
        <v/>
      </c>
      <c r="K984" s="17">
        <f>+VLOOKUP($A984,MAGAZZINO!$B$2:$M$4838,11,FALSE)</f>
        <v/>
      </c>
      <c r="L984" s="44">
        <f>+VLOOKUP($A984,MAGAZZINO!$B$2:$M$4838,12,FALSE)</f>
        <v/>
      </c>
    </row>
    <row r="985" ht="36" customHeight="1">
      <c r="A985" s="30">
        <f>+REGISTRO!A968</f>
        <v/>
      </c>
      <c r="B985" s="31">
        <f>+VLOOKUP($A985,MAGAZZINO!$B$2:$M$4838,2,FALSE)</f>
        <v/>
      </c>
      <c r="C985" s="32">
        <f>+VLOOKUP($A985,MAGAZZINO!$B$2:$M$4838,3,FALSE)</f>
        <v/>
      </c>
      <c r="D985" s="17">
        <f>+VLOOKUP($A985,MAGAZZINO!$B$2:$M$4838,4,FALSE)</f>
        <v/>
      </c>
      <c r="E985" s="17">
        <f>+VLOOKUP($A985,MAGAZZINO!$B$2:$M$4838,5,FALSE)</f>
        <v/>
      </c>
      <c r="F985" s="17">
        <f>+VLOOKUP($A985,MAGAZZINO!$B$2:$M$4838,6,FALSE)</f>
        <v/>
      </c>
      <c r="G985" s="17">
        <f>+VLOOKUP($A985,MAGAZZINO!$B$2:$M$4838,7,FALSE)</f>
        <v/>
      </c>
      <c r="H985" s="17">
        <f>+VLOOKUP($A985,MAGAZZINO!$B$2:$M$4838,8,FALSE)</f>
        <v/>
      </c>
      <c r="I985" s="17">
        <f>+VLOOKUP($A985,MAGAZZINO!$B$2:$M$4838,9,FALSE)</f>
        <v/>
      </c>
      <c r="J985" s="17">
        <f>+VLOOKUP($A985,MAGAZZINO!$B$2:$M$4838,10,FALSE)</f>
        <v/>
      </c>
      <c r="K985" s="17">
        <f>+VLOOKUP($A985,MAGAZZINO!$B$2:$M$4838,11,FALSE)</f>
        <v/>
      </c>
      <c r="L985" s="44">
        <f>+VLOOKUP($A985,MAGAZZINO!$B$2:$M$4838,12,FALSE)</f>
        <v/>
      </c>
    </row>
    <row r="986" ht="36" customHeight="1">
      <c r="A986" s="30">
        <f>+REGISTRO!A969</f>
        <v/>
      </c>
      <c r="B986" s="31">
        <f>+VLOOKUP($A986,MAGAZZINO!$B$2:$M$4838,2,FALSE)</f>
        <v/>
      </c>
      <c r="C986" s="32">
        <f>+VLOOKUP($A986,MAGAZZINO!$B$2:$M$4838,3,FALSE)</f>
        <v/>
      </c>
      <c r="D986" s="17">
        <f>+VLOOKUP($A986,MAGAZZINO!$B$2:$M$4838,4,FALSE)</f>
        <v/>
      </c>
      <c r="E986" s="17">
        <f>+VLOOKUP($A986,MAGAZZINO!$B$2:$M$4838,5,FALSE)</f>
        <v/>
      </c>
      <c r="F986" s="17">
        <f>+VLOOKUP($A986,MAGAZZINO!$B$2:$M$4838,6,FALSE)</f>
        <v/>
      </c>
      <c r="G986" s="17">
        <f>+VLOOKUP($A986,MAGAZZINO!$B$2:$M$4838,7,FALSE)</f>
        <v/>
      </c>
      <c r="H986" s="17">
        <f>+VLOOKUP($A986,MAGAZZINO!$B$2:$M$4838,8,FALSE)</f>
        <v/>
      </c>
      <c r="I986" s="17">
        <f>+VLOOKUP($A986,MAGAZZINO!$B$2:$M$4838,9,FALSE)</f>
        <v/>
      </c>
      <c r="J986" s="17">
        <f>+VLOOKUP($A986,MAGAZZINO!$B$2:$M$4838,10,FALSE)</f>
        <v/>
      </c>
      <c r="K986" s="17">
        <f>+VLOOKUP($A986,MAGAZZINO!$B$2:$M$4838,11,FALSE)</f>
        <v/>
      </c>
      <c r="L986" s="44">
        <f>+VLOOKUP($A986,MAGAZZINO!$B$2:$M$4838,12,FALSE)</f>
        <v/>
      </c>
    </row>
    <row r="987" ht="36" customHeight="1">
      <c r="A987" s="30">
        <f>+REGISTRO!A970</f>
        <v/>
      </c>
      <c r="B987" s="31">
        <f>+VLOOKUP($A987,MAGAZZINO!$B$2:$M$4838,2,FALSE)</f>
        <v/>
      </c>
      <c r="C987" s="32">
        <f>+VLOOKUP($A987,MAGAZZINO!$B$2:$M$4838,3,FALSE)</f>
        <v/>
      </c>
      <c r="D987" s="17">
        <f>+VLOOKUP($A987,MAGAZZINO!$B$2:$M$4838,4,FALSE)</f>
        <v/>
      </c>
      <c r="E987" s="17">
        <f>+VLOOKUP($A987,MAGAZZINO!$B$2:$M$4838,5,FALSE)</f>
        <v/>
      </c>
      <c r="F987" s="17">
        <f>+VLOOKUP($A987,MAGAZZINO!$B$2:$M$4838,6,FALSE)</f>
        <v/>
      </c>
      <c r="G987" s="17">
        <f>+VLOOKUP($A987,MAGAZZINO!$B$2:$M$4838,7,FALSE)</f>
        <v/>
      </c>
      <c r="H987" s="17">
        <f>+VLOOKUP($A987,MAGAZZINO!$B$2:$M$4838,8,FALSE)</f>
        <v/>
      </c>
      <c r="I987" s="17">
        <f>+VLOOKUP($A987,MAGAZZINO!$B$2:$M$4838,9,FALSE)</f>
        <v/>
      </c>
      <c r="J987" s="17">
        <f>+VLOOKUP($A987,MAGAZZINO!$B$2:$M$4838,10,FALSE)</f>
        <v/>
      </c>
      <c r="K987" s="17">
        <f>+VLOOKUP($A987,MAGAZZINO!$B$2:$M$4838,11,FALSE)</f>
        <v/>
      </c>
      <c r="L987" s="44">
        <f>+VLOOKUP($A987,MAGAZZINO!$B$2:$M$4838,12,FALSE)</f>
        <v/>
      </c>
    </row>
    <row r="988" ht="36" customHeight="1">
      <c r="A988" s="30">
        <f>+REGISTRO!A971</f>
        <v/>
      </c>
      <c r="B988" s="31">
        <f>+VLOOKUP($A988,MAGAZZINO!$B$2:$M$4838,2,FALSE)</f>
        <v/>
      </c>
      <c r="C988" s="32">
        <f>+VLOOKUP($A988,MAGAZZINO!$B$2:$M$4838,3,FALSE)</f>
        <v/>
      </c>
      <c r="D988" s="17">
        <f>+VLOOKUP($A988,MAGAZZINO!$B$2:$M$4838,4,FALSE)</f>
        <v/>
      </c>
      <c r="E988" s="17">
        <f>+VLOOKUP($A988,MAGAZZINO!$B$2:$M$4838,5,FALSE)</f>
        <v/>
      </c>
      <c r="F988" s="17">
        <f>+VLOOKUP($A988,MAGAZZINO!$B$2:$M$4838,6,FALSE)</f>
        <v/>
      </c>
      <c r="G988" s="17">
        <f>+VLOOKUP($A988,MAGAZZINO!$B$2:$M$4838,7,FALSE)</f>
        <v/>
      </c>
      <c r="H988" s="17">
        <f>+VLOOKUP($A988,MAGAZZINO!$B$2:$M$4838,8,FALSE)</f>
        <v/>
      </c>
      <c r="I988" s="17">
        <f>+VLOOKUP($A988,MAGAZZINO!$B$2:$M$4838,9,FALSE)</f>
        <v/>
      </c>
      <c r="J988" s="17">
        <f>+VLOOKUP($A988,MAGAZZINO!$B$2:$M$4838,10,FALSE)</f>
        <v/>
      </c>
      <c r="K988" s="17">
        <f>+VLOOKUP($A988,MAGAZZINO!$B$2:$M$4838,11,FALSE)</f>
        <v/>
      </c>
      <c r="L988" s="44">
        <f>+VLOOKUP($A988,MAGAZZINO!$B$2:$M$4838,12,FALSE)</f>
        <v/>
      </c>
    </row>
    <row r="989" ht="36" customHeight="1">
      <c r="A989" s="30">
        <f>+REGISTRO!A972</f>
        <v/>
      </c>
      <c r="B989" s="31">
        <f>+VLOOKUP($A989,MAGAZZINO!$B$2:$M$4838,2,FALSE)</f>
        <v/>
      </c>
      <c r="C989" s="32">
        <f>+VLOOKUP($A989,MAGAZZINO!$B$2:$M$4838,3,FALSE)</f>
        <v/>
      </c>
      <c r="D989" s="17">
        <f>+VLOOKUP($A989,MAGAZZINO!$B$2:$M$4838,4,FALSE)</f>
        <v/>
      </c>
      <c r="E989" s="17">
        <f>+VLOOKUP($A989,MAGAZZINO!$B$2:$M$4838,5,FALSE)</f>
        <v/>
      </c>
      <c r="F989" s="17">
        <f>+VLOOKUP($A989,MAGAZZINO!$B$2:$M$4838,6,FALSE)</f>
        <v/>
      </c>
      <c r="G989" s="17">
        <f>+VLOOKUP($A989,MAGAZZINO!$B$2:$M$4838,7,FALSE)</f>
        <v/>
      </c>
      <c r="H989" s="17">
        <f>+VLOOKUP($A989,MAGAZZINO!$B$2:$M$4838,8,FALSE)</f>
        <v/>
      </c>
      <c r="I989" s="17">
        <f>+VLOOKUP($A989,MAGAZZINO!$B$2:$M$4838,9,FALSE)</f>
        <v/>
      </c>
      <c r="J989" s="17">
        <f>+VLOOKUP($A989,MAGAZZINO!$B$2:$M$4838,10,FALSE)</f>
        <v/>
      </c>
      <c r="K989" s="17">
        <f>+VLOOKUP($A989,MAGAZZINO!$B$2:$M$4838,11,FALSE)</f>
        <v/>
      </c>
      <c r="L989" s="44">
        <f>+VLOOKUP($A989,MAGAZZINO!$B$2:$M$4838,12,FALSE)</f>
        <v/>
      </c>
    </row>
    <row r="990" ht="36" customHeight="1">
      <c r="A990" s="30">
        <f>+REGISTRO!A973</f>
        <v/>
      </c>
      <c r="B990" s="31">
        <f>+VLOOKUP($A990,MAGAZZINO!$B$2:$M$4838,2,FALSE)</f>
        <v/>
      </c>
      <c r="C990" s="32">
        <f>+VLOOKUP($A990,MAGAZZINO!$B$2:$M$4838,3,FALSE)</f>
        <v/>
      </c>
      <c r="D990" s="17">
        <f>+VLOOKUP($A990,MAGAZZINO!$B$2:$M$4838,4,FALSE)</f>
        <v/>
      </c>
      <c r="E990" s="17">
        <f>+VLOOKUP($A990,MAGAZZINO!$B$2:$M$4838,5,FALSE)</f>
        <v/>
      </c>
      <c r="F990" s="17">
        <f>+VLOOKUP($A990,MAGAZZINO!$B$2:$M$4838,6,FALSE)</f>
        <v/>
      </c>
      <c r="G990" s="17">
        <f>+VLOOKUP($A990,MAGAZZINO!$B$2:$M$4838,7,FALSE)</f>
        <v/>
      </c>
      <c r="H990" s="17">
        <f>+VLOOKUP($A990,MAGAZZINO!$B$2:$M$4838,8,FALSE)</f>
        <v/>
      </c>
      <c r="I990" s="17">
        <f>+VLOOKUP($A990,MAGAZZINO!$B$2:$M$4838,9,FALSE)</f>
        <v/>
      </c>
      <c r="J990" s="17">
        <f>+VLOOKUP($A990,MAGAZZINO!$B$2:$M$4838,10,FALSE)</f>
        <v/>
      </c>
      <c r="K990" s="17">
        <f>+VLOOKUP($A990,MAGAZZINO!$B$2:$M$4838,11,FALSE)</f>
        <v/>
      </c>
      <c r="L990" s="44">
        <f>+VLOOKUP($A990,MAGAZZINO!$B$2:$M$4838,12,FALSE)</f>
        <v/>
      </c>
    </row>
    <row r="991" ht="36" customHeight="1">
      <c r="A991" s="30">
        <f>+REGISTRO!A974</f>
        <v/>
      </c>
      <c r="B991" s="31">
        <f>+VLOOKUP($A991,MAGAZZINO!$B$2:$M$4838,2,FALSE)</f>
        <v/>
      </c>
      <c r="C991" s="32">
        <f>+VLOOKUP($A991,MAGAZZINO!$B$2:$M$4838,3,FALSE)</f>
        <v/>
      </c>
      <c r="D991" s="17">
        <f>+VLOOKUP($A991,MAGAZZINO!$B$2:$M$4838,4,FALSE)</f>
        <v/>
      </c>
      <c r="E991" s="17">
        <f>+VLOOKUP($A991,MAGAZZINO!$B$2:$M$4838,5,FALSE)</f>
        <v/>
      </c>
      <c r="F991" s="17">
        <f>+VLOOKUP($A991,MAGAZZINO!$B$2:$M$4838,6,FALSE)</f>
        <v/>
      </c>
      <c r="G991" s="17">
        <f>+VLOOKUP($A991,MAGAZZINO!$B$2:$M$4838,7,FALSE)</f>
        <v/>
      </c>
      <c r="H991" s="17">
        <f>+VLOOKUP($A991,MAGAZZINO!$B$2:$M$4838,8,FALSE)</f>
        <v/>
      </c>
      <c r="I991" s="17">
        <f>+VLOOKUP($A991,MAGAZZINO!$B$2:$M$4838,9,FALSE)</f>
        <v/>
      </c>
      <c r="J991" s="17">
        <f>+VLOOKUP($A991,MAGAZZINO!$B$2:$M$4838,10,FALSE)</f>
        <v/>
      </c>
      <c r="K991" s="17">
        <f>+VLOOKUP($A991,MAGAZZINO!$B$2:$M$4838,11,FALSE)</f>
        <v/>
      </c>
      <c r="L991" s="44">
        <f>+VLOOKUP($A991,MAGAZZINO!$B$2:$M$4838,12,FALSE)</f>
        <v/>
      </c>
    </row>
    <row r="992" ht="36" customHeight="1">
      <c r="A992" s="30">
        <f>+REGISTRO!A975</f>
        <v/>
      </c>
      <c r="B992" s="31">
        <f>+VLOOKUP($A992,MAGAZZINO!$B$2:$M$4838,2,FALSE)</f>
        <v/>
      </c>
      <c r="C992" s="32">
        <f>+VLOOKUP($A992,MAGAZZINO!$B$2:$M$4838,3,FALSE)</f>
        <v/>
      </c>
      <c r="D992" s="17">
        <f>+VLOOKUP($A992,MAGAZZINO!$B$2:$M$4838,4,FALSE)</f>
        <v/>
      </c>
      <c r="E992" s="17">
        <f>+VLOOKUP($A992,MAGAZZINO!$B$2:$M$4838,5,FALSE)</f>
        <v/>
      </c>
      <c r="F992" s="17">
        <f>+VLOOKUP($A992,MAGAZZINO!$B$2:$M$4838,6,FALSE)</f>
        <v/>
      </c>
      <c r="G992" s="17">
        <f>+VLOOKUP($A992,MAGAZZINO!$B$2:$M$4838,7,FALSE)</f>
        <v/>
      </c>
      <c r="H992" s="17">
        <f>+VLOOKUP($A992,MAGAZZINO!$B$2:$M$4838,8,FALSE)</f>
        <v/>
      </c>
      <c r="I992" s="17">
        <f>+VLOOKUP($A992,MAGAZZINO!$B$2:$M$4838,9,FALSE)</f>
        <v/>
      </c>
      <c r="J992" s="17">
        <f>+VLOOKUP($A992,MAGAZZINO!$B$2:$M$4838,10,FALSE)</f>
        <v/>
      </c>
      <c r="K992" s="17">
        <f>+VLOOKUP($A992,MAGAZZINO!$B$2:$M$4838,11,FALSE)</f>
        <v/>
      </c>
      <c r="L992" s="44">
        <f>+VLOOKUP($A992,MAGAZZINO!$B$2:$M$4838,12,FALSE)</f>
        <v/>
      </c>
    </row>
    <row r="993" ht="36" customHeight="1">
      <c r="A993" s="30">
        <f>+REGISTRO!A976</f>
        <v/>
      </c>
      <c r="B993" s="31">
        <f>+VLOOKUP($A993,MAGAZZINO!$B$2:$M$4838,2,FALSE)</f>
        <v/>
      </c>
      <c r="C993" s="32">
        <f>+VLOOKUP($A993,MAGAZZINO!$B$2:$M$4838,3,FALSE)</f>
        <v/>
      </c>
      <c r="D993" s="17">
        <f>+VLOOKUP($A993,MAGAZZINO!$B$2:$M$4838,4,FALSE)</f>
        <v/>
      </c>
      <c r="E993" s="17">
        <f>+VLOOKUP($A993,MAGAZZINO!$B$2:$M$4838,5,FALSE)</f>
        <v/>
      </c>
      <c r="F993" s="17">
        <f>+VLOOKUP($A993,MAGAZZINO!$B$2:$M$4838,6,FALSE)</f>
        <v/>
      </c>
      <c r="G993" s="17">
        <f>+VLOOKUP($A993,MAGAZZINO!$B$2:$M$4838,7,FALSE)</f>
        <v/>
      </c>
      <c r="H993" s="17">
        <f>+VLOOKUP($A993,MAGAZZINO!$B$2:$M$4838,8,FALSE)</f>
        <v/>
      </c>
      <c r="I993" s="17">
        <f>+VLOOKUP($A993,MAGAZZINO!$B$2:$M$4838,9,FALSE)</f>
        <v/>
      </c>
      <c r="J993" s="17">
        <f>+VLOOKUP($A993,MAGAZZINO!$B$2:$M$4838,10,FALSE)</f>
        <v/>
      </c>
      <c r="K993" s="17">
        <f>+VLOOKUP($A993,MAGAZZINO!$B$2:$M$4838,11,FALSE)</f>
        <v/>
      </c>
      <c r="L993" s="44">
        <f>+VLOOKUP($A993,MAGAZZINO!$B$2:$M$4838,12,FALSE)</f>
        <v/>
      </c>
    </row>
    <row r="994" ht="36" customHeight="1">
      <c r="A994" s="30">
        <f>+REGISTRO!A977</f>
        <v/>
      </c>
      <c r="B994" s="31">
        <f>+VLOOKUP($A994,MAGAZZINO!$B$2:$M$4838,2,FALSE)</f>
        <v/>
      </c>
      <c r="C994" s="32">
        <f>+VLOOKUP($A994,MAGAZZINO!$B$2:$M$4838,3,FALSE)</f>
        <v/>
      </c>
      <c r="D994" s="17">
        <f>+VLOOKUP($A994,MAGAZZINO!$B$2:$M$4838,4,FALSE)</f>
        <v/>
      </c>
      <c r="E994" s="17">
        <f>+VLOOKUP($A994,MAGAZZINO!$B$2:$M$4838,5,FALSE)</f>
        <v/>
      </c>
      <c r="F994" s="17">
        <f>+VLOOKUP($A994,MAGAZZINO!$B$2:$M$4838,6,FALSE)</f>
        <v/>
      </c>
      <c r="G994" s="17">
        <f>+VLOOKUP($A994,MAGAZZINO!$B$2:$M$4838,7,FALSE)</f>
        <v/>
      </c>
      <c r="H994" s="17">
        <f>+VLOOKUP($A994,MAGAZZINO!$B$2:$M$4838,8,FALSE)</f>
        <v/>
      </c>
      <c r="I994" s="17">
        <f>+VLOOKUP($A994,MAGAZZINO!$B$2:$M$4838,9,FALSE)</f>
        <v/>
      </c>
      <c r="J994" s="17">
        <f>+VLOOKUP($A994,MAGAZZINO!$B$2:$M$4838,10,FALSE)</f>
        <v/>
      </c>
      <c r="K994" s="17">
        <f>+VLOOKUP($A994,MAGAZZINO!$B$2:$M$4838,11,FALSE)</f>
        <v/>
      </c>
      <c r="L994" s="44">
        <f>+VLOOKUP($A994,MAGAZZINO!$B$2:$M$4838,12,FALSE)</f>
        <v/>
      </c>
    </row>
    <row r="995" ht="36" customHeight="1">
      <c r="A995" s="30">
        <f>+REGISTRO!A978</f>
        <v/>
      </c>
      <c r="B995" s="31">
        <f>+VLOOKUP($A995,MAGAZZINO!$B$2:$M$4838,2,FALSE)</f>
        <v/>
      </c>
      <c r="C995" s="32">
        <f>+VLOOKUP($A995,MAGAZZINO!$B$2:$M$4838,3,FALSE)</f>
        <v/>
      </c>
      <c r="D995" s="17">
        <f>+VLOOKUP($A995,MAGAZZINO!$B$2:$M$4838,4,FALSE)</f>
        <v/>
      </c>
      <c r="E995" s="17">
        <f>+VLOOKUP($A995,MAGAZZINO!$B$2:$M$4838,5,FALSE)</f>
        <v/>
      </c>
      <c r="F995" s="17">
        <f>+VLOOKUP($A995,MAGAZZINO!$B$2:$M$4838,6,FALSE)</f>
        <v/>
      </c>
      <c r="G995" s="17">
        <f>+VLOOKUP($A995,MAGAZZINO!$B$2:$M$4838,7,FALSE)</f>
        <v/>
      </c>
      <c r="H995" s="17">
        <f>+VLOOKUP($A995,MAGAZZINO!$B$2:$M$4838,8,FALSE)</f>
        <v/>
      </c>
      <c r="I995" s="17">
        <f>+VLOOKUP($A995,MAGAZZINO!$B$2:$M$4838,9,FALSE)</f>
        <v/>
      </c>
      <c r="J995" s="17">
        <f>+VLOOKUP($A995,MAGAZZINO!$B$2:$M$4838,10,FALSE)</f>
        <v/>
      </c>
      <c r="K995" s="17">
        <f>+VLOOKUP($A995,MAGAZZINO!$B$2:$M$4838,11,FALSE)</f>
        <v/>
      </c>
      <c r="L995" s="44">
        <f>+VLOOKUP($A995,MAGAZZINO!$B$2:$M$4838,12,FALSE)</f>
        <v/>
      </c>
    </row>
    <row r="996" ht="36" customHeight="1">
      <c r="A996" s="30">
        <f>+REGISTRO!A979</f>
        <v/>
      </c>
      <c r="B996" s="31">
        <f>+VLOOKUP($A996,MAGAZZINO!$B$2:$M$4838,2,FALSE)</f>
        <v/>
      </c>
      <c r="C996" s="32">
        <f>+VLOOKUP($A996,MAGAZZINO!$B$2:$M$4838,3,FALSE)</f>
        <v/>
      </c>
      <c r="D996" s="17">
        <f>+VLOOKUP($A996,MAGAZZINO!$B$2:$M$4838,4,FALSE)</f>
        <v/>
      </c>
      <c r="E996" s="17">
        <f>+VLOOKUP($A996,MAGAZZINO!$B$2:$M$4838,5,FALSE)</f>
        <v/>
      </c>
      <c r="F996" s="17">
        <f>+VLOOKUP($A996,MAGAZZINO!$B$2:$M$4838,6,FALSE)</f>
        <v/>
      </c>
      <c r="G996" s="17">
        <f>+VLOOKUP($A996,MAGAZZINO!$B$2:$M$4838,7,FALSE)</f>
        <v/>
      </c>
      <c r="H996" s="17">
        <f>+VLOOKUP($A996,MAGAZZINO!$B$2:$M$4838,8,FALSE)</f>
        <v/>
      </c>
      <c r="I996" s="17">
        <f>+VLOOKUP($A996,MAGAZZINO!$B$2:$M$4838,9,FALSE)</f>
        <v/>
      </c>
      <c r="J996" s="17">
        <f>+VLOOKUP($A996,MAGAZZINO!$B$2:$M$4838,10,FALSE)</f>
        <v/>
      </c>
      <c r="K996" s="17">
        <f>+VLOOKUP($A996,MAGAZZINO!$B$2:$M$4838,11,FALSE)</f>
        <v/>
      </c>
      <c r="L996" s="44">
        <f>+VLOOKUP($A996,MAGAZZINO!$B$2:$M$4838,12,FALSE)</f>
        <v/>
      </c>
    </row>
    <row r="997" ht="36" customHeight="1">
      <c r="A997" s="30">
        <f>+REGISTRO!A980</f>
        <v/>
      </c>
      <c r="B997" s="31">
        <f>+VLOOKUP($A997,MAGAZZINO!$B$2:$M$4838,2,FALSE)</f>
        <v/>
      </c>
      <c r="C997" s="32">
        <f>+VLOOKUP($A997,MAGAZZINO!$B$2:$M$4838,3,FALSE)</f>
        <v/>
      </c>
      <c r="D997" s="17">
        <f>+VLOOKUP($A997,MAGAZZINO!$B$2:$M$4838,4,FALSE)</f>
        <v/>
      </c>
      <c r="E997" s="17">
        <f>+VLOOKUP($A997,MAGAZZINO!$B$2:$M$4838,5,FALSE)</f>
        <v/>
      </c>
      <c r="F997" s="17">
        <f>+VLOOKUP($A997,MAGAZZINO!$B$2:$M$4838,6,FALSE)</f>
        <v/>
      </c>
      <c r="G997" s="17">
        <f>+VLOOKUP($A997,MAGAZZINO!$B$2:$M$4838,7,FALSE)</f>
        <v/>
      </c>
      <c r="H997" s="17">
        <f>+VLOOKUP($A997,MAGAZZINO!$B$2:$M$4838,8,FALSE)</f>
        <v/>
      </c>
      <c r="I997" s="17">
        <f>+VLOOKUP($A997,MAGAZZINO!$B$2:$M$4838,9,FALSE)</f>
        <v/>
      </c>
      <c r="J997" s="17">
        <f>+VLOOKUP($A997,MAGAZZINO!$B$2:$M$4838,10,FALSE)</f>
        <v/>
      </c>
      <c r="K997" s="17">
        <f>+VLOOKUP($A997,MAGAZZINO!$B$2:$M$4838,11,FALSE)</f>
        <v/>
      </c>
      <c r="L997" s="44">
        <f>+VLOOKUP($A997,MAGAZZINO!$B$2:$M$4838,12,FALSE)</f>
        <v/>
      </c>
    </row>
    <row r="998" ht="36" customHeight="1">
      <c r="A998" s="30">
        <f>+REGISTRO!A981</f>
        <v/>
      </c>
      <c r="B998" s="31">
        <f>+VLOOKUP($A998,MAGAZZINO!$B$2:$M$4838,2,FALSE)</f>
        <v/>
      </c>
      <c r="C998" s="32">
        <f>+VLOOKUP($A998,MAGAZZINO!$B$2:$M$4838,3,FALSE)</f>
        <v/>
      </c>
      <c r="D998" s="17">
        <f>+VLOOKUP($A998,MAGAZZINO!$B$2:$M$4838,4,FALSE)</f>
        <v/>
      </c>
      <c r="E998" s="17">
        <f>+VLOOKUP($A998,MAGAZZINO!$B$2:$M$4838,5,FALSE)</f>
        <v/>
      </c>
      <c r="F998" s="17">
        <f>+VLOOKUP($A998,MAGAZZINO!$B$2:$M$4838,6,FALSE)</f>
        <v/>
      </c>
      <c r="G998" s="17">
        <f>+VLOOKUP($A998,MAGAZZINO!$B$2:$M$4838,7,FALSE)</f>
        <v/>
      </c>
      <c r="H998" s="17">
        <f>+VLOOKUP($A998,MAGAZZINO!$B$2:$M$4838,8,FALSE)</f>
        <v/>
      </c>
      <c r="I998" s="17">
        <f>+VLOOKUP($A998,MAGAZZINO!$B$2:$M$4838,9,FALSE)</f>
        <v/>
      </c>
      <c r="J998" s="17">
        <f>+VLOOKUP($A998,MAGAZZINO!$B$2:$M$4838,10,FALSE)</f>
        <v/>
      </c>
      <c r="K998" s="17">
        <f>+VLOOKUP($A998,MAGAZZINO!$B$2:$M$4838,11,FALSE)</f>
        <v/>
      </c>
      <c r="L998" s="44">
        <f>+VLOOKUP($A998,MAGAZZINO!$B$2:$M$4838,12,FALSE)</f>
        <v/>
      </c>
    </row>
    <row r="999" ht="36" customHeight="1">
      <c r="A999" s="30">
        <f>+REGISTRO!A982</f>
        <v/>
      </c>
      <c r="B999" s="31">
        <f>+VLOOKUP($A999,MAGAZZINO!$B$2:$M$4838,2,FALSE)</f>
        <v/>
      </c>
      <c r="C999" s="32">
        <f>+VLOOKUP($A999,MAGAZZINO!$B$2:$M$4838,3,FALSE)</f>
        <v/>
      </c>
      <c r="D999" s="17">
        <f>+VLOOKUP($A999,MAGAZZINO!$B$2:$M$4838,4,FALSE)</f>
        <v/>
      </c>
      <c r="E999" s="17">
        <f>+VLOOKUP($A999,MAGAZZINO!$B$2:$M$4838,5,FALSE)</f>
        <v/>
      </c>
      <c r="F999" s="17">
        <f>+VLOOKUP($A999,MAGAZZINO!$B$2:$M$4838,6,FALSE)</f>
        <v/>
      </c>
      <c r="G999" s="17">
        <f>+VLOOKUP($A999,MAGAZZINO!$B$2:$M$4838,7,FALSE)</f>
        <v/>
      </c>
      <c r="H999" s="17">
        <f>+VLOOKUP($A999,MAGAZZINO!$B$2:$M$4838,8,FALSE)</f>
        <v/>
      </c>
      <c r="I999" s="17">
        <f>+VLOOKUP($A999,MAGAZZINO!$B$2:$M$4838,9,FALSE)</f>
        <v/>
      </c>
      <c r="J999" s="17">
        <f>+VLOOKUP($A999,MAGAZZINO!$B$2:$M$4838,10,FALSE)</f>
        <v/>
      </c>
      <c r="K999" s="17">
        <f>+VLOOKUP($A999,MAGAZZINO!$B$2:$M$4838,11,FALSE)</f>
        <v/>
      </c>
      <c r="L999" s="44">
        <f>+VLOOKUP($A999,MAGAZZINO!$B$2:$M$4838,12,FALSE)</f>
        <v/>
      </c>
    </row>
    <row r="1000" ht="36" customHeight="1">
      <c r="A1000" s="30">
        <f>+REGISTRO!A983</f>
        <v/>
      </c>
      <c r="B1000" s="31">
        <f>+VLOOKUP($A1000,MAGAZZINO!$B$2:$M$4838,2,FALSE)</f>
        <v/>
      </c>
      <c r="C1000" s="32">
        <f>+VLOOKUP($A1000,MAGAZZINO!$B$2:$M$4838,3,FALSE)</f>
        <v/>
      </c>
      <c r="D1000" s="17">
        <f>+VLOOKUP($A1000,MAGAZZINO!$B$2:$M$4838,4,FALSE)</f>
        <v/>
      </c>
      <c r="E1000" s="17">
        <f>+VLOOKUP($A1000,MAGAZZINO!$B$2:$M$4838,5,FALSE)</f>
        <v/>
      </c>
      <c r="F1000" s="17">
        <f>+VLOOKUP($A1000,MAGAZZINO!$B$2:$M$4838,6,FALSE)</f>
        <v/>
      </c>
      <c r="G1000" s="17">
        <f>+VLOOKUP($A1000,MAGAZZINO!$B$2:$M$4838,7,FALSE)</f>
        <v/>
      </c>
      <c r="H1000" s="17">
        <f>+VLOOKUP($A1000,MAGAZZINO!$B$2:$M$4838,8,FALSE)</f>
        <v/>
      </c>
      <c r="I1000" s="17">
        <f>+VLOOKUP($A1000,MAGAZZINO!$B$2:$M$4838,9,FALSE)</f>
        <v/>
      </c>
      <c r="J1000" s="17">
        <f>+VLOOKUP($A1000,MAGAZZINO!$B$2:$M$4838,10,FALSE)</f>
        <v/>
      </c>
      <c r="K1000" s="17">
        <f>+VLOOKUP($A1000,MAGAZZINO!$B$2:$M$4838,11,FALSE)</f>
        <v/>
      </c>
      <c r="L1000" s="44">
        <f>+VLOOKUP($A1000,MAGAZZINO!$B$2:$M$4838,12,FALSE)</f>
        <v/>
      </c>
    </row>
    <row r="1001" ht="36" customHeight="1">
      <c r="A1001" s="30">
        <f>+REGISTRO!A984</f>
        <v/>
      </c>
      <c r="B1001" s="31">
        <f>+VLOOKUP($A1001,MAGAZZINO!$B$2:$M$4838,2,FALSE)</f>
        <v/>
      </c>
      <c r="C1001" s="32">
        <f>+VLOOKUP($A1001,MAGAZZINO!$B$2:$M$4838,3,FALSE)</f>
        <v/>
      </c>
      <c r="D1001" s="17">
        <f>+VLOOKUP($A1001,MAGAZZINO!$B$2:$M$4838,4,FALSE)</f>
        <v/>
      </c>
      <c r="E1001" s="17">
        <f>+VLOOKUP($A1001,MAGAZZINO!$B$2:$M$4838,5,FALSE)</f>
        <v/>
      </c>
      <c r="F1001" s="17">
        <f>+VLOOKUP($A1001,MAGAZZINO!$B$2:$M$4838,6,FALSE)</f>
        <v/>
      </c>
      <c r="G1001" s="17">
        <f>+VLOOKUP($A1001,MAGAZZINO!$B$2:$M$4838,7,FALSE)</f>
        <v/>
      </c>
      <c r="H1001" s="17">
        <f>+VLOOKUP($A1001,MAGAZZINO!$B$2:$M$4838,8,FALSE)</f>
        <v/>
      </c>
      <c r="I1001" s="17">
        <f>+VLOOKUP($A1001,MAGAZZINO!$B$2:$M$4838,9,FALSE)</f>
        <v/>
      </c>
      <c r="J1001" s="17">
        <f>+VLOOKUP($A1001,MAGAZZINO!$B$2:$M$4838,10,FALSE)</f>
        <v/>
      </c>
      <c r="K1001" s="17">
        <f>+VLOOKUP($A1001,MAGAZZINO!$B$2:$M$4838,11,FALSE)</f>
        <v/>
      </c>
      <c r="L1001" s="44">
        <f>+VLOOKUP($A1001,MAGAZZINO!$B$2:$M$4838,12,FALSE)</f>
        <v/>
      </c>
    </row>
    <row r="1002" ht="36" customHeight="1">
      <c r="A1002" s="30">
        <f>+REGISTRO!A985</f>
        <v/>
      </c>
      <c r="B1002" s="31">
        <f>+VLOOKUP($A1002,MAGAZZINO!$B$2:$M$4838,2,FALSE)</f>
        <v/>
      </c>
      <c r="C1002" s="32">
        <f>+VLOOKUP($A1002,MAGAZZINO!$B$2:$M$4838,3,FALSE)</f>
        <v/>
      </c>
      <c r="D1002" s="17">
        <f>+VLOOKUP($A1002,MAGAZZINO!$B$2:$M$4838,4,FALSE)</f>
        <v/>
      </c>
      <c r="E1002" s="17">
        <f>+VLOOKUP($A1002,MAGAZZINO!$B$2:$M$4838,5,FALSE)</f>
        <v/>
      </c>
      <c r="F1002" s="17">
        <f>+VLOOKUP($A1002,MAGAZZINO!$B$2:$M$4838,6,FALSE)</f>
        <v/>
      </c>
      <c r="G1002" s="17">
        <f>+VLOOKUP($A1002,MAGAZZINO!$B$2:$M$4838,7,FALSE)</f>
        <v/>
      </c>
      <c r="H1002" s="17">
        <f>+VLOOKUP($A1002,MAGAZZINO!$B$2:$M$4838,8,FALSE)</f>
        <v/>
      </c>
      <c r="I1002" s="17">
        <f>+VLOOKUP($A1002,MAGAZZINO!$B$2:$M$4838,9,FALSE)</f>
        <v/>
      </c>
      <c r="J1002" s="17">
        <f>+VLOOKUP($A1002,MAGAZZINO!$B$2:$M$4838,10,FALSE)</f>
        <v/>
      </c>
      <c r="K1002" s="17">
        <f>+VLOOKUP($A1002,MAGAZZINO!$B$2:$M$4838,11,FALSE)</f>
        <v/>
      </c>
      <c r="L1002" s="44">
        <f>+VLOOKUP($A1002,MAGAZZINO!$B$2:$M$4838,12,FALSE)</f>
        <v/>
      </c>
    </row>
    <row r="1003" ht="36" customHeight="1">
      <c r="A1003" s="30">
        <f>+REGISTRO!A986</f>
        <v/>
      </c>
      <c r="B1003" s="31">
        <f>+VLOOKUP($A1003,MAGAZZINO!$B$2:$M$4838,2,FALSE)</f>
        <v/>
      </c>
      <c r="C1003" s="32">
        <f>+VLOOKUP($A1003,MAGAZZINO!$B$2:$M$4838,3,FALSE)</f>
        <v/>
      </c>
      <c r="D1003" s="17">
        <f>+VLOOKUP($A1003,MAGAZZINO!$B$2:$M$4838,4,FALSE)</f>
        <v/>
      </c>
      <c r="E1003" s="17">
        <f>+VLOOKUP($A1003,MAGAZZINO!$B$2:$M$4838,5,FALSE)</f>
        <v/>
      </c>
      <c r="F1003" s="17">
        <f>+VLOOKUP($A1003,MAGAZZINO!$B$2:$M$4838,6,FALSE)</f>
        <v/>
      </c>
      <c r="G1003" s="17">
        <f>+VLOOKUP($A1003,MAGAZZINO!$B$2:$M$4838,7,FALSE)</f>
        <v/>
      </c>
      <c r="H1003" s="17">
        <f>+VLOOKUP($A1003,MAGAZZINO!$B$2:$M$4838,8,FALSE)</f>
        <v/>
      </c>
      <c r="I1003" s="17">
        <f>+VLOOKUP($A1003,MAGAZZINO!$B$2:$M$4838,9,FALSE)</f>
        <v/>
      </c>
      <c r="J1003" s="17">
        <f>+VLOOKUP($A1003,MAGAZZINO!$B$2:$M$4838,10,FALSE)</f>
        <v/>
      </c>
      <c r="K1003" s="17">
        <f>+VLOOKUP($A1003,MAGAZZINO!$B$2:$M$4838,11,FALSE)</f>
        <v/>
      </c>
      <c r="L1003" s="44">
        <f>+VLOOKUP($A1003,MAGAZZINO!$B$2:$M$4838,12,FALSE)</f>
        <v/>
      </c>
    </row>
    <row r="1004" ht="36" customHeight="1">
      <c r="A1004" s="30">
        <f>+REGISTRO!A987</f>
        <v/>
      </c>
      <c r="B1004" s="31">
        <f>+VLOOKUP($A1004,MAGAZZINO!$B$2:$M$4838,2,FALSE)</f>
        <v/>
      </c>
      <c r="C1004" s="32">
        <f>+VLOOKUP($A1004,MAGAZZINO!$B$2:$M$4838,3,FALSE)</f>
        <v/>
      </c>
      <c r="D1004" s="17">
        <f>+VLOOKUP($A1004,MAGAZZINO!$B$2:$M$4838,4,FALSE)</f>
        <v/>
      </c>
      <c r="E1004" s="17">
        <f>+VLOOKUP($A1004,MAGAZZINO!$B$2:$M$4838,5,FALSE)</f>
        <v/>
      </c>
      <c r="F1004" s="17">
        <f>+VLOOKUP($A1004,MAGAZZINO!$B$2:$M$4838,6,FALSE)</f>
        <v/>
      </c>
      <c r="G1004" s="17">
        <f>+VLOOKUP($A1004,MAGAZZINO!$B$2:$M$4838,7,FALSE)</f>
        <v/>
      </c>
      <c r="H1004" s="17">
        <f>+VLOOKUP($A1004,MAGAZZINO!$B$2:$M$4838,8,FALSE)</f>
        <v/>
      </c>
      <c r="I1004" s="17">
        <f>+VLOOKUP($A1004,MAGAZZINO!$B$2:$M$4838,9,FALSE)</f>
        <v/>
      </c>
      <c r="J1004" s="17">
        <f>+VLOOKUP($A1004,MAGAZZINO!$B$2:$M$4838,10,FALSE)</f>
        <v/>
      </c>
      <c r="K1004" s="17">
        <f>+VLOOKUP($A1004,MAGAZZINO!$B$2:$M$4838,11,FALSE)</f>
        <v/>
      </c>
      <c r="L1004" s="44">
        <f>+VLOOKUP($A1004,MAGAZZINO!$B$2:$M$4838,12,FALSE)</f>
        <v/>
      </c>
    </row>
    <row r="1005" ht="36" customHeight="1">
      <c r="A1005" s="30">
        <f>+REGISTRO!A988</f>
        <v/>
      </c>
      <c r="B1005" s="31">
        <f>+VLOOKUP($A1005,MAGAZZINO!$B$2:$M$4838,2,FALSE)</f>
        <v/>
      </c>
      <c r="C1005" s="32">
        <f>+VLOOKUP($A1005,MAGAZZINO!$B$2:$M$4838,3,FALSE)</f>
        <v/>
      </c>
      <c r="D1005" s="17">
        <f>+VLOOKUP($A1005,MAGAZZINO!$B$2:$M$4838,4,FALSE)</f>
        <v/>
      </c>
      <c r="E1005" s="17">
        <f>+VLOOKUP($A1005,MAGAZZINO!$B$2:$M$4838,5,FALSE)</f>
        <v/>
      </c>
      <c r="F1005" s="17">
        <f>+VLOOKUP($A1005,MAGAZZINO!$B$2:$M$4838,6,FALSE)</f>
        <v/>
      </c>
      <c r="G1005" s="17">
        <f>+VLOOKUP($A1005,MAGAZZINO!$B$2:$M$4838,7,FALSE)</f>
        <v/>
      </c>
      <c r="H1005" s="17">
        <f>+VLOOKUP($A1005,MAGAZZINO!$B$2:$M$4838,8,FALSE)</f>
        <v/>
      </c>
      <c r="I1005" s="17">
        <f>+VLOOKUP($A1005,MAGAZZINO!$B$2:$M$4838,9,FALSE)</f>
        <v/>
      </c>
      <c r="J1005" s="17">
        <f>+VLOOKUP($A1005,MAGAZZINO!$B$2:$M$4838,10,FALSE)</f>
        <v/>
      </c>
      <c r="K1005" s="17">
        <f>+VLOOKUP($A1005,MAGAZZINO!$B$2:$M$4838,11,FALSE)</f>
        <v/>
      </c>
      <c r="L1005" s="44">
        <f>+VLOOKUP($A1005,MAGAZZINO!$B$2:$M$4838,12,FALSE)</f>
        <v/>
      </c>
    </row>
    <row r="1006" ht="36" customHeight="1">
      <c r="A1006" s="30">
        <f>+REGISTRO!A989</f>
        <v/>
      </c>
      <c r="B1006" s="31">
        <f>+VLOOKUP($A1006,MAGAZZINO!$B$2:$M$4838,2,FALSE)</f>
        <v/>
      </c>
      <c r="C1006" s="32">
        <f>+VLOOKUP($A1006,MAGAZZINO!$B$2:$M$4838,3,FALSE)</f>
        <v/>
      </c>
      <c r="D1006" s="17">
        <f>+VLOOKUP($A1006,MAGAZZINO!$B$2:$M$4838,4,FALSE)</f>
        <v/>
      </c>
      <c r="E1006" s="17">
        <f>+VLOOKUP($A1006,MAGAZZINO!$B$2:$M$4838,5,FALSE)</f>
        <v/>
      </c>
      <c r="F1006" s="17">
        <f>+VLOOKUP($A1006,MAGAZZINO!$B$2:$M$4838,6,FALSE)</f>
        <v/>
      </c>
      <c r="G1006" s="17">
        <f>+VLOOKUP($A1006,MAGAZZINO!$B$2:$M$4838,7,FALSE)</f>
        <v/>
      </c>
      <c r="H1006" s="17">
        <f>+VLOOKUP($A1006,MAGAZZINO!$B$2:$M$4838,8,FALSE)</f>
        <v/>
      </c>
      <c r="I1006" s="17">
        <f>+VLOOKUP($A1006,MAGAZZINO!$B$2:$M$4838,9,FALSE)</f>
        <v/>
      </c>
      <c r="J1006" s="17">
        <f>+VLOOKUP($A1006,MAGAZZINO!$B$2:$M$4838,10,FALSE)</f>
        <v/>
      </c>
      <c r="K1006" s="17">
        <f>+VLOOKUP($A1006,MAGAZZINO!$B$2:$M$4838,11,FALSE)</f>
        <v/>
      </c>
      <c r="L1006" s="44">
        <f>+VLOOKUP($A1006,MAGAZZINO!$B$2:$M$4838,12,FALSE)</f>
        <v/>
      </c>
    </row>
    <row r="1007" ht="36" customHeight="1">
      <c r="A1007" s="30">
        <f>+REGISTRO!A990</f>
        <v/>
      </c>
      <c r="B1007" s="31">
        <f>+VLOOKUP($A1007,MAGAZZINO!$B$2:$M$4838,2,FALSE)</f>
        <v/>
      </c>
      <c r="C1007" s="32">
        <f>+VLOOKUP($A1007,MAGAZZINO!$B$2:$M$4838,3,FALSE)</f>
        <v/>
      </c>
      <c r="D1007" s="17">
        <f>+VLOOKUP($A1007,MAGAZZINO!$B$2:$M$4838,4,FALSE)</f>
        <v/>
      </c>
      <c r="E1007" s="17">
        <f>+VLOOKUP($A1007,MAGAZZINO!$B$2:$M$4838,5,FALSE)</f>
        <v/>
      </c>
      <c r="F1007" s="17">
        <f>+VLOOKUP($A1007,MAGAZZINO!$B$2:$M$4838,6,FALSE)</f>
        <v/>
      </c>
      <c r="G1007" s="17">
        <f>+VLOOKUP($A1007,MAGAZZINO!$B$2:$M$4838,7,FALSE)</f>
        <v/>
      </c>
      <c r="H1007" s="17">
        <f>+VLOOKUP($A1007,MAGAZZINO!$B$2:$M$4838,8,FALSE)</f>
        <v/>
      </c>
      <c r="I1007" s="17">
        <f>+VLOOKUP($A1007,MAGAZZINO!$B$2:$M$4838,9,FALSE)</f>
        <v/>
      </c>
      <c r="J1007" s="17">
        <f>+VLOOKUP($A1007,MAGAZZINO!$B$2:$M$4838,10,FALSE)</f>
        <v/>
      </c>
      <c r="K1007" s="17">
        <f>+VLOOKUP($A1007,MAGAZZINO!$B$2:$M$4838,11,FALSE)</f>
        <v/>
      </c>
      <c r="L1007" s="44">
        <f>+VLOOKUP($A1007,MAGAZZINO!$B$2:$M$4838,12,FALSE)</f>
        <v/>
      </c>
    </row>
    <row r="1008" ht="36" customHeight="1">
      <c r="A1008" s="30">
        <f>+REGISTRO!A991</f>
        <v/>
      </c>
      <c r="B1008" s="31">
        <f>+VLOOKUP($A1008,MAGAZZINO!$B$2:$M$4838,2,FALSE)</f>
        <v/>
      </c>
      <c r="C1008" s="32">
        <f>+VLOOKUP($A1008,MAGAZZINO!$B$2:$M$4838,3,FALSE)</f>
        <v/>
      </c>
      <c r="D1008" s="17">
        <f>+VLOOKUP($A1008,MAGAZZINO!$B$2:$M$4838,4,FALSE)</f>
        <v/>
      </c>
      <c r="E1008" s="17">
        <f>+VLOOKUP($A1008,MAGAZZINO!$B$2:$M$4838,5,FALSE)</f>
        <v/>
      </c>
      <c r="F1008" s="17">
        <f>+VLOOKUP($A1008,MAGAZZINO!$B$2:$M$4838,6,FALSE)</f>
        <v/>
      </c>
      <c r="G1008" s="17">
        <f>+VLOOKUP($A1008,MAGAZZINO!$B$2:$M$4838,7,FALSE)</f>
        <v/>
      </c>
      <c r="H1008" s="17">
        <f>+VLOOKUP($A1008,MAGAZZINO!$B$2:$M$4838,8,FALSE)</f>
        <v/>
      </c>
      <c r="I1008" s="17">
        <f>+VLOOKUP($A1008,MAGAZZINO!$B$2:$M$4838,9,FALSE)</f>
        <v/>
      </c>
      <c r="J1008" s="17">
        <f>+VLOOKUP($A1008,MAGAZZINO!$B$2:$M$4838,10,FALSE)</f>
        <v/>
      </c>
      <c r="K1008" s="17">
        <f>+VLOOKUP($A1008,MAGAZZINO!$B$2:$M$4838,11,FALSE)</f>
        <v/>
      </c>
      <c r="L1008" s="44">
        <f>+VLOOKUP($A1008,MAGAZZINO!$B$2:$M$4838,12,FALSE)</f>
        <v/>
      </c>
    </row>
    <row r="1009" ht="36" customHeight="1">
      <c r="A1009" s="30">
        <f>+REGISTRO!A992</f>
        <v/>
      </c>
      <c r="B1009" s="31">
        <f>+VLOOKUP($A1009,MAGAZZINO!$B$2:$M$4838,2,FALSE)</f>
        <v/>
      </c>
      <c r="C1009" s="32">
        <f>+VLOOKUP($A1009,MAGAZZINO!$B$2:$M$4838,3,FALSE)</f>
        <v/>
      </c>
      <c r="D1009" s="17">
        <f>+VLOOKUP($A1009,MAGAZZINO!$B$2:$M$4838,4,FALSE)</f>
        <v/>
      </c>
      <c r="E1009" s="17">
        <f>+VLOOKUP($A1009,MAGAZZINO!$B$2:$M$4838,5,FALSE)</f>
        <v/>
      </c>
      <c r="F1009" s="17">
        <f>+VLOOKUP($A1009,MAGAZZINO!$B$2:$M$4838,6,FALSE)</f>
        <v/>
      </c>
      <c r="G1009" s="17">
        <f>+VLOOKUP($A1009,MAGAZZINO!$B$2:$M$4838,7,FALSE)</f>
        <v/>
      </c>
      <c r="H1009" s="17">
        <f>+VLOOKUP($A1009,MAGAZZINO!$B$2:$M$4838,8,FALSE)</f>
        <v/>
      </c>
      <c r="I1009" s="17">
        <f>+VLOOKUP($A1009,MAGAZZINO!$B$2:$M$4838,9,FALSE)</f>
        <v/>
      </c>
      <c r="J1009" s="17">
        <f>+VLOOKUP($A1009,MAGAZZINO!$B$2:$M$4838,10,FALSE)</f>
        <v/>
      </c>
      <c r="K1009" s="17">
        <f>+VLOOKUP($A1009,MAGAZZINO!$B$2:$M$4838,11,FALSE)</f>
        <v/>
      </c>
      <c r="L1009" s="44">
        <f>+VLOOKUP($A1009,MAGAZZINO!$B$2:$M$4838,12,FALSE)</f>
        <v/>
      </c>
    </row>
    <row r="1010" ht="36" customHeight="1">
      <c r="A1010" s="30">
        <f>+REGISTRO!A993</f>
        <v/>
      </c>
      <c r="B1010" s="31">
        <f>+VLOOKUP($A1010,MAGAZZINO!$B$2:$M$4838,2,FALSE)</f>
        <v/>
      </c>
      <c r="C1010" s="32">
        <f>+VLOOKUP($A1010,MAGAZZINO!$B$2:$M$4838,3,FALSE)</f>
        <v/>
      </c>
      <c r="D1010" s="17">
        <f>+VLOOKUP($A1010,MAGAZZINO!$B$2:$M$4838,4,FALSE)</f>
        <v/>
      </c>
      <c r="E1010" s="17">
        <f>+VLOOKUP($A1010,MAGAZZINO!$B$2:$M$4838,5,FALSE)</f>
        <v/>
      </c>
      <c r="F1010" s="17">
        <f>+VLOOKUP($A1010,MAGAZZINO!$B$2:$M$4838,6,FALSE)</f>
        <v/>
      </c>
      <c r="G1010" s="17">
        <f>+VLOOKUP($A1010,MAGAZZINO!$B$2:$M$4838,7,FALSE)</f>
        <v/>
      </c>
      <c r="H1010" s="17">
        <f>+VLOOKUP($A1010,MAGAZZINO!$B$2:$M$4838,8,FALSE)</f>
        <v/>
      </c>
      <c r="I1010" s="17">
        <f>+VLOOKUP($A1010,MAGAZZINO!$B$2:$M$4838,9,FALSE)</f>
        <v/>
      </c>
      <c r="J1010" s="17">
        <f>+VLOOKUP($A1010,MAGAZZINO!$B$2:$M$4838,10,FALSE)</f>
        <v/>
      </c>
      <c r="K1010" s="17">
        <f>+VLOOKUP($A1010,MAGAZZINO!$B$2:$M$4838,11,FALSE)</f>
        <v/>
      </c>
      <c r="L1010" s="44">
        <f>+VLOOKUP($A1010,MAGAZZINO!$B$2:$M$4838,12,FALSE)</f>
        <v/>
      </c>
    </row>
    <row r="1011" ht="36" customHeight="1">
      <c r="A1011" s="30">
        <f>+REGISTRO!A994</f>
        <v/>
      </c>
      <c r="B1011" s="31">
        <f>+VLOOKUP($A1011,MAGAZZINO!$B$2:$M$4838,2,FALSE)</f>
        <v/>
      </c>
      <c r="C1011" s="32">
        <f>+VLOOKUP($A1011,MAGAZZINO!$B$2:$M$4838,3,FALSE)</f>
        <v/>
      </c>
      <c r="D1011" s="17">
        <f>+VLOOKUP($A1011,MAGAZZINO!$B$2:$M$4838,4,FALSE)</f>
        <v/>
      </c>
      <c r="E1011" s="17">
        <f>+VLOOKUP($A1011,MAGAZZINO!$B$2:$M$4838,5,FALSE)</f>
        <v/>
      </c>
      <c r="F1011" s="17">
        <f>+VLOOKUP($A1011,MAGAZZINO!$B$2:$M$4838,6,FALSE)</f>
        <v/>
      </c>
      <c r="G1011" s="17">
        <f>+VLOOKUP($A1011,MAGAZZINO!$B$2:$M$4838,7,FALSE)</f>
        <v/>
      </c>
      <c r="H1011" s="17">
        <f>+VLOOKUP($A1011,MAGAZZINO!$B$2:$M$4838,8,FALSE)</f>
        <v/>
      </c>
      <c r="I1011" s="17">
        <f>+VLOOKUP($A1011,MAGAZZINO!$B$2:$M$4838,9,FALSE)</f>
        <v/>
      </c>
      <c r="J1011" s="17">
        <f>+VLOOKUP($A1011,MAGAZZINO!$B$2:$M$4838,10,FALSE)</f>
        <v/>
      </c>
      <c r="K1011" s="17">
        <f>+VLOOKUP($A1011,MAGAZZINO!$B$2:$M$4838,11,FALSE)</f>
        <v/>
      </c>
      <c r="L1011" s="44">
        <f>+VLOOKUP($A1011,MAGAZZINO!$B$2:$M$4838,12,FALSE)</f>
        <v/>
      </c>
    </row>
    <row r="1012" ht="36" customHeight="1">
      <c r="A1012" s="30">
        <f>+REGISTRO!A995</f>
        <v/>
      </c>
      <c r="B1012" s="31">
        <f>+VLOOKUP($A1012,MAGAZZINO!$B$2:$M$4838,2,FALSE)</f>
        <v/>
      </c>
      <c r="C1012" s="32">
        <f>+VLOOKUP($A1012,MAGAZZINO!$B$2:$M$4838,3,FALSE)</f>
        <v/>
      </c>
      <c r="D1012" s="17">
        <f>+VLOOKUP($A1012,MAGAZZINO!$B$2:$M$4838,4,FALSE)</f>
        <v/>
      </c>
      <c r="E1012" s="17">
        <f>+VLOOKUP($A1012,MAGAZZINO!$B$2:$M$4838,5,FALSE)</f>
        <v/>
      </c>
      <c r="F1012" s="17">
        <f>+VLOOKUP($A1012,MAGAZZINO!$B$2:$M$4838,6,FALSE)</f>
        <v/>
      </c>
      <c r="G1012" s="17">
        <f>+VLOOKUP($A1012,MAGAZZINO!$B$2:$M$4838,7,FALSE)</f>
        <v/>
      </c>
      <c r="H1012" s="17">
        <f>+VLOOKUP($A1012,MAGAZZINO!$B$2:$M$4838,8,FALSE)</f>
        <v/>
      </c>
      <c r="I1012" s="17">
        <f>+VLOOKUP($A1012,MAGAZZINO!$B$2:$M$4838,9,FALSE)</f>
        <v/>
      </c>
      <c r="J1012" s="17">
        <f>+VLOOKUP($A1012,MAGAZZINO!$B$2:$M$4838,10,FALSE)</f>
        <v/>
      </c>
      <c r="K1012" s="17">
        <f>+VLOOKUP($A1012,MAGAZZINO!$B$2:$M$4838,11,FALSE)</f>
        <v/>
      </c>
      <c r="L1012" s="44">
        <f>+VLOOKUP($A1012,MAGAZZINO!$B$2:$M$4838,12,FALSE)</f>
        <v/>
      </c>
    </row>
    <row r="1013" ht="36" customHeight="1">
      <c r="A1013" s="30">
        <f>+REGISTRO!A996</f>
        <v/>
      </c>
      <c r="B1013" s="31">
        <f>+VLOOKUP($A1013,MAGAZZINO!$B$2:$M$4838,2,FALSE)</f>
        <v/>
      </c>
      <c r="C1013" s="32">
        <f>+VLOOKUP($A1013,MAGAZZINO!$B$2:$M$4838,3,FALSE)</f>
        <v/>
      </c>
      <c r="D1013" s="17">
        <f>+VLOOKUP($A1013,MAGAZZINO!$B$2:$M$4838,4,FALSE)</f>
        <v/>
      </c>
      <c r="E1013" s="17">
        <f>+VLOOKUP($A1013,MAGAZZINO!$B$2:$M$4838,5,FALSE)</f>
        <v/>
      </c>
      <c r="F1013" s="17">
        <f>+VLOOKUP($A1013,MAGAZZINO!$B$2:$M$4838,6,FALSE)</f>
        <v/>
      </c>
      <c r="G1013" s="17">
        <f>+VLOOKUP($A1013,MAGAZZINO!$B$2:$M$4838,7,FALSE)</f>
        <v/>
      </c>
      <c r="H1013" s="17">
        <f>+VLOOKUP($A1013,MAGAZZINO!$B$2:$M$4838,8,FALSE)</f>
        <v/>
      </c>
      <c r="I1013" s="17">
        <f>+VLOOKUP($A1013,MAGAZZINO!$B$2:$M$4838,9,FALSE)</f>
        <v/>
      </c>
      <c r="J1013" s="17">
        <f>+VLOOKUP($A1013,MAGAZZINO!$B$2:$M$4838,10,FALSE)</f>
        <v/>
      </c>
      <c r="K1013" s="17">
        <f>+VLOOKUP($A1013,MAGAZZINO!$B$2:$M$4838,11,FALSE)</f>
        <v/>
      </c>
      <c r="L1013" s="44">
        <f>+VLOOKUP($A1013,MAGAZZINO!$B$2:$M$4838,12,FALSE)</f>
        <v/>
      </c>
    </row>
    <row r="1014" ht="36" customHeight="1">
      <c r="A1014" s="30">
        <f>+REGISTRO!A997</f>
        <v/>
      </c>
      <c r="B1014" s="31">
        <f>+VLOOKUP($A1014,MAGAZZINO!$B$2:$M$4838,2,FALSE)</f>
        <v/>
      </c>
      <c r="C1014" s="32">
        <f>+VLOOKUP($A1014,MAGAZZINO!$B$2:$M$4838,3,FALSE)</f>
        <v/>
      </c>
      <c r="D1014" s="17">
        <f>+VLOOKUP($A1014,MAGAZZINO!$B$2:$M$4838,4,FALSE)</f>
        <v/>
      </c>
      <c r="E1014" s="17">
        <f>+VLOOKUP($A1014,MAGAZZINO!$B$2:$M$4838,5,FALSE)</f>
        <v/>
      </c>
      <c r="F1014" s="17">
        <f>+VLOOKUP($A1014,MAGAZZINO!$B$2:$M$4838,6,FALSE)</f>
        <v/>
      </c>
      <c r="G1014" s="17">
        <f>+VLOOKUP($A1014,MAGAZZINO!$B$2:$M$4838,7,FALSE)</f>
        <v/>
      </c>
      <c r="H1014" s="17">
        <f>+VLOOKUP($A1014,MAGAZZINO!$B$2:$M$4838,8,FALSE)</f>
        <v/>
      </c>
      <c r="I1014" s="17">
        <f>+VLOOKUP($A1014,MAGAZZINO!$B$2:$M$4838,9,FALSE)</f>
        <v/>
      </c>
      <c r="J1014" s="17">
        <f>+VLOOKUP($A1014,MAGAZZINO!$B$2:$M$4838,10,FALSE)</f>
        <v/>
      </c>
      <c r="K1014" s="17">
        <f>+VLOOKUP($A1014,MAGAZZINO!$B$2:$M$4838,11,FALSE)</f>
        <v/>
      </c>
      <c r="L1014" s="44">
        <f>+VLOOKUP($A1014,MAGAZZINO!$B$2:$M$4838,12,FALSE)</f>
        <v/>
      </c>
    </row>
    <row r="1015" ht="36" customHeight="1">
      <c r="A1015" s="30">
        <f>+REGISTRO!A998</f>
        <v/>
      </c>
      <c r="B1015" s="31">
        <f>+VLOOKUP($A1015,MAGAZZINO!$B$2:$M$4838,2,FALSE)</f>
        <v/>
      </c>
      <c r="C1015" s="32">
        <f>+VLOOKUP($A1015,MAGAZZINO!$B$2:$M$4838,3,FALSE)</f>
        <v/>
      </c>
      <c r="D1015" s="17">
        <f>+VLOOKUP($A1015,MAGAZZINO!$B$2:$M$4838,4,FALSE)</f>
        <v/>
      </c>
      <c r="E1015" s="17">
        <f>+VLOOKUP($A1015,MAGAZZINO!$B$2:$M$4838,5,FALSE)</f>
        <v/>
      </c>
      <c r="F1015" s="17">
        <f>+VLOOKUP($A1015,MAGAZZINO!$B$2:$M$4838,6,FALSE)</f>
        <v/>
      </c>
      <c r="G1015" s="17">
        <f>+VLOOKUP($A1015,MAGAZZINO!$B$2:$M$4838,7,FALSE)</f>
        <v/>
      </c>
      <c r="H1015" s="17">
        <f>+VLOOKUP($A1015,MAGAZZINO!$B$2:$M$4838,8,FALSE)</f>
        <v/>
      </c>
      <c r="I1015" s="17">
        <f>+VLOOKUP($A1015,MAGAZZINO!$B$2:$M$4838,9,FALSE)</f>
        <v/>
      </c>
      <c r="J1015" s="17">
        <f>+VLOOKUP($A1015,MAGAZZINO!$B$2:$M$4838,10,FALSE)</f>
        <v/>
      </c>
      <c r="K1015" s="17">
        <f>+VLOOKUP($A1015,MAGAZZINO!$B$2:$M$4838,11,FALSE)</f>
        <v/>
      </c>
      <c r="L1015" s="44">
        <f>+VLOOKUP($A1015,MAGAZZINO!$B$2:$M$4838,12,FALSE)</f>
        <v/>
      </c>
    </row>
    <row r="1016" ht="36" customHeight="1">
      <c r="A1016" s="30">
        <f>+REGISTRO!A999</f>
        <v/>
      </c>
      <c r="B1016" s="31">
        <f>+VLOOKUP($A1016,MAGAZZINO!$B$2:$M$4838,2,FALSE)</f>
        <v/>
      </c>
      <c r="C1016" s="32">
        <f>+VLOOKUP($A1016,MAGAZZINO!$B$2:$M$4838,3,FALSE)</f>
        <v/>
      </c>
      <c r="D1016" s="17">
        <f>+VLOOKUP($A1016,MAGAZZINO!$B$2:$M$4838,4,FALSE)</f>
        <v/>
      </c>
      <c r="E1016" s="17">
        <f>+VLOOKUP($A1016,MAGAZZINO!$B$2:$M$4838,5,FALSE)</f>
        <v/>
      </c>
      <c r="F1016" s="17">
        <f>+VLOOKUP($A1016,MAGAZZINO!$B$2:$M$4838,6,FALSE)</f>
        <v/>
      </c>
      <c r="G1016" s="17">
        <f>+VLOOKUP($A1016,MAGAZZINO!$B$2:$M$4838,7,FALSE)</f>
        <v/>
      </c>
      <c r="H1016" s="17">
        <f>+VLOOKUP($A1016,MAGAZZINO!$B$2:$M$4838,8,FALSE)</f>
        <v/>
      </c>
      <c r="I1016" s="17">
        <f>+VLOOKUP($A1016,MAGAZZINO!$B$2:$M$4838,9,FALSE)</f>
        <v/>
      </c>
      <c r="J1016" s="17">
        <f>+VLOOKUP($A1016,MAGAZZINO!$B$2:$M$4838,10,FALSE)</f>
        <v/>
      </c>
      <c r="K1016" s="17">
        <f>+VLOOKUP($A1016,MAGAZZINO!$B$2:$M$4838,11,FALSE)</f>
        <v/>
      </c>
      <c r="L1016" s="44">
        <f>+VLOOKUP($A1016,MAGAZZINO!$B$2:$M$4838,12,FALSE)</f>
        <v/>
      </c>
    </row>
    <row r="1017" ht="36" customHeight="1">
      <c r="A1017" s="30">
        <f>+REGISTRO!A1000</f>
        <v/>
      </c>
      <c r="B1017" s="31">
        <f>+VLOOKUP($A1017,MAGAZZINO!$B$2:$M$4838,2,FALSE)</f>
        <v/>
      </c>
      <c r="C1017" s="32">
        <f>+VLOOKUP($A1017,MAGAZZINO!$B$2:$M$4838,3,FALSE)</f>
        <v/>
      </c>
      <c r="D1017" s="17">
        <f>+VLOOKUP($A1017,MAGAZZINO!$B$2:$M$4838,4,FALSE)</f>
        <v/>
      </c>
      <c r="E1017" s="17">
        <f>+VLOOKUP($A1017,MAGAZZINO!$B$2:$M$4838,5,FALSE)</f>
        <v/>
      </c>
      <c r="F1017" s="17">
        <f>+VLOOKUP($A1017,MAGAZZINO!$B$2:$M$4838,6,FALSE)</f>
        <v/>
      </c>
      <c r="G1017" s="17">
        <f>+VLOOKUP($A1017,MAGAZZINO!$B$2:$M$4838,7,FALSE)</f>
        <v/>
      </c>
      <c r="H1017" s="17">
        <f>+VLOOKUP($A1017,MAGAZZINO!$B$2:$M$4838,8,FALSE)</f>
        <v/>
      </c>
      <c r="I1017" s="17">
        <f>+VLOOKUP($A1017,MAGAZZINO!$B$2:$M$4838,9,FALSE)</f>
        <v/>
      </c>
      <c r="J1017" s="17">
        <f>+VLOOKUP($A1017,MAGAZZINO!$B$2:$M$4838,10,FALSE)</f>
        <v/>
      </c>
      <c r="K1017" s="17">
        <f>+VLOOKUP($A1017,MAGAZZINO!$B$2:$M$4838,11,FALSE)</f>
        <v/>
      </c>
      <c r="L1017" s="44">
        <f>+VLOOKUP($A1017,MAGAZZINO!$B$2:$M$4838,12,FALSE)</f>
        <v/>
      </c>
    </row>
    <row r="1018" ht="36" customHeight="1">
      <c r="A1018" s="30">
        <f>+REGISTRO!A1001</f>
        <v/>
      </c>
      <c r="B1018" s="31">
        <f>+VLOOKUP($A1018,MAGAZZINO!$B$2:$M$4838,2,FALSE)</f>
        <v/>
      </c>
      <c r="C1018" s="32">
        <f>+VLOOKUP($A1018,MAGAZZINO!$B$2:$M$4838,3,FALSE)</f>
        <v/>
      </c>
      <c r="D1018" s="17">
        <f>+VLOOKUP($A1018,MAGAZZINO!$B$2:$M$4838,4,FALSE)</f>
        <v/>
      </c>
      <c r="E1018" s="17">
        <f>+VLOOKUP($A1018,MAGAZZINO!$B$2:$M$4838,5,FALSE)</f>
        <v/>
      </c>
      <c r="F1018" s="17">
        <f>+VLOOKUP($A1018,MAGAZZINO!$B$2:$M$4838,6,FALSE)</f>
        <v/>
      </c>
      <c r="G1018" s="17">
        <f>+VLOOKUP($A1018,MAGAZZINO!$B$2:$M$4838,7,FALSE)</f>
        <v/>
      </c>
      <c r="H1018" s="17">
        <f>+VLOOKUP($A1018,MAGAZZINO!$B$2:$M$4838,8,FALSE)</f>
        <v/>
      </c>
      <c r="I1018" s="17">
        <f>+VLOOKUP($A1018,MAGAZZINO!$B$2:$M$4838,9,FALSE)</f>
        <v/>
      </c>
      <c r="J1018" s="17">
        <f>+VLOOKUP($A1018,MAGAZZINO!$B$2:$M$4838,10,FALSE)</f>
        <v/>
      </c>
      <c r="K1018" s="17">
        <f>+VLOOKUP($A1018,MAGAZZINO!$B$2:$M$4838,11,FALSE)</f>
        <v/>
      </c>
      <c r="L1018" s="44">
        <f>+VLOOKUP($A1018,MAGAZZINO!$B$2:$M$4838,12,FALSE)</f>
        <v/>
      </c>
    </row>
    <row r="1019" ht="36" customHeight="1">
      <c r="A1019" s="30">
        <f>+REGISTRO!A1002</f>
        <v/>
      </c>
      <c r="B1019" s="31">
        <f>+VLOOKUP($A1019,MAGAZZINO!$B$2:$M$4838,2,FALSE)</f>
        <v/>
      </c>
      <c r="C1019" s="32">
        <f>+VLOOKUP($A1019,MAGAZZINO!$B$2:$M$4838,3,FALSE)</f>
        <v/>
      </c>
      <c r="D1019" s="17">
        <f>+VLOOKUP($A1019,MAGAZZINO!$B$2:$M$4838,4,FALSE)</f>
        <v/>
      </c>
      <c r="E1019" s="17">
        <f>+VLOOKUP($A1019,MAGAZZINO!$B$2:$M$4838,5,FALSE)</f>
        <v/>
      </c>
      <c r="F1019" s="17">
        <f>+VLOOKUP($A1019,MAGAZZINO!$B$2:$M$4838,6,FALSE)</f>
        <v/>
      </c>
      <c r="G1019" s="17">
        <f>+VLOOKUP($A1019,MAGAZZINO!$B$2:$M$4838,7,FALSE)</f>
        <v/>
      </c>
      <c r="H1019" s="17">
        <f>+VLOOKUP($A1019,MAGAZZINO!$B$2:$M$4838,8,FALSE)</f>
        <v/>
      </c>
      <c r="I1019" s="17">
        <f>+VLOOKUP($A1019,MAGAZZINO!$B$2:$M$4838,9,FALSE)</f>
        <v/>
      </c>
      <c r="J1019" s="17">
        <f>+VLOOKUP($A1019,MAGAZZINO!$B$2:$M$4838,10,FALSE)</f>
        <v/>
      </c>
      <c r="K1019" s="17">
        <f>+VLOOKUP($A1019,MAGAZZINO!$B$2:$M$4838,11,FALSE)</f>
        <v/>
      </c>
      <c r="L1019" s="44">
        <f>+VLOOKUP($A1019,MAGAZZINO!$B$2:$M$4838,12,FALSE)</f>
        <v/>
      </c>
    </row>
    <row r="1020" ht="36" customHeight="1">
      <c r="A1020" s="30">
        <f>+REGISTRO!A1003</f>
        <v/>
      </c>
      <c r="B1020" s="31">
        <f>+VLOOKUP($A1020,MAGAZZINO!$B$2:$M$4838,2,FALSE)</f>
        <v/>
      </c>
      <c r="C1020" s="32">
        <f>+VLOOKUP($A1020,MAGAZZINO!$B$2:$M$4838,3,FALSE)</f>
        <v/>
      </c>
      <c r="D1020" s="17">
        <f>+VLOOKUP($A1020,MAGAZZINO!$B$2:$M$4838,4,FALSE)</f>
        <v/>
      </c>
      <c r="E1020" s="17">
        <f>+VLOOKUP($A1020,MAGAZZINO!$B$2:$M$4838,5,FALSE)</f>
        <v/>
      </c>
      <c r="F1020" s="17">
        <f>+VLOOKUP($A1020,MAGAZZINO!$B$2:$M$4838,6,FALSE)</f>
        <v/>
      </c>
      <c r="G1020" s="17">
        <f>+VLOOKUP($A1020,MAGAZZINO!$B$2:$M$4838,7,FALSE)</f>
        <v/>
      </c>
      <c r="H1020" s="17">
        <f>+VLOOKUP($A1020,MAGAZZINO!$B$2:$M$4838,8,FALSE)</f>
        <v/>
      </c>
      <c r="I1020" s="17">
        <f>+VLOOKUP($A1020,MAGAZZINO!$B$2:$M$4838,9,FALSE)</f>
        <v/>
      </c>
      <c r="J1020" s="17">
        <f>+VLOOKUP($A1020,MAGAZZINO!$B$2:$M$4838,10,FALSE)</f>
        <v/>
      </c>
      <c r="K1020" s="17">
        <f>+VLOOKUP($A1020,MAGAZZINO!$B$2:$M$4838,11,FALSE)</f>
        <v/>
      </c>
      <c r="L1020" s="44">
        <f>+VLOOKUP($A1020,MAGAZZINO!$B$2:$M$4838,12,FALSE)</f>
        <v/>
      </c>
    </row>
    <row r="1021" ht="36" customHeight="1">
      <c r="A1021" s="30">
        <f>+REGISTRO!A1004</f>
        <v/>
      </c>
      <c r="B1021" s="31">
        <f>+VLOOKUP($A1021,MAGAZZINO!$B$2:$M$4838,2,FALSE)</f>
        <v/>
      </c>
      <c r="C1021" s="32">
        <f>+VLOOKUP($A1021,MAGAZZINO!$B$2:$M$4838,3,FALSE)</f>
        <v/>
      </c>
      <c r="D1021" s="17">
        <f>+VLOOKUP($A1021,MAGAZZINO!$B$2:$M$4838,4,FALSE)</f>
        <v/>
      </c>
      <c r="E1021" s="17">
        <f>+VLOOKUP($A1021,MAGAZZINO!$B$2:$M$4838,5,FALSE)</f>
        <v/>
      </c>
      <c r="F1021" s="17">
        <f>+VLOOKUP($A1021,MAGAZZINO!$B$2:$M$4838,6,FALSE)</f>
        <v/>
      </c>
      <c r="G1021" s="17">
        <f>+VLOOKUP($A1021,MAGAZZINO!$B$2:$M$4838,7,FALSE)</f>
        <v/>
      </c>
      <c r="H1021" s="17">
        <f>+VLOOKUP($A1021,MAGAZZINO!$B$2:$M$4838,8,FALSE)</f>
        <v/>
      </c>
      <c r="I1021" s="17">
        <f>+VLOOKUP($A1021,MAGAZZINO!$B$2:$M$4838,9,FALSE)</f>
        <v/>
      </c>
      <c r="J1021" s="17">
        <f>+VLOOKUP($A1021,MAGAZZINO!$B$2:$M$4838,10,FALSE)</f>
        <v/>
      </c>
      <c r="K1021" s="17">
        <f>+VLOOKUP($A1021,MAGAZZINO!$B$2:$M$4838,11,FALSE)</f>
        <v/>
      </c>
      <c r="L1021" s="44">
        <f>+VLOOKUP($A1021,MAGAZZINO!$B$2:$M$4838,12,FALSE)</f>
        <v/>
      </c>
    </row>
    <row r="1022" ht="36" customHeight="1">
      <c r="A1022" s="30">
        <f>+REGISTRO!A1005</f>
        <v/>
      </c>
      <c r="B1022" s="31">
        <f>+VLOOKUP($A1022,MAGAZZINO!$B$2:$M$4838,2,FALSE)</f>
        <v/>
      </c>
      <c r="C1022" s="32">
        <f>+VLOOKUP($A1022,MAGAZZINO!$B$2:$M$4838,3,FALSE)</f>
        <v/>
      </c>
      <c r="D1022" s="17">
        <f>+VLOOKUP($A1022,MAGAZZINO!$B$2:$M$4838,4,FALSE)</f>
        <v/>
      </c>
      <c r="E1022" s="17">
        <f>+VLOOKUP($A1022,MAGAZZINO!$B$2:$M$4838,5,FALSE)</f>
        <v/>
      </c>
      <c r="F1022" s="17">
        <f>+VLOOKUP($A1022,MAGAZZINO!$B$2:$M$4838,6,FALSE)</f>
        <v/>
      </c>
      <c r="G1022" s="17">
        <f>+VLOOKUP($A1022,MAGAZZINO!$B$2:$M$4838,7,FALSE)</f>
        <v/>
      </c>
      <c r="H1022" s="17">
        <f>+VLOOKUP($A1022,MAGAZZINO!$B$2:$M$4838,8,FALSE)</f>
        <v/>
      </c>
      <c r="I1022" s="17">
        <f>+VLOOKUP($A1022,MAGAZZINO!$B$2:$M$4838,9,FALSE)</f>
        <v/>
      </c>
      <c r="J1022" s="17">
        <f>+VLOOKUP($A1022,MAGAZZINO!$B$2:$M$4838,10,FALSE)</f>
        <v/>
      </c>
      <c r="K1022" s="17">
        <f>+VLOOKUP($A1022,MAGAZZINO!$B$2:$M$4838,11,FALSE)</f>
        <v/>
      </c>
      <c r="L1022" s="44">
        <f>+VLOOKUP($A1022,MAGAZZINO!$B$2:$M$4838,12,FALSE)</f>
        <v/>
      </c>
    </row>
    <row r="1023" ht="36" customHeight="1">
      <c r="A1023" s="30">
        <f>+REGISTRO!A1006</f>
        <v/>
      </c>
      <c r="B1023" s="31">
        <f>+VLOOKUP($A1023,MAGAZZINO!$B$2:$M$4838,2,FALSE)</f>
        <v/>
      </c>
      <c r="C1023" s="32">
        <f>+VLOOKUP($A1023,MAGAZZINO!$B$2:$M$4838,3,FALSE)</f>
        <v/>
      </c>
      <c r="D1023" s="17">
        <f>+VLOOKUP($A1023,MAGAZZINO!$B$2:$M$4838,4,FALSE)</f>
        <v/>
      </c>
      <c r="E1023" s="17">
        <f>+VLOOKUP($A1023,MAGAZZINO!$B$2:$M$4838,5,FALSE)</f>
        <v/>
      </c>
      <c r="F1023" s="17">
        <f>+VLOOKUP($A1023,MAGAZZINO!$B$2:$M$4838,6,FALSE)</f>
        <v/>
      </c>
      <c r="G1023" s="17">
        <f>+VLOOKUP($A1023,MAGAZZINO!$B$2:$M$4838,7,FALSE)</f>
        <v/>
      </c>
      <c r="H1023" s="17">
        <f>+VLOOKUP($A1023,MAGAZZINO!$B$2:$M$4838,8,FALSE)</f>
        <v/>
      </c>
      <c r="I1023" s="17">
        <f>+VLOOKUP($A1023,MAGAZZINO!$B$2:$M$4838,9,FALSE)</f>
        <v/>
      </c>
      <c r="J1023" s="17">
        <f>+VLOOKUP($A1023,MAGAZZINO!$B$2:$M$4838,10,FALSE)</f>
        <v/>
      </c>
      <c r="K1023" s="17">
        <f>+VLOOKUP($A1023,MAGAZZINO!$B$2:$M$4838,11,FALSE)</f>
        <v/>
      </c>
      <c r="L1023" s="44">
        <f>+VLOOKUP($A1023,MAGAZZINO!$B$2:$M$4838,12,FALSE)</f>
        <v/>
      </c>
    </row>
    <row r="1024" ht="36" customHeight="1">
      <c r="A1024" s="30">
        <f>+REGISTRO!A1007</f>
        <v/>
      </c>
      <c r="B1024" s="31">
        <f>+VLOOKUP($A1024,MAGAZZINO!$B$2:$M$4838,2,FALSE)</f>
        <v/>
      </c>
      <c r="C1024" s="32">
        <f>+VLOOKUP($A1024,MAGAZZINO!$B$2:$M$4838,3,FALSE)</f>
        <v/>
      </c>
      <c r="D1024" s="17">
        <f>+VLOOKUP($A1024,MAGAZZINO!$B$2:$M$4838,4,FALSE)</f>
        <v/>
      </c>
      <c r="E1024" s="17">
        <f>+VLOOKUP($A1024,MAGAZZINO!$B$2:$M$4838,5,FALSE)</f>
        <v/>
      </c>
      <c r="F1024" s="17">
        <f>+VLOOKUP($A1024,MAGAZZINO!$B$2:$M$4838,6,FALSE)</f>
        <v/>
      </c>
      <c r="G1024" s="17">
        <f>+VLOOKUP($A1024,MAGAZZINO!$B$2:$M$4838,7,FALSE)</f>
        <v/>
      </c>
      <c r="H1024" s="17">
        <f>+VLOOKUP($A1024,MAGAZZINO!$B$2:$M$4838,8,FALSE)</f>
        <v/>
      </c>
      <c r="I1024" s="17">
        <f>+VLOOKUP($A1024,MAGAZZINO!$B$2:$M$4838,9,FALSE)</f>
        <v/>
      </c>
      <c r="J1024" s="17">
        <f>+VLOOKUP($A1024,MAGAZZINO!$B$2:$M$4838,10,FALSE)</f>
        <v/>
      </c>
      <c r="K1024" s="17">
        <f>+VLOOKUP($A1024,MAGAZZINO!$B$2:$M$4838,11,FALSE)</f>
        <v/>
      </c>
      <c r="L1024" s="44">
        <f>+VLOOKUP($A1024,MAGAZZINO!$B$2:$M$4838,12,FALSE)</f>
        <v/>
      </c>
    </row>
    <row r="1025" ht="36" customHeight="1">
      <c r="A1025" s="30">
        <f>+REGISTRO!A1008</f>
        <v/>
      </c>
      <c r="B1025" s="31">
        <f>+VLOOKUP($A1025,MAGAZZINO!$B$2:$M$4838,2,FALSE)</f>
        <v/>
      </c>
      <c r="C1025" s="32">
        <f>+VLOOKUP($A1025,MAGAZZINO!$B$2:$M$4838,3,FALSE)</f>
        <v/>
      </c>
      <c r="D1025" s="17">
        <f>+VLOOKUP($A1025,MAGAZZINO!$B$2:$M$4838,4,FALSE)</f>
        <v/>
      </c>
      <c r="E1025" s="17">
        <f>+VLOOKUP($A1025,MAGAZZINO!$B$2:$M$4838,5,FALSE)</f>
        <v/>
      </c>
      <c r="F1025" s="17">
        <f>+VLOOKUP($A1025,MAGAZZINO!$B$2:$M$4838,6,FALSE)</f>
        <v/>
      </c>
      <c r="G1025" s="17">
        <f>+VLOOKUP($A1025,MAGAZZINO!$B$2:$M$4838,7,FALSE)</f>
        <v/>
      </c>
      <c r="H1025" s="17">
        <f>+VLOOKUP($A1025,MAGAZZINO!$B$2:$M$4838,8,FALSE)</f>
        <v/>
      </c>
      <c r="I1025" s="17">
        <f>+VLOOKUP($A1025,MAGAZZINO!$B$2:$M$4838,9,FALSE)</f>
        <v/>
      </c>
      <c r="J1025" s="17">
        <f>+VLOOKUP($A1025,MAGAZZINO!$B$2:$M$4838,10,FALSE)</f>
        <v/>
      </c>
      <c r="K1025" s="17">
        <f>+VLOOKUP($A1025,MAGAZZINO!$B$2:$M$4838,11,FALSE)</f>
        <v/>
      </c>
      <c r="L1025" s="44">
        <f>+VLOOKUP($A1025,MAGAZZINO!$B$2:$M$4838,12,FALSE)</f>
        <v/>
      </c>
    </row>
    <row r="1026" ht="36" customHeight="1">
      <c r="A1026" s="30">
        <f>+REGISTRO!A1009</f>
        <v/>
      </c>
      <c r="B1026" s="31">
        <f>+VLOOKUP($A1026,MAGAZZINO!$B$2:$M$4838,2,FALSE)</f>
        <v/>
      </c>
      <c r="C1026" s="32">
        <f>+VLOOKUP($A1026,MAGAZZINO!$B$2:$M$4838,3,FALSE)</f>
        <v/>
      </c>
      <c r="D1026" s="17">
        <f>+VLOOKUP($A1026,MAGAZZINO!$B$2:$M$4838,4,FALSE)</f>
        <v/>
      </c>
      <c r="E1026" s="17">
        <f>+VLOOKUP($A1026,MAGAZZINO!$B$2:$M$4838,5,FALSE)</f>
        <v/>
      </c>
      <c r="F1026" s="17">
        <f>+VLOOKUP($A1026,MAGAZZINO!$B$2:$M$4838,6,FALSE)</f>
        <v/>
      </c>
      <c r="G1026" s="17">
        <f>+VLOOKUP($A1026,MAGAZZINO!$B$2:$M$4838,7,FALSE)</f>
        <v/>
      </c>
      <c r="H1026" s="17">
        <f>+VLOOKUP($A1026,MAGAZZINO!$B$2:$M$4838,8,FALSE)</f>
        <v/>
      </c>
      <c r="I1026" s="17">
        <f>+VLOOKUP($A1026,MAGAZZINO!$B$2:$M$4838,9,FALSE)</f>
        <v/>
      </c>
      <c r="J1026" s="17">
        <f>+VLOOKUP($A1026,MAGAZZINO!$B$2:$M$4838,10,FALSE)</f>
        <v/>
      </c>
      <c r="K1026" s="17">
        <f>+VLOOKUP($A1026,MAGAZZINO!$B$2:$M$4838,11,FALSE)</f>
        <v/>
      </c>
      <c r="L1026" s="44">
        <f>+VLOOKUP($A1026,MAGAZZINO!$B$2:$M$4838,12,FALSE)</f>
        <v/>
      </c>
    </row>
    <row r="1027" ht="36" customHeight="1">
      <c r="A1027" s="30">
        <f>+REGISTRO!A1010</f>
        <v/>
      </c>
      <c r="B1027" s="31">
        <f>+VLOOKUP($A1027,MAGAZZINO!$B$2:$M$4838,2,FALSE)</f>
        <v/>
      </c>
      <c r="C1027" s="32">
        <f>+VLOOKUP($A1027,MAGAZZINO!$B$2:$M$4838,3,FALSE)</f>
        <v/>
      </c>
      <c r="D1027" s="17">
        <f>+VLOOKUP($A1027,MAGAZZINO!$B$2:$M$4838,4,FALSE)</f>
        <v/>
      </c>
      <c r="E1027" s="17">
        <f>+VLOOKUP($A1027,MAGAZZINO!$B$2:$M$4838,5,FALSE)</f>
        <v/>
      </c>
      <c r="F1027" s="17">
        <f>+VLOOKUP($A1027,MAGAZZINO!$B$2:$M$4838,6,FALSE)</f>
        <v/>
      </c>
      <c r="G1027" s="17">
        <f>+VLOOKUP($A1027,MAGAZZINO!$B$2:$M$4838,7,FALSE)</f>
        <v/>
      </c>
      <c r="H1027" s="17">
        <f>+VLOOKUP($A1027,MAGAZZINO!$B$2:$M$4838,8,FALSE)</f>
        <v/>
      </c>
      <c r="I1027" s="17">
        <f>+VLOOKUP($A1027,MAGAZZINO!$B$2:$M$4838,9,FALSE)</f>
        <v/>
      </c>
      <c r="J1027" s="17">
        <f>+VLOOKUP($A1027,MAGAZZINO!$B$2:$M$4838,10,FALSE)</f>
        <v/>
      </c>
      <c r="K1027" s="17">
        <f>+VLOOKUP($A1027,MAGAZZINO!$B$2:$M$4838,11,FALSE)</f>
        <v/>
      </c>
      <c r="L1027" s="44">
        <f>+VLOOKUP($A1027,MAGAZZINO!$B$2:$M$4838,12,FALSE)</f>
        <v/>
      </c>
    </row>
    <row r="1028" ht="36" customHeight="1">
      <c r="A1028" s="30">
        <f>+REGISTRO!A1011</f>
        <v/>
      </c>
      <c r="B1028" s="31">
        <f>+VLOOKUP($A1028,MAGAZZINO!$B$2:$M$4838,2,FALSE)</f>
        <v/>
      </c>
      <c r="C1028" s="32">
        <f>+VLOOKUP($A1028,MAGAZZINO!$B$2:$M$4838,3,FALSE)</f>
        <v/>
      </c>
      <c r="D1028" s="17">
        <f>+VLOOKUP($A1028,MAGAZZINO!$B$2:$M$4838,4,FALSE)</f>
        <v/>
      </c>
      <c r="E1028" s="17">
        <f>+VLOOKUP($A1028,MAGAZZINO!$B$2:$M$4838,5,FALSE)</f>
        <v/>
      </c>
      <c r="F1028" s="17">
        <f>+VLOOKUP($A1028,MAGAZZINO!$B$2:$M$4838,6,FALSE)</f>
        <v/>
      </c>
      <c r="G1028" s="17">
        <f>+VLOOKUP($A1028,MAGAZZINO!$B$2:$M$4838,7,FALSE)</f>
        <v/>
      </c>
      <c r="H1028" s="17">
        <f>+VLOOKUP($A1028,MAGAZZINO!$B$2:$M$4838,8,FALSE)</f>
        <v/>
      </c>
      <c r="I1028" s="17">
        <f>+VLOOKUP($A1028,MAGAZZINO!$B$2:$M$4838,9,FALSE)</f>
        <v/>
      </c>
      <c r="J1028" s="17">
        <f>+VLOOKUP($A1028,MAGAZZINO!$B$2:$M$4838,10,FALSE)</f>
        <v/>
      </c>
      <c r="K1028" s="17">
        <f>+VLOOKUP($A1028,MAGAZZINO!$B$2:$M$4838,11,FALSE)</f>
        <v/>
      </c>
      <c r="L1028" s="44">
        <f>+VLOOKUP($A1028,MAGAZZINO!$B$2:$M$4838,12,FALSE)</f>
        <v/>
      </c>
    </row>
    <row r="1029" ht="36" customHeight="1">
      <c r="A1029" s="30">
        <f>+REGISTRO!A1012</f>
        <v/>
      </c>
      <c r="B1029" s="31">
        <f>+VLOOKUP($A1029,MAGAZZINO!$B$2:$M$4838,2,FALSE)</f>
        <v/>
      </c>
      <c r="C1029" s="32">
        <f>+VLOOKUP($A1029,MAGAZZINO!$B$2:$M$4838,3,FALSE)</f>
        <v/>
      </c>
      <c r="D1029" s="17">
        <f>+VLOOKUP($A1029,MAGAZZINO!$B$2:$M$4838,4,FALSE)</f>
        <v/>
      </c>
      <c r="E1029" s="17">
        <f>+VLOOKUP($A1029,MAGAZZINO!$B$2:$M$4838,5,FALSE)</f>
        <v/>
      </c>
      <c r="F1029" s="17">
        <f>+VLOOKUP($A1029,MAGAZZINO!$B$2:$M$4838,6,FALSE)</f>
        <v/>
      </c>
      <c r="G1029" s="17">
        <f>+VLOOKUP($A1029,MAGAZZINO!$B$2:$M$4838,7,FALSE)</f>
        <v/>
      </c>
      <c r="H1029" s="17">
        <f>+VLOOKUP($A1029,MAGAZZINO!$B$2:$M$4838,8,FALSE)</f>
        <v/>
      </c>
      <c r="I1029" s="17">
        <f>+VLOOKUP($A1029,MAGAZZINO!$B$2:$M$4838,9,FALSE)</f>
        <v/>
      </c>
      <c r="J1029" s="17">
        <f>+VLOOKUP($A1029,MAGAZZINO!$B$2:$M$4838,10,FALSE)</f>
        <v/>
      </c>
      <c r="K1029" s="17">
        <f>+VLOOKUP($A1029,MAGAZZINO!$B$2:$M$4838,11,FALSE)</f>
        <v/>
      </c>
      <c r="L1029" s="44">
        <f>+VLOOKUP($A1029,MAGAZZINO!$B$2:$M$4838,12,FALSE)</f>
        <v/>
      </c>
    </row>
    <row r="1030" ht="36" customHeight="1">
      <c r="A1030" s="30">
        <f>+REGISTRO!A1013</f>
        <v/>
      </c>
      <c r="B1030" s="31">
        <f>+VLOOKUP($A1030,MAGAZZINO!$B$2:$M$4838,2,FALSE)</f>
        <v/>
      </c>
      <c r="C1030" s="32">
        <f>+VLOOKUP($A1030,MAGAZZINO!$B$2:$M$4838,3,FALSE)</f>
        <v/>
      </c>
      <c r="D1030" s="17">
        <f>+VLOOKUP($A1030,MAGAZZINO!$B$2:$M$4838,4,FALSE)</f>
        <v/>
      </c>
      <c r="E1030" s="17">
        <f>+VLOOKUP($A1030,MAGAZZINO!$B$2:$M$4838,5,FALSE)</f>
        <v/>
      </c>
      <c r="F1030" s="17">
        <f>+VLOOKUP($A1030,MAGAZZINO!$B$2:$M$4838,6,FALSE)</f>
        <v/>
      </c>
      <c r="G1030" s="17">
        <f>+VLOOKUP($A1030,MAGAZZINO!$B$2:$M$4838,7,FALSE)</f>
        <v/>
      </c>
      <c r="H1030" s="17">
        <f>+VLOOKUP($A1030,MAGAZZINO!$B$2:$M$4838,8,FALSE)</f>
        <v/>
      </c>
      <c r="I1030" s="17">
        <f>+VLOOKUP($A1030,MAGAZZINO!$B$2:$M$4838,9,FALSE)</f>
        <v/>
      </c>
      <c r="J1030" s="17">
        <f>+VLOOKUP($A1030,MAGAZZINO!$B$2:$M$4838,10,FALSE)</f>
        <v/>
      </c>
      <c r="K1030" s="17">
        <f>+VLOOKUP($A1030,MAGAZZINO!$B$2:$M$4838,11,FALSE)</f>
        <v/>
      </c>
      <c r="L1030" s="44">
        <f>+VLOOKUP($A1030,MAGAZZINO!$B$2:$M$4838,12,FALSE)</f>
        <v/>
      </c>
    </row>
    <row r="1031" ht="36" customHeight="1">
      <c r="A1031" s="30">
        <f>+REGISTRO!A1014</f>
        <v/>
      </c>
      <c r="B1031" s="31">
        <f>+VLOOKUP($A1031,MAGAZZINO!$B$2:$M$4838,2,FALSE)</f>
        <v/>
      </c>
      <c r="C1031" s="32">
        <f>+VLOOKUP($A1031,MAGAZZINO!$B$2:$M$4838,3,FALSE)</f>
        <v/>
      </c>
      <c r="D1031" s="17">
        <f>+VLOOKUP($A1031,MAGAZZINO!$B$2:$M$4838,4,FALSE)</f>
        <v/>
      </c>
      <c r="E1031" s="17">
        <f>+VLOOKUP($A1031,MAGAZZINO!$B$2:$M$4838,5,FALSE)</f>
        <v/>
      </c>
      <c r="F1031" s="17">
        <f>+VLOOKUP($A1031,MAGAZZINO!$B$2:$M$4838,6,FALSE)</f>
        <v/>
      </c>
      <c r="G1031" s="17">
        <f>+VLOOKUP($A1031,MAGAZZINO!$B$2:$M$4838,7,FALSE)</f>
        <v/>
      </c>
      <c r="H1031" s="17">
        <f>+VLOOKUP($A1031,MAGAZZINO!$B$2:$M$4838,8,FALSE)</f>
        <v/>
      </c>
      <c r="I1031" s="17">
        <f>+VLOOKUP($A1031,MAGAZZINO!$B$2:$M$4838,9,FALSE)</f>
        <v/>
      </c>
      <c r="J1031" s="17">
        <f>+VLOOKUP($A1031,MAGAZZINO!$B$2:$M$4838,10,FALSE)</f>
        <v/>
      </c>
      <c r="K1031" s="17">
        <f>+VLOOKUP($A1031,MAGAZZINO!$B$2:$M$4838,11,FALSE)</f>
        <v/>
      </c>
      <c r="L1031" s="44">
        <f>+VLOOKUP($A1031,MAGAZZINO!$B$2:$M$4838,12,FALSE)</f>
        <v/>
      </c>
    </row>
    <row r="1032" ht="36" customHeight="1">
      <c r="A1032" s="30">
        <f>+REGISTRO!A1015</f>
        <v/>
      </c>
      <c r="B1032" s="31">
        <f>+VLOOKUP($A1032,MAGAZZINO!$B$2:$M$4838,2,FALSE)</f>
        <v/>
      </c>
      <c r="C1032" s="32">
        <f>+VLOOKUP($A1032,MAGAZZINO!$B$2:$M$4838,3,FALSE)</f>
        <v/>
      </c>
      <c r="D1032" s="17">
        <f>+VLOOKUP($A1032,MAGAZZINO!$B$2:$M$4838,4,FALSE)</f>
        <v/>
      </c>
      <c r="E1032" s="17">
        <f>+VLOOKUP($A1032,MAGAZZINO!$B$2:$M$4838,5,FALSE)</f>
        <v/>
      </c>
      <c r="F1032" s="17">
        <f>+VLOOKUP($A1032,MAGAZZINO!$B$2:$M$4838,6,FALSE)</f>
        <v/>
      </c>
      <c r="G1032" s="17">
        <f>+VLOOKUP($A1032,MAGAZZINO!$B$2:$M$4838,7,FALSE)</f>
        <v/>
      </c>
      <c r="H1032" s="17">
        <f>+VLOOKUP($A1032,MAGAZZINO!$B$2:$M$4838,8,FALSE)</f>
        <v/>
      </c>
      <c r="I1032" s="17">
        <f>+VLOOKUP($A1032,MAGAZZINO!$B$2:$M$4838,9,FALSE)</f>
        <v/>
      </c>
      <c r="J1032" s="17">
        <f>+VLOOKUP($A1032,MAGAZZINO!$B$2:$M$4838,10,FALSE)</f>
        <v/>
      </c>
      <c r="K1032" s="17">
        <f>+VLOOKUP($A1032,MAGAZZINO!$B$2:$M$4838,11,FALSE)</f>
        <v/>
      </c>
      <c r="L1032" s="44">
        <f>+VLOOKUP($A1032,MAGAZZINO!$B$2:$M$4838,12,FALSE)</f>
        <v/>
      </c>
    </row>
    <row r="1033" ht="36" customHeight="1">
      <c r="A1033" s="30">
        <f>+REGISTRO!A1016</f>
        <v/>
      </c>
      <c r="B1033" s="31">
        <f>+VLOOKUP($A1033,MAGAZZINO!$B$2:$M$4838,2,FALSE)</f>
        <v/>
      </c>
      <c r="C1033" s="32">
        <f>+VLOOKUP($A1033,MAGAZZINO!$B$2:$M$4838,3,FALSE)</f>
        <v/>
      </c>
      <c r="D1033" s="17">
        <f>+VLOOKUP($A1033,MAGAZZINO!$B$2:$M$4838,4,FALSE)</f>
        <v/>
      </c>
      <c r="E1033" s="17">
        <f>+VLOOKUP($A1033,MAGAZZINO!$B$2:$M$4838,5,FALSE)</f>
        <v/>
      </c>
      <c r="F1033" s="17">
        <f>+VLOOKUP($A1033,MAGAZZINO!$B$2:$M$4838,6,FALSE)</f>
        <v/>
      </c>
      <c r="G1033" s="17">
        <f>+VLOOKUP($A1033,MAGAZZINO!$B$2:$M$4838,7,FALSE)</f>
        <v/>
      </c>
      <c r="H1033" s="17">
        <f>+VLOOKUP($A1033,MAGAZZINO!$B$2:$M$4838,8,FALSE)</f>
        <v/>
      </c>
      <c r="I1033" s="17">
        <f>+VLOOKUP($A1033,MAGAZZINO!$B$2:$M$4838,9,FALSE)</f>
        <v/>
      </c>
      <c r="J1033" s="17">
        <f>+VLOOKUP($A1033,MAGAZZINO!$B$2:$M$4838,10,FALSE)</f>
        <v/>
      </c>
      <c r="K1033" s="17">
        <f>+VLOOKUP($A1033,MAGAZZINO!$B$2:$M$4838,11,FALSE)</f>
        <v/>
      </c>
      <c r="L1033" s="44">
        <f>+VLOOKUP($A1033,MAGAZZINO!$B$2:$M$4838,12,FALSE)</f>
        <v/>
      </c>
    </row>
    <row r="1034" ht="36" customHeight="1">
      <c r="A1034" s="30">
        <f>+REGISTRO!A1017</f>
        <v/>
      </c>
      <c r="B1034" s="31">
        <f>+VLOOKUP($A1034,MAGAZZINO!$B$2:$M$4838,2,FALSE)</f>
        <v/>
      </c>
      <c r="C1034" s="32">
        <f>+VLOOKUP($A1034,MAGAZZINO!$B$2:$M$4838,3,FALSE)</f>
        <v/>
      </c>
      <c r="D1034" s="17">
        <f>+VLOOKUP($A1034,MAGAZZINO!$B$2:$M$4838,4,FALSE)</f>
        <v/>
      </c>
      <c r="E1034" s="17">
        <f>+VLOOKUP($A1034,MAGAZZINO!$B$2:$M$4838,5,FALSE)</f>
        <v/>
      </c>
      <c r="F1034" s="17">
        <f>+VLOOKUP($A1034,MAGAZZINO!$B$2:$M$4838,6,FALSE)</f>
        <v/>
      </c>
      <c r="G1034" s="17">
        <f>+VLOOKUP($A1034,MAGAZZINO!$B$2:$M$4838,7,FALSE)</f>
        <v/>
      </c>
      <c r="H1034" s="17">
        <f>+VLOOKUP($A1034,MAGAZZINO!$B$2:$M$4838,8,FALSE)</f>
        <v/>
      </c>
      <c r="I1034" s="17">
        <f>+VLOOKUP($A1034,MAGAZZINO!$B$2:$M$4838,9,FALSE)</f>
        <v/>
      </c>
      <c r="J1034" s="17">
        <f>+VLOOKUP($A1034,MAGAZZINO!$B$2:$M$4838,10,FALSE)</f>
        <v/>
      </c>
      <c r="K1034" s="17">
        <f>+VLOOKUP($A1034,MAGAZZINO!$B$2:$M$4838,11,FALSE)</f>
        <v/>
      </c>
      <c r="L1034" s="44">
        <f>+VLOOKUP($A1034,MAGAZZINO!$B$2:$M$4838,12,FALSE)</f>
        <v/>
      </c>
    </row>
    <row r="1035" ht="36" customHeight="1">
      <c r="A1035" s="30">
        <f>+REGISTRO!A1018</f>
        <v/>
      </c>
      <c r="B1035" s="31">
        <f>+VLOOKUP($A1035,MAGAZZINO!$B$2:$M$4838,2,FALSE)</f>
        <v/>
      </c>
      <c r="C1035" s="32">
        <f>+VLOOKUP($A1035,MAGAZZINO!$B$2:$M$4838,3,FALSE)</f>
        <v/>
      </c>
      <c r="D1035" s="17">
        <f>+VLOOKUP($A1035,MAGAZZINO!$B$2:$M$4838,4,FALSE)</f>
        <v/>
      </c>
      <c r="E1035" s="17">
        <f>+VLOOKUP($A1035,MAGAZZINO!$B$2:$M$4838,5,FALSE)</f>
        <v/>
      </c>
      <c r="F1035" s="17">
        <f>+VLOOKUP($A1035,MAGAZZINO!$B$2:$M$4838,6,FALSE)</f>
        <v/>
      </c>
      <c r="G1035" s="17">
        <f>+VLOOKUP($A1035,MAGAZZINO!$B$2:$M$4838,7,FALSE)</f>
        <v/>
      </c>
      <c r="H1035" s="17">
        <f>+VLOOKUP($A1035,MAGAZZINO!$B$2:$M$4838,8,FALSE)</f>
        <v/>
      </c>
      <c r="I1035" s="17">
        <f>+VLOOKUP($A1035,MAGAZZINO!$B$2:$M$4838,9,FALSE)</f>
        <v/>
      </c>
      <c r="J1035" s="17">
        <f>+VLOOKUP($A1035,MAGAZZINO!$B$2:$M$4838,10,FALSE)</f>
        <v/>
      </c>
      <c r="K1035" s="17">
        <f>+VLOOKUP($A1035,MAGAZZINO!$B$2:$M$4838,11,FALSE)</f>
        <v/>
      </c>
      <c r="L1035" s="44">
        <f>+VLOOKUP($A1035,MAGAZZINO!$B$2:$M$4838,12,FALSE)</f>
        <v/>
      </c>
    </row>
    <row r="1036" ht="36" customHeight="1">
      <c r="A1036" s="30">
        <f>+REGISTRO!A1019</f>
        <v/>
      </c>
      <c r="B1036" s="31">
        <f>+VLOOKUP($A1036,MAGAZZINO!$B$2:$M$4838,2,FALSE)</f>
        <v/>
      </c>
      <c r="C1036" s="32">
        <f>+VLOOKUP($A1036,MAGAZZINO!$B$2:$M$4838,3,FALSE)</f>
        <v/>
      </c>
      <c r="D1036" s="17">
        <f>+VLOOKUP($A1036,MAGAZZINO!$B$2:$M$4838,4,FALSE)</f>
        <v/>
      </c>
      <c r="E1036" s="17">
        <f>+VLOOKUP($A1036,MAGAZZINO!$B$2:$M$4838,5,FALSE)</f>
        <v/>
      </c>
      <c r="F1036" s="17">
        <f>+VLOOKUP($A1036,MAGAZZINO!$B$2:$M$4838,6,FALSE)</f>
        <v/>
      </c>
      <c r="G1036" s="17">
        <f>+VLOOKUP($A1036,MAGAZZINO!$B$2:$M$4838,7,FALSE)</f>
        <v/>
      </c>
      <c r="H1036" s="17">
        <f>+VLOOKUP($A1036,MAGAZZINO!$B$2:$M$4838,8,FALSE)</f>
        <v/>
      </c>
      <c r="I1036" s="17">
        <f>+VLOOKUP($A1036,MAGAZZINO!$B$2:$M$4838,9,FALSE)</f>
        <v/>
      </c>
      <c r="J1036" s="17">
        <f>+VLOOKUP($A1036,MAGAZZINO!$B$2:$M$4838,10,FALSE)</f>
        <v/>
      </c>
      <c r="K1036" s="17">
        <f>+VLOOKUP($A1036,MAGAZZINO!$B$2:$M$4838,11,FALSE)</f>
        <v/>
      </c>
      <c r="L1036" s="44">
        <f>+VLOOKUP($A1036,MAGAZZINO!$B$2:$M$4838,12,FALSE)</f>
        <v/>
      </c>
    </row>
    <row r="1037" ht="36" customHeight="1">
      <c r="A1037" s="30">
        <f>+REGISTRO!A1020</f>
        <v/>
      </c>
      <c r="B1037" s="31">
        <f>+VLOOKUP($A1037,MAGAZZINO!$B$2:$M$4838,2,FALSE)</f>
        <v/>
      </c>
      <c r="C1037" s="32">
        <f>+VLOOKUP($A1037,MAGAZZINO!$B$2:$M$4838,3,FALSE)</f>
        <v/>
      </c>
      <c r="D1037" s="17">
        <f>+VLOOKUP($A1037,MAGAZZINO!$B$2:$M$4838,4,FALSE)</f>
        <v/>
      </c>
      <c r="E1037" s="17">
        <f>+VLOOKUP($A1037,MAGAZZINO!$B$2:$M$4838,5,FALSE)</f>
        <v/>
      </c>
      <c r="F1037" s="17">
        <f>+VLOOKUP($A1037,MAGAZZINO!$B$2:$M$4838,6,FALSE)</f>
        <v/>
      </c>
      <c r="G1037" s="17">
        <f>+VLOOKUP($A1037,MAGAZZINO!$B$2:$M$4838,7,FALSE)</f>
        <v/>
      </c>
      <c r="H1037" s="17">
        <f>+VLOOKUP($A1037,MAGAZZINO!$B$2:$M$4838,8,FALSE)</f>
        <v/>
      </c>
      <c r="I1037" s="17">
        <f>+VLOOKUP($A1037,MAGAZZINO!$B$2:$M$4838,9,FALSE)</f>
        <v/>
      </c>
      <c r="J1037" s="17">
        <f>+VLOOKUP($A1037,MAGAZZINO!$B$2:$M$4838,10,FALSE)</f>
        <v/>
      </c>
      <c r="K1037" s="17">
        <f>+VLOOKUP($A1037,MAGAZZINO!$B$2:$M$4838,11,FALSE)</f>
        <v/>
      </c>
      <c r="L1037" s="44">
        <f>+VLOOKUP($A1037,MAGAZZINO!$B$2:$M$4838,12,FALSE)</f>
        <v/>
      </c>
    </row>
    <row r="1038" ht="36" customHeight="1">
      <c r="A1038" s="30">
        <f>+REGISTRO!A1021</f>
        <v/>
      </c>
      <c r="B1038" s="31">
        <f>+VLOOKUP($A1038,MAGAZZINO!$B$2:$M$4838,2,FALSE)</f>
        <v/>
      </c>
      <c r="C1038" s="32">
        <f>+VLOOKUP($A1038,MAGAZZINO!$B$2:$M$4838,3,FALSE)</f>
        <v/>
      </c>
      <c r="D1038" s="17">
        <f>+VLOOKUP($A1038,MAGAZZINO!$B$2:$M$4838,4,FALSE)</f>
        <v/>
      </c>
      <c r="E1038" s="17">
        <f>+VLOOKUP($A1038,MAGAZZINO!$B$2:$M$4838,5,FALSE)</f>
        <v/>
      </c>
      <c r="F1038" s="17">
        <f>+VLOOKUP($A1038,MAGAZZINO!$B$2:$M$4838,6,FALSE)</f>
        <v/>
      </c>
      <c r="G1038" s="17">
        <f>+VLOOKUP($A1038,MAGAZZINO!$B$2:$M$4838,7,FALSE)</f>
        <v/>
      </c>
      <c r="H1038" s="17">
        <f>+VLOOKUP($A1038,MAGAZZINO!$B$2:$M$4838,8,FALSE)</f>
        <v/>
      </c>
      <c r="I1038" s="17">
        <f>+VLOOKUP($A1038,MAGAZZINO!$B$2:$M$4838,9,FALSE)</f>
        <v/>
      </c>
      <c r="J1038" s="17">
        <f>+VLOOKUP($A1038,MAGAZZINO!$B$2:$M$4838,10,FALSE)</f>
        <v/>
      </c>
      <c r="K1038" s="17">
        <f>+VLOOKUP($A1038,MAGAZZINO!$B$2:$M$4838,11,FALSE)</f>
        <v/>
      </c>
      <c r="L1038" s="44">
        <f>+VLOOKUP($A1038,MAGAZZINO!$B$2:$M$4838,12,FALSE)</f>
        <v/>
      </c>
    </row>
    <row r="1039" ht="36" customHeight="1">
      <c r="A1039" s="30">
        <f>+REGISTRO!A1022</f>
        <v/>
      </c>
      <c r="B1039" s="31">
        <f>+VLOOKUP($A1039,MAGAZZINO!$B$2:$M$4838,2,FALSE)</f>
        <v/>
      </c>
      <c r="C1039" s="32">
        <f>+VLOOKUP($A1039,MAGAZZINO!$B$2:$M$4838,3,FALSE)</f>
        <v/>
      </c>
      <c r="D1039" s="17">
        <f>+VLOOKUP($A1039,MAGAZZINO!$B$2:$M$4838,4,FALSE)</f>
        <v/>
      </c>
      <c r="E1039" s="17">
        <f>+VLOOKUP($A1039,MAGAZZINO!$B$2:$M$4838,5,FALSE)</f>
        <v/>
      </c>
      <c r="F1039" s="17">
        <f>+VLOOKUP($A1039,MAGAZZINO!$B$2:$M$4838,6,FALSE)</f>
        <v/>
      </c>
      <c r="G1039" s="17">
        <f>+VLOOKUP($A1039,MAGAZZINO!$B$2:$M$4838,7,FALSE)</f>
        <v/>
      </c>
      <c r="H1039" s="17">
        <f>+VLOOKUP($A1039,MAGAZZINO!$B$2:$M$4838,8,FALSE)</f>
        <v/>
      </c>
      <c r="I1039" s="17">
        <f>+VLOOKUP($A1039,MAGAZZINO!$B$2:$M$4838,9,FALSE)</f>
        <v/>
      </c>
      <c r="J1039" s="17">
        <f>+VLOOKUP($A1039,MAGAZZINO!$B$2:$M$4838,10,FALSE)</f>
        <v/>
      </c>
      <c r="K1039" s="17">
        <f>+VLOOKUP($A1039,MAGAZZINO!$B$2:$M$4838,11,FALSE)</f>
        <v/>
      </c>
      <c r="L1039" s="44">
        <f>+VLOOKUP($A1039,MAGAZZINO!$B$2:$M$4838,12,FALSE)</f>
        <v/>
      </c>
    </row>
    <row r="1040" ht="36" customHeight="1">
      <c r="A1040" s="30">
        <f>+REGISTRO!A1023</f>
        <v/>
      </c>
      <c r="B1040" s="31">
        <f>+VLOOKUP($A1040,MAGAZZINO!$B$2:$M$4838,2,FALSE)</f>
        <v/>
      </c>
      <c r="C1040" s="32">
        <f>+VLOOKUP($A1040,MAGAZZINO!$B$2:$M$4838,3,FALSE)</f>
        <v/>
      </c>
      <c r="D1040" s="17">
        <f>+VLOOKUP($A1040,MAGAZZINO!$B$2:$M$4838,4,FALSE)</f>
        <v/>
      </c>
      <c r="E1040" s="17">
        <f>+VLOOKUP($A1040,MAGAZZINO!$B$2:$M$4838,5,FALSE)</f>
        <v/>
      </c>
      <c r="F1040" s="17">
        <f>+VLOOKUP($A1040,MAGAZZINO!$B$2:$M$4838,6,FALSE)</f>
        <v/>
      </c>
      <c r="G1040" s="17">
        <f>+VLOOKUP($A1040,MAGAZZINO!$B$2:$M$4838,7,FALSE)</f>
        <v/>
      </c>
      <c r="H1040" s="17">
        <f>+VLOOKUP($A1040,MAGAZZINO!$B$2:$M$4838,8,FALSE)</f>
        <v/>
      </c>
      <c r="I1040" s="17">
        <f>+VLOOKUP($A1040,MAGAZZINO!$B$2:$M$4838,9,FALSE)</f>
        <v/>
      </c>
      <c r="J1040" s="17">
        <f>+VLOOKUP($A1040,MAGAZZINO!$B$2:$M$4838,10,FALSE)</f>
        <v/>
      </c>
      <c r="K1040" s="17">
        <f>+VLOOKUP($A1040,MAGAZZINO!$B$2:$M$4838,11,FALSE)</f>
        <v/>
      </c>
      <c r="L1040" s="44">
        <f>+VLOOKUP($A1040,MAGAZZINO!$B$2:$M$4838,12,FALSE)</f>
        <v/>
      </c>
    </row>
    <row r="1041" ht="36" customHeight="1">
      <c r="A1041" s="30">
        <f>+REGISTRO!A1024</f>
        <v/>
      </c>
      <c r="B1041" s="31">
        <f>+VLOOKUP($A1041,MAGAZZINO!$B$2:$M$4838,2,FALSE)</f>
        <v/>
      </c>
      <c r="C1041" s="32">
        <f>+VLOOKUP($A1041,MAGAZZINO!$B$2:$M$4838,3,FALSE)</f>
        <v/>
      </c>
      <c r="D1041" s="17">
        <f>+VLOOKUP($A1041,MAGAZZINO!$B$2:$M$4838,4,FALSE)</f>
        <v/>
      </c>
      <c r="E1041" s="17">
        <f>+VLOOKUP($A1041,MAGAZZINO!$B$2:$M$4838,5,FALSE)</f>
        <v/>
      </c>
      <c r="F1041" s="17">
        <f>+VLOOKUP($A1041,MAGAZZINO!$B$2:$M$4838,6,FALSE)</f>
        <v/>
      </c>
      <c r="G1041" s="17">
        <f>+VLOOKUP($A1041,MAGAZZINO!$B$2:$M$4838,7,FALSE)</f>
        <v/>
      </c>
      <c r="H1041" s="17">
        <f>+VLOOKUP($A1041,MAGAZZINO!$B$2:$M$4838,8,FALSE)</f>
        <v/>
      </c>
      <c r="I1041" s="17">
        <f>+VLOOKUP($A1041,MAGAZZINO!$B$2:$M$4838,9,FALSE)</f>
        <v/>
      </c>
      <c r="J1041" s="17">
        <f>+VLOOKUP($A1041,MAGAZZINO!$B$2:$M$4838,10,FALSE)</f>
        <v/>
      </c>
      <c r="K1041" s="17">
        <f>+VLOOKUP($A1041,MAGAZZINO!$B$2:$M$4838,11,FALSE)</f>
        <v/>
      </c>
      <c r="L1041" s="44">
        <f>+VLOOKUP($A1041,MAGAZZINO!$B$2:$M$4838,12,FALSE)</f>
        <v/>
      </c>
    </row>
    <row r="1042" ht="36" customHeight="1">
      <c r="A1042" s="30">
        <f>+REGISTRO!A1025</f>
        <v/>
      </c>
      <c r="B1042" s="31">
        <f>+VLOOKUP($A1042,MAGAZZINO!$B$2:$M$4838,2,FALSE)</f>
        <v/>
      </c>
      <c r="C1042" s="32">
        <f>+VLOOKUP($A1042,MAGAZZINO!$B$2:$M$4838,3,FALSE)</f>
        <v/>
      </c>
      <c r="D1042" s="17">
        <f>+VLOOKUP($A1042,MAGAZZINO!$B$2:$M$4838,4,FALSE)</f>
        <v/>
      </c>
      <c r="E1042" s="17">
        <f>+VLOOKUP($A1042,MAGAZZINO!$B$2:$M$4838,5,FALSE)</f>
        <v/>
      </c>
      <c r="F1042" s="17">
        <f>+VLOOKUP($A1042,MAGAZZINO!$B$2:$M$4838,6,FALSE)</f>
        <v/>
      </c>
      <c r="G1042" s="17">
        <f>+VLOOKUP($A1042,MAGAZZINO!$B$2:$M$4838,7,FALSE)</f>
        <v/>
      </c>
      <c r="H1042" s="17">
        <f>+VLOOKUP($A1042,MAGAZZINO!$B$2:$M$4838,8,FALSE)</f>
        <v/>
      </c>
      <c r="I1042" s="17">
        <f>+VLOOKUP($A1042,MAGAZZINO!$B$2:$M$4838,9,FALSE)</f>
        <v/>
      </c>
      <c r="J1042" s="17">
        <f>+VLOOKUP($A1042,MAGAZZINO!$B$2:$M$4838,10,FALSE)</f>
        <v/>
      </c>
      <c r="K1042" s="17">
        <f>+VLOOKUP($A1042,MAGAZZINO!$B$2:$M$4838,11,FALSE)</f>
        <v/>
      </c>
      <c r="L1042" s="44">
        <f>+VLOOKUP($A1042,MAGAZZINO!$B$2:$M$4838,12,FALSE)</f>
        <v/>
      </c>
    </row>
    <row r="1043" ht="36" customHeight="1">
      <c r="A1043" s="30">
        <f>+REGISTRO!A1026</f>
        <v/>
      </c>
      <c r="B1043" s="31">
        <f>+VLOOKUP($A1043,MAGAZZINO!$B$2:$M$4838,2,FALSE)</f>
        <v/>
      </c>
      <c r="C1043" s="32">
        <f>+VLOOKUP($A1043,MAGAZZINO!$B$2:$M$4838,3,FALSE)</f>
        <v/>
      </c>
      <c r="D1043" s="17">
        <f>+VLOOKUP($A1043,MAGAZZINO!$B$2:$M$4838,4,FALSE)</f>
        <v/>
      </c>
      <c r="E1043" s="17">
        <f>+VLOOKUP($A1043,MAGAZZINO!$B$2:$M$4838,5,FALSE)</f>
        <v/>
      </c>
      <c r="F1043" s="17">
        <f>+VLOOKUP($A1043,MAGAZZINO!$B$2:$M$4838,6,FALSE)</f>
        <v/>
      </c>
      <c r="G1043" s="17">
        <f>+VLOOKUP($A1043,MAGAZZINO!$B$2:$M$4838,7,FALSE)</f>
        <v/>
      </c>
      <c r="H1043" s="17">
        <f>+VLOOKUP($A1043,MAGAZZINO!$B$2:$M$4838,8,FALSE)</f>
        <v/>
      </c>
      <c r="I1043" s="17">
        <f>+VLOOKUP($A1043,MAGAZZINO!$B$2:$M$4838,9,FALSE)</f>
        <v/>
      </c>
      <c r="J1043" s="17">
        <f>+VLOOKUP($A1043,MAGAZZINO!$B$2:$M$4838,10,FALSE)</f>
        <v/>
      </c>
      <c r="K1043" s="17">
        <f>+VLOOKUP($A1043,MAGAZZINO!$B$2:$M$4838,11,FALSE)</f>
        <v/>
      </c>
      <c r="L1043" s="44">
        <f>+VLOOKUP($A1043,MAGAZZINO!$B$2:$M$4838,12,FALSE)</f>
        <v/>
      </c>
    </row>
    <row r="1044" ht="36" customHeight="1">
      <c r="A1044" s="30">
        <f>+REGISTRO!A1027</f>
        <v/>
      </c>
      <c r="B1044" s="31">
        <f>+VLOOKUP($A1044,MAGAZZINO!$B$2:$M$4838,2,FALSE)</f>
        <v/>
      </c>
      <c r="C1044" s="32">
        <f>+VLOOKUP($A1044,MAGAZZINO!$B$2:$M$4838,3,FALSE)</f>
        <v/>
      </c>
      <c r="D1044" s="17">
        <f>+VLOOKUP($A1044,MAGAZZINO!$B$2:$M$4838,4,FALSE)</f>
        <v/>
      </c>
      <c r="E1044" s="17">
        <f>+VLOOKUP($A1044,MAGAZZINO!$B$2:$M$4838,5,FALSE)</f>
        <v/>
      </c>
      <c r="F1044" s="17">
        <f>+VLOOKUP($A1044,MAGAZZINO!$B$2:$M$4838,6,FALSE)</f>
        <v/>
      </c>
      <c r="G1044" s="17">
        <f>+VLOOKUP($A1044,MAGAZZINO!$B$2:$M$4838,7,FALSE)</f>
        <v/>
      </c>
      <c r="H1044" s="17">
        <f>+VLOOKUP($A1044,MAGAZZINO!$B$2:$M$4838,8,FALSE)</f>
        <v/>
      </c>
      <c r="I1044" s="17">
        <f>+VLOOKUP($A1044,MAGAZZINO!$B$2:$M$4838,9,FALSE)</f>
        <v/>
      </c>
      <c r="J1044" s="17">
        <f>+VLOOKUP($A1044,MAGAZZINO!$B$2:$M$4838,10,FALSE)</f>
        <v/>
      </c>
      <c r="K1044" s="17">
        <f>+VLOOKUP($A1044,MAGAZZINO!$B$2:$M$4838,11,FALSE)</f>
        <v/>
      </c>
      <c r="L1044" s="44">
        <f>+VLOOKUP($A1044,MAGAZZINO!$B$2:$M$4838,12,FALSE)</f>
        <v/>
      </c>
    </row>
    <row r="1045" ht="36" customHeight="1">
      <c r="A1045" s="30">
        <f>+REGISTRO!A1028</f>
        <v/>
      </c>
      <c r="B1045" s="31">
        <f>+VLOOKUP($A1045,MAGAZZINO!$B$2:$M$4838,2,FALSE)</f>
        <v/>
      </c>
      <c r="C1045" s="32">
        <f>+VLOOKUP($A1045,MAGAZZINO!$B$2:$M$4838,3,FALSE)</f>
        <v/>
      </c>
      <c r="D1045" s="17">
        <f>+VLOOKUP($A1045,MAGAZZINO!$B$2:$M$4838,4,FALSE)</f>
        <v/>
      </c>
      <c r="E1045" s="17">
        <f>+VLOOKUP($A1045,MAGAZZINO!$B$2:$M$4838,5,FALSE)</f>
        <v/>
      </c>
      <c r="F1045" s="17">
        <f>+VLOOKUP($A1045,MAGAZZINO!$B$2:$M$4838,6,FALSE)</f>
        <v/>
      </c>
      <c r="G1045" s="17">
        <f>+VLOOKUP($A1045,MAGAZZINO!$B$2:$M$4838,7,FALSE)</f>
        <v/>
      </c>
      <c r="H1045" s="17">
        <f>+VLOOKUP($A1045,MAGAZZINO!$B$2:$M$4838,8,FALSE)</f>
        <v/>
      </c>
      <c r="I1045" s="17">
        <f>+VLOOKUP($A1045,MAGAZZINO!$B$2:$M$4838,9,FALSE)</f>
        <v/>
      </c>
      <c r="J1045" s="17">
        <f>+VLOOKUP($A1045,MAGAZZINO!$B$2:$M$4838,10,FALSE)</f>
        <v/>
      </c>
      <c r="K1045" s="17">
        <f>+VLOOKUP($A1045,MAGAZZINO!$B$2:$M$4838,11,FALSE)</f>
        <v/>
      </c>
      <c r="L1045" s="44">
        <f>+VLOOKUP($A1045,MAGAZZINO!$B$2:$M$4838,12,FALSE)</f>
        <v/>
      </c>
    </row>
    <row r="1046" ht="36" customHeight="1">
      <c r="A1046" s="30">
        <f>+REGISTRO!A1029</f>
        <v/>
      </c>
      <c r="B1046" s="31">
        <f>+VLOOKUP($A1046,MAGAZZINO!$B$2:$M$4838,2,FALSE)</f>
        <v/>
      </c>
      <c r="C1046" s="32">
        <f>+VLOOKUP($A1046,MAGAZZINO!$B$2:$M$4838,3,FALSE)</f>
        <v/>
      </c>
      <c r="D1046" s="17">
        <f>+VLOOKUP($A1046,MAGAZZINO!$B$2:$M$4838,4,FALSE)</f>
        <v/>
      </c>
      <c r="E1046" s="17">
        <f>+VLOOKUP($A1046,MAGAZZINO!$B$2:$M$4838,5,FALSE)</f>
        <v/>
      </c>
      <c r="F1046" s="17">
        <f>+VLOOKUP($A1046,MAGAZZINO!$B$2:$M$4838,6,FALSE)</f>
        <v/>
      </c>
      <c r="G1046" s="17">
        <f>+VLOOKUP($A1046,MAGAZZINO!$B$2:$M$4838,7,FALSE)</f>
        <v/>
      </c>
      <c r="H1046" s="17">
        <f>+VLOOKUP($A1046,MAGAZZINO!$B$2:$M$4838,8,FALSE)</f>
        <v/>
      </c>
      <c r="I1046" s="17">
        <f>+VLOOKUP($A1046,MAGAZZINO!$B$2:$M$4838,9,FALSE)</f>
        <v/>
      </c>
      <c r="J1046" s="17">
        <f>+VLOOKUP($A1046,MAGAZZINO!$B$2:$M$4838,10,FALSE)</f>
        <v/>
      </c>
      <c r="K1046" s="17">
        <f>+VLOOKUP($A1046,MAGAZZINO!$B$2:$M$4838,11,FALSE)</f>
        <v/>
      </c>
      <c r="L1046" s="44">
        <f>+VLOOKUP($A1046,MAGAZZINO!$B$2:$M$4838,12,FALSE)</f>
        <v/>
      </c>
    </row>
    <row r="1047" ht="36" customHeight="1">
      <c r="A1047" s="30">
        <f>+REGISTRO!A1030</f>
        <v/>
      </c>
      <c r="B1047" s="31">
        <f>+VLOOKUP($A1047,MAGAZZINO!$B$2:$M$4838,2,FALSE)</f>
        <v/>
      </c>
      <c r="C1047" s="32">
        <f>+VLOOKUP($A1047,MAGAZZINO!$B$2:$M$4838,3,FALSE)</f>
        <v/>
      </c>
      <c r="D1047" s="17">
        <f>+VLOOKUP($A1047,MAGAZZINO!$B$2:$M$4838,4,FALSE)</f>
        <v/>
      </c>
      <c r="E1047" s="17">
        <f>+VLOOKUP($A1047,MAGAZZINO!$B$2:$M$4838,5,FALSE)</f>
        <v/>
      </c>
      <c r="F1047" s="17">
        <f>+VLOOKUP($A1047,MAGAZZINO!$B$2:$M$4838,6,FALSE)</f>
        <v/>
      </c>
      <c r="G1047" s="17">
        <f>+VLOOKUP($A1047,MAGAZZINO!$B$2:$M$4838,7,FALSE)</f>
        <v/>
      </c>
      <c r="H1047" s="17">
        <f>+VLOOKUP($A1047,MAGAZZINO!$B$2:$M$4838,8,FALSE)</f>
        <v/>
      </c>
      <c r="I1047" s="17">
        <f>+VLOOKUP($A1047,MAGAZZINO!$B$2:$M$4838,9,FALSE)</f>
        <v/>
      </c>
      <c r="J1047" s="17">
        <f>+VLOOKUP($A1047,MAGAZZINO!$B$2:$M$4838,10,FALSE)</f>
        <v/>
      </c>
      <c r="K1047" s="17">
        <f>+VLOOKUP($A1047,MAGAZZINO!$B$2:$M$4838,11,FALSE)</f>
        <v/>
      </c>
      <c r="L1047" s="44">
        <f>+VLOOKUP($A1047,MAGAZZINO!$B$2:$M$4838,12,FALSE)</f>
        <v/>
      </c>
    </row>
    <row r="1048" ht="36" customHeight="1">
      <c r="A1048" s="30">
        <f>+REGISTRO!A1031</f>
        <v/>
      </c>
      <c r="B1048" s="31">
        <f>+VLOOKUP($A1048,MAGAZZINO!$B$2:$M$4838,2,FALSE)</f>
        <v/>
      </c>
      <c r="C1048" s="32">
        <f>+VLOOKUP($A1048,MAGAZZINO!$B$2:$M$4838,3,FALSE)</f>
        <v/>
      </c>
      <c r="D1048" s="17">
        <f>+VLOOKUP($A1048,MAGAZZINO!$B$2:$M$4838,4,FALSE)</f>
        <v/>
      </c>
      <c r="E1048" s="17">
        <f>+VLOOKUP($A1048,MAGAZZINO!$B$2:$M$4838,5,FALSE)</f>
        <v/>
      </c>
      <c r="F1048" s="17">
        <f>+VLOOKUP($A1048,MAGAZZINO!$B$2:$M$4838,6,FALSE)</f>
        <v/>
      </c>
      <c r="G1048" s="17">
        <f>+VLOOKUP($A1048,MAGAZZINO!$B$2:$M$4838,7,FALSE)</f>
        <v/>
      </c>
      <c r="H1048" s="17">
        <f>+VLOOKUP($A1048,MAGAZZINO!$B$2:$M$4838,8,FALSE)</f>
        <v/>
      </c>
      <c r="I1048" s="17">
        <f>+VLOOKUP($A1048,MAGAZZINO!$B$2:$M$4838,9,FALSE)</f>
        <v/>
      </c>
      <c r="J1048" s="17">
        <f>+VLOOKUP($A1048,MAGAZZINO!$B$2:$M$4838,10,FALSE)</f>
        <v/>
      </c>
      <c r="K1048" s="17">
        <f>+VLOOKUP($A1048,MAGAZZINO!$B$2:$M$4838,11,FALSE)</f>
        <v/>
      </c>
      <c r="L1048" s="44">
        <f>+VLOOKUP($A1048,MAGAZZINO!$B$2:$M$4838,12,FALSE)</f>
        <v/>
      </c>
    </row>
    <row r="1049" ht="36" customHeight="1">
      <c r="A1049" s="30">
        <f>+REGISTRO!A1032</f>
        <v/>
      </c>
      <c r="B1049" s="31">
        <f>+VLOOKUP($A1049,MAGAZZINO!$B$2:$M$4838,2,FALSE)</f>
        <v/>
      </c>
      <c r="C1049" s="32">
        <f>+VLOOKUP($A1049,MAGAZZINO!$B$2:$M$4838,3,FALSE)</f>
        <v/>
      </c>
      <c r="D1049" s="17">
        <f>+VLOOKUP($A1049,MAGAZZINO!$B$2:$M$4838,4,FALSE)</f>
        <v/>
      </c>
      <c r="E1049" s="17">
        <f>+VLOOKUP($A1049,MAGAZZINO!$B$2:$M$4838,5,FALSE)</f>
        <v/>
      </c>
      <c r="F1049" s="17">
        <f>+VLOOKUP($A1049,MAGAZZINO!$B$2:$M$4838,6,FALSE)</f>
        <v/>
      </c>
      <c r="G1049" s="17">
        <f>+VLOOKUP($A1049,MAGAZZINO!$B$2:$M$4838,7,FALSE)</f>
        <v/>
      </c>
      <c r="H1049" s="17">
        <f>+VLOOKUP($A1049,MAGAZZINO!$B$2:$M$4838,8,FALSE)</f>
        <v/>
      </c>
      <c r="I1049" s="17">
        <f>+VLOOKUP($A1049,MAGAZZINO!$B$2:$M$4838,9,FALSE)</f>
        <v/>
      </c>
      <c r="J1049" s="17">
        <f>+VLOOKUP($A1049,MAGAZZINO!$B$2:$M$4838,10,FALSE)</f>
        <v/>
      </c>
      <c r="K1049" s="17">
        <f>+VLOOKUP($A1049,MAGAZZINO!$B$2:$M$4838,11,FALSE)</f>
        <v/>
      </c>
      <c r="L1049" s="44">
        <f>+VLOOKUP($A1049,MAGAZZINO!$B$2:$M$4838,12,FALSE)</f>
        <v/>
      </c>
    </row>
    <row r="1050" ht="36" customHeight="1">
      <c r="A1050" s="30">
        <f>+REGISTRO!A1033</f>
        <v/>
      </c>
      <c r="B1050" s="31">
        <f>+VLOOKUP($A1050,MAGAZZINO!$B$2:$M$4838,2,FALSE)</f>
        <v/>
      </c>
      <c r="C1050" s="32">
        <f>+VLOOKUP($A1050,MAGAZZINO!$B$2:$M$4838,3,FALSE)</f>
        <v/>
      </c>
      <c r="D1050" s="17">
        <f>+VLOOKUP($A1050,MAGAZZINO!$B$2:$M$4838,4,FALSE)</f>
        <v/>
      </c>
      <c r="E1050" s="17">
        <f>+VLOOKUP($A1050,MAGAZZINO!$B$2:$M$4838,5,FALSE)</f>
        <v/>
      </c>
      <c r="F1050" s="17">
        <f>+VLOOKUP($A1050,MAGAZZINO!$B$2:$M$4838,6,FALSE)</f>
        <v/>
      </c>
      <c r="G1050" s="17">
        <f>+VLOOKUP($A1050,MAGAZZINO!$B$2:$M$4838,7,FALSE)</f>
        <v/>
      </c>
      <c r="H1050" s="17">
        <f>+VLOOKUP($A1050,MAGAZZINO!$B$2:$M$4838,8,FALSE)</f>
        <v/>
      </c>
      <c r="I1050" s="17">
        <f>+VLOOKUP($A1050,MAGAZZINO!$B$2:$M$4838,9,FALSE)</f>
        <v/>
      </c>
      <c r="J1050" s="17">
        <f>+VLOOKUP($A1050,MAGAZZINO!$B$2:$M$4838,10,FALSE)</f>
        <v/>
      </c>
      <c r="K1050" s="17">
        <f>+VLOOKUP($A1050,MAGAZZINO!$B$2:$M$4838,11,FALSE)</f>
        <v/>
      </c>
      <c r="L1050" s="44">
        <f>+VLOOKUP($A1050,MAGAZZINO!$B$2:$M$4838,12,FALSE)</f>
        <v/>
      </c>
    </row>
    <row r="1051" ht="36" customHeight="1">
      <c r="A1051" s="30">
        <f>+REGISTRO!A1034</f>
        <v/>
      </c>
      <c r="B1051" s="31">
        <f>+VLOOKUP($A1051,MAGAZZINO!$B$2:$M$4838,2,FALSE)</f>
        <v/>
      </c>
      <c r="C1051" s="32">
        <f>+VLOOKUP($A1051,MAGAZZINO!$B$2:$M$4838,3,FALSE)</f>
        <v/>
      </c>
      <c r="D1051" s="17">
        <f>+VLOOKUP($A1051,MAGAZZINO!$B$2:$M$4838,4,FALSE)</f>
        <v/>
      </c>
      <c r="E1051" s="17">
        <f>+VLOOKUP($A1051,MAGAZZINO!$B$2:$M$4838,5,FALSE)</f>
        <v/>
      </c>
      <c r="F1051" s="17">
        <f>+VLOOKUP($A1051,MAGAZZINO!$B$2:$M$4838,6,FALSE)</f>
        <v/>
      </c>
      <c r="G1051" s="17">
        <f>+VLOOKUP($A1051,MAGAZZINO!$B$2:$M$4838,7,FALSE)</f>
        <v/>
      </c>
      <c r="H1051" s="17">
        <f>+VLOOKUP($A1051,MAGAZZINO!$B$2:$M$4838,8,FALSE)</f>
        <v/>
      </c>
      <c r="I1051" s="17">
        <f>+VLOOKUP($A1051,MAGAZZINO!$B$2:$M$4838,9,FALSE)</f>
        <v/>
      </c>
      <c r="J1051" s="17">
        <f>+VLOOKUP($A1051,MAGAZZINO!$B$2:$M$4838,10,FALSE)</f>
        <v/>
      </c>
      <c r="K1051" s="17">
        <f>+VLOOKUP($A1051,MAGAZZINO!$B$2:$M$4838,11,FALSE)</f>
        <v/>
      </c>
      <c r="L1051" s="44">
        <f>+VLOOKUP($A1051,MAGAZZINO!$B$2:$M$4838,12,FALSE)</f>
        <v/>
      </c>
    </row>
    <row r="1052" ht="36" customHeight="1">
      <c r="A1052" s="30">
        <f>+REGISTRO!A1035</f>
        <v/>
      </c>
      <c r="B1052" s="31">
        <f>+VLOOKUP($A1052,MAGAZZINO!$B$2:$M$4838,2,FALSE)</f>
        <v/>
      </c>
      <c r="C1052" s="32">
        <f>+VLOOKUP($A1052,MAGAZZINO!$B$2:$M$4838,3,FALSE)</f>
        <v/>
      </c>
      <c r="D1052" s="17">
        <f>+VLOOKUP($A1052,MAGAZZINO!$B$2:$M$4838,4,FALSE)</f>
        <v/>
      </c>
      <c r="E1052" s="17">
        <f>+VLOOKUP($A1052,MAGAZZINO!$B$2:$M$4838,5,FALSE)</f>
        <v/>
      </c>
      <c r="F1052" s="17">
        <f>+VLOOKUP($A1052,MAGAZZINO!$B$2:$M$4838,6,FALSE)</f>
        <v/>
      </c>
      <c r="G1052" s="17">
        <f>+VLOOKUP($A1052,MAGAZZINO!$B$2:$M$4838,7,FALSE)</f>
        <v/>
      </c>
      <c r="H1052" s="17">
        <f>+VLOOKUP($A1052,MAGAZZINO!$B$2:$M$4838,8,FALSE)</f>
        <v/>
      </c>
      <c r="I1052" s="17">
        <f>+VLOOKUP($A1052,MAGAZZINO!$B$2:$M$4838,9,FALSE)</f>
        <v/>
      </c>
      <c r="J1052" s="17">
        <f>+VLOOKUP($A1052,MAGAZZINO!$B$2:$M$4838,10,FALSE)</f>
        <v/>
      </c>
      <c r="K1052" s="17">
        <f>+VLOOKUP($A1052,MAGAZZINO!$B$2:$M$4838,11,FALSE)</f>
        <v/>
      </c>
      <c r="L1052" s="44">
        <f>+VLOOKUP($A1052,MAGAZZINO!$B$2:$M$4838,12,FALSE)</f>
        <v/>
      </c>
    </row>
    <row r="1053" ht="36" customHeight="1">
      <c r="A1053" s="30">
        <f>+REGISTRO!A1036</f>
        <v/>
      </c>
      <c r="B1053" s="31">
        <f>+VLOOKUP($A1053,MAGAZZINO!$B$2:$M$4838,2,FALSE)</f>
        <v/>
      </c>
      <c r="C1053" s="32">
        <f>+VLOOKUP($A1053,MAGAZZINO!$B$2:$M$4838,3,FALSE)</f>
        <v/>
      </c>
      <c r="D1053" s="17">
        <f>+VLOOKUP($A1053,MAGAZZINO!$B$2:$M$4838,4,FALSE)</f>
        <v/>
      </c>
      <c r="E1053" s="17">
        <f>+VLOOKUP($A1053,MAGAZZINO!$B$2:$M$4838,5,FALSE)</f>
        <v/>
      </c>
      <c r="F1053" s="17">
        <f>+VLOOKUP($A1053,MAGAZZINO!$B$2:$M$4838,6,FALSE)</f>
        <v/>
      </c>
      <c r="G1053" s="17">
        <f>+VLOOKUP($A1053,MAGAZZINO!$B$2:$M$4838,7,FALSE)</f>
        <v/>
      </c>
      <c r="H1053" s="17">
        <f>+VLOOKUP($A1053,MAGAZZINO!$B$2:$M$4838,8,FALSE)</f>
        <v/>
      </c>
      <c r="I1053" s="17">
        <f>+VLOOKUP($A1053,MAGAZZINO!$B$2:$M$4838,9,FALSE)</f>
        <v/>
      </c>
      <c r="J1053" s="17">
        <f>+VLOOKUP($A1053,MAGAZZINO!$B$2:$M$4838,10,FALSE)</f>
        <v/>
      </c>
      <c r="K1053" s="17">
        <f>+VLOOKUP($A1053,MAGAZZINO!$B$2:$M$4838,11,FALSE)</f>
        <v/>
      </c>
      <c r="L1053" s="44">
        <f>+VLOOKUP($A1053,MAGAZZINO!$B$2:$M$4838,12,FALSE)</f>
        <v/>
      </c>
    </row>
    <row r="1054" ht="36" customHeight="1">
      <c r="A1054" s="30">
        <f>+REGISTRO!A1037</f>
        <v/>
      </c>
      <c r="B1054" s="31">
        <f>+VLOOKUP($A1054,MAGAZZINO!$B$2:$M$4838,2,FALSE)</f>
        <v/>
      </c>
      <c r="C1054" s="32">
        <f>+VLOOKUP($A1054,MAGAZZINO!$B$2:$M$4838,3,FALSE)</f>
        <v/>
      </c>
      <c r="D1054" s="17">
        <f>+VLOOKUP($A1054,MAGAZZINO!$B$2:$M$4838,4,FALSE)</f>
        <v/>
      </c>
      <c r="E1054" s="17">
        <f>+VLOOKUP($A1054,MAGAZZINO!$B$2:$M$4838,5,FALSE)</f>
        <v/>
      </c>
      <c r="F1054" s="17">
        <f>+VLOOKUP($A1054,MAGAZZINO!$B$2:$M$4838,6,FALSE)</f>
        <v/>
      </c>
      <c r="G1054" s="17">
        <f>+VLOOKUP($A1054,MAGAZZINO!$B$2:$M$4838,7,FALSE)</f>
        <v/>
      </c>
      <c r="H1054" s="17">
        <f>+VLOOKUP($A1054,MAGAZZINO!$B$2:$M$4838,8,FALSE)</f>
        <v/>
      </c>
      <c r="I1054" s="17">
        <f>+VLOOKUP($A1054,MAGAZZINO!$B$2:$M$4838,9,FALSE)</f>
        <v/>
      </c>
      <c r="J1054" s="17">
        <f>+VLOOKUP($A1054,MAGAZZINO!$B$2:$M$4838,10,FALSE)</f>
        <v/>
      </c>
      <c r="K1054" s="17">
        <f>+VLOOKUP($A1054,MAGAZZINO!$B$2:$M$4838,11,FALSE)</f>
        <v/>
      </c>
      <c r="L1054" s="44">
        <f>+VLOOKUP($A1054,MAGAZZINO!$B$2:$M$4838,12,FALSE)</f>
        <v/>
      </c>
    </row>
    <row r="1055" ht="36" customHeight="1">
      <c r="A1055" s="30">
        <f>+REGISTRO!A1038</f>
        <v/>
      </c>
      <c r="B1055" s="31">
        <f>+VLOOKUP($A1055,MAGAZZINO!$B$2:$M$4838,2,FALSE)</f>
        <v/>
      </c>
      <c r="C1055" s="32">
        <f>+VLOOKUP($A1055,MAGAZZINO!$B$2:$M$4838,3,FALSE)</f>
        <v/>
      </c>
      <c r="D1055" s="17">
        <f>+VLOOKUP($A1055,MAGAZZINO!$B$2:$M$4838,4,FALSE)</f>
        <v/>
      </c>
      <c r="E1055" s="17">
        <f>+VLOOKUP($A1055,MAGAZZINO!$B$2:$M$4838,5,FALSE)</f>
        <v/>
      </c>
      <c r="F1055" s="17">
        <f>+VLOOKUP($A1055,MAGAZZINO!$B$2:$M$4838,6,FALSE)</f>
        <v/>
      </c>
      <c r="G1055" s="17">
        <f>+VLOOKUP($A1055,MAGAZZINO!$B$2:$M$4838,7,FALSE)</f>
        <v/>
      </c>
      <c r="H1055" s="17">
        <f>+VLOOKUP($A1055,MAGAZZINO!$B$2:$M$4838,8,FALSE)</f>
        <v/>
      </c>
      <c r="I1055" s="17">
        <f>+VLOOKUP($A1055,MAGAZZINO!$B$2:$M$4838,9,FALSE)</f>
        <v/>
      </c>
      <c r="J1055" s="17">
        <f>+VLOOKUP($A1055,MAGAZZINO!$B$2:$M$4838,10,FALSE)</f>
        <v/>
      </c>
      <c r="K1055" s="17">
        <f>+VLOOKUP($A1055,MAGAZZINO!$B$2:$M$4838,11,FALSE)</f>
        <v/>
      </c>
      <c r="L1055" s="44">
        <f>+VLOOKUP($A1055,MAGAZZINO!$B$2:$M$4838,12,FALSE)</f>
        <v/>
      </c>
    </row>
    <row r="1056" ht="36" customHeight="1">
      <c r="A1056" s="30">
        <f>+REGISTRO!A1039</f>
        <v/>
      </c>
      <c r="B1056" s="31">
        <f>+VLOOKUP($A1056,MAGAZZINO!$B$2:$M$4838,2,FALSE)</f>
        <v/>
      </c>
      <c r="C1056" s="32">
        <f>+VLOOKUP($A1056,MAGAZZINO!$B$2:$M$4838,3,FALSE)</f>
        <v/>
      </c>
      <c r="D1056" s="17">
        <f>+VLOOKUP($A1056,MAGAZZINO!$B$2:$M$4838,4,FALSE)</f>
        <v/>
      </c>
      <c r="E1056" s="17">
        <f>+VLOOKUP($A1056,MAGAZZINO!$B$2:$M$4838,5,FALSE)</f>
        <v/>
      </c>
      <c r="F1056" s="17">
        <f>+VLOOKUP($A1056,MAGAZZINO!$B$2:$M$4838,6,FALSE)</f>
        <v/>
      </c>
      <c r="G1056" s="17">
        <f>+VLOOKUP($A1056,MAGAZZINO!$B$2:$M$4838,7,FALSE)</f>
        <v/>
      </c>
      <c r="H1056" s="17">
        <f>+VLOOKUP($A1056,MAGAZZINO!$B$2:$M$4838,8,FALSE)</f>
        <v/>
      </c>
      <c r="I1056" s="17">
        <f>+VLOOKUP($A1056,MAGAZZINO!$B$2:$M$4838,9,FALSE)</f>
        <v/>
      </c>
      <c r="J1056" s="17">
        <f>+VLOOKUP($A1056,MAGAZZINO!$B$2:$M$4838,10,FALSE)</f>
        <v/>
      </c>
      <c r="K1056" s="17">
        <f>+VLOOKUP($A1056,MAGAZZINO!$B$2:$M$4838,11,FALSE)</f>
        <v/>
      </c>
      <c r="L1056" s="44">
        <f>+VLOOKUP($A1056,MAGAZZINO!$B$2:$M$4838,12,FALSE)</f>
        <v/>
      </c>
    </row>
    <row r="1057" ht="36" customHeight="1">
      <c r="A1057" s="30">
        <f>+REGISTRO!A1040</f>
        <v/>
      </c>
      <c r="B1057" s="31">
        <f>+VLOOKUP($A1057,MAGAZZINO!$B$2:$M$4838,2,FALSE)</f>
        <v/>
      </c>
      <c r="C1057" s="32">
        <f>+VLOOKUP($A1057,MAGAZZINO!$B$2:$M$4838,3,FALSE)</f>
        <v/>
      </c>
      <c r="D1057" s="17">
        <f>+VLOOKUP($A1057,MAGAZZINO!$B$2:$M$4838,4,FALSE)</f>
        <v/>
      </c>
      <c r="E1057" s="17">
        <f>+VLOOKUP($A1057,MAGAZZINO!$B$2:$M$4838,5,FALSE)</f>
        <v/>
      </c>
      <c r="F1057" s="17">
        <f>+VLOOKUP($A1057,MAGAZZINO!$B$2:$M$4838,6,FALSE)</f>
        <v/>
      </c>
      <c r="G1057" s="17">
        <f>+VLOOKUP($A1057,MAGAZZINO!$B$2:$M$4838,7,FALSE)</f>
        <v/>
      </c>
      <c r="H1057" s="17">
        <f>+VLOOKUP($A1057,MAGAZZINO!$B$2:$M$4838,8,FALSE)</f>
        <v/>
      </c>
      <c r="I1057" s="17">
        <f>+VLOOKUP($A1057,MAGAZZINO!$B$2:$M$4838,9,FALSE)</f>
        <v/>
      </c>
      <c r="J1057" s="17">
        <f>+VLOOKUP($A1057,MAGAZZINO!$B$2:$M$4838,10,FALSE)</f>
        <v/>
      </c>
      <c r="K1057" s="17">
        <f>+VLOOKUP($A1057,MAGAZZINO!$B$2:$M$4838,11,FALSE)</f>
        <v/>
      </c>
      <c r="L1057" s="44">
        <f>+VLOOKUP($A1057,MAGAZZINO!$B$2:$M$4838,12,FALSE)</f>
        <v/>
      </c>
    </row>
    <row r="1058" ht="36" customHeight="1">
      <c r="A1058" s="30">
        <f>+REGISTRO!A1041</f>
        <v/>
      </c>
      <c r="B1058" s="31">
        <f>+VLOOKUP($A1058,MAGAZZINO!$B$2:$M$4838,2,FALSE)</f>
        <v/>
      </c>
      <c r="C1058" s="32">
        <f>+VLOOKUP($A1058,MAGAZZINO!$B$2:$M$4838,3,FALSE)</f>
        <v/>
      </c>
      <c r="D1058" s="17">
        <f>+VLOOKUP($A1058,MAGAZZINO!$B$2:$M$4838,4,FALSE)</f>
        <v/>
      </c>
      <c r="E1058" s="17">
        <f>+VLOOKUP($A1058,MAGAZZINO!$B$2:$M$4838,5,FALSE)</f>
        <v/>
      </c>
      <c r="F1058" s="17">
        <f>+VLOOKUP($A1058,MAGAZZINO!$B$2:$M$4838,6,FALSE)</f>
        <v/>
      </c>
      <c r="G1058" s="17">
        <f>+VLOOKUP($A1058,MAGAZZINO!$B$2:$M$4838,7,FALSE)</f>
        <v/>
      </c>
      <c r="H1058" s="17">
        <f>+VLOOKUP($A1058,MAGAZZINO!$B$2:$M$4838,8,FALSE)</f>
        <v/>
      </c>
      <c r="I1058" s="17">
        <f>+VLOOKUP($A1058,MAGAZZINO!$B$2:$M$4838,9,FALSE)</f>
        <v/>
      </c>
      <c r="J1058" s="17">
        <f>+VLOOKUP($A1058,MAGAZZINO!$B$2:$M$4838,10,FALSE)</f>
        <v/>
      </c>
      <c r="K1058" s="17">
        <f>+VLOOKUP($A1058,MAGAZZINO!$B$2:$M$4838,11,FALSE)</f>
        <v/>
      </c>
      <c r="L1058" s="44">
        <f>+VLOOKUP($A1058,MAGAZZINO!$B$2:$M$4838,12,FALSE)</f>
        <v/>
      </c>
    </row>
    <row r="1059" ht="36" customHeight="1">
      <c r="A1059" s="30">
        <f>+REGISTRO!A1042</f>
        <v/>
      </c>
      <c r="B1059" s="31">
        <f>+VLOOKUP($A1059,MAGAZZINO!$B$2:$M$4838,2,FALSE)</f>
        <v/>
      </c>
      <c r="C1059" s="32">
        <f>+VLOOKUP($A1059,MAGAZZINO!$B$2:$M$4838,3,FALSE)</f>
        <v/>
      </c>
      <c r="D1059" s="17">
        <f>+VLOOKUP($A1059,MAGAZZINO!$B$2:$M$4838,4,FALSE)</f>
        <v/>
      </c>
      <c r="E1059" s="17">
        <f>+VLOOKUP($A1059,MAGAZZINO!$B$2:$M$4838,5,FALSE)</f>
        <v/>
      </c>
      <c r="F1059" s="17">
        <f>+VLOOKUP($A1059,MAGAZZINO!$B$2:$M$4838,6,FALSE)</f>
        <v/>
      </c>
      <c r="G1059" s="17">
        <f>+VLOOKUP($A1059,MAGAZZINO!$B$2:$M$4838,7,FALSE)</f>
        <v/>
      </c>
      <c r="H1059" s="17">
        <f>+VLOOKUP($A1059,MAGAZZINO!$B$2:$M$4838,8,FALSE)</f>
        <v/>
      </c>
      <c r="I1059" s="17">
        <f>+VLOOKUP($A1059,MAGAZZINO!$B$2:$M$4838,9,FALSE)</f>
        <v/>
      </c>
      <c r="J1059" s="17">
        <f>+VLOOKUP($A1059,MAGAZZINO!$B$2:$M$4838,10,FALSE)</f>
        <v/>
      </c>
      <c r="K1059" s="17">
        <f>+VLOOKUP($A1059,MAGAZZINO!$B$2:$M$4838,11,FALSE)</f>
        <v/>
      </c>
      <c r="L1059" s="44">
        <f>+VLOOKUP($A1059,MAGAZZINO!$B$2:$M$4838,12,FALSE)</f>
        <v/>
      </c>
    </row>
    <row r="1060" ht="36" customHeight="1">
      <c r="A1060" s="30">
        <f>+REGISTRO!A1043</f>
        <v/>
      </c>
      <c r="B1060" s="31">
        <f>+VLOOKUP($A1060,MAGAZZINO!$B$2:$M$4838,2,FALSE)</f>
        <v/>
      </c>
      <c r="C1060" s="32">
        <f>+VLOOKUP($A1060,MAGAZZINO!$B$2:$M$4838,3,FALSE)</f>
        <v/>
      </c>
      <c r="D1060" s="17">
        <f>+VLOOKUP($A1060,MAGAZZINO!$B$2:$M$4838,4,FALSE)</f>
        <v/>
      </c>
      <c r="E1060" s="17">
        <f>+VLOOKUP($A1060,MAGAZZINO!$B$2:$M$4838,5,FALSE)</f>
        <v/>
      </c>
      <c r="F1060" s="17">
        <f>+VLOOKUP($A1060,MAGAZZINO!$B$2:$M$4838,6,FALSE)</f>
        <v/>
      </c>
      <c r="G1060" s="17">
        <f>+VLOOKUP($A1060,MAGAZZINO!$B$2:$M$4838,7,FALSE)</f>
        <v/>
      </c>
      <c r="H1060" s="17">
        <f>+VLOOKUP($A1060,MAGAZZINO!$B$2:$M$4838,8,FALSE)</f>
        <v/>
      </c>
      <c r="I1060" s="17">
        <f>+VLOOKUP($A1060,MAGAZZINO!$B$2:$M$4838,9,FALSE)</f>
        <v/>
      </c>
      <c r="J1060" s="17">
        <f>+VLOOKUP($A1060,MAGAZZINO!$B$2:$M$4838,10,FALSE)</f>
        <v/>
      </c>
      <c r="K1060" s="17">
        <f>+VLOOKUP($A1060,MAGAZZINO!$B$2:$M$4838,11,FALSE)</f>
        <v/>
      </c>
      <c r="L1060" s="44">
        <f>+VLOOKUP($A1060,MAGAZZINO!$B$2:$M$4838,12,FALSE)</f>
        <v/>
      </c>
    </row>
    <row r="1061" ht="36" customHeight="1">
      <c r="A1061" s="30">
        <f>+REGISTRO!A1044</f>
        <v/>
      </c>
      <c r="B1061" s="31">
        <f>+VLOOKUP($A1061,MAGAZZINO!$B$2:$M$4838,2,FALSE)</f>
        <v/>
      </c>
      <c r="C1061" s="32">
        <f>+VLOOKUP($A1061,MAGAZZINO!$B$2:$M$4838,3,FALSE)</f>
        <v/>
      </c>
      <c r="D1061" s="17">
        <f>+VLOOKUP($A1061,MAGAZZINO!$B$2:$M$4838,4,FALSE)</f>
        <v/>
      </c>
      <c r="E1061" s="17">
        <f>+VLOOKUP($A1061,MAGAZZINO!$B$2:$M$4838,5,FALSE)</f>
        <v/>
      </c>
      <c r="F1061" s="17">
        <f>+VLOOKUP($A1061,MAGAZZINO!$B$2:$M$4838,6,FALSE)</f>
        <v/>
      </c>
      <c r="G1061" s="17">
        <f>+VLOOKUP($A1061,MAGAZZINO!$B$2:$M$4838,7,FALSE)</f>
        <v/>
      </c>
      <c r="H1061" s="17">
        <f>+VLOOKUP($A1061,MAGAZZINO!$B$2:$M$4838,8,FALSE)</f>
        <v/>
      </c>
      <c r="I1061" s="17">
        <f>+VLOOKUP($A1061,MAGAZZINO!$B$2:$M$4838,9,FALSE)</f>
        <v/>
      </c>
      <c r="J1061" s="17">
        <f>+VLOOKUP($A1061,MAGAZZINO!$B$2:$M$4838,10,FALSE)</f>
        <v/>
      </c>
      <c r="K1061" s="17">
        <f>+VLOOKUP($A1061,MAGAZZINO!$B$2:$M$4838,11,FALSE)</f>
        <v/>
      </c>
      <c r="L1061" s="44">
        <f>+VLOOKUP($A1061,MAGAZZINO!$B$2:$M$4838,12,FALSE)</f>
        <v/>
      </c>
    </row>
    <row r="1062" ht="36" customHeight="1">
      <c r="A1062" s="30">
        <f>+REGISTRO!A1045</f>
        <v/>
      </c>
      <c r="B1062" s="31">
        <f>+VLOOKUP($A1062,MAGAZZINO!$B$2:$M$4838,2,FALSE)</f>
        <v/>
      </c>
      <c r="C1062" s="32">
        <f>+VLOOKUP($A1062,MAGAZZINO!$B$2:$M$4838,3,FALSE)</f>
        <v/>
      </c>
      <c r="D1062" s="17">
        <f>+VLOOKUP($A1062,MAGAZZINO!$B$2:$M$4838,4,FALSE)</f>
        <v/>
      </c>
      <c r="E1062" s="17">
        <f>+VLOOKUP($A1062,MAGAZZINO!$B$2:$M$4838,5,FALSE)</f>
        <v/>
      </c>
      <c r="F1062" s="17">
        <f>+VLOOKUP($A1062,MAGAZZINO!$B$2:$M$4838,6,FALSE)</f>
        <v/>
      </c>
      <c r="G1062" s="17">
        <f>+VLOOKUP($A1062,MAGAZZINO!$B$2:$M$4838,7,FALSE)</f>
        <v/>
      </c>
      <c r="H1062" s="17">
        <f>+VLOOKUP($A1062,MAGAZZINO!$B$2:$M$4838,8,FALSE)</f>
        <v/>
      </c>
      <c r="I1062" s="17">
        <f>+VLOOKUP($A1062,MAGAZZINO!$B$2:$M$4838,9,FALSE)</f>
        <v/>
      </c>
      <c r="J1062" s="17">
        <f>+VLOOKUP($A1062,MAGAZZINO!$B$2:$M$4838,10,FALSE)</f>
        <v/>
      </c>
      <c r="K1062" s="17">
        <f>+VLOOKUP($A1062,MAGAZZINO!$B$2:$M$4838,11,FALSE)</f>
        <v/>
      </c>
      <c r="L1062" s="44">
        <f>+VLOOKUP($A1062,MAGAZZINO!$B$2:$M$4838,12,FALSE)</f>
        <v/>
      </c>
    </row>
    <row r="1063" ht="36" customHeight="1">
      <c r="A1063" s="30">
        <f>+REGISTRO!A1046</f>
        <v/>
      </c>
      <c r="B1063" s="31">
        <f>+VLOOKUP($A1063,MAGAZZINO!$B$2:$M$4838,2,FALSE)</f>
        <v/>
      </c>
      <c r="C1063" s="32">
        <f>+VLOOKUP($A1063,MAGAZZINO!$B$2:$M$4838,3,FALSE)</f>
        <v/>
      </c>
      <c r="D1063" s="17">
        <f>+VLOOKUP($A1063,MAGAZZINO!$B$2:$M$4838,4,FALSE)</f>
        <v/>
      </c>
      <c r="E1063" s="17">
        <f>+VLOOKUP($A1063,MAGAZZINO!$B$2:$M$4838,5,FALSE)</f>
        <v/>
      </c>
      <c r="F1063" s="17">
        <f>+VLOOKUP($A1063,MAGAZZINO!$B$2:$M$4838,6,FALSE)</f>
        <v/>
      </c>
      <c r="G1063" s="17">
        <f>+VLOOKUP($A1063,MAGAZZINO!$B$2:$M$4838,7,FALSE)</f>
        <v/>
      </c>
      <c r="H1063" s="17">
        <f>+VLOOKUP($A1063,MAGAZZINO!$B$2:$M$4838,8,FALSE)</f>
        <v/>
      </c>
      <c r="I1063" s="17">
        <f>+VLOOKUP($A1063,MAGAZZINO!$B$2:$M$4838,9,FALSE)</f>
        <v/>
      </c>
      <c r="J1063" s="17">
        <f>+VLOOKUP($A1063,MAGAZZINO!$B$2:$M$4838,10,FALSE)</f>
        <v/>
      </c>
      <c r="K1063" s="17">
        <f>+VLOOKUP($A1063,MAGAZZINO!$B$2:$M$4838,11,FALSE)</f>
        <v/>
      </c>
      <c r="L1063" s="44">
        <f>+VLOOKUP($A1063,MAGAZZINO!$B$2:$M$4838,12,FALSE)</f>
        <v/>
      </c>
    </row>
    <row r="1064" ht="36" customHeight="1">
      <c r="A1064" s="30">
        <f>+REGISTRO!A1047</f>
        <v/>
      </c>
      <c r="B1064" s="31">
        <f>+VLOOKUP($A1064,MAGAZZINO!$B$2:$M$4838,2,FALSE)</f>
        <v/>
      </c>
      <c r="C1064" s="32">
        <f>+VLOOKUP($A1064,MAGAZZINO!$B$2:$M$4838,3,FALSE)</f>
        <v/>
      </c>
      <c r="D1064" s="17">
        <f>+VLOOKUP($A1064,MAGAZZINO!$B$2:$M$4838,4,FALSE)</f>
        <v/>
      </c>
      <c r="E1064" s="17">
        <f>+VLOOKUP($A1064,MAGAZZINO!$B$2:$M$4838,5,FALSE)</f>
        <v/>
      </c>
      <c r="F1064" s="17">
        <f>+VLOOKUP($A1064,MAGAZZINO!$B$2:$M$4838,6,FALSE)</f>
        <v/>
      </c>
      <c r="G1064" s="17">
        <f>+VLOOKUP($A1064,MAGAZZINO!$B$2:$M$4838,7,FALSE)</f>
        <v/>
      </c>
      <c r="H1064" s="17">
        <f>+VLOOKUP($A1064,MAGAZZINO!$B$2:$M$4838,8,FALSE)</f>
        <v/>
      </c>
      <c r="I1064" s="17">
        <f>+VLOOKUP($A1064,MAGAZZINO!$B$2:$M$4838,9,FALSE)</f>
        <v/>
      </c>
      <c r="J1064" s="17">
        <f>+VLOOKUP($A1064,MAGAZZINO!$B$2:$M$4838,10,FALSE)</f>
        <v/>
      </c>
      <c r="K1064" s="17">
        <f>+VLOOKUP($A1064,MAGAZZINO!$B$2:$M$4838,11,FALSE)</f>
        <v/>
      </c>
      <c r="L1064" s="44">
        <f>+VLOOKUP($A1064,MAGAZZINO!$B$2:$M$4838,12,FALSE)</f>
        <v/>
      </c>
    </row>
    <row r="1065" ht="36" customHeight="1">
      <c r="A1065" s="30">
        <f>+REGISTRO!A1048</f>
        <v/>
      </c>
      <c r="B1065" s="31">
        <f>+VLOOKUP($A1065,MAGAZZINO!$B$2:$M$4838,2,FALSE)</f>
        <v/>
      </c>
      <c r="C1065" s="32">
        <f>+VLOOKUP($A1065,MAGAZZINO!$B$2:$M$4838,3,FALSE)</f>
        <v/>
      </c>
      <c r="D1065" s="17">
        <f>+VLOOKUP($A1065,MAGAZZINO!$B$2:$M$4838,4,FALSE)</f>
        <v/>
      </c>
      <c r="E1065" s="17">
        <f>+VLOOKUP($A1065,MAGAZZINO!$B$2:$M$4838,5,FALSE)</f>
        <v/>
      </c>
      <c r="F1065" s="17">
        <f>+VLOOKUP($A1065,MAGAZZINO!$B$2:$M$4838,6,FALSE)</f>
        <v/>
      </c>
      <c r="G1065" s="17">
        <f>+VLOOKUP($A1065,MAGAZZINO!$B$2:$M$4838,7,FALSE)</f>
        <v/>
      </c>
      <c r="H1065" s="17">
        <f>+VLOOKUP($A1065,MAGAZZINO!$B$2:$M$4838,8,FALSE)</f>
        <v/>
      </c>
      <c r="I1065" s="17">
        <f>+VLOOKUP($A1065,MAGAZZINO!$B$2:$M$4838,9,FALSE)</f>
        <v/>
      </c>
      <c r="J1065" s="17">
        <f>+VLOOKUP($A1065,MAGAZZINO!$B$2:$M$4838,10,FALSE)</f>
        <v/>
      </c>
      <c r="K1065" s="17">
        <f>+VLOOKUP($A1065,MAGAZZINO!$B$2:$M$4838,11,FALSE)</f>
        <v/>
      </c>
      <c r="L1065" s="44">
        <f>+VLOOKUP($A1065,MAGAZZINO!$B$2:$M$4838,12,FALSE)</f>
        <v/>
      </c>
    </row>
    <row r="1066" ht="36" customHeight="1">
      <c r="A1066" s="30">
        <f>+REGISTRO!A1049</f>
        <v/>
      </c>
      <c r="B1066" s="31">
        <f>+VLOOKUP($A1066,MAGAZZINO!$B$2:$M$4838,2,FALSE)</f>
        <v/>
      </c>
      <c r="C1066" s="32">
        <f>+VLOOKUP($A1066,MAGAZZINO!$B$2:$M$4838,3,FALSE)</f>
        <v/>
      </c>
      <c r="D1066" s="17">
        <f>+VLOOKUP($A1066,MAGAZZINO!$B$2:$M$4838,4,FALSE)</f>
        <v/>
      </c>
      <c r="E1066" s="17">
        <f>+VLOOKUP($A1066,MAGAZZINO!$B$2:$M$4838,5,FALSE)</f>
        <v/>
      </c>
      <c r="F1066" s="17">
        <f>+VLOOKUP($A1066,MAGAZZINO!$B$2:$M$4838,6,FALSE)</f>
        <v/>
      </c>
      <c r="G1066" s="17">
        <f>+VLOOKUP($A1066,MAGAZZINO!$B$2:$M$4838,7,FALSE)</f>
        <v/>
      </c>
      <c r="H1066" s="17">
        <f>+VLOOKUP($A1066,MAGAZZINO!$B$2:$M$4838,8,FALSE)</f>
        <v/>
      </c>
      <c r="I1066" s="17">
        <f>+VLOOKUP($A1066,MAGAZZINO!$B$2:$M$4838,9,FALSE)</f>
        <v/>
      </c>
      <c r="J1066" s="17">
        <f>+VLOOKUP($A1066,MAGAZZINO!$B$2:$M$4838,10,FALSE)</f>
        <v/>
      </c>
      <c r="K1066" s="17">
        <f>+VLOOKUP($A1066,MAGAZZINO!$B$2:$M$4838,11,FALSE)</f>
        <v/>
      </c>
      <c r="L1066" s="44">
        <f>+VLOOKUP($A1066,MAGAZZINO!$B$2:$M$4838,12,FALSE)</f>
        <v/>
      </c>
    </row>
    <row r="1067" ht="36" customHeight="1">
      <c r="A1067" s="30">
        <f>+REGISTRO!A1050</f>
        <v/>
      </c>
      <c r="B1067" s="31">
        <f>+VLOOKUP($A1067,MAGAZZINO!$B$2:$M$4838,2,FALSE)</f>
        <v/>
      </c>
      <c r="C1067" s="32">
        <f>+VLOOKUP($A1067,MAGAZZINO!$B$2:$M$4838,3,FALSE)</f>
        <v/>
      </c>
      <c r="D1067" s="17">
        <f>+VLOOKUP($A1067,MAGAZZINO!$B$2:$M$4838,4,FALSE)</f>
        <v/>
      </c>
      <c r="E1067" s="17">
        <f>+VLOOKUP($A1067,MAGAZZINO!$B$2:$M$4838,5,FALSE)</f>
        <v/>
      </c>
      <c r="F1067" s="17">
        <f>+VLOOKUP($A1067,MAGAZZINO!$B$2:$M$4838,6,FALSE)</f>
        <v/>
      </c>
      <c r="G1067" s="17">
        <f>+VLOOKUP($A1067,MAGAZZINO!$B$2:$M$4838,7,FALSE)</f>
        <v/>
      </c>
      <c r="H1067" s="17">
        <f>+VLOOKUP($A1067,MAGAZZINO!$B$2:$M$4838,8,FALSE)</f>
        <v/>
      </c>
      <c r="I1067" s="17">
        <f>+VLOOKUP($A1067,MAGAZZINO!$B$2:$M$4838,9,FALSE)</f>
        <v/>
      </c>
      <c r="J1067" s="17">
        <f>+VLOOKUP($A1067,MAGAZZINO!$B$2:$M$4838,10,FALSE)</f>
        <v/>
      </c>
      <c r="K1067" s="17">
        <f>+VLOOKUP($A1067,MAGAZZINO!$B$2:$M$4838,11,FALSE)</f>
        <v/>
      </c>
      <c r="L1067" s="44">
        <f>+VLOOKUP($A1067,MAGAZZINO!$B$2:$M$4838,12,FALSE)</f>
        <v/>
      </c>
    </row>
    <row r="1068" ht="36" customHeight="1">
      <c r="A1068" s="30">
        <f>+REGISTRO!A1051</f>
        <v/>
      </c>
      <c r="B1068" s="31">
        <f>+VLOOKUP($A1068,MAGAZZINO!$B$2:$M$4838,2,FALSE)</f>
        <v/>
      </c>
      <c r="C1068" s="32">
        <f>+VLOOKUP($A1068,MAGAZZINO!$B$2:$M$4838,3,FALSE)</f>
        <v/>
      </c>
      <c r="D1068" s="17">
        <f>+VLOOKUP($A1068,MAGAZZINO!$B$2:$M$4838,4,FALSE)</f>
        <v/>
      </c>
      <c r="E1068" s="17">
        <f>+VLOOKUP($A1068,MAGAZZINO!$B$2:$M$4838,5,FALSE)</f>
        <v/>
      </c>
      <c r="F1068" s="17">
        <f>+VLOOKUP($A1068,MAGAZZINO!$B$2:$M$4838,6,FALSE)</f>
        <v/>
      </c>
      <c r="G1068" s="17">
        <f>+VLOOKUP($A1068,MAGAZZINO!$B$2:$M$4838,7,FALSE)</f>
        <v/>
      </c>
      <c r="H1068" s="17">
        <f>+VLOOKUP($A1068,MAGAZZINO!$B$2:$M$4838,8,FALSE)</f>
        <v/>
      </c>
      <c r="I1068" s="17">
        <f>+VLOOKUP($A1068,MAGAZZINO!$B$2:$M$4838,9,FALSE)</f>
        <v/>
      </c>
      <c r="J1068" s="17">
        <f>+VLOOKUP($A1068,MAGAZZINO!$B$2:$M$4838,10,FALSE)</f>
        <v/>
      </c>
      <c r="K1068" s="17">
        <f>+VLOOKUP($A1068,MAGAZZINO!$B$2:$M$4838,11,FALSE)</f>
        <v/>
      </c>
      <c r="L1068" s="44">
        <f>+VLOOKUP($A1068,MAGAZZINO!$B$2:$M$4838,12,FALSE)</f>
        <v/>
      </c>
    </row>
    <row r="1069" ht="36" customHeight="1">
      <c r="A1069" s="30">
        <f>+REGISTRO!A1052</f>
        <v/>
      </c>
      <c r="B1069" s="31">
        <f>+VLOOKUP($A1069,MAGAZZINO!$B$2:$M$4838,2,FALSE)</f>
        <v/>
      </c>
      <c r="C1069" s="32">
        <f>+VLOOKUP($A1069,MAGAZZINO!$B$2:$M$4838,3,FALSE)</f>
        <v/>
      </c>
      <c r="D1069" s="17">
        <f>+VLOOKUP($A1069,MAGAZZINO!$B$2:$M$4838,4,FALSE)</f>
        <v/>
      </c>
      <c r="E1069" s="17">
        <f>+VLOOKUP($A1069,MAGAZZINO!$B$2:$M$4838,5,FALSE)</f>
        <v/>
      </c>
      <c r="F1069" s="17">
        <f>+VLOOKUP($A1069,MAGAZZINO!$B$2:$M$4838,6,FALSE)</f>
        <v/>
      </c>
      <c r="G1069" s="17">
        <f>+VLOOKUP($A1069,MAGAZZINO!$B$2:$M$4838,7,FALSE)</f>
        <v/>
      </c>
      <c r="H1069" s="17">
        <f>+VLOOKUP($A1069,MAGAZZINO!$B$2:$M$4838,8,FALSE)</f>
        <v/>
      </c>
      <c r="I1069" s="17">
        <f>+VLOOKUP($A1069,MAGAZZINO!$B$2:$M$4838,9,FALSE)</f>
        <v/>
      </c>
      <c r="J1069" s="17">
        <f>+VLOOKUP($A1069,MAGAZZINO!$B$2:$M$4838,10,FALSE)</f>
        <v/>
      </c>
      <c r="K1069" s="17">
        <f>+VLOOKUP($A1069,MAGAZZINO!$B$2:$M$4838,11,FALSE)</f>
        <v/>
      </c>
      <c r="L1069" s="44">
        <f>+VLOOKUP($A1069,MAGAZZINO!$B$2:$M$4838,12,FALSE)</f>
        <v/>
      </c>
    </row>
    <row r="1070" ht="36" customHeight="1">
      <c r="A1070" s="30">
        <f>+REGISTRO!A1053</f>
        <v/>
      </c>
      <c r="B1070" s="31">
        <f>+VLOOKUP($A1070,MAGAZZINO!$B$2:$M$4838,2,FALSE)</f>
        <v/>
      </c>
      <c r="C1070" s="32">
        <f>+VLOOKUP($A1070,MAGAZZINO!$B$2:$M$4838,3,FALSE)</f>
        <v/>
      </c>
      <c r="D1070" s="17">
        <f>+VLOOKUP($A1070,MAGAZZINO!$B$2:$M$4838,4,FALSE)</f>
        <v/>
      </c>
      <c r="E1070" s="17">
        <f>+VLOOKUP($A1070,MAGAZZINO!$B$2:$M$4838,5,FALSE)</f>
        <v/>
      </c>
      <c r="F1070" s="17">
        <f>+VLOOKUP($A1070,MAGAZZINO!$B$2:$M$4838,6,FALSE)</f>
        <v/>
      </c>
      <c r="G1070" s="17">
        <f>+VLOOKUP($A1070,MAGAZZINO!$B$2:$M$4838,7,FALSE)</f>
        <v/>
      </c>
      <c r="H1070" s="17">
        <f>+VLOOKUP($A1070,MAGAZZINO!$B$2:$M$4838,8,FALSE)</f>
        <v/>
      </c>
      <c r="I1070" s="17">
        <f>+VLOOKUP($A1070,MAGAZZINO!$B$2:$M$4838,9,FALSE)</f>
        <v/>
      </c>
      <c r="J1070" s="17">
        <f>+VLOOKUP($A1070,MAGAZZINO!$B$2:$M$4838,10,FALSE)</f>
        <v/>
      </c>
      <c r="K1070" s="17">
        <f>+VLOOKUP($A1070,MAGAZZINO!$B$2:$M$4838,11,FALSE)</f>
        <v/>
      </c>
      <c r="L1070" s="44">
        <f>+VLOOKUP($A1070,MAGAZZINO!$B$2:$M$4838,12,FALSE)</f>
        <v/>
      </c>
    </row>
    <row r="1071" ht="36" customHeight="1">
      <c r="A1071" s="30">
        <f>+REGISTRO!A1054</f>
        <v/>
      </c>
      <c r="B1071" s="31">
        <f>+VLOOKUP($A1071,MAGAZZINO!$B$2:$M$4838,2,FALSE)</f>
        <v/>
      </c>
      <c r="C1071" s="32">
        <f>+VLOOKUP($A1071,MAGAZZINO!$B$2:$M$4838,3,FALSE)</f>
        <v/>
      </c>
      <c r="D1071" s="17">
        <f>+VLOOKUP($A1071,MAGAZZINO!$B$2:$M$4838,4,FALSE)</f>
        <v/>
      </c>
      <c r="E1071" s="17">
        <f>+VLOOKUP($A1071,MAGAZZINO!$B$2:$M$4838,5,FALSE)</f>
        <v/>
      </c>
      <c r="F1071" s="17">
        <f>+VLOOKUP($A1071,MAGAZZINO!$B$2:$M$4838,6,FALSE)</f>
        <v/>
      </c>
      <c r="G1071" s="17">
        <f>+VLOOKUP($A1071,MAGAZZINO!$B$2:$M$4838,7,FALSE)</f>
        <v/>
      </c>
      <c r="H1071" s="17">
        <f>+VLOOKUP($A1071,MAGAZZINO!$B$2:$M$4838,8,FALSE)</f>
        <v/>
      </c>
      <c r="I1071" s="17">
        <f>+VLOOKUP($A1071,MAGAZZINO!$B$2:$M$4838,9,FALSE)</f>
        <v/>
      </c>
      <c r="J1071" s="17">
        <f>+VLOOKUP($A1071,MAGAZZINO!$B$2:$M$4838,10,FALSE)</f>
        <v/>
      </c>
      <c r="K1071" s="17">
        <f>+VLOOKUP($A1071,MAGAZZINO!$B$2:$M$4838,11,FALSE)</f>
        <v/>
      </c>
      <c r="L1071" s="44">
        <f>+VLOOKUP($A1071,MAGAZZINO!$B$2:$M$4838,12,FALSE)</f>
        <v/>
      </c>
    </row>
    <row r="1072" ht="36" customHeight="1">
      <c r="A1072" s="30">
        <f>+REGISTRO!A1055</f>
        <v/>
      </c>
      <c r="B1072" s="31">
        <f>+VLOOKUP($A1072,MAGAZZINO!$B$2:$M$4838,2,FALSE)</f>
        <v/>
      </c>
      <c r="C1072" s="32">
        <f>+VLOOKUP($A1072,MAGAZZINO!$B$2:$M$4838,3,FALSE)</f>
        <v/>
      </c>
      <c r="D1072" s="17">
        <f>+VLOOKUP($A1072,MAGAZZINO!$B$2:$M$4838,4,FALSE)</f>
        <v/>
      </c>
      <c r="E1072" s="17">
        <f>+VLOOKUP($A1072,MAGAZZINO!$B$2:$M$4838,5,FALSE)</f>
        <v/>
      </c>
      <c r="F1072" s="17">
        <f>+VLOOKUP($A1072,MAGAZZINO!$B$2:$M$4838,6,FALSE)</f>
        <v/>
      </c>
      <c r="G1072" s="17">
        <f>+VLOOKUP($A1072,MAGAZZINO!$B$2:$M$4838,7,FALSE)</f>
        <v/>
      </c>
      <c r="H1072" s="17">
        <f>+VLOOKUP($A1072,MAGAZZINO!$B$2:$M$4838,8,FALSE)</f>
        <v/>
      </c>
      <c r="I1072" s="17">
        <f>+VLOOKUP($A1072,MAGAZZINO!$B$2:$M$4838,9,FALSE)</f>
        <v/>
      </c>
      <c r="J1072" s="17">
        <f>+VLOOKUP($A1072,MAGAZZINO!$B$2:$M$4838,10,FALSE)</f>
        <v/>
      </c>
      <c r="K1072" s="17">
        <f>+VLOOKUP($A1072,MAGAZZINO!$B$2:$M$4838,11,FALSE)</f>
        <v/>
      </c>
      <c r="L1072" s="44">
        <f>+VLOOKUP($A1072,MAGAZZINO!$B$2:$M$4838,12,FALSE)</f>
        <v/>
      </c>
    </row>
    <row r="1073" ht="36" customHeight="1">
      <c r="A1073" s="30">
        <f>+REGISTRO!A1056</f>
        <v/>
      </c>
      <c r="B1073" s="31">
        <f>+VLOOKUP($A1073,MAGAZZINO!$B$2:$M$4838,2,FALSE)</f>
        <v/>
      </c>
      <c r="C1073" s="32">
        <f>+VLOOKUP($A1073,MAGAZZINO!$B$2:$M$4838,3,FALSE)</f>
        <v/>
      </c>
      <c r="D1073" s="17">
        <f>+VLOOKUP($A1073,MAGAZZINO!$B$2:$M$4838,4,FALSE)</f>
        <v/>
      </c>
      <c r="E1073" s="17">
        <f>+VLOOKUP($A1073,MAGAZZINO!$B$2:$M$4838,5,FALSE)</f>
        <v/>
      </c>
      <c r="F1073" s="17">
        <f>+VLOOKUP($A1073,MAGAZZINO!$B$2:$M$4838,6,FALSE)</f>
        <v/>
      </c>
      <c r="G1073" s="17">
        <f>+VLOOKUP($A1073,MAGAZZINO!$B$2:$M$4838,7,FALSE)</f>
        <v/>
      </c>
      <c r="H1073" s="17">
        <f>+VLOOKUP($A1073,MAGAZZINO!$B$2:$M$4838,8,FALSE)</f>
        <v/>
      </c>
      <c r="I1073" s="17">
        <f>+VLOOKUP($A1073,MAGAZZINO!$B$2:$M$4838,9,FALSE)</f>
        <v/>
      </c>
      <c r="J1073" s="17">
        <f>+VLOOKUP($A1073,MAGAZZINO!$B$2:$M$4838,10,FALSE)</f>
        <v/>
      </c>
      <c r="K1073" s="17">
        <f>+VLOOKUP($A1073,MAGAZZINO!$B$2:$M$4838,11,FALSE)</f>
        <v/>
      </c>
      <c r="L1073" s="44">
        <f>+VLOOKUP($A1073,MAGAZZINO!$B$2:$M$4838,12,FALSE)</f>
        <v/>
      </c>
    </row>
    <row r="1074" ht="36" customHeight="1">
      <c r="A1074" s="30">
        <f>+REGISTRO!A1057</f>
        <v/>
      </c>
      <c r="B1074" s="31">
        <f>+VLOOKUP($A1074,MAGAZZINO!$B$2:$M$4838,2,FALSE)</f>
        <v/>
      </c>
      <c r="C1074" s="32">
        <f>+VLOOKUP($A1074,MAGAZZINO!$B$2:$M$4838,3,FALSE)</f>
        <v/>
      </c>
      <c r="D1074" s="17">
        <f>+VLOOKUP($A1074,MAGAZZINO!$B$2:$M$4838,4,FALSE)</f>
        <v/>
      </c>
      <c r="E1074" s="17">
        <f>+VLOOKUP($A1074,MAGAZZINO!$B$2:$M$4838,5,FALSE)</f>
        <v/>
      </c>
      <c r="F1074" s="17">
        <f>+VLOOKUP($A1074,MAGAZZINO!$B$2:$M$4838,6,FALSE)</f>
        <v/>
      </c>
      <c r="G1074" s="17">
        <f>+VLOOKUP($A1074,MAGAZZINO!$B$2:$M$4838,7,FALSE)</f>
        <v/>
      </c>
      <c r="H1074" s="17">
        <f>+VLOOKUP($A1074,MAGAZZINO!$B$2:$M$4838,8,FALSE)</f>
        <v/>
      </c>
      <c r="I1074" s="17">
        <f>+VLOOKUP($A1074,MAGAZZINO!$B$2:$M$4838,9,FALSE)</f>
        <v/>
      </c>
      <c r="J1074" s="17">
        <f>+VLOOKUP($A1074,MAGAZZINO!$B$2:$M$4838,10,FALSE)</f>
        <v/>
      </c>
      <c r="K1074" s="17">
        <f>+VLOOKUP($A1074,MAGAZZINO!$B$2:$M$4838,11,FALSE)</f>
        <v/>
      </c>
      <c r="L1074" s="44">
        <f>+VLOOKUP($A1074,MAGAZZINO!$B$2:$M$4838,12,FALSE)</f>
        <v/>
      </c>
    </row>
    <row r="1075" ht="36" customHeight="1">
      <c r="A1075" s="30">
        <f>+REGISTRO!A1058</f>
        <v/>
      </c>
      <c r="B1075" s="31">
        <f>+VLOOKUP($A1075,MAGAZZINO!$B$2:$M$4838,2,FALSE)</f>
        <v/>
      </c>
      <c r="C1075" s="32">
        <f>+VLOOKUP($A1075,MAGAZZINO!$B$2:$M$4838,3,FALSE)</f>
        <v/>
      </c>
      <c r="D1075" s="17">
        <f>+VLOOKUP($A1075,MAGAZZINO!$B$2:$M$4838,4,FALSE)</f>
        <v/>
      </c>
      <c r="E1075" s="17">
        <f>+VLOOKUP($A1075,MAGAZZINO!$B$2:$M$4838,5,FALSE)</f>
        <v/>
      </c>
      <c r="F1075" s="17">
        <f>+VLOOKUP($A1075,MAGAZZINO!$B$2:$M$4838,6,FALSE)</f>
        <v/>
      </c>
      <c r="G1075" s="17">
        <f>+VLOOKUP($A1075,MAGAZZINO!$B$2:$M$4838,7,FALSE)</f>
        <v/>
      </c>
      <c r="H1075" s="17">
        <f>+VLOOKUP($A1075,MAGAZZINO!$B$2:$M$4838,8,FALSE)</f>
        <v/>
      </c>
      <c r="I1075" s="17">
        <f>+VLOOKUP($A1075,MAGAZZINO!$B$2:$M$4838,9,FALSE)</f>
        <v/>
      </c>
      <c r="J1075" s="17">
        <f>+VLOOKUP($A1075,MAGAZZINO!$B$2:$M$4838,10,FALSE)</f>
        <v/>
      </c>
      <c r="K1075" s="17">
        <f>+VLOOKUP($A1075,MAGAZZINO!$B$2:$M$4838,11,FALSE)</f>
        <v/>
      </c>
      <c r="L1075" s="44">
        <f>+VLOOKUP($A1075,MAGAZZINO!$B$2:$M$4838,12,FALSE)</f>
        <v/>
      </c>
    </row>
    <row r="1076" ht="36" customHeight="1">
      <c r="A1076" s="30">
        <f>+REGISTRO!A1059</f>
        <v/>
      </c>
      <c r="B1076" s="31">
        <f>+VLOOKUP($A1076,MAGAZZINO!$B$2:$M$4838,2,FALSE)</f>
        <v/>
      </c>
      <c r="C1076" s="32">
        <f>+VLOOKUP($A1076,MAGAZZINO!$B$2:$M$4838,3,FALSE)</f>
        <v/>
      </c>
      <c r="D1076" s="17">
        <f>+VLOOKUP($A1076,MAGAZZINO!$B$2:$M$4838,4,FALSE)</f>
        <v/>
      </c>
      <c r="E1076" s="17">
        <f>+VLOOKUP($A1076,MAGAZZINO!$B$2:$M$4838,5,FALSE)</f>
        <v/>
      </c>
      <c r="F1076" s="17">
        <f>+VLOOKUP($A1076,MAGAZZINO!$B$2:$M$4838,6,FALSE)</f>
        <v/>
      </c>
      <c r="G1076" s="17">
        <f>+VLOOKUP($A1076,MAGAZZINO!$B$2:$M$4838,7,FALSE)</f>
        <v/>
      </c>
      <c r="H1076" s="17">
        <f>+VLOOKUP($A1076,MAGAZZINO!$B$2:$M$4838,8,FALSE)</f>
        <v/>
      </c>
      <c r="I1076" s="17">
        <f>+VLOOKUP($A1076,MAGAZZINO!$B$2:$M$4838,9,FALSE)</f>
        <v/>
      </c>
      <c r="J1076" s="17">
        <f>+VLOOKUP($A1076,MAGAZZINO!$B$2:$M$4838,10,FALSE)</f>
        <v/>
      </c>
      <c r="K1076" s="17">
        <f>+VLOOKUP($A1076,MAGAZZINO!$B$2:$M$4838,11,FALSE)</f>
        <v/>
      </c>
      <c r="L1076" s="44">
        <f>+VLOOKUP($A1076,MAGAZZINO!$B$2:$M$4838,12,FALSE)</f>
        <v/>
      </c>
    </row>
    <row r="1077" ht="36" customHeight="1">
      <c r="A1077" s="30">
        <f>+REGISTRO!A1060</f>
        <v/>
      </c>
      <c r="B1077" s="31">
        <f>+VLOOKUP($A1077,MAGAZZINO!$B$2:$M$4838,2,FALSE)</f>
        <v/>
      </c>
      <c r="C1077" s="32">
        <f>+VLOOKUP($A1077,MAGAZZINO!$B$2:$M$4838,3,FALSE)</f>
        <v/>
      </c>
      <c r="D1077" s="17">
        <f>+VLOOKUP($A1077,MAGAZZINO!$B$2:$M$4838,4,FALSE)</f>
        <v/>
      </c>
      <c r="E1077" s="17">
        <f>+VLOOKUP($A1077,MAGAZZINO!$B$2:$M$4838,5,FALSE)</f>
        <v/>
      </c>
      <c r="F1077" s="17">
        <f>+VLOOKUP($A1077,MAGAZZINO!$B$2:$M$4838,6,FALSE)</f>
        <v/>
      </c>
      <c r="G1077" s="17">
        <f>+VLOOKUP($A1077,MAGAZZINO!$B$2:$M$4838,7,FALSE)</f>
        <v/>
      </c>
      <c r="H1077" s="17">
        <f>+VLOOKUP($A1077,MAGAZZINO!$B$2:$M$4838,8,FALSE)</f>
        <v/>
      </c>
      <c r="I1077" s="17">
        <f>+VLOOKUP($A1077,MAGAZZINO!$B$2:$M$4838,9,FALSE)</f>
        <v/>
      </c>
      <c r="J1077" s="17">
        <f>+VLOOKUP($A1077,MAGAZZINO!$B$2:$M$4838,10,FALSE)</f>
        <v/>
      </c>
      <c r="K1077" s="17">
        <f>+VLOOKUP($A1077,MAGAZZINO!$B$2:$M$4838,11,FALSE)</f>
        <v/>
      </c>
      <c r="L1077" s="44">
        <f>+VLOOKUP($A1077,MAGAZZINO!$B$2:$M$4838,12,FALSE)</f>
        <v/>
      </c>
    </row>
    <row r="1078" ht="36" customHeight="1">
      <c r="A1078" s="30">
        <f>+REGISTRO!A1061</f>
        <v/>
      </c>
      <c r="B1078" s="31">
        <f>+VLOOKUP($A1078,MAGAZZINO!$B$2:$M$4838,2,FALSE)</f>
        <v/>
      </c>
      <c r="C1078" s="32">
        <f>+VLOOKUP($A1078,MAGAZZINO!$B$2:$M$4838,3,FALSE)</f>
        <v/>
      </c>
      <c r="D1078" s="17">
        <f>+VLOOKUP($A1078,MAGAZZINO!$B$2:$M$4838,4,FALSE)</f>
        <v/>
      </c>
      <c r="E1078" s="17">
        <f>+VLOOKUP($A1078,MAGAZZINO!$B$2:$M$4838,5,FALSE)</f>
        <v/>
      </c>
      <c r="F1078" s="17">
        <f>+VLOOKUP($A1078,MAGAZZINO!$B$2:$M$4838,6,FALSE)</f>
        <v/>
      </c>
      <c r="G1078" s="17">
        <f>+VLOOKUP($A1078,MAGAZZINO!$B$2:$M$4838,7,FALSE)</f>
        <v/>
      </c>
      <c r="H1078" s="17">
        <f>+VLOOKUP($A1078,MAGAZZINO!$B$2:$M$4838,8,FALSE)</f>
        <v/>
      </c>
      <c r="I1078" s="17">
        <f>+VLOOKUP($A1078,MAGAZZINO!$B$2:$M$4838,9,FALSE)</f>
        <v/>
      </c>
      <c r="J1078" s="17">
        <f>+VLOOKUP($A1078,MAGAZZINO!$B$2:$M$4838,10,FALSE)</f>
        <v/>
      </c>
      <c r="K1078" s="17">
        <f>+VLOOKUP($A1078,MAGAZZINO!$B$2:$M$4838,11,FALSE)</f>
        <v/>
      </c>
      <c r="L1078" s="44">
        <f>+VLOOKUP($A1078,MAGAZZINO!$B$2:$M$4838,12,FALSE)</f>
        <v/>
      </c>
    </row>
    <row r="1079" ht="36" customHeight="1">
      <c r="A1079" s="30">
        <f>+REGISTRO!A1062</f>
        <v/>
      </c>
      <c r="B1079" s="31">
        <f>+VLOOKUP($A1079,MAGAZZINO!$B$2:$M$4838,2,FALSE)</f>
        <v/>
      </c>
      <c r="C1079" s="32">
        <f>+VLOOKUP($A1079,MAGAZZINO!$B$2:$M$4838,3,FALSE)</f>
        <v/>
      </c>
      <c r="D1079" s="17">
        <f>+VLOOKUP($A1079,MAGAZZINO!$B$2:$M$4838,4,FALSE)</f>
        <v/>
      </c>
      <c r="E1079" s="17">
        <f>+VLOOKUP($A1079,MAGAZZINO!$B$2:$M$4838,5,FALSE)</f>
        <v/>
      </c>
      <c r="F1079" s="17">
        <f>+VLOOKUP($A1079,MAGAZZINO!$B$2:$M$4838,6,FALSE)</f>
        <v/>
      </c>
      <c r="G1079" s="17">
        <f>+VLOOKUP($A1079,MAGAZZINO!$B$2:$M$4838,7,FALSE)</f>
        <v/>
      </c>
      <c r="H1079" s="17">
        <f>+VLOOKUP($A1079,MAGAZZINO!$B$2:$M$4838,8,FALSE)</f>
        <v/>
      </c>
      <c r="I1079" s="17">
        <f>+VLOOKUP($A1079,MAGAZZINO!$B$2:$M$4838,9,FALSE)</f>
        <v/>
      </c>
      <c r="J1079" s="17">
        <f>+VLOOKUP($A1079,MAGAZZINO!$B$2:$M$4838,10,FALSE)</f>
        <v/>
      </c>
      <c r="K1079" s="17">
        <f>+VLOOKUP($A1079,MAGAZZINO!$B$2:$M$4838,11,FALSE)</f>
        <v/>
      </c>
      <c r="L1079" s="44">
        <f>+VLOOKUP($A1079,MAGAZZINO!$B$2:$M$4838,12,FALSE)</f>
        <v/>
      </c>
    </row>
    <row r="1080" ht="36" customHeight="1">
      <c r="A1080" s="30">
        <f>+REGISTRO!A1063</f>
        <v/>
      </c>
      <c r="B1080" s="31">
        <f>+VLOOKUP($A1080,MAGAZZINO!$B$2:$M$4838,2,FALSE)</f>
        <v/>
      </c>
      <c r="C1080" s="32">
        <f>+VLOOKUP($A1080,MAGAZZINO!$B$2:$M$4838,3,FALSE)</f>
        <v/>
      </c>
      <c r="D1080" s="17">
        <f>+VLOOKUP($A1080,MAGAZZINO!$B$2:$M$4838,4,FALSE)</f>
        <v/>
      </c>
      <c r="E1080" s="17">
        <f>+VLOOKUP($A1080,MAGAZZINO!$B$2:$M$4838,5,FALSE)</f>
        <v/>
      </c>
      <c r="F1080" s="17">
        <f>+VLOOKUP($A1080,MAGAZZINO!$B$2:$M$4838,6,FALSE)</f>
        <v/>
      </c>
      <c r="G1080" s="17">
        <f>+VLOOKUP($A1080,MAGAZZINO!$B$2:$M$4838,7,FALSE)</f>
        <v/>
      </c>
      <c r="H1080" s="17">
        <f>+VLOOKUP($A1080,MAGAZZINO!$B$2:$M$4838,8,FALSE)</f>
        <v/>
      </c>
      <c r="I1080" s="17">
        <f>+VLOOKUP($A1080,MAGAZZINO!$B$2:$M$4838,9,FALSE)</f>
        <v/>
      </c>
      <c r="J1080" s="17">
        <f>+VLOOKUP($A1080,MAGAZZINO!$B$2:$M$4838,10,FALSE)</f>
        <v/>
      </c>
      <c r="K1080" s="17">
        <f>+VLOOKUP($A1080,MAGAZZINO!$B$2:$M$4838,11,FALSE)</f>
        <v/>
      </c>
      <c r="L1080" s="44">
        <f>+VLOOKUP($A1080,MAGAZZINO!$B$2:$M$4838,12,FALSE)</f>
        <v/>
      </c>
    </row>
    <row r="1081" ht="36" customHeight="1">
      <c r="A1081" s="30">
        <f>+REGISTRO!A1064</f>
        <v/>
      </c>
      <c r="B1081" s="31">
        <f>+VLOOKUP($A1081,MAGAZZINO!$B$2:$M$4838,2,FALSE)</f>
        <v/>
      </c>
      <c r="C1081" s="32">
        <f>+VLOOKUP($A1081,MAGAZZINO!$B$2:$M$4838,3,FALSE)</f>
        <v/>
      </c>
      <c r="D1081" s="17">
        <f>+VLOOKUP($A1081,MAGAZZINO!$B$2:$M$4838,4,FALSE)</f>
        <v/>
      </c>
      <c r="E1081" s="17">
        <f>+VLOOKUP($A1081,MAGAZZINO!$B$2:$M$4838,5,FALSE)</f>
        <v/>
      </c>
      <c r="F1081" s="17">
        <f>+VLOOKUP($A1081,MAGAZZINO!$B$2:$M$4838,6,FALSE)</f>
        <v/>
      </c>
      <c r="G1081" s="17">
        <f>+VLOOKUP($A1081,MAGAZZINO!$B$2:$M$4838,7,FALSE)</f>
        <v/>
      </c>
      <c r="H1081" s="17">
        <f>+VLOOKUP($A1081,MAGAZZINO!$B$2:$M$4838,8,FALSE)</f>
        <v/>
      </c>
      <c r="I1081" s="17">
        <f>+VLOOKUP($A1081,MAGAZZINO!$B$2:$M$4838,9,FALSE)</f>
        <v/>
      </c>
      <c r="J1081" s="17">
        <f>+VLOOKUP($A1081,MAGAZZINO!$B$2:$M$4838,10,FALSE)</f>
        <v/>
      </c>
      <c r="K1081" s="17">
        <f>+VLOOKUP($A1081,MAGAZZINO!$B$2:$M$4838,11,FALSE)</f>
        <v/>
      </c>
      <c r="L1081" s="44">
        <f>+VLOOKUP($A1081,MAGAZZINO!$B$2:$M$4838,12,FALSE)</f>
        <v/>
      </c>
    </row>
    <row r="1082" ht="36" customHeight="1">
      <c r="A1082" s="30">
        <f>+REGISTRO!A1065</f>
        <v/>
      </c>
      <c r="B1082" s="31">
        <f>+VLOOKUP($A1082,MAGAZZINO!$B$2:$M$4838,2,FALSE)</f>
        <v/>
      </c>
      <c r="C1082" s="32">
        <f>+VLOOKUP($A1082,MAGAZZINO!$B$2:$M$4838,3,FALSE)</f>
        <v/>
      </c>
      <c r="D1082" s="17">
        <f>+VLOOKUP($A1082,MAGAZZINO!$B$2:$M$4838,4,FALSE)</f>
        <v/>
      </c>
      <c r="E1082" s="17">
        <f>+VLOOKUP($A1082,MAGAZZINO!$B$2:$M$4838,5,FALSE)</f>
        <v/>
      </c>
      <c r="F1082" s="17">
        <f>+VLOOKUP($A1082,MAGAZZINO!$B$2:$M$4838,6,FALSE)</f>
        <v/>
      </c>
      <c r="G1082" s="17">
        <f>+VLOOKUP($A1082,MAGAZZINO!$B$2:$M$4838,7,FALSE)</f>
        <v/>
      </c>
      <c r="H1082" s="17">
        <f>+VLOOKUP($A1082,MAGAZZINO!$B$2:$M$4838,8,FALSE)</f>
        <v/>
      </c>
      <c r="I1082" s="17">
        <f>+VLOOKUP($A1082,MAGAZZINO!$B$2:$M$4838,9,FALSE)</f>
        <v/>
      </c>
      <c r="J1082" s="17">
        <f>+VLOOKUP($A1082,MAGAZZINO!$B$2:$M$4838,10,FALSE)</f>
        <v/>
      </c>
      <c r="K1082" s="17">
        <f>+VLOOKUP($A1082,MAGAZZINO!$B$2:$M$4838,11,FALSE)</f>
        <v/>
      </c>
      <c r="L1082" s="44">
        <f>+VLOOKUP($A1082,MAGAZZINO!$B$2:$M$4838,12,FALSE)</f>
        <v/>
      </c>
    </row>
    <row r="1083" ht="36" customHeight="1">
      <c r="A1083" s="30">
        <f>+REGISTRO!A1066</f>
        <v/>
      </c>
      <c r="B1083" s="31">
        <f>+VLOOKUP($A1083,MAGAZZINO!$B$2:$M$4838,2,FALSE)</f>
        <v/>
      </c>
      <c r="C1083" s="32">
        <f>+VLOOKUP($A1083,MAGAZZINO!$B$2:$M$4838,3,FALSE)</f>
        <v/>
      </c>
      <c r="D1083" s="17">
        <f>+VLOOKUP($A1083,MAGAZZINO!$B$2:$M$4838,4,FALSE)</f>
        <v/>
      </c>
      <c r="E1083" s="17">
        <f>+VLOOKUP($A1083,MAGAZZINO!$B$2:$M$4838,5,FALSE)</f>
        <v/>
      </c>
      <c r="F1083" s="17">
        <f>+VLOOKUP($A1083,MAGAZZINO!$B$2:$M$4838,6,FALSE)</f>
        <v/>
      </c>
      <c r="G1083" s="17">
        <f>+VLOOKUP($A1083,MAGAZZINO!$B$2:$M$4838,7,FALSE)</f>
        <v/>
      </c>
      <c r="H1083" s="17">
        <f>+VLOOKUP($A1083,MAGAZZINO!$B$2:$M$4838,8,FALSE)</f>
        <v/>
      </c>
      <c r="I1083" s="17">
        <f>+VLOOKUP($A1083,MAGAZZINO!$B$2:$M$4838,9,FALSE)</f>
        <v/>
      </c>
      <c r="J1083" s="17">
        <f>+VLOOKUP($A1083,MAGAZZINO!$B$2:$M$4838,10,FALSE)</f>
        <v/>
      </c>
      <c r="K1083" s="17">
        <f>+VLOOKUP($A1083,MAGAZZINO!$B$2:$M$4838,11,FALSE)</f>
        <v/>
      </c>
      <c r="L1083" s="44">
        <f>+VLOOKUP($A1083,MAGAZZINO!$B$2:$M$4838,12,FALSE)</f>
        <v/>
      </c>
    </row>
    <row r="1084" ht="36" customHeight="1">
      <c r="A1084" s="30">
        <f>+REGISTRO!A1067</f>
        <v/>
      </c>
      <c r="B1084" s="31">
        <f>+VLOOKUP($A1084,MAGAZZINO!$B$2:$M$4838,2,FALSE)</f>
        <v/>
      </c>
      <c r="C1084" s="32">
        <f>+VLOOKUP($A1084,MAGAZZINO!$B$2:$M$4838,3,FALSE)</f>
        <v/>
      </c>
      <c r="D1084" s="17">
        <f>+VLOOKUP($A1084,MAGAZZINO!$B$2:$M$4838,4,FALSE)</f>
        <v/>
      </c>
      <c r="E1084" s="17">
        <f>+VLOOKUP($A1084,MAGAZZINO!$B$2:$M$4838,5,FALSE)</f>
        <v/>
      </c>
      <c r="F1084" s="17">
        <f>+VLOOKUP($A1084,MAGAZZINO!$B$2:$M$4838,6,FALSE)</f>
        <v/>
      </c>
      <c r="G1084" s="17">
        <f>+VLOOKUP($A1084,MAGAZZINO!$B$2:$M$4838,7,FALSE)</f>
        <v/>
      </c>
      <c r="H1084" s="17">
        <f>+VLOOKUP($A1084,MAGAZZINO!$B$2:$M$4838,8,FALSE)</f>
        <v/>
      </c>
      <c r="I1084" s="17">
        <f>+VLOOKUP($A1084,MAGAZZINO!$B$2:$M$4838,9,FALSE)</f>
        <v/>
      </c>
      <c r="J1084" s="17">
        <f>+VLOOKUP($A1084,MAGAZZINO!$B$2:$M$4838,10,FALSE)</f>
        <v/>
      </c>
      <c r="K1084" s="17">
        <f>+VLOOKUP($A1084,MAGAZZINO!$B$2:$M$4838,11,FALSE)</f>
        <v/>
      </c>
      <c r="L1084" s="44">
        <f>+VLOOKUP($A1084,MAGAZZINO!$B$2:$M$4838,12,FALSE)</f>
        <v/>
      </c>
    </row>
    <row r="1085" ht="36" customHeight="1">
      <c r="A1085" s="30">
        <f>+REGISTRO!A1068</f>
        <v/>
      </c>
      <c r="B1085" s="31">
        <f>+VLOOKUP($A1085,MAGAZZINO!$B$2:$M$4838,2,FALSE)</f>
        <v/>
      </c>
      <c r="C1085" s="32">
        <f>+VLOOKUP($A1085,MAGAZZINO!$B$2:$M$4838,3,FALSE)</f>
        <v/>
      </c>
      <c r="D1085" s="17">
        <f>+VLOOKUP($A1085,MAGAZZINO!$B$2:$M$4838,4,FALSE)</f>
        <v/>
      </c>
      <c r="E1085" s="17">
        <f>+VLOOKUP($A1085,MAGAZZINO!$B$2:$M$4838,5,FALSE)</f>
        <v/>
      </c>
      <c r="F1085" s="17">
        <f>+VLOOKUP($A1085,MAGAZZINO!$B$2:$M$4838,6,FALSE)</f>
        <v/>
      </c>
      <c r="G1085" s="17">
        <f>+VLOOKUP($A1085,MAGAZZINO!$B$2:$M$4838,7,FALSE)</f>
        <v/>
      </c>
      <c r="H1085" s="17">
        <f>+VLOOKUP($A1085,MAGAZZINO!$B$2:$M$4838,8,FALSE)</f>
        <v/>
      </c>
      <c r="I1085" s="17">
        <f>+VLOOKUP($A1085,MAGAZZINO!$B$2:$M$4838,9,FALSE)</f>
        <v/>
      </c>
      <c r="J1085" s="17">
        <f>+VLOOKUP($A1085,MAGAZZINO!$B$2:$M$4838,10,FALSE)</f>
        <v/>
      </c>
      <c r="K1085" s="17">
        <f>+VLOOKUP($A1085,MAGAZZINO!$B$2:$M$4838,11,FALSE)</f>
        <v/>
      </c>
      <c r="L1085" s="44">
        <f>+VLOOKUP($A1085,MAGAZZINO!$B$2:$M$4838,12,FALSE)</f>
        <v/>
      </c>
    </row>
    <row r="1086" ht="36" customHeight="1">
      <c r="A1086" s="30">
        <f>+REGISTRO!A1069</f>
        <v/>
      </c>
      <c r="B1086" s="31">
        <f>+VLOOKUP($A1086,MAGAZZINO!$B$2:$M$4838,2,FALSE)</f>
        <v/>
      </c>
      <c r="C1086" s="32">
        <f>+VLOOKUP($A1086,MAGAZZINO!$B$2:$M$4838,3,FALSE)</f>
        <v/>
      </c>
      <c r="D1086" s="17">
        <f>+VLOOKUP($A1086,MAGAZZINO!$B$2:$M$4838,4,FALSE)</f>
        <v/>
      </c>
      <c r="E1086" s="17">
        <f>+VLOOKUP($A1086,MAGAZZINO!$B$2:$M$4838,5,FALSE)</f>
        <v/>
      </c>
      <c r="F1086" s="17">
        <f>+VLOOKUP($A1086,MAGAZZINO!$B$2:$M$4838,6,FALSE)</f>
        <v/>
      </c>
      <c r="G1086" s="17">
        <f>+VLOOKUP($A1086,MAGAZZINO!$B$2:$M$4838,7,FALSE)</f>
        <v/>
      </c>
      <c r="H1086" s="17">
        <f>+VLOOKUP($A1086,MAGAZZINO!$B$2:$M$4838,8,FALSE)</f>
        <v/>
      </c>
      <c r="I1086" s="17">
        <f>+VLOOKUP($A1086,MAGAZZINO!$B$2:$M$4838,9,FALSE)</f>
        <v/>
      </c>
      <c r="J1086" s="17">
        <f>+VLOOKUP($A1086,MAGAZZINO!$B$2:$M$4838,10,FALSE)</f>
        <v/>
      </c>
      <c r="K1086" s="17">
        <f>+VLOOKUP($A1086,MAGAZZINO!$B$2:$M$4838,11,FALSE)</f>
        <v/>
      </c>
      <c r="L1086" s="44">
        <f>+VLOOKUP($A1086,MAGAZZINO!$B$2:$M$4838,12,FALSE)</f>
        <v/>
      </c>
    </row>
    <row r="1087" ht="36" customHeight="1">
      <c r="A1087" s="30">
        <f>+REGISTRO!A1070</f>
        <v/>
      </c>
      <c r="B1087" s="31">
        <f>+VLOOKUP($A1087,MAGAZZINO!$B$2:$M$4838,2,FALSE)</f>
        <v/>
      </c>
      <c r="C1087" s="32">
        <f>+VLOOKUP($A1087,MAGAZZINO!$B$2:$M$4838,3,FALSE)</f>
        <v/>
      </c>
      <c r="D1087" s="17">
        <f>+VLOOKUP($A1087,MAGAZZINO!$B$2:$M$4838,4,FALSE)</f>
        <v/>
      </c>
      <c r="E1087" s="17">
        <f>+VLOOKUP($A1087,MAGAZZINO!$B$2:$M$4838,5,FALSE)</f>
        <v/>
      </c>
      <c r="F1087" s="17">
        <f>+VLOOKUP($A1087,MAGAZZINO!$B$2:$M$4838,6,FALSE)</f>
        <v/>
      </c>
      <c r="G1087" s="17">
        <f>+VLOOKUP($A1087,MAGAZZINO!$B$2:$M$4838,7,FALSE)</f>
        <v/>
      </c>
      <c r="H1087" s="17">
        <f>+VLOOKUP($A1087,MAGAZZINO!$B$2:$M$4838,8,FALSE)</f>
        <v/>
      </c>
      <c r="I1087" s="17">
        <f>+VLOOKUP($A1087,MAGAZZINO!$B$2:$M$4838,9,FALSE)</f>
        <v/>
      </c>
      <c r="J1087" s="17">
        <f>+VLOOKUP($A1087,MAGAZZINO!$B$2:$M$4838,10,FALSE)</f>
        <v/>
      </c>
      <c r="K1087" s="17">
        <f>+VLOOKUP($A1087,MAGAZZINO!$B$2:$M$4838,11,FALSE)</f>
        <v/>
      </c>
      <c r="L1087" s="44">
        <f>+VLOOKUP($A1087,MAGAZZINO!$B$2:$M$4838,12,FALSE)</f>
        <v/>
      </c>
    </row>
    <row r="1088" ht="36" customHeight="1">
      <c r="A1088" s="30">
        <f>+REGISTRO!A1071</f>
        <v/>
      </c>
      <c r="B1088" s="31">
        <f>+VLOOKUP($A1088,MAGAZZINO!$B$2:$M$4838,2,FALSE)</f>
        <v/>
      </c>
      <c r="C1088" s="32">
        <f>+VLOOKUP($A1088,MAGAZZINO!$B$2:$M$4838,3,FALSE)</f>
        <v/>
      </c>
      <c r="D1088" s="17">
        <f>+VLOOKUP($A1088,MAGAZZINO!$B$2:$M$4838,4,FALSE)</f>
        <v/>
      </c>
      <c r="E1088" s="17">
        <f>+VLOOKUP($A1088,MAGAZZINO!$B$2:$M$4838,5,FALSE)</f>
        <v/>
      </c>
      <c r="F1088" s="17">
        <f>+VLOOKUP($A1088,MAGAZZINO!$B$2:$M$4838,6,FALSE)</f>
        <v/>
      </c>
      <c r="G1088" s="17">
        <f>+VLOOKUP($A1088,MAGAZZINO!$B$2:$M$4838,7,FALSE)</f>
        <v/>
      </c>
      <c r="H1088" s="17">
        <f>+VLOOKUP($A1088,MAGAZZINO!$B$2:$M$4838,8,FALSE)</f>
        <v/>
      </c>
      <c r="I1088" s="17">
        <f>+VLOOKUP($A1088,MAGAZZINO!$B$2:$M$4838,9,FALSE)</f>
        <v/>
      </c>
      <c r="J1088" s="17">
        <f>+VLOOKUP($A1088,MAGAZZINO!$B$2:$M$4838,10,FALSE)</f>
        <v/>
      </c>
      <c r="K1088" s="17">
        <f>+VLOOKUP($A1088,MAGAZZINO!$B$2:$M$4838,11,FALSE)</f>
        <v/>
      </c>
      <c r="L1088" s="44">
        <f>+VLOOKUP($A1088,MAGAZZINO!$B$2:$M$4838,12,FALSE)</f>
        <v/>
      </c>
    </row>
    <row r="1089" ht="36" customHeight="1">
      <c r="A1089" s="30">
        <f>+REGISTRO!A1072</f>
        <v/>
      </c>
      <c r="B1089" s="31">
        <f>+VLOOKUP($A1089,MAGAZZINO!$B$2:$M$4838,2,FALSE)</f>
        <v/>
      </c>
      <c r="C1089" s="32">
        <f>+VLOOKUP($A1089,MAGAZZINO!$B$2:$M$4838,3,FALSE)</f>
        <v/>
      </c>
      <c r="D1089" s="17">
        <f>+VLOOKUP($A1089,MAGAZZINO!$B$2:$M$4838,4,FALSE)</f>
        <v/>
      </c>
      <c r="E1089" s="17">
        <f>+VLOOKUP($A1089,MAGAZZINO!$B$2:$M$4838,5,FALSE)</f>
        <v/>
      </c>
      <c r="F1089" s="17">
        <f>+VLOOKUP($A1089,MAGAZZINO!$B$2:$M$4838,6,FALSE)</f>
        <v/>
      </c>
      <c r="G1089" s="17">
        <f>+VLOOKUP($A1089,MAGAZZINO!$B$2:$M$4838,7,FALSE)</f>
        <v/>
      </c>
      <c r="H1089" s="17">
        <f>+VLOOKUP($A1089,MAGAZZINO!$B$2:$M$4838,8,FALSE)</f>
        <v/>
      </c>
      <c r="I1089" s="17">
        <f>+VLOOKUP($A1089,MAGAZZINO!$B$2:$M$4838,9,FALSE)</f>
        <v/>
      </c>
      <c r="J1089" s="17">
        <f>+VLOOKUP($A1089,MAGAZZINO!$B$2:$M$4838,10,FALSE)</f>
        <v/>
      </c>
      <c r="K1089" s="17">
        <f>+VLOOKUP($A1089,MAGAZZINO!$B$2:$M$4838,11,FALSE)</f>
        <v/>
      </c>
      <c r="L1089" s="44">
        <f>+VLOOKUP($A1089,MAGAZZINO!$B$2:$M$4838,12,FALSE)</f>
        <v/>
      </c>
    </row>
    <row r="1090" ht="36" customHeight="1">
      <c r="A1090" s="30">
        <f>+REGISTRO!A1073</f>
        <v/>
      </c>
      <c r="B1090" s="31">
        <f>+VLOOKUP($A1090,MAGAZZINO!$B$2:$M$4838,2,FALSE)</f>
        <v/>
      </c>
      <c r="C1090" s="32">
        <f>+VLOOKUP($A1090,MAGAZZINO!$B$2:$M$4838,3,FALSE)</f>
        <v/>
      </c>
      <c r="D1090" s="17">
        <f>+VLOOKUP($A1090,MAGAZZINO!$B$2:$M$4838,4,FALSE)</f>
        <v/>
      </c>
      <c r="E1090" s="17">
        <f>+VLOOKUP($A1090,MAGAZZINO!$B$2:$M$4838,5,FALSE)</f>
        <v/>
      </c>
      <c r="F1090" s="17">
        <f>+VLOOKUP($A1090,MAGAZZINO!$B$2:$M$4838,6,FALSE)</f>
        <v/>
      </c>
      <c r="G1090" s="17">
        <f>+VLOOKUP($A1090,MAGAZZINO!$B$2:$M$4838,7,FALSE)</f>
        <v/>
      </c>
      <c r="H1090" s="17">
        <f>+VLOOKUP($A1090,MAGAZZINO!$B$2:$M$4838,8,FALSE)</f>
        <v/>
      </c>
      <c r="I1090" s="17">
        <f>+VLOOKUP($A1090,MAGAZZINO!$B$2:$M$4838,9,FALSE)</f>
        <v/>
      </c>
      <c r="J1090" s="17">
        <f>+VLOOKUP($A1090,MAGAZZINO!$B$2:$M$4838,10,FALSE)</f>
        <v/>
      </c>
      <c r="K1090" s="17">
        <f>+VLOOKUP($A1090,MAGAZZINO!$B$2:$M$4838,11,FALSE)</f>
        <v/>
      </c>
      <c r="L1090" s="44">
        <f>+VLOOKUP($A1090,MAGAZZINO!$B$2:$M$4838,12,FALSE)</f>
        <v/>
      </c>
    </row>
    <row r="1091" ht="36" customHeight="1">
      <c r="A1091" s="30">
        <f>+REGISTRO!A1074</f>
        <v/>
      </c>
      <c r="B1091" s="31">
        <f>+VLOOKUP($A1091,MAGAZZINO!$B$2:$M$4838,2,FALSE)</f>
        <v/>
      </c>
      <c r="C1091" s="32">
        <f>+VLOOKUP($A1091,MAGAZZINO!$B$2:$M$4838,3,FALSE)</f>
        <v/>
      </c>
      <c r="D1091" s="17">
        <f>+VLOOKUP($A1091,MAGAZZINO!$B$2:$M$4838,4,FALSE)</f>
        <v/>
      </c>
      <c r="E1091" s="17">
        <f>+VLOOKUP($A1091,MAGAZZINO!$B$2:$M$4838,5,FALSE)</f>
        <v/>
      </c>
      <c r="F1091" s="17">
        <f>+VLOOKUP($A1091,MAGAZZINO!$B$2:$M$4838,6,FALSE)</f>
        <v/>
      </c>
      <c r="G1091" s="17">
        <f>+VLOOKUP($A1091,MAGAZZINO!$B$2:$M$4838,7,FALSE)</f>
        <v/>
      </c>
      <c r="H1091" s="17">
        <f>+VLOOKUP($A1091,MAGAZZINO!$B$2:$M$4838,8,FALSE)</f>
        <v/>
      </c>
      <c r="I1091" s="17">
        <f>+VLOOKUP($A1091,MAGAZZINO!$B$2:$M$4838,9,FALSE)</f>
        <v/>
      </c>
      <c r="J1091" s="17">
        <f>+VLOOKUP($A1091,MAGAZZINO!$B$2:$M$4838,10,FALSE)</f>
        <v/>
      </c>
      <c r="K1091" s="17">
        <f>+VLOOKUP($A1091,MAGAZZINO!$B$2:$M$4838,11,FALSE)</f>
        <v/>
      </c>
      <c r="L1091" s="44">
        <f>+VLOOKUP($A1091,MAGAZZINO!$B$2:$M$4838,12,FALSE)</f>
        <v/>
      </c>
    </row>
    <row r="1092" ht="36" customHeight="1">
      <c r="A1092" s="30">
        <f>+REGISTRO!A1075</f>
        <v/>
      </c>
      <c r="B1092" s="31">
        <f>+VLOOKUP($A1092,MAGAZZINO!$B$2:$M$4838,2,FALSE)</f>
        <v/>
      </c>
      <c r="C1092" s="32">
        <f>+VLOOKUP($A1092,MAGAZZINO!$B$2:$M$4838,3,FALSE)</f>
        <v/>
      </c>
      <c r="D1092" s="17">
        <f>+VLOOKUP($A1092,MAGAZZINO!$B$2:$M$4838,4,FALSE)</f>
        <v/>
      </c>
      <c r="E1092" s="17">
        <f>+VLOOKUP($A1092,MAGAZZINO!$B$2:$M$4838,5,FALSE)</f>
        <v/>
      </c>
      <c r="F1092" s="17">
        <f>+VLOOKUP($A1092,MAGAZZINO!$B$2:$M$4838,6,FALSE)</f>
        <v/>
      </c>
      <c r="G1092" s="17">
        <f>+VLOOKUP($A1092,MAGAZZINO!$B$2:$M$4838,7,FALSE)</f>
        <v/>
      </c>
      <c r="H1092" s="17">
        <f>+VLOOKUP($A1092,MAGAZZINO!$B$2:$M$4838,8,FALSE)</f>
        <v/>
      </c>
      <c r="I1092" s="17">
        <f>+VLOOKUP($A1092,MAGAZZINO!$B$2:$M$4838,9,FALSE)</f>
        <v/>
      </c>
      <c r="J1092" s="17">
        <f>+VLOOKUP($A1092,MAGAZZINO!$B$2:$M$4838,10,FALSE)</f>
        <v/>
      </c>
      <c r="K1092" s="17">
        <f>+VLOOKUP($A1092,MAGAZZINO!$B$2:$M$4838,11,FALSE)</f>
        <v/>
      </c>
      <c r="L1092" s="44">
        <f>+VLOOKUP($A1092,MAGAZZINO!$B$2:$M$4838,12,FALSE)</f>
        <v/>
      </c>
    </row>
    <row r="1093" ht="36" customHeight="1">
      <c r="A1093" s="30">
        <f>+REGISTRO!A1076</f>
        <v/>
      </c>
      <c r="B1093" s="31">
        <f>+VLOOKUP($A1093,MAGAZZINO!$B$2:$M$4838,2,FALSE)</f>
        <v/>
      </c>
      <c r="C1093" s="32">
        <f>+VLOOKUP($A1093,MAGAZZINO!$B$2:$M$4838,3,FALSE)</f>
        <v/>
      </c>
      <c r="D1093" s="17">
        <f>+VLOOKUP($A1093,MAGAZZINO!$B$2:$M$4838,4,FALSE)</f>
        <v/>
      </c>
      <c r="E1093" s="17">
        <f>+VLOOKUP($A1093,MAGAZZINO!$B$2:$M$4838,5,FALSE)</f>
        <v/>
      </c>
      <c r="F1093" s="17">
        <f>+VLOOKUP($A1093,MAGAZZINO!$B$2:$M$4838,6,FALSE)</f>
        <v/>
      </c>
      <c r="G1093" s="17">
        <f>+VLOOKUP($A1093,MAGAZZINO!$B$2:$M$4838,7,FALSE)</f>
        <v/>
      </c>
      <c r="H1093" s="17">
        <f>+VLOOKUP($A1093,MAGAZZINO!$B$2:$M$4838,8,FALSE)</f>
        <v/>
      </c>
      <c r="I1093" s="17">
        <f>+VLOOKUP($A1093,MAGAZZINO!$B$2:$M$4838,9,FALSE)</f>
        <v/>
      </c>
      <c r="J1093" s="17">
        <f>+VLOOKUP($A1093,MAGAZZINO!$B$2:$M$4838,10,FALSE)</f>
        <v/>
      </c>
      <c r="K1093" s="17">
        <f>+VLOOKUP($A1093,MAGAZZINO!$B$2:$M$4838,11,FALSE)</f>
        <v/>
      </c>
      <c r="L1093" s="44">
        <f>+VLOOKUP($A1093,MAGAZZINO!$B$2:$M$4838,12,FALSE)</f>
        <v/>
      </c>
    </row>
    <row r="1094" ht="36" customHeight="1">
      <c r="A1094" s="30">
        <f>+REGISTRO!A1077</f>
        <v/>
      </c>
      <c r="B1094" s="31">
        <f>+VLOOKUP($A1094,MAGAZZINO!$B$2:$M$4838,2,FALSE)</f>
        <v/>
      </c>
      <c r="C1094" s="32">
        <f>+VLOOKUP($A1094,MAGAZZINO!$B$2:$M$4838,3,FALSE)</f>
        <v/>
      </c>
      <c r="D1094" s="17">
        <f>+VLOOKUP($A1094,MAGAZZINO!$B$2:$M$4838,4,FALSE)</f>
        <v/>
      </c>
      <c r="E1094" s="17">
        <f>+VLOOKUP($A1094,MAGAZZINO!$B$2:$M$4838,5,FALSE)</f>
        <v/>
      </c>
      <c r="F1094" s="17">
        <f>+VLOOKUP($A1094,MAGAZZINO!$B$2:$M$4838,6,FALSE)</f>
        <v/>
      </c>
      <c r="G1094" s="17">
        <f>+VLOOKUP($A1094,MAGAZZINO!$B$2:$M$4838,7,FALSE)</f>
        <v/>
      </c>
      <c r="H1094" s="17">
        <f>+VLOOKUP($A1094,MAGAZZINO!$B$2:$M$4838,8,FALSE)</f>
        <v/>
      </c>
      <c r="I1094" s="17">
        <f>+VLOOKUP($A1094,MAGAZZINO!$B$2:$M$4838,9,FALSE)</f>
        <v/>
      </c>
      <c r="J1094" s="17">
        <f>+VLOOKUP($A1094,MAGAZZINO!$B$2:$M$4838,10,FALSE)</f>
        <v/>
      </c>
      <c r="K1094" s="17">
        <f>+VLOOKUP($A1094,MAGAZZINO!$B$2:$M$4838,11,FALSE)</f>
        <v/>
      </c>
      <c r="L1094" s="44">
        <f>+VLOOKUP($A1094,MAGAZZINO!$B$2:$M$4838,12,FALSE)</f>
        <v/>
      </c>
    </row>
    <row r="1095" ht="36" customHeight="1">
      <c r="A1095" s="30">
        <f>+REGISTRO!A1078</f>
        <v/>
      </c>
      <c r="B1095" s="31">
        <f>+VLOOKUP($A1095,MAGAZZINO!$B$2:$M$4838,2,FALSE)</f>
        <v/>
      </c>
      <c r="C1095" s="32">
        <f>+VLOOKUP($A1095,MAGAZZINO!$B$2:$M$4838,3,FALSE)</f>
        <v/>
      </c>
      <c r="D1095" s="17">
        <f>+VLOOKUP($A1095,MAGAZZINO!$B$2:$M$4838,4,FALSE)</f>
        <v/>
      </c>
      <c r="E1095" s="17">
        <f>+VLOOKUP($A1095,MAGAZZINO!$B$2:$M$4838,5,FALSE)</f>
        <v/>
      </c>
      <c r="F1095" s="17">
        <f>+VLOOKUP($A1095,MAGAZZINO!$B$2:$M$4838,6,FALSE)</f>
        <v/>
      </c>
      <c r="G1095" s="17">
        <f>+VLOOKUP($A1095,MAGAZZINO!$B$2:$M$4838,7,FALSE)</f>
        <v/>
      </c>
      <c r="H1095" s="17">
        <f>+VLOOKUP($A1095,MAGAZZINO!$B$2:$M$4838,8,FALSE)</f>
        <v/>
      </c>
      <c r="I1095" s="17">
        <f>+VLOOKUP($A1095,MAGAZZINO!$B$2:$M$4838,9,FALSE)</f>
        <v/>
      </c>
      <c r="J1095" s="17">
        <f>+VLOOKUP($A1095,MAGAZZINO!$B$2:$M$4838,10,FALSE)</f>
        <v/>
      </c>
      <c r="K1095" s="17">
        <f>+VLOOKUP($A1095,MAGAZZINO!$B$2:$M$4838,11,FALSE)</f>
        <v/>
      </c>
      <c r="L1095" s="44">
        <f>+VLOOKUP($A1095,MAGAZZINO!$B$2:$M$4838,12,FALSE)</f>
        <v/>
      </c>
    </row>
    <row r="1096" ht="36" customHeight="1">
      <c r="A1096" s="30">
        <f>+REGISTRO!A1079</f>
        <v/>
      </c>
      <c r="B1096" s="31">
        <f>+VLOOKUP($A1096,MAGAZZINO!$B$2:$M$4838,2,FALSE)</f>
        <v/>
      </c>
      <c r="C1096" s="32">
        <f>+VLOOKUP($A1096,MAGAZZINO!$B$2:$M$4838,3,FALSE)</f>
        <v/>
      </c>
      <c r="D1096" s="17">
        <f>+VLOOKUP($A1096,MAGAZZINO!$B$2:$M$4838,4,FALSE)</f>
        <v/>
      </c>
      <c r="E1096" s="17">
        <f>+VLOOKUP($A1096,MAGAZZINO!$B$2:$M$4838,5,FALSE)</f>
        <v/>
      </c>
      <c r="F1096" s="17">
        <f>+VLOOKUP($A1096,MAGAZZINO!$B$2:$M$4838,6,FALSE)</f>
        <v/>
      </c>
      <c r="G1096" s="17">
        <f>+VLOOKUP($A1096,MAGAZZINO!$B$2:$M$4838,7,FALSE)</f>
        <v/>
      </c>
      <c r="H1096" s="17">
        <f>+VLOOKUP($A1096,MAGAZZINO!$B$2:$M$4838,8,FALSE)</f>
        <v/>
      </c>
      <c r="I1096" s="17">
        <f>+VLOOKUP($A1096,MAGAZZINO!$B$2:$M$4838,9,FALSE)</f>
        <v/>
      </c>
      <c r="J1096" s="17">
        <f>+VLOOKUP($A1096,MAGAZZINO!$B$2:$M$4838,10,FALSE)</f>
        <v/>
      </c>
      <c r="K1096" s="17">
        <f>+VLOOKUP($A1096,MAGAZZINO!$B$2:$M$4838,11,FALSE)</f>
        <v/>
      </c>
      <c r="L1096" s="44">
        <f>+VLOOKUP($A1096,MAGAZZINO!$B$2:$M$4838,12,FALSE)</f>
        <v/>
      </c>
    </row>
    <row r="1097" ht="36" customHeight="1">
      <c r="A1097" s="30">
        <f>+REGISTRO!A1080</f>
        <v/>
      </c>
      <c r="B1097" s="31">
        <f>+VLOOKUP($A1097,MAGAZZINO!$B$2:$M$4838,2,FALSE)</f>
        <v/>
      </c>
      <c r="C1097" s="32">
        <f>+VLOOKUP($A1097,MAGAZZINO!$B$2:$M$4838,3,FALSE)</f>
        <v/>
      </c>
      <c r="D1097" s="17">
        <f>+VLOOKUP($A1097,MAGAZZINO!$B$2:$M$4838,4,FALSE)</f>
        <v/>
      </c>
      <c r="E1097" s="17">
        <f>+VLOOKUP($A1097,MAGAZZINO!$B$2:$M$4838,5,FALSE)</f>
        <v/>
      </c>
      <c r="F1097" s="17">
        <f>+VLOOKUP($A1097,MAGAZZINO!$B$2:$M$4838,6,FALSE)</f>
        <v/>
      </c>
      <c r="G1097" s="17">
        <f>+VLOOKUP($A1097,MAGAZZINO!$B$2:$M$4838,7,FALSE)</f>
        <v/>
      </c>
      <c r="H1097" s="17">
        <f>+VLOOKUP($A1097,MAGAZZINO!$B$2:$M$4838,8,FALSE)</f>
        <v/>
      </c>
      <c r="I1097" s="17">
        <f>+VLOOKUP($A1097,MAGAZZINO!$B$2:$M$4838,9,FALSE)</f>
        <v/>
      </c>
      <c r="J1097" s="17">
        <f>+VLOOKUP($A1097,MAGAZZINO!$B$2:$M$4838,10,FALSE)</f>
        <v/>
      </c>
      <c r="K1097" s="17">
        <f>+VLOOKUP($A1097,MAGAZZINO!$B$2:$M$4838,11,FALSE)</f>
        <v/>
      </c>
      <c r="L1097" s="44">
        <f>+VLOOKUP($A1097,MAGAZZINO!$B$2:$M$4838,12,FALSE)</f>
        <v/>
      </c>
    </row>
    <row r="1098" ht="36" customHeight="1">
      <c r="A1098" s="30">
        <f>+REGISTRO!A1081</f>
        <v/>
      </c>
      <c r="B1098" s="31">
        <f>+VLOOKUP($A1098,MAGAZZINO!$B$2:$M$4838,2,FALSE)</f>
        <v/>
      </c>
      <c r="C1098" s="32">
        <f>+VLOOKUP($A1098,MAGAZZINO!$B$2:$M$4838,3,FALSE)</f>
        <v/>
      </c>
      <c r="D1098" s="17">
        <f>+VLOOKUP($A1098,MAGAZZINO!$B$2:$M$4838,4,FALSE)</f>
        <v/>
      </c>
      <c r="E1098" s="17">
        <f>+VLOOKUP($A1098,MAGAZZINO!$B$2:$M$4838,5,FALSE)</f>
        <v/>
      </c>
      <c r="F1098" s="17">
        <f>+VLOOKUP($A1098,MAGAZZINO!$B$2:$M$4838,6,FALSE)</f>
        <v/>
      </c>
      <c r="G1098" s="17">
        <f>+VLOOKUP($A1098,MAGAZZINO!$B$2:$M$4838,7,FALSE)</f>
        <v/>
      </c>
      <c r="H1098" s="17">
        <f>+VLOOKUP($A1098,MAGAZZINO!$B$2:$M$4838,8,FALSE)</f>
        <v/>
      </c>
      <c r="I1098" s="17">
        <f>+VLOOKUP($A1098,MAGAZZINO!$B$2:$M$4838,9,FALSE)</f>
        <v/>
      </c>
      <c r="J1098" s="17">
        <f>+VLOOKUP($A1098,MAGAZZINO!$B$2:$M$4838,10,FALSE)</f>
        <v/>
      </c>
      <c r="K1098" s="17">
        <f>+VLOOKUP($A1098,MAGAZZINO!$B$2:$M$4838,11,FALSE)</f>
        <v/>
      </c>
      <c r="L1098" s="44">
        <f>+VLOOKUP($A1098,MAGAZZINO!$B$2:$M$4838,12,FALSE)</f>
        <v/>
      </c>
    </row>
    <row r="1099" ht="36" customHeight="1">
      <c r="A1099" s="30">
        <f>+REGISTRO!A1082</f>
        <v/>
      </c>
      <c r="B1099" s="31">
        <f>+VLOOKUP($A1099,MAGAZZINO!$B$2:$M$4838,2,FALSE)</f>
        <v/>
      </c>
      <c r="C1099" s="32">
        <f>+VLOOKUP($A1099,MAGAZZINO!$B$2:$M$4838,3,FALSE)</f>
        <v/>
      </c>
      <c r="D1099" s="17">
        <f>+VLOOKUP($A1099,MAGAZZINO!$B$2:$M$4838,4,FALSE)</f>
        <v/>
      </c>
      <c r="E1099" s="17">
        <f>+VLOOKUP($A1099,MAGAZZINO!$B$2:$M$4838,5,FALSE)</f>
        <v/>
      </c>
      <c r="F1099" s="17">
        <f>+VLOOKUP($A1099,MAGAZZINO!$B$2:$M$4838,6,FALSE)</f>
        <v/>
      </c>
      <c r="G1099" s="17">
        <f>+VLOOKUP($A1099,MAGAZZINO!$B$2:$M$4838,7,FALSE)</f>
        <v/>
      </c>
      <c r="H1099" s="17">
        <f>+VLOOKUP($A1099,MAGAZZINO!$B$2:$M$4838,8,FALSE)</f>
        <v/>
      </c>
      <c r="I1099" s="17">
        <f>+VLOOKUP($A1099,MAGAZZINO!$B$2:$M$4838,9,FALSE)</f>
        <v/>
      </c>
      <c r="J1099" s="17">
        <f>+VLOOKUP($A1099,MAGAZZINO!$B$2:$M$4838,10,FALSE)</f>
        <v/>
      </c>
      <c r="K1099" s="17">
        <f>+VLOOKUP($A1099,MAGAZZINO!$B$2:$M$4838,11,FALSE)</f>
        <v/>
      </c>
      <c r="L1099" s="44">
        <f>+VLOOKUP($A1099,MAGAZZINO!$B$2:$M$4838,12,FALSE)</f>
        <v/>
      </c>
    </row>
    <row r="1100" ht="36" customHeight="1">
      <c r="A1100" s="30">
        <f>+REGISTRO!A1083</f>
        <v/>
      </c>
      <c r="B1100" s="31">
        <f>+VLOOKUP($A1100,MAGAZZINO!$B$2:$M$4838,2,FALSE)</f>
        <v/>
      </c>
      <c r="C1100" s="32">
        <f>+VLOOKUP($A1100,MAGAZZINO!$B$2:$M$4838,3,FALSE)</f>
        <v/>
      </c>
      <c r="D1100" s="17">
        <f>+VLOOKUP($A1100,MAGAZZINO!$B$2:$M$4838,4,FALSE)</f>
        <v/>
      </c>
      <c r="E1100" s="17">
        <f>+VLOOKUP($A1100,MAGAZZINO!$B$2:$M$4838,5,FALSE)</f>
        <v/>
      </c>
      <c r="F1100" s="17">
        <f>+VLOOKUP($A1100,MAGAZZINO!$B$2:$M$4838,6,FALSE)</f>
        <v/>
      </c>
      <c r="G1100" s="17">
        <f>+VLOOKUP($A1100,MAGAZZINO!$B$2:$M$4838,7,FALSE)</f>
        <v/>
      </c>
      <c r="H1100" s="17">
        <f>+VLOOKUP($A1100,MAGAZZINO!$B$2:$M$4838,8,FALSE)</f>
        <v/>
      </c>
      <c r="I1100" s="17">
        <f>+VLOOKUP($A1100,MAGAZZINO!$B$2:$M$4838,9,FALSE)</f>
        <v/>
      </c>
      <c r="J1100" s="17">
        <f>+VLOOKUP($A1100,MAGAZZINO!$B$2:$M$4838,10,FALSE)</f>
        <v/>
      </c>
      <c r="K1100" s="17">
        <f>+VLOOKUP($A1100,MAGAZZINO!$B$2:$M$4838,11,FALSE)</f>
        <v/>
      </c>
      <c r="L1100" s="44">
        <f>+VLOOKUP($A1100,MAGAZZINO!$B$2:$M$4838,12,FALSE)</f>
        <v/>
      </c>
    </row>
    <row r="1101" ht="36" customHeight="1">
      <c r="A1101" s="30">
        <f>+REGISTRO!A1084</f>
        <v/>
      </c>
      <c r="B1101" s="31">
        <f>+VLOOKUP($A1101,MAGAZZINO!$B$2:$M$4838,2,FALSE)</f>
        <v/>
      </c>
      <c r="C1101" s="32">
        <f>+VLOOKUP($A1101,MAGAZZINO!$B$2:$M$4838,3,FALSE)</f>
        <v/>
      </c>
      <c r="D1101" s="17">
        <f>+VLOOKUP($A1101,MAGAZZINO!$B$2:$M$4838,4,FALSE)</f>
        <v/>
      </c>
      <c r="E1101" s="17">
        <f>+VLOOKUP($A1101,MAGAZZINO!$B$2:$M$4838,5,FALSE)</f>
        <v/>
      </c>
      <c r="F1101" s="17">
        <f>+VLOOKUP($A1101,MAGAZZINO!$B$2:$M$4838,6,FALSE)</f>
        <v/>
      </c>
      <c r="G1101" s="17">
        <f>+VLOOKUP($A1101,MAGAZZINO!$B$2:$M$4838,7,FALSE)</f>
        <v/>
      </c>
      <c r="H1101" s="17">
        <f>+VLOOKUP($A1101,MAGAZZINO!$B$2:$M$4838,8,FALSE)</f>
        <v/>
      </c>
      <c r="I1101" s="17">
        <f>+VLOOKUP($A1101,MAGAZZINO!$B$2:$M$4838,9,FALSE)</f>
        <v/>
      </c>
      <c r="J1101" s="17">
        <f>+VLOOKUP($A1101,MAGAZZINO!$B$2:$M$4838,10,FALSE)</f>
        <v/>
      </c>
      <c r="K1101" s="17">
        <f>+VLOOKUP($A1101,MAGAZZINO!$B$2:$M$4838,11,FALSE)</f>
        <v/>
      </c>
      <c r="L1101" s="44">
        <f>+VLOOKUP($A1101,MAGAZZINO!$B$2:$M$4838,12,FALSE)</f>
        <v/>
      </c>
    </row>
    <row r="1102" ht="36" customHeight="1">
      <c r="A1102" s="30">
        <f>+REGISTRO!A1085</f>
        <v/>
      </c>
      <c r="B1102" s="31">
        <f>+VLOOKUP($A1102,MAGAZZINO!$B$2:$M$4838,2,FALSE)</f>
        <v/>
      </c>
      <c r="C1102" s="32">
        <f>+VLOOKUP($A1102,MAGAZZINO!$B$2:$M$4838,3,FALSE)</f>
        <v/>
      </c>
      <c r="D1102" s="17">
        <f>+VLOOKUP($A1102,MAGAZZINO!$B$2:$M$4838,4,FALSE)</f>
        <v/>
      </c>
      <c r="E1102" s="17">
        <f>+VLOOKUP($A1102,MAGAZZINO!$B$2:$M$4838,5,FALSE)</f>
        <v/>
      </c>
      <c r="F1102" s="17">
        <f>+VLOOKUP($A1102,MAGAZZINO!$B$2:$M$4838,6,FALSE)</f>
        <v/>
      </c>
      <c r="G1102" s="17">
        <f>+VLOOKUP($A1102,MAGAZZINO!$B$2:$M$4838,7,FALSE)</f>
        <v/>
      </c>
      <c r="H1102" s="17">
        <f>+VLOOKUP($A1102,MAGAZZINO!$B$2:$M$4838,8,FALSE)</f>
        <v/>
      </c>
      <c r="I1102" s="17">
        <f>+VLOOKUP($A1102,MAGAZZINO!$B$2:$M$4838,9,FALSE)</f>
        <v/>
      </c>
      <c r="J1102" s="17">
        <f>+VLOOKUP($A1102,MAGAZZINO!$B$2:$M$4838,10,FALSE)</f>
        <v/>
      </c>
      <c r="K1102" s="17">
        <f>+VLOOKUP($A1102,MAGAZZINO!$B$2:$M$4838,11,FALSE)</f>
        <v/>
      </c>
      <c r="L1102" s="44">
        <f>+VLOOKUP($A1102,MAGAZZINO!$B$2:$M$4838,12,FALSE)</f>
        <v/>
      </c>
    </row>
    <row r="1103" ht="36" customHeight="1">
      <c r="A1103" s="30">
        <f>+REGISTRO!A1086</f>
        <v/>
      </c>
      <c r="B1103" s="31">
        <f>+VLOOKUP($A1103,MAGAZZINO!$B$2:$M$4838,2,FALSE)</f>
        <v/>
      </c>
      <c r="C1103" s="32">
        <f>+VLOOKUP($A1103,MAGAZZINO!$B$2:$M$4838,3,FALSE)</f>
        <v/>
      </c>
      <c r="D1103" s="17">
        <f>+VLOOKUP($A1103,MAGAZZINO!$B$2:$M$4838,4,FALSE)</f>
        <v/>
      </c>
      <c r="E1103" s="17">
        <f>+VLOOKUP($A1103,MAGAZZINO!$B$2:$M$4838,5,FALSE)</f>
        <v/>
      </c>
      <c r="F1103" s="17">
        <f>+VLOOKUP($A1103,MAGAZZINO!$B$2:$M$4838,6,FALSE)</f>
        <v/>
      </c>
      <c r="G1103" s="17">
        <f>+VLOOKUP($A1103,MAGAZZINO!$B$2:$M$4838,7,FALSE)</f>
        <v/>
      </c>
      <c r="H1103" s="17">
        <f>+VLOOKUP($A1103,MAGAZZINO!$B$2:$M$4838,8,FALSE)</f>
        <v/>
      </c>
      <c r="I1103" s="17">
        <f>+VLOOKUP($A1103,MAGAZZINO!$B$2:$M$4838,9,FALSE)</f>
        <v/>
      </c>
      <c r="J1103" s="17">
        <f>+VLOOKUP($A1103,MAGAZZINO!$B$2:$M$4838,10,FALSE)</f>
        <v/>
      </c>
      <c r="K1103" s="17">
        <f>+VLOOKUP($A1103,MAGAZZINO!$B$2:$M$4838,11,FALSE)</f>
        <v/>
      </c>
      <c r="L1103" s="44">
        <f>+VLOOKUP($A1103,MAGAZZINO!$B$2:$M$4838,12,FALSE)</f>
        <v/>
      </c>
    </row>
    <row r="1104" ht="36" customHeight="1">
      <c r="A1104" s="30">
        <f>+REGISTRO!A1087</f>
        <v/>
      </c>
      <c r="B1104" s="31">
        <f>+VLOOKUP($A1104,MAGAZZINO!$B$2:$M$4838,2,FALSE)</f>
        <v/>
      </c>
      <c r="C1104" s="32">
        <f>+VLOOKUP($A1104,MAGAZZINO!$B$2:$M$4838,3,FALSE)</f>
        <v/>
      </c>
      <c r="D1104" s="17">
        <f>+VLOOKUP($A1104,MAGAZZINO!$B$2:$M$4838,4,FALSE)</f>
        <v/>
      </c>
      <c r="E1104" s="17">
        <f>+VLOOKUP($A1104,MAGAZZINO!$B$2:$M$4838,5,FALSE)</f>
        <v/>
      </c>
      <c r="F1104" s="17">
        <f>+VLOOKUP($A1104,MAGAZZINO!$B$2:$M$4838,6,FALSE)</f>
        <v/>
      </c>
      <c r="G1104" s="17">
        <f>+VLOOKUP($A1104,MAGAZZINO!$B$2:$M$4838,7,FALSE)</f>
        <v/>
      </c>
      <c r="H1104" s="17">
        <f>+VLOOKUP($A1104,MAGAZZINO!$B$2:$M$4838,8,FALSE)</f>
        <v/>
      </c>
      <c r="I1104" s="17">
        <f>+VLOOKUP($A1104,MAGAZZINO!$B$2:$M$4838,9,FALSE)</f>
        <v/>
      </c>
      <c r="J1104" s="17">
        <f>+VLOOKUP($A1104,MAGAZZINO!$B$2:$M$4838,10,FALSE)</f>
        <v/>
      </c>
      <c r="K1104" s="17">
        <f>+VLOOKUP($A1104,MAGAZZINO!$B$2:$M$4838,11,FALSE)</f>
        <v/>
      </c>
      <c r="L1104" s="44">
        <f>+VLOOKUP($A1104,MAGAZZINO!$B$2:$M$4838,12,FALSE)</f>
        <v/>
      </c>
    </row>
    <row r="1105" ht="36" customHeight="1">
      <c r="A1105" s="30">
        <f>+REGISTRO!A1088</f>
        <v/>
      </c>
      <c r="B1105" s="31">
        <f>+VLOOKUP($A1105,MAGAZZINO!$B$2:$M$4838,2,FALSE)</f>
        <v/>
      </c>
      <c r="C1105" s="32">
        <f>+VLOOKUP($A1105,MAGAZZINO!$B$2:$M$4838,3,FALSE)</f>
        <v/>
      </c>
      <c r="D1105" s="17">
        <f>+VLOOKUP($A1105,MAGAZZINO!$B$2:$M$4838,4,FALSE)</f>
        <v/>
      </c>
      <c r="E1105" s="17">
        <f>+VLOOKUP($A1105,MAGAZZINO!$B$2:$M$4838,5,FALSE)</f>
        <v/>
      </c>
      <c r="F1105" s="17">
        <f>+VLOOKUP($A1105,MAGAZZINO!$B$2:$M$4838,6,FALSE)</f>
        <v/>
      </c>
      <c r="G1105" s="17">
        <f>+VLOOKUP($A1105,MAGAZZINO!$B$2:$M$4838,7,FALSE)</f>
        <v/>
      </c>
      <c r="H1105" s="17">
        <f>+VLOOKUP($A1105,MAGAZZINO!$B$2:$M$4838,8,FALSE)</f>
        <v/>
      </c>
      <c r="I1105" s="17">
        <f>+VLOOKUP($A1105,MAGAZZINO!$B$2:$M$4838,9,FALSE)</f>
        <v/>
      </c>
      <c r="J1105" s="17">
        <f>+VLOOKUP($A1105,MAGAZZINO!$B$2:$M$4838,10,FALSE)</f>
        <v/>
      </c>
      <c r="K1105" s="17">
        <f>+VLOOKUP($A1105,MAGAZZINO!$B$2:$M$4838,11,FALSE)</f>
        <v/>
      </c>
      <c r="L1105" s="44">
        <f>+VLOOKUP($A1105,MAGAZZINO!$B$2:$M$4838,12,FALSE)</f>
        <v/>
      </c>
    </row>
    <row r="1106" ht="36" customHeight="1">
      <c r="A1106" s="30">
        <f>+REGISTRO!A1089</f>
        <v/>
      </c>
      <c r="B1106" s="31">
        <f>+VLOOKUP($A1106,MAGAZZINO!$B$2:$M$4838,2,FALSE)</f>
        <v/>
      </c>
      <c r="C1106" s="32">
        <f>+VLOOKUP($A1106,MAGAZZINO!$B$2:$M$4838,3,FALSE)</f>
        <v/>
      </c>
      <c r="D1106" s="17">
        <f>+VLOOKUP($A1106,MAGAZZINO!$B$2:$M$4838,4,FALSE)</f>
        <v/>
      </c>
      <c r="E1106" s="17">
        <f>+VLOOKUP($A1106,MAGAZZINO!$B$2:$M$4838,5,FALSE)</f>
        <v/>
      </c>
      <c r="F1106" s="17">
        <f>+VLOOKUP($A1106,MAGAZZINO!$B$2:$M$4838,6,FALSE)</f>
        <v/>
      </c>
      <c r="G1106" s="17">
        <f>+VLOOKUP($A1106,MAGAZZINO!$B$2:$M$4838,7,FALSE)</f>
        <v/>
      </c>
      <c r="H1106" s="17">
        <f>+VLOOKUP($A1106,MAGAZZINO!$B$2:$M$4838,8,FALSE)</f>
        <v/>
      </c>
      <c r="I1106" s="17">
        <f>+VLOOKUP($A1106,MAGAZZINO!$B$2:$M$4838,9,FALSE)</f>
        <v/>
      </c>
      <c r="J1106" s="17">
        <f>+VLOOKUP($A1106,MAGAZZINO!$B$2:$M$4838,10,FALSE)</f>
        <v/>
      </c>
      <c r="K1106" s="17">
        <f>+VLOOKUP($A1106,MAGAZZINO!$B$2:$M$4838,11,FALSE)</f>
        <v/>
      </c>
      <c r="L1106" s="44">
        <f>+VLOOKUP($A1106,MAGAZZINO!$B$2:$M$4838,12,FALSE)</f>
        <v/>
      </c>
    </row>
    <row r="1107" ht="36" customHeight="1">
      <c r="A1107" s="30">
        <f>+REGISTRO!A1090</f>
        <v/>
      </c>
      <c r="B1107" s="31">
        <f>+VLOOKUP($A1107,MAGAZZINO!$B$2:$M$4838,2,FALSE)</f>
        <v/>
      </c>
      <c r="C1107" s="32">
        <f>+VLOOKUP($A1107,MAGAZZINO!$B$2:$M$4838,3,FALSE)</f>
        <v/>
      </c>
      <c r="D1107" s="17">
        <f>+VLOOKUP($A1107,MAGAZZINO!$B$2:$M$4838,4,FALSE)</f>
        <v/>
      </c>
      <c r="E1107" s="17">
        <f>+VLOOKUP($A1107,MAGAZZINO!$B$2:$M$4838,5,FALSE)</f>
        <v/>
      </c>
      <c r="F1107" s="17">
        <f>+VLOOKUP($A1107,MAGAZZINO!$B$2:$M$4838,6,FALSE)</f>
        <v/>
      </c>
      <c r="G1107" s="17">
        <f>+VLOOKUP($A1107,MAGAZZINO!$B$2:$M$4838,7,FALSE)</f>
        <v/>
      </c>
      <c r="H1107" s="17">
        <f>+VLOOKUP($A1107,MAGAZZINO!$B$2:$M$4838,8,FALSE)</f>
        <v/>
      </c>
      <c r="I1107" s="17">
        <f>+VLOOKUP($A1107,MAGAZZINO!$B$2:$M$4838,9,FALSE)</f>
        <v/>
      </c>
      <c r="J1107" s="17">
        <f>+VLOOKUP($A1107,MAGAZZINO!$B$2:$M$4838,10,FALSE)</f>
        <v/>
      </c>
      <c r="K1107" s="17">
        <f>+VLOOKUP($A1107,MAGAZZINO!$B$2:$M$4838,11,FALSE)</f>
        <v/>
      </c>
      <c r="L1107" s="44">
        <f>+VLOOKUP($A1107,MAGAZZINO!$B$2:$M$4838,12,FALSE)</f>
        <v/>
      </c>
    </row>
    <row r="1108" ht="36" customHeight="1">
      <c r="A1108" s="30">
        <f>+REGISTRO!A1091</f>
        <v/>
      </c>
      <c r="B1108" s="31">
        <f>+VLOOKUP($A1108,MAGAZZINO!$B$2:$M$4838,2,FALSE)</f>
        <v/>
      </c>
      <c r="C1108" s="32">
        <f>+VLOOKUP($A1108,MAGAZZINO!$B$2:$M$4838,3,FALSE)</f>
        <v/>
      </c>
      <c r="D1108" s="17">
        <f>+VLOOKUP($A1108,MAGAZZINO!$B$2:$M$4838,4,FALSE)</f>
        <v/>
      </c>
      <c r="E1108" s="17">
        <f>+VLOOKUP($A1108,MAGAZZINO!$B$2:$M$4838,5,FALSE)</f>
        <v/>
      </c>
      <c r="F1108" s="17">
        <f>+VLOOKUP($A1108,MAGAZZINO!$B$2:$M$4838,6,FALSE)</f>
        <v/>
      </c>
      <c r="G1108" s="17">
        <f>+VLOOKUP($A1108,MAGAZZINO!$B$2:$M$4838,7,FALSE)</f>
        <v/>
      </c>
      <c r="H1108" s="17">
        <f>+VLOOKUP($A1108,MAGAZZINO!$B$2:$M$4838,8,FALSE)</f>
        <v/>
      </c>
      <c r="I1108" s="17">
        <f>+VLOOKUP($A1108,MAGAZZINO!$B$2:$M$4838,9,FALSE)</f>
        <v/>
      </c>
      <c r="J1108" s="17">
        <f>+VLOOKUP($A1108,MAGAZZINO!$B$2:$M$4838,10,FALSE)</f>
        <v/>
      </c>
      <c r="K1108" s="17">
        <f>+VLOOKUP($A1108,MAGAZZINO!$B$2:$M$4838,11,FALSE)</f>
        <v/>
      </c>
      <c r="L1108" s="44">
        <f>+VLOOKUP($A1108,MAGAZZINO!$B$2:$M$4838,12,FALSE)</f>
        <v/>
      </c>
    </row>
    <row r="1109" ht="36" customHeight="1">
      <c r="A1109" s="30">
        <f>+REGISTRO!A1092</f>
        <v/>
      </c>
      <c r="B1109" s="31">
        <f>+VLOOKUP($A1109,MAGAZZINO!$B$2:$M$4838,2,FALSE)</f>
        <v/>
      </c>
      <c r="C1109" s="32">
        <f>+VLOOKUP($A1109,MAGAZZINO!$B$2:$M$4838,3,FALSE)</f>
        <v/>
      </c>
      <c r="D1109" s="17">
        <f>+VLOOKUP($A1109,MAGAZZINO!$B$2:$M$4838,4,FALSE)</f>
        <v/>
      </c>
      <c r="E1109" s="17">
        <f>+VLOOKUP($A1109,MAGAZZINO!$B$2:$M$4838,5,FALSE)</f>
        <v/>
      </c>
      <c r="F1109" s="17">
        <f>+VLOOKUP($A1109,MAGAZZINO!$B$2:$M$4838,6,FALSE)</f>
        <v/>
      </c>
      <c r="G1109" s="17">
        <f>+VLOOKUP($A1109,MAGAZZINO!$B$2:$M$4838,7,FALSE)</f>
        <v/>
      </c>
      <c r="H1109" s="17">
        <f>+VLOOKUP($A1109,MAGAZZINO!$B$2:$M$4838,8,FALSE)</f>
        <v/>
      </c>
      <c r="I1109" s="17">
        <f>+VLOOKUP($A1109,MAGAZZINO!$B$2:$M$4838,9,FALSE)</f>
        <v/>
      </c>
      <c r="J1109" s="17">
        <f>+VLOOKUP($A1109,MAGAZZINO!$B$2:$M$4838,10,FALSE)</f>
        <v/>
      </c>
      <c r="K1109" s="17">
        <f>+VLOOKUP($A1109,MAGAZZINO!$B$2:$M$4838,11,FALSE)</f>
        <v/>
      </c>
      <c r="L1109" s="44">
        <f>+VLOOKUP($A1109,MAGAZZINO!$B$2:$M$4838,12,FALSE)</f>
        <v/>
      </c>
    </row>
    <row r="1110" ht="36" customHeight="1">
      <c r="A1110" s="30">
        <f>+REGISTRO!A1093</f>
        <v/>
      </c>
      <c r="B1110" s="31">
        <f>+VLOOKUP($A1110,MAGAZZINO!$B$2:$M$4838,2,FALSE)</f>
        <v/>
      </c>
      <c r="C1110" s="32">
        <f>+VLOOKUP($A1110,MAGAZZINO!$B$2:$M$4838,3,FALSE)</f>
        <v/>
      </c>
      <c r="D1110" s="17">
        <f>+VLOOKUP($A1110,MAGAZZINO!$B$2:$M$4838,4,FALSE)</f>
        <v/>
      </c>
      <c r="E1110" s="17">
        <f>+VLOOKUP($A1110,MAGAZZINO!$B$2:$M$4838,5,FALSE)</f>
        <v/>
      </c>
      <c r="F1110" s="17">
        <f>+VLOOKUP($A1110,MAGAZZINO!$B$2:$M$4838,6,FALSE)</f>
        <v/>
      </c>
      <c r="G1110" s="17">
        <f>+VLOOKUP($A1110,MAGAZZINO!$B$2:$M$4838,7,FALSE)</f>
        <v/>
      </c>
      <c r="H1110" s="17">
        <f>+VLOOKUP($A1110,MAGAZZINO!$B$2:$M$4838,8,FALSE)</f>
        <v/>
      </c>
      <c r="I1110" s="17">
        <f>+VLOOKUP($A1110,MAGAZZINO!$B$2:$M$4838,9,FALSE)</f>
        <v/>
      </c>
      <c r="J1110" s="17">
        <f>+VLOOKUP($A1110,MAGAZZINO!$B$2:$M$4838,10,FALSE)</f>
        <v/>
      </c>
      <c r="K1110" s="17">
        <f>+VLOOKUP($A1110,MAGAZZINO!$B$2:$M$4838,11,FALSE)</f>
        <v/>
      </c>
      <c r="L1110" s="44">
        <f>+VLOOKUP($A1110,MAGAZZINO!$B$2:$M$4838,12,FALSE)</f>
        <v/>
      </c>
    </row>
    <row r="1111" ht="36" customHeight="1">
      <c r="A1111" s="30">
        <f>+REGISTRO!A1094</f>
        <v/>
      </c>
      <c r="B1111" s="31">
        <f>+VLOOKUP($A1111,MAGAZZINO!$B$2:$M$4838,2,FALSE)</f>
        <v/>
      </c>
      <c r="C1111" s="32">
        <f>+VLOOKUP($A1111,MAGAZZINO!$B$2:$M$4838,3,FALSE)</f>
        <v/>
      </c>
      <c r="D1111" s="17">
        <f>+VLOOKUP($A1111,MAGAZZINO!$B$2:$M$4838,4,FALSE)</f>
        <v/>
      </c>
      <c r="E1111" s="17">
        <f>+VLOOKUP($A1111,MAGAZZINO!$B$2:$M$4838,5,FALSE)</f>
        <v/>
      </c>
      <c r="F1111" s="17">
        <f>+VLOOKUP($A1111,MAGAZZINO!$B$2:$M$4838,6,FALSE)</f>
        <v/>
      </c>
      <c r="G1111" s="17">
        <f>+VLOOKUP($A1111,MAGAZZINO!$B$2:$M$4838,7,FALSE)</f>
        <v/>
      </c>
      <c r="H1111" s="17">
        <f>+VLOOKUP($A1111,MAGAZZINO!$B$2:$M$4838,8,FALSE)</f>
        <v/>
      </c>
      <c r="I1111" s="17">
        <f>+VLOOKUP($A1111,MAGAZZINO!$B$2:$M$4838,9,FALSE)</f>
        <v/>
      </c>
      <c r="J1111" s="17">
        <f>+VLOOKUP($A1111,MAGAZZINO!$B$2:$M$4838,10,FALSE)</f>
        <v/>
      </c>
      <c r="K1111" s="17">
        <f>+VLOOKUP($A1111,MAGAZZINO!$B$2:$M$4838,11,FALSE)</f>
        <v/>
      </c>
      <c r="L1111" s="44">
        <f>+VLOOKUP($A1111,MAGAZZINO!$B$2:$M$4838,12,FALSE)</f>
        <v/>
      </c>
    </row>
    <row r="1112" ht="36" customHeight="1">
      <c r="A1112" s="30">
        <f>+REGISTRO!A1095</f>
        <v/>
      </c>
      <c r="B1112" s="31">
        <f>+VLOOKUP($A1112,MAGAZZINO!$B$2:$M$4838,2,FALSE)</f>
        <v/>
      </c>
      <c r="C1112" s="32">
        <f>+VLOOKUP($A1112,MAGAZZINO!$B$2:$M$4838,3,FALSE)</f>
        <v/>
      </c>
      <c r="D1112" s="17">
        <f>+VLOOKUP($A1112,MAGAZZINO!$B$2:$M$4838,4,FALSE)</f>
        <v/>
      </c>
      <c r="E1112" s="17">
        <f>+VLOOKUP($A1112,MAGAZZINO!$B$2:$M$4838,5,FALSE)</f>
        <v/>
      </c>
      <c r="F1112" s="17">
        <f>+VLOOKUP($A1112,MAGAZZINO!$B$2:$M$4838,6,FALSE)</f>
        <v/>
      </c>
      <c r="G1112" s="17">
        <f>+VLOOKUP($A1112,MAGAZZINO!$B$2:$M$4838,7,FALSE)</f>
        <v/>
      </c>
      <c r="H1112" s="17">
        <f>+VLOOKUP($A1112,MAGAZZINO!$B$2:$M$4838,8,FALSE)</f>
        <v/>
      </c>
      <c r="I1112" s="17">
        <f>+VLOOKUP($A1112,MAGAZZINO!$B$2:$M$4838,9,FALSE)</f>
        <v/>
      </c>
      <c r="J1112" s="17">
        <f>+VLOOKUP($A1112,MAGAZZINO!$B$2:$M$4838,10,FALSE)</f>
        <v/>
      </c>
      <c r="K1112" s="17">
        <f>+VLOOKUP($A1112,MAGAZZINO!$B$2:$M$4838,11,FALSE)</f>
        <v/>
      </c>
      <c r="L1112" s="44">
        <f>+VLOOKUP($A1112,MAGAZZINO!$B$2:$M$4838,12,FALSE)</f>
        <v/>
      </c>
    </row>
    <row r="1113" ht="36" customHeight="1">
      <c r="A1113" s="30">
        <f>+REGISTRO!A1096</f>
        <v/>
      </c>
      <c r="B1113" s="31">
        <f>+VLOOKUP($A1113,MAGAZZINO!$B$2:$M$4838,2,FALSE)</f>
        <v/>
      </c>
      <c r="C1113" s="32">
        <f>+VLOOKUP($A1113,MAGAZZINO!$B$2:$M$4838,3,FALSE)</f>
        <v/>
      </c>
      <c r="D1113" s="17">
        <f>+VLOOKUP($A1113,MAGAZZINO!$B$2:$M$4838,4,FALSE)</f>
        <v/>
      </c>
      <c r="E1113" s="17">
        <f>+VLOOKUP($A1113,MAGAZZINO!$B$2:$M$4838,5,FALSE)</f>
        <v/>
      </c>
      <c r="F1113" s="17">
        <f>+VLOOKUP($A1113,MAGAZZINO!$B$2:$M$4838,6,FALSE)</f>
        <v/>
      </c>
      <c r="G1113" s="17">
        <f>+VLOOKUP($A1113,MAGAZZINO!$B$2:$M$4838,7,FALSE)</f>
        <v/>
      </c>
      <c r="H1113" s="17">
        <f>+VLOOKUP($A1113,MAGAZZINO!$B$2:$M$4838,8,FALSE)</f>
        <v/>
      </c>
      <c r="I1113" s="17">
        <f>+VLOOKUP($A1113,MAGAZZINO!$B$2:$M$4838,9,FALSE)</f>
        <v/>
      </c>
      <c r="J1113" s="17">
        <f>+VLOOKUP($A1113,MAGAZZINO!$B$2:$M$4838,10,FALSE)</f>
        <v/>
      </c>
      <c r="K1113" s="17">
        <f>+VLOOKUP($A1113,MAGAZZINO!$B$2:$M$4838,11,FALSE)</f>
        <v/>
      </c>
      <c r="L1113" s="44">
        <f>+VLOOKUP($A1113,MAGAZZINO!$B$2:$M$4838,12,FALSE)</f>
        <v/>
      </c>
    </row>
    <row r="1114" ht="36" customHeight="1">
      <c r="A1114" s="30">
        <f>+REGISTRO!A1097</f>
        <v/>
      </c>
      <c r="B1114" s="31">
        <f>+VLOOKUP($A1114,MAGAZZINO!$B$2:$M$4838,2,FALSE)</f>
        <v/>
      </c>
      <c r="C1114" s="32">
        <f>+VLOOKUP($A1114,MAGAZZINO!$B$2:$M$4838,3,FALSE)</f>
        <v/>
      </c>
      <c r="D1114" s="17">
        <f>+VLOOKUP($A1114,MAGAZZINO!$B$2:$M$4838,4,FALSE)</f>
        <v/>
      </c>
      <c r="E1114" s="17">
        <f>+VLOOKUP($A1114,MAGAZZINO!$B$2:$M$4838,5,FALSE)</f>
        <v/>
      </c>
      <c r="F1114" s="17">
        <f>+VLOOKUP($A1114,MAGAZZINO!$B$2:$M$4838,6,FALSE)</f>
        <v/>
      </c>
      <c r="G1114" s="17">
        <f>+VLOOKUP($A1114,MAGAZZINO!$B$2:$M$4838,7,FALSE)</f>
        <v/>
      </c>
      <c r="H1114" s="17">
        <f>+VLOOKUP($A1114,MAGAZZINO!$B$2:$M$4838,8,FALSE)</f>
        <v/>
      </c>
      <c r="I1114" s="17">
        <f>+VLOOKUP($A1114,MAGAZZINO!$B$2:$M$4838,9,FALSE)</f>
        <v/>
      </c>
      <c r="J1114" s="17">
        <f>+VLOOKUP($A1114,MAGAZZINO!$B$2:$M$4838,10,FALSE)</f>
        <v/>
      </c>
      <c r="K1114" s="17">
        <f>+VLOOKUP($A1114,MAGAZZINO!$B$2:$M$4838,11,FALSE)</f>
        <v/>
      </c>
      <c r="L1114" s="44">
        <f>+VLOOKUP($A1114,MAGAZZINO!$B$2:$M$4838,12,FALSE)</f>
        <v/>
      </c>
    </row>
    <row r="1115" ht="36" customHeight="1">
      <c r="A1115" s="30">
        <f>+REGISTRO!A1098</f>
        <v/>
      </c>
      <c r="B1115" s="31">
        <f>+VLOOKUP($A1115,MAGAZZINO!$B$2:$M$4838,2,FALSE)</f>
        <v/>
      </c>
      <c r="C1115" s="32">
        <f>+VLOOKUP($A1115,MAGAZZINO!$B$2:$M$4838,3,FALSE)</f>
        <v/>
      </c>
      <c r="D1115" s="17">
        <f>+VLOOKUP($A1115,MAGAZZINO!$B$2:$M$4838,4,FALSE)</f>
        <v/>
      </c>
      <c r="E1115" s="17">
        <f>+VLOOKUP($A1115,MAGAZZINO!$B$2:$M$4838,5,FALSE)</f>
        <v/>
      </c>
      <c r="F1115" s="17">
        <f>+VLOOKUP($A1115,MAGAZZINO!$B$2:$M$4838,6,FALSE)</f>
        <v/>
      </c>
      <c r="G1115" s="17">
        <f>+VLOOKUP($A1115,MAGAZZINO!$B$2:$M$4838,7,FALSE)</f>
        <v/>
      </c>
      <c r="H1115" s="17">
        <f>+VLOOKUP($A1115,MAGAZZINO!$B$2:$M$4838,8,FALSE)</f>
        <v/>
      </c>
      <c r="I1115" s="17">
        <f>+VLOOKUP($A1115,MAGAZZINO!$B$2:$M$4838,9,FALSE)</f>
        <v/>
      </c>
      <c r="J1115" s="17">
        <f>+VLOOKUP($A1115,MAGAZZINO!$B$2:$M$4838,10,FALSE)</f>
        <v/>
      </c>
      <c r="K1115" s="17">
        <f>+VLOOKUP($A1115,MAGAZZINO!$B$2:$M$4838,11,FALSE)</f>
        <v/>
      </c>
      <c r="L1115" s="44">
        <f>+VLOOKUP($A1115,MAGAZZINO!$B$2:$M$4838,12,FALSE)</f>
        <v/>
      </c>
    </row>
    <row r="1116" ht="36" customHeight="1">
      <c r="A1116" s="30">
        <f>+REGISTRO!A1099</f>
        <v/>
      </c>
      <c r="B1116" s="31">
        <f>+VLOOKUP($A1116,MAGAZZINO!$B$2:$M$4838,2,FALSE)</f>
        <v/>
      </c>
      <c r="C1116" s="32">
        <f>+VLOOKUP($A1116,MAGAZZINO!$B$2:$M$4838,3,FALSE)</f>
        <v/>
      </c>
      <c r="D1116" s="17">
        <f>+VLOOKUP($A1116,MAGAZZINO!$B$2:$M$4838,4,FALSE)</f>
        <v/>
      </c>
      <c r="E1116" s="17">
        <f>+VLOOKUP($A1116,MAGAZZINO!$B$2:$M$4838,5,FALSE)</f>
        <v/>
      </c>
      <c r="F1116" s="17">
        <f>+VLOOKUP($A1116,MAGAZZINO!$B$2:$M$4838,6,FALSE)</f>
        <v/>
      </c>
      <c r="G1116" s="17">
        <f>+VLOOKUP($A1116,MAGAZZINO!$B$2:$M$4838,7,FALSE)</f>
        <v/>
      </c>
      <c r="H1116" s="17">
        <f>+VLOOKUP($A1116,MAGAZZINO!$B$2:$M$4838,8,FALSE)</f>
        <v/>
      </c>
      <c r="I1116" s="17">
        <f>+VLOOKUP($A1116,MAGAZZINO!$B$2:$M$4838,9,FALSE)</f>
        <v/>
      </c>
      <c r="J1116" s="17">
        <f>+VLOOKUP($A1116,MAGAZZINO!$B$2:$M$4838,10,FALSE)</f>
        <v/>
      </c>
      <c r="K1116" s="17">
        <f>+VLOOKUP($A1116,MAGAZZINO!$B$2:$M$4838,11,FALSE)</f>
        <v/>
      </c>
      <c r="L1116" s="44">
        <f>+VLOOKUP($A1116,MAGAZZINO!$B$2:$M$4838,12,FALSE)</f>
        <v/>
      </c>
    </row>
    <row r="1117" ht="36" customHeight="1">
      <c r="A1117" s="30">
        <f>+REGISTRO!A1100</f>
        <v/>
      </c>
      <c r="B1117" s="31">
        <f>+VLOOKUP($A1117,MAGAZZINO!$B$2:$M$4838,2,FALSE)</f>
        <v/>
      </c>
      <c r="C1117" s="32">
        <f>+VLOOKUP($A1117,MAGAZZINO!$B$2:$M$4838,3,FALSE)</f>
        <v/>
      </c>
      <c r="D1117" s="17">
        <f>+VLOOKUP($A1117,MAGAZZINO!$B$2:$M$4838,4,FALSE)</f>
        <v/>
      </c>
      <c r="E1117" s="17">
        <f>+VLOOKUP($A1117,MAGAZZINO!$B$2:$M$4838,5,FALSE)</f>
        <v/>
      </c>
      <c r="F1117" s="17">
        <f>+VLOOKUP($A1117,MAGAZZINO!$B$2:$M$4838,6,FALSE)</f>
        <v/>
      </c>
      <c r="G1117" s="17">
        <f>+VLOOKUP($A1117,MAGAZZINO!$B$2:$M$4838,7,FALSE)</f>
        <v/>
      </c>
      <c r="H1117" s="17">
        <f>+VLOOKUP($A1117,MAGAZZINO!$B$2:$M$4838,8,FALSE)</f>
        <v/>
      </c>
      <c r="I1117" s="17">
        <f>+VLOOKUP($A1117,MAGAZZINO!$B$2:$M$4838,9,FALSE)</f>
        <v/>
      </c>
      <c r="J1117" s="17">
        <f>+VLOOKUP($A1117,MAGAZZINO!$B$2:$M$4838,10,FALSE)</f>
        <v/>
      </c>
      <c r="K1117" s="17">
        <f>+VLOOKUP($A1117,MAGAZZINO!$B$2:$M$4838,11,FALSE)</f>
        <v/>
      </c>
      <c r="L1117" s="44">
        <f>+VLOOKUP($A1117,MAGAZZINO!$B$2:$M$4838,12,FALSE)</f>
        <v/>
      </c>
    </row>
    <row r="1118" ht="36" customHeight="1">
      <c r="A1118" s="30">
        <f>+REGISTRO!A1101</f>
        <v/>
      </c>
      <c r="B1118" s="31">
        <f>+VLOOKUP($A1118,MAGAZZINO!$B$2:$M$4838,2,FALSE)</f>
        <v/>
      </c>
      <c r="C1118" s="32">
        <f>+VLOOKUP($A1118,MAGAZZINO!$B$2:$M$4838,3,FALSE)</f>
        <v/>
      </c>
      <c r="D1118" s="17">
        <f>+VLOOKUP($A1118,MAGAZZINO!$B$2:$M$4838,4,FALSE)</f>
        <v/>
      </c>
      <c r="E1118" s="17">
        <f>+VLOOKUP($A1118,MAGAZZINO!$B$2:$M$4838,5,FALSE)</f>
        <v/>
      </c>
      <c r="F1118" s="17">
        <f>+VLOOKUP($A1118,MAGAZZINO!$B$2:$M$4838,6,FALSE)</f>
        <v/>
      </c>
      <c r="G1118" s="17">
        <f>+VLOOKUP($A1118,MAGAZZINO!$B$2:$M$4838,7,FALSE)</f>
        <v/>
      </c>
      <c r="H1118" s="17">
        <f>+VLOOKUP($A1118,MAGAZZINO!$B$2:$M$4838,8,FALSE)</f>
        <v/>
      </c>
      <c r="I1118" s="17">
        <f>+VLOOKUP($A1118,MAGAZZINO!$B$2:$M$4838,9,FALSE)</f>
        <v/>
      </c>
      <c r="J1118" s="17">
        <f>+VLOOKUP($A1118,MAGAZZINO!$B$2:$M$4838,10,FALSE)</f>
        <v/>
      </c>
      <c r="K1118" s="17">
        <f>+VLOOKUP($A1118,MAGAZZINO!$B$2:$M$4838,11,FALSE)</f>
        <v/>
      </c>
      <c r="L1118" s="44">
        <f>+VLOOKUP($A1118,MAGAZZINO!$B$2:$M$4838,12,FALSE)</f>
        <v/>
      </c>
    </row>
    <row r="1119" ht="36" customHeight="1">
      <c r="A1119" s="30">
        <f>+REGISTRO!A1102</f>
        <v/>
      </c>
      <c r="B1119" s="31">
        <f>+VLOOKUP($A1119,MAGAZZINO!$B$2:$M$4838,2,FALSE)</f>
        <v/>
      </c>
      <c r="C1119" s="32">
        <f>+VLOOKUP($A1119,MAGAZZINO!$B$2:$M$4838,3,FALSE)</f>
        <v/>
      </c>
      <c r="D1119" s="17">
        <f>+VLOOKUP($A1119,MAGAZZINO!$B$2:$M$4838,4,FALSE)</f>
        <v/>
      </c>
      <c r="E1119" s="17">
        <f>+VLOOKUP($A1119,MAGAZZINO!$B$2:$M$4838,5,FALSE)</f>
        <v/>
      </c>
      <c r="F1119" s="17">
        <f>+VLOOKUP($A1119,MAGAZZINO!$B$2:$M$4838,6,FALSE)</f>
        <v/>
      </c>
      <c r="G1119" s="17">
        <f>+VLOOKUP($A1119,MAGAZZINO!$B$2:$M$4838,7,FALSE)</f>
        <v/>
      </c>
      <c r="H1119" s="17">
        <f>+VLOOKUP($A1119,MAGAZZINO!$B$2:$M$4838,8,FALSE)</f>
        <v/>
      </c>
      <c r="I1119" s="17">
        <f>+VLOOKUP($A1119,MAGAZZINO!$B$2:$M$4838,9,FALSE)</f>
        <v/>
      </c>
      <c r="J1119" s="17">
        <f>+VLOOKUP($A1119,MAGAZZINO!$B$2:$M$4838,10,FALSE)</f>
        <v/>
      </c>
      <c r="K1119" s="17">
        <f>+VLOOKUP($A1119,MAGAZZINO!$B$2:$M$4838,11,FALSE)</f>
        <v/>
      </c>
      <c r="L1119" s="44">
        <f>+VLOOKUP($A1119,MAGAZZINO!$B$2:$M$4838,12,FALSE)</f>
        <v/>
      </c>
    </row>
    <row r="1120" ht="36" customHeight="1">
      <c r="A1120" s="30">
        <f>+REGISTRO!A1103</f>
        <v/>
      </c>
      <c r="B1120" s="31">
        <f>+VLOOKUP($A1120,MAGAZZINO!$B$2:$M$4838,2,FALSE)</f>
        <v/>
      </c>
      <c r="C1120" s="32">
        <f>+VLOOKUP($A1120,MAGAZZINO!$B$2:$M$4838,3,FALSE)</f>
        <v/>
      </c>
      <c r="D1120" s="17">
        <f>+VLOOKUP($A1120,MAGAZZINO!$B$2:$M$4838,4,FALSE)</f>
        <v/>
      </c>
      <c r="E1120" s="17">
        <f>+VLOOKUP($A1120,MAGAZZINO!$B$2:$M$4838,5,FALSE)</f>
        <v/>
      </c>
      <c r="F1120" s="17">
        <f>+VLOOKUP($A1120,MAGAZZINO!$B$2:$M$4838,6,FALSE)</f>
        <v/>
      </c>
      <c r="G1120" s="17">
        <f>+VLOOKUP($A1120,MAGAZZINO!$B$2:$M$4838,7,FALSE)</f>
        <v/>
      </c>
      <c r="H1120" s="17">
        <f>+VLOOKUP($A1120,MAGAZZINO!$B$2:$M$4838,8,FALSE)</f>
        <v/>
      </c>
      <c r="I1120" s="17">
        <f>+VLOOKUP($A1120,MAGAZZINO!$B$2:$M$4838,9,FALSE)</f>
        <v/>
      </c>
      <c r="J1120" s="17">
        <f>+VLOOKUP($A1120,MAGAZZINO!$B$2:$M$4838,10,FALSE)</f>
        <v/>
      </c>
      <c r="K1120" s="17">
        <f>+VLOOKUP($A1120,MAGAZZINO!$B$2:$M$4838,11,FALSE)</f>
        <v/>
      </c>
      <c r="L1120" s="44">
        <f>+VLOOKUP($A1120,MAGAZZINO!$B$2:$M$4838,12,FALSE)</f>
        <v/>
      </c>
    </row>
    <row r="1121" ht="36" customHeight="1">
      <c r="A1121" s="30">
        <f>+REGISTRO!A1104</f>
        <v/>
      </c>
      <c r="B1121" s="31">
        <f>+VLOOKUP($A1121,MAGAZZINO!$B$2:$M$4838,2,FALSE)</f>
        <v/>
      </c>
      <c r="C1121" s="32">
        <f>+VLOOKUP($A1121,MAGAZZINO!$B$2:$M$4838,3,FALSE)</f>
        <v/>
      </c>
      <c r="D1121" s="17">
        <f>+VLOOKUP($A1121,MAGAZZINO!$B$2:$M$4838,4,FALSE)</f>
        <v/>
      </c>
      <c r="E1121" s="17">
        <f>+VLOOKUP($A1121,MAGAZZINO!$B$2:$M$4838,5,FALSE)</f>
        <v/>
      </c>
      <c r="F1121" s="17">
        <f>+VLOOKUP($A1121,MAGAZZINO!$B$2:$M$4838,6,FALSE)</f>
        <v/>
      </c>
      <c r="G1121" s="17">
        <f>+VLOOKUP($A1121,MAGAZZINO!$B$2:$M$4838,7,FALSE)</f>
        <v/>
      </c>
      <c r="H1121" s="17">
        <f>+VLOOKUP($A1121,MAGAZZINO!$B$2:$M$4838,8,FALSE)</f>
        <v/>
      </c>
      <c r="I1121" s="17">
        <f>+VLOOKUP($A1121,MAGAZZINO!$B$2:$M$4838,9,FALSE)</f>
        <v/>
      </c>
      <c r="J1121" s="17">
        <f>+VLOOKUP($A1121,MAGAZZINO!$B$2:$M$4838,10,FALSE)</f>
        <v/>
      </c>
      <c r="K1121" s="17">
        <f>+VLOOKUP($A1121,MAGAZZINO!$B$2:$M$4838,11,FALSE)</f>
        <v/>
      </c>
      <c r="L1121" s="44">
        <f>+VLOOKUP($A1121,MAGAZZINO!$B$2:$M$4838,12,FALSE)</f>
        <v/>
      </c>
    </row>
    <row r="1122" ht="36" customHeight="1">
      <c r="A1122" s="30">
        <f>+REGISTRO!A1105</f>
        <v/>
      </c>
      <c r="B1122" s="31">
        <f>+VLOOKUP($A1122,MAGAZZINO!$B$2:$M$4838,2,FALSE)</f>
        <v/>
      </c>
      <c r="C1122" s="32">
        <f>+VLOOKUP($A1122,MAGAZZINO!$B$2:$M$4838,3,FALSE)</f>
        <v/>
      </c>
      <c r="D1122" s="17">
        <f>+VLOOKUP($A1122,MAGAZZINO!$B$2:$M$4838,4,FALSE)</f>
        <v/>
      </c>
      <c r="E1122" s="17">
        <f>+VLOOKUP($A1122,MAGAZZINO!$B$2:$M$4838,5,FALSE)</f>
        <v/>
      </c>
      <c r="F1122" s="17">
        <f>+VLOOKUP($A1122,MAGAZZINO!$B$2:$M$4838,6,FALSE)</f>
        <v/>
      </c>
      <c r="G1122" s="17">
        <f>+VLOOKUP($A1122,MAGAZZINO!$B$2:$M$4838,7,FALSE)</f>
        <v/>
      </c>
      <c r="H1122" s="17">
        <f>+VLOOKUP($A1122,MAGAZZINO!$B$2:$M$4838,8,FALSE)</f>
        <v/>
      </c>
      <c r="I1122" s="17">
        <f>+VLOOKUP($A1122,MAGAZZINO!$B$2:$M$4838,9,FALSE)</f>
        <v/>
      </c>
      <c r="J1122" s="17">
        <f>+VLOOKUP($A1122,MAGAZZINO!$B$2:$M$4838,10,FALSE)</f>
        <v/>
      </c>
      <c r="K1122" s="17">
        <f>+VLOOKUP($A1122,MAGAZZINO!$B$2:$M$4838,11,FALSE)</f>
        <v/>
      </c>
      <c r="L1122" s="44">
        <f>+VLOOKUP($A1122,MAGAZZINO!$B$2:$M$4838,12,FALSE)</f>
        <v/>
      </c>
    </row>
    <row r="1123" ht="36" customHeight="1">
      <c r="A1123" s="30">
        <f>+REGISTRO!A1106</f>
        <v/>
      </c>
      <c r="B1123" s="31">
        <f>+VLOOKUP($A1123,MAGAZZINO!$B$2:$M$4838,2,FALSE)</f>
        <v/>
      </c>
      <c r="C1123" s="32">
        <f>+VLOOKUP($A1123,MAGAZZINO!$B$2:$M$4838,3,FALSE)</f>
        <v/>
      </c>
      <c r="D1123" s="17">
        <f>+VLOOKUP($A1123,MAGAZZINO!$B$2:$M$4838,4,FALSE)</f>
        <v/>
      </c>
      <c r="E1123" s="17">
        <f>+VLOOKUP($A1123,MAGAZZINO!$B$2:$M$4838,5,FALSE)</f>
        <v/>
      </c>
      <c r="F1123" s="17">
        <f>+VLOOKUP($A1123,MAGAZZINO!$B$2:$M$4838,6,FALSE)</f>
        <v/>
      </c>
      <c r="G1123" s="17">
        <f>+VLOOKUP($A1123,MAGAZZINO!$B$2:$M$4838,7,FALSE)</f>
        <v/>
      </c>
      <c r="H1123" s="17">
        <f>+VLOOKUP($A1123,MAGAZZINO!$B$2:$M$4838,8,FALSE)</f>
        <v/>
      </c>
      <c r="I1123" s="17">
        <f>+VLOOKUP($A1123,MAGAZZINO!$B$2:$M$4838,9,FALSE)</f>
        <v/>
      </c>
      <c r="J1123" s="17">
        <f>+VLOOKUP($A1123,MAGAZZINO!$B$2:$M$4838,10,FALSE)</f>
        <v/>
      </c>
      <c r="K1123" s="17">
        <f>+VLOOKUP($A1123,MAGAZZINO!$B$2:$M$4838,11,FALSE)</f>
        <v/>
      </c>
      <c r="L1123" s="44">
        <f>+VLOOKUP($A1123,MAGAZZINO!$B$2:$M$4838,12,FALSE)</f>
        <v/>
      </c>
    </row>
    <row r="1124" ht="36" customHeight="1">
      <c r="A1124" s="30">
        <f>+REGISTRO!A1107</f>
        <v/>
      </c>
      <c r="B1124" s="31">
        <f>+VLOOKUP($A1124,MAGAZZINO!$B$2:$M$4838,2,FALSE)</f>
        <v/>
      </c>
      <c r="C1124" s="32">
        <f>+VLOOKUP($A1124,MAGAZZINO!$B$2:$M$4838,3,FALSE)</f>
        <v/>
      </c>
      <c r="D1124" s="17">
        <f>+VLOOKUP($A1124,MAGAZZINO!$B$2:$M$4838,4,FALSE)</f>
        <v/>
      </c>
      <c r="E1124" s="17">
        <f>+VLOOKUP($A1124,MAGAZZINO!$B$2:$M$4838,5,FALSE)</f>
        <v/>
      </c>
      <c r="F1124" s="17">
        <f>+VLOOKUP($A1124,MAGAZZINO!$B$2:$M$4838,6,FALSE)</f>
        <v/>
      </c>
      <c r="G1124" s="17">
        <f>+VLOOKUP($A1124,MAGAZZINO!$B$2:$M$4838,7,FALSE)</f>
        <v/>
      </c>
      <c r="H1124" s="17">
        <f>+VLOOKUP($A1124,MAGAZZINO!$B$2:$M$4838,8,FALSE)</f>
        <v/>
      </c>
      <c r="I1124" s="17">
        <f>+VLOOKUP($A1124,MAGAZZINO!$B$2:$M$4838,9,FALSE)</f>
        <v/>
      </c>
      <c r="J1124" s="17">
        <f>+VLOOKUP($A1124,MAGAZZINO!$B$2:$M$4838,10,FALSE)</f>
        <v/>
      </c>
      <c r="K1124" s="17">
        <f>+VLOOKUP($A1124,MAGAZZINO!$B$2:$M$4838,11,FALSE)</f>
        <v/>
      </c>
      <c r="L1124" s="44">
        <f>+VLOOKUP($A1124,MAGAZZINO!$B$2:$M$4838,12,FALSE)</f>
        <v/>
      </c>
    </row>
    <row r="1125" ht="36" customHeight="1">
      <c r="A1125" s="30">
        <f>+REGISTRO!A1108</f>
        <v/>
      </c>
      <c r="B1125" s="31">
        <f>+VLOOKUP($A1125,MAGAZZINO!$B$2:$M$4838,2,FALSE)</f>
        <v/>
      </c>
      <c r="C1125" s="32">
        <f>+VLOOKUP($A1125,MAGAZZINO!$B$2:$M$4838,3,FALSE)</f>
        <v/>
      </c>
      <c r="D1125" s="17">
        <f>+VLOOKUP($A1125,MAGAZZINO!$B$2:$M$4838,4,FALSE)</f>
        <v/>
      </c>
      <c r="E1125" s="17">
        <f>+VLOOKUP($A1125,MAGAZZINO!$B$2:$M$4838,5,FALSE)</f>
        <v/>
      </c>
      <c r="F1125" s="17">
        <f>+VLOOKUP($A1125,MAGAZZINO!$B$2:$M$4838,6,FALSE)</f>
        <v/>
      </c>
      <c r="G1125" s="17">
        <f>+VLOOKUP($A1125,MAGAZZINO!$B$2:$M$4838,7,FALSE)</f>
        <v/>
      </c>
      <c r="H1125" s="17">
        <f>+VLOOKUP($A1125,MAGAZZINO!$B$2:$M$4838,8,FALSE)</f>
        <v/>
      </c>
      <c r="I1125" s="17">
        <f>+VLOOKUP($A1125,MAGAZZINO!$B$2:$M$4838,9,FALSE)</f>
        <v/>
      </c>
      <c r="J1125" s="17">
        <f>+VLOOKUP($A1125,MAGAZZINO!$B$2:$M$4838,10,FALSE)</f>
        <v/>
      </c>
      <c r="K1125" s="17">
        <f>+VLOOKUP($A1125,MAGAZZINO!$B$2:$M$4838,11,FALSE)</f>
        <v/>
      </c>
      <c r="L1125" s="44">
        <f>+VLOOKUP($A1125,MAGAZZINO!$B$2:$M$4838,12,FALSE)</f>
        <v/>
      </c>
    </row>
    <row r="1126" ht="36" customHeight="1">
      <c r="A1126" s="30">
        <f>+REGISTRO!A1109</f>
        <v/>
      </c>
      <c r="B1126" s="31">
        <f>+VLOOKUP($A1126,MAGAZZINO!$B$2:$M$4838,2,FALSE)</f>
        <v/>
      </c>
      <c r="C1126" s="32">
        <f>+VLOOKUP($A1126,MAGAZZINO!$B$2:$M$4838,3,FALSE)</f>
        <v/>
      </c>
      <c r="D1126" s="17">
        <f>+VLOOKUP($A1126,MAGAZZINO!$B$2:$M$4838,4,FALSE)</f>
        <v/>
      </c>
      <c r="E1126" s="17">
        <f>+VLOOKUP($A1126,MAGAZZINO!$B$2:$M$4838,5,FALSE)</f>
        <v/>
      </c>
      <c r="F1126" s="17">
        <f>+VLOOKUP($A1126,MAGAZZINO!$B$2:$M$4838,6,FALSE)</f>
        <v/>
      </c>
      <c r="G1126" s="17">
        <f>+VLOOKUP($A1126,MAGAZZINO!$B$2:$M$4838,7,FALSE)</f>
        <v/>
      </c>
      <c r="H1126" s="17">
        <f>+VLOOKUP($A1126,MAGAZZINO!$B$2:$M$4838,8,FALSE)</f>
        <v/>
      </c>
      <c r="I1126" s="17">
        <f>+VLOOKUP($A1126,MAGAZZINO!$B$2:$M$4838,9,FALSE)</f>
        <v/>
      </c>
      <c r="J1126" s="17">
        <f>+VLOOKUP($A1126,MAGAZZINO!$B$2:$M$4838,10,FALSE)</f>
        <v/>
      </c>
      <c r="K1126" s="17">
        <f>+VLOOKUP($A1126,MAGAZZINO!$B$2:$M$4838,11,FALSE)</f>
        <v/>
      </c>
      <c r="L1126" s="44">
        <f>+VLOOKUP($A1126,MAGAZZINO!$B$2:$M$4838,12,FALSE)</f>
        <v/>
      </c>
    </row>
    <row r="1127" ht="36" customHeight="1">
      <c r="A1127" s="30">
        <f>+REGISTRO!A1110</f>
        <v/>
      </c>
      <c r="B1127" s="31">
        <f>+VLOOKUP($A1127,MAGAZZINO!$B$2:$M$4838,2,FALSE)</f>
        <v/>
      </c>
      <c r="C1127" s="32">
        <f>+VLOOKUP($A1127,MAGAZZINO!$B$2:$M$4838,3,FALSE)</f>
        <v/>
      </c>
      <c r="D1127" s="17">
        <f>+VLOOKUP($A1127,MAGAZZINO!$B$2:$M$4838,4,FALSE)</f>
        <v/>
      </c>
      <c r="E1127" s="17">
        <f>+VLOOKUP($A1127,MAGAZZINO!$B$2:$M$4838,5,FALSE)</f>
        <v/>
      </c>
      <c r="F1127" s="17">
        <f>+VLOOKUP($A1127,MAGAZZINO!$B$2:$M$4838,6,FALSE)</f>
        <v/>
      </c>
      <c r="G1127" s="17">
        <f>+VLOOKUP($A1127,MAGAZZINO!$B$2:$M$4838,7,FALSE)</f>
        <v/>
      </c>
      <c r="H1127" s="17">
        <f>+VLOOKUP($A1127,MAGAZZINO!$B$2:$M$4838,8,FALSE)</f>
        <v/>
      </c>
      <c r="I1127" s="17">
        <f>+VLOOKUP($A1127,MAGAZZINO!$B$2:$M$4838,9,FALSE)</f>
        <v/>
      </c>
      <c r="J1127" s="17">
        <f>+VLOOKUP($A1127,MAGAZZINO!$B$2:$M$4838,10,FALSE)</f>
        <v/>
      </c>
      <c r="K1127" s="17">
        <f>+VLOOKUP($A1127,MAGAZZINO!$B$2:$M$4838,11,FALSE)</f>
        <v/>
      </c>
      <c r="L1127" s="44">
        <f>+VLOOKUP($A1127,MAGAZZINO!$B$2:$M$4838,12,FALSE)</f>
        <v/>
      </c>
    </row>
    <row r="1128" ht="36" customHeight="1">
      <c r="A1128" s="30">
        <f>+REGISTRO!A1111</f>
        <v/>
      </c>
      <c r="B1128" s="31">
        <f>+VLOOKUP($A1128,MAGAZZINO!$B$2:$M$4838,2,FALSE)</f>
        <v/>
      </c>
      <c r="C1128" s="32">
        <f>+VLOOKUP($A1128,MAGAZZINO!$B$2:$M$4838,3,FALSE)</f>
        <v/>
      </c>
      <c r="D1128" s="17">
        <f>+VLOOKUP($A1128,MAGAZZINO!$B$2:$M$4838,4,FALSE)</f>
        <v/>
      </c>
      <c r="E1128" s="17">
        <f>+VLOOKUP($A1128,MAGAZZINO!$B$2:$M$4838,5,FALSE)</f>
        <v/>
      </c>
      <c r="F1128" s="17">
        <f>+VLOOKUP($A1128,MAGAZZINO!$B$2:$M$4838,6,FALSE)</f>
        <v/>
      </c>
      <c r="G1128" s="17">
        <f>+VLOOKUP($A1128,MAGAZZINO!$B$2:$M$4838,7,FALSE)</f>
        <v/>
      </c>
      <c r="H1128" s="17">
        <f>+VLOOKUP($A1128,MAGAZZINO!$B$2:$M$4838,8,FALSE)</f>
        <v/>
      </c>
      <c r="I1128" s="17">
        <f>+VLOOKUP($A1128,MAGAZZINO!$B$2:$M$4838,9,FALSE)</f>
        <v/>
      </c>
      <c r="J1128" s="17">
        <f>+VLOOKUP($A1128,MAGAZZINO!$B$2:$M$4838,10,FALSE)</f>
        <v/>
      </c>
      <c r="K1128" s="17">
        <f>+VLOOKUP($A1128,MAGAZZINO!$B$2:$M$4838,11,FALSE)</f>
        <v/>
      </c>
      <c r="L1128" s="44">
        <f>+VLOOKUP($A1128,MAGAZZINO!$B$2:$M$4838,12,FALSE)</f>
        <v/>
      </c>
    </row>
    <row r="1129" ht="36" customHeight="1">
      <c r="A1129" s="30">
        <f>+REGISTRO!A1112</f>
        <v/>
      </c>
      <c r="B1129" s="31">
        <f>+VLOOKUP($A1129,MAGAZZINO!$B$2:$M$4838,2,FALSE)</f>
        <v/>
      </c>
      <c r="C1129" s="32">
        <f>+VLOOKUP($A1129,MAGAZZINO!$B$2:$M$4838,3,FALSE)</f>
        <v/>
      </c>
      <c r="D1129" s="17">
        <f>+VLOOKUP($A1129,MAGAZZINO!$B$2:$M$4838,4,FALSE)</f>
        <v/>
      </c>
      <c r="E1129" s="17">
        <f>+VLOOKUP($A1129,MAGAZZINO!$B$2:$M$4838,5,FALSE)</f>
        <v/>
      </c>
      <c r="F1129" s="17">
        <f>+VLOOKUP($A1129,MAGAZZINO!$B$2:$M$4838,6,FALSE)</f>
        <v/>
      </c>
      <c r="G1129" s="17">
        <f>+VLOOKUP($A1129,MAGAZZINO!$B$2:$M$4838,7,FALSE)</f>
        <v/>
      </c>
      <c r="H1129" s="17">
        <f>+VLOOKUP($A1129,MAGAZZINO!$B$2:$M$4838,8,FALSE)</f>
        <v/>
      </c>
      <c r="I1129" s="17">
        <f>+VLOOKUP($A1129,MAGAZZINO!$B$2:$M$4838,9,FALSE)</f>
        <v/>
      </c>
      <c r="J1129" s="17">
        <f>+VLOOKUP($A1129,MAGAZZINO!$B$2:$M$4838,10,FALSE)</f>
        <v/>
      </c>
      <c r="K1129" s="17">
        <f>+VLOOKUP($A1129,MAGAZZINO!$B$2:$M$4838,11,FALSE)</f>
        <v/>
      </c>
      <c r="L1129" s="44">
        <f>+VLOOKUP($A1129,MAGAZZINO!$B$2:$M$4838,12,FALSE)</f>
        <v/>
      </c>
    </row>
    <row r="1130" ht="36" customHeight="1">
      <c r="A1130" s="30">
        <f>+REGISTRO!A1113</f>
        <v/>
      </c>
      <c r="B1130" s="31">
        <f>+VLOOKUP($A1130,MAGAZZINO!$B$2:$M$4838,2,FALSE)</f>
        <v/>
      </c>
      <c r="C1130" s="32">
        <f>+VLOOKUP($A1130,MAGAZZINO!$B$2:$M$4838,3,FALSE)</f>
        <v/>
      </c>
      <c r="D1130" s="17">
        <f>+VLOOKUP($A1130,MAGAZZINO!$B$2:$M$4838,4,FALSE)</f>
        <v/>
      </c>
      <c r="E1130" s="17">
        <f>+VLOOKUP($A1130,MAGAZZINO!$B$2:$M$4838,5,FALSE)</f>
        <v/>
      </c>
      <c r="F1130" s="17">
        <f>+VLOOKUP($A1130,MAGAZZINO!$B$2:$M$4838,6,FALSE)</f>
        <v/>
      </c>
      <c r="G1130" s="17">
        <f>+VLOOKUP($A1130,MAGAZZINO!$B$2:$M$4838,7,FALSE)</f>
        <v/>
      </c>
      <c r="H1130" s="17">
        <f>+VLOOKUP($A1130,MAGAZZINO!$B$2:$M$4838,8,FALSE)</f>
        <v/>
      </c>
      <c r="I1130" s="17">
        <f>+VLOOKUP($A1130,MAGAZZINO!$B$2:$M$4838,9,FALSE)</f>
        <v/>
      </c>
      <c r="J1130" s="17">
        <f>+VLOOKUP($A1130,MAGAZZINO!$B$2:$M$4838,10,FALSE)</f>
        <v/>
      </c>
      <c r="K1130" s="17">
        <f>+VLOOKUP($A1130,MAGAZZINO!$B$2:$M$4838,11,FALSE)</f>
        <v/>
      </c>
      <c r="L1130" s="44">
        <f>+VLOOKUP($A1130,MAGAZZINO!$B$2:$M$4838,12,FALSE)</f>
        <v/>
      </c>
    </row>
    <row r="1131" ht="36" customHeight="1">
      <c r="A1131" s="30">
        <f>+REGISTRO!A1114</f>
        <v/>
      </c>
      <c r="B1131" s="31">
        <f>+VLOOKUP($A1131,MAGAZZINO!$B$2:$M$4838,2,FALSE)</f>
        <v/>
      </c>
      <c r="C1131" s="32">
        <f>+VLOOKUP($A1131,MAGAZZINO!$B$2:$M$4838,3,FALSE)</f>
        <v/>
      </c>
      <c r="D1131" s="17">
        <f>+VLOOKUP($A1131,MAGAZZINO!$B$2:$M$4838,4,FALSE)</f>
        <v/>
      </c>
      <c r="E1131" s="17">
        <f>+VLOOKUP($A1131,MAGAZZINO!$B$2:$M$4838,5,FALSE)</f>
        <v/>
      </c>
      <c r="F1131" s="17">
        <f>+VLOOKUP($A1131,MAGAZZINO!$B$2:$M$4838,6,FALSE)</f>
        <v/>
      </c>
      <c r="G1131" s="17">
        <f>+VLOOKUP($A1131,MAGAZZINO!$B$2:$M$4838,7,FALSE)</f>
        <v/>
      </c>
      <c r="H1131" s="17">
        <f>+VLOOKUP($A1131,MAGAZZINO!$B$2:$M$4838,8,FALSE)</f>
        <v/>
      </c>
      <c r="I1131" s="17">
        <f>+VLOOKUP($A1131,MAGAZZINO!$B$2:$M$4838,9,FALSE)</f>
        <v/>
      </c>
      <c r="J1131" s="17">
        <f>+VLOOKUP($A1131,MAGAZZINO!$B$2:$M$4838,10,FALSE)</f>
        <v/>
      </c>
      <c r="K1131" s="17">
        <f>+VLOOKUP($A1131,MAGAZZINO!$B$2:$M$4838,11,FALSE)</f>
        <v/>
      </c>
      <c r="L1131" s="44">
        <f>+VLOOKUP($A1131,MAGAZZINO!$B$2:$M$4838,12,FALSE)</f>
        <v/>
      </c>
    </row>
    <row r="1132" ht="36" customHeight="1">
      <c r="A1132" s="30">
        <f>+REGISTRO!A1115</f>
        <v/>
      </c>
      <c r="B1132" s="31">
        <f>+VLOOKUP($A1132,MAGAZZINO!$B$2:$M$4838,2,FALSE)</f>
        <v/>
      </c>
      <c r="C1132" s="32">
        <f>+VLOOKUP($A1132,MAGAZZINO!$B$2:$M$4838,3,FALSE)</f>
        <v/>
      </c>
      <c r="D1132" s="17">
        <f>+VLOOKUP($A1132,MAGAZZINO!$B$2:$M$4838,4,FALSE)</f>
        <v/>
      </c>
      <c r="E1132" s="17">
        <f>+VLOOKUP($A1132,MAGAZZINO!$B$2:$M$4838,5,FALSE)</f>
        <v/>
      </c>
      <c r="F1132" s="17">
        <f>+VLOOKUP($A1132,MAGAZZINO!$B$2:$M$4838,6,FALSE)</f>
        <v/>
      </c>
      <c r="G1132" s="17">
        <f>+VLOOKUP($A1132,MAGAZZINO!$B$2:$M$4838,7,FALSE)</f>
        <v/>
      </c>
      <c r="H1132" s="17">
        <f>+VLOOKUP($A1132,MAGAZZINO!$B$2:$M$4838,8,FALSE)</f>
        <v/>
      </c>
      <c r="I1132" s="17">
        <f>+VLOOKUP($A1132,MAGAZZINO!$B$2:$M$4838,9,FALSE)</f>
        <v/>
      </c>
      <c r="J1132" s="17">
        <f>+VLOOKUP($A1132,MAGAZZINO!$B$2:$M$4838,10,FALSE)</f>
        <v/>
      </c>
      <c r="K1132" s="17">
        <f>+VLOOKUP($A1132,MAGAZZINO!$B$2:$M$4838,11,FALSE)</f>
        <v/>
      </c>
      <c r="L1132" s="44">
        <f>+VLOOKUP($A1132,MAGAZZINO!$B$2:$M$4838,12,FALSE)</f>
        <v/>
      </c>
    </row>
    <row r="1133" ht="36" customHeight="1">
      <c r="A1133" s="30">
        <f>+REGISTRO!A1116</f>
        <v/>
      </c>
      <c r="B1133" s="31">
        <f>+VLOOKUP($A1133,MAGAZZINO!$B$2:$M$4838,2,FALSE)</f>
        <v/>
      </c>
      <c r="C1133" s="32">
        <f>+VLOOKUP($A1133,MAGAZZINO!$B$2:$M$4838,3,FALSE)</f>
        <v/>
      </c>
      <c r="D1133" s="17">
        <f>+VLOOKUP($A1133,MAGAZZINO!$B$2:$M$4838,4,FALSE)</f>
        <v/>
      </c>
      <c r="E1133" s="17">
        <f>+VLOOKUP($A1133,MAGAZZINO!$B$2:$M$4838,5,FALSE)</f>
        <v/>
      </c>
      <c r="F1133" s="17">
        <f>+VLOOKUP($A1133,MAGAZZINO!$B$2:$M$4838,6,FALSE)</f>
        <v/>
      </c>
      <c r="G1133" s="17">
        <f>+VLOOKUP($A1133,MAGAZZINO!$B$2:$M$4838,7,FALSE)</f>
        <v/>
      </c>
      <c r="H1133" s="17">
        <f>+VLOOKUP($A1133,MAGAZZINO!$B$2:$M$4838,8,FALSE)</f>
        <v/>
      </c>
      <c r="I1133" s="17">
        <f>+VLOOKUP($A1133,MAGAZZINO!$B$2:$M$4838,9,FALSE)</f>
        <v/>
      </c>
      <c r="J1133" s="17">
        <f>+VLOOKUP($A1133,MAGAZZINO!$B$2:$M$4838,10,FALSE)</f>
        <v/>
      </c>
      <c r="K1133" s="17">
        <f>+VLOOKUP($A1133,MAGAZZINO!$B$2:$M$4838,11,FALSE)</f>
        <v/>
      </c>
      <c r="L1133" s="44">
        <f>+VLOOKUP($A1133,MAGAZZINO!$B$2:$M$4838,12,FALSE)</f>
        <v/>
      </c>
    </row>
    <row r="1134" ht="36" customHeight="1">
      <c r="A1134" s="30">
        <f>+REGISTRO!A1117</f>
        <v/>
      </c>
      <c r="B1134" s="31">
        <f>+VLOOKUP($A1134,MAGAZZINO!$B$2:$M$4838,2,FALSE)</f>
        <v/>
      </c>
      <c r="C1134" s="32">
        <f>+VLOOKUP($A1134,MAGAZZINO!$B$2:$M$4838,3,FALSE)</f>
        <v/>
      </c>
      <c r="D1134" s="17">
        <f>+VLOOKUP($A1134,MAGAZZINO!$B$2:$M$4838,4,FALSE)</f>
        <v/>
      </c>
      <c r="E1134" s="17">
        <f>+VLOOKUP($A1134,MAGAZZINO!$B$2:$M$4838,5,FALSE)</f>
        <v/>
      </c>
      <c r="F1134" s="17">
        <f>+VLOOKUP($A1134,MAGAZZINO!$B$2:$M$4838,6,FALSE)</f>
        <v/>
      </c>
      <c r="G1134" s="17">
        <f>+VLOOKUP($A1134,MAGAZZINO!$B$2:$M$4838,7,FALSE)</f>
        <v/>
      </c>
      <c r="H1134" s="17">
        <f>+VLOOKUP($A1134,MAGAZZINO!$B$2:$M$4838,8,FALSE)</f>
        <v/>
      </c>
      <c r="I1134" s="17">
        <f>+VLOOKUP($A1134,MAGAZZINO!$B$2:$M$4838,9,FALSE)</f>
        <v/>
      </c>
      <c r="J1134" s="17">
        <f>+VLOOKUP($A1134,MAGAZZINO!$B$2:$M$4838,10,FALSE)</f>
        <v/>
      </c>
      <c r="K1134" s="17">
        <f>+VLOOKUP($A1134,MAGAZZINO!$B$2:$M$4838,11,FALSE)</f>
        <v/>
      </c>
      <c r="L1134" s="44">
        <f>+VLOOKUP($A1134,MAGAZZINO!$B$2:$M$4838,12,FALSE)</f>
        <v/>
      </c>
    </row>
    <row r="1135" ht="36" customHeight="1">
      <c r="A1135" s="30">
        <f>+REGISTRO!A1118</f>
        <v/>
      </c>
      <c r="B1135" s="31">
        <f>+VLOOKUP($A1135,MAGAZZINO!$B$2:$M$4838,2,FALSE)</f>
        <v/>
      </c>
      <c r="C1135" s="32">
        <f>+VLOOKUP($A1135,MAGAZZINO!$B$2:$M$4838,3,FALSE)</f>
        <v/>
      </c>
      <c r="D1135" s="17">
        <f>+VLOOKUP($A1135,MAGAZZINO!$B$2:$M$4838,4,FALSE)</f>
        <v/>
      </c>
      <c r="E1135" s="17">
        <f>+VLOOKUP($A1135,MAGAZZINO!$B$2:$M$4838,5,FALSE)</f>
        <v/>
      </c>
      <c r="F1135" s="17">
        <f>+VLOOKUP($A1135,MAGAZZINO!$B$2:$M$4838,6,FALSE)</f>
        <v/>
      </c>
      <c r="G1135" s="17">
        <f>+VLOOKUP($A1135,MAGAZZINO!$B$2:$M$4838,7,FALSE)</f>
        <v/>
      </c>
      <c r="H1135" s="17">
        <f>+VLOOKUP($A1135,MAGAZZINO!$B$2:$M$4838,8,FALSE)</f>
        <v/>
      </c>
      <c r="I1135" s="17">
        <f>+VLOOKUP($A1135,MAGAZZINO!$B$2:$M$4838,9,FALSE)</f>
        <v/>
      </c>
      <c r="J1135" s="17">
        <f>+VLOOKUP($A1135,MAGAZZINO!$B$2:$M$4838,10,FALSE)</f>
        <v/>
      </c>
      <c r="K1135" s="17">
        <f>+VLOOKUP($A1135,MAGAZZINO!$B$2:$M$4838,11,FALSE)</f>
        <v/>
      </c>
      <c r="L1135" s="44">
        <f>+VLOOKUP($A1135,MAGAZZINO!$B$2:$M$4838,12,FALSE)</f>
        <v/>
      </c>
    </row>
    <row r="1136" ht="36" customHeight="1">
      <c r="A1136" s="30">
        <f>+REGISTRO!A1119</f>
        <v/>
      </c>
      <c r="B1136" s="31">
        <f>+VLOOKUP($A1136,MAGAZZINO!$B$2:$M$4838,2,FALSE)</f>
        <v/>
      </c>
      <c r="C1136" s="32">
        <f>+VLOOKUP($A1136,MAGAZZINO!$B$2:$M$4838,3,FALSE)</f>
        <v/>
      </c>
      <c r="D1136" s="17">
        <f>+VLOOKUP($A1136,MAGAZZINO!$B$2:$M$4838,4,FALSE)</f>
        <v/>
      </c>
      <c r="E1136" s="17">
        <f>+VLOOKUP($A1136,MAGAZZINO!$B$2:$M$4838,5,FALSE)</f>
        <v/>
      </c>
      <c r="F1136" s="17">
        <f>+VLOOKUP($A1136,MAGAZZINO!$B$2:$M$4838,6,FALSE)</f>
        <v/>
      </c>
      <c r="G1136" s="17">
        <f>+VLOOKUP($A1136,MAGAZZINO!$B$2:$M$4838,7,FALSE)</f>
        <v/>
      </c>
      <c r="H1136" s="17">
        <f>+VLOOKUP($A1136,MAGAZZINO!$B$2:$M$4838,8,FALSE)</f>
        <v/>
      </c>
      <c r="I1136" s="17">
        <f>+VLOOKUP($A1136,MAGAZZINO!$B$2:$M$4838,9,FALSE)</f>
        <v/>
      </c>
      <c r="J1136" s="17">
        <f>+VLOOKUP($A1136,MAGAZZINO!$B$2:$M$4838,10,FALSE)</f>
        <v/>
      </c>
      <c r="K1136" s="17">
        <f>+VLOOKUP($A1136,MAGAZZINO!$B$2:$M$4838,11,FALSE)</f>
        <v/>
      </c>
      <c r="L1136" s="44">
        <f>+VLOOKUP($A1136,MAGAZZINO!$B$2:$M$4838,12,FALSE)</f>
        <v/>
      </c>
    </row>
    <row r="1137" ht="36" customHeight="1">
      <c r="A1137" s="30">
        <f>+REGISTRO!A1120</f>
        <v/>
      </c>
      <c r="B1137" s="31">
        <f>+VLOOKUP($A1137,MAGAZZINO!$B$2:$M$4838,2,FALSE)</f>
        <v/>
      </c>
      <c r="C1137" s="32">
        <f>+VLOOKUP($A1137,MAGAZZINO!$B$2:$M$4838,3,FALSE)</f>
        <v/>
      </c>
      <c r="D1137" s="17">
        <f>+VLOOKUP($A1137,MAGAZZINO!$B$2:$M$4838,4,FALSE)</f>
        <v/>
      </c>
      <c r="E1137" s="17">
        <f>+VLOOKUP($A1137,MAGAZZINO!$B$2:$M$4838,5,FALSE)</f>
        <v/>
      </c>
      <c r="F1137" s="17">
        <f>+VLOOKUP($A1137,MAGAZZINO!$B$2:$M$4838,6,FALSE)</f>
        <v/>
      </c>
      <c r="G1137" s="17">
        <f>+VLOOKUP($A1137,MAGAZZINO!$B$2:$M$4838,7,FALSE)</f>
        <v/>
      </c>
      <c r="H1137" s="17">
        <f>+VLOOKUP($A1137,MAGAZZINO!$B$2:$M$4838,8,FALSE)</f>
        <v/>
      </c>
      <c r="I1137" s="17">
        <f>+VLOOKUP($A1137,MAGAZZINO!$B$2:$M$4838,9,FALSE)</f>
        <v/>
      </c>
      <c r="J1137" s="17">
        <f>+VLOOKUP($A1137,MAGAZZINO!$B$2:$M$4838,10,FALSE)</f>
        <v/>
      </c>
      <c r="K1137" s="17">
        <f>+VLOOKUP($A1137,MAGAZZINO!$B$2:$M$4838,11,FALSE)</f>
        <v/>
      </c>
      <c r="L1137" s="44">
        <f>+VLOOKUP($A1137,MAGAZZINO!$B$2:$M$4838,12,FALSE)</f>
        <v/>
      </c>
    </row>
    <row r="1138" ht="36" customHeight="1">
      <c r="A1138" s="30">
        <f>+REGISTRO!A1121</f>
        <v/>
      </c>
      <c r="B1138" s="31">
        <f>+VLOOKUP($A1138,MAGAZZINO!$B$2:$M$4838,2,FALSE)</f>
        <v/>
      </c>
      <c r="C1138" s="32">
        <f>+VLOOKUP($A1138,MAGAZZINO!$B$2:$M$4838,3,FALSE)</f>
        <v/>
      </c>
      <c r="D1138" s="17">
        <f>+VLOOKUP($A1138,MAGAZZINO!$B$2:$M$4838,4,FALSE)</f>
        <v/>
      </c>
      <c r="E1138" s="17">
        <f>+VLOOKUP($A1138,MAGAZZINO!$B$2:$M$4838,5,FALSE)</f>
        <v/>
      </c>
      <c r="F1138" s="17">
        <f>+VLOOKUP($A1138,MAGAZZINO!$B$2:$M$4838,6,FALSE)</f>
        <v/>
      </c>
      <c r="G1138" s="17">
        <f>+VLOOKUP($A1138,MAGAZZINO!$B$2:$M$4838,7,FALSE)</f>
        <v/>
      </c>
      <c r="H1138" s="17">
        <f>+VLOOKUP($A1138,MAGAZZINO!$B$2:$M$4838,8,FALSE)</f>
        <v/>
      </c>
      <c r="I1138" s="17">
        <f>+VLOOKUP($A1138,MAGAZZINO!$B$2:$M$4838,9,FALSE)</f>
        <v/>
      </c>
      <c r="J1138" s="17">
        <f>+VLOOKUP($A1138,MAGAZZINO!$B$2:$M$4838,10,FALSE)</f>
        <v/>
      </c>
      <c r="K1138" s="17">
        <f>+VLOOKUP($A1138,MAGAZZINO!$B$2:$M$4838,11,FALSE)</f>
        <v/>
      </c>
      <c r="L1138" s="44">
        <f>+VLOOKUP($A1138,MAGAZZINO!$B$2:$M$4838,12,FALSE)</f>
        <v/>
      </c>
    </row>
    <row r="1139" ht="36" customHeight="1">
      <c r="A1139" s="30">
        <f>+REGISTRO!A1122</f>
        <v/>
      </c>
      <c r="B1139" s="31">
        <f>+VLOOKUP($A1139,MAGAZZINO!$B$2:$M$4838,2,FALSE)</f>
        <v/>
      </c>
      <c r="C1139" s="32">
        <f>+VLOOKUP($A1139,MAGAZZINO!$B$2:$M$4838,3,FALSE)</f>
        <v/>
      </c>
      <c r="D1139" s="17">
        <f>+VLOOKUP($A1139,MAGAZZINO!$B$2:$M$4838,4,FALSE)</f>
        <v/>
      </c>
      <c r="E1139" s="17">
        <f>+VLOOKUP($A1139,MAGAZZINO!$B$2:$M$4838,5,FALSE)</f>
        <v/>
      </c>
      <c r="F1139" s="17">
        <f>+VLOOKUP($A1139,MAGAZZINO!$B$2:$M$4838,6,FALSE)</f>
        <v/>
      </c>
      <c r="G1139" s="17">
        <f>+VLOOKUP($A1139,MAGAZZINO!$B$2:$M$4838,7,FALSE)</f>
        <v/>
      </c>
      <c r="H1139" s="17">
        <f>+VLOOKUP($A1139,MAGAZZINO!$B$2:$M$4838,8,FALSE)</f>
        <v/>
      </c>
      <c r="I1139" s="17">
        <f>+VLOOKUP($A1139,MAGAZZINO!$B$2:$M$4838,9,FALSE)</f>
        <v/>
      </c>
      <c r="J1139" s="17">
        <f>+VLOOKUP($A1139,MAGAZZINO!$B$2:$M$4838,10,FALSE)</f>
        <v/>
      </c>
      <c r="K1139" s="17">
        <f>+VLOOKUP($A1139,MAGAZZINO!$B$2:$M$4838,11,FALSE)</f>
        <v/>
      </c>
      <c r="L1139" s="44">
        <f>+VLOOKUP($A1139,MAGAZZINO!$B$2:$M$4838,12,FALSE)</f>
        <v/>
      </c>
    </row>
    <row r="1140" ht="36" customHeight="1">
      <c r="A1140" s="30">
        <f>+REGISTRO!A1123</f>
        <v/>
      </c>
      <c r="B1140" s="31">
        <f>+VLOOKUP($A1140,MAGAZZINO!$B$2:$M$4838,2,FALSE)</f>
        <v/>
      </c>
      <c r="C1140" s="32">
        <f>+VLOOKUP($A1140,MAGAZZINO!$B$2:$M$4838,3,FALSE)</f>
        <v/>
      </c>
      <c r="D1140" s="17">
        <f>+VLOOKUP($A1140,MAGAZZINO!$B$2:$M$4838,4,FALSE)</f>
        <v/>
      </c>
      <c r="E1140" s="17">
        <f>+VLOOKUP($A1140,MAGAZZINO!$B$2:$M$4838,5,FALSE)</f>
        <v/>
      </c>
      <c r="F1140" s="17">
        <f>+VLOOKUP($A1140,MAGAZZINO!$B$2:$M$4838,6,FALSE)</f>
        <v/>
      </c>
      <c r="G1140" s="17">
        <f>+VLOOKUP($A1140,MAGAZZINO!$B$2:$M$4838,7,FALSE)</f>
        <v/>
      </c>
      <c r="H1140" s="17">
        <f>+VLOOKUP($A1140,MAGAZZINO!$B$2:$M$4838,8,FALSE)</f>
        <v/>
      </c>
      <c r="I1140" s="17">
        <f>+VLOOKUP($A1140,MAGAZZINO!$B$2:$M$4838,9,FALSE)</f>
        <v/>
      </c>
      <c r="J1140" s="17">
        <f>+VLOOKUP($A1140,MAGAZZINO!$B$2:$M$4838,10,FALSE)</f>
        <v/>
      </c>
      <c r="K1140" s="17">
        <f>+VLOOKUP($A1140,MAGAZZINO!$B$2:$M$4838,11,FALSE)</f>
        <v/>
      </c>
      <c r="L1140" s="44">
        <f>+VLOOKUP($A1140,MAGAZZINO!$B$2:$M$4838,12,FALSE)</f>
        <v/>
      </c>
    </row>
    <row r="1141" ht="36" customHeight="1">
      <c r="A1141" s="30">
        <f>+REGISTRO!A1124</f>
        <v/>
      </c>
      <c r="B1141" s="31">
        <f>+VLOOKUP($A1141,MAGAZZINO!$B$2:$M$4838,2,FALSE)</f>
        <v/>
      </c>
      <c r="C1141" s="32">
        <f>+VLOOKUP($A1141,MAGAZZINO!$B$2:$M$4838,3,FALSE)</f>
        <v/>
      </c>
      <c r="D1141" s="17">
        <f>+VLOOKUP($A1141,MAGAZZINO!$B$2:$M$4838,4,FALSE)</f>
        <v/>
      </c>
      <c r="E1141" s="17">
        <f>+VLOOKUP($A1141,MAGAZZINO!$B$2:$M$4838,5,FALSE)</f>
        <v/>
      </c>
      <c r="F1141" s="17">
        <f>+VLOOKUP($A1141,MAGAZZINO!$B$2:$M$4838,6,FALSE)</f>
        <v/>
      </c>
      <c r="G1141" s="17">
        <f>+VLOOKUP($A1141,MAGAZZINO!$B$2:$M$4838,7,FALSE)</f>
        <v/>
      </c>
      <c r="H1141" s="17">
        <f>+VLOOKUP($A1141,MAGAZZINO!$B$2:$M$4838,8,FALSE)</f>
        <v/>
      </c>
      <c r="I1141" s="17">
        <f>+VLOOKUP($A1141,MAGAZZINO!$B$2:$M$4838,9,FALSE)</f>
        <v/>
      </c>
      <c r="J1141" s="17">
        <f>+VLOOKUP($A1141,MAGAZZINO!$B$2:$M$4838,10,FALSE)</f>
        <v/>
      </c>
      <c r="K1141" s="17">
        <f>+VLOOKUP($A1141,MAGAZZINO!$B$2:$M$4838,11,FALSE)</f>
        <v/>
      </c>
      <c r="L1141" s="44">
        <f>+VLOOKUP($A1141,MAGAZZINO!$B$2:$M$4838,12,FALSE)</f>
        <v/>
      </c>
    </row>
    <row r="1142" ht="36" customHeight="1">
      <c r="A1142" s="30">
        <f>+REGISTRO!A1125</f>
        <v/>
      </c>
      <c r="B1142" s="31">
        <f>+VLOOKUP($A1142,MAGAZZINO!$B$2:$M$4838,2,FALSE)</f>
        <v/>
      </c>
      <c r="C1142" s="32">
        <f>+VLOOKUP($A1142,MAGAZZINO!$B$2:$M$4838,3,FALSE)</f>
        <v/>
      </c>
      <c r="D1142" s="17">
        <f>+VLOOKUP($A1142,MAGAZZINO!$B$2:$M$4838,4,FALSE)</f>
        <v/>
      </c>
      <c r="E1142" s="17">
        <f>+VLOOKUP($A1142,MAGAZZINO!$B$2:$M$4838,5,FALSE)</f>
        <v/>
      </c>
      <c r="F1142" s="17">
        <f>+VLOOKUP($A1142,MAGAZZINO!$B$2:$M$4838,6,FALSE)</f>
        <v/>
      </c>
      <c r="G1142" s="17">
        <f>+VLOOKUP($A1142,MAGAZZINO!$B$2:$M$4838,7,FALSE)</f>
        <v/>
      </c>
      <c r="H1142" s="17">
        <f>+VLOOKUP($A1142,MAGAZZINO!$B$2:$M$4838,8,FALSE)</f>
        <v/>
      </c>
      <c r="I1142" s="17">
        <f>+VLOOKUP($A1142,MAGAZZINO!$B$2:$M$4838,9,FALSE)</f>
        <v/>
      </c>
      <c r="J1142" s="17">
        <f>+VLOOKUP($A1142,MAGAZZINO!$B$2:$M$4838,10,FALSE)</f>
        <v/>
      </c>
      <c r="K1142" s="17">
        <f>+VLOOKUP($A1142,MAGAZZINO!$B$2:$M$4838,11,FALSE)</f>
        <v/>
      </c>
      <c r="L1142" s="44">
        <f>+VLOOKUP($A1142,MAGAZZINO!$B$2:$M$4838,12,FALSE)</f>
        <v/>
      </c>
    </row>
    <row r="1143" ht="36" customHeight="1">
      <c r="A1143" s="30">
        <f>+REGISTRO!A1126</f>
        <v/>
      </c>
      <c r="B1143" s="31">
        <f>+VLOOKUP($A1143,MAGAZZINO!$B$2:$M$4838,2,FALSE)</f>
        <v/>
      </c>
      <c r="C1143" s="32">
        <f>+VLOOKUP($A1143,MAGAZZINO!$B$2:$M$4838,3,FALSE)</f>
        <v/>
      </c>
      <c r="D1143" s="17">
        <f>+VLOOKUP($A1143,MAGAZZINO!$B$2:$M$4838,4,FALSE)</f>
        <v/>
      </c>
      <c r="E1143" s="17">
        <f>+VLOOKUP($A1143,MAGAZZINO!$B$2:$M$4838,5,FALSE)</f>
        <v/>
      </c>
      <c r="F1143" s="17">
        <f>+VLOOKUP($A1143,MAGAZZINO!$B$2:$M$4838,6,FALSE)</f>
        <v/>
      </c>
      <c r="G1143" s="17">
        <f>+VLOOKUP($A1143,MAGAZZINO!$B$2:$M$4838,7,FALSE)</f>
        <v/>
      </c>
      <c r="H1143" s="17">
        <f>+VLOOKUP($A1143,MAGAZZINO!$B$2:$M$4838,8,FALSE)</f>
        <v/>
      </c>
      <c r="I1143" s="17">
        <f>+VLOOKUP($A1143,MAGAZZINO!$B$2:$M$4838,9,FALSE)</f>
        <v/>
      </c>
      <c r="J1143" s="17">
        <f>+VLOOKUP($A1143,MAGAZZINO!$B$2:$M$4838,10,FALSE)</f>
        <v/>
      </c>
      <c r="K1143" s="17">
        <f>+VLOOKUP($A1143,MAGAZZINO!$B$2:$M$4838,11,FALSE)</f>
        <v/>
      </c>
      <c r="L1143" s="44">
        <f>+VLOOKUP($A1143,MAGAZZINO!$B$2:$M$4838,12,FALSE)</f>
        <v/>
      </c>
    </row>
    <row r="1144" ht="36" customHeight="1">
      <c r="A1144" s="30">
        <f>+REGISTRO!A1127</f>
        <v/>
      </c>
      <c r="B1144" s="31">
        <f>+VLOOKUP($A1144,MAGAZZINO!$B$2:$M$4838,2,FALSE)</f>
        <v/>
      </c>
      <c r="C1144" s="32">
        <f>+VLOOKUP($A1144,MAGAZZINO!$B$2:$M$4838,3,FALSE)</f>
        <v/>
      </c>
      <c r="D1144" s="17">
        <f>+VLOOKUP($A1144,MAGAZZINO!$B$2:$M$4838,4,FALSE)</f>
        <v/>
      </c>
      <c r="E1144" s="17">
        <f>+VLOOKUP($A1144,MAGAZZINO!$B$2:$M$4838,5,FALSE)</f>
        <v/>
      </c>
      <c r="F1144" s="17">
        <f>+VLOOKUP($A1144,MAGAZZINO!$B$2:$M$4838,6,FALSE)</f>
        <v/>
      </c>
      <c r="G1144" s="17">
        <f>+VLOOKUP($A1144,MAGAZZINO!$B$2:$M$4838,7,FALSE)</f>
        <v/>
      </c>
      <c r="H1144" s="17">
        <f>+VLOOKUP($A1144,MAGAZZINO!$B$2:$M$4838,8,FALSE)</f>
        <v/>
      </c>
      <c r="I1144" s="17">
        <f>+VLOOKUP($A1144,MAGAZZINO!$B$2:$M$4838,9,FALSE)</f>
        <v/>
      </c>
      <c r="J1144" s="17">
        <f>+VLOOKUP($A1144,MAGAZZINO!$B$2:$M$4838,10,FALSE)</f>
        <v/>
      </c>
      <c r="K1144" s="17">
        <f>+VLOOKUP($A1144,MAGAZZINO!$B$2:$M$4838,11,FALSE)</f>
        <v/>
      </c>
      <c r="L1144" s="44">
        <f>+VLOOKUP($A1144,MAGAZZINO!$B$2:$M$4838,12,FALSE)</f>
        <v/>
      </c>
    </row>
    <row r="1145" ht="36" customHeight="1">
      <c r="A1145" s="30">
        <f>+REGISTRO!A1128</f>
        <v/>
      </c>
      <c r="B1145" s="31">
        <f>+VLOOKUP($A1145,MAGAZZINO!$B$2:$M$4838,2,FALSE)</f>
        <v/>
      </c>
      <c r="C1145" s="32">
        <f>+VLOOKUP($A1145,MAGAZZINO!$B$2:$M$4838,3,FALSE)</f>
        <v/>
      </c>
      <c r="D1145" s="17">
        <f>+VLOOKUP($A1145,MAGAZZINO!$B$2:$M$4838,4,FALSE)</f>
        <v/>
      </c>
      <c r="E1145" s="17">
        <f>+VLOOKUP($A1145,MAGAZZINO!$B$2:$M$4838,5,FALSE)</f>
        <v/>
      </c>
      <c r="F1145" s="17">
        <f>+VLOOKUP($A1145,MAGAZZINO!$B$2:$M$4838,6,FALSE)</f>
        <v/>
      </c>
      <c r="G1145" s="17">
        <f>+VLOOKUP($A1145,MAGAZZINO!$B$2:$M$4838,7,FALSE)</f>
        <v/>
      </c>
      <c r="H1145" s="17">
        <f>+VLOOKUP($A1145,MAGAZZINO!$B$2:$M$4838,8,FALSE)</f>
        <v/>
      </c>
      <c r="I1145" s="17">
        <f>+VLOOKUP($A1145,MAGAZZINO!$B$2:$M$4838,9,FALSE)</f>
        <v/>
      </c>
      <c r="J1145" s="17">
        <f>+VLOOKUP($A1145,MAGAZZINO!$B$2:$M$4838,10,FALSE)</f>
        <v/>
      </c>
      <c r="K1145" s="17">
        <f>+VLOOKUP($A1145,MAGAZZINO!$B$2:$M$4838,11,FALSE)</f>
        <v/>
      </c>
      <c r="L1145" s="44">
        <f>+VLOOKUP($A1145,MAGAZZINO!$B$2:$M$4838,12,FALSE)</f>
        <v/>
      </c>
    </row>
    <row r="1146" ht="36" customHeight="1">
      <c r="A1146" s="30">
        <f>+REGISTRO!A1129</f>
        <v/>
      </c>
      <c r="B1146" s="31">
        <f>+VLOOKUP($A1146,MAGAZZINO!$B$2:$M$4838,2,FALSE)</f>
        <v/>
      </c>
      <c r="C1146" s="32">
        <f>+VLOOKUP($A1146,MAGAZZINO!$B$2:$M$4838,3,FALSE)</f>
        <v/>
      </c>
      <c r="D1146" s="17">
        <f>+VLOOKUP($A1146,MAGAZZINO!$B$2:$M$4838,4,FALSE)</f>
        <v/>
      </c>
      <c r="E1146" s="17">
        <f>+VLOOKUP($A1146,MAGAZZINO!$B$2:$M$4838,5,FALSE)</f>
        <v/>
      </c>
      <c r="F1146" s="17">
        <f>+VLOOKUP($A1146,MAGAZZINO!$B$2:$M$4838,6,FALSE)</f>
        <v/>
      </c>
      <c r="G1146" s="17">
        <f>+VLOOKUP($A1146,MAGAZZINO!$B$2:$M$4838,7,FALSE)</f>
        <v/>
      </c>
      <c r="H1146" s="17">
        <f>+VLOOKUP($A1146,MAGAZZINO!$B$2:$M$4838,8,FALSE)</f>
        <v/>
      </c>
      <c r="I1146" s="17">
        <f>+VLOOKUP($A1146,MAGAZZINO!$B$2:$M$4838,9,FALSE)</f>
        <v/>
      </c>
      <c r="J1146" s="17">
        <f>+VLOOKUP($A1146,MAGAZZINO!$B$2:$M$4838,10,FALSE)</f>
        <v/>
      </c>
      <c r="K1146" s="17">
        <f>+VLOOKUP($A1146,MAGAZZINO!$B$2:$M$4838,11,FALSE)</f>
        <v/>
      </c>
      <c r="L1146" s="44">
        <f>+VLOOKUP($A1146,MAGAZZINO!$B$2:$M$4838,12,FALSE)</f>
        <v/>
      </c>
    </row>
    <row r="1147" ht="36" customHeight="1">
      <c r="A1147" s="30">
        <f>+REGISTRO!A1130</f>
        <v/>
      </c>
      <c r="B1147" s="31">
        <f>+VLOOKUP($A1147,MAGAZZINO!$B$2:$M$4838,2,FALSE)</f>
        <v/>
      </c>
      <c r="C1147" s="32">
        <f>+VLOOKUP($A1147,MAGAZZINO!$B$2:$M$4838,3,FALSE)</f>
        <v/>
      </c>
      <c r="D1147" s="17">
        <f>+VLOOKUP($A1147,MAGAZZINO!$B$2:$M$4838,4,FALSE)</f>
        <v/>
      </c>
      <c r="E1147" s="17">
        <f>+VLOOKUP($A1147,MAGAZZINO!$B$2:$M$4838,5,FALSE)</f>
        <v/>
      </c>
      <c r="F1147" s="17">
        <f>+VLOOKUP($A1147,MAGAZZINO!$B$2:$M$4838,6,FALSE)</f>
        <v/>
      </c>
      <c r="G1147" s="17">
        <f>+VLOOKUP($A1147,MAGAZZINO!$B$2:$M$4838,7,FALSE)</f>
        <v/>
      </c>
      <c r="H1147" s="17">
        <f>+VLOOKUP($A1147,MAGAZZINO!$B$2:$M$4838,8,FALSE)</f>
        <v/>
      </c>
      <c r="I1147" s="17">
        <f>+VLOOKUP($A1147,MAGAZZINO!$B$2:$M$4838,9,FALSE)</f>
        <v/>
      </c>
      <c r="J1147" s="17">
        <f>+VLOOKUP($A1147,MAGAZZINO!$B$2:$M$4838,10,FALSE)</f>
        <v/>
      </c>
      <c r="K1147" s="17">
        <f>+VLOOKUP($A1147,MAGAZZINO!$B$2:$M$4838,11,FALSE)</f>
        <v/>
      </c>
      <c r="L1147" s="44">
        <f>+VLOOKUP($A1147,MAGAZZINO!$B$2:$M$4838,12,FALSE)</f>
        <v/>
      </c>
    </row>
    <row r="1148" ht="36" customHeight="1">
      <c r="A1148" s="30">
        <f>+REGISTRO!A1131</f>
        <v/>
      </c>
      <c r="B1148" s="31">
        <f>+VLOOKUP($A1148,MAGAZZINO!$B$2:$M$4838,2,FALSE)</f>
        <v/>
      </c>
      <c r="C1148" s="32">
        <f>+VLOOKUP($A1148,MAGAZZINO!$B$2:$M$4838,3,FALSE)</f>
        <v/>
      </c>
      <c r="D1148" s="17">
        <f>+VLOOKUP($A1148,MAGAZZINO!$B$2:$M$4838,4,FALSE)</f>
        <v/>
      </c>
      <c r="E1148" s="17">
        <f>+VLOOKUP($A1148,MAGAZZINO!$B$2:$M$4838,5,FALSE)</f>
        <v/>
      </c>
      <c r="F1148" s="17">
        <f>+VLOOKUP($A1148,MAGAZZINO!$B$2:$M$4838,6,FALSE)</f>
        <v/>
      </c>
      <c r="G1148" s="17">
        <f>+VLOOKUP($A1148,MAGAZZINO!$B$2:$M$4838,7,FALSE)</f>
        <v/>
      </c>
      <c r="H1148" s="17">
        <f>+VLOOKUP($A1148,MAGAZZINO!$B$2:$M$4838,8,FALSE)</f>
        <v/>
      </c>
      <c r="I1148" s="17">
        <f>+VLOOKUP($A1148,MAGAZZINO!$B$2:$M$4838,9,FALSE)</f>
        <v/>
      </c>
      <c r="J1148" s="17">
        <f>+VLOOKUP($A1148,MAGAZZINO!$B$2:$M$4838,10,FALSE)</f>
        <v/>
      </c>
      <c r="K1148" s="17">
        <f>+VLOOKUP($A1148,MAGAZZINO!$B$2:$M$4838,11,FALSE)</f>
        <v/>
      </c>
      <c r="L1148" s="44">
        <f>+VLOOKUP($A1148,MAGAZZINO!$B$2:$M$4838,12,FALSE)</f>
        <v/>
      </c>
    </row>
    <row r="1149" ht="36" customHeight="1">
      <c r="A1149" s="30">
        <f>+REGISTRO!A1132</f>
        <v/>
      </c>
      <c r="B1149" s="31">
        <f>+VLOOKUP($A1149,MAGAZZINO!$B$2:$M$4838,2,FALSE)</f>
        <v/>
      </c>
      <c r="C1149" s="32">
        <f>+VLOOKUP($A1149,MAGAZZINO!$B$2:$M$4838,3,FALSE)</f>
        <v/>
      </c>
      <c r="D1149" s="17">
        <f>+VLOOKUP($A1149,MAGAZZINO!$B$2:$M$4838,4,FALSE)</f>
        <v/>
      </c>
      <c r="E1149" s="17">
        <f>+VLOOKUP($A1149,MAGAZZINO!$B$2:$M$4838,5,FALSE)</f>
        <v/>
      </c>
      <c r="F1149" s="17">
        <f>+VLOOKUP($A1149,MAGAZZINO!$B$2:$M$4838,6,FALSE)</f>
        <v/>
      </c>
      <c r="G1149" s="17">
        <f>+VLOOKUP($A1149,MAGAZZINO!$B$2:$M$4838,7,FALSE)</f>
        <v/>
      </c>
      <c r="H1149" s="17">
        <f>+VLOOKUP($A1149,MAGAZZINO!$B$2:$M$4838,8,FALSE)</f>
        <v/>
      </c>
      <c r="I1149" s="17">
        <f>+VLOOKUP($A1149,MAGAZZINO!$B$2:$M$4838,9,FALSE)</f>
        <v/>
      </c>
      <c r="J1149" s="17">
        <f>+VLOOKUP($A1149,MAGAZZINO!$B$2:$M$4838,10,FALSE)</f>
        <v/>
      </c>
      <c r="K1149" s="17">
        <f>+VLOOKUP($A1149,MAGAZZINO!$B$2:$M$4838,11,FALSE)</f>
        <v/>
      </c>
      <c r="L1149" s="44">
        <f>+VLOOKUP($A1149,MAGAZZINO!$B$2:$M$4838,12,FALSE)</f>
        <v/>
      </c>
    </row>
    <row r="1150" ht="36" customHeight="1">
      <c r="A1150" s="30">
        <f>+REGISTRO!A1133</f>
        <v/>
      </c>
      <c r="B1150" s="31">
        <f>+VLOOKUP($A1150,MAGAZZINO!$B$2:$M$4838,2,FALSE)</f>
        <v/>
      </c>
      <c r="C1150" s="32">
        <f>+VLOOKUP($A1150,MAGAZZINO!$B$2:$M$4838,3,FALSE)</f>
        <v/>
      </c>
      <c r="D1150" s="17">
        <f>+VLOOKUP($A1150,MAGAZZINO!$B$2:$M$4838,4,FALSE)</f>
        <v/>
      </c>
      <c r="E1150" s="17">
        <f>+VLOOKUP($A1150,MAGAZZINO!$B$2:$M$4838,5,FALSE)</f>
        <v/>
      </c>
      <c r="F1150" s="17">
        <f>+VLOOKUP($A1150,MAGAZZINO!$B$2:$M$4838,6,FALSE)</f>
        <v/>
      </c>
      <c r="G1150" s="17">
        <f>+VLOOKUP($A1150,MAGAZZINO!$B$2:$M$4838,7,FALSE)</f>
        <v/>
      </c>
      <c r="H1150" s="17">
        <f>+VLOOKUP($A1150,MAGAZZINO!$B$2:$M$4838,8,FALSE)</f>
        <v/>
      </c>
      <c r="I1150" s="17">
        <f>+VLOOKUP($A1150,MAGAZZINO!$B$2:$M$4838,9,FALSE)</f>
        <v/>
      </c>
      <c r="J1150" s="17">
        <f>+VLOOKUP($A1150,MAGAZZINO!$B$2:$M$4838,10,FALSE)</f>
        <v/>
      </c>
      <c r="K1150" s="17">
        <f>+VLOOKUP($A1150,MAGAZZINO!$B$2:$M$4838,11,FALSE)</f>
        <v/>
      </c>
      <c r="L1150" s="44">
        <f>+VLOOKUP($A1150,MAGAZZINO!$B$2:$M$4838,12,FALSE)</f>
        <v/>
      </c>
    </row>
    <row r="1151" ht="36" customHeight="1">
      <c r="A1151" s="30">
        <f>+REGISTRO!A1134</f>
        <v/>
      </c>
      <c r="B1151" s="31">
        <f>+VLOOKUP($A1151,MAGAZZINO!$B$2:$M$4838,2,FALSE)</f>
        <v/>
      </c>
      <c r="C1151" s="32">
        <f>+VLOOKUP($A1151,MAGAZZINO!$B$2:$M$4838,3,FALSE)</f>
        <v/>
      </c>
      <c r="D1151" s="17">
        <f>+VLOOKUP($A1151,MAGAZZINO!$B$2:$M$4838,4,FALSE)</f>
        <v/>
      </c>
      <c r="E1151" s="17">
        <f>+VLOOKUP($A1151,MAGAZZINO!$B$2:$M$4838,5,FALSE)</f>
        <v/>
      </c>
      <c r="F1151" s="17">
        <f>+VLOOKUP($A1151,MAGAZZINO!$B$2:$M$4838,6,FALSE)</f>
        <v/>
      </c>
      <c r="G1151" s="17">
        <f>+VLOOKUP($A1151,MAGAZZINO!$B$2:$M$4838,7,FALSE)</f>
        <v/>
      </c>
      <c r="H1151" s="17">
        <f>+VLOOKUP($A1151,MAGAZZINO!$B$2:$M$4838,8,FALSE)</f>
        <v/>
      </c>
      <c r="I1151" s="17">
        <f>+VLOOKUP($A1151,MAGAZZINO!$B$2:$M$4838,9,FALSE)</f>
        <v/>
      </c>
      <c r="J1151" s="17">
        <f>+VLOOKUP($A1151,MAGAZZINO!$B$2:$M$4838,10,FALSE)</f>
        <v/>
      </c>
      <c r="K1151" s="17">
        <f>+VLOOKUP($A1151,MAGAZZINO!$B$2:$M$4838,11,FALSE)</f>
        <v/>
      </c>
      <c r="L1151" s="44">
        <f>+VLOOKUP($A1151,MAGAZZINO!$B$2:$M$4838,12,FALSE)</f>
        <v/>
      </c>
    </row>
    <row r="1152" ht="36" customHeight="1">
      <c r="A1152" s="30">
        <f>+REGISTRO!A1135</f>
        <v/>
      </c>
      <c r="B1152" s="31">
        <f>+VLOOKUP($A1152,MAGAZZINO!$B$2:$M$4838,2,FALSE)</f>
        <v/>
      </c>
      <c r="C1152" s="32">
        <f>+VLOOKUP($A1152,MAGAZZINO!$B$2:$M$4838,3,FALSE)</f>
        <v/>
      </c>
      <c r="D1152" s="17">
        <f>+VLOOKUP($A1152,MAGAZZINO!$B$2:$M$4838,4,FALSE)</f>
        <v/>
      </c>
      <c r="E1152" s="17">
        <f>+VLOOKUP($A1152,MAGAZZINO!$B$2:$M$4838,5,FALSE)</f>
        <v/>
      </c>
      <c r="F1152" s="17">
        <f>+VLOOKUP($A1152,MAGAZZINO!$B$2:$M$4838,6,FALSE)</f>
        <v/>
      </c>
      <c r="G1152" s="17">
        <f>+VLOOKUP($A1152,MAGAZZINO!$B$2:$M$4838,7,FALSE)</f>
        <v/>
      </c>
      <c r="H1152" s="17">
        <f>+VLOOKUP($A1152,MAGAZZINO!$B$2:$M$4838,8,FALSE)</f>
        <v/>
      </c>
      <c r="I1152" s="17">
        <f>+VLOOKUP($A1152,MAGAZZINO!$B$2:$M$4838,9,FALSE)</f>
        <v/>
      </c>
      <c r="J1152" s="17">
        <f>+VLOOKUP($A1152,MAGAZZINO!$B$2:$M$4838,10,FALSE)</f>
        <v/>
      </c>
      <c r="K1152" s="17">
        <f>+VLOOKUP($A1152,MAGAZZINO!$B$2:$M$4838,11,FALSE)</f>
        <v/>
      </c>
      <c r="L1152" s="44">
        <f>+VLOOKUP($A1152,MAGAZZINO!$B$2:$M$4838,12,FALSE)</f>
        <v/>
      </c>
    </row>
    <row r="1153" ht="36" customHeight="1">
      <c r="A1153" s="30">
        <f>+REGISTRO!A1136</f>
        <v/>
      </c>
      <c r="B1153" s="31">
        <f>+VLOOKUP($A1153,MAGAZZINO!$B$2:$M$4838,2,FALSE)</f>
        <v/>
      </c>
      <c r="C1153" s="32">
        <f>+VLOOKUP($A1153,MAGAZZINO!$B$2:$M$4838,3,FALSE)</f>
        <v/>
      </c>
      <c r="D1153" s="17">
        <f>+VLOOKUP($A1153,MAGAZZINO!$B$2:$M$4838,4,FALSE)</f>
        <v/>
      </c>
      <c r="E1153" s="17">
        <f>+VLOOKUP($A1153,MAGAZZINO!$B$2:$M$4838,5,FALSE)</f>
        <v/>
      </c>
      <c r="F1153" s="17">
        <f>+VLOOKUP($A1153,MAGAZZINO!$B$2:$M$4838,6,FALSE)</f>
        <v/>
      </c>
      <c r="G1153" s="17">
        <f>+VLOOKUP($A1153,MAGAZZINO!$B$2:$M$4838,7,FALSE)</f>
        <v/>
      </c>
      <c r="H1153" s="17">
        <f>+VLOOKUP($A1153,MAGAZZINO!$B$2:$M$4838,8,FALSE)</f>
        <v/>
      </c>
      <c r="I1153" s="17">
        <f>+VLOOKUP($A1153,MAGAZZINO!$B$2:$M$4838,9,FALSE)</f>
        <v/>
      </c>
      <c r="J1153" s="17">
        <f>+VLOOKUP($A1153,MAGAZZINO!$B$2:$M$4838,10,FALSE)</f>
        <v/>
      </c>
      <c r="K1153" s="17">
        <f>+VLOOKUP($A1153,MAGAZZINO!$B$2:$M$4838,11,FALSE)</f>
        <v/>
      </c>
      <c r="L1153" s="44">
        <f>+VLOOKUP($A1153,MAGAZZINO!$B$2:$M$4838,12,FALSE)</f>
        <v/>
      </c>
    </row>
    <row r="1154" ht="36" customHeight="1">
      <c r="A1154" s="30">
        <f>+REGISTRO!A1137</f>
        <v/>
      </c>
      <c r="B1154" s="31">
        <f>+VLOOKUP($A1154,MAGAZZINO!$B$2:$M$4838,2,FALSE)</f>
        <v/>
      </c>
      <c r="C1154" s="32">
        <f>+VLOOKUP($A1154,MAGAZZINO!$B$2:$M$4838,3,FALSE)</f>
        <v/>
      </c>
      <c r="D1154" s="17">
        <f>+VLOOKUP($A1154,MAGAZZINO!$B$2:$M$4838,4,FALSE)</f>
        <v/>
      </c>
      <c r="E1154" s="17">
        <f>+VLOOKUP($A1154,MAGAZZINO!$B$2:$M$4838,5,FALSE)</f>
        <v/>
      </c>
      <c r="F1154" s="17">
        <f>+VLOOKUP($A1154,MAGAZZINO!$B$2:$M$4838,6,FALSE)</f>
        <v/>
      </c>
      <c r="G1154" s="17">
        <f>+VLOOKUP($A1154,MAGAZZINO!$B$2:$M$4838,7,FALSE)</f>
        <v/>
      </c>
      <c r="H1154" s="17">
        <f>+VLOOKUP($A1154,MAGAZZINO!$B$2:$M$4838,8,FALSE)</f>
        <v/>
      </c>
      <c r="I1154" s="17">
        <f>+VLOOKUP($A1154,MAGAZZINO!$B$2:$M$4838,9,FALSE)</f>
        <v/>
      </c>
      <c r="J1154" s="17">
        <f>+VLOOKUP($A1154,MAGAZZINO!$B$2:$M$4838,10,FALSE)</f>
        <v/>
      </c>
      <c r="K1154" s="17">
        <f>+VLOOKUP($A1154,MAGAZZINO!$B$2:$M$4838,11,FALSE)</f>
        <v/>
      </c>
      <c r="L1154" s="44">
        <f>+VLOOKUP($A1154,MAGAZZINO!$B$2:$M$4838,12,FALSE)</f>
        <v/>
      </c>
    </row>
    <row r="1155" ht="36" customHeight="1">
      <c r="A1155" s="30">
        <f>+REGISTRO!A1138</f>
        <v/>
      </c>
      <c r="B1155" s="31">
        <f>+VLOOKUP($A1155,MAGAZZINO!$B$2:$M$4838,2,FALSE)</f>
        <v/>
      </c>
      <c r="C1155" s="32">
        <f>+VLOOKUP($A1155,MAGAZZINO!$B$2:$M$4838,3,FALSE)</f>
        <v/>
      </c>
      <c r="D1155" s="17">
        <f>+VLOOKUP($A1155,MAGAZZINO!$B$2:$M$4838,4,FALSE)</f>
        <v/>
      </c>
      <c r="E1155" s="17">
        <f>+VLOOKUP($A1155,MAGAZZINO!$B$2:$M$4838,5,FALSE)</f>
        <v/>
      </c>
      <c r="F1155" s="17">
        <f>+VLOOKUP($A1155,MAGAZZINO!$B$2:$M$4838,6,FALSE)</f>
        <v/>
      </c>
      <c r="G1155" s="17">
        <f>+VLOOKUP($A1155,MAGAZZINO!$B$2:$M$4838,7,FALSE)</f>
        <v/>
      </c>
      <c r="H1155" s="17">
        <f>+VLOOKUP($A1155,MAGAZZINO!$B$2:$M$4838,8,FALSE)</f>
        <v/>
      </c>
      <c r="I1155" s="17">
        <f>+VLOOKUP($A1155,MAGAZZINO!$B$2:$M$4838,9,FALSE)</f>
        <v/>
      </c>
      <c r="J1155" s="17">
        <f>+VLOOKUP($A1155,MAGAZZINO!$B$2:$M$4838,10,FALSE)</f>
        <v/>
      </c>
      <c r="K1155" s="17">
        <f>+VLOOKUP($A1155,MAGAZZINO!$B$2:$M$4838,11,FALSE)</f>
        <v/>
      </c>
      <c r="L1155" s="44">
        <f>+VLOOKUP($A1155,MAGAZZINO!$B$2:$M$4838,12,FALSE)</f>
        <v/>
      </c>
    </row>
    <row r="1156" ht="36" customHeight="1">
      <c r="A1156" s="30">
        <f>+REGISTRO!A1139</f>
        <v/>
      </c>
      <c r="B1156" s="31">
        <f>+VLOOKUP($A1156,MAGAZZINO!$B$2:$M$4838,2,FALSE)</f>
        <v/>
      </c>
      <c r="C1156" s="32">
        <f>+VLOOKUP($A1156,MAGAZZINO!$B$2:$M$4838,3,FALSE)</f>
        <v/>
      </c>
      <c r="D1156" s="17">
        <f>+VLOOKUP($A1156,MAGAZZINO!$B$2:$M$4838,4,FALSE)</f>
        <v/>
      </c>
      <c r="E1156" s="17">
        <f>+VLOOKUP($A1156,MAGAZZINO!$B$2:$M$4838,5,FALSE)</f>
        <v/>
      </c>
      <c r="F1156" s="17">
        <f>+VLOOKUP($A1156,MAGAZZINO!$B$2:$M$4838,6,FALSE)</f>
        <v/>
      </c>
      <c r="G1156" s="17">
        <f>+VLOOKUP($A1156,MAGAZZINO!$B$2:$M$4838,7,FALSE)</f>
        <v/>
      </c>
      <c r="H1156" s="17">
        <f>+VLOOKUP($A1156,MAGAZZINO!$B$2:$M$4838,8,FALSE)</f>
        <v/>
      </c>
      <c r="I1156" s="17">
        <f>+VLOOKUP($A1156,MAGAZZINO!$B$2:$M$4838,9,FALSE)</f>
        <v/>
      </c>
      <c r="J1156" s="17">
        <f>+VLOOKUP($A1156,MAGAZZINO!$B$2:$M$4838,10,FALSE)</f>
        <v/>
      </c>
      <c r="K1156" s="17">
        <f>+VLOOKUP($A1156,MAGAZZINO!$B$2:$M$4838,11,FALSE)</f>
        <v/>
      </c>
      <c r="L1156" s="44">
        <f>+VLOOKUP($A1156,MAGAZZINO!$B$2:$M$4838,12,FALSE)</f>
        <v/>
      </c>
    </row>
    <row r="1157" ht="36" customHeight="1">
      <c r="A1157" s="30">
        <f>+REGISTRO!A1140</f>
        <v/>
      </c>
      <c r="B1157" s="31">
        <f>+VLOOKUP($A1157,MAGAZZINO!$B$2:$M$4838,2,FALSE)</f>
        <v/>
      </c>
      <c r="C1157" s="32">
        <f>+VLOOKUP($A1157,MAGAZZINO!$B$2:$M$4838,3,FALSE)</f>
        <v/>
      </c>
      <c r="D1157" s="17">
        <f>+VLOOKUP($A1157,MAGAZZINO!$B$2:$M$4838,4,FALSE)</f>
        <v/>
      </c>
      <c r="E1157" s="17">
        <f>+VLOOKUP($A1157,MAGAZZINO!$B$2:$M$4838,5,FALSE)</f>
        <v/>
      </c>
      <c r="F1157" s="17">
        <f>+VLOOKUP($A1157,MAGAZZINO!$B$2:$M$4838,6,FALSE)</f>
        <v/>
      </c>
      <c r="G1157" s="17">
        <f>+VLOOKUP($A1157,MAGAZZINO!$B$2:$M$4838,7,FALSE)</f>
        <v/>
      </c>
      <c r="H1157" s="17">
        <f>+VLOOKUP($A1157,MAGAZZINO!$B$2:$M$4838,8,FALSE)</f>
        <v/>
      </c>
      <c r="I1157" s="17">
        <f>+VLOOKUP($A1157,MAGAZZINO!$B$2:$M$4838,9,FALSE)</f>
        <v/>
      </c>
      <c r="J1157" s="17">
        <f>+VLOOKUP($A1157,MAGAZZINO!$B$2:$M$4838,10,FALSE)</f>
        <v/>
      </c>
      <c r="K1157" s="17">
        <f>+VLOOKUP($A1157,MAGAZZINO!$B$2:$M$4838,11,FALSE)</f>
        <v/>
      </c>
      <c r="L1157" s="44">
        <f>+VLOOKUP($A1157,MAGAZZINO!$B$2:$M$4838,12,FALSE)</f>
        <v/>
      </c>
    </row>
    <row r="1158" ht="36" customHeight="1">
      <c r="A1158" s="30">
        <f>+REGISTRO!A1141</f>
        <v/>
      </c>
      <c r="B1158" s="31">
        <f>+VLOOKUP($A1158,MAGAZZINO!$B$2:$M$4838,2,FALSE)</f>
        <v/>
      </c>
      <c r="C1158" s="32">
        <f>+VLOOKUP($A1158,MAGAZZINO!$B$2:$M$4838,3,FALSE)</f>
        <v/>
      </c>
      <c r="D1158" s="17">
        <f>+VLOOKUP($A1158,MAGAZZINO!$B$2:$M$4838,4,FALSE)</f>
        <v/>
      </c>
      <c r="E1158" s="17">
        <f>+VLOOKUP($A1158,MAGAZZINO!$B$2:$M$4838,5,FALSE)</f>
        <v/>
      </c>
      <c r="F1158" s="17">
        <f>+VLOOKUP($A1158,MAGAZZINO!$B$2:$M$4838,6,FALSE)</f>
        <v/>
      </c>
      <c r="G1158" s="17">
        <f>+VLOOKUP($A1158,MAGAZZINO!$B$2:$M$4838,7,FALSE)</f>
        <v/>
      </c>
      <c r="H1158" s="17">
        <f>+VLOOKUP($A1158,MAGAZZINO!$B$2:$M$4838,8,FALSE)</f>
        <v/>
      </c>
      <c r="I1158" s="17">
        <f>+VLOOKUP($A1158,MAGAZZINO!$B$2:$M$4838,9,FALSE)</f>
        <v/>
      </c>
      <c r="J1158" s="17">
        <f>+VLOOKUP($A1158,MAGAZZINO!$B$2:$M$4838,10,FALSE)</f>
        <v/>
      </c>
      <c r="K1158" s="17">
        <f>+VLOOKUP($A1158,MAGAZZINO!$B$2:$M$4838,11,FALSE)</f>
        <v/>
      </c>
      <c r="L1158" s="44">
        <f>+VLOOKUP($A1158,MAGAZZINO!$B$2:$M$4838,12,FALSE)</f>
        <v/>
      </c>
    </row>
    <row r="1159" ht="36" customHeight="1">
      <c r="A1159" s="30">
        <f>+REGISTRO!A1142</f>
        <v/>
      </c>
      <c r="B1159" s="31">
        <f>+VLOOKUP($A1159,MAGAZZINO!$B$2:$M$4838,2,FALSE)</f>
        <v/>
      </c>
      <c r="C1159" s="32">
        <f>+VLOOKUP($A1159,MAGAZZINO!$B$2:$M$4838,3,FALSE)</f>
        <v/>
      </c>
      <c r="D1159" s="17">
        <f>+VLOOKUP($A1159,MAGAZZINO!$B$2:$M$4838,4,FALSE)</f>
        <v/>
      </c>
      <c r="E1159" s="17">
        <f>+VLOOKUP($A1159,MAGAZZINO!$B$2:$M$4838,5,FALSE)</f>
        <v/>
      </c>
      <c r="F1159" s="17">
        <f>+VLOOKUP($A1159,MAGAZZINO!$B$2:$M$4838,6,FALSE)</f>
        <v/>
      </c>
      <c r="G1159" s="17">
        <f>+VLOOKUP($A1159,MAGAZZINO!$B$2:$M$4838,7,FALSE)</f>
        <v/>
      </c>
      <c r="H1159" s="17">
        <f>+VLOOKUP($A1159,MAGAZZINO!$B$2:$M$4838,8,FALSE)</f>
        <v/>
      </c>
      <c r="I1159" s="17">
        <f>+VLOOKUP($A1159,MAGAZZINO!$B$2:$M$4838,9,FALSE)</f>
        <v/>
      </c>
      <c r="J1159" s="17">
        <f>+VLOOKUP($A1159,MAGAZZINO!$B$2:$M$4838,10,FALSE)</f>
        <v/>
      </c>
      <c r="K1159" s="17">
        <f>+VLOOKUP($A1159,MAGAZZINO!$B$2:$M$4838,11,FALSE)</f>
        <v/>
      </c>
      <c r="L1159" s="44">
        <f>+VLOOKUP($A1159,MAGAZZINO!$B$2:$M$4838,12,FALSE)</f>
        <v/>
      </c>
    </row>
    <row r="1160" ht="36" customHeight="1">
      <c r="A1160" s="30">
        <f>+REGISTRO!A1143</f>
        <v/>
      </c>
      <c r="B1160" s="31">
        <f>+VLOOKUP($A1160,MAGAZZINO!$B$2:$M$4838,2,FALSE)</f>
        <v/>
      </c>
      <c r="C1160" s="32">
        <f>+VLOOKUP($A1160,MAGAZZINO!$B$2:$M$4838,3,FALSE)</f>
        <v/>
      </c>
      <c r="D1160" s="17">
        <f>+VLOOKUP($A1160,MAGAZZINO!$B$2:$M$4838,4,FALSE)</f>
        <v/>
      </c>
      <c r="E1160" s="17">
        <f>+VLOOKUP($A1160,MAGAZZINO!$B$2:$M$4838,5,FALSE)</f>
        <v/>
      </c>
      <c r="F1160" s="17">
        <f>+VLOOKUP($A1160,MAGAZZINO!$B$2:$M$4838,6,FALSE)</f>
        <v/>
      </c>
      <c r="G1160" s="17">
        <f>+VLOOKUP($A1160,MAGAZZINO!$B$2:$M$4838,7,FALSE)</f>
        <v/>
      </c>
      <c r="H1160" s="17">
        <f>+VLOOKUP($A1160,MAGAZZINO!$B$2:$M$4838,8,FALSE)</f>
        <v/>
      </c>
      <c r="I1160" s="17">
        <f>+VLOOKUP($A1160,MAGAZZINO!$B$2:$M$4838,9,FALSE)</f>
        <v/>
      </c>
      <c r="J1160" s="17">
        <f>+VLOOKUP($A1160,MAGAZZINO!$B$2:$M$4838,10,FALSE)</f>
        <v/>
      </c>
      <c r="K1160" s="17">
        <f>+VLOOKUP($A1160,MAGAZZINO!$B$2:$M$4838,11,FALSE)</f>
        <v/>
      </c>
      <c r="L1160" s="44">
        <f>+VLOOKUP($A1160,MAGAZZINO!$B$2:$M$4838,12,FALSE)</f>
        <v/>
      </c>
    </row>
    <row r="1161" ht="36" customHeight="1">
      <c r="A1161" s="30">
        <f>+REGISTRO!A1144</f>
        <v/>
      </c>
      <c r="B1161" s="31">
        <f>+VLOOKUP($A1161,MAGAZZINO!$B$2:$M$4838,2,FALSE)</f>
        <v/>
      </c>
      <c r="C1161" s="32">
        <f>+VLOOKUP($A1161,MAGAZZINO!$B$2:$M$4838,3,FALSE)</f>
        <v/>
      </c>
      <c r="D1161" s="17">
        <f>+VLOOKUP($A1161,MAGAZZINO!$B$2:$M$4838,4,FALSE)</f>
        <v/>
      </c>
      <c r="E1161" s="17">
        <f>+VLOOKUP($A1161,MAGAZZINO!$B$2:$M$4838,5,FALSE)</f>
        <v/>
      </c>
      <c r="F1161" s="17">
        <f>+VLOOKUP($A1161,MAGAZZINO!$B$2:$M$4838,6,FALSE)</f>
        <v/>
      </c>
      <c r="G1161" s="17">
        <f>+VLOOKUP($A1161,MAGAZZINO!$B$2:$M$4838,7,FALSE)</f>
        <v/>
      </c>
      <c r="H1161" s="17">
        <f>+VLOOKUP($A1161,MAGAZZINO!$B$2:$M$4838,8,FALSE)</f>
        <v/>
      </c>
      <c r="I1161" s="17">
        <f>+VLOOKUP($A1161,MAGAZZINO!$B$2:$M$4838,9,FALSE)</f>
        <v/>
      </c>
      <c r="J1161" s="17">
        <f>+VLOOKUP($A1161,MAGAZZINO!$B$2:$M$4838,10,FALSE)</f>
        <v/>
      </c>
      <c r="K1161" s="17">
        <f>+VLOOKUP($A1161,MAGAZZINO!$B$2:$M$4838,11,FALSE)</f>
        <v/>
      </c>
      <c r="L1161" s="44">
        <f>+VLOOKUP($A1161,MAGAZZINO!$B$2:$M$4838,12,FALSE)</f>
        <v/>
      </c>
    </row>
    <row r="1162" ht="36" customHeight="1">
      <c r="A1162" s="30">
        <f>+REGISTRO!A1145</f>
        <v/>
      </c>
      <c r="B1162" s="31">
        <f>+VLOOKUP($A1162,MAGAZZINO!$B$2:$M$4838,2,FALSE)</f>
        <v/>
      </c>
      <c r="C1162" s="32">
        <f>+VLOOKUP($A1162,MAGAZZINO!$B$2:$M$4838,3,FALSE)</f>
        <v/>
      </c>
      <c r="D1162" s="17">
        <f>+VLOOKUP($A1162,MAGAZZINO!$B$2:$M$4838,4,FALSE)</f>
        <v/>
      </c>
      <c r="E1162" s="17">
        <f>+VLOOKUP($A1162,MAGAZZINO!$B$2:$M$4838,5,FALSE)</f>
        <v/>
      </c>
      <c r="F1162" s="17">
        <f>+VLOOKUP($A1162,MAGAZZINO!$B$2:$M$4838,6,FALSE)</f>
        <v/>
      </c>
      <c r="G1162" s="17">
        <f>+VLOOKUP($A1162,MAGAZZINO!$B$2:$M$4838,7,FALSE)</f>
        <v/>
      </c>
      <c r="H1162" s="17">
        <f>+VLOOKUP($A1162,MAGAZZINO!$B$2:$M$4838,8,FALSE)</f>
        <v/>
      </c>
      <c r="I1162" s="17">
        <f>+VLOOKUP($A1162,MAGAZZINO!$B$2:$M$4838,9,FALSE)</f>
        <v/>
      </c>
      <c r="J1162" s="17">
        <f>+VLOOKUP($A1162,MAGAZZINO!$B$2:$M$4838,10,FALSE)</f>
        <v/>
      </c>
      <c r="K1162" s="17">
        <f>+VLOOKUP($A1162,MAGAZZINO!$B$2:$M$4838,11,FALSE)</f>
        <v/>
      </c>
      <c r="L1162" s="44">
        <f>+VLOOKUP($A1162,MAGAZZINO!$B$2:$M$4838,12,FALSE)</f>
        <v/>
      </c>
    </row>
    <row r="1163" ht="36" customHeight="1">
      <c r="A1163" s="30">
        <f>+REGISTRO!A1146</f>
        <v/>
      </c>
      <c r="B1163" s="31">
        <f>+VLOOKUP($A1163,MAGAZZINO!$B$2:$M$4838,2,FALSE)</f>
        <v/>
      </c>
      <c r="C1163" s="32">
        <f>+VLOOKUP($A1163,MAGAZZINO!$B$2:$M$4838,3,FALSE)</f>
        <v/>
      </c>
      <c r="D1163" s="17">
        <f>+VLOOKUP($A1163,MAGAZZINO!$B$2:$M$4838,4,FALSE)</f>
        <v/>
      </c>
      <c r="E1163" s="17">
        <f>+VLOOKUP($A1163,MAGAZZINO!$B$2:$M$4838,5,FALSE)</f>
        <v/>
      </c>
      <c r="F1163" s="17">
        <f>+VLOOKUP($A1163,MAGAZZINO!$B$2:$M$4838,6,FALSE)</f>
        <v/>
      </c>
      <c r="G1163" s="17">
        <f>+VLOOKUP($A1163,MAGAZZINO!$B$2:$M$4838,7,FALSE)</f>
        <v/>
      </c>
      <c r="H1163" s="17">
        <f>+VLOOKUP($A1163,MAGAZZINO!$B$2:$M$4838,8,FALSE)</f>
        <v/>
      </c>
      <c r="I1163" s="17">
        <f>+VLOOKUP($A1163,MAGAZZINO!$B$2:$M$4838,9,FALSE)</f>
        <v/>
      </c>
      <c r="J1163" s="17">
        <f>+VLOOKUP($A1163,MAGAZZINO!$B$2:$M$4838,10,FALSE)</f>
        <v/>
      </c>
      <c r="K1163" s="17">
        <f>+VLOOKUP($A1163,MAGAZZINO!$B$2:$M$4838,11,FALSE)</f>
        <v/>
      </c>
      <c r="L1163" s="44">
        <f>+VLOOKUP($A1163,MAGAZZINO!$B$2:$M$4838,12,FALSE)</f>
        <v/>
      </c>
    </row>
    <row r="1164" ht="36" customHeight="1">
      <c r="A1164" s="30">
        <f>+REGISTRO!A1147</f>
        <v/>
      </c>
      <c r="B1164" s="31">
        <f>+VLOOKUP($A1164,MAGAZZINO!$B$2:$M$4838,2,FALSE)</f>
        <v/>
      </c>
      <c r="C1164" s="32">
        <f>+VLOOKUP($A1164,MAGAZZINO!$B$2:$M$4838,3,FALSE)</f>
        <v/>
      </c>
      <c r="D1164" s="17">
        <f>+VLOOKUP($A1164,MAGAZZINO!$B$2:$M$4838,4,FALSE)</f>
        <v/>
      </c>
      <c r="E1164" s="17">
        <f>+VLOOKUP($A1164,MAGAZZINO!$B$2:$M$4838,5,FALSE)</f>
        <v/>
      </c>
      <c r="F1164" s="17">
        <f>+VLOOKUP($A1164,MAGAZZINO!$B$2:$M$4838,6,FALSE)</f>
        <v/>
      </c>
      <c r="G1164" s="17">
        <f>+VLOOKUP($A1164,MAGAZZINO!$B$2:$M$4838,7,FALSE)</f>
        <v/>
      </c>
      <c r="H1164" s="17">
        <f>+VLOOKUP($A1164,MAGAZZINO!$B$2:$M$4838,8,FALSE)</f>
        <v/>
      </c>
      <c r="I1164" s="17">
        <f>+VLOOKUP($A1164,MAGAZZINO!$B$2:$M$4838,9,FALSE)</f>
        <v/>
      </c>
      <c r="J1164" s="17">
        <f>+VLOOKUP($A1164,MAGAZZINO!$B$2:$M$4838,10,FALSE)</f>
        <v/>
      </c>
      <c r="K1164" s="17">
        <f>+VLOOKUP($A1164,MAGAZZINO!$B$2:$M$4838,11,FALSE)</f>
        <v/>
      </c>
      <c r="L1164" s="44">
        <f>+VLOOKUP($A1164,MAGAZZINO!$B$2:$M$4838,12,FALSE)</f>
        <v/>
      </c>
    </row>
    <row r="1165" ht="36" customHeight="1">
      <c r="A1165" s="30">
        <f>+REGISTRO!A1148</f>
        <v/>
      </c>
      <c r="B1165" s="31">
        <f>+VLOOKUP($A1165,MAGAZZINO!$B$2:$M$4838,2,FALSE)</f>
        <v/>
      </c>
      <c r="C1165" s="32">
        <f>+VLOOKUP($A1165,MAGAZZINO!$B$2:$M$4838,3,FALSE)</f>
        <v/>
      </c>
      <c r="D1165" s="17">
        <f>+VLOOKUP($A1165,MAGAZZINO!$B$2:$M$4838,4,FALSE)</f>
        <v/>
      </c>
      <c r="E1165" s="17">
        <f>+VLOOKUP($A1165,MAGAZZINO!$B$2:$M$4838,5,FALSE)</f>
        <v/>
      </c>
      <c r="F1165" s="17">
        <f>+VLOOKUP($A1165,MAGAZZINO!$B$2:$M$4838,6,FALSE)</f>
        <v/>
      </c>
      <c r="G1165" s="17">
        <f>+VLOOKUP($A1165,MAGAZZINO!$B$2:$M$4838,7,FALSE)</f>
        <v/>
      </c>
      <c r="H1165" s="17">
        <f>+VLOOKUP($A1165,MAGAZZINO!$B$2:$M$4838,8,FALSE)</f>
        <v/>
      </c>
      <c r="I1165" s="17">
        <f>+VLOOKUP($A1165,MAGAZZINO!$B$2:$M$4838,9,FALSE)</f>
        <v/>
      </c>
      <c r="J1165" s="17">
        <f>+VLOOKUP($A1165,MAGAZZINO!$B$2:$M$4838,10,FALSE)</f>
        <v/>
      </c>
      <c r="K1165" s="17">
        <f>+VLOOKUP($A1165,MAGAZZINO!$B$2:$M$4838,11,FALSE)</f>
        <v/>
      </c>
      <c r="L1165" s="44">
        <f>+VLOOKUP($A1165,MAGAZZINO!$B$2:$M$4838,12,FALSE)</f>
        <v/>
      </c>
    </row>
    <row r="1166" ht="36" customHeight="1">
      <c r="A1166" s="30">
        <f>+REGISTRO!A1149</f>
        <v/>
      </c>
      <c r="B1166" s="31">
        <f>+VLOOKUP($A1166,MAGAZZINO!$B$2:$M$4838,2,FALSE)</f>
        <v/>
      </c>
      <c r="C1166" s="32">
        <f>+VLOOKUP($A1166,MAGAZZINO!$B$2:$M$4838,3,FALSE)</f>
        <v/>
      </c>
      <c r="D1166" s="17">
        <f>+VLOOKUP($A1166,MAGAZZINO!$B$2:$M$4838,4,FALSE)</f>
        <v/>
      </c>
      <c r="E1166" s="17">
        <f>+VLOOKUP($A1166,MAGAZZINO!$B$2:$M$4838,5,FALSE)</f>
        <v/>
      </c>
      <c r="F1166" s="17">
        <f>+VLOOKUP($A1166,MAGAZZINO!$B$2:$M$4838,6,FALSE)</f>
        <v/>
      </c>
      <c r="G1166" s="17">
        <f>+VLOOKUP($A1166,MAGAZZINO!$B$2:$M$4838,7,FALSE)</f>
        <v/>
      </c>
      <c r="H1166" s="17">
        <f>+VLOOKUP($A1166,MAGAZZINO!$B$2:$M$4838,8,FALSE)</f>
        <v/>
      </c>
      <c r="I1166" s="17">
        <f>+VLOOKUP($A1166,MAGAZZINO!$B$2:$M$4838,9,FALSE)</f>
        <v/>
      </c>
      <c r="J1166" s="17">
        <f>+VLOOKUP($A1166,MAGAZZINO!$B$2:$M$4838,10,FALSE)</f>
        <v/>
      </c>
      <c r="K1166" s="17">
        <f>+VLOOKUP($A1166,MAGAZZINO!$B$2:$M$4838,11,FALSE)</f>
        <v/>
      </c>
      <c r="L1166" s="44">
        <f>+VLOOKUP($A1166,MAGAZZINO!$B$2:$M$4838,12,FALSE)</f>
        <v/>
      </c>
    </row>
    <row r="1167" ht="36" customHeight="1">
      <c r="A1167" s="30">
        <f>+REGISTRO!A1150</f>
        <v/>
      </c>
      <c r="B1167" s="31">
        <f>+VLOOKUP($A1167,MAGAZZINO!$B$2:$M$4838,2,FALSE)</f>
        <v/>
      </c>
      <c r="C1167" s="32">
        <f>+VLOOKUP($A1167,MAGAZZINO!$B$2:$M$4838,3,FALSE)</f>
        <v/>
      </c>
      <c r="D1167" s="17">
        <f>+VLOOKUP($A1167,MAGAZZINO!$B$2:$M$4838,4,FALSE)</f>
        <v/>
      </c>
      <c r="E1167" s="17">
        <f>+VLOOKUP($A1167,MAGAZZINO!$B$2:$M$4838,5,FALSE)</f>
        <v/>
      </c>
      <c r="F1167" s="17">
        <f>+VLOOKUP($A1167,MAGAZZINO!$B$2:$M$4838,6,FALSE)</f>
        <v/>
      </c>
      <c r="G1167" s="17">
        <f>+VLOOKUP($A1167,MAGAZZINO!$B$2:$M$4838,7,FALSE)</f>
        <v/>
      </c>
      <c r="H1167" s="17">
        <f>+VLOOKUP($A1167,MAGAZZINO!$B$2:$M$4838,8,FALSE)</f>
        <v/>
      </c>
      <c r="I1167" s="17">
        <f>+VLOOKUP($A1167,MAGAZZINO!$B$2:$M$4838,9,FALSE)</f>
        <v/>
      </c>
      <c r="J1167" s="17">
        <f>+VLOOKUP($A1167,MAGAZZINO!$B$2:$M$4838,10,FALSE)</f>
        <v/>
      </c>
      <c r="K1167" s="17">
        <f>+VLOOKUP($A1167,MAGAZZINO!$B$2:$M$4838,11,FALSE)</f>
        <v/>
      </c>
      <c r="L1167" s="44">
        <f>+VLOOKUP($A1167,MAGAZZINO!$B$2:$M$4838,12,FALSE)</f>
        <v/>
      </c>
    </row>
    <row r="1168" ht="36" customHeight="1">
      <c r="A1168" s="30">
        <f>+REGISTRO!A1151</f>
        <v/>
      </c>
      <c r="B1168" s="31">
        <f>+VLOOKUP($A1168,MAGAZZINO!$B$2:$M$4838,2,FALSE)</f>
        <v/>
      </c>
      <c r="C1168" s="32">
        <f>+VLOOKUP($A1168,MAGAZZINO!$B$2:$M$4838,3,FALSE)</f>
        <v/>
      </c>
      <c r="D1168" s="17">
        <f>+VLOOKUP($A1168,MAGAZZINO!$B$2:$M$4838,4,FALSE)</f>
        <v/>
      </c>
      <c r="E1168" s="17">
        <f>+VLOOKUP($A1168,MAGAZZINO!$B$2:$M$4838,5,FALSE)</f>
        <v/>
      </c>
      <c r="F1168" s="17">
        <f>+VLOOKUP($A1168,MAGAZZINO!$B$2:$M$4838,6,FALSE)</f>
        <v/>
      </c>
      <c r="G1168" s="17">
        <f>+VLOOKUP($A1168,MAGAZZINO!$B$2:$M$4838,7,FALSE)</f>
        <v/>
      </c>
      <c r="H1168" s="17">
        <f>+VLOOKUP($A1168,MAGAZZINO!$B$2:$M$4838,8,FALSE)</f>
        <v/>
      </c>
      <c r="I1168" s="17">
        <f>+VLOOKUP($A1168,MAGAZZINO!$B$2:$M$4838,9,FALSE)</f>
        <v/>
      </c>
      <c r="J1168" s="17">
        <f>+VLOOKUP($A1168,MAGAZZINO!$B$2:$M$4838,10,FALSE)</f>
        <v/>
      </c>
      <c r="K1168" s="17">
        <f>+VLOOKUP($A1168,MAGAZZINO!$B$2:$M$4838,11,FALSE)</f>
        <v/>
      </c>
      <c r="L1168" s="44">
        <f>+VLOOKUP($A1168,MAGAZZINO!$B$2:$M$4838,12,FALSE)</f>
        <v/>
      </c>
    </row>
    <row r="1169" ht="36" customHeight="1">
      <c r="A1169" s="30">
        <f>+REGISTRO!A1152</f>
        <v/>
      </c>
      <c r="B1169" s="31">
        <f>+VLOOKUP($A1169,MAGAZZINO!$B$2:$M$4838,2,FALSE)</f>
        <v/>
      </c>
      <c r="C1169" s="32">
        <f>+VLOOKUP($A1169,MAGAZZINO!$B$2:$M$4838,3,FALSE)</f>
        <v/>
      </c>
      <c r="D1169" s="17">
        <f>+VLOOKUP($A1169,MAGAZZINO!$B$2:$M$4838,4,FALSE)</f>
        <v/>
      </c>
      <c r="E1169" s="17">
        <f>+VLOOKUP($A1169,MAGAZZINO!$B$2:$M$4838,5,FALSE)</f>
        <v/>
      </c>
      <c r="F1169" s="17">
        <f>+VLOOKUP($A1169,MAGAZZINO!$B$2:$M$4838,6,FALSE)</f>
        <v/>
      </c>
      <c r="G1169" s="17">
        <f>+VLOOKUP($A1169,MAGAZZINO!$B$2:$M$4838,7,FALSE)</f>
        <v/>
      </c>
      <c r="H1169" s="17">
        <f>+VLOOKUP($A1169,MAGAZZINO!$B$2:$M$4838,8,FALSE)</f>
        <v/>
      </c>
      <c r="I1169" s="17">
        <f>+VLOOKUP($A1169,MAGAZZINO!$B$2:$M$4838,9,FALSE)</f>
        <v/>
      </c>
      <c r="J1169" s="17">
        <f>+VLOOKUP($A1169,MAGAZZINO!$B$2:$M$4838,10,FALSE)</f>
        <v/>
      </c>
      <c r="K1169" s="17">
        <f>+VLOOKUP($A1169,MAGAZZINO!$B$2:$M$4838,11,FALSE)</f>
        <v/>
      </c>
      <c r="L1169" s="44">
        <f>+VLOOKUP($A1169,MAGAZZINO!$B$2:$M$4838,12,FALSE)</f>
        <v/>
      </c>
    </row>
    <row r="1170" ht="36" customHeight="1">
      <c r="A1170" s="30">
        <f>+REGISTRO!A1153</f>
        <v/>
      </c>
      <c r="B1170" s="31">
        <f>+VLOOKUP($A1170,MAGAZZINO!$B$2:$M$4838,2,FALSE)</f>
        <v/>
      </c>
      <c r="C1170" s="32">
        <f>+VLOOKUP($A1170,MAGAZZINO!$B$2:$M$4838,3,FALSE)</f>
        <v/>
      </c>
      <c r="D1170" s="17">
        <f>+VLOOKUP($A1170,MAGAZZINO!$B$2:$M$4838,4,FALSE)</f>
        <v/>
      </c>
      <c r="E1170" s="17">
        <f>+VLOOKUP($A1170,MAGAZZINO!$B$2:$M$4838,5,FALSE)</f>
        <v/>
      </c>
      <c r="F1170" s="17">
        <f>+VLOOKUP($A1170,MAGAZZINO!$B$2:$M$4838,6,FALSE)</f>
        <v/>
      </c>
      <c r="G1170" s="17">
        <f>+VLOOKUP($A1170,MAGAZZINO!$B$2:$M$4838,7,FALSE)</f>
        <v/>
      </c>
      <c r="H1170" s="17">
        <f>+VLOOKUP($A1170,MAGAZZINO!$B$2:$M$4838,8,FALSE)</f>
        <v/>
      </c>
      <c r="I1170" s="17">
        <f>+VLOOKUP($A1170,MAGAZZINO!$B$2:$M$4838,9,FALSE)</f>
        <v/>
      </c>
      <c r="J1170" s="17">
        <f>+VLOOKUP($A1170,MAGAZZINO!$B$2:$M$4838,10,FALSE)</f>
        <v/>
      </c>
      <c r="K1170" s="17">
        <f>+VLOOKUP($A1170,MAGAZZINO!$B$2:$M$4838,11,FALSE)</f>
        <v/>
      </c>
      <c r="L1170" s="44">
        <f>+VLOOKUP($A1170,MAGAZZINO!$B$2:$M$4838,12,FALSE)</f>
        <v/>
      </c>
    </row>
    <row r="1171" ht="36" customHeight="1">
      <c r="A1171" s="30">
        <f>+REGISTRO!A1154</f>
        <v/>
      </c>
      <c r="B1171" s="31">
        <f>+VLOOKUP($A1171,MAGAZZINO!$B$2:$M$4838,2,FALSE)</f>
        <v/>
      </c>
      <c r="C1171" s="32">
        <f>+VLOOKUP($A1171,MAGAZZINO!$B$2:$M$4838,3,FALSE)</f>
        <v/>
      </c>
      <c r="D1171" s="17">
        <f>+VLOOKUP($A1171,MAGAZZINO!$B$2:$M$4838,4,FALSE)</f>
        <v/>
      </c>
      <c r="E1171" s="17">
        <f>+VLOOKUP($A1171,MAGAZZINO!$B$2:$M$4838,5,FALSE)</f>
        <v/>
      </c>
      <c r="F1171" s="17">
        <f>+VLOOKUP($A1171,MAGAZZINO!$B$2:$M$4838,6,FALSE)</f>
        <v/>
      </c>
      <c r="G1171" s="17">
        <f>+VLOOKUP($A1171,MAGAZZINO!$B$2:$M$4838,7,FALSE)</f>
        <v/>
      </c>
      <c r="H1171" s="17">
        <f>+VLOOKUP($A1171,MAGAZZINO!$B$2:$M$4838,8,FALSE)</f>
        <v/>
      </c>
      <c r="I1171" s="17">
        <f>+VLOOKUP($A1171,MAGAZZINO!$B$2:$M$4838,9,FALSE)</f>
        <v/>
      </c>
      <c r="J1171" s="17">
        <f>+VLOOKUP($A1171,MAGAZZINO!$B$2:$M$4838,10,FALSE)</f>
        <v/>
      </c>
      <c r="K1171" s="17">
        <f>+VLOOKUP($A1171,MAGAZZINO!$B$2:$M$4838,11,FALSE)</f>
        <v/>
      </c>
      <c r="L1171" s="44">
        <f>+VLOOKUP($A1171,MAGAZZINO!$B$2:$M$4838,12,FALSE)</f>
        <v/>
      </c>
    </row>
    <row r="1172" ht="36" customHeight="1">
      <c r="A1172" s="30">
        <f>+REGISTRO!A1155</f>
        <v/>
      </c>
      <c r="B1172" s="31">
        <f>+VLOOKUP($A1172,MAGAZZINO!$B$2:$M$4838,2,FALSE)</f>
        <v/>
      </c>
      <c r="C1172" s="32">
        <f>+VLOOKUP($A1172,MAGAZZINO!$B$2:$M$4838,3,FALSE)</f>
        <v/>
      </c>
      <c r="D1172" s="17">
        <f>+VLOOKUP($A1172,MAGAZZINO!$B$2:$M$4838,4,FALSE)</f>
        <v/>
      </c>
      <c r="E1172" s="17">
        <f>+VLOOKUP($A1172,MAGAZZINO!$B$2:$M$4838,5,FALSE)</f>
        <v/>
      </c>
      <c r="F1172" s="17">
        <f>+VLOOKUP($A1172,MAGAZZINO!$B$2:$M$4838,6,FALSE)</f>
        <v/>
      </c>
      <c r="G1172" s="17">
        <f>+VLOOKUP($A1172,MAGAZZINO!$B$2:$M$4838,7,FALSE)</f>
        <v/>
      </c>
      <c r="H1172" s="17">
        <f>+VLOOKUP($A1172,MAGAZZINO!$B$2:$M$4838,8,FALSE)</f>
        <v/>
      </c>
      <c r="I1172" s="17">
        <f>+VLOOKUP($A1172,MAGAZZINO!$B$2:$M$4838,9,FALSE)</f>
        <v/>
      </c>
      <c r="J1172" s="17">
        <f>+VLOOKUP($A1172,MAGAZZINO!$B$2:$M$4838,10,FALSE)</f>
        <v/>
      </c>
      <c r="K1172" s="17">
        <f>+VLOOKUP($A1172,MAGAZZINO!$B$2:$M$4838,11,FALSE)</f>
        <v/>
      </c>
      <c r="L1172" s="44">
        <f>+VLOOKUP($A1172,MAGAZZINO!$B$2:$M$4838,12,FALSE)</f>
        <v/>
      </c>
    </row>
    <row r="1173" ht="36" customHeight="1">
      <c r="A1173" s="30">
        <f>+REGISTRO!A1156</f>
        <v/>
      </c>
      <c r="B1173" s="31">
        <f>+VLOOKUP($A1173,MAGAZZINO!$B$2:$M$4838,2,FALSE)</f>
        <v/>
      </c>
      <c r="C1173" s="32">
        <f>+VLOOKUP($A1173,MAGAZZINO!$B$2:$M$4838,3,FALSE)</f>
        <v/>
      </c>
      <c r="D1173" s="17">
        <f>+VLOOKUP($A1173,MAGAZZINO!$B$2:$M$4838,4,FALSE)</f>
        <v/>
      </c>
      <c r="E1173" s="17">
        <f>+VLOOKUP($A1173,MAGAZZINO!$B$2:$M$4838,5,FALSE)</f>
        <v/>
      </c>
      <c r="F1173" s="17">
        <f>+VLOOKUP($A1173,MAGAZZINO!$B$2:$M$4838,6,FALSE)</f>
        <v/>
      </c>
      <c r="G1173" s="17">
        <f>+VLOOKUP($A1173,MAGAZZINO!$B$2:$M$4838,7,FALSE)</f>
        <v/>
      </c>
      <c r="H1173" s="17">
        <f>+VLOOKUP($A1173,MAGAZZINO!$B$2:$M$4838,8,FALSE)</f>
        <v/>
      </c>
      <c r="I1173" s="17">
        <f>+VLOOKUP($A1173,MAGAZZINO!$B$2:$M$4838,9,FALSE)</f>
        <v/>
      </c>
      <c r="J1173" s="17">
        <f>+VLOOKUP($A1173,MAGAZZINO!$B$2:$M$4838,10,FALSE)</f>
        <v/>
      </c>
      <c r="K1173" s="17">
        <f>+VLOOKUP($A1173,MAGAZZINO!$B$2:$M$4838,11,FALSE)</f>
        <v/>
      </c>
      <c r="L1173" s="44">
        <f>+VLOOKUP($A1173,MAGAZZINO!$B$2:$M$4838,12,FALSE)</f>
        <v/>
      </c>
    </row>
    <row r="1174" ht="36" customHeight="1">
      <c r="A1174" s="30">
        <f>+REGISTRO!A1157</f>
        <v/>
      </c>
      <c r="B1174" s="31">
        <f>+VLOOKUP($A1174,MAGAZZINO!$B$2:$M$4838,2,FALSE)</f>
        <v/>
      </c>
      <c r="C1174" s="32">
        <f>+VLOOKUP($A1174,MAGAZZINO!$B$2:$M$4838,3,FALSE)</f>
        <v/>
      </c>
      <c r="D1174" s="17">
        <f>+VLOOKUP($A1174,MAGAZZINO!$B$2:$M$4838,4,FALSE)</f>
        <v/>
      </c>
      <c r="E1174" s="17">
        <f>+VLOOKUP($A1174,MAGAZZINO!$B$2:$M$4838,5,FALSE)</f>
        <v/>
      </c>
      <c r="F1174" s="17">
        <f>+VLOOKUP($A1174,MAGAZZINO!$B$2:$M$4838,6,FALSE)</f>
        <v/>
      </c>
      <c r="G1174" s="17">
        <f>+VLOOKUP($A1174,MAGAZZINO!$B$2:$M$4838,7,FALSE)</f>
        <v/>
      </c>
      <c r="H1174" s="17">
        <f>+VLOOKUP($A1174,MAGAZZINO!$B$2:$M$4838,8,FALSE)</f>
        <v/>
      </c>
      <c r="I1174" s="17">
        <f>+VLOOKUP($A1174,MAGAZZINO!$B$2:$M$4838,9,FALSE)</f>
        <v/>
      </c>
      <c r="J1174" s="17">
        <f>+VLOOKUP($A1174,MAGAZZINO!$B$2:$M$4838,10,FALSE)</f>
        <v/>
      </c>
      <c r="K1174" s="17">
        <f>+VLOOKUP($A1174,MAGAZZINO!$B$2:$M$4838,11,FALSE)</f>
        <v/>
      </c>
      <c r="L1174" s="44">
        <f>+VLOOKUP($A1174,MAGAZZINO!$B$2:$M$4838,12,FALSE)</f>
        <v/>
      </c>
    </row>
    <row r="1175" ht="36" customHeight="1">
      <c r="A1175" s="30">
        <f>+REGISTRO!A1158</f>
        <v/>
      </c>
      <c r="B1175" s="31">
        <f>+VLOOKUP($A1175,MAGAZZINO!$B$2:$M$4838,2,FALSE)</f>
        <v/>
      </c>
      <c r="C1175" s="32">
        <f>+VLOOKUP($A1175,MAGAZZINO!$B$2:$M$4838,3,FALSE)</f>
        <v/>
      </c>
      <c r="D1175" s="17">
        <f>+VLOOKUP($A1175,MAGAZZINO!$B$2:$M$4838,4,FALSE)</f>
        <v/>
      </c>
      <c r="E1175" s="17">
        <f>+VLOOKUP($A1175,MAGAZZINO!$B$2:$M$4838,5,FALSE)</f>
        <v/>
      </c>
      <c r="F1175" s="17">
        <f>+VLOOKUP($A1175,MAGAZZINO!$B$2:$M$4838,6,FALSE)</f>
        <v/>
      </c>
      <c r="G1175" s="17">
        <f>+VLOOKUP($A1175,MAGAZZINO!$B$2:$M$4838,7,FALSE)</f>
        <v/>
      </c>
      <c r="H1175" s="17">
        <f>+VLOOKUP($A1175,MAGAZZINO!$B$2:$M$4838,8,FALSE)</f>
        <v/>
      </c>
      <c r="I1175" s="17">
        <f>+VLOOKUP($A1175,MAGAZZINO!$B$2:$M$4838,9,FALSE)</f>
        <v/>
      </c>
      <c r="J1175" s="17">
        <f>+VLOOKUP($A1175,MAGAZZINO!$B$2:$M$4838,10,FALSE)</f>
        <v/>
      </c>
      <c r="K1175" s="17">
        <f>+VLOOKUP($A1175,MAGAZZINO!$B$2:$M$4838,11,FALSE)</f>
        <v/>
      </c>
      <c r="L1175" s="44">
        <f>+VLOOKUP($A1175,MAGAZZINO!$B$2:$M$4838,12,FALSE)</f>
        <v/>
      </c>
    </row>
    <row r="1176" ht="36" customHeight="1">
      <c r="A1176" s="30">
        <f>+REGISTRO!A1159</f>
        <v/>
      </c>
      <c r="B1176" s="31">
        <f>+VLOOKUP($A1176,MAGAZZINO!$B$2:$M$4838,2,FALSE)</f>
        <v/>
      </c>
      <c r="C1176" s="32">
        <f>+VLOOKUP($A1176,MAGAZZINO!$B$2:$M$4838,3,FALSE)</f>
        <v/>
      </c>
      <c r="D1176" s="17">
        <f>+VLOOKUP($A1176,MAGAZZINO!$B$2:$M$4838,4,FALSE)</f>
        <v/>
      </c>
      <c r="E1176" s="17">
        <f>+VLOOKUP($A1176,MAGAZZINO!$B$2:$M$4838,5,FALSE)</f>
        <v/>
      </c>
      <c r="F1176" s="17">
        <f>+VLOOKUP($A1176,MAGAZZINO!$B$2:$M$4838,6,FALSE)</f>
        <v/>
      </c>
      <c r="G1176" s="17">
        <f>+VLOOKUP($A1176,MAGAZZINO!$B$2:$M$4838,7,FALSE)</f>
        <v/>
      </c>
      <c r="H1176" s="17">
        <f>+VLOOKUP($A1176,MAGAZZINO!$B$2:$M$4838,8,FALSE)</f>
        <v/>
      </c>
      <c r="I1176" s="17">
        <f>+VLOOKUP($A1176,MAGAZZINO!$B$2:$M$4838,9,FALSE)</f>
        <v/>
      </c>
      <c r="J1176" s="17">
        <f>+VLOOKUP($A1176,MAGAZZINO!$B$2:$M$4838,10,FALSE)</f>
        <v/>
      </c>
      <c r="K1176" s="17">
        <f>+VLOOKUP($A1176,MAGAZZINO!$B$2:$M$4838,11,FALSE)</f>
        <v/>
      </c>
      <c r="L1176" s="44">
        <f>+VLOOKUP($A1176,MAGAZZINO!$B$2:$M$4838,12,FALSE)</f>
        <v/>
      </c>
    </row>
    <row r="1177" ht="36" customHeight="1">
      <c r="A1177" s="30">
        <f>+REGISTRO!A1160</f>
        <v/>
      </c>
      <c r="B1177" s="31">
        <f>+VLOOKUP($A1177,MAGAZZINO!$B$2:$M$4838,2,FALSE)</f>
        <v/>
      </c>
      <c r="C1177" s="32">
        <f>+VLOOKUP($A1177,MAGAZZINO!$B$2:$M$4838,3,FALSE)</f>
        <v/>
      </c>
      <c r="D1177" s="17">
        <f>+VLOOKUP($A1177,MAGAZZINO!$B$2:$M$4838,4,FALSE)</f>
        <v/>
      </c>
      <c r="E1177" s="17">
        <f>+VLOOKUP($A1177,MAGAZZINO!$B$2:$M$4838,5,FALSE)</f>
        <v/>
      </c>
      <c r="F1177" s="17">
        <f>+VLOOKUP($A1177,MAGAZZINO!$B$2:$M$4838,6,FALSE)</f>
        <v/>
      </c>
      <c r="G1177" s="17">
        <f>+VLOOKUP($A1177,MAGAZZINO!$B$2:$M$4838,7,FALSE)</f>
        <v/>
      </c>
      <c r="H1177" s="17">
        <f>+VLOOKUP($A1177,MAGAZZINO!$B$2:$M$4838,8,FALSE)</f>
        <v/>
      </c>
      <c r="I1177" s="17">
        <f>+VLOOKUP($A1177,MAGAZZINO!$B$2:$M$4838,9,FALSE)</f>
        <v/>
      </c>
      <c r="J1177" s="17">
        <f>+VLOOKUP($A1177,MAGAZZINO!$B$2:$M$4838,10,FALSE)</f>
        <v/>
      </c>
      <c r="K1177" s="17">
        <f>+VLOOKUP($A1177,MAGAZZINO!$B$2:$M$4838,11,FALSE)</f>
        <v/>
      </c>
      <c r="L1177" s="44">
        <f>+VLOOKUP($A1177,MAGAZZINO!$B$2:$M$4838,12,FALSE)</f>
        <v/>
      </c>
    </row>
    <row r="1178" ht="36" customHeight="1">
      <c r="A1178" s="30">
        <f>+REGISTRO!A1161</f>
        <v/>
      </c>
      <c r="B1178" s="31">
        <f>+VLOOKUP($A1178,MAGAZZINO!$B$2:$M$4838,2,FALSE)</f>
        <v/>
      </c>
      <c r="C1178" s="32">
        <f>+VLOOKUP($A1178,MAGAZZINO!$B$2:$M$4838,3,FALSE)</f>
        <v/>
      </c>
      <c r="D1178" s="17">
        <f>+VLOOKUP($A1178,MAGAZZINO!$B$2:$M$4838,4,FALSE)</f>
        <v/>
      </c>
      <c r="E1178" s="17">
        <f>+VLOOKUP($A1178,MAGAZZINO!$B$2:$M$4838,5,FALSE)</f>
        <v/>
      </c>
      <c r="F1178" s="17">
        <f>+VLOOKUP($A1178,MAGAZZINO!$B$2:$M$4838,6,FALSE)</f>
        <v/>
      </c>
      <c r="G1178" s="17">
        <f>+VLOOKUP($A1178,MAGAZZINO!$B$2:$M$4838,7,FALSE)</f>
        <v/>
      </c>
      <c r="H1178" s="17">
        <f>+VLOOKUP($A1178,MAGAZZINO!$B$2:$M$4838,8,FALSE)</f>
        <v/>
      </c>
      <c r="I1178" s="17">
        <f>+VLOOKUP($A1178,MAGAZZINO!$B$2:$M$4838,9,FALSE)</f>
        <v/>
      </c>
      <c r="J1178" s="17">
        <f>+VLOOKUP($A1178,MAGAZZINO!$B$2:$M$4838,10,FALSE)</f>
        <v/>
      </c>
      <c r="K1178" s="17">
        <f>+VLOOKUP($A1178,MAGAZZINO!$B$2:$M$4838,11,FALSE)</f>
        <v/>
      </c>
      <c r="L1178" s="44">
        <f>+VLOOKUP($A1178,MAGAZZINO!$B$2:$M$4838,12,FALSE)</f>
        <v/>
      </c>
    </row>
    <row r="1179" ht="36" customHeight="1">
      <c r="A1179" s="30">
        <f>+REGISTRO!A1162</f>
        <v/>
      </c>
      <c r="B1179" s="31">
        <f>+VLOOKUP($A1179,MAGAZZINO!$B$2:$M$4838,2,FALSE)</f>
        <v/>
      </c>
      <c r="C1179" s="32">
        <f>+VLOOKUP($A1179,MAGAZZINO!$B$2:$M$4838,3,FALSE)</f>
        <v/>
      </c>
      <c r="D1179" s="17">
        <f>+VLOOKUP($A1179,MAGAZZINO!$B$2:$M$4838,4,FALSE)</f>
        <v/>
      </c>
      <c r="E1179" s="17">
        <f>+VLOOKUP($A1179,MAGAZZINO!$B$2:$M$4838,5,FALSE)</f>
        <v/>
      </c>
      <c r="F1179" s="17">
        <f>+VLOOKUP($A1179,MAGAZZINO!$B$2:$M$4838,6,FALSE)</f>
        <v/>
      </c>
      <c r="G1179" s="17">
        <f>+VLOOKUP($A1179,MAGAZZINO!$B$2:$M$4838,7,FALSE)</f>
        <v/>
      </c>
      <c r="H1179" s="17">
        <f>+VLOOKUP($A1179,MAGAZZINO!$B$2:$M$4838,8,FALSE)</f>
        <v/>
      </c>
      <c r="I1179" s="17">
        <f>+VLOOKUP($A1179,MAGAZZINO!$B$2:$M$4838,9,FALSE)</f>
        <v/>
      </c>
      <c r="J1179" s="17">
        <f>+VLOOKUP($A1179,MAGAZZINO!$B$2:$M$4838,10,FALSE)</f>
        <v/>
      </c>
      <c r="K1179" s="17">
        <f>+VLOOKUP($A1179,MAGAZZINO!$B$2:$M$4838,11,FALSE)</f>
        <v/>
      </c>
      <c r="L1179" s="44">
        <f>+VLOOKUP($A1179,MAGAZZINO!$B$2:$M$4838,12,FALSE)</f>
        <v/>
      </c>
    </row>
    <row r="1180" ht="36" customHeight="1">
      <c r="A1180" s="30">
        <f>+REGISTRO!A1163</f>
        <v/>
      </c>
      <c r="B1180" s="31">
        <f>+VLOOKUP($A1180,MAGAZZINO!$B$2:$M$4838,2,FALSE)</f>
        <v/>
      </c>
      <c r="C1180" s="32">
        <f>+VLOOKUP($A1180,MAGAZZINO!$B$2:$M$4838,3,FALSE)</f>
        <v/>
      </c>
      <c r="D1180" s="17">
        <f>+VLOOKUP($A1180,MAGAZZINO!$B$2:$M$4838,4,FALSE)</f>
        <v/>
      </c>
      <c r="E1180" s="17">
        <f>+VLOOKUP($A1180,MAGAZZINO!$B$2:$M$4838,5,FALSE)</f>
        <v/>
      </c>
      <c r="F1180" s="17">
        <f>+VLOOKUP($A1180,MAGAZZINO!$B$2:$M$4838,6,FALSE)</f>
        <v/>
      </c>
      <c r="G1180" s="17">
        <f>+VLOOKUP($A1180,MAGAZZINO!$B$2:$M$4838,7,FALSE)</f>
        <v/>
      </c>
      <c r="H1180" s="17">
        <f>+VLOOKUP($A1180,MAGAZZINO!$B$2:$M$4838,8,FALSE)</f>
        <v/>
      </c>
      <c r="I1180" s="17">
        <f>+VLOOKUP($A1180,MAGAZZINO!$B$2:$M$4838,9,FALSE)</f>
        <v/>
      </c>
      <c r="J1180" s="17">
        <f>+VLOOKUP($A1180,MAGAZZINO!$B$2:$M$4838,10,FALSE)</f>
        <v/>
      </c>
      <c r="K1180" s="17">
        <f>+VLOOKUP($A1180,MAGAZZINO!$B$2:$M$4838,11,FALSE)</f>
        <v/>
      </c>
      <c r="L1180" s="44">
        <f>+VLOOKUP($A1180,MAGAZZINO!$B$2:$M$4838,12,FALSE)</f>
        <v/>
      </c>
    </row>
    <row r="1181" ht="36" customHeight="1">
      <c r="A1181" s="30">
        <f>+REGISTRO!A1164</f>
        <v/>
      </c>
      <c r="B1181" s="31">
        <f>+VLOOKUP($A1181,MAGAZZINO!$B$2:$M$4838,2,FALSE)</f>
        <v/>
      </c>
      <c r="C1181" s="32">
        <f>+VLOOKUP($A1181,MAGAZZINO!$B$2:$M$4838,3,FALSE)</f>
        <v/>
      </c>
      <c r="D1181" s="17">
        <f>+VLOOKUP($A1181,MAGAZZINO!$B$2:$M$4838,4,FALSE)</f>
        <v/>
      </c>
      <c r="E1181" s="17">
        <f>+VLOOKUP($A1181,MAGAZZINO!$B$2:$M$4838,5,FALSE)</f>
        <v/>
      </c>
      <c r="F1181" s="17">
        <f>+VLOOKUP($A1181,MAGAZZINO!$B$2:$M$4838,6,FALSE)</f>
        <v/>
      </c>
      <c r="G1181" s="17">
        <f>+VLOOKUP($A1181,MAGAZZINO!$B$2:$M$4838,7,FALSE)</f>
        <v/>
      </c>
      <c r="H1181" s="17">
        <f>+VLOOKUP($A1181,MAGAZZINO!$B$2:$M$4838,8,FALSE)</f>
        <v/>
      </c>
      <c r="I1181" s="17">
        <f>+VLOOKUP($A1181,MAGAZZINO!$B$2:$M$4838,9,FALSE)</f>
        <v/>
      </c>
      <c r="J1181" s="17">
        <f>+VLOOKUP($A1181,MAGAZZINO!$B$2:$M$4838,10,FALSE)</f>
        <v/>
      </c>
      <c r="K1181" s="17">
        <f>+VLOOKUP($A1181,MAGAZZINO!$B$2:$M$4838,11,FALSE)</f>
        <v/>
      </c>
      <c r="L1181" s="44">
        <f>+VLOOKUP($A1181,MAGAZZINO!$B$2:$M$4838,12,FALSE)</f>
        <v/>
      </c>
    </row>
    <row r="1182" ht="36" customHeight="1">
      <c r="A1182" s="30">
        <f>+REGISTRO!A1165</f>
        <v/>
      </c>
      <c r="B1182" s="31">
        <f>+VLOOKUP($A1182,MAGAZZINO!$B$2:$M$4838,2,FALSE)</f>
        <v/>
      </c>
      <c r="C1182" s="32">
        <f>+VLOOKUP($A1182,MAGAZZINO!$B$2:$M$4838,3,FALSE)</f>
        <v/>
      </c>
      <c r="D1182" s="17">
        <f>+VLOOKUP($A1182,MAGAZZINO!$B$2:$M$4838,4,FALSE)</f>
        <v/>
      </c>
      <c r="E1182" s="17">
        <f>+VLOOKUP($A1182,MAGAZZINO!$B$2:$M$4838,5,FALSE)</f>
        <v/>
      </c>
      <c r="F1182" s="17">
        <f>+VLOOKUP($A1182,MAGAZZINO!$B$2:$M$4838,6,FALSE)</f>
        <v/>
      </c>
      <c r="G1182" s="17">
        <f>+VLOOKUP($A1182,MAGAZZINO!$B$2:$M$4838,7,FALSE)</f>
        <v/>
      </c>
      <c r="H1182" s="17">
        <f>+VLOOKUP($A1182,MAGAZZINO!$B$2:$M$4838,8,FALSE)</f>
        <v/>
      </c>
      <c r="I1182" s="17">
        <f>+VLOOKUP($A1182,MAGAZZINO!$B$2:$M$4838,9,FALSE)</f>
        <v/>
      </c>
      <c r="J1182" s="17">
        <f>+VLOOKUP($A1182,MAGAZZINO!$B$2:$M$4838,10,FALSE)</f>
        <v/>
      </c>
      <c r="K1182" s="17">
        <f>+VLOOKUP($A1182,MAGAZZINO!$B$2:$M$4838,11,FALSE)</f>
        <v/>
      </c>
      <c r="L1182" s="44">
        <f>+VLOOKUP($A1182,MAGAZZINO!$B$2:$M$4838,12,FALSE)</f>
        <v/>
      </c>
    </row>
    <row r="1183" ht="36" customHeight="1">
      <c r="A1183" s="30">
        <f>+REGISTRO!A1166</f>
        <v/>
      </c>
      <c r="B1183" s="31">
        <f>+VLOOKUP($A1183,MAGAZZINO!$B$2:$M$4838,2,FALSE)</f>
        <v/>
      </c>
      <c r="C1183" s="32">
        <f>+VLOOKUP($A1183,MAGAZZINO!$B$2:$M$4838,3,FALSE)</f>
        <v/>
      </c>
      <c r="D1183" s="17">
        <f>+VLOOKUP($A1183,MAGAZZINO!$B$2:$M$4838,4,FALSE)</f>
        <v/>
      </c>
      <c r="E1183" s="17">
        <f>+VLOOKUP($A1183,MAGAZZINO!$B$2:$M$4838,5,FALSE)</f>
        <v/>
      </c>
      <c r="F1183" s="17">
        <f>+VLOOKUP($A1183,MAGAZZINO!$B$2:$M$4838,6,FALSE)</f>
        <v/>
      </c>
      <c r="G1183" s="17">
        <f>+VLOOKUP($A1183,MAGAZZINO!$B$2:$M$4838,7,FALSE)</f>
        <v/>
      </c>
      <c r="H1183" s="17">
        <f>+VLOOKUP($A1183,MAGAZZINO!$B$2:$M$4838,8,FALSE)</f>
        <v/>
      </c>
      <c r="I1183" s="17">
        <f>+VLOOKUP($A1183,MAGAZZINO!$B$2:$M$4838,9,FALSE)</f>
        <v/>
      </c>
      <c r="J1183" s="17">
        <f>+VLOOKUP($A1183,MAGAZZINO!$B$2:$M$4838,10,FALSE)</f>
        <v/>
      </c>
      <c r="K1183" s="17">
        <f>+VLOOKUP($A1183,MAGAZZINO!$B$2:$M$4838,11,FALSE)</f>
        <v/>
      </c>
      <c r="L1183" s="44">
        <f>+VLOOKUP($A1183,MAGAZZINO!$B$2:$M$4838,12,FALSE)</f>
        <v/>
      </c>
    </row>
    <row r="1184" ht="36" customHeight="1">
      <c r="A1184" s="30">
        <f>+REGISTRO!A1167</f>
        <v/>
      </c>
      <c r="B1184" s="31">
        <f>+VLOOKUP($A1184,MAGAZZINO!$B$2:$M$4838,2,FALSE)</f>
        <v/>
      </c>
      <c r="C1184" s="32">
        <f>+VLOOKUP($A1184,MAGAZZINO!$B$2:$M$4838,3,FALSE)</f>
        <v/>
      </c>
      <c r="D1184" s="17">
        <f>+VLOOKUP($A1184,MAGAZZINO!$B$2:$M$4838,4,FALSE)</f>
        <v/>
      </c>
      <c r="E1184" s="17">
        <f>+VLOOKUP($A1184,MAGAZZINO!$B$2:$M$4838,5,FALSE)</f>
        <v/>
      </c>
      <c r="F1184" s="17">
        <f>+VLOOKUP($A1184,MAGAZZINO!$B$2:$M$4838,6,FALSE)</f>
        <v/>
      </c>
      <c r="G1184" s="17">
        <f>+VLOOKUP($A1184,MAGAZZINO!$B$2:$M$4838,7,FALSE)</f>
        <v/>
      </c>
      <c r="H1184" s="17">
        <f>+VLOOKUP($A1184,MAGAZZINO!$B$2:$M$4838,8,FALSE)</f>
        <v/>
      </c>
      <c r="I1184" s="17">
        <f>+VLOOKUP($A1184,MAGAZZINO!$B$2:$M$4838,9,FALSE)</f>
        <v/>
      </c>
      <c r="J1184" s="17">
        <f>+VLOOKUP($A1184,MAGAZZINO!$B$2:$M$4838,10,FALSE)</f>
        <v/>
      </c>
      <c r="K1184" s="17">
        <f>+VLOOKUP($A1184,MAGAZZINO!$B$2:$M$4838,11,FALSE)</f>
        <v/>
      </c>
      <c r="L1184" s="44">
        <f>+VLOOKUP($A1184,MAGAZZINO!$B$2:$M$4838,12,FALSE)</f>
        <v/>
      </c>
    </row>
    <row r="1185" ht="36" customHeight="1">
      <c r="A1185" s="30">
        <f>+REGISTRO!A1168</f>
        <v/>
      </c>
      <c r="B1185" s="31">
        <f>+VLOOKUP($A1185,MAGAZZINO!$B$2:$M$4838,2,FALSE)</f>
        <v/>
      </c>
      <c r="C1185" s="32">
        <f>+VLOOKUP($A1185,MAGAZZINO!$B$2:$M$4838,3,FALSE)</f>
        <v/>
      </c>
      <c r="D1185" s="17">
        <f>+VLOOKUP($A1185,MAGAZZINO!$B$2:$M$4838,4,FALSE)</f>
        <v/>
      </c>
      <c r="E1185" s="17">
        <f>+VLOOKUP($A1185,MAGAZZINO!$B$2:$M$4838,5,FALSE)</f>
        <v/>
      </c>
      <c r="F1185" s="17">
        <f>+VLOOKUP($A1185,MAGAZZINO!$B$2:$M$4838,6,FALSE)</f>
        <v/>
      </c>
      <c r="G1185" s="17">
        <f>+VLOOKUP($A1185,MAGAZZINO!$B$2:$M$4838,7,FALSE)</f>
        <v/>
      </c>
      <c r="H1185" s="17">
        <f>+VLOOKUP($A1185,MAGAZZINO!$B$2:$M$4838,8,FALSE)</f>
        <v/>
      </c>
      <c r="I1185" s="17">
        <f>+VLOOKUP($A1185,MAGAZZINO!$B$2:$M$4838,9,FALSE)</f>
        <v/>
      </c>
      <c r="J1185" s="17">
        <f>+VLOOKUP($A1185,MAGAZZINO!$B$2:$M$4838,10,FALSE)</f>
        <v/>
      </c>
      <c r="K1185" s="17">
        <f>+VLOOKUP($A1185,MAGAZZINO!$B$2:$M$4838,11,FALSE)</f>
        <v/>
      </c>
      <c r="L1185" s="44">
        <f>+VLOOKUP($A1185,MAGAZZINO!$B$2:$M$4838,12,FALSE)</f>
        <v/>
      </c>
    </row>
    <row r="1186" ht="36" customHeight="1">
      <c r="A1186" s="30">
        <f>+REGISTRO!A1169</f>
        <v/>
      </c>
      <c r="B1186" s="31">
        <f>+VLOOKUP($A1186,MAGAZZINO!$B$2:$M$4838,2,FALSE)</f>
        <v/>
      </c>
      <c r="C1186" s="32">
        <f>+VLOOKUP($A1186,MAGAZZINO!$B$2:$M$4838,3,FALSE)</f>
        <v/>
      </c>
      <c r="D1186" s="17">
        <f>+VLOOKUP($A1186,MAGAZZINO!$B$2:$M$4838,4,FALSE)</f>
        <v/>
      </c>
      <c r="E1186" s="17">
        <f>+VLOOKUP($A1186,MAGAZZINO!$B$2:$M$4838,5,FALSE)</f>
        <v/>
      </c>
      <c r="F1186" s="17">
        <f>+VLOOKUP($A1186,MAGAZZINO!$B$2:$M$4838,6,FALSE)</f>
        <v/>
      </c>
      <c r="G1186" s="17">
        <f>+VLOOKUP($A1186,MAGAZZINO!$B$2:$M$4838,7,FALSE)</f>
        <v/>
      </c>
      <c r="H1186" s="17">
        <f>+VLOOKUP($A1186,MAGAZZINO!$B$2:$M$4838,8,FALSE)</f>
        <v/>
      </c>
      <c r="I1186" s="17">
        <f>+VLOOKUP($A1186,MAGAZZINO!$B$2:$M$4838,9,FALSE)</f>
        <v/>
      </c>
      <c r="J1186" s="17">
        <f>+VLOOKUP($A1186,MAGAZZINO!$B$2:$M$4838,10,FALSE)</f>
        <v/>
      </c>
      <c r="K1186" s="17">
        <f>+VLOOKUP($A1186,MAGAZZINO!$B$2:$M$4838,11,FALSE)</f>
        <v/>
      </c>
      <c r="L1186" s="44">
        <f>+VLOOKUP($A1186,MAGAZZINO!$B$2:$M$4838,12,FALSE)</f>
        <v/>
      </c>
    </row>
    <row r="1187" ht="36" customHeight="1">
      <c r="A1187" s="30">
        <f>+REGISTRO!A1170</f>
        <v/>
      </c>
      <c r="B1187" s="31">
        <f>+VLOOKUP($A1187,MAGAZZINO!$B$2:$M$4838,2,FALSE)</f>
        <v/>
      </c>
      <c r="C1187" s="32">
        <f>+VLOOKUP($A1187,MAGAZZINO!$B$2:$M$4838,3,FALSE)</f>
        <v/>
      </c>
      <c r="D1187" s="17">
        <f>+VLOOKUP($A1187,MAGAZZINO!$B$2:$M$4838,4,FALSE)</f>
        <v/>
      </c>
      <c r="E1187" s="17">
        <f>+VLOOKUP($A1187,MAGAZZINO!$B$2:$M$4838,5,FALSE)</f>
        <v/>
      </c>
      <c r="F1187" s="17">
        <f>+VLOOKUP($A1187,MAGAZZINO!$B$2:$M$4838,6,FALSE)</f>
        <v/>
      </c>
      <c r="G1187" s="17">
        <f>+VLOOKUP($A1187,MAGAZZINO!$B$2:$M$4838,7,FALSE)</f>
        <v/>
      </c>
      <c r="H1187" s="17">
        <f>+VLOOKUP($A1187,MAGAZZINO!$B$2:$M$4838,8,FALSE)</f>
        <v/>
      </c>
      <c r="I1187" s="17">
        <f>+VLOOKUP($A1187,MAGAZZINO!$B$2:$M$4838,9,FALSE)</f>
        <v/>
      </c>
      <c r="J1187" s="17">
        <f>+VLOOKUP($A1187,MAGAZZINO!$B$2:$M$4838,10,FALSE)</f>
        <v/>
      </c>
      <c r="K1187" s="17">
        <f>+VLOOKUP($A1187,MAGAZZINO!$B$2:$M$4838,11,FALSE)</f>
        <v/>
      </c>
      <c r="L1187" s="44">
        <f>+VLOOKUP($A1187,MAGAZZINO!$B$2:$M$4838,12,FALSE)</f>
        <v/>
      </c>
    </row>
    <row r="1188" ht="36" customHeight="1">
      <c r="A1188" s="30">
        <f>+REGISTRO!A1171</f>
        <v/>
      </c>
      <c r="B1188" s="31">
        <f>+VLOOKUP($A1188,MAGAZZINO!$B$2:$M$4838,2,FALSE)</f>
        <v/>
      </c>
      <c r="C1188" s="32">
        <f>+VLOOKUP($A1188,MAGAZZINO!$B$2:$M$4838,3,FALSE)</f>
        <v/>
      </c>
      <c r="D1188" s="17">
        <f>+VLOOKUP($A1188,MAGAZZINO!$B$2:$M$4838,4,FALSE)</f>
        <v/>
      </c>
      <c r="E1188" s="17">
        <f>+VLOOKUP($A1188,MAGAZZINO!$B$2:$M$4838,5,FALSE)</f>
        <v/>
      </c>
      <c r="F1188" s="17">
        <f>+VLOOKUP($A1188,MAGAZZINO!$B$2:$M$4838,6,FALSE)</f>
        <v/>
      </c>
      <c r="G1188" s="17">
        <f>+VLOOKUP($A1188,MAGAZZINO!$B$2:$M$4838,7,FALSE)</f>
        <v/>
      </c>
      <c r="H1188" s="17">
        <f>+VLOOKUP($A1188,MAGAZZINO!$B$2:$M$4838,8,FALSE)</f>
        <v/>
      </c>
      <c r="I1188" s="17">
        <f>+VLOOKUP($A1188,MAGAZZINO!$B$2:$M$4838,9,FALSE)</f>
        <v/>
      </c>
      <c r="J1188" s="17">
        <f>+VLOOKUP($A1188,MAGAZZINO!$B$2:$M$4838,10,FALSE)</f>
        <v/>
      </c>
      <c r="K1188" s="17">
        <f>+VLOOKUP($A1188,MAGAZZINO!$B$2:$M$4838,11,FALSE)</f>
        <v/>
      </c>
      <c r="L1188" s="44">
        <f>+VLOOKUP($A1188,MAGAZZINO!$B$2:$M$4838,12,FALSE)</f>
        <v/>
      </c>
    </row>
    <row r="1189" ht="36" customHeight="1">
      <c r="A1189" s="30">
        <f>+REGISTRO!A1172</f>
        <v/>
      </c>
      <c r="B1189" s="31">
        <f>+VLOOKUP($A1189,MAGAZZINO!$B$2:$M$4838,2,FALSE)</f>
        <v/>
      </c>
      <c r="C1189" s="32">
        <f>+VLOOKUP($A1189,MAGAZZINO!$B$2:$M$4838,3,FALSE)</f>
        <v/>
      </c>
      <c r="D1189" s="17">
        <f>+VLOOKUP($A1189,MAGAZZINO!$B$2:$M$4838,4,FALSE)</f>
        <v/>
      </c>
      <c r="E1189" s="17">
        <f>+VLOOKUP($A1189,MAGAZZINO!$B$2:$M$4838,5,FALSE)</f>
        <v/>
      </c>
      <c r="F1189" s="17">
        <f>+VLOOKUP($A1189,MAGAZZINO!$B$2:$M$4838,6,FALSE)</f>
        <v/>
      </c>
      <c r="G1189" s="17">
        <f>+VLOOKUP($A1189,MAGAZZINO!$B$2:$M$4838,7,FALSE)</f>
        <v/>
      </c>
      <c r="H1189" s="17">
        <f>+VLOOKUP($A1189,MAGAZZINO!$B$2:$M$4838,8,FALSE)</f>
        <v/>
      </c>
      <c r="I1189" s="17">
        <f>+VLOOKUP($A1189,MAGAZZINO!$B$2:$M$4838,9,FALSE)</f>
        <v/>
      </c>
      <c r="J1189" s="17">
        <f>+VLOOKUP($A1189,MAGAZZINO!$B$2:$M$4838,10,FALSE)</f>
        <v/>
      </c>
      <c r="K1189" s="17">
        <f>+VLOOKUP($A1189,MAGAZZINO!$B$2:$M$4838,11,FALSE)</f>
        <v/>
      </c>
      <c r="L1189" s="44">
        <f>+VLOOKUP($A1189,MAGAZZINO!$B$2:$M$4838,12,FALSE)</f>
        <v/>
      </c>
    </row>
    <row r="1190" ht="36" customHeight="1">
      <c r="A1190" s="30">
        <f>+REGISTRO!A1173</f>
        <v/>
      </c>
      <c r="B1190" s="31">
        <f>+VLOOKUP($A1190,MAGAZZINO!$B$2:$M$4838,2,FALSE)</f>
        <v/>
      </c>
      <c r="C1190" s="32">
        <f>+VLOOKUP($A1190,MAGAZZINO!$B$2:$M$4838,3,FALSE)</f>
        <v/>
      </c>
      <c r="D1190" s="17">
        <f>+VLOOKUP($A1190,MAGAZZINO!$B$2:$M$4838,4,FALSE)</f>
        <v/>
      </c>
      <c r="E1190" s="17">
        <f>+VLOOKUP($A1190,MAGAZZINO!$B$2:$M$4838,5,FALSE)</f>
        <v/>
      </c>
      <c r="F1190" s="17">
        <f>+VLOOKUP($A1190,MAGAZZINO!$B$2:$M$4838,6,FALSE)</f>
        <v/>
      </c>
      <c r="G1190" s="17">
        <f>+VLOOKUP($A1190,MAGAZZINO!$B$2:$M$4838,7,FALSE)</f>
        <v/>
      </c>
      <c r="H1190" s="17">
        <f>+VLOOKUP($A1190,MAGAZZINO!$B$2:$M$4838,8,FALSE)</f>
        <v/>
      </c>
      <c r="I1190" s="17">
        <f>+VLOOKUP($A1190,MAGAZZINO!$B$2:$M$4838,9,FALSE)</f>
        <v/>
      </c>
      <c r="J1190" s="17">
        <f>+VLOOKUP($A1190,MAGAZZINO!$B$2:$M$4838,10,FALSE)</f>
        <v/>
      </c>
      <c r="K1190" s="17">
        <f>+VLOOKUP($A1190,MAGAZZINO!$B$2:$M$4838,11,FALSE)</f>
        <v/>
      </c>
      <c r="L1190" s="44">
        <f>+VLOOKUP($A1190,MAGAZZINO!$B$2:$M$4838,12,FALSE)</f>
        <v/>
      </c>
    </row>
    <row r="1191" ht="36" customHeight="1">
      <c r="A1191" s="30">
        <f>+REGISTRO!A1174</f>
        <v/>
      </c>
      <c r="B1191" s="31">
        <f>+VLOOKUP($A1191,MAGAZZINO!$B$2:$M$4838,2,FALSE)</f>
        <v/>
      </c>
      <c r="C1191" s="32">
        <f>+VLOOKUP($A1191,MAGAZZINO!$B$2:$M$4838,3,FALSE)</f>
        <v/>
      </c>
      <c r="D1191" s="17">
        <f>+VLOOKUP($A1191,MAGAZZINO!$B$2:$M$4838,4,FALSE)</f>
        <v/>
      </c>
      <c r="E1191" s="17">
        <f>+VLOOKUP($A1191,MAGAZZINO!$B$2:$M$4838,5,FALSE)</f>
        <v/>
      </c>
      <c r="F1191" s="17">
        <f>+VLOOKUP($A1191,MAGAZZINO!$B$2:$M$4838,6,FALSE)</f>
        <v/>
      </c>
      <c r="G1191" s="17">
        <f>+VLOOKUP($A1191,MAGAZZINO!$B$2:$M$4838,7,FALSE)</f>
        <v/>
      </c>
      <c r="H1191" s="17">
        <f>+VLOOKUP($A1191,MAGAZZINO!$B$2:$M$4838,8,FALSE)</f>
        <v/>
      </c>
      <c r="I1191" s="17">
        <f>+VLOOKUP($A1191,MAGAZZINO!$B$2:$M$4838,9,FALSE)</f>
        <v/>
      </c>
      <c r="J1191" s="17">
        <f>+VLOOKUP($A1191,MAGAZZINO!$B$2:$M$4838,10,FALSE)</f>
        <v/>
      </c>
      <c r="K1191" s="17">
        <f>+VLOOKUP($A1191,MAGAZZINO!$B$2:$M$4838,11,FALSE)</f>
        <v/>
      </c>
      <c r="L1191" s="44">
        <f>+VLOOKUP($A1191,MAGAZZINO!$B$2:$M$4838,12,FALSE)</f>
        <v/>
      </c>
    </row>
    <row r="1192" ht="36" customHeight="1">
      <c r="A1192" s="30">
        <f>+REGISTRO!A1175</f>
        <v/>
      </c>
      <c r="B1192" s="31">
        <f>+VLOOKUP($A1192,MAGAZZINO!$B$2:$M$4838,2,FALSE)</f>
        <v/>
      </c>
      <c r="C1192" s="32">
        <f>+VLOOKUP($A1192,MAGAZZINO!$B$2:$M$4838,3,FALSE)</f>
        <v/>
      </c>
      <c r="D1192" s="17">
        <f>+VLOOKUP($A1192,MAGAZZINO!$B$2:$M$4838,4,FALSE)</f>
        <v/>
      </c>
      <c r="E1192" s="17">
        <f>+VLOOKUP($A1192,MAGAZZINO!$B$2:$M$4838,5,FALSE)</f>
        <v/>
      </c>
      <c r="F1192" s="17">
        <f>+VLOOKUP($A1192,MAGAZZINO!$B$2:$M$4838,6,FALSE)</f>
        <v/>
      </c>
      <c r="G1192" s="17">
        <f>+VLOOKUP($A1192,MAGAZZINO!$B$2:$M$4838,7,FALSE)</f>
        <v/>
      </c>
      <c r="H1192" s="17">
        <f>+VLOOKUP($A1192,MAGAZZINO!$B$2:$M$4838,8,FALSE)</f>
        <v/>
      </c>
      <c r="I1192" s="17">
        <f>+VLOOKUP($A1192,MAGAZZINO!$B$2:$M$4838,9,FALSE)</f>
        <v/>
      </c>
      <c r="J1192" s="17">
        <f>+VLOOKUP($A1192,MAGAZZINO!$B$2:$M$4838,10,FALSE)</f>
        <v/>
      </c>
      <c r="K1192" s="17">
        <f>+VLOOKUP($A1192,MAGAZZINO!$B$2:$M$4838,11,FALSE)</f>
        <v/>
      </c>
      <c r="L1192" s="44">
        <f>+VLOOKUP($A1192,MAGAZZINO!$B$2:$M$4838,12,FALSE)</f>
        <v/>
      </c>
    </row>
    <row r="1193" ht="36" customHeight="1">
      <c r="A1193" s="30">
        <f>+REGISTRO!A1176</f>
        <v/>
      </c>
      <c r="B1193" s="31">
        <f>+VLOOKUP($A1193,MAGAZZINO!$B$2:$M$4838,2,FALSE)</f>
        <v/>
      </c>
      <c r="C1193" s="32">
        <f>+VLOOKUP($A1193,MAGAZZINO!$B$2:$M$4838,3,FALSE)</f>
        <v/>
      </c>
      <c r="D1193" s="17">
        <f>+VLOOKUP($A1193,MAGAZZINO!$B$2:$M$4838,4,FALSE)</f>
        <v/>
      </c>
      <c r="E1193" s="17">
        <f>+VLOOKUP($A1193,MAGAZZINO!$B$2:$M$4838,5,FALSE)</f>
        <v/>
      </c>
      <c r="F1193" s="17">
        <f>+VLOOKUP($A1193,MAGAZZINO!$B$2:$M$4838,6,FALSE)</f>
        <v/>
      </c>
      <c r="G1193" s="17">
        <f>+VLOOKUP($A1193,MAGAZZINO!$B$2:$M$4838,7,FALSE)</f>
        <v/>
      </c>
      <c r="H1193" s="17">
        <f>+VLOOKUP($A1193,MAGAZZINO!$B$2:$M$4838,8,FALSE)</f>
        <v/>
      </c>
      <c r="I1193" s="17">
        <f>+VLOOKUP($A1193,MAGAZZINO!$B$2:$M$4838,9,FALSE)</f>
        <v/>
      </c>
      <c r="J1193" s="17">
        <f>+VLOOKUP($A1193,MAGAZZINO!$B$2:$M$4838,10,FALSE)</f>
        <v/>
      </c>
      <c r="K1193" s="17">
        <f>+VLOOKUP($A1193,MAGAZZINO!$B$2:$M$4838,11,FALSE)</f>
        <v/>
      </c>
      <c r="L1193" s="44">
        <f>+VLOOKUP($A1193,MAGAZZINO!$B$2:$M$4838,12,FALSE)</f>
        <v/>
      </c>
    </row>
    <row r="1194" ht="36" customHeight="1">
      <c r="A1194" s="30">
        <f>+REGISTRO!A1177</f>
        <v/>
      </c>
      <c r="B1194" s="31">
        <f>+VLOOKUP($A1194,MAGAZZINO!$B$2:$M$4838,2,FALSE)</f>
        <v/>
      </c>
      <c r="C1194" s="32">
        <f>+VLOOKUP($A1194,MAGAZZINO!$B$2:$M$4838,3,FALSE)</f>
        <v/>
      </c>
      <c r="D1194" s="17">
        <f>+VLOOKUP($A1194,MAGAZZINO!$B$2:$M$4838,4,FALSE)</f>
        <v/>
      </c>
      <c r="E1194" s="17">
        <f>+VLOOKUP($A1194,MAGAZZINO!$B$2:$M$4838,5,FALSE)</f>
        <v/>
      </c>
      <c r="F1194" s="17">
        <f>+VLOOKUP($A1194,MAGAZZINO!$B$2:$M$4838,6,FALSE)</f>
        <v/>
      </c>
      <c r="G1194" s="17">
        <f>+VLOOKUP($A1194,MAGAZZINO!$B$2:$M$4838,7,FALSE)</f>
        <v/>
      </c>
      <c r="H1194" s="17">
        <f>+VLOOKUP($A1194,MAGAZZINO!$B$2:$M$4838,8,FALSE)</f>
        <v/>
      </c>
      <c r="I1194" s="17">
        <f>+VLOOKUP($A1194,MAGAZZINO!$B$2:$M$4838,9,FALSE)</f>
        <v/>
      </c>
      <c r="J1194" s="17">
        <f>+VLOOKUP($A1194,MAGAZZINO!$B$2:$M$4838,10,FALSE)</f>
        <v/>
      </c>
      <c r="K1194" s="17">
        <f>+VLOOKUP($A1194,MAGAZZINO!$B$2:$M$4838,11,FALSE)</f>
        <v/>
      </c>
      <c r="L1194" s="44">
        <f>+VLOOKUP($A1194,MAGAZZINO!$B$2:$M$4838,12,FALSE)</f>
        <v/>
      </c>
    </row>
    <row r="1195" ht="36" customHeight="1">
      <c r="A1195" s="30">
        <f>+REGISTRO!A1178</f>
        <v/>
      </c>
      <c r="B1195" s="31">
        <f>+VLOOKUP($A1195,MAGAZZINO!$B$2:$M$4838,2,FALSE)</f>
        <v/>
      </c>
      <c r="C1195" s="32">
        <f>+VLOOKUP($A1195,MAGAZZINO!$B$2:$M$4838,3,FALSE)</f>
        <v/>
      </c>
      <c r="D1195" s="17">
        <f>+VLOOKUP($A1195,MAGAZZINO!$B$2:$M$4838,4,FALSE)</f>
        <v/>
      </c>
      <c r="E1195" s="17">
        <f>+VLOOKUP($A1195,MAGAZZINO!$B$2:$M$4838,5,FALSE)</f>
        <v/>
      </c>
      <c r="F1195" s="17">
        <f>+VLOOKUP($A1195,MAGAZZINO!$B$2:$M$4838,6,FALSE)</f>
        <v/>
      </c>
      <c r="G1195" s="17">
        <f>+VLOOKUP($A1195,MAGAZZINO!$B$2:$M$4838,7,FALSE)</f>
        <v/>
      </c>
      <c r="H1195" s="17">
        <f>+VLOOKUP($A1195,MAGAZZINO!$B$2:$M$4838,8,FALSE)</f>
        <v/>
      </c>
      <c r="I1195" s="17">
        <f>+VLOOKUP($A1195,MAGAZZINO!$B$2:$M$4838,9,FALSE)</f>
        <v/>
      </c>
      <c r="J1195" s="17">
        <f>+VLOOKUP($A1195,MAGAZZINO!$B$2:$M$4838,10,FALSE)</f>
        <v/>
      </c>
      <c r="K1195" s="17">
        <f>+VLOOKUP($A1195,MAGAZZINO!$B$2:$M$4838,11,FALSE)</f>
        <v/>
      </c>
      <c r="L1195" s="44">
        <f>+VLOOKUP($A1195,MAGAZZINO!$B$2:$M$4838,12,FALSE)</f>
        <v/>
      </c>
    </row>
    <row r="1196" ht="36" customHeight="1">
      <c r="A1196" s="30">
        <f>+REGISTRO!A1179</f>
        <v/>
      </c>
      <c r="B1196" s="31">
        <f>+VLOOKUP($A1196,MAGAZZINO!$B$2:$M$4838,2,FALSE)</f>
        <v/>
      </c>
      <c r="C1196" s="32">
        <f>+VLOOKUP($A1196,MAGAZZINO!$B$2:$M$4838,3,FALSE)</f>
        <v/>
      </c>
      <c r="D1196" s="17">
        <f>+VLOOKUP($A1196,MAGAZZINO!$B$2:$M$4838,4,FALSE)</f>
        <v/>
      </c>
      <c r="E1196" s="17">
        <f>+VLOOKUP($A1196,MAGAZZINO!$B$2:$M$4838,5,FALSE)</f>
        <v/>
      </c>
      <c r="F1196" s="17">
        <f>+VLOOKUP($A1196,MAGAZZINO!$B$2:$M$4838,6,FALSE)</f>
        <v/>
      </c>
      <c r="G1196" s="17">
        <f>+VLOOKUP($A1196,MAGAZZINO!$B$2:$M$4838,7,FALSE)</f>
        <v/>
      </c>
      <c r="H1196" s="17">
        <f>+VLOOKUP($A1196,MAGAZZINO!$B$2:$M$4838,8,FALSE)</f>
        <v/>
      </c>
      <c r="I1196" s="17">
        <f>+VLOOKUP($A1196,MAGAZZINO!$B$2:$M$4838,9,FALSE)</f>
        <v/>
      </c>
      <c r="J1196" s="17">
        <f>+VLOOKUP($A1196,MAGAZZINO!$B$2:$M$4838,10,FALSE)</f>
        <v/>
      </c>
      <c r="K1196" s="17">
        <f>+VLOOKUP($A1196,MAGAZZINO!$B$2:$M$4838,11,FALSE)</f>
        <v/>
      </c>
      <c r="L1196" s="44">
        <f>+VLOOKUP($A1196,MAGAZZINO!$B$2:$M$4838,12,FALSE)</f>
        <v/>
      </c>
    </row>
    <row r="1197" ht="36" customHeight="1">
      <c r="A1197" s="30">
        <f>+REGISTRO!A1180</f>
        <v/>
      </c>
      <c r="B1197" s="31">
        <f>+VLOOKUP($A1197,MAGAZZINO!$B$2:$M$4838,2,FALSE)</f>
        <v/>
      </c>
      <c r="C1197" s="32">
        <f>+VLOOKUP($A1197,MAGAZZINO!$B$2:$M$4838,3,FALSE)</f>
        <v/>
      </c>
      <c r="D1197" s="17">
        <f>+VLOOKUP($A1197,MAGAZZINO!$B$2:$M$4838,4,FALSE)</f>
        <v/>
      </c>
      <c r="E1197" s="17">
        <f>+VLOOKUP($A1197,MAGAZZINO!$B$2:$M$4838,5,FALSE)</f>
        <v/>
      </c>
      <c r="F1197" s="17">
        <f>+VLOOKUP($A1197,MAGAZZINO!$B$2:$M$4838,6,FALSE)</f>
        <v/>
      </c>
      <c r="G1197" s="17">
        <f>+VLOOKUP($A1197,MAGAZZINO!$B$2:$M$4838,7,FALSE)</f>
        <v/>
      </c>
      <c r="H1197" s="17">
        <f>+VLOOKUP($A1197,MAGAZZINO!$B$2:$M$4838,8,FALSE)</f>
        <v/>
      </c>
      <c r="I1197" s="17">
        <f>+VLOOKUP($A1197,MAGAZZINO!$B$2:$M$4838,9,FALSE)</f>
        <v/>
      </c>
      <c r="J1197" s="17">
        <f>+VLOOKUP($A1197,MAGAZZINO!$B$2:$M$4838,10,FALSE)</f>
        <v/>
      </c>
      <c r="K1197" s="17">
        <f>+VLOOKUP($A1197,MAGAZZINO!$B$2:$M$4838,11,FALSE)</f>
        <v/>
      </c>
      <c r="L1197" s="44">
        <f>+VLOOKUP($A1197,MAGAZZINO!$B$2:$M$4838,12,FALSE)</f>
        <v/>
      </c>
    </row>
    <row r="1198" ht="36" customHeight="1">
      <c r="A1198" s="30">
        <f>+REGISTRO!A1181</f>
        <v/>
      </c>
      <c r="B1198" s="31">
        <f>+VLOOKUP($A1198,MAGAZZINO!$B$2:$M$4838,2,FALSE)</f>
        <v/>
      </c>
      <c r="C1198" s="32">
        <f>+VLOOKUP($A1198,MAGAZZINO!$B$2:$M$4838,3,FALSE)</f>
        <v/>
      </c>
      <c r="D1198" s="17">
        <f>+VLOOKUP($A1198,MAGAZZINO!$B$2:$M$4838,4,FALSE)</f>
        <v/>
      </c>
      <c r="E1198" s="17">
        <f>+VLOOKUP($A1198,MAGAZZINO!$B$2:$M$4838,5,FALSE)</f>
        <v/>
      </c>
      <c r="F1198" s="17">
        <f>+VLOOKUP($A1198,MAGAZZINO!$B$2:$M$4838,6,FALSE)</f>
        <v/>
      </c>
      <c r="G1198" s="17">
        <f>+VLOOKUP($A1198,MAGAZZINO!$B$2:$M$4838,7,FALSE)</f>
        <v/>
      </c>
      <c r="H1198" s="17">
        <f>+VLOOKUP($A1198,MAGAZZINO!$B$2:$M$4838,8,FALSE)</f>
        <v/>
      </c>
      <c r="I1198" s="17">
        <f>+VLOOKUP($A1198,MAGAZZINO!$B$2:$M$4838,9,FALSE)</f>
        <v/>
      </c>
      <c r="J1198" s="17">
        <f>+VLOOKUP($A1198,MAGAZZINO!$B$2:$M$4838,10,FALSE)</f>
        <v/>
      </c>
      <c r="K1198" s="17">
        <f>+VLOOKUP($A1198,MAGAZZINO!$B$2:$M$4838,11,FALSE)</f>
        <v/>
      </c>
      <c r="L1198" s="44">
        <f>+VLOOKUP($A1198,MAGAZZINO!$B$2:$M$4838,12,FALSE)</f>
        <v/>
      </c>
    </row>
    <row r="1199" ht="36" customHeight="1">
      <c r="A1199" s="30">
        <f>+REGISTRO!A1182</f>
        <v/>
      </c>
      <c r="B1199" s="31">
        <f>+VLOOKUP($A1199,MAGAZZINO!$B$2:$M$4838,2,FALSE)</f>
        <v/>
      </c>
      <c r="C1199" s="32">
        <f>+VLOOKUP($A1199,MAGAZZINO!$B$2:$M$4838,3,FALSE)</f>
        <v/>
      </c>
      <c r="D1199" s="17">
        <f>+VLOOKUP($A1199,MAGAZZINO!$B$2:$M$4838,4,FALSE)</f>
        <v/>
      </c>
      <c r="E1199" s="17">
        <f>+VLOOKUP($A1199,MAGAZZINO!$B$2:$M$4838,5,FALSE)</f>
        <v/>
      </c>
      <c r="F1199" s="17">
        <f>+VLOOKUP($A1199,MAGAZZINO!$B$2:$M$4838,6,FALSE)</f>
        <v/>
      </c>
      <c r="G1199" s="17">
        <f>+VLOOKUP($A1199,MAGAZZINO!$B$2:$M$4838,7,FALSE)</f>
        <v/>
      </c>
      <c r="H1199" s="17">
        <f>+VLOOKUP($A1199,MAGAZZINO!$B$2:$M$4838,8,FALSE)</f>
        <v/>
      </c>
      <c r="I1199" s="17">
        <f>+VLOOKUP($A1199,MAGAZZINO!$B$2:$M$4838,9,FALSE)</f>
        <v/>
      </c>
      <c r="J1199" s="17">
        <f>+VLOOKUP($A1199,MAGAZZINO!$B$2:$M$4838,10,FALSE)</f>
        <v/>
      </c>
      <c r="K1199" s="17">
        <f>+VLOOKUP($A1199,MAGAZZINO!$B$2:$M$4838,11,FALSE)</f>
        <v/>
      </c>
      <c r="L1199" s="44">
        <f>+VLOOKUP($A1199,MAGAZZINO!$B$2:$M$4838,12,FALSE)</f>
        <v/>
      </c>
    </row>
    <row r="1200" ht="36" customHeight="1">
      <c r="A1200" s="30">
        <f>+REGISTRO!A1183</f>
        <v/>
      </c>
      <c r="B1200" s="31">
        <f>+VLOOKUP($A1200,MAGAZZINO!$B$2:$M$4838,2,FALSE)</f>
        <v/>
      </c>
      <c r="C1200" s="32">
        <f>+VLOOKUP($A1200,MAGAZZINO!$B$2:$M$4838,3,FALSE)</f>
        <v/>
      </c>
      <c r="D1200" s="17">
        <f>+VLOOKUP($A1200,MAGAZZINO!$B$2:$M$4838,4,FALSE)</f>
        <v/>
      </c>
      <c r="E1200" s="17">
        <f>+VLOOKUP($A1200,MAGAZZINO!$B$2:$M$4838,5,FALSE)</f>
        <v/>
      </c>
      <c r="F1200" s="17">
        <f>+VLOOKUP($A1200,MAGAZZINO!$B$2:$M$4838,6,FALSE)</f>
        <v/>
      </c>
      <c r="G1200" s="17">
        <f>+VLOOKUP($A1200,MAGAZZINO!$B$2:$M$4838,7,FALSE)</f>
        <v/>
      </c>
      <c r="H1200" s="17">
        <f>+VLOOKUP($A1200,MAGAZZINO!$B$2:$M$4838,8,FALSE)</f>
        <v/>
      </c>
      <c r="I1200" s="17">
        <f>+VLOOKUP($A1200,MAGAZZINO!$B$2:$M$4838,9,FALSE)</f>
        <v/>
      </c>
      <c r="J1200" s="17">
        <f>+VLOOKUP($A1200,MAGAZZINO!$B$2:$M$4838,10,FALSE)</f>
        <v/>
      </c>
      <c r="K1200" s="17">
        <f>+VLOOKUP($A1200,MAGAZZINO!$B$2:$M$4838,11,FALSE)</f>
        <v/>
      </c>
      <c r="L1200" s="44">
        <f>+VLOOKUP($A1200,MAGAZZINO!$B$2:$M$4838,12,FALSE)</f>
        <v/>
      </c>
    </row>
    <row r="1201" ht="36" customHeight="1">
      <c r="A1201" s="30">
        <f>+REGISTRO!A1184</f>
        <v/>
      </c>
      <c r="B1201" s="31">
        <f>+VLOOKUP($A1201,MAGAZZINO!$B$2:$M$4838,2,FALSE)</f>
        <v/>
      </c>
      <c r="C1201" s="32">
        <f>+VLOOKUP($A1201,MAGAZZINO!$B$2:$M$4838,3,FALSE)</f>
        <v/>
      </c>
      <c r="D1201" s="17">
        <f>+VLOOKUP($A1201,MAGAZZINO!$B$2:$M$4838,4,FALSE)</f>
        <v/>
      </c>
      <c r="E1201" s="17">
        <f>+VLOOKUP($A1201,MAGAZZINO!$B$2:$M$4838,5,FALSE)</f>
        <v/>
      </c>
      <c r="F1201" s="17">
        <f>+VLOOKUP($A1201,MAGAZZINO!$B$2:$M$4838,6,FALSE)</f>
        <v/>
      </c>
      <c r="G1201" s="17">
        <f>+VLOOKUP($A1201,MAGAZZINO!$B$2:$M$4838,7,FALSE)</f>
        <v/>
      </c>
      <c r="H1201" s="17">
        <f>+VLOOKUP($A1201,MAGAZZINO!$B$2:$M$4838,8,FALSE)</f>
        <v/>
      </c>
      <c r="I1201" s="17">
        <f>+VLOOKUP($A1201,MAGAZZINO!$B$2:$M$4838,9,FALSE)</f>
        <v/>
      </c>
      <c r="J1201" s="17">
        <f>+VLOOKUP($A1201,MAGAZZINO!$B$2:$M$4838,10,FALSE)</f>
        <v/>
      </c>
      <c r="K1201" s="17">
        <f>+VLOOKUP($A1201,MAGAZZINO!$B$2:$M$4838,11,FALSE)</f>
        <v/>
      </c>
      <c r="L1201" s="44">
        <f>+VLOOKUP($A1201,MAGAZZINO!$B$2:$M$4838,12,FALSE)</f>
        <v/>
      </c>
    </row>
    <row r="1202" ht="36" customHeight="1">
      <c r="A1202" s="30">
        <f>+REGISTRO!A1185</f>
        <v/>
      </c>
      <c r="B1202" s="31">
        <f>+VLOOKUP($A1202,MAGAZZINO!$B$2:$M$4838,2,FALSE)</f>
        <v/>
      </c>
      <c r="C1202" s="32">
        <f>+VLOOKUP($A1202,MAGAZZINO!$B$2:$M$4838,3,FALSE)</f>
        <v/>
      </c>
      <c r="D1202" s="17">
        <f>+VLOOKUP($A1202,MAGAZZINO!$B$2:$M$4838,4,FALSE)</f>
        <v/>
      </c>
      <c r="E1202" s="17">
        <f>+VLOOKUP($A1202,MAGAZZINO!$B$2:$M$4838,5,FALSE)</f>
        <v/>
      </c>
      <c r="F1202" s="17">
        <f>+VLOOKUP($A1202,MAGAZZINO!$B$2:$M$4838,6,FALSE)</f>
        <v/>
      </c>
      <c r="G1202" s="17">
        <f>+VLOOKUP($A1202,MAGAZZINO!$B$2:$M$4838,7,FALSE)</f>
        <v/>
      </c>
      <c r="H1202" s="17">
        <f>+VLOOKUP($A1202,MAGAZZINO!$B$2:$M$4838,8,FALSE)</f>
        <v/>
      </c>
      <c r="I1202" s="17">
        <f>+VLOOKUP($A1202,MAGAZZINO!$B$2:$M$4838,9,FALSE)</f>
        <v/>
      </c>
      <c r="J1202" s="17">
        <f>+VLOOKUP($A1202,MAGAZZINO!$B$2:$M$4838,10,FALSE)</f>
        <v/>
      </c>
      <c r="K1202" s="17">
        <f>+VLOOKUP($A1202,MAGAZZINO!$B$2:$M$4838,11,FALSE)</f>
        <v/>
      </c>
      <c r="L1202" s="44">
        <f>+VLOOKUP($A1202,MAGAZZINO!$B$2:$M$4838,12,FALSE)</f>
        <v/>
      </c>
    </row>
    <row r="1203" ht="36" customHeight="1">
      <c r="A1203" s="30">
        <f>+REGISTRO!A1186</f>
        <v/>
      </c>
      <c r="B1203" s="31">
        <f>+VLOOKUP($A1203,MAGAZZINO!$B$2:$M$4838,2,FALSE)</f>
        <v/>
      </c>
      <c r="C1203" s="32">
        <f>+VLOOKUP($A1203,MAGAZZINO!$B$2:$M$4838,3,FALSE)</f>
        <v/>
      </c>
      <c r="D1203" s="17">
        <f>+VLOOKUP($A1203,MAGAZZINO!$B$2:$M$4838,4,FALSE)</f>
        <v/>
      </c>
      <c r="E1203" s="17">
        <f>+VLOOKUP($A1203,MAGAZZINO!$B$2:$M$4838,5,FALSE)</f>
        <v/>
      </c>
      <c r="F1203" s="17">
        <f>+VLOOKUP($A1203,MAGAZZINO!$B$2:$M$4838,6,FALSE)</f>
        <v/>
      </c>
      <c r="G1203" s="17">
        <f>+VLOOKUP($A1203,MAGAZZINO!$B$2:$M$4838,7,FALSE)</f>
        <v/>
      </c>
      <c r="H1203" s="17">
        <f>+VLOOKUP($A1203,MAGAZZINO!$B$2:$M$4838,8,FALSE)</f>
        <v/>
      </c>
      <c r="I1203" s="17">
        <f>+VLOOKUP($A1203,MAGAZZINO!$B$2:$M$4838,9,FALSE)</f>
        <v/>
      </c>
      <c r="J1203" s="17">
        <f>+VLOOKUP($A1203,MAGAZZINO!$B$2:$M$4838,10,FALSE)</f>
        <v/>
      </c>
      <c r="K1203" s="17">
        <f>+VLOOKUP($A1203,MAGAZZINO!$B$2:$M$4838,11,FALSE)</f>
        <v/>
      </c>
      <c r="L1203" s="44">
        <f>+VLOOKUP($A1203,MAGAZZINO!$B$2:$M$4838,12,FALSE)</f>
        <v/>
      </c>
    </row>
    <row r="1204" ht="36" customHeight="1">
      <c r="A1204" s="30">
        <f>+REGISTRO!A1187</f>
        <v/>
      </c>
      <c r="B1204" s="31">
        <f>+VLOOKUP($A1204,MAGAZZINO!$B$2:$M$4838,2,FALSE)</f>
        <v/>
      </c>
      <c r="C1204" s="32">
        <f>+VLOOKUP($A1204,MAGAZZINO!$B$2:$M$4838,3,FALSE)</f>
        <v/>
      </c>
      <c r="D1204" s="17">
        <f>+VLOOKUP($A1204,MAGAZZINO!$B$2:$M$4838,4,FALSE)</f>
        <v/>
      </c>
      <c r="E1204" s="17">
        <f>+VLOOKUP($A1204,MAGAZZINO!$B$2:$M$4838,5,FALSE)</f>
        <v/>
      </c>
      <c r="F1204" s="17">
        <f>+VLOOKUP($A1204,MAGAZZINO!$B$2:$M$4838,6,FALSE)</f>
        <v/>
      </c>
      <c r="G1204" s="17">
        <f>+VLOOKUP($A1204,MAGAZZINO!$B$2:$M$4838,7,FALSE)</f>
        <v/>
      </c>
      <c r="H1204" s="17">
        <f>+VLOOKUP($A1204,MAGAZZINO!$B$2:$M$4838,8,FALSE)</f>
        <v/>
      </c>
      <c r="I1204" s="17">
        <f>+VLOOKUP($A1204,MAGAZZINO!$B$2:$M$4838,9,FALSE)</f>
        <v/>
      </c>
      <c r="J1204" s="17">
        <f>+VLOOKUP($A1204,MAGAZZINO!$B$2:$M$4838,10,FALSE)</f>
        <v/>
      </c>
      <c r="K1204" s="17">
        <f>+VLOOKUP($A1204,MAGAZZINO!$B$2:$M$4838,11,FALSE)</f>
        <v/>
      </c>
      <c r="L1204" s="44">
        <f>+VLOOKUP($A1204,MAGAZZINO!$B$2:$M$4838,12,FALSE)</f>
        <v/>
      </c>
    </row>
    <row r="1205" ht="36" customHeight="1">
      <c r="A1205" s="30">
        <f>+REGISTRO!A1188</f>
        <v/>
      </c>
      <c r="B1205" s="31">
        <f>+VLOOKUP($A1205,MAGAZZINO!$B$2:$M$4838,2,FALSE)</f>
        <v/>
      </c>
      <c r="C1205" s="32">
        <f>+VLOOKUP($A1205,MAGAZZINO!$B$2:$M$4838,3,FALSE)</f>
        <v/>
      </c>
      <c r="D1205" s="17">
        <f>+VLOOKUP($A1205,MAGAZZINO!$B$2:$M$4838,4,FALSE)</f>
        <v/>
      </c>
      <c r="E1205" s="17">
        <f>+VLOOKUP($A1205,MAGAZZINO!$B$2:$M$4838,5,FALSE)</f>
        <v/>
      </c>
      <c r="F1205" s="17">
        <f>+VLOOKUP($A1205,MAGAZZINO!$B$2:$M$4838,6,FALSE)</f>
        <v/>
      </c>
      <c r="G1205" s="17">
        <f>+VLOOKUP($A1205,MAGAZZINO!$B$2:$M$4838,7,FALSE)</f>
        <v/>
      </c>
      <c r="H1205" s="17">
        <f>+VLOOKUP($A1205,MAGAZZINO!$B$2:$M$4838,8,FALSE)</f>
        <v/>
      </c>
      <c r="I1205" s="17">
        <f>+VLOOKUP($A1205,MAGAZZINO!$B$2:$M$4838,9,FALSE)</f>
        <v/>
      </c>
      <c r="J1205" s="17">
        <f>+VLOOKUP($A1205,MAGAZZINO!$B$2:$M$4838,10,FALSE)</f>
        <v/>
      </c>
      <c r="K1205" s="17">
        <f>+VLOOKUP($A1205,MAGAZZINO!$B$2:$M$4838,11,FALSE)</f>
        <v/>
      </c>
      <c r="L1205" s="44">
        <f>+VLOOKUP($A1205,MAGAZZINO!$B$2:$M$4838,12,FALSE)</f>
        <v/>
      </c>
    </row>
    <row r="1206" ht="36" customHeight="1">
      <c r="A1206" s="30">
        <f>+REGISTRO!A1189</f>
        <v/>
      </c>
      <c r="B1206" s="31">
        <f>+VLOOKUP($A1206,MAGAZZINO!$B$2:$M$4838,2,FALSE)</f>
        <v/>
      </c>
      <c r="C1206" s="32">
        <f>+VLOOKUP($A1206,MAGAZZINO!$B$2:$M$4838,3,FALSE)</f>
        <v/>
      </c>
      <c r="D1206" s="17">
        <f>+VLOOKUP($A1206,MAGAZZINO!$B$2:$M$4838,4,FALSE)</f>
        <v/>
      </c>
      <c r="E1206" s="17">
        <f>+VLOOKUP($A1206,MAGAZZINO!$B$2:$M$4838,5,FALSE)</f>
        <v/>
      </c>
      <c r="F1206" s="17">
        <f>+VLOOKUP($A1206,MAGAZZINO!$B$2:$M$4838,6,FALSE)</f>
        <v/>
      </c>
      <c r="G1206" s="17">
        <f>+VLOOKUP($A1206,MAGAZZINO!$B$2:$M$4838,7,FALSE)</f>
        <v/>
      </c>
      <c r="H1206" s="17">
        <f>+VLOOKUP($A1206,MAGAZZINO!$B$2:$M$4838,8,FALSE)</f>
        <v/>
      </c>
      <c r="I1206" s="17">
        <f>+VLOOKUP($A1206,MAGAZZINO!$B$2:$M$4838,9,FALSE)</f>
        <v/>
      </c>
      <c r="J1206" s="17">
        <f>+VLOOKUP($A1206,MAGAZZINO!$B$2:$M$4838,10,FALSE)</f>
        <v/>
      </c>
      <c r="K1206" s="17">
        <f>+VLOOKUP($A1206,MAGAZZINO!$B$2:$M$4838,11,FALSE)</f>
        <v/>
      </c>
      <c r="L1206" s="44">
        <f>+VLOOKUP($A1206,MAGAZZINO!$B$2:$M$4838,12,FALSE)</f>
        <v/>
      </c>
    </row>
    <row r="1207" ht="36" customHeight="1">
      <c r="A1207" s="30">
        <f>+REGISTRO!A1190</f>
        <v/>
      </c>
      <c r="B1207" s="31">
        <f>+VLOOKUP($A1207,MAGAZZINO!$B$2:$M$4838,2,FALSE)</f>
        <v/>
      </c>
      <c r="C1207" s="32">
        <f>+VLOOKUP($A1207,MAGAZZINO!$B$2:$M$4838,3,FALSE)</f>
        <v/>
      </c>
      <c r="D1207" s="17">
        <f>+VLOOKUP($A1207,MAGAZZINO!$B$2:$M$4838,4,FALSE)</f>
        <v/>
      </c>
      <c r="E1207" s="17">
        <f>+VLOOKUP($A1207,MAGAZZINO!$B$2:$M$4838,5,FALSE)</f>
        <v/>
      </c>
      <c r="F1207" s="17">
        <f>+VLOOKUP($A1207,MAGAZZINO!$B$2:$M$4838,6,FALSE)</f>
        <v/>
      </c>
      <c r="G1207" s="17">
        <f>+VLOOKUP($A1207,MAGAZZINO!$B$2:$M$4838,7,FALSE)</f>
        <v/>
      </c>
      <c r="H1207" s="17">
        <f>+VLOOKUP($A1207,MAGAZZINO!$B$2:$M$4838,8,FALSE)</f>
        <v/>
      </c>
      <c r="I1207" s="17">
        <f>+VLOOKUP($A1207,MAGAZZINO!$B$2:$M$4838,9,FALSE)</f>
        <v/>
      </c>
      <c r="J1207" s="17">
        <f>+VLOOKUP($A1207,MAGAZZINO!$B$2:$M$4838,10,FALSE)</f>
        <v/>
      </c>
      <c r="K1207" s="17">
        <f>+VLOOKUP($A1207,MAGAZZINO!$B$2:$M$4838,11,FALSE)</f>
        <v/>
      </c>
      <c r="L1207" s="44">
        <f>+VLOOKUP($A1207,MAGAZZINO!$B$2:$M$4838,12,FALSE)</f>
        <v/>
      </c>
    </row>
    <row r="1208" ht="36" customHeight="1">
      <c r="A1208" s="30">
        <f>+REGISTRO!A1191</f>
        <v/>
      </c>
      <c r="B1208" s="31">
        <f>+VLOOKUP($A1208,MAGAZZINO!$B$2:$M$4838,2,FALSE)</f>
        <v/>
      </c>
      <c r="C1208" s="32">
        <f>+VLOOKUP($A1208,MAGAZZINO!$B$2:$M$4838,3,FALSE)</f>
        <v/>
      </c>
      <c r="D1208" s="17">
        <f>+VLOOKUP($A1208,MAGAZZINO!$B$2:$M$4838,4,FALSE)</f>
        <v/>
      </c>
      <c r="E1208" s="17">
        <f>+VLOOKUP($A1208,MAGAZZINO!$B$2:$M$4838,5,FALSE)</f>
        <v/>
      </c>
      <c r="F1208" s="17">
        <f>+VLOOKUP($A1208,MAGAZZINO!$B$2:$M$4838,6,FALSE)</f>
        <v/>
      </c>
      <c r="G1208" s="17">
        <f>+VLOOKUP($A1208,MAGAZZINO!$B$2:$M$4838,7,FALSE)</f>
        <v/>
      </c>
      <c r="H1208" s="17">
        <f>+VLOOKUP($A1208,MAGAZZINO!$B$2:$M$4838,8,FALSE)</f>
        <v/>
      </c>
      <c r="I1208" s="17">
        <f>+VLOOKUP($A1208,MAGAZZINO!$B$2:$M$4838,9,FALSE)</f>
        <v/>
      </c>
      <c r="J1208" s="17">
        <f>+VLOOKUP($A1208,MAGAZZINO!$B$2:$M$4838,10,FALSE)</f>
        <v/>
      </c>
      <c r="K1208" s="17">
        <f>+VLOOKUP($A1208,MAGAZZINO!$B$2:$M$4838,11,FALSE)</f>
        <v/>
      </c>
      <c r="L1208" s="44">
        <f>+VLOOKUP($A1208,MAGAZZINO!$B$2:$M$4838,12,FALSE)</f>
        <v/>
      </c>
    </row>
    <row r="1209" ht="36" customHeight="1">
      <c r="A1209" s="30">
        <f>+REGISTRO!A1192</f>
        <v/>
      </c>
      <c r="B1209" s="31">
        <f>+VLOOKUP($A1209,MAGAZZINO!$B$2:$M$4838,2,FALSE)</f>
        <v/>
      </c>
      <c r="C1209" s="32">
        <f>+VLOOKUP($A1209,MAGAZZINO!$B$2:$M$4838,3,FALSE)</f>
        <v/>
      </c>
      <c r="D1209" s="17">
        <f>+VLOOKUP($A1209,MAGAZZINO!$B$2:$M$4838,4,FALSE)</f>
        <v/>
      </c>
      <c r="E1209" s="17">
        <f>+VLOOKUP($A1209,MAGAZZINO!$B$2:$M$4838,5,FALSE)</f>
        <v/>
      </c>
      <c r="F1209" s="17">
        <f>+VLOOKUP($A1209,MAGAZZINO!$B$2:$M$4838,6,FALSE)</f>
        <v/>
      </c>
      <c r="G1209" s="17">
        <f>+VLOOKUP($A1209,MAGAZZINO!$B$2:$M$4838,7,FALSE)</f>
        <v/>
      </c>
      <c r="H1209" s="17">
        <f>+VLOOKUP($A1209,MAGAZZINO!$B$2:$M$4838,8,FALSE)</f>
        <v/>
      </c>
      <c r="I1209" s="17">
        <f>+VLOOKUP($A1209,MAGAZZINO!$B$2:$M$4838,9,FALSE)</f>
        <v/>
      </c>
      <c r="J1209" s="17">
        <f>+VLOOKUP($A1209,MAGAZZINO!$B$2:$M$4838,10,FALSE)</f>
        <v/>
      </c>
      <c r="K1209" s="17">
        <f>+VLOOKUP($A1209,MAGAZZINO!$B$2:$M$4838,11,FALSE)</f>
        <v/>
      </c>
      <c r="L1209" s="44">
        <f>+VLOOKUP($A1209,MAGAZZINO!$B$2:$M$4838,12,FALSE)</f>
        <v/>
      </c>
    </row>
    <row r="1210" ht="36" customHeight="1">
      <c r="A1210" s="30">
        <f>+REGISTRO!A1193</f>
        <v/>
      </c>
      <c r="B1210" s="31">
        <f>+VLOOKUP($A1210,MAGAZZINO!$B$2:$M$4838,2,FALSE)</f>
        <v/>
      </c>
      <c r="C1210" s="32">
        <f>+VLOOKUP($A1210,MAGAZZINO!$B$2:$M$4838,3,FALSE)</f>
        <v/>
      </c>
      <c r="D1210" s="17">
        <f>+VLOOKUP($A1210,MAGAZZINO!$B$2:$M$4838,4,FALSE)</f>
        <v/>
      </c>
      <c r="E1210" s="17">
        <f>+VLOOKUP($A1210,MAGAZZINO!$B$2:$M$4838,5,FALSE)</f>
        <v/>
      </c>
      <c r="F1210" s="17">
        <f>+VLOOKUP($A1210,MAGAZZINO!$B$2:$M$4838,6,FALSE)</f>
        <v/>
      </c>
      <c r="G1210" s="17">
        <f>+VLOOKUP($A1210,MAGAZZINO!$B$2:$M$4838,7,FALSE)</f>
        <v/>
      </c>
      <c r="H1210" s="17">
        <f>+VLOOKUP($A1210,MAGAZZINO!$B$2:$M$4838,8,FALSE)</f>
        <v/>
      </c>
      <c r="I1210" s="17">
        <f>+VLOOKUP($A1210,MAGAZZINO!$B$2:$M$4838,9,FALSE)</f>
        <v/>
      </c>
      <c r="J1210" s="17">
        <f>+VLOOKUP($A1210,MAGAZZINO!$B$2:$M$4838,10,FALSE)</f>
        <v/>
      </c>
      <c r="K1210" s="17">
        <f>+VLOOKUP($A1210,MAGAZZINO!$B$2:$M$4838,11,FALSE)</f>
        <v/>
      </c>
      <c r="L1210" s="44">
        <f>+VLOOKUP($A1210,MAGAZZINO!$B$2:$M$4838,12,FALSE)</f>
        <v/>
      </c>
    </row>
    <row r="1211" ht="36" customHeight="1">
      <c r="A1211" s="30">
        <f>+REGISTRO!A1194</f>
        <v/>
      </c>
      <c r="B1211" s="31">
        <f>+VLOOKUP($A1211,MAGAZZINO!$B$2:$M$4838,2,FALSE)</f>
        <v/>
      </c>
      <c r="C1211" s="32">
        <f>+VLOOKUP($A1211,MAGAZZINO!$B$2:$M$4838,3,FALSE)</f>
        <v/>
      </c>
      <c r="D1211" s="17">
        <f>+VLOOKUP($A1211,MAGAZZINO!$B$2:$M$4838,4,FALSE)</f>
        <v/>
      </c>
      <c r="E1211" s="17">
        <f>+VLOOKUP($A1211,MAGAZZINO!$B$2:$M$4838,5,FALSE)</f>
        <v/>
      </c>
      <c r="F1211" s="17">
        <f>+VLOOKUP($A1211,MAGAZZINO!$B$2:$M$4838,6,FALSE)</f>
        <v/>
      </c>
      <c r="G1211" s="17">
        <f>+VLOOKUP($A1211,MAGAZZINO!$B$2:$M$4838,7,FALSE)</f>
        <v/>
      </c>
      <c r="H1211" s="17">
        <f>+VLOOKUP($A1211,MAGAZZINO!$B$2:$M$4838,8,FALSE)</f>
        <v/>
      </c>
      <c r="I1211" s="17">
        <f>+VLOOKUP($A1211,MAGAZZINO!$B$2:$M$4838,9,FALSE)</f>
        <v/>
      </c>
      <c r="J1211" s="17">
        <f>+VLOOKUP($A1211,MAGAZZINO!$B$2:$M$4838,10,FALSE)</f>
        <v/>
      </c>
      <c r="K1211" s="17">
        <f>+VLOOKUP($A1211,MAGAZZINO!$B$2:$M$4838,11,FALSE)</f>
        <v/>
      </c>
      <c r="L1211" s="44">
        <f>+VLOOKUP($A1211,MAGAZZINO!$B$2:$M$4838,12,FALSE)</f>
        <v/>
      </c>
    </row>
    <row r="1212" ht="36" customHeight="1">
      <c r="A1212" s="30">
        <f>+REGISTRO!A1195</f>
        <v/>
      </c>
      <c r="B1212" s="31">
        <f>+VLOOKUP($A1212,MAGAZZINO!$B$2:$M$4838,2,FALSE)</f>
        <v/>
      </c>
      <c r="C1212" s="32">
        <f>+VLOOKUP($A1212,MAGAZZINO!$B$2:$M$4838,3,FALSE)</f>
        <v/>
      </c>
      <c r="D1212" s="17">
        <f>+VLOOKUP($A1212,MAGAZZINO!$B$2:$M$4838,4,FALSE)</f>
        <v/>
      </c>
      <c r="E1212" s="17">
        <f>+VLOOKUP($A1212,MAGAZZINO!$B$2:$M$4838,5,FALSE)</f>
        <v/>
      </c>
      <c r="F1212" s="17">
        <f>+VLOOKUP($A1212,MAGAZZINO!$B$2:$M$4838,6,FALSE)</f>
        <v/>
      </c>
      <c r="G1212" s="17">
        <f>+VLOOKUP($A1212,MAGAZZINO!$B$2:$M$4838,7,FALSE)</f>
        <v/>
      </c>
      <c r="H1212" s="17">
        <f>+VLOOKUP($A1212,MAGAZZINO!$B$2:$M$4838,8,FALSE)</f>
        <v/>
      </c>
      <c r="I1212" s="17">
        <f>+VLOOKUP($A1212,MAGAZZINO!$B$2:$M$4838,9,FALSE)</f>
        <v/>
      </c>
      <c r="J1212" s="17">
        <f>+VLOOKUP($A1212,MAGAZZINO!$B$2:$M$4838,10,FALSE)</f>
        <v/>
      </c>
      <c r="K1212" s="17">
        <f>+VLOOKUP($A1212,MAGAZZINO!$B$2:$M$4838,11,FALSE)</f>
        <v/>
      </c>
      <c r="L1212" s="44">
        <f>+VLOOKUP($A1212,MAGAZZINO!$B$2:$M$4838,12,FALSE)</f>
        <v/>
      </c>
    </row>
    <row r="1213" ht="36" customHeight="1">
      <c r="A1213" s="30">
        <f>+REGISTRO!A1196</f>
        <v/>
      </c>
      <c r="B1213" s="31">
        <f>+VLOOKUP($A1213,MAGAZZINO!$B$2:$M$4838,2,FALSE)</f>
        <v/>
      </c>
      <c r="C1213" s="32">
        <f>+VLOOKUP($A1213,MAGAZZINO!$B$2:$M$4838,3,FALSE)</f>
        <v/>
      </c>
      <c r="D1213" s="17">
        <f>+VLOOKUP($A1213,MAGAZZINO!$B$2:$M$4838,4,FALSE)</f>
        <v/>
      </c>
      <c r="E1213" s="17">
        <f>+VLOOKUP($A1213,MAGAZZINO!$B$2:$M$4838,5,FALSE)</f>
        <v/>
      </c>
      <c r="F1213" s="17">
        <f>+VLOOKUP($A1213,MAGAZZINO!$B$2:$M$4838,6,FALSE)</f>
        <v/>
      </c>
      <c r="G1213" s="17">
        <f>+VLOOKUP($A1213,MAGAZZINO!$B$2:$M$4838,7,FALSE)</f>
        <v/>
      </c>
      <c r="H1213" s="17">
        <f>+VLOOKUP($A1213,MAGAZZINO!$B$2:$M$4838,8,FALSE)</f>
        <v/>
      </c>
      <c r="I1213" s="17">
        <f>+VLOOKUP($A1213,MAGAZZINO!$B$2:$M$4838,9,FALSE)</f>
        <v/>
      </c>
      <c r="J1213" s="17">
        <f>+VLOOKUP($A1213,MAGAZZINO!$B$2:$M$4838,10,FALSE)</f>
        <v/>
      </c>
      <c r="K1213" s="17">
        <f>+VLOOKUP($A1213,MAGAZZINO!$B$2:$M$4838,11,FALSE)</f>
        <v/>
      </c>
      <c r="L1213" s="44">
        <f>+VLOOKUP($A1213,MAGAZZINO!$B$2:$M$4838,12,FALSE)</f>
        <v/>
      </c>
    </row>
    <row r="1214" ht="36" customHeight="1">
      <c r="A1214" s="30">
        <f>+REGISTRO!A1197</f>
        <v/>
      </c>
      <c r="B1214" s="31">
        <f>+VLOOKUP($A1214,MAGAZZINO!$B$2:$M$4838,2,FALSE)</f>
        <v/>
      </c>
      <c r="C1214" s="32">
        <f>+VLOOKUP($A1214,MAGAZZINO!$B$2:$M$4838,3,FALSE)</f>
        <v/>
      </c>
      <c r="D1214" s="17">
        <f>+VLOOKUP($A1214,MAGAZZINO!$B$2:$M$4838,4,FALSE)</f>
        <v/>
      </c>
      <c r="E1214" s="17">
        <f>+VLOOKUP($A1214,MAGAZZINO!$B$2:$M$4838,5,FALSE)</f>
        <v/>
      </c>
      <c r="F1214" s="17">
        <f>+VLOOKUP($A1214,MAGAZZINO!$B$2:$M$4838,6,FALSE)</f>
        <v/>
      </c>
      <c r="G1214" s="17">
        <f>+VLOOKUP($A1214,MAGAZZINO!$B$2:$M$4838,7,FALSE)</f>
        <v/>
      </c>
      <c r="H1214" s="17">
        <f>+VLOOKUP($A1214,MAGAZZINO!$B$2:$M$4838,8,FALSE)</f>
        <v/>
      </c>
      <c r="I1214" s="17">
        <f>+VLOOKUP($A1214,MAGAZZINO!$B$2:$M$4838,9,FALSE)</f>
        <v/>
      </c>
      <c r="J1214" s="17">
        <f>+VLOOKUP($A1214,MAGAZZINO!$B$2:$M$4838,10,FALSE)</f>
        <v/>
      </c>
      <c r="K1214" s="17">
        <f>+VLOOKUP($A1214,MAGAZZINO!$B$2:$M$4838,11,FALSE)</f>
        <v/>
      </c>
      <c r="L1214" s="44">
        <f>+VLOOKUP($A1214,MAGAZZINO!$B$2:$M$4838,12,FALSE)</f>
        <v/>
      </c>
    </row>
    <row r="1215" ht="36" customHeight="1">
      <c r="A1215" s="30">
        <f>+REGISTRO!A1198</f>
        <v/>
      </c>
      <c r="B1215" s="31">
        <f>+VLOOKUP($A1215,MAGAZZINO!$B$2:$M$4838,2,FALSE)</f>
        <v/>
      </c>
      <c r="C1215" s="32">
        <f>+VLOOKUP($A1215,MAGAZZINO!$B$2:$M$4838,3,FALSE)</f>
        <v/>
      </c>
      <c r="D1215" s="17">
        <f>+VLOOKUP($A1215,MAGAZZINO!$B$2:$M$4838,4,FALSE)</f>
        <v/>
      </c>
      <c r="E1215" s="17">
        <f>+VLOOKUP($A1215,MAGAZZINO!$B$2:$M$4838,5,FALSE)</f>
        <v/>
      </c>
      <c r="F1215" s="17">
        <f>+VLOOKUP($A1215,MAGAZZINO!$B$2:$M$4838,6,FALSE)</f>
        <v/>
      </c>
      <c r="G1215" s="17">
        <f>+VLOOKUP($A1215,MAGAZZINO!$B$2:$M$4838,7,FALSE)</f>
        <v/>
      </c>
      <c r="H1215" s="17">
        <f>+VLOOKUP($A1215,MAGAZZINO!$B$2:$M$4838,8,FALSE)</f>
        <v/>
      </c>
      <c r="I1215" s="17">
        <f>+VLOOKUP($A1215,MAGAZZINO!$B$2:$M$4838,9,FALSE)</f>
        <v/>
      </c>
      <c r="J1215" s="17">
        <f>+VLOOKUP($A1215,MAGAZZINO!$B$2:$M$4838,10,FALSE)</f>
        <v/>
      </c>
      <c r="K1215" s="17">
        <f>+VLOOKUP($A1215,MAGAZZINO!$B$2:$M$4838,11,FALSE)</f>
        <v/>
      </c>
      <c r="L1215" s="44">
        <f>+VLOOKUP($A1215,MAGAZZINO!$B$2:$M$4838,12,FALSE)</f>
        <v/>
      </c>
    </row>
    <row r="1216" ht="36" customHeight="1">
      <c r="A1216" s="30">
        <f>+REGISTRO!A1199</f>
        <v/>
      </c>
      <c r="B1216" s="31">
        <f>+VLOOKUP($A1216,MAGAZZINO!$B$2:$M$4838,2,FALSE)</f>
        <v/>
      </c>
      <c r="C1216" s="32">
        <f>+VLOOKUP($A1216,MAGAZZINO!$B$2:$M$4838,3,FALSE)</f>
        <v/>
      </c>
      <c r="D1216" s="17">
        <f>+VLOOKUP($A1216,MAGAZZINO!$B$2:$M$4838,4,FALSE)</f>
        <v/>
      </c>
      <c r="E1216" s="17">
        <f>+VLOOKUP($A1216,MAGAZZINO!$B$2:$M$4838,5,FALSE)</f>
        <v/>
      </c>
      <c r="F1216" s="17">
        <f>+VLOOKUP($A1216,MAGAZZINO!$B$2:$M$4838,6,FALSE)</f>
        <v/>
      </c>
      <c r="G1216" s="17">
        <f>+VLOOKUP($A1216,MAGAZZINO!$B$2:$M$4838,7,FALSE)</f>
        <v/>
      </c>
      <c r="H1216" s="17">
        <f>+VLOOKUP($A1216,MAGAZZINO!$B$2:$M$4838,8,FALSE)</f>
        <v/>
      </c>
      <c r="I1216" s="17">
        <f>+VLOOKUP($A1216,MAGAZZINO!$B$2:$M$4838,9,FALSE)</f>
        <v/>
      </c>
      <c r="J1216" s="17">
        <f>+VLOOKUP($A1216,MAGAZZINO!$B$2:$M$4838,10,FALSE)</f>
        <v/>
      </c>
      <c r="K1216" s="17">
        <f>+VLOOKUP($A1216,MAGAZZINO!$B$2:$M$4838,11,FALSE)</f>
        <v/>
      </c>
      <c r="L1216" s="44">
        <f>+VLOOKUP($A1216,MAGAZZINO!$B$2:$M$4838,12,FALSE)</f>
        <v/>
      </c>
    </row>
    <row r="1217" ht="36" customHeight="1">
      <c r="A1217" s="30">
        <f>+REGISTRO!A1200</f>
        <v/>
      </c>
      <c r="B1217" s="31">
        <f>+VLOOKUP($A1217,MAGAZZINO!$B$2:$M$4838,2,FALSE)</f>
        <v/>
      </c>
      <c r="C1217" s="32">
        <f>+VLOOKUP($A1217,MAGAZZINO!$B$2:$M$4838,3,FALSE)</f>
        <v/>
      </c>
      <c r="D1217" s="17">
        <f>+VLOOKUP($A1217,MAGAZZINO!$B$2:$M$4838,4,FALSE)</f>
        <v/>
      </c>
      <c r="E1217" s="17">
        <f>+VLOOKUP($A1217,MAGAZZINO!$B$2:$M$4838,5,FALSE)</f>
        <v/>
      </c>
      <c r="F1217" s="17">
        <f>+VLOOKUP($A1217,MAGAZZINO!$B$2:$M$4838,6,FALSE)</f>
        <v/>
      </c>
      <c r="G1217" s="17">
        <f>+VLOOKUP($A1217,MAGAZZINO!$B$2:$M$4838,7,FALSE)</f>
        <v/>
      </c>
      <c r="H1217" s="17">
        <f>+VLOOKUP($A1217,MAGAZZINO!$B$2:$M$4838,8,FALSE)</f>
        <v/>
      </c>
      <c r="I1217" s="17">
        <f>+VLOOKUP($A1217,MAGAZZINO!$B$2:$M$4838,9,FALSE)</f>
        <v/>
      </c>
      <c r="J1217" s="17">
        <f>+VLOOKUP($A1217,MAGAZZINO!$B$2:$M$4838,10,FALSE)</f>
        <v/>
      </c>
      <c r="K1217" s="17">
        <f>+VLOOKUP($A1217,MAGAZZINO!$B$2:$M$4838,11,FALSE)</f>
        <v/>
      </c>
      <c r="L1217" s="44">
        <f>+VLOOKUP($A1217,MAGAZZINO!$B$2:$M$4838,12,FALSE)</f>
        <v/>
      </c>
    </row>
    <row r="1218" ht="36" customHeight="1">
      <c r="A1218" s="30">
        <f>+REGISTRO!A1201</f>
        <v/>
      </c>
      <c r="B1218" s="31">
        <f>+VLOOKUP($A1218,MAGAZZINO!$B$2:$M$4838,2,FALSE)</f>
        <v/>
      </c>
      <c r="C1218" s="32">
        <f>+VLOOKUP($A1218,MAGAZZINO!$B$2:$M$4838,3,FALSE)</f>
        <v/>
      </c>
      <c r="D1218" s="17">
        <f>+VLOOKUP($A1218,MAGAZZINO!$B$2:$M$4838,4,FALSE)</f>
        <v/>
      </c>
      <c r="E1218" s="17">
        <f>+VLOOKUP($A1218,MAGAZZINO!$B$2:$M$4838,5,FALSE)</f>
        <v/>
      </c>
      <c r="F1218" s="17">
        <f>+VLOOKUP($A1218,MAGAZZINO!$B$2:$M$4838,6,FALSE)</f>
        <v/>
      </c>
      <c r="G1218" s="17">
        <f>+VLOOKUP($A1218,MAGAZZINO!$B$2:$M$4838,7,FALSE)</f>
        <v/>
      </c>
      <c r="H1218" s="17">
        <f>+VLOOKUP($A1218,MAGAZZINO!$B$2:$M$4838,8,FALSE)</f>
        <v/>
      </c>
      <c r="I1218" s="17">
        <f>+VLOOKUP($A1218,MAGAZZINO!$B$2:$M$4838,9,FALSE)</f>
        <v/>
      </c>
      <c r="J1218" s="17">
        <f>+VLOOKUP($A1218,MAGAZZINO!$B$2:$M$4838,10,FALSE)</f>
        <v/>
      </c>
      <c r="K1218" s="17">
        <f>+VLOOKUP($A1218,MAGAZZINO!$B$2:$M$4838,11,FALSE)</f>
        <v/>
      </c>
      <c r="L1218" s="44">
        <f>+VLOOKUP($A1218,MAGAZZINO!$B$2:$M$4838,12,FALSE)</f>
        <v/>
      </c>
    </row>
    <row r="1219" ht="36" customHeight="1">
      <c r="A1219" s="30">
        <f>+REGISTRO!A1202</f>
        <v/>
      </c>
      <c r="B1219" s="31">
        <f>+VLOOKUP($A1219,MAGAZZINO!$B$2:$M$4838,2,FALSE)</f>
        <v/>
      </c>
      <c r="C1219" s="32">
        <f>+VLOOKUP($A1219,MAGAZZINO!$B$2:$M$4838,3,FALSE)</f>
        <v/>
      </c>
      <c r="D1219" s="17">
        <f>+VLOOKUP($A1219,MAGAZZINO!$B$2:$M$4838,4,FALSE)</f>
        <v/>
      </c>
      <c r="E1219" s="17">
        <f>+VLOOKUP($A1219,MAGAZZINO!$B$2:$M$4838,5,FALSE)</f>
        <v/>
      </c>
      <c r="F1219" s="17">
        <f>+VLOOKUP($A1219,MAGAZZINO!$B$2:$M$4838,6,FALSE)</f>
        <v/>
      </c>
      <c r="G1219" s="17">
        <f>+VLOOKUP($A1219,MAGAZZINO!$B$2:$M$4838,7,FALSE)</f>
        <v/>
      </c>
      <c r="H1219" s="17">
        <f>+VLOOKUP($A1219,MAGAZZINO!$B$2:$M$4838,8,FALSE)</f>
        <v/>
      </c>
      <c r="I1219" s="17">
        <f>+VLOOKUP($A1219,MAGAZZINO!$B$2:$M$4838,9,FALSE)</f>
        <v/>
      </c>
      <c r="J1219" s="17">
        <f>+VLOOKUP($A1219,MAGAZZINO!$B$2:$M$4838,10,FALSE)</f>
        <v/>
      </c>
      <c r="K1219" s="17">
        <f>+VLOOKUP($A1219,MAGAZZINO!$B$2:$M$4838,11,FALSE)</f>
        <v/>
      </c>
      <c r="L1219" s="44">
        <f>+VLOOKUP($A1219,MAGAZZINO!$B$2:$M$4838,12,FALSE)</f>
        <v/>
      </c>
    </row>
    <row r="1220" ht="36" customHeight="1">
      <c r="A1220" s="30">
        <f>+REGISTRO!A1203</f>
        <v/>
      </c>
      <c r="B1220" s="31">
        <f>+VLOOKUP($A1220,MAGAZZINO!$B$2:$M$4838,2,FALSE)</f>
        <v/>
      </c>
      <c r="C1220" s="32">
        <f>+VLOOKUP($A1220,MAGAZZINO!$B$2:$M$4838,3,FALSE)</f>
        <v/>
      </c>
      <c r="D1220" s="17">
        <f>+VLOOKUP($A1220,MAGAZZINO!$B$2:$M$4838,4,FALSE)</f>
        <v/>
      </c>
      <c r="E1220" s="17">
        <f>+VLOOKUP($A1220,MAGAZZINO!$B$2:$M$4838,5,FALSE)</f>
        <v/>
      </c>
      <c r="F1220" s="17">
        <f>+VLOOKUP($A1220,MAGAZZINO!$B$2:$M$4838,6,FALSE)</f>
        <v/>
      </c>
      <c r="G1220" s="17">
        <f>+VLOOKUP($A1220,MAGAZZINO!$B$2:$M$4838,7,FALSE)</f>
        <v/>
      </c>
      <c r="H1220" s="17">
        <f>+VLOOKUP($A1220,MAGAZZINO!$B$2:$M$4838,8,FALSE)</f>
        <v/>
      </c>
      <c r="I1220" s="17">
        <f>+VLOOKUP($A1220,MAGAZZINO!$B$2:$M$4838,9,FALSE)</f>
        <v/>
      </c>
      <c r="J1220" s="17">
        <f>+VLOOKUP($A1220,MAGAZZINO!$B$2:$M$4838,10,FALSE)</f>
        <v/>
      </c>
      <c r="K1220" s="17">
        <f>+VLOOKUP($A1220,MAGAZZINO!$B$2:$M$4838,11,FALSE)</f>
        <v/>
      </c>
      <c r="L1220" s="44">
        <f>+VLOOKUP($A1220,MAGAZZINO!$B$2:$M$4838,12,FALSE)</f>
        <v/>
      </c>
    </row>
    <row r="1221" ht="36" customHeight="1">
      <c r="A1221" s="30">
        <f>+REGISTRO!A1204</f>
        <v/>
      </c>
      <c r="B1221" s="31">
        <f>+VLOOKUP($A1221,MAGAZZINO!$B$2:$M$4838,2,FALSE)</f>
        <v/>
      </c>
      <c r="C1221" s="32">
        <f>+VLOOKUP($A1221,MAGAZZINO!$B$2:$M$4838,3,FALSE)</f>
        <v/>
      </c>
      <c r="D1221" s="17">
        <f>+VLOOKUP($A1221,MAGAZZINO!$B$2:$M$4838,4,FALSE)</f>
        <v/>
      </c>
      <c r="E1221" s="17">
        <f>+VLOOKUP($A1221,MAGAZZINO!$B$2:$M$4838,5,FALSE)</f>
        <v/>
      </c>
      <c r="F1221" s="17">
        <f>+VLOOKUP($A1221,MAGAZZINO!$B$2:$M$4838,6,FALSE)</f>
        <v/>
      </c>
      <c r="G1221" s="17">
        <f>+VLOOKUP($A1221,MAGAZZINO!$B$2:$M$4838,7,FALSE)</f>
        <v/>
      </c>
      <c r="H1221" s="17">
        <f>+VLOOKUP($A1221,MAGAZZINO!$B$2:$M$4838,8,FALSE)</f>
        <v/>
      </c>
      <c r="I1221" s="17">
        <f>+VLOOKUP($A1221,MAGAZZINO!$B$2:$M$4838,9,FALSE)</f>
        <v/>
      </c>
      <c r="J1221" s="17">
        <f>+VLOOKUP($A1221,MAGAZZINO!$B$2:$M$4838,10,FALSE)</f>
        <v/>
      </c>
      <c r="K1221" s="17">
        <f>+VLOOKUP($A1221,MAGAZZINO!$B$2:$M$4838,11,FALSE)</f>
        <v/>
      </c>
      <c r="L1221" s="44">
        <f>+VLOOKUP($A1221,MAGAZZINO!$B$2:$M$4838,12,FALSE)</f>
        <v/>
      </c>
    </row>
    <row r="1222" ht="36" customHeight="1">
      <c r="A1222" s="30">
        <f>+REGISTRO!A1205</f>
        <v/>
      </c>
      <c r="B1222" s="31">
        <f>+VLOOKUP($A1222,MAGAZZINO!$B$2:$M$4838,2,FALSE)</f>
        <v/>
      </c>
      <c r="C1222" s="32">
        <f>+VLOOKUP($A1222,MAGAZZINO!$B$2:$M$4838,3,FALSE)</f>
        <v/>
      </c>
      <c r="D1222" s="17">
        <f>+VLOOKUP($A1222,MAGAZZINO!$B$2:$M$4838,4,FALSE)</f>
        <v/>
      </c>
      <c r="E1222" s="17">
        <f>+VLOOKUP($A1222,MAGAZZINO!$B$2:$M$4838,5,FALSE)</f>
        <v/>
      </c>
      <c r="F1222" s="17">
        <f>+VLOOKUP($A1222,MAGAZZINO!$B$2:$M$4838,6,FALSE)</f>
        <v/>
      </c>
      <c r="G1222" s="17">
        <f>+VLOOKUP($A1222,MAGAZZINO!$B$2:$M$4838,7,FALSE)</f>
        <v/>
      </c>
      <c r="H1222" s="17">
        <f>+VLOOKUP($A1222,MAGAZZINO!$B$2:$M$4838,8,FALSE)</f>
        <v/>
      </c>
      <c r="I1222" s="17">
        <f>+VLOOKUP($A1222,MAGAZZINO!$B$2:$M$4838,9,FALSE)</f>
        <v/>
      </c>
      <c r="J1222" s="17">
        <f>+VLOOKUP($A1222,MAGAZZINO!$B$2:$M$4838,10,FALSE)</f>
        <v/>
      </c>
      <c r="K1222" s="17">
        <f>+VLOOKUP($A1222,MAGAZZINO!$B$2:$M$4838,11,FALSE)</f>
        <v/>
      </c>
      <c r="L1222" s="44">
        <f>+VLOOKUP($A1222,MAGAZZINO!$B$2:$M$4838,12,FALSE)</f>
        <v/>
      </c>
    </row>
    <row r="1223" ht="36" customHeight="1">
      <c r="A1223" s="30">
        <f>+REGISTRO!A1206</f>
        <v/>
      </c>
      <c r="B1223" s="31">
        <f>+VLOOKUP($A1223,MAGAZZINO!$B$2:$M$4838,2,FALSE)</f>
        <v/>
      </c>
      <c r="C1223" s="32">
        <f>+VLOOKUP($A1223,MAGAZZINO!$B$2:$M$4838,3,FALSE)</f>
        <v/>
      </c>
      <c r="D1223" s="17">
        <f>+VLOOKUP($A1223,MAGAZZINO!$B$2:$M$4838,4,FALSE)</f>
        <v/>
      </c>
      <c r="E1223" s="17">
        <f>+VLOOKUP($A1223,MAGAZZINO!$B$2:$M$4838,5,FALSE)</f>
        <v/>
      </c>
      <c r="F1223" s="17">
        <f>+VLOOKUP($A1223,MAGAZZINO!$B$2:$M$4838,6,FALSE)</f>
        <v/>
      </c>
      <c r="G1223" s="17">
        <f>+VLOOKUP($A1223,MAGAZZINO!$B$2:$M$4838,7,FALSE)</f>
        <v/>
      </c>
      <c r="H1223" s="17">
        <f>+VLOOKUP($A1223,MAGAZZINO!$B$2:$M$4838,8,FALSE)</f>
        <v/>
      </c>
      <c r="I1223" s="17">
        <f>+VLOOKUP($A1223,MAGAZZINO!$B$2:$M$4838,9,FALSE)</f>
        <v/>
      </c>
      <c r="J1223" s="17">
        <f>+VLOOKUP($A1223,MAGAZZINO!$B$2:$M$4838,10,FALSE)</f>
        <v/>
      </c>
      <c r="K1223" s="17">
        <f>+VLOOKUP($A1223,MAGAZZINO!$B$2:$M$4838,11,FALSE)</f>
        <v/>
      </c>
      <c r="L1223" s="44">
        <f>+VLOOKUP($A1223,MAGAZZINO!$B$2:$M$4838,12,FALSE)</f>
        <v/>
      </c>
    </row>
    <row r="1224" ht="36" customHeight="1">
      <c r="A1224" s="30">
        <f>+REGISTRO!A1207</f>
        <v/>
      </c>
      <c r="B1224" s="31">
        <f>+VLOOKUP($A1224,MAGAZZINO!$B$2:$M$4838,2,FALSE)</f>
        <v/>
      </c>
      <c r="C1224" s="32">
        <f>+VLOOKUP($A1224,MAGAZZINO!$B$2:$M$4838,3,FALSE)</f>
        <v/>
      </c>
      <c r="D1224" s="17">
        <f>+VLOOKUP($A1224,MAGAZZINO!$B$2:$M$4838,4,FALSE)</f>
        <v/>
      </c>
      <c r="E1224" s="17">
        <f>+VLOOKUP($A1224,MAGAZZINO!$B$2:$M$4838,5,FALSE)</f>
        <v/>
      </c>
      <c r="F1224" s="17">
        <f>+VLOOKUP($A1224,MAGAZZINO!$B$2:$M$4838,6,FALSE)</f>
        <v/>
      </c>
      <c r="G1224" s="17">
        <f>+VLOOKUP($A1224,MAGAZZINO!$B$2:$M$4838,7,FALSE)</f>
        <v/>
      </c>
      <c r="H1224" s="17">
        <f>+VLOOKUP($A1224,MAGAZZINO!$B$2:$M$4838,8,FALSE)</f>
        <v/>
      </c>
      <c r="I1224" s="17">
        <f>+VLOOKUP($A1224,MAGAZZINO!$B$2:$M$4838,9,FALSE)</f>
        <v/>
      </c>
      <c r="J1224" s="17">
        <f>+VLOOKUP($A1224,MAGAZZINO!$B$2:$M$4838,10,FALSE)</f>
        <v/>
      </c>
      <c r="K1224" s="17">
        <f>+VLOOKUP($A1224,MAGAZZINO!$B$2:$M$4838,11,FALSE)</f>
        <v/>
      </c>
      <c r="L1224" s="44">
        <f>+VLOOKUP($A1224,MAGAZZINO!$B$2:$M$4838,12,FALSE)</f>
        <v/>
      </c>
    </row>
    <row r="1225" ht="36" customHeight="1">
      <c r="A1225" s="30">
        <f>+REGISTRO!A1208</f>
        <v/>
      </c>
      <c r="B1225" s="31">
        <f>+VLOOKUP($A1225,MAGAZZINO!$B$2:$M$4838,2,FALSE)</f>
        <v/>
      </c>
      <c r="C1225" s="32">
        <f>+VLOOKUP($A1225,MAGAZZINO!$B$2:$M$4838,3,FALSE)</f>
        <v/>
      </c>
      <c r="D1225" s="17">
        <f>+VLOOKUP($A1225,MAGAZZINO!$B$2:$M$4838,4,FALSE)</f>
        <v/>
      </c>
      <c r="E1225" s="17">
        <f>+VLOOKUP($A1225,MAGAZZINO!$B$2:$M$4838,5,FALSE)</f>
        <v/>
      </c>
      <c r="F1225" s="17">
        <f>+VLOOKUP($A1225,MAGAZZINO!$B$2:$M$4838,6,FALSE)</f>
        <v/>
      </c>
      <c r="G1225" s="17">
        <f>+VLOOKUP($A1225,MAGAZZINO!$B$2:$M$4838,7,FALSE)</f>
        <v/>
      </c>
      <c r="H1225" s="17">
        <f>+VLOOKUP($A1225,MAGAZZINO!$B$2:$M$4838,8,FALSE)</f>
        <v/>
      </c>
      <c r="I1225" s="17">
        <f>+VLOOKUP($A1225,MAGAZZINO!$B$2:$M$4838,9,FALSE)</f>
        <v/>
      </c>
      <c r="J1225" s="17">
        <f>+VLOOKUP($A1225,MAGAZZINO!$B$2:$M$4838,10,FALSE)</f>
        <v/>
      </c>
      <c r="K1225" s="17">
        <f>+VLOOKUP($A1225,MAGAZZINO!$B$2:$M$4838,11,FALSE)</f>
        <v/>
      </c>
      <c r="L1225" s="44">
        <f>+VLOOKUP($A1225,MAGAZZINO!$B$2:$M$4838,12,FALSE)</f>
        <v/>
      </c>
    </row>
    <row r="1226" ht="36" customHeight="1">
      <c r="A1226" s="30">
        <f>+REGISTRO!A1209</f>
        <v/>
      </c>
      <c r="B1226" s="31">
        <f>+VLOOKUP($A1226,MAGAZZINO!$B$2:$M$4838,2,FALSE)</f>
        <v/>
      </c>
      <c r="C1226" s="32">
        <f>+VLOOKUP($A1226,MAGAZZINO!$B$2:$M$4838,3,FALSE)</f>
        <v/>
      </c>
      <c r="D1226" s="17">
        <f>+VLOOKUP($A1226,MAGAZZINO!$B$2:$M$4838,4,FALSE)</f>
        <v/>
      </c>
      <c r="E1226" s="17">
        <f>+VLOOKUP($A1226,MAGAZZINO!$B$2:$M$4838,5,FALSE)</f>
        <v/>
      </c>
      <c r="F1226" s="17">
        <f>+VLOOKUP($A1226,MAGAZZINO!$B$2:$M$4838,6,FALSE)</f>
        <v/>
      </c>
      <c r="G1226" s="17">
        <f>+VLOOKUP($A1226,MAGAZZINO!$B$2:$M$4838,7,FALSE)</f>
        <v/>
      </c>
      <c r="H1226" s="17">
        <f>+VLOOKUP($A1226,MAGAZZINO!$B$2:$M$4838,8,FALSE)</f>
        <v/>
      </c>
      <c r="I1226" s="17">
        <f>+VLOOKUP($A1226,MAGAZZINO!$B$2:$M$4838,9,FALSE)</f>
        <v/>
      </c>
      <c r="J1226" s="17">
        <f>+VLOOKUP($A1226,MAGAZZINO!$B$2:$M$4838,10,FALSE)</f>
        <v/>
      </c>
      <c r="K1226" s="17">
        <f>+VLOOKUP($A1226,MAGAZZINO!$B$2:$M$4838,11,FALSE)</f>
        <v/>
      </c>
      <c r="L1226" s="44">
        <f>+VLOOKUP($A1226,MAGAZZINO!$B$2:$M$4838,12,FALSE)</f>
        <v/>
      </c>
    </row>
    <row r="1227" ht="36" customHeight="1">
      <c r="A1227" s="30">
        <f>+REGISTRO!A1210</f>
        <v/>
      </c>
      <c r="B1227" s="31">
        <f>+VLOOKUP($A1227,MAGAZZINO!$B$2:$M$4838,2,FALSE)</f>
        <v/>
      </c>
      <c r="C1227" s="32">
        <f>+VLOOKUP($A1227,MAGAZZINO!$B$2:$M$4838,3,FALSE)</f>
        <v/>
      </c>
      <c r="D1227" s="17">
        <f>+VLOOKUP($A1227,MAGAZZINO!$B$2:$M$4838,4,FALSE)</f>
        <v/>
      </c>
      <c r="E1227" s="17">
        <f>+VLOOKUP($A1227,MAGAZZINO!$B$2:$M$4838,5,FALSE)</f>
        <v/>
      </c>
      <c r="F1227" s="17">
        <f>+VLOOKUP($A1227,MAGAZZINO!$B$2:$M$4838,6,FALSE)</f>
        <v/>
      </c>
      <c r="G1227" s="17">
        <f>+VLOOKUP($A1227,MAGAZZINO!$B$2:$M$4838,7,FALSE)</f>
        <v/>
      </c>
      <c r="H1227" s="17">
        <f>+VLOOKUP($A1227,MAGAZZINO!$B$2:$M$4838,8,FALSE)</f>
        <v/>
      </c>
      <c r="I1227" s="17">
        <f>+VLOOKUP($A1227,MAGAZZINO!$B$2:$M$4838,9,FALSE)</f>
        <v/>
      </c>
      <c r="J1227" s="17">
        <f>+VLOOKUP($A1227,MAGAZZINO!$B$2:$M$4838,10,FALSE)</f>
        <v/>
      </c>
      <c r="K1227" s="17">
        <f>+VLOOKUP($A1227,MAGAZZINO!$B$2:$M$4838,11,FALSE)</f>
        <v/>
      </c>
      <c r="L1227" s="44">
        <f>+VLOOKUP($A1227,MAGAZZINO!$B$2:$M$4838,12,FALSE)</f>
        <v/>
      </c>
    </row>
    <row r="1228" ht="36" customHeight="1">
      <c r="A1228" s="30">
        <f>+REGISTRO!A1211</f>
        <v/>
      </c>
      <c r="B1228" s="31">
        <f>+VLOOKUP($A1228,MAGAZZINO!$B$2:$M$4838,2,FALSE)</f>
        <v/>
      </c>
      <c r="C1228" s="32">
        <f>+VLOOKUP($A1228,MAGAZZINO!$B$2:$M$4838,3,FALSE)</f>
        <v/>
      </c>
      <c r="D1228" s="17">
        <f>+VLOOKUP($A1228,MAGAZZINO!$B$2:$M$4838,4,FALSE)</f>
        <v/>
      </c>
      <c r="E1228" s="17">
        <f>+VLOOKUP($A1228,MAGAZZINO!$B$2:$M$4838,5,FALSE)</f>
        <v/>
      </c>
      <c r="F1228" s="17">
        <f>+VLOOKUP($A1228,MAGAZZINO!$B$2:$M$4838,6,FALSE)</f>
        <v/>
      </c>
      <c r="G1228" s="17">
        <f>+VLOOKUP($A1228,MAGAZZINO!$B$2:$M$4838,7,FALSE)</f>
        <v/>
      </c>
      <c r="H1228" s="17">
        <f>+VLOOKUP($A1228,MAGAZZINO!$B$2:$M$4838,8,FALSE)</f>
        <v/>
      </c>
      <c r="I1228" s="17">
        <f>+VLOOKUP($A1228,MAGAZZINO!$B$2:$M$4838,9,FALSE)</f>
        <v/>
      </c>
      <c r="J1228" s="17">
        <f>+VLOOKUP($A1228,MAGAZZINO!$B$2:$M$4838,10,FALSE)</f>
        <v/>
      </c>
      <c r="K1228" s="17">
        <f>+VLOOKUP($A1228,MAGAZZINO!$B$2:$M$4838,11,FALSE)</f>
        <v/>
      </c>
      <c r="L1228" s="44">
        <f>+VLOOKUP($A1228,MAGAZZINO!$B$2:$M$4838,12,FALSE)</f>
        <v/>
      </c>
    </row>
    <row r="1229" ht="36" customHeight="1">
      <c r="A1229" s="30">
        <f>+REGISTRO!A1212</f>
        <v/>
      </c>
      <c r="B1229" s="31">
        <f>+VLOOKUP($A1229,MAGAZZINO!$B$2:$M$4838,2,FALSE)</f>
        <v/>
      </c>
      <c r="C1229" s="32">
        <f>+VLOOKUP($A1229,MAGAZZINO!$B$2:$M$4838,3,FALSE)</f>
        <v/>
      </c>
      <c r="D1229" s="17">
        <f>+VLOOKUP($A1229,MAGAZZINO!$B$2:$M$4838,4,FALSE)</f>
        <v/>
      </c>
      <c r="E1229" s="17">
        <f>+VLOOKUP($A1229,MAGAZZINO!$B$2:$M$4838,5,FALSE)</f>
        <v/>
      </c>
      <c r="F1229" s="17">
        <f>+VLOOKUP($A1229,MAGAZZINO!$B$2:$M$4838,6,FALSE)</f>
        <v/>
      </c>
      <c r="G1229" s="17">
        <f>+VLOOKUP($A1229,MAGAZZINO!$B$2:$M$4838,7,FALSE)</f>
        <v/>
      </c>
      <c r="H1229" s="17">
        <f>+VLOOKUP($A1229,MAGAZZINO!$B$2:$M$4838,8,FALSE)</f>
        <v/>
      </c>
      <c r="I1229" s="17">
        <f>+VLOOKUP($A1229,MAGAZZINO!$B$2:$M$4838,9,FALSE)</f>
        <v/>
      </c>
      <c r="J1229" s="17">
        <f>+VLOOKUP($A1229,MAGAZZINO!$B$2:$M$4838,10,FALSE)</f>
        <v/>
      </c>
      <c r="K1229" s="17">
        <f>+VLOOKUP($A1229,MAGAZZINO!$B$2:$M$4838,11,FALSE)</f>
        <v/>
      </c>
      <c r="L1229" s="44">
        <f>+VLOOKUP($A1229,MAGAZZINO!$B$2:$M$4838,12,FALSE)</f>
        <v/>
      </c>
    </row>
    <row r="1230" ht="36" customHeight="1">
      <c r="A1230" s="30">
        <f>+REGISTRO!A1213</f>
        <v/>
      </c>
      <c r="B1230" s="31">
        <f>+VLOOKUP($A1230,MAGAZZINO!$B$2:$M$4838,2,FALSE)</f>
        <v/>
      </c>
      <c r="C1230" s="32">
        <f>+VLOOKUP($A1230,MAGAZZINO!$B$2:$M$4838,3,FALSE)</f>
        <v/>
      </c>
      <c r="D1230" s="17">
        <f>+VLOOKUP($A1230,MAGAZZINO!$B$2:$M$4838,4,FALSE)</f>
        <v/>
      </c>
      <c r="E1230" s="17">
        <f>+VLOOKUP($A1230,MAGAZZINO!$B$2:$M$4838,5,FALSE)</f>
        <v/>
      </c>
      <c r="F1230" s="17">
        <f>+VLOOKUP($A1230,MAGAZZINO!$B$2:$M$4838,6,FALSE)</f>
        <v/>
      </c>
      <c r="G1230" s="17">
        <f>+VLOOKUP($A1230,MAGAZZINO!$B$2:$M$4838,7,FALSE)</f>
        <v/>
      </c>
      <c r="H1230" s="17">
        <f>+VLOOKUP($A1230,MAGAZZINO!$B$2:$M$4838,8,FALSE)</f>
        <v/>
      </c>
      <c r="I1230" s="17">
        <f>+VLOOKUP($A1230,MAGAZZINO!$B$2:$M$4838,9,FALSE)</f>
        <v/>
      </c>
      <c r="J1230" s="17">
        <f>+VLOOKUP($A1230,MAGAZZINO!$B$2:$M$4838,10,FALSE)</f>
        <v/>
      </c>
      <c r="K1230" s="17">
        <f>+VLOOKUP($A1230,MAGAZZINO!$B$2:$M$4838,11,FALSE)</f>
        <v/>
      </c>
      <c r="L1230" s="44">
        <f>+VLOOKUP($A1230,MAGAZZINO!$B$2:$M$4838,12,FALSE)</f>
        <v/>
      </c>
    </row>
    <row r="1231" ht="36" customHeight="1">
      <c r="A1231" s="30">
        <f>+REGISTRO!A1214</f>
        <v/>
      </c>
      <c r="B1231" s="31">
        <f>+VLOOKUP($A1231,MAGAZZINO!$B$2:$M$4838,2,FALSE)</f>
        <v/>
      </c>
      <c r="C1231" s="32">
        <f>+VLOOKUP($A1231,MAGAZZINO!$B$2:$M$4838,3,FALSE)</f>
        <v/>
      </c>
      <c r="D1231" s="17">
        <f>+VLOOKUP($A1231,MAGAZZINO!$B$2:$M$4838,4,FALSE)</f>
        <v/>
      </c>
      <c r="E1231" s="17">
        <f>+VLOOKUP($A1231,MAGAZZINO!$B$2:$M$4838,5,FALSE)</f>
        <v/>
      </c>
      <c r="F1231" s="17">
        <f>+VLOOKUP($A1231,MAGAZZINO!$B$2:$M$4838,6,FALSE)</f>
        <v/>
      </c>
      <c r="G1231" s="17">
        <f>+VLOOKUP($A1231,MAGAZZINO!$B$2:$M$4838,7,FALSE)</f>
        <v/>
      </c>
      <c r="H1231" s="17">
        <f>+VLOOKUP($A1231,MAGAZZINO!$B$2:$M$4838,8,FALSE)</f>
        <v/>
      </c>
      <c r="I1231" s="17">
        <f>+VLOOKUP($A1231,MAGAZZINO!$B$2:$M$4838,9,FALSE)</f>
        <v/>
      </c>
      <c r="J1231" s="17">
        <f>+VLOOKUP($A1231,MAGAZZINO!$B$2:$M$4838,10,FALSE)</f>
        <v/>
      </c>
      <c r="K1231" s="17">
        <f>+VLOOKUP($A1231,MAGAZZINO!$B$2:$M$4838,11,FALSE)</f>
        <v/>
      </c>
      <c r="L1231" s="44">
        <f>+VLOOKUP($A1231,MAGAZZINO!$B$2:$M$4838,12,FALSE)</f>
        <v/>
      </c>
    </row>
    <row r="1232" ht="36" customHeight="1">
      <c r="A1232" s="30">
        <f>+REGISTRO!A1215</f>
        <v/>
      </c>
      <c r="B1232" s="31">
        <f>+VLOOKUP($A1232,MAGAZZINO!$B$2:$M$4838,2,FALSE)</f>
        <v/>
      </c>
      <c r="C1232" s="32">
        <f>+VLOOKUP($A1232,MAGAZZINO!$B$2:$M$4838,3,FALSE)</f>
        <v/>
      </c>
      <c r="D1232" s="17">
        <f>+VLOOKUP($A1232,MAGAZZINO!$B$2:$M$4838,4,FALSE)</f>
        <v/>
      </c>
      <c r="E1232" s="17">
        <f>+VLOOKUP($A1232,MAGAZZINO!$B$2:$M$4838,5,FALSE)</f>
        <v/>
      </c>
      <c r="F1232" s="17">
        <f>+VLOOKUP($A1232,MAGAZZINO!$B$2:$M$4838,6,FALSE)</f>
        <v/>
      </c>
      <c r="G1232" s="17">
        <f>+VLOOKUP($A1232,MAGAZZINO!$B$2:$M$4838,7,FALSE)</f>
        <v/>
      </c>
      <c r="H1232" s="17">
        <f>+VLOOKUP($A1232,MAGAZZINO!$B$2:$M$4838,8,FALSE)</f>
        <v/>
      </c>
      <c r="I1232" s="17">
        <f>+VLOOKUP($A1232,MAGAZZINO!$B$2:$M$4838,9,FALSE)</f>
        <v/>
      </c>
      <c r="J1232" s="17">
        <f>+VLOOKUP($A1232,MAGAZZINO!$B$2:$M$4838,10,FALSE)</f>
        <v/>
      </c>
      <c r="K1232" s="17">
        <f>+VLOOKUP($A1232,MAGAZZINO!$B$2:$M$4838,11,FALSE)</f>
        <v/>
      </c>
      <c r="L1232" s="44">
        <f>+VLOOKUP($A1232,MAGAZZINO!$B$2:$M$4838,12,FALSE)</f>
        <v/>
      </c>
    </row>
    <row r="1233" ht="36" customHeight="1">
      <c r="A1233" s="30">
        <f>+REGISTRO!A1216</f>
        <v/>
      </c>
      <c r="B1233" s="31">
        <f>+VLOOKUP($A1233,MAGAZZINO!$B$2:$M$4838,2,FALSE)</f>
        <v/>
      </c>
      <c r="C1233" s="32">
        <f>+VLOOKUP($A1233,MAGAZZINO!$B$2:$M$4838,3,FALSE)</f>
        <v/>
      </c>
      <c r="D1233" s="17">
        <f>+VLOOKUP($A1233,MAGAZZINO!$B$2:$M$4838,4,FALSE)</f>
        <v/>
      </c>
      <c r="E1233" s="17">
        <f>+VLOOKUP($A1233,MAGAZZINO!$B$2:$M$4838,5,FALSE)</f>
        <v/>
      </c>
      <c r="F1233" s="17">
        <f>+VLOOKUP($A1233,MAGAZZINO!$B$2:$M$4838,6,FALSE)</f>
        <v/>
      </c>
      <c r="G1233" s="17">
        <f>+VLOOKUP($A1233,MAGAZZINO!$B$2:$M$4838,7,FALSE)</f>
        <v/>
      </c>
      <c r="H1233" s="17">
        <f>+VLOOKUP($A1233,MAGAZZINO!$B$2:$M$4838,8,FALSE)</f>
        <v/>
      </c>
      <c r="I1233" s="17">
        <f>+VLOOKUP($A1233,MAGAZZINO!$B$2:$M$4838,9,FALSE)</f>
        <v/>
      </c>
      <c r="J1233" s="17">
        <f>+VLOOKUP($A1233,MAGAZZINO!$B$2:$M$4838,10,FALSE)</f>
        <v/>
      </c>
      <c r="K1233" s="17">
        <f>+VLOOKUP($A1233,MAGAZZINO!$B$2:$M$4838,11,FALSE)</f>
        <v/>
      </c>
      <c r="L1233" s="44">
        <f>+VLOOKUP($A1233,MAGAZZINO!$B$2:$M$4838,12,FALSE)</f>
        <v/>
      </c>
    </row>
    <row r="1234" ht="36" customHeight="1">
      <c r="A1234" s="30">
        <f>+REGISTRO!A1217</f>
        <v/>
      </c>
      <c r="B1234" s="31">
        <f>+VLOOKUP($A1234,MAGAZZINO!$B$2:$M$4838,2,FALSE)</f>
        <v/>
      </c>
      <c r="C1234" s="32">
        <f>+VLOOKUP($A1234,MAGAZZINO!$B$2:$M$4838,3,FALSE)</f>
        <v/>
      </c>
      <c r="D1234" s="17">
        <f>+VLOOKUP($A1234,MAGAZZINO!$B$2:$M$4838,4,FALSE)</f>
        <v/>
      </c>
      <c r="E1234" s="17">
        <f>+VLOOKUP($A1234,MAGAZZINO!$B$2:$M$4838,5,FALSE)</f>
        <v/>
      </c>
      <c r="F1234" s="17">
        <f>+VLOOKUP($A1234,MAGAZZINO!$B$2:$M$4838,6,FALSE)</f>
        <v/>
      </c>
      <c r="G1234" s="17">
        <f>+VLOOKUP($A1234,MAGAZZINO!$B$2:$M$4838,7,FALSE)</f>
        <v/>
      </c>
      <c r="H1234" s="17">
        <f>+VLOOKUP($A1234,MAGAZZINO!$B$2:$M$4838,8,FALSE)</f>
        <v/>
      </c>
      <c r="I1234" s="17">
        <f>+VLOOKUP($A1234,MAGAZZINO!$B$2:$M$4838,9,FALSE)</f>
        <v/>
      </c>
      <c r="J1234" s="17">
        <f>+VLOOKUP($A1234,MAGAZZINO!$B$2:$M$4838,10,FALSE)</f>
        <v/>
      </c>
      <c r="K1234" s="17">
        <f>+VLOOKUP($A1234,MAGAZZINO!$B$2:$M$4838,11,FALSE)</f>
        <v/>
      </c>
      <c r="L1234" s="44">
        <f>+VLOOKUP($A1234,MAGAZZINO!$B$2:$M$4838,12,FALSE)</f>
        <v/>
      </c>
    </row>
    <row r="1235" ht="36" customHeight="1">
      <c r="A1235" s="30">
        <f>+REGISTRO!A1218</f>
        <v/>
      </c>
      <c r="B1235" s="31">
        <f>+VLOOKUP($A1235,MAGAZZINO!$B$2:$M$4838,2,FALSE)</f>
        <v/>
      </c>
      <c r="C1235" s="32">
        <f>+VLOOKUP($A1235,MAGAZZINO!$B$2:$M$4838,3,FALSE)</f>
        <v/>
      </c>
      <c r="D1235" s="17">
        <f>+VLOOKUP($A1235,MAGAZZINO!$B$2:$M$4838,4,FALSE)</f>
        <v/>
      </c>
      <c r="E1235" s="17">
        <f>+VLOOKUP($A1235,MAGAZZINO!$B$2:$M$4838,5,FALSE)</f>
        <v/>
      </c>
      <c r="F1235" s="17">
        <f>+VLOOKUP($A1235,MAGAZZINO!$B$2:$M$4838,6,FALSE)</f>
        <v/>
      </c>
      <c r="G1235" s="17">
        <f>+VLOOKUP($A1235,MAGAZZINO!$B$2:$M$4838,7,FALSE)</f>
        <v/>
      </c>
      <c r="H1235" s="17">
        <f>+VLOOKUP($A1235,MAGAZZINO!$B$2:$M$4838,8,FALSE)</f>
        <v/>
      </c>
      <c r="I1235" s="17">
        <f>+VLOOKUP($A1235,MAGAZZINO!$B$2:$M$4838,9,FALSE)</f>
        <v/>
      </c>
      <c r="J1235" s="17">
        <f>+VLOOKUP($A1235,MAGAZZINO!$B$2:$M$4838,10,FALSE)</f>
        <v/>
      </c>
      <c r="K1235" s="17">
        <f>+VLOOKUP($A1235,MAGAZZINO!$B$2:$M$4838,11,FALSE)</f>
        <v/>
      </c>
      <c r="L1235" s="44">
        <f>+VLOOKUP($A1235,MAGAZZINO!$B$2:$M$4838,12,FALSE)</f>
        <v/>
      </c>
    </row>
    <row r="1236" ht="36" customHeight="1">
      <c r="A1236" s="30">
        <f>+REGISTRO!A1219</f>
        <v/>
      </c>
      <c r="B1236" s="31">
        <f>+VLOOKUP($A1236,MAGAZZINO!$B$2:$M$4838,2,FALSE)</f>
        <v/>
      </c>
      <c r="C1236" s="32">
        <f>+VLOOKUP($A1236,MAGAZZINO!$B$2:$M$4838,3,FALSE)</f>
        <v/>
      </c>
      <c r="D1236" s="17">
        <f>+VLOOKUP($A1236,MAGAZZINO!$B$2:$M$4838,4,FALSE)</f>
        <v/>
      </c>
      <c r="E1236" s="17">
        <f>+VLOOKUP($A1236,MAGAZZINO!$B$2:$M$4838,5,FALSE)</f>
        <v/>
      </c>
      <c r="F1236" s="17">
        <f>+VLOOKUP($A1236,MAGAZZINO!$B$2:$M$4838,6,FALSE)</f>
        <v/>
      </c>
      <c r="G1236" s="17">
        <f>+VLOOKUP($A1236,MAGAZZINO!$B$2:$M$4838,7,FALSE)</f>
        <v/>
      </c>
      <c r="H1236" s="17">
        <f>+VLOOKUP($A1236,MAGAZZINO!$B$2:$M$4838,8,FALSE)</f>
        <v/>
      </c>
      <c r="I1236" s="17">
        <f>+VLOOKUP($A1236,MAGAZZINO!$B$2:$M$4838,9,FALSE)</f>
        <v/>
      </c>
      <c r="J1236" s="17">
        <f>+VLOOKUP($A1236,MAGAZZINO!$B$2:$M$4838,10,FALSE)</f>
        <v/>
      </c>
      <c r="K1236" s="17">
        <f>+VLOOKUP($A1236,MAGAZZINO!$B$2:$M$4838,11,FALSE)</f>
        <v/>
      </c>
      <c r="L1236" s="44">
        <f>+VLOOKUP($A1236,MAGAZZINO!$B$2:$M$4838,12,FALSE)</f>
        <v/>
      </c>
    </row>
    <row r="1237" ht="36" customHeight="1">
      <c r="A1237" s="30">
        <f>+REGISTRO!A1220</f>
        <v/>
      </c>
      <c r="B1237" s="31">
        <f>+VLOOKUP($A1237,MAGAZZINO!$B$2:$M$4838,2,FALSE)</f>
        <v/>
      </c>
      <c r="C1237" s="32">
        <f>+VLOOKUP($A1237,MAGAZZINO!$B$2:$M$4838,3,FALSE)</f>
        <v/>
      </c>
      <c r="D1237" s="17">
        <f>+VLOOKUP($A1237,MAGAZZINO!$B$2:$M$4838,4,FALSE)</f>
        <v/>
      </c>
      <c r="E1237" s="17">
        <f>+VLOOKUP($A1237,MAGAZZINO!$B$2:$M$4838,5,FALSE)</f>
        <v/>
      </c>
      <c r="F1237" s="17">
        <f>+VLOOKUP($A1237,MAGAZZINO!$B$2:$M$4838,6,FALSE)</f>
        <v/>
      </c>
      <c r="G1237" s="17">
        <f>+VLOOKUP($A1237,MAGAZZINO!$B$2:$M$4838,7,FALSE)</f>
        <v/>
      </c>
      <c r="H1237" s="17">
        <f>+VLOOKUP($A1237,MAGAZZINO!$B$2:$M$4838,8,FALSE)</f>
        <v/>
      </c>
      <c r="I1237" s="17">
        <f>+VLOOKUP($A1237,MAGAZZINO!$B$2:$M$4838,9,FALSE)</f>
        <v/>
      </c>
      <c r="J1237" s="17">
        <f>+VLOOKUP($A1237,MAGAZZINO!$B$2:$M$4838,10,FALSE)</f>
        <v/>
      </c>
      <c r="K1237" s="17">
        <f>+VLOOKUP($A1237,MAGAZZINO!$B$2:$M$4838,11,FALSE)</f>
        <v/>
      </c>
      <c r="L1237" s="44">
        <f>+VLOOKUP($A1237,MAGAZZINO!$B$2:$M$4838,12,FALSE)</f>
        <v/>
      </c>
    </row>
    <row r="1238" ht="36" customHeight="1">
      <c r="A1238" s="30">
        <f>+REGISTRO!A1221</f>
        <v/>
      </c>
      <c r="B1238" s="31">
        <f>+VLOOKUP($A1238,MAGAZZINO!$B$2:$M$4838,2,FALSE)</f>
        <v/>
      </c>
      <c r="C1238" s="32">
        <f>+VLOOKUP($A1238,MAGAZZINO!$B$2:$M$4838,3,FALSE)</f>
        <v/>
      </c>
      <c r="D1238" s="17">
        <f>+VLOOKUP($A1238,MAGAZZINO!$B$2:$M$4838,4,FALSE)</f>
        <v/>
      </c>
      <c r="E1238" s="17">
        <f>+VLOOKUP($A1238,MAGAZZINO!$B$2:$M$4838,5,FALSE)</f>
        <v/>
      </c>
      <c r="F1238" s="17">
        <f>+VLOOKUP($A1238,MAGAZZINO!$B$2:$M$4838,6,FALSE)</f>
        <v/>
      </c>
      <c r="G1238" s="17">
        <f>+VLOOKUP($A1238,MAGAZZINO!$B$2:$M$4838,7,FALSE)</f>
        <v/>
      </c>
      <c r="H1238" s="17">
        <f>+VLOOKUP($A1238,MAGAZZINO!$B$2:$M$4838,8,FALSE)</f>
        <v/>
      </c>
      <c r="I1238" s="17">
        <f>+VLOOKUP($A1238,MAGAZZINO!$B$2:$M$4838,9,FALSE)</f>
        <v/>
      </c>
      <c r="J1238" s="17">
        <f>+VLOOKUP($A1238,MAGAZZINO!$B$2:$M$4838,10,FALSE)</f>
        <v/>
      </c>
      <c r="K1238" s="17">
        <f>+VLOOKUP($A1238,MAGAZZINO!$B$2:$M$4838,11,FALSE)</f>
        <v/>
      </c>
      <c r="L1238" s="44">
        <f>+VLOOKUP($A1238,MAGAZZINO!$B$2:$M$4838,12,FALSE)</f>
        <v/>
      </c>
    </row>
    <row r="1239" ht="36" customHeight="1">
      <c r="A1239" s="30">
        <f>+REGISTRO!A1222</f>
        <v/>
      </c>
      <c r="B1239" s="31">
        <f>+VLOOKUP($A1239,MAGAZZINO!$B$2:$M$4838,2,FALSE)</f>
        <v/>
      </c>
      <c r="C1239" s="32">
        <f>+VLOOKUP($A1239,MAGAZZINO!$B$2:$M$4838,3,FALSE)</f>
        <v/>
      </c>
      <c r="D1239" s="17">
        <f>+VLOOKUP($A1239,MAGAZZINO!$B$2:$M$4838,4,FALSE)</f>
        <v/>
      </c>
      <c r="E1239" s="17">
        <f>+VLOOKUP($A1239,MAGAZZINO!$B$2:$M$4838,5,FALSE)</f>
        <v/>
      </c>
      <c r="F1239" s="17">
        <f>+VLOOKUP($A1239,MAGAZZINO!$B$2:$M$4838,6,FALSE)</f>
        <v/>
      </c>
      <c r="G1239" s="17">
        <f>+VLOOKUP($A1239,MAGAZZINO!$B$2:$M$4838,7,FALSE)</f>
        <v/>
      </c>
      <c r="H1239" s="17">
        <f>+VLOOKUP($A1239,MAGAZZINO!$B$2:$M$4838,8,FALSE)</f>
        <v/>
      </c>
      <c r="I1239" s="17">
        <f>+VLOOKUP($A1239,MAGAZZINO!$B$2:$M$4838,9,FALSE)</f>
        <v/>
      </c>
      <c r="J1239" s="17">
        <f>+VLOOKUP($A1239,MAGAZZINO!$B$2:$M$4838,10,FALSE)</f>
        <v/>
      </c>
      <c r="K1239" s="17">
        <f>+VLOOKUP($A1239,MAGAZZINO!$B$2:$M$4838,11,FALSE)</f>
        <v/>
      </c>
      <c r="L1239" s="44">
        <f>+VLOOKUP($A1239,MAGAZZINO!$B$2:$M$4838,12,FALSE)</f>
        <v/>
      </c>
    </row>
    <row r="1240" ht="36" customHeight="1">
      <c r="A1240" s="30">
        <f>+REGISTRO!A1223</f>
        <v/>
      </c>
      <c r="B1240" s="31">
        <f>+VLOOKUP($A1240,MAGAZZINO!$B$2:$M$4838,2,FALSE)</f>
        <v/>
      </c>
      <c r="C1240" s="32">
        <f>+VLOOKUP($A1240,MAGAZZINO!$B$2:$M$4838,3,FALSE)</f>
        <v/>
      </c>
      <c r="D1240" s="17">
        <f>+VLOOKUP($A1240,MAGAZZINO!$B$2:$M$4838,4,FALSE)</f>
        <v/>
      </c>
      <c r="E1240" s="17">
        <f>+VLOOKUP($A1240,MAGAZZINO!$B$2:$M$4838,5,FALSE)</f>
        <v/>
      </c>
      <c r="F1240" s="17">
        <f>+VLOOKUP($A1240,MAGAZZINO!$B$2:$M$4838,6,FALSE)</f>
        <v/>
      </c>
      <c r="G1240" s="17">
        <f>+VLOOKUP($A1240,MAGAZZINO!$B$2:$M$4838,7,FALSE)</f>
        <v/>
      </c>
      <c r="H1240" s="17">
        <f>+VLOOKUP($A1240,MAGAZZINO!$B$2:$M$4838,8,FALSE)</f>
        <v/>
      </c>
      <c r="I1240" s="17">
        <f>+VLOOKUP($A1240,MAGAZZINO!$B$2:$M$4838,9,FALSE)</f>
        <v/>
      </c>
      <c r="J1240" s="17">
        <f>+VLOOKUP($A1240,MAGAZZINO!$B$2:$M$4838,10,FALSE)</f>
        <v/>
      </c>
      <c r="K1240" s="17">
        <f>+VLOOKUP($A1240,MAGAZZINO!$B$2:$M$4838,11,FALSE)</f>
        <v/>
      </c>
      <c r="L1240" s="44">
        <f>+VLOOKUP($A1240,MAGAZZINO!$B$2:$M$4838,12,FALSE)</f>
        <v/>
      </c>
    </row>
    <row r="1241" ht="36" customHeight="1">
      <c r="A1241" s="30">
        <f>+REGISTRO!A1224</f>
        <v/>
      </c>
      <c r="B1241" s="31">
        <f>+VLOOKUP($A1241,MAGAZZINO!$B$2:$M$4838,2,FALSE)</f>
        <v/>
      </c>
      <c r="C1241" s="32">
        <f>+VLOOKUP($A1241,MAGAZZINO!$B$2:$M$4838,3,FALSE)</f>
        <v/>
      </c>
      <c r="D1241" s="17">
        <f>+VLOOKUP($A1241,MAGAZZINO!$B$2:$M$4838,4,FALSE)</f>
        <v/>
      </c>
      <c r="E1241" s="17">
        <f>+VLOOKUP($A1241,MAGAZZINO!$B$2:$M$4838,5,FALSE)</f>
        <v/>
      </c>
      <c r="F1241" s="17">
        <f>+VLOOKUP($A1241,MAGAZZINO!$B$2:$M$4838,6,FALSE)</f>
        <v/>
      </c>
      <c r="G1241" s="17">
        <f>+VLOOKUP($A1241,MAGAZZINO!$B$2:$M$4838,7,FALSE)</f>
        <v/>
      </c>
      <c r="H1241" s="17">
        <f>+VLOOKUP($A1241,MAGAZZINO!$B$2:$M$4838,8,FALSE)</f>
        <v/>
      </c>
      <c r="I1241" s="17">
        <f>+VLOOKUP($A1241,MAGAZZINO!$B$2:$M$4838,9,FALSE)</f>
        <v/>
      </c>
      <c r="J1241" s="17">
        <f>+VLOOKUP($A1241,MAGAZZINO!$B$2:$M$4838,10,FALSE)</f>
        <v/>
      </c>
      <c r="K1241" s="17">
        <f>+VLOOKUP($A1241,MAGAZZINO!$B$2:$M$4838,11,FALSE)</f>
        <v/>
      </c>
      <c r="L1241" s="44">
        <f>+VLOOKUP($A1241,MAGAZZINO!$B$2:$M$4838,12,FALSE)</f>
        <v/>
      </c>
    </row>
    <row r="1242" ht="36" customHeight="1">
      <c r="A1242" s="30">
        <f>+REGISTRO!A1225</f>
        <v/>
      </c>
      <c r="B1242" s="31">
        <f>+VLOOKUP($A1242,MAGAZZINO!$B$2:$M$4838,2,FALSE)</f>
        <v/>
      </c>
      <c r="C1242" s="32">
        <f>+VLOOKUP($A1242,MAGAZZINO!$B$2:$M$4838,3,FALSE)</f>
        <v/>
      </c>
      <c r="D1242" s="17">
        <f>+VLOOKUP($A1242,MAGAZZINO!$B$2:$M$4838,4,FALSE)</f>
        <v/>
      </c>
      <c r="E1242" s="17">
        <f>+VLOOKUP($A1242,MAGAZZINO!$B$2:$M$4838,5,FALSE)</f>
        <v/>
      </c>
      <c r="F1242" s="17">
        <f>+VLOOKUP($A1242,MAGAZZINO!$B$2:$M$4838,6,FALSE)</f>
        <v/>
      </c>
      <c r="G1242" s="17">
        <f>+VLOOKUP($A1242,MAGAZZINO!$B$2:$M$4838,7,FALSE)</f>
        <v/>
      </c>
      <c r="H1242" s="17">
        <f>+VLOOKUP($A1242,MAGAZZINO!$B$2:$M$4838,8,FALSE)</f>
        <v/>
      </c>
      <c r="I1242" s="17">
        <f>+VLOOKUP($A1242,MAGAZZINO!$B$2:$M$4838,9,FALSE)</f>
        <v/>
      </c>
      <c r="J1242" s="17">
        <f>+VLOOKUP($A1242,MAGAZZINO!$B$2:$M$4838,10,FALSE)</f>
        <v/>
      </c>
      <c r="K1242" s="17">
        <f>+VLOOKUP($A1242,MAGAZZINO!$B$2:$M$4838,11,FALSE)</f>
        <v/>
      </c>
      <c r="L1242" s="44">
        <f>+VLOOKUP($A1242,MAGAZZINO!$B$2:$M$4838,12,FALSE)</f>
        <v/>
      </c>
    </row>
    <row r="1243" ht="36" customHeight="1">
      <c r="A1243" s="30">
        <f>+REGISTRO!A1226</f>
        <v/>
      </c>
      <c r="B1243" s="31">
        <f>+VLOOKUP($A1243,MAGAZZINO!$B$2:$M$4838,2,FALSE)</f>
        <v/>
      </c>
      <c r="C1243" s="32">
        <f>+VLOOKUP($A1243,MAGAZZINO!$B$2:$M$4838,3,FALSE)</f>
        <v/>
      </c>
      <c r="D1243" s="17">
        <f>+VLOOKUP($A1243,MAGAZZINO!$B$2:$M$4838,4,FALSE)</f>
        <v/>
      </c>
      <c r="E1243" s="17">
        <f>+VLOOKUP($A1243,MAGAZZINO!$B$2:$M$4838,5,FALSE)</f>
        <v/>
      </c>
      <c r="F1243" s="17">
        <f>+VLOOKUP($A1243,MAGAZZINO!$B$2:$M$4838,6,FALSE)</f>
        <v/>
      </c>
      <c r="G1243" s="17">
        <f>+VLOOKUP($A1243,MAGAZZINO!$B$2:$M$4838,7,FALSE)</f>
        <v/>
      </c>
      <c r="H1243" s="17">
        <f>+VLOOKUP($A1243,MAGAZZINO!$B$2:$M$4838,8,FALSE)</f>
        <v/>
      </c>
      <c r="I1243" s="17">
        <f>+VLOOKUP($A1243,MAGAZZINO!$B$2:$M$4838,9,FALSE)</f>
        <v/>
      </c>
      <c r="J1243" s="17">
        <f>+VLOOKUP($A1243,MAGAZZINO!$B$2:$M$4838,10,FALSE)</f>
        <v/>
      </c>
      <c r="K1243" s="17">
        <f>+VLOOKUP($A1243,MAGAZZINO!$B$2:$M$4838,11,FALSE)</f>
        <v/>
      </c>
      <c r="L1243" s="44">
        <f>+VLOOKUP($A1243,MAGAZZINO!$B$2:$M$4838,12,FALSE)</f>
        <v/>
      </c>
    </row>
    <row r="1244" ht="36" customHeight="1">
      <c r="A1244" s="30">
        <f>+REGISTRO!A1227</f>
        <v/>
      </c>
      <c r="B1244" s="31">
        <f>+VLOOKUP($A1244,MAGAZZINO!$B$2:$M$4838,2,FALSE)</f>
        <v/>
      </c>
      <c r="C1244" s="32">
        <f>+VLOOKUP($A1244,MAGAZZINO!$B$2:$M$4838,3,FALSE)</f>
        <v/>
      </c>
      <c r="D1244" s="17">
        <f>+VLOOKUP($A1244,MAGAZZINO!$B$2:$M$4838,4,FALSE)</f>
        <v/>
      </c>
      <c r="E1244" s="17">
        <f>+VLOOKUP($A1244,MAGAZZINO!$B$2:$M$4838,5,FALSE)</f>
        <v/>
      </c>
      <c r="F1244" s="17">
        <f>+VLOOKUP($A1244,MAGAZZINO!$B$2:$M$4838,6,FALSE)</f>
        <v/>
      </c>
      <c r="G1244" s="17">
        <f>+VLOOKUP($A1244,MAGAZZINO!$B$2:$M$4838,7,FALSE)</f>
        <v/>
      </c>
      <c r="H1244" s="17">
        <f>+VLOOKUP($A1244,MAGAZZINO!$B$2:$M$4838,8,FALSE)</f>
        <v/>
      </c>
      <c r="I1244" s="17">
        <f>+VLOOKUP($A1244,MAGAZZINO!$B$2:$M$4838,9,FALSE)</f>
        <v/>
      </c>
      <c r="J1244" s="17">
        <f>+VLOOKUP($A1244,MAGAZZINO!$B$2:$M$4838,10,FALSE)</f>
        <v/>
      </c>
      <c r="K1244" s="17">
        <f>+VLOOKUP($A1244,MAGAZZINO!$B$2:$M$4838,11,FALSE)</f>
        <v/>
      </c>
      <c r="L1244" s="44">
        <f>+VLOOKUP($A1244,MAGAZZINO!$B$2:$M$4838,12,FALSE)</f>
        <v/>
      </c>
    </row>
    <row r="1245" ht="36" customHeight="1">
      <c r="A1245" s="30">
        <f>+REGISTRO!A1228</f>
        <v/>
      </c>
      <c r="B1245" s="31">
        <f>+VLOOKUP($A1245,MAGAZZINO!$B$2:$M$4838,2,FALSE)</f>
        <v/>
      </c>
      <c r="C1245" s="32">
        <f>+VLOOKUP($A1245,MAGAZZINO!$B$2:$M$4838,3,FALSE)</f>
        <v/>
      </c>
      <c r="D1245" s="17">
        <f>+VLOOKUP($A1245,MAGAZZINO!$B$2:$M$4838,4,FALSE)</f>
        <v/>
      </c>
      <c r="E1245" s="17">
        <f>+VLOOKUP($A1245,MAGAZZINO!$B$2:$M$4838,5,FALSE)</f>
        <v/>
      </c>
      <c r="F1245" s="17">
        <f>+VLOOKUP($A1245,MAGAZZINO!$B$2:$M$4838,6,FALSE)</f>
        <v/>
      </c>
      <c r="G1245" s="17">
        <f>+VLOOKUP($A1245,MAGAZZINO!$B$2:$M$4838,7,FALSE)</f>
        <v/>
      </c>
      <c r="H1245" s="17">
        <f>+VLOOKUP($A1245,MAGAZZINO!$B$2:$M$4838,8,FALSE)</f>
        <v/>
      </c>
      <c r="I1245" s="17">
        <f>+VLOOKUP($A1245,MAGAZZINO!$B$2:$M$4838,9,FALSE)</f>
        <v/>
      </c>
      <c r="J1245" s="17">
        <f>+VLOOKUP($A1245,MAGAZZINO!$B$2:$M$4838,10,FALSE)</f>
        <v/>
      </c>
      <c r="K1245" s="17">
        <f>+VLOOKUP($A1245,MAGAZZINO!$B$2:$M$4838,11,FALSE)</f>
        <v/>
      </c>
      <c r="L1245" s="44">
        <f>+VLOOKUP($A1245,MAGAZZINO!$B$2:$M$4838,12,FALSE)</f>
        <v/>
      </c>
    </row>
    <row r="1246" ht="36" customHeight="1">
      <c r="A1246" s="30">
        <f>+REGISTRO!A1229</f>
        <v/>
      </c>
      <c r="B1246" s="31">
        <f>+VLOOKUP($A1246,MAGAZZINO!$B$2:$M$4838,2,FALSE)</f>
        <v/>
      </c>
      <c r="C1246" s="32">
        <f>+VLOOKUP($A1246,MAGAZZINO!$B$2:$M$4838,3,FALSE)</f>
        <v/>
      </c>
      <c r="D1246" s="17">
        <f>+VLOOKUP($A1246,MAGAZZINO!$B$2:$M$4838,4,FALSE)</f>
        <v/>
      </c>
      <c r="E1246" s="17">
        <f>+VLOOKUP($A1246,MAGAZZINO!$B$2:$M$4838,5,FALSE)</f>
        <v/>
      </c>
      <c r="F1246" s="17">
        <f>+VLOOKUP($A1246,MAGAZZINO!$B$2:$M$4838,6,FALSE)</f>
        <v/>
      </c>
      <c r="G1246" s="17">
        <f>+VLOOKUP($A1246,MAGAZZINO!$B$2:$M$4838,7,FALSE)</f>
        <v/>
      </c>
      <c r="H1246" s="17">
        <f>+VLOOKUP($A1246,MAGAZZINO!$B$2:$M$4838,8,FALSE)</f>
        <v/>
      </c>
      <c r="I1246" s="17">
        <f>+VLOOKUP($A1246,MAGAZZINO!$B$2:$M$4838,9,FALSE)</f>
        <v/>
      </c>
      <c r="J1246" s="17">
        <f>+VLOOKUP($A1246,MAGAZZINO!$B$2:$M$4838,10,FALSE)</f>
        <v/>
      </c>
      <c r="K1246" s="17">
        <f>+VLOOKUP($A1246,MAGAZZINO!$B$2:$M$4838,11,FALSE)</f>
        <v/>
      </c>
      <c r="L1246" s="44">
        <f>+VLOOKUP($A1246,MAGAZZINO!$B$2:$M$4838,12,FALSE)</f>
        <v/>
      </c>
    </row>
    <row r="1247" ht="36" customHeight="1">
      <c r="A1247" s="30">
        <f>+REGISTRO!A1230</f>
        <v/>
      </c>
      <c r="B1247" s="31">
        <f>+VLOOKUP($A1247,MAGAZZINO!$B$2:$M$4838,2,FALSE)</f>
        <v/>
      </c>
      <c r="C1247" s="32">
        <f>+VLOOKUP($A1247,MAGAZZINO!$B$2:$M$4838,3,FALSE)</f>
        <v/>
      </c>
      <c r="D1247" s="17">
        <f>+VLOOKUP($A1247,MAGAZZINO!$B$2:$M$4838,4,FALSE)</f>
        <v/>
      </c>
      <c r="E1247" s="17">
        <f>+VLOOKUP($A1247,MAGAZZINO!$B$2:$M$4838,5,FALSE)</f>
        <v/>
      </c>
      <c r="F1247" s="17">
        <f>+VLOOKUP($A1247,MAGAZZINO!$B$2:$M$4838,6,FALSE)</f>
        <v/>
      </c>
      <c r="G1247" s="17">
        <f>+VLOOKUP($A1247,MAGAZZINO!$B$2:$M$4838,7,FALSE)</f>
        <v/>
      </c>
      <c r="H1247" s="17">
        <f>+VLOOKUP($A1247,MAGAZZINO!$B$2:$M$4838,8,FALSE)</f>
        <v/>
      </c>
      <c r="I1247" s="17">
        <f>+VLOOKUP($A1247,MAGAZZINO!$B$2:$M$4838,9,FALSE)</f>
        <v/>
      </c>
      <c r="J1247" s="17">
        <f>+VLOOKUP($A1247,MAGAZZINO!$B$2:$M$4838,10,FALSE)</f>
        <v/>
      </c>
      <c r="K1247" s="17">
        <f>+VLOOKUP($A1247,MAGAZZINO!$B$2:$M$4838,11,FALSE)</f>
        <v/>
      </c>
      <c r="L1247" s="44">
        <f>+VLOOKUP($A1247,MAGAZZINO!$B$2:$M$4838,12,FALSE)</f>
        <v/>
      </c>
    </row>
    <row r="1248" ht="36" customHeight="1">
      <c r="A1248" s="30">
        <f>+REGISTRO!A1231</f>
        <v/>
      </c>
      <c r="B1248" s="31">
        <f>+VLOOKUP($A1248,MAGAZZINO!$B$2:$M$4838,2,FALSE)</f>
        <v/>
      </c>
      <c r="C1248" s="32">
        <f>+VLOOKUP($A1248,MAGAZZINO!$B$2:$M$4838,3,FALSE)</f>
        <v/>
      </c>
      <c r="D1248" s="17">
        <f>+VLOOKUP($A1248,MAGAZZINO!$B$2:$M$4838,4,FALSE)</f>
        <v/>
      </c>
      <c r="E1248" s="17">
        <f>+VLOOKUP($A1248,MAGAZZINO!$B$2:$M$4838,5,FALSE)</f>
        <v/>
      </c>
      <c r="F1248" s="17">
        <f>+VLOOKUP($A1248,MAGAZZINO!$B$2:$M$4838,6,FALSE)</f>
        <v/>
      </c>
      <c r="G1248" s="17">
        <f>+VLOOKUP($A1248,MAGAZZINO!$B$2:$M$4838,7,FALSE)</f>
        <v/>
      </c>
      <c r="H1248" s="17">
        <f>+VLOOKUP($A1248,MAGAZZINO!$B$2:$M$4838,8,FALSE)</f>
        <v/>
      </c>
      <c r="I1248" s="17">
        <f>+VLOOKUP($A1248,MAGAZZINO!$B$2:$M$4838,9,FALSE)</f>
        <v/>
      </c>
      <c r="J1248" s="17">
        <f>+VLOOKUP($A1248,MAGAZZINO!$B$2:$M$4838,10,FALSE)</f>
        <v/>
      </c>
      <c r="K1248" s="17">
        <f>+VLOOKUP($A1248,MAGAZZINO!$B$2:$M$4838,11,FALSE)</f>
        <v/>
      </c>
      <c r="L1248" s="44">
        <f>+VLOOKUP($A1248,MAGAZZINO!$B$2:$M$4838,12,FALSE)</f>
        <v/>
      </c>
    </row>
    <row r="1249" ht="36" customHeight="1">
      <c r="A1249" s="30">
        <f>+REGISTRO!A1232</f>
        <v/>
      </c>
      <c r="B1249" s="31">
        <f>+VLOOKUP($A1249,MAGAZZINO!$B$2:$M$4838,2,FALSE)</f>
        <v/>
      </c>
      <c r="C1249" s="32">
        <f>+VLOOKUP($A1249,MAGAZZINO!$B$2:$M$4838,3,FALSE)</f>
        <v/>
      </c>
      <c r="D1249" s="17">
        <f>+VLOOKUP($A1249,MAGAZZINO!$B$2:$M$4838,4,FALSE)</f>
        <v/>
      </c>
      <c r="E1249" s="17">
        <f>+VLOOKUP($A1249,MAGAZZINO!$B$2:$M$4838,5,FALSE)</f>
        <v/>
      </c>
      <c r="F1249" s="17">
        <f>+VLOOKUP($A1249,MAGAZZINO!$B$2:$M$4838,6,FALSE)</f>
        <v/>
      </c>
      <c r="G1249" s="17">
        <f>+VLOOKUP($A1249,MAGAZZINO!$B$2:$M$4838,7,FALSE)</f>
        <v/>
      </c>
      <c r="H1249" s="17">
        <f>+VLOOKUP($A1249,MAGAZZINO!$B$2:$M$4838,8,FALSE)</f>
        <v/>
      </c>
      <c r="I1249" s="17">
        <f>+VLOOKUP($A1249,MAGAZZINO!$B$2:$M$4838,9,FALSE)</f>
        <v/>
      </c>
      <c r="J1249" s="17">
        <f>+VLOOKUP($A1249,MAGAZZINO!$B$2:$M$4838,10,FALSE)</f>
        <v/>
      </c>
      <c r="K1249" s="17">
        <f>+VLOOKUP($A1249,MAGAZZINO!$B$2:$M$4838,11,FALSE)</f>
        <v/>
      </c>
      <c r="L1249" s="44">
        <f>+VLOOKUP($A1249,MAGAZZINO!$B$2:$M$4838,12,FALSE)</f>
        <v/>
      </c>
    </row>
    <row r="1250" ht="36" customHeight="1">
      <c r="A1250" s="30">
        <f>+REGISTRO!A1233</f>
        <v/>
      </c>
      <c r="B1250" s="31">
        <f>+VLOOKUP($A1250,MAGAZZINO!$B$2:$M$4838,2,FALSE)</f>
        <v/>
      </c>
      <c r="C1250" s="32">
        <f>+VLOOKUP($A1250,MAGAZZINO!$B$2:$M$4838,3,FALSE)</f>
        <v/>
      </c>
      <c r="D1250" s="17">
        <f>+VLOOKUP($A1250,MAGAZZINO!$B$2:$M$4838,4,FALSE)</f>
        <v/>
      </c>
      <c r="E1250" s="17">
        <f>+VLOOKUP($A1250,MAGAZZINO!$B$2:$M$4838,5,FALSE)</f>
        <v/>
      </c>
      <c r="F1250" s="17">
        <f>+VLOOKUP($A1250,MAGAZZINO!$B$2:$M$4838,6,FALSE)</f>
        <v/>
      </c>
      <c r="G1250" s="17">
        <f>+VLOOKUP($A1250,MAGAZZINO!$B$2:$M$4838,7,FALSE)</f>
        <v/>
      </c>
      <c r="H1250" s="17">
        <f>+VLOOKUP($A1250,MAGAZZINO!$B$2:$M$4838,8,FALSE)</f>
        <v/>
      </c>
      <c r="I1250" s="17">
        <f>+VLOOKUP($A1250,MAGAZZINO!$B$2:$M$4838,9,FALSE)</f>
        <v/>
      </c>
      <c r="J1250" s="17">
        <f>+VLOOKUP($A1250,MAGAZZINO!$B$2:$M$4838,10,FALSE)</f>
        <v/>
      </c>
      <c r="K1250" s="17">
        <f>+VLOOKUP($A1250,MAGAZZINO!$B$2:$M$4838,11,FALSE)</f>
        <v/>
      </c>
      <c r="L1250" s="44">
        <f>+VLOOKUP($A1250,MAGAZZINO!$B$2:$M$4838,12,FALSE)</f>
        <v/>
      </c>
    </row>
    <row r="1251" ht="36" customHeight="1">
      <c r="A1251" s="30">
        <f>+REGISTRO!A1234</f>
        <v/>
      </c>
      <c r="B1251" s="31">
        <f>+VLOOKUP($A1251,MAGAZZINO!$B$2:$M$4838,2,FALSE)</f>
        <v/>
      </c>
      <c r="C1251" s="32">
        <f>+VLOOKUP($A1251,MAGAZZINO!$B$2:$M$4838,3,FALSE)</f>
        <v/>
      </c>
      <c r="D1251" s="17">
        <f>+VLOOKUP($A1251,MAGAZZINO!$B$2:$M$4838,4,FALSE)</f>
        <v/>
      </c>
      <c r="E1251" s="17">
        <f>+VLOOKUP($A1251,MAGAZZINO!$B$2:$M$4838,5,FALSE)</f>
        <v/>
      </c>
      <c r="F1251" s="17">
        <f>+VLOOKUP($A1251,MAGAZZINO!$B$2:$M$4838,6,FALSE)</f>
        <v/>
      </c>
      <c r="G1251" s="17">
        <f>+VLOOKUP($A1251,MAGAZZINO!$B$2:$M$4838,7,FALSE)</f>
        <v/>
      </c>
      <c r="H1251" s="17">
        <f>+VLOOKUP($A1251,MAGAZZINO!$B$2:$M$4838,8,FALSE)</f>
        <v/>
      </c>
      <c r="I1251" s="17">
        <f>+VLOOKUP($A1251,MAGAZZINO!$B$2:$M$4838,9,FALSE)</f>
        <v/>
      </c>
      <c r="J1251" s="17">
        <f>+VLOOKUP($A1251,MAGAZZINO!$B$2:$M$4838,10,FALSE)</f>
        <v/>
      </c>
      <c r="K1251" s="17">
        <f>+VLOOKUP($A1251,MAGAZZINO!$B$2:$M$4838,11,FALSE)</f>
        <v/>
      </c>
      <c r="L1251" s="44">
        <f>+VLOOKUP($A1251,MAGAZZINO!$B$2:$M$4838,12,FALSE)</f>
        <v/>
      </c>
    </row>
    <row r="1252" ht="36" customHeight="1">
      <c r="A1252" s="30">
        <f>+REGISTRO!A1235</f>
        <v/>
      </c>
      <c r="B1252" s="31">
        <f>+VLOOKUP($A1252,MAGAZZINO!$B$2:$M$4838,2,FALSE)</f>
        <v/>
      </c>
      <c r="C1252" s="32">
        <f>+VLOOKUP($A1252,MAGAZZINO!$B$2:$M$4838,3,FALSE)</f>
        <v/>
      </c>
      <c r="D1252" s="17">
        <f>+VLOOKUP($A1252,MAGAZZINO!$B$2:$M$4838,4,FALSE)</f>
        <v/>
      </c>
      <c r="E1252" s="17">
        <f>+VLOOKUP($A1252,MAGAZZINO!$B$2:$M$4838,5,FALSE)</f>
        <v/>
      </c>
      <c r="F1252" s="17">
        <f>+VLOOKUP($A1252,MAGAZZINO!$B$2:$M$4838,6,FALSE)</f>
        <v/>
      </c>
      <c r="G1252" s="17">
        <f>+VLOOKUP($A1252,MAGAZZINO!$B$2:$M$4838,7,FALSE)</f>
        <v/>
      </c>
      <c r="H1252" s="17">
        <f>+VLOOKUP($A1252,MAGAZZINO!$B$2:$M$4838,8,FALSE)</f>
        <v/>
      </c>
      <c r="I1252" s="17">
        <f>+VLOOKUP($A1252,MAGAZZINO!$B$2:$M$4838,9,FALSE)</f>
        <v/>
      </c>
      <c r="J1252" s="17">
        <f>+VLOOKUP($A1252,MAGAZZINO!$B$2:$M$4838,10,FALSE)</f>
        <v/>
      </c>
      <c r="K1252" s="17">
        <f>+VLOOKUP($A1252,MAGAZZINO!$B$2:$M$4838,11,FALSE)</f>
        <v/>
      </c>
      <c r="L1252" s="44">
        <f>+VLOOKUP($A1252,MAGAZZINO!$B$2:$M$4838,12,FALSE)</f>
        <v/>
      </c>
    </row>
    <row r="1253" ht="36" customHeight="1">
      <c r="A1253" s="30">
        <f>+REGISTRO!A1236</f>
        <v/>
      </c>
      <c r="B1253" s="31">
        <f>+VLOOKUP($A1253,MAGAZZINO!$B$2:$M$4838,2,FALSE)</f>
        <v/>
      </c>
      <c r="C1253" s="32">
        <f>+VLOOKUP($A1253,MAGAZZINO!$B$2:$M$4838,3,FALSE)</f>
        <v/>
      </c>
      <c r="D1253" s="17">
        <f>+VLOOKUP($A1253,MAGAZZINO!$B$2:$M$4838,4,FALSE)</f>
        <v/>
      </c>
      <c r="E1253" s="17">
        <f>+VLOOKUP($A1253,MAGAZZINO!$B$2:$M$4838,5,FALSE)</f>
        <v/>
      </c>
      <c r="F1253" s="17">
        <f>+VLOOKUP($A1253,MAGAZZINO!$B$2:$M$4838,6,FALSE)</f>
        <v/>
      </c>
      <c r="G1253" s="17">
        <f>+VLOOKUP($A1253,MAGAZZINO!$B$2:$M$4838,7,FALSE)</f>
        <v/>
      </c>
      <c r="H1253" s="17">
        <f>+VLOOKUP($A1253,MAGAZZINO!$B$2:$M$4838,8,FALSE)</f>
        <v/>
      </c>
      <c r="I1253" s="17">
        <f>+VLOOKUP($A1253,MAGAZZINO!$B$2:$M$4838,9,FALSE)</f>
        <v/>
      </c>
      <c r="J1253" s="17">
        <f>+VLOOKUP($A1253,MAGAZZINO!$B$2:$M$4838,10,FALSE)</f>
        <v/>
      </c>
      <c r="K1253" s="17">
        <f>+VLOOKUP($A1253,MAGAZZINO!$B$2:$M$4838,11,FALSE)</f>
        <v/>
      </c>
      <c r="L1253" s="44">
        <f>+VLOOKUP($A1253,MAGAZZINO!$B$2:$M$4838,12,FALSE)</f>
        <v/>
      </c>
    </row>
    <row r="1254" ht="36" customHeight="1">
      <c r="A1254" s="30">
        <f>+REGISTRO!A1237</f>
        <v/>
      </c>
      <c r="B1254" s="31">
        <f>+VLOOKUP($A1254,MAGAZZINO!$B$2:$M$4838,2,FALSE)</f>
        <v/>
      </c>
      <c r="C1254" s="32">
        <f>+VLOOKUP($A1254,MAGAZZINO!$B$2:$M$4838,3,FALSE)</f>
        <v/>
      </c>
      <c r="D1254" s="17">
        <f>+VLOOKUP($A1254,MAGAZZINO!$B$2:$M$4838,4,FALSE)</f>
        <v/>
      </c>
      <c r="E1254" s="17">
        <f>+VLOOKUP($A1254,MAGAZZINO!$B$2:$M$4838,5,FALSE)</f>
        <v/>
      </c>
      <c r="F1254" s="17">
        <f>+VLOOKUP($A1254,MAGAZZINO!$B$2:$M$4838,6,FALSE)</f>
        <v/>
      </c>
      <c r="G1254" s="17">
        <f>+VLOOKUP($A1254,MAGAZZINO!$B$2:$M$4838,7,FALSE)</f>
        <v/>
      </c>
      <c r="H1254" s="17">
        <f>+VLOOKUP($A1254,MAGAZZINO!$B$2:$M$4838,8,FALSE)</f>
        <v/>
      </c>
      <c r="I1254" s="17">
        <f>+VLOOKUP($A1254,MAGAZZINO!$B$2:$M$4838,9,FALSE)</f>
        <v/>
      </c>
      <c r="J1254" s="17">
        <f>+VLOOKUP($A1254,MAGAZZINO!$B$2:$M$4838,10,FALSE)</f>
        <v/>
      </c>
      <c r="K1254" s="17">
        <f>+VLOOKUP($A1254,MAGAZZINO!$B$2:$M$4838,11,FALSE)</f>
        <v/>
      </c>
      <c r="L1254" s="44">
        <f>+VLOOKUP($A1254,MAGAZZINO!$B$2:$M$4838,12,FALSE)</f>
        <v/>
      </c>
    </row>
    <row r="1255" ht="36" customHeight="1">
      <c r="A1255" s="30">
        <f>+REGISTRO!A1238</f>
        <v/>
      </c>
      <c r="B1255" s="31">
        <f>+VLOOKUP($A1255,MAGAZZINO!$B$2:$M$4838,2,FALSE)</f>
        <v/>
      </c>
      <c r="C1255" s="32">
        <f>+VLOOKUP($A1255,MAGAZZINO!$B$2:$M$4838,3,FALSE)</f>
        <v/>
      </c>
      <c r="D1255" s="17">
        <f>+VLOOKUP($A1255,MAGAZZINO!$B$2:$M$4838,4,FALSE)</f>
        <v/>
      </c>
      <c r="E1255" s="17">
        <f>+VLOOKUP($A1255,MAGAZZINO!$B$2:$M$4838,5,FALSE)</f>
        <v/>
      </c>
      <c r="F1255" s="17">
        <f>+VLOOKUP($A1255,MAGAZZINO!$B$2:$M$4838,6,FALSE)</f>
        <v/>
      </c>
      <c r="G1255" s="17">
        <f>+VLOOKUP($A1255,MAGAZZINO!$B$2:$M$4838,7,FALSE)</f>
        <v/>
      </c>
      <c r="H1255" s="17">
        <f>+VLOOKUP($A1255,MAGAZZINO!$B$2:$M$4838,8,FALSE)</f>
        <v/>
      </c>
      <c r="I1255" s="17">
        <f>+VLOOKUP($A1255,MAGAZZINO!$B$2:$M$4838,9,FALSE)</f>
        <v/>
      </c>
      <c r="J1255" s="17">
        <f>+VLOOKUP($A1255,MAGAZZINO!$B$2:$M$4838,10,FALSE)</f>
        <v/>
      </c>
      <c r="K1255" s="17">
        <f>+VLOOKUP($A1255,MAGAZZINO!$B$2:$M$4838,11,FALSE)</f>
        <v/>
      </c>
      <c r="L1255" s="44">
        <f>+VLOOKUP($A1255,MAGAZZINO!$B$2:$M$4838,12,FALSE)</f>
        <v/>
      </c>
    </row>
    <row r="1256" ht="36" customHeight="1">
      <c r="A1256" s="30">
        <f>+REGISTRO!A1239</f>
        <v/>
      </c>
      <c r="B1256" s="31">
        <f>+VLOOKUP($A1256,MAGAZZINO!$B$2:$M$4838,2,FALSE)</f>
        <v/>
      </c>
      <c r="C1256" s="32">
        <f>+VLOOKUP($A1256,MAGAZZINO!$B$2:$M$4838,3,FALSE)</f>
        <v/>
      </c>
      <c r="D1256" s="17">
        <f>+VLOOKUP($A1256,MAGAZZINO!$B$2:$M$4838,4,FALSE)</f>
        <v/>
      </c>
      <c r="E1256" s="17">
        <f>+VLOOKUP($A1256,MAGAZZINO!$B$2:$M$4838,5,FALSE)</f>
        <v/>
      </c>
      <c r="F1256" s="17">
        <f>+VLOOKUP($A1256,MAGAZZINO!$B$2:$M$4838,6,FALSE)</f>
        <v/>
      </c>
      <c r="G1256" s="17">
        <f>+VLOOKUP($A1256,MAGAZZINO!$B$2:$M$4838,7,FALSE)</f>
        <v/>
      </c>
      <c r="H1256" s="17">
        <f>+VLOOKUP($A1256,MAGAZZINO!$B$2:$M$4838,8,FALSE)</f>
        <v/>
      </c>
      <c r="I1256" s="17">
        <f>+VLOOKUP($A1256,MAGAZZINO!$B$2:$M$4838,9,FALSE)</f>
        <v/>
      </c>
      <c r="J1256" s="17">
        <f>+VLOOKUP($A1256,MAGAZZINO!$B$2:$M$4838,10,FALSE)</f>
        <v/>
      </c>
      <c r="K1256" s="17">
        <f>+VLOOKUP($A1256,MAGAZZINO!$B$2:$M$4838,11,FALSE)</f>
        <v/>
      </c>
      <c r="L1256" s="44">
        <f>+VLOOKUP($A1256,MAGAZZINO!$B$2:$M$4838,12,FALSE)</f>
        <v/>
      </c>
    </row>
    <row r="1257" ht="36" customHeight="1">
      <c r="A1257" s="30">
        <f>+REGISTRO!A1240</f>
        <v/>
      </c>
      <c r="B1257" s="31">
        <f>+VLOOKUP($A1257,MAGAZZINO!$B$2:$M$4838,2,FALSE)</f>
        <v/>
      </c>
      <c r="C1257" s="32">
        <f>+VLOOKUP($A1257,MAGAZZINO!$B$2:$M$4838,3,FALSE)</f>
        <v/>
      </c>
      <c r="D1257" s="17">
        <f>+VLOOKUP($A1257,MAGAZZINO!$B$2:$M$4838,4,FALSE)</f>
        <v/>
      </c>
      <c r="E1257" s="17">
        <f>+VLOOKUP($A1257,MAGAZZINO!$B$2:$M$4838,5,FALSE)</f>
        <v/>
      </c>
      <c r="F1257" s="17">
        <f>+VLOOKUP($A1257,MAGAZZINO!$B$2:$M$4838,6,FALSE)</f>
        <v/>
      </c>
      <c r="G1257" s="17">
        <f>+VLOOKUP($A1257,MAGAZZINO!$B$2:$M$4838,7,FALSE)</f>
        <v/>
      </c>
      <c r="H1257" s="17">
        <f>+VLOOKUP($A1257,MAGAZZINO!$B$2:$M$4838,8,FALSE)</f>
        <v/>
      </c>
      <c r="I1257" s="17">
        <f>+VLOOKUP($A1257,MAGAZZINO!$B$2:$M$4838,9,FALSE)</f>
        <v/>
      </c>
      <c r="J1257" s="17">
        <f>+VLOOKUP($A1257,MAGAZZINO!$B$2:$M$4838,10,FALSE)</f>
        <v/>
      </c>
      <c r="K1257" s="17">
        <f>+VLOOKUP($A1257,MAGAZZINO!$B$2:$M$4838,11,FALSE)</f>
        <v/>
      </c>
      <c r="L1257" s="44">
        <f>+VLOOKUP($A1257,MAGAZZINO!$B$2:$M$4838,12,FALSE)</f>
        <v/>
      </c>
    </row>
    <row r="1258" ht="36" customHeight="1">
      <c r="A1258" s="30">
        <f>+REGISTRO!A1241</f>
        <v/>
      </c>
      <c r="B1258" s="31">
        <f>+VLOOKUP($A1258,MAGAZZINO!$B$2:$M$4838,2,FALSE)</f>
        <v/>
      </c>
      <c r="C1258" s="32">
        <f>+VLOOKUP($A1258,MAGAZZINO!$B$2:$M$4838,3,FALSE)</f>
        <v/>
      </c>
      <c r="D1258" s="17">
        <f>+VLOOKUP($A1258,MAGAZZINO!$B$2:$M$4838,4,FALSE)</f>
        <v/>
      </c>
      <c r="E1258" s="17">
        <f>+VLOOKUP($A1258,MAGAZZINO!$B$2:$M$4838,5,FALSE)</f>
        <v/>
      </c>
      <c r="F1258" s="17">
        <f>+VLOOKUP($A1258,MAGAZZINO!$B$2:$M$4838,6,FALSE)</f>
        <v/>
      </c>
      <c r="G1258" s="17">
        <f>+VLOOKUP($A1258,MAGAZZINO!$B$2:$M$4838,7,FALSE)</f>
        <v/>
      </c>
      <c r="H1258" s="17">
        <f>+VLOOKUP($A1258,MAGAZZINO!$B$2:$M$4838,8,FALSE)</f>
        <v/>
      </c>
      <c r="I1258" s="17">
        <f>+VLOOKUP($A1258,MAGAZZINO!$B$2:$M$4838,9,FALSE)</f>
        <v/>
      </c>
      <c r="J1258" s="17">
        <f>+VLOOKUP($A1258,MAGAZZINO!$B$2:$M$4838,10,FALSE)</f>
        <v/>
      </c>
      <c r="K1258" s="17">
        <f>+VLOOKUP($A1258,MAGAZZINO!$B$2:$M$4838,11,FALSE)</f>
        <v/>
      </c>
      <c r="L1258" s="44">
        <f>+VLOOKUP($A1258,MAGAZZINO!$B$2:$M$4838,12,FALSE)</f>
        <v/>
      </c>
    </row>
    <row r="1259" ht="36" customHeight="1">
      <c r="A1259" s="30">
        <f>+REGISTRO!A1242</f>
        <v/>
      </c>
      <c r="B1259" s="31">
        <f>+VLOOKUP($A1259,MAGAZZINO!$B$2:$M$4838,2,FALSE)</f>
        <v/>
      </c>
      <c r="C1259" s="32">
        <f>+VLOOKUP($A1259,MAGAZZINO!$B$2:$M$4838,3,FALSE)</f>
        <v/>
      </c>
      <c r="D1259" s="17">
        <f>+VLOOKUP($A1259,MAGAZZINO!$B$2:$M$4838,4,FALSE)</f>
        <v/>
      </c>
      <c r="E1259" s="17">
        <f>+VLOOKUP($A1259,MAGAZZINO!$B$2:$M$4838,5,FALSE)</f>
        <v/>
      </c>
      <c r="F1259" s="17">
        <f>+VLOOKUP($A1259,MAGAZZINO!$B$2:$M$4838,6,FALSE)</f>
        <v/>
      </c>
      <c r="G1259" s="17">
        <f>+VLOOKUP($A1259,MAGAZZINO!$B$2:$M$4838,7,FALSE)</f>
        <v/>
      </c>
      <c r="H1259" s="17">
        <f>+VLOOKUP($A1259,MAGAZZINO!$B$2:$M$4838,8,FALSE)</f>
        <v/>
      </c>
      <c r="I1259" s="17">
        <f>+VLOOKUP($A1259,MAGAZZINO!$B$2:$M$4838,9,FALSE)</f>
        <v/>
      </c>
      <c r="J1259" s="17">
        <f>+VLOOKUP($A1259,MAGAZZINO!$B$2:$M$4838,10,FALSE)</f>
        <v/>
      </c>
      <c r="K1259" s="17">
        <f>+VLOOKUP($A1259,MAGAZZINO!$B$2:$M$4838,11,FALSE)</f>
        <v/>
      </c>
      <c r="L1259" s="44">
        <f>+VLOOKUP($A1259,MAGAZZINO!$B$2:$M$4838,12,FALSE)</f>
        <v/>
      </c>
    </row>
    <row r="1260" ht="36" customHeight="1">
      <c r="A1260" s="30">
        <f>+REGISTRO!A1243</f>
        <v/>
      </c>
      <c r="B1260" s="31">
        <f>+VLOOKUP($A1260,MAGAZZINO!$B$2:$M$4838,2,FALSE)</f>
        <v/>
      </c>
      <c r="C1260" s="32">
        <f>+VLOOKUP($A1260,MAGAZZINO!$B$2:$M$4838,3,FALSE)</f>
        <v/>
      </c>
      <c r="D1260" s="17">
        <f>+VLOOKUP($A1260,MAGAZZINO!$B$2:$M$4838,4,FALSE)</f>
        <v/>
      </c>
      <c r="E1260" s="17">
        <f>+VLOOKUP($A1260,MAGAZZINO!$B$2:$M$4838,5,FALSE)</f>
        <v/>
      </c>
      <c r="F1260" s="17">
        <f>+VLOOKUP($A1260,MAGAZZINO!$B$2:$M$4838,6,FALSE)</f>
        <v/>
      </c>
      <c r="G1260" s="17">
        <f>+VLOOKUP($A1260,MAGAZZINO!$B$2:$M$4838,7,FALSE)</f>
        <v/>
      </c>
      <c r="H1260" s="17">
        <f>+VLOOKUP($A1260,MAGAZZINO!$B$2:$M$4838,8,FALSE)</f>
        <v/>
      </c>
      <c r="I1260" s="17">
        <f>+VLOOKUP($A1260,MAGAZZINO!$B$2:$M$4838,9,FALSE)</f>
        <v/>
      </c>
      <c r="J1260" s="17">
        <f>+VLOOKUP($A1260,MAGAZZINO!$B$2:$M$4838,10,FALSE)</f>
        <v/>
      </c>
      <c r="K1260" s="17">
        <f>+VLOOKUP($A1260,MAGAZZINO!$B$2:$M$4838,11,FALSE)</f>
        <v/>
      </c>
      <c r="L1260" s="44">
        <f>+VLOOKUP($A1260,MAGAZZINO!$B$2:$M$4838,12,FALSE)</f>
        <v/>
      </c>
    </row>
    <row r="1261" ht="36" customHeight="1">
      <c r="A1261" s="30">
        <f>+REGISTRO!A1244</f>
        <v/>
      </c>
      <c r="B1261" s="31">
        <f>+VLOOKUP($A1261,MAGAZZINO!$B$2:$M$4838,2,FALSE)</f>
        <v/>
      </c>
      <c r="C1261" s="32">
        <f>+VLOOKUP($A1261,MAGAZZINO!$B$2:$M$4838,3,FALSE)</f>
        <v/>
      </c>
      <c r="D1261" s="17">
        <f>+VLOOKUP($A1261,MAGAZZINO!$B$2:$M$4838,4,FALSE)</f>
        <v/>
      </c>
      <c r="E1261" s="17">
        <f>+VLOOKUP($A1261,MAGAZZINO!$B$2:$M$4838,5,FALSE)</f>
        <v/>
      </c>
      <c r="F1261" s="17">
        <f>+VLOOKUP($A1261,MAGAZZINO!$B$2:$M$4838,6,FALSE)</f>
        <v/>
      </c>
      <c r="G1261" s="17">
        <f>+VLOOKUP($A1261,MAGAZZINO!$B$2:$M$4838,7,FALSE)</f>
        <v/>
      </c>
      <c r="H1261" s="17">
        <f>+VLOOKUP($A1261,MAGAZZINO!$B$2:$M$4838,8,FALSE)</f>
        <v/>
      </c>
      <c r="I1261" s="17">
        <f>+VLOOKUP($A1261,MAGAZZINO!$B$2:$M$4838,9,FALSE)</f>
        <v/>
      </c>
      <c r="J1261" s="17">
        <f>+VLOOKUP($A1261,MAGAZZINO!$B$2:$M$4838,10,FALSE)</f>
        <v/>
      </c>
      <c r="K1261" s="17">
        <f>+VLOOKUP($A1261,MAGAZZINO!$B$2:$M$4838,11,FALSE)</f>
        <v/>
      </c>
      <c r="L1261" s="44">
        <f>+VLOOKUP($A1261,MAGAZZINO!$B$2:$M$4838,12,FALSE)</f>
        <v/>
      </c>
    </row>
    <row r="1262" ht="36" customHeight="1">
      <c r="A1262" s="30">
        <f>+REGISTRO!A1245</f>
        <v/>
      </c>
      <c r="B1262" s="31">
        <f>+VLOOKUP($A1262,MAGAZZINO!$B$2:$M$4838,2,FALSE)</f>
        <v/>
      </c>
      <c r="C1262" s="32">
        <f>+VLOOKUP($A1262,MAGAZZINO!$B$2:$M$4838,3,FALSE)</f>
        <v/>
      </c>
      <c r="D1262" s="17">
        <f>+VLOOKUP($A1262,MAGAZZINO!$B$2:$M$4838,4,FALSE)</f>
        <v/>
      </c>
      <c r="E1262" s="17">
        <f>+VLOOKUP($A1262,MAGAZZINO!$B$2:$M$4838,5,FALSE)</f>
        <v/>
      </c>
      <c r="F1262" s="17">
        <f>+VLOOKUP($A1262,MAGAZZINO!$B$2:$M$4838,6,FALSE)</f>
        <v/>
      </c>
      <c r="G1262" s="17">
        <f>+VLOOKUP($A1262,MAGAZZINO!$B$2:$M$4838,7,FALSE)</f>
        <v/>
      </c>
      <c r="H1262" s="17">
        <f>+VLOOKUP($A1262,MAGAZZINO!$B$2:$M$4838,8,FALSE)</f>
        <v/>
      </c>
      <c r="I1262" s="17">
        <f>+VLOOKUP($A1262,MAGAZZINO!$B$2:$M$4838,9,FALSE)</f>
        <v/>
      </c>
      <c r="J1262" s="17">
        <f>+VLOOKUP($A1262,MAGAZZINO!$B$2:$M$4838,10,FALSE)</f>
        <v/>
      </c>
      <c r="K1262" s="17">
        <f>+VLOOKUP($A1262,MAGAZZINO!$B$2:$M$4838,11,FALSE)</f>
        <v/>
      </c>
      <c r="L1262" s="44">
        <f>+VLOOKUP($A1262,MAGAZZINO!$B$2:$M$4838,12,FALSE)</f>
        <v/>
      </c>
    </row>
    <row r="1263" ht="36" customHeight="1">
      <c r="A1263" s="30">
        <f>+REGISTRO!A1246</f>
        <v/>
      </c>
      <c r="B1263" s="31">
        <f>+VLOOKUP($A1263,MAGAZZINO!$B$2:$M$4838,2,FALSE)</f>
        <v/>
      </c>
      <c r="C1263" s="32">
        <f>+VLOOKUP($A1263,MAGAZZINO!$B$2:$M$4838,3,FALSE)</f>
        <v/>
      </c>
      <c r="D1263" s="17">
        <f>+VLOOKUP($A1263,MAGAZZINO!$B$2:$M$4838,4,FALSE)</f>
        <v/>
      </c>
      <c r="E1263" s="17">
        <f>+VLOOKUP($A1263,MAGAZZINO!$B$2:$M$4838,5,FALSE)</f>
        <v/>
      </c>
      <c r="F1263" s="17">
        <f>+VLOOKUP($A1263,MAGAZZINO!$B$2:$M$4838,6,FALSE)</f>
        <v/>
      </c>
      <c r="G1263" s="17">
        <f>+VLOOKUP($A1263,MAGAZZINO!$B$2:$M$4838,7,FALSE)</f>
        <v/>
      </c>
      <c r="H1263" s="17">
        <f>+VLOOKUP($A1263,MAGAZZINO!$B$2:$M$4838,8,FALSE)</f>
        <v/>
      </c>
      <c r="I1263" s="17">
        <f>+VLOOKUP($A1263,MAGAZZINO!$B$2:$M$4838,9,FALSE)</f>
        <v/>
      </c>
      <c r="J1263" s="17">
        <f>+VLOOKUP($A1263,MAGAZZINO!$B$2:$M$4838,10,FALSE)</f>
        <v/>
      </c>
      <c r="K1263" s="17">
        <f>+VLOOKUP($A1263,MAGAZZINO!$B$2:$M$4838,11,FALSE)</f>
        <v/>
      </c>
      <c r="L1263" s="44">
        <f>+VLOOKUP($A1263,MAGAZZINO!$B$2:$M$4838,12,FALSE)</f>
        <v/>
      </c>
    </row>
    <row r="1264" ht="36" customHeight="1">
      <c r="A1264" s="30">
        <f>+REGISTRO!A1247</f>
        <v/>
      </c>
      <c r="B1264" s="31">
        <f>+VLOOKUP($A1264,MAGAZZINO!$B$2:$M$4838,2,FALSE)</f>
        <v/>
      </c>
      <c r="C1264" s="32">
        <f>+VLOOKUP($A1264,MAGAZZINO!$B$2:$M$4838,3,FALSE)</f>
        <v/>
      </c>
      <c r="D1264" s="17">
        <f>+VLOOKUP($A1264,MAGAZZINO!$B$2:$M$4838,4,FALSE)</f>
        <v/>
      </c>
      <c r="E1264" s="17">
        <f>+VLOOKUP($A1264,MAGAZZINO!$B$2:$M$4838,5,FALSE)</f>
        <v/>
      </c>
      <c r="F1264" s="17">
        <f>+VLOOKUP($A1264,MAGAZZINO!$B$2:$M$4838,6,FALSE)</f>
        <v/>
      </c>
      <c r="G1264" s="17">
        <f>+VLOOKUP($A1264,MAGAZZINO!$B$2:$M$4838,7,FALSE)</f>
        <v/>
      </c>
      <c r="H1264" s="17">
        <f>+VLOOKUP($A1264,MAGAZZINO!$B$2:$M$4838,8,FALSE)</f>
        <v/>
      </c>
      <c r="I1264" s="17">
        <f>+VLOOKUP($A1264,MAGAZZINO!$B$2:$M$4838,9,FALSE)</f>
        <v/>
      </c>
      <c r="J1264" s="17">
        <f>+VLOOKUP($A1264,MAGAZZINO!$B$2:$M$4838,10,FALSE)</f>
        <v/>
      </c>
      <c r="K1264" s="17">
        <f>+VLOOKUP($A1264,MAGAZZINO!$B$2:$M$4838,11,FALSE)</f>
        <v/>
      </c>
      <c r="L1264" s="44">
        <f>+VLOOKUP($A1264,MAGAZZINO!$B$2:$M$4838,12,FALSE)</f>
        <v/>
      </c>
    </row>
    <row r="1265" ht="36" customHeight="1">
      <c r="A1265" s="30">
        <f>+REGISTRO!A1248</f>
        <v/>
      </c>
      <c r="B1265" s="31">
        <f>+VLOOKUP($A1265,MAGAZZINO!$B$2:$M$4838,2,FALSE)</f>
        <v/>
      </c>
      <c r="C1265" s="32">
        <f>+VLOOKUP($A1265,MAGAZZINO!$B$2:$M$4838,3,FALSE)</f>
        <v/>
      </c>
      <c r="D1265" s="17">
        <f>+VLOOKUP($A1265,MAGAZZINO!$B$2:$M$4838,4,FALSE)</f>
        <v/>
      </c>
      <c r="E1265" s="17">
        <f>+VLOOKUP($A1265,MAGAZZINO!$B$2:$M$4838,5,FALSE)</f>
        <v/>
      </c>
      <c r="F1265" s="17">
        <f>+VLOOKUP($A1265,MAGAZZINO!$B$2:$M$4838,6,FALSE)</f>
        <v/>
      </c>
      <c r="G1265" s="17">
        <f>+VLOOKUP($A1265,MAGAZZINO!$B$2:$M$4838,7,FALSE)</f>
        <v/>
      </c>
      <c r="H1265" s="17">
        <f>+VLOOKUP($A1265,MAGAZZINO!$B$2:$M$4838,8,FALSE)</f>
        <v/>
      </c>
      <c r="I1265" s="17">
        <f>+VLOOKUP($A1265,MAGAZZINO!$B$2:$M$4838,9,FALSE)</f>
        <v/>
      </c>
      <c r="J1265" s="17">
        <f>+VLOOKUP($A1265,MAGAZZINO!$B$2:$M$4838,10,FALSE)</f>
        <v/>
      </c>
      <c r="K1265" s="17">
        <f>+VLOOKUP($A1265,MAGAZZINO!$B$2:$M$4838,11,FALSE)</f>
        <v/>
      </c>
      <c r="L1265" s="44">
        <f>+VLOOKUP($A1265,MAGAZZINO!$B$2:$M$4838,12,FALSE)</f>
        <v/>
      </c>
    </row>
    <row r="1266" ht="36" customHeight="1">
      <c r="A1266" s="30">
        <f>+REGISTRO!A1249</f>
        <v/>
      </c>
      <c r="B1266" s="31">
        <f>+VLOOKUP($A1266,MAGAZZINO!$B$2:$M$4838,2,FALSE)</f>
        <v/>
      </c>
      <c r="C1266" s="32">
        <f>+VLOOKUP($A1266,MAGAZZINO!$B$2:$M$4838,3,FALSE)</f>
        <v/>
      </c>
      <c r="D1266" s="17">
        <f>+VLOOKUP($A1266,MAGAZZINO!$B$2:$M$4838,4,FALSE)</f>
        <v/>
      </c>
      <c r="E1266" s="17">
        <f>+VLOOKUP($A1266,MAGAZZINO!$B$2:$M$4838,5,FALSE)</f>
        <v/>
      </c>
      <c r="F1266" s="17">
        <f>+VLOOKUP($A1266,MAGAZZINO!$B$2:$M$4838,6,FALSE)</f>
        <v/>
      </c>
      <c r="G1266" s="17">
        <f>+VLOOKUP($A1266,MAGAZZINO!$B$2:$M$4838,7,FALSE)</f>
        <v/>
      </c>
      <c r="H1266" s="17">
        <f>+VLOOKUP($A1266,MAGAZZINO!$B$2:$M$4838,8,FALSE)</f>
        <v/>
      </c>
      <c r="I1266" s="17">
        <f>+VLOOKUP($A1266,MAGAZZINO!$B$2:$M$4838,9,FALSE)</f>
        <v/>
      </c>
      <c r="J1266" s="17">
        <f>+VLOOKUP($A1266,MAGAZZINO!$B$2:$M$4838,10,FALSE)</f>
        <v/>
      </c>
      <c r="K1266" s="17">
        <f>+VLOOKUP($A1266,MAGAZZINO!$B$2:$M$4838,11,FALSE)</f>
        <v/>
      </c>
      <c r="L1266" s="44">
        <f>+VLOOKUP($A1266,MAGAZZINO!$B$2:$M$4838,12,FALSE)</f>
        <v/>
      </c>
    </row>
    <row r="1267" ht="36" customHeight="1">
      <c r="A1267" s="30">
        <f>+REGISTRO!A1250</f>
        <v/>
      </c>
      <c r="B1267" s="31">
        <f>+VLOOKUP($A1267,MAGAZZINO!$B$2:$M$4838,2,FALSE)</f>
        <v/>
      </c>
      <c r="C1267" s="32">
        <f>+VLOOKUP($A1267,MAGAZZINO!$B$2:$M$4838,3,FALSE)</f>
        <v/>
      </c>
      <c r="D1267" s="17">
        <f>+VLOOKUP($A1267,MAGAZZINO!$B$2:$M$4838,4,FALSE)</f>
        <v/>
      </c>
      <c r="E1267" s="17">
        <f>+VLOOKUP($A1267,MAGAZZINO!$B$2:$M$4838,5,FALSE)</f>
        <v/>
      </c>
      <c r="F1267" s="17">
        <f>+VLOOKUP($A1267,MAGAZZINO!$B$2:$M$4838,6,FALSE)</f>
        <v/>
      </c>
      <c r="G1267" s="17">
        <f>+VLOOKUP($A1267,MAGAZZINO!$B$2:$M$4838,7,FALSE)</f>
        <v/>
      </c>
      <c r="H1267" s="17">
        <f>+VLOOKUP($A1267,MAGAZZINO!$B$2:$M$4838,8,FALSE)</f>
        <v/>
      </c>
      <c r="I1267" s="17">
        <f>+VLOOKUP($A1267,MAGAZZINO!$B$2:$M$4838,9,FALSE)</f>
        <v/>
      </c>
      <c r="J1267" s="17">
        <f>+VLOOKUP($A1267,MAGAZZINO!$B$2:$M$4838,10,FALSE)</f>
        <v/>
      </c>
      <c r="K1267" s="17">
        <f>+VLOOKUP($A1267,MAGAZZINO!$B$2:$M$4838,11,FALSE)</f>
        <v/>
      </c>
      <c r="L1267" s="44">
        <f>+VLOOKUP($A1267,MAGAZZINO!$B$2:$M$4838,12,FALSE)</f>
        <v/>
      </c>
    </row>
    <row r="1268" ht="36" customHeight="1">
      <c r="A1268" s="30">
        <f>+REGISTRO!A1251</f>
        <v/>
      </c>
      <c r="B1268" s="31">
        <f>+VLOOKUP($A1268,MAGAZZINO!$B$2:$M$4838,2,FALSE)</f>
        <v/>
      </c>
      <c r="C1268" s="32">
        <f>+VLOOKUP($A1268,MAGAZZINO!$B$2:$M$4838,3,FALSE)</f>
        <v/>
      </c>
      <c r="D1268" s="17">
        <f>+VLOOKUP($A1268,MAGAZZINO!$B$2:$M$4838,4,FALSE)</f>
        <v/>
      </c>
      <c r="E1268" s="17">
        <f>+VLOOKUP($A1268,MAGAZZINO!$B$2:$M$4838,5,FALSE)</f>
        <v/>
      </c>
      <c r="F1268" s="17">
        <f>+VLOOKUP($A1268,MAGAZZINO!$B$2:$M$4838,6,FALSE)</f>
        <v/>
      </c>
      <c r="G1268" s="17">
        <f>+VLOOKUP($A1268,MAGAZZINO!$B$2:$M$4838,7,FALSE)</f>
        <v/>
      </c>
      <c r="H1268" s="17">
        <f>+VLOOKUP($A1268,MAGAZZINO!$B$2:$M$4838,8,FALSE)</f>
        <v/>
      </c>
      <c r="I1268" s="17">
        <f>+VLOOKUP($A1268,MAGAZZINO!$B$2:$M$4838,9,FALSE)</f>
        <v/>
      </c>
      <c r="J1268" s="17">
        <f>+VLOOKUP($A1268,MAGAZZINO!$B$2:$M$4838,10,FALSE)</f>
        <v/>
      </c>
      <c r="K1268" s="17">
        <f>+VLOOKUP($A1268,MAGAZZINO!$B$2:$M$4838,11,FALSE)</f>
        <v/>
      </c>
      <c r="L1268" s="44">
        <f>+VLOOKUP($A1268,MAGAZZINO!$B$2:$M$4838,12,FALSE)</f>
        <v/>
      </c>
    </row>
    <row r="1269" ht="36" customHeight="1">
      <c r="A1269" s="30">
        <f>+REGISTRO!A1252</f>
        <v/>
      </c>
      <c r="B1269" s="31">
        <f>+VLOOKUP($A1269,MAGAZZINO!$B$2:$M$4838,2,FALSE)</f>
        <v/>
      </c>
      <c r="C1269" s="32">
        <f>+VLOOKUP($A1269,MAGAZZINO!$B$2:$M$4838,3,FALSE)</f>
        <v/>
      </c>
      <c r="D1269" s="17">
        <f>+VLOOKUP($A1269,MAGAZZINO!$B$2:$M$4838,4,FALSE)</f>
        <v/>
      </c>
      <c r="E1269" s="17">
        <f>+VLOOKUP($A1269,MAGAZZINO!$B$2:$M$4838,5,FALSE)</f>
        <v/>
      </c>
      <c r="F1269" s="17">
        <f>+VLOOKUP($A1269,MAGAZZINO!$B$2:$M$4838,6,FALSE)</f>
        <v/>
      </c>
      <c r="G1269" s="17">
        <f>+VLOOKUP($A1269,MAGAZZINO!$B$2:$M$4838,7,FALSE)</f>
        <v/>
      </c>
      <c r="H1269" s="17">
        <f>+VLOOKUP($A1269,MAGAZZINO!$B$2:$M$4838,8,FALSE)</f>
        <v/>
      </c>
      <c r="I1269" s="17">
        <f>+VLOOKUP($A1269,MAGAZZINO!$B$2:$M$4838,9,FALSE)</f>
        <v/>
      </c>
      <c r="J1269" s="17">
        <f>+VLOOKUP($A1269,MAGAZZINO!$B$2:$M$4838,10,FALSE)</f>
        <v/>
      </c>
      <c r="K1269" s="17">
        <f>+VLOOKUP($A1269,MAGAZZINO!$B$2:$M$4838,11,FALSE)</f>
        <v/>
      </c>
      <c r="L1269" s="44">
        <f>+VLOOKUP($A1269,MAGAZZINO!$B$2:$M$4838,12,FALSE)</f>
        <v/>
      </c>
    </row>
    <row r="1270" ht="36" customHeight="1">
      <c r="A1270" s="30">
        <f>+REGISTRO!A1253</f>
        <v/>
      </c>
      <c r="B1270" s="31">
        <f>+VLOOKUP($A1270,MAGAZZINO!$B$2:$M$4838,2,FALSE)</f>
        <v/>
      </c>
      <c r="C1270" s="32">
        <f>+VLOOKUP($A1270,MAGAZZINO!$B$2:$M$4838,3,FALSE)</f>
        <v/>
      </c>
      <c r="D1270" s="17">
        <f>+VLOOKUP($A1270,MAGAZZINO!$B$2:$M$4838,4,FALSE)</f>
        <v/>
      </c>
      <c r="E1270" s="17">
        <f>+VLOOKUP($A1270,MAGAZZINO!$B$2:$M$4838,5,FALSE)</f>
        <v/>
      </c>
      <c r="F1270" s="17">
        <f>+VLOOKUP($A1270,MAGAZZINO!$B$2:$M$4838,6,FALSE)</f>
        <v/>
      </c>
      <c r="G1270" s="17">
        <f>+VLOOKUP($A1270,MAGAZZINO!$B$2:$M$4838,7,FALSE)</f>
        <v/>
      </c>
      <c r="H1270" s="17">
        <f>+VLOOKUP($A1270,MAGAZZINO!$B$2:$M$4838,8,FALSE)</f>
        <v/>
      </c>
      <c r="I1270" s="17">
        <f>+VLOOKUP($A1270,MAGAZZINO!$B$2:$M$4838,9,FALSE)</f>
        <v/>
      </c>
      <c r="J1270" s="17">
        <f>+VLOOKUP($A1270,MAGAZZINO!$B$2:$M$4838,10,FALSE)</f>
        <v/>
      </c>
      <c r="K1270" s="17">
        <f>+VLOOKUP($A1270,MAGAZZINO!$B$2:$M$4838,11,FALSE)</f>
        <v/>
      </c>
      <c r="L1270" s="44">
        <f>+VLOOKUP($A1270,MAGAZZINO!$B$2:$M$4838,12,FALSE)</f>
        <v/>
      </c>
    </row>
    <row r="1271" ht="36" customHeight="1">
      <c r="A1271" s="30">
        <f>+REGISTRO!A1254</f>
        <v/>
      </c>
      <c r="B1271" s="31">
        <f>+VLOOKUP($A1271,MAGAZZINO!$B$2:$M$4838,2,FALSE)</f>
        <v/>
      </c>
      <c r="C1271" s="32">
        <f>+VLOOKUP($A1271,MAGAZZINO!$B$2:$M$4838,3,FALSE)</f>
        <v/>
      </c>
      <c r="D1271" s="17">
        <f>+VLOOKUP($A1271,MAGAZZINO!$B$2:$M$4838,4,FALSE)</f>
        <v/>
      </c>
      <c r="E1271" s="17">
        <f>+VLOOKUP($A1271,MAGAZZINO!$B$2:$M$4838,5,FALSE)</f>
        <v/>
      </c>
      <c r="F1271" s="17">
        <f>+VLOOKUP($A1271,MAGAZZINO!$B$2:$M$4838,6,FALSE)</f>
        <v/>
      </c>
      <c r="G1271" s="17">
        <f>+VLOOKUP($A1271,MAGAZZINO!$B$2:$M$4838,7,FALSE)</f>
        <v/>
      </c>
      <c r="H1271" s="17">
        <f>+VLOOKUP($A1271,MAGAZZINO!$B$2:$M$4838,8,FALSE)</f>
        <v/>
      </c>
      <c r="I1271" s="17">
        <f>+VLOOKUP($A1271,MAGAZZINO!$B$2:$M$4838,9,FALSE)</f>
        <v/>
      </c>
      <c r="J1271" s="17">
        <f>+VLOOKUP($A1271,MAGAZZINO!$B$2:$M$4838,10,FALSE)</f>
        <v/>
      </c>
      <c r="K1271" s="17">
        <f>+VLOOKUP($A1271,MAGAZZINO!$B$2:$M$4838,11,FALSE)</f>
        <v/>
      </c>
      <c r="L1271" s="44">
        <f>+VLOOKUP($A1271,MAGAZZINO!$B$2:$M$4838,12,FALSE)</f>
        <v/>
      </c>
    </row>
    <row r="1272" ht="36" customHeight="1">
      <c r="A1272" s="30">
        <f>+REGISTRO!A1255</f>
        <v/>
      </c>
      <c r="B1272" s="31">
        <f>+VLOOKUP($A1272,MAGAZZINO!$B$2:$M$4838,2,FALSE)</f>
        <v/>
      </c>
      <c r="C1272" s="32">
        <f>+VLOOKUP($A1272,MAGAZZINO!$B$2:$M$4838,3,FALSE)</f>
        <v/>
      </c>
      <c r="D1272" s="17">
        <f>+VLOOKUP($A1272,MAGAZZINO!$B$2:$M$4838,4,FALSE)</f>
        <v/>
      </c>
      <c r="E1272" s="17">
        <f>+VLOOKUP($A1272,MAGAZZINO!$B$2:$M$4838,5,FALSE)</f>
        <v/>
      </c>
      <c r="F1272" s="17">
        <f>+VLOOKUP($A1272,MAGAZZINO!$B$2:$M$4838,6,FALSE)</f>
        <v/>
      </c>
      <c r="G1272" s="17">
        <f>+VLOOKUP($A1272,MAGAZZINO!$B$2:$M$4838,7,FALSE)</f>
        <v/>
      </c>
      <c r="H1272" s="17">
        <f>+VLOOKUP($A1272,MAGAZZINO!$B$2:$M$4838,8,FALSE)</f>
        <v/>
      </c>
      <c r="I1272" s="17">
        <f>+VLOOKUP($A1272,MAGAZZINO!$B$2:$M$4838,9,FALSE)</f>
        <v/>
      </c>
      <c r="J1272" s="17">
        <f>+VLOOKUP($A1272,MAGAZZINO!$B$2:$M$4838,10,FALSE)</f>
        <v/>
      </c>
      <c r="K1272" s="17">
        <f>+VLOOKUP($A1272,MAGAZZINO!$B$2:$M$4838,11,FALSE)</f>
        <v/>
      </c>
      <c r="L1272" s="44">
        <f>+VLOOKUP($A1272,MAGAZZINO!$B$2:$M$4838,12,FALSE)</f>
        <v/>
      </c>
    </row>
    <row r="1273" ht="36" customHeight="1">
      <c r="A1273" s="30">
        <f>+REGISTRO!A1256</f>
        <v/>
      </c>
      <c r="B1273" s="31">
        <f>+VLOOKUP($A1273,MAGAZZINO!$B$2:$M$4838,2,FALSE)</f>
        <v/>
      </c>
      <c r="C1273" s="32">
        <f>+VLOOKUP($A1273,MAGAZZINO!$B$2:$M$4838,3,FALSE)</f>
        <v/>
      </c>
      <c r="D1273" s="17">
        <f>+VLOOKUP($A1273,MAGAZZINO!$B$2:$M$4838,4,FALSE)</f>
        <v/>
      </c>
      <c r="E1273" s="17">
        <f>+VLOOKUP($A1273,MAGAZZINO!$B$2:$M$4838,5,FALSE)</f>
        <v/>
      </c>
      <c r="F1273" s="17">
        <f>+VLOOKUP($A1273,MAGAZZINO!$B$2:$M$4838,6,FALSE)</f>
        <v/>
      </c>
      <c r="G1273" s="17">
        <f>+VLOOKUP($A1273,MAGAZZINO!$B$2:$M$4838,7,FALSE)</f>
        <v/>
      </c>
      <c r="H1273" s="17">
        <f>+VLOOKUP($A1273,MAGAZZINO!$B$2:$M$4838,8,FALSE)</f>
        <v/>
      </c>
      <c r="I1273" s="17">
        <f>+VLOOKUP($A1273,MAGAZZINO!$B$2:$M$4838,9,FALSE)</f>
        <v/>
      </c>
      <c r="J1273" s="17">
        <f>+VLOOKUP($A1273,MAGAZZINO!$B$2:$M$4838,10,FALSE)</f>
        <v/>
      </c>
      <c r="K1273" s="17">
        <f>+VLOOKUP($A1273,MAGAZZINO!$B$2:$M$4838,11,FALSE)</f>
        <v/>
      </c>
      <c r="L1273" s="44">
        <f>+VLOOKUP($A1273,MAGAZZINO!$B$2:$M$4838,12,FALSE)</f>
        <v/>
      </c>
    </row>
    <row r="1274" ht="36" customHeight="1">
      <c r="A1274" s="30">
        <f>+REGISTRO!A1257</f>
        <v/>
      </c>
      <c r="B1274" s="31">
        <f>+VLOOKUP($A1274,MAGAZZINO!$B$2:$M$4838,2,FALSE)</f>
        <v/>
      </c>
      <c r="C1274" s="32">
        <f>+VLOOKUP($A1274,MAGAZZINO!$B$2:$M$4838,3,FALSE)</f>
        <v/>
      </c>
      <c r="D1274" s="17">
        <f>+VLOOKUP($A1274,MAGAZZINO!$B$2:$M$4838,4,FALSE)</f>
        <v/>
      </c>
      <c r="E1274" s="17">
        <f>+VLOOKUP($A1274,MAGAZZINO!$B$2:$M$4838,5,FALSE)</f>
        <v/>
      </c>
      <c r="F1274" s="17">
        <f>+VLOOKUP($A1274,MAGAZZINO!$B$2:$M$4838,6,FALSE)</f>
        <v/>
      </c>
      <c r="G1274" s="17">
        <f>+VLOOKUP($A1274,MAGAZZINO!$B$2:$M$4838,7,FALSE)</f>
        <v/>
      </c>
      <c r="H1274" s="17">
        <f>+VLOOKUP($A1274,MAGAZZINO!$B$2:$M$4838,8,FALSE)</f>
        <v/>
      </c>
      <c r="I1274" s="17">
        <f>+VLOOKUP($A1274,MAGAZZINO!$B$2:$M$4838,9,FALSE)</f>
        <v/>
      </c>
      <c r="J1274" s="17">
        <f>+VLOOKUP($A1274,MAGAZZINO!$B$2:$M$4838,10,FALSE)</f>
        <v/>
      </c>
      <c r="K1274" s="17">
        <f>+VLOOKUP($A1274,MAGAZZINO!$B$2:$M$4838,11,FALSE)</f>
        <v/>
      </c>
      <c r="L1274" s="44">
        <f>+VLOOKUP($A1274,MAGAZZINO!$B$2:$M$4838,12,FALSE)</f>
        <v/>
      </c>
    </row>
    <row r="1275" ht="36" customHeight="1">
      <c r="A1275" s="30">
        <f>+REGISTRO!A1258</f>
        <v/>
      </c>
      <c r="B1275" s="31">
        <f>+VLOOKUP($A1275,MAGAZZINO!$B$2:$M$4838,2,FALSE)</f>
        <v/>
      </c>
      <c r="C1275" s="32">
        <f>+VLOOKUP($A1275,MAGAZZINO!$B$2:$M$4838,3,FALSE)</f>
        <v/>
      </c>
      <c r="D1275" s="17">
        <f>+VLOOKUP($A1275,MAGAZZINO!$B$2:$M$4838,4,FALSE)</f>
        <v/>
      </c>
      <c r="E1275" s="17">
        <f>+VLOOKUP($A1275,MAGAZZINO!$B$2:$M$4838,5,FALSE)</f>
        <v/>
      </c>
      <c r="F1275" s="17">
        <f>+VLOOKUP($A1275,MAGAZZINO!$B$2:$M$4838,6,FALSE)</f>
        <v/>
      </c>
      <c r="G1275" s="17">
        <f>+VLOOKUP($A1275,MAGAZZINO!$B$2:$M$4838,7,FALSE)</f>
        <v/>
      </c>
      <c r="H1275" s="17">
        <f>+VLOOKUP($A1275,MAGAZZINO!$B$2:$M$4838,8,FALSE)</f>
        <v/>
      </c>
      <c r="I1275" s="17">
        <f>+VLOOKUP($A1275,MAGAZZINO!$B$2:$M$4838,9,FALSE)</f>
        <v/>
      </c>
      <c r="J1275" s="17">
        <f>+VLOOKUP($A1275,MAGAZZINO!$B$2:$M$4838,10,FALSE)</f>
        <v/>
      </c>
      <c r="K1275" s="17">
        <f>+VLOOKUP($A1275,MAGAZZINO!$B$2:$M$4838,11,FALSE)</f>
        <v/>
      </c>
      <c r="L1275" s="44">
        <f>+VLOOKUP($A1275,MAGAZZINO!$B$2:$M$4838,12,FALSE)</f>
        <v/>
      </c>
    </row>
    <row r="1276" ht="36" customHeight="1">
      <c r="A1276" s="30">
        <f>+REGISTRO!A1259</f>
        <v/>
      </c>
      <c r="B1276" s="31">
        <f>+VLOOKUP($A1276,MAGAZZINO!$B$2:$M$4838,2,FALSE)</f>
        <v/>
      </c>
      <c r="C1276" s="32">
        <f>+VLOOKUP($A1276,MAGAZZINO!$B$2:$M$4838,3,FALSE)</f>
        <v/>
      </c>
      <c r="D1276" s="17">
        <f>+VLOOKUP($A1276,MAGAZZINO!$B$2:$M$4838,4,FALSE)</f>
        <v/>
      </c>
      <c r="E1276" s="17">
        <f>+VLOOKUP($A1276,MAGAZZINO!$B$2:$M$4838,5,FALSE)</f>
        <v/>
      </c>
      <c r="F1276" s="17">
        <f>+VLOOKUP($A1276,MAGAZZINO!$B$2:$M$4838,6,FALSE)</f>
        <v/>
      </c>
      <c r="G1276" s="17">
        <f>+VLOOKUP($A1276,MAGAZZINO!$B$2:$M$4838,7,FALSE)</f>
        <v/>
      </c>
      <c r="H1276" s="17">
        <f>+VLOOKUP($A1276,MAGAZZINO!$B$2:$M$4838,8,FALSE)</f>
        <v/>
      </c>
      <c r="I1276" s="17">
        <f>+VLOOKUP($A1276,MAGAZZINO!$B$2:$M$4838,9,FALSE)</f>
        <v/>
      </c>
      <c r="J1276" s="17">
        <f>+VLOOKUP($A1276,MAGAZZINO!$B$2:$M$4838,10,FALSE)</f>
        <v/>
      </c>
      <c r="K1276" s="17">
        <f>+VLOOKUP($A1276,MAGAZZINO!$B$2:$M$4838,11,FALSE)</f>
        <v/>
      </c>
      <c r="L1276" s="44">
        <f>+VLOOKUP($A1276,MAGAZZINO!$B$2:$M$4838,12,FALSE)</f>
        <v/>
      </c>
    </row>
    <row r="1277" ht="36" customHeight="1">
      <c r="A1277" s="30">
        <f>+REGISTRO!A1260</f>
        <v/>
      </c>
      <c r="B1277" s="31">
        <f>+VLOOKUP($A1277,MAGAZZINO!$B$2:$M$4838,2,FALSE)</f>
        <v/>
      </c>
      <c r="C1277" s="32">
        <f>+VLOOKUP($A1277,MAGAZZINO!$B$2:$M$4838,3,FALSE)</f>
        <v/>
      </c>
      <c r="D1277" s="17">
        <f>+VLOOKUP($A1277,MAGAZZINO!$B$2:$M$4838,4,FALSE)</f>
        <v/>
      </c>
      <c r="E1277" s="17">
        <f>+VLOOKUP($A1277,MAGAZZINO!$B$2:$M$4838,5,FALSE)</f>
        <v/>
      </c>
      <c r="F1277" s="17">
        <f>+VLOOKUP($A1277,MAGAZZINO!$B$2:$M$4838,6,FALSE)</f>
        <v/>
      </c>
      <c r="G1277" s="17">
        <f>+VLOOKUP($A1277,MAGAZZINO!$B$2:$M$4838,7,FALSE)</f>
        <v/>
      </c>
      <c r="H1277" s="17">
        <f>+VLOOKUP($A1277,MAGAZZINO!$B$2:$M$4838,8,FALSE)</f>
        <v/>
      </c>
      <c r="I1277" s="17">
        <f>+VLOOKUP($A1277,MAGAZZINO!$B$2:$M$4838,9,FALSE)</f>
        <v/>
      </c>
      <c r="J1277" s="17">
        <f>+VLOOKUP($A1277,MAGAZZINO!$B$2:$M$4838,10,FALSE)</f>
        <v/>
      </c>
      <c r="K1277" s="17">
        <f>+VLOOKUP($A1277,MAGAZZINO!$B$2:$M$4838,11,FALSE)</f>
        <v/>
      </c>
      <c r="L1277" s="44">
        <f>+VLOOKUP($A1277,MAGAZZINO!$B$2:$M$4838,12,FALSE)</f>
        <v/>
      </c>
    </row>
    <row r="1278" ht="36" customHeight="1">
      <c r="A1278" s="30">
        <f>+REGISTRO!A1261</f>
        <v/>
      </c>
      <c r="B1278" s="31">
        <f>+VLOOKUP($A1278,MAGAZZINO!$B$2:$M$4838,2,FALSE)</f>
        <v/>
      </c>
      <c r="C1278" s="32">
        <f>+VLOOKUP($A1278,MAGAZZINO!$B$2:$M$4838,3,FALSE)</f>
        <v/>
      </c>
      <c r="D1278" s="17">
        <f>+VLOOKUP($A1278,MAGAZZINO!$B$2:$M$4838,4,FALSE)</f>
        <v/>
      </c>
      <c r="E1278" s="17">
        <f>+VLOOKUP($A1278,MAGAZZINO!$B$2:$M$4838,5,FALSE)</f>
        <v/>
      </c>
      <c r="F1278" s="17">
        <f>+VLOOKUP($A1278,MAGAZZINO!$B$2:$M$4838,6,FALSE)</f>
        <v/>
      </c>
      <c r="G1278" s="17">
        <f>+VLOOKUP($A1278,MAGAZZINO!$B$2:$M$4838,7,FALSE)</f>
        <v/>
      </c>
      <c r="H1278" s="17">
        <f>+VLOOKUP($A1278,MAGAZZINO!$B$2:$M$4838,8,FALSE)</f>
        <v/>
      </c>
      <c r="I1278" s="17">
        <f>+VLOOKUP($A1278,MAGAZZINO!$B$2:$M$4838,9,FALSE)</f>
        <v/>
      </c>
      <c r="J1278" s="17">
        <f>+VLOOKUP($A1278,MAGAZZINO!$B$2:$M$4838,10,FALSE)</f>
        <v/>
      </c>
      <c r="K1278" s="17">
        <f>+VLOOKUP($A1278,MAGAZZINO!$B$2:$M$4838,11,FALSE)</f>
        <v/>
      </c>
      <c r="L1278" s="44">
        <f>+VLOOKUP($A1278,MAGAZZINO!$B$2:$M$4838,12,FALSE)</f>
        <v/>
      </c>
    </row>
    <row r="1279" ht="36" customHeight="1">
      <c r="A1279" s="30">
        <f>+REGISTRO!A1262</f>
        <v/>
      </c>
      <c r="B1279" s="31">
        <f>+VLOOKUP($A1279,MAGAZZINO!$B$2:$M$4838,2,FALSE)</f>
        <v/>
      </c>
      <c r="C1279" s="32">
        <f>+VLOOKUP($A1279,MAGAZZINO!$B$2:$M$4838,3,FALSE)</f>
        <v/>
      </c>
      <c r="D1279" s="17">
        <f>+VLOOKUP($A1279,MAGAZZINO!$B$2:$M$4838,4,FALSE)</f>
        <v/>
      </c>
      <c r="E1279" s="17">
        <f>+VLOOKUP($A1279,MAGAZZINO!$B$2:$M$4838,5,FALSE)</f>
        <v/>
      </c>
      <c r="F1279" s="17">
        <f>+VLOOKUP($A1279,MAGAZZINO!$B$2:$M$4838,6,FALSE)</f>
        <v/>
      </c>
      <c r="G1279" s="17">
        <f>+VLOOKUP($A1279,MAGAZZINO!$B$2:$M$4838,7,FALSE)</f>
        <v/>
      </c>
      <c r="H1279" s="17">
        <f>+VLOOKUP($A1279,MAGAZZINO!$B$2:$M$4838,8,FALSE)</f>
        <v/>
      </c>
      <c r="I1279" s="17">
        <f>+VLOOKUP($A1279,MAGAZZINO!$B$2:$M$4838,9,FALSE)</f>
        <v/>
      </c>
      <c r="J1279" s="17">
        <f>+VLOOKUP($A1279,MAGAZZINO!$B$2:$M$4838,10,FALSE)</f>
        <v/>
      </c>
      <c r="K1279" s="17">
        <f>+VLOOKUP($A1279,MAGAZZINO!$B$2:$M$4838,11,FALSE)</f>
        <v/>
      </c>
      <c r="L1279" s="44">
        <f>+VLOOKUP($A1279,MAGAZZINO!$B$2:$M$4838,12,FALSE)</f>
        <v/>
      </c>
    </row>
    <row r="1280" ht="36" customHeight="1">
      <c r="A1280" s="30">
        <f>+REGISTRO!A1263</f>
        <v/>
      </c>
      <c r="B1280" s="31">
        <f>+VLOOKUP($A1280,MAGAZZINO!$B$2:$M$4838,2,FALSE)</f>
        <v/>
      </c>
      <c r="C1280" s="32">
        <f>+VLOOKUP($A1280,MAGAZZINO!$B$2:$M$4838,3,FALSE)</f>
        <v/>
      </c>
      <c r="D1280" s="17">
        <f>+VLOOKUP($A1280,MAGAZZINO!$B$2:$M$4838,4,FALSE)</f>
        <v/>
      </c>
      <c r="E1280" s="17">
        <f>+VLOOKUP($A1280,MAGAZZINO!$B$2:$M$4838,5,FALSE)</f>
        <v/>
      </c>
      <c r="F1280" s="17">
        <f>+VLOOKUP($A1280,MAGAZZINO!$B$2:$M$4838,6,FALSE)</f>
        <v/>
      </c>
      <c r="G1280" s="17">
        <f>+VLOOKUP($A1280,MAGAZZINO!$B$2:$M$4838,7,FALSE)</f>
        <v/>
      </c>
      <c r="H1280" s="17">
        <f>+VLOOKUP($A1280,MAGAZZINO!$B$2:$M$4838,8,FALSE)</f>
        <v/>
      </c>
      <c r="I1280" s="17">
        <f>+VLOOKUP($A1280,MAGAZZINO!$B$2:$M$4838,9,FALSE)</f>
        <v/>
      </c>
      <c r="J1280" s="17">
        <f>+VLOOKUP($A1280,MAGAZZINO!$B$2:$M$4838,10,FALSE)</f>
        <v/>
      </c>
      <c r="K1280" s="17">
        <f>+VLOOKUP($A1280,MAGAZZINO!$B$2:$M$4838,11,FALSE)</f>
        <v/>
      </c>
      <c r="L1280" s="44">
        <f>+VLOOKUP($A1280,MAGAZZINO!$B$2:$M$4838,12,FALSE)</f>
        <v/>
      </c>
    </row>
    <row r="1281" ht="36" customHeight="1">
      <c r="A1281" s="30">
        <f>+REGISTRO!A1264</f>
        <v/>
      </c>
      <c r="B1281" s="31">
        <f>+VLOOKUP($A1281,MAGAZZINO!$B$2:$M$4838,2,FALSE)</f>
        <v/>
      </c>
      <c r="C1281" s="32">
        <f>+VLOOKUP($A1281,MAGAZZINO!$B$2:$M$4838,3,FALSE)</f>
        <v/>
      </c>
      <c r="D1281" s="17">
        <f>+VLOOKUP($A1281,MAGAZZINO!$B$2:$M$4838,4,FALSE)</f>
        <v/>
      </c>
      <c r="E1281" s="17">
        <f>+VLOOKUP($A1281,MAGAZZINO!$B$2:$M$4838,5,FALSE)</f>
        <v/>
      </c>
      <c r="F1281" s="17">
        <f>+VLOOKUP($A1281,MAGAZZINO!$B$2:$M$4838,6,FALSE)</f>
        <v/>
      </c>
      <c r="G1281" s="17">
        <f>+VLOOKUP($A1281,MAGAZZINO!$B$2:$M$4838,7,FALSE)</f>
        <v/>
      </c>
      <c r="H1281" s="17">
        <f>+VLOOKUP($A1281,MAGAZZINO!$B$2:$M$4838,8,FALSE)</f>
        <v/>
      </c>
      <c r="I1281" s="17">
        <f>+VLOOKUP($A1281,MAGAZZINO!$B$2:$M$4838,9,FALSE)</f>
        <v/>
      </c>
      <c r="J1281" s="17">
        <f>+VLOOKUP($A1281,MAGAZZINO!$B$2:$M$4838,10,FALSE)</f>
        <v/>
      </c>
      <c r="K1281" s="17">
        <f>+VLOOKUP($A1281,MAGAZZINO!$B$2:$M$4838,11,FALSE)</f>
        <v/>
      </c>
      <c r="L1281" s="44">
        <f>+VLOOKUP($A1281,MAGAZZINO!$B$2:$M$4838,12,FALSE)</f>
        <v/>
      </c>
    </row>
    <row r="1282" ht="36" customHeight="1">
      <c r="A1282" s="30">
        <f>+REGISTRO!A1265</f>
        <v/>
      </c>
      <c r="B1282" s="31">
        <f>+VLOOKUP($A1282,MAGAZZINO!$B$2:$M$4838,2,FALSE)</f>
        <v/>
      </c>
      <c r="C1282" s="32">
        <f>+VLOOKUP($A1282,MAGAZZINO!$B$2:$M$4838,3,FALSE)</f>
        <v/>
      </c>
      <c r="D1282" s="17">
        <f>+VLOOKUP($A1282,MAGAZZINO!$B$2:$M$4838,4,FALSE)</f>
        <v/>
      </c>
      <c r="E1282" s="17">
        <f>+VLOOKUP($A1282,MAGAZZINO!$B$2:$M$4838,5,FALSE)</f>
        <v/>
      </c>
      <c r="F1282" s="17">
        <f>+VLOOKUP($A1282,MAGAZZINO!$B$2:$M$4838,6,FALSE)</f>
        <v/>
      </c>
      <c r="G1282" s="17">
        <f>+VLOOKUP($A1282,MAGAZZINO!$B$2:$M$4838,7,FALSE)</f>
        <v/>
      </c>
      <c r="H1282" s="17">
        <f>+VLOOKUP($A1282,MAGAZZINO!$B$2:$M$4838,8,FALSE)</f>
        <v/>
      </c>
      <c r="I1282" s="17">
        <f>+VLOOKUP($A1282,MAGAZZINO!$B$2:$M$4838,9,FALSE)</f>
        <v/>
      </c>
      <c r="J1282" s="17">
        <f>+VLOOKUP($A1282,MAGAZZINO!$B$2:$M$4838,10,FALSE)</f>
        <v/>
      </c>
      <c r="K1282" s="17">
        <f>+VLOOKUP($A1282,MAGAZZINO!$B$2:$M$4838,11,FALSE)</f>
        <v/>
      </c>
      <c r="L1282" s="44">
        <f>+VLOOKUP($A1282,MAGAZZINO!$B$2:$M$4838,12,FALSE)</f>
        <v/>
      </c>
    </row>
    <row r="1283" ht="36" customHeight="1">
      <c r="A1283" s="30">
        <f>+REGISTRO!A1266</f>
        <v/>
      </c>
      <c r="B1283" s="31">
        <f>+VLOOKUP($A1283,MAGAZZINO!$B$2:$M$4838,2,FALSE)</f>
        <v/>
      </c>
      <c r="C1283" s="32">
        <f>+VLOOKUP($A1283,MAGAZZINO!$B$2:$M$4838,3,FALSE)</f>
        <v/>
      </c>
      <c r="D1283" s="17">
        <f>+VLOOKUP($A1283,MAGAZZINO!$B$2:$M$4838,4,FALSE)</f>
        <v/>
      </c>
      <c r="E1283" s="17">
        <f>+VLOOKUP($A1283,MAGAZZINO!$B$2:$M$4838,5,FALSE)</f>
        <v/>
      </c>
      <c r="F1283" s="17">
        <f>+VLOOKUP($A1283,MAGAZZINO!$B$2:$M$4838,6,FALSE)</f>
        <v/>
      </c>
      <c r="G1283" s="17">
        <f>+VLOOKUP($A1283,MAGAZZINO!$B$2:$M$4838,7,FALSE)</f>
        <v/>
      </c>
      <c r="H1283" s="17">
        <f>+VLOOKUP($A1283,MAGAZZINO!$B$2:$M$4838,8,FALSE)</f>
        <v/>
      </c>
      <c r="I1283" s="17">
        <f>+VLOOKUP($A1283,MAGAZZINO!$B$2:$M$4838,9,FALSE)</f>
        <v/>
      </c>
      <c r="J1283" s="17">
        <f>+VLOOKUP($A1283,MAGAZZINO!$B$2:$M$4838,10,FALSE)</f>
        <v/>
      </c>
      <c r="K1283" s="17">
        <f>+VLOOKUP($A1283,MAGAZZINO!$B$2:$M$4838,11,FALSE)</f>
        <v/>
      </c>
      <c r="L1283" s="44">
        <f>+VLOOKUP($A1283,MAGAZZINO!$B$2:$M$4838,12,FALSE)</f>
        <v/>
      </c>
    </row>
    <row r="1284" ht="36" customHeight="1">
      <c r="A1284" s="30">
        <f>+REGISTRO!A1267</f>
        <v/>
      </c>
      <c r="B1284" s="31">
        <f>+VLOOKUP($A1284,MAGAZZINO!$B$2:$M$4838,2,FALSE)</f>
        <v/>
      </c>
      <c r="C1284" s="32">
        <f>+VLOOKUP($A1284,MAGAZZINO!$B$2:$M$4838,3,FALSE)</f>
        <v/>
      </c>
      <c r="D1284" s="17">
        <f>+VLOOKUP($A1284,MAGAZZINO!$B$2:$M$4838,4,FALSE)</f>
        <v/>
      </c>
      <c r="E1284" s="17">
        <f>+VLOOKUP($A1284,MAGAZZINO!$B$2:$M$4838,5,FALSE)</f>
        <v/>
      </c>
      <c r="F1284" s="17">
        <f>+VLOOKUP($A1284,MAGAZZINO!$B$2:$M$4838,6,FALSE)</f>
        <v/>
      </c>
      <c r="G1284" s="17">
        <f>+VLOOKUP($A1284,MAGAZZINO!$B$2:$M$4838,7,FALSE)</f>
        <v/>
      </c>
      <c r="H1284" s="17">
        <f>+VLOOKUP($A1284,MAGAZZINO!$B$2:$M$4838,8,FALSE)</f>
        <v/>
      </c>
      <c r="I1284" s="17">
        <f>+VLOOKUP($A1284,MAGAZZINO!$B$2:$M$4838,9,FALSE)</f>
        <v/>
      </c>
      <c r="J1284" s="17">
        <f>+VLOOKUP($A1284,MAGAZZINO!$B$2:$M$4838,10,FALSE)</f>
        <v/>
      </c>
      <c r="K1284" s="17">
        <f>+VLOOKUP($A1284,MAGAZZINO!$B$2:$M$4838,11,FALSE)</f>
        <v/>
      </c>
      <c r="L1284" s="44">
        <f>+VLOOKUP($A1284,MAGAZZINO!$B$2:$M$4838,12,FALSE)</f>
        <v/>
      </c>
    </row>
    <row r="1285" ht="36" customHeight="1">
      <c r="A1285" s="30">
        <f>+REGISTRO!A1268</f>
        <v/>
      </c>
      <c r="B1285" s="31">
        <f>+VLOOKUP($A1285,MAGAZZINO!$B$2:$M$4838,2,FALSE)</f>
        <v/>
      </c>
      <c r="C1285" s="32">
        <f>+VLOOKUP($A1285,MAGAZZINO!$B$2:$M$4838,3,FALSE)</f>
        <v/>
      </c>
      <c r="D1285" s="17">
        <f>+VLOOKUP($A1285,MAGAZZINO!$B$2:$M$4838,4,FALSE)</f>
        <v/>
      </c>
      <c r="E1285" s="17">
        <f>+VLOOKUP($A1285,MAGAZZINO!$B$2:$M$4838,5,FALSE)</f>
        <v/>
      </c>
      <c r="F1285" s="17">
        <f>+VLOOKUP($A1285,MAGAZZINO!$B$2:$M$4838,6,FALSE)</f>
        <v/>
      </c>
      <c r="G1285" s="17">
        <f>+VLOOKUP($A1285,MAGAZZINO!$B$2:$M$4838,7,FALSE)</f>
        <v/>
      </c>
      <c r="H1285" s="17">
        <f>+VLOOKUP($A1285,MAGAZZINO!$B$2:$M$4838,8,FALSE)</f>
        <v/>
      </c>
      <c r="I1285" s="17">
        <f>+VLOOKUP($A1285,MAGAZZINO!$B$2:$M$4838,9,FALSE)</f>
        <v/>
      </c>
      <c r="J1285" s="17">
        <f>+VLOOKUP($A1285,MAGAZZINO!$B$2:$M$4838,10,FALSE)</f>
        <v/>
      </c>
      <c r="K1285" s="17">
        <f>+VLOOKUP($A1285,MAGAZZINO!$B$2:$M$4838,11,FALSE)</f>
        <v/>
      </c>
      <c r="L1285" s="44">
        <f>+VLOOKUP($A1285,MAGAZZINO!$B$2:$M$4838,12,FALSE)</f>
        <v/>
      </c>
    </row>
    <row r="1286" ht="36" customHeight="1">
      <c r="A1286" s="30">
        <f>+REGISTRO!A1269</f>
        <v/>
      </c>
      <c r="B1286" s="31">
        <f>+VLOOKUP($A1286,MAGAZZINO!$B$2:$M$4838,2,FALSE)</f>
        <v/>
      </c>
      <c r="C1286" s="32">
        <f>+VLOOKUP($A1286,MAGAZZINO!$B$2:$M$4838,3,FALSE)</f>
        <v/>
      </c>
      <c r="D1286" s="17">
        <f>+VLOOKUP($A1286,MAGAZZINO!$B$2:$M$4838,4,FALSE)</f>
        <v/>
      </c>
      <c r="E1286" s="17">
        <f>+VLOOKUP($A1286,MAGAZZINO!$B$2:$M$4838,5,FALSE)</f>
        <v/>
      </c>
      <c r="F1286" s="17">
        <f>+VLOOKUP($A1286,MAGAZZINO!$B$2:$M$4838,6,FALSE)</f>
        <v/>
      </c>
      <c r="G1286" s="17">
        <f>+VLOOKUP($A1286,MAGAZZINO!$B$2:$M$4838,7,FALSE)</f>
        <v/>
      </c>
      <c r="H1286" s="17">
        <f>+VLOOKUP($A1286,MAGAZZINO!$B$2:$M$4838,8,FALSE)</f>
        <v/>
      </c>
      <c r="I1286" s="17">
        <f>+VLOOKUP($A1286,MAGAZZINO!$B$2:$M$4838,9,FALSE)</f>
        <v/>
      </c>
      <c r="J1286" s="17">
        <f>+VLOOKUP($A1286,MAGAZZINO!$B$2:$M$4838,10,FALSE)</f>
        <v/>
      </c>
      <c r="K1286" s="17">
        <f>+VLOOKUP($A1286,MAGAZZINO!$B$2:$M$4838,11,FALSE)</f>
        <v/>
      </c>
      <c r="L1286" s="44">
        <f>+VLOOKUP($A1286,MAGAZZINO!$B$2:$M$4838,12,FALSE)</f>
        <v/>
      </c>
    </row>
    <row r="1287" ht="36" customHeight="1">
      <c r="A1287" s="30">
        <f>+REGISTRO!A1270</f>
        <v/>
      </c>
      <c r="B1287" s="31">
        <f>+VLOOKUP($A1287,MAGAZZINO!$B$2:$M$4838,2,FALSE)</f>
        <v/>
      </c>
      <c r="C1287" s="32">
        <f>+VLOOKUP($A1287,MAGAZZINO!$B$2:$M$4838,3,FALSE)</f>
        <v/>
      </c>
      <c r="D1287" s="17">
        <f>+VLOOKUP($A1287,MAGAZZINO!$B$2:$M$4838,4,FALSE)</f>
        <v/>
      </c>
      <c r="E1287" s="17">
        <f>+VLOOKUP($A1287,MAGAZZINO!$B$2:$M$4838,5,FALSE)</f>
        <v/>
      </c>
      <c r="F1287" s="17">
        <f>+VLOOKUP($A1287,MAGAZZINO!$B$2:$M$4838,6,FALSE)</f>
        <v/>
      </c>
      <c r="G1287" s="17">
        <f>+VLOOKUP($A1287,MAGAZZINO!$B$2:$M$4838,7,FALSE)</f>
        <v/>
      </c>
      <c r="H1287" s="17">
        <f>+VLOOKUP($A1287,MAGAZZINO!$B$2:$M$4838,8,FALSE)</f>
        <v/>
      </c>
      <c r="I1287" s="17">
        <f>+VLOOKUP($A1287,MAGAZZINO!$B$2:$M$4838,9,FALSE)</f>
        <v/>
      </c>
      <c r="J1287" s="17">
        <f>+VLOOKUP($A1287,MAGAZZINO!$B$2:$M$4838,10,FALSE)</f>
        <v/>
      </c>
      <c r="K1287" s="17">
        <f>+VLOOKUP($A1287,MAGAZZINO!$B$2:$M$4838,11,FALSE)</f>
        <v/>
      </c>
      <c r="L1287" s="44">
        <f>+VLOOKUP($A1287,MAGAZZINO!$B$2:$M$4838,12,FALSE)</f>
        <v/>
      </c>
    </row>
    <row r="1288" ht="36" customHeight="1">
      <c r="A1288" s="30">
        <f>+REGISTRO!A1271</f>
        <v/>
      </c>
      <c r="B1288" s="31">
        <f>+VLOOKUP($A1288,MAGAZZINO!$B$2:$M$4838,2,FALSE)</f>
        <v/>
      </c>
      <c r="C1288" s="32">
        <f>+VLOOKUP($A1288,MAGAZZINO!$B$2:$M$4838,3,FALSE)</f>
        <v/>
      </c>
      <c r="D1288" s="17">
        <f>+VLOOKUP($A1288,MAGAZZINO!$B$2:$M$4838,4,FALSE)</f>
        <v/>
      </c>
      <c r="E1288" s="17">
        <f>+VLOOKUP($A1288,MAGAZZINO!$B$2:$M$4838,5,FALSE)</f>
        <v/>
      </c>
      <c r="F1288" s="17">
        <f>+VLOOKUP($A1288,MAGAZZINO!$B$2:$M$4838,6,FALSE)</f>
        <v/>
      </c>
      <c r="G1288" s="17">
        <f>+VLOOKUP($A1288,MAGAZZINO!$B$2:$M$4838,7,FALSE)</f>
        <v/>
      </c>
      <c r="H1288" s="17">
        <f>+VLOOKUP($A1288,MAGAZZINO!$B$2:$M$4838,8,FALSE)</f>
        <v/>
      </c>
      <c r="I1288" s="17">
        <f>+VLOOKUP($A1288,MAGAZZINO!$B$2:$M$4838,9,FALSE)</f>
        <v/>
      </c>
      <c r="J1288" s="17">
        <f>+VLOOKUP($A1288,MAGAZZINO!$B$2:$M$4838,10,FALSE)</f>
        <v/>
      </c>
      <c r="K1288" s="17">
        <f>+VLOOKUP($A1288,MAGAZZINO!$B$2:$M$4838,11,FALSE)</f>
        <v/>
      </c>
      <c r="L1288" s="44">
        <f>+VLOOKUP($A1288,MAGAZZINO!$B$2:$M$4838,12,FALSE)</f>
        <v/>
      </c>
    </row>
    <row r="1289" ht="36" customHeight="1">
      <c r="A1289" s="30">
        <f>+REGISTRO!A1272</f>
        <v/>
      </c>
      <c r="B1289" s="31">
        <f>+VLOOKUP($A1289,MAGAZZINO!$B$2:$M$4838,2,FALSE)</f>
        <v/>
      </c>
      <c r="C1289" s="32">
        <f>+VLOOKUP($A1289,MAGAZZINO!$B$2:$M$4838,3,FALSE)</f>
        <v/>
      </c>
      <c r="D1289" s="17">
        <f>+VLOOKUP($A1289,MAGAZZINO!$B$2:$M$4838,4,FALSE)</f>
        <v/>
      </c>
      <c r="E1289" s="17">
        <f>+VLOOKUP($A1289,MAGAZZINO!$B$2:$M$4838,5,FALSE)</f>
        <v/>
      </c>
      <c r="F1289" s="17">
        <f>+VLOOKUP($A1289,MAGAZZINO!$B$2:$M$4838,6,FALSE)</f>
        <v/>
      </c>
      <c r="G1289" s="17">
        <f>+VLOOKUP($A1289,MAGAZZINO!$B$2:$M$4838,7,FALSE)</f>
        <v/>
      </c>
      <c r="H1289" s="17">
        <f>+VLOOKUP($A1289,MAGAZZINO!$B$2:$M$4838,8,FALSE)</f>
        <v/>
      </c>
      <c r="I1289" s="17">
        <f>+VLOOKUP($A1289,MAGAZZINO!$B$2:$M$4838,9,FALSE)</f>
        <v/>
      </c>
      <c r="J1289" s="17">
        <f>+VLOOKUP($A1289,MAGAZZINO!$B$2:$M$4838,10,FALSE)</f>
        <v/>
      </c>
      <c r="K1289" s="17">
        <f>+VLOOKUP($A1289,MAGAZZINO!$B$2:$M$4838,11,FALSE)</f>
        <v/>
      </c>
      <c r="L1289" s="44">
        <f>+VLOOKUP($A1289,MAGAZZINO!$B$2:$M$4838,12,FALSE)</f>
        <v/>
      </c>
    </row>
    <row r="1290" ht="36" customHeight="1">
      <c r="A1290" s="30">
        <f>+REGISTRO!A1273</f>
        <v/>
      </c>
      <c r="B1290" s="31">
        <f>+VLOOKUP($A1290,MAGAZZINO!$B$2:$M$4838,2,FALSE)</f>
        <v/>
      </c>
      <c r="C1290" s="32">
        <f>+VLOOKUP($A1290,MAGAZZINO!$B$2:$M$4838,3,FALSE)</f>
        <v/>
      </c>
      <c r="D1290" s="17">
        <f>+VLOOKUP($A1290,MAGAZZINO!$B$2:$M$4838,4,FALSE)</f>
        <v/>
      </c>
      <c r="E1290" s="17">
        <f>+VLOOKUP($A1290,MAGAZZINO!$B$2:$M$4838,5,FALSE)</f>
        <v/>
      </c>
      <c r="F1290" s="17">
        <f>+VLOOKUP($A1290,MAGAZZINO!$B$2:$M$4838,6,FALSE)</f>
        <v/>
      </c>
      <c r="G1290" s="17">
        <f>+VLOOKUP($A1290,MAGAZZINO!$B$2:$M$4838,7,FALSE)</f>
        <v/>
      </c>
      <c r="H1290" s="17">
        <f>+VLOOKUP($A1290,MAGAZZINO!$B$2:$M$4838,8,FALSE)</f>
        <v/>
      </c>
      <c r="I1290" s="17">
        <f>+VLOOKUP($A1290,MAGAZZINO!$B$2:$M$4838,9,FALSE)</f>
        <v/>
      </c>
      <c r="J1290" s="17">
        <f>+VLOOKUP($A1290,MAGAZZINO!$B$2:$M$4838,10,FALSE)</f>
        <v/>
      </c>
      <c r="K1290" s="17">
        <f>+VLOOKUP($A1290,MAGAZZINO!$B$2:$M$4838,11,FALSE)</f>
        <v/>
      </c>
      <c r="L1290" s="44">
        <f>+VLOOKUP($A1290,MAGAZZINO!$B$2:$M$4838,12,FALSE)</f>
        <v/>
      </c>
    </row>
    <row r="1291" ht="36" customHeight="1">
      <c r="A1291" s="30">
        <f>+REGISTRO!A1274</f>
        <v/>
      </c>
      <c r="B1291" s="31">
        <f>+VLOOKUP($A1291,MAGAZZINO!$B$2:$M$4838,2,FALSE)</f>
        <v/>
      </c>
      <c r="C1291" s="32">
        <f>+VLOOKUP($A1291,MAGAZZINO!$B$2:$M$4838,3,FALSE)</f>
        <v/>
      </c>
      <c r="D1291" s="17">
        <f>+VLOOKUP($A1291,MAGAZZINO!$B$2:$M$4838,4,FALSE)</f>
        <v/>
      </c>
      <c r="E1291" s="17">
        <f>+VLOOKUP($A1291,MAGAZZINO!$B$2:$M$4838,5,FALSE)</f>
        <v/>
      </c>
      <c r="F1291" s="17">
        <f>+VLOOKUP($A1291,MAGAZZINO!$B$2:$M$4838,6,FALSE)</f>
        <v/>
      </c>
      <c r="G1291" s="17">
        <f>+VLOOKUP($A1291,MAGAZZINO!$B$2:$M$4838,7,FALSE)</f>
        <v/>
      </c>
      <c r="H1291" s="17">
        <f>+VLOOKUP($A1291,MAGAZZINO!$B$2:$M$4838,8,FALSE)</f>
        <v/>
      </c>
      <c r="I1291" s="17">
        <f>+VLOOKUP($A1291,MAGAZZINO!$B$2:$M$4838,9,FALSE)</f>
        <v/>
      </c>
      <c r="J1291" s="17">
        <f>+VLOOKUP($A1291,MAGAZZINO!$B$2:$M$4838,10,FALSE)</f>
        <v/>
      </c>
      <c r="K1291" s="17">
        <f>+VLOOKUP($A1291,MAGAZZINO!$B$2:$M$4838,11,FALSE)</f>
        <v/>
      </c>
      <c r="L1291" s="44">
        <f>+VLOOKUP($A1291,MAGAZZINO!$B$2:$M$4838,12,FALSE)</f>
        <v/>
      </c>
    </row>
    <row r="1292" ht="36" customHeight="1">
      <c r="A1292" s="30">
        <f>+REGISTRO!A1275</f>
        <v/>
      </c>
      <c r="B1292" s="31">
        <f>+VLOOKUP($A1292,MAGAZZINO!$B$2:$M$4838,2,FALSE)</f>
        <v/>
      </c>
      <c r="C1292" s="32">
        <f>+VLOOKUP($A1292,MAGAZZINO!$B$2:$M$4838,3,FALSE)</f>
        <v/>
      </c>
      <c r="D1292" s="17">
        <f>+VLOOKUP($A1292,MAGAZZINO!$B$2:$M$4838,4,FALSE)</f>
        <v/>
      </c>
      <c r="E1292" s="17">
        <f>+VLOOKUP($A1292,MAGAZZINO!$B$2:$M$4838,5,FALSE)</f>
        <v/>
      </c>
      <c r="F1292" s="17">
        <f>+VLOOKUP($A1292,MAGAZZINO!$B$2:$M$4838,6,FALSE)</f>
        <v/>
      </c>
      <c r="G1292" s="17">
        <f>+VLOOKUP($A1292,MAGAZZINO!$B$2:$M$4838,7,FALSE)</f>
        <v/>
      </c>
      <c r="H1292" s="17">
        <f>+VLOOKUP($A1292,MAGAZZINO!$B$2:$M$4838,8,FALSE)</f>
        <v/>
      </c>
      <c r="I1292" s="17">
        <f>+VLOOKUP($A1292,MAGAZZINO!$B$2:$M$4838,9,FALSE)</f>
        <v/>
      </c>
      <c r="J1292" s="17">
        <f>+VLOOKUP($A1292,MAGAZZINO!$B$2:$M$4838,10,FALSE)</f>
        <v/>
      </c>
      <c r="K1292" s="17">
        <f>+VLOOKUP($A1292,MAGAZZINO!$B$2:$M$4838,11,FALSE)</f>
        <v/>
      </c>
      <c r="L1292" s="44">
        <f>+VLOOKUP($A1292,MAGAZZINO!$B$2:$M$4838,12,FALSE)</f>
        <v/>
      </c>
    </row>
    <row r="1293" ht="36" customHeight="1">
      <c r="A1293" s="30">
        <f>+REGISTRO!A1276</f>
        <v/>
      </c>
      <c r="B1293" s="31">
        <f>+VLOOKUP($A1293,MAGAZZINO!$B$2:$M$4838,2,FALSE)</f>
        <v/>
      </c>
      <c r="C1293" s="32">
        <f>+VLOOKUP($A1293,MAGAZZINO!$B$2:$M$4838,3,FALSE)</f>
        <v/>
      </c>
      <c r="D1293" s="17">
        <f>+VLOOKUP($A1293,MAGAZZINO!$B$2:$M$4838,4,FALSE)</f>
        <v/>
      </c>
      <c r="E1293" s="17">
        <f>+VLOOKUP($A1293,MAGAZZINO!$B$2:$M$4838,5,FALSE)</f>
        <v/>
      </c>
      <c r="F1293" s="17">
        <f>+VLOOKUP($A1293,MAGAZZINO!$B$2:$M$4838,6,FALSE)</f>
        <v/>
      </c>
      <c r="G1293" s="17">
        <f>+VLOOKUP($A1293,MAGAZZINO!$B$2:$M$4838,7,FALSE)</f>
        <v/>
      </c>
      <c r="H1293" s="17">
        <f>+VLOOKUP($A1293,MAGAZZINO!$B$2:$M$4838,8,FALSE)</f>
        <v/>
      </c>
      <c r="I1293" s="17">
        <f>+VLOOKUP($A1293,MAGAZZINO!$B$2:$M$4838,9,FALSE)</f>
        <v/>
      </c>
      <c r="J1293" s="17">
        <f>+VLOOKUP($A1293,MAGAZZINO!$B$2:$M$4838,10,FALSE)</f>
        <v/>
      </c>
      <c r="K1293" s="17">
        <f>+VLOOKUP($A1293,MAGAZZINO!$B$2:$M$4838,11,FALSE)</f>
        <v/>
      </c>
      <c r="L1293" s="44">
        <f>+VLOOKUP($A1293,MAGAZZINO!$B$2:$M$4838,12,FALSE)</f>
        <v/>
      </c>
    </row>
    <row r="1294" ht="36" customHeight="1">
      <c r="A1294" s="30">
        <f>+REGISTRO!A1277</f>
        <v/>
      </c>
      <c r="B1294" s="31">
        <f>+VLOOKUP($A1294,MAGAZZINO!$B$2:$M$4838,2,FALSE)</f>
        <v/>
      </c>
      <c r="C1294" s="32">
        <f>+VLOOKUP($A1294,MAGAZZINO!$B$2:$M$4838,3,FALSE)</f>
        <v/>
      </c>
      <c r="D1294" s="17">
        <f>+VLOOKUP($A1294,MAGAZZINO!$B$2:$M$4838,4,FALSE)</f>
        <v/>
      </c>
      <c r="E1294" s="17">
        <f>+VLOOKUP($A1294,MAGAZZINO!$B$2:$M$4838,5,FALSE)</f>
        <v/>
      </c>
      <c r="F1294" s="17">
        <f>+VLOOKUP($A1294,MAGAZZINO!$B$2:$M$4838,6,FALSE)</f>
        <v/>
      </c>
      <c r="G1294" s="17">
        <f>+VLOOKUP($A1294,MAGAZZINO!$B$2:$M$4838,7,FALSE)</f>
        <v/>
      </c>
      <c r="H1294" s="17">
        <f>+VLOOKUP($A1294,MAGAZZINO!$B$2:$M$4838,8,FALSE)</f>
        <v/>
      </c>
      <c r="I1294" s="17">
        <f>+VLOOKUP($A1294,MAGAZZINO!$B$2:$M$4838,9,FALSE)</f>
        <v/>
      </c>
      <c r="J1294" s="17">
        <f>+VLOOKUP($A1294,MAGAZZINO!$B$2:$M$4838,10,FALSE)</f>
        <v/>
      </c>
      <c r="K1294" s="17">
        <f>+VLOOKUP($A1294,MAGAZZINO!$B$2:$M$4838,11,FALSE)</f>
        <v/>
      </c>
      <c r="L1294" s="44">
        <f>+VLOOKUP($A1294,MAGAZZINO!$B$2:$M$4838,12,FALSE)</f>
        <v/>
      </c>
    </row>
    <row r="1295" ht="36" customHeight="1">
      <c r="A1295" s="30">
        <f>+REGISTRO!A1278</f>
        <v/>
      </c>
      <c r="B1295" s="31">
        <f>+VLOOKUP($A1295,MAGAZZINO!$B$2:$M$4838,2,FALSE)</f>
        <v/>
      </c>
      <c r="C1295" s="32">
        <f>+VLOOKUP($A1295,MAGAZZINO!$B$2:$M$4838,3,FALSE)</f>
        <v/>
      </c>
      <c r="D1295" s="17">
        <f>+VLOOKUP($A1295,MAGAZZINO!$B$2:$M$4838,4,FALSE)</f>
        <v/>
      </c>
      <c r="E1295" s="17">
        <f>+VLOOKUP($A1295,MAGAZZINO!$B$2:$M$4838,5,FALSE)</f>
        <v/>
      </c>
      <c r="F1295" s="17">
        <f>+VLOOKUP($A1295,MAGAZZINO!$B$2:$M$4838,6,FALSE)</f>
        <v/>
      </c>
      <c r="G1295" s="17">
        <f>+VLOOKUP($A1295,MAGAZZINO!$B$2:$M$4838,7,FALSE)</f>
        <v/>
      </c>
      <c r="H1295" s="17">
        <f>+VLOOKUP($A1295,MAGAZZINO!$B$2:$M$4838,8,FALSE)</f>
        <v/>
      </c>
      <c r="I1295" s="17">
        <f>+VLOOKUP($A1295,MAGAZZINO!$B$2:$M$4838,9,FALSE)</f>
        <v/>
      </c>
      <c r="J1295" s="17">
        <f>+VLOOKUP($A1295,MAGAZZINO!$B$2:$M$4838,10,FALSE)</f>
        <v/>
      </c>
      <c r="K1295" s="17">
        <f>+VLOOKUP($A1295,MAGAZZINO!$B$2:$M$4838,11,FALSE)</f>
        <v/>
      </c>
      <c r="L1295" s="44">
        <f>+VLOOKUP($A1295,MAGAZZINO!$B$2:$M$4838,12,FALSE)</f>
        <v/>
      </c>
    </row>
    <row r="1296" ht="36" customHeight="1">
      <c r="A1296" s="30">
        <f>+REGISTRO!A1279</f>
        <v/>
      </c>
      <c r="B1296" s="31">
        <f>+VLOOKUP($A1296,MAGAZZINO!$B$2:$M$4838,2,FALSE)</f>
        <v/>
      </c>
      <c r="C1296" s="32">
        <f>+VLOOKUP($A1296,MAGAZZINO!$B$2:$M$4838,3,FALSE)</f>
        <v/>
      </c>
      <c r="D1296" s="17">
        <f>+VLOOKUP($A1296,MAGAZZINO!$B$2:$M$4838,4,FALSE)</f>
        <v/>
      </c>
      <c r="E1296" s="17">
        <f>+VLOOKUP($A1296,MAGAZZINO!$B$2:$M$4838,5,FALSE)</f>
        <v/>
      </c>
      <c r="F1296" s="17">
        <f>+VLOOKUP($A1296,MAGAZZINO!$B$2:$M$4838,6,FALSE)</f>
        <v/>
      </c>
      <c r="G1296" s="17">
        <f>+VLOOKUP($A1296,MAGAZZINO!$B$2:$M$4838,7,FALSE)</f>
        <v/>
      </c>
      <c r="H1296" s="17">
        <f>+VLOOKUP($A1296,MAGAZZINO!$B$2:$M$4838,8,FALSE)</f>
        <v/>
      </c>
      <c r="I1296" s="17">
        <f>+VLOOKUP($A1296,MAGAZZINO!$B$2:$M$4838,9,FALSE)</f>
        <v/>
      </c>
      <c r="J1296" s="17">
        <f>+VLOOKUP($A1296,MAGAZZINO!$B$2:$M$4838,10,FALSE)</f>
        <v/>
      </c>
      <c r="K1296" s="17">
        <f>+VLOOKUP($A1296,MAGAZZINO!$B$2:$M$4838,11,FALSE)</f>
        <v/>
      </c>
      <c r="L1296" s="44">
        <f>+VLOOKUP($A1296,MAGAZZINO!$B$2:$M$4838,12,FALSE)</f>
        <v/>
      </c>
    </row>
    <row r="1297" ht="36" customHeight="1">
      <c r="A1297" s="30">
        <f>+REGISTRO!A1280</f>
        <v/>
      </c>
      <c r="B1297" s="31">
        <f>+VLOOKUP($A1297,MAGAZZINO!$B$2:$M$4838,2,FALSE)</f>
        <v/>
      </c>
      <c r="C1297" s="32">
        <f>+VLOOKUP($A1297,MAGAZZINO!$B$2:$M$4838,3,FALSE)</f>
        <v/>
      </c>
      <c r="D1297" s="17">
        <f>+VLOOKUP($A1297,MAGAZZINO!$B$2:$M$4838,4,FALSE)</f>
        <v/>
      </c>
      <c r="E1297" s="17">
        <f>+VLOOKUP($A1297,MAGAZZINO!$B$2:$M$4838,5,FALSE)</f>
        <v/>
      </c>
      <c r="F1297" s="17">
        <f>+VLOOKUP($A1297,MAGAZZINO!$B$2:$M$4838,6,FALSE)</f>
        <v/>
      </c>
      <c r="G1297" s="17">
        <f>+VLOOKUP($A1297,MAGAZZINO!$B$2:$M$4838,7,FALSE)</f>
        <v/>
      </c>
      <c r="H1297" s="17">
        <f>+VLOOKUP($A1297,MAGAZZINO!$B$2:$M$4838,8,FALSE)</f>
        <v/>
      </c>
      <c r="I1297" s="17">
        <f>+VLOOKUP($A1297,MAGAZZINO!$B$2:$M$4838,9,FALSE)</f>
        <v/>
      </c>
      <c r="J1297" s="17">
        <f>+VLOOKUP($A1297,MAGAZZINO!$B$2:$M$4838,10,FALSE)</f>
        <v/>
      </c>
      <c r="K1297" s="17">
        <f>+VLOOKUP($A1297,MAGAZZINO!$B$2:$M$4838,11,FALSE)</f>
        <v/>
      </c>
      <c r="L1297" s="44">
        <f>+VLOOKUP($A1297,MAGAZZINO!$B$2:$M$4838,12,FALSE)</f>
        <v/>
      </c>
    </row>
    <row r="1298" ht="36" customHeight="1">
      <c r="A1298" s="30">
        <f>+REGISTRO!A1281</f>
        <v/>
      </c>
      <c r="B1298" s="31">
        <f>+VLOOKUP($A1298,MAGAZZINO!$B$2:$M$4838,2,FALSE)</f>
        <v/>
      </c>
      <c r="C1298" s="32">
        <f>+VLOOKUP($A1298,MAGAZZINO!$B$2:$M$4838,3,FALSE)</f>
        <v/>
      </c>
      <c r="D1298" s="17">
        <f>+VLOOKUP($A1298,MAGAZZINO!$B$2:$M$4838,4,FALSE)</f>
        <v/>
      </c>
      <c r="E1298" s="17">
        <f>+VLOOKUP($A1298,MAGAZZINO!$B$2:$M$4838,5,FALSE)</f>
        <v/>
      </c>
      <c r="F1298" s="17">
        <f>+VLOOKUP($A1298,MAGAZZINO!$B$2:$M$4838,6,FALSE)</f>
        <v/>
      </c>
      <c r="G1298" s="17">
        <f>+VLOOKUP($A1298,MAGAZZINO!$B$2:$M$4838,7,FALSE)</f>
        <v/>
      </c>
      <c r="H1298" s="17">
        <f>+VLOOKUP($A1298,MAGAZZINO!$B$2:$M$4838,8,FALSE)</f>
        <v/>
      </c>
      <c r="I1298" s="17">
        <f>+VLOOKUP($A1298,MAGAZZINO!$B$2:$M$4838,9,FALSE)</f>
        <v/>
      </c>
      <c r="J1298" s="17">
        <f>+VLOOKUP($A1298,MAGAZZINO!$B$2:$M$4838,10,FALSE)</f>
        <v/>
      </c>
      <c r="K1298" s="17">
        <f>+VLOOKUP($A1298,MAGAZZINO!$B$2:$M$4838,11,FALSE)</f>
        <v/>
      </c>
      <c r="L1298" s="44">
        <f>+VLOOKUP($A1298,MAGAZZINO!$B$2:$M$4838,12,FALSE)</f>
        <v/>
      </c>
    </row>
    <row r="1299" ht="36" customHeight="1">
      <c r="A1299" s="30">
        <f>+REGISTRO!A1282</f>
        <v/>
      </c>
      <c r="B1299" s="31">
        <f>+VLOOKUP($A1299,MAGAZZINO!$B$2:$M$4838,2,FALSE)</f>
        <v/>
      </c>
      <c r="C1299" s="32">
        <f>+VLOOKUP($A1299,MAGAZZINO!$B$2:$M$4838,3,FALSE)</f>
        <v/>
      </c>
      <c r="D1299" s="17">
        <f>+VLOOKUP($A1299,MAGAZZINO!$B$2:$M$4838,4,FALSE)</f>
        <v/>
      </c>
      <c r="E1299" s="17">
        <f>+VLOOKUP($A1299,MAGAZZINO!$B$2:$M$4838,5,FALSE)</f>
        <v/>
      </c>
      <c r="F1299" s="17">
        <f>+VLOOKUP($A1299,MAGAZZINO!$B$2:$M$4838,6,FALSE)</f>
        <v/>
      </c>
      <c r="G1299" s="17">
        <f>+VLOOKUP($A1299,MAGAZZINO!$B$2:$M$4838,7,FALSE)</f>
        <v/>
      </c>
      <c r="H1299" s="17">
        <f>+VLOOKUP($A1299,MAGAZZINO!$B$2:$M$4838,8,FALSE)</f>
        <v/>
      </c>
      <c r="I1299" s="17">
        <f>+VLOOKUP($A1299,MAGAZZINO!$B$2:$M$4838,9,FALSE)</f>
        <v/>
      </c>
      <c r="J1299" s="17">
        <f>+VLOOKUP($A1299,MAGAZZINO!$B$2:$M$4838,10,FALSE)</f>
        <v/>
      </c>
      <c r="K1299" s="17">
        <f>+VLOOKUP($A1299,MAGAZZINO!$B$2:$M$4838,11,FALSE)</f>
        <v/>
      </c>
      <c r="L1299" s="44">
        <f>+VLOOKUP($A1299,MAGAZZINO!$B$2:$M$4838,12,FALSE)</f>
        <v/>
      </c>
    </row>
    <row r="1300" ht="36" customHeight="1">
      <c r="A1300" s="30">
        <f>+REGISTRO!A1283</f>
        <v/>
      </c>
      <c r="B1300" s="31">
        <f>+VLOOKUP($A1300,MAGAZZINO!$B$2:$M$4838,2,FALSE)</f>
        <v/>
      </c>
      <c r="C1300" s="32">
        <f>+VLOOKUP($A1300,MAGAZZINO!$B$2:$M$4838,3,FALSE)</f>
        <v/>
      </c>
      <c r="D1300" s="17">
        <f>+VLOOKUP($A1300,MAGAZZINO!$B$2:$M$4838,4,FALSE)</f>
        <v/>
      </c>
      <c r="E1300" s="17">
        <f>+VLOOKUP($A1300,MAGAZZINO!$B$2:$M$4838,5,FALSE)</f>
        <v/>
      </c>
      <c r="F1300" s="17">
        <f>+VLOOKUP($A1300,MAGAZZINO!$B$2:$M$4838,6,FALSE)</f>
        <v/>
      </c>
      <c r="G1300" s="17">
        <f>+VLOOKUP($A1300,MAGAZZINO!$B$2:$M$4838,7,FALSE)</f>
        <v/>
      </c>
      <c r="H1300" s="17">
        <f>+VLOOKUP($A1300,MAGAZZINO!$B$2:$M$4838,8,FALSE)</f>
        <v/>
      </c>
      <c r="I1300" s="17">
        <f>+VLOOKUP($A1300,MAGAZZINO!$B$2:$M$4838,9,FALSE)</f>
        <v/>
      </c>
      <c r="J1300" s="17">
        <f>+VLOOKUP($A1300,MAGAZZINO!$B$2:$M$4838,10,FALSE)</f>
        <v/>
      </c>
      <c r="K1300" s="17">
        <f>+VLOOKUP($A1300,MAGAZZINO!$B$2:$M$4838,11,FALSE)</f>
        <v/>
      </c>
      <c r="L1300" s="44">
        <f>+VLOOKUP($A1300,MAGAZZINO!$B$2:$M$4838,12,FALSE)</f>
        <v/>
      </c>
    </row>
    <row r="1301" ht="36" customHeight="1">
      <c r="A1301" s="30">
        <f>+REGISTRO!A1284</f>
        <v/>
      </c>
      <c r="B1301" s="31">
        <f>+VLOOKUP($A1301,MAGAZZINO!$B$2:$M$4838,2,FALSE)</f>
        <v/>
      </c>
      <c r="C1301" s="32">
        <f>+VLOOKUP($A1301,MAGAZZINO!$B$2:$M$4838,3,FALSE)</f>
        <v/>
      </c>
      <c r="D1301" s="17">
        <f>+VLOOKUP($A1301,MAGAZZINO!$B$2:$M$4838,4,FALSE)</f>
        <v/>
      </c>
      <c r="E1301" s="17">
        <f>+VLOOKUP($A1301,MAGAZZINO!$B$2:$M$4838,5,FALSE)</f>
        <v/>
      </c>
      <c r="F1301" s="17">
        <f>+VLOOKUP($A1301,MAGAZZINO!$B$2:$M$4838,6,FALSE)</f>
        <v/>
      </c>
      <c r="G1301" s="17">
        <f>+VLOOKUP($A1301,MAGAZZINO!$B$2:$M$4838,7,FALSE)</f>
        <v/>
      </c>
      <c r="H1301" s="17">
        <f>+VLOOKUP($A1301,MAGAZZINO!$B$2:$M$4838,8,FALSE)</f>
        <v/>
      </c>
      <c r="I1301" s="17">
        <f>+VLOOKUP($A1301,MAGAZZINO!$B$2:$M$4838,9,FALSE)</f>
        <v/>
      </c>
      <c r="J1301" s="17">
        <f>+VLOOKUP($A1301,MAGAZZINO!$B$2:$M$4838,10,FALSE)</f>
        <v/>
      </c>
      <c r="K1301" s="17">
        <f>+VLOOKUP($A1301,MAGAZZINO!$B$2:$M$4838,11,FALSE)</f>
        <v/>
      </c>
      <c r="L1301" s="44">
        <f>+VLOOKUP($A1301,MAGAZZINO!$B$2:$M$4838,12,FALSE)</f>
        <v/>
      </c>
    </row>
    <row r="1302" ht="36" customHeight="1">
      <c r="A1302" s="30">
        <f>+REGISTRO!A1285</f>
        <v/>
      </c>
      <c r="B1302" s="31">
        <f>+VLOOKUP($A1302,MAGAZZINO!$B$2:$M$4838,2,FALSE)</f>
        <v/>
      </c>
      <c r="C1302" s="32">
        <f>+VLOOKUP($A1302,MAGAZZINO!$B$2:$M$4838,3,FALSE)</f>
        <v/>
      </c>
      <c r="D1302" s="17">
        <f>+VLOOKUP($A1302,MAGAZZINO!$B$2:$M$4838,4,FALSE)</f>
        <v/>
      </c>
      <c r="E1302" s="17">
        <f>+VLOOKUP($A1302,MAGAZZINO!$B$2:$M$4838,5,FALSE)</f>
        <v/>
      </c>
      <c r="F1302" s="17">
        <f>+VLOOKUP($A1302,MAGAZZINO!$B$2:$M$4838,6,FALSE)</f>
        <v/>
      </c>
      <c r="G1302" s="17">
        <f>+VLOOKUP($A1302,MAGAZZINO!$B$2:$M$4838,7,FALSE)</f>
        <v/>
      </c>
      <c r="H1302" s="17">
        <f>+VLOOKUP($A1302,MAGAZZINO!$B$2:$M$4838,8,FALSE)</f>
        <v/>
      </c>
      <c r="I1302" s="17">
        <f>+VLOOKUP($A1302,MAGAZZINO!$B$2:$M$4838,9,FALSE)</f>
        <v/>
      </c>
      <c r="J1302" s="17">
        <f>+VLOOKUP($A1302,MAGAZZINO!$B$2:$M$4838,10,FALSE)</f>
        <v/>
      </c>
      <c r="K1302" s="17">
        <f>+VLOOKUP($A1302,MAGAZZINO!$B$2:$M$4838,11,FALSE)</f>
        <v/>
      </c>
      <c r="L1302" s="44">
        <f>+VLOOKUP($A1302,MAGAZZINO!$B$2:$M$4838,12,FALSE)</f>
        <v/>
      </c>
    </row>
    <row r="1303" ht="36" customHeight="1">
      <c r="A1303" s="30">
        <f>+REGISTRO!A1286</f>
        <v/>
      </c>
      <c r="B1303" s="31">
        <f>+VLOOKUP($A1303,MAGAZZINO!$B$2:$M$4838,2,FALSE)</f>
        <v/>
      </c>
      <c r="C1303" s="32">
        <f>+VLOOKUP($A1303,MAGAZZINO!$B$2:$M$4838,3,FALSE)</f>
        <v/>
      </c>
      <c r="D1303" s="17">
        <f>+VLOOKUP($A1303,MAGAZZINO!$B$2:$M$4838,4,FALSE)</f>
        <v/>
      </c>
      <c r="E1303" s="17">
        <f>+VLOOKUP($A1303,MAGAZZINO!$B$2:$M$4838,5,FALSE)</f>
        <v/>
      </c>
      <c r="F1303" s="17">
        <f>+VLOOKUP($A1303,MAGAZZINO!$B$2:$M$4838,6,FALSE)</f>
        <v/>
      </c>
      <c r="G1303" s="17">
        <f>+VLOOKUP($A1303,MAGAZZINO!$B$2:$M$4838,7,FALSE)</f>
        <v/>
      </c>
      <c r="H1303" s="17">
        <f>+VLOOKUP($A1303,MAGAZZINO!$B$2:$M$4838,8,FALSE)</f>
        <v/>
      </c>
      <c r="I1303" s="17">
        <f>+VLOOKUP($A1303,MAGAZZINO!$B$2:$M$4838,9,FALSE)</f>
        <v/>
      </c>
      <c r="J1303" s="17">
        <f>+VLOOKUP($A1303,MAGAZZINO!$B$2:$M$4838,10,FALSE)</f>
        <v/>
      </c>
      <c r="K1303" s="17">
        <f>+VLOOKUP($A1303,MAGAZZINO!$B$2:$M$4838,11,FALSE)</f>
        <v/>
      </c>
      <c r="L1303" s="44">
        <f>+VLOOKUP($A1303,MAGAZZINO!$B$2:$M$4838,12,FALSE)</f>
        <v/>
      </c>
    </row>
    <row r="1304" ht="36" customHeight="1">
      <c r="A1304" s="30">
        <f>+REGISTRO!A1287</f>
        <v/>
      </c>
      <c r="B1304" s="31">
        <f>+VLOOKUP($A1304,MAGAZZINO!$B$2:$M$4838,2,FALSE)</f>
        <v/>
      </c>
      <c r="C1304" s="32">
        <f>+VLOOKUP($A1304,MAGAZZINO!$B$2:$M$4838,3,FALSE)</f>
        <v/>
      </c>
      <c r="D1304" s="17">
        <f>+VLOOKUP($A1304,MAGAZZINO!$B$2:$M$4838,4,FALSE)</f>
        <v/>
      </c>
      <c r="E1304" s="17">
        <f>+VLOOKUP($A1304,MAGAZZINO!$B$2:$M$4838,5,FALSE)</f>
        <v/>
      </c>
      <c r="F1304" s="17">
        <f>+VLOOKUP($A1304,MAGAZZINO!$B$2:$M$4838,6,FALSE)</f>
        <v/>
      </c>
      <c r="G1304" s="17">
        <f>+VLOOKUP($A1304,MAGAZZINO!$B$2:$M$4838,7,FALSE)</f>
        <v/>
      </c>
      <c r="H1304" s="17">
        <f>+VLOOKUP($A1304,MAGAZZINO!$B$2:$M$4838,8,FALSE)</f>
        <v/>
      </c>
      <c r="I1304" s="17">
        <f>+VLOOKUP($A1304,MAGAZZINO!$B$2:$M$4838,9,FALSE)</f>
        <v/>
      </c>
      <c r="J1304" s="17">
        <f>+VLOOKUP($A1304,MAGAZZINO!$B$2:$M$4838,10,FALSE)</f>
        <v/>
      </c>
      <c r="K1304" s="17">
        <f>+VLOOKUP($A1304,MAGAZZINO!$B$2:$M$4838,11,FALSE)</f>
        <v/>
      </c>
      <c r="L1304" s="44">
        <f>+VLOOKUP($A1304,MAGAZZINO!$B$2:$M$4838,12,FALSE)</f>
        <v/>
      </c>
    </row>
    <row r="1305" ht="36" customHeight="1">
      <c r="A1305" s="30">
        <f>+REGISTRO!A1288</f>
        <v/>
      </c>
      <c r="B1305" s="31">
        <f>+VLOOKUP($A1305,MAGAZZINO!$B$2:$M$4838,2,FALSE)</f>
        <v/>
      </c>
      <c r="C1305" s="32">
        <f>+VLOOKUP($A1305,MAGAZZINO!$B$2:$M$4838,3,FALSE)</f>
        <v/>
      </c>
      <c r="D1305" s="17">
        <f>+VLOOKUP($A1305,MAGAZZINO!$B$2:$M$4838,4,FALSE)</f>
        <v/>
      </c>
      <c r="E1305" s="17">
        <f>+VLOOKUP($A1305,MAGAZZINO!$B$2:$M$4838,5,FALSE)</f>
        <v/>
      </c>
      <c r="F1305" s="17">
        <f>+VLOOKUP($A1305,MAGAZZINO!$B$2:$M$4838,6,FALSE)</f>
        <v/>
      </c>
      <c r="G1305" s="17">
        <f>+VLOOKUP($A1305,MAGAZZINO!$B$2:$M$4838,7,FALSE)</f>
        <v/>
      </c>
      <c r="H1305" s="17">
        <f>+VLOOKUP($A1305,MAGAZZINO!$B$2:$M$4838,8,FALSE)</f>
        <v/>
      </c>
      <c r="I1305" s="17">
        <f>+VLOOKUP($A1305,MAGAZZINO!$B$2:$M$4838,9,FALSE)</f>
        <v/>
      </c>
      <c r="J1305" s="17">
        <f>+VLOOKUP($A1305,MAGAZZINO!$B$2:$M$4838,10,FALSE)</f>
        <v/>
      </c>
      <c r="K1305" s="17">
        <f>+VLOOKUP($A1305,MAGAZZINO!$B$2:$M$4838,11,FALSE)</f>
        <v/>
      </c>
      <c r="L1305" s="44">
        <f>+VLOOKUP($A1305,MAGAZZINO!$B$2:$M$4838,12,FALSE)</f>
        <v/>
      </c>
    </row>
    <row r="1306" ht="36" customHeight="1">
      <c r="A1306" s="30">
        <f>+REGISTRO!A1289</f>
        <v/>
      </c>
      <c r="B1306" s="31">
        <f>+VLOOKUP($A1306,MAGAZZINO!$B$2:$M$4838,2,FALSE)</f>
        <v/>
      </c>
      <c r="C1306" s="32">
        <f>+VLOOKUP($A1306,MAGAZZINO!$B$2:$M$4838,3,FALSE)</f>
        <v/>
      </c>
      <c r="D1306" s="17">
        <f>+VLOOKUP($A1306,MAGAZZINO!$B$2:$M$4838,4,FALSE)</f>
        <v/>
      </c>
      <c r="E1306" s="17">
        <f>+VLOOKUP($A1306,MAGAZZINO!$B$2:$M$4838,5,FALSE)</f>
        <v/>
      </c>
      <c r="F1306" s="17">
        <f>+VLOOKUP($A1306,MAGAZZINO!$B$2:$M$4838,6,FALSE)</f>
        <v/>
      </c>
      <c r="G1306" s="17">
        <f>+VLOOKUP($A1306,MAGAZZINO!$B$2:$M$4838,7,FALSE)</f>
        <v/>
      </c>
      <c r="H1306" s="17">
        <f>+VLOOKUP($A1306,MAGAZZINO!$B$2:$M$4838,8,FALSE)</f>
        <v/>
      </c>
      <c r="I1306" s="17">
        <f>+VLOOKUP($A1306,MAGAZZINO!$B$2:$M$4838,9,FALSE)</f>
        <v/>
      </c>
      <c r="J1306" s="17">
        <f>+VLOOKUP($A1306,MAGAZZINO!$B$2:$M$4838,10,FALSE)</f>
        <v/>
      </c>
      <c r="K1306" s="17">
        <f>+VLOOKUP($A1306,MAGAZZINO!$B$2:$M$4838,11,FALSE)</f>
        <v/>
      </c>
      <c r="L1306" s="44">
        <f>+VLOOKUP($A1306,MAGAZZINO!$B$2:$M$4838,12,FALSE)</f>
        <v/>
      </c>
    </row>
    <row r="1307" ht="36" customHeight="1">
      <c r="A1307" s="30">
        <f>+REGISTRO!A1290</f>
        <v/>
      </c>
      <c r="B1307" s="31">
        <f>+VLOOKUP($A1307,MAGAZZINO!$B$2:$M$4838,2,FALSE)</f>
        <v/>
      </c>
      <c r="C1307" s="32">
        <f>+VLOOKUP($A1307,MAGAZZINO!$B$2:$M$4838,3,FALSE)</f>
        <v/>
      </c>
      <c r="D1307" s="17">
        <f>+VLOOKUP($A1307,MAGAZZINO!$B$2:$M$4838,4,FALSE)</f>
        <v/>
      </c>
      <c r="E1307" s="17">
        <f>+VLOOKUP($A1307,MAGAZZINO!$B$2:$M$4838,5,FALSE)</f>
        <v/>
      </c>
      <c r="F1307" s="17">
        <f>+VLOOKUP($A1307,MAGAZZINO!$B$2:$M$4838,6,FALSE)</f>
        <v/>
      </c>
      <c r="G1307" s="17">
        <f>+VLOOKUP($A1307,MAGAZZINO!$B$2:$M$4838,7,FALSE)</f>
        <v/>
      </c>
      <c r="H1307" s="17">
        <f>+VLOOKUP($A1307,MAGAZZINO!$B$2:$M$4838,8,FALSE)</f>
        <v/>
      </c>
      <c r="I1307" s="17">
        <f>+VLOOKUP($A1307,MAGAZZINO!$B$2:$M$4838,9,FALSE)</f>
        <v/>
      </c>
      <c r="J1307" s="17">
        <f>+VLOOKUP($A1307,MAGAZZINO!$B$2:$M$4838,10,FALSE)</f>
        <v/>
      </c>
      <c r="K1307" s="17">
        <f>+VLOOKUP($A1307,MAGAZZINO!$B$2:$M$4838,11,FALSE)</f>
        <v/>
      </c>
      <c r="L1307" s="44">
        <f>+VLOOKUP($A1307,MAGAZZINO!$B$2:$M$4838,12,FALSE)</f>
        <v/>
      </c>
    </row>
    <row r="1308" ht="36" customHeight="1">
      <c r="A1308" s="30">
        <f>+REGISTRO!A1291</f>
        <v/>
      </c>
      <c r="B1308" s="31">
        <f>+VLOOKUP($A1308,MAGAZZINO!$B$2:$M$4838,2,FALSE)</f>
        <v/>
      </c>
      <c r="C1308" s="32">
        <f>+VLOOKUP($A1308,MAGAZZINO!$B$2:$M$4838,3,FALSE)</f>
        <v/>
      </c>
      <c r="D1308" s="17">
        <f>+VLOOKUP($A1308,MAGAZZINO!$B$2:$M$4838,4,FALSE)</f>
        <v/>
      </c>
      <c r="E1308" s="17">
        <f>+VLOOKUP($A1308,MAGAZZINO!$B$2:$M$4838,5,FALSE)</f>
        <v/>
      </c>
      <c r="F1308" s="17">
        <f>+VLOOKUP($A1308,MAGAZZINO!$B$2:$M$4838,6,FALSE)</f>
        <v/>
      </c>
      <c r="G1308" s="17">
        <f>+VLOOKUP($A1308,MAGAZZINO!$B$2:$M$4838,7,FALSE)</f>
        <v/>
      </c>
      <c r="H1308" s="17">
        <f>+VLOOKUP($A1308,MAGAZZINO!$B$2:$M$4838,8,FALSE)</f>
        <v/>
      </c>
      <c r="I1308" s="17">
        <f>+VLOOKUP($A1308,MAGAZZINO!$B$2:$M$4838,9,FALSE)</f>
        <v/>
      </c>
      <c r="J1308" s="17">
        <f>+VLOOKUP($A1308,MAGAZZINO!$B$2:$M$4838,10,FALSE)</f>
        <v/>
      </c>
      <c r="K1308" s="17">
        <f>+VLOOKUP($A1308,MAGAZZINO!$B$2:$M$4838,11,FALSE)</f>
        <v/>
      </c>
      <c r="L1308" s="44">
        <f>+VLOOKUP($A1308,MAGAZZINO!$B$2:$M$4838,12,FALSE)</f>
        <v/>
      </c>
    </row>
    <row r="1309" ht="36" customHeight="1">
      <c r="A1309" s="30">
        <f>+REGISTRO!A1292</f>
        <v/>
      </c>
      <c r="B1309" s="31">
        <f>+VLOOKUP($A1309,MAGAZZINO!$B$2:$M$4838,2,FALSE)</f>
        <v/>
      </c>
      <c r="C1309" s="32">
        <f>+VLOOKUP($A1309,MAGAZZINO!$B$2:$M$4838,3,FALSE)</f>
        <v/>
      </c>
      <c r="D1309" s="17">
        <f>+VLOOKUP($A1309,MAGAZZINO!$B$2:$M$4838,4,FALSE)</f>
        <v/>
      </c>
      <c r="E1309" s="17">
        <f>+VLOOKUP($A1309,MAGAZZINO!$B$2:$M$4838,5,FALSE)</f>
        <v/>
      </c>
      <c r="F1309" s="17">
        <f>+VLOOKUP($A1309,MAGAZZINO!$B$2:$M$4838,6,FALSE)</f>
        <v/>
      </c>
      <c r="G1309" s="17">
        <f>+VLOOKUP($A1309,MAGAZZINO!$B$2:$M$4838,7,FALSE)</f>
        <v/>
      </c>
      <c r="H1309" s="17">
        <f>+VLOOKUP($A1309,MAGAZZINO!$B$2:$M$4838,8,FALSE)</f>
        <v/>
      </c>
      <c r="I1309" s="17">
        <f>+VLOOKUP($A1309,MAGAZZINO!$B$2:$M$4838,9,FALSE)</f>
        <v/>
      </c>
      <c r="J1309" s="17">
        <f>+VLOOKUP($A1309,MAGAZZINO!$B$2:$M$4838,10,FALSE)</f>
        <v/>
      </c>
      <c r="K1309" s="17">
        <f>+VLOOKUP($A1309,MAGAZZINO!$B$2:$M$4838,11,FALSE)</f>
        <v/>
      </c>
      <c r="L1309" s="44">
        <f>+VLOOKUP($A1309,MAGAZZINO!$B$2:$M$4838,12,FALSE)</f>
        <v/>
      </c>
    </row>
    <row r="1310" ht="36" customHeight="1">
      <c r="A1310" s="30">
        <f>+REGISTRO!A1293</f>
        <v/>
      </c>
      <c r="B1310" s="31">
        <f>+VLOOKUP($A1310,MAGAZZINO!$B$2:$M$4838,2,FALSE)</f>
        <v/>
      </c>
      <c r="C1310" s="32">
        <f>+VLOOKUP($A1310,MAGAZZINO!$B$2:$M$4838,3,FALSE)</f>
        <v/>
      </c>
      <c r="D1310" s="17">
        <f>+VLOOKUP($A1310,MAGAZZINO!$B$2:$M$4838,4,FALSE)</f>
        <v/>
      </c>
      <c r="E1310" s="17">
        <f>+VLOOKUP($A1310,MAGAZZINO!$B$2:$M$4838,5,FALSE)</f>
        <v/>
      </c>
      <c r="F1310" s="17">
        <f>+VLOOKUP($A1310,MAGAZZINO!$B$2:$M$4838,6,FALSE)</f>
        <v/>
      </c>
      <c r="G1310" s="17">
        <f>+VLOOKUP($A1310,MAGAZZINO!$B$2:$M$4838,7,FALSE)</f>
        <v/>
      </c>
      <c r="H1310" s="17">
        <f>+VLOOKUP($A1310,MAGAZZINO!$B$2:$M$4838,8,FALSE)</f>
        <v/>
      </c>
      <c r="I1310" s="17">
        <f>+VLOOKUP($A1310,MAGAZZINO!$B$2:$M$4838,9,FALSE)</f>
        <v/>
      </c>
      <c r="J1310" s="17">
        <f>+VLOOKUP($A1310,MAGAZZINO!$B$2:$M$4838,10,FALSE)</f>
        <v/>
      </c>
      <c r="K1310" s="17">
        <f>+VLOOKUP($A1310,MAGAZZINO!$B$2:$M$4838,11,FALSE)</f>
        <v/>
      </c>
      <c r="L1310" s="44">
        <f>+VLOOKUP($A1310,MAGAZZINO!$B$2:$M$4838,12,FALSE)</f>
        <v/>
      </c>
    </row>
    <row r="1311" ht="36" customHeight="1">
      <c r="A1311" s="30">
        <f>+REGISTRO!A1294</f>
        <v/>
      </c>
      <c r="B1311" s="31">
        <f>+VLOOKUP($A1311,MAGAZZINO!$B$2:$M$4838,2,FALSE)</f>
        <v/>
      </c>
      <c r="C1311" s="32">
        <f>+VLOOKUP($A1311,MAGAZZINO!$B$2:$M$4838,3,FALSE)</f>
        <v/>
      </c>
      <c r="D1311" s="17">
        <f>+VLOOKUP($A1311,MAGAZZINO!$B$2:$M$4838,4,FALSE)</f>
        <v/>
      </c>
      <c r="E1311" s="17">
        <f>+VLOOKUP($A1311,MAGAZZINO!$B$2:$M$4838,5,FALSE)</f>
        <v/>
      </c>
      <c r="F1311" s="17">
        <f>+VLOOKUP($A1311,MAGAZZINO!$B$2:$M$4838,6,FALSE)</f>
        <v/>
      </c>
      <c r="G1311" s="17">
        <f>+VLOOKUP($A1311,MAGAZZINO!$B$2:$M$4838,7,FALSE)</f>
        <v/>
      </c>
      <c r="H1311" s="17">
        <f>+VLOOKUP($A1311,MAGAZZINO!$B$2:$M$4838,8,FALSE)</f>
        <v/>
      </c>
      <c r="I1311" s="17">
        <f>+VLOOKUP($A1311,MAGAZZINO!$B$2:$M$4838,9,FALSE)</f>
        <v/>
      </c>
      <c r="J1311" s="17">
        <f>+VLOOKUP($A1311,MAGAZZINO!$B$2:$M$4838,10,FALSE)</f>
        <v/>
      </c>
      <c r="K1311" s="17">
        <f>+VLOOKUP($A1311,MAGAZZINO!$B$2:$M$4838,11,FALSE)</f>
        <v/>
      </c>
      <c r="L1311" s="44">
        <f>+VLOOKUP($A1311,MAGAZZINO!$B$2:$M$4838,12,FALSE)</f>
        <v/>
      </c>
    </row>
    <row r="1312" ht="36" customHeight="1">
      <c r="A1312" s="30">
        <f>+REGISTRO!A1295</f>
        <v/>
      </c>
      <c r="B1312" s="31">
        <f>+VLOOKUP($A1312,MAGAZZINO!$B$2:$M$4838,2,FALSE)</f>
        <v/>
      </c>
      <c r="C1312" s="32">
        <f>+VLOOKUP($A1312,MAGAZZINO!$B$2:$M$4838,3,FALSE)</f>
        <v/>
      </c>
      <c r="D1312" s="17">
        <f>+VLOOKUP($A1312,MAGAZZINO!$B$2:$M$4838,4,FALSE)</f>
        <v/>
      </c>
      <c r="E1312" s="17">
        <f>+VLOOKUP($A1312,MAGAZZINO!$B$2:$M$4838,5,FALSE)</f>
        <v/>
      </c>
      <c r="F1312" s="17">
        <f>+VLOOKUP($A1312,MAGAZZINO!$B$2:$M$4838,6,FALSE)</f>
        <v/>
      </c>
      <c r="G1312" s="17">
        <f>+VLOOKUP($A1312,MAGAZZINO!$B$2:$M$4838,7,FALSE)</f>
        <v/>
      </c>
      <c r="H1312" s="17">
        <f>+VLOOKUP($A1312,MAGAZZINO!$B$2:$M$4838,8,FALSE)</f>
        <v/>
      </c>
      <c r="I1312" s="17">
        <f>+VLOOKUP($A1312,MAGAZZINO!$B$2:$M$4838,9,FALSE)</f>
        <v/>
      </c>
      <c r="J1312" s="17">
        <f>+VLOOKUP($A1312,MAGAZZINO!$B$2:$M$4838,10,FALSE)</f>
        <v/>
      </c>
      <c r="K1312" s="17">
        <f>+VLOOKUP($A1312,MAGAZZINO!$B$2:$M$4838,11,FALSE)</f>
        <v/>
      </c>
      <c r="L1312" s="44">
        <f>+VLOOKUP($A1312,MAGAZZINO!$B$2:$M$4838,12,FALSE)</f>
        <v/>
      </c>
    </row>
    <row r="1313" ht="36" customHeight="1">
      <c r="A1313" s="30">
        <f>+REGISTRO!A1296</f>
        <v/>
      </c>
      <c r="B1313" s="31">
        <f>+VLOOKUP($A1313,MAGAZZINO!$B$2:$M$4838,2,FALSE)</f>
        <v/>
      </c>
      <c r="C1313" s="32">
        <f>+VLOOKUP($A1313,MAGAZZINO!$B$2:$M$4838,3,FALSE)</f>
        <v/>
      </c>
      <c r="D1313" s="17">
        <f>+VLOOKUP($A1313,MAGAZZINO!$B$2:$M$4838,4,FALSE)</f>
        <v/>
      </c>
      <c r="E1313" s="17">
        <f>+VLOOKUP($A1313,MAGAZZINO!$B$2:$M$4838,5,FALSE)</f>
        <v/>
      </c>
      <c r="F1313" s="17">
        <f>+VLOOKUP($A1313,MAGAZZINO!$B$2:$M$4838,6,FALSE)</f>
        <v/>
      </c>
      <c r="G1313" s="17">
        <f>+VLOOKUP($A1313,MAGAZZINO!$B$2:$M$4838,7,FALSE)</f>
        <v/>
      </c>
      <c r="H1313" s="17">
        <f>+VLOOKUP($A1313,MAGAZZINO!$B$2:$M$4838,8,FALSE)</f>
        <v/>
      </c>
      <c r="I1313" s="17">
        <f>+VLOOKUP($A1313,MAGAZZINO!$B$2:$M$4838,9,FALSE)</f>
        <v/>
      </c>
      <c r="J1313" s="17">
        <f>+VLOOKUP($A1313,MAGAZZINO!$B$2:$M$4838,10,FALSE)</f>
        <v/>
      </c>
      <c r="K1313" s="17">
        <f>+VLOOKUP($A1313,MAGAZZINO!$B$2:$M$4838,11,FALSE)</f>
        <v/>
      </c>
      <c r="L1313" s="44">
        <f>+VLOOKUP($A1313,MAGAZZINO!$B$2:$M$4838,12,FALSE)</f>
        <v/>
      </c>
    </row>
    <row r="1314" ht="36" customHeight="1">
      <c r="A1314" s="30">
        <f>+REGISTRO!A1297</f>
        <v/>
      </c>
      <c r="B1314" s="31">
        <f>+VLOOKUP($A1314,MAGAZZINO!$B$2:$M$4838,2,FALSE)</f>
        <v/>
      </c>
      <c r="C1314" s="32">
        <f>+VLOOKUP($A1314,MAGAZZINO!$B$2:$M$4838,3,FALSE)</f>
        <v/>
      </c>
      <c r="D1314" s="17">
        <f>+VLOOKUP($A1314,MAGAZZINO!$B$2:$M$4838,4,FALSE)</f>
        <v/>
      </c>
      <c r="E1314" s="17">
        <f>+VLOOKUP($A1314,MAGAZZINO!$B$2:$M$4838,5,FALSE)</f>
        <v/>
      </c>
      <c r="F1314" s="17">
        <f>+VLOOKUP($A1314,MAGAZZINO!$B$2:$M$4838,6,FALSE)</f>
        <v/>
      </c>
      <c r="G1314" s="17">
        <f>+VLOOKUP($A1314,MAGAZZINO!$B$2:$M$4838,7,FALSE)</f>
        <v/>
      </c>
      <c r="H1314" s="17">
        <f>+VLOOKUP($A1314,MAGAZZINO!$B$2:$M$4838,8,FALSE)</f>
        <v/>
      </c>
      <c r="I1314" s="17">
        <f>+VLOOKUP($A1314,MAGAZZINO!$B$2:$M$4838,9,FALSE)</f>
        <v/>
      </c>
      <c r="J1314" s="17">
        <f>+VLOOKUP($A1314,MAGAZZINO!$B$2:$M$4838,10,FALSE)</f>
        <v/>
      </c>
      <c r="K1314" s="17">
        <f>+VLOOKUP($A1314,MAGAZZINO!$B$2:$M$4838,11,FALSE)</f>
        <v/>
      </c>
      <c r="L1314" s="44">
        <f>+VLOOKUP($A1314,MAGAZZINO!$B$2:$M$4838,12,FALSE)</f>
        <v/>
      </c>
    </row>
    <row r="1315" ht="36" customHeight="1">
      <c r="A1315" s="30">
        <f>+REGISTRO!A1298</f>
        <v/>
      </c>
      <c r="B1315" s="31">
        <f>+VLOOKUP($A1315,MAGAZZINO!$B$2:$M$4838,2,FALSE)</f>
        <v/>
      </c>
      <c r="C1315" s="32">
        <f>+VLOOKUP($A1315,MAGAZZINO!$B$2:$M$4838,3,FALSE)</f>
        <v/>
      </c>
      <c r="D1315" s="17">
        <f>+VLOOKUP($A1315,MAGAZZINO!$B$2:$M$4838,4,FALSE)</f>
        <v/>
      </c>
      <c r="E1315" s="17">
        <f>+VLOOKUP($A1315,MAGAZZINO!$B$2:$M$4838,5,FALSE)</f>
        <v/>
      </c>
      <c r="F1315" s="17">
        <f>+VLOOKUP($A1315,MAGAZZINO!$B$2:$M$4838,6,FALSE)</f>
        <v/>
      </c>
      <c r="G1315" s="17">
        <f>+VLOOKUP($A1315,MAGAZZINO!$B$2:$M$4838,7,FALSE)</f>
        <v/>
      </c>
      <c r="H1315" s="17">
        <f>+VLOOKUP($A1315,MAGAZZINO!$B$2:$M$4838,8,FALSE)</f>
        <v/>
      </c>
      <c r="I1315" s="17">
        <f>+VLOOKUP($A1315,MAGAZZINO!$B$2:$M$4838,9,FALSE)</f>
        <v/>
      </c>
      <c r="J1315" s="17">
        <f>+VLOOKUP($A1315,MAGAZZINO!$B$2:$M$4838,10,FALSE)</f>
        <v/>
      </c>
      <c r="K1315" s="17">
        <f>+VLOOKUP($A1315,MAGAZZINO!$B$2:$M$4838,11,FALSE)</f>
        <v/>
      </c>
      <c r="L1315" s="44">
        <f>+VLOOKUP($A1315,MAGAZZINO!$B$2:$M$4838,12,FALSE)</f>
        <v/>
      </c>
    </row>
    <row r="1316" ht="36" customHeight="1">
      <c r="A1316" s="30">
        <f>+REGISTRO!A1299</f>
        <v/>
      </c>
      <c r="B1316" s="31">
        <f>+VLOOKUP($A1316,MAGAZZINO!$B$2:$M$4838,2,FALSE)</f>
        <v/>
      </c>
      <c r="C1316" s="32">
        <f>+VLOOKUP($A1316,MAGAZZINO!$B$2:$M$4838,3,FALSE)</f>
        <v/>
      </c>
      <c r="D1316" s="17">
        <f>+VLOOKUP($A1316,MAGAZZINO!$B$2:$M$4838,4,FALSE)</f>
        <v/>
      </c>
      <c r="E1316" s="17">
        <f>+VLOOKUP($A1316,MAGAZZINO!$B$2:$M$4838,5,FALSE)</f>
        <v/>
      </c>
      <c r="F1316" s="17">
        <f>+VLOOKUP($A1316,MAGAZZINO!$B$2:$M$4838,6,FALSE)</f>
        <v/>
      </c>
      <c r="G1316" s="17">
        <f>+VLOOKUP($A1316,MAGAZZINO!$B$2:$M$4838,7,FALSE)</f>
        <v/>
      </c>
      <c r="H1316" s="17">
        <f>+VLOOKUP($A1316,MAGAZZINO!$B$2:$M$4838,8,FALSE)</f>
        <v/>
      </c>
      <c r="I1316" s="17">
        <f>+VLOOKUP($A1316,MAGAZZINO!$B$2:$M$4838,9,FALSE)</f>
        <v/>
      </c>
      <c r="J1316" s="17">
        <f>+VLOOKUP($A1316,MAGAZZINO!$B$2:$M$4838,10,FALSE)</f>
        <v/>
      </c>
      <c r="K1316" s="17">
        <f>+VLOOKUP($A1316,MAGAZZINO!$B$2:$M$4838,11,FALSE)</f>
        <v/>
      </c>
      <c r="L1316" s="44">
        <f>+VLOOKUP($A1316,MAGAZZINO!$B$2:$M$4838,12,FALSE)</f>
        <v/>
      </c>
    </row>
    <row r="1317" ht="36" customHeight="1">
      <c r="A1317" s="30">
        <f>+REGISTRO!A1300</f>
        <v/>
      </c>
      <c r="B1317" s="31">
        <f>+VLOOKUP($A1317,MAGAZZINO!$B$2:$M$4838,2,FALSE)</f>
        <v/>
      </c>
      <c r="C1317" s="32">
        <f>+VLOOKUP($A1317,MAGAZZINO!$B$2:$M$4838,3,FALSE)</f>
        <v/>
      </c>
      <c r="D1317" s="17">
        <f>+VLOOKUP($A1317,MAGAZZINO!$B$2:$M$4838,4,FALSE)</f>
        <v/>
      </c>
      <c r="E1317" s="17">
        <f>+VLOOKUP($A1317,MAGAZZINO!$B$2:$M$4838,5,FALSE)</f>
        <v/>
      </c>
      <c r="F1317" s="17">
        <f>+VLOOKUP($A1317,MAGAZZINO!$B$2:$M$4838,6,FALSE)</f>
        <v/>
      </c>
      <c r="G1317" s="17">
        <f>+VLOOKUP($A1317,MAGAZZINO!$B$2:$M$4838,7,FALSE)</f>
        <v/>
      </c>
      <c r="H1317" s="17">
        <f>+VLOOKUP($A1317,MAGAZZINO!$B$2:$M$4838,8,FALSE)</f>
        <v/>
      </c>
      <c r="I1317" s="17">
        <f>+VLOOKUP($A1317,MAGAZZINO!$B$2:$M$4838,9,FALSE)</f>
        <v/>
      </c>
      <c r="J1317" s="17">
        <f>+VLOOKUP($A1317,MAGAZZINO!$B$2:$M$4838,10,FALSE)</f>
        <v/>
      </c>
      <c r="K1317" s="17">
        <f>+VLOOKUP($A1317,MAGAZZINO!$B$2:$M$4838,11,FALSE)</f>
        <v/>
      </c>
      <c r="L1317" s="44">
        <f>+VLOOKUP($A1317,MAGAZZINO!$B$2:$M$4838,12,FALSE)</f>
        <v/>
      </c>
    </row>
    <row r="1318" ht="36" customHeight="1">
      <c r="A1318" s="30">
        <f>+REGISTRO!A1301</f>
        <v/>
      </c>
      <c r="B1318" s="31">
        <f>+VLOOKUP($A1318,MAGAZZINO!$B$2:$M$4838,2,FALSE)</f>
        <v/>
      </c>
      <c r="C1318" s="32">
        <f>+VLOOKUP($A1318,MAGAZZINO!$B$2:$M$4838,3,FALSE)</f>
        <v/>
      </c>
      <c r="D1318" s="17">
        <f>+VLOOKUP($A1318,MAGAZZINO!$B$2:$M$4838,4,FALSE)</f>
        <v/>
      </c>
      <c r="E1318" s="17">
        <f>+VLOOKUP($A1318,MAGAZZINO!$B$2:$M$4838,5,FALSE)</f>
        <v/>
      </c>
      <c r="F1318" s="17">
        <f>+VLOOKUP($A1318,MAGAZZINO!$B$2:$M$4838,6,FALSE)</f>
        <v/>
      </c>
      <c r="G1318" s="17">
        <f>+VLOOKUP($A1318,MAGAZZINO!$B$2:$M$4838,7,FALSE)</f>
        <v/>
      </c>
      <c r="H1318" s="17">
        <f>+VLOOKUP($A1318,MAGAZZINO!$B$2:$M$4838,8,FALSE)</f>
        <v/>
      </c>
      <c r="I1318" s="17">
        <f>+VLOOKUP($A1318,MAGAZZINO!$B$2:$M$4838,9,FALSE)</f>
        <v/>
      </c>
      <c r="J1318" s="17">
        <f>+VLOOKUP($A1318,MAGAZZINO!$B$2:$M$4838,10,FALSE)</f>
        <v/>
      </c>
      <c r="K1318" s="17">
        <f>+VLOOKUP($A1318,MAGAZZINO!$B$2:$M$4838,11,FALSE)</f>
        <v/>
      </c>
      <c r="L1318" s="44">
        <f>+VLOOKUP($A1318,MAGAZZINO!$B$2:$M$4838,12,FALSE)</f>
        <v/>
      </c>
    </row>
    <row r="1319" ht="36" customHeight="1">
      <c r="A1319" s="30">
        <f>+REGISTRO!A1302</f>
        <v/>
      </c>
      <c r="B1319" s="31">
        <f>+VLOOKUP($A1319,MAGAZZINO!$B$2:$M$4838,2,FALSE)</f>
        <v/>
      </c>
      <c r="C1319" s="32">
        <f>+VLOOKUP($A1319,MAGAZZINO!$B$2:$M$4838,3,FALSE)</f>
        <v/>
      </c>
      <c r="D1319" s="17">
        <f>+VLOOKUP($A1319,MAGAZZINO!$B$2:$M$4838,4,FALSE)</f>
        <v/>
      </c>
      <c r="E1319" s="17">
        <f>+VLOOKUP($A1319,MAGAZZINO!$B$2:$M$4838,5,FALSE)</f>
        <v/>
      </c>
      <c r="F1319" s="17">
        <f>+VLOOKUP($A1319,MAGAZZINO!$B$2:$M$4838,6,FALSE)</f>
        <v/>
      </c>
      <c r="G1319" s="17">
        <f>+VLOOKUP($A1319,MAGAZZINO!$B$2:$M$4838,7,FALSE)</f>
        <v/>
      </c>
      <c r="H1319" s="17">
        <f>+VLOOKUP($A1319,MAGAZZINO!$B$2:$M$4838,8,FALSE)</f>
        <v/>
      </c>
      <c r="I1319" s="17">
        <f>+VLOOKUP($A1319,MAGAZZINO!$B$2:$M$4838,9,FALSE)</f>
        <v/>
      </c>
      <c r="J1319" s="17">
        <f>+VLOOKUP($A1319,MAGAZZINO!$B$2:$M$4838,10,FALSE)</f>
        <v/>
      </c>
      <c r="K1319" s="17">
        <f>+VLOOKUP($A1319,MAGAZZINO!$B$2:$M$4838,11,FALSE)</f>
        <v/>
      </c>
      <c r="L1319" s="44">
        <f>+VLOOKUP($A1319,MAGAZZINO!$B$2:$M$4838,12,FALSE)</f>
        <v/>
      </c>
    </row>
    <row r="1320" ht="36" customHeight="1">
      <c r="A1320" s="30">
        <f>+REGISTRO!A1303</f>
        <v/>
      </c>
      <c r="B1320" s="31">
        <f>+VLOOKUP($A1320,MAGAZZINO!$B$2:$M$4838,2,FALSE)</f>
        <v/>
      </c>
      <c r="C1320" s="32">
        <f>+VLOOKUP($A1320,MAGAZZINO!$B$2:$M$4838,3,FALSE)</f>
        <v/>
      </c>
      <c r="D1320" s="17">
        <f>+VLOOKUP($A1320,MAGAZZINO!$B$2:$M$4838,4,FALSE)</f>
        <v/>
      </c>
      <c r="E1320" s="17">
        <f>+VLOOKUP($A1320,MAGAZZINO!$B$2:$M$4838,5,FALSE)</f>
        <v/>
      </c>
      <c r="F1320" s="17">
        <f>+VLOOKUP($A1320,MAGAZZINO!$B$2:$M$4838,6,FALSE)</f>
        <v/>
      </c>
      <c r="G1320" s="17">
        <f>+VLOOKUP($A1320,MAGAZZINO!$B$2:$M$4838,7,FALSE)</f>
        <v/>
      </c>
      <c r="H1320" s="17">
        <f>+VLOOKUP($A1320,MAGAZZINO!$B$2:$M$4838,8,FALSE)</f>
        <v/>
      </c>
      <c r="I1320" s="17">
        <f>+VLOOKUP($A1320,MAGAZZINO!$B$2:$M$4838,9,FALSE)</f>
        <v/>
      </c>
      <c r="J1320" s="17">
        <f>+VLOOKUP($A1320,MAGAZZINO!$B$2:$M$4838,10,FALSE)</f>
        <v/>
      </c>
      <c r="K1320" s="17">
        <f>+VLOOKUP($A1320,MAGAZZINO!$B$2:$M$4838,11,FALSE)</f>
        <v/>
      </c>
      <c r="L1320" s="44">
        <f>+VLOOKUP($A1320,MAGAZZINO!$B$2:$M$4838,12,FALSE)</f>
        <v/>
      </c>
    </row>
    <row r="1321" ht="36" customHeight="1">
      <c r="A1321" s="30">
        <f>+REGISTRO!A1304</f>
        <v/>
      </c>
      <c r="B1321" s="31">
        <f>+VLOOKUP($A1321,MAGAZZINO!$B$2:$M$4838,2,FALSE)</f>
        <v/>
      </c>
      <c r="C1321" s="32">
        <f>+VLOOKUP($A1321,MAGAZZINO!$B$2:$M$4838,3,FALSE)</f>
        <v/>
      </c>
      <c r="D1321" s="17">
        <f>+VLOOKUP($A1321,MAGAZZINO!$B$2:$M$4838,4,FALSE)</f>
        <v/>
      </c>
      <c r="E1321" s="17">
        <f>+VLOOKUP($A1321,MAGAZZINO!$B$2:$M$4838,5,FALSE)</f>
        <v/>
      </c>
      <c r="F1321" s="17">
        <f>+VLOOKUP($A1321,MAGAZZINO!$B$2:$M$4838,6,FALSE)</f>
        <v/>
      </c>
      <c r="G1321" s="17">
        <f>+VLOOKUP($A1321,MAGAZZINO!$B$2:$M$4838,7,FALSE)</f>
        <v/>
      </c>
      <c r="H1321" s="17">
        <f>+VLOOKUP($A1321,MAGAZZINO!$B$2:$M$4838,8,FALSE)</f>
        <v/>
      </c>
      <c r="I1321" s="17">
        <f>+VLOOKUP($A1321,MAGAZZINO!$B$2:$M$4838,9,FALSE)</f>
        <v/>
      </c>
      <c r="J1321" s="17">
        <f>+VLOOKUP($A1321,MAGAZZINO!$B$2:$M$4838,10,FALSE)</f>
        <v/>
      </c>
      <c r="K1321" s="17">
        <f>+VLOOKUP($A1321,MAGAZZINO!$B$2:$M$4838,11,FALSE)</f>
        <v/>
      </c>
      <c r="L1321" s="44">
        <f>+VLOOKUP($A1321,MAGAZZINO!$B$2:$M$4838,12,FALSE)</f>
        <v/>
      </c>
    </row>
    <row r="1322" ht="36" customHeight="1">
      <c r="A1322" s="30">
        <f>+REGISTRO!A1305</f>
        <v/>
      </c>
      <c r="B1322" s="31">
        <f>+VLOOKUP($A1322,MAGAZZINO!$B$2:$M$4838,2,FALSE)</f>
        <v/>
      </c>
      <c r="C1322" s="32">
        <f>+VLOOKUP($A1322,MAGAZZINO!$B$2:$M$4838,3,FALSE)</f>
        <v/>
      </c>
      <c r="D1322" s="17">
        <f>+VLOOKUP($A1322,MAGAZZINO!$B$2:$M$4838,4,FALSE)</f>
        <v/>
      </c>
      <c r="E1322" s="17">
        <f>+VLOOKUP($A1322,MAGAZZINO!$B$2:$M$4838,5,FALSE)</f>
        <v/>
      </c>
      <c r="F1322" s="17">
        <f>+VLOOKUP($A1322,MAGAZZINO!$B$2:$M$4838,6,FALSE)</f>
        <v/>
      </c>
      <c r="G1322" s="17">
        <f>+VLOOKUP($A1322,MAGAZZINO!$B$2:$M$4838,7,FALSE)</f>
        <v/>
      </c>
      <c r="H1322" s="17">
        <f>+VLOOKUP($A1322,MAGAZZINO!$B$2:$M$4838,8,FALSE)</f>
        <v/>
      </c>
      <c r="I1322" s="17">
        <f>+VLOOKUP($A1322,MAGAZZINO!$B$2:$M$4838,9,FALSE)</f>
        <v/>
      </c>
      <c r="J1322" s="17">
        <f>+VLOOKUP($A1322,MAGAZZINO!$B$2:$M$4838,10,FALSE)</f>
        <v/>
      </c>
      <c r="K1322" s="17">
        <f>+VLOOKUP($A1322,MAGAZZINO!$B$2:$M$4838,11,FALSE)</f>
        <v/>
      </c>
      <c r="L1322" s="44">
        <f>+VLOOKUP($A1322,MAGAZZINO!$B$2:$M$4838,12,FALSE)</f>
        <v/>
      </c>
    </row>
    <row r="1323" ht="36" customHeight="1">
      <c r="A1323" s="30">
        <f>+REGISTRO!A1306</f>
        <v/>
      </c>
      <c r="B1323" s="31">
        <f>+VLOOKUP($A1323,MAGAZZINO!$B$2:$M$4838,2,FALSE)</f>
        <v/>
      </c>
      <c r="C1323" s="32">
        <f>+VLOOKUP($A1323,MAGAZZINO!$B$2:$M$4838,3,FALSE)</f>
        <v/>
      </c>
      <c r="D1323" s="17">
        <f>+VLOOKUP($A1323,MAGAZZINO!$B$2:$M$4838,4,FALSE)</f>
        <v/>
      </c>
      <c r="E1323" s="17">
        <f>+VLOOKUP($A1323,MAGAZZINO!$B$2:$M$4838,5,FALSE)</f>
        <v/>
      </c>
      <c r="F1323" s="17">
        <f>+VLOOKUP($A1323,MAGAZZINO!$B$2:$M$4838,6,FALSE)</f>
        <v/>
      </c>
      <c r="G1323" s="17">
        <f>+VLOOKUP($A1323,MAGAZZINO!$B$2:$M$4838,7,FALSE)</f>
        <v/>
      </c>
      <c r="H1323" s="17">
        <f>+VLOOKUP($A1323,MAGAZZINO!$B$2:$M$4838,8,FALSE)</f>
        <v/>
      </c>
      <c r="I1323" s="17">
        <f>+VLOOKUP($A1323,MAGAZZINO!$B$2:$M$4838,9,FALSE)</f>
        <v/>
      </c>
      <c r="J1323" s="17">
        <f>+VLOOKUP($A1323,MAGAZZINO!$B$2:$M$4838,10,FALSE)</f>
        <v/>
      </c>
      <c r="K1323" s="17">
        <f>+VLOOKUP($A1323,MAGAZZINO!$B$2:$M$4838,11,FALSE)</f>
        <v/>
      </c>
      <c r="L1323" s="44">
        <f>+VLOOKUP($A1323,MAGAZZINO!$B$2:$M$4838,12,FALSE)</f>
        <v/>
      </c>
    </row>
    <row r="1324" ht="36" customHeight="1">
      <c r="A1324" s="30">
        <f>+REGISTRO!A1307</f>
        <v/>
      </c>
      <c r="B1324" s="31">
        <f>+VLOOKUP($A1324,MAGAZZINO!$B$2:$M$4838,2,FALSE)</f>
        <v/>
      </c>
      <c r="C1324" s="32">
        <f>+VLOOKUP($A1324,MAGAZZINO!$B$2:$M$4838,3,FALSE)</f>
        <v/>
      </c>
      <c r="D1324" s="17">
        <f>+VLOOKUP($A1324,MAGAZZINO!$B$2:$M$4838,4,FALSE)</f>
        <v/>
      </c>
      <c r="E1324" s="17">
        <f>+VLOOKUP($A1324,MAGAZZINO!$B$2:$M$4838,5,FALSE)</f>
        <v/>
      </c>
      <c r="F1324" s="17">
        <f>+VLOOKUP($A1324,MAGAZZINO!$B$2:$M$4838,6,FALSE)</f>
        <v/>
      </c>
      <c r="G1324" s="17">
        <f>+VLOOKUP($A1324,MAGAZZINO!$B$2:$M$4838,7,FALSE)</f>
        <v/>
      </c>
      <c r="H1324" s="17">
        <f>+VLOOKUP($A1324,MAGAZZINO!$B$2:$M$4838,8,FALSE)</f>
        <v/>
      </c>
      <c r="I1324" s="17">
        <f>+VLOOKUP($A1324,MAGAZZINO!$B$2:$M$4838,9,FALSE)</f>
        <v/>
      </c>
      <c r="J1324" s="17">
        <f>+VLOOKUP($A1324,MAGAZZINO!$B$2:$M$4838,10,FALSE)</f>
        <v/>
      </c>
      <c r="K1324" s="17">
        <f>+VLOOKUP($A1324,MAGAZZINO!$B$2:$M$4838,11,FALSE)</f>
        <v/>
      </c>
      <c r="L1324" s="44">
        <f>+VLOOKUP($A1324,MAGAZZINO!$B$2:$M$4838,12,FALSE)</f>
        <v/>
      </c>
    </row>
    <row r="1325" ht="36" customHeight="1">
      <c r="A1325" s="30">
        <f>+REGISTRO!A1308</f>
        <v/>
      </c>
      <c r="B1325" s="31">
        <f>+VLOOKUP($A1325,MAGAZZINO!$B$2:$M$4838,2,FALSE)</f>
        <v/>
      </c>
      <c r="C1325" s="32">
        <f>+VLOOKUP($A1325,MAGAZZINO!$B$2:$M$4838,3,FALSE)</f>
        <v/>
      </c>
      <c r="D1325" s="17">
        <f>+VLOOKUP($A1325,MAGAZZINO!$B$2:$M$4838,4,FALSE)</f>
        <v/>
      </c>
      <c r="E1325" s="17">
        <f>+VLOOKUP($A1325,MAGAZZINO!$B$2:$M$4838,5,FALSE)</f>
        <v/>
      </c>
      <c r="F1325" s="17">
        <f>+VLOOKUP($A1325,MAGAZZINO!$B$2:$M$4838,6,FALSE)</f>
        <v/>
      </c>
      <c r="G1325" s="17">
        <f>+VLOOKUP($A1325,MAGAZZINO!$B$2:$M$4838,7,FALSE)</f>
        <v/>
      </c>
      <c r="H1325" s="17">
        <f>+VLOOKUP($A1325,MAGAZZINO!$B$2:$M$4838,8,FALSE)</f>
        <v/>
      </c>
      <c r="I1325" s="17">
        <f>+VLOOKUP($A1325,MAGAZZINO!$B$2:$M$4838,9,FALSE)</f>
        <v/>
      </c>
      <c r="J1325" s="17">
        <f>+VLOOKUP($A1325,MAGAZZINO!$B$2:$M$4838,10,FALSE)</f>
        <v/>
      </c>
      <c r="K1325" s="17">
        <f>+VLOOKUP($A1325,MAGAZZINO!$B$2:$M$4838,11,FALSE)</f>
        <v/>
      </c>
      <c r="L1325" s="44">
        <f>+VLOOKUP($A1325,MAGAZZINO!$B$2:$M$4838,12,FALSE)</f>
        <v/>
      </c>
    </row>
    <row r="1326" ht="36" customHeight="1">
      <c r="A1326" s="30">
        <f>+REGISTRO!A1309</f>
        <v/>
      </c>
      <c r="B1326" s="31">
        <f>+VLOOKUP($A1326,MAGAZZINO!$B$2:$M$4838,2,FALSE)</f>
        <v/>
      </c>
      <c r="C1326" s="32">
        <f>+VLOOKUP($A1326,MAGAZZINO!$B$2:$M$4838,3,FALSE)</f>
        <v/>
      </c>
      <c r="D1326" s="17">
        <f>+VLOOKUP($A1326,MAGAZZINO!$B$2:$M$4838,4,FALSE)</f>
        <v/>
      </c>
      <c r="E1326" s="17">
        <f>+VLOOKUP($A1326,MAGAZZINO!$B$2:$M$4838,5,FALSE)</f>
        <v/>
      </c>
      <c r="F1326" s="17">
        <f>+VLOOKUP($A1326,MAGAZZINO!$B$2:$M$4838,6,FALSE)</f>
        <v/>
      </c>
      <c r="G1326" s="17">
        <f>+VLOOKUP($A1326,MAGAZZINO!$B$2:$M$4838,7,FALSE)</f>
        <v/>
      </c>
      <c r="H1326" s="17">
        <f>+VLOOKUP($A1326,MAGAZZINO!$B$2:$M$4838,8,FALSE)</f>
        <v/>
      </c>
      <c r="I1326" s="17">
        <f>+VLOOKUP($A1326,MAGAZZINO!$B$2:$M$4838,9,FALSE)</f>
        <v/>
      </c>
      <c r="J1326" s="17">
        <f>+VLOOKUP($A1326,MAGAZZINO!$B$2:$M$4838,10,FALSE)</f>
        <v/>
      </c>
      <c r="K1326" s="17">
        <f>+VLOOKUP($A1326,MAGAZZINO!$B$2:$M$4838,11,FALSE)</f>
        <v/>
      </c>
      <c r="L1326" s="44">
        <f>+VLOOKUP($A1326,MAGAZZINO!$B$2:$M$4838,12,FALSE)</f>
        <v/>
      </c>
    </row>
    <row r="1327" ht="36" customHeight="1">
      <c r="A1327" s="30">
        <f>+REGISTRO!A1310</f>
        <v/>
      </c>
      <c r="B1327" s="31">
        <f>+VLOOKUP($A1327,MAGAZZINO!$B$2:$M$4838,2,FALSE)</f>
        <v/>
      </c>
      <c r="C1327" s="32">
        <f>+VLOOKUP($A1327,MAGAZZINO!$B$2:$M$4838,3,FALSE)</f>
        <v/>
      </c>
      <c r="D1327" s="17">
        <f>+VLOOKUP($A1327,MAGAZZINO!$B$2:$M$4838,4,FALSE)</f>
        <v/>
      </c>
      <c r="E1327" s="17">
        <f>+VLOOKUP($A1327,MAGAZZINO!$B$2:$M$4838,5,FALSE)</f>
        <v/>
      </c>
      <c r="F1327" s="17">
        <f>+VLOOKUP($A1327,MAGAZZINO!$B$2:$M$4838,6,FALSE)</f>
        <v/>
      </c>
      <c r="G1327" s="17">
        <f>+VLOOKUP($A1327,MAGAZZINO!$B$2:$M$4838,7,FALSE)</f>
        <v/>
      </c>
      <c r="H1327" s="17">
        <f>+VLOOKUP($A1327,MAGAZZINO!$B$2:$M$4838,8,FALSE)</f>
        <v/>
      </c>
      <c r="I1327" s="17">
        <f>+VLOOKUP($A1327,MAGAZZINO!$B$2:$M$4838,9,FALSE)</f>
        <v/>
      </c>
      <c r="J1327" s="17">
        <f>+VLOOKUP($A1327,MAGAZZINO!$B$2:$M$4838,10,FALSE)</f>
        <v/>
      </c>
      <c r="K1327" s="17">
        <f>+VLOOKUP($A1327,MAGAZZINO!$B$2:$M$4838,11,FALSE)</f>
        <v/>
      </c>
      <c r="L1327" s="44">
        <f>+VLOOKUP($A1327,MAGAZZINO!$B$2:$M$4838,12,FALSE)</f>
        <v/>
      </c>
    </row>
    <row r="1328" ht="36" customHeight="1">
      <c r="A1328" s="30">
        <f>+REGISTRO!A1311</f>
        <v/>
      </c>
      <c r="B1328" s="31">
        <f>+VLOOKUP($A1328,MAGAZZINO!$B$2:$M$4838,2,FALSE)</f>
        <v/>
      </c>
      <c r="C1328" s="32">
        <f>+VLOOKUP($A1328,MAGAZZINO!$B$2:$M$4838,3,FALSE)</f>
        <v/>
      </c>
      <c r="D1328" s="17">
        <f>+VLOOKUP($A1328,MAGAZZINO!$B$2:$M$4838,4,FALSE)</f>
        <v/>
      </c>
      <c r="E1328" s="17">
        <f>+VLOOKUP($A1328,MAGAZZINO!$B$2:$M$4838,5,FALSE)</f>
        <v/>
      </c>
      <c r="F1328" s="17">
        <f>+VLOOKUP($A1328,MAGAZZINO!$B$2:$M$4838,6,FALSE)</f>
        <v/>
      </c>
      <c r="G1328" s="17">
        <f>+VLOOKUP($A1328,MAGAZZINO!$B$2:$M$4838,7,FALSE)</f>
        <v/>
      </c>
      <c r="H1328" s="17">
        <f>+VLOOKUP($A1328,MAGAZZINO!$B$2:$M$4838,8,FALSE)</f>
        <v/>
      </c>
      <c r="I1328" s="17">
        <f>+VLOOKUP($A1328,MAGAZZINO!$B$2:$M$4838,9,FALSE)</f>
        <v/>
      </c>
      <c r="J1328" s="17">
        <f>+VLOOKUP($A1328,MAGAZZINO!$B$2:$M$4838,10,FALSE)</f>
        <v/>
      </c>
      <c r="K1328" s="17">
        <f>+VLOOKUP($A1328,MAGAZZINO!$B$2:$M$4838,11,FALSE)</f>
        <v/>
      </c>
      <c r="L1328" s="44">
        <f>+VLOOKUP($A1328,MAGAZZINO!$B$2:$M$4838,12,FALSE)</f>
        <v/>
      </c>
    </row>
    <row r="1329" ht="36" customHeight="1">
      <c r="A1329" s="30">
        <f>+REGISTRO!A1312</f>
        <v/>
      </c>
      <c r="B1329" s="31">
        <f>+VLOOKUP($A1329,MAGAZZINO!$B$2:$M$4838,2,FALSE)</f>
        <v/>
      </c>
      <c r="C1329" s="32">
        <f>+VLOOKUP($A1329,MAGAZZINO!$B$2:$M$4838,3,FALSE)</f>
        <v/>
      </c>
      <c r="D1329" s="17">
        <f>+VLOOKUP($A1329,MAGAZZINO!$B$2:$M$4838,4,FALSE)</f>
        <v/>
      </c>
      <c r="E1329" s="17">
        <f>+VLOOKUP($A1329,MAGAZZINO!$B$2:$M$4838,5,FALSE)</f>
        <v/>
      </c>
      <c r="F1329" s="17">
        <f>+VLOOKUP($A1329,MAGAZZINO!$B$2:$M$4838,6,FALSE)</f>
        <v/>
      </c>
      <c r="G1329" s="17">
        <f>+VLOOKUP($A1329,MAGAZZINO!$B$2:$M$4838,7,FALSE)</f>
        <v/>
      </c>
      <c r="H1329" s="17">
        <f>+VLOOKUP($A1329,MAGAZZINO!$B$2:$M$4838,8,FALSE)</f>
        <v/>
      </c>
      <c r="I1329" s="17">
        <f>+VLOOKUP($A1329,MAGAZZINO!$B$2:$M$4838,9,FALSE)</f>
        <v/>
      </c>
      <c r="J1329" s="17">
        <f>+VLOOKUP($A1329,MAGAZZINO!$B$2:$M$4838,10,FALSE)</f>
        <v/>
      </c>
      <c r="K1329" s="17">
        <f>+VLOOKUP($A1329,MAGAZZINO!$B$2:$M$4838,11,FALSE)</f>
        <v/>
      </c>
      <c r="L1329" s="44">
        <f>+VLOOKUP($A1329,MAGAZZINO!$B$2:$M$4838,12,FALSE)</f>
        <v/>
      </c>
    </row>
    <row r="1330" ht="36" customHeight="1">
      <c r="A1330" s="30">
        <f>+REGISTRO!A1313</f>
        <v/>
      </c>
      <c r="B1330" s="31">
        <f>+VLOOKUP($A1330,MAGAZZINO!$B$2:$M$4838,2,FALSE)</f>
        <v/>
      </c>
      <c r="C1330" s="32">
        <f>+VLOOKUP($A1330,MAGAZZINO!$B$2:$M$4838,3,FALSE)</f>
        <v/>
      </c>
      <c r="D1330" s="17">
        <f>+VLOOKUP($A1330,MAGAZZINO!$B$2:$M$4838,4,FALSE)</f>
        <v/>
      </c>
      <c r="E1330" s="17">
        <f>+VLOOKUP($A1330,MAGAZZINO!$B$2:$M$4838,5,FALSE)</f>
        <v/>
      </c>
      <c r="F1330" s="17">
        <f>+VLOOKUP($A1330,MAGAZZINO!$B$2:$M$4838,6,FALSE)</f>
        <v/>
      </c>
      <c r="G1330" s="17">
        <f>+VLOOKUP($A1330,MAGAZZINO!$B$2:$M$4838,7,FALSE)</f>
        <v/>
      </c>
      <c r="H1330" s="17">
        <f>+VLOOKUP($A1330,MAGAZZINO!$B$2:$M$4838,8,FALSE)</f>
        <v/>
      </c>
      <c r="I1330" s="17">
        <f>+VLOOKUP($A1330,MAGAZZINO!$B$2:$M$4838,9,FALSE)</f>
        <v/>
      </c>
      <c r="J1330" s="17">
        <f>+VLOOKUP($A1330,MAGAZZINO!$B$2:$M$4838,10,FALSE)</f>
        <v/>
      </c>
      <c r="K1330" s="17">
        <f>+VLOOKUP($A1330,MAGAZZINO!$B$2:$M$4838,11,FALSE)</f>
        <v/>
      </c>
      <c r="L1330" s="44">
        <f>+VLOOKUP($A1330,MAGAZZINO!$B$2:$M$4838,12,FALSE)</f>
        <v/>
      </c>
    </row>
    <row r="1331" ht="36" customHeight="1">
      <c r="A1331" s="30">
        <f>+REGISTRO!A1314</f>
        <v/>
      </c>
      <c r="B1331" s="31">
        <f>+VLOOKUP($A1331,MAGAZZINO!$B$2:$M$4838,2,FALSE)</f>
        <v/>
      </c>
      <c r="C1331" s="32">
        <f>+VLOOKUP($A1331,MAGAZZINO!$B$2:$M$4838,3,FALSE)</f>
        <v/>
      </c>
      <c r="D1331" s="17">
        <f>+VLOOKUP($A1331,MAGAZZINO!$B$2:$M$4838,4,FALSE)</f>
        <v/>
      </c>
      <c r="E1331" s="17">
        <f>+VLOOKUP($A1331,MAGAZZINO!$B$2:$M$4838,5,FALSE)</f>
        <v/>
      </c>
      <c r="F1331" s="17">
        <f>+VLOOKUP($A1331,MAGAZZINO!$B$2:$M$4838,6,FALSE)</f>
        <v/>
      </c>
      <c r="G1331" s="17">
        <f>+VLOOKUP($A1331,MAGAZZINO!$B$2:$M$4838,7,FALSE)</f>
        <v/>
      </c>
      <c r="H1331" s="17">
        <f>+VLOOKUP($A1331,MAGAZZINO!$B$2:$M$4838,8,FALSE)</f>
        <v/>
      </c>
      <c r="I1331" s="17">
        <f>+VLOOKUP($A1331,MAGAZZINO!$B$2:$M$4838,9,FALSE)</f>
        <v/>
      </c>
      <c r="J1331" s="17">
        <f>+VLOOKUP($A1331,MAGAZZINO!$B$2:$M$4838,10,FALSE)</f>
        <v/>
      </c>
      <c r="K1331" s="17">
        <f>+VLOOKUP($A1331,MAGAZZINO!$B$2:$M$4838,11,FALSE)</f>
        <v/>
      </c>
      <c r="L1331" s="44">
        <f>+VLOOKUP($A1331,MAGAZZINO!$B$2:$M$4838,12,FALSE)</f>
        <v/>
      </c>
    </row>
    <row r="1332" ht="36" customHeight="1">
      <c r="A1332" s="30">
        <f>+REGISTRO!A1315</f>
        <v/>
      </c>
      <c r="B1332" s="31">
        <f>+VLOOKUP($A1332,MAGAZZINO!$B$2:$M$4838,2,FALSE)</f>
        <v/>
      </c>
      <c r="C1332" s="32">
        <f>+VLOOKUP($A1332,MAGAZZINO!$B$2:$M$4838,3,FALSE)</f>
        <v/>
      </c>
      <c r="D1332" s="17">
        <f>+VLOOKUP($A1332,MAGAZZINO!$B$2:$M$4838,4,FALSE)</f>
        <v/>
      </c>
      <c r="E1332" s="17">
        <f>+VLOOKUP($A1332,MAGAZZINO!$B$2:$M$4838,5,FALSE)</f>
        <v/>
      </c>
      <c r="F1332" s="17">
        <f>+VLOOKUP($A1332,MAGAZZINO!$B$2:$M$4838,6,FALSE)</f>
        <v/>
      </c>
      <c r="G1332" s="17">
        <f>+VLOOKUP($A1332,MAGAZZINO!$B$2:$M$4838,7,FALSE)</f>
        <v/>
      </c>
      <c r="H1332" s="17">
        <f>+VLOOKUP($A1332,MAGAZZINO!$B$2:$M$4838,8,FALSE)</f>
        <v/>
      </c>
      <c r="I1332" s="17">
        <f>+VLOOKUP($A1332,MAGAZZINO!$B$2:$M$4838,9,FALSE)</f>
        <v/>
      </c>
      <c r="J1332" s="17">
        <f>+VLOOKUP($A1332,MAGAZZINO!$B$2:$M$4838,10,FALSE)</f>
        <v/>
      </c>
      <c r="K1332" s="17">
        <f>+VLOOKUP($A1332,MAGAZZINO!$B$2:$M$4838,11,FALSE)</f>
        <v/>
      </c>
      <c r="L1332" s="44">
        <f>+VLOOKUP($A1332,MAGAZZINO!$B$2:$M$4838,12,FALSE)</f>
        <v/>
      </c>
    </row>
    <row r="1333" ht="36" customHeight="1">
      <c r="A1333" s="30">
        <f>+REGISTRO!A1316</f>
        <v/>
      </c>
      <c r="B1333" s="31">
        <f>+VLOOKUP($A1333,MAGAZZINO!$B$2:$M$4838,2,FALSE)</f>
        <v/>
      </c>
      <c r="C1333" s="32">
        <f>+VLOOKUP($A1333,MAGAZZINO!$B$2:$M$4838,3,FALSE)</f>
        <v/>
      </c>
      <c r="D1333" s="17">
        <f>+VLOOKUP($A1333,MAGAZZINO!$B$2:$M$4838,4,FALSE)</f>
        <v/>
      </c>
      <c r="E1333" s="17">
        <f>+VLOOKUP($A1333,MAGAZZINO!$B$2:$M$4838,5,FALSE)</f>
        <v/>
      </c>
      <c r="F1333" s="17">
        <f>+VLOOKUP($A1333,MAGAZZINO!$B$2:$M$4838,6,FALSE)</f>
        <v/>
      </c>
      <c r="G1333" s="17">
        <f>+VLOOKUP($A1333,MAGAZZINO!$B$2:$M$4838,7,FALSE)</f>
        <v/>
      </c>
      <c r="H1333" s="17">
        <f>+VLOOKUP($A1333,MAGAZZINO!$B$2:$M$4838,8,FALSE)</f>
        <v/>
      </c>
      <c r="I1333" s="17">
        <f>+VLOOKUP($A1333,MAGAZZINO!$B$2:$M$4838,9,FALSE)</f>
        <v/>
      </c>
      <c r="J1333" s="17">
        <f>+VLOOKUP($A1333,MAGAZZINO!$B$2:$M$4838,10,FALSE)</f>
        <v/>
      </c>
      <c r="K1333" s="17">
        <f>+VLOOKUP($A1333,MAGAZZINO!$B$2:$M$4838,11,FALSE)</f>
        <v/>
      </c>
      <c r="L1333" s="44">
        <f>+VLOOKUP($A1333,MAGAZZINO!$B$2:$M$4838,12,FALSE)</f>
        <v/>
      </c>
    </row>
    <row r="1334" ht="36" customHeight="1">
      <c r="A1334" s="30">
        <f>+REGISTRO!A1317</f>
        <v/>
      </c>
      <c r="B1334" s="31">
        <f>+VLOOKUP($A1334,MAGAZZINO!$B$2:$M$4838,2,FALSE)</f>
        <v/>
      </c>
      <c r="C1334" s="32">
        <f>+VLOOKUP($A1334,MAGAZZINO!$B$2:$M$4838,3,FALSE)</f>
        <v/>
      </c>
      <c r="D1334" s="17">
        <f>+VLOOKUP($A1334,MAGAZZINO!$B$2:$M$4838,4,FALSE)</f>
        <v/>
      </c>
      <c r="E1334" s="17">
        <f>+VLOOKUP($A1334,MAGAZZINO!$B$2:$M$4838,5,FALSE)</f>
        <v/>
      </c>
      <c r="F1334" s="17">
        <f>+VLOOKUP($A1334,MAGAZZINO!$B$2:$M$4838,6,FALSE)</f>
        <v/>
      </c>
      <c r="G1334" s="17">
        <f>+VLOOKUP($A1334,MAGAZZINO!$B$2:$M$4838,7,FALSE)</f>
        <v/>
      </c>
      <c r="H1334" s="17">
        <f>+VLOOKUP($A1334,MAGAZZINO!$B$2:$M$4838,8,FALSE)</f>
        <v/>
      </c>
      <c r="I1334" s="17">
        <f>+VLOOKUP($A1334,MAGAZZINO!$B$2:$M$4838,9,FALSE)</f>
        <v/>
      </c>
      <c r="J1334" s="17">
        <f>+VLOOKUP($A1334,MAGAZZINO!$B$2:$M$4838,10,FALSE)</f>
        <v/>
      </c>
      <c r="K1334" s="17">
        <f>+VLOOKUP($A1334,MAGAZZINO!$B$2:$M$4838,11,FALSE)</f>
        <v/>
      </c>
      <c r="L1334" s="44">
        <f>+VLOOKUP($A1334,MAGAZZINO!$B$2:$M$4838,12,FALSE)</f>
        <v/>
      </c>
    </row>
    <row r="1335" ht="36" customHeight="1">
      <c r="A1335" s="30">
        <f>+REGISTRO!A1318</f>
        <v/>
      </c>
      <c r="B1335" s="31">
        <f>+VLOOKUP($A1335,MAGAZZINO!$B$2:$M$4838,2,FALSE)</f>
        <v/>
      </c>
      <c r="C1335" s="32">
        <f>+VLOOKUP($A1335,MAGAZZINO!$B$2:$M$4838,3,FALSE)</f>
        <v/>
      </c>
      <c r="D1335" s="17">
        <f>+VLOOKUP($A1335,MAGAZZINO!$B$2:$M$4838,4,FALSE)</f>
        <v/>
      </c>
      <c r="E1335" s="17">
        <f>+VLOOKUP($A1335,MAGAZZINO!$B$2:$M$4838,5,FALSE)</f>
        <v/>
      </c>
      <c r="F1335" s="17">
        <f>+VLOOKUP($A1335,MAGAZZINO!$B$2:$M$4838,6,FALSE)</f>
        <v/>
      </c>
      <c r="G1335" s="17">
        <f>+VLOOKUP($A1335,MAGAZZINO!$B$2:$M$4838,7,FALSE)</f>
        <v/>
      </c>
      <c r="H1335" s="17">
        <f>+VLOOKUP($A1335,MAGAZZINO!$B$2:$M$4838,8,FALSE)</f>
        <v/>
      </c>
      <c r="I1335" s="17">
        <f>+VLOOKUP($A1335,MAGAZZINO!$B$2:$M$4838,9,FALSE)</f>
        <v/>
      </c>
      <c r="J1335" s="17">
        <f>+VLOOKUP($A1335,MAGAZZINO!$B$2:$M$4838,10,FALSE)</f>
        <v/>
      </c>
      <c r="K1335" s="17">
        <f>+VLOOKUP($A1335,MAGAZZINO!$B$2:$M$4838,11,FALSE)</f>
        <v/>
      </c>
      <c r="L1335" s="44">
        <f>+VLOOKUP($A1335,MAGAZZINO!$B$2:$M$4838,12,FALSE)</f>
        <v/>
      </c>
    </row>
    <row r="1336" ht="36" customHeight="1">
      <c r="A1336" s="30">
        <f>+REGISTRO!A1319</f>
        <v/>
      </c>
      <c r="B1336" s="31">
        <f>+VLOOKUP($A1336,MAGAZZINO!$B$2:$M$4838,2,FALSE)</f>
        <v/>
      </c>
      <c r="C1336" s="32">
        <f>+VLOOKUP($A1336,MAGAZZINO!$B$2:$M$4838,3,FALSE)</f>
        <v/>
      </c>
      <c r="D1336" s="17">
        <f>+VLOOKUP($A1336,MAGAZZINO!$B$2:$M$4838,4,FALSE)</f>
        <v/>
      </c>
      <c r="E1336" s="17">
        <f>+VLOOKUP($A1336,MAGAZZINO!$B$2:$M$4838,5,FALSE)</f>
        <v/>
      </c>
      <c r="F1336" s="17">
        <f>+VLOOKUP($A1336,MAGAZZINO!$B$2:$M$4838,6,FALSE)</f>
        <v/>
      </c>
      <c r="G1336" s="17">
        <f>+VLOOKUP($A1336,MAGAZZINO!$B$2:$M$4838,7,FALSE)</f>
        <v/>
      </c>
      <c r="H1336" s="17">
        <f>+VLOOKUP($A1336,MAGAZZINO!$B$2:$M$4838,8,FALSE)</f>
        <v/>
      </c>
      <c r="I1336" s="17">
        <f>+VLOOKUP($A1336,MAGAZZINO!$B$2:$M$4838,9,FALSE)</f>
        <v/>
      </c>
      <c r="J1336" s="17">
        <f>+VLOOKUP($A1336,MAGAZZINO!$B$2:$M$4838,10,FALSE)</f>
        <v/>
      </c>
      <c r="K1336" s="17">
        <f>+VLOOKUP($A1336,MAGAZZINO!$B$2:$M$4838,11,FALSE)</f>
        <v/>
      </c>
      <c r="L1336" s="44">
        <f>+VLOOKUP($A1336,MAGAZZINO!$B$2:$M$4838,12,FALSE)</f>
        <v/>
      </c>
    </row>
    <row r="1337" ht="36" customHeight="1">
      <c r="A1337" s="30">
        <f>+REGISTRO!A1320</f>
        <v/>
      </c>
      <c r="B1337" s="31">
        <f>+VLOOKUP($A1337,MAGAZZINO!$B$2:$M$4838,2,FALSE)</f>
        <v/>
      </c>
      <c r="C1337" s="32">
        <f>+VLOOKUP($A1337,MAGAZZINO!$B$2:$M$4838,3,FALSE)</f>
        <v/>
      </c>
      <c r="D1337" s="17">
        <f>+VLOOKUP($A1337,MAGAZZINO!$B$2:$M$4838,4,FALSE)</f>
        <v/>
      </c>
      <c r="E1337" s="17">
        <f>+VLOOKUP($A1337,MAGAZZINO!$B$2:$M$4838,5,FALSE)</f>
        <v/>
      </c>
      <c r="F1337" s="17">
        <f>+VLOOKUP($A1337,MAGAZZINO!$B$2:$M$4838,6,FALSE)</f>
        <v/>
      </c>
      <c r="G1337" s="17">
        <f>+VLOOKUP($A1337,MAGAZZINO!$B$2:$M$4838,7,FALSE)</f>
        <v/>
      </c>
      <c r="H1337" s="17">
        <f>+VLOOKUP($A1337,MAGAZZINO!$B$2:$M$4838,8,FALSE)</f>
        <v/>
      </c>
      <c r="I1337" s="17">
        <f>+VLOOKUP($A1337,MAGAZZINO!$B$2:$M$4838,9,FALSE)</f>
        <v/>
      </c>
      <c r="J1337" s="17">
        <f>+VLOOKUP($A1337,MAGAZZINO!$B$2:$M$4838,10,FALSE)</f>
        <v/>
      </c>
      <c r="K1337" s="17">
        <f>+VLOOKUP($A1337,MAGAZZINO!$B$2:$M$4838,11,FALSE)</f>
        <v/>
      </c>
      <c r="L1337" s="44">
        <f>+VLOOKUP($A1337,MAGAZZINO!$B$2:$M$4838,12,FALSE)</f>
        <v/>
      </c>
    </row>
    <row r="1338" ht="36" customHeight="1">
      <c r="A1338" s="30">
        <f>+REGISTRO!A1321</f>
        <v/>
      </c>
      <c r="B1338" s="31">
        <f>+VLOOKUP($A1338,MAGAZZINO!$B$2:$M$4838,2,FALSE)</f>
        <v/>
      </c>
      <c r="C1338" s="32">
        <f>+VLOOKUP($A1338,MAGAZZINO!$B$2:$M$4838,3,FALSE)</f>
        <v/>
      </c>
      <c r="D1338" s="17">
        <f>+VLOOKUP($A1338,MAGAZZINO!$B$2:$M$4838,4,FALSE)</f>
        <v/>
      </c>
      <c r="E1338" s="17">
        <f>+VLOOKUP($A1338,MAGAZZINO!$B$2:$M$4838,5,FALSE)</f>
        <v/>
      </c>
      <c r="F1338" s="17">
        <f>+VLOOKUP($A1338,MAGAZZINO!$B$2:$M$4838,6,FALSE)</f>
        <v/>
      </c>
      <c r="G1338" s="17">
        <f>+VLOOKUP($A1338,MAGAZZINO!$B$2:$M$4838,7,FALSE)</f>
        <v/>
      </c>
      <c r="H1338" s="17">
        <f>+VLOOKUP($A1338,MAGAZZINO!$B$2:$M$4838,8,FALSE)</f>
        <v/>
      </c>
      <c r="I1338" s="17">
        <f>+VLOOKUP($A1338,MAGAZZINO!$B$2:$M$4838,9,FALSE)</f>
        <v/>
      </c>
      <c r="J1338" s="17">
        <f>+VLOOKUP($A1338,MAGAZZINO!$B$2:$M$4838,10,FALSE)</f>
        <v/>
      </c>
      <c r="K1338" s="17">
        <f>+VLOOKUP($A1338,MAGAZZINO!$B$2:$M$4838,11,FALSE)</f>
        <v/>
      </c>
      <c r="L1338" s="44">
        <f>+VLOOKUP($A1338,MAGAZZINO!$B$2:$M$4838,12,FALSE)</f>
        <v/>
      </c>
    </row>
    <row r="1339" ht="36" customHeight="1">
      <c r="A1339" s="30">
        <f>+REGISTRO!A1322</f>
        <v/>
      </c>
      <c r="B1339" s="31">
        <f>+VLOOKUP($A1339,MAGAZZINO!$B$2:$M$4838,2,FALSE)</f>
        <v/>
      </c>
      <c r="C1339" s="32">
        <f>+VLOOKUP($A1339,MAGAZZINO!$B$2:$M$4838,3,FALSE)</f>
        <v/>
      </c>
      <c r="D1339" s="17">
        <f>+VLOOKUP($A1339,MAGAZZINO!$B$2:$M$4838,4,FALSE)</f>
        <v/>
      </c>
      <c r="E1339" s="17">
        <f>+VLOOKUP($A1339,MAGAZZINO!$B$2:$M$4838,5,FALSE)</f>
        <v/>
      </c>
      <c r="F1339" s="17">
        <f>+VLOOKUP($A1339,MAGAZZINO!$B$2:$M$4838,6,FALSE)</f>
        <v/>
      </c>
      <c r="G1339" s="17">
        <f>+VLOOKUP($A1339,MAGAZZINO!$B$2:$M$4838,7,FALSE)</f>
        <v/>
      </c>
      <c r="H1339" s="17">
        <f>+VLOOKUP($A1339,MAGAZZINO!$B$2:$M$4838,8,FALSE)</f>
        <v/>
      </c>
      <c r="I1339" s="17">
        <f>+VLOOKUP($A1339,MAGAZZINO!$B$2:$M$4838,9,FALSE)</f>
        <v/>
      </c>
      <c r="J1339" s="17">
        <f>+VLOOKUP($A1339,MAGAZZINO!$B$2:$M$4838,10,FALSE)</f>
        <v/>
      </c>
      <c r="K1339" s="17">
        <f>+VLOOKUP($A1339,MAGAZZINO!$B$2:$M$4838,11,FALSE)</f>
        <v/>
      </c>
      <c r="L1339" s="44">
        <f>+VLOOKUP($A1339,MAGAZZINO!$B$2:$M$4838,12,FALSE)</f>
        <v/>
      </c>
    </row>
    <row r="1340" ht="36" customHeight="1">
      <c r="A1340" s="30">
        <f>+REGISTRO!A1323</f>
        <v/>
      </c>
      <c r="B1340" s="31">
        <f>+VLOOKUP($A1340,MAGAZZINO!$B$2:$M$4838,2,FALSE)</f>
        <v/>
      </c>
      <c r="C1340" s="32">
        <f>+VLOOKUP($A1340,MAGAZZINO!$B$2:$M$4838,3,FALSE)</f>
        <v/>
      </c>
      <c r="D1340" s="17">
        <f>+VLOOKUP($A1340,MAGAZZINO!$B$2:$M$4838,4,FALSE)</f>
        <v/>
      </c>
      <c r="E1340" s="17">
        <f>+VLOOKUP($A1340,MAGAZZINO!$B$2:$M$4838,5,FALSE)</f>
        <v/>
      </c>
      <c r="F1340" s="17">
        <f>+VLOOKUP($A1340,MAGAZZINO!$B$2:$M$4838,6,FALSE)</f>
        <v/>
      </c>
      <c r="G1340" s="17">
        <f>+VLOOKUP($A1340,MAGAZZINO!$B$2:$M$4838,7,FALSE)</f>
        <v/>
      </c>
      <c r="H1340" s="17">
        <f>+VLOOKUP($A1340,MAGAZZINO!$B$2:$M$4838,8,FALSE)</f>
        <v/>
      </c>
      <c r="I1340" s="17">
        <f>+VLOOKUP($A1340,MAGAZZINO!$B$2:$M$4838,9,FALSE)</f>
        <v/>
      </c>
      <c r="J1340" s="17">
        <f>+VLOOKUP($A1340,MAGAZZINO!$B$2:$M$4838,10,FALSE)</f>
        <v/>
      </c>
      <c r="K1340" s="17">
        <f>+VLOOKUP($A1340,MAGAZZINO!$B$2:$M$4838,11,FALSE)</f>
        <v/>
      </c>
      <c r="L1340" s="44">
        <f>+VLOOKUP($A1340,MAGAZZINO!$B$2:$M$4838,12,FALSE)</f>
        <v/>
      </c>
    </row>
    <row r="1341" ht="36" customHeight="1">
      <c r="A1341" s="30">
        <f>+REGISTRO!A1324</f>
        <v/>
      </c>
      <c r="B1341" s="31">
        <f>+VLOOKUP($A1341,MAGAZZINO!$B$2:$M$4838,2,FALSE)</f>
        <v/>
      </c>
      <c r="C1341" s="32">
        <f>+VLOOKUP($A1341,MAGAZZINO!$B$2:$M$4838,3,FALSE)</f>
        <v/>
      </c>
      <c r="D1341" s="17">
        <f>+VLOOKUP($A1341,MAGAZZINO!$B$2:$M$4838,4,FALSE)</f>
        <v/>
      </c>
      <c r="E1341" s="17">
        <f>+VLOOKUP($A1341,MAGAZZINO!$B$2:$M$4838,5,FALSE)</f>
        <v/>
      </c>
      <c r="F1341" s="17">
        <f>+VLOOKUP($A1341,MAGAZZINO!$B$2:$M$4838,6,FALSE)</f>
        <v/>
      </c>
      <c r="G1341" s="17">
        <f>+VLOOKUP($A1341,MAGAZZINO!$B$2:$M$4838,7,FALSE)</f>
        <v/>
      </c>
      <c r="H1341" s="17">
        <f>+VLOOKUP($A1341,MAGAZZINO!$B$2:$M$4838,8,FALSE)</f>
        <v/>
      </c>
      <c r="I1341" s="17">
        <f>+VLOOKUP($A1341,MAGAZZINO!$B$2:$M$4838,9,FALSE)</f>
        <v/>
      </c>
      <c r="J1341" s="17">
        <f>+VLOOKUP($A1341,MAGAZZINO!$B$2:$M$4838,10,FALSE)</f>
        <v/>
      </c>
      <c r="K1341" s="17">
        <f>+VLOOKUP($A1341,MAGAZZINO!$B$2:$M$4838,11,FALSE)</f>
        <v/>
      </c>
      <c r="L1341" s="44">
        <f>+VLOOKUP($A1341,MAGAZZINO!$B$2:$M$4838,12,FALSE)</f>
        <v/>
      </c>
    </row>
    <row r="1342" ht="36" customHeight="1">
      <c r="A1342" s="30">
        <f>+REGISTRO!A1325</f>
        <v/>
      </c>
      <c r="B1342" s="31">
        <f>+VLOOKUP($A1342,MAGAZZINO!$B$2:$M$4838,2,FALSE)</f>
        <v/>
      </c>
      <c r="C1342" s="32">
        <f>+VLOOKUP($A1342,MAGAZZINO!$B$2:$M$4838,3,FALSE)</f>
        <v/>
      </c>
      <c r="D1342" s="17">
        <f>+VLOOKUP($A1342,MAGAZZINO!$B$2:$M$4838,4,FALSE)</f>
        <v/>
      </c>
      <c r="E1342" s="17">
        <f>+VLOOKUP($A1342,MAGAZZINO!$B$2:$M$4838,5,FALSE)</f>
        <v/>
      </c>
      <c r="F1342" s="17">
        <f>+VLOOKUP($A1342,MAGAZZINO!$B$2:$M$4838,6,FALSE)</f>
        <v/>
      </c>
      <c r="G1342" s="17">
        <f>+VLOOKUP($A1342,MAGAZZINO!$B$2:$M$4838,7,FALSE)</f>
        <v/>
      </c>
      <c r="H1342" s="17">
        <f>+VLOOKUP($A1342,MAGAZZINO!$B$2:$M$4838,8,FALSE)</f>
        <v/>
      </c>
      <c r="I1342" s="17">
        <f>+VLOOKUP($A1342,MAGAZZINO!$B$2:$M$4838,9,FALSE)</f>
        <v/>
      </c>
      <c r="J1342" s="17">
        <f>+VLOOKUP($A1342,MAGAZZINO!$B$2:$M$4838,10,FALSE)</f>
        <v/>
      </c>
      <c r="K1342" s="17">
        <f>+VLOOKUP($A1342,MAGAZZINO!$B$2:$M$4838,11,FALSE)</f>
        <v/>
      </c>
      <c r="L1342" s="44">
        <f>+VLOOKUP($A1342,MAGAZZINO!$B$2:$M$4838,12,FALSE)</f>
        <v/>
      </c>
    </row>
    <row r="1343" ht="36" customHeight="1">
      <c r="A1343" s="30">
        <f>+REGISTRO!A1326</f>
        <v/>
      </c>
      <c r="B1343" s="31">
        <f>+VLOOKUP($A1343,MAGAZZINO!$B$2:$M$4838,2,FALSE)</f>
        <v/>
      </c>
      <c r="C1343" s="32">
        <f>+VLOOKUP($A1343,MAGAZZINO!$B$2:$M$4838,3,FALSE)</f>
        <v/>
      </c>
      <c r="D1343" s="17">
        <f>+VLOOKUP($A1343,MAGAZZINO!$B$2:$M$4838,4,FALSE)</f>
        <v/>
      </c>
      <c r="E1343" s="17">
        <f>+VLOOKUP($A1343,MAGAZZINO!$B$2:$M$4838,5,FALSE)</f>
        <v/>
      </c>
      <c r="F1343" s="17">
        <f>+VLOOKUP($A1343,MAGAZZINO!$B$2:$M$4838,6,FALSE)</f>
        <v/>
      </c>
      <c r="G1343" s="17">
        <f>+VLOOKUP($A1343,MAGAZZINO!$B$2:$M$4838,7,FALSE)</f>
        <v/>
      </c>
      <c r="H1343" s="17">
        <f>+VLOOKUP($A1343,MAGAZZINO!$B$2:$M$4838,8,FALSE)</f>
        <v/>
      </c>
      <c r="I1343" s="17">
        <f>+VLOOKUP($A1343,MAGAZZINO!$B$2:$M$4838,9,FALSE)</f>
        <v/>
      </c>
      <c r="J1343" s="17">
        <f>+VLOOKUP($A1343,MAGAZZINO!$B$2:$M$4838,10,FALSE)</f>
        <v/>
      </c>
      <c r="K1343" s="17">
        <f>+VLOOKUP($A1343,MAGAZZINO!$B$2:$M$4838,11,FALSE)</f>
        <v/>
      </c>
      <c r="L1343" s="44">
        <f>+VLOOKUP($A1343,MAGAZZINO!$B$2:$M$4838,12,FALSE)</f>
        <v/>
      </c>
    </row>
    <row r="1344" ht="36" customHeight="1">
      <c r="A1344" s="30">
        <f>+REGISTRO!A1327</f>
        <v/>
      </c>
      <c r="B1344" s="31">
        <f>+VLOOKUP($A1344,MAGAZZINO!$B$2:$M$4838,2,FALSE)</f>
        <v/>
      </c>
      <c r="C1344" s="32">
        <f>+VLOOKUP($A1344,MAGAZZINO!$B$2:$M$4838,3,FALSE)</f>
        <v/>
      </c>
      <c r="D1344" s="17">
        <f>+VLOOKUP($A1344,MAGAZZINO!$B$2:$M$4838,4,FALSE)</f>
        <v/>
      </c>
      <c r="E1344" s="17">
        <f>+VLOOKUP($A1344,MAGAZZINO!$B$2:$M$4838,5,FALSE)</f>
        <v/>
      </c>
      <c r="F1344" s="17">
        <f>+VLOOKUP($A1344,MAGAZZINO!$B$2:$M$4838,6,FALSE)</f>
        <v/>
      </c>
      <c r="G1344" s="17">
        <f>+VLOOKUP($A1344,MAGAZZINO!$B$2:$M$4838,7,FALSE)</f>
        <v/>
      </c>
      <c r="H1344" s="17">
        <f>+VLOOKUP($A1344,MAGAZZINO!$B$2:$M$4838,8,FALSE)</f>
        <v/>
      </c>
      <c r="I1344" s="17">
        <f>+VLOOKUP($A1344,MAGAZZINO!$B$2:$M$4838,9,FALSE)</f>
        <v/>
      </c>
      <c r="J1344" s="17">
        <f>+VLOOKUP($A1344,MAGAZZINO!$B$2:$M$4838,10,FALSE)</f>
        <v/>
      </c>
      <c r="K1344" s="17">
        <f>+VLOOKUP($A1344,MAGAZZINO!$B$2:$M$4838,11,FALSE)</f>
        <v/>
      </c>
      <c r="L1344" s="44">
        <f>+VLOOKUP($A1344,MAGAZZINO!$B$2:$M$4838,12,FALSE)</f>
        <v/>
      </c>
    </row>
    <row r="1345" ht="36" customHeight="1">
      <c r="A1345" s="30">
        <f>+REGISTRO!A1328</f>
        <v/>
      </c>
      <c r="B1345" s="31">
        <f>+VLOOKUP($A1345,MAGAZZINO!$B$2:$M$4838,2,FALSE)</f>
        <v/>
      </c>
      <c r="C1345" s="32">
        <f>+VLOOKUP($A1345,MAGAZZINO!$B$2:$M$4838,3,FALSE)</f>
        <v/>
      </c>
      <c r="D1345" s="17">
        <f>+VLOOKUP($A1345,MAGAZZINO!$B$2:$M$4838,4,FALSE)</f>
        <v/>
      </c>
      <c r="E1345" s="17">
        <f>+VLOOKUP($A1345,MAGAZZINO!$B$2:$M$4838,5,FALSE)</f>
        <v/>
      </c>
      <c r="F1345" s="17">
        <f>+VLOOKUP($A1345,MAGAZZINO!$B$2:$M$4838,6,FALSE)</f>
        <v/>
      </c>
      <c r="G1345" s="17">
        <f>+VLOOKUP($A1345,MAGAZZINO!$B$2:$M$4838,7,FALSE)</f>
        <v/>
      </c>
      <c r="H1345" s="17">
        <f>+VLOOKUP($A1345,MAGAZZINO!$B$2:$M$4838,8,FALSE)</f>
        <v/>
      </c>
      <c r="I1345" s="17">
        <f>+VLOOKUP($A1345,MAGAZZINO!$B$2:$M$4838,9,FALSE)</f>
        <v/>
      </c>
      <c r="J1345" s="17">
        <f>+VLOOKUP($A1345,MAGAZZINO!$B$2:$M$4838,10,FALSE)</f>
        <v/>
      </c>
      <c r="K1345" s="17">
        <f>+VLOOKUP($A1345,MAGAZZINO!$B$2:$M$4838,11,FALSE)</f>
        <v/>
      </c>
      <c r="L1345" s="44">
        <f>+VLOOKUP($A1345,MAGAZZINO!$B$2:$M$4838,12,FALSE)</f>
        <v/>
      </c>
    </row>
    <row r="1346" ht="36" customHeight="1">
      <c r="A1346" s="30">
        <f>+REGISTRO!A1329</f>
        <v/>
      </c>
      <c r="B1346" s="31">
        <f>+VLOOKUP($A1346,MAGAZZINO!$B$2:$M$4838,2,FALSE)</f>
        <v/>
      </c>
      <c r="C1346" s="32">
        <f>+VLOOKUP($A1346,MAGAZZINO!$B$2:$M$4838,3,FALSE)</f>
        <v/>
      </c>
      <c r="D1346" s="17">
        <f>+VLOOKUP($A1346,MAGAZZINO!$B$2:$M$4838,4,FALSE)</f>
        <v/>
      </c>
      <c r="E1346" s="17">
        <f>+VLOOKUP($A1346,MAGAZZINO!$B$2:$M$4838,5,FALSE)</f>
        <v/>
      </c>
      <c r="F1346" s="17">
        <f>+VLOOKUP($A1346,MAGAZZINO!$B$2:$M$4838,6,FALSE)</f>
        <v/>
      </c>
      <c r="G1346" s="17">
        <f>+VLOOKUP($A1346,MAGAZZINO!$B$2:$M$4838,7,FALSE)</f>
        <v/>
      </c>
      <c r="H1346" s="17">
        <f>+VLOOKUP($A1346,MAGAZZINO!$B$2:$M$4838,8,FALSE)</f>
        <v/>
      </c>
      <c r="I1346" s="17">
        <f>+VLOOKUP($A1346,MAGAZZINO!$B$2:$M$4838,9,FALSE)</f>
        <v/>
      </c>
      <c r="J1346" s="17">
        <f>+VLOOKUP($A1346,MAGAZZINO!$B$2:$M$4838,10,FALSE)</f>
        <v/>
      </c>
      <c r="K1346" s="17">
        <f>+VLOOKUP($A1346,MAGAZZINO!$B$2:$M$4838,11,FALSE)</f>
        <v/>
      </c>
      <c r="L1346" s="44">
        <f>+VLOOKUP($A1346,MAGAZZINO!$B$2:$M$4838,12,FALSE)</f>
        <v/>
      </c>
    </row>
    <row r="1347" ht="36" customHeight="1">
      <c r="A1347" s="30">
        <f>+REGISTRO!A1330</f>
        <v/>
      </c>
      <c r="B1347" s="31">
        <f>+VLOOKUP($A1347,MAGAZZINO!$B$2:$M$4838,2,FALSE)</f>
        <v/>
      </c>
      <c r="C1347" s="32">
        <f>+VLOOKUP($A1347,MAGAZZINO!$B$2:$M$4838,3,FALSE)</f>
        <v/>
      </c>
      <c r="D1347" s="17">
        <f>+VLOOKUP($A1347,MAGAZZINO!$B$2:$M$4838,4,FALSE)</f>
        <v/>
      </c>
      <c r="E1347" s="17">
        <f>+VLOOKUP($A1347,MAGAZZINO!$B$2:$M$4838,5,FALSE)</f>
        <v/>
      </c>
      <c r="F1347" s="17">
        <f>+VLOOKUP($A1347,MAGAZZINO!$B$2:$M$4838,6,FALSE)</f>
        <v/>
      </c>
      <c r="G1347" s="17">
        <f>+VLOOKUP($A1347,MAGAZZINO!$B$2:$M$4838,7,FALSE)</f>
        <v/>
      </c>
      <c r="H1347" s="17">
        <f>+VLOOKUP($A1347,MAGAZZINO!$B$2:$M$4838,8,FALSE)</f>
        <v/>
      </c>
      <c r="I1347" s="17">
        <f>+VLOOKUP($A1347,MAGAZZINO!$B$2:$M$4838,9,FALSE)</f>
        <v/>
      </c>
      <c r="J1347" s="17">
        <f>+VLOOKUP($A1347,MAGAZZINO!$B$2:$M$4838,10,FALSE)</f>
        <v/>
      </c>
      <c r="K1347" s="17">
        <f>+VLOOKUP($A1347,MAGAZZINO!$B$2:$M$4838,11,FALSE)</f>
        <v/>
      </c>
      <c r="L1347" s="44">
        <f>+VLOOKUP($A1347,MAGAZZINO!$B$2:$M$4838,12,FALSE)</f>
        <v/>
      </c>
    </row>
    <row r="1348" ht="36" customHeight="1">
      <c r="A1348" s="30">
        <f>+REGISTRO!A1331</f>
        <v/>
      </c>
      <c r="B1348" s="31">
        <f>+VLOOKUP($A1348,MAGAZZINO!$B$2:$M$4838,2,FALSE)</f>
        <v/>
      </c>
      <c r="C1348" s="32">
        <f>+VLOOKUP($A1348,MAGAZZINO!$B$2:$M$4838,3,FALSE)</f>
        <v/>
      </c>
      <c r="D1348" s="17">
        <f>+VLOOKUP($A1348,MAGAZZINO!$B$2:$M$4838,4,FALSE)</f>
        <v/>
      </c>
      <c r="E1348" s="17">
        <f>+VLOOKUP($A1348,MAGAZZINO!$B$2:$M$4838,5,FALSE)</f>
        <v/>
      </c>
      <c r="F1348" s="17">
        <f>+VLOOKUP($A1348,MAGAZZINO!$B$2:$M$4838,6,FALSE)</f>
        <v/>
      </c>
      <c r="G1348" s="17">
        <f>+VLOOKUP($A1348,MAGAZZINO!$B$2:$M$4838,7,FALSE)</f>
        <v/>
      </c>
      <c r="H1348" s="17">
        <f>+VLOOKUP($A1348,MAGAZZINO!$B$2:$M$4838,8,FALSE)</f>
        <v/>
      </c>
      <c r="I1348" s="17">
        <f>+VLOOKUP($A1348,MAGAZZINO!$B$2:$M$4838,9,FALSE)</f>
        <v/>
      </c>
      <c r="J1348" s="17">
        <f>+VLOOKUP($A1348,MAGAZZINO!$B$2:$M$4838,10,FALSE)</f>
        <v/>
      </c>
      <c r="K1348" s="17">
        <f>+VLOOKUP($A1348,MAGAZZINO!$B$2:$M$4838,11,FALSE)</f>
        <v/>
      </c>
      <c r="L1348" s="44">
        <f>+VLOOKUP($A1348,MAGAZZINO!$B$2:$M$4838,12,FALSE)</f>
        <v/>
      </c>
    </row>
    <row r="1349" ht="36" customHeight="1">
      <c r="A1349" s="30">
        <f>+REGISTRO!A1332</f>
        <v/>
      </c>
      <c r="B1349" s="31">
        <f>+VLOOKUP($A1349,MAGAZZINO!$B$2:$M$4838,2,FALSE)</f>
        <v/>
      </c>
      <c r="C1349" s="32">
        <f>+VLOOKUP($A1349,MAGAZZINO!$B$2:$M$4838,3,FALSE)</f>
        <v/>
      </c>
      <c r="D1349" s="17">
        <f>+VLOOKUP($A1349,MAGAZZINO!$B$2:$M$4838,4,FALSE)</f>
        <v/>
      </c>
      <c r="E1349" s="17">
        <f>+VLOOKUP($A1349,MAGAZZINO!$B$2:$M$4838,5,FALSE)</f>
        <v/>
      </c>
      <c r="F1349" s="17">
        <f>+VLOOKUP($A1349,MAGAZZINO!$B$2:$M$4838,6,FALSE)</f>
        <v/>
      </c>
      <c r="G1349" s="17">
        <f>+VLOOKUP($A1349,MAGAZZINO!$B$2:$M$4838,7,FALSE)</f>
        <v/>
      </c>
      <c r="H1349" s="17">
        <f>+VLOOKUP($A1349,MAGAZZINO!$B$2:$M$4838,8,FALSE)</f>
        <v/>
      </c>
      <c r="I1349" s="17">
        <f>+VLOOKUP($A1349,MAGAZZINO!$B$2:$M$4838,9,FALSE)</f>
        <v/>
      </c>
      <c r="J1349" s="17">
        <f>+VLOOKUP($A1349,MAGAZZINO!$B$2:$M$4838,10,FALSE)</f>
        <v/>
      </c>
      <c r="K1349" s="17">
        <f>+VLOOKUP($A1349,MAGAZZINO!$B$2:$M$4838,11,FALSE)</f>
        <v/>
      </c>
      <c r="L1349" s="44">
        <f>+VLOOKUP($A1349,MAGAZZINO!$B$2:$M$4838,12,FALSE)</f>
        <v/>
      </c>
    </row>
    <row r="1350" ht="36" customHeight="1">
      <c r="A1350" s="30">
        <f>+REGISTRO!A1333</f>
        <v/>
      </c>
      <c r="B1350" s="31">
        <f>+VLOOKUP($A1350,MAGAZZINO!$B$2:$M$4838,2,FALSE)</f>
        <v/>
      </c>
      <c r="C1350" s="32">
        <f>+VLOOKUP($A1350,MAGAZZINO!$B$2:$M$4838,3,FALSE)</f>
        <v/>
      </c>
      <c r="D1350" s="17">
        <f>+VLOOKUP($A1350,MAGAZZINO!$B$2:$M$4838,4,FALSE)</f>
        <v/>
      </c>
      <c r="E1350" s="17">
        <f>+VLOOKUP($A1350,MAGAZZINO!$B$2:$M$4838,5,FALSE)</f>
        <v/>
      </c>
      <c r="F1350" s="17">
        <f>+VLOOKUP($A1350,MAGAZZINO!$B$2:$M$4838,6,FALSE)</f>
        <v/>
      </c>
      <c r="G1350" s="17">
        <f>+VLOOKUP($A1350,MAGAZZINO!$B$2:$M$4838,7,FALSE)</f>
        <v/>
      </c>
      <c r="H1350" s="17">
        <f>+VLOOKUP($A1350,MAGAZZINO!$B$2:$M$4838,8,FALSE)</f>
        <v/>
      </c>
      <c r="I1350" s="17">
        <f>+VLOOKUP($A1350,MAGAZZINO!$B$2:$M$4838,9,FALSE)</f>
        <v/>
      </c>
      <c r="J1350" s="17">
        <f>+VLOOKUP($A1350,MAGAZZINO!$B$2:$M$4838,10,FALSE)</f>
        <v/>
      </c>
      <c r="K1350" s="17">
        <f>+VLOOKUP($A1350,MAGAZZINO!$B$2:$M$4838,11,FALSE)</f>
        <v/>
      </c>
      <c r="L1350" s="44">
        <f>+VLOOKUP($A1350,MAGAZZINO!$B$2:$M$4838,12,FALSE)</f>
        <v/>
      </c>
    </row>
    <row r="1351" ht="36" customHeight="1">
      <c r="A1351" s="30">
        <f>+REGISTRO!A1334</f>
        <v/>
      </c>
      <c r="B1351" s="31">
        <f>+VLOOKUP($A1351,MAGAZZINO!$B$2:$M$4838,2,FALSE)</f>
        <v/>
      </c>
      <c r="C1351" s="32">
        <f>+VLOOKUP($A1351,MAGAZZINO!$B$2:$M$4838,3,FALSE)</f>
        <v/>
      </c>
      <c r="D1351" s="17">
        <f>+VLOOKUP($A1351,MAGAZZINO!$B$2:$M$4838,4,FALSE)</f>
        <v/>
      </c>
      <c r="E1351" s="17">
        <f>+VLOOKUP($A1351,MAGAZZINO!$B$2:$M$4838,5,FALSE)</f>
        <v/>
      </c>
      <c r="F1351" s="17">
        <f>+VLOOKUP($A1351,MAGAZZINO!$B$2:$M$4838,6,FALSE)</f>
        <v/>
      </c>
      <c r="G1351" s="17">
        <f>+VLOOKUP($A1351,MAGAZZINO!$B$2:$M$4838,7,FALSE)</f>
        <v/>
      </c>
      <c r="H1351" s="17">
        <f>+VLOOKUP($A1351,MAGAZZINO!$B$2:$M$4838,8,FALSE)</f>
        <v/>
      </c>
      <c r="I1351" s="17">
        <f>+VLOOKUP($A1351,MAGAZZINO!$B$2:$M$4838,9,FALSE)</f>
        <v/>
      </c>
      <c r="J1351" s="17">
        <f>+VLOOKUP($A1351,MAGAZZINO!$B$2:$M$4838,10,FALSE)</f>
        <v/>
      </c>
      <c r="K1351" s="17">
        <f>+VLOOKUP($A1351,MAGAZZINO!$B$2:$M$4838,11,FALSE)</f>
        <v/>
      </c>
      <c r="L1351" s="44">
        <f>+VLOOKUP($A1351,MAGAZZINO!$B$2:$M$4838,12,FALSE)</f>
        <v/>
      </c>
    </row>
    <row r="1352" ht="36" customHeight="1">
      <c r="A1352" s="30">
        <f>+REGISTRO!A1335</f>
        <v/>
      </c>
      <c r="B1352" s="31">
        <f>+VLOOKUP($A1352,MAGAZZINO!$B$2:$M$4838,2,FALSE)</f>
        <v/>
      </c>
      <c r="C1352" s="32">
        <f>+VLOOKUP($A1352,MAGAZZINO!$B$2:$M$4838,3,FALSE)</f>
        <v/>
      </c>
      <c r="D1352" s="17">
        <f>+VLOOKUP($A1352,MAGAZZINO!$B$2:$M$4838,4,FALSE)</f>
        <v/>
      </c>
      <c r="E1352" s="17">
        <f>+VLOOKUP($A1352,MAGAZZINO!$B$2:$M$4838,5,FALSE)</f>
        <v/>
      </c>
      <c r="F1352" s="17">
        <f>+VLOOKUP($A1352,MAGAZZINO!$B$2:$M$4838,6,FALSE)</f>
        <v/>
      </c>
      <c r="G1352" s="17">
        <f>+VLOOKUP($A1352,MAGAZZINO!$B$2:$M$4838,7,FALSE)</f>
        <v/>
      </c>
      <c r="H1352" s="17">
        <f>+VLOOKUP($A1352,MAGAZZINO!$B$2:$M$4838,8,FALSE)</f>
        <v/>
      </c>
      <c r="I1352" s="17">
        <f>+VLOOKUP($A1352,MAGAZZINO!$B$2:$M$4838,9,FALSE)</f>
        <v/>
      </c>
      <c r="J1352" s="17">
        <f>+VLOOKUP($A1352,MAGAZZINO!$B$2:$M$4838,10,FALSE)</f>
        <v/>
      </c>
      <c r="K1352" s="17">
        <f>+VLOOKUP($A1352,MAGAZZINO!$B$2:$M$4838,11,FALSE)</f>
        <v/>
      </c>
      <c r="L1352" s="44">
        <f>+VLOOKUP($A1352,MAGAZZINO!$B$2:$M$4838,12,FALSE)</f>
        <v/>
      </c>
    </row>
    <row r="1353" ht="36" customHeight="1">
      <c r="A1353" s="30">
        <f>+REGISTRO!A1336</f>
        <v/>
      </c>
      <c r="B1353" s="31">
        <f>+VLOOKUP($A1353,MAGAZZINO!$B$2:$M$4838,2,FALSE)</f>
        <v/>
      </c>
      <c r="C1353" s="32">
        <f>+VLOOKUP($A1353,MAGAZZINO!$B$2:$M$4838,3,FALSE)</f>
        <v/>
      </c>
      <c r="D1353" s="17">
        <f>+VLOOKUP($A1353,MAGAZZINO!$B$2:$M$4838,4,FALSE)</f>
        <v/>
      </c>
      <c r="E1353" s="17">
        <f>+VLOOKUP($A1353,MAGAZZINO!$B$2:$M$4838,5,FALSE)</f>
        <v/>
      </c>
      <c r="F1353" s="17">
        <f>+VLOOKUP($A1353,MAGAZZINO!$B$2:$M$4838,6,FALSE)</f>
        <v/>
      </c>
      <c r="G1353" s="17">
        <f>+VLOOKUP($A1353,MAGAZZINO!$B$2:$M$4838,7,FALSE)</f>
        <v/>
      </c>
      <c r="H1353" s="17">
        <f>+VLOOKUP($A1353,MAGAZZINO!$B$2:$M$4838,8,FALSE)</f>
        <v/>
      </c>
      <c r="I1353" s="17">
        <f>+VLOOKUP($A1353,MAGAZZINO!$B$2:$M$4838,9,FALSE)</f>
        <v/>
      </c>
      <c r="J1353" s="17">
        <f>+VLOOKUP($A1353,MAGAZZINO!$B$2:$M$4838,10,FALSE)</f>
        <v/>
      </c>
      <c r="K1353" s="17">
        <f>+VLOOKUP($A1353,MAGAZZINO!$B$2:$M$4838,11,FALSE)</f>
        <v/>
      </c>
      <c r="L1353" s="44">
        <f>+VLOOKUP($A1353,MAGAZZINO!$B$2:$M$4838,12,FALSE)</f>
        <v/>
      </c>
    </row>
    <row r="1354" ht="36" customHeight="1">
      <c r="A1354" s="30">
        <f>+REGISTRO!A1337</f>
        <v/>
      </c>
      <c r="B1354" s="31">
        <f>+VLOOKUP($A1354,MAGAZZINO!$B$2:$M$4838,2,FALSE)</f>
        <v/>
      </c>
      <c r="C1354" s="32">
        <f>+VLOOKUP($A1354,MAGAZZINO!$B$2:$M$4838,3,FALSE)</f>
        <v/>
      </c>
      <c r="D1354" s="17">
        <f>+VLOOKUP($A1354,MAGAZZINO!$B$2:$M$4838,4,FALSE)</f>
        <v/>
      </c>
      <c r="E1354" s="17">
        <f>+VLOOKUP($A1354,MAGAZZINO!$B$2:$M$4838,5,FALSE)</f>
        <v/>
      </c>
      <c r="F1354" s="17">
        <f>+VLOOKUP($A1354,MAGAZZINO!$B$2:$M$4838,6,FALSE)</f>
        <v/>
      </c>
      <c r="G1354" s="17">
        <f>+VLOOKUP($A1354,MAGAZZINO!$B$2:$M$4838,7,FALSE)</f>
        <v/>
      </c>
      <c r="H1354" s="17">
        <f>+VLOOKUP($A1354,MAGAZZINO!$B$2:$M$4838,8,FALSE)</f>
        <v/>
      </c>
      <c r="I1354" s="17">
        <f>+VLOOKUP($A1354,MAGAZZINO!$B$2:$M$4838,9,FALSE)</f>
        <v/>
      </c>
      <c r="J1354" s="17">
        <f>+VLOOKUP($A1354,MAGAZZINO!$B$2:$M$4838,10,FALSE)</f>
        <v/>
      </c>
      <c r="K1354" s="17">
        <f>+VLOOKUP($A1354,MAGAZZINO!$B$2:$M$4838,11,FALSE)</f>
        <v/>
      </c>
      <c r="L1354" s="44">
        <f>+VLOOKUP($A1354,MAGAZZINO!$B$2:$M$4838,12,FALSE)</f>
        <v/>
      </c>
    </row>
    <row r="1355" ht="36" customHeight="1">
      <c r="A1355" s="30">
        <f>+REGISTRO!A1338</f>
        <v/>
      </c>
      <c r="B1355" s="31">
        <f>+VLOOKUP($A1355,MAGAZZINO!$B$2:$M$4838,2,FALSE)</f>
        <v/>
      </c>
      <c r="C1355" s="32">
        <f>+VLOOKUP($A1355,MAGAZZINO!$B$2:$M$4838,3,FALSE)</f>
        <v/>
      </c>
      <c r="D1355" s="17">
        <f>+VLOOKUP($A1355,MAGAZZINO!$B$2:$M$4838,4,FALSE)</f>
        <v/>
      </c>
      <c r="E1355" s="17">
        <f>+VLOOKUP($A1355,MAGAZZINO!$B$2:$M$4838,5,FALSE)</f>
        <v/>
      </c>
      <c r="F1355" s="17">
        <f>+VLOOKUP($A1355,MAGAZZINO!$B$2:$M$4838,6,FALSE)</f>
        <v/>
      </c>
      <c r="G1355" s="17">
        <f>+VLOOKUP($A1355,MAGAZZINO!$B$2:$M$4838,7,FALSE)</f>
        <v/>
      </c>
      <c r="H1355" s="17">
        <f>+VLOOKUP($A1355,MAGAZZINO!$B$2:$M$4838,8,FALSE)</f>
        <v/>
      </c>
      <c r="I1355" s="17">
        <f>+VLOOKUP($A1355,MAGAZZINO!$B$2:$M$4838,9,FALSE)</f>
        <v/>
      </c>
      <c r="J1355" s="17">
        <f>+VLOOKUP($A1355,MAGAZZINO!$B$2:$M$4838,10,FALSE)</f>
        <v/>
      </c>
      <c r="K1355" s="17">
        <f>+VLOOKUP($A1355,MAGAZZINO!$B$2:$M$4838,11,FALSE)</f>
        <v/>
      </c>
      <c r="L1355" s="44">
        <f>+VLOOKUP($A1355,MAGAZZINO!$B$2:$M$4838,12,FALSE)</f>
        <v/>
      </c>
    </row>
    <row r="1356" ht="36" customHeight="1">
      <c r="A1356" s="30">
        <f>+REGISTRO!A1339</f>
        <v/>
      </c>
      <c r="B1356" s="31">
        <f>+VLOOKUP($A1356,MAGAZZINO!$B$2:$M$4838,2,FALSE)</f>
        <v/>
      </c>
      <c r="C1356" s="32">
        <f>+VLOOKUP($A1356,MAGAZZINO!$B$2:$M$4838,3,FALSE)</f>
        <v/>
      </c>
      <c r="D1356" s="17">
        <f>+VLOOKUP($A1356,MAGAZZINO!$B$2:$M$4838,4,FALSE)</f>
        <v/>
      </c>
      <c r="E1356" s="17">
        <f>+VLOOKUP($A1356,MAGAZZINO!$B$2:$M$4838,5,FALSE)</f>
        <v/>
      </c>
      <c r="F1356" s="17">
        <f>+VLOOKUP($A1356,MAGAZZINO!$B$2:$M$4838,6,FALSE)</f>
        <v/>
      </c>
      <c r="G1356" s="17">
        <f>+VLOOKUP($A1356,MAGAZZINO!$B$2:$M$4838,7,FALSE)</f>
        <v/>
      </c>
      <c r="H1356" s="17">
        <f>+VLOOKUP($A1356,MAGAZZINO!$B$2:$M$4838,8,FALSE)</f>
        <v/>
      </c>
      <c r="I1356" s="17">
        <f>+VLOOKUP($A1356,MAGAZZINO!$B$2:$M$4838,9,FALSE)</f>
        <v/>
      </c>
      <c r="J1356" s="17">
        <f>+VLOOKUP($A1356,MAGAZZINO!$B$2:$M$4838,10,FALSE)</f>
        <v/>
      </c>
      <c r="K1356" s="17">
        <f>+VLOOKUP($A1356,MAGAZZINO!$B$2:$M$4838,11,FALSE)</f>
        <v/>
      </c>
      <c r="L1356" s="44">
        <f>+VLOOKUP($A1356,MAGAZZINO!$B$2:$M$4838,12,FALSE)</f>
        <v/>
      </c>
    </row>
    <row r="1357" ht="36" customHeight="1">
      <c r="A1357" s="30">
        <f>+REGISTRO!A1340</f>
        <v/>
      </c>
      <c r="B1357" s="31">
        <f>+VLOOKUP($A1357,MAGAZZINO!$B$2:$M$4838,2,FALSE)</f>
        <v/>
      </c>
      <c r="C1357" s="32">
        <f>+VLOOKUP($A1357,MAGAZZINO!$B$2:$M$4838,3,FALSE)</f>
        <v/>
      </c>
      <c r="D1357" s="17">
        <f>+VLOOKUP($A1357,MAGAZZINO!$B$2:$M$4838,4,FALSE)</f>
        <v/>
      </c>
      <c r="E1357" s="17">
        <f>+VLOOKUP($A1357,MAGAZZINO!$B$2:$M$4838,5,FALSE)</f>
        <v/>
      </c>
      <c r="F1357" s="17">
        <f>+VLOOKUP($A1357,MAGAZZINO!$B$2:$M$4838,6,FALSE)</f>
        <v/>
      </c>
      <c r="G1357" s="17">
        <f>+VLOOKUP($A1357,MAGAZZINO!$B$2:$M$4838,7,FALSE)</f>
        <v/>
      </c>
      <c r="H1357" s="17">
        <f>+VLOOKUP($A1357,MAGAZZINO!$B$2:$M$4838,8,FALSE)</f>
        <v/>
      </c>
      <c r="I1357" s="17">
        <f>+VLOOKUP($A1357,MAGAZZINO!$B$2:$M$4838,9,FALSE)</f>
        <v/>
      </c>
      <c r="J1357" s="17">
        <f>+VLOOKUP($A1357,MAGAZZINO!$B$2:$M$4838,10,FALSE)</f>
        <v/>
      </c>
      <c r="K1357" s="17">
        <f>+VLOOKUP($A1357,MAGAZZINO!$B$2:$M$4838,11,FALSE)</f>
        <v/>
      </c>
      <c r="L1357" s="44">
        <f>+VLOOKUP($A1357,MAGAZZINO!$B$2:$M$4838,12,FALSE)</f>
        <v/>
      </c>
    </row>
    <row r="1358" ht="36" customHeight="1">
      <c r="A1358" s="30">
        <f>+REGISTRO!A1341</f>
        <v/>
      </c>
      <c r="B1358" s="31">
        <f>+VLOOKUP($A1358,MAGAZZINO!$B$2:$M$4838,2,FALSE)</f>
        <v/>
      </c>
      <c r="C1358" s="32">
        <f>+VLOOKUP($A1358,MAGAZZINO!$B$2:$M$4838,3,FALSE)</f>
        <v/>
      </c>
      <c r="D1358" s="17">
        <f>+VLOOKUP($A1358,MAGAZZINO!$B$2:$M$4838,4,FALSE)</f>
        <v/>
      </c>
      <c r="E1358" s="17">
        <f>+VLOOKUP($A1358,MAGAZZINO!$B$2:$M$4838,5,FALSE)</f>
        <v/>
      </c>
      <c r="F1358" s="17">
        <f>+VLOOKUP($A1358,MAGAZZINO!$B$2:$M$4838,6,FALSE)</f>
        <v/>
      </c>
      <c r="G1358" s="17">
        <f>+VLOOKUP($A1358,MAGAZZINO!$B$2:$M$4838,7,FALSE)</f>
        <v/>
      </c>
      <c r="H1358" s="17">
        <f>+VLOOKUP($A1358,MAGAZZINO!$B$2:$M$4838,8,FALSE)</f>
        <v/>
      </c>
      <c r="I1358" s="17">
        <f>+VLOOKUP($A1358,MAGAZZINO!$B$2:$M$4838,9,FALSE)</f>
        <v/>
      </c>
      <c r="J1358" s="17">
        <f>+VLOOKUP($A1358,MAGAZZINO!$B$2:$M$4838,10,FALSE)</f>
        <v/>
      </c>
      <c r="K1358" s="17">
        <f>+VLOOKUP($A1358,MAGAZZINO!$B$2:$M$4838,11,FALSE)</f>
        <v/>
      </c>
      <c r="L1358" s="44">
        <f>+VLOOKUP($A1358,MAGAZZINO!$B$2:$M$4838,12,FALSE)</f>
        <v/>
      </c>
    </row>
    <row r="1359" ht="36" customHeight="1">
      <c r="A1359" s="30">
        <f>+REGISTRO!A1342</f>
        <v/>
      </c>
      <c r="B1359" s="31">
        <f>+VLOOKUP($A1359,MAGAZZINO!$B$2:$M$4838,2,FALSE)</f>
        <v/>
      </c>
      <c r="C1359" s="32">
        <f>+VLOOKUP($A1359,MAGAZZINO!$B$2:$M$4838,3,FALSE)</f>
        <v/>
      </c>
      <c r="D1359" s="17">
        <f>+VLOOKUP($A1359,MAGAZZINO!$B$2:$M$4838,4,FALSE)</f>
        <v/>
      </c>
      <c r="E1359" s="17">
        <f>+VLOOKUP($A1359,MAGAZZINO!$B$2:$M$4838,5,FALSE)</f>
        <v/>
      </c>
      <c r="F1359" s="17">
        <f>+VLOOKUP($A1359,MAGAZZINO!$B$2:$M$4838,6,FALSE)</f>
        <v/>
      </c>
      <c r="G1359" s="17">
        <f>+VLOOKUP($A1359,MAGAZZINO!$B$2:$M$4838,7,FALSE)</f>
        <v/>
      </c>
      <c r="H1359" s="17">
        <f>+VLOOKUP($A1359,MAGAZZINO!$B$2:$M$4838,8,FALSE)</f>
        <v/>
      </c>
      <c r="I1359" s="17">
        <f>+VLOOKUP($A1359,MAGAZZINO!$B$2:$M$4838,9,FALSE)</f>
        <v/>
      </c>
      <c r="J1359" s="17">
        <f>+VLOOKUP($A1359,MAGAZZINO!$B$2:$M$4838,10,FALSE)</f>
        <v/>
      </c>
      <c r="K1359" s="17">
        <f>+VLOOKUP($A1359,MAGAZZINO!$B$2:$M$4838,11,FALSE)</f>
        <v/>
      </c>
      <c r="L1359" s="44">
        <f>+VLOOKUP($A1359,MAGAZZINO!$B$2:$M$4838,12,FALSE)</f>
        <v/>
      </c>
    </row>
    <row r="1360" ht="36" customHeight="1">
      <c r="A1360" s="30">
        <f>+REGISTRO!A1343</f>
        <v/>
      </c>
      <c r="B1360" s="31">
        <f>+VLOOKUP($A1360,MAGAZZINO!$B$2:$M$4838,2,FALSE)</f>
        <v/>
      </c>
      <c r="C1360" s="32">
        <f>+VLOOKUP($A1360,MAGAZZINO!$B$2:$M$4838,3,FALSE)</f>
        <v/>
      </c>
      <c r="D1360" s="17">
        <f>+VLOOKUP($A1360,MAGAZZINO!$B$2:$M$4838,4,FALSE)</f>
        <v/>
      </c>
      <c r="E1360" s="17">
        <f>+VLOOKUP($A1360,MAGAZZINO!$B$2:$M$4838,5,FALSE)</f>
        <v/>
      </c>
      <c r="F1360" s="17">
        <f>+VLOOKUP($A1360,MAGAZZINO!$B$2:$M$4838,6,FALSE)</f>
        <v/>
      </c>
      <c r="G1360" s="17">
        <f>+VLOOKUP($A1360,MAGAZZINO!$B$2:$M$4838,7,FALSE)</f>
        <v/>
      </c>
      <c r="H1360" s="17">
        <f>+VLOOKUP($A1360,MAGAZZINO!$B$2:$M$4838,8,FALSE)</f>
        <v/>
      </c>
      <c r="I1360" s="17">
        <f>+VLOOKUP($A1360,MAGAZZINO!$B$2:$M$4838,9,FALSE)</f>
        <v/>
      </c>
      <c r="J1360" s="17">
        <f>+VLOOKUP($A1360,MAGAZZINO!$B$2:$M$4838,10,FALSE)</f>
        <v/>
      </c>
      <c r="K1360" s="17">
        <f>+VLOOKUP($A1360,MAGAZZINO!$B$2:$M$4838,11,FALSE)</f>
        <v/>
      </c>
      <c r="L1360" s="44">
        <f>+VLOOKUP($A1360,MAGAZZINO!$B$2:$M$4838,12,FALSE)</f>
        <v/>
      </c>
    </row>
    <row r="1361" ht="36" customHeight="1">
      <c r="A1361" s="30">
        <f>+REGISTRO!A1344</f>
        <v/>
      </c>
      <c r="B1361" s="31">
        <f>+VLOOKUP($A1361,MAGAZZINO!$B$2:$M$4838,2,FALSE)</f>
        <v/>
      </c>
      <c r="C1361" s="32">
        <f>+VLOOKUP($A1361,MAGAZZINO!$B$2:$M$4838,3,FALSE)</f>
        <v/>
      </c>
      <c r="D1361" s="17">
        <f>+VLOOKUP($A1361,MAGAZZINO!$B$2:$M$4838,4,FALSE)</f>
        <v/>
      </c>
      <c r="E1361" s="17">
        <f>+VLOOKUP($A1361,MAGAZZINO!$B$2:$M$4838,5,FALSE)</f>
        <v/>
      </c>
      <c r="F1361" s="17">
        <f>+VLOOKUP($A1361,MAGAZZINO!$B$2:$M$4838,6,FALSE)</f>
        <v/>
      </c>
      <c r="G1361" s="17">
        <f>+VLOOKUP($A1361,MAGAZZINO!$B$2:$M$4838,7,FALSE)</f>
        <v/>
      </c>
      <c r="H1361" s="17">
        <f>+VLOOKUP($A1361,MAGAZZINO!$B$2:$M$4838,8,FALSE)</f>
        <v/>
      </c>
      <c r="I1361" s="17">
        <f>+VLOOKUP($A1361,MAGAZZINO!$B$2:$M$4838,9,FALSE)</f>
        <v/>
      </c>
      <c r="J1361" s="17">
        <f>+VLOOKUP($A1361,MAGAZZINO!$B$2:$M$4838,10,FALSE)</f>
        <v/>
      </c>
      <c r="K1361" s="17">
        <f>+VLOOKUP($A1361,MAGAZZINO!$B$2:$M$4838,11,FALSE)</f>
        <v/>
      </c>
      <c r="L1361" s="44">
        <f>+VLOOKUP($A1361,MAGAZZINO!$B$2:$M$4838,12,FALSE)</f>
        <v/>
      </c>
    </row>
    <row r="1362" ht="36" customHeight="1">
      <c r="A1362" s="30">
        <f>+REGISTRO!A1345</f>
        <v/>
      </c>
      <c r="B1362" s="31">
        <f>+VLOOKUP($A1362,MAGAZZINO!$B$2:$M$4838,2,FALSE)</f>
        <v/>
      </c>
      <c r="C1362" s="32">
        <f>+VLOOKUP($A1362,MAGAZZINO!$B$2:$M$4838,3,FALSE)</f>
        <v/>
      </c>
      <c r="D1362" s="17">
        <f>+VLOOKUP($A1362,MAGAZZINO!$B$2:$M$4838,4,FALSE)</f>
        <v/>
      </c>
      <c r="E1362" s="17">
        <f>+VLOOKUP($A1362,MAGAZZINO!$B$2:$M$4838,5,FALSE)</f>
        <v/>
      </c>
      <c r="F1362" s="17">
        <f>+VLOOKUP($A1362,MAGAZZINO!$B$2:$M$4838,6,FALSE)</f>
        <v/>
      </c>
      <c r="G1362" s="17">
        <f>+VLOOKUP($A1362,MAGAZZINO!$B$2:$M$4838,7,FALSE)</f>
        <v/>
      </c>
      <c r="H1362" s="17">
        <f>+VLOOKUP($A1362,MAGAZZINO!$B$2:$M$4838,8,FALSE)</f>
        <v/>
      </c>
      <c r="I1362" s="17">
        <f>+VLOOKUP($A1362,MAGAZZINO!$B$2:$M$4838,9,FALSE)</f>
        <v/>
      </c>
      <c r="J1362" s="17">
        <f>+VLOOKUP($A1362,MAGAZZINO!$B$2:$M$4838,10,FALSE)</f>
        <v/>
      </c>
      <c r="K1362" s="17">
        <f>+VLOOKUP($A1362,MAGAZZINO!$B$2:$M$4838,11,FALSE)</f>
        <v/>
      </c>
      <c r="L1362" s="44">
        <f>+VLOOKUP($A1362,MAGAZZINO!$B$2:$M$4838,12,FALSE)</f>
        <v/>
      </c>
    </row>
    <row r="1363" ht="36" customHeight="1">
      <c r="A1363" s="30">
        <f>+REGISTRO!A1346</f>
        <v/>
      </c>
      <c r="B1363" s="31">
        <f>+VLOOKUP($A1363,MAGAZZINO!$B$2:$M$4838,2,FALSE)</f>
        <v/>
      </c>
      <c r="C1363" s="32">
        <f>+VLOOKUP($A1363,MAGAZZINO!$B$2:$M$4838,3,FALSE)</f>
        <v/>
      </c>
      <c r="D1363" s="17">
        <f>+VLOOKUP($A1363,MAGAZZINO!$B$2:$M$4838,4,FALSE)</f>
        <v/>
      </c>
      <c r="E1363" s="17">
        <f>+VLOOKUP($A1363,MAGAZZINO!$B$2:$M$4838,5,FALSE)</f>
        <v/>
      </c>
      <c r="F1363" s="17">
        <f>+VLOOKUP($A1363,MAGAZZINO!$B$2:$M$4838,6,FALSE)</f>
        <v/>
      </c>
      <c r="G1363" s="17">
        <f>+VLOOKUP($A1363,MAGAZZINO!$B$2:$M$4838,7,FALSE)</f>
        <v/>
      </c>
      <c r="H1363" s="17">
        <f>+VLOOKUP($A1363,MAGAZZINO!$B$2:$M$4838,8,FALSE)</f>
        <v/>
      </c>
      <c r="I1363" s="17">
        <f>+VLOOKUP($A1363,MAGAZZINO!$B$2:$M$4838,9,FALSE)</f>
        <v/>
      </c>
      <c r="J1363" s="17">
        <f>+VLOOKUP($A1363,MAGAZZINO!$B$2:$M$4838,10,FALSE)</f>
        <v/>
      </c>
      <c r="K1363" s="17">
        <f>+VLOOKUP($A1363,MAGAZZINO!$B$2:$M$4838,11,FALSE)</f>
        <v/>
      </c>
      <c r="L1363" s="44">
        <f>+VLOOKUP($A1363,MAGAZZINO!$B$2:$M$4838,12,FALSE)</f>
        <v/>
      </c>
    </row>
    <row r="1364" ht="36" customHeight="1">
      <c r="A1364" s="30">
        <f>+REGISTRO!A1347</f>
        <v/>
      </c>
      <c r="B1364" s="31">
        <f>+VLOOKUP($A1364,MAGAZZINO!$B$2:$M$4838,2,FALSE)</f>
        <v/>
      </c>
      <c r="C1364" s="32">
        <f>+VLOOKUP($A1364,MAGAZZINO!$B$2:$M$4838,3,FALSE)</f>
        <v/>
      </c>
      <c r="D1364" s="17">
        <f>+VLOOKUP($A1364,MAGAZZINO!$B$2:$M$4838,4,FALSE)</f>
        <v/>
      </c>
      <c r="E1364" s="17">
        <f>+VLOOKUP($A1364,MAGAZZINO!$B$2:$M$4838,5,FALSE)</f>
        <v/>
      </c>
      <c r="F1364" s="17">
        <f>+VLOOKUP($A1364,MAGAZZINO!$B$2:$M$4838,6,FALSE)</f>
        <v/>
      </c>
      <c r="G1364" s="17">
        <f>+VLOOKUP($A1364,MAGAZZINO!$B$2:$M$4838,7,FALSE)</f>
        <v/>
      </c>
      <c r="H1364" s="17">
        <f>+VLOOKUP($A1364,MAGAZZINO!$B$2:$M$4838,8,FALSE)</f>
        <v/>
      </c>
      <c r="I1364" s="17">
        <f>+VLOOKUP($A1364,MAGAZZINO!$B$2:$M$4838,9,FALSE)</f>
        <v/>
      </c>
      <c r="J1364" s="17">
        <f>+VLOOKUP($A1364,MAGAZZINO!$B$2:$M$4838,10,FALSE)</f>
        <v/>
      </c>
      <c r="K1364" s="17">
        <f>+VLOOKUP($A1364,MAGAZZINO!$B$2:$M$4838,11,FALSE)</f>
        <v/>
      </c>
      <c r="L1364" s="44">
        <f>+VLOOKUP($A1364,MAGAZZINO!$B$2:$M$4838,12,FALSE)</f>
        <v/>
      </c>
    </row>
    <row r="1365" ht="36" customHeight="1">
      <c r="A1365" s="30">
        <f>+REGISTRO!A1348</f>
        <v/>
      </c>
      <c r="B1365" s="31">
        <f>+VLOOKUP($A1365,MAGAZZINO!$B$2:$M$4838,2,FALSE)</f>
        <v/>
      </c>
      <c r="C1365" s="32">
        <f>+VLOOKUP($A1365,MAGAZZINO!$B$2:$M$4838,3,FALSE)</f>
        <v/>
      </c>
      <c r="D1365" s="17">
        <f>+VLOOKUP($A1365,MAGAZZINO!$B$2:$M$4838,4,FALSE)</f>
        <v/>
      </c>
      <c r="E1365" s="17">
        <f>+VLOOKUP($A1365,MAGAZZINO!$B$2:$M$4838,5,FALSE)</f>
        <v/>
      </c>
      <c r="F1365" s="17">
        <f>+VLOOKUP($A1365,MAGAZZINO!$B$2:$M$4838,6,FALSE)</f>
        <v/>
      </c>
      <c r="G1365" s="17">
        <f>+VLOOKUP($A1365,MAGAZZINO!$B$2:$M$4838,7,FALSE)</f>
        <v/>
      </c>
      <c r="H1365" s="17">
        <f>+VLOOKUP($A1365,MAGAZZINO!$B$2:$M$4838,8,FALSE)</f>
        <v/>
      </c>
      <c r="I1365" s="17">
        <f>+VLOOKUP($A1365,MAGAZZINO!$B$2:$M$4838,9,FALSE)</f>
        <v/>
      </c>
      <c r="J1365" s="17">
        <f>+VLOOKUP($A1365,MAGAZZINO!$B$2:$M$4838,10,FALSE)</f>
        <v/>
      </c>
      <c r="K1365" s="17">
        <f>+VLOOKUP($A1365,MAGAZZINO!$B$2:$M$4838,11,FALSE)</f>
        <v/>
      </c>
      <c r="L1365" s="44">
        <f>+VLOOKUP($A1365,MAGAZZINO!$B$2:$M$4838,12,FALSE)</f>
        <v/>
      </c>
    </row>
    <row r="1366" ht="36" customHeight="1">
      <c r="A1366" s="30">
        <f>+REGISTRO!A1349</f>
        <v/>
      </c>
      <c r="B1366" s="31">
        <f>+VLOOKUP($A1366,MAGAZZINO!$B$2:$M$4838,2,FALSE)</f>
        <v/>
      </c>
      <c r="C1366" s="32">
        <f>+VLOOKUP($A1366,MAGAZZINO!$B$2:$M$4838,3,FALSE)</f>
        <v/>
      </c>
      <c r="D1366" s="17">
        <f>+VLOOKUP($A1366,MAGAZZINO!$B$2:$M$4838,4,FALSE)</f>
        <v/>
      </c>
      <c r="E1366" s="17">
        <f>+VLOOKUP($A1366,MAGAZZINO!$B$2:$M$4838,5,FALSE)</f>
        <v/>
      </c>
      <c r="F1366" s="17">
        <f>+VLOOKUP($A1366,MAGAZZINO!$B$2:$M$4838,6,FALSE)</f>
        <v/>
      </c>
      <c r="G1366" s="17">
        <f>+VLOOKUP($A1366,MAGAZZINO!$B$2:$M$4838,7,FALSE)</f>
        <v/>
      </c>
      <c r="H1366" s="17">
        <f>+VLOOKUP($A1366,MAGAZZINO!$B$2:$M$4838,8,FALSE)</f>
        <v/>
      </c>
      <c r="I1366" s="17">
        <f>+VLOOKUP($A1366,MAGAZZINO!$B$2:$M$4838,9,FALSE)</f>
        <v/>
      </c>
      <c r="J1366" s="17">
        <f>+VLOOKUP($A1366,MAGAZZINO!$B$2:$M$4838,10,FALSE)</f>
        <v/>
      </c>
      <c r="K1366" s="17">
        <f>+VLOOKUP($A1366,MAGAZZINO!$B$2:$M$4838,11,FALSE)</f>
        <v/>
      </c>
      <c r="L1366" s="44">
        <f>+VLOOKUP($A1366,MAGAZZINO!$B$2:$M$4838,12,FALSE)</f>
        <v/>
      </c>
    </row>
    <row r="1367" ht="36" customHeight="1">
      <c r="A1367" s="30">
        <f>+REGISTRO!A1350</f>
        <v/>
      </c>
      <c r="B1367" s="31">
        <f>+VLOOKUP($A1367,MAGAZZINO!$B$2:$M$4838,2,FALSE)</f>
        <v/>
      </c>
      <c r="C1367" s="32">
        <f>+VLOOKUP($A1367,MAGAZZINO!$B$2:$M$4838,3,FALSE)</f>
        <v/>
      </c>
      <c r="D1367" s="17">
        <f>+VLOOKUP($A1367,MAGAZZINO!$B$2:$M$4838,4,FALSE)</f>
        <v/>
      </c>
      <c r="E1367" s="17">
        <f>+VLOOKUP($A1367,MAGAZZINO!$B$2:$M$4838,5,FALSE)</f>
        <v/>
      </c>
      <c r="F1367" s="17">
        <f>+VLOOKUP($A1367,MAGAZZINO!$B$2:$M$4838,6,FALSE)</f>
        <v/>
      </c>
      <c r="G1367" s="17">
        <f>+VLOOKUP($A1367,MAGAZZINO!$B$2:$M$4838,7,FALSE)</f>
        <v/>
      </c>
      <c r="H1367" s="17">
        <f>+VLOOKUP($A1367,MAGAZZINO!$B$2:$M$4838,8,FALSE)</f>
        <v/>
      </c>
      <c r="I1367" s="17">
        <f>+VLOOKUP($A1367,MAGAZZINO!$B$2:$M$4838,9,FALSE)</f>
        <v/>
      </c>
      <c r="J1367" s="17">
        <f>+VLOOKUP($A1367,MAGAZZINO!$B$2:$M$4838,10,FALSE)</f>
        <v/>
      </c>
      <c r="K1367" s="17">
        <f>+VLOOKUP($A1367,MAGAZZINO!$B$2:$M$4838,11,FALSE)</f>
        <v/>
      </c>
      <c r="L1367" s="44">
        <f>+VLOOKUP($A1367,MAGAZZINO!$B$2:$M$4838,12,FALSE)</f>
        <v/>
      </c>
    </row>
    <row r="1368" ht="36" customHeight="1">
      <c r="A1368" s="30">
        <f>+REGISTRO!A1351</f>
        <v/>
      </c>
      <c r="B1368" s="31">
        <f>+VLOOKUP($A1368,MAGAZZINO!$B$2:$M$4838,2,FALSE)</f>
        <v/>
      </c>
      <c r="C1368" s="32">
        <f>+VLOOKUP($A1368,MAGAZZINO!$B$2:$M$4838,3,FALSE)</f>
        <v/>
      </c>
      <c r="D1368" s="17">
        <f>+VLOOKUP($A1368,MAGAZZINO!$B$2:$M$4838,4,FALSE)</f>
        <v/>
      </c>
      <c r="E1368" s="17">
        <f>+VLOOKUP($A1368,MAGAZZINO!$B$2:$M$4838,5,FALSE)</f>
        <v/>
      </c>
      <c r="F1368" s="17">
        <f>+VLOOKUP($A1368,MAGAZZINO!$B$2:$M$4838,6,FALSE)</f>
        <v/>
      </c>
      <c r="G1368" s="17">
        <f>+VLOOKUP($A1368,MAGAZZINO!$B$2:$M$4838,7,FALSE)</f>
        <v/>
      </c>
      <c r="H1368" s="17">
        <f>+VLOOKUP($A1368,MAGAZZINO!$B$2:$M$4838,8,FALSE)</f>
        <v/>
      </c>
      <c r="I1368" s="17">
        <f>+VLOOKUP($A1368,MAGAZZINO!$B$2:$M$4838,9,FALSE)</f>
        <v/>
      </c>
      <c r="J1368" s="17">
        <f>+VLOOKUP($A1368,MAGAZZINO!$B$2:$M$4838,10,FALSE)</f>
        <v/>
      </c>
      <c r="K1368" s="17">
        <f>+VLOOKUP($A1368,MAGAZZINO!$B$2:$M$4838,11,FALSE)</f>
        <v/>
      </c>
      <c r="L1368" s="44">
        <f>+VLOOKUP($A1368,MAGAZZINO!$B$2:$M$4838,12,FALSE)</f>
        <v/>
      </c>
    </row>
    <row r="1369" ht="36" customHeight="1">
      <c r="A1369" s="30">
        <f>+REGISTRO!A1352</f>
        <v/>
      </c>
      <c r="B1369" s="31">
        <f>+VLOOKUP($A1369,MAGAZZINO!$B$2:$M$4838,2,FALSE)</f>
        <v/>
      </c>
      <c r="C1369" s="32">
        <f>+VLOOKUP($A1369,MAGAZZINO!$B$2:$M$4838,3,FALSE)</f>
        <v/>
      </c>
      <c r="D1369" s="17">
        <f>+VLOOKUP($A1369,MAGAZZINO!$B$2:$M$4838,4,FALSE)</f>
        <v/>
      </c>
      <c r="E1369" s="17">
        <f>+VLOOKUP($A1369,MAGAZZINO!$B$2:$M$4838,5,FALSE)</f>
        <v/>
      </c>
      <c r="F1369" s="17">
        <f>+VLOOKUP($A1369,MAGAZZINO!$B$2:$M$4838,6,FALSE)</f>
        <v/>
      </c>
      <c r="G1369" s="17">
        <f>+VLOOKUP($A1369,MAGAZZINO!$B$2:$M$4838,7,FALSE)</f>
        <v/>
      </c>
      <c r="H1369" s="17">
        <f>+VLOOKUP($A1369,MAGAZZINO!$B$2:$M$4838,8,FALSE)</f>
        <v/>
      </c>
      <c r="I1369" s="17">
        <f>+VLOOKUP($A1369,MAGAZZINO!$B$2:$M$4838,9,FALSE)</f>
        <v/>
      </c>
      <c r="J1369" s="17">
        <f>+VLOOKUP($A1369,MAGAZZINO!$B$2:$M$4838,10,FALSE)</f>
        <v/>
      </c>
      <c r="K1369" s="17">
        <f>+VLOOKUP($A1369,MAGAZZINO!$B$2:$M$4838,11,FALSE)</f>
        <v/>
      </c>
      <c r="L1369" s="44">
        <f>+VLOOKUP($A1369,MAGAZZINO!$B$2:$M$4838,12,FALSE)</f>
        <v/>
      </c>
    </row>
    <row r="1370" ht="36" customHeight="1">
      <c r="A1370" s="30">
        <f>+REGISTRO!A1353</f>
        <v/>
      </c>
      <c r="B1370" s="31">
        <f>+VLOOKUP($A1370,MAGAZZINO!$B$2:$M$4838,2,FALSE)</f>
        <v/>
      </c>
      <c r="C1370" s="32">
        <f>+VLOOKUP($A1370,MAGAZZINO!$B$2:$M$4838,3,FALSE)</f>
        <v/>
      </c>
      <c r="D1370" s="17">
        <f>+VLOOKUP($A1370,MAGAZZINO!$B$2:$M$4838,4,FALSE)</f>
        <v/>
      </c>
      <c r="E1370" s="17">
        <f>+VLOOKUP($A1370,MAGAZZINO!$B$2:$M$4838,5,FALSE)</f>
        <v/>
      </c>
      <c r="F1370" s="17">
        <f>+VLOOKUP($A1370,MAGAZZINO!$B$2:$M$4838,6,FALSE)</f>
        <v/>
      </c>
      <c r="G1370" s="17">
        <f>+VLOOKUP($A1370,MAGAZZINO!$B$2:$M$4838,7,FALSE)</f>
        <v/>
      </c>
      <c r="H1370" s="17">
        <f>+VLOOKUP($A1370,MAGAZZINO!$B$2:$M$4838,8,FALSE)</f>
        <v/>
      </c>
      <c r="I1370" s="17">
        <f>+VLOOKUP($A1370,MAGAZZINO!$B$2:$M$4838,9,FALSE)</f>
        <v/>
      </c>
      <c r="J1370" s="17">
        <f>+VLOOKUP($A1370,MAGAZZINO!$B$2:$M$4838,10,FALSE)</f>
        <v/>
      </c>
      <c r="K1370" s="17">
        <f>+VLOOKUP($A1370,MAGAZZINO!$B$2:$M$4838,11,FALSE)</f>
        <v/>
      </c>
      <c r="L1370" s="44">
        <f>+VLOOKUP($A1370,MAGAZZINO!$B$2:$M$4838,12,FALSE)</f>
        <v/>
      </c>
    </row>
    <row r="1371" ht="36" customHeight="1">
      <c r="A1371" s="30">
        <f>+REGISTRO!A1354</f>
        <v/>
      </c>
      <c r="B1371" s="31">
        <f>+VLOOKUP($A1371,MAGAZZINO!$B$2:$M$4838,2,FALSE)</f>
        <v/>
      </c>
      <c r="C1371" s="32">
        <f>+VLOOKUP($A1371,MAGAZZINO!$B$2:$M$4838,3,FALSE)</f>
        <v/>
      </c>
      <c r="D1371" s="17">
        <f>+VLOOKUP($A1371,MAGAZZINO!$B$2:$M$4838,4,FALSE)</f>
        <v/>
      </c>
      <c r="E1371" s="17">
        <f>+VLOOKUP($A1371,MAGAZZINO!$B$2:$M$4838,5,FALSE)</f>
        <v/>
      </c>
      <c r="F1371" s="17">
        <f>+VLOOKUP($A1371,MAGAZZINO!$B$2:$M$4838,6,FALSE)</f>
        <v/>
      </c>
      <c r="G1371" s="17">
        <f>+VLOOKUP($A1371,MAGAZZINO!$B$2:$M$4838,7,FALSE)</f>
        <v/>
      </c>
      <c r="H1371" s="17">
        <f>+VLOOKUP($A1371,MAGAZZINO!$B$2:$M$4838,8,FALSE)</f>
        <v/>
      </c>
      <c r="I1371" s="17">
        <f>+VLOOKUP($A1371,MAGAZZINO!$B$2:$M$4838,9,FALSE)</f>
        <v/>
      </c>
      <c r="J1371" s="17">
        <f>+VLOOKUP($A1371,MAGAZZINO!$B$2:$M$4838,10,FALSE)</f>
        <v/>
      </c>
      <c r="K1371" s="17">
        <f>+VLOOKUP($A1371,MAGAZZINO!$B$2:$M$4838,11,FALSE)</f>
        <v/>
      </c>
      <c r="L1371" s="44">
        <f>+VLOOKUP($A1371,MAGAZZINO!$B$2:$M$4838,12,FALSE)</f>
        <v/>
      </c>
    </row>
    <row r="1372" ht="36" customHeight="1">
      <c r="A1372" s="30">
        <f>+REGISTRO!A1355</f>
        <v/>
      </c>
      <c r="B1372" s="31">
        <f>+VLOOKUP($A1372,MAGAZZINO!$B$2:$M$4838,2,FALSE)</f>
        <v/>
      </c>
      <c r="C1372" s="32">
        <f>+VLOOKUP($A1372,MAGAZZINO!$B$2:$M$4838,3,FALSE)</f>
        <v/>
      </c>
      <c r="D1372" s="17">
        <f>+VLOOKUP($A1372,MAGAZZINO!$B$2:$M$4838,4,FALSE)</f>
        <v/>
      </c>
      <c r="E1372" s="17">
        <f>+VLOOKUP($A1372,MAGAZZINO!$B$2:$M$4838,5,FALSE)</f>
        <v/>
      </c>
      <c r="F1372" s="17">
        <f>+VLOOKUP($A1372,MAGAZZINO!$B$2:$M$4838,6,FALSE)</f>
        <v/>
      </c>
      <c r="G1372" s="17">
        <f>+VLOOKUP($A1372,MAGAZZINO!$B$2:$M$4838,7,FALSE)</f>
        <v/>
      </c>
      <c r="H1372" s="17">
        <f>+VLOOKUP($A1372,MAGAZZINO!$B$2:$M$4838,8,FALSE)</f>
        <v/>
      </c>
      <c r="I1372" s="17">
        <f>+VLOOKUP($A1372,MAGAZZINO!$B$2:$M$4838,9,FALSE)</f>
        <v/>
      </c>
      <c r="J1372" s="17">
        <f>+VLOOKUP($A1372,MAGAZZINO!$B$2:$M$4838,10,FALSE)</f>
        <v/>
      </c>
      <c r="K1372" s="17">
        <f>+VLOOKUP($A1372,MAGAZZINO!$B$2:$M$4838,11,FALSE)</f>
        <v/>
      </c>
      <c r="L1372" s="44">
        <f>+VLOOKUP($A1372,MAGAZZINO!$B$2:$M$4838,12,FALSE)</f>
        <v/>
      </c>
    </row>
    <row r="1373" ht="36" customHeight="1">
      <c r="A1373" s="30">
        <f>+REGISTRO!A1356</f>
        <v/>
      </c>
      <c r="B1373" s="31">
        <f>+VLOOKUP($A1373,MAGAZZINO!$B$2:$M$4838,2,FALSE)</f>
        <v/>
      </c>
      <c r="C1373" s="32">
        <f>+VLOOKUP($A1373,MAGAZZINO!$B$2:$M$4838,3,FALSE)</f>
        <v/>
      </c>
      <c r="D1373" s="17">
        <f>+VLOOKUP($A1373,MAGAZZINO!$B$2:$M$4838,4,FALSE)</f>
        <v/>
      </c>
      <c r="E1373" s="17">
        <f>+VLOOKUP($A1373,MAGAZZINO!$B$2:$M$4838,5,FALSE)</f>
        <v/>
      </c>
      <c r="F1373" s="17">
        <f>+VLOOKUP($A1373,MAGAZZINO!$B$2:$M$4838,6,FALSE)</f>
        <v/>
      </c>
      <c r="G1373" s="17">
        <f>+VLOOKUP($A1373,MAGAZZINO!$B$2:$M$4838,7,FALSE)</f>
        <v/>
      </c>
      <c r="H1373" s="17">
        <f>+VLOOKUP($A1373,MAGAZZINO!$B$2:$M$4838,8,FALSE)</f>
        <v/>
      </c>
      <c r="I1373" s="17">
        <f>+VLOOKUP($A1373,MAGAZZINO!$B$2:$M$4838,9,FALSE)</f>
        <v/>
      </c>
      <c r="J1373" s="17">
        <f>+VLOOKUP($A1373,MAGAZZINO!$B$2:$M$4838,10,FALSE)</f>
        <v/>
      </c>
      <c r="K1373" s="17">
        <f>+VLOOKUP($A1373,MAGAZZINO!$B$2:$M$4838,11,FALSE)</f>
        <v/>
      </c>
      <c r="L1373" s="44">
        <f>+VLOOKUP($A1373,MAGAZZINO!$B$2:$M$4838,12,FALSE)</f>
        <v/>
      </c>
    </row>
    <row r="1374" ht="36" customHeight="1">
      <c r="A1374" s="30">
        <f>+REGISTRO!A1357</f>
        <v/>
      </c>
      <c r="B1374" s="31">
        <f>+VLOOKUP($A1374,MAGAZZINO!$B$2:$M$4838,2,FALSE)</f>
        <v/>
      </c>
      <c r="C1374" s="32">
        <f>+VLOOKUP($A1374,MAGAZZINO!$B$2:$M$4838,3,FALSE)</f>
        <v/>
      </c>
      <c r="D1374" s="17">
        <f>+VLOOKUP($A1374,MAGAZZINO!$B$2:$M$4838,4,FALSE)</f>
        <v/>
      </c>
      <c r="E1374" s="17">
        <f>+VLOOKUP($A1374,MAGAZZINO!$B$2:$M$4838,5,FALSE)</f>
        <v/>
      </c>
      <c r="F1374" s="17">
        <f>+VLOOKUP($A1374,MAGAZZINO!$B$2:$M$4838,6,FALSE)</f>
        <v/>
      </c>
      <c r="G1374" s="17">
        <f>+VLOOKUP($A1374,MAGAZZINO!$B$2:$M$4838,7,FALSE)</f>
        <v/>
      </c>
      <c r="H1374" s="17">
        <f>+VLOOKUP($A1374,MAGAZZINO!$B$2:$M$4838,8,FALSE)</f>
        <v/>
      </c>
      <c r="I1374" s="17">
        <f>+VLOOKUP($A1374,MAGAZZINO!$B$2:$M$4838,9,FALSE)</f>
        <v/>
      </c>
      <c r="J1374" s="17">
        <f>+VLOOKUP($A1374,MAGAZZINO!$B$2:$M$4838,10,FALSE)</f>
        <v/>
      </c>
      <c r="K1374" s="17">
        <f>+VLOOKUP($A1374,MAGAZZINO!$B$2:$M$4838,11,FALSE)</f>
        <v/>
      </c>
      <c r="L1374" s="44">
        <f>+VLOOKUP($A1374,MAGAZZINO!$B$2:$M$4838,12,FALSE)</f>
        <v/>
      </c>
    </row>
    <row r="1375" ht="36" customHeight="1">
      <c r="A1375" s="30">
        <f>+REGISTRO!A1358</f>
        <v/>
      </c>
      <c r="B1375" s="31">
        <f>+VLOOKUP($A1375,MAGAZZINO!$B$2:$M$4838,2,FALSE)</f>
        <v/>
      </c>
      <c r="C1375" s="32">
        <f>+VLOOKUP($A1375,MAGAZZINO!$B$2:$M$4838,3,FALSE)</f>
        <v/>
      </c>
      <c r="D1375" s="17">
        <f>+VLOOKUP($A1375,MAGAZZINO!$B$2:$M$4838,4,FALSE)</f>
        <v/>
      </c>
      <c r="E1375" s="17">
        <f>+VLOOKUP($A1375,MAGAZZINO!$B$2:$M$4838,5,FALSE)</f>
        <v/>
      </c>
      <c r="F1375" s="17">
        <f>+VLOOKUP($A1375,MAGAZZINO!$B$2:$M$4838,6,FALSE)</f>
        <v/>
      </c>
      <c r="G1375" s="17">
        <f>+VLOOKUP($A1375,MAGAZZINO!$B$2:$M$4838,7,FALSE)</f>
        <v/>
      </c>
      <c r="H1375" s="17">
        <f>+VLOOKUP($A1375,MAGAZZINO!$B$2:$M$4838,8,FALSE)</f>
        <v/>
      </c>
      <c r="I1375" s="17">
        <f>+VLOOKUP($A1375,MAGAZZINO!$B$2:$M$4838,9,FALSE)</f>
        <v/>
      </c>
      <c r="J1375" s="17">
        <f>+VLOOKUP($A1375,MAGAZZINO!$B$2:$M$4838,10,FALSE)</f>
        <v/>
      </c>
      <c r="K1375" s="17">
        <f>+VLOOKUP($A1375,MAGAZZINO!$B$2:$M$4838,11,FALSE)</f>
        <v/>
      </c>
      <c r="L1375" s="44">
        <f>+VLOOKUP($A1375,MAGAZZINO!$B$2:$M$4838,12,FALSE)</f>
        <v/>
      </c>
    </row>
    <row r="1376" ht="36" customHeight="1">
      <c r="A1376" s="30">
        <f>+REGISTRO!A1359</f>
        <v/>
      </c>
      <c r="B1376" s="31">
        <f>+VLOOKUP($A1376,MAGAZZINO!$B$2:$M$4838,2,FALSE)</f>
        <v/>
      </c>
      <c r="C1376" s="32">
        <f>+VLOOKUP($A1376,MAGAZZINO!$B$2:$M$4838,3,FALSE)</f>
        <v/>
      </c>
      <c r="D1376" s="17">
        <f>+VLOOKUP($A1376,MAGAZZINO!$B$2:$M$4838,4,FALSE)</f>
        <v/>
      </c>
      <c r="E1376" s="17">
        <f>+VLOOKUP($A1376,MAGAZZINO!$B$2:$M$4838,5,FALSE)</f>
        <v/>
      </c>
      <c r="F1376" s="17">
        <f>+VLOOKUP($A1376,MAGAZZINO!$B$2:$M$4838,6,FALSE)</f>
        <v/>
      </c>
      <c r="G1376" s="17">
        <f>+VLOOKUP($A1376,MAGAZZINO!$B$2:$M$4838,7,FALSE)</f>
        <v/>
      </c>
      <c r="H1376" s="17">
        <f>+VLOOKUP($A1376,MAGAZZINO!$B$2:$M$4838,8,FALSE)</f>
        <v/>
      </c>
      <c r="I1376" s="17">
        <f>+VLOOKUP($A1376,MAGAZZINO!$B$2:$M$4838,9,FALSE)</f>
        <v/>
      </c>
      <c r="J1376" s="17">
        <f>+VLOOKUP($A1376,MAGAZZINO!$B$2:$M$4838,10,FALSE)</f>
        <v/>
      </c>
      <c r="K1376" s="17">
        <f>+VLOOKUP($A1376,MAGAZZINO!$B$2:$M$4838,11,FALSE)</f>
        <v/>
      </c>
      <c r="L1376" s="44">
        <f>+VLOOKUP($A1376,MAGAZZINO!$B$2:$M$4838,12,FALSE)</f>
        <v/>
      </c>
    </row>
    <row r="1377" ht="36" customHeight="1">
      <c r="A1377" s="30">
        <f>+REGISTRO!A1360</f>
        <v/>
      </c>
      <c r="B1377" s="31">
        <f>+VLOOKUP($A1377,MAGAZZINO!$B$2:$M$4838,2,FALSE)</f>
        <v/>
      </c>
      <c r="C1377" s="32">
        <f>+VLOOKUP($A1377,MAGAZZINO!$B$2:$M$4838,3,FALSE)</f>
        <v/>
      </c>
      <c r="D1377" s="17">
        <f>+VLOOKUP($A1377,MAGAZZINO!$B$2:$M$4838,4,FALSE)</f>
        <v/>
      </c>
      <c r="E1377" s="17">
        <f>+VLOOKUP($A1377,MAGAZZINO!$B$2:$M$4838,5,FALSE)</f>
        <v/>
      </c>
      <c r="F1377" s="17">
        <f>+VLOOKUP($A1377,MAGAZZINO!$B$2:$M$4838,6,FALSE)</f>
        <v/>
      </c>
      <c r="G1377" s="17">
        <f>+VLOOKUP($A1377,MAGAZZINO!$B$2:$M$4838,7,FALSE)</f>
        <v/>
      </c>
      <c r="H1377" s="17">
        <f>+VLOOKUP($A1377,MAGAZZINO!$B$2:$M$4838,8,FALSE)</f>
        <v/>
      </c>
      <c r="I1377" s="17">
        <f>+VLOOKUP($A1377,MAGAZZINO!$B$2:$M$4838,9,FALSE)</f>
        <v/>
      </c>
      <c r="J1377" s="17">
        <f>+VLOOKUP($A1377,MAGAZZINO!$B$2:$M$4838,10,FALSE)</f>
        <v/>
      </c>
      <c r="K1377" s="17">
        <f>+VLOOKUP($A1377,MAGAZZINO!$B$2:$M$4838,11,FALSE)</f>
        <v/>
      </c>
      <c r="L1377" s="44">
        <f>+VLOOKUP($A1377,MAGAZZINO!$B$2:$M$4838,12,FALSE)</f>
        <v/>
      </c>
    </row>
    <row r="1378" ht="36" customHeight="1">
      <c r="A1378" s="30">
        <f>+REGISTRO!A1361</f>
        <v/>
      </c>
      <c r="B1378" s="31">
        <f>+VLOOKUP($A1378,MAGAZZINO!$B$2:$M$4838,2,FALSE)</f>
        <v/>
      </c>
      <c r="C1378" s="32">
        <f>+VLOOKUP($A1378,MAGAZZINO!$B$2:$M$4838,3,FALSE)</f>
        <v/>
      </c>
      <c r="D1378" s="17">
        <f>+VLOOKUP($A1378,MAGAZZINO!$B$2:$M$4838,4,FALSE)</f>
        <v/>
      </c>
      <c r="E1378" s="17">
        <f>+VLOOKUP($A1378,MAGAZZINO!$B$2:$M$4838,5,FALSE)</f>
        <v/>
      </c>
      <c r="F1378" s="17">
        <f>+VLOOKUP($A1378,MAGAZZINO!$B$2:$M$4838,6,FALSE)</f>
        <v/>
      </c>
      <c r="G1378" s="17">
        <f>+VLOOKUP($A1378,MAGAZZINO!$B$2:$M$4838,7,FALSE)</f>
        <v/>
      </c>
      <c r="H1378" s="17">
        <f>+VLOOKUP($A1378,MAGAZZINO!$B$2:$M$4838,8,FALSE)</f>
        <v/>
      </c>
      <c r="I1378" s="17">
        <f>+VLOOKUP($A1378,MAGAZZINO!$B$2:$M$4838,9,FALSE)</f>
        <v/>
      </c>
      <c r="J1378" s="17">
        <f>+VLOOKUP($A1378,MAGAZZINO!$B$2:$M$4838,10,FALSE)</f>
        <v/>
      </c>
      <c r="K1378" s="17">
        <f>+VLOOKUP($A1378,MAGAZZINO!$B$2:$M$4838,11,FALSE)</f>
        <v/>
      </c>
      <c r="L1378" s="44">
        <f>+VLOOKUP($A1378,MAGAZZINO!$B$2:$M$4838,12,FALSE)</f>
        <v/>
      </c>
    </row>
    <row r="1379" ht="36" customHeight="1">
      <c r="A1379" s="30">
        <f>+REGISTRO!A1362</f>
        <v/>
      </c>
      <c r="B1379" s="31">
        <f>+VLOOKUP($A1379,MAGAZZINO!$B$2:$M$4838,2,FALSE)</f>
        <v/>
      </c>
      <c r="C1379" s="32">
        <f>+VLOOKUP($A1379,MAGAZZINO!$B$2:$M$4838,3,FALSE)</f>
        <v/>
      </c>
      <c r="D1379" s="17">
        <f>+VLOOKUP($A1379,MAGAZZINO!$B$2:$M$4838,4,FALSE)</f>
        <v/>
      </c>
      <c r="E1379" s="17">
        <f>+VLOOKUP($A1379,MAGAZZINO!$B$2:$M$4838,5,FALSE)</f>
        <v/>
      </c>
      <c r="F1379" s="17">
        <f>+VLOOKUP($A1379,MAGAZZINO!$B$2:$M$4838,6,FALSE)</f>
        <v/>
      </c>
      <c r="G1379" s="17">
        <f>+VLOOKUP($A1379,MAGAZZINO!$B$2:$M$4838,7,FALSE)</f>
        <v/>
      </c>
      <c r="H1379" s="17">
        <f>+VLOOKUP($A1379,MAGAZZINO!$B$2:$M$4838,8,FALSE)</f>
        <v/>
      </c>
      <c r="I1379" s="17">
        <f>+VLOOKUP($A1379,MAGAZZINO!$B$2:$M$4838,9,FALSE)</f>
        <v/>
      </c>
      <c r="J1379" s="17">
        <f>+VLOOKUP($A1379,MAGAZZINO!$B$2:$M$4838,10,FALSE)</f>
        <v/>
      </c>
      <c r="K1379" s="17">
        <f>+VLOOKUP($A1379,MAGAZZINO!$B$2:$M$4838,11,FALSE)</f>
        <v/>
      </c>
      <c r="L1379" s="44">
        <f>+VLOOKUP($A1379,MAGAZZINO!$B$2:$M$4838,12,FALSE)</f>
        <v/>
      </c>
    </row>
    <row r="1380" ht="36" customHeight="1">
      <c r="A1380" s="30">
        <f>+REGISTRO!A1363</f>
        <v/>
      </c>
      <c r="B1380" s="31">
        <f>+VLOOKUP($A1380,MAGAZZINO!$B$2:$M$4838,2,FALSE)</f>
        <v/>
      </c>
      <c r="C1380" s="32">
        <f>+VLOOKUP($A1380,MAGAZZINO!$B$2:$M$4838,3,FALSE)</f>
        <v/>
      </c>
      <c r="D1380" s="17">
        <f>+VLOOKUP($A1380,MAGAZZINO!$B$2:$M$4838,4,FALSE)</f>
        <v/>
      </c>
      <c r="E1380" s="17">
        <f>+VLOOKUP($A1380,MAGAZZINO!$B$2:$M$4838,5,FALSE)</f>
        <v/>
      </c>
      <c r="F1380" s="17">
        <f>+VLOOKUP($A1380,MAGAZZINO!$B$2:$M$4838,6,FALSE)</f>
        <v/>
      </c>
      <c r="G1380" s="17">
        <f>+VLOOKUP($A1380,MAGAZZINO!$B$2:$M$4838,7,FALSE)</f>
        <v/>
      </c>
      <c r="H1380" s="17">
        <f>+VLOOKUP($A1380,MAGAZZINO!$B$2:$M$4838,8,FALSE)</f>
        <v/>
      </c>
      <c r="I1380" s="17">
        <f>+VLOOKUP($A1380,MAGAZZINO!$B$2:$M$4838,9,FALSE)</f>
        <v/>
      </c>
      <c r="J1380" s="17">
        <f>+VLOOKUP($A1380,MAGAZZINO!$B$2:$M$4838,10,FALSE)</f>
        <v/>
      </c>
      <c r="K1380" s="17">
        <f>+VLOOKUP($A1380,MAGAZZINO!$B$2:$M$4838,11,FALSE)</f>
        <v/>
      </c>
      <c r="L1380" s="44">
        <f>+VLOOKUP($A1380,MAGAZZINO!$B$2:$M$4838,12,FALSE)</f>
        <v/>
      </c>
    </row>
    <row r="1381" ht="36" customHeight="1">
      <c r="A1381" s="30">
        <f>+REGISTRO!A1364</f>
        <v/>
      </c>
      <c r="B1381" s="31">
        <f>+VLOOKUP($A1381,MAGAZZINO!$B$2:$M$4838,2,FALSE)</f>
        <v/>
      </c>
      <c r="C1381" s="32">
        <f>+VLOOKUP($A1381,MAGAZZINO!$B$2:$M$4838,3,FALSE)</f>
        <v/>
      </c>
      <c r="D1381" s="17">
        <f>+VLOOKUP($A1381,MAGAZZINO!$B$2:$M$4838,4,FALSE)</f>
        <v/>
      </c>
      <c r="E1381" s="17">
        <f>+VLOOKUP($A1381,MAGAZZINO!$B$2:$M$4838,5,FALSE)</f>
        <v/>
      </c>
      <c r="F1381" s="17">
        <f>+VLOOKUP($A1381,MAGAZZINO!$B$2:$M$4838,6,FALSE)</f>
        <v/>
      </c>
      <c r="G1381" s="17">
        <f>+VLOOKUP($A1381,MAGAZZINO!$B$2:$M$4838,7,FALSE)</f>
        <v/>
      </c>
      <c r="H1381" s="17">
        <f>+VLOOKUP($A1381,MAGAZZINO!$B$2:$M$4838,8,FALSE)</f>
        <v/>
      </c>
      <c r="I1381" s="17">
        <f>+VLOOKUP($A1381,MAGAZZINO!$B$2:$M$4838,9,FALSE)</f>
        <v/>
      </c>
      <c r="J1381" s="17">
        <f>+VLOOKUP($A1381,MAGAZZINO!$B$2:$M$4838,10,FALSE)</f>
        <v/>
      </c>
      <c r="K1381" s="17">
        <f>+VLOOKUP($A1381,MAGAZZINO!$B$2:$M$4838,11,FALSE)</f>
        <v/>
      </c>
      <c r="L1381" s="44">
        <f>+VLOOKUP($A1381,MAGAZZINO!$B$2:$M$4838,12,FALSE)</f>
        <v/>
      </c>
    </row>
    <row r="1382" ht="36" customHeight="1">
      <c r="A1382" s="30">
        <f>+REGISTRO!A1365</f>
        <v/>
      </c>
      <c r="B1382" s="31">
        <f>+VLOOKUP($A1382,MAGAZZINO!$B$2:$M$4838,2,FALSE)</f>
        <v/>
      </c>
      <c r="C1382" s="32">
        <f>+VLOOKUP($A1382,MAGAZZINO!$B$2:$M$4838,3,FALSE)</f>
        <v/>
      </c>
      <c r="D1382" s="17">
        <f>+VLOOKUP($A1382,MAGAZZINO!$B$2:$M$4838,4,FALSE)</f>
        <v/>
      </c>
      <c r="E1382" s="17">
        <f>+VLOOKUP($A1382,MAGAZZINO!$B$2:$M$4838,5,FALSE)</f>
        <v/>
      </c>
      <c r="F1382" s="17">
        <f>+VLOOKUP($A1382,MAGAZZINO!$B$2:$M$4838,6,FALSE)</f>
        <v/>
      </c>
      <c r="G1382" s="17">
        <f>+VLOOKUP($A1382,MAGAZZINO!$B$2:$M$4838,7,FALSE)</f>
        <v/>
      </c>
      <c r="H1382" s="17">
        <f>+VLOOKUP($A1382,MAGAZZINO!$B$2:$M$4838,8,FALSE)</f>
        <v/>
      </c>
      <c r="I1382" s="17">
        <f>+VLOOKUP($A1382,MAGAZZINO!$B$2:$M$4838,9,FALSE)</f>
        <v/>
      </c>
      <c r="J1382" s="17">
        <f>+VLOOKUP($A1382,MAGAZZINO!$B$2:$M$4838,10,FALSE)</f>
        <v/>
      </c>
      <c r="K1382" s="17">
        <f>+VLOOKUP($A1382,MAGAZZINO!$B$2:$M$4838,11,FALSE)</f>
        <v/>
      </c>
      <c r="L1382" s="44">
        <f>+VLOOKUP($A1382,MAGAZZINO!$B$2:$M$4838,12,FALSE)</f>
        <v/>
      </c>
    </row>
    <row r="1383" ht="36" customHeight="1">
      <c r="A1383" s="30">
        <f>+REGISTRO!A1366</f>
        <v/>
      </c>
      <c r="B1383" s="31">
        <f>+VLOOKUP($A1383,MAGAZZINO!$B$2:$M$4838,2,FALSE)</f>
        <v/>
      </c>
      <c r="C1383" s="32">
        <f>+VLOOKUP($A1383,MAGAZZINO!$B$2:$M$4838,3,FALSE)</f>
        <v/>
      </c>
      <c r="D1383" s="17">
        <f>+VLOOKUP($A1383,MAGAZZINO!$B$2:$M$4838,4,FALSE)</f>
        <v/>
      </c>
      <c r="E1383" s="17">
        <f>+VLOOKUP($A1383,MAGAZZINO!$B$2:$M$4838,5,FALSE)</f>
        <v/>
      </c>
      <c r="F1383" s="17">
        <f>+VLOOKUP($A1383,MAGAZZINO!$B$2:$M$4838,6,FALSE)</f>
        <v/>
      </c>
      <c r="G1383" s="17">
        <f>+VLOOKUP($A1383,MAGAZZINO!$B$2:$M$4838,7,FALSE)</f>
        <v/>
      </c>
      <c r="H1383" s="17">
        <f>+VLOOKUP($A1383,MAGAZZINO!$B$2:$M$4838,8,FALSE)</f>
        <v/>
      </c>
      <c r="I1383" s="17">
        <f>+VLOOKUP($A1383,MAGAZZINO!$B$2:$M$4838,9,FALSE)</f>
        <v/>
      </c>
      <c r="J1383" s="17">
        <f>+VLOOKUP($A1383,MAGAZZINO!$B$2:$M$4838,10,FALSE)</f>
        <v/>
      </c>
      <c r="K1383" s="17">
        <f>+VLOOKUP($A1383,MAGAZZINO!$B$2:$M$4838,11,FALSE)</f>
        <v/>
      </c>
      <c r="L1383" s="44">
        <f>+VLOOKUP($A1383,MAGAZZINO!$B$2:$M$4838,12,FALSE)</f>
        <v/>
      </c>
    </row>
    <row r="1384" ht="36" customHeight="1">
      <c r="A1384" s="30">
        <f>+REGISTRO!A1367</f>
        <v/>
      </c>
      <c r="B1384" s="31">
        <f>+VLOOKUP($A1384,MAGAZZINO!$B$2:$M$4838,2,FALSE)</f>
        <v/>
      </c>
      <c r="C1384" s="32">
        <f>+VLOOKUP($A1384,MAGAZZINO!$B$2:$M$4838,3,FALSE)</f>
        <v/>
      </c>
      <c r="D1384" s="17">
        <f>+VLOOKUP($A1384,MAGAZZINO!$B$2:$M$4838,4,FALSE)</f>
        <v/>
      </c>
      <c r="E1384" s="17">
        <f>+VLOOKUP($A1384,MAGAZZINO!$B$2:$M$4838,5,FALSE)</f>
        <v/>
      </c>
      <c r="F1384" s="17">
        <f>+VLOOKUP($A1384,MAGAZZINO!$B$2:$M$4838,6,FALSE)</f>
        <v/>
      </c>
      <c r="G1384" s="17">
        <f>+VLOOKUP($A1384,MAGAZZINO!$B$2:$M$4838,7,FALSE)</f>
        <v/>
      </c>
      <c r="H1384" s="17">
        <f>+VLOOKUP($A1384,MAGAZZINO!$B$2:$M$4838,8,FALSE)</f>
        <v/>
      </c>
      <c r="I1384" s="17">
        <f>+VLOOKUP($A1384,MAGAZZINO!$B$2:$M$4838,9,FALSE)</f>
        <v/>
      </c>
      <c r="J1384" s="17">
        <f>+VLOOKUP($A1384,MAGAZZINO!$B$2:$M$4838,10,FALSE)</f>
        <v/>
      </c>
      <c r="K1384" s="17">
        <f>+VLOOKUP($A1384,MAGAZZINO!$B$2:$M$4838,11,FALSE)</f>
        <v/>
      </c>
      <c r="L1384" s="44">
        <f>+VLOOKUP($A1384,MAGAZZINO!$B$2:$M$4838,12,FALSE)</f>
        <v/>
      </c>
    </row>
    <row r="1385" ht="36" customHeight="1">
      <c r="A1385" s="30">
        <f>+REGISTRO!A1368</f>
        <v/>
      </c>
      <c r="B1385" s="31">
        <f>+VLOOKUP($A1385,MAGAZZINO!$B$2:$M$4838,2,FALSE)</f>
        <v/>
      </c>
      <c r="C1385" s="32">
        <f>+VLOOKUP($A1385,MAGAZZINO!$B$2:$M$4838,3,FALSE)</f>
        <v/>
      </c>
      <c r="D1385" s="17">
        <f>+VLOOKUP($A1385,MAGAZZINO!$B$2:$M$4838,4,FALSE)</f>
        <v/>
      </c>
      <c r="E1385" s="17">
        <f>+VLOOKUP($A1385,MAGAZZINO!$B$2:$M$4838,5,FALSE)</f>
        <v/>
      </c>
      <c r="F1385" s="17">
        <f>+VLOOKUP($A1385,MAGAZZINO!$B$2:$M$4838,6,FALSE)</f>
        <v/>
      </c>
      <c r="G1385" s="17">
        <f>+VLOOKUP($A1385,MAGAZZINO!$B$2:$M$4838,7,FALSE)</f>
        <v/>
      </c>
      <c r="H1385" s="17">
        <f>+VLOOKUP($A1385,MAGAZZINO!$B$2:$M$4838,8,FALSE)</f>
        <v/>
      </c>
      <c r="I1385" s="17">
        <f>+VLOOKUP($A1385,MAGAZZINO!$B$2:$M$4838,9,FALSE)</f>
        <v/>
      </c>
      <c r="J1385" s="17">
        <f>+VLOOKUP($A1385,MAGAZZINO!$B$2:$M$4838,10,FALSE)</f>
        <v/>
      </c>
      <c r="K1385" s="17">
        <f>+VLOOKUP($A1385,MAGAZZINO!$B$2:$M$4838,11,FALSE)</f>
        <v/>
      </c>
      <c r="L1385" s="44">
        <f>+VLOOKUP($A1385,MAGAZZINO!$B$2:$M$4838,12,FALSE)</f>
        <v/>
      </c>
    </row>
    <row r="1386" ht="36" customHeight="1">
      <c r="A1386" s="30">
        <f>+REGISTRO!A1369</f>
        <v/>
      </c>
      <c r="B1386" s="31">
        <f>+VLOOKUP($A1386,MAGAZZINO!$B$2:$M$4838,2,FALSE)</f>
        <v/>
      </c>
      <c r="C1386" s="32">
        <f>+VLOOKUP($A1386,MAGAZZINO!$B$2:$M$4838,3,FALSE)</f>
        <v/>
      </c>
      <c r="D1386" s="17">
        <f>+VLOOKUP($A1386,MAGAZZINO!$B$2:$M$4838,4,FALSE)</f>
        <v/>
      </c>
      <c r="E1386" s="17">
        <f>+VLOOKUP($A1386,MAGAZZINO!$B$2:$M$4838,5,FALSE)</f>
        <v/>
      </c>
      <c r="F1386" s="17">
        <f>+VLOOKUP($A1386,MAGAZZINO!$B$2:$M$4838,6,FALSE)</f>
        <v/>
      </c>
      <c r="G1386" s="17">
        <f>+VLOOKUP($A1386,MAGAZZINO!$B$2:$M$4838,7,FALSE)</f>
        <v/>
      </c>
      <c r="H1386" s="17">
        <f>+VLOOKUP($A1386,MAGAZZINO!$B$2:$M$4838,8,FALSE)</f>
        <v/>
      </c>
      <c r="I1386" s="17">
        <f>+VLOOKUP($A1386,MAGAZZINO!$B$2:$M$4838,9,FALSE)</f>
        <v/>
      </c>
      <c r="J1386" s="17">
        <f>+VLOOKUP($A1386,MAGAZZINO!$B$2:$M$4838,10,FALSE)</f>
        <v/>
      </c>
      <c r="K1386" s="17">
        <f>+VLOOKUP($A1386,MAGAZZINO!$B$2:$M$4838,11,FALSE)</f>
        <v/>
      </c>
      <c r="L1386" s="44">
        <f>+VLOOKUP($A1386,MAGAZZINO!$B$2:$M$4838,12,FALSE)</f>
        <v/>
      </c>
    </row>
    <row r="1387" ht="36" customHeight="1">
      <c r="A1387" s="30">
        <f>+REGISTRO!A1370</f>
        <v/>
      </c>
      <c r="B1387" s="31">
        <f>+VLOOKUP($A1387,MAGAZZINO!$B$2:$M$4838,2,FALSE)</f>
        <v/>
      </c>
      <c r="C1387" s="32">
        <f>+VLOOKUP($A1387,MAGAZZINO!$B$2:$M$4838,3,FALSE)</f>
        <v/>
      </c>
      <c r="D1387" s="17">
        <f>+VLOOKUP($A1387,MAGAZZINO!$B$2:$M$4838,4,FALSE)</f>
        <v/>
      </c>
      <c r="E1387" s="17">
        <f>+VLOOKUP($A1387,MAGAZZINO!$B$2:$M$4838,5,FALSE)</f>
        <v/>
      </c>
      <c r="F1387" s="17">
        <f>+VLOOKUP($A1387,MAGAZZINO!$B$2:$M$4838,6,FALSE)</f>
        <v/>
      </c>
      <c r="G1387" s="17">
        <f>+VLOOKUP($A1387,MAGAZZINO!$B$2:$M$4838,7,FALSE)</f>
        <v/>
      </c>
      <c r="H1387" s="17">
        <f>+VLOOKUP($A1387,MAGAZZINO!$B$2:$M$4838,8,FALSE)</f>
        <v/>
      </c>
      <c r="I1387" s="17">
        <f>+VLOOKUP($A1387,MAGAZZINO!$B$2:$M$4838,9,FALSE)</f>
        <v/>
      </c>
      <c r="J1387" s="17">
        <f>+VLOOKUP($A1387,MAGAZZINO!$B$2:$M$4838,10,FALSE)</f>
        <v/>
      </c>
      <c r="K1387" s="17">
        <f>+VLOOKUP($A1387,MAGAZZINO!$B$2:$M$4838,11,FALSE)</f>
        <v/>
      </c>
      <c r="L1387" s="44">
        <f>+VLOOKUP($A1387,MAGAZZINO!$B$2:$M$4838,12,FALSE)</f>
        <v/>
      </c>
    </row>
    <row r="1388" ht="36" customHeight="1">
      <c r="A1388" s="30">
        <f>+REGISTRO!A1371</f>
        <v/>
      </c>
      <c r="B1388" s="31">
        <f>+VLOOKUP($A1388,MAGAZZINO!$B$2:$M$4838,2,FALSE)</f>
        <v/>
      </c>
      <c r="C1388" s="32">
        <f>+VLOOKUP($A1388,MAGAZZINO!$B$2:$M$4838,3,FALSE)</f>
        <v/>
      </c>
      <c r="D1388" s="17">
        <f>+VLOOKUP($A1388,MAGAZZINO!$B$2:$M$4838,4,FALSE)</f>
        <v/>
      </c>
      <c r="E1388" s="17">
        <f>+VLOOKUP($A1388,MAGAZZINO!$B$2:$M$4838,5,FALSE)</f>
        <v/>
      </c>
      <c r="F1388" s="17">
        <f>+VLOOKUP($A1388,MAGAZZINO!$B$2:$M$4838,6,FALSE)</f>
        <v/>
      </c>
      <c r="G1388" s="17">
        <f>+VLOOKUP($A1388,MAGAZZINO!$B$2:$M$4838,7,FALSE)</f>
        <v/>
      </c>
      <c r="H1388" s="17">
        <f>+VLOOKUP($A1388,MAGAZZINO!$B$2:$M$4838,8,FALSE)</f>
        <v/>
      </c>
      <c r="I1388" s="17">
        <f>+VLOOKUP($A1388,MAGAZZINO!$B$2:$M$4838,9,FALSE)</f>
        <v/>
      </c>
      <c r="J1388" s="17">
        <f>+VLOOKUP($A1388,MAGAZZINO!$B$2:$M$4838,10,FALSE)</f>
        <v/>
      </c>
      <c r="K1388" s="17">
        <f>+VLOOKUP($A1388,MAGAZZINO!$B$2:$M$4838,11,FALSE)</f>
        <v/>
      </c>
      <c r="L1388" s="44">
        <f>+VLOOKUP($A1388,MAGAZZINO!$B$2:$M$4838,12,FALSE)</f>
        <v/>
      </c>
    </row>
    <row r="1389" ht="36" customHeight="1">
      <c r="A1389" s="30">
        <f>+REGISTRO!A1372</f>
        <v/>
      </c>
      <c r="B1389" s="31">
        <f>+VLOOKUP($A1389,MAGAZZINO!$B$2:$M$4838,2,FALSE)</f>
        <v/>
      </c>
      <c r="C1389" s="32">
        <f>+VLOOKUP($A1389,MAGAZZINO!$B$2:$M$4838,3,FALSE)</f>
        <v/>
      </c>
      <c r="D1389" s="17">
        <f>+VLOOKUP($A1389,MAGAZZINO!$B$2:$M$4838,4,FALSE)</f>
        <v/>
      </c>
      <c r="E1389" s="17">
        <f>+VLOOKUP($A1389,MAGAZZINO!$B$2:$M$4838,5,FALSE)</f>
        <v/>
      </c>
      <c r="F1389" s="17">
        <f>+VLOOKUP($A1389,MAGAZZINO!$B$2:$M$4838,6,FALSE)</f>
        <v/>
      </c>
      <c r="G1389" s="17">
        <f>+VLOOKUP($A1389,MAGAZZINO!$B$2:$M$4838,7,FALSE)</f>
        <v/>
      </c>
      <c r="H1389" s="17">
        <f>+VLOOKUP($A1389,MAGAZZINO!$B$2:$M$4838,8,FALSE)</f>
        <v/>
      </c>
      <c r="I1389" s="17">
        <f>+VLOOKUP($A1389,MAGAZZINO!$B$2:$M$4838,9,FALSE)</f>
        <v/>
      </c>
      <c r="J1389" s="17">
        <f>+VLOOKUP($A1389,MAGAZZINO!$B$2:$M$4838,10,FALSE)</f>
        <v/>
      </c>
      <c r="K1389" s="17">
        <f>+VLOOKUP($A1389,MAGAZZINO!$B$2:$M$4838,11,FALSE)</f>
        <v/>
      </c>
      <c r="L1389" s="44">
        <f>+VLOOKUP($A1389,MAGAZZINO!$B$2:$M$4838,12,FALSE)</f>
        <v/>
      </c>
    </row>
    <row r="1390" ht="36" customHeight="1">
      <c r="A1390" s="30">
        <f>+REGISTRO!A1373</f>
        <v/>
      </c>
      <c r="B1390" s="31">
        <f>+VLOOKUP($A1390,MAGAZZINO!$B$2:$M$4838,2,FALSE)</f>
        <v/>
      </c>
      <c r="C1390" s="32">
        <f>+VLOOKUP($A1390,MAGAZZINO!$B$2:$M$4838,3,FALSE)</f>
        <v/>
      </c>
      <c r="D1390" s="17">
        <f>+VLOOKUP($A1390,MAGAZZINO!$B$2:$M$4838,4,FALSE)</f>
        <v/>
      </c>
      <c r="E1390" s="17">
        <f>+VLOOKUP($A1390,MAGAZZINO!$B$2:$M$4838,5,FALSE)</f>
        <v/>
      </c>
      <c r="F1390" s="17">
        <f>+VLOOKUP($A1390,MAGAZZINO!$B$2:$M$4838,6,FALSE)</f>
        <v/>
      </c>
      <c r="G1390" s="17">
        <f>+VLOOKUP($A1390,MAGAZZINO!$B$2:$M$4838,7,FALSE)</f>
        <v/>
      </c>
      <c r="H1390" s="17">
        <f>+VLOOKUP($A1390,MAGAZZINO!$B$2:$M$4838,8,FALSE)</f>
        <v/>
      </c>
      <c r="I1390" s="17">
        <f>+VLOOKUP($A1390,MAGAZZINO!$B$2:$M$4838,9,FALSE)</f>
        <v/>
      </c>
      <c r="J1390" s="17">
        <f>+VLOOKUP($A1390,MAGAZZINO!$B$2:$M$4838,10,FALSE)</f>
        <v/>
      </c>
      <c r="K1390" s="17">
        <f>+VLOOKUP($A1390,MAGAZZINO!$B$2:$M$4838,11,FALSE)</f>
        <v/>
      </c>
      <c r="L1390" s="44">
        <f>+VLOOKUP($A1390,MAGAZZINO!$B$2:$M$4838,12,FALSE)</f>
        <v/>
      </c>
    </row>
    <row r="1391" ht="36" customHeight="1">
      <c r="A1391" s="30">
        <f>+REGISTRO!A1374</f>
        <v/>
      </c>
      <c r="B1391" s="31">
        <f>+VLOOKUP($A1391,MAGAZZINO!$B$2:$M$4838,2,FALSE)</f>
        <v/>
      </c>
      <c r="C1391" s="32">
        <f>+VLOOKUP($A1391,MAGAZZINO!$B$2:$M$4838,3,FALSE)</f>
        <v/>
      </c>
      <c r="D1391" s="17">
        <f>+VLOOKUP($A1391,MAGAZZINO!$B$2:$M$4838,4,FALSE)</f>
        <v/>
      </c>
      <c r="E1391" s="17">
        <f>+VLOOKUP($A1391,MAGAZZINO!$B$2:$M$4838,5,FALSE)</f>
        <v/>
      </c>
      <c r="F1391" s="17">
        <f>+VLOOKUP($A1391,MAGAZZINO!$B$2:$M$4838,6,FALSE)</f>
        <v/>
      </c>
      <c r="G1391" s="17">
        <f>+VLOOKUP($A1391,MAGAZZINO!$B$2:$M$4838,7,FALSE)</f>
        <v/>
      </c>
      <c r="H1391" s="17">
        <f>+VLOOKUP($A1391,MAGAZZINO!$B$2:$M$4838,8,FALSE)</f>
        <v/>
      </c>
      <c r="I1391" s="17">
        <f>+VLOOKUP($A1391,MAGAZZINO!$B$2:$M$4838,9,FALSE)</f>
        <v/>
      </c>
      <c r="J1391" s="17">
        <f>+VLOOKUP($A1391,MAGAZZINO!$B$2:$M$4838,10,FALSE)</f>
        <v/>
      </c>
      <c r="K1391" s="17">
        <f>+VLOOKUP($A1391,MAGAZZINO!$B$2:$M$4838,11,FALSE)</f>
        <v/>
      </c>
      <c r="L1391" s="44">
        <f>+VLOOKUP($A1391,MAGAZZINO!$B$2:$M$4838,12,FALSE)</f>
        <v/>
      </c>
    </row>
    <row r="1392" ht="36" customHeight="1">
      <c r="A1392" s="30">
        <f>+REGISTRO!A1375</f>
        <v/>
      </c>
      <c r="B1392" s="31">
        <f>+VLOOKUP($A1392,MAGAZZINO!$B$2:$M$4838,2,FALSE)</f>
        <v/>
      </c>
      <c r="C1392" s="32">
        <f>+VLOOKUP($A1392,MAGAZZINO!$B$2:$M$4838,3,FALSE)</f>
        <v/>
      </c>
      <c r="D1392" s="17">
        <f>+VLOOKUP($A1392,MAGAZZINO!$B$2:$M$4838,4,FALSE)</f>
        <v/>
      </c>
      <c r="E1392" s="17">
        <f>+VLOOKUP($A1392,MAGAZZINO!$B$2:$M$4838,5,FALSE)</f>
        <v/>
      </c>
      <c r="F1392" s="17">
        <f>+VLOOKUP($A1392,MAGAZZINO!$B$2:$M$4838,6,FALSE)</f>
        <v/>
      </c>
      <c r="G1392" s="17">
        <f>+VLOOKUP($A1392,MAGAZZINO!$B$2:$M$4838,7,FALSE)</f>
        <v/>
      </c>
      <c r="H1392" s="17">
        <f>+VLOOKUP($A1392,MAGAZZINO!$B$2:$M$4838,8,FALSE)</f>
        <v/>
      </c>
      <c r="I1392" s="17">
        <f>+VLOOKUP($A1392,MAGAZZINO!$B$2:$M$4838,9,FALSE)</f>
        <v/>
      </c>
      <c r="J1392" s="17">
        <f>+VLOOKUP($A1392,MAGAZZINO!$B$2:$M$4838,10,FALSE)</f>
        <v/>
      </c>
      <c r="K1392" s="17">
        <f>+VLOOKUP($A1392,MAGAZZINO!$B$2:$M$4838,11,FALSE)</f>
        <v/>
      </c>
      <c r="L1392" s="44">
        <f>+VLOOKUP($A1392,MAGAZZINO!$B$2:$M$4838,12,FALSE)</f>
        <v/>
      </c>
    </row>
    <row r="1393" ht="36" customHeight="1">
      <c r="A1393" s="30">
        <f>+REGISTRO!A1376</f>
        <v/>
      </c>
      <c r="B1393" s="31">
        <f>+VLOOKUP($A1393,MAGAZZINO!$B$2:$M$4838,2,FALSE)</f>
        <v/>
      </c>
      <c r="C1393" s="32">
        <f>+VLOOKUP($A1393,MAGAZZINO!$B$2:$M$4838,3,FALSE)</f>
        <v/>
      </c>
      <c r="D1393" s="17">
        <f>+VLOOKUP($A1393,MAGAZZINO!$B$2:$M$4838,4,FALSE)</f>
        <v/>
      </c>
      <c r="E1393" s="17">
        <f>+VLOOKUP($A1393,MAGAZZINO!$B$2:$M$4838,5,FALSE)</f>
        <v/>
      </c>
      <c r="F1393" s="17">
        <f>+VLOOKUP($A1393,MAGAZZINO!$B$2:$M$4838,6,FALSE)</f>
        <v/>
      </c>
      <c r="G1393" s="17">
        <f>+VLOOKUP($A1393,MAGAZZINO!$B$2:$M$4838,7,FALSE)</f>
        <v/>
      </c>
      <c r="H1393" s="17">
        <f>+VLOOKUP($A1393,MAGAZZINO!$B$2:$M$4838,8,FALSE)</f>
        <v/>
      </c>
      <c r="I1393" s="17">
        <f>+VLOOKUP($A1393,MAGAZZINO!$B$2:$M$4838,9,FALSE)</f>
        <v/>
      </c>
      <c r="J1393" s="17">
        <f>+VLOOKUP($A1393,MAGAZZINO!$B$2:$M$4838,10,FALSE)</f>
        <v/>
      </c>
      <c r="K1393" s="17">
        <f>+VLOOKUP($A1393,MAGAZZINO!$B$2:$M$4838,11,FALSE)</f>
        <v/>
      </c>
      <c r="L1393" s="44">
        <f>+VLOOKUP($A1393,MAGAZZINO!$B$2:$M$4838,12,FALSE)</f>
        <v/>
      </c>
    </row>
    <row r="1394" ht="36" customHeight="1">
      <c r="A1394" s="30">
        <f>+REGISTRO!A1377</f>
        <v/>
      </c>
      <c r="B1394" s="31">
        <f>+VLOOKUP($A1394,MAGAZZINO!$B$2:$M$4838,2,FALSE)</f>
        <v/>
      </c>
      <c r="C1394" s="32">
        <f>+VLOOKUP($A1394,MAGAZZINO!$B$2:$M$4838,3,FALSE)</f>
        <v/>
      </c>
      <c r="D1394" s="17">
        <f>+VLOOKUP($A1394,MAGAZZINO!$B$2:$M$4838,4,FALSE)</f>
        <v/>
      </c>
      <c r="E1394" s="17">
        <f>+VLOOKUP($A1394,MAGAZZINO!$B$2:$M$4838,5,FALSE)</f>
        <v/>
      </c>
      <c r="F1394" s="17">
        <f>+VLOOKUP($A1394,MAGAZZINO!$B$2:$M$4838,6,FALSE)</f>
        <v/>
      </c>
      <c r="G1394" s="17">
        <f>+VLOOKUP($A1394,MAGAZZINO!$B$2:$M$4838,7,FALSE)</f>
        <v/>
      </c>
      <c r="H1394" s="17">
        <f>+VLOOKUP($A1394,MAGAZZINO!$B$2:$M$4838,8,FALSE)</f>
        <v/>
      </c>
      <c r="I1394" s="17">
        <f>+VLOOKUP($A1394,MAGAZZINO!$B$2:$M$4838,9,FALSE)</f>
        <v/>
      </c>
      <c r="J1394" s="17">
        <f>+VLOOKUP($A1394,MAGAZZINO!$B$2:$M$4838,10,FALSE)</f>
        <v/>
      </c>
      <c r="K1394" s="17">
        <f>+VLOOKUP($A1394,MAGAZZINO!$B$2:$M$4838,11,FALSE)</f>
        <v/>
      </c>
      <c r="L1394" s="44">
        <f>+VLOOKUP($A1394,MAGAZZINO!$B$2:$M$4838,12,FALSE)</f>
        <v/>
      </c>
    </row>
    <row r="1395" ht="36" customHeight="1">
      <c r="A1395" s="30">
        <f>+REGISTRO!A1378</f>
        <v/>
      </c>
      <c r="B1395" s="31">
        <f>+VLOOKUP($A1395,MAGAZZINO!$B$2:$M$4838,2,FALSE)</f>
        <v/>
      </c>
      <c r="C1395" s="32">
        <f>+VLOOKUP($A1395,MAGAZZINO!$B$2:$M$4838,3,FALSE)</f>
        <v/>
      </c>
      <c r="D1395" s="17">
        <f>+VLOOKUP($A1395,MAGAZZINO!$B$2:$M$4838,4,FALSE)</f>
        <v/>
      </c>
      <c r="E1395" s="17">
        <f>+VLOOKUP($A1395,MAGAZZINO!$B$2:$M$4838,5,FALSE)</f>
        <v/>
      </c>
      <c r="F1395" s="17">
        <f>+VLOOKUP($A1395,MAGAZZINO!$B$2:$M$4838,6,FALSE)</f>
        <v/>
      </c>
      <c r="G1395" s="17">
        <f>+VLOOKUP($A1395,MAGAZZINO!$B$2:$M$4838,7,FALSE)</f>
        <v/>
      </c>
      <c r="H1395" s="17">
        <f>+VLOOKUP($A1395,MAGAZZINO!$B$2:$M$4838,8,FALSE)</f>
        <v/>
      </c>
      <c r="I1395" s="17">
        <f>+VLOOKUP($A1395,MAGAZZINO!$B$2:$M$4838,9,FALSE)</f>
        <v/>
      </c>
      <c r="J1395" s="17">
        <f>+VLOOKUP($A1395,MAGAZZINO!$B$2:$M$4838,10,FALSE)</f>
        <v/>
      </c>
      <c r="K1395" s="17">
        <f>+VLOOKUP($A1395,MAGAZZINO!$B$2:$M$4838,11,FALSE)</f>
        <v/>
      </c>
      <c r="L1395" s="44">
        <f>+VLOOKUP($A1395,MAGAZZINO!$B$2:$M$4838,12,FALSE)</f>
        <v/>
      </c>
    </row>
    <row r="1396" ht="36" customHeight="1">
      <c r="A1396" s="30">
        <f>+REGISTRO!A1379</f>
        <v/>
      </c>
      <c r="B1396" s="31">
        <f>+VLOOKUP($A1396,MAGAZZINO!$B$2:$M$4838,2,FALSE)</f>
        <v/>
      </c>
      <c r="C1396" s="32">
        <f>+VLOOKUP($A1396,MAGAZZINO!$B$2:$M$4838,3,FALSE)</f>
        <v/>
      </c>
      <c r="D1396" s="17">
        <f>+VLOOKUP($A1396,MAGAZZINO!$B$2:$M$4838,4,FALSE)</f>
        <v/>
      </c>
      <c r="E1396" s="17">
        <f>+VLOOKUP($A1396,MAGAZZINO!$B$2:$M$4838,5,FALSE)</f>
        <v/>
      </c>
      <c r="F1396" s="17">
        <f>+VLOOKUP($A1396,MAGAZZINO!$B$2:$M$4838,6,FALSE)</f>
        <v/>
      </c>
      <c r="G1396" s="17">
        <f>+VLOOKUP($A1396,MAGAZZINO!$B$2:$M$4838,7,FALSE)</f>
        <v/>
      </c>
      <c r="H1396" s="17">
        <f>+VLOOKUP($A1396,MAGAZZINO!$B$2:$M$4838,8,FALSE)</f>
        <v/>
      </c>
      <c r="I1396" s="17">
        <f>+VLOOKUP($A1396,MAGAZZINO!$B$2:$M$4838,9,FALSE)</f>
        <v/>
      </c>
      <c r="J1396" s="17">
        <f>+VLOOKUP($A1396,MAGAZZINO!$B$2:$M$4838,10,FALSE)</f>
        <v/>
      </c>
      <c r="K1396" s="17">
        <f>+VLOOKUP($A1396,MAGAZZINO!$B$2:$M$4838,11,FALSE)</f>
        <v/>
      </c>
      <c r="L1396" s="44">
        <f>+VLOOKUP($A1396,MAGAZZINO!$B$2:$M$4838,12,FALSE)</f>
        <v/>
      </c>
    </row>
    <row r="1397" ht="36" customHeight="1">
      <c r="A1397" s="30">
        <f>+REGISTRO!A1380</f>
        <v/>
      </c>
      <c r="B1397" s="31">
        <f>+VLOOKUP($A1397,MAGAZZINO!$B$2:$M$4838,2,FALSE)</f>
        <v/>
      </c>
      <c r="C1397" s="32">
        <f>+VLOOKUP($A1397,MAGAZZINO!$B$2:$M$4838,3,FALSE)</f>
        <v/>
      </c>
      <c r="D1397" s="17">
        <f>+VLOOKUP($A1397,MAGAZZINO!$B$2:$M$4838,4,FALSE)</f>
        <v/>
      </c>
      <c r="E1397" s="17">
        <f>+VLOOKUP($A1397,MAGAZZINO!$B$2:$M$4838,5,FALSE)</f>
        <v/>
      </c>
      <c r="F1397" s="17">
        <f>+VLOOKUP($A1397,MAGAZZINO!$B$2:$M$4838,6,FALSE)</f>
        <v/>
      </c>
      <c r="G1397" s="17">
        <f>+VLOOKUP($A1397,MAGAZZINO!$B$2:$M$4838,7,FALSE)</f>
        <v/>
      </c>
      <c r="H1397" s="17">
        <f>+VLOOKUP($A1397,MAGAZZINO!$B$2:$M$4838,8,FALSE)</f>
        <v/>
      </c>
      <c r="I1397" s="17">
        <f>+VLOOKUP($A1397,MAGAZZINO!$B$2:$M$4838,9,FALSE)</f>
        <v/>
      </c>
      <c r="J1397" s="17">
        <f>+VLOOKUP($A1397,MAGAZZINO!$B$2:$M$4838,10,FALSE)</f>
        <v/>
      </c>
      <c r="K1397" s="17">
        <f>+VLOOKUP($A1397,MAGAZZINO!$B$2:$M$4838,11,FALSE)</f>
        <v/>
      </c>
      <c r="L1397" s="44">
        <f>+VLOOKUP($A1397,MAGAZZINO!$B$2:$M$4838,12,FALSE)</f>
        <v/>
      </c>
    </row>
    <row r="1398" ht="36" customHeight="1">
      <c r="A1398" s="30">
        <f>+REGISTRO!A1381</f>
        <v/>
      </c>
      <c r="B1398" s="31">
        <f>+VLOOKUP($A1398,MAGAZZINO!$B$2:$M$4838,2,FALSE)</f>
        <v/>
      </c>
      <c r="C1398" s="32">
        <f>+VLOOKUP($A1398,MAGAZZINO!$B$2:$M$4838,3,FALSE)</f>
        <v/>
      </c>
      <c r="D1398" s="17">
        <f>+VLOOKUP($A1398,MAGAZZINO!$B$2:$M$4838,4,FALSE)</f>
        <v/>
      </c>
      <c r="E1398" s="17">
        <f>+VLOOKUP($A1398,MAGAZZINO!$B$2:$M$4838,5,FALSE)</f>
        <v/>
      </c>
      <c r="F1398" s="17">
        <f>+VLOOKUP($A1398,MAGAZZINO!$B$2:$M$4838,6,FALSE)</f>
        <v/>
      </c>
      <c r="G1398" s="17">
        <f>+VLOOKUP($A1398,MAGAZZINO!$B$2:$M$4838,7,FALSE)</f>
        <v/>
      </c>
      <c r="H1398" s="17">
        <f>+VLOOKUP($A1398,MAGAZZINO!$B$2:$M$4838,8,FALSE)</f>
        <v/>
      </c>
      <c r="I1398" s="17">
        <f>+VLOOKUP($A1398,MAGAZZINO!$B$2:$M$4838,9,FALSE)</f>
        <v/>
      </c>
      <c r="J1398" s="17">
        <f>+VLOOKUP($A1398,MAGAZZINO!$B$2:$M$4838,10,FALSE)</f>
        <v/>
      </c>
      <c r="K1398" s="17">
        <f>+VLOOKUP($A1398,MAGAZZINO!$B$2:$M$4838,11,FALSE)</f>
        <v/>
      </c>
      <c r="L1398" s="44">
        <f>+VLOOKUP($A1398,MAGAZZINO!$B$2:$M$4838,12,FALSE)</f>
        <v/>
      </c>
    </row>
    <row r="1399" ht="36" customHeight="1">
      <c r="A1399" s="30">
        <f>+REGISTRO!A1382</f>
        <v/>
      </c>
      <c r="B1399" s="31">
        <f>+VLOOKUP($A1399,MAGAZZINO!$B$2:$M$4838,2,FALSE)</f>
        <v/>
      </c>
      <c r="C1399" s="32">
        <f>+VLOOKUP($A1399,MAGAZZINO!$B$2:$M$4838,3,FALSE)</f>
        <v/>
      </c>
      <c r="D1399" s="17">
        <f>+VLOOKUP($A1399,MAGAZZINO!$B$2:$M$4838,4,FALSE)</f>
        <v/>
      </c>
      <c r="E1399" s="17">
        <f>+VLOOKUP($A1399,MAGAZZINO!$B$2:$M$4838,5,FALSE)</f>
        <v/>
      </c>
      <c r="F1399" s="17">
        <f>+VLOOKUP($A1399,MAGAZZINO!$B$2:$M$4838,6,FALSE)</f>
        <v/>
      </c>
      <c r="G1399" s="17">
        <f>+VLOOKUP($A1399,MAGAZZINO!$B$2:$M$4838,7,FALSE)</f>
        <v/>
      </c>
      <c r="H1399" s="17">
        <f>+VLOOKUP($A1399,MAGAZZINO!$B$2:$M$4838,8,FALSE)</f>
        <v/>
      </c>
      <c r="I1399" s="17">
        <f>+VLOOKUP($A1399,MAGAZZINO!$B$2:$M$4838,9,FALSE)</f>
        <v/>
      </c>
      <c r="J1399" s="17">
        <f>+VLOOKUP($A1399,MAGAZZINO!$B$2:$M$4838,10,FALSE)</f>
        <v/>
      </c>
      <c r="K1399" s="17">
        <f>+VLOOKUP($A1399,MAGAZZINO!$B$2:$M$4838,11,FALSE)</f>
        <v/>
      </c>
      <c r="L1399" s="44">
        <f>+VLOOKUP($A1399,MAGAZZINO!$B$2:$M$4838,12,FALSE)</f>
        <v/>
      </c>
    </row>
    <row r="1400" ht="36" customHeight="1">
      <c r="A1400" s="30">
        <f>+REGISTRO!A1383</f>
        <v/>
      </c>
      <c r="B1400" s="31">
        <f>+VLOOKUP($A1400,MAGAZZINO!$B$2:$M$4838,2,FALSE)</f>
        <v/>
      </c>
      <c r="C1400" s="32">
        <f>+VLOOKUP($A1400,MAGAZZINO!$B$2:$M$4838,3,FALSE)</f>
        <v/>
      </c>
      <c r="D1400" s="17">
        <f>+VLOOKUP($A1400,MAGAZZINO!$B$2:$M$4838,4,FALSE)</f>
        <v/>
      </c>
      <c r="E1400" s="17">
        <f>+VLOOKUP($A1400,MAGAZZINO!$B$2:$M$4838,5,FALSE)</f>
        <v/>
      </c>
      <c r="F1400" s="17">
        <f>+VLOOKUP($A1400,MAGAZZINO!$B$2:$M$4838,6,FALSE)</f>
        <v/>
      </c>
      <c r="G1400" s="17">
        <f>+VLOOKUP($A1400,MAGAZZINO!$B$2:$M$4838,7,FALSE)</f>
        <v/>
      </c>
      <c r="H1400" s="17">
        <f>+VLOOKUP($A1400,MAGAZZINO!$B$2:$M$4838,8,FALSE)</f>
        <v/>
      </c>
      <c r="I1400" s="17">
        <f>+VLOOKUP($A1400,MAGAZZINO!$B$2:$M$4838,9,FALSE)</f>
        <v/>
      </c>
      <c r="J1400" s="17">
        <f>+VLOOKUP($A1400,MAGAZZINO!$B$2:$M$4838,10,FALSE)</f>
        <v/>
      </c>
      <c r="K1400" s="17">
        <f>+VLOOKUP($A1400,MAGAZZINO!$B$2:$M$4838,11,FALSE)</f>
        <v/>
      </c>
      <c r="L1400" s="44">
        <f>+VLOOKUP($A1400,MAGAZZINO!$B$2:$M$4838,12,FALSE)</f>
        <v/>
      </c>
    </row>
    <row r="1401" ht="36" customHeight="1">
      <c r="A1401" s="30">
        <f>+REGISTRO!A1384</f>
        <v/>
      </c>
      <c r="B1401" s="31">
        <f>+VLOOKUP($A1401,MAGAZZINO!$B$2:$M$4838,2,FALSE)</f>
        <v/>
      </c>
      <c r="C1401" s="32">
        <f>+VLOOKUP($A1401,MAGAZZINO!$B$2:$M$4838,3,FALSE)</f>
        <v/>
      </c>
      <c r="D1401" s="17">
        <f>+VLOOKUP($A1401,MAGAZZINO!$B$2:$M$4838,4,FALSE)</f>
        <v/>
      </c>
      <c r="E1401" s="17">
        <f>+VLOOKUP($A1401,MAGAZZINO!$B$2:$M$4838,5,FALSE)</f>
        <v/>
      </c>
      <c r="F1401" s="17">
        <f>+VLOOKUP($A1401,MAGAZZINO!$B$2:$M$4838,6,FALSE)</f>
        <v/>
      </c>
      <c r="G1401" s="17">
        <f>+VLOOKUP($A1401,MAGAZZINO!$B$2:$M$4838,7,FALSE)</f>
        <v/>
      </c>
      <c r="H1401" s="17">
        <f>+VLOOKUP($A1401,MAGAZZINO!$B$2:$M$4838,8,FALSE)</f>
        <v/>
      </c>
      <c r="I1401" s="17">
        <f>+VLOOKUP($A1401,MAGAZZINO!$B$2:$M$4838,9,FALSE)</f>
        <v/>
      </c>
      <c r="J1401" s="17">
        <f>+VLOOKUP($A1401,MAGAZZINO!$B$2:$M$4838,10,FALSE)</f>
        <v/>
      </c>
      <c r="K1401" s="17">
        <f>+VLOOKUP($A1401,MAGAZZINO!$B$2:$M$4838,11,FALSE)</f>
        <v/>
      </c>
      <c r="L1401" s="44">
        <f>+VLOOKUP($A1401,MAGAZZINO!$B$2:$M$4838,12,FALSE)</f>
        <v/>
      </c>
    </row>
    <row r="1402" ht="36" customHeight="1">
      <c r="A1402" s="30">
        <f>+REGISTRO!A1385</f>
        <v/>
      </c>
      <c r="B1402" s="31">
        <f>+VLOOKUP($A1402,MAGAZZINO!$B$2:$M$4838,2,FALSE)</f>
        <v/>
      </c>
      <c r="C1402" s="32">
        <f>+VLOOKUP($A1402,MAGAZZINO!$B$2:$M$4838,3,FALSE)</f>
        <v/>
      </c>
      <c r="D1402" s="17">
        <f>+VLOOKUP($A1402,MAGAZZINO!$B$2:$M$4838,4,FALSE)</f>
        <v/>
      </c>
      <c r="E1402" s="17">
        <f>+VLOOKUP($A1402,MAGAZZINO!$B$2:$M$4838,5,FALSE)</f>
        <v/>
      </c>
      <c r="F1402" s="17">
        <f>+VLOOKUP($A1402,MAGAZZINO!$B$2:$M$4838,6,FALSE)</f>
        <v/>
      </c>
      <c r="G1402" s="17">
        <f>+VLOOKUP($A1402,MAGAZZINO!$B$2:$M$4838,7,FALSE)</f>
        <v/>
      </c>
      <c r="H1402" s="17">
        <f>+VLOOKUP($A1402,MAGAZZINO!$B$2:$M$4838,8,FALSE)</f>
        <v/>
      </c>
      <c r="I1402" s="17">
        <f>+VLOOKUP($A1402,MAGAZZINO!$B$2:$M$4838,9,FALSE)</f>
        <v/>
      </c>
      <c r="J1402" s="17">
        <f>+VLOOKUP($A1402,MAGAZZINO!$B$2:$M$4838,10,FALSE)</f>
        <v/>
      </c>
      <c r="K1402" s="17">
        <f>+VLOOKUP($A1402,MAGAZZINO!$B$2:$M$4838,11,FALSE)</f>
        <v/>
      </c>
      <c r="L1402" s="44">
        <f>+VLOOKUP($A1402,MAGAZZINO!$B$2:$M$4838,12,FALSE)</f>
        <v/>
      </c>
    </row>
    <row r="1403" ht="36" customHeight="1">
      <c r="A1403" s="30">
        <f>+REGISTRO!A1386</f>
        <v/>
      </c>
      <c r="B1403" s="31">
        <f>+VLOOKUP($A1403,MAGAZZINO!$B$2:$M$4838,2,FALSE)</f>
        <v/>
      </c>
      <c r="C1403" s="32">
        <f>+VLOOKUP($A1403,MAGAZZINO!$B$2:$M$4838,3,FALSE)</f>
        <v/>
      </c>
      <c r="D1403" s="17">
        <f>+VLOOKUP($A1403,MAGAZZINO!$B$2:$M$4838,4,FALSE)</f>
        <v/>
      </c>
      <c r="E1403" s="17">
        <f>+VLOOKUP($A1403,MAGAZZINO!$B$2:$M$4838,5,FALSE)</f>
        <v/>
      </c>
      <c r="F1403" s="17">
        <f>+VLOOKUP($A1403,MAGAZZINO!$B$2:$M$4838,6,FALSE)</f>
        <v/>
      </c>
      <c r="G1403" s="17">
        <f>+VLOOKUP($A1403,MAGAZZINO!$B$2:$M$4838,7,FALSE)</f>
        <v/>
      </c>
      <c r="H1403" s="17">
        <f>+VLOOKUP($A1403,MAGAZZINO!$B$2:$M$4838,8,FALSE)</f>
        <v/>
      </c>
      <c r="I1403" s="17">
        <f>+VLOOKUP($A1403,MAGAZZINO!$B$2:$M$4838,9,FALSE)</f>
        <v/>
      </c>
      <c r="J1403" s="17">
        <f>+VLOOKUP($A1403,MAGAZZINO!$B$2:$M$4838,10,FALSE)</f>
        <v/>
      </c>
      <c r="K1403" s="17">
        <f>+VLOOKUP($A1403,MAGAZZINO!$B$2:$M$4838,11,FALSE)</f>
        <v/>
      </c>
      <c r="L1403" s="44">
        <f>+VLOOKUP($A1403,MAGAZZINO!$B$2:$M$4838,12,FALSE)</f>
        <v/>
      </c>
    </row>
    <row r="1404" ht="36" customHeight="1">
      <c r="A1404" s="30">
        <f>+REGISTRO!A1387</f>
        <v/>
      </c>
      <c r="B1404" s="31">
        <f>+VLOOKUP($A1404,MAGAZZINO!$B$2:$M$4838,2,FALSE)</f>
        <v/>
      </c>
      <c r="C1404" s="32">
        <f>+VLOOKUP($A1404,MAGAZZINO!$B$2:$M$4838,3,FALSE)</f>
        <v/>
      </c>
      <c r="D1404" s="17">
        <f>+VLOOKUP($A1404,MAGAZZINO!$B$2:$M$4838,4,FALSE)</f>
        <v/>
      </c>
      <c r="E1404" s="17">
        <f>+VLOOKUP($A1404,MAGAZZINO!$B$2:$M$4838,5,FALSE)</f>
        <v/>
      </c>
      <c r="F1404" s="17">
        <f>+VLOOKUP($A1404,MAGAZZINO!$B$2:$M$4838,6,FALSE)</f>
        <v/>
      </c>
      <c r="G1404" s="17">
        <f>+VLOOKUP($A1404,MAGAZZINO!$B$2:$M$4838,7,FALSE)</f>
        <v/>
      </c>
      <c r="H1404" s="17">
        <f>+VLOOKUP($A1404,MAGAZZINO!$B$2:$M$4838,8,FALSE)</f>
        <v/>
      </c>
      <c r="I1404" s="17">
        <f>+VLOOKUP($A1404,MAGAZZINO!$B$2:$M$4838,9,FALSE)</f>
        <v/>
      </c>
      <c r="J1404" s="17">
        <f>+VLOOKUP($A1404,MAGAZZINO!$B$2:$M$4838,10,FALSE)</f>
        <v/>
      </c>
      <c r="K1404" s="17">
        <f>+VLOOKUP($A1404,MAGAZZINO!$B$2:$M$4838,11,FALSE)</f>
        <v/>
      </c>
      <c r="L1404" s="44">
        <f>+VLOOKUP($A1404,MAGAZZINO!$B$2:$M$4838,12,FALSE)</f>
        <v/>
      </c>
    </row>
    <row r="1405" ht="36" customHeight="1">
      <c r="A1405" s="30">
        <f>+REGISTRO!A1388</f>
        <v/>
      </c>
      <c r="B1405" s="31">
        <f>+VLOOKUP($A1405,MAGAZZINO!$B$2:$M$4838,2,FALSE)</f>
        <v/>
      </c>
      <c r="C1405" s="32">
        <f>+VLOOKUP($A1405,MAGAZZINO!$B$2:$M$4838,3,FALSE)</f>
        <v/>
      </c>
      <c r="D1405" s="17">
        <f>+VLOOKUP($A1405,MAGAZZINO!$B$2:$M$4838,4,FALSE)</f>
        <v/>
      </c>
      <c r="E1405" s="17">
        <f>+VLOOKUP($A1405,MAGAZZINO!$B$2:$M$4838,5,FALSE)</f>
        <v/>
      </c>
      <c r="F1405" s="17">
        <f>+VLOOKUP($A1405,MAGAZZINO!$B$2:$M$4838,6,FALSE)</f>
        <v/>
      </c>
      <c r="G1405" s="17">
        <f>+VLOOKUP($A1405,MAGAZZINO!$B$2:$M$4838,7,FALSE)</f>
        <v/>
      </c>
      <c r="H1405" s="17">
        <f>+VLOOKUP($A1405,MAGAZZINO!$B$2:$M$4838,8,FALSE)</f>
        <v/>
      </c>
      <c r="I1405" s="17">
        <f>+VLOOKUP($A1405,MAGAZZINO!$B$2:$M$4838,9,FALSE)</f>
        <v/>
      </c>
      <c r="J1405" s="17">
        <f>+VLOOKUP($A1405,MAGAZZINO!$B$2:$M$4838,10,FALSE)</f>
        <v/>
      </c>
      <c r="K1405" s="17">
        <f>+VLOOKUP($A1405,MAGAZZINO!$B$2:$M$4838,11,FALSE)</f>
        <v/>
      </c>
      <c r="L1405" s="44">
        <f>+VLOOKUP($A1405,MAGAZZINO!$B$2:$M$4838,12,FALSE)</f>
        <v/>
      </c>
    </row>
    <row r="1406" ht="36" customHeight="1">
      <c r="A1406" s="30">
        <f>+REGISTRO!A1389</f>
        <v/>
      </c>
      <c r="B1406" s="31">
        <f>+VLOOKUP($A1406,MAGAZZINO!$B$2:$M$4838,2,FALSE)</f>
        <v/>
      </c>
      <c r="C1406" s="32">
        <f>+VLOOKUP($A1406,MAGAZZINO!$B$2:$M$4838,3,FALSE)</f>
        <v/>
      </c>
      <c r="D1406" s="17">
        <f>+VLOOKUP($A1406,MAGAZZINO!$B$2:$M$4838,4,FALSE)</f>
        <v/>
      </c>
      <c r="E1406" s="17">
        <f>+VLOOKUP($A1406,MAGAZZINO!$B$2:$M$4838,5,FALSE)</f>
        <v/>
      </c>
      <c r="F1406" s="17">
        <f>+VLOOKUP($A1406,MAGAZZINO!$B$2:$M$4838,6,FALSE)</f>
        <v/>
      </c>
      <c r="G1406" s="17">
        <f>+VLOOKUP($A1406,MAGAZZINO!$B$2:$M$4838,7,FALSE)</f>
        <v/>
      </c>
      <c r="H1406" s="17">
        <f>+VLOOKUP($A1406,MAGAZZINO!$B$2:$M$4838,8,FALSE)</f>
        <v/>
      </c>
      <c r="I1406" s="17">
        <f>+VLOOKUP($A1406,MAGAZZINO!$B$2:$M$4838,9,FALSE)</f>
        <v/>
      </c>
      <c r="J1406" s="17">
        <f>+VLOOKUP($A1406,MAGAZZINO!$B$2:$M$4838,10,FALSE)</f>
        <v/>
      </c>
      <c r="K1406" s="17">
        <f>+VLOOKUP($A1406,MAGAZZINO!$B$2:$M$4838,11,FALSE)</f>
        <v/>
      </c>
      <c r="L1406" s="44">
        <f>+VLOOKUP($A1406,MAGAZZINO!$B$2:$M$4838,12,FALSE)</f>
        <v/>
      </c>
    </row>
    <row r="1407" ht="36" customHeight="1">
      <c r="A1407" s="30">
        <f>+REGISTRO!A1390</f>
        <v/>
      </c>
      <c r="B1407" s="31">
        <f>+VLOOKUP($A1407,MAGAZZINO!$B$2:$M$4838,2,FALSE)</f>
        <v/>
      </c>
      <c r="C1407" s="32">
        <f>+VLOOKUP($A1407,MAGAZZINO!$B$2:$M$4838,3,FALSE)</f>
        <v/>
      </c>
      <c r="D1407" s="17">
        <f>+VLOOKUP($A1407,MAGAZZINO!$B$2:$M$4838,4,FALSE)</f>
        <v/>
      </c>
      <c r="E1407" s="17">
        <f>+VLOOKUP($A1407,MAGAZZINO!$B$2:$M$4838,5,FALSE)</f>
        <v/>
      </c>
      <c r="F1407" s="17">
        <f>+VLOOKUP($A1407,MAGAZZINO!$B$2:$M$4838,6,FALSE)</f>
        <v/>
      </c>
      <c r="G1407" s="17">
        <f>+VLOOKUP($A1407,MAGAZZINO!$B$2:$M$4838,7,FALSE)</f>
        <v/>
      </c>
      <c r="H1407" s="17">
        <f>+VLOOKUP($A1407,MAGAZZINO!$B$2:$M$4838,8,FALSE)</f>
        <v/>
      </c>
      <c r="I1407" s="17">
        <f>+VLOOKUP($A1407,MAGAZZINO!$B$2:$M$4838,9,FALSE)</f>
        <v/>
      </c>
      <c r="J1407" s="17">
        <f>+VLOOKUP($A1407,MAGAZZINO!$B$2:$M$4838,10,FALSE)</f>
        <v/>
      </c>
      <c r="K1407" s="17">
        <f>+VLOOKUP($A1407,MAGAZZINO!$B$2:$M$4838,11,FALSE)</f>
        <v/>
      </c>
      <c r="L1407" s="44">
        <f>+VLOOKUP($A1407,MAGAZZINO!$B$2:$M$4838,12,FALSE)</f>
        <v/>
      </c>
    </row>
    <row r="1408" ht="36" customHeight="1">
      <c r="A1408" s="30">
        <f>+REGISTRO!A1391</f>
        <v/>
      </c>
      <c r="B1408" s="31">
        <f>+VLOOKUP($A1408,MAGAZZINO!$B$2:$M$4838,2,FALSE)</f>
        <v/>
      </c>
      <c r="C1408" s="32">
        <f>+VLOOKUP($A1408,MAGAZZINO!$B$2:$M$4838,3,FALSE)</f>
        <v/>
      </c>
      <c r="D1408" s="17">
        <f>+VLOOKUP($A1408,MAGAZZINO!$B$2:$M$4838,4,FALSE)</f>
        <v/>
      </c>
      <c r="E1408" s="17">
        <f>+VLOOKUP($A1408,MAGAZZINO!$B$2:$M$4838,5,FALSE)</f>
        <v/>
      </c>
      <c r="F1408" s="17">
        <f>+VLOOKUP($A1408,MAGAZZINO!$B$2:$M$4838,6,FALSE)</f>
        <v/>
      </c>
      <c r="G1408" s="17">
        <f>+VLOOKUP($A1408,MAGAZZINO!$B$2:$M$4838,7,FALSE)</f>
        <v/>
      </c>
      <c r="H1408" s="17">
        <f>+VLOOKUP($A1408,MAGAZZINO!$B$2:$M$4838,8,FALSE)</f>
        <v/>
      </c>
      <c r="I1408" s="17">
        <f>+VLOOKUP($A1408,MAGAZZINO!$B$2:$M$4838,9,FALSE)</f>
        <v/>
      </c>
      <c r="J1408" s="17">
        <f>+VLOOKUP($A1408,MAGAZZINO!$B$2:$M$4838,10,FALSE)</f>
        <v/>
      </c>
      <c r="K1408" s="17">
        <f>+VLOOKUP($A1408,MAGAZZINO!$B$2:$M$4838,11,FALSE)</f>
        <v/>
      </c>
      <c r="L1408" s="44">
        <f>+VLOOKUP($A1408,MAGAZZINO!$B$2:$M$4838,12,FALSE)</f>
        <v/>
      </c>
    </row>
    <row r="1409" ht="36" customHeight="1">
      <c r="A1409" s="30">
        <f>+REGISTRO!A1392</f>
        <v/>
      </c>
      <c r="B1409" s="31">
        <f>+VLOOKUP($A1409,MAGAZZINO!$B$2:$M$4838,2,FALSE)</f>
        <v/>
      </c>
      <c r="C1409" s="32">
        <f>+VLOOKUP($A1409,MAGAZZINO!$B$2:$M$4838,3,FALSE)</f>
        <v/>
      </c>
      <c r="D1409" s="17">
        <f>+VLOOKUP($A1409,MAGAZZINO!$B$2:$M$4838,4,FALSE)</f>
        <v/>
      </c>
      <c r="E1409" s="17">
        <f>+VLOOKUP($A1409,MAGAZZINO!$B$2:$M$4838,5,FALSE)</f>
        <v/>
      </c>
      <c r="F1409" s="17">
        <f>+VLOOKUP($A1409,MAGAZZINO!$B$2:$M$4838,6,FALSE)</f>
        <v/>
      </c>
      <c r="G1409" s="17">
        <f>+VLOOKUP($A1409,MAGAZZINO!$B$2:$M$4838,7,FALSE)</f>
        <v/>
      </c>
      <c r="H1409" s="17">
        <f>+VLOOKUP($A1409,MAGAZZINO!$B$2:$M$4838,8,FALSE)</f>
        <v/>
      </c>
      <c r="I1409" s="17">
        <f>+VLOOKUP($A1409,MAGAZZINO!$B$2:$M$4838,9,FALSE)</f>
        <v/>
      </c>
      <c r="J1409" s="17">
        <f>+VLOOKUP($A1409,MAGAZZINO!$B$2:$M$4838,10,FALSE)</f>
        <v/>
      </c>
      <c r="K1409" s="17">
        <f>+VLOOKUP($A1409,MAGAZZINO!$B$2:$M$4838,11,FALSE)</f>
        <v/>
      </c>
      <c r="L1409" s="44">
        <f>+VLOOKUP($A1409,MAGAZZINO!$B$2:$M$4838,12,FALSE)</f>
        <v/>
      </c>
    </row>
    <row r="1410" ht="36" customHeight="1">
      <c r="A1410" s="30">
        <f>+REGISTRO!A1393</f>
        <v/>
      </c>
      <c r="B1410" s="31">
        <f>+VLOOKUP($A1410,MAGAZZINO!$B$2:$M$4838,2,FALSE)</f>
        <v/>
      </c>
      <c r="C1410" s="32">
        <f>+VLOOKUP($A1410,MAGAZZINO!$B$2:$M$4838,3,FALSE)</f>
        <v/>
      </c>
      <c r="D1410" s="17">
        <f>+VLOOKUP($A1410,MAGAZZINO!$B$2:$M$4838,4,FALSE)</f>
        <v/>
      </c>
      <c r="E1410" s="17">
        <f>+VLOOKUP($A1410,MAGAZZINO!$B$2:$M$4838,5,FALSE)</f>
        <v/>
      </c>
      <c r="F1410" s="17">
        <f>+VLOOKUP($A1410,MAGAZZINO!$B$2:$M$4838,6,FALSE)</f>
        <v/>
      </c>
      <c r="G1410" s="17">
        <f>+VLOOKUP($A1410,MAGAZZINO!$B$2:$M$4838,7,FALSE)</f>
        <v/>
      </c>
      <c r="H1410" s="17">
        <f>+VLOOKUP($A1410,MAGAZZINO!$B$2:$M$4838,8,FALSE)</f>
        <v/>
      </c>
      <c r="I1410" s="17">
        <f>+VLOOKUP($A1410,MAGAZZINO!$B$2:$M$4838,9,FALSE)</f>
        <v/>
      </c>
      <c r="J1410" s="17">
        <f>+VLOOKUP($A1410,MAGAZZINO!$B$2:$M$4838,10,FALSE)</f>
        <v/>
      </c>
      <c r="K1410" s="17">
        <f>+VLOOKUP($A1410,MAGAZZINO!$B$2:$M$4838,11,FALSE)</f>
        <v/>
      </c>
      <c r="L1410" s="44">
        <f>+VLOOKUP($A1410,MAGAZZINO!$B$2:$M$4838,12,FALSE)</f>
        <v/>
      </c>
    </row>
    <row r="1411" ht="36" customHeight="1">
      <c r="A1411" s="30">
        <f>+REGISTRO!A1394</f>
        <v/>
      </c>
      <c r="B1411" s="31">
        <f>+VLOOKUP($A1411,MAGAZZINO!$B$2:$M$4838,2,FALSE)</f>
        <v/>
      </c>
      <c r="C1411" s="32">
        <f>+VLOOKUP($A1411,MAGAZZINO!$B$2:$M$4838,3,FALSE)</f>
        <v/>
      </c>
      <c r="D1411" s="17">
        <f>+VLOOKUP($A1411,MAGAZZINO!$B$2:$M$4838,4,FALSE)</f>
        <v/>
      </c>
      <c r="E1411" s="17">
        <f>+VLOOKUP($A1411,MAGAZZINO!$B$2:$M$4838,5,FALSE)</f>
        <v/>
      </c>
      <c r="F1411" s="17">
        <f>+VLOOKUP($A1411,MAGAZZINO!$B$2:$M$4838,6,FALSE)</f>
        <v/>
      </c>
      <c r="G1411" s="17">
        <f>+VLOOKUP($A1411,MAGAZZINO!$B$2:$M$4838,7,FALSE)</f>
        <v/>
      </c>
      <c r="H1411" s="17">
        <f>+VLOOKUP($A1411,MAGAZZINO!$B$2:$M$4838,8,FALSE)</f>
        <v/>
      </c>
      <c r="I1411" s="17">
        <f>+VLOOKUP($A1411,MAGAZZINO!$B$2:$M$4838,9,FALSE)</f>
        <v/>
      </c>
      <c r="J1411" s="17">
        <f>+VLOOKUP($A1411,MAGAZZINO!$B$2:$M$4838,10,FALSE)</f>
        <v/>
      </c>
      <c r="K1411" s="17">
        <f>+VLOOKUP($A1411,MAGAZZINO!$B$2:$M$4838,11,FALSE)</f>
        <v/>
      </c>
      <c r="L1411" s="44">
        <f>+VLOOKUP($A1411,MAGAZZINO!$B$2:$M$4838,12,FALSE)</f>
        <v/>
      </c>
    </row>
    <row r="1412" ht="36" customHeight="1">
      <c r="A1412" s="30">
        <f>+REGISTRO!A1395</f>
        <v/>
      </c>
      <c r="B1412" s="31">
        <f>+VLOOKUP($A1412,MAGAZZINO!$B$2:$M$4838,2,FALSE)</f>
        <v/>
      </c>
      <c r="C1412" s="32">
        <f>+VLOOKUP($A1412,MAGAZZINO!$B$2:$M$4838,3,FALSE)</f>
        <v/>
      </c>
      <c r="D1412" s="17">
        <f>+VLOOKUP($A1412,MAGAZZINO!$B$2:$M$4838,4,FALSE)</f>
        <v/>
      </c>
      <c r="E1412" s="17">
        <f>+VLOOKUP($A1412,MAGAZZINO!$B$2:$M$4838,5,FALSE)</f>
        <v/>
      </c>
      <c r="F1412" s="17">
        <f>+VLOOKUP($A1412,MAGAZZINO!$B$2:$M$4838,6,FALSE)</f>
        <v/>
      </c>
      <c r="G1412" s="17">
        <f>+VLOOKUP($A1412,MAGAZZINO!$B$2:$M$4838,7,FALSE)</f>
        <v/>
      </c>
      <c r="H1412" s="17">
        <f>+VLOOKUP($A1412,MAGAZZINO!$B$2:$M$4838,8,FALSE)</f>
        <v/>
      </c>
      <c r="I1412" s="17">
        <f>+VLOOKUP($A1412,MAGAZZINO!$B$2:$M$4838,9,FALSE)</f>
        <v/>
      </c>
      <c r="J1412" s="17">
        <f>+VLOOKUP($A1412,MAGAZZINO!$B$2:$M$4838,10,FALSE)</f>
        <v/>
      </c>
      <c r="K1412" s="17">
        <f>+VLOOKUP($A1412,MAGAZZINO!$B$2:$M$4838,11,FALSE)</f>
        <v/>
      </c>
      <c r="L1412" s="44">
        <f>+VLOOKUP($A1412,MAGAZZINO!$B$2:$M$4838,12,FALSE)</f>
        <v/>
      </c>
    </row>
    <row r="1413" ht="36" customHeight="1">
      <c r="A1413" s="30">
        <f>+REGISTRO!A1396</f>
        <v/>
      </c>
      <c r="B1413" s="31">
        <f>+VLOOKUP($A1413,MAGAZZINO!$B$2:$M$4838,2,FALSE)</f>
        <v/>
      </c>
      <c r="C1413" s="32">
        <f>+VLOOKUP($A1413,MAGAZZINO!$B$2:$M$4838,3,FALSE)</f>
        <v/>
      </c>
      <c r="D1413" s="17">
        <f>+VLOOKUP($A1413,MAGAZZINO!$B$2:$M$4838,4,FALSE)</f>
        <v/>
      </c>
      <c r="E1413" s="17">
        <f>+VLOOKUP($A1413,MAGAZZINO!$B$2:$M$4838,5,FALSE)</f>
        <v/>
      </c>
      <c r="F1413" s="17">
        <f>+VLOOKUP($A1413,MAGAZZINO!$B$2:$M$4838,6,FALSE)</f>
        <v/>
      </c>
      <c r="G1413" s="17">
        <f>+VLOOKUP($A1413,MAGAZZINO!$B$2:$M$4838,7,FALSE)</f>
        <v/>
      </c>
      <c r="H1413" s="17">
        <f>+VLOOKUP($A1413,MAGAZZINO!$B$2:$M$4838,8,FALSE)</f>
        <v/>
      </c>
      <c r="I1413" s="17">
        <f>+VLOOKUP($A1413,MAGAZZINO!$B$2:$M$4838,9,FALSE)</f>
        <v/>
      </c>
      <c r="J1413" s="17">
        <f>+VLOOKUP($A1413,MAGAZZINO!$B$2:$M$4838,10,FALSE)</f>
        <v/>
      </c>
      <c r="K1413" s="17">
        <f>+VLOOKUP($A1413,MAGAZZINO!$B$2:$M$4838,11,FALSE)</f>
        <v/>
      </c>
      <c r="L1413" s="44">
        <f>+VLOOKUP($A1413,MAGAZZINO!$B$2:$M$4838,12,FALSE)</f>
        <v/>
      </c>
    </row>
    <row r="1414" ht="36" customHeight="1">
      <c r="A1414" s="30">
        <f>+REGISTRO!A1397</f>
        <v/>
      </c>
      <c r="B1414" s="31">
        <f>+VLOOKUP($A1414,MAGAZZINO!$B$2:$M$4838,2,FALSE)</f>
        <v/>
      </c>
      <c r="C1414" s="32">
        <f>+VLOOKUP($A1414,MAGAZZINO!$B$2:$M$4838,3,FALSE)</f>
        <v/>
      </c>
      <c r="D1414" s="17">
        <f>+VLOOKUP($A1414,MAGAZZINO!$B$2:$M$4838,4,FALSE)</f>
        <v/>
      </c>
      <c r="E1414" s="17">
        <f>+VLOOKUP($A1414,MAGAZZINO!$B$2:$M$4838,5,FALSE)</f>
        <v/>
      </c>
      <c r="F1414" s="17">
        <f>+VLOOKUP($A1414,MAGAZZINO!$B$2:$M$4838,6,FALSE)</f>
        <v/>
      </c>
      <c r="G1414" s="17">
        <f>+VLOOKUP($A1414,MAGAZZINO!$B$2:$M$4838,7,FALSE)</f>
        <v/>
      </c>
      <c r="H1414" s="17">
        <f>+VLOOKUP($A1414,MAGAZZINO!$B$2:$M$4838,8,FALSE)</f>
        <v/>
      </c>
      <c r="I1414" s="17">
        <f>+VLOOKUP($A1414,MAGAZZINO!$B$2:$M$4838,9,FALSE)</f>
        <v/>
      </c>
      <c r="J1414" s="17">
        <f>+VLOOKUP($A1414,MAGAZZINO!$B$2:$M$4838,10,FALSE)</f>
        <v/>
      </c>
      <c r="K1414" s="17">
        <f>+VLOOKUP($A1414,MAGAZZINO!$B$2:$M$4838,11,FALSE)</f>
        <v/>
      </c>
      <c r="L1414" s="44">
        <f>+VLOOKUP($A1414,MAGAZZINO!$B$2:$M$4838,12,FALSE)</f>
        <v/>
      </c>
    </row>
    <row r="1415" ht="36" customHeight="1">
      <c r="A1415" s="30">
        <f>+REGISTRO!A1398</f>
        <v/>
      </c>
      <c r="B1415" s="31">
        <f>+VLOOKUP($A1415,MAGAZZINO!$B$2:$M$4838,2,FALSE)</f>
        <v/>
      </c>
      <c r="C1415" s="32">
        <f>+VLOOKUP($A1415,MAGAZZINO!$B$2:$M$4838,3,FALSE)</f>
        <v/>
      </c>
      <c r="D1415" s="17">
        <f>+VLOOKUP($A1415,MAGAZZINO!$B$2:$M$4838,4,FALSE)</f>
        <v/>
      </c>
      <c r="E1415" s="17">
        <f>+VLOOKUP($A1415,MAGAZZINO!$B$2:$M$4838,5,FALSE)</f>
        <v/>
      </c>
      <c r="F1415" s="17">
        <f>+VLOOKUP($A1415,MAGAZZINO!$B$2:$M$4838,6,FALSE)</f>
        <v/>
      </c>
      <c r="G1415" s="17">
        <f>+VLOOKUP($A1415,MAGAZZINO!$B$2:$M$4838,7,FALSE)</f>
        <v/>
      </c>
      <c r="H1415" s="17">
        <f>+VLOOKUP($A1415,MAGAZZINO!$B$2:$M$4838,8,FALSE)</f>
        <v/>
      </c>
      <c r="I1415" s="17">
        <f>+VLOOKUP($A1415,MAGAZZINO!$B$2:$M$4838,9,FALSE)</f>
        <v/>
      </c>
      <c r="J1415" s="17">
        <f>+VLOOKUP($A1415,MAGAZZINO!$B$2:$M$4838,10,FALSE)</f>
        <v/>
      </c>
      <c r="K1415" s="17">
        <f>+VLOOKUP($A1415,MAGAZZINO!$B$2:$M$4838,11,FALSE)</f>
        <v/>
      </c>
      <c r="L1415" s="44">
        <f>+VLOOKUP($A1415,MAGAZZINO!$B$2:$M$4838,12,FALSE)</f>
        <v/>
      </c>
    </row>
    <row r="1416" ht="36" customHeight="1">
      <c r="A1416" s="30">
        <f>+REGISTRO!A1399</f>
        <v/>
      </c>
      <c r="B1416" s="31">
        <f>+VLOOKUP($A1416,MAGAZZINO!$B$2:$M$4838,2,FALSE)</f>
        <v/>
      </c>
      <c r="C1416" s="32">
        <f>+VLOOKUP($A1416,MAGAZZINO!$B$2:$M$4838,3,FALSE)</f>
        <v/>
      </c>
      <c r="D1416" s="17">
        <f>+VLOOKUP($A1416,MAGAZZINO!$B$2:$M$4838,4,FALSE)</f>
        <v/>
      </c>
      <c r="E1416" s="17">
        <f>+VLOOKUP($A1416,MAGAZZINO!$B$2:$M$4838,5,FALSE)</f>
        <v/>
      </c>
      <c r="F1416" s="17">
        <f>+VLOOKUP($A1416,MAGAZZINO!$B$2:$M$4838,6,FALSE)</f>
        <v/>
      </c>
      <c r="G1416" s="17">
        <f>+VLOOKUP($A1416,MAGAZZINO!$B$2:$M$4838,7,FALSE)</f>
        <v/>
      </c>
      <c r="H1416" s="17">
        <f>+VLOOKUP($A1416,MAGAZZINO!$B$2:$M$4838,8,FALSE)</f>
        <v/>
      </c>
      <c r="I1416" s="17">
        <f>+VLOOKUP($A1416,MAGAZZINO!$B$2:$M$4838,9,FALSE)</f>
        <v/>
      </c>
      <c r="J1416" s="17">
        <f>+VLOOKUP($A1416,MAGAZZINO!$B$2:$M$4838,10,FALSE)</f>
        <v/>
      </c>
      <c r="K1416" s="17">
        <f>+VLOOKUP($A1416,MAGAZZINO!$B$2:$M$4838,11,FALSE)</f>
        <v/>
      </c>
      <c r="L1416" s="44">
        <f>+VLOOKUP($A1416,MAGAZZINO!$B$2:$M$4838,12,FALSE)</f>
        <v/>
      </c>
    </row>
    <row r="1417" ht="36" customHeight="1">
      <c r="A1417" s="30">
        <f>+REGISTRO!A1400</f>
        <v/>
      </c>
      <c r="B1417" s="31">
        <f>+VLOOKUP($A1417,MAGAZZINO!$B$2:$M$4838,2,FALSE)</f>
        <v/>
      </c>
      <c r="C1417" s="32">
        <f>+VLOOKUP($A1417,MAGAZZINO!$B$2:$M$4838,3,FALSE)</f>
        <v/>
      </c>
      <c r="D1417" s="17">
        <f>+VLOOKUP($A1417,MAGAZZINO!$B$2:$M$4838,4,FALSE)</f>
        <v/>
      </c>
      <c r="E1417" s="17">
        <f>+VLOOKUP($A1417,MAGAZZINO!$B$2:$M$4838,5,FALSE)</f>
        <v/>
      </c>
      <c r="F1417" s="17">
        <f>+VLOOKUP($A1417,MAGAZZINO!$B$2:$M$4838,6,FALSE)</f>
        <v/>
      </c>
      <c r="G1417" s="17">
        <f>+VLOOKUP($A1417,MAGAZZINO!$B$2:$M$4838,7,FALSE)</f>
        <v/>
      </c>
      <c r="H1417" s="17">
        <f>+VLOOKUP($A1417,MAGAZZINO!$B$2:$M$4838,8,FALSE)</f>
        <v/>
      </c>
      <c r="I1417" s="17">
        <f>+VLOOKUP($A1417,MAGAZZINO!$B$2:$M$4838,9,FALSE)</f>
        <v/>
      </c>
      <c r="J1417" s="17">
        <f>+VLOOKUP($A1417,MAGAZZINO!$B$2:$M$4838,10,FALSE)</f>
        <v/>
      </c>
      <c r="K1417" s="17">
        <f>+VLOOKUP($A1417,MAGAZZINO!$B$2:$M$4838,11,FALSE)</f>
        <v/>
      </c>
      <c r="L1417" s="44">
        <f>+VLOOKUP($A1417,MAGAZZINO!$B$2:$M$4838,12,FALSE)</f>
        <v/>
      </c>
    </row>
    <row r="1418" ht="36" customHeight="1">
      <c r="A1418" s="30">
        <f>+REGISTRO!A1401</f>
        <v/>
      </c>
      <c r="B1418" s="31">
        <f>+VLOOKUP($A1418,MAGAZZINO!$B$2:$M$4838,2,FALSE)</f>
        <v/>
      </c>
      <c r="C1418" s="32">
        <f>+VLOOKUP($A1418,MAGAZZINO!$B$2:$M$4838,3,FALSE)</f>
        <v/>
      </c>
      <c r="D1418" s="17">
        <f>+VLOOKUP($A1418,MAGAZZINO!$B$2:$M$4838,4,FALSE)</f>
        <v/>
      </c>
      <c r="E1418" s="17">
        <f>+VLOOKUP($A1418,MAGAZZINO!$B$2:$M$4838,5,FALSE)</f>
        <v/>
      </c>
      <c r="F1418" s="17">
        <f>+VLOOKUP($A1418,MAGAZZINO!$B$2:$M$4838,6,FALSE)</f>
        <v/>
      </c>
      <c r="G1418" s="17">
        <f>+VLOOKUP($A1418,MAGAZZINO!$B$2:$M$4838,7,FALSE)</f>
        <v/>
      </c>
      <c r="H1418" s="17">
        <f>+VLOOKUP($A1418,MAGAZZINO!$B$2:$M$4838,8,FALSE)</f>
        <v/>
      </c>
      <c r="I1418" s="17">
        <f>+VLOOKUP($A1418,MAGAZZINO!$B$2:$M$4838,9,FALSE)</f>
        <v/>
      </c>
      <c r="J1418" s="17">
        <f>+VLOOKUP($A1418,MAGAZZINO!$B$2:$M$4838,10,FALSE)</f>
        <v/>
      </c>
      <c r="K1418" s="17">
        <f>+VLOOKUP($A1418,MAGAZZINO!$B$2:$M$4838,11,FALSE)</f>
        <v/>
      </c>
      <c r="L1418" s="44">
        <f>+VLOOKUP($A1418,MAGAZZINO!$B$2:$M$4838,12,FALSE)</f>
        <v/>
      </c>
    </row>
    <row r="1419" ht="36" customHeight="1">
      <c r="A1419" s="30">
        <f>+REGISTRO!A1402</f>
        <v/>
      </c>
      <c r="B1419" s="31">
        <f>+VLOOKUP($A1419,MAGAZZINO!$B$2:$M$4838,2,FALSE)</f>
        <v/>
      </c>
      <c r="C1419" s="32">
        <f>+VLOOKUP($A1419,MAGAZZINO!$B$2:$M$4838,3,FALSE)</f>
        <v/>
      </c>
      <c r="D1419" s="17">
        <f>+VLOOKUP($A1419,MAGAZZINO!$B$2:$M$4838,4,FALSE)</f>
        <v/>
      </c>
      <c r="E1419" s="17">
        <f>+VLOOKUP($A1419,MAGAZZINO!$B$2:$M$4838,5,FALSE)</f>
        <v/>
      </c>
      <c r="F1419" s="17">
        <f>+VLOOKUP($A1419,MAGAZZINO!$B$2:$M$4838,6,FALSE)</f>
        <v/>
      </c>
      <c r="G1419" s="17">
        <f>+VLOOKUP($A1419,MAGAZZINO!$B$2:$M$4838,7,FALSE)</f>
        <v/>
      </c>
      <c r="H1419" s="17">
        <f>+VLOOKUP($A1419,MAGAZZINO!$B$2:$M$4838,8,FALSE)</f>
        <v/>
      </c>
      <c r="I1419" s="17">
        <f>+VLOOKUP($A1419,MAGAZZINO!$B$2:$M$4838,9,FALSE)</f>
        <v/>
      </c>
      <c r="J1419" s="17">
        <f>+VLOOKUP($A1419,MAGAZZINO!$B$2:$M$4838,10,FALSE)</f>
        <v/>
      </c>
      <c r="K1419" s="17">
        <f>+VLOOKUP($A1419,MAGAZZINO!$B$2:$M$4838,11,FALSE)</f>
        <v/>
      </c>
      <c r="L1419" s="44">
        <f>+VLOOKUP($A1419,MAGAZZINO!$B$2:$M$4838,12,FALSE)</f>
        <v/>
      </c>
    </row>
    <row r="1420" ht="36" customHeight="1">
      <c r="A1420" s="30">
        <f>+REGISTRO!A1403</f>
        <v/>
      </c>
      <c r="B1420" s="31">
        <f>+VLOOKUP($A1420,MAGAZZINO!$B$2:$M$4838,2,FALSE)</f>
        <v/>
      </c>
      <c r="C1420" s="32">
        <f>+VLOOKUP($A1420,MAGAZZINO!$B$2:$M$4838,3,FALSE)</f>
        <v/>
      </c>
      <c r="D1420" s="17">
        <f>+VLOOKUP($A1420,MAGAZZINO!$B$2:$M$4838,4,FALSE)</f>
        <v/>
      </c>
      <c r="E1420" s="17">
        <f>+VLOOKUP($A1420,MAGAZZINO!$B$2:$M$4838,5,FALSE)</f>
        <v/>
      </c>
      <c r="F1420" s="17">
        <f>+VLOOKUP($A1420,MAGAZZINO!$B$2:$M$4838,6,FALSE)</f>
        <v/>
      </c>
      <c r="G1420" s="17">
        <f>+VLOOKUP($A1420,MAGAZZINO!$B$2:$M$4838,7,FALSE)</f>
        <v/>
      </c>
      <c r="H1420" s="17">
        <f>+VLOOKUP($A1420,MAGAZZINO!$B$2:$M$4838,8,FALSE)</f>
        <v/>
      </c>
      <c r="I1420" s="17">
        <f>+VLOOKUP($A1420,MAGAZZINO!$B$2:$M$4838,9,FALSE)</f>
        <v/>
      </c>
      <c r="J1420" s="17">
        <f>+VLOOKUP($A1420,MAGAZZINO!$B$2:$M$4838,10,FALSE)</f>
        <v/>
      </c>
      <c r="K1420" s="17">
        <f>+VLOOKUP($A1420,MAGAZZINO!$B$2:$M$4838,11,FALSE)</f>
        <v/>
      </c>
      <c r="L1420" s="44">
        <f>+VLOOKUP($A1420,MAGAZZINO!$B$2:$M$4838,12,FALSE)</f>
        <v/>
      </c>
    </row>
    <row r="1421" ht="36" customHeight="1">
      <c r="A1421" s="30">
        <f>+REGISTRO!A1404</f>
        <v/>
      </c>
      <c r="B1421" s="31">
        <f>+VLOOKUP($A1421,MAGAZZINO!$B$2:$M$4838,2,FALSE)</f>
        <v/>
      </c>
      <c r="C1421" s="32">
        <f>+VLOOKUP($A1421,MAGAZZINO!$B$2:$M$4838,3,FALSE)</f>
        <v/>
      </c>
      <c r="D1421" s="17">
        <f>+VLOOKUP($A1421,MAGAZZINO!$B$2:$M$4838,4,FALSE)</f>
        <v/>
      </c>
      <c r="E1421" s="17">
        <f>+VLOOKUP($A1421,MAGAZZINO!$B$2:$M$4838,5,FALSE)</f>
        <v/>
      </c>
      <c r="F1421" s="17">
        <f>+VLOOKUP($A1421,MAGAZZINO!$B$2:$M$4838,6,FALSE)</f>
        <v/>
      </c>
      <c r="G1421" s="17">
        <f>+VLOOKUP($A1421,MAGAZZINO!$B$2:$M$4838,7,FALSE)</f>
        <v/>
      </c>
      <c r="H1421" s="17">
        <f>+VLOOKUP($A1421,MAGAZZINO!$B$2:$M$4838,8,FALSE)</f>
        <v/>
      </c>
      <c r="I1421" s="17">
        <f>+VLOOKUP($A1421,MAGAZZINO!$B$2:$M$4838,9,FALSE)</f>
        <v/>
      </c>
      <c r="J1421" s="17">
        <f>+VLOOKUP($A1421,MAGAZZINO!$B$2:$M$4838,10,FALSE)</f>
        <v/>
      </c>
      <c r="K1421" s="17">
        <f>+VLOOKUP($A1421,MAGAZZINO!$B$2:$M$4838,11,FALSE)</f>
        <v/>
      </c>
      <c r="L1421" s="44">
        <f>+VLOOKUP($A1421,MAGAZZINO!$B$2:$M$4838,12,FALSE)</f>
        <v/>
      </c>
    </row>
    <row r="1422" ht="36" customHeight="1">
      <c r="A1422" s="30">
        <f>+REGISTRO!A1405</f>
        <v/>
      </c>
      <c r="B1422" s="31">
        <f>+VLOOKUP($A1422,MAGAZZINO!$B$2:$M$4838,2,FALSE)</f>
        <v/>
      </c>
      <c r="C1422" s="32">
        <f>+VLOOKUP($A1422,MAGAZZINO!$B$2:$M$4838,3,FALSE)</f>
        <v/>
      </c>
      <c r="D1422" s="17">
        <f>+VLOOKUP($A1422,MAGAZZINO!$B$2:$M$4838,4,FALSE)</f>
        <v/>
      </c>
      <c r="E1422" s="17">
        <f>+VLOOKUP($A1422,MAGAZZINO!$B$2:$M$4838,5,FALSE)</f>
        <v/>
      </c>
      <c r="F1422" s="17">
        <f>+VLOOKUP($A1422,MAGAZZINO!$B$2:$M$4838,6,FALSE)</f>
        <v/>
      </c>
      <c r="G1422" s="17">
        <f>+VLOOKUP($A1422,MAGAZZINO!$B$2:$M$4838,7,FALSE)</f>
        <v/>
      </c>
      <c r="H1422" s="17">
        <f>+VLOOKUP($A1422,MAGAZZINO!$B$2:$M$4838,8,FALSE)</f>
        <v/>
      </c>
      <c r="I1422" s="17">
        <f>+VLOOKUP($A1422,MAGAZZINO!$B$2:$M$4838,9,FALSE)</f>
        <v/>
      </c>
      <c r="J1422" s="17">
        <f>+VLOOKUP($A1422,MAGAZZINO!$B$2:$M$4838,10,FALSE)</f>
        <v/>
      </c>
      <c r="K1422" s="17">
        <f>+VLOOKUP($A1422,MAGAZZINO!$B$2:$M$4838,11,FALSE)</f>
        <v/>
      </c>
      <c r="L1422" s="44">
        <f>+VLOOKUP($A1422,MAGAZZINO!$B$2:$M$4838,12,FALSE)</f>
        <v/>
      </c>
    </row>
    <row r="1423" ht="36" customHeight="1">
      <c r="A1423" s="30">
        <f>+REGISTRO!A1406</f>
        <v/>
      </c>
      <c r="B1423" s="31">
        <f>+VLOOKUP($A1423,MAGAZZINO!$B$2:$M$4838,2,FALSE)</f>
        <v/>
      </c>
      <c r="C1423" s="32">
        <f>+VLOOKUP($A1423,MAGAZZINO!$B$2:$M$4838,3,FALSE)</f>
        <v/>
      </c>
      <c r="D1423" s="17">
        <f>+VLOOKUP($A1423,MAGAZZINO!$B$2:$M$4838,4,FALSE)</f>
        <v/>
      </c>
      <c r="E1423" s="17">
        <f>+VLOOKUP($A1423,MAGAZZINO!$B$2:$M$4838,5,FALSE)</f>
        <v/>
      </c>
      <c r="F1423" s="17">
        <f>+VLOOKUP($A1423,MAGAZZINO!$B$2:$M$4838,6,FALSE)</f>
        <v/>
      </c>
      <c r="G1423" s="17">
        <f>+VLOOKUP($A1423,MAGAZZINO!$B$2:$M$4838,7,FALSE)</f>
        <v/>
      </c>
      <c r="H1423" s="17">
        <f>+VLOOKUP($A1423,MAGAZZINO!$B$2:$M$4838,8,FALSE)</f>
        <v/>
      </c>
      <c r="I1423" s="17">
        <f>+VLOOKUP($A1423,MAGAZZINO!$B$2:$M$4838,9,FALSE)</f>
        <v/>
      </c>
      <c r="J1423" s="17">
        <f>+VLOOKUP($A1423,MAGAZZINO!$B$2:$M$4838,10,FALSE)</f>
        <v/>
      </c>
      <c r="K1423" s="17">
        <f>+VLOOKUP($A1423,MAGAZZINO!$B$2:$M$4838,11,FALSE)</f>
        <v/>
      </c>
      <c r="L1423" s="44">
        <f>+VLOOKUP($A1423,MAGAZZINO!$B$2:$M$4838,12,FALSE)</f>
        <v/>
      </c>
    </row>
    <row r="1424" ht="36" customHeight="1">
      <c r="A1424" s="30">
        <f>+REGISTRO!A1407</f>
        <v/>
      </c>
      <c r="B1424" s="31">
        <f>+VLOOKUP($A1424,MAGAZZINO!$B$2:$M$4838,2,FALSE)</f>
        <v/>
      </c>
      <c r="C1424" s="32">
        <f>+VLOOKUP($A1424,MAGAZZINO!$B$2:$M$4838,3,FALSE)</f>
        <v/>
      </c>
      <c r="D1424" s="17">
        <f>+VLOOKUP($A1424,MAGAZZINO!$B$2:$M$4838,4,FALSE)</f>
        <v/>
      </c>
      <c r="E1424" s="17">
        <f>+VLOOKUP($A1424,MAGAZZINO!$B$2:$M$4838,5,FALSE)</f>
        <v/>
      </c>
      <c r="F1424" s="17">
        <f>+VLOOKUP($A1424,MAGAZZINO!$B$2:$M$4838,6,FALSE)</f>
        <v/>
      </c>
      <c r="G1424" s="17">
        <f>+VLOOKUP($A1424,MAGAZZINO!$B$2:$M$4838,7,FALSE)</f>
        <v/>
      </c>
      <c r="H1424" s="17">
        <f>+VLOOKUP($A1424,MAGAZZINO!$B$2:$M$4838,8,FALSE)</f>
        <v/>
      </c>
      <c r="I1424" s="17">
        <f>+VLOOKUP($A1424,MAGAZZINO!$B$2:$M$4838,9,FALSE)</f>
        <v/>
      </c>
      <c r="J1424" s="17">
        <f>+VLOOKUP($A1424,MAGAZZINO!$B$2:$M$4838,10,FALSE)</f>
        <v/>
      </c>
      <c r="K1424" s="17">
        <f>+VLOOKUP($A1424,MAGAZZINO!$B$2:$M$4838,11,FALSE)</f>
        <v/>
      </c>
      <c r="L1424" s="44">
        <f>+VLOOKUP($A1424,MAGAZZINO!$B$2:$M$4838,12,FALSE)</f>
        <v/>
      </c>
    </row>
    <row r="1425" ht="36" customHeight="1">
      <c r="A1425" s="30">
        <f>+REGISTRO!A1408</f>
        <v/>
      </c>
      <c r="B1425" s="31">
        <f>+VLOOKUP($A1425,MAGAZZINO!$B$2:$M$4838,2,FALSE)</f>
        <v/>
      </c>
      <c r="C1425" s="32">
        <f>+VLOOKUP($A1425,MAGAZZINO!$B$2:$M$4838,3,FALSE)</f>
        <v/>
      </c>
      <c r="D1425" s="17">
        <f>+VLOOKUP($A1425,MAGAZZINO!$B$2:$M$4838,4,FALSE)</f>
        <v/>
      </c>
      <c r="E1425" s="17">
        <f>+VLOOKUP($A1425,MAGAZZINO!$B$2:$M$4838,5,FALSE)</f>
        <v/>
      </c>
      <c r="F1425" s="17">
        <f>+VLOOKUP($A1425,MAGAZZINO!$B$2:$M$4838,6,FALSE)</f>
        <v/>
      </c>
      <c r="G1425" s="17">
        <f>+VLOOKUP($A1425,MAGAZZINO!$B$2:$M$4838,7,FALSE)</f>
        <v/>
      </c>
      <c r="H1425" s="17">
        <f>+VLOOKUP($A1425,MAGAZZINO!$B$2:$M$4838,8,FALSE)</f>
        <v/>
      </c>
      <c r="I1425" s="17">
        <f>+VLOOKUP($A1425,MAGAZZINO!$B$2:$M$4838,9,FALSE)</f>
        <v/>
      </c>
      <c r="J1425" s="17">
        <f>+VLOOKUP($A1425,MAGAZZINO!$B$2:$M$4838,10,FALSE)</f>
        <v/>
      </c>
      <c r="K1425" s="17">
        <f>+VLOOKUP($A1425,MAGAZZINO!$B$2:$M$4838,11,FALSE)</f>
        <v/>
      </c>
      <c r="L1425" s="44">
        <f>+VLOOKUP($A1425,MAGAZZINO!$B$2:$M$4838,12,FALSE)</f>
        <v/>
      </c>
    </row>
    <row r="1426" ht="36" customHeight="1">
      <c r="A1426" s="30">
        <f>+REGISTRO!A1409</f>
        <v/>
      </c>
      <c r="B1426" s="31">
        <f>+VLOOKUP($A1426,MAGAZZINO!$B$2:$M$4838,2,FALSE)</f>
        <v/>
      </c>
      <c r="C1426" s="32">
        <f>+VLOOKUP($A1426,MAGAZZINO!$B$2:$M$4838,3,FALSE)</f>
        <v/>
      </c>
      <c r="D1426" s="17">
        <f>+VLOOKUP($A1426,MAGAZZINO!$B$2:$M$4838,4,FALSE)</f>
        <v/>
      </c>
      <c r="E1426" s="17">
        <f>+VLOOKUP($A1426,MAGAZZINO!$B$2:$M$4838,5,FALSE)</f>
        <v/>
      </c>
      <c r="F1426" s="17">
        <f>+VLOOKUP($A1426,MAGAZZINO!$B$2:$M$4838,6,FALSE)</f>
        <v/>
      </c>
      <c r="G1426" s="17">
        <f>+VLOOKUP($A1426,MAGAZZINO!$B$2:$M$4838,7,FALSE)</f>
        <v/>
      </c>
      <c r="H1426" s="17">
        <f>+VLOOKUP($A1426,MAGAZZINO!$B$2:$M$4838,8,FALSE)</f>
        <v/>
      </c>
      <c r="I1426" s="17">
        <f>+VLOOKUP($A1426,MAGAZZINO!$B$2:$M$4838,9,FALSE)</f>
        <v/>
      </c>
      <c r="J1426" s="17">
        <f>+VLOOKUP($A1426,MAGAZZINO!$B$2:$M$4838,10,FALSE)</f>
        <v/>
      </c>
      <c r="K1426" s="17">
        <f>+VLOOKUP($A1426,MAGAZZINO!$B$2:$M$4838,11,FALSE)</f>
        <v/>
      </c>
      <c r="L1426" s="44">
        <f>+VLOOKUP($A1426,MAGAZZINO!$B$2:$M$4838,12,FALSE)</f>
        <v/>
      </c>
    </row>
    <row r="1427" ht="36" customHeight="1">
      <c r="A1427" s="30">
        <f>+REGISTRO!A1410</f>
        <v/>
      </c>
      <c r="B1427" s="31">
        <f>+VLOOKUP($A1427,MAGAZZINO!$B$2:$M$4838,2,FALSE)</f>
        <v/>
      </c>
      <c r="C1427" s="32">
        <f>+VLOOKUP($A1427,MAGAZZINO!$B$2:$M$4838,3,FALSE)</f>
        <v/>
      </c>
      <c r="D1427" s="17">
        <f>+VLOOKUP($A1427,MAGAZZINO!$B$2:$M$4838,4,FALSE)</f>
        <v/>
      </c>
      <c r="E1427" s="17">
        <f>+VLOOKUP($A1427,MAGAZZINO!$B$2:$M$4838,5,FALSE)</f>
        <v/>
      </c>
      <c r="F1427" s="17">
        <f>+VLOOKUP($A1427,MAGAZZINO!$B$2:$M$4838,6,FALSE)</f>
        <v/>
      </c>
      <c r="G1427" s="17">
        <f>+VLOOKUP($A1427,MAGAZZINO!$B$2:$M$4838,7,FALSE)</f>
        <v/>
      </c>
      <c r="H1427" s="17">
        <f>+VLOOKUP($A1427,MAGAZZINO!$B$2:$M$4838,8,FALSE)</f>
        <v/>
      </c>
      <c r="I1427" s="17">
        <f>+VLOOKUP($A1427,MAGAZZINO!$B$2:$M$4838,9,FALSE)</f>
        <v/>
      </c>
      <c r="J1427" s="17">
        <f>+VLOOKUP($A1427,MAGAZZINO!$B$2:$M$4838,10,FALSE)</f>
        <v/>
      </c>
      <c r="K1427" s="17">
        <f>+VLOOKUP($A1427,MAGAZZINO!$B$2:$M$4838,11,FALSE)</f>
        <v/>
      </c>
      <c r="L1427" s="44">
        <f>+VLOOKUP($A1427,MAGAZZINO!$B$2:$M$4838,12,FALSE)</f>
        <v/>
      </c>
    </row>
    <row r="1428" ht="36" customHeight="1">
      <c r="A1428" s="30">
        <f>+REGISTRO!A1411</f>
        <v/>
      </c>
      <c r="B1428" s="31">
        <f>+VLOOKUP($A1428,MAGAZZINO!$B$2:$M$4838,2,FALSE)</f>
        <v/>
      </c>
      <c r="C1428" s="32">
        <f>+VLOOKUP($A1428,MAGAZZINO!$B$2:$M$4838,3,FALSE)</f>
        <v/>
      </c>
      <c r="D1428" s="17">
        <f>+VLOOKUP($A1428,MAGAZZINO!$B$2:$M$4838,4,FALSE)</f>
        <v/>
      </c>
      <c r="E1428" s="17">
        <f>+VLOOKUP($A1428,MAGAZZINO!$B$2:$M$4838,5,FALSE)</f>
        <v/>
      </c>
      <c r="F1428" s="17">
        <f>+VLOOKUP($A1428,MAGAZZINO!$B$2:$M$4838,6,FALSE)</f>
        <v/>
      </c>
      <c r="G1428" s="17">
        <f>+VLOOKUP($A1428,MAGAZZINO!$B$2:$M$4838,7,FALSE)</f>
        <v/>
      </c>
      <c r="H1428" s="17">
        <f>+VLOOKUP($A1428,MAGAZZINO!$B$2:$M$4838,8,FALSE)</f>
        <v/>
      </c>
      <c r="I1428" s="17">
        <f>+VLOOKUP($A1428,MAGAZZINO!$B$2:$M$4838,9,FALSE)</f>
        <v/>
      </c>
      <c r="J1428" s="17">
        <f>+VLOOKUP($A1428,MAGAZZINO!$B$2:$M$4838,10,FALSE)</f>
        <v/>
      </c>
      <c r="K1428" s="17">
        <f>+VLOOKUP($A1428,MAGAZZINO!$B$2:$M$4838,11,FALSE)</f>
        <v/>
      </c>
      <c r="L1428" s="44">
        <f>+VLOOKUP($A1428,MAGAZZINO!$B$2:$M$4838,12,FALSE)</f>
        <v/>
      </c>
    </row>
    <row r="1429" ht="36" customHeight="1">
      <c r="A1429" s="30">
        <f>+REGISTRO!A1412</f>
        <v/>
      </c>
      <c r="B1429" s="31">
        <f>+VLOOKUP($A1429,MAGAZZINO!$B$2:$M$4838,2,FALSE)</f>
        <v/>
      </c>
      <c r="C1429" s="32">
        <f>+VLOOKUP($A1429,MAGAZZINO!$B$2:$M$4838,3,FALSE)</f>
        <v/>
      </c>
      <c r="D1429" s="17">
        <f>+VLOOKUP($A1429,MAGAZZINO!$B$2:$M$4838,4,FALSE)</f>
        <v/>
      </c>
      <c r="E1429" s="17">
        <f>+VLOOKUP($A1429,MAGAZZINO!$B$2:$M$4838,5,FALSE)</f>
        <v/>
      </c>
      <c r="F1429" s="17">
        <f>+VLOOKUP($A1429,MAGAZZINO!$B$2:$M$4838,6,FALSE)</f>
        <v/>
      </c>
      <c r="G1429" s="17">
        <f>+VLOOKUP($A1429,MAGAZZINO!$B$2:$M$4838,7,FALSE)</f>
        <v/>
      </c>
      <c r="H1429" s="17">
        <f>+VLOOKUP($A1429,MAGAZZINO!$B$2:$M$4838,8,FALSE)</f>
        <v/>
      </c>
      <c r="I1429" s="17">
        <f>+VLOOKUP($A1429,MAGAZZINO!$B$2:$M$4838,9,FALSE)</f>
        <v/>
      </c>
      <c r="J1429" s="17">
        <f>+VLOOKUP($A1429,MAGAZZINO!$B$2:$M$4838,10,FALSE)</f>
        <v/>
      </c>
      <c r="K1429" s="17">
        <f>+VLOOKUP($A1429,MAGAZZINO!$B$2:$M$4838,11,FALSE)</f>
        <v/>
      </c>
      <c r="L1429" s="44">
        <f>+VLOOKUP($A1429,MAGAZZINO!$B$2:$M$4838,12,FALSE)</f>
        <v/>
      </c>
    </row>
    <row r="1430" ht="36" customHeight="1">
      <c r="A1430" s="30">
        <f>+REGISTRO!A1413</f>
        <v/>
      </c>
      <c r="B1430" s="31">
        <f>+VLOOKUP($A1430,MAGAZZINO!$B$2:$M$4838,2,FALSE)</f>
        <v/>
      </c>
      <c r="C1430" s="32">
        <f>+VLOOKUP($A1430,MAGAZZINO!$B$2:$M$4838,3,FALSE)</f>
        <v/>
      </c>
      <c r="D1430" s="17">
        <f>+VLOOKUP($A1430,MAGAZZINO!$B$2:$M$4838,4,FALSE)</f>
        <v/>
      </c>
      <c r="E1430" s="17">
        <f>+VLOOKUP($A1430,MAGAZZINO!$B$2:$M$4838,5,FALSE)</f>
        <v/>
      </c>
      <c r="F1430" s="17">
        <f>+VLOOKUP($A1430,MAGAZZINO!$B$2:$M$4838,6,FALSE)</f>
        <v/>
      </c>
      <c r="G1430" s="17">
        <f>+VLOOKUP($A1430,MAGAZZINO!$B$2:$M$4838,7,FALSE)</f>
        <v/>
      </c>
      <c r="H1430" s="17">
        <f>+VLOOKUP($A1430,MAGAZZINO!$B$2:$M$4838,8,FALSE)</f>
        <v/>
      </c>
      <c r="I1430" s="17">
        <f>+VLOOKUP($A1430,MAGAZZINO!$B$2:$M$4838,9,FALSE)</f>
        <v/>
      </c>
      <c r="J1430" s="17">
        <f>+VLOOKUP($A1430,MAGAZZINO!$B$2:$M$4838,10,FALSE)</f>
        <v/>
      </c>
      <c r="K1430" s="17">
        <f>+VLOOKUP($A1430,MAGAZZINO!$B$2:$M$4838,11,FALSE)</f>
        <v/>
      </c>
      <c r="L1430" s="44">
        <f>+VLOOKUP($A1430,MAGAZZINO!$B$2:$M$4838,12,FALSE)</f>
        <v/>
      </c>
    </row>
    <row r="1431" ht="36" customHeight="1">
      <c r="A1431" s="30">
        <f>+REGISTRO!A1414</f>
        <v/>
      </c>
      <c r="B1431" s="31">
        <f>+VLOOKUP($A1431,MAGAZZINO!$B$2:$M$4838,2,FALSE)</f>
        <v/>
      </c>
      <c r="C1431" s="32">
        <f>+VLOOKUP($A1431,MAGAZZINO!$B$2:$M$4838,3,FALSE)</f>
        <v/>
      </c>
      <c r="D1431" s="17">
        <f>+VLOOKUP($A1431,MAGAZZINO!$B$2:$M$4838,4,FALSE)</f>
        <v/>
      </c>
      <c r="E1431" s="17">
        <f>+VLOOKUP($A1431,MAGAZZINO!$B$2:$M$4838,5,FALSE)</f>
        <v/>
      </c>
      <c r="F1431" s="17">
        <f>+VLOOKUP($A1431,MAGAZZINO!$B$2:$M$4838,6,FALSE)</f>
        <v/>
      </c>
      <c r="G1431" s="17">
        <f>+VLOOKUP($A1431,MAGAZZINO!$B$2:$M$4838,7,FALSE)</f>
        <v/>
      </c>
      <c r="H1431" s="17">
        <f>+VLOOKUP($A1431,MAGAZZINO!$B$2:$M$4838,8,FALSE)</f>
        <v/>
      </c>
      <c r="I1431" s="17">
        <f>+VLOOKUP($A1431,MAGAZZINO!$B$2:$M$4838,9,FALSE)</f>
        <v/>
      </c>
      <c r="J1431" s="17">
        <f>+VLOOKUP($A1431,MAGAZZINO!$B$2:$M$4838,10,FALSE)</f>
        <v/>
      </c>
      <c r="K1431" s="17">
        <f>+VLOOKUP($A1431,MAGAZZINO!$B$2:$M$4838,11,FALSE)</f>
        <v/>
      </c>
      <c r="L1431" s="44">
        <f>+VLOOKUP($A1431,MAGAZZINO!$B$2:$M$4838,12,FALSE)</f>
        <v/>
      </c>
    </row>
    <row r="1432" ht="36" customHeight="1">
      <c r="A1432" s="30">
        <f>+REGISTRO!A1415</f>
        <v/>
      </c>
      <c r="B1432" s="31">
        <f>+VLOOKUP($A1432,MAGAZZINO!$B$2:$M$4838,2,FALSE)</f>
        <v/>
      </c>
      <c r="C1432" s="32">
        <f>+VLOOKUP($A1432,MAGAZZINO!$B$2:$M$4838,3,FALSE)</f>
        <v/>
      </c>
      <c r="D1432" s="17">
        <f>+VLOOKUP($A1432,MAGAZZINO!$B$2:$M$4838,4,FALSE)</f>
        <v/>
      </c>
      <c r="E1432" s="17">
        <f>+VLOOKUP($A1432,MAGAZZINO!$B$2:$M$4838,5,FALSE)</f>
        <v/>
      </c>
      <c r="F1432" s="17">
        <f>+VLOOKUP($A1432,MAGAZZINO!$B$2:$M$4838,6,FALSE)</f>
        <v/>
      </c>
      <c r="G1432" s="17">
        <f>+VLOOKUP($A1432,MAGAZZINO!$B$2:$M$4838,7,FALSE)</f>
        <v/>
      </c>
      <c r="H1432" s="17">
        <f>+VLOOKUP($A1432,MAGAZZINO!$B$2:$M$4838,8,FALSE)</f>
        <v/>
      </c>
      <c r="I1432" s="17">
        <f>+VLOOKUP($A1432,MAGAZZINO!$B$2:$M$4838,9,FALSE)</f>
        <v/>
      </c>
      <c r="J1432" s="17">
        <f>+VLOOKUP($A1432,MAGAZZINO!$B$2:$M$4838,10,FALSE)</f>
        <v/>
      </c>
      <c r="K1432" s="17">
        <f>+VLOOKUP($A1432,MAGAZZINO!$B$2:$M$4838,11,FALSE)</f>
        <v/>
      </c>
      <c r="L1432" s="44">
        <f>+VLOOKUP($A1432,MAGAZZINO!$B$2:$M$4838,12,FALSE)</f>
        <v/>
      </c>
    </row>
    <row r="1433" ht="36" customHeight="1">
      <c r="A1433" s="30">
        <f>+REGISTRO!A1416</f>
        <v/>
      </c>
      <c r="B1433" s="31">
        <f>+VLOOKUP($A1433,MAGAZZINO!$B$2:$M$4838,2,FALSE)</f>
        <v/>
      </c>
      <c r="C1433" s="32">
        <f>+VLOOKUP($A1433,MAGAZZINO!$B$2:$M$4838,3,FALSE)</f>
        <v/>
      </c>
      <c r="D1433" s="17">
        <f>+VLOOKUP($A1433,MAGAZZINO!$B$2:$M$4838,4,FALSE)</f>
        <v/>
      </c>
      <c r="E1433" s="17">
        <f>+VLOOKUP($A1433,MAGAZZINO!$B$2:$M$4838,5,FALSE)</f>
        <v/>
      </c>
      <c r="F1433" s="17">
        <f>+VLOOKUP($A1433,MAGAZZINO!$B$2:$M$4838,6,FALSE)</f>
        <v/>
      </c>
      <c r="G1433" s="17">
        <f>+VLOOKUP($A1433,MAGAZZINO!$B$2:$M$4838,7,FALSE)</f>
        <v/>
      </c>
      <c r="H1433" s="17">
        <f>+VLOOKUP($A1433,MAGAZZINO!$B$2:$M$4838,8,FALSE)</f>
        <v/>
      </c>
      <c r="I1433" s="17">
        <f>+VLOOKUP($A1433,MAGAZZINO!$B$2:$M$4838,9,FALSE)</f>
        <v/>
      </c>
      <c r="J1433" s="17">
        <f>+VLOOKUP($A1433,MAGAZZINO!$B$2:$M$4838,10,FALSE)</f>
        <v/>
      </c>
      <c r="K1433" s="17">
        <f>+VLOOKUP($A1433,MAGAZZINO!$B$2:$M$4838,11,FALSE)</f>
        <v/>
      </c>
      <c r="L1433" s="44">
        <f>+VLOOKUP($A1433,MAGAZZINO!$B$2:$M$4838,12,FALSE)</f>
        <v/>
      </c>
    </row>
    <row r="1434" ht="36" customHeight="1">
      <c r="A1434" s="30">
        <f>+REGISTRO!A1417</f>
        <v/>
      </c>
      <c r="B1434" s="31">
        <f>+VLOOKUP($A1434,MAGAZZINO!$B$2:$M$4838,2,FALSE)</f>
        <v/>
      </c>
      <c r="C1434" s="32">
        <f>+VLOOKUP($A1434,MAGAZZINO!$B$2:$M$4838,3,FALSE)</f>
        <v/>
      </c>
      <c r="D1434" s="17">
        <f>+VLOOKUP($A1434,MAGAZZINO!$B$2:$M$4838,4,FALSE)</f>
        <v/>
      </c>
      <c r="E1434" s="17">
        <f>+VLOOKUP($A1434,MAGAZZINO!$B$2:$M$4838,5,FALSE)</f>
        <v/>
      </c>
      <c r="F1434" s="17">
        <f>+VLOOKUP($A1434,MAGAZZINO!$B$2:$M$4838,6,FALSE)</f>
        <v/>
      </c>
      <c r="G1434" s="17">
        <f>+VLOOKUP($A1434,MAGAZZINO!$B$2:$M$4838,7,FALSE)</f>
        <v/>
      </c>
      <c r="H1434" s="17">
        <f>+VLOOKUP($A1434,MAGAZZINO!$B$2:$M$4838,8,FALSE)</f>
        <v/>
      </c>
      <c r="I1434" s="17">
        <f>+VLOOKUP($A1434,MAGAZZINO!$B$2:$M$4838,9,FALSE)</f>
        <v/>
      </c>
      <c r="J1434" s="17">
        <f>+VLOOKUP($A1434,MAGAZZINO!$B$2:$M$4838,10,FALSE)</f>
        <v/>
      </c>
      <c r="K1434" s="17">
        <f>+VLOOKUP($A1434,MAGAZZINO!$B$2:$M$4838,11,FALSE)</f>
        <v/>
      </c>
      <c r="L1434" s="44">
        <f>+VLOOKUP($A1434,MAGAZZINO!$B$2:$M$4838,12,FALSE)</f>
        <v/>
      </c>
    </row>
    <row r="1435" ht="36" customHeight="1">
      <c r="A1435" s="30">
        <f>+REGISTRO!A1418</f>
        <v/>
      </c>
      <c r="B1435" s="31">
        <f>+VLOOKUP($A1435,MAGAZZINO!$B$2:$M$4838,2,FALSE)</f>
        <v/>
      </c>
      <c r="C1435" s="32">
        <f>+VLOOKUP($A1435,MAGAZZINO!$B$2:$M$4838,3,FALSE)</f>
        <v/>
      </c>
      <c r="D1435" s="17">
        <f>+VLOOKUP($A1435,MAGAZZINO!$B$2:$M$4838,4,FALSE)</f>
        <v/>
      </c>
      <c r="E1435" s="17">
        <f>+VLOOKUP($A1435,MAGAZZINO!$B$2:$M$4838,5,FALSE)</f>
        <v/>
      </c>
      <c r="F1435" s="17">
        <f>+VLOOKUP($A1435,MAGAZZINO!$B$2:$M$4838,6,FALSE)</f>
        <v/>
      </c>
      <c r="G1435" s="17">
        <f>+VLOOKUP($A1435,MAGAZZINO!$B$2:$M$4838,7,FALSE)</f>
        <v/>
      </c>
      <c r="H1435" s="17">
        <f>+VLOOKUP($A1435,MAGAZZINO!$B$2:$M$4838,8,FALSE)</f>
        <v/>
      </c>
      <c r="I1435" s="17">
        <f>+VLOOKUP($A1435,MAGAZZINO!$B$2:$M$4838,9,FALSE)</f>
        <v/>
      </c>
      <c r="J1435" s="17">
        <f>+VLOOKUP($A1435,MAGAZZINO!$B$2:$M$4838,10,FALSE)</f>
        <v/>
      </c>
      <c r="K1435" s="17">
        <f>+VLOOKUP($A1435,MAGAZZINO!$B$2:$M$4838,11,FALSE)</f>
        <v/>
      </c>
      <c r="L1435" s="44">
        <f>+VLOOKUP($A1435,MAGAZZINO!$B$2:$M$4838,12,FALSE)</f>
        <v/>
      </c>
    </row>
    <row r="1436" ht="36" customHeight="1">
      <c r="A1436" s="30">
        <f>+REGISTRO!A1419</f>
        <v/>
      </c>
      <c r="B1436" s="31">
        <f>+VLOOKUP($A1436,MAGAZZINO!$B$2:$M$4838,2,FALSE)</f>
        <v/>
      </c>
      <c r="C1436" s="32">
        <f>+VLOOKUP($A1436,MAGAZZINO!$B$2:$M$4838,3,FALSE)</f>
        <v/>
      </c>
      <c r="D1436" s="17">
        <f>+VLOOKUP($A1436,MAGAZZINO!$B$2:$M$4838,4,FALSE)</f>
        <v/>
      </c>
      <c r="E1436" s="17">
        <f>+VLOOKUP($A1436,MAGAZZINO!$B$2:$M$4838,5,FALSE)</f>
        <v/>
      </c>
      <c r="F1436" s="17">
        <f>+VLOOKUP($A1436,MAGAZZINO!$B$2:$M$4838,6,FALSE)</f>
        <v/>
      </c>
      <c r="G1436" s="17">
        <f>+VLOOKUP($A1436,MAGAZZINO!$B$2:$M$4838,7,FALSE)</f>
        <v/>
      </c>
      <c r="H1436" s="17">
        <f>+VLOOKUP($A1436,MAGAZZINO!$B$2:$M$4838,8,FALSE)</f>
        <v/>
      </c>
      <c r="I1436" s="17">
        <f>+VLOOKUP($A1436,MAGAZZINO!$B$2:$M$4838,9,FALSE)</f>
        <v/>
      </c>
      <c r="J1436" s="17">
        <f>+VLOOKUP($A1436,MAGAZZINO!$B$2:$M$4838,10,FALSE)</f>
        <v/>
      </c>
      <c r="K1436" s="17">
        <f>+VLOOKUP($A1436,MAGAZZINO!$B$2:$M$4838,11,FALSE)</f>
        <v/>
      </c>
      <c r="L1436" s="44">
        <f>+VLOOKUP($A1436,MAGAZZINO!$B$2:$M$4838,12,FALSE)</f>
        <v/>
      </c>
    </row>
    <row r="1437" ht="36" customHeight="1">
      <c r="A1437" s="30">
        <f>+REGISTRO!A1420</f>
        <v/>
      </c>
      <c r="B1437" s="31">
        <f>+VLOOKUP($A1437,MAGAZZINO!$B$2:$M$4838,2,FALSE)</f>
        <v/>
      </c>
      <c r="C1437" s="32">
        <f>+VLOOKUP($A1437,MAGAZZINO!$B$2:$M$4838,3,FALSE)</f>
        <v/>
      </c>
      <c r="D1437" s="17">
        <f>+VLOOKUP($A1437,MAGAZZINO!$B$2:$M$4838,4,FALSE)</f>
        <v/>
      </c>
      <c r="E1437" s="17">
        <f>+VLOOKUP($A1437,MAGAZZINO!$B$2:$M$4838,5,FALSE)</f>
        <v/>
      </c>
      <c r="F1437" s="17">
        <f>+VLOOKUP($A1437,MAGAZZINO!$B$2:$M$4838,6,FALSE)</f>
        <v/>
      </c>
      <c r="G1437" s="17">
        <f>+VLOOKUP($A1437,MAGAZZINO!$B$2:$M$4838,7,FALSE)</f>
        <v/>
      </c>
      <c r="H1437" s="17">
        <f>+VLOOKUP($A1437,MAGAZZINO!$B$2:$M$4838,8,FALSE)</f>
        <v/>
      </c>
      <c r="I1437" s="17">
        <f>+VLOOKUP($A1437,MAGAZZINO!$B$2:$M$4838,9,FALSE)</f>
        <v/>
      </c>
      <c r="J1437" s="17">
        <f>+VLOOKUP($A1437,MAGAZZINO!$B$2:$M$4838,10,FALSE)</f>
        <v/>
      </c>
      <c r="K1437" s="17">
        <f>+VLOOKUP($A1437,MAGAZZINO!$B$2:$M$4838,11,FALSE)</f>
        <v/>
      </c>
      <c r="L1437" s="44">
        <f>+VLOOKUP($A1437,MAGAZZINO!$B$2:$M$4838,12,FALSE)</f>
        <v/>
      </c>
    </row>
    <row r="1438" ht="36" customHeight="1">
      <c r="A1438" s="30">
        <f>+REGISTRO!A1421</f>
        <v/>
      </c>
      <c r="B1438" s="31">
        <f>+VLOOKUP($A1438,MAGAZZINO!$B$2:$M$4838,2,FALSE)</f>
        <v/>
      </c>
      <c r="C1438" s="32">
        <f>+VLOOKUP($A1438,MAGAZZINO!$B$2:$M$4838,3,FALSE)</f>
        <v/>
      </c>
      <c r="D1438" s="17">
        <f>+VLOOKUP($A1438,MAGAZZINO!$B$2:$M$4838,4,FALSE)</f>
        <v/>
      </c>
      <c r="E1438" s="17">
        <f>+VLOOKUP($A1438,MAGAZZINO!$B$2:$M$4838,5,FALSE)</f>
        <v/>
      </c>
      <c r="F1438" s="17">
        <f>+VLOOKUP($A1438,MAGAZZINO!$B$2:$M$4838,6,FALSE)</f>
        <v/>
      </c>
      <c r="G1438" s="17">
        <f>+VLOOKUP($A1438,MAGAZZINO!$B$2:$M$4838,7,FALSE)</f>
        <v/>
      </c>
      <c r="H1438" s="17">
        <f>+VLOOKUP($A1438,MAGAZZINO!$B$2:$M$4838,8,FALSE)</f>
        <v/>
      </c>
      <c r="I1438" s="17">
        <f>+VLOOKUP($A1438,MAGAZZINO!$B$2:$M$4838,9,FALSE)</f>
        <v/>
      </c>
      <c r="J1438" s="17">
        <f>+VLOOKUP($A1438,MAGAZZINO!$B$2:$M$4838,10,FALSE)</f>
        <v/>
      </c>
      <c r="K1438" s="17">
        <f>+VLOOKUP($A1438,MAGAZZINO!$B$2:$M$4838,11,FALSE)</f>
        <v/>
      </c>
      <c r="L1438" s="44">
        <f>+VLOOKUP($A1438,MAGAZZINO!$B$2:$M$4838,12,FALSE)</f>
        <v/>
      </c>
    </row>
    <row r="1439" ht="36" customHeight="1">
      <c r="A1439" s="30">
        <f>+REGISTRO!A1422</f>
        <v/>
      </c>
      <c r="B1439" s="31">
        <f>+VLOOKUP($A1439,MAGAZZINO!$B$2:$M$4838,2,FALSE)</f>
        <v/>
      </c>
      <c r="C1439" s="32">
        <f>+VLOOKUP($A1439,MAGAZZINO!$B$2:$M$4838,3,FALSE)</f>
        <v/>
      </c>
      <c r="D1439" s="17">
        <f>+VLOOKUP($A1439,MAGAZZINO!$B$2:$M$4838,4,FALSE)</f>
        <v/>
      </c>
      <c r="E1439" s="17">
        <f>+VLOOKUP($A1439,MAGAZZINO!$B$2:$M$4838,5,FALSE)</f>
        <v/>
      </c>
      <c r="F1439" s="17">
        <f>+VLOOKUP($A1439,MAGAZZINO!$B$2:$M$4838,6,FALSE)</f>
        <v/>
      </c>
      <c r="G1439" s="17">
        <f>+VLOOKUP($A1439,MAGAZZINO!$B$2:$M$4838,7,FALSE)</f>
        <v/>
      </c>
      <c r="H1439" s="17">
        <f>+VLOOKUP($A1439,MAGAZZINO!$B$2:$M$4838,8,FALSE)</f>
        <v/>
      </c>
      <c r="I1439" s="17">
        <f>+VLOOKUP($A1439,MAGAZZINO!$B$2:$M$4838,9,FALSE)</f>
        <v/>
      </c>
      <c r="J1439" s="17">
        <f>+VLOOKUP($A1439,MAGAZZINO!$B$2:$M$4838,10,FALSE)</f>
        <v/>
      </c>
      <c r="K1439" s="17">
        <f>+VLOOKUP($A1439,MAGAZZINO!$B$2:$M$4838,11,FALSE)</f>
        <v/>
      </c>
      <c r="L1439" s="44">
        <f>+VLOOKUP($A1439,MAGAZZINO!$B$2:$M$4838,12,FALSE)</f>
        <v/>
      </c>
    </row>
    <row r="1440" ht="36" customHeight="1">
      <c r="A1440" s="30">
        <f>+REGISTRO!A1423</f>
        <v/>
      </c>
      <c r="B1440" s="31">
        <f>+VLOOKUP($A1440,MAGAZZINO!$B$2:$M$4838,2,FALSE)</f>
        <v/>
      </c>
      <c r="C1440" s="32">
        <f>+VLOOKUP($A1440,MAGAZZINO!$B$2:$M$4838,3,FALSE)</f>
        <v/>
      </c>
      <c r="D1440" s="17">
        <f>+VLOOKUP($A1440,MAGAZZINO!$B$2:$M$4838,4,FALSE)</f>
        <v/>
      </c>
      <c r="E1440" s="17">
        <f>+VLOOKUP($A1440,MAGAZZINO!$B$2:$M$4838,5,FALSE)</f>
        <v/>
      </c>
      <c r="F1440" s="17">
        <f>+VLOOKUP($A1440,MAGAZZINO!$B$2:$M$4838,6,FALSE)</f>
        <v/>
      </c>
      <c r="G1440" s="17">
        <f>+VLOOKUP($A1440,MAGAZZINO!$B$2:$M$4838,7,FALSE)</f>
        <v/>
      </c>
      <c r="H1440" s="17">
        <f>+VLOOKUP($A1440,MAGAZZINO!$B$2:$M$4838,8,FALSE)</f>
        <v/>
      </c>
      <c r="I1440" s="17">
        <f>+VLOOKUP($A1440,MAGAZZINO!$B$2:$M$4838,9,FALSE)</f>
        <v/>
      </c>
      <c r="J1440" s="17">
        <f>+VLOOKUP($A1440,MAGAZZINO!$B$2:$M$4838,10,FALSE)</f>
        <v/>
      </c>
      <c r="K1440" s="17">
        <f>+VLOOKUP($A1440,MAGAZZINO!$B$2:$M$4838,11,FALSE)</f>
        <v/>
      </c>
      <c r="L1440" s="44">
        <f>+VLOOKUP($A1440,MAGAZZINO!$B$2:$M$4838,12,FALSE)</f>
        <v/>
      </c>
    </row>
    <row r="1441" ht="36" customHeight="1">
      <c r="A1441" s="30">
        <f>+REGISTRO!A1424</f>
        <v/>
      </c>
      <c r="B1441" s="31">
        <f>+VLOOKUP($A1441,MAGAZZINO!$B$2:$M$4838,2,FALSE)</f>
        <v/>
      </c>
      <c r="C1441" s="32">
        <f>+VLOOKUP($A1441,MAGAZZINO!$B$2:$M$4838,3,FALSE)</f>
        <v/>
      </c>
      <c r="D1441" s="17">
        <f>+VLOOKUP($A1441,MAGAZZINO!$B$2:$M$4838,4,FALSE)</f>
        <v/>
      </c>
      <c r="E1441" s="17">
        <f>+VLOOKUP($A1441,MAGAZZINO!$B$2:$M$4838,5,FALSE)</f>
        <v/>
      </c>
      <c r="F1441" s="17">
        <f>+VLOOKUP($A1441,MAGAZZINO!$B$2:$M$4838,6,FALSE)</f>
        <v/>
      </c>
      <c r="G1441" s="17">
        <f>+VLOOKUP($A1441,MAGAZZINO!$B$2:$M$4838,7,FALSE)</f>
        <v/>
      </c>
      <c r="H1441" s="17">
        <f>+VLOOKUP($A1441,MAGAZZINO!$B$2:$M$4838,8,FALSE)</f>
        <v/>
      </c>
      <c r="I1441" s="17">
        <f>+VLOOKUP($A1441,MAGAZZINO!$B$2:$M$4838,9,FALSE)</f>
        <v/>
      </c>
      <c r="J1441" s="17">
        <f>+VLOOKUP($A1441,MAGAZZINO!$B$2:$M$4838,10,FALSE)</f>
        <v/>
      </c>
      <c r="K1441" s="17">
        <f>+VLOOKUP($A1441,MAGAZZINO!$B$2:$M$4838,11,FALSE)</f>
        <v/>
      </c>
      <c r="L1441" s="44">
        <f>+VLOOKUP($A1441,MAGAZZINO!$B$2:$M$4838,12,FALSE)</f>
        <v/>
      </c>
    </row>
    <row r="1442" ht="36" customHeight="1">
      <c r="A1442" s="30">
        <f>+REGISTRO!A1425</f>
        <v/>
      </c>
      <c r="B1442" s="31">
        <f>+VLOOKUP($A1442,MAGAZZINO!$B$2:$M$4838,2,FALSE)</f>
        <v/>
      </c>
      <c r="C1442" s="32">
        <f>+VLOOKUP($A1442,MAGAZZINO!$B$2:$M$4838,3,FALSE)</f>
        <v/>
      </c>
      <c r="D1442" s="17">
        <f>+VLOOKUP($A1442,MAGAZZINO!$B$2:$M$4838,4,FALSE)</f>
        <v/>
      </c>
      <c r="E1442" s="17">
        <f>+VLOOKUP($A1442,MAGAZZINO!$B$2:$M$4838,5,FALSE)</f>
        <v/>
      </c>
      <c r="F1442" s="17">
        <f>+VLOOKUP($A1442,MAGAZZINO!$B$2:$M$4838,6,FALSE)</f>
        <v/>
      </c>
      <c r="G1442" s="17">
        <f>+VLOOKUP($A1442,MAGAZZINO!$B$2:$M$4838,7,FALSE)</f>
        <v/>
      </c>
      <c r="H1442" s="17">
        <f>+VLOOKUP($A1442,MAGAZZINO!$B$2:$M$4838,8,FALSE)</f>
        <v/>
      </c>
      <c r="I1442" s="17">
        <f>+VLOOKUP($A1442,MAGAZZINO!$B$2:$M$4838,9,FALSE)</f>
        <v/>
      </c>
      <c r="J1442" s="17">
        <f>+VLOOKUP($A1442,MAGAZZINO!$B$2:$M$4838,10,FALSE)</f>
        <v/>
      </c>
      <c r="K1442" s="17">
        <f>+VLOOKUP($A1442,MAGAZZINO!$B$2:$M$4838,11,FALSE)</f>
        <v/>
      </c>
      <c r="L1442" s="44">
        <f>+VLOOKUP($A1442,MAGAZZINO!$B$2:$M$4838,12,FALSE)</f>
        <v/>
      </c>
    </row>
    <row r="1443" ht="36" customHeight="1">
      <c r="A1443" s="30">
        <f>+REGISTRO!A1426</f>
        <v/>
      </c>
      <c r="B1443" s="31">
        <f>+VLOOKUP($A1443,MAGAZZINO!$B$2:$M$4838,2,FALSE)</f>
        <v/>
      </c>
      <c r="C1443" s="32">
        <f>+VLOOKUP($A1443,MAGAZZINO!$B$2:$M$4838,3,FALSE)</f>
        <v/>
      </c>
      <c r="D1443" s="17">
        <f>+VLOOKUP($A1443,MAGAZZINO!$B$2:$M$4838,4,FALSE)</f>
        <v/>
      </c>
      <c r="E1443" s="17">
        <f>+VLOOKUP($A1443,MAGAZZINO!$B$2:$M$4838,5,FALSE)</f>
        <v/>
      </c>
      <c r="F1443" s="17">
        <f>+VLOOKUP($A1443,MAGAZZINO!$B$2:$M$4838,6,FALSE)</f>
        <v/>
      </c>
      <c r="G1443" s="17">
        <f>+VLOOKUP($A1443,MAGAZZINO!$B$2:$M$4838,7,FALSE)</f>
        <v/>
      </c>
      <c r="H1443" s="17">
        <f>+VLOOKUP($A1443,MAGAZZINO!$B$2:$M$4838,8,FALSE)</f>
        <v/>
      </c>
      <c r="I1443" s="17">
        <f>+VLOOKUP($A1443,MAGAZZINO!$B$2:$M$4838,9,FALSE)</f>
        <v/>
      </c>
      <c r="J1443" s="17">
        <f>+VLOOKUP($A1443,MAGAZZINO!$B$2:$M$4838,10,FALSE)</f>
        <v/>
      </c>
      <c r="K1443" s="17">
        <f>+VLOOKUP($A1443,MAGAZZINO!$B$2:$M$4838,11,FALSE)</f>
        <v/>
      </c>
      <c r="L1443" s="44">
        <f>+VLOOKUP($A1443,MAGAZZINO!$B$2:$M$4838,12,FALSE)</f>
        <v/>
      </c>
    </row>
    <row r="1444" ht="36" customHeight="1">
      <c r="A1444" s="30">
        <f>+REGISTRO!A1427</f>
        <v/>
      </c>
      <c r="B1444" s="31">
        <f>+VLOOKUP($A1444,MAGAZZINO!$B$2:$M$4838,2,FALSE)</f>
        <v/>
      </c>
      <c r="C1444" s="32">
        <f>+VLOOKUP($A1444,MAGAZZINO!$B$2:$M$4838,3,FALSE)</f>
        <v/>
      </c>
      <c r="D1444" s="17">
        <f>+VLOOKUP($A1444,MAGAZZINO!$B$2:$M$4838,4,FALSE)</f>
        <v/>
      </c>
      <c r="E1444" s="17">
        <f>+VLOOKUP($A1444,MAGAZZINO!$B$2:$M$4838,5,FALSE)</f>
        <v/>
      </c>
      <c r="F1444" s="17">
        <f>+VLOOKUP($A1444,MAGAZZINO!$B$2:$M$4838,6,FALSE)</f>
        <v/>
      </c>
      <c r="G1444" s="17">
        <f>+VLOOKUP($A1444,MAGAZZINO!$B$2:$M$4838,7,FALSE)</f>
        <v/>
      </c>
      <c r="H1444" s="17">
        <f>+VLOOKUP($A1444,MAGAZZINO!$B$2:$M$4838,8,FALSE)</f>
        <v/>
      </c>
      <c r="I1444" s="17">
        <f>+VLOOKUP($A1444,MAGAZZINO!$B$2:$M$4838,9,FALSE)</f>
        <v/>
      </c>
      <c r="J1444" s="17">
        <f>+VLOOKUP($A1444,MAGAZZINO!$B$2:$M$4838,10,FALSE)</f>
        <v/>
      </c>
      <c r="K1444" s="17">
        <f>+VLOOKUP($A1444,MAGAZZINO!$B$2:$M$4838,11,FALSE)</f>
        <v/>
      </c>
      <c r="L1444" s="44">
        <f>+VLOOKUP($A1444,MAGAZZINO!$B$2:$M$4838,12,FALSE)</f>
        <v/>
      </c>
    </row>
    <row r="1445" ht="36" customHeight="1">
      <c r="A1445" s="30">
        <f>+REGISTRO!A1428</f>
        <v/>
      </c>
      <c r="B1445" s="31">
        <f>+VLOOKUP($A1445,MAGAZZINO!$B$2:$M$4838,2,FALSE)</f>
        <v/>
      </c>
      <c r="C1445" s="32">
        <f>+VLOOKUP($A1445,MAGAZZINO!$B$2:$M$4838,3,FALSE)</f>
        <v/>
      </c>
      <c r="D1445" s="17">
        <f>+VLOOKUP($A1445,MAGAZZINO!$B$2:$M$4838,4,FALSE)</f>
        <v/>
      </c>
      <c r="E1445" s="17">
        <f>+VLOOKUP($A1445,MAGAZZINO!$B$2:$M$4838,5,FALSE)</f>
        <v/>
      </c>
      <c r="F1445" s="17">
        <f>+VLOOKUP($A1445,MAGAZZINO!$B$2:$M$4838,6,FALSE)</f>
        <v/>
      </c>
      <c r="G1445" s="17">
        <f>+VLOOKUP($A1445,MAGAZZINO!$B$2:$M$4838,7,FALSE)</f>
        <v/>
      </c>
      <c r="H1445" s="17">
        <f>+VLOOKUP($A1445,MAGAZZINO!$B$2:$M$4838,8,FALSE)</f>
        <v/>
      </c>
      <c r="I1445" s="17">
        <f>+VLOOKUP($A1445,MAGAZZINO!$B$2:$M$4838,9,FALSE)</f>
        <v/>
      </c>
      <c r="J1445" s="17">
        <f>+VLOOKUP($A1445,MAGAZZINO!$B$2:$M$4838,10,FALSE)</f>
        <v/>
      </c>
      <c r="K1445" s="17">
        <f>+VLOOKUP($A1445,MAGAZZINO!$B$2:$M$4838,11,FALSE)</f>
        <v/>
      </c>
      <c r="L1445" s="44">
        <f>+VLOOKUP($A1445,MAGAZZINO!$B$2:$M$4838,12,FALSE)</f>
        <v/>
      </c>
    </row>
    <row r="1446" ht="36" customHeight="1">
      <c r="A1446" s="30">
        <f>+REGISTRO!A1429</f>
        <v/>
      </c>
      <c r="B1446" s="31">
        <f>+VLOOKUP($A1446,MAGAZZINO!$B$2:$M$4838,2,FALSE)</f>
        <v/>
      </c>
      <c r="C1446" s="32">
        <f>+VLOOKUP($A1446,MAGAZZINO!$B$2:$M$4838,3,FALSE)</f>
        <v/>
      </c>
      <c r="D1446" s="17">
        <f>+VLOOKUP($A1446,MAGAZZINO!$B$2:$M$4838,4,FALSE)</f>
        <v/>
      </c>
      <c r="E1446" s="17">
        <f>+VLOOKUP($A1446,MAGAZZINO!$B$2:$M$4838,5,FALSE)</f>
        <v/>
      </c>
      <c r="F1446" s="17">
        <f>+VLOOKUP($A1446,MAGAZZINO!$B$2:$M$4838,6,FALSE)</f>
        <v/>
      </c>
      <c r="G1446" s="17">
        <f>+VLOOKUP($A1446,MAGAZZINO!$B$2:$M$4838,7,FALSE)</f>
        <v/>
      </c>
      <c r="H1446" s="17">
        <f>+VLOOKUP($A1446,MAGAZZINO!$B$2:$M$4838,8,FALSE)</f>
        <v/>
      </c>
      <c r="I1446" s="17">
        <f>+VLOOKUP($A1446,MAGAZZINO!$B$2:$M$4838,9,FALSE)</f>
        <v/>
      </c>
      <c r="J1446" s="17">
        <f>+VLOOKUP($A1446,MAGAZZINO!$B$2:$M$4838,10,FALSE)</f>
        <v/>
      </c>
      <c r="K1446" s="17">
        <f>+VLOOKUP($A1446,MAGAZZINO!$B$2:$M$4838,11,FALSE)</f>
        <v/>
      </c>
      <c r="L1446" s="44">
        <f>+VLOOKUP($A1446,MAGAZZINO!$B$2:$M$4838,12,FALSE)</f>
        <v/>
      </c>
    </row>
    <row r="1447" ht="36" customHeight="1">
      <c r="A1447" s="30">
        <f>+REGISTRO!A1430</f>
        <v/>
      </c>
      <c r="B1447" s="31">
        <f>+VLOOKUP($A1447,MAGAZZINO!$B$2:$M$4838,2,FALSE)</f>
        <v/>
      </c>
      <c r="C1447" s="32">
        <f>+VLOOKUP($A1447,MAGAZZINO!$B$2:$M$4838,3,FALSE)</f>
        <v/>
      </c>
      <c r="D1447" s="17">
        <f>+VLOOKUP($A1447,MAGAZZINO!$B$2:$M$4838,4,FALSE)</f>
        <v/>
      </c>
      <c r="E1447" s="17">
        <f>+VLOOKUP($A1447,MAGAZZINO!$B$2:$M$4838,5,FALSE)</f>
        <v/>
      </c>
      <c r="F1447" s="17">
        <f>+VLOOKUP($A1447,MAGAZZINO!$B$2:$M$4838,6,FALSE)</f>
        <v/>
      </c>
      <c r="G1447" s="17">
        <f>+VLOOKUP($A1447,MAGAZZINO!$B$2:$M$4838,7,FALSE)</f>
        <v/>
      </c>
      <c r="H1447" s="17">
        <f>+VLOOKUP($A1447,MAGAZZINO!$B$2:$M$4838,8,FALSE)</f>
        <v/>
      </c>
      <c r="I1447" s="17">
        <f>+VLOOKUP($A1447,MAGAZZINO!$B$2:$M$4838,9,FALSE)</f>
        <v/>
      </c>
      <c r="J1447" s="17">
        <f>+VLOOKUP($A1447,MAGAZZINO!$B$2:$M$4838,10,FALSE)</f>
        <v/>
      </c>
      <c r="K1447" s="17">
        <f>+VLOOKUP($A1447,MAGAZZINO!$B$2:$M$4838,11,FALSE)</f>
        <v/>
      </c>
      <c r="L1447" s="44">
        <f>+VLOOKUP($A1447,MAGAZZINO!$B$2:$M$4838,12,FALSE)</f>
        <v/>
      </c>
    </row>
    <row r="1448" ht="36" customHeight="1">
      <c r="A1448" s="30">
        <f>+REGISTRO!A1431</f>
        <v/>
      </c>
      <c r="B1448" s="31">
        <f>+VLOOKUP($A1448,MAGAZZINO!$B$2:$M$4838,2,FALSE)</f>
        <v/>
      </c>
      <c r="C1448" s="32">
        <f>+VLOOKUP($A1448,MAGAZZINO!$B$2:$M$4838,3,FALSE)</f>
        <v/>
      </c>
      <c r="D1448" s="17">
        <f>+VLOOKUP($A1448,MAGAZZINO!$B$2:$M$4838,4,FALSE)</f>
        <v/>
      </c>
      <c r="E1448" s="17">
        <f>+VLOOKUP($A1448,MAGAZZINO!$B$2:$M$4838,5,FALSE)</f>
        <v/>
      </c>
      <c r="F1448" s="17">
        <f>+VLOOKUP($A1448,MAGAZZINO!$B$2:$M$4838,6,FALSE)</f>
        <v/>
      </c>
      <c r="G1448" s="17">
        <f>+VLOOKUP($A1448,MAGAZZINO!$B$2:$M$4838,7,FALSE)</f>
        <v/>
      </c>
      <c r="H1448" s="17">
        <f>+VLOOKUP($A1448,MAGAZZINO!$B$2:$M$4838,8,FALSE)</f>
        <v/>
      </c>
      <c r="I1448" s="17">
        <f>+VLOOKUP($A1448,MAGAZZINO!$B$2:$M$4838,9,FALSE)</f>
        <v/>
      </c>
      <c r="J1448" s="17">
        <f>+VLOOKUP($A1448,MAGAZZINO!$B$2:$M$4838,10,FALSE)</f>
        <v/>
      </c>
      <c r="K1448" s="17">
        <f>+VLOOKUP($A1448,MAGAZZINO!$B$2:$M$4838,11,FALSE)</f>
        <v/>
      </c>
      <c r="L1448" s="44">
        <f>+VLOOKUP($A1448,MAGAZZINO!$B$2:$M$4838,12,FALSE)</f>
        <v/>
      </c>
    </row>
    <row r="1449" ht="36" customHeight="1">
      <c r="A1449" s="30">
        <f>+REGISTRO!A1432</f>
        <v/>
      </c>
      <c r="B1449" s="31">
        <f>+VLOOKUP($A1449,MAGAZZINO!$B$2:$M$4838,2,FALSE)</f>
        <v/>
      </c>
      <c r="C1449" s="32">
        <f>+VLOOKUP($A1449,MAGAZZINO!$B$2:$M$4838,3,FALSE)</f>
        <v/>
      </c>
      <c r="D1449" s="17">
        <f>+VLOOKUP($A1449,MAGAZZINO!$B$2:$M$4838,4,FALSE)</f>
        <v/>
      </c>
      <c r="E1449" s="17">
        <f>+VLOOKUP($A1449,MAGAZZINO!$B$2:$M$4838,5,FALSE)</f>
        <v/>
      </c>
      <c r="F1449" s="17">
        <f>+VLOOKUP($A1449,MAGAZZINO!$B$2:$M$4838,6,FALSE)</f>
        <v/>
      </c>
      <c r="G1449" s="17">
        <f>+VLOOKUP($A1449,MAGAZZINO!$B$2:$M$4838,7,FALSE)</f>
        <v/>
      </c>
      <c r="H1449" s="17">
        <f>+VLOOKUP($A1449,MAGAZZINO!$B$2:$M$4838,8,FALSE)</f>
        <v/>
      </c>
      <c r="I1449" s="17">
        <f>+VLOOKUP($A1449,MAGAZZINO!$B$2:$M$4838,9,FALSE)</f>
        <v/>
      </c>
      <c r="J1449" s="17">
        <f>+VLOOKUP($A1449,MAGAZZINO!$B$2:$M$4838,10,FALSE)</f>
        <v/>
      </c>
      <c r="K1449" s="17">
        <f>+VLOOKUP($A1449,MAGAZZINO!$B$2:$M$4838,11,FALSE)</f>
        <v/>
      </c>
      <c r="L1449" s="44">
        <f>+VLOOKUP($A1449,MAGAZZINO!$B$2:$M$4838,12,FALSE)</f>
        <v/>
      </c>
    </row>
    <row r="1450" ht="36" customHeight="1">
      <c r="A1450" s="30">
        <f>+REGISTRO!A1433</f>
        <v/>
      </c>
      <c r="B1450" s="31">
        <f>+VLOOKUP($A1450,MAGAZZINO!$B$2:$M$4838,2,FALSE)</f>
        <v/>
      </c>
      <c r="C1450" s="32">
        <f>+VLOOKUP($A1450,MAGAZZINO!$B$2:$M$4838,3,FALSE)</f>
        <v/>
      </c>
      <c r="D1450" s="17">
        <f>+VLOOKUP($A1450,MAGAZZINO!$B$2:$M$4838,4,FALSE)</f>
        <v/>
      </c>
      <c r="E1450" s="17">
        <f>+VLOOKUP($A1450,MAGAZZINO!$B$2:$M$4838,5,FALSE)</f>
        <v/>
      </c>
      <c r="F1450" s="17">
        <f>+VLOOKUP($A1450,MAGAZZINO!$B$2:$M$4838,6,FALSE)</f>
        <v/>
      </c>
      <c r="G1450" s="17">
        <f>+VLOOKUP($A1450,MAGAZZINO!$B$2:$M$4838,7,FALSE)</f>
        <v/>
      </c>
      <c r="H1450" s="17">
        <f>+VLOOKUP($A1450,MAGAZZINO!$B$2:$M$4838,8,FALSE)</f>
        <v/>
      </c>
      <c r="I1450" s="17">
        <f>+VLOOKUP($A1450,MAGAZZINO!$B$2:$M$4838,9,FALSE)</f>
        <v/>
      </c>
      <c r="J1450" s="17">
        <f>+VLOOKUP($A1450,MAGAZZINO!$B$2:$M$4838,10,FALSE)</f>
        <v/>
      </c>
      <c r="K1450" s="17">
        <f>+VLOOKUP($A1450,MAGAZZINO!$B$2:$M$4838,11,FALSE)</f>
        <v/>
      </c>
      <c r="L1450" s="44">
        <f>+VLOOKUP($A1450,MAGAZZINO!$B$2:$M$4838,12,FALSE)</f>
        <v/>
      </c>
    </row>
    <row r="1451" ht="36" customHeight="1">
      <c r="A1451" s="30">
        <f>+REGISTRO!A1434</f>
        <v/>
      </c>
      <c r="B1451" s="31">
        <f>+VLOOKUP($A1451,MAGAZZINO!$B$2:$M$4838,2,FALSE)</f>
        <v/>
      </c>
      <c r="C1451" s="32">
        <f>+VLOOKUP($A1451,MAGAZZINO!$B$2:$M$4838,3,FALSE)</f>
        <v/>
      </c>
      <c r="D1451" s="17">
        <f>+VLOOKUP($A1451,MAGAZZINO!$B$2:$M$4838,4,FALSE)</f>
        <v/>
      </c>
      <c r="E1451" s="17">
        <f>+VLOOKUP($A1451,MAGAZZINO!$B$2:$M$4838,5,FALSE)</f>
        <v/>
      </c>
      <c r="F1451" s="17">
        <f>+VLOOKUP($A1451,MAGAZZINO!$B$2:$M$4838,6,FALSE)</f>
        <v/>
      </c>
      <c r="G1451" s="17">
        <f>+VLOOKUP($A1451,MAGAZZINO!$B$2:$M$4838,7,FALSE)</f>
        <v/>
      </c>
      <c r="H1451" s="17">
        <f>+VLOOKUP($A1451,MAGAZZINO!$B$2:$M$4838,8,FALSE)</f>
        <v/>
      </c>
      <c r="I1451" s="17">
        <f>+VLOOKUP($A1451,MAGAZZINO!$B$2:$M$4838,9,FALSE)</f>
        <v/>
      </c>
      <c r="J1451" s="17">
        <f>+VLOOKUP($A1451,MAGAZZINO!$B$2:$M$4838,10,FALSE)</f>
        <v/>
      </c>
      <c r="K1451" s="17">
        <f>+VLOOKUP($A1451,MAGAZZINO!$B$2:$M$4838,11,FALSE)</f>
        <v/>
      </c>
      <c r="L1451" s="44">
        <f>+VLOOKUP($A1451,MAGAZZINO!$B$2:$M$4838,12,FALSE)</f>
        <v/>
      </c>
    </row>
    <row r="1452" ht="36" customHeight="1">
      <c r="A1452" s="30">
        <f>+REGISTRO!A1435</f>
        <v/>
      </c>
      <c r="B1452" s="31">
        <f>+VLOOKUP($A1452,MAGAZZINO!$B$2:$M$4838,2,FALSE)</f>
        <v/>
      </c>
      <c r="C1452" s="32">
        <f>+VLOOKUP($A1452,MAGAZZINO!$B$2:$M$4838,3,FALSE)</f>
        <v/>
      </c>
      <c r="D1452" s="17">
        <f>+VLOOKUP($A1452,MAGAZZINO!$B$2:$M$4838,4,FALSE)</f>
        <v/>
      </c>
      <c r="E1452" s="17">
        <f>+VLOOKUP($A1452,MAGAZZINO!$B$2:$M$4838,5,FALSE)</f>
        <v/>
      </c>
      <c r="F1452" s="17">
        <f>+VLOOKUP($A1452,MAGAZZINO!$B$2:$M$4838,6,FALSE)</f>
        <v/>
      </c>
      <c r="G1452" s="17">
        <f>+VLOOKUP($A1452,MAGAZZINO!$B$2:$M$4838,7,FALSE)</f>
        <v/>
      </c>
      <c r="H1452" s="17">
        <f>+VLOOKUP($A1452,MAGAZZINO!$B$2:$M$4838,8,FALSE)</f>
        <v/>
      </c>
      <c r="I1452" s="17">
        <f>+VLOOKUP($A1452,MAGAZZINO!$B$2:$M$4838,9,FALSE)</f>
        <v/>
      </c>
      <c r="J1452" s="17">
        <f>+VLOOKUP($A1452,MAGAZZINO!$B$2:$M$4838,10,FALSE)</f>
        <v/>
      </c>
      <c r="K1452" s="17">
        <f>+VLOOKUP($A1452,MAGAZZINO!$B$2:$M$4838,11,FALSE)</f>
        <v/>
      </c>
      <c r="L1452" s="44">
        <f>+VLOOKUP($A1452,MAGAZZINO!$B$2:$M$4838,12,FALSE)</f>
        <v/>
      </c>
    </row>
    <row r="1453" ht="36" customHeight="1">
      <c r="A1453" s="30">
        <f>+REGISTRO!A1436</f>
        <v/>
      </c>
      <c r="B1453" s="31">
        <f>+VLOOKUP($A1453,MAGAZZINO!$B$2:$M$4838,2,FALSE)</f>
        <v/>
      </c>
      <c r="C1453" s="32">
        <f>+VLOOKUP($A1453,MAGAZZINO!$B$2:$M$4838,3,FALSE)</f>
        <v/>
      </c>
      <c r="D1453" s="17">
        <f>+VLOOKUP($A1453,MAGAZZINO!$B$2:$M$4838,4,FALSE)</f>
        <v/>
      </c>
      <c r="E1453" s="17">
        <f>+VLOOKUP($A1453,MAGAZZINO!$B$2:$M$4838,5,FALSE)</f>
        <v/>
      </c>
      <c r="F1453" s="17">
        <f>+VLOOKUP($A1453,MAGAZZINO!$B$2:$M$4838,6,FALSE)</f>
        <v/>
      </c>
      <c r="G1453" s="17">
        <f>+VLOOKUP($A1453,MAGAZZINO!$B$2:$M$4838,7,FALSE)</f>
        <v/>
      </c>
      <c r="H1453" s="17">
        <f>+VLOOKUP($A1453,MAGAZZINO!$B$2:$M$4838,8,FALSE)</f>
        <v/>
      </c>
      <c r="I1453" s="17">
        <f>+VLOOKUP($A1453,MAGAZZINO!$B$2:$M$4838,9,FALSE)</f>
        <v/>
      </c>
      <c r="J1453" s="17">
        <f>+VLOOKUP($A1453,MAGAZZINO!$B$2:$M$4838,10,FALSE)</f>
        <v/>
      </c>
      <c r="K1453" s="17">
        <f>+VLOOKUP($A1453,MAGAZZINO!$B$2:$M$4838,11,FALSE)</f>
        <v/>
      </c>
      <c r="L1453" s="44">
        <f>+VLOOKUP($A1453,MAGAZZINO!$B$2:$M$4838,12,FALSE)</f>
        <v/>
      </c>
    </row>
    <row r="1454" ht="36" customHeight="1">
      <c r="A1454" s="30">
        <f>+REGISTRO!A1437</f>
        <v/>
      </c>
      <c r="B1454" s="31">
        <f>+VLOOKUP($A1454,MAGAZZINO!$B$2:$M$4838,2,FALSE)</f>
        <v/>
      </c>
      <c r="C1454" s="32">
        <f>+VLOOKUP($A1454,MAGAZZINO!$B$2:$M$4838,3,FALSE)</f>
        <v/>
      </c>
      <c r="D1454" s="17">
        <f>+VLOOKUP($A1454,MAGAZZINO!$B$2:$M$4838,4,FALSE)</f>
        <v/>
      </c>
      <c r="E1454" s="17">
        <f>+VLOOKUP($A1454,MAGAZZINO!$B$2:$M$4838,5,FALSE)</f>
        <v/>
      </c>
      <c r="F1454" s="17">
        <f>+VLOOKUP($A1454,MAGAZZINO!$B$2:$M$4838,6,FALSE)</f>
        <v/>
      </c>
      <c r="G1454" s="17">
        <f>+VLOOKUP($A1454,MAGAZZINO!$B$2:$M$4838,7,FALSE)</f>
        <v/>
      </c>
      <c r="H1454" s="17">
        <f>+VLOOKUP($A1454,MAGAZZINO!$B$2:$M$4838,8,FALSE)</f>
        <v/>
      </c>
      <c r="I1454" s="17">
        <f>+VLOOKUP($A1454,MAGAZZINO!$B$2:$M$4838,9,FALSE)</f>
        <v/>
      </c>
      <c r="J1454" s="17">
        <f>+VLOOKUP($A1454,MAGAZZINO!$B$2:$M$4838,10,FALSE)</f>
        <v/>
      </c>
      <c r="K1454" s="17">
        <f>+VLOOKUP($A1454,MAGAZZINO!$B$2:$M$4838,11,FALSE)</f>
        <v/>
      </c>
      <c r="L1454" s="44">
        <f>+VLOOKUP($A1454,MAGAZZINO!$B$2:$M$4838,12,FALSE)</f>
        <v/>
      </c>
    </row>
    <row r="1455" ht="36" customHeight="1">
      <c r="A1455" s="30">
        <f>+REGISTRO!A1438</f>
        <v/>
      </c>
      <c r="B1455" s="31">
        <f>+VLOOKUP($A1455,MAGAZZINO!$B$2:$M$4838,2,FALSE)</f>
        <v/>
      </c>
      <c r="C1455" s="32">
        <f>+VLOOKUP($A1455,MAGAZZINO!$B$2:$M$4838,3,FALSE)</f>
        <v/>
      </c>
      <c r="D1455" s="17">
        <f>+VLOOKUP($A1455,MAGAZZINO!$B$2:$M$4838,4,FALSE)</f>
        <v/>
      </c>
      <c r="E1455" s="17">
        <f>+VLOOKUP($A1455,MAGAZZINO!$B$2:$M$4838,5,FALSE)</f>
        <v/>
      </c>
      <c r="F1455" s="17">
        <f>+VLOOKUP($A1455,MAGAZZINO!$B$2:$M$4838,6,FALSE)</f>
        <v/>
      </c>
      <c r="G1455" s="17">
        <f>+VLOOKUP($A1455,MAGAZZINO!$B$2:$M$4838,7,FALSE)</f>
        <v/>
      </c>
      <c r="H1455" s="17">
        <f>+VLOOKUP($A1455,MAGAZZINO!$B$2:$M$4838,8,FALSE)</f>
        <v/>
      </c>
      <c r="I1455" s="17">
        <f>+VLOOKUP($A1455,MAGAZZINO!$B$2:$M$4838,9,FALSE)</f>
        <v/>
      </c>
      <c r="J1455" s="17">
        <f>+VLOOKUP($A1455,MAGAZZINO!$B$2:$M$4838,10,FALSE)</f>
        <v/>
      </c>
      <c r="K1455" s="17">
        <f>+VLOOKUP($A1455,MAGAZZINO!$B$2:$M$4838,11,FALSE)</f>
        <v/>
      </c>
      <c r="L1455" s="44">
        <f>+VLOOKUP($A1455,MAGAZZINO!$B$2:$M$4838,12,FALSE)</f>
        <v/>
      </c>
    </row>
    <row r="1456" ht="36" customHeight="1">
      <c r="A1456" s="30">
        <f>+REGISTRO!A1439</f>
        <v/>
      </c>
      <c r="B1456" s="31">
        <f>+VLOOKUP($A1456,MAGAZZINO!$B$2:$M$4838,2,FALSE)</f>
        <v/>
      </c>
      <c r="C1456" s="32">
        <f>+VLOOKUP($A1456,MAGAZZINO!$B$2:$M$4838,3,FALSE)</f>
        <v/>
      </c>
      <c r="D1456" s="17">
        <f>+VLOOKUP($A1456,MAGAZZINO!$B$2:$M$4838,4,FALSE)</f>
        <v/>
      </c>
      <c r="E1456" s="17">
        <f>+VLOOKUP($A1456,MAGAZZINO!$B$2:$M$4838,5,FALSE)</f>
        <v/>
      </c>
      <c r="F1456" s="17">
        <f>+VLOOKUP($A1456,MAGAZZINO!$B$2:$M$4838,6,FALSE)</f>
        <v/>
      </c>
      <c r="G1456" s="17">
        <f>+VLOOKUP($A1456,MAGAZZINO!$B$2:$M$4838,7,FALSE)</f>
        <v/>
      </c>
      <c r="H1456" s="17">
        <f>+VLOOKUP($A1456,MAGAZZINO!$B$2:$M$4838,8,FALSE)</f>
        <v/>
      </c>
      <c r="I1456" s="17">
        <f>+VLOOKUP($A1456,MAGAZZINO!$B$2:$M$4838,9,FALSE)</f>
        <v/>
      </c>
      <c r="J1456" s="17">
        <f>+VLOOKUP($A1456,MAGAZZINO!$B$2:$M$4838,10,FALSE)</f>
        <v/>
      </c>
      <c r="K1456" s="17">
        <f>+VLOOKUP($A1456,MAGAZZINO!$B$2:$M$4838,11,FALSE)</f>
        <v/>
      </c>
      <c r="L1456" s="44">
        <f>+VLOOKUP($A1456,MAGAZZINO!$B$2:$M$4838,12,FALSE)</f>
        <v/>
      </c>
    </row>
    <row r="1457" ht="36" customHeight="1">
      <c r="A1457" s="30">
        <f>+REGISTRO!A1440</f>
        <v/>
      </c>
      <c r="B1457" s="31">
        <f>+VLOOKUP($A1457,MAGAZZINO!$B$2:$M$4838,2,FALSE)</f>
        <v/>
      </c>
      <c r="C1457" s="32">
        <f>+VLOOKUP($A1457,MAGAZZINO!$B$2:$M$4838,3,FALSE)</f>
        <v/>
      </c>
      <c r="D1457" s="17">
        <f>+VLOOKUP($A1457,MAGAZZINO!$B$2:$M$4838,4,FALSE)</f>
        <v/>
      </c>
      <c r="E1457" s="17">
        <f>+VLOOKUP($A1457,MAGAZZINO!$B$2:$M$4838,5,FALSE)</f>
        <v/>
      </c>
      <c r="F1457" s="17">
        <f>+VLOOKUP($A1457,MAGAZZINO!$B$2:$M$4838,6,FALSE)</f>
        <v/>
      </c>
      <c r="G1457" s="17">
        <f>+VLOOKUP($A1457,MAGAZZINO!$B$2:$M$4838,7,FALSE)</f>
        <v/>
      </c>
      <c r="H1457" s="17">
        <f>+VLOOKUP($A1457,MAGAZZINO!$B$2:$M$4838,8,FALSE)</f>
        <v/>
      </c>
      <c r="I1457" s="17">
        <f>+VLOOKUP($A1457,MAGAZZINO!$B$2:$M$4838,9,FALSE)</f>
        <v/>
      </c>
      <c r="J1457" s="17">
        <f>+VLOOKUP($A1457,MAGAZZINO!$B$2:$M$4838,10,FALSE)</f>
        <v/>
      </c>
      <c r="K1457" s="17">
        <f>+VLOOKUP($A1457,MAGAZZINO!$B$2:$M$4838,11,FALSE)</f>
        <v/>
      </c>
      <c r="L1457" s="44">
        <f>+VLOOKUP($A1457,MAGAZZINO!$B$2:$M$4838,12,FALSE)</f>
        <v/>
      </c>
    </row>
    <row r="1458" ht="36" customHeight="1">
      <c r="A1458" s="30">
        <f>+REGISTRO!A1441</f>
        <v/>
      </c>
      <c r="B1458" s="31">
        <f>+VLOOKUP($A1458,MAGAZZINO!$B$2:$M$4838,2,FALSE)</f>
        <v/>
      </c>
      <c r="C1458" s="32">
        <f>+VLOOKUP($A1458,MAGAZZINO!$B$2:$M$4838,3,FALSE)</f>
        <v/>
      </c>
      <c r="D1458" s="17">
        <f>+VLOOKUP($A1458,MAGAZZINO!$B$2:$M$4838,4,FALSE)</f>
        <v/>
      </c>
      <c r="E1458" s="17">
        <f>+VLOOKUP($A1458,MAGAZZINO!$B$2:$M$4838,5,FALSE)</f>
        <v/>
      </c>
      <c r="F1458" s="17">
        <f>+VLOOKUP($A1458,MAGAZZINO!$B$2:$M$4838,6,FALSE)</f>
        <v/>
      </c>
      <c r="G1458" s="17">
        <f>+VLOOKUP($A1458,MAGAZZINO!$B$2:$M$4838,7,FALSE)</f>
        <v/>
      </c>
      <c r="H1458" s="17">
        <f>+VLOOKUP($A1458,MAGAZZINO!$B$2:$M$4838,8,FALSE)</f>
        <v/>
      </c>
      <c r="I1458" s="17">
        <f>+VLOOKUP($A1458,MAGAZZINO!$B$2:$M$4838,9,FALSE)</f>
        <v/>
      </c>
      <c r="J1458" s="17">
        <f>+VLOOKUP($A1458,MAGAZZINO!$B$2:$M$4838,10,FALSE)</f>
        <v/>
      </c>
      <c r="K1458" s="17">
        <f>+VLOOKUP($A1458,MAGAZZINO!$B$2:$M$4838,11,FALSE)</f>
        <v/>
      </c>
      <c r="L1458" s="44">
        <f>+VLOOKUP($A1458,MAGAZZINO!$B$2:$M$4838,12,FALSE)</f>
        <v/>
      </c>
    </row>
    <row r="1459" ht="36" customHeight="1">
      <c r="A1459" s="30">
        <f>+REGISTRO!A1442</f>
        <v/>
      </c>
      <c r="B1459" s="31">
        <f>+VLOOKUP($A1459,MAGAZZINO!$B$2:$M$4838,2,FALSE)</f>
        <v/>
      </c>
      <c r="C1459" s="32">
        <f>+VLOOKUP($A1459,MAGAZZINO!$B$2:$M$4838,3,FALSE)</f>
        <v/>
      </c>
      <c r="D1459" s="17">
        <f>+VLOOKUP($A1459,MAGAZZINO!$B$2:$M$4838,4,FALSE)</f>
        <v/>
      </c>
      <c r="E1459" s="17">
        <f>+VLOOKUP($A1459,MAGAZZINO!$B$2:$M$4838,5,FALSE)</f>
        <v/>
      </c>
      <c r="F1459" s="17">
        <f>+VLOOKUP($A1459,MAGAZZINO!$B$2:$M$4838,6,FALSE)</f>
        <v/>
      </c>
      <c r="G1459" s="17">
        <f>+VLOOKUP($A1459,MAGAZZINO!$B$2:$M$4838,7,FALSE)</f>
        <v/>
      </c>
      <c r="H1459" s="17">
        <f>+VLOOKUP($A1459,MAGAZZINO!$B$2:$M$4838,8,FALSE)</f>
        <v/>
      </c>
      <c r="I1459" s="17">
        <f>+VLOOKUP($A1459,MAGAZZINO!$B$2:$M$4838,9,FALSE)</f>
        <v/>
      </c>
      <c r="J1459" s="17">
        <f>+VLOOKUP($A1459,MAGAZZINO!$B$2:$M$4838,10,FALSE)</f>
        <v/>
      </c>
      <c r="K1459" s="17">
        <f>+VLOOKUP($A1459,MAGAZZINO!$B$2:$M$4838,11,FALSE)</f>
        <v/>
      </c>
      <c r="L1459" s="44">
        <f>+VLOOKUP($A1459,MAGAZZINO!$B$2:$M$4838,12,FALSE)</f>
        <v/>
      </c>
    </row>
    <row r="1460" ht="36" customHeight="1">
      <c r="A1460" s="30">
        <f>+REGISTRO!A1443</f>
        <v/>
      </c>
      <c r="B1460" s="31">
        <f>+VLOOKUP($A1460,MAGAZZINO!$B$2:$M$4838,2,FALSE)</f>
        <v/>
      </c>
      <c r="C1460" s="32">
        <f>+VLOOKUP($A1460,MAGAZZINO!$B$2:$M$4838,3,FALSE)</f>
        <v/>
      </c>
      <c r="D1460" s="17">
        <f>+VLOOKUP($A1460,MAGAZZINO!$B$2:$M$4838,4,FALSE)</f>
        <v/>
      </c>
      <c r="E1460" s="17">
        <f>+VLOOKUP($A1460,MAGAZZINO!$B$2:$M$4838,5,FALSE)</f>
        <v/>
      </c>
      <c r="F1460" s="17">
        <f>+VLOOKUP($A1460,MAGAZZINO!$B$2:$M$4838,6,FALSE)</f>
        <v/>
      </c>
      <c r="G1460" s="17">
        <f>+VLOOKUP($A1460,MAGAZZINO!$B$2:$M$4838,7,FALSE)</f>
        <v/>
      </c>
      <c r="H1460" s="17">
        <f>+VLOOKUP($A1460,MAGAZZINO!$B$2:$M$4838,8,FALSE)</f>
        <v/>
      </c>
      <c r="I1460" s="17">
        <f>+VLOOKUP($A1460,MAGAZZINO!$B$2:$M$4838,9,FALSE)</f>
        <v/>
      </c>
      <c r="J1460" s="17">
        <f>+VLOOKUP($A1460,MAGAZZINO!$B$2:$M$4838,10,FALSE)</f>
        <v/>
      </c>
      <c r="K1460" s="17">
        <f>+VLOOKUP($A1460,MAGAZZINO!$B$2:$M$4838,11,FALSE)</f>
        <v/>
      </c>
      <c r="L1460" s="44">
        <f>+VLOOKUP($A1460,MAGAZZINO!$B$2:$M$4838,12,FALSE)</f>
        <v/>
      </c>
    </row>
    <row r="1461" ht="36" customHeight="1">
      <c r="A1461" s="30">
        <f>+REGISTRO!A1444</f>
        <v/>
      </c>
      <c r="B1461" s="31">
        <f>+VLOOKUP($A1461,MAGAZZINO!$B$2:$M$4838,2,FALSE)</f>
        <v/>
      </c>
      <c r="C1461" s="32">
        <f>+VLOOKUP($A1461,MAGAZZINO!$B$2:$M$4838,3,FALSE)</f>
        <v/>
      </c>
      <c r="D1461" s="17">
        <f>+VLOOKUP($A1461,MAGAZZINO!$B$2:$M$4838,4,FALSE)</f>
        <v/>
      </c>
      <c r="E1461" s="17">
        <f>+VLOOKUP($A1461,MAGAZZINO!$B$2:$M$4838,5,FALSE)</f>
        <v/>
      </c>
      <c r="F1461" s="17">
        <f>+VLOOKUP($A1461,MAGAZZINO!$B$2:$M$4838,6,FALSE)</f>
        <v/>
      </c>
      <c r="G1461" s="17">
        <f>+VLOOKUP($A1461,MAGAZZINO!$B$2:$M$4838,7,FALSE)</f>
        <v/>
      </c>
      <c r="H1461" s="17">
        <f>+VLOOKUP($A1461,MAGAZZINO!$B$2:$M$4838,8,FALSE)</f>
        <v/>
      </c>
      <c r="I1461" s="17">
        <f>+VLOOKUP($A1461,MAGAZZINO!$B$2:$M$4838,9,FALSE)</f>
        <v/>
      </c>
      <c r="J1461" s="17">
        <f>+VLOOKUP($A1461,MAGAZZINO!$B$2:$M$4838,10,FALSE)</f>
        <v/>
      </c>
      <c r="K1461" s="17">
        <f>+VLOOKUP($A1461,MAGAZZINO!$B$2:$M$4838,11,FALSE)</f>
        <v/>
      </c>
      <c r="L1461" s="44">
        <f>+VLOOKUP($A1461,MAGAZZINO!$B$2:$M$4838,12,FALSE)</f>
        <v/>
      </c>
    </row>
    <row r="1462" ht="36" customHeight="1">
      <c r="A1462" s="30">
        <f>+REGISTRO!A1445</f>
        <v/>
      </c>
      <c r="B1462" s="31">
        <f>+VLOOKUP($A1462,MAGAZZINO!$B$2:$M$4838,2,FALSE)</f>
        <v/>
      </c>
      <c r="C1462" s="32">
        <f>+VLOOKUP($A1462,MAGAZZINO!$B$2:$M$4838,3,FALSE)</f>
        <v/>
      </c>
      <c r="D1462" s="17">
        <f>+VLOOKUP($A1462,MAGAZZINO!$B$2:$M$4838,4,FALSE)</f>
        <v/>
      </c>
      <c r="E1462" s="17">
        <f>+VLOOKUP($A1462,MAGAZZINO!$B$2:$M$4838,5,FALSE)</f>
        <v/>
      </c>
      <c r="F1462" s="17">
        <f>+VLOOKUP($A1462,MAGAZZINO!$B$2:$M$4838,6,FALSE)</f>
        <v/>
      </c>
      <c r="G1462" s="17">
        <f>+VLOOKUP($A1462,MAGAZZINO!$B$2:$M$4838,7,FALSE)</f>
        <v/>
      </c>
      <c r="H1462" s="17">
        <f>+VLOOKUP($A1462,MAGAZZINO!$B$2:$M$4838,8,FALSE)</f>
        <v/>
      </c>
      <c r="I1462" s="17">
        <f>+VLOOKUP($A1462,MAGAZZINO!$B$2:$M$4838,9,FALSE)</f>
        <v/>
      </c>
      <c r="J1462" s="17">
        <f>+VLOOKUP($A1462,MAGAZZINO!$B$2:$M$4838,10,FALSE)</f>
        <v/>
      </c>
      <c r="K1462" s="17">
        <f>+VLOOKUP($A1462,MAGAZZINO!$B$2:$M$4838,11,FALSE)</f>
        <v/>
      </c>
      <c r="L1462" s="44">
        <f>+VLOOKUP($A1462,MAGAZZINO!$B$2:$M$4838,12,FALSE)</f>
        <v/>
      </c>
    </row>
    <row r="1463" ht="36" customHeight="1">
      <c r="A1463" s="30">
        <f>+REGISTRO!A1446</f>
        <v/>
      </c>
      <c r="B1463" s="31">
        <f>+VLOOKUP($A1463,MAGAZZINO!$B$2:$M$4838,2,FALSE)</f>
        <v/>
      </c>
      <c r="C1463" s="32">
        <f>+VLOOKUP($A1463,MAGAZZINO!$B$2:$M$4838,3,FALSE)</f>
        <v/>
      </c>
      <c r="D1463" s="17">
        <f>+VLOOKUP($A1463,MAGAZZINO!$B$2:$M$4838,4,FALSE)</f>
        <v/>
      </c>
      <c r="E1463" s="17">
        <f>+VLOOKUP($A1463,MAGAZZINO!$B$2:$M$4838,5,FALSE)</f>
        <v/>
      </c>
      <c r="F1463" s="17">
        <f>+VLOOKUP($A1463,MAGAZZINO!$B$2:$M$4838,6,FALSE)</f>
        <v/>
      </c>
      <c r="G1463" s="17">
        <f>+VLOOKUP($A1463,MAGAZZINO!$B$2:$M$4838,7,FALSE)</f>
        <v/>
      </c>
      <c r="H1463" s="17">
        <f>+VLOOKUP($A1463,MAGAZZINO!$B$2:$M$4838,8,FALSE)</f>
        <v/>
      </c>
      <c r="I1463" s="17">
        <f>+VLOOKUP($A1463,MAGAZZINO!$B$2:$M$4838,9,FALSE)</f>
        <v/>
      </c>
      <c r="J1463" s="17">
        <f>+VLOOKUP($A1463,MAGAZZINO!$B$2:$M$4838,10,FALSE)</f>
        <v/>
      </c>
      <c r="K1463" s="17">
        <f>+VLOOKUP($A1463,MAGAZZINO!$B$2:$M$4838,11,FALSE)</f>
        <v/>
      </c>
      <c r="L1463" s="44">
        <f>+VLOOKUP($A1463,MAGAZZINO!$B$2:$M$4838,12,FALSE)</f>
        <v/>
      </c>
    </row>
    <row r="1464" ht="36" customHeight="1">
      <c r="A1464" s="30">
        <f>+REGISTRO!A1447</f>
        <v/>
      </c>
      <c r="B1464" s="31">
        <f>+VLOOKUP($A1464,MAGAZZINO!$B$2:$M$4838,2,FALSE)</f>
        <v/>
      </c>
      <c r="C1464" s="32">
        <f>+VLOOKUP($A1464,MAGAZZINO!$B$2:$M$4838,3,FALSE)</f>
        <v/>
      </c>
      <c r="D1464" s="17">
        <f>+VLOOKUP($A1464,MAGAZZINO!$B$2:$M$4838,4,FALSE)</f>
        <v/>
      </c>
      <c r="E1464" s="17">
        <f>+VLOOKUP($A1464,MAGAZZINO!$B$2:$M$4838,5,FALSE)</f>
        <v/>
      </c>
      <c r="F1464" s="17">
        <f>+VLOOKUP($A1464,MAGAZZINO!$B$2:$M$4838,6,FALSE)</f>
        <v/>
      </c>
      <c r="G1464" s="17">
        <f>+VLOOKUP($A1464,MAGAZZINO!$B$2:$M$4838,7,FALSE)</f>
        <v/>
      </c>
      <c r="H1464" s="17">
        <f>+VLOOKUP($A1464,MAGAZZINO!$B$2:$M$4838,8,FALSE)</f>
        <v/>
      </c>
      <c r="I1464" s="17">
        <f>+VLOOKUP($A1464,MAGAZZINO!$B$2:$M$4838,9,FALSE)</f>
        <v/>
      </c>
      <c r="J1464" s="17">
        <f>+VLOOKUP($A1464,MAGAZZINO!$B$2:$M$4838,10,FALSE)</f>
        <v/>
      </c>
      <c r="K1464" s="17">
        <f>+VLOOKUP($A1464,MAGAZZINO!$B$2:$M$4838,11,FALSE)</f>
        <v/>
      </c>
      <c r="L1464" s="44">
        <f>+VLOOKUP($A1464,MAGAZZINO!$B$2:$M$4838,12,FALSE)</f>
        <v/>
      </c>
    </row>
    <row r="1465" ht="36" customHeight="1">
      <c r="A1465" s="30">
        <f>+REGISTRO!A1448</f>
        <v/>
      </c>
      <c r="B1465" s="31">
        <f>+VLOOKUP($A1465,MAGAZZINO!$B$2:$M$4838,2,FALSE)</f>
        <v/>
      </c>
      <c r="C1465" s="32">
        <f>+VLOOKUP($A1465,MAGAZZINO!$B$2:$M$4838,3,FALSE)</f>
        <v/>
      </c>
      <c r="D1465" s="17">
        <f>+VLOOKUP($A1465,MAGAZZINO!$B$2:$M$4838,4,FALSE)</f>
        <v/>
      </c>
      <c r="E1465" s="17">
        <f>+VLOOKUP($A1465,MAGAZZINO!$B$2:$M$4838,5,FALSE)</f>
        <v/>
      </c>
      <c r="F1465" s="17">
        <f>+VLOOKUP($A1465,MAGAZZINO!$B$2:$M$4838,6,FALSE)</f>
        <v/>
      </c>
      <c r="G1465" s="17">
        <f>+VLOOKUP($A1465,MAGAZZINO!$B$2:$M$4838,7,FALSE)</f>
        <v/>
      </c>
      <c r="H1465" s="17">
        <f>+VLOOKUP($A1465,MAGAZZINO!$B$2:$M$4838,8,FALSE)</f>
        <v/>
      </c>
      <c r="I1465" s="17">
        <f>+VLOOKUP($A1465,MAGAZZINO!$B$2:$M$4838,9,FALSE)</f>
        <v/>
      </c>
      <c r="J1465" s="17">
        <f>+VLOOKUP($A1465,MAGAZZINO!$B$2:$M$4838,10,FALSE)</f>
        <v/>
      </c>
      <c r="K1465" s="17">
        <f>+VLOOKUP($A1465,MAGAZZINO!$B$2:$M$4838,11,FALSE)</f>
        <v/>
      </c>
      <c r="L1465" s="44">
        <f>+VLOOKUP($A1465,MAGAZZINO!$B$2:$M$4838,12,FALSE)</f>
        <v/>
      </c>
    </row>
    <row r="1466" ht="36" customHeight="1">
      <c r="A1466" s="30">
        <f>+REGISTRO!A1449</f>
        <v/>
      </c>
      <c r="B1466" s="31">
        <f>+VLOOKUP($A1466,MAGAZZINO!$B$2:$M$4838,2,FALSE)</f>
        <v/>
      </c>
      <c r="C1466" s="32">
        <f>+VLOOKUP($A1466,MAGAZZINO!$B$2:$M$4838,3,FALSE)</f>
        <v/>
      </c>
      <c r="D1466" s="17">
        <f>+VLOOKUP($A1466,MAGAZZINO!$B$2:$M$4838,4,FALSE)</f>
        <v/>
      </c>
      <c r="E1466" s="17">
        <f>+VLOOKUP($A1466,MAGAZZINO!$B$2:$M$4838,5,FALSE)</f>
        <v/>
      </c>
      <c r="F1466" s="17">
        <f>+VLOOKUP($A1466,MAGAZZINO!$B$2:$M$4838,6,FALSE)</f>
        <v/>
      </c>
      <c r="G1466" s="17">
        <f>+VLOOKUP($A1466,MAGAZZINO!$B$2:$M$4838,7,FALSE)</f>
        <v/>
      </c>
      <c r="H1466" s="17">
        <f>+VLOOKUP($A1466,MAGAZZINO!$B$2:$M$4838,8,FALSE)</f>
        <v/>
      </c>
      <c r="I1466" s="17">
        <f>+VLOOKUP($A1466,MAGAZZINO!$B$2:$M$4838,9,FALSE)</f>
        <v/>
      </c>
      <c r="J1466" s="17">
        <f>+VLOOKUP($A1466,MAGAZZINO!$B$2:$M$4838,10,FALSE)</f>
        <v/>
      </c>
      <c r="K1466" s="17">
        <f>+VLOOKUP($A1466,MAGAZZINO!$B$2:$M$4838,11,FALSE)</f>
        <v/>
      </c>
      <c r="L1466" s="44">
        <f>+VLOOKUP($A1466,MAGAZZINO!$B$2:$M$4838,12,FALSE)</f>
        <v/>
      </c>
    </row>
    <row r="1467" ht="36" customHeight="1">
      <c r="A1467" s="30">
        <f>+REGISTRO!A1450</f>
        <v/>
      </c>
      <c r="B1467" s="31">
        <f>+VLOOKUP($A1467,MAGAZZINO!$B$2:$M$4838,2,FALSE)</f>
        <v/>
      </c>
      <c r="C1467" s="32">
        <f>+VLOOKUP($A1467,MAGAZZINO!$B$2:$M$4838,3,FALSE)</f>
        <v/>
      </c>
      <c r="D1467" s="17">
        <f>+VLOOKUP($A1467,MAGAZZINO!$B$2:$M$4838,4,FALSE)</f>
        <v/>
      </c>
      <c r="E1467" s="17">
        <f>+VLOOKUP($A1467,MAGAZZINO!$B$2:$M$4838,5,FALSE)</f>
        <v/>
      </c>
      <c r="F1467" s="17">
        <f>+VLOOKUP($A1467,MAGAZZINO!$B$2:$M$4838,6,FALSE)</f>
        <v/>
      </c>
      <c r="G1467" s="17">
        <f>+VLOOKUP($A1467,MAGAZZINO!$B$2:$M$4838,7,FALSE)</f>
        <v/>
      </c>
      <c r="H1467" s="17">
        <f>+VLOOKUP($A1467,MAGAZZINO!$B$2:$M$4838,8,FALSE)</f>
        <v/>
      </c>
      <c r="I1467" s="17">
        <f>+VLOOKUP($A1467,MAGAZZINO!$B$2:$M$4838,9,FALSE)</f>
        <v/>
      </c>
      <c r="J1467" s="17">
        <f>+VLOOKUP($A1467,MAGAZZINO!$B$2:$M$4838,10,FALSE)</f>
        <v/>
      </c>
      <c r="K1467" s="17">
        <f>+VLOOKUP($A1467,MAGAZZINO!$B$2:$M$4838,11,FALSE)</f>
        <v/>
      </c>
      <c r="L1467" s="44">
        <f>+VLOOKUP($A1467,MAGAZZINO!$B$2:$M$4838,12,FALSE)</f>
        <v/>
      </c>
    </row>
    <row r="1468" ht="36" customHeight="1">
      <c r="A1468" s="30">
        <f>+REGISTRO!A1451</f>
        <v/>
      </c>
      <c r="B1468" s="31">
        <f>+VLOOKUP($A1468,MAGAZZINO!$B$2:$M$4838,2,FALSE)</f>
        <v/>
      </c>
      <c r="C1468" s="32">
        <f>+VLOOKUP($A1468,MAGAZZINO!$B$2:$M$4838,3,FALSE)</f>
        <v/>
      </c>
      <c r="D1468" s="17">
        <f>+VLOOKUP($A1468,MAGAZZINO!$B$2:$M$4838,4,FALSE)</f>
        <v/>
      </c>
      <c r="E1468" s="17">
        <f>+VLOOKUP($A1468,MAGAZZINO!$B$2:$M$4838,5,FALSE)</f>
        <v/>
      </c>
      <c r="F1468" s="17">
        <f>+VLOOKUP($A1468,MAGAZZINO!$B$2:$M$4838,6,FALSE)</f>
        <v/>
      </c>
      <c r="G1468" s="17">
        <f>+VLOOKUP($A1468,MAGAZZINO!$B$2:$M$4838,7,FALSE)</f>
        <v/>
      </c>
      <c r="H1468" s="17">
        <f>+VLOOKUP($A1468,MAGAZZINO!$B$2:$M$4838,8,FALSE)</f>
        <v/>
      </c>
      <c r="I1468" s="17">
        <f>+VLOOKUP($A1468,MAGAZZINO!$B$2:$M$4838,9,FALSE)</f>
        <v/>
      </c>
      <c r="J1468" s="17">
        <f>+VLOOKUP($A1468,MAGAZZINO!$B$2:$M$4838,10,FALSE)</f>
        <v/>
      </c>
      <c r="K1468" s="17">
        <f>+VLOOKUP($A1468,MAGAZZINO!$B$2:$M$4838,11,FALSE)</f>
        <v/>
      </c>
      <c r="L1468" s="44">
        <f>+VLOOKUP($A1468,MAGAZZINO!$B$2:$M$4838,12,FALSE)</f>
        <v/>
      </c>
    </row>
    <row r="1469" ht="36" customHeight="1">
      <c r="A1469" s="30">
        <f>+REGISTRO!A1452</f>
        <v/>
      </c>
      <c r="B1469" s="31">
        <f>+VLOOKUP($A1469,MAGAZZINO!$B$2:$M$4838,2,FALSE)</f>
        <v/>
      </c>
      <c r="C1469" s="32">
        <f>+VLOOKUP($A1469,MAGAZZINO!$B$2:$M$4838,3,FALSE)</f>
        <v/>
      </c>
      <c r="D1469" s="17">
        <f>+VLOOKUP($A1469,MAGAZZINO!$B$2:$M$4838,4,FALSE)</f>
        <v/>
      </c>
      <c r="E1469" s="17">
        <f>+VLOOKUP($A1469,MAGAZZINO!$B$2:$M$4838,5,FALSE)</f>
        <v/>
      </c>
      <c r="F1469" s="17">
        <f>+VLOOKUP($A1469,MAGAZZINO!$B$2:$M$4838,6,FALSE)</f>
        <v/>
      </c>
      <c r="G1469" s="17">
        <f>+VLOOKUP($A1469,MAGAZZINO!$B$2:$M$4838,7,FALSE)</f>
        <v/>
      </c>
      <c r="H1469" s="17">
        <f>+VLOOKUP($A1469,MAGAZZINO!$B$2:$M$4838,8,FALSE)</f>
        <v/>
      </c>
      <c r="I1469" s="17">
        <f>+VLOOKUP($A1469,MAGAZZINO!$B$2:$M$4838,9,FALSE)</f>
        <v/>
      </c>
      <c r="J1469" s="17">
        <f>+VLOOKUP($A1469,MAGAZZINO!$B$2:$M$4838,10,FALSE)</f>
        <v/>
      </c>
      <c r="K1469" s="17">
        <f>+VLOOKUP($A1469,MAGAZZINO!$B$2:$M$4838,11,FALSE)</f>
        <v/>
      </c>
      <c r="L1469" s="44">
        <f>+VLOOKUP($A1469,MAGAZZINO!$B$2:$M$4838,12,FALSE)</f>
        <v/>
      </c>
    </row>
    <row r="1470" ht="36" customHeight="1">
      <c r="A1470" s="30">
        <f>+REGISTRO!A1453</f>
        <v/>
      </c>
      <c r="B1470" s="31">
        <f>+VLOOKUP($A1470,MAGAZZINO!$B$2:$M$4838,2,FALSE)</f>
        <v/>
      </c>
      <c r="C1470" s="32">
        <f>+VLOOKUP($A1470,MAGAZZINO!$B$2:$M$4838,3,FALSE)</f>
        <v/>
      </c>
      <c r="D1470" s="17">
        <f>+VLOOKUP($A1470,MAGAZZINO!$B$2:$M$4838,4,FALSE)</f>
        <v/>
      </c>
      <c r="E1470" s="17">
        <f>+VLOOKUP($A1470,MAGAZZINO!$B$2:$M$4838,5,FALSE)</f>
        <v/>
      </c>
      <c r="F1470" s="17">
        <f>+VLOOKUP($A1470,MAGAZZINO!$B$2:$M$4838,6,FALSE)</f>
        <v/>
      </c>
      <c r="G1470" s="17">
        <f>+VLOOKUP($A1470,MAGAZZINO!$B$2:$M$4838,7,FALSE)</f>
        <v/>
      </c>
      <c r="H1470" s="17">
        <f>+VLOOKUP($A1470,MAGAZZINO!$B$2:$M$4838,8,FALSE)</f>
        <v/>
      </c>
      <c r="I1470" s="17">
        <f>+VLOOKUP($A1470,MAGAZZINO!$B$2:$M$4838,9,FALSE)</f>
        <v/>
      </c>
      <c r="J1470" s="17">
        <f>+VLOOKUP($A1470,MAGAZZINO!$B$2:$M$4838,10,FALSE)</f>
        <v/>
      </c>
      <c r="K1470" s="17">
        <f>+VLOOKUP($A1470,MAGAZZINO!$B$2:$M$4838,11,FALSE)</f>
        <v/>
      </c>
      <c r="L1470" s="44">
        <f>+VLOOKUP($A1470,MAGAZZINO!$B$2:$M$4838,12,FALSE)</f>
        <v/>
      </c>
    </row>
    <row r="1471" ht="36" customHeight="1">
      <c r="A1471" s="30">
        <f>+REGISTRO!A1454</f>
        <v/>
      </c>
      <c r="B1471" s="31">
        <f>+VLOOKUP($A1471,MAGAZZINO!$B$2:$M$4838,2,FALSE)</f>
        <v/>
      </c>
      <c r="C1471" s="32">
        <f>+VLOOKUP($A1471,MAGAZZINO!$B$2:$M$4838,3,FALSE)</f>
        <v/>
      </c>
      <c r="D1471" s="17">
        <f>+VLOOKUP($A1471,MAGAZZINO!$B$2:$M$4838,4,FALSE)</f>
        <v/>
      </c>
      <c r="E1471" s="17">
        <f>+VLOOKUP($A1471,MAGAZZINO!$B$2:$M$4838,5,FALSE)</f>
        <v/>
      </c>
      <c r="F1471" s="17">
        <f>+VLOOKUP($A1471,MAGAZZINO!$B$2:$M$4838,6,FALSE)</f>
        <v/>
      </c>
      <c r="G1471" s="17">
        <f>+VLOOKUP($A1471,MAGAZZINO!$B$2:$M$4838,7,FALSE)</f>
        <v/>
      </c>
      <c r="H1471" s="17">
        <f>+VLOOKUP($A1471,MAGAZZINO!$B$2:$M$4838,8,FALSE)</f>
        <v/>
      </c>
      <c r="I1471" s="17">
        <f>+VLOOKUP($A1471,MAGAZZINO!$B$2:$M$4838,9,FALSE)</f>
        <v/>
      </c>
      <c r="J1471" s="17">
        <f>+VLOOKUP($A1471,MAGAZZINO!$B$2:$M$4838,10,FALSE)</f>
        <v/>
      </c>
      <c r="K1471" s="17">
        <f>+VLOOKUP($A1471,MAGAZZINO!$B$2:$M$4838,11,FALSE)</f>
        <v/>
      </c>
      <c r="L1471" s="44">
        <f>+VLOOKUP($A1471,MAGAZZINO!$B$2:$M$4838,12,FALSE)</f>
        <v/>
      </c>
    </row>
    <row r="1472" ht="36" customHeight="1">
      <c r="A1472" s="30">
        <f>+REGISTRO!A1455</f>
        <v/>
      </c>
      <c r="B1472" s="31">
        <f>+VLOOKUP($A1472,MAGAZZINO!$B$2:$M$4838,2,FALSE)</f>
        <v/>
      </c>
      <c r="C1472" s="32">
        <f>+VLOOKUP($A1472,MAGAZZINO!$B$2:$M$4838,3,FALSE)</f>
        <v/>
      </c>
      <c r="D1472" s="17">
        <f>+VLOOKUP($A1472,MAGAZZINO!$B$2:$M$4838,4,FALSE)</f>
        <v/>
      </c>
      <c r="E1472" s="17">
        <f>+VLOOKUP($A1472,MAGAZZINO!$B$2:$M$4838,5,FALSE)</f>
        <v/>
      </c>
      <c r="F1472" s="17">
        <f>+VLOOKUP($A1472,MAGAZZINO!$B$2:$M$4838,6,FALSE)</f>
        <v/>
      </c>
      <c r="G1472" s="17">
        <f>+VLOOKUP($A1472,MAGAZZINO!$B$2:$M$4838,7,FALSE)</f>
        <v/>
      </c>
      <c r="H1472" s="17">
        <f>+VLOOKUP($A1472,MAGAZZINO!$B$2:$M$4838,8,FALSE)</f>
        <v/>
      </c>
      <c r="I1472" s="17">
        <f>+VLOOKUP($A1472,MAGAZZINO!$B$2:$M$4838,9,FALSE)</f>
        <v/>
      </c>
      <c r="J1472" s="17">
        <f>+VLOOKUP($A1472,MAGAZZINO!$B$2:$M$4838,10,FALSE)</f>
        <v/>
      </c>
      <c r="K1472" s="17">
        <f>+VLOOKUP($A1472,MAGAZZINO!$B$2:$M$4838,11,FALSE)</f>
        <v/>
      </c>
      <c r="L1472" s="44">
        <f>+VLOOKUP($A1472,MAGAZZINO!$B$2:$M$4838,12,FALSE)</f>
        <v/>
      </c>
    </row>
    <row r="1473" ht="36" customHeight="1">
      <c r="A1473" s="30">
        <f>+REGISTRO!A1456</f>
        <v/>
      </c>
      <c r="B1473" s="31">
        <f>+VLOOKUP($A1473,MAGAZZINO!$B$2:$M$4838,2,FALSE)</f>
        <v/>
      </c>
      <c r="C1473" s="32">
        <f>+VLOOKUP($A1473,MAGAZZINO!$B$2:$M$4838,3,FALSE)</f>
        <v/>
      </c>
      <c r="D1473" s="17">
        <f>+VLOOKUP($A1473,MAGAZZINO!$B$2:$M$4838,4,FALSE)</f>
        <v/>
      </c>
      <c r="E1473" s="17">
        <f>+VLOOKUP($A1473,MAGAZZINO!$B$2:$M$4838,5,FALSE)</f>
        <v/>
      </c>
      <c r="F1473" s="17">
        <f>+VLOOKUP($A1473,MAGAZZINO!$B$2:$M$4838,6,FALSE)</f>
        <v/>
      </c>
      <c r="G1473" s="17">
        <f>+VLOOKUP($A1473,MAGAZZINO!$B$2:$M$4838,7,FALSE)</f>
        <v/>
      </c>
      <c r="H1473" s="17">
        <f>+VLOOKUP($A1473,MAGAZZINO!$B$2:$M$4838,8,FALSE)</f>
        <v/>
      </c>
      <c r="I1473" s="17">
        <f>+VLOOKUP($A1473,MAGAZZINO!$B$2:$M$4838,9,FALSE)</f>
        <v/>
      </c>
      <c r="J1473" s="17">
        <f>+VLOOKUP($A1473,MAGAZZINO!$B$2:$M$4838,10,FALSE)</f>
        <v/>
      </c>
      <c r="K1473" s="17">
        <f>+VLOOKUP($A1473,MAGAZZINO!$B$2:$M$4838,11,FALSE)</f>
        <v/>
      </c>
      <c r="L1473" s="44">
        <f>+VLOOKUP($A1473,MAGAZZINO!$B$2:$M$4838,12,FALSE)</f>
        <v/>
      </c>
    </row>
    <row r="1474" ht="36" customHeight="1">
      <c r="A1474" s="30">
        <f>+REGISTRO!A1457</f>
        <v/>
      </c>
      <c r="B1474" s="31">
        <f>+VLOOKUP($A1474,MAGAZZINO!$B$2:$M$4838,2,FALSE)</f>
        <v/>
      </c>
      <c r="C1474" s="32">
        <f>+VLOOKUP($A1474,MAGAZZINO!$B$2:$M$4838,3,FALSE)</f>
        <v/>
      </c>
      <c r="D1474" s="17">
        <f>+VLOOKUP($A1474,MAGAZZINO!$B$2:$M$4838,4,FALSE)</f>
        <v/>
      </c>
      <c r="E1474" s="17">
        <f>+VLOOKUP($A1474,MAGAZZINO!$B$2:$M$4838,5,FALSE)</f>
        <v/>
      </c>
      <c r="F1474" s="17">
        <f>+VLOOKUP($A1474,MAGAZZINO!$B$2:$M$4838,6,FALSE)</f>
        <v/>
      </c>
      <c r="G1474" s="17">
        <f>+VLOOKUP($A1474,MAGAZZINO!$B$2:$M$4838,7,FALSE)</f>
        <v/>
      </c>
      <c r="H1474" s="17">
        <f>+VLOOKUP($A1474,MAGAZZINO!$B$2:$M$4838,8,FALSE)</f>
        <v/>
      </c>
      <c r="I1474" s="17">
        <f>+VLOOKUP($A1474,MAGAZZINO!$B$2:$M$4838,9,FALSE)</f>
        <v/>
      </c>
      <c r="J1474" s="17">
        <f>+VLOOKUP($A1474,MAGAZZINO!$B$2:$M$4838,10,FALSE)</f>
        <v/>
      </c>
      <c r="K1474" s="17">
        <f>+VLOOKUP($A1474,MAGAZZINO!$B$2:$M$4838,11,FALSE)</f>
        <v/>
      </c>
      <c r="L1474" s="44">
        <f>+VLOOKUP($A1474,MAGAZZINO!$B$2:$M$4838,12,FALSE)</f>
        <v/>
      </c>
    </row>
    <row r="1475" ht="36" customHeight="1">
      <c r="A1475" s="30">
        <f>+REGISTRO!A1458</f>
        <v/>
      </c>
      <c r="B1475" s="31">
        <f>+VLOOKUP($A1475,MAGAZZINO!$B$2:$M$4838,2,FALSE)</f>
        <v/>
      </c>
      <c r="C1475" s="32">
        <f>+VLOOKUP($A1475,MAGAZZINO!$B$2:$M$4838,3,FALSE)</f>
        <v/>
      </c>
      <c r="D1475" s="17">
        <f>+VLOOKUP($A1475,MAGAZZINO!$B$2:$M$4838,4,FALSE)</f>
        <v/>
      </c>
      <c r="E1475" s="17">
        <f>+VLOOKUP($A1475,MAGAZZINO!$B$2:$M$4838,5,FALSE)</f>
        <v/>
      </c>
      <c r="F1475" s="17">
        <f>+VLOOKUP($A1475,MAGAZZINO!$B$2:$M$4838,6,FALSE)</f>
        <v/>
      </c>
      <c r="G1475" s="17">
        <f>+VLOOKUP($A1475,MAGAZZINO!$B$2:$M$4838,7,FALSE)</f>
        <v/>
      </c>
      <c r="H1475" s="17">
        <f>+VLOOKUP($A1475,MAGAZZINO!$B$2:$M$4838,8,FALSE)</f>
        <v/>
      </c>
      <c r="I1475" s="17">
        <f>+VLOOKUP($A1475,MAGAZZINO!$B$2:$M$4838,9,FALSE)</f>
        <v/>
      </c>
      <c r="J1475" s="17">
        <f>+VLOOKUP($A1475,MAGAZZINO!$B$2:$M$4838,10,FALSE)</f>
        <v/>
      </c>
      <c r="K1475" s="17">
        <f>+VLOOKUP($A1475,MAGAZZINO!$B$2:$M$4838,11,FALSE)</f>
        <v/>
      </c>
      <c r="L1475" s="44">
        <f>+VLOOKUP($A1475,MAGAZZINO!$B$2:$M$4838,12,FALSE)</f>
        <v/>
      </c>
    </row>
    <row r="1476" ht="36" customHeight="1">
      <c r="A1476" s="30">
        <f>+REGISTRO!A1459</f>
        <v/>
      </c>
      <c r="B1476" s="31">
        <f>+VLOOKUP($A1476,MAGAZZINO!$B$2:$M$4838,2,FALSE)</f>
        <v/>
      </c>
      <c r="C1476" s="32">
        <f>+VLOOKUP($A1476,MAGAZZINO!$B$2:$M$4838,3,FALSE)</f>
        <v/>
      </c>
      <c r="D1476" s="17">
        <f>+VLOOKUP($A1476,MAGAZZINO!$B$2:$M$4838,4,FALSE)</f>
        <v/>
      </c>
      <c r="E1476" s="17">
        <f>+VLOOKUP($A1476,MAGAZZINO!$B$2:$M$4838,5,FALSE)</f>
        <v/>
      </c>
      <c r="F1476" s="17">
        <f>+VLOOKUP($A1476,MAGAZZINO!$B$2:$M$4838,6,FALSE)</f>
        <v/>
      </c>
      <c r="G1476" s="17">
        <f>+VLOOKUP($A1476,MAGAZZINO!$B$2:$M$4838,7,FALSE)</f>
        <v/>
      </c>
      <c r="H1476" s="17">
        <f>+VLOOKUP($A1476,MAGAZZINO!$B$2:$M$4838,8,FALSE)</f>
        <v/>
      </c>
      <c r="I1476" s="17">
        <f>+VLOOKUP($A1476,MAGAZZINO!$B$2:$M$4838,9,FALSE)</f>
        <v/>
      </c>
      <c r="J1476" s="17">
        <f>+VLOOKUP($A1476,MAGAZZINO!$B$2:$M$4838,10,FALSE)</f>
        <v/>
      </c>
      <c r="K1476" s="17">
        <f>+VLOOKUP($A1476,MAGAZZINO!$B$2:$M$4838,11,FALSE)</f>
        <v/>
      </c>
      <c r="L1476" s="44">
        <f>+VLOOKUP($A1476,MAGAZZINO!$B$2:$M$4838,12,FALSE)</f>
        <v/>
      </c>
    </row>
    <row r="1477" ht="36" customHeight="1">
      <c r="A1477" s="30">
        <f>+REGISTRO!A1460</f>
        <v/>
      </c>
      <c r="B1477" s="31">
        <f>+VLOOKUP($A1477,MAGAZZINO!$B$2:$M$4838,2,FALSE)</f>
        <v/>
      </c>
      <c r="C1477" s="32">
        <f>+VLOOKUP($A1477,MAGAZZINO!$B$2:$M$4838,3,FALSE)</f>
        <v/>
      </c>
      <c r="D1477" s="17">
        <f>+VLOOKUP($A1477,MAGAZZINO!$B$2:$M$4838,4,FALSE)</f>
        <v/>
      </c>
      <c r="E1477" s="17">
        <f>+VLOOKUP($A1477,MAGAZZINO!$B$2:$M$4838,5,FALSE)</f>
        <v/>
      </c>
      <c r="F1477" s="17">
        <f>+VLOOKUP($A1477,MAGAZZINO!$B$2:$M$4838,6,FALSE)</f>
        <v/>
      </c>
      <c r="G1477" s="17">
        <f>+VLOOKUP($A1477,MAGAZZINO!$B$2:$M$4838,7,FALSE)</f>
        <v/>
      </c>
      <c r="H1477" s="17">
        <f>+VLOOKUP($A1477,MAGAZZINO!$B$2:$M$4838,8,FALSE)</f>
        <v/>
      </c>
      <c r="I1477" s="17">
        <f>+VLOOKUP($A1477,MAGAZZINO!$B$2:$M$4838,9,FALSE)</f>
        <v/>
      </c>
      <c r="J1477" s="17">
        <f>+VLOOKUP($A1477,MAGAZZINO!$B$2:$M$4838,10,FALSE)</f>
        <v/>
      </c>
      <c r="K1477" s="17">
        <f>+VLOOKUP($A1477,MAGAZZINO!$B$2:$M$4838,11,FALSE)</f>
        <v/>
      </c>
      <c r="L1477" s="44">
        <f>+VLOOKUP($A1477,MAGAZZINO!$B$2:$M$4838,12,FALSE)</f>
        <v/>
      </c>
    </row>
    <row r="1478" ht="36" customHeight="1">
      <c r="A1478" s="30">
        <f>+REGISTRO!A1461</f>
        <v/>
      </c>
      <c r="B1478" s="31">
        <f>+VLOOKUP($A1478,MAGAZZINO!$B$2:$M$4838,2,FALSE)</f>
        <v/>
      </c>
      <c r="C1478" s="32">
        <f>+VLOOKUP($A1478,MAGAZZINO!$B$2:$M$4838,3,FALSE)</f>
        <v/>
      </c>
      <c r="D1478" s="17">
        <f>+VLOOKUP($A1478,MAGAZZINO!$B$2:$M$4838,4,FALSE)</f>
        <v/>
      </c>
      <c r="E1478" s="17">
        <f>+VLOOKUP($A1478,MAGAZZINO!$B$2:$M$4838,5,FALSE)</f>
        <v/>
      </c>
      <c r="F1478" s="17">
        <f>+VLOOKUP($A1478,MAGAZZINO!$B$2:$M$4838,6,FALSE)</f>
        <v/>
      </c>
      <c r="G1478" s="17">
        <f>+VLOOKUP($A1478,MAGAZZINO!$B$2:$M$4838,7,FALSE)</f>
        <v/>
      </c>
      <c r="H1478" s="17">
        <f>+VLOOKUP($A1478,MAGAZZINO!$B$2:$M$4838,8,FALSE)</f>
        <v/>
      </c>
      <c r="I1478" s="17">
        <f>+VLOOKUP($A1478,MAGAZZINO!$B$2:$M$4838,9,FALSE)</f>
        <v/>
      </c>
      <c r="J1478" s="17">
        <f>+VLOOKUP($A1478,MAGAZZINO!$B$2:$M$4838,10,FALSE)</f>
        <v/>
      </c>
      <c r="K1478" s="17">
        <f>+VLOOKUP($A1478,MAGAZZINO!$B$2:$M$4838,11,FALSE)</f>
        <v/>
      </c>
      <c r="L1478" s="44">
        <f>+VLOOKUP($A1478,MAGAZZINO!$B$2:$M$4838,12,FALSE)</f>
        <v/>
      </c>
    </row>
    <row r="1479" ht="36" customHeight="1">
      <c r="A1479" s="30">
        <f>+REGISTRO!A1462</f>
        <v/>
      </c>
      <c r="B1479" s="31">
        <f>+VLOOKUP($A1479,MAGAZZINO!$B$2:$M$4838,2,FALSE)</f>
        <v/>
      </c>
      <c r="C1479" s="32">
        <f>+VLOOKUP($A1479,MAGAZZINO!$B$2:$M$4838,3,FALSE)</f>
        <v/>
      </c>
      <c r="D1479" s="17">
        <f>+VLOOKUP($A1479,MAGAZZINO!$B$2:$M$4838,4,FALSE)</f>
        <v/>
      </c>
      <c r="E1479" s="17">
        <f>+VLOOKUP($A1479,MAGAZZINO!$B$2:$M$4838,5,FALSE)</f>
        <v/>
      </c>
      <c r="F1479" s="17">
        <f>+VLOOKUP($A1479,MAGAZZINO!$B$2:$M$4838,6,FALSE)</f>
        <v/>
      </c>
      <c r="G1479" s="17">
        <f>+VLOOKUP($A1479,MAGAZZINO!$B$2:$M$4838,7,FALSE)</f>
        <v/>
      </c>
      <c r="H1479" s="17">
        <f>+VLOOKUP($A1479,MAGAZZINO!$B$2:$M$4838,8,FALSE)</f>
        <v/>
      </c>
      <c r="I1479" s="17">
        <f>+VLOOKUP($A1479,MAGAZZINO!$B$2:$M$4838,9,FALSE)</f>
        <v/>
      </c>
      <c r="J1479" s="17">
        <f>+VLOOKUP($A1479,MAGAZZINO!$B$2:$M$4838,10,FALSE)</f>
        <v/>
      </c>
      <c r="K1479" s="17">
        <f>+VLOOKUP($A1479,MAGAZZINO!$B$2:$M$4838,11,FALSE)</f>
        <v/>
      </c>
      <c r="L1479" s="44">
        <f>+VLOOKUP($A1479,MAGAZZINO!$B$2:$M$4838,12,FALSE)</f>
        <v/>
      </c>
    </row>
    <row r="1480" ht="36" customHeight="1">
      <c r="A1480" s="30">
        <f>+REGISTRO!A1463</f>
        <v/>
      </c>
      <c r="B1480" s="31">
        <f>+VLOOKUP($A1480,MAGAZZINO!$B$2:$M$4838,2,FALSE)</f>
        <v/>
      </c>
      <c r="C1480" s="32">
        <f>+VLOOKUP($A1480,MAGAZZINO!$B$2:$M$4838,3,FALSE)</f>
        <v/>
      </c>
      <c r="D1480" s="17">
        <f>+VLOOKUP($A1480,MAGAZZINO!$B$2:$M$4838,4,FALSE)</f>
        <v/>
      </c>
      <c r="E1480" s="17">
        <f>+VLOOKUP($A1480,MAGAZZINO!$B$2:$M$4838,5,FALSE)</f>
        <v/>
      </c>
      <c r="F1480" s="17">
        <f>+VLOOKUP($A1480,MAGAZZINO!$B$2:$M$4838,6,FALSE)</f>
        <v/>
      </c>
      <c r="G1480" s="17">
        <f>+VLOOKUP($A1480,MAGAZZINO!$B$2:$M$4838,7,FALSE)</f>
        <v/>
      </c>
      <c r="H1480" s="17">
        <f>+VLOOKUP($A1480,MAGAZZINO!$B$2:$M$4838,8,FALSE)</f>
        <v/>
      </c>
      <c r="I1480" s="17">
        <f>+VLOOKUP($A1480,MAGAZZINO!$B$2:$M$4838,9,FALSE)</f>
        <v/>
      </c>
      <c r="J1480" s="17">
        <f>+VLOOKUP($A1480,MAGAZZINO!$B$2:$M$4838,10,FALSE)</f>
        <v/>
      </c>
      <c r="K1480" s="17">
        <f>+VLOOKUP($A1480,MAGAZZINO!$B$2:$M$4838,11,FALSE)</f>
        <v/>
      </c>
      <c r="L1480" s="44">
        <f>+VLOOKUP($A1480,MAGAZZINO!$B$2:$M$4838,12,FALSE)</f>
        <v/>
      </c>
    </row>
    <row r="1481" ht="36" customHeight="1">
      <c r="A1481" s="30">
        <f>+REGISTRO!A1464</f>
        <v/>
      </c>
      <c r="B1481" s="31">
        <f>+VLOOKUP($A1481,MAGAZZINO!$B$2:$M$4838,2,FALSE)</f>
        <v/>
      </c>
      <c r="C1481" s="32">
        <f>+VLOOKUP($A1481,MAGAZZINO!$B$2:$M$4838,3,FALSE)</f>
        <v/>
      </c>
      <c r="D1481" s="17">
        <f>+VLOOKUP($A1481,MAGAZZINO!$B$2:$M$4838,4,FALSE)</f>
        <v/>
      </c>
      <c r="E1481" s="17">
        <f>+VLOOKUP($A1481,MAGAZZINO!$B$2:$M$4838,5,FALSE)</f>
        <v/>
      </c>
      <c r="F1481" s="17">
        <f>+VLOOKUP($A1481,MAGAZZINO!$B$2:$M$4838,6,FALSE)</f>
        <v/>
      </c>
      <c r="G1481" s="17">
        <f>+VLOOKUP($A1481,MAGAZZINO!$B$2:$M$4838,7,FALSE)</f>
        <v/>
      </c>
      <c r="H1481" s="17">
        <f>+VLOOKUP($A1481,MAGAZZINO!$B$2:$M$4838,8,FALSE)</f>
        <v/>
      </c>
      <c r="I1481" s="17">
        <f>+VLOOKUP($A1481,MAGAZZINO!$B$2:$M$4838,9,FALSE)</f>
        <v/>
      </c>
      <c r="J1481" s="17">
        <f>+VLOOKUP($A1481,MAGAZZINO!$B$2:$M$4838,10,FALSE)</f>
        <v/>
      </c>
      <c r="K1481" s="17">
        <f>+VLOOKUP($A1481,MAGAZZINO!$B$2:$M$4838,11,FALSE)</f>
        <v/>
      </c>
      <c r="L1481" s="44">
        <f>+VLOOKUP($A1481,MAGAZZINO!$B$2:$M$4838,12,FALSE)</f>
        <v/>
      </c>
    </row>
    <row r="1482" ht="36" customHeight="1">
      <c r="A1482" s="30">
        <f>+REGISTRO!A1465</f>
        <v/>
      </c>
      <c r="B1482" s="31">
        <f>+VLOOKUP($A1482,MAGAZZINO!$B$2:$M$4838,2,FALSE)</f>
        <v/>
      </c>
      <c r="C1482" s="32">
        <f>+VLOOKUP($A1482,MAGAZZINO!$B$2:$M$4838,3,FALSE)</f>
        <v/>
      </c>
      <c r="D1482" s="17">
        <f>+VLOOKUP($A1482,MAGAZZINO!$B$2:$M$4838,4,FALSE)</f>
        <v/>
      </c>
      <c r="E1482" s="17">
        <f>+VLOOKUP($A1482,MAGAZZINO!$B$2:$M$4838,5,FALSE)</f>
        <v/>
      </c>
      <c r="F1482" s="17">
        <f>+VLOOKUP($A1482,MAGAZZINO!$B$2:$M$4838,6,FALSE)</f>
        <v/>
      </c>
      <c r="G1482" s="17">
        <f>+VLOOKUP($A1482,MAGAZZINO!$B$2:$M$4838,7,FALSE)</f>
        <v/>
      </c>
      <c r="H1482" s="17">
        <f>+VLOOKUP($A1482,MAGAZZINO!$B$2:$M$4838,8,FALSE)</f>
        <v/>
      </c>
      <c r="I1482" s="17">
        <f>+VLOOKUP($A1482,MAGAZZINO!$B$2:$M$4838,9,FALSE)</f>
        <v/>
      </c>
      <c r="J1482" s="17">
        <f>+VLOOKUP($A1482,MAGAZZINO!$B$2:$M$4838,10,FALSE)</f>
        <v/>
      </c>
      <c r="K1482" s="17">
        <f>+VLOOKUP($A1482,MAGAZZINO!$B$2:$M$4838,11,FALSE)</f>
        <v/>
      </c>
      <c r="L1482" s="44">
        <f>+VLOOKUP($A1482,MAGAZZINO!$B$2:$M$4838,12,FALSE)</f>
        <v/>
      </c>
    </row>
    <row r="1483" ht="36" customHeight="1">
      <c r="A1483" s="30">
        <f>+REGISTRO!A1466</f>
        <v/>
      </c>
      <c r="B1483" s="31">
        <f>+VLOOKUP($A1483,MAGAZZINO!$B$2:$M$4838,2,FALSE)</f>
        <v/>
      </c>
      <c r="C1483" s="32">
        <f>+VLOOKUP($A1483,MAGAZZINO!$B$2:$M$4838,3,FALSE)</f>
        <v/>
      </c>
      <c r="D1483" s="17">
        <f>+VLOOKUP($A1483,MAGAZZINO!$B$2:$M$4838,4,FALSE)</f>
        <v/>
      </c>
      <c r="E1483" s="17">
        <f>+VLOOKUP($A1483,MAGAZZINO!$B$2:$M$4838,5,FALSE)</f>
        <v/>
      </c>
      <c r="F1483" s="17">
        <f>+VLOOKUP($A1483,MAGAZZINO!$B$2:$M$4838,6,FALSE)</f>
        <v/>
      </c>
      <c r="G1483" s="17">
        <f>+VLOOKUP($A1483,MAGAZZINO!$B$2:$M$4838,7,FALSE)</f>
        <v/>
      </c>
      <c r="H1483" s="17">
        <f>+VLOOKUP($A1483,MAGAZZINO!$B$2:$M$4838,8,FALSE)</f>
        <v/>
      </c>
      <c r="I1483" s="17">
        <f>+VLOOKUP($A1483,MAGAZZINO!$B$2:$M$4838,9,FALSE)</f>
        <v/>
      </c>
      <c r="J1483" s="17">
        <f>+VLOOKUP($A1483,MAGAZZINO!$B$2:$M$4838,10,FALSE)</f>
        <v/>
      </c>
      <c r="K1483" s="17">
        <f>+VLOOKUP($A1483,MAGAZZINO!$B$2:$M$4838,11,FALSE)</f>
        <v/>
      </c>
      <c r="L1483" s="44">
        <f>+VLOOKUP($A1483,MAGAZZINO!$B$2:$M$4838,12,FALSE)</f>
        <v/>
      </c>
    </row>
    <row r="1484" ht="36" customHeight="1">
      <c r="A1484" s="30">
        <f>+REGISTRO!A1467</f>
        <v/>
      </c>
      <c r="B1484" s="31">
        <f>+VLOOKUP($A1484,MAGAZZINO!$B$2:$M$4838,2,FALSE)</f>
        <v/>
      </c>
      <c r="C1484" s="32">
        <f>+VLOOKUP($A1484,MAGAZZINO!$B$2:$M$4838,3,FALSE)</f>
        <v/>
      </c>
      <c r="D1484" s="17">
        <f>+VLOOKUP($A1484,MAGAZZINO!$B$2:$M$4838,4,FALSE)</f>
        <v/>
      </c>
      <c r="E1484" s="17">
        <f>+VLOOKUP($A1484,MAGAZZINO!$B$2:$M$4838,5,FALSE)</f>
        <v/>
      </c>
      <c r="F1484" s="17">
        <f>+VLOOKUP($A1484,MAGAZZINO!$B$2:$M$4838,6,FALSE)</f>
        <v/>
      </c>
      <c r="G1484" s="17">
        <f>+VLOOKUP($A1484,MAGAZZINO!$B$2:$M$4838,7,FALSE)</f>
        <v/>
      </c>
      <c r="H1484" s="17">
        <f>+VLOOKUP($A1484,MAGAZZINO!$B$2:$M$4838,8,FALSE)</f>
        <v/>
      </c>
      <c r="I1484" s="17">
        <f>+VLOOKUP($A1484,MAGAZZINO!$B$2:$M$4838,9,FALSE)</f>
        <v/>
      </c>
      <c r="J1484" s="17">
        <f>+VLOOKUP($A1484,MAGAZZINO!$B$2:$M$4838,10,FALSE)</f>
        <v/>
      </c>
      <c r="K1484" s="17">
        <f>+VLOOKUP($A1484,MAGAZZINO!$B$2:$M$4838,11,FALSE)</f>
        <v/>
      </c>
      <c r="L1484" s="44">
        <f>+VLOOKUP($A1484,MAGAZZINO!$B$2:$M$4838,12,FALSE)</f>
        <v/>
      </c>
    </row>
    <row r="1485" ht="36" customHeight="1">
      <c r="A1485" s="30">
        <f>+REGISTRO!A1468</f>
        <v/>
      </c>
      <c r="B1485" s="31">
        <f>+VLOOKUP($A1485,MAGAZZINO!$B$2:$M$4838,2,FALSE)</f>
        <v/>
      </c>
      <c r="C1485" s="32">
        <f>+VLOOKUP($A1485,MAGAZZINO!$B$2:$M$4838,3,FALSE)</f>
        <v/>
      </c>
      <c r="D1485" s="17">
        <f>+VLOOKUP($A1485,MAGAZZINO!$B$2:$M$4838,4,FALSE)</f>
        <v/>
      </c>
      <c r="E1485" s="17">
        <f>+VLOOKUP($A1485,MAGAZZINO!$B$2:$M$4838,5,FALSE)</f>
        <v/>
      </c>
      <c r="F1485" s="17">
        <f>+VLOOKUP($A1485,MAGAZZINO!$B$2:$M$4838,6,FALSE)</f>
        <v/>
      </c>
      <c r="G1485" s="17">
        <f>+VLOOKUP($A1485,MAGAZZINO!$B$2:$M$4838,7,FALSE)</f>
        <v/>
      </c>
      <c r="H1485" s="17">
        <f>+VLOOKUP($A1485,MAGAZZINO!$B$2:$M$4838,8,FALSE)</f>
        <v/>
      </c>
      <c r="I1485" s="17">
        <f>+VLOOKUP($A1485,MAGAZZINO!$B$2:$M$4838,9,FALSE)</f>
        <v/>
      </c>
      <c r="J1485" s="17">
        <f>+VLOOKUP($A1485,MAGAZZINO!$B$2:$M$4838,10,FALSE)</f>
        <v/>
      </c>
      <c r="K1485" s="17">
        <f>+VLOOKUP($A1485,MAGAZZINO!$B$2:$M$4838,11,FALSE)</f>
        <v/>
      </c>
      <c r="L1485" s="44">
        <f>+VLOOKUP($A1485,MAGAZZINO!$B$2:$M$4838,12,FALSE)</f>
        <v/>
      </c>
    </row>
    <row r="1486" ht="36" customHeight="1">
      <c r="A1486" s="30">
        <f>+REGISTRO!A1469</f>
        <v/>
      </c>
      <c r="B1486" s="31">
        <f>+VLOOKUP($A1486,MAGAZZINO!$B$2:$M$4838,2,FALSE)</f>
        <v/>
      </c>
      <c r="C1486" s="32">
        <f>+VLOOKUP($A1486,MAGAZZINO!$B$2:$M$4838,3,FALSE)</f>
        <v/>
      </c>
      <c r="D1486" s="17">
        <f>+VLOOKUP($A1486,MAGAZZINO!$B$2:$M$4838,4,FALSE)</f>
        <v/>
      </c>
      <c r="E1486" s="17">
        <f>+VLOOKUP($A1486,MAGAZZINO!$B$2:$M$4838,5,FALSE)</f>
        <v/>
      </c>
      <c r="F1486" s="17">
        <f>+VLOOKUP($A1486,MAGAZZINO!$B$2:$M$4838,6,FALSE)</f>
        <v/>
      </c>
      <c r="G1486" s="17">
        <f>+VLOOKUP($A1486,MAGAZZINO!$B$2:$M$4838,7,FALSE)</f>
        <v/>
      </c>
      <c r="H1486" s="17">
        <f>+VLOOKUP($A1486,MAGAZZINO!$B$2:$M$4838,8,FALSE)</f>
        <v/>
      </c>
      <c r="I1486" s="17">
        <f>+VLOOKUP($A1486,MAGAZZINO!$B$2:$M$4838,9,FALSE)</f>
        <v/>
      </c>
      <c r="J1486" s="17">
        <f>+VLOOKUP($A1486,MAGAZZINO!$B$2:$M$4838,10,FALSE)</f>
        <v/>
      </c>
      <c r="K1486" s="17">
        <f>+VLOOKUP($A1486,MAGAZZINO!$B$2:$M$4838,11,FALSE)</f>
        <v/>
      </c>
      <c r="L1486" s="44">
        <f>+VLOOKUP($A1486,MAGAZZINO!$B$2:$M$4838,12,FALSE)</f>
        <v/>
      </c>
    </row>
    <row r="1487" ht="36" customHeight="1">
      <c r="A1487" s="30">
        <f>+REGISTRO!A1470</f>
        <v/>
      </c>
      <c r="B1487" s="31">
        <f>+VLOOKUP($A1487,MAGAZZINO!$B$2:$M$4838,2,FALSE)</f>
        <v/>
      </c>
      <c r="C1487" s="32">
        <f>+VLOOKUP($A1487,MAGAZZINO!$B$2:$M$4838,3,FALSE)</f>
        <v/>
      </c>
      <c r="D1487" s="17">
        <f>+VLOOKUP($A1487,MAGAZZINO!$B$2:$M$4838,4,FALSE)</f>
        <v/>
      </c>
      <c r="E1487" s="17">
        <f>+VLOOKUP($A1487,MAGAZZINO!$B$2:$M$4838,5,FALSE)</f>
        <v/>
      </c>
      <c r="F1487" s="17">
        <f>+VLOOKUP($A1487,MAGAZZINO!$B$2:$M$4838,6,FALSE)</f>
        <v/>
      </c>
      <c r="G1487" s="17">
        <f>+VLOOKUP($A1487,MAGAZZINO!$B$2:$M$4838,7,FALSE)</f>
        <v/>
      </c>
      <c r="H1487" s="17">
        <f>+VLOOKUP($A1487,MAGAZZINO!$B$2:$M$4838,8,FALSE)</f>
        <v/>
      </c>
      <c r="I1487" s="17">
        <f>+VLOOKUP($A1487,MAGAZZINO!$B$2:$M$4838,9,FALSE)</f>
        <v/>
      </c>
      <c r="J1487" s="17">
        <f>+VLOOKUP($A1487,MAGAZZINO!$B$2:$M$4838,10,FALSE)</f>
        <v/>
      </c>
      <c r="K1487" s="17">
        <f>+VLOOKUP($A1487,MAGAZZINO!$B$2:$M$4838,11,FALSE)</f>
        <v/>
      </c>
      <c r="L1487" s="44">
        <f>+VLOOKUP($A1487,MAGAZZINO!$B$2:$M$4838,12,FALSE)</f>
        <v/>
      </c>
    </row>
    <row r="1488" ht="36" customHeight="1">
      <c r="A1488" s="30">
        <f>+REGISTRO!A1471</f>
        <v/>
      </c>
      <c r="B1488" s="31">
        <f>+VLOOKUP($A1488,MAGAZZINO!$B$2:$M$4838,2,FALSE)</f>
        <v/>
      </c>
      <c r="C1488" s="32">
        <f>+VLOOKUP($A1488,MAGAZZINO!$B$2:$M$4838,3,FALSE)</f>
        <v/>
      </c>
      <c r="D1488" s="17">
        <f>+VLOOKUP($A1488,MAGAZZINO!$B$2:$M$4838,4,FALSE)</f>
        <v/>
      </c>
      <c r="E1488" s="17">
        <f>+VLOOKUP($A1488,MAGAZZINO!$B$2:$M$4838,5,FALSE)</f>
        <v/>
      </c>
      <c r="F1488" s="17">
        <f>+VLOOKUP($A1488,MAGAZZINO!$B$2:$M$4838,6,FALSE)</f>
        <v/>
      </c>
      <c r="G1488" s="17">
        <f>+VLOOKUP($A1488,MAGAZZINO!$B$2:$M$4838,7,FALSE)</f>
        <v/>
      </c>
      <c r="H1488" s="17">
        <f>+VLOOKUP($A1488,MAGAZZINO!$B$2:$M$4838,8,FALSE)</f>
        <v/>
      </c>
      <c r="I1488" s="17">
        <f>+VLOOKUP($A1488,MAGAZZINO!$B$2:$M$4838,9,FALSE)</f>
        <v/>
      </c>
      <c r="J1488" s="17">
        <f>+VLOOKUP($A1488,MAGAZZINO!$B$2:$M$4838,10,FALSE)</f>
        <v/>
      </c>
      <c r="K1488" s="17">
        <f>+VLOOKUP($A1488,MAGAZZINO!$B$2:$M$4838,11,FALSE)</f>
        <v/>
      </c>
      <c r="L1488" s="44">
        <f>+VLOOKUP($A1488,MAGAZZINO!$B$2:$M$4838,12,FALSE)</f>
        <v/>
      </c>
    </row>
    <row r="1489" ht="36" customHeight="1">
      <c r="A1489" s="30">
        <f>+REGISTRO!A1472</f>
        <v/>
      </c>
      <c r="B1489" s="31">
        <f>+VLOOKUP($A1489,MAGAZZINO!$B$2:$M$4838,2,FALSE)</f>
        <v/>
      </c>
      <c r="C1489" s="32">
        <f>+VLOOKUP($A1489,MAGAZZINO!$B$2:$M$4838,3,FALSE)</f>
        <v/>
      </c>
      <c r="D1489" s="17">
        <f>+VLOOKUP($A1489,MAGAZZINO!$B$2:$M$4838,4,FALSE)</f>
        <v/>
      </c>
      <c r="E1489" s="17">
        <f>+VLOOKUP($A1489,MAGAZZINO!$B$2:$M$4838,5,FALSE)</f>
        <v/>
      </c>
      <c r="F1489" s="17">
        <f>+VLOOKUP($A1489,MAGAZZINO!$B$2:$M$4838,6,FALSE)</f>
        <v/>
      </c>
      <c r="G1489" s="17">
        <f>+VLOOKUP($A1489,MAGAZZINO!$B$2:$M$4838,7,FALSE)</f>
        <v/>
      </c>
      <c r="H1489" s="17">
        <f>+VLOOKUP($A1489,MAGAZZINO!$B$2:$M$4838,8,FALSE)</f>
        <v/>
      </c>
      <c r="I1489" s="17">
        <f>+VLOOKUP($A1489,MAGAZZINO!$B$2:$M$4838,9,FALSE)</f>
        <v/>
      </c>
      <c r="J1489" s="17">
        <f>+VLOOKUP($A1489,MAGAZZINO!$B$2:$M$4838,10,FALSE)</f>
        <v/>
      </c>
      <c r="K1489" s="17">
        <f>+VLOOKUP($A1489,MAGAZZINO!$B$2:$M$4838,11,FALSE)</f>
        <v/>
      </c>
      <c r="L1489" s="44">
        <f>+VLOOKUP($A1489,MAGAZZINO!$B$2:$M$4838,12,FALSE)</f>
        <v/>
      </c>
    </row>
    <row r="1490" ht="36" customHeight="1">
      <c r="A1490" s="30">
        <f>+REGISTRO!A1473</f>
        <v/>
      </c>
      <c r="B1490" s="31">
        <f>+VLOOKUP($A1490,MAGAZZINO!$B$2:$M$4838,2,FALSE)</f>
        <v/>
      </c>
      <c r="C1490" s="32">
        <f>+VLOOKUP($A1490,MAGAZZINO!$B$2:$M$4838,3,FALSE)</f>
        <v/>
      </c>
      <c r="D1490" s="17">
        <f>+VLOOKUP($A1490,MAGAZZINO!$B$2:$M$4838,4,FALSE)</f>
        <v/>
      </c>
      <c r="E1490" s="17">
        <f>+VLOOKUP($A1490,MAGAZZINO!$B$2:$M$4838,5,FALSE)</f>
        <v/>
      </c>
      <c r="F1490" s="17">
        <f>+VLOOKUP($A1490,MAGAZZINO!$B$2:$M$4838,6,FALSE)</f>
        <v/>
      </c>
      <c r="G1490" s="17">
        <f>+VLOOKUP($A1490,MAGAZZINO!$B$2:$M$4838,7,FALSE)</f>
        <v/>
      </c>
      <c r="H1490" s="17">
        <f>+VLOOKUP($A1490,MAGAZZINO!$B$2:$M$4838,8,FALSE)</f>
        <v/>
      </c>
      <c r="I1490" s="17">
        <f>+VLOOKUP($A1490,MAGAZZINO!$B$2:$M$4838,9,FALSE)</f>
        <v/>
      </c>
      <c r="J1490" s="17">
        <f>+VLOOKUP($A1490,MAGAZZINO!$B$2:$M$4838,10,FALSE)</f>
        <v/>
      </c>
      <c r="K1490" s="17">
        <f>+VLOOKUP($A1490,MAGAZZINO!$B$2:$M$4838,11,FALSE)</f>
        <v/>
      </c>
      <c r="L1490" s="44">
        <f>+VLOOKUP($A1490,MAGAZZINO!$B$2:$M$4838,12,FALSE)</f>
        <v/>
      </c>
    </row>
    <row r="1491" ht="36" customHeight="1">
      <c r="A1491" s="30">
        <f>+REGISTRO!A1474</f>
        <v/>
      </c>
      <c r="B1491" s="31">
        <f>+VLOOKUP($A1491,MAGAZZINO!$B$2:$M$4838,2,FALSE)</f>
        <v/>
      </c>
      <c r="C1491" s="32">
        <f>+VLOOKUP($A1491,MAGAZZINO!$B$2:$M$4838,3,FALSE)</f>
        <v/>
      </c>
      <c r="D1491" s="17">
        <f>+VLOOKUP($A1491,MAGAZZINO!$B$2:$M$4838,4,FALSE)</f>
        <v/>
      </c>
      <c r="E1491" s="17">
        <f>+VLOOKUP($A1491,MAGAZZINO!$B$2:$M$4838,5,FALSE)</f>
        <v/>
      </c>
      <c r="F1491" s="17">
        <f>+VLOOKUP($A1491,MAGAZZINO!$B$2:$M$4838,6,FALSE)</f>
        <v/>
      </c>
      <c r="G1491" s="17">
        <f>+VLOOKUP($A1491,MAGAZZINO!$B$2:$M$4838,7,FALSE)</f>
        <v/>
      </c>
      <c r="H1491" s="17">
        <f>+VLOOKUP($A1491,MAGAZZINO!$B$2:$M$4838,8,FALSE)</f>
        <v/>
      </c>
      <c r="I1491" s="17">
        <f>+VLOOKUP($A1491,MAGAZZINO!$B$2:$M$4838,9,FALSE)</f>
        <v/>
      </c>
      <c r="J1491" s="17">
        <f>+VLOOKUP($A1491,MAGAZZINO!$B$2:$M$4838,10,FALSE)</f>
        <v/>
      </c>
      <c r="K1491" s="17">
        <f>+VLOOKUP($A1491,MAGAZZINO!$B$2:$M$4838,11,FALSE)</f>
        <v/>
      </c>
      <c r="L1491" s="44">
        <f>+VLOOKUP($A1491,MAGAZZINO!$B$2:$M$4838,12,FALSE)</f>
        <v/>
      </c>
    </row>
    <row r="1492" ht="36" customHeight="1">
      <c r="A1492" s="30">
        <f>+REGISTRO!A1475</f>
        <v/>
      </c>
      <c r="B1492" s="31">
        <f>+VLOOKUP($A1492,MAGAZZINO!$B$2:$M$4838,2,FALSE)</f>
        <v/>
      </c>
      <c r="C1492" s="32">
        <f>+VLOOKUP($A1492,MAGAZZINO!$B$2:$M$4838,3,FALSE)</f>
        <v/>
      </c>
      <c r="D1492" s="17">
        <f>+VLOOKUP($A1492,MAGAZZINO!$B$2:$M$4838,4,FALSE)</f>
        <v/>
      </c>
      <c r="E1492" s="17">
        <f>+VLOOKUP($A1492,MAGAZZINO!$B$2:$M$4838,5,FALSE)</f>
        <v/>
      </c>
      <c r="F1492" s="17">
        <f>+VLOOKUP($A1492,MAGAZZINO!$B$2:$M$4838,6,FALSE)</f>
        <v/>
      </c>
      <c r="G1492" s="17">
        <f>+VLOOKUP($A1492,MAGAZZINO!$B$2:$M$4838,7,FALSE)</f>
        <v/>
      </c>
      <c r="H1492" s="17">
        <f>+VLOOKUP($A1492,MAGAZZINO!$B$2:$M$4838,8,FALSE)</f>
        <v/>
      </c>
      <c r="I1492" s="17">
        <f>+VLOOKUP($A1492,MAGAZZINO!$B$2:$M$4838,9,FALSE)</f>
        <v/>
      </c>
      <c r="J1492" s="17">
        <f>+VLOOKUP($A1492,MAGAZZINO!$B$2:$M$4838,10,FALSE)</f>
        <v/>
      </c>
      <c r="K1492" s="17">
        <f>+VLOOKUP($A1492,MAGAZZINO!$B$2:$M$4838,11,FALSE)</f>
        <v/>
      </c>
      <c r="L1492" s="44">
        <f>+VLOOKUP($A1492,MAGAZZINO!$B$2:$M$4838,12,FALSE)</f>
        <v/>
      </c>
    </row>
    <row r="1493" ht="36" customHeight="1">
      <c r="A1493" s="30">
        <f>+REGISTRO!A1476</f>
        <v/>
      </c>
      <c r="B1493" s="31">
        <f>+VLOOKUP($A1493,MAGAZZINO!$B$2:$M$4838,2,FALSE)</f>
        <v/>
      </c>
      <c r="C1493" s="32">
        <f>+VLOOKUP($A1493,MAGAZZINO!$B$2:$M$4838,3,FALSE)</f>
        <v/>
      </c>
      <c r="D1493" s="17">
        <f>+VLOOKUP($A1493,MAGAZZINO!$B$2:$M$4838,4,FALSE)</f>
        <v/>
      </c>
      <c r="E1493" s="17">
        <f>+VLOOKUP($A1493,MAGAZZINO!$B$2:$M$4838,5,FALSE)</f>
        <v/>
      </c>
      <c r="F1493" s="17">
        <f>+VLOOKUP($A1493,MAGAZZINO!$B$2:$M$4838,6,FALSE)</f>
        <v/>
      </c>
      <c r="G1493" s="17">
        <f>+VLOOKUP($A1493,MAGAZZINO!$B$2:$M$4838,7,FALSE)</f>
        <v/>
      </c>
      <c r="H1493" s="17">
        <f>+VLOOKUP($A1493,MAGAZZINO!$B$2:$M$4838,8,FALSE)</f>
        <v/>
      </c>
      <c r="I1493" s="17">
        <f>+VLOOKUP($A1493,MAGAZZINO!$B$2:$M$4838,9,FALSE)</f>
        <v/>
      </c>
      <c r="J1493" s="17">
        <f>+VLOOKUP($A1493,MAGAZZINO!$B$2:$M$4838,10,FALSE)</f>
        <v/>
      </c>
      <c r="K1493" s="17">
        <f>+VLOOKUP($A1493,MAGAZZINO!$B$2:$M$4838,11,FALSE)</f>
        <v/>
      </c>
      <c r="L1493" s="44">
        <f>+VLOOKUP($A1493,MAGAZZINO!$B$2:$M$4838,12,FALSE)</f>
        <v/>
      </c>
    </row>
    <row r="1494" ht="36" customHeight="1">
      <c r="A1494" s="30">
        <f>+REGISTRO!A1477</f>
        <v/>
      </c>
      <c r="B1494" s="31">
        <f>+VLOOKUP($A1494,MAGAZZINO!$B$2:$M$4838,2,FALSE)</f>
        <v/>
      </c>
      <c r="C1494" s="32">
        <f>+VLOOKUP($A1494,MAGAZZINO!$B$2:$M$4838,3,FALSE)</f>
        <v/>
      </c>
      <c r="D1494" s="17">
        <f>+VLOOKUP($A1494,MAGAZZINO!$B$2:$M$4838,4,FALSE)</f>
        <v/>
      </c>
      <c r="E1494" s="17">
        <f>+VLOOKUP($A1494,MAGAZZINO!$B$2:$M$4838,5,FALSE)</f>
        <v/>
      </c>
      <c r="F1494" s="17">
        <f>+VLOOKUP($A1494,MAGAZZINO!$B$2:$M$4838,6,FALSE)</f>
        <v/>
      </c>
      <c r="G1494" s="17">
        <f>+VLOOKUP($A1494,MAGAZZINO!$B$2:$M$4838,7,FALSE)</f>
        <v/>
      </c>
      <c r="H1494" s="17">
        <f>+VLOOKUP($A1494,MAGAZZINO!$B$2:$M$4838,8,FALSE)</f>
        <v/>
      </c>
      <c r="I1494" s="17">
        <f>+VLOOKUP($A1494,MAGAZZINO!$B$2:$M$4838,9,FALSE)</f>
        <v/>
      </c>
      <c r="J1494" s="17">
        <f>+VLOOKUP($A1494,MAGAZZINO!$B$2:$M$4838,10,FALSE)</f>
        <v/>
      </c>
      <c r="K1494" s="17">
        <f>+VLOOKUP($A1494,MAGAZZINO!$B$2:$M$4838,11,FALSE)</f>
        <v/>
      </c>
      <c r="L1494" s="44">
        <f>+VLOOKUP($A1494,MAGAZZINO!$B$2:$M$4838,12,FALSE)</f>
        <v/>
      </c>
    </row>
    <row r="1495" ht="36" customHeight="1">
      <c r="A1495" s="30">
        <f>+REGISTRO!A1478</f>
        <v/>
      </c>
      <c r="B1495" s="31">
        <f>+VLOOKUP($A1495,MAGAZZINO!$B$2:$M$4838,2,FALSE)</f>
        <v/>
      </c>
      <c r="C1495" s="32">
        <f>+VLOOKUP($A1495,MAGAZZINO!$B$2:$M$4838,3,FALSE)</f>
        <v/>
      </c>
      <c r="D1495" s="17">
        <f>+VLOOKUP($A1495,MAGAZZINO!$B$2:$M$4838,4,FALSE)</f>
        <v/>
      </c>
      <c r="E1495" s="17">
        <f>+VLOOKUP($A1495,MAGAZZINO!$B$2:$M$4838,5,FALSE)</f>
        <v/>
      </c>
      <c r="F1495" s="17">
        <f>+VLOOKUP($A1495,MAGAZZINO!$B$2:$M$4838,6,FALSE)</f>
        <v/>
      </c>
      <c r="G1495" s="17">
        <f>+VLOOKUP($A1495,MAGAZZINO!$B$2:$M$4838,7,FALSE)</f>
        <v/>
      </c>
      <c r="H1495" s="17">
        <f>+VLOOKUP($A1495,MAGAZZINO!$B$2:$M$4838,8,FALSE)</f>
        <v/>
      </c>
      <c r="I1495" s="17">
        <f>+VLOOKUP($A1495,MAGAZZINO!$B$2:$M$4838,9,FALSE)</f>
        <v/>
      </c>
      <c r="J1495" s="17">
        <f>+VLOOKUP($A1495,MAGAZZINO!$B$2:$M$4838,10,FALSE)</f>
        <v/>
      </c>
      <c r="K1495" s="17">
        <f>+VLOOKUP($A1495,MAGAZZINO!$B$2:$M$4838,11,FALSE)</f>
        <v/>
      </c>
      <c r="L1495" s="44">
        <f>+VLOOKUP($A1495,MAGAZZINO!$B$2:$M$4838,12,FALSE)</f>
        <v/>
      </c>
    </row>
    <row r="1496" ht="36" customHeight="1">
      <c r="A1496" s="30">
        <f>+REGISTRO!A1479</f>
        <v/>
      </c>
      <c r="B1496" s="31">
        <f>+VLOOKUP($A1496,MAGAZZINO!$B$2:$M$4838,2,FALSE)</f>
        <v/>
      </c>
      <c r="C1496" s="32">
        <f>+VLOOKUP($A1496,MAGAZZINO!$B$2:$M$4838,3,FALSE)</f>
        <v/>
      </c>
      <c r="D1496" s="17">
        <f>+VLOOKUP($A1496,MAGAZZINO!$B$2:$M$4838,4,FALSE)</f>
        <v/>
      </c>
      <c r="E1496" s="17">
        <f>+VLOOKUP($A1496,MAGAZZINO!$B$2:$M$4838,5,FALSE)</f>
        <v/>
      </c>
      <c r="F1496" s="17">
        <f>+VLOOKUP($A1496,MAGAZZINO!$B$2:$M$4838,6,FALSE)</f>
        <v/>
      </c>
      <c r="G1496" s="17">
        <f>+VLOOKUP($A1496,MAGAZZINO!$B$2:$M$4838,7,FALSE)</f>
        <v/>
      </c>
      <c r="H1496" s="17">
        <f>+VLOOKUP($A1496,MAGAZZINO!$B$2:$M$4838,8,FALSE)</f>
        <v/>
      </c>
      <c r="I1496" s="17">
        <f>+VLOOKUP($A1496,MAGAZZINO!$B$2:$M$4838,9,FALSE)</f>
        <v/>
      </c>
      <c r="J1496" s="17">
        <f>+VLOOKUP($A1496,MAGAZZINO!$B$2:$M$4838,10,FALSE)</f>
        <v/>
      </c>
      <c r="K1496" s="17">
        <f>+VLOOKUP($A1496,MAGAZZINO!$B$2:$M$4838,11,FALSE)</f>
        <v/>
      </c>
      <c r="L1496" s="44">
        <f>+VLOOKUP($A1496,MAGAZZINO!$B$2:$M$4838,12,FALSE)</f>
        <v/>
      </c>
    </row>
    <row r="1497" ht="36" customHeight="1">
      <c r="A1497" s="30">
        <f>+REGISTRO!A1480</f>
        <v/>
      </c>
      <c r="B1497" s="31">
        <f>+VLOOKUP($A1497,MAGAZZINO!$B$2:$M$4838,2,FALSE)</f>
        <v/>
      </c>
      <c r="C1497" s="32">
        <f>+VLOOKUP($A1497,MAGAZZINO!$B$2:$M$4838,3,FALSE)</f>
        <v/>
      </c>
      <c r="D1497" s="17">
        <f>+VLOOKUP($A1497,MAGAZZINO!$B$2:$M$4838,4,FALSE)</f>
        <v/>
      </c>
      <c r="E1497" s="17">
        <f>+VLOOKUP($A1497,MAGAZZINO!$B$2:$M$4838,5,FALSE)</f>
        <v/>
      </c>
      <c r="F1497" s="17">
        <f>+VLOOKUP($A1497,MAGAZZINO!$B$2:$M$4838,6,FALSE)</f>
        <v/>
      </c>
      <c r="G1497" s="17">
        <f>+VLOOKUP($A1497,MAGAZZINO!$B$2:$M$4838,7,FALSE)</f>
        <v/>
      </c>
      <c r="H1497" s="17">
        <f>+VLOOKUP($A1497,MAGAZZINO!$B$2:$M$4838,8,FALSE)</f>
        <v/>
      </c>
      <c r="I1497" s="17">
        <f>+VLOOKUP($A1497,MAGAZZINO!$B$2:$M$4838,9,FALSE)</f>
        <v/>
      </c>
      <c r="J1497" s="17">
        <f>+VLOOKUP($A1497,MAGAZZINO!$B$2:$M$4838,10,FALSE)</f>
        <v/>
      </c>
      <c r="K1497" s="17">
        <f>+VLOOKUP($A1497,MAGAZZINO!$B$2:$M$4838,11,FALSE)</f>
        <v/>
      </c>
      <c r="L1497" s="44">
        <f>+VLOOKUP($A1497,MAGAZZINO!$B$2:$M$4838,12,FALSE)</f>
        <v/>
      </c>
    </row>
    <row r="1498" ht="36" customHeight="1">
      <c r="A1498" s="30">
        <f>+REGISTRO!A1481</f>
        <v/>
      </c>
      <c r="B1498" s="31">
        <f>+VLOOKUP($A1498,MAGAZZINO!$B$2:$M$4838,2,FALSE)</f>
        <v/>
      </c>
      <c r="C1498" s="32">
        <f>+VLOOKUP($A1498,MAGAZZINO!$B$2:$M$4838,3,FALSE)</f>
        <v/>
      </c>
      <c r="D1498" s="17">
        <f>+VLOOKUP($A1498,MAGAZZINO!$B$2:$M$4838,4,FALSE)</f>
        <v/>
      </c>
      <c r="E1498" s="17">
        <f>+VLOOKUP($A1498,MAGAZZINO!$B$2:$M$4838,5,FALSE)</f>
        <v/>
      </c>
      <c r="F1498" s="17">
        <f>+VLOOKUP($A1498,MAGAZZINO!$B$2:$M$4838,6,FALSE)</f>
        <v/>
      </c>
      <c r="G1498" s="17">
        <f>+VLOOKUP($A1498,MAGAZZINO!$B$2:$M$4838,7,FALSE)</f>
        <v/>
      </c>
      <c r="H1498" s="17">
        <f>+VLOOKUP($A1498,MAGAZZINO!$B$2:$M$4838,8,FALSE)</f>
        <v/>
      </c>
      <c r="I1498" s="17">
        <f>+VLOOKUP($A1498,MAGAZZINO!$B$2:$M$4838,9,FALSE)</f>
        <v/>
      </c>
      <c r="J1498" s="17">
        <f>+VLOOKUP($A1498,MAGAZZINO!$B$2:$M$4838,10,FALSE)</f>
        <v/>
      </c>
      <c r="K1498" s="17">
        <f>+VLOOKUP($A1498,MAGAZZINO!$B$2:$M$4838,11,FALSE)</f>
        <v/>
      </c>
      <c r="L1498" s="44">
        <f>+VLOOKUP($A1498,MAGAZZINO!$B$2:$M$4838,12,FALSE)</f>
        <v/>
      </c>
    </row>
    <row r="1499" ht="36" customHeight="1">
      <c r="A1499" s="30">
        <f>+REGISTRO!A1482</f>
        <v/>
      </c>
      <c r="B1499" s="31">
        <f>+VLOOKUP($A1499,MAGAZZINO!$B$2:$M$4838,2,FALSE)</f>
        <v/>
      </c>
      <c r="C1499" s="32">
        <f>+VLOOKUP($A1499,MAGAZZINO!$B$2:$M$4838,3,FALSE)</f>
        <v/>
      </c>
      <c r="D1499" s="17">
        <f>+VLOOKUP($A1499,MAGAZZINO!$B$2:$M$4838,4,FALSE)</f>
        <v/>
      </c>
      <c r="E1499" s="17">
        <f>+VLOOKUP($A1499,MAGAZZINO!$B$2:$M$4838,5,FALSE)</f>
        <v/>
      </c>
      <c r="F1499" s="17">
        <f>+VLOOKUP($A1499,MAGAZZINO!$B$2:$M$4838,6,FALSE)</f>
        <v/>
      </c>
      <c r="G1499" s="17">
        <f>+VLOOKUP($A1499,MAGAZZINO!$B$2:$M$4838,7,FALSE)</f>
        <v/>
      </c>
      <c r="H1499" s="17">
        <f>+VLOOKUP($A1499,MAGAZZINO!$B$2:$M$4838,8,FALSE)</f>
        <v/>
      </c>
      <c r="I1499" s="17">
        <f>+VLOOKUP($A1499,MAGAZZINO!$B$2:$M$4838,9,FALSE)</f>
        <v/>
      </c>
      <c r="J1499" s="17">
        <f>+VLOOKUP($A1499,MAGAZZINO!$B$2:$M$4838,10,FALSE)</f>
        <v/>
      </c>
      <c r="K1499" s="17">
        <f>+VLOOKUP($A1499,MAGAZZINO!$B$2:$M$4838,11,FALSE)</f>
        <v/>
      </c>
      <c r="L1499" s="44">
        <f>+VLOOKUP($A1499,MAGAZZINO!$B$2:$M$4838,12,FALSE)</f>
        <v/>
      </c>
    </row>
    <row r="1500" ht="36" customHeight="1">
      <c r="A1500" s="30">
        <f>+REGISTRO!A1483</f>
        <v/>
      </c>
      <c r="B1500" s="31">
        <f>+VLOOKUP($A1500,MAGAZZINO!$B$2:$M$4838,2,FALSE)</f>
        <v/>
      </c>
      <c r="C1500" s="32">
        <f>+VLOOKUP($A1500,MAGAZZINO!$B$2:$M$4838,3,FALSE)</f>
        <v/>
      </c>
      <c r="D1500" s="17">
        <f>+VLOOKUP($A1500,MAGAZZINO!$B$2:$M$4838,4,FALSE)</f>
        <v/>
      </c>
      <c r="E1500" s="17">
        <f>+VLOOKUP($A1500,MAGAZZINO!$B$2:$M$4838,5,FALSE)</f>
        <v/>
      </c>
      <c r="F1500" s="17">
        <f>+VLOOKUP($A1500,MAGAZZINO!$B$2:$M$4838,6,FALSE)</f>
        <v/>
      </c>
      <c r="G1500" s="17">
        <f>+VLOOKUP($A1500,MAGAZZINO!$B$2:$M$4838,7,FALSE)</f>
        <v/>
      </c>
      <c r="H1500" s="17">
        <f>+VLOOKUP($A1500,MAGAZZINO!$B$2:$M$4838,8,FALSE)</f>
        <v/>
      </c>
      <c r="I1500" s="17">
        <f>+VLOOKUP($A1500,MAGAZZINO!$B$2:$M$4838,9,FALSE)</f>
        <v/>
      </c>
      <c r="J1500" s="17">
        <f>+VLOOKUP($A1500,MAGAZZINO!$B$2:$M$4838,10,FALSE)</f>
        <v/>
      </c>
      <c r="K1500" s="17">
        <f>+VLOOKUP($A1500,MAGAZZINO!$B$2:$M$4838,11,FALSE)</f>
        <v/>
      </c>
      <c r="L1500" s="44">
        <f>+VLOOKUP($A1500,MAGAZZINO!$B$2:$M$4838,12,FALSE)</f>
        <v/>
      </c>
    </row>
    <row r="1501" ht="36" customHeight="1">
      <c r="A1501" s="30">
        <f>+REGISTRO!A1484</f>
        <v/>
      </c>
      <c r="B1501" s="31">
        <f>+VLOOKUP($A1501,MAGAZZINO!$B$2:$M$4838,2,FALSE)</f>
        <v/>
      </c>
      <c r="C1501" s="32">
        <f>+VLOOKUP($A1501,MAGAZZINO!$B$2:$M$4838,3,FALSE)</f>
        <v/>
      </c>
      <c r="D1501" s="17">
        <f>+VLOOKUP($A1501,MAGAZZINO!$B$2:$M$4838,4,FALSE)</f>
        <v/>
      </c>
      <c r="E1501" s="17">
        <f>+VLOOKUP($A1501,MAGAZZINO!$B$2:$M$4838,5,FALSE)</f>
        <v/>
      </c>
      <c r="F1501" s="17">
        <f>+VLOOKUP($A1501,MAGAZZINO!$B$2:$M$4838,6,FALSE)</f>
        <v/>
      </c>
      <c r="G1501" s="17">
        <f>+VLOOKUP($A1501,MAGAZZINO!$B$2:$M$4838,7,FALSE)</f>
        <v/>
      </c>
      <c r="H1501" s="17">
        <f>+VLOOKUP($A1501,MAGAZZINO!$B$2:$M$4838,8,FALSE)</f>
        <v/>
      </c>
      <c r="I1501" s="17">
        <f>+VLOOKUP($A1501,MAGAZZINO!$B$2:$M$4838,9,FALSE)</f>
        <v/>
      </c>
      <c r="J1501" s="17">
        <f>+VLOOKUP($A1501,MAGAZZINO!$B$2:$M$4838,10,FALSE)</f>
        <v/>
      </c>
      <c r="K1501" s="17">
        <f>+VLOOKUP($A1501,MAGAZZINO!$B$2:$M$4838,11,FALSE)</f>
        <v/>
      </c>
      <c r="L1501" s="44">
        <f>+VLOOKUP($A1501,MAGAZZINO!$B$2:$M$4838,12,FALSE)</f>
        <v/>
      </c>
    </row>
    <row r="1502" ht="36" customHeight="1">
      <c r="A1502" s="30">
        <f>+REGISTRO!A1485</f>
        <v/>
      </c>
      <c r="B1502" s="31">
        <f>+VLOOKUP($A1502,MAGAZZINO!$B$2:$M$4838,2,FALSE)</f>
        <v/>
      </c>
      <c r="C1502" s="32">
        <f>+VLOOKUP($A1502,MAGAZZINO!$B$2:$M$4838,3,FALSE)</f>
        <v/>
      </c>
      <c r="D1502" s="17">
        <f>+VLOOKUP($A1502,MAGAZZINO!$B$2:$M$4838,4,FALSE)</f>
        <v/>
      </c>
      <c r="E1502" s="17">
        <f>+VLOOKUP($A1502,MAGAZZINO!$B$2:$M$4838,5,FALSE)</f>
        <v/>
      </c>
      <c r="F1502" s="17">
        <f>+VLOOKUP($A1502,MAGAZZINO!$B$2:$M$4838,6,FALSE)</f>
        <v/>
      </c>
      <c r="G1502" s="17">
        <f>+VLOOKUP($A1502,MAGAZZINO!$B$2:$M$4838,7,FALSE)</f>
        <v/>
      </c>
      <c r="H1502" s="17">
        <f>+VLOOKUP($A1502,MAGAZZINO!$B$2:$M$4838,8,FALSE)</f>
        <v/>
      </c>
      <c r="I1502" s="17">
        <f>+VLOOKUP($A1502,MAGAZZINO!$B$2:$M$4838,9,FALSE)</f>
        <v/>
      </c>
      <c r="J1502" s="17">
        <f>+VLOOKUP($A1502,MAGAZZINO!$B$2:$M$4838,10,FALSE)</f>
        <v/>
      </c>
      <c r="K1502" s="17">
        <f>+VLOOKUP($A1502,MAGAZZINO!$B$2:$M$4838,11,FALSE)</f>
        <v/>
      </c>
      <c r="L1502" s="44">
        <f>+VLOOKUP($A1502,MAGAZZINO!$B$2:$M$4838,12,FALSE)</f>
        <v/>
      </c>
    </row>
    <row r="1503" ht="36" customHeight="1">
      <c r="A1503" s="30">
        <f>+REGISTRO!A1486</f>
        <v/>
      </c>
      <c r="B1503" s="31">
        <f>+VLOOKUP($A1503,MAGAZZINO!$B$2:$M$4838,2,FALSE)</f>
        <v/>
      </c>
      <c r="C1503" s="32">
        <f>+VLOOKUP($A1503,MAGAZZINO!$B$2:$M$4838,3,FALSE)</f>
        <v/>
      </c>
      <c r="D1503" s="17">
        <f>+VLOOKUP($A1503,MAGAZZINO!$B$2:$M$4838,4,FALSE)</f>
        <v/>
      </c>
      <c r="E1503" s="17">
        <f>+VLOOKUP($A1503,MAGAZZINO!$B$2:$M$4838,5,FALSE)</f>
        <v/>
      </c>
      <c r="F1503" s="17">
        <f>+VLOOKUP($A1503,MAGAZZINO!$B$2:$M$4838,6,FALSE)</f>
        <v/>
      </c>
      <c r="G1503" s="17">
        <f>+VLOOKUP($A1503,MAGAZZINO!$B$2:$M$4838,7,FALSE)</f>
        <v/>
      </c>
      <c r="H1503" s="17">
        <f>+VLOOKUP($A1503,MAGAZZINO!$B$2:$M$4838,8,FALSE)</f>
        <v/>
      </c>
      <c r="I1503" s="17">
        <f>+VLOOKUP($A1503,MAGAZZINO!$B$2:$M$4838,9,FALSE)</f>
        <v/>
      </c>
      <c r="J1503" s="17">
        <f>+VLOOKUP($A1503,MAGAZZINO!$B$2:$M$4838,10,FALSE)</f>
        <v/>
      </c>
      <c r="K1503" s="17">
        <f>+VLOOKUP($A1503,MAGAZZINO!$B$2:$M$4838,11,FALSE)</f>
        <v/>
      </c>
      <c r="L1503" s="44">
        <f>+VLOOKUP($A1503,MAGAZZINO!$B$2:$M$4838,12,FALSE)</f>
        <v/>
      </c>
    </row>
    <row r="1504" ht="36" customHeight="1">
      <c r="A1504" s="30">
        <f>+REGISTRO!A1487</f>
        <v/>
      </c>
      <c r="B1504" s="31">
        <f>+VLOOKUP($A1504,MAGAZZINO!$B$2:$M$4838,2,FALSE)</f>
        <v/>
      </c>
      <c r="C1504" s="32">
        <f>+VLOOKUP($A1504,MAGAZZINO!$B$2:$M$4838,3,FALSE)</f>
        <v/>
      </c>
      <c r="D1504" s="17">
        <f>+VLOOKUP($A1504,MAGAZZINO!$B$2:$M$4838,4,FALSE)</f>
        <v/>
      </c>
      <c r="E1504" s="17">
        <f>+VLOOKUP($A1504,MAGAZZINO!$B$2:$M$4838,5,FALSE)</f>
        <v/>
      </c>
      <c r="F1504" s="17">
        <f>+VLOOKUP($A1504,MAGAZZINO!$B$2:$M$4838,6,FALSE)</f>
        <v/>
      </c>
      <c r="G1504" s="17">
        <f>+VLOOKUP($A1504,MAGAZZINO!$B$2:$M$4838,7,FALSE)</f>
        <v/>
      </c>
      <c r="H1504" s="17">
        <f>+VLOOKUP($A1504,MAGAZZINO!$B$2:$M$4838,8,FALSE)</f>
        <v/>
      </c>
      <c r="I1504" s="17">
        <f>+VLOOKUP($A1504,MAGAZZINO!$B$2:$M$4838,9,FALSE)</f>
        <v/>
      </c>
      <c r="J1504" s="17">
        <f>+VLOOKUP($A1504,MAGAZZINO!$B$2:$M$4838,10,FALSE)</f>
        <v/>
      </c>
      <c r="K1504" s="17">
        <f>+VLOOKUP($A1504,MAGAZZINO!$B$2:$M$4838,11,FALSE)</f>
        <v/>
      </c>
      <c r="L1504" s="44">
        <f>+VLOOKUP($A1504,MAGAZZINO!$B$2:$M$4838,12,FALSE)</f>
        <v/>
      </c>
    </row>
    <row r="1505" ht="36" customHeight="1">
      <c r="A1505" s="30">
        <f>+REGISTRO!A1488</f>
        <v/>
      </c>
      <c r="B1505" s="31">
        <f>+VLOOKUP($A1505,MAGAZZINO!$B$2:$M$4838,2,FALSE)</f>
        <v/>
      </c>
      <c r="C1505" s="32">
        <f>+VLOOKUP($A1505,MAGAZZINO!$B$2:$M$4838,3,FALSE)</f>
        <v/>
      </c>
      <c r="D1505" s="17">
        <f>+VLOOKUP($A1505,MAGAZZINO!$B$2:$M$4838,4,FALSE)</f>
        <v/>
      </c>
      <c r="E1505" s="17">
        <f>+VLOOKUP($A1505,MAGAZZINO!$B$2:$M$4838,5,FALSE)</f>
        <v/>
      </c>
      <c r="F1505" s="17">
        <f>+VLOOKUP($A1505,MAGAZZINO!$B$2:$M$4838,6,FALSE)</f>
        <v/>
      </c>
      <c r="G1505" s="17">
        <f>+VLOOKUP($A1505,MAGAZZINO!$B$2:$M$4838,7,FALSE)</f>
        <v/>
      </c>
      <c r="H1505" s="17">
        <f>+VLOOKUP($A1505,MAGAZZINO!$B$2:$M$4838,8,FALSE)</f>
        <v/>
      </c>
      <c r="I1505" s="17">
        <f>+VLOOKUP($A1505,MAGAZZINO!$B$2:$M$4838,9,FALSE)</f>
        <v/>
      </c>
      <c r="J1505" s="17">
        <f>+VLOOKUP($A1505,MAGAZZINO!$B$2:$M$4838,10,FALSE)</f>
        <v/>
      </c>
      <c r="K1505" s="17">
        <f>+VLOOKUP($A1505,MAGAZZINO!$B$2:$M$4838,11,FALSE)</f>
        <v/>
      </c>
      <c r="L1505" s="44">
        <f>+VLOOKUP($A1505,MAGAZZINO!$B$2:$M$4838,12,FALSE)</f>
        <v/>
      </c>
    </row>
    <row r="1506" ht="36" customHeight="1">
      <c r="A1506" s="30">
        <f>+REGISTRO!A1489</f>
        <v/>
      </c>
      <c r="B1506" s="31">
        <f>+VLOOKUP($A1506,MAGAZZINO!$B$2:$M$4838,2,FALSE)</f>
        <v/>
      </c>
      <c r="C1506" s="32">
        <f>+VLOOKUP($A1506,MAGAZZINO!$B$2:$M$4838,3,FALSE)</f>
        <v/>
      </c>
      <c r="D1506" s="17">
        <f>+VLOOKUP($A1506,MAGAZZINO!$B$2:$M$4838,4,FALSE)</f>
        <v/>
      </c>
      <c r="E1506" s="17">
        <f>+VLOOKUP($A1506,MAGAZZINO!$B$2:$M$4838,5,FALSE)</f>
        <v/>
      </c>
      <c r="F1506" s="17">
        <f>+VLOOKUP($A1506,MAGAZZINO!$B$2:$M$4838,6,FALSE)</f>
        <v/>
      </c>
      <c r="G1506" s="17">
        <f>+VLOOKUP($A1506,MAGAZZINO!$B$2:$M$4838,7,FALSE)</f>
        <v/>
      </c>
      <c r="H1506" s="17">
        <f>+VLOOKUP($A1506,MAGAZZINO!$B$2:$M$4838,8,FALSE)</f>
        <v/>
      </c>
      <c r="I1506" s="17">
        <f>+VLOOKUP($A1506,MAGAZZINO!$B$2:$M$4838,9,FALSE)</f>
        <v/>
      </c>
      <c r="J1506" s="17">
        <f>+VLOOKUP($A1506,MAGAZZINO!$B$2:$M$4838,10,FALSE)</f>
        <v/>
      </c>
      <c r="K1506" s="17">
        <f>+VLOOKUP($A1506,MAGAZZINO!$B$2:$M$4838,11,FALSE)</f>
        <v/>
      </c>
      <c r="L1506" s="44">
        <f>+VLOOKUP($A1506,MAGAZZINO!$B$2:$M$4838,12,FALSE)</f>
        <v/>
      </c>
    </row>
    <row r="1507" ht="36" customHeight="1">
      <c r="A1507" s="30">
        <f>+REGISTRO!A1490</f>
        <v/>
      </c>
      <c r="B1507" s="31">
        <f>+VLOOKUP($A1507,MAGAZZINO!$B$2:$M$4838,2,FALSE)</f>
        <v/>
      </c>
      <c r="C1507" s="32">
        <f>+VLOOKUP($A1507,MAGAZZINO!$B$2:$M$4838,3,FALSE)</f>
        <v/>
      </c>
      <c r="D1507" s="17">
        <f>+VLOOKUP($A1507,MAGAZZINO!$B$2:$M$4838,4,FALSE)</f>
        <v/>
      </c>
      <c r="E1507" s="17">
        <f>+VLOOKUP($A1507,MAGAZZINO!$B$2:$M$4838,5,FALSE)</f>
        <v/>
      </c>
      <c r="F1507" s="17">
        <f>+VLOOKUP($A1507,MAGAZZINO!$B$2:$M$4838,6,FALSE)</f>
        <v/>
      </c>
      <c r="G1507" s="17">
        <f>+VLOOKUP($A1507,MAGAZZINO!$B$2:$M$4838,7,FALSE)</f>
        <v/>
      </c>
      <c r="H1507" s="17">
        <f>+VLOOKUP($A1507,MAGAZZINO!$B$2:$M$4838,8,FALSE)</f>
        <v/>
      </c>
      <c r="I1507" s="17">
        <f>+VLOOKUP($A1507,MAGAZZINO!$B$2:$M$4838,9,FALSE)</f>
        <v/>
      </c>
      <c r="J1507" s="17">
        <f>+VLOOKUP($A1507,MAGAZZINO!$B$2:$M$4838,10,FALSE)</f>
        <v/>
      </c>
      <c r="K1507" s="17">
        <f>+VLOOKUP($A1507,MAGAZZINO!$B$2:$M$4838,11,FALSE)</f>
        <v/>
      </c>
      <c r="L1507" s="44">
        <f>+VLOOKUP($A1507,MAGAZZINO!$B$2:$M$4838,12,FALSE)</f>
        <v/>
      </c>
    </row>
    <row r="1508" ht="36" customHeight="1">
      <c r="A1508" s="30">
        <f>+REGISTRO!A1491</f>
        <v/>
      </c>
      <c r="B1508" s="31">
        <f>+VLOOKUP($A1508,MAGAZZINO!$B$2:$M$4838,2,FALSE)</f>
        <v/>
      </c>
      <c r="C1508" s="32">
        <f>+VLOOKUP($A1508,MAGAZZINO!$B$2:$M$4838,3,FALSE)</f>
        <v/>
      </c>
      <c r="D1508" s="17">
        <f>+VLOOKUP($A1508,MAGAZZINO!$B$2:$M$4838,4,FALSE)</f>
        <v/>
      </c>
      <c r="E1508" s="17">
        <f>+VLOOKUP($A1508,MAGAZZINO!$B$2:$M$4838,5,FALSE)</f>
        <v/>
      </c>
      <c r="F1508" s="17">
        <f>+VLOOKUP($A1508,MAGAZZINO!$B$2:$M$4838,6,FALSE)</f>
        <v/>
      </c>
      <c r="G1508" s="17">
        <f>+VLOOKUP($A1508,MAGAZZINO!$B$2:$M$4838,7,FALSE)</f>
        <v/>
      </c>
      <c r="H1508" s="17">
        <f>+VLOOKUP($A1508,MAGAZZINO!$B$2:$M$4838,8,FALSE)</f>
        <v/>
      </c>
      <c r="I1508" s="17">
        <f>+VLOOKUP($A1508,MAGAZZINO!$B$2:$M$4838,9,FALSE)</f>
        <v/>
      </c>
      <c r="J1508" s="17">
        <f>+VLOOKUP($A1508,MAGAZZINO!$B$2:$M$4838,10,FALSE)</f>
        <v/>
      </c>
      <c r="K1508" s="17">
        <f>+VLOOKUP($A1508,MAGAZZINO!$B$2:$M$4838,11,FALSE)</f>
        <v/>
      </c>
      <c r="L1508" s="44">
        <f>+VLOOKUP($A1508,MAGAZZINO!$B$2:$M$4838,12,FALSE)</f>
        <v/>
      </c>
    </row>
    <row r="1509" ht="36" customHeight="1">
      <c r="A1509" s="30">
        <f>+REGISTRO!A1492</f>
        <v/>
      </c>
      <c r="B1509" s="31">
        <f>+VLOOKUP($A1509,MAGAZZINO!$B$2:$M$4838,2,FALSE)</f>
        <v/>
      </c>
      <c r="C1509" s="32">
        <f>+VLOOKUP($A1509,MAGAZZINO!$B$2:$M$4838,3,FALSE)</f>
        <v/>
      </c>
      <c r="D1509" s="17">
        <f>+VLOOKUP($A1509,MAGAZZINO!$B$2:$M$4838,4,FALSE)</f>
        <v/>
      </c>
      <c r="E1509" s="17">
        <f>+VLOOKUP($A1509,MAGAZZINO!$B$2:$M$4838,5,FALSE)</f>
        <v/>
      </c>
      <c r="F1509" s="17">
        <f>+VLOOKUP($A1509,MAGAZZINO!$B$2:$M$4838,6,FALSE)</f>
        <v/>
      </c>
      <c r="G1509" s="17">
        <f>+VLOOKUP($A1509,MAGAZZINO!$B$2:$M$4838,7,FALSE)</f>
        <v/>
      </c>
      <c r="H1509" s="17">
        <f>+VLOOKUP($A1509,MAGAZZINO!$B$2:$M$4838,8,FALSE)</f>
        <v/>
      </c>
      <c r="I1509" s="17">
        <f>+VLOOKUP($A1509,MAGAZZINO!$B$2:$M$4838,9,FALSE)</f>
        <v/>
      </c>
      <c r="J1509" s="17">
        <f>+VLOOKUP($A1509,MAGAZZINO!$B$2:$M$4838,10,FALSE)</f>
        <v/>
      </c>
      <c r="K1509" s="17">
        <f>+VLOOKUP($A1509,MAGAZZINO!$B$2:$M$4838,11,FALSE)</f>
        <v/>
      </c>
      <c r="L1509" s="44">
        <f>+VLOOKUP($A1509,MAGAZZINO!$B$2:$M$4838,12,FALSE)</f>
        <v/>
      </c>
    </row>
    <row r="1510" ht="36" customHeight="1">
      <c r="A1510" s="30">
        <f>+REGISTRO!A1493</f>
        <v/>
      </c>
      <c r="B1510" s="31">
        <f>+VLOOKUP($A1510,MAGAZZINO!$B$2:$M$4838,2,FALSE)</f>
        <v/>
      </c>
      <c r="C1510" s="32">
        <f>+VLOOKUP($A1510,MAGAZZINO!$B$2:$M$4838,3,FALSE)</f>
        <v/>
      </c>
      <c r="D1510" s="17">
        <f>+VLOOKUP($A1510,MAGAZZINO!$B$2:$M$4838,4,FALSE)</f>
        <v/>
      </c>
      <c r="E1510" s="17">
        <f>+VLOOKUP($A1510,MAGAZZINO!$B$2:$M$4838,5,FALSE)</f>
        <v/>
      </c>
      <c r="F1510" s="17">
        <f>+VLOOKUP($A1510,MAGAZZINO!$B$2:$M$4838,6,FALSE)</f>
        <v/>
      </c>
      <c r="G1510" s="17">
        <f>+VLOOKUP($A1510,MAGAZZINO!$B$2:$M$4838,7,FALSE)</f>
        <v/>
      </c>
      <c r="H1510" s="17">
        <f>+VLOOKUP($A1510,MAGAZZINO!$B$2:$M$4838,8,FALSE)</f>
        <v/>
      </c>
      <c r="I1510" s="17">
        <f>+VLOOKUP($A1510,MAGAZZINO!$B$2:$M$4838,9,FALSE)</f>
        <v/>
      </c>
      <c r="J1510" s="17">
        <f>+VLOOKUP($A1510,MAGAZZINO!$B$2:$M$4838,10,FALSE)</f>
        <v/>
      </c>
      <c r="K1510" s="17">
        <f>+VLOOKUP($A1510,MAGAZZINO!$B$2:$M$4838,11,FALSE)</f>
        <v/>
      </c>
      <c r="L1510" s="44">
        <f>+VLOOKUP($A1510,MAGAZZINO!$B$2:$M$4838,12,FALSE)</f>
        <v/>
      </c>
    </row>
    <row r="1511" ht="36" customHeight="1">
      <c r="A1511" s="30">
        <f>+REGISTRO!A1494</f>
        <v/>
      </c>
      <c r="B1511" s="31">
        <f>+VLOOKUP($A1511,MAGAZZINO!$B$2:$M$4838,2,FALSE)</f>
        <v/>
      </c>
      <c r="C1511" s="32">
        <f>+VLOOKUP($A1511,MAGAZZINO!$B$2:$M$4838,3,FALSE)</f>
        <v/>
      </c>
      <c r="D1511" s="17">
        <f>+VLOOKUP($A1511,MAGAZZINO!$B$2:$M$4838,4,FALSE)</f>
        <v/>
      </c>
      <c r="E1511" s="17">
        <f>+VLOOKUP($A1511,MAGAZZINO!$B$2:$M$4838,5,FALSE)</f>
        <v/>
      </c>
      <c r="F1511" s="17">
        <f>+VLOOKUP($A1511,MAGAZZINO!$B$2:$M$4838,6,FALSE)</f>
        <v/>
      </c>
      <c r="G1511" s="17">
        <f>+VLOOKUP($A1511,MAGAZZINO!$B$2:$M$4838,7,FALSE)</f>
        <v/>
      </c>
      <c r="H1511" s="17">
        <f>+VLOOKUP($A1511,MAGAZZINO!$B$2:$M$4838,8,FALSE)</f>
        <v/>
      </c>
      <c r="I1511" s="17">
        <f>+VLOOKUP($A1511,MAGAZZINO!$B$2:$M$4838,9,FALSE)</f>
        <v/>
      </c>
      <c r="J1511" s="17">
        <f>+VLOOKUP($A1511,MAGAZZINO!$B$2:$M$4838,10,FALSE)</f>
        <v/>
      </c>
      <c r="K1511" s="17">
        <f>+VLOOKUP($A1511,MAGAZZINO!$B$2:$M$4838,11,FALSE)</f>
        <v/>
      </c>
      <c r="L1511" s="44">
        <f>+VLOOKUP($A1511,MAGAZZINO!$B$2:$M$4838,12,FALSE)</f>
        <v/>
      </c>
    </row>
    <row r="1512" ht="36" customHeight="1">
      <c r="A1512" s="30">
        <f>+REGISTRO!A1495</f>
        <v/>
      </c>
      <c r="B1512" s="31">
        <f>+VLOOKUP($A1512,MAGAZZINO!$B$2:$M$4838,2,FALSE)</f>
        <v/>
      </c>
      <c r="C1512" s="32">
        <f>+VLOOKUP($A1512,MAGAZZINO!$B$2:$M$4838,3,FALSE)</f>
        <v/>
      </c>
      <c r="D1512" s="17">
        <f>+VLOOKUP($A1512,MAGAZZINO!$B$2:$M$4838,4,FALSE)</f>
        <v/>
      </c>
      <c r="E1512" s="17">
        <f>+VLOOKUP($A1512,MAGAZZINO!$B$2:$M$4838,5,FALSE)</f>
        <v/>
      </c>
      <c r="F1512" s="17">
        <f>+VLOOKUP($A1512,MAGAZZINO!$B$2:$M$4838,6,FALSE)</f>
        <v/>
      </c>
      <c r="G1512" s="17">
        <f>+VLOOKUP($A1512,MAGAZZINO!$B$2:$M$4838,7,FALSE)</f>
        <v/>
      </c>
      <c r="H1512" s="17">
        <f>+VLOOKUP($A1512,MAGAZZINO!$B$2:$M$4838,8,FALSE)</f>
        <v/>
      </c>
      <c r="I1512" s="17">
        <f>+VLOOKUP($A1512,MAGAZZINO!$B$2:$M$4838,9,FALSE)</f>
        <v/>
      </c>
      <c r="J1512" s="17">
        <f>+VLOOKUP($A1512,MAGAZZINO!$B$2:$M$4838,10,FALSE)</f>
        <v/>
      </c>
      <c r="K1512" s="17">
        <f>+VLOOKUP($A1512,MAGAZZINO!$B$2:$M$4838,11,FALSE)</f>
        <v/>
      </c>
      <c r="L1512" s="44">
        <f>+VLOOKUP($A1512,MAGAZZINO!$B$2:$M$4838,12,FALSE)</f>
        <v/>
      </c>
    </row>
    <row r="1513" ht="36" customHeight="1">
      <c r="A1513" s="30">
        <f>+REGISTRO!A1496</f>
        <v/>
      </c>
      <c r="B1513" s="31">
        <f>+VLOOKUP($A1513,MAGAZZINO!$B$2:$M$4838,2,FALSE)</f>
        <v/>
      </c>
      <c r="C1513" s="32">
        <f>+VLOOKUP($A1513,MAGAZZINO!$B$2:$M$4838,3,FALSE)</f>
        <v/>
      </c>
      <c r="D1513" s="17">
        <f>+VLOOKUP($A1513,MAGAZZINO!$B$2:$M$4838,4,FALSE)</f>
        <v/>
      </c>
      <c r="E1513" s="17">
        <f>+VLOOKUP($A1513,MAGAZZINO!$B$2:$M$4838,5,FALSE)</f>
        <v/>
      </c>
      <c r="F1513" s="17">
        <f>+VLOOKUP($A1513,MAGAZZINO!$B$2:$M$4838,6,FALSE)</f>
        <v/>
      </c>
      <c r="G1513" s="17">
        <f>+VLOOKUP($A1513,MAGAZZINO!$B$2:$M$4838,7,FALSE)</f>
        <v/>
      </c>
      <c r="H1513" s="17">
        <f>+VLOOKUP($A1513,MAGAZZINO!$B$2:$M$4838,8,FALSE)</f>
        <v/>
      </c>
      <c r="I1513" s="17">
        <f>+VLOOKUP($A1513,MAGAZZINO!$B$2:$M$4838,9,FALSE)</f>
        <v/>
      </c>
      <c r="J1513" s="17">
        <f>+VLOOKUP($A1513,MAGAZZINO!$B$2:$M$4838,10,FALSE)</f>
        <v/>
      </c>
      <c r="K1513" s="17">
        <f>+VLOOKUP($A1513,MAGAZZINO!$B$2:$M$4838,11,FALSE)</f>
        <v/>
      </c>
      <c r="L1513" s="44">
        <f>+VLOOKUP($A1513,MAGAZZINO!$B$2:$M$4838,12,FALSE)</f>
        <v/>
      </c>
    </row>
    <row r="1514" ht="36" customHeight="1">
      <c r="A1514" s="30">
        <f>+REGISTRO!A1497</f>
        <v/>
      </c>
      <c r="B1514" s="31">
        <f>+VLOOKUP($A1514,MAGAZZINO!$B$2:$M$4838,2,FALSE)</f>
        <v/>
      </c>
      <c r="C1514" s="32">
        <f>+VLOOKUP($A1514,MAGAZZINO!$B$2:$M$4838,3,FALSE)</f>
        <v/>
      </c>
      <c r="D1514" s="17">
        <f>+VLOOKUP($A1514,MAGAZZINO!$B$2:$M$4838,4,FALSE)</f>
        <v/>
      </c>
      <c r="E1514" s="17">
        <f>+VLOOKUP($A1514,MAGAZZINO!$B$2:$M$4838,5,FALSE)</f>
        <v/>
      </c>
      <c r="F1514" s="17">
        <f>+VLOOKUP($A1514,MAGAZZINO!$B$2:$M$4838,6,FALSE)</f>
        <v/>
      </c>
      <c r="G1514" s="17">
        <f>+VLOOKUP($A1514,MAGAZZINO!$B$2:$M$4838,7,FALSE)</f>
        <v/>
      </c>
      <c r="H1514" s="17">
        <f>+VLOOKUP($A1514,MAGAZZINO!$B$2:$M$4838,8,FALSE)</f>
        <v/>
      </c>
      <c r="I1514" s="17">
        <f>+VLOOKUP($A1514,MAGAZZINO!$B$2:$M$4838,9,FALSE)</f>
        <v/>
      </c>
      <c r="J1514" s="17">
        <f>+VLOOKUP($A1514,MAGAZZINO!$B$2:$M$4838,10,FALSE)</f>
        <v/>
      </c>
      <c r="K1514" s="17">
        <f>+VLOOKUP($A1514,MAGAZZINO!$B$2:$M$4838,11,FALSE)</f>
        <v/>
      </c>
      <c r="L1514" s="44">
        <f>+VLOOKUP($A1514,MAGAZZINO!$B$2:$M$4838,12,FALSE)</f>
        <v/>
      </c>
    </row>
    <row r="1515" ht="36" customHeight="1">
      <c r="A1515" s="30">
        <f>+REGISTRO!A1498</f>
        <v/>
      </c>
      <c r="B1515" s="31">
        <f>+VLOOKUP($A1515,MAGAZZINO!$B$2:$M$4838,2,FALSE)</f>
        <v/>
      </c>
      <c r="C1515" s="32">
        <f>+VLOOKUP($A1515,MAGAZZINO!$B$2:$M$4838,3,FALSE)</f>
        <v/>
      </c>
      <c r="D1515" s="17">
        <f>+VLOOKUP($A1515,MAGAZZINO!$B$2:$M$4838,4,FALSE)</f>
        <v/>
      </c>
      <c r="E1515" s="17">
        <f>+VLOOKUP($A1515,MAGAZZINO!$B$2:$M$4838,5,FALSE)</f>
        <v/>
      </c>
      <c r="F1515" s="17">
        <f>+VLOOKUP($A1515,MAGAZZINO!$B$2:$M$4838,6,FALSE)</f>
        <v/>
      </c>
      <c r="G1515" s="17">
        <f>+VLOOKUP($A1515,MAGAZZINO!$B$2:$M$4838,7,FALSE)</f>
        <v/>
      </c>
      <c r="H1515" s="17">
        <f>+VLOOKUP($A1515,MAGAZZINO!$B$2:$M$4838,8,FALSE)</f>
        <v/>
      </c>
      <c r="I1515" s="17">
        <f>+VLOOKUP($A1515,MAGAZZINO!$B$2:$M$4838,9,FALSE)</f>
        <v/>
      </c>
      <c r="J1515" s="17">
        <f>+VLOOKUP($A1515,MAGAZZINO!$B$2:$M$4838,10,FALSE)</f>
        <v/>
      </c>
      <c r="K1515" s="17">
        <f>+VLOOKUP($A1515,MAGAZZINO!$B$2:$M$4838,11,FALSE)</f>
        <v/>
      </c>
      <c r="L1515" s="44">
        <f>+VLOOKUP($A1515,MAGAZZINO!$B$2:$M$4838,12,FALSE)</f>
        <v/>
      </c>
    </row>
    <row r="1516" ht="36" customHeight="1">
      <c r="A1516" s="30">
        <f>+REGISTRO!A1499</f>
        <v/>
      </c>
      <c r="B1516" s="31">
        <f>+VLOOKUP($A1516,MAGAZZINO!$B$2:$M$4838,2,FALSE)</f>
        <v/>
      </c>
      <c r="C1516" s="32">
        <f>+VLOOKUP($A1516,MAGAZZINO!$B$2:$M$4838,3,FALSE)</f>
        <v/>
      </c>
      <c r="D1516" s="17">
        <f>+VLOOKUP($A1516,MAGAZZINO!$B$2:$M$4838,4,FALSE)</f>
        <v/>
      </c>
      <c r="E1516" s="17">
        <f>+VLOOKUP($A1516,MAGAZZINO!$B$2:$M$4838,5,FALSE)</f>
        <v/>
      </c>
      <c r="F1516" s="17">
        <f>+VLOOKUP($A1516,MAGAZZINO!$B$2:$M$4838,6,FALSE)</f>
        <v/>
      </c>
      <c r="G1516" s="17">
        <f>+VLOOKUP($A1516,MAGAZZINO!$B$2:$M$4838,7,FALSE)</f>
        <v/>
      </c>
      <c r="H1516" s="17">
        <f>+VLOOKUP($A1516,MAGAZZINO!$B$2:$M$4838,8,FALSE)</f>
        <v/>
      </c>
      <c r="I1516" s="17">
        <f>+VLOOKUP($A1516,MAGAZZINO!$B$2:$M$4838,9,FALSE)</f>
        <v/>
      </c>
      <c r="J1516" s="17">
        <f>+VLOOKUP($A1516,MAGAZZINO!$B$2:$M$4838,10,FALSE)</f>
        <v/>
      </c>
      <c r="K1516" s="17">
        <f>+VLOOKUP($A1516,MAGAZZINO!$B$2:$M$4838,11,FALSE)</f>
        <v/>
      </c>
      <c r="L1516" s="44">
        <f>+VLOOKUP($A1516,MAGAZZINO!$B$2:$M$4838,12,FALSE)</f>
        <v/>
      </c>
    </row>
    <row r="1517" ht="36" customHeight="1">
      <c r="A1517" s="30">
        <f>+REGISTRO!A1500</f>
        <v/>
      </c>
      <c r="B1517" s="31">
        <f>+VLOOKUP($A1517,MAGAZZINO!$B$2:$M$4838,2,FALSE)</f>
        <v/>
      </c>
      <c r="C1517" s="32">
        <f>+VLOOKUP($A1517,MAGAZZINO!$B$2:$M$4838,3,FALSE)</f>
        <v/>
      </c>
      <c r="D1517" s="17">
        <f>+VLOOKUP($A1517,MAGAZZINO!$B$2:$M$4838,4,FALSE)</f>
        <v/>
      </c>
      <c r="E1517" s="17">
        <f>+VLOOKUP($A1517,MAGAZZINO!$B$2:$M$4838,5,FALSE)</f>
        <v/>
      </c>
      <c r="F1517" s="17">
        <f>+VLOOKUP($A1517,MAGAZZINO!$B$2:$M$4838,6,FALSE)</f>
        <v/>
      </c>
      <c r="G1517" s="17">
        <f>+VLOOKUP($A1517,MAGAZZINO!$B$2:$M$4838,7,FALSE)</f>
        <v/>
      </c>
      <c r="H1517" s="17">
        <f>+VLOOKUP($A1517,MAGAZZINO!$B$2:$M$4838,8,FALSE)</f>
        <v/>
      </c>
      <c r="I1517" s="17">
        <f>+VLOOKUP($A1517,MAGAZZINO!$B$2:$M$4838,9,FALSE)</f>
        <v/>
      </c>
      <c r="J1517" s="17">
        <f>+VLOOKUP($A1517,MAGAZZINO!$B$2:$M$4838,10,FALSE)</f>
        <v/>
      </c>
      <c r="K1517" s="17">
        <f>+VLOOKUP($A1517,MAGAZZINO!$B$2:$M$4838,11,FALSE)</f>
        <v/>
      </c>
      <c r="L1517" s="44">
        <f>+VLOOKUP($A1517,MAGAZZINO!$B$2:$M$4838,12,FALSE)</f>
        <v/>
      </c>
    </row>
    <row r="1518" ht="36" customHeight="1">
      <c r="A1518" s="30">
        <f>+REGISTRO!A1501</f>
        <v/>
      </c>
      <c r="B1518" s="31">
        <f>+VLOOKUP($A1518,MAGAZZINO!$B$2:$M$4838,2,FALSE)</f>
        <v/>
      </c>
      <c r="C1518" s="32">
        <f>+VLOOKUP($A1518,MAGAZZINO!$B$2:$M$4838,3,FALSE)</f>
        <v/>
      </c>
      <c r="D1518" s="17">
        <f>+VLOOKUP($A1518,MAGAZZINO!$B$2:$M$4838,4,FALSE)</f>
        <v/>
      </c>
      <c r="E1518" s="17">
        <f>+VLOOKUP($A1518,MAGAZZINO!$B$2:$M$4838,5,FALSE)</f>
        <v/>
      </c>
      <c r="F1518" s="17">
        <f>+VLOOKUP($A1518,MAGAZZINO!$B$2:$M$4838,6,FALSE)</f>
        <v/>
      </c>
      <c r="G1518" s="17">
        <f>+VLOOKUP($A1518,MAGAZZINO!$B$2:$M$4838,7,FALSE)</f>
        <v/>
      </c>
      <c r="H1518" s="17">
        <f>+VLOOKUP($A1518,MAGAZZINO!$B$2:$M$4838,8,FALSE)</f>
        <v/>
      </c>
      <c r="I1518" s="17">
        <f>+VLOOKUP($A1518,MAGAZZINO!$B$2:$M$4838,9,FALSE)</f>
        <v/>
      </c>
      <c r="J1518" s="17">
        <f>+VLOOKUP($A1518,MAGAZZINO!$B$2:$M$4838,10,FALSE)</f>
        <v/>
      </c>
      <c r="K1518" s="17">
        <f>+VLOOKUP($A1518,MAGAZZINO!$B$2:$M$4838,11,FALSE)</f>
        <v/>
      </c>
      <c r="L1518" s="44">
        <f>+VLOOKUP($A1518,MAGAZZINO!$B$2:$M$4838,12,FALSE)</f>
        <v/>
      </c>
    </row>
    <row r="1519" ht="36" customHeight="1">
      <c r="A1519" s="30">
        <f>+REGISTRO!A1502</f>
        <v/>
      </c>
      <c r="B1519" s="31">
        <f>+VLOOKUP($A1519,MAGAZZINO!$B$2:$M$4838,2,FALSE)</f>
        <v/>
      </c>
      <c r="C1519" s="32">
        <f>+VLOOKUP($A1519,MAGAZZINO!$B$2:$M$4838,3,FALSE)</f>
        <v/>
      </c>
      <c r="D1519" s="17">
        <f>+VLOOKUP($A1519,MAGAZZINO!$B$2:$M$4838,4,FALSE)</f>
        <v/>
      </c>
      <c r="E1519" s="17">
        <f>+VLOOKUP($A1519,MAGAZZINO!$B$2:$M$4838,5,FALSE)</f>
        <v/>
      </c>
      <c r="F1519" s="17">
        <f>+VLOOKUP($A1519,MAGAZZINO!$B$2:$M$4838,6,FALSE)</f>
        <v/>
      </c>
      <c r="G1519" s="17">
        <f>+VLOOKUP($A1519,MAGAZZINO!$B$2:$M$4838,7,FALSE)</f>
        <v/>
      </c>
      <c r="H1519" s="17">
        <f>+VLOOKUP($A1519,MAGAZZINO!$B$2:$M$4838,8,FALSE)</f>
        <v/>
      </c>
      <c r="I1519" s="17">
        <f>+VLOOKUP($A1519,MAGAZZINO!$B$2:$M$4838,9,FALSE)</f>
        <v/>
      </c>
      <c r="J1519" s="17">
        <f>+VLOOKUP($A1519,MAGAZZINO!$B$2:$M$4838,10,FALSE)</f>
        <v/>
      </c>
      <c r="K1519" s="17">
        <f>+VLOOKUP($A1519,MAGAZZINO!$B$2:$M$4838,11,FALSE)</f>
        <v/>
      </c>
      <c r="L1519" s="44">
        <f>+VLOOKUP($A1519,MAGAZZINO!$B$2:$M$4838,12,FALSE)</f>
        <v/>
      </c>
    </row>
    <row r="1520" ht="36" customHeight="1">
      <c r="A1520" s="30">
        <f>+REGISTRO!A1503</f>
        <v/>
      </c>
      <c r="B1520" s="31">
        <f>+VLOOKUP($A1520,MAGAZZINO!$B$2:$M$4838,2,FALSE)</f>
        <v/>
      </c>
      <c r="C1520" s="32">
        <f>+VLOOKUP($A1520,MAGAZZINO!$B$2:$M$4838,3,FALSE)</f>
        <v/>
      </c>
      <c r="D1520" s="17">
        <f>+VLOOKUP($A1520,MAGAZZINO!$B$2:$M$4838,4,FALSE)</f>
        <v/>
      </c>
      <c r="E1520" s="17">
        <f>+VLOOKUP($A1520,MAGAZZINO!$B$2:$M$4838,5,FALSE)</f>
        <v/>
      </c>
      <c r="F1520" s="17">
        <f>+VLOOKUP($A1520,MAGAZZINO!$B$2:$M$4838,6,FALSE)</f>
        <v/>
      </c>
      <c r="G1520" s="17">
        <f>+VLOOKUP($A1520,MAGAZZINO!$B$2:$M$4838,7,FALSE)</f>
        <v/>
      </c>
      <c r="H1520" s="17">
        <f>+VLOOKUP($A1520,MAGAZZINO!$B$2:$M$4838,8,FALSE)</f>
        <v/>
      </c>
      <c r="I1520" s="17">
        <f>+VLOOKUP($A1520,MAGAZZINO!$B$2:$M$4838,9,FALSE)</f>
        <v/>
      </c>
      <c r="J1520" s="17">
        <f>+VLOOKUP($A1520,MAGAZZINO!$B$2:$M$4838,10,FALSE)</f>
        <v/>
      </c>
      <c r="K1520" s="17">
        <f>+VLOOKUP($A1520,MAGAZZINO!$B$2:$M$4838,11,FALSE)</f>
        <v/>
      </c>
      <c r="L1520" s="44">
        <f>+VLOOKUP($A1520,MAGAZZINO!$B$2:$M$4838,12,FALSE)</f>
        <v/>
      </c>
    </row>
    <row r="1521" ht="36" customHeight="1">
      <c r="A1521" s="30">
        <f>+REGISTRO!A1504</f>
        <v/>
      </c>
      <c r="B1521" s="31">
        <f>+VLOOKUP($A1521,MAGAZZINO!$B$2:$M$4838,2,FALSE)</f>
        <v/>
      </c>
      <c r="C1521" s="32">
        <f>+VLOOKUP($A1521,MAGAZZINO!$B$2:$M$4838,3,FALSE)</f>
        <v/>
      </c>
      <c r="D1521" s="17">
        <f>+VLOOKUP($A1521,MAGAZZINO!$B$2:$M$4838,4,FALSE)</f>
        <v/>
      </c>
      <c r="E1521" s="17">
        <f>+VLOOKUP($A1521,MAGAZZINO!$B$2:$M$4838,5,FALSE)</f>
        <v/>
      </c>
      <c r="F1521" s="17">
        <f>+VLOOKUP($A1521,MAGAZZINO!$B$2:$M$4838,6,FALSE)</f>
        <v/>
      </c>
      <c r="G1521" s="17">
        <f>+VLOOKUP($A1521,MAGAZZINO!$B$2:$M$4838,7,FALSE)</f>
        <v/>
      </c>
      <c r="H1521" s="17">
        <f>+VLOOKUP($A1521,MAGAZZINO!$B$2:$M$4838,8,FALSE)</f>
        <v/>
      </c>
      <c r="I1521" s="17">
        <f>+VLOOKUP($A1521,MAGAZZINO!$B$2:$M$4838,9,FALSE)</f>
        <v/>
      </c>
      <c r="J1521" s="17">
        <f>+VLOOKUP($A1521,MAGAZZINO!$B$2:$M$4838,10,FALSE)</f>
        <v/>
      </c>
      <c r="K1521" s="17">
        <f>+VLOOKUP($A1521,MAGAZZINO!$B$2:$M$4838,11,FALSE)</f>
        <v/>
      </c>
      <c r="L1521" s="44">
        <f>+VLOOKUP($A1521,MAGAZZINO!$B$2:$M$4838,12,FALSE)</f>
        <v/>
      </c>
    </row>
    <row r="1522" ht="36" customHeight="1">
      <c r="A1522" s="30">
        <f>+REGISTRO!A1505</f>
        <v/>
      </c>
      <c r="B1522" s="31">
        <f>+VLOOKUP($A1522,MAGAZZINO!$B$2:$M$4838,2,FALSE)</f>
        <v/>
      </c>
      <c r="C1522" s="32">
        <f>+VLOOKUP($A1522,MAGAZZINO!$B$2:$M$4838,3,FALSE)</f>
        <v/>
      </c>
      <c r="D1522" s="17">
        <f>+VLOOKUP($A1522,MAGAZZINO!$B$2:$M$4838,4,FALSE)</f>
        <v/>
      </c>
      <c r="E1522" s="17">
        <f>+VLOOKUP($A1522,MAGAZZINO!$B$2:$M$4838,5,FALSE)</f>
        <v/>
      </c>
      <c r="F1522" s="17">
        <f>+VLOOKUP($A1522,MAGAZZINO!$B$2:$M$4838,6,FALSE)</f>
        <v/>
      </c>
      <c r="G1522" s="17">
        <f>+VLOOKUP($A1522,MAGAZZINO!$B$2:$M$4838,7,FALSE)</f>
        <v/>
      </c>
      <c r="H1522" s="17">
        <f>+VLOOKUP($A1522,MAGAZZINO!$B$2:$M$4838,8,FALSE)</f>
        <v/>
      </c>
      <c r="I1522" s="17">
        <f>+VLOOKUP($A1522,MAGAZZINO!$B$2:$M$4838,9,FALSE)</f>
        <v/>
      </c>
      <c r="J1522" s="17">
        <f>+VLOOKUP($A1522,MAGAZZINO!$B$2:$M$4838,10,FALSE)</f>
        <v/>
      </c>
      <c r="K1522" s="17">
        <f>+VLOOKUP($A1522,MAGAZZINO!$B$2:$M$4838,11,FALSE)</f>
        <v/>
      </c>
      <c r="L1522" s="44">
        <f>+VLOOKUP($A1522,MAGAZZINO!$B$2:$M$4838,12,FALSE)</f>
        <v/>
      </c>
    </row>
    <row r="1523" ht="36" customHeight="1">
      <c r="A1523" s="30">
        <f>+REGISTRO!A1506</f>
        <v/>
      </c>
      <c r="B1523" s="31">
        <f>+VLOOKUP($A1523,MAGAZZINO!$B$2:$M$4838,2,FALSE)</f>
        <v/>
      </c>
      <c r="C1523" s="32">
        <f>+VLOOKUP($A1523,MAGAZZINO!$B$2:$M$4838,3,FALSE)</f>
        <v/>
      </c>
      <c r="D1523" s="17">
        <f>+VLOOKUP($A1523,MAGAZZINO!$B$2:$M$4838,4,FALSE)</f>
        <v/>
      </c>
      <c r="E1523" s="17">
        <f>+VLOOKUP($A1523,MAGAZZINO!$B$2:$M$4838,5,FALSE)</f>
        <v/>
      </c>
      <c r="F1523" s="17">
        <f>+VLOOKUP($A1523,MAGAZZINO!$B$2:$M$4838,6,FALSE)</f>
        <v/>
      </c>
      <c r="G1523" s="17">
        <f>+VLOOKUP($A1523,MAGAZZINO!$B$2:$M$4838,7,FALSE)</f>
        <v/>
      </c>
      <c r="H1523" s="17">
        <f>+VLOOKUP($A1523,MAGAZZINO!$B$2:$M$4838,8,FALSE)</f>
        <v/>
      </c>
      <c r="I1523" s="17">
        <f>+VLOOKUP($A1523,MAGAZZINO!$B$2:$M$4838,9,FALSE)</f>
        <v/>
      </c>
      <c r="J1523" s="17">
        <f>+VLOOKUP($A1523,MAGAZZINO!$B$2:$M$4838,10,FALSE)</f>
        <v/>
      </c>
      <c r="K1523" s="17">
        <f>+VLOOKUP($A1523,MAGAZZINO!$B$2:$M$4838,11,FALSE)</f>
        <v/>
      </c>
      <c r="L1523" s="44">
        <f>+VLOOKUP($A1523,MAGAZZINO!$B$2:$M$4838,12,FALSE)</f>
        <v/>
      </c>
    </row>
    <row r="1524" ht="36" customHeight="1">
      <c r="A1524" s="30">
        <f>+REGISTRO!A1507</f>
        <v/>
      </c>
      <c r="B1524" s="31">
        <f>+VLOOKUP($A1524,MAGAZZINO!$B$2:$M$4838,2,FALSE)</f>
        <v/>
      </c>
      <c r="C1524" s="32">
        <f>+VLOOKUP($A1524,MAGAZZINO!$B$2:$M$4838,3,FALSE)</f>
        <v/>
      </c>
      <c r="D1524" s="17">
        <f>+VLOOKUP($A1524,MAGAZZINO!$B$2:$M$4838,4,FALSE)</f>
        <v/>
      </c>
      <c r="E1524" s="17">
        <f>+VLOOKUP($A1524,MAGAZZINO!$B$2:$M$4838,5,FALSE)</f>
        <v/>
      </c>
      <c r="F1524" s="17">
        <f>+VLOOKUP($A1524,MAGAZZINO!$B$2:$M$4838,6,FALSE)</f>
        <v/>
      </c>
      <c r="G1524" s="17">
        <f>+VLOOKUP($A1524,MAGAZZINO!$B$2:$M$4838,7,FALSE)</f>
        <v/>
      </c>
      <c r="H1524" s="17">
        <f>+VLOOKUP($A1524,MAGAZZINO!$B$2:$M$4838,8,FALSE)</f>
        <v/>
      </c>
      <c r="I1524" s="17">
        <f>+VLOOKUP($A1524,MAGAZZINO!$B$2:$M$4838,9,FALSE)</f>
        <v/>
      </c>
      <c r="J1524" s="17">
        <f>+VLOOKUP($A1524,MAGAZZINO!$B$2:$M$4838,10,FALSE)</f>
        <v/>
      </c>
      <c r="K1524" s="17">
        <f>+VLOOKUP($A1524,MAGAZZINO!$B$2:$M$4838,11,FALSE)</f>
        <v/>
      </c>
      <c r="L1524" s="44">
        <f>+VLOOKUP($A1524,MAGAZZINO!$B$2:$M$4838,12,FALSE)</f>
        <v/>
      </c>
    </row>
    <row r="1525" ht="36" customHeight="1">
      <c r="A1525" s="30">
        <f>+REGISTRO!A1508</f>
        <v/>
      </c>
      <c r="B1525" s="31">
        <f>+VLOOKUP($A1525,MAGAZZINO!$B$2:$M$4838,2,FALSE)</f>
        <v/>
      </c>
      <c r="C1525" s="32">
        <f>+VLOOKUP($A1525,MAGAZZINO!$B$2:$M$4838,3,FALSE)</f>
        <v/>
      </c>
      <c r="D1525" s="17">
        <f>+VLOOKUP($A1525,MAGAZZINO!$B$2:$M$4838,4,FALSE)</f>
        <v/>
      </c>
      <c r="E1525" s="17">
        <f>+VLOOKUP($A1525,MAGAZZINO!$B$2:$M$4838,5,FALSE)</f>
        <v/>
      </c>
      <c r="F1525" s="17">
        <f>+VLOOKUP($A1525,MAGAZZINO!$B$2:$M$4838,6,FALSE)</f>
        <v/>
      </c>
      <c r="G1525" s="17">
        <f>+VLOOKUP($A1525,MAGAZZINO!$B$2:$M$4838,7,FALSE)</f>
        <v/>
      </c>
      <c r="H1525" s="17">
        <f>+VLOOKUP($A1525,MAGAZZINO!$B$2:$M$4838,8,FALSE)</f>
        <v/>
      </c>
      <c r="I1525" s="17">
        <f>+VLOOKUP($A1525,MAGAZZINO!$B$2:$M$4838,9,FALSE)</f>
        <v/>
      </c>
      <c r="J1525" s="17">
        <f>+VLOOKUP($A1525,MAGAZZINO!$B$2:$M$4838,10,FALSE)</f>
        <v/>
      </c>
      <c r="K1525" s="17">
        <f>+VLOOKUP($A1525,MAGAZZINO!$B$2:$M$4838,11,FALSE)</f>
        <v/>
      </c>
      <c r="L1525" s="44">
        <f>+VLOOKUP($A1525,MAGAZZINO!$B$2:$M$4838,12,FALSE)</f>
        <v/>
      </c>
    </row>
    <row r="1526" ht="36" customHeight="1">
      <c r="A1526" s="30">
        <f>+REGISTRO!A1509</f>
        <v/>
      </c>
      <c r="B1526" s="31">
        <f>+VLOOKUP($A1526,MAGAZZINO!$B$2:$M$4838,2,FALSE)</f>
        <v/>
      </c>
      <c r="C1526" s="32">
        <f>+VLOOKUP($A1526,MAGAZZINO!$B$2:$M$4838,3,FALSE)</f>
        <v/>
      </c>
      <c r="D1526" s="17">
        <f>+VLOOKUP($A1526,MAGAZZINO!$B$2:$M$4838,4,FALSE)</f>
        <v/>
      </c>
      <c r="E1526" s="17">
        <f>+VLOOKUP($A1526,MAGAZZINO!$B$2:$M$4838,5,FALSE)</f>
        <v/>
      </c>
      <c r="F1526" s="17">
        <f>+VLOOKUP($A1526,MAGAZZINO!$B$2:$M$4838,6,FALSE)</f>
        <v/>
      </c>
      <c r="G1526" s="17">
        <f>+VLOOKUP($A1526,MAGAZZINO!$B$2:$M$4838,7,FALSE)</f>
        <v/>
      </c>
      <c r="H1526" s="17">
        <f>+VLOOKUP($A1526,MAGAZZINO!$B$2:$M$4838,8,FALSE)</f>
        <v/>
      </c>
      <c r="I1526" s="17">
        <f>+VLOOKUP($A1526,MAGAZZINO!$B$2:$M$4838,9,FALSE)</f>
        <v/>
      </c>
      <c r="J1526" s="17">
        <f>+VLOOKUP($A1526,MAGAZZINO!$B$2:$M$4838,10,FALSE)</f>
        <v/>
      </c>
      <c r="K1526" s="17">
        <f>+VLOOKUP($A1526,MAGAZZINO!$B$2:$M$4838,11,FALSE)</f>
        <v/>
      </c>
      <c r="L1526" s="44">
        <f>+VLOOKUP($A1526,MAGAZZINO!$B$2:$M$4838,12,FALSE)</f>
        <v/>
      </c>
    </row>
    <row r="1527" ht="36" customHeight="1">
      <c r="A1527" s="30">
        <f>+REGISTRO!A1510</f>
        <v/>
      </c>
      <c r="B1527" s="31">
        <f>+VLOOKUP($A1527,MAGAZZINO!$B$2:$M$4838,2,FALSE)</f>
        <v/>
      </c>
      <c r="C1527" s="32">
        <f>+VLOOKUP($A1527,MAGAZZINO!$B$2:$M$4838,3,FALSE)</f>
        <v/>
      </c>
      <c r="D1527" s="17">
        <f>+VLOOKUP($A1527,MAGAZZINO!$B$2:$M$4838,4,FALSE)</f>
        <v/>
      </c>
      <c r="E1527" s="17">
        <f>+VLOOKUP($A1527,MAGAZZINO!$B$2:$M$4838,5,FALSE)</f>
        <v/>
      </c>
      <c r="F1527" s="17">
        <f>+VLOOKUP($A1527,MAGAZZINO!$B$2:$M$4838,6,FALSE)</f>
        <v/>
      </c>
      <c r="G1527" s="17">
        <f>+VLOOKUP($A1527,MAGAZZINO!$B$2:$M$4838,7,FALSE)</f>
        <v/>
      </c>
      <c r="H1527" s="17">
        <f>+VLOOKUP($A1527,MAGAZZINO!$B$2:$M$4838,8,FALSE)</f>
        <v/>
      </c>
      <c r="I1527" s="17">
        <f>+VLOOKUP($A1527,MAGAZZINO!$B$2:$M$4838,9,FALSE)</f>
        <v/>
      </c>
      <c r="J1527" s="17">
        <f>+VLOOKUP($A1527,MAGAZZINO!$B$2:$M$4838,10,FALSE)</f>
        <v/>
      </c>
      <c r="K1527" s="17">
        <f>+VLOOKUP($A1527,MAGAZZINO!$B$2:$M$4838,11,FALSE)</f>
        <v/>
      </c>
      <c r="L1527" s="44">
        <f>+VLOOKUP($A1527,MAGAZZINO!$B$2:$M$4838,12,FALSE)</f>
        <v/>
      </c>
    </row>
    <row r="1528" ht="36" customHeight="1">
      <c r="A1528" s="30">
        <f>+REGISTRO!A1511</f>
        <v/>
      </c>
      <c r="B1528" s="31">
        <f>+VLOOKUP($A1528,MAGAZZINO!$B$2:$M$4838,2,FALSE)</f>
        <v/>
      </c>
      <c r="C1528" s="32">
        <f>+VLOOKUP($A1528,MAGAZZINO!$B$2:$M$4838,3,FALSE)</f>
        <v/>
      </c>
      <c r="D1528" s="17">
        <f>+VLOOKUP($A1528,MAGAZZINO!$B$2:$M$4838,4,FALSE)</f>
        <v/>
      </c>
      <c r="E1528" s="17">
        <f>+VLOOKUP($A1528,MAGAZZINO!$B$2:$M$4838,5,FALSE)</f>
        <v/>
      </c>
      <c r="F1528" s="17">
        <f>+VLOOKUP($A1528,MAGAZZINO!$B$2:$M$4838,6,FALSE)</f>
        <v/>
      </c>
      <c r="G1528" s="17">
        <f>+VLOOKUP($A1528,MAGAZZINO!$B$2:$M$4838,7,FALSE)</f>
        <v/>
      </c>
      <c r="H1528" s="17">
        <f>+VLOOKUP($A1528,MAGAZZINO!$B$2:$M$4838,8,FALSE)</f>
        <v/>
      </c>
      <c r="I1528" s="17">
        <f>+VLOOKUP($A1528,MAGAZZINO!$B$2:$M$4838,9,FALSE)</f>
        <v/>
      </c>
      <c r="J1528" s="17">
        <f>+VLOOKUP($A1528,MAGAZZINO!$B$2:$M$4838,10,FALSE)</f>
        <v/>
      </c>
      <c r="K1528" s="17">
        <f>+VLOOKUP($A1528,MAGAZZINO!$B$2:$M$4838,11,FALSE)</f>
        <v/>
      </c>
      <c r="L1528" s="44">
        <f>+VLOOKUP($A1528,MAGAZZINO!$B$2:$M$4838,12,FALSE)</f>
        <v/>
      </c>
    </row>
    <row r="1529" ht="36" customHeight="1">
      <c r="A1529" s="30">
        <f>+REGISTRO!A1512</f>
        <v/>
      </c>
      <c r="B1529" s="31">
        <f>+VLOOKUP($A1529,MAGAZZINO!$B$2:$M$4838,2,FALSE)</f>
        <v/>
      </c>
      <c r="C1529" s="32">
        <f>+VLOOKUP($A1529,MAGAZZINO!$B$2:$M$4838,3,FALSE)</f>
        <v/>
      </c>
      <c r="D1529" s="17">
        <f>+VLOOKUP($A1529,MAGAZZINO!$B$2:$M$4838,4,FALSE)</f>
        <v/>
      </c>
      <c r="E1529" s="17">
        <f>+VLOOKUP($A1529,MAGAZZINO!$B$2:$M$4838,5,FALSE)</f>
        <v/>
      </c>
      <c r="F1529" s="17">
        <f>+VLOOKUP($A1529,MAGAZZINO!$B$2:$M$4838,6,FALSE)</f>
        <v/>
      </c>
      <c r="G1529" s="17">
        <f>+VLOOKUP($A1529,MAGAZZINO!$B$2:$M$4838,7,FALSE)</f>
        <v/>
      </c>
      <c r="H1529" s="17">
        <f>+VLOOKUP($A1529,MAGAZZINO!$B$2:$M$4838,8,FALSE)</f>
        <v/>
      </c>
      <c r="I1529" s="17">
        <f>+VLOOKUP($A1529,MAGAZZINO!$B$2:$M$4838,9,FALSE)</f>
        <v/>
      </c>
      <c r="J1529" s="17">
        <f>+VLOOKUP($A1529,MAGAZZINO!$B$2:$M$4838,10,FALSE)</f>
        <v/>
      </c>
      <c r="K1529" s="17">
        <f>+VLOOKUP($A1529,MAGAZZINO!$B$2:$M$4838,11,FALSE)</f>
        <v/>
      </c>
      <c r="L1529" s="44">
        <f>+VLOOKUP($A1529,MAGAZZINO!$B$2:$M$4838,12,FALSE)</f>
        <v/>
      </c>
    </row>
    <row r="1530" ht="36" customHeight="1">
      <c r="A1530" s="30">
        <f>+REGISTRO!A1513</f>
        <v/>
      </c>
      <c r="B1530" s="31">
        <f>+VLOOKUP($A1530,MAGAZZINO!$B$2:$M$4838,2,FALSE)</f>
        <v/>
      </c>
      <c r="C1530" s="32">
        <f>+VLOOKUP($A1530,MAGAZZINO!$B$2:$M$4838,3,FALSE)</f>
        <v/>
      </c>
      <c r="D1530" s="17">
        <f>+VLOOKUP($A1530,MAGAZZINO!$B$2:$M$4838,4,FALSE)</f>
        <v/>
      </c>
      <c r="E1530" s="17">
        <f>+VLOOKUP($A1530,MAGAZZINO!$B$2:$M$4838,5,FALSE)</f>
        <v/>
      </c>
      <c r="F1530" s="17">
        <f>+VLOOKUP($A1530,MAGAZZINO!$B$2:$M$4838,6,FALSE)</f>
        <v/>
      </c>
      <c r="G1530" s="17">
        <f>+VLOOKUP($A1530,MAGAZZINO!$B$2:$M$4838,7,FALSE)</f>
        <v/>
      </c>
      <c r="H1530" s="17">
        <f>+VLOOKUP($A1530,MAGAZZINO!$B$2:$M$4838,8,FALSE)</f>
        <v/>
      </c>
      <c r="I1530" s="17">
        <f>+VLOOKUP($A1530,MAGAZZINO!$B$2:$M$4838,9,FALSE)</f>
        <v/>
      </c>
      <c r="J1530" s="17">
        <f>+VLOOKUP($A1530,MAGAZZINO!$B$2:$M$4838,10,FALSE)</f>
        <v/>
      </c>
      <c r="K1530" s="17">
        <f>+VLOOKUP($A1530,MAGAZZINO!$B$2:$M$4838,11,FALSE)</f>
        <v/>
      </c>
      <c r="L1530" s="44">
        <f>+VLOOKUP($A1530,MAGAZZINO!$B$2:$M$4838,12,FALSE)</f>
        <v/>
      </c>
    </row>
    <row r="1531" ht="36" customHeight="1">
      <c r="A1531" s="30">
        <f>+REGISTRO!A1514</f>
        <v/>
      </c>
      <c r="B1531" s="31">
        <f>+VLOOKUP($A1531,MAGAZZINO!$B$2:$M$4838,2,FALSE)</f>
        <v/>
      </c>
      <c r="C1531" s="32">
        <f>+VLOOKUP($A1531,MAGAZZINO!$B$2:$M$4838,3,FALSE)</f>
        <v/>
      </c>
      <c r="D1531" s="17">
        <f>+VLOOKUP($A1531,MAGAZZINO!$B$2:$M$4838,4,FALSE)</f>
        <v/>
      </c>
      <c r="E1531" s="17">
        <f>+VLOOKUP($A1531,MAGAZZINO!$B$2:$M$4838,5,FALSE)</f>
        <v/>
      </c>
      <c r="F1531" s="17">
        <f>+VLOOKUP($A1531,MAGAZZINO!$B$2:$M$4838,6,FALSE)</f>
        <v/>
      </c>
      <c r="G1531" s="17">
        <f>+VLOOKUP($A1531,MAGAZZINO!$B$2:$M$4838,7,FALSE)</f>
        <v/>
      </c>
      <c r="H1531" s="17">
        <f>+VLOOKUP($A1531,MAGAZZINO!$B$2:$M$4838,8,FALSE)</f>
        <v/>
      </c>
      <c r="I1531" s="17">
        <f>+VLOOKUP($A1531,MAGAZZINO!$B$2:$M$4838,9,FALSE)</f>
        <v/>
      </c>
      <c r="J1531" s="17">
        <f>+VLOOKUP($A1531,MAGAZZINO!$B$2:$M$4838,10,FALSE)</f>
        <v/>
      </c>
      <c r="K1531" s="17">
        <f>+VLOOKUP($A1531,MAGAZZINO!$B$2:$M$4838,11,FALSE)</f>
        <v/>
      </c>
      <c r="L1531" s="44">
        <f>+VLOOKUP($A1531,MAGAZZINO!$B$2:$M$4838,12,FALSE)</f>
        <v/>
      </c>
    </row>
    <row r="1532" ht="36" customHeight="1">
      <c r="A1532" s="30">
        <f>+REGISTRO!A1515</f>
        <v/>
      </c>
      <c r="B1532" s="31">
        <f>+VLOOKUP($A1532,MAGAZZINO!$B$2:$M$4838,2,FALSE)</f>
        <v/>
      </c>
      <c r="C1532" s="32">
        <f>+VLOOKUP($A1532,MAGAZZINO!$B$2:$M$4838,3,FALSE)</f>
        <v/>
      </c>
      <c r="D1532" s="17">
        <f>+VLOOKUP($A1532,MAGAZZINO!$B$2:$M$4838,4,FALSE)</f>
        <v/>
      </c>
      <c r="E1532" s="17">
        <f>+VLOOKUP($A1532,MAGAZZINO!$B$2:$M$4838,5,FALSE)</f>
        <v/>
      </c>
      <c r="F1532" s="17">
        <f>+VLOOKUP($A1532,MAGAZZINO!$B$2:$M$4838,6,FALSE)</f>
        <v/>
      </c>
      <c r="G1532" s="17">
        <f>+VLOOKUP($A1532,MAGAZZINO!$B$2:$M$4838,7,FALSE)</f>
        <v/>
      </c>
      <c r="H1532" s="17">
        <f>+VLOOKUP($A1532,MAGAZZINO!$B$2:$M$4838,8,FALSE)</f>
        <v/>
      </c>
      <c r="I1532" s="17">
        <f>+VLOOKUP($A1532,MAGAZZINO!$B$2:$M$4838,9,FALSE)</f>
        <v/>
      </c>
      <c r="J1532" s="17">
        <f>+VLOOKUP($A1532,MAGAZZINO!$B$2:$M$4838,10,FALSE)</f>
        <v/>
      </c>
      <c r="K1532" s="17">
        <f>+VLOOKUP($A1532,MAGAZZINO!$B$2:$M$4838,11,FALSE)</f>
        <v/>
      </c>
      <c r="L1532" s="44">
        <f>+VLOOKUP($A1532,MAGAZZINO!$B$2:$M$4838,12,FALSE)</f>
        <v/>
      </c>
    </row>
    <row r="1533" ht="36" customHeight="1">
      <c r="A1533" s="30">
        <f>+REGISTRO!A1516</f>
        <v/>
      </c>
      <c r="B1533" s="31">
        <f>+VLOOKUP($A1533,MAGAZZINO!$B$2:$M$4838,2,FALSE)</f>
        <v/>
      </c>
      <c r="C1533" s="32">
        <f>+VLOOKUP($A1533,MAGAZZINO!$B$2:$M$4838,3,FALSE)</f>
        <v/>
      </c>
      <c r="D1533" s="17">
        <f>+VLOOKUP($A1533,MAGAZZINO!$B$2:$M$4838,4,FALSE)</f>
        <v/>
      </c>
      <c r="E1533" s="17">
        <f>+VLOOKUP($A1533,MAGAZZINO!$B$2:$M$4838,5,FALSE)</f>
        <v/>
      </c>
      <c r="F1533" s="17">
        <f>+VLOOKUP($A1533,MAGAZZINO!$B$2:$M$4838,6,FALSE)</f>
        <v/>
      </c>
      <c r="G1533" s="17">
        <f>+VLOOKUP($A1533,MAGAZZINO!$B$2:$M$4838,7,FALSE)</f>
        <v/>
      </c>
      <c r="H1533" s="17">
        <f>+VLOOKUP($A1533,MAGAZZINO!$B$2:$M$4838,8,FALSE)</f>
        <v/>
      </c>
      <c r="I1533" s="17">
        <f>+VLOOKUP($A1533,MAGAZZINO!$B$2:$M$4838,9,FALSE)</f>
        <v/>
      </c>
      <c r="J1533" s="17">
        <f>+VLOOKUP($A1533,MAGAZZINO!$B$2:$M$4838,10,FALSE)</f>
        <v/>
      </c>
      <c r="K1533" s="17">
        <f>+VLOOKUP($A1533,MAGAZZINO!$B$2:$M$4838,11,FALSE)</f>
        <v/>
      </c>
      <c r="L1533" s="44">
        <f>+VLOOKUP($A1533,MAGAZZINO!$B$2:$M$4838,12,FALSE)</f>
        <v/>
      </c>
    </row>
    <row r="1534" ht="36" customHeight="1">
      <c r="A1534" s="30">
        <f>+REGISTRO!A1517</f>
        <v/>
      </c>
      <c r="B1534" s="31">
        <f>+VLOOKUP($A1534,MAGAZZINO!$B$2:$M$4838,2,FALSE)</f>
        <v/>
      </c>
      <c r="C1534" s="32">
        <f>+VLOOKUP($A1534,MAGAZZINO!$B$2:$M$4838,3,FALSE)</f>
        <v/>
      </c>
      <c r="D1534" s="17">
        <f>+VLOOKUP($A1534,MAGAZZINO!$B$2:$M$4838,4,FALSE)</f>
        <v/>
      </c>
      <c r="E1534" s="17">
        <f>+VLOOKUP($A1534,MAGAZZINO!$B$2:$M$4838,5,FALSE)</f>
        <v/>
      </c>
      <c r="F1534" s="17">
        <f>+VLOOKUP($A1534,MAGAZZINO!$B$2:$M$4838,6,FALSE)</f>
        <v/>
      </c>
      <c r="G1534" s="17">
        <f>+VLOOKUP($A1534,MAGAZZINO!$B$2:$M$4838,7,FALSE)</f>
        <v/>
      </c>
      <c r="H1534" s="17">
        <f>+VLOOKUP($A1534,MAGAZZINO!$B$2:$M$4838,8,FALSE)</f>
        <v/>
      </c>
      <c r="I1534" s="17">
        <f>+VLOOKUP($A1534,MAGAZZINO!$B$2:$M$4838,9,FALSE)</f>
        <v/>
      </c>
      <c r="J1534" s="17">
        <f>+VLOOKUP($A1534,MAGAZZINO!$B$2:$M$4838,10,FALSE)</f>
        <v/>
      </c>
      <c r="K1534" s="17">
        <f>+VLOOKUP($A1534,MAGAZZINO!$B$2:$M$4838,11,FALSE)</f>
        <v/>
      </c>
      <c r="L1534" s="44">
        <f>+VLOOKUP($A1534,MAGAZZINO!$B$2:$M$4838,12,FALSE)</f>
        <v/>
      </c>
    </row>
    <row r="1535" ht="36" customHeight="1">
      <c r="A1535" s="30">
        <f>+REGISTRO!A1518</f>
        <v/>
      </c>
      <c r="B1535" s="31">
        <f>+VLOOKUP($A1535,MAGAZZINO!$B$2:$M$4838,2,FALSE)</f>
        <v/>
      </c>
      <c r="C1535" s="32">
        <f>+VLOOKUP($A1535,MAGAZZINO!$B$2:$M$4838,3,FALSE)</f>
        <v/>
      </c>
      <c r="D1535" s="17">
        <f>+VLOOKUP($A1535,MAGAZZINO!$B$2:$M$4838,4,FALSE)</f>
        <v/>
      </c>
      <c r="E1535" s="17">
        <f>+VLOOKUP($A1535,MAGAZZINO!$B$2:$M$4838,5,FALSE)</f>
        <v/>
      </c>
      <c r="F1535" s="17">
        <f>+VLOOKUP($A1535,MAGAZZINO!$B$2:$M$4838,6,FALSE)</f>
        <v/>
      </c>
      <c r="G1535" s="17">
        <f>+VLOOKUP($A1535,MAGAZZINO!$B$2:$M$4838,7,FALSE)</f>
        <v/>
      </c>
      <c r="H1535" s="17">
        <f>+VLOOKUP($A1535,MAGAZZINO!$B$2:$M$4838,8,FALSE)</f>
        <v/>
      </c>
      <c r="I1535" s="17">
        <f>+VLOOKUP($A1535,MAGAZZINO!$B$2:$M$4838,9,FALSE)</f>
        <v/>
      </c>
      <c r="J1535" s="17">
        <f>+VLOOKUP($A1535,MAGAZZINO!$B$2:$M$4838,10,FALSE)</f>
        <v/>
      </c>
      <c r="K1535" s="17">
        <f>+VLOOKUP($A1535,MAGAZZINO!$B$2:$M$4838,11,FALSE)</f>
        <v/>
      </c>
      <c r="L1535" s="44">
        <f>+VLOOKUP($A1535,MAGAZZINO!$B$2:$M$4838,12,FALSE)</f>
        <v/>
      </c>
    </row>
    <row r="1536" ht="36" customHeight="1">
      <c r="A1536" s="30">
        <f>+REGISTRO!A1519</f>
        <v/>
      </c>
      <c r="B1536" s="31">
        <f>+VLOOKUP($A1536,MAGAZZINO!$B$2:$M$4838,2,FALSE)</f>
        <v/>
      </c>
      <c r="C1536" s="32">
        <f>+VLOOKUP($A1536,MAGAZZINO!$B$2:$M$4838,3,FALSE)</f>
        <v/>
      </c>
      <c r="D1536" s="17">
        <f>+VLOOKUP($A1536,MAGAZZINO!$B$2:$M$4838,4,FALSE)</f>
        <v/>
      </c>
      <c r="E1536" s="17">
        <f>+VLOOKUP($A1536,MAGAZZINO!$B$2:$M$4838,5,FALSE)</f>
        <v/>
      </c>
      <c r="F1536" s="17">
        <f>+VLOOKUP($A1536,MAGAZZINO!$B$2:$M$4838,6,FALSE)</f>
        <v/>
      </c>
      <c r="G1536" s="17">
        <f>+VLOOKUP($A1536,MAGAZZINO!$B$2:$M$4838,7,FALSE)</f>
        <v/>
      </c>
      <c r="H1536" s="17">
        <f>+VLOOKUP($A1536,MAGAZZINO!$B$2:$M$4838,8,FALSE)</f>
        <v/>
      </c>
      <c r="I1536" s="17">
        <f>+VLOOKUP($A1536,MAGAZZINO!$B$2:$M$4838,9,FALSE)</f>
        <v/>
      </c>
      <c r="J1536" s="17">
        <f>+VLOOKUP($A1536,MAGAZZINO!$B$2:$M$4838,10,FALSE)</f>
        <v/>
      </c>
      <c r="K1536" s="17">
        <f>+VLOOKUP($A1536,MAGAZZINO!$B$2:$M$4838,11,FALSE)</f>
        <v/>
      </c>
      <c r="L1536" s="44">
        <f>+VLOOKUP($A1536,MAGAZZINO!$B$2:$M$4838,12,FALSE)</f>
        <v/>
      </c>
    </row>
    <row r="1537" ht="36" customHeight="1">
      <c r="A1537" s="30">
        <f>+REGISTRO!A1520</f>
        <v/>
      </c>
      <c r="B1537" s="31">
        <f>+VLOOKUP($A1537,MAGAZZINO!$B$2:$M$4838,2,FALSE)</f>
        <v/>
      </c>
      <c r="C1537" s="32">
        <f>+VLOOKUP($A1537,MAGAZZINO!$B$2:$M$4838,3,FALSE)</f>
        <v/>
      </c>
      <c r="D1537" s="17">
        <f>+VLOOKUP($A1537,MAGAZZINO!$B$2:$M$4838,4,FALSE)</f>
        <v/>
      </c>
      <c r="E1537" s="17">
        <f>+VLOOKUP($A1537,MAGAZZINO!$B$2:$M$4838,5,FALSE)</f>
        <v/>
      </c>
      <c r="F1537" s="17">
        <f>+VLOOKUP($A1537,MAGAZZINO!$B$2:$M$4838,6,FALSE)</f>
        <v/>
      </c>
      <c r="G1537" s="17">
        <f>+VLOOKUP($A1537,MAGAZZINO!$B$2:$M$4838,7,FALSE)</f>
        <v/>
      </c>
      <c r="H1537" s="17">
        <f>+VLOOKUP($A1537,MAGAZZINO!$B$2:$M$4838,8,FALSE)</f>
        <v/>
      </c>
      <c r="I1537" s="17">
        <f>+VLOOKUP($A1537,MAGAZZINO!$B$2:$M$4838,9,FALSE)</f>
        <v/>
      </c>
      <c r="J1537" s="17">
        <f>+VLOOKUP($A1537,MAGAZZINO!$B$2:$M$4838,10,FALSE)</f>
        <v/>
      </c>
      <c r="K1537" s="17">
        <f>+VLOOKUP($A1537,MAGAZZINO!$B$2:$M$4838,11,FALSE)</f>
        <v/>
      </c>
      <c r="L1537" s="44">
        <f>+VLOOKUP($A1537,MAGAZZINO!$B$2:$M$4838,12,FALSE)</f>
        <v/>
      </c>
    </row>
    <row r="1538" ht="36" customHeight="1">
      <c r="A1538" s="30">
        <f>+REGISTRO!A1521</f>
        <v/>
      </c>
      <c r="B1538" s="31">
        <f>+VLOOKUP($A1538,MAGAZZINO!$B$2:$M$4838,2,FALSE)</f>
        <v/>
      </c>
      <c r="C1538" s="32">
        <f>+VLOOKUP($A1538,MAGAZZINO!$B$2:$M$4838,3,FALSE)</f>
        <v/>
      </c>
      <c r="D1538" s="17">
        <f>+VLOOKUP($A1538,MAGAZZINO!$B$2:$M$4838,4,FALSE)</f>
        <v/>
      </c>
      <c r="E1538" s="17">
        <f>+VLOOKUP($A1538,MAGAZZINO!$B$2:$M$4838,5,FALSE)</f>
        <v/>
      </c>
      <c r="F1538" s="17">
        <f>+VLOOKUP($A1538,MAGAZZINO!$B$2:$M$4838,6,FALSE)</f>
        <v/>
      </c>
      <c r="G1538" s="17">
        <f>+VLOOKUP($A1538,MAGAZZINO!$B$2:$M$4838,7,FALSE)</f>
        <v/>
      </c>
      <c r="H1538" s="17">
        <f>+VLOOKUP($A1538,MAGAZZINO!$B$2:$M$4838,8,FALSE)</f>
        <v/>
      </c>
      <c r="I1538" s="17">
        <f>+VLOOKUP($A1538,MAGAZZINO!$B$2:$M$4838,9,FALSE)</f>
        <v/>
      </c>
      <c r="J1538" s="17">
        <f>+VLOOKUP($A1538,MAGAZZINO!$B$2:$M$4838,10,FALSE)</f>
        <v/>
      </c>
      <c r="K1538" s="17">
        <f>+VLOOKUP($A1538,MAGAZZINO!$B$2:$M$4838,11,FALSE)</f>
        <v/>
      </c>
      <c r="L1538" s="44">
        <f>+VLOOKUP($A1538,MAGAZZINO!$B$2:$M$4838,12,FALSE)</f>
        <v/>
      </c>
    </row>
    <row r="1539" ht="36" customHeight="1">
      <c r="A1539" s="30">
        <f>+REGISTRO!A1522</f>
        <v/>
      </c>
      <c r="B1539" s="31">
        <f>+VLOOKUP($A1539,MAGAZZINO!$B$2:$M$4838,2,FALSE)</f>
        <v/>
      </c>
      <c r="C1539" s="32">
        <f>+VLOOKUP($A1539,MAGAZZINO!$B$2:$M$4838,3,FALSE)</f>
        <v/>
      </c>
      <c r="D1539" s="17">
        <f>+VLOOKUP($A1539,MAGAZZINO!$B$2:$M$4838,4,FALSE)</f>
        <v/>
      </c>
      <c r="E1539" s="17">
        <f>+VLOOKUP($A1539,MAGAZZINO!$B$2:$M$4838,5,FALSE)</f>
        <v/>
      </c>
      <c r="F1539" s="17">
        <f>+VLOOKUP($A1539,MAGAZZINO!$B$2:$M$4838,6,FALSE)</f>
        <v/>
      </c>
      <c r="G1539" s="17">
        <f>+VLOOKUP($A1539,MAGAZZINO!$B$2:$M$4838,7,FALSE)</f>
        <v/>
      </c>
      <c r="H1539" s="17">
        <f>+VLOOKUP($A1539,MAGAZZINO!$B$2:$M$4838,8,FALSE)</f>
        <v/>
      </c>
      <c r="I1539" s="17">
        <f>+VLOOKUP($A1539,MAGAZZINO!$B$2:$M$4838,9,FALSE)</f>
        <v/>
      </c>
      <c r="J1539" s="17">
        <f>+VLOOKUP($A1539,MAGAZZINO!$B$2:$M$4838,10,FALSE)</f>
        <v/>
      </c>
      <c r="K1539" s="17">
        <f>+VLOOKUP($A1539,MAGAZZINO!$B$2:$M$4838,11,FALSE)</f>
        <v/>
      </c>
      <c r="L1539" s="44">
        <f>+VLOOKUP($A1539,MAGAZZINO!$B$2:$M$4838,12,FALSE)</f>
        <v/>
      </c>
    </row>
    <row r="1540" ht="36" customHeight="1">
      <c r="A1540" s="30">
        <f>+REGISTRO!A1523</f>
        <v/>
      </c>
      <c r="B1540" s="31">
        <f>+VLOOKUP($A1540,MAGAZZINO!$B$2:$M$4838,2,FALSE)</f>
        <v/>
      </c>
      <c r="C1540" s="32">
        <f>+VLOOKUP($A1540,MAGAZZINO!$B$2:$M$4838,3,FALSE)</f>
        <v/>
      </c>
      <c r="D1540" s="17">
        <f>+VLOOKUP($A1540,MAGAZZINO!$B$2:$M$4838,4,FALSE)</f>
        <v/>
      </c>
      <c r="E1540" s="17">
        <f>+VLOOKUP($A1540,MAGAZZINO!$B$2:$M$4838,5,FALSE)</f>
        <v/>
      </c>
      <c r="F1540" s="17">
        <f>+VLOOKUP($A1540,MAGAZZINO!$B$2:$M$4838,6,FALSE)</f>
        <v/>
      </c>
      <c r="G1540" s="17">
        <f>+VLOOKUP($A1540,MAGAZZINO!$B$2:$M$4838,7,FALSE)</f>
        <v/>
      </c>
      <c r="H1540" s="17">
        <f>+VLOOKUP($A1540,MAGAZZINO!$B$2:$M$4838,8,FALSE)</f>
        <v/>
      </c>
      <c r="I1540" s="17">
        <f>+VLOOKUP($A1540,MAGAZZINO!$B$2:$M$4838,9,FALSE)</f>
        <v/>
      </c>
      <c r="J1540" s="17">
        <f>+VLOOKUP($A1540,MAGAZZINO!$B$2:$M$4838,10,FALSE)</f>
        <v/>
      </c>
      <c r="K1540" s="17">
        <f>+VLOOKUP($A1540,MAGAZZINO!$B$2:$M$4838,11,FALSE)</f>
        <v/>
      </c>
      <c r="L1540" s="44">
        <f>+VLOOKUP($A1540,MAGAZZINO!$B$2:$M$4838,12,FALSE)</f>
        <v/>
      </c>
    </row>
    <row r="1541" ht="36" customHeight="1">
      <c r="A1541" s="30">
        <f>+REGISTRO!A1524</f>
        <v/>
      </c>
      <c r="B1541" s="31">
        <f>+VLOOKUP($A1541,MAGAZZINO!$B$2:$M$4838,2,FALSE)</f>
        <v/>
      </c>
      <c r="C1541" s="32">
        <f>+VLOOKUP($A1541,MAGAZZINO!$B$2:$M$4838,3,FALSE)</f>
        <v/>
      </c>
      <c r="D1541" s="17">
        <f>+VLOOKUP($A1541,MAGAZZINO!$B$2:$M$4838,4,FALSE)</f>
        <v/>
      </c>
      <c r="E1541" s="17">
        <f>+VLOOKUP($A1541,MAGAZZINO!$B$2:$M$4838,5,FALSE)</f>
        <v/>
      </c>
      <c r="F1541" s="17">
        <f>+VLOOKUP($A1541,MAGAZZINO!$B$2:$M$4838,6,FALSE)</f>
        <v/>
      </c>
      <c r="G1541" s="17">
        <f>+VLOOKUP($A1541,MAGAZZINO!$B$2:$M$4838,7,FALSE)</f>
        <v/>
      </c>
      <c r="H1541" s="17">
        <f>+VLOOKUP($A1541,MAGAZZINO!$B$2:$M$4838,8,FALSE)</f>
        <v/>
      </c>
      <c r="I1541" s="17">
        <f>+VLOOKUP($A1541,MAGAZZINO!$B$2:$M$4838,9,FALSE)</f>
        <v/>
      </c>
      <c r="J1541" s="17">
        <f>+VLOOKUP($A1541,MAGAZZINO!$B$2:$M$4838,10,FALSE)</f>
        <v/>
      </c>
      <c r="K1541" s="17">
        <f>+VLOOKUP($A1541,MAGAZZINO!$B$2:$M$4838,11,FALSE)</f>
        <v/>
      </c>
      <c r="L1541" s="44">
        <f>+VLOOKUP($A1541,MAGAZZINO!$B$2:$M$4838,12,FALSE)</f>
        <v/>
      </c>
    </row>
    <row r="1542" ht="36" customHeight="1">
      <c r="A1542" s="30">
        <f>+REGISTRO!A1525</f>
        <v/>
      </c>
      <c r="B1542" s="31">
        <f>+VLOOKUP($A1542,MAGAZZINO!$B$2:$M$4838,2,FALSE)</f>
        <v/>
      </c>
      <c r="C1542" s="32">
        <f>+VLOOKUP($A1542,MAGAZZINO!$B$2:$M$4838,3,FALSE)</f>
        <v/>
      </c>
      <c r="D1542" s="17">
        <f>+VLOOKUP($A1542,MAGAZZINO!$B$2:$M$4838,4,FALSE)</f>
        <v/>
      </c>
      <c r="E1542" s="17">
        <f>+VLOOKUP($A1542,MAGAZZINO!$B$2:$M$4838,5,FALSE)</f>
        <v/>
      </c>
      <c r="F1542" s="17">
        <f>+VLOOKUP($A1542,MAGAZZINO!$B$2:$M$4838,6,FALSE)</f>
        <v/>
      </c>
      <c r="G1542" s="17">
        <f>+VLOOKUP($A1542,MAGAZZINO!$B$2:$M$4838,7,FALSE)</f>
        <v/>
      </c>
      <c r="H1542" s="17">
        <f>+VLOOKUP($A1542,MAGAZZINO!$B$2:$M$4838,8,FALSE)</f>
        <v/>
      </c>
      <c r="I1542" s="17">
        <f>+VLOOKUP($A1542,MAGAZZINO!$B$2:$M$4838,9,FALSE)</f>
        <v/>
      </c>
      <c r="J1542" s="17">
        <f>+VLOOKUP($A1542,MAGAZZINO!$B$2:$M$4838,10,FALSE)</f>
        <v/>
      </c>
      <c r="K1542" s="17">
        <f>+VLOOKUP($A1542,MAGAZZINO!$B$2:$M$4838,11,FALSE)</f>
        <v/>
      </c>
      <c r="L1542" s="44">
        <f>+VLOOKUP($A1542,MAGAZZINO!$B$2:$M$4838,12,FALSE)</f>
        <v/>
      </c>
    </row>
    <row r="1543" ht="36" customHeight="1">
      <c r="A1543" s="30">
        <f>+REGISTRO!A1526</f>
        <v/>
      </c>
      <c r="B1543" s="31">
        <f>+VLOOKUP($A1543,MAGAZZINO!$B$2:$M$4838,2,FALSE)</f>
        <v/>
      </c>
      <c r="C1543" s="32">
        <f>+VLOOKUP($A1543,MAGAZZINO!$B$2:$M$4838,3,FALSE)</f>
        <v/>
      </c>
      <c r="D1543" s="17">
        <f>+VLOOKUP($A1543,MAGAZZINO!$B$2:$M$4838,4,FALSE)</f>
        <v/>
      </c>
      <c r="E1543" s="17">
        <f>+VLOOKUP($A1543,MAGAZZINO!$B$2:$M$4838,5,FALSE)</f>
        <v/>
      </c>
      <c r="F1543" s="17">
        <f>+VLOOKUP($A1543,MAGAZZINO!$B$2:$M$4838,6,FALSE)</f>
        <v/>
      </c>
      <c r="G1543" s="17">
        <f>+VLOOKUP($A1543,MAGAZZINO!$B$2:$M$4838,7,FALSE)</f>
        <v/>
      </c>
      <c r="H1543" s="17">
        <f>+VLOOKUP($A1543,MAGAZZINO!$B$2:$M$4838,8,FALSE)</f>
        <v/>
      </c>
      <c r="I1543" s="17">
        <f>+VLOOKUP($A1543,MAGAZZINO!$B$2:$M$4838,9,FALSE)</f>
        <v/>
      </c>
      <c r="J1543" s="17">
        <f>+VLOOKUP($A1543,MAGAZZINO!$B$2:$M$4838,10,FALSE)</f>
        <v/>
      </c>
      <c r="K1543" s="17">
        <f>+VLOOKUP($A1543,MAGAZZINO!$B$2:$M$4838,11,FALSE)</f>
        <v/>
      </c>
      <c r="L1543" s="44">
        <f>+VLOOKUP($A1543,MAGAZZINO!$B$2:$M$4838,12,FALSE)</f>
        <v/>
      </c>
    </row>
    <row r="1544" ht="36" customHeight="1">
      <c r="A1544" s="30">
        <f>+REGISTRO!A1527</f>
        <v/>
      </c>
      <c r="B1544" s="31">
        <f>+VLOOKUP($A1544,MAGAZZINO!$B$2:$M$4838,2,FALSE)</f>
        <v/>
      </c>
      <c r="C1544" s="32">
        <f>+VLOOKUP($A1544,MAGAZZINO!$B$2:$M$4838,3,FALSE)</f>
        <v/>
      </c>
      <c r="D1544" s="17">
        <f>+VLOOKUP($A1544,MAGAZZINO!$B$2:$M$4838,4,FALSE)</f>
        <v/>
      </c>
      <c r="E1544" s="17">
        <f>+VLOOKUP($A1544,MAGAZZINO!$B$2:$M$4838,5,FALSE)</f>
        <v/>
      </c>
      <c r="F1544" s="17">
        <f>+VLOOKUP($A1544,MAGAZZINO!$B$2:$M$4838,6,FALSE)</f>
        <v/>
      </c>
      <c r="G1544" s="17">
        <f>+VLOOKUP($A1544,MAGAZZINO!$B$2:$M$4838,7,FALSE)</f>
        <v/>
      </c>
      <c r="H1544" s="17">
        <f>+VLOOKUP($A1544,MAGAZZINO!$B$2:$M$4838,8,FALSE)</f>
        <v/>
      </c>
      <c r="I1544" s="17">
        <f>+VLOOKUP($A1544,MAGAZZINO!$B$2:$M$4838,9,FALSE)</f>
        <v/>
      </c>
      <c r="J1544" s="17">
        <f>+VLOOKUP($A1544,MAGAZZINO!$B$2:$M$4838,10,FALSE)</f>
        <v/>
      </c>
      <c r="K1544" s="17">
        <f>+VLOOKUP($A1544,MAGAZZINO!$B$2:$M$4838,11,FALSE)</f>
        <v/>
      </c>
      <c r="L1544" s="44">
        <f>+VLOOKUP($A1544,MAGAZZINO!$B$2:$M$4838,12,FALSE)</f>
        <v/>
      </c>
    </row>
    <row r="1545" ht="36" customHeight="1">
      <c r="A1545" s="30">
        <f>+REGISTRO!A1528</f>
        <v/>
      </c>
      <c r="B1545" s="31">
        <f>+VLOOKUP($A1545,MAGAZZINO!$B$2:$M$4838,2,FALSE)</f>
        <v/>
      </c>
      <c r="C1545" s="32">
        <f>+VLOOKUP($A1545,MAGAZZINO!$B$2:$M$4838,3,FALSE)</f>
        <v/>
      </c>
      <c r="D1545" s="17">
        <f>+VLOOKUP($A1545,MAGAZZINO!$B$2:$M$4838,4,FALSE)</f>
        <v/>
      </c>
      <c r="E1545" s="17">
        <f>+VLOOKUP($A1545,MAGAZZINO!$B$2:$M$4838,5,FALSE)</f>
        <v/>
      </c>
      <c r="F1545" s="17">
        <f>+VLOOKUP($A1545,MAGAZZINO!$B$2:$M$4838,6,FALSE)</f>
        <v/>
      </c>
      <c r="G1545" s="17">
        <f>+VLOOKUP($A1545,MAGAZZINO!$B$2:$M$4838,7,FALSE)</f>
        <v/>
      </c>
      <c r="H1545" s="17">
        <f>+VLOOKUP($A1545,MAGAZZINO!$B$2:$M$4838,8,FALSE)</f>
        <v/>
      </c>
      <c r="I1545" s="17">
        <f>+VLOOKUP($A1545,MAGAZZINO!$B$2:$M$4838,9,FALSE)</f>
        <v/>
      </c>
      <c r="J1545" s="17">
        <f>+VLOOKUP($A1545,MAGAZZINO!$B$2:$M$4838,10,FALSE)</f>
        <v/>
      </c>
      <c r="K1545" s="17">
        <f>+VLOOKUP($A1545,MAGAZZINO!$B$2:$M$4838,11,FALSE)</f>
        <v/>
      </c>
      <c r="L1545" s="44">
        <f>+VLOOKUP($A1545,MAGAZZINO!$B$2:$M$4838,12,FALSE)</f>
        <v/>
      </c>
    </row>
    <row r="1546" ht="36" customHeight="1">
      <c r="A1546" s="30">
        <f>+REGISTRO!A1529</f>
        <v/>
      </c>
      <c r="B1546" s="31">
        <f>+VLOOKUP($A1546,MAGAZZINO!$B$2:$M$4838,2,FALSE)</f>
        <v/>
      </c>
      <c r="C1546" s="32">
        <f>+VLOOKUP($A1546,MAGAZZINO!$B$2:$M$4838,3,FALSE)</f>
        <v/>
      </c>
      <c r="D1546" s="17">
        <f>+VLOOKUP($A1546,MAGAZZINO!$B$2:$M$4838,4,FALSE)</f>
        <v/>
      </c>
      <c r="E1546" s="17">
        <f>+VLOOKUP($A1546,MAGAZZINO!$B$2:$M$4838,5,FALSE)</f>
        <v/>
      </c>
      <c r="F1546" s="17">
        <f>+VLOOKUP($A1546,MAGAZZINO!$B$2:$M$4838,6,FALSE)</f>
        <v/>
      </c>
      <c r="G1546" s="17">
        <f>+VLOOKUP($A1546,MAGAZZINO!$B$2:$M$4838,7,FALSE)</f>
        <v/>
      </c>
      <c r="H1546" s="17">
        <f>+VLOOKUP($A1546,MAGAZZINO!$B$2:$M$4838,8,FALSE)</f>
        <v/>
      </c>
      <c r="I1546" s="17">
        <f>+VLOOKUP($A1546,MAGAZZINO!$B$2:$M$4838,9,FALSE)</f>
        <v/>
      </c>
      <c r="J1546" s="17">
        <f>+VLOOKUP($A1546,MAGAZZINO!$B$2:$M$4838,10,FALSE)</f>
        <v/>
      </c>
      <c r="K1546" s="17">
        <f>+VLOOKUP($A1546,MAGAZZINO!$B$2:$M$4838,11,FALSE)</f>
        <v/>
      </c>
      <c r="L1546" s="44">
        <f>+VLOOKUP($A1546,MAGAZZINO!$B$2:$M$4838,12,FALSE)</f>
        <v/>
      </c>
    </row>
    <row r="1547" ht="36" customHeight="1">
      <c r="A1547" s="30">
        <f>+REGISTRO!A1530</f>
        <v/>
      </c>
      <c r="B1547" s="31">
        <f>+VLOOKUP($A1547,MAGAZZINO!$B$2:$M$4838,2,FALSE)</f>
        <v/>
      </c>
      <c r="C1547" s="32">
        <f>+VLOOKUP($A1547,MAGAZZINO!$B$2:$M$4838,3,FALSE)</f>
        <v/>
      </c>
      <c r="D1547" s="17">
        <f>+VLOOKUP($A1547,MAGAZZINO!$B$2:$M$4838,4,FALSE)</f>
        <v/>
      </c>
      <c r="E1547" s="17">
        <f>+VLOOKUP($A1547,MAGAZZINO!$B$2:$M$4838,5,FALSE)</f>
        <v/>
      </c>
      <c r="F1547" s="17">
        <f>+VLOOKUP($A1547,MAGAZZINO!$B$2:$M$4838,6,FALSE)</f>
        <v/>
      </c>
      <c r="G1547" s="17">
        <f>+VLOOKUP($A1547,MAGAZZINO!$B$2:$M$4838,7,FALSE)</f>
        <v/>
      </c>
      <c r="H1547" s="17">
        <f>+VLOOKUP($A1547,MAGAZZINO!$B$2:$M$4838,8,FALSE)</f>
        <v/>
      </c>
      <c r="I1547" s="17">
        <f>+VLOOKUP($A1547,MAGAZZINO!$B$2:$M$4838,9,FALSE)</f>
        <v/>
      </c>
      <c r="J1547" s="17">
        <f>+VLOOKUP($A1547,MAGAZZINO!$B$2:$M$4838,10,FALSE)</f>
        <v/>
      </c>
      <c r="K1547" s="17">
        <f>+VLOOKUP($A1547,MAGAZZINO!$B$2:$M$4838,11,FALSE)</f>
        <v/>
      </c>
      <c r="L1547" s="44">
        <f>+VLOOKUP($A1547,MAGAZZINO!$B$2:$M$4838,12,FALSE)</f>
        <v/>
      </c>
    </row>
    <row r="1548" ht="36" customHeight="1">
      <c r="A1548" s="30">
        <f>+REGISTRO!A1531</f>
        <v/>
      </c>
      <c r="B1548" s="31">
        <f>+VLOOKUP($A1548,MAGAZZINO!$B$2:$M$4838,2,FALSE)</f>
        <v/>
      </c>
      <c r="C1548" s="32">
        <f>+VLOOKUP($A1548,MAGAZZINO!$B$2:$M$4838,3,FALSE)</f>
        <v/>
      </c>
      <c r="D1548" s="17">
        <f>+VLOOKUP($A1548,MAGAZZINO!$B$2:$M$4838,4,FALSE)</f>
        <v/>
      </c>
      <c r="E1548" s="17">
        <f>+VLOOKUP($A1548,MAGAZZINO!$B$2:$M$4838,5,FALSE)</f>
        <v/>
      </c>
      <c r="F1548" s="17">
        <f>+VLOOKUP($A1548,MAGAZZINO!$B$2:$M$4838,6,FALSE)</f>
        <v/>
      </c>
      <c r="G1548" s="17">
        <f>+VLOOKUP($A1548,MAGAZZINO!$B$2:$M$4838,7,FALSE)</f>
        <v/>
      </c>
      <c r="H1548" s="17">
        <f>+VLOOKUP($A1548,MAGAZZINO!$B$2:$M$4838,8,FALSE)</f>
        <v/>
      </c>
      <c r="I1548" s="17">
        <f>+VLOOKUP($A1548,MAGAZZINO!$B$2:$M$4838,9,FALSE)</f>
        <v/>
      </c>
      <c r="J1548" s="17">
        <f>+VLOOKUP($A1548,MAGAZZINO!$B$2:$M$4838,10,FALSE)</f>
        <v/>
      </c>
      <c r="K1548" s="17">
        <f>+VLOOKUP($A1548,MAGAZZINO!$B$2:$M$4838,11,FALSE)</f>
        <v/>
      </c>
      <c r="L1548" s="44">
        <f>+VLOOKUP($A1548,MAGAZZINO!$B$2:$M$4838,12,FALSE)</f>
        <v/>
      </c>
    </row>
    <row r="1549" ht="36" customHeight="1">
      <c r="A1549" s="30">
        <f>+REGISTRO!A1532</f>
        <v/>
      </c>
      <c r="B1549" s="31">
        <f>+VLOOKUP($A1549,MAGAZZINO!$B$2:$M$4838,2,FALSE)</f>
        <v/>
      </c>
      <c r="C1549" s="32">
        <f>+VLOOKUP($A1549,MAGAZZINO!$B$2:$M$4838,3,FALSE)</f>
        <v/>
      </c>
      <c r="D1549" s="17">
        <f>+VLOOKUP($A1549,MAGAZZINO!$B$2:$M$4838,4,FALSE)</f>
        <v/>
      </c>
      <c r="E1549" s="17">
        <f>+VLOOKUP($A1549,MAGAZZINO!$B$2:$M$4838,5,FALSE)</f>
        <v/>
      </c>
      <c r="F1549" s="17">
        <f>+VLOOKUP($A1549,MAGAZZINO!$B$2:$M$4838,6,FALSE)</f>
        <v/>
      </c>
      <c r="G1549" s="17">
        <f>+VLOOKUP($A1549,MAGAZZINO!$B$2:$M$4838,7,FALSE)</f>
        <v/>
      </c>
      <c r="H1549" s="17">
        <f>+VLOOKUP($A1549,MAGAZZINO!$B$2:$M$4838,8,FALSE)</f>
        <v/>
      </c>
      <c r="I1549" s="17">
        <f>+VLOOKUP($A1549,MAGAZZINO!$B$2:$M$4838,9,FALSE)</f>
        <v/>
      </c>
      <c r="J1549" s="17">
        <f>+VLOOKUP($A1549,MAGAZZINO!$B$2:$M$4838,10,FALSE)</f>
        <v/>
      </c>
      <c r="K1549" s="17">
        <f>+VLOOKUP($A1549,MAGAZZINO!$B$2:$M$4838,11,FALSE)</f>
        <v/>
      </c>
      <c r="L1549" s="44">
        <f>+VLOOKUP($A1549,MAGAZZINO!$B$2:$M$4838,12,FALSE)</f>
        <v/>
      </c>
    </row>
    <row r="1550" ht="36" customHeight="1">
      <c r="A1550" s="30">
        <f>+REGISTRO!A1533</f>
        <v/>
      </c>
      <c r="B1550" s="31">
        <f>+VLOOKUP($A1550,MAGAZZINO!$B$2:$M$4838,2,FALSE)</f>
        <v/>
      </c>
      <c r="C1550" s="32">
        <f>+VLOOKUP($A1550,MAGAZZINO!$B$2:$M$4838,3,FALSE)</f>
        <v/>
      </c>
      <c r="D1550" s="17">
        <f>+VLOOKUP($A1550,MAGAZZINO!$B$2:$M$4838,4,FALSE)</f>
        <v/>
      </c>
      <c r="E1550" s="17">
        <f>+VLOOKUP($A1550,MAGAZZINO!$B$2:$M$4838,5,FALSE)</f>
        <v/>
      </c>
      <c r="F1550" s="17">
        <f>+VLOOKUP($A1550,MAGAZZINO!$B$2:$M$4838,6,FALSE)</f>
        <v/>
      </c>
      <c r="G1550" s="17">
        <f>+VLOOKUP($A1550,MAGAZZINO!$B$2:$M$4838,7,FALSE)</f>
        <v/>
      </c>
      <c r="H1550" s="17">
        <f>+VLOOKUP($A1550,MAGAZZINO!$B$2:$M$4838,8,FALSE)</f>
        <v/>
      </c>
      <c r="I1550" s="17">
        <f>+VLOOKUP($A1550,MAGAZZINO!$B$2:$M$4838,9,FALSE)</f>
        <v/>
      </c>
      <c r="J1550" s="17">
        <f>+VLOOKUP($A1550,MAGAZZINO!$B$2:$M$4838,10,FALSE)</f>
        <v/>
      </c>
      <c r="K1550" s="17">
        <f>+VLOOKUP($A1550,MAGAZZINO!$B$2:$M$4838,11,FALSE)</f>
        <v/>
      </c>
      <c r="L1550" s="44">
        <f>+VLOOKUP($A1550,MAGAZZINO!$B$2:$M$4838,12,FALSE)</f>
        <v/>
      </c>
    </row>
    <row r="1551" ht="36" customHeight="1">
      <c r="A1551" s="30">
        <f>+REGISTRO!A1534</f>
        <v/>
      </c>
      <c r="B1551" s="31">
        <f>+VLOOKUP($A1551,MAGAZZINO!$B$2:$M$4838,2,FALSE)</f>
        <v/>
      </c>
      <c r="C1551" s="32">
        <f>+VLOOKUP($A1551,MAGAZZINO!$B$2:$M$4838,3,FALSE)</f>
        <v/>
      </c>
      <c r="D1551" s="17">
        <f>+VLOOKUP($A1551,MAGAZZINO!$B$2:$M$4838,4,FALSE)</f>
        <v/>
      </c>
      <c r="E1551" s="17">
        <f>+VLOOKUP($A1551,MAGAZZINO!$B$2:$M$4838,5,FALSE)</f>
        <v/>
      </c>
      <c r="F1551" s="17">
        <f>+VLOOKUP($A1551,MAGAZZINO!$B$2:$M$4838,6,FALSE)</f>
        <v/>
      </c>
      <c r="G1551" s="17">
        <f>+VLOOKUP($A1551,MAGAZZINO!$B$2:$M$4838,7,FALSE)</f>
        <v/>
      </c>
      <c r="H1551" s="17">
        <f>+VLOOKUP($A1551,MAGAZZINO!$B$2:$M$4838,8,FALSE)</f>
        <v/>
      </c>
      <c r="I1551" s="17">
        <f>+VLOOKUP($A1551,MAGAZZINO!$B$2:$M$4838,9,FALSE)</f>
        <v/>
      </c>
      <c r="J1551" s="17">
        <f>+VLOOKUP($A1551,MAGAZZINO!$B$2:$M$4838,10,FALSE)</f>
        <v/>
      </c>
      <c r="K1551" s="17">
        <f>+VLOOKUP($A1551,MAGAZZINO!$B$2:$M$4838,11,FALSE)</f>
        <v/>
      </c>
      <c r="L1551" s="44">
        <f>+VLOOKUP($A1551,MAGAZZINO!$B$2:$M$4838,12,FALSE)</f>
        <v/>
      </c>
    </row>
    <row r="1552" ht="36" customHeight="1">
      <c r="A1552" s="30">
        <f>+REGISTRO!A1535</f>
        <v/>
      </c>
      <c r="B1552" s="31">
        <f>+VLOOKUP($A1552,MAGAZZINO!$B$2:$M$4838,2,FALSE)</f>
        <v/>
      </c>
      <c r="C1552" s="32">
        <f>+VLOOKUP($A1552,MAGAZZINO!$B$2:$M$4838,3,FALSE)</f>
        <v/>
      </c>
      <c r="D1552" s="17">
        <f>+VLOOKUP($A1552,MAGAZZINO!$B$2:$M$4838,4,FALSE)</f>
        <v/>
      </c>
      <c r="E1552" s="17">
        <f>+VLOOKUP($A1552,MAGAZZINO!$B$2:$M$4838,5,FALSE)</f>
        <v/>
      </c>
      <c r="F1552" s="17">
        <f>+VLOOKUP($A1552,MAGAZZINO!$B$2:$M$4838,6,FALSE)</f>
        <v/>
      </c>
      <c r="G1552" s="17">
        <f>+VLOOKUP($A1552,MAGAZZINO!$B$2:$M$4838,7,FALSE)</f>
        <v/>
      </c>
      <c r="H1552" s="17">
        <f>+VLOOKUP($A1552,MAGAZZINO!$B$2:$M$4838,8,FALSE)</f>
        <v/>
      </c>
      <c r="I1552" s="17">
        <f>+VLOOKUP($A1552,MAGAZZINO!$B$2:$M$4838,9,FALSE)</f>
        <v/>
      </c>
      <c r="J1552" s="17">
        <f>+VLOOKUP($A1552,MAGAZZINO!$B$2:$M$4838,10,FALSE)</f>
        <v/>
      </c>
      <c r="K1552" s="17">
        <f>+VLOOKUP($A1552,MAGAZZINO!$B$2:$M$4838,11,FALSE)</f>
        <v/>
      </c>
      <c r="L1552" s="44">
        <f>+VLOOKUP($A1552,MAGAZZINO!$B$2:$M$4838,12,FALSE)</f>
        <v/>
      </c>
    </row>
    <row r="1553" ht="36" customHeight="1">
      <c r="A1553" s="30">
        <f>+REGISTRO!A1536</f>
        <v/>
      </c>
      <c r="B1553" s="31">
        <f>+VLOOKUP($A1553,MAGAZZINO!$B$2:$M$4838,2,FALSE)</f>
        <v/>
      </c>
      <c r="C1553" s="32">
        <f>+VLOOKUP($A1553,MAGAZZINO!$B$2:$M$4838,3,FALSE)</f>
        <v/>
      </c>
      <c r="D1553" s="17">
        <f>+VLOOKUP($A1553,MAGAZZINO!$B$2:$M$4838,4,FALSE)</f>
        <v/>
      </c>
      <c r="E1553" s="17">
        <f>+VLOOKUP($A1553,MAGAZZINO!$B$2:$M$4838,5,FALSE)</f>
        <v/>
      </c>
      <c r="F1553" s="17">
        <f>+VLOOKUP($A1553,MAGAZZINO!$B$2:$M$4838,6,FALSE)</f>
        <v/>
      </c>
      <c r="G1553" s="17">
        <f>+VLOOKUP($A1553,MAGAZZINO!$B$2:$M$4838,7,FALSE)</f>
        <v/>
      </c>
      <c r="H1553" s="17">
        <f>+VLOOKUP($A1553,MAGAZZINO!$B$2:$M$4838,8,FALSE)</f>
        <v/>
      </c>
      <c r="I1553" s="17">
        <f>+VLOOKUP($A1553,MAGAZZINO!$B$2:$M$4838,9,FALSE)</f>
        <v/>
      </c>
      <c r="J1553" s="17">
        <f>+VLOOKUP($A1553,MAGAZZINO!$B$2:$M$4838,10,FALSE)</f>
        <v/>
      </c>
      <c r="K1553" s="17">
        <f>+VLOOKUP($A1553,MAGAZZINO!$B$2:$M$4838,11,FALSE)</f>
        <v/>
      </c>
      <c r="L1553" s="44">
        <f>+VLOOKUP($A1553,MAGAZZINO!$B$2:$M$4838,12,FALSE)</f>
        <v/>
      </c>
    </row>
    <row r="1554" ht="36" customHeight="1">
      <c r="A1554" s="30">
        <f>+REGISTRO!A1537</f>
        <v/>
      </c>
      <c r="B1554" s="31">
        <f>+VLOOKUP($A1554,MAGAZZINO!$B$2:$M$4838,2,FALSE)</f>
        <v/>
      </c>
      <c r="C1554" s="32">
        <f>+VLOOKUP($A1554,MAGAZZINO!$B$2:$M$4838,3,FALSE)</f>
        <v/>
      </c>
      <c r="D1554" s="17">
        <f>+VLOOKUP($A1554,MAGAZZINO!$B$2:$M$4838,4,FALSE)</f>
        <v/>
      </c>
      <c r="E1554" s="17">
        <f>+VLOOKUP($A1554,MAGAZZINO!$B$2:$M$4838,5,FALSE)</f>
        <v/>
      </c>
      <c r="F1554" s="17">
        <f>+VLOOKUP($A1554,MAGAZZINO!$B$2:$M$4838,6,FALSE)</f>
        <v/>
      </c>
      <c r="G1554" s="17">
        <f>+VLOOKUP($A1554,MAGAZZINO!$B$2:$M$4838,7,FALSE)</f>
        <v/>
      </c>
      <c r="H1554" s="17">
        <f>+VLOOKUP($A1554,MAGAZZINO!$B$2:$M$4838,8,FALSE)</f>
        <v/>
      </c>
      <c r="I1554" s="17">
        <f>+VLOOKUP($A1554,MAGAZZINO!$B$2:$M$4838,9,FALSE)</f>
        <v/>
      </c>
      <c r="J1554" s="17">
        <f>+VLOOKUP($A1554,MAGAZZINO!$B$2:$M$4838,10,FALSE)</f>
        <v/>
      </c>
      <c r="K1554" s="17">
        <f>+VLOOKUP($A1554,MAGAZZINO!$B$2:$M$4838,11,FALSE)</f>
        <v/>
      </c>
      <c r="L1554" s="44">
        <f>+VLOOKUP($A1554,MAGAZZINO!$B$2:$M$4838,12,FALSE)</f>
        <v/>
      </c>
    </row>
    <row r="1555" ht="36" customHeight="1">
      <c r="A1555" s="30">
        <f>+REGISTRO!A1538</f>
        <v/>
      </c>
      <c r="B1555" s="31">
        <f>+VLOOKUP($A1555,MAGAZZINO!$B$2:$M$4838,2,FALSE)</f>
        <v/>
      </c>
      <c r="C1555" s="32">
        <f>+VLOOKUP($A1555,MAGAZZINO!$B$2:$M$4838,3,FALSE)</f>
        <v/>
      </c>
      <c r="D1555" s="17">
        <f>+VLOOKUP($A1555,MAGAZZINO!$B$2:$M$4838,4,FALSE)</f>
        <v/>
      </c>
      <c r="E1555" s="17">
        <f>+VLOOKUP($A1555,MAGAZZINO!$B$2:$M$4838,5,FALSE)</f>
        <v/>
      </c>
      <c r="F1555" s="17">
        <f>+VLOOKUP($A1555,MAGAZZINO!$B$2:$M$4838,6,FALSE)</f>
        <v/>
      </c>
      <c r="G1555" s="17">
        <f>+VLOOKUP($A1555,MAGAZZINO!$B$2:$M$4838,7,FALSE)</f>
        <v/>
      </c>
      <c r="H1555" s="17">
        <f>+VLOOKUP($A1555,MAGAZZINO!$B$2:$M$4838,8,FALSE)</f>
        <v/>
      </c>
      <c r="I1555" s="17">
        <f>+VLOOKUP($A1555,MAGAZZINO!$B$2:$M$4838,9,FALSE)</f>
        <v/>
      </c>
      <c r="J1555" s="17">
        <f>+VLOOKUP($A1555,MAGAZZINO!$B$2:$M$4838,10,FALSE)</f>
        <v/>
      </c>
      <c r="K1555" s="17">
        <f>+VLOOKUP($A1555,MAGAZZINO!$B$2:$M$4838,11,FALSE)</f>
        <v/>
      </c>
      <c r="L1555" s="44">
        <f>+VLOOKUP($A1555,MAGAZZINO!$B$2:$M$4838,12,FALSE)</f>
        <v/>
      </c>
    </row>
    <row r="1556" ht="36" customHeight="1">
      <c r="A1556" s="30">
        <f>+REGISTRO!A1539</f>
        <v/>
      </c>
      <c r="B1556" s="31">
        <f>+VLOOKUP($A1556,MAGAZZINO!$B$2:$M$4838,2,FALSE)</f>
        <v/>
      </c>
      <c r="C1556" s="32">
        <f>+VLOOKUP($A1556,MAGAZZINO!$B$2:$M$4838,3,FALSE)</f>
        <v/>
      </c>
      <c r="D1556" s="17">
        <f>+VLOOKUP($A1556,MAGAZZINO!$B$2:$M$4838,4,FALSE)</f>
        <v/>
      </c>
      <c r="E1556" s="17">
        <f>+VLOOKUP($A1556,MAGAZZINO!$B$2:$M$4838,5,FALSE)</f>
        <v/>
      </c>
      <c r="F1556" s="17">
        <f>+VLOOKUP($A1556,MAGAZZINO!$B$2:$M$4838,6,FALSE)</f>
        <v/>
      </c>
      <c r="G1556" s="17">
        <f>+VLOOKUP($A1556,MAGAZZINO!$B$2:$M$4838,7,FALSE)</f>
        <v/>
      </c>
      <c r="H1556" s="17">
        <f>+VLOOKUP($A1556,MAGAZZINO!$B$2:$M$4838,8,FALSE)</f>
        <v/>
      </c>
      <c r="I1556" s="17">
        <f>+VLOOKUP($A1556,MAGAZZINO!$B$2:$M$4838,9,FALSE)</f>
        <v/>
      </c>
      <c r="J1556" s="17">
        <f>+VLOOKUP($A1556,MAGAZZINO!$B$2:$M$4838,10,FALSE)</f>
        <v/>
      </c>
      <c r="K1556" s="17">
        <f>+VLOOKUP($A1556,MAGAZZINO!$B$2:$M$4838,11,FALSE)</f>
        <v/>
      </c>
      <c r="L1556" s="44">
        <f>+VLOOKUP($A1556,MAGAZZINO!$B$2:$M$4838,12,FALSE)</f>
        <v/>
      </c>
    </row>
    <row r="1557" ht="36" customHeight="1">
      <c r="A1557" s="30">
        <f>+REGISTRO!A1540</f>
        <v/>
      </c>
      <c r="B1557" s="31">
        <f>+VLOOKUP($A1557,MAGAZZINO!$B$2:$M$4838,2,FALSE)</f>
        <v/>
      </c>
      <c r="C1557" s="32">
        <f>+VLOOKUP($A1557,MAGAZZINO!$B$2:$M$4838,3,FALSE)</f>
        <v/>
      </c>
      <c r="D1557" s="17">
        <f>+VLOOKUP($A1557,MAGAZZINO!$B$2:$M$4838,4,FALSE)</f>
        <v/>
      </c>
      <c r="E1557" s="17">
        <f>+VLOOKUP($A1557,MAGAZZINO!$B$2:$M$4838,5,FALSE)</f>
        <v/>
      </c>
      <c r="F1557" s="17">
        <f>+VLOOKUP($A1557,MAGAZZINO!$B$2:$M$4838,6,FALSE)</f>
        <v/>
      </c>
      <c r="G1557" s="17">
        <f>+VLOOKUP($A1557,MAGAZZINO!$B$2:$M$4838,7,FALSE)</f>
        <v/>
      </c>
      <c r="H1557" s="17">
        <f>+VLOOKUP($A1557,MAGAZZINO!$B$2:$M$4838,8,FALSE)</f>
        <v/>
      </c>
      <c r="I1557" s="17">
        <f>+VLOOKUP($A1557,MAGAZZINO!$B$2:$M$4838,9,FALSE)</f>
        <v/>
      </c>
      <c r="J1557" s="17">
        <f>+VLOOKUP($A1557,MAGAZZINO!$B$2:$M$4838,10,FALSE)</f>
        <v/>
      </c>
      <c r="K1557" s="17">
        <f>+VLOOKUP($A1557,MAGAZZINO!$B$2:$M$4838,11,FALSE)</f>
        <v/>
      </c>
      <c r="L1557" s="44">
        <f>+VLOOKUP($A1557,MAGAZZINO!$B$2:$M$4838,12,FALSE)</f>
        <v/>
      </c>
    </row>
    <row r="1558" ht="36" customHeight="1">
      <c r="A1558" s="30">
        <f>+REGISTRO!A1541</f>
        <v/>
      </c>
      <c r="B1558" s="31">
        <f>+VLOOKUP($A1558,MAGAZZINO!$B$2:$M$4838,2,FALSE)</f>
        <v/>
      </c>
      <c r="C1558" s="32">
        <f>+VLOOKUP($A1558,MAGAZZINO!$B$2:$M$4838,3,FALSE)</f>
        <v/>
      </c>
      <c r="D1558" s="17">
        <f>+VLOOKUP($A1558,MAGAZZINO!$B$2:$M$4838,4,FALSE)</f>
        <v/>
      </c>
      <c r="E1558" s="17">
        <f>+VLOOKUP($A1558,MAGAZZINO!$B$2:$M$4838,5,FALSE)</f>
        <v/>
      </c>
      <c r="F1558" s="17">
        <f>+VLOOKUP($A1558,MAGAZZINO!$B$2:$M$4838,6,FALSE)</f>
        <v/>
      </c>
      <c r="G1558" s="17">
        <f>+VLOOKUP($A1558,MAGAZZINO!$B$2:$M$4838,7,FALSE)</f>
        <v/>
      </c>
      <c r="H1558" s="17">
        <f>+VLOOKUP($A1558,MAGAZZINO!$B$2:$M$4838,8,FALSE)</f>
        <v/>
      </c>
      <c r="I1558" s="17">
        <f>+VLOOKUP($A1558,MAGAZZINO!$B$2:$M$4838,9,FALSE)</f>
        <v/>
      </c>
      <c r="J1558" s="17">
        <f>+VLOOKUP($A1558,MAGAZZINO!$B$2:$M$4838,10,FALSE)</f>
        <v/>
      </c>
      <c r="K1558" s="17">
        <f>+VLOOKUP($A1558,MAGAZZINO!$B$2:$M$4838,11,FALSE)</f>
        <v/>
      </c>
      <c r="L1558" s="44">
        <f>+VLOOKUP($A1558,MAGAZZINO!$B$2:$M$4838,12,FALSE)</f>
        <v/>
      </c>
    </row>
    <row r="1559" ht="36" customHeight="1">
      <c r="A1559" s="30">
        <f>+REGISTRO!A1542</f>
        <v/>
      </c>
      <c r="B1559" s="31">
        <f>+VLOOKUP($A1559,MAGAZZINO!$B$2:$M$4838,2,FALSE)</f>
        <v/>
      </c>
      <c r="C1559" s="32">
        <f>+VLOOKUP($A1559,MAGAZZINO!$B$2:$M$4838,3,FALSE)</f>
        <v/>
      </c>
      <c r="D1559" s="17">
        <f>+VLOOKUP($A1559,MAGAZZINO!$B$2:$M$4838,4,FALSE)</f>
        <v/>
      </c>
      <c r="E1559" s="17">
        <f>+VLOOKUP($A1559,MAGAZZINO!$B$2:$M$4838,5,FALSE)</f>
        <v/>
      </c>
      <c r="F1559" s="17">
        <f>+VLOOKUP($A1559,MAGAZZINO!$B$2:$M$4838,6,FALSE)</f>
        <v/>
      </c>
      <c r="G1559" s="17">
        <f>+VLOOKUP($A1559,MAGAZZINO!$B$2:$M$4838,7,FALSE)</f>
        <v/>
      </c>
      <c r="H1559" s="17">
        <f>+VLOOKUP($A1559,MAGAZZINO!$B$2:$M$4838,8,FALSE)</f>
        <v/>
      </c>
      <c r="I1559" s="17">
        <f>+VLOOKUP($A1559,MAGAZZINO!$B$2:$M$4838,9,FALSE)</f>
        <v/>
      </c>
      <c r="J1559" s="17">
        <f>+VLOOKUP($A1559,MAGAZZINO!$B$2:$M$4838,10,FALSE)</f>
        <v/>
      </c>
      <c r="K1559" s="17">
        <f>+VLOOKUP($A1559,MAGAZZINO!$B$2:$M$4838,11,FALSE)</f>
        <v/>
      </c>
      <c r="L1559" s="44">
        <f>+VLOOKUP($A1559,MAGAZZINO!$B$2:$M$4838,12,FALSE)</f>
        <v/>
      </c>
    </row>
    <row r="1560" ht="36" customHeight="1">
      <c r="A1560" s="30">
        <f>+REGISTRO!A1543</f>
        <v/>
      </c>
      <c r="B1560" s="31">
        <f>+VLOOKUP($A1560,MAGAZZINO!$B$2:$M$4838,2,FALSE)</f>
        <v/>
      </c>
      <c r="C1560" s="32">
        <f>+VLOOKUP($A1560,MAGAZZINO!$B$2:$M$4838,3,FALSE)</f>
        <v/>
      </c>
      <c r="D1560" s="17">
        <f>+VLOOKUP($A1560,MAGAZZINO!$B$2:$M$4838,4,FALSE)</f>
        <v/>
      </c>
      <c r="E1560" s="17">
        <f>+VLOOKUP($A1560,MAGAZZINO!$B$2:$M$4838,5,FALSE)</f>
        <v/>
      </c>
      <c r="F1560" s="17">
        <f>+VLOOKUP($A1560,MAGAZZINO!$B$2:$M$4838,6,FALSE)</f>
        <v/>
      </c>
      <c r="G1560" s="17">
        <f>+VLOOKUP($A1560,MAGAZZINO!$B$2:$M$4838,7,FALSE)</f>
        <v/>
      </c>
      <c r="H1560" s="17">
        <f>+VLOOKUP($A1560,MAGAZZINO!$B$2:$M$4838,8,FALSE)</f>
        <v/>
      </c>
      <c r="I1560" s="17">
        <f>+VLOOKUP($A1560,MAGAZZINO!$B$2:$M$4838,9,FALSE)</f>
        <v/>
      </c>
      <c r="J1560" s="17">
        <f>+VLOOKUP($A1560,MAGAZZINO!$B$2:$M$4838,10,FALSE)</f>
        <v/>
      </c>
      <c r="K1560" s="17">
        <f>+VLOOKUP($A1560,MAGAZZINO!$B$2:$M$4838,11,FALSE)</f>
        <v/>
      </c>
      <c r="L1560" s="44">
        <f>+VLOOKUP($A1560,MAGAZZINO!$B$2:$M$4838,12,FALSE)</f>
        <v/>
      </c>
    </row>
    <row r="1561" ht="36" customHeight="1">
      <c r="A1561" s="30">
        <f>+REGISTRO!A1544</f>
        <v/>
      </c>
      <c r="B1561" s="31">
        <f>+VLOOKUP($A1561,MAGAZZINO!$B$2:$M$4838,2,FALSE)</f>
        <v/>
      </c>
      <c r="C1561" s="32">
        <f>+VLOOKUP($A1561,MAGAZZINO!$B$2:$M$4838,3,FALSE)</f>
        <v/>
      </c>
      <c r="D1561" s="17">
        <f>+VLOOKUP($A1561,MAGAZZINO!$B$2:$M$4838,4,FALSE)</f>
        <v/>
      </c>
      <c r="E1561" s="17">
        <f>+VLOOKUP($A1561,MAGAZZINO!$B$2:$M$4838,5,FALSE)</f>
        <v/>
      </c>
      <c r="F1561" s="17">
        <f>+VLOOKUP($A1561,MAGAZZINO!$B$2:$M$4838,6,FALSE)</f>
        <v/>
      </c>
      <c r="G1561" s="17">
        <f>+VLOOKUP($A1561,MAGAZZINO!$B$2:$M$4838,7,FALSE)</f>
        <v/>
      </c>
      <c r="H1561" s="17">
        <f>+VLOOKUP($A1561,MAGAZZINO!$B$2:$M$4838,8,FALSE)</f>
        <v/>
      </c>
      <c r="I1561" s="17">
        <f>+VLOOKUP($A1561,MAGAZZINO!$B$2:$M$4838,9,FALSE)</f>
        <v/>
      </c>
      <c r="J1561" s="17">
        <f>+VLOOKUP($A1561,MAGAZZINO!$B$2:$M$4838,10,FALSE)</f>
        <v/>
      </c>
      <c r="K1561" s="17">
        <f>+VLOOKUP($A1561,MAGAZZINO!$B$2:$M$4838,11,FALSE)</f>
        <v/>
      </c>
      <c r="L1561" s="44">
        <f>+VLOOKUP($A1561,MAGAZZINO!$B$2:$M$4838,12,FALSE)</f>
        <v/>
      </c>
    </row>
    <row r="1562" ht="36" customHeight="1">
      <c r="A1562" s="30">
        <f>+REGISTRO!A1545</f>
        <v/>
      </c>
      <c r="B1562" s="31">
        <f>+VLOOKUP($A1562,MAGAZZINO!$B$2:$M$4838,2,FALSE)</f>
        <v/>
      </c>
      <c r="C1562" s="32">
        <f>+VLOOKUP($A1562,MAGAZZINO!$B$2:$M$4838,3,FALSE)</f>
        <v/>
      </c>
      <c r="D1562" s="17">
        <f>+VLOOKUP($A1562,MAGAZZINO!$B$2:$M$4838,4,FALSE)</f>
        <v/>
      </c>
      <c r="E1562" s="17">
        <f>+VLOOKUP($A1562,MAGAZZINO!$B$2:$M$4838,5,FALSE)</f>
        <v/>
      </c>
      <c r="F1562" s="17">
        <f>+VLOOKUP($A1562,MAGAZZINO!$B$2:$M$4838,6,FALSE)</f>
        <v/>
      </c>
      <c r="G1562" s="17">
        <f>+VLOOKUP($A1562,MAGAZZINO!$B$2:$M$4838,7,FALSE)</f>
        <v/>
      </c>
      <c r="H1562" s="17">
        <f>+VLOOKUP($A1562,MAGAZZINO!$B$2:$M$4838,8,FALSE)</f>
        <v/>
      </c>
      <c r="I1562" s="17">
        <f>+VLOOKUP($A1562,MAGAZZINO!$B$2:$M$4838,9,FALSE)</f>
        <v/>
      </c>
      <c r="J1562" s="17">
        <f>+VLOOKUP($A1562,MAGAZZINO!$B$2:$M$4838,10,FALSE)</f>
        <v/>
      </c>
      <c r="K1562" s="17">
        <f>+VLOOKUP($A1562,MAGAZZINO!$B$2:$M$4838,11,FALSE)</f>
        <v/>
      </c>
      <c r="L1562" s="44">
        <f>+VLOOKUP($A1562,MAGAZZINO!$B$2:$M$4838,12,FALSE)</f>
        <v/>
      </c>
    </row>
    <row r="1563" ht="36" customHeight="1">
      <c r="A1563" s="30">
        <f>+REGISTRO!A1546</f>
        <v/>
      </c>
      <c r="B1563" s="31">
        <f>+VLOOKUP($A1563,MAGAZZINO!$B$2:$M$4838,2,FALSE)</f>
        <v/>
      </c>
      <c r="C1563" s="32">
        <f>+VLOOKUP($A1563,MAGAZZINO!$B$2:$M$4838,3,FALSE)</f>
        <v/>
      </c>
      <c r="D1563" s="17">
        <f>+VLOOKUP($A1563,MAGAZZINO!$B$2:$M$4838,4,FALSE)</f>
        <v/>
      </c>
      <c r="E1563" s="17">
        <f>+VLOOKUP($A1563,MAGAZZINO!$B$2:$M$4838,5,FALSE)</f>
        <v/>
      </c>
      <c r="F1563" s="17">
        <f>+VLOOKUP($A1563,MAGAZZINO!$B$2:$M$4838,6,FALSE)</f>
        <v/>
      </c>
      <c r="G1563" s="17">
        <f>+VLOOKUP($A1563,MAGAZZINO!$B$2:$M$4838,7,FALSE)</f>
        <v/>
      </c>
      <c r="H1563" s="17">
        <f>+VLOOKUP($A1563,MAGAZZINO!$B$2:$M$4838,8,FALSE)</f>
        <v/>
      </c>
      <c r="I1563" s="17">
        <f>+VLOOKUP($A1563,MAGAZZINO!$B$2:$M$4838,9,FALSE)</f>
        <v/>
      </c>
      <c r="J1563" s="17">
        <f>+VLOOKUP($A1563,MAGAZZINO!$B$2:$M$4838,10,FALSE)</f>
        <v/>
      </c>
      <c r="K1563" s="17">
        <f>+VLOOKUP($A1563,MAGAZZINO!$B$2:$M$4838,11,FALSE)</f>
        <v/>
      </c>
      <c r="L1563" s="44">
        <f>+VLOOKUP($A1563,MAGAZZINO!$B$2:$M$4838,12,FALSE)</f>
        <v/>
      </c>
    </row>
    <row r="1564" ht="36" customHeight="1">
      <c r="A1564" s="30">
        <f>+REGISTRO!A1547</f>
        <v/>
      </c>
      <c r="B1564" s="31">
        <f>+VLOOKUP($A1564,MAGAZZINO!$B$2:$M$4838,2,FALSE)</f>
        <v/>
      </c>
      <c r="C1564" s="32">
        <f>+VLOOKUP($A1564,MAGAZZINO!$B$2:$M$4838,3,FALSE)</f>
        <v/>
      </c>
      <c r="D1564" s="17">
        <f>+VLOOKUP($A1564,MAGAZZINO!$B$2:$M$4838,4,FALSE)</f>
        <v/>
      </c>
      <c r="E1564" s="17">
        <f>+VLOOKUP($A1564,MAGAZZINO!$B$2:$M$4838,5,FALSE)</f>
        <v/>
      </c>
      <c r="F1564" s="17">
        <f>+VLOOKUP($A1564,MAGAZZINO!$B$2:$M$4838,6,FALSE)</f>
        <v/>
      </c>
      <c r="G1564" s="17">
        <f>+VLOOKUP($A1564,MAGAZZINO!$B$2:$M$4838,7,FALSE)</f>
        <v/>
      </c>
      <c r="H1564" s="17">
        <f>+VLOOKUP($A1564,MAGAZZINO!$B$2:$M$4838,8,FALSE)</f>
        <v/>
      </c>
      <c r="I1564" s="17">
        <f>+VLOOKUP($A1564,MAGAZZINO!$B$2:$M$4838,9,FALSE)</f>
        <v/>
      </c>
      <c r="J1564" s="17">
        <f>+VLOOKUP($A1564,MAGAZZINO!$B$2:$M$4838,10,FALSE)</f>
        <v/>
      </c>
      <c r="K1564" s="17">
        <f>+VLOOKUP($A1564,MAGAZZINO!$B$2:$M$4838,11,FALSE)</f>
        <v/>
      </c>
      <c r="L1564" s="44">
        <f>+VLOOKUP($A1564,MAGAZZINO!$B$2:$M$4838,12,FALSE)</f>
        <v/>
      </c>
    </row>
    <row r="1565" ht="36" customHeight="1">
      <c r="A1565" s="30">
        <f>+REGISTRO!A1548</f>
        <v/>
      </c>
      <c r="B1565" s="31">
        <f>+VLOOKUP($A1565,MAGAZZINO!$B$2:$M$4838,2,FALSE)</f>
        <v/>
      </c>
      <c r="C1565" s="32">
        <f>+VLOOKUP($A1565,MAGAZZINO!$B$2:$M$4838,3,FALSE)</f>
        <v/>
      </c>
      <c r="D1565" s="17">
        <f>+VLOOKUP($A1565,MAGAZZINO!$B$2:$M$4838,4,FALSE)</f>
        <v/>
      </c>
      <c r="E1565" s="17">
        <f>+VLOOKUP($A1565,MAGAZZINO!$B$2:$M$4838,5,FALSE)</f>
        <v/>
      </c>
      <c r="F1565" s="17">
        <f>+VLOOKUP($A1565,MAGAZZINO!$B$2:$M$4838,6,FALSE)</f>
        <v/>
      </c>
      <c r="G1565" s="17">
        <f>+VLOOKUP($A1565,MAGAZZINO!$B$2:$M$4838,7,FALSE)</f>
        <v/>
      </c>
      <c r="H1565" s="17">
        <f>+VLOOKUP($A1565,MAGAZZINO!$B$2:$M$4838,8,FALSE)</f>
        <v/>
      </c>
      <c r="I1565" s="17">
        <f>+VLOOKUP($A1565,MAGAZZINO!$B$2:$M$4838,9,FALSE)</f>
        <v/>
      </c>
      <c r="J1565" s="17">
        <f>+VLOOKUP($A1565,MAGAZZINO!$B$2:$M$4838,10,FALSE)</f>
        <v/>
      </c>
      <c r="K1565" s="17">
        <f>+VLOOKUP($A1565,MAGAZZINO!$B$2:$M$4838,11,FALSE)</f>
        <v/>
      </c>
      <c r="L1565" s="44">
        <f>+VLOOKUP($A1565,MAGAZZINO!$B$2:$M$4838,12,FALSE)</f>
        <v/>
      </c>
    </row>
    <row r="1566" ht="36" customHeight="1">
      <c r="A1566" s="30">
        <f>+REGISTRO!A1549</f>
        <v/>
      </c>
      <c r="B1566" s="31">
        <f>+VLOOKUP($A1566,MAGAZZINO!$B$2:$M$4838,2,FALSE)</f>
        <v/>
      </c>
      <c r="C1566" s="32">
        <f>+VLOOKUP($A1566,MAGAZZINO!$B$2:$M$4838,3,FALSE)</f>
        <v/>
      </c>
      <c r="D1566" s="17">
        <f>+VLOOKUP($A1566,MAGAZZINO!$B$2:$M$4838,4,FALSE)</f>
        <v/>
      </c>
      <c r="E1566" s="17">
        <f>+VLOOKUP($A1566,MAGAZZINO!$B$2:$M$4838,5,FALSE)</f>
        <v/>
      </c>
      <c r="F1566" s="17">
        <f>+VLOOKUP($A1566,MAGAZZINO!$B$2:$M$4838,6,FALSE)</f>
        <v/>
      </c>
      <c r="G1566" s="17">
        <f>+VLOOKUP($A1566,MAGAZZINO!$B$2:$M$4838,7,FALSE)</f>
        <v/>
      </c>
      <c r="H1566" s="17">
        <f>+VLOOKUP($A1566,MAGAZZINO!$B$2:$M$4838,8,FALSE)</f>
        <v/>
      </c>
      <c r="I1566" s="17">
        <f>+VLOOKUP($A1566,MAGAZZINO!$B$2:$M$4838,9,FALSE)</f>
        <v/>
      </c>
      <c r="J1566" s="17">
        <f>+VLOOKUP($A1566,MAGAZZINO!$B$2:$M$4838,10,FALSE)</f>
        <v/>
      </c>
      <c r="K1566" s="17">
        <f>+VLOOKUP($A1566,MAGAZZINO!$B$2:$M$4838,11,FALSE)</f>
        <v/>
      </c>
      <c r="L1566" s="44">
        <f>+VLOOKUP($A1566,MAGAZZINO!$B$2:$M$4838,12,FALSE)</f>
        <v/>
      </c>
    </row>
    <row r="1567" ht="36" customHeight="1">
      <c r="A1567" s="30">
        <f>+REGISTRO!A1550</f>
        <v/>
      </c>
      <c r="B1567" s="31">
        <f>+VLOOKUP($A1567,MAGAZZINO!$B$2:$M$4838,2,FALSE)</f>
        <v/>
      </c>
      <c r="C1567" s="32">
        <f>+VLOOKUP($A1567,MAGAZZINO!$B$2:$M$4838,3,FALSE)</f>
        <v/>
      </c>
      <c r="D1567" s="17">
        <f>+VLOOKUP($A1567,MAGAZZINO!$B$2:$M$4838,4,FALSE)</f>
        <v/>
      </c>
      <c r="E1567" s="17">
        <f>+VLOOKUP($A1567,MAGAZZINO!$B$2:$M$4838,5,FALSE)</f>
        <v/>
      </c>
      <c r="F1567" s="17">
        <f>+VLOOKUP($A1567,MAGAZZINO!$B$2:$M$4838,6,FALSE)</f>
        <v/>
      </c>
      <c r="G1567" s="17">
        <f>+VLOOKUP($A1567,MAGAZZINO!$B$2:$M$4838,7,FALSE)</f>
        <v/>
      </c>
      <c r="H1567" s="17">
        <f>+VLOOKUP($A1567,MAGAZZINO!$B$2:$M$4838,8,FALSE)</f>
        <v/>
      </c>
      <c r="I1567" s="17">
        <f>+VLOOKUP($A1567,MAGAZZINO!$B$2:$M$4838,9,FALSE)</f>
        <v/>
      </c>
      <c r="J1567" s="17">
        <f>+VLOOKUP($A1567,MAGAZZINO!$B$2:$M$4838,10,FALSE)</f>
        <v/>
      </c>
      <c r="K1567" s="17">
        <f>+VLOOKUP($A1567,MAGAZZINO!$B$2:$M$4838,11,FALSE)</f>
        <v/>
      </c>
      <c r="L1567" s="44">
        <f>+VLOOKUP($A1567,MAGAZZINO!$B$2:$M$4838,12,FALSE)</f>
        <v/>
      </c>
    </row>
    <row r="1568" ht="36" customHeight="1">
      <c r="A1568" s="30">
        <f>+REGISTRO!A1551</f>
        <v/>
      </c>
      <c r="B1568" s="31">
        <f>+VLOOKUP($A1568,MAGAZZINO!$B$2:$M$4838,2,FALSE)</f>
        <v/>
      </c>
      <c r="C1568" s="32">
        <f>+VLOOKUP($A1568,MAGAZZINO!$B$2:$M$4838,3,FALSE)</f>
        <v/>
      </c>
      <c r="D1568" s="17">
        <f>+VLOOKUP($A1568,MAGAZZINO!$B$2:$M$4838,4,FALSE)</f>
        <v/>
      </c>
      <c r="E1568" s="17">
        <f>+VLOOKUP($A1568,MAGAZZINO!$B$2:$M$4838,5,FALSE)</f>
        <v/>
      </c>
      <c r="F1568" s="17">
        <f>+VLOOKUP($A1568,MAGAZZINO!$B$2:$M$4838,6,FALSE)</f>
        <v/>
      </c>
      <c r="G1568" s="17">
        <f>+VLOOKUP($A1568,MAGAZZINO!$B$2:$M$4838,7,FALSE)</f>
        <v/>
      </c>
      <c r="H1568" s="17">
        <f>+VLOOKUP($A1568,MAGAZZINO!$B$2:$M$4838,8,FALSE)</f>
        <v/>
      </c>
      <c r="I1568" s="17">
        <f>+VLOOKUP($A1568,MAGAZZINO!$B$2:$M$4838,9,FALSE)</f>
        <v/>
      </c>
      <c r="J1568" s="17">
        <f>+VLOOKUP($A1568,MAGAZZINO!$B$2:$M$4838,10,FALSE)</f>
        <v/>
      </c>
      <c r="K1568" s="17">
        <f>+VLOOKUP($A1568,MAGAZZINO!$B$2:$M$4838,11,FALSE)</f>
        <v/>
      </c>
      <c r="L1568" s="44">
        <f>+VLOOKUP($A1568,MAGAZZINO!$B$2:$M$4838,12,FALSE)</f>
        <v/>
      </c>
    </row>
    <row r="1569" ht="36" customHeight="1">
      <c r="A1569" s="30">
        <f>+REGISTRO!A1552</f>
        <v/>
      </c>
      <c r="B1569" s="31">
        <f>+VLOOKUP($A1569,MAGAZZINO!$B$2:$M$4838,2,FALSE)</f>
        <v/>
      </c>
      <c r="C1569" s="32">
        <f>+VLOOKUP($A1569,MAGAZZINO!$B$2:$M$4838,3,FALSE)</f>
        <v/>
      </c>
      <c r="D1569" s="17">
        <f>+VLOOKUP($A1569,MAGAZZINO!$B$2:$M$4838,4,FALSE)</f>
        <v/>
      </c>
      <c r="E1569" s="17">
        <f>+VLOOKUP($A1569,MAGAZZINO!$B$2:$M$4838,5,FALSE)</f>
        <v/>
      </c>
      <c r="F1569" s="17">
        <f>+VLOOKUP($A1569,MAGAZZINO!$B$2:$M$4838,6,FALSE)</f>
        <v/>
      </c>
      <c r="G1569" s="17">
        <f>+VLOOKUP($A1569,MAGAZZINO!$B$2:$M$4838,7,FALSE)</f>
        <v/>
      </c>
      <c r="H1569" s="17">
        <f>+VLOOKUP($A1569,MAGAZZINO!$B$2:$M$4838,8,FALSE)</f>
        <v/>
      </c>
      <c r="I1569" s="17">
        <f>+VLOOKUP($A1569,MAGAZZINO!$B$2:$M$4838,9,FALSE)</f>
        <v/>
      </c>
      <c r="J1569" s="17">
        <f>+VLOOKUP($A1569,MAGAZZINO!$B$2:$M$4838,10,FALSE)</f>
        <v/>
      </c>
      <c r="K1569" s="17">
        <f>+VLOOKUP($A1569,MAGAZZINO!$B$2:$M$4838,11,FALSE)</f>
        <v/>
      </c>
      <c r="L1569" s="44">
        <f>+VLOOKUP($A1569,MAGAZZINO!$B$2:$M$4838,12,FALSE)</f>
        <v/>
      </c>
    </row>
    <row r="1570" ht="36" customHeight="1">
      <c r="A1570" s="30">
        <f>+REGISTRO!A1553</f>
        <v/>
      </c>
      <c r="B1570" s="31">
        <f>+VLOOKUP($A1570,MAGAZZINO!$B$2:$M$4838,2,FALSE)</f>
        <v/>
      </c>
      <c r="C1570" s="32">
        <f>+VLOOKUP($A1570,MAGAZZINO!$B$2:$M$4838,3,FALSE)</f>
        <v/>
      </c>
      <c r="D1570" s="17">
        <f>+VLOOKUP($A1570,MAGAZZINO!$B$2:$M$4838,4,FALSE)</f>
        <v/>
      </c>
      <c r="E1570" s="17">
        <f>+VLOOKUP($A1570,MAGAZZINO!$B$2:$M$4838,5,FALSE)</f>
        <v/>
      </c>
      <c r="F1570" s="17">
        <f>+VLOOKUP($A1570,MAGAZZINO!$B$2:$M$4838,6,FALSE)</f>
        <v/>
      </c>
      <c r="G1570" s="17">
        <f>+VLOOKUP($A1570,MAGAZZINO!$B$2:$M$4838,7,FALSE)</f>
        <v/>
      </c>
      <c r="H1570" s="17">
        <f>+VLOOKUP($A1570,MAGAZZINO!$B$2:$M$4838,8,FALSE)</f>
        <v/>
      </c>
      <c r="I1570" s="17">
        <f>+VLOOKUP($A1570,MAGAZZINO!$B$2:$M$4838,9,FALSE)</f>
        <v/>
      </c>
      <c r="J1570" s="17">
        <f>+VLOOKUP($A1570,MAGAZZINO!$B$2:$M$4838,10,FALSE)</f>
        <v/>
      </c>
      <c r="K1570" s="17">
        <f>+VLOOKUP($A1570,MAGAZZINO!$B$2:$M$4838,11,FALSE)</f>
        <v/>
      </c>
      <c r="L1570" s="44">
        <f>+VLOOKUP($A1570,MAGAZZINO!$B$2:$M$4838,12,FALSE)</f>
        <v/>
      </c>
    </row>
    <row r="1571" ht="36" customHeight="1">
      <c r="A1571" s="30">
        <f>+REGISTRO!A1554</f>
        <v/>
      </c>
      <c r="B1571" s="31">
        <f>+VLOOKUP($A1571,MAGAZZINO!$B$2:$M$4838,2,FALSE)</f>
        <v/>
      </c>
      <c r="C1571" s="32">
        <f>+VLOOKUP($A1571,MAGAZZINO!$B$2:$M$4838,3,FALSE)</f>
        <v/>
      </c>
      <c r="D1571" s="17">
        <f>+VLOOKUP($A1571,MAGAZZINO!$B$2:$M$4838,4,FALSE)</f>
        <v/>
      </c>
      <c r="E1571" s="17">
        <f>+VLOOKUP($A1571,MAGAZZINO!$B$2:$M$4838,5,FALSE)</f>
        <v/>
      </c>
      <c r="F1571" s="17">
        <f>+VLOOKUP($A1571,MAGAZZINO!$B$2:$M$4838,6,FALSE)</f>
        <v/>
      </c>
      <c r="G1571" s="17">
        <f>+VLOOKUP($A1571,MAGAZZINO!$B$2:$M$4838,7,FALSE)</f>
        <v/>
      </c>
      <c r="H1571" s="17">
        <f>+VLOOKUP($A1571,MAGAZZINO!$B$2:$M$4838,8,FALSE)</f>
        <v/>
      </c>
      <c r="I1571" s="17">
        <f>+VLOOKUP($A1571,MAGAZZINO!$B$2:$M$4838,9,FALSE)</f>
        <v/>
      </c>
      <c r="J1571" s="17">
        <f>+VLOOKUP($A1571,MAGAZZINO!$B$2:$M$4838,10,FALSE)</f>
        <v/>
      </c>
      <c r="K1571" s="17">
        <f>+VLOOKUP($A1571,MAGAZZINO!$B$2:$M$4838,11,FALSE)</f>
        <v/>
      </c>
      <c r="L1571" s="44">
        <f>+VLOOKUP($A1571,MAGAZZINO!$B$2:$M$4838,12,FALSE)</f>
        <v/>
      </c>
    </row>
    <row r="1572" ht="36" customHeight="1">
      <c r="A1572" s="30">
        <f>+REGISTRO!A1555</f>
        <v/>
      </c>
      <c r="B1572" s="31">
        <f>+VLOOKUP($A1572,MAGAZZINO!$B$2:$M$4838,2,FALSE)</f>
        <v/>
      </c>
      <c r="C1572" s="32">
        <f>+VLOOKUP($A1572,MAGAZZINO!$B$2:$M$4838,3,FALSE)</f>
        <v/>
      </c>
      <c r="D1572" s="17">
        <f>+VLOOKUP($A1572,MAGAZZINO!$B$2:$M$4838,4,FALSE)</f>
        <v/>
      </c>
      <c r="E1572" s="17">
        <f>+VLOOKUP($A1572,MAGAZZINO!$B$2:$M$4838,5,FALSE)</f>
        <v/>
      </c>
      <c r="F1572" s="17">
        <f>+VLOOKUP($A1572,MAGAZZINO!$B$2:$M$4838,6,FALSE)</f>
        <v/>
      </c>
      <c r="G1572" s="17">
        <f>+VLOOKUP($A1572,MAGAZZINO!$B$2:$M$4838,7,FALSE)</f>
        <v/>
      </c>
      <c r="H1572" s="17">
        <f>+VLOOKUP($A1572,MAGAZZINO!$B$2:$M$4838,8,FALSE)</f>
        <v/>
      </c>
      <c r="I1572" s="17">
        <f>+VLOOKUP($A1572,MAGAZZINO!$B$2:$M$4838,9,FALSE)</f>
        <v/>
      </c>
      <c r="J1572" s="17">
        <f>+VLOOKUP($A1572,MAGAZZINO!$B$2:$M$4838,10,FALSE)</f>
        <v/>
      </c>
      <c r="K1572" s="17">
        <f>+VLOOKUP($A1572,MAGAZZINO!$B$2:$M$4838,11,FALSE)</f>
        <v/>
      </c>
      <c r="L1572" s="44">
        <f>+VLOOKUP($A1572,MAGAZZINO!$B$2:$M$4838,12,FALSE)</f>
        <v/>
      </c>
    </row>
    <row r="1573" ht="36" customHeight="1">
      <c r="A1573" s="30">
        <f>+REGISTRO!A1556</f>
        <v/>
      </c>
      <c r="B1573" s="31">
        <f>+VLOOKUP($A1573,MAGAZZINO!$B$2:$M$4838,2,FALSE)</f>
        <v/>
      </c>
      <c r="C1573" s="32">
        <f>+VLOOKUP($A1573,MAGAZZINO!$B$2:$M$4838,3,FALSE)</f>
        <v/>
      </c>
      <c r="D1573" s="17">
        <f>+VLOOKUP($A1573,MAGAZZINO!$B$2:$M$4838,4,FALSE)</f>
        <v/>
      </c>
      <c r="E1573" s="17">
        <f>+VLOOKUP($A1573,MAGAZZINO!$B$2:$M$4838,5,FALSE)</f>
        <v/>
      </c>
      <c r="F1573" s="17">
        <f>+VLOOKUP($A1573,MAGAZZINO!$B$2:$M$4838,6,FALSE)</f>
        <v/>
      </c>
      <c r="G1573" s="17">
        <f>+VLOOKUP($A1573,MAGAZZINO!$B$2:$M$4838,7,FALSE)</f>
        <v/>
      </c>
      <c r="H1573" s="17">
        <f>+VLOOKUP($A1573,MAGAZZINO!$B$2:$M$4838,8,FALSE)</f>
        <v/>
      </c>
      <c r="I1573" s="17">
        <f>+VLOOKUP($A1573,MAGAZZINO!$B$2:$M$4838,9,FALSE)</f>
        <v/>
      </c>
      <c r="J1573" s="17">
        <f>+VLOOKUP($A1573,MAGAZZINO!$B$2:$M$4838,10,FALSE)</f>
        <v/>
      </c>
      <c r="K1573" s="17">
        <f>+VLOOKUP($A1573,MAGAZZINO!$B$2:$M$4838,11,FALSE)</f>
        <v/>
      </c>
      <c r="L1573" s="44">
        <f>+VLOOKUP($A1573,MAGAZZINO!$B$2:$M$4838,12,FALSE)</f>
        <v/>
      </c>
    </row>
    <row r="1574" ht="36" customHeight="1">
      <c r="A1574" s="30">
        <f>+REGISTRO!A1557</f>
        <v/>
      </c>
      <c r="B1574" s="31">
        <f>+VLOOKUP($A1574,MAGAZZINO!$B$2:$M$4838,2,FALSE)</f>
        <v/>
      </c>
      <c r="C1574" s="32">
        <f>+VLOOKUP($A1574,MAGAZZINO!$B$2:$M$4838,3,FALSE)</f>
        <v/>
      </c>
      <c r="D1574" s="17">
        <f>+VLOOKUP($A1574,MAGAZZINO!$B$2:$M$4838,4,FALSE)</f>
        <v/>
      </c>
      <c r="E1574" s="17">
        <f>+VLOOKUP($A1574,MAGAZZINO!$B$2:$M$4838,5,FALSE)</f>
        <v/>
      </c>
      <c r="F1574" s="17">
        <f>+VLOOKUP($A1574,MAGAZZINO!$B$2:$M$4838,6,FALSE)</f>
        <v/>
      </c>
      <c r="G1574" s="17">
        <f>+VLOOKUP($A1574,MAGAZZINO!$B$2:$M$4838,7,FALSE)</f>
        <v/>
      </c>
      <c r="H1574" s="17">
        <f>+VLOOKUP($A1574,MAGAZZINO!$B$2:$M$4838,8,FALSE)</f>
        <v/>
      </c>
      <c r="I1574" s="17">
        <f>+VLOOKUP($A1574,MAGAZZINO!$B$2:$M$4838,9,FALSE)</f>
        <v/>
      </c>
      <c r="J1574" s="17">
        <f>+VLOOKUP($A1574,MAGAZZINO!$B$2:$M$4838,10,FALSE)</f>
        <v/>
      </c>
      <c r="K1574" s="17">
        <f>+VLOOKUP($A1574,MAGAZZINO!$B$2:$M$4838,11,FALSE)</f>
        <v/>
      </c>
      <c r="L1574" s="44">
        <f>+VLOOKUP($A1574,MAGAZZINO!$B$2:$M$4838,12,FALSE)</f>
        <v/>
      </c>
    </row>
    <row r="1575" ht="36" customHeight="1">
      <c r="A1575" s="30">
        <f>+REGISTRO!A1558</f>
        <v/>
      </c>
      <c r="B1575" s="31">
        <f>+VLOOKUP($A1575,MAGAZZINO!$B$2:$M$4838,2,FALSE)</f>
        <v/>
      </c>
      <c r="C1575" s="32">
        <f>+VLOOKUP($A1575,MAGAZZINO!$B$2:$M$4838,3,FALSE)</f>
        <v/>
      </c>
      <c r="D1575" s="17">
        <f>+VLOOKUP($A1575,MAGAZZINO!$B$2:$M$4838,4,FALSE)</f>
        <v/>
      </c>
      <c r="E1575" s="17">
        <f>+VLOOKUP($A1575,MAGAZZINO!$B$2:$M$4838,5,FALSE)</f>
        <v/>
      </c>
      <c r="F1575" s="17">
        <f>+VLOOKUP($A1575,MAGAZZINO!$B$2:$M$4838,6,FALSE)</f>
        <v/>
      </c>
      <c r="G1575" s="17">
        <f>+VLOOKUP($A1575,MAGAZZINO!$B$2:$M$4838,7,FALSE)</f>
        <v/>
      </c>
      <c r="H1575" s="17">
        <f>+VLOOKUP($A1575,MAGAZZINO!$B$2:$M$4838,8,FALSE)</f>
        <v/>
      </c>
      <c r="I1575" s="17">
        <f>+VLOOKUP($A1575,MAGAZZINO!$B$2:$M$4838,9,FALSE)</f>
        <v/>
      </c>
      <c r="J1575" s="17">
        <f>+VLOOKUP($A1575,MAGAZZINO!$B$2:$M$4838,10,FALSE)</f>
        <v/>
      </c>
      <c r="K1575" s="17">
        <f>+VLOOKUP($A1575,MAGAZZINO!$B$2:$M$4838,11,FALSE)</f>
        <v/>
      </c>
      <c r="L1575" s="44">
        <f>+VLOOKUP($A1575,MAGAZZINO!$B$2:$M$4838,12,FALSE)</f>
        <v/>
      </c>
    </row>
    <row r="1576" ht="36" customHeight="1">
      <c r="A1576" s="30">
        <f>+REGISTRO!A1559</f>
        <v/>
      </c>
      <c r="B1576" s="31">
        <f>+VLOOKUP($A1576,MAGAZZINO!$B$2:$M$4838,2,FALSE)</f>
        <v/>
      </c>
      <c r="C1576" s="32">
        <f>+VLOOKUP($A1576,MAGAZZINO!$B$2:$M$4838,3,FALSE)</f>
        <v/>
      </c>
      <c r="D1576" s="17">
        <f>+VLOOKUP($A1576,MAGAZZINO!$B$2:$M$4838,4,FALSE)</f>
        <v/>
      </c>
      <c r="E1576" s="17">
        <f>+VLOOKUP($A1576,MAGAZZINO!$B$2:$M$4838,5,FALSE)</f>
        <v/>
      </c>
      <c r="F1576" s="17">
        <f>+VLOOKUP($A1576,MAGAZZINO!$B$2:$M$4838,6,FALSE)</f>
        <v/>
      </c>
      <c r="G1576" s="17">
        <f>+VLOOKUP($A1576,MAGAZZINO!$B$2:$M$4838,7,FALSE)</f>
        <v/>
      </c>
      <c r="H1576" s="17">
        <f>+VLOOKUP($A1576,MAGAZZINO!$B$2:$M$4838,8,FALSE)</f>
        <v/>
      </c>
      <c r="I1576" s="17">
        <f>+VLOOKUP($A1576,MAGAZZINO!$B$2:$M$4838,9,FALSE)</f>
        <v/>
      </c>
      <c r="J1576" s="17">
        <f>+VLOOKUP($A1576,MAGAZZINO!$B$2:$M$4838,10,FALSE)</f>
        <v/>
      </c>
      <c r="K1576" s="17">
        <f>+VLOOKUP($A1576,MAGAZZINO!$B$2:$M$4838,11,FALSE)</f>
        <v/>
      </c>
      <c r="L1576" s="44">
        <f>+VLOOKUP($A1576,MAGAZZINO!$B$2:$M$4838,12,FALSE)</f>
        <v/>
      </c>
    </row>
    <row r="1577" ht="36" customHeight="1">
      <c r="A1577" s="30">
        <f>+REGISTRO!A1560</f>
        <v/>
      </c>
      <c r="B1577" s="31">
        <f>+VLOOKUP($A1577,MAGAZZINO!$B$2:$M$4838,2,FALSE)</f>
        <v/>
      </c>
      <c r="C1577" s="32">
        <f>+VLOOKUP($A1577,MAGAZZINO!$B$2:$M$4838,3,FALSE)</f>
        <v/>
      </c>
      <c r="D1577" s="17">
        <f>+VLOOKUP($A1577,MAGAZZINO!$B$2:$M$4838,4,FALSE)</f>
        <v/>
      </c>
      <c r="E1577" s="17">
        <f>+VLOOKUP($A1577,MAGAZZINO!$B$2:$M$4838,5,FALSE)</f>
        <v/>
      </c>
      <c r="F1577" s="17">
        <f>+VLOOKUP($A1577,MAGAZZINO!$B$2:$M$4838,6,FALSE)</f>
        <v/>
      </c>
      <c r="G1577" s="17">
        <f>+VLOOKUP($A1577,MAGAZZINO!$B$2:$M$4838,7,FALSE)</f>
        <v/>
      </c>
      <c r="H1577" s="17">
        <f>+VLOOKUP($A1577,MAGAZZINO!$B$2:$M$4838,8,FALSE)</f>
        <v/>
      </c>
      <c r="I1577" s="17">
        <f>+VLOOKUP($A1577,MAGAZZINO!$B$2:$M$4838,9,FALSE)</f>
        <v/>
      </c>
      <c r="J1577" s="17">
        <f>+VLOOKUP($A1577,MAGAZZINO!$B$2:$M$4838,10,FALSE)</f>
        <v/>
      </c>
      <c r="K1577" s="17">
        <f>+VLOOKUP($A1577,MAGAZZINO!$B$2:$M$4838,11,FALSE)</f>
        <v/>
      </c>
      <c r="L1577" s="44">
        <f>+VLOOKUP($A1577,MAGAZZINO!$B$2:$M$4838,12,FALSE)</f>
        <v/>
      </c>
    </row>
    <row r="1578" ht="36" customHeight="1">
      <c r="A1578" s="30">
        <f>+REGISTRO!A1561</f>
        <v/>
      </c>
      <c r="B1578" s="31">
        <f>+VLOOKUP($A1578,MAGAZZINO!$B$2:$M$4838,2,FALSE)</f>
        <v/>
      </c>
      <c r="C1578" s="32">
        <f>+VLOOKUP($A1578,MAGAZZINO!$B$2:$M$4838,3,FALSE)</f>
        <v/>
      </c>
      <c r="D1578" s="17">
        <f>+VLOOKUP($A1578,MAGAZZINO!$B$2:$M$4838,4,FALSE)</f>
        <v/>
      </c>
      <c r="E1578" s="17">
        <f>+VLOOKUP($A1578,MAGAZZINO!$B$2:$M$4838,5,FALSE)</f>
        <v/>
      </c>
      <c r="F1578" s="17">
        <f>+VLOOKUP($A1578,MAGAZZINO!$B$2:$M$4838,6,FALSE)</f>
        <v/>
      </c>
      <c r="G1578" s="17">
        <f>+VLOOKUP($A1578,MAGAZZINO!$B$2:$M$4838,7,FALSE)</f>
        <v/>
      </c>
      <c r="H1578" s="17">
        <f>+VLOOKUP($A1578,MAGAZZINO!$B$2:$M$4838,8,FALSE)</f>
        <v/>
      </c>
      <c r="I1578" s="17">
        <f>+VLOOKUP($A1578,MAGAZZINO!$B$2:$M$4838,9,FALSE)</f>
        <v/>
      </c>
      <c r="J1578" s="17">
        <f>+VLOOKUP($A1578,MAGAZZINO!$B$2:$M$4838,10,FALSE)</f>
        <v/>
      </c>
      <c r="K1578" s="17">
        <f>+VLOOKUP($A1578,MAGAZZINO!$B$2:$M$4838,11,FALSE)</f>
        <v/>
      </c>
      <c r="L1578" s="44">
        <f>+VLOOKUP($A1578,MAGAZZINO!$B$2:$M$4838,12,FALSE)</f>
        <v/>
      </c>
    </row>
    <row r="1579" ht="36" customHeight="1">
      <c r="A1579" s="30">
        <f>+REGISTRO!A1562</f>
        <v/>
      </c>
      <c r="B1579" s="31">
        <f>+VLOOKUP($A1579,MAGAZZINO!$B$2:$M$4838,2,FALSE)</f>
        <v/>
      </c>
      <c r="C1579" s="32">
        <f>+VLOOKUP($A1579,MAGAZZINO!$B$2:$M$4838,3,FALSE)</f>
        <v/>
      </c>
      <c r="D1579" s="17">
        <f>+VLOOKUP($A1579,MAGAZZINO!$B$2:$M$4838,4,FALSE)</f>
        <v/>
      </c>
      <c r="E1579" s="17">
        <f>+VLOOKUP($A1579,MAGAZZINO!$B$2:$M$4838,5,FALSE)</f>
        <v/>
      </c>
      <c r="F1579" s="17">
        <f>+VLOOKUP($A1579,MAGAZZINO!$B$2:$M$4838,6,FALSE)</f>
        <v/>
      </c>
      <c r="G1579" s="17">
        <f>+VLOOKUP($A1579,MAGAZZINO!$B$2:$M$4838,7,FALSE)</f>
        <v/>
      </c>
      <c r="H1579" s="17">
        <f>+VLOOKUP($A1579,MAGAZZINO!$B$2:$M$4838,8,FALSE)</f>
        <v/>
      </c>
      <c r="I1579" s="17">
        <f>+VLOOKUP($A1579,MAGAZZINO!$B$2:$M$4838,9,FALSE)</f>
        <v/>
      </c>
      <c r="J1579" s="17">
        <f>+VLOOKUP($A1579,MAGAZZINO!$B$2:$M$4838,10,FALSE)</f>
        <v/>
      </c>
      <c r="K1579" s="17">
        <f>+VLOOKUP($A1579,MAGAZZINO!$B$2:$M$4838,11,FALSE)</f>
        <v/>
      </c>
      <c r="L1579" s="44">
        <f>+VLOOKUP($A1579,MAGAZZINO!$B$2:$M$4838,12,FALSE)</f>
        <v/>
      </c>
    </row>
    <row r="1580" ht="36" customHeight="1">
      <c r="A1580" s="30">
        <f>+REGISTRO!A1563</f>
        <v/>
      </c>
      <c r="B1580" s="31">
        <f>+VLOOKUP($A1580,MAGAZZINO!$B$2:$M$4838,2,FALSE)</f>
        <v/>
      </c>
      <c r="C1580" s="32">
        <f>+VLOOKUP($A1580,MAGAZZINO!$B$2:$M$4838,3,FALSE)</f>
        <v/>
      </c>
      <c r="D1580" s="17">
        <f>+VLOOKUP($A1580,MAGAZZINO!$B$2:$M$4838,4,FALSE)</f>
        <v/>
      </c>
      <c r="E1580" s="17">
        <f>+VLOOKUP($A1580,MAGAZZINO!$B$2:$M$4838,5,FALSE)</f>
        <v/>
      </c>
      <c r="F1580" s="17">
        <f>+VLOOKUP($A1580,MAGAZZINO!$B$2:$M$4838,6,FALSE)</f>
        <v/>
      </c>
      <c r="G1580" s="17">
        <f>+VLOOKUP($A1580,MAGAZZINO!$B$2:$M$4838,7,FALSE)</f>
        <v/>
      </c>
      <c r="H1580" s="17">
        <f>+VLOOKUP($A1580,MAGAZZINO!$B$2:$M$4838,8,FALSE)</f>
        <v/>
      </c>
      <c r="I1580" s="17">
        <f>+VLOOKUP($A1580,MAGAZZINO!$B$2:$M$4838,9,FALSE)</f>
        <v/>
      </c>
      <c r="J1580" s="17">
        <f>+VLOOKUP($A1580,MAGAZZINO!$B$2:$M$4838,10,FALSE)</f>
        <v/>
      </c>
      <c r="K1580" s="17">
        <f>+VLOOKUP($A1580,MAGAZZINO!$B$2:$M$4838,11,FALSE)</f>
        <v/>
      </c>
      <c r="L1580" s="44">
        <f>+VLOOKUP($A1580,MAGAZZINO!$B$2:$M$4838,12,FALSE)</f>
        <v/>
      </c>
    </row>
    <row r="1581" ht="36" customHeight="1">
      <c r="A1581" s="30">
        <f>+REGISTRO!A1564</f>
        <v/>
      </c>
      <c r="B1581" s="31">
        <f>+VLOOKUP($A1581,MAGAZZINO!$B$2:$M$4838,2,FALSE)</f>
        <v/>
      </c>
      <c r="C1581" s="32">
        <f>+VLOOKUP($A1581,MAGAZZINO!$B$2:$M$4838,3,FALSE)</f>
        <v/>
      </c>
      <c r="D1581" s="17">
        <f>+VLOOKUP($A1581,MAGAZZINO!$B$2:$M$4838,4,FALSE)</f>
        <v/>
      </c>
      <c r="E1581" s="17">
        <f>+VLOOKUP($A1581,MAGAZZINO!$B$2:$M$4838,5,FALSE)</f>
        <v/>
      </c>
      <c r="F1581" s="17">
        <f>+VLOOKUP($A1581,MAGAZZINO!$B$2:$M$4838,6,FALSE)</f>
        <v/>
      </c>
      <c r="G1581" s="17">
        <f>+VLOOKUP($A1581,MAGAZZINO!$B$2:$M$4838,7,FALSE)</f>
        <v/>
      </c>
      <c r="H1581" s="17">
        <f>+VLOOKUP($A1581,MAGAZZINO!$B$2:$M$4838,8,FALSE)</f>
        <v/>
      </c>
      <c r="I1581" s="17">
        <f>+VLOOKUP($A1581,MAGAZZINO!$B$2:$M$4838,9,FALSE)</f>
        <v/>
      </c>
      <c r="J1581" s="17">
        <f>+VLOOKUP($A1581,MAGAZZINO!$B$2:$M$4838,10,FALSE)</f>
        <v/>
      </c>
      <c r="K1581" s="17">
        <f>+VLOOKUP($A1581,MAGAZZINO!$B$2:$M$4838,11,FALSE)</f>
        <v/>
      </c>
      <c r="L1581" s="44">
        <f>+VLOOKUP($A1581,MAGAZZINO!$B$2:$M$4838,12,FALSE)</f>
        <v/>
      </c>
    </row>
    <row r="1582" ht="36" customHeight="1">
      <c r="A1582" s="30">
        <f>+REGISTRO!A1565</f>
        <v/>
      </c>
      <c r="B1582" s="31">
        <f>+VLOOKUP($A1582,MAGAZZINO!$B$2:$M$4838,2,FALSE)</f>
        <v/>
      </c>
      <c r="C1582" s="32">
        <f>+VLOOKUP($A1582,MAGAZZINO!$B$2:$M$4838,3,FALSE)</f>
        <v/>
      </c>
      <c r="D1582" s="17">
        <f>+VLOOKUP($A1582,MAGAZZINO!$B$2:$M$4838,4,FALSE)</f>
        <v/>
      </c>
      <c r="E1582" s="17">
        <f>+VLOOKUP($A1582,MAGAZZINO!$B$2:$M$4838,5,FALSE)</f>
        <v/>
      </c>
      <c r="F1582" s="17">
        <f>+VLOOKUP($A1582,MAGAZZINO!$B$2:$M$4838,6,FALSE)</f>
        <v/>
      </c>
      <c r="G1582" s="17">
        <f>+VLOOKUP($A1582,MAGAZZINO!$B$2:$M$4838,7,FALSE)</f>
        <v/>
      </c>
      <c r="H1582" s="17">
        <f>+VLOOKUP($A1582,MAGAZZINO!$B$2:$M$4838,8,FALSE)</f>
        <v/>
      </c>
      <c r="I1582" s="17">
        <f>+VLOOKUP($A1582,MAGAZZINO!$B$2:$M$4838,9,FALSE)</f>
        <v/>
      </c>
      <c r="J1582" s="17">
        <f>+VLOOKUP($A1582,MAGAZZINO!$B$2:$M$4838,10,FALSE)</f>
        <v/>
      </c>
      <c r="K1582" s="17">
        <f>+VLOOKUP($A1582,MAGAZZINO!$B$2:$M$4838,11,FALSE)</f>
        <v/>
      </c>
      <c r="L1582" s="44">
        <f>+VLOOKUP($A1582,MAGAZZINO!$B$2:$M$4838,12,FALSE)</f>
        <v/>
      </c>
    </row>
    <row r="1583" ht="36" customHeight="1">
      <c r="A1583" s="30">
        <f>+REGISTRO!A1566</f>
        <v/>
      </c>
      <c r="B1583" s="31">
        <f>+VLOOKUP($A1583,MAGAZZINO!$B$2:$M$4838,2,FALSE)</f>
        <v/>
      </c>
      <c r="C1583" s="32">
        <f>+VLOOKUP($A1583,MAGAZZINO!$B$2:$M$4838,3,FALSE)</f>
        <v/>
      </c>
      <c r="D1583" s="17">
        <f>+VLOOKUP($A1583,MAGAZZINO!$B$2:$M$4838,4,FALSE)</f>
        <v/>
      </c>
      <c r="E1583" s="17">
        <f>+VLOOKUP($A1583,MAGAZZINO!$B$2:$M$4838,5,FALSE)</f>
        <v/>
      </c>
      <c r="F1583" s="17">
        <f>+VLOOKUP($A1583,MAGAZZINO!$B$2:$M$4838,6,FALSE)</f>
        <v/>
      </c>
      <c r="G1583" s="17">
        <f>+VLOOKUP($A1583,MAGAZZINO!$B$2:$M$4838,7,FALSE)</f>
        <v/>
      </c>
      <c r="H1583" s="17">
        <f>+VLOOKUP($A1583,MAGAZZINO!$B$2:$M$4838,8,FALSE)</f>
        <v/>
      </c>
      <c r="I1583" s="17">
        <f>+VLOOKUP($A1583,MAGAZZINO!$B$2:$M$4838,9,FALSE)</f>
        <v/>
      </c>
      <c r="J1583" s="17">
        <f>+VLOOKUP($A1583,MAGAZZINO!$B$2:$M$4838,10,FALSE)</f>
        <v/>
      </c>
      <c r="K1583" s="17">
        <f>+VLOOKUP($A1583,MAGAZZINO!$B$2:$M$4838,11,FALSE)</f>
        <v/>
      </c>
      <c r="L1583" s="44">
        <f>+VLOOKUP($A1583,MAGAZZINO!$B$2:$M$4838,12,FALSE)</f>
        <v/>
      </c>
    </row>
    <row r="1584" ht="36" customHeight="1">
      <c r="A1584" s="30">
        <f>+REGISTRO!A1567</f>
        <v/>
      </c>
      <c r="B1584" s="31">
        <f>+VLOOKUP($A1584,MAGAZZINO!$B$2:$M$4838,2,FALSE)</f>
        <v/>
      </c>
      <c r="C1584" s="32">
        <f>+VLOOKUP($A1584,MAGAZZINO!$B$2:$M$4838,3,FALSE)</f>
        <v/>
      </c>
      <c r="D1584" s="17">
        <f>+VLOOKUP($A1584,MAGAZZINO!$B$2:$M$4838,4,FALSE)</f>
        <v/>
      </c>
      <c r="E1584" s="17">
        <f>+VLOOKUP($A1584,MAGAZZINO!$B$2:$M$4838,5,FALSE)</f>
        <v/>
      </c>
      <c r="F1584" s="17">
        <f>+VLOOKUP($A1584,MAGAZZINO!$B$2:$M$4838,6,FALSE)</f>
        <v/>
      </c>
      <c r="G1584" s="17">
        <f>+VLOOKUP($A1584,MAGAZZINO!$B$2:$M$4838,7,FALSE)</f>
        <v/>
      </c>
      <c r="H1584" s="17">
        <f>+VLOOKUP($A1584,MAGAZZINO!$B$2:$M$4838,8,FALSE)</f>
        <v/>
      </c>
      <c r="I1584" s="17">
        <f>+VLOOKUP($A1584,MAGAZZINO!$B$2:$M$4838,9,FALSE)</f>
        <v/>
      </c>
      <c r="J1584" s="17">
        <f>+VLOOKUP($A1584,MAGAZZINO!$B$2:$M$4838,10,FALSE)</f>
        <v/>
      </c>
      <c r="K1584" s="17">
        <f>+VLOOKUP($A1584,MAGAZZINO!$B$2:$M$4838,11,FALSE)</f>
        <v/>
      </c>
      <c r="L1584" s="44">
        <f>+VLOOKUP($A1584,MAGAZZINO!$B$2:$M$4838,12,FALSE)</f>
        <v/>
      </c>
    </row>
    <row r="1585" ht="36" customHeight="1">
      <c r="A1585" s="30">
        <f>+REGISTRO!A1568</f>
        <v/>
      </c>
      <c r="B1585" s="31">
        <f>+VLOOKUP($A1585,MAGAZZINO!$B$2:$M$4838,2,FALSE)</f>
        <v/>
      </c>
      <c r="C1585" s="32">
        <f>+VLOOKUP($A1585,MAGAZZINO!$B$2:$M$4838,3,FALSE)</f>
        <v/>
      </c>
      <c r="D1585" s="17">
        <f>+VLOOKUP($A1585,MAGAZZINO!$B$2:$M$4838,4,FALSE)</f>
        <v/>
      </c>
      <c r="E1585" s="17">
        <f>+VLOOKUP($A1585,MAGAZZINO!$B$2:$M$4838,5,FALSE)</f>
        <v/>
      </c>
      <c r="F1585" s="17">
        <f>+VLOOKUP($A1585,MAGAZZINO!$B$2:$M$4838,6,FALSE)</f>
        <v/>
      </c>
      <c r="G1585" s="17">
        <f>+VLOOKUP($A1585,MAGAZZINO!$B$2:$M$4838,7,FALSE)</f>
        <v/>
      </c>
      <c r="H1585" s="17">
        <f>+VLOOKUP($A1585,MAGAZZINO!$B$2:$M$4838,8,FALSE)</f>
        <v/>
      </c>
      <c r="I1585" s="17">
        <f>+VLOOKUP($A1585,MAGAZZINO!$B$2:$M$4838,9,FALSE)</f>
        <v/>
      </c>
      <c r="J1585" s="17">
        <f>+VLOOKUP($A1585,MAGAZZINO!$B$2:$M$4838,10,FALSE)</f>
        <v/>
      </c>
      <c r="K1585" s="17">
        <f>+VLOOKUP($A1585,MAGAZZINO!$B$2:$M$4838,11,FALSE)</f>
        <v/>
      </c>
      <c r="L1585" s="44">
        <f>+VLOOKUP($A1585,MAGAZZINO!$B$2:$M$4838,12,FALSE)</f>
        <v/>
      </c>
    </row>
    <row r="1586" ht="36" customHeight="1">
      <c r="A1586" s="30">
        <f>+REGISTRO!A1569</f>
        <v/>
      </c>
      <c r="B1586" s="31">
        <f>+VLOOKUP($A1586,MAGAZZINO!$B$2:$M$4838,2,FALSE)</f>
        <v/>
      </c>
      <c r="C1586" s="32">
        <f>+VLOOKUP($A1586,MAGAZZINO!$B$2:$M$4838,3,FALSE)</f>
        <v/>
      </c>
      <c r="D1586" s="17">
        <f>+VLOOKUP($A1586,MAGAZZINO!$B$2:$M$4838,4,FALSE)</f>
        <v/>
      </c>
      <c r="E1586" s="17">
        <f>+VLOOKUP($A1586,MAGAZZINO!$B$2:$M$4838,5,FALSE)</f>
        <v/>
      </c>
      <c r="F1586" s="17">
        <f>+VLOOKUP($A1586,MAGAZZINO!$B$2:$M$4838,6,FALSE)</f>
        <v/>
      </c>
      <c r="G1586" s="17">
        <f>+VLOOKUP($A1586,MAGAZZINO!$B$2:$M$4838,7,FALSE)</f>
        <v/>
      </c>
      <c r="H1586" s="17">
        <f>+VLOOKUP($A1586,MAGAZZINO!$B$2:$M$4838,8,FALSE)</f>
        <v/>
      </c>
      <c r="I1586" s="17">
        <f>+VLOOKUP($A1586,MAGAZZINO!$B$2:$M$4838,9,FALSE)</f>
        <v/>
      </c>
      <c r="J1586" s="17">
        <f>+VLOOKUP($A1586,MAGAZZINO!$B$2:$M$4838,10,FALSE)</f>
        <v/>
      </c>
      <c r="K1586" s="17">
        <f>+VLOOKUP($A1586,MAGAZZINO!$B$2:$M$4838,11,FALSE)</f>
        <v/>
      </c>
      <c r="L1586" s="44">
        <f>+VLOOKUP($A1586,MAGAZZINO!$B$2:$M$4838,12,FALSE)</f>
        <v/>
      </c>
    </row>
    <row r="1587" ht="36" customHeight="1">
      <c r="A1587" s="30">
        <f>+REGISTRO!A1570</f>
        <v/>
      </c>
      <c r="B1587" s="31">
        <f>+VLOOKUP($A1587,MAGAZZINO!$B$2:$M$4838,2,FALSE)</f>
        <v/>
      </c>
      <c r="C1587" s="32">
        <f>+VLOOKUP($A1587,MAGAZZINO!$B$2:$M$4838,3,FALSE)</f>
        <v/>
      </c>
      <c r="D1587" s="17">
        <f>+VLOOKUP($A1587,MAGAZZINO!$B$2:$M$4838,4,FALSE)</f>
        <v/>
      </c>
      <c r="E1587" s="17">
        <f>+VLOOKUP($A1587,MAGAZZINO!$B$2:$M$4838,5,FALSE)</f>
        <v/>
      </c>
      <c r="F1587" s="17">
        <f>+VLOOKUP($A1587,MAGAZZINO!$B$2:$M$4838,6,FALSE)</f>
        <v/>
      </c>
      <c r="G1587" s="17">
        <f>+VLOOKUP($A1587,MAGAZZINO!$B$2:$M$4838,7,FALSE)</f>
        <v/>
      </c>
      <c r="H1587" s="17">
        <f>+VLOOKUP($A1587,MAGAZZINO!$B$2:$M$4838,8,FALSE)</f>
        <v/>
      </c>
      <c r="I1587" s="17">
        <f>+VLOOKUP($A1587,MAGAZZINO!$B$2:$M$4838,9,FALSE)</f>
        <v/>
      </c>
      <c r="J1587" s="17">
        <f>+VLOOKUP($A1587,MAGAZZINO!$B$2:$M$4838,10,FALSE)</f>
        <v/>
      </c>
      <c r="K1587" s="17">
        <f>+VLOOKUP($A1587,MAGAZZINO!$B$2:$M$4838,11,FALSE)</f>
        <v/>
      </c>
      <c r="L1587" s="44">
        <f>+VLOOKUP($A1587,MAGAZZINO!$B$2:$M$4838,12,FALSE)</f>
        <v/>
      </c>
    </row>
    <row r="1588" ht="36" customHeight="1">
      <c r="A1588" s="30">
        <f>+REGISTRO!A1571</f>
        <v/>
      </c>
      <c r="B1588" s="31">
        <f>+VLOOKUP($A1588,MAGAZZINO!$B$2:$M$4838,2,FALSE)</f>
        <v/>
      </c>
      <c r="C1588" s="32">
        <f>+VLOOKUP($A1588,MAGAZZINO!$B$2:$M$4838,3,FALSE)</f>
        <v/>
      </c>
      <c r="D1588" s="17">
        <f>+VLOOKUP($A1588,MAGAZZINO!$B$2:$M$4838,4,FALSE)</f>
        <v/>
      </c>
      <c r="E1588" s="17">
        <f>+VLOOKUP($A1588,MAGAZZINO!$B$2:$M$4838,5,FALSE)</f>
        <v/>
      </c>
      <c r="F1588" s="17">
        <f>+VLOOKUP($A1588,MAGAZZINO!$B$2:$M$4838,6,FALSE)</f>
        <v/>
      </c>
      <c r="G1588" s="17">
        <f>+VLOOKUP($A1588,MAGAZZINO!$B$2:$M$4838,7,FALSE)</f>
        <v/>
      </c>
      <c r="H1588" s="17">
        <f>+VLOOKUP($A1588,MAGAZZINO!$B$2:$M$4838,8,FALSE)</f>
        <v/>
      </c>
      <c r="I1588" s="17">
        <f>+VLOOKUP($A1588,MAGAZZINO!$B$2:$M$4838,9,FALSE)</f>
        <v/>
      </c>
      <c r="J1588" s="17">
        <f>+VLOOKUP($A1588,MAGAZZINO!$B$2:$M$4838,10,FALSE)</f>
        <v/>
      </c>
      <c r="K1588" s="17">
        <f>+VLOOKUP($A1588,MAGAZZINO!$B$2:$M$4838,11,FALSE)</f>
        <v/>
      </c>
      <c r="L1588" s="44">
        <f>+VLOOKUP($A1588,MAGAZZINO!$B$2:$M$4838,12,FALSE)</f>
        <v/>
      </c>
    </row>
    <row r="1589" ht="36" customHeight="1">
      <c r="A1589" s="30">
        <f>+REGISTRO!A1572</f>
        <v/>
      </c>
      <c r="B1589" s="31">
        <f>+VLOOKUP($A1589,MAGAZZINO!$B$2:$M$4838,2,FALSE)</f>
        <v/>
      </c>
      <c r="C1589" s="32">
        <f>+VLOOKUP($A1589,MAGAZZINO!$B$2:$M$4838,3,FALSE)</f>
        <v/>
      </c>
      <c r="D1589" s="17">
        <f>+VLOOKUP($A1589,MAGAZZINO!$B$2:$M$4838,4,FALSE)</f>
        <v/>
      </c>
      <c r="E1589" s="17">
        <f>+VLOOKUP($A1589,MAGAZZINO!$B$2:$M$4838,5,FALSE)</f>
        <v/>
      </c>
      <c r="F1589" s="17">
        <f>+VLOOKUP($A1589,MAGAZZINO!$B$2:$M$4838,6,FALSE)</f>
        <v/>
      </c>
      <c r="G1589" s="17">
        <f>+VLOOKUP($A1589,MAGAZZINO!$B$2:$M$4838,7,FALSE)</f>
        <v/>
      </c>
      <c r="H1589" s="17">
        <f>+VLOOKUP($A1589,MAGAZZINO!$B$2:$M$4838,8,FALSE)</f>
        <v/>
      </c>
      <c r="I1589" s="17">
        <f>+VLOOKUP($A1589,MAGAZZINO!$B$2:$M$4838,9,FALSE)</f>
        <v/>
      </c>
      <c r="J1589" s="17">
        <f>+VLOOKUP($A1589,MAGAZZINO!$B$2:$M$4838,10,FALSE)</f>
        <v/>
      </c>
      <c r="K1589" s="17">
        <f>+VLOOKUP($A1589,MAGAZZINO!$B$2:$M$4838,11,FALSE)</f>
        <v/>
      </c>
      <c r="L1589" s="44">
        <f>+VLOOKUP($A1589,MAGAZZINO!$B$2:$M$4838,12,FALSE)</f>
        <v/>
      </c>
    </row>
    <row r="1590" ht="36" customHeight="1">
      <c r="A1590" s="30">
        <f>+REGISTRO!A1573</f>
        <v/>
      </c>
      <c r="B1590" s="31">
        <f>+VLOOKUP($A1590,MAGAZZINO!$B$2:$M$4838,2,FALSE)</f>
        <v/>
      </c>
      <c r="C1590" s="32">
        <f>+VLOOKUP($A1590,MAGAZZINO!$B$2:$M$4838,3,FALSE)</f>
        <v/>
      </c>
      <c r="D1590" s="17">
        <f>+VLOOKUP($A1590,MAGAZZINO!$B$2:$M$4838,4,FALSE)</f>
        <v/>
      </c>
      <c r="E1590" s="17">
        <f>+VLOOKUP($A1590,MAGAZZINO!$B$2:$M$4838,5,FALSE)</f>
        <v/>
      </c>
      <c r="F1590" s="17">
        <f>+VLOOKUP($A1590,MAGAZZINO!$B$2:$M$4838,6,FALSE)</f>
        <v/>
      </c>
      <c r="G1590" s="17">
        <f>+VLOOKUP($A1590,MAGAZZINO!$B$2:$M$4838,7,FALSE)</f>
        <v/>
      </c>
      <c r="H1590" s="17">
        <f>+VLOOKUP($A1590,MAGAZZINO!$B$2:$M$4838,8,FALSE)</f>
        <v/>
      </c>
      <c r="I1590" s="17">
        <f>+VLOOKUP($A1590,MAGAZZINO!$B$2:$M$4838,9,FALSE)</f>
        <v/>
      </c>
      <c r="J1590" s="17">
        <f>+VLOOKUP($A1590,MAGAZZINO!$B$2:$M$4838,10,FALSE)</f>
        <v/>
      </c>
      <c r="K1590" s="17">
        <f>+VLOOKUP($A1590,MAGAZZINO!$B$2:$M$4838,11,FALSE)</f>
        <v/>
      </c>
      <c r="L1590" s="44">
        <f>+VLOOKUP($A1590,MAGAZZINO!$B$2:$M$4838,12,FALSE)</f>
        <v/>
      </c>
    </row>
    <row r="1591" ht="36" customHeight="1">
      <c r="A1591" s="30">
        <f>+REGISTRO!A1574</f>
        <v/>
      </c>
      <c r="B1591" s="31">
        <f>+VLOOKUP($A1591,MAGAZZINO!$B$2:$M$4838,2,FALSE)</f>
        <v/>
      </c>
      <c r="C1591" s="32">
        <f>+VLOOKUP($A1591,MAGAZZINO!$B$2:$M$4838,3,FALSE)</f>
        <v/>
      </c>
      <c r="D1591" s="17">
        <f>+VLOOKUP($A1591,MAGAZZINO!$B$2:$M$4838,4,FALSE)</f>
        <v/>
      </c>
      <c r="E1591" s="17">
        <f>+VLOOKUP($A1591,MAGAZZINO!$B$2:$M$4838,5,FALSE)</f>
        <v/>
      </c>
      <c r="F1591" s="17">
        <f>+VLOOKUP($A1591,MAGAZZINO!$B$2:$M$4838,6,FALSE)</f>
        <v/>
      </c>
      <c r="G1591" s="17">
        <f>+VLOOKUP($A1591,MAGAZZINO!$B$2:$M$4838,7,FALSE)</f>
        <v/>
      </c>
      <c r="H1591" s="17">
        <f>+VLOOKUP($A1591,MAGAZZINO!$B$2:$M$4838,8,FALSE)</f>
        <v/>
      </c>
      <c r="I1591" s="17">
        <f>+VLOOKUP($A1591,MAGAZZINO!$B$2:$M$4838,9,FALSE)</f>
        <v/>
      </c>
      <c r="J1591" s="17">
        <f>+VLOOKUP($A1591,MAGAZZINO!$B$2:$M$4838,10,FALSE)</f>
        <v/>
      </c>
      <c r="K1591" s="17">
        <f>+VLOOKUP($A1591,MAGAZZINO!$B$2:$M$4838,11,FALSE)</f>
        <v/>
      </c>
      <c r="L1591" s="44">
        <f>+VLOOKUP($A1591,MAGAZZINO!$B$2:$M$4838,12,FALSE)</f>
        <v/>
      </c>
    </row>
    <row r="1592" ht="36" customHeight="1">
      <c r="A1592" s="30">
        <f>+REGISTRO!A1575</f>
        <v/>
      </c>
      <c r="B1592" s="31">
        <f>+VLOOKUP($A1592,MAGAZZINO!$B$2:$M$4838,2,FALSE)</f>
        <v/>
      </c>
      <c r="C1592" s="32">
        <f>+VLOOKUP($A1592,MAGAZZINO!$B$2:$M$4838,3,FALSE)</f>
        <v/>
      </c>
      <c r="D1592" s="17">
        <f>+VLOOKUP($A1592,MAGAZZINO!$B$2:$M$4838,4,FALSE)</f>
        <v/>
      </c>
      <c r="E1592" s="17">
        <f>+VLOOKUP($A1592,MAGAZZINO!$B$2:$M$4838,5,FALSE)</f>
        <v/>
      </c>
      <c r="F1592" s="17">
        <f>+VLOOKUP($A1592,MAGAZZINO!$B$2:$M$4838,6,FALSE)</f>
        <v/>
      </c>
      <c r="G1592" s="17">
        <f>+VLOOKUP($A1592,MAGAZZINO!$B$2:$M$4838,7,FALSE)</f>
        <v/>
      </c>
      <c r="H1592" s="17">
        <f>+VLOOKUP($A1592,MAGAZZINO!$B$2:$M$4838,8,FALSE)</f>
        <v/>
      </c>
      <c r="I1592" s="17">
        <f>+VLOOKUP($A1592,MAGAZZINO!$B$2:$M$4838,9,FALSE)</f>
        <v/>
      </c>
      <c r="J1592" s="17">
        <f>+VLOOKUP($A1592,MAGAZZINO!$B$2:$M$4838,10,FALSE)</f>
        <v/>
      </c>
      <c r="K1592" s="17">
        <f>+VLOOKUP($A1592,MAGAZZINO!$B$2:$M$4838,11,FALSE)</f>
        <v/>
      </c>
      <c r="L1592" s="44">
        <f>+VLOOKUP($A1592,MAGAZZINO!$B$2:$M$4838,12,FALSE)</f>
        <v/>
      </c>
    </row>
    <row r="1593" ht="36" customHeight="1">
      <c r="A1593" s="30">
        <f>+REGISTRO!A1576</f>
        <v/>
      </c>
      <c r="B1593" s="31">
        <f>+VLOOKUP($A1593,MAGAZZINO!$B$2:$M$4838,2,FALSE)</f>
        <v/>
      </c>
      <c r="C1593" s="32">
        <f>+VLOOKUP($A1593,MAGAZZINO!$B$2:$M$4838,3,FALSE)</f>
        <v/>
      </c>
      <c r="D1593" s="17">
        <f>+VLOOKUP($A1593,MAGAZZINO!$B$2:$M$4838,4,FALSE)</f>
        <v/>
      </c>
      <c r="E1593" s="17">
        <f>+VLOOKUP($A1593,MAGAZZINO!$B$2:$M$4838,5,FALSE)</f>
        <v/>
      </c>
      <c r="F1593" s="17">
        <f>+VLOOKUP($A1593,MAGAZZINO!$B$2:$M$4838,6,FALSE)</f>
        <v/>
      </c>
      <c r="G1593" s="17">
        <f>+VLOOKUP($A1593,MAGAZZINO!$B$2:$M$4838,7,FALSE)</f>
        <v/>
      </c>
      <c r="H1593" s="17">
        <f>+VLOOKUP($A1593,MAGAZZINO!$B$2:$M$4838,8,FALSE)</f>
        <v/>
      </c>
      <c r="I1593" s="17">
        <f>+VLOOKUP($A1593,MAGAZZINO!$B$2:$M$4838,9,FALSE)</f>
        <v/>
      </c>
      <c r="J1593" s="17">
        <f>+VLOOKUP($A1593,MAGAZZINO!$B$2:$M$4838,10,FALSE)</f>
        <v/>
      </c>
      <c r="K1593" s="17">
        <f>+VLOOKUP($A1593,MAGAZZINO!$B$2:$M$4838,11,FALSE)</f>
        <v/>
      </c>
      <c r="L1593" s="44">
        <f>+VLOOKUP($A1593,MAGAZZINO!$B$2:$M$4838,12,FALSE)</f>
        <v/>
      </c>
    </row>
    <row r="1594" ht="36" customHeight="1">
      <c r="A1594" s="30">
        <f>+REGISTRO!A1577</f>
        <v/>
      </c>
      <c r="B1594" s="31">
        <f>+VLOOKUP($A1594,MAGAZZINO!$B$2:$M$4838,2,FALSE)</f>
        <v/>
      </c>
      <c r="C1594" s="32">
        <f>+VLOOKUP($A1594,MAGAZZINO!$B$2:$M$4838,3,FALSE)</f>
        <v/>
      </c>
      <c r="D1594" s="17">
        <f>+VLOOKUP($A1594,MAGAZZINO!$B$2:$M$4838,4,FALSE)</f>
        <v/>
      </c>
      <c r="E1594" s="17">
        <f>+VLOOKUP($A1594,MAGAZZINO!$B$2:$M$4838,5,FALSE)</f>
        <v/>
      </c>
      <c r="F1594" s="17">
        <f>+VLOOKUP($A1594,MAGAZZINO!$B$2:$M$4838,6,FALSE)</f>
        <v/>
      </c>
      <c r="G1594" s="17">
        <f>+VLOOKUP($A1594,MAGAZZINO!$B$2:$M$4838,7,FALSE)</f>
        <v/>
      </c>
      <c r="H1594" s="17">
        <f>+VLOOKUP($A1594,MAGAZZINO!$B$2:$M$4838,8,FALSE)</f>
        <v/>
      </c>
      <c r="I1594" s="17">
        <f>+VLOOKUP($A1594,MAGAZZINO!$B$2:$M$4838,9,FALSE)</f>
        <v/>
      </c>
      <c r="J1594" s="17">
        <f>+VLOOKUP($A1594,MAGAZZINO!$B$2:$M$4838,10,FALSE)</f>
        <v/>
      </c>
      <c r="K1594" s="17">
        <f>+VLOOKUP($A1594,MAGAZZINO!$B$2:$M$4838,11,FALSE)</f>
        <v/>
      </c>
      <c r="L1594" s="44">
        <f>+VLOOKUP($A1594,MAGAZZINO!$B$2:$M$4838,12,FALSE)</f>
        <v/>
      </c>
    </row>
    <row r="1595" ht="36" customHeight="1">
      <c r="A1595" s="30">
        <f>+REGISTRO!A1578</f>
        <v/>
      </c>
      <c r="B1595" s="31">
        <f>+VLOOKUP($A1595,MAGAZZINO!$B$2:$M$4838,2,FALSE)</f>
        <v/>
      </c>
      <c r="C1595" s="32">
        <f>+VLOOKUP($A1595,MAGAZZINO!$B$2:$M$4838,3,FALSE)</f>
        <v/>
      </c>
      <c r="D1595" s="17">
        <f>+VLOOKUP($A1595,MAGAZZINO!$B$2:$M$4838,4,FALSE)</f>
        <v/>
      </c>
      <c r="E1595" s="17">
        <f>+VLOOKUP($A1595,MAGAZZINO!$B$2:$M$4838,5,FALSE)</f>
        <v/>
      </c>
      <c r="F1595" s="17">
        <f>+VLOOKUP($A1595,MAGAZZINO!$B$2:$M$4838,6,FALSE)</f>
        <v/>
      </c>
      <c r="G1595" s="17">
        <f>+VLOOKUP($A1595,MAGAZZINO!$B$2:$M$4838,7,FALSE)</f>
        <v/>
      </c>
      <c r="H1595" s="17">
        <f>+VLOOKUP($A1595,MAGAZZINO!$B$2:$M$4838,8,FALSE)</f>
        <v/>
      </c>
      <c r="I1595" s="17">
        <f>+VLOOKUP($A1595,MAGAZZINO!$B$2:$M$4838,9,FALSE)</f>
        <v/>
      </c>
      <c r="J1595" s="17">
        <f>+VLOOKUP($A1595,MAGAZZINO!$B$2:$M$4838,10,FALSE)</f>
        <v/>
      </c>
      <c r="K1595" s="17">
        <f>+VLOOKUP($A1595,MAGAZZINO!$B$2:$M$4838,11,FALSE)</f>
        <v/>
      </c>
      <c r="L1595" s="44">
        <f>+VLOOKUP($A1595,MAGAZZINO!$B$2:$M$4838,12,FALSE)</f>
        <v/>
      </c>
    </row>
    <row r="1596" ht="36" customHeight="1">
      <c r="A1596" s="30">
        <f>+REGISTRO!A1579</f>
        <v/>
      </c>
      <c r="B1596" s="31">
        <f>+VLOOKUP($A1596,MAGAZZINO!$B$2:$M$4838,2,FALSE)</f>
        <v/>
      </c>
      <c r="C1596" s="32">
        <f>+VLOOKUP($A1596,MAGAZZINO!$B$2:$M$4838,3,FALSE)</f>
        <v/>
      </c>
      <c r="D1596" s="17">
        <f>+VLOOKUP($A1596,MAGAZZINO!$B$2:$M$4838,4,FALSE)</f>
        <v/>
      </c>
      <c r="E1596" s="17">
        <f>+VLOOKUP($A1596,MAGAZZINO!$B$2:$M$4838,5,FALSE)</f>
        <v/>
      </c>
      <c r="F1596" s="17">
        <f>+VLOOKUP($A1596,MAGAZZINO!$B$2:$M$4838,6,FALSE)</f>
        <v/>
      </c>
      <c r="G1596" s="17">
        <f>+VLOOKUP($A1596,MAGAZZINO!$B$2:$M$4838,7,FALSE)</f>
        <v/>
      </c>
      <c r="H1596" s="17">
        <f>+VLOOKUP($A1596,MAGAZZINO!$B$2:$M$4838,8,FALSE)</f>
        <v/>
      </c>
      <c r="I1596" s="17">
        <f>+VLOOKUP($A1596,MAGAZZINO!$B$2:$M$4838,9,FALSE)</f>
        <v/>
      </c>
      <c r="J1596" s="17">
        <f>+VLOOKUP($A1596,MAGAZZINO!$B$2:$M$4838,10,FALSE)</f>
        <v/>
      </c>
      <c r="K1596" s="17">
        <f>+VLOOKUP($A1596,MAGAZZINO!$B$2:$M$4838,11,FALSE)</f>
        <v/>
      </c>
      <c r="L1596" s="44">
        <f>+VLOOKUP($A1596,MAGAZZINO!$B$2:$M$4838,12,FALSE)</f>
        <v/>
      </c>
    </row>
    <row r="1597" ht="36" customHeight="1">
      <c r="A1597" s="30">
        <f>+REGISTRO!A1580</f>
        <v/>
      </c>
      <c r="B1597" s="31">
        <f>+VLOOKUP($A1597,MAGAZZINO!$B$2:$M$4838,2,FALSE)</f>
        <v/>
      </c>
      <c r="C1597" s="32">
        <f>+VLOOKUP($A1597,MAGAZZINO!$B$2:$M$4838,3,FALSE)</f>
        <v/>
      </c>
      <c r="D1597" s="17">
        <f>+VLOOKUP($A1597,MAGAZZINO!$B$2:$M$4838,4,FALSE)</f>
        <v/>
      </c>
      <c r="E1597" s="17">
        <f>+VLOOKUP($A1597,MAGAZZINO!$B$2:$M$4838,5,FALSE)</f>
        <v/>
      </c>
      <c r="F1597" s="17">
        <f>+VLOOKUP($A1597,MAGAZZINO!$B$2:$M$4838,6,FALSE)</f>
        <v/>
      </c>
      <c r="G1597" s="17">
        <f>+VLOOKUP($A1597,MAGAZZINO!$B$2:$M$4838,7,FALSE)</f>
        <v/>
      </c>
      <c r="H1597" s="17">
        <f>+VLOOKUP($A1597,MAGAZZINO!$B$2:$M$4838,8,FALSE)</f>
        <v/>
      </c>
      <c r="I1597" s="17">
        <f>+VLOOKUP($A1597,MAGAZZINO!$B$2:$M$4838,9,FALSE)</f>
        <v/>
      </c>
      <c r="J1597" s="17">
        <f>+VLOOKUP($A1597,MAGAZZINO!$B$2:$M$4838,10,FALSE)</f>
        <v/>
      </c>
      <c r="K1597" s="17">
        <f>+VLOOKUP($A1597,MAGAZZINO!$B$2:$M$4838,11,FALSE)</f>
        <v/>
      </c>
      <c r="L1597" s="44">
        <f>+VLOOKUP($A1597,MAGAZZINO!$B$2:$M$4838,12,FALSE)</f>
        <v/>
      </c>
    </row>
    <row r="1598" ht="36" customHeight="1">
      <c r="A1598" s="30">
        <f>+REGISTRO!A1581</f>
        <v/>
      </c>
      <c r="B1598" s="31">
        <f>+VLOOKUP($A1598,MAGAZZINO!$B$2:$M$4838,2,FALSE)</f>
        <v/>
      </c>
      <c r="C1598" s="32">
        <f>+VLOOKUP($A1598,MAGAZZINO!$B$2:$M$4838,3,FALSE)</f>
        <v/>
      </c>
      <c r="D1598" s="17">
        <f>+VLOOKUP($A1598,MAGAZZINO!$B$2:$M$4838,4,FALSE)</f>
        <v/>
      </c>
      <c r="E1598" s="17">
        <f>+VLOOKUP($A1598,MAGAZZINO!$B$2:$M$4838,5,FALSE)</f>
        <v/>
      </c>
      <c r="F1598" s="17">
        <f>+VLOOKUP($A1598,MAGAZZINO!$B$2:$M$4838,6,FALSE)</f>
        <v/>
      </c>
      <c r="G1598" s="17">
        <f>+VLOOKUP($A1598,MAGAZZINO!$B$2:$M$4838,7,FALSE)</f>
        <v/>
      </c>
      <c r="H1598" s="17">
        <f>+VLOOKUP($A1598,MAGAZZINO!$B$2:$M$4838,8,FALSE)</f>
        <v/>
      </c>
      <c r="I1598" s="17">
        <f>+VLOOKUP($A1598,MAGAZZINO!$B$2:$M$4838,9,FALSE)</f>
        <v/>
      </c>
      <c r="J1598" s="17">
        <f>+VLOOKUP($A1598,MAGAZZINO!$B$2:$M$4838,10,FALSE)</f>
        <v/>
      </c>
      <c r="K1598" s="17">
        <f>+VLOOKUP($A1598,MAGAZZINO!$B$2:$M$4838,11,FALSE)</f>
        <v/>
      </c>
      <c r="L1598" s="44">
        <f>+VLOOKUP($A1598,MAGAZZINO!$B$2:$M$4838,12,FALSE)</f>
        <v/>
      </c>
    </row>
    <row r="1599" ht="36" customHeight="1">
      <c r="A1599" s="30">
        <f>+REGISTRO!A1582</f>
        <v/>
      </c>
      <c r="B1599" s="31">
        <f>+VLOOKUP($A1599,MAGAZZINO!$B$2:$M$4838,2,FALSE)</f>
        <v/>
      </c>
      <c r="C1599" s="32">
        <f>+VLOOKUP($A1599,MAGAZZINO!$B$2:$M$4838,3,FALSE)</f>
        <v/>
      </c>
      <c r="D1599" s="17">
        <f>+VLOOKUP($A1599,MAGAZZINO!$B$2:$M$4838,4,FALSE)</f>
        <v/>
      </c>
      <c r="E1599" s="17">
        <f>+VLOOKUP($A1599,MAGAZZINO!$B$2:$M$4838,5,FALSE)</f>
        <v/>
      </c>
      <c r="F1599" s="17">
        <f>+VLOOKUP($A1599,MAGAZZINO!$B$2:$M$4838,6,FALSE)</f>
        <v/>
      </c>
      <c r="G1599" s="17">
        <f>+VLOOKUP($A1599,MAGAZZINO!$B$2:$M$4838,7,FALSE)</f>
        <v/>
      </c>
      <c r="H1599" s="17">
        <f>+VLOOKUP($A1599,MAGAZZINO!$B$2:$M$4838,8,FALSE)</f>
        <v/>
      </c>
      <c r="I1599" s="17">
        <f>+VLOOKUP($A1599,MAGAZZINO!$B$2:$M$4838,9,FALSE)</f>
        <v/>
      </c>
      <c r="J1599" s="17">
        <f>+VLOOKUP($A1599,MAGAZZINO!$B$2:$M$4838,10,FALSE)</f>
        <v/>
      </c>
      <c r="K1599" s="17">
        <f>+VLOOKUP($A1599,MAGAZZINO!$B$2:$M$4838,11,FALSE)</f>
        <v/>
      </c>
      <c r="L1599" s="44">
        <f>+VLOOKUP($A1599,MAGAZZINO!$B$2:$M$4838,12,FALSE)</f>
        <v/>
      </c>
    </row>
    <row r="1600" ht="36" customHeight="1">
      <c r="A1600" s="30">
        <f>+REGISTRO!A1583</f>
        <v/>
      </c>
      <c r="B1600" s="31">
        <f>+VLOOKUP($A1600,MAGAZZINO!$B$2:$M$4838,2,FALSE)</f>
        <v/>
      </c>
      <c r="C1600" s="32">
        <f>+VLOOKUP($A1600,MAGAZZINO!$B$2:$M$4838,3,FALSE)</f>
        <v/>
      </c>
      <c r="D1600" s="17">
        <f>+VLOOKUP($A1600,MAGAZZINO!$B$2:$M$4838,4,FALSE)</f>
        <v/>
      </c>
      <c r="E1600" s="17">
        <f>+VLOOKUP($A1600,MAGAZZINO!$B$2:$M$4838,5,FALSE)</f>
        <v/>
      </c>
      <c r="F1600" s="17">
        <f>+VLOOKUP($A1600,MAGAZZINO!$B$2:$M$4838,6,FALSE)</f>
        <v/>
      </c>
      <c r="G1600" s="17">
        <f>+VLOOKUP($A1600,MAGAZZINO!$B$2:$M$4838,7,FALSE)</f>
        <v/>
      </c>
      <c r="H1600" s="17">
        <f>+VLOOKUP($A1600,MAGAZZINO!$B$2:$M$4838,8,FALSE)</f>
        <v/>
      </c>
      <c r="I1600" s="17">
        <f>+VLOOKUP($A1600,MAGAZZINO!$B$2:$M$4838,9,FALSE)</f>
        <v/>
      </c>
      <c r="J1600" s="17">
        <f>+VLOOKUP($A1600,MAGAZZINO!$B$2:$M$4838,10,FALSE)</f>
        <v/>
      </c>
      <c r="K1600" s="17">
        <f>+VLOOKUP($A1600,MAGAZZINO!$B$2:$M$4838,11,FALSE)</f>
        <v/>
      </c>
      <c r="L1600" s="44">
        <f>+VLOOKUP($A1600,MAGAZZINO!$B$2:$M$4838,12,FALSE)</f>
        <v/>
      </c>
    </row>
    <row r="1601" ht="36" customHeight="1">
      <c r="A1601" s="30">
        <f>+REGISTRO!A1584</f>
        <v/>
      </c>
      <c r="B1601" s="31">
        <f>+VLOOKUP($A1601,MAGAZZINO!$B$2:$M$4838,2,FALSE)</f>
        <v/>
      </c>
      <c r="C1601" s="32">
        <f>+VLOOKUP($A1601,MAGAZZINO!$B$2:$M$4838,3,FALSE)</f>
        <v/>
      </c>
      <c r="D1601" s="17">
        <f>+VLOOKUP($A1601,MAGAZZINO!$B$2:$M$4838,4,FALSE)</f>
        <v/>
      </c>
      <c r="E1601" s="17">
        <f>+VLOOKUP($A1601,MAGAZZINO!$B$2:$M$4838,5,FALSE)</f>
        <v/>
      </c>
      <c r="F1601" s="17">
        <f>+VLOOKUP($A1601,MAGAZZINO!$B$2:$M$4838,6,FALSE)</f>
        <v/>
      </c>
      <c r="G1601" s="17">
        <f>+VLOOKUP($A1601,MAGAZZINO!$B$2:$M$4838,7,FALSE)</f>
        <v/>
      </c>
      <c r="H1601" s="17">
        <f>+VLOOKUP($A1601,MAGAZZINO!$B$2:$M$4838,8,FALSE)</f>
        <v/>
      </c>
      <c r="I1601" s="17">
        <f>+VLOOKUP($A1601,MAGAZZINO!$B$2:$M$4838,9,FALSE)</f>
        <v/>
      </c>
      <c r="J1601" s="17">
        <f>+VLOOKUP($A1601,MAGAZZINO!$B$2:$M$4838,10,FALSE)</f>
        <v/>
      </c>
      <c r="K1601" s="17">
        <f>+VLOOKUP($A1601,MAGAZZINO!$B$2:$M$4838,11,FALSE)</f>
        <v/>
      </c>
      <c r="L1601" s="44">
        <f>+VLOOKUP($A1601,MAGAZZINO!$B$2:$M$4838,12,FALSE)</f>
        <v/>
      </c>
    </row>
    <row r="1602" ht="36" customHeight="1">
      <c r="A1602" s="30">
        <f>+REGISTRO!A1585</f>
        <v/>
      </c>
      <c r="B1602" s="31">
        <f>+VLOOKUP($A1602,MAGAZZINO!$B$2:$M$4838,2,FALSE)</f>
        <v/>
      </c>
      <c r="C1602" s="32">
        <f>+VLOOKUP($A1602,MAGAZZINO!$B$2:$M$4838,3,FALSE)</f>
        <v/>
      </c>
      <c r="D1602" s="17">
        <f>+VLOOKUP($A1602,MAGAZZINO!$B$2:$M$4838,4,FALSE)</f>
        <v/>
      </c>
      <c r="E1602" s="17">
        <f>+VLOOKUP($A1602,MAGAZZINO!$B$2:$M$4838,5,FALSE)</f>
        <v/>
      </c>
      <c r="F1602" s="17">
        <f>+VLOOKUP($A1602,MAGAZZINO!$B$2:$M$4838,6,FALSE)</f>
        <v/>
      </c>
      <c r="G1602" s="17">
        <f>+VLOOKUP($A1602,MAGAZZINO!$B$2:$M$4838,7,FALSE)</f>
        <v/>
      </c>
      <c r="H1602" s="17">
        <f>+VLOOKUP($A1602,MAGAZZINO!$B$2:$M$4838,8,FALSE)</f>
        <v/>
      </c>
      <c r="I1602" s="17">
        <f>+VLOOKUP($A1602,MAGAZZINO!$B$2:$M$4838,9,FALSE)</f>
        <v/>
      </c>
      <c r="J1602" s="17">
        <f>+VLOOKUP($A1602,MAGAZZINO!$B$2:$M$4838,10,FALSE)</f>
        <v/>
      </c>
      <c r="K1602" s="17">
        <f>+VLOOKUP($A1602,MAGAZZINO!$B$2:$M$4838,11,FALSE)</f>
        <v/>
      </c>
      <c r="L1602" s="44">
        <f>+VLOOKUP($A1602,MAGAZZINO!$B$2:$M$4838,12,FALSE)</f>
        <v/>
      </c>
    </row>
    <row r="1603" ht="36" customHeight="1">
      <c r="A1603" s="30">
        <f>+REGISTRO!A1586</f>
        <v/>
      </c>
      <c r="B1603" s="31">
        <f>+VLOOKUP($A1603,MAGAZZINO!$B$2:$M$4838,2,FALSE)</f>
        <v/>
      </c>
      <c r="C1603" s="32">
        <f>+VLOOKUP($A1603,MAGAZZINO!$B$2:$M$4838,3,FALSE)</f>
        <v/>
      </c>
      <c r="D1603" s="17">
        <f>+VLOOKUP($A1603,MAGAZZINO!$B$2:$M$4838,4,FALSE)</f>
        <v/>
      </c>
      <c r="E1603" s="17">
        <f>+VLOOKUP($A1603,MAGAZZINO!$B$2:$M$4838,5,FALSE)</f>
        <v/>
      </c>
      <c r="F1603" s="17">
        <f>+VLOOKUP($A1603,MAGAZZINO!$B$2:$M$4838,6,FALSE)</f>
        <v/>
      </c>
      <c r="G1603" s="17">
        <f>+VLOOKUP($A1603,MAGAZZINO!$B$2:$M$4838,7,FALSE)</f>
        <v/>
      </c>
      <c r="H1603" s="17">
        <f>+VLOOKUP($A1603,MAGAZZINO!$B$2:$M$4838,8,FALSE)</f>
        <v/>
      </c>
      <c r="I1603" s="17">
        <f>+VLOOKUP($A1603,MAGAZZINO!$B$2:$M$4838,9,FALSE)</f>
        <v/>
      </c>
      <c r="J1603" s="17">
        <f>+VLOOKUP($A1603,MAGAZZINO!$B$2:$M$4838,10,FALSE)</f>
        <v/>
      </c>
      <c r="K1603" s="17">
        <f>+VLOOKUP($A1603,MAGAZZINO!$B$2:$M$4838,11,FALSE)</f>
        <v/>
      </c>
      <c r="L1603" s="44">
        <f>+VLOOKUP($A1603,MAGAZZINO!$B$2:$M$4838,12,FALSE)</f>
        <v/>
      </c>
    </row>
    <row r="1604" ht="36" customHeight="1">
      <c r="A1604" s="30">
        <f>+REGISTRO!A1587</f>
        <v/>
      </c>
      <c r="B1604" s="31">
        <f>+VLOOKUP($A1604,MAGAZZINO!$B$2:$M$4838,2,FALSE)</f>
        <v/>
      </c>
      <c r="C1604" s="32">
        <f>+VLOOKUP($A1604,MAGAZZINO!$B$2:$M$4838,3,FALSE)</f>
        <v/>
      </c>
      <c r="D1604" s="17">
        <f>+VLOOKUP($A1604,MAGAZZINO!$B$2:$M$4838,4,FALSE)</f>
        <v/>
      </c>
      <c r="E1604" s="17">
        <f>+VLOOKUP($A1604,MAGAZZINO!$B$2:$M$4838,5,FALSE)</f>
        <v/>
      </c>
      <c r="F1604" s="17">
        <f>+VLOOKUP($A1604,MAGAZZINO!$B$2:$M$4838,6,FALSE)</f>
        <v/>
      </c>
      <c r="G1604" s="17">
        <f>+VLOOKUP($A1604,MAGAZZINO!$B$2:$M$4838,7,FALSE)</f>
        <v/>
      </c>
      <c r="H1604" s="17">
        <f>+VLOOKUP($A1604,MAGAZZINO!$B$2:$M$4838,8,FALSE)</f>
        <v/>
      </c>
      <c r="I1604" s="17">
        <f>+VLOOKUP($A1604,MAGAZZINO!$B$2:$M$4838,9,FALSE)</f>
        <v/>
      </c>
      <c r="J1604" s="17">
        <f>+VLOOKUP($A1604,MAGAZZINO!$B$2:$M$4838,10,FALSE)</f>
        <v/>
      </c>
      <c r="K1604" s="17">
        <f>+VLOOKUP($A1604,MAGAZZINO!$B$2:$M$4838,11,FALSE)</f>
        <v/>
      </c>
      <c r="L1604" s="44">
        <f>+VLOOKUP($A1604,MAGAZZINO!$B$2:$M$4838,12,FALSE)</f>
        <v/>
      </c>
    </row>
    <row r="1605" ht="36" customHeight="1">
      <c r="A1605" s="30">
        <f>+REGISTRO!A1588</f>
        <v/>
      </c>
      <c r="B1605" s="31">
        <f>+VLOOKUP($A1605,MAGAZZINO!$B$2:$M$4838,2,FALSE)</f>
        <v/>
      </c>
      <c r="C1605" s="32">
        <f>+VLOOKUP($A1605,MAGAZZINO!$B$2:$M$4838,3,FALSE)</f>
        <v/>
      </c>
      <c r="D1605" s="17">
        <f>+VLOOKUP($A1605,MAGAZZINO!$B$2:$M$4838,4,FALSE)</f>
        <v/>
      </c>
      <c r="E1605" s="17">
        <f>+VLOOKUP($A1605,MAGAZZINO!$B$2:$M$4838,5,FALSE)</f>
        <v/>
      </c>
      <c r="F1605" s="17">
        <f>+VLOOKUP($A1605,MAGAZZINO!$B$2:$M$4838,6,FALSE)</f>
        <v/>
      </c>
      <c r="G1605" s="17">
        <f>+VLOOKUP($A1605,MAGAZZINO!$B$2:$M$4838,7,FALSE)</f>
        <v/>
      </c>
      <c r="H1605" s="17">
        <f>+VLOOKUP($A1605,MAGAZZINO!$B$2:$M$4838,8,FALSE)</f>
        <v/>
      </c>
      <c r="I1605" s="17">
        <f>+VLOOKUP($A1605,MAGAZZINO!$B$2:$M$4838,9,FALSE)</f>
        <v/>
      </c>
      <c r="J1605" s="17">
        <f>+VLOOKUP($A1605,MAGAZZINO!$B$2:$M$4838,10,FALSE)</f>
        <v/>
      </c>
      <c r="K1605" s="17">
        <f>+VLOOKUP($A1605,MAGAZZINO!$B$2:$M$4838,11,FALSE)</f>
        <v/>
      </c>
      <c r="L1605" s="44">
        <f>+VLOOKUP($A1605,MAGAZZINO!$B$2:$M$4838,12,FALSE)</f>
        <v/>
      </c>
    </row>
    <row r="1606" ht="36" customHeight="1">
      <c r="A1606" s="30">
        <f>+REGISTRO!A1589</f>
        <v/>
      </c>
      <c r="B1606" s="31">
        <f>+VLOOKUP($A1606,MAGAZZINO!$B$2:$M$4838,2,FALSE)</f>
        <v/>
      </c>
      <c r="C1606" s="32">
        <f>+VLOOKUP($A1606,MAGAZZINO!$B$2:$M$4838,3,FALSE)</f>
        <v/>
      </c>
      <c r="D1606" s="17">
        <f>+VLOOKUP($A1606,MAGAZZINO!$B$2:$M$4838,4,FALSE)</f>
        <v/>
      </c>
      <c r="E1606" s="17">
        <f>+VLOOKUP($A1606,MAGAZZINO!$B$2:$M$4838,5,FALSE)</f>
        <v/>
      </c>
      <c r="F1606" s="17">
        <f>+VLOOKUP($A1606,MAGAZZINO!$B$2:$M$4838,6,FALSE)</f>
        <v/>
      </c>
      <c r="G1606" s="17">
        <f>+VLOOKUP($A1606,MAGAZZINO!$B$2:$M$4838,7,FALSE)</f>
        <v/>
      </c>
      <c r="H1606" s="17">
        <f>+VLOOKUP($A1606,MAGAZZINO!$B$2:$M$4838,8,FALSE)</f>
        <v/>
      </c>
      <c r="I1606" s="17">
        <f>+VLOOKUP($A1606,MAGAZZINO!$B$2:$M$4838,9,FALSE)</f>
        <v/>
      </c>
      <c r="J1606" s="17">
        <f>+VLOOKUP($A1606,MAGAZZINO!$B$2:$M$4838,10,FALSE)</f>
        <v/>
      </c>
      <c r="K1606" s="17">
        <f>+VLOOKUP($A1606,MAGAZZINO!$B$2:$M$4838,11,FALSE)</f>
        <v/>
      </c>
      <c r="L1606" s="44">
        <f>+VLOOKUP($A1606,MAGAZZINO!$B$2:$M$4838,12,FALSE)</f>
        <v/>
      </c>
    </row>
    <row r="1607" ht="36" customHeight="1">
      <c r="A1607" s="30">
        <f>+REGISTRO!A1590</f>
        <v/>
      </c>
      <c r="B1607" s="31">
        <f>+VLOOKUP($A1607,MAGAZZINO!$B$2:$M$4838,2,FALSE)</f>
        <v/>
      </c>
      <c r="C1607" s="32">
        <f>+VLOOKUP($A1607,MAGAZZINO!$B$2:$M$4838,3,FALSE)</f>
        <v/>
      </c>
      <c r="D1607" s="17">
        <f>+VLOOKUP($A1607,MAGAZZINO!$B$2:$M$4838,4,FALSE)</f>
        <v/>
      </c>
      <c r="E1607" s="17">
        <f>+VLOOKUP($A1607,MAGAZZINO!$B$2:$M$4838,5,FALSE)</f>
        <v/>
      </c>
      <c r="F1607" s="17">
        <f>+VLOOKUP($A1607,MAGAZZINO!$B$2:$M$4838,6,FALSE)</f>
        <v/>
      </c>
      <c r="G1607" s="17">
        <f>+VLOOKUP($A1607,MAGAZZINO!$B$2:$M$4838,7,FALSE)</f>
        <v/>
      </c>
      <c r="H1607" s="17">
        <f>+VLOOKUP($A1607,MAGAZZINO!$B$2:$M$4838,8,FALSE)</f>
        <v/>
      </c>
      <c r="I1607" s="17">
        <f>+VLOOKUP($A1607,MAGAZZINO!$B$2:$M$4838,9,FALSE)</f>
        <v/>
      </c>
      <c r="J1607" s="17">
        <f>+VLOOKUP($A1607,MAGAZZINO!$B$2:$M$4838,10,FALSE)</f>
        <v/>
      </c>
      <c r="K1607" s="17">
        <f>+VLOOKUP($A1607,MAGAZZINO!$B$2:$M$4838,11,FALSE)</f>
        <v/>
      </c>
      <c r="L1607" s="44">
        <f>+VLOOKUP($A1607,MAGAZZINO!$B$2:$M$4838,12,FALSE)</f>
        <v/>
      </c>
    </row>
    <row r="1608" ht="36" customHeight="1">
      <c r="A1608" s="30">
        <f>+REGISTRO!A1591</f>
        <v/>
      </c>
      <c r="B1608" s="31">
        <f>+VLOOKUP($A1608,MAGAZZINO!$B$2:$M$4838,2,FALSE)</f>
        <v/>
      </c>
      <c r="C1608" s="32">
        <f>+VLOOKUP($A1608,MAGAZZINO!$B$2:$M$4838,3,FALSE)</f>
        <v/>
      </c>
      <c r="D1608" s="17">
        <f>+VLOOKUP($A1608,MAGAZZINO!$B$2:$M$4838,4,FALSE)</f>
        <v/>
      </c>
      <c r="E1608" s="17">
        <f>+VLOOKUP($A1608,MAGAZZINO!$B$2:$M$4838,5,FALSE)</f>
        <v/>
      </c>
      <c r="F1608" s="17">
        <f>+VLOOKUP($A1608,MAGAZZINO!$B$2:$M$4838,6,FALSE)</f>
        <v/>
      </c>
      <c r="G1608" s="17">
        <f>+VLOOKUP($A1608,MAGAZZINO!$B$2:$M$4838,7,FALSE)</f>
        <v/>
      </c>
      <c r="H1608" s="17">
        <f>+VLOOKUP($A1608,MAGAZZINO!$B$2:$M$4838,8,FALSE)</f>
        <v/>
      </c>
      <c r="I1608" s="17">
        <f>+VLOOKUP($A1608,MAGAZZINO!$B$2:$M$4838,9,FALSE)</f>
        <v/>
      </c>
      <c r="J1608" s="17">
        <f>+VLOOKUP($A1608,MAGAZZINO!$B$2:$M$4838,10,FALSE)</f>
        <v/>
      </c>
      <c r="K1608" s="17">
        <f>+VLOOKUP($A1608,MAGAZZINO!$B$2:$M$4838,11,FALSE)</f>
        <v/>
      </c>
      <c r="L1608" s="44">
        <f>+VLOOKUP($A1608,MAGAZZINO!$B$2:$M$4838,12,FALSE)</f>
        <v/>
      </c>
    </row>
    <row r="1609" ht="36" customHeight="1">
      <c r="A1609" s="30">
        <f>+REGISTRO!A1592</f>
        <v/>
      </c>
      <c r="B1609" s="31">
        <f>+VLOOKUP($A1609,MAGAZZINO!$B$2:$M$4838,2,FALSE)</f>
        <v/>
      </c>
      <c r="C1609" s="32">
        <f>+VLOOKUP($A1609,MAGAZZINO!$B$2:$M$4838,3,FALSE)</f>
        <v/>
      </c>
      <c r="D1609" s="17">
        <f>+VLOOKUP($A1609,MAGAZZINO!$B$2:$M$4838,4,FALSE)</f>
        <v/>
      </c>
      <c r="E1609" s="17">
        <f>+VLOOKUP($A1609,MAGAZZINO!$B$2:$M$4838,5,FALSE)</f>
        <v/>
      </c>
      <c r="F1609" s="17">
        <f>+VLOOKUP($A1609,MAGAZZINO!$B$2:$M$4838,6,FALSE)</f>
        <v/>
      </c>
      <c r="G1609" s="17">
        <f>+VLOOKUP($A1609,MAGAZZINO!$B$2:$M$4838,7,FALSE)</f>
        <v/>
      </c>
      <c r="H1609" s="17">
        <f>+VLOOKUP($A1609,MAGAZZINO!$B$2:$M$4838,8,FALSE)</f>
        <v/>
      </c>
      <c r="I1609" s="17">
        <f>+VLOOKUP($A1609,MAGAZZINO!$B$2:$M$4838,9,FALSE)</f>
        <v/>
      </c>
      <c r="J1609" s="17">
        <f>+VLOOKUP($A1609,MAGAZZINO!$B$2:$M$4838,10,FALSE)</f>
        <v/>
      </c>
      <c r="K1609" s="17">
        <f>+VLOOKUP($A1609,MAGAZZINO!$B$2:$M$4838,11,FALSE)</f>
        <v/>
      </c>
      <c r="L1609" s="44">
        <f>+VLOOKUP($A1609,MAGAZZINO!$B$2:$M$4838,12,FALSE)</f>
        <v/>
      </c>
    </row>
    <row r="1610" ht="36" customHeight="1">
      <c r="A1610" s="30">
        <f>+REGISTRO!A1593</f>
        <v/>
      </c>
      <c r="B1610" s="31">
        <f>+VLOOKUP($A1610,MAGAZZINO!$B$2:$M$4838,2,FALSE)</f>
        <v/>
      </c>
      <c r="C1610" s="32">
        <f>+VLOOKUP($A1610,MAGAZZINO!$B$2:$M$4838,3,FALSE)</f>
        <v/>
      </c>
      <c r="D1610" s="17">
        <f>+VLOOKUP($A1610,MAGAZZINO!$B$2:$M$4838,4,FALSE)</f>
        <v/>
      </c>
      <c r="E1610" s="17">
        <f>+VLOOKUP($A1610,MAGAZZINO!$B$2:$M$4838,5,FALSE)</f>
        <v/>
      </c>
      <c r="F1610" s="17">
        <f>+VLOOKUP($A1610,MAGAZZINO!$B$2:$M$4838,6,FALSE)</f>
        <v/>
      </c>
      <c r="G1610" s="17">
        <f>+VLOOKUP($A1610,MAGAZZINO!$B$2:$M$4838,7,FALSE)</f>
        <v/>
      </c>
      <c r="H1610" s="17">
        <f>+VLOOKUP($A1610,MAGAZZINO!$B$2:$M$4838,8,FALSE)</f>
        <v/>
      </c>
      <c r="I1610" s="17">
        <f>+VLOOKUP($A1610,MAGAZZINO!$B$2:$M$4838,9,FALSE)</f>
        <v/>
      </c>
      <c r="J1610" s="17">
        <f>+VLOOKUP($A1610,MAGAZZINO!$B$2:$M$4838,10,FALSE)</f>
        <v/>
      </c>
      <c r="K1610" s="17">
        <f>+VLOOKUP($A1610,MAGAZZINO!$B$2:$M$4838,11,FALSE)</f>
        <v/>
      </c>
      <c r="L1610" s="44">
        <f>+VLOOKUP($A1610,MAGAZZINO!$B$2:$M$4838,12,FALSE)</f>
        <v/>
      </c>
    </row>
    <row r="1611" ht="36" customHeight="1">
      <c r="A1611" s="30">
        <f>+REGISTRO!A1594</f>
        <v/>
      </c>
      <c r="B1611" s="31">
        <f>+VLOOKUP($A1611,MAGAZZINO!$B$2:$M$4838,2,FALSE)</f>
        <v/>
      </c>
      <c r="C1611" s="32">
        <f>+VLOOKUP($A1611,MAGAZZINO!$B$2:$M$4838,3,FALSE)</f>
        <v/>
      </c>
      <c r="D1611" s="17">
        <f>+VLOOKUP($A1611,MAGAZZINO!$B$2:$M$4838,4,FALSE)</f>
        <v/>
      </c>
      <c r="E1611" s="17">
        <f>+VLOOKUP($A1611,MAGAZZINO!$B$2:$M$4838,5,FALSE)</f>
        <v/>
      </c>
      <c r="F1611" s="17">
        <f>+VLOOKUP($A1611,MAGAZZINO!$B$2:$M$4838,6,FALSE)</f>
        <v/>
      </c>
      <c r="G1611" s="17">
        <f>+VLOOKUP($A1611,MAGAZZINO!$B$2:$M$4838,7,FALSE)</f>
        <v/>
      </c>
      <c r="H1611" s="17">
        <f>+VLOOKUP($A1611,MAGAZZINO!$B$2:$M$4838,8,FALSE)</f>
        <v/>
      </c>
      <c r="I1611" s="17">
        <f>+VLOOKUP($A1611,MAGAZZINO!$B$2:$M$4838,9,FALSE)</f>
        <v/>
      </c>
      <c r="J1611" s="17">
        <f>+VLOOKUP($A1611,MAGAZZINO!$B$2:$M$4838,10,FALSE)</f>
        <v/>
      </c>
      <c r="K1611" s="17">
        <f>+VLOOKUP($A1611,MAGAZZINO!$B$2:$M$4838,11,FALSE)</f>
        <v/>
      </c>
      <c r="L1611" s="44">
        <f>+VLOOKUP($A1611,MAGAZZINO!$B$2:$M$4838,12,FALSE)</f>
        <v/>
      </c>
    </row>
    <row r="1612" ht="36" customHeight="1">
      <c r="A1612" s="30">
        <f>+REGISTRO!A1595</f>
        <v/>
      </c>
      <c r="B1612" s="31">
        <f>+VLOOKUP($A1612,MAGAZZINO!$B$2:$M$4838,2,FALSE)</f>
        <v/>
      </c>
      <c r="C1612" s="32">
        <f>+VLOOKUP($A1612,MAGAZZINO!$B$2:$M$4838,3,FALSE)</f>
        <v/>
      </c>
      <c r="D1612" s="17">
        <f>+VLOOKUP($A1612,MAGAZZINO!$B$2:$M$4838,4,FALSE)</f>
        <v/>
      </c>
      <c r="E1612" s="17">
        <f>+VLOOKUP($A1612,MAGAZZINO!$B$2:$M$4838,5,FALSE)</f>
        <v/>
      </c>
      <c r="F1612" s="17">
        <f>+VLOOKUP($A1612,MAGAZZINO!$B$2:$M$4838,6,FALSE)</f>
        <v/>
      </c>
      <c r="G1612" s="17">
        <f>+VLOOKUP($A1612,MAGAZZINO!$B$2:$M$4838,7,FALSE)</f>
        <v/>
      </c>
      <c r="H1612" s="17">
        <f>+VLOOKUP($A1612,MAGAZZINO!$B$2:$M$4838,8,FALSE)</f>
        <v/>
      </c>
      <c r="I1612" s="17">
        <f>+VLOOKUP($A1612,MAGAZZINO!$B$2:$M$4838,9,FALSE)</f>
        <v/>
      </c>
      <c r="J1612" s="17">
        <f>+VLOOKUP($A1612,MAGAZZINO!$B$2:$M$4838,10,FALSE)</f>
        <v/>
      </c>
      <c r="K1612" s="17">
        <f>+VLOOKUP($A1612,MAGAZZINO!$B$2:$M$4838,11,FALSE)</f>
        <v/>
      </c>
      <c r="L1612" s="44">
        <f>+VLOOKUP($A1612,MAGAZZINO!$B$2:$M$4838,12,FALSE)</f>
        <v/>
      </c>
    </row>
    <row r="1613" ht="36" customHeight="1">
      <c r="A1613" s="30">
        <f>+REGISTRO!A1596</f>
        <v/>
      </c>
      <c r="B1613" s="31">
        <f>+VLOOKUP($A1613,MAGAZZINO!$B$2:$M$4838,2,FALSE)</f>
        <v/>
      </c>
      <c r="C1613" s="32">
        <f>+VLOOKUP($A1613,MAGAZZINO!$B$2:$M$4838,3,FALSE)</f>
        <v/>
      </c>
      <c r="D1613" s="17">
        <f>+VLOOKUP($A1613,MAGAZZINO!$B$2:$M$4838,4,FALSE)</f>
        <v/>
      </c>
      <c r="E1613" s="17">
        <f>+VLOOKUP($A1613,MAGAZZINO!$B$2:$M$4838,5,FALSE)</f>
        <v/>
      </c>
      <c r="F1613" s="17">
        <f>+VLOOKUP($A1613,MAGAZZINO!$B$2:$M$4838,6,FALSE)</f>
        <v/>
      </c>
      <c r="G1613" s="17">
        <f>+VLOOKUP($A1613,MAGAZZINO!$B$2:$M$4838,7,FALSE)</f>
        <v/>
      </c>
      <c r="H1613" s="17">
        <f>+VLOOKUP($A1613,MAGAZZINO!$B$2:$M$4838,8,FALSE)</f>
        <v/>
      </c>
      <c r="I1613" s="17">
        <f>+VLOOKUP($A1613,MAGAZZINO!$B$2:$M$4838,9,FALSE)</f>
        <v/>
      </c>
      <c r="J1613" s="17">
        <f>+VLOOKUP($A1613,MAGAZZINO!$B$2:$M$4838,10,FALSE)</f>
        <v/>
      </c>
      <c r="K1613" s="17">
        <f>+VLOOKUP($A1613,MAGAZZINO!$B$2:$M$4838,11,FALSE)</f>
        <v/>
      </c>
      <c r="L1613" s="44">
        <f>+VLOOKUP($A1613,MAGAZZINO!$B$2:$M$4838,12,FALSE)</f>
        <v/>
      </c>
    </row>
    <row r="1614" ht="36" customHeight="1">
      <c r="A1614" s="30">
        <f>+REGISTRO!A1597</f>
        <v/>
      </c>
      <c r="B1614" s="31">
        <f>+VLOOKUP($A1614,MAGAZZINO!$B$2:$M$4838,2,FALSE)</f>
        <v/>
      </c>
      <c r="C1614" s="32">
        <f>+VLOOKUP($A1614,MAGAZZINO!$B$2:$M$4838,3,FALSE)</f>
        <v/>
      </c>
      <c r="D1614" s="17">
        <f>+VLOOKUP($A1614,MAGAZZINO!$B$2:$M$4838,4,FALSE)</f>
        <v/>
      </c>
      <c r="E1614" s="17">
        <f>+VLOOKUP($A1614,MAGAZZINO!$B$2:$M$4838,5,FALSE)</f>
        <v/>
      </c>
      <c r="F1614" s="17">
        <f>+VLOOKUP($A1614,MAGAZZINO!$B$2:$M$4838,6,FALSE)</f>
        <v/>
      </c>
      <c r="G1614" s="17">
        <f>+VLOOKUP($A1614,MAGAZZINO!$B$2:$M$4838,7,FALSE)</f>
        <v/>
      </c>
      <c r="H1614" s="17">
        <f>+VLOOKUP($A1614,MAGAZZINO!$B$2:$M$4838,8,FALSE)</f>
        <v/>
      </c>
      <c r="I1614" s="17">
        <f>+VLOOKUP($A1614,MAGAZZINO!$B$2:$M$4838,9,FALSE)</f>
        <v/>
      </c>
      <c r="J1614" s="17">
        <f>+VLOOKUP($A1614,MAGAZZINO!$B$2:$M$4838,10,FALSE)</f>
        <v/>
      </c>
      <c r="K1614" s="17">
        <f>+VLOOKUP($A1614,MAGAZZINO!$B$2:$M$4838,11,FALSE)</f>
        <v/>
      </c>
      <c r="L1614" s="44">
        <f>+VLOOKUP($A1614,MAGAZZINO!$B$2:$M$4838,12,FALSE)</f>
        <v/>
      </c>
    </row>
    <row r="1615" ht="36" customHeight="1">
      <c r="A1615" s="30">
        <f>+REGISTRO!A1598</f>
        <v/>
      </c>
      <c r="B1615" s="31">
        <f>+VLOOKUP($A1615,MAGAZZINO!$B$2:$M$4838,2,FALSE)</f>
        <v/>
      </c>
      <c r="C1615" s="32">
        <f>+VLOOKUP($A1615,MAGAZZINO!$B$2:$M$4838,3,FALSE)</f>
        <v/>
      </c>
      <c r="D1615" s="17">
        <f>+VLOOKUP($A1615,MAGAZZINO!$B$2:$M$4838,4,FALSE)</f>
        <v/>
      </c>
      <c r="E1615" s="17">
        <f>+VLOOKUP($A1615,MAGAZZINO!$B$2:$M$4838,5,FALSE)</f>
        <v/>
      </c>
      <c r="F1615" s="17">
        <f>+VLOOKUP($A1615,MAGAZZINO!$B$2:$M$4838,6,FALSE)</f>
        <v/>
      </c>
      <c r="G1615" s="17">
        <f>+VLOOKUP($A1615,MAGAZZINO!$B$2:$M$4838,7,FALSE)</f>
        <v/>
      </c>
      <c r="H1615" s="17">
        <f>+VLOOKUP($A1615,MAGAZZINO!$B$2:$M$4838,8,FALSE)</f>
        <v/>
      </c>
      <c r="I1615" s="17">
        <f>+VLOOKUP($A1615,MAGAZZINO!$B$2:$M$4838,9,FALSE)</f>
        <v/>
      </c>
      <c r="J1615" s="17">
        <f>+VLOOKUP($A1615,MAGAZZINO!$B$2:$M$4838,10,FALSE)</f>
        <v/>
      </c>
      <c r="K1615" s="17">
        <f>+VLOOKUP($A1615,MAGAZZINO!$B$2:$M$4838,11,FALSE)</f>
        <v/>
      </c>
      <c r="L1615" s="44">
        <f>+VLOOKUP($A1615,MAGAZZINO!$B$2:$M$4838,12,FALSE)</f>
        <v/>
      </c>
    </row>
    <row r="1616" ht="36" customHeight="1">
      <c r="A1616" s="30">
        <f>+REGISTRO!A1599</f>
        <v/>
      </c>
      <c r="B1616" s="31">
        <f>+VLOOKUP($A1616,MAGAZZINO!$B$2:$M$4838,2,FALSE)</f>
        <v/>
      </c>
      <c r="C1616" s="32">
        <f>+VLOOKUP($A1616,MAGAZZINO!$B$2:$M$4838,3,FALSE)</f>
        <v/>
      </c>
      <c r="D1616" s="17">
        <f>+VLOOKUP($A1616,MAGAZZINO!$B$2:$M$4838,4,FALSE)</f>
        <v/>
      </c>
      <c r="E1616" s="17">
        <f>+VLOOKUP($A1616,MAGAZZINO!$B$2:$M$4838,5,FALSE)</f>
        <v/>
      </c>
      <c r="F1616" s="17">
        <f>+VLOOKUP($A1616,MAGAZZINO!$B$2:$M$4838,6,FALSE)</f>
        <v/>
      </c>
      <c r="G1616" s="17">
        <f>+VLOOKUP($A1616,MAGAZZINO!$B$2:$M$4838,7,FALSE)</f>
        <v/>
      </c>
      <c r="H1616" s="17">
        <f>+VLOOKUP($A1616,MAGAZZINO!$B$2:$M$4838,8,FALSE)</f>
        <v/>
      </c>
      <c r="I1616" s="17">
        <f>+VLOOKUP($A1616,MAGAZZINO!$B$2:$M$4838,9,FALSE)</f>
        <v/>
      </c>
      <c r="J1616" s="17">
        <f>+VLOOKUP($A1616,MAGAZZINO!$B$2:$M$4838,10,FALSE)</f>
        <v/>
      </c>
      <c r="K1616" s="17">
        <f>+VLOOKUP($A1616,MAGAZZINO!$B$2:$M$4838,11,FALSE)</f>
        <v/>
      </c>
      <c r="L1616" s="44">
        <f>+VLOOKUP($A1616,MAGAZZINO!$B$2:$M$4838,12,FALSE)</f>
        <v/>
      </c>
    </row>
    <row r="1617" ht="36" customHeight="1">
      <c r="A1617" s="30">
        <f>+REGISTRO!A1600</f>
        <v/>
      </c>
      <c r="B1617" s="31">
        <f>+VLOOKUP($A1617,MAGAZZINO!$B$2:$M$4838,2,FALSE)</f>
        <v/>
      </c>
      <c r="C1617" s="32">
        <f>+VLOOKUP($A1617,MAGAZZINO!$B$2:$M$4838,3,FALSE)</f>
        <v/>
      </c>
      <c r="D1617" s="17">
        <f>+VLOOKUP($A1617,MAGAZZINO!$B$2:$M$4838,4,FALSE)</f>
        <v/>
      </c>
      <c r="E1617" s="17">
        <f>+VLOOKUP($A1617,MAGAZZINO!$B$2:$M$4838,5,FALSE)</f>
        <v/>
      </c>
      <c r="F1617" s="17">
        <f>+VLOOKUP($A1617,MAGAZZINO!$B$2:$M$4838,6,FALSE)</f>
        <v/>
      </c>
      <c r="G1617" s="17">
        <f>+VLOOKUP($A1617,MAGAZZINO!$B$2:$M$4838,7,FALSE)</f>
        <v/>
      </c>
      <c r="H1617" s="17">
        <f>+VLOOKUP($A1617,MAGAZZINO!$B$2:$M$4838,8,FALSE)</f>
        <v/>
      </c>
      <c r="I1617" s="17">
        <f>+VLOOKUP($A1617,MAGAZZINO!$B$2:$M$4838,9,FALSE)</f>
        <v/>
      </c>
      <c r="J1617" s="17">
        <f>+VLOOKUP($A1617,MAGAZZINO!$B$2:$M$4838,10,FALSE)</f>
        <v/>
      </c>
      <c r="K1617" s="17">
        <f>+VLOOKUP($A1617,MAGAZZINO!$B$2:$M$4838,11,FALSE)</f>
        <v/>
      </c>
      <c r="L1617" s="44">
        <f>+VLOOKUP($A1617,MAGAZZINO!$B$2:$M$4838,12,FALSE)</f>
        <v/>
      </c>
    </row>
    <row r="1618" ht="36" customHeight="1">
      <c r="A1618" s="30">
        <f>+REGISTRO!A1601</f>
        <v/>
      </c>
      <c r="B1618" s="31">
        <f>+VLOOKUP($A1618,MAGAZZINO!$B$2:$M$4838,2,FALSE)</f>
        <v/>
      </c>
      <c r="C1618" s="32">
        <f>+VLOOKUP($A1618,MAGAZZINO!$B$2:$M$4838,3,FALSE)</f>
        <v/>
      </c>
      <c r="D1618" s="17">
        <f>+VLOOKUP($A1618,MAGAZZINO!$B$2:$M$4838,4,FALSE)</f>
        <v/>
      </c>
      <c r="E1618" s="17">
        <f>+VLOOKUP($A1618,MAGAZZINO!$B$2:$M$4838,5,FALSE)</f>
        <v/>
      </c>
      <c r="F1618" s="17">
        <f>+VLOOKUP($A1618,MAGAZZINO!$B$2:$M$4838,6,FALSE)</f>
        <v/>
      </c>
      <c r="G1618" s="17">
        <f>+VLOOKUP($A1618,MAGAZZINO!$B$2:$M$4838,7,FALSE)</f>
        <v/>
      </c>
      <c r="H1618" s="17">
        <f>+VLOOKUP($A1618,MAGAZZINO!$B$2:$M$4838,8,FALSE)</f>
        <v/>
      </c>
      <c r="I1618" s="17">
        <f>+VLOOKUP($A1618,MAGAZZINO!$B$2:$M$4838,9,FALSE)</f>
        <v/>
      </c>
      <c r="J1618" s="17">
        <f>+VLOOKUP($A1618,MAGAZZINO!$B$2:$M$4838,10,FALSE)</f>
        <v/>
      </c>
      <c r="K1618" s="17">
        <f>+VLOOKUP($A1618,MAGAZZINO!$B$2:$M$4838,11,FALSE)</f>
        <v/>
      </c>
      <c r="L1618" s="44">
        <f>+VLOOKUP($A1618,MAGAZZINO!$B$2:$M$4838,12,FALSE)</f>
        <v/>
      </c>
    </row>
    <row r="1619" ht="36" customHeight="1">
      <c r="A1619" s="30">
        <f>+REGISTRO!A1602</f>
        <v/>
      </c>
      <c r="B1619" s="31">
        <f>+VLOOKUP($A1619,MAGAZZINO!$B$2:$M$4838,2,FALSE)</f>
        <v/>
      </c>
      <c r="C1619" s="32">
        <f>+VLOOKUP($A1619,MAGAZZINO!$B$2:$M$4838,3,FALSE)</f>
        <v/>
      </c>
      <c r="D1619" s="17">
        <f>+VLOOKUP($A1619,MAGAZZINO!$B$2:$M$4838,4,FALSE)</f>
        <v/>
      </c>
      <c r="E1619" s="17">
        <f>+VLOOKUP($A1619,MAGAZZINO!$B$2:$M$4838,5,FALSE)</f>
        <v/>
      </c>
      <c r="F1619" s="17">
        <f>+VLOOKUP($A1619,MAGAZZINO!$B$2:$M$4838,6,FALSE)</f>
        <v/>
      </c>
      <c r="G1619" s="17">
        <f>+VLOOKUP($A1619,MAGAZZINO!$B$2:$M$4838,7,FALSE)</f>
        <v/>
      </c>
      <c r="H1619" s="17">
        <f>+VLOOKUP($A1619,MAGAZZINO!$B$2:$M$4838,8,FALSE)</f>
        <v/>
      </c>
      <c r="I1619" s="17">
        <f>+VLOOKUP($A1619,MAGAZZINO!$B$2:$M$4838,9,FALSE)</f>
        <v/>
      </c>
      <c r="J1619" s="17">
        <f>+VLOOKUP($A1619,MAGAZZINO!$B$2:$M$4838,10,FALSE)</f>
        <v/>
      </c>
      <c r="K1619" s="17">
        <f>+VLOOKUP($A1619,MAGAZZINO!$B$2:$M$4838,11,FALSE)</f>
        <v/>
      </c>
      <c r="L1619" s="44">
        <f>+VLOOKUP($A1619,MAGAZZINO!$B$2:$M$4838,12,FALSE)</f>
        <v/>
      </c>
    </row>
    <row r="1620" ht="36" customHeight="1">
      <c r="A1620" s="30">
        <f>+REGISTRO!A1603</f>
        <v/>
      </c>
      <c r="B1620" s="31">
        <f>+VLOOKUP($A1620,MAGAZZINO!$B$2:$M$4838,2,FALSE)</f>
        <v/>
      </c>
      <c r="C1620" s="32">
        <f>+VLOOKUP($A1620,MAGAZZINO!$B$2:$M$4838,3,FALSE)</f>
        <v/>
      </c>
      <c r="D1620" s="17">
        <f>+VLOOKUP($A1620,MAGAZZINO!$B$2:$M$4838,4,FALSE)</f>
        <v/>
      </c>
      <c r="E1620" s="17">
        <f>+VLOOKUP($A1620,MAGAZZINO!$B$2:$M$4838,5,FALSE)</f>
        <v/>
      </c>
      <c r="F1620" s="17">
        <f>+VLOOKUP($A1620,MAGAZZINO!$B$2:$M$4838,6,FALSE)</f>
        <v/>
      </c>
      <c r="G1620" s="17">
        <f>+VLOOKUP($A1620,MAGAZZINO!$B$2:$M$4838,7,FALSE)</f>
        <v/>
      </c>
      <c r="H1620" s="17">
        <f>+VLOOKUP($A1620,MAGAZZINO!$B$2:$M$4838,8,FALSE)</f>
        <v/>
      </c>
      <c r="I1620" s="17">
        <f>+VLOOKUP($A1620,MAGAZZINO!$B$2:$M$4838,9,FALSE)</f>
        <v/>
      </c>
      <c r="J1620" s="17">
        <f>+VLOOKUP($A1620,MAGAZZINO!$B$2:$M$4838,10,FALSE)</f>
        <v/>
      </c>
      <c r="K1620" s="17">
        <f>+VLOOKUP($A1620,MAGAZZINO!$B$2:$M$4838,11,FALSE)</f>
        <v/>
      </c>
      <c r="L1620" s="44">
        <f>+VLOOKUP($A1620,MAGAZZINO!$B$2:$M$4838,12,FALSE)</f>
        <v/>
      </c>
    </row>
    <row r="1621" ht="36" customHeight="1">
      <c r="A1621" s="30">
        <f>+REGISTRO!A1604</f>
        <v/>
      </c>
      <c r="B1621" s="31">
        <f>+VLOOKUP($A1621,MAGAZZINO!$B$2:$M$4838,2,FALSE)</f>
        <v/>
      </c>
      <c r="C1621" s="32">
        <f>+VLOOKUP($A1621,MAGAZZINO!$B$2:$M$4838,3,FALSE)</f>
        <v/>
      </c>
      <c r="D1621" s="17">
        <f>+VLOOKUP($A1621,MAGAZZINO!$B$2:$M$4838,4,FALSE)</f>
        <v/>
      </c>
      <c r="E1621" s="17">
        <f>+VLOOKUP($A1621,MAGAZZINO!$B$2:$M$4838,5,FALSE)</f>
        <v/>
      </c>
      <c r="F1621" s="17">
        <f>+VLOOKUP($A1621,MAGAZZINO!$B$2:$M$4838,6,FALSE)</f>
        <v/>
      </c>
      <c r="G1621" s="17">
        <f>+VLOOKUP($A1621,MAGAZZINO!$B$2:$M$4838,7,FALSE)</f>
        <v/>
      </c>
      <c r="H1621" s="17">
        <f>+VLOOKUP($A1621,MAGAZZINO!$B$2:$M$4838,8,FALSE)</f>
        <v/>
      </c>
      <c r="I1621" s="17">
        <f>+VLOOKUP($A1621,MAGAZZINO!$B$2:$M$4838,9,FALSE)</f>
        <v/>
      </c>
      <c r="J1621" s="17">
        <f>+VLOOKUP($A1621,MAGAZZINO!$B$2:$M$4838,10,FALSE)</f>
        <v/>
      </c>
      <c r="K1621" s="17">
        <f>+VLOOKUP($A1621,MAGAZZINO!$B$2:$M$4838,11,FALSE)</f>
        <v/>
      </c>
      <c r="L1621" s="44">
        <f>+VLOOKUP($A1621,MAGAZZINO!$B$2:$M$4838,12,FALSE)</f>
        <v/>
      </c>
    </row>
    <row r="1622" ht="36" customHeight="1">
      <c r="A1622" s="30">
        <f>+REGISTRO!A1605</f>
        <v/>
      </c>
      <c r="B1622" s="31">
        <f>+VLOOKUP($A1622,MAGAZZINO!$B$2:$M$4838,2,FALSE)</f>
        <v/>
      </c>
      <c r="C1622" s="32">
        <f>+VLOOKUP($A1622,MAGAZZINO!$B$2:$M$4838,3,FALSE)</f>
        <v/>
      </c>
      <c r="D1622" s="17">
        <f>+VLOOKUP($A1622,MAGAZZINO!$B$2:$M$4838,4,FALSE)</f>
        <v/>
      </c>
      <c r="E1622" s="17">
        <f>+VLOOKUP($A1622,MAGAZZINO!$B$2:$M$4838,5,FALSE)</f>
        <v/>
      </c>
      <c r="F1622" s="17">
        <f>+VLOOKUP($A1622,MAGAZZINO!$B$2:$M$4838,6,FALSE)</f>
        <v/>
      </c>
      <c r="G1622" s="17">
        <f>+VLOOKUP($A1622,MAGAZZINO!$B$2:$M$4838,7,FALSE)</f>
        <v/>
      </c>
      <c r="H1622" s="17">
        <f>+VLOOKUP($A1622,MAGAZZINO!$B$2:$M$4838,8,FALSE)</f>
        <v/>
      </c>
      <c r="I1622" s="17">
        <f>+VLOOKUP($A1622,MAGAZZINO!$B$2:$M$4838,9,FALSE)</f>
        <v/>
      </c>
      <c r="J1622" s="17">
        <f>+VLOOKUP($A1622,MAGAZZINO!$B$2:$M$4838,10,FALSE)</f>
        <v/>
      </c>
      <c r="K1622" s="17">
        <f>+VLOOKUP($A1622,MAGAZZINO!$B$2:$M$4838,11,FALSE)</f>
        <v/>
      </c>
      <c r="L1622" s="44">
        <f>+VLOOKUP($A1622,MAGAZZINO!$B$2:$M$4838,12,FALSE)</f>
        <v/>
      </c>
    </row>
    <row r="1623" ht="36" customHeight="1">
      <c r="A1623" s="30">
        <f>+REGISTRO!A1606</f>
        <v/>
      </c>
      <c r="B1623" s="31">
        <f>+VLOOKUP($A1623,MAGAZZINO!$B$2:$M$4838,2,FALSE)</f>
        <v/>
      </c>
      <c r="C1623" s="32">
        <f>+VLOOKUP($A1623,MAGAZZINO!$B$2:$M$4838,3,FALSE)</f>
        <v/>
      </c>
      <c r="D1623" s="17">
        <f>+VLOOKUP($A1623,MAGAZZINO!$B$2:$M$4838,4,FALSE)</f>
        <v/>
      </c>
      <c r="E1623" s="17">
        <f>+VLOOKUP($A1623,MAGAZZINO!$B$2:$M$4838,5,FALSE)</f>
        <v/>
      </c>
      <c r="F1623" s="17">
        <f>+VLOOKUP($A1623,MAGAZZINO!$B$2:$M$4838,6,FALSE)</f>
        <v/>
      </c>
      <c r="G1623" s="17">
        <f>+VLOOKUP($A1623,MAGAZZINO!$B$2:$M$4838,7,FALSE)</f>
        <v/>
      </c>
      <c r="H1623" s="17">
        <f>+VLOOKUP($A1623,MAGAZZINO!$B$2:$M$4838,8,FALSE)</f>
        <v/>
      </c>
      <c r="I1623" s="17">
        <f>+VLOOKUP($A1623,MAGAZZINO!$B$2:$M$4838,9,FALSE)</f>
        <v/>
      </c>
      <c r="J1623" s="17">
        <f>+VLOOKUP($A1623,MAGAZZINO!$B$2:$M$4838,10,FALSE)</f>
        <v/>
      </c>
      <c r="K1623" s="17">
        <f>+VLOOKUP($A1623,MAGAZZINO!$B$2:$M$4838,11,FALSE)</f>
        <v/>
      </c>
      <c r="L1623" s="44">
        <f>+VLOOKUP($A1623,MAGAZZINO!$B$2:$M$4838,12,FALSE)</f>
        <v/>
      </c>
    </row>
    <row r="1624" ht="36" customHeight="1">
      <c r="A1624" s="30">
        <f>+REGISTRO!A1607</f>
        <v/>
      </c>
      <c r="B1624" s="31">
        <f>+VLOOKUP($A1624,MAGAZZINO!$B$2:$M$4838,2,FALSE)</f>
        <v/>
      </c>
      <c r="C1624" s="32">
        <f>+VLOOKUP($A1624,MAGAZZINO!$B$2:$M$4838,3,FALSE)</f>
        <v/>
      </c>
      <c r="D1624" s="17">
        <f>+VLOOKUP($A1624,MAGAZZINO!$B$2:$M$4838,4,FALSE)</f>
        <v/>
      </c>
      <c r="E1624" s="17">
        <f>+VLOOKUP($A1624,MAGAZZINO!$B$2:$M$4838,5,FALSE)</f>
        <v/>
      </c>
      <c r="F1624" s="17">
        <f>+VLOOKUP($A1624,MAGAZZINO!$B$2:$M$4838,6,FALSE)</f>
        <v/>
      </c>
      <c r="G1624" s="17">
        <f>+VLOOKUP($A1624,MAGAZZINO!$B$2:$M$4838,7,FALSE)</f>
        <v/>
      </c>
      <c r="H1624" s="17">
        <f>+VLOOKUP($A1624,MAGAZZINO!$B$2:$M$4838,8,FALSE)</f>
        <v/>
      </c>
      <c r="I1624" s="17">
        <f>+VLOOKUP($A1624,MAGAZZINO!$B$2:$M$4838,9,FALSE)</f>
        <v/>
      </c>
      <c r="J1624" s="17">
        <f>+VLOOKUP($A1624,MAGAZZINO!$B$2:$M$4838,10,FALSE)</f>
        <v/>
      </c>
      <c r="K1624" s="17">
        <f>+VLOOKUP($A1624,MAGAZZINO!$B$2:$M$4838,11,FALSE)</f>
        <v/>
      </c>
      <c r="L1624" s="44">
        <f>+VLOOKUP($A1624,MAGAZZINO!$B$2:$M$4838,12,FALSE)</f>
        <v/>
      </c>
    </row>
    <row r="1625" ht="36" customHeight="1">
      <c r="A1625" s="30">
        <f>+REGISTRO!A1608</f>
        <v/>
      </c>
      <c r="B1625" s="31">
        <f>+VLOOKUP($A1625,MAGAZZINO!$B$2:$M$4838,2,FALSE)</f>
        <v/>
      </c>
      <c r="C1625" s="32">
        <f>+VLOOKUP($A1625,MAGAZZINO!$B$2:$M$4838,3,FALSE)</f>
        <v/>
      </c>
      <c r="D1625" s="17">
        <f>+VLOOKUP($A1625,MAGAZZINO!$B$2:$M$4838,4,FALSE)</f>
        <v/>
      </c>
      <c r="E1625" s="17">
        <f>+VLOOKUP($A1625,MAGAZZINO!$B$2:$M$4838,5,FALSE)</f>
        <v/>
      </c>
      <c r="F1625" s="17">
        <f>+VLOOKUP($A1625,MAGAZZINO!$B$2:$M$4838,6,FALSE)</f>
        <v/>
      </c>
      <c r="G1625" s="17">
        <f>+VLOOKUP($A1625,MAGAZZINO!$B$2:$M$4838,7,FALSE)</f>
        <v/>
      </c>
      <c r="H1625" s="17">
        <f>+VLOOKUP($A1625,MAGAZZINO!$B$2:$M$4838,8,FALSE)</f>
        <v/>
      </c>
      <c r="I1625" s="17">
        <f>+VLOOKUP($A1625,MAGAZZINO!$B$2:$M$4838,9,FALSE)</f>
        <v/>
      </c>
      <c r="J1625" s="17">
        <f>+VLOOKUP($A1625,MAGAZZINO!$B$2:$M$4838,10,FALSE)</f>
        <v/>
      </c>
      <c r="K1625" s="17">
        <f>+VLOOKUP($A1625,MAGAZZINO!$B$2:$M$4838,11,FALSE)</f>
        <v/>
      </c>
      <c r="L1625" s="44">
        <f>+VLOOKUP($A1625,MAGAZZINO!$B$2:$M$4838,12,FALSE)</f>
        <v/>
      </c>
    </row>
    <row r="1626" ht="36" customHeight="1">
      <c r="A1626" s="30">
        <f>+REGISTRO!A1609</f>
        <v/>
      </c>
      <c r="B1626" s="31">
        <f>+VLOOKUP($A1626,MAGAZZINO!$B$2:$M$4838,2,FALSE)</f>
        <v/>
      </c>
      <c r="C1626" s="32">
        <f>+VLOOKUP($A1626,MAGAZZINO!$B$2:$M$4838,3,FALSE)</f>
        <v/>
      </c>
      <c r="D1626" s="17">
        <f>+VLOOKUP($A1626,MAGAZZINO!$B$2:$M$4838,4,FALSE)</f>
        <v/>
      </c>
      <c r="E1626" s="17">
        <f>+VLOOKUP($A1626,MAGAZZINO!$B$2:$M$4838,5,FALSE)</f>
        <v/>
      </c>
      <c r="F1626" s="17">
        <f>+VLOOKUP($A1626,MAGAZZINO!$B$2:$M$4838,6,FALSE)</f>
        <v/>
      </c>
      <c r="G1626" s="17">
        <f>+VLOOKUP($A1626,MAGAZZINO!$B$2:$M$4838,7,FALSE)</f>
        <v/>
      </c>
      <c r="H1626" s="17">
        <f>+VLOOKUP($A1626,MAGAZZINO!$B$2:$M$4838,8,FALSE)</f>
        <v/>
      </c>
      <c r="I1626" s="17">
        <f>+VLOOKUP($A1626,MAGAZZINO!$B$2:$M$4838,9,FALSE)</f>
        <v/>
      </c>
      <c r="J1626" s="17">
        <f>+VLOOKUP($A1626,MAGAZZINO!$B$2:$M$4838,10,FALSE)</f>
        <v/>
      </c>
      <c r="K1626" s="17">
        <f>+VLOOKUP($A1626,MAGAZZINO!$B$2:$M$4838,11,FALSE)</f>
        <v/>
      </c>
      <c r="L1626" s="44">
        <f>+VLOOKUP($A1626,MAGAZZINO!$B$2:$M$4838,12,FALSE)</f>
        <v/>
      </c>
    </row>
    <row r="1627" ht="36" customHeight="1">
      <c r="A1627" s="30">
        <f>+REGISTRO!A1610</f>
        <v/>
      </c>
      <c r="B1627" s="31">
        <f>+VLOOKUP($A1627,MAGAZZINO!$B$2:$M$4838,2,FALSE)</f>
        <v/>
      </c>
      <c r="C1627" s="32">
        <f>+VLOOKUP($A1627,MAGAZZINO!$B$2:$M$4838,3,FALSE)</f>
        <v/>
      </c>
      <c r="D1627" s="17">
        <f>+VLOOKUP($A1627,MAGAZZINO!$B$2:$M$4838,4,FALSE)</f>
        <v/>
      </c>
      <c r="E1627" s="17">
        <f>+VLOOKUP($A1627,MAGAZZINO!$B$2:$M$4838,5,FALSE)</f>
        <v/>
      </c>
      <c r="F1627" s="17">
        <f>+VLOOKUP($A1627,MAGAZZINO!$B$2:$M$4838,6,FALSE)</f>
        <v/>
      </c>
      <c r="G1627" s="17">
        <f>+VLOOKUP($A1627,MAGAZZINO!$B$2:$M$4838,7,FALSE)</f>
        <v/>
      </c>
      <c r="H1627" s="17">
        <f>+VLOOKUP($A1627,MAGAZZINO!$B$2:$M$4838,8,FALSE)</f>
        <v/>
      </c>
      <c r="I1627" s="17">
        <f>+VLOOKUP($A1627,MAGAZZINO!$B$2:$M$4838,9,FALSE)</f>
        <v/>
      </c>
      <c r="J1627" s="17">
        <f>+VLOOKUP($A1627,MAGAZZINO!$B$2:$M$4838,10,FALSE)</f>
        <v/>
      </c>
      <c r="K1627" s="17">
        <f>+VLOOKUP($A1627,MAGAZZINO!$B$2:$M$4838,11,FALSE)</f>
        <v/>
      </c>
      <c r="L1627" s="44">
        <f>+VLOOKUP($A1627,MAGAZZINO!$B$2:$M$4838,12,FALSE)</f>
        <v/>
      </c>
    </row>
    <row r="1628" ht="36" customHeight="1">
      <c r="A1628" s="30">
        <f>+REGISTRO!A1611</f>
        <v/>
      </c>
      <c r="B1628" s="31">
        <f>+VLOOKUP($A1628,MAGAZZINO!$B$2:$M$4838,2,FALSE)</f>
        <v/>
      </c>
      <c r="C1628" s="32">
        <f>+VLOOKUP($A1628,MAGAZZINO!$B$2:$M$4838,3,FALSE)</f>
        <v/>
      </c>
      <c r="D1628" s="17">
        <f>+VLOOKUP($A1628,MAGAZZINO!$B$2:$M$4838,4,FALSE)</f>
        <v/>
      </c>
      <c r="E1628" s="17">
        <f>+VLOOKUP($A1628,MAGAZZINO!$B$2:$M$4838,5,FALSE)</f>
        <v/>
      </c>
      <c r="F1628" s="17">
        <f>+VLOOKUP($A1628,MAGAZZINO!$B$2:$M$4838,6,FALSE)</f>
        <v/>
      </c>
      <c r="G1628" s="17">
        <f>+VLOOKUP($A1628,MAGAZZINO!$B$2:$M$4838,7,FALSE)</f>
        <v/>
      </c>
      <c r="H1628" s="17">
        <f>+VLOOKUP($A1628,MAGAZZINO!$B$2:$M$4838,8,FALSE)</f>
        <v/>
      </c>
      <c r="I1628" s="17">
        <f>+VLOOKUP($A1628,MAGAZZINO!$B$2:$M$4838,9,FALSE)</f>
        <v/>
      </c>
      <c r="J1628" s="17">
        <f>+VLOOKUP($A1628,MAGAZZINO!$B$2:$M$4838,10,FALSE)</f>
        <v/>
      </c>
      <c r="K1628" s="17">
        <f>+VLOOKUP($A1628,MAGAZZINO!$B$2:$M$4838,11,FALSE)</f>
        <v/>
      </c>
      <c r="L1628" s="44">
        <f>+VLOOKUP($A1628,MAGAZZINO!$B$2:$M$4838,12,FALSE)</f>
        <v/>
      </c>
    </row>
    <row r="1629" ht="36" customHeight="1">
      <c r="A1629" s="30">
        <f>+REGISTRO!A1612</f>
        <v/>
      </c>
      <c r="B1629" s="31">
        <f>+VLOOKUP($A1629,MAGAZZINO!$B$2:$M$4838,2,FALSE)</f>
        <v/>
      </c>
      <c r="C1629" s="32">
        <f>+VLOOKUP($A1629,MAGAZZINO!$B$2:$M$4838,3,FALSE)</f>
        <v/>
      </c>
      <c r="D1629" s="17">
        <f>+VLOOKUP($A1629,MAGAZZINO!$B$2:$M$4838,4,FALSE)</f>
        <v/>
      </c>
      <c r="E1629" s="17">
        <f>+VLOOKUP($A1629,MAGAZZINO!$B$2:$M$4838,5,FALSE)</f>
        <v/>
      </c>
      <c r="F1629" s="17">
        <f>+VLOOKUP($A1629,MAGAZZINO!$B$2:$M$4838,6,FALSE)</f>
        <v/>
      </c>
      <c r="G1629" s="17">
        <f>+VLOOKUP($A1629,MAGAZZINO!$B$2:$M$4838,7,FALSE)</f>
        <v/>
      </c>
      <c r="H1629" s="17">
        <f>+VLOOKUP($A1629,MAGAZZINO!$B$2:$M$4838,8,FALSE)</f>
        <v/>
      </c>
      <c r="I1629" s="17">
        <f>+VLOOKUP($A1629,MAGAZZINO!$B$2:$M$4838,9,FALSE)</f>
        <v/>
      </c>
      <c r="J1629" s="17">
        <f>+VLOOKUP($A1629,MAGAZZINO!$B$2:$M$4838,10,FALSE)</f>
        <v/>
      </c>
      <c r="K1629" s="17">
        <f>+VLOOKUP($A1629,MAGAZZINO!$B$2:$M$4838,11,FALSE)</f>
        <v/>
      </c>
      <c r="L1629" s="44">
        <f>+VLOOKUP($A1629,MAGAZZINO!$B$2:$M$4838,12,FALSE)</f>
        <v/>
      </c>
    </row>
    <row r="1630" ht="36" customHeight="1">
      <c r="A1630" s="30">
        <f>+REGISTRO!A1613</f>
        <v/>
      </c>
      <c r="B1630" s="31">
        <f>+VLOOKUP($A1630,MAGAZZINO!$B$2:$M$4838,2,FALSE)</f>
        <v/>
      </c>
      <c r="C1630" s="32">
        <f>+VLOOKUP($A1630,MAGAZZINO!$B$2:$M$4838,3,FALSE)</f>
        <v/>
      </c>
      <c r="D1630" s="17">
        <f>+VLOOKUP($A1630,MAGAZZINO!$B$2:$M$4838,4,FALSE)</f>
        <v/>
      </c>
      <c r="E1630" s="17">
        <f>+VLOOKUP($A1630,MAGAZZINO!$B$2:$M$4838,5,FALSE)</f>
        <v/>
      </c>
      <c r="F1630" s="17">
        <f>+VLOOKUP($A1630,MAGAZZINO!$B$2:$M$4838,6,FALSE)</f>
        <v/>
      </c>
      <c r="G1630" s="17">
        <f>+VLOOKUP($A1630,MAGAZZINO!$B$2:$M$4838,7,FALSE)</f>
        <v/>
      </c>
      <c r="H1630" s="17">
        <f>+VLOOKUP($A1630,MAGAZZINO!$B$2:$M$4838,8,FALSE)</f>
        <v/>
      </c>
      <c r="I1630" s="17">
        <f>+VLOOKUP($A1630,MAGAZZINO!$B$2:$M$4838,9,FALSE)</f>
        <v/>
      </c>
      <c r="J1630" s="17">
        <f>+VLOOKUP($A1630,MAGAZZINO!$B$2:$M$4838,10,FALSE)</f>
        <v/>
      </c>
      <c r="K1630" s="17">
        <f>+VLOOKUP($A1630,MAGAZZINO!$B$2:$M$4838,11,FALSE)</f>
        <v/>
      </c>
      <c r="L1630" s="44">
        <f>+VLOOKUP($A1630,MAGAZZINO!$B$2:$M$4838,12,FALSE)</f>
        <v/>
      </c>
    </row>
    <row r="1631" ht="36" customHeight="1">
      <c r="A1631" s="30">
        <f>+REGISTRO!A1614</f>
        <v/>
      </c>
      <c r="B1631" s="31">
        <f>+VLOOKUP($A1631,MAGAZZINO!$B$2:$M$4838,2,FALSE)</f>
        <v/>
      </c>
      <c r="C1631" s="32">
        <f>+VLOOKUP($A1631,MAGAZZINO!$B$2:$M$4838,3,FALSE)</f>
        <v/>
      </c>
      <c r="D1631" s="17">
        <f>+VLOOKUP($A1631,MAGAZZINO!$B$2:$M$4838,4,FALSE)</f>
        <v/>
      </c>
      <c r="E1631" s="17">
        <f>+VLOOKUP($A1631,MAGAZZINO!$B$2:$M$4838,5,FALSE)</f>
        <v/>
      </c>
      <c r="F1631" s="17">
        <f>+VLOOKUP($A1631,MAGAZZINO!$B$2:$M$4838,6,FALSE)</f>
        <v/>
      </c>
      <c r="G1631" s="17">
        <f>+VLOOKUP($A1631,MAGAZZINO!$B$2:$M$4838,7,FALSE)</f>
        <v/>
      </c>
      <c r="H1631" s="17">
        <f>+VLOOKUP($A1631,MAGAZZINO!$B$2:$M$4838,8,FALSE)</f>
        <v/>
      </c>
      <c r="I1631" s="17">
        <f>+VLOOKUP($A1631,MAGAZZINO!$B$2:$M$4838,9,FALSE)</f>
        <v/>
      </c>
      <c r="J1631" s="17">
        <f>+VLOOKUP($A1631,MAGAZZINO!$B$2:$M$4838,10,FALSE)</f>
        <v/>
      </c>
      <c r="K1631" s="17">
        <f>+VLOOKUP($A1631,MAGAZZINO!$B$2:$M$4838,11,FALSE)</f>
        <v/>
      </c>
      <c r="L1631" s="44">
        <f>+VLOOKUP($A1631,MAGAZZINO!$B$2:$M$4838,12,FALSE)</f>
        <v/>
      </c>
    </row>
    <row r="1632" ht="36" customHeight="1">
      <c r="A1632" s="30">
        <f>+REGISTRO!A1615</f>
        <v/>
      </c>
      <c r="B1632" s="31">
        <f>+VLOOKUP($A1632,MAGAZZINO!$B$2:$M$4838,2,FALSE)</f>
        <v/>
      </c>
      <c r="C1632" s="32">
        <f>+VLOOKUP($A1632,MAGAZZINO!$B$2:$M$4838,3,FALSE)</f>
        <v/>
      </c>
      <c r="D1632" s="17">
        <f>+VLOOKUP($A1632,MAGAZZINO!$B$2:$M$4838,4,FALSE)</f>
        <v/>
      </c>
      <c r="E1632" s="17">
        <f>+VLOOKUP($A1632,MAGAZZINO!$B$2:$M$4838,5,FALSE)</f>
        <v/>
      </c>
      <c r="F1632" s="17">
        <f>+VLOOKUP($A1632,MAGAZZINO!$B$2:$M$4838,6,FALSE)</f>
        <v/>
      </c>
      <c r="G1632" s="17">
        <f>+VLOOKUP($A1632,MAGAZZINO!$B$2:$M$4838,7,FALSE)</f>
        <v/>
      </c>
      <c r="H1632" s="17">
        <f>+VLOOKUP($A1632,MAGAZZINO!$B$2:$M$4838,8,FALSE)</f>
        <v/>
      </c>
      <c r="I1632" s="17">
        <f>+VLOOKUP($A1632,MAGAZZINO!$B$2:$M$4838,9,FALSE)</f>
        <v/>
      </c>
      <c r="J1632" s="17">
        <f>+VLOOKUP($A1632,MAGAZZINO!$B$2:$M$4838,10,FALSE)</f>
        <v/>
      </c>
      <c r="K1632" s="17">
        <f>+VLOOKUP($A1632,MAGAZZINO!$B$2:$M$4838,11,FALSE)</f>
        <v/>
      </c>
      <c r="L1632" s="44">
        <f>+VLOOKUP($A1632,MAGAZZINO!$B$2:$M$4838,12,FALSE)</f>
        <v/>
      </c>
    </row>
    <row r="1633" ht="36" customHeight="1">
      <c r="A1633" s="30">
        <f>+REGISTRO!A1616</f>
        <v/>
      </c>
      <c r="B1633" s="31">
        <f>+VLOOKUP($A1633,MAGAZZINO!$B$2:$M$4838,2,FALSE)</f>
        <v/>
      </c>
      <c r="C1633" s="32">
        <f>+VLOOKUP($A1633,MAGAZZINO!$B$2:$M$4838,3,FALSE)</f>
        <v/>
      </c>
      <c r="D1633" s="17">
        <f>+VLOOKUP($A1633,MAGAZZINO!$B$2:$M$4838,4,FALSE)</f>
        <v/>
      </c>
      <c r="E1633" s="17">
        <f>+VLOOKUP($A1633,MAGAZZINO!$B$2:$M$4838,5,FALSE)</f>
        <v/>
      </c>
      <c r="F1633" s="17">
        <f>+VLOOKUP($A1633,MAGAZZINO!$B$2:$M$4838,6,FALSE)</f>
        <v/>
      </c>
      <c r="G1633" s="17">
        <f>+VLOOKUP($A1633,MAGAZZINO!$B$2:$M$4838,7,FALSE)</f>
        <v/>
      </c>
      <c r="H1633" s="17">
        <f>+VLOOKUP($A1633,MAGAZZINO!$B$2:$M$4838,8,FALSE)</f>
        <v/>
      </c>
      <c r="I1633" s="17">
        <f>+VLOOKUP($A1633,MAGAZZINO!$B$2:$M$4838,9,FALSE)</f>
        <v/>
      </c>
      <c r="J1633" s="17">
        <f>+VLOOKUP($A1633,MAGAZZINO!$B$2:$M$4838,10,FALSE)</f>
        <v/>
      </c>
      <c r="K1633" s="17">
        <f>+VLOOKUP($A1633,MAGAZZINO!$B$2:$M$4838,11,FALSE)</f>
        <v/>
      </c>
      <c r="L1633" s="44">
        <f>+VLOOKUP($A1633,MAGAZZINO!$B$2:$M$4838,12,FALSE)</f>
        <v/>
      </c>
    </row>
    <row r="1634" ht="36" customHeight="1">
      <c r="A1634" s="30">
        <f>+REGISTRO!A1617</f>
        <v/>
      </c>
      <c r="B1634" s="31">
        <f>+VLOOKUP($A1634,MAGAZZINO!$B$2:$M$4838,2,FALSE)</f>
        <v/>
      </c>
      <c r="C1634" s="32">
        <f>+VLOOKUP($A1634,MAGAZZINO!$B$2:$M$4838,3,FALSE)</f>
        <v/>
      </c>
      <c r="D1634" s="17">
        <f>+VLOOKUP($A1634,MAGAZZINO!$B$2:$M$4838,4,FALSE)</f>
        <v/>
      </c>
      <c r="E1634" s="17">
        <f>+VLOOKUP($A1634,MAGAZZINO!$B$2:$M$4838,5,FALSE)</f>
        <v/>
      </c>
      <c r="F1634" s="17">
        <f>+VLOOKUP($A1634,MAGAZZINO!$B$2:$M$4838,6,FALSE)</f>
        <v/>
      </c>
      <c r="G1634" s="17">
        <f>+VLOOKUP($A1634,MAGAZZINO!$B$2:$M$4838,7,FALSE)</f>
        <v/>
      </c>
      <c r="H1634" s="17">
        <f>+VLOOKUP($A1634,MAGAZZINO!$B$2:$M$4838,8,FALSE)</f>
        <v/>
      </c>
      <c r="I1634" s="17">
        <f>+VLOOKUP($A1634,MAGAZZINO!$B$2:$M$4838,9,FALSE)</f>
        <v/>
      </c>
      <c r="J1634" s="17">
        <f>+VLOOKUP($A1634,MAGAZZINO!$B$2:$M$4838,10,FALSE)</f>
        <v/>
      </c>
      <c r="K1634" s="17">
        <f>+VLOOKUP($A1634,MAGAZZINO!$B$2:$M$4838,11,FALSE)</f>
        <v/>
      </c>
      <c r="L1634" s="44">
        <f>+VLOOKUP($A1634,MAGAZZINO!$B$2:$M$4838,12,FALSE)</f>
        <v/>
      </c>
    </row>
    <row r="1635" ht="36" customHeight="1">
      <c r="A1635" s="30">
        <f>+REGISTRO!A1618</f>
        <v/>
      </c>
      <c r="B1635" s="31">
        <f>+VLOOKUP($A1635,MAGAZZINO!$B$2:$M$4838,2,FALSE)</f>
        <v/>
      </c>
      <c r="C1635" s="32">
        <f>+VLOOKUP($A1635,MAGAZZINO!$B$2:$M$4838,3,FALSE)</f>
        <v/>
      </c>
      <c r="D1635" s="17">
        <f>+VLOOKUP($A1635,MAGAZZINO!$B$2:$M$4838,4,FALSE)</f>
        <v/>
      </c>
      <c r="E1635" s="17">
        <f>+VLOOKUP($A1635,MAGAZZINO!$B$2:$M$4838,5,FALSE)</f>
        <v/>
      </c>
      <c r="F1635" s="17">
        <f>+VLOOKUP($A1635,MAGAZZINO!$B$2:$M$4838,6,FALSE)</f>
        <v/>
      </c>
      <c r="G1635" s="17">
        <f>+VLOOKUP($A1635,MAGAZZINO!$B$2:$M$4838,7,FALSE)</f>
        <v/>
      </c>
      <c r="H1635" s="17">
        <f>+VLOOKUP($A1635,MAGAZZINO!$B$2:$M$4838,8,FALSE)</f>
        <v/>
      </c>
      <c r="I1635" s="17">
        <f>+VLOOKUP($A1635,MAGAZZINO!$B$2:$M$4838,9,FALSE)</f>
        <v/>
      </c>
      <c r="J1635" s="17">
        <f>+VLOOKUP($A1635,MAGAZZINO!$B$2:$M$4838,10,FALSE)</f>
        <v/>
      </c>
      <c r="K1635" s="17">
        <f>+VLOOKUP($A1635,MAGAZZINO!$B$2:$M$4838,11,FALSE)</f>
        <v/>
      </c>
      <c r="L1635" s="44">
        <f>+VLOOKUP($A1635,MAGAZZINO!$B$2:$M$4838,12,FALSE)</f>
        <v/>
      </c>
    </row>
    <row r="1636" ht="36" customHeight="1">
      <c r="A1636" s="30">
        <f>+REGISTRO!A1619</f>
        <v/>
      </c>
      <c r="B1636" s="31">
        <f>+VLOOKUP($A1636,MAGAZZINO!$B$2:$M$4838,2,FALSE)</f>
        <v/>
      </c>
      <c r="C1636" s="32">
        <f>+VLOOKUP($A1636,MAGAZZINO!$B$2:$M$4838,3,FALSE)</f>
        <v/>
      </c>
      <c r="D1636" s="17">
        <f>+VLOOKUP($A1636,MAGAZZINO!$B$2:$M$4838,4,FALSE)</f>
        <v/>
      </c>
      <c r="E1636" s="17">
        <f>+VLOOKUP($A1636,MAGAZZINO!$B$2:$M$4838,5,FALSE)</f>
        <v/>
      </c>
      <c r="F1636" s="17">
        <f>+VLOOKUP($A1636,MAGAZZINO!$B$2:$M$4838,6,FALSE)</f>
        <v/>
      </c>
      <c r="G1636" s="17">
        <f>+VLOOKUP($A1636,MAGAZZINO!$B$2:$M$4838,7,FALSE)</f>
        <v/>
      </c>
      <c r="H1636" s="17">
        <f>+VLOOKUP($A1636,MAGAZZINO!$B$2:$M$4838,8,FALSE)</f>
        <v/>
      </c>
      <c r="I1636" s="17">
        <f>+VLOOKUP($A1636,MAGAZZINO!$B$2:$M$4838,9,FALSE)</f>
        <v/>
      </c>
      <c r="J1636" s="17">
        <f>+VLOOKUP($A1636,MAGAZZINO!$B$2:$M$4838,10,FALSE)</f>
        <v/>
      </c>
      <c r="K1636" s="17">
        <f>+VLOOKUP($A1636,MAGAZZINO!$B$2:$M$4838,11,FALSE)</f>
        <v/>
      </c>
      <c r="L1636" s="44">
        <f>+VLOOKUP($A1636,MAGAZZINO!$B$2:$M$4838,12,FALSE)</f>
        <v/>
      </c>
    </row>
    <row r="1637" ht="36" customHeight="1">
      <c r="A1637" s="30">
        <f>+REGISTRO!A1620</f>
        <v/>
      </c>
      <c r="B1637" s="31">
        <f>+VLOOKUP($A1637,MAGAZZINO!$B$2:$M$4838,2,FALSE)</f>
        <v/>
      </c>
      <c r="C1637" s="32">
        <f>+VLOOKUP($A1637,MAGAZZINO!$B$2:$M$4838,3,FALSE)</f>
        <v/>
      </c>
      <c r="D1637" s="17">
        <f>+VLOOKUP($A1637,MAGAZZINO!$B$2:$M$4838,4,FALSE)</f>
        <v/>
      </c>
      <c r="E1637" s="17">
        <f>+VLOOKUP($A1637,MAGAZZINO!$B$2:$M$4838,5,FALSE)</f>
        <v/>
      </c>
      <c r="F1637" s="17">
        <f>+VLOOKUP($A1637,MAGAZZINO!$B$2:$M$4838,6,FALSE)</f>
        <v/>
      </c>
      <c r="G1637" s="17">
        <f>+VLOOKUP($A1637,MAGAZZINO!$B$2:$M$4838,7,FALSE)</f>
        <v/>
      </c>
      <c r="H1637" s="17">
        <f>+VLOOKUP($A1637,MAGAZZINO!$B$2:$M$4838,8,FALSE)</f>
        <v/>
      </c>
      <c r="I1637" s="17">
        <f>+VLOOKUP($A1637,MAGAZZINO!$B$2:$M$4838,9,FALSE)</f>
        <v/>
      </c>
      <c r="J1637" s="17">
        <f>+VLOOKUP($A1637,MAGAZZINO!$B$2:$M$4838,10,FALSE)</f>
        <v/>
      </c>
      <c r="K1637" s="17">
        <f>+VLOOKUP($A1637,MAGAZZINO!$B$2:$M$4838,11,FALSE)</f>
        <v/>
      </c>
      <c r="L1637" s="44">
        <f>+VLOOKUP($A1637,MAGAZZINO!$B$2:$M$4838,12,FALSE)</f>
        <v/>
      </c>
    </row>
    <row r="1638" ht="36" customHeight="1">
      <c r="A1638" s="30">
        <f>+REGISTRO!A1621</f>
        <v/>
      </c>
      <c r="B1638" s="31">
        <f>+VLOOKUP($A1638,MAGAZZINO!$B$2:$M$4838,2,FALSE)</f>
        <v/>
      </c>
      <c r="C1638" s="32">
        <f>+VLOOKUP($A1638,MAGAZZINO!$B$2:$M$4838,3,FALSE)</f>
        <v/>
      </c>
      <c r="D1638" s="17">
        <f>+VLOOKUP($A1638,MAGAZZINO!$B$2:$M$4838,4,FALSE)</f>
        <v/>
      </c>
      <c r="E1638" s="17">
        <f>+VLOOKUP($A1638,MAGAZZINO!$B$2:$M$4838,5,FALSE)</f>
        <v/>
      </c>
      <c r="F1638" s="17">
        <f>+VLOOKUP($A1638,MAGAZZINO!$B$2:$M$4838,6,FALSE)</f>
        <v/>
      </c>
      <c r="G1638" s="17">
        <f>+VLOOKUP($A1638,MAGAZZINO!$B$2:$M$4838,7,FALSE)</f>
        <v/>
      </c>
      <c r="H1638" s="17">
        <f>+VLOOKUP($A1638,MAGAZZINO!$B$2:$M$4838,8,FALSE)</f>
        <v/>
      </c>
      <c r="I1638" s="17">
        <f>+VLOOKUP($A1638,MAGAZZINO!$B$2:$M$4838,9,FALSE)</f>
        <v/>
      </c>
      <c r="J1638" s="17">
        <f>+VLOOKUP($A1638,MAGAZZINO!$B$2:$M$4838,10,FALSE)</f>
        <v/>
      </c>
      <c r="K1638" s="17">
        <f>+VLOOKUP($A1638,MAGAZZINO!$B$2:$M$4838,11,FALSE)</f>
        <v/>
      </c>
      <c r="L1638" s="44">
        <f>+VLOOKUP($A1638,MAGAZZINO!$B$2:$M$4838,12,FALSE)</f>
        <v/>
      </c>
    </row>
    <row r="1639" ht="36" customHeight="1">
      <c r="A1639" s="30">
        <f>+REGISTRO!A1622</f>
        <v/>
      </c>
      <c r="B1639" s="31">
        <f>+VLOOKUP($A1639,MAGAZZINO!$B$2:$M$4838,2,FALSE)</f>
        <v/>
      </c>
      <c r="C1639" s="32">
        <f>+VLOOKUP($A1639,MAGAZZINO!$B$2:$M$4838,3,FALSE)</f>
        <v/>
      </c>
      <c r="D1639" s="17">
        <f>+VLOOKUP($A1639,MAGAZZINO!$B$2:$M$4838,4,FALSE)</f>
        <v/>
      </c>
      <c r="E1639" s="17">
        <f>+VLOOKUP($A1639,MAGAZZINO!$B$2:$M$4838,5,FALSE)</f>
        <v/>
      </c>
      <c r="F1639" s="17">
        <f>+VLOOKUP($A1639,MAGAZZINO!$B$2:$M$4838,6,FALSE)</f>
        <v/>
      </c>
      <c r="G1639" s="17">
        <f>+VLOOKUP($A1639,MAGAZZINO!$B$2:$M$4838,7,FALSE)</f>
        <v/>
      </c>
      <c r="H1639" s="17">
        <f>+VLOOKUP($A1639,MAGAZZINO!$B$2:$M$4838,8,FALSE)</f>
        <v/>
      </c>
      <c r="I1639" s="17">
        <f>+VLOOKUP($A1639,MAGAZZINO!$B$2:$M$4838,9,FALSE)</f>
        <v/>
      </c>
      <c r="J1639" s="17">
        <f>+VLOOKUP($A1639,MAGAZZINO!$B$2:$M$4838,10,FALSE)</f>
        <v/>
      </c>
      <c r="K1639" s="17">
        <f>+VLOOKUP($A1639,MAGAZZINO!$B$2:$M$4838,11,FALSE)</f>
        <v/>
      </c>
      <c r="L1639" s="44">
        <f>+VLOOKUP($A1639,MAGAZZINO!$B$2:$M$4838,12,FALSE)</f>
        <v/>
      </c>
    </row>
    <row r="1640" ht="36" customHeight="1">
      <c r="A1640" s="30">
        <f>+REGISTRO!A1623</f>
        <v/>
      </c>
      <c r="B1640" s="31">
        <f>+VLOOKUP($A1640,MAGAZZINO!$B$2:$M$4838,2,FALSE)</f>
        <v/>
      </c>
      <c r="C1640" s="32">
        <f>+VLOOKUP($A1640,MAGAZZINO!$B$2:$M$4838,3,FALSE)</f>
        <v/>
      </c>
      <c r="D1640" s="17">
        <f>+VLOOKUP($A1640,MAGAZZINO!$B$2:$M$4838,4,FALSE)</f>
        <v/>
      </c>
      <c r="E1640" s="17">
        <f>+VLOOKUP($A1640,MAGAZZINO!$B$2:$M$4838,5,FALSE)</f>
        <v/>
      </c>
      <c r="F1640" s="17">
        <f>+VLOOKUP($A1640,MAGAZZINO!$B$2:$M$4838,6,FALSE)</f>
        <v/>
      </c>
      <c r="G1640" s="17">
        <f>+VLOOKUP($A1640,MAGAZZINO!$B$2:$M$4838,7,FALSE)</f>
        <v/>
      </c>
      <c r="H1640" s="17">
        <f>+VLOOKUP($A1640,MAGAZZINO!$B$2:$M$4838,8,FALSE)</f>
        <v/>
      </c>
      <c r="I1640" s="17">
        <f>+VLOOKUP($A1640,MAGAZZINO!$B$2:$M$4838,9,FALSE)</f>
        <v/>
      </c>
      <c r="J1640" s="17">
        <f>+VLOOKUP($A1640,MAGAZZINO!$B$2:$M$4838,10,FALSE)</f>
        <v/>
      </c>
      <c r="K1640" s="17">
        <f>+VLOOKUP($A1640,MAGAZZINO!$B$2:$M$4838,11,FALSE)</f>
        <v/>
      </c>
      <c r="L1640" s="44">
        <f>+VLOOKUP($A1640,MAGAZZINO!$B$2:$M$4838,12,FALSE)</f>
        <v/>
      </c>
    </row>
    <row r="1641" ht="36" customHeight="1">
      <c r="A1641" s="30">
        <f>+REGISTRO!A1624</f>
        <v/>
      </c>
      <c r="B1641" s="31">
        <f>+VLOOKUP($A1641,MAGAZZINO!$B$2:$M$4838,2,FALSE)</f>
        <v/>
      </c>
      <c r="C1641" s="32">
        <f>+VLOOKUP($A1641,MAGAZZINO!$B$2:$M$4838,3,FALSE)</f>
        <v/>
      </c>
      <c r="D1641" s="17">
        <f>+VLOOKUP($A1641,MAGAZZINO!$B$2:$M$4838,4,FALSE)</f>
        <v/>
      </c>
      <c r="E1641" s="17">
        <f>+VLOOKUP($A1641,MAGAZZINO!$B$2:$M$4838,5,FALSE)</f>
        <v/>
      </c>
      <c r="F1641" s="17">
        <f>+VLOOKUP($A1641,MAGAZZINO!$B$2:$M$4838,6,FALSE)</f>
        <v/>
      </c>
      <c r="G1641" s="17">
        <f>+VLOOKUP($A1641,MAGAZZINO!$B$2:$M$4838,7,FALSE)</f>
        <v/>
      </c>
      <c r="H1641" s="17">
        <f>+VLOOKUP($A1641,MAGAZZINO!$B$2:$M$4838,8,FALSE)</f>
        <v/>
      </c>
      <c r="I1641" s="17">
        <f>+VLOOKUP($A1641,MAGAZZINO!$B$2:$M$4838,9,FALSE)</f>
        <v/>
      </c>
      <c r="J1641" s="17">
        <f>+VLOOKUP($A1641,MAGAZZINO!$B$2:$M$4838,10,FALSE)</f>
        <v/>
      </c>
      <c r="K1641" s="17">
        <f>+VLOOKUP($A1641,MAGAZZINO!$B$2:$M$4838,11,FALSE)</f>
        <v/>
      </c>
      <c r="L1641" s="44">
        <f>+VLOOKUP($A1641,MAGAZZINO!$B$2:$M$4838,12,FALSE)</f>
        <v/>
      </c>
    </row>
    <row r="1642" ht="36" customHeight="1">
      <c r="A1642" s="30">
        <f>+REGISTRO!A1625</f>
        <v/>
      </c>
      <c r="B1642" s="31">
        <f>+VLOOKUP($A1642,MAGAZZINO!$B$2:$M$4838,2,FALSE)</f>
        <v/>
      </c>
      <c r="C1642" s="32">
        <f>+VLOOKUP($A1642,MAGAZZINO!$B$2:$M$4838,3,FALSE)</f>
        <v/>
      </c>
      <c r="D1642" s="17">
        <f>+VLOOKUP($A1642,MAGAZZINO!$B$2:$M$4838,4,FALSE)</f>
        <v/>
      </c>
      <c r="E1642" s="17">
        <f>+VLOOKUP($A1642,MAGAZZINO!$B$2:$M$4838,5,FALSE)</f>
        <v/>
      </c>
      <c r="F1642" s="17">
        <f>+VLOOKUP($A1642,MAGAZZINO!$B$2:$M$4838,6,FALSE)</f>
        <v/>
      </c>
      <c r="G1642" s="17">
        <f>+VLOOKUP($A1642,MAGAZZINO!$B$2:$M$4838,7,FALSE)</f>
        <v/>
      </c>
      <c r="H1642" s="17">
        <f>+VLOOKUP($A1642,MAGAZZINO!$B$2:$M$4838,8,FALSE)</f>
        <v/>
      </c>
      <c r="I1642" s="17">
        <f>+VLOOKUP($A1642,MAGAZZINO!$B$2:$M$4838,9,FALSE)</f>
        <v/>
      </c>
      <c r="J1642" s="17">
        <f>+VLOOKUP($A1642,MAGAZZINO!$B$2:$M$4838,10,FALSE)</f>
        <v/>
      </c>
      <c r="K1642" s="17">
        <f>+VLOOKUP($A1642,MAGAZZINO!$B$2:$M$4838,11,FALSE)</f>
        <v/>
      </c>
      <c r="L1642" s="44">
        <f>+VLOOKUP($A1642,MAGAZZINO!$B$2:$M$4838,12,FALSE)</f>
        <v/>
      </c>
    </row>
    <row r="1643" ht="36" customHeight="1">
      <c r="A1643" s="30">
        <f>+REGISTRO!A1626</f>
        <v/>
      </c>
      <c r="B1643" s="31">
        <f>+VLOOKUP($A1643,MAGAZZINO!$B$2:$M$4838,2,FALSE)</f>
        <v/>
      </c>
      <c r="C1643" s="32">
        <f>+VLOOKUP($A1643,MAGAZZINO!$B$2:$M$4838,3,FALSE)</f>
        <v/>
      </c>
      <c r="D1643" s="17">
        <f>+VLOOKUP($A1643,MAGAZZINO!$B$2:$M$4838,4,FALSE)</f>
        <v/>
      </c>
      <c r="E1643" s="17">
        <f>+VLOOKUP($A1643,MAGAZZINO!$B$2:$M$4838,5,FALSE)</f>
        <v/>
      </c>
      <c r="F1643" s="17">
        <f>+VLOOKUP($A1643,MAGAZZINO!$B$2:$M$4838,6,FALSE)</f>
        <v/>
      </c>
      <c r="G1643" s="17">
        <f>+VLOOKUP($A1643,MAGAZZINO!$B$2:$M$4838,7,FALSE)</f>
        <v/>
      </c>
      <c r="H1643" s="17">
        <f>+VLOOKUP($A1643,MAGAZZINO!$B$2:$M$4838,8,FALSE)</f>
        <v/>
      </c>
      <c r="I1643" s="17">
        <f>+VLOOKUP($A1643,MAGAZZINO!$B$2:$M$4838,9,FALSE)</f>
        <v/>
      </c>
      <c r="J1643" s="17">
        <f>+VLOOKUP($A1643,MAGAZZINO!$B$2:$M$4838,10,FALSE)</f>
        <v/>
      </c>
      <c r="K1643" s="17">
        <f>+VLOOKUP($A1643,MAGAZZINO!$B$2:$M$4838,11,FALSE)</f>
        <v/>
      </c>
      <c r="L1643" s="44">
        <f>+VLOOKUP($A1643,MAGAZZINO!$B$2:$M$4838,12,FALSE)</f>
        <v/>
      </c>
    </row>
    <row r="1644" ht="36" customHeight="1">
      <c r="A1644" s="30">
        <f>+REGISTRO!A1627</f>
        <v/>
      </c>
      <c r="B1644" s="31">
        <f>+VLOOKUP($A1644,MAGAZZINO!$B$2:$M$4838,2,FALSE)</f>
        <v/>
      </c>
      <c r="C1644" s="32">
        <f>+VLOOKUP($A1644,MAGAZZINO!$B$2:$M$4838,3,FALSE)</f>
        <v/>
      </c>
      <c r="D1644" s="17">
        <f>+VLOOKUP($A1644,MAGAZZINO!$B$2:$M$4838,4,FALSE)</f>
        <v/>
      </c>
      <c r="E1644" s="17">
        <f>+VLOOKUP($A1644,MAGAZZINO!$B$2:$M$4838,5,FALSE)</f>
        <v/>
      </c>
      <c r="F1644" s="17">
        <f>+VLOOKUP($A1644,MAGAZZINO!$B$2:$M$4838,6,FALSE)</f>
        <v/>
      </c>
      <c r="G1644" s="17">
        <f>+VLOOKUP($A1644,MAGAZZINO!$B$2:$M$4838,7,FALSE)</f>
        <v/>
      </c>
      <c r="H1644" s="17">
        <f>+VLOOKUP($A1644,MAGAZZINO!$B$2:$M$4838,8,FALSE)</f>
        <v/>
      </c>
      <c r="I1644" s="17">
        <f>+VLOOKUP($A1644,MAGAZZINO!$B$2:$M$4838,9,FALSE)</f>
        <v/>
      </c>
      <c r="J1644" s="17">
        <f>+VLOOKUP($A1644,MAGAZZINO!$B$2:$M$4838,10,FALSE)</f>
        <v/>
      </c>
      <c r="K1644" s="17">
        <f>+VLOOKUP($A1644,MAGAZZINO!$B$2:$M$4838,11,FALSE)</f>
        <v/>
      </c>
      <c r="L1644" s="44">
        <f>+VLOOKUP($A1644,MAGAZZINO!$B$2:$M$4838,12,FALSE)</f>
        <v/>
      </c>
    </row>
    <row r="1645" ht="36" customHeight="1">
      <c r="A1645" s="30">
        <f>+REGISTRO!A1628</f>
        <v/>
      </c>
      <c r="B1645" s="31">
        <f>+VLOOKUP($A1645,MAGAZZINO!$B$2:$M$4838,2,FALSE)</f>
        <v/>
      </c>
      <c r="C1645" s="32">
        <f>+VLOOKUP($A1645,MAGAZZINO!$B$2:$M$4838,3,FALSE)</f>
        <v/>
      </c>
      <c r="D1645" s="17">
        <f>+VLOOKUP($A1645,MAGAZZINO!$B$2:$M$4838,4,FALSE)</f>
        <v/>
      </c>
      <c r="E1645" s="17">
        <f>+VLOOKUP($A1645,MAGAZZINO!$B$2:$M$4838,5,FALSE)</f>
        <v/>
      </c>
      <c r="F1645" s="17">
        <f>+VLOOKUP($A1645,MAGAZZINO!$B$2:$M$4838,6,FALSE)</f>
        <v/>
      </c>
      <c r="G1645" s="17">
        <f>+VLOOKUP($A1645,MAGAZZINO!$B$2:$M$4838,7,FALSE)</f>
        <v/>
      </c>
      <c r="H1645" s="17">
        <f>+VLOOKUP($A1645,MAGAZZINO!$B$2:$M$4838,8,FALSE)</f>
        <v/>
      </c>
      <c r="I1645" s="17">
        <f>+VLOOKUP($A1645,MAGAZZINO!$B$2:$M$4838,9,FALSE)</f>
        <v/>
      </c>
      <c r="J1645" s="17">
        <f>+VLOOKUP($A1645,MAGAZZINO!$B$2:$M$4838,10,FALSE)</f>
        <v/>
      </c>
      <c r="K1645" s="17">
        <f>+VLOOKUP($A1645,MAGAZZINO!$B$2:$M$4838,11,FALSE)</f>
        <v/>
      </c>
      <c r="L1645" s="44">
        <f>+VLOOKUP($A1645,MAGAZZINO!$B$2:$M$4838,12,FALSE)</f>
        <v/>
      </c>
    </row>
    <row r="1646" ht="36" customHeight="1">
      <c r="A1646" s="30">
        <f>+REGISTRO!A1629</f>
        <v/>
      </c>
      <c r="B1646" s="31">
        <f>+VLOOKUP($A1646,MAGAZZINO!$B$2:$M$4838,2,FALSE)</f>
        <v/>
      </c>
      <c r="C1646" s="32">
        <f>+VLOOKUP($A1646,MAGAZZINO!$B$2:$M$4838,3,FALSE)</f>
        <v/>
      </c>
      <c r="D1646" s="17">
        <f>+VLOOKUP($A1646,MAGAZZINO!$B$2:$M$4838,4,FALSE)</f>
        <v/>
      </c>
      <c r="E1646" s="17">
        <f>+VLOOKUP($A1646,MAGAZZINO!$B$2:$M$4838,5,FALSE)</f>
        <v/>
      </c>
      <c r="F1646" s="17">
        <f>+VLOOKUP($A1646,MAGAZZINO!$B$2:$M$4838,6,FALSE)</f>
        <v/>
      </c>
      <c r="G1646" s="17">
        <f>+VLOOKUP($A1646,MAGAZZINO!$B$2:$M$4838,7,FALSE)</f>
        <v/>
      </c>
      <c r="H1646" s="17">
        <f>+VLOOKUP($A1646,MAGAZZINO!$B$2:$M$4838,8,FALSE)</f>
        <v/>
      </c>
      <c r="I1646" s="17">
        <f>+VLOOKUP($A1646,MAGAZZINO!$B$2:$M$4838,9,FALSE)</f>
        <v/>
      </c>
      <c r="J1646" s="17">
        <f>+VLOOKUP($A1646,MAGAZZINO!$B$2:$M$4838,10,FALSE)</f>
        <v/>
      </c>
      <c r="K1646" s="17">
        <f>+VLOOKUP($A1646,MAGAZZINO!$B$2:$M$4838,11,FALSE)</f>
        <v/>
      </c>
      <c r="L1646" s="44">
        <f>+VLOOKUP($A1646,MAGAZZINO!$B$2:$M$4838,12,FALSE)</f>
        <v/>
      </c>
    </row>
    <row r="1647" ht="36" customHeight="1">
      <c r="A1647" s="30">
        <f>+REGISTRO!A1630</f>
        <v/>
      </c>
      <c r="B1647" s="31">
        <f>+VLOOKUP($A1647,MAGAZZINO!$B$2:$M$4838,2,FALSE)</f>
        <v/>
      </c>
      <c r="C1647" s="32">
        <f>+VLOOKUP($A1647,MAGAZZINO!$B$2:$M$4838,3,FALSE)</f>
        <v/>
      </c>
      <c r="D1647" s="17">
        <f>+VLOOKUP($A1647,MAGAZZINO!$B$2:$M$4838,4,FALSE)</f>
        <v/>
      </c>
      <c r="E1647" s="17">
        <f>+VLOOKUP($A1647,MAGAZZINO!$B$2:$M$4838,5,FALSE)</f>
        <v/>
      </c>
      <c r="F1647" s="17">
        <f>+VLOOKUP($A1647,MAGAZZINO!$B$2:$M$4838,6,FALSE)</f>
        <v/>
      </c>
      <c r="G1647" s="17">
        <f>+VLOOKUP($A1647,MAGAZZINO!$B$2:$M$4838,7,FALSE)</f>
        <v/>
      </c>
      <c r="H1647" s="17">
        <f>+VLOOKUP($A1647,MAGAZZINO!$B$2:$M$4838,8,FALSE)</f>
        <v/>
      </c>
      <c r="I1647" s="17">
        <f>+VLOOKUP($A1647,MAGAZZINO!$B$2:$M$4838,9,FALSE)</f>
        <v/>
      </c>
      <c r="J1647" s="17">
        <f>+VLOOKUP($A1647,MAGAZZINO!$B$2:$M$4838,10,FALSE)</f>
        <v/>
      </c>
      <c r="K1647" s="17">
        <f>+VLOOKUP($A1647,MAGAZZINO!$B$2:$M$4838,11,FALSE)</f>
        <v/>
      </c>
      <c r="L1647" s="44">
        <f>+VLOOKUP($A1647,MAGAZZINO!$B$2:$M$4838,12,FALSE)</f>
        <v/>
      </c>
    </row>
    <row r="1648" ht="36" customHeight="1">
      <c r="A1648" s="30">
        <f>+REGISTRO!A1631</f>
        <v/>
      </c>
      <c r="B1648" s="31">
        <f>+VLOOKUP($A1648,MAGAZZINO!$B$2:$M$4838,2,FALSE)</f>
        <v/>
      </c>
      <c r="C1648" s="32">
        <f>+VLOOKUP($A1648,MAGAZZINO!$B$2:$M$4838,3,FALSE)</f>
        <v/>
      </c>
      <c r="D1648" s="17">
        <f>+VLOOKUP($A1648,MAGAZZINO!$B$2:$M$4838,4,FALSE)</f>
        <v/>
      </c>
      <c r="E1648" s="17">
        <f>+VLOOKUP($A1648,MAGAZZINO!$B$2:$M$4838,5,FALSE)</f>
        <v/>
      </c>
      <c r="F1648" s="17">
        <f>+VLOOKUP($A1648,MAGAZZINO!$B$2:$M$4838,6,FALSE)</f>
        <v/>
      </c>
      <c r="G1648" s="17">
        <f>+VLOOKUP($A1648,MAGAZZINO!$B$2:$M$4838,7,FALSE)</f>
        <v/>
      </c>
      <c r="H1648" s="17">
        <f>+VLOOKUP($A1648,MAGAZZINO!$B$2:$M$4838,8,FALSE)</f>
        <v/>
      </c>
      <c r="I1648" s="17">
        <f>+VLOOKUP($A1648,MAGAZZINO!$B$2:$M$4838,9,FALSE)</f>
        <v/>
      </c>
      <c r="J1648" s="17">
        <f>+VLOOKUP($A1648,MAGAZZINO!$B$2:$M$4838,10,FALSE)</f>
        <v/>
      </c>
      <c r="K1648" s="17">
        <f>+VLOOKUP($A1648,MAGAZZINO!$B$2:$M$4838,11,FALSE)</f>
        <v/>
      </c>
      <c r="L1648" s="44">
        <f>+VLOOKUP($A1648,MAGAZZINO!$B$2:$M$4838,12,FALSE)</f>
        <v/>
      </c>
    </row>
    <row r="1649" ht="36" customHeight="1">
      <c r="A1649" s="30">
        <f>+REGISTRO!A1632</f>
        <v/>
      </c>
      <c r="B1649" s="31">
        <f>+VLOOKUP($A1649,MAGAZZINO!$B$2:$M$4838,2,FALSE)</f>
        <v/>
      </c>
      <c r="C1649" s="32">
        <f>+VLOOKUP($A1649,MAGAZZINO!$B$2:$M$4838,3,FALSE)</f>
        <v/>
      </c>
      <c r="D1649" s="17">
        <f>+VLOOKUP($A1649,MAGAZZINO!$B$2:$M$4838,4,FALSE)</f>
        <v/>
      </c>
      <c r="E1649" s="17">
        <f>+VLOOKUP($A1649,MAGAZZINO!$B$2:$M$4838,5,FALSE)</f>
        <v/>
      </c>
      <c r="F1649" s="17">
        <f>+VLOOKUP($A1649,MAGAZZINO!$B$2:$M$4838,6,FALSE)</f>
        <v/>
      </c>
      <c r="G1649" s="17">
        <f>+VLOOKUP($A1649,MAGAZZINO!$B$2:$M$4838,7,FALSE)</f>
        <v/>
      </c>
      <c r="H1649" s="17">
        <f>+VLOOKUP($A1649,MAGAZZINO!$B$2:$M$4838,8,FALSE)</f>
        <v/>
      </c>
      <c r="I1649" s="17">
        <f>+VLOOKUP($A1649,MAGAZZINO!$B$2:$M$4838,9,FALSE)</f>
        <v/>
      </c>
      <c r="J1649" s="17">
        <f>+VLOOKUP($A1649,MAGAZZINO!$B$2:$M$4838,10,FALSE)</f>
        <v/>
      </c>
      <c r="K1649" s="17">
        <f>+VLOOKUP($A1649,MAGAZZINO!$B$2:$M$4838,11,FALSE)</f>
        <v/>
      </c>
      <c r="L1649" s="44">
        <f>+VLOOKUP($A1649,MAGAZZINO!$B$2:$M$4838,12,FALSE)</f>
        <v/>
      </c>
    </row>
    <row r="1650" ht="36" customHeight="1">
      <c r="A1650" s="30">
        <f>+REGISTRO!A1633</f>
        <v/>
      </c>
      <c r="B1650" s="31">
        <f>+VLOOKUP($A1650,MAGAZZINO!$B$2:$M$4838,2,FALSE)</f>
        <v/>
      </c>
      <c r="C1650" s="32">
        <f>+VLOOKUP($A1650,MAGAZZINO!$B$2:$M$4838,3,FALSE)</f>
        <v/>
      </c>
      <c r="D1650" s="17">
        <f>+VLOOKUP($A1650,MAGAZZINO!$B$2:$M$4838,4,FALSE)</f>
        <v/>
      </c>
      <c r="E1650" s="17">
        <f>+VLOOKUP($A1650,MAGAZZINO!$B$2:$M$4838,5,FALSE)</f>
        <v/>
      </c>
      <c r="F1650" s="17">
        <f>+VLOOKUP($A1650,MAGAZZINO!$B$2:$M$4838,6,FALSE)</f>
        <v/>
      </c>
      <c r="G1650" s="17">
        <f>+VLOOKUP($A1650,MAGAZZINO!$B$2:$M$4838,7,FALSE)</f>
        <v/>
      </c>
      <c r="H1650" s="17">
        <f>+VLOOKUP($A1650,MAGAZZINO!$B$2:$M$4838,8,FALSE)</f>
        <v/>
      </c>
      <c r="I1650" s="17">
        <f>+VLOOKUP($A1650,MAGAZZINO!$B$2:$M$4838,9,FALSE)</f>
        <v/>
      </c>
      <c r="J1650" s="17">
        <f>+VLOOKUP($A1650,MAGAZZINO!$B$2:$M$4838,10,FALSE)</f>
        <v/>
      </c>
      <c r="K1650" s="17">
        <f>+VLOOKUP($A1650,MAGAZZINO!$B$2:$M$4838,11,FALSE)</f>
        <v/>
      </c>
      <c r="L1650" s="44">
        <f>+VLOOKUP($A1650,MAGAZZINO!$B$2:$M$4838,12,FALSE)</f>
        <v/>
      </c>
    </row>
    <row r="1651" ht="36" customHeight="1">
      <c r="A1651" s="30">
        <f>+REGISTRO!A1634</f>
        <v/>
      </c>
      <c r="B1651" s="31">
        <f>+VLOOKUP($A1651,MAGAZZINO!$B$2:$M$4838,2,FALSE)</f>
        <v/>
      </c>
      <c r="C1651" s="32">
        <f>+VLOOKUP($A1651,MAGAZZINO!$B$2:$M$4838,3,FALSE)</f>
        <v/>
      </c>
      <c r="D1651" s="17">
        <f>+VLOOKUP($A1651,MAGAZZINO!$B$2:$M$4838,4,FALSE)</f>
        <v/>
      </c>
      <c r="E1651" s="17">
        <f>+VLOOKUP($A1651,MAGAZZINO!$B$2:$M$4838,5,FALSE)</f>
        <v/>
      </c>
      <c r="F1651" s="17">
        <f>+VLOOKUP($A1651,MAGAZZINO!$B$2:$M$4838,6,FALSE)</f>
        <v/>
      </c>
      <c r="G1651" s="17">
        <f>+VLOOKUP($A1651,MAGAZZINO!$B$2:$M$4838,7,FALSE)</f>
        <v/>
      </c>
      <c r="H1651" s="17">
        <f>+VLOOKUP($A1651,MAGAZZINO!$B$2:$M$4838,8,FALSE)</f>
        <v/>
      </c>
      <c r="I1651" s="17">
        <f>+VLOOKUP($A1651,MAGAZZINO!$B$2:$M$4838,9,FALSE)</f>
        <v/>
      </c>
      <c r="J1651" s="17">
        <f>+VLOOKUP($A1651,MAGAZZINO!$B$2:$M$4838,10,FALSE)</f>
        <v/>
      </c>
      <c r="K1651" s="17">
        <f>+VLOOKUP($A1651,MAGAZZINO!$B$2:$M$4838,11,FALSE)</f>
        <v/>
      </c>
      <c r="L1651" s="44">
        <f>+VLOOKUP($A1651,MAGAZZINO!$B$2:$M$4838,12,FALSE)</f>
        <v/>
      </c>
    </row>
    <row r="1652" ht="36" customHeight="1">
      <c r="A1652" s="30">
        <f>+REGISTRO!A1635</f>
        <v/>
      </c>
      <c r="B1652" s="31">
        <f>+VLOOKUP($A1652,MAGAZZINO!$B$2:$M$4838,2,FALSE)</f>
        <v/>
      </c>
      <c r="C1652" s="32">
        <f>+VLOOKUP($A1652,MAGAZZINO!$B$2:$M$4838,3,FALSE)</f>
        <v/>
      </c>
      <c r="D1652" s="17">
        <f>+VLOOKUP($A1652,MAGAZZINO!$B$2:$M$4838,4,FALSE)</f>
        <v/>
      </c>
      <c r="E1652" s="17">
        <f>+VLOOKUP($A1652,MAGAZZINO!$B$2:$M$4838,5,FALSE)</f>
        <v/>
      </c>
      <c r="F1652" s="17">
        <f>+VLOOKUP($A1652,MAGAZZINO!$B$2:$M$4838,6,FALSE)</f>
        <v/>
      </c>
      <c r="G1652" s="17">
        <f>+VLOOKUP($A1652,MAGAZZINO!$B$2:$M$4838,7,FALSE)</f>
        <v/>
      </c>
      <c r="H1652" s="17">
        <f>+VLOOKUP($A1652,MAGAZZINO!$B$2:$M$4838,8,FALSE)</f>
        <v/>
      </c>
      <c r="I1652" s="17">
        <f>+VLOOKUP($A1652,MAGAZZINO!$B$2:$M$4838,9,FALSE)</f>
        <v/>
      </c>
      <c r="J1652" s="17">
        <f>+VLOOKUP($A1652,MAGAZZINO!$B$2:$M$4838,10,FALSE)</f>
        <v/>
      </c>
      <c r="K1652" s="17">
        <f>+VLOOKUP($A1652,MAGAZZINO!$B$2:$M$4838,11,FALSE)</f>
        <v/>
      </c>
      <c r="L1652" s="44">
        <f>+VLOOKUP($A1652,MAGAZZINO!$B$2:$M$4838,12,FALSE)</f>
        <v/>
      </c>
    </row>
    <row r="1653" ht="36" customHeight="1">
      <c r="A1653" s="30">
        <f>+REGISTRO!A1636</f>
        <v/>
      </c>
      <c r="B1653" s="31">
        <f>+VLOOKUP($A1653,MAGAZZINO!$B$2:$M$4838,2,FALSE)</f>
        <v/>
      </c>
      <c r="C1653" s="32">
        <f>+VLOOKUP($A1653,MAGAZZINO!$B$2:$M$4838,3,FALSE)</f>
        <v/>
      </c>
      <c r="D1653" s="17">
        <f>+VLOOKUP($A1653,MAGAZZINO!$B$2:$M$4838,4,FALSE)</f>
        <v/>
      </c>
      <c r="E1653" s="17">
        <f>+VLOOKUP($A1653,MAGAZZINO!$B$2:$M$4838,5,FALSE)</f>
        <v/>
      </c>
      <c r="F1653" s="17">
        <f>+VLOOKUP($A1653,MAGAZZINO!$B$2:$M$4838,6,FALSE)</f>
        <v/>
      </c>
      <c r="G1653" s="17">
        <f>+VLOOKUP($A1653,MAGAZZINO!$B$2:$M$4838,7,FALSE)</f>
        <v/>
      </c>
      <c r="H1653" s="17">
        <f>+VLOOKUP($A1653,MAGAZZINO!$B$2:$M$4838,8,FALSE)</f>
        <v/>
      </c>
      <c r="I1653" s="17">
        <f>+VLOOKUP($A1653,MAGAZZINO!$B$2:$M$4838,9,FALSE)</f>
        <v/>
      </c>
      <c r="J1653" s="17">
        <f>+VLOOKUP($A1653,MAGAZZINO!$B$2:$M$4838,10,FALSE)</f>
        <v/>
      </c>
      <c r="K1653" s="17">
        <f>+VLOOKUP($A1653,MAGAZZINO!$B$2:$M$4838,11,FALSE)</f>
        <v/>
      </c>
      <c r="L1653" s="44">
        <f>+VLOOKUP($A1653,MAGAZZINO!$B$2:$M$4838,12,FALSE)</f>
        <v/>
      </c>
    </row>
    <row r="1654" ht="36" customHeight="1">
      <c r="A1654" s="30">
        <f>+REGISTRO!A1637</f>
        <v/>
      </c>
      <c r="B1654" s="31">
        <f>+VLOOKUP($A1654,MAGAZZINO!$B$2:$M$4838,2,FALSE)</f>
        <v/>
      </c>
      <c r="C1654" s="32">
        <f>+VLOOKUP($A1654,MAGAZZINO!$B$2:$M$4838,3,FALSE)</f>
        <v/>
      </c>
      <c r="D1654" s="17">
        <f>+VLOOKUP($A1654,MAGAZZINO!$B$2:$M$4838,4,FALSE)</f>
        <v/>
      </c>
      <c r="E1654" s="17">
        <f>+VLOOKUP($A1654,MAGAZZINO!$B$2:$M$4838,5,FALSE)</f>
        <v/>
      </c>
      <c r="F1654" s="17">
        <f>+VLOOKUP($A1654,MAGAZZINO!$B$2:$M$4838,6,FALSE)</f>
        <v/>
      </c>
      <c r="G1654" s="17">
        <f>+VLOOKUP($A1654,MAGAZZINO!$B$2:$M$4838,7,FALSE)</f>
        <v/>
      </c>
      <c r="H1654" s="17">
        <f>+VLOOKUP($A1654,MAGAZZINO!$B$2:$M$4838,8,FALSE)</f>
        <v/>
      </c>
      <c r="I1654" s="17">
        <f>+VLOOKUP($A1654,MAGAZZINO!$B$2:$M$4838,9,FALSE)</f>
        <v/>
      </c>
      <c r="J1654" s="17">
        <f>+VLOOKUP($A1654,MAGAZZINO!$B$2:$M$4838,10,FALSE)</f>
        <v/>
      </c>
      <c r="K1654" s="17">
        <f>+VLOOKUP($A1654,MAGAZZINO!$B$2:$M$4838,11,FALSE)</f>
        <v/>
      </c>
      <c r="L1654" s="44">
        <f>+VLOOKUP($A1654,MAGAZZINO!$B$2:$M$4838,12,FALSE)</f>
        <v/>
      </c>
    </row>
    <row r="1655" ht="36" customHeight="1">
      <c r="A1655" s="30">
        <f>+REGISTRO!A1638</f>
        <v/>
      </c>
      <c r="B1655" s="31">
        <f>+VLOOKUP($A1655,MAGAZZINO!$B$2:$M$4838,2,FALSE)</f>
        <v/>
      </c>
      <c r="C1655" s="32">
        <f>+VLOOKUP($A1655,MAGAZZINO!$B$2:$M$4838,3,FALSE)</f>
        <v/>
      </c>
      <c r="D1655" s="17">
        <f>+VLOOKUP($A1655,MAGAZZINO!$B$2:$M$4838,4,FALSE)</f>
        <v/>
      </c>
      <c r="E1655" s="17">
        <f>+VLOOKUP($A1655,MAGAZZINO!$B$2:$M$4838,5,FALSE)</f>
        <v/>
      </c>
      <c r="F1655" s="17">
        <f>+VLOOKUP($A1655,MAGAZZINO!$B$2:$M$4838,6,FALSE)</f>
        <v/>
      </c>
      <c r="G1655" s="17">
        <f>+VLOOKUP($A1655,MAGAZZINO!$B$2:$M$4838,7,FALSE)</f>
        <v/>
      </c>
      <c r="H1655" s="17">
        <f>+VLOOKUP($A1655,MAGAZZINO!$B$2:$M$4838,8,FALSE)</f>
        <v/>
      </c>
      <c r="I1655" s="17">
        <f>+VLOOKUP($A1655,MAGAZZINO!$B$2:$M$4838,9,FALSE)</f>
        <v/>
      </c>
      <c r="J1655" s="17">
        <f>+VLOOKUP($A1655,MAGAZZINO!$B$2:$M$4838,10,FALSE)</f>
        <v/>
      </c>
      <c r="K1655" s="17">
        <f>+VLOOKUP($A1655,MAGAZZINO!$B$2:$M$4838,11,FALSE)</f>
        <v/>
      </c>
      <c r="L1655" s="44">
        <f>+VLOOKUP($A1655,MAGAZZINO!$B$2:$M$4838,12,FALSE)</f>
        <v/>
      </c>
    </row>
    <row r="1656" ht="36" customHeight="1">
      <c r="A1656" s="30">
        <f>+REGISTRO!A1639</f>
        <v/>
      </c>
      <c r="B1656" s="31">
        <f>+VLOOKUP($A1656,MAGAZZINO!$B$2:$M$4838,2,FALSE)</f>
        <v/>
      </c>
      <c r="C1656" s="32">
        <f>+VLOOKUP($A1656,MAGAZZINO!$B$2:$M$4838,3,FALSE)</f>
        <v/>
      </c>
      <c r="D1656" s="17">
        <f>+VLOOKUP($A1656,MAGAZZINO!$B$2:$M$4838,4,FALSE)</f>
        <v/>
      </c>
      <c r="E1656" s="17">
        <f>+VLOOKUP($A1656,MAGAZZINO!$B$2:$M$4838,5,FALSE)</f>
        <v/>
      </c>
      <c r="F1656" s="17">
        <f>+VLOOKUP($A1656,MAGAZZINO!$B$2:$M$4838,6,FALSE)</f>
        <v/>
      </c>
      <c r="G1656" s="17">
        <f>+VLOOKUP($A1656,MAGAZZINO!$B$2:$M$4838,7,FALSE)</f>
        <v/>
      </c>
      <c r="H1656" s="17">
        <f>+VLOOKUP($A1656,MAGAZZINO!$B$2:$M$4838,8,FALSE)</f>
        <v/>
      </c>
      <c r="I1656" s="17">
        <f>+VLOOKUP($A1656,MAGAZZINO!$B$2:$M$4838,9,FALSE)</f>
        <v/>
      </c>
      <c r="J1656" s="17">
        <f>+VLOOKUP($A1656,MAGAZZINO!$B$2:$M$4838,10,FALSE)</f>
        <v/>
      </c>
      <c r="K1656" s="17">
        <f>+VLOOKUP($A1656,MAGAZZINO!$B$2:$M$4838,11,FALSE)</f>
        <v/>
      </c>
      <c r="L1656" s="44">
        <f>+VLOOKUP($A1656,MAGAZZINO!$B$2:$M$4838,12,FALSE)</f>
        <v/>
      </c>
    </row>
    <row r="1657" ht="36" customHeight="1">
      <c r="A1657" s="30">
        <f>+REGISTRO!A1640</f>
        <v/>
      </c>
      <c r="B1657" s="31">
        <f>+VLOOKUP($A1657,MAGAZZINO!$B$2:$M$4838,2,FALSE)</f>
        <v/>
      </c>
      <c r="C1657" s="32">
        <f>+VLOOKUP($A1657,MAGAZZINO!$B$2:$M$4838,3,FALSE)</f>
        <v/>
      </c>
      <c r="D1657" s="17">
        <f>+VLOOKUP($A1657,MAGAZZINO!$B$2:$M$4838,4,FALSE)</f>
        <v/>
      </c>
      <c r="E1657" s="17">
        <f>+VLOOKUP($A1657,MAGAZZINO!$B$2:$M$4838,5,FALSE)</f>
        <v/>
      </c>
      <c r="F1657" s="17">
        <f>+VLOOKUP($A1657,MAGAZZINO!$B$2:$M$4838,6,FALSE)</f>
        <v/>
      </c>
      <c r="G1657" s="17">
        <f>+VLOOKUP($A1657,MAGAZZINO!$B$2:$M$4838,7,FALSE)</f>
        <v/>
      </c>
      <c r="H1657" s="17">
        <f>+VLOOKUP($A1657,MAGAZZINO!$B$2:$M$4838,8,FALSE)</f>
        <v/>
      </c>
      <c r="I1657" s="17">
        <f>+VLOOKUP($A1657,MAGAZZINO!$B$2:$M$4838,9,FALSE)</f>
        <v/>
      </c>
      <c r="J1657" s="17">
        <f>+VLOOKUP($A1657,MAGAZZINO!$B$2:$M$4838,10,FALSE)</f>
        <v/>
      </c>
      <c r="K1657" s="17">
        <f>+VLOOKUP($A1657,MAGAZZINO!$B$2:$M$4838,11,FALSE)</f>
        <v/>
      </c>
      <c r="L1657" s="44">
        <f>+VLOOKUP($A1657,MAGAZZINO!$B$2:$M$4838,12,FALSE)</f>
        <v/>
      </c>
    </row>
    <row r="1658" ht="36" customHeight="1">
      <c r="A1658" s="30">
        <f>+REGISTRO!A1641</f>
        <v/>
      </c>
      <c r="B1658" s="31">
        <f>+VLOOKUP($A1658,MAGAZZINO!$B$2:$M$4838,2,FALSE)</f>
        <v/>
      </c>
      <c r="C1658" s="32">
        <f>+VLOOKUP($A1658,MAGAZZINO!$B$2:$M$4838,3,FALSE)</f>
        <v/>
      </c>
      <c r="D1658" s="17">
        <f>+VLOOKUP($A1658,MAGAZZINO!$B$2:$M$4838,4,FALSE)</f>
        <v/>
      </c>
      <c r="E1658" s="17">
        <f>+VLOOKUP($A1658,MAGAZZINO!$B$2:$M$4838,5,FALSE)</f>
        <v/>
      </c>
      <c r="F1658" s="17">
        <f>+VLOOKUP($A1658,MAGAZZINO!$B$2:$M$4838,6,FALSE)</f>
        <v/>
      </c>
      <c r="G1658" s="17">
        <f>+VLOOKUP($A1658,MAGAZZINO!$B$2:$M$4838,7,FALSE)</f>
        <v/>
      </c>
      <c r="H1658" s="17">
        <f>+VLOOKUP($A1658,MAGAZZINO!$B$2:$M$4838,8,FALSE)</f>
        <v/>
      </c>
      <c r="I1658" s="17">
        <f>+VLOOKUP($A1658,MAGAZZINO!$B$2:$M$4838,9,FALSE)</f>
        <v/>
      </c>
      <c r="J1658" s="17">
        <f>+VLOOKUP($A1658,MAGAZZINO!$B$2:$M$4838,10,FALSE)</f>
        <v/>
      </c>
      <c r="K1658" s="17">
        <f>+VLOOKUP($A1658,MAGAZZINO!$B$2:$M$4838,11,FALSE)</f>
        <v/>
      </c>
      <c r="L1658" s="44">
        <f>+VLOOKUP($A1658,MAGAZZINO!$B$2:$M$4838,12,FALSE)</f>
        <v/>
      </c>
    </row>
    <row r="1659" ht="36" customHeight="1">
      <c r="A1659" s="30">
        <f>+REGISTRO!A1642</f>
        <v/>
      </c>
      <c r="B1659" s="31">
        <f>+VLOOKUP($A1659,MAGAZZINO!$B$2:$M$4838,2,FALSE)</f>
        <v/>
      </c>
      <c r="C1659" s="32">
        <f>+VLOOKUP($A1659,MAGAZZINO!$B$2:$M$4838,3,FALSE)</f>
        <v/>
      </c>
      <c r="D1659" s="17">
        <f>+VLOOKUP($A1659,MAGAZZINO!$B$2:$M$4838,4,FALSE)</f>
        <v/>
      </c>
      <c r="E1659" s="17">
        <f>+VLOOKUP($A1659,MAGAZZINO!$B$2:$M$4838,5,FALSE)</f>
        <v/>
      </c>
      <c r="F1659" s="17">
        <f>+VLOOKUP($A1659,MAGAZZINO!$B$2:$M$4838,6,FALSE)</f>
        <v/>
      </c>
      <c r="G1659" s="17">
        <f>+VLOOKUP($A1659,MAGAZZINO!$B$2:$M$4838,7,FALSE)</f>
        <v/>
      </c>
      <c r="H1659" s="17">
        <f>+VLOOKUP($A1659,MAGAZZINO!$B$2:$M$4838,8,FALSE)</f>
        <v/>
      </c>
      <c r="I1659" s="17">
        <f>+VLOOKUP($A1659,MAGAZZINO!$B$2:$M$4838,9,FALSE)</f>
        <v/>
      </c>
      <c r="J1659" s="17">
        <f>+VLOOKUP($A1659,MAGAZZINO!$B$2:$M$4838,10,FALSE)</f>
        <v/>
      </c>
      <c r="K1659" s="17">
        <f>+VLOOKUP($A1659,MAGAZZINO!$B$2:$M$4838,11,FALSE)</f>
        <v/>
      </c>
      <c r="L1659" s="44">
        <f>+VLOOKUP($A1659,MAGAZZINO!$B$2:$M$4838,12,FALSE)</f>
        <v/>
      </c>
    </row>
    <row r="1660" ht="36" customHeight="1">
      <c r="A1660" s="30">
        <f>+REGISTRO!A1643</f>
        <v/>
      </c>
      <c r="B1660" s="31">
        <f>+VLOOKUP($A1660,MAGAZZINO!$B$2:$M$4838,2,FALSE)</f>
        <v/>
      </c>
      <c r="C1660" s="32">
        <f>+VLOOKUP($A1660,MAGAZZINO!$B$2:$M$4838,3,FALSE)</f>
        <v/>
      </c>
      <c r="D1660" s="17">
        <f>+VLOOKUP($A1660,MAGAZZINO!$B$2:$M$4838,4,FALSE)</f>
        <v/>
      </c>
      <c r="E1660" s="17">
        <f>+VLOOKUP($A1660,MAGAZZINO!$B$2:$M$4838,5,FALSE)</f>
        <v/>
      </c>
      <c r="F1660" s="17">
        <f>+VLOOKUP($A1660,MAGAZZINO!$B$2:$M$4838,6,FALSE)</f>
        <v/>
      </c>
      <c r="G1660" s="17">
        <f>+VLOOKUP($A1660,MAGAZZINO!$B$2:$M$4838,7,FALSE)</f>
        <v/>
      </c>
      <c r="H1660" s="17">
        <f>+VLOOKUP($A1660,MAGAZZINO!$B$2:$M$4838,8,FALSE)</f>
        <v/>
      </c>
      <c r="I1660" s="17">
        <f>+VLOOKUP($A1660,MAGAZZINO!$B$2:$M$4838,9,FALSE)</f>
        <v/>
      </c>
      <c r="J1660" s="17">
        <f>+VLOOKUP($A1660,MAGAZZINO!$B$2:$M$4838,10,FALSE)</f>
        <v/>
      </c>
      <c r="K1660" s="17">
        <f>+VLOOKUP($A1660,MAGAZZINO!$B$2:$M$4838,11,FALSE)</f>
        <v/>
      </c>
      <c r="L1660" s="44">
        <f>+VLOOKUP($A1660,MAGAZZINO!$B$2:$M$4838,12,FALSE)</f>
        <v/>
      </c>
    </row>
    <row r="1661" ht="36" customHeight="1">
      <c r="A1661" s="30">
        <f>+REGISTRO!A1644</f>
        <v/>
      </c>
      <c r="B1661" s="31">
        <f>+VLOOKUP($A1661,MAGAZZINO!$B$2:$M$4838,2,FALSE)</f>
        <v/>
      </c>
      <c r="C1661" s="32">
        <f>+VLOOKUP($A1661,MAGAZZINO!$B$2:$M$4838,3,FALSE)</f>
        <v/>
      </c>
      <c r="D1661" s="17">
        <f>+VLOOKUP($A1661,MAGAZZINO!$B$2:$M$4838,4,FALSE)</f>
        <v/>
      </c>
      <c r="E1661" s="17">
        <f>+VLOOKUP($A1661,MAGAZZINO!$B$2:$M$4838,5,FALSE)</f>
        <v/>
      </c>
      <c r="F1661" s="17">
        <f>+VLOOKUP($A1661,MAGAZZINO!$B$2:$M$4838,6,FALSE)</f>
        <v/>
      </c>
      <c r="G1661" s="17">
        <f>+VLOOKUP($A1661,MAGAZZINO!$B$2:$M$4838,7,FALSE)</f>
        <v/>
      </c>
      <c r="H1661" s="17">
        <f>+VLOOKUP($A1661,MAGAZZINO!$B$2:$M$4838,8,FALSE)</f>
        <v/>
      </c>
      <c r="I1661" s="17">
        <f>+VLOOKUP($A1661,MAGAZZINO!$B$2:$M$4838,9,FALSE)</f>
        <v/>
      </c>
      <c r="J1661" s="17">
        <f>+VLOOKUP($A1661,MAGAZZINO!$B$2:$M$4838,10,FALSE)</f>
        <v/>
      </c>
      <c r="K1661" s="17">
        <f>+VLOOKUP($A1661,MAGAZZINO!$B$2:$M$4838,11,FALSE)</f>
        <v/>
      </c>
      <c r="L1661" s="44">
        <f>+VLOOKUP($A1661,MAGAZZINO!$B$2:$M$4838,12,FALSE)</f>
        <v/>
      </c>
    </row>
    <row r="1662" ht="36" customHeight="1">
      <c r="A1662" s="30">
        <f>+REGISTRO!A1645</f>
        <v/>
      </c>
      <c r="B1662" s="31">
        <f>+VLOOKUP($A1662,MAGAZZINO!$B$2:$M$4838,2,FALSE)</f>
        <v/>
      </c>
      <c r="C1662" s="32">
        <f>+VLOOKUP($A1662,MAGAZZINO!$B$2:$M$4838,3,FALSE)</f>
        <v/>
      </c>
      <c r="D1662" s="17">
        <f>+VLOOKUP($A1662,MAGAZZINO!$B$2:$M$4838,4,FALSE)</f>
        <v/>
      </c>
      <c r="E1662" s="17">
        <f>+VLOOKUP($A1662,MAGAZZINO!$B$2:$M$4838,5,FALSE)</f>
        <v/>
      </c>
      <c r="F1662" s="17">
        <f>+VLOOKUP($A1662,MAGAZZINO!$B$2:$M$4838,6,FALSE)</f>
        <v/>
      </c>
      <c r="G1662" s="17">
        <f>+VLOOKUP($A1662,MAGAZZINO!$B$2:$M$4838,7,FALSE)</f>
        <v/>
      </c>
      <c r="H1662" s="17">
        <f>+VLOOKUP($A1662,MAGAZZINO!$B$2:$M$4838,8,FALSE)</f>
        <v/>
      </c>
      <c r="I1662" s="17">
        <f>+VLOOKUP($A1662,MAGAZZINO!$B$2:$M$4838,9,FALSE)</f>
        <v/>
      </c>
      <c r="J1662" s="17">
        <f>+VLOOKUP($A1662,MAGAZZINO!$B$2:$M$4838,10,FALSE)</f>
        <v/>
      </c>
      <c r="K1662" s="17">
        <f>+VLOOKUP($A1662,MAGAZZINO!$B$2:$M$4838,11,FALSE)</f>
        <v/>
      </c>
      <c r="L1662" s="44">
        <f>+VLOOKUP($A1662,MAGAZZINO!$B$2:$M$4838,12,FALSE)</f>
        <v/>
      </c>
    </row>
    <row r="1663" ht="36" customHeight="1">
      <c r="A1663" s="30">
        <f>+REGISTRO!A1646</f>
        <v/>
      </c>
      <c r="B1663" s="31">
        <f>+VLOOKUP($A1663,MAGAZZINO!$B$2:$M$4838,2,FALSE)</f>
        <v/>
      </c>
      <c r="C1663" s="32">
        <f>+VLOOKUP($A1663,MAGAZZINO!$B$2:$M$4838,3,FALSE)</f>
        <v/>
      </c>
      <c r="D1663" s="17">
        <f>+VLOOKUP($A1663,MAGAZZINO!$B$2:$M$4838,4,FALSE)</f>
        <v/>
      </c>
      <c r="E1663" s="17">
        <f>+VLOOKUP($A1663,MAGAZZINO!$B$2:$M$4838,5,FALSE)</f>
        <v/>
      </c>
      <c r="F1663" s="17">
        <f>+VLOOKUP($A1663,MAGAZZINO!$B$2:$M$4838,6,FALSE)</f>
        <v/>
      </c>
      <c r="G1663" s="17">
        <f>+VLOOKUP($A1663,MAGAZZINO!$B$2:$M$4838,7,FALSE)</f>
        <v/>
      </c>
      <c r="H1663" s="17">
        <f>+VLOOKUP($A1663,MAGAZZINO!$B$2:$M$4838,8,FALSE)</f>
        <v/>
      </c>
      <c r="I1663" s="17">
        <f>+VLOOKUP($A1663,MAGAZZINO!$B$2:$M$4838,9,FALSE)</f>
        <v/>
      </c>
      <c r="J1663" s="17">
        <f>+VLOOKUP($A1663,MAGAZZINO!$B$2:$M$4838,10,FALSE)</f>
        <v/>
      </c>
      <c r="K1663" s="17">
        <f>+VLOOKUP($A1663,MAGAZZINO!$B$2:$M$4838,11,FALSE)</f>
        <v/>
      </c>
      <c r="L1663" s="44">
        <f>+VLOOKUP($A1663,MAGAZZINO!$B$2:$M$4838,12,FALSE)</f>
        <v/>
      </c>
    </row>
    <row r="1664" ht="36" customHeight="1">
      <c r="A1664" s="30">
        <f>+REGISTRO!A1647</f>
        <v/>
      </c>
      <c r="B1664" s="31">
        <f>+VLOOKUP($A1664,MAGAZZINO!$B$2:$M$4838,2,FALSE)</f>
        <v/>
      </c>
      <c r="C1664" s="32">
        <f>+VLOOKUP($A1664,MAGAZZINO!$B$2:$M$4838,3,FALSE)</f>
        <v/>
      </c>
      <c r="D1664" s="17">
        <f>+VLOOKUP($A1664,MAGAZZINO!$B$2:$M$4838,4,FALSE)</f>
        <v/>
      </c>
      <c r="E1664" s="17">
        <f>+VLOOKUP($A1664,MAGAZZINO!$B$2:$M$4838,5,FALSE)</f>
        <v/>
      </c>
      <c r="F1664" s="17">
        <f>+VLOOKUP($A1664,MAGAZZINO!$B$2:$M$4838,6,FALSE)</f>
        <v/>
      </c>
      <c r="G1664" s="17">
        <f>+VLOOKUP($A1664,MAGAZZINO!$B$2:$M$4838,7,FALSE)</f>
        <v/>
      </c>
      <c r="H1664" s="17">
        <f>+VLOOKUP($A1664,MAGAZZINO!$B$2:$M$4838,8,FALSE)</f>
        <v/>
      </c>
      <c r="I1664" s="17">
        <f>+VLOOKUP($A1664,MAGAZZINO!$B$2:$M$4838,9,FALSE)</f>
        <v/>
      </c>
      <c r="J1664" s="17">
        <f>+VLOOKUP($A1664,MAGAZZINO!$B$2:$M$4838,10,FALSE)</f>
        <v/>
      </c>
      <c r="K1664" s="17">
        <f>+VLOOKUP($A1664,MAGAZZINO!$B$2:$M$4838,11,FALSE)</f>
        <v/>
      </c>
      <c r="L1664" s="44">
        <f>+VLOOKUP($A1664,MAGAZZINO!$B$2:$M$4838,12,FALSE)</f>
        <v/>
      </c>
    </row>
    <row r="1665" ht="36" customHeight="1">
      <c r="A1665" s="30">
        <f>+REGISTRO!A1648</f>
        <v/>
      </c>
      <c r="B1665" s="31">
        <f>+VLOOKUP($A1665,MAGAZZINO!$B$2:$M$4838,2,FALSE)</f>
        <v/>
      </c>
      <c r="C1665" s="32">
        <f>+VLOOKUP($A1665,MAGAZZINO!$B$2:$M$4838,3,FALSE)</f>
        <v/>
      </c>
      <c r="D1665" s="17">
        <f>+VLOOKUP($A1665,MAGAZZINO!$B$2:$M$4838,4,FALSE)</f>
        <v/>
      </c>
      <c r="E1665" s="17">
        <f>+VLOOKUP($A1665,MAGAZZINO!$B$2:$M$4838,5,FALSE)</f>
        <v/>
      </c>
      <c r="F1665" s="17">
        <f>+VLOOKUP($A1665,MAGAZZINO!$B$2:$M$4838,6,FALSE)</f>
        <v/>
      </c>
      <c r="G1665" s="17">
        <f>+VLOOKUP($A1665,MAGAZZINO!$B$2:$M$4838,7,FALSE)</f>
        <v/>
      </c>
      <c r="H1665" s="17">
        <f>+VLOOKUP($A1665,MAGAZZINO!$B$2:$M$4838,8,FALSE)</f>
        <v/>
      </c>
      <c r="I1665" s="17">
        <f>+VLOOKUP($A1665,MAGAZZINO!$B$2:$M$4838,9,FALSE)</f>
        <v/>
      </c>
      <c r="J1665" s="17">
        <f>+VLOOKUP($A1665,MAGAZZINO!$B$2:$M$4838,10,FALSE)</f>
        <v/>
      </c>
      <c r="K1665" s="17">
        <f>+VLOOKUP($A1665,MAGAZZINO!$B$2:$M$4838,11,FALSE)</f>
        <v/>
      </c>
      <c r="L1665" s="44">
        <f>+VLOOKUP($A1665,MAGAZZINO!$B$2:$M$4838,12,FALSE)</f>
        <v/>
      </c>
    </row>
    <row r="1666" ht="36" customHeight="1">
      <c r="A1666" s="30">
        <f>+REGISTRO!A1649</f>
        <v/>
      </c>
      <c r="B1666" s="31">
        <f>+VLOOKUP($A1666,MAGAZZINO!$B$2:$M$4838,2,FALSE)</f>
        <v/>
      </c>
      <c r="C1666" s="32">
        <f>+VLOOKUP($A1666,MAGAZZINO!$B$2:$M$4838,3,FALSE)</f>
        <v/>
      </c>
      <c r="D1666" s="17">
        <f>+VLOOKUP($A1666,MAGAZZINO!$B$2:$M$4838,4,FALSE)</f>
        <v/>
      </c>
      <c r="E1666" s="17">
        <f>+VLOOKUP($A1666,MAGAZZINO!$B$2:$M$4838,5,FALSE)</f>
        <v/>
      </c>
      <c r="F1666" s="17">
        <f>+VLOOKUP($A1666,MAGAZZINO!$B$2:$M$4838,6,FALSE)</f>
        <v/>
      </c>
      <c r="G1666" s="17">
        <f>+VLOOKUP($A1666,MAGAZZINO!$B$2:$M$4838,7,FALSE)</f>
        <v/>
      </c>
      <c r="H1666" s="17">
        <f>+VLOOKUP($A1666,MAGAZZINO!$B$2:$M$4838,8,FALSE)</f>
        <v/>
      </c>
      <c r="I1666" s="17">
        <f>+VLOOKUP($A1666,MAGAZZINO!$B$2:$M$4838,9,FALSE)</f>
        <v/>
      </c>
      <c r="J1666" s="17">
        <f>+VLOOKUP($A1666,MAGAZZINO!$B$2:$M$4838,10,FALSE)</f>
        <v/>
      </c>
      <c r="K1666" s="17">
        <f>+VLOOKUP($A1666,MAGAZZINO!$B$2:$M$4838,11,FALSE)</f>
        <v/>
      </c>
      <c r="L1666" s="44">
        <f>+VLOOKUP($A1666,MAGAZZINO!$B$2:$M$4838,12,FALSE)</f>
        <v/>
      </c>
    </row>
    <row r="1667" ht="36" customHeight="1">
      <c r="A1667" s="30">
        <f>+REGISTRO!A1650</f>
        <v/>
      </c>
      <c r="B1667" s="31">
        <f>+VLOOKUP($A1667,MAGAZZINO!$B$2:$M$4838,2,FALSE)</f>
        <v/>
      </c>
      <c r="C1667" s="32">
        <f>+VLOOKUP($A1667,MAGAZZINO!$B$2:$M$4838,3,FALSE)</f>
        <v/>
      </c>
      <c r="D1667" s="17">
        <f>+VLOOKUP($A1667,MAGAZZINO!$B$2:$M$4838,4,FALSE)</f>
        <v/>
      </c>
      <c r="E1667" s="17">
        <f>+VLOOKUP($A1667,MAGAZZINO!$B$2:$M$4838,5,FALSE)</f>
        <v/>
      </c>
      <c r="F1667" s="17">
        <f>+VLOOKUP($A1667,MAGAZZINO!$B$2:$M$4838,6,FALSE)</f>
        <v/>
      </c>
      <c r="G1667" s="17">
        <f>+VLOOKUP($A1667,MAGAZZINO!$B$2:$M$4838,7,FALSE)</f>
        <v/>
      </c>
      <c r="H1667" s="17">
        <f>+VLOOKUP($A1667,MAGAZZINO!$B$2:$M$4838,8,FALSE)</f>
        <v/>
      </c>
      <c r="I1667" s="17">
        <f>+VLOOKUP($A1667,MAGAZZINO!$B$2:$M$4838,9,FALSE)</f>
        <v/>
      </c>
      <c r="J1667" s="17">
        <f>+VLOOKUP($A1667,MAGAZZINO!$B$2:$M$4838,10,FALSE)</f>
        <v/>
      </c>
      <c r="K1667" s="17">
        <f>+VLOOKUP($A1667,MAGAZZINO!$B$2:$M$4838,11,FALSE)</f>
        <v/>
      </c>
      <c r="L1667" s="44">
        <f>+VLOOKUP($A1667,MAGAZZINO!$B$2:$M$4838,12,FALSE)</f>
        <v/>
      </c>
    </row>
    <row r="1668" ht="36" customHeight="1">
      <c r="A1668" s="30">
        <f>+REGISTRO!A1651</f>
        <v/>
      </c>
      <c r="B1668" s="31">
        <f>+VLOOKUP($A1668,MAGAZZINO!$B$2:$M$4838,2,FALSE)</f>
        <v/>
      </c>
      <c r="C1668" s="32">
        <f>+VLOOKUP($A1668,MAGAZZINO!$B$2:$M$4838,3,FALSE)</f>
        <v/>
      </c>
      <c r="D1668" s="17">
        <f>+VLOOKUP($A1668,MAGAZZINO!$B$2:$M$4838,4,FALSE)</f>
        <v/>
      </c>
      <c r="E1668" s="17">
        <f>+VLOOKUP($A1668,MAGAZZINO!$B$2:$M$4838,5,FALSE)</f>
        <v/>
      </c>
      <c r="F1668" s="17">
        <f>+VLOOKUP($A1668,MAGAZZINO!$B$2:$M$4838,6,FALSE)</f>
        <v/>
      </c>
      <c r="G1668" s="17">
        <f>+VLOOKUP($A1668,MAGAZZINO!$B$2:$M$4838,7,FALSE)</f>
        <v/>
      </c>
      <c r="H1668" s="17">
        <f>+VLOOKUP($A1668,MAGAZZINO!$B$2:$M$4838,8,FALSE)</f>
        <v/>
      </c>
      <c r="I1668" s="17">
        <f>+VLOOKUP($A1668,MAGAZZINO!$B$2:$M$4838,9,FALSE)</f>
        <v/>
      </c>
      <c r="J1668" s="17">
        <f>+VLOOKUP($A1668,MAGAZZINO!$B$2:$M$4838,10,FALSE)</f>
        <v/>
      </c>
      <c r="K1668" s="17">
        <f>+VLOOKUP($A1668,MAGAZZINO!$B$2:$M$4838,11,FALSE)</f>
        <v/>
      </c>
      <c r="L1668" s="44">
        <f>+VLOOKUP($A1668,MAGAZZINO!$B$2:$M$4838,12,FALSE)</f>
        <v/>
      </c>
    </row>
    <row r="1669" ht="36" customHeight="1">
      <c r="A1669" s="30">
        <f>+REGISTRO!A1652</f>
        <v/>
      </c>
      <c r="B1669" s="31">
        <f>+VLOOKUP($A1669,MAGAZZINO!$B$2:$M$4838,2,FALSE)</f>
        <v/>
      </c>
      <c r="C1669" s="32">
        <f>+VLOOKUP($A1669,MAGAZZINO!$B$2:$M$4838,3,FALSE)</f>
        <v/>
      </c>
      <c r="D1669" s="17">
        <f>+VLOOKUP($A1669,MAGAZZINO!$B$2:$M$4838,4,FALSE)</f>
        <v/>
      </c>
      <c r="E1669" s="17">
        <f>+VLOOKUP($A1669,MAGAZZINO!$B$2:$M$4838,5,FALSE)</f>
        <v/>
      </c>
      <c r="F1669" s="17">
        <f>+VLOOKUP($A1669,MAGAZZINO!$B$2:$M$4838,6,FALSE)</f>
        <v/>
      </c>
      <c r="G1669" s="17">
        <f>+VLOOKUP($A1669,MAGAZZINO!$B$2:$M$4838,7,FALSE)</f>
        <v/>
      </c>
      <c r="H1669" s="17">
        <f>+VLOOKUP($A1669,MAGAZZINO!$B$2:$M$4838,8,FALSE)</f>
        <v/>
      </c>
      <c r="I1669" s="17">
        <f>+VLOOKUP($A1669,MAGAZZINO!$B$2:$M$4838,9,FALSE)</f>
        <v/>
      </c>
      <c r="J1669" s="17">
        <f>+VLOOKUP($A1669,MAGAZZINO!$B$2:$M$4838,10,FALSE)</f>
        <v/>
      </c>
      <c r="K1669" s="17">
        <f>+VLOOKUP($A1669,MAGAZZINO!$B$2:$M$4838,11,FALSE)</f>
        <v/>
      </c>
      <c r="L1669" s="44">
        <f>+VLOOKUP($A1669,MAGAZZINO!$B$2:$M$4838,12,FALSE)</f>
        <v/>
      </c>
    </row>
    <row r="1670" ht="36" customHeight="1">
      <c r="A1670" s="30">
        <f>+REGISTRO!A1653</f>
        <v/>
      </c>
      <c r="B1670" s="31">
        <f>+VLOOKUP($A1670,MAGAZZINO!$B$2:$M$4838,2,FALSE)</f>
        <v/>
      </c>
      <c r="C1670" s="32">
        <f>+VLOOKUP($A1670,MAGAZZINO!$B$2:$M$4838,3,FALSE)</f>
        <v/>
      </c>
      <c r="D1670" s="17">
        <f>+VLOOKUP($A1670,MAGAZZINO!$B$2:$M$4838,4,FALSE)</f>
        <v/>
      </c>
      <c r="E1670" s="17">
        <f>+VLOOKUP($A1670,MAGAZZINO!$B$2:$M$4838,5,FALSE)</f>
        <v/>
      </c>
      <c r="F1670" s="17">
        <f>+VLOOKUP($A1670,MAGAZZINO!$B$2:$M$4838,6,FALSE)</f>
        <v/>
      </c>
      <c r="G1670" s="17">
        <f>+VLOOKUP($A1670,MAGAZZINO!$B$2:$M$4838,7,FALSE)</f>
        <v/>
      </c>
      <c r="H1670" s="17">
        <f>+VLOOKUP($A1670,MAGAZZINO!$B$2:$M$4838,8,FALSE)</f>
        <v/>
      </c>
      <c r="I1670" s="17">
        <f>+VLOOKUP($A1670,MAGAZZINO!$B$2:$M$4838,9,FALSE)</f>
        <v/>
      </c>
      <c r="J1670" s="17">
        <f>+VLOOKUP($A1670,MAGAZZINO!$B$2:$M$4838,10,FALSE)</f>
        <v/>
      </c>
      <c r="K1670" s="17">
        <f>+VLOOKUP($A1670,MAGAZZINO!$B$2:$M$4838,11,FALSE)</f>
        <v/>
      </c>
      <c r="L1670" s="44">
        <f>+VLOOKUP($A1670,MAGAZZINO!$B$2:$M$4838,12,FALSE)</f>
        <v/>
      </c>
    </row>
    <row r="1671" ht="36" customHeight="1">
      <c r="A1671" s="30">
        <f>+REGISTRO!A1654</f>
        <v/>
      </c>
      <c r="B1671" s="31">
        <f>+VLOOKUP($A1671,MAGAZZINO!$B$2:$M$4838,2,FALSE)</f>
        <v/>
      </c>
      <c r="C1671" s="32">
        <f>+VLOOKUP($A1671,MAGAZZINO!$B$2:$M$4838,3,FALSE)</f>
        <v/>
      </c>
      <c r="D1671" s="17">
        <f>+VLOOKUP($A1671,MAGAZZINO!$B$2:$M$4838,4,FALSE)</f>
        <v/>
      </c>
      <c r="E1671" s="17">
        <f>+VLOOKUP($A1671,MAGAZZINO!$B$2:$M$4838,5,FALSE)</f>
        <v/>
      </c>
      <c r="F1671" s="17">
        <f>+VLOOKUP($A1671,MAGAZZINO!$B$2:$M$4838,6,FALSE)</f>
        <v/>
      </c>
      <c r="G1671" s="17">
        <f>+VLOOKUP($A1671,MAGAZZINO!$B$2:$M$4838,7,FALSE)</f>
        <v/>
      </c>
      <c r="H1671" s="17">
        <f>+VLOOKUP($A1671,MAGAZZINO!$B$2:$M$4838,8,FALSE)</f>
        <v/>
      </c>
      <c r="I1671" s="17">
        <f>+VLOOKUP($A1671,MAGAZZINO!$B$2:$M$4838,9,FALSE)</f>
        <v/>
      </c>
      <c r="J1671" s="17">
        <f>+VLOOKUP($A1671,MAGAZZINO!$B$2:$M$4838,10,FALSE)</f>
        <v/>
      </c>
      <c r="K1671" s="17">
        <f>+VLOOKUP($A1671,MAGAZZINO!$B$2:$M$4838,11,FALSE)</f>
        <v/>
      </c>
      <c r="L1671" s="44">
        <f>+VLOOKUP($A1671,MAGAZZINO!$B$2:$M$4838,12,FALSE)</f>
        <v/>
      </c>
    </row>
    <row r="1672" ht="36" customHeight="1">
      <c r="A1672" s="30">
        <f>+REGISTRO!A1655</f>
        <v/>
      </c>
      <c r="B1672" s="31">
        <f>+VLOOKUP($A1672,MAGAZZINO!$B$2:$M$4838,2,FALSE)</f>
        <v/>
      </c>
      <c r="C1672" s="32">
        <f>+VLOOKUP($A1672,MAGAZZINO!$B$2:$M$4838,3,FALSE)</f>
        <v/>
      </c>
      <c r="D1672" s="17">
        <f>+VLOOKUP($A1672,MAGAZZINO!$B$2:$M$4838,4,FALSE)</f>
        <v/>
      </c>
      <c r="E1672" s="17">
        <f>+VLOOKUP($A1672,MAGAZZINO!$B$2:$M$4838,5,FALSE)</f>
        <v/>
      </c>
      <c r="F1672" s="17">
        <f>+VLOOKUP($A1672,MAGAZZINO!$B$2:$M$4838,6,FALSE)</f>
        <v/>
      </c>
      <c r="G1672" s="17">
        <f>+VLOOKUP($A1672,MAGAZZINO!$B$2:$M$4838,7,FALSE)</f>
        <v/>
      </c>
      <c r="H1672" s="17">
        <f>+VLOOKUP($A1672,MAGAZZINO!$B$2:$M$4838,8,FALSE)</f>
        <v/>
      </c>
      <c r="I1672" s="17">
        <f>+VLOOKUP($A1672,MAGAZZINO!$B$2:$M$4838,9,FALSE)</f>
        <v/>
      </c>
      <c r="J1672" s="17">
        <f>+VLOOKUP($A1672,MAGAZZINO!$B$2:$M$4838,10,FALSE)</f>
        <v/>
      </c>
      <c r="K1672" s="17">
        <f>+VLOOKUP($A1672,MAGAZZINO!$B$2:$M$4838,11,FALSE)</f>
        <v/>
      </c>
      <c r="L1672" s="44">
        <f>+VLOOKUP($A1672,MAGAZZINO!$B$2:$M$4838,12,FALSE)</f>
        <v/>
      </c>
    </row>
    <row r="1673" ht="36" customHeight="1">
      <c r="A1673" s="30">
        <f>+REGISTRO!A1656</f>
        <v/>
      </c>
      <c r="B1673" s="31">
        <f>+VLOOKUP($A1673,MAGAZZINO!$B$2:$M$4838,2,FALSE)</f>
        <v/>
      </c>
      <c r="C1673" s="32">
        <f>+VLOOKUP($A1673,MAGAZZINO!$B$2:$M$4838,3,FALSE)</f>
        <v/>
      </c>
      <c r="D1673" s="17">
        <f>+VLOOKUP($A1673,MAGAZZINO!$B$2:$M$4838,4,FALSE)</f>
        <v/>
      </c>
      <c r="E1673" s="17">
        <f>+VLOOKUP($A1673,MAGAZZINO!$B$2:$M$4838,5,FALSE)</f>
        <v/>
      </c>
      <c r="F1673" s="17">
        <f>+VLOOKUP($A1673,MAGAZZINO!$B$2:$M$4838,6,FALSE)</f>
        <v/>
      </c>
      <c r="G1673" s="17">
        <f>+VLOOKUP($A1673,MAGAZZINO!$B$2:$M$4838,7,FALSE)</f>
        <v/>
      </c>
      <c r="H1673" s="17">
        <f>+VLOOKUP($A1673,MAGAZZINO!$B$2:$M$4838,8,FALSE)</f>
        <v/>
      </c>
      <c r="I1673" s="17">
        <f>+VLOOKUP($A1673,MAGAZZINO!$B$2:$M$4838,9,FALSE)</f>
        <v/>
      </c>
      <c r="J1673" s="17">
        <f>+VLOOKUP($A1673,MAGAZZINO!$B$2:$M$4838,10,FALSE)</f>
        <v/>
      </c>
      <c r="K1673" s="17">
        <f>+VLOOKUP($A1673,MAGAZZINO!$B$2:$M$4838,11,FALSE)</f>
        <v/>
      </c>
      <c r="L1673" s="44">
        <f>+VLOOKUP($A1673,MAGAZZINO!$B$2:$M$4838,12,FALSE)</f>
        <v/>
      </c>
    </row>
    <row r="1674" ht="36" customHeight="1">
      <c r="A1674" s="30">
        <f>+REGISTRO!A1657</f>
        <v/>
      </c>
      <c r="B1674" s="31">
        <f>+VLOOKUP($A1674,MAGAZZINO!$B$2:$M$4838,2,FALSE)</f>
        <v/>
      </c>
      <c r="C1674" s="32">
        <f>+VLOOKUP($A1674,MAGAZZINO!$B$2:$M$4838,3,FALSE)</f>
        <v/>
      </c>
      <c r="D1674" s="17">
        <f>+VLOOKUP($A1674,MAGAZZINO!$B$2:$M$4838,4,FALSE)</f>
        <v/>
      </c>
      <c r="E1674" s="17">
        <f>+VLOOKUP($A1674,MAGAZZINO!$B$2:$M$4838,5,FALSE)</f>
        <v/>
      </c>
      <c r="F1674" s="17">
        <f>+VLOOKUP($A1674,MAGAZZINO!$B$2:$M$4838,6,FALSE)</f>
        <v/>
      </c>
      <c r="G1674" s="17">
        <f>+VLOOKUP($A1674,MAGAZZINO!$B$2:$M$4838,7,FALSE)</f>
        <v/>
      </c>
      <c r="H1674" s="17">
        <f>+VLOOKUP($A1674,MAGAZZINO!$B$2:$M$4838,8,FALSE)</f>
        <v/>
      </c>
      <c r="I1674" s="17">
        <f>+VLOOKUP($A1674,MAGAZZINO!$B$2:$M$4838,9,FALSE)</f>
        <v/>
      </c>
      <c r="J1674" s="17">
        <f>+VLOOKUP($A1674,MAGAZZINO!$B$2:$M$4838,10,FALSE)</f>
        <v/>
      </c>
      <c r="K1674" s="17">
        <f>+VLOOKUP($A1674,MAGAZZINO!$B$2:$M$4838,11,FALSE)</f>
        <v/>
      </c>
      <c r="L1674" s="44">
        <f>+VLOOKUP($A1674,MAGAZZINO!$B$2:$M$4838,12,FALSE)</f>
        <v/>
      </c>
    </row>
    <row r="1675" ht="36" customHeight="1">
      <c r="A1675" s="30">
        <f>+REGISTRO!A1658</f>
        <v/>
      </c>
      <c r="B1675" s="31">
        <f>+VLOOKUP($A1675,MAGAZZINO!$B$2:$M$4838,2,FALSE)</f>
        <v/>
      </c>
      <c r="C1675" s="32">
        <f>+VLOOKUP($A1675,MAGAZZINO!$B$2:$M$4838,3,FALSE)</f>
        <v/>
      </c>
      <c r="D1675" s="17">
        <f>+VLOOKUP($A1675,MAGAZZINO!$B$2:$M$4838,4,FALSE)</f>
        <v/>
      </c>
      <c r="E1675" s="17">
        <f>+VLOOKUP($A1675,MAGAZZINO!$B$2:$M$4838,5,FALSE)</f>
        <v/>
      </c>
      <c r="F1675" s="17">
        <f>+VLOOKUP($A1675,MAGAZZINO!$B$2:$M$4838,6,FALSE)</f>
        <v/>
      </c>
      <c r="G1675" s="17">
        <f>+VLOOKUP($A1675,MAGAZZINO!$B$2:$M$4838,7,FALSE)</f>
        <v/>
      </c>
      <c r="H1675" s="17">
        <f>+VLOOKUP($A1675,MAGAZZINO!$B$2:$M$4838,8,FALSE)</f>
        <v/>
      </c>
      <c r="I1675" s="17">
        <f>+VLOOKUP($A1675,MAGAZZINO!$B$2:$M$4838,9,FALSE)</f>
        <v/>
      </c>
      <c r="J1675" s="17">
        <f>+VLOOKUP($A1675,MAGAZZINO!$B$2:$M$4838,10,FALSE)</f>
        <v/>
      </c>
      <c r="K1675" s="17">
        <f>+VLOOKUP($A1675,MAGAZZINO!$B$2:$M$4838,11,FALSE)</f>
        <v/>
      </c>
      <c r="L1675" s="44">
        <f>+VLOOKUP($A1675,MAGAZZINO!$B$2:$M$4838,12,FALSE)</f>
        <v/>
      </c>
    </row>
    <row r="1676" ht="36" customHeight="1">
      <c r="A1676" s="30">
        <f>+REGISTRO!A1659</f>
        <v/>
      </c>
      <c r="B1676" s="31">
        <f>+VLOOKUP($A1676,MAGAZZINO!$B$2:$M$4838,2,FALSE)</f>
        <v/>
      </c>
      <c r="C1676" s="32">
        <f>+VLOOKUP($A1676,MAGAZZINO!$B$2:$M$4838,3,FALSE)</f>
        <v/>
      </c>
      <c r="D1676" s="17">
        <f>+VLOOKUP($A1676,MAGAZZINO!$B$2:$M$4838,4,FALSE)</f>
        <v/>
      </c>
      <c r="E1676" s="17">
        <f>+VLOOKUP($A1676,MAGAZZINO!$B$2:$M$4838,5,FALSE)</f>
        <v/>
      </c>
      <c r="F1676" s="17">
        <f>+VLOOKUP($A1676,MAGAZZINO!$B$2:$M$4838,6,FALSE)</f>
        <v/>
      </c>
      <c r="G1676" s="17">
        <f>+VLOOKUP($A1676,MAGAZZINO!$B$2:$M$4838,7,FALSE)</f>
        <v/>
      </c>
      <c r="H1676" s="17">
        <f>+VLOOKUP($A1676,MAGAZZINO!$B$2:$M$4838,8,FALSE)</f>
        <v/>
      </c>
      <c r="I1676" s="17">
        <f>+VLOOKUP($A1676,MAGAZZINO!$B$2:$M$4838,9,FALSE)</f>
        <v/>
      </c>
      <c r="J1676" s="17">
        <f>+VLOOKUP($A1676,MAGAZZINO!$B$2:$M$4838,10,FALSE)</f>
        <v/>
      </c>
      <c r="K1676" s="17">
        <f>+VLOOKUP($A1676,MAGAZZINO!$B$2:$M$4838,11,FALSE)</f>
        <v/>
      </c>
      <c r="L1676" s="44">
        <f>+VLOOKUP($A1676,MAGAZZINO!$B$2:$M$4838,12,FALSE)</f>
        <v/>
      </c>
    </row>
    <row r="1677" ht="36" customHeight="1">
      <c r="A1677" s="30">
        <f>+REGISTRO!A1660</f>
        <v/>
      </c>
      <c r="B1677" s="31">
        <f>+VLOOKUP($A1677,MAGAZZINO!$B$2:$M$4838,2,FALSE)</f>
        <v/>
      </c>
      <c r="C1677" s="32">
        <f>+VLOOKUP($A1677,MAGAZZINO!$B$2:$M$4838,3,FALSE)</f>
        <v/>
      </c>
      <c r="D1677" s="17">
        <f>+VLOOKUP($A1677,MAGAZZINO!$B$2:$M$4838,4,FALSE)</f>
        <v/>
      </c>
      <c r="E1677" s="17">
        <f>+VLOOKUP($A1677,MAGAZZINO!$B$2:$M$4838,5,FALSE)</f>
        <v/>
      </c>
      <c r="F1677" s="17">
        <f>+VLOOKUP($A1677,MAGAZZINO!$B$2:$M$4838,6,FALSE)</f>
        <v/>
      </c>
      <c r="G1677" s="17">
        <f>+VLOOKUP($A1677,MAGAZZINO!$B$2:$M$4838,7,FALSE)</f>
        <v/>
      </c>
      <c r="H1677" s="17">
        <f>+VLOOKUP($A1677,MAGAZZINO!$B$2:$M$4838,8,FALSE)</f>
        <v/>
      </c>
      <c r="I1677" s="17">
        <f>+VLOOKUP($A1677,MAGAZZINO!$B$2:$M$4838,9,FALSE)</f>
        <v/>
      </c>
      <c r="J1677" s="17">
        <f>+VLOOKUP($A1677,MAGAZZINO!$B$2:$M$4838,10,FALSE)</f>
        <v/>
      </c>
      <c r="K1677" s="17">
        <f>+VLOOKUP($A1677,MAGAZZINO!$B$2:$M$4838,11,FALSE)</f>
        <v/>
      </c>
      <c r="L1677" s="44">
        <f>+VLOOKUP($A1677,MAGAZZINO!$B$2:$M$4838,12,FALSE)</f>
        <v/>
      </c>
    </row>
    <row r="1678" ht="36" customHeight="1">
      <c r="A1678" s="30">
        <f>+REGISTRO!A1661</f>
        <v/>
      </c>
      <c r="B1678" s="31">
        <f>+VLOOKUP($A1678,MAGAZZINO!$B$2:$M$4838,2,FALSE)</f>
        <v/>
      </c>
      <c r="C1678" s="32">
        <f>+VLOOKUP($A1678,MAGAZZINO!$B$2:$M$4838,3,FALSE)</f>
        <v/>
      </c>
      <c r="D1678" s="17">
        <f>+VLOOKUP($A1678,MAGAZZINO!$B$2:$M$4838,4,FALSE)</f>
        <v/>
      </c>
      <c r="E1678" s="17">
        <f>+VLOOKUP($A1678,MAGAZZINO!$B$2:$M$4838,5,FALSE)</f>
        <v/>
      </c>
      <c r="F1678" s="17">
        <f>+VLOOKUP($A1678,MAGAZZINO!$B$2:$M$4838,6,FALSE)</f>
        <v/>
      </c>
      <c r="G1678" s="17">
        <f>+VLOOKUP($A1678,MAGAZZINO!$B$2:$M$4838,7,FALSE)</f>
        <v/>
      </c>
      <c r="H1678" s="17">
        <f>+VLOOKUP($A1678,MAGAZZINO!$B$2:$M$4838,8,FALSE)</f>
        <v/>
      </c>
      <c r="I1678" s="17">
        <f>+VLOOKUP($A1678,MAGAZZINO!$B$2:$M$4838,9,FALSE)</f>
        <v/>
      </c>
      <c r="J1678" s="17">
        <f>+VLOOKUP($A1678,MAGAZZINO!$B$2:$M$4838,10,FALSE)</f>
        <v/>
      </c>
      <c r="K1678" s="17">
        <f>+VLOOKUP($A1678,MAGAZZINO!$B$2:$M$4838,11,FALSE)</f>
        <v/>
      </c>
      <c r="L1678" s="44">
        <f>+VLOOKUP($A1678,MAGAZZINO!$B$2:$M$4838,12,FALSE)</f>
        <v/>
      </c>
    </row>
    <row r="1679" ht="36" customHeight="1">
      <c r="A1679" s="30">
        <f>+REGISTRO!A1662</f>
        <v/>
      </c>
      <c r="B1679" s="31">
        <f>+VLOOKUP($A1679,MAGAZZINO!$B$2:$M$4838,2,FALSE)</f>
        <v/>
      </c>
      <c r="C1679" s="32">
        <f>+VLOOKUP($A1679,MAGAZZINO!$B$2:$M$4838,3,FALSE)</f>
        <v/>
      </c>
      <c r="D1679" s="17">
        <f>+VLOOKUP($A1679,MAGAZZINO!$B$2:$M$4838,4,FALSE)</f>
        <v/>
      </c>
      <c r="E1679" s="17">
        <f>+VLOOKUP($A1679,MAGAZZINO!$B$2:$M$4838,5,FALSE)</f>
        <v/>
      </c>
      <c r="F1679" s="17">
        <f>+VLOOKUP($A1679,MAGAZZINO!$B$2:$M$4838,6,FALSE)</f>
        <v/>
      </c>
      <c r="G1679" s="17">
        <f>+VLOOKUP($A1679,MAGAZZINO!$B$2:$M$4838,7,FALSE)</f>
        <v/>
      </c>
      <c r="H1679" s="17">
        <f>+VLOOKUP($A1679,MAGAZZINO!$B$2:$M$4838,8,FALSE)</f>
        <v/>
      </c>
      <c r="I1679" s="17">
        <f>+VLOOKUP($A1679,MAGAZZINO!$B$2:$M$4838,9,FALSE)</f>
        <v/>
      </c>
      <c r="J1679" s="17">
        <f>+VLOOKUP($A1679,MAGAZZINO!$B$2:$M$4838,10,FALSE)</f>
        <v/>
      </c>
      <c r="K1679" s="17">
        <f>+VLOOKUP($A1679,MAGAZZINO!$B$2:$M$4838,11,FALSE)</f>
        <v/>
      </c>
      <c r="L1679" s="44">
        <f>+VLOOKUP($A1679,MAGAZZINO!$B$2:$M$4838,12,FALSE)</f>
        <v/>
      </c>
    </row>
    <row r="1680" ht="36" customHeight="1">
      <c r="A1680" s="30">
        <f>+REGISTRO!A1663</f>
        <v/>
      </c>
      <c r="B1680" s="31">
        <f>+VLOOKUP($A1680,MAGAZZINO!$B$2:$M$4838,2,FALSE)</f>
        <v/>
      </c>
      <c r="C1680" s="32">
        <f>+VLOOKUP($A1680,MAGAZZINO!$B$2:$M$4838,3,FALSE)</f>
        <v/>
      </c>
      <c r="D1680" s="17">
        <f>+VLOOKUP($A1680,MAGAZZINO!$B$2:$M$4838,4,FALSE)</f>
        <v/>
      </c>
      <c r="E1680" s="17">
        <f>+VLOOKUP($A1680,MAGAZZINO!$B$2:$M$4838,5,FALSE)</f>
        <v/>
      </c>
      <c r="F1680" s="17">
        <f>+VLOOKUP($A1680,MAGAZZINO!$B$2:$M$4838,6,FALSE)</f>
        <v/>
      </c>
      <c r="G1680" s="17">
        <f>+VLOOKUP($A1680,MAGAZZINO!$B$2:$M$4838,7,FALSE)</f>
        <v/>
      </c>
      <c r="H1680" s="17">
        <f>+VLOOKUP($A1680,MAGAZZINO!$B$2:$M$4838,8,FALSE)</f>
        <v/>
      </c>
      <c r="I1680" s="17">
        <f>+VLOOKUP($A1680,MAGAZZINO!$B$2:$M$4838,9,FALSE)</f>
        <v/>
      </c>
      <c r="J1680" s="17">
        <f>+VLOOKUP($A1680,MAGAZZINO!$B$2:$M$4838,10,FALSE)</f>
        <v/>
      </c>
      <c r="K1680" s="17">
        <f>+VLOOKUP($A1680,MAGAZZINO!$B$2:$M$4838,11,FALSE)</f>
        <v/>
      </c>
      <c r="L1680" s="44">
        <f>+VLOOKUP($A1680,MAGAZZINO!$B$2:$M$4838,12,FALSE)</f>
        <v/>
      </c>
    </row>
    <row r="1681" ht="36" customHeight="1">
      <c r="A1681" s="30">
        <f>+REGISTRO!A1664</f>
        <v/>
      </c>
      <c r="B1681" s="31">
        <f>+VLOOKUP($A1681,MAGAZZINO!$B$2:$M$4838,2,FALSE)</f>
        <v/>
      </c>
      <c r="C1681" s="32">
        <f>+VLOOKUP($A1681,MAGAZZINO!$B$2:$M$4838,3,FALSE)</f>
        <v/>
      </c>
      <c r="D1681" s="17">
        <f>+VLOOKUP($A1681,MAGAZZINO!$B$2:$M$4838,4,FALSE)</f>
        <v/>
      </c>
      <c r="E1681" s="17">
        <f>+VLOOKUP($A1681,MAGAZZINO!$B$2:$M$4838,5,FALSE)</f>
        <v/>
      </c>
      <c r="F1681" s="17">
        <f>+VLOOKUP($A1681,MAGAZZINO!$B$2:$M$4838,6,FALSE)</f>
        <v/>
      </c>
      <c r="G1681" s="17">
        <f>+VLOOKUP($A1681,MAGAZZINO!$B$2:$M$4838,7,FALSE)</f>
        <v/>
      </c>
      <c r="H1681" s="17">
        <f>+VLOOKUP($A1681,MAGAZZINO!$B$2:$M$4838,8,FALSE)</f>
        <v/>
      </c>
      <c r="I1681" s="17">
        <f>+VLOOKUP($A1681,MAGAZZINO!$B$2:$M$4838,9,FALSE)</f>
        <v/>
      </c>
      <c r="J1681" s="17">
        <f>+VLOOKUP($A1681,MAGAZZINO!$B$2:$M$4838,10,FALSE)</f>
        <v/>
      </c>
      <c r="K1681" s="17">
        <f>+VLOOKUP($A1681,MAGAZZINO!$B$2:$M$4838,11,FALSE)</f>
        <v/>
      </c>
      <c r="L1681" s="44">
        <f>+VLOOKUP($A1681,MAGAZZINO!$B$2:$M$4838,12,FALSE)</f>
        <v/>
      </c>
    </row>
    <row r="1682" ht="36" customHeight="1">
      <c r="A1682" s="30">
        <f>+REGISTRO!A1665</f>
        <v/>
      </c>
      <c r="B1682" s="31">
        <f>+VLOOKUP($A1682,MAGAZZINO!$B$2:$M$4838,2,FALSE)</f>
        <v/>
      </c>
      <c r="C1682" s="32">
        <f>+VLOOKUP($A1682,MAGAZZINO!$B$2:$M$4838,3,FALSE)</f>
        <v/>
      </c>
      <c r="D1682" s="17">
        <f>+VLOOKUP($A1682,MAGAZZINO!$B$2:$M$4838,4,FALSE)</f>
        <v/>
      </c>
      <c r="E1682" s="17">
        <f>+VLOOKUP($A1682,MAGAZZINO!$B$2:$M$4838,5,FALSE)</f>
        <v/>
      </c>
      <c r="F1682" s="17">
        <f>+VLOOKUP($A1682,MAGAZZINO!$B$2:$M$4838,6,FALSE)</f>
        <v/>
      </c>
      <c r="G1682" s="17">
        <f>+VLOOKUP($A1682,MAGAZZINO!$B$2:$M$4838,7,FALSE)</f>
        <v/>
      </c>
      <c r="H1682" s="17">
        <f>+VLOOKUP($A1682,MAGAZZINO!$B$2:$M$4838,8,FALSE)</f>
        <v/>
      </c>
      <c r="I1682" s="17">
        <f>+VLOOKUP($A1682,MAGAZZINO!$B$2:$M$4838,9,FALSE)</f>
        <v/>
      </c>
      <c r="J1682" s="17">
        <f>+VLOOKUP($A1682,MAGAZZINO!$B$2:$M$4838,10,FALSE)</f>
        <v/>
      </c>
      <c r="K1682" s="17">
        <f>+VLOOKUP($A1682,MAGAZZINO!$B$2:$M$4838,11,FALSE)</f>
        <v/>
      </c>
      <c r="L1682" s="44">
        <f>+VLOOKUP($A1682,MAGAZZINO!$B$2:$M$4838,12,FALSE)</f>
        <v/>
      </c>
    </row>
    <row r="1683" ht="36" customHeight="1">
      <c r="A1683" s="30">
        <f>+REGISTRO!A1666</f>
        <v/>
      </c>
      <c r="B1683" s="31">
        <f>+VLOOKUP($A1683,MAGAZZINO!$B$2:$M$4838,2,FALSE)</f>
        <v/>
      </c>
      <c r="C1683" s="32">
        <f>+VLOOKUP($A1683,MAGAZZINO!$B$2:$M$4838,3,FALSE)</f>
        <v/>
      </c>
      <c r="D1683" s="17">
        <f>+VLOOKUP($A1683,MAGAZZINO!$B$2:$M$4838,4,FALSE)</f>
        <v/>
      </c>
      <c r="E1683" s="17">
        <f>+VLOOKUP($A1683,MAGAZZINO!$B$2:$M$4838,5,FALSE)</f>
        <v/>
      </c>
      <c r="F1683" s="17">
        <f>+VLOOKUP($A1683,MAGAZZINO!$B$2:$M$4838,6,FALSE)</f>
        <v/>
      </c>
      <c r="G1683" s="17">
        <f>+VLOOKUP($A1683,MAGAZZINO!$B$2:$M$4838,7,FALSE)</f>
        <v/>
      </c>
      <c r="H1683" s="17">
        <f>+VLOOKUP($A1683,MAGAZZINO!$B$2:$M$4838,8,FALSE)</f>
        <v/>
      </c>
      <c r="I1683" s="17">
        <f>+VLOOKUP($A1683,MAGAZZINO!$B$2:$M$4838,9,FALSE)</f>
        <v/>
      </c>
      <c r="J1683" s="17">
        <f>+VLOOKUP($A1683,MAGAZZINO!$B$2:$M$4838,10,FALSE)</f>
        <v/>
      </c>
      <c r="K1683" s="17">
        <f>+VLOOKUP($A1683,MAGAZZINO!$B$2:$M$4838,11,FALSE)</f>
        <v/>
      </c>
      <c r="L1683" s="44">
        <f>+VLOOKUP($A1683,MAGAZZINO!$B$2:$M$4838,12,FALSE)</f>
        <v/>
      </c>
    </row>
    <row r="1684" ht="36" customHeight="1">
      <c r="A1684" s="30">
        <f>+REGISTRO!A1667</f>
        <v/>
      </c>
      <c r="B1684" s="31">
        <f>+VLOOKUP($A1684,MAGAZZINO!$B$2:$M$4838,2,FALSE)</f>
        <v/>
      </c>
      <c r="C1684" s="32">
        <f>+VLOOKUP($A1684,MAGAZZINO!$B$2:$M$4838,3,FALSE)</f>
        <v/>
      </c>
      <c r="D1684" s="17">
        <f>+VLOOKUP($A1684,MAGAZZINO!$B$2:$M$4838,4,FALSE)</f>
        <v/>
      </c>
      <c r="E1684" s="17">
        <f>+VLOOKUP($A1684,MAGAZZINO!$B$2:$M$4838,5,FALSE)</f>
        <v/>
      </c>
      <c r="F1684" s="17">
        <f>+VLOOKUP($A1684,MAGAZZINO!$B$2:$M$4838,6,FALSE)</f>
        <v/>
      </c>
      <c r="G1684" s="17">
        <f>+VLOOKUP($A1684,MAGAZZINO!$B$2:$M$4838,7,FALSE)</f>
        <v/>
      </c>
      <c r="H1684" s="17">
        <f>+VLOOKUP($A1684,MAGAZZINO!$B$2:$M$4838,8,FALSE)</f>
        <v/>
      </c>
      <c r="I1684" s="17">
        <f>+VLOOKUP($A1684,MAGAZZINO!$B$2:$M$4838,9,FALSE)</f>
        <v/>
      </c>
      <c r="J1684" s="17">
        <f>+VLOOKUP($A1684,MAGAZZINO!$B$2:$M$4838,10,FALSE)</f>
        <v/>
      </c>
      <c r="K1684" s="17">
        <f>+VLOOKUP($A1684,MAGAZZINO!$B$2:$M$4838,11,FALSE)</f>
        <v/>
      </c>
      <c r="L1684" s="44">
        <f>+VLOOKUP($A1684,MAGAZZINO!$B$2:$M$4838,12,FALSE)</f>
        <v/>
      </c>
    </row>
    <row r="1685" ht="36" customHeight="1">
      <c r="A1685" s="30">
        <f>+REGISTRO!A1668</f>
        <v/>
      </c>
      <c r="B1685" s="31">
        <f>+VLOOKUP($A1685,MAGAZZINO!$B$2:$M$4838,2,FALSE)</f>
        <v/>
      </c>
      <c r="C1685" s="32">
        <f>+VLOOKUP($A1685,MAGAZZINO!$B$2:$M$4838,3,FALSE)</f>
        <v/>
      </c>
      <c r="D1685" s="17">
        <f>+VLOOKUP($A1685,MAGAZZINO!$B$2:$M$4838,4,FALSE)</f>
        <v/>
      </c>
      <c r="E1685" s="17">
        <f>+VLOOKUP($A1685,MAGAZZINO!$B$2:$M$4838,5,FALSE)</f>
        <v/>
      </c>
      <c r="F1685" s="17">
        <f>+VLOOKUP($A1685,MAGAZZINO!$B$2:$M$4838,6,FALSE)</f>
        <v/>
      </c>
      <c r="G1685" s="17">
        <f>+VLOOKUP($A1685,MAGAZZINO!$B$2:$M$4838,7,FALSE)</f>
        <v/>
      </c>
      <c r="H1685" s="17">
        <f>+VLOOKUP($A1685,MAGAZZINO!$B$2:$M$4838,8,FALSE)</f>
        <v/>
      </c>
      <c r="I1685" s="17">
        <f>+VLOOKUP($A1685,MAGAZZINO!$B$2:$M$4838,9,FALSE)</f>
        <v/>
      </c>
      <c r="J1685" s="17">
        <f>+VLOOKUP($A1685,MAGAZZINO!$B$2:$M$4838,10,FALSE)</f>
        <v/>
      </c>
      <c r="K1685" s="17">
        <f>+VLOOKUP($A1685,MAGAZZINO!$B$2:$M$4838,11,FALSE)</f>
        <v/>
      </c>
      <c r="L1685" s="44">
        <f>+VLOOKUP($A1685,MAGAZZINO!$B$2:$M$4838,12,FALSE)</f>
        <v/>
      </c>
    </row>
    <row r="1686" ht="36" customHeight="1">
      <c r="A1686" s="30">
        <f>+REGISTRO!A1669</f>
        <v/>
      </c>
      <c r="B1686" s="31">
        <f>+VLOOKUP($A1686,MAGAZZINO!$B$2:$M$4838,2,FALSE)</f>
        <v/>
      </c>
      <c r="C1686" s="32">
        <f>+VLOOKUP($A1686,MAGAZZINO!$B$2:$M$4838,3,FALSE)</f>
        <v/>
      </c>
      <c r="D1686" s="17">
        <f>+VLOOKUP($A1686,MAGAZZINO!$B$2:$M$4838,4,FALSE)</f>
        <v/>
      </c>
      <c r="E1686" s="17">
        <f>+VLOOKUP($A1686,MAGAZZINO!$B$2:$M$4838,5,FALSE)</f>
        <v/>
      </c>
      <c r="F1686" s="17">
        <f>+VLOOKUP($A1686,MAGAZZINO!$B$2:$M$4838,6,FALSE)</f>
        <v/>
      </c>
      <c r="G1686" s="17">
        <f>+VLOOKUP($A1686,MAGAZZINO!$B$2:$M$4838,7,FALSE)</f>
        <v/>
      </c>
      <c r="H1686" s="17">
        <f>+VLOOKUP($A1686,MAGAZZINO!$B$2:$M$4838,8,FALSE)</f>
        <v/>
      </c>
      <c r="I1686" s="17">
        <f>+VLOOKUP($A1686,MAGAZZINO!$B$2:$M$4838,9,FALSE)</f>
        <v/>
      </c>
      <c r="J1686" s="17">
        <f>+VLOOKUP($A1686,MAGAZZINO!$B$2:$M$4838,10,FALSE)</f>
        <v/>
      </c>
      <c r="K1686" s="17">
        <f>+VLOOKUP($A1686,MAGAZZINO!$B$2:$M$4838,11,FALSE)</f>
        <v/>
      </c>
      <c r="L1686" s="44">
        <f>+VLOOKUP($A1686,MAGAZZINO!$B$2:$M$4838,12,FALSE)</f>
        <v/>
      </c>
    </row>
    <row r="1687" ht="36" customHeight="1">
      <c r="A1687" s="30">
        <f>+REGISTRO!A1670</f>
        <v/>
      </c>
      <c r="B1687" s="31">
        <f>+VLOOKUP($A1687,MAGAZZINO!$B$2:$M$4838,2,FALSE)</f>
        <v/>
      </c>
      <c r="C1687" s="32">
        <f>+VLOOKUP($A1687,MAGAZZINO!$B$2:$M$4838,3,FALSE)</f>
        <v/>
      </c>
      <c r="D1687" s="17">
        <f>+VLOOKUP($A1687,MAGAZZINO!$B$2:$M$4838,4,FALSE)</f>
        <v/>
      </c>
      <c r="E1687" s="17">
        <f>+VLOOKUP($A1687,MAGAZZINO!$B$2:$M$4838,5,FALSE)</f>
        <v/>
      </c>
      <c r="F1687" s="17">
        <f>+VLOOKUP($A1687,MAGAZZINO!$B$2:$M$4838,6,FALSE)</f>
        <v/>
      </c>
      <c r="G1687" s="17">
        <f>+VLOOKUP($A1687,MAGAZZINO!$B$2:$M$4838,7,FALSE)</f>
        <v/>
      </c>
      <c r="H1687" s="17">
        <f>+VLOOKUP($A1687,MAGAZZINO!$B$2:$M$4838,8,FALSE)</f>
        <v/>
      </c>
      <c r="I1687" s="17">
        <f>+VLOOKUP($A1687,MAGAZZINO!$B$2:$M$4838,9,FALSE)</f>
        <v/>
      </c>
      <c r="J1687" s="17">
        <f>+VLOOKUP($A1687,MAGAZZINO!$B$2:$M$4838,10,FALSE)</f>
        <v/>
      </c>
      <c r="K1687" s="17">
        <f>+VLOOKUP($A1687,MAGAZZINO!$B$2:$M$4838,11,FALSE)</f>
        <v/>
      </c>
      <c r="L1687" s="44">
        <f>+VLOOKUP($A1687,MAGAZZINO!$B$2:$M$4838,12,FALSE)</f>
        <v/>
      </c>
    </row>
    <row r="1688" ht="36" customHeight="1">
      <c r="A1688" s="30">
        <f>+REGISTRO!A1671</f>
        <v/>
      </c>
      <c r="B1688" s="31">
        <f>+VLOOKUP($A1688,MAGAZZINO!$B$2:$M$4838,2,FALSE)</f>
        <v/>
      </c>
      <c r="C1688" s="32">
        <f>+VLOOKUP($A1688,MAGAZZINO!$B$2:$M$4838,3,FALSE)</f>
        <v/>
      </c>
      <c r="D1688" s="17">
        <f>+VLOOKUP($A1688,MAGAZZINO!$B$2:$M$4838,4,FALSE)</f>
        <v/>
      </c>
      <c r="E1688" s="17">
        <f>+VLOOKUP($A1688,MAGAZZINO!$B$2:$M$4838,5,FALSE)</f>
        <v/>
      </c>
      <c r="F1688" s="17">
        <f>+VLOOKUP($A1688,MAGAZZINO!$B$2:$M$4838,6,FALSE)</f>
        <v/>
      </c>
      <c r="G1688" s="17">
        <f>+VLOOKUP($A1688,MAGAZZINO!$B$2:$M$4838,7,FALSE)</f>
        <v/>
      </c>
      <c r="H1688" s="17">
        <f>+VLOOKUP($A1688,MAGAZZINO!$B$2:$M$4838,8,FALSE)</f>
        <v/>
      </c>
      <c r="I1688" s="17">
        <f>+VLOOKUP($A1688,MAGAZZINO!$B$2:$M$4838,9,FALSE)</f>
        <v/>
      </c>
      <c r="J1688" s="17">
        <f>+VLOOKUP($A1688,MAGAZZINO!$B$2:$M$4838,10,FALSE)</f>
        <v/>
      </c>
      <c r="K1688" s="17">
        <f>+VLOOKUP($A1688,MAGAZZINO!$B$2:$M$4838,11,FALSE)</f>
        <v/>
      </c>
      <c r="L1688" s="44">
        <f>+VLOOKUP($A1688,MAGAZZINO!$B$2:$M$4838,12,FALSE)</f>
        <v/>
      </c>
    </row>
    <row r="1689" ht="36" customHeight="1">
      <c r="A1689" s="30">
        <f>+REGISTRO!A1672</f>
        <v/>
      </c>
      <c r="B1689" s="31">
        <f>+VLOOKUP($A1689,MAGAZZINO!$B$2:$M$4838,2,FALSE)</f>
        <v/>
      </c>
      <c r="C1689" s="32">
        <f>+VLOOKUP($A1689,MAGAZZINO!$B$2:$M$4838,3,FALSE)</f>
        <v/>
      </c>
      <c r="D1689" s="17">
        <f>+VLOOKUP($A1689,MAGAZZINO!$B$2:$M$4838,4,FALSE)</f>
        <v/>
      </c>
      <c r="E1689" s="17">
        <f>+VLOOKUP($A1689,MAGAZZINO!$B$2:$M$4838,5,FALSE)</f>
        <v/>
      </c>
      <c r="F1689" s="17">
        <f>+VLOOKUP($A1689,MAGAZZINO!$B$2:$M$4838,6,FALSE)</f>
        <v/>
      </c>
      <c r="G1689" s="17">
        <f>+VLOOKUP($A1689,MAGAZZINO!$B$2:$M$4838,7,FALSE)</f>
        <v/>
      </c>
      <c r="H1689" s="17">
        <f>+VLOOKUP($A1689,MAGAZZINO!$B$2:$M$4838,8,FALSE)</f>
        <v/>
      </c>
      <c r="I1689" s="17">
        <f>+VLOOKUP($A1689,MAGAZZINO!$B$2:$M$4838,9,FALSE)</f>
        <v/>
      </c>
      <c r="J1689" s="17">
        <f>+VLOOKUP($A1689,MAGAZZINO!$B$2:$M$4838,10,FALSE)</f>
        <v/>
      </c>
      <c r="K1689" s="17">
        <f>+VLOOKUP($A1689,MAGAZZINO!$B$2:$M$4838,11,FALSE)</f>
        <v/>
      </c>
      <c r="L1689" s="44">
        <f>+VLOOKUP($A1689,MAGAZZINO!$B$2:$M$4838,12,FALSE)</f>
        <v/>
      </c>
    </row>
    <row r="1690" ht="36" customHeight="1">
      <c r="A1690" s="30">
        <f>+REGISTRO!A1673</f>
        <v/>
      </c>
      <c r="B1690" s="31">
        <f>+VLOOKUP($A1690,MAGAZZINO!$B$2:$M$4838,2,FALSE)</f>
        <v/>
      </c>
      <c r="C1690" s="32">
        <f>+VLOOKUP($A1690,MAGAZZINO!$B$2:$M$4838,3,FALSE)</f>
        <v/>
      </c>
      <c r="D1690" s="17">
        <f>+VLOOKUP($A1690,MAGAZZINO!$B$2:$M$4838,4,FALSE)</f>
        <v/>
      </c>
      <c r="E1690" s="17">
        <f>+VLOOKUP($A1690,MAGAZZINO!$B$2:$M$4838,5,FALSE)</f>
        <v/>
      </c>
      <c r="F1690" s="17">
        <f>+VLOOKUP($A1690,MAGAZZINO!$B$2:$M$4838,6,FALSE)</f>
        <v/>
      </c>
      <c r="G1690" s="17">
        <f>+VLOOKUP($A1690,MAGAZZINO!$B$2:$M$4838,7,FALSE)</f>
        <v/>
      </c>
      <c r="H1690" s="17">
        <f>+VLOOKUP($A1690,MAGAZZINO!$B$2:$M$4838,8,FALSE)</f>
        <v/>
      </c>
      <c r="I1690" s="17">
        <f>+VLOOKUP($A1690,MAGAZZINO!$B$2:$M$4838,9,FALSE)</f>
        <v/>
      </c>
      <c r="J1690" s="17">
        <f>+VLOOKUP($A1690,MAGAZZINO!$B$2:$M$4838,10,FALSE)</f>
        <v/>
      </c>
      <c r="K1690" s="17">
        <f>+VLOOKUP($A1690,MAGAZZINO!$B$2:$M$4838,11,FALSE)</f>
        <v/>
      </c>
      <c r="L1690" s="44">
        <f>+VLOOKUP($A1690,MAGAZZINO!$B$2:$M$4838,12,FALSE)</f>
        <v/>
      </c>
    </row>
    <row r="1691" ht="36" customHeight="1">
      <c r="A1691" s="30">
        <f>+REGISTRO!A1674</f>
        <v/>
      </c>
      <c r="B1691" s="31">
        <f>+VLOOKUP($A1691,MAGAZZINO!$B$2:$M$4838,2,FALSE)</f>
        <v/>
      </c>
      <c r="C1691" s="32">
        <f>+VLOOKUP($A1691,MAGAZZINO!$B$2:$M$4838,3,FALSE)</f>
        <v/>
      </c>
      <c r="D1691" s="17">
        <f>+VLOOKUP($A1691,MAGAZZINO!$B$2:$M$4838,4,FALSE)</f>
        <v/>
      </c>
      <c r="E1691" s="17">
        <f>+VLOOKUP($A1691,MAGAZZINO!$B$2:$M$4838,5,FALSE)</f>
        <v/>
      </c>
      <c r="F1691" s="17">
        <f>+VLOOKUP($A1691,MAGAZZINO!$B$2:$M$4838,6,FALSE)</f>
        <v/>
      </c>
      <c r="G1691" s="17">
        <f>+VLOOKUP($A1691,MAGAZZINO!$B$2:$M$4838,7,FALSE)</f>
        <v/>
      </c>
      <c r="H1691" s="17">
        <f>+VLOOKUP($A1691,MAGAZZINO!$B$2:$M$4838,8,FALSE)</f>
        <v/>
      </c>
      <c r="I1691" s="17">
        <f>+VLOOKUP($A1691,MAGAZZINO!$B$2:$M$4838,9,FALSE)</f>
        <v/>
      </c>
      <c r="J1691" s="17">
        <f>+VLOOKUP($A1691,MAGAZZINO!$B$2:$M$4838,10,FALSE)</f>
        <v/>
      </c>
      <c r="K1691" s="17">
        <f>+VLOOKUP($A1691,MAGAZZINO!$B$2:$M$4838,11,FALSE)</f>
        <v/>
      </c>
      <c r="L1691" s="44">
        <f>+VLOOKUP($A1691,MAGAZZINO!$B$2:$M$4838,12,FALSE)</f>
        <v/>
      </c>
    </row>
    <row r="1692" ht="36" customHeight="1">
      <c r="A1692" s="30">
        <f>+REGISTRO!A1675</f>
        <v/>
      </c>
      <c r="B1692" s="31">
        <f>+VLOOKUP($A1692,MAGAZZINO!$B$2:$M$4838,2,FALSE)</f>
        <v/>
      </c>
      <c r="C1692" s="32">
        <f>+VLOOKUP($A1692,MAGAZZINO!$B$2:$M$4838,3,FALSE)</f>
        <v/>
      </c>
      <c r="D1692" s="17">
        <f>+VLOOKUP($A1692,MAGAZZINO!$B$2:$M$4838,4,FALSE)</f>
        <v/>
      </c>
      <c r="E1692" s="17">
        <f>+VLOOKUP($A1692,MAGAZZINO!$B$2:$M$4838,5,FALSE)</f>
        <v/>
      </c>
      <c r="F1692" s="17">
        <f>+VLOOKUP($A1692,MAGAZZINO!$B$2:$M$4838,6,FALSE)</f>
        <v/>
      </c>
      <c r="G1692" s="17">
        <f>+VLOOKUP($A1692,MAGAZZINO!$B$2:$M$4838,7,FALSE)</f>
        <v/>
      </c>
      <c r="H1692" s="17">
        <f>+VLOOKUP($A1692,MAGAZZINO!$B$2:$M$4838,8,FALSE)</f>
        <v/>
      </c>
      <c r="I1692" s="17">
        <f>+VLOOKUP($A1692,MAGAZZINO!$B$2:$M$4838,9,FALSE)</f>
        <v/>
      </c>
      <c r="J1692" s="17">
        <f>+VLOOKUP($A1692,MAGAZZINO!$B$2:$M$4838,10,FALSE)</f>
        <v/>
      </c>
      <c r="K1692" s="17">
        <f>+VLOOKUP($A1692,MAGAZZINO!$B$2:$M$4838,11,FALSE)</f>
        <v/>
      </c>
      <c r="L1692" s="44">
        <f>+VLOOKUP($A1692,MAGAZZINO!$B$2:$M$4838,12,FALSE)</f>
        <v/>
      </c>
    </row>
    <row r="1693" ht="36" customHeight="1">
      <c r="A1693" s="30">
        <f>+REGISTRO!A1676</f>
        <v/>
      </c>
      <c r="B1693" s="31">
        <f>+VLOOKUP($A1693,MAGAZZINO!$B$2:$M$4838,2,FALSE)</f>
        <v/>
      </c>
      <c r="C1693" s="32">
        <f>+VLOOKUP($A1693,MAGAZZINO!$B$2:$M$4838,3,FALSE)</f>
        <v/>
      </c>
      <c r="D1693" s="17">
        <f>+VLOOKUP($A1693,MAGAZZINO!$B$2:$M$4838,4,FALSE)</f>
        <v/>
      </c>
      <c r="E1693" s="17">
        <f>+VLOOKUP($A1693,MAGAZZINO!$B$2:$M$4838,5,FALSE)</f>
        <v/>
      </c>
      <c r="F1693" s="17">
        <f>+VLOOKUP($A1693,MAGAZZINO!$B$2:$M$4838,6,FALSE)</f>
        <v/>
      </c>
      <c r="G1693" s="17">
        <f>+VLOOKUP($A1693,MAGAZZINO!$B$2:$M$4838,7,FALSE)</f>
        <v/>
      </c>
      <c r="H1693" s="17">
        <f>+VLOOKUP($A1693,MAGAZZINO!$B$2:$M$4838,8,FALSE)</f>
        <v/>
      </c>
      <c r="I1693" s="17">
        <f>+VLOOKUP($A1693,MAGAZZINO!$B$2:$M$4838,9,FALSE)</f>
        <v/>
      </c>
      <c r="J1693" s="17">
        <f>+VLOOKUP($A1693,MAGAZZINO!$B$2:$M$4838,10,FALSE)</f>
        <v/>
      </c>
      <c r="K1693" s="17">
        <f>+VLOOKUP($A1693,MAGAZZINO!$B$2:$M$4838,11,FALSE)</f>
        <v/>
      </c>
      <c r="L1693" s="44">
        <f>+VLOOKUP($A1693,MAGAZZINO!$B$2:$M$4838,12,FALSE)</f>
        <v/>
      </c>
    </row>
    <row r="1694" ht="36" customHeight="1">
      <c r="A1694" s="30">
        <f>+REGISTRO!A1677</f>
        <v/>
      </c>
      <c r="B1694" s="31">
        <f>+VLOOKUP($A1694,MAGAZZINO!$B$2:$M$4838,2,FALSE)</f>
        <v/>
      </c>
      <c r="C1694" s="32">
        <f>+VLOOKUP($A1694,MAGAZZINO!$B$2:$M$4838,3,FALSE)</f>
        <v/>
      </c>
      <c r="D1694" s="17">
        <f>+VLOOKUP($A1694,MAGAZZINO!$B$2:$M$4838,4,FALSE)</f>
        <v/>
      </c>
      <c r="E1694" s="17">
        <f>+VLOOKUP($A1694,MAGAZZINO!$B$2:$M$4838,5,FALSE)</f>
        <v/>
      </c>
      <c r="F1694" s="17">
        <f>+VLOOKUP($A1694,MAGAZZINO!$B$2:$M$4838,6,FALSE)</f>
        <v/>
      </c>
      <c r="G1694" s="17">
        <f>+VLOOKUP($A1694,MAGAZZINO!$B$2:$M$4838,7,FALSE)</f>
        <v/>
      </c>
      <c r="H1694" s="17">
        <f>+VLOOKUP($A1694,MAGAZZINO!$B$2:$M$4838,8,FALSE)</f>
        <v/>
      </c>
      <c r="I1694" s="17">
        <f>+VLOOKUP($A1694,MAGAZZINO!$B$2:$M$4838,9,FALSE)</f>
        <v/>
      </c>
      <c r="J1694" s="17">
        <f>+VLOOKUP($A1694,MAGAZZINO!$B$2:$M$4838,10,FALSE)</f>
        <v/>
      </c>
      <c r="K1694" s="17">
        <f>+VLOOKUP($A1694,MAGAZZINO!$B$2:$M$4838,11,FALSE)</f>
        <v/>
      </c>
      <c r="L1694" s="44">
        <f>+VLOOKUP($A1694,MAGAZZINO!$B$2:$M$4838,12,FALSE)</f>
        <v/>
      </c>
    </row>
    <row r="1695" ht="36" customHeight="1">
      <c r="A1695" s="30">
        <f>+REGISTRO!A1678</f>
        <v/>
      </c>
      <c r="B1695" s="31">
        <f>+VLOOKUP($A1695,MAGAZZINO!$B$2:$M$4838,2,FALSE)</f>
        <v/>
      </c>
      <c r="C1695" s="32">
        <f>+VLOOKUP($A1695,MAGAZZINO!$B$2:$M$4838,3,FALSE)</f>
        <v/>
      </c>
      <c r="D1695" s="17">
        <f>+VLOOKUP($A1695,MAGAZZINO!$B$2:$M$4838,4,FALSE)</f>
        <v/>
      </c>
      <c r="E1695" s="17">
        <f>+VLOOKUP($A1695,MAGAZZINO!$B$2:$M$4838,5,FALSE)</f>
        <v/>
      </c>
      <c r="F1695" s="17">
        <f>+VLOOKUP($A1695,MAGAZZINO!$B$2:$M$4838,6,FALSE)</f>
        <v/>
      </c>
      <c r="G1695" s="17">
        <f>+VLOOKUP($A1695,MAGAZZINO!$B$2:$M$4838,7,FALSE)</f>
        <v/>
      </c>
      <c r="H1695" s="17">
        <f>+VLOOKUP($A1695,MAGAZZINO!$B$2:$M$4838,8,FALSE)</f>
        <v/>
      </c>
      <c r="I1695" s="17">
        <f>+VLOOKUP($A1695,MAGAZZINO!$B$2:$M$4838,9,FALSE)</f>
        <v/>
      </c>
      <c r="J1695" s="17">
        <f>+VLOOKUP($A1695,MAGAZZINO!$B$2:$M$4838,10,FALSE)</f>
        <v/>
      </c>
      <c r="K1695" s="17">
        <f>+VLOOKUP($A1695,MAGAZZINO!$B$2:$M$4838,11,FALSE)</f>
        <v/>
      </c>
      <c r="L1695" s="44">
        <f>+VLOOKUP($A1695,MAGAZZINO!$B$2:$M$4838,12,FALSE)</f>
        <v/>
      </c>
    </row>
    <row r="1696" ht="36" customHeight="1">
      <c r="A1696" s="30">
        <f>+REGISTRO!A1679</f>
        <v/>
      </c>
      <c r="B1696" s="31">
        <f>+VLOOKUP($A1696,MAGAZZINO!$B$2:$M$4838,2,FALSE)</f>
        <v/>
      </c>
      <c r="C1696" s="32">
        <f>+VLOOKUP($A1696,MAGAZZINO!$B$2:$M$4838,3,FALSE)</f>
        <v/>
      </c>
      <c r="D1696" s="17">
        <f>+VLOOKUP($A1696,MAGAZZINO!$B$2:$M$4838,4,FALSE)</f>
        <v/>
      </c>
      <c r="E1696" s="17">
        <f>+VLOOKUP($A1696,MAGAZZINO!$B$2:$M$4838,5,FALSE)</f>
        <v/>
      </c>
      <c r="F1696" s="17">
        <f>+VLOOKUP($A1696,MAGAZZINO!$B$2:$M$4838,6,FALSE)</f>
        <v/>
      </c>
      <c r="G1696" s="17">
        <f>+VLOOKUP($A1696,MAGAZZINO!$B$2:$M$4838,7,FALSE)</f>
        <v/>
      </c>
      <c r="H1696" s="17">
        <f>+VLOOKUP($A1696,MAGAZZINO!$B$2:$M$4838,8,FALSE)</f>
        <v/>
      </c>
      <c r="I1696" s="17">
        <f>+VLOOKUP($A1696,MAGAZZINO!$B$2:$M$4838,9,FALSE)</f>
        <v/>
      </c>
      <c r="J1696" s="17">
        <f>+VLOOKUP($A1696,MAGAZZINO!$B$2:$M$4838,10,FALSE)</f>
        <v/>
      </c>
      <c r="K1696" s="17">
        <f>+VLOOKUP($A1696,MAGAZZINO!$B$2:$M$4838,11,FALSE)</f>
        <v/>
      </c>
      <c r="L1696" s="44">
        <f>+VLOOKUP($A1696,MAGAZZINO!$B$2:$M$4838,12,FALSE)</f>
        <v/>
      </c>
    </row>
    <row r="1697" ht="36" customHeight="1">
      <c r="A1697" s="30">
        <f>+REGISTRO!A1680</f>
        <v/>
      </c>
      <c r="B1697" s="31">
        <f>+VLOOKUP($A1697,MAGAZZINO!$B$2:$M$4838,2,FALSE)</f>
        <v/>
      </c>
      <c r="C1697" s="32">
        <f>+VLOOKUP($A1697,MAGAZZINO!$B$2:$M$4838,3,FALSE)</f>
        <v/>
      </c>
      <c r="D1697" s="17">
        <f>+VLOOKUP($A1697,MAGAZZINO!$B$2:$M$4838,4,FALSE)</f>
        <v/>
      </c>
      <c r="E1697" s="17">
        <f>+VLOOKUP($A1697,MAGAZZINO!$B$2:$M$4838,5,FALSE)</f>
        <v/>
      </c>
      <c r="F1697" s="17">
        <f>+VLOOKUP($A1697,MAGAZZINO!$B$2:$M$4838,6,FALSE)</f>
        <v/>
      </c>
      <c r="G1697" s="17">
        <f>+VLOOKUP($A1697,MAGAZZINO!$B$2:$M$4838,7,FALSE)</f>
        <v/>
      </c>
      <c r="H1697" s="17">
        <f>+VLOOKUP($A1697,MAGAZZINO!$B$2:$M$4838,8,FALSE)</f>
        <v/>
      </c>
      <c r="I1697" s="17">
        <f>+VLOOKUP($A1697,MAGAZZINO!$B$2:$M$4838,9,FALSE)</f>
        <v/>
      </c>
      <c r="J1697" s="17">
        <f>+VLOOKUP($A1697,MAGAZZINO!$B$2:$M$4838,10,FALSE)</f>
        <v/>
      </c>
      <c r="K1697" s="17">
        <f>+VLOOKUP($A1697,MAGAZZINO!$B$2:$M$4838,11,FALSE)</f>
        <v/>
      </c>
      <c r="L1697" s="44">
        <f>+VLOOKUP($A1697,MAGAZZINO!$B$2:$M$4838,12,FALSE)</f>
        <v/>
      </c>
    </row>
    <row r="1698" ht="36" customHeight="1">
      <c r="A1698" s="30">
        <f>+REGISTRO!A1681</f>
        <v/>
      </c>
      <c r="B1698" s="31">
        <f>+VLOOKUP($A1698,MAGAZZINO!$B$2:$M$4838,2,FALSE)</f>
        <v/>
      </c>
      <c r="C1698" s="32">
        <f>+VLOOKUP($A1698,MAGAZZINO!$B$2:$M$4838,3,FALSE)</f>
        <v/>
      </c>
      <c r="D1698" s="17">
        <f>+VLOOKUP($A1698,MAGAZZINO!$B$2:$M$4838,4,FALSE)</f>
        <v/>
      </c>
      <c r="E1698" s="17">
        <f>+VLOOKUP($A1698,MAGAZZINO!$B$2:$M$4838,5,FALSE)</f>
        <v/>
      </c>
      <c r="F1698" s="17">
        <f>+VLOOKUP($A1698,MAGAZZINO!$B$2:$M$4838,6,FALSE)</f>
        <v/>
      </c>
      <c r="G1698" s="17">
        <f>+VLOOKUP($A1698,MAGAZZINO!$B$2:$M$4838,7,FALSE)</f>
        <v/>
      </c>
      <c r="H1698" s="17">
        <f>+VLOOKUP($A1698,MAGAZZINO!$B$2:$M$4838,8,FALSE)</f>
        <v/>
      </c>
      <c r="I1698" s="17">
        <f>+VLOOKUP($A1698,MAGAZZINO!$B$2:$M$4838,9,FALSE)</f>
        <v/>
      </c>
      <c r="J1698" s="17">
        <f>+VLOOKUP($A1698,MAGAZZINO!$B$2:$M$4838,10,FALSE)</f>
        <v/>
      </c>
      <c r="K1698" s="17">
        <f>+VLOOKUP($A1698,MAGAZZINO!$B$2:$M$4838,11,FALSE)</f>
        <v/>
      </c>
      <c r="L1698" s="44">
        <f>+VLOOKUP($A1698,MAGAZZINO!$B$2:$M$4838,12,FALSE)</f>
        <v/>
      </c>
    </row>
    <row r="1699" ht="36" customHeight="1">
      <c r="A1699" s="30">
        <f>+REGISTRO!A1682</f>
        <v/>
      </c>
      <c r="B1699" s="31">
        <f>+VLOOKUP($A1699,MAGAZZINO!$B$2:$M$4838,2,FALSE)</f>
        <v/>
      </c>
      <c r="C1699" s="32">
        <f>+VLOOKUP($A1699,MAGAZZINO!$B$2:$M$4838,3,FALSE)</f>
        <v/>
      </c>
      <c r="D1699" s="17">
        <f>+VLOOKUP($A1699,MAGAZZINO!$B$2:$M$4838,4,FALSE)</f>
        <v/>
      </c>
      <c r="E1699" s="17">
        <f>+VLOOKUP($A1699,MAGAZZINO!$B$2:$M$4838,5,FALSE)</f>
        <v/>
      </c>
      <c r="F1699" s="17">
        <f>+VLOOKUP($A1699,MAGAZZINO!$B$2:$M$4838,6,FALSE)</f>
        <v/>
      </c>
      <c r="G1699" s="17">
        <f>+VLOOKUP($A1699,MAGAZZINO!$B$2:$M$4838,7,FALSE)</f>
        <v/>
      </c>
      <c r="H1699" s="17">
        <f>+VLOOKUP($A1699,MAGAZZINO!$B$2:$M$4838,8,FALSE)</f>
        <v/>
      </c>
      <c r="I1699" s="17">
        <f>+VLOOKUP($A1699,MAGAZZINO!$B$2:$M$4838,9,FALSE)</f>
        <v/>
      </c>
      <c r="J1699" s="17">
        <f>+VLOOKUP($A1699,MAGAZZINO!$B$2:$M$4838,10,FALSE)</f>
        <v/>
      </c>
      <c r="K1699" s="17">
        <f>+VLOOKUP($A1699,MAGAZZINO!$B$2:$M$4838,11,FALSE)</f>
        <v/>
      </c>
      <c r="L1699" s="44">
        <f>+VLOOKUP($A1699,MAGAZZINO!$B$2:$M$4838,12,FALSE)</f>
        <v/>
      </c>
    </row>
    <row r="1700" ht="36" customHeight="1">
      <c r="A1700" s="30">
        <f>+REGISTRO!A1683</f>
        <v/>
      </c>
      <c r="B1700" s="31">
        <f>+VLOOKUP($A1700,MAGAZZINO!$B$2:$M$4838,2,FALSE)</f>
        <v/>
      </c>
      <c r="C1700" s="32">
        <f>+VLOOKUP($A1700,MAGAZZINO!$B$2:$M$4838,3,FALSE)</f>
        <v/>
      </c>
      <c r="D1700" s="17">
        <f>+VLOOKUP($A1700,MAGAZZINO!$B$2:$M$4838,4,FALSE)</f>
        <v/>
      </c>
      <c r="E1700" s="17">
        <f>+VLOOKUP($A1700,MAGAZZINO!$B$2:$M$4838,5,FALSE)</f>
        <v/>
      </c>
      <c r="F1700" s="17">
        <f>+VLOOKUP($A1700,MAGAZZINO!$B$2:$M$4838,6,FALSE)</f>
        <v/>
      </c>
      <c r="G1700" s="17">
        <f>+VLOOKUP($A1700,MAGAZZINO!$B$2:$M$4838,7,FALSE)</f>
        <v/>
      </c>
      <c r="H1700" s="17">
        <f>+VLOOKUP($A1700,MAGAZZINO!$B$2:$M$4838,8,FALSE)</f>
        <v/>
      </c>
      <c r="I1700" s="17">
        <f>+VLOOKUP($A1700,MAGAZZINO!$B$2:$M$4838,9,FALSE)</f>
        <v/>
      </c>
      <c r="J1700" s="17">
        <f>+VLOOKUP($A1700,MAGAZZINO!$B$2:$M$4838,10,FALSE)</f>
        <v/>
      </c>
      <c r="K1700" s="17">
        <f>+VLOOKUP($A1700,MAGAZZINO!$B$2:$M$4838,11,FALSE)</f>
        <v/>
      </c>
      <c r="L1700" s="44">
        <f>+VLOOKUP($A1700,MAGAZZINO!$B$2:$M$4838,12,FALSE)</f>
        <v/>
      </c>
    </row>
    <row r="1701" ht="36" customHeight="1">
      <c r="A1701" s="30">
        <f>+REGISTRO!A1684</f>
        <v/>
      </c>
      <c r="B1701" s="31">
        <f>+VLOOKUP($A1701,MAGAZZINO!$B$2:$M$4838,2,FALSE)</f>
        <v/>
      </c>
      <c r="C1701" s="32">
        <f>+VLOOKUP($A1701,MAGAZZINO!$B$2:$M$4838,3,FALSE)</f>
        <v/>
      </c>
      <c r="D1701" s="17">
        <f>+VLOOKUP($A1701,MAGAZZINO!$B$2:$M$4838,4,FALSE)</f>
        <v/>
      </c>
      <c r="E1701" s="17">
        <f>+VLOOKUP($A1701,MAGAZZINO!$B$2:$M$4838,5,FALSE)</f>
        <v/>
      </c>
      <c r="F1701" s="17">
        <f>+VLOOKUP($A1701,MAGAZZINO!$B$2:$M$4838,6,FALSE)</f>
        <v/>
      </c>
      <c r="G1701" s="17">
        <f>+VLOOKUP($A1701,MAGAZZINO!$B$2:$M$4838,7,FALSE)</f>
        <v/>
      </c>
      <c r="H1701" s="17">
        <f>+VLOOKUP($A1701,MAGAZZINO!$B$2:$M$4838,8,FALSE)</f>
        <v/>
      </c>
      <c r="I1701" s="17">
        <f>+VLOOKUP($A1701,MAGAZZINO!$B$2:$M$4838,9,FALSE)</f>
        <v/>
      </c>
      <c r="J1701" s="17">
        <f>+VLOOKUP($A1701,MAGAZZINO!$B$2:$M$4838,10,FALSE)</f>
        <v/>
      </c>
      <c r="K1701" s="17">
        <f>+VLOOKUP($A1701,MAGAZZINO!$B$2:$M$4838,11,FALSE)</f>
        <v/>
      </c>
      <c r="L1701" s="44">
        <f>+VLOOKUP($A1701,MAGAZZINO!$B$2:$M$4838,12,FALSE)</f>
        <v/>
      </c>
    </row>
    <row r="1702" ht="36" customHeight="1">
      <c r="A1702" s="30">
        <f>+REGISTRO!A1685</f>
        <v/>
      </c>
      <c r="B1702" s="31">
        <f>+VLOOKUP($A1702,MAGAZZINO!$B$2:$M$4838,2,FALSE)</f>
        <v/>
      </c>
      <c r="C1702" s="32">
        <f>+VLOOKUP($A1702,MAGAZZINO!$B$2:$M$4838,3,FALSE)</f>
        <v/>
      </c>
      <c r="D1702" s="17">
        <f>+VLOOKUP($A1702,MAGAZZINO!$B$2:$M$4838,4,FALSE)</f>
        <v/>
      </c>
      <c r="E1702" s="17">
        <f>+VLOOKUP($A1702,MAGAZZINO!$B$2:$M$4838,5,FALSE)</f>
        <v/>
      </c>
      <c r="F1702" s="17">
        <f>+VLOOKUP($A1702,MAGAZZINO!$B$2:$M$4838,6,FALSE)</f>
        <v/>
      </c>
      <c r="G1702" s="17">
        <f>+VLOOKUP($A1702,MAGAZZINO!$B$2:$M$4838,7,FALSE)</f>
        <v/>
      </c>
      <c r="H1702" s="17">
        <f>+VLOOKUP($A1702,MAGAZZINO!$B$2:$M$4838,8,FALSE)</f>
        <v/>
      </c>
      <c r="I1702" s="17">
        <f>+VLOOKUP($A1702,MAGAZZINO!$B$2:$M$4838,9,FALSE)</f>
        <v/>
      </c>
      <c r="J1702" s="17">
        <f>+VLOOKUP($A1702,MAGAZZINO!$B$2:$M$4838,10,FALSE)</f>
        <v/>
      </c>
      <c r="K1702" s="17">
        <f>+VLOOKUP($A1702,MAGAZZINO!$B$2:$M$4838,11,FALSE)</f>
        <v/>
      </c>
      <c r="L1702" s="44">
        <f>+VLOOKUP($A1702,MAGAZZINO!$B$2:$M$4838,12,FALSE)</f>
        <v/>
      </c>
    </row>
    <row r="1703" ht="36" customHeight="1">
      <c r="A1703" s="30">
        <f>+REGISTRO!A1686</f>
        <v/>
      </c>
      <c r="B1703" s="31">
        <f>+VLOOKUP($A1703,MAGAZZINO!$B$2:$M$4838,2,FALSE)</f>
        <v/>
      </c>
      <c r="C1703" s="32">
        <f>+VLOOKUP($A1703,MAGAZZINO!$B$2:$M$4838,3,FALSE)</f>
        <v/>
      </c>
      <c r="D1703" s="17">
        <f>+VLOOKUP($A1703,MAGAZZINO!$B$2:$M$4838,4,FALSE)</f>
        <v/>
      </c>
      <c r="E1703" s="17">
        <f>+VLOOKUP($A1703,MAGAZZINO!$B$2:$M$4838,5,FALSE)</f>
        <v/>
      </c>
      <c r="F1703" s="17">
        <f>+VLOOKUP($A1703,MAGAZZINO!$B$2:$M$4838,6,FALSE)</f>
        <v/>
      </c>
      <c r="G1703" s="17">
        <f>+VLOOKUP($A1703,MAGAZZINO!$B$2:$M$4838,7,FALSE)</f>
        <v/>
      </c>
      <c r="H1703" s="17">
        <f>+VLOOKUP($A1703,MAGAZZINO!$B$2:$M$4838,8,FALSE)</f>
        <v/>
      </c>
      <c r="I1703" s="17">
        <f>+VLOOKUP($A1703,MAGAZZINO!$B$2:$M$4838,9,FALSE)</f>
        <v/>
      </c>
      <c r="J1703" s="17">
        <f>+VLOOKUP($A1703,MAGAZZINO!$B$2:$M$4838,10,FALSE)</f>
        <v/>
      </c>
      <c r="K1703" s="17">
        <f>+VLOOKUP($A1703,MAGAZZINO!$B$2:$M$4838,11,FALSE)</f>
        <v/>
      </c>
      <c r="L1703" s="44">
        <f>+VLOOKUP($A1703,MAGAZZINO!$B$2:$M$4838,12,FALSE)</f>
        <v/>
      </c>
    </row>
    <row r="1704" ht="36" customHeight="1">
      <c r="A1704" s="30">
        <f>+REGISTRO!A1687</f>
        <v/>
      </c>
      <c r="B1704" s="31">
        <f>+VLOOKUP($A1704,MAGAZZINO!$B$2:$M$4838,2,FALSE)</f>
        <v/>
      </c>
      <c r="C1704" s="32">
        <f>+VLOOKUP($A1704,MAGAZZINO!$B$2:$M$4838,3,FALSE)</f>
        <v/>
      </c>
      <c r="D1704" s="17">
        <f>+VLOOKUP($A1704,MAGAZZINO!$B$2:$M$4838,4,FALSE)</f>
        <v/>
      </c>
      <c r="E1704" s="17">
        <f>+VLOOKUP($A1704,MAGAZZINO!$B$2:$M$4838,5,FALSE)</f>
        <v/>
      </c>
      <c r="F1704" s="17">
        <f>+VLOOKUP($A1704,MAGAZZINO!$B$2:$M$4838,6,FALSE)</f>
        <v/>
      </c>
      <c r="G1704" s="17">
        <f>+VLOOKUP($A1704,MAGAZZINO!$B$2:$M$4838,7,FALSE)</f>
        <v/>
      </c>
      <c r="H1704" s="17">
        <f>+VLOOKUP($A1704,MAGAZZINO!$B$2:$M$4838,8,FALSE)</f>
        <v/>
      </c>
      <c r="I1704" s="17">
        <f>+VLOOKUP($A1704,MAGAZZINO!$B$2:$M$4838,9,FALSE)</f>
        <v/>
      </c>
      <c r="J1704" s="17">
        <f>+VLOOKUP($A1704,MAGAZZINO!$B$2:$M$4838,10,FALSE)</f>
        <v/>
      </c>
      <c r="K1704" s="17">
        <f>+VLOOKUP($A1704,MAGAZZINO!$B$2:$M$4838,11,FALSE)</f>
        <v/>
      </c>
      <c r="L1704" s="44">
        <f>+VLOOKUP($A1704,MAGAZZINO!$B$2:$M$4838,12,FALSE)</f>
        <v/>
      </c>
    </row>
    <row r="1705" ht="36" customHeight="1">
      <c r="A1705" s="30">
        <f>+REGISTRO!A1688</f>
        <v/>
      </c>
      <c r="B1705" s="31">
        <f>+VLOOKUP($A1705,MAGAZZINO!$B$2:$M$4838,2,FALSE)</f>
        <v/>
      </c>
      <c r="C1705" s="32">
        <f>+VLOOKUP($A1705,MAGAZZINO!$B$2:$M$4838,3,FALSE)</f>
        <v/>
      </c>
      <c r="D1705" s="17">
        <f>+VLOOKUP($A1705,MAGAZZINO!$B$2:$M$4838,4,FALSE)</f>
        <v/>
      </c>
      <c r="E1705" s="17">
        <f>+VLOOKUP($A1705,MAGAZZINO!$B$2:$M$4838,5,FALSE)</f>
        <v/>
      </c>
      <c r="F1705" s="17">
        <f>+VLOOKUP($A1705,MAGAZZINO!$B$2:$M$4838,6,FALSE)</f>
        <v/>
      </c>
      <c r="G1705" s="17">
        <f>+VLOOKUP($A1705,MAGAZZINO!$B$2:$M$4838,7,FALSE)</f>
        <v/>
      </c>
      <c r="H1705" s="17">
        <f>+VLOOKUP($A1705,MAGAZZINO!$B$2:$M$4838,8,FALSE)</f>
        <v/>
      </c>
      <c r="I1705" s="17">
        <f>+VLOOKUP($A1705,MAGAZZINO!$B$2:$M$4838,9,FALSE)</f>
        <v/>
      </c>
      <c r="J1705" s="17">
        <f>+VLOOKUP($A1705,MAGAZZINO!$B$2:$M$4838,10,FALSE)</f>
        <v/>
      </c>
      <c r="K1705" s="17">
        <f>+VLOOKUP($A1705,MAGAZZINO!$B$2:$M$4838,11,FALSE)</f>
        <v/>
      </c>
      <c r="L1705" s="44">
        <f>+VLOOKUP($A1705,MAGAZZINO!$B$2:$M$4838,12,FALSE)</f>
        <v/>
      </c>
    </row>
    <row r="1706" ht="36" customHeight="1">
      <c r="A1706" s="30">
        <f>+REGISTRO!A1689</f>
        <v/>
      </c>
      <c r="B1706" s="31">
        <f>+VLOOKUP($A1706,MAGAZZINO!$B$2:$M$4838,2,FALSE)</f>
        <v/>
      </c>
      <c r="C1706" s="32">
        <f>+VLOOKUP($A1706,MAGAZZINO!$B$2:$M$4838,3,FALSE)</f>
        <v/>
      </c>
      <c r="D1706" s="17">
        <f>+VLOOKUP($A1706,MAGAZZINO!$B$2:$M$4838,4,FALSE)</f>
        <v/>
      </c>
      <c r="E1706" s="17">
        <f>+VLOOKUP($A1706,MAGAZZINO!$B$2:$M$4838,5,FALSE)</f>
        <v/>
      </c>
      <c r="F1706" s="17">
        <f>+VLOOKUP($A1706,MAGAZZINO!$B$2:$M$4838,6,FALSE)</f>
        <v/>
      </c>
      <c r="G1706" s="17">
        <f>+VLOOKUP($A1706,MAGAZZINO!$B$2:$M$4838,7,FALSE)</f>
        <v/>
      </c>
      <c r="H1706" s="17">
        <f>+VLOOKUP($A1706,MAGAZZINO!$B$2:$M$4838,8,FALSE)</f>
        <v/>
      </c>
      <c r="I1706" s="17">
        <f>+VLOOKUP($A1706,MAGAZZINO!$B$2:$M$4838,9,FALSE)</f>
        <v/>
      </c>
      <c r="J1706" s="17">
        <f>+VLOOKUP($A1706,MAGAZZINO!$B$2:$M$4838,10,FALSE)</f>
        <v/>
      </c>
      <c r="K1706" s="17">
        <f>+VLOOKUP($A1706,MAGAZZINO!$B$2:$M$4838,11,FALSE)</f>
        <v/>
      </c>
      <c r="L1706" s="44">
        <f>+VLOOKUP($A1706,MAGAZZINO!$B$2:$M$4838,12,FALSE)</f>
        <v/>
      </c>
    </row>
    <row r="1707" ht="36" customHeight="1">
      <c r="A1707" s="30">
        <f>+REGISTRO!A1690</f>
        <v/>
      </c>
      <c r="B1707" s="31">
        <f>+VLOOKUP($A1707,MAGAZZINO!$B$2:$M$4838,2,FALSE)</f>
        <v/>
      </c>
      <c r="C1707" s="32">
        <f>+VLOOKUP($A1707,MAGAZZINO!$B$2:$M$4838,3,FALSE)</f>
        <v/>
      </c>
      <c r="D1707" s="17">
        <f>+VLOOKUP($A1707,MAGAZZINO!$B$2:$M$4838,4,FALSE)</f>
        <v/>
      </c>
      <c r="E1707" s="17">
        <f>+VLOOKUP($A1707,MAGAZZINO!$B$2:$M$4838,5,FALSE)</f>
        <v/>
      </c>
      <c r="F1707" s="17">
        <f>+VLOOKUP($A1707,MAGAZZINO!$B$2:$M$4838,6,FALSE)</f>
        <v/>
      </c>
      <c r="G1707" s="17">
        <f>+VLOOKUP($A1707,MAGAZZINO!$B$2:$M$4838,7,FALSE)</f>
        <v/>
      </c>
      <c r="H1707" s="17">
        <f>+VLOOKUP($A1707,MAGAZZINO!$B$2:$M$4838,8,FALSE)</f>
        <v/>
      </c>
      <c r="I1707" s="17">
        <f>+VLOOKUP($A1707,MAGAZZINO!$B$2:$M$4838,9,FALSE)</f>
        <v/>
      </c>
      <c r="J1707" s="17">
        <f>+VLOOKUP($A1707,MAGAZZINO!$B$2:$M$4838,10,FALSE)</f>
        <v/>
      </c>
      <c r="K1707" s="17">
        <f>+VLOOKUP($A1707,MAGAZZINO!$B$2:$M$4838,11,FALSE)</f>
        <v/>
      </c>
      <c r="L1707" s="44">
        <f>+VLOOKUP($A1707,MAGAZZINO!$B$2:$M$4838,12,FALSE)</f>
        <v/>
      </c>
    </row>
    <row r="1708" ht="36" customHeight="1">
      <c r="A1708" s="30">
        <f>+REGISTRO!A1691</f>
        <v/>
      </c>
      <c r="B1708" s="31">
        <f>+VLOOKUP($A1708,MAGAZZINO!$B$2:$M$4838,2,FALSE)</f>
        <v/>
      </c>
      <c r="C1708" s="32">
        <f>+VLOOKUP($A1708,MAGAZZINO!$B$2:$M$4838,3,FALSE)</f>
        <v/>
      </c>
      <c r="D1708" s="17">
        <f>+VLOOKUP($A1708,MAGAZZINO!$B$2:$M$4838,4,FALSE)</f>
        <v/>
      </c>
      <c r="E1708" s="17">
        <f>+VLOOKUP($A1708,MAGAZZINO!$B$2:$M$4838,5,FALSE)</f>
        <v/>
      </c>
      <c r="F1708" s="17">
        <f>+VLOOKUP($A1708,MAGAZZINO!$B$2:$M$4838,6,FALSE)</f>
        <v/>
      </c>
      <c r="G1708" s="17">
        <f>+VLOOKUP($A1708,MAGAZZINO!$B$2:$M$4838,7,FALSE)</f>
        <v/>
      </c>
      <c r="H1708" s="17">
        <f>+VLOOKUP($A1708,MAGAZZINO!$B$2:$M$4838,8,FALSE)</f>
        <v/>
      </c>
      <c r="I1708" s="17">
        <f>+VLOOKUP($A1708,MAGAZZINO!$B$2:$M$4838,9,FALSE)</f>
        <v/>
      </c>
      <c r="J1708" s="17">
        <f>+VLOOKUP($A1708,MAGAZZINO!$B$2:$M$4838,10,FALSE)</f>
        <v/>
      </c>
      <c r="K1708" s="17">
        <f>+VLOOKUP($A1708,MAGAZZINO!$B$2:$M$4838,11,FALSE)</f>
        <v/>
      </c>
      <c r="L1708" s="44">
        <f>+VLOOKUP($A1708,MAGAZZINO!$B$2:$M$4838,12,FALSE)</f>
        <v/>
      </c>
    </row>
    <row r="1709" ht="36" customHeight="1">
      <c r="A1709" s="30">
        <f>+REGISTRO!A1692</f>
        <v/>
      </c>
      <c r="B1709" s="31">
        <f>+VLOOKUP($A1709,MAGAZZINO!$B$2:$M$4838,2,FALSE)</f>
        <v/>
      </c>
      <c r="C1709" s="32">
        <f>+VLOOKUP($A1709,MAGAZZINO!$B$2:$M$4838,3,FALSE)</f>
        <v/>
      </c>
      <c r="D1709" s="17">
        <f>+VLOOKUP($A1709,MAGAZZINO!$B$2:$M$4838,4,FALSE)</f>
        <v/>
      </c>
      <c r="E1709" s="17">
        <f>+VLOOKUP($A1709,MAGAZZINO!$B$2:$M$4838,5,FALSE)</f>
        <v/>
      </c>
      <c r="F1709" s="17">
        <f>+VLOOKUP($A1709,MAGAZZINO!$B$2:$M$4838,6,FALSE)</f>
        <v/>
      </c>
      <c r="G1709" s="17">
        <f>+VLOOKUP($A1709,MAGAZZINO!$B$2:$M$4838,7,FALSE)</f>
        <v/>
      </c>
      <c r="H1709" s="17">
        <f>+VLOOKUP($A1709,MAGAZZINO!$B$2:$M$4838,8,FALSE)</f>
        <v/>
      </c>
      <c r="I1709" s="17">
        <f>+VLOOKUP($A1709,MAGAZZINO!$B$2:$M$4838,9,FALSE)</f>
        <v/>
      </c>
      <c r="J1709" s="17">
        <f>+VLOOKUP($A1709,MAGAZZINO!$B$2:$M$4838,10,FALSE)</f>
        <v/>
      </c>
      <c r="K1709" s="17">
        <f>+VLOOKUP($A1709,MAGAZZINO!$B$2:$M$4838,11,FALSE)</f>
        <v/>
      </c>
      <c r="L1709" s="44">
        <f>+VLOOKUP($A1709,MAGAZZINO!$B$2:$M$4838,12,FALSE)</f>
        <v/>
      </c>
    </row>
    <row r="1710" ht="36" customHeight="1">
      <c r="A1710" s="30">
        <f>+REGISTRO!A1693</f>
        <v/>
      </c>
      <c r="B1710" s="31">
        <f>+VLOOKUP($A1710,MAGAZZINO!$B$2:$M$4838,2,FALSE)</f>
        <v/>
      </c>
      <c r="C1710" s="32">
        <f>+VLOOKUP($A1710,MAGAZZINO!$B$2:$M$4838,3,FALSE)</f>
        <v/>
      </c>
      <c r="D1710" s="17">
        <f>+VLOOKUP($A1710,MAGAZZINO!$B$2:$M$4838,4,FALSE)</f>
        <v/>
      </c>
      <c r="E1710" s="17">
        <f>+VLOOKUP($A1710,MAGAZZINO!$B$2:$M$4838,5,FALSE)</f>
        <v/>
      </c>
      <c r="F1710" s="17">
        <f>+VLOOKUP($A1710,MAGAZZINO!$B$2:$M$4838,6,FALSE)</f>
        <v/>
      </c>
      <c r="G1710" s="17">
        <f>+VLOOKUP($A1710,MAGAZZINO!$B$2:$M$4838,7,FALSE)</f>
        <v/>
      </c>
      <c r="H1710" s="17">
        <f>+VLOOKUP($A1710,MAGAZZINO!$B$2:$M$4838,8,FALSE)</f>
        <v/>
      </c>
      <c r="I1710" s="17">
        <f>+VLOOKUP($A1710,MAGAZZINO!$B$2:$M$4838,9,FALSE)</f>
        <v/>
      </c>
      <c r="J1710" s="17">
        <f>+VLOOKUP($A1710,MAGAZZINO!$B$2:$M$4838,10,FALSE)</f>
        <v/>
      </c>
      <c r="K1710" s="17">
        <f>+VLOOKUP($A1710,MAGAZZINO!$B$2:$M$4838,11,FALSE)</f>
        <v/>
      </c>
      <c r="L1710" s="44">
        <f>+VLOOKUP($A1710,MAGAZZINO!$B$2:$M$4838,12,FALSE)</f>
        <v/>
      </c>
    </row>
    <row r="1711" ht="36" customHeight="1">
      <c r="A1711" s="30">
        <f>+REGISTRO!A1694</f>
        <v/>
      </c>
      <c r="B1711" s="31">
        <f>+VLOOKUP($A1711,MAGAZZINO!$B$2:$M$4838,2,FALSE)</f>
        <v/>
      </c>
      <c r="C1711" s="32">
        <f>+VLOOKUP($A1711,MAGAZZINO!$B$2:$M$4838,3,FALSE)</f>
        <v/>
      </c>
      <c r="D1711" s="17">
        <f>+VLOOKUP($A1711,MAGAZZINO!$B$2:$M$4838,4,FALSE)</f>
        <v/>
      </c>
      <c r="E1711" s="17">
        <f>+VLOOKUP($A1711,MAGAZZINO!$B$2:$M$4838,5,FALSE)</f>
        <v/>
      </c>
      <c r="F1711" s="17">
        <f>+VLOOKUP($A1711,MAGAZZINO!$B$2:$M$4838,6,FALSE)</f>
        <v/>
      </c>
      <c r="G1711" s="17">
        <f>+VLOOKUP($A1711,MAGAZZINO!$B$2:$M$4838,7,FALSE)</f>
        <v/>
      </c>
      <c r="H1711" s="17">
        <f>+VLOOKUP($A1711,MAGAZZINO!$B$2:$M$4838,8,FALSE)</f>
        <v/>
      </c>
      <c r="I1711" s="17">
        <f>+VLOOKUP($A1711,MAGAZZINO!$B$2:$M$4838,9,FALSE)</f>
        <v/>
      </c>
      <c r="J1711" s="17">
        <f>+VLOOKUP($A1711,MAGAZZINO!$B$2:$M$4838,10,FALSE)</f>
        <v/>
      </c>
      <c r="K1711" s="17">
        <f>+VLOOKUP($A1711,MAGAZZINO!$B$2:$M$4838,11,FALSE)</f>
        <v/>
      </c>
      <c r="L1711" s="44">
        <f>+VLOOKUP($A1711,MAGAZZINO!$B$2:$M$4838,12,FALSE)</f>
        <v/>
      </c>
    </row>
    <row r="1712" ht="36" customHeight="1">
      <c r="A1712" s="30">
        <f>+REGISTRO!A1695</f>
        <v/>
      </c>
      <c r="B1712" s="31">
        <f>+VLOOKUP($A1712,MAGAZZINO!$B$2:$M$4838,2,FALSE)</f>
        <v/>
      </c>
      <c r="C1712" s="32">
        <f>+VLOOKUP($A1712,MAGAZZINO!$B$2:$M$4838,3,FALSE)</f>
        <v/>
      </c>
      <c r="D1712" s="17">
        <f>+VLOOKUP($A1712,MAGAZZINO!$B$2:$M$4838,4,FALSE)</f>
        <v/>
      </c>
      <c r="E1712" s="17">
        <f>+VLOOKUP($A1712,MAGAZZINO!$B$2:$M$4838,5,FALSE)</f>
        <v/>
      </c>
      <c r="F1712" s="17">
        <f>+VLOOKUP($A1712,MAGAZZINO!$B$2:$M$4838,6,FALSE)</f>
        <v/>
      </c>
      <c r="G1712" s="17">
        <f>+VLOOKUP($A1712,MAGAZZINO!$B$2:$M$4838,7,FALSE)</f>
        <v/>
      </c>
      <c r="H1712" s="17">
        <f>+VLOOKUP($A1712,MAGAZZINO!$B$2:$M$4838,8,FALSE)</f>
        <v/>
      </c>
      <c r="I1712" s="17">
        <f>+VLOOKUP($A1712,MAGAZZINO!$B$2:$M$4838,9,FALSE)</f>
        <v/>
      </c>
      <c r="J1712" s="17">
        <f>+VLOOKUP($A1712,MAGAZZINO!$B$2:$M$4838,10,FALSE)</f>
        <v/>
      </c>
      <c r="K1712" s="17">
        <f>+VLOOKUP($A1712,MAGAZZINO!$B$2:$M$4838,11,FALSE)</f>
        <v/>
      </c>
      <c r="L1712" s="44">
        <f>+VLOOKUP($A1712,MAGAZZINO!$B$2:$M$4838,12,FALSE)</f>
        <v/>
      </c>
    </row>
    <row r="1713" ht="36" customHeight="1">
      <c r="A1713" s="30">
        <f>+REGISTRO!A1696</f>
        <v/>
      </c>
      <c r="B1713" s="31">
        <f>+VLOOKUP($A1713,MAGAZZINO!$B$2:$M$4838,2,FALSE)</f>
        <v/>
      </c>
      <c r="C1713" s="32">
        <f>+VLOOKUP($A1713,MAGAZZINO!$B$2:$M$4838,3,FALSE)</f>
        <v/>
      </c>
      <c r="D1713" s="17">
        <f>+VLOOKUP($A1713,MAGAZZINO!$B$2:$M$4838,4,FALSE)</f>
        <v/>
      </c>
      <c r="E1713" s="17">
        <f>+VLOOKUP($A1713,MAGAZZINO!$B$2:$M$4838,5,FALSE)</f>
        <v/>
      </c>
      <c r="F1713" s="17">
        <f>+VLOOKUP($A1713,MAGAZZINO!$B$2:$M$4838,6,FALSE)</f>
        <v/>
      </c>
      <c r="G1713" s="17">
        <f>+VLOOKUP($A1713,MAGAZZINO!$B$2:$M$4838,7,FALSE)</f>
        <v/>
      </c>
      <c r="H1713" s="17">
        <f>+VLOOKUP($A1713,MAGAZZINO!$B$2:$M$4838,8,FALSE)</f>
        <v/>
      </c>
      <c r="I1713" s="17">
        <f>+VLOOKUP($A1713,MAGAZZINO!$B$2:$M$4838,9,FALSE)</f>
        <v/>
      </c>
      <c r="J1713" s="17">
        <f>+VLOOKUP($A1713,MAGAZZINO!$B$2:$M$4838,10,FALSE)</f>
        <v/>
      </c>
      <c r="K1713" s="17">
        <f>+VLOOKUP($A1713,MAGAZZINO!$B$2:$M$4838,11,FALSE)</f>
        <v/>
      </c>
      <c r="L1713" s="44">
        <f>+VLOOKUP($A1713,MAGAZZINO!$B$2:$M$4838,12,FALSE)</f>
        <v/>
      </c>
    </row>
    <row r="1714" ht="36" customHeight="1">
      <c r="A1714" s="30">
        <f>+REGISTRO!A1697</f>
        <v/>
      </c>
      <c r="B1714" s="31">
        <f>+VLOOKUP($A1714,MAGAZZINO!$B$2:$M$4838,2,FALSE)</f>
        <v/>
      </c>
      <c r="C1714" s="32">
        <f>+VLOOKUP($A1714,MAGAZZINO!$B$2:$M$4838,3,FALSE)</f>
        <v/>
      </c>
      <c r="D1714" s="17">
        <f>+VLOOKUP($A1714,MAGAZZINO!$B$2:$M$4838,4,FALSE)</f>
        <v/>
      </c>
      <c r="E1714" s="17">
        <f>+VLOOKUP($A1714,MAGAZZINO!$B$2:$M$4838,5,FALSE)</f>
        <v/>
      </c>
      <c r="F1714" s="17">
        <f>+VLOOKUP($A1714,MAGAZZINO!$B$2:$M$4838,6,FALSE)</f>
        <v/>
      </c>
      <c r="G1714" s="17">
        <f>+VLOOKUP($A1714,MAGAZZINO!$B$2:$M$4838,7,FALSE)</f>
        <v/>
      </c>
      <c r="H1714" s="17">
        <f>+VLOOKUP($A1714,MAGAZZINO!$B$2:$M$4838,8,FALSE)</f>
        <v/>
      </c>
      <c r="I1714" s="17">
        <f>+VLOOKUP($A1714,MAGAZZINO!$B$2:$M$4838,9,FALSE)</f>
        <v/>
      </c>
      <c r="J1714" s="17">
        <f>+VLOOKUP($A1714,MAGAZZINO!$B$2:$M$4838,10,FALSE)</f>
        <v/>
      </c>
      <c r="K1714" s="17">
        <f>+VLOOKUP($A1714,MAGAZZINO!$B$2:$M$4838,11,FALSE)</f>
        <v/>
      </c>
      <c r="L1714" s="44">
        <f>+VLOOKUP($A1714,MAGAZZINO!$B$2:$M$4838,12,FALSE)</f>
        <v/>
      </c>
    </row>
    <row r="1715" ht="36" customHeight="1">
      <c r="A1715" s="30">
        <f>+REGISTRO!A1698</f>
        <v/>
      </c>
      <c r="B1715" s="31">
        <f>+VLOOKUP($A1715,MAGAZZINO!$B$2:$M$4838,2,FALSE)</f>
        <v/>
      </c>
      <c r="C1715" s="32">
        <f>+VLOOKUP($A1715,MAGAZZINO!$B$2:$M$4838,3,FALSE)</f>
        <v/>
      </c>
      <c r="D1715" s="17">
        <f>+VLOOKUP($A1715,MAGAZZINO!$B$2:$M$4838,4,FALSE)</f>
        <v/>
      </c>
      <c r="E1715" s="17">
        <f>+VLOOKUP($A1715,MAGAZZINO!$B$2:$M$4838,5,FALSE)</f>
        <v/>
      </c>
      <c r="F1715" s="17">
        <f>+VLOOKUP($A1715,MAGAZZINO!$B$2:$M$4838,6,FALSE)</f>
        <v/>
      </c>
      <c r="G1715" s="17">
        <f>+VLOOKUP($A1715,MAGAZZINO!$B$2:$M$4838,7,FALSE)</f>
        <v/>
      </c>
      <c r="H1715" s="17">
        <f>+VLOOKUP($A1715,MAGAZZINO!$B$2:$M$4838,8,FALSE)</f>
        <v/>
      </c>
      <c r="I1715" s="17">
        <f>+VLOOKUP($A1715,MAGAZZINO!$B$2:$M$4838,9,FALSE)</f>
        <v/>
      </c>
      <c r="J1715" s="17">
        <f>+VLOOKUP($A1715,MAGAZZINO!$B$2:$M$4838,10,FALSE)</f>
        <v/>
      </c>
      <c r="K1715" s="17">
        <f>+VLOOKUP($A1715,MAGAZZINO!$B$2:$M$4838,11,FALSE)</f>
        <v/>
      </c>
      <c r="L1715" s="44">
        <f>+VLOOKUP($A1715,MAGAZZINO!$B$2:$M$4838,12,FALSE)</f>
        <v/>
      </c>
    </row>
    <row r="1716" ht="36" customHeight="1">
      <c r="A1716" s="30">
        <f>+REGISTRO!A1699</f>
        <v/>
      </c>
      <c r="B1716" s="31">
        <f>+VLOOKUP($A1716,MAGAZZINO!$B$2:$M$4838,2,FALSE)</f>
        <v/>
      </c>
      <c r="C1716" s="32">
        <f>+VLOOKUP($A1716,MAGAZZINO!$B$2:$M$4838,3,FALSE)</f>
        <v/>
      </c>
      <c r="D1716" s="17">
        <f>+VLOOKUP($A1716,MAGAZZINO!$B$2:$M$4838,4,FALSE)</f>
        <v/>
      </c>
      <c r="E1716" s="17">
        <f>+VLOOKUP($A1716,MAGAZZINO!$B$2:$M$4838,5,FALSE)</f>
        <v/>
      </c>
      <c r="F1716" s="17">
        <f>+VLOOKUP($A1716,MAGAZZINO!$B$2:$M$4838,6,FALSE)</f>
        <v/>
      </c>
      <c r="G1716" s="17">
        <f>+VLOOKUP($A1716,MAGAZZINO!$B$2:$M$4838,7,FALSE)</f>
        <v/>
      </c>
      <c r="H1716" s="17">
        <f>+VLOOKUP($A1716,MAGAZZINO!$B$2:$M$4838,8,FALSE)</f>
        <v/>
      </c>
      <c r="I1716" s="17">
        <f>+VLOOKUP($A1716,MAGAZZINO!$B$2:$M$4838,9,FALSE)</f>
        <v/>
      </c>
      <c r="J1716" s="17">
        <f>+VLOOKUP($A1716,MAGAZZINO!$B$2:$M$4838,10,FALSE)</f>
        <v/>
      </c>
      <c r="K1716" s="17">
        <f>+VLOOKUP($A1716,MAGAZZINO!$B$2:$M$4838,11,FALSE)</f>
        <v/>
      </c>
      <c r="L1716" s="44">
        <f>+VLOOKUP($A1716,MAGAZZINO!$B$2:$M$4838,12,FALSE)</f>
        <v/>
      </c>
    </row>
    <row r="1717" ht="36" customHeight="1">
      <c r="A1717" s="30">
        <f>+REGISTRO!A1700</f>
        <v/>
      </c>
      <c r="B1717" s="31">
        <f>+VLOOKUP($A1717,MAGAZZINO!$B$2:$M$4838,2,FALSE)</f>
        <v/>
      </c>
      <c r="C1717" s="32">
        <f>+VLOOKUP($A1717,MAGAZZINO!$B$2:$M$4838,3,FALSE)</f>
        <v/>
      </c>
      <c r="D1717" s="17">
        <f>+VLOOKUP($A1717,MAGAZZINO!$B$2:$M$4838,4,FALSE)</f>
        <v/>
      </c>
      <c r="E1717" s="17">
        <f>+VLOOKUP($A1717,MAGAZZINO!$B$2:$M$4838,5,FALSE)</f>
        <v/>
      </c>
      <c r="F1717" s="17">
        <f>+VLOOKUP($A1717,MAGAZZINO!$B$2:$M$4838,6,FALSE)</f>
        <v/>
      </c>
      <c r="G1717" s="17">
        <f>+VLOOKUP($A1717,MAGAZZINO!$B$2:$M$4838,7,FALSE)</f>
        <v/>
      </c>
      <c r="H1717" s="17">
        <f>+VLOOKUP($A1717,MAGAZZINO!$B$2:$M$4838,8,FALSE)</f>
        <v/>
      </c>
      <c r="I1717" s="17">
        <f>+VLOOKUP($A1717,MAGAZZINO!$B$2:$M$4838,9,FALSE)</f>
        <v/>
      </c>
      <c r="J1717" s="17">
        <f>+VLOOKUP($A1717,MAGAZZINO!$B$2:$M$4838,10,FALSE)</f>
        <v/>
      </c>
      <c r="K1717" s="17">
        <f>+VLOOKUP($A1717,MAGAZZINO!$B$2:$M$4838,11,FALSE)</f>
        <v/>
      </c>
      <c r="L1717" s="44">
        <f>+VLOOKUP($A1717,MAGAZZINO!$B$2:$M$4838,12,FALSE)</f>
        <v/>
      </c>
    </row>
    <row r="1718" ht="36" customHeight="1">
      <c r="A1718" s="30">
        <f>+REGISTRO!A1701</f>
        <v/>
      </c>
      <c r="B1718" s="31">
        <f>+VLOOKUP($A1718,MAGAZZINO!$B$2:$M$4838,2,FALSE)</f>
        <v/>
      </c>
      <c r="C1718" s="32">
        <f>+VLOOKUP($A1718,MAGAZZINO!$B$2:$M$4838,3,FALSE)</f>
        <v/>
      </c>
      <c r="D1718" s="17">
        <f>+VLOOKUP($A1718,MAGAZZINO!$B$2:$M$4838,4,FALSE)</f>
        <v/>
      </c>
      <c r="E1718" s="17">
        <f>+VLOOKUP($A1718,MAGAZZINO!$B$2:$M$4838,5,FALSE)</f>
        <v/>
      </c>
      <c r="F1718" s="17">
        <f>+VLOOKUP($A1718,MAGAZZINO!$B$2:$M$4838,6,FALSE)</f>
        <v/>
      </c>
      <c r="G1718" s="17">
        <f>+VLOOKUP($A1718,MAGAZZINO!$B$2:$M$4838,7,FALSE)</f>
        <v/>
      </c>
      <c r="H1718" s="17">
        <f>+VLOOKUP($A1718,MAGAZZINO!$B$2:$M$4838,8,FALSE)</f>
        <v/>
      </c>
      <c r="I1718" s="17">
        <f>+VLOOKUP($A1718,MAGAZZINO!$B$2:$M$4838,9,FALSE)</f>
        <v/>
      </c>
      <c r="J1718" s="17">
        <f>+VLOOKUP($A1718,MAGAZZINO!$B$2:$M$4838,10,FALSE)</f>
        <v/>
      </c>
      <c r="K1718" s="17">
        <f>+VLOOKUP($A1718,MAGAZZINO!$B$2:$M$4838,11,FALSE)</f>
        <v/>
      </c>
      <c r="L1718" s="44">
        <f>+VLOOKUP($A1718,MAGAZZINO!$B$2:$M$4838,12,FALSE)</f>
        <v/>
      </c>
    </row>
    <row r="1719" ht="36" customHeight="1">
      <c r="A1719" s="30">
        <f>+REGISTRO!A1702</f>
        <v/>
      </c>
      <c r="B1719" s="31">
        <f>+VLOOKUP($A1719,MAGAZZINO!$B$2:$M$4838,2,FALSE)</f>
        <v/>
      </c>
      <c r="C1719" s="32">
        <f>+VLOOKUP($A1719,MAGAZZINO!$B$2:$M$4838,3,FALSE)</f>
        <v/>
      </c>
      <c r="D1719" s="17">
        <f>+VLOOKUP($A1719,MAGAZZINO!$B$2:$M$4838,4,FALSE)</f>
        <v/>
      </c>
      <c r="E1719" s="17">
        <f>+VLOOKUP($A1719,MAGAZZINO!$B$2:$M$4838,5,FALSE)</f>
        <v/>
      </c>
      <c r="F1719" s="17">
        <f>+VLOOKUP($A1719,MAGAZZINO!$B$2:$M$4838,6,FALSE)</f>
        <v/>
      </c>
      <c r="G1719" s="17">
        <f>+VLOOKUP($A1719,MAGAZZINO!$B$2:$M$4838,7,FALSE)</f>
        <v/>
      </c>
      <c r="H1719" s="17">
        <f>+VLOOKUP($A1719,MAGAZZINO!$B$2:$M$4838,8,FALSE)</f>
        <v/>
      </c>
      <c r="I1719" s="17">
        <f>+VLOOKUP($A1719,MAGAZZINO!$B$2:$M$4838,9,FALSE)</f>
        <v/>
      </c>
      <c r="J1719" s="17">
        <f>+VLOOKUP($A1719,MAGAZZINO!$B$2:$M$4838,10,FALSE)</f>
        <v/>
      </c>
      <c r="K1719" s="17">
        <f>+VLOOKUP($A1719,MAGAZZINO!$B$2:$M$4838,11,FALSE)</f>
        <v/>
      </c>
      <c r="L1719" s="44">
        <f>+VLOOKUP($A1719,MAGAZZINO!$B$2:$M$4838,12,FALSE)</f>
        <v/>
      </c>
    </row>
    <row r="1720" ht="36" customHeight="1">
      <c r="A1720" s="30">
        <f>+REGISTRO!A1703</f>
        <v/>
      </c>
      <c r="B1720" s="31">
        <f>+VLOOKUP($A1720,MAGAZZINO!$B$2:$M$4838,2,FALSE)</f>
        <v/>
      </c>
      <c r="C1720" s="32">
        <f>+VLOOKUP($A1720,MAGAZZINO!$B$2:$M$4838,3,FALSE)</f>
        <v/>
      </c>
      <c r="D1720" s="17">
        <f>+VLOOKUP($A1720,MAGAZZINO!$B$2:$M$4838,4,FALSE)</f>
        <v/>
      </c>
      <c r="E1720" s="17">
        <f>+VLOOKUP($A1720,MAGAZZINO!$B$2:$M$4838,5,FALSE)</f>
        <v/>
      </c>
      <c r="F1720" s="17">
        <f>+VLOOKUP($A1720,MAGAZZINO!$B$2:$M$4838,6,FALSE)</f>
        <v/>
      </c>
      <c r="G1720" s="17">
        <f>+VLOOKUP($A1720,MAGAZZINO!$B$2:$M$4838,7,FALSE)</f>
        <v/>
      </c>
      <c r="H1720" s="17">
        <f>+VLOOKUP($A1720,MAGAZZINO!$B$2:$M$4838,8,FALSE)</f>
        <v/>
      </c>
      <c r="I1720" s="17">
        <f>+VLOOKUP($A1720,MAGAZZINO!$B$2:$M$4838,9,FALSE)</f>
        <v/>
      </c>
      <c r="J1720" s="17">
        <f>+VLOOKUP($A1720,MAGAZZINO!$B$2:$M$4838,10,FALSE)</f>
        <v/>
      </c>
      <c r="K1720" s="17">
        <f>+VLOOKUP($A1720,MAGAZZINO!$B$2:$M$4838,11,FALSE)</f>
        <v/>
      </c>
      <c r="L1720" s="44">
        <f>+VLOOKUP($A1720,MAGAZZINO!$B$2:$M$4838,12,FALSE)</f>
        <v/>
      </c>
    </row>
    <row r="1721" ht="36" customHeight="1">
      <c r="A1721" s="30">
        <f>+REGISTRO!A1704</f>
        <v/>
      </c>
      <c r="B1721" s="31">
        <f>+VLOOKUP($A1721,MAGAZZINO!$B$2:$M$4838,2,FALSE)</f>
        <v/>
      </c>
      <c r="C1721" s="32">
        <f>+VLOOKUP($A1721,MAGAZZINO!$B$2:$M$4838,3,FALSE)</f>
        <v/>
      </c>
      <c r="D1721" s="17">
        <f>+VLOOKUP($A1721,MAGAZZINO!$B$2:$M$4838,4,FALSE)</f>
        <v/>
      </c>
      <c r="E1721" s="17">
        <f>+VLOOKUP($A1721,MAGAZZINO!$B$2:$M$4838,5,FALSE)</f>
        <v/>
      </c>
      <c r="F1721" s="17">
        <f>+VLOOKUP($A1721,MAGAZZINO!$B$2:$M$4838,6,FALSE)</f>
        <v/>
      </c>
      <c r="G1721" s="17">
        <f>+VLOOKUP($A1721,MAGAZZINO!$B$2:$M$4838,7,FALSE)</f>
        <v/>
      </c>
      <c r="H1721" s="17">
        <f>+VLOOKUP($A1721,MAGAZZINO!$B$2:$M$4838,8,FALSE)</f>
        <v/>
      </c>
      <c r="I1721" s="17">
        <f>+VLOOKUP($A1721,MAGAZZINO!$B$2:$M$4838,9,FALSE)</f>
        <v/>
      </c>
      <c r="J1721" s="17">
        <f>+VLOOKUP($A1721,MAGAZZINO!$B$2:$M$4838,10,FALSE)</f>
        <v/>
      </c>
      <c r="K1721" s="17">
        <f>+VLOOKUP($A1721,MAGAZZINO!$B$2:$M$4838,11,FALSE)</f>
        <v/>
      </c>
      <c r="L1721" s="44">
        <f>+VLOOKUP($A1721,MAGAZZINO!$B$2:$M$4838,12,FALSE)</f>
        <v/>
      </c>
    </row>
    <row r="1722" ht="36" customHeight="1">
      <c r="A1722" s="30">
        <f>+REGISTRO!A1705</f>
        <v/>
      </c>
      <c r="B1722" s="31">
        <f>+VLOOKUP($A1722,MAGAZZINO!$B$2:$M$4838,2,FALSE)</f>
        <v/>
      </c>
      <c r="C1722" s="32">
        <f>+VLOOKUP($A1722,MAGAZZINO!$B$2:$M$4838,3,FALSE)</f>
        <v/>
      </c>
      <c r="D1722" s="17">
        <f>+VLOOKUP($A1722,MAGAZZINO!$B$2:$M$4838,4,FALSE)</f>
        <v/>
      </c>
      <c r="E1722" s="17">
        <f>+VLOOKUP($A1722,MAGAZZINO!$B$2:$M$4838,5,FALSE)</f>
        <v/>
      </c>
      <c r="F1722" s="17">
        <f>+VLOOKUP($A1722,MAGAZZINO!$B$2:$M$4838,6,FALSE)</f>
        <v/>
      </c>
      <c r="G1722" s="17">
        <f>+VLOOKUP($A1722,MAGAZZINO!$B$2:$M$4838,7,FALSE)</f>
        <v/>
      </c>
      <c r="H1722" s="17">
        <f>+VLOOKUP($A1722,MAGAZZINO!$B$2:$M$4838,8,FALSE)</f>
        <v/>
      </c>
      <c r="I1722" s="17">
        <f>+VLOOKUP($A1722,MAGAZZINO!$B$2:$M$4838,9,FALSE)</f>
        <v/>
      </c>
      <c r="J1722" s="17">
        <f>+VLOOKUP($A1722,MAGAZZINO!$B$2:$M$4838,10,FALSE)</f>
        <v/>
      </c>
      <c r="K1722" s="17">
        <f>+VLOOKUP($A1722,MAGAZZINO!$B$2:$M$4838,11,FALSE)</f>
        <v/>
      </c>
      <c r="L1722" s="44">
        <f>+VLOOKUP($A1722,MAGAZZINO!$B$2:$M$4838,12,FALSE)</f>
        <v/>
      </c>
    </row>
    <row r="1723" ht="36" customHeight="1">
      <c r="A1723" s="30">
        <f>+REGISTRO!A1706</f>
        <v/>
      </c>
      <c r="B1723" s="31">
        <f>+VLOOKUP($A1723,MAGAZZINO!$B$2:$M$4838,2,FALSE)</f>
        <v/>
      </c>
      <c r="C1723" s="32">
        <f>+VLOOKUP($A1723,MAGAZZINO!$B$2:$M$4838,3,FALSE)</f>
        <v/>
      </c>
      <c r="D1723" s="17">
        <f>+VLOOKUP($A1723,MAGAZZINO!$B$2:$M$4838,4,FALSE)</f>
        <v/>
      </c>
      <c r="E1723" s="17">
        <f>+VLOOKUP($A1723,MAGAZZINO!$B$2:$M$4838,5,FALSE)</f>
        <v/>
      </c>
      <c r="F1723" s="17">
        <f>+VLOOKUP($A1723,MAGAZZINO!$B$2:$M$4838,6,FALSE)</f>
        <v/>
      </c>
      <c r="G1723" s="17">
        <f>+VLOOKUP($A1723,MAGAZZINO!$B$2:$M$4838,7,FALSE)</f>
        <v/>
      </c>
      <c r="H1723" s="17">
        <f>+VLOOKUP($A1723,MAGAZZINO!$B$2:$M$4838,8,FALSE)</f>
        <v/>
      </c>
      <c r="I1723" s="17">
        <f>+VLOOKUP($A1723,MAGAZZINO!$B$2:$M$4838,9,FALSE)</f>
        <v/>
      </c>
      <c r="J1723" s="17">
        <f>+VLOOKUP($A1723,MAGAZZINO!$B$2:$M$4838,10,FALSE)</f>
        <v/>
      </c>
      <c r="K1723" s="17">
        <f>+VLOOKUP($A1723,MAGAZZINO!$B$2:$M$4838,11,FALSE)</f>
        <v/>
      </c>
      <c r="L1723" s="44">
        <f>+VLOOKUP($A1723,MAGAZZINO!$B$2:$M$4838,12,FALSE)</f>
        <v/>
      </c>
    </row>
    <row r="1724" ht="36" customHeight="1">
      <c r="A1724" s="30">
        <f>+REGISTRO!A1707</f>
        <v/>
      </c>
      <c r="B1724" s="31">
        <f>+VLOOKUP($A1724,MAGAZZINO!$B$2:$M$4838,2,FALSE)</f>
        <v/>
      </c>
      <c r="C1724" s="32">
        <f>+VLOOKUP($A1724,MAGAZZINO!$B$2:$M$4838,3,FALSE)</f>
        <v/>
      </c>
      <c r="D1724" s="17">
        <f>+VLOOKUP($A1724,MAGAZZINO!$B$2:$M$4838,4,FALSE)</f>
        <v/>
      </c>
      <c r="E1724" s="17">
        <f>+VLOOKUP($A1724,MAGAZZINO!$B$2:$M$4838,5,FALSE)</f>
        <v/>
      </c>
      <c r="F1724" s="17">
        <f>+VLOOKUP($A1724,MAGAZZINO!$B$2:$M$4838,6,FALSE)</f>
        <v/>
      </c>
      <c r="G1724" s="17">
        <f>+VLOOKUP($A1724,MAGAZZINO!$B$2:$M$4838,7,FALSE)</f>
        <v/>
      </c>
      <c r="H1724" s="17">
        <f>+VLOOKUP($A1724,MAGAZZINO!$B$2:$M$4838,8,FALSE)</f>
        <v/>
      </c>
      <c r="I1724" s="17">
        <f>+VLOOKUP($A1724,MAGAZZINO!$B$2:$M$4838,9,FALSE)</f>
        <v/>
      </c>
      <c r="J1724" s="17">
        <f>+VLOOKUP($A1724,MAGAZZINO!$B$2:$M$4838,10,FALSE)</f>
        <v/>
      </c>
      <c r="K1724" s="17">
        <f>+VLOOKUP($A1724,MAGAZZINO!$B$2:$M$4838,11,FALSE)</f>
        <v/>
      </c>
      <c r="L1724" s="44">
        <f>+VLOOKUP($A1724,MAGAZZINO!$B$2:$M$4838,12,FALSE)</f>
        <v/>
      </c>
    </row>
    <row r="1725" ht="36" customHeight="1">
      <c r="A1725" s="30">
        <f>+REGISTRO!A1708</f>
        <v/>
      </c>
      <c r="B1725" s="31">
        <f>+VLOOKUP($A1725,MAGAZZINO!$B$2:$M$4838,2,FALSE)</f>
        <v/>
      </c>
      <c r="C1725" s="32">
        <f>+VLOOKUP($A1725,MAGAZZINO!$B$2:$M$4838,3,FALSE)</f>
        <v/>
      </c>
      <c r="D1725" s="17">
        <f>+VLOOKUP($A1725,MAGAZZINO!$B$2:$M$4838,4,FALSE)</f>
        <v/>
      </c>
      <c r="E1725" s="17">
        <f>+VLOOKUP($A1725,MAGAZZINO!$B$2:$M$4838,5,FALSE)</f>
        <v/>
      </c>
      <c r="F1725" s="17">
        <f>+VLOOKUP($A1725,MAGAZZINO!$B$2:$M$4838,6,FALSE)</f>
        <v/>
      </c>
      <c r="G1725" s="17">
        <f>+VLOOKUP($A1725,MAGAZZINO!$B$2:$M$4838,7,FALSE)</f>
        <v/>
      </c>
      <c r="H1725" s="17">
        <f>+VLOOKUP($A1725,MAGAZZINO!$B$2:$M$4838,8,FALSE)</f>
        <v/>
      </c>
      <c r="I1725" s="17">
        <f>+VLOOKUP($A1725,MAGAZZINO!$B$2:$M$4838,9,FALSE)</f>
        <v/>
      </c>
      <c r="J1725" s="17">
        <f>+VLOOKUP($A1725,MAGAZZINO!$B$2:$M$4838,10,FALSE)</f>
        <v/>
      </c>
      <c r="K1725" s="17">
        <f>+VLOOKUP($A1725,MAGAZZINO!$B$2:$M$4838,11,FALSE)</f>
        <v/>
      </c>
      <c r="L1725" s="44">
        <f>+VLOOKUP($A1725,MAGAZZINO!$B$2:$M$4838,12,FALSE)</f>
        <v/>
      </c>
    </row>
    <row r="1726" ht="36" customHeight="1">
      <c r="A1726" s="30">
        <f>+REGISTRO!A1709</f>
        <v/>
      </c>
      <c r="B1726" s="31">
        <f>+VLOOKUP($A1726,MAGAZZINO!$B$2:$M$4838,2,FALSE)</f>
        <v/>
      </c>
      <c r="C1726" s="32">
        <f>+VLOOKUP($A1726,MAGAZZINO!$B$2:$M$4838,3,FALSE)</f>
        <v/>
      </c>
      <c r="D1726" s="17">
        <f>+VLOOKUP($A1726,MAGAZZINO!$B$2:$M$4838,4,FALSE)</f>
        <v/>
      </c>
      <c r="E1726" s="17">
        <f>+VLOOKUP($A1726,MAGAZZINO!$B$2:$M$4838,5,FALSE)</f>
        <v/>
      </c>
      <c r="F1726" s="17">
        <f>+VLOOKUP($A1726,MAGAZZINO!$B$2:$M$4838,6,FALSE)</f>
        <v/>
      </c>
      <c r="G1726" s="17">
        <f>+VLOOKUP($A1726,MAGAZZINO!$B$2:$M$4838,7,FALSE)</f>
        <v/>
      </c>
      <c r="H1726" s="17">
        <f>+VLOOKUP($A1726,MAGAZZINO!$B$2:$M$4838,8,FALSE)</f>
        <v/>
      </c>
      <c r="I1726" s="17">
        <f>+VLOOKUP($A1726,MAGAZZINO!$B$2:$M$4838,9,FALSE)</f>
        <v/>
      </c>
      <c r="J1726" s="17">
        <f>+VLOOKUP($A1726,MAGAZZINO!$B$2:$M$4838,10,FALSE)</f>
        <v/>
      </c>
      <c r="K1726" s="17">
        <f>+VLOOKUP($A1726,MAGAZZINO!$B$2:$M$4838,11,FALSE)</f>
        <v/>
      </c>
      <c r="L1726" s="44">
        <f>+VLOOKUP($A1726,MAGAZZINO!$B$2:$M$4838,12,FALSE)</f>
        <v/>
      </c>
    </row>
    <row r="1727" ht="36" customHeight="1">
      <c r="A1727" s="30">
        <f>+REGISTRO!A1710</f>
        <v/>
      </c>
      <c r="B1727" s="31">
        <f>+VLOOKUP($A1727,MAGAZZINO!$B$2:$M$4838,2,FALSE)</f>
        <v/>
      </c>
      <c r="C1727" s="32">
        <f>+VLOOKUP($A1727,MAGAZZINO!$B$2:$M$4838,3,FALSE)</f>
        <v/>
      </c>
      <c r="D1727" s="17">
        <f>+VLOOKUP($A1727,MAGAZZINO!$B$2:$M$4838,4,FALSE)</f>
        <v/>
      </c>
      <c r="E1727" s="17">
        <f>+VLOOKUP($A1727,MAGAZZINO!$B$2:$M$4838,5,FALSE)</f>
        <v/>
      </c>
      <c r="F1727" s="17">
        <f>+VLOOKUP($A1727,MAGAZZINO!$B$2:$M$4838,6,FALSE)</f>
        <v/>
      </c>
      <c r="G1727" s="17">
        <f>+VLOOKUP($A1727,MAGAZZINO!$B$2:$M$4838,7,FALSE)</f>
        <v/>
      </c>
      <c r="H1727" s="17">
        <f>+VLOOKUP($A1727,MAGAZZINO!$B$2:$M$4838,8,FALSE)</f>
        <v/>
      </c>
      <c r="I1727" s="17">
        <f>+VLOOKUP($A1727,MAGAZZINO!$B$2:$M$4838,9,FALSE)</f>
        <v/>
      </c>
      <c r="J1727" s="17">
        <f>+VLOOKUP($A1727,MAGAZZINO!$B$2:$M$4838,10,FALSE)</f>
        <v/>
      </c>
      <c r="K1727" s="17">
        <f>+VLOOKUP($A1727,MAGAZZINO!$B$2:$M$4838,11,FALSE)</f>
        <v/>
      </c>
      <c r="L1727" s="44">
        <f>+VLOOKUP($A1727,MAGAZZINO!$B$2:$M$4838,12,FALSE)</f>
        <v/>
      </c>
    </row>
    <row r="1728" ht="36" customHeight="1">
      <c r="A1728" s="30">
        <f>+REGISTRO!A1711</f>
        <v/>
      </c>
      <c r="B1728" s="31">
        <f>+VLOOKUP($A1728,MAGAZZINO!$B$2:$M$4838,2,FALSE)</f>
        <v/>
      </c>
      <c r="C1728" s="32">
        <f>+VLOOKUP($A1728,MAGAZZINO!$B$2:$M$4838,3,FALSE)</f>
        <v/>
      </c>
      <c r="D1728" s="17">
        <f>+VLOOKUP($A1728,MAGAZZINO!$B$2:$M$4838,4,FALSE)</f>
        <v/>
      </c>
      <c r="E1728" s="17">
        <f>+VLOOKUP($A1728,MAGAZZINO!$B$2:$M$4838,5,FALSE)</f>
        <v/>
      </c>
      <c r="F1728" s="17">
        <f>+VLOOKUP($A1728,MAGAZZINO!$B$2:$M$4838,6,FALSE)</f>
        <v/>
      </c>
      <c r="G1728" s="17">
        <f>+VLOOKUP($A1728,MAGAZZINO!$B$2:$M$4838,7,FALSE)</f>
        <v/>
      </c>
      <c r="H1728" s="17">
        <f>+VLOOKUP($A1728,MAGAZZINO!$B$2:$M$4838,8,FALSE)</f>
        <v/>
      </c>
      <c r="I1728" s="17">
        <f>+VLOOKUP($A1728,MAGAZZINO!$B$2:$M$4838,9,FALSE)</f>
        <v/>
      </c>
      <c r="J1728" s="17">
        <f>+VLOOKUP($A1728,MAGAZZINO!$B$2:$M$4838,10,FALSE)</f>
        <v/>
      </c>
      <c r="K1728" s="17">
        <f>+VLOOKUP($A1728,MAGAZZINO!$B$2:$M$4838,11,FALSE)</f>
        <v/>
      </c>
      <c r="L1728" s="44">
        <f>+VLOOKUP($A1728,MAGAZZINO!$B$2:$M$4838,12,FALSE)</f>
        <v/>
      </c>
    </row>
    <row r="1729" ht="36" customHeight="1">
      <c r="A1729" s="30">
        <f>+REGISTRO!A1712</f>
        <v/>
      </c>
      <c r="B1729" s="31">
        <f>+VLOOKUP($A1729,MAGAZZINO!$B$2:$M$4838,2,FALSE)</f>
        <v/>
      </c>
      <c r="C1729" s="32">
        <f>+VLOOKUP($A1729,MAGAZZINO!$B$2:$M$4838,3,FALSE)</f>
        <v/>
      </c>
      <c r="D1729" s="17">
        <f>+VLOOKUP($A1729,MAGAZZINO!$B$2:$M$4838,4,FALSE)</f>
        <v/>
      </c>
      <c r="E1729" s="17">
        <f>+VLOOKUP($A1729,MAGAZZINO!$B$2:$M$4838,5,FALSE)</f>
        <v/>
      </c>
      <c r="F1729" s="17">
        <f>+VLOOKUP($A1729,MAGAZZINO!$B$2:$M$4838,6,FALSE)</f>
        <v/>
      </c>
      <c r="G1729" s="17">
        <f>+VLOOKUP($A1729,MAGAZZINO!$B$2:$M$4838,7,FALSE)</f>
        <v/>
      </c>
      <c r="H1729" s="17">
        <f>+VLOOKUP($A1729,MAGAZZINO!$B$2:$M$4838,8,FALSE)</f>
        <v/>
      </c>
      <c r="I1729" s="17">
        <f>+VLOOKUP($A1729,MAGAZZINO!$B$2:$M$4838,9,FALSE)</f>
        <v/>
      </c>
      <c r="J1729" s="17">
        <f>+VLOOKUP($A1729,MAGAZZINO!$B$2:$M$4838,10,FALSE)</f>
        <v/>
      </c>
      <c r="K1729" s="17">
        <f>+VLOOKUP($A1729,MAGAZZINO!$B$2:$M$4838,11,FALSE)</f>
        <v/>
      </c>
      <c r="L1729" s="44">
        <f>+VLOOKUP($A1729,MAGAZZINO!$B$2:$M$4838,12,FALSE)</f>
        <v/>
      </c>
    </row>
    <row r="1730" ht="36" customHeight="1">
      <c r="A1730" s="30">
        <f>+REGISTRO!A1713</f>
        <v/>
      </c>
      <c r="B1730" s="31">
        <f>+VLOOKUP($A1730,MAGAZZINO!$B$2:$M$4838,2,FALSE)</f>
        <v/>
      </c>
      <c r="C1730" s="32">
        <f>+VLOOKUP($A1730,MAGAZZINO!$B$2:$M$4838,3,FALSE)</f>
        <v/>
      </c>
      <c r="D1730" s="17">
        <f>+VLOOKUP($A1730,MAGAZZINO!$B$2:$M$4838,4,FALSE)</f>
        <v/>
      </c>
      <c r="E1730" s="17">
        <f>+VLOOKUP($A1730,MAGAZZINO!$B$2:$M$4838,5,FALSE)</f>
        <v/>
      </c>
      <c r="F1730" s="17">
        <f>+VLOOKUP($A1730,MAGAZZINO!$B$2:$M$4838,6,FALSE)</f>
        <v/>
      </c>
      <c r="G1730" s="17">
        <f>+VLOOKUP($A1730,MAGAZZINO!$B$2:$M$4838,7,FALSE)</f>
        <v/>
      </c>
      <c r="H1730" s="17">
        <f>+VLOOKUP($A1730,MAGAZZINO!$B$2:$M$4838,8,FALSE)</f>
        <v/>
      </c>
      <c r="I1730" s="17">
        <f>+VLOOKUP($A1730,MAGAZZINO!$B$2:$M$4838,9,FALSE)</f>
        <v/>
      </c>
      <c r="J1730" s="17">
        <f>+VLOOKUP($A1730,MAGAZZINO!$B$2:$M$4838,10,FALSE)</f>
        <v/>
      </c>
      <c r="K1730" s="17">
        <f>+VLOOKUP($A1730,MAGAZZINO!$B$2:$M$4838,11,FALSE)</f>
        <v/>
      </c>
      <c r="L1730" s="44">
        <f>+VLOOKUP($A1730,MAGAZZINO!$B$2:$M$4838,12,FALSE)</f>
        <v/>
      </c>
    </row>
    <row r="1731" ht="36" customHeight="1">
      <c r="A1731" s="30">
        <f>+REGISTRO!A1714</f>
        <v/>
      </c>
      <c r="B1731" s="31">
        <f>+VLOOKUP($A1731,MAGAZZINO!$B$2:$M$4838,2,FALSE)</f>
        <v/>
      </c>
      <c r="C1731" s="32">
        <f>+VLOOKUP($A1731,MAGAZZINO!$B$2:$M$4838,3,FALSE)</f>
        <v/>
      </c>
      <c r="D1731" s="17">
        <f>+VLOOKUP($A1731,MAGAZZINO!$B$2:$M$4838,4,FALSE)</f>
        <v/>
      </c>
      <c r="E1731" s="17">
        <f>+VLOOKUP($A1731,MAGAZZINO!$B$2:$M$4838,5,FALSE)</f>
        <v/>
      </c>
      <c r="F1731" s="17">
        <f>+VLOOKUP($A1731,MAGAZZINO!$B$2:$M$4838,6,FALSE)</f>
        <v/>
      </c>
      <c r="G1731" s="17">
        <f>+VLOOKUP($A1731,MAGAZZINO!$B$2:$M$4838,7,FALSE)</f>
        <v/>
      </c>
      <c r="H1731" s="17">
        <f>+VLOOKUP($A1731,MAGAZZINO!$B$2:$M$4838,8,FALSE)</f>
        <v/>
      </c>
      <c r="I1731" s="17">
        <f>+VLOOKUP($A1731,MAGAZZINO!$B$2:$M$4838,9,FALSE)</f>
        <v/>
      </c>
      <c r="J1731" s="17">
        <f>+VLOOKUP($A1731,MAGAZZINO!$B$2:$M$4838,10,FALSE)</f>
        <v/>
      </c>
      <c r="K1731" s="17">
        <f>+VLOOKUP($A1731,MAGAZZINO!$B$2:$M$4838,11,FALSE)</f>
        <v/>
      </c>
      <c r="L1731" s="44">
        <f>+VLOOKUP($A1731,MAGAZZINO!$B$2:$M$4838,12,FALSE)</f>
        <v/>
      </c>
    </row>
    <row r="1732" ht="36" customHeight="1">
      <c r="A1732" s="30">
        <f>+REGISTRO!A1715</f>
        <v/>
      </c>
      <c r="B1732" s="31">
        <f>+VLOOKUP($A1732,MAGAZZINO!$B$2:$M$4838,2,FALSE)</f>
        <v/>
      </c>
      <c r="C1732" s="32">
        <f>+VLOOKUP($A1732,MAGAZZINO!$B$2:$M$4838,3,FALSE)</f>
        <v/>
      </c>
      <c r="D1732" s="17">
        <f>+VLOOKUP($A1732,MAGAZZINO!$B$2:$M$4838,4,FALSE)</f>
        <v/>
      </c>
      <c r="E1732" s="17">
        <f>+VLOOKUP($A1732,MAGAZZINO!$B$2:$M$4838,5,FALSE)</f>
        <v/>
      </c>
      <c r="F1732" s="17">
        <f>+VLOOKUP($A1732,MAGAZZINO!$B$2:$M$4838,6,FALSE)</f>
        <v/>
      </c>
      <c r="G1732" s="17">
        <f>+VLOOKUP($A1732,MAGAZZINO!$B$2:$M$4838,7,FALSE)</f>
        <v/>
      </c>
      <c r="H1732" s="17">
        <f>+VLOOKUP($A1732,MAGAZZINO!$B$2:$M$4838,8,FALSE)</f>
        <v/>
      </c>
      <c r="I1732" s="17">
        <f>+VLOOKUP($A1732,MAGAZZINO!$B$2:$M$4838,9,FALSE)</f>
        <v/>
      </c>
      <c r="J1732" s="17">
        <f>+VLOOKUP($A1732,MAGAZZINO!$B$2:$M$4838,10,FALSE)</f>
        <v/>
      </c>
      <c r="K1732" s="17">
        <f>+VLOOKUP($A1732,MAGAZZINO!$B$2:$M$4838,11,FALSE)</f>
        <v/>
      </c>
      <c r="L1732" s="44">
        <f>+VLOOKUP($A1732,MAGAZZINO!$B$2:$M$4838,12,FALSE)</f>
        <v/>
      </c>
    </row>
    <row r="1733" ht="36" customHeight="1">
      <c r="A1733" s="30">
        <f>+REGISTRO!A1716</f>
        <v/>
      </c>
      <c r="B1733" s="31">
        <f>+VLOOKUP($A1733,MAGAZZINO!$B$2:$M$4838,2,FALSE)</f>
        <v/>
      </c>
      <c r="C1733" s="32">
        <f>+VLOOKUP($A1733,MAGAZZINO!$B$2:$M$4838,3,FALSE)</f>
        <v/>
      </c>
      <c r="D1733" s="17">
        <f>+VLOOKUP($A1733,MAGAZZINO!$B$2:$M$4838,4,FALSE)</f>
        <v/>
      </c>
      <c r="E1733" s="17">
        <f>+VLOOKUP($A1733,MAGAZZINO!$B$2:$M$4838,5,FALSE)</f>
        <v/>
      </c>
      <c r="F1733" s="17">
        <f>+VLOOKUP($A1733,MAGAZZINO!$B$2:$M$4838,6,FALSE)</f>
        <v/>
      </c>
      <c r="G1733" s="17">
        <f>+VLOOKUP($A1733,MAGAZZINO!$B$2:$M$4838,7,FALSE)</f>
        <v/>
      </c>
      <c r="H1733" s="17">
        <f>+VLOOKUP($A1733,MAGAZZINO!$B$2:$M$4838,8,FALSE)</f>
        <v/>
      </c>
      <c r="I1733" s="17">
        <f>+VLOOKUP($A1733,MAGAZZINO!$B$2:$M$4838,9,FALSE)</f>
        <v/>
      </c>
      <c r="J1733" s="17">
        <f>+VLOOKUP($A1733,MAGAZZINO!$B$2:$M$4838,10,FALSE)</f>
        <v/>
      </c>
      <c r="K1733" s="17">
        <f>+VLOOKUP($A1733,MAGAZZINO!$B$2:$M$4838,11,FALSE)</f>
        <v/>
      </c>
      <c r="L1733" s="44">
        <f>+VLOOKUP($A1733,MAGAZZINO!$B$2:$M$4838,12,FALSE)</f>
        <v/>
      </c>
    </row>
    <row r="1734" ht="36" customHeight="1">
      <c r="A1734" s="30">
        <f>+REGISTRO!A1717</f>
        <v/>
      </c>
      <c r="B1734" s="31">
        <f>+VLOOKUP($A1734,MAGAZZINO!$B$2:$M$4838,2,FALSE)</f>
        <v/>
      </c>
      <c r="C1734" s="32">
        <f>+VLOOKUP($A1734,MAGAZZINO!$B$2:$M$4838,3,FALSE)</f>
        <v/>
      </c>
      <c r="D1734" s="17">
        <f>+VLOOKUP($A1734,MAGAZZINO!$B$2:$M$4838,4,FALSE)</f>
        <v/>
      </c>
      <c r="E1734" s="17">
        <f>+VLOOKUP($A1734,MAGAZZINO!$B$2:$M$4838,5,FALSE)</f>
        <v/>
      </c>
      <c r="F1734" s="17">
        <f>+VLOOKUP($A1734,MAGAZZINO!$B$2:$M$4838,6,FALSE)</f>
        <v/>
      </c>
      <c r="G1734" s="17">
        <f>+VLOOKUP($A1734,MAGAZZINO!$B$2:$M$4838,7,FALSE)</f>
        <v/>
      </c>
      <c r="H1734" s="17">
        <f>+VLOOKUP($A1734,MAGAZZINO!$B$2:$M$4838,8,FALSE)</f>
        <v/>
      </c>
      <c r="I1734" s="17">
        <f>+VLOOKUP($A1734,MAGAZZINO!$B$2:$M$4838,9,FALSE)</f>
        <v/>
      </c>
      <c r="J1734" s="17">
        <f>+VLOOKUP($A1734,MAGAZZINO!$B$2:$M$4838,10,FALSE)</f>
        <v/>
      </c>
      <c r="K1734" s="17">
        <f>+VLOOKUP($A1734,MAGAZZINO!$B$2:$M$4838,11,FALSE)</f>
        <v/>
      </c>
      <c r="L1734" s="44">
        <f>+VLOOKUP($A1734,MAGAZZINO!$B$2:$M$4838,12,FALSE)</f>
        <v/>
      </c>
    </row>
    <row r="1735" ht="36" customHeight="1">
      <c r="A1735" s="30">
        <f>+REGISTRO!A1718</f>
        <v/>
      </c>
      <c r="B1735" s="31">
        <f>+VLOOKUP($A1735,MAGAZZINO!$B$2:$M$4838,2,FALSE)</f>
        <v/>
      </c>
      <c r="C1735" s="32">
        <f>+VLOOKUP($A1735,MAGAZZINO!$B$2:$M$4838,3,FALSE)</f>
        <v/>
      </c>
      <c r="D1735" s="17">
        <f>+VLOOKUP($A1735,MAGAZZINO!$B$2:$M$4838,4,FALSE)</f>
        <v/>
      </c>
      <c r="E1735" s="17">
        <f>+VLOOKUP($A1735,MAGAZZINO!$B$2:$M$4838,5,FALSE)</f>
        <v/>
      </c>
      <c r="F1735" s="17">
        <f>+VLOOKUP($A1735,MAGAZZINO!$B$2:$M$4838,6,FALSE)</f>
        <v/>
      </c>
      <c r="G1735" s="17">
        <f>+VLOOKUP($A1735,MAGAZZINO!$B$2:$M$4838,7,FALSE)</f>
        <v/>
      </c>
      <c r="H1735" s="17">
        <f>+VLOOKUP($A1735,MAGAZZINO!$B$2:$M$4838,8,FALSE)</f>
        <v/>
      </c>
      <c r="I1735" s="17">
        <f>+VLOOKUP($A1735,MAGAZZINO!$B$2:$M$4838,9,FALSE)</f>
        <v/>
      </c>
      <c r="J1735" s="17">
        <f>+VLOOKUP($A1735,MAGAZZINO!$B$2:$M$4838,10,FALSE)</f>
        <v/>
      </c>
      <c r="K1735" s="17">
        <f>+VLOOKUP($A1735,MAGAZZINO!$B$2:$M$4838,11,FALSE)</f>
        <v/>
      </c>
      <c r="L1735" s="44">
        <f>+VLOOKUP($A1735,MAGAZZINO!$B$2:$M$4838,12,FALSE)</f>
        <v/>
      </c>
    </row>
    <row r="1736" ht="36" customHeight="1">
      <c r="A1736" s="30">
        <f>+REGISTRO!A1719</f>
        <v/>
      </c>
      <c r="B1736" s="31">
        <f>+VLOOKUP($A1736,MAGAZZINO!$B$2:$M$4838,2,FALSE)</f>
        <v/>
      </c>
      <c r="C1736" s="32">
        <f>+VLOOKUP($A1736,MAGAZZINO!$B$2:$M$4838,3,FALSE)</f>
        <v/>
      </c>
      <c r="D1736" s="17">
        <f>+VLOOKUP($A1736,MAGAZZINO!$B$2:$M$4838,4,FALSE)</f>
        <v/>
      </c>
      <c r="E1736" s="17">
        <f>+VLOOKUP($A1736,MAGAZZINO!$B$2:$M$4838,5,FALSE)</f>
        <v/>
      </c>
      <c r="F1736" s="17">
        <f>+VLOOKUP($A1736,MAGAZZINO!$B$2:$M$4838,6,FALSE)</f>
        <v/>
      </c>
      <c r="G1736" s="17">
        <f>+VLOOKUP($A1736,MAGAZZINO!$B$2:$M$4838,7,FALSE)</f>
        <v/>
      </c>
      <c r="H1736" s="17">
        <f>+VLOOKUP($A1736,MAGAZZINO!$B$2:$M$4838,8,FALSE)</f>
        <v/>
      </c>
      <c r="I1736" s="17">
        <f>+VLOOKUP($A1736,MAGAZZINO!$B$2:$M$4838,9,FALSE)</f>
        <v/>
      </c>
      <c r="J1736" s="17">
        <f>+VLOOKUP($A1736,MAGAZZINO!$B$2:$M$4838,10,FALSE)</f>
        <v/>
      </c>
      <c r="K1736" s="17">
        <f>+VLOOKUP($A1736,MAGAZZINO!$B$2:$M$4838,11,FALSE)</f>
        <v/>
      </c>
      <c r="L1736" s="44">
        <f>+VLOOKUP($A1736,MAGAZZINO!$B$2:$M$4838,12,FALSE)</f>
        <v/>
      </c>
    </row>
    <row r="1737" ht="36" customHeight="1">
      <c r="A1737" s="30">
        <f>+REGISTRO!A1720</f>
        <v/>
      </c>
      <c r="B1737" s="31">
        <f>+VLOOKUP($A1737,MAGAZZINO!$B$2:$M$4838,2,FALSE)</f>
        <v/>
      </c>
      <c r="C1737" s="32">
        <f>+VLOOKUP($A1737,MAGAZZINO!$B$2:$M$4838,3,FALSE)</f>
        <v/>
      </c>
      <c r="D1737" s="17">
        <f>+VLOOKUP($A1737,MAGAZZINO!$B$2:$M$4838,4,FALSE)</f>
        <v/>
      </c>
      <c r="E1737" s="17">
        <f>+VLOOKUP($A1737,MAGAZZINO!$B$2:$M$4838,5,FALSE)</f>
        <v/>
      </c>
      <c r="F1737" s="17">
        <f>+VLOOKUP($A1737,MAGAZZINO!$B$2:$M$4838,6,FALSE)</f>
        <v/>
      </c>
      <c r="G1737" s="17">
        <f>+VLOOKUP($A1737,MAGAZZINO!$B$2:$M$4838,7,FALSE)</f>
        <v/>
      </c>
      <c r="H1737" s="17">
        <f>+VLOOKUP($A1737,MAGAZZINO!$B$2:$M$4838,8,FALSE)</f>
        <v/>
      </c>
      <c r="I1737" s="17">
        <f>+VLOOKUP($A1737,MAGAZZINO!$B$2:$M$4838,9,FALSE)</f>
        <v/>
      </c>
      <c r="J1737" s="17">
        <f>+VLOOKUP($A1737,MAGAZZINO!$B$2:$M$4838,10,FALSE)</f>
        <v/>
      </c>
      <c r="K1737" s="17">
        <f>+VLOOKUP($A1737,MAGAZZINO!$B$2:$M$4838,11,FALSE)</f>
        <v/>
      </c>
      <c r="L1737" s="44">
        <f>+VLOOKUP($A1737,MAGAZZINO!$B$2:$M$4838,12,FALSE)</f>
        <v/>
      </c>
    </row>
    <row r="1738" ht="36" customHeight="1">
      <c r="A1738" s="30">
        <f>+REGISTRO!A1721</f>
        <v/>
      </c>
      <c r="B1738" s="31">
        <f>+VLOOKUP($A1738,MAGAZZINO!$B$2:$M$4838,2,FALSE)</f>
        <v/>
      </c>
      <c r="C1738" s="32">
        <f>+VLOOKUP($A1738,MAGAZZINO!$B$2:$M$4838,3,FALSE)</f>
        <v/>
      </c>
      <c r="D1738" s="17">
        <f>+VLOOKUP($A1738,MAGAZZINO!$B$2:$M$4838,4,FALSE)</f>
        <v/>
      </c>
      <c r="E1738" s="17">
        <f>+VLOOKUP($A1738,MAGAZZINO!$B$2:$M$4838,5,FALSE)</f>
        <v/>
      </c>
      <c r="F1738" s="17">
        <f>+VLOOKUP($A1738,MAGAZZINO!$B$2:$M$4838,6,FALSE)</f>
        <v/>
      </c>
      <c r="G1738" s="17">
        <f>+VLOOKUP($A1738,MAGAZZINO!$B$2:$M$4838,7,FALSE)</f>
        <v/>
      </c>
      <c r="H1738" s="17">
        <f>+VLOOKUP($A1738,MAGAZZINO!$B$2:$M$4838,8,FALSE)</f>
        <v/>
      </c>
      <c r="I1738" s="17">
        <f>+VLOOKUP($A1738,MAGAZZINO!$B$2:$M$4838,9,FALSE)</f>
        <v/>
      </c>
      <c r="J1738" s="17">
        <f>+VLOOKUP($A1738,MAGAZZINO!$B$2:$M$4838,10,FALSE)</f>
        <v/>
      </c>
      <c r="K1738" s="17">
        <f>+VLOOKUP($A1738,MAGAZZINO!$B$2:$M$4838,11,FALSE)</f>
        <v/>
      </c>
      <c r="L1738" s="44">
        <f>+VLOOKUP($A1738,MAGAZZINO!$B$2:$M$4838,12,FALSE)</f>
        <v/>
      </c>
    </row>
    <row r="1739" ht="36" customHeight="1">
      <c r="A1739" s="30">
        <f>+REGISTRO!A1722</f>
        <v/>
      </c>
      <c r="B1739" s="31">
        <f>+VLOOKUP($A1739,MAGAZZINO!$B$2:$M$4838,2,FALSE)</f>
        <v/>
      </c>
      <c r="C1739" s="32">
        <f>+VLOOKUP($A1739,MAGAZZINO!$B$2:$M$4838,3,FALSE)</f>
        <v/>
      </c>
      <c r="D1739" s="17">
        <f>+VLOOKUP($A1739,MAGAZZINO!$B$2:$M$4838,4,FALSE)</f>
        <v/>
      </c>
      <c r="E1739" s="17">
        <f>+VLOOKUP($A1739,MAGAZZINO!$B$2:$M$4838,5,FALSE)</f>
        <v/>
      </c>
      <c r="F1739" s="17">
        <f>+VLOOKUP($A1739,MAGAZZINO!$B$2:$M$4838,6,FALSE)</f>
        <v/>
      </c>
      <c r="G1739" s="17">
        <f>+VLOOKUP($A1739,MAGAZZINO!$B$2:$M$4838,7,FALSE)</f>
        <v/>
      </c>
      <c r="H1739" s="17">
        <f>+VLOOKUP($A1739,MAGAZZINO!$B$2:$M$4838,8,FALSE)</f>
        <v/>
      </c>
      <c r="I1739" s="17">
        <f>+VLOOKUP($A1739,MAGAZZINO!$B$2:$M$4838,9,FALSE)</f>
        <v/>
      </c>
      <c r="J1739" s="17">
        <f>+VLOOKUP($A1739,MAGAZZINO!$B$2:$M$4838,10,FALSE)</f>
        <v/>
      </c>
      <c r="K1739" s="17">
        <f>+VLOOKUP($A1739,MAGAZZINO!$B$2:$M$4838,11,FALSE)</f>
        <v/>
      </c>
      <c r="L1739" s="44">
        <f>+VLOOKUP($A1739,MAGAZZINO!$B$2:$M$4838,12,FALSE)</f>
        <v/>
      </c>
    </row>
    <row r="1740" ht="36" customHeight="1">
      <c r="A1740" s="30">
        <f>+REGISTRO!A1723</f>
        <v/>
      </c>
      <c r="B1740" s="31">
        <f>+VLOOKUP($A1740,MAGAZZINO!$B$2:$M$4838,2,FALSE)</f>
        <v/>
      </c>
      <c r="C1740" s="32">
        <f>+VLOOKUP($A1740,MAGAZZINO!$B$2:$M$4838,3,FALSE)</f>
        <v/>
      </c>
      <c r="D1740" s="17">
        <f>+VLOOKUP($A1740,MAGAZZINO!$B$2:$M$4838,4,FALSE)</f>
        <v/>
      </c>
      <c r="E1740" s="17">
        <f>+VLOOKUP($A1740,MAGAZZINO!$B$2:$M$4838,5,FALSE)</f>
        <v/>
      </c>
      <c r="F1740" s="17">
        <f>+VLOOKUP($A1740,MAGAZZINO!$B$2:$M$4838,6,FALSE)</f>
        <v/>
      </c>
      <c r="G1740" s="17">
        <f>+VLOOKUP($A1740,MAGAZZINO!$B$2:$M$4838,7,FALSE)</f>
        <v/>
      </c>
      <c r="H1740" s="17">
        <f>+VLOOKUP($A1740,MAGAZZINO!$B$2:$M$4838,8,FALSE)</f>
        <v/>
      </c>
      <c r="I1740" s="17">
        <f>+VLOOKUP($A1740,MAGAZZINO!$B$2:$M$4838,9,FALSE)</f>
        <v/>
      </c>
      <c r="J1740" s="17">
        <f>+VLOOKUP($A1740,MAGAZZINO!$B$2:$M$4838,10,FALSE)</f>
        <v/>
      </c>
      <c r="K1740" s="17">
        <f>+VLOOKUP($A1740,MAGAZZINO!$B$2:$M$4838,11,FALSE)</f>
        <v/>
      </c>
      <c r="L1740" s="44">
        <f>+VLOOKUP($A1740,MAGAZZINO!$B$2:$M$4838,12,FALSE)</f>
        <v/>
      </c>
    </row>
    <row r="1741" ht="36" customHeight="1">
      <c r="A1741" s="30">
        <f>+REGISTRO!A1724</f>
        <v/>
      </c>
      <c r="B1741" s="31">
        <f>+VLOOKUP($A1741,MAGAZZINO!$B$2:$M$4838,2,FALSE)</f>
        <v/>
      </c>
      <c r="C1741" s="32">
        <f>+VLOOKUP($A1741,MAGAZZINO!$B$2:$M$4838,3,FALSE)</f>
        <v/>
      </c>
      <c r="D1741" s="17">
        <f>+VLOOKUP($A1741,MAGAZZINO!$B$2:$M$4838,4,FALSE)</f>
        <v/>
      </c>
      <c r="E1741" s="17">
        <f>+VLOOKUP($A1741,MAGAZZINO!$B$2:$M$4838,5,FALSE)</f>
        <v/>
      </c>
      <c r="F1741" s="17">
        <f>+VLOOKUP($A1741,MAGAZZINO!$B$2:$M$4838,6,FALSE)</f>
        <v/>
      </c>
      <c r="G1741" s="17">
        <f>+VLOOKUP($A1741,MAGAZZINO!$B$2:$M$4838,7,FALSE)</f>
        <v/>
      </c>
      <c r="H1741" s="17">
        <f>+VLOOKUP($A1741,MAGAZZINO!$B$2:$M$4838,8,FALSE)</f>
        <v/>
      </c>
      <c r="I1741" s="17">
        <f>+VLOOKUP($A1741,MAGAZZINO!$B$2:$M$4838,9,FALSE)</f>
        <v/>
      </c>
      <c r="J1741" s="17">
        <f>+VLOOKUP($A1741,MAGAZZINO!$B$2:$M$4838,10,FALSE)</f>
        <v/>
      </c>
      <c r="K1741" s="17">
        <f>+VLOOKUP($A1741,MAGAZZINO!$B$2:$M$4838,11,FALSE)</f>
        <v/>
      </c>
      <c r="L1741" s="44">
        <f>+VLOOKUP($A1741,MAGAZZINO!$B$2:$M$4838,12,FALSE)</f>
        <v/>
      </c>
    </row>
    <row r="1742" ht="36" customHeight="1">
      <c r="A1742" s="30">
        <f>+REGISTRO!A1725</f>
        <v/>
      </c>
      <c r="B1742" s="31">
        <f>+VLOOKUP($A1742,MAGAZZINO!$B$2:$M$4838,2,FALSE)</f>
        <v/>
      </c>
      <c r="C1742" s="32">
        <f>+VLOOKUP($A1742,MAGAZZINO!$B$2:$M$4838,3,FALSE)</f>
        <v/>
      </c>
      <c r="D1742" s="17">
        <f>+VLOOKUP($A1742,MAGAZZINO!$B$2:$M$4838,4,FALSE)</f>
        <v/>
      </c>
      <c r="E1742" s="17">
        <f>+VLOOKUP($A1742,MAGAZZINO!$B$2:$M$4838,5,FALSE)</f>
        <v/>
      </c>
      <c r="F1742" s="17">
        <f>+VLOOKUP($A1742,MAGAZZINO!$B$2:$M$4838,6,FALSE)</f>
        <v/>
      </c>
      <c r="G1742" s="17">
        <f>+VLOOKUP($A1742,MAGAZZINO!$B$2:$M$4838,7,FALSE)</f>
        <v/>
      </c>
      <c r="H1742" s="17">
        <f>+VLOOKUP($A1742,MAGAZZINO!$B$2:$M$4838,8,FALSE)</f>
        <v/>
      </c>
      <c r="I1742" s="17">
        <f>+VLOOKUP($A1742,MAGAZZINO!$B$2:$M$4838,9,FALSE)</f>
        <v/>
      </c>
      <c r="J1742" s="17">
        <f>+VLOOKUP($A1742,MAGAZZINO!$B$2:$M$4838,10,FALSE)</f>
        <v/>
      </c>
      <c r="K1742" s="17">
        <f>+VLOOKUP($A1742,MAGAZZINO!$B$2:$M$4838,11,FALSE)</f>
        <v/>
      </c>
      <c r="L1742" s="44">
        <f>+VLOOKUP($A1742,MAGAZZINO!$B$2:$M$4838,12,FALSE)</f>
        <v/>
      </c>
    </row>
    <row r="1743" ht="36" customHeight="1">
      <c r="A1743" s="30">
        <f>+REGISTRO!A1726</f>
        <v/>
      </c>
      <c r="B1743" s="31">
        <f>+VLOOKUP($A1743,MAGAZZINO!$B$2:$M$4838,2,FALSE)</f>
        <v/>
      </c>
      <c r="C1743" s="32">
        <f>+VLOOKUP($A1743,MAGAZZINO!$B$2:$M$4838,3,FALSE)</f>
        <v/>
      </c>
      <c r="D1743" s="17">
        <f>+VLOOKUP($A1743,MAGAZZINO!$B$2:$M$4838,4,FALSE)</f>
        <v/>
      </c>
      <c r="E1743" s="17">
        <f>+VLOOKUP($A1743,MAGAZZINO!$B$2:$M$4838,5,FALSE)</f>
        <v/>
      </c>
      <c r="F1743" s="17">
        <f>+VLOOKUP($A1743,MAGAZZINO!$B$2:$M$4838,6,FALSE)</f>
        <v/>
      </c>
      <c r="G1743" s="17">
        <f>+VLOOKUP($A1743,MAGAZZINO!$B$2:$M$4838,7,FALSE)</f>
        <v/>
      </c>
      <c r="H1743" s="17">
        <f>+VLOOKUP($A1743,MAGAZZINO!$B$2:$M$4838,8,FALSE)</f>
        <v/>
      </c>
      <c r="I1743" s="17">
        <f>+VLOOKUP($A1743,MAGAZZINO!$B$2:$M$4838,9,FALSE)</f>
        <v/>
      </c>
      <c r="J1743" s="17">
        <f>+VLOOKUP($A1743,MAGAZZINO!$B$2:$M$4838,10,FALSE)</f>
        <v/>
      </c>
      <c r="K1743" s="17">
        <f>+VLOOKUP($A1743,MAGAZZINO!$B$2:$M$4838,11,FALSE)</f>
        <v/>
      </c>
      <c r="L1743" s="44">
        <f>+VLOOKUP($A1743,MAGAZZINO!$B$2:$M$4838,12,FALSE)</f>
        <v/>
      </c>
    </row>
    <row r="1744" ht="36" customHeight="1">
      <c r="A1744" s="30">
        <f>+REGISTRO!A1727</f>
        <v/>
      </c>
      <c r="B1744" s="31">
        <f>+VLOOKUP($A1744,MAGAZZINO!$B$2:$M$4838,2,FALSE)</f>
        <v/>
      </c>
      <c r="C1744" s="32">
        <f>+VLOOKUP($A1744,MAGAZZINO!$B$2:$M$4838,3,FALSE)</f>
        <v/>
      </c>
      <c r="D1744" s="17">
        <f>+VLOOKUP($A1744,MAGAZZINO!$B$2:$M$4838,4,FALSE)</f>
        <v/>
      </c>
      <c r="E1744" s="17">
        <f>+VLOOKUP($A1744,MAGAZZINO!$B$2:$M$4838,5,FALSE)</f>
        <v/>
      </c>
      <c r="F1744" s="17">
        <f>+VLOOKUP($A1744,MAGAZZINO!$B$2:$M$4838,6,FALSE)</f>
        <v/>
      </c>
      <c r="G1744" s="17">
        <f>+VLOOKUP($A1744,MAGAZZINO!$B$2:$M$4838,7,FALSE)</f>
        <v/>
      </c>
      <c r="H1744" s="17">
        <f>+VLOOKUP($A1744,MAGAZZINO!$B$2:$M$4838,8,FALSE)</f>
        <v/>
      </c>
      <c r="I1744" s="17">
        <f>+VLOOKUP($A1744,MAGAZZINO!$B$2:$M$4838,9,FALSE)</f>
        <v/>
      </c>
      <c r="J1744" s="17">
        <f>+VLOOKUP($A1744,MAGAZZINO!$B$2:$M$4838,10,FALSE)</f>
        <v/>
      </c>
      <c r="K1744" s="17">
        <f>+VLOOKUP($A1744,MAGAZZINO!$B$2:$M$4838,11,FALSE)</f>
        <v/>
      </c>
      <c r="L1744" s="44">
        <f>+VLOOKUP($A1744,MAGAZZINO!$B$2:$M$4838,12,FALSE)</f>
        <v/>
      </c>
    </row>
    <row r="1745" ht="36" customHeight="1">
      <c r="A1745" s="30">
        <f>+REGISTRO!A1728</f>
        <v/>
      </c>
      <c r="B1745" s="31">
        <f>+VLOOKUP($A1745,MAGAZZINO!$B$2:$M$4838,2,FALSE)</f>
        <v/>
      </c>
      <c r="C1745" s="32">
        <f>+VLOOKUP($A1745,MAGAZZINO!$B$2:$M$4838,3,FALSE)</f>
        <v/>
      </c>
      <c r="D1745" s="17">
        <f>+VLOOKUP($A1745,MAGAZZINO!$B$2:$M$4838,4,FALSE)</f>
        <v/>
      </c>
      <c r="E1745" s="17">
        <f>+VLOOKUP($A1745,MAGAZZINO!$B$2:$M$4838,5,FALSE)</f>
        <v/>
      </c>
      <c r="F1745" s="17">
        <f>+VLOOKUP($A1745,MAGAZZINO!$B$2:$M$4838,6,FALSE)</f>
        <v/>
      </c>
      <c r="G1745" s="17">
        <f>+VLOOKUP($A1745,MAGAZZINO!$B$2:$M$4838,7,FALSE)</f>
        <v/>
      </c>
      <c r="H1745" s="17">
        <f>+VLOOKUP($A1745,MAGAZZINO!$B$2:$M$4838,8,FALSE)</f>
        <v/>
      </c>
      <c r="I1745" s="17">
        <f>+VLOOKUP($A1745,MAGAZZINO!$B$2:$M$4838,9,FALSE)</f>
        <v/>
      </c>
      <c r="J1745" s="17">
        <f>+VLOOKUP($A1745,MAGAZZINO!$B$2:$M$4838,10,FALSE)</f>
        <v/>
      </c>
      <c r="K1745" s="17">
        <f>+VLOOKUP($A1745,MAGAZZINO!$B$2:$M$4838,11,FALSE)</f>
        <v/>
      </c>
      <c r="L1745" s="44">
        <f>+VLOOKUP($A1745,MAGAZZINO!$B$2:$M$4838,12,FALSE)</f>
        <v/>
      </c>
    </row>
    <row r="1746" ht="36" customHeight="1">
      <c r="A1746" s="30">
        <f>+REGISTRO!A1729</f>
        <v/>
      </c>
      <c r="B1746" s="31">
        <f>+VLOOKUP($A1746,MAGAZZINO!$B$2:$M$4838,2,FALSE)</f>
        <v/>
      </c>
      <c r="C1746" s="32">
        <f>+VLOOKUP($A1746,MAGAZZINO!$B$2:$M$4838,3,FALSE)</f>
        <v/>
      </c>
      <c r="D1746" s="17">
        <f>+VLOOKUP($A1746,MAGAZZINO!$B$2:$M$4838,4,FALSE)</f>
        <v/>
      </c>
      <c r="E1746" s="17">
        <f>+VLOOKUP($A1746,MAGAZZINO!$B$2:$M$4838,5,FALSE)</f>
        <v/>
      </c>
      <c r="F1746" s="17">
        <f>+VLOOKUP($A1746,MAGAZZINO!$B$2:$M$4838,6,FALSE)</f>
        <v/>
      </c>
      <c r="G1746" s="17">
        <f>+VLOOKUP($A1746,MAGAZZINO!$B$2:$M$4838,7,FALSE)</f>
        <v/>
      </c>
      <c r="H1746" s="17">
        <f>+VLOOKUP($A1746,MAGAZZINO!$B$2:$M$4838,8,FALSE)</f>
        <v/>
      </c>
      <c r="I1746" s="17">
        <f>+VLOOKUP($A1746,MAGAZZINO!$B$2:$M$4838,9,FALSE)</f>
        <v/>
      </c>
      <c r="J1746" s="17">
        <f>+VLOOKUP($A1746,MAGAZZINO!$B$2:$M$4838,10,FALSE)</f>
        <v/>
      </c>
      <c r="K1746" s="17">
        <f>+VLOOKUP($A1746,MAGAZZINO!$B$2:$M$4838,11,FALSE)</f>
        <v/>
      </c>
      <c r="L1746" s="44">
        <f>+VLOOKUP($A1746,MAGAZZINO!$B$2:$M$4838,12,FALSE)</f>
        <v/>
      </c>
    </row>
    <row r="1747" ht="36" customHeight="1">
      <c r="A1747" s="30">
        <f>+REGISTRO!A1730</f>
        <v/>
      </c>
      <c r="B1747" s="31">
        <f>+VLOOKUP($A1747,MAGAZZINO!$B$2:$M$4838,2,FALSE)</f>
        <v/>
      </c>
      <c r="C1747" s="32">
        <f>+VLOOKUP($A1747,MAGAZZINO!$B$2:$M$4838,3,FALSE)</f>
        <v/>
      </c>
      <c r="D1747" s="17">
        <f>+VLOOKUP($A1747,MAGAZZINO!$B$2:$M$4838,4,FALSE)</f>
        <v/>
      </c>
      <c r="E1747" s="17">
        <f>+VLOOKUP($A1747,MAGAZZINO!$B$2:$M$4838,5,FALSE)</f>
        <v/>
      </c>
      <c r="F1747" s="17">
        <f>+VLOOKUP($A1747,MAGAZZINO!$B$2:$M$4838,6,FALSE)</f>
        <v/>
      </c>
      <c r="G1747" s="17">
        <f>+VLOOKUP($A1747,MAGAZZINO!$B$2:$M$4838,7,FALSE)</f>
        <v/>
      </c>
      <c r="H1747" s="17">
        <f>+VLOOKUP($A1747,MAGAZZINO!$B$2:$M$4838,8,FALSE)</f>
        <v/>
      </c>
      <c r="I1747" s="17">
        <f>+VLOOKUP($A1747,MAGAZZINO!$B$2:$M$4838,9,FALSE)</f>
        <v/>
      </c>
      <c r="J1747" s="17">
        <f>+VLOOKUP($A1747,MAGAZZINO!$B$2:$M$4838,10,FALSE)</f>
        <v/>
      </c>
      <c r="K1747" s="17">
        <f>+VLOOKUP($A1747,MAGAZZINO!$B$2:$M$4838,11,FALSE)</f>
        <v/>
      </c>
      <c r="L1747" s="44">
        <f>+VLOOKUP($A1747,MAGAZZINO!$B$2:$M$4838,12,FALSE)</f>
        <v/>
      </c>
    </row>
    <row r="1748" ht="36" customHeight="1">
      <c r="A1748" s="30">
        <f>+REGISTRO!A1731</f>
        <v/>
      </c>
      <c r="B1748" s="31">
        <f>+VLOOKUP($A1748,MAGAZZINO!$B$2:$M$4838,2,FALSE)</f>
        <v/>
      </c>
      <c r="C1748" s="32">
        <f>+VLOOKUP($A1748,MAGAZZINO!$B$2:$M$4838,3,FALSE)</f>
        <v/>
      </c>
      <c r="D1748" s="17">
        <f>+VLOOKUP($A1748,MAGAZZINO!$B$2:$M$4838,4,FALSE)</f>
        <v/>
      </c>
      <c r="E1748" s="17">
        <f>+VLOOKUP($A1748,MAGAZZINO!$B$2:$M$4838,5,FALSE)</f>
        <v/>
      </c>
      <c r="F1748" s="17">
        <f>+VLOOKUP($A1748,MAGAZZINO!$B$2:$M$4838,6,FALSE)</f>
        <v/>
      </c>
      <c r="G1748" s="17">
        <f>+VLOOKUP($A1748,MAGAZZINO!$B$2:$M$4838,7,FALSE)</f>
        <v/>
      </c>
      <c r="H1748" s="17">
        <f>+VLOOKUP($A1748,MAGAZZINO!$B$2:$M$4838,8,FALSE)</f>
        <v/>
      </c>
      <c r="I1748" s="17">
        <f>+VLOOKUP($A1748,MAGAZZINO!$B$2:$M$4838,9,FALSE)</f>
        <v/>
      </c>
      <c r="J1748" s="17">
        <f>+VLOOKUP($A1748,MAGAZZINO!$B$2:$M$4838,10,FALSE)</f>
        <v/>
      </c>
      <c r="K1748" s="17">
        <f>+VLOOKUP($A1748,MAGAZZINO!$B$2:$M$4838,11,FALSE)</f>
        <v/>
      </c>
      <c r="L1748" s="44">
        <f>+VLOOKUP($A1748,MAGAZZINO!$B$2:$M$4838,12,FALSE)</f>
        <v/>
      </c>
    </row>
    <row r="1749" ht="36" customHeight="1">
      <c r="A1749" s="30">
        <f>+REGISTRO!A1732</f>
        <v/>
      </c>
      <c r="B1749" s="31">
        <f>+VLOOKUP($A1749,MAGAZZINO!$B$2:$M$4838,2,FALSE)</f>
        <v/>
      </c>
      <c r="C1749" s="32">
        <f>+VLOOKUP($A1749,MAGAZZINO!$B$2:$M$4838,3,FALSE)</f>
        <v/>
      </c>
      <c r="D1749" s="17">
        <f>+VLOOKUP($A1749,MAGAZZINO!$B$2:$M$4838,4,FALSE)</f>
        <v/>
      </c>
      <c r="E1749" s="17">
        <f>+VLOOKUP($A1749,MAGAZZINO!$B$2:$M$4838,5,FALSE)</f>
        <v/>
      </c>
      <c r="F1749" s="17">
        <f>+VLOOKUP($A1749,MAGAZZINO!$B$2:$M$4838,6,FALSE)</f>
        <v/>
      </c>
      <c r="G1749" s="17">
        <f>+VLOOKUP($A1749,MAGAZZINO!$B$2:$M$4838,7,FALSE)</f>
        <v/>
      </c>
      <c r="H1749" s="17">
        <f>+VLOOKUP($A1749,MAGAZZINO!$B$2:$M$4838,8,FALSE)</f>
        <v/>
      </c>
      <c r="I1749" s="17">
        <f>+VLOOKUP($A1749,MAGAZZINO!$B$2:$M$4838,9,FALSE)</f>
        <v/>
      </c>
      <c r="J1749" s="17">
        <f>+VLOOKUP($A1749,MAGAZZINO!$B$2:$M$4838,10,FALSE)</f>
        <v/>
      </c>
      <c r="K1749" s="17">
        <f>+VLOOKUP($A1749,MAGAZZINO!$B$2:$M$4838,11,FALSE)</f>
        <v/>
      </c>
      <c r="L1749" s="44">
        <f>+VLOOKUP($A1749,MAGAZZINO!$B$2:$M$4838,12,FALSE)</f>
        <v/>
      </c>
    </row>
    <row r="1750" ht="36" customHeight="1">
      <c r="A1750" s="30">
        <f>+REGISTRO!A1733</f>
        <v/>
      </c>
      <c r="B1750" s="31">
        <f>+VLOOKUP($A1750,MAGAZZINO!$B$2:$M$4838,2,FALSE)</f>
        <v/>
      </c>
      <c r="C1750" s="32">
        <f>+VLOOKUP($A1750,MAGAZZINO!$B$2:$M$4838,3,FALSE)</f>
        <v/>
      </c>
      <c r="D1750" s="17">
        <f>+VLOOKUP($A1750,MAGAZZINO!$B$2:$M$4838,4,FALSE)</f>
        <v/>
      </c>
      <c r="E1750" s="17">
        <f>+VLOOKUP($A1750,MAGAZZINO!$B$2:$M$4838,5,FALSE)</f>
        <v/>
      </c>
      <c r="F1750" s="17">
        <f>+VLOOKUP($A1750,MAGAZZINO!$B$2:$M$4838,6,FALSE)</f>
        <v/>
      </c>
      <c r="G1750" s="17">
        <f>+VLOOKUP($A1750,MAGAZZINO!$B$2:$M$4838,7,FALSE)</f>
        <v/>
      </c>
      <c r="H1750" s="17">
        <f>+VLOOKUP($A1750,MAGAZZINO!$B$2:$M$4838,8,FALSE)</f>
        <v/>
      </c>
      <c r="I1750" s="17">
        <f>+VLOOKUP($A1750,MAGAZZINO!$B$2:$M$4838,9,FALSE)</f>
        <v/>
      </c>
      <c r="J1750" s="17">
        <f>+VLOOKUP($A1750,MAGAZZINO!$B$2:$M$4838,10,FALSE)</f>
        <v/>
      </c>
      <c r="K1750" s="17">
        <f>+VLOOKUP($A1750,MAGAZZINO!$B$2:$M$4838,11,FALSE)</f>
        <v/>
      </c>
      <c r="L1750" s="44">
        <f>+VLOOKUP($A1750,MAGAZZINO!$B$2:$M$4838,12,FALSE)</f>
        <v/>
      </c>
    </row>
    <row r="1751" ht="36" customHeight="1">
      <c r="A1751" s="30">
        <f>+REGISTRO!A1734</f>
        <v/>
      </c>
      <c r="B1751" s="31">
        <f>+VLOOKUP($A1751,MAGAZZINO!$B$2:$M$4838,2,FALSE)</f>
        <v/>
      </c>
      <c r="C1751" s="32">
        <f>+VLOOKUP($A1751,MAGAZZINO!$B$2:$M$4838,3,FALSE)</f>
        <v/>
      </c>
      <c r="D1751" s="17">
        <f>+VLOOKUP($A1751,MAGAZZINO!$B$2:$M$4838,4,FALSE)</f>
        <v/>
      </c>
      <c r="E1751" s="17">
        <f>+VLOOKUP($A1751,MAGAZZINO!$B$2:$M$4838,5,FALSE)</f>
        <v/>
      </c>
      <c r="F1751" s="17">
        <f>+VLOOKUP($A1751,MAGAZZINO!$B$2:$M$4838,6,FALSE)</f>
        <v/>
      </c>
      <c r="G1751" s="17">
        <f>+VLOOKUP($A1751,MAGAZZINO!$B$2:$M$4838,7,FALSE)</f>
        <v/>
      </c>
      <c r="H1751" s="17">
        <f>+VLOOKUP($A1751,MAGAZZINO!$B$2:$M$4838,8,FALSE)</f>
        <v/>
      </c>
      <c r="I1751" s="17">
        <f>+VLOOKUP($A1751,MAGAZZINO!$B$2:$M$4838,9,FALSE)</f>
        <v/>
      </c>
      <c r="J1751" s="17">
        <f>+VLOOKUP($A1751,MAGAZZINO!$B$2:$M$4838,10,FALSE)</f>
        <v/>
      </c>
      <c r="K1751" s="17">
        <f>+VLOOKUP($A1751,MAGAZZINO!$B$2:$M$4838,11,FALSE)</f>
        <v/>
      </c>
      <c r="L1751" s="44">
        <f>+VLOOKUP($A1751,MAGAZZINO!$B$2:$M$4838,12,FALSE)</f>
        <v/>
      </c>
    </row>
    <row r="1752" ht="36" customHeight="1">
      <c r="A1752" s="30">
        <f>+REGISTRO!A1735</f>
        <v/>
      </c>
      <c r="B1752" s="31">
        <f>+VLOOKUP($A1752,MAGAZZINO!$B$2:$M$4838,2,FALSE)</f>
        <v/>
      </c>
      <c r="C1752" s="32">
        <f>+VLOOKUP($A1752,MAGAZZINO!$B$2:$M$4838,3,FALSE)</f>
        <v/>
      </c>
      <c r="D1752" s="17">
        <f>+VLOOKUP($A1752,MAGAZZINO!$B$2:$M$4838,4,FALSE)</f>
        <v/>
      </c>
      <c r="E1752" s="17">
        <f>+VLOOKUP($A1752,MAGAZZINO!$B$2:$M$4838,5,FALSE)</f>
        <v/>
      </c>
      <c r="F1752" s="17">
        <f>+VLOOKUP($A1752,MAGAZZINO!$B$2:$M$4838,6,FALSE)</f>
        <v/>
      </c>
      <c r="G1752" s="17">
        <f>+VLOOKUP($A1752,MAGAZZINO!$B$2:$M$4838,7,FALSE)</f>
        <v/>
      </c>
      <c r="H1752" s="17">
        <f>+VLOOKUP($A1752,MAGAZZINO!$B$2:$M$4838,8,FALSE)</f>
        <v/>
      </c>
      <c r="I1752" s="17">
        <f>+VLOOKUP($A1752,MAGAZZINO!$B$2:$M$4838,9,FALSE)</f>
        <v/>
      </c>
      <c r="J1752" s="17">
        <f>+VLOOKUP($A1752,MAGAZZINO!$B$2:$M$4838,10,FALSE)</f>
        <v/>
      </c>
      <c r="K1752" s="17">
        <f>+VLOOKUP($A1752,MAGAZZINO!$B$2:$M$4838,11,FALSE)</f>
        <v/>
      </c>
      <c r="L1752" s="44">
        <f>+VLOOKUP($A1752,MAGAZZINO!$B$2:$M$4838,12,FALSE)</f>
        <v/>
      </c>
    </row>
    <row r="1753" ht="36" customHeight="1">
      <c r="A1753" s="30">
        <f>+REGISTRO!A1736</f>
        <v/>
      </c>
      <c r="B1753" s="31">
        <f>+VLOOKUP($A1753,MAGAZZINO!$B$2:$M$4838,2,FALSE)</f>
        <v/>
      </c>
      <c r="C1753" s="32">
        <f>+VLOOKUP($A1753,MAGAZZINO!$B$2:$M$4838,3,FALSE)</f>
        <v/>
      </c>
      <c r="D1753" s="17">
        <f>+VLOOKUP($A1753,MAGAZZINO!$B$2:$M$4838,4,FALSE)</f>
        <v/>
      </c>
      <c r="E1753" s="17">
        <f>+VLOOKUP($A1753,MAGAZZINO!$B$2:$M$4838,5,FALSE)</f>
        <v/>
      </c>
      <c r="F1753" s="17">
        <f>+VLOOKUP($A1753,MAGAZZINO!$B$2:$M$4838,6,FALSE)</f>
        <v/>
      </c>
      <c r="G1753" s="17">
        <f>+VLOOKUP($A1753,MAGAZZINO!$B$2:$M$4838,7,FALSE)</f>
        <v/>
      </c>
      <c r="H1753" s="17">
        <f>+VLOOKUP($A1753,MAGAZZINO!$B$2:$M$4838,8,FALSE)</f>
        <v/>
      </c>
      <c r="I1753" s="17">
        <f>+VLOOKUP($A1753,MAGAZZINO!$B$2:$M$4838,9,FALSE)</f>
        <v/>
      </c>
      <c r="J1753" s="17">
        <f>+VLOOKUP($A1753,MAGAZZINO!$B$2:$M$4838,10,FALSE)</f>
        <v/>
      </c>
      <c r="K1753" s="17">
        <f>+VLOOKUP($A1753,MAGAZZINO!$B$2:$M$4838,11,FALSE)</f>
        <v/>
      </c>
      <c r="L1753" s="44">
        <f>+VLOOKUP($A1753,MAGAZZINO!$B$2:$M$4838,12,FALSE)</f>
        <v/>
      </c>
    </row>
    <row r="1754" ht="36" customHeight="1">
      <c r="A1754" s="30">
        <f>+REGISTRO!A1737</f>
        <v/>
      </c>
      <c r="B1754" s="31">
        <f>+VLOOKUP($A1754,MAGAZZINO!$B$2:$M$4838,2,FALSE)</f>
        <v/>
      </c>
      <c r="C1754" s="32">
        <f>+VLOOKUP($A1754,MAGAZZINO!$B$2:$M$4838,3,FALSE)</f>
        <v/>
      </c>
      <c r="D1754" s="17">
        <f>+VLOOKUP($A1754,MAGAZZINO!$B$2:$M$4838,4,FALSE)</f>
        <v/>
      </c>
      <c r="E1754" s="17">
        <f>+VLOOKUP($A1754,MAGAZZINO!$B$2:$M$4838,5,FALSE)</f>
        <v/>
      </c>
      <c r="F1754" s="17">
        <f>+VLOOKUP($A1754,MAGAZZINO!$B$2:$M$4838,6,FALSE)</f>
        <v/>
      </c>
      <c r="G1754" s="17">
        <f>+VLOOKUP($A1754,MAGAZZINO!$B$2:$M$4838,7,FALSE)</f>
        <v/>
      </c>
      <c r="H1754" s="17">
        <f>+VLOOKUP($A1754,MAGAZZINO!$B$2:$M$4838,8,FALSE)</f>
        <v/>
      </c>
      <c r="I1754" s="17">
        <f>+VLOOKUP($A1754,MAGAZZINO!$B$2:$M$4838,9,FALSE)</f>
        <v/>
      </c>
      <c r="J1754" s="17">
        <f>+VLOOKUP($A1754,MAGAZZINO!$B$2:$M$4838,10,FALSE)</f>
        <v/>
      </c>
      <c r="K1754" s="17">
        <f>+VLOOKUP($A1754,MAGAZZINO!$B$2:$M$4838,11,FALSE)</f>
        <v/>
      </c>
      <c r="L1754" s="44">
        <f>+VLOOKUP($A1754,MAGAZZINO!$B$2:$M$4838,12,FALSE)</f>
        <v/>
      </c>
    </row>
    <row r="1755" ht="36" customHeight="1">
      <c r="A1755" s="30">
        <f>+REGISTRO!A1738</f>
        <v/>
      </c>
      <c r="B1755" s="31">
        <f>+VLOOKUP($A1755,MAGAZZINO!$B$2:$M$4838,2,FALSE)</f>
        <v/>
      </c>
      <c r="C1755" s="32">
        <f>+VLOOKUP($A1755,MAGAZZINO!$B$2:$M$4838,3,FALSE)</f>
        <v/>
      </c>
      <c r="D1755" s="17">
        <f>+VLOOKUP($A1755,MAGAZZINO!$B$2:$M$4838,4,FALSE)</f>
        <v/>
      </c>
      <c r="E1755" s="17">
        <f>+VLOOKUP($A1755,MAGAZZINO!$B$2:$M$4838,5,FALSE)</f>
        <v/>
      </c>
      <c r="F1755" s="17">
        <f>+VLOOKUP($A1755,MAGAZZINO!$B$2:$M$4838,6,FALSE)</f>
        <v/>
      </c>
      <c r="G1755" s="17">
        <f>+VLOOKUP($A1755,MAGAZZINO!$B$2:$M$4838,7,FALSE)</f>
        <v/>
      </c>
      <c r="H1755" s="17">
        <f>+VLOOKUP($A1755,MAGAZZINO!$B$2:$M$4838,8,FALSE)</f>
        <v/>
      </c>
      <c r="I1755" s="17">
        <f>+VLOOKUP($A1755,MAGAZZINO!$B$2:$M$4838,9,FALSE)</f>
        <v/>
      </c>
      <c r="J1755" s="17">
        <f>+VLOOKUP($A1755,MAGAZZINO!$B$2:$M$4838,10,FALSE)</f>
        <v/>
      </c>
      <c r="K1755" s="17">
        <f>+VLOOKUP($A1755,MAGAZZINO!$B$2:$M$4838,11,FALSE)</f>
        <v/>
      </c>
      <c r="L1755" s="44">
        <f>+VLOOKUP($A1755,MAGAZZINO!$B$2:$M$4838,12,FALSE)</f>
        <v/>
      </c>
    </row>
    <row r="1756" ht="36" customHeight="1">
      <c r="A1756" s="30">
        <f>+REGISTRO!A1739</f>
        <v/>
      </c>
      <c r="B1756" s="31">
        <f>+VLOOKUP($A1756,MAGAZZINO!$B$2:$M$4838,2,FALSE)</f>
        <v/>
      </c>
      <c r="C1756" s="32">
        <f>+VLOOKUP($A1756,MAGAZZINO!$B$2:$M$4838,3,FALSE)</f>
        <v/>
      </c>
      <c r="D1756" s="17">
        <f>+VLOOKUP($A1756,MAGAZZINO!$B$2:$M$4838,4,FALSE)</f>
        <v/>
      </c>
      <c r="E1756" s="17">
        <f>+VLOOKUP($A1756,MAGAZZINO!$B$2:$M$4838,5,FALSE)</f>
        <v/>
      </c>
      <c r="F1756" s="17">
        <f>+VLOOKUP($A1756,MAGAZZINO!$B$2:$M$4838,6,FALSE)</f>
        <v/>
      </c>
      <c r="G1756" s="17">
        <f>+VLOOKUP($A1756,MAGAZZINO!$B$2:$M$4838,7,FALSE)</f>
        <v/>
      </c>
      <c r="H1756" s="17">
        <f>+VLOOKUP($A1756,MAGAZZINO!$B$2:$M$4838,8,FALSE)</f>
        <v/>
      </c>
      <c r="I1756" s="17">
        <f>+VLOOKUP($A1756,MAGAZZINO!$B$2:$M$4838,9,FALSE)</f>
        <v/>
      </c>
      <c r="J1756" s="17">
        <f>+VLOOKUP($A1756,MAGAZZINO!$B$2:$M$4838,10,FALSE)</f>
        <v/>
      </c>
      <c r="K1756" s="17">
        <f>+VLOOKUP($A1756,MAGAZZINO!$B$2:$M$4838,11,FALSE)</f>
        <v/>
      </c>
      <c r="L1756" s="44">
        <f>+VLOOKUP($A1756,MAGAZZINO!$B$2:$M$4838,12,FALSE)</f>
        <v/>
      </c>
    </row>
    <row r="1757" ht="36" customHeight="1">
      <c r="A1757" s="30">
        <f>+REGISTRO!A1740</f>
        <v/>
      </c>
      <c r="B1757" s="31">
        <f>+VLOOKUP($A1757,MAGAZZINO!$B$2:$M$4838,2,FALSE)</f>
        <v/>
      </c>
      <c r="C1757" s="32">
        <f>+VLOOKUP($A1757,MAGAZZINO!$B$2:$M$4838,3,FALSE)</f>
        <v/>
      </c>
      <c r="D1757" s="17">
        <f>+VLOOKUP($A1757,MAGAZZINO!$B$2:$M$4838,4,FALSE)</f>
        <v/>
      </c>
      <c r="E1757" s="17">
        <f>+VLOOKUP($A1757,MAGAZZINO!$B$2:$M$4838,5,FALSE)</f>
        <v/>
      </c>
      <c r="F1757" s="17">
        <f>+VLOOKUP($A1757,MAGAZZINO!$B$2:$M$4838,6,FALSE)</f>
        <v/>
      </c>
      <c r="G1757" s="17">
        <f>+VLOOKUP($A1757,MAGAZZINO!$B$2:$M$4838,7,FALSE)</f>
        <v/>
      </c>
      <c r="H1757" s="17">
        <f>+VLOOKUP($A1757,MAGAZZINO!$B$2:$M$4838,8,FALSE)</f>
        <v/>
      </c>
      <c r="I1757" s="17">
        <f>+VLOOKUP($A1757,MAGAZZINO!$B$2:$M$4838,9,FALSE)</f>
        <v/>
      </c>
      <c r="J1757" s="17">
        <f>+VLOOKUP($A1757,MAGAZZINO!$B$2:$M$4838,10,FALSE)</f>
        <v/>
      </c>
      <c r="K1757" s="17">
        <f>+VLOOKUP($A1757,MAGAZZINO!$B$2:$M$4838,11,FALSE)</f>
        <v/>
      </c>
      <c r="L1757" s="44">
        <f>+VLOOKUP($A1757,MAGAZZINO!$B$2:$M$4838,12,FALSE)</f>
        <v/>
      </c>
    </row>
    <row r="1758" ht="36" customHeight="1">
      <c r="A1758" s="30">
        <f>+REGISTRO!A1741</f>
        <v/>
      </c>
      <c r="B1758" s="31">
        <f>+VLOOKUP($A1758,MAGAZZINO!$B$2:$M$4838,2,FALSE)</f>
        <v/>
      </c>
      <c r="C1758" s="32">
        <f>+VLOOKUP($A1758,MAGAZZINO!$B$2:$M$4838,3,FALSE)</f>
        <v/>
      </c>
      <c r="D1758" s="17">
        <f>+VLOOKUP($A1758,MAGAZZINO!$B$2:$M$4838,4,FALSE)</f>
        <v/>
      </c>
      <c r="E1758" s="17">
        <f>+VLOOKUP($A1758,MAGAZZINO!$B$2:$M$4838,5,FALSE)</f>
        <v/>
      </c>
      <c r="F1758" s="17">
        <f>+VLOOKUP($A1758,MAGAZZINO!$B$2:$M$4838,6,FALSE)</f>
        <v/>
      </c>
      <c r="G1758" s="17">
        <f>+VLOOKUP($A1758,MAGAZZINO!$B$2:$M$4838,7,FALSE)</f>
        <v/>
      </c>
      <c r="H1758" s="17">
        <f>+VLOOKUP($A1758,MAGAZZINO!$B$2:$M$4838,8,FALSE)</f>
        <v/>
      </c>
      <c r="I1758" s="17">
        <f>+VLOOKUP($A1758,MAGAZZINO!$B$2:$M$4838,9,FALSE)</f>
        <v/>
      </c>
      <c r="J1758" s="17">
        <f>+VLOOKUP($A1758,MAGAZZINO!$B$2:$M$4838,10,FALSE)</f>
        <v/>
      </c>
      <c r="K1758" s="17">
        <f>+VLOOKUP($A1758,MAGAZZINO!$B$2:$M$4838,11,FALSE)</f>
        <v/>
      </c>
      <c r="L1758" s="44">
        <f>+VLOOKUP($A1758,MAGAZZINO!$B$2:$M$4838,12,FALSE)</f>
        <v/>
      </c>
    </row>
    <row r="1759" ht="36" customHeight="1">
      <c r="A1759" s="30">
        <f>+REGISTRO!A1742</f>
        <v/>
      </c>
      <c r="B1759" s="31">
        <f>+VLOOKUP($A1759,MAGAZZINO!$B$2:$M$4838,2,FALSE)</f>
        <v/>
      </c>
      <c r="C1759" s="32">
        <f>+VLOOKUP($A1759,MAGAZZINO!$B$2:$M$4838,3,FALSE)</f>
        <v/>
      </c>
      <c r="D1759" s="17">
        <f>+VLOOKUP($A1759,MAGAZZINO!$B$2:$M$4838,4,FALSE)</f>
        <v/>
      </c>
      <c r="E1759" s="17">
        <f>+VLOOKUP($A1759,MAGAZZINO!$B$2:$M$4838,5,FALSE)</f>
        <v/>
      </c>
      <c r="F1759" s="17">
        <f>+VLOOKUP($A1759,MAGAZZINO!$B$2:$M$4838,6,FALSE)</f>
        <v/>
      </c>
      <c r="G1759" s="17">
        <f>+VLOOKUP($A1759,MAGAZZINO!$B$2:$M$4838,7,FALSE)</f>
        <v/>
      </c>
      <c r="H1759" s="17">
        <f>+VLOOKUP($A1759,MAGAZZINO!$B$2:$M$4838,8,FALSE)</f>
        <v/>
      </c>
      <c r="I1759" s="17">
        <f>+VLOOKUP($A1759,MAGAZZINO!$B$2:$M$4838,9,FALSE)</f>
        <v/>
      </c>
      <c r="J1759" s="17">
        <f>+VLOOKUP($A1759,MAGAZZINO!$B$2:$M$4838,10,FALSE)</f>
        <v/>
      </c>
      <c r="K1759" s="17">
        <f>+VLOOKUP($A1759,MAGAZZINO!$B$2:$M$4838,11,FALSE)</f>
        <v/>
      </c>
      <c r="L1759" s="44">
        <f>+VLOOKUP($A1759,MAGAZZINO!$B$2:$M$4838,12,FALSE)</f>
        <v/>
      </c>
    </row>
    <row r="1760" ht="36" customHeight="1">
      <c r="A1760" s="30">
        <f>+REGISTRO!A1743</f>
        <v/>
      </c>
      <c r="B1760" s="31">
        <f>+VLOOKUP($A1760,MAGAZZINO!$B$2:$M$4838,2,FALSE)</f>
        <v/>
      </c>
      <c r="C1760" s="32">
        <f>+VLOOKUP($A1760,MAGAZZINO!$B$2:$M$4838,3,FALSE)</f>
        <v/>
      </c>
      <c r="D1760" s="17">
        <f>+VLOOKUP($A1760,MAGAZZINO!$B$2:$M$4838,4,FALSE)</f>
        <v/>
      </c>
      <c r="E1760" s="17">
        <f>+VLOOKUP($A1760,MAGAZZINO!$B$2:$M$4838,5,FALSE)</f>
        <v/>
      </c>
      <c r="F1760" s="17">
        <f>+VLOOKUP($A1760,MAGAZZINO!$B$2:$M$4838,6,FALSE)</f>
        <v/>
      </c>
      <c r="G1760" s="17">
        <f>+VLOOKUP($A1760,MAGAZZINO!$B$2:$M$4838,7,FALSE)</f>
        <v/>
      </c>
      <c r="H1760" s="17">
        <f>+VLOOKUP($A1760,MAGAZZINO!$B$2:$M$4838,8,FALSE)</f>
        <v/>
      </c>
      <c r="I1760" s="17">
        <f>+VLOOKUP($A1760,MAGAZZINO!$B$2:$M$4838,9,FALSE)</f>
        <v/>
      </c>
      <c r="J1760" s="17">
        <f>+VLOOKUP($A1760,MAGAZZINO!$B$2:$M$4838,10,FALSE)</f>
        <v/>
      </c>
      <c r="K1760" s="17">
        <f>+VLOOKUP($A1760,MAGAZZINO!$B$2:$M$4838,11,FALSE)</f>
        <v/>
      </c>
      <c r="L1760" s="44">
        <f>+VLOOKUP($A1760,MAGAZZINO!$B$2:$M$4838,12,FALSE)</f>
        <v/>
      </c>
    </row>
    <row r="1761" ht="36" customHeight="1">
      <c r="A1761" s="30">
        <f>+REGISTRO!A1744</f>
        <v/>
      </c>
      <c r="B1761" s="31">
        <f>+VLOOKUP($A1761,MAGAZZINO!$B$2:$M$4838,2,FALSE)</f>
        <v/>
      </c>
      <c r="C1761" s="32">
        <f>+VLOOKUP($A1761,MAGAZZINO!$B$2:$M$4838,3,FALSE)</f>
        <v/>
      </c>
      <c r="D1761" s="17">
        <f>+VLOOKUP($A1761,MAGAZZINO!$B$2:$M$4838,4,FALSE)</f>
        <v/>
      </c>
      <c r="E1761" s="17">
        <f>+VLOOKUP($A1761,MAGAZZINO!$B$2:$M$4838,5,FALSE)</f>
        <v/>
      </c>
      <c r="F1761" s="17">
        <f>+VLOOKUP($A1761,MAGAZZINO!$B$2:$M$4838,6,FALSE)</f>
        <v/>
      </c>
      <c r="G1761" s="17">
        <f>+VLOOKUP($A1761,MAGAZZINO!$B$2:$M$4838,7,FALSE)</f>
        <v/>
      </c>
      <c r="H1761" s="17">
        <f>+VLOOKUP($A1761,MAGAZZINO!$B$2:$M$4838,8,FALSE)</f>
        <v/>
      </c>
      <c r="I1761" s="17">
        <f>+VLOOKUP($A1761,MAGAZZINO!$B$2:$M$4838,9,FALSE)</f>
        <v/>
      </c>
      <c r="J1761" s="17">
        <f>+VLOOKUP($A1761,MAGAZZINO!$B$2:$M$4838,10,FALSE)</f>
        <v/>
      </c>
      <c r="K1761" s="17">
        <f>+VLOOKUP($A1761,MAGAZZINO!$B$2:$M$4838,11,FALSE)</f>
        <v/>
      </c>
      <c r="L1761" s="44">
        <f>+VLOOKUP($A1761,MAGAZZINO!$B$2:$M$4838,12,FALSE)</f>
        <v/>
      </c>
    </row>
    <row r="1762" ht="36" customHeight="1">
      <c r="A1762" s="30">
        <f>+REGISTRO!A1745</f>
        <v/>
      </c>
      <c r="B1762" s="31">
        <f>+VLOOKUP($A1762,MAGAZZINO!$B$2:$M$4838,2,FALSE)</f>
        <v/>
      </c>
      <c r="C1762" s="32">
        <f>+VLOOKUP($A1762,MAGAZZINO!$B$2:$M$4838,3,FALSE)</f>
        <v/>
      </c>
      <c r="D1762" s="17">
        <f>+VLOOKUP($A1762,MAGAZZINO!$B$2:$M$4838,4,FALSE)</f>
        <v/>
      </c>
      <c r="E1762" s="17">
        <f>+VLOOKUP($A1762,MAGAZZINO!$B$2:$M$4838,5,FALSE)</f>
        <v/>
      </c>
      <c r="F1762" s="17">
        <f>+VLOOKUP($A1762,MAGAZZINO!$B$2:$M$4838,6,FALSE)</f>
        <v/>
      </c>
      <c r="G1762" s="17">
        <f>+VLOOKUP($A1762,MAGAZZINO!$B$2:$M$4838,7,FALSE)</f>
        <v/>
      </c>
      <c r="H1762" s="17">
        <f>+VLOOKUP($A1762,MAGAZZINO!$B$2:$M$4838,8,FALSE)</f>
        <v/>
      </c>
      <c r="I1762" s="17">
        <f>+VLOOKUP($A1762,MAGAZZINO!$B$2:$M$4838,9,FALSE)</f>
        <v/>
      </c>
      <c r="J1762" s="17">
        <f>+VLOOKUP($A1762,MAGAZZINO!$B$2:$M$4838,10,FALSE)</f>
        <v/>
      </c>
      <c r="K1762" s="17">
        <f>+VLOOKUP($A1762,MAGAZZINO!$B$2:$M$4838,11,FALSE)</f>
        <v/>
      </c>
      <c r="L1762" s="44">
        <f>+VLOOKUP($A1762,MAGAZZINO!$B$2:$M$4838,12,FALSE)</f>
        <v/>
      </c>
    </row>
    <row r="1763" ht="36" customHeight="1">
      <c r="A1763" s="30">
        <f>+REGISTRO!A1746</f>
        <v/>
      </c>
      <c r="B1763" s="31">
        <f>+VLOOKUP($A1763,MAGAZZINO!$B$2:$M$4838,2,FALSE)</f>
        <v/>
      </c>
      <c r="C1763" s="32">
        <f>+VLOOKUP($A1763,MAGAZZINO!$B$2:$M$4838,3,FALSE)</f>
        <v/>
      </c>
      <c r="D1763" s="17">
        <f>+VLOOKUP($A1763,MAGAZZINO!$B$2:$M$4838,4,FALSE)</f>
        <v/>
      </c>
      <c r="E1763" s="17">
        <f>+VLOOKUP($A1763,MAGAZZINO!$B$2:$M$4838,5,FALSE)</f>
        <v/>
      </c>
      <c r="F1763" s="17">
        <f>+VLOOKUP($A1763,MAGAZZINO!$B$2:$M$4838,6,FALSE)</f>
        <v/>
      </c>
      <c r="G1763" s="17">
        <f>+VLOOKUP($A1763,MAGAZZINO!$B$2:$M$4838,7,FALSE)</f>
        <v/>
      </c>
      <c r="H1763" s="17">
        <f>+VLOOKUP($A1763,MAGAZZINO!$B$2:$M$4838,8,FALSE)</f>
        <v/>
      </c>
      <c r="I1763" s="17">
        <f>+VLOOKUP($A1763,MAGAZZINO!$B$2:$M$4838,9,FALSE)</f>
        <v/>
      </c>
      <c r="J1763" s="17">
        <f>+VLOOKUP($A1763,MAGAZZINO!$B$2:$M$4838,10,FALSE)</f>
        <v/>
      </c>
      <c r="K1763" s="17">
        <f>+VLOOKUP($A1763,MAGAZZINO!$B$2:$M$4838,11,FALSE)</f>
        <v/>
      </c>
      <c r="L1763" s="44">
        <f>+VLOOKUP($A1763,MAGAZZINO!$B$2:$M$4838,12,FALSE)</f>
        <v/>
      </c>
    </row>
    <row r="1764" ht="36" customHeight="1">
      <c r="A1764" s="30">
        <f>+REGISTRO!A1747</f>
        <v/>
      </c>
      <c r="B1764" s="31">
        <f>+VLOOKUP($A1764,MAGAZZINO!$B$2:$M$4838,2,FALSE)</f>
        <v/>
      </c>
      <c r="C1764" s="32">
        <f>+VLOOKUP($A1764,MAGAZZINO!$B$2:$M$4838,3,FALSE)</f>
        <v/>
      </c>
      <c r="D1764" s="17">
        <f>+VLOOKUP($A1764,MAGAZZINO!$B$2:$M$4838,4,FALSE)</f>
        <v/>
      </c>
      <c r="E1764" s="17">
        <f>+VLOOKUP($A1764,MAGAZZINO!$B$2:$M$4838,5,FALSE)</f>
        <v/>
      </c>
      <c r="F1764" s="17">
        <f>+VLOOKUP($A1764,MAGAZZINO!$B$2:$M$4838,6,FALSE)</f>
        <v/>
      </c>
      <c r="G1764" s="17">
        <f>+VLOOKUP($A1764,MAGAZZINO!$B$2:$M$4838,7,FALSE)</f>
        <v/>
      </c>
      <c r="H1764" s="17">
        <f>+VLOOKUP($A1764,MAGAZZINO!$B$2:$M$4838,8,FALSE)</f>
        <v/>
      </c>
      <c r="I1764" s="17">
        <f>+VLOOKUP($A1764,MAGAZZINO!$B$2:$M$4838,9,FALSE)</f>
        <v/>
      </c>
      <c r="J1764" s="17">
        <f>+VLOOKUP($A1764,MAGAZZINO!$B$2:$M$4838,10,FALSE)</f>
        <v/>
      </c>
      <c r="K1764" s="17">
        <f>+VLOOKUP($A1764,MAGAZZINO!$B$2:$M$4838,11,FALSE)</f>
        <v/>
      </c>
      <c r="L1764" s="44">
        <f>+VLOOKUP($A1764,MAGAZZINO!$B$2:$M$4838,12,FALSE)</f>
        <v/>
      </c>
    </row>
    <row r="1765" ht="36" customHeight="1">
      <c r="A1765" s="30">
        <f>+REGISTRO!A1748</f>
        <v/>
      </c>
      <c r="B1765" s="31">
        <f>+VLOOKUP($A1765,MAGAZZINO!$B$2:$M$4838,2,FALSE)</f>
        <v/>
      </c>
      <c r="C1765" s="32">
        <f>+VLOOKUP($A1765,MAGAZZINO!$B$2:$M$4838,3,FALSE)</f>
        <v/>
      </c>
      <c r="D1765" s="17">
        <f>+VLOOKUP($A1765,MAGAZZINO!$B$2:$M$4838,4,FALSE)</f>
        <v/>
      </c>
      <c r="E1765" s="17">
        <f>+VLOOKUP($A1765,MAGAZZINO!$B$2:$M$4838,5,FALSE)</f>
        <v/>
      </c>
      <c r="F1765" s="17">
        <f>+VLOOKUP($A1765,MAGAZZINO!$B$2:$M$4838,6,FALSE)</f>
        <v/>
      </c>
      <c r="G1765" s="17">
        <f>+VLOOKUP($A1765,MAGAZZINO!$B$2:$M$4838,7,FALSE)</f>
        <v/>
      </c>
      <c r="H1765" s="17">
        <f>+VLOOKUP($A1765,MAGAZZINO!$B$2:$M$4838,8,FALSE)</f>
        <v/>
      </c>
      <c r="I1765" s="17">
        <f>+VLOOKUP($A1765,MAGAZZINO!$B$2:$M$4838,9,FALSE)</f>
        <v/>
      </c>
      <c r="J1765" s="17">
        <f>+VLOOKUP($A1765,MAGAZZINO!$B$2:$M$4838,10,FALSE)</f>
        <v/>
      </c>
      <c r="K1765" s="17">
        <f>+VLOOKUP($A1765,MAGAZZINO!$B$2:$M$4838,11,FALSE)</f>
        <v/>
      </c>
      <c r="L1765" s="44">
        <f>+VLOOKUP($A1765,MAGAZZINO!$B$2:$M$4838,12,FALSE)</f>
        <v/>
      </c>
    </row>
    <row r="1766" ht="36" customHeight="1">
      <c r="A1766" s="30">
        <f>+REGISTRO!A1749</f>
        <v/>
      </c>
      <c r="B1766" s="31">
        <f>+VLOOKUP($A1766,MAGAZZINO!$B$2:$M$4838,2,FALSE)</f>
        <v/>
      </c>
      <c r="C1766" s="32">
        <f>+VLOOKUP($A1766,MAGAZZINO!$B$2:$M$4838,3,FALSE)</f>
        <v/>
      </c>
      <c r="D1766" s="17">
        <f>+VLOOKUP($A1766,MAGAZZINO!$B$2:$M$4838,4,FALSE)</f>
        <v/>
      </c>
      <c r="E1766" s="17">
        <f>+VLOOKUP($A1766,MAGAZZINO!$B$2:$M$4838,5,FALSE)</f>
        <v/>
      </c>
      <c r="F1766" s="17">
        <f>+VLOOKUP($A1766,MAGAZZINO!$B$2:$M$4838,6,FALSE)</f>
        <v/>
      </c>
      <c r="G1766" s="17">
        <f>+VLOOKUP($A1766,MAGAZZINO!$B$2:$M$4838,7,FALSE)</f>
        <v/>
      </c>
      <c r="H1766" s="17">
        <f>+VLOOKUP($A1766,MAGAZZINO!$B$2:$M$4838,8,FALSE)</f>
        <v/>
      </c>
      <c r="I1766" s="17">
        <f>+VLOOKUP($A1766,MAGAZZINO!$B$2:$M$4838,9,FALSE)</f>
        <v/>
      </c>
      <c r="J1766" s="17">
        <f>+VLOOKUP($A1766,MAGAZZINO!$B$2:$M$4838,10,FALSE)</f>
        <v/>
      </c>
      <c r="K1766" s="17">
        <f>+VLOOKUP($A1766,MAGAZZINO!$B$2:$M$4838,11,FALSE)</f>
        <v/>
      </c>
      <c r="L1766" s="44">
        <f>+VLOOKUP($A1766,MAGAZZINO!$B$2:$M$4838,12,FALSE)</f>
        <v/>
      </c>
    </row>
    <row r="1767" ht="36" customHeight="1">
      <c r="A1767" s="30">
        <f>+REGISTRO!A1750</f>
        <v/>
      </c>
      <c r="B1767" s="31">
        <f>+VLOOKUP($A1767,MAGAZZINO!$B$2:$M$4838,2,FALSE)</f>
        <v/>
      </c>
      <c r="C1767" s="32">
        <f>+VLOOKUP($A1767,MAGAZZINO!$B$2:$M$4838,3,FALSE)</f>
        <v/>
      </c>
      <c r="D1767" s="17">
        <f>+VLOOKUP($A1767,MAGAZZINO!$B$2:$M$4838,4,FALSE)</f>
        <v/>
      </c>
      <c r="E1767" s="17">
        <f>+VLOOKUP($A1767,MAGAZZINO!$B$2:$M$4838,5,FALSE)</f>
        <v/>
      </c>
      <c r="F1767" s="17">
        <f>+VLOOKUP($A1767,MAGAZZINO!$B$2:$M$4838,6,FALSE)</f>
        <v/>
      </c>
      <c r="G1767" s="17">
        <f>+VLOOKUP($A1767,MAGAZZINO!$B$2:$M$4838,7,FALSE)</f>
        <v/>
      </c>
      <c r="H1767" s="17">
        <f>+VLOOKUP($A1767,MAGAZZINO!$B$2:$M$4838,8,FALSE)</f>
        <v/>
      </c>
      <c r="I1767" s="17">
        <f>+VLOOKUP($A1767,MAGAZZINO!$B$2:$M$4838,9,FALSE)</f>
        <v/>
      </c>
      <c r="J1767" s="17">
        <f>+VLOOKUP($A1767,MAGAZZINO!$B$2:$M$4838,10,FALSE)</f>
        <v/>
      </c>
      <c r="K1767" s="17">
        <f>+VLOOKUP($A1767,MAGAZZINO!$B$2:$M$4838,11,FALSE)</f>
        <v/>
      </c>
      <c r="L1767" s="44">
        <f>+VLOOKUP($A1767,MAGAZZINO!$B$2:$M$4838,12,FALSE)</f>
        <v/>
      </c>
    </row>
    <row r="1768" ht="36" customHeight="1">
      <c r="A1768" s="30">
        <f>+REGISTRO!A1751</f>
        <v/>
      </c>
      <c r="B1768" s="31">
        <f>+VLOOKUP($A1768,MAGAZZINO!$B$2:$M$4838,2,FALSE)</f>
        <v/>
      </c>
      <c r="C1768" s="32">
        <f>+VLOOKUP($A1768,MAGAZZINO!$B$2:$M$4838,3,FALSE)</f>
        <v/>
      </c>
      <c r="D1768" s="17">
        <f>+VLOOKUP($A1768,MAGAZZINO!$B$2:$M$4838,4,FALSE)</f>
        <v/>
      </c>
      <c r="E1768" s="17">
        <f>+VLOOKUP($A1768,MAGAZZINO!$B$2:$M$4838,5,FALSE)</f>
        <v/>
      </c>
      <c r="F1768" s="17">
        <f>+VLOOKUP($A1768,MAGAZZINO!$B$2:$M$4838,6,FALSE)</f>
        <v/>
      </c>
      <c r="G1768" s="17">
        <f>+VLOOKUP($A1768,MAGAZZINO!$B$2:$M$4838,7,FALSE)</f>
        <v/>
      </c>
      <c r="H1768" s="17">
        <f>+VLOOKUP($A1768,MAGAZZINO!$B$2:$M$4838,8,FALSE)</f>
        <v/>
      </c>
      <c r="I1768" s="17">
        <f>+VLOOKUP($A1768,MAGAZZINO!$B$2:$M$4838,9,FALSE)</f>
        <v/>
      </c>
      <c r="J1768" s="17">
        <f>+VLOOKUP($A1768,MAGAZZINO!$B$2:$M$4838,10,FALSE)</f>
        <v/>
      </c>
      <c r="K1768" s="17">
        <f>+VLOOKUP($A1768,MAGAZZINO!$B$2:$M$4838,11,FALSE)</f>
        <v/>
      </c>
      <c r="L1768" s="44">
        <f>+VLOOKUP($A1768,MAGAZZINO!$B$2:$M$4838,12,FALSE)</f>
        <v/>
      </c>
    </row>
    <row r="1769" ht="36" customHeight="1">
      <c r="A1769" s="30">
        <f>+REGISTRO!A1752</f>
        <v/>
      </c>
      <c r="B1769" s="31">
        <f>+VLOOKUP($A1769,MAGAZZINO!$B$2:$M$4838,2,FALSE)</f>
        <v/>
      </c>
      <c r="C1769" s="32">
        <f>+VLOOKUP($A1769,MAGAZZINO!$B$2:$M$4838,3,FALSE)</f>
        <v/>
      </c>
      <c r="D1769" s="17">
        <f>+VLOOKUP($A1769,MAGAZZINO!$B$2:$M$4838,4,FALSE)</f>
        <v/>
      </c>
      <c r="E1769" s="17">
        <f>+VLOOKUP($A1769,MAGAZZINO!$B$2:$M$4838,5,FALSE)</f>
        <v/>
      </c>
      <c r="F1769" s="17">
        <f>+VLOOKUP($A1769,MAGAZZINO!$B$2:$M$4838,6,FALSE)</f>
        <v/>
      </c>
      <c r="G1769" s="17">
        <f>+VLOOKUP($A1769,MAGAZZINO!$B$2:$M$4838,7,FALSE)</f>
        <v/>
      </c>
      <c r="H1769" s="17">
        <f>+VLOOKUP($A1769,MAGAZZINO!$B$2:$M$4838,8,FALSE)</f>
        <v/>
      </c>
      <c r="I1769" s="17">
        <f>+VLOOKUP($A1769,MAGAZZINO!$B$2:$M$4838,9,FALSE)</f>
        <v/>
      </c>
      <c r="J1769" s="17">
        <f>+VLOOKUP($A1769,MAGAZZINO!$B$2:$M$4838,10,FALSE)</f>
        <v/>
      </c>
      <c r="K1769" s="17">
        <f>+VLOOKUP($A1769,MAGAZZINO!$B$2:$M$4838,11,FALSE)</f>
        <v/>
      </c>
      <c r="L1769" s="44">
        <f>+VLOOKUP($A1769,MAGAZZINO!$B$2:$M$4838,12,FALSE)</f>
        <v/>
      </c>
    </row>
    <row r="1770" ht="36" customHeight="1">
      <c r="A1770" s="30">
        <f>+REGISTRO!A1753</f>
        <v/>
      </c>
      <c r="B1770" s="31">
        <f>+VLOOKUP($A1770,MAGAZZINO!$B$2:$M$4838,2,FALSE)</f>
        <v/>
      </c>
      <c r="C1770" s="32">
        <f>+VLOOKUP($A1770,MAGAZZINO!$B$2:$M$4838,3,FALSE)</f>
        <v/>
      </c>
      <c r="D1770" s="17">
        <f>+VLOOKUP($A1770,MAGAZZINO!$B$2:$M$4838,4,FALSE)</f>
        <v/>
      </c>
      <c r="E1770" s="17">
        <f>+VLOOKUP($A1770,MAGAZZINO!$B$2:$M$4838,5,FALSE)</f>
        <v/>
      </c>
      <c r="F1770" s="17">
        <f>+VLOOKUP($A1770,MAGAZZINO!$B$2:$M$4838,6,FALSE)</f>
        <v/>
      </c>
      <c r="G1770" s="17">
        <f>+VLOOKUP($A1770,MAGAZZINO!$B$2:$M$4838,7,FALSE)</f>
        <v/>
      </c>
      <c r="H1770" s="17">
        <f>+VLOOKUP($A1770,MAGAZZINO!$B$2:$M$4838,8,FALSE)</f>
        <v/>
      </c>
      <c r="I1770" s="17">
        <f>+VLOOKUP($A1770,MAGAZZINO!$B$2:$M$4838,9,FALSE)</f>
        <v/>
      </c>
      <c r="J1770" s="17">
        <f>+VLOOKUP($A1770,MAGAZZINO!$B$2:$M$4838,10,FALSE)</f>
        <v/>
      </c>
      <c r="K1770" s="17">
        <f>+VLOOKUP($A1770,MAGAZZINO!$B$2:$M$4838,11,FALSE)</f>
        <v/>
      </c>
      <c r="L1770" s="44">
        <f>+VLOOKUP($A1770,MAGAZZINO!$B$2:$M$4838,12,FALSE)</f>
        <v/>
      </c>
    </row>
    <row r="1771" ht="36" customHeight="1">
      <c r="A1771" s="30">
        <f>+REGISTRO!A1754</f>
        <v/>
      </c>
      <c r="B1771" s="31">
        <f>+VLOOKUP($A1771,MAGAZZINO!$B$2:$M$4838,2,FALSE)</f>
        <v/>
      </c>
      <c r="C1771" s="32">
        <f>+VLOOKUP($A1771,MAGAZZINO!$B$2:$M$4838,3,FALSE)</f>
        <v/>
      </c>
      <c r="D1771" s="17">
        <f>+VLOOKUP($A1771,MAGAZZINO!$B$2:$M$4838,4,FALSE)</f>
        <v/>
      </c>
      <c r="E1771" s="17">
        <f>+VLOOKUP($A1771,MAGAZZINO!$B$2:$M$4838,5,FALSE)</f>
        <v/>
      </c>
      <c r="F1771" s="17">
        <f>+VLOOKUP($A1771,MAGAZZINO!$B$2:$M$4838,6,FALSE)</f>
        <v/>
      </c>
      <c r="G1771" s="17">
        <f>+VLOOKUP($A1771,MAGAZZINO!$B$2:$M$4838,7,FALSE)</f>
        <v/>
      </c>
      <c r="H1771" s="17">
        <f>+VLOOKUP($A1771,MAGAZZINO!$B$2:$M$4838,8,FALSE)</f>
        <v/>
      </c>
      <c r="I1771" s="17">
        <f>+VLOOKUP($A1771,MAGAZZINO!$B$2:$M$4838,9,FALSE)</f>
        <v/>
      </c>
      <c r="J1771" s="17">
        <f>+VLOOKUP($A1771,MAGAZZINO!$B$2:$M$4838,10,FALSE)</f>
        <v/>
      </c>
      <c r="K1771" s="17">
        <f>+VLOOKUP($A1771,MAGAZZINO!$B$2:$M$4838,11,FALSE)</f>
        <v/>
      </c>
      <c r="L1771" s="44">
        <f>+VLOOKUP($A1771,MAGAZZINO!$B$2:$M$4838,12,FALSE)</f>
        <v/>
      </c>
    </row>
    <row r="1772" ht="36" customHeight="1">
      <c r="A1772" s="30">
        <f>+REGISTRO!A1755</f>
        <v/>
      </c>
      <c r="B1772" s="31">
        <f>+VLOOKUP($A1772,MAGAZZINO!$B$2:$M$4838,2,FALSE)</f>
        <v/>
      </c>
      <c r="C1772" s="32">
        <f>+VLOOKUP($A1772,MAGAZZINO!$B$2:$M$4838,3,FALSE)</f>
        <v/>
      </c>
      <c r="D1772" s="17">
        <f>+VLOOKUP($A1772,MAGAZZINO!$B$2:$M$4838,4,FALSE)</f>
        <v/>
      </c>
      <c r="E1772" s="17">
        <f>+VLOOKUP($A1772,MAGAZZINO!$B$2:$M$4838,5,FALSE)</f>
        <v/>
      </c>
      <c r="F1772" s="17">
        <f>+VLOOKUP($A1772,MAGAZZINO!$B$2:$M$4838,6,FALSE)</f>
        <v/>
      </c>
      <c r="G1772" s="17">
        <f>+VLOOKUP($A1772,MAGAZZINO!$B$2:$M$4838,7,FALSE)</f>
        <v/>
      </c>
      <c r="H1772" s="17">
        <f>+VLOOKUP($A1772,MAGAZZINO!$B$2:$M$4838,8,FALSE)</f>
        <v/>
      </c>
      <c r="I1772" s="17">
        <f>+VLOOKUP($A1772,MAGAZZINO!$B$2:$M$4838,9,FALSE)</f>
        <v/>
      </c>
      <c r="J1772" s="17">
        <f>+VLOOKUP($A1772,MAGAZZINO!$B$2:$M$4838,10,FALSE)</f>
        <v/>
      </c>
      <c r="K1772" s="17">
        <f>+VLOOKUP($A1772,MAGAZZINO!$B$2:$M$4838,11,FALSE)</f>
        <v/>
      </c>
      <c r="L1772" s="44">
        <f>+VLOOKUP($A1772,MAGAZZINO!$B$2:$M$4838,12,FALSE)</f>
        <v/>
      </c>
    </row>
    <row r="1773" ht="36" customHeight="1">
      <c r="A1773" s="30">
        <f>+REGISTRO!A1756</f>
        <v/>
      </c>
      <c r="B1773" s="31">
        <f>+VLOOKUP($A1773,MAGAZZINO!$B$2:$M$4838,2,FALSE)</f>
        <v/>
      </c>
      <c r="C1773" s="32">
        <f>+VLOOKUP($A1773,MAGAZZINO!$B$2:$M$4838,3,FALSE)</f>
        <v/>
      </c>
      <c r="D1773" s="17">
        <f>+VLOOKUP($A1773,MAGAZZINO!$B$2:$M$4838,4,FALSE)</f>
        <v/>
      </c>
      <c r="E1773" s="17">
        <f>+VLOOKUP($A1773,MAGAZZINO!$B$2:$M$4838,5,FALSE)</f>
        <v/>
      </c>
      <c r="F1773" s="17">
        <f>+VLOOKUP($A1773,MAGAZZINO!$B$2:$M$4838,6,FALSE)</f>
        <v/>
      </c>
      <c r="G1773" s="17">
        <f>+VLOOKUP($A1773,MAGAZZINO!$B$2:$M$4838,7,FALSE)</f>
        <v/>
      </c>
      <c r="H1773" s="17">
        <f>+VLOOKUP($A1773,MAGAZZINO!$B$2:$M$4838,8,FALSE)</f>
        <v/>
      </c>
      <c r="I1773" s="17">
        <f>+VLOOKUP($A1773,MAGAZZINO!$B$2:$M$4838,9,FALSE)</f>
        <v/>
      </c>
      <c r="J1773" s="17">
        <f>+VLOOKUP($A1773,MAGAZZINO!$B$2:$M$4838,10,FALSE)</f>
        <v/>
      </c>
      <c r="K1773" s="17">
        <f>+VLOOKUP($A1773,MAGAZZINO!$B$2:$M$4838,11,FALSE)</f>
        <v/>
      </c>
      <c r="L1773" s="44">
        <f>+VLOOKUP($A1773,MAGAZZINO!$B$2:$M$4838,12,FALSE)</f>
        <v/>
      </c>
    </row>
    <row r="1774" ht="36" customHeight="1">
      <c r="A1774" s="30">
        <f>+REGISTRO!A1757</f>
        <v/>
      </c>
      <c r="B1774" s="31">
        <f>+VLOOKUP($A1774,MAGAZZINO!$B$2:$M$4838,2,FALSE)</f>
        <v/>
      </c>
      <c r="C1774" s="32">
        <f>+VLOOKUP($A1774,MAGAZZINO!$B$2:$M$4838,3,FALSE)</f>
        <v/>
      </c>
      <c r="D1774" s="17">
        <f>+VLOOKUP($A1774,MAGAZZINO!$B$2:$M$4838,4,FALSE)</f>
        <v/>
      </c>
      <c r="E1774" s="17">
        <f>+VLOOKUP($A1774,MAGAZZINO!$B$2:$M$4838,5,FALSE)</f>
        <v/>
      </c>
      <c r="F1774" s="17">
        <f>+VLOOKUP($A1774,MAGAZZINO!$B$2:$M$4838,6,FALSE)</f>
        <v/>
      </c>
      <c r="G1774" s="17">
        <f>+VLOOKUP($A1774,MAGAZZINO!$B$2:$M$4838,7,FALSE)</f>
        <v/>
      </c>
      <c r="H1774" s="17">
        <f>+VLOOKUP($A1774,MAGAZZINO!$B$2:$M$4838,8,FALSE)</f>
        <v/>
      </c>
      <c r="I1774" s="17">
        <f>+VLOOKUP($A1774,MAGAZZINO!$B$2:$M$4838,9,FALSE)</f>
        <v/>
      </c>
      <c r="J1774" s="17">
        <f>+VLOOKUP($A1774,MAGAZZINO!$B$2:$M$4838,10,FALSE)</f>
        <v/>
      </c>
      <c r="K1774" s="17">
        <f>+VLOOKUP($A1774,MAGAZZINO!$B$2:$M$4838,11,FALSE)</f>
        <v/>
      </c>
      <c r="L1774" s="44">
        <f>+VLOOKUP($A1774,MAGAZZINO!$B$2:$M$4838,12,FALSE)</f>
        <v/>
      </c>
    </row>
    <row r="1775" ht="36" customHeight="1">
      <c r="A1775" s="30">
        <f>+REGISTRO!A1758</f>
        <v/>
      </c>
      <c r="B1775" s="31">
        <f>+VLOOKUP($A1775,MAGAZZINO!$B$2:$M$4838,2,FALSE)</f>
        <v/>
      </c>
      <c r="C1775" s="32">
        <f>+VLOOKUP($A1775,MAGAZZINO!$B$2:$M$4838,3,FALSE)</f>
        <v/>
      </c>
      <c r="D1775" s="17">
        <f>+VLOOKUP($A1775,MAGAZZINO!$B$2:$M$4838,4,FALSE)</f>
        <v/>
      </c>
      <c r="E1775" s="17">
        <f>+VLOOKUP($A1775,MAGAZZINO!$B$2:$M$4838,5,FALSE)</f>
        <v/>
      </c>
      <c r="F1775" s="17">
        <f>+VLOOKUP($A1775,MAGAZZINO!$B$2:$M$4838,6,FALSE)</f>
        <v/>
      </c>
      <c r="G1775" s="17">
        <f>+VLOOKUP($A1775,MAGAZZINO!$B$2:$M$4838,7,FALSE)</f>
        <v/>
      </c>
      <c r="H1775" s="17">
        <f>+VLOOKUP($A1775,MAGAZZINO!$B$2:$M$4838,8,FALSE)</f>
        <v/>
      </c>
      <c r="I1775" s="17">
        <f>+VLOOKUP($A1775,MAGAZZINO!$B$2:$M$4838,9,FALSE)</f>
        <v/>
      </c>
      <c r="J1775" s="17">
        <f>+VLOOKUP($A1775,MAGAZZINO!$B$2:$M$4838,10,FALSE)</f>
        <v/>
      </c>
      <c r="K1775" s="17">
        <f>+VLOOKUP($A1775,MAGAZZINO!$B$2:$M$4838,11,FALSE)</f>
        <v/>
      </c>
      <c r="L1775" s="44">
        <f>+VLOOKUP($A1775,MAGAZZINO!$B$2:$M$4838,12,FALSE)</f>
        <v/>
      </c>
    </row>
    <row r="1776" ht="36" customHeight="1">
      <c r="A1776" s="30">
        <f>+REGISTRO!A1759</f>
        <v/>
      </c>
      <c r="B1776" s="31">
        <f>+VLOOKUP($A1776,MAGAZZINO!$B$2:$M$4838,2,FALSE)</f>
        <v/>
      </c>
      <c r="C1776" s="32">
        <f>+VLOOKUP($A1776,MAGAZZINO!$B$2:$M$4838,3,FALSE)</f>
        <v/>
      </c>
      <c r="D1776" s="17">
        <f>+VLOOKUP($A1776,MAGAZZINO!$B$2:$M$4838,4,FALSE)</f>
        <v/>
      </c>
      <c r="E1776" s="17">
        <f>+VLOOKUP($A1776,MAGAZZINO!$B$2:$M$4838,5,FALSE)</f>
        <v/>
      </c>
      <c r="F1776" s="17">
        <f>+VLOOKUP($A1776,MAGAZZINO!$B$2:$M$4838,6,FALSE)</f>
        <v/>
      </c>
      <c r="G1776" s="17">
        <f>+VLOOKUP($A1776,MAGAZZINO!$B$2:$M$4838,7,FALSE)</f>
        <v/>
      </c>
      <c r="H1776" s="17">
        <f>+VLOOKUP($A1776,MAGAZZINO!$B$2:$M$4838,8,FALSE)</f>
        <v/>
      </c>
      <c r="I1776" s="17">
        <f>+VLOOKUP($A1776,MAGAZZINO!$B$2:$M$4838,9,FALSE)</f>
        <v/>
      </c>
      <c r="J1776" s="17">
        <f>+VLOOKUP($A1776,MAGAZZINO!$B$2:$M$4838,10,FALSE)</f>
        <v/>
      </c>
      <c r="K1776" s="17">
        <f>+VLOOKUP($A1776,MAGAZZINO!$B$2:$M$4838,11,FALSE)</f>
        <v/>
      </c>
      <c r="L1776" s="44">
        <f>+VLOOKUP($A1776,MAGAZZINO!$B$2:$M$4838,12,FALSE)</f>
        <v/>
      </c>
    </row>
    <row r="1777" ht="36" customHeight="1">
      <c r="A1777" s="30">
        <f>+REGISTRO!A1760</f>
        <v/>
      </c>
      <c r="B1777" s="31">
        <f>+VLOOKUP($A1777,MAGAZZINO!$B$2:$M$4838,2,FALSE)</f>
        <v/>
      </c>
      <c r="C1777" s="32">
        <f>+VLOOKUP($A1777,MAGAZZINO!$B$2:$M$4838,3,FALSE)</f>
        <v/>
      </c>
      <c r="D1777" s="17">
        <f>+VLOOKUP($A1777,MAGAZZINO!$B$2:$M$4838,4,FALSE)</f>
        <v/>
      </c>
      <c r="E1777" s="17">
        <f>+VLOOKUP($A1777,MAGAZZINO!$B$2:$M$4838,5,FALSE)</f>
        <v/>
      </c>
      <c r="F1777" s="17">
        <f>+VLOOKUP($A1777,MAGAZZINO!$B$2:$M$4838,6,FALSE)</f>
        <v/>
      </c>
      <c r="G1777" s="17">
        <f>+VLOOKUP($A1777,MAGAZZINO!$B$2:$M$4838,7,FALSE)</f>
        <v/>
      </c>
      <c r="H1777" s="17">
        <f>+VLOOKUP($A1777,MAGAZZINO!$B$2:$M$4838,8,FALSE)</f>
        <v/>
      </c>
      <c r="I1777" s="17">
        <f>+VLOOKUP($A1777,MAGAZZINO!$B$2:$M$4838,9,FALSE)</f>
        <v/>
      </c>
      <c r="J1777" s="17">
        <f>+VLOOKUP($A1777,MAGAZZINO!$B$2:$M$4838,10,FALSE)</f>
        <v/>
      </c>
      <c r="K1777" s="17">
        <f>+VLOOKUP($A1777,MAGAZZINO!$B$2:$M$4838,11,FALSE)</f>
        <v/>
      </c>
      <c r="L1777" s="44">
        <f>+VLOOKUP($A1777,MAGAZZINO!$B$2:$M$4838,12,FALSE)</f>
        <v/>
      </c>
    </row>
    <row r="1778" ht="36" customHeight="1">
      <c r="A1778" s="30">
        <f>+REGISTRO!A1761</f>
        <v/>
      </c>
      <c r="B1778" s="31">
        <f>+VLOOKUP($A1778,MAGAZZINO!$B$2:$M$4838,2,FALSE)</f>
        <v/>
      </c>
      <c r="C1778" s="32">
        <f>+VLOOKUP($A1778,MAGAZZINO!$B$2:$M$4838,3,FALSE)</f>
        <v/>
      </c>
      <c r="D1778" s="17">
        <f>+VLOOKUP($A1778,MAGAZZINO!$B$2:$M$4838,4,FALSE)</f>
        <v/>
      </c>
      <c r="E1778" s="17">
        <f>+VLOOKUP($A1778,MAGAZZINO!$B$2:$M$4838,5,FALSE)</f>
        <v/>
      </c>
      <c r="F1778" s="17">
        <f>+VLOOKUP($A1778,MAGAZZINO!$B$2:$M$4838,6,FALSE)</f>
        <v/>
      </c>
      <c r="G1778" s="17">
        <f>+VLOOKUP($A1778,MAGAZZINO!$B$2:$M$4838,7,FALSE)</f>
        <v/>
      </c>
      <c r="H1778" s="17">
        <f>+VLOOKUP($A1778,MAGAZZINO!$B$2:$M$4838,8,FALSE)</f>
        <v/>
      </c>
      <c r="I1778" s="17">
        <f>+VLOOKUP($A1778,MAGAZZINO!$B$2:$M$4838,9,FALSE)</f>
        <v/>
      </c>
      <c r="J1778" s="17">
        <f>+VLOOKUP($A1778,MAGAZZINO!$B$2:$M$4838,10,FALSE)</f>
        <v/>
      </c>
      <c r="K1778" s="17">
        <f>+VLOOKUP($A1778,MAGAZZINO!$B$2:$M$4838,11,FALSE)</f>
        <v/>
      </c>
      <c r="L1778" s="44">
        <f>+VLOOKUP($A1778,MAGAZZINO!$B$2:$M$4838,12,FALSE)</f>
        <v/>
      </c>
    </row>
    <row r="1779" ht="36" customHeight="1">
      <c r="A1779" s="30">
        <f>+REGISTRO!A1762</f>
        <v/>
      </c>
      <c r="B1779" s="31">
        <f>+VLOOKUP($A1779,MAGAZZINO!$B$2:$M$4838,2,FALSE)</f>
        <v/>
      </c>
      <c r="C1779" s="32">
        <f>+VLOOKUP($A1779,MAGAZZINO!$B$2:$M$4838,3,FALSE)</f>
        <v/>
      </c>
      <c r="D1779" s="17">
        <f>+VLOOKUP($A1779,MAGAZZINO!$B$2:$M$4838,4,FALSE)</f>
        <v/>
      </c>
      <c r="E1779" s="17">
        <f>+VLOOKUP($A1779,MAGAZZINO!$B$2:$M$4838,5,FALSE)</f>
        <v/>
      </c>
      <c r="F1779" s="17">
        <f>+VLOOKUP($A1779,MAGAZZINO!$B$2:$M$4838,6,FALSE)</f>
        <v/>
      </c>
      <c r="G1779" s="17">
        <f>+VLOOKUP($A1779,MAGAZZINO!$B$2:$M$4838,7,FALSE)</f>
        <v/>
      </c>
      <c r="H1779" s="17">
        <f>+VLOOKUP($A1779,MAGAZZINO!$B$2:$M$4838,8,FALSE)</f>
        <v/>
      </c>
      <c r="I1779" s="17">
        <f>+VLOOKUP($A1779,MAGAZZINO!$B$2:$M$4838,9,FALSE)</f>
        <v/>
      </c>
      <c r="J1779" s="17">
        <f>+VLOOKUP($A1779,MAGAZZINO!$B$2:$M$4838,10,FALSE)</f>
        <v/>
      </c>
      <c r="K1779" s="17">
        <f>+VLOOKUP($A1779,MAGAZZINO!$B$2:$M$4838,11,FALSE)</f>
        <v/>
      </c>
      <c r="L1779" s="44">
        <f>+VLOOKUP($A1779,MAGAZZINO!$B$2:$M$4838,12,FALSE)</f>
        <v/>
      </c>
    </row>
    <row r="1780" ht="36" customHeight="1">
      <c r="A1780" s="30">
        <f>+REGISTRO!A1763</f>
        <v/>
      </c>
      <c r="B1780" s="31">
        <f>+VLOOKUP($A1780,MAGAZZINO!$B$2:$M$4838,2,FALSE)</f>
        <v/>
      </c>
      <c r="C1780" s="32">
        <f>+VLOOKUP($A1780,MAGAZZINO!$B$2:$M$4838,3,FALSE)</f>
        <v/>
      </c>
      <c r="D1780" s="17">
        <f>+VLOOKUP($A1780,MAGAZZINO!$B$2:$M$4838,4,FALSE)</f>
        <v/>
      </c>
      <c r="E1780" s="17">
        <f>+VLOOKUP($A1780,MAGAZZINO!$B$2:$M$4838,5,FALSE)</f>
        <v/>
      </c>
      <c r="F1780" s="17">
        <f>+VLOOKUP($A1780,MAGAZZINO!$B$2:$M$4838,6,FALSE)</f>
        <v/>
      </c>
      <c r="G1780" s="17">
        <f>+VLOOKUP($A1780,MAGAZZINO!$B$2:$M$4838,7,FALSE)</f>
        <v/>
      </c>
      <c r="H1780" s="17">
        <f>+VLOOKUP($A1780,MAGAZZINO!$B$2:$M$4838,8,FALSE)</f>
        <v/>
      </c>
      <c r="I1780" s="17">
        <f>+VLOOKUP($A1780,MAGAZZINO!$B$2:$M$4838,9,FALSE)</f>
        <v/>
      </c>
      <c r="J1780" s="17">
        <f>+VLOOKUP($A1780,MAGAZZINO!$B$2:$M$4838,10,FALSE)</f>
        <v/>
      </c>
      <c r="K1780" s="17">
        <f>+VLOOKUP($A1780,MAGAZZINO!$B$2:$M$4838,11,FALSE)</f>
        <v/>
      </c>
      <c r="L1780" s="44">
        <f>+VLOOKUP($A1780,MAGAZZINO!$B$2:$M$4838,12,FALSE)</f>
        <v/>
      </c>
    </row>
    <row r="1781" ht="36" customHeight="1">
      <c r="A1781" s="30">
        <f>+REGISTRO!A1764</f>
        <v/>
      </c>
      <c r="B1781" s="31">
        <f>+VLOOKUP($A1781,MAGAZZINO!$B$2:$M$4838,2,FALSE)</f>
        <v/>
      </c>
      <c r="C1781" s="32">
        <f>+VLOOKUP($A1781,MAGAZZINO!$B$2:$M$4838,3,FALSE)</f>
        <v/>
      </c>
      <c r="D1781" s="17">
        <f>+VLOOKUP($A1781,MAGAZZINO!$B$2:$M$4838,4,FALSE)</f>
        <v/>
      </c>
      <c r="E1781" s="17">
        <f>+VLOOKUP($A1781,MAGAZZINO!$B$2:$M$4838,5,FALSE)</f>
        <v/>
      </c>
      <c r="F1781" s="17">
        <f>+VLOOKUP($A1781,MAGAZZINO!$B$2:$M$4838,6,FALSE)</f>
        <v/>
      </c>
      <c r="G1781" s="17">
        <f>+VLOOKUP($A1781,MAGAZZINO!$B$2:$M$4838,7,FALSE)</f>
        <v/>
      </c>
      <c r="H1781" s="17">
        <f>+VLOOKUP($A1781,MAGAZZINO!$B$2:$M$4838,8,FALSE)</f>
        <v/>
      </c>
      <c r="I1781" s="17">
        <f>+VLOOKUP($A1781,MAGAZZINO!$B$2:$M$4838,9,FALSE)</f>
        <v/>
      </c>
      <c r="J1781" s="17">
        <f>+VLOOKUP($A1781,MAGAZZINO!$B$2:$M$4838,10,FALSE)</f>
        <v/>
      </c>
      <c r="K1781" s="17">
        <f>+VLOOKUP($A1781,MAGAZZINO!$B$2:$M$4838,11,FALSE)</f>
        <v/>
      </c>
      <c r="L1781" s="44">
        <f>+VLOOKUP($A1781,MAGAZZINO!$B$2:$M$4838,12,FALSE)</f>
        <v/>
      </c>
    </row>
    <row r="1782" ht="36" customHeight="1">
      <c r="A1782" s="30">
        <f>+REGISTRO!A1765</f>
        <v/>
      </c>
      <c r="B1782" s="31">
        <f>+VLOOKUP($A1782,MAGAZZINO!$B$2:$M$4838,2,FALSE)</f>
        <v/>
      </c>
      <c r="C1782" s="32">
        <f>+VLOOKUP($A1782,MAGAZZINO!$B$2:$M$4838,3,FALSE)</f>
        <v/>
      </c>
      <c r="D1782" s="17">
        <f>+VLOOKUP($A1782,MAGAZZINO!$B$2:$M$4838,4,FALSE)</f>
        <v/>
      </c>
      <c r="E1782" s="17">
        <f>+VLOOKUP($A1782,MAGAZZINO!$B$2:$M$4838,5,FALSE)</f>
        <v/>
      </c>
      <c r="F1782" s="17">
        <f>+VLOOKUP($A1782,MAGAZZINO!$B$2:$M$4838,6,FALSE)</f>
        <v/>
      </c>
      <c r="G1782" s="17">
        <f>+VLOOKUP($A1782,MAGAZZINO!$B$2:$M$4838,7,FALSE)</f>
        <v/>
      </c>
      <c r="H1782" s="17">
        <f>+VLOOKUP($A1782,MAGAZZINO!$B$2:$M$4838,8,FALSE)</f>
        <v/>
      </c>
      <c r="I1782" s="17">
        <f>+VLOOKUP($A1782,MAGAZZINO!$B$2:$M$4838,9,FALSE)</f>
        <v/>
      </c>
      <c r="J1782" s="17">
        <f>+VLOOKUP($A1782,MAGAZZINO!$B$2:$M$4838,10,FALSE)</f>
        <v/>
      </c>
      <c r="K1782" s="17">
        <f>+VLOOKUP($A1782,MAGAZZINO!$B$2:$M$4838,11,FALSE)</f>
        <v/>
      </c>
      <c r="L1782" s="44">
        <f>+VLOOKUP($A1782,MAGAZZINO!$B$2:$M$4838,12,FALSE)</f>
        <v/>
      </c>
    </row>
    <row r="1783" ht="36" customHeight="1">
      <c r="A1783" s="30">
        <f>+REGISTRO!A1766</f>
        <v/>
      </c>
      <c r="B1783" s="31">
        <f>+VLOOKUP($A1783,MAGAZZINO!$B$2:$M$4838,2,FALSE)</f>
        <v/>
      </c>
      <c r="C1783" s="32">
        <f>+VLOOKUP($A1783,MAGAZZINO!$B$2:$M$4838,3,FALSE)</f>
        <v/>
      </c>
      <c r="D1783" s="17">
        <f>+VLOOKUP($A1783,MAGAZZINO!$B$2:$M$4838,4,FALSE)</f>
        <v/>
      </c>
      <c r="E1783" s="17">
        <f>+VLOOKUP($A1783,MAGAZZINO!$B$2:$M$4838,5,FALSE)</f>
        <v/>
      </c>
      <c r="F1783" s="17">
        <f>+VLOOKUP($A1783,MAGAZZINO!$B$2:$M$4838,6,FALSE)</f>
        <v/>
      </c>
      <c r="G1783" s="17">
        <f>+VLOOKUP($A1783,MAGAZZINO!$B$2:$M$4838,7,FALSE)</f>
        <v/>
      </c>
      <c r="H1783" s="17">
        <f>+VLOOKUP($A1783,MAGAZZINO!$B$2:$M$4838,8,FALSE)</f>
        <v/>
      </c>
      <c r="I1783" s="17">
        <f>+VLOOKUP($A1783,MAGAZZINO!$B$2:$M$4838,9,FALSE)</f>
        <v/>
      </c>
      <c r="J1783" s="17">
        <f>+VLOOKUP($A1783,MAGAZZINO!$B$2:$M$4838,10,FALSE)</f>
        <v/>
      </c>
      <c r="K1783" s="17">
        <f>+VLOOKUP($A1783,MAGAZZINO!$B$2:$M$4838,11,FALSE)</f>
        <v/>
      </c>
      <c r="L1783" s="44">
        <f>+VLOOKUP($A1783,MAGAZZINO!$B$2:$M$4838,12,FALSE)</f>
        <v/>
      </c>
    </row>
    <row r="1784" ht="36" customHeight="1">
      <c r="A1784" s="30">
        <f>+REGISTRO!A1767</f>
        <v/>
      </c>
      <c r="B1784" s="31">
        <f>+VLOOKUP($A1784,MAGAZZINO!$B$2:$M$4838,2,FALSE)</f>
        <v/>
      </c>
      <c r="C1784" s="32">
        <f>+VLOOKUP($A1784,MAGAZZINO!$B$2:$M$4838,3,FALSE)</f>
        <v/>
      </c>
      <c r="D1784" s="17">
        <f>+VLOOKUP($A1784,MAGAZZINO!$B$2:$M$4838,4,FALSE)</f>
        <v/>
      </c>
      <c r="E1784" s="17">
        <f>+VLOOKUP($A1784,MAGAZZINO!$B$2:$M$4838,5,FALSE)</f>
        <v/>
      </c>
      <c r="F1784" s="17">
        <f>+VLOOKUP($A1784,MAGAZZINO!$B$2:$M$4838,6,FALSE)</f>
        <v/>
      </c>
      <c r="G1784" s="17">
        <f>+VLOOKUP($A1784,MAGAZZINO!$B$2:$M$4838,7,FALSE)</f>
        <v/>
      </c>
      <c r="H1784" s="17">
        <f>+VLOOKUP($A1784,MAGAZZINO!$B$2:$M$4838,8,FALSE)</f>
        <v/>
      </c>
      <c r="I1784" s="17">
        <f>+VLOOKUP($A1784,MAGAZZINO!$B$2:$M$4838,9,FALSE)</f>
        <v/>
      </c>
      <c r="J1784" s="17">
        <f>+VLOOKUP($A1784,MAGAZZINO!$B$2:$M$4838,10,FALSE)</f>
        <v/>
      </c>
      <c r="K1784" s="17">
        <f>+VLOOKUP($A1784,MAGAZZINO!$B$2:$M$4838,11,FALSE)</f>
        <v/>
      </c>
      <c r="L1784" s="44">
        <f>+VLOOKUP($A1784,MAGAZZINO!$B$2:$M$4838,12,FALSE)</f>
        <v/>
      </c>
    </row>
    <row r="1785" ht="36" customHeight="1">
      <c r="A1785" s="30">
        <f>+REGISTRO!A1768</f>
        <v/>
      </c>
      <c r="B1785" s="31">
        <f>+VLOOKUP($A1785,MAGAZZINO!$B$2:$M$4838,2,FALSE)</f>
        <v/>
      </c>
      <c r="C1785" s="32">
        <f>+VLOOKUP($A1785,MAGAZZINO!$B$2:$M$4838,3,FALSE)</f>
        <v/>
      </c>
      <c r="D1785" s="17">
        <f>+VLOOKUP($A1785,MAGAZZINO!$B$2:$M$4838,4,FALSE)</f>
        <v/>
      </c>
      <c r="E1785" s="17">
        <f>+VLOOKUP($A1785,MAGAZZINO!$B$2:$M$4838,5,FALSE)</f>
        <v/>
      </c>
      <c r="F1785" s="17">
        <f>+VLOOKUP($A1785,MAGAZZINO!$B$2:$M$4838,6,FALSE)</f>
        <v/>
      </c>
      <c r="G1785" s="17">
        <f>+VLOOKUP($A1785,MAGAZZINO!$B$2:$M$4838,7,FALSE)</f>
        <v/>
      </c>
      <c r="H1785" s="17">
        <f>+VLOOKUP($A1785,MAGAZZINO!$B$2:$M$4838,8,FALSE)</f>
        <v/>
      </c>
      <c r="I1785" s="17">
        <f>+VLOOKUP($A1785,MAGAZZINO!$B$2:$M$4838,9,FALSE)</f>
        <v/>
      </c>
      <c r="J1785" s="17">
        <f>+VLOOKUP($A1785,MAGAZZINO!$B$2:$M$4838,10,FALSE)</f>
        <v/>
      </c>
      <c r="K1785" s="17">
        <f>+VLOOKUP($A1785,MAGAZZINO!$B$2:$M$4838,11,FALSE)</f>
        <v/>
      </c>
      <c r="L1785" s="44">
        <f>+VLOOKUP($A1785,MAGAZZINO!$B$2:$M$4838,12,FALSE)</f>
        <v/>
      </c>
    </row>
    <row r="1786" ht="36" customHeight="1">
      <c r="A1786" s="30">
        <f>+REGISTRO!A1769</f>
        <v/>
      </c>
      <c r="B1786" s="31">
        <f>+VLOOKUP($A1786,MAGAZZINO!$B$2:$M$4838,2,FALSE)</f>
        <v/>
      </c>
      <c r="C1786" s="32">
        <f>+VLOOKUP($A1786,MAGAZZINO!$B$2:$M$4838,3,FALSE)</f>
        <v/>
      </c>
      <c r="D1786" s="17">
        <f>+VLOOKUP($A1786,MAGAZZINO!$B$2:$M$4838,4,FALSE)</f>
        <v/>
      </c>
      <c r="E1786" s="17">
        <f>+VLOOKUP($A1786,MAGAZZINO!$B$2:$M$4838,5,FALSE)</f>
        <v/>
      </c>
      <c r="F1786" s="17">
        <f>+VLOOKUP($A1786,MAGAZZINO!$B$2:$M$4838,6,FALSE)</f>
        <v/>
      </c>
      <c r="G1786" s="17">
        <f>+VLOOKUP($A1786,MAGAZZINO!$B$2:$M$4838,7,FALSE)</f>
        <v/>
      </c>
      <c r="H1786" s="17">
        <f>+VLOOKUP($A1786,MAGAZZINO!$B$2:$M$4838,8,FALSE)</f>
        <v/>
      </c>
      <c r="I1786" s="17">
        <f>+VLOOKUP($A1786,MAGAZZINO!$B$2:$M$4838,9,FALSE)</f>
        <v/>
      </c>
      <c r="J1786" s="17">
        <f>+VLOOKUP($A1786,MAGAZZINO!$B$2:$M$4838,10,FALSE)</f>
        <v/>
      </c>
      <c r="K1786" s="17">
        <f>+VLOOKUP($A1786,MAGAZZINO!$B$2:$M$4838,11,FALSE)</f>
        <v/>
      </c>
      <c r="L1786" s="44">
        <f>+VLOOKUP($A1786,MAGAZZINO!$B$2:$M$4838,12,FALSE)</f>
        <v/>
      </c>
    </row>
    <row r="1787" ht="36" customHeight="1">
      <c r="A1787" s="30">
        <f>+REGISTRO!A1770</f>
        <v/>
      </c>
      <c r="B1787" s="31">
        <f>+VLOOKUP($A1787,MAGAZZINO!$B$2:$M$4838,2,FALSE)</f>
        <v/>
      </c>
      <c r="C1787" s="32">
        <f>+VLOOKUP($A1787,MAGAZZINO!$B$2:$M$4838,3,FALSE)</f>
        <v/>
      </c>
      <c r="D1787" s="17">
        <f>+VLOOKUP($A1787,MAGAZZINO!$B$2:$M$4838,4,FALSE)</f>
        <v/>
      </c>
      <c r="E1787" s="17">
        <f>+VLOOKUP($A1787,MAGAZZINO!$B$2:$M$4838,5,FALSE)</f>
        <v/>
      </c>
      <c r="F1787" s="17">
        <f>+VLOOKUP($A1787,MAGAZZINO!$B$2:$M$4838,6,FALSE)</f>
        <v/>
      </c>
      <c r="G1787" s="17">
        <f>+VLOOKUP($A1787,MAGAZZINO!$B$2:$M$4838,7,FALSE)</f>
        <v/>
      </c>
      <c r="H1787" s="17">
        <f>+VLOOKUP($A1787,MAGAZZINO!$B$2:$M$4838,8,FALSE)</f>
        <v/>
      </c>
      <c r="I1787" s="17">
        <f>+VLOOKUP($A1787,MAGAZZINO!$B$2:$M$4838,9,FALSE)</f>
        <v/>
      </c>
      <c r="J1787" s="17">
        <f>+VLOOKUP($A1787,MAGAZZINO!$B$2:$M$4838,10,FALSE)</f>
        <v/>
      </c>
      <c r="K1787" s="17">
        <f>+VLOOKUP($A1787,MAGAZZINO!$B$2:$M$4838,11,FALSE)</f>
        <v/>
      </c>
      <c r="L1787" s="44">
        <f>+VLOOKUP($A1787,MAGAZZINO!$B$2:$M$4838,12,FALSE)</f>
        <v/>
      </c>
    </row>
    <row r="1788" ht="36" customHeight="1">
      <c r="A1788" s="30">
        <f>+REGISTRO!A1771</f>
        <v/>
      </c>
      <c r="B1788" s="31">
        <f>+VLOOKUP($A1788,MAGAZZINO!$B$2:$M$4838,2,FALSE)</f>
        <v/>
      </c>
      <c r="C1788" s="32">
        <f>+VLOOKUP($A1788,MAGAZZINO!$B$2:$M$4838,3,FALSE)</f>
        <v/>
      </c>
      <c r="D1788" s="17">
        <f>+VLOOKUP($A1788,MAGAZZINO!$B$2:$M$4838,4,FALSE)</f>
        <v/>
      </c>
      <c r="E1788" s="17">
        <f>+VLOOKUP($A1788,MAGAZZINO!$B$2:$M$4838,5,FALSE)</f>
        <v/>
      </c>
      <c r="F1788" s="17">
        <f>+VLOOKUP($A1788,MAGAZZINO!$B$2:$M$4838,6,FALSE)</f>
        <v/>
      </c>
      <c r="G1788" s="17">
        <f>+VLOOKUP($A1788,MAGAZZINO!$B$2:$M$4838,7,FALSE)</f>
        <v/>
      </c>
      <c r="H1788" s="17">
        <f>+VLOOKUP($A1788,MAGAZZINO!$B$2:$M$4838,8,FALSE)</f>
        <v/>
      </c>
      <c r="I1788" s="17">
        <f>+VLOOKUP($A1788,MAGAZZINO!$B$2:$M$4838,9,FALSE)</f>
        <v/>
      </c>
      <c r="J1788" s="17">
        <f>+VLOOKUP($A1788,MAGAZZINO!$B$2:$M$4838,10,FALSE)</f>
        <v/>
      </c>
      <c r="K1788" s="17">
        <f>+VLOOKUP($A1788,MAGAZZINO!$B$2:$M$4838,11,FALSE)</f>
        <v/>
      </c>
      <c r="L1788" s="44">
        <f>+VLOOKUP($A1788,MAGAZZINO!$B$2:$M$4838,12,FALSE)</f>
        <v/>
      </c>
    </row>
    <row r="1789" ht="36" customHeight="1">
      <c r="A1789" s="30">
        <f>+REGISTRO!A1772</f>
        <v/>
      </c>
      <c r="B1789" s="31">
        <f>+VLOOKUP($A1789,MAGAZZINO!$B$2:$M$4838,2,FALSE)</f>
        <v/>
      </c>
      <c r="C1789" s="32">
        <f>+VLOOKUP($A1789,MAGAZZINO!$B$2:$M$4838,3,FALSE)</f>
        <v/>
      </c>
      <c r="D1789" s="17">
        <f>+VLOOKUP($A1789,MAGAZZINO!$B$2:$M$4838,4,FALSE)</f>
        <v/>
      </c>
      <c r="E1789" s="17">
        <f>+VLOOKUP($A1789,MAGAZZINO!$B$2:$M$4838,5,FALSE)</f>
        <v/>
      </c>
      <c r="F1789" s="17">
        <f>+VLOOKUP($A1789,MAGAZZINO!$B$2:$M$4838,6,FALSE)</f>
        <v/>
      </c>
      <c r="G1789" s="17">
        <f>+VLOOKUP($A1789,MAGAZZINO!$B$2:$M$4838,7,FALSE)</f>
        <v/>
      </c>
      <c r="H1789" s="17">
        <f>+VLOOKUP($A1789,MAGAZZINO!$B$2:$M$4838,8,FALSE)</f>
        <v/>
      </c>
      <c r="I1789" s="17">
        <f>+VLOOKUP($A1789,MAGAZZINO!$B$2:$M$4838,9,FALSE)</f>
        <v/>
      </c>
      <c r="J1789" s="17">
        <f>+VLOOKUP($A1789,MAGAZZINO!$B$2:$M$4838,10,FALSE)</f>
        <v/>
      </c>
      <c r="K1789" s="17">
        <f>+VLOOKUP($A1789,MAGAZZINO!$B$2:$M$4838,11,FALSE)</f>
        <v/>
      </c>
      <c r="L1789" s="44">
        <f>+VLOOKUP($A1789,MAGAZZINO!$B$2:$M$4838,12,FALSE)</f>
        <v/>
      </c>
    </row>
    <row r="1790" ht="36" customHeight="1">
      <c r="A1790" s="30">
        <f>+REGISTRO!A1773</f>
        <v/>
      </c>
      <c r="B1790" s="31">
        <f>+VLOOKUP($A1790,MAGAZZINO!$B$2:$M$4838,2,FALSE)</f>
        <v/>
      </c>
      <c r="C1790" s="32">
        <f>+VLOOKUP($A1790,MAGAZZINO!$B$2:$M$4838,3,FALSE)</f>
        <v/>
      </c>
      <c r="D1790" s="17">
        <f>+VLOOKUP($A1790,MAGAZZINO!$B$2:$M$4838,4,FALSE)</f>
        <v/>
      </c>
      <c r="E1790" s="17">
        <f>+VLOOKUP($A1790,MAGAZZINO!$B$2:$M$4838,5,FALSE)</f>
        <v/>
      </c>
      <c r="F1790" s="17">
        <f>+VLOOKUP($A1790,MAGAZZINO!$B$2:$M$4838,6,FALSE)</f>
        <v/>
      </c>
      <c r="G1790" s="17">
        <f>+VLOOKUP($A1790,MAGAZZINO!$B$2:$M$4838,7,FALSE)</f>
        <v/>
      </c>
      <c r="H1790" s="17">
        <f>+VLOOKUP($A1790,MAGAZZINO!$B$2:$M$4838,8,FALSE)</f>
        <v/>
      </c>
      <c r="I1790" s="17">
        <f>+VLOOKUP($A1790,MAGAZZINO!$B$2:$M$4838,9,FALSE)</f>
        <v/>
      </c>
      <c r="J1790" s="17">
        <f>+VLOOKUP($A1790,MAGAZZINO!$B$2:$M$4838,10,FALSE)</f>
        <v/>
      </c>
      <c r="K1790" s="17">
        <f>+VLOOKUP($A1790,MAGAZZINO!$B$2:$M$4838,11,FALSE)</f>
        <v/>
      </c>
      <c r="L1790" s="44">
        <f>+VLOOKUP($A1790,MAGAZZINO!$B$2:$M$4838,12,FALSE)</f>
        <v/>
      </c>
    </row>
    <row r="1791" ht="36" customHeight="1">
      <c r="A1791" s="30">
        <f>+REGISTRO!A1774</f>
        <v/>
      </c>
      <c r="B1791" s="31">
        <f>+VLOOKUP($A1791,MAGAZZINO!$B$2:$M$4838,2,FALSE)</f>
        <v/>
      </c>
      <c r="C1791" s="32">
        <f>+VLOOKUP($A1791,MAGAZZINO!$B$2:$M$4838,3,FALSE)</f>
        <v/>
      </c>
      <c r="D1791" s="17">
        <f>+VLOOKUP($A1791,MAGAZZINO!$B$2:$M$4838,4,FALSE)</f>
        <v/>
      </c>
      <c r="E1791" s="17">
        <f>+VLOOKUP($A1791,MAGAZZINO!$B$2:$M$4838,5,FALSE)</f>
        <v/>
      </c>
      <c r="F1791" s="17">
        <f>+VLOOKUP($A1791,MAGAZZINO!$B$2:$M$4838,6,FALSE)</f>
        <v/>
      </c>
      <c r="G1791" s="17">
        <f>+VLOOKUP($A1791,MAGAZZINO!$B$2:$M$4838,7,FALSE)</f>
        <v/>
      </c>
      <c r="H1791" s="17">
        <f>+VLOOKUP($A1791,MAGAZZINO!$B$2:$M$4838,8,FALSE)</f>
        <v/>
      </c>
      <c r="I1791" s="17">
        <f>+VLOOKUP($A1791,MAGAZZINO!$B$2:$M$4838,9,FALSE)</f>
        <v/>
      </c>
      <c r="J1791" s="17">
        <f>+VLOOKUP($A1791,MAGAZZINO!$B$2:$M$4838,10,FALSE)</f>
        <v/>
      </c>
      <c r="K1791" s="17">
        <f>+VLOOKUP($A1791,MAGAZZINO!$B$2:$M$4838,11,FALSE)</f>
        <v/>
      </c>
      <c r="L1791" s="44">
        <f>+VLOOKUP($A1791,MAGAZZINO!$B$2:$M$4838,12,FALSE)</f>
        <v/>
      </c>
    </row>
    <row r="1792" ht="36" customHeight="1">
      <c r="A1792" s="30">
        <f>+REGISTRO!A1775</f>
        <v/>
      </c>
      <c r="B1792" s="31">
        <f>+VLOOKUP($A1792,MAGAZZINO!$B$2:$M$4838,2,FALSE)</f>
        <v/>
      </c>
      <c r="C1792" s="32">
        <f>+VLOOKUP($A1792,MAGAZZINO!$B$2:$M$4838,3,FALSE)</f>
        <v/>
      </c>
      <c r="D1792" s="17">
        <f>+VLOOKUP($A1792,MAGAZZINO!$B$2:$M$4838,4,FALSE)</f>
        <v/>
      </c>
      <c r="E1792" s="17">
        <f>+VLOOKUP($A1792,MAGAZZINO!$B$2:$M$4838,5,FALSE)</f>
        <v/>
      </c>
      <c r="F1792" s="17">
        <f>+VLOOKUP($A1792,MAGAZZINO!$B$2:$M$4838,6,FALSE)</f>
        <v/>
      </c>
      <c r="G1792" s="17">
        <f>+VLOOKUP($A1792,MAGAZZINO!$B$2:$M$4838,7,FALSE)</f>
        <v/>
      </c>
      <c r="H1792" s="17">
        <f>+VLOOKUP($A1792,MAGAZZINO!$B$2:$M$4838,8,FALSE)</f>
        <v/>
      </c>
      <c r="I1792" s="17">
        <f>+VLOOKUP($A1792,MAGAZZINO!$B$2:$M$4838,9,FALSE)</f>
        <v/>
      </c>
      <c r="J1792" s="17">
        <f>+VLOOKUP($A1792,MAGAZZINO!$B$2:$M$4838,10,FALSE)</f>
        <v/>
      </c>
      <c r="K1792" s="17">
        <f>+VLOOKUP($A1792,MAGAZZINO!$B$2:$M$4838,11,FALSE)</f>
        <v/>
      </c>
      <c r="L1792" s="44">
        <f>+VLOOKUP($A1792,MAGAZZINO!$B$2:$M$4838,12,FALSE)</f>
        <v/>
      </c>
    </row>
    <row r="1793" ht="36" customHeight="1">
      <c r="A1793" s="30">
        <f>+REGISTRO!A1776</f>
        <v/>
      </c>
      <c r="B1793" s="31">
        <f>+VLOOKUP($A1793,MAGAZZINO!$B$2:$M$4838,2,FALSE)</f>
        <v/>
      </c>
      <c r="C1793" s="32">
        <f>+VLOOKUP($A1793,MAGAZZINO!$B$2:$M$4838,3,FALSE)</f>
        <v/>
      </c>
      <c r="D1793" s="17">
        <f>+VLOOKUP($A1793,MAGAZZINO!$B$2:$M$4838,4,FALSE)</f>
        <v/>
      </c>
      <c r="E1793" s="17">
        <f>+VLOOKUP($A1793,MAGAZZINO!$B$2:$M$4838,5,FALSE)</f>
        <v/>
      </c>
      <c r="F1793" s="17">
        <f>+VLOOKUP($A1793,MAGAZZINO!$B$2:$M$4838,6,FALSE)</f>
        <v/>
      </c>
      <c r="G1793" s="17">
        <f>+VLOOKUP($A1793,MAGAZZINO!$B$2:$M$4838,7,FALSE)</f>
        <v/>
      </c>
      <c r="H1793" s="17">
        <f>+VLOOKUP($A1793,MAGAZZINO!$B$2:$M$4838,8,FALSE)</f>
        <v/>
      </c>
      <c r="I1793" s="17">
        <f>+VLOOKUP($A1793,MAGAZZINO!$B$2:$M$4838,9,FALSE)</f>
        <v/>
      </c>
      <c r="J1793" s="17">
        <f>+VLOOKUP($A1793,MAGAZZINO!$B$2:$M$4838,10,FALSE)</f>
        <v/>
      </c>
      <c r="K1793" s="17">
        <f>+VLOOKUP($A1793,MAGAZZINO!$B$2:$M$4838,11,FALSE)</f>
        <v/>
      </c>
      <c r="L1793" s="44">
        <f>+VLOOKUP($A1793,MAGAZZINO!$B$2:$M$4838,12,FALSE)</f>
        <v/>
      </c>
    </row>
    <row r="1794" ht="36" customHeight="1">
      <c r="A1794" s="30">
        <f>+REGISTRO!A1777</f>
        <v/>
      </c>
      <c r="B1794" s="31">
        <f>+VLOOKUP($A1794,MAGAZZINO!$B$2:$M$4838,2,FALSE)</f>
        <v/>
      </c>
      <c r="C1794" s="32">
        <f>+VLOOKUP($A1794,MAGAZZINO!$B$2:$M$4838,3,FALSE)</f>
        <v/>
      </c>
      <c r="D1794" s="17">
        <f>+VLOOKUP($A1794,MAGAZZINO!$B$2:$M$4838,4,FALSE)</f>
        <v/>
      </c>
      <c r="E1794" s="17">
        <f>+VLOOKUP($A1794,MAGAZZINO!$B$2:$M$4838,5,FALSE)</f>
        <v/>
      </c>
      <c r="F1794" s="17">
        <f>+VLOOKUP($A1794,MAGAZZINO!$B$2:$M$4838,6,FALSE)</f>
        <v/>
      </c>
      <c r="G1794" s="17">
        <f>+VLOOKUP($A1794,MAGAZZINO!$B$2:$M$4838,7,FALSE)</f>
        <v/>
      </c>
      <c r="H1794" s="17">
        <f>+VLOOKUP($A1794,MAGAZZINO!$B$2:$M$4838,8,FALSE)</f>
        <v/>
      </c>
      <c r="I1794" s="17">
        <f>+VLOOKUP($A1794,MAGAZZINO!$B$2:$M$4838,9,FALSE)</f>
        <v/>
      </c>
      <c r="J1794" s="17">
        <f>+VLOOKUP($A1794,MAGAZZINO!$B$2:$M$4838,10,FALSE)</f>
        <v/>
      </c>
      <c r="K1794" s="17">
        <f>+VLOOKUP($A1794,MAGAZZINO!$B$2:$M$4838,11,FALSE)</f>
        <v/>
      </c>
      <c r="L1794" s="44">
        <f>+VLOOKUP($A1794,MAGAZZINO!$B$2:$M$4838,12,FALSE)</f>
        <v/>
      </c>
    </row>
    <row r="1795" ht="36" customHeight="1">
      <c r="A1795" s="30">
        <f>+REGISTRO!A1778</f>
        <v/>
      </c>
      <c r="B1795" s="31">
        <f>+VLOOKUP($A1795,MAGAZZINO!$B$2:$M$4838,2,FALSE)</f>
        <v/>
      </c>
      <c r="C1795" s="32">
        <f>+VLOOKUP($A1795,MAGAZZINO!$B$2:$M$4838,3,FALSE)</f>
        <v/>
      </c>
      <c r="D1795" s="17">
        <f>+VLOOKUP($A1795,MAGAZZINO!$B$2:$M$4838,4,FALSE)</f>
        <v/>
      </c>
      <c r="E1795" s="17">
        <f>+VLOOKUP($A1795,MAGAZZINO!$B$2:$M$4838,5,FALSE)</f>
        <v/>
      </c>
      <c r="F1795" s="17">
        <f>+VLOOKUP($A1795,MAGAZZINO!$B$2:$M$4838,6,FALSE)</f>
        <v/>
      </c>
      <c r="G1795" s="17">
        <f>+VLOOKUP($A1795,MAGAZZINO!$B$2:$M$4838,7,FALSE)</f>
        <v/>
      </c>
      <c r="H1795" s="17">
        <f>+VLOOKUP($A1795,MAGAZZINO!$B$2:$M$4838,8,FALSE)</f>
        <v/>
      </c>
      <c r="I1795" s="17">
        <f>+VLOOKUP($A1795,MAGAZZINO!$B$2:$M$4838,9,FALSE)</f>
        <v/>
      </c>
      <c r="J1795" s="17">
        <f>+VLOOKUP($A1795,MAGAZZINO!$B$2:$M$4838,10,FALSE)</f>
        <v/>
      </c>
      <c r="K1795" s="17">
        <f>+VLOOKUP($A1795,MAGAZZINO!$B$2:$M$4838,11,FALSE)</f>
        <v/>
      </c>
      <c r="L1795" s="44">
        <f>+VLOOKUP($A1795,MAGAZZINO!$B$2:$M$4838,12,FALSE)</f>
        <v/>
      </c>
    </row>
    <row r="1796" ht="36" customHeight="1">
      <c r="A1796" s="30">
        <f>+REGISTRO!A1779</f>
        <v/>
      </c>
      <c r="B1796" s="31">
        <f>+VLOOKUP($A1796,MAGAZZINO!$B$2:$M$4838,2,FALSE)</f>
        <v/>
      </c>
      <c r="C1796" s="32">
        <f>+VLOOKUP($A1796,MAGAZZINO!$B$2:$M$4838,3,FALSE)</f>
        <v/>
      </c>
      <c r="D1796" s="17">
        <f>+VLOOKUP($A1796,MAGAZZINO!$B$2:$M$4838,4,FALSE)</f>
        <v/>
      </c>
      <c r="E1796" s="17">
        <f>+VLOOKUP($A1796,MAGAZZINO!$B$2:$M$4838,5,FALSE)</f>
        <v/>
      </c>
      <c r="F1796" s="17">
        <f>+VLOOKUP($A1796,MAGAZZINO!$B$2:$M$4838,6,FALSE)</f>
        <v/>
      </c>
      <c r="G1796" s="17">
        <f>+VLOOKUP($A1796,MAGAZZINO!$B$2:$M$4838,7,FALSE)</f>
        <v/>
      </c>
      <c r="H1796" s="17">
        <f>+VLOOKUP($A1796,MAGAZZINO!$B$2:$M$4838,8,FALSE)</f>
        <v/>
      </c>
      <c r="I1796" s="17">
        <f>+VLOOKUP($A1796,MAGAZZINO!$B$2:$M$4838,9,FALSE)</f>
        <v/>
      </c>
      <c r="J1796" s="17">
        <f>+VLOOKUP($A1796,MAGAZZINO!$B$2:$M$4838,10,FALSE)</f>
        <v/>
      </c>
      <c r="K1796" s="17">
        <f>+VLOOKUP($A1796,MAGAZZINO!$B$2:$M$4838,11,FALSE)</f>
        <v/>
      </c>
      <c r="L1796" s="44">
        <f>+VLOOKUP($A1796,MAGAZZINO!$B$2:$M$4838,12,FALSE)</f>
        <v/>
      </c>
    </row>
    <row r="1797" ht="36" customHeight="1">
      <c r="A1797" s="30">
        <f>+REGISTRO!A1780</f>
        <v/>
      </c>
      <c r="B1797" s="31">
        <f>+VLOOKUP($A1797,MAGAZZINO!$B$2:$M$4838,2,FALSE)</f>
        <v/>
      </c>
      <c r="C1797" s="32">
        <f>+VLOOKUP($A1797,MAGAZZINO!$B$2:$M$4838,3,FALSE)</f>
        <v/>
      </c>
      <c r="D1797" s="17">
        <f>+VLOOKUP($A1797,MAGAZZINO!$B$2:$M$4838,4,FALSE)</f>
        <v/>
      </c>
      <c r="E1797" s="17">
        <f>+VLOOKUP($A1797,MAGAZZINO!$B$2:$M$4838,5,FALSE)</f>
        <v/>
      </c>
      <c r="F1797" s="17">
        <f>+VLOOKUP($A1797,MAGAZZINO!$B$2:$M$4838,6,FALSE)</f>
        <v/>
      </c>
      <c r="G1797" s="17">
        <f>+VLOOKUP($A1797,MAGAZZINO!$B$2:$M$4838,7,FALSE)</f>
        <v/>
      </c>
      <c r="H1797" s="17">
        <f>+VLOOKUP($A1797,MAGAZZINO!$B$2:$M$4838,8,FALSE)</f>
        <v/>
      </c>
      <c r="I1797" s="17">
        <f>+VLOOKUP($A1797,MAGAZZINO!$B$2:$M$4838,9,FALSE)</f>
        <v/>
      </c>
      <c r="J1797" s="17">
        <f>+VLOOKUP($A1797,MAGAZZINO!$B$2:$M$4838,10,FALSE)</f>
        <v/>
      </c>
      <c r="K1797" s="17">
        <f>+VLOOKUP($A1797,MAGAZZINO!$B$2:$M$4838,11,FALSE)</f>
        <v/>
      </c>
      <c r="L1797" s="44">
        <f>+VLOOKUP($A1797,MAGAZZINO!$B$2:$M$4838,12,FALSE)</f>
        <v/>
      </c>
    </row>
    <row r="1798" ht="36" customHeight="1">
      <c r="A1798" s="30">
        <f>+REGISTRO!A1781</f>
        <v/>
      </c>
      <c r="B1798" s="31">
        <f>+VLOOKUP($A1798,MAGAZZINO!$B$2:$M$4838,2,FALSE)</f>
        <v/>
      </c>
      <c r="C1798" s="32">
        <f>+VLOOKUP($A1798,MAGAZZINO!$B$2:$M$4838,3,FALSE)</f>
        <v/>
      </c>
      <c r="D1798" s="17">
        <f>+VLOOKUP($A1798,MAGAZZINO!$B$2:$M$4838,4,FALSE)</f>
        <v/>
      </c>
      <c r="E1798" s="17">
        <f>+VLOOKUP($A1798,MAGAZZINO!$B$2:$M$4838,5,FALSE)</f>
        <v/>
      </c>
      <c r="F1798" s="17">
        <f>+VLOOKUP($A1798,MAGAZZINO!$B$2:$M$4838,6,FALSE)</f>
        <v/>
      </c>
      <c r="G1798" s="17">
        <f>+VLOOKUP($A1798,MAGAZZINO!$B$2:$M$4838,7,FALSE)</f>
        <v/>
      </c>
      <c r="H1798" s="17">
        <f>+VLOOKUP($A1798,MAGAZZINO!$B$2:$M$4838,8,FALSE)</f>
        <v/>
      </c>
      <c r="I1798" s="17">
        <f>+VLOOKUP($A1798,MAGAZZINO!$B$2:$M$4838,9,FALSE)</f>
        <v/>
      </c>
      <c r="J1798" s="17">
        <f>+VLOOKUP($A1798,MAGAZZINO!$B$2:$M$4838,10,FALSE)</f>
        <v/>
      </c>
      <c r="K1798" s="17">
        <f>+VLOOKUP($A1798,MAGAZZINO!$B$2:$M$4838,11,FALSE)</f>
        <v/>
      </c>
      <c r="L1798" s="44">
        <f>+VLOOKUP($A1798,MAGAZZINO!$B$2:$M$4838,12,FALSE)</f>
        <v/>
      </c>
    </row>
    <row r="1799" ht="36" customHeight="1">
      <c r="A1799" s="30">
        <f>+REGISTRO!A1782</f>
        <v/>
      </c>
      <c r="B1799" s="31">
        <f>+VLOOKUP($A1799,MAGAZZINO!$B$2:$M$4838,2,FALSE)</f>
        <v/>
      </c>
      <c r="C1799" s="32">
        <f>+VLOOKUP($A1799,MAGAZZINO!$B$2:$M$4838,3,FALSE)</f>
        <v/>
      </c>
      <c r="D1799" s="17">
        <f>+VLOOKUP($A1799,MAGAZZINO!$B$2:$M$4838,4,FALSE)</f>
        <v/>
      </c>
      <c r="E1799" s="17">
        <f>+VLOOKUP($A1799,MAGAZZINO!$B$2:$M$4838,5,FALSE)</f>
        <v/>
      </c>
      <c r="F1799" s="17">
        <f>+VLOOKUP($A1799,MAGAZZINO!$B$2:$M$4838,6,FALSE)</f>
        <v/>
      </c>
      <c r="G1799" s="17">
        <f>+VLOOKUP($A1799,MAGAZZINO!$B$2:$M$4838,7,FALSE)</f>
        <v/>
      </c>
      <c r="H1799" s="17">
        <f>+VLOOKUP($A1799,MAGAZZINO!$B$2:$M$4838,8,FALSE)</f>
        <v/>
      </c>
      <c r="I1799" s="17">
        <f>+VLOOKUP($A1799,MAGAZZINO!$B$2:$M$4838,9,FALSE)</f>
        <v/>
      </c>
      <c r="J1799" s="17">
        <f>+VLOOKUP($A1799,MAGAZZINO!$B$2:$M$4838,10,FALSE)</f>
        <v/>
      </c>
      <c r="K1799" s="17">
        <f>+VLOOKUP($A1799,MAGAZZINO!$B$2:$M$4838,11,FALSE)</f>
        <v/>
      </c>
      <c r="L1799" s="44">
        <f>+VLOOKUP($A1799,MAGAZZINO!$B$2:$M$4838,12,FALSE)</f>
        <v/>
      </c>
    </row>
    <row r="1800" ht="36" customHeight="1">
      <c r="A1800" s="30">
        <f>+REGISTRO!A1783</f>
        <v/>
      </c>
      <c r="B1800" s="31">
        <f>+VLOOKUP($A1800,MAGAZZINO!$B$2:$M$4838,2,FALSE)</f>
        <v/>
      </c>
      <c r="C1800" s="32">
        <f>+VLOOKUP($A1800,MAGAZZINO!$B$2:$M$4838,3,FALSE)</f>
        <v/>
      </c>
      <c r="D1800" s="17">
        <f>+VLOOKUP($A1800,MAGAZZINO!$B$2:$M$4838,4,FALSE)</f>
        <v/>
      </c>
      <c r="E1800" s="17">
        <f>+VLOOKUP($A1800,MAGAZZINO!$B$2:$M$4838,5,FALSE)</f>
        <v/>
      </c>
      <c r="F1800" s="17">
        <f>+VLOOKUP($A1800,MAGAZZINO!$B$2:$M$4838,6,FALSE)</f>
        <v/>
      </c>
      <c r="G1800" s="17">
        <f>+VLOOKUP($A1800,MAGAZZINO!$B$2:$M$4838,7,FALSE)</f>
        <v/>
      </c>
      <c r="H1800" s="17">
        <f>+VLOOKUP($A1800,MAGAZZINO!$B$2:$M$4838,8,FALSE)</f>
        <v/>
      </c>
      <c r="I1800" s="17">
        <f>+VLOOKUP($A1800,MAGAZZINO!$B$2:$M$4838,9,FALSE)</f>
        <v/>
      </c>
      <c r="J1800" s="17">
        <f>+VLOOKUP($A1800,MAGAZZINO!$B$2:$M$4838,10,FALSE)</f>
        <v/>
      </c>
      <c r="K1800" s="17">
        <f>+VLOOKUP($A1800,MAGAZZINO!$B$2:$M$4838,11,FALSE)</f>
        <v/>
      </c>
      <c r="L1800" s="44">
        <f>+VLOOKUP($A1800,MAGAZZINO!$B$2:$M$4838,12,FALSE)</f>
        <v/>
      </c>
    </row>
    <row r="1801" ht="36" customHeight="1">
      <c r="A1801" s="30">
        <f>+REGISTRO!A1784</f>
        <v/>
      </c>
      <c r="B1801" s="31">
        <f>+VLOOKUP($A1801,MAGAZZINO!$B$2:$M$4838,2,FALSE)</f>
        <v/>
      </c>
      <c r="C1801" s="32">
        <f>+VLOOKUP($A1801,MAGAZZINO!$B$2:$M$4838,3,FALSE)</f>
        <v/>
      </c>
      <c r="D1801" s="17">
        <f>+VLOOKUP($A1801,MAGAZZINO!$B$2:$M$4838,4,FALSE)</f>
        <v/>
      </c>
      <c r="E1801" s="17">
        <f>+VLOOKUP($A1801,MAGAZZINO!$B$2:$M$4838,5,FALSE)</f>
        <v/>
      </c>
      <c r="F1801" s="17">
        <f>+VLOOKUP($A1801,MAGAZZINO!$B$2:$M$4838,6,FALSE)</f>
        <v/>
      </c>
      <c r="G1801" s="17">
        <f>+VLOOKUP($A1801,MAGAZZINO!$B$2:$M$4838,7,FALSE)</f>
        <v/>
      </c>
      <c r="H1801" s="17">
        <f>+VLOOKUP($A1801,MAGAZZINO!$B$2:$M$4838,8,FALSE)</f>
        <v/>
      </c>
      <c r="I1801" s="17">
        <f>+VLOOKUP($A1801,MAGAZZINO!$B$2:$M$4838,9,FALSE)</f>
        <v/>
      </c>
      <c r="J1801" s="17">
        <f>+VLOOKUP($A1801,MAGAZZINO!$B$2:$M$4838,10,FALSE)</f>
        <v/>
      </c>
      <c r="K1801" s="17">
        <f>+VLOOKUP($A1801,MAGAZZINO!$B$2:$M$4838,11,FALSE)</f>
        <v/>
      </c>
      <c r="L1801" s="44">
        <f>+VLOOKUP($A1801,MAGAZZINO!$B$2:$M$4838,12,FALSE)</f>
        <v/>
      </c>
    </row>
    <row r="1802" ht="36" customHeight="1">
      <c r="A1802" s="30">
        <f>+REGISTRO!A1785</f>
        <v/>
      </c>
      <c r="B1802" s="31">
        <f>+VLOOKUP($A1802,MAGAZZINO!$B$2:$M$4838,2,FALSE)</f>
        <v/>
      </c>
      <c r="C1802" s="32">
        <f>+VLOOKUP($A1802,MAGAZZINO!$B$2:$M$4838,3,FALSE)</f>
        <v/>
      </c>
      <c r="D1802" s="17">
        <f>+VLOOKUP($A1802,MAGAZZINO!$B$2:$M$4838,4,FALSE)</f>
        <v/>
      </c>
      <c r="E1802" s="17">
        <f>+VLOOKUP($A1802,MAGAZZINO!$B$2:$M$4838,5,FALSE)</f>
        <v/>
      </c>
      <c r="F1802" s="17">
        <f>+VLOOKUP($A1802,MAGAZZINO!$B$2:$M$4838,6,FALSE)</f>
        <v/>
      </c>
      <c r="G1802" s="17">
        <f>+VLOOKUP($A1802,MAGAZZINO!$B$2:$M$4838,7,FALSE)</f>
        <v/>
      </c>
      <c r="H1802" s="17">
        <f>+VLOOKUP($A1802,MAGAZZINO!$B$2:$M$4838,8,FALSE)</f>
        <v/>
      </c>
      <c r="I1802" s="17">
        <f>+VLOOKUP($A1802,MAGAZZINO!$B$2:$M$4838,9,FALSE)</f>
        <v/>
      </c>
      <c r="J1802" s="17">
        <f>+VLOOKUP($A1802,MAGAZZINO!$B$2:$M$4838,10,FALSE)</f>
        <v/>
      </c>
      <c r="K1802" s="17">
        <f>+VLOOKUP($A1802,MAGAZZINO!$B$2:$M$4838,11,FALSE)</f>
        <v/>
      </c>
      <c r="L1802" s="44">
        <f>+VLOOKUP($A1802,MAGAZZINO!$B$2:$M$4838,12,FALSE)</f>
        <v/>
      </c>
    </row>
    <row r="1803" ht="36" customHeight="1">
      <c r="A1803" s="30">
        <f>+REGISTRO!A1786</f>
        <v/>
      </c>
      <c r="B1803" s="31">
        <f>+VLOOKUP($A1803,MAGAZZINO!$B$2:$M$4838,2,FALSE)</f>
        <v/>
      </c>
      <c r="C1803" s="32">
        <f>+VLOOKUP($A1803,MAGAZZINO!$B$2:$M$4838,3,FALSE)</f>
        <v/>
      </c>
      <c r="D1803" s="17">
        <f>+VLOOKUP($A1803,MAGAZZINO!$B$2:$M$4838,4,FALSE)</f>
        <v/>
      </c>
      <c r="E1803" s="17">
        <f>+VLOOKUP($A1803,MAGAZZINO!$B$2:$M$4838,5,FALSE)</f>
        <v/>
      </c>
      <c r="F1803" s="17">
        <f>+VLOOKUP($A1803,MAGAZZINO!$B$2:$M$4838,6,FALSE)</f>
        <v/>
      </c>
      <c r="G1803" s="17">
        <f>+VLOOKUP($A1803,MAGAZZINO!$B$2:$M$4838,7,FALSE)</f>
        <v/>
      </c>
      <c r="H1803" s="17">
        <f>+VLOOKUP($A1803,MAGAZZINO!$B$2:$M$4838,8,FALSE)</f>
        <v/>
      </c>
      <c r="I1803" s="17">
        <f>+VLOOKUP($A1803,MAGAZZINO!$B$2:$M$4838,9,FALSE)</f>
        <v/>
      </c>
      <c r="J1803" s="17">
        <f>+VLOOKUP($A1803,MAGAZZINO!$B$2:$M$4838,10,FALSE)</f>
        <v/>
      </c>
      <c r="K1803" s="17">
        <f>+VLOOKUP($A1803,MAGAZZINO!$B$2:$M$4838,11,FALSE)</f>
        <v/>
      </c>
      <c r="L1803" s="44">
        <f>+VLOOKUP($A1803,MAGAZZINO!$B$2:$M$4838,12,FALSE)</f>
        <v/>
      </c>
    </row>
    <row r="1804" ht="36" customHeight="1">
      <c r="A1804" s="30">
        <f>+REGISTRO!A1787</f>
        <v/>
      </c>
      <c r="B1804" s="31">
        <f>+VLOOKUP($A1804,MAGAZZINO!$B$2:$M$4838,2,FALSE)</f>
        <v/>
      </c>
      <c r="C1804" s="32">
        <f>+VLOOKUP($A1804,MAGAZZINO!$B$2:$M$4838,3,FALSE)</f>
        <v/>
      </c>
      <c r="D1804" s="17">
        <f>+VLOOKUP($A1804,MAGAZZINO!$B$2:$M$4838,4,FALSE)</f>
        <v/>
      </c>
      <c r="E1804" s="17">
        <f>+VLOOKUP($A1804,MAGAZZINO!$B$2:$M$4838,5,FALSE)</f>
        <v/>
      </c>
      <c r="F1804" s="17">
        <f>+VLOOKUP($A1804,MAGAZZINO!$B$2:$M$4838,6,FALSE)</f>
        <v/>
      </c>
      <c r="G1804" s="17">
        <f>+VLOOKUP($A1804,MAGAZZINO!$B$2:$M$4838,7,FALSE)</f>
        <v/>
      </c>
      <c r="H1804" s="17">
        <f>+VLOOKUP($A1804,MAGAZZINO!$B$2:$M$4838,8,FALSE)</f>
        <v/>
      </c>
      <c r="I1804" s="17">
        <f>+VLOOKUP($A1804,MAGAZZINO!$B$2:$M$4838,9,FALSE)</f>
        <v/>
      </c>
      <c r="J1804" s="17">
        <f>+VLOOKUP($A1804,MAGAZZINO!$B$2:$M$4838,10,FALSE)</f>
        <v/>
      </c>
      <c r="K1804" s="17">
        <f>+VLOOKUP($A1804,MAGAZZINO!$B$2:$M$4838,11,FALSE)</f>
        <v/>
      </c>
      <c r="L1804" s="44">
        <f>+VLOOKUP($A1804,MAGAZZINO!$B$2:$M$4838,12,FALSE)</f>
        <v/>
      </c>
    </row>
    <row r="1805" ht="36" customHeight="1">
      <c r="A1805" s="30">
        <f>+REGISTRO!A1788</f>
        <v/>
      </c>
      <c r="B1805" s="31">
        <f>+VLOOKUP($A1805,MAGAZZINO!$B$2:$M$4838,2,FALSE)</f>
        <v/>
      </c>
      <c r="C1805" s="32">
        <f>+VLOOKUP($A1805,MAGAZZINO!$B$2:$M$4838,3,FALSE)</f>
        <v/>
      </c>
      <c r="D1805" s="17">
        <f>+VLOOKUP($A1805,MAGAZZINO!$B$2:$M$4838,4,FALSE)</f>
        <v/>
      </c>
      <c r="E1805" s="17">
        <f>+VLOOKUP($A1805,MAGAZZINO!$B$2:$M$4838,5,FALSE)</f>
        <v/>
      </c>
      <c r="F1805" s="17">
        <f>+VLOOKUP($A1805,MAGAZZINO!$B$2:$M$4838,6,FALSE)</f>
        <v/>
      </c>
      <c r="G1805" s="17">
        <f>+VLOOKUP($A1805,MAGAZZINO!$B$2:$M$4838,7,FALSE)</f>
        <v/>
      </c>
      <c r="H1805" s="17">
        <f>+VLOOKUP($A1805,MAGAZZINO!$B$2:$M$4838,8,FALSE)</f>
        <v/>
      </c>
      <c r="I1805" s="17">
        <f>+VLOOKUP($A1805,MAGAZZINO!$B$2:$M$4838,9,FALSE)</f>
        <v/>
      </c>
      <c r="J1805" s="17">
        <f>+VLOOKUP($A1805,MAGAZZINO!$B$2:$M$4838,10,FALSE)</f>
        <v/>
      </c>
      <c r="K1805" s="17">
        <f>+VLOOKUP($A1805,MAGAZZINO!$B$2:$M$4838,11,FALSE)</f>
        <v/>
      </c>
      <c r="L1805" s="44">
        <f>+VLOOKUP($A1805,MAGAZZINO!$B$2:$M$4838,12,FALSE)</f>
        <v/>
      </c>
    </row>
    <row r="1806" ht="36" customHeight="1">
      <c r="A1806" s="30">
        <f>+REGISTRO!A1789</f>
        <v/>
      </c>
      <c r="B1806" s="31">
        <f>+VLOOKUP($A1806,MAGAZZINO!$B$2:$M$4838,2,FALSE)</f>
        <v/>
      </c>
      <c r="C1806" s="32">
        <f>+VLOOKUP($A1806,MAGAZZINO!$B$2:$M$4838,3,FALSE)</f>
        <v/>
      </c>
      <c r="D1806" s="17">
        <f>+VLOOKUP($A1806,MAGAZZINO!$B$2:$M$4838,4,FALSE)</f>
        <v/>
      </c>
      <c r="E1806" s="17">
        <f>+VLOOKUP($A1806,MAGAZZINO!$B$2:$M$4838,5,FALSE)</f>
        <v/>
      </c>
      <c r="F1806" s="17">
        <f>+VLOOKUP($A1806,MAGAZZINO!$B$2:$M$4838,6,FALSE)</f>
        <v/>
      </c>
      <c r="G1806" s="17">
        <f>+VLOOKUP($A1806,MAGAZZINO!$B$2:$M$4838,7,FALSE)</f>
        <v/>
      </c>
      <c r="H1806" s="17">
        <f>+VLOOKUP($A1806,MAGAZZINO!$B$2:$M$4838,8,FALSE)</f>
        <v/>
      </c>
      <c r="I1806" s="17">
        <f>+VLOOKUP($A1806,MAGAZZINO!$B$2:$M$4838,9,FALSE)</f>
        <v/>
      </c>
      <c r="J1806" s="17">
        <f>+VLOOKUP($A1806,MAGAZZINO!$B$2:$M$4838,10,FALSE)</f>
        <v/>
      </c>
      <c r="K1806" s="17">
        <f>+VLOOKUP($A1806,MAGAZZINO!$B$2:$M$4838,11,FALSE)</f>
        <v/>
      </c>
      <c r="L1806" s="44">
        <f>+VLOOKUP($A1806,MAGAZZINO!$B$2:$M$4838,12,FALSE)</f>
        <v/>
      </c>
    </row>
    <row r="1807" ht="36" customHeight="1">
      <c r="A1807" s="30">
        <f>+REGISTRO!A1790</f>
        <v/>
      </c>
      <c r="B1807" s="31">
        <f>+VLOOKUP($A1807,MAGAZZINO!$B$2:$M$4838,2,FALSE)</f>
        <v/>
      </c>
      <c r="C1807" s="32">
        <f>+VLOOKUP($A1807,MAGAZZINO!$B$2:$M$4838,3,FALSE)</f>
        <v/>
      </c>
      <c r="D1807" s="17">
        <f>+VLOOKUP($A1807,MAGAZZINO!$B$2:$M$4838,4,FALSE)</f>
        <v/>
      </c>
      <c r="E1807" s="17">
        <f>+VLOOKUP($A1807,MAGAZZINO!$B$2:$M$4838,5,FALSE)</f>
        <v/>
      </c>
      <c r="F1807" s="17">
        <f>+VLOOKUP($A1807,MAGAZZINO!$B$2:$M$4838,6,FALSE)</f>
        <v/>
      </c>
      <c r="G1807" s="17">
        <f>+VLOOKUP($A1807,MAGAZZINO!$B$2:$M$4838,7,FALSE)</f>
        <v/>
      </c>
      <c r="H1807" s="17">
        <f>+VLOOKUP($A1807,MAGAZZINO!$B$2:$M$4838,8,FALSE)</f>
        <v/>
      </c>
      <c r="I1807" s="17">
        <f>+VLOOKUP($A1807,MAGAZZINO!$B$2:$M$4838,9,FALSE)</f>
        <v/>
      </c>
      <c r="J1807" s="17">
        <f>+VLOOKUP($A1807,MAGAZZINO!$B$2:$M$4838,10,FALSE)</f>
        <v/>
      </c>
      <c r="K1807" s="17">
        <f>+VLOOKUP($A1807,MAGAZZINO!$B$2:$M$4838,11,FALSE)</f>
        <v/>
      </c>
      <c r="L1807" s="44">
        <f>+VLOOKUP($A1807,MAGAZZINO!$B$2:$M$4838,12,FALSE)</f>
        <v/>
      </c>
    </row>
    <row r="1808" ht="36" customHeight="1">
      <c r="A1808" s="30">
        <f>+REGISTRO!A1791</f>
        <v/>
      </c>
      <c r="B1808" s="31">
        <f>+VLOOKUP($A1808,MAGAZZINO!$B$2:$M$4838,2,FALSE)</f>
        <v/>
      </c>
      <c r="C1808" s="32">
        <f>+VLOOKUP($A1808,MAGAZZINO!$B$2:$M$4838,3,FALSE)</f>
        <v/>
      </c>
      <c r="D1808" s="17">
        <f>+VLOOKUP($A1808,MAGAZZINO!$B$2:$M$4838,4,FALSE)</f>
        <v/>
      </c>
      <c r="E1808" s="17">
        <f>+VLOOKUP($A1808,MAGAZZINO!$B$2:$M$4838,5,FALSE)</f>
        <v/>
      </c>
      <c r="F1808" s="17">
        <f>+VLOOKUP($A1808,MAGAZZINO!$B$2:$M$4838,6,FALSE)</f>
        <v/>
      </c>
      <c r="G1808" s="17">
        <f>+VLOOKUP($A1808,MAGAZZINO!$B$2:$M$4838,7,FALSE)</f>
        <v/>
      </c>
      <c r="H1808" s="17">
        <f>+VLOOKUP($A1808,MAGAZZINO!$B$2:$M$4838,8,FALSE)</f>
        <v/>
      </c>
      <c r="I1808" s="17">
        <f>+VLOOKUP($A1808,MAGAZZINO!$B$2:$M$4838,9,FALSE)</f>
        <v/>
      </c>
      <c r="J1808" s="17">
        <f>+VLOOKUP($A1808,MAGAZZINO!$B$2:$M$4838,10,FALSE)</f>
        <v/>
      </c>
      <c r="K1808" s="17">
        <f>+VLOOKUP($A1808,MAGAZZINO!$B$2:$M$4838,11,FALSE)</f>
        <v/>
      </c>
      <c r="L1808" s="44">
        <f>+VLOOKUP($A1808,MAGAZZINO!$B$2:$M$4838,12,FALSE)</f>
        <v/>
      </c>
    </row>
    <row r="1809" ht="36" customHeight="1">
      <c r="A1809" s="30">
        <f>+REGISTRO!A1792</f>
        <v/>
      </c>
      <c r="B1809" s="31">
        <f>+VLOOKUP($A1809,MAGAZZINO!$B$2:$M$4838,2,FALSE)</f>
        <v/>
      </c>
      <c r="C1809" s="32">
        <f>+VLOOKUP($A1809,MAGAZZINO!$B$2:$M$4838,3,FALSE)</f>
        <v/>
      </c>
      <c r="D1809" s="17">
        <f>+VLOOKUP($A1809,MAGAZZINO!$B$2:$M$4838,4,FALSE)</f>
        <v/>
      </c>
      <c r="E1809" s="17">
        <f>+VLOOKUP($A1809,MAGAZZINO!$B$2:$M$4838,5,FALSE)</f>
        <v/>
      </c>
      <c r="F1809" s="17">
        <f>+VLOOKUP($A1809,MAGAZZINO!$B$2:$M$4838,6,FALSE)</f>
        <v/>
      </c>
      <c r="G1809" s="17">
        <f>+VLOOKUP($A1809,MAGAZZINO!$B$2:$M$4838,7,FALSE)</f>
        <v/>
      </c>
      <c r="H1809" s="17">
        <f>+VLOOKUP($A1809,MAGAZZINO!$B$2:$M$4838,8,FALSE)</f>
        <v/>
      </c>
      <c r="I1809" s="17">
        <f>+VLOOKUP($A1809,MAGAZZINO!$B$2:$M$4838,9,FALSE)</f>
        <v/>
      </c>
      <c r="J1809" s="17">
        <f>+VLOOKUP($A1809,MAGAZZINO!$B$2:$M$4838,10,FALSE)</f>
        <v/>
      </c>
      <c r="K1809" s="17">
        <f>+VLOOKUP($A1809,MAGAZZINO!$B$2:$M$4838,11,FALSE)</f>
        <v/>
      </c>
      <c r="L1809" s="44">
        <f>+VLOOKUP($A1809,MAGAZZINO!$B$2:$M$4838,12,FALSE)</f>
        <v/>
      </c>
    </row>
    <row r="1810" ht="36" customHeight="1">
      <c r="A1810" s="30">
        <f>+REGISTRO!A1793</f>
        <v/>
      </c>
      <c r="B1810" s="31">
        <f>+VLOOKUP($A1810,MAGAZZINO!$B$2:$M$4838,2,FALSE)</f>
        <v/>
      </c>
      <c r="C1810" s="32">
        <f>+VLOOKUP($A1810,MAGAZZINO!$B$2:$M$4838,3,FALSE)</f>
        <v/>
      </c>
      <c r="D1810" s="17">
        <f>+VLOOKUP($A1810,MAGAZZINO!$B$2:$M$4838,4,FALSE)</f>
        <v/>
      </c>
      <c r="E1810" s="17">
        <f>+VLOOKUP($A1810,MAGAZZINO!$B$2:$M$4838,5,FALSE)</f>
        <v/>
      </c>
      <c r="F1810" s="17">
        <f>+VLOOKUP($A1810,MAGAZZINO!$B$2:$M$4838,6,FALSE)</f>
        <v/>
      </c>
      <c r="G1810" s="17">
        <f>+VLOOKUP($A1810,MAGAZZINO!$B$2:$M$4838,7,FALSE)</f>
        <v/>
      </c>
      <c r="H1810" s="17">
        <f>+VLOOKUP($A1810,MAGAZZINO!$B$2:$M$4838,8,FALSE)</f>
        <v/>
      </c>
      <c r="I1810" s="17">
        <f>+VLOOKUP($A1810,MAGAZZINO!$B$2:$M$4838,9,FALSE)</f>
        <v/>
      </c>
      <c r="J1810" s="17">
        <f>+VLOOKUP($A1810,MAGAZZINO!$B$2:$M$4838,10,FALSE)</f>
        <v/>
      </c>
      <c r="K1810" s="17">
        <f>+VLOOKUP($A1810,MAGAZZINO!$B$2:$M$4838,11,FALSE)</f>
        <v/>
      </c>
      <c r="L1810" s="44">
        <f>+VLOOKUP($A1810,MAGAZZINO!$B$2:$M$4838,12,FALSE)</f>
        <v/>
      </c>
    </row>
    <row r="1811" ht="36" customHeight="1">
      <c r="A1811" s="30">
        <f>+REGISTRO!A1794</f>
        <v/>
      </c>
      <c r="B1811" s="31">
        <f>+VLOOKUP($A1811,MAGAZZINO!$B$2:$M$4838,2,FALSE)</f>
        <v/>
      </c>
      <c r="C1811" s="32">
        <f>+VLOOKUP($A1811,MAGAZZINO!$B$2:$M$4838,3,FALSE)</f>
        <v/>
      </c>
      <c r="D1811" s="17">
        <f>+VLOOKUP($A1811,MAGAZZINO!$B$2:$M$4838,4,FALSE)</f>
        <v/>
      </c>
      <c r="E1811" s="17">
        <f>+VLOOKUP($A1811,MAGAZZINO!$B$2:$M$4838,5,FALSE)</f>
        <v/>
      </c>
      <c r="F1811" s="17">
        <f>+VLOOKUP($A1811,MAGAZZINO!$B$2:$M$4838,6,FALSE)</f>
        <v/>
      </c>
      <c r="G1811" s="17">
        <f>+VLOOKUP($A1811,MAGAZZINO!$B$2:$M$4838,7,FALSE)</f>
        <v/>
      </c>
      <c r="H1811" s="17">
        <f>+VLOOKUP($A1811,MAGAZZINO!$B$2:$M$4838,8,FALSE)</f>
        <v/>
      </c>
      <c r="I1811" s="17">
        <f>+VLOOKUP($A1811,MAGAZZINO!$B$2:$M$4838,9,FALSE)</f>
        <v/>
      </c>
      <c r="J1811" s="17">
        <f>+VLOOKUP($A1811,MAGAZZINO!$B$2:$M$4838,10,FALSE)</f>
        <v/>
      </c>
      <c r="K1811" s="17">
        <f>+VLOOKUP($A1811,MAGAZZINO!$B$2:$M$4838,11,FALSE)</f>
        <v/>
      </c>
      <c r="L1811" s="44">
        <f>+VLOOKUP($A1811,MAGAZZINO!$B$2:$M$4838,12,FALSE)</f>
        <v/>
      </c>
    </row>
    <row r="1812" ht="36" customHeight="1">
      <c r="A1812" s="30">
        <f>+REGISTRO!A1795</f>
        <v/>
      </c>
      <c r="B1812" s="31">
        <f>+VLOOKUP($A1812,MAGAZZINO!$B$2:$M$4838,2,FALSE)</f>
        <v/>
      </c>
      <c r="C1812" s="32">
        <f>+VLOOKUP($A1812,MAGAZZINO!$B$2:$M$4838,3,FALSE)</f>
        <v/>
      </c>
      <c r="D1812" s="17">
        <f>+VLOOKUP($A1812,MAGAZZINO!$B$2:$M$4838,4,FALSE)</f>
        <v/>
      </c>
      <c r="E1812" s="17">
        <f>+VLOOKUP($A1812,MAGAZZINO!$B$2:$M$4838,5,FALSE)</f>
        <v/>
      </c>
      <c r="F1812" s="17">
        <f>+VLOOKUP($A1812,MAGAZZINO!$B$2:$M$4838,6,FALSE)</f>
        <v/>
      </c>
      <c r="G1812" s="17">
        <f>+VLOOKUP($A1812,MAGAZZINO!$B$2:$M$4838,7,FALSE)</f>
        <v/>
      </c>
      <c r="H1812" s="17">
        <f>+VLOOKUP($A1812,MAGAZZINO!$B$2:$M$4838,8,FALSE)</f>
        <v/>
      </c>
      <c r="I1812" s="17">
        <f>+VLOOKUP($A1812,MAGAZZINO!$B$2:$M$4838,9,FALSE)</f>
        <v/>
      </c>
      <c r="J1812" s="17">
        <f>+VLOOKUP($A1812,MAGAZZINO!$B$2:$M$4838,10,FALSE)</f>
        <v/>
      </c>
      <c r="K1812" s="17">
        <f>+VLOOKUP($A1812,MAGAZZINO!$B$2:$M$4838,11,FALSE)</f>
        <v/>
      </c>
      <c r="L1812" s="44">
        <f>+VLOOKUP($A1812,MAGAZZINO!$B$2:$M$4838,12,FALSE)</f>
        <v/>
      </c>
    </row>
    <row r="1813" ht="36" customHeight="1">
      <c r="A1813" s="30">
        <f>+REGISTRO!A1796</f>
        <v/>
      </c>
      <c r="B1813" s="31">
        <f>+VLOOKUP($A1813,MAGAZZINO!$B$2:$M$4838,2,FALSE)</f>
        <v/>
      </c>
      <c r="C1813" s="32">
        <f>+VLOOKUP($A1813,MAGAZZINO!$B$2:$M$4838,3,FALSE)</f>
        <v/>
      </c>
      <c r="D1813" s="17">
        <f>+VLOOKUP($A1813,MAGAZZINO!$B$2:$M$4838,4,FALSE)</f>
        <v/>
      </c>
      <c r="E1813" s="17">
        <f>+VLOOKUP($A1813,MAGAZZINO!$B$2:$M$4838,5,FALSE)</f>
        <v/>
      </c>
      <c r="F1813" s="17">
        <f>+VLOOKUP($A1813,MAGAZZINO!$B$2:$M$4838,6,FALSE)</f>
        <v/>
      </c>
      <c r="G1813" s="17">
        <f>+VLOOKUP($A1813,MAGAZZINO!$B$2:$M$4838,7,FALSE)</f>
        <v/>
      </c>
      <c r="H1813" s="17">
        <f>+VLOOKUP($A1813,MAGAZZINO!$B$2:$M$4838,8,FALSE)</f>
        <v/>
      </c>
      <c r="I1813" s="17">
        <f>+VLOOKUP($A1813,MAGAZZINO!$B$2:$M$4838,9,FALSE)</f>
        <v/>
      </c>
      <c r="J1813" s="17">
        <f>+VLOOKUP($A1813,MAGAZZINO!$B$2:$M$4838,10,FALSE)</f>
        <v/>
      </c>
      <c r="K1813" s="17">
        <f>+VLOOKUP($A1813,MAGAZZINO!$B$2:$M$4838,11,FALSE)</f>
        <v/>
      </c>
      <c r="L1813" s="44">
        <f>+VLOOKUP($A1813,MAGAZZINO!$B$2:$M$4838,12,FALSE)</f>
        <v/>
      </c>
    </row>
    <row r="1814" ht="36" customHeight="1">
      <c r="A1814" s="30">
        <f>+REGISTRO!A1797</f>
        <v/>
      </c>
      <c r="B1814" s="31">
        <f>+VLOOKUP($A1814,MAGAZZINO!$B$2:$M$4838,2,FALSE)</f>
        <v/>
      </c>
      <c r="C1814" s="32">
        <f>+VLOOKUP($A1814,MAGAZZINO!$B$2:$M$4838,3,FALSE)</f>
        <v/>
      </c>
      <c r="D1814" s="17">
        <f>+VLOOKUP($A1814,MAGAZZINO!$B$2:$M$4838,4,FALSE)</f>
        <v/>
      </c>
      <c r="E1814" s="17">
        <f>+VLOOKUP($A1814,MAGAZZINO!$B$2:$M$4838,5,FALSE)</f>
        <v/>
      </c>
      <c r="F1814" s="17">
        <f>+VLOOKUP($A1814,MAGAZZINO!$B$2:$M$4838,6,FALSE)</f>
        <v/>
      </c>
      <c r="G1814" s="17">
        <f>+VLOOKUP($A1814,MAGAZZINO!$B$2:$M$4838,7,FALSE)</f>
        <v/>
      </c>
      <c r="H1814" s="17">
        <f>+VLOOKUP($A1814,MAGAZZINO!$B$2:$M$4838,8,FALSE)</f>
        <v/>
      </c>
      <c r="I1814" s="17">
        <f>+VLOOKUP($A1814,MAGAZZINO!$B$2:$M$4838,9,FALSE)</f>
        <v/>
      </c>
      <c r="J1814" s="17">
        <f>+VLOOKUP($A1814,MAGAZZINO!$B$2:$M$4838,10,FALSE)</f>
        <v/>
      </c>
      <c r="K1814" s="17">
        <f>+VLOOKUP($A1814,MAGAZZINO!$B$2:$M$4838,11,FALSE)</f>
        <v/>
      </c>
      <c r="L1814" s="44">
        <f>+VLOOKUP($A1814,MAGAZZINO!$B$2:$M$4838,12,FALSE)</f>
        <v/>
      </c>
    </row>
    <row r="1815" ht="36" customHeight="1">
      <c r="A1815" s="30">
        <f>+REGISTRO!A1798</f>
        <v/>
      </c>
      <c r="B1815" s="31">
        <f>+VLOOKUP($A1815,MAGAZZINO!$B$2:$M$4838,2,FALSE)</f>
        <v/>
      </c>
      <c r="C1815" s="32">
        <f>+VLOOKUP($A1815,MAGAZZINO!$B$2:$M$4838,3,FALSE)</f>
        <v/>
      </c>
      <c r="D1815" s="17">
        <f>+VLOOKUP($A1815,MAGAZZINO!$B$2:$M$4838,4,FALSE)</f>
        <v/>
      </c>
      <c r="E1815" s="17">
        <f>+VLOOKUP($A1815,MAGAZZINO!$B$2:$M$4838,5,FALSE)</f>
        <v/>
      </c>
      <c r="F1815" s="17">
        <f>+VLOOKUP($A1815,MAGAZZINO!$B$2:$M$4838,6,FALSE)</f>
        <v/>
      </c>
      <c r="G1815" s="17">
        <f>+VLOOKUP($A1815,MAGAZZINO!$B$2:$M$4838,7,FALSE)</f>
        <v/>
      </c>
      <c r="H1815" s="17">
        <f>+VLOOKUP($A1815,MAGAZZINO!$B$2:$M$4838,8,FALSE)</f>
        <v/>
      </c>
      <c r="I1815" s="17">
        <f>+VLOOKUP($A1815,MAGAZZINO!$B$2:$M$4838,9,FALSE)</f>
        <v/>
      </c>
      <c r="J1815" s="17">
        <f>+VLOOKUP($A1815,MAGAZZINO!$B$2:$M$4838,10,FALSE)</f>
        <v/>
      </c>
      <c r="K1815" s="17">
        <f>+VLOOKUP($A1815,MAGAZZINO!$B$2:$M$4838,11,FALSE)</f>
        <v/>
      </c>
      <c r="L1815" s="44">
        <f>+VLOOKUP($A1815,MAGAZZINO!$B$2:$M$4838,12,FALSE)</f>
        <v/>
      </c>
    </row>
    <row r="1816" ht="36" customHeight="1">
      <c r="A1816" s="30">
        <f>+REGISTRO!A1799</f>
        <v/>
      </c>
      <c r="B1816" s="31">
        <f>+VLOOKUP($A1816,MAGAZZINO!$B$2:$M$4838,2,FALSE)</f>
        <v/>
      </c>
      <c r="C1816" s="32">
        <f>+VLOOKUP($A1816,MAGAZZINO!$B$2:$M$4838,3,FALSE)</f>
        <v/>
      </c>
      <c r="D1816" s="17">
        <f>+VLOOKUP($A1816,MAGAZZINO!$B$2:$M$4838,4,FALSE)</f>
        <v/>
      </c>
      <c r="E1816" s="17">
        <f>+VLOOKUP($A1816,MAGAZZINO!$B$2:$M$4838,5,FALSE)</f>
        <v/>
      </c>
      <c r="F1816" s="17">
        <f>+VLOOKUP($A1816,MAGAZZINO!$B$2:$M$4838,6,FALSE)</f>
        <v/>
      </c>
      <c r="G1816" s="17">
        <f>+VLOOKUP($A1816,MAGAZZINO!$B$2:$M$4838,7,FALSE)</f>
        <v/>
      </c>
      <c r="H1816" s="17">
        <f>+VLOOKUP($A1816,MAGAZZINO!$B$2:$M$4838,8,FALSE)</f>
        <v/>
      </c>
      <c r="I1816" s="17">
        <f>+VLOOKUP($A1816,MAGAZZINO!$B$2:$M$4838,9,FALSE)</f>
        <v/>
      </c>
      <c r="J1816" s="17">
        <f>+VLOOKUP($A1816,MAGAZZINO!$B$2:$M$4838,10,FALSE)</f>
        <v/>
      </c>
      <c r="K1816" s="17">
        <f>+VLOOKUP($A1816,MAGAZZINO!$B$2:$M$4838,11,FALSE)</f>
        <v/>
      </c>
      <c r="L1816" s="44">
        <f>+VLOOKUP($A1816,MAGAZZINO!$B$2:$M$4838,12,FALSE)</f>
        <v/>
      </c>
    </row>
    <row r="1817" ht="36" customHeight="1">
      <c r="A1817" s="30">
        <f>+REGISTRO!A1800</f>
        <v/>
      </c>
      <c r="B1817" s="31">
        <f>+VLOOKUP($A1817,MAGAZZINO!$B$2:$M$4838,2,FALSE)</f>
        <v/>
      </c>
      <c r="C1817" s="32">
        <f>+VLOOKUP($A1817,MAGAZZINO!$B$2:$M$4838,3,FALSE)</f>
        <v/>
      </c>
      <c r="D1817" s="17">
        <f>+VLOOKUP($A1817,MAGAZZINO!$B$2:$M$4838,4,FALSE)</f>
        <v/>
      </c>
      <c r="E1817" s="17">
        <f>+VLOOKUP($A1817,MAGAZZINO!$B$2:$M$4838,5,FALSE)</f>
        <v/>
      </c>
      <c r="F1817" s="17">
        <f>+VLOOKUP($A1817,MAGAZZINO!$B$2:$M$4838,6,FALSE)</f>
        <v/>
      </c>
      <c r="G1817" s="17">
        <f>+VLOOKUP($A1817,MAGAZZINO!$B$2:$M$4838,7,FALSE)</f>
        <v/>
      </c>
      <c r="H1817" s="17">
        <f>+VLOOKUP($A1817,MAGAZZINO!$B$2:$M$4838,8,FALSE)</f>
        <v/>
      </c>
      <c r="I1817" s="17">
        <f>+VLOOKUP($A1817,MAGAZZINO!$B$2:$M$4838,9,FALSE)</f>
        <v/>
      </c>
      <c r="J1817" s="17">
        <f>+VLOOKUP($A1817,MAGAZZINO!$B$2:$M$4838,10,FALSE)</f>
        <v/>
      </c>
      <c r="K1817" s="17">
        <f>+VLOOKUP($A1817,MAGAZZINO!$B$2:$M$4838,11,FALSE)</f>
        <v/>
      </c>
      <c r="L1817" s="44">
        <f>+VLOOKUP($A1817,MAGAZZINO!$B$2:$M$4838,12,FALSE)</f>
        <v/>
      </c>
    </row>
    <row r="1818" ht="36" customHeight="1">
      <c r="A1818" s="30">
        <f>+REGISTRO!A1801</f>
        <v/>
      </c>
      <c r="B1818" s="31">
        <f>+VLOOKUP($A1818,MAGAZZINO!$B$2:$M$4838,2,FALSE)</f>
        <v/>
      </c>
      <c r="C1818" s="32">
        <f>+VLOOKUP($A1818,MAGAZZINO!$B$2:$M$4838,3,FALSE)</f>
        <v/>
      </c>
      <c r="D1818" s="17">
        <f>+VLOOKUP($A1818,MAGAZZINO!$B$2:$M$4838,4,FALSE)</f>
        <v/>
      </c>
      <c r="E1818" s="17">
        <f>+VLOOKUP($A1818,MAGAZZINO!$B$2:$M$4838,5,FALSE)</f>
        <v/>
      </c>
      <c r="F1818" s="17">
        <f>+VLOOKUP($A1818,MAGAZZINO!$B$2:$M$4838,6,FALSE)</f>
        <v/>
      </c>
      <c r="G1818" s="17">
        <f>+VLOOKUP($A1818,MAGAZZINO!$B$2:$M$4838,7,FALSE)</f>
        <v/>
      </c>
      <c r="H1818" s="17">
        <f>+VLOOKUP($A1818,MAGAZZINO!$B$2:$M$4838,8,FALSE)</f>
        <v/>
      </c>
      <c r="I1818" s="17">
        <f>+VLOOKUP($A1818,MAGAZZINO!$B$2:$M$4838,9,FALSE)</f>
        <v/>
      </c>
      <c r="J1818" s="17">
        <f>+VLOOKUP($A1818,MAGAZZINO!$B$2:$M$4838,10,FALSE)</f>
        <v/>
      </c>
      <c r="K1818" s="17">
        <f>+VLOOKUP($A1818,MAGAZZINO!$B$2:$M$4838,11,FALSE)</f>
        <v/>
      </c>
      <c r="L1818" s="44">
        <f>+VLOOKUP($A1818,MAGAZZINO!$B$2:$M$4838,12,FALSE)</f>
        <v/>
      </c>
    </row>
    <row r="1819" ht="36" customHeight="1">
      <c r="A1819" s="30">
        <f>+REGISTRO!A1802</f>
        <v/>
      </c>
      <c r="B1819" s="31">
        <f>+VLOOKUP($A1819,MAGAZZINO!$B$2:$M$4838,2,FALSE)</f>
        <v/>
      </c>
      <c r="C1819" s="32">
        <f>+VLOOKUP($A1819,MAGAZZINO!$B$2:$M$4838,3,FALSE)</f>
        <v/>
      </c>
      <c r="D1819" s="17">
        <f>+VLOOKUP($A1819,MAGAZZINO!$B$2:$M$4838,4,FALSE)</f>
        <v/>
      </c>
      <c r="E1819" s="17">
        <f>+VLOOKUP($A1819,MAGAZZINO!$B$2:$M$4838,5,FALSE)</f>
        <v/>
      </c>
      <c r="F1819" s="17">
        <f>+VLOOKUP($A1819,MAGAZZINO!$B$2:$M$4838,6,FALSE)</f>
        <v/>
      </c>
      <c r="G1819" s="17">
        <f>+VLOOKUP($A1819,MAGAZZINO!$B$2:$M$4838,7,FALSE)</f>
        <v/>
      </c>
      <c r="H1819" s="17">
        <f>+VLOOKUP($A1819,MAGAZZINO!$B$2:$M$4838,8,FALSE)</f>
        <v/>
      </c>
      <c r="I1819" s="17">
        <f>+VLOOKUP($A1819,MAGAZZINO!$B$2:$M$4838,9,FALSE)</f>
        <v/>
      </c>
      <c r="J1819" s="17">
        <f>+VLOOKUP($A1819,MAGAZZINO!$B$2:$M$4838,10,FALSE)</f>
        <v/>
      </c>
      <c r="K1819" s="17">
        <f>+VLOOKUP($A1819,MAGAZZINO!$B$2:$M$4838,11,FALSE)</f>
        <v/>
      </c>
      <c r="L1819" s="44">
        <f>+VLOOKUP($A1819,MAGAZZINO!$B$2:$M$4838,12,FALSE)</f>
        <v/>
      </c>
    </row>
    <row r="1820" ht="36" customHeight="1">
      <c r="A1820" s="30">
        <f>+REGISTRO!A1803</f>
        <v/>
      </c>
      <c r="B1820" s="31">
        <f>+VLOOKUP($A1820,MAGAZZINO!$B$2:$M$4838,2,FALSE)</f>
        <v/>
      </c>
      <c r="C1820" s="32">
        <f>+VLOOKUP($A1820,MAGAZZINO!$B$2:$M$4838,3,FALSE)</f>
        <v/>
      </c>
      <c r="D1820" s="17">
        <f>+VLOOKUP($A1820,MAGAZZINO!$B$2:$M$4838,4,FALSE)</f>
        <v/>
      </c>
      <c r="E1820" s="17">
        <f>+VLOOKUP($A1820,MAGAZZINO!$B$2:$M$4838,5,FALSE)</f>
        <v/>
      </c>
      <c r="F1820" s="17">
        <f>+VLOOKUP($A1820,MAGAZZINO!$B$2:$M$4838,6,FALSE)</f>
        <v/>
      </c>
      <c r="G1820" s="17">
        <f>+VLOOKUP($A1820,MAGAZZINO!$B$2:$M$4838,7,FALSE)</f>
        <v/>
      </c>
      <c r="H1820" s="17">
        <f>+VLOOKUP($A1820,MAGAZZINO!$B$2:$M$4838,8,FALSE)</f>
        <v/>
      </c>
      <c r="I1820" s="17">
        <f>+VLOOKUP($A1820,MAGAZZINO!$B$2:$M$4838,9,FALSE)</f>
        <v/>
      </c>
      <c r="J1820" s="17">
        <f>+VLOOKUP($A1820,MAGAZZINO!$B$2:$M$4838,10,FALSE)</f>
        <v/>
      </c>
      <c r="K1820" s="17">
        <f>+VLOOKUP($A1820,MAGAZZINO!$B$2:$M$4838,11,FALSE)</f>
        <v/>
      </c>
      <c r="L1820" s="44">
        <f>+VLOOKUP($A1820,MAGAZZINO!$B$2:$M$4838,12,FALSE)</f>
        <v/>
      </c>
    </row>
    <row r="1821" ht="36" customHeight="1">
      <c r="A1821" s="30">
        <f>+REGISTRO!A1804</f>
        <v/>
      </c>
      <c r="B1821" s="31">
        <f>+VLOOKUP($A1821,MAGAZZINO!$B$2:$M$4838,2,FALSE)</f>
        <v/>
      </c>
      <c r="C1821" s="32">
        <f>+VLOOKUP($A1821,MAGAZZINO!$B$2:$M$4838,3,FALSE)</f>
        <v/>
      </c>
      <c r="D1821" s="17">
        <f>+VLOOKUP($A1821,MAGAZZINO!$B$2:$M$4838,4,FALSE)</f>
        <v/>
      </c>
      <c r="E1821" s="17">
        <f>+VLOOKUP($A1821,MAGAZZINO!$B$2:$M$4838,5,FALSE)</f>
        <v/>
      </c>
      <c r="F1821" s="17">
        <f>+VLOOKUP($A1821,MAGAZZINO!$B$2:$M$4838,6,FALSE)</f>
        <v/>
      </c>
      <c r="G1821" s="17">
        <f>+VLOOKUP($A1821,MAGAZZINO!$B$2:$M$4838,7,FALSE)</f>
        <v/>
      </c>
      <c r="H1821" s="17">
        <f>+VLOOKUP($A1821,MAGAZZINO!$B$2:$M$4838,8,FALSE)</f>
        <v/>
      </c>
      <c r="I1821" s="17">
        <f>+VLOOKUP($A1821,MAGAZZINO!$B$2:$M$4838,9,FALSE)</f>
        <v/>
      </c>
      <c r="J1821" s="17">
        <f>+VLOOKUP($A1821,MAGAZZINO!$B$2:$M$4838,10,FALSE)</f>
        <v/>
      </c>
      <c r="K1821" s="17">
        <f>+VLOOKUP($A1821,MAGAZZINO!$B$2:$M$4838,11,FALSE)</f>
        <v/>
      </c>
      <c r="L1821" s="44">
        <f>+VLOOKUP($A1821,MAGAZZINO!$B$2:$M$4838,12,FALSE)</f>
        <v/>
      </c>
    </row>
    <row r="1822" ht="36" customHeight="1">
      <c r="A1822" s="30">
        <f>+REGISTRO!A1805</f>
        <v/>
      </c>
      <c r="B1822" s="31">
        <f>+VLOOKUP($A1822,MAGAZZINO!$B$2:$M$4838,2,FALSE)</f>
        <v/>
      </c>
      <c r="C1822" s="32">
        <f>+VLOOKUP($A1822,MAGAZZINO!$B$2:$M$4838,3,FALSE)</f>
        <v/>
      </c>
      <c r="D1822" s="17">
        <f>+VLOOKUP($A1822,MAGAZZINO!$B$2:$M$4838,4,FALSE)</f>
        <v/>
      </c>
      <c r="E1822" s="17">
        <f>+VLOOKUP($A1822,MAGAZZINO!$B$2:$M$4838,5,FALSE)</f>
        <v/>
      </c>
      <c r="F1822" s="17">
        <f>+VLOOKUP($A1822,MAGAZZINO!$B$2:$M$4838,6,FALSE)</f>
        <v/>
      </c>
      <c r="G1822" s="17">
        <f>+VLOOKUP($A1822,MAGAZZINO!$B$2:$M$4838,7,FALSE)</f>
        <v/>
      </c>
      <c r="H1822" s="17">
        <f>+VLOOKUP($A1822,MAGAZZINO!$B$2:$M$4838,8,FALSE)</f>
        <v/>
      </c>
      <c r="I1822" s="17">
        <f>+VLOOKUP($A1822,MAGAZZINO!$B$2:$M$4838,9,FALSE)</f>
        <v/>
      </c>
      <c r="J1822" s="17">
        <f>+VLOOKUP($A1822,MAGAZZINO!$B$2:$M$4838,10,FALSE)</f>
        <v/>
      </c>
      <c r="K1822" s="17">
        <f>+VLOOKUP($A1822,MAGAZZINO!$B$2:$M$4838,11,FALSE)</f>
        <v/>
      </c>
      <c r="L1822" s="44">
        <f>+VLOOKUP($A1822,MAGAZZINO!$B$2:$M$4838,12,FALSE)</f>
        <v/>
      </c>
    </row>
    <row r="1823" ht="36" customHeight="1">
      <c r="A1823" s="30">
        <f>+REGISTRO!A1806</f>
        <v/>
      </c>
      <c r="B1823" s="31">
        <f>+VLOOKUP($A1823,MAGAZZINO!$B$2:$M$4838,2,FALSE)</f>
        <v/>
      </c>
      <c r="C1823" s="32">
        <f>+VLOOKUP($A1823,MAGAZZINO!$B$2:$M$4838,3,FALSE)</f>
        <v/>
      </c>
      <c r="D1823" s="17">
        <f>+VLOOKUP($A1823,MAGAZZINO!$B$2:$M$4838,4,FALSE)</f>
        <v/>
      </c>
      <c r="E1823" s="17">
        <f>+VLOOKUP($A1823,MAGAZZINO!$B$2:$M$4838,5,FALSE)</f>
        <v/>
      </c>
      <c r="F1823" s="17">
        <f>+VLOOKUP($A1823,MAGAZZINO!$B$2:$M$4838,6,FALSE)</f>
        <v/>
      </c>
      <c r="G1823" s="17">
        <f>+VLOOKUP($A1823,MAGAZZINO!$B$2:$M$4838,7,FALSE)</f>
        <v/>
      </c>
      <c r="H1823" s="17">
        <f>+VLOOKUP($A1823,MAGAZZINO!$B$2:$M$4838,8,FALSE)</f>
        <v/>
      </c>
      <c r="I1823" s="17">
        <f>+VLOOKUP($A1823,MAGAZZINO!$B$2:$M$4838,9,FALSE)</f>
        <v/>
      </c>
      <c r="J1823" s="17">
        <f>+VLOOKUP($A1823,MAGAZZINO!$B$2:$M$4838,10,FALSE)</f>
        <v/>
      </c>
      <c r="K1823" s="17">
        <f>+VLOOKUP($A1823,MAGAZZINO!$B$2:$M$4838,11,FALSE)</f>
        <v/>
      </c>
      <c r="L1823" s="44">
        <f>+VLOOKUP($A1823,MAGAZZINO!$B$2:$M$4838,12,FALSE)</f>
        <v/>
      </c>
    </row>
    <row r="1824" ht="36" customHeight="1">
      <c r="A1824" s="30">
        <f>+REGISTRO!A1807</f>
        <v/>
      </c>
      <c r="B1824" s="31">
        <f>+VLOOKUP($A1824,MAGAZZINO!$B$2:$M$4838,2,FALSE)</f>
        <v/>
      </c>
      <c r="C1824" s="32">
        <f>+VLOOKUP($A1824,MAGAZZINO!$B$2:$M$4838,3,FALSE)</f>
        <v/>
      </c>
      <c r="D1824" s="17">
        <f>+VLOOKUP($A1824,MAGAZZINO!$B$2:$M$4838,4,FALSE)</f>
        <v/>
      </c>
      <c r="E1824" s="17">
        <f>+VLOOKUP($A1824,MAGAZZINO!$B$2:$M$4838,5,FALSE)</f>
        <v/>
      </c>
      <c r="F1824" s="17">
        <f>+VLOOKUP($A1824,MAGAZZINO!$B$2:$M$4838,6,FALSE)</f>
        <v/>
      </c>
      <c r="G1824" s="17">
        <f>+VLOOKUP($A1824,MAGAZZINO!$B$2:$M$4838,7,FALSE)</f>
        <v/>
      </c>
      <c r="H1824" s="17">
        <f>+VLOOKUP($A1824,MAGAZZINO!$B$2:$M$4838,8,FALSE)</f>
        <v/>
      </c>
      <c r="I1824" s="17">
        <f>+VLOOKUP($A1824,MAGAZZINO!$B$2:$M$4838,9,FALSE)</f>
        <v/>
      </c>
      <c r="J1824" s="17">
        <f>+VLOOKUP($A1824,MAGAZZINO!$B$2:$M$4838,10,FALSE)</f>
        <v/>
      </c>
      <c r="K1824" s="17">
        <f>+VLOOKUP($A1824,MAGAZZINO!$B$2:$M$4838,11,FALSE)</f>
        <v/>
      </c>
      <c r="L1824" s="44">
        <f>+VLOOKUP($A1824,MAGAZZINO!$B$2:$M$4838,12,FALSE)</f>
        <v/>
      </c>
    </row>
    <row r="1825" ht="36" customHeight="1">
      <c r="A1825" s="30">
        <f>+REGISTRO!A1808</f>
        <v/>
      </c>
      <c r="B1825" s="31">
        <f>+VLOOKUP($A1825,MAGAZZINO!$B$2:$M$4838,2,FALSE)</f>
        <v/>
      </c>
      <c r="C1825" s="32">
        <f>+VLOOKUP($A1825,MAGAZZINO!$B$2:$M$4838,3,FALSE)</f>
        <v/>
      </c>
      <c r="D1825" s="17">
        <f>+VLOOKUP($A1825,MAGAZZINO!$B$2:$M$4838,4,FALSE)</f>
        <v/>
      </c>
      <c r="E1825" s="17">
        <f>+VLOOKUP($A1825,MAGAZZINO!$B$2:$M$4838,5,FALSE)</f>
        <v/>
      </c>
      <c r="F1825" s="17">
        <f>+VLOOKUP($A1825,MAGAZZINO!$B$2:$M$4838,6,FALSE)</f>
        <v/>
      </c>
      <c r="G1825" s="17">
        <f>+VLOOKUP($A1825,MAGAZZINO!$B$2:$M$4838,7,FALSE)</f>
        <v/>
      </c>
      <c r="H1825" s="17">
        <f>+VLOOKUP($A1825,MAGAZZINO!$B$2:$M$4838,8,FALSE)</f>
        <v/>
      </c>
      <c r="I1825" s="17">
        <f>+VLOOKUP($A1825,MAGAZZINO!$B$2:$M$4838,9,FALSE)</f>
        <v/>
      </c>
      <c r="J1825" s="17">
        <f>+VLOOKUP($A1825,MAGAZZINO!$B$2:$M$4838,10,FALSE)</f>
        <v/>
      </c>
      <c r="K1825" s="17">
        <f>+VLOOKUP($A1825,MAGAZZINO!$B$2:$M$4838,11,FALSE)</f>
        <v/>
      </c>
      <c r="L1825" s="44">
        <f>+VLOOKUP($A1825,MAGAZZINO!$B$2:$M$4838,12,FALSE)</f>
        <v/>
      </c>
    </row>
    <row r="1826" ht="36" customHeight="1">
      <c r="A1826" s="30">
        <f>+REGISTRO!A1809</f>
        <v/>
      </c>
      <c r="B1826" s="31">
        <f>+VLOOKUP($A1826,MAGAZZINO!$B$2:$M$4838,2,FALSE)</f>
        <v/>
      </c>
      <c r="C1826" s="32">
        <f>+VLOOKUP($A1826,MAGAZZINO!$B$2:$M$4838,3,FALSE)</f>
        <v/>
      </c>
      <c r="D1826" s="17">
        <f>+VLOOKUP($A1826,MAGAZZINO!$B$2:$M$4838,4,FALSE)</f>
        <v/>
      </c>
      <c r="E1826" s="17">
        <f>+VLOOKUP($A1826,MAGAZZINO!$B$2:$M$4838,5,FALSE)</f>
        <v/>
      </c>
      <c r="F1826" s="17">
        <f>+VLOOKUP($A1826,MAGAZZINO!$B$2:$M$4838,6,FALSE)</f>
        <v/>
      </c>
      <c r="G1826" s="17">
        <f>+VLOOKUP($A1826,MAGAZZINO!$B$2:$M$4838,7,FALSE)</f>
        <v/>
      </c>
      <c r="H1826" s="17">
        <f>+VLOOKUP($A1826,MAGAZZINO!$B$2:$M$4838,8,FALSE)</f>
        <v/>
      </c>
      <c r="I1826" s="17">
        <f>+VLOOKUP($A1826,MAGAZZINO!$B$2:$M$4838,9,FALSE)</f>
        <v/>
      </c>
      <c r="J1826" s="17">
        <f>+VLOOKUP($A1826,MAGAZZINO!$B$2:$M$4838,10,FALSE)</f>
        <v/>
      </c>
      <c r="K1826" s="17">
        <f>+VLOOKUP($A1826,MAGAZZINO!$B$2:$M$4838,11,FALSE)</f>
        <v/>
      </c>
      <c r="L1826" s="44">
        <f>+VLOOKUP($A1826,MAGAZZINO!$B$2:$M$4838,12,FALSE)</f>
        <v/>
      </c>
    </row>
    <row r="1827" ht="36" customHeight="1">
      <c r="A1827" s="30">
        <f>+REGISTRO!A1810</f>
        <v/>
      </c>
      <c r="B1827" s="31">
        <f>+VLOOKUP($A1827,MAGAZZINO!$B$2:$M$4838,2,FALSE)</f>
        <v/>
      </c>
      <c r="C1827" s="32">
        <f>+VLOOKUP($A1827,MAGAZZINO!$B$2:$M$4838,3,FALSE)</f>
        <v/>
      </c>
      <c r="D1827" s="17">
        <f>+VLOOKUP($A1827,MAGAZZINO!$B$2:$M$4838,4,FALSE)</f>
        <v/>
      </c>
      <c r="E1827" s="17">
        <f>+VLOOKUP($A1827,MAGAZZINO!$B$2:$M$4838,5,FALSE)</f>
        <v/>
      </c>
      <c r="F1827" s="17">
        <f>+VLOOKUP($A1827,MAGAZZINO!$B$2:$M$4838,6,FALSE)</f>
        <v/>
      </c>
      <c r="G1827" s="17">
        <f>+VLOOKUP($A1827,MAGAZZINO!$B$2:$M$4838,7,FALSE)</f>
        <v/>
      </c>
      <c r="H1827" s="17">
        <f>+VLOOKUP($A1827,MAGAZZINO!$B$2:$M$4838,8,FALSE)</f>
        <v/>
      </c>
      <c r="I1827" s="17">
        <f>+VLOOKUP($A1827,MAGAZZINO!$B$2:$M$4838,9,FALSE)</f>
        <v/>
      </c>
      <c r="J1827" s="17">
        <f>+VLOOKUP($A1827,MAGAZZINO!$B$2:$M$4838,10,FALSE)</f>
        <v/>
      </c>
      <c r="K1827" s="17">
        <f>+VLOOKUP($A1827,MAGAZZINO!$B$2:$M$4838,11,FALSE)</f>
        <v/>
      </c>
      <c r="L1827" s="44">
        <f>+VLOOKUP($A1827,MAGAZZINO!$B$2:$M$4838,12,FALSE)</f>
        <v/>
      </c>
    </row>
    <row r="1828" ht="36" customHeight="1">
      <c r="A1828" s="30">
        <f>+REGISTRO!A1811</f>
        <v/>
      </c>
      <c r="B1828" s="31">
        <f>+VLOOKUP($A1828,MAGAZZINO!$B$2:$M$4838,2,FALSE)</f>
        <v/>
      </c>
      <c r="C1828" s="32">
        <f>+VLOOKUP($A1828,MAGAZZINO!$B$2:$M$4838,3,FALSE)</f>
        <v/>
      </c>
      <c r="D1828" s="17">
        <f>+VLOOKUP($A1828,MAGAZZINO!$B$2:$M$4838,4,FALSE)</f>
        <v/>
      </c>
      <c r="E1828" s="17">
        <f>+VLOOKUP($A1828,MAGAZZINO!$B$2:$M$4838,5,FALSE)</f>
        <v/>
      </c>
      <c r="F1828" s="17">
        <f>+VLOOKUP($A1828,MAGAZZINO!$B$2:$M$4838,6,FALSE)</f>
        <v/>
      </c>
      <c r="G1828" s="17">
        <f>+VLOOKUP($A1828,MAGAZZINO!$B$2:$M$4838,7,FALSE)</f>
        <v/>
      </c>
      <c r="H1828" s="17">
        <f>+VLOOKUP($A1828,MAGAZZINO!$B$2:$M$4838,8,FALSE)</f>
        <v/>
      </c>
      <c r="I1828" s="17">
        <f>+VLOOKUP($A1828,MAGAZZINO!$B$2:$M$4838,9,FALSE)</f>
        <v/>
      </c>
      <c r="J1828" s="17">
        <f>+VLOOKUP($A1828,MAGAZZINO!$B$2:$M$4838,10,FALSE)</f>
        <v/>
      </c>
      <c r="K1828" s="17">
        <f>+VLOOKUP($A1828,MAGAZZINO!$B$2:$M$4838,11,FALSE)</f>
        <v/>
      </c>
      <c r="L1828" s="44">
        <f>+VLOOKUP($A1828,MAGAZZINO!$B$2:$M$4838,12,FALSE)</f>
        <v/>
      </c>
    </row>
    <row r="1829" ht="36" customHeight="1">
      <c r="A1829" s="30">
        <f>+REGISTRO!A1812</f>
        <v/>
      </c>
      <c r="B1829" s="31">
        <f>+VLOOKUP($A1829,MAGAZZINO!$B$2:$M$4838,2,FALSE)</f>
        <v/>
      </c>
      <c r="C1829" s="32">
        <f>+VLOOKUP($A1829,MAGAZZINO!$B$2:$M$4838,3,FALSE)</f>
        <v/>
      </c>
      <c r="D1829" s="17">
        <f>+VLOOKUP($A1829,MAGAZZINO!$B$2:$M$4838,4,FALSE)</f>
        <v/>
      </c>
      <c r="E1829" s="17">
        <f>+VLOOKUP($A1829,MAGAZZINO!$B$2:$M$4838,5,FALSE)</f>
        <v/>
      </c>
      <c r="F1829" s="17">
        <f>+VLOOKUP($A1829,MAGAZZINO!$B$2:$M$4838,6,FALSE)</f>
        <v/>
      </c>
      <c r="G1829" s="17">
        <f>+VLOOKUP($A1829,MAGAZZINO!$B$2:$M$4838,7,FALSE)</f>
        <v/>
      </c>
      <c r="H1829" s="17">
        <f>+VLOOKUP($A1829,MAGAZZINO!$B$2:$M$4838,8,FALSE)</f>
        <v/>
      </c>
      <c r="I1829" s="17">
        <f>+VLOOKUP($A1829,MAGAZZINO!$B$2:$M$4838,9,FALSE)</f>
        <v/>
      </c>
      <c r="J1829" s="17">
        <f>+VLOOKUP($A1829,MAGAZZINO!$B$2:$M$4838,10,FALSE)</f>
        <v/>
      </c>
      <c r="K1829" s="17">
        <f>+VLOOKUP($A1829,MAGAZZINO!$B$2:$M$4838,11,FALSE)</f>
        <v/>
      </c>
      <c r="L1829" s="44">
        <f>+VLOOKUP($A1829,MAGAZZINO!$B$2:$M$4838,12,FALSE)</f>
        <v/>
      </c>
    </row>
    <row r="1830" ht="36" customHeight="1">
      <c r="A1830" s="30">
        <f>+REGISTRO!A1813</f>
        <v/>
      </c>
      <c r="B1830" s="31">
        <f>+VLOOKUP($A1830,MAGAZZINO!$B$2:$M$4838,2,FALSE)</f>
        <v/>
      </c>
      <c r="C1830" s="32">
        <f>+VLOOKUP($A1830,MAGAZZINO!$B$2:$M$4838,3,FALSE)</f>
        <v/>
      </c>
      <c r="D1830" s="17">
        <f>+VLOOKUP($A1830,MAGAZZINO!$B$2:$M$4838,4,FALSE)</f>
        <v/>
      </c>
      <c r="E1830" s="17">
        <f>+VLOOKUP($A1830,MAGAZZINO!$B$2:$M$4838,5,FALSE)</f>
        <v/>
      </c>
      <c r="F1830" s="17">
        <f>+VLOOKUP($A1830,MAGAZZINO!$B$2:$M$4838,6,FALSE)</f>
        <v/>
      </c>
      <c r="G1830" s="17">
        <f>+VLOOKUP($A1830,MAGAZZINO!$B$2:$M$4838,7,FALSE)</f>
        <v/>
      </c>
      <c r="H1830" s="17">
        <f>+VLOOKUP($A1830,MAGAZZINO!$B$2:$M$4838,8,FALSE)</f>
        <v/>
      </c>
      <c r="I1830" s="17">
        <f>+VLOOKUP($A1830,MAGAZZINO!$B$2:$M$4838,9,FALSE)</f>
        <v/>
      </c>
      <c r="J1830" s="17">
        <f>+VLOOKUP($A1830,MAGAZZINO!$B$2:$M$4838,10,FALSE)</f>
        <v/>
      </c>
      <c r="K1830" s="17">
        <f>+VLOOKUP($A1830,MAGAZZINO!$B$2:$M$4838,11,FALSE)</f>
        <v/>
      </c>
      <c r="L1830" s="44">
        <f>+VLOOKUP($A1830,MAGAZZINO!$B$2:$M$4838,12,FALSE)</f>
        <v/>
      </c>
    </row>
    <row r="1831" ht="36" customHeight="1">
      <c r="A1831" s="30">
        <f>+REGISTRO!A1814</f>
        <v/>
      </c>
      <c r="B1831" s="31">
        <f>+VLOOKUP($A1831,MAGAZZINO!$B$2:$M$4838,2,FALSE)</f>
        <v/>
      </c>
      <c r="C1831" s="32">
        <f>+VLOOKUP($A1831,MAGAZZINO!$B$2:$M$4838,3,FALSE)</f>
        <v/>
      </c>
      <c r="D1831" s="17">
        <f>+VLOOKUP($A1831,MAGAZZINO!$B$2:$M$4838,4,FALSE)</f>
        <v/>
      </c>
      <c r="E1831" s="17">
        <f>+VLOOKUP($A1831,MAGAZZINO!$B$2:$M$4838,5,FALSE)</f>
        <v/>
      </c>
      <c r="F1831" s="17">
        <f>+VLOOKUP($A1831,MAGAZZINO!$B$2:$M$4838,6,FALSE)</f>
        <v/>
      </c>
      <c r="G1831" s="17">
        <f>+VLOOKUP($A1831,MAGAZZINO!$B$2:$M$4838,7,FALSE)</f>
        <v/>
      </c>
      <c r="H1831" s="17">
        <f>+VLOOKUP($A1831,MAGAZZINO!$B$2:$M$4838,8,FALSE)</f>
        <v/>
      </c>
      <c r="I1831" s="17">
        <f>+VLOOKUP($A1831,MAGAZZINO!$B$2:$M$4838,9,FALSE)</f>
        <v/>
      </c>
      <c r="J1831" s="17">
        <f>+VLOOKUP($A1831,MAGAZZINO!$B$2:$M$4838,10,FALSE)</f>
        <v/>
      </c>
      <c r="K1831" s="17">
        <f>+VLOOKUP($A1831,MAGAZZINO!$B$2:$M$4838,11,FALSE)</f>
        <v/>
      </c>
      <c r="L1831" s="44">
        <f>+VLOOKUP($A1831,MAGAZZINO!$B$2:$M$4838,12,FALSE)</f>
        <v/>
      </c>
    </row>
    <row r="1832" ht="36" customHeight="1">
      <c r="A1832" s="30">
        <f>+REGISTRO!A1815</f>
        <v/>
      </c>
      <c r="B1832" s="31">
        <f>+VLOOKUP($A1832,MAGAZZINO!$B$2:$M$4838,2,FALSE)</f>
        <v/>
      </c>
      <c r="C1832" s="32">
        <f>+VLOOKUP($A1832,MAGAZZINO!$B$2:$M$4838,3,FALSE)</f>
        <v/>
      </c>
      <c r="D1832" s="17">
        <f>+VLOOKUP($A1832,MAGAZZINO!$B$2:$M$4838,4,FALSE)</f>
        <v/>
      </c>
      <c r="E1832" s="17">
        <f>+VLOOKUP($A1832,MAGAZZINO!$B$2:$M$4838,5,FALSE)</f>
        <v/>
      </c>
      <c r="F1832" s="17">
        <f>+VLOOKUP($A1832,MAGAZZINO!$B$2:$M$4838,6,FALSE)</f>
        <v/>
      </c>
      <c r="G1832" s="17">
        <f>+VLOOKUP($A1832,MAGAZZINO!$B$2:$M$4838,7,FALSE)</f>
        <v/>
      </c>
      <c r="H1832" s="17">
        <f>+VLOOKUP($A1832,MAGAZZINO!$B$2:$M$4838,8,FALSE)</f>
        <v/>
      </c>
      <c r="I1832" s="17">
        <f>+VLOOKUP($A1832,MAGAZZINO!$B$2:$M$4838,9,FALSE)</f>
        <v/>
      </c>
      <c r="J1832" s="17">
        <f>+VLOOKUP($A1832,MAGAZZINO!$B$2:$M$4838,10,FALSE)</f>
        <v/>
      </c>
      <c r="K1832" s="17">
        <f>+VLOOKUP($A1832,MAGAZZINO!$B$2:$M$4838,11,FALSE)</f>
        <v/>
      </c>
      <c r="L1832" s="44">
        <f>+VLOOKUP($A1832,MAGAZZINO!$B$2:$M$4838,12,FALSE)</f>
        <v/>
      </c>
    </row>
    <row r="1833" ht="36" customHeight="1">
      <c r="A1833" s="30">
        <f>+REGISTRO!A1816</f>
        <v/>
      </c>
      <c r="B1833" s="31">
        <f>+VLOOKUP($A1833,MAGAZZINO!$B$2:$M$4838,2,FALSE)</f>
        <v/>
      </c>
      <c r="C1833" s="32">
        <f>+VLOOKUP($A1833,MAGAZZINO!$B$2:$M$4838,3,FALSE)</f>
        <v/>
      </c>
      <c r="D1833" s="17">
        <f>+VLOOKUP($A1833,MAGAZZINO!$B$2:$M$4838,4,FALSE)</f>
        <v/>
      </c>
      <c r="E1833" s="17">
        <f>+VLOOKUP($A1833,MAGAZZINO!$B$2:$M$4838,5,FALSE)</f>
        <v/>
      </c>
      <c r="F1833" s="17">
        <f>+VLOOKUP($A1833,MAGAZZINO!$B$2:$M$4838,6,FALSE)</f>
        <v/>
      </c>
      <c r="G1833" s="17">
        <f>+VLOOKUP($A1833,MAGAZZINO!$B$2:$M$4838,7,FALSE)</f>
        <v/>
      </c>
      <c r="H1833" s="17">
        <f>+VLOOKUP($A1833,MAGAZZINO!$B$2:$M$4838,8,FALSE)</f>
        <v/>
      </c>
      <c r="I1833" s="17">
        <f>+VLOOKUP($A1833,MAGAZZINO!$B$2:$M$4838,9,FALSE)</f>
        <v/>
      </c>
      <c r="J1833" s="17">
        <f>+VLOOKUP($A1833,MAGAZZINO!$B$2:$M$4838,10,FALSE)</f>
        <v/>
      </c>
      <c r="K1833" s="17">
        <f>+VLOOKUP($A1833,MAGAZZINO!$B$2:$M$4838,11,FALSE)</f>
        <v/>
      </c>
      <c r="L1833" s="44">
        <f>+VLOOKUP($A1833,MAGAZZINO!$B$2:$M$4838,12,FALSE)</f>
        <v/>
      </c>
    </row>
    <row r="1834" ht="36" customHeight="1">
      <c r="A1834" s="30">
        <f>+REGISTRO!A1817</f>
        <v/>
      </c>
      <c r="B1834" s="31">
        <f>+VLOOKUP($A1834,MAGAZZINO!$B$2:$M$4838,2,FALSE)</f>
        <v/>
      </c>
      <c r="C1834" s="32">
        <f>+VLOOKUP($A1834,MAGAZZINO!$B$2:$M$4838,3,FALSE)</f>
        <v/>
      </c>
      <c r="D1834" s="17">
        <f>+VLOOKUP($A1834,MAGAZZINO!$B$2:$M$4838,4,FALSE)</f>
        <v/>
      </c>
      <c r="E1834" s="17">
        <f>+VLOOKUP($A1834,MAGAZZINO!$B$2:$M$4838,5,FALSE)</f>
        <v/>
      </c>
      <c r="F1834" s="17">
        <f>+VLOOKUP($A1834,MAGAZZINO!$B$2:$M$4838,6,FALSE)</f>
        <v/>
      </c>
      <c r="G1834" s="17">
        <f>+VLOOKUP($A1834,MAGAZZINO!$B$2:$M$4838,7,FALSE)</f>
        <v/>
      </c>
      <c r="H1834" s="17">
        <f>+VLOOKUP($A1834,MAGAZZINO!$B$2:$M$4838,8,FALSE)</f>
        <v/>
      </c>
      <c r="I1834" s="17">
        <f>+VLOOKUP($A1834,MAGAZZINO!$B$2:$M$4838,9,FALSE)</f>
        <v/>
      </c>
      <c r="J1834" s="17">
        <f>+VLOOKUP($A1834,MAGAZZINO!$B$2:$M$4838,10,FALSE)</f>
        <v/>
      </c>
      <c r="K1834" s="17">
        <f>+VLOOKUP($A1834,MAGAZZINO!$B$2:$M$4838,11,FALSE)</f>
        <v/>
      </c>
      <c r="L1834" s="44">
        <f>+VLOOKUP($A1834,MAGAZZINO!$B$2:$M$4838,12,FALSE)</f>
        <v/>
      </c>
    </row>
    <row r="1835" ht="36" customHeight="1">
      <c r="A1835" s="30">
        <f>+REGISTRO!A1818</f>
        <v/>
      </c>
      <c r="B1835" s="31">
        <f>+VLOOKUP($A1835,MAGAZZINO!$B$2:$M$4838,2,FALSE)</f>
        <v/>
      </c>
      <c r="C1835" s="32">
        <f>+VLOOKUP($A1835,MAGAZZINO!$B$2:$M$4838,3,FALSE)</f>
        <v/>
      </c>
      <c r="D1835" s="17">
        <f>+VLOOKUP($A1835,MAGAZZINO!$B$2:$M$4838,4,FALSE)</f>
        <v/>
      </c>
      <c r="E1835" s="17">
        <f>+VLOOKUP($A1835,MAGAZZINO!$B$2:$M$4838,5,FALSE)</f>
        <v/>
      </c>
      <c r="F1835" s="17">
        <f>+VLOOKUP($A1835,MAGAZZINO!$B$2:$M$4838,6,FALSE)</f>
        <v/>
      </c>
      <c r="G1835" s="17">
        <f>+VLOOKUP($A1835,MAGAZZINO!$B$2:$M$4838,7,FALSE)</f>
        <v/>
      </c>
      <c r="H1835" s="17">
        <f>+VLOOKUP($A1835,MAGAZZINO!$B$2:$M$4838,8,FALSE)</f>
        <v/>
      </c>
      <c r="I1835" s="17">
        <f>+VLOOKUP($A1835,MAGAZZINO!$B$2:$M$4838,9,FALSE)</f>
        <v/>
      </c>
      <c r="J1835" s="17">
        <f>+VLOOKUP($A1835,MAGAZZINO!$B$2:$M$4838,10,FALSE)</f>
        <v/>
      </c>
      <c r="K1835" s="17">
        <f>+VLOOKUP($A1835,MAGAZZINO!$B$2:$M$4838,11,FALSE)</f>
        <v/>
      </c>
      <c r="L1835" s="44">
        <f>+VLOOKUP($A1835,MAGAZZINO!$B$2:$M$4838,12,FALSE)</f>
        <v/>
      </c>
    </row>
    <row r="1836" ht="36" customHeight="1">
      <c r="A1836" s="30">
        <f>+REGISTRO!A1819</f>
        <v/>
      </c>
      <c r="B1836" s="31">
        <f>+VLOOKUP($A1836,MAGAZZINO!$B$2:$M$4838,2,FALSE)</f>
        <v/>
      </c>
      <c r="C1836" s="32">
        <f>+VLOOKUP($A1836,MAGAZZINO!$B$2:$M$4838,3,FALSE)</f>
        <v/>
      </c>
      <c r="D1836" s="17">
        <f>+VLOOKUP($A1836,MAGAZZINO!$B$2:$M$4838,4,FALSE)</f>
        <v/>
      </c>
      <c r="E1836" s="17">
        <f>+VLOOKUP($A1836,MAGAZZINO!$B$2:$M$4838,5,FALSE)</f>
        <v/>
      </c>
      <c r="F1836" s="17">
        <f>+VLOOKUP($A1836,MAGAZZINO!$B$2:$M$4838,6,FALSE)</f>
        <v/>
      </c>
      <c r="G1836" s="17">
        <f>+VLOOKUP($A1836,MAGAZZINO!$B$2:$M$4838,7,FALSE)</f>
        <v/>
      </c>
      <c r="H1836" s="17">
        <f>+VLOOKUP($A1836,MAGAZZINO!$B$2:$M$4838,8,FALSE)</f>
        <v/>
      </c>
      <c r="I1836" s="17">
        <f>+VLOOKUP($A1836,MAGAZZINO!$B$2:$M$4838,9,FALSE)</f>
        <v/>
      </c>
      <c r="J1836" s="17">
        <f>+VLOOKUP($A1836,MAGAZZINO!$B$2:$M$4838,10,FALSE)</f>
        <v/>
      </c>
      <c r="K1836" s="17">
        <f>+VLOOKUP($A1836,MAGAZZINO!$B$2:$M$4838,11,FALSE)</f>
        <v/>
      </c>
      <c r="L1836" s="44">
        <f>+VLOOKUP($A1836,MAGAZZINO!$B$2:$M$4838,12,FALSE)</f>
        <v/>
      </c>
    </row>
    <row r="1837" ht="36" customHeight="1">
      <c r="A1837" s="30">
        <f>+REGISTRO!A1820</f>
        <v/>
      </c>
      <c r="B1837" s="31">
        <f>+VLOOKUP($A1837,MAGAZZINO!$B$2:$M$4838,2,FALSE)</f>
        <v/>
      </c>
      <c r="C1837" s="32">
        <f>+VLOOKUP($A1837,MAGAZZINO!$B$2:$M$4838,3,FALSE)</f>
        <v/>
      </c>
      <c r="D1837" s="17">
        <f>+VLOOKUP($A1837,MAGAZZINO!$B$2:$M$4838,4,FALSE)</f>
        <v/>
      </c>
      <c r="E1837" s="17">
        <f>+VLOOKUP($A1837,MAGAZZINO!$B$2:$M$4838,5,FALSE)</f>
        <v/>
      </c>
      <c r="F1837" s="17">
        <f>+VLOOKUP($A1837,MAGAZZINO!$B$2:$M$4838,6,FALSE)</f>
        <v/>
      </c>
      <c r="G1837" s="17">
        <f>+VLOOKUP($A1837,MAGAZZINO!$B$2:$M$4838,7,FALSE)</f>
        <v/>
      </c>
      <c r="H1837" s="17">
        <f>+VLOOKUP($A1837,MAGAZZINO!$B$2:$M$4838,8,FALSE)</f>
        <v/>
      </c>
      <c r="I1837" s="17">
        <f>+VLOOKUP($A1837,MAGAZZINO!$B$2:$M$4838,9,FALSE)</f>
        <v/>
      </c>
      <c r="J1837" s="17">
        <f>+VLOOKUP($A1837,MAGAZZINO!$B$2:$M$4838,10,FALSE)</f>
        <v/>
      </c>
      <c r="K1837" s="17">
        <f>+VLOOKUP($A1837,MAGAZZINO!$B$2:$M$4838,11,FALSE)</f>
        <v/>
      </c>
      <c r="L1837" s="44">
        <f>+VLOOKUP($A1837,MAGAZZINO!$B$2:$M$4838,12,FALSE)</f>
        <v/>
      </c>
    </row>
    <row r="1838" ht="36" customHeight="1">
      <c r="A1838" s="30">
        <f>+REGISTRO!A1821</f>
        <v/>
      </c>
      <c r="B1838" s="31">
        <f>+VLOOKUP($A1838,MAGAZZINO!$B$2:$M$4838,2,FALSE)</f>
        <v/>
      </c>
      <c r="C1838" s="32">
        <f>+VLOOKUP($A1838,MAGAZZINO!$B$2:$M$4838,3,FALSE)</f>
        <v/>
      </c>
      <c r="D1838" s="17">
        <f>+VLOOKUP($A1838,MAGAZZINO!$B$2:$M$4838,4,FALSE)</f>
        <v/>
      </c>
      <c r="E1838" s="17">
        <f>+VLOOKUP($A1838,MAGAZZINO!$B$2:$M$4838,5,FALSE)</f>
        <v/>
      </c>
      <c r="F1838" s="17">
        <f>+VLOOKUP($A1838,MAGAZZINO!$B$2:$M$4838,6,FALSE)</f>
        <v/>
      </c>
      <c r="G1838" s="17">
        <f>+VLOOKUP($A1838,MAGAZZINO!$B$2:$M$4838,7,FALSE)</f>
        <v/>
      </c>
      <c r="H1838" s="17">
        <f>+VLOOKUP($A1838,MAGAZZINO!$B$2:$M$4838,8,FALSE)</f>
        <v/>
      </c>
      <c r="I1838" s="17">
        <f>+VLOOKUP($A1838,MAGAZZINO!$B$2:$M$4838,9,FALSE)</f>
        <v/>
      </c>
      <c r="J1838" s="17">
        <f>+VLOOKUP($A1838,MAGAZZINO!$B$2:$M$4838,10,FALSE)</f>
        <v/>
      </c>
      <c r="K1838" s="17">
        <f>+VLOOKUP($A1838,MAGAZZINO!$B$2:$M$4838,11,FALSE)</f>
        <v/>
      </c>
      <c r="L1838" s="44">
        <f>+VLOOKUP($A1838,MAGAZZINO!$B$2:$M$4838,12,FALSE)</f>
        <v/>
      </c>
    </row>
    <row r="1839" ht="36" customHeight="1">
      <c r="A1839" s="30">
        <f>+REGISTRO!A1822</f>
        <v/>
      </c>
      <c r="B1839" s="31">
        <f>+VLOOKUP($A1839,MAGAZZINO!$B$2:$M$4838,2,FALSE)</f>
        <v/>
      </c>
      <c r="C1839" s="32">
        <f>+VLOOKUP($A1839,MAGAZZINO!$B$2:$M$4838,3,FALSE)</f>
        <v/>
      </c>
      <c r="D1839" s="17">
        <f>+VLOOKUP($A1839,MAGAZZINO!$B$2:$M$4838,4,FALSE)</f>
        <v/>
      </c>
      <c r="E1839" s="17">
        <f>+VLOOKUP($A1839,MAGAZZINO!$B$2:$M$4838,5,FALSE)</f>
        <v/>
      </c>
      <c r="F1839" s="17">
        <f>+VLOOKUP($A1839,MAGAZZINO!$B$2:$M$4838,6,FALSE)</f>
        <v/>
      </c>
      <c r="G1839" s="17">
        <f>+VLOOKUP($A1839,MAGAZZINO!$B$2:$M$4838,7,FALSE)</f>
        <v/>
      </c>
      <c r="H1839" s="17">
        <f>+VLOOKUP($A1839,MAGAZZINO!$B$2:$M$4838,8,FALSE)</f>
        <v/>
      </c>
      <c r="I1839" s="17">
        <f>+VLOOKUP($A1839,MAGAZZINO!$B$2:$M$4838,9,FALSE)</f>
        <v/>
      </c>
      <c r="J1839" s="17">
        <f>+VLOOKUP($A1839,MAGAZZINO!$B$2:$M$4838,10,FALSE)</f>
        <v/>
      </c>
      <c r="K1839" s="17">
        <f>+VLOOKUP($A1839,MAGAZZINO!$B$2:$M$4838,11,FALSE)</f>
        <v/>
      </c>
      <c r="L1839" s="44">
        <f>+VLOOKUP($A1839,MAGAZZINO!$B$2:$M$4838,12,FALSE)</f>
        <v/>
      </c>
    </row>
    <row r="1840" ht="36" customHeight="1">
      <c r="A1840" s="30">
        <f>+REGISTRO!A1823</f>
        <v/>
      </c>
      <c r="B1840" s="31">
        <f>+VLOOKUP($A1840,MAGAZZINO!$B$2:$M$4838,2,FALSE)</f>
        <v/>
      </c>
      <c r="C1840" s="32">
        <f>+VLOOKUP($A1840,MAGAZZINO!$B$2:$M$4838,3,FALSE)</f>
        <v/>
      </c>
      <c r="D1840" s="17">
        <f>+VLOOKUP($A1840,MAGAZZINO!$B$2:$M$4838,4,FALSE)</f>
        <v/>
      </c>
      <c r="E1840" s="17">
        <f>+VLOOKUP($A1840,MAGAZZINO!$B$2:$M$4838,5,FALSE)</f>
        <v/>
      </c>
      <c r="F1840" s="17">
        <f>+VLOOKUP($A1840,MAGAZZINO!$B$2:$M$4838,6,FALSE)</f>
        <v/>
      </c>
      <c r="G1840" s="17">
        <f>+VLOOKUP($A1840,MAGAZZINO!$B$2:$M$4838,7,FALSE)</f>
        <v/>
      </c>
      <c r="H1840" s="17">
        <f>+VLOOKUP($A1840,MAGAZZINO!$B$2:$M$4838,8,FALSE)</f>
        <v/>
      </c>
      <c r="I1840" s="17">
        <f>+VLOOKUP($A1840,MAGAZZINO!$B$2:$M$4838,9,FALSE)</f>
        <v/>
      </c>
      <c r="J1840" s="17">
        <f>+VLOOKUP($A1840,MAGAZZINO!$B$2:$M$4838,10,FALSE)</f>
        <v/>
      </c>
      <c r="K1840" s="17">
        <f>+VLOOKUP($A1840,MAGAZZINO!$B$2:$M$4838,11,FALSE)</f>
        <v/>
      </c>
      <c r="L1840" s="44">
        <f>+VLOOKUP($A1840,MAGAZZINO!$B$2:$M$4838,12,FALSE)</f>
        <v/>
      </c>
    </row>
    <row r="1841" ht="36" customHeight="1">
      <c r="A1841" s="30">
        <f>+REGISTRO!A1824</f>
        <v/>
      </c>
      <c r="B1841" s="31">
        <f>+VLOOKUP($A1841,MAGAZZINO!$B$2:$M$4838,2,FALSE)</f>
        <v/>
      </c>
      <c r="C1841" s="32">
        <f>+VLOOKUP($A1841,MAGAZZINO!$B$2:$M$4838,3,FALSE)</f>
        <v/>
      </c>
      <c r="D1841" s="17">
        <f>+VLOOKUP($A1841,MAGAZZINO!$B$2:$M$4838,4,FALSE)</f>
        <v/>
      </c>
      <c r="E1841" s="17">
        <f>+VLOOKUP($A1841,MAGAZZINO!$B$2:$M$4838,5,FALSE)</f>
        <v/>
      </c>
      <c r="F1841" s="17">
        <f>+VLOOKUP($A1841,MAGAZZINO!$B$2:$M$4838,6,FALSE)</f>
        <v/>
      </c>
      <c r="G1841" s="17">
        <f>+VLOOKUP($A1841,MAGAZZINO!$B$2:$M$4838,7,FALSE)</f>
        <v/>
      </c>
      <c r="H1841" s="17">
        <f>+VLOOKUP($A1841,MAGAZZINO!$B$2:$M$4838,8,FALSE)</f>
        <v/>
      </c>
      <c r="I1841" s="17">
        <f>+VLOOKUP($A1841,MAGAZZINO!$B$2:$M$4838,9,FALSE)</f>
        <v/>
      </c>
      <c r="J1841" s="17">
        <f>+VLOOKUP($A1841,MAGAZZINO!$B$2:$M$4838,10,FALSE)</f>
        <v/>
      </c>
      <c r="K1841" s="17">
        <f>+VLOOKUP($A1841,MAGAZZINO!$B$2:$M$4838,11,FALSE)</f>
        <v/>
      </c>
      <c r="L1841" s="44">
        <f>+VLOOKUP($A1841,MAGAZZINO!$B$2:$M$4838,12,FALSE)</f>
        <v/>
      </c>
    </row>
    <row r="1842" ht="36" customHeight="1">
      <c r="A1842" s="30">
        <f>+REGISTRO!A1825</f>
        <v/>
      </c>
      <c r="B1842" s="31">
        <f>+VLOOKUP($A1842,MAGAZZINO!$B$2:$M$4838,2,FALSE)</f>
        <v/>
      </c>
      <c r="C1842" s="32">
        <f>+VLOOKUP($A1842,MAGAZZINO!$B$2:$M$4838,3,FALSE)</f>
        <v/>
      </c>
      <c r="D1842" s="17">
        <f>+VLOOKUP($A1842,MAGAZZINO!$B$2:$M$4838,4,FALSE)</f>
        <v/>
      </c>
      <c r="E1842" s="17">
        <f>+VLOOKUP($A1842,MAGAZZINO!$B$2:$M$4838,5,FALSE)</f>
        <v/>
      </c>
      <c r="F1842" s="17">
        <f>+VLOOKUP($A1842,MAGAZZINO!$B$2:$M$4838,6,FALSE)</f>
        <v/>
      </c>
      <c r="G1842" s="17">
        <f>+VLOOKUP($A1842,MAGAZZINO!$B$2:$M$4838,7,FALSE)</f>
        <v/>
      </c>
      <c r="H1842" s="17">
        <f>+VLOOKUP($A1842,MAGAZZINO!$B$2:$M$4838,8,FALSE)</f>
        <v/>
      </c>
      <c r="I1842" s="17">
        <f>+VLOOKUP($A1842,MAGAZZINO!$B$2:$M$4838,9,FALSE)</f>
        <v/>
      </c>
      <c r="J1842" s="17">
        <f>+VLOOKUP($A1842,MAGAZZINO!$B$2:$M$4838,10,FALSE)</f>
        <v/>
      </c>
      <c r="K1842" s="17">
        <f>+VLOOKUP($A1842,MAGAZZINO!$B$2:$M$4838,11,FALSE)</f>
        <v/>
      </c>
      <c r="L1842" s="44">
        <f>+VLOOKUP($A1842,MAGAZZINO!$B$2:$M$4838,12,FALSE)</f>
        <v/>
      </c>
    </row>
    <row r="1843" ht="36" customHeight="1">
      <c r="A1843" s="30">
        <f>+REGISTRO!A1826</f>
        <v/>
      </c>
      <c r="B1843" s="31">
        <f>+VLOOKUP($A1843,MAGAZZINO!$B$2:$M$4838,2,FALSE)</f>
        <v/>
      </c>
      <c r="C1843" s="32">
        <f>+VLOOKUP($A1843,MAGAZZINO!$B$2:$M$4838,3,FALSE)</f>
        <v/>
      </c>
      <c r="D1843" s="17">
        <f>+VLOOKUP($A1843,MAGAZZINO!$B$2:$M$4838,4,FALSE)</f>
        <v/>
      </c>
      <c r="E1843" s="17">
        <f>+VLOOKUP($A1843,MAGAZZINO!$B$2:$M$4838,5,FALSE)</f>
        <v/>
      </c>
      <c r="F1843" s="17">
        <f>+VLOOKUP($A1843,MAGAZZINO!$B$2:$M$4838,6,FALSE)</f>
        <v/>
      </c>
      <c r="G1843" s="17">
        <f>+VLOOKUP($A1843,MAGAZZINO!$B$2:$M$4838,7,FALSE)</f>
        <v/>
      </c>
      <c r="H1843" s="17">
        <f>+VLOOKUP($A1843,MAGAZZINO!$B$2:$M$4838,8,FALSE)</f>
        <v/>
      </c>
      <c r="I1843" s="17">
        <f>+VLOOKUP($A1843,MAGAZZINO!$B$2:$M$4838,9,FALSE)</f>
        <v/>
      </c>
      <c r="J1843" s="17">
        <f>+VLOOKUP($A1843,MAGAZZINO!$B$2:$M$4838,10,FALSE)</f>
        <v/>
      </c>
      <c r="K1843" s="17">
        <f>+VLOOKUP($A1843,MAGAZZINO!$B$2:$M$4838,11,FALSE)</f>
        <v/>
      </c>
      <c r="L1843" s="44">
        <f>+VLOOKUP($A1843,MAGAZZINO!$B$2:$M$4838,12,FALSE)</f>
        <v/>
      </c>
    </row>
    <row r="1844" ht="36" customHeight="1">
      <c r="A1844" s="30">
        <f>+REGISTRO!A1827</f>
        <v/>
      </c>
      <c r="B1844" s="31">
        <f>+VLOOKUP($A1844,MAGAZZINO!$B$2:$M$4838,2,FALSE)</f>
        <v/>
      </c>
      <c r="C1844" s="32">
        <f>+VLOOKUP($A1844,MAGAZZINO!$B$2:$M$4838,3,FALSE)</f>
        <v/>
      </c>
      <c r="D1844" s="17">
        <f>+VLOOKUP($A1844,MAGAZZINO!$B$2:$M$4838,4,FALSE)</f>
        <v/>
      </c>
      <c r="E1844" s="17">
        <f>+VLOOKUP($A1844,MAGAZZINO!$B$2:$M$4838,5,FALSE)</f>
        <v/>
      </c>
      <c r="F1844" s="17">
        <f>+VLOOKUP($A1844,MAGAZZINO!$B$2:$M$4838,6,FALSE)</f>
        <v/>
      </c>
      <c r="G1844" s="17">
        <f>+VLOOKUP($A1844,MAGAZZINO!$B$2:$M$4838,7,FALSE)</f>
        <v/>
      </c>
      <c r="H1844" s="17">
        <f>+VLOOKUP($A1844,MAGAZZINO!$B$2:$M$4838,8,FALSE)</f>
        <v/>
      </c>
      <c r="I1844" s="17">
        <f>+VLOOKUP($A1844,MAGAZZINO!$B$2:$M$4838,9,FALSE)</f>
        <v/>
      </c>
      <c r="J1844" s="17">
        <f>+VLOOKUP($A1844,MAGAZZINO!$B$2:$M$4838,10,FALSE)</f>
        <v/>
      </c>
      <c r="K1844" s="17">
        <f>+VLOOKUP($A1844,MAGAZZINO!$B$2:$M$4838,11,FALSE)</f>
        <v/>
      </c>
      <c r="L1844" s="44">
        <f>+VLOOKUP($A1844,MAGAZZINO!$B$2:$M$4838,12,FALSE)</f>
        <v/>
      </c>
    </row>
    <row r="1845" ht="36" customHeight="1">
      <c r="A1845" s="30">
        <f>+REGISTRO!A1828</f>
        <v/>
      </c>
      <c r="B1845" s="31">
        <f>+VLOOKUP($A1845,MAGAZZINO!$B$2:$M$4838,2,FALSE)</f>
        <v/>
      </c>
      <c r="C1845" s="32">
        <f>+VLOOKUP($A1845,MAGAZZINO!$B$2:$M$4838,3,FALSE)</f>
        <v/>
      </c>
      <c r="D1845" s="17">
        <f>+VLOOKUP($A1845,MAGAZZINO!$B$2:$M$4838,4,FALSE)</f>
        <v/>
      </c>
      <c r="E1845" s="17">
        <f>+VLOOKUP($A1845,MAGAZZINO!$B$2:$M$4838,5,FALSE)</f>
        <v/>
      </c>
      <c r="F1845" s="17">
        <f>+VLOOKUP($A1845,MAGAZZINO!$B$2:$M$4838,6,FALSE)</f>
        <v/>
      </c>
      <c r="G1845" s="17">
        <f>+VLOOKUP($A1845,MAGAZZINO!$B$2:$M$4838,7,FALSE)</f>
        <v/>
      </c>
      <c r="H1845" s="17">
        <f>+VLOOKUP($A1845,MAGAZZINO!$B$2:$M$4838,8,FALSE)</f>
        <v/>
      </c>
      <c r="I1845" s="17">
        <f>+VLOOKUP($A1845,MAGAZZINO!$B$2:$M$4838,9,FALSE)</f>
        <v/>
      </c>
      <c r="J1845" s="17">
        <f>+VLOOKUP($A1845,MAGAZZINO!$B$2:$M$4838,10,FALSE)</f>
        <v/>
      </c>
      <c r="K1845" s="17">
        <f>+VLOOKUP($A1845,MAGAZZINO!$B$2:$M$4838,11,FALSE)</f>
        <v/>
      </c>
      <c r="L1845" s="44">
        <f>+VLOOKUP($A1845,MAGAZZINO!$B$2:$M$4838,12,FALSE)</f>
        <v/>
      </c>
    </row>
    <row r="1846" ht="36" customHeight="1">
      <c r="A1846" s="30">
        <f>+REGISTRO!A1829</f>
        <v/>
      </c>
      <c r="B1846" s="31">
        <f>+VLOOKUP($A1846,MAGAZZINO!$B$2:$M$4838,2,FALSE)</f>
        <v/>
      </c>
      <c r="C1846" s="32">
        <f>+VLOOKUP($A1846,MAGAZZINO!$B$2:$M$4838,3,FALSE)</f>
        <v/>
      </c>
      <c r="D1846" s="17">
        <f>+VLOOKUP($A1846,MAGAZZINO!$B$2:$M$4838,4,FALSE)</f>
        <v/>
      </c>
      <c r="E1846" s="17">
        <f>+VLOOKUP($A1846,MAGAZZINO!$B$2:$M$4838,5,FALSE)</f>
        <v/>
      </c>
      <c r="F1846" s="17">
        <f>+VLOOKUP($A1846,MAGAZZINO!$B$2:$M$4838,6,FALSE)</f>
        <v/>
      </c>
      <c r="G1846" s="17">
        <f>+VLOOKUP($A1846,MAGAZZINO!$B$2:$M$4838,7,FALSE)</f>
        <v/>
      </c>
      <c r="H1846" s="17">
        <f>+VLOOKUP($A1846,MAGAZZINO!$B$2:$M$4838,8,FALSE)</f>
        <v/>
      </c>
      <c r="I1846" s="17">
        <f>+VLOOKUP($A1846,MAGAZZINO!$B$2:$M$4838,9,FALSE)</f>
        <v/>
      </c>
      <c r="J1846" s="17">
        <f>+VLOOKUP($A1846,MAGAZZINO!$B$2:$M$4838,10,FALSE)</f>
        <v/>
      </c>
      <c r="K1846" s="17">
        <f>+VLOOKUP($A1846,MAGAZZINO!$B$2:$M$4838,11,FALSE)</f>
        <v/>
      </c>
      <c r="L1846" s="44">
        <f>+VLOOKUP($A1846,MAGAZZINO!$B$2:$M$4838,12,FALSE)</f>
        <v/>
      </c>
    </row>
    <row r="1847" ht="36" customHeight="1">
      <c r="A1847" s="30">
        <f>+REGISTRO!A1830</f>
        <v/>
      </c>
      <c r="B1847" s="31">
        <f>+VLOOKUP($A1847,MAGAZZINO!$B$2:$M$4838,2,FALSE)</f>
        <v/>
      </c>
      <c r="C1847" s="32">
        <f>+VLOOKUP($A1847,MAGAZZINO!$B$2:$M$4838,3,FALSE)</f>
        <v/>
      </c>
      <c r="D1847" s="17">
        <f>+VLOOKUP($A1847,MAGAZZINO!$B$2:$M$4838,4,FALSE)</f>
        <v/>
      </c>
      <c r="E1847" s="17">
        <f>+VLOOKUP($A1847,MAGAZZINO!$B$2:$M$4838,5,FALSE)</f>
        <v/>
      </c>
      <c r="F1847" s="17">
        <f>+VLOOKUP($A1847,MAGAZZINO!$B$2:$M$4838,6,FALSE)</f>
        <v/>
      </c>
      <c r="G1847" s="17">
        <f>+VLOOKUP($A1847,MAGAZZINO!$B$2:$M$4838,7,FALSE)</f>
        <v/>
      </c>
      <c r="H1847" s="17">
        <f>+VLOOKUP($A1847,MAGAZZINO!$B$2:$M$4838,8,FALSE)</f>
        <v/>
      </c>
      <c r="I1847" s="17">
        <f>+VLOOKUP($A1847,MAGAZZINO!$B$2:$M$4838,9,FALSE)</f>
        <v/>
      </c>
      <c r="J1847" s="17">
        <f>+VLOOKUP($A1847,MAGAZZINO!$B$2:$M$4838,10,FALSE)</f>
        <v/>
      </c>
      <c r="K1847" s="17">
        <f>+VLOOKUP($A1847,MAGAZZINO!$B$2:$M$4838,11,FALSE)</f>
        <v/>
      </c>
      <c r="L1847" s="44">
        <f>+VLOOKUP($A1847,MAGAZZINO!$B$2:$M$4838,12,FALSE)</f>
        <v/>
      </c>
    </row>
    <row r="1848" ht="36" customHeight="1">
      <c r="A1848" s="30">
        <f>+REGISTRO!A1831</f>
        <v/>
      </c>
      <c r="B1848" s="31">
        <f>+VLOOKUP($A1848,MAGAZZINO!$B$2:$M$4838,2,FALSE)</f>
        <v/>
      </c>
      <c r="C1848" s="32">
        <f>+VLOOKUP($A1848,MAGAZZINO!$B$2:$M$4838,3,FALSE)</f>
        <v/>
      </c>
      <c r="D1848" s="17">
        <f>+VLOOKUP($A1848,MAGAZZINO!$B$2:$M$4838,4,FALSE)</f>
        <v/>
      </c>
      <c r="E1848" s="17">
        <f>+VLOOKUP($A1848,MAGAZZINO!$B$2:$M$4838,5,FALSE)</f>
        <v/>
      </c>
      <c r="F1848" s="17">
        <f>+VLOOKUP($A1848,MAGAZZINO!$B$2:$M$4838,6,FALSE)</f>
        <v/>
      </c>
      <c r="G1848" s="17">
        <f>+VLOOKUP($A1848,MAGAZZINO!$B$2:$M$4838,7,FALSE)</f>
        <v/>
      </c>
      <c r="H1848" s="17">
        <f>+VLOOKUP($A1848,MAGAZZINO!$B$2:$M$4838,8,FALSE)</f>
        <v/>
      </c>
      <c r="I1848" s="17">
        <f>+VLOOKUP($A1848,MAGAZZINO!$B$2:$M$4838,9,FALSE)</f>
        <v/>
      </c>
      <c r="J1848" s="17">
        <f>+VLOOKUP($A1848,MAGAZZINO!$B$2:$M$4838,10,FALSE)</f>
        <v/>
      </c>
      <c r="K1848" s="17">
        <f>+VLOOKUP($A1848,MAGAZZINO!$B$2:$M$4838,11,FALSE)</f>
        <v/>
      </c>
      <c r="L1848" s="44">
        <f>+VLOOKUP($A1848,MAGAZZINO!$B$2:$M$4838,12,FALSE)</f>
        <v/>
      </c>
    </row>
    <row r="1849" ht="36" customHeight="1">
      <c r="A1849" s="30">
        <f>+REGISTRO!A1832</f>
        <v/>
      </c>
      <c r="B1849" s="31">
        <f>+VLOOKUP($A1849,MAGAZZINO!$B$2:$M$4838,2,FALSE)</f>
        <v/>
      </c>
      <c r="C1849" s="32">
        <f>+VLOOKUP($A1849,MAGAZZINO!$B$2:$M$4838,3,FALSE)</f>
        <v/>
      </c>
      <c r="D1849" s="17">
        <f>+VLOOKUP($A1849,MAGAZZINO!$B$2:$M$4838,4,FALSE)</f>
        <v/>
      </c>
      <c r="E1849" s="17">
        <f>+VLOOKUP($A1849,MAGAZZINO!$B$2:$M$4838,5,FALSE)</f>
        <v/>
      </c>
      <c r="F1849" s="17">
        <f>+VLOOKUP($A1849,MAGAZZINO!$B$2:$M$4838,6,FALSE)</f>
        <v/>
      </c>
      <c r="G1849" s="17">
        <f>+VLOOKUP($A1849,MAGAZZINO!$B$2:$M$4838,7,FALSE)</f>
        <v/>
      </c>
      <c r="H1849" s="17">
        <f>+VLOOKUP($A1849,MAGAZZINO!$B$2:$M$4838,8,FALSE)</f>
        <v/>
      </c>
      <c r="I1849" s="17">
        <f>+VLOOKUP($A1849,MAGAZZINO!$B$2:$M$4838,9,FALSE)</f>
        <v/>
      </c>
      <c r="J1849" s="17">
        <f>+VLOOKUP($A1849,MAGAZZINO!$B$2:$M$4838,10,FALSE)</f>
        <v/>
      </c>
      <c r="K1849" s="17">
        <f>+VLOOKUP($A1849,MAGAZZINO!$B$2:$M$4838,11,FALSE)</f>
        <v/>
      </c>
      <c r="L1849" s="44">
        <f>+VLOOKUP($A1849,MAGAZZINO!$B$2:$M$4838,12,FALSE)</f>
        <v/>
      </c>
    </row>
    <row r="1850" ht="36" customHeight="1">
      <c r="A1850" s="30">
        <f>+REGISTRO!A1833</f>
        <v/>
      </c>
      <c r="B1850" s="31">
        <f>+VLOOKUP($A1850,MAGAZZINO!$B$2:$M$4838,2,FALSE)</f>
        <v/>
      </c>
      <c r="C1850" s="32">
        <f>+VLOOKUP($A1850,MAGAZZINO!$B$2:$M$4838,3,FALSE)</f>
        <v/>
      </c>
      <c r="D1850" s="17">
        <f>+VLOOKUP($A1850,MAGAZZINO!$B$2:$M$4838,4,FALSE)</f>
        <v/>
      </c>
      <c r="E1850" s="17">
        <f>+VLOOKUP($A1850,MAGAZZINO!$B$2:$M$4838,5,FALSE)</f>
        <v/>
      </c>
      <c r="F1850" s="17">
        <f>+VLOOKUP($A1850,MAGAZZINO!$B$2:$M$4838,6,FALSE)</f>
        <v/>
      </c>
      <c r="G1850" s="17">
        <f>+VLOOKUP($A1850,MAGAZZINO!$B$2:$M$4838,7,FALSE)</f>
        <v/>
      </c>
      <c r="H1850" s="17">
        <f>+VLOOKUP($A1850,MAGAZZINO!$B$2:$M$4838,8,FALSE)</f>
        <v/>
      </c>
      <c r="I1850" s="17">
        <f>+VLOOKUP($A1850,MAGAZZINO!$B$2:$M$4838,9,FALSE)</f>
        <v/>
      </c>
      <c r="J1850" s="17">
        <f>+VLOOKUP($A1850,MAGAZZINO!$B$2:$M$4838,10,FALSE)</f>
        <v/>
      </c>
      <c r="K1850" s="17">
        <f>+VLOOKUP($A1850,MAGAZZINO!$B$2:$M$4838,11,FALSE)</f>
        <v/>
      </c>
      <c r="L1850" s="44">
        <f>+VLOOKUP($A1850,MAGAZZINO!$B$2:$M$4838,12,FALSE)</f>
        <v/>
      </c>
    </row>
    <row r="1851" ht="36" customHeight="1">
      <c r="A1851" s="30">
        <f>+REGISTRO!A1834</f>
        <v/>
      </c>
      <c r="B1851" s="31">
        <f>+VLOOKUP($A1851,MAGAZZINO!$B$2:$M$4838,2,FALSE)</f>
        <v/>
      </c>
      <c r="C1851" s="32">
        <f>+VLOOKUP($A1851,MAGAZZINO!$B$2:$M$4838,3,FALSE)</f>
        <v/>
      </c>
      <c r="D1851" s="17">
        <f>+VLOOKUP($A1851,MAGAZZINO!$B$2:$M$4838,4,FALSE)</f>
        <v/>
      </c>
      <c r="E1851" s="17">
        <f>+VLOOKUP($A1851,MAGAZZINO!$B$2:$M$4838,5,FALSE)</f>
        <v/>
      </c>
      <c r="F1851" s="17">
        <f>+VLOOKUP($A1851,MAGAZZINO!$B$2:$M$4838,6,FALSE)</f>
        <v/>
      </c>
      <c r="G1851" s="17">
        <f>+VLOOKUP($A1851,MAGAZZINO!$B$2:$M$4838,7,FALSE)</f>
        <v/>
      </c>
      <c r="H1851" s="17">
        <f>+VLOOKUP($A1851,MAGAZZINO!$B$2:$M$4838,8,FALSE)</f>
        <v/>
      </c>
      <c r="I1851" s="17">
        <f>+VLOOKUP($A1851,MAGAZZINO!$B$2:$M$4838,9,FALSE)</f>
        <v/>
      </c>
      <c r="J1851" s="17">
        <f>+VLOOKUP($A1851,MAGAZZINO!$B$2:$M$4838,10,FALSE)</f>
        <v/>
      </c>
      <c r="K1851" s="17">
        <f>+VLOOKUP($A1851,MAGAZZINO!$B$2:$M$4838,11,FALSE)</f>
        <v/>
      </c>
      <c r="L1851" s="44">
        <f>+VLOOKUP($A1851,MAGAZZINO!$B$2:$M$4838,12,FALSE)</f>
        <v/>
      </c>
    </row>
    <row r="1852" ht="36" customHeight="1">
      <c r="A1852" s="30">
        <f>+REGISTRO!A1835</f>
        <v/>
      </c>
      <c r="B1852" s="31">
        <f>+VLOOKUP($A1852,MAGAZZINO!$B$2:$M$4838,2,FALSE)</f>
        <v/>
      </c>
      <c r="C1852" s="32">
        <f>+VLOOKUP($A1852,MAGAZZINO!$B$2:$M$4838,3,FALSE)</f>
        <v/>
      </c>
      <c r="D1852" s="17">
        <f>+VLOOKUP($A1852,MAGAZZINO!$B$2:$M$4838,4,FALSE)</f>
        <v/>
      </c>
      <c r="E1852" s="17">
        <f>+VLOOKUP($A1852,MAGAZZINO!$B$2:$M$4838,5,FALSE)</f>
        <v/>
      </c>
      <c r="F1852" s="17">
        <f>+VLOOKUP($A1852,MAGAZZINO!$B$2:$M$4838,6,FALSE)</f>
        <v/>
      </c>
      <c r="G1852" s="17">
        <f>+VLOOKUP($A1852,MAGAZZINO!$B$2:$M$4838,7,FALSE)</f>
        <v/>
      </c>
      <c r="H1852" s="17">
        <f>+VLOOKUP($A1852,MAGAZZINO!$B$2:$M$4838,8,FALSE)</f>
        <v/>
      </c>
      <c r="I1852" s="17">
        <f>+VLOOKUP($A1852,MAGAZZINO!$B$2:$M$4838,9,FALSE)</f>
        <v/>
      </c>
      <c r="J1852" s="17">
        <f>+VLOOKUP($A1852,MAGAZZINO!$B$2:$M$4838,10,FALSE)</f>
        <v/>
      </c>
      <c r="K1852" s="17">
        <f>+VLOOKUP($A1852,MAGAZZINO!$B$2:$M$4838,11,FALSE)</f>
        <v/>
      </c>
      <c r="L1852" s="44">
        <f>+VLOOKUP($A1852,MAGAZZINO!$B$2:$M$4838,12,FALSE)</f>
        <v/>
      </c>
    </row>
    <row r="1853" ht="36" customHeight="1">
      <c r="A1853" s="30">
        <f>+REGISTRO!A1836</f>
        <v/>
      </c>
      <c r="B1853" s="31">
        <f>+VLOOKUP($A1853,MAGAZZINO!$B$2:$M$4838,2,FALSE)</f>
        <v/>
      </c>
      <c r="C1853" s="32">
        <f>+VLOOKUP($A1853,MAGAZZINO!$B$2:$M$4838,3,FALSE)</f>
        <v/>
      </c>
      <c r="D1853" s="17">
        <f>+VLOOKUP($A1853,MAGAZZINO!$B$2:$M$4838,4,FALSE)</f>
        <v/>
      </c>
      <c r="E1853" s="17">
        <f>+VLOOKUP($A1853,MAGAZZINO!$B$2:$M$4838,5,FALSE)</f>
        <v/>
      </c>
      <c r="F1853" s="17">
        <f>+VLOOKUP($A1853,MAGAZZINO!$B$2:$M$4838,6,FALSE)</f>
        <v/>
      </c>
      <c r="G1853" s="17">
        <f>+VLOOKUP($A1853,MAGAZZINO!$B$2:$M$4838,7,FALSE)</f>
        <v/>
      </c>
      <c r="H1853" s="17">
        <f>+VLOOKUP($A1853,MAGAZZINO!$B$2:$M$4838,8,FALSE)</f>
        <v/>
      </c>
      <c r="I1853" s="17">
        <f>+VLOOKUP($A1853,MAGAZZINO!$B$2:$M$4838,9,FALSE)</f>
        <v/>
      </c>
      <c r="J1853" s="17">
        <f>+VLOOKUP($A1853,MAGAZZINO!$B$2:$M$4838,10,FALSE)</f>
        <v/>
      </c>
      <c r="K1853" s="17">
        <f>+VLOOKUP($A1853,MAGAZZINO!$B$2:$M$4838,11,FALSE)</f>
        <v/>
      </c>
      <c r="L1853" s="44">
        <f>+VLOOKUP($A1853,MAGAZZINO!$B$2:$M$4838,12,FALSE)</f>
        <v/>
      </c>
    </row>
    <row r="1854" ht="36" customHeight="1">
      <c r="A1854" s="30">
        <f>+REGISTRO!A1837</f>
        <v/>
      </c>
      <c r="B1854" s="31">
        <f>+VLOOKUP($A1854,MAGAZZINO!$B$2:$M$4838,2,FALSE)</f>
        <v/>
      </c>
      <c r="C1854" s="32">
        <f>+VLOOKUP($A1854,MAGAZZINO!$B$2:$M$4838,3,FALSE)</f>
        <v/>
      </c>
      <c r="D1854" s="17">
        <f>+VLOOKUP($A1854,MAGAZZINO!$B$2:$M$4838,4,FALSE)</f>
        <v/>
      </c>
      <c r="E1854" s="17">
        <f>+VLOOKUP($A1854,MAGAZZINO!$B$2:$M$4838,5,FALSE)</f>
        <v/>
      </c>
      <c r="F1854" s="17">
        <f>+VLOOKUP($A1854,MAGAZZINO!$B$2:$M$4838,6,FALSE)</f>
        <v/>
      </c>
      <c r="G1854" s="17">
        <f>+VLOOKUP($A1854,MAGAZZINO!$B$2:$M$4838,7,FALSE)</f>
        <v/>
      </c>
      <c r="H1854" s="17">
        <f>+VLOOKUP($A1854,MAGAZZINO!$B$2:$M$4838,8,FALSE)</f>
        <v/>
      </c>
      <c r="I1854" s="17">
        <f>+VLOOKUP($A1854,MAGAZZINO!$B$2:$M$4838,9,FALSE)</f>
        <v/>
      </c>
      <c r="J1854" s="17">
        <f>+VLOOKUP($A1854,MAGAZZINO!$B$2:$M$4838,10,FALSE)</f>
        <v/>
      </c>
      <c r="K1854" s="17">
        <f>+VLOOKUP($A1854,MAGAZZINO!$B$2:$M$4838,11,FALSE)</f>
        <v/>
      </c>
      <c r="L1854" s="44">
        <f>+VLOOKUP($A1854,MAGAZZINO!$B$2:$M$4838,12,FALSE)</f>
        <v/>
      </c>
    </row>
    <row r="1855" ht="36" customHeight="1">
      <c r="A1855" s="30">
        <f>+REGISTRO!A1838</f>
        <v/>
      </c>
      <c r="B1855" s="31">
        <f>+VLOOKUP($A1855,MAGAZZINO!$B$2:$M$4838,2,FALSE)</f>
        <v/>
      </c>
      <c r="C1855" s="32">
        <f>+VLOOKUP($A1855,MAGAZZINO!$B$2:$M$4838,3,FALSE)</f>
        <v/>
      </c>
      <c r="D1855" s="17">
        <f>+VLOOKUP($A1855,MAGAZZINO!$B$2:$M$4838,4,FALSE)</f>
        <v/>
      </c>
      <c r="E1855" s="17">
        <f>+VLOOKUP($A1855,MAGAZZINO!$B$2:$M$4838,5,FALSE)</f>
        <v/>
      </c>
      <c r="F1855" s="17">
        <f>+VLOOKUP($A1855,MAGAZZINO!$B$2:$M$4838,6,FALSE)</f>
        <v/>
      </c>
      <c r="G1855" s="17">
        <f>+VLOOKUP($A1855,MAGAZZINO!$B$2:$M$4838,7,FALSE)</f>
        <v/>
      </c>
      <c r="H1855" s="17">
        <f>+VLOOKUP($A1855,MAGAZZINO!$B$2:$M$4838,8,FALSE)</f>
        <v/>
      </c>
      <c r="I1855" s="17">
        <f>+VLOOKUP($A1855,MAGAZZINO!$B$2:$M$4838,9,FALSE)</f>
        <v/>
      </c>
      <c r="J1855" s="17">
        <f>+VLOOKUP($A1855,MAGAZZINO!$B$2:$M$4838,10,FALSE)</f>
        <v/>
      </c>
      <c r="K1855" s="17">
        <f>+VLOOKUP($A1855,MAGAZZINO!$B$2:$M$4838,11,FALSE)</f>
        <v/>
      </c>
      <c r="L1855" s="44">
        <f>+VLOOKUP($A1855,MAGAZZINO!$B$2:$M$4838,12,FALSE)</f>
        <v/>
      </c>
    </row>
    <row r="1856" ht="36" customHeight="1">
      <c r="A1856" s="30">
        <f>+REGISTRO!A1839</f>
        <v/>
      </c>
      <c r="B1856" s="31">
        <f>+VLOOKUP($A1856,MAGAZZINO!$B$2:$M$4838,2,FALSE)</f>
        <v/>
      </c>
      <c r="C1856" s="32">
        <f>+VLOOKUP($A1856,MAGAZZINO!$B$2:$M$4838,3,FALSE)</f>
        <v/>
      </c>
      <c r="D1856" s="17">
        <f>+VLOOKUP($A1856,MAGAZZINO!$B$2:$M$4838,4,FALSE)</f>
        <v/>
      </c>
      <c r="E1856" s="17">
        <f>+VLOOKUP($A1856,MAGAZZINO!$B$2:$M$4838,5,FALSE)</f>
        <v/>
      </c>
      <c r="F1856" s="17">
        <f>+VLOOKUP($A1856,MAGAZZINO!$B$2:$M$4838,6,FALSE)</f>
        <v/>
      </c>
      <c r="G1856" s="17">
        <f>+VLOOKUP($A1856,MAGAZZINO!$B$2:$M$4838,7,FALSE)</f>
        <v/>
      </c>
      <c r="H1856" s="17">
        <f>+VLOOKUP($A1856,MAGAZZINO!$B$2:$M$4838,8,FALSE)</f>
        <v/>
      </c>
      <c r="I1856" s="17">
        <f>+VLOOKUP($A1856,MAGAZZINO!$B$2:$M$4838,9,FALSE)</f>
        <v/>
      </c>
      <c r="J1856" s="17">
        <f>+VLOOKUP($A1856,MAGAZZINO!$B$2:$M$4838,10,FALSE)</f>
        <v/>
      </c>
      <c r="K1856" s="17">
        <f>+VLOOKUP($A1856,MAGAZZINO!$B$2:$M$4838,11,FALSE)</f>
        <v/>
      </c>
      <c r="L1856" s="44">
        <f>+VLOOKUP($A1856,MAGAZZINO!$B$2:$M$4838,12,FALSE)</f>
        <v/>
      </c>
    </row>
    <row r="1857" ht="36" customHeight="1">
      <c r="A1857" s="30">
        <f>+REGISTRO!A1840</f>
        <v/>
      </c>
      <c r="B1857" s="31">
        <f>+VLOOKUP($A1857,MAGAZZINO!$B$2:$M$4838,2,FALSE)</f>
        <v/>
      </c>
      <c r="C1857" s="32">
        <f>+VLOOKUP($A1857,MAGAZZINO!$B$2:$M$4838,3,FALSE)</f>
        <v/>
      </c>
      <c r="D1857" s="17">
        <f>+VLOOKUP($A1857,MAGAZZINO!$B$2:$M$4838,4,FALSE)</f>
        <v/>
      </c>
      <c r="E1857" s="17">
        <f>+VLOOKUP($A1857,MAGAZZINO!$B$2:$M$4838,5,FALSE)</f>
        <v/>
      </c>
      <c r="F1857" s="17">
        <f>+VLOOKUP($A1857,MAGAZZINO!$B$2:$M$4838,6,FALSE)</f>
        <v/>
      </c>
      <c r="G1857" s="17">
        <f>+VLOOKUP($A1857,MAGAZZINO!$B$2:$M$4838,7,FALSE)</f>
        <v/>
      </c>
      <c r="H1857" s="17">
        <f>+VLOOKUP($A1857,MAGAZZINO!$B$2:$M$4838,8,FALSE)</f>
        <v/>
      </c>
      <c r="I1857" s="17">
        <f>+VLOOKUP($A1857,MAGAZZINO!$B$2:$M$4838,9,FALSE)</f>
        <v/>
      </c>
      <c r="J1857" s="17">
        <f>+VLOOKUP($A1857,MAGAZZINO!$B$2:$M$4838,10,FALSE)</f>
        <v/>
      </c>
      <c r="K1857" s="17">
        <f>+VLOOKUP($A1857,MAGAZZINO!$B$2:$M$4838,11,FALSE)</f>
        <v/>
      </c>
      <c r="L1857" s="44">
        <f>+VLOOKUP($A1857,MAGAZZINO!$B$2:$M$4838,12,FALSE)</f>
        <v/>
      </c>
    </row>
    <row r="1858" ht="36" customHeight="1">
      <c r="A1858" s="30">
        <f>+REGISTRO!A1841</f>
        <v/>
      </c>
      <c r="B1858" s="31">
        <f>+VLOOKUP($A1858,MAGAZZINO!$B$2:$M$4838,2,FALSE)</f>
        <v/>
      </c>
      <c r="C1858" s="32">
        <f>+VLOOKUP($A1858,MAGAZZINO!$B$2:$M$4838,3,FALSE)</f>
        <v/>
      </c>
      <c r="D1858" s="17">
        <f>+VLOOKUP($A1858,MAGAZZINO!$B$2:$M$4838,4,FALSE)</f>
        <v/>
      </c>
      <c r="E1858" s="17">
        <f>+VLOOKUP($A1858,MAGAZZINO!$B$2:$M$4838,5,FALSE)</f>
        <v/>
      </c>
      <c r="F1858" s="17">
        <f>+VLOOKUP($A1858,MAGAZZINO!$B$2:$M$4838,6,FALSE)</f>
        <v/>
      </c>
      <c r="G1858" s="17">
        <f>+VLOOKUP($A1858,MAGAZZINO!$B$2:$M$4838,7,FALSE)</f>
        <v/>
      </c>
      <c r="H1858" s="17">
        <f>+VLOOKUP($A1858,MAGAZZINO!$B$2:$M$4838,8,FALSE)</f>
        <v/>
      </c>
      <c r="I1858" s="17">
        <f>+VLOOKUP($A1858,MAGAZZINO!$B$2:$M$4838,9,FALSE)</f>
        <v/>
      </c>
      <c r="J1858" s="17">
        <f>+VLOOKUP($A1858,MAGAZZINO!$B$2:$M$4838,10,FALSE)</f>
        <v/>
      </c>
      <c r="K1858" s="17">
        <f>+VLOOKUP($A1858,MAGAZZINO!$B$2:$M$4838,11,FALSE)</f>
        <v/>
      </c>
      <c r="L1858" s="44">
        <f>+VLOOKUP($A1858,MAGAZZINO!$B$2:$M$4838,12,FALSE)</f>
        <v/>
      </c>
    </row>
    <row r="1859" ht="36" customHeight="1">
      <c r="A1859" s="30">
        <f>+REGISTRO!A1842</f>
        <v/>
      </c>
      <c r="B1859" s="31">
        <f>+VLOOKUP($A1859,MAGAZZINO!$B$2:$M$4838,2,FALSE)</f>
        <v/>
      </c>
      <c r="C1859" s="32">
        <f>+VLOOKUP($A1859,MAGAZZINO!$B$2:$M$4838,3,FALSE)</f>
        <v/>
      </c>
      <c r="D1859" s="17">
        <f>+VLOOKUP($A1859,MAGAZZINO!$B$2:$M$4838,4,FALSE)</f>
        <v/>
      </c>
      <c r="E1859" s="17">
        <f>+VLOOKUP($A1859,MAGAZZINO!$B$2:$M$4838,5,FALSE)</f>
        <v/>
      </c>
      <c r="F1859" s="17">
        <f>+VLOOKUP($A1859,MAGAZZINO!$B$2:$M$4838,6,FALSE)</f>
        <v/>
      </c>
      <c r="G1859" s="17">
        <f>+VLOOKUP($A1859,MAGAZZINO!$B$2:$M$4838,7,FALSE)</f>
        <v/>
      </c>
      <c r="H1859" s="17">
        <f>+VLOOKUP($A1859,MAGAZZINO!$B$2:$M$4838,8,FALSE)</f>
        <v/>
      </c>
      <c r="I1859" s="17">
        <f>+VLOOKUP($A1859,MAGAZZINO!$B$2:$M$4838,9,FALSE)</f>
        <v/>
      </c>
      <c r="J1859" s="17">
        <f>+VLOOKUP($A1859,MAGAZZINO!$B$2:$M$4838,10,FALSE)</f>
        <v/>
      </c>
      <c r="K1859" s="17">
        <f>+VLOOKUP($A1859,MAGAZZINO!$B$2:$M$4838,11,FALSE)</f>
        <v/>
      </c>
      <c r="L1859" s="44">
        <f>+VLOOKUP($A1859,MAGAZZINO!$B$2:$M$4838,12,FALSE)</f>
        <v/>
      </c>
    </row>
    <row r="1860" ht="36" customHeight="1">
      <c r="A1860" s="30">
        <f>+REGISTRO!A1843</f>
        <v/>
      </c>
      <c r="B1860" s="31">
        <f>+VLOOKUP($A1860,MAGAZZINO!$B$2:$M$4838,2,FALSE)</f>
        <v/>
      </c>
      <c r="C1860" s="32">
        <f>+VLOOKUP($A1860,MAGAZZINO!$B$2:$M$4838,3,FALSE)</f>
        <v/>
      </c>
      <c r="D1860" s="17">
        <f>+VLOOKUP($A1860,MAGAZZINO!$B$2:$M$4838,4,FALSE)</f>
        <v/>
      </c>
      <c r="E1860" s="17">
        <f>+VLOOKUP($A1860,MAGAZZINO!$B$2:$M$4838,5,FALSE)</f>
        <v/>
      </c>
      <c r="F1860" s="17">
        <f>+VLOOKUP($A1860,MAGAZZINO!$B$2:$M$4838,6,FALSE)</f>
        <v/>
      </c>
      <c r="G1860" s="17">
        <f>+VLOOKUP($A1860,MAGAZZINO!$B$2:$M$4838,7,FALSE)</f>
        <v/>
      </c>
      <c r="H1860" s="17">
        <f>+VLOOKUP($A1860,MAGAZZINO!$B$2:$M$4838,8,FALSE)</f>
        <v/>
      </c>
      <c r="I1860" s="17">
        <f>+VLOOKUP($A1860,MAGAZZINO!$B$2:$M$4838,9,FALSE)</f>
        <v/>
      </c>
      <c r="J1860" s="17">
        <f>+VLOOKUP($A1860,MAGAZZINO!$B$2:$M$4838,10,FALSE)</f>
        <v/>
      </c>
      <c r="K1860" s="17">
        <f>+VLOOKUP($A1860,MAGAZZINO!$B$2:$M$4838,11,FALSE)</f>
        <v/>
      </c>
      <c r="L1860" s="44">
        <f>+VLOOKUP($A1860,MAGAZZINO!$B$2:$M$4838,12,FALSE)</f>
        <v/>
      </c>
    </row>
    <row r="1861" ht="36" customHeight="1">
      <c r="A1861" s="30">
        <f>+REGISTRO!A1844</f>
        <v/>
      </c>
      <c r="B1861" s="31">
        <f>+VLOOKUP($A1861,MAGAZZINO!$B$2:$M$4838,2,FALSE)</f>
        <v/>
      </c>
      <c r="C1861" s="32">
        <f>+VLOOKUP($A1861,MAGAZZINO!$B$2:$M$4838,3,FALSE)</f>
        <v/>
      </c>
      <c r="D1861" s="17">
        <f>+VLOOKUP($A1861,MAGAZZINO!$B$2:$M$4838,4,FALSE)</f>
        <v/>
      </c>
      <c r="E1861" s="17">
        <f>+VLOOKUP($A1861,MAGAZZINO!$B$2:$M$4838,5,FALSE)</f>
        <v/>
      </c>
      <c r="F1861" s="17">
        <f>+VLOOKUP($A1861,MAGAZZINO!$B$2:$M$4838,6,FALSE)</f>
        <v/>
      </c>
      <c r="G1861" s="17">
        <f>+VLOOKUP($A1861,MAGAZZINO!$B$2:$M$4838,7,FALSE)</f>
        <v/>
      </c>
      <c r="H1861" s="17">
        <f>+VLOOKUP($A1861,MAGAZZINO!$B$2:$M$4838,8,FALSE)</f>
        <v/>
      </c>
      <c r="I1861" s="17">
        <f>+VLOOKUP($A1861,MAGAZZINO!$B$2:$M$4838,9,FALSE)</f>
        <v/>
      </c>
      <c r="J1861" s="17">
        <f>+VLOOKUP($A1861,MAGAZZINO!$B$2:$M$4838,10,FALSE)</f>
        <v/>
      </c>
      <c r="K1861" s="17">
        <f>+VLOOKUP($A1861,MAGAZZINO!$B$2:$M$4838,11,FALSE)</f>
        <v/>
      </c>
      <c r="L1861" s="44">
        <f>+VLOOKUP($A1861,MAGAZZINO!$B$2:$M$4838,12,FALSE)</f>
        <v/>
      </c>
    </row>
    <row r="1862" ht="36" customHeight="1">
      <c r="A1862" s="30">
        <f>+REGISTRO!A1845</f>
        <v/>
      </c>
      <c r="B1862" s="31">
        <f>+VLOOKUP($A1862,MAGAZZINO!$B$2:$M$4838,2,FALSE)</f>
        <v/>
      </c>
      <c r="C1862" s="32">
        <f>+VLOOKUP($A1862,MAGAZZINO!$B$2:$M$4838,3,FALSE)</f>
        <v/>
      </c>
      <c r="D1862" s="17">
        <f>+VLOOKUP($A1862,MAGAZZINO!$B$2:$M$4838,4,FALSE)</f>
        <v/>
      </c>
      <c r="E1862" s="17">
        <f>+VLOOKUP($A1862,MAGAZZINO!$B$2:$M$4838,5,FALSE)</f>
        <v/>
      </c>
      <c r="F1862" s="17">
        <f>+VLOOKUP($A1862,MAGAZZINO!$B$2:$M$4838,6,FALSE)</f>
        <v/>
      </c>
      <c r="G1862" s="17">
        <f>+VLOOKUP($A1862,MAGAZZINO!$B$2:$M$4838,7,FALSE)</f>
        <v/>
      </c>
      <c r="H1862" s="17">
        <f>+VLOOKUP($A1862,MAGAZZINO!$B$2:$M$4838,8,FALSE)</f>
        <v/>
      </c>
      <c r="I1862" s="17">
        <f>+VLOOKUP($A1862,MAGAZZINO!$B$2:$M$4838,9,FALSE)</f>
        <v/>
      </c>
      <c r="J1862" s="17">
        <f>+VLOOKUP($A1862,MAGAZZINO!$B$2:$M$4838,10,FALSE)</f>
        <v/>
      </c>
      <c r="K1862" s="17">
        <f>+VLOOKUP($A1862,MAGAZZINO!$B$2:$M$4838,11,FALSE)</f>
        <v/>
      </c>
      <c r="L1862" s="44">
        <f>+VLOOKUP($A1862,MAGAZZINO!$B$2:$M$4838,12,FALSE)</f>
        <v/>
      </c>
    </row>
    <row r="1863" ht="36" customHeight="1">
      <c r="A1863" s="30">
        <f>+REGISTRO!A1846</f>
        <v/>
      </c>
      <c r="B1863" s="31">
        <f>+VLOOKUP($A1863,MAGAZZINO!$B$2:$M$4838,2,FALSE)</f>
        <v/>
      </c>
      <c r="C1863" s="32">
        <f>+VLOOKUP($A1863,MAGAZZINO!$B$2:$M$4838,3,FALSE)</f>
        <v/>
      </c>
      <c r="D1863" s="17">
        <f>+VLOOKUP($A1863,MAGAZZINO!$B$2:$M$4838,4,FALSE)</f>
        <v/>
      </c>
      <c r="E1863" s="17">
        <f>+VLOOKUP($A1863,MAGAZZINO!$B$2:$M$4838,5,FALSE)</f>
        <v/>
      </c>
      <c r="F1863" s="17">
        <f>+VLOOKUP($A1863,MAGAZZINO!$B$2:$M$4838,6,FALSE)</f>
        <v/>
      </c>
      <c r="G1863" s="17">
        <f>+VLOOKUP($A1863,MAGAZZINO!$B$2:$M$4838,7,FALSE)</f>
        <v/>
      </c>
      <c r="H1863" s="17">
        <f>+VLOOKUP($A1863,MAGAZZINO!$B$2:$M$4838,8,FALSE)</f>
        <v/>
      </c>
      <c r="I1863" s="17">
        <f>+VLOOKUP($A1863,MAGAZZINO!$B$2:$M$4838,9,FALSE)</f>
        <v/>
      </c>
      <c r="J1863" s="17">
        <f>+VLOOKUP($A1863,MAGAZZINO!$B$2:$M$4838,10,FALSE)</f>
        <v/>
      </c>
      <c r="K1863" s="17">
        <f>+VLOOKUP($A1863,MAGAZZINO!$B$2:$M$4838,11,FALSE)</f>
        <v/>
      </c>
      <c r="L1863" s="44">
        <f>+VLOOKUP($A1863,MAGAZZINO!$B$2:$M$4838,12,FALSE)</f>
        <v/>
      </c>
    </row>
    <row r="1864" ht="36" customHeight="1">
      <c r="A1864" s="30">
        <f>+REGISTRO!A1847</f>
        <v/>
      </c>
      <c r="B1864" s="31">
        <f>+VLOOKUP($A1864,MAGAZZINO!$B$2:$M$4838,2,FALSE)</f>
        <v/>
      </c>
      <c r="C1864" s="32">
        <f>+VLOOKUP($A1864,MAGAZZINO!$B$2:$M$4838,3,FALSE)</f>
        <v/>
      </c>
      <c r="D1864" s="17">
        <f>+VLOOKUP($A1864,MAGAZZINO!$B$2:$M$4838,4,FALSE)</f>
        <v/>
      </c>
      <c r="E1864" s="17">
        <f>+VLOOKUP($A1864,MAGAZZINO!$B$2:$M$4838,5,FALSE)</f>
        <v/>
      </c>
      <c r="F1864" s="17">
        <f>+VLOOKUP($A1864,MAGAZZINO!$B$2:$M$4838,6,FALSE)</f>
        <v/>
      </c>
      <c r="G1864" s="17">
        <f>+VLOOKUP($A1864,MAGAZZINO!$B$2:$M$4838,7,FALSE)</f>
        <v/>
      </c>
      <c r="H1864" s="17">
        <f>+VLOOKUP($A1864,MAGAZZINO!$B$2:$M$4838,8,FALSE)</f>
        <v/>
      </c>
      <c r="I1864" s="17">
        <f>+VLOOKUP($A1864,MAGAZZINO!$B$2:$M$4838,9,FALSE)</f>
        <v/>
      </c>
      <c r="J1864" s="17">
        <f>+VLOOKUP($A1864,MAGAZZINO!$B$2:$M$4838,10,FALSE)</f>
        <v/>
      </c>
      <c r="K1864" s="17">
        <f>+VLOOKUP($A1864,MAGAZZINO!$B$2:$M$4838,11,FALSE)</f>
        <v/>
      </c>
      <c r="L1864" s="44">
        <f>+VLOOKUP($A1864,MAGAZZINO!$B$2:$M$4838,12,FALSE)</f>
        <v/>
      </c>
    </row>
    <row r="1865" ht="36" customHeight="1">
      <c r="A1865" s="30">
        <f>+REGISTRO!A1848</f>
        <v/>
      </c>
      <c r="B1865" s="31">
        <f>+VLOOKUP($A1865,MAGAZZINO!$B$2:$M$4838,2,FALSE)</f>
        <v/>
      </c>
      <c r="C1865" s="32">
        <f>+VLOOKUP($A1865,MAGAZZINO!$B$2:$M$4838,3,FALSE)</f>
        <v/>
      </c>
      <c r="D1865" s="17">
        <f>+VLOOKUP($A1865,MAGAZZINO!$B$2:$M$4838,4,FALSE)</f>
        <v/>
      </c>
      <c r="E1865" s="17">
        <f>+VLOOKUP($A1865,MAGAZZINO!$B$2:$M$4838,5,FALSE)</f>
        <v/>
      </c>
      <c r="F1865" s="17">
        <f>+VLOOKUP($A1865,MAGAZZINO!$B$2:$M$4838,6,FALSE)</f>
        <v/>
      </c>
      <c r="G1865" s="17">
        <f>+VLOOKUP($A1865,MAGAZZINO!$B$2:$M$4838,7,FALSE)</f>
        <v/>
      </c>
      <c r="H1865" s="17">
        <f>+VLOOKUP($A1865,MAGAZZINO!$B$2:$M$4838,8,FALSE)</f>
        <v/>
      </c>
      <c r="I1865" s="17">
        <f>+VLOOKUP($A1865,MAGAZZINO!$B$2:$M$4838,9,FALSE)</f>
        <v/>
      </c>
      <c r="J1865" s="17">
        <f>+VLOOKUP($A1865,MAGAZZINO!$B$2:$M$4838,10,FALSE)</f>
        <v/>
      </c>
      <c r="K1865" s="17">
        <f>+VLOOKUP($A1865,MAGAZZINO!$B$2:$M$4838,11,FALSE)</f>
        <v/>
      </c>
      <c r="L1865" s="44">
        <f>+VLOOKUP($A1865,MAGAZZINO!$B$2:$M$4838,12,FALSE)</f>
        <v/>
      </c>
    </row>
    <row r="1866" ht="36" customHeight="1">
      <c r="A1866" s="30">
        <f>+REGISTRO!A1849</f>
        <v/>
      </c>
      <c r="B1866" s="31">
        <f>+VLOOKUP($A1866,MAGAZZINO!$B$2:$M$4838,2,FALSE)</f>
        <v/>
      </c>
      <c r="C1866" s="32">
        <f>+VLOOKUP($A1866,MAGAZZINO!$B$2:$M$4838,3,FALSE)</f>
        <v/>
      </c>
      <c r="D1866" s="17">
        <f>+VLOOKUP($A1866,MAGAZZINO!$B$2:$M$4838,4,FALSE)</f>
        <v/>
      </c>
      <c r="E1866" s="17">
        <f>+VLOOKUP($A1866,MAGAZZINO!$B$2:$M$4838,5,FALSE)</f>
        <v/>
      </c>
      <c r="F1866" s="17">
        <f>+VLOOKUP($A1866,MAGAZZINO!$B$2:$M$4838,6,FALSE)</f>
        <v/>
      </c>
      <c r="G1866" s="17">
        <f>+VLOOKUP($A1866,MAGAZZINO!$B$2:$M$4838,7,FALSE)</f>
        <v/>
      </c>
      <c r="H1866" s="17">
        <f>+VLOOKUP($A1866,MAGAZZINO!$B$2:$M$4838,8,FALSE)</f>
        <v/>
      </c>
      <c r="I1866" s="17">
        <f>+VLOOKUP($A1866,MAGAZZINO!$B$2:$M$4838,9,FALSE)</f>
        <v/>
      </c>
      <c r="J1866" s="17">
        <f>+VLOOKUP($A1866,MAGAZZINO!$B$2:$M$4838,10,FALSE)</f>
        <v/>
      </c>
      <c r="K1866" s="17">
        <f>+VLOOKUP($A1866,MAGAZZINO!$B$2:$M$4838,11,FALSE)</f>
        <v/>
      </c>
      <c r="L1866" s="44">
        <f>+VLOOKUP($A1866,MAGAZZINO!$B$2:$M$4838,12,FALSE)</f>
        <v/>
      </c>
    </row>
    <row r="1867" ht="36" customHeight="1">
      <c r="A1867" s="30">
        <f>+REGISTRO!A1850</f>
        <v/>
      </c>
      <c r="B1867" s="31">
        <f>+VLOOKUP($A1867,MAGAZZINO!$B$2:$M$4838,2,FALSE)</f>
        <v/>
      </c>
      <c r="C1867" s="32">
        <f>+VLOOKUP($A1867,MAGAZZINO!$B$2:$M$4838,3,FALSE)</f>
        <v/>
      </c>
      <c r="D1867" s="17">
        <f>+VLOOKUP($A1867,MAGAZZINO!$B$2:$M$4838,4,FALSE)</f>
        <v/>
      </c>
      <c r="E1867" s="17">
        <f>+VLOOKUP($A1867,MAGAZZINO!$B$2:$M$4838,5,FALSE)</f>
        <v/>
      </c>
      <c r="F1867" s="17">
        <f>+VLOOKUP($A1867,MAGAZZINO!$B$2:$M$4838,6,FALSE)</f>
        <v/>
      </c>
      <c r="G1867" s="17">
        <f>+VLOOKUP($A1867,MAGAZZINO!$B$2:$M$4838,7,FALSE)</f>
        <v/>
      </c>
      <c r="H1867" s="17">
        <f>+VLOOKUP($A1867,MAGAZZINO!$B$2:$M$4838,8,FALSE)</f>
        <v/>
      </c>
      <c r="I1867" s="17">
        <f>+VLOOKUP($A1867,MAGAZZINO!$B$2:$M$4838,9,FALSE)</f>
        <v/>
      </c>
      <c r="J1867" s="17">
        <f>+VLOOKUP($A1867,MAGAZZINO!$B$2:$M$4838,10,FALSE)</f>
        <v/>
      </c>
      <c r="K1867" s="17">
        <f>+VLOOKUP($A1867,MAGAZZINO!$B$2:$M$4838,11,FALSE)</f>
        <v/>
      </c>
      <c r="L1867" s="44">
        <f>+VLOOKUP($A1867,MAGAZZINO!$B$2:$M$4838,12,FALSE)</f>
        <v/>
      </c>
    </row>
    <row r="1868" ht="36" customHeight="1">
      <c r="A1868" s="30">
        <f>+REGISTRO!A1851</f>
        <v/>
      </c>
      <c r="B1868" s="31">
        <f>+VLOOKUP($A1868,MAGAZZINO!$B$2:$M$4838,2,FALSE)</f>
        <v/>
      </c>
      <c r="C1868" s="32">
        <f>+VLOOKUP($A1868,MAGAZZINO!$B$2:$M$4838,3,FALSE)</f>
        <v/>
      </c>
      <c r="D1868" s="17">
        <f>+VLOOKUP($A1868,MAGAZZINO!$B$2:$M$4838,4,FALSE)</f>
        <v/>
      </c>
      <c r="E1868" s="17">
        <f>+VLOOKUP($A1868,MAGAZZINO!$B$2:$M$4838,5,FALSE)</f>
        <v/>
      </c>
      <c r="F1868" s="17">
        <f>+VLOOKUP($A1868,MAGAZZINO!$B$2:$M$4838,6,FALSE)</f>
        <v/>
      </c>
      <c r="G1868" s="17">
        <f>+VLOOKUP($A1868,MAGAZZINO!$B$2:$M$4838,7,FALSE)</f>
        <v/>
      </c>
      <c r="H1868" s="17">
        <f>+VLOOKUP($A1868,MAGAZZINO!$B$2:$M$4838,8,FALSE)</f>
        <v/>
      </c>
      <c r="I1868" s="17">
        <f>+VLOOKUP($A1868,MAGAZZINO!$B$2:$M$4838,9,FALSE)</f>
        <v/>
      </c>
      <c r="J1868" s="17">
        <f>+VLOOKUP($A1868,MAGAZZINO!$B$2:$M$4838,10,FALSE)</f>
        <v/>
      </c>
      <c r="K1868" s="17">
        <f>+VLOOKUP($A1868,MAGAZZINO!$B$2:$M$4838,11,FALSE)</f>
        <v/>
      </c>
      <c r="L1868" s="44">
        <f>+VLOOKUP($A1868,MAGAZZINO!$B$2:$M$4838,12,FALSE)</f>
        <v/>
      </c>
    </row>
    <row r="1869" ht="36" customHeight="1">
      <c r="A1869" s="30">
        <f>+REGISTRO!A1852</f>
        <v/>
      </c>
      <c r="B1869" s="31">
        <f>+VLOOKUP($A1869,MAGAZZINO!$B$2:$M$4838,2,FALSE)</f>
        <v/>
      </c>
      <c r="C1869" s="32">
        <f>+VLOOKUP($A1869,MAGAZZINO!$B$2:$M$4838,3,FALSE)</f>
        <v/>
      </c>
      <c r="D1869" s="17">
        <f>+VLOOKUP($A1869,MAGAZZINO!$B$2:$M$4838,4,FALSE)</f>
        <v/>
      </c>
      <c r="E1869" s="17">
        <f>+VLOOKUP($A1869,MAGAZZINO!$B$2:$M$4838,5,FALSE)</f>
        <v/>
      </c>
      <c r="F1869" s="17">
        <f>+VLOOKUP($A1869,MAGAZZINO!$B$2:$M$4838,6,FALSE)</f>
        <v/>
      </c>
      <c r="G1869" s="17">
        <f>+VLOOKUP($A1869,MAGAZZINO!$B$2:$M$4838,7,FALSE)</f>
        <v/>
      </c>
      <c r="H1869" s="17">
        <f>+VLOOKUP($A1869,MAGAZZINO!$B$2:$M$4838,8,FALSE)</f>
        <v/>
      </c>
      <c r="I1869" s="17">
        <f>+VLOOKUP($A1869,MAGAZZINO!$B$2:$M$4838,9,FALSE)</f>
        <v/>
      </c>
      <c r="J1869" s="17">
        <f>+VLOOKUP($A1869,MAGAZZINO!$B$2:$M$4838,10,FALSE)</f>
        <v/>
      </c>
      <c r="K1869" s="17">
        <f>+VLOOKUP($A1869,MAGAZZINO!$B$2:$M$4838,11,FALSE)</f>
        <v/>
      </c>
      <c r="L1869" s="44">
        <f>+VLOOKUP($A1869,MAGAZZINO!$B$2:$M$4838,12,FALSE)</f>
        <v/>
      </c>
    </row>
    <row r="1870" ht="36" customHeight="1">
      <c r="A1870" s="30">
        <f>+REGISTRO!A1853</f>
        <v/>
      </c>
      <c r="B1870" s="31">
        <f>+VLOOKUP($A1870,MAGAZZINO!$B$2:$M$4838,2,FALSE)</f>
        <v/>
      </c>
      <c r="C1870" s="32">
        <f>+VLOOKUP($A1870,MAGAZZINO!$B$2:$M$4838,3,FALSE)</f>
        <v/>
      </c>
      <c r="D1870" s="17">
        <f>+VLOOKUP($A1870,MAGAZZINO!$B$2:$M$4838,4,FALSE)</f>
        <v/>
      </c>
      <c r="E1870" s="17">
        <f>+VLOOKUP($A1870,MAGAZZINO!$B$2:$M$4838,5,FALSE)</f>
        <v/>
      </c>
      <c r="F1870" s="17">
        <f>+VLOOKUP($A1870,MAGAZZINO!$B$2:$M$4838,6,FALSE)</f>
        <v/>
      </c>
      <c r="G1870" s="17">
        <f>+VLOOKUP($A1870,MAGAZZINO!$B$2:$M$4838,7,FALSE)</f>
        <v/>
      </c>
      <c r="H1870" s="17">
        <f>+VLOOKUP($A1870,MAGAZZINO!$B$2:$M$4838,8,FALSE)</f>
        <v/>
      </c>
      <c r="I1870" s="17">
        <f>+VLOOKUP($A1870,MAGAZZINO!$B$2:$M$4838,9,FALSE)</f>
        <v/>
      </c>
      <c r="J1870" s="17">
        <f>+VLOOKUP($A1870,MAGAZZINO!$B$2:$M$4838,10,FALSE)</f>
        <v/>
      </c>
      <c r="K1870" s="17">
        <f>+VLOOKUP($A1870,MAGAZZINO!$B$2:$M$4838,11,FALSE)</f>
        <v/>
      </c>
      <c r="L1870" s="44">
        <f>+VLOOKUP($A1870,MAGAZZINO!$B$2:$M$4838,12,FALSE)</f>
        <v/>
      </c>
    </row>
    <row r="1871" ht="36" customHeight="1">
      <c r="A1871" s="30">
        <f>+REGISTRO!A1854</f>
        <v/>
      </c>
      <c r="B1871" s="31">
        <f>+VLOOKUP($A1871,MAGAZZINO!$B$2:$M$4838,2,FALSE)</f>
        <v/>
      </c>
      <c r="C1871" s="32">
        <f>+VLOOKUP($A1871,MAGAZZINO!$B$2:$M$4838,3,FALSE)</f>
        <v/>
      </c>
      <c r="D1871" s="17">
        <f>+VLOOKUP($A1871,MAGAZZINO!$B$2:$M$4838,4,FALSE)</f>
        <v/>
      </c>
      <c r="E1871" s="17">
        <f>+VLOOKUP($A1871,MAGAZZINO!$B$2:$M$4838,5,FALSE)</f>
        <v/>
      </c>
      <c r="F1871" s="17">
        <f>+VLOOKUP($A1871,MAGAZZINO!$B$2:$M$4838,6,FALSE)</f>
        <v/>
      </c>
      <c r="G1871" s="17">
        <f>+VLOOKUP($A1871,MAGAZZINO!$B$2:$M$4838,7,FALSE)</f>
        <v/>
      </c>
      <c r="H1871" s="17">
        <f>+VLOOKUP($A1871,MAGAZZINO!$B$2:$M$4838,8,FALSE)</f>
        <v/>
      </c>
      <c r="I1871" s="17">
        <f>+VLOOKUP($A1871,MAGAZZINO!$B$2:$M$4838,9,FALSE)</f>
        <v/>
      </c>
      <c r="J1871" s="17">
        <f>+VLOOKUP($A1871,MAGAZZINO!$B$2:$M$4838,10,FALSE)</f>
        <v/>
      </c>
      <c r="K1871" s="17">
        <f>+VLOOKUP($A1871,MAGAZZINO!$B$2:$M$4838,11,FALSE)</f>
        <v/>
      </c>
      <c r="L1871" s="44">
        <f>+VLOOKUP($A1871,MAGAZZINO!$B$2:$M$4838,12,FALSE)</f>
        <v/>
      </c>
    </row>
    <row r="1872" ht="36" customHeight="1">
      <c r="A1872" s="30">
        <f>+REGISTRO!A1855</f>
        <v/>
      </c>
      <c r="B1872" s="31">
        <f>+VLOOKUP($A1872,MAGAZZINO!$B$2:$M$4838,2,FALSE)</f>
        <v/>
      </c>
      <c r="C1872" s="32">
        <f>+VLOOKUP($A1872,MAGAZZINO!$B$2:$M$4838,3,FALSE)</f>
        <v/>
      </c>
      <c r="D1872" s="17">
        <f>+VLOOKUP($A1872,MAGAZZINO!$B$2:$M$4838,4,FALSE)</f>
        <v/>
      </c>
      <c r="E1872" s="17">
        <f>+VLOOKUP($A1872,MAGAZZINO!$B$2:$M$4838,5,FALSE)</f>
        <v/>
      </c>
      <c r="F1872" s="17">
        <f>+VLOOKUP($A1872,MAGAZZINO!$B$2:$M$4838,6,FALSE)</f>
        <v/>
      </c>
      <c r="G1872" s="17">
        <f>+VLOOKUP($A1872,MAGAZZINO!$B$2:$M$4838,7,FALSE)</f>
        <v/>
      </c>
      <c r="H1872" s="17">
        <f>+VLOOKUP($A1872,MAGAZZINO!$B$2:$M$4838,8,FALSE)</f>
        <v/>
      </c>
      <c r="I1872" s="17">
        <f>+VLOOKUP($A1872,MAGAZZINO!$B$2:$M$4838,9,FALSE)</f>
        <v/>
      </c>
      <c r="J1872" s="17">
        <f>+VLOOKUP($A1872,MAGAZZINO!$B$2:$M$4838,10,FALSE)</f>
        <v/>
      </c>
      <c r="K1872" s="17">
        <f>+VLOOKUP($A1872,MAGAZZINO!$B$2:$M$4838,11,FALSE)</f>
        <v/>
      </c>
      <c r="L1872" s="44">
        <f>+VLOOKUP($A1872,MAGAZZINO!$B$2:$M$4838,12,FALSE)</f>
        <v/>
      </c>
    </row>
    <row r="1873" ht="36" customHeight="1">
      <c r="A1873" s="30">
        <f>+REGISTRO!A1856</f>
        <v/>
      </c>
      <c r="B1873" s="31">
        <f>+VLOOKUP($A1873,MAGAZZINO!$B$2:$M$4838,2,FALSE)</f>
        <v/>
      </c>
      <c r="C1873" s="32">
        <f>+VLOOKUP($A1873,MAGAZZINO!$B$2:$M$4838,3,FALSE)</f>
        <v/>
      </c>
      <c r="D1873" s="17">
        <f>+VLOOKUP($A1873,MAGAZZINO!$B$2:$M$4838,4,FALSE)</f>
        <v/>
      </c>
      <c r="E1873" s="17">
        <f>+VLOOKUP($A1873,MAGAZZINO!$B$2:$M$4838,5,FALSE)</f>
        <v/>
      </c>
      <c r="F1873" s="17">
        <f>+VLOOKUP($A1873,MAGAZZINO!$B$2:$M$4838,6,FALSE)</f>
        <v/>
      </c>
      <c r="G1873" s="17">
        <f>+VLOOKUP($A1873,MAGAZZINO!$B$2:$M$4838,7,FALSE)</f>
        <v/>
      </c>
      <c r="H1873" s="17">
        <f>+VLOOKUP($A1873,MAGAZZINO!$B$2:$M$4838,8,FALSE)</f>
        <v/>
      </c>
      <c r="I1873" s="17">
        <f>+VLOOKUP($A1873,MAGAZZINO!$B$2:$M$4838,9,FALSE)</f>
        <v/>
      </c>
      <c r="J1873" s="17">
        <f>+VLOOKUP($A1873,MAGAZZINO!$B$2:$M$4838,10,FALSE)</f>
        <v/>
      </c>
      <c r="K1873" s="17">
        <f>+VLOOKUP($A1873,MAGAZZINO!$B$2:$M$4838,11,FALSE)</f>
        <v/>
      </c>
      <c r="L1873" s="44">
        <f>+VLOOKUP($A1873,MAGAZZINO!$B$2:$M$4838,12,FALSE)</f>
        <v/>
      </c>
    </row>
    <row r="1874" ht="36" customHeight="1">
      <c r="A1874" s="30">
        <f>+REGISTRO!A1857</f>
        <v/>
      </c>
      <c r="B1874" s="31">
        <f>+VLOOKUP($A1874,MAGAZZINO!$B$2:$M$4838,2,FALSE)</f>
        <v/>
      </c>
      <c r="C1874" s="32">
        <f>+VLOOKUP($A1874,MAGAZZINO!$B$2:$M$4838,3,FALSE)</f>
        <v/>
      </c>
      <c r="D1874" s="17">
        <f>+VLOOKUP($A1874,MAGAZZINO!$B$2:$M$4838,4,FALSE)</f>
        <v/>
      </c>
      <c r="E1874" s="17">
        <f>+VLOOKUP($A1874,MAGAZZINO!$B$2:$M$4838,5,FALSE)</f>
        <v/>
      </c>
      <c r="F1874" s="17">
        <f>+VLOOKUP($A1874,MAGAZZINO!$B$2:$M$4838,6,FALSE)</f>
        <v/>
      </c>
      <c r="G1874" s="17">
        <f>+VLOOKUP($A1874,MAGAZZINO!$B$2:$M$4838,7,FALSE)</f>
        <v/>
      </c>
      <c r="H1874" s="17">
        <f>+VLOOKUP($A1874,MAGAZZINO!$B$2:$M$4838,8,FALSE)</f>
        <v/>
      </c>
      <c r="I1874" s="17">
        <f>+VLOOKUP($A1874,MAGAZZINO!$B$2:$M$4838,9,FALSE)</f>
        <v/>
      </c>
      <c r="J1874" s="17">
        <f>+VLOOKUP($A1874,MAGAZZINO!$B$2:$M$4838,10,FALSE)</f>
        <v/>
      </c>
      <c r="K1874" s="17">
        <f>+VLOOKUP($A1874,MAGAZZINO!$B$2:$M$4838,11,FALSE)</f>
        <v/>
      </c>
      <c r="L1874" s="44">
        <f>+VLOOKUP($A1874,MAGAZZINO!$B$2:$M$4838,12,FALSE)</f>
        <v/>
      </c>
    </row>
    <row r="1875" ht="36" customHeight="1">
      <c r="A1875" s="30">
        <f>+REGISTRO!A1858</f>
        <v/>
      </c>
      <c r="B1875" s="31">
        <f>+VLOOKUP($A1875,MAGAZZINO!$B$2:$M$4838,2,FALSE)</f>
        <v/>
      </c>
      <c r="C1875" s="32">
        <f>+VLOOKUP($A1875,MAGAZZINO!$B$2:$M$4838,3,FALSE)</f>
        <v/>
      </c>
      <c r="D1875" s="17">
        <f>+VLOOKUP($A1875,MAGAZZINO!$B$2:$M$4838,4,FALSE)</f>
        <v/>
      </c>
      <c r="E1875" s="17">
        <f>+VLOOKUP($A1875,MAGAZZINO!$B$2:$M$4838,5,FALSE)</f>
        <v/>
      </c>
      <c r="F1875" s="17">
        <f>+VLOOKUP($A1875,MAGAZZINO!$B$2:$M$4838,6,FALSE)</f>
        <v/>
      </c>
      <c r="G1875" s="17">
        <f>+VLOOKUP($A1875,MAGAZZINO!$B$2:$M$4838,7,FALSE)</f>
        <v/>
      </c>
      <c r="H1875" s="17">
        <f>+VLOOKUP($A1875,MAGAZZINO!$B$2:$M$4838,8,FALSE)</f>
        <v/>
      </c>
      <c r="I1875" s="17">
        <f>+VLOOKUP($A1875,MAGAZZINO!$B$2:$M$4838,9,FALSE)</f>
        <v/>
      </c>
      <c r="J1875" s="17">
        <f>+VLOOKUP($A1875,MAGAZZINO!$B$2:$M$4838,10,FALSE)</f>
        <v/>
      </c>
      <c r="K1875" s="17">
        <f>+VLOOKUP($A1875,MAGAZZINO!$B$2:$M$4838,11,FALSE)</f>
        <v/>
      </c>
      <c r="L1875" s="44">
        <f>+VLOOKUP($A1875,MAGAZZINO!$B$2:$M$4838,12,FALSE)</f>
        <v/>
      </c>
    </row>
    <row r="1876" ht="36" customHeight="1">
      <c r="A1876" s="30">
        <f>+REGISTRO!A1859</f>
        <v/>
      </c>
      <c r="B1876" s="31">
        <f>+VLOOKUP($A1876,MAGAZZINO!$B$2:$M$4838,2,FALSE)</f>
        <v/>
      </c>
      <c r="C1876" s="32">
        <f>+VLOOKUP($A1876,MAGAZZINO!$B$2:$M$4838,3,FALSE)</f>
        <v/>
      </c>
      <c r="D1876" s="17">
        <f>+VLOOKUP($A1876,MAGAZZINO!$B$2:$M$4838,4,FALSE)</f>
        <v/>
      </c>
      <c r="E1876" s="17">
        <f>+VLOOKUP($A1876,MAGAZZINO!$B$2:$M$4838,5,FALSE)</f>
        <v/>
      </c>
      <c r="F1876" s="17">
        <f>+VLOOKUP($A1876,MAGAZZINO!$B$2:$M$4838,6,FALSE)</f>
        <v/>
      </c>
      <c r="G1876" s="17">
        <f>+VLOOKUP($A1876,MAGAZZINO!$B$2:$M$4838,7,FALSE)</f>
        <v/>
      </c>
      <c r="H1876" s="17">
        <f>+VLOOKUP($A1876,MAGAZZINO!$B$2:$M$4838,8,FALSE)</f>
        <v/>
      </c>
      <c r="I1876" s="17">
        <f>+VLOOKUP($A1876,MAGAZZINO!$B$2:$M$4838,9,FALSE)</f>
        <v/>
      </c>
      <c r="J1876" s="17">
        <f>+VLOOKUP($A1876,MAGAZZINO!$B$2:$M$4838,10,FALSE)</f>
        <v/>
      </c>
      <c r="K1876" s="17">
        <f>+VLOOKUP($A1876,MAGAZZINO!$B$2:$M$4838,11,FALSE)</f>
        <v/>
      </c>
      <c r="L1876" s="44">
        <f>+VLOOKUP($A1876,MAGAZZINO!$B$2:$M$4838,12,FALSE)</f>
        <v/>
      </c>
    </row>
    <row r="1877" ht="36" customHeight="1">
      <c r="A1877" s="30">
        <f>+REGISTRO!A1860</f>
        <v/>
      </c>
      <c r="B1877" s="31">
        <f>+VLOOKUP($A1877,MAGAZZINO!$B$2:$M$4838,2,FALSE)</f>
        <v/>
      </c>
      <c r="C1877" s="32">
        <f>+VLOOKUP($A1877,MAGAZZINO!$B$2:$M$4838,3,FALSE)</f>
        <v/>
      </c>
      <c r="D1877" s="17">
        <f>+VLOOKUP($A1877,MAGAZZINO!$B$2:$M$4838,4,FALSE)</f>
        <v/>
      </c>
      <c r="E1877" s="17">
        <f>+VLOOKUP($A1877,MAGAZZINO!$B$2:$M$4838,5,FALSE)</f>
        <v/>
      </c>
      <c r="F1877" s="17">
        <f>+VLOOKUP($A1877,MAGAZZINO!$B$2:$M$4838,6,FALSE)</f>
        <v/>
      </c>
      <c r="G1877" s="17">
        <f>+VLOOKUP($A1877,MAGAZZINO!$B$2:$M$4838,7,FALSE)</f>
        <v/>
      </c>
      <c r="H1877" s="17">
        <f>+VLOOKUP($A1877,MAGAZZINO!$B$2:$M$4838,8,FALSE)</f>
        <v/>
      </c>
      <c r="I1877" s="17">
        <f>+VLOOKUP($A1877,MAGAZZINO!$B$2:$M$4838,9,FALSE)</f>
        <v/>
      </c>
      <c r="J1877" s="17">
        <f>+VLOOKUP($A1877,MAGAZZINO!$B$2:$M$4838,10,FALSE)</f>
        <v/>
      </c>
      <c r="K1877" s="17">
        <f>+VLOOKUP($A1877,MAGAZZINO!$B$2:$M$4838,11,FALSE)</f>
        <v/>
      </c>
      <c r="L1877" s="44">
        <f>+VLOOKUP($A1877,MAGAZZINO!$B$2:$M$4838,12,FALSE)</f>
        <v/>
      </c>
    </row>
    <row r="1878" ht="36" customHeight="1">
      <c r="A1878" s="30">
        <f>+REGISTRO!A1861</f>
        <v/>
      </c>
      <c r="B1878" s="31">
        <f>+VLOOKUP($A1878,MAGAZZINO!$B$2:$M$4838,2,FALSE)</f>
        <v/>
      </c>
      <c r="C1878" s="32">
        <f>+VLOOKUP($A1878,MAGAZZINO!$B$2:$M$4838,3,FALSE)</f>
        <v/>
      </c>
      <c r="D1878" s="17">
        <f>+VLOOKUP($A1878,MAGAZZINO!$B$2:$M$4838,4,FALSE)</f>
        <v/>
      </c>
      <c r="E1878" s="17">
        <f>+VLOOKUP($A1878,MAGAZZINO!$B$2:$M$4838,5,FALSE)</f>
        <v/>
      </c>
      <c r="F1878" s="17">
        <f>+VLOOKUP($A1878,MAGAZZINO!$B$2:$M$4838,6,FALSE)</f>
        <v/>
      </c>
      <c r="G1878" s="17">
        <f>+VLOOKUP($A1878,MAGAZZINO!$B$2:$M$4838,7,FALSE)</f>
        <v/>
      </c>
      <c r="H1878" s="17">
        <f>+VLOOKUP($A1878,MAGAZZINO!$B$2:$M$4838,8,FALSE)</f>
        <v/>
      </c>
      <c r="I1878" s="17">
        <f>+VLOOKUP($A1878,MAGAZZINO!$B$2:$M$4838,9,FALSE)</f>
        <v/>
      </c>
      <c r="J1878" s="17">
        <f>+VLOOKUP($A1878,MAGAZZINO!$B$2:$M$4838,10,FALSE)</f>
        <v/>
      </c>
      <c r="K1878" s="17">
        <f>+VLOOKUP($A1878,MAGAZZINO!$B$2:$M$4838,11,FALSE)</f>
        <v/>
      </c>
      <c r="L1878" s="44">
        <f>+VLOOKUP($A1878,MAGAZZINO!$B$2:$M$4838,12,FALSE)</f>
        <v/>
      </c>
    </row>
    <row r="1879" ht="36" customHeight="1">
      <c r="A1879" s="30">
        <f>+REGISTRO!A1862</f>
        <v/>
      </c>
      <c r="B1879" s="31">
        <f>+VLOOKUP($A1879,MAGAZZINO!$B$2:$M$4838,2,FALSE)</f>
        <v/>
      </c>
      <c r="C1879" s="32">
        <f>+VLOOKUP($A1879,MAGAZZINO!$B$2:$M$4838,3,FALSE)</f>
        <v/>
      </c>
      <c r="D1879" s="17">
        <f>+VLOOKUP($A1879,MAGAZZINO!$B$2:$M$4838,4,FALSE)</f>
        <v/>
      </c>
      <c r="E1879" s="17">
        <f>+VLOOKUP($A1879,MAGAZZINO!$B$2:$M$4838,5,FALSE)</f>
        <v/>
      </c>
      <c r="F1879" s="17">
        <f>+VLOOKUP($A1879,MAGAZZINO!$B$2:$M$4838,6,FALSE)</f>
        <v/>
      </c>
      <c r="G1879" s="17">
        <f>+VLOOKUP($A1879,MAGAZZINO!$B$2:$M$4838,7,FALSE)</f>
        <v/>
      </c>
      <c r="H1879" s="17">
        <f>+VLOOKUP($A1879,MAGAZZINO!$B$2:$M$4838,8,FALSE)</f>
        <v/>
      </c>
      <c r="I1879" s="17">
        <f>+VLOOKUP($A1879,MAGAZZINO!$B$2:$M$4838,9,FALSE)</f>
        <v/>
      </c>
      <c r="J1879" s="17">
        <f>+VLOOKUP($A1879,MAGAZZINO!$B$2:$M$4838,10,FALSE)</f>
        <v/>
      </c>
      <c r="K1879" s="17">
        <f>+VLOOKUP($A1879,MAGAZZINO!$B$2:$M$4838,11,FALSE)</f>
        <v/>
      </c>
      <c r="L1879" s="44">
        <f>+VLOOKUP($A1879,MAGAZZINO!$B$2:$M$4838,12,FALSE)</f>
        <v/>
      </c>
    </row>
    <row r="1880" ht="36" customHeight="1">
      <c r="A1880" s="30">
        <f>+REGISTRO!A1863</f>
        <v/>
      </c>
      <c r="B1880" s="31">
        <f>+VLOOKUP($A1880,MAGAZZINO!$B$2:$M$4838,2,FALSE)</f>
        <v/>
      </c>
      <c r="C1880" s="32">
        <f>+VLOOKUP($A1880,MAGAZZINO!$B$2:$M$4838,3,FALSE)</f>
        <v/>
      </c>
      <c r="D1880" s="17">
        <f>+VLOOKUP($A1880,MAGAZZINO!$B$2:$M$4838,4,FALSE)</f>
        <v/>
      </c>
      <c r="E1880" s="17">
        <f>+VLOOKUP($A1880,MAGAZZINO!$B$2:$M$4838,5,FALSE)</f>
        <v/>
      </c>
      <c r="F1880" s="17">
        <f>+VLOOKUP($A1880,MAGAZZINO!$B$2:$M$4838,6,FALSE)</f>
        <v/>
      </c>
      <c r="G1880" s="17">
        <f>+VLOOKUP($A1880,MAGAZZINO!$B$2:$M$4838,7,FALSE)</f>
        <v/>
      </c>
      <c r="H1880" s="17">
        <f>+VLOOKUP($A1880,MAGAZZINO!$B$2:$M$4838,8,FALSE)</f>
        <v/>
      </c>
      <c r="I1880" s="17">
        <f>+VLOOKUP($A1880,MAGAZZINO!$B$2:$M$4838,9,FALSE)</f>
        <v/>
      </c>
      <c r="J1880" s="17">
        <f>+VLOOKUP($A1880,MAGAZZINO!$B$2:$M$4838,10,FALSE)</f>
        <v/>
      </c>
      <c r="K1880" s="17">
        <f>+VLOOKUP($A1880,MAGAZZINO!$B$2:$M$4838,11,FALSE)</f>
        <v/>
      </c>
      <c r="L1880" s="44">
        <f>+VLOOKUP($A1880,MAGAZZINO!$B$2:$M$4838,12,FALSE)</f>
        <v/>
      </c>
    </row>
    <row r="1881" ht="36" customHeight="1">
      <c r="A1881" s="30">
        <f>+REGISTRO!A1864</f>
        <v/>
      </c>
      <c r="B1881" s="31">
        <f>+VLOOKUP($A1881,MAGAZZINO!$B$2:$M$4838,2,FALSE)</f>
        <v/>
      </c>
      <c r="C1881" s="32">
        <f>+VLOOKUP($A1881,MAGAZZINO!$B$2:$M$4838,3,FALSE)</f>
        <v/>
      </c>
      <c r="D1881" s="17">
        <f>+VLOOKUP($A1881,MAGAZZINO!$B$2:$M$4838,4,FALSE)</f>
        <v/>
      </c>
      <c r="E1881" s="17">
        <f>+VLOOKUP($A1881,MAGAZZINO!$B$2:$M$4838,5,FALSE)</f>
        <v/>
      </c>
      <c r="F1881" s="17">
        <f>+VLOOKUP($A1881,MAGAZZINO!$B$2:$M$4838,6,FALSE)</f>
        <v/>
      </c>
      <c r="G1881" s="17">
        <f>+VLOOKUP($A1881,MAGAZZINO!$B$2:$M$4838,7,FALSE)</f>
        <v/>
      </c>
      <c r="H1881" s="17">
        <f>+VLOOKUP($A1881,MAGAZZINO!$B$2:$M$4838,8,FALSE)</f>
        <v/>
      </c>
      <c r="I1881" s="17">
        <f>+VLOOKUP($A1881,MAGAZZINO!$B$2:$M$4838,9,FALSE)</f>
        <v/>
      </c>
      <c r="J1881" s="17">
        <f>+VLOOKUP($A1881,MAGAZZINO!$B$2:$M$4838,10,FALSE)</f>
        <v/>
      </c>
      <c r="K1881" s="17">
        <f>+VLOOKUP($A1881,MAGAZZINO!$B$2:$M$4838,11,FALSE)</f>
        <v/>
      </c>
      <c r="L1881" s="44">
        <f>+VLOOKUP($A1881,MAGAZZINO!$B$2:$M$4838,12,FALSE)</f>
        <v/>
      </c>
    </row>
    <row r="1882" ht="36" customHeight="1">
      <c r="A1882" s="30">
        <f>+REGISTRO!A1865</f>
        <v/>
      </c>
      <c r="B1882" s="31">
        <f>+VLOOKUP($A1882,MAGAZZINO!$B$2:$M$4838,2,FALSE)</f>
        <v/>
      </c>
      <c r="C1882" s="32">
        <f>+VLOOKUP($A1882,MAGAZZINO!$B$2:$M$4838,3,FALSE)</f>
        <v/>
      </c>
      <c r="D1882" s="17">
        <f>+VLOOKUP($A1882,MAGAZZINO!$B$2:$M$4838,4,FALSE)</f>
        <v/>
      </c>
      <c r="E1882" s="17">
        <f>+VLOOKUP($A1882,MAGAZZINO!$B$2:$M$4838,5,FALSE)</f>
        <v/>
      </c>
      <c r="F1882" s="17">
        <f>+VLOOKUP($A1882,MAGAZZINO!$B$2:$M$4838,6,FALSE)</f>
        <v/>
      </c>
      <c r="G1882" s="17">
        <f>+VLOOKUP($A1882,MAGAZZINO!$B$2:$M$4838,7,FALSE)</f>
        <v/>
      </c>
      <c r="H1882" s="17">
        <f>+VLOOKUP($A1882,MAGAZZINO!$B$2:$M$4838,8,FALSE)</f>
        <v/>
      </c>
      <c r="I1882" s="17">
        <f>+VLOOKUP($A1882,MAGAZZINO!$B$2:$M$4838,9,FALSE)</f>
        <v/>
      </c>
      <c r="J1882" s="17">
        <f>+VLOOKUP($A1882,MAGAZZINO!$B$2:$M$4838,10,FALSE)</f>
        <v/>
      </c>
      <c r="K1882" s="17">
        <f>+VLOOKUP($A1882,MAGAZZINO!$B$2:$M$4838,11,FALSE)</f>
        <v/>
      </c>
      <c r="L1882" s="44">
        <f>+VLOOKUP($A1882,MAGAZZINO!$B$2:$M$4838,12,FALSE)</f>
        <v/>
      </c>
    </row>
    <row r="1883" ht="36" customHeight="1">
      <c r="A1883" s="30">
        <f>+REGISTRO!A1866</f>
        <v/>
      </c>
      <c r="B1883" s="31">
        <f>+VLOOKUP($A1883,MAGAZZINO!$B$2:$M$4838,2,FALSE)</f>
        <v/>
      </c>
      <c r="C1883" s="32">
        <f>+VLOOKUP($A1883,MAGAZZINO!$B$2:$M$4838,3,FALSE)</f>
        <v/>
      </c>
      <c r="D1883" s="17">
        <f>+VLOOKUP($A1883,MAGAZZINO!$B$2:$M$4838,4,FALSE)</f>
        <v/>
      </c>
      <c r="E1883" s="17">
        <f>+VLOOKUP($A1883,MAGAZZINO!$B$2:$M$4838,5,FALSE)</f>
        <v/>
      </c>
      <c r="F1883" s="17">
        <f>+VLOOKUP($A1883,MAGAZZINO!$B$2:$M$4838,6,FALSE)</f>
        <v/>
      </c>
      <c r="G1883" s="17">
        <f>+VLOOKUP($A1883,MAGAZZINO!$B$2:$M$4838,7,FALSE)</f>
        <v/>
      </c>
      <c r="H1883" s="17">
        <f>+VLOOKUP($A1883,MAGAZZINO!$B$2:$M$4838,8,FALSE)</f>
        <v/>
      </c>
      <c r="I1883" s="17">
        <f>+VLOOKUP($A1883,MAGAZZINO!$B$2:$M$4838,9,FALSE)</f>
        <v/>
      </c>
      <c r="J1883" s="17">
        <f>+VLOOKUP($A1883,MAGAZZINO!$B$2:$M$4838,10,FALSE)</f>
        <v/>
      </c>
      <c r="K1883" s="17">
        <f>+VLOOKUP($A1883,MAGAZZINO!$B$2:$M$4838,11,FALSE)</f>
        <v/>
      </c>
      <c r="L1883" s="44">
        <f>+VLOOKUP($A1883,MAGAZZINO!$B$2:$M$4838,12,FALSE)</f>
        <v/>
      </c>
    </row>
    <row r="1884" ht="36" customHeight="1">
      <c r="A1884" s="30">
        <f>+REGISTRO!A1867</f>
        <v/>
      </c>
      <c r="B1884" s="31">
        <f>+VLOOKUP($A1884,MAGAZZINO!$B$2:$M$4838,2,FALSE)</f>
        <v/>
      </c>
      <c r="C1884" s="32">
        <f>+VLOOKUP($A1884,MAGAZZINO!$B$2:$M$4838,3,FALSE)</f>
        <v/>
      </c>
      <c r="D1884" s="17">
        <f>+VLOOKUP($A1884,MAGAZZINO!$B$2:$M$4838,4,FALSE)</f>
        <v/>
      </c>
      <c r="E1884" s="17">
        <f>+VLOOKUP($A1884,MAGAZZINO!$B$2:$M$4838,5,FALSE)</f>
        <v/>
      </c>
      <c r="F1884" s="17">
        <f>+VLOOKUP($A1884,MAGAZZINO!$B$2:$M$4838,6,FALSE)</f>
        <v/>
      </c>
      <c r="G1884" s="17">
        <f>+VLOOKUP($A1884,MAGAZZINO!$B$2:$M$4838,7,FALSE)</f>
        <v/>
      </c>
      <c r="H1884" s="17">
        <f>+VLOOKUP($A1884,MAGAZZINO!$B$2:$M$4838,8,FALSE)</f>
        <v/>
      </c>
      <c r="I1884" s="17">
        <f>+VLOOKUP($A1884,MAGAZZINO!$B$2:$M$4838,9,FALSE)</f>
        <v/>
      </c>
      <c r="J1884" s="17">
        <f>+VLOOKUP($A1884,MAGAZZINO!$B$2:$M$4838,10,FALSE)</f>
        <v/>
      </c>
      <c r="K1884" s="17">
        <f>+VLOOKUP($A1884,MAGAZZINO!$B$2:$M$4838,11,FALSE)</f>
        <v/>
      </c>
      <c r="L1884" s="44">
        <f>+VLOOKUP($A1884,MAGAZZINO!$B$2:$M$4838,12,FALSE)</f>
        <v/>
      </c>
    </row>
    <row r="1885" ht="36" customHeight="1">
      <c r="A1885" s="30">
        <f>+REGISTRO!A1868</f>
        <v/>
      </c>
      <c r="B1885" s="31">
        <f>+VLOOKUP($A1885,MAGAZZINO!$B$2:$M$4838,2,FALSE)</f>
        <v/>
      </c>
      <c r="C1885" s="32">
        <f>+VLOOKUP($A1885,MAGAZZINO!$B$2:$M$4838,3,FALSE)</f>
        <v/>
      </c>
      <c r="D1885" s="17">
        <f>+VLOOKUP($A1885,MAGAZZINO!$B$2:$M$4838,4,FALSE)</f>
        <v/>
      </c>
      <c r="E1885" s="17">
        <f>+VLOOKUP($A1885,MAGAZZINO!$B$2:$M$4838,5,FALSE)</f>
        <v/>
      </c>
      <c r="F1885" s="17">
        <f>+VLOOKUP($A1885,MAGAZZINO!$B$2:$M$4838,6,FALSE)</f>
        <v/>
      </c>
      <c r="G1885" s="17">
        <f>+VLOOKUP($A1885,MAGAZZINO!$B$2:$M$4838,7,FALSE)</f>
        <v/>
      </c>
      <c r="H1885" s="17">
        <f>+VLOOKUP($A1885,MAGAZZINO!$B$2:$M$4838,8,FALSE)</f>
        <v/>
      </c>
      <c r="I1885" s="17">
        <f>+VLOOKUP($A1885,MAGAZZINO!$B$2:$M$4838,9,FALSE)</f>
        <v/>
      </c>
      <c r="J1885" s="17">
        <f>+VLOOKUP($A1885,MAGAZZINO!$B$2:$M$4838,10,FALSE)</f>
        <v/>
      </c>
      <c r="K1885" s="17">
        <f>+VLOOKUP($A1885,MAGAZZINO!$B$2:$M$4838,11,FALSE)</f>
        <v/>
      </c>
      <c r="L1885" s="44">
        <f>+VLOOKUP($A1885,MAGAZZINO!$B$2:$M$4838,12,FALSE)</f>
        <v/>
      </c>
    </row>
    <row r="1886" ht="36" customHeight="1">
      <c r="A1886" s="30">
        <f>+REGISTRO!A1869</f>
        <v/>
      </c>
      <c r="B1886" s="31">
        <f>+VLOOKUP($A1886,MAGAZZINO!$B$2:$M$4838,2,FALSE)</f>
        <v/>
      </c>
      <c r="C1886" s="32">
        <f>+VLOOKUP($A1886,MAGAZZINO!$B$2:$M$4838,3,FALSE)</f>
        <v/>
      </c>
      <c r="D1886" s="17">
        <f>+VLOOKUP($A1886,MAGAZZINO!$B$2:$M$4838,4,FALSE)</f>
        <v/>
      </c>
      <c r="E1886" s="17">
        <f>+VLOOKUP($A1886,MAGAZZINO!$B$2:$M$4838,5,FALSE)</f>
        <v/>
      </c>
      <c r="F1886" s="17">
        <f>+VLOOKUP($A1886,MAGAZZINO!$B$2:$M$4838,6,FALSE)</f>
        <v/>
      </c>
      <c r="G1886" s="17">
        <f>+VLOOKUP($A1886,MAGAZZINO!$B$2:$M$4838,7,FALSE)</f>
        <v/>
      </c>
      <c r="H1886" s="17">
        <f>+VLOOKUP($A1886,MAGAZZINO!$B$2:$M$4838,8,FALSE)</f>
        <v/>
      </c>
      <c r="I1886" s="17">
        <f>+VLOOKUP($A1886,MAGAZZINO!$B$2:$M$4838,9,FALSE)</f>
        <v/>
      </c>
      <c r="J1886" s="17">
        <f>+VLOOKUP($A1886,MAGAZZINO!$B$2:$M$4838,10,FALSE)</f>
        <v/>
      </c>
      <c r="K1886" s="17">
        <f>+VLOOKUP($A1886,MAGAZZINO!$B$2:$M$4838,11,FALSE)</f>
        <v/>
      </c>
      <c r="L1886" s="44">
        <f>+VLOOKUP($A1886,MAGAZZINO!$B$2:$M$4838,12,FALSE)</f>
        <v/>
      </c>
    </row>
    <row r="1887" ht="36" customHeight="1">
      <c r="A1887" s="30">
        <f>+REGISTRO!A1870</f>
        <v/>
      </c>
      <c r="B1887" s="31">
        <f>+VLOOKUP($A1887,MAGAZZINO!$B$2:$M$4838,2,FALSE)</f>
        <v/>
      </c>
      <c r="C1887" s="32">
        <f>+VLOOKUP($A1887,MAGAZZINO!$B$2:$M$4838,3,FALSE)</f>
        <v/>
      </c>
      <c r="D1887" s="17">
        <f>+VLOOKUP($A1887,MAGAZZINO!$B$2:$M$4838,4,FALSE)</f>
        <v/>
      </c>
      <c r="E1887" s="17">
        <f>+VLOOKUP($A1887,MAGAZZINO!$B$2:$M$4838,5,FALSE)</f>
        <v/>
      </c>
      <c r="F1887" s="17">
        <f>+VLOOKUP($A1887,MAGAZZINO!$B$2:$M$4838,6,FALSE)</f>
        <v/>
      </c>
      <c r="G1887" s="17">
        <f>+VLOOKUP($A1887,MAGAZZINO!$B$2:$M$4838,7,FALSE)</f>
        <v/>
      </c>
      <c r="H1887" s="17">
        <f>+VLOOKUP($A1887,MAGAZZINO!$B$2:$M$4838,8,FALSE)</f>
        <v/>
      </c>
      <c r="I1887" s="17">
        <f>+VLOOKUP($A1887,MAGAZZINO!$B$2:$M$4838,9,FALSE)</f>
        <v/>
      </c>
      <c r="J1887" s="17">
        <f>+VLOOKUP($A1887,MAGAZZINO!$B$2:$M$4838,10,FALSE)</f>
        <v/>
      </c>
      <c r="K1887" s="17">
        <f>+VLOOKUP($A1887,MAGAZZINO!$B$2:$M$4838,11,FALSE)</f>
        <v/>
      </c>
      <c r="L1887" s="44">
        <f>+VLOOKUP($A1887,MAGAZZINO!$B$2:$M$4838,12,FALSE)</f>
        <v/>
      </c>
    </row>
    <row r="1888" ht="36" customHeight="1">
      <c r="A1888" s="30">
        <f>+REGISTRO!A1871</f>
        <v/>
      </c>
      <c r="B1888" s="31">
        <f>+VLOOKUP($A1888,MAGAZZINO!$B$2:$M$4838,2,FALSE)</f>
        <v/>
      </c>
      <c r="C1888" s="32">
        <f>+VLOOKUP($A1888,MAGAZZINO!$B$2:$M$4838,3,FALSE)</f>
        <v/>
      </c>
      <c r="D1888" s="17">
        <f>+VLOOKUP($A1888,MAGAZZINO!$B$2:$M$4838,4,FALSE)</f>
        <v/>
      </c>
      <c r="E1888" s="17">
        <f>+VLOOKUP($A1888,MAGAZZINO!$B$2:$M$4838,5,FALSE)</f>
        <v/>
      </c>
      <c r="F1888" s="17">
        <f>+VLOOKUP($A1888,MAGAZZINO!$B$2:$M$4838,6,FALSE)</f>
        <v/>
      </c>
      <c r="G1888" s="17">
        <f>+VLOOKUP($A1888,MAGAZZINO!$B$2:$M$4838,7,FALSE)</f>
        <v/>
      </c>
      <c r="H1888" s="17">
        <f>+VLOOKUP($A1888,MAGAZZINO!$B$2:$M$4838,8,FALSE)</f>
        <v/>
      </c>
      <c r="I1888" s="17">
        <f>+VLOOKUP($A1888,MAGAZZINO!$B$2:$M$4838,9,FALSE)</f>
        <v/>
      </c>
      <c r="J1888" s="17">
        <f>+VLOOKUP($A1888,MAGAZZINO!$B$2:$M$4838,10,FALSE)</f>
        <v/>
      </c>
      <c r="K1888" s="17">
        <f>+VLOOKUP($A1888,MAGAZZINO!$B$2:$M$4838,11,FALSE)</f>
        <v/>
      </c>
      <c r="L1888" s="44">
        <f>+VLOOKUP($A1888,MAGAZZINO!$B$2:$M$4838,12,FALSE)</f>
        <v/>
      </c>
    </row>
    <row r="1889" ht="36" customHeight="1">
      <c r="A1889" s="30">
        <f>+REGISTRO!A1872</f>
        <v/>
      </c>
      <c r="B1889" s="31">
        <f>+VLOOKUP($A1889,MAGAZZINO!$B$2:$M$4838,2,FALSE)</f>
        <v/>
      </c>
      <c r="C1889" s="32">
        <f>+VLOOKUP($A1889,MAGAZZINO!$B$2:$M$4838,3,FALSE)</f>
        <v/>
      </c>
      <c r="D1889" s="17">
        <f>+VLOOKUP($A1889,MAGAZZINO!$B$2:$M$4838,4,FALSE)</f>
        <v/>
      </c>
      <c r="E1889" s="17">
        <f>+VLOOKUP($A1889,MAGAZZINO!$B$2:$M$4838,5,FALSE)</f>
        <v/>
      </c>
      <c r="F1889" s="17">
        <f>+VLOOKUP($A1889,MAGAZZINO!$B$2:$M$4838,6,FALSE)</f>
        <v/>
      </c>
      <c r="G1889" s="17">
        <f>+VLOOKUP($A1889,MAGAZZINO!$B$2:$M$4838,7,FALSE)</f>
        <v/>
      </c>
      <c r="H1889" s="17">
        <f>+VLOOKUP($A1889,MAGAZZINO!$B$2:$M$4838,8,FALSE)</f>
        <v/>
      </c>
      <c r="I1889" s="17">
        <f>+VLOOKUP($A1889,MAGAZZINO!$B$2:$M$4838,9,FALSE)</f>
        <v/>
      </c>
      <c r="J1889" s="17">
        <f>+VLOOKUP($A1889,MAGAZZINO!$B$2:$M$4838,10,FALSE)</f>
        <v/>
      </c>
      <c r="K1889" s="17">
        <f>+VLOOKUP($A1889,MAGAZZINO!$B$2:$M$4838,11,FALSE)</f>
        <v/>
      </c>
      <c r="L1889" s="44">
        <f>+VLOOKUP($A1889,MAGAZZINO!$B$2:$M$4838,12,FALSE)</f>
        <v/>
      </c>
    </row>
    <row r="1890" ht="36" customHeight="1">
      <c r="A1890" s="30">
        <f>+REGISTRO!A1873</f>
        <v/>
      </c>
      <c r="B1890" s="31">
        <f>+VLOOKUP($A1890,MAGAZZINO!$B$2:$M$4838,2,FALSE)</f>
        <v/>
      </c>
      <c r="C1890" s="32">
        <f>+VLOOKUP($A1890,MAGAZZINO!$B$2:$M$4838,3,FALSE)</f>
        <v/>
      </c>
      <c r="D1890" s="17">
        <f>+VLOOKUP($A1890,MAGAZZINO!$B$2:$M$4838,4,FALSE)</f>
        <v/>
      </c>
      <c r="E1890" s="17">
        <f>+VLOOKUP($A1890,MAGAZZINO!$B$2:$M$4838,5,FALSE)</f>
        <v/>
      </c>
      <c r="F1890" s="17">
        <f>+VLOOKUP($A1890,MAGAZZINO!$B$2:$M$4838,6,FALSE)</f>
        <v/>
      </c>
      <c r="G1890" s="17">
        <f>+VLOOKUP($A1890,MAGAZZINO!$B$2:$M$4838,7,FALSE)</f>
        <v/>
      </c>
      <c r="H1890" s="17">
        <f>+VLOOKUP($A1890,MAGAZZINO!$B$2:$M$4838,8,FALSE)</f>
        <v/>
      </c>
      <c r="I1890" s="17">
        <f>+VLOOKUP($A1890,MAGAZZINO!$B$2:$M$4838,9,FALSE)</f>
        <v/>
      </c>
      <c r="J1890" s="17">
        <f>+VLOOKUP($A1890,MAGAZZINO!$B$2:$M$4838,10,FALSE)</f>
        <v/>
      </c>
      <c r="K1890" s="17">
        <f>+VLOOKUP($A1890,MAGAZZINO!$B$2:$M$4838,11,FALSE)</f>
        <v/>
      </c>
      <c r="L1890" s="44">
        <f>+VLOOKUP($A1890,MAGAZZINO!$B$2:$M$4838,12,FALSE)</f>
        <v/>
      </c>
    </row>
    <row r="1891" ht="36" customHeight="1">
      <c r="A1891" s="30">
        <f>+REGISTRO!A1874</f>
        <v/>
      </c>
      <c r="B1891" s="31">
        <f>+VLOOKUP($A1891,MAGAZZINO!$B$2:$M$4838,2,FALSE)</f>
        <v/>
      </c>
      <c r="C1891" s="32">
        <f>+VLOOKUP($A1891,MAGAZZINO!$B$2:$M$4838,3,FALSE)</f>
        <v/>
      </c>
      <c r="D1891" s="17">
        <f>+VLOOKUP($A1891,MAGAZZINO!$B$2:$M$4838,4,FALSE)</f>
        <v/>
      </c>
      <c r="E1891" s="17">
        <f>+VLOOKUP($A1891,MAGAZZINO!$B$2:$M$4838,5,FALSE)</f>
        <v/>
      </c>
      <c r="F1891" s="17">
        <f>+VLOOKUP($A1891,MAGAZZINO!$B$2:$M$4838,6,FALSE)</f>
        <v/>
      </c>
      <c r="G1891" s="17">
        <f>+VLOOKUP($A1891,MAGAZZINO!$B$2:$M$4838,7,FALSE)</f>
        <v/>
      </c>
      <c r="H1891" s="17">
        <f>+VLOOKUP($A1891,MAGAZZINO!$B$2:$M$4838,8,FALSE)</f>
        <v/>
      </c>
      <c r="I1891" s="17">
        <f>+VLOOKUP($A1891,MAGAZZINO!$B$2:$M$4838,9,FALSE)</f>
        <v/>
      </c>
      <c r="J1891" s="17">
        <f>+VLOOKUP($A1891,MAGAZZINO!$B$2:$M$4838,10,FALSE)</f>
        <v/>
      </c>
      <c r="K1891" s="17">
        <f>+VLOOKUP($A1891,MAGAZZINO!$B$2:$M$4838,11,FALSE)</f>
        <v/>
      </c>
      <c r="L1891" s="44">
        <f>+VLOOKUP($A1891,MAGAZZINO!$B$2:$M$4838,12,FALSE)</f>
        <v/>
      </c>
    </row>
    <row r="1892" ht="36" customHeight="1">
      <c r="A1892" s="30">
        <f>+REGISTRO!A1875</f>
        <v/>
      </c>
      <c r="B1892" s="31">
        <f>+VLOOKUP($A1892,MAGAZZINO!$B$2:$M$4838,2,FALSE)</f>
        <v/>
      </c>
      <c r="C1892" s="32">
        <f>+VLOOKUP($A1892,MAGAZZINO!$B$2:$M$4838,3,FALSE)</f>
        <v/>
      </c>
      <c r="D1892" s="17">
        <f>+VLOOKUP($A1892,MAGAZZINO!$B$2:$M$4838,4,FALSE)</f>
        <v/>
      </c>
      <c r="E1892" s="17">
        <f>+VLOOKUP($A1892,MAGAZZINO!$B$2:$M$4838,5,FALSE)</f>
        <v/>
      </c>
      <c r="F1892" s="17">
        <f>+VLOOKUP($A1892,MAGAZZINO!$B$2:$M$4838,6,FALSE)</f>
        <v/>
      </c>
      <c r="G1892" s="17">
        <f>+VLOOKUP($A1892,MAGAZZINO!$B$2:$M$4838,7,FALSE)</f>
        <v/>
      </c>
      <c r="H1892" s="17">
        <f>+VLOOKUP($A1892,MAGAZZINO!$B$2:$M$4838,8,FALSE)</f>
        <v/>
      </c>
      <c r="I1892" s="17">
        <f>+VLOOKUP($A1892,MAGAZZINO!$B$2:$M$4838,9,FALSE)</f>
        <v/>
      </c>
      <c r="J1892" s="17">
        <f>+VLOOKUP($A1892,MAGAZZINO!$B$2:$M$4838,10,FALSE)</f>
        <v/>
      </c>
      <c r="K1892" s="17">
        <f>+VLOOKUP($A1892,MAGAZZINO!$B$2:$M$4838,11,FALSE)</f>
        <v/>
      </c>
      <c r="L1892" s="44">
        <f>+VLOOKUP($A1892,MAGAZZINO!$B$2:$M$4838,12,FALSE)</f>
        <v/>
      </c>
    </row>
    <row r="1893" ht="36" customHeight="1">
      <c r="A1893" s="30">
        <f>+REGISTRO!A1876</f>
        <v/>
      </c>
      <c r="B1893" s="31">
        <f>+VLOOKUP($A1893,MAGAZZINO!$B$2:$M$4838,2,FALSE)</f>
        <v/>
      </c>
      <c r="C1893" s="32">
        <f>+VLOOKUP($A1893,MAGAZZINO!$B$2:$M$4838,3,FALSE)</f>
        <v/>
      </c>
      <c r="D1893" s="17">
        <f>+VLOOKUP($A1893,MAGAZZINO!$B$2:$M$4838,4,FALSE)</f>
        <v/>
      </c>
      <c r="E1893" s="17">
        <f>+VLOOKUP($A1893,MAGAZZINO!$B$2:$M$4838,5,FALSE)</f>
        <v/>
      </c>
      <c r="F1893" s="17">
        <f>+VLOOKUP($A1893,MAGAZZINO!$B$2:$M$4838,6,FALSE)</f>
        <v/>
      </c>
      <c r="G1893" s="17">
        <f>+VLOOKUP($A1893,MAGAZZINO!$B$2:$M$4838,7,FALSE)</f>
        <v/>
      </c>
      <c r="H1893" s="17">
        <f>+VLOOKUP($A1893,MAGAZZINO!$B$2:$M$4838,8,FALSE)</f>
        <v/>
      </c>
      <c r="I1893" s="17">
        <f>+VLOOKUP($A1893,MAGAZZINO!$B$2:$M$4838,9,FALSE)</f>
        <v/>
      </c>
      <c r="J1893" s="17">
        <f>+VLOOKUP($A1893,MAGAZZINO!$B$2:$M$4838,10,FALSE)</f>
        <v/>
      </c>
      <c r="K1893" s="17">
        <f>+VLOOKUP($A1893,MAGAZZINO!$B$2:$M$4838,11,FALSE)</f>
        <v/>
      </c>
      <c r="L1893" s="44">
        <f>+VLOOKUP($A1893,MAGAZZINO!$B$2:$M$4838,12,FALSE)</f>
        <v/>
      </c>
    </row>
    <row r="1894" ht="36" customHeight="1">
      <c r="A1894" s="30">
        <f>+REGISTRO!A1877</f>
        <v/>
      </c>
      <c r="B1894" s="31">
        <f>+VLOOKUP($A1894,MAGAZZINO!$B$2:$M$4838,2,FALSE)</f>
        <v/>
      </c>
      <c r="C1894" s="32">
        <f>+VLOOKUP($A1894,MAGAZZINO!$B$2:$M$4838,3,FALSE)</f>
        <v/>
      </c>
      <c r="D1894" s="17">
        <f>+VLOOKUP($A1894,MAGAZZINO!$B$2:$M$4838,4,FALSE)</f>
        <v/>
      </c>
      <c r="E1894" s="17">
        <f>+VLOOKUP($A1894,MAGAZZINO!$B$2:$M$4838,5,FALSE)</f>
        <v/>
      </c>
      <c r="F1894" s="17">
        <f>+VLOOKUP($A1894,MAGAZZINO!$B$2:$M$4838,6,FALSE)</f>
        <v/>
      </c>
      <c r="G1894" s="17">
        <f>+VLOOKUP($A1894,MAGAZZINO!$B$2:$M$4838,7,FALSE)</f>
        <v/>
      </c>
      <c r="H1894" s="17">
        <f>+VLOOKUP($A1894,MAGAZZINO!$B$2:$M$4838,8,FALSE)</f>
        <v/>
      </c>
      <c r="I1894" s="17">
        <f>+VLOOKUP($A1894,MAGAZZINO!$B$2:$M$4838,9,FALSE)</f>
        <v/>
      </c>
      <c r="J1894" s="17">
        <f>+VLOOKUP($A1894,MAGAZZINO!$B$2:$M$4838,10,FALSE)</f>
        <v/>
      </c>
      <c r="K1894" s="17">
        <f>+VLOOKUP($A1894,MAGAZZINO!$B$2:$M$4838,11,FALSE)</f>
        <v/>
      </c>
      <c r="L1894" s="44">
        <f>+VLOOKUP($A1894,MAGAZZINO!$B$2:$M$4838,12,FALSE)</f>
        <v/>
      </c>
    </row>
    <row r="1895" ht="36" customHeight="1">
      <c r="A1895" s="30">
        <f>+REGISTRO!A1878</f>
        <v/>
      </c>
      <c r="B1895" s="31">
        <f>+VLOOKUP($A1895,MAGAZZINO!$B$2:$M$4838,2,FALSE)</f>
        <v/>
      </c>
      <c r="C1895" s="32">
        <f>+VLOOKUP($A1895,MAGAZZINO!$B$2:$M$4838,3,FALSE)</f>
        <v/>
      </c>
      <c r="D1895" s="17">
        <f>+VLOOKUP($A1895,MAGAZZINO!$B$2:$M$4838,4,FALSE)</f>
        <v/>
      </c>
      <c r="E1895" s="17">
        <f>+VLOOKUP($A1895,MAGAZZINO!$B$2:$M$4838,5,FALSE)</f>
        <v/>
      </c>
      <c r="F1895" s="17">
        <f>+VLOOKUP($A1895,MAGAZZINO!$B$2:$M$4838,6,FALSE)</f>
        <v/>
      </c>
      <c r="G1895" s="17">
        <f>+VLOOKUP($A1895,MAGAZZINO!$B$2:$M$4838,7,FALSE)</f>
        <v/>
      </c>
      <c r="H1895" s="17">
        <f>+VLOOKUP($A1895,MAGAZZINO!$B$2:$M$4838,8,FALSE)</f>
        <v/>
      </c>
      <c r="I1895" s="17">
        <f>+VLOOKUP($A1895,MAGAZZINO!$B$2:$M$4838,9,FALSE)</f>
        <v/>
      </c>
      <c r="J1895" s="17">
        <f>+VLOOKUP($A1895,MAGAZZINO!$B$2:$M$4838,10,FALSE)</f>
        <v/>
      </c>
      <c r="K1895" s="17">
        <f>+VLOOKUP($A1895,MAGAZZINO!$B$2:$M$4838,11,FALSE)</f>
        <v/>
      </c>
      <c r="L1895" s="44">
        <f>+VLOOKUP($A1895,MAGAZZINO!$B$2:$M$4838,12,FALSE)</f>
        <v/>
      </c>
    </row>
    <row r="1896" ht="36" customHeight="1">
      <c r="A1896" s="30">
        <f>+REGISTRO!A1879</f>
        <v/>
      </c>
      <c r="B1896" s="31">
        <f>+VLOOKUP($A1896,MAGAZZINO!$B$2:$M$4838,2,FALSE)</f>
        <v/>
      </c>
      <c r="C1896" s="32">
        <f>+VLOOKUP($A1896,MAGAZZINO!$B$2:$M$4838,3,FALSE)</f>
        <v/>
      </c>
      <c r="D1896" s="17">
        <f>+VLOOKUP($A1896,MAGAZZINO!$B$2:$M$4838,4,FALSE)</f>
        <v/>
      </c>
      <c r="E1896" s="17">
        <f>+VLOOKUP($A1896,MAGAZZINO!$B$2:$M$4838,5,FALSE)</f>
        <v/>
      </c>
      <c r="F1896" s="17">
        <f>+VLOOKUP($A1896,MAGAZZINO!$B$2:$M$4838,6,FALSE)</f>
        <v/>
      </c>
      <c r="G1896" s="17">
        <f>+VLOOKUP($A1896,MAGAZZINO!$B$2:$M$4838,7,FALSE)</f>
        <v/>
      </c>
      <c r="H1896" s="17">
        <f>+VLOOKUP($A1896,MAGAZZINO!$B$2:$M$4838,8,FALSE)</f>
        <v/>
      </c>
      <c r="I1896" s="17">
        <f>+VLOOKUP($A1896,MAGAZZINO!$B$2:$M$4838,9,FALSE)</f>
        <v/>
      </c>
      <c r="J1896" s="17">
        <f>+VLOOKUP($A1896,MAGAZZINO!$B$2:$M$4838,10,FALSE)</f>
        <v/>
      </c>
      <c r="K1896" s="17">
        <f>+VLOOKUP($A1896,MAGAZZINO!$B$2:$M$4838,11,FALSE)</f>
        <v/>
      </c>
      <c r="L1896" s="44">
        <f>+VLOOKUP($A1896,MAGAZZINO!$B$2:$M$4838,12,FALSE)</f>
        <v/>
      </c>
    </row>
    <row r="1897" ht="36" customHeight="1">
      <c r="A1897" s="30">
        <f>+REGISTRO!A1880</f>
        <v/>
      </c>
      <c r="B1897" s="31">
        <f>+VLOOKUP($A1897,MAGAZZINO!$B$2:$M$4838,2,FALSE)</f>
        <v/>
      </c>
      <c r="C1897" s="32">
        <f>+VLOOKUP($A1897,MAGAZZINO!$B$2:$M$4838,3,FALSE)</f>
        <v/>
      </c>
      <c r="D1897" s="17">
        <f>+VLOOKUP($A1897,MAGAZZINO!$B$2:$M$4838,4,FALSE)</f>
        <v/>
      </c>
      <c r="E1897" s="17">
        <f>+VLOOKUP($A1897,MAGAZZINO!$B$2:$M$4838,5,FALSE)</f>
        <v/>
      </c>
      <c r="F1897" s="17">
        <f>+VLOOKUP($A1897,MAGAZZINO!$B$2:$M$4838,6,FALSE)</f>
        <v/>
      </c>
      <c r="G1897" s="17">
        <f>+VLOOKUP($A1897,MAGAZZINO!$B$2:$M$4838,7,FALSE)</f>
        <v/>
      </c>
      <c r="H1897" s="17">
        <f>+VLOOKUP($A1897,MAGAZZINO!$B$2:$M$4838,8,FALSE)</f>
        <v/>
      </c>
      <c r="I1897" s="17">
        <f>+VLOOKUP($A1897,MAGAZZINO!$B$2:$M$4838,9,FALSE)</f>
        <v/>
      </c>
      <c r="J1897" s="17">
        <f>+VLOOKUP($A1897,MAGAZZINO!$B$2:$M$4838,10,FALSE)</f>
        <v/>
      </c>
      <c r="K1897" s="17">
        <f>+VLOOKUP($A1897,MAGAZZINO!$B$2:$M$4838,11,FALSE)</f>
        <v/>
      </c>
      <c r="L1897" s="44">
        <f>+VLOOKUP($A1897,MAGAZZINO!$B$2:$M$4838,12,FALSE)</f>
        <v/>
      </c>
    </row>
    <row r="1898" ht="36" customHeight="1">
      <c r="A1898" s="30">
        <f>+REGISTRO!A1881</f>
        <v/>
      </c>
      <c r="B1898" s="31">
        <f>+VLOOKUP($A1898,MAGAZZINO!$B$2:$M$4838,2,FALSE)</f>
        <v/>
      </c>
      <c r="C1898" s="32">
        <f>+VLOOKUP($A1898,MAGAZZINO!$B$2:$M$4838,3,FALSE)</f>
        <v/>
      </c>
      <c r="D1898" s="17">
        <f>+VLOOKUP($A1898,MAGAZZINO!$B$2:$M$4838,4,FALSE)</f>
        <v/>
      </c>
      <c r="E1898" s="17">
        <f>+VLOOKUP($A1898,MAGAZZINO!$B$2:$M$4838,5,FALSE)</f>
        <v/>
      </c>
      <c r="F1898" s="17">
        <f>+VLOOKUP($A1898,MAGAZZINO!$B$2:$M$4838,6,FALSE)</f>
        <v/>
      </c>
      <c r="G1898" s="17">
        <f>+VLOOKUP($A1898,MAGAZZINO!$B$2:$M$4838,7,FALSE)</f>
        <v/>
      </c>
      <c r="H1898" s="17">
        <f>+VLOOKUP($A1898,MAGAZZINO!$B$2:$M$4838,8,FALSE)</f>
        <v/>
      </c>
      <c r="I1898" s="17">
        <f>+VLOOKUP($A1898,MAGAZZINO!$B$2:$M$4838,9,FALSE)</f>
        <v/>
      </c>
      <c r="J1898" s="17">
        <f>+VLOOKUP($A1898,MAGAZZINO!$B$2:$M$4838,10,FALSE)</f>
        <v/>
      </c>
      <c r="K1898" s="17">
        <f>+VLOOKUP($A1898,MAGAZZINO!$B$2:$M$4838,11,FALSE)</f>
        <v/>
      </c>
      <c r="L1898" s="44">
        <f>+VLOOKUP($A1898,MAGAZZINO!$B$2:$M$4838,12,FALSE)</f>
        <v/>
      </c>
    </row>
    <row r="1899" ht="36" customHeight="1">
      <c r="A1899" s="30">
        <f>+REGISTRO!A1882</f>
        <v/>
      </c>
      <c r="B1899" s="31">
        <f>+VLOOKUP($A1899,MAGAZZINO!$B$2:$M$4838,2,FALSE)</f>
        <v/>
      </c>
      <c r="C1899" s="32">
        <f>+VLOOKUP($A1899,MAGAZZINO!$B$2:$M$4838,3,FALSE)</f>
        <v/>
      </c>
      <c r="D1899" s="17">
        <f>+VLOOKUP($A1899,MAGAZZINO!$B$2:$M$4838,4,FALSE)</f>
        <v/>
      </c>
      <c r="E1899" s="17">
        <f>+VLOOKUP($A1899,MAGAZZINO!$B$2:$M$4838,5,FALSE)</f>
        <v/>
      </c>
      <c r="F1899" s="17">
        <f>+VLOOKUP($A1899,MAGAZZINO!$B$2:$M$4838,6,FALSE)</f>
        <v/>
      </c>
      <c r="G1899" s="17">
        <f>+VLOOKUP($A1899,MAGAZZINO!$B$2:$M$4838,7,FALSE)</f>
        <v/>
      </c>
      <c r="H1899" s="17">
        <f>+VLOOKUP($A1899,MAGAZZINO!$B$2:$M$4838,8,FALSE)</f>
        <v/>
      </c>
      <c r="I1899" s="17">
        <f>+VLOOKUP($A1899,MAGAZZINO!$B$2:$M$4838,9,FALSE)</f>
        <v/>
      </c>
      <c r="J1899" s="17">
        <f>+VLOOKUP($A1899,MAGAZZINO!$B$2:$M$4838,10,FALSE)</f>
        <v/>
      </c>
      <c r="K1899" s="17">
        <f>+VLOOKUP($A1899,MAGAZZINO!$B$2:$M$4838,11,FALSE)</f>
        <v/>
      </c>
      <c r="L1899" s="44">
        <f>+VLOOKUP($A1899,MAGAZZINO!$B$2:$M$4838,12,FALSE)</f>
        <v/>
      </c>
    </row>
    <row r="1900" ht="36" customHeight="1">
      <c r="A1900" s="30">
        <f>+REGISTRO!A1883</f>
        <v/>
      </c>
      <c r="B1900" s="31">
        <f>+VLOOKUP($A1900,MAGAZZINO!$B$2:$M$4838,2,FALSE)</f>
        <v/>
      </c>
      <c r="C1900" s="32">
        <f>+VLOOKUP($A1900,MAGAZZINO!$B$2:$M$4838,3,FALSE)</f>
        <v/>
      </c>
      <c r="D1900" s="17">
        <f>+VLOOKUP($A1900,MAGAZZINO!$B$2:$M$4838,4,FALSE)</f>
        <v/>
      </c>
      <c r="E1900" s="17">
        <f>+VLOOKUP($A1900,MAGAZZINO!$B$2:$M$4838,5,FALSE)</f>
        <v/>
      </c>
      <c r="F1900" s="17">
        <f>+VLOOKUP($A1900,MAGAZZINO!$B$2:$M$4838,6,FALSE)</f>
        <v/>
      </c>
      <c r="G1900" s="17">
        <f>+VLOOKUP($A1900,MAGAZZINO!$B$2:$M$4838,7,FALSE)</f>
        <v/>
      </c>
      <c r="H1900" s="17">
        <f>+VLOOKUP($A1900,MAGAZZINO!$B$2:$M$4838,8,FALSE)</f>
        <v/>
      </c>
      <c r="I1900" s="17">
        <f>+VLOOKUP($A1900,MAGAZZINO!$B$2:$M$4838,9,FALSE)</f>
        <v/>
      </c>
      <c r="J1900" s="17">
        <f>+VLOOKUP($A1900,MAGAZZINO!$B$2:$M$4838,10,FALSE)</f>
        <v/>
      </c>
      <c r="K1900" s="17">
        <f>+VLOOKUP($A1900,MAGAZZINO!$B$2:$M$4838,11,FALSE)</f>
        <v/>
      </c>
      <c r="L1900" s="44">
        <f>+VLOOKUP($A1900,MAGAZZINO!$B$2:$M$4838,12,FALSE)</f>
        <v/>
      </c>
    </row>
    <row r="1901" ht="36" customHeight="1">
      <c r="A1901" s="30">
        <f>+REGISTRO!A1884</f>
        <v/>
      </c>
      <c r="B1901" s="31">
        <f>+VLOOKUP($A1901,MAGAZZINO!$B$2:$M$4838,2,FALSE)</f>
        <v/>
      </c>
      <c r="C1901" s="32">
        <f>+VLOOKUP($A1901,MAGAZZINO!$B$2:$M$4838,3,FALSE)</f>
        <v/>
      </c>
      <c r="D1901" s="17">
        <f>+VLOOKUP($A1901,MAGAZZINO!$B$2:$M$4838,4,FALSE)</f>
        <v/>
      </c>
      <c r="E1901" s="17">
        <f>+VLOOKUP($A1901,MAGAZZINO!$B$2:$M$4838,5,FALSE)</f>
        <v/>
      </c>
      <c r="F1901" s="17">
        <f>+VLOOKUP($A1901,MAGAZZINO!$B$2:$M$4838,6,FALSE)</f>
        <v/>
      </c>
      <c r="G1901" s="17">
        <f>+VLOOKUP($A1901,MAGAZZINO!$B$2:$M$4838,7,FALSE)</f>
        <v/>
      </c>
      <c r="H1901" s="17">
        <f>+VLOOKUP($A1901,MAGAZZINO!$B$2:$M$4838,8,FALSE)</f>
        <v/>
      </c>
      <c r="I1901" s="17">
        <f>+VLOOKUP($A1901,MAGAZZINO!$B$2:$M$4838,9,FALSE)</f>
        <v/>
      </c>
      <c r="J1901" s="17">
        <f>+VLOOKUP($A1901,MAGAZZINO!$B$2:$M$4838,10,FALSE)</f>
        <v/>
      </c>
      <c r="K1901" s="17">
        <f>+VLOOKUP($A1901,MAGAZZINO!$B$2:$M$4838,11,FALSE)</f>
        <v/>
      </c>
      <c r="L1901" s="44">
        <f>+VLOOKUP($A1901,MAGAZZINO!$B$2:$M$4838,12,FALSE)</f>
        <v/>
      </c>
    </row>
    <row r="1902" ht="36" customHeight="1">
      <c r="A1902" s="30">
        <f>+REGISTRO!A1885</f>
        <v/>
      </c>
      <c r="B1902" s="31">
        <f>+VLOOKUP($A1902,MAGAZZINO!$B$2:$M$4838,2,FALSE)</f>
        <v/>
      </c>
      <c r="C1902" s="32">
        <f>+VLOOKUP($A1902,MAGAZZINO!$B$2:$M$4838,3,FALSE)</f>
        <v/>
      </c>
      <c r="D1902" s="17">
        <f>+VLOOKUP($A1902,MAGAZZINO!$B$2:$M$4838,4,FALSE)</f>
        <v/>
      </c>
      <c r="E1902" s="17">
        <f>+VLOOKUP($A1902,MAGAZZINO!$B$2:$M$4838,5,FALSE)</f>
        <v/>
      </c>
      <c r="F1902" s="17">
        <f>+VLOOKUP($A1902,MAGAZZINO!$B$2:$M$4838,6,FALSE)</f>
        <v/>
      </c>
      <c r="G1902" s="17">
        <f>+VLOOKUP($A1902,MAGAZZINO!$B$2:$M$4838,7,FALSE)</f>
        <v/>
      </c>
      <c r="H1902" s="17">
        <f>+VLOOKUP($A1902,MAGAZZINO!$B$2:$M$4838,8,FALSE)</f>
        <v/>
      </c>
      <c r="I1902" s="17">
        <f>+VLOOKUP($A1902,MAGAZZINO!$B$2:$M$4838,9,FALSE)</f>
        <v/>
      </c>
      <c r="J1902" s="17">
        <f>+VLOOKUP($A1902,MAGAZZINO!$B$2:$M$4838,10,FALSE)</f>
        <v/>
      </c>
      <c r="K1902" s="17">
        <f>+VLOOKUP($A1902,MAGAZZINO!$B$2:$M$4838,11,FALSE)</f>
        <v/>
      </c>
      <c r="L1902" s="44">
        <f>+VLOOKUP($A1902,MAGAZZINO!$B$2:$M$4838,12,FALSE)</f>
        <v/>
      </c>
    </row>
    <row r="1903" ht="36" customHeight="1">
      <c r="A1903" s="30">
        <f>+REGISTRO!A1886</f>
        <v/>
      </c>
      <c r="B1903" s="31">
        <f>+VLOOKUP($A1903,MAGAZZINO!$B$2:$M$4838,2,FALSE)</f>
        <v/>
      </c>
      <c r="C1903" s="32">
        <f>+VLOOKUP($A1903,MAGAZZINO!$B$2:$M$4838,3,FALSE)</f>
        <v/>
      </c>
      <c r="D1903" s="17">
        <f>+VLOOKUP($A1903,MAGAZZINO!$B$2:$M$4838,4,FALSE)</f>
        <v/>
      </c>
      <c r="E1903" s="17">
        <f>+VLOOKUP($A1903,MAGAZZINO!$B$2:$M$4838,5,FALSE)</f>
        <v/>
      </c>
      <c r="F1903" s="17">
        <f>+VLOOKUP($A1903,MAGAZZINO!$B$2:$M$4838,6,FALSE)</f>
        <v/>
      </c>
      <c r="G1903" s="17">
        <f>+VLOOKUP($A1903,MAGAZZINO!$B$2:$M$4838,7,FALSE)</f>
        <v/>
      </c>
      <c r="H1903" s="17">
        <f>+VLOOKUP($A1903,MAGAZZINO!$B$2:$M$4838,8,FALSE)</f>
        <v/>
      </c>
      <c r="I1903" s="17">
        <f>+VLOOKUP($A1903,MAGAZZINO!$B$2:$M$4838,9,FALSE)</f>
        <v/>
      </c>
      <c r="J1903" s="17">
        <f>+VLOOKUP($A1903,MAGAZZINO!$B$2:$M$4838,10,FALSE)</f>
        <v/>
      </c>
      <c r="K1903" s="17">
        <f>+VLOOKUP($A1903,MAGAZZINO!$B$2:$M$4838,11,FALSE)</f>
        <v/>
      </c>
      <c r="L1903" s="44">
        <f>+VLOOKUP($A1903,MAGAZZINO!$B$2:$M$4838,12,FALSE)</f>
        <v/>
      </c>
    </row>
    <row r="1904" ht="36" customHeight="1">
      <c r="A1904" s="30">
        <f>+REGISTRO!A1887</f>
        <v/>
      </c>
      <c r="B1904" s="31">
        <f>+VLOOKUP($A1904,MAGAZZINO!$B$2:$M$4838,2,FALSE)</f>
        <v/>
      </c>
      <c r="C1904" s="32">
        <f>+VLOOKUP($A1904,MAGAZZINO!$B$2:$M$4838,3,FALSE)</f>
        <v/>
      </c>
      <c r="D1904" s="17">
        <f>+VLOOKUP($A1904,MAGAZZINO!$B$2:$M$4838,4,FALSE)</f>
        <v/>
      </c>
      <c r="E1904" s="17">
        <f>+VLOOKUP($A1904,MAGAZZINO!$B$2:$M$4838,5,FALSE)</f>
        <v/>
      </c>
      <c r="F1904" s="17">
        <f>+VLOOKUP($A1904,MAGAZZINO!$B$2:$M$4838,6,FALSE)</f>
        <v/>
      </c>
      <c r="G1904" s="17">
        <f>+VLOOKUP($A1904,MAGAZZINO!$B$2:$M$4838,7,FALSE)</f>
        <v/>
      </c>
      <c r="H1904" s="17">
        <f>+VLOOKUP($A1904,MAGAZZINO!$B$2:$M$4838,8,FALSE)</f>
        <v/>
      </c>
      <c r="I1904" s="17">
        <f>+VLOOKUP($A1904,MAGAZZINO!$B$2:$M$4838,9,FALSE)</f>
        <v/>
      </c>
      <c r="J1904" s="17">
        <f>+VLOOKUP($A1904,MAGAZZINO!$B$2:$M$4838,10,FALSE)</f>
        <v/>
      </c>
      <c r="K1904" s="17">
        <f>+VLOOKUP($A1904,MAGAZZINO!$B$2:$M$4838,11,FALSE)</f>
        <v/>
      </c>
      <c r="L1904" s="44">
        <f>+VLOOKUP($A1904,MAGAZZINO!$B$2:$M$4838,12,FALSE)</f>
        <v/>
      </c>
    </row>
    <row r="1905" ht="36" customHeight="1">
      <c r="A1905" s="30">
        <f>+REGISTRO!A1888</f>
        <v/>
      </c>
      <c r="B1905" s="31">
        <f>+VLOOKUP($A1905,MAGAZZINO!$B$2:$M$4838,2,FALSE)</f>
        <v/>
      </c>
      <c r="C1905" s="32">
        <f>+VLOOKUP($A1905,MAGAZZINO!$B$2:$M$4838,3,FALSE)</f>
        <v/>
      </c>
      <c r="D1905" s="17">
        <f>+VLOOKUP($A1905,MAGAZZINO!$B$2:$M$4838,4,FALSE)</f>
        <v/>
      </c>
      <c r="E1905" s="17">
        <f>+VLOOKUP($A1905,MAGAZZINO!$B$2:$M$4838,5,FALSE)</f>
        <v/>
      </c>
      <c r="F1905" s="17">
        <f>+VLOOKUP($A1905,MAGAZZINO!$B$2:$M$4838,6,FALSE)</f>
        <v/>
      </c>
      <c r="G1905" s="17">
        <f>+VLOOKUP($A1905,MAGAZZINO!$B$2:$M$4838,7,FALSE)</f>
        <v/>
      </c>
      <c r="H1905" s="17">
        <f>+VLOOKUP($A1905,MAGAZZINO!$B$2:$M$4838,8,FALSE)</f>
        <v/>
      </c>
      <c r="I1905" s="17">
        <f>+VLOOKUP($A1905,MAGAZZINO!$B$2:$M$4838,9,FALSE)</f>
        <v/>
      </c>
      <c r="J1905" s="17">
        <f>+VLOOKUP($A1905,MAGAZZINO!$B$2:$M$4838,10,FALSE)</f>
        <v/>
      </c>
      <c r="K1905" s="17">
        <f>+VLOOKUP($A1905,MAGAZZINO!$B$2:$M$4838,11,FALSE)</f>
        <v/>
      </c>
      <c r="L1905" s="44">
        <f>+VLOOKUP($A1905,MAGAZZINO!$B$2:$M$4838,12,FALSE)</f>
        <v/>
      </c>
    </row>
    <row r="1906" ht="36" customHeight="1">
      <c r="A1906" s="30">
        <f>+REGISTRO!A1889</f>
        <v/>
      </c>
      <c r="B1906" s="31">
        <f>+VLOOKUP($A1906,MAGAZZINO!$B$2:$M$4838,2,FALSE)</f>
        <v/>
      </c>
      <c r="C1906" s="32">
        <f>+VLOOKUP($A1906,MAGAZZINO!$B$2:$M$4838,3,FALSE)</f>
        <v/>
      </c>
      <c r="D1906" s="17">
        <f>+VLOOKUP($A1906,MAGAZZINO!$B$2:$M$4838,4,FALSE)</f>
        <v/>
      </c>
      <c r="E1906" s="17">
        <f>+VLOOKUP($A1906,MAGAZZINO!$B$2:$M$4838,5,FALSE)</f>
        <v/>
      </c>
      <c r="F1906" s="17">
        <f>+VLOOKUP($A1906,MAGAZZINO!$B$2:$M$4838,6,FALSE)</f>
        <v/>
      </c>
      <c r="G1906" s="17">
        <f>+VLOOKUP($A1906,MAGAZZINO!$B$2:$M$4838,7,FALSE)</f>
        <v/>
      </c>
      <c r="H1906" s="17">
        <f>+VLOOKUP($A1906,MAGAZZINO!$B$2:$M$4838,8,FALSE)</f>
        <v/>
      </c>
      <c r="I1906" s="17">
        <f>+VLOOKUP($A1906,MAGAZZINO!$B$2:$M$4838,9,FALSE)</f>
        <v/>
      </c>
      <c r="J1906" s="17">
        <f>+VLOOKUP($A1906,MAGAZZINO!$B$2:$M$4838,10,FALSE)</f>
        <v/>
      </c>
      <c r="K1906" s="17">
        <f>+VLOOKUP($A1906,MAGAZZINO!$B$2:$M$4838,11,FALSE)</f>
        <v/>
      </c>
      <c r="L1906" s="44">
        <f>+VLOOKUP($A1906,MAGAZZINO!$B$2:$M$4838,12,FALSE)</f>
        <v/>
      </c>
    </row>
    <row r="1907" ht="36" customHeight="1">
      <c r="A1907" s="30">
        <f>+REGISTRO!A1890</f>
        <v/>
      </c>
      <c r="B1907" s="31">
        <f>+VLOOKUP($A1907,MAGAZZINO!$B$2:$M$4838,2,FALSE)</f>
        <v/>
      </c>
      <c r="C1907" s="32">
        <f>+VLOOKUP($A1907,MAGAZZINO!$B$2:$M$4838,3,FALSE)</f>
        <v/>
      </c>
      <c r="D1907" s="17">
        <f>+VLOOKUP($A1907,MAGAZZINO!$B$2:$M$4838,4,FALSE)</f>
        <v/>
      </c>
      <c r="E1907" s="17">
        <f>+VLOOKUP($A1907,MAGAZZINO!$B$2:$M$4838,5,FALSE)</f>
        <v/>
      </c>
      <c r="F1907" s="17">
        <f>+VLOOKUP($A1907,MAGAZZINO!$B$2:$M$4838,6,FALSE)</f>
        <v/>
      </c>
      <c r="G1907" s="17">
        <f>+VLOOKUP($A1907,MAGAZZINO!$B$2:$M$4838,7,FALSE)</f>
        <v/>
      </c>
      <c r="H1907" s="17">
        <f>+VLOOKUP($A1907,MAGAZZINO!$B$2:$M$4838,8,FALSE)</f>
        <v/>
      </c>
      <c r="I1907" s="17">
        <f>+VLOOKUP($A1907,MAGAZZINO!$B$2:$M$4838,9,FALSE)</f>
        <v/>
      </c>
      <c r="J1907" s="17">
        <f>+VLOOKUP($A1907,MAGAZZINO!$B$2:$M$4838,10,FALSE)</f>
        <v/>
      </c>
      <c r="K1907" s="17">
        <f>+VLOOKUP($A1907,MAGAZZINO!$B$2:$M$4838,11,FALSE)</f>
        <v/>
      </c>
      <c r="L1907" s="44">
        <f>+VLOOKUP($A1907,MAGAZZINO!$B$2:$M$4838,12,FALSE)</f>
        <v/>
      </c>
    </row>
    <row r="1908" ht="36" customHeight="1">
      <c r="A1908" s="30">
        <f>+REGISTRO!A1891</f>
        <v/>
      </c>
      <c r="B1908" s="31">
        <f>+VLOOKUP($A1908,MAGAZZINO!$B$2:$M$4838,2,FALSE)</f>
        <v/>
      </c>
      <c r="C1908" s="32">
        <f>+VLOOKUP($A1908,MAGAZZINO!$B$2:$M$4838,3,FALSE)</f>
        <v/>
      </c>
      <c r="D1908" s="17">
        <f>+VLOOKUP($A1908,MAGAZZINO!$B$2:$M$4838,4,FALSE)</f>
        <v/>
      </c>
      <c r="E1908" s="17">
        <f>+VLOOKUP($A1908,MAGAZZINO!$B$2:$M$4838,5,FALSE)</f>
        <v/>
      </c>
      <c r="F1908" s="17">
        <f>+VLOOKUP($A1908,MAGAZZINO!$B$2:$M$4838,6,FALSE)</f>
        <v/>
      </c>
      <c r="G1908" s="17">
        <f>+VLOOKUP($A1908,MAGAZZINO!$B$2:$M$4838,7,FALSE)</f>
        <v/>
      </c>
      <c r="H1908" s="17">
        <f>+VLOOKUP($A1908,MAGAZZINO!$B$2:$M$4838,8,FALSE)</f>
        <v/>
      </c>
      <c r="I1908" s="17">
        <f>+VLOOKUP($A1908,MAGAZZINO!$B$2:$M$4838,9,FALSE)</f>
        <v/>
      </c>
      <c r="J1908" s="17">
        <f>+VLOOKUP($A1908,MAGAZZINO!$B$2:$M$4838,10,FALSE)</f>
        <v/>
      </c>
      <c r="K1908" s="17">
        <f>+VLOOKUP($A1908,MAGAZZINO!$B$2:$M$4838,11,FALSE)</f>
        <v/>
      </c>
      <c r="L1908" s="44">
        <f>+VLOOKUP($A1908,MAGAZZINO!$B$2:$M$4838,12,FALSE)</f>
        <v/>
      </c>
    </row>
    <row r="1909" ht="36" customHeight="1">
      <c r="A1909" s="30">
        <f>+REGISTRO!A1892</f>
        <v/>
      </c>
      <c r="B1909" s="31">
        <f>+VLOOKUP($A1909,MAGAZZINO!$B$2:$M$4838,2,FALSE)</f>
        <v/>
      </c>
      <c r="C1909" s="32">
        <f>+VLOOKUP($A1909,MAGAZZINO!$B$2:$M$4838,3,FALSE)</f>
        <v/>
      </c>
      <c r="D1909" s="17">
        <f>+VLOOKUP($A1909,MAGAZZINO!$B$2:$M$4838,4,FALSE)</f>
        <v/>
      </c>
      <c r="E1909" s="17">
        <f>+VLOOKUP($A1909,MAGAZZINO!$B$2:$M$4838,5,FALSE)</f>
        <v/>
      </c>
      <c r="F1909" s="17">
        <f>+VLOOKUP($A1909,MAGAZZINO!$B$2:$M$4838,6,FALSE)</f>
        <v/>
      </c>
      <c r="G1909" s="17">
        <f>+VLOOKUP($A1909,MAGAZZINO!$B$2:$M$4838,7,FALSE)</f>
        <v/>
      </c>
      <c r="H1909" s="17">
        <f>+VLOOKUP($A1909,MAGAZZINO!$B$2:$M$4838,8,FALSE)</f>
        <v/>
      </c>
      <c r="I1909" s="17">
        <f>+VLOOKUP($A1909,MAGAZZINO!$B$2:$M$4838,9,FALSE)</f>
        <v/>
      </c>
      <c r="J1909" s="17">
        <f>+VLOOKUP($A1909,MAGAZZINO!$B$2:$M$4838,10,FALSE)</f>
        <v/>
      </c>
      <c r="K1909" s="17">
        <f>+VLOOKUP($A1909,MAGAZZINO!$B$2:$M$4838,11,FALSE)</f>
        <v/>
      </c>
      <c r="L1909" s="44">
        <f>+VLOOKUP($A1909,MAGAZZINO!$B$2:$M$4838,12,FALSE)</f>
        <v/>
      </c>
    </row>
    <row r="1910" ht="36" customHeight="1">
      <c r="A1910" s="30">
        <f>+REGISTRO!A1893</f>
        <v/>
      </c>
      <c r="B1910" s="31">
        <f>+VLOOKUP($A1910,MAGAZZINO!$B$2:$M$4838,2,FALSE)</f>
        <v/>
      </c>
      <c r="C1910" s="32">
        <f>+VLOOKUP($A1910,MAGAZZINO!$B$2:$M$4838,3,FALSE)</f>
        <v/>
      </c>
      <c r="D1910" s="17">
        <f>+VLOOKUP($A1910,MAGAZZINO!$B$2:$M$4838,4,FALSE)</f>
        <v/>
      </c>
      <c r="E1910" s="17">
        <f>+VLOOKUP($A1910,MAGAZZINO!$B$2:$M$4838,5,FALSE)</f>
        <v/>
      </c>
      <c r="F1910" s="17">
        <f>+VLOOKUP($A1910,MAGAZZINO!$B$2:$M$4838,6,FALSE)</f>
        <v/>
      </c>
      <c r="G1910" s="17">
        <f>+VLOOKUP($A1910,MAGAZZINO!$B$2:$M$4838,7,FALSE)</f>
        <v/>
      </c>
      <c r="H1910" s="17">
        <f>+VLOOKUP($A1910,MAGAZZINO!$B$2:$M$4838,8,FALSE)</f>
        <v/>
      </c>
      <c r="I1910" s="17">
        <f>+VLOOKUP($A1910,MAGAZZINO!$B$2:$M$4838,9,FALSE)</f>
        <v/>
      </c>
      <c r="J1910" s="17">
        <f>+VLOOKUP($A1910,MAGAZZINO!$B$2:$M$4838,10,FALSE)</f>
        <v/>
      </c>
      <c r="K1910" s="17">
        <f>+VLOOKUP($A1910,MAGAZZINO!$B$2:$M$4838,11,FALSE)</f>
        <v/>
      </c>
      <c r="L1910" s="44">
        <f>+VLOOKUP($A1910,MAGAZZINO!$B$2:$M$4838,12,FALSE)</f>
        <v/>
      </c>
    </row>
    <row r="1911" ht="36" customHeight="1">
      <c r="A1911" s="30">
        <f>+REGISTRO!A1894</f>
        <v/>
      </c>
      <c r="B1911" s="31">
        <f>+VLOOKUP($A1911,MAGAZZINO!$B$2:$M$4838,2,FALSE)</f>
        <v/>
      </c>
      <c r="C1911" s="32">
        <f>+VLOOKUP($A1911,MAGAZZINO!$B$2:$M$4838,3,FALSE)</f>
        <v/>
      </c>
      <c r="D1911" s="17">
        <f>+VLOOKUP($A1911,MAGAZZINO!$B$2:$M$4838,4,FALSE)</f>
        <v/>
      </c>
      <c r="E1911" s="17">
        <f>+VLOOKUP($A1911,MAGAZZINO!$B$2:$M$4838,5,FALSE)</f>
        <v/>
      </c>
      <c r="F1911" s="17">
        <f>+VLOOKUP($A1911,MAGAZZINO!$B$2:$M$4838,6,FALSE)</f>
        <v/>
      </c>
      <c r="G1911" s="17">
        <f>+VLOOKUP($A1911,MAGAZZINO!$B$2:$M$4838,7,FALSE)</f>
        <v/>
      </c>
      <c r="H1911" s="17">
        <f>+VLOOKUP($A1911,MAGAZZINO!$B$2:$M$4838,8,FALSE)</f>
        <v/>
      </c>
      <c r="I1911" s="17">
        <f>+VLOOKUP($A1911,MAGAZZINO!$B$2:$M$4838,9,FALSE)</f>
        <v/>
      </c>
      <c r="J1911" s="17">
        <f>+VLOOKUP($A1911,MAGAZZINO!$B$2:$M$4838,10,FALSE)</f>
        <v/>
      </c>
      <c r="K1911" s="17">
        <f>+VLOOKUP($A1911,MAGAZZINO!$B$2:$M$4838,11,FALSE)</f>
        <v/>
      </c>
      <c r="L1911" s="44">
        <f>+VLOOKUP($A1911,MAGAZZINO!$B$2:$M$4838,12,FALSE)</f>
        <v/>
      </c>
    </row>
    <row r="1912" ht="36" customHeight="1">
      <c r="A1912" s="30">
        <f>+REGISTRO!A1895</f>
        <v/>
      </c>
      <c r="B1912" s="31">
        <f>+VLOOKUP($A1912,MAGAZZINO!$B$2:$M$4838,2,FALSE)</f>
        <v/>
      </c>
      <c r="C1912" s="32">
        <f>+VLOOKUP($A1912,MAGAZZINO!$B$2:$M$4838,3,FALSE)</f>
        <v/>
      </c>
      <c r="D1912" s="17">
        <f>+VLOOKUP($A1912,MAGAZZINO!$B$2:$M$4838,4,FALSE)</f>
        <v/>
      </c>
      <c r="E1912" s="17">
        <f>+VLOOKUP($A1912,MAGAZZINO!$B$2:$M$4838,5,FALSE)</f>
        <v/>
      </c>
      <c r="F1912" s="17">
        <f>+VLOOKUP($A1912,MAGAZZINO!$B$2:$M$4838,6,FALSE)</f>
        <v/>
      </c>
      <c r="G1912" s="17">
        <f>+VLOOKUP($A1912,MAGAZZINO!$B$2:$M$4838,7,FALSE)</f>
        <v/>
      </c>
      <c r="H1912" s="17">
        <f>+VLOOKUP($A1912,MAGAZZINO!$B$2:$M$4838,8,FALSE)</f>
        <v/>
      </c>
      <c r="I1912" s="17">
        <f>+VLOOKUP($A1912,MAGAZZINO!$B$2:$M$4838,9,FALSE)</f>
        <v/>
      </c>
      <c r="J1912" s="17">
        <f>+VLOOKUP($A1912,MAGAZZINO!$B$2:$M$4838,10,FALSE)</f>
        <v/>
      </c>
      <c r="K1912" s="17">
        <f>+VLOOKUP($A1912,MAGAZZINO!$B$2:$M$4838,11,FALSE)</f>
        <v/>
      </c>
      <c r="L1912" s="44">
        <f>+VLOOKUP($A1912,MAGAZZINO!$B$2:$M$4838,12,FALSE)</f>
        <v/>
      </c>
    </row>
    <row r="1913" ht="36" customHeight="1">
      <c r="A1913" s="30">
        <f>+REGISTRO!A1896</f>
        <v/>
      </c>
      <c r="B1913" s="31">
        <f>+VLOOKUP($A1913,MAGAZZINO!$B$2:$M$4838,2,FALSE)</f>
        <v/>
      </c>
      <c r="C1913" s="32">
        <f>+VLOOKUP($A1913,MAGAZZINO!$B$2:$M$4838,3,FALSE)</f>
        <v/>
      </c>
      <c r="D1913" s="17">
        <f>+VLOOKUP($A1913,MAGAZZINO!$B$2:$M$4838,4,FALSE)</f>
        <v/>
      </c>
      <c r="E1913" s="17">
        <f>+VLOOKUP($A1913,MAGAZZINO!$B$2:$M$4838,5,FALSE)</f>
        <v/>
      </c>
      <c r="F1913" s="17">
        <f>+VLOOKUP($A1913,MAGAZZINO!$B$2:$M$4838,6,FALSE)</f>
        <v/>
      </c>
      <c r="G1913" s="17">
        <f>+VLOOKUP($A1913,MAGAZZINO!$B$2:$M$4838,7,FALSE)</f>
        <v/>
      </c>
      <c r="H1913" s="17">
        <f>+VLOOKUP($A1913,MAGAZZINO!$B$2:$M$4838,8,FALSE)</f>
        <v/>
      </c>
      <c r="I1913" s="17">
        <f>+VLOOKUP($A1913,MAGAZZINO!$B$2:$M$4838,9,FALSE)</f>
        <v/>
      </c>
      <c r="J1913" s="17">
        <f>+VLOOKUP($A1913,MAGAZZINO!$B$2:$M$4838,10,FALSE)</f>
        <v/>
      </c>
      <c r="K1913" s="17">
        <f>+VLOOKUP($A1913,MAGAZZINO!$B$2:$M$4838,11,FALSE)</f>
        <v/>
      </c>
      <c r="L1913" s="44">
        <f>+VLOOKUP($A1913,MAGAZZINO!$B$2:$M$4838,12,FALSE)</f>
        <v/>
      </c>
    </row>
    <row r="1914" ht="36" customHeight="1">
      <c r="A1914" s="30">
        <f>+REGISTRO!A1897</f>
        <v/>
      </c>
      <c r="B1914" s="31">
        <f>+VLOOKUP($A1914,MAGAZZINO!$B$2:$M$4838,2,FALSE)</f>
        <v/>
      </c>
      <c r="C1914" s="32">
        <f>+VLOOKUP($A1914,MAGAZZINO!$B$2:$M$4838,3,FALSE)</f>
        <v/>
      </c>
      <c r="D1914" s="17">
        <f>+VLOOKUP($A1914,MAGAZZINO!$B$2:$M$4838,4,FALSE)</f>
        <v/>
      </c>
      <c r="E1914" s="17">
        <f>+VLOOKUP($A1914,MAGAZZINO!$B$2:$M$4838,5,FALSE)</f>
        <v/>
      </c>
      <c r="F1914" s="17">
        <f>+VLOOKUP($A1914,MAGAZZINO!$B$2:$M$4838,6,FALSE)</f>
        <v/>
      </c>
      <c r="G1914" s="17">
        <f>+VLOOKUP($A1914,MAGAZZINO!$B$2:$M$4838,7,FALSE)</f>
        <v/>
      </c>
      <c r="H1914" s="17">
        <f>+VLOOKUP($A1914,MAGAZZINO!$B$2:$M$4838,8,FALSE)</f>
        <v/>
      </c>
      <c r="I1914" s="17">
        <f>+VLOOKUP($A1914,MAGAZZINO!$B$2:$M$4838,9,FALSE)</f>
        <v/>
      </c>
      <c r="J1914" s="17">
        <f>+VLOOKUP($A1914,MAGAZZINO!$B$2:$M$4838,10,FALSE)</f>
        <v/>
      </c>
      <c r="K1914" s="17">
        <f>+VLOOKUP($A1914,MAGAZZINO!$B$2:$M$4838,11,FALSE)</f>
        <v/>
      </c>
      <c r="L1914" s="44">
        <f>+VLOOKUP($A1914,MAGAZZINO!$B$2:$M$4838,12,FALSE)</f>
        <v/>
      </c>
    </row>
    <row r="1915" ht="36" customHeight="1">
      <c r="A1915" s="30">
        <f>+REGISTRO!A1898</f>
        <v/>
      </c>
      <c r="B1915" s="31">
        <f>+VLOOKUP($A1915,MAGAZZINO!$B$2:$M$4838,2,FALSE)</f>
        <v/>
      </c>
      <c r="C1915" s="32">
        <f>+VLOOKUP($A1915,MAGAZZINO!$B$2:$M$4838,3,FALSE)</f>
        <v/>
      </c>
      <c r="D1915" s="17">
        <f>+VLOOKUP($A1915,MAGAZZINO!$B$2:$M$4838,4,FALSE)</f>
        <v/>
      </c>
      <c r="E1915" s="17">
        <f>+VLOOKUP($A1915,MAGAZZINO!$B$2:$M$4838,5,FALSE)</f>
        <v/>
      </c>
      <c r="F1915" s="17">
        <f>+VLOOKUP($A1915,MAGAZZINO!$B$2:$M$4838,6,FALSE)</f>
        <v/>
      </c>
      <c r="G1915" s="17">
        <f>+VLOOKUP($A1915,MAGAZZINO!$B$2:$M$4838,7,FALSE)</f>
        <v/>
      </c>
      <c r="H1915" s="17">
        <f>+VLOOKUP($A1915,MAGAZZINO!$B$2:$M$4838,8,FALSE)</f>
        <v/>
      </c>
      <c r="I1915" s="17">
        <f>+VLOOKUP($A1915,MAGAZZINO!$B$2:$M$4838,9,FALSE)</f>
        <v/>
      </c>
      <c r="J1915" s="17">
        <f>+VLOOKUP($A1915,MAGAZZINO!$B$2:$M$4838,10,FALSE)</f>
        <v/>
      </c>
      <c r="K1915" s="17">
        <f>+VLOOKUP($A1915,MAGAZZINO!$B$2:$M$4838,11,FALSE)</f>
        <v/>
      </c>
      <c r="L1915" s="44">
        <f>+VLOOKUP($A1915,MAGAZZINO!$B$2:$M$4838,12,FALSE)</f>
        <v/>
      </c>
    </row>
    <row r="1916" ht="36" customHeight="1">
      <c r="A1916" s="30">
        <f>+REGISTRO!A1899</f>
        <v/>
      </c>
      <c r="B1916" s="31">
        <f>+VLOOKUP($A1916,MAGAZZINO!$B$2:$M$4838,2,FALSE)</f>
        <v/>
      </c>
      <c r="C1916" s="32">
        <f>+VLOOKUP($A1916,MAGAZZINO!$B$2:$M$4838,3,FALSE)</f>
        <v/>
      </c>
      <c r="D1916" s="17">
        <f>+VLOOKUP($A1916,MAGAZZINO!$B$2:$M$4838,4,FALSE)</f>
        <v/>
      </c>
      <c r="E1916" s="17">
        <f>+VLOOKUP($A1916,MAGAZZINO!$B$2:$M$4838,5,FALSE)</f>
        <v/>
      </c>
      <c r="F1916" s="17">
        <f>+VLOOKUP($A1916,MAGAZZINO!$B$2:$M$4838,6,FALSE)</f>
        <v/>
      </c>
      <c r="G1916" s="17">
        <f>+VLOOKUP($A1916,MAGAZZINO!$B$2:$M$4838,7,FALSE)</f>
        <v/>
      </c>
      <c r="H1916" s="17">
        <f>+VLOOKUP($A1916,MAGAZZINO!$B$2:$M$4838,8,FALSE)</f>
        <v/>
      </c>
      <c r="I1916" s="17">
        <f>+VLOOKUP($A1916,MAGAZZINO!$B$2:$M$4838,9,FALSE)</f>
        <v/>
      </c>
      <c r="J1916" s="17">
        <f>+VLOOKUP($A1916,MAGAZZINO!$B$2:$M$4838,10,FALSE)</f>
        <v/>
      </c>
      <c r="K1916" s="17">
        <f>+VLOOKUP($A1916,MAGAZZINO!$B$2:$M$4838,11,FALSE)</f>
        <v/>
      </c>
      <c r="L1916" s="44">
        <f>+VLOOKUP($A1916,MAGAZZINO!$B$2:$M$4838,12,FALSE)</f>
        <v/>
      </c>
    </row>
    <row r="1917" ht="36" customHeight="1">
      <c r="A1917" s="30">
        <f>+REGISTRO!A1900</f>
        <v/>
      </c>
      <c r="B1917" s="31">
        <f>+VLOOKUP($A1917,MAGAZZINO!$B$2:$M$4838,2,FALSE)</f>
        <v/>
      </c>
      <c r="C1917" s="32">
        <f>+VLOOKUP($A1917,MAGAZZINO!$B$2:$M$4838,3,FALSE)</f>
        <v/>
      </c>
      <c r="D1917" s="17">
        <f>+VLOOKUP($A1917,MAGAZZINO!$B$2:$M$4838,4,FALSE)</f>
        <v/>
      </c>
      <c r="E1917" s="17">
        <f>+VLOOKUP($A1917,MAGAZZINO!$B$2:$M$4838,5,FALSE)</f>
        <v/>
      </c>
      <c r="F1917" s="17">
        <f>+VLOOKUP($A1917,MAGAZZINO!$B$2:$M$4838,6,FALSE)</f>
        <v/>
      </c>
      <c r="G1917" s="17">
        <f>+VLOOKUP($A1917,MAGAZZINO!$B$2:$M$4838,7,FALSE)</f>
        <v/>
      </c>
      <c r="H1917" s="17">
        <f>+VLOOKUP($A1917,MAGAZZINO!$B$2:$M$4838,8,FALSE)</f>
        <v/>
      </c>
      <c r="I1917" s="17">
        <f>+VLOOKUP($A1917,MAGAZZINO!$B$2:$M$4838,9,FALSE)</f>
        <v/>
      </c>
      <c r="J1917" s="17">
        <f>+VLOOKUP($A1917,MAGAZZINO!$B$2:$M$4838,10,FALSE)</f>
        <v/>
      </c>
      <c r="K1917" s="17">
        <f>+VLOOKUP($A1917,MAGAZZINO!$B$2:$M$4838,11,FALSE)</f>
        <v/>
      </c>
      <c r="L1917" s="44">
        <f>+VLOOKUP($A1917,MAGAZZINO!$B$2:$M$4838,12,FALSE)</f>
        <v/>
      </c>
    </row>
    <row r="1918" ht="36" customHeight="1">
      <c r="A1918" s="30">
        <f>+REGISTRO!A1901</f>
        <v/>
      </c>
      <c r="B1918" s="31">
        <f>+VLOOKUP($A1918,MAGAZZINO!$B$2:$M$4838,2,FALSE)</f>
        <v/>
      </c>
      <c r="C1918" s="32">
        <f>+VLOOKUP($A1918,MAGAZZINO!$B$2:$M$4838,3,FALSE)</f>
        <v/>
      </c>
      <c r="D1918" s="17">
        <f>+VLOOKUP($A1918,MAGAZZINO!$B$2:$M$4838,4,FALSE)</f>
        <v/>
      </c>
      <c r="E1918" s="17">
        <f>+VLOOKUP($A1918,MAGAZZINO!$B$2:$M$4838,5,FALSE)</f>
        <v/>
      </c>
      <c r="F1918" s="17">
        <f>+VLOOKUP($A1918,MAGAZZINO!$B$2:$M$4838,6,FALSE)</f>
        <v/>
      </c>
      <c r="G1918" s="17">
        <f>+VLOOKUP($A1918,MAGAZZINO!$B$2:$M$4838,7,FALSE)</f>
        <v/>
      </c>
      <c r="H1918" s="17">
        <f>+VLOOKUP($A1918,MAGAZZINO!$B$2:$M$4838,8,FALSE)</f>
        <v/>
      </c>
      <c r="I1918" s="17">
        <f>+VLOOKUP($A1918,MAGAZZINO!$B$2:$M$4838,9,FALSE)</f>
        <v/>
      </c>
      <c r="J1918" s="17">
        <f>+VLOOKUP($A1918,MAGAZZINO!$B$2:$M$4838,10,FALSE)</f>
        <v/>
      </c>
      <c r="K1918" s="17">
        <f>+VLOOKUP($A1918,MAGAZZINO!$B$2:$M$4838,11,FALSE)</f>
        <v/>
      </c>
      <c r="L1918" s="44">
        <f>+VLOOKUP($A1918,MAGAZZINO!$B$2:$M$4838,12,FALSE)</f>
        <v/>
      </c>
    </row>
    <row r="1919" ht="36" customHeight="1">
      <c r="A1919" s="30">
        <f>+REGISTRO!A1902</f>
        <v/>
      </c>
      <c r="B1919" s="31">
        <f>+VLOOKUP($A1919,MAGAZZINO!$B$2:$M$4838,2,FALSE)</f>
        <v/>
      </c>
      <c r="C1919" s="32">
        <f>+VLOOKUP($A1919,MAGAZZINO!$B$2:$M$4838,3,FALSE)</f>
        <v/>
      </c>
      <c r="D1919" s="17">
        <f>+VLOOKUP($A1919,MAGAZZINO!$B$2:$M$4838,4,FALSE)</f>
        <v/>
      </c>
      <c r="E1919" s="17">
        <f>+VLOOKUP($A1919,MAGAZZINO!$B$2:$M$4838,5,FALSE)</f>
        <v/>
      </c>
      <c r="F1919" s="17">
        <f>+VLOOKUP($A1919,MAGAZZINO!$B$2:$M$4838,6,FALSE)</f>
        <v/>
      </c>
      <c r="G1919" s="17">
        <f>+VLOOKUP($A1919,MAGAZZINO!$B$2:$M$4838,7,FALSE)</f>
        <v/>
      </c>
      <c r="H1919" s="17">
        <f>+VLOOKUP($A1919,MAGAZZINO!$B$2:$M$4838,8,FALSE)</f>
        <v/>
      </c>
      <c r="I1919" s="17">
        <f>+VLOOKUP($A1919,MAGAZZINO!$B$2:$M$4838,9,FALSE)</f>
        <v/>
      </c>
      <c r="J1919" s="17">
        <f>+VLOOKUP($A1919,MAGAZZINO!$B$2:$M$4838,10,FALSE)</f>
        <v/>
      </c>
      <c r="K1919" s="17">
        <f>+VLOOKUP($A1919,MAGAZZINO!$B$2:$M$4838,11,FALSE)</f>
        <v/>
      </c>
      <c r="L1919" s="44">
        <f>+VLOOKUP($A1919,MAGAZZINO!$B$2:$M$4838,12,FALSE)</f>
        <v/>
      </c>
    </row>
    <row r="1920" ht="36" customHeight="1">
      <c r="A1920" s="30">
        <f>+REGISTRO!A1903</f>
        <v/>
      </c>
      <c r="B1920" s="31">
        <f>+VLOOKUP($A1920,MAGAZZINO!$B$2:$M$4838,2,FALSE)</f>
        <v/>
      </c>
      <c r="C1920" s="32">
        <f>+VLOOKUP($A1920,MAGAZZINO!$B$2:$M$4838,3,FALSE)</f>
        <v/>
      </c>
      <c r="D1920" s="17">
        <f>+VLOOKUP($A1920,MAGAZZINO!$B$2:$M$4838,4,FALSE)</f>
        <v/>
      </c>
      <c r="E1920" s="17">
        <f>+VLOOKUP($A1920,MAGAZZINO!$B$2:$M$4838,5,FALSE)</f>
        <v/>
      </c>
      <c r="F1920" s="17">
        <f>+VLOOKUP($A1920,MAGAZZINO!$B$2:$M$4838,6,FALSE)</f>
        <v/>
      </c>
      <c r="G1920" s="17">
        <f>+VLOOKUP($A1920,MAGAZZINO!$B$2:$M$4838,7,FALSE)</f>
        <v/>
      </c>
      <c r="H1920" s="17">
        <f>+VLOOKUP($A1920,MAGAZZINO!$B$2:$M$4838,8,FALSE)</f>
        <v/>
      </c>
      <c r="I1920" s="17">
        <f>+VLOOKUP($A1920,MAGAZZINO!$B$2:$M$4838,9,FALSE)</f>
        <v/>
      </c>
      <c r="J1920" s="17">
        <f>+VLOOKUP($A1920,MAGAZZINO!$B$2:$M$4838,10,FALSE)</f>
        <v/>
      </c>
      <c r="K1920" s="17">
        <f>+VLOOKUP($A1920,MAGAZZINO!$B$2:$M$4838,11,FALSE)</f>
        <v/>
      </c>
      <c r="L1920" s="44">
        <f>+VLOOKUP($A1920,MAGAZZINO!$B$2:$M$4838,12,FALSE)</f>
        <v/>
      </c>
    </row>
    <row r="1921" ht="36" customHeight="1">
      <c r="A1921" s="30">
        <f>+REGISTRO!A1904</f>
        <v/>
      </c>
      <c r="B1921" s="31">
        <f>+VLOOKUP($A1921,MAGAZZINO!$B$2:$M$4838,2,FALSE)</f>
        <v/>
      </c>
      <c r="C1921" s="32">
        <f>+VLOOKUP($A1921,MAGAZZINO!$B$2:$M$4838,3,FALSE)</f>
        <v/>
      </c>
      <c r="D1921" s="17">
        <f>+VLOOKUP($A1921,MAGAZZINO!$B$2:$M$4838,4,FALSE)</f>
        <v/>
      </c>
      <c r="E1921" s="17">
        <f>+VLOOKUP($A1921,MAGAZZINO!$B$2:$M$4838,5,FALSE)</f>
        <v/>
      </c>
      <c r="F1921" s="17">
        <f>+VLOOKUP($A1921,MAGAZZINO!$B$2:$M$4838,6,FALSE)</f>
        <v/>
      </c>
      <c r="G1921" s="17">
        <f>+VLOOKUP($A1921,MAGAZZINO!$B$2:$M$4838,7,FALSE)</f>
        <v/>
      </c>
      <c r="H1921" s="17">
        <f>+VLOOKUP($A1921,MAGAZZINO!$B$2:$M$4838,8,FALSE)</f>
        <v/>
      </c>
      <c r="I1921" s="17">
        <f>+VLOOKUP($A1921,MAGAZZINO!$B$2:$M$4838,9,FALSE)</f>
        <v/>
      </c>
      <c r="J1921" s="17">
        <f>+VLOOKUP($A1921,MAGAZZINO!$B$2:$M$4838,10,FALSE)</f>
        <v/>
      </c>
      <c r="K1921" s="17">
        <f>+VLOOKUP($A1921,MAGAZZINO!$B$2:$M$4838,11,FALSE)</f>
        <v/>
      </c>
      <c r="L1921" s="44">
        <f>+VLOOKUP($A1921,MAGAZZINO!$B$2:$M$4838,12,FALSE)</f>
        <v/>
      </c>
    </row>
    <row r="1922" ht="36" customHeight="1">
      <c r="A1922" s="30">
        <f>+REGISTRO!A1905</f>
        <v/>
      </c>
      <c r="B1922" s="31">
        <f>+VLOOKUP($A1922,MAGAZZINO!$B$2:$M$4838,2,FALSE)</f>
        <v/>
      </c>
      <c r="C1922" s="32">
        <f>+VLOOKUP($A1922,MAGAZZINO!$B$2:$M$4838,3,FALSE)</f>
        <v/>
      </c>
      <c r="D1922" s="17">
        <f>+VLOOKUP($A1922,MAGAZZINO!$B$2:$M$4838,4,FALSE)</f>
        <v/>
      </c>
      <c r="E1922" s="17">
        <f>+VLOOKUP($A1922,MAGAZZINO!$B$2:$M$4838,5,FALSE)</f>
        <v/>
      </c>
      <c r="F1922" s="17">
        <f>+VLOOKUP($A1922,MAGAZZINO!$B$2:$M$4838,6,FALSE)</f>
        <v/>
      </c>
      <c r="G1922" s="17">
        <f>+VLOOKUP($A1922,MAGAZZINO!$B$2:$M$4838,7,FALSE)</f>
        <v/>
      </c>
      <c r="H1922" s="17">
        <f>+VLOOKUP($A1922,MAGAZZINO!$B$2:$M$4838,8,FALSE)</f>
        <v/>
      </c>
      <c r="I1922" s="17">
        <f>+VLOOKUP($A1922,MAGAZZINO!$B$2:$M$4838,9,FALSE)</f>
        <v/>
      </c>
      <c r="J1922" s="17">
        <f>+VLOOKUP($A1922,MAGAZZINO!$B$2:$M$4838,10,FALSE)</f>
        <v/>
      </c>
      <c r="K1922" s="17">
        <f>+VLOOKUP($A1922,MAGAZZINO!$B$2:$M$4838,11,FALSE)</f>
        <v/>
      </c>
      <c r="L1922" s="44">
        <f>+VLOOKUP($A1922,MAGAZZINO!$B$2:$M$4838,12,FALSE)</f>
        <v/>
      </c>
    </row>
    <row r="1923" ht="36" customHeight="1">
      <c r="A1923" s="30">
        <f>+REGISTRO!A1906</f>
        <v/>
      </c>
      <c r="B1923" s="31">
        <f>+VLOOKUP($A1923,MAGAZZINO!$B$2:$M$4838,2,FALSE)</f>
        <v/>
      </c>
      <c r="C1923" s="32">
        <f>+VLOOKUP($A1923,MAGAZZINO!$B$2:$M$4838,3,FALSE)</f>
        <v/>
      </c>
      <c r="D1923" s="17">
        <f>+VLOOKUP($A1923,MAGAZZINO!$B$2:$M$4838,4,FALSE)</f>
        <v/>
      </c>
      <c r="E1923" s="17">
        <f>+VLOOKUP($A1923,MAGAZZINO!$B$2:$M$4838,5,FALSE)</f>
        <v/>
      </c>
      <c r="F1923" s="17">
        <f>+VLOOKUP($A1923,MAGAZZINO!$B$2:$M$4838,6,FALSE)</f>
        <v/>
      </c>
      <c r="G1923" s="17">
        <f>+VLOOKUP($A1923,MAGAZZINO!$B$2:$M$4838,7,FALSE)</f>
        <v/>
      </c>
      <c r="H1923" s="17">
        <f>+VLOOKUP($A1923,MAGAZZINO!$B$2:$M$4838,8,FALSE)</f>
        <v/>
      </c>
      <c r="I1923" s="17">
        <f>+VLOOKUP($A1923,MAGAZZINO!$B$2:$M$4838,9,FALSE)</f>
        <v/>
      </c>
      <c r="J1923" s="17">
        <f>+VLOOKUP($A1923,MAGAZZINO!$B$2:$M$4838,10,FALSE)</f>
        <v/>
      </c>
      <c r="K1923" s="17">
        <f>+VLOOKUP($A1923,MAGAZZINO!$B$2:$M$4838,11,FALSE)</f>
        <v/>
      </c>
      <c r="L1923" s="44">
        <f>+VLOOKUP($A1923,MAGAZZINO!$B$2:$M$4838,12,FALSE)</f>
        <v/>
      </c>
    </row>
    <row r="1924" ht="36" customHeight="1">
      <c r="A1924" s="30">
        <f>+REGISTRO!A1907</f>
        <v/>
      </c>
      <c r="B1924" s="31">
        <f>+VLOOKUP($A1924,MAGAZZINO!$B$2:$M$4838,2,FALSE)</f>
        <v/>
      </c>
      <c r="C1924" s="32">
        <f>+VLOOKUP($A1924,MAGAZZINO!$B$2:$M$4838,3,FALSE)</f>
        <v/>
      </c>
      <c r="D1924" s="17">
        <f>+VLOOKUP($A1924,MAGAZZINO!$B$2:$M$4838,4,FALSE)</f>
        <v/>
      </c>
      <c r="E1924" s="17">
        <f>+VLOOKUP($A1924,MAGAZZINO!$B$2:$M$4838,5,FALSE)</f>
        <v/>
      </c>
      <c r="F1924" s="17">
        <f>+VLOOKUP($A1924,MAGAZZINO!$B$2:$M$4838,6,FALSE)</f>
        <v/>
      </c>
      <c r="G1924" s="17">
        <f>+VLOOKUP($A1924,MAGAZZINO!$B$2:$M$4838,7,FALSE)</f>
        <v/>
      </c>
      <c r="H1924" s="17">
        <f>+VLOOKUP($A1924,MAGAZZINO!$B$2:$M$4838,8,FALSE)</f>
        <v/>
      </c>
      <c r="I1924" s="17">
        <f>+VLOOKUP($A1924,MAGAZZINO!$B$2:$M$4838,9,FALSE)</f>
        <v/>
      </c>
      <c r="J1924" s="17">
        <f>+VLOOKUP($A1924,MAGAZZINO!$B$2:$M$4838,10,FALSE)</f>
        <v/>
      </c>
      <c r="K1924" s="17">
        <f>+VLOOKUP($A1924,MAGAZZINO!$B$2:$M$4838,11,FALSE)</f>
        <v/>
      </c>
      <c r="L1924" s="44">
        <f>+VLOOKUP($A1924,MAGAZZINO!$B$2:$M$4838,12,FALSE)</f>
        <v/>
      </c>
    </row>
    <row r="1925" ht="36" customHeight="1">
      <c r="A1925" s="30">
        <f>+REGISTRO!A1908</f>
        <v/>
      </c>
      <c r="B1925" s="31">
        <f>+VLOOKUP($A1925,MAGAZZINO!$B$2:$M$4838,2,FALSE)</f>
        <v/>
      </c>
      <c r="C1925" s="32">
        <f>+VLOOKUP($A1925,MAGAZZINO!$B$2:$M$4838,3,FALSE)</f>
        <v/>
      </c>
      <c r="D1925" s="17">
        <f>+VLOOKUP($A1925,MAGAZZINO!$B$2:$M$4838,4,FALSE)</f>
        <v/>
      </c>
      <c r="E1925" s="17">
        <f>+VLOOKUP($A1925,MAGAZZINO!$B$2:$M$4838,5,FALSE)</f>
        <v/>
      </c>
      <c r="F1925" s="17">
        <f>+VLOOKUP($A1925,MAGAZZINO!$B$2:$M$4838,6,FALSE)</f>
        <v/>
      </c>
      <c r="G1925" s="17">
        <f>+VLOOKUP($A1925,MAGAZZINO!$B$2:$M$4838,7,FALSE)</f>
        <v/>
      </c>
      <c r="H1925" s="17">
        <f>+VLOOKUP($A1925,MAGAZZINO!$B$2:$M$4838,8,FALSE)</f>
        <v/>
      </c>
      <c r="I1925" s="17">
        <f>+VLOOKUP($A1925,MAGAZZINO!$B$2:$M$4838,9,FALSE)</f>
        <v/>
      </c>
      <c r="J1925" s="17">
        <f>+VLOOKUP($A1925,MAGAZZINO!$B$2:$M$4838,10,FALSE)</f>
        <v/>
      </c>
      <c r="K1925" s="17">
        <f>+VLOOKUP($A1925,MAGAZZINO!$B$2:$M$4838,11,FALSE)</f>
        <v/>
      </c>
      <c r="L1925" s="44">
        <f>+VLOOKUP($A1925,MAGAZZINO!$B$2:$M$4838,12,FALSE)</f>
        <v/>
      </c>
    </row>
    <row r="1926" ht="36" customHeight="1">
      <c r="A1926" s="30">
        <f>+REGISTRO!A1909</f>
        <v/>
      </c>
      <c r="B1926" s="31">
        <f>+VLOOKUP($A1926,MAGAZZINO!$B$2:$M$4838,2,FALSE)</f>
        <v/>
      </c>
      <c r="C1926" s="32">
        <f>+VLOOKUP($A1926,MAGAZZINO!$B$2:$M$4838,3,FALSE)</f>
        <v/>
      </c>
      <c r="D1926" s="17">
        <f>+VLOOKUP($A1926,MAGAZZINO!$B$2:$M$4838,4,FALSE)</f>
        <v/>
      </c>
      <c r="E1926" s="17">
        <f>+VLOOKUP($A1926,MAGAZZINO!$B$2:$M$4838,5,FALSE)</f>
        <v/>
      </c>
      <c r="F1926" s="17">
        <f>+VLOOKUP($A1926,MAGAZZINO!$B$2:$M$4838,6,FALSE)</f>
        <v/>
      </c>
      <c r="G1926" s="17">
        <f>+VLOOKUP($A1926,MAGAZZINO!$B$2:$M$4838,7,FALSE)</f>
        <v/>
      </c>
      <c r="H1926" s="17">
        <f>+VLOOKUP($A1926,MAGAZZINO!$B$2:$M$4838,8,FALSE)</f>
        <v/>
      </c>
      <c r="I1926" s="17">
        <f>+VLOOKUP($A1926,MAGAZZINO!$B$2:$M$4838,9,FALSE)</f>
        <v/>
      </c>
      <c r="J1926" s="17">
        <f>+VLOOKUP($A1926,MAGAZZINO!$B$2:$M$4838,10,FALSE)</f>
        <v/>
      </c>
      <c r="K1926" s="17">
        <f>+VLOOKUP($A1926,MAGAZZINO!$B$2:$M$4838,11,FALSE)</f>
        <v/>
      </c>
      <c r="L1926" s="44">
        <f>+VLOOKUP($A1926,MAGAZZINO!$B$2:$M$4838,12,FALSE)</f>
        <v/>
      </c>
    </row>
    <row r="1927" ht="36" customHeight="1">
      <c r="A1927" s="30">
        <f>+REGISTRO!A1910</f>
        <v/>
      </c>
      <c r="B1927" s="31">
        <f>+VLOOKUP($A1927,MAGAZZINO!$B$2:$M$4838,2,FALSE)</f>
        <v/>
      </c>
      <c r="C1927" s="32">
        <f>+VLOOKUP($A1927,MAGAZZINO!$B$2:$M$4838,3,FALSE)</f>
        <v/>
      </c>
      <c r="D1927" s="17">
        <f>+VLOOKUP($A1927,MAGAZZINO!$B$2:$M$4838,4,FALSE)</f>
        <v/>
      </c>
      <c r="E1927" s="17">
        <f>+VLOOKUP($A1927,MAGAZZINO!$B$2:$M$4838,5,FALSE)</f>
        <v/>
      </c>
      <c r="F1927" s="17">
        <f>+VLOOKUP($A1927,MAGAZZINO!$B$2:$M$4838,6,FALSE)</f>
        <v/>
      </c>
      <c r="G1927" s="17">
        <f>+VLOOKUP($A1927,MAGAZZINO!$B$2:$M$4838,7,FALSE)</f>
        <v/>
      </c>
      <c r="H1927" s="17">
        <f>+VLOOKUP($A1927,MAGAZZINO!$B$2:$M$4838,8,FALSE)</f>
        <v/>
      </c>
      <c r="I1927" s="17">
        <f>+VLOOKUP($A1927,MAGAZZINO!$B$2:$M$4838,9,FALSE)</f>
        <v/>
      </c>
      <c r="J1927" s="17">
        <f>+VLOOKUP($A1927,MAGAZZINO!$B$2:$M$4838,10,FALSE)</f>
        <v/>
      </c>
      <c r="K1927" s="17">
        <f>+VLOOKUP($A1927,MAGAZZINO!$B$2:$M$4838,11,FALSE)</f>
        <v/>
      </c>
      <c r="L1927" s="44">
        <f>+VLOOKUP($A1927,MAGAZZINO!$B$2:$M$4838,12,FALSE)</f>
        <v/>
      </c>
    </row>
    <row r="1928" ht="36" customHeight="1">
      <c r="A1928" s="30">
        <f>+REGISTRO!A1911</f>
        <v/>
      </c>
      <c r="B1928" s="31">
        <f>+VLOOKUP($A1928,MAGAZZINO!$B$2:$M$4838,2,FALSE)</f>
        <v/>
      </c>
      <c r="C1928" s="32">
        <f>+VLOOKUP($A1928,MAGAZZINO!$B$2:$M$4838,3,FALSE)</f>
        <v/>
      </c>
      <c r="D1928" s="17">
        <f>+VLOOKUP($A1928,MAGAZZINO!$B$2:$M$4838,4,FALSE)</f>
        <v/>
      </c>
      <c r="E1928" s="17">
        <f>+VLOOKUP($A1928,MAGAZZINO!$B$2:$M$4838,5,FALSE)</f>
        <v/>
      </c>
      <c r="F1928" s="17">
        <f>+VLOOKUP($A1928,MAGAZZINO!$B$2:$M$4838,6,FALSE)</f>
        <v/>
      </c>
      <c r="G1928" s="17">
        <f>+VLOOKUP($A1928,MAGAZZINO!$B$2:$M$4838,7,FALSE)</f>
        <v/>
      </c>
      <c r="H1928" s="17">
        <f>+VLOOKUP($A1928,MAGAZZINO!$B$2:$M$4838,8,FALSE)</f>
        <v/>
      </c>
      <c r="I1928" s="17">
        <f>+VLOOKUP($A1928,MAGAZZINO!$B$2:$M$4838,9,FALSE)</f>
        <v/>
      </c>
      <c r="J1928" s="17">
        <f>+VLOOKUP($A1928,MAGAZZINO!$B$2:$M$4838,10,FALSE)</f>
        <v/>
      </c>
      <c r="K1928" s="17">
        <f>+VLOOKUP($A1928,MAGAZZINO!$B$2:$M$4838,11,FALSE)</f>
        <v/>
      </c>
      <c r="L1928" s="44">
        <f>+VLOOKUP($A1928,MAGAZZINO!$B$2:$M$4838,12,FALSE)</f>
        <v/>
      </c>
    </row>
    <row r="1929" ht="36" customHeight="1">
      <c r="A1929" s="30">
        <f>+REGISTRO!A1912</f>
        <v/>
      </c>
      <c r="B1929" s="31">
        <f>+VLOOKUP($A1929,MAGAZZINO!$B$2:$M$4838,2,FALSE)</f>
        <v/>
      </c>
      <c r="C1929" s="32">
        <f>+VLOOKUP($A1929,MAGAZZINO!$B$2:$M$4838,3,FALSE)</f>
        <v/>
      </c>
      <c r="D1929" s="17">
        <f>+VLOOKUP($A1929,MAGAZZINO!$B$2:$M$4838,4,FALSE)</f>
        <v/>
      </c>
      <c r="E1929" s="17">
        <f>+VLOOKUP($A1929,MAGAZZINO!$B$2:$M$4838,5,FALSE)</f>
        <v/>
      </c>
      <c r="F1929" s="17">
        <f>+VLOOKUP($A1929,MAGAZZINO!$B$2:$M$4838,6,FALSE)</f>
        <v/>
      </c>
      <c r="G1929" s="17">
        <f>+VLOOKUP($A1929,MAGAZZINO!$B$2:$M$4838,7,FALSE)</f>
        <v/>
      </c>
      <c r="H1929" s="17">
        <f>+VLOOKUP($A1929,MAGAZZINO!$B$2:$M$4838,8,FALSE)</f>
        <v/>
      </c>
      <c r="I1929" s="17">
        <f>+VLOOKUP($A1929,MAGAZZINO!$B$2:$M$4838,9,FALSE)</f>
        <v/>
      </c>
      <c r="J1929" s="17">
        <f>+VLOOKUP($A1929,MAGAZZINO!$B$2:$M$4838,10,FALSE)</f>
        <v/>
      </c>
      <c r="K1929" s="17">
        <f>+VLOOKUP($A1929,MAGAZZINO!$B$2:$M$4838,11,FALSE)</f>
        <v/>
      </c>
      <c r="L1929" s="44">
        <f>+VLOOKUP($A1929,MAGAZZINO!$B$2:$M$4838,12,FALSE)</f>
        <v/>
      </c>
    </row>
    <row r="1930" ht="36" customHeight="1">
      <c r="A1930" s="30">
        <f>+REGISTRO!A1913</f>
        <v/>
      </c>
      <c r="B1930" s="31">
        <f>+VLOOKUP($A1930,MAGAZZINO!$B$2:$M$4838,2,FALSE)</f>
        <v/>
      </c>
      <c r="C1930" s="32">
        <f>+VLOOKUP($A1930,MAGAZZINO!$B$2:$M$4838,3,FALSE)</f>
        <v/>
      </c>
      <c r="D1930" s="17">
        <f>+VLOOKUP($A1930,MAGAZZINO!$B$2:$M$4838,4,FALSE)</f>
        <v/>
      </c>
      <c r="E1930" s="17">
        <f>+VLOOKUP($A1930,MAGAZZINO!$B$2:$M$4838,5,FALSE)</f>
        <v/>
      </c>
      <c r="F1930" s="17">
        <f>+VLOOKUP($A1930,MAGAZZINO!$B$2:$M$4838,6,FALSE)</f>
        <v/>
      </c>
      <c r="G1930" s="17">
        <f>+VLOOKUP($A1930,MAGAZZINO!$B$2:$M$4838,7,FALSE)</f>
        <v/>
      </c>
      <c r="H1930" s="17">
        <f>+VLOOKUP($A1930,MAGAZZINO!$B$2:$M$4838,8,FALSE)</f>
        <v/>
      </c>
      <c r="I1930" s="17">
        <f>+VLOOKUP($A1930,MAGAZZINO!$B$2:$M$4838,9,FALSE)</f>
        <v/>
      </c>
      <c r="J1930" s="17">
        <f>+VLOOKUP($A1930,MAGAZZINO!$B$2:$M$4838,10,FALSE)</f>
        <v/>
      </c>
      <c r="K1930" s="17">
        <f>+VLOOKUP($A1930,MAGAZZINO!$B$2:$M$4838,11,FALSE)</f>
        <v/>
      </c>
      <c r="L1930" s="44">
        <f>+VLOOKUP($A1930,MAGAZZINO!$B$2:$M$4838,12,FALSE)</f>
        <v/>
      </c>
    </row>
    <row r="1931" ht="36" customHeight="1">
      <c r="A1931" s="30">
        <f>+REGISTRO!A1914</f>
        <v/>
      </c>
      <c r="B1931" s="31">
        <f>+VLOOKUP($A1931,MAGAZZINO!$B$2:$M$4838,2,FALSE)</f>
        <v/>
      </c>
      <c r="C1931" s="32">
        <f>+VLOOKUP($A1931,MAGAZZINO!$B$2:$M$4838,3,FALSE)</f>
        <v/>
      </c>
      <c r="D1931" s="17">
        <f>+VLOOKUP($A1931,MAGAZZINO!$B$2:$M$4838,4,FALSE)</f>
        <v/>
      </c>
      <c r="E1931" s="17">
        <f>+VLOOKUP($A1931,MAGAZZINO!$B$2:$M$4838,5,FALSE)</f>
        <v/>
      </c>
      <c r="F1931" s="17">
        <f>+VLOOKUP($A1931,MAGAZZINO!$B$2:$M$4838,6,FALSE)</f>
        <v/>
      </c>
      <c r="G1931" s="17">
        <f>+VLOOKUP($A1931,MAGAZZINO!$B$2:$M$4838,7,FALSE)</f>
        <v/>
      </c>
      <c r="H1931" s="17">
        <f>+VLOOKUP($A1931,MAGAZZINO!$B$2:$M$4838,8,FALSE)</f>
        <v/>
      </c>
      <c r="I1931" s="17">
        <f>+VLOOKUP($A1931,MAGAZZINO!$B$2:$M$4838,9,FALSE)</f>
        <v/>
      </c>
      <c r="J1931" s="17">
        <f>+VLOOKUP($A1931,MAGAZZINO!$B$2:$M$4838,10,FALSE)</f>
        <v/>
      </c>
      <c r="K1931" s="17">
        <f>+VLOOKUP($A1931,MAGAZZINO!$B$2:$M$4838,11,FALSE)</f>
        <v/>
      </c>
      <c r="L1931" s="44">
        <f>+VLOOKUP($A1931,MAGAZZINO!$B$2:$M$4838,12,FALSE)</f>
        <v/>
      </c>
    </row>
    <row r="1932" ht="36" customHeight="1">
      <c r="A1932" s="30">
        <f>+REGISTRO!A1915</f>
        <v/>
      </c>
      <c r="B1932" s="31">
        <f>+VLOOKUP($A1932,MAGAZZINO!$B$2:$M$4838,2,FALSE)</f>
        <v/>
      </c>
      <c r="C1932" s="32">
        <f>+VLOOKUP($A1932,MAGAZZINO!$B$2:$M$4838,3,FALSE)</f>
        <v/>
      </c>
      <c r="D1932" s="17">
        <f>+VLOOKUP($A1932,MAGAZZINO!$B$2:$M$4838,4,FALSE)</f>
        <v/>
      </c>
      <c r="E1932" s="17">
        <f>+VLOOKUP($A1932,MAGAZZINO!$B$2:$M$4838,5,FALSE)</f>
        <v/>
      </c>
      <c r="F1932" s="17">
        <f>+VLOOKUP($A1932,MAGAZZINO!$B$2:$M$4838,6,FALSE)</f>
        <v/>
      </c>
      <c r="G1932" s="17">
        <f>+VLOOKUP($A1932,MAGAZZINO!$B$2:$M$4838,7,FALSE)</f>
        <v/>
      </c>
      <c r="H1932" s="17">
        <f>+VLOOKUP($A1932,MAGAZZINO!$B$2:$M$4838,8,FALSE)</f>
        <v/>
      </c>
      <c r="I1932" s="17">
        <f>+VLOOKUP($A1932,MAGAZZINO!$B$2:$M$4838,9,FALSE)</f>
        <v/>
      </c>
      <c r="J1932" s="17">
        <f>+VLOOKUP($A1932,MAGAZZINO!$B$2:$M$4838,10,FALSE)</f>
        <v/>
      </c>
      <c r="K1932" s="17">
        <f>+VLOOKUP($A1932,MAGAZZINO!$B$2:$M$4838,11,FALSE)</f>
        <v/>
      </c>
      <c r="L1932" s="44">
        <f>+VLOOKUP($A1932,MAGAZZINO!$B$2:$M$4838,12,FALSE)</f>
        <v/>
      </c>
    </row>
    <row r="1933" ht="36" customHeight="1">
      <c r="A1933" s="30">
        <f>+REGISTRO!A1916</f>
        <v/>
      </c>
      <c r="B1933" s="31">
        <f>+VLOOKUP($A1933,MAGAZZINO!$B$2:$M$4838,2,FALSE)</f>
        <v/>
      </c>
      <c r="C1933" s="32">
        <f>+VLOOKUP($A1933,MAGAZZINO!$B$2:$M$4838,3,FALSE)</f>
        <v/>
      </c>
      <c r="D1933" s="17">
        <f>+VLOOKUP($A1933,MAGAZZINO!$B$2:$M$4838,4,FALSE)</f>
        <v/>
      </c>
      <c r="E1933" s="17">
        <f>+VLOOKUP($A1933,MAGAZZINO!$B$2:$M$4838,5,FALSE)</f>
        <v/>
      </c>
      <c r="F1933" s="17">
        <f>+VLOOKUP($A1933,MAGAZZINO!$B$2:$M$4838,6,FALSE)</f>
        <v/>
      </c>
      <c r="G1933" s="17">
        <f>+VLOOKUP($A1933,MAGAZZINO!$B$2:$M$4838,7,FALSE)</f>
        <v/>
      </c>
      <c r="H1933" s="17">
        <f>+VLOOKUP($A1933,MAGAZZINO!$B$2:$M$4838,8,FALSE)</f>
        <v/>
      </c>
      <c r="I1933" s="17">
        <f>+VLOOKUP($A1933,MAGAZZINO!$B$2:$M$4838,9,FALSE)</f>
        <v/>
      </c>
      <c r="J1933" s="17">
        <f>+VLOOKUP($A1933,MAGAZZINO!$B$2:$M$4838,10,FALSE)</f>
        <v/>
      </c>
      <c r="K1933" s="17">
        <f>+VLOOKUP($A1933,MAGAZZINO!$B$2:$M$4838,11,FALSE)</f>
        <v/>
      </c>
      <c r="L1933" s="44">
        <f>+VLOOKUP($A1933,MAGAZZINO!$B$2:$M$4838,12,FALSE)</f>
        <v/>
      </c>
    </row>
    <row r="1934" ht="36" customHeight="1">
      <c r="A1934" s="30">
        <f>+REGISTRO!A1917</f>
        <v/>
      </c>
      <c r="B1934" s="31">
        <f>+VLOOKUP($A1934,MAGAZZINO!$B$2:$M$4838,2,FALSE)</f>
        <v/>
      </c>
      <c r="C1934" s="32">
        <f>+VLOOKUP($A1934,MAGAZZINO!$B$2:$M$4838,3,FALSE)</f>
        <v/>
      </c>
      <c r="D1934" s="17">
        <f>+VLOOKUP($A1934,MAGAZZINO!$B$2:$M$4838,4,FALSE)</f>
        <v/>
      </c>
      <c r="E1934" s="17">
        <f>+VLOOKUP($A1934,MAGAZZINO!$B$2:$M$4838,5,FALSE)</f>
        <v/>
      </c>
      <c r="F1934" s="17">
        <f>+VLOOKUP($A1934,MAGAZZINO!$B$2:$M$4838,6,FALSE)</f>
        <v/>
      </c>
      <c r="G1934" s="17">
        <f>+VLOOKUP($A1934,MAGAZZINO!$B$2:$M$4838,7,FALSE)</f>
        <v/>
      </c>
      <c r="H1934" s="17">
        <f>+VLOOKUP($A1934,MAGAZZINO!$B$2:$M$4838,8,FALSE)</f>
        <v/>
      </c>
      <c r="I1934" s="17">
        <f>+VLOOKUP($A1934,MAGAZZINO!$B$2:$M$4838,9,FALSE)</f>
        <v/>
      </c>
      <c r="J1934" s="17">
        <f>+VLOOKUP($A1934,MAGAZZINO!$B$2:$M$4838,10,FALSE)</f>
        <v/>
      </c>
      <c r="K1934" s="17">
        <f>+VLOOKUP($A1934,MAGAZZINO!$B$2:$M$4838,11,FALSE)</f>
        <v/>
      </c>
      <c r="L1934" s="44">
        <f>+VLOOKUP($A1934,MAGAZZINO!$B$2:$M$4838,12,FALSE)</f>
        <v/>
      </c>
    </row>
    <row r="1935" ht="36" customHeight="1">
      <c r="A1935" s="30">
        <f>+REGISTRO!A1918</f>
        <v/>
      </c>
      <c r="B1935" s="31">
        <f>+VLOOKUP($A1935,MAGAZZINO!$B$2:$M$4838,2,FALSE)</f>
        <v/>
      </c>
      <c r="C1935" s="32">
        <f>+VLOOKUP($A1935,MAGAZZINO!$B$2:$M$4838,3,FALSE)</f>
        <v/>
      </c>
      <c r="D1935" s="17">
        <f>+VLOOKUP($A1935,MAGAZZINO!$B$2:$M$4838,4,FALSE)</f>
        <v/>
      </c>
      <c r="E1935" s="17">
        <f>+VLOOKUP($A1935,MAGAZZINO!$B$2:$M$4838,5,FALSE)</f>
        <v/>
      </c>
      <c r="F1935" s="17">
        <f>+VLOOKUP($A1935,MAGAZZINO!$B$2:$M$4838,6,FALSE)</f>
        <v/>
      </c>
      <c r="G1935" s="17">
        <f>+VLOOKUP($A1935,MAGAZZINO!$B$2:$M$4838,7,FALSE)</f>
        <v/>
      </c>
      <c r="H1935" s="17">
        <f>+VLOOKUP($A1935,MAGAZZINO!$B$2:$M$4838,8,FALSE)</f>
        <v/>
      </c>
      <c r="I1935" s="17">
        <f>+VLOOKUP($A1935,MAGAZZINO!$B$2:$M$4838,9,FALSE)</f>
        <v/>
      </c>
      <c r="J1935" s="17">
        <f>+VLOOKUP($A1935,MAGAZZINO!$B$2:$M$4838,10,FALSE)</f>
        <v/>
      </c>
      <c r="K1935" s="17">
        <f>+VLOOKUP($A1935,MAGAZZINO!$B$2:$M$4838,11,FALSE)</f>
        <v/>
      </c>
      <c r="L1935" s="44">
        <f>+VLOOKUP($A1935,MAGAZZINO!$B$2:$M$4838,12,FALSE)</f>
        <v/>
      </c>
    </row>
    <row r="1936" ht="36" customHeight="1">
      <c r="A1936" s="30">
        <f>+REGISTRO!A1919</f>
        <v/>
      </c>
      <c r="B1936" s="31">
        <f>+VLOOKUP($A1936,MAGAZZINO!$B$2:$M$4838,2,FALSE)</f>
        <v/>
      </c>
      <c r="C1936" s="32">
        <f>+VLOOKUP($A1936,MAGAZZINO!$B$2:$M$4838,3,FALSE)</f>
        <v/>
      </c>
      <c r="D1936" s="17">
        <f>+VLOOKUP($A1936,MAGAZZINO!$B$2:$M$4838,4,FALSE)</f>
        <v/>
      </c>
      <c r="E1936" s="17">
        <f>+VLOOKUP($A1936,MAGAZZINO!$B$2:$M$4838,5,FALSE)</f>
        <v/>
      </c>
      <c r="F1936" s="17">
        <f>+VLOOKUP($A1936,MAGAZZINO!$B$2:$M$4838,6,FALSE)</f>
        <v/>
      </c>
      <c r="G1936" s="17">
        <f>+VLOOKUP($A1936,MAGAZZINO!$B$2:$M$4838,7,FALSE)</f>
        <v/>
      </c>
      <c r="H1936" s="17">
        <f>+VLOOKUP($A1936,MAGAZZINO!$B$2:$M$4838,8,FALSE)</f>
        <v/>
      </c>
      <c r="I1936" s="17">
        <f>+VLOOKUP($A1936,MAGAZZINO!$B$2:$M$4838,9,FALSE)</f>
        <v/>
      </c>
      <c r="J1936" s="17">
        <f>+VLOOKUP($A1936,MAGAZZINO!$B$2:$M$4838,10,FALSE)</f>
        <v/>
      </c>
      <c r="K1936" s="17">
        <f>+VLOOKUP($A1936,MAGAZZINO!$B$2:$M$4838,11,FALSE)</f>
        <v/>
      </c>
      <c r="L1936" s="44">
        <f>+VLOOKUP($A1936,MAGAZZINO!$B$2:$M$4838,12,FALSE)</f>
        <v/>
      </c>
    </row>
    <row r="1937" ht="36" customHeight="1">
      <c r="A1937" s="30">
        <f>+REGISTRO!A1920</f>
        <v/>
      </c>
      <c r="B1937" s="31">
        <f>+VLOOKUP($A1937,MAGAZZINO!$B$2:$M$4838,2,FALSE)</f>
        <v/>
      </c>
      <c r="C1937" s="32">
        <f>+VLOOKUP($A1937,MAGAZZINO!$B$2:$M$4838,3,FALSE)</f>
        <v/>
      </c>
      <c r="D1937" s="17">
        <f>+VLOOKUP($A1937,MAGAZZINO!$B$2:$M$4838,4,FALSE)</f>
        <v/>
      </c>
      <c r="E1937" s="17">
        <f>+VLOOKUP($A1937,MAGAZZINO!$B$2:$M$4838,5,FALSE)</f>
        <v/>
      </c>
      <c r="F1937" s="17">
        <f>+VLOOKUP($A1937,MAGAZZINO!$B$2:$M$4838,6,FALSE)</f>
        <v/>
      </c>
      <c r="G1937" s="17">
        <f>+VLOOKUP($A1937,MAGAZZINO!$B$2:$M$4838,7,FALSE)</f>
        <v/>
      </c>
      <c r="H1937" s="17">
        <f>+VLOOKUP($A1937,MAGAZZINO!$B$2:$M$4838,8,FALSE)</f>
        <v/>
      </c>
      <c r="I1937" s="17">
        <f>+VLOOKUP($A1937,MAGAZZINO!$B$2:$M$4838,9,FALSE)</f>
        <v/>
      </c>
      <c r="J1937" s="17">
        <f>+VLOOKUP($A1937,MAGAZZINO!$B$2:$M$4838,10,FALSE)</f>
        <v/>
      </c>
      <c r="K1937" s="17">
        <f>+VLOOKUP($A1937,MAGAZZINO!$B$2:$M$4838,11,FALSE)</f>
        <v/>
      </c>
      <c r="L1937" s="44">
        <f>+VLOOKUP($A1937,MAGAZZINO!$B$2:$M$4838,12,FALSE)</f>
        <v/>
      </c>
    </row>
    <row r="1938" ht="36" customHeight="1">
      <c r="A1938" s="30">
        <f>+REGISTRO!A1921</f>
        <v/>
      </c>
      <c r="B1938" s="31">
        <f>+VLOOKUP($A1938,MAGAZZINO!$B$2:$M$4838,2,FALSE)</f>
        <v/>
      </c>
      <c r="C1938" s="32">
        <f>+VLOOKUP($A1938,MAGAZZINO!$B$2:$M$4838,3,FALSE)</f>
        <v/>
      </c>
      <c r="D1938" s="17">
        <f>+VLOOKUP($A1938,MAGAZZINO!$B$2:$M$4838,4,FALSE)</f>
        <v/>
      </c>
      <c r="E1938" s="17">
        <f>+VLOOKUP($A1938,MAGAZZINO!$B$2:$M$4838,5,FALSE)</f>
        <v/>
      </c>
      <c r="F1938" s="17">
        <f>+VLOOKUP($A1938,MAGAZZINO!$B$2:$M$4838,6,FALSE)</f>
        <v/>
      </c>
      <c r="G1938" s="17">
        <f>+VLOOKUP($A1938,MAGAZZINO!$B$2:$M$4838,7,FALSE)</f>
        <v/>
      </c>
      <c r="H1938" s="17">
        <f>+VLOOKUP($A1938,MAGAZZINO!$B$2:$M$4838,8,FALSE)</f>
        <v/>
      </c>
      <c r="I1938" s="17">
        <f>+VLOOKUP($A1938,MAGAZZINO!$B$2:$M$4838,9,FALSE)</f>
        <v/>
      </c>
      <c r="J1938" s="17">
        <f>+VLOOKUP($A1938,MAGAZZINO!$B$2:$M$4838,10,FALSE)</f>
        <v/>
      </c>
      <c r="K1938" s="17">
        <f>+VLOOKUP($A1938,MAGAZZINO!$B$2:$M$4838,11,FALSE)</f>
        <v/>
      </c>
      <c r="L1938" s="44">
        <f>+VLOOKUP($A1938,MAGAZZINO!$B$2:$M$4838,12,FALSE)</f>
        <v/>
      </c>
    </row>
    <row r="1939" ht="36" customHeight="1">
      <c r="A1939" s="30">
        <f>+REGISTRO!A1922</f>
        <v/>
      </c>
      <c r="B1939" s="31">
        <f>+VLOOKUP($A1939,MAGAZZINO!$B$2:$M$4838,2,FALSE)</f>
        <v/>
      </c>
      <c r="C1939" s="32">
        <f>+VLOOKUP($A1939,MAGAZZINO!$B$2:$M$4838,3,FALSE)</f>
        <v/>
      </c>
      <c r="D1939" s="17">
        <f>+VLOOKUP($A1939,MAGAZZINO!$B$2:$M$4838,4,FALSE)</f>
        <v/>
      </c>
      <c r="E1939" s="17">
        <f>+VLOOKUP($A1939,MAGAZZINO!$B$2:$M$4838,5,FALSE)</f>
        <v/>
      </c>
      <c r="F1939" s="17">
        <f>+VLOOKUP($A1939,MAGAZZINO!$B$2:$M$4838,6,FALSE)</f>
        <v/>
      </c>
      <c r="G1939" s="17">
        <f>+VLOOKUP($A1939,MAGAZZINO!$B$2:$M$4838,7,FALSE)</f>
        <v/>
      </c>
      <c r="H1939" s="17">
        <f>+VLOOKUP($A1939,MAGAZZINO!$B$2:$M$4838,8,FALSE)</f>
        <v/>
      </c>
      <c r="I1939" s="17">
        <f>+VLOOKUP($A1939,MAGAZZINO!$B$2:$M$4838,9,FALSE)</f>
        <v/>
      </c>
      <c r="J1939" s="17">
        <f>+VLOOKUP($A1939,MAGAZZINO!$B$2:$M$4838,10,FALSE)</f>
        <v/>
      </c>
      <c r="K1939" s="17">
        <f>+VLOOKUP($A1939,MAGAZZINO!$B$2:$M$4838,11,FALSE)</f>
        <v/>
      </c>
      <c r="L1939" s="44">
        <f>+VLOOKUP($A1939,MAGAZZINO!$B$2:$M$4838,12,FALSE)</f>
        <v/>
      </c>
    </row>
    <row r="1940" ht="36" customHeight="1">
      <c r="A1940" s="30">
        <f>+REGISTRO!A1923</f>
        <v/>
      </c>
      <c r="B1940" s="31">
        <f>+VLOOKUP($A1940,MAGAZZINO!$B$2:$M$4838,2,FALSE)</f>
        <v/>
      </c>
      <c r="C1940" s="32">
        <f>+VLOOKUP($A1940,MAGAZZINO!$B$2:$M$4838,3,FALSE)</f>
        <v/>
      </c>
      <c r="D1940" s="17">
        <f>+VLOOKUP($A1940,MAGAZZINO!$B$2:$M$4838,4,FALSE)</f>
        <v/>
      </c>
      <c r="E1940" s="17">
        <f>+VLOOKUP($A1940,MAGAZZINO!$B$2:$M$4838,5,FALSE)</f>
        <v/>
      </c>
      <c r="F1940" s="17">
        <f>+VLOOKUP($A1940,MAGAZZINO!$B$2:$M$4838,6,FALSE)</f>
        <v/>
      </c>
      <c r="G1940" s="17">
        <f>+VLOOKUP($A1940,MAGAZZINO!$B$2:$M$4838,7,FALSE)</f>
        <v/>
      </c>
      <c r="H1940" s="17">
        <f>+VLOOKUP($A1940,MAGAZZINO!$B$2:$M$4838,8,FALSE)</f>
        <v/>
      </c>
      <c r="I1940" s="17">
        <f>+VLOOKUP($A1940,MAGAZZINO!$B$2:$M$4838,9,FALSE)</f>
        <v/>
      </c>
      <c r="J1940" s="17">
        <f>+VLOOKUP($A1940,MAGAZZINO!$B$2:$M$4838,10,FALSE)</f>
        <v/>
      </c>
      <c r="K1940" s="17">
        <f>+VLOOKUP($A1940,MAGAZZINO!$B$2:$M$4838,11,FALSE)</f>
        <v/>
      </c>
      <c r="L1940" s="44">
        <f>+VLOOKUP($A1940,MAGAZZINO!$B$2:$M$4838,12,FALSE)</f>
        <v/>
      </c>
    </row>
    <row r="1941" ht="36" customHeight="1">
      <c r="A1941" s="30">
        <f>+REGISTRO!A1924</f>
        <v/>
      </c>
      <c r="B1941" s="31">
        <f>+VLOOKUP($A1941,MAGAZZINO!$B$2:$M$4838,2,FALSE)</f>
        <v/>
      </c>
      <c r="C1941" s="32">
        <f>+VLOOKUP($A1941,MAGAZZINO!$B$2:$M$4838,3,FALSE)</f>
        <v/>
      </c>
      <c r="D1941" s="17">
        <f>+VLOOKUP($A1941,MAGAZZINO!$B$2:$M$4838,4,FALSE)</f>
        <v/>
      </c>
      <c r="E1941" s="17">
        <f>+VLOOKUP($A1941,MAGAZZINO!$B$2:$M$4838,5,FALSE)</f>
        <v/>
      </c>
      <c r="F1941" s="17">
        <f>+VLOOKUP($A1941,MAGAZZINO!$B$2:$M$4838,6,FALSE)</f>
        <v/>
      </c>
      <c r="G1941" s="17">
        <f>+VLOOKUP($A1941,MAGAZZINO!$B$2:$M$4838,7,FALSE)</f>
        <v/>
      </c>
      <c r="H1941" s="17">
        <f>+VLOOKUP($A1941,MAGAZZINO!$B$2:$M$4838,8,FALSE)</f>
        <v/>
      </c>
      <c r="I1941" s="17">
        <f>+VLOOKUP($A1941,MAGAZZINO!$B$2:$M$4838,9,FALSE)</f>
        <v/>
      </c>
      <c r="J1941" s="17">
        <f>+VLOOKUP($A1941,MAGAZZINO!$B$2:$M$4838,10,FALSE)</f>
        <v/>
      </c>
      <c r="K1941" s="17">
        <f>+VLOOKUP($A1941,MAGAZZINO!$B$2:$M$4838,11,FALSE)</f>
        <v/>
      </c>
      <c r="L1941" s="44">
        <f>+VLOOKUP($A1941,MAGAZZINO!$B$2:$M$4838,12,FALSE)</f>
        <v/>
      </c>
    </row>
    <row r="1942" ht="36" customHeight="1">
      <c r="A1942" s="30">
        <f>+REGISTRO!A1925</f>
        <v/>
      </c>
      <c r="B1942" s="31">
        <f>+VLOOKUP($A1942,MAGAZZINO!$B$2:$M$4838,2,FALSE)</f>
        <v/>
      </c>
      <c r="C1942" s="32">
        <f>+VLOOKUP($A1942,MAGAZZINO!$B$2:$M$4838,3,FALSE)</f>
        <v/>
      </c>
      <c r="D1942" s="17">
        <f>+VLOOKUP($A1942,MAGAZZINO!$B$2:$M$4838,4,FALSE)</f>
        <v/>
      </c>
      <c r="E1942" s="17">
        <f>+VLOOKUP($A1942,MAGAZZINO!$B$2:$M$4838,5,FALSE)</f>
        <v/>
      </c>
      <c r="F1942" s="17">
        <f>+VLOOKUP($A1942,MAGAZZINO!$B$2:$M$4838,6,FALSE)</f>
        <v/>
      </c>
      <c r="G1942" s="17">
        <f>+VLOOKUP($A1942,MAGAZZINO!$B$2:$M$4838,7,FALSE)</f>
        <v/>
      </c>
      <c r="H1942" s="17">
        <f>+VLOOKUP($A1942,MAGAZZINO!$B$2:$M$4838,8,FALSE)</f>
        <v/>
      </c>
      <c r="I1942" s="17">
        <f>+VLOOKUP($A1942,MAGAZZINO!$B$2:$M$4838,9,FALSE)</f>
        <v/>
      </c>
      <c r="J1942" s="17">
        <f>+VLOOKUP($A1942,MAGAZZINO!$B$2:$M$4838,10,FALSE)</f>
        <v/>
      </c>
      <c r="K1942" s="17">
        <f>+VLOOKUP($A1942,MAGAZZINO!$B$2:$M$4838,11,FALSE)</f>
        <v/>
      </c>
      <c r="L1942" s="44">
        <f>+VLOOKUP($A1942,MAGAZZINO!$B$2:$M$4838,12,FALSE)</f>
        <v/>
      </c>
    </row>
    <row r="1943" ht="36" customHeight="1">
      <c r="A1943" s="30">
        <f>+REGISTRO!A1926</f>
        <v/>
      </c>
      <c r="B1943" s="31">
        <f>+VLOOKUP($A1943,MAGAZZINO!$B$2:$M$4838,2,FALSE)</f>
        <v/>
      </c>
      <c r="C1943" s="32">
        <f>+VLOOKUP($A1943,MAGAZZINO!$B$2:$M$4838,3,FALSE)</f>
        <v/>
      </c>
      <c r="D1943" s="17">
        <f>+VLOOKUP($A1943,MAGAZZINO!$B$2:$M$4838,4,FALSE)</f>
        <v/>
      </c>
      <c r="E1943" s="17">
        <f>+VLOOKUP($A1943,MAGAZZINO!$B$2:$M$4838,5,FALSE)</f>
        <v/>
      </c>
      <c r="F1943" s="17">
        <f>+VLOOKUP($A1943,MAGAZZINO!$B$2:$M$4838,6,FALSE)</f>
        <v/>
      </c>
      <c r="G1943" s="17">
        <f>+VLOOKUP($A1943,MAGAZZINO!$B$2:$M$4838,7,FALSE)</f>
        <v/>
      </c>
      <c r="H1943" s="17">
        <f>+VLOOKUP($A1943,MAGAZZINO!$B$2:$M$4838,8,FALSE)</f>
        <v/>
      </c>
      <c r="I1943" s="17">
        <f>+VLOOKUP($A1943,MAGAZZINO!$B$2:$M$4838,9,FALSE)</f>
        <v/>
      </c>
      <c r="J1943" s="17">
        <f>+VLOOKUP($A1943,MAGAZZINO!$B$2:$M$4838,10,FALSE)</f>
        <v/>
      </c>
      <c r="K1943" s="17">
        <f>+VLOOKUP($A1943,MAGAZZINO!$B$2:$M$4838,11,FALSE)</f>
        <v/>
      </c>
      <c r="L1943" s="44">
        <f>+VLOOKUP($A1943,MAGAZZINO!$B$2:$M$4838,12,FALSE)</f>
        <v/>
      </c>
    </row>
    <row r="1944" ht="36" customHeight="1">
      <c r="A1944" s="30">
        <f>+REGISTRO!A1927</f>
        <v/>
      </c>
      <c r="B1944" s="31">
        <f>+VLOOKUP($A1944,MAGAZZINO!$B$2:$M$4838,2,FALSE)</f>
        <v/>
      </c>
      <c r="C1944" s="32">
        <f>+VLOOKUP($A1944,MAGAZZINO!$B$2:$M$4838,3,FALSE)</f>
        <v/>
      </c>
      <c r="D1944" s="17">
        <f>+VLOOKUP($A1944,MAGAZZINO!$B$2:$M$4838,4,FALSE)</f>
        <v/>
      </c>
      <c r="E1944" s="17">
        <f>+VLOOKUP($A1944,MAGAZZINO!$B$2:$M$4838,5,FALSE)</f>
        <v/>
      </c>
      <c r="F1944" s="17">
        <f>+VLOOKUP($A1944,MAGAZZINO!$B$2:$M$4838,6,FALSE)</f>
        <v/>
      </c>
      <c r="G1944" s="17">
        <f>+VLOOKUP($A1944,MAGAZZINO!$B$2:$M$4838,7,FALSE)</f>
        <v/>
      </c>
      <c r="H1944" s="17">
        <f>+VLOOKUP($A1944,MAGAZZINO!$B$2:$M$4838,8,FALSE)</f>
        <v/>
      </c>
      <c r="I1944" s="17">
        <f>+VLOOKUP($A1944,MAGAZZINO!$B$2:$M$4838,9,FALSE)</f>
        <v/>
      </c>
      <c r="J1944" s="17">
        <f>+VLOOKUP($A1944,MAGAZZINO!$B$2:$M$4838,10,FALSE)</f>
        <v/>
      </c>
      <c r="K1944" s="17">
        <f>+VLOOKUP($A1944,MAGAZZINO!$B$2:$M$4838,11,FALSE)</f>
        <v/>
      </c>
      <c r="L1944" s="44">
        <f>+VLOOKUP($A1944,MAGAZZINO!$B$2:$M$4838,12,FALSE)</f>
        <v/>
      </c>
    </row>
    <row r="1945" ht="36" customHeight="1">
      <c r="A1945" s="30">
        <f>+REGISTRO!A1928</f>
        <v/>
      </c>
      <c r="B1945" s="31">
        <f>+VLOOKUP($A1945,MAGAZZINO!$B$2:$M$4838,2,FALSE)</f>
        <v/>
      </c>
      <c r="C1945" s="32">
        <f>+VLOOKUP($A1945,MAGAZZINO!$B$2:$M$4838,3,FALSE)</f>
        <v/>
      </c>
      <c r="D1945" s="17">
        <f>+VLOOKUP($A1945,MAGAZZINO!$B$2:$M$4838,4,FALSE)</f>
        <v/>
      </c>
      <c r="E1945" s="17">
        <f>+VLOOKUP($A1945,MAGAZZINO!$B$2:$M$4838,5,FALSE)</f>
        <v/>
      </c>
      <c r="F1945" s="17">
        <f>+VLOOKUP($A1945,MAGAZZINO!$B$2:$M$4838,6,FALSE)</f>
        <v/>
      </c>
      <c r="G1945" s="17">
        <f>+VLOOKUP($A1945,MAGAZZINO!$B$2:$M$4838,7,FALSE)</f>
        <v/>
      </c>
      <c r="H1945" s="17">
        <f>+VLOOKUP($A1945,MAGAZZINO!$B$2:$M$4838,8,FALSE)</f>
        <v/>
      </c>
      <c r="I1945" s="17">
        <f>+VLOOKUP($A1945,MAGAZZINO!$B$2:$M$4838,9,FALSE)</f>
        <v/>
      </c>
      <c r="J1945" s="17">
        <f>+VLOOKUP($A1945,MAGAZZINO!$B$2:$M$4838,10,FALSE)</f>
        <v/>
      </c>
      <c r="K1945" s="17">
        <f>+VLOOKUP($A1945,MAGAZZINO!$B$2:$M$4838,11,FALSE)</f>
        <v/>
      </c>
      <c r="L1945" s="44">
        <f>+VLOOKUP($A1945,MAGAZZINO!$B$2:$M$4838,12,FALSE)</f>
        <v/>
      </c>
    </row>
    <row r="1946" ht="36" customHeight="1">
      <c r="A1946" s="30">
        <f>+REGISTRO!A1929</f>
        <v/>
      </c>
      <c r="B1946" s="31">
        <f>+VLOOKUP($A1946,MAGAZZINO!$B$2:$M$4838,2,FALSE)</f>
        <v/>
      </c>
      <c r="C1946" s="32">
        <f>+VLOOKUP($A1946,MAGAZZINO!$B$2:$M$4838,3,FALSE)</f>
        <v/>
      </c>
      <c r="D1946" s="17">
        <f>+VLOOKUP($A1946,MAGAZZINO!$B$2:$M$4838,4,FALSE)</f>
        <v/>
      </c>
      <c r="E1946" s="17">
        <f>+VLOOKUP($A1946,MAGAZZINO!$B$2:$M$4838,5,FALSE)</f>
        <v/>
      </c>
      <c r="F1946" s="17">
        <f>+VLOOKUP($A1946,MAGAZZINO!$B$2:$M$4838,6,FALSE)</f>
        <v/>
      </c>
      <c r="G1946" s="17">
        <f>+VLOOKUP($A1946,MAGAZZINO!$B$2:$M$4838,7,FALSE)</f>
        <v/>
      </c>
      <c r="H1946" s="17">
        <f>+VLOOKUP($A1946,MAGAZZINO!$B$2:$M$4838,8,FALSE)</f>
        <v/>
      </c>
      <c r="I1946" s="17">
        <f>+VLOOKUP($A1946,MAGAZZINO!$B$2:$M$4838,9,FALSE)</f>
        <v/>
      </c>
      <c r="J1946" s="17">
        <f>+VLOOKUP($A1946,MAGAZZINO!$B$2:$M$4838,10,FALSE)</f>
        <v/>
      </c>
      <c r="K1946" s="17">
        <f>+VLOOKUP($A1946,MAGAZZINO!$B$2:$M$4838,11,FALSE)</f>
        <v/>
      </c>
      <c r="L1946" s="44">
        <f>+VLOOKUP($A1946,MAGAZZINO!$B$2:$M$4838,12,FALSE)</f>
        <v/>
      </c>
    </row>
    <row r="1947" ht="36" customHeight="1">
      <c r="A1947" s="30">
        <f>+REGISTRO!A1930</f>
        <v/>
      </c>
      <c r="B1947" s="31">
        <f>+VLOOKUP($A1947,MAGAZZINO!$B$2:$M$4838,2,FALSE)</f>
        <v/>
      </c>
      <c r="C1947" s="32">
        <f>+VLOOKUP($A1947,MAGAZZINO!$B$2:$M$4838,3,FALSE)</f>
        <v/>
      </c>
      <c r="D1947" s="17">
        <f>+VLOOKUP($A1947,MAGAZZINO!$B$2:$M$4838,4,FALSE)</f>
        <v/>
      </c>
      <c r="E1947" s="17">
        <f>+VLOOKUP($A1947,MAGAZZINO!$B$2:$M$4838,5,FALSE)</f>
        <v/>
      </c>
      <c r="F1947" s="17">
        <f>+VLOOKUP($A1947,MAGAZZINO!$B$2:$M$4838,6,FALSE)</f>
        <v/>
      </c>
      <c r="G1947" s="17">
        <f>+VLOOKUP($A1947,MAGAZZINO!$B$2:$M$4838,7,FALSE)</f>
        <v/>
      </c>
      <c r="H1947" s="17">
        <f>+VLOOKUP($A1947,MAGAZZINO!$B$2:$M$4838,8,FALSE)</f>
        <v/>
      </c>
      <c r="I1947" s="17">
        <f>+VLOOKUP($A1947,MAGAZZINO!$B$2:$M$4838,9,FALSE)</f>
        <v/>
      </c>
      <c r="J1947" s="17">
        <f>+VLOOKUP($A1947,MAGAZZINO!$B$2:$M$4838,10,FALSE)</f>
        <v/>
      </c>
      <c r="K1947" s="17">
        <f>+VLOOKUP($A1947,MAGAZZINO!$B$2:$M$4838,11,FALSE)</f>
        <v/>
      </c>
      <c r="L1947" s="44">
        <f>+VLOOKUP($A1947,MAGAZZINO!$B$2:$M$4838,12,FALSE)</f>
        <v/>
      </c>
    </row>
    <row r="1948" ht="36" customHeight="1">
      <c r="A1948" s="30">
        <f>+REGISTRO!A1931</f>
        <v/>
      </c>
      <c r="B1948" s="31">
        <f>+VLOOKUP($A1948,MAGAZZINO!$B$2:$M$4838,2,FALSE)</f>
        <v/>
      </c>
      <c r="C1948" s="32">
        <f>+VLOOKUP($A1948,MAGAZZINO!$B$2:$M$4838,3,FALSE)</f>
        <v/>
      </c>
      <c r="D1948" s="17">
        <f>+VLOOKUP($A1948,MAGAZZINO!$B$2:$M$4838,4,FALSE)</f>
        <v/>
      </c>
      <c r="E1948" s="17">
        <f>+VLOOKUP($A1948,MAGAZZINO!$B$2:$M$4838,5,FALSE)</f>
        <v/>
      </c>
      <c r="F1948" s="17">
        <f>+VLOOKUP($A1948,MAGAZZINO!$B$2:$M$4838,6,FALSE)</f>
        <v/>
      </c>
      <c r="G1948" s="17">
        <f>+VLOOKUP($A1948,MAGAZZINO!$B$2:$M$4838,7,FALSE)</f>
        <v/>
      </c>
      <c r="H1948" s="17">
        <f>+VLOOKUP($A1948,MAGAZZINO!$B$2:$M$4838,8,FALSE)</f>
        <v/>
      </c>
      <c r="I1948" s="17">
        <f>+VLOOKUP($A1948,MAGAZZINO!$B$2:$M$4838,9,FALSE)</f>
        <v/>
      </c>
      <c r="J1948" s="17">
        <f>+VLOOKUP($A1948,MAGAZZINO!$B$2:$M$4838,10,FALSE)</f>
        <v/>
      </c>
      <c r="K1948" s="17">
        <f>+VLOOKUP($A1948,MAGAZZINO!$B$2:$M$4838,11,FALSE)</f>
        <v/>
      </c>
      <c r="L1948" s="44">
        <f>+VLOOKUP($A1948,MAGAZZINO!$B$2:$M$4838,12,FALSE)</f>
        <v/>
      </c>
    </row>
    <row r="1949" ht="36" customHeight="1">
      <c r="A1949" s="30">
        <f>+REGISTRO!A1932</f>
        <v/>
      </c>
      <c r="B1949" s="31">
        <f>+VLOOKUP($A1949,MAGAZZINO!$B$2:$M$4838,2,FALSE)</f>
        <v/>
      </c>
      <c r="C1949" s="32">
        <f>+VLOOKUP($A1949,MAGAZZINO!$B$2:$M$4838,3,FALSE)</f>
        <v/>
      </c>
      <c r="D1949" s="17">
        <f>+VLOOKUP($A1949,MAGAZZINO!$B$2:$M$4838,4,FALSE)</f>
        <v/>
      </c>
      <c r="E1949" s="17">
        <f>+VLOOKUP($A1949,MAGAZZINO!$B$2:$M$4838,5,FALSE)</f>
        <v/>
      </c>
      <c r="F1949" s="17">
        <f>+VLOOKUP($A1949,MAGAZZINO!$B$2:$M$4838,6,FALSE)</f>
        <v/>
      </c>
      <c r="G1949" s="17">
        <f>+VLOOKUP($A1949,MAGAZZINO!$B$2:$M$4838,7,FALSE)</f>
        <v/>
      </c>
      <c r="H1949" s="17">
        <f>+VLOOKUP($A1949,MAGAZZINO!$B$2:$M$4838,8,FALSE)</f>
        <v/>
      </c>
      <c r="I1949" s="17">
        <f>+VLOOKUP($A1949,MAGAZZINO!$B$2:$M$4838,9,FALSE)</f>
        <v/>
      </c>
      <c r="J1949" s="17">
        <f>+VLOOKUP($A1949,MAGAZZINO!$B$2:$M$4838,10,FALSE)</f>
        <v/>
      </c>
      <c r="K1949" s="17">
        <f>+VLOOKUP($A1949,MAGAZZINO!$B$2:$M$4838,11,FALSE)</f>
        <v/>
      </c>
      <c r="L1949" s="44">
        <f>+VLOOKUP($A1949,MAGAZZINO!$B$2:$M$4838,12,FALSE)</f>
        <v/>
      </c>
    </row>
    <row r="1950" ht="36" customHeight="1">
      <c r="A1950" s="30">
        <f>+REGISTRO!A1933</f>
        <v/>
      </c>
      <c r="B1950" s="31">
        <f>+VLOOKUP($A1950,MAGAZZINO!$B$2:$M$4838,2,FALSE)</f>
        <v/>
      </c>
      <c r="C1950" s="32">
        <f>+VLOOKUP($A1950,MAGAZZINO!$B$2:$M$4838,3,FALSE)</f>
        <v/>
      </c>
      <c r="D1950" s="17">
        <f>+VLOOKUP($A1950,MAGAZZINO!$B$2:$M$4838,4,FALSE)</f>
        <v/>
      </c>
      <c r="E1950" s="17">
        <f>+VLOOKUP($A1950,MAGAZZINO!$B$2:$M$4838,5,FALSE)</f>
        <v/>
      </c>
      <c r="F1950" s="17">
        <f>+VLOOKUP($A1950,MAGAZZINO!$B$2:$M$4838,6,FALSE)</f>
        <v/>
      </c>
      <c r="G1950" s="17">
        <f>+VLOOKUP($A1950,MAGAZZINO!$B$2:$M$4838,7,FALSE)</f>
        <v/>
      </c>
      <c r="H1950" s="17">
        <f>+VLOOKUP($A1950,MAGAZZINO!$B$2:$M$4838,8,FALSE)</f>
        <v/>
      </c>
      <c r="I1950" s="17">
        <f>+VLOOKUP($A1950,MAGAZZINO!$B$2:$M$4838,9,FALSE)</f>
        <v/>
      </c>
      <c r="J1950" s="17">
        <f>+VLOOKUP($A1950,MAGAZZINO!$B$2:$M$4838,10,FALSE)</f>
        <v/>
      </c>
      <c r="K1950" s="17">
        <f>+VLOOKUP($A1950,MAGAZZINO!$B$2:$M$4838,11,FALSE)</f>
        <v/>
      </c>
      <c r="L1950" s="44">
        <f>+VLOOKUP($A1950,MAGAZZINO!$B$2:$M$4838,12,FALSE)</f>
        <v/>
      </c>
    </row>
    <row r="1951" ht="36" customHeight="1">
      <c r="A1951" s="30">
        <f>+REGISTRO!A1934</f>
        <v/>
      </c>
      <c r="B1951" s="31">
        <f>+VLOOKUP($A1951,MAGAZZINO!$B$2:$M$4838,2,FALSE)</f>
        <v/>
      </c>
      <c r="C1951" s="32">
        <f>+VLOOKUP($A1951,MAGAZZINO!$B$2:$M$4838,3,FALSE)</f>
        <v/>
      </c>
      <c r="D1951" s="17">
        <f>+VLOOKUP($A1951,MAGAZZINO!$B$2:$M$4838,4,FALSE)</f>
        <v/>
      </c>
      <c r="E1951" s="17">
        <f>+VLOOKUP($A1951,MAGAZZINO!$B$2:$M$4838,5,FALSE)</f>
        <v/>
      </c>
      <c r="F1951" s="17">
        <f>+VLOOKUP($A1951,MAGAZZINO!$B$2:$M$4838,6,FALSE)</f>
        <v/>
      </c>
      <c r="G1951" s="17">
        <f>+VLOOKUP($A1951,MAGAZZINO!$B$2:$M$4838,7,FALSE)</f>
        <v/>
      </c>
      <c r="H1951" s="17">
        <f>+VLOOKUP($A1951,MAGAZZINO!$B$2:$M$4838,8,FALSE)</f>
        <v/>
      </c>
      <c r="I1951" s="17">
        <f>+VLOOKUP($A1951,MAGAZZINO!$B$2:$M$4838,9,FALSE)</f>
        <v/>
      </c>
      <c r="J1951" s="17">
        <f>+VLOOKUP($A1951,MAGAZZINO!$B$2:$M$4838,10,FALSE)</f>
        <v/>
      </c>
      <c r="K1951" s="17">
        <f>+VLOOKUP($A1951,MAGAZZINO!$B$2:$M$4838,11,FALSE)</f>
        <v/>
      </c>
      <c r="L1951" s="44">
        <f>+VLOOKUP($A1951,MAGAZZINO!$B$2:$M$4838,12,FALSE)</f>
        <v/>
      </c>
    </row>
    <row r="1952" ht="36" customHeight="1">
      <c r="A1952" s="30">
        <f>+REGISTRO!A1935</f>
        <v/>
      </c>
      <c r="B1952" s="31">
        <f>+VLOOKUP($A1952,MAGAZZINO!$B$2:$M$4838,2,FALSE)</f>
        <v/>
      </c>
      <c r="C1952" s="32">
        <f>+VLOOKUP($A1952,MAGAZZINO!$B$2:$M$4838,3,FALSE)</f>
        <v/>
      </c>
      <c r="D1952" s="17">
        <f>+VLOOKUP($A1952,MAGAZZINO!$B$2:$M$4838,4,FALSE)</f>
        <v/>
      </c>
      <c r="E1952" s="17">
        <f>+VLOOKUP($A1952,MAGAZZINO!$B$2:$M$4838,5,FALSE)</f>
        <v/>
      </c>
      <c r="F1952" s="17">
        <f>+VLOOKUP($A1952,MAGAZZINO!$B$2:$M$4838,6,FALSE)</f>
        <v/>
      </c>
      <c r="G1952" s="17">
        <f>+VLOOKUP($A1952,MAGAZZINO!$B$2:$M$4838,7,FALSE)</f>
        <v/>
      </c>
      <c r="H1952" s="17">
        <f>+VLOOKUP($A1952,MAGAZZINO!$B$2:$M$4838,8,FALSE)</f>
        <v/>
      </c>
      <c r="I1952" s="17">
        <f>+VLOOKUP($A1952,MAGAZZINO!$B$2:$M$4838,9,FALSE)</f>
        <v/>
      </c>
      <c r="J1952" s="17">
        <f>+VLOOKUP($A1952,MAGAZZINO!$B$2:$M$4838,10,FALSE)</f>
        <v/>
      </c>
      <c r="K1952" s="17">
        <f>+VLOOKUP($A1952,MAGAZZINO!$B$2:$M$4838,11,FALSE)</f>
        <v/>
      </c>
      <c r="L1952" s="44">
        <f>+VLOOKUP($A1952,MAGAZZINO!$B$2:$M$4838,12,FALSE)</f>
        <v/>
      </c>
    </row>
    <row r="1953" ht="36" customHeight="1">
      <c r="A1953" s="30">
        <f>+REGISTRO!A1936</f>
        <v/>
      </c>
      <c r="B1953" s="31">
        <f>+VLOOKUP($A1953,MAGAZZINO!$B$2:$M$4838,2,FALSE)</f>
        <v/>
      </c>
      <c r="C1953" s="32">
        <f>+VLOOKUP($A1953,MAGAZZINO!$B$2:$M$4838,3,FALSE)</f>
        <v/>
      </c>
      <c r="D1953" s="17">
        <f>+VLOOKUP($A1953,MAGAZZINO!$B$2:$M$4838,4,FALSE)</f>
        <v/>
      </c>
      <c r="E1953" s="17">
        <f>+VLOOKUP($A1953,MAGAZZINO!$B$2:$M$4838,5,FALSE)</f>
        <v/>
      </c>
      <c r="F1953" s="17">
        <f>+VLOOKUP($A1953,MAGAZZINO!$B$2:$M$4838,6,FALSE)</f>
        <v/>
      </c>
      <c r="G1953" s="17">
        <f>+VLOOKUP($A1953,MAGAZZINO!$B$2:$M$4838,7,FALSE)</f>
        <v/>
      </c>
      <c r="H1953" s="17">
        <f>+VLOOKUP($A1953,MAGAZZINO!$B$2:$M$4838,8,FALSE)</f>
        <v/>
      </c>
      <c r="I1953" s="17">
        <f>+VLOOKUP($A1953,MAGAZZINO!$B$2:$M$4838,9,FALSE)</f>
        <v/>
      </c>
      <c r="J1953" s="17">
        <f>+VLOOKUP($A1953,MAGAZZINO!$B$2:$M$4838,10,FALSE)</f>
        <v/>
      </c>
      <c r="K1953" s="17">
        <f>+VLOOKUP($A1953,MAGAZZINO!$B$2:$M$4838,11,FALSE)</f>
        <v/>
      </c>
      <c r="L1953" s="44">
        <f>+VLOOKUP($A1953,MAGAZZINO!$B$2:$M$4838,12,FALSE)</f>
        <v/>
      </c>
    </row>
    <row r="1954" ht="36" customHeight="1">
      <c r="A1954" s="30">
        <f>+REGISTRO!A1937</f>
        <v/>
      </c>
      <c r="B1954" s="31">
        <f>+VLOOKUP($A1954,MAGAZZINO!$B$2:$M$4838,2,FALSE)</f>
        <v/>
      </c>
      <c r="C1954" s="32">
        <f>+VLOOKUP($A1954,MAGAZZINO!$B$2:$M$4838,3,FALSE)</f>
        <v/>
      </c>
      <c r="D1954" s="17">
        <f>+VLOOKUP($A1954,MAGAZZINO!$B$2:$M$4838,4,FALSE)</f>
        <v/>
      </c>
      <c r="E1954" s="17">
        <f>+VLOOKUP($A1954,MAGAZZINO!$B$2:$M$4838,5,FALSE)</f>
        <v/>
      </c>
      <c r="F1954" s="17">
        <f>+VLOOKUP($A1954,MAGAZZINO!$B$2:$M$4838,6,FALSE)</f>
        <v/>
      </c>
      <c r="G1954" s="17">
        <f>+VLOOKUP($A1954,MAGAZZINO!$B$2:$M$4838,7,FALSE)</f>
        <v/>
      </c>
      <c r="H1954" s="17">
        <f>+VLOOKUP($A1954,MAGAZZINO!$B$2:$M$4838,8,FALSE)</f>
        <v/>
      </c>
      <c r="I1954" s="17">
        <f>+VLOOKUP($A1954,MAGAZZINO!$B$2:$M$4838,9,FALSE)</f>
        <v/>
      </c>
      <c r="J1954" s="17">
        <f>+VLOOKUP($A1954,MAGAZZINO!$B$2:$M$4838,10,FALSE)</f>
        <v/>
      </c>
      <c r="K1954" s="17">
        <f>+VLOOKUP($A1954,MAGAZZINO!$B$2:$M$4838,11,FALSE)</f>
        <v/>
      </c>
      <c r="L1954" s="44">
        <f>+VLOOKUP($A1954,MAGAZZINO!$B$2:$M$4838,12,FALSE)</f>
        <v/>
      </c>
    </row>
    <row r="1955" ht="36" customHeight="1">
      <c r="A1955" s="30">
        <f>+REGISTRO!A1938</f>
        <v/>
      </c>
      <c r="B1955" s="31">
        <f>+VLOOKUP($A1955,MAGAZZINO!$B$2:$M$4838,2,FALSE)</f>
        <v/>
      </c>
      <c r="C1955" s="32">
        <f>+VLOOKUP($A1955,MAGAZZINO!$B$2:$M$4838,3,FALSE)</f>
        <v/>
      </c>
      <c r="D1955" s="17">
        <f>+VLOOKUP($A1955,MAGAZZINO!$B$2:$M$4838,4,FALSE)</f>
        <v/>
      </c>
      <c r="E1955" s="17">
        <f>+VLOOKUP($A1955,MAGAZZINO!$B$2:$M$4838,5,FALSE)</f>
        <v/>
      </c>
      <c r="F1955" s="17">
        <f>+VLOOKUP($A1955,MAGAZZINO!$B$2:$M$4838,6,FALSE)</f>
        <v/>
      </c>
      <c r="G1955" s="17">
        <f>+VLOOKUP($A1955,MAGAZZINO!$B$2:$M$4838,7,FALSE)</f>
        <v/>
      </c>
      <c r="H1955" s="17">
        <f>+VLOOKUP($A1955,MAGAZZINO!$B$2:$M$4838,8,FALSE)</f>
        <v/>
      </c>
      <c r="I1955" s="17">
        <f>+VLOOKUP($A1955,MAGAZZINO!$B$2:$M$4838,9,FALSE)</f>
        <v/>
      </c>
      <c r="J1955" s="17">
        <f>+VLOOKUP($A1955,MAGAZZINO!$B$2:$M$4838,10,FALSE)</f>
        <v/>
      </c>
      <c r="K1955" s="17">
        <f>+VLOOKUP($A1955,MAGAZZINO!$B$2:$M$4838,11,FALSE)</f>
        <v/>
      </c>
      <c r="L1955" s="44">
        <f>+VLOOKUP($A1955,MAGAZZINO!$B$2:$M$4838,12,FALSE)</f>
        <v/>
      </c>
    </row>
    <row r="1956" ht="36" customHeight="1">
      <c r="A1956" s="30">
        <f>+REGISTRO!A1939</f>
        <v/>
      </c>
      <c r="B1956" s="31">
        <f>+VLOOKUP($A1956,MAGAZZINO!$B$2:$M$4838,2,FALSE)</f>
        <v/>
      </c>
      <c r="C1956" s="32">
        <f>+VLOOKUP($A1956,MAGAZZINO!$B$2:$M$4838,3,FALSE)</f>
        <v/>
      </c>
      <c r="D1956" s="17">
        <f>+VLOOKUP($A1956,MAGAZZINO!$B$2:$M$4838,4,FALSE)</f>
        <v/>
      </c>
      <c r="E1956" s="17">
        <f>+VLOOKUP($A1956,MAGAZZINO!$B$2:$M$4838,5,FALSE)</f>
        <v/>
      </c>
      <c r="F1956" s="17">
        <f>+VLOOKUP($A1956,MAGAZZINO!$B$2:$M$4838,6,FALSE)</f>
        <v/>
      </c>
      <c r="G1956" s="17">
        <f>+VLOOKUP($A1956,MAGAZZINO!$B$2:$M$4838,7,FALSE)</f>
        <v/>
      </c>
      <c r="H1956" s="17">
        <f>+VLOOKUP($A1956,MAGAZZINO!$B$2:$M$4838,8,FALSE)</f>
        <v/>
      </c>
      <c r="I1956" s="17">
        <f>+VLOOKUP($A1956,MAGAZZINO!$B$2:$M$4838,9,FALSE)</f>
        <v/>
      </c>
      <c r="J1956" s="17">
        <f>+VLOOKUP($A1956,MAGAZZINO!$B$2:$M$4838,10,FALSE)</f>
        <v/>
      </c>
      <c r="K1956" s="17">
        <f>+VLOOKUP($A1956,MAGAZZINO!$B$2:$M$4838,11,FALSE)</f>
        <v/>
      </c>
      <c r="L1956" s="44">
        <f>+VLOOKUP($A1956,MAGAZZINO!$B$2:$M$4838,12,FALSE)</f>
        <v/>
      </c>
    </row>
    <row r="1957" ht="36" customHeight="1">
      <c r="A1957" s="30">
        <f>+REGISTRO!A1940</f>
        <v/>
      </c>
      <c r="B1957" s="31">
        <f>+VLOOKUP($A1957,MAGAZZINO!$B$2:$M$4838,2,FALSE)</f>
        <v/>
      </c>
      <c r="C1957" s="32">
        <f>+VLOOKUP($A1957,MAGAZZINO!$B$2:$M$4838,3,FALSE)</f>
        <v/>
      </c>
      <c r="D1957" s="17">
        <f>+VLOOKUP($A1957,MAGAZZINO!$B$2:$M$4838,4,FALSE)</f>
        <v/>
      </c>
      <c r="E1957" s="17">
        <f>+VLOOKUP($A1957,MAGAZZINO!$B$2:$M$4838,5,FALSE)</f>
        <v/>
      </c>
      <c r="F1957" s="17">
        <f>+VLOOKUP($A1957,MAGAZZINO!$B$2:$M$4838,6,FALSE)</f>
        <v/>
      </c>
      <c r="G1957" s="17">
        <f>+VLOOKUP($A1957,MAGAZZINO!$B$2:$M$4838,7,FALSE)</f>
        <v/>
      </c>
      <c r="H1957" s="17">
        <f>+VLOOKUP($A1957,MAGAZZINO!$B$2:$M$4838,8,FALSE)</f>
        <v/>
      </c>
      <c r="I1957" s="17">
        <f>+VLOOKUP($A1957,MAGAZZINO!$B$2:$M$4838,9,FALSE)</f>
        <v/>
      </c>
      <c r="J1957" s="17">
        <f>+VLOOKUP($A1957,MAGAZZINO!$B$2:$M$4838,10,FALSE)</f>
        <v/>
      </c>
      <c r="K1957" s="17">
        <f>+VLOOKUP($A1957,MAGAZZINO!$B$2:$M$4838,11,FALSE)</f>
        <v/>
      </c>
      <c r="L1957" s="44">
        <f>+VLOOKUP($A1957,MAGAZZINO!$B$2:$M$4838,12,FALSE)</f>
        <v/>
      </c>
    </row>
    <row r="1958" ht="36" customHeight="1">
      <c r="A1958" s="30">
        <f>+REGISTRO!A1941</f>
        <v/>
      </c>
      <c r="B1958" s="31">
        <f>+VLOOKUP($A1958,MAGAZZINO!$B$2:$M$4838,2,FALSE)</f>
        <v/>
      </c>
      <c r="C1958" s="32">
        <f>+VLOOKUP($A1958,MAGAZZINO!$B$2:$M$4838,3,FALSE)</f>
        <v/>
      </c>
      <c r="D1958" s="17">
        <f>+VLOOKUP($A1958,MAGAZZINO!$B$2:$M$4838,4,FALSE)</f>
        <v/>
      </c>
      <c r="E1958" s="17">
        <f>+VLOOKUP($A1958,MAGAZZINO!$B$2:$M$4838,5,FALSE)</f>
        <v/>
      </c>
      <c r="F1958" s="17">
        <f>+VLOOKUP($A1958,MAGAZZINO!$B$2:$M$4838,6,FALSE)</f>
        <v/>
      </c>
      <c r="G1958" s="17">
        <f>+VLOOKUP($A1958,MAGAZZINO!$B$2:$M$4838,7,FALSE)</f>
        <v/>
      </c>
      <c r="H1958" s="17">
        <f>+VLOOKUP($A1958,MAGAZZINO!$B$2:$M$4838,8,FALSE)</f>
        <v/>
      </c>
      <c r="I1958" s="17">
        <f>+VLOOKUP($A1958,MAGAZZINO!$B$2:$M$4838,9,FALSE)</f>
        <v/>
      </c>
      <c r="J1958" s="17">
        <f>+VLOOKUP($A1958,MAGAZZINO!$B$2:$M$4838,10,FALSE)</f>
        <v/>
      </c>
      <c r="K1958" s="17">
        <f>+VLOOKUP($A1958,MAGAZZINO!$B$2:$M$4838,11,FALSE)</f>
        <v/>
      </c>
      <c r="L1958" s="44">
        <f>+VLOOKUP($A1958,MAGAZZINO!$B$2:$M$4838,12,FALSE)</f>
        <v/>
      </c>
    </row>
    <row r="1959" ht="36" customHeight="1">
      <c r="A1959" s="30">
        <f>+REGISTRO!A1942</f>
        <v/>
      </c>
      <c r="B1959" s="31">
        <f>+VLOOKUP($A1959,MAGAZZINO!$B$2:$M$4838,2,FALSE)</f>
        <v/>
      </c>
      <c r="C1959" s="32">
        <f>+VLOOKUP($A1959,MAGAZZINO!$B$2:$M$4838,3,FALSE)</f>
        <v/>
      </c>
      <c r="D1959" s="17">
        <f>+VLOOKUP($A1959,MAGAZZINO!$B$2:$M$4838,4,FALSE)</f>
        <v/>
      </c>
      <c r="E1959" s="17">
        <f>+VLOOKUP($A1959,MAGAZZINO!$B$2:$M$4838,5,FALSE)</f>
        <v/>
      </c>
      <c r="F1959" s="17">
        <f>+VLOOKUP($A1959,MAGAZZINO!$B$2:$M$4838,6,FALSE)</f>
        <v/>
      </c>
      <c r="G1959" s="17">
        <f>+VLOOKUP($A1959,MAGAZZINO!$B$2:$M$4838,7,FALSE)</f>
        <v/>
      </c>
      <c r="H1959" s="17">
        <f>+VLOOKUP($A1959,MAGAZZINO!$B$2:$M$4838,8,FALSE)</f>
        <v/>
      </c>
      <c r="I1959" s="17">
        <f>+VLOOKUP($A1959,MAGAZZINO!$B$2:$M$4838,9,FALSE)</f>
        <v/>
      </c>
      <c r="J1959" s="17">
        <f>+VLOOKUP($A1959,MAGAZZINO!$B$2:$M$4838,10,FALSE)</f>
        <v/>
      </c>
      <c r="K1959" s="17">
        <f>+VLOOKUP($A1959,MAGAZZINO!$B$2:$M$4838,11,FALSE)</f>
        <v/>
      </c>
      <c r="L1959" s="44">
        <f>+VLOOKUP($A1959,MAGAZZINO!$B$2:$M$4838,12,FALSE)</f>
        <v/>
      </c>
    </row>
    <row r="1960" ht="36" customHeight="1">
      <c r="A1960" s="30">
        <f>+REGISTRO!A1943</f>
        <v/>
      </c>
      <c r="B1960" s="31">
        <f>+VLOOKUP($A1960,MAGAZZINO!$B$2:$M$4838,2,FALSE)</f>
        <v/>
      </c>
      <c r="C1960" s="32">
        <f>+VLOOKUP($A1960,MAGAZZINO!$B$2:$M$4838,3,FALSE)</f>
        <v/>
      </c>
      <c r="D1960" s="17">
        <f>+VLOOKUP($A1960,MAGAZZINO!$B$2:$M$4838,4,FALSE)</f>
        <v/>
      </c>
      <c r="E1960" s="17">
        <f>+VLOOKUP($A1960,MAGAZZINO!$B$2:$M$4838,5,FALSE)</f>
        <v/>
      </c>
      <c r="F1960" s="17">
        <f>+VLOOKUP($A1960,MAGAZZINO!$B$2:$M$4838,6,FALSE)</f>
        <v/>
      </c>
      <c r="G1960" s="17">
        <f>+VLOOKUP($A1960,MAGAZZINO!$B$2:$M$4838,7,FALSE)</f>
        <v/>
      </c>
      <c r="H1960" s="17">
        <f>+VLOOKUP($A1960,MAGAZZINO!$B$2:$M$4838,8,FALSE)</f>
        <v/>
      </c>
      <c r="I1960" s="17">
        <f>+VLOOKUP($A1960,MAGAZZINO!$B$2:$M$4838,9,FALSE)</f>
        <v/>
      </c>
      <c r="J1960" s="17">
        <f>+VLOOKUP($A1960,MAGAZZINO!$B$2:$M$4838,10,FALSE)</f>
        <v/>
      </c>
      <c r="K1960" s="17">
        <f>+VLOOKUP($A1960,MAGAZZINO!$B$2:$M$4838,11,FALSE)</f>
        <v/>
      </c>
      <c r="L1960" s="44">
        <f>+VLOOKUP($A1960,MAGAZZINO!$B$2:$M$4838,12,FALSE)</f>
        <v/>
      </c>
    </row>
    <row r="1961" ht="36" customHeight="1">
      <c r="A1961" s="30">
        <f>+REGISTRO!A1944</f>
        <v/>
      </c>
      <c r="B1961" s="31">
        <f>+VLOOKUP($A1961,MAGAZZINO!$B$2:$M$4838,2,FALSE)</f>
        <v/>
      </c>
      <c r="C1961" s="32">
        <f>+VLOOKUP($A1961,MAGAZZINO!$B$2:$M$4838,3,FALSE)</f>
        <v/>
      </c>
      <c r="D1961" s="17">
        <f>+VLOOKUP($A1961,MAGAZZINO!$B$2:$M$4838,4,FALSE)</f>
        <v/>
      </c>
      <c r="E1961" s="17">
        <f>+VLOOKUP($A1961,MAGAZZINO!$B$2:$M$4838,5,FALSE)</f>
        <v/>
      </c>
      <c r="F1961" s="17">
        <f>+VLOOKUP($A1961,MAGAZZINO!$B$2:$M$4838,6,FALSE)</f>
        <v/>
      </c>
      <c r="G1961" s="17">
        <f>+VLOOKUP($A1961,MAGAZZINO!$B$2:$M$4838,7,FALSE)</f>
        <v/>
      </c>
      <c r="H1961" s="17">
        <f>+VLOOKUP($A1961,MAGAZZINO!$B$2:$M$4838,8,FALSE)</f>
        <v/>
      </c>
      <c r="I1961" s="17">
        <f>+VLOOKUP($A1961,MAGAZZINO!$B$2:$M$4838,9,FALSE)</f>
        <v/>
      </c>
      <c r="J1961" s="17">
        <f>+VLOOKUP($A1961,MAGAZZINO!$B$2:$M$4838,10,FALSE)</f>
        <v/>
      </c>
      <c r="K1961" s="17">
        <f>+VLOOKUP($A1961,MAGAZZINO!$B$2:$M$4838,11,FALSE)</f>
        <v/>
      </c>
      <c r="L1961" s="44">
        <f>+VLOOKUP($A1961,MAGAZZINO!$B$2:$M$4838,12,FALSE)</f>
        <v/>
      </c>
    </row>
    <row r="1962" ht="36" customHeight="1">
      <c r="A1962" s="30">
        <f>+REGISTRO!A1945</f>
        <v/>
      </c>
      <c r="B1962" s="31">
        <f>+VLOOKUP($A1962,MAGAZZINO!$B$2:$M$4838,2,FALSE)</f>
        <v/>
      </c>
      <c r="C1962" s="32">
        <f>+VLOOKUP($A1962,MAGAZZINO!$B$2:$M$4838,3,FALSE)</f>
        <v/>
      </c>
      <c r="D1962" s="17">
        <f>+VLOOKUP($A1962,MAGAZZINO!$B$2:$M$4838,4,FALSE)</f>
        <v/>
      </c>
      <c r="E1962" s="17">
        <f>+VLOOKUP($A1962,MAGAZZINO!$B$2:$M$4838,5,FALSE)</f>
        <v/>
      </c>
      <c r="F1962" s="17">
        <f>+VLOOKUP($A1962,MAGAZZINO!$B$2:$M$4838,6,FALSE)</f>
        <v/>
      </c>
      <c r="G1962" s="17">
        <f>+VLOOKUP($A1962,MAGAZZINO!$B$2:$M$4838,7,FALSE)</f>
        <v/>
      </c>
      <c r="H1962" s="17">
        <f>+VLOOKUP($A1962,MAGAZZINO!$B$2:$M$4838,8,FALSE)</f>
        <v/>
      </c>
      <c r="I1962" s="17">
        <f>+VLOOKUP($A1962,MAGAZZINO!$B$2:$M$4838,9,FALSE)</f>
        <v/>
      </c>
      <c r="J1962" s="17">
        <f>+VLOOKUP($A1962,MAGAZZINO!$B$2:$M$4838,10,FALSE)</f>
        <v/>
      </c>
      <c r="K1962" s="17">
        <f>+VLOOKUP($A1962,MAGAZZINO!$B$2:$M$4838,11,FALSE)</f>
        <v/>
      </c>
      <c r="L1962" s="44">
        <f>+VLOOKUP($A1962,MAGAZZINO!$B$2:$M$4838,12,FALSE)</f>
        <v/>
      </c>
    </row>
    <row r="1963" ht="36" customHeight="1">
      <c r="A1963" s="30">
        <f>+REGISTRO!A1946</f>
        <v/>
      </c>
      <c r="B1963" s="31">
        <f>+VLOOKUP($A1963,MAGAZZINO!$B$2:$M$4838,2,FALSE)</f>
        <v/>
      </c>
      <c r="C1963" s="32">
        <f>+VLOOKUP($A1963,MAGAZZINO!$B$2:$M$4838,3,FALSE)</f>
        <v/>
      </c>
      <c r="D1963" s="17">
        <f>+VLOOKUP($A1963,MAGAZZINO!$B$2:$M$4838,4,FALSE)</f>
        <v/>
      </c>
      <c r="E1963" s="17">
        <f>+VLOOKUP($A1963,MAGAZZINO!$B$2:$M$4838,5,FALSE)</f>
        <v/>
      </c>
      <c r="F1963" s="17">
        <f>+VLOOKUP($A1963,MAGAZZINO!$B$2:$M$4838,6,FALSE)</f>
        <v/>
      </c>
      <c r="G1963" s="17">
        <f>+VLOOKUP($A1963,MAGAZZINO!$B$2:$M$4838,7,FALSE)</f>
        <v/>
      </c>
      <c r="H1963" s="17">
        <f>+VLOOKUP($A1963,MAGAZZINO!$B$2:$M$4838,8,FALSE)</f>
        <v/>
      </c>
      <c r="I1963" s="17">
        <f>+VLOOKUP($A1963,MAGAZZINO!$B$2:$M$4838,9,FALSE)</f>
        <v/>
      </c>
      <c r="J1963" s="17">
        <f>+VLOOKUP($A1963,MAGAZZINO!$B$2:$M$4838,10,FALSE)</f>
        <v/>
      </c>
      <c r="K1963" s="17">
        <f>+VLOOKUP($A1963,MAGAZZINO!$B$2:$M$4838,11,FALSE)</f>
        <v/>
      </c>
      <c r="L1963" s="44">
        <f>+VLOOKUP($A1963,MAGAZZINO!$B$2:$M$4838,12,FALSE)</f>
        <v/>
      </c>
    </row>
    <row r="1964" ht="36" customHeight="1">
      <c r="A1964" s="30">
        <f>+REGISTRO!A1947</f>
        <v/>
      </c>
      <c r="B1964" s="31">
        <f>+VLOOKUP($A1964,MAGAZZINO!$B$2:$M$4838,2,FALSE)</f>
        <v/>
      </c>
      <c r="C1964" s="32">
        <f>+VLOOKUP($A1964,MAGAZZINO!$B$2:$M$4838,3,FALSE)</f>
        <v/>
      </c>
      <c r="D1964" s="17">
        <f>+VLOOKUP($A1964,MAGAZZINO!$B$2:$M$4838,4,FALSE)</f>
        <v/>
      </c>
      <c r="E1964" s="17">
        <f>+VLOOKUP($A1964,MAGAZZINO!$B$2:$M$4838,5,FALSE)</f>
        <v/>
      </c>
      <c r="F1964" s="17">
        <f>+VLOOKUP($A1964,MAGAZZINO!$B$2:$M$4838,6,FALSE)</f>
        <v/>
      </c>
      <c r="G1964" s="17">
        <f>+VLOOKUP($A1964,MAGAZZINO!$B$2:$M$4838,7,FALSE)</f>
        <v/>
      </c>
      <c r="H1964" s="17">
        <f>+VLOOKUP($A1964,MAGAZZINO!$B$2:$M$4838,8,FALSE)</f>
        <v/>
      </c>
      <c r="I1964" s="17">
        <f>+VLOOKUP($A1964,MAGAZZINO!$B$2:$M$4838,9,FALSE)</f>
        <v/>
      </c>
      <c r="J1964" s="17">
        <f>+VLOOKUP($A1964,MAGAZZINO!$B$2:$M$4838,10,FALSE)</f>
        <v/>
      </c>
      <c r="K1964" s="17">
        <f>+VLOOKUP($A1964,MAGAZZINO!$B$2:$M$4838,11,FALSE)</f>
        <v/>
      </c>
      <c r="L1964" s="44">
        <f>+VLOOKUP($A1964,MAGAZZINO!$B$2:$M$4838,12,FALSE)</f>
        <v/>
      </c>
    </row>
    <row r="1965" ht="36" customHeight="1">
      <c r="A1965" s="30">
        <f>+REGISTRO!A1948</f>
        <v/>
      </c>
      <c r="B1965" s="31">
        <f>+VLOOKUP($A1965,MAGAZZINO!$B$2:$M$4838,2,FALSE)</f>
        <v/>
      </c>
      <c r="C1965" s="32">
        <f>+VLOOKUP($A1965,MAGAZZINO!$B$2:$M$4838,3,FALSE)</f>
        <v/>
      </c>
      <c r="D1965" s="17">
        <f>+VLOOKUP($A1965,MAGAZZINO!$B$2:$M$4838,4,FALSE)</f>
        <v/>
      </c>
      <c r="E1965" s="17">
        <f>+VLOOKUP($A1965,MAGAZZINO!$B$2:$M$4838,5,FALSE)</f>
        <v/>
      </c>
      <c r="F1965" s="17">
        <f>+VLOOKUP($A1965,MAGAZZINO!$B$2:$M$4838,6,FALSE)</f>
        <v/>
      </c>
      <c r="G1965" s="17">
        <f>+VLOOKUP($A1965,MAGAZZINO!$B$2:$M$4838,7,FALSE)</f>
        <v/>
      </c>
      <c r="H1965" s="17">
        <f>+VLOOKUP($A1965,MAGAZZINO!$B$2:$M$4838,8,FALSE)</f>
        <v/>
      </c>
      <c r="I1965" s="17">
        <f>+VLOOKUP($A1965,MAGAZZINO!$B$2:$M$4838,9,FALSE)</f>
        <v/>
      </c>
      <c r="J1965" s="17">
        <f>+VLOOKUP($A1965,MAGAZZINO!$B$2:$M$4838,10,FALSE)</f>
        <v/>
      </c>
      <c r="K1965" s="17">
        <f>+VLOOKUP($A1965,MAGAZZINO!$B$2:$M$4838,11,FALSE)</f>
        <v/>
      </c>
      <c r="L1965" s="44">
        <f>+VLOOKUP($A1965,MAGAZZINO!$B$2:$M$4838,12,FALSE)</f>
        <v/>
      </c>
    </row>
    <row r="1966" ht="36" customHeight="1">
      <c r="A1966" s="30">
        <f>+REGISTRO!A1949</f>
        <v/>
      </c>
      <c r="B1966" s="31">
        <f>+VLOOKUP($A1966,MAGAZZINO!$B$2:$M$4838,2,FALSE)</f>
        <v/>
      </c>
      <c r="C1966" s="32">
        <f>+VLOOKUP($A1966,MAGAZZINO!$B$2:$M$4838,3,FALSE)</f>
        <v/>
      </c>
      <c r="D1966" s="17">
        <f>+VLOOKUP($A1966,MAGAZZINO!$B$2:$M$4838,4,FALSE)</f>
        <v/>
      </c>
      <c r="E1966" s="17">
        <f>+VLOOKUP($A1966,MAGAZZINO!$B$2:$M$4838,5,FALSE)</f>
        <v/>
      </c>
      <c r="F1966" s="17">
        <f>+VLOOKUP($A1966,MAGAZZINO!$B$2:$M$4838,6,FALSE)</f>
        <v/>
      </c>
      <c r="G1966" s="17">
        <f>+VLOOKUP($A1966,MAGAZZINO!$B$2:$M$4838,7,FALSE)</f>
        <v/>
      </c>
      <c r="H1966" s="17">
        <f>+VLOOKUP($A1966,MAGAZZINO!$B$2:$M$4838,8,FALSE)</f>
        <v/>
      </c>
      <c r="I1966" s="17">
        <f>+VLOOKUP($A1966,MAGAZZINO!$B$2:$M$4838,9,FALSE)</f>
        <v/>
      </c>
      <c r="J1966" s="17">
        <f>+VLOOKUP($A1966,MAGAZZINO!$B$2:$M$4838,10,FALSE)</f>
        <v/>
      </c>
      <c r="K1966" s="17">
        <f>+VLOOKUP($A1966,MAGAZZINO!$B$2:$M$4838,11,FALSE)</f>
        <v/>
      </c>
      <c r="L1966" s="44">
        <f>+VLOOKUP($A1966,MAGAZZINO!$B$2:$M$4838,12,FALSE)</f>
        <v/>
      </c>
    </row>
    <row r="1967" ht="36" customHeight="1">
      <c r="A1967" s="30">
        <f>+REGISTRO!A1950</f>
        <v/>
      </c>
      <c r="B1967" s="31">
        <f>+VLOOKUP($A1967,MAGAZZINO!$B$2:$M$4838,2,FALSE)</f>
        <v/>
      </c>
      <c r="C1967" s="32">
        <f>+VLOOKUP($A1967,MAGAZZINO!$B$2:$M$4838,3,FALSE)</f>
        <v/>
      </c>
      <c r="D1967" s="17">
        <f>+VLOOKUP($A1967,MAGAZZINO!$B$2:$M$4838,4,FALSE)</f>
        <v/>
      </c>
      <c r="E1967" s="17">
        <f>+VLOOKUP($A1967,MAGAZZINO!$B$2:$M$4838,5,FALSE)</f>
        <v/>
      </c>
      <c r="F1967" s="17">
        <f>+VLOOKUP($A1967,MAGAZZINO!$B$2:$M$4838,6,FALSE)</f>
        <v/>
      </c>
      <c r="G1967" s="17">
        <f>+VLOOKUP($A1967,MAGAZZINO!$B$2:$M$4838,7,FALSE)</f>
        <v/>
      </c>
      <c r="H1967" s="17">
        <f>+VLOOKUP($A1967,MAGAZZINO!$B$2:$M$4838,8,FALSE)</f>
        <v/>
      </c>
      <c r="I1967" s="17">
        <f>+VLOOKUP($A1967,MAGAZZINO!$B$2:$M$4838,9,FALSE)</f>
        <v/>
      </c>
      <c r="J1967" s="17">
        <f>+VLOOKUP($A1967,MAGAZZINO!$B$2:$M$4838,10,FALSE)</f>
        <v/>
      </c>
      <c r="K1967" s="17">
        <f>+VLOOKUP($A1967,MAGAZZINO!$B$2:$M$4838,11,FALSE)</f>
        <v/>
      </c>
      <c r="L1967" s="44">
        <f>+VLOOKUP($A1967,MAGAZZINO!$B$2:$M$4838,12,FALSE)</f>
        <v/>
      </c>
    </row>
    <row r="1968" ht="36" customHeight="1">
      <c r="A1968" s="30">
        <f>+REGISTRO!A1951</f>
        <v/>
      </c>
      <c r="B1968" s="31">
        <f>+VLOOKUP($A1968,MAGAZZINO!$B$2:$M$4838,2,FALSE)</f>
        <v/>
      </c>
      <c r="C1968" s="32">
        <f>+VLOOKUP($A1968,MAGAZZINO!$B$2:$M$4838,3,FALSE)</f>
        <v/>
      </c>
      <c r="D1968" s="17">
        <f>+VLOOKUP($A1968,MAGAZZINO!$B$2:$M$4838,4,FALSE)</f>
        <v/>
      </c>
      <c r="E1968" s="17">
        <f>+VLOOKUP($A1968,MAGAZZINO!$B$2:$M$4838,5,FALSE)</f>
        <v/>
      </c>
      <c r="F1968" s="17">
        <f>+VLOOKUP($A1968,MAGAZZINO!$B$2:$M$4838,6,FALSE)</f>
        <v/>
      </c>
      <c r="G1968" s="17">
        <f>+VLOOKUP($A1968,MAGAZZINO!$B$2:$M$4838,7,FALSE)</f>
        <v/>
      </c>
      <c r="H1968" s="17">
        <f>+VLOOKUP($A1968,MAGAZZINO!$B$2:$M$4838,8,FALSE)</f>
        <v/>
      </c>
      <c r="I1968" s="17">
        <f>+VLOOKUP($A1968,MAGAZZINO!$B$2:$M$4838,9,FALSE)</f>
        <v/>
      </c>
      <c r="J1968" s="17">
        <f>+VLOOKUP($A1968,MAGAZZINO!$B$2:$M$4838,10,FALSE)</f>
        <v/>
      </c>
      <c r="K1968" s="17">
        <f>+VLOOKUP($A1968,MAGAZZINO!$B$2:$M$4838,11,FALSE)</f>
        <v/>
      </c>
      <c r="L1968" s="44">
        <f>+VLOOKUP($A1968,MAGAZZINO!$B$2:$M$4838,12,FALSE)</f>
        <v/>
      </c>
    </row>
    <row r="1969" ht="36" customHeight="1">
      <c r="A1969" s="30">
        <f>+REGISTRO!A1952</f>
        <v/>
      </c>
      <c r="B1969" s="31">
        <f>+VLOOKUP($A1969,MAGAZZINO!$B$2:$M$4838,2,FALSE)</f>
        <v/>
      </c>
      <c r="C1969" s="32">
        <f>+VLOOKUP($A1969,MAGAZZINO!$B$2:$M$4838,3,FALSE)</f>
        <v/>
      </c>
      <c r="D1969" s="17">
        <f>+VLOOKUP($A1969,MAGAZZINO!$B$2:$M$4838,4,FALSE)</f>
        <v/>
      </c>
      <c r="E1969" s="17">
        <f>+VLOOKUP($A1969,MAGAZZINO!$B$2:$M$4838,5,FALSE)</f>
        <v/>
      </c>
      <c r="F1969" s="17">
        <f>+VLOOKUP($A1969,MAGAZZINO!$B$2:$M$4838,6,FALSE)</f>
        <v/>
      </c>
      <c r="G1969" s="17">
        <f>+VLOOKUP($A1969,MAGAZZINO!$B$2:$M$4838,7,FALSE)</f>
        <v/>
      </c>
      <c r="H1969" s="17">
        <f>+VLOOKUP($A1969,MAGAZZINO!$B$2:$M$4838,8,FALSE)</f>
        <v/>
      </c>
      <c r="I1969" s="17">
        <f>+VLOOKUP($A1969,MAGAZZINO!$B$2:$M$4838,9,FALSE)</f>
        <v/>
      </c>
      <c r="J1969" s="17">
        <f>+VLOOKUP($A1969,MAGAZZINO!$B$2:$M$4838,10,FALSE)</f>
        <v/>
      </c>
      <c r="K1969" s="17">
        <f>+VLOOKUP($A1969,MAGAZZINO!$B$2:$M$4838,11,FALSE)</f>
        <v/>
      </c>
      <c r="L1969" s="44">
        <f>+VLOOKUP($A1969,MAGAZZINO!$B$2:$M$4838,12,FALSE)</f>
        <v/>
      </c>
    </row>
    <row r="1970" ht="36" customHeight="1">
      <c r="A1970" s="30">
        <f>+REGISTRO!A1953</f>
        <v/>
      </c>
      <c r="B1970" s="31">
        <f>+VLOOKUP($A1970,MAGAZZINO!$B$2:$M$4838,2,FALSE)</f>
        <v/>
      </c>
      <c r="C1970" s="32">
        <f>+VLOOKUP($A1970,MAGAZZINO!$B$2:$M$4838,3,FALSE)</f>
        <v/>
      </c>
      <c r="D1970" s="17">
        <f>+VLOOKUP($A1970,MAGAZZINO!$B$2:$M$4838,4,FALSE)</f>
        <v/>
      </c>
      <c r="E1970" s="17">
        <f>+VLOOKUP($A1970,MAGAZZINO!$B$2:$M$4838,5,FALSE)</f>
        <v/>
      </c>
      <c r="F1970" s="17">
        <f>+VLOOKUP($A1970,MAGAZZINO!$B$2:$M$4838,6,FALSE)</f>
        <v/>
      </c>
      <c r="G1970" s="17">
        <f>+VLOOKUP($A1970,MAGAZZINO!$B$2:$M$4838,7,FALSE)</f>
        <v/>
      </c>
      <c r="H1970" s="17">
        <f>+VLOOKUP($A1970,MAGAZZINO!$B$2:$M$4838,8,FALSE)</f>
        <v/>
      </c>
      <c r="I1970" s="17">
        <f>+VLOOKUP($A1970,MAGAZZINO!$B$2:$M$4838,9,FALSE)</f>
        <v/>
      </c>
      <c r="J1970" s="17">
        <f>+VLOOKUP($A1970,MAGAZZINO!$B$2:$M$4838,10,FALSE)</f>
        <v/>
      </c>
      <c r="K1970" s="17">
        <f>+VLOOKUP($A1970,MAGAZZINO!$B$2:$M$4838,11,FALSE)</f>
        <v/>
      </c>
      <c r="L1970" s="44">
        <f>+VLOOKUP($A1970,MAGAZZINO!$B$2:$M$4838,12,FALSE)</f>
        <v/>
      </c>
    </row>
    <row r="1971" ht="36" customHeight="1">
      <c r="A1971" s="30">
        <f>+REGISTRO!A1954</f>
        <v/>
      </c>
      <c r="B1971" s="31">
        <f>+VLOOKUP($A1971,MAGAZZINO!$B$2:$M$4838,2,FALSE)</f>
        <v/>
      </c>
      <c r="C1971" s="32">
        <f>+VLOOKUP($A1971,MAGAZZINO!$B$2:$M$4838,3,FALSE)</f>
        <v/>
      </c>
      <c r="D1971" s="17">
        <f>+VLOOKUP($A1971,MAGAZZINO!$B$2:$M$4838,4,FALSE)</f>
        <v/>
      </c>
      <c r="E1971" s="17">
        <f>+VLOOKUP($A1971,MAGAZZINO!$B$2:$M$4838,5,FALSE)</f>
        <v/>
      </c>
      <c r="F1971" s="17">
        <f>+VLOOKUP($A1971,MAGAZZINO!$B$2:$M$4838,6,FALSE)</f>
        <v/>
      </c>
      <c r="G1971" s="17">
        <f>+VLOOKUP($A1971,MAGAZZINO!$B$2:$M$4838,7,FALSE)</f>
        <v/>
      </c>
      <c r="H1971" s="17">
        <f>+VLOOKUP($A1971,MAGAZZINO!$B$2:$M$4838,8,FALSE)</f>
        <v/>
      </c>
      <c r="I1971" s="17">
        <f>+VLOOKUP($A1971,MAGAZZINO!$B$2:$M$4838,9,FALSE)</f>
        <v/>
      </c>
      <c r="J1971" s="17">
        <f>+VLOOKUP($A1971,MAGAZZINO!$B$2:$M$4838,10,FALSE)</f>
        <v/>
      </c>
      <c r="K1971" s="17">
        <f>+VLOOKUP($A1971,MAGAZZINO!$B$2:$M$4838,11,FALSE)</f>
        <v/>
      </c>
      <c r="L1971" s="44">
        <f>+VLOOKUP($A1971,MAGAZZINO!$B$2:$M$4838,12,FALSE)</f>
        <v/>
      </c>
    </row>
    <row r="1972" ht="36" customHeight="1">
      <c r="A1972" s="30">
        <f>+REGISTRO!A1955</f>
        <v/>
      </c>
      <c r="B1972" s="31">
        <f>+VLOOKUP($A1972,MAGAZZINO!$B$2:$M$4838,2,FALSE)</f>
        <v/>
      </c>
      <c r="C1972" s="32">
        <f>+VLOOKUP($A1972,MAGAZZINO!$B$2:$M$4838,3,FALSE)</f>
        <v/>
      </c>
      <c r="D1972" s="17">
        <f>+VLOOKUP($A1972,MAGAZZINO!$B$2:$M$4838,4,FALSE)</f>
        <v/>
      </c>
      <c r="E1972" s="17">
        <f>+VLOOKUP($A1972,MAGAZZINO!$B$2:$M$4838,5,FALSE)</f>
        <v/>
      </c>
      <c r="F1972" s="17">
        <f>+VLOOKUP($A1972,MAGAZZINO!$B$2:$M$4838,6,FALSE)</f>
        <v/>
      </c>
      <c r="G1972" s="17">
        <f>+VLOOKUP($A1972,MAGAZZINO!$B$2:$M$4838,7,FALSE)</f>
        <v/>
      </c>
      <c r="H1972" s="17">
        <f>+VLOOKUP($A1972,MAGAZZINO!$B$2:$M$4838,8,FALSE)</f>
        <v/>
      </c>
      <c r="I1972" s="17">
        <f>+VLOOKUP($A1972,MAGAZZINO!$B$2:$M$4838,9,FALSE)</f>
        <v/>
      </c>
      <c r="J1972" s="17">
        <f>+VLOOKUP($A1972,MAGAZZINO!$B$2:$M$4838,10,FALSE)</f>
        <v/>
      </c>
      <c r="K1972" s="17">
        <f>+VLOOKUP($A1972,MAGAZZINO!$B$2:$M$4838,11,FALSE)</f>
        <v/>
      </c>
      <c r="L1972" s="44">
        <f>+VLOOKUP($A1972,MAGAZZINO!$B$2:$M$4838,12,FALSE)</f>
        <v/>
      </c>
    </row>
    <row r="1973" ht="36" customHeight="1">
      <c r="A1973" s="30">
        <f>+REGISTRO!A1956</f>
        <v/>
      </c>
      <c r="B1973" s="31">
        <f>+VLOOKUP($A1973,MAGAZZINO!$B$2:$M$4838,2,FALSE)</f>
        <v/>
      </c>
      <c r="C1973" s="32">
        <f>+VLOOKUP($A1973,MAGAZZINO!$B$2:$M$4838,3,FALSE)</f>
        <v/>
      </c>
      <c r="D1973" s="17">
        <f>+VLOOKUP($A1973,MAGAZZINO!$B$2:$M$4838,4,FALSE)</f>
        <v/>
      </c>
      <c r="E1973" s="17">
        <f>+VLOOKUP($A1973,MAGAZZINO!$B$2:$M$4838,5,FALSE)</f>
        <v/>
      </c>
      <c r="F1973" s="17">
        <f>+VLOOKUP($A1973,MAGAZZINO!$B$2:$M$4838,6,FALSE)</f>
        <v/>
      </c>
      <c r="G1973" s="17">
        <f>+VLOOKUP($A1973,MAGAZZINO!$B$2:$M$4838,7,FALSE)</f>
        <v/>
      </c>
      <c r="H1973" s="17">
        <f>+VLOOKUP($A1973,MAGAZZINO!$B$2:$M$4838,8,FALSE)</f>
        <v/>
      </c>
      <c r="I1973" s="17">
        <f>+VLOOKUP($A1973,MAGAZZINO!$B$2:$M$4838,9,FALSE)</f>
        <v/>
      </c>
      <c r="J1973" s="17">
        <f>+VLOOKUP($A1973,MAGAZZINO!$B$2:$M$4838,10,FALSE)</f>
        <v/>
      </c>
      <c r="K1973" s="17">
        <f>+VLOOKUP($A1973,MAGAZZINO!$B$2:$M$4838,11,FALSE)</f>
        <v/>
      </c>
      <c r="L1973" s="44">
        <f>+VLOOKUP($A1973,MAGAZZINO!$B$2:$M$4838,12,FALSE)</f>
        <v/>
      </c>
    </row>
    <row r="1974" ht="36" customHeight="1">
      <c r="A1974" s="30">
        <f>+REGISTRO!A1957</f>
        <v/>
      </c>
      <c r="B1974" s="31">
        <f>+VLOOKUP($A1974,MAGAZZINO!$B$2:$M$4838,2,FALSE)</f>
        <v/>
      </c>
      <c r="C1974" s="32">
        <f>+VLOOKUP($A1974,MAGAZZINO!$B$2:$M$4838,3,FALSE)</f>
        <v/>
      </c>
      <c r="D1974" s="17">
        <f>+VLOOKUP($A1974,MAGAZZINO!$B$2:$M$4838,4,FALSE)</f>
        <v/>
      </c>
      <c r="E1974" s="17">
        <f>+VLOOKUP($A1974,MAGAZZINO!$B$2:$M$4838,5,FALSE)</f>
        <v/>
      </c>
      <c r="F1974" s="17">
        <f>+VLOOKUP($A1974,MAGAZZINO!$B$2:$M$4838,6,FALSE)</f>
        <v/>
      </c>
      <c r="G1974" s="17">
        <f>+VLOOKUP($A1974,MAGAZZINO!$B$2:$M$4838,7,FALSE)</f>
        <v/>
      </c>
      <c r="H1974" s="17">
        <f>+VLOOKUP($A1974,MAGAZZINO!$B$2:$M$4838,8,FALSE)</f>
        <v/>
      </c>
      <c r="I1974" s="17">
        <f>+VLOOKUP($A1974,MAGAZZINO!$B$2:$M$4838,9,FALSE)</f>
        <v/>
      </c>
      <c r="J1974" s="17">
        <f>+VLOOKUP($A1974,MAGAZZINO!$B$2:$M$4838,10,FALSE)</f>
        <v/>
      </c>
      <c r="K1974" s="17">
        <f>+VLOOKUP($A1974,MAGAZZINO!$B$2:$M$4838,11,FALSE)</f>
        <v/>
      </c>
      <c r="L1974" s="44">
        <f>+VLOOKUP($A1974,MAGAZZINO!$B$2:$M$4838,12,FALSE)</f>
        <v/>
      </c>
    </row>
    <row r="1975" ht="36" customHeight="1">
      <c r="A1975" s="30">
        <f>+REGISTRO!A1958</f>
        <v/>
      </c>
      <c r="B1975" s="31">
        <f>+VLOOKUP($A1975,MAGAZZINO!$B$2:$M$4838,2,FALSE)</f>
        <v/>
      </c>
      <c r="C1975" s="32">
        <f>+VLOOKUP($A1975,MAGAZZINO!$B$2:$M$4838,3,FALSE)</f>
        <v/>
      </c>
      <c r="D1975" s="17">
        <f>+VLOOKUP($A1975,MAGAZZINO!$B$2:$M$4838,4,FALSE)</f>
        <v/>
      </c>
      <c r="E1975" s="17">
        <f>+VLOOKUP($A1975,MAGAZZINO!$B$2:$M$4838,5,FALSE)</f>
        <v/>
      </c>
      <c r="F1975" s="17">
        <f>+VLOOKUP($A1975,MAGAZZINO!$B$2:$M$4838,6,FALSE)</f>
        <v/>
      </c>
      <c r="G1975" s="17">
        <f>+VLOOKUP($A1975,MAGAZZINO!$B$2:$M$4838,7,FALSE)</f>
        <v/>
      </c>
      <c r="H1975" s="17">
        <f>+VLOOKUP($A1975,MAGAZZINO!$B$2:$M$4838,8,FALSE)</f>
        <v/>
      </c>
      <c r="I1975" s="17">
        <f>+VLOOKUP($A1975,MAGAZZINO!$B$2:$M$4838,9,FALSE)</f>
        <v/>
      </c>
      <c r="J1975" s="17">
        <f>+VLOOKUP($A1975,MAGAZZINO!$B$2:$M$4838,10,FALSE)</f>
        <v/>
      </c>
      <c r="K1975" s="17">
        <f>+VLOOKUP($A1975,MAGAZZINO!$B$2:$M$4838,11,FALSE)</f>
        <v/>
      </c>
      <c r="L1975" s="44">
        <f>+VLOOKUP($A1975,MAGAZZINO!$B$2:$M$4838,12,FALSE)</f>
        <v/>
      </c>
    </row>
    <row r="1976" ht="36" customHeight="1">
      <c r="A1976" s="30">
        <f>+REGISTRO!A1959</f>
        <v/>
      </c>
      <c r="B1976" s="31">
        <f>+VLOOKUP($A1976,MAGAZZINO!$B$2:$M$4838,2,FALSE)</f>
        <v/>
      </c>
      <c r="C1976" s="32">
        <f>+VLOOKUP($A1976,MAGAZZINO!$B$2:$M$4838,3,FALSE)</f>
        <v/>
      </c>
      <c r="D1976" s="17">
        <f>+VLOOKUP($A1976,MAGAZZINO!$B$2:$M$4838,4,FALSE)</f>
        <v/>
      </c>
      <c r="E1976" s="17">
        <f>+VLOOKUP($A1976,MAGAZZINO!$B$2:$M$4838,5,FALSE)</f>
        <v/>
      </c>
      <c r="F1976" s="17">
        <f>+VLOOKUP($A1976,MAGAZZINO!$B$2:$M$4838,6,FALSE)</f>
        <v/>
      </c>
      <c r="G1976" s="17">
        <f>+VLOOKUP($A1976,MAGAZZINO!$B$2:$M$4838,7,FALSE)</f>
        <v/>
      </c>
      <c r="H1976" s="17">
        <f>+VLOOKUP($A1976,MAGAZZINO!$B$2:$M$4838,8,FALSE)</f>
        <v/>
      </c>
      <c r="I1976" s="17">
        <f>+VLOOKUP($A1976,MAGAZZINO!$B$2:$M$4838,9,FALSE)</f>
        <v/>
      </c>
      <c r="J1976" s="17">
        <f>+VLOOKUP($A1976,MAGAZZINO!$B$2:$M$4838,10,FALSE)</f>
        <v/>
      </c>
      <c r="K1976" s="17">
        <f>+VLOOKUP($A1976,MAGAZZINO!$B$2:$M$4838,11,FALSE)</f>
        <v/>
      </c>
      <c r="L1976" s="44">
        <f>+VLOOKUP($A1976,MAGAZZINO!$B$2:$M$4838,12,FALSE)</f>
        <v/>
      </c>
    </row>
    <row r="1977" ht="36" customHeight="1">
      <c r="A1977" s="30">
        <f>+REGISTRO!A1960</f>
        <v/>
      </c>
      <c r="B1977" s="31">
        <f>+VLOOKUP($A1977,MAGAZZINO!$B$2:$M$4838,2,FALSE)</f>
        <v/>
      </c>
      <c r="C1977" s="32">
        <f>+VLOOKUP($A1977,MAGAZZINO!$B$2:$M$4838,3,FALSE)</f>
        <v/>
      </c>
      <c r="D1977" s="17">
        <f>+VLOOKUP($A1977,MAGAZZINO!$B$2:$M$4838,4,FALSE)</f>
        <v/>
      </c>
      <c r="E1977" s="17">
        <f>+VLOOKUP($A1977,MAGAZZINO!$B$2:$M$4838,5,FALSE)</f>
        <v/>
      </c>
      <c r="F1977" s="17">
        <f>+VLOOKUP($A1977,MAGAZZINO!$B$2:$M$4838,6,FALSE)</f>
        <v/>
      </c>
      <c r="G1977" s="17">
        <f>+VLOOKUP($A1977,MAGAZZINO!$B$2:$M$4838,7,FALSE)</f>
        <v/>
      </c>
      <c r="H1977" s="17">
        <f>+VLOOKUP($A1977,MAGAZZINO!$B$2:$M$4838,8,FALSE)</f>
        <v/>
      </c>
      <c r="I1977" s="17">
        <f>+VLOOKUP($A1977,MAGAZZINO!$B$2:$M$4838,9,FALSE)</f>
        <v/>
      </c>
      <c r="J1977" s="17">
        <f>+VLOOKUP($A1977,MAGAZZINO!$B$2:$M$4838,10,FALSE)</f>
        <v/>
      </c>
      <c r="K1977" s="17">
        <f>+VLOOKUP($A1977,MAGAZZINO!$B$2:$M$4838,11,FALSE)</f>
        <v/>
      </c>
      <c r="L1977" s="44">
        <f>+VLOOKUP($A1977,MAGAZZINO!$B$2:$M$4838,12,FALSE)</f>
        <v/>
      </c>
    </row>
    <row r="1978" ht="36" customHeight="1">
      <c r="A1978" s="30">
        <f>+REGISTRO!A1961</f>
        <v/>
      </c>
      <c r="B1978" s="31">
        <f>+VLOOKUP($A1978,MAGAZZINO!$B$2:$M$4838,2,FALSE)</f>
        <v/>
      </c>
      <c r="C1978" s="32">
        <f>+VLOOKUP($A1978,MAGAZZINO!$B$2:$M$4838,3,FALSE)</f>
        <v/>
      </c>
      <c r="D1978" s="17">
        <f>+VLOOKUP($A1978,MAGAZZINO!$B$2:$M$4838,4,FALSE)</f>
        <v/>
      </c>
      <c r="E1978" s="17">
        <f>+VLOOKUP($A1978,MAGAZZINO!$B$2:$M$4838,5,FALSE)</f>
        <v/>
      </c>
      <c r="F1978" s="17">
        <f>+VLOOKUP($A1978,MAGAZZINO!$B$2:$M$4838,6,FALSE)</f>
        <v/>
      </c>
      <c r="G1978" s="17">
        <f>+VLOOKUP($A1978,MAGAZZINO!$B$2:$M$4838,7,FALSE)</f>
        <v/>
      </c>
      <c r="H1978" s="17">
        <f>+VLOOKUP($A1978,MAGAZZINO!$B$2:$M$4838,8,FALSE)</f>
        <v/>
      </c>
      <c r="I1978" s="17">
        <f>+VLOOKUP($A1978,MAGAZZINO!$B$2:$M$4838,9,FALSE)</f>
        <v/>
      </c>
      <c r="J1978" s="17">
        <f>+VLOOKUP($A1978,MAGAZZINO!$B$2:$M$4838,10,FALSE)</f>
        <v/>
      </c>
      <c r="K1978" s="17">
        <f>+VLOOKUP($A1978,MAGAZZINO!$B$2:$M$4838,11,FALSE)</f>
        <v/>
      </c>
      <c r="L1978" s="44">
        <f>+VLOOKUP($A1978,MAGAZZINO!$B$2:$M$4838,12,FALSE)</f>
        <v/>
      </c>
    </row>
    <row r="1979" ht="36" customHeight="1">
      <c r="A1979" s="30">
        <f>+REGISTRO!A1962</f>
        <v/>
      </c>
      <c r="B1979" s="31">
        <f>+VLOOKUP($A1979,MAGAZZINO!$B$2:$M$4838,2,FALSE)</f>
        <v/>
      </c>
      <c r="C1979" s="32">
        <f>+VLOOKUP($A1979,MAGAZZINO!$B$2:$M$4838,3,FALSE)</f>
        <v/>
      </c>
      <c r="D1979" s="17">
        <f>+VLOOKUP($A1979,MAGAZZINO!$B$2:$M$4838,4,FALSE)</f>
        <v/>
      </c>
      <c r="E1979" s="17">
        <f>+VLOOKUP($A1979,MAGAZZINO!$B$2:$M$4838,5,FALSE)</f>
        <v/>
      </c>
      <c r="F1979" s="17">
        <f>+VLOOKUP($A1979,MAGAZZINO!$B$2:$M$4838,6,FALSE)</f>
        <v/>
      </c>
      <c r="G1979" s="17">
        <f>+VLOOKUP($A1979,MAGAZZINO!$B$2:$M$4838,7,FALSE)</f>
        <v/>
      </c>
      <c r="H1979" s="17">
        <f>+VLOOKUP($A1979,MAGAZZINO!$B$2:$M$4838,8,FALSE)</f>
        <v/>
      </c>
      <c r="I1979" s="17">
        <f>+VLOOKUP($A1979,MAGAZZINO!$B$2:$M$4838,9,FALSE)</f>
        <v/>
      </c>
      <c r="J1979" s="17">
        <f>+VLOOKUP($A1979,MAGAZZINO!$B$2:$M$4838,10,FALSE)</f>
        <v/>
      </c>
      <c r="K1979" s="17">
        <f>+VLOOKUP($A1979,MAGAZZINO!$B$2:$M$4838,11,FALSE)</f>
        <v/>
      </c>
      <c r="L1979" s="44">
        <f>+VLOOKUP($A1979,MAGAZZINO!$B$2:$M$4838,12,FALSE)</f>
        <v/>
      </c>
    </row>
    <row r="1980" ht="36" customHeight="1">
      <c r="A1980" s="30">
        <f>+REGISTRO!A1963</f>
        <v/>
      </c>
      <c r="B1980" s="31">
        <f>+VLOOKUP($A1980,MAGAZZINO!$B$2:$M$4838,2,FALSE)</f>
        <v/>
      </c>
      <c r="C1980" s="32">
        <f>+VLOOKUP($A1980,MAGAZZINO!$B$2:$M$4838,3,FALSE)</f>
        <v/>
      </c>
      <c r="D1980" s="17">
        <f>+VLOOKUP($A1980,MAGAZZINO!$B$2:$M$4838,4,FALSE)</f>
        <v/>
      </c>
      <c r="E1980" s="17">
        <f>+VLOOKUP($A1980,MAGAZZINO!$B$2:$M$4838,5,FALSE)</f>
        <v/>
      </c>
      <c r="F1980" s="17">
        <f>+VLOOKUP($A1980,MAGAZZINO!$B$2:$M$4838,6,FALSE)</f>
        <v/>
      </c>
      <c r="G1980" s="17">
        <f>+VLOOKUP($A1980,MAGAZZINO!$B$2:$M$4838,7,FALSE)</f>
        <v/>
      </c>
      <c r="H1980" s="17">
        <f>+VLOOKUP($A1980,MAGAZZINO!$B$2:$M$4838,8,FALSE)</f>
        <v/>
      </c>
      <c r="I1980" s="17">
        <f>+VLOOKUP($A1980,MAGAZZINO!$B$2:$M$4838,9,FALSE)</f>
        <v/>
      </c>
      <c r="J1980" s="17">
        <f>+VLOOKUP($A1980,MAGAZZINO!$B$2:$M$4838,10,FALSE)</f>
        <v/>
      </c>
      <c r="K1980" s="17">
        <f>+VLOOKUP($A1980,MAGAZZINO!$B$2:$M$4838,11,FALSE)</f>
        <v/>
      </c>
      <c r="L1980" s="44">
        <f>+VLOOKUP($A1980,MAGAZZINO!$B$2:$M$4838,12,FALSE)</f>
        <v/>
      </c>
    </row>
    <row r="1981" ht="36" customHeight="1">
      <c r="A1981" s="30">
        <f>+REGISTRO!A1964</f>
        <v/>
      </c>
      <c r="B1981" s="31">
        <f>+VLOOKUP($A1981,MAGAZZINO!$B$2:$M$4838,2,FALSE)</f>
        <v/>
      </c>
      <c r="C1981" s="32">
        <f>+VLOOKUP($A1981,MAGAZZINO!$B$2:$M$4838,3,FALSE)</f>
        <v/>
      </c>
      <c r="D1981" s="17">
        <f>+VLOOKUP($A1981,MAGAZZINO!$B$2:$M$4838,4,FALSE)</f>
        <v/>
      </c>
      <c r="E1981" s="17">
        <f>+VLOOKUP($A1981,MAGAZZINO!$B$2:$M$4838,5,FALSE)</f>
        <v/>
      </c>
      <c r="F1981" s="17">
        <f>+VLOOKUP($A1981,MAGAZZINO!$B$2:$M$4838,6,FALSE)</f>
        <v/>
      </c>
      <c r="G1981" s="17">
        <f>+VLOOKUP($A1981,MAGAZZINO!$B$2:$M$4838,7,FALSE)</f>
        <v/>
      </c>
      <c r="H1981" s="17">
        <f>+VLOOKUP($A1981,MAGAZZINO!$B$2:$M$4838,8,FALSE)</f>
        <v/>
      </c>
      <c r="I1981" s="17">
        <f>+VLOOKUP($A1981,MAGAZZINO!$B$2:$M$4838,9,FALSE)</f>
        <v/>
      </c>
      <c r="J1981" s="17">
        <f>+VLOOKUP($A1981,MAGAZZINO!$B$2:$M$4838,10,FALSE)</f>
        <v/>
      </c>
      <c r="K1981" s="17">
        <f>+VLOOKUP($A1981,MAGAZZINO!$B$2:$M$4838,11,FALSE)</f>
        <v/>
      </c>
      <c r="L1981" s="44">
        <f>+VLOOKUP($A1981,MAGAZZINO!$B$2:$M$4838,12,FALSE)</f>
        <v/>
      </c>
    </row>
    <row r="1982" ht="36" customHeight="1">
      <c r="A1982" s="30">
        <f>+REGISTRO!A1965</f>
        <v/>
      </c>
      <c r="B1982" s="31">
        <f>+VLOOKUP($A1982,MAGAZZINO!$B$2:$M$4838,2,FALSE)</f>
        <v/>
      </c>
      <c r="C1982" s="32">
        <f>+VLOOKUP($A1982,MAGAZZINO!$B$2:$M$4838,3,FALSE)</f>
        <v/>
      </c>
      <c r="D1982" s="17">
        <f>+VLOOKUP($A1982,MAGAZZINO!$B$2:$M$4838,4,FALSE)</f>
        <v/>
      </c>
      <c r="E1982" s="17">
        <f>+VLOOKUP($A1982,MAGAZZINO!$B$2:$M$4838,5,FALSE)</f>
        <v/>
      </c>
      <c r="F1982" s="17">
        <f>+VLOOKUP($A1982,MAGAZZINO!$B$2:$M$4838,6,FALSE)</f>
        <v/>
      </c>
      <c r="G1982" s="17">
        <f>+VLOOKUP($A1982,MAGAZZINO!$B$2:$M$4838,7,FALSE)</f>
        <v/>
      </c>
      <c r="H1982" s="17">
        <f>+VLOOKUP($A1982,MAGAZZINO!$B$2:$M$4838,8,FALSE)</f>
        <v/>
      </c>
      <c r="I1982" s="17">
        <f>+VLOOKUP($A1982,MAGAZZINO!$B$2:$M$4838,9,FALSE)</f>
        <v/>
      </c>
      <c r="J1982" s="17">
        <f>+VLOOKUP($A1982,MAGAZZINO!$B$2:$M$4838,10,FALSE)</f>
        <v/>
      </c>
      <c r="K1982" s="17">
        <f>+VLOOKUP($A1982,MAGAZZINO!$B$2:$M$4838,11,FALSE)</f>
        <v/>
      </c>
      <c r="L1982" s="44">
        <f>+VLOOKUP($A1982,MAGAZZINO!$B$2:$M$4838,12,FALSE)</f>
        <v/>
      </c>
    </row>
    <row r="1983" ht="36" customHeight="1">
      <c r="A1983" s="30">
        <f>+REGISTRO!A1966</f>
        <v/>
      </c>
      <c r="B1983" s="31">
        <f>+VLOOKUP($A1983,MAGAZZINO!$B$2:$M$4838,2,FALSE)</f>
        <v/>
      </c>
      <c r="C1983" s="32">
        <f>+VLOOKUP($A1983,MAGAZZINO!$B$2:$M$4838,3,FALSE)</f>
        <v/>
      </c>
      <c r="D1983" s="17">
        <f>+VLOOKUP($A1983,MAGAZZINO!$B$2:$M$4838,4,FALSE)</f>
        <v/>
      </c>
      <c r="E1983" s="17">
        <f>+VLOOKUP($A1983,MAGAZZINO!$B$2:$M$4838,5,FALSE)</f>
        <v/>
      </c>
      <c r="F1983" s="17">
        <f>+VLOOKUP($A1983,MAGAZZINO!$B$2:$M$4838,6,FALSE)</f>
        <v/>
      </c>
      <c r="G1983" s="17">
        <f>+VLOOKUP($A1983,MAGAZZINO!$B$2:$M$4838,7,FALSE)</f>
        <v/>
      </c>
      <c r="H1983" s="17">
        <f>+VLOOKUP($A1983,MAGAZZINO!$B$2:$M$4838,8,FALSE)</f>
        <v/>
      </c>
      <c r="I1983" s="17">
        <f>+VLOOKUP($A1983,MAGAZZINO!$B$2:$M$4838,9,FALSE)</f>
        <v/>
      </c>
      <c r="J1983" s="17">
        <f>+VLOOKUP($A1983,MAGAZZINO!$B$2:$M$4838,10,FALSE)</f>
        <v/>
      </c>
      <c r="K1983" s="17">
        <f>+VLOOKUP($A1983,MAGAZZINO!$B$2:$M$4838,11,FALSE)</f>
        <v/>
      </c>
      <c r="L1983" s="44">
        <f>+VLOOKUP($A1983,MAGAZZINO!$B$2:$M$4838,12,FALSE)</f>
        <v/>
      </c>
    </row>
    <row r="1984" ht="36" customHeight="1">
      <c r="A1984" s="30">
        <f>+REGISTRO!A1967</f>
        <v/>
      </c>
      <c r="B1984" s="31">
        <f>+VLOOKUP($A1984,MAGAZZINO!$B$2:$M$4838,2,FALSE)</f>
        <v/>
      </c>
      <c r="C1984" s="32">
        <f>+VLOOKUP($A1984,MAGAZZINO!$B$2:$M$4838,3,FALSE)</f>
        <v/>
      </c>
      <c r="D1984" s="17">
        <f>+VLOOKUP($A1984,MAGAZZINO!$B$2:$M$4838,4,FALSE)</f>
        <v/>
      </c>
      <c r="E1984" s="17">
        <f>+VLOOKUP($A1984,MAGAZZINO!$B$2:$M$4838,5,FALSE)</f>
        <v/>
      </c>
      <c r="F1984" s="17">
        <f>+VLOOKUP($A1984,MAGAZZINO!$B$2:$M$4838,6,FALSE)</f>
        <v/>
      </c>
      <c r="G1984" s="17">
        <f>+VLOOKUP($A1984,MAGAZZINO!$B$2:$M$4838,7,FALSE)</f>
        <v/>
      </c>
      <c r="H1984" s="17">
        <f>+VLOOKUP($A1984,MAGAZZINO!$B$2:$M$4838,8,FALSE)</f>
        <v/>
      </c>
      <c r="I1984" s="17">
        <f>+VLOOKUP($A1984,MAGAZZINO!$B$2:$M$4838,9,FALSE)</f>
        <v/>
      </c>
      <c r="J1984" s="17">
        <f>+VLOOKUP($A1984,MAGAZZINO!$B$2:$M$4838,10,FALSE)</f>
        <v/>
      </c>
      <c r="K1984" s="17">
        <f>+VLOOKUP($A1984,MAGAZZINO!$B$2:$M$4838,11,FALSE)</f>
        <v/>
      </c>
      <c r="L1984" s="44">
        <f>+VLOOKUP($A1984,MAGAZZINO!$B$2:$M$4838,12,FALSE)</f>
        <v/>
      </c>
    </row>
    <row r="1985" ht="36" customHeight="1">
      <c r="A1985" s="30">
        <f>+REGISTRO!A1968</f>
        <v/>
      </c>
      <c r="B1985" s="31">
        <f>+VLOOKUP($A1985,MAGAZZINO!$B$2:$M$4838,2,FALSE)</f>
        <v/>
      </c>
      <c r="C1985" s="32">
        <f>+VLOOKUP($A1985,MAGAZZINO!$B$2:$M$4838,3,FALSE)</f>
        <v/>
      </c>
      <c r="D1985" s="17">
        <f>+VLOOKUP($A1985,MAGAZZINO!$B$2:$M$4838,4,FALSE)</f>
        <v/>
      </c>
      <c r="E1985" s="17">
        <f>+VLOOKUP($A1985,MAGAZZINO!$B$2:$M$4838,5,FALSE)</f>
        <v/>
      </c>
      <c r="F1985" s="17">
        <f>+VLOOKUP($A1985,MAGAZZINO!$B$2:$M$4838,6,FALSE)</f>
        <v/>
      </c>
      <c r="G1985" s="17">
        <f>+VLOOKUP($A1985,MAGAZZINO!$B$2:$M$4838,7,FALSE)</f>
        <v/>
      </c>
      <c r="H1985" s="17">
        <f>+VLOOKUP($A1985,MAGAZZINO!$B$2:$M$4838,8,FALSE)</f>
        <v/>
      </c>
      <c r="I1985" s="17">
        <f>+VLOOKUP($A1985,MAGAZZINO!$B$2:$M$4838,9,FALSE)</f>
        <v/>
      </c>
      <c r="J1985" s="17">
        <f>+VLOOKUP($A1985,MAGAZZINO!$B$2:$M$4838,10,FALSE)</f>
        <v/>
      </c>
      <c r="K1985" s="17">
        <f>+VLOOKUP($A1985,MAGAZZINO!$B$2:$M$4838,11,FALSE)</f>
        <v/>
      </c>
      <c r="L1985" s="44">
        <f>+VLOOKUP($A1985,MAGAZZINO!$B$2:$M$4838,12,FALSE)</f>
        <v/>
      </c>
    </row>
    <row r="1986" ht="36" customHeight="1">
      <c r="A1986" s="30">
        <f>+REGISTRO!A1969</f>
        <v/>
      </c>
      <c r="B1986" s="31">
        <f>+VLOOKUP($A1986,MAGAZZINO!$B$2:$M$4838,2,FALSE)</f>
        <v/>
      </c>
      <c r="C1986" s="32">
        <f>+VLOOKUP($A1986,MAGAZZINO!$B$2:$M$4838,3,FALSE)</f>
        <v/>
      </c>
      <c r="D1986" s="17">
        <f>+VLOOKUP($A1986,MAGAZZINO!$B$2:$M$4838,4,FALSE)</f>
        <v/>
      </c>
      <c r="E1986" s="17">
        <f>+VLOOKUP($A1986,MAGAZZINO!$B$2:$M$4838,5,FALSE)</f>
        <v/>
      </c>
      <c r="F1986" s="17">
        <f>+VLOOKUP($A1986,MAGAZZINO!$B$2:$M$4838,6,FALSE)</f>
        <v/>
      </c>
      <c r="G1986" s="17">
        <f>+VLOOKUP($A1986,MAGAZZINO!$B$2:$M$4838,7,FALSE)</f>
        <v/>
      </c>
      <c r="H1986" s="17">
        <f>+VLOOKUP($A1986,MAGAZZINO!$B$2:$M$4838,8,FALSE)</f>
        <v/>
      </c>
      <c r="I1986" s="17">
        <f>+VLOOKUP($A1986,MAGAZZINO!$B$2:$M$4838,9,FALSE)</f>
        <v/>
      </c>
      <c r="J1986" s="17">
        <f>+VLOOKUP($A1986,MAGAZZINO!$B$2:$M$4838,10,FALSE)</f>
        <v/>
      </c>
      <c r="K1986" s="17">
        <f>+VLOOKUP($A1986,MAGAZZINO!$B$2:$M$4838,11,FALSE)</f>
        <v/>
      </c>
      <c r="L1986" s="44">
        <f>+VLOOKUP($A1986,MAGAZZINO!$B$2:$M$4838,12,FALSE)</f>
        <v/>
      </c>
    </row>
    <row r="1987" ht="36" customHeight="1">
      <c r="A1987" s="30">
        <f>+REGISTRO!A1970</f>
        <v/>
      </c>
      <c r="B1987" s="31">
        <f>+VLOOKUP($A1987,MAGAZZINO!$B$2:$M$4838,2,FALSE)</f>
        <v/>
      </c>
      <c r="C1987" s="32">
        <f>+VLOOKUP($A1987,MAGAZZINO!$B$2:$M$4838,3,FALSE)</f>
        <v/>
      </c>
      <c r="D1987" s="17">
        <f>+VLOOKUP($A1987,MAGAZZINO!$B$2:$M$4838,4,FALSE)</f>
        <v/>
      </c>
      <c r="E1987" s="17">
        <f>+VLOOKUP($A1987,MAGAZZINO!$B$2:$M$4838,5,FALSE)</f>
        <v/>
      </c>
      <c r="F1987" s="17">
        <f>+VLOOKUP($A1987,MAGAZZINO!$B$2:$M$4838,6,FALSE)</f>
        <v/>
      </c>
      <c r="G1987" s="17">
        <f>+VLOOKUP($A1987,MAGAZZINO!$B$2:$M$4838,7,FALSE)</f>
        <v/>
      </c>
      <c r="H1987" s="17">
        <f>+VLOOKUP($A1987,MAGAZZINO!$B$2:$M$4838,8,FALSE)</f>
        <v/>
      </c>
      <c r="I1987" s="17">
        <f>+VLOOKUP($A1987,MAGAZZINO!$B$2:$M$4838,9,FALSE)</f>
        <v/>
      </c>
      <c r="J1987" s="17">
        <f>+VLOOKUP($A1987,MAGAZZINO!$B$2:$M$4838,10,FALSE)</f>
        <v/>
      </c>
      <c r="K1987" s="17">
        <f>+VLOOKUP($A1987,MAGAZZINO!$B$2:$M$4838,11,FALSE)</f>
        <v/>
      </c>
      <c r="L1987" s="44">
        <f>+VLOOKUP($A1987,MAGAZZINO!$B$2:$M$4838,12,FALSE)</f>
        <v/>
      </c>
    </row>
    <row r="1988" ht="36" customHeight="1">
      <c r="A1988" s="30">
        <f>+REGISTRO!A1971</f>
        <v/>
      </c>
      <c r="B1988" s="31">
        <f>+VLOOKUP($A1988,MAGAZZINO!$B$2:$M$4838,2,FALSE)</f>
        <v/>
      </c>
      <c r="C1988" s="32">
        <f>+VLOOKUP($A1988,MAGAZZINO!$B$2:$M$4838,3,FALSE)</f>
        <v/>
      </c>
      <c r="D1988" s="17">
        <f>+VLOOKUP($A1988,MAGAZZINO!$B$2:$M$4838,4,FALSE)</f>
        <v/>
      </c>
      <c r="E1988" s="17">
        <f>+VLOOKUP($A1988,MAGAZZINO!$B$2:$M$4838,5,FALSE)</f>
        <v/>
      </c>
      <c r="F1988" s="17">
        <f>+VLOOKUP($A1988,MAGAZZINO!$B$2:$M$4838,6,FALSE)</f>
        <v/>
      </c>
      <c r="G1988" s="17">
        <f>+VLOOKUP($A1988,MAGAZZINO!$B$2:$M$4838,7,FALSE)</f>
        <v/>
      </c>
      <c r="H1988" s="17">
        <f>+VLOOKUP($A1988,MAGAZZINO!$B$2:$M$4838,8,FALSE)</f>
        <v/>
      </c>
      <c r="I1988" s="17">
        <f>+VLOOKUP($A1988,MAGAZZINO!$B$2:$M$4838,9,FALSE)</f>
        <v/>
      </c>
      <c r="J1988" s="17">
        <f>+VLOOKUP($A1988,MAGAZZINO!$B$2:$M$4838,10,FALSE)</f>
        <v/>
      </c>
      <c r="K1988" s="17">
        <f>+VLOOKUP($A1988,MAGAZZINO!$B$2:$M$4838,11,FALSE)</f>
        <v/>
      </c>
      <c r="L1988" s="44">
        <f>+VLOOKUP($A1988,MAGAZZINO!$B$2:$M$4838,12,FALSE)</f>
        <v/>
      </c>
    </row>
    <row r="1989" ht="36" customHeight="1">
      <c r="A1989" s="30">
        <f>+REGISTRO!A1972</f>
        <v/>
      </c>
      <c r="B1989" s="31">
        <f>+VLOOKUP($A1989,MAGAZZINO!$B$2:$M$4838,2,FALSE)</f>
        <v/>
      </c>
      <c r="C1989" s="32">
        <f>+VLOOKUP($A1989,MAGAZZINO!$B$2:$M$4838,3,FALSE)</f>
        <v/>
      </c>
      <c r="D1989" s="17">
        <f>+VLOOKUP($A1989,MAGAZZINO!$B$2:$M$4838,4,FALSE)</f>
        <v/>
      </c>
      <c r="E1989" s="17">
        <f>+VLOOKUP($A1989,MAGAZZINO!$B$2:$M$4838,5,FALSE)</f>
        <v/>
      </c>
      <c r="F1989" s="17">
        <f>+VLOOKUP($A1989,MAGAZZINO!$B$2:$M$4838,6,FALSE)</f>
        <v/>
      </c>
      <c r="G1989" s="17">
        <f>+VLOOKUP($A1989,MAGAZZINO!$B$2:$M$4838,7,FALSE)</f>
        <v/>
      </c>
      <c r="H1989" s="17">
        <f>+VLOOKUP($A1989,MAGAZZINO!$B$2:$M$4838,8,FALSE)</f>
        <v/>
      </c>
      <c r="I1989" s="17">
        <f>+VLOOKUP($A1989,MAGAZZINO!$B$2:$M$4838,9,FALSE)</f>
        <v/>
      </c>
      <c r="J1989" s="17">
        <f>+VLOOKUP($A1989,MAGAZZINO!$B$2:$M$4838,10,FALSE)</f>
        <v/>
      </c>
      <c r="K1989" s="17">
        <f>+VLOOKUP($A1989,MAGAZZINO!$B$2:$M$4838,11,FALSE)</f>
        <v/>
      </c>
      <c r="L1989" s="44">
        <f>+VLOOKUP($A1989,MAGAZZINO!$B$2:$M$4838,12,FALSE)</f>
        <v/>
      </c>
    </row>
    <row r="1990" ht="36" customHeight="1">
      <c r="A1990" s="30">
        <f>+REGISTRO!A1973</f>
        <v/>
      </c>
      <c r="B1990" s="31">
        <f>+VLOOKUP($A1990,MAGAZZINO!$B$2:$M$4838,2,FALSE)</f>
        <v/>
      </c>
      <c r="C1990" s="32">
        <f>+VLOOKUP($A1990,MAGAZZINO!$B$2:$M$4838,3,FALSE)</f>
        <v/>
      </c>
      <c r="D1990" s="17">
        <f>+VLOOKUP($A1990,MAGAZZINO!$B$2:$M$4838,4,FALSE)</f>
        <v/>
      </c>
      <c r="E1990" s="17">
        <f>+VLOOKUP($A1990,MAGAZZINO!$B$2:$M$4838,5,FALSE)</f>
        <v/>
      </c>
      <c r="F1990" s="17">
        <f>+VLOOKUP($A1990,MAGAZZINO!$B$2:$M$4838,6,FALSE)</f>
        <v/>
      </c>
      <c r="G1990" s="17">
        <f>+VLOOKUP($A1990,MAGAZZINO!$B$2:$M$4838,7,FALSE)</f>
        <v/>
      </c>
      <c r="H1990" s="17">
        <f>+VLOOKUP($A1990,MAGAZZINO!$B$2:$M$4838,8,FALSE)</f>
        <v/>
      </c>
      <c r="I1990" s="17">
        <f>+VLOOKUP($A1990,MAGAZZINO!$B$2:$M$4838,9,FALSE)</f>
        <v/>
      </c>
      <c r="J1990" s="17">
        <f>+VLOOKUP($A1990,MAGAZZINO!$B$2:$M$4838,10,FALSE)</f>
        <v/>
      </c>
      <c r="K1990" s="17">
        <f>+VLOOKUP($A1990,MAGAZZINO!$B$2:$M$4838,11,FALSE)</f>
        <v/>
      </c>
      <c r="L1990" s="44">
        <f>+VLOOKUP($A1990,MAGAZZINO!$B$2:$M$4838,12,FALSE)</f>
        <v/>
      </c>
    </row>
    <row r="1991" ht="36" customHeight="1">
      <c r="A1991" s="30">
        <f>+REGISTRO!A1974</f>
        <v/>
      </c>
      <c r="B1991" s="31">
        <f>+VLOOKUP($A1991,MAGAZZINO!$B$2:$M$4838,2,FALSE)</f>
        <v/>
      </c>
      <c r="C1991" s="32">
        <f>+VLOOKUP($A1991,MAGAZZINO!$B$2:$M$4838,3,FALSE)</f>
        <v/>
      </c>
      <c r="D1991" s="17">
        <f>+VLOOKUP($A1991,MAGAZZINO!$B$2:$M$4838,4,FALSE)</f>
        <v/>
      </c>
      <c r="E1991" s="17">
        <f>+VLOOKUP($A1991,MAGAZZINO!$B$2:$M$4838,5,FALSE)</f>
        <v/>
      </c>
      <c r="F1991" s="17">
        <f>+VLOOKUP($A1991,MAGAZZINO!$B$2:$M$4838,6,FALSE)</f>
        <v/>
      </c>
      <c r="G1991" s="17">
        <f>+VLOOKUP($A1991,MAGAZZINO!$B$2:$M$4838,7,FALSE)</f>
        <v/>
      </c>
      <c r="H1991" s="17">
        <f>+VLOOKUP($A1991,MAGAZZINO!$B$2:$M$4838,8,FALSE)</f>
        <v/>
      </c>
      <c r="I1991" s="17">
        <f>+VLOOKUP($A1991,MAGAZZINO!$B$2:$M$4838,9,FALSE)</f>
        <v/>
      </c>
      <c r="J1991" s="17">
        <f>+VLOOKUP($A1991,MAGAZZINO!$B$2:$M$4838,10,FALSE)</f>
        <v/>
      </c>
      <c r="K1991" s="17">
        <f>+VLOOKUP($A1991,MAGAZZINO!$B$2:$M$4838,11,FALSE)</f>
        <v/>
      </c>
      <c r="L1991" s="44">
        <f>+VLOOKUP($A1991,MAGAZZINO!$B$2:$M$4838,12,FALSE)</f>
        <v/>
      </c>
    </row>
    <row r="1992" ht="36" customHeight="1">
      <c r="A1992" s="30">
        <f>+REGISTRO!A1975</f>
        <v/>
      </c>
      <c r="B1992" s="31">
        <f>+VLOOKUP($A1992,MAGAZZINO!$B$2:$M$4838,2,FALSE)</f>
        <v/>
      </c>
      <c r="C1992" s="32">
        <f>+VLOOKUP($A1992,MAGAZZINO!$B$2:$M$4838,3,FALSE)</f>
        <v/>
      </c>
      <c r="D1992" s="17">
        <f>+VLOOKUP($A1992,MAGAZZINO!$B$2:$M$4838,4,FALSE)</f>
        <v/>
      </c>
      <c r="E1992" s="17">
        <f>+VLOOKUP($A1992,MAGAZZINO!$B$2:$M$4838,5,FALSE)</f>
        <v/>
      </c>
      <c r="F1992" s="17">
        <f>+VLOOKUP($A1992,MAGAZZINO!$B$2:$M$4838,6,FALSE)</f>
        <v/>
      </c>
      <c r="G1992" s="17">
        <f>+VLOOKUP($A1992,MAGAZZINO!$B$2:$M$4838,7,FALSE)</f>
        <v/>
      </c>
      <c r="H1992" s="17">
        <f>+VLOOKUP($A1992,MAGAZZINO!$B$2:$M$4838,8,FALSE)</f>
        <v/>
      </c>
      <c r="I1992" s="17">
        <f>+VLOOKUP($A1992,MAGAZZINO!$B$2:$M$4838,9,FALSE)</f>
        <v/>
      </c>
      <c r="J1992" s="17">
        <f>+VLOOKUP($A1992,MAGAZZINO!$B$2:$M$4838,10,FALSE)</f>
        <v/>
      </c>
      <c r="K1992" s="17">
        <f>+VLOOKUP($A1992,MAGAZZINO!$B$2:$M$4838,11,FALSE)</f>
        <v/>
      </c>
      <c r="L1992" s="44">
        <f>+VLOOKUP($A1992,MAGAZZINO!$B$2:$M$4838,12,FALSE)</f>
        <v/>
      </c>
    </row>
    <row r="1993" ht="36" customHeight="1">
      <c r="A1993" s="30">
        <f>+REGISTRO!A1976</f>
        <v/>
      </c>
      <c r="B1993" s="31">
        <f>+VLOOKUP($A1993,MAGAZZINO!$B$2:$M$4838,2,FALSE)</f>
        <v/>
      </c>
      <c r="C1993" s="32">
        <f>+VLOOKUP($A1993,MAGAZZINO!$B$2:$M$4838,3,FALSE)</f>
        <v/>
      </c>
      <c r="D1993" s="17">
        <f>+VLOOKUP($A1993,MAGAZZINO!$B$2:$M$4838,4,FALSE)</f>
        <v/>
      </c>
      <c r="E1993" s="17">
        <f>+VLOOKUP($A1993,MAGAZZINO!$B$2:$M$4838,5,FALSE)</f>
        <v/>
      </c>
      <c r="F1993" s="17">
        <f>+VLOOKUP($A1993,MAGAZZINO!$B$2:$M$4838,6,FALSE)</f>
        <v/>
      </c>
      <c r="G1993" s="17">
        <f>+VLOOKUP($A1993,MAGAZZINO!$B$2:$M$4838,7,FALSE)</f>
        <v/>
      </c>
      <c r="H1993" s="17">
        <f>+VLOOKUP($A1993,MAGAZZINO!$B$2:$M$4838,8,FALSE)</f>
        <v/>
      </c>
      <c r="I1993" s="17">
        <f>+VLOOKUP($A1993,MAGAZZINO!$B$2:$M$4838,9,FALSE)</f>
        <v/>
      </c>
      <c r="J1993" s="17">
        <f>+VLOOKUP($A1993,MAGAZZINO!$B$2:$M$4838,10,FALSE)</f>
        <v/>
      </c>
      <c r="K1993" s="17">
        <f>+VLOOKUP($A1993,MAGAZZINO!$B$2:$M$4838,11,FALSE)</f>
        <v/>
      </c>
      <c r="L1993" s="44">
        <f>+VLOOKUP($A1993,MAGAZZINO!$B$2:$M$4838,12,FALSE)</f>
        <v/>
      </c>
    </row>
    <row r="1994" ht="36" customHeight="1">
      <c r="A1994" s="30">
        <f>+REGISTRO!A1977</f>
        <v/>
      </c>
      <c r="B1994" s="31">
        <f>+VLOOKUP($A1994,MAGAZZINO!$B$2:$M$4838,2,FALSE)</f>
        <v/>
      </c>
      <c r="C1994" s="32">
        <f>+VLOOKUP($A1994,MAGAZZINO!$B$2:$M$4838,3,FALSE)</f>
        <v/>
      </c>
      <c r="D1994" s="17">
        <f>+VLOOKUP($A1994,MAGAZZINO!$B$2:$M$4838,4,FALSE)</f>
        <v/>
      </c>
      <c r="E1994" s="17">
        <f>+VLOOKUP($A1994,MAGAZZINO!$B$2:$M$4838,5,FALSE)</f>
        <v/>
      </c>
      <c r="F1994" s="17">
        <f>+VLOOKUP($A1994,MAGAZZINO!$B$2:$M$4838,6,FALSE)</f>
        <v/>
      </c>
      <c r="G1994" s="17">
        <f>+VLOOKUP($A1994,MAGAZZINO!$B$2:$M$4838,7,FALSE)</f>
        <v/>
      </c>
      <c r="H1994" s="17">
        <f>+VLOOKUP($A1994,MAGAZZINO!$B$2:$M$4838,8,FALSE)</f>
        <v/>
      </c>
      <c r="I1994" s="17">
        <f>+VLOOKUP($A1994,MAGAZZINO!$B$2:$M$4838,9,FALSE)</f>
        <v/>
      </c>
      <c r="J1994" s="17">
        <f>+VLOOKUP($A1994,MAGAZZINO!$B$2:$M$4838,10,FALSE)</f>
        <v/>
      </c>
      <c r="K1994" s="17">
        <f>+VLOOKUP($A1994,MAGAZZINO!$B$2:$M$4838,11,FALSE)</f>
        <v/>
      </c>
      <c r="L1994" s="44">
        <f>+VLOOKUP($A1994,MAGAZZINO!$B$2:$M$4838,12,FALSE)</f>
        <v/>
      </c>
    </row>
    <row r="1995" ht="36" customHeight="1">
      <c r="A1995" s="30">
        <f>+REGISTRO!A1978</f>
        <v/>
      </c>
      <c r="B1995" s="31">
        <f>+VLOOKUP($A1995,MAGAZZINO!$B$2:$M$4838,2,FALSE)</f>
        <v/>
      </c>
      <c r="C1995" s="32">
        <f>+VLOOKUP($A1995,MAGAZZINO!$B$2:$M$4838,3,FALSE)</f>
        <v/>
      </c>
      <c r="D1995" s="17">
        <f>+VLOOKUP($A1995,MAGAZZINO!$B$2:$M$4838,4,FALSE)</f>
        <v/>
      </c>
      <c r="E1995" s="17">
        <f>+VLOOKUP($A1995,MAGAZZINO!$B$2:$M$4838,5,FALSE)</f>
        <v/>
      </c>
      <c r="F1995" s="17">
        <f>+VLOOKUP($A1995,MAGAZZINO!$B$2:$M$4838,6,FALSE)</f>
        <v/>
      </c>
      <c r="G1995" s="17">
        <f>+VLOOKUP($A1995,MAGAZZINO!$B$2:$M$4838,7,FALSE)</f>
        <v/>
      </c>
      <c r="H1995" s="17">
        <f>+VLOOKUP($A1995,MAGAZZINO!$B$2:$M$4838,8,FALSE)</f>
        <v/>
      </c>
      <c r="I1995" s="17">
        <f>+VLOOKUP($A1995,MAGAZZINO!$B$2:$M$4838,9,FALSE)</f>
        <v/>
      </c>
      <c r="J1995" s="17">
        <f>+VLOOKUP($A1995,MAGAZZINO!$B$2:$M$4838,10,FALSE)</f>
        <v/>
      </c>
      <c r="K1995" s="17">
        <f>+VLOOKUP($A1995,MAGAZZINO!$B$2:$M$4838,11,FALSE)</f>
        <v/>
      </c>
      <c r="L1995" s="44">
        <f>+VLOOKUP($A1995,MAGAZZINO!$B$2:$M$4838,12,FALSE)</f>
        <v/>
      </c>
    </row>
    <row r="1996" ht="36" customHeight="1">
      <c r="A1996" s="30">
        <f>+REGISTRO!A1979</f>
        <v/>
      </c>
      <c r="B1996" s="31">
        <f>+VLOOKUP($A1996,MAGAZZINO!$B$2:$M$4838,2,FALSE)</f>
        <v/>
      </c>
      <c r="C1996" s="32">
        <f>+VLOOKUP($A1996,MAGAZZINO!$B$2:$M$4838,3,FALSE)</f>
        <v/>
      </c>
      <c r="D1996" s="17">
        <f>+VLOOKUP($A1996,MAGAZZINO!$B$2:$M$4838,4,FALSE)</f>
        <v/>
      </c>
      <c r="E1996" s="17">
        <f>+VLOOKUP($A1996,MAGAZZINO!$B$2:$M$4838,5,FALSE)</f>
        <v/>
      </c>
      <c r="F1996" s="17">
        <f>+VLOOKUP($A1996,MAGAZZINO!$B$2:$M$4838,6,FALSE)</f>
        <v/>
      </c>
      <c r="G1996" s="17">
        <f>+VLOOKUP($A1996,MAGAZZINO!$B$2:$M$4838,7,FALSE)</f>
        <v/>
      </c>
      <c r="H1996" s="17">
        <f>+VLOOKUP($A1996,MAGAZZINO!$B$2:$M$4838,8,FALSE)</f>
        <v/>
      </c>
      <c r="I1996" s="17">
        <f>+VLOOKUP($A1996,MAGAZZINO!$B$2:$M$4838,9,FALSE)</f>
        <v/>
      </c>
      <c r="J1996" s="17">
        <f>+VLOOKUP($A1996,MAGAZZINO!$B$2:$M$4838,10,FALSE)</f>
        <v/>
      </c>
      <c r="K1996" s="17">
        <f>+VLOOKUP($A1996,MAGAZZINO!$B$2:$M$4838,11,FALSE)</f>
        <v/>
      </c>
      <c r="L1996" s="44">
        <f>+VLOOKUP($A1996,MAGAZZINO!$B$2:$M$4838,12,FALSE)</f>
        <v/>
      </c>
    </row>
    <row r="1997" ht="36" customHeight="1">
      <c r="A1997" s="30">
        <f>+REGISTRO!A1980</f>
        <v/>
      </c>
      <c r="B1997" s="31">
        <f>+VLOOKUP($A1997,MAGAZZINO!$B$2:$M$4838,2,FALSE)</f>
        <v/>
      </c>
      <c r="C1997" s="32">
        <f>+VLOOKUP($A1997,MAGAZZINO!$B$2:$M$4838,3,FALSE)</f>
        <v/>
      </c>
      <c r="D1997" s="17">
        <f>+VLOOKUP($A1997,MAGAZZINO!$B$2:$M$4838,4,FALSE)</f>
        <v/>
      </c>
      <c r="E1997" s="17">
        <f>+VLOOKUP($A1997,MAGAZZINO!$B$2:$M$4838,5,FALSE)</f>
        <v/>
      </c>
      <c r="F1997" s="17">
        <f>+VLOOKUP($A1997,MAGAZZINO!$B$2:$M$4838,6,FALSE)</f>
        <v/>
      </c>
      <c r="G1997" s="17">
        <f>+VLOOKUP($A1997,MAGAZZINO!$B$2:$M$4838,7,FALSE)</f>
        <v/>
      </c>
      <c r="H1997" s="17">
        <f>+VLOOKUP($A1997,MAGAZZINO!$B$2:$M$4838,8,FALSE)</f>
        <v/>
      </c>
      <c r="I1997" s="17">
        <f>+VLOOKUP($A1997,MAGAZZINO!$B$2:$M$4838,9,FALSE)</f>
        <v/>
      </c>
      <c r="J1997" s="17">
        <f>+VLOOKUP($A1997,MAGAZZINO!$B$2:$M$4838,10,FALSE)</f>
        <v/>
      </c>
      <c r="K1997" s="17">
        <f>+VLOOKUP($A1997,MAGAZZINO!$B$2:$M$4838,11,FALSE)</f>
        <v/>
      </c>
      <c r="L1997" s="44">
        <f>+VLOOKUP($A1997,MAGAZZINO!$B$2:$M$4838,12,FALSE)</f>
        <v/>
      </c>
    </row>
    <row r="1998" ht="36" customHeight="1">
      <c r="A1998" s="30">
        <f>+REGISTRO!A1981</f>
        <v/>
      </c>
      <c r="B1998" s="31">
        <f>+VLOOKUP($A1998,MAGAZZINO!$B$2:$M$4838,2,FALSE)</f>
        <v/>
      </c>
      <c r="C1998" s="32">
        <f>+VLOOKUP($A1998,MAGAZZINO!$B$2:$M$4838,3,FALSE)</f>
        <v/>
      </c>
      <c r="D1998" s="17">
        <f>+VLOOKUP($A1998,MAGAZZINO!$B$2:$M$4838,4,FALSE)</f>
        <v/>
      </c>
      <c r="E1998" s="17">
        <f>+VLOOKUP($A1998,MAGAZZINO!$B$2:$M$4838,5,FALSE)</f>
        <v/>
      </c>
      <c r="F1998" s="17">
        <f>+VLOOKUP($A1998,MAGAZZINO!$B$2:$M$4838,6,FALSE)</f>
        <v/>
      </c>
      <c r="G1998" s="17">
        <f>+VLOOKUP($A1998,MAGAZZINO!$B$2:$M$4838,7,FALSE)</f>
        <v/>
      </c>
      <c r="H1998" s="17">
        <f>+VLOOKUP($A1998,MAGAZZINO!$B$2:$M$4838,8,FALSE)</f>
        <v/>
      </c>
      <c r="I1998" s="17">
        <f>+VLOOKUP($A1998,MAGAZZINO!$B$2:$M$4838,9,FALSE)</f>
        <v/>
      </c>
      <c r="J1998" s="17">
        <f>+VLOOKUP($A1998,MAGAZZINO!$B$2:$M$4838,10,FALSE)</f>
        <v/>
      </c>
      <c r="K1998" s="17">
        <f>+VLOOKUP($A1998,MAGAZZINO!$B$2:$M$4838,11,FALSE)</f>
        <v/>
      </c>
      <c r="L1998" s="44">
        <f>+VLOOKUP($A1998,MAGAZZINO!$B$2:$M$4838,12,FALSE)</f>
        <v/>
      </c>
    </row>
    <row r="1999" ht="36" customHeight="1">
      <c r="A1999" s="30">
        <f>+REGISTRO!A1982</f>
        <v/>
      </c>
      <c r="B1999" s="31">
        <f>+VLOOKUP($A1999,MAGAZZINO!$B$2:$M$4838,2,FALSE)</f>
        <v/>
      </c>
      <c r="C1999" s="32">
        <f>+VLOOKUP($A1999,MAGAZZINO!$B$2:$M$4838,3,FALSE)</f>
        <v/>
      </c>
      <c r="D1999" s="17">
        <f>+VLOOKUP($A1999,MAGAZZINO!$B$2:$M$4838,4,FALSE)</f>
        <v/>
      </c>
      <c r="E1999" s="17">
        <f>+VLOOKUP($A1999,MAGAZZINO!$B$2:$M$4838,5,FALSE)</f>
        <v/>
      </c>
      <c r="F1999" s="17">
        <f>+VLOOKUP($A1999,MAGAZZINO!$B$2:$M$4838,6,FALSE)</f>
        <v/>
      </c>
      <c r="G1999" s="17">
        <f>+VLOOKUP($A1999,MAGAZZINO!$B$2:$M$4838,7,FALSE)</f>
        <v/>
      </c>
      <c r="H1999" s="17">
        <f>+VLOOKUP($A1999,MAGAZZINO!$B$2:$M$4838,8,FALSE)</f>
        <v/>
      </c>
      <c r="I1999" s="17">
        <f>+VLOOKUP($A1999,MAGAZZINO!$B$2:$M$4838,9,FALSE)</f>
        <v/>
      </c>
      <c r="J1999" s="17">
        <f>+VLOOKUP($A1999,MAGAZZINO!$B$2:$M$4838,10,FALSE)</f>
        <v/>
      </c>
      <c r="K1999" s="17">
        <f>+VLOOKUP($A1999,MAGAZZINO!$B$2:$M$4838,11,FALSE)</f>
        <v/>
      </c>
      <c r="L1999" s="44">
        <f>+VLOOKUP($A1999,MAGAZZINO!$B$2:$M$4838,12,FALSE)</f>
        <v/>
      </c>
    </row>
    <row r="2000" ht="36" customHeight="1">
      <c r="A2000" s="30">
        <f>+REGISTRO!A1983</f>
        <v/>
      </c>
      <c r="B2000" s="31">
        <f>+VLOOKUP($A2000,MAGAZZINO!$B$2:$M$4838,2,FALSE)</f>
        <v/>
      </c>
      <c r="C2000" s="32">
        <f>+VLOOKUP($A2000,MAGAZZINO!$B$2:$M$4838,3,FALSE)</f>
        <v/>
      </c>
      <c r="D2000" s="17">
        <f>+VLOOKUP($A2000,MAGAZZINO!$B$2:$M$4838,4,FALSE)</f>
        <v/>
      </c>
      <c r="E2000" s="17">
        <f>+VLOOKUP($A2000,MAGAZZINO!$B$2:$M$4838,5,FALSE)</f>
        <v/>
      </c>
      <c r="F2000" s="17">
        <f>+VLOOKUP($A2000,MAGAZZINO!$B$2:$M$4838,6,FALSE)</f>
        <v/>
      </c>
      <c r="G2000" s="17">
        <f>+VLOOKUP($A2000,MAGAZZINO!$B$2:$M$4838,7,FALSE)</f>
        <v/>
      </c>
      <c r="H2000" s="17">
        <f>+VLOOKUP($A2000,MAGAZZINO!$B$2:$M$4838,8,FALSE)</f>
        <v/>
      </c>
      <c r="I2000" s="17">
        <f>+VLOOKUP($A2000,MAGAZZINO!$B$2:$M$4838,9,FALSE)</f>
        <v/>
      </c>
      <c r="J2000" s="17">
        <f>+VLOOKUP($A2000,MAGAZZINO!$B$2:$M$4838,10,FALSE)</f>
        <v/>
      </c>
      <c r="K2000" s="17">
        <f>+VLOOKUP($A2000,MAGAZZINO!$B$2:$M$4838,11,FALSE)</f>
        <v/>
      </c>
      <c r="L2000" s="44">
        <f>+VLOOKUP($A2000,MAGAZZINO!$B$2:$M$4838,12,FALSE)</f>
        <v/>
      </c>
    </row>
    <row r="2001" ht="36" customHeight="1">
      <c r="A2001" s="30">
        <f>+REGISTRO!A1984</f>
        <v/>
      </c>
      <c r="B2001" s="31">
        <f>+VLOOKUP($A2001,MAGAZZINO!$B$2:$M$4838,2,FALSE)</f>
        <v/>
      </c>
      <c r="C2001" s="32">
        <f>+VLOOKUP($A2001,MAGAZZINO!$B$2:$M$4838,3,FALSE)</f>
        <v/>
      </c>
      <c r="D2001" s="17">
        <f>+VLOOKUP($A2001,MAGAZZINO!$B$2:$M$4838,4,FALSE)</f>
        <v/>
      </c>
      <c r="E2001" s="17">
        <f>+VLOOKUP($A2001,MAGAZZINO!$B$2:$M$4838,5,FALSE)</f>
        <v/>
      </c>
      <c r="F2001" s="17">
        <f>+VLOOKUP($A2001,MAGAZZINO!$B$2:$M$4838,6,FALSE)</f>
        <v/>
      </c>
      <c r="G2001" s="17">
        <f>+VLOOKUP($A2001,MAGAZZINO!$B$2:$M$4838,7,FALSE)</f>
        <v/>
      </c>
      <c r="H2001" s="17">
        <f>+VLOOKUP($A2001,MAGAZZINO!$B$2:$M$4838,8,FALSE)</f>
        <v/>
      </c>
      <c r="I2001" s="17">
        <f>+VLOOKUP($A2001,MAGAZZINO!$B$2:$M$4838,9,FALSE)</f>
        <v/>
      </c>
      <c r="J2001" s="17">
        <f>+VLOOKUP($A2001,MAGAZZINO!$B$2:$M$4838,10,FALSE)</f>
        <v/>
      </c>
      <c r="K2001" s="17">
        <f>+VLOOKUP($A2001,MAGAZZINO!$B$2:$M$4838,11,FALSE)</f>
        <v/>
      </c>
      <c r="L2001" s="44">
        <f>+VLOOKUP($A2001,MAGAZZINO!$B$2:$M$4838,12,FALSE)</f>
        <v/>
      </c>
    </row>
    <row r="2002" ht="36" customHeight="1">
      <c r="A2002" s="30">
        <f>+REGISTRO!A1985</f>
        <v/>
      </c>
      <c r="B2002" s="31">
        <f>+VLOOKUP($A2002,MAGAZZINO!$B$2:$M$4838,2,FALSE)</f>
        <v/>
      </c>
      <c r="C2002" s="32">
        <f>+VLOOKUP($A2002,MAGAZZINO!$B$2:$M$4838,3,FALSE)</f>
        <v/>
      </c>
      <c r="D2002" s="17">
        <f>+VLOOKUP($A2002,MAGAZZINO!$B$2:$M$4838,4,FALSE)</f>
        <v/>
      </c>
      <c r="E2002" s="17">
        <f>+VLOOKUP($A2002,MAGAZZINO!$B$2:$M$4838,5,FALSE)</f>
        <v/>
      </c>
      <c r="F2002" s="17">
        <f>+VLOOKUP($A2002,MAGAZZINO!$B$2:$M$4838,6,FALSE)</f>
        <v/>
      </c>
      <c r="G2002" s="17">
        <f>+VLOOKUP($A2002,MAGAZZINO!$B$2:$M$4838,7,FALSE)</f>
        <v/>
      </c>
      <c r="H2002" s="17">
        <f>+VLOOKUP($A2002,MAGAZZINO!$B$2:$M$4838,8,FALSE)</f>
        <v/>
      </c>
      <c r="I2002" s="17">
        <f>+VLOOKUP($A2002,MAGAZZINO!$B$2:$M$4838,9,FALSE)</f>
        <v/>
      </c>
      <c r="J2002" s="17">
        <f>+VLOOKUP($A2002,MAGAZZINO!$B$2:$M$4838,10,FALSE)</f>
        <v/>
      </c>
      <c r="K2002" s="17">
        <f>+VLOOKUP($A2002,MAGAZZINO!$B$2:$M$4838,11,FALSE)</f>
        <v/>
      </c>
      <c r="L2002" s="44">
        <f>+VLOOKUP($A2002,MAGAZZINO!$B$2:$M$4838,12,FALSE)</f>
        <v/>
      </c>
    </row>
    <row r="2003" ht="36" customHeight="1">
      <c r="A2003" s="30">
        <f>+REGISTRO!A1986</f>
        <v/>
      </c>
      <c r="B2003" s="31">
        <f>+VLOOKUP($A2003,MAGAZZINO!$B$2:$M$4838,2,FALSE)</f>
        <v/>
      </c>
      <c r="C2003" s="32">
        <f>+VLOOKUP($A2003,MAGAZZINO!$B$2:$M$4838,3,FALSE)</f>
        <v/>
      </c>
      <c r="D2003" s="17">
        <f>+VLOOKUP($A2003,MAGAZZINO!$B$2:$M$4838,4,FALSE)</f>
        <v/>
      </c>
      <c r="E2003" s="17">
        <f>+VLOOKUP($A2003,MAGAZZINO!$B$2:$M$4838,5,FALSE)</f>
        <v/>
      </c>
      <c r="F2003" s="17">
        <f>+VLOOKUP($A2003,MAGAZZINO!$B$2:$M$4838,6,FALSE)</f>
        <v/>
      </c>
      <c r="G2003" s="17">
        <f>+VLOOKUP($A2003,MAGAZZINO!$B$2:$M$4838,7,FALSE)</f>
        <v/>
      </c>
      <c r="H2003" s="17">
        <f>+VLOOKUP($A2003,MAGAZZINO!$B$2:$M$4838,8,FALSE)</f>
        <v/>
      </c>
      <c r="I2003" s="17">
        <f>+VLOOKUP($A2003,MAGAZZINO!$B$2:$M$4838,9,FALSE)</f>
        <v/>
      </c>
      <c r="J2003" s="17">
        <f>+VLOOKUP($A2003,MAGAZZINO!$B$2:$M$4838,10,FALSE)</f>
        <v/>
      </c>
      <c r="K2003" s="17">
        <f>+VLOOKUP($A2003,MAGAZZINO!$B$2:$M$4838,11,FALSE)</f>
        <v/>
      </c>
      <c r="L2003" s="44">
        <f>+VLOOKUP($A2003,MAGAZZINO!$B$2:$M$4838,12,FALSE)</f>
        <v/>
      </c>
    </row>
    <row r="2004" ht="36" customHeight="1">
      <c r="A2004" s="30">
        <f>+REGISTRO!A1987</f>
        <v/>
      </c>
      <c r="B2004" s="31">
        <f>+VLOOKUP($A2004,MAGAZZINO!$B$2:$M$4838,2,FALSE)</f>
        <v/>
      </c>
      <c r="C2004" s="32">
        <f>+VLOOKUP($A2004,MAGAZZINO!$B$2:$M$4838,3,FALSE)</f>
        <v/>
      </c>
      <c r="D2004" s="17">
        <f>+VLOOKUP($A2004,MAGAZZINO!$B$2:$M$4838,4,FALSE)</f>
        <v/>
      </c>
      <c r="E2004" s="17">
        <f>+VLOOKUP($A2004,MAGAZZINO!$B$2:$M$4838,5,FALSE)</f>
        <v/>
      </c>
      <c r="F2004" s="17">
        <f>+VLOOKUP($A2004,MAGAZZINO!$B$2:$M$4838,6,FALSE)</f>
        <v/>
      </c>
      <c r="G2004" s="17">
        <f>+VLOOKUP($A2004,MAGAZZINO!$B$2:$M$4838,7,FALSE)</f>
        <v/>
      </c>
      <c r="H2004" s="17">
        <f>+VLOOKUP($A2004,MAGAZZINO!$B$2:$M$4838,8,FALSE)</f>
        <v/>
      </c>
      <c r="I2004" s="17">
        <f>+VLOOKUP($A2004,MAGAZZINO!$B$2:$M$4838,9,FALSE)</f>
        <v/>
      </c>
      <c r="J2004" s="17">
        <f>+VLOOKUP($A2004,MAGAZZINO!$B$2:$M$4838,10,FALSE)</f>
        <v/>
      </c>
      <c r="K2004" s="17">
        <f>+VLOOKUP($A2004,MAGAZZINO!$B$2:$M$4838,11,FALSE)</f>
        <v/>
      </c>
      <c r="L2004" s="44">
        <f>+VLOOKUP($A2004,MAGAZZINO!$B$2:$M$4838,12,FALSE)</f>
        <v/>
      </c>
    </row>
    <row r="2005" ht="36" customHeight="1">
      <c r="A2005" s="30">
        <f>+REGISTRO!A1988</f>
        <v/>
      </c>
      <c r="B2005" s="31">
        <f>+VLOOKUP($A2005,MAGAZZINO!$B$2:$M$4838,2,FALSE)</f>
        <v/>
      </c>
      <c r="C2005" s="32">
        <f>+VLOOKUP($A2005,MAGAZZINO!$B$2:$M$4838,3,FALSE)</f>
        <v/>
      </c>
      <c r="D2005" s="17">
        <f>+VLOOKUP($A2005,MAGAZZINO!$B$2:$M$4838,4,FALSE)</f>
        <v/>
      </c>
      <c r="E2005" s="17">
        <f>+VLOOKUP($A2005,MAGAZZINO!$B$2:$M$4838,5,FALSE)</f>
        <v/>
      </c>
      <c r="F2005" s="17">
        <f>+VLOOKUP($A2005,MAGAZZINO!$B$2:$M$4838,6,FALSE)</f>
        <v/>
      </c>
      <c r="G2005" s="17">
        <f>+VLOOKUP($A2005,MAGAZZINO!$B$2:$M$4838,7,FALSE)</f>
        <v/>
      </c>
      <c r="H2005" s="17">
        <f>+VLOOKUP($A2005,MAGAZZINO!$B$2:$M$4838,8,FALSE)</f>
        <v/>
      </c>
      <c r="I2005" s="17">
        <f>+VLOOKUP($A2005,MAGAZZINO!$B$2:$M$4838,9,FALSE)</f>
        <v/>
      </c>
      <c r="J2005" s="17">
        <f>+VLOOKUP($A2005,MAGAZZINO!$B$2:$M$4838,10,FALSE)</f>
        <v/>
      </c>
      <c r="K2005" s="17">
        <f>+VLOOKUP($A2005,MAGAZZINO!$B$2:$M$4838,11,FALSE)</f>
        <v/>
      </c>
      <c r="L2005" s="44">
        <f>+VLOOKUP($A2005,MAGAZZINO!$B$2:$M$4838,12,FALSE)</f>
        <v/>
      </c>
    </row>
    <row r="2006" ht="36" customHeight="1">
      <c r="A2006" s="30">
        <f>+REGISTRO!A1989</f>
        <v/>
      </c>
      <c r="B2006" s="31">
        <f>+VLOOKUP($A2006,MAGAZZINO!$B$2:$M$4838,2,FALSE)</f>
        <v/>
      </c>
      <c r="C2006" s="32">
        <f>+VLOOKUP($A2006,MAGAZZINO!$B$2:$M$4838,3,FALSE)</f>
        <v/>
      </c>
      <c r="D2006" s="17">
        <f>+VLOOKUP($A2006,MAGAZZINO!$B$2:$M$4838,4,FALSE)</f>
        <v/>
      </c>
      <c r="E2006" s="17">
        <f>+VLOOKUP($A2006,MAGAZZINO!$B$2:$M$4838,5,FALSE)</f>
        <v/>
      </c>
      <c r="F2006" s="17">
        <f>+VLOOKUP($A2006,MAGAZZINO!$B$2:$M$4838,6,FALSE)</f>
        <v/>
      </c>
      <c r="G2006" s="17">
        <f>+VLOOKUP($A2006,MAGAZZINO!$B$2:$M$4838,7,FALSE)</f>
        <v/>
      </c>
      <c r="H2006" s="17">
        <f>+VLOOKUP($A2006,MAGAZZINO!$B$2:$M$4838,8,FALSE)</f>
        <v/>
      </c>
      <c r="I2006" s="17">
        <f>+VLOOKUP($A2006,MAGAZZINO!$B$2:$M$4838,9,FALSE)</f>
        <v/>
      </c>
      <c r="J2006" s="17">
        <f>+VLOOKUP($A2006,MAGAZZINO!$B$2:$M$4838,10,FALSE)</f>
        <v/>
      </c>
      <c r="K2006" s="17">
        <f>+VLOOKUP($A2006,MAGAZZINO!$B$2:$M$4838,11,FALSE)</f>
        <v/>
      </c>
      <c r="L2006" s="44">
        <f>+VLOOKUP($A2006,MAGAZZINO!$B$2:$M$4838,12,FALSE)</f>
        <v/>
      </c>
    </row>
    <row r="2007" ht="36" customHeight="1">
      <c r="A2007" s="30">
        <f>+REGISTRO!A1990</f>
        <v/>
      </c>
      <c r="B2007" s="31">
        <f>+VLOOKUP($A2007,MAGAZZINO!$B$2:$M$4838,2,FALSE)</f>
        <v/>
      </c>
      <c r="C2007" s="32">
        <f>+VLOOKUP($A2007,MAGAZZINO!$B$2:$M$4838,3,FALSE)</f>
        <v/>
      </c>
      <c r="D2007" s="17">
        <f>+VLOOKUP($A2007,MAGAZZINO!$B$2:$M$4838,4,FALSE)</f>
        <v/>
      </c>
      <c r="E2007" s="17">
        <f>+VLOOKUP($A2007,MAGAZZINO!$B$2:$M$4838,5,FALSE)</f>
        <v/>
      </c>
      <c r="F2007" s="17">
        <f>+VLOOKUP($A2007,MAGAZZINO!$B$2:$M$4838,6,FALSE)</f>
        <v/>
      </c>
      <c r="G2007" s="17">
        <f>+VLOOKUP($A2007,MAGAZZINO!$B$2:$M$4838,7,FALSE)</f>
        <v/>
      </c>
      <c r="H2007" s="17">
        <f>+VLOOKUP($A2007,MAGAZZINO!$B$2:$M$4838,8,FALSE)</f>
        <v/>
      </c>
      <c r="I2007" s="17">
        <f>+VLOOKUP($A2007,MAGAZZINO!$B$2:$M$4838,9,FALSE)</f>
        <v/>
      </c>
      <c r="J2007" s="17">
        <f>+VLOOKUP($A2007,MAGAZZINO!$B$2:$M$4838,10,FALSE)</f>
        <v/>
      </c>
      <c r="K2007" s="17">
        <f>+VLOOKUP($A2007,MAGAZZINO!$B$2:$M$4838,11,FALSE)</f>
        <v/>
      </c>
      <c r="L2007" s="44">
        <f>+VLOOKUP($A2007,MAGAZZINO!$B$2:$M$4838,12,FALSE)</f>
        <v/>
      </c>
    </row>
    <row r="2008" ht="36" customHeight="1">
      <c r="A2008" s="30">
        <f>+REGISTRO!A1991</f>
        <v/>
      </c>
      <c r="B2008" s="31">
        <f>+VLOOKUP($A2008,MAGAZZINO!$B$2:$M$4838,2,FALSE)</f>
        <v/>
      </c>
      <c r="C2008" s="32">
        <f>+VLOOKUP($A2008,MAGAZZINO!$B$2:$M$4838,3,FALSE)</f>
        <v/>
      </c>
      <c r="D2008" s="17">
        <f>+VLOOKUP($A2008,MAGAZZINO!$B$2:$M$4838,4,FALSE)</f>
        <v/>
      </c>
      <c r="E2008" s="17">
        <f>+VLOOKUP($A2008,MAGAZZINO!$B$2:$M$4838,5,FALSE)</f>
        <v/>
      </c>
      <c r="F2008" s="17">
        <f>+VLOOKUP($A2008,MAGAZZINO!$B$2:$M$4838,6,FALSE)</f>
        <v/>
      </c>
      <c r="G2008" s="17">
        <f>+VLOOKUP($A2008,MAGAZZINO!$B$2:$M$4838,7,FALSE)</f>
        <v/>
      </c>
      <c r="H2008" s="17">
        <f>+VLOOKUP($A2008,MAGAZZINO!$B$2:$M$4838,8,FALSE)</f>
        <v/>
      </c>
      <c r="I2008" s="17">
        <f>+VLOOKUP($A2008,MAGAZZINO!$B$2:$M$4838,9,FALSE)</f>
        <v/>
      </c>
      <c r="J2008" s="17">
        <f>+VLOOKUP($A2008,MAGAZZINO!$B$2:$M$4838,10,FALSE)</f>
        <v/>
      </c>
      <c r="K2008" s="17">
        <f>+VLOOKUP($A2008,MAGAZZINO!$B$2:$M$4838,11,FALSE)</f>
        <v/>
      </c>
      <c r="L2008" s="44">
        <f>+VLOOKUP($A2008,MAGAZZINO!$B$2:$M$4838,12,FALSE)</f>
        <v/>
      </c>
    </row>
    <row r="2009" ht="36" customHeight="1">
      <c r="A2009" s="30">
        <f>+REGISTRO!A1992</f>
        <v/>
      </c>
      <c r="B2009" s="31">
        <f>+VLOOKUP($A2009,MAGAZZINO!$B$2:$M$4838,2,FALSE)</f>
        <v/>
      </c>
      <c r="C2009" s="32">
        <f>+VLOOKUP($A2009,MAGAZZINO!$B$2:$M$4838,3,FALSE)</f>
        <v/>
      </c>
      <c r="D2009" s="17">
        <f>+VLOOKUP($A2009,MAGAZZINO!$B$2:$M$4838,4,FALSE)</f>
        <v/>
      </c>
      <c r="E2009" s="17">
        <f>+VLOOKUP($A2009,MAGAZZINO!$B$2:$M$4838,5,FALSE)</f>
        <v/>
      </c>
      <c r="F2009" s="17">
        <f>+VLOOKUP($A2009,MAGAZZINO!$B$2:$M$4838,6,FALSE)</f>
        <v/>
      </c>
      <c r="G2009" s="17">
        <f>+VLOOKUP($A2009,MAGAZZINO!$B$2:$M$4838,7,FALSE)</f>
        <v/>
      </c>
      <c r="H2009" s="17">
        <f>+VLOOKUP($A2009,MAGAZZINO!$B$2:$M$4838,8,FALSE)</f>
        <v/>
      </c>
      <c r="I2009" s="17">
        <f>+VLOOKUP($A2009,MAGAZZINO!$B$2:$M$4838,9,FALSE)</f>
        <v/>
      </c>
      <c r="J2009" s="17">
        <f>+VLOOKUP($A2009,MAGAZZINO!$B$2:$M$4838,10,FALSE)</f>
        <v/>
      </c>
      <c r="K2009" s="17">
        <f>+VLOOKUP($A2009,MAGAZZINO!$B$2:$M$4838,11,FALSE)</f>
        <v/>
      </c>
      <c r="L2009" s="44">
        <f>+VLOOKUP($A2009,MAGAZZINO!$B$2:$M$4838,12,FALSE)</f>
        <v/>
      </c>
    </row>
    <row r="2010" ht="36" customHeight="1">
      <c r="A2010" s="30">
        <f>+REGISTRO!A1993</f>
        <v/>
      </c>
      <c r="B2010" s="31">
        <f>+VLOOKUP($A2010,MAGAZZINO!$B$2:$M$4838,2,FALSE)</f>
        <v/>
      </c>
      <c r="C2010" s="32">
        <f>+VLOOKUP($A2010,MAGAZZINO!$B$2:$M$4838,3,FALSE)</f>
        <v/>
      </c>
      <c r="D2010" s="17">
        <f>+VLOOKUP($A2010,MAGAZZINO!$B$2:$M$4838,4,FALSE)</f>
        <v/>
      </c>
      <c r="E2010" s="17">
        <f>+VLOOKUP($A2010,MAGAZZINO!$B$2:$M$4838,5,FALSE)</f>
        <v/>
      </c>
      <c r="F2010" s="17">
        <f>+VLOOKUP($A2010,MAGAZZINO!$B$2:$M$4838,6,FALSE)</f>
        <v/>
      </c>
      <c r="G2010" s="17">
        <f>+VLOOKUP($A2010,MAGAZZINO!$B$2:$M$4838,7,FALSE)</f>
        <v/>
      </c>
      <c r="H2010" s="17">
        <f>+VLOOKUP($A2010,MAGAZZINO!$B$2:$M$4838,8,FALSE)</f>
        <v/>
      </c>
      <c r="I2010" s="17">
        <f>+VLOOKUP($A2010,MAGAZZINO!$B$2:$M$4838,9,FALSE)</f>
        <v/>
      </c>
      <c r="J2010" s="17">
        <f>+VLOOKUP($A2010,MAGAZZINO!$B$2:$M$4838,10,FALSE)</f>
        <v/>
      </c>
      <c r="K2010" s="17">
        <f>+VLOOKUP($A2010,MAGAZZINO!$B$2:$M$4838,11,FALSE)</f>
        <v/>
      </c>
      <c r="L2010" s="44">
        <f>+VLOOKUP($A2010,MAGAZZINO!$B$2:$M$4838,12,FALSE)</f>
        <v/>
      </c>
    </row>
    <row r="2011" ht="36" customHeight="1">
      <c r="A2011" s="30">
        <f>+REGISTRO!A1994</f>
        <v/>
      </c>
      <c r="B2011" s="31">
        <f>+VLOOKUP($A2011,MAGAZZINO!$B$2:$M$4838,2,FALSE)</f>
        <v/>
      </c>
      <c r="C2011" s="32">
        <f>+VLOOKUP($A2011,MAGAZZINO!$B$2:$M$4838,3,FALSE)</f>
        <v/>
      </c>
      <c r="D2011" s="17">
        <f>+VLOOKUP($A2011,MAGAZZINO!$B$2:$M$4838,4,FALSE)</f>
        <v/>
      </c>
      <c r="E2011" s="17">
        <f>+VLOOKUP($A2011,MAGAZZINO!$B$2:$M$4838,5,FALSE)</f>
        <v/>
      </c>
      <c r="F2011" s="17">
        <f>+VLOOKUP($A2011,MAGAZZINO!$B$2:$M$4838,6,FALSE)</f>
        <v/>
      </c>
      <c r="G2011" s="17">
        <f>+VLOOKUP($A2011,MAGAZZINO!$B$2:$M$4838,7,FALSE)</f>
        <v/>
      </c>
      <c r="H2011" s="17">
        <f>+VLOOKUP($A2011,MAGAZZINO!$B$2:$M$4838,8,FALSE)</f>
        <v/>
      </c>
      <c r="I2011" s="17">
        <f>+VLOOKUP($A2011,MAGAZZINO!$B$2:$M$4838,9,FALSE)</f>
        <v/>
      </c>
      <c r="J2011" s="17">
        <f>+VLOOKUP($A2011,MAGAZZINO!$B$2:$M$4838,10,FALSE)</f>
        <v/>
      </c>
      <c r="K2011" s="17">
        <f>+VLOOKUP($A2011,MAGAZZINO!$B$2:$M$4838,11,FALSE)</f>
        <v/>
      </c>
      <c r="L2011" s="44">
        <f>+VLOOKUP($A2011,MAGAZZINO!$B$2:$M$4838,12,FALSE)</f>
        <v/>
      </c>
    </row>
    <row r="2012" ht="36" customHeight="1">
      <c r="A2012" s="30">
        <f>+REGISTRO!A1995</f>
        <v/>
      </c>
      <c r="B2012" s="31">
        <f>+VLOOKUP($A2012,MAGAZZINO!$B$2:$M$4838,2,FALSE)</f>
        <v/>
      </c>
      <c r="C2012" s="32">
        <f>+VLOOKUP($A2012,MAGAZZINO!$B$2:$M$4838,3,FALSE)</f>
        <v/>
      </c>
      <c r="D2012" s="17">
        <f>+VLOOKUP($A2012,MAGAZZINO!$B$2:$M$4838,4,FALSE)</f>
        <v/>
      </c>
      <c r="E2012" s="17">
        <f>+VLOOKUP($A2012,MAGAZZINO!$B$2:$M$4838,5,FALSE)</f>
        <v/>
      </c>
      <c r="F2012" s="17">
        <f>+VLOOKUP($A2012,MAGAZZINO!$B$2:$M$4838,6,FALSE)</f>
        <v/>
      </c>
      <c r="G2012" s="17">
        <f>+VLOOKUP($A2012,MAGAZZINO!$B$2:$M$4838,7,FALSE)</f>
        <v/>
      </c>
      <c r="H2012" s="17">
        <f>+VLOOKUP($A2012,MAGAZZINO!$B$2:$M$4838,8,FALSE)</f>
        <v/>
      </c>
      <c r="I2012" s="17">
        <f>+VLOOKUP($A2012,MAGAZZINO!$B$2:$M$4838,9,FALSE)</f>
        <v/>
      </c>
      <c r="J2012" s="17">
        <f>+VLOOKUP($A2012,MAGAZZINO!$B$2:$M$4838,10,FALSE)</f>
        <v/>
      </c>
      <c r="K2012" s="17">
        <f>+VLOOKUP($A2012,MAGAZZINO!$B$2:$M$4838,11,FALSE)</f>
        <v/>
      </c>
      <c r="L2012" s="44">
        <f>+VLOOKUP($A2012,MAGAZZINO!$B$2:$M$4838,12,FALSE)</f>
        <v/>
      </c>
    </row>
    <row r="2013" ht="36" customHeight="1">
      <c r="A2013" s="30">
        <f>+REGISTRO!A1996</f>
        <v/>
      </c>
      <c r="B2013" s="31">
        <f>+VLOOKUP($A2013,MAGAZZINO!$B$2:$M$4838,2,FALSE)</f>
        <v/>
      </c>
      <c r="C2013" s="32">
        <f>+VLOOKUP($A2013,MAGAZZINO!$B$2:$M$4838,3,FALSE)</f>
        <v/>
      </c>
      <c r="D2013" s="17">
        <f>+VLOOKUP($A2013,MAGAZZINO!$B$2:$M$4838,4,FALSE)</f>
        <v/>
      </c>
      <c r="E2013" s="17">
        <f>+VLOOKUP($A2013,MAGAZZINO!$B$2:$M$4838,5,FALSE)</f>
        <v/>
      </c>
      <c r="F2013" s="17">
        <f>+VLOOKUP($A2013,MAGAZZINO!$B$2:$M$4838,6,FALSE)</f>
        <v/>
      </c>
      <c r="G2013" s="17">
        <f>+VLOOKUP($A2013,MAGAZZINO!$B$2:$M$4838,7,FALSE)</f>
        <v/>
      </c>
      <c r="H2013" s="17">
        <f>+VLOOKUP($A2013,MAGAZZINO!$B$2:$M$4838,8,FALSE)</f>
        <v/>
      </c>
      <c r="I2013" s="17">
        <f>+VLOOKUP($A2013,MAGAZZINO!$B$2:$M$4838,9,FALSE)</f>
        <v/>
      </c>
      <c r="J2013" s="17">
        <f>+VLOOKUP($A2013,MAGAZZINO!$B$2:$M$4838,10,FALSE)</f>
        <v/>
      </c>
      <c r="K2013" s="17">
        <f>+VLOOKUP($A2013,MAGAZZINO!$B$2:$M$4838,11,FALSE)</f>
        <v/>
      </c>
      <c r="L2013" s="44">
        <f>+VLOOKUP($A2013,MAGAZZINO!$B$2:$M$4838,12,FALSE)</f>
        <v/>
      </c>
    </row>
    <row r="2014" ht="36" customHeight="1">
      <c r="A2014" s="30">
        <f>+REGISTRO!A1997</f>
        <v/>
      </c>
      <c r="B2014" s="31">
        <f>+VLOOKUP($A2014,MAGAZZINO!$B$2:$M$4838,2,FALSE)</f>
        <v/>
      </c>
      <c r="C2014" s="32">
        <f>+VLOOKUP($A2014,MAGAZZINO!$B$2:$M$4838,3,FALSE)</f>
        <v/>
      </c>
      <c r="D2014" s="17">
        <f>+VLOOKUP($A2014,MAGAZZINO!$B$2:$M$4838,4,FALSE)</f>
        <v/>
      </c>
      <c r="E2014" s="17">
        <f>+VLOOKUP($A2014,MAGAZZINO!$B$2:$M$4838,5,FALSE)</f>
        <v/>
      </c>
      <c r="F2014" s="17">
        <f>+VLOOKUP($A2014,MAGAZZINO!$B$2:$M$4838,6,FALSE)</f>
        <v/>
      </c>
      <c r="G2014" s="17">
        <f>+VLOOKUP($A2014,MAGAZZINO!$B$2:$M$4838,7,FALSE)</f>
        <v/>
      </c>
      <c r="H2014" s="17">
        <f>+VLOOKUP($A2014,MAGAZZINO!$B$2:$M$4838,8,FALSE)</f>
        <v/>
      </c>
      <c r="I2014" s="17">
        <f>+VLOOKUP($A2014,MAGAZZINO!$B$2:$M$4838,9,FALSE)</f>
        <v/>
      </c>
      <c r="J2014" s="17">
        <f>+VLOOKUP($A2014,MAGAZZINO!$B$2:$M$4838,10,FALSE)</f>
        <v/>
      </c>
      <c r="K2014" s="17">
        <f>+VLOOKUP($A2014,MAGAZZINO!$B$2:$M$4838,11,FALSE)</f>
        <v/>
      </c>
      <c r="L2014" s="44">
        <f>+VLOOKUP($A2014,MAGAZZINO!$B$2:$M$4838,12,FALSE)</f>
        <v/>
      </c>
    </row>
    <row r="2015" ht="36" customHeight="1">
      <c r="A2015" s="30">
        <f>+REGISTRO!A1998</f>
        <v/>
      </c>
      <c r="B2015" s="31">
        <f>+VLOOKUP($A2015,MAGAZZINO!$B$2:$M$4838,2,FALSE)</f>
        <v/>
      </c>
      <c r="C2015" s="32">
        <f>+VLOOKUP($A2015,MAGAZZINO!$B$2:$M$4838,3,FALSE)</f>
        <v/>
      </c>
      <c r="D2015" s="17">
        <f>+VLOOKUP($A2015,MAGAZZINO!$B$2:$M$4838,4,FALSE)</f>
        <v/>
      </c>
      <c r="E2015" s="17">
        <f>+VLOOKUP($A2015,MAGAZZINO!$B$2:$M$4838,5,FALSE)</f>
        <v/>
      </c>
      <c r="F2015" s="17">
        <f>+VLOOKUP($A2015,MAGAZZINO!$B$2:$M$4838,6,FALSE)</f>
        <v/>
      </c>
      <c r="G2015" s="17">
        <f>+VLOOKUP($A2015,MAGAZZINO!$B$2:$M$4838,7,FALSE)</f>
        <v/>
      </c>
      <c r="H2015" s="17">
        <f>+VLOOKUP($A2015,MAGAZZINO!$B$2:$M$4838,8,FALSE)</f>
        <v/>
      </c>
      <c r="I2015" s="17">
        <f>+VLOOKUP($A2015,MAGAZZINO!$B$2:$M$4838,9,FALSE)</f>
        <v/>
      </c>
      <c r="J2015" s="17">
        <f>+VLOOKUP($A2015,MAGAZZINO!$B$2:$M$4838,10,FALSE)</f>
        <v/>
      </c>
      <c r="K2015" s="17">
        <f>+VLOOKUP($A2015,MAGAZZINO!$B$2:$M$4838,11,FALSE)</f>
        <v/>
      </c>
      <c r="L2015" s="44">
        <f>+VLOOKUP($A2015,MAGAZZINO!$B$2:$M$4838,12,FALSE)</f>
        <v/>
      </c>
    </row>
    <row r="2016" ht="36" customHeight="1">
      <c r="A2016" s="30">
        <f>+REGISTRO!A1999</f>
        <v/>
      </c>
      <c r="B2016" s="31">
        <f>+VLOOKUP($A2016,MAGAZZINO!$B$2:$M$4838,2,FALSE)</f>
        <v/>
      </c>
      <c r="C2016" s="32">
        <f>+VLOOKUP($A2016,MAGAZZINO!$B$2:$M$4838,3,FALSE)</f>
        <v/>
      </c>
      <c r="D2016" s="17">
        <f>+VLOOKUP($A2016,MAGAZZINO!$B$2:$M$4838,4,FALSE)</f>
        <v/>
      </c>
      <c r="E2016" s="17">
        <f>+VLOOKUP($A2016,MAGAZZINO!$B$2:$M$4838,5,FALSE)</f>
        <v/>
      </c>
      <c r="F2016" s="17">
        <f>+VLOOKUP($A2016,MAGAZZINO!$B$2:$M$4838,6,FALSE)</f>
        <v/>
      </c>
      <c r="G2016" s="17">
        <f>+VLOOKUP($A2016,MAGAZZINO!$B$2:$M$4838,7,FALSE)</f>
        <v/>
      </c>
      <c r="H2016" s="17">
        <f>+VLOOKUP($A2016,MAGAZZINO!$B$2:$M$4838,8,FALSE)</f>
        <v/>
      </c>
      <c r="I2016" s="17">
        <f>+VLOOKUP($A2016,MAGAZZINO!$B$2:$M$4838,9,FALSE)</f>
        <v/>
      </c>
      <c r="J2016" s="17">
        <f>+VLOOKUP($A2016,MAGAZZINO!$B$2:$M$4838,10,FALSE)</f>
        <v/>
      </c>
      <c r="K2016" s="17">
        <f>+VLOOKUP($A2016,MAGAZZINO!$B$2:$M$4838,11,FALSE)</f>
        <v/>
      </c>
      <c r="L2016" s="44">
        <f>+VLOOKUP($A2016,MAGAZZINO!$B$2:$M$4838,12,FALSE)</f>
        <v/>
      </c>
    </row>
    <row r="2017" ht="36" customHeight="1">
      <c r="A2017" s="30">
        <f>+REGISTRO!A2000</f>
        <v/>
      </c>
      <c r="B2017" s="31">
        <f>+VLOOKUP($A2017,MAGAZZINO!$B$2:$M$4838,2,FALSE)</f>
        <v/>
      </c>
      <c r="C2017" s="32">
        <f>+VLOOKUP($A2017,MAGAZZINO!$B$2:$M$4838,3,FALSE)</f>
        <v/>
      </c>
      <c r="D2017" s="17">
        <f>+VLOOKUP($A2017,MAGAZZINO!$B$2:$M$4838,4,FALSE)</f>
        <v/>
      </c>
      <c r="E2017" s="17">
        <f>+VLOOKUP($A2017,MAGAZZINO!$B$2:$M$4838,5,FALSE)</f>
        <v/>
      </c>
      <c r="F2017" s="17">
        <f>+VLOOKUP($A2017,MAGAZZINO!$B$2:$M$4838,6,FALSE)</f>
        <v/>
      </c>
      <c r="G2017" s="17">
        <f>+VLOOKUP($A2017,MAGAZZINO!$B$2:$M$4838,7,FALSE)</f>
        <v/>
      </c>
      <c r="H2017" s="17">
        <f>+VLOOKUP($A2017,MAGAZZINO!$B$2:$M$4838,8,FALSE)</f>
        <v/>
      </c>
      <c r="I2017" s="17">
        <f>+VLOOKUP($A2017,MAGAZZINO!$B$2:$M$4838,9,FALSE)</f>
        <v/>
      </c>
      <c r="J2017" s="17">
        <f>+VLOOKUP($A2017,MAGAZZINO!$B$2:$M$4838,10,FALSE)</f>
        <v/>
      </c>
      <c r="K2017" s="17">
        <f>+VLOOKUP($A2017,MAGAZZINO!$B$2:$M$4838,11,FALSE)</f>
        <v/>
      </c>
      <c r="L2017" s="44">
        <f>+VLOOKUP($A2017,MAGAZZINO!$B$2:$M$4838,12,FALSE)</f>
        <v/>
      </c>
    </row>
    <row r="2018" ht="36" customHeight="1">
      <c r="A2018" s="30">
        <f>+REGISTRO!A2001</f>
        <v/>
      </c>
      <c r="B2018" s="31">
        <f>+VLOOKUP($A2018,MAGAZZINO!$B$2:$M$4838,2,FALSE)</f>
        <v/>
      </c>
      <c r="C2018" s="32">
        <f>+VLOOKUP($A2018,MAGAZZINO!$B$2:$M$4838,3,FALSE)</f>
        <v/>
      </c>
      <c r="D2018" s="17">
        <f>+VLOOKUP($A2018,MAGAZZINO!$B$2:$M$4838,4,FALSE)</f>
        <v/>
      </c>
      <c r="E2018" s="17">
        <f>+VLOOKUP($A2018,MAGAZZINO!$B$2:$M$4838,5,FALSE)</f>
        <v/>
      </c>
      <c r="F2018" s="17">
        <f>+VLOOKUP($A2018,MAGAZZINO!$B$2:$M$4838,6,FALSE)</f>
        <v/>
      </c>
      <c r="G2018" s="17">
        <f>+VLOOKUP($A2018,MAGAZZINO!$B$2:$M$4838,7,FALSE)</f>
        <v/>
      </c>
      <c r="H2018" s="17">
        <f>+VLOOKUP($A2018,MAGAZZINO!$B$2:$M$4838,8,FALSE)</f>
        <v/>
      </c>
      <c r="I2018" s="17">
        <f>+VLOOKUP($A2018,MAGAZZINO!$B$2:$M$4838,9,FALSE)</f>
        <v/>
      </c>
      <c r="J2018" s="17">
        <f>+VLOOKUP($A2018,MAGAZZINO!$B$2:$M$4838,10,FALSE)</f>
        <v/>
      </c>
      <c r="K2018" s="17">
        <f>+VLOOKUP($A2018,MAGAZZINO!$B$2:$M$4838,11,FALSE)</f>
        <v/>
      </c>
      <c r="L2018" s="44">
        <f>+VLOOKUP($A2018,MAGAZZINO!$B$2:$M$4838,12,FALSE)</f>
        <v/>
      </c>
    </row>
    <row r="2019" ht="36" customHeight="1">
      <c r="A2019" s="30">
        <f>+REGISTRO!A2002</f>
        <v/>
      </c>
      <c r="B2019" s="31">
        <f>+VLOOKUP($A2019,MAGAZZINO!$B$2:$M$4838,2,FALSE)</f>
        <v/>
      </c>
      <c r="C2019" s="32">
        <f>+VLOOKUP($A2019,MAGAZZINO!$B$2:$M$4838,3,FALSE)</f>
        <v/>
      </c>
      <c r="D2019" s="17">
        <f>+VLOOKUP($A2019,MAGAZZINO!$B$2:$M$4838,4,FALSE)</f>
        <v/>
      </c>
      <c r="E2019" s="17">
        <f>+VLOOKUP($A2019,MAGAZZINO!$B$2:$M$4838,5,FALSE)</f>
        <v/>
      </c>
      <c r="F2019" s="17">
        <f>+VLOOKUP($A2019,MAGAZZINO!$B$2:$M$4838,6,FALSE)</f>
        <v/>
      </c>
      <c r="G2019" s="17">
        <f>+VLOOKUP($A2019,MAGAZZINO!$B$2:$M$4838,7,FALSE)</f>
        <v/>
      </c>
      <c r="H2019" s="17">
        <f>+VLOOKUP($A2019,MAGAZZINO!$B$2:$M$4838,8,FALSE)</f>
        <v/>
      </c>
      <c r="I2019" s="17">
        <f>+VLOOKUP($A2019,MAGAZZINO!$B$2:$M$4838,9,FALSE)</f>
        <v/>
      </c>
      <c r="J2019" s="17">
        <f>+VLOOKUP($A2019,MAGAZZINO!$B$2:$M$4838,10,FALSE)</f>
        <v/>
      </c>
      <c r="K2019" s="17">
        <f>+VLOOKUP($A2019,MAGAZZINO!$B$2:$M$4838,11,FALSE)</f>
        <v/>
      </c>
      <c r="L2019" s="44">
        <f>+VLOOKUP($A2019,MAGAZZINO!$B$2:$M$4838,12,FALSE)</f>
        <v/>
      </c>
    </row>
    <row r="2020" ht="36" customHeight="1">
      <c r="A2020" s="30">
        <f>+REGISTRO!A2003</f>
        <v/>
      </c>
      <c r="B2020" s="31">
        <f>+VLOOKUP($A2020,MAGAZZINO!$B$2:$M$4838,2,FALSE)</f>
        <v/>
      </c>
      <c r="C2020" s="32">
        <f>+VLOOKUP($A2020,MAGAZZINO!$B$2:$M$4838,3,FALSE)</f>
        <v/>
      </c>
      <c r="D2020" s="17">
        <f>+VLOOKUP($A2020,MAGAZZINO!$B$2:$M$4838,4,FALSE)</f>
        <v/>
      </c>
      <c r="E2020" s="17">
        <f>+VLOOKUP($A2020,MAGAZZINO!$B$2:$M$4838,5,FALSE)</f>
        <v/>
      </c>
      <c r="F2020" s="17">
        <f>+VLOOKUP($A2020,MAGAZZINO!$B$2:$M$4838,6,FALSE)</f>
        <v/>
      </c>
      <c r="G2020" s="17">
        <f>+VLOOKUP($A2020,MAGAZZINO!$B$2:$M$4838,7,FALSE)</f>
        <v/>
      </c>
      <c r="H2020" s="17">
        <f>+VLOOKUP($A2020,MAGAZZINO!$B$2:$M$4838,8,FALSE)</f>
        <v/>
      </c>
      <c r="I2020" s="17">
        <f>+VLOOKUP($A2020,MAGAZZINO!$B$2:$M$4838,9,FALSE)</f>
        <v/>
      </c>
      <c r="J2020" s="17">
        <f>+VLOOKUP($A2020,MAGAZZINO!$B$2:$M$4838,10,FALSE)</f>
        <v/>
      </c>
      <c r="K2020" s="17">
        <f>+VLOOKUP($A2020,MAGAZZINO!$B$2:$M$4838,11,FALSE)</f>
        <v/>
      </c>
      <c r="L2020" s="44">
        <f>+VLOOKUP($A2020,MAGAZZINO!$B$2:$M$4838,12,FALSE)</f>
        <v/>
      </c>
    </row>
    <row r="2021" ht="36" customHeight="1">
      <c r="A2021" s="30">
        <f>+REGISTRO!A2004</f>
        <v/>
      </c>
      <c r="B2021" s="31">
        <f>+VLOOKUP($A2021,MAGAZZINO!$B$2:$M$4838,2,FALSE)</f>
        <v/>
      </c>
      <c r="C2021" s="32">
        <f>+VLOOKUP($A2021,MAGAZZINO!$B$2:$M$4838,3,FALSE)</f>
        <v/>
      </c>
      <c r="D2021" s="17">
        <f>+VLOOKUP($A2021,MAGAZZINO!$B$2:$M$4838,4,FALSE)</f>
        <v/>
      </c>
      <c r="E2021" s="17">
        <f>+VLOOKUP($A2021,MAGAZZINO!$B$2:$M$4838,5,FALSE)</f>
        <v/>
      </c>
      <c r="F2021" s="17">
        <f>+VLOOKUP($A2021,MAGAZZINO!$B$2:$M$4838,6,FALSE)</f>
        <v/>
      </c>
      <c r="G2021" s="17">
        <f>+VLOOKUP($A2021,MAGAZZINO!$B$2:$M$4838,7,FALSE)</f>
        <v/>
      </c>
      <c r="H2021" s="17">
        <f>+VLOOKUP($A2021,MAGAZZINO!$B$2:$M$4838,8,FALSE)</f>
        <v/>
      </c>
      <c r="I2021" s="17">
        <f>+VLOOKUP($A2021,MAGAZZINO!$B$2:$M$4838,9,FALSE)</f>
        <v/>
      </c>
      <c r="J2021" s="17">
        <f>+VLOOKUP($A2021,MAGAZZINO!$B$2:$M$4838,10,FALSE)</f>
        <v/>
      </c>
      <c r="K2021" s="17">
        <f>+VLOOKUP($A2021,MAGAZZINO!$B$2:$M$4838,11,FALSE)</f>
        <v/>
      </c>
      <c r="L2021" s="44">
        <f>+VLOOKUP($A2021,MAGAZZINO!$B$2:$M$4838,12,FALSE)</f>
        <v/>
      </c>
    </row>
    <row r="2022" ht="36" customHeight="1">
      <c r="A2022" s="30">
        <f>+REGISTRO!A2005</f>
        <v/>
      </c>
      <c r="B2022" s="31">
        <f>+VLOOKUP($A2022,MAGAZZINO!$B$2:$M$4838,2,FALSE)</f>
        <v/>
      </c>
      <c r="C2022" s="32">
        <f>+VLOOKUP($A2022,MAGAZZINO!$B$2:$M$4838,3,FALSE)</f>
        <v/>
      </c>
      <c r="D2022" s="17">
        <f>+VLOOKUP($A2022,MAGAZZINO!$B$2:$M$4838,4,FALSE)</f>
        <v/>
      </c>
      <c r="E2022" s="17">
        <f>+VLOOKUP($A2022,MAGAZZINO!$B$2:$M$4838,5,FALSE)</f>
        <v/>
      </c>
      <c r="F2022" s="17">
        <f>+VLOOKUP($A2022,MAGAZZINO!$B$2:$M$4838,6,FALSE)</f>
        <v/>
      </c>
      <c r="G2022" s="17">
        <f>+VLOOKUP($A2022,MAGAZZINO!$B$2:$M$4838,7,FALSE)</f>
        <v/>
      </c>
      <c r="H2022" s="17">
        <f>+VLOOKUP($A2022,MAGAZZINO!$B$2:$M$4838,8,FALSE)</f>
        <v/>
      </c>
      <c r="I2022" s="17">
        <f>+VLOOKUP($A2022,MAGAZZINO!$B$2:$M$4838,9,FALSE)</f>
        <v/>
      </c>
      <c r="J2022" s="17">
        <f>+VLOOKUP($A2022,MAGAZZINO!$B$2:$M$4838,10,FALSE)</f>
        <v/>
      </c>
      <c r="K2022" s="17">
        <f>+VLOOKUP($A2022,MAGAZZINO!$B$2:$M$4838,11,FALSE)</f>
        <v/>
      </c>
      <c r="L2022" s="44">
        <f>+VLOOKUP($A2022,MAGAZZINO!$B$2:$M$4838,12,FALSE)</f>
        <v/>
      </c>
    </row>
    <row r="2023" ht="36" customHeight="1">
      <c r="A2023" s="30">
        <f>+REGISTRO!A2006</f>
        <v/>
      </c>
      <c r="B2023" s="31">
        <f>+VLOOKUP($A2023,MAGAZZINO!$B$2:$M$4838,2,FALSE)</f>
        <v/>
      </c>
      <c r="C2023" s="32">
        <f>+VLOOKUP($A2023,MAGAZZINO!$B$2:$M$4838,3,FALSE)</f>
        <v/>
      </c>
      <c r="D2023" s="17">
        <f>+VLOOKUP($A2023,MAGAZZINO!$B$2:$M$4838,4,FALSE)</f>
        <v/>
      </c>
      <c r="E2023" s="17">
        <f>+VLOOKUP($A2023,MAGAZZINO!$B$2:$M$4838,5,FALSE)</f>
        <v/>
      </c>
      <c r="F2023" s="17">
        <f>+VLOOKUP($A2023,MAGAZZINO!$B$2:$M$4838,6,FALSE)</f>
        <v/>
      </c>
      <c r="G2023" s="17">
        <f>+VLOOKUP($A2023,MAGAZZINO!$B$2:$M$4838,7,FALSE)</f>
        <v/>
      </c>
      <c r="H2023" s="17">
        <f>+VLOOKUP($A2023,MAGAZZINO!$B$2:$M$4838,8,FALSE)</f>
        <v/>
      </c>
      <c r="I2023" s="17">
        <f>+VLOOKUP($A2023,MAGAZZINO!$B$2:$M$4838,9,FALSE)</f>
        <v/>
      </c>
      <c r="J2023" s="17">
        <f>+VLOOKUP($A2023,MAGAZZINO!$B$2:$M$4838,10,FALSE)</f>
        <v/>
      </c>
      <c r="K2023" s="17">
        <f>+VLOOKUP($A2023,MAGAZZINO!$B$2:$M$4838,11,FALSE)</f>
        <v/>
      </c>
      <c r="L2023" s="44">
        <f>+VLOOKUP($A2023,MAGAZZINO!$B$2:$M$4838,12,FALSE)</f>
        <v/>
      </c>
    </row>
    <row r="2024" ht="36" customHeight="1">
      <c r="A2024" s="30">
        <f>+REGISTRO!A2007</f>
        <v/>
      </c>
      <c r="B2024" s="31">
        <f>+VLOOKUP($A2024,MAGAZZINO!$B$2:$M$4838,2,FALSE)</f>
        <v/>
      </c>
      <c r="C2024" s="32">
        <f>+VLOOKUP($A2024,MAGAZZINO!$B$2:$M$4838,3,FALSE)</f>
        <v/>
      </c>
      <c r="D2024" s="17">
        <f>+VLOOKUP($A2024,MAGAZZINO!$B$2:$M$4838,4,FALSE)</f>
        <v/>
      </c>
      <c r="E2024" s="17">
        <f>+VLOOKUP($A2024,MAGAZZINO!$B$2:$M$4838,5,FALSE)</f>
        <v/>
      </c>
      <c r="F2024" s="17">
        <f>+VLOOKUP($A2024,MAGAZZINO!$B$2:$M$4838,6,FALSE)</f>
        <v/>
      </c>
      <c r="G2024" s="17">
        <f>+VLOOKUP($A2024,MAGAZZINO!$B$2:$M$4838,7,FALSE)</f>
        <v/>
      </c>
      <c r="H2024" s="17">
        <f>+VLOOKUP($A2024,MAGAZZINO!$B$2:$M$4838,8,FALSE)</f>
        <v/>
      </c>
      <c r="I2024" s="17">
        <f>+VLOOKUP($A2024,MAGAZZINO!$B$2:$M$4838,9,FALSE)</f>
        <v/>
      </c>
      <c r="J2024" s="17">
        <f>+VLOOKUP($A2024,MAGAZZINO!$B$2:$M$4838,10,FALSE)</f>
        <v/>
      </c>
      <c r="K2024" s="17">
        <f>+VLOOKUP($A2024,MAGAZZINO!$B$2:$M$4838,11,FALSE)</f>
        <v/>
      </c>
      <c r="L2024" s="44">
        <f>+VLOOKUP($A2024,MAGAZZINO!$B$2:$M$4838,12,FALSE)</f>
        <v/>
      </c>
    </row>
    <row r="2025" ht="36" customHeight="1">
      <c r="A2025" s="30">
        <f>+REGISTRO!A2008</f>
        <v/>
      </c>
      <c r="B2025" s="31">
        <f>+VLOOKUP($A2025,MAGAZZINO!$B$2:$M$4838,2,FALSE)</f>
        <v/>
      </c>
      <c r="C2025" s="32">
        <f>+VLOOKUP($A2025,MAGAZZINO!$B$2:$M$4838,3,FALSE)</f>
        <v/>
      </c>
      <c r="D2025" s="17">
        <f>+VLOOKUP($A2025,MAGAZZINO!$B$2:$M$4838,4,FALSE)</f>
        <v/>
      </c>
      <c r="E2025" s="17">
        <f>+VLOOKUP($A2025,MAGAZZINO!$B$2:$M$4838,5,FALSE)</f>
        <v/>
      </c>
      <c r="F2025" s="17">
        <f>+VLOOKUP($A2025,MAGAZZINO!$B$2:$M$4838,6,FALSE)</f>
        <v/>
      </c>
      <c r="G2025" s="17">
        <f>+VLOOKUP($A2025,MAGAZZINO!$B$2:$M$4838,7,FALSE)</f>
        <v/>
      </c>
      <c r="H2025" s="17">
        <f>+VLOOKUP($A2025,MAGAZZINO!$B$2:$M$4838,8,FALSE)</f>
        <v/>
      </c>
      <c r="I2025" s="17">
        <f>+VLOOKUP($A2025,MAGAZZINO!$B$2:$M$4838,9,FALSE)</f>
        <v/>
      </c>
      <c r="J2025" s="17">
        <f>+VLOOKUP($A2025,MAGAZZINO!$B$2:$M$4838,10,FALSE)</f>
        <v/>
      </c>
      <c r="K2025" s="17">
        <f>+VLOOKUP($A2025,MAGAZZINO!$B$2:$M$4838,11,FALSE)</f>
        <v/>
      </c>
      <c r="L2025" s="44">
        <f>+VLOOKUP($A2025,MAGAZZINO!$B$2:$M$4838,12,FALSE)</f>
        <v/>
      </c>
    </row>
    <row r="2026" ht="36" customHeight="1">
      <c r="A2026" s="30">
        <f>+REGISTRO!A2009</f>
        <v/>
      </c>
      <c r="B2026" s="31">
        <f>+VLOOKUP($A2026,MAGAZZINO!$B$2:$M$4838,2,FALSE)</f>
        <v/>
      </c>
      <c r="C2026" s="32">
        <f>+VLOOKUP($A2026,MAGAZZINO!$B$2:$M$4838,3,FALSE)</f>
        <v/>
      </c>
      <c r="D2026" s="17">
        <f>+VLOOKUP($A2026,MAGAZZINO!$B$2:$M$4838,4,FALSE)</f>
        <v/>
      </c>
      <c r="E2026" s="17">
        <f>+VLOOKUP($A2026,MAGAZZINO!$B$2:$M$4838,5,FALSE)</f>
        <v/>
      </c>
      <c r="F2026" s="17">
        <f>+VLOOKUP($A2026,MAGAZZINO!$B$2:$M$4838,6,FALSE)</f>
        <v/>
      </c>
      <c r="G2026" s="17">
        <f>+VLOOKUP($A2026,MAGAZZINO!$B$2:$M$4838,7,FALSE)</f>
        <v/>
      </c>
      <c r="H2026" s="17">
        <f>+VLOOKUP($A2026,MAGAZZINO!$B$2:$M$4838,8,FALSE)</f>
        <v/>
      </c>
      <c r="I2026" s="17">
        <f>+VLOOKUP($A2026,MAGAZZINO!$B$2:$M$4838,9,FALSE)</f>
        <v/>
      </c>
      <c r="J2026" s="17">
        <f>+VLOOKUP($A2026,MAGAZZINO!$B$2:$M$4838,10,FALSE)</f>
        <v/>
      </c>
      <c r="K2026" s="17">
        <f>+VLOOKUP($A2026,MAGAZZINO!$B$2:$M$4838,11,FALSE)</f>
        <v/>
      </c>
      <c r="L2026" s="44">
        <f>+VLOOKUP($A2026,MAGAZZINO!$B$2:$M$4838,12,FALSE)</f>
        <v/>
      </c>
    </row>
    <row r="2027" ht="36" customHeight="1">
      <c r="A2027" s="30">
        <f>+REGISTRO!A2010</f>
        <v/>
      </c>
      <c r="B2027" s="31">
        <f>+VLOOKUP($A2027,MAGAZZINO!$B$2:$M$4838,2,FALSE)</f>
        <v/>
      </c>
      <c r="C2027" s="32">
        <f>+VLOOKUP($A2027,MAGAZZINO!$B$2:$M$4838,3,FALSE)</f>
        <v/>
      </c>
      <c r="D2027" s="17">
        <f>+VLOOKUP($A2027,MAGAZZINO!$B$2:$M$4838,4,FALSE)</f>
        <v/>
      </c>
      <c r="E2027" s="17">
        <f>+VLOOKUP($A2027,MAGAZZINO!$B$2:$M$4838,5,FALSE)</f>
        <v/>
      </c>
      <c r="F2027" s="17">
        <f>+VLOOKUP($A2027,MAGAZZINO!$B$2:$M$4838,6,FALSE)</f>
        <v/>
      </c>
      <c r="G2027" s="17">
        <f>+VLOOKUP($A2027,MAGAZZINO!$B$2:$M$4838,7,FALSE)</f>
        <v/>
      </c>
      <c r="H2027" s="17">
        <f>+VLOOKUP($A2027,MAGAZZINO!$B$2:$M$4838,8,FALSE)</f>
        <v/>
      </c>
      <c r="I2027" s="17">
        <f>+VLOOKUP($A2027,MAGAZZINO!$B$2:$M$4838,9,FALSE)</f>
        <v/>
      </c>
      <c r="J2027" s="17">
        <f>+VLOOKUP($A2027,MAGAZZINO!$B$2:$M$4838,10,FALSE)</f>
        <v/>
      </c>
      <c r="K2027" s="17">
        <f>+VLOOKUP($A2027,MAGAZZINO!$B$2:$M$4838,11,FALSE)</f>
        <v/>
      </c>
      <c r="L2027" s="44">
        <f>+VLOOKUP($A2027,MAGAZZINO!$B$2:$M$4838,12,FALSE)</f>
        <v/>
      </c>
    </row>
    <row r="2028" ht="36" customHeight="1">
      <c r="A2028" s="30">
        <f>+REGISTRO!A2011</f>
        <v/>
      </c>
      <c r="B2028" s="31">
        <f>+VLOOKUP($A2028,MAGAZZINO!$B$2:$M$4838,2,FALSE)</f>
        <v/>
      </c>
      <c r="C2028" s="32">
        <f>+VLOOKUP($A2028,MAGAZZINO!$B$2:$M$4838,3,FALSE)</f>
        <v/>
      </c>
      <c r="D2028" s="17">
        <f>+VLOOKUP($A2028,MAGAZZINO!$B$2:$M$4838,4,FALSE)</f>
        <v/>
      </c>
      <c r="E2028" s="17">
        <f>+VLOOKUP($A2028,MAGAZZINO!$B$2:$M$4838,5,FALSE)</f>
        <v/>
      </c>
      <c r="F2028" s="17">
        <f>+VLOOKUP($A2028,MAGAZZINO!$B$2:$M$4838,6,FALSE)</f>
        <v/>
      </c>
      <c r="G2028" s="17">
        <f>+VLOOKUP($A2028,MAGAZZINO!$B$2:$M$4838,7,FALSE)</f>
        <v/>
      </c>
      <c r="H2028" s="17">
        <f>+VLOOKUP($A2028,MAGAZZINO!$B$2:$M$4838,8,FALSE)</f>
        <v/>
      </c>
      <c r="I2028" s="17">
        <f>+VLOOKUP($A2028,MAGAZZINO!$B$2:$M$4838,9,FALSE)</f>
        <v/>
      </c>
      <c r="J2028" s="17">
        <f>+VLOOKUP($A2028,MAGAZZINO!$B$2:$M$4838,10,FALSE)</f>
        <v/>
      </c>
      <c r="K2028" s="17">
        <f>+VLOOKUP($A2028,MAGAZZINO!$B$2:$M$4838,11,FALSE)</f>
        <v/>
      </c>
      <c r="L2028" s="44">
        <f>+VLOOKUP($A2028,MAGAZZINO!$B$2:$M$4838,12,FALSE)</f>
        <v/>
      </c>
    </row>
    <row r="2029" ht="36" customHeight="1">
      <c r="A2029" s="30">
        <f>+REGISTRO!A2012</f>
        <v/>
      </c>
      <c r="B2029" s="31">
        <f>+VLOOKUP($A2029,MAGAZZINO!$B$2:$M$4838,2,FALSE)</f>
        <v/>
      </c>
      <c r="C2029" s="32">
        <f>+VLOOKUP($A2029,MAGAZZINO!$B$2:$M$4838,3,FALSE)</f>
        <v/>
      </c>
      <c r="D2029" s="17">
        <f>+VLOOKUP($A2029,MAGAZZINO!$B$2:$M$4838,4,FALSE)</f>
        <v/>
      </c>
      <c r="E2029" s="17">
        <f>+VLOOKUP($A2029,MAGAZZINO!$B$2:$M$4838,5,FALSE)</f>
        <v/>
      </c>
      <c r="F2029" s="17">
        <f>+VLOOKUP($A2029,MAGAZZINO!$B$2:$M$4838,6,FALSE)</f>
        <v/>
      </c>
      <c r="G2029" s="17">
        <f>+VLOOKUP($A2029,MAGAZZINO!$B$2:$M$4838,7,FALSE)</f>
        <v/>
      </c>
      <c r="H2029" s="17">
        <f>+VLOOKUP($A2029,MAGAZZINO!$B$2:$M$4838,8,FALSE)</f>
        <v/>
      </c>
      <c r="I2029" s="17">
        <f>+VLOOKUP($A2029,MAGAZZINO!$B$2:$M$4838,9,FALSE)</f>
        <v/>
      </c>
      <c r="J2029" s="17">
        <f>+VLOOKUP($A2029,MAGAZZINO!$B$2:$M$4838,10,FALSE)</f>
        <v/>
      </c>
      <c r="K2029" s="17">
        <f>+VLOOKUP($A2029,MAGAZZINO!$B$2:$M$4838,11,FALSE)</f>
        <v/>
      </c>
      <c r="L2029" s="44">
        <f>+VLOOKUP($A2029,MAGAZZINO!$B$2:$M$4838,12,FALSE)</f>
        <v/>
      </c>
    </row>
    <row r="2030" ht="36" customHeight="1">
      <c r="A2030" s="30">
        <f>+REGISTRO!A2013</f>
        <v/>
      </c>
      <c r="B2030" s="31">
        <f>+VLOOKUP($A2030,MAGAZZINO!$B$2:$M$4838,2,FALSE)</f>
        <v/>
      </c>
      <c r="C2030" s="32">
        <f>+VLOOKUP($A2030,MAGAZZINO!$B$2:$M$4838,3,FALSE)</f>
        <v/>
      </c>
      <c r="D2030" s="17">
        <f>+VLOOKUP($A2030,MAGAZZINO!$B$2:$M$4838,4,FALSE)</f>
        <v/>
      </c>
      <c r="E2030" s="17">
        <f>+VLOOKUP($A2030,MAGAZZINO!$B$2:$M$4838,5,FALSE)</f>
        <v/>
      </c>
      <c r="F2030" s="17">
        <f>+VLOOKUP($A2030,MAGAZZINO!$B$2:$M$4838,6,FALSE)</f>
        <v/>
      </c>
      <c r="G2030" s="17">
        <f>+VLOOKUP($A2030,MAGAZZINO!$B$2:$M$4838,7,FALSE)</f>
        <v/>
      </c>
      <c r="H2030" s="17">
        <f>+VLOOKUP($A2030,MAGAZZINO!$B$2:$M$4838,8,FALSE)</f>
        <v/>
      </c>
      <c r="I2030" s="17">
        <f>+VLOOKUP($A2030,MAGAZZINO!$B$2:$M$4838,9,FALSE)</f>
        <v/>
      </c>
      <c r="J2030" s="17">
        <f>+VLOOKUP($A2030,MAGAZZINO!$B$2:$M$4838,10,FALSE)</f>
        <v/>
      </c>
      <c r="K2030" s="17">
        <f>+VLOOKUP($A2030,MAGAZZINO!$B$2:$M$4838,11,FALSE)</f>
        <v/>
      </c>
      <c r="L2030" s="44">
        <f>+VLOOKUP($A2030,MAGAZZINO!$B$2:$M$4838,12,FALSE)</f>
        <v/>
      </c>
    </row>
    <row r="2031" ht="36" customHeight="1">
      <c r="A2031" s="30">
        <f>+REGISTRO!A2014</f>
        <v/>
      </c>
      <c r="B2031" s="31">
        <f>+VLOOKUP($A2031,MAGAZZINO!$B$2:$M$4838,2,FALSE)</f>
        <v/>
      </c>
      <c r="C2031" s="32">
        <f>+VLOOKUP($A2031,MAGAZZINO!$B$2:$M$4838,3,FALSE)</f>
        <v/>
      </c>
      <c r="D2031" s="17">
        <f>+VLOOKUP($A2031,MAGAZZINO!$B$2:$M$4838,4,FALSE)</f>
        <v/>
      </c>
      <c r="E2031" s="17">
        <f>+VLOOKUP($A2031,MAGAZZINO!$B$2:$M$4838,5,FALSE)</f>
        <v/>
      </c>
      <c r="F2031" s="17">
        <f>+VLOOKUP($A2031,MAGAZZINO!$B$2:$M$4838,6,FALSE)</f>
        <v/>
      </c>
      <c r="G2031" s="17">
        <f>+VLOOKUP($A2031,MAGAZZINO!$B$2:$M$4838,7,FALSE)</f>
        <v/>
      </c>
      <c r="H2031" s="17">
        <f>+VLOOKUP($A2031,MAGAZZINO!$B$2:$M$4838,8,FALSE)</f>
        <v/>
      </c>
      <c r="I2031" s="17">
        <f>+VLOOKUP($A2031,MAGAZZINO!$B$2:$M$4838,9,FALSE)</f>
        <v/>
      </c>
      <c r="J2031" s="17">
        <f>+VLOOKUP($A2031,MAGAZZINO!$B$2:$M$4838,10,FALSE)</f>
        <v/>
      </c>
      <c r="K2031" s="17">
        <f>+VLOOKUP($A2031,MAGAZZINO!$B$2:$M$4838,11,FALSE)</f>
        <v/>
      </c>
      <c r="L2031" s="44">
        <f>+VLOOKUP($A2031,MAGAZZINO!$B$2:$M$4838,12,FALSE)</f>
        <v/>
      </c>
    </row>
    <row r="2032" ht="36" customHeight="1">
      <c r="A2032" s="30">
        <f>+REGISTRO!A2015</f>
        <v/>
      </c>
      <c r="B2032" s="31">
        <f>+VLOOKUP($A2032,MAGAZZINO!$B$2:$M$4838,2,FALSE)</f>
        <v/>
      </c>
      <c r="C2032" s="32">
        <f>+VLOOKUP($A2032,MAGAZZINO!$B$2:$M$4838,3,FALSE)</f>
        <v/>
      </c>
      <c r="D2032" s="17">
        <f>+VLOOKUP($A2032,MAGAZZINO!$B$2:$M$4838,4,FALSE)</f>
        <v/>
      </c>
      <c r="E2032" s="17">
        <f>+VLOOKUP($A2032,MAGAZZINO!$B$2:$M$4838,5,FALSE)</f>
        <v/>
      </c>
      <c r="F2032" s="17">
        <f>+VLOOKUP($A2032,MAGAZZINO!$B$2:$M$4838,6,FALSE)</f>
        <v/>
      </c>
      <c r="G2032" s="17">
        <f>+VLOOKUP($A2032,MAGAZZINO!$B$2:$M$4838,7,FALSE)</f>
        <v/>
      </c>
      <c r="H2032" s="17">
        <f>+VLOOKUP($A2032,MAGAZZINO!$B$2:$M$4838,8,FALSE)</f>
        <v/>
      </c>
      <c r="I2032" s="17">
        <f>+VLOOKUP($A2032,MAGAZZINO!$B$2:$M$4838,9,FALSE)</f>
        <v/>
      </c>
      <c r="J2032" s="17">
        <f>+VLOOKUP($A2032,MAGAZZINO!$B$2:$M$4838,10,FALSE)</f>
        <v/>
      </c>
      <c r="K2032" s="17">
        <f>+VLOOKUP($A2032,MAGAZZINO!$B$2:$M$4838,11,FALSE)</f>
        <v/>
      </c>
      <c r="L2032" s="44">
        <f>+VLOOKUP($A2032,MAGAZZINO!$B$2:$M$4838,12,FALSE)</f>
        <v/>
      </c>
    </row>
    <row r="2033" ht="36" customHeight="1">
      <c r="A2033" s="30">
        <f>+REGISTRO!A2016</f>
        <v/>
      </c>
      <c r="B2033" s="31">
        <f>+VLOOKUP($A2033,MAGAZZINO!$B$2:$M$4838,2,FALSE)</f>
        <v/>
      </c>
      <c r="C2033" s="32">
        <f>+VLOOKUP($A2033,MAGAZZINO!$B$2:$M$4838,3,FALSE)</f>
        <v/>
      </c>
      <c r="D2033" s="17">
        <f>+VLOOKUP($A2033,MAGAZZINO!$B$2:$M$4838,4,FALSE)</f>
        <v/>
      </c>
      <c r="E2033" s="17">
        <f>+VLOOKUP($A2033,MAGAZZINO!$B$2:$M$4838,5,FALSE)</f>
        <v/>
      </c>
      <c r="F2033" s="17">
        <f>+VLOOKUP($A2033,MAGAZZINO!$B$2:$M$4838,6,FALSE)</f>
        <v/>
      </c>
      <c r="G2033" s="17">
        <f>+VLOOKUP($A2033,MAGAZZINO!$B$2:$M$4838,7,FALSE)</f>
        <v/>
      </c>
      <c r="H2033" s="17">
        <f>+VLOOKUP($A2033,MAGAZZINO!$B$2:$M$4838,8,FALSE)</f>
        <v/>
      </c>
      <c r="I2033" s="17">
        <f>+VLOOKUP($A2033,MAGAZZINO!$B$2:$M$4838,9,FALSE)</f>
        <v/>
      </c>
      <c r="J2033" s="17">
        <f>+VLOOKUP($A2033,MAGAZZINO!$B$2:$M$4838,10,FALSE)</f>
        <v/>
      </c>
      <c r="K2033" s="17">
        <f>+VLOOKUP($A2033,MAGAZZINO!$B$2:$M$4838,11,FALSE)</f>
        <v/>
      </c>
      <c r="L2033" s="44">
        <f>+VLOOKUP($A2033,MAGAZZINO!$B$2:$M$4838,12,FALSE)</f>
        <v/>
      </c>
    </row>
    <row r="2034" ht="36" customHeight="1">
      <c r="A2034" s="30">
        <f>+REGISTRO!A2017</f>
        <v/>
      </c>
      <c r="B2034" s="31">
        <f>+VLOOKUP($A2034,MAGAZZINO!$B$2:$M$4838,2,FALSE)</f>
        <v/>
      </c>
      <c r="C2034" s="32">
        <f>+VLOOKUP($A2034,MAGAZZINO!$B$2:$M$4838,3,FALSE)</f>
        <v/>
      </c>
      <c r="D2034" s="17">
        <f>+VLOOKUP($A2034,MAGAZZINO!$B$2:$M$4838,4,FALSE)</f>
        <v/>
      </c>
      <c r="E2034" s="17">
        <f>+VLOOKUP($A2034,MAGAZZINO!$B$2:$M$4838,5,FALSE)</f>
        <v/>
      </c>
      <c r="F2034" s="17">
        <f>+VLOOKUP($A2034,MAGAZZINO!$B$2:$M$4838,6,FALSE)</f>
        <v/>
      </c>
      <c r="G2034" s="17">
        <f>+VLOOKUP($A2034,MAGAZZINO!$B$2:$M$4838,7,FALSE)</f>
        <v/>
      </c>
      <c r="H2034" s="17">
        <f>+VLOOKUP($A2034,MAGAZZINO!$B$2:$M$4838,8,FALSE)</f>
        <v/>
      </c>
      <c r="I2034" s="17">
        <f>+VLOOKUP($A2034,MAGAZZINO!$B$2:$M$4838,9,FALSE)</f>
        <v/>
      </c>
      <c r="J2034" s="17">
        <f>+VLOOKUP($A2034,MAGAZZINO!$B$2:$M$4838,10,FALSE)</f>
        <v/>
      </c>
      <c r="K2034" s="17">
        <f>+VLOOKUP($A2034,MAGAZZINO!$B$2:$M$4838,11,FALSE)</f>
        <v/>
      </c>
      <c r="L2034" s="44">
        <f>+VLOOKUP($A2034,MAGAZZINO!$B$2:$M$4838,12,FALSE)</f>
        <v/>
      </c>
    </row>
    <row r="2035" ht="36" customHeight="1">
      <c r="A2035" s="30">
        <f>+REGISTRO!A2018</f>
        <v/>
      </c>
      <c r="B2035" s="31">
        <f>+VLOOKUP($A2035,MAGAZZINO!$B$2:$M$4838,2,FALSE)</f>
        <v/>
      </c>
      <c r="C2035" s="32">
        <f>+VLOOKUP($A2035,MAGAZZINO!$B$2:$M$4838,3,FALSE)</f>
        <v/>
      </c>
      <c r="D2035" s="17">
        <f>+VLOOKUP($A2035,MAGAZZINO!$B$2:$M$4838,4,FALSE)</f>
        <v/>
      </c>
      <c r="E2035" s="17">
        <f>+VLOOKUP($A2035,MAGAZZINO!$B$2:$M$4838,5,FALSE)</f>
        <v/>
      </c>
      <c r="F2035" s="17">
        <f>+VLOOKUP($A2035,MAGAZZINO!$B$2:$M$4838,6,FALSE)</f>
        <v/>
      </c>
      <c r="G2035" s="17">
        <f>+VLOOKUP($A2035,MAGAZZINO!$B$2:$M$4838,7,FALSE)</f>
        <v/>
      </c>
      <c r="H2035" s="17">
        <f>+VLOOKUP($A2035,MAGAZZINO!$B$2:$M$4838,8,FALSE)</f>
        <v/>
      </c>
      <c r="I2035" s="17">
        <f>+VLOOKUP($A2035,MAGAZZINO!$B$2:$M$4838,9,FALSE)</f>
        <v/>
      </c>
      <c r="J2035" s="17">
        <f>+VLOOKUP($A2035,MAGAZZINO!$B$2:$M$4838,10,FALSE)</f>
        <v/>
      </c>
      <c r="K2035" s="17">
        <f>+VLOOKUP($A2035,MAGAZZINO!$B$2:$M$4838,11,FALSE)</f>
        <v/>
      </c>
      <c r="L2035" s="44">
        <f>+VLOOKUP($A2035,MAGAZZINO!$B$2:$M$4838,12,FALSE)</f>
        <v/>
      </c>
    </row>
    <row r="2036" ht="36" customHeight="1">
      <c r="A2036" s="30">
        <f>+REGISTRO!A2019</f>
        <v/>
      </c>
      <c r="B2036" s="31">
        <f>+VLOOKUP($A2036,MAGAZZINO!$B$2:$M$4838,2,FALSE)</f>
        <v/>
      </c>
      <c r="C2036" s="32">
        <f>+VLOOKUP($A2036,MAGAZZINO!$B$2:$M$4838,3,FALSE)</f>
        <v/>
      </c>
      <c r="D2036" s="17">
        <f>+VLOOKUP($A2036,MAGAZZINO!$B$2:$M$4838,4,FALSE)</f>
        <v/>
      </c>
      <c r="E2036" s="17">
        <f>+VLOOKUP($A2036,MAGAZZINO!$B$2:$M$4838,5,FALSE)</f>
        <v/>
      </c>
      <c r="F2036" s="17">
        <f>+VLOOKUP($A2036,MAGAZZINO!$B$2:$M$4838,6,FALSE)</f>
        <v/>
      </c>
      <c r="G2036" s="17">
        <f>+VLOOKUP($A2036,MAGAZZINO!$B$2:$M$4838,7,FALSE)</f>
        <v/>
      </c>
      <c r="H2036" s="17">
        <f>+VLOOKUP($A2036,MAGAZZINO!$B$2:$M$4838,8,FALSE)</f>
        <v/>
      </c>
      <c r="I2036" s="17">
        <f>+VLOOKUP($A2036,MAGAZZINO!$B$2:$M$4838,9,FALSE)</f>
        <v/>
      </c>
      <c r="J2036" s="17">
        <f>+VLOOKUP($A2036,MAGAZZINO!$B$2:$M$4838,10,FALSE)</f>
        <v/>
      </c>
      <c r="K2036" s="17">
        <f>+VLOOKUP($A2036,MAGAZZINO!$B$2:$M$4838,11,FALSE)</f>
        <v/>
      </c>
      <c r="L2036" s="44">
        <f>+VLOOKUP($A2036,MAGAZZINO!$B$2:$M$4838,12,FALSE)</f>
        <v/>
      </c>
    </row>
    <row r="2037" ht="36" customHeight="1">
      <c r="A2037" s="30">
        <f>+REGISTRO!A2020</f>
        <v/>
      </c>
      <c r="B2037" s="31">
        <f>+VLOOKUP($A2037,MAGAZZINO!$B$2:$M$4838,2,FALSE)</f>
        <v/>
      </c>
      <c r="C2037" s="32">
        <f>+VLOOKUP($A2037,MAGAZZINO!$B$2:$M$4838,3,FALSE)</f>
        <v/>
      </c>
      <c r="D2037" s="17">
        <f>+VLOOKUP($A2037,MAGAZZINO!$B$2:$M$4838,4,FALSE)</f>
        <v/>
      </c>
      <c r="E2037" s="17">
        <f>+VLOOKUP($A2037,MAGAZZINO!$B$2:$M$4838,5,FALSE)</f>
        <v/>
      </c>
      <c r="F2037" s="17">
        <f>+VLOOKUP($A2037,MAGAZZINO!$B$2:$M$4838,6,FALSE)</f>
        <v/>
      </c>
      <c r="G2037" s="17">
        <f>+VLOOKUP($A2037,MAGAZZINO!$B$2:$M$4838,7,FALSE)</f>
        <v/>
      </c>
      <c r="H2037" s="17">
        <f>+VLOOKUP($A2037,MAGAZZINO!$B$2:$M$4838,8,FALSE)</f>
        <v/>
      </c>
      <c r="I2037" s="17">
        <f>+VLOOKUP($A2037,MAGAZZINO!$B$2:$M$4838,9,FALSE)</f>
        <v/>
      </c>
      <c r="J2037" s="17">
        <f>+VLOOKUP($A2037,MAGAZZINO!$B$2:$M$4838,10,FALSE)</f>
        <v/>
      </c>
      <c r="K2037" s="17">
        <f>+VLOOKUP($A2037,MAGAZZINO!$B$2:$M$4838,11,FALSE)</f>
        <v/>
      </c>
      <c r="L2037" s="44">
        <f>+VLOOKUP($A2037,MAGAZZINO!$B$2:$M$4838,12,FALSE)</f>
        <v/>
      </c>
    </row>
    <row r="2038" ht="36" customHeight="1">
      <c r="A2038" s="30">
        <f>+REGISTRO!A2021</f>
        <v/>
      </c>
      <c r="B2038" s="31">
        <f>+VLOOKUP($A2038,MAGAZZINO!$B$2:$M$4838,2,FALSE)</f>
        <v/>
      </c>
      <c r="C2038" s="32">
        <f>+VLOOKUP($A2038,MAGAZZINO!$B$2:$M$4838,3,FALSE)</f>
        <v/>
      </c>
      <c r="D2038" s="17">
        <f>+VLOOKUP($A2038,MAGAZZINO!$B$2:$M$4838,4,FALSE)</f>
        <v/>
      </c>
      <c r="E2038" s="17">
        <f>+VLOOKUP($A2038,MAGAZZINO!$B$2:$M$4838,5,FALSE)</f>
        <v/>
      </c>
      <c r="F2038" s="17">
        <f>+VLOOKUP($A2038,MAGAZZINO!$B$2:$M$4838,6,FALSE)</f>
        <v/>
      </c>
      <c r="G2038" s="17">
        <f>+VLOOKUP($A2038,MAGAZZINO!$B$2:$M$4838,7,FALSE)</f>
        <v/>
      </c>
      <c r="H2038" s="17">
        <f>+VLOOKUP($A2038,MAGAZZINO!$B$2:$M$4838,8,FALSE)</f>
        <v/>
      </c>
      <c r="I2038" s="17">
        <f>+VLOOKUP($A2038,MAGAZZINO!$B$2:$M$4838,9,FALSE)</f>
        <v/>
      </c>
      <c r="J2038" s="17">
        <f>+VLOOKUP($A2038,MAGAZZINO!$B$2:$M$4838,10,FALSE)</f>
        <v/>
      </c>
      <c r="K2038" s="17">
        <f>+VLOOKUP($A2038,MAGAZZINO!$B$2:$M$4838,11,FALSE)</f>
        <v/>
      </c>
      <c r="L2038" s="44">
        <f>+VLOOKUP($A2038,MAGAZZINO!$B$2:$M$4838,12,FALSE)</f>
        <v/>
      </c>
    </row>
    <row r="2039" ht="36" customHeight="1">
      <c r="A2039" s="30">
        <f>+REGISTRO!A2022</f>
        <v/>
      </c>
      <c r="B2039" s="31">
        <f>+VLOOKUP($A2039,MAGAZZINO!$B$2:$M$4838,2,FALSE)</f>
        <v/>
      </c>
      <c r="C2039" s="32">
        <f>+VLOOKUP($A2039,MAGAZZINO!$B$2:$M$4838,3,FALSE)</f>
        <v/>
      </c>
      <c r="D2039" s="17">
        <f>+VLOOKUP($A2039,MAGAZZINO!$B$2:$M$4838,4,FALSE)</f>
        <v/>
      </c>
      <c r="E2039" s="17">
        <f>+VLOOKUP($A2039,MAGAZZINO!$B$2:$M$4838,5,FALSE)</f>
        <v/>
      </c>
      <c r="F2039" s="17">
        <f>+VLOOKUP($A2039,MAGAZZINO!$B$2:$M$4838,6,FALSE)</f>
        <v/>
      </c>
      <c r="G2039" s="17">
        <f>+VLOOKUP($A2039,MAGAZZINO!$B$2:$M$4838,7,FALSE)</f>
        <v/>
      </c>
      <c r="H2039" s="17">
        <f>+VLOOKUP($A2039,MAGAZZINO!$B$2:$M$4838,8,FALSE)</f>
        <v/>
      </c>
      <c r="I2039" s="17">
        <f>+VLOOKUP($A2039,MAGAZZINO!$B$2:$M$4838,9,FALSE)</f>
        <v/>
      </c>
      <c r="J2039" s="17">
        <f>+VLOOKUP($A2039,MAGAZZINO!$B$2:$M$4838,10,FALSE)</f>
        <v/>
      </c>
      <c r="K2039" s="17">
        <f>+VLOOKUP($A2039,MAGAZZINO!$B$2:$M$4838,11,FALSE)</f>
        <v/>
      </c>
      <c r="L2039" s="44">
        <f>+VLOOKUP($A2039,MAGAZZINO!$B$2:$M$4838,12,FALSE)</f>
        <v/>
      </c>
    </row>
    <row r="2040" ht="36" customHeight="1">
      <c r="A2040" s="30">
        <f>+REGISTRO!A2023</f>
        <v/>
      </c>
      <c r="B2040" s="31">
        <f>+VLOOKUP($A2040,MAGAZZINO!$B$2:$M$4838,2,FALSE)</f>
        <v/>
      </c>
      <c r="C2040" s="32">
        <f>+VLOOKUP($A2040,MAGAZZINO!$B$2:$M$4838,3,FALSE)</f>
        <v/>
      </c>
      <c r="D2040" s="17">
        <f>+VLOOKUP($A2040,MAGAZZINO!$B$2:$M$4838,4,FALSE)</f>
        <v/>
      </c>
      <c r="E2040" s="17">
        <f>+VLOOKUP($A2040,MAGAZZINO!$B$2:$M$4838,5,FALSE)</f>
        <v/>
      </c>
      <c r="F2040" s="17">
        <f>+VLOOKUP($A2040,MAGAZZINO!$B$2:$M$4838,6,FALSE)</f>
        <v/>
      </c>
      <c r="G2040" s="17">
        <f>+VLOOKUP($A2040,MAGAZZINO!$B$2:$M$4838,7,FALSE)</f>
        <v/>
      </c>
      <c r="H2040" s="17">
        <f>+VLOOKUP($A2040,MAGAZZINO!$B$2:$M$4838,8,FALSE)</f>
        <v/>
      </c>
      <c r="I2040" s="17">
        <f>+VLOOKUP($A2040,MAGAZZINO!$B$2:$M$4838,9,FALSE)</f>
        <v/>
      </c>
      <c r="J2040" s="17">
        <f>+VLOOKUP($A2040,MAGAZZINO!$B$2:$M$4838,10,FALSE)</f>
        <v/>
      </c>
      <c r="K2040" s="17">
        <f>+VLOOKUP($A2040,MAGAZZINO!$B$2:$M$4838,11,FALSE)</f>
        <v/>
      </c>
      <c r="L2040" s="44">
        <f>+VLOOKUP($A2040,MAGAZZINO!$B$2:$M$4838,12,FALSE)</f>
        <v/>
      </c>
    </row>
    <row r="2041" ht="36" customHeight="1">
      <c r="A2041" s="30">
        <f>+REGISTRO!A2024</f>
        <v/>
      </c>
      <c r="B2041" s="31">
        <f>+VLOOKUP($A2041,MAGAZZINO!$B$2:$M$4838,2,FALSE)</f>
        <v/>
      </c>
      <c r="C2041" s="32">
        <f>+VLOOKUP($A2041,MAGAZZINO!$B$2:$M$4838,3,FALSE)</f>
        <v/>
      </c>
      <c r="D2041" s="17">
        <f>+VLOOKUP($A2041,MAGAZZINO!$B$2:$M$4838,4,FALSE)</f>
        <v/>
      </c>
      <c r="E2041" s="17">
        <f>+VLOOKUP($A2041,MAGAZZINO!$B$2:$M$4838,5,FALSE)</f>
        <v/>
      </c>
      <c r="F2041" s="17">
        <f>+VLOOKUP($A2041,MAGAZZINO!$B$2:$M$4838,6,FALSE)</f>
        <v/>
      </c>
      <c r="G2041" s="17">
        <f>+VLOOKUP($A2041,MAGAZZINO!$B$2:$M$4838,7,FALSE)</f>
        <v/>
      </c>
      <c r="H2041" s="17">
        <f>+VLOOKUP($A2041,MAGAZZINO!$B$2:$M$4838,8,FALSE)</f>
        <v/>
      </c>
      <c r="I2041" s="17">
        <f>+VLOOKUP($A2041,MAGAZZINO!$B$2:$M$4838,9,FALSE)</f>
        <v/>
      </c>
      <c r="J2041" s="17">
        <f>+VLOOKUP($A2041,MAGAZZINO!$B$2:$M$4838,10,FALSE)</f>
        <v/>
      </c>
      <c r="K2041" s="17">
        <f>+VLOOKUP($A2041,MAGAZZINO!$B$2:$M$4838,11,FALSE)</f>
        <v/>
      </c>
      <c r="L2041" s="44">
        <f>+VLOOKUP($A2041,MAGAZZINO!$B$2:$M$4838,12,FALSE)</f>
        <v/>
      </c>
    </row>
    <row r="2042" ht="36" customHeight="1">
      <c r="A2042" s="30">
        <f>+REGISTRO!A2025</f>
        <v/>
      </c>
      <c r="B2042" s="31">
        <f>+VLOOKUP($A2042,MAGAZZINO!$B$2:$M$4838,2,FALSE)</f>
        <v/>
      </c>
      <c r="C2042" s="32">
        <f>+VLOOKUP($A2042,MAGAZZINO!$B$2:$M$4838,3,FALSE)</f>
        <v/>
      </c>
      <c r="D2042" s="17">
        <f>+VLOOKUP($A2042,MAGAZZINO!$B$2:$M$4838,4,FALSE)</f>
        <v/>
      </c>
      <c r="E2042" s="17">
        <f>+VLOOKUP($A2042,MAGAZZINO!$B$2:$M$4838,5,FALSE)</f>
        <v/>
      </c>
      <c r="F2042" s="17">
        <f>+VLOOKUP($A2042,MAGAZZINO!$B$2:$M$4838,6,FALSE)</f>
        <v/>
      </c>
      <c r="G2042" s="17">
        <f>+VLOOKUP($A2042,MAGAZZINO!$B$2:$M$4838,7,FALSE)</f>
        <v/>
      </c>
      <c r="H2042" s="17">
        <f>+VLOOKUP($A2042,MAGAZZINO!$B$2:$M$4838,8,FALSE)</f>
        <v/>
      </c>
      <c r="I2042" s="17">
        <f>+VLOOKUP($A2042,MAGAZZINO!$B$2:$M$4838,9,FALSE)</f>
        <v/>
      </c>
      <c r="J2042" s="17">
        <f>+VLOOKUP($A2042,MAGAZZINO!$B$2:$M$4838,10,FALSE)</f>
        <v/>
      </c>
      <c r="K2042" s="17">
        <f>+VLOOKUP($A2042,MAGAZZINO!$B$2:$M$4838,11,FALSE)</f>
        <v/>
      </c>
      <c r="L2042" s="44">
        <f>+VLOOKUP($A2042,MAGAZZINO!$B$2:$M$4838,12,FALSE)</f>
        <v/>
      </c>
    </row>
    <row r="2043" ht="36" customHeight="1">
      <c r="A2043" s="30">
        <f>+REGISTRO!A2026</f>
        <v/>
      </c>
      <c r="B2043" s="31">
        <f>+VLOOKUP($A2043,MAGAZZINO!$B$2:$M$4838,2,FALSE)</f>
        <v/>
      </c>
      <c r="C2043" s="32">
        <f>+VLOOKUP($A2043,MAGAZZINO!$B$2:$M$4838,3,FALSE)</f>
        <v/>
      </c>
      <c r="D2043" s="17">
        <f>+VLOOKUP($A2043,MAGAZZINO!$B$2:$M$4838,4,FALSE)</f>
        <v/>
      </c>
      <c r="E2043" s="17">
        <f>+VLOOKUP($A2043,MAGAZZINO!$B$2:$M$4838,5,FALSE)</f>
        <v/>
      </c>
      <c r="F2043" s="17">
        <f>+VLOOKUP($A2043,MAGAZZINO!$B$2:$M$4838,6,FALSE)</f>
        <v/>
      </c>
      <c r="G2043" s="17">
        <f>+VLOOKUP($A2043,MAGAZZINO!$B$2:$M$4838,7,FALSE)</f>
        <v/>
      </c>
      <c r="H2043" s="17">
        <f>+VLOOKUP($A2043,MAGAZZINO!$B$2:$M$4838,8,FALSE)</f>
        <v/>
      </c>
      <c r="I2043" s="17">
        <f>+VLOOKUP($A2043,MAGAZZINO!$B$2:$M$4838,9,FALSE)</f>
        <v/>
      </c>
      <c r="J2043" s="17">
        <f>+VLOOKUP($A2043,MAGAZZINO!$B$2:$M$4838,10,FALSE)</f>
        <v/>
      </c>
      <c r="K2043" s="17">
        <f>+VLOOKUP($A2043,MAGAZZINO!$B$2:$M$4838,11,FALSE)</f>
        <v/>
      </c>
      <c r="L2043" s="44">
        <f>+VLOOKUP($A2043,MAGAZZINO!$B$2:$M$4838,12,FALSE)</f>
        <v/>
      </c>
    </row>
    <row r="2044" ht="36" customHeight="1">
      <c r="A2044" s="30">
        <f>+REGISTRO!A2027</f>
        <v/>
      </c>
      <c r="B2044" s="31">
        <f>+VLOOKUP($A2044,MAGAZZINO!$B$2:$M$4838,2,FALSE)</f>
        <v/>
      </c>
      <c r="C2044" s="32">
        <f>+VLOOKUP($A2044,MAGAZZINO!$B$2:$M$4838,3,FALSE)</f>
        <v/>
      </c>
      <c r="D2044" s="17">
        <f>+VLOOKUP($A2044,MAGAZZINO!$B$2:$M$4838,4,FALSE)</f>
        <v/>
      </c>
      <c r="E2044" s="17">
        <f>+VLOOKUP($A2044,MAGAZZINO!$B$2:$M$4838,5,FALSE)</f>
        <v/>
      </c>
      <c r="F2044" s="17">
        <f>+VLOOKUP($A2044,MAGAZZINO!$B$2:$M$4838,6,FALSE)</f>
        <v/>
      </c>
      <c r="G2044" s="17">
        <f>+VLOOKUP($A2044,MAGAZZINO!$B$2:$M$4838,7,FALSE)</f>
        <v/>
      </c>
      <c r="H2044" s="17">
        <f>+VLOOKUP($A2044,MAGAZZINO!$B$2:$M$4838,8,FALSE)</f>
        <v/>
      </c>
      <c r="I2044" s="17">
        <f>+VLOOKUP($A2044,MAGAZZINO!$B$2:$M$4838,9,FALSE)</f>
        <v/>
      </c>
      <c r="J2044" s="17">
        <f>+VLOOKUP($A2044,MAGAZZINO!$B$2:$M$4838,10,FALSE)</f>
        <v/>
      </c>
      <c r="K2044" s="17">
        <f>+VLOOKUP($A2044,MAGAZZINO!$B$2:$M$4838,11,FALSE)</f>
        <v/>
      </c>
      <c r="L2044" s="44">
        <f>+VLOOKUP($A2044,MAGAZZINO!$B$2:$M$4838,12,FALSE)</f>
        <v/>
      </c>
    </row>
    <row r="2045" ht="36" customHeight="1">
      <c r="A2045" s="30">
        <f>+REGISTRO!A2028</f>
        <v/>
      </c>
      <c r="B2045" s="31">
        <f>+VLOOKUP($A2045,MAGAZZINO!$B$2:$M$4838,2,FALSE)</f>
        <v/>
      </c>
      <c r="C2045" s="32">
        <f>+VLOOKUP($A2045,MAGAZZINO!$B$2:$M$4838,3,FALSE)</f>
        <v/>
      </c>
      <c r="D2045" s="17">
        <f>+VLOOKUP($A2045,MAGAZZINO!$B$2:$M$4838,4,FALSE)</f>
        <v/>
      </c>
      <c r="E2045" s="17">
        <f>+VLOOKUP($A2045,MAGAZZINO!$B$2:$M$4838,5,FALSE)</f>
        <v/>
      </c>
      <c r="F2045" s="17">
        <f>+VLOOKUP($A2045,MAGAZZINO!$B$2:$M$4838,6,FALSE)</f>
        <v/>
      </c>
      <c r="G2045" s="17">
        <f>+VLOOKUP($A2045,MAGAZZINO!$B$2:$M$4838,7,FALSE)</f>
        <v/>
      </c>
      <c r="H2045" s="17">
        <f>+VLOOKUP($A2045,MAGAZZINO!$B$2:$M$4838,8,FALSE)</f>
        <v/>
      </c>
      <c r="I2045" s="17">
        <f>+VLOOKUP($A2045,MAGAZZINO!$B$2:$M$4838,9,FALSE)</f>
        <v/>
      </c>
      <c r="J2045" s="17">
        <f>+VLOOKUP($A2045,MAGAZZINO!$B$2:$M$4838,10,FALSE)</f>
        <v/>
      </c>
      <c r="K2045" s="17">
        <f>+VLOOKUP($A2045,MAGAZZINO!$B$2:$M$4838,11,FALSE)</f>
        <v/>
      </c>
      <c r="L2045" s="44">
        <f>+VLOOKUP($A2045,MAGAZZINO!$B$2:$M$4838,12,FALSE)</f>
        <v/>
      </c>
    </row>
    <row r="2046" ht="36" customHeight="1">
      <c r="A2046" s="30">
        <f>+REGISTRO!A2029</f>
        <v/>
      </c>
      <c r="B2046" s="31">
        <f>+VLOOKUP($A2046,MAGAZZINO!$B$2:$M$4838,2,FALSE)</f>
        <v/>
      </c>
      <c r="C2046" s="32">
        <f>+VLOOKUP($A2046,MAGAZZINO!$B$2:$M$4838,3,FALSE)</f>
        <v/>
      </c>
      <c r="D2046" s="17">
        <f>+VLOOKUP($A2046,MAGAZZINO!$B$2:$M$4838,4,FALSE)</f>
        <v/>
      </c>
      <c r="E2046" s="17">
        <f>+VLOOKUP($A2046,MAGAZZINO!$B$2:$M$4838,5,FALSE)</f>
        <v/>
      </c>
      <c r="F2046" s="17">
        <f>+VLOOKUP($A2046,MAGAZZINO!$B$2:$M$4838,6,FALSE)</f>
        <v/>
      </c>
      <c r="G2046" s="17">
        <f>+VLOOKUP($A2046,MAGAZZINO!$B$2:$M$4838,7,FALSE)</f>
        <v/>
      </c>
      <c r="H2046" s="17">
        <f>+VLOOKUP($A2046,MAGAZZINO!$B$2:$M$4838,8,FALSE)</f>
        <v/>
      </c>
      <c r="I2046" s="17">
        <f>+VLOOKUP($A2046,MAGAZZINO!$B$2:$M$4838,9,FALSE)</f>
        <v/>
      </c>
      <c r="J2046" s="17">
        <f>+VLOOKUP($A2046,MAGAZZINO!$B$2:$M$4838,10,FALSE)</f>
        <v/>
      </c>
      <c r="K2046" s="17">
        <f>+VLOOKUP($A2046,MAGAZZINO!$B$2:$M$4838,11,FALSE)</f>
        <v/>
      </c>
      <c r="L2046" s="44">
        <f>+VLOOKUP($A2046,MAGAZZINO!$B$2:$M$4838,12,FALSE)</f>
        <v/>
      </c>
    </row>
    <row r="2047" ht="36" customHeight="1">
      <c r="A2047" s="30">
        <f>+REGISTRO!A2030</f>
        <v/>
      </c>
      <c r="B2047" s="31">
        <f>+VLOOKUP($A2047,MAGAZZINO!$B$2:$M$4838,2,FALSE)</f>
        <v/>
      </c>
      <c r="C2047" s="32">
        <f>+VLOOKUP($A2047,MAGAZZINO!$B$2:$M$4838,3,FALSE)</f>
        <v/>
      </c>
      <c r="D2047" s="17">
        <f>+VLOOKUP($A2047,MAGAZZINO!$B$2:$M$4838,4,FALSE)</f>
        <v/>
      </c>
      <c r="E2047" s="17">
        <f>+VLOOKUP($A2047,MAGAZZINO!$B$2:$M$4838,5,FALSE)</f>
        <v/>
      </c>
      <c r="F2047" s="17">
        <f>+VLOOKUP($A2047,MAGAZZINO!$B$2:$M$4838,6,FALSE)</f>
        <v/>
      </c>
      <c r="G2047" s="17">
        <f>+VLOOKUP($A2047,MAGAZZINO!$B$2:$M$4838,7,FALSE)</f>
        <v/>
      </c>
      <c r="H2047" s="17">
        <f>+VLOOKUP($A2047,MAGAZZINO!$B$2:$M$4838,8,FALSE)</f>
        <v/>
      </c>
      <c r="I2047" s="17">
        <f>+VLOOKUP($A2047,MAGAZZINO!$B$2:$M$4838,9,FALSE)</f>
        <v/>
      </c>
      <c r="J2047" s="17">
        <f>+VLOOKUP($A2047,MAGAZZINO!$B$2:$M$4838,10,FALSE)</f>
        <v/>
      </c>
      <c r="K2047" s="17">
        <f>+VLOOKUP($A2047,MAGAZZINO!$B$2:$M$4838,11,FALSE)</f>
        <v/>
      </c>
      <c r="L2047" s="44">
        <f>+VLOOKUP($A2047,MAGAZZINO!$B$2:$M$4838,12,FALSE)</f>
        <v/>
      </c>
    </row>
    <row r="2048" ht="36" customHeight="1">
      <c r="A2048" s="30">
        <f>+REGISTRO!A2031</f>
        <v/>
      </c>
      <c r="B2048" s="31">
        <f>+VLOOKUP($A2048,MAGAZZINO!$B$2:$M$4838,2,FALSE)</f>
        <v/>
      </c>
      <c r="C2048" s="32">
        <f>+VLOOKUP($A2048,MAGAZZINO!$B$2:$M$4838,3,FALSE)</f>
        <v/>
      </c>
      <c r="D2048" s="17">
        <f>+VLOOKUP($A2048,MAGAZZINO!$B$2:$M$4838,4,FALSE)</f>
        <v/>
      </c>
      <c r="E2048" s="17">
        <f>+VLOOKUP($A2048,MAGAZZINO!$B$2:$M$4838,5,FALSE)</f>
        <v/>
      </c>
      <c r="F2048" s="17">
        <f>+VLOOKUP($A2048,MAGAZZINO!$B$2:$M$4838,6,FALSE)</f>
        <v/>
      </c>
      <c r="G2048" s="17">
        <f>+VLOOKUP($A2048,MAGAZZINO!$B$2:$M$4838,7,FALSE)</f>
        <v/>
      </c>
      <c r="H2048" s="17">
        <f>+VLOOKUP($A2048,MAGAZZINO!$B$2:$M$4838,8,FALSE)</f>
        <v/>
      </c>
      <c r="I2048" s="17">
        <f>+VLOOKUP($A2048,MAGAZZINO!$B$2:$M$4838,9,FALSE)</f>
        <v/>
      </c>
      <c r="J2048" s="17">
        <f>+VLOOKUP($A2048,MAGAZZINO!$B$2:$M$4838,10,FALSE)</f>
        <v/>
      </c>
      <c r="K2048" s="17">
        <f>+VLOOKUP($A2048,MAGAZZINO!$B$2:$M$4838,11,FALSE)</f>
        <v/>
      </c>
      <c r="L2048" s="44">
        <f>+VLOOKUP($A2048,MAGAZZINO!$B$2:$M$4838,12,FALSE)</f>
        <v/>
      </c>
    </row>
    <row r="2049" ht="36" customHeight="1">
      <c r="A2049" s="30">
        <f>+REGISTRO!A2032</f>
        <v/>
      </c>
      <c r="B2049" s="31">
        <f>+VLOOKUP($A2049,MAGAZZINO!$B$2:$M$4838,2,FALSE)</f>
        <v/>
      </c>
      <c r="C2049" s="32">
        <f>+VLOOKUP($A2049,MAGAZZINO!$B$2:$M$4838,3,FALSE)</f>
        <v/>
      </c>
      <c r="D2049" s="17">
        <f>+VLOOKUP($A2049,MAGAZZINO!$B$2:$M$4838,4,FALSE)</f>
        <v/>
      </c>
      <c r="E2049" s="17">
        <f>+VLOOKUP($A2049,MAGAZZINO!$B$2:$M$4838,5,FALSE)</f>
        <v/>
      </c>
      <c r="F2049" s="17">
        <f>+VLOOKUP($A2049,MAGAZZINO!$B$2:$M$4838,6,FALSE)</f>
        <v/>
      </c>
      <c r="G2049" s="17">
        <f>+VLOOKUP($A2049,MAGAZZINO!$B$2:$M$4838,7,FALSE)</f>
        <v/>
      </c>
      <c r="H2049" s="17">
        <f>+VLOOKUP($A2049,MAGAZZINO!$B$2:$M$4838,8,FALSE)</f>
        <v/>
      </c>
      <c r="I2049" s="17">
        <f>+VLOOKUP($A2049,MAGAZZINO!$B$2:$M$4838,9,FALSE)</f>
        <v/>
      </c>
      <c r="J2049" s="17">
        <f>+VLOOKUP($A2049,MAGAZZINO!$B$2:$M$4838,10,FALSE)</f>
        <v/>
      </c>
      <c r="K2049" s="17">
        <f>+VLOOKUP($A2049,MAGAZZINO!$B$2:$M$4838,11,FALSE)</f>
        <v/>
      </c>
      <c r="L2049" s="44">
        <f>+VLOOKUP($A2049,MAGAZZINO!$B$2:$M$4838,12,FALSE)</f>
        <v/>
      </c>
    </row>
    <row r="2050" ht="36" customHeight="1">
      <c r="A2050" s="30">
        <f>+REGISTRO!A2033</f>
        <v/>
      </c>
      <c r="B2050" s="31">
        <f>+VLOOKUP($A2050,MAGAZZINO!$B$2:$M$4838,2,FALSE)</f>
        <v/>
      </c>
      <c r="C2050" s="32">
        <f>+VLOOKUP($A2050,MAGAZZINO!$B$2:$M$4838,3,FALSE)</f>
        <v/>
      </c>
      <c r="D2050" s="17">
        <f>+VLOOKUP($A2050,MAGAZZINO!$B$2:$M$4838,4,FALSE)</f>
        <v/>
      </c>
      <c r="E2050" s="17">
        <f>+VLOOKUP($A2050,MAGAZZINO!$B$2:$M$4838,5,FALSE)</f>
        <v/>
      </c>
      <c r="F2050" s="17">
        <f>+VLOOKUP($A2050,MAGAZZINO!$B$2:$M$4838,6,FALSE)</f>
        <v/>
      </c>
      <c r="G2050" s="17">
        <f>+VLOOKUP($A2050,MAGAZZINO!$B$2:$M$4838,7,FALSE)</f>
        <v/>
      </c>
      <c r="H2050" s="17">
        <f>+VLOOKUP($A2050,MAGAZZINO!$B$2:$M$4838,8,FALSE)</f>
        <v/>
      </c>
      <c r="I2050" s="17">
        <f>+VLOOKUP($A2050,MAGAZZINO!$B$2:$M$4838,9,FALSE)</f>
        <v/>
      </c>
      <c r="J2050" s="17">
        <f>+VLOOKUP($A2050,MAGAZZINO!$B$2:$M$4838,10,FALSE)</f>
        <v/>
      </c>
      <c r="K2050" s="17">
        <f>+VLOOKUP($A2050,MAGAZZINO!$B$2:$M$4838,11,FALSE)</f>
        <v/>
      </c>
      <c r="L2050" s="44">
        <f>+VLOOKUP($A2050,MAGAZZINO!$B$2:$M$4838,12,FALSE)</f>
        <v/>
      </c>
    </row>
    <row r="2051" ht="36" customHeight="1">
      <c r="A2051" s="30">
        <f>+REGISTRO!A2034</f>
        <v/>
      </c>
      <c r="B2051" s="31">
        <f>+VLOOKUP($A2051,MAGAZZINO!$B$2:$M$4838,2,FALSE)</f>
        <v/>
      </c>
      <c r="C2051" s="32">
        <f>+VLOOKUP($A2051,MAGAZZINO!$B$2:$M$4838,3,FALSE)</f>
        <v/>
      </c>
      <c r="D2051" s="17">
        <f>+VLOOKUP($A2051,MAGAZZINO!$B$2:$M$4838,4,FALSE)</f>
        <v/>
      </c>
      <c r="E2051" s="17">
        <f>+VLOOKUP($A2051,MAGAZZINO!$B$2:$M$4838,5,FALSE)</f>
        <v/>
      </c>
      <c r="F2051" s="17">
        <f>+VLOOKUP($A2051,MAGAZZINO!$B$2:$M$4838,6,FALSE)</f>
        <v/>
      </c>
      <c r="G2051" s="17">
        <f>+VLOOKUP($A2051,MAGAZZINO!$B$2:$M$4838,7,FALSE)</f>
        <v/>
      </c>
      <c r="H2051" s="17">
        <f>+VLOOKUP($A2051,MAGAZZINO!$B$2:$M$4838,8,FALSE)</f>
        <v/>
      </c>
      <c r="I2051" s="17">
        <f>+VLOOKUP($A2051,MAGAZZINO!$B$2:$M$4838,9,FALSE)</f>
        <v/>
      </c>
      <c r="J2051" s="17">
        <f>+VLOOKUP($A2051,MAGAZZINO!$B$2:$M$4838,10,FALSE)</f>
        <v/>
      </c>
      <c r="K2051" s="17">
        <f>+VLOOKUP($A2051,MAGAZZINO!$B$2:$M$4838,11,FALSE)</f>
        <v/>
      </c>
      <c r="L2051" s="44">
        <f>+VLOOKUP($A2051,MAGAZZINO!$B$2:$M$4838,12,FALSE)</f>
        <v/>
      </c>
    </row>
    <row r="2052" ht="36" customHeight="1">
      <c r="A2052" s="30">
        <f>+REGISTRO!A2035</f>
        <v/>
      </c>
      <c r="B2052" s="31">
        <f>+VLOOKUP($A2052,MAGAZZINO!$B$2:$M$4838,2,FALSE)</f>
        <v/>
      </c>
      <c r="C2052" s="32">
        <f>+VLOOKUP($A2052,MAGAZZINO!$B$2:$M$4838,3,FALSE)</f>
        <v/>
      </c>
      <c r="D2052" s="17">
        <f>+VLOOKUP($A2052,MAGAZZINO!$B$2:$M$4838,4,FALSE)</f>
        <v/>
      </c>
      <c r="E2052" s="17">
        <f>+VLOOKUP($A2052,MAGAZZINO!$B$2:$M$4838,5,FALSE)</f>
        <v/>
      </c>
      <c r="F2052" s="17">
        <f>+VLOOKUP($A2052,MAGAZZINO!$B$2:$M$4838,6,FALSE)</f>
        <v/>
      </c>
      <c r="G2052" s="17">
        <f>+VLOOKUP($A2052,MAGAZZINO!$B$2:$M$4838,7,FALSE)</f>
        <v/>
      </c>
      <c r="H2052" s="17">
        <f>+VLOOKUP($A2052,MAGAZZINO!$B$2:$M$4838,8,FALSE)</f>
        <v/>
      </c>
      <c r="I2052" s="17">
        <f>+VLOOKUP($A2052,MAGAZZINO!$B$2:$M$4838,9,FALSE)</f>
        <v/>
      </c>
      <c r="J2052" s="17">
        <f>+VLOOKUP($A2052,MAGAZZINO!$B$2:$M$4838,10,FALSE)</f>
        <v/>
      </c>
      <c r="K2052" s="17">
        <f>+VLOOKUP($A2052,MAGAZZINO!$B$2:$M$4838,11,FALSE)</f>
        <v/>
      </c>
      <c r="L2052" s="44">
        <f>+VLOOKUP($A2052,MAGAZZINO!$B$2:$M$4838,12,FALSE)</f>
        <v/>
      </c>
    </row>
    <row r="2053" ht="36" customHeight="1">
      <c r="A2053" s="30">
        <f>+REGISTRO!A2036</f>
        <v/>
      </c>
      <c r="B2053" s="31">
        <f>+VLOOKUP($A2053,MAGAZZINO!$B$2:$M$4838,2,FALSE)</f>
        <v/>
      </c>
      <c r="C2053" s="32">
        <f>+VLOOKUP($A2053,MAGAZZINO!$B$2:$M$4838,3,FALSE)</f>
        <v/>
      </c>
      <c r="D2053" s="17">
        <f>+VLOOKUP($A2053,MAGAZZINO!$B$2:$M$4838,4,FALSE)</f>
        <v/>
      </c>
      <c r="E2053" s="17">
        <f>+VLOOKUP($A2053,MAGAZZINO!$B$2:$M$4838,5,FALSE)</f>
        <v/>
      </c>
      <c r="F2053" s="17">
        <f>+VLOOKUP($A2053,MAGAZZINO!$B$2:$M$4838,6,FALSE)</f>
        <v/>
      </c>
      <c r="G2053" s="17">
        <f>+VLOOKUP($A2053,MAGAZZINO!$B$2:$M$4838,7,FALSE)</f>
        <v/>
      </c>
      <c r="H2053" s="17">
        <f>+VLOOKUP($A2053,MAGAZZINO!$B$2:$M$4838,8,FALSE)</f>
        <v/>
      </c>
      <c r="I2053" s="17">
        <f>+VLOOKUP($A2053,MAGAZZINO!$B$2:$M$4838,9,FALSE)</f>
        <v/>
      </c>
      <c r="J2053" s="17">
        <f>+VLOOKUP($A2053,MAGAZZINO!$B$2:$M$4838,10,FALSE)</f>
        <v/>
      </c>
      <c r="K2053" s="17">
        <f>+VLOOKUP($A2053,MAGAZZINO!$B$2:$M$4838,11,FALSE)</f>
        <v/>
      </c>
      <c r="L2053" s="44">
        <f>+VLOOKUP($A2053,MAGAZZINO!$B$2:$M$4838,12,FALSE)</f>
        <v/>
      </c>
    </row>
    <row r="2054" ht="36" customHeight="1">
      <c r="A2054" s="30">
        <f>+REGISTRO!A2037</f>
        <v/>
      </c>
      <c r="B2054" s="31">
        <f>+VLOOKUP($A2054,MAGAZZINO!$B$2:$M$4838,2,FALSE)</f>
        <v/>
      </c>
      <c r="C2054" s="32">
        <f>+VLOOKUP($A2054,MAGAZZINO!$B$2:$M$4838,3,FALSE)</f>
        <v/>
      </c>
      <c r="D2054" s="17">
        <f>+VLOOKUP($A2054,MAGAZZINO!$B$2:$M$4838,4,FALSE)</f>
        <v/>
      </c>
      <c r="E2054" s="17">
        <f>+VLOOKUP($A2054,MAGAZZINO!$B$2:$M$4838,5,FALSE)</f>
        <v/>
      </c>
      <c r="F2054" s="17">
        <f>+VLOOKUP($A2054,MAGAZZINO!$B$2:$M$4838,6,FALSE)</f>
        <v/>
      </c>
      <c r="G2054" s="17">
        <f>+VLOOKUP($A2054,MAGAZZINO!$B$2:$M$4838,7,FALSE)</f>
        <v/>
      </c>
      <c r="H2054" s="17">
        <f>+VLOOKUP($A2054,MAGAZZINO!$B$2:$M$4838,8,FALSE)</f>
        <v/>
      </c>
      <c r="I2054" s="17">
        <f>+VLOOKUP($A2054,MAGAZZINO!$B$2:$M$4838,9,FALSE)</f>
        <v/>
      </c>
      <c r="J2054" s="17">
        <f>+VLOOKUP($A2054,MAGAZZINO!$B$2:$M$4838,10,FALSE)</f>
        <v/>
      </c>
      <c r="K2054" s="17">
        <f>+VLOOKUP($A2054,MAGAZZINO!$B$2:$M$4838,11,FALSE)</f>
        <v/>
      </c>
      <c r="L2054" s="44">
        <f>+VLOOKUP($A2054,MAGAZZINO!$B$2:$M$4838,12,FALSE)</f>
        <v/>
      </c>
    </row>
    <row r="2055" ht="36" customHeight="1">
      <c r="A2055" s="30">
        <f>+REGISTRO!A2038</f>
        <v/>
      </c>
      <c r="B2055" s="31">
        <f>+VLOOKUP($A2055,MAGAZZINO!$B$2:$M$4838,2,FALSE)</f>
        <v/>
      </c>
      <c r="C2055" s="32">
        <f>+VLOOKUP($A2055,MAGAZZINO!$B$2:$M$4838,3,FALSE)</f>
        <v/>
      </c>
      <c r="D2055" s="17">
        <f>+VLOOKUP($A2055,MAGAZZINO!$B$2:$M$4838,4,FALSE)</f>
        <v/>
      </c>
      <c r="E2055" s="17">
        <f>+VLOOKUP($A2055,MAGAZZINO!$B$2:$M$4838,5,FALSE)</f>
        <v/>
      </c>
      <c r="F2055" s="17">
        <f>+VLOOKUP($A2055,MAGAZZINO!$B$2:$M$4838,6,FALSE)</f>
        <v/>
      </c>
      <c r="G2055" s="17">
        <f>+VLOOKUP($A2055,MAGAZZINO!$B$2:$M$4838,7,FALSE)</f>
        <v/>
      </c>
      <c r="H2055" s="17">
        <f>+VLOOKUP($A2055,MAGAZZINO!$B$2:$M$4838,8,FALSE)</f>
        <v/>
      </c>
      <c r="I2055" s="17">
        <f>+VLOOKUP($A2055,MAGAZZINO!$B$2:$M$4838,9,FALSE)</f>
        <v/>
      </c>
      <c r="J2055" s="17">
        <f>+VLOOKUP($A2055,MAGAZZINO!$B$2:$M$4838,10,FALSE)</f>
        <v/>
      </c>
      <c r="K2055" s="17">
        <f>+VLOOKUP($A2055,MAGAZZINO!$B$2:$M$4838,11,FALSE)</f>
        <v/>
      </c>
      <c r="L2055" s="44">
        <f>+VLOOKUP($A2055,MAGAZZINO!$B$2:$M$4838,12,FALSE)</f>
        <v/>
      </c>
    </row>
    <row r="2056" ht="36" customHeight="1">
      <c r="A2056" s="30">
        <f>+REGISTRO!A2039</f>
        <v/>
      </c>
      <c r="B2056" s="31">
        <f>+VLOOKUP($A2056,MAGAZZINO!$B$2:$M$4838,2,FALSE)</f>
        <v/>
      </c>
      <c r="C2056" s="32">
        <f>+VLOOKUP($A2056,MAGAZZINO!$B$2:$M$4838,3,FALSE)</f>
        <v/>
      </c>
      <c r="D2056" s="17">
        <f>+VLOOKUP($A2056,MAGAZZINO!$B$2:$M$4838,4,FALSE)</f>
        <v/>
      </c>
      <c r="E2056" s="17">
        <f>+VLOOKUP($A2056,MAGAZZINO!$B$2:$M$4838,5,FALSE)</f>
        <v/>
      </c>
      <c r="F2056" s="17">
        <f>+VLOOKUP($A2056,MAGAZZINO!$B$2:$M$4838,6,FALSE)</f>
        <v/>
      </c>
      <c r="G2056" s="17">
        <f>+VLOOKUP($A2056,MAGAZZINO!$B$2:$M$4838,7,FALSE)</f>
        <v/>
      </c>
      <c r="H2056" s="17">
        <f>+VLOOKUP($A2056,MAGAZZINO!$B$2:$M$4838,8,FALSE)</f>
        <v/>
      </c>
      <c r="I2056" s="17">
        <f>+VLOOKUP($A2056,MAGAZZINO!$B$2:$M$4838,9,FALSE)</f>
        <v/>
      </c>
      <c r="J2056" s="17">
        <f>+VLOOKUP($A2056,MAGAZZINO!$B$2:$M$4838,10,FALSE)</f>
        <v/>
      </c>
      <c r="K2056" s="17">
        <f>+VLOOKUP($A2056,MAGAZZINO!$B$2:$M$4838,11,FALSE)</f>
        <v/>
      </c>
      <c r="L2056" s="44">
        <f>+VLOOKUP($A2056,MAGAZZINO!$B$2:$M$4838,12,FALSE)</f>
        <v/>
      </c>
    </row>
    <row r="2057" ht="36" customHeight="1">
      <c r="A2057" s="30">
        <f>+REGISTRO!A2040</f>
        <v/>
      </c>
      <c r="B2057" s="31">
        <f>+VLOOKUP($A2057,MAGAZZINO!$B$2:$M$4838,2,FALSE)</f>
        <v/>
      </c>
      <c r="C2057" s="32">
        <f>+VLOOKUP($A2057,MAGAZZINO!$B$2:$M$4838,3,FALSE)</f>
        <v/>
      </c>
      <c r="D2057" s="17">
        <f>+VLOOKUP($A2057,MAGAZZINO!$B$2:$M$4838,4,FALSE)</f>
        <v/>
      </c>
      <c r="E2057" s="17">
        <f>+VLOOKUP($A2057,MAGAZZINO!$B$2:$M$4838,5,FALSE)</f>
        <v/>
      </c>
      <c r="F2057" s="17">
        <f>+VLOOKUP($A2057,MAGAZZINO!$B$2:$M$4838,6,FALSE)</f>
        <v/>
      </c>
      <c r="G2057" s="17">
        <f>+VLOOKUP($A2057,MAGAZZINO!$B$2:$M$4838,7,FALSE)</f>
        <v/>
      </c>
      <c r="H2057" s="17">
        <f>+VLOOKUP($A2057,MAGAZZINO!$B$2:$M$4838,8,FALSE)</f>
        <v/>
      </c>
      <c r="I2057" s="17">
        <f>+VLOOKUP($A2057,MAGAZZINO!$B$2:$M$4838,9,FALSE)</f>
        <v/>
      </c>
      <c r="J2057" s="17">
        <f>+VLOOKUP($A2057,MAGAZZINO!$B$2:$M$4838,10,FALSE)</f>
        <v/>
      </c>
      <c r="K2057" s="17">
        <f>+VLOOKUP($A2057,MAGAZZINO!$B$2:$M$4838,11,FALSE)</f>
        <v/>
      </c>
      <c r="L2057" s="44">
        <f>+VLOOKUP($A2057,MAGAZZINO!$B$2:$M$4838,12,FALSE)</f>
        <v/>
      </c>
    </row>
    <row r="2058" ht="36" customHeight="1">
      <c r="A2058" s="30">
        <f>+REGISTRO!A2041</f>
        <v/>
      </c>
      <c r="B2058" s="31">
        <f>+VLOOKUP($A2058,MAGAZZINO!$B$2:$M$4838,2,FALSE)</f>
        <v/>
      </c>
      <c r="C2058" s="32">
        <f>+VLOOKUP($A2058,MAGAZZINO!$B$2:$M$4838,3,FALSE)</f>
        <v/>
      </c>
      <c r="D2058" s="17">
        <f>+VLOOKUP($A2058,MAGAZZINO!$B$2:$M$4838,4,FALSE)</f>
        <v/>
      </c>
      <c r="E2058" s="17">
        <f>+VLOOKUP($A2058,MAGAZZINO!$B$2:$M$4838,5,FALSE)</f>
        <v/>
      </c>
      <c r="F2058" s="17">
        <f>+VLOOKUP($A2058,MAGAZZINO!$B$2:$M$4838,6,FALSE)</f>
        <v/>
      </c>
      <c r="G2058" s="17">
        <f>+VLOOKUP($A2058,MAGAZZINO!$B$2:$M$4838,7,FALSE)</f>
        <v/>
      </c>
      <c r="H2058" s="17">
        <f>+VLOOKUP($A2058,MAGAZZINO!$B$2:$M$4838,8,FALSE)</f>
        <v/>
      </c>
      <c r="I2058" s="17">
        <f>+VLOOKUP($A2058,MAGAZZINO!$B$2:$M$4838,9,FALSE)</f>
        <v/>
      </c>
      <c r="J2058" s="17">
        <f>+VLOOKUP($A2058,MAGAZZINO!$B$2:$M$4838,10,FALSE)</f>
        <v/>
      </c>
      <c r="K2058" s="17">
        <f>+VLOOKUP($A2058,MAGAZZINO!$B$2:$M$4838,11,FALSE)</f>
        <v/>
      </c>
      <c r="L2058" s="44">
        <f>+VLOOKUP($A2058,MAGAZZINO!$B$2:$M$4838,12,FALSE)</f>
        <v/>
      </c>
    </row>
    <row r="2059" ht="36" customHeight="1">
      <c r="A2059" s="30">
        <f>+REGISTRO!A2042</f>
        <v/>
      </c>
      <c r="B2059" s="31">
        <f>+VLOOKUP($A2059,MAGAZZINO!$B$2:$M$4838,2,FALSE)</f>
        <v/>
      </c>
      <c r="C2059" s="32">
        <f>+VLOOKUP($A2059,MAGAZZINO!$B$2:$M$4838,3,FALSE)</f>
        <v/>
      </c>
      <c r="D2059" s="17">
        <f>+VLOOKUP($A2059,MAGAZZINO!$B$2:$M$4838,4,FALSE)</f>
        <v/>
      </c>
      <c r="E2059" s="17">
        <f>+VLOOKUP($A2059,MAGAZZINO!$B$2:$M$4838,5,FALSE)</f>
        <v/>
      </c>
      <c r="F2059" s="17">
        <f>+VLOOKUP($A2059,MAGAZZINO!$B$2:$M$4838,6,FALSE)</f>
        <v/>
      </c>
      <c r="G2059" s="17">
        <f>+VLOOKUP($A2059,MAGAZZINO!$B$2:$M$4838,7,FALSE)</f>
        <v/>
      </c>
      <c r="H2059" s="17">
        <f>+VLOOKUP($A2059,MAGAZZINO!$B$2:$M$4838,8,FALSE)</f>
        <v/>
      </c>
      <c r="I2059" s="17">
        <f>+VLOOKUP($A2059,MAGAZZINO!$B$2:$M$4838,9,FALSE)</f>
        <v/>
      </c>
      <c r="J2059" s="17">
        <f>+VLOOKUP($A2059,MAGAZZINO!$B$2:$M$4838,10,FALSE)</f>
        <v/>
      </c>
      <c r="K2059" s="17">
        <f>+VLOOKUP($A2059,MAGAZZINO!$B$2:$M$4838,11,FALSE)</f>
        <v/>
      </c>
      <c r="L2059" s="44">
        <f>+VLOOKUP($A2059,MAGAZZINO!$B$2:$M$4838,12,FALSE)</f>
        <v/>
      </c>
    </row>
    <row r="2060" ht="36" customHeight="1">
      <c r="A2060" s="30">
        <f>+REGISTRO!A2043</f>
        <v/>
      </c>
      <c r="B2060" s="31">
        <f>+VLOOKUP($A2060,MAGAZZINO!$B$2:$M$4838,2,FALSE)</f>
        <v/>
      </c>
      <c r="C2060" s="32">
        <f>+VLOOKUP($A2060,MAGAZZINO!$B$2:$M$4838,3,FALSE)</f>
        <v/>
      </c>
      <c r="D2060" s="17">
        <f>+VLOOKUP($A2060,MAGAZZINO!$B$2:$M$4838,4,FALSE)</f>
        <v/>
      </c>
      <c r="E2060" s="17">
        <f>+VLOOKUP($A2060,MAGAZZINO!$B$2:$M$4838,5,FALSE)</f>
        <v/>
      </c>
      <c r="F2060" s="17">
        <f>+VLOOKUP($A2060,MAGAZZINO!$B$2:$M$4838,6,FALSE)</f>
        <v/>
      </c>
      <c r="G2060" s="17">
        <f>+VLOOKUP($A2060,MAGAZZINO!$B$2:$M$4838,7,FALSE)</f>
        <v/>
      </c>
      <c r="H2060" s="17">
        <f>+VLOOKUP($A2060,MAGAZZINO!$B$2:$M$4838,8,FALSE)</f>
        <v/>
      </c>
      <c r="I2060" s="17">
        <f>+VLOOKUP($A2060,MAGAZZINO!$B$2:$M$4838,9,FALSE)</f>
        <v/>
      </c>
      <c r="J2060" s="17">
        <f>+VLOOKUP($A2060,MAGAZZINO!$B$2:$M$4838,10,FALSE)</f>
        <v/>
      </c>
      <c r="K2060" s="17">
        <f>+VLOOKUP($A2060,MAGAZZINO!$B$2:$M$4838,11,FALSE)</f>
        <v/>
      </c>
      <c r="L2060" s="44">
        <f>+VLOOKUP($A2060,MAGAZZINO!$B$2:$M$4838,12,FALSE)</f>
        <v/>
      </c>
    </row>
    <row r="2061" ht="36" customHeight="1">
      <c r="A2061" s="30">
        <f>+REGISTRO!A2044</f>
        <v/>
      </c>
      <c r="B2061" s="31">
        <f>+VLOOKUP($A2061,MAGAZZINO!$B$2:$M$4838,2,FALSE)</f>
        <v/>
      </c>
      <c r="C2061" s="32">
        <f>+VLOOKUP($A2061,MAGAZZINO!$B$2:$M$4838,3,FALSE)</f>
        <v/>
      </c>
      <c r="D2061" s="17">
        <f>+VLOOKUP($A2061,MAGAZZINO!$B$2:$M$4838,4,FALSE)</f>
        <v/>
      </c>
      <c r="E2061" s="17">
        <f>+VLOOKUP($A2061,MAGAZZINO!$B$2:$M$4838,5,FALSE)</f>
        <v/>
      </c>
      <c r="F2061" s="17">
        <f>+VLOOKUP($A2061,MAGAZZINO!$B$2:$M$4838,6,FALSE)</f>
        <v/>
      </c>
      <c r="G2061" s="17">
        <f>+VLOOKUP($A2061,MAGAZZINO!$B$2:$M$4838,7,FALSE)</f>
        <v/>
      </c>
      <c r="H2061" s="17">
        <f>+VLOOKUP($A2061,MAGAZZINO!$B$2:$M$4838,8,FALSE)</f>
        <v/>
      </c>
      <c r="I2061" s="17">
        <f>+VLOOKUP($A2061,MAGAZZINO!$B$2:$M$4838,9,FALSE)</f>
        <v/>
      </c>
      <c r="J2061" s="17">
        <f>+VLOOKUP($A2061,MAGAZZINO!$B$2:$M$4838,10,FALSE)</f>
        <v/>
      </c>
      <c r="K2061" s="17">
        <f>+VLOOKUP($A2061,MAGAZZINO!$B$2:$M$4838,11,FALSE)</f>
        <v/>
      </c>
      <c r="L2061" s="44">
        <f>+VLOOKUP($A2061,MAGAZZINO!$B$2:$M$4838,12,FALSE)</f>
        <v/>
      </c>
    </row>
    <row r="2062" ht="36" customHeight="1">
      <c r="A2062" s="30">
        <f>+REGISTRO!A2045</f>
        <v/>
      </c>
      <c r="B2062" s="31">
        <f>+VLOOKUP($A2062,MAGAZZINO!$B$2:$M$4838,2,FALSE)</f>
        <v/>
      </c>
      <c r="C2062" s="32">
        <f>+VLOOKUP($A2062,MAGAZZINO!$B$2:$M$4838,3,FALSE)</f>
        <v/>
      </c>
      <c r="D2062" s="17">
        <f>+VLOOKUP($A2062,MAGAZZINO!$B$2:$M$4838,4,FALSE)</f>
        <v/>
      </c>
      <c r="E2062" s="17">
        <f>+VLOOKUP($A2062,MAGAZZINO!$B$2:$M$4838,5,FALSE)</f>
        <v/>
      </c>
      <c r="F2062" s="17">
        <f>+VLOOKUP($A2062,MAGAZZINO!$B$2:$M$4838,6,FALSE)</f>
        <v/>
      </c>
      <c r="G2062" s="17">
        <f>+VLOOKUP($A2062,MAGAZZINO!$B$2:$M$4838,7,FALSE)</f>
        <v/>
      </c>
      <c r="H2062" s="17">
        <f>+VLOOKUP($A2062,MAGAZZINO!$B$2:$M$4838,8,FALSE)</f>
        <v/>
      </c>
      <c r="I2062" s="17">
        <f>+VLOOKUP($A2062,MAGAZZINO!$B$2:$M$4838,9,FALSE)</f>
        <v/>
      </c>
      <c r="J2062" s="17">
        <f>+VLOOKUP($A2062,MAGAZZINO!$B$2:$M$4838,10,FALSE)</f>
        <v/>
      </c>
      <c r="K2062" s="17">
        <f>+VLOOKUP($A2062,MAGAZZINO!$B$2:$M$4838,11,FALSE)</f>
        <v/>
      </c>
      <c r="L2062" s="44">
        <f>+VLOOKUP($A2062,MAGAZZINO!$B$2:$M$4838,12,FALSE)</f>
        <v/>
      </c>
    </row>
    <row r="2063" ht="36" customHeight="1">
      <c r="A2063" s="30">
        <f>+REGISTRO!A2046</f>
        <v/>
      </c>
      <c r="B2063" s="31">
        <f>+VLOOKUP($A2063,MAGAZZINO!$B$2:$M$4838,2,FALSE)</f>
        <v/>
      </c>
      <c r="C2063" s="32">
        <f>+VLOOKUP($A2063,MAGAZZINO!$B$2:$M$4838,3,FALSE)</f>
        <v/>
      </c>
      <c r="D2063" s="17">
        <f>+VLOOKUP($A2063,MAGAZZINO!$B$2:$M$4838,4,FALSE)</f>
        <v/>
      </c>
      <c r="E2063" s="17">
        <f>+VLOOKUP($A2063,MAGAZZINO!$B$2:$M$4838,5,FALSE)</f>
        <v/>
      </c>
      <c r="F2063" s="17">
        <f>+VLOOKUP($A2063,MAGAZZINO!$B$2:$M$4838,6,FALSE)</f>
        <v/>
      </c>
      <c r="G2063" s="17">
        <f>+VLOOKUP($A2063,MAGAZZINO!$B$2:$M$4838,7,FALSE)</f>
        <v/>
      </c>
      <c r="H2063" s="17">
        <f>+VLOOKUP($A2063,MAGAZZINO!$B$2:$M$4838,8,FALSE)</f>
        <v/>
      </c>
      <c r="I2063" s="17">
        <f>+VLOOKUP($A2063,MAGAZZINO!$B$2:$M$4838,9,FALSE)</f>
        <v/>
      </c>
      <c r="J2063" s="17">
        <f>+VLOOKUP($A2063,MAGAZZINO!$B$2:$M$4838,10,FALSE)</f>
        <v/>
      </c>
      <c r="K2063" s="17">
        <f>+VLOOKUP($A2063,MAGAZZINO!$B$2:$M$4838,11,FALSE)</f>
        <v/>
      </c>
      <c r="L2063" s="44">
        <f>+VLOOKUP($A2063,MAGAZZINO!$B$2:$M$4838,12,FALSE)</f>
        <v/>
      </c>
    </row>
    <row r="2064" ht="36" customHeight="1">
      <c r="A2064" s="30">
        <f>+REGISTRO!A2047</f>
        <v/>
      </c>
      <c r="B2064" s="31">
        <f>+VLOOKUP($A2064,MAGAZZINO!$B$2:$M$4838,2,FALSE)</f>
        <v/>
      </c>
      <c r="C2064" s="32">
        <f>+VLOOKUP($A2064,MAGAZZINO!$B$2:$M$4838,3,FALSE)</f>
        <v/>
      </c>
      <c r="D2064" s="17">
        <f>+VLOOKUP($A2064,MAGAZZINO!$B$2:$M$4838,4,FALSE)</f>
        <v/>
      </c>
      <c r="E2064" s="17">
        <f>+VLOOKUP($A2064,MAGAZZINO!$B$2:$M$4838,5,FALSE)</f>
        <v/>
      </c>
      <c r="F2064" s="17">
        <f>+VLOOKUP($A2064,MAGAZZINO!$B$2:$M$4838,6,FALSE)</f>
        <v/>
      </c>
      <c r="G2064" s="17">
        <f>+VLOOKUP($A2064,MAGAZZINO!$B$2:$M$4838,7,FALSE)</f>
        <v/>
      </c>
      <c r="H2064" s="17">
        <f>+VLOOKUP($A2064,MAGAZZINO!$B$2:$M$4838,8,FALSE)</f>
        <v/>
      </c>
      <c r="I2064" s="17">
        <f>+VLOOKUP($A2064,MAGAZZINO!$B$2:$M$4838,9,FALSE)</f>
        <v/>
      </c>
      <c r="J2064" s="17">
        <f>+VLOOKUP($A2064,MAGAZZINO!$B$2:$M$4838,10,FALSE)</f>
        <v/>
      </c>
      <c r="K2064" s="17">
        <f>+VLOOKUP($A2064,MAGAZZINO!$B$2:$M$4838,11,FALSE)</f>
        <v/>
      </c>
      <c r="L2064" s="44">
        <f>+VLOOKUP($A2064,MAGAZZINO!$B$2:$M$4838,12,FALSE)</f>
        <v/>
      </c>
    </row>
    <row r="2065" ht="36" customHeight="1">
      <c r="A2065" s="30">
        <f>+REGISTRO!A2048</f>
        <v/>
      </c>
      <c r="B2065" s="31">
        <f>+VLOOKUP($A2065,MAGAZZINO!$B$2:$M$4838,2,FALSE)</f>
        <v/>
      </c>
      <c r="C2065" s="32">
        <f>+VLOOKUP($A2065,MAGAZZINO!$B$2:$M$4838,3,FALSE)</f>
        <v/>
      </c>
      <c r="D2065" s="17">
        <f>+VLOOKUP($A2065,MAGAZZINO!$B$2:$M$4838,4,FALSE)</f>
        <v/>
      </c>
      <c r="E2065" s="17">
        <f>+VLOOKUP($A2065,MAGAZZINO!$B$2:$M$4838,5,FALSE)</f>
        <v/>
      </c>
      <c r="F2065" s="17">
        <f>+VLOOKUP($A2065,MAGAZZINO!$B$2:$M$4838,6,FALSE)</f>
        <v/>
      </c>
      <c r="G2065" s="17">
        <f>+VLOOKUP($A2065,MAGAZZINO!$B$2:$M$4838,7,FALSE)</f>
        <v/>
      </c>
      <c r="H2065" s="17">
        <f>+VLOOKUP($A2065,MAGAZZINO!$B$2:$M$4838,8,FALSE)</f>
        <v/>
      </c>
      <c r="I2065" s="17">
        <f>+VLOOKUP($A2065,MAGAZZINO!$B$2:$M$4838,9,FALSE)</f>
        <v/>
      </c>
      <c r="J2065" s="17">
        <f>+VLOOKUP($A2065,MAGAZZINO!$B$2:$M$4838,10,FALSE)</f>
        <v/>
      </c>
      <c r="K2065" s="17">
        <f>+VLOOKUP($A2065,MAGAZZINO!$B$2:$M$4838,11,FALSE)</f>
        <v/>
      </c>
      <c r="L2065" s="44">
        <f>+VLOOKUP($A2065,MAGAZZINO!$B$2:$M$4838,12,FALSE)</f>
        <v/>
      </c>
    </row>
    <row r="2066" ht="36" customHeight="1">
      <c r="A2066" s="30">
        <f>+REGISTRO!A2049</f>
        <v/>
      </c>
      <c r="B2066" s="31">
        <f>+VLOOKUP($A2066,MAGAZZINO!$B$2:$M$4838,2,FALSE)</f>
        <v/>
      </c>
      <c r="C2066" s="32">
        <f>+VLOOKUP($A2066,MAGAZZINO!$B$2:$M$4838,3,FALSE)</f>
        <v/>
      </c>
      <c r="D2066" s="17">
        <f>+VLOOKUP($A2066,MAGAZZINO!$B$2:$M$4838,4,FALSE)</f>
        <v/>
      </c>
      <c r="E2066" s="17">
        <f>+VLOOKUP($A2066,MAGAZZINO!$B$2:$M$4838,5,FALSE)</f>
        <v/>
      </c>
      <c r="F2066" s="17">
        <f>+VLOOKUP($A2066,MAGAZZINO!$B$2:$M$4838,6,FALSE)</f>
        <v/>
      </c>
      <c r="G2066" s="17">
        <f>+VLOOKUP($A2066,MAGAZZINO!$B$2:$M$4838,7,FALSE)</f>
        <v/>
      </c>
      <c r="H2066" s="17">
        <f>+VLOOKUP($A2066,MAGAZZINO!$B$2:$M$4838,8,FALSE)</f>
        <v/>
      </c>
      <c r="I2066" s="17">
        <f>+VLOOKUP($A2066,MAGAZZINO!$B$2:$M$4838,9,FALSE)</f>
        <v/>
      </c>
      <c r="J2066" s="17">
        <f>+VLOOKUP($A2066,MAGAZZINO!$B$2:$M$4838,10,FALSE)</f>
        <v/>
      </c>
      <c r="K2066" s="17">
        <f>+VLOOKUP($A2066,MAGAZZINO!$B$2:$M$4838,11,FALSE)</f>
        <v/>
      </c>
      <c r="L2066" s="44">
        <f>+VLOOKUP($A2066,MAGAZZINO!$B$2:$M$4838,12,FALSE)</f>
        <v/>
      </c>
    </row>
    <row r="2067" ht="36" customHeight="1">
      <c r="A2067" s="30">
        <f>+REGISTRO!A2050</f>
        <v/>
      </c>
      <c r="B2067" s="31">
        <f>+VLOOKUP($A2067,MAGAZZINO!$B$2:$M$4838,2,FALSE)</f>
        <v/>
      </c>
      <c r="C2067" s="32">
        <f>+VLOOKUP($A2067,MAGAZZINO!$B$2:$M$4838,3,FALSE)</f>
        <v/>
      </c>
      <c r="D2067" s="17">
        <f>+VLOOKUP($A2067,MAGAZZINO!$B$2:$M$4838,4,FALSE)</f>
        <v/>
      </c>
      <c r="E2067" s="17">
        <f>+VLOOKUP($A2067,MAGAZZINO!$B$2:$M$4838,5,FALSE)</f>
        <v/>
      </c>
      <c r="F2067" s="17">
        <f>+VLOOKUP($A2067,MAGAZZINO!$B$2:$M$4838,6,FALSE)</f>
        <v/>
      </c>
      <c r="G2067" s="17">
        <f>+VLOOKUP($A2067,MAGAZZINO!$B$2:$M$4838,7,FALSE)</f>
        <v/>
      </c>
      <c r="H2067" s="17">
        <f>+VLOOKUP($A2067,MAGAZZINO!$B$2:$M$4838,8,FALSE)</f>
        <v/>
      </c>
      <c r="I2067" s="17">
        <f>+VLOOKUP($A2067,MAGAZZINO!$B$2:$M$4838,9,FALSE)</f>
        <v/>
      </c>
      <c r="J2067" s="17">
        <f>+VLOOKUP($A2067,MAGAZZINO!$B$2:$M$4838,10,FALSE)</f>
        <v/>
      </c>
      <c r="K2067" s="17">
        <f>+VLOOKUP($A2067,MAGAZZINO!$B$2:$M$4838,11,FALSE)</f>
        <v/>
      </c>
      <c r="L2067" s="44">
        <f>+VLOOKUP($A2067,MAGAZZINO!$B$2:$M$4838,12,FALSE)</f>
        <v/>
      </c>
    </row>
    <row r="2068" ht="36" customHeight="1">
      <c r="A2068" s="30">
        <f>+REGISTRO!A2051</f>
        <v/>
      </c>
      <c r="B2068" s="31">
        <f>+VLOOKUP($A2068,MAGAZZINO!$B$2:$M$4838,2,FALSE)</f>
        <v/>
      </c>
      <c r="C2068" s="32">
        <f>+VLOOKUP($A2068,MAGAZZINO!$B$2:$M$4838,3,FALSE)</f>
        <v/>
      </c>
      <c r="D2068" s="17">
        <f>+VLOOKUP($A2068,MAGAZZINO!$B$2:$M$4838,4,FALSE)</f>
        <v/>
      </c>
      <c r="E2068" s="17">
        <f>+VLOOKUP($A2068,MAGAZZINO!$B$2:$M$4838,5,FALSE)</f>
        <v/>
      </c>
      <c r="F2068" s="17">
        <f>+VLOOKUP($A2068,MAGAZZINO!$B$2:$M$4838,6,FALSE)</f>
        <v/>
      </c>
      <c r="G2068" s="17">
        <f>+VLOOKUP($A2068,MAGAZZINO!$B$2:$M$4838,7,FALSE)</f>
        <v/>
      </c>
      <c r="H2068" s="17">
        <f>+VLOOKUP($A2068,MAGAZZINO!$B$2:$M$4838,8,FALSE)</f>
        <v/>
      </c>
      <c r="I2068" s="17">
        <f>+VLOOKUP($A2068,MAGAZZINO!$B$2:$M$4838,9,FALSE)</f>
        <v/>
      </c>
      <c r="J2068" s="17">
        <f>+VLOOKUP($A2068,MAGAZZINO!$B$2:$M$4838,10,FALSE)</f>
        <v/>
      </c>
      <c r="K2068" s="17">
        <f>+VLOOKUP($A2068,MAGAZZINO!$B$2:$M$4838,11,FALSE)</f>
        <v/>
      </c>
      <c r="L2068" s="44">
        <f>+VLOOKUP($A2068,MAGAZZINO!$B$2:$M$4838,12,FALSE)</f>
        <v/>
      </c>
    </row>
    <row r="2069" ht="36" customHeight="1">
      <c r="A2069" s="30">
        <f>+REGISTRO!A2052</f>
        <v/>
      </c>
      <c r="B2069" s="31">
        <f>+VLOOKUP($A2069,MAGAZZINO!$B$2:$M$4838,2,FALSE)</f>
        <v/>
      </c>
      <c r="C2069" s="32">
        <f>+VLOOKUP($A2069,MAGAZZINO!$B$2:$M$4838,3,FALSE)</f>
        <v/>
      </c>
      <c r="D2069" s="17">
        <f>+VLOOKUP($A2069,MAGAZZINO!$B$2:$M$4838,4,FALSE)</f>
        <v/>
      </c>
      <c r="E2069" s="17">
        <f>+VLOOKUP($A2069,MAGAZZINO!$B$2:$M$4838,5,FALSE)</f>
        <v/>
      </c>
      <c r="F2069" s="17">
        <f>+VLOOKUP($A2069,MAGAZZINO!$B$2:$M$4838,6,FALSE)</f>
        <v/>
      </c>
      <c r="G2069" s="17">
        <f>+VLOOKUP($A2069,MAGAZZINO!$B$2:$M$4838,7,FALSE)</f>
        <v/>
      </c>
      <c r="H2069" s="17">
        <f>+VLOOKUP($A2069,MAGAZZINO!$B$2:$M$4838,8,FALSE)</f>
        <v/>
      </c>
      <c r="I2069" s="17">
        <f>+VLOOKUP($A2069,MAGAZZINO!$B$2:$M$4838,9,FALSE)</f>
        <v/>
      </c>
      <c r="J2069" s="17">
        <f>+VLOOKUP($A2069,MAGAZZINO!$B$2:$M$4838,10,FALSE)</f>
        <v/>
      </c>
      <c r="K2069" s="17">
        <f>+VLOOKUP($A2069,MAGAZZINO!$B$2:$M$4838,11,FALSE)</f>
        <v/>
      </c>
      <c r="L2069" s="44">
        <f>+VLOOKUP($A2069,MAGAZZINO!$B$2:$M$4838,12,FALSE)</f>
        <v/>
      </c>
    </row>
    <row r="2070" ht="36" customHeight="1">
      <c r="A2070" s="30">
        <f>+REGISTRO!A2053</f>
        <v/>
      </c>
      <c r="B2070" s="31">
        <f>+VLOOKUP($A2070,MAGAZZINO!$B$2:$M$4838,2,FALSE)</f>
        <v/>
      </c>
      <c r="C2070" s="32">
        <f>+VLOOKUP($A2070,MAGAZZINO!$B$2:$M$4838,3,FALSE)</f>
        <v/>
      </c>
      <c r="D2070" s="17">
        <f>+VLOOKUP($A2070,MAGAZZINO!$B$2:$M$4838,4,FALSE)</f>
        <v/>
      </c>
      <c r="E2070" s="17">
        <f>+VLOOKUP($A2070,MAGAZZINO!$B$2:$M$4838,5,FALSE)</f>
        <v/>
      </c>
      <c r="F2070" s="17">
        <f>+VLOOKUP($A2070,MAGAZZINO!$B$2:$M$4838,6,FALSE)</f>
        <v/>
      </c>
      <c r="G2070" s="17">
        <f>+VLOOKUP($A2070,MAGAZZINO!$B$2:$M$4838,7,FALSE)</f>
        <v/>
      </c>
      <c r="H2070" s="17">
        <f>+VLOOKUP($A2070,MAGAZZINO!$B$2:$M$4838,8,FALSE)</f>
        <v/>
      </c>
      <c r="I2070" s="17">
        <f>+VLOOKUP($A2070,MAGAZZINO!$B$2:$M$4838,9,FALSE)</f>
        <v/>
      </c>
      <c r="J2070" s="17">
        <f>+VLOOKUP($A2070,MAGAZZINO!$B$2:$M$4838,10,FALSE)</f>
        <v/>
      </c>
      <c r="K2070" s="17">
        <f>+VLOOKUP($A2070,MAGAZZINO!$B$2:$M$4838,11,FALSE)</f>
        <v/>
      </c>
      <c r="L2070" s="44">
        <f>+VLOOKUP($A2070,MAGAZZINO!$B$2:$M$4838,12,FALSE)</f>
        <v/>
      </c>
    </row>
    <row r="2071" ht="36" customHeight="1">
      <c r="A2071" s="30">
        <f>+REGISTRO!A2054</f>
        <v/>
      </c>
      <c r="B2071" s="31">
        <f>+VLOOKUP($A2071,MAGAZZINO!$B$2:$M$4838,2,FALSE)</f>
        <v/>
      </c>
      <c r="C2071" s="32">
        <f>+VLOOKUP($A2071,MAGAZZINO!$B$2:$M$4838,3,FALSE)</f>
        <v/>
      </c>
      <c r="D2071" s="17">
        <f>+VLOOKUP($A2071,MAGAZZINO!$B$2:$M$4838,4,FALSE)</f>
        <v/>
      </c>
      <c r="E2071" s="17">
        <f>+VLOOKUP($A2071,MAGAZZINO!$B$2:$M$4838,5,FALSE)</f>
        <v/>
      </c>
      <c r="F2071" s="17">
        <f>+VLOOKUP($A2071,MAGAZZINO!$B$2:$M$4838,6,FALSE)</f>
        <v/>
      </c>
      <c r="G2071" s="17">
        <f>+VLOOKUP($A2071,MAGAZZINO!$B$2:$M$4838,7,FALSE)</f>
        <v/>
      </c>
      <c r="H2071" s="17">
        <f>+VLOOKUP($A2071,MAGAZZINO!$B$2:$M$4838,8,FALSE)</f>
        <v/>
      </c>
      <c r="I2071" s="17">
        <f>+VLOOKUP($A2071,MAGAZZINO!$B$2:$M$4838,9,FALSE)</f>
        <v/>
      </c>
      <c r="J2071" s="17">
        <f>+VLOOKUP($A2071,MAGAZZINO!$B$2:$M$4838,10,FALSE)</f>
        <v/>
      </c>
      <c r="K2071" s="17">
        <f>+VLOOKUP($A2071,MAGAZZINO!$B$2:$M$4838,11,FALSE)</f>
        <v/>
      </c>
      <c r="L2071" s="44">
        <f>+VLOOKUP($A2071,MAGAZZINO!$B$2:$M$4838,12,FALSE)</f>
        <v/>
      </c>
    </row>
    <row r="2072" ht="36" customHeight="1">
      <c r="A2072" s="30">
        <f>+REGISTRO!A2055</f>
        <v/>
      </c>
      <c r="B2072" s="31">
        <f>+VLOOKUP($A2072,MAGAZZINO!$B$2:$M$4838,2,FALSE)</f>
        <v/>
      </c>
      <c r="C2072" s="32">
        <f>+VLOOKUP($A2072,MAGAZZINO!$B$2:$M$4838,3,FALSE)</f>
        <v/>
      </c>
      <c r="D2072" s="17">
        <f>+VLOOKUP($A2072,MAGAZZINO!$B$2:$M$4838,4,FALSE)</f>
        <v/>
      </c>
      <c r="E2072" s="17">
        <f>+VLOOKUP($A2072,MAGAZZINO!$B$2:$M$4838,5,FALSE)</f>
        <v/>
      </c>
      <c r="F2072" s="17">
        <f>+VLOOKUP($A2072,MAGAZZINO!$B$2:$M$4838,6,FALSE)</f>
        <v/>
      </c>
      <c r="G2072" s="17">
        <f>+VLOOKUP($A2072,MAGAZZINO!$B$2:$M$4838,7,FALSE)</f>
        <v/>
      </c>
      <c r="H2072" s="17">
        <f>+VLOOKUP($A2072,MAGAZZINO!$B$2:$M$4838,8,FALSE)</f>
        <v/>
      </c>
      <c r="I2072" s="17">
        <f>+VLOOKUP($A2072,MAGAZZINO!$B$2:$M$4838,9,FALSE)</f>
        <v/>
      </c>
      <c r="J2072" s="17">
        <f>+VLOOKUP($A2072,MAGAZZINO!$B$2:$M$4838,10,FALSE)</f>
        <v/>
      </c>
      <c r="K2072" s="17">
        <f>+VLOOKUP($A2072,MAGAZZINO!$B$2:$M$4838,11,FALSE)</f>
        <v/>
      </c>
      <c r="L2072" s="44">
        <f>+VLOOKUP($A2072,MAGAZZINO!$B$2:$M$4838,12,FALSE)</f>
        <v/>
      </c>
    </row>
    <row r="2073" ht="36" customHeight="1">
      <c r="A2073" s="30">
        <f>+REGISTRO!A2056</f>
        <v/>
      </c>
      <c r="B2073" s="31">
        <f>+VLOOKUP($A2073,MAGAZZINO!$B$2:$M$4838,2,FALSE)</f>
        <v/>
      </c>
      <c r="C2073" s="32">
        <f>+VLOOKUP($A2073,MAGAZZINO!$B$2:$M$4838,3,FALSE)</f>
        <v/>
      </c>
      <c r="D2073" s="17">
        <f>+VLOOKUP($A2073,MAGAZZINO!$B$2:$M$4838,4,FALSE)</f>
        <v/>
      </c>
      <c r="E2073" s="17">
        <f>+VLOOKUP($A2073,MAGAZZINO!$B$2:$M$4838,5,FALSE)</f>
        <v/>
      </c>
      <c r="F2073" s="17">
        <f>+VLOOKUP($A2073,MAGAZZINO!$B$2:$M$4838,6,FALSE)</f>
        <v/>
      </c>
      <c r="G2073" s="17">
        <f>+VLOOKUP($A2073,MAGAZZINO!$B$2:$M$4838,7,FALSE)</f>
        <v/>
      </c>
      <c r="H2073" s="17">
        <f>+VLOOKUP($A2073,MAGAZZINO!$B$2:$M$4838,8,FALSE)</f>
        <v/>
      </c>
      <c r="I2073" s="17">
        <f>+VLOOKUP($A2073,MAGAZZINO!$B$2:$M$4838,9,FALSE)</f>
        <v/>
      </c>
      <c r="J2073" s="17">
        <f>+VLOOKUP($A2073,MAGAZZINO!$B$2:$M$4838,10,FALSE)</f>
        <v/>
      </c>
      <c r="K2073" s="17">
        <f>+VLOOKUP($A2073,MAGAZZINO!$B$2:$M$4838,11,FALSE)</f>
        <v/>
      </c>
      <c r="L2073" s="44">
        <f>+VLOOKUP($A2073,MAGAZZINO!$B$2:$M$4838,12,FALSE)</f>
        <v/>
      </c>
    </row>
    <row r="2074" ht="36" customHeight="1">
      <c r="A2074" s="30">
        <f>+REGISTRO!A2057</f>
        <v/>
      </c>
      <c r="B2074" s="31">
        <f>+VLOOKUP($A2074,MAGAZZINO!$B$2:$M$4838,2,FALSE)</f>
        <v/>
      </c>
      <c r="C2074" s="32">
        <f>+VLOOKUP($A2074,MAGAZZINO!$B$2:$M$4838,3,FALSE)</f>
        <v/>
      </c>
      <c r="D2074" s="17">
        <f>+VLOOKUP($A2074,MAGAZZINO!$B$2:$M$4838,4,FALSE)</f>
        <v/>
      </c>
      <c r="E2074" s="17">
        <f>+VLOOKUP($A2074,MAGAZZINO!$B$2:$M$4838,5,FALSE)</f>
        <v/>
      </c>
      <c r="F2074" s="17">
        <f>+VLOOKUP($A2074,MAGAZZINO!$B$2:$M$4838,6,FALSE)</f>
        <v/>
      </c>
      <c r="G2074" s="17">
        <f>+VLOOKUP($A2074,MAGAZZINO!$B$2:$M$4838,7,FALSE)</f>
        <v/>
      </c>
      <c r="H2074" s="17">
        <f>+VLOOKUP($A2074,MAGAZZINO!$B$2:$M$4838,8,FALSE)</f>
        <v/>
      </c>
      <c r="I2074" s="17">
        <f>+VLOOKUP($A2074,MAGAZZINO!$B$2:$M$4838,9,FALSE)</f>
        <v/>
      </c>
      <c r="J2074" s="17">
        <f>+VLOOKUP($A2074,MAGAZZINO!$B$2:$M$4838,10,FALSE)</f>
        <v/>
      </c>
      <c r="K2074" s="17">
        <f>+VLOOKUP($A2074,MAGAZZINO!$B$2:$M$4838,11,FALSE)</f>
        <v/>
      </c>
      <c r="L2074" s="44">
        <f>+VLOOKUP($A2074,MAGAZZINO!$B$2:$M$4838,12,FALSE)</f>
        <v/>
      </c>
    </row>
    <row r="2075" ht="36" customHeight="1">
      <c r="A2075" s="30">
        <f>+REGISTRO!A2058</f>
        <v/>
      </c>
      <c r="B2075" s="31">
        <f>+VLOOKUP($A2075,MAGAZZINO!$B$2:$M$4838,2,FALSE)</f>
        <v/>
      </c>
      <c r="C2075" s="32">
        <f>+VLOOKUP($A2075,MAGAZZINO!$B$2:$M$4838,3,FALSE)</f>
        <v/>
      </c>
      <c r="D2075" s="17">
        <f>+VLOOKUP($A2075,MAGAZZINO!$B$2:$M$4838,4,FALSE)</f>
        <v/>
      </c>
      <c r="E2075" s="17">
        <f>+VLOOKUP($A2075,MAGAZZINO!$B$2:$M$4838,5,FALSE)</f>
        <v/>
      </c>
      <c r="F2075" s="17">
        <f>+VLOOKUP($A2075,MAGAZZINO!$B$2:$M$4838,6,FALSE)</f>
        <v/>
      </c>
      <c r="G2075" s="17">
        <f>+VLOOKUP($A2075,MAGAZZINO!$B$2:$M$4838,7,FALSE)</f>
        <v/>
      </c>
      <c r="H2075" s="17">
        <f>+VLOOKUP($A2075,MAGAZZINO!$B$2:$M$4838,8,FALSE)</f>
        <v/>
      </c>
      <c r="I2075" s="17">
        <f>+VLOOKUP($A2075,MAGAZZINO!$B$2:$M$4838,9,FALSE)</f>
        <v/>
      </c>
      <c r="J2075" s="17">
        <f>+VLOOKUP($A2075,MAGAZZINO!$B$2:$M$4838,10,FALSE)</f>
        <v/>
      </c>
      <c r="K2075" s="17">
        <f>+VLOOKUP($A2075,MAGAZZINO!$B$2:$M$4838,11,FALSE)</f>
        <v/>
      </c>
      <c r="L2075" s="44">
        <f>+VLOOKUP($A2075,MAGAZZINO!$B$2:$M$4838,12,FALSE)</f>
        <v/>
      </c>
    </row>
    <row r="2076" ht="36" customHeight="1">
      <c r="A2076" s="30">
        <f>+REGISTRO!A2059</f>
        <v/>
      </c>
      <c r="B2076" s="31">
        <f>+VLOOKUP($A2076,MAGAZZINO!$B$2:$M$4838,2,FALSE)</f>
        <v/>
      </c>
      <c r="C2076" s="32">
        <f>+VLOOKUP($A2076,MAGAZZINO!$B$2:$M$4838,3,FALSE)</f>
        <v/>
      </c>
      <c r="D2076" s="17">
        <f>+VLOOKUP($A2076,MAGAZZINO!$B$2:$M$4838,4,FALSE)</f>
        <v/>
      </c>
      <c r="E2076" s="17">
        <f>+VLOOKUP($A2076,MAGAZZINO!$B$2:$M$4838,5,FALSE)</f>
        <v/>
      </c>
      <c r="F2076" s="17">
        <f>+VLOOKUP($A2076,MAGAZZINO!$B$2:$M$4838,6,FALSE)</f>
        <v/>
      </c>
      <c r="G2076" s="17">
        <f>+VLOOKUP($A2076,MAGAZZINO!$B$2:$M$4838,7,FALSE)</f>
        <v/>
      </c>
      <c r="H2076" s="17">
        <f>+VLOOKUP($A2076,MAGAZZINO!$B$2:$M$4838,8,FALSE)</f>
        <v/>
      </c>
      <c r="I2076" s="17">
        <f>+VLOOKUP($A2076,MAGAZZINO!$B$2:$M$4838,9,FALSE)</f>
        <v/>
      </c>
      <c r="J2076" s="17">
        <f>+VLOOKUP($A2076,MAGAZZINO!$B$2:$M$4838,10,FALSE)</f>
        <v/>
      </c>
      <c r="K2076" s="17">
        <f>+VLOOKUP($A2076,MAGAZZINO!$B$2:$M$4838,11,FALSE)</f>
        <v/>
      </c>
      <c r="L2076" s="44">
        <f>+VLOOKUP($A2076,MAGAZZINO!$B$2:$M$4838,12,FALSE)</f>
        <v/>
      </c>
    </row>
    <row r="2077" ht="36" customHeight="1">
      <c r="A2077" s="30">
        <f>+REGISTRO!A2060</f>
        <v/>
      </c>
      <c r="B2077" s="31">
        <f>+VLOOKUP($A2077,MAGAZZINO!$B$2:$M$4838,2,FALSE)</f>
        <v/>
      </c>
      <c r="C2077" s="32">
        <f>+VLOOKUP($A2077,MAGAZZINO!$B$2:$M$4838,3,FALSE)</f>
        <v/>
      </c>
      <c r="D2077" s="17">
        <f>+VLOOKUP($A2077,MAGAZZINO!$B$2:$M$4838,4,FALSE)</f>
        <v/>
      </c>
      <c r="E2077" s="17">
        <f>+VLOOKUP($A2077,MAGAZZINO!$B$2:$M$4838,5,FALSE)</f>
        <v/>
      </c>
      <c r="F2077" s="17">
        <f>+VLOOKUP($A2077,MAGAZZINO!$B$2:$M$4838,6,FALSE)</f>
        <v/>
      </c>
      <c r="G2077" s="17">
        <f>+VLOOKUP($A2077,MAGAZZINO!$B$2:$M$4838,7,FALSE)</f>
        <v/>
      </c>
      <c r="H2077" s="17">
        <f>+VLOOKUP($A2077,MAGAZZINO!$B$2:$M$4838,8,FALSE)</f>
        <v/>
      </c>
      <c r="I2077" s="17">
        <f>+VLOOKUP($A2077,MAGAZZINO!$B$2:$M$4838,9,FALSE)</f>
        <v/>
      </c>
      <c r="J2077" s="17">
        <f>+VLOOKUP($A2077,MAGAZZINO!$B$2:$M$4838,10,FALSE)</f>
        <v/>
      </c>
      <c r="K2077" s="17">
        <f>+VLOOKUP($A2077,MAGAZZINO!$B$2:$M$4838,11,FALSE)</f>
        <v/>
      </c>
      <c r="L2077" s="44">
        <f>+VLOOKUP($A2077,MAGAZZINO!$B$2:$M$4838,12,FALSE)</f>
        <v/>
      </c>
    </row>
    <row r="2078" ht="36" customHeight="1">
      <c r="A2078" s="30">
        <f>+REGISTRO!A2061</f>
        <v/>
      </c>
      <c r="B2078" s="31">
        <f>+VLOOKUP($A2078,MAGAZZINO!$B$2:$M$4838,2,FALSE)</f>
        <v/>
      </c>
      <c r="C2078" s="32">
        <f>+VLOOKUP($A2078,MAGAZZINO!$B$2:$M$4838,3,FALSE)</f>
        <v/>
      </c>
      <c r="D2078" s="17">
        <f>+VLOOKUP($A2078,MAGAZZINO!$B$2:$M$4838,4,FALSE)</f>
        <v/>
      </c>
      <c r="E2078" s="17">
        <f>+VLOOKUP($A2078,MAGAZZINO!$B$2:$M$4838,5,FALSE)</f>
        <v/>
      </c>
      <c r="F2078" s="17">
        <f>+VLOOKUP($A2078,MAGAZZINO!$B$2:$M$4838,6,FALSE)</f>
        <v/>
      </c>
      <c r="G2078" s="17">
        <f>+VLOOKUP($A2078,MAGAZZINO!$B$2:$M$4838,7,FALSE)</f>
        <v/>
      </c>
      <c r="H2078" s="17">
        <f>+VLOOKUP($A2078,MAGAZZINO!$B$2:$M$4838,8,FALSE)</f>
        <v/>
      </c>
      <c r="I2078" s="17">
        <f>+VLOOKUP($A2078,MAGAZZINO!$B$2:$M$4838,9,FALSE)</f>
        <v/>
      </c>
      <c r="J2078" s="17">
        <f>+VLOOKUP($A2078,MAGAZZINO!$B$2:$M$4838,10,FALSE)</f>
        <v/>
      </c>
      <c r="K2078" s="17">
        <f>+VLOOKUP($A2078,MAGAZZINO!$B$2:$M$4838,11,FALSE)</f>
        <v/>
      </c>
      <c r="L2078" s="44">
        <f>+VLOOKUP($A2078,MAGAZZINO!$B$2:$M$4838,12,FALSE)</f>
        <v/>
      </c>
    </row>
    <row r="2079" ht="36" customHeight="1">
      <c r="A2079" s="30">
        <f>+REGISTRO!A2062</f>
        <v/>
      </c>
      <c r="B2079" s="31">
        <f>+VLOOKUP($A2079,MAGAZZINO!$B$2:$M$4838,2,FALSE)</f>
        <v/>
      </c>
      <c r="C2079" s="32">
        <f>+VLOOKUP($A2079,MAGAZZINO!$B$2:$M$4838,3,FALSE)</f>
        <v/>
      </c>
      <c r="D2079" s="17">
        <f>+VLOOKUP($A2079,MAGAZZINO!$B$2:$M$4838,4,FALSE)</f>
        <v/>
      </c>
      <c r="E2079" s="17">
        <f>+VLOOKUP($A2079,MAGAZZINO!$B$2:$M$4838,5,FALSE)</f>
        <v/>
      </c>
      <c r="F2079" s="17">
        <f>+VLOOKUP($A2079,MAGAZZINO!$B$2:$M$4838,6,FALSE)</f>
        <v/>
      </c>
      <c r="G2079" s="17">
        <f>+VLOOKUP($A2079,MAGAZZINO!$B$2:$M$4838,7,FALSE)</f>
        <v/>
      </c>
      <c r="H2079" s="17">
        <f>+VLOOKUP($A2079,MAGAZZINO!$B$2:$M$4838,8,FALSE)</f>
        <v/>
      </c>
      <c r="I2079" s="17">
        <f>+VLOOKUP($A2079,MAGAZZINO!$B$2:$M$4838,9,FALSE)</f>
        <v/>
      </c>
      <c r="J2079" s="17">
        <f>+VLOOKUP($A2079,MAGAZZINO!$B$2:$M$4838,10,FALSE)</f>
        <v/>
      </c>
      <c r="K2079" s="17">
        <f>+VLOOKUP($A2079,MAGAZZINO!$B$2:$M$4838,11,FALSE)</f>
        <v/>
      </c>
      <c r="L2079" s="44">
        <f>+VLOOKUP($A2079,MAGAZZINO!$B$2:$M$4838,12,FALSE)</f>
        <v/>
      </c>
    </row>
    <row r="2080" ht="36" customHeight="1">
      <c r="A2080" s="30">
        <f>+REGISTRO!A2063</f>
        <v/>
      </c>
      <c r="B2080" s="31">
        <f>+VLOOKUP($A2080,MAGAZZINO!$B$2:$M$4838,2,FALSE)</f>
        <v/>
      </c>
      <c r="C2080" s="32">
        <f>+VLOOKUP($A2080,MAGAZZINO!$B$2:$M$4838,3,FALSE)</f>
        <v/>
      </c>
      <c r="D2080" s="17">
        <f>+VLOOKUP($A2080,MAGAZZINO!$B$2:$M$4838,4,FALSE)</f>
        <v/>
      </c>
      <c r="E2080" s="17">
        <f>+VLOOKUP($A2080,MAGAZZINO!$B$2:$M$4838,5,FALSE)</f>
        <v/>
      </c>
      <c r="F2080" s="17">
        <f>+VLOOKUP($A2080,MAGAZZINO!$B$2:$M$4838,6,FALSE)</f>
        <v/>
      </c>
      <c r="G2080" s="17">
        <f>+VLOOKUP($A2080,MAGAZZINO!$B$2:$M$4838,7,FALSE)</f>
        <v/>
      </c>
      <c r="H2080" s="17">
        <f>+VLOOKUP($A2080,MAGAZZINO!$B$2:$M$4838,8,FALSE)</f>
        <v/>
      </c>
      <c r="I2080" s="17">
        <f>+VLOOKUP($A2080,MAGAZZINO!$B$2:$M$4838,9,FALSE)</f>
        <v/>
      </c>
      <c r="J2080" s="17">
        <f>+VLOOKUP($A2080,MAGAZZINO!$B$2:$M$4838,10,FALSE)</f>
        <v/>
      </c>
      <c r="K2080" s="17">
        <f>+VLOOKUP($A2080,MAGAZZINO!$B$2:$M$4838,11,FALSE)</f>
        <v/>
      </c>
      <c r="L2080" s="44">
        <f>+VLOOKUP($A2080,MAGAZZINO!$B$2:$M$4838,12,FALSE)</f>
        <v/>
      </c>
    </row>
    <row r="2081" ht="36" customHeight="1">
      <c r="A2081" s="30">
        <f>+REGISTRO!A2064</f>
        <v/>
      </c>
      <c r="B2081" s="31">
        <f>+VLOOKUP($A2081,MAGAZZINO!$B$2:$M$4838,2,FALSE)</f>
        <v/>
      </c>
      <c r="C2081" s="32">
        <f>+VLOOKUP($A2081,MAGAZZINO!$B$2:$M$4838,3,FALSE)</f>
        <v/>
      </c>
      <c r="D2081" s="17">
        <f>+VLOOKUP($A2081,MAGAZZINO!$B$2:$M$4838,4,FALSE)</f>
        <v/>
      </c>
      <c r="E2081" s="17">
        <f>+VLOOKUP($A2081,MAGAZZINO!$B$2:$M$4838,5,FALSE)</f>
        <v/>
      </c>
      <c r="F2081" s="17">
        <f>+VLOOKUP($A2081,MAGAZZINO!$B$2:$M$4838,6,FALSE)</f>
        <v/>
      </c>
      <c r="G2081" s="17">
        <f>+VLOOKUP($A2081,MAGAZZINO!$B$2:$M$4838,7,FALSE)</f>
        <v/>
      </c>
      <c r="H2081" s="17">
        <f>+VLOOKUP($A2081,MAGAZZINO!$B$2:$M$4838,8,FALSE)</f>
        <v/>
      </c>
      <c r="I2081" s="17">
        <f>+VLOOKUP($A2081,MAGAZZINO!$B$2:$M$4838,9,FALSE)</f>
        <v/>
      </c>
      <c r="J2081" s="17">
        <f>+VLOOKUP($A2081,MAGAZZINO!$B$2:$M$4838,10,FALSE)</f>
        <v/>
      </c>
      <c r="K2081" s="17">
        <f>+VLOOKUP($A2081,MAGAZZINO!$B$2:$M$4838,11,FALSE)</f>
        <v/>
      </c>
      <c r="L2081" s="44">
        <f>+VLOOKUP($A2081,MAGAZZINO!$B$2:$M$4838,12,FALSE)</f>
        <v/>
      </c>
    </row>
    <row r="2082" ht="36" customHeight="1">
      <c r="A2082" s="30">
        <f>+REGISTRO!A2065</f>
        <v/>
      </c>
      <c r="B2082" s="31">
        <f>+VLOOKUP($A2082,MAGAZZINO!$B$2:$M$4838,2,FALSE)</f>
        <v/>
      </c>
      <c r="C2082" s="32">
        <f>+VLOOKUP($A2082,MAGAZZINO!$B$2:$M$4838,3,FALSE)</f>
        <v/>
      </c>
      <c r="D2082" s="17">
        <f>+VLOOKUP($A2082,MAGAZZINO!$B$2:$M$4838,4,FALSE)</f>
        <v/>
      </c>
      <c r="E2082" s="17">
        <f>+VLOOKUP($A2082,MAGAZZINO!$B$2:$M$4838,5,FALSE)</f>
        <v/>
      </c>
      <c r="F2082" s="17">
        <f>+VLOOKUP($A2082,MAGAZZINO!$B$2:$M$4838,6,FALSE)</f>
        <v/>
      </c>
      <c r="G2082" s="17">
        <f>+VLOOKUP($A2082,MAGAZZINO!$B$2:$M$4838,7,FALSE)</f>
        <v/>
      </c>
      <c r="H2082" s="17">
        <f>+VLOOKUP($A2082,MAGAZZINO!$B$2:$M$4838,8,FALSE)</f>
        <v/>
      </c>
      <c r="I2082" s="17">
        <f>+VLOOKUP($A2082,MAGAZZINO!$B$2:$M$4838,9,FALSE)</f>
        <v/>
      </c>
      <c r="J2082" s="17">
        <f>+VLOOKUP($A2082,MAGAZZINO!$B$2:$M$4838,10,FALSE)</f>
        <v/>
      </c>
      <c r="K2082" s="17">
        <f>+VLOOKUP($A2082,MAGAZZINO!$B$2:$M$4838,11,FALSE)</f>
        <v/>
      </c>
      <c r="L2082" s="44">
        <f>+VLOOKUP($A2082,MAGAZZINO!$B$2:$M$4838,12,FALSE)</f>
        <v/>
      </c>
    </row>
    <row r="2083" ht="36" customHeight="1">
      <c r="A2083" s="30">
        <f>+REGISTRO!A2066</f>
        <v/>
      </c>
      <c r="B2083" s="31">
        <f>+VLOOKUP($A2083,MAGAZZINO!$B$2:$M$4838,2,FALSE)</f>
        <v/>
      </c>
      <c r="C2083" s="32">
        <f>+VLOOKUP($A2083,MAGAZZINO!$B$2:$M$4838,3,FALSE)</f>
        <v/>
      </c>
      <c r="D2083" s="17">
        <f>+VLOOKUP($A2083,MAGAZZINO!$B$2:$M$4838,4,FALSE)</f>
        <v/>
      </c>
      <c r="E2083" s="17">
        <f>+VLOOKUP($A2083,MAGAZZINO!$B$2:$M$4838,5,FALSE)</f>
        <v/>
      </c>
      <c r="F2083" s="17">
        <f>+VLOOKUP($A2083,MAGAZZINO!$B$2:$M$4838,6,FALSE)</f>
        <v/>
      </c>
      <c r="G2083" s="17">
        <f>+VLOOKUP($A2083,MAGAZZINO!$B$2:$M$4838,7,FALSE)</f>
        <v/>
      </c>
      <c r="H2083" s="17">
        <f>+VLOOKUP($A2083,MAGAZZINO!$B$2:$M$4838,8,FALSE)</f>
        <v/>
      </c>
      <c r="I2083" s="17">
        <f>+VLOOKUP($A2083,MAGAZZINO!$B$2:$M$4838,9,FALSE)</f>
        <v/>
      </c>
      <c r="J2083" s="17">
        <f>+VLOOKUP($A2083,MAGAZZINO!$B$2:$M$4838,10,FALSE)</f>
        <v/>
      </c>
      <c r="K2083" s="17">
        <f>+VLOOKUP($A2083,MAGAZZINO!$B$2:$M$4838,11,FALSE)</f>
        <v/>
      </c>
      <c r="L2083" s="44">
        <f>+VLOOKUP($A2083,MAGAZZINO!$B$2:$M$4838,12,FALSE)</f>
        <v/>
      </c>
    </row>
    <row r="2084" ht="36" customHeight="1">
      <c r="A2084" s="30">
        <f>+REGISTRO!A2067</f>
        <v/>
      </c>
      <c r="B2084" s="31">
        <f>+VLOOKUP($A2084,MAGAZZINO!$B$2:$M$4838,2,FALSE)</f>
        <v/>
      </c>
      <c r="C2084" s="32">
        <f>+VLOOKUP($A2084,MAGAZZINO!$B$2:$M$4838,3,FALSE)</f>
        <v/>
      </c>
      <c r="D2084" s="17">
        <f>+VLOOKUP($A2084,MAGAZZINO!$B$2:$M$4838,4,FALSE)</f>
        <v/>
      </c>
      <c r="E2084" s="17">
        <f>+VLOOKUP($A2084,MAGAZZINO!$B$2:$M$4838,5,FALSE)</f>
        <v/>
      </c>
      <c r="F2084" s="17">
        <f>+VLOOKUP($A2084,MAGAZZINO!$B$2:$M$4838,6,FALSE)</f>
        <v/>
      </c>
      <c r="G2084" s="17">
        <f>+VLOOKUP($A2084,MAGAZZINO!$B$2:$M$4838,7,FALSE)</f>
        <v/>
      </c>
      <c r="H2084" s="17">
        <f>+VLOOKUP($A2084,MAGAZZINO!$B$2:$M$4838,8,FALSE)</f>
        <v/>
      </c>
      <c r="I2084" s="17">
        <f>+VLOOKUP($A2084,MAGAZZINO!$B$2:$M$4838,9,FALSE)</f>
        <v/>
      </c>
      <c r="J2084" s="17">
        <f>+VLOOKUP($A2084,MAGAZZINO!$B$2:$M$4838,10,FALSE)</f>
        <v/>
      </c>
      <c r="K2084" s="17">
        <f>+VLOOKUP($A2084,MAGAZZINO!$B$2:$M$4838,11,FALSE)</f>
        <v/>
      </c>
      <c r="L2084" s="44">
        <f>+VLOOKUP($A2084,MAGAZZINO!$B$2:$M$4838,12,FALSE)</f>
        <v/>
      </c>
    </row>
    <row r="2085" ht="36" customHeight="1">
      <c r="A2085" s="30">
        <f>+REGISTRO!A2068</f>
        <v/>
      </c>
      <c r="B2085" s="31">
        <f>+VLOOKUP($A2085,MAGAZZINO!$B$2:$M$4838,2,FALSE)</f>
        <v/>
      </c>
      <c r="C2085" s="32">
        <f>+VLOOKUP($A2085,MAGAZZINO!$B$2:$M$4838,3,FALSE)</f>
        <v/>
      </c>
      <c r="D2085" s="17">
        <f>+VLOOKUP($A2085,MAGAZZINO!$B$2:$M$4838,4,FALSE)</f>
        <v/>
      </c>
      <c r="E2085" s="17">
        <f>+VLOOKUP($A2085,MAGAZZINO!$B$2:$M$4838,5,FALSE)</f>
        <v/>
      </c>
      <c r="F2085" s="17">
        <f>+VLOOKUP($A2085,MAGAZZINO!$B$2:$M$4838,6,FALSE)</f>
        <v/>
      </c>
      <c r="G2085" s="17">
        <f>+VLOOKUP($A2085,MAGAZZINO!$B$2:$M$4838,7,FALSE)</f>
        <v/>
      </c>
      <c r="H2085" s="17">
        <f>+VLOOKUP($A2085,MAGAZZINO!$B$2:$M$4838,8,FALSE)</f>
        <v/>
      </c>
      <c r="I2085" s="17">
        <f>+VLOOKUP($A2085,MAGAZZINO!$B$2:$M$4838,9,FALSE)</f>
        <v/>
      </c>
      <c r="J2085" s="17">
        <f>+VLOOKUP($A2085,MAGAZZINO!$B$2:$M$4838,10,FALSE)</f>
        <v/>
      </c>
      <c r="K2085" s="17">
        <f>+VLOOKUP($A2085,MAGAZZINO!$B$2:$M$4838,11,FALSE)</f>
        <v/>
      </c>
      <c r="L2085" s="44">
        <f>+VLOOKUP($A2085,MAGAZZINO!$B$2:$M$4838,12,FALSE)</f>
        <v/>
      </c>
    </row>
    <row r="2086" ht="36" customHeight="1">
      <c r="A2086" s="30">
        <f>+REGISTRO!A2069</f>
        <v/>
      </c>
      <c r="B2086" s="31">
        <f>+VLOOKUP($A2086,MAGAZZINO!$B$2:$M$4838,2,FALSE)</f>
        <v/>
      </c>
      <c r="C2086" s="32">
        <f>+VLOOKUP($A2086,MAGAZZINO!$B$2:$M$4838,3,FALSE)</f>
        <v/>
      </c>
      <c r="D2086" s="17">
        <f>+VLOOKUP($A2086,MAGAZZINO!$B$2:$M$4838,4,FALSE)</f>
        <v/>
      </c>
      <c r="E2086" s="17">
        <f>+VLOOKUP($A2086,MAGAZZINO!$B$2:$M$4838,5,FALSE)</f>
        <v/>
      </c>
      <c r="F2086" s="17">
        <f>+VLOOKUP($A2086,MAGAZZINO!$B$2:$M$4838,6,FALSE)</f>
        <v/>
      </c>
      <c r="G2086" s="17">
        <f>+VLOOKUP($A2086,MAGAZZINO!$B$2:$M$4838,7,FALSE)</f>
        <v/>
      </c>
      <c r="H2086" s="17">
        <f>+VLOOKUP($A2086,MAGAZZINO!$B$2:$M$4838,8,FALSE)</f>
        <v/>
      </c>
      <c r="I2086" s="17">
        <f>+VLOOKUP($A2086,MAGAZZINO!$B$2:$M$4838,9,FALSE)</f>
        <v/>
      </c>
      <c r="J2086" s="17">
        <f>+VLOOKUP($A2086,MAGAZZINO!$B$2:$M$4838,10,FALSE)</f>
        <v/>
      </c>
      <c r="K2086" s="17">
        <f>+VLOOKUP($A2086,MAGAZZINO!$B$2:$M$4838,11,FALSE)</f>
        <v/>
      </c>
      <c r="L2086" s="44">
        <f>+VLOOKUP($A2086,MAGAZZINO!$B$2:$M$4838,12,FALSE)</f>
        <v/>
      </c>
    </row>
    <row r="2087" ht="36" customHeight="1">
      <c r="A2087" s="30">
        <f>+REGISTRO!A2070</f>
        <v/>
      </c>
      <c r="B2087" s="31">
        <f>+VLOOKUP($A2087,MAGAZZINO!$B$2:$M$4838,2,FALSE)</f>
        <v/>
      </c>
      <c r="C2087" s="32">
        <f>+VLOOKUP($A2087,MAGAZZINO!$B$2:$M$4838,3,FALSE)</f>
        <v/>
      </c>
      <c r="D2087" s="17">
        <f>+VLOOKUP($A2087,MAGAZZINO!$B$2:$M$4838,4,FALSE)</f>
        <v/>
      </c>
      <c r="E2087" s="17">
        <f>+VLOOKUP($A2087,MAGAZZINO!$B$2:$M$4838,5,FALSE)</f>
        <v/>
      </c>
      <c r="F2087" s="17">
        <f>+VLOOKUP($A2087,MAGAZZINO!$B$2:$M$4838,6,FALSE)</f>
        <v/>
      </c>
      <c r="G2087" s="17">
        <f>+VLOOKUP($A2087,MAGAZZINO!$B$2:$M$4838,7,FALSE)</f>
        <v/>
      </c>
      <c r="H2087" s="17">
        <f>+VLOOKUP($A2087,MAGAZZINO!$B$2:$M$4838,8,FALSE)</f>
        <v/>
      </c>
      <c r="I2087" s="17">
        <f>+VLOOKUP($A2087,MAGAZZINO!$B$2:$M$4838,9,FALSE)</f>
        <v/>
      </c>
      <c r="J2087" s="17">
        <f>+VLOOKUP($A2087,MAGAZZINO!$B$2:$M$4838,10,FALSE)</f>
        <v/>
      </c>
      <c r="K2087" s="17">
        <f>+VLOOKUP($A2087,MAGAZZINO!$B$2:$M$4838,11,FALSE)</f>
        <v/>
      </c>
      <c r="L2087" s="44">
        <f>+VLOOKUP($A2087,MAGAZZINO!$B$2:$M$4838,12,FALSE)</f>
        <v/>
      </c>
    </row>
    <row r="2088" ht="36" customHeight="1">
      <c r="A2088" s="30">
        <f>+REGISTRO!A2071</f>
        <v/>
      </c>
      <c r="B2088" s="31">
        <f>+VLOOKUP($A2088,MAGAZZINO!$B$2:$M$4838,2,FALSE)</f>
        <v/>
      </c>
      <c r="C2088" s="32">
        <f>+VLOOKUP($A2088,MAGAZZINO!$B$2:$M$4838,3,FALSE)</f>
        <v/>
      </c>
      <c r="D2088" s="17">
        <f>+VLOOKUP($A2088,MAGAZZINO!$B$2:$M$4838,4,FALSE)</f>
        <v/>
      </c>
      <c r="E2088" s="17">
        <f>+VLOOKUP($A2088,MAGAZZINO!$B$2:$M$4838,5,FALSE)</f>
        <v/>
      </c>
      <c r="F2088" s="17">
        <f>+VLOOKUP($A2088,MAGAZZINO!$B$2:$M$4838,6,FALSE)</f>
        <v/>
      </c>
      <c r="G2088" s="17">
        <f>+VLOOKUP($A2088,MAGAZZINO!$B$2:$M$4838,7,FALSE)</f>
        <v/>
      </c>
      <c r="H2088" s="17">
        <f>+VLOOKUP($A2088,MAGAZZINO!$B$2:$M$4838,8,FALSE)</f>
        <v/>
      </c>
      <c r="I2088" s="17">
        <f>+VLOOKUP($A2088,MAGAZZINO!$B$2:$M$4838,9,FALSE)</f>
        <v/>
      </c>
      <c r="J2088" s="17">
        <f>+VLOOKUP($A2088,MAGAZZINO!$B$2:$M$4838,10,FALSE)</f>
        <v/>
      </c>
      <c r="K2088" s="17">
        <f>+VLOOKUP($A2088,MAGAZZINO!$B$2:$M$4838,11,FALSE)</f>
        <v/>
      </c>
      <c r="L2088" s="44">
        <f>+VLOOKUP($A2088,MAGAZZINO!$B$2:$M$4838,12,FALSE)</f>
        <v/>
      </c>
    </row>
    <row r="2089" ht="36" customHeight="1">
      <c r="A2089" s="30">
        <f>+REGISTRO!A2072</f>
        <v/>
      </c>
      <c r="B2089" s="31">
        <f>+VLOOKUP($A2089,MAGAZZINO!$B$2:$M$4838,2,FALSE)</f>
        <v/>
      </c>
      <c r="C2089" s="32">
        <f>+VLOOKUP($A2089,MAGAZZINO!$B$2:$M$4838,3,FALSE)</f>
        <v/>
      </c>
      <c r="D2089" s="17">
        <f>+VLOOKUP($A2089,MAGAZZINO!$B$2:$M$4838,4,FALSE)</f>
        <v/>
      </c>
      <c r="E2089" s="17">
        <f>+VLOOKUP($A2089,MAGAZZINO!$B$2:$M$4838,5,FALSE)</f>
        <v/>
      </c>
      <c r="F2089" s="17">
        <f>+VLOOKUP($A2089,MAGAZZINO!$B$2:$M$4838,6,FALSE)</f>
        <v/>
      </c>
      <c r="G2089" s="17">
        <f>+VLOOKUP($A2089,MAGAZZINO!$B$2:$M$4838,7,FALSE)</f>
        <v/>
      </c>
      <c r="H2089" s="17">
        <f>+VLOOKUP($A2089,MAGAZZINO!$B$2:$M$4838,8,FALSE)</f>
        <v/>
      </c>
      <c r="I2089" s="17">
        <f>+VLOOKUP($A2089,MAGAZZINO!$B$2:$M$4838,9,FALSE)</f>
        <v/>
      </c>
      <c r="J2089" s="17">
        <f>+VLOOKUP($A2089,MAGAZZINO!$B$2:$M$4838,10,FALSE)</f>
        <v/>
      </c>
      <c r="K2089" s="17">
        <f>+VLOOKUP($A2089,MAGAZZINO!$B$2:$M$4838,11,FALSE)</f>
        <v/>
      </c>
      <c r="L2089" s="44">
        <f>+VLOOKUP($A2089,MAGAZZINO!$B$2:$M$4838,12,FALSE)</f>
        <v/>
      </c>
    </row>
    <row r="2090" ht="36" customHeight="1">
      <c r="A2090" s="30">
        <f>+REGISTRO!A2073</f>
        <v/>
      </c>
      <c r="B2090" s="31">
        <f>+VLOOKUP($A2090,MAGAZZINO!$B$2:$M$4838,2,FALSE)</f>
        <v/>
      </c>
      <c r="C2090" s="32">
        <f>+VLOOKUP($A2090,MAGAZZINO!$B$2:$M$4838,3,FALSE)</f>
        <v/>
      </c>
      <c r="D2090" s="17">
        <f>+VLOOKUP($A2090,MAGAZZINO!$B$2:$M$4838,4,FALSE)</f>
        <v/>
      </c>
      <c r="E2090" s="17">
        <f>+VLOOKUP($A2090,MAGAZZINO!$B$2:$M$4838,5,FALSE)</f>
        <v/>
      </c>
      <c r="F2090" s="17">
        <f>+VLOOKUP($A2090,MAGAZZINO!$B$2:$M$4838,6,FALSE)</f>
        <v/>
      </c>
      <c r="G2090" s="17">
        <f>+VLOOKUP($A2090,MAGAZZINO!$B$2:$M$4838,7,FALSE)</f>
        <v/>
      </c>
      <c r="H2090" s="17">
        <f>+VLOOKUP($A2090,MAGAZZINO!$B$2:$M$4838,8,FALSE)</f>
        <v/>
      </c>
      <c r="I2090" s="17">
        <f>+VLOOKUP($A2090,MAGAZZINO!$B$2:$M$4838,9,FALSE)</f>
        <v/>
      </c>
      <c r="J2090" s="17">
        <f>+VLOOKUP($A2090,MAGAZZINO!$B$2:$M$4838,10,FALSE)</f>
        <v/>
      </c>
      <c r="K2090" s="17">
        <f>+VLOOKUP($A2090,MAGAZZINO!$B$2:$M$4838,11,FALSE)</f>
        <v/>
      </c>
      <c r="L2090" s="44">
        <f>+VLOOKUP($A2090,MAGAZZINO!$B$2:$M$4838,12,FALSE)</f>
        <v/>
      </c>
    </row>
    <row r="2091" ht="36" customHeight="1">
      <c r="A2091" s="30">
        <f>+REGISTRO!A2074</f>
        <v/>
      </c>
      <c r="B2091" s="31">
        <f>+VLOOKUP($A2091,MAGAZZINO!$B$2:$M$4838,2,FALSE)</f>
        <v/>
      </c>
      <c r="C2091" s="32">
        <f>+VLOOKUP($A2091,MAGAZZINO!$B$2:$M$4838,3,FALSE)</f>
        <v/>
      </c>
      <c r="D2091" s="17">
        <f>+VLOOKUP($A2091,MAGAZZINO!$B$2:$M$4838,4,FALSE)</f>
        <v/>
      </c>
      <c r="E2091" s="17">
        <f>+VLOOKUP($A2091,MAGAZZINO!$B$2:$M$4838,5,FALSE)</f>
        <v/>
      </c>
      <c r="F2091" s="17">
        <f>+VLOOKUP($A2091,MAGAZZINO!$B$2:$M$4838,6,FALSE)</f>
        <v/>
      </c>
      <c r="G2091" s="17">
        <f>+VLOOKUP($A2091,MAGAZZINO!$B$2:$M$4838,7,FALSE)</f>
        <v/>
      </c>
      <c r="H2091" s="17">
        <f>+VLOOKUP($A2091,MAGAZZINO!$B$2:$M$4838,8,FALSE)</f>
        <v/>
      </c>
      <c r="I2091" s="17">
        <f>+VLOOKUP($A2091,MAGAZZINO!$B$2:$M$4838,9,FALSE)</f>
        <v/>
      </c>
      <c r="J2091" s="17">
        <f>+VLOOKUP($A2091,MAGAZZINO!$B$2:$M$4838,10,FALSE)</f>
        <v/>
      </c>
      <c r="K2091" s="17">
        <f>+VLOOKUP($A2091,MAGAZZINO!$B$2:$M$4838,11,FALSE)</f>
        <v/>
      </c>
      <c r="L2091" s="44">
        <f>+VLOOKUP($A2091,MAGAZZINO!$B$2:$M$4838,12,FALSE)</f>
        <v/>
      </c>
    </row>
    <row r="2092" ht="36" customHeight="1">
      <c r="A2092" s="30">
        <f>+REGISTRO!A2075</f>
        <v/>
      </c>
      <c r="B2092" s="31">
        <f>+VLOOKUP($A2092,MAGAZZINO!$B$2:$M$4838,2,FALSE)</f>
        <v/>
      </c>
      <c r="C2092" s="32">
        <f>+VLOOKUP($A2092,MAGAZZINO!$B$2:$M$4838,3,FALSE)</f>
        <v/>
      </c>
      <c r="D2092" s="17">
        <f>+VLOOKUP($A2092,MAGAZZINO!$B$2:$M$4838,4,FALSE)</f>
        <v/>
      </c>
      <c r="E2092" s="17">
        <f>+VLOOKUP($A2092,MAGAZZINO!$B$2:$M$4838,5,FALSE)</f>
        <v/>
      </c>
      <c r="F2092" s="17">
        <f>+VLOOKUP($A2092,MAGAZZINO!$B$2:$M$4838,6,FALSE)</f>
        <v/>
      </c>
      <c r="G2092" s="17">
        <f>+VLOOKUP($A2092,MAGAZZINO!$B$2:$M$4838,7,FALSE)</f>
        <v/>
      </c>
      <c r="H2092" s="17">
        <f>+VLOOKUP($A2092,MAGAZZINO!$B$2:$M$4838,8,FALSE)</f>
        <v/>
      </c>
      <c r="I2092" s="17">
        <f>+VLOOKUP($A2092,MAGAZZINO!$B$2:$M$4838,9,FALSE)</f>
        <v/>
      </c>
      <c r="J2092" s="17">
        <f>+VLOOKUP($A2092,MAGAZZINO!$B$2:$M$4838,10,FALSE)</f>
        <v/>
      </c>
      <c r="K2092" s="17">
        <f>+VLOOKUP($A2092,MAGAZZINO!$B$2:$M$4838,11,FALSE)</f>
        <v/>
      </c>
      <c r="L2092" s="44">
        <f>+VLOOKUP($A2092,MAGAZZINO!$B$2:$M$4838,12,FALSE)</f>
        <v/>
      </c>
    </row>
    <row r="2093" ht="36" customHeight="1">
      <c r="A2093" s="30">
        <f>+REGISTRO!A2076</f>
        <v/>
      </c>
      <c r="B2093" s="31">
        <f>+VLOOKUP($A2093,MAGAZZINO!$B$2:$M$4838,2,FALSE)</f>
        <v/>
      </c>
      <c r="C2093" s="32">
        <f>+VLOOKUP($A2093,MAGAZZINO!$B$2:$M$4838,3,FALSE)</f>
        <v/>
      </c>
      <c r="D2093" s="17">
        <f>+VLOOKUP($A2093,MAGAZZINO!$B$2:$M$4838,4,FALSE)</f>
        <v/>
      </c>
      <c r="E2093" s="17">
        <f>+VLOOKUP($A2093,MAGAZZINO!$B$2:$M$4838,5,FALSE)</f>
        <v/>
      </c>
      <c r="F2093" s="17">
        <f>+VLOOKUP($A2093,MAGAZZINO!$B$2:$M$4838,6,FALSE)</f>
        <v/>
      </c>
      <c r="G2093" s="17">
        <f>+VLOOKUP($A2093,MAGAZZINO!$B$2:$M$4838,7,FALSE)</f>
        <v/>
      </c>
      <c r="H2093" s="17">
        <f>+VLOOKUP($A2093,MAGAZZINO!$B$2:$M$4838,8,FALSE)</f>
        <v/>
      </c>
      <c r="I2093" s="17">
        <f>+VLOOKUP($A2093,MAGAZZINO!$B$2:$M$4838,9,FALSE)</f>
        <v/>
      </c>
      <c r="J2093" s="17">
        <f>+VLOOKUP($A2093,MAGAZZINO!$B$2:$M$4838,10,FALSE)</f>
        <v/>
      </c>
      <c r="K2093" s="17">
        <f>+VLOOKUP($A2093,MAGAZZINO!$B$2:$M$4838,11,FALSE)</f>
        <v/>
      </c>
      <c r="L2093" s="44">
        <f>+VLOOKUP($A2093,MAGAZZINO!$B$2:$M$4838,12,FALSE)</f>
        <v/>
      </c>
    </row>
    <row r="2094" ht="36" customHeight="1">
      <c r="A2094" s="30">
        <f>+REGISTRO!A2077</f>
        <v/>
      </c>
      <c r="B2094" s="31">
        <f>+VLOOKUP($A2094,MAGAZZINO!$B$2:$M$4838,2,FALSE)</f>
        <v/>
      </c>
      <c r="C2094" s="32">
        <f>+VLOOKUP($A2094,MAGAZZINO!$B$2:$M$4838,3,FALSE)</f>
        <v/>
      </c>
      <c r="D2094" s="17">
        <f>+VLOOKUP($A2094,MAGAZZINO!$B$2:$M$4838,4,FALSE)</f>
        <v/>
      </c>
      <c r="E2094" s="17">
        <f>+VLOOKUP($A2094,MAGAZZINO!$B$2:$M$4838,5,FALSE)</f>
        <v/>
      </c>
      <c r="F2094" s="17">
        <f>+VLOOKUP($A2094,MAGAZZINO!$B$2:$M$4838,6,FALSE)</f>
        <v/>
      </c>
      <c r="G2094" s="17">
        <f>+VLOOKUP($A2094,MAGAZZINO!$B$2:$M$4838,7,FALSE)</f>
        <v/>
      </c>
      <c r="H2094" s="17">
        <f>+VLOOKUP($A2094,MAGAZZINO!$B$2:$M$4838,8,FALSE)</f>
        <v/>
      </c>
      <c r="I2094" s="17">
        <f>+VLOOKUP($A2094,MAGAZZINO!$B$2:$M$4838,9,FALSE)</f>
        <v/>
      </c>
      <c r="J2094" s="17">
        <f>+VLOOKUP($A2094,MAGAZZINO!$B$2:$M$4838,10,FALSE)</f>
        <v/>
      </c>
      <c r="K2094" s="17">
        <f>+VLOOKUP($A2094,MAGAZZINO!$B$2:$M$4838,11,FALSE)</f>
        <v/>
      </c>
      <c r="L2094" s="44">
        <f>+VLOOKUP($A2094,MAGAZZINO!$B$2:$M$4838,12,FALSE)</f>
        <v/>
      </c>
    </row>
    <row r="2095" ht="36" customHeight="1">
      <c r="A2095" s="30">
        <f>+REGISTRO!A2078</f>
        <v/>
      </c>
      <c r="B2095" s="31">
        <f>+VLOOKUP($A2095,MAGAZZINO!$B$2:$M$4838,2,FALSE)</f>
        <v/>
      </c>
      <c r="C2095" s="32">
        <f>+VLOOKUP($A2095,MAGAZZINO!$B$2:$M$4838,3,FALSE)</f>
        <v/>
      </c>
      <c r="D2095" s="17">
        <f>+VLOOKUP($A2095,MAGAZZINO!$B$2:$M$4838,4,FALSE)</f>
        <v/>
      </c>
      <c r="E2095" s="17">
        <f>+VLOOKUP($A2095,MAGAZZINO!$B$2:$M$4838,5,FALSE)</f>
        <v/>
      </c>
      <c r="F2095" s="17">
        <f>+VLOOKUP($A2095,MAGAZZINO!$B$2:$M$4838,6,FALSE)</f>
        <v/>
      </c>
      <c r="G2095" s="17">
        <f>+VLOOKUP($A2095,MAGAZZINO!$B$2:$M$4838,7,FALSE)</f>
        <v/>
      </c>
      <c r="H2095" s="17">
        <f>+VLOOKUP($A2095,MAGAZZINO!$B$2:$M$4838,8,FALSE)</f>
        <v/>
      </c>
      <c r="I2095" s="17">
        <f>+VLOOKUP($A2095,MAGAZZINO!$B$2:$M$4838,9,FALSE)</f>
        <v/>
      </c>
      <c r="J2095" s="17">
        <f>+VLOOKUP($A2095,MAGAZZINO!$B$2:$M$4838,10,FALSE)</f>
        <v/>
      </c>
      <c r="K2095" s="17">
        <f>+VLOOKUP($A2095,MAGAZZINO!$B$2:$M$4838,11,FALSE)</f>
        <v/>
      </c>
      <c r="L2095" s="44">
        <f>+VLOOKUP($A2095,MAGAZZINO!$B$2:$M$4838,12,FALSE)</f>
        <v/>
      </c>
    </row>
    <row r="2096" ht="36" customHeight="1">
      <c r="A2096" s="30">
        <f>+REGISTRO!A2079</f>
        <v/>
      </c>
      <c r="B2096" s="31">
        <f>+VLOOKUP($A2096,MAGAZZINO!$B$2:$M$4838,2,FALSE)</f>
        <v/>
      </c>
      <c r="C2096" s="32">
        <f>+VLOOKUP($A2096,MAGAZZINO!$B$2:$M$4838,3,FALSE)</f>
        <v/>
      </c>
      <c r="D2096" s="17">
        <f>+VLOOKUP($A2096,MAGAZZINO!$B$2:$M$4838,4,FALSE)</f>
        <v/>
      </c>
      <c r="E2096" s="17">
        <f>+VLOOKUP($A2096,MAGAZZINO!$B$2:$M$4838,5,FALSE)</f>
        <v/>
      </c>
      <c r="F2096" s="17">
        <f>+VLOOKUP($A2096,MAGAZZINO!$B$2:$M$4838,6,FALSE)</f>
        <v/>
      </c>
      <c r="G2096" s="17">
        <f>+VLOOKUP($A2096,MAGAZZINO!$B$2:$M$4838,7,FALSE)</f>
        <v/>
      </c>
      <c r="H2096" s="17">
        <f>+VLOOKUP($A2096,MAGAZZINO!$B$2:$M$4838,8,FALSE)</f>
        <v/>
      </c>
      <c r="I2096" s="17">
        <f>+VLOOKUP($A2096,MAGAZZINO!$B$2:$M$4838,9,FALSE)</f>
        <v/>
      </c>
      <c r="J2096" s="17">
        <f>+VLOOKUP($A2096,MAGAZZINO!$B$2:$M$4838,10,FALSE)</f>
        <v/>
      </c>
      <c r="K2096" s="17">
        <f>+VLOOKUP($A2096,MAGAZZINO!$B$2:$M$4838,11,FALSE)</f>
        <v/>
      </c>
      <c r="L2096" s="44">
        <f>+VLOOKUP($A2096,MAGAZZINO!$B$2:$M$4838,12,FALSE)</f>
        <v/>
      </c>
    </row>
    <row r="2097" ht="36" customHeight="1">
      <c r="A2097" s="30">
        <f>+REGISTRO!A2080</f>
        <v/>
      </c>
      <c r="B2097" s="31">
        <f>+VLOOKUP($A2097,MAGAZZINO!$B$2:$M$4838,2,FALSE)</f>
        <v/>
      </c>
      <c r="C2097" s="32">
        <f>+VLOOKUP($A2097,MAGAZZINO!$B$2:$M$4838,3,FALSE)</f>
        <v/>
      </c>
      <c r="D2097" s="17">
        <f>+VLOOKUP($A2097,MAGAZZINO!$B$2:$M$4838,4,FALSE)</f>
        <v/>
      </c>
      <c r="E2097" s="17">
        <f>+VLOOKUP($A2097,MAGAZZINO!$B$2:$M$4838,5,FALSE)</f>
        <v/>
      </c>
      <c r="F2097" s="17">
        <f>+VLOOKUP($A2097,MAGAZZINO!$B$2:$M$4838,6,FALSE)</f>
        <v/>
      </c>
      <c r="G2097" s="17">
        <f>+VLOOKUP($A2097,MAGAZZINO!$B$2:$M$4838,7,FALSE)</f>
        <v/>
      </c>
      <c r="H2097" s="17">
        <f>+VLOOKUP($A2097,MAGAZZINO!$B$2:$M$4838,8,FALSE)</f>
        <v/>
      </c>
      <c r="I2097" s="17">
        <f>+VLOOKUP($A2097,MAGAZZINO!$B$2:$M$4838,9,FALSE)</f>
        <v/>
      </c>
      <c r="J2097" s="17">
        <f>+VLOOKUP($A2097,MAGAZZINO!$B$2:$M$4838,10,FALSE)</f>
        <v/>
      </c>
      <c r="K2097" s="17">
        <f>+VLOOKUP($A2097,MAGAZZINO!$B$2:$M$4838,11,FALSE)</f>
        <v/>
      </c>
      <c r="L2097" s="44">
        <f>+VLOOKUP($A2097,MAGAZZINO!$B$2:$M$4838,12,FALSE)</f>
        <v/>
      </c>
    </row>
    <row r="2098" ht="36" customHeight="1">
      <c r="A2098" s="30">
        <f>+REGISTRO!A2081</f>
        <v/>
      </c>
      <c r="B2098" s="31">
        <f>+VLOOKUP($A2098,MAGAZZINO!$B$2:$M$4838,2,FALSE)</f>
        <v/>
      </c>
      <c r="C2098" s="32">
        <f>+VLOOKUP($A2098,MAGAZZINO!$B$2:$M$4838,3,FALSE)</f>
        <v/>
      </c>
      <c r="D2098" s="17">
        <f>+VLOOKUP($A2098,MAGAZZINO!$B$2:$M$4838,4,FALSE)</f>
        <v/>
      </c>
      <c r="E2098" s="17">
        <f>+VLOOKUP($A2098,MAGAZZINO!$B$2:$M$4838,5,FALSE)</f>
        <v/>
      </c>
      <c r="F2098" s="17">
        <f>+VLOOKUP($A2098,MAGAZZINO!$B$2:$M$4838,6,FALSE)</f>
        <v/>
      </c>
      <c r="G2098" s="17">
        <f>+VLOOKUP($A2098,MAGAZZINO!$B$2:$M$4838,7,FALSE)</f>
        <v/>
      </c>
      <c r="H2098" s="17">
        <f>+VLOOKUP($A2098,MAGAZZINO!$B$2:$M$4838,8,FALSE)</f>
        <v/>
      </c>
      <c r="I2098" s="17">
        <f>+VLOOKUP($A2098,MAGAZZINO!$B$2:$M$4838,9,FALSE)</f>
        <v/>
      </c>
      <c r="J2098" s="17">
        <f>+VLOOKUP($A2098,MAGAZZINO!$B$2:$M$4838,10,FALSE)</f>
        <v/>
      </c>
      <c r="K2098" s="17">
        <f>+VLOOKUP($A2098,MAGAZZINO!$B$2:$M$4838,11,FALSE)</f>
        <v/>
      </c>
      <c r="L2098" s="44">
        <f>+VLOOKUP($A2098,MAGAZZINO!$B$2:$M$4838,12,FALSE)</f>
        <v/>
      </c>
    </row>
    <row r="2099" ht="36" customHeight="1">
      <c r="A2099" s="30">
        <f>+REGISTRO!A2082</f>
        <v/>
      </c>
      <c r="B2099" s="31">
        <f>+VLOOKUP($A2099,MAGAZZINO!$B$2:$M$4838,2,FALSE)</f>
        <v/>
      </c>
      <c r="C2099" s="32">
        <f>+VLOOKUP($A2099,MAGAZZINO!$B$2:$M$4838,3,FALSE)</f>
        <v/>
      </c>
      <c r="D2099" s="17">
        <f>+VLOOKUP($A2099,MAGAZZINO!$B$2:$M$4838,4,FALSE)</f>
        <v/>
      </c>
      <c r="E2099" s="17">
        <f>+VLOOKUP($A2099,MAGAZZINO!$B$2:$M$4838,5,FALSE)</f>
        <v/>
      </c>
      <c r="F2099" s="17">
        <f>+VLOOKUP($A2099,MAGAZZINO!$B$2:$M$4838,6,FALSE)</f>
        <v/>
      </c>
      <c r="G2099" s="17">
        <f>+VLOOKUP($A2099,MAGAZZINO!$B$2:$M$4838,7,FALSE)</f>
        <v/>
      </c>
      <c r="H2099" s="17">
        <f>+VLOOKUP($A2099,MAGAZZINO!$B$2:$M$4838,8,FALSE)</f>
        <v/>
      </c>
      <c r="I2099" s="17">
        <f>+VLOOKUP($A2099,MAGAZZINO!$B$2:$M$4838,9,FALSE)</f>
        <v/>
      </c>
      <c r="J2099" s="17">
        <f>+VLOOKUP($A2099,MAGAZZINO!$B$2:$M$4838,10,FALSE)</f>
        <v/>
      </c>
      <c r="K2099" s="17">
        <f>+VLOOKUP($A2099,MAGAZZINO!$B$2:$M$4838,11,FALSE)</f>
        <v/>
      </c>
      <c r="L2099" s="44">
        <f>+VLOOKUP($A2099,MAGAZZINO!$B$2:$M$4838,12,FALSE)</f>
        <v/>
      </c>
    </row>
    <row r="2100" ht="36" customHeight="1">
      <c r="A2100" s="30">
        <f>+REGISTRO!A2083</f>
        <v/>
      </c>
      <c r="B2100" s="31">
        <f>+VLOOKUP($A2100,MAGAZZINO!$B$2:$M$4838,2,FALSE)</f>
        <v/>
      </c>
      <c r="C2100" s="32">
        <f>+VLOOKUP($A2100,MAGAZZINO!$B$2:$M$4838,3,FALSE)</f>
        <v/>
      </c>
      <c r="D2100" s="17">
        <f>+VLOOKUP($A2100,MAGAZZINO!$B$2:$M$4838,4,FALSE)</f>
        <v/>
      </c>
      <c r="E2100" s="17">
        <f>+VLOOKUP($A2100,MAGAZZINO!$B$2:$M$4838,5,FALSE)</f>
        <v/>
      </c>
      <c r="F2100" s="17">
        <f>+VLOOKUP($A2100,MAGAZZINO!$B$2:$M$4838,6,FALSE)</f>
        <v/>
      </c>
      <c r="G2100" s="17">
        <f>+VLOOKUP($A2100,MAGAZZINO!$B$2:$M$4838,7,FALSE)</f>
        <v/>
      </c>
      <c r="H2100" s="17">
        <f>+VLOOKUP($A2100,MAGAZZINO!$B$2:$M$4838,8,FALSE)</f>
        <v/>
      </c>
      <c r="I2100" s="17">
        <f>+VLOOKUP($A2100,MAGAZZINO!$B$2:$M$4838,9,FALSE)</f>
        <v/>
      </c>
      <c r="J2100" s="17">
        <f>+VLOOKUP($A2100,MAGAZZINO!$B$2:$M$4838,10,FALSE)</f>
        <v/>
      </c>
      <c r="K2100" s="17">
        <f>+VLOOKUP($A2100,MAGAZZINO!$B$2:$M$4838,11,FALSE)</f>
        <v/>
      </c>
      <c r="L2100" s="44">
        <f>+VLOOKUP($A2100,MAGAZZINO!$B$2:$M$4838,12,FALSE)</f>
        <v/>
      </c>
    </row>
    <row r="2101" ht="36" customHeight="1">
      <c r="A2101" s="30">
        <f>+REGISTRO!A2084</f>
        <v/>
      </c>
      <c r="B2101" s="31">
        <f>+VLOOKUP($A2101,MAGAZZINO!$B$2:$M$4838,2,FALSE)</f>
        <v/>
      </c>
      <c r="C2101" s="32">
        <f>+VLOOKUP($A2101,MAGAZZINO!$B$2:$M$4838,3,FALSE)</f>
        <v/>
      </c>
      <c r="D2101" s="17">
        <f>+VLOOKUP($A2101,MAGAZZINO!$B$2:$M$4838,4,FALSE)</f>
        <v/>
      </c>
      <c r="E2101" s="17">
        <f>+VLOOKUP($A2101,MAGAZZINO!$B$2:$M$4838,5,FALSE)</f>
        <v/>
      </c>
      <c r="F2101" s="17">
        <f>+VLOOKUP($A2101,MAGAZZINO!$B$2:$M$4838,6,FALSE)</f>
        <v/>
      </c>
      <c r="G2101" s="17">
        <f>+VLOOKUP($A2101,MAGAZZINO!$B$2:$M$4838,7,FALSE)</f>
        <v/>
      </c>
      <c r="H2101" s="17">
        <f>+VLOOKUP($A2101,MAGAZZINO!$B$2:$M$4838,8,FALSE)</f>
        <v/>
      </c>
      <c r="I2101" s="17">
        <f>+VLOOKUP($A2101,MAGAZZINO!$B$2:$M$4838,9,FALSE)</f>
        <v/>
      </c>
      <c r="J2101" s="17">
        <f>+VLOOKUP($A2101,MAGAZZINO!$B$2:$M$4838,10,FALSE)</f>
        <v/>
      </c>
      <c r="K2101" s="17">
        <f>+VLOOKUP($A2101,MAGAZZINO!$B$2:$M$4838,11,FALSE)</f>
        <v/>
      </c>
      <c r="L2101" s="44">
        <f>+VLOOKUP($A2101,MAGAZZINO!$B$2:$M$4838,12,FALSE)</f>
        <v/>
      </c>
    </row>
    <row r="2102" ht="36" customHeight="1">
      <c r="A2102" s="30">
        <f>+REGISTRO!A2085</f>
        <v/>
      </c>
      <c r="B2102" s="31">
        <f>+VLOOKUP($A2102,MAGAZZINO!$B$2:$M$4838,2,FALSE)</f>
        <v/>
      </c>
      <c r="C2102" s="32">
        <f>+VLOOKUP($A2102,MAGAZZINO!$B$2:$M$4838,3,FALSE)</f>
        <v/>
      </c>
      <c r="D2102" s="17">
        <f>+VLOOKUP($A2102,MAGAZZINO!$B$2:$M$4838,4,FALSE)</f>
        <v/>
      </c>
      <c r="E2102" s="17">
        <f>+VLOOKUP($A2102,MAGAZZINO!$B$2:$M$4838,5,FALSE)</f>
        <v/>
      </c>
      <c r="F2102" s="17">
        <f>+VLOOKUP($A2102,MAGAZZINO!$B$2:$M$4838,6,FALSE)</f>
        <v/>
      </c>
      <c r="G2102" s="17">
        <f>+VLOOKUP($A2102,MAGAZZINO!$B$2:$M$4838,7,FALSE)</f>
        <v/>
      </c>
      <c r="H2102" s="17">
        <f>+VLOOKUP($A2102,MAGAZZINO!$B$2:$M$4838,8,FALSE)</f>
        <v/>
      </c>
      <c r="I2102" s="17">
        <f>+VLOOKUP($A2102,MAGAZZINO!$B$2:$M$4838,9,FALSE)</f>
        <v/>
      </c>
      <c r="J2102" s="17">
        <f>+VLOOKUP($A2102,MAGAZZINO!$B$2:$M$4838,10,FALSE)</f>
        <v/>
      </c>
      <c r="K2102" s="17">
        <f>+VLOOKUP($A2102,MAGAZZINO!$B$2:$M$4838,11,FALSE)</f>
        <v/>
      </c>
      <c r="L2102" s="44">
        <f>+VLOOKUP($A2102,MAGAZZINO!$B$2:$M$4838,12,FALSE)</f>
        <v/>
      </c>
    </row>
    <row r="2103" ht="36" customHeight="1">
      <c r="A2103" s="30">
        <f>+REGISTRO!A2086</f>
        <v/>
      </c>
      <c r="B2103" s="31">
        <f>+VLOOKUP($A2103,MAGAZZINO!$B$2:$M$4838,2,FALSE)</f>
        <v/>
      </c>
      <c r="C2103" s="32">
        <f>+VLOOKUP($A2103,MAGAZZINO!$B$2:$M$4838,3,FALSE)</f>
        <v/>
      </c>
      <c r="D2103" s="17">
        <f>+VLOOKUP($A2103,MAGAZZINO!$B$2:$M$4838,4,FALSE)</f>
        <v/>
      </c>
      <c r="E2103" s="17">
        <f>+VLOOKUP($A2103,MAGAZZINO!$B$2:$M$4838,5,FALSE)</f>
        <v/>
      </c>
      <c r="F2103" s="17">
        <f>+VLOOKUP($A2103,MAGAZZINO!$B$2:$M$4838,6,FALSE)</f>
        <v/>
      </c>
      <c r="G2103" s="17">
        <f>+VLOOKUP($A2103,MAGAZZINO!$B$2:$M$4838,7,FALSE)</f>
        <v/>
      </c>
      <c r="H2103" s="17">
        <f>+VLOOKUP($A2103,MAGAZZINO!$B$2:$M$4838,8,FALSE)</f>
        <v/>
      </c>
      <c r="I2103" s="17">
        <f>+VLOOKUP($A2103,MAGAZZINO!$B$2:$M$4838,9,FALSE)</f>
        <v/>
      </c>
      <c r="J2103" s="17">
        <f>+VLOOKUP($A2103,MAGAZZINO!$B$2:$M$4838,10,FALSE)</f>
        <v/>
      </c>
      <c r="K2103" s="17">
        <f>+VLOOKUP($A2103,MAGAZZINO!$B$2:$M$4838,11,FALSE)</f>
        <v/>
      </c>
      <c r="L2103" s="44">
        <f>+VLOOKUP($A2103,MAGAZZINO!$B$2:$M$4838,12,FALSE)</f>
        <v/>
      </c>
    </row>
    <row r="2104" ht="36" customHeight="1">
      <c r="A2104" s="30">
        <f>+REGISTRO!A2087</f>
        <v/>
      </c>
      <c r="B2104" s="31">
        <f>+VLOOKUP($A2104,MAGAZZINO!$B$2:$M$4838,2,FALSE)</f>
        <v/>
      </c>
      <c r="C2104" s="32">
        <f>+VLOOKUP($A2104,MAGAZZINO!$B$2:$M$4838,3,FALSE)</f>
        <v/>
      </c>
      <c r="D2104" s="17">
        <f>+VLOOKUP($A2104,MAGAZZINO!$B$2:$M$4838,4,FALSE)</f>
        <v/>
      </c>
      <c r="E2104" s="17">
        <f>+VLOOKUP($A2104,MAGAZZINO!$B$2:$M$4838,5,FALSE)</f>
        <v/>
      </c>
      <c r="F2104" s="17">
        <f>+VLOOKUP($A2104,MAGAZZINO!$B$2:$M$4838,6,FALSE)</f>
        <v/>
      </c>
      <c r="G2104" s="17">
        <f>+VLOOKUP($A2104,MAGAZZINO!$B$2:$M$4838,7,FALSE)</f>
        <v/>
      </c>
      <c r="H2104" s="17">
        <f>+VLOOKUP($A2104,MAGAZZINO!$B$2:$M$4838,8,FALSE)</f>
        <v/>
      </c>
      <c r="I2104" s="17">
        <f>+VLOOKUP($A2104,MAGAZZINO!$B$2:$M$4838,9,FALSE)</f>
        <v/>
      </c>
      <c r="J2104" s="17">
        <f>+VLOOKUP($A2104,MAGAZZINO!$B$2:$M$4838,10,FALSE)</f>
        <v/>
      </c>
      <c r="K2104" s="17">
        <f>+VLOOKUP($A2104,MAGAZZINO!$B$2:$M$4838,11,FALSE)</f>
        <v/>
      </c>
      <c r="L2104" s="44">
        <f>+VLOOKUP($A2104,MAGAZZINO!$B$2:$M$4838,12,FALSE)</f>
        <v/>
      </c>
    </row>
    <row r="2105" ht="36" customHeight="1">
      <c r="A2105" s="30">
        <f>+REGISTRO!A2088</f>
        <v/>
      </c>
      <c r="B2105" s="31">
        <f>+VLOOKUP($A2105,MAGAZZINO!$B$2:$M$4838,2,FALSE)</f>
        <v/>
      </c>
      <c r="C2105" s="32">
        <f>+VLOOKUP($A2105,MAGAZZINO!$B$2:$M$4838,3,FALSE)</f>
        <v/>
      </c>
      <c r="D2105" s="17">
        <f>+VLOOKUP($A2105,MAGAZZINO!$B$2:$M$4838,4,FALSE)</f>
        <v/>
      </c>
      <c r="E2105" s="17">
        <f>+VLOOKUP($A2105,MAGAZZINO!$B$2:$M$4838,5,FALSE)</f>
        <v/>
      </c>
      <c r="F2105" s="17">
        <f>+VLOOKUP($A2105,MAGAZZINO!$B$2:$M$4838,6,FALSE)</f>
        <v/>
      </c>
      <c r="G2105" s="17">
        <f>+VLOOKUP($A2105,MAGAZZINO!$B$2:$M$4838,7,FALSE)</f>
        <v/>
      </c>
      <c r="H2105" s="17">
        <f>+VLOOKUP($A2105,MAGAZZINO!$B$2:$M$4838,8,FALSE)</f>
        <v/>
      </c>
      <c r="I2105" s="17">
        <f>+VLOOKUP($A2105,MAGAZZINO!$B$2:$M$4838,9,FALSE)</f>
        <v/>
      </c>
      <c r="J2105" s="17">
        <f>+VLOOKUP($A2105,MAGAZZINO!$B$2:$M$4838,10,FALSE)</f>
        <v/>
      </c>
      <c r="K2105" s="17">
        <f>+VLOOKUP($A2105,MAGAZZINO!$B$2:$M$4838,11,FALSE)</f>
        <v/>
      </c>
      <c r="L2105" s="44">
        <f>+VLOOKUP($A2105,MAGAZZINO!$B$2:$M$4838,12,FALSE)</f>
        <v/>
      </c>
    </row>
    <row r="2106" ht="36" customHeight="1">
      <c r="A2106" s="30">
        <f>+REGISTRO!A2089</f>
        <v/>
      </c>
      <c r="B2106" s="31">
        <f>+VLOOKUP($A2106,MAGAZZINO!$B$2:$M$4838,2,FALSE)</f>
        <v/>
      </c>
      <c r="C2106" s="32">
        <f>+VLOOKUP($A2106,MAGAZZINO!$B$2:$M$4838,3,FALSE)</f>
        <v/>
      </c>
      <c r="D2106" s="17">
        <f>+VLOOKUP($A2106,MAGAZZINO!$B$2:$M$4838,4,FALSE)</f>
        <v/>
      </c>
      <c r="E2106" s="17">
        <f>+VLOOKUP($A2106,MAGAZZINO!$B$2:$M$4838,5,FALSE)</f>
        <v/>
      </c>
      <c r="F2106" s="17">
        <f>+VLOOKUP($A2106,MAGAZZINO!$B$2:$M$4838,6,FALSE)</f>
        <v/>
      </c>
      <c r="G2106" s="17">
        <f>+VLOOKUP($A2106,MAGAZZINO!$B$2:$M$4838,7,FALSE)</f>
        <v/>
      </c>
      <c r="H2106" s="17">
        <f>+VLOOKUP($A2106,MAGAZZINO!$B$2:$M$4838,8,FALSE)</f>
        <v/>
      </c>
      <c r="I2106" s="17">
        <f>+VLOOKUP($A2106,MAGAZZINO!$B$2:$M$4838,9,FALSE)</f>
        <v/>
      </c>
      <c r="J2106" s="17">
        <f>+VLOOKUP($A2106,MAGAZZINO!$B$2:$M$4838,10,FALSE)</f>
        <v/>
      </c>
      <c r="K2106" s="17">
        <f>+VLOOKUP($A2106,MAGAZZINO!$B$2:$M$4838,11,FALSE)</f>
        <v/>
      </c>
      <c r="L2106" s="44">
        <f>+VLOOKUP($A2106,MAGAZZINO!$B$2:$M$4838,12,FALSE)</f>
        <v/>
      </c>
    </row>
    <row r="2107" ht="36" customHeight="1">
      <c r="A2107" s="30">
        <f>+REGISTRO!A2090</f>
        <v/>
      </c>
      <c r="B2107" s="31">
        <f>+VLOOKUP($A2107,MAGAZZINO!$B$2:$M$4838,2,FALSE)</f>
        <v/>
      </c>
      <c r="C2107" s="32">
        <f>+VLOOKUP($A2107,MAGAZZINO!$B$2:$M$4838,3,FALSE)</f>
        <v/>
      </c>
      <c r="D2107" s="17">
        <f>+VLOOKUP($A2107,MAGAZZINO!$B$2:$M$4838,4,FALSE)</f>
        <v/>
      </c>
      <c r="E2107" s="17">
        <f>+VLOOKUP($A2107,MAGAZZINO!$B$2:$M$4838,5,FALSE)</f>
        <v/>
      </c>
      <c r="F2107" s="17">
        <f>+VLOOKUP($A2107,MAGAZZINO!$B$2:$M$4838,6,FALSE)</f>
        <v/>
      </c>
      <c r="G2107" s="17">
        <f>+VLOOKUP($A2107,MAGAZZINO!$B$2:$M$4838,7,FALSE)</f>
        <v/>
      </c>
      <c r="H2107" s="17">
        <f>+VLOOKUP($A2107,MAGAZZINO!$B$2:$M$4838,8,FALSE)</f>
        <v/>
      </c>
      <c r="I2107" s="17">
        <f>+VLOOKUP($A2107,MAGAZZINO!$B$2:$M$4838,9,FALSE)</f>
        <v/>
      </c>
      <c r="J2107" s="17">
        <f>+VLOOKUP($A2107,MAGAZZINO!$B$2:$M$4838,10,FALSE)</f>
        <v/>
      </c>
      <c r="K2107" s="17">
        <f>+VLOOKUP($A2107,MAGAZZINO!$B$2:$M$4838,11,FALSE)</f>
        <v/>
      </c>
      <c r="L2107" s="44">
        <f>+VLOOKUP($A2107,MAGAZZINO!$B$2:$M$4838,12,FALSE)</f>
        <v/>
      </c>
    </row>
    <row r="2108" ht="36" customHeight="1">
      <c r="A2108" s="30">
        <f>+REGISTRO!A2091</f>
        <v/>
      </c>
      <c r="B2108" s="31">
        <f>+VLOOKUP($A2108,MAGAZZINO!$B$2:$M$4838,2,FALSE)</f>
        <v/>
      </c>
      <c r="C2108" s="32">
        <f>+VLOOKUP($A2108,MAGAZZINO!$B$2:$M$4838,3,FALSE)</f>
        <v/>
      </c>
      <c r="D2108" s="17">
        <f>+VLOOKUP($A2108,MAGAZZINO!$B$2:$M$4838,4,FALSE)</f>
        <v/>
      </c>
      <c r="E2108" s="17">
        <f>+VLOOKUP($A2108,MAGAZZINO!$B$2:$M$4838,5,FALSE)</f>
        <v/>
      </c>
      <c r="F2108" s="17">
        <f>+VLOOKUP($A2108,MAGAZZINO!$B$2:$M$4838,6,FALSE)</f>
        <v/>
      </c>
      <c r="G2108" s="17">
        <f>+VLOOKUP($A2108,MAGAZZINO!$B$2:$M$4838,7,FALSE)</f>
        <v/>
      </c>
      <c r="H2108" s="17">
        <f>+VLOOKUP($A2108,MAGAZZINO!$B$2:$M$4838,8,FALSE)</f>
        <v/>
      </c>
      <c r="I2108" s="17">
        <f>+VLOOKUP($A2108,MAGAZZINO!$B$2:$M$4838,9,FALSE)</f>
        <v/>
      </c>
      <c r="J2108" s="17">
        <f>+VLOOKUP($A2108,MAGAZZINO!$B$2:$M$4838,10,FALSE)</f>
        <v/>
      </c>
      <c r="K2108" s="17">
        <f>+VLOOKUP($A2108,MAGAZZINO!$B$2:$M$4838,11,FALSE)</f>
        <v/>
      </c>
      <c r="L2108" s="44">
        <f>+VLOOKUP($A2108,MAGAZZINO!$B$2:$M$4838,12,FALSE)</f>
        <v/>
      </c>
    </row>
    <row r="2109" ht="36" customHeight="1">
      <c r="A2109" s="30">
        <f>+REGISTRO!A2092</f>
        <v/>
      </c>
      <c r="B2109" s="31">
        <f>+VLOOKUP($A2109,MAGAZZINO!$B$2:$M$4838,2,FALSE)</f>
        <v/>
      </c>
      <c r="C2109" s="32">
        <f>+VLOOKUP($A2109,MAGAZZINO!$B$2:$M$4838,3,FALSE)</f>
        <v/>
      </c>
      <c r="D2109" s="17">
        <f>+VLOOKUP($A2109,MAGAZZINO!$B$2:$M$4838,4,FALSE)</f>
        <v/>
      </c>
      <c r="E2109" s="17">
        <f>+VLOOKUP($A2109,MAGAZZINO!$B$2:$M$4838,5,FALSE)</f>
        <v/>
      </c>
      <c r="F2109" s="17">
        <f>+VLOOKUP($A2109,MAGAZZINO!$B$2:$M$4838,6,FALSE)</f>
        <v/>
      </c>
      <c r="G2109" s="17">
        <f>+VLOOKUP($A2109,MAGAZZINO!$B$2:$M$4838,7,FALSE)</f>
        <v/>
      </c>
      <c r="H2109" s="17">
        <f>+VLOOKUP($A2109,MAGAZZINO!$B$2:$M$4838,8,FALSE)</f>
        <v/>
      </c>
      <c r="I2109" s="17">
        <f>+VLOOKUP($A2109,MAGAZZINO!$B$2:$M$4838,9,FALSE)</f>
        <v/>
      </c>
      <c r="J2109" s="17">
        <f>+VLOOKUP($A2109,MAGAZZINO!$B$2:$M$4838,10,FALSE)</f>
        <v/>
      </c>
      <c r="K2109" s="17">
        <f>+VLOOKUP($A2109,MAGAZZINO!$B$2:$M$4838,11,FALSE)</f>
        <v/>
      </c>
      <c r="L2109" s="44">
        <f>+VLOOKUP($A2109,MAGAZZINO!$B$2:$M$4838,12,FALSE)</f>
        <v/>
      </c>
    </row>
    <row r="2110" ht="36" customHeight="1">
      <c r="A2110" s="30">
        <f>+REGISTRO!A2093</f>
        <v/>
      </c>
      <c r="B2110" s="31">
        <f>+VLOOKUP($A2110,MAGAZZINO!$B$2:$M$4838,2,FALSE)</f>
        <v/>
      </c>
      <c r="C2110" s="32">
        <f>+VLOOKUP($A2110,MAGAZZINO!$B$2:$M$4838,3,FALSE)</f>
        <v/>
      </c>
      <c r="D2110" s="17">
        <f>+VLOOKUP($A2110,MAGAZZINO!$B$2:$M$4838,4,FALSE)</f>
        <v/>
      </c>
      <c r="E2110" s="17">
        <f>+VLOOKUP($A2110,MAGAZZINO!$B$2:$M$4838,5,FALSE)</f>
        <v/>
      </c>
      <c r="F2110" s="17">
        <f>+VLOOKUP($A2110,MAGAZZINO!$B$2:$M$4838,6,FALSE)</f>
        <v/>
      </c>
      <c r="G2110" s="17">
        <f>+VLOOKUP($A2110,MAGAZZINO!$B$2:$M$4838,7,FALSE)</f>
        <v/>
      </c>
      <c r="H2110" s="17">
        <f>+VLOOKUP($A2110,MAGAZZINO!$B$2:$M$4838,8,FALSE)</f>
        <v/>
      </c>
      <c r="I2110" s="17">
        <f>+VLOOKUP($A2110,MAGAZZINO!$B$2:$M$4838,9,FALSE)</f>
        <v/>
      </c>
      <c r="J2110" s="17">
        <f>+VLOOKUP($A2110,MAGAZZINO!$B$2:$M$4838,10,FALSE)</f>
        <v/>
      </c>
      <c r="K2110" s="17">
        <f>+VLOOKUP($A2110,MAGAZZINO!$B$2:$M$4838,11,FALSE)</f>
        <v/>
      </c>
      <c r="L2110" s="44">
        <f>+VLOOKUP($A2110,MAGAZZINO!$B$2:$M$4838,12,FALSE)</f>
        <v/>
      </c>
    </row>
    <row r="2111" ht="36" customHeight="1">
      <c r="A2111" s="30">
        <f>+REGISTRO!A2094</f>
        <v/>
      </c>
      <c r="B2111" s="31">
        <f>+VLOOKUP($A2111,MAGAZZINO!$B$2:$M$4838,2,FALSE)</f>
        <v/>
      </c>
      <c r="C2111" s="32">
        <f>+VLOOKUP($A2111,MAGAZZINO!$B$2:$M$4838,3,FALSE)</f>
        <v/>
      </c>
      <c r="D2111" s="17">
        <f>+VLOOKUP($A2111,MAGAZZINO!$B$2:$M$4838,4,FALSE)</f>
        <v/>
      </c>
      <c r="E2111" s="17">
        <f>+VLOOKUP($A2111,MAGAZZINO!$B$2:$M$4838,5,FALSE)</f>
        <v/>
      </c>
      <c r="F2111" s="17">
        <f>+VLOOKUP($A2111,MAGAZZINO!$B$2:$M$4838,6,FALSE)</f>
        <v/>
      </c>
      <c r="G2111" s="17">
        <f>+VLOOKUP($A2111,MAGAZZINO!$B$2:$M$4838,7,FALSE)</f>
        <v/>
      </c>
      <c r="H2111" s="17">
        <f>+VLOOKUP($A2111,MAGAZZINO!$B$2:$M$4838,8,FALSE)</f>
        <v/>
      </c>
      <c r="I2111" s="17">
        <f>+VLOOKUP($A2111,MAGAZZINO!$B$2:$M$4838,9,FALSE)</f>
        <v/>
      </c>
      <c r="J2111" s="17">
        <f>+VLOOKUP($A2111,MAGAZZINO!$B$2:$M$4838,10,FALSE)</f>
        <v/>
      </c>
      <c r="K2111" s="17">
        <f>+VLOOKUP($A2111,MAGAZZINO!$B$2:$M$4838,11,FALSE)</f>
        <v/>
      </c>
      <c r="L2111" s="44">
        <f>+VLOOKUP($A2111,MAGAZZINO!$B$2:$M$4838,12,FALSE)</f>
        <v/>
      </c>
    </row>
    <row r="2112" ht="36" customHeight="1">
      <c r="A2112" s="30">
        <f>+REGISTRO!A2095</f>
        <v/>
      </c>
      <c r="B2112" s="31">
        <f>+VLOOKUP($A2112,MAGAZZINO!$B$2:$M$4838,2,FALSE)</f>
        <v/>
      </c>
      <c r="C2112" s="32">
        <f>+VLOOKUP($A2112,MAGAZZINO!$B$2:$M$4838,3,FALSE)</f>
        <v/>
      </c>
      <c r="D2112" s="17">
        <f>+VLOOKUP($A2112,MAGAZZINO!$B$2:$M$4838,4,FALSE)</f>
        <v/>
      </c>
      <c r="E2112" s="17">
        <f>+VLOOKUP($A2112,MAGAZZINO!$B$2:$M$4838,5,FALSE)</f>
        <v/>
      </c>
      <c r="F2112" s="17">
        <f>+VLOOKUP($A2112,MAGAZZINO!$B$2:$M$4838,6,FALSE)</f>
        <v/>
      </c>
      <c r="G2112" s="17">
        <f>+VLOOKUP($A2112,MAGAZZINO!$B$2:$M$4838,7,FALSE)</f>
        <v/>
      </c>
      <c r="H2112" s="17">
        <f>+VLOOKUP($A2112,MAGAZZINO!$B$2:$M$4838,8,FALSE)</f>
        <v/>
      </c>
      <c r="I2112" s="17">
        <f>+VLOOKUP($A2112,MAGAZZINO!$B$2:$M$4838,9,FALSE)</f>
        <v/>
      </c>
      <c r="J2112" s="17">
        <f>+VLOOKUP($A2112,MAGAZZINO!$B$2:$M$4838,10,FALSE)</f>
        <v/>
      </c>
      <c r="K2112" s="17">
        <f>+VLOOKUP($A2112,MAGAZZINO!$B$2:$M$4838,11,FALSE)</f>
        <v/>
      </c>
      <c r="L2112" s="44">
        <f>+VLOOKUP($A2112,MAGAZZINO!$B$2:$M$4838,12,FALSE)</f>
        <v/>
      </c>
    </row>
    <row r="2113" ht="36" customHeight="1">
      <c r="A2113" s="30">
        <f>+REGISTRO!A2096</f>
        <v/>
      </c>
      <c r="B2113" s="31">
        <f>+VLOOKUP($A2113,MAGAZZINO!$B$2:$M$4838,2,FALSE)</f>
        <v/>
      </c>
      <c r="C2113" s="32">
        <f>+VLOOKUP($A2113,MAGAZZINO!$B$2:$M$4838,3,FALSE)</f>
        <v/>
      </c>
      <c r="D2113" s="17">
        <f>+VLOOKUP($A2113,MAGAZZINO!$B$2:$M$4838,4,FALSE)</f>
        <v/>
      </c>
      <c r="E2113" s="17">
        <f>+VLOOKUP($A2113,MAGAZZINO!$B$2:$M$4838,5,FALSE)</f>
        <v/>
      </c>
      <c r="F2113" s="17">
        <f>+VLOOKUP($A2113,MAGAZZINO!$B$2:$M$4838,6,FALSE)</f>
        <v/>
      </c>
      <c r="G2113" s="17">
        <f>+VLOOKUP($A2113,MAGAZZINO!$B$2:$M$4838,7,FALSE)</f>
        <v/>
      </c>
      <c r="H2113" s="17">
        <f>+VLOOKUP($A2113,MAGAZZINO!$B$2:$M$4838,8,FALSE)</f>
        <v/>
      </c>
      <c r="I2113" s="17">
        <f>+VLOOKUP($A2113,MAGAZZINO!$B$2:$M$4838,9,FALSE)</f>
        <v/>
      </c>
      <c r="J2113" s="17">
        <f>+VLOOKUP($A2113,MAGAZZINO!$B$2:$M$4838,10,FALSE)</f>
        <v/>
      </c>
      <c r="K2113" s="17">
        <f>+VLOOKUP($A2113,MAGAZZINO!$B$2:$M$4838,11,FALSE)</f>
        <v/>
      </c>
      <c r="L2113" s="44">
        <f>+VLOOKUP($A2113,MAGAZZINO!$B$2:$M$4838,12,FALSE)</f>
        <v/>
      </c>
    </row>
    <row r="2114" ht="36" customHeight="1">
      <c r="A2114" s="30">
        <f>+REGISTRO!A2097</f>
        <v/>
      </c>
      <c r="B2114" s="31">
        <f>+VLOOKUP($A2114,MAGAZZINO!$B$2:$M$4838,2,FALSE)</f>
        <v/>
      </c>
      <c r="C2114" s="32">
        <f>+VLOOKUP($A2114,MAGAZZINO!$B$2:$M$4838,3,FALSE)</f>
        <v/>
      </c>
      <c r="D2114" s="17">
        <f>+VLOOKUP($A2114,MAGAZZINO!$B$2:$M$4838,4,FALSE)</f>
        <v/>
      </c>
      <c r="E2114" s="17">
        <f>+VLOOKUP($A2114,MAGAZZINO!$B$2:$M$4838,5,FALSE)</f>
        <v/>
      </c>
      <c r="F2114" s="17">
        <f>+VLOOKUP($A2114,MAGAZZINO!$B$2:$M$4838,6,FALSE)</f>
        <v/>
      </c>
      <c r="G2114" s="17">
        <f>+VLOOKUP($A2114,MAGAZZINO!$B$2:$M$4838,7,FALSE)</f>
        <v/>
      </c>
      <c r="H2114" s="17">
        <f>+VLOOKUP($A2114,MAGAZZINO!$B$2:$M$4838,8,FALSE)</f>
        <v/>
      </c>
      <c r="I2114" s="17">
        <f>+VLOOKUP($A2114,MAGAZZINO!$B$2:$M$4838,9,FALSE)</f>
        <v/>
      </c>
      <c r="J2114" s="17">
        <f>+VLOOKUP($A2114,MAGAZZINO!$B$2:$M$4838,10,FALSE)</f>
        <v/>
      </c>
      <c r="K2114" s="17">
        <f>+VLOOKUP($A2114,MAGAZZINO!$B$2:$M$4838,11,FALSE)</f>
        <v/>
      </c>
      <c r="L2114" s="44">
        <f>+VLOOKUP($A2114,MAGAZZINO!$B$2:$M$4838,12,FALSE)</f>
        <v/>
      </c>
    </row>
    <row r="2115" ht="36" customHeight="1">
      <c r="A2115" s="30">
        <f>+REGISTRO!A2098</f>
        <v/>
      </c>
      <c r="B2115" s="31">
        <f>+VLOOKUP($A2115,MAGAZZINO!$B$2:$M$4838,2,FALSE)</f>
        <v/>
      </c>
      <c r="C2115" s="32">
        <f>+VLOOKUP($A2115,MAGAZZINO!$B$2:$M$4838,3,FALSE)</f>
        <v/>
      </c>
      <c r="D2115" s="17">
        <f>+VLOOKUP($A2115,MAGAZZINO!$B$2:$M$4838,4,FALSE)</f>
        <v/>
      </c>
      <c r="E2115" s="17">
        <f>+VLOOKUP($A2115,MAGAZZINO!$B$2:$M$4838,5,FALSE)</f>
        <v/>
      </c>
      <c r="F2115" s="17">
        <f>+VLOOKUP($A2115,MAGAZZINO!$B$2:$M$4838,6,FALSE)</f>
        <v/>
      </c>
      <c r="G2115" s="17">
        <f>+VLOOKUP($A2115,MAGAZZINO!$B$2:$M$4838,7,FALSE)</f>
        <v/>
      </c>
      <c r="H2115" s="17">
        <f>+VLOOKUP($A2115,MAGAZZINO!$B$2:$M$4838,8,FALSE)</f>
        <v/>
      </c>
      <c r="I2115" s="17">
        <f>+VLOOKUP($A2115,MAGAZZINO!$B$2:$M$4838,9,FALSE)</f>
        <v/>
      </c>
      <c r="J2115" s="17">
        <f>+VLOOKUP($A2115,MAGAZZINO!$B$2:$M$4838,10,FALSE)</f>
        <v/>
      </c>
      <c r="K2115" s="17">
        <f>+VLOOKUP($A2115,MAGAZZINO!$B$2:$M$4838,11,FALSE)</f>
        <v/>
      </c>
      <c r="L2115" s="44">
        <f>+VLOOKUP($A2115,MAGAZZINO!$B$2:$M$4838,12,FALSE)</f>
        <v/>
      </c>
    </row>
    <row r="2116" ht="36" customHeight="1">
      <c r="A2116" s="30">
        <f>+REGISTRO!A2099</f>
        <v/>
      </c>
      <c r="B2116" s="31">
        <f>+VLOOKUP($A2116,MAGAZZINO!$B$2:$M$4838,2,FALSE)</f>
        <v/>
      </c>
      <c r="C2116" s="32">
        <f>+VLOOKUP($A2116,MAGAZZINO!$B$2:$M$4838,3,FALSE)</f>
        <v/>
      </c>
      <c r="D2116" s="17">
        <f>+VLOOKUP($A2116,MAGAZZINO!$B$2:$M$4838,4,FALSE)</f>
        <v/>
      </c>
      <c r="E2116" s="17">
        <f>+VLOOKUP($A2116,MAGAZZINO!$B$2:$M$4838,5,FALSE)</f>
        <v/>
      </c>
      <c r="F2116" s="17">
        <f>+VLOOKUP($A2116,MAGAZZINO!$B$2:$M$4838,6,FALSE)</f>
        <v/>
      </c>
      <c r="G2116" s="17">
        <f>+VLOOKUP($A2116,MAGAZZINO!$B$2:$M$4838,7,FALSE)</f>
        <v/>
      </c>
      <c r="H2116" s="17">
        <f>+VLOOKUP($A2116,MAGAZZINO!$B$2:$M$4838,8,FALSE)</f>
        <v/>
      </c>
      <c r="I2116" s="17">
        <f>+VLOOKUP($A2116,MAGAZZINO!$B$2:$M$4838,9,FALSE)</f>
        <v/>
      </c>
      <c r="J2116" s="17">
        <f>+VLOOKUP($A2116,MAGAZZINO!$B$2:$M$4838,10,FALSE)</f>
        <v/>
      </c>
      <c r="K2116" s="17">
        <f>+VLOOKUP($A2116,MAGAZZINO!$B$2:$M$4838,11,FALSE)</f>
        <v/>
      </c>
      <c r="L2116" s="44">
        <f>+VLOOKUP($A2116,MAGAZZINO!$B$2:$M$4838,12,FALSE)</f>
        <v/>
      </c>
    </row>
    <row r="2117" ht="36" customHeight="1">
      <c r="A2117" s="30">
        <f>+REGISTRO!A2100</f>
        <v/>
      </c>
      <c r="B2117" s="31">
        <f>+VLOOKUP($A2117,MAGAZZINO!$B$2:$M$4838,2,FALSE)</f>
        <v/>
      </c>
      <c r="C2117" s="32">
        <f>+VLOOKUP($A2117,MAGAZZINO!$B$2:$M$4838,3,FALSE)</f>
        <v/>
      </c>
      <c r="D2117" s="17">
        <f>+VLOOKUP($A2117,MAGAZZINO!$B$2:$M$4838,4,FALSE)</f>
        <v/>
      </c>
      <c r="E2117" s="17">
        <f>+VLOOKUP($A2117,MAGAZZINO!$B$2:$M$4838,5,FALSE)</f>
        <v/>
      </c>
      <c r="F2117" s="17">
        <f>+VLOOKUP($A2117,MAGAZZINO!$B$2:$M$4838,6,FALSE)</f>
        <v/>
      </c>
      <c r="G2117" s="17">
        <f>+VLOOKUP($A2117,MAGAZZINO!$B$2:$M$4838,7,FALSE)</f>
        <v/>
      </c>
      <c r="H2117" s="17">
        <f>+VLOOKUP($A2117,MAGAZZINO!$B$2:$M$4838,8,FALSE)</f>
        <v/>
      </c>
      <c r="I2117" s="17">
        <f>+VLOOKUP($A2117,MAGAZZINO!$B$2:$M$4838,9,FALSE)</f>
        <v/>
      </c>
      <c r="J2117" s="17">
        <f>+VLOOKUP($A2117,MAGAZZINO!$B$2:$M$4838,10,FALSE)</f>
        <v/>
      </c>
      <c r="K2117" s="17">
        <f>+VLOOKUP($A2117,MAGAZZINO!$B$2:$M$4838,11,FALSE)</f>
        <v/>
      </c>
      <c r="L2117" s="44">
        <f>+VLOOKUP($A2117,MAGAZZINO!$B$2:$M$4838,12,FALSE)</f>
        <v/>
      </c>
    </row>
    <row r="2118" ht="36" customHeight="1">
      <c r="A2118" s="30">
        <f>+REGISTRO!A2101</f>
        <v/>
      </c>
      <c r="B2118" s="31">
        <f>+VLOOKUP($A2118,MAGAZZINO!$B$2:$M$4838,2,FALSE)</f>
        <v/>
      </c>
      <c r="C2118" s="32">
        <f>+VLOOKUP($A2118,MAGAZZINO!$B$2:$M$4838,3,FALSE)</f>
        <v/>
      </c>
      <c r="D2118" s="17">
        <f>+VLOOKUP($A2118,MAGAZZINO!$B$2:$M$4838,4,FALSE)</f>
        <v/>
      </c>
      <c r="E2118" s="17">
        <f>+VLOOKUP($A2118,MAGAZZINO!$B$2:$M$4838,5,FALSE)</f>
        <v/>
      </c>
      <c r="F2118" s="17">
        <f>+VLOOKUP($A2118,MAGAZZINO!$B$2:$M$4838,6,FALSE)</f>
        <v/>
      </c>
      <c r="G2118" s="17">
        <f>+VLOOKUP($A2118,MAGAZZINO!$B$2:$M$4838,7,FALSE)</f>
        <v/>
      </c>
      <c r="H2118" s="17">
        <f>+VLOOKUP($A2118,MAGAZZINO!$B$2:$M$4838,8,FALSE)</f>
        <v/>
      </c>
      <c r="I2118" s="17">
        <f>+VLOOKUP($A2118,MAGAZZINO!$B$2:$M$4838,9,FALSE)</f>
        <v/>
      </c>
      <c r="J2118" s="17">
        <f>+VLOOKUP($A2118,MAGAZZINO!$B$2:$M$4838,10,FALSE)</f>
        <v/>
      </c>
      <c r="K2118" s="17">
        <f>+VLOOKUP($A2118,MAGAZZINO!$B$2:$M$4838,11,FALSE)</f>
        <v/>
      </c>
      <c r="L2118" s="44">
        <f>+VLOOKUP($A2118,MAGAZZINO!$B$2:$M$4838,12,FALSE)</f>
        <v/>
      </c>
    </row>
    <row r="2119" ht="36" customHeight="1">
      <c r="A2119" s="30">
        <f>+REGISTRO!A2102</f>
        <v/>
      </c>
      <c r="B2119" s="31">
        <f>+VLOOKUP($A2119,MAGAZZINO!$B$2:$M$4838,2,FALSE)</f>
        <v/>
      </c>
      <c r="C2119" s="32">
        <f>+VLOOKUP($A2119,MAGAZZINO!$B$2:$M$4838,3,FALSE)</f>
        <v/>
      </c>
      <c r="D2119" s="17">
        <f>+VLOOKUP($A2119,MAGAZZINO!$B$2:$M$4838,4,FALSE)</f>
        <v/>
      </c>
      <c r="E2119" s="17">
        <f>+VLOOKUP($A2119,MAGAZZINO!$B$2:$M$4838,5,FALSE)</f>
        <v/>
      </c>
      <c r="F2119" s="17">
        <f>+VLOOKUP($A2119,MAGAZZINO!$B$2:$M$4838,6,FALSE)</f>
        <v/>
      </c>
      <c r="G2119" s="17">
        <f>+VLOOKUP($A2119,MAGAZZINO!$B$2:$M$4838,7,FALSE)</f>
        <v/>
      </c>
      <c r="H2119" s="17">
        <f>+VLOOKUP($A2119,MAGAZZINO!$B$2:$M$4838,8,FALSE)</f>
        <v/>
      </c>
      <c r="I2119" s="17">
        <f>+VLOOKUP($A2119,MAGAZZINO!$B$2:$M$4838,9,FALSE)</f>
        <v/>
      </c>
      <c r="J2119" s="17">
        <f>+VLOOKUP($A2119,MAGAZZINO!$B$2:$M$4838,10,FALSE)</f>
        <v/>
      </c>
      <c r="K2119" s="17">
        <f>+VLOOKUP($A2119,MAGAZZINO!$B$2:$M$4838,11,FALSE)</f>
        <v/>
      </c>
      <c r="L2119" s="44">
        <f>+VLOOKUP($A2119,MAGAZZINO!$B$2:$M$4838,12,FALSE)</f>
        <v/>
      </c>
    </row>
    <row r="2120" ht="36" customHeight="1">
      <c r="A2120" s="30">
        <f>+REGISTRO!A2103</f>
        <v/>
      </c>
      <c r="B2120" s="31">
        <f>+VLOOKUP($A2120,MAGAZZINO!$B$2:$M$4838,2,FALSE)</f>
        <v/>
      </c>
      <c r="C2120" s="32">
        <f>+VLOOKUP($A2120,MAGAZZINO!$B$2:$M$4838,3,FALSE)</f>
        <v/>
      </c>
      <c r="D2120" s="17">
        <f>+VLOOKUP($A2120,MAGAZZINO!$B$2:$M$4838,4,FALSE)</f>
        <v/>
      </c>
      <c r="E2120" s="17">
        <f>+VLOOKUP($A2120,MAGAZZINO!$B$2:$M$4838,5,FALSE)</f>
        <v/>
      </c>
      <c r="F2120" s="17">
        <f>+VLOOKUP($A2120,MAGAZZINO!$B$2:$M$4838,6,FALSE)</f>
        <v/>
      </c>
      <c r="G2120" s="17">
        <f>+VLOOKUP($A2120,MAGAZZINO!$B$2:$M$4838,7,FALSE)</f>
        <v/>
      </c>
      <c r="H2120" s="17">
        <f>+VLOOKUP($A2120,MAGAZZINO!$B$2:$M$4838,8,FALSE)</f>
        <v/>
      </c>
      <c r="I2120" s="17">
        <f>+VLOOKUP($A2120,MAGAZZINO!$B$2:$M$4838,9,FALSE)</f>
        <v/>
      </c>
      <c r="J2120" s="17">
        <f>+VLOOKUP($A2120,MAGAZZINO!$B$2:$M$4838,10,FALSE)</f>
        <v/>
      </c>
      <c r="K2120" s="17">
        <f>+VLOOKUP($A2120,MAGAZZINO!$B$2:$M$4838,11,FALSE)</f>
        <v/>
      </c>
      <c r="L2120" s="44">
        <f>+VLOOKUP($A2120,MAGAZZINO!$B$2:$M$4838,12,FALSE)</f>
        <v/>
      </c>
    </row>
    <row r="2121" ht="36" customHeight="1">
      <c r="A2121" s="30">
        <f>+REGISTRO!A2104</f>
        <v/>
      </c>
      <c r="B2121" s="31">
        <f>+VLOOKUP($A2121,MAGAZZINO!$B$2:$M$4838,2,FALSE)</f>
        <v/>
      </c>
      <c r="C2121" s="32">
        <f>+VLOOKUP($A2121,MAGAZZINO!$B$2:$M$4838,3,FALSE)</f>
        <v/>
      </c>
      <c r="D2121" s="17">
        <f>+VLOOKUP($A2121,MAGAZZINO!$B$2:$M$4838,4,FALSE)</f>
        <v/>
      </c>
      <c r="E2121" s="17">
        <f>+VLOOKUP($A2121,MAGAZZINO!$B$2:$M$4838,5,FALSE)</f>
        <v/>
      </c>
      <c r="F2121" s="17">
        <f>+VLOOKUP($A2121,MAGAZZINO!$B$2:$M$4838,6,FALSE)</f>
        <v/>
      </c>
      <c r="G2121" s="17">
        <f>+VLOOKUP($A2121,MAGAZZINO!$B$2:$M$4838,7,FALSE)</f>
        <v/>
      </c>
      <c r="H2121" s="17">
        <f>+VLOOKUP($A2121,MAGAZZINO!$B$2:$M$4838,8,FALSE)</f>
        <v/>
      </c>
      <c r="I2121" s="17">
        <f>+VLOOKUP($A2121,MAGAZZINO!$B$2:$M$4838,9,FALSE)</f>
        <v/>
      </c>
      <c r="J2121" s="17">
        <f>+VLOOKUP($A2121,MAGAZZINO!$B$2:$M$4838,10,FALSE)</f>
        <v/>
      </c>
      <c r="K2121" s="17">
        <f>+VLOOKUP($A2121,MAGAZZINO!$B$2:$M$4838,11,FALSE)</f>
        <v/>
      </c>
      <c r="L2121" s="44">
        <f>+VLOOKUP($A2121,MAGAZZINO!$B$2:$M$4838,12,FALSE)</f>
        <v/>
      </c>
    </row>
    <row r="2122" ht="36" customHeight="1">
      <c r="A2122" s="30">
        <f>+REGISTRO!A2105</f>
        <v/>
      </c>
      <c r="B2122" s="31">
        <f>+VLOOKUP($A2122,MAGAZZINO!$B$2:$M$4838,2,FALSE)</f>
        <v/>
      </c>
      <c r="C2122" s="32">
        <f>+VLOOKUP($A2122,MAGAZZINO!$B$2:$M$4838,3,FALSE)</f>
        <v/>
      </c>
      <c r="D2122" s="17">
        <f>+VLOOKUP($A2122,MAGAZZINO!$B$2:$M$4838,4,FALSE)</f>
        <v/>
      </c>
      <c r="E2122" s="17">
        <f>+VLOOKUP($A2122,MAGAZZINO!$B$2:$M$4838,5,FALSE)</f>
        <v/>
      </c>
      <c r="F2122" s="17">
        <f>+VLOOKUP($A2122,MAGAZZINO!$B$2:$M$4838,6,FALSE)</f>
        <v/>
      </c>
      <c r="G2122" s="17">
        <f>+VLOOKUP($A2122,MAGAZZINO!$B$2:$M$4838,7,FALSE)</f>
        <v/>
      </c>
      <c r="H2122" s="17">
        <f>+VLOOKUP($A2122,MAGAZZINO!$B$2:$M$4838,8,FALSE)</f>
        <v/>
      </c>
      <c r="I2122" s="17">
        <f>+VLOOKUP($A2122,MAGAZZINO!$B$2:$M$4838,9,FALSE)</f>
        <v/>
      </c>
      <c r="J2122" s="17">
        <f>+VLOOKUP($A2122,MAGAZZINO!$B$2:$M$4838,10,FALSE)</f>
        <v/>
      </c>
      <c r="K2122" s="17">
        <f>+VLOOKUP($A2122,MAGAZZINO!$B$2:$M$4838,11,FALSE)</f>
        <v/>
      </c>
      <c r="L2122" s="44">
        <f>+VLOOKUP($A2122,MAGAZZINO!$B$2:$M$4838,12,FALSE)</f>
        <v/>
      </c>
    </row>
    <row r="2123" ht="36" customHeight="1">
      <c r="A2123" s="30">
        <f>+REGISTRO!A2106</f>
        <v/>
      </c>
      <c r="B2123" s="31">
        <f>+VLOOKUP($A2123,MAGAZZINO!$B$2:$M$4838,2,FALSE)</f>
        <v/>
      </c>
      <c r="C2123" s="32">
        <f>+VLOOKUP($A2123,MAGAZZINO!$B$2:$M$4838,3,FALSE)</f>
        <v/>
      </c>
      <c r="D2123" s="17">
        <f>+VLOOKUP($A2123,MAGAZZINO!$B$2:$M$4838,4,FALSE)</f>
        <v/>
      </c>
      <c r="E2123" s="17">
        <f>+VLOOKUP($A2123,MAGAZZINO!$B$2:$M$4838,5,FALSE)</f>
        <v/>
      </c>
      <c r="F2123" s="17">
        <f>+VLOOKUP($A2123,MAGAZZINO!$B$2:$M$4838,6,FALSE)</f>
        <v/>
      </c>
      <c r="G2123" s="17">
        <f>+VLOOKUP($A2123,MAGAZZINO!$B$2:$M$4838,7,FALSE)</f>
        <v/>
      </c>
      <c r="H2123" s="17">
        <f>+VLOOKUP($A2123,MAGAZZINO!$B$2:$M$4838,8,FALSE)</f>
        <v/>
      </c>
      <c r="I2123" s="17">
        <f>+VLOOKUP($A2123,MAGAZZINO!$B$2:$M$4838,9,FALSE)</f>
        <v/>
      </c>
      <c r="J2123" s="17">
        <f>+VLOOKUP($A2123,MAGAZZINO!$B$2:$M$4838,10,FALSE)</f>
        <v/>
      </c>
      <c r="K2123" s="17">
        <f>+VLOOKUP($A2123,MAGAZZINO!$B$2:$M$4838,11,FALSE)</f>
        <v/>
      </c>
      <c r="L2123" s="44">
        <f>+VLOOKUP($A2123,MAGAZZINO!$B$2:$M$4838,12,FALSE)</f>
        <v/>
      </c>
    </row>
    <row r="2124" ht="36" customHeight="1">
      <c r="A2124" s="30">
        <f>+REGISTRO!A2107</f>
        <v/>
      </c>
      <c r="B2124" s="31">
        <f>+VLOOKUP($A2124,MAGAZZINO!$B$2:$M$4838,2,FALSE)</f>
        <v/>
      </c>
      <c r="C2124" s="32">
        <f>+VLOOKUP($A2124,MAGAZZINO!$B$2:$M$4838,3,FALSE)</f>
        <v/>
      </c>
      <c r="D2124" s="17">
        <f>+VLOOKUP($A2124,MAGAZZINO!$B$2:$M$4838,4,FALSE)</f>
        <v/>
      </c>
      <c r="E2124" s="17">
        <f>+VLOOKUP($A2124,MAGAZZINO!$B$2:$M$4838,5,FALSE)</f>
        <v/>
      </c>
      <c r="F2124" s="17">
        <f>+VLOOKUP($A2124,MAGAZZINO!$B$2:$M$4838,6,FALSE)</f>
        <v/>
      </c>
      <c r="G2124" s="17">
        <f>+VLOOKUP($A2124,MAGAZZINO!$B$2:$M$4838,7,FALSE)</f>
        <v/>
      </c>
      <c r="H2124" s="17">
        <f>+VLOOKUP($A2124,MAGAZZINO!$B$2:$M$4838,8,FALSE)</f>
        <v/>
      </c>
      <c r="I2124" s="17">
        <f>+VLOOKUP($A2124,MAGAZZINO!$B$2:$M$4838,9,FALSE)</f>
        <v/>
      </c>
      <c r="J2124" s="17">
        <f>+VLOOKUP($A2124,MAGAZZINO!$B$2:$M$4838,10,FALSE)</f>
        <v/>
      </c>
      <c r="K2124" s="17">
        <f>+VLOOKUP($A2124,MAGAZZINO!$B$2:$M$4838,11,FALSE)</f>
        <v/>
      </c>
      <c r="L2124" s="44">
        <f>+VLOOKUP($A2124,MAGAZZINO!$B$2:$M$4838,12,FALSE)</f>
        <v/>
      </c>
    </row>
    <row r="2125" ht="36" customHeight="1">
      <c r="A2125" s="30">
        <f>+REGISTRO!A2108</f>
        <v/>
      </c>
      <c r="B2125" s="31">
        <f>+VLOOKUP($A2125,MAGAZZINO!$B$2:$M$4838,2,FALSE)</f>
        <v/>
      </c>
      <c r="C2125" s="32">
        <f>+VLOOKUP($A2125,MAGAZZINO!$B$2:$M$4838,3,FALSE)</f>
        <v/>
      </c>
      <c r="D2125" s="17">
        <f>+VLOOKUP($A2125,MAGAZZINO!$B$2:$M$4838,4,FALSE)</f>
        <v/>
      </c>
      <c r="E2125" s="17">
        <f>+VLOOKUP($A2125,MAGAZZINO!$B$2:$M$4838,5,FALSE)</f>
        <v/>
      </c>
      <c r="F2125" s="17">
        <f>+VLOOKUP($A2125,MAGAZZINO!$B$2:$M$4838,6,FALSE)</f>
        <v/>
      </c>
      <c r="G2125" s="17">
        <f>+VLOOKUP($A2125,MAGAZZINO!$B$2:$M$4838,7,FALSE)</f>
        <v/>
      </c>
      <c r="H2125" s="17">
        <f>+VLOOKUP($A2125,MAGAZZINO!$B$2:$M$4838,8,FALSE)</f>
        <v/>
      </c>
      <c r="I2125" s="17">
        <f>+VLOOKUP($A2125,MAGAZZINO!$B$2:$M$4838,9,FALSE)</f>
        <v/>
      </c>
      <c r="J2125" s="17">
        <f>+VLOOKUP($A2125,MAGAZZINO!$B$2:$M$4838,10,FALSE)</f>
        <v/>
      </c>
      <c r="K2125" s="17">
        <f>+VLOOKUP($A2125,MAGAZZINO!$B$2:$M$4838,11,FALSE)</f>
        <v/>
      </c>
      <c r="L2125" s="44">
        <f>+VLOOKUP($A2125,MAGAZZINO!$B$2:$M$4838,12,FALSE)</f>
        <v/>
      </c>
    </row>
    <row r="2126" ht="36" customHeight="1">
      <c r="A2126" s="30">
        <f>+REGISTRO!A2109</f>
        <v/>
      </c>
      <c r="B2126" s="31">
        <f>+VLOOKUP($A2126,MAGAZZINO!$B$2:$M$4838,2,FALSE)</f>
        <v/>
      </c>
      <c r="C2126" s="32">
        <f>+VLOOKUP($A2126,MAGAZZINO!$B$2:$M$4838,3,FALSE)</f>
        <v/>
      </c>
      <c r="D2126" s="17">
        <f>+VLOOKUP($A2126,MAGAZZINO!$B$2:$M$4838,4,FALSE)</f>
        <v/>
      </c>
      <c r="E2126" s="17">
        <f>+VLOOKUP($A2126,MAGAZZINO!$B$2:$M$4838,5,FALSE)</f>
        <v/>
      </c>
      <c r="F2126" s="17">
        <f>+VLOOKUP($A2126,MAGAZZINO!$B$2:$M$4838,6,FALSE)</f>
        <v/>
      </c>
      <c r="G2126" s="17">
        <f>+VLOOKUP($A2126,MAGAZZINO!$B$2:$M$4838,7,FALSE)</f>
        <v/>
      </c>
      <c r="H2126" s="17">
        <f>+VLOOKUP($A2126,MAGAZZINO!$B$2:$M$4838,8,FALSE)</f>
        <v/>
      </c>
      <c r="I2126" s="17">
        <f>+VLOOKUP($A2126,MAGAZZINO!$B$2:$M$4838,9,FALSE)</f>
        <v/>
      </c>
      <c r="J2126" s="17">
        <f>+VLOOKUP($A2126,MAGAZZINO!$B$2:$M$4838,10,FALSE)</f>
        <v/>
      </c>
      <c r="K2126" s="17">
        <f>+VLOOKUP($A2126,MAGAZZINO!$B$2:$M$4838,11,FALSE)</f>
        <v/>
      </c>
      <c r="L2126" s="44">
        <f>+VLOOKUP($A2126,MAGAZZINO!$B$2:$M$4838,12,FALSE)</f>
        <v/>
      </c>
    </row>
    <row r="2127" ht="36" customHeight="1">
      <c r="A2127" s="30">
        <f>+REGISTRO!A2110</f>
        <v/>
      </c>
      <c r="B2127" s="31">
        <f>+VLOOKUP($A2127,MAGAZZINO!$B$2:$M$4838,2,FALSE)</f>
        <v/>
      </c>
      <c r="C2127" s="32">
        <f>+VLOOKUP($A2127,MAGAZZINO!$B$2:$M$4838,3,FALSE)</f>
        <v/>
      </c>
      <c r="D2127" s="17">
        <f>+VLOOKUP($A2127,MAGAZZINO!$B$2:$M$4838,4,FALSE)</f>
        <v/>
      </c>
      <c r="E2127" s="17">
        <f>+VLOOKUP($A2127,MAGAZZINO!$B$2:$M$4838,5,FALSE)</f>
        <v/>
      </c>
      <c r="F2127" s="17">
        <f>+VLOOKUP($A2127,MAGAZZINO!$B$2:$M$4838,6,FALSE)</f>
        <v/>
      </c>
      <c r="G2127" s="17">
        <f>+VLOOKUP($A2127,MAGAZZINO!$B$2:$M$4838,7,FALSE)</f>
        <v/>
      </c>
      <c r="H2127" s="17">
        <f>+VLOOKUP($A2127,MAGAZZINO!$B$2:$M$4838,8,FALSE)</f>
        <v/>
      </c>
      <c r="I2127" s="17">
        <f>+VLOOKUP($A2127,MAGAZZINO!$B$2:$M$4838,9,FALSE)</f>
        <v/>
      </c>
      <c r="J2127" s="17">
        <f>+VLOOKUP($A2127,MAGAZZINO!$B$2:$M$4838,10,FALSE)</f>
        <v/>
      </c>
      <c r="K2127" s="17">
        <f>+VLOOKUP($A2127,MAGAZZINO!$B$2:$M$4838,11,FALSE)</f>
        <v/>
      </c>
      <c r="L2127" s="44">
        <f>+VLOOKUP($A2127,MAGAZZINO!$B$2:$M$4838,12,FALSE)</f>
        <v/>
      </c>
    </row>
    <row r="2128" ht="36" customHeight="1">
      <c r="A2128" s="30">
        <f>+REGISTRO!A2111</f>
        <v/>
      </c>
      <c r="B2128" s="31">
        <f>+VLOOKUP($A2128,MAGAZZINO!$B$2:$M$4838,2,FALSE)</f>
        <v/>
      </c>
      <c r="C2128" s="32">
        <f>+VLOOKUP($A2128,MAGAZZINO!$B$2:$M$4838,3,FALSE)</f>
        <v/>
      </c>
      <c r="D2128" s="17">
        <f>+VLOOKUP($A2128,MAGAZZINO!$B$2:$M$4838,4,FALSE)</f>
        <v/>
      </c>
      <c r="E2128" s="17">
        <f>+VLOOKUP($A2128,MAGAZZINO!$B$2:$M$4838,5,FALSE)</f>
        <v/>
      </c>
      <c r="F2128" s="17">
        <f>+VLOOKUP($A2128,MAGAZZINO!$B$2:$M$4838,6,FALSE)</f>
        <v/>
      </c>
      <c r="G2128" s="17">
        <f>+VLOOKUP($A2128,MAGAZZINO!$B$2:$M$4838,7,FALSE)</f>
        <v/>
      </c>
      <c r="H2128" s="17">
        <f>+VLOOKUP($A2128,MAGAZZINO!$B$2:$M$4838,8,FALSE)</f>
        <v/>
      </c>
      <c r="I2128" s="17">
        <f>+VLOOKUP($A2128,MAGAZZINO!$B$2:$M$4838,9,FALSE)</f>
        <v/>
      </c>
      <c r="J2128" s="17">
        <f>+VLOOKUP($A2128,MAGAZZINO!$B$2:$M$4838,10,FALSE)</f>
        <v/>
      </c>
      <c r="K2128" s="17">
        <f>+VLOOKUP($A2128,MAGAZZINO!$B$2:$M$4838,11,FALSE)</f>
        <v/>
      </c>
      <c r="L2128" s="44">
        <f>+VLOOKUP($A2128,MAGAZZINO!$B$2:$M$4838,12,FALSE)</f>
        <v/>
      </c>
    </row>
    <row r="2129" ht="36" customHeight="1">
      <c r="A2129" s="30">
        <f>+REGISTRO!A2112</f>
        <v/>
      </c>
      <c r="B2129" s="31">
        <f>+VLOOKUP($A2129,MAGAZZINO!$B$2:$M$4838,2,FALSE)</f>
        <v/>
      </c>
      <c r="C2129" s="32">
        <f>+VLOOKUP($A2129,MAGAZZINO!$B$2:$M$4838,3,FALSE)</f>
        <v/>
      </c>
      <c r="D2129" s="17">
        <f>+VLOOKUP($A2129,MAGAZZINO!$B$2:$M$4838,4,FALSE)</f>
        <v/>
      </c>
      <c r="E2129" s="17">
        <f>+VLOOKUP($A2129,MAGAZZINO!$B$2:$M$4838,5,FALSE)</f>
        <v/>
      </c>
      <c r="F2129" s="17">
        <f>+VLOOKUP($A2129,MAGAZZINO!$B$2:$M$4838,6,FALSE)</f>
        <v/>
      </c>
      <c r="G2129" s="17">
        <f>+VLOOKUP($A2129,MAGAZZINO!$B$2:$M$4838,7,FALSE)</f>
        <v/>
      </c>
      <c r="H2129" s="17">
        <f>+VLOOKUP($A2129,MAGAZZINO!$B$2:$M$4838,8,FALSE)</f>
        <v/>
      </c>
      <c r="I2129" s="17">
        <f>+VLOOKUP($A2129,MAGAZZINO!$B$2:$M$4838,9,FALSE)</f>
        <v/>
      </c>
      <c r="J2129" s="17">
        <f>+VLOOKUP($A2129,MAGAZZINO!$B$2:$M$4838,10,FALSE)</f>
        <v/>
      </c>
      <c r="K2129" s="17">
        <f>+VLOOKUP($A2129,MAGAZZINO!$B$2:$M$4838,11,FALSE)</f>
        <v/>
      </c>
      <c r="L2129" s="44">
        <f>+VLOOKUP($A2129,MAGAZZINO!$B$2:$M$4838,12,FALSE)</f>
        <v/>
      </c>
    </row>
    <row r="2130" ht="36" customHeight="1">
      <c r="A2130" s="30">
        <f>+REGISTRO!A2113</f>
        <v/>
      </c>
      <c r="B2130" s="31">
        <f>+VLOOKUP($A2130,MAGAZZINO!$B$2:$M$4838,2,FALSE)</f>
        <v/>
      </c>
      <c r="C2130" s="32">
        <f>+VLOOKUP($A2130,MAGAZZINO!$B$2:$M$4838,3,FALSE)</f>
        <v/>
      </c>
      <c r="D2130" s="17">
        <f>+VLOOKUP($A2130,MAGAZZINO!$B$2:$M$4838,4,FALSE)</f>
        <v/>
      </c>
      <c r="E2130" s="17">
        <f>+VLOOKUP($A2130,MAGAZZINO!$B$2:$M$4838,5,FALSE)</f>
        <v/>
      </c>
      <c r="F2130" s="17">
        <f>+VLOOKUP($A2130,MAGAZZINO!$B$2:$M$4838,6,FALSE)</f>
        <v/>
      </c>
      <c r="G2130" s="17">
        <f>+VLOOKUP($A2130,MAGAZZINO!$B$2:$M$4838,7,FALSE)</f>
        <v/>
      </c>
      <c r="H2130" s="17">
        <f>+VLOOKUP($A2130,MAGAZZINO!$B$2:$M$4838,8,FALSE)</f>
        <v/>
      </c>
      <c r="I2130" s="17">
        <f>+VLOOKUP($A2130,MAGAZZINO!$B$2:$M$4838,9,FALSE)</f>
        <v/>
      </c>
      <c r="J2130" s="17">
        <f>+VLOOKUP($A2130,MAGAZZINO!$B$2:$M$4838,10,FALSE)</f>
        <v/>
      </c>
      <c r="K2130" s="17">
        <f>+VLOOKUP($A2130,MAGAZZINO!$B$2:$M$4838,11,FALSE)</f>
        <v/>
      </c>
      <c r="L2130" s="44">
        <f>+VLOOKUP($A2130,MAGAZZINO!$B$2:$M$4838,12,FALSE)</f>
        <v/>
      </c>
    </row>
    <row r="2131" ht="36" customHeight="1">
      <c r="A2131" s="30">
        <f>+REGISTRO!A2114</f>
        <v/>
      </c>
      <c r="B2131" s="31">
        <f>+VLOOKUP($A2131,MAGAZZINO!$B$2:$M$4838,2,FALSE)</f>
        <v/>
      </c>
      <c r="C2131" s="32">
        <f>+VLOOKUP($A2131,MAGAZZINO!$B$2:$M$4838,3,FALSE)</f>
        <v/>
      </c>
      <c r="D2131" s="17">
        <f>+VLOOKUP($A2131,MAGAZZINO!$B$2:$M$4838,4,FALSE)</f>
        <v/>
      </c>
      <c r="E2131" s="17">
        <f>+VLOOKUP($A2131,MAGAZZINO!$B$2:$M$4838,5,FALSE)</f>
        <v/>
      </c>
      <c r="F2131" s="17">
        <f>+VLOOKUP($A2131,MAGAZZINO!$B$2:$M$4838,6,FALSE)</f>
        <v/>
      </c>
      <c r="G2131" s="17">
        <f>+VLOOKUP($A2131,MAGAZZINO!$B$2:$M$4838,7,FALSE)</f>
        <v/>
      </c>
      <c r="H2131" s="17">
        <f>+VLOOKUP($A2131,MAGAZZINO!$B$2:$M$4838,8,FALSE)</f>
        <v/>
      </c>
      <c r="I2131" s="17">
        <f>+VLOOKUP($A2131,MAGAZZINO!$B$2:$M$4838,9,FALSE)</f>
        <v/>
      </c>
      <c r="J2131" s="17">
        <f>+VLOOKUP($A2131,MAGAZZINO!$B$2:$M$4838,10,FALSE)</f>
        <v/>
      </c>
      <c r="K2131" s="17">
        <f>+VLOOKUP($A2131,MAGAZZINO!$B$2:$M$4838,11,FALSE)</f>
        <v/>
      </c>
      <c r="L2131" s="44">
        <f>+VLOOKUP($A2131,MAGAZZINO!$B$2:$M$4838,12,FALSE)</f>
        <v/>
      </c>
    </row>
    <row r="2132" ht="36" customHeight="1">
      <c r="A2132" s="30">
        <f>+REGISTRO!A2115</f>
        <v/>
      </c>
      <c r="B2132" s="31">
        <f>+VLOOKUP($A2132,MAGAZZINO!$B$2:$M$4838,2,FALSE)</f>
        <v/>
      </c>
      <c r="C2132" s="32">
        <f>+VLOOKUP($A2132,MAGAZZINO!$B$2:$M$4838,3,FALSE)</f>
        <v/>
      </c>
      <c r="D2132" s="17">
        <f>+VLOOKUP($A2132,MAGAZZINO!$B$2:$M$4838,4,FALSE)</f>
        <v/>
      </c>
      <c r="E2132" s="17">
        <f>+VLOOKUP($A2132,MAGAZZINO!$B$2:$M$4838,5,FALSE)</f>
        <v/>
      </c>
      <c r="F2132" s="17">
        <f>+VLOOKUP($A2132,MAGAZZINO!$B$2:$M$4838,6,FALSE)</f>
        <v/>
      </c>
      <c r="G2132" s="17">
        <f>+VLOOKUP($A2132,MAGAZZINO!$B$2:$M$4838,7,FALSE)</f>
        <v/>
      </c>
      <c r="H2132" s="17">
        <f>+VLOOKUP($A2132,MAGAZZINO!$B$2:$M$4838,8,FALSE)</f>
        <v/>
      </c>
      <c r="I2132" s="17">
        <f>+VLOOKUP($A2132,MAGAZZINO!$B$2:$M$4838,9,FALSE)</f>
        <v/>
      </c>
      <c r="J2132" s="17">
        <f>+VLOOKUP($A2132,MAGAZZINO!$B$2:$M$4838,10,FALSE)</f>
        <v/>
      </c>
      <c r="K2132" s="17">
        <f>+VLOOKUP($A2132,MAGAZZINO!$B$2:$M$4838,11,FALSE)</f>
        <v/>
      </c>
      <c r="L2132" s="44">
        <f>+VLOOKUP($A2132,MAGAZZINO!$B$2:$M$4838,12,FALSE)</f>
        <v/>
      </c>
    </row>
    <row r="2133" ht="36" customHeight="1">
      <c r="A2133" s="30">
        <f>+REGISTRO!A2116</f>
        <v/>
      </c>
      <c r="B2133" s="31">
        <f>+VLOOKUP($A2133,MAGAZZINO!$B$2:$M$4838,2,FALSE)</f>
        <v/>
      </c>
      <c r="C2133" s="32">
        <f>+VLOOKUP($A2133,MAGAZZINO!$B$2:$M$4838,3,FALSE)</f>
        <v/>
      </c>
      <c r="D2133" s="17">
        <f>+VLOOKUP($A2133,MAGAZZINO!$B$2:$M$4838,4,FALSE)</f>
        <v/>
      </c>
      <c r="E2133" s="17">
        <f>+VLOOKUP($A2133,MAGAZZINO!$B$2:$M$4838,5,FALSE)</f>
        <v/>
      </c>
      <c r="F2133" s="17">
        <f>+VLOOKUP($A2133,MAGAZZINO!$B$2:$M$4838,6,FALSE)</f>
        <v/>
      </c>
      <c r="G2133" s="17">
        <f>+VLOOKUP($A2133,MAGAZZINO!$B$2:$M$4838,7,FALSE)</f>
        <v/>
      </c>
      <c r="H2133" s="17">
        <f>+VLOOKUP($A2133,MAGAZZINO!$B$2:$M$4838,8,FALSE)</f>
        <v/>
      </c>
      <c r="I2133" s="17">
        <f>+VLOOKUP($A2133,MAGAZZINO!$B$2:$M$4838,9,FALSE)</f>
        <v/>
      </c>
      <c r="J2133" s="17">
        <f>+VLOOKUP($A2133,MAGAZZINO!$B$2:$M$4838,10,FALSE)</f>
        <v/>
      </c>
      <c r="K2133" s="17">
        <f>+VLOOKUP($A2133,MAGAZZINO!$B$2:$M$4838,11,FALSE)</f>
        <v/>
      </c>
      <c r="L2133" s="44">
        <f>+VLOOKUP($A2133,MAGAZZINO!$B$2:$M$4838,12,FALSE)</f>
        <v/>
      </c>
    </row>
    <row r="2134" ht="36" customHeight="1">
      <c r="A2134" s="30">
        <f>+REGISTRO!A2117</f>
        <v/>
      </c>
      <c r="B2134" s="31">
        <f>+VLOOKUP($A2134,MAGAZZINO!$B$2:$M$4838,2,FALSE)</f>
        <v/>
      </c>
      <c r="C2134" s="32">
        <f>+VLOOKUP($A2134,MAGAZZINO!$B$2:$M$4838,3,FALSE)</f>
        <v/>
      </c>
      <c r="D2134" s="17">
        <f>+VLOOKUP($A2134,MAGAZZINO!$B$2:$M$4838,4,FALSE)</f>
        <v/>
      </c>
      <c r="E2134" s="17">
        <f>+VLOOKUP($A2134,MAGAZZINO!$B$2:$M$4838,5,FALSE)</f>
        <v/>
      </c>
      <c r="F2134" s="17">
        <f>+VLOOKUP($A2134,MAGAZZINO!$B$2:$M$4838,6,FALSE)</f>
        <v/>
      </c>
      <c r="G2134" s="17">
        <f>+VLOOKUP($A2134,MAGAZZINO!$B$2:$M$4838,7,FALSE)</f>
        <v/>
      </c>
      <c r="H2134" s="17">
        <f>+VLOOKUP($A2134,MAGAZZINO!$B$2:$M$4838,8,FALSE)</f>
        <v/>
      </c>
      <c r="I2134" s="17">
        <f>+VLOOKUP($A2134,MAGAZZINO!$B$2:$M$4838,9,FALSE)</f>
        <v/>
      </c>
      <c r="J2134" s="17">
        <f>+VLOOKUP($A2134,MAGAZZINO!$B$2:$M$4838,10,FALSE)</f>
        <v/>
      </c>
      <c r="K2134" s="17">
        <f>+VLOOKUP($A2134,MAGAZZINO!$B$2:$M$4838,11,FALSE)</f>
        <v/>
      </c>
      <c r="L2134" s="44">
        <f>+VLOOKUP($A2134,MAGAZZINO!$B$2:$M$4838,12,FALSE)</f>
        <v/>
      </c>
    </row>
    <row r="2135" ht="36" customHeight="1">
      <c r="A2135" s="30">
        <f>+REGISTRO!A2118</f>
        <v/>
      </c>
      <c r="B2135" s="31">
        <f>+VLOOKUP($A2135,MAGAZZINO!$B$2:$M$4838,2,FALSE)</f>
        <v/>
      </c>
      <c r="C2135" s="32">
        <f>+VLOOKUP($A2135,MAGAZZINO!$B$2:$M$4838,3,FALSE)</f>
        <v/>
      </c>
      <c r="D2135" s="17">
        <f>+VLOOKUP($A2135,MAGAZZINO!$B$2:$M$4838,4,FALSE)</f>
        <v/>
      </c>
      <c r="E2135" s="17">
        <f>+VLOOKUP($A2135,MAGAZZINO!$B$2:$M$4838,5,FALSE)</f>
        <v/>
      </c>
      <c r="F2135" s="17">
        <f>+VLOOKUP($A2135,MAGAZZINO!$B$2:$M$4838,6,FALSE)</f>
        <v/>
      </c>
      <c r="G2135" s="17">
        <f>+VLOOKUP($A2135,MAGAZZINO!$B$2:$M$4838,7,FALSE)</f>
        <v/>
      </c>
      <c r="H2135" s="17">
        <f>+VLOOKUP($A2135,MAGAZZINO!$B$2:$M$4838,8,FALSE)</f>
        <v/>
      </c>
      <c r="I2135" s="17">
        <f>+VLOOKUP($A2135,MAGAZZINO!$B$2:$M$4838,9,FALSE)</f>
        <v/>
      </c>
      <c r="J2135" s="17">
        <f>+VLOOKUP($A2135,MAGAZZINO!$B$2:$M$4838,10,FALSE)</f>
        <v/>
      </c>
      <c r="K2135" s="17">
        <f>+VLOOKUP($A2135,MAGAZZINO!$B$2:$M$4838,11,FALSE)</f>
        <v/>
      </c>
      <c r="L2135" s="44">
        <f>+VLOOKUP($A2135,MAGAZZINO!$B$2:$M$4838,12,FALSE)</f>
        <v/>
      </c>
    </row>
    <row r="2136" ht="36" customHeight="1">
      <c r="A2136" s="30">
        <f>+REGISTRO!A2119</f>
        <v/>
      </c>
      <c r="B2136" s="31">
        <f>+VLOOKUP($A2136,MAGAZZINO!$B$2:$M$4838,2,FALSE)</f>
        <v/>
      </c>
      <c r="C2136" s="32">
        <f>+VLOOKUP($A2136,MAGAZZINO!$B$2:$M$4838,3,FALSE)</f>
        <v/>
      </c>
      <c r="D2136" s="17">
        <f>+VLOOKUP($A2136,MAGAZZINO!$B$2:$M$4838,4,FALSE)</f>
        <v/>
      </c>
      <c r="E2136" s="17">
        <f>+VLOOKUP($A2136,MAGAZZINO!$B$2:$M$4838,5,FALSE)</f>
        <v/>
      </c>
      <c r="F2136" s="17">
        <f>+VLOOKUP($A2136,MAGAZZINO!$B$2:$M$4838,6,FALSE)</f>
        <v/>
      </c>
      <c r="G2136" s="17">
        <f>+VLOOKUP($A2136,MAGAZZINO!$B$2:$M$4838,7,FALSE)</f>
        <v/>
      </c>
      <c r="H2136" s="17">
        <f>+VLOOKUP($A2136,MAGAZZINO!$B$2:$M$4838,8,FALSE)</f>
        <v/>
      </c>
      <c r="I2136" s="17">
        <f>+VLOOKUP($A2136,MAGAZZINO!$B$2:$M$4838,9,FALSE)</f>
        <v/>
      </c>
      <c r="J2136" s="17">
        <f>+VLOOKUP($A2136,MAGAZZINO!$B$2:$M$4838,10,FALSE)</f>
        <v/>
      </c>
      <c r="K2136" s="17">
        <f>+VLOOKUP($A2136,MAGAZZINO!$B$2:$M$4838,11,FALSE)</f>
        <v/>
      </c>
      <c r="L2136" s="44">
        <f>+VLOOKUP($A2136,MAGAZZINO!$B$2:$M$4838,12,FALSE)</f>
        <v/>
      </c>
    </row>
    <row r="2137" ht="36" customHeight="1">
      <c r="A2137" s="30">
        <f>+REGISTRO!A2120</f>
        <v/>
      </c>
      <c r="B2137" s="31">
        <f>+VLOOKUP($A2137,MAGAZZINO!$B$2:$M$4838,2,FALSE)</f>
        <v/>
      </c>
      <c r="C2137" s="32">
        <f>+VLOOKUP($A2137,MAGAZZINO!$B$2:$M$4838,3,FALSE)</f>
        <v/>
      </c>
      <c r="D2137" s="17">
        <f>+VLOOKUP($A2137,MAGAZZINO!$B$2:$M$4838,4,FALSE)</f>
        <v/>
      </c>
      <c r="E2137" s="17">
        <f>+VLOOKUP($A2137,MAGAZZINO!$B$2:$M$4838,5,FALSE)</f>
        <v/>
      </c>
      <c r="F2137" s="17">
        <f>+VLOOKUP($A2137,MAGAZZINO!$B$2:$M$4838,6,FALSE)</f>
        <v/>
      </c>
      <c r="G2137" s="17">
        <f>+VLOOKUP($A2137,MAGAZZINO!$B$2:$M$4838,7,FALSE)</f>
        <v/>
      </c>
      <c r="H2137" s="17">
        <f>+VLOOKUP($A2137,MAGAZZINO!$B$2:$M$4838,8,FALSE)</f>
        <v/>
      </c>
      <c r="I2137" s="17">
        <f>+VLOOKUP($A2137,MAGAZZINO!$B$2:$M$4838,9,FALSE)</f>
        <v/>
      </c>
      <c r="J2137" s="17">
        <f>+VLOOKUP($A2137,MAGAZZINO!$B$2:$M$4838,10,FALSE)</f>
        <v/>
      </c>
      <c r="K2137" s="17">
        <f>+VLOOKUP($A2137,MAGAZZINO!$B$2:$M$4838,11,FALSE)</f>
        <v/>
      </c>
      <c r="L2137" s="44">
        <f>+VLOOKUP($A2137,MAGAZZINO!$B$2:$M$4838,12,FALSE)</f>
        <v/>
      </c>
    </row>
    <row r="2138" ht="36" customHeight="1">
      <c r="A2138" s="30">
        <f>+REGISTRO!A2121</f>
        <v/>
      </c>
      <c r="B2138" s="31">
        <f>+VLOOKUP($A2138,MAGAZZINO!$B$2:$M$4838,2,FALSE)</f>
        <v/>
      </c>
      <c r="C2138" s="32">
        <f>+VLOOKUP($A2138,MAGAZZINO!$B$2:$M$4838,3,FALSE)</f>
        <v/>
      </c>
      <c r="D2138" s="17">
        <f>+VLOOKUP($A2138,MAGAZZINO!$B$2:$M$4838,4,FALSE)</f>
        <v/>
      </c>
      <c r="E2138" s="17">
        <f>+VLOOKUP($A2138,MAGAZZINO!$B$2:$M$4838,5,FALSE)</f>
        <v/>
      </c>
      <c r="F2138" s="17">
        <f>+VLOOKUP($A2138,MAGAZZINO!$B$2:$M$4838,6,FALSE)</f>
        <v/>
      </c>
      <c r="G2138" s="17">
        <f>+VLOOKUP($A2138,MAGAZZINO!$B$2:$M$4838,7,FALSE)</f>
        <v/>
      </c>
      <c r="H2138" s="17">
        <f>+VLOOKUP($A2138,MAGAZZINO!$B$2:$M$4838,8,FALSE)</f>
        <v/>
      </c>
      <c r="I2138" s="17">
        <f>+VLOOKUP($A2138,MAGAZZINO!$B$2:$M$4838,9,FALSE)</f>
        <v/>
      </c>
      <c r="J2138" s="17">
        <f>+VLOOKUP($A2138,MAGAZZINO!$B$2:$M$4838,10,FALSE)</f>
        <v/>
      </c>
      <c r="K2138" s="17">
        <f>+VLOOKUP($A2138,MAGAZZINO!$B$2:$M$4838,11,FALSE)</f>
        <v/>
      </c>
      <c r="L2138" s="44">
        <f>+VLOOKUP($A2138,MAGAZZINO!$B$2:$M$4838,12,FALSE)</f>
        <v/>
      </c>
    </row>
    <row r="2139" ht="36" customHeight="1">
      <c r="A2139" s="30">
        <f>+REGISTRO!A2122</f>
        <v/>
      </c>
      <c r="B2139" s="31">
        <f>+VLOOKUP($A2139,MAGAZZINO!$B$2:$M$4838,2,FALSE)</f>
        <v/>
      </c>
      <c r="C2139" s="32">
        <f>+VLOOKUP($A2139,MAGAZZINO!$B$2:$M$4838,3,FALSE)</f>
        <v/>
      </c>
      <c r="D2139" s="17">
        <f>+VLOOKUP($A2139,MAGAZZINO!$B$2:$M$4838,4,FALSE)</f>
        <v/>
      </c>
      <c r="E2139" s="17">
        <f>+VLOOKUP($A2139,MAGAZZINO!$B$2:$M$4838,5,FALSE)</f>
        <v/>
      </c>
      <c r="F2139" s="17">
        <f>+VLOOKUP($A2139,MAGAZZINO!$B$2:$M$4838,6,FALSE)</f>
        <v/>
      </c>
      <c r="G2139" s="17">
        <f>+VLOOKUP($A2139,MAGAZZINO!$B$2:$M$4838,7,FALSE)</f>
        <v/>
      </c>
      <c r="H2139" s="17">
        <f>+VLOOKUP($A2139,MAGAZZINO!$B$2:$M$4838,8,FALSE)</f>
        <v/>
      </c>
      <c r="I2139" s="17">
        <f>+VLOOKUP($A2139,MAGAZZINO!$B$2:$M$4838,9,FALSE)</f>
        <v/>
      </c>
      <c r="J2139" s="17">
        <f>+VLOOKUP($A2139,MAGAZZINO!$B$2:$M$4838,10,FALSE)</f>
        <v/>
      </c>
      <c r="K2139" s="17">
        <f>+VLOOKUP($A2139,MAGAZZINO!$B$2:$M$4838,11,FALSE)</f>
        <v/>
      </c>
      <c r="L2139" s="44">
        <f>+VLOOKUP($A2139,MAGAZZINO!$B$2:$M$4838,12,FALSE)</f>
        <v/>
      </c>
    </row>
    <row r="2140" ht="36" customHeight="1">
      <c r="A2140" s="30">
        <f>+REGISTRO!A2123</f>
        <v/>
      </c>
      <c r="B2140" s="31">
        <f>+VLOOKUP($A2140,MAGAZZINO!$B$2:$M$4838,2,FALSE)</f>
        <v/>
      </c>
      <c r="C2140" s="32">
        <f>+VLOOKUP($A2140,MAGAZZINO!$B$2:$M$4838,3,FALSE)</f>
        <v/>
      </c>
      <c r="D2140" s="17">
        <f>+VLOOKUP($A2140,MAGAZZINO!$B$2:$M$4838,4,FALSE)</f>
        <v/>
      </c>
      <c r="E2140" s="17">
        <f>+VLOOKUP($A2140,MAGAZZINO!$B$2:$M$4838,5,FALSE)</f>
        <v/>
      </c>
      <c r="F2140" s="17">
        <f>+VLOOKUP($A2140,MAGAZZINO!$B$2:$M$4838,6,FALSE)</f>
        <v/>
      </c>
      <c r="G2140" s="17">
        <f>+VLOOKUP($A2140,MAGAZZINO!$B$2:$M$4838,7,FALSE)</f>
        <v/>
      </c>
      <c r="H2140" s="17">
        <f>+VLOOKUP($A2140,MAGAZZINO!$B$2:$M$4838,8,FALSE)</f>
        <v/>
      </c>
      <c r="I2140" s="17">
        <f>+VLOOKUP($A2140,MAGAZZINO!$B$2:$M$4838,9,FALSE)</f>
        <v/>
      </c>
      <c r="J2140" s="17">
        <f>+VLOOKUP($A2140,MAGAZZINO!$B$2:$M$4838,10,FALSE)</f>
        <v/>
      </c>
      <c r="K2140" s="17">
        <f>+VLOOKUP($A2140,MAGAZZINO!$B$2:$M$4838,11,FALSE)</f>
        <v/>
      </c>
      <c r="L2140" s="44">
        <f>+VLOOKUP($A2140,MAGAZZINO!$B$2:$M$4838,12,FALSE)</f>
        <v/>
      </c>
    </row>
    <row r="2141" ht="36" customHeight="1">
      <c r="A2141" s="30">
        <f>+REGISTRO!A2124</f>
        <v/>
      </c>
      <c r="B2141" s="31">
        <f>+VLOOKUP($A2141,MAGAZZINO!$B$2:$M$4838,2,FALSE)</f>
        <v/>
      </c>
      <c r="C2141" s="32">
        <f>+VLOOKUP($A2141,MAGAZZINO!$B$2:$M$4838,3,FALSE)</f>
        <v/>
      </c>
      <c r="D2141" s="17">
        <f>+VLOOKUP($A2141,MAGAZZINO!$B$2:$M$4838,4,FALSE)</f>
        <v/>
      </c>
      <c r="E2141" s="17">
        <f>+VLOOKUP($A2141,MAGAZZINO!$B$2:$M$4838,5,FALSE)</f>
        <v/>
      </c>
      <c r="F2141" s="17">
        <f>+VLOOKUP($A2141,MAGAZZINO!$B$2:$M$4838,6,FALSE)</f>
        <v/>
      </c>
      <c r="G2141" s="17">
        <f>+VLOOKUP($A2141,MAGAZZINO!$B$2:$M$4838,7,FALSE)</f>
        <v/>
      </c>
      <c r="H2141" s="17">
        <f>+VLOOKUP($A2141,MAGAZZINO!$B$2:$M$4838,8,FALSE)</f>
        <v/>
      </c>
      <c r="I2141" s="17">
        <f>+VLOOKUP($A2141,MAGAZZINO!$B$2:$M$4838,9,FALSE)</f>
        <v/>
      </c>
      <c r="J2141" s="17">
        <f>+VLOOKUP($A2141,MAGAZZINO!$B$2:$M$4838,10,FALSE)</f>
        <v/>
      </c>
      <c r="K2141" s="17">
        <f>+VLOOKUP($A2141,MAGAZZINO!$B$2:$M$4838,11,FALSE)</f>
        <v/>
      </c>
      <c r="L2141" s="44">
        <f>+VLOOKUP($A2141,MAGAZZINO!$B$2:$M$4838,12,FALSE)</f>
        <v/>
      </c>
    </row>
    <row r="2142" ht="36" customHeight="1">
      <c r="A2142" s="30">
        <f>+REGISTRO!A2125</f>
        <v/>
      </c>
      <c r="B2142" s="31">
        <f>+VLOOKUP($A2142,MAGAZZINO!$B$2:$M$4838,2,FALSE)</f>
        <v/>
      </c>
      <c r="C2142" s="32">
        <f>+VLOOKUP($A2142,MAGAZZINO!$B$2:$M$4838,3,FALSE)</f>
        <v/>
      </c>
      <c r="D2142" s="17">
        <f>+VLOOKUP($A2142,MAGAZZINO!$B$2:$M$4838,4,FALSE)</f>
        <v/>
      </c>
      <c r="E2142" s="17">
        <f>+VLOOKUP($A2142,MAGAZZINO!$B$2:$M$4838,5,FALSE)</f>
        <v/>
      </c>
      <c r="F2142" s="17">
        <f>+VLOOKUP($A2142,MAGAZZINO!$B$2:$M$4838,6,FALSE)</f>
        <v/>
      </c>
      <c r="G2142" s="17">
        <f>+VLOOKUP($A2142,MAGAZZINO!$B$2:$M$4838,7,FALSE)</f>
        <v/>
      </c>
      <c r="H2142" s="17">
        <f>+VLOOKUP($A2142,MAGAZZINO!$B$2:$M$4838,8,FALSE)</f>
        <v/>
      </c>
      <c r="I2142" s="17">
        <f>+VLOOKUP($A2142,MAGAZZINO!$B$2:$M$4838,9,FALSE)</f>
        <v/>
      </c>
      <c r="J2142" s="17">
        <f>+VLOOKUP($A2142,MAGAZZINO!$B$2:$M$4838,10,FALSE)</f>
        <v/>
      </c>
      <c r="K2142" s="17">
        <f>+VLOOKUP($A2142,MAGAZZINO!$B$2:$M$4838,11,FALSE)</f>
        <v/>
      </c>
      <c r="L2142" s="44">
        <f>+VLOOKUP($A2142,MAGAZZINO!$B$2:$M$4838,12,FALSE)</f>
        <v/>
      </c>
    </row>
    <row r="2143" ht="36" customHeight="1">
      <c r="A2143" s="30">
        <f>+REGISTRO!A2126</f>
        <v/>
      </c>
      <c r="B2143" s="31">
        <f>+VLOOKUP($A2143,MAGAZZINO!$B$2:$M$4838,2,FALSE)</f>
        <v/>
      </c>
      <c r="C2143" s="32">
        <f>+VLOOKUP($A2143,MAGAZZINO!$B$2:$M$4838,3,FALSE)</f>
        <v/>
      </c>
      <c r="D2143" s="17">
        <f>+VLOOKUP($A2143,MAGAZZINO!$B$2:$M$4838,4,FALSE)</f>
        <v/>
      </c>
      <c r="E2143" s="17">
        <f>+VLOOKUP($A2143,MAGAZZINO!$B$2:$M$4838,5,FALSE)</f>
        <v/>
      </c>
      <c r="F2143" s="17">
        <f>+VLOOKUP($A2143,MAGAZZINO!$B$2:$M$4838,6,FALSE)</f>
        <v/>
      </c>
      <c r="G2143" s="17">
        <f>+VLOOKUP($A2143,MAGAZZINO!$B$2:$M$4838,7,FALSE)</f>
        <v/>
      </c>
      <c r="H2143" s="17">
        <f>+VLOOKUP($A2143,MAGAZZINO!$B$2:$M$4838,8,FALSE)</f>
        <v/>
      </c>
      <c r="I2143" s="17">
        <f>+VLOOKUP($A2143,MAGAZZINO!$B$2:$M$4838,9,FALSE)</f>
        <v/>
      </c>
      <c r="J2143" s="17">
        <f>+VLOOKUP($A2143,MAGAZZINO!$B$2:$M$4838,10,FALSE)</f>
        <v/>
      </c>
      <c r="K2143" s="17">
        <f>+VLOOKUP($A2143,MAGAZZINO!$B$2:$M$4838,11,FALSE)</f>
        <v/>
      </c>
      <c r="L2143" s="44">
        <f>+VLOOKUP($A2143,MAGAZZINO!$B$2:$M$4838,12,FALSE)</f>
        <v/>
      </c>
    </row>
    <row r="2144" ht="36" customHeight="1">
      <c r="A2144" s="30">
        <f>+REGISTRO!A2127</f>
        <v/>
      </c>
      <c r="B2144" s="31">
        <f>+VLOOKUP($A2144,MAGAZZINO!$B$2:$M$4838,2,FALSE)</f>
        <v/>
      </c>
      <c r="C2144" s="32">
        <f>+VLOOKUP($A2144,MAGAZZINO!$B$2:$M$4838,3,FALSE)</f>
        <v/>
      </c>
      <c r="D2144" s="17">
        <f>+VLOOKUP($A2144,MAGAZZINO!$B$2:$M$4838,4,FALSE)</f>
        <v/>
      </c>
      <c r="E2144" s="17">
        <f>+VLOOKUP($A2144,MAGAZZINO!$B$2:$M$4838,5,FALSE)</f>
        <v/>
      </c>
      <c r="F2144" s="17">
        <f>+VLOOKUP($A2144,MAGAZZINO!$B$2:$M$4838,6,FALSE)</f>
        <v/>
      </c>
      <c r="G2144" s="17">
        <f>+VLOOKUP($A2144,MAGAZZINO!$B$2:$M$4838,7,FALSE)</f>
        <v/>
      </c>
      <c r="H2144" s="17">
        <f>+VLOOKUP($A2144,MAGAZZINO!$B$2:$M$4838,8,FALSE)</f>
        <v/>
      </c>
      <c r="I2144" s="17">
        <f>+VLOOKUP($A2144,MAGAZZINO!$B$2:$M$4838,9,FALSE)</f>
        <v/>
      </c>
      <c r="J2144" s="17">
        <f>+VLOOKUP($A2144,MAGAZZINO!$B$2:$M$4838,10,FALSE)</f>
        <v/>
      </c>
      <c r="K2144" s="17">
        <f>+VLOOKUP($A2144,MAGAZZINO!$B$2:$M$4838,11,FALSE)</f>
        <v/>
      </c>
      <c r="L2144" s="44">
        <f>+VLOOKUP($A2144,MAGAZZINO!$B$2:$M$4838,12,FALSE)</f>
        <v/>
      </c>
    </row>
    <row r="2145" ht="36" customHeight="1">
      <c r="A2145" s="30">
        <f>+REGISTRO!A2128</f>
        <v/>
      </c>
      <c r="B2145" s="31">
        <f>+VLOOKUP($A2145,MAGAZZINO!$B$2:$M$4838,2,FALSE)</f>
        <v/>
      </c>
      <c r="C2145" s="32">
        <f>+VLOOKUP($A2145,MAGAZZINO!$B$2:$M$4838,3,FALSE)</f>
        <v/>
      </c>
      <c r="D2145" s="17">
        <f>+VLOOKUP($A2145,MAGAZZINO!$B$2:$M$4838,4,FALSE)</f>
        <v/>
      </c>
      <c r="E2145" s="17">
        <f>+VLOOKUP($A2145,MAGAZZINO!$B$2:$M$4838,5,FALSE)</f>
        <v/>
      </c>
      <c r="F2145" s="17">
        <f>+VLOOKUP($A2145,MAGAZZINO!$B$2:$M$4838,6,FALSE)</f>
        <v/>
      </c>
      <c r="G2145" s="17">
        <f>+VLOOKUP($A2145,MAGAZZINO!$B$2:$M$4838,7,FALSE)</f>
        <v/>
      </c>
      <c r="H2145" s="17">
        <f>+VLOOKUP($A2145,MAGAZZINO!$B$2:$M$4838,8,FALSE)</f>
        <v/>
      </c>
      <c r="I2145" s="17">
        <f>+VLOOKUP($A2145,MAGAZZINO!$B$2:$M$4838,9,FALSE)</f>
        <v/>
      </c>
      <c r="J2145" s="17">
        <f>+VLOOKUP($A2145,MAGAZZINO!$B$2:$M$4838,10,FALSE)</f>
        <v/>
      </c>
      <c r="K2145" s="17">
        <f>+VLOOKUP($A2145,MAGAZZINO!$B$2:$M$4838,11,FALSE)</f>
        <v/>
      </c>
      <c r="L2145" s="44">
        <f>+VLOOKUP($A2145,MAGAZZINO!$B$2:$M$4838,12,FALSE)</f>
        <v/>
      </c>
    </row>
    <row r="2146" ht="36" customHeight="1">
      <c r="A2146" s="30">
        <f>+REGISTRO!A2129</f>
        <v/>
      </c>
      <c r="B2146" s="31">
        <f>+VLOOKUP($A2146,MAGAZZINO!$B$2:$M$4838,2,FALSE)</f>
        <v/>
      </c>
      <c r="C2146" s="32">
        <f>+VLOOKUP($A2146,MAGAZZINO!$B$2:$M$4838,3,FALSE)</f>
        <v/>
      </c>
      <c r="D2146" s="17">
        <f>+VLOOKUP($A2146,MAGAZZINO!$B$2:$M$4838,4,FALSE)</f>
        <v/>
      </c>
      <c r="E2146" s="17">
        <f>+VLOOKUP($A2146,MAGAZZINO!$B$2:$M$4838,5,FALSE)</f>
        <v/>
      </c>
      <c r="F2146" s="17">
        <f>+VLOOKUP($A2146,MAGAZZINO!$B$2:$M$4838,6,FALSE)</f>
        <v/>
      </c>
      <c r="G2146" s="17">
        <f>+VLOOKUP($A2146,MAGAZZINO!$B$2:$M$4838,7,FALSE)</f>
        <v/>
      </c>
      <c r="H2146" s="17">
        <f>+VLOOKUP($A2146,MAGAZZINO!$B$2:$M$4838,8,FALSE)</f>
        <v/>
      </c>
      <c r="I2146" s="17">
        <f>+VLOOKUP($A2146,MAGAZZINO!$B$2:$M$4838,9,FALSE)</f>
        <v/>
      </c>
      <c r="J2146" s="17">
        <f>+VLOOKUP($A2146,MAGAZZINO!$B$2:$M$4838,10,FALSE)</f>
        <v/>
      </c>
      <c r="K2146" s="17">
        <f>+VLOOKUP($A2146,MAGAZZINO!$B$2:$M$4838,11,FALSE)</f>
        <v/>
      </c>
      <c r="L2146" s="44">
        <f>+VLOOKUP($A2146,MAGAZZINO!$B$2:$M$4838,12,FALSE)</f>
        <v/>
      </c>
    </row>
    <row r="2147" ht="36" customHeight="1">
      <c r="A2147" s="30">
        <f>+REGISTRO!A2130</f>
        <v/>
      </c>
      <c r="B2147" s="31">
        <f>+VLOOKUP($A2147,MAGAZZINO!$B$2:$M$4838,2,FALSE)</f>
        <v/>
      </c>
      <c r="C2147" s="32">
        <f>+VLOOKUP($A2147,MAGAZZINO!$B$2:$M$4838,3,FALSE)</f>
        <v/>
      </c>
      <c r="D2147" s="17">
        <f>+VLOOKUP($A2147,MAGAZZINO!$B$2:$M$4838,4,FALSE)</f>
        <v/>
      </c>
      <c r="E2147" s="17">
        <f>+VLOOKUP($A2147,MAGAZZINO!$B$2:$M$4838,5,FALSE)</f>
        <v/>
      </c>
      <c r="F2147" s="17">
        <f>+VLOOKUP($A2147,MAGAZZINO!$B$2:$M$4838,6,FALSE)</f>
        <v/>
      </c>
      <c r="G2147" s="17">
        <f>+VLOOKUP($A2147,MAGAZZINO!$B$2:$M$4838,7,FALSE)</f>
        <v/>
      </c>
      <c r="H2147" s="17">
        <f>+VLOOKUP($A2147,MAGAZZINO!$B$2:$M$4838,8,FALSE)</f>
        <v/>
      </c>
      <c r="I2147" s="17">
        <f>+VLOOKUP($A2147,MAGAZZINO!$B$2:$M$4838,9,FALSE)</f>
        <v/>
      </c>
      <c r="J2147" s="17">
        <f>+VLOOKUP($A2147,MAGAZZINO!$B$2:$M$4838,10,FALSE)</f>
        <v/>
      </c>
      <c r="K2147" s="17">
        <f>+VLOOKUP($A2147,MAGAZZINO!$B$2:$M$4838,11,FALSE)</f>
        <v/>
      </c>
      <c r="L2147" s="44">
        <f>+VLOOKUP($A2147,MAGAZZINO!$B$2:$M$4838,12,FALSE)</f>
        <v/>
      </c>
    </row>
    <row r="2148" ht="36" customHeight="1">
      <c r="A2148" s="30">
        <f>+REGISTRO!A2131</f>
        <v/>
      </c>
      <c r="B2148" s="31">
        <f>+VLOOKUP($A2148,MAGAZZINO!$B$2:$M$4838,2,FALSE)</f>
        <v/>
      </c>
      <c r="C2148" s="32">
        <f>+VLOOKUP($A2148,MAGAZZINO!$B$2:$M$4838,3,FALSE)</f>
        <v/>
      </c>
      <c r="D2148" s="17">
        <f>+VLOOKUP($A2148,MAGAZZINO!$B$2:$M$4838,4,FALSE)</f>
        <v/>
      </c>
      <c r="E2148" s="17">
        <f>+VLOOKUP($A2148,MAGAZZINO!$B$2:$M$4838,5,FALSE)</f>
        <v/>
      </c>
      <c r="F2148" s="17">
        <f>+VLOOKUP($A2148,MAGAZZINO!$B$2:$M$4838,6,FALSE)</f>
        <v/>
      </c>
      <c r="G2148" s="17">
        <f>+VLOOKUP($A2148,MAGAZZINO!$B$2:$M$4838,7,FALSE)</f>
        <v/>
      </c>
      <c r="H2148" s="17">
        <f>+VLOOKUP($A2148,MAGAZZINO!$B$2:$M$4838,8,FALSE)</f>
        <v/>
      </c>
      <c r="I2148" s="17">
        <f>+VLOOKUP($A2148,MAGAZZINO!$B$2:$M$4838,9,FALSE)</f>
        <v/>
      </c>
      <c r="J2148" s="17">
        <f>+VLOOKUP($A2148,MAGAZZINO!$B$2:$M$4838,10,FALSE)</f>
        <v/>
      </c>
      <c r="K2148" s="17">
        <f>+VLOOKUP($A2148,MAGAZZINO!$B$2:$M$4838,11,FALSE)</f>
        <v/>
      </c>
      <c r="L2148" s="44">
        <f>+VLOOKUP($A2148,MAGAZZINO!$B$2:$M$4838,12,FALSE)</f>
        <v/>
      </c>
    </row>
    <row r="2149" ht="36" customHeight="1">
      <c r="A2149" s="30">
        <f>+REGISTRO!A2132</f>
        <v/>
      </c>
      <c r="B2149" s="31">
        <f>+VLOOKUP($A2149,MAGAZZINO!$B$2:$M$4838,2,FALSE)</f>
        <v/>
      </c>
      <c r="C2149" s="32">
        <f>+VLOOKUP($A2149,MAGAZZINO!$B$2:$M$4838,3,FALSE)</f>
        <v/>
      </c>
      <c r="D2149" s="17">
        <f>+VLOOKUP($A2149,MAGAZZINO!$B$2:$M$4838,4,FALSE)</f>
        <v/>
      </c>
      <c r="E2149" s="17">
        <f>+VLOOKUP($A2149,MAGAZZINO!$B$2:$M$4838,5,FALSE)</f>
        <v/>
      </c>
      <c r="F2149" s="17">
        <f>+VLOOKUP($A2149,MAGAZZINO!$B$2:$M$4838,6,FALSE)</f>
        <v/>
      </c>
      <c r="G2149" s="17">
        <f>+VLOOKUP($A2149,MAGAZZINO!$B$2:$M$4838,7,FALSE)</f>
        <v/>
      </c>
      <c r="H2149" s="17">
        <f>+VLOOKUP($A2149,MAGAZZINO!$B$2:$M$4838,8,FALSE)</f>
        <v/>
      </c>
      <c r="I2149" s="17">
        <f>+VLOOKUP($A2149,MAGAZZINO!$B$2:$M$4838,9,FALSE)</f>
        <v/>
      </c>
      <c r="J2149" s="17">
        <f>+VLOOKUP($A2149,MAGAZZINO!$B$2:$M$4838,10,FALSE)</f>
        <v/>
      </c>
      <c r="K2149" s="17">
        <f>+VLOOKUP($A2149,MAGAZZINO!$B$2:$M$4838,11,FALSE)</f>
        <v/>
      </c>
      <c r="L2149" s="44">
        <f>+VLOOKUP($A2149,MAGAZZINO!$B$2:$M$4838,12,FALSE)</f>
        <v/>
      </c>
    </row>
    <row r="2150" ht="36" customHeight="1">
      <c r="A2150" s="30">
        <f>+REGISTRO!A2133</f>
        <v/>
      </c>
      <c r="B2150" s="31">
        <f>+VLOOKUP($A2150,MAGAZZINO!$B$2:$M$4838,2,FALSE)</f>
        <v/>
      </c>
      <c r="C2150" s="32">
        <f>+VLOOKUP($A2150,MAGAZZINO!$B$2:$M$4838,3,FALSE)</f>
        <v/>
      </c>
      <c r="D2150" s="17">
        <f>+VLOOKUP($A2150,MAGAZZINO!$B$2:$M$4838,4,FALSE)</f>
        <v/>
      </c>
      <c r="E2150" s="17">
        <f>+VLOOKUP($A2150,MAGAZZINO!$B$2:$M$4838,5,FALSE)</f>
        <v/>
      </c>
      <c r="F2150" s="17">
        <f>+VLOOKUP($A2150,MAGAZZINO!$B$2:$M$4838,6,FALSE)</f>
        <v/>
      </c>
      <c r="G2150" s="17">
        <f>+VLOOKUP($A2150,MAGAZZINO!$B$2:$M$4838,7,FALSE)</f>
        <v/>
      </c>
      <c r="H2150" s="17">
        <f>+VLOOKUP($A2150,MAGAZZINO!$B$2:$M$4838,8,FALSE)</f>
        <v/>
      </c>
      <c r="I2150" s="17">
        <f>+VLOOKUP($A2150,MAGAZZINO!$B$2:$M$4838,9,FALSE)</f>
        <v/>
      </c>
      <c r="J2150" s="17">
        <f>+VLOOKUP($A2150,MAGAZZINO!$B$2:$M$4838,10,FALSE)</f>
        <v/>
      </c>
      <c r="K2150" s="17">
        <f>+VLOOKUP($A2150,MAGAZZINO!$B$2:$M$4838,11,FALSE)</f>
        <v/>
      </c>
      <c r="L2150" s="44">
        <f>+VLOOKUP($A2150,MAGAZZINO!$B$2:$M$4838,12,FALSE)</f>
        <v/>
      </c>
    </row>
    <row r="2151" ht="36" customHeight="1">
      <c r="A2151" s="30">
        <f>+REGISTRO!A2134</f>
        <v/>
      </c>
      <c r="B2151" s="31">
        <f>+VLOOKUP($A2151,MAGAZZINO!$B$2:$M$4838,2,FALSE)</f>
        <v/>
      </c>
      <c r="C2151" s="32">
        <f>+VLOOKUP($A2151,MAGAZZINO!$B$2:$M$4838,3,FALSE)</f>
        <v/>
      </c>
      <c r="D2151" s="17">
        <f>+VLOOKUP($A2151,MAGAZZINO!$B$2:$M$4838,4,FALSE)</f>
        <v/>
      </c>
      <c r="E2151" s="17">
        <f>+VLOOKUP($A2151,MAGAZZINO!$B$2:$M$4838,5,FALSE)</f>
        <v/>
      </c>
      <c r="F2151" s="17">
        <f>+VLOOKUP($A2151,MAGAZZINO!$B$2:$M$4838,6,FALSE)</f>
        <v/>
      </c>
      <c r="G2151" s="17">
        <f>+VLOOKUP($A2151,MAGAZZINO!$B$2:$M$4838,7,FALSE)</f>
        <v/>
      </c>
      <c r="H2151" s="17">
        <f>+VLOOKUP($A2151,MAGAZZINO!$B$2:$M$4838,8,FALSE)</f>
        <v/>
      </c>
      <c r="I2151" s="17">
        <f>+VLOOKUP($A2151,MAGAZZINO!$B$2:$M$4838,9,FALSE)</f>
        <v/>
      </c>
      <c r="J2151" s="17">
        <f>+VLOOKUP($A2151,MAGAZZINO!$B$2:$M$4838,10,FALSE)</f>
        <v/>
      </c>
      <c r="K2151" s="17">
        <f>+VLOOKUP($A2151,MAGAZZINO!$B$2:$M$4838,11,FALSE)</f>
        <v/>
      </c>
      <c r="L2151" s="44">
        <f>+VLOOKUP($A2151,MAGAZZINO!$B$2:$M$4838,12,FALSE)</f>
        <v/>
      </c>
    </row>
    <row r="2152" ht="36" customHeight="1">
      <c r="A2152" s="30">
        <f>+REGISTRO!A2135</f>
        <v/>
      </c>
      <c r="B2152" s="31">
        <f>+VLOOKUP($A2152,MAGAZZINO!$B$2:$M$4838,2,FALSE)</f>
        <v/>
      </c>
      <c r="C2152" s="32">
        <f>+VLOOKUP($A2152,MAGAZZINO!$B$2:$M$4838,3,FALSE)</f>
        <v/>
      </c>
      <c r="D2152" s="17">
        <f>+VLOOKUP($A2152,MAGAZZINO!$B$2:$M$4838,4,FALSE)</f>
        <v/>
      </c>
      <c r="E2152" s="17">
        <f>+VLOOKUP($A2152,MAGAZZINO!$B$2:$M$4838,5,FALSE)</f>
        <v/>
      </c>
      <c r="F2152" s="17">
        <f>+VLOOKUP($A2152,MAGAZZINO!$B$2:$M$4838,6,FALSE)</f>
        <v/>
      </c>
      <c r="G2152" s="17">
        <f>+VLOOKUP($A2152,MAGAZZINO!$B$2:$M$4838,7,FALSE)</f>
        <v/>
      </c>
      <c r="H2152" s="17">
        <f>+VLOOKUP($A2152,MAGAZZINO!$B$2:$M$4838,8,FALSE)</f>
        <v/>
      </c>
      <c r="I2152" s="17">
        <f>+VLOOKUP($A2152,MAGAZZINO!$B$2:$M$4838,9,FALSE)</f>
        <v/>
      </c>
      <c r="J2152" s="17">
        <f>+VLOOKUP($A2152,MAGAZZINO!$B$2:$M$4838,10,FALSE)</f>
        <v/>
      </c>
      <c r="K2152" s="17">
        <f>+VLOOKUP($A2152,MAGAZZINO!$B$2:$M$4838,11,FALSE)</f>
        <v/>
      </c>
      <c r="L2152" s="44">
        <f>+VLOOKUP($A2152,MAGAZZINO!$B$2:$M$4838,12,FALSE)</f>
        <v/>
      </c>
    </row>
    <row r="2153" ht="36" customHeight="1">
      <c r="A2153" s="30">
        <f>+REGISTRO!A2136</f>
        <v/>
      </c>
      <c r="B2153" s="31">
        <f>+VLOOKUP($A2153,MAGAZZINO!$B$2:$M$4838,2,FALSE)</f>
        <v/>
      </c>
      <c r="C2153" s="32">
        <f>+VLOOKUP($A2153,MAGAZZINO!$B$2:$M$4838,3,FALSE)</f>
        <v/>
      </c>
      <c r="D2153" s="17">
        <f>+VLOOKUP($A2153,MAGAZZINO!$B$2:$M$4838,4,FALSE)</f>
        <v/>
      </c>
      <c r="E2153" s="17">
        <f>+VLOOKUP($A2153,MAGAZZINO!$B$2:$M$4838,5,FALSE)</f>
        <v/>
      </c>
      <c r="F2153" s="17">
        <f>+VLOOKUP($A2153,MAGAZZINO!$B$2:$M$4838,6,FALSE)</f>
        <v/>
      </c>
      <c r="G2153" s="17">
        <f>+VLOOKUP($A2153,MAGAZZINO!$B$2:$M$4838,7,FALSE)</f>
        <v/>
      </c>
      <c r="H2153" s="17">
        <f>+VLOOKUP($A2153,MAGAZZINO!$B$2:$M$4838,8,FALSE)</f>
        <v/>
      </c>
      <c r="I2153" s="17">
        <f>+VLOOKUP($A2153,MAGAZZINO!$B$2:$M$4838,9,FALSE)</f>
        <v/>
      </c>
      <c r="J2153" s="17">
        <f>+VLOOKUP($A2153,MAGAZZINO!$B$2:$M$4838,10,FALSE)</f>
        <v/>
      </c>
      <c r="K2153" s="17">
        <f>+VLOOKUP($A2153,MAGAZZINO!$B$2:$M$4838,11,FALSE)</f>
        <v/>
      </c>
      <c r="L2153" s="44">
        <f>+VLOOKUP($A2153,MAGAZZINO!$B$2:$M$4838,12,FALSE)</f>
        <v/>
      </c>
    </row>
    <row r="2154" ht="36" customHeight="1">
      <c r="A2154" s="30">
        <f>+REGISTRO!A2137</f>
        <v/>
      </c>
      <c r="B2154" s="31">
        <f>+VLOOKUP($A2154,MAGAZZINO!$B$2:$M$4838,2,FALSE)</f>
        <v/>
      </c>
      <c r="C2154" s="32">
        <f>+VLOOKUP($A2154,MAGAZZINO!$B$2:$M$4838,3,FALSE)</f>
        <v/>
      </c>
      <c r="D2154" s="17">
        <f>+VLOOKUP($A2154,MAGAZZINO!$B$2:$M$4838,4,FALSE)</f>
        <v/>
      </c>
      <c r="E2154" s="17">
        <f>+VLOOKUP($A2154,MAGAZZINO!$B$2:$M$4838,5,FALSE)</f>
        <v/>
      </c>
      <c r="F2154" s="17">
        <f>+VLOOKUP($A2154,MAGAZZINO!$B$2:$M$4838,6,FALSE)</f>
        <v/>
      </c>
      <c r="G2154" s="17">
        <f>+VLOOKUP($A2154,MAGAZZINO!$B$2:$M$4838,7,FALSE)</f>
        <v/>
      </c>
      <c r="H2154" s="17">
        <f>+VLOOKUP($A2154,MAGAZZINO!$B$2:$M$4838,8,FALSE)</f>
        <v/>
      </c>
      <c r="I2154" s="17">
        <f>+VLOOKUP($A2154,MAGAZZINO!$B$2:$M$4838,9,FALSE)</f>
        <v/>
      </c>
      <c r="J2154" s="17">
        <f>+VLOOKUP($A2154,MAGAZZINO!$B$2:$M$4838,10,FALSE)</f>
        <v/>
      </c>
      <c r="K2154" s="17">
        <f>+VLOOKUP($A2154,MAGAZZINO!$B$2:$M$4838,11,FALSE)</f>
        <v/>
      </c>
      <c r="L2154" s="44">
        <f>+VLOOKUP($A2154,MAGAZZINO!$B$2:$M$4838,12,FALSE)</f>
        <v/>
      </c>
    </row>
    <row r="2155" ht="36" customHeight="1">
      <c r="A2155" s="30">
        <f>+REGISTRO!A2138</f>
        <v/>
      </c>
      <c r="B2155" s="31">
        <f>+VLOOKUP($A2155,MAGAZZINO!$B$2:$M$4838,2,FALSE)</f>
        <v/>
      </c>
      <c r="C2155" s="32">
        <f>+VLOOKUP($A2155,MAGAZZINO!$B$2:$M$4838,3,FALSE)</f>
        <v/>
      </c>
      <c r="D2155" s="17">
        <f>+VLOOKUP($A2155,MAGAZZINO!$B$2:$M$4838,4,FALSE)</f>
        <v/>
      </c>
      <c r="E2155" s="17">
        <f>+VLOOKUP($A2155,MAGAZZINO!$B$2:$M$4838,5,FALSE)</f>
        <v/>
      </c>
      <c r="F2155" s="17">
        <f>+VLOOKUP($A2155,MAGAZZINO!$B$2:$M$4838,6,FALSE)</f>
        <v/>
      </c>
      <c r="G2155" s="17">
        <f>+VLOOKUP($A2155,MAGAZZINO!$B$2:$M$4838,7,FALSE)</f>
        <v/>
      </c>
      <c r="H2155" s="17">
        <f>+VLOOKUP($A2155,MAGAZZINO!$B$2:$M$4838,8,FALSE)</f>
        <v/>
      </c>
      <c r="I2155" s="17">
        <f>+VLOOKUP($A2155,MAGAZZINO!$B$2:$M$4838,9,FALSE)</f>
        <v/>
      </c>
      <c r="J2155" s="17">
        <f>+VLOOKUP($A2155,MAGAZZINO!$B$2:$M$4838,10,FALSE)</f>
        <v/>
      </c>
      <c r="K2155" s="17">
        <f>+VLOOKUP($A2155,MAGAZZINO!$B$2:$M$4838,11,FALSE)</f>
        <v/>
      </c>
      <c r="L2155" s="44">
        <f>+VLOOKUP($A2155,MAGAZZINO!$B$2:$M$4838,12,FALSE)</f>
        <v/>
      </c>
    </row>
    <row r="2156" ht="36" customHeight="1">
      <c r="A2156" s="30">
        <f>+REGISTRO!A2139</f>
        <v/>
      </c>
      <c r="B2156" s="31">
        <f>+VLOOKUP($A2156,MAGAZZINO!$B$2:$M$4838,2,FALSE)</f>
        <v/>
      </c>
      <c r="C2156" s="32">
        <f>+VLOOKUP($A2156,MAGAZZINO!$B$2:$M$4838,3,FALSE)</f>
        <v/>
      </c>
      <c r="D2156" s="17">
        <f>+VLOOKUP($A2156,MAGAZZINO!$B$2:$M$4838,4,FALSE)</f>
        <v/>
      </c>
      <c r="E2156" s="17">
        <f>+VLOOKUP($A2156,MAGAZZINO!$B$2:$M$4838,5,FALSE)</f>
        <v/>
      </c>
      <c r="F2156" s="17">
        <f>+VLOOKUP($A2156,MAGAZZINO!$B$2:$M$4838,6,FALSE)</f>
        <v/>
      </c>
      <c r="G2156" s="17">
        <f>+VLOOKUP($A2156,MAGAZZINO!$B$2:$M$4838,7,FALSE)</f>
        <v/>
      </c>
      <c r="H2156" s="17">
        <f>+VLOOKUP($A2156,MAGAZZINO!$B$2:$M$4838,8,FALSE)</f>
        <v/>
      </c>
      <c r="I2156" s="17">
        <f>+VLOOKUP($A2156,MAGAZZINO!$B$2:$M$4838,9,FALSE)</f>
        <v/>
      </c>
      <c r="J2156" s="17">
        <f>+VLOOKUP($A2156,MAGAZZINO!$B$2:$M$4838,10,FALSE)</f>
        <v/>
      </c>
      <c r="K2156" s="17">
        <f>+VLOOKUP($A2156,MAGAZZINO!$B$2:$M$4838,11,FALSE)</f>
        <v/>
      </c>
      <c r="L2156" s="44">
        <f>+VLOOKUP($A2156,MAGAZZINO!$B$2:$M$4838,12,FALSE)</f>
        <v/>
      </c>
    </row>
    <row r="2157" ht="36" customHeight="1">
      <c r="A2157" s="30">
        <f>+REGISTRO!A2140</f>
        <v/>
      </c>
      <c r="B2157" s="31">
        <f>+VLOOKUP($A2157,MAGAZZINO!$B$2:$M$4838,2,FALSE)</f>
        <v/>
      </c>
      <c r="C2157" s="32">
        <f>+VLOOKUP($A2157,MAGAZZINO!$B$2:$M$4838,3,FALSE)</f>
        <v/>
      </c>
      <c r="D2157" s="17">
        <f>+VLOOKUP($A2157,MAGAZZINO!$B$2:$M$4838,4,FALSE)</f>
        <v/>
      </c>
      <c r="E2157" s="17">
        <f>+VLOOKUP($A2157,MAGAZZINO!$B$2:$M$4838,5,FALSE)</f>
        <v/>
      </c>
      <c r="F2157" s="17">
        <f>+VLOOKUP($A2157,MAGAZZINO!$B$2:$M$4838,6,FALSE)</f>
        <v/>
      </c>
      <c r="G2157" s="17">
        <f>+VLOOKUP($A2157,MAGAZZINO!$B$2:$M$4838,7,FALSE)</f>
        <v/>
      </c>
      <c r="H2157" s="17">
        <f>+VLOOKUP($A2157,MAGAZZINO!$B$2:$M$4838,8,FALSE)</f>
        <v/>
      </c>
      <c r="I2157" s="17">
        <f>+VLOOKUP($A2157,MAGAZZINO!$B$2:$M$4838,9,FALSE)</f>
        <v/>
      </c>
      <c r="J2157" s="17">
        <f>+VLOOKUP($A2157,MAGAZZINO!$B$2:$M$4838,10,FALSE)</f>
        <v/>
      </c>
      <c r="K2157" s="17">
        <f>+VLOOKUP($A2157,MAGAZZINO!$B$2:$M$4838,11,FALSE)</f>
        <v/>
      </c>
      <c r="L2157" s="44">
        <f>+VLOOKUP($A2157,MAGAZZINO!$B$2:$M$4838,12,FALSE)</f>
        <v/>
      </c>
    </row>
    <row r="2158" ht="36" customHeight="1">
      <c r="A2158" s="30">
        <f>+REGISTRO!A2141</f>
        <v/>
      </c>
      <c r="B2158" s="31">
        <f>+VLOOKUP($A2158,MAGAZZINO!$B$2:$M$4838,2,FALSE)</f>
        <v/>
      </c>
      <c r="C2158" s="32">
        <f>+VLOOKUP($A2158,MAGAZZINO!$B$2:$M$4838,3,FALSE)</f>
        <v/>
      </c>
      <c r="D2158" s="17">
        <f>+VLOOKUP($A2158,MAGAZZINO!$B$2:$M$4838,4,FALSE)</f>
        <v/>
      </c>
      <c r="E2158" s="17">
        <f>+VLOOKUP($A2158,MAGAZZINO!$B$2:$M$4838,5,FALSE)</f>
        <v/>
      </c>
      <c r="F2158" s="17">
        <f>+VLOOKUP($A2158,MAGAZZINO!$B$2:$M$4838,6,FALSE)</f>
        <v/>
      </c>
      <c r="G2158" s="17">
        <f>+VLOOKUP($A2158,MAGAZZINO!$B$2:$M$4838,7,FALSE)</f>
        <v/>
      </c>
      <c r="H2158" s="17">
        <f>+VLOOKUP($A2158,MAGAZZINO!$B$2:$M$4838,8,FALSE)</f>
        <v/>
      </c>
      <c r="I2158" s="17">
        <f>+VLOOKUP($A2158,MAGAZZINO!$B$2:$M$4838,9,FALSE)</f>
        <v/>
      </c>
      <c r="J2158" s="17">
        <f>+VLOOKUP($A2158,MAGAZZINO!$B$2:$M$4838,10,FALSE)</f>
        <v/>
      </c>
      <c r="K2158" s="17">
        <f>+VLOOKUP($A2158,MAGAZZINO!$B$2:$M$4838,11,FALSE)</f>
        <v/>
      </c>
      <c r="L2158" s="44">
        <f>+VLOOKUP($A2158,MAGAZZINO!$B$2:$M$4838,12,FALSE)</f>
        <v/>
      </c>
    </row>
    <row r="2159" ht="36" customHeight="1">
      <c r="A2159" s="30">
        <f>+REGISTRO!A2142</f>
        <v/>
      </c>
      <c r="B2159" s="31">
        <f>+VLOOKUP($A2159,MAGAZZINO!$B$2:$M$4838,2,FALSE)</f>
        <v/>
      </c>
      <c r="C2159" s="32">
        <f>+VLOOKUP($A2159,MAGAZZINO!$B$2:$M$4838,3,FALSE)</f>
        <v/>
      </c>
      <c r="D2159" s="17">
        <f>+VLOOKUP($A2159,MAGAZZINO!$B$2:$M$4838,4,FALSE)</f>
        <v/>
      </c>
      <c r="E2159" s="17">
        <f>+VLOOKUP($A2159,MAGAZZINO!$B$2:$M$4838,5,FALSE)</f>
        <v/>
      </c>
      <c r="F2159" s="17">
        <f>+VLOOKUP($A2159,MAGAZZINO!$B$2:$M$4838,6,FALSE)</f>
        <v/>
      </c>
      <c r="G2159" s="17">
        <f>+VLOOKUP($A2159,MAGAZZINO!$B$2:$M$4838,7,FALSE)</f>
        <v/>
      </c>
      <c r="H2159" s="17">
        <f>+VLOOKUP($A2159,MAGAZZINO!$B$2:$M$4838,8,FALSE)</f>
        <v/>
      </c>
      <c r="I2159" s="17">
        <f>+VLOOKUP($A2159,MAGAZZINO!$B$2:$M$4838,9,FALSE)</f>
        <v/>
      </c>
      <c r="J2159" s="17">
        <f>+VLOOKUP($A2159,MAGAZZINO!$B$2:$M$4838,10,FALSE)</f>
        <v/>
      </c>
      <c r="K2159" s="17">
        <f>+VLOOKUP($A2159,MAGAZZINO!$B$2:$M$4838,11,FALSE)</f>
        <v/>
      </c>
      <c r="L2159" s="44">
        <f>+VLOOKUP($A2159,MAGAZZINO!$B$2:$M$4838,12,FALSE)</f>
        <v/>
      </c>
    </row>
    <row r="2160" ht="36" customHeight="1">
      <c r="A2160" s="30">
        <f>+REGISTRO!A2143</f>
        <v/>
      </c>
      <c r="B2160" s="31">
        <f>+VLOOKUP($A2160,MAGAZZINO!$B$2:$M$4838,2,FALSE)</f>
        <v/>
      </c>
      <c r="C2160" s="32">
        <f>+VLOOKUP($A2160,MAGAZZINO!$B$2:$M$4838,3,FALSE)</f>
        <v/>
      </c>
      <c r="D2160" s="17">
        <f>+VLOOKUP($A2160,MAGAZZINO!$B$2:$M$4838,4,FALSE)</f>
        <v/>
      </c>
      <c r="E2160" s="17">
        <f>+VLOOKUP($A2160,MAGAZZINO!$B$2:$M$4838,5,FALSE)</f>
        <v/>
      </c>
      <c r="F2160" s="17">
        <f>+VLOOKUP($A2160,MAGAZZINO!$B$2:$M$4838,6,FALSE)</f>
        <v/>
      </c>
      <c r="G2160" s="17">
        <f>+VLOOKUP($A2160,MAGAZZINO!$B$2:$M$4838,7,FALSE)</f>
        <v/>
      </c>
      <c r="H2160" s="17">
        <f>+VLOOKUP($A2160,MAGAZZINO!$B$2:$M$4838,8,FALSE)</f>
        <v/>
      </c>
      <c r="I2160" s="17">
        <f>+VLOOKUP($A2160,MAGAZZINO!$B$2:$M$4838,9,FALSE)</f>
        <v/>
      </c>
      <c r="J2160" s="17">
        <f>+VLOOKUP($A2160,MAGAZZINO!$B$2:$M$4838,10,FALSE)</f>
        <v/>
      </c>
      <c r="K2160" s="17">
        <f>+VLOOKUP($A2160,MAGAZZINO!$B$2:$M$4838,11,FALSE)</f>
        <v/>
      </c>
      <c r="L2160" s="44">
        <f>+VLOOKUP($A2160,MAGAZZINO!$B$2:$M$4838,12,FALSE)</f>
        <v/>
      </c>
    </row>
    <row r="2161" ht="36" customHeight="1">
      <c r="A2161" s="30">
        <f>+REGISTRO!A2144</f>
        <v/>
      </c>
      <c r="B2161" s="31">
        <f>+VLOOKUP($A2161,MAGAZZINO!$B$2:$M$4838,2,FALSE)</f>
        <v/>
      </c>
      <c r="C2161" s="32">
        <f>+VLOOKUP($A2161,MAGAZZINO!$B$2:$M$4838,3,FALSE)</f>
        <v/>
      </c>
      <c r="D2161" s="17">
        <f>+VLOOKUP($A2161,MAGAZZINO!$B$2:$M$4838,4,FALSE)</f>
        <v/>
      </c>
      <c r="E2161" s="17">
        <f>+VLOOKUP($A2161,MAGAZZINO!$B$2:$M$4838,5,FALSE)</f>
        <v/>
      </c>
      <c r="F2161" s="17">
        <f>+VLOOKUP($A2161,MAGAZZINO!$B$2:$M$4838,6,FALSE)</f>
        <v/>
      </c>
      <c r="G2161" s="17">
        <f>+VLOOKUP($A2161,MAGAZZINO!$B$2:$M$4838,7,FALSE)</f>
        <v/>
      </c>
      <c r="H2161" s="17">
        <f>+VLOOKUP($A2161,MAGAZZINO!$B$2:$M$4838,8,FALSE)</f>
        <v/>
      </c>
      <c r="I2161" s="17">
        <f>+VLOOKUP($A2161,MAGAZZINO!$B$2:$M$4838,9,FALSE)</f>
        <v/>
      </c>
      <c r="J2161" s="17">
        <f>+VLOOKUP($A2161,MAGAZZINO!$B$2:$M$4838,10,FALSE)</f>
        <v/>
      </c>
      <c r="K2161" s="17">
        <f>+VLOOKUP($A2161,MAGAZZINO!$B$2:$M$4838,11,FALSE)</f>
        <v/>
      </c>
      <c r="L2161" s="44">
        <f>+VLOOKUP($A2161,MAGAZZINO!$B$2:$M$4838,12,FALSE)</f>
        <v/>
      </c>
    </row>
    <row r="2162" ht="36" customHeight="1">
      <c r="A2162" s="30">
        <f>+REGISTRO!A2145</f>
        <v/>
      </c>
      <c r="B2162" s="31">
        <f>+VLOOKUP($A2162,MAGAZZINO!$B$2:$M$4838,2,FALSE)</f>
        <v/>
      </c>
      <c r="C2162" s="32">
        <f>+VLOOKUP($A2162,MAGAZZINO!$B$2:$M$4838,3,FALSE)</f>
        <v/>
      </c>
      <c r="D2162" s="17">
        <f>+VLOOKUP($A2162,MAGAZZINO!$B$2:$M$4838,4,FALSE)</f>
        <v/>
      </c>
      <c r="E2162" s="17">
        <f>+VLOOKUP($A2162,MAGAZZINO!$B$2:$M$4838,5,FALSE)</f>
        <v/>
      </c>
      <c r="F2162" s="17">
        <f>+VLOOKUP($A2162,MAGAZZINO!$B$2:$M$4838,6,FALSE)</f>
        <v/>
      </c>
      <c r="G2162" s="17">
        <f>+VLOOKUP($A2162,MAGAZZINO!$B$2:$M$4838,7,FALSE)</f>
        <v/>
      </c>
      <c r="H2162" s="17">
        <f>+VLOOKUP($A2162,MAGAZZINO!$B$2:$M$4838,8,FALSE)</f>
        <v/>
      </c>
      <c r="I2162" s="17">
        <f>+VLOOKUP($A2162,MAGAZZINO!$B$2:$M$4838,9,FALSE)</f>
        <v/>
      </c>
      <c r="J2162" s="17">
        <f>+VLOOKUP($A2162,MAGAZZINO!$B$2:$M$4838,10,FALSE)</f>
        <v/>
      </c>
      <c r="K2162" s="17">
        <f>+VLOOKUP($A2162,MAGAZZINO!$B$2:$M$4838,11,FALSE)</f>
        <v/>
      </c>
      <c r="L2162" s="44">
        <f>+VLOOKUP($A2162,MAGAZZINO!$B$2:$M$4838,12,FALSE)</f>
        <v/>
      </c>
    </row>
    <row r="2163" ht="36" customHeight="1">
      <c r="A2163" s="30">
        <f>+REGISTRO!A2146</f>
        <v/>
      </c>
      <c r="B2163" s="31">
        <f>+VLOOKUP($A2163,MAGAZZINO!$B$2:$M$4838,2,FALSE)</f>
        <v/>
      </c>
      <c r="C2163" s="32">
        <f>+VLOOKUP($A2163,MAGAZZINO!$B$2:$M$4838,3,FALSE)</f>
        <v/>
      </c>
      <c r="D2163" s="17">
        <f>+VLOOKUP($A2163,MAGAZZINO!$B$2:$M$4838,4,FALSE)</f>
        <v/>
      </c>
      <c r="E2163" s="17">
        <f>+VLOOKUP($A2163,MAGAZZINO!$B$2:$M$4838,5,FALSE)</f>
        <v/>
      </c>
      <c r="F2163" s="17">
        <f>+VLOOKUP($A2163,MAGAZZINO!$B$2:$M$4838,6,FALSE)</f>
        <v/>
      </c>
      <c r="G2163" s="17">
        <f>+VLOOKUP($A2163,MAGAZZINO!$B$2:$M$4838,7,FALSE)</f>
        <v/>
      </c>
      <c r="H2163" s="17">
        <f>+VLOOKUP($A2163,MAGAZZINO!$B$2:$M$4838,8,FALSE)</f>
        <v/>
      </c>
      <c r="I2163" s="17">
        <f>+VLOOKUP($A2163,MAGAZZINO!$B$2:$M$4838,9,FALSE)</f>
        <v/>
      </c>
      <c r="J2163" s="17">
        <f>+VLOOKUP($A2163,MAGAZZINO!$B$2:$M$4838,10,FALSE)</f>
        <v/>
      </c>
      <c r="K2163" s="17">
        <f>+VLOOKUP($A2163,MAGAZZINO!$B$2:$M$4838,11,FALSE)</f>
        <v/>
      </c>
      <c r="L2163" s="44">
        <f>+VLOOKUP($A2163,MAGAZZINO!$B$2:$M$4838,12,FALSE)</f>
        <v/>
      </c>
    </row>
    <row r="2164" ht="36" customHeight="1">
      <c r="A2164" s="30">
        <f>+REGISTRO!A2147</f>
        <v/>
      </c>
      <c r="B2164" s="31">
        <f>+VLOOKUP($A2164,MAGAZZINO!$B$2:$M$4838,2,FALSE)</f>
        <v/>
      </c>
      <c r="C2164" s="32">
        <f>+VLOOKUP($A2164,MAGAZZINO!$B$2:$M$4838,3,FALSE)</f>
        <v/>
      </c>
      <c r="D2164" s="17">
        <f>+VLOOKUP($A2164,MAGAZZINO!$B$2:$M$4838,4,FALSE)</f>
        <v/>
      </c>
      <c r="E2164" s="17">
        <f>+VLOOKUP($A2164,MAGAZZINO!$B$2:$M$4838,5,FALSE)</f>
        <v/>
      </c>
      <c r="F2164" s="17">
        <f>+VLOOKUP($A2164,MAGAZZINO!$B$2:$M$4838,6,FALSE)</f>
        <v/>
      </c>
      <c r="G2164" s="17">
        <f>+VLOOKUP($A2164,MAGAZZINO!$B$2:$M$4838,7,FALSE)</f>
        <v/>
      </c>
      <c r="H2164" s="17">
        <f>+VLOOKUP($A2164,MAGAZZINO!$B$2:$M$4838,8,FALSE)</f>
        <v/>
      </c>
      <c r="I2164" s="17">
        <f>+VLOOKUP($A2164,MAGAZZINO!$B$2:$M$4838,9,FALSE)</f>
        <v/>
      </c>
      <c r="J2164" s="17">
        <f>+VLOOKUP($A2164,MAGAZZINO!$B$2:$M$4838,10,FALSE)</f>
        <v/>
      </c>
      <c r="K2164" s="17">
        <f>+VLOOKUP($A2164,MAGAZZINO!$B$2:$M$4838,11,FALSE)</f>
        <v/>
      </c>
      <c r="L2164" s="44">
        <f>+VLOOKUP($A2164,MAGAZZINO!$B$2:$M$4838,12,FALSE)</f>
        <v/>
      </c>
    </row>
    <row r="2165" ht="36" customHeight="1">
      <c r="A2165" s="30">
        <f>+REGISTRO!A2148</f>
        <v/>
      </c>
      <c r="B2165" s="31">
        <f>+VLOOKUP($A2165,MAGAZZINO!$B$2:$M$4838,2,FALSE)</f>
        <v/>
      </c>
      <c r="C2165" s="32">
        <f>+VLOOKUP($A2165,MAGAZZINO!$B$2:$M$4838,3,FALSE)</f>
        <v/>
      </c>
      <c r="D2165" s="17">
        <f>+VLOOKUP($A2165,MAGAZZINO!$B$2:$M$4838,4,FALSE)</f>
        <v/>
      </c>
      <c r="E2165" s="17">
        <f>+VLOOKUP($A2165,MAGAZZINO!$B$2:$M$4838,5,FALSE)</f>
        <v/>
      </c>
      <c r="F2165" s="17">
        <f>+VLOOKUP($A2165,MAGAZZINO!$B$2:$M$4838,6,FALSE)</f>
        <v/>
      </c>
      <c r="G2165" s="17">
        <f>+VLOOKUP($A2165,MAGAZZINO!$B$2:$M$4838,7,FALSE)</f>
        <v/>
      </c>
      <c r="H2165" s="17">
        <f>+VLOOKUP($A2165,MAGAZZINO!$B$2:$M$4838,8,FALSE)</f>
        <v/>
      </c>
      <c r="I2165" s="17">
        <f>+VLOOKUP($A2165,MAGAZZINO!$B$2:$M$4838,9,FALSE)</f>
        <v/>
      </c>
      <c r="J2165" s="17">
        <f>+VLOOKUP($A2165,MAGAZZINO!$B$2:$M$4838,10,FALSE)</f>
        <v/>
      </c>
      <c r="K2165" s="17">
        <f>+VLOOKUP($A2165,MAGAZZINO!$B$2:$M$4838,11,FALSE)</f>
        <v/>
      </c>
      <c r="L2165" s="44">
        <f>+VLOOKUP($A2165,MAGAZZINO!$B$2:$M$4838,12,FALSE)</f>
        <v/>
      </c>
    </row>
    <row r="2166" ht="36" customHeight="1">
      <c r="A2166" s="30">
        <f>+REGISTRO!A2149</f>
        <v/>
      </c>
      <c r="B2166" s="31">
        <f>+VLOOKUP($A2166,MAGAZZINO!$B$2:$M$4838,2,FALSE)</f>
        <v/>
      </c>
      <c r="C2166" s="32">
        <f>+VLOOKUP($A2166,MAGAZZINO!$B$2:$M$4838,3,FALSE)</f>
        <v/>
      </c>
      <c r="D2166" s="17">
        <f>+VLOOKUP($A2166,MAGAZZINO!$B$2:$M$4838,4,FALSE)</f>
        <v/>
      </c>
      <c r="E2166" s="17">
        <f>+VLOOKUP($A2166,MAGAZZINO!$B$2:$M$4838,5,FALSE)</f>
        <v/>
      </c>
      <c r="F2166" s="17">
        <f>+VLOOKUP($A2166,MAGAZZINO!$B$2:$M$4838,6,FALSE)</f>
        <v/>
      </c>
      <c r="G2166" s="17">
        <f>+VLOOKUP($A2166,MAGAZZINO!$B$2:$M$4838,7,FALSE)</f>
        <v/>
      </c>
      <c r="H2166" s="17">
        <f>+VLOOKUP($A2166,MAGAZZINO!$B$2:$M$4838,8,FALSE)</f>
        <v/>
      </c>
      <c r="I2166" s="17">
        <f>+VLOOKUP($A2166,MAGAZZINO!$B$2:$M$4838,9,FALSE)</f>
        <v/>
      </c>
      <c r="J2166" s="17">
        <f>+VLOOKUP($A2166,MAGAZZINO!$B$2:$M$4838,10,FALSE)</f>
        <v/>
      </c>
      <c r="K2166" s="17">
        <f>+VLOOKUP($A2166,MAGAZZINO!$B$2:$M$4838,11,FALSE)</f>
        <v/>
      </c>
      <c r="L2166" s="44">
        <f>+VLOOKUP($A2166,MAGAZZINO!$B$2:$M$4838,12,FALSE)</f>
        <v/>
      </c>
    </row>
    <row r="2167" ht="36" customHeight="1">
      <c r="A2167" s="30">
        <f>+REGISTRO!A2150</f>
        <v/>
      </c>
      <c r="B2167" s="31">
        <f>+VLOOKUP($A2167,MAGAZZINO!$B$2:$M$4838,2,FALSE)</f>
        <v/>
      </c>
      <c r="C2167" s="32">
        <f>+VLOOKUP($A2167,MAGAZZINO!$B$2:$M$4838,3,FALSE)</f>
        <v/>
      </c>
      <c r="D2167" s="17">
        <f>+VLOOKUP($A2167,MAGAZZINO!$B$2:$M$4838,4,FALSE)</f>
        <v/>
      </c>
      <c r="E2167" s="17">
        <f>+VLOOKUP($A2167,MAGAZZINO!$B$2:$M$4838,5,FALSE)</f>
        <v/>
      </c>
      <c r="F2167" s="17">
        <f>+VLOOKUP($A2167,MAGAZZINO!$B$2:$M$4838,6,FALSE)</f>
        <v/>
      </c>
      <c r="G2167" s="17">
        <f>+VLOOKUP($A2167,MAGAZZINO!$B$2:$M$4838,7,FALSE)</f>
        <v/>
      </c>
      <c r="H2167" s="17">
        <f>+VLOOKUP($A2167,MAGAZZINO!$B$2:$M$4838,8,FALSE)</f>
        <v/>
      </c>
      <c r="I2167" s="17">
        <f>+VLOOKUP($A2167,MAGAZZINO!$B$2:$M$4838,9,FALSE)</f>
        <v/>
      </c>
      <c r="J2167" s="17">
        <f>+VLOOKUP($A2167,MAGAZZINO!$B$2:$M$4838,10,FALSE)</f>
        <v/>
      </c>
      <c r="K2167" s="17">
        <f>+VLOOKUP($A2167,MAGAZZINO!$B$2:$M$4838,11,FALSE)</f>
        <v/>
      </c>
      <c r="L2167" s="44">
        <f>+VLOOKUP($A2167,MAGAZZINO!$B$2:$M$4838,12,FALSE)</f>
        <v/>
      </c>
    </row>
    <row r="2168" ht="36" customHeight="1">
      <c r="A2168" s="30">
        <f>+REGISTRO!A2151</f>
        <v/>
      </c>
      <c r="B2168" s="31">
        <f>+VLOOKUP($A2168,MAGAZZINO!$B$2:$M$4838,2,FALSE)</f>
        <v/>
      </c>
      <c r="C2168" s="32">
        <f>+VLOOKUP($A2168,MAGAZZINO!$B$2:$M$4838,3,FALSE)</f>
        <v/>
      </c>
      <c r="D2168" s="17">
        <f>+VLOOKUP($A2168,MAGAZZINO!$B$2:$M$4838,4,FALSE)</f>
        <v/>
      </c>
      <c r="E2168" s="17">
        <f>+VLOOKUP($A2168,MAGAZZINO!$B$2:$M$4838,5,FALSE)</f>
        <v/>
      </c>
      <c r="F2168" s="17">
        <f>+VLOOKUP($A2168,MAGAZZINO!$B$2:$M$4838,6,FALSE)</f>
        <v/>
      </c>
      <c r="G2168" s="17">
        <f>+VLOOKUP($A2168,MAGAZZINO!$B$2:$M$4838,7,FALSE)</f>
        <v/>
      </c>
      <c r="H2168" s="17">
        <f>+VLOOKUP($A2168,MAGAZZINO!$B$2:$M$4838,8,FALSE)</f>
        <v/>
      </c>
      <c r="I2168" s="17">
        <f>+VLOOKUP($A2168,MAGAZZINO!$B$2:$M$4838,9,FALSE)</f>
        <v/>
      </c>
      <c r="J2168" s="17">
        <f>+VLOOKUP($A2168,MAGAZZINO!$B$2:$M$4838,10,FALSE)</f>
        <v/>
      </c>
      <c r="K2168" s="17">
        <f>+VLOOKUP($A2168,MAGAZZINO!$B$2:$M$4838,11,FALSE)</f>
        <v/>
      </c>
      <c r="L2168" s="44">
        <f>+VLOOKUP($A2168,MAGAZZINO!$B$2:$M$4838,12,FALSE)</f>
        <v/>
      </c>
    </row>
    <row r="2169" ht="36" customHeight="1">
      <c r="A2169" s="30">
        <f>+REGISTRO!A2152</f>
        <v/>
      </c>
      <c r="B2169" s="31">
        <f>+VLOOKUP($A2169,MAGAZZINO!$B$2:$M$4838,2,FALSE)</f>
        <v/>
      </c>
      <c r="C2169" s="32">
        <f>+VLOOKUP($A2169,MAGAZZINO!$B$2:$M$4838,3,FALSE)</f>
        <v/>
      </c>
      <c r="D2169" s="17">
        <f>+VLOOKUP($A2169,MAGAZZINO!$B$2:$M$4838,4,FALSE)</f>
        <v/>
      </c>
      <c r="E2169" s="17">
        <f>+VLOOKUP($A2169,MAGAZZINO!$B$2:$M$4838,5,FALSE)</f>
        <v/>
      </c>
      <c r="F2169" s="17">
        <f>+VLOOKUP($A2169,MAGAZZINO!$B$2:$M$4838,6,FALSE)</f>
        <v/>
      </c>
      <c r="G2169" s="17">
        <f>+VLOOKUP($A2169,MAGAZZINO!$B$2:$M$4838,7,FALSE)</f>
        <v/>
      </c>
      <c r="H2169" s="17">
        <f>+VLOOKUP($A2169,MAGAZZINO!$B$2:$M$4838,8,FALSE)</f>
        <v/>
      </c>
      <c r="I2169" s="17">
        <f>+VLOOKUP($A2169,MAGAZZINO!$B$2:$M$4838,9,FALSE)</f>
        <v/>
      </c>
      <c r="J2169" s="17">
        <f>+VLOOKUP($A2169,MAGAZZINO!$B$2:$M$4838,10,FALSE)</f>
        <v/>
      </c>
      <c r="K2169" s="17">
        <f>+VLOOKUP($A2169,MAGAZZINO!$B$2:$M$4838,11,FALSE)</f>
        <v/>
      </c>
      <c r="L2169" s="44">
        <f>+VLOOKUP($A2169,MAGAZZINO!$B$2:$M$4838,12,FALSE)</f>
        <v/>
      </c>
    </row>
    <row r="2170" ht="36" customHeight="1">
      <c r="A2170" s="30">
        <f>+REGISTRO!A2153</f>
        <v/>
      </c>
      <c r="B2170" s="31">
        <f>+VLOOKUP($A2170,MAGAZZINO!$B$2:$M$4838,2,FALSE)</f>
        <v/>
      </c>
      <c r="C2170" s="32">
        <f>+VLOOKUP($A2170,MAGAZZINO!$B$2:$M$4838,3,FALSE)</f>
        <v/>
      </c>
      <c r="D2170" s="17">
        <f>+VLOOKUP($A2170,MAGAZZINO!$B$2:$M$4838,4,FALSE)</f>
        <v/>
      </c>
      <c r="E2170" s="17">
        <f>+VLOOKUP($A2170,MAGAZZINO!$B$2:$M$4838,5,FALSE)</f>
        <v/>
      </c>
      <c r="F2170" s="17">
        <f>+VLOOKUP($A2170,MAGAZZINO!$B$2:$M$4838,6,FALSE)</f>
        <v/>
      </c>
      <c r="G2170" s="17">
        <f>+VLOOKUP($A2170,MAGAZZINO!$B$2:$M$4838,7,FALSE)</f>
        <v/>
      </c>
      <c r="H2170" s="17">
        <f>+VLOOKUP($A2170,MAGAZZINO!$B$2:$M$4838,8,FALSE)</f>
        <v/>
      </c>
      <c r="I2170" s="17">
        <f>+VLOOKUP($A2170,MAGAZZINO!$B$2:$M$4838,9,FALSE)</f>
        <v/>
      </c>
      <c r="J2170" s="17">
        <f>+VLOOKUP($A2170,MAGAZZINO!$B$2:$M$4838,10,FALSE)</f>
        <v/>
      </c>
      <c r="K2170" s="17">
        <f>+VLOOKUP($A2170,MAGAZZINO!$B$2:$M$4838,11,FALSE)</f>
        <v/>
      </c>
      <c r="L2170" s="44">
        <f>+VLOOKUP($A2170,MAGAZZINO!$B$2:$M$4838,12,FALSE)</f>
        <v/>
      </c>
    </row>
    <row r="2171" ht="36" customHeight="1">
      <c r="A2171" s="30">
        <f>+REGISTRO!A2154</f>
        <v/>
      </c>
      <c r="B2171" s="31">
        <f>+VLOOKUP($A2171,MAGAZZINO!$B$2:$M$4838,2,FALSE)</f>
        <v/>
      </c>
      <c r="C2171" s="32">
        <f>+VLOOKUP($A2171,MAGAZZINO!$B$2:$M$4838,3,FALSE)</f>
        <v/>
      </c>
      <c r="D2171" s="17">
        <f>+VLOOKUP($A2171,MAGAZZINO!$B$2:$M$4838,4,FALSE)</f>
        <v/>
      </c>
      <c r="E2171" s="17">
        <f>+VLOOKUP($A2171,MAGAZZINO!$B$2:$M$4838,5,FALSE)</f>
        <v/>
      </c>
      <c r="F2171" s="17">
        <f>+VLOOKUP($A2171,MAGAZZINO!$B$2:$M$4838,6,FALSE)</f>
        <v/>
      </c>
      <c r="G2171" s="17">
        <f>+VLOOKUP($A2171,MAGAZZINO!$B$2:$M$4838,7,FALSE)</f>
        <v/>
      </c>
      <c r="H2171" s="17">
        <f>+VLOOKUP($A2171,MAGAZZINO!$B$2:$M$4838,8,FALSE)</f>
        <v/>
      </c>
      <c r="I2171" s="17">
        <f>+VLOOKUP($A2171,MAGAZZINO!$B$2:$M$4838,9,FALSE)</f>
        <v/>
      </c>
      <c r="J2171" s="17">
        <f>+VLOOKUP($A2171,MAGAZZINO!$B$2:$M$4838,10,FALSE)</f>
        <v/>
      </c>
      <c r="K2171" s="17">
        <f>+VLOOKUP($A2171,MAGAZZINO!$B$2:$M$4838,11,FALSE)</f>
        <v/>
      </c>
      <c r="L2171" s="44">
        <f>+VLOOKUP($A2171,MAGAZZINO!$B$2:$M$4838,12,FALSE)</f>
        <v/>
      </c>
    </row>
    <row r="2172" ht="36" customHeight="1">
      <c r="A2172" s="30">
        <f>+REGISTRO!A2155</f>
        <v/>
      </c>
      <c r="B2172" s="31">
        <f>+VLOOKUP($A2172,MAGAZZINO!$B$2:$M$4838,2,FALSE)</f>
        <v/>
      </c>
      <c r="C2172" s="32">
        <f>+VLOOKUP($A2172,MAGAZZINO!$B$2:$M$4838,3,FALSE)</f>
        <v/>
      </c>
      <c r="D2172" s="17">
        <f>+VLOOKUP($A2172,MAGAZZINO!$B$2:$M$4838,4,FALSE)</f>
        <v/>
      </c>
      <c r="E2172" s="17">
        <f>+VLOOKUP($A2172,MAGAZZINO!$B$2:$M$4838,5,FALSE)</f>
        <v/>
      </c>
      <c r="F2172" s="17">
        <f>+VLOOKUP($A2172,MAGAZZINO!$B$2:$M$4838,6,FALSE)</f>
        <v/>
      </c>
      <c r="G2172" s="17">
        <f>+VLOOKUP($A2172,MAGAZZINO!$B$2:$M$4838,7,FALSE)</f>
        <v/>
      </c>
      <c r="H2172" s="17">
        <f>+VLOOKUP($A2172,MAGAZZINO!$B$2:$M$4838,8,FALSE)</f>
        <v/>
      </c>
      <c r="I2172" s="17">
        <f>+VLOOKUP($A2172,MAGAZZINO!$B$2:$M$4838,9,FALSE)</f>
        <v/>
      </c>
      <c r="J2172" s="17">
        <f>+VLOOKUP($A2172,MAGAZZINO!$B$2:$M$4838,10,FALSE)</f>
        <v/>
      </c>
      <c r="K2172" s="17">
        <f>+VLOOKUP($A2172,MAGAZZINO!$B$2:$M$4838,11,FALSE)</f>
        <v/>
      </c>
      <c r="L2172" s="44">
        <f>+VLOOKUP($A2172,MAGAZZINO!$B$2:$M$4838,12,FALSE)</f>
        <v/>
      </c>
    </row>
    <row r="2173" ht="36" customHeight="1">
      <c r="A2173" s="30">
        <f>+REGISTRO!A2156</f>
        <v/>
      </c>
      <c r="B2173" s="31">
        <f>+VLOOKUP($A2173,MAGAZZINO!$B$2:$M$4838,2,FALSE)</f>
        <v/>
      </c>
      <c r="C2173" s="32">
        <f>+VLOOKUP($A2173,MAGAZZINO!$B$2:$M$4838,3,FALSE)</f>
        <v/>
      </c>
      <c r="D2173" s="17">
        <f>+VLOOKUP($A2173,MAGAZZINO!$B$2:$M$4838,4,FALSE)</f>
        <v/>
      </c>
      <c r="E2173" s="17">
        <f>+VLOOKUP($A2173,MAGAZZINO!$B$2:$M$4838,5,FALSE)</f>
        <v/>
      </c>
      <c r="F2173" s="17">
        <f>+VLOOKUP($A2173,MAGAZZINO!$B$2:$M$4838,6,FALSE)</f>
        <v/>
      </c>
      <c r="G2173" s="17">
        <f>+VLOOKUP($A2173,MAGAZZINO!$B$2:$M$4838,7,FALSE)</f>
        <v/>
      </c>
      <c r="H2173" s="17">
        <f>+VLOOKUP($A2173,MAGAZZINO!$B$2:$M$4838,8,FALSE)</f>
        <v/>
      </c>
      <c r="I2173" s="17">
        <f>+VLOOKUP($A2173,MAGAZZINO!$B$2:$M$4838,9,FALSE)</f>
        <v/>
      </c>
      <c r="J2173" s="17">
        <f>+VLOOKUP($A2173,MAGAZZINO!$B$2:$M$4838,10,FALSE)</f>
        <v/>
      </c>
      <c r="K2173" s="17">
        <f>+VLOOKUP($A2173,MAGAZZINO!$B$2:$M$4838,11,FALSE)</f>
        <v/>
      </c>
      <c r="L2173" s="44">
        <f>+VLOOKUP($A2173,MAGAZZINO!$B$2:$M$4838,12,FALSE)</f>
        <v/>
      </c>
    </row>
    <row r="2174" ht="36" customHeight="1">
      <c r="A2174" s="30">
        <f>+REGISTRO!A2157</f>
        <v/>
      </c>
      <c r="B2174" s="31">
        <f>+VLOOKUP($A2174,MAGAZZINO!$B$2:$M$4838,2,FALSE)</f>
        <v/>
      </c>
      <c r="C2174" s="32">
        <f>+VLOOKUP($A2174,MAGAZZINO!$B$2:$M$4838,3,FALSE)</f>
        <v/>
      </c>
      <c r="D2174" s="17">
        <f>+VLOOKUP($A2174,MAGAZZINO!$B$2:$M$4838,4,FALSE)</f>
        <v/>
      </c>
      <c r="E2174" s="17">
        <f>+VLOOKUP($A2174,MAGAZZINO!$B$2:$M$4838,5,FALSE)</f>
        <v/>
      </c>
      <c r="F2174" s="17">
        <f>+VLOOKUP($A2174,MAGAZZINO!$B$2:$M$4838,6,FALSE)</f>
        <v/>
      </c>
      <c r="G2174" s="17">
        <f>+VLOOKUP($A2174,MAGAZZINO!$B$2:$M$4838,7,FALSE)</f>
        <v/>
      </c>
      <c r="H2174" s="17">
        <f>+VLOOKUP($A2174,MAGAZZINO!$B$2:$M$4838,8,FALSE)</f>
        <v/>
      </c>
      <c r="I2174" s="17">
        <f>+VLOOKUP($A2174,MAGAZZINO!$B$2:$M$4838,9,FALSE)</f>
        <v/>
      </c>
      <c r="J2174" s="17">
        <f>+VLOOKUP($A2174,MAGAZZINO!$B$2:$M$4838,10,FALSE)</f>
        <v/>
      </c>
      <c r="K2174" s="17">
        <f>+VLOOKUP($A2174,MAGAZZINO!$B$2:$M$4838,11,FALSE)</f>
        <v/>
      </c>
      <c r="L2174" s="44">
        <f>+VLOOKUP($A2174,MAGAZZINO!$B$2:$M$4838,12,FALSE)</f>
        <v/>
      </c>
    </row>
    <row r="2175" ht="36" customHeight="1">
      <c r="A2175" s="30">
        <f>+REGISTRO!A2158</f>
        <v/>
      </c>
      <c r="B2175" s="31">
        <f>+VLOOKUP($A2175,MAGAZZINO!$B$2:$M$4838,2,FALSE)</f>
        <v/>
      </c>
      <c r="C2175" s="32">
        <f>+VLOOKUP($A2175,MAGAZZINO!$B$2:$M$4838,3,FALSE)</f>
        <v/>
      </c>
      <c r="D2175" s="17">
        <f>+VLOOKUP($A2175,MAGAZZINO!$B$2:$M$4838,4,FALSE)</f>
        <v/>
      </c>
      <c r="E2175" s="17">
        <f>+VLOOKUP($A2175,MAGAZZINO!$B$2:$M$4838,5,FALSE)</f>
        <v/>
      </c>
      <c r="F2175" s="17">
        <f>+VLOOKUP($A2175,MAGAZZINO!$B$2:$M$4838,6,FALSE)</f>
        <v/>
      </c>
      <c r="G2175" s="17">
        <f>+VLOOKUP($A2175,MAGAZZINO!$B$2:$M$4838,7,FALSE)</f>
        <v/>
      </c>
      <c r="H2175" s="17">
        <f>+VLOOKUP($A2175,MAGAZZINO!$B$2:$M$4838,8,FALSE)</f>
        <v/>
      </c>
      <c r="I2175" s="17">
        <f>+VLOOKUP($A2175,MAGAZZINO!$B$2:$M$4838,9,FALSE)</f>
        <v/>
      </c>
      <c r="J2175" s="17">
        <f>+VLOOKUP($A2175,MAGAZZINO!$B$2:$M$4838,10,FALSE)</f>
        <v/>
      </c>
      <c r="K2175" s="17">
        <f>+VLOOKUP($A2175,MAGAZZINO!$B$2:$M$4838,11,FALSE)</f>
        <v/>
      </c>
      <c r="L2175" s="44">
        <f>+VLOOKUP($A2175,MAGAZZINO!$B$2:$M$4838,12,FALSE)</f>
        <v/>
      </c>
    </row>
    <row r="2176" ht="36" customHeight="1">
      <c r="A2176" s="30">
        <f>+REGISTRO!A2159</f>
        <v/>
      </c>
      <c r="B2176" s="31">
        <f>+VLOOKUP($A2176,MAGAZZINO!$B$2:$M$4838,2,FALSE)</f>
        <v/>
      </c>
      <c r="C2176" s="32">
        <f>+VLOOKUP($A2176,MAGAZZINO!$B$2:$M$4838,3,FALSE)</f>
        <v/>
      </c>
      <c r="D2176" s="17">
        <f>+VLOOKUP($A2176,MAGAZZINO!$B$2:$M$4838,4,FALSE)</f>
        <v/>
      </c>
      <c r="E2176" s="17">
        <f>+VLOOKUP($A2176,MAGAZZINO!$B$2:$M$4838,5,FALSE)</f>
        <v/>
      </c>
      <c r="F2176" s="17">
        <f>+VLOOKUP($A2176,MAGAZZINO!$B$2:$M$4838,6,FALSE)</f>
        <v/>
      </c>
      <c r="G2176" s="17">
        <f>+VLOOKUP($A2176,MAGAZZINO!$B$2:$M$4838,7,FALSE)</f>
        <v/>
      </c>
      <c r="H2176" s="17">
        <f>+VLOOKUP($A2176,MAGAZZINO!$B$2:$M$4838,8,FALSE)</f>
        <v/>
      </c>
      <c r="I2176" s="17">
        <f>+VLOOKUP($A2176,MAGAZZINO!$B$2:$M$4838,9,FALSE)</f>
        <v/>
      </c>
      <c r="J2176" s="17">
        <f>+VLOOKUP($A2176,MAGAZZINO!$B$2:$M$4838,10,FALSE)</f>
        <v/>
      </c>
      <c r="K2176" s="17">
        <f>+VLOOKUP($A2176,MAGAZZINO!$B$2:$M$4838,11,FALSE)</f>
        <v/>
      </c>
      <c r="L2176" s="44">
        <f>+VLOOKUP($A2176,MAGAZZINO!$B$2:$M$4838,12,FALSE)</f>
        <v/>
      </c>
    </row>
    <row r="2177" ht="36" customHeight="1">
      <c r="A2177" s="30">
        <f>+REGISTRO!A2160</f>
        <v/>
      </c>
      <c r="B2177" s="31">
        <f>+VLOOKUP($A2177,MAGAZZINO!$B$2:$M$4838,2,FALSE)</f>
        <v/>
      </c>
      <c r="C2177" s="32">
        <f>+VLOOKUP($A2177,MAGAZZINO!$B$2:$M$4838,3,FALSE)</f>
        <v/>
      </c>
      <c r="D2177" s="17">
        <f>+VLOOKUP($A2177,MAGAZZINO!$B$2:$M$4838,4,FALSE)</f>
        <v/>
      </c>
      <c r="E2177" s="17">
        <f>+VLOOKUP($A2177,MAGAZZINO!$B$2:$M$4838,5,FALSE)</f>
        <v/>
      </c>
      <c r="F2177" s="17">
        <f>+VLOOKUP($A2177,MAGAZZINO!$B$2:$M$4838,6,FALSE)</f>
        <v/>
      </c>
      <c r="G2177" s="17">
        <f>+VLOOKUP($A2177,MAGAZZINO!$B$2:$M$4838,7,FALSE)</f>
        <v/>
      </c>
      <c r="H2177" s="17">
        <f>+VLOOKUP($A2177,MAGAZZINO!$B$2:$M$4838,8,FALSE)</f>
        <v/>
      </c>
      <c r="I2177" s="17">
        <f>+VLOOKUP($A2177,MAGAZZINO!$B$2:$M$4838,9,FALSE)</f>
        <v/>
      </c>
      <c r="J2177" s="17">
        <f>+VLOOKUP($A2177,MAGAZZINO!$B$2:$M$4838,10,FALSE)</f>
        <v/>
      </c>
      <c r="K2177" s="17">
        <f>+VLOOKUP($A2177,MAGAZZINO!$B$2:$M$4838,11,FALSE)</f>
        <v/>
      </c>
      <c r="L2177" s="44">
        <f>+VLOOKUP($A2177,MAGAZZINO!$B$2:$M$4838,12,FALSE)</f>
        <v/>
      </c>
    </row>
    <row r="2178" ht="36" customHeight="1">
      <c r="A2178" s="30">
        <f>+REGISTRO!A2161</f>
        <v/>
      </c>
      <c r="B2178" s="31">
        <f>+VLOOKUP($A2178,MAGAZZINO!$B$2:$M$4838,2,FALSE)</f>
        <v/>
      </c>
      <c r="C2178" s="32">
        <f>+VLOOKUP($A2178,MAGAZZINO!$B$2:$M$4838,3,FALSE)</f>
        <v/>
      </c>
      <c r="D2178" s="17">
        <f>+VLOOKUP($A2178,MAGAZZINO!$B$2:$M$4838,4,FALSE)</f>
        <v/>
      </c>
      <c r="E2178" s="17">
        <f>+VLOOKUP($A2178,MAGAZZINO!$B$2:$M$4838,5,FALSE)</f>
        <v/>
      </c>
      <c r="F2178" s="17">
        <f>+VLOOKUP($A2178,MAGAZZINO!$B$2:$M$4838,6,FALSE)</f>
        <v/>
      </c>
      <c r="G2178" s="17">
        <f>+VLOOKUP($A2178,MAGAZZINO!$B$2:$M$4838,7,FALSE)</f>
        <v/>
      </c>
      <c r="H2178" s="17">
        <f>+VLOOKUP($A2178,MAGAZZINO!$B$2:$M$4838,8,FALSE)</f>
        <v/>
      </c>
      <c r="I2178" s="17">
        <f>+VLOOKUP($A2178,MAGAZZINO!$B$2:$M$4838,9,FALSE)</f>
        <v/>
      </c>
      <c r="J2178" s="17">
        <f>+VLOOKUP($A2178,MAGAZZINO!$B$2:$M$4838,10,FALSE)</f>
        <v/>
      </c>
      <c r="K2178" s="17">
        <f>+VLOOKUP($A2178,MAGAZZINO!$B$2:$M$4838,11,FALSE)</f>
        <v/>
      </c>
      <c r="L2178" s="44">
        <f>+VLOOKUP($A2178,MAGAZZINO!$B$2:$M$4838,12,FALSE)</f>
        <v/>
      </c>
    </row>
    <row r="2179" ht="36" customHeight="1">
      <c r="A2179" s="30">
        <f>+REGISTRO!A2162</f>
        <v/>
      </c>
      <c r="B2179" s="31">
        <f>+VLOOKUP($A2179,MAGAZZINO!$B$2:$M$4838,2,FALSE)</f>
        <v/>
      </c>
      <c r="C2179" s="32">
        <f>+VLOOKUP($A2179,MAGAZZINO!$B$2:$M$4838,3,FALSE)</f>
        <v/>
      </c>
      <c r="D2179" s="17">
        <f>+VLOOKUP($A2179,MAGAZZINO!$B$2:$M$4838,4,FALSE)</f>
        <v/>
      </c>
      <c r="E2179" s="17">
        <f>+VLOOKUP($A2179,MAGAZZINO!$B$2:$M$4838,5,FALSE)</f>
        <v/>
      </c>
      <c r="F2179" s="17">
        <f>+VLOOKUP($A2179,MAGAZZINO!$B$2:$M$4838,6,FALSE)</f>
        <v/>
      </c>
      <c r="G2179" s="17">
        <f>+VLOOKUP($A2179,MAGAZZINO!$B$2:$M$4838,7,FALSE)</f>
        <v/>
      </c>
      <c r="H2179" s="17">
        <f>+VLOOKUP($A2179,MAGAZZINO!$B$2:$M$4838,8,FALSE)</f>
        <v/>
      </c>
      <c r="I2179" s="17">
        <f>+VLOOKUP($A2179,MAGAZZINO!$B$2:$M$4838,9,FALSE)</f>
        <v/>
      </c>
      <c r="J2179" s="17">
        <f>+VLOOKUP($A2179,MAGAZZINO!$B$2:$M$4838,10,FALSE)</f>
        <v/>
      </c>
      <c r="K2179" s="17">
        <f>+VLOOKUP($A2179,MAGAZZINO!$B$2:$M$4838,11,FALSE)</f>
        <v/>
      </c>
      <c r="L2179" s="44">
        <f>+VLOOKUP($A2179,MAGAZZINO!$B$2:$M$4838,12,FALSE)</f>
        <v/>
      </c>
    </row>
    <row r="2180" ht="36" customHeight="1">
      <c r="A2180" s="30">
        <f>+REGISTRO!A2163</f>
        <v/>
      </c>
      <c r="B2180" s="31">
        <f>+VLOOKUP($A2180,MAGAZZINO!$B$2:$M$4838,2,FALSE)</f>
        <v/>
      </c>
      <c r="C2180" s="32">
        <f>+VLOOKUP($A2180,MAGAZZINO!$B$2:$M$4838,3,FALSE)</f>
        <v/>
      </c>
      <c r="D2180" s="17">
        <f>+VLOOKUP($A2180,MAGAZZINO!$B$2:$M$4838,4,FALSE)</f>
        <v/>
      </c>
      <c r="E2180" s="17">
        <f>+VLOOKUP($A2180,MAGAZZINO!$B$2:$M$4838,5,FALSE)</f>
        <v/>
      </c>
      <c r="F2180" s="17">
        <f>+VLOOKUP($A2180,MAGAZZINO!$B$2:$M$4838,6,FALSE)</f>
        <v/>
      </c>
      <c r="G2180" s="17">
        <f>+VLOOKUP($A2180,MAGAZZINO!$B$2:$M$4838,7,FALSE)</f>
        <v/>
      </c>
      <c r="H2180" s="17">
        <f>+VLOOKUP($A2180,MAGAZZINO!$B$2:$M$4838,8,FALSE)</f>
        <v/>
      </c>
      <c r="I2180" s="17">
        <f>+VLOOKUP($A2180,MAGAZZINO!$B$2:$M$4838,9,FALSE)</f>
        <v/>
      </c>
      <c r="J2180" s="17">
        <f>+VLOOKUP($A2180,MAGAZZINO!$B$2:$M$4838,10,FALSE)</f>
        <v/>
      </c>
      <c r="K2180" s="17">
        <f>+VLOOKUP($A2180,MAGAZZINO!$B$2:$M$4838,11,FALSE)</f>
        <v/>
      </c>
      <c r="L2180" s="44">
        <f>+VLOOKUP($A2180,MAGAZZINO!$B$2:$M$4838,12,FALSE)</f>
        <v/>
      </c>
    </row>
    <row r="2181" ht="36" customHeight="1">
      <c r="A2181" s="30">
        <f>+REGISTRO!A2164</f>
        <v/>
      </c>
      <c r="B2181" s="31">
        <f>+VLOOKUP($A2181,MAGAZZINO!$B$2:$M$4838,2,FALSE)</f>
        <v/>
      </c>
      <c r="C2181" s="32">
        <f>+VLOOKUP($A2181,MAGAZZINO!$B$2:$M$4838,3,FALSE)</f>
        <v/>
      </c>
      <c r="D2181" s="17">
        <f>+VLOOKUP($A2181,MAGAZZINO!$B$2:$M$4838,4,FALSE)</f>
        <v/>
      </c>
      <c r="E2181" s="17">
        <f>+VLOOKUP($A2181,MAGAZZINO!$B$2:$M$4838,5,FALSE)</f>
        <v/>
      </c>
      <c r="F2181" s="17">
        <f>+VLOOKUP($A2181,MAGAZZINO!$B$2:$M$4838,6,FALSE)</f>
        <v/>
      </c>
      <c r="G2181" s="17">
        <f>+VLOOKUP($A2181,MAGAZZINO!$B$2:$M$4838,7,FALSE)</f>
        <v/>
      </c>
      <c r="H2181" s="17">
        <f>+VLOOKUP($A2181,MAGAZZINO!$B$2:$M$4838,8,FALSE)</f>
        <v/>
      </c>
      <c r="I2181" s="17">
        <f>+VLOOKUP($A2181,MAGAZZINO!$B$2:$M$4838,9,FALSE)</f>
        <v/>
      </c>
      <c r="J2181" s="17">
        <f>+VLOOKUP($A2181,MAGAZZINO!$B$2:$M$4838,10,FALSE)</f>
        <v/>
      </c>
      <c r="K2181" s="17">
        <f>+VLOOKUP($A2181,MAGAZZINO!$B$2:$M$4838,11,FALSE)</f>
        <v/>
      </c>
      <c r="L2181" s="44">
        <f>+VLOOKUP($A2181,MAGAZZINO!$B$2:$M$4838,12,FALSE)</f>
        <v/>
      </c>
    </row>
    <row r="2182" ht="36" customHeight="1">
      <c r="A2182" s="30">
        <f>+REGISTRO!A2165</f>
        <v/>
      </c>
      <c r="B2182" s="31">
        <f>+VLOOKUP($A2182,MAGAZZINO!$B$2:$M$4838,2,FALSE)</f>
        <v/>
      </c>
      <c r="C2182" s="32">
        <f>+VLOOKUP($A2182,MAGAZZINO!$B$2:$M$4838,3,FALSE)</f>
        <v/>
      </c>
      <c r="D2182" s="17">
        <f>+VLOOKUP($A2182,MAGAZZINO!$B$2:$M$4838,4,FALSE)</f>
        <v/>
      </c>
      <c r="E2182" s="17">
        <f>+VLOOKUP($A2182,MAGAZZINO!$B$2:$M$4838,5,FALSE)</f>
        <v/>
      </c>
      <c r="F2182" s="17">
        <f>+VLOOKUP($A2182,MAGAZZINO!$B$2:$M$4838,6,FALSE)</f>
        <v/>
      </c>
      <c r="G2182" s="17">
        <f>+VLOOKUP($A2182,MAGAZZINO!$B$2:$M$4838,7,FALSE)</f>
        <v/>
      </c>
      <c r="H2182" s="17">
        <f>+VLOOKUP($A2182,MAGAZZINO!$B$2:$M$4838,8,FALSE)</f>
        <v/>
      </c>
      <c r="I2182" s="17">
        <f>+VLOOKUP($A2182,MAGAZZINO!$B$2:$M$4838,9,FALSE)</f>
        <v/>
      </c>
      <c r="J2182" s="17">
        <f>+VLOOKUP($A2182,MAGAZZINO!$B$2:$M$4838,10,FALSE)</f>
        <v/>
      </c>
      <c r="K2182" s="17">
        <f>+VLOOKUP($A2182,MAGAZZINO!$B$2:$M$4838,11,FALSE)</f>
        <v/>
      </c>
      <c r="L2182" s="44">
        <f>+VLOOKUP($A2182,MAGAZZINO!$B$2:$M$4838,12,FALSE)</f>
        <v/>
      </c>
    </row>
    <row r="2183" ht="36" customHeight="1">
      <c r="A2183" s="30">
        <f>+REGISTRO!A2166</f>
        <v/>
      </c>
      <c r="B2183" s="31">
        <f>+VLOOKUP($A2183,MAGAZZINO!$B$2:$M$4838,2,FALSE)</f>
        <v/>
      </c>
      <c r="C2183" s="32">
        <f>+VLOOKUP($A2183,MAGAZZINO!$B$2:$M$4838,3,FALSE)</f>
        <v/>
      </c>
      <c r="D2183" s="17">
        <f>+VLOOKUP($A2183,MAGAZZINO!$B$2:$M$4838,4,FALSE)</f>
        <v/>
      </c>
      <c r="E2183" s="17">
        <f>+VLOOKUP($A2183,MAGAZZINO!$B$2:$M$4838,5,FALSE)</f>
        <v/>
      </c>
      <c r="F2183" s="17">
        <f>+VLOOKUP($A2183,MAGAZZINO!$B$2:$M$4838,6,FALSE)</f>
        <v/>
      </c>
      <c r="G2183" s="17">
        <f>+VLOOKUP($A2183,MAGAZZINO!$B$2:$M$4838,7,FALSE)</f>
        <v/>
      </c>
      <c r="H2183" s="17">
        <f>+VLOOKUP($A2183,MAGAZZINO!$B$2:$M$4838,8,FALSE)</f>
        <v/>
      </c>
      <c r="I2183" s="17">
        <f>+VLOOKUP($A2183,MAGAZZINO!$B$2:$M$4838,9,FALSE)</f>
        <v/>
      </c>
      <c r="J2183" s="17">
        <f>+VLOOKUP($A2183,MAGAZZINO!$B$2:$M$4838,10,FALSE)</f>
        <v/>
      </c>
      <c r="K2183" s="17">
        <f>+VLOOKUP($A2183,MAGAZZINO!$B$2:$M$4838,11,FALSE)</f>
        <v/>
      </c>
      <c r="L2183" s="44">
        <f>+VLOOKUP($A2183,MAGAZZINO!$B$2:$M$4838,12,FALSE)</f>
        <v/>
      </c>
    </row>
    <row r="2184" ht="36" customHeight="1">
      <c r="A2184" s="30">
        <f>+REGISTRO!A2167</f>
        <v/>
      </c>
      <c r="B2184" s="31">
        <f>+VLOOKUP($A2184,MAGAZZINO!$B$2:$M$4838,2,FALSE)</f>
        <v/>
      </c>
      <c r="C2184" s="32">
        <f>+VLOOKUP($A2184,MAGAZZINO!$B$2:$M$4838,3,FALSE)</f>
        <v/>
      </c>
      <c r="D2184" s="17">
        <f>+VLOOKUP($A2184,MAGAZZINO!$B$2:$M$4838,4,FALSE)</f>
        <v/>
      </c>
      <c r="E2184" s="17">
        <f>+VLOOKUP($A2184,MAGAZZINO!$B$2:$M$4838,5,FALSE)</f>
        <v/>
      </c>
      <c r="F2184" s="17">
        <f>+VLOOKUP($A2184,MAGAZZINO!$B$2:$M$4838,6,FALSE)</f>
        <v/>
      </c>
      <c r="G2184" s="17">
        <f>+VLOOKUP($A2184,MAGAZZINO!$B$2:$M$4838,7,FALSE)</f>
        <v/>
      </c>
      <c r="H2184" s="17">
        <f>+VLOOKUP($A2184,MAGAZZINO!$B$2:$M$4838,8,FALSE)</f>
        <v/>
      </c>
      <c r="I2184" s="17">
        <f>+VLOOKUP($A2184,MAGAZZINO!$B$2:$M$4838,9,FALSE)</f>
        <v/>
      </c>
      <c r="J2184" s="17">
        <f>+VLOOKUP($A2184,MAGAZZINO!$B$2:$M$4838,10,FALSE)</f>
        <v/>
      </c>
      <c r="K2184" s="17">
        <f>+VLOOKUP($A2184,MAGAZZINO!$B$2:$M$4838,11,FALSE)</f>
        <v/>
      </c>
      <c r="L2184" s="44">
        <f>+VLOOKUP($A2184,MAGAZZINO!$B$2:$M$4838,12,FALSE)</f>
        <v/>
      </c>
    </row>
    <row r="2185" ht="36" customHeight="1">
      <c r="A2185" s="30">
        <f>+REGISTRO!A2168</f>
        <v/>
      </c>
      <c r="B2185" s="31">
        <f>+VLOOKUP($A2185,MAGAZZINO!$B$2:$M$4838,2,FALSE)</f>
        <v/>
      </c>
      <c r="C2185" s="32">
        <f>+VLOOKUP($A2185,MAGAZZINO!$B$2:$M$4838,3,FALSE)</f>
        <v/>
      </c>
      <c r="D2185" s="17">
        <f>+VLOOKUP($A2185,MAGAZZINO!$B$2:$M$4838,4,FALSE)</f>
        <v/>
      </c>
      <c r="E2185" s="17">
        <f>+VLOOKUP($A2185,MAGAZZINO!$B$2:$M$4838,5,FALSE)</f>
        <v/>
      </c>
      <c r="F2185" s="17">
        <f>+VLOOKUP($A2185,MAGAZZINO!$B$2:$M$4838,6,FALSE)</f>
        <v/>
      </c>
      <c r="G2185" s="17">
        <f>+VLOOKUP($A2185,MAGAZZINO!$B$2:$M$4838,7,FALSE)</f>
        <v/>
      </c>
      <c r="H2185" s="17">
        <f>+VLOOKUP($A2185,MAGAZZINO!$B$2:$M$4838,8,FALSE)</f>
        <v/>
      </c>
      <c r="I2185" s="17">
        <f>+VLOOKUP($A2185,MAGAZZINO!$B$2:$M$4838,9,FALSE)</f>
        <v/>
      </c>
      <c r="J2185" s="17">
        <f>+VLOOKUP($A2185,MAGAZZINO!$B$2:$M$4838,10,FALSE)</f>
        <v/>
      </c>
      <c r="K2185" s="17">
        <f>+VLOOKUP($A2185,MAGAZZINO!$B$2:$M$4838,11,FALSE)</f>
        <v/>
      </c>
      <c r="L2185" s="44">
        <f>+VLOOKUP($A2185,MAGAZZINO!$B$2:$M$4838,12,FALSE)</f>
        <v/>
      </c>
    </row>
    <row r="2186" ht="36" customHeight="1">
      <c r="A2186" s="30">
        <f>+REGISTRO!A2169</f>
        <v/>
      </c>
      <c r="B2186" s="31">
        <f>+VLOOKUP($A2186,MAGAZZINO!$B$2:$M$4838,2,FALSE)</f>
        <v/>
      </c>
      <c r="C2186" s="32">
        <f>+VLOOKUP($A2186,MAGAZZINO!$B$2:$M$4838,3,FALSE)</f>
        <v/>
      </c>
      <c r="D2186" s="17">
        <f>+VLOOKUP($A2186,MAGAZZINO!$B$2:$M$4838,4,FALSE)</f>
        <v/>
      </c>
      <c r="E2186" s="17">
        <f>+VLOOKUP($A2186,MAGAZZINO!$B$2:$M$4838,5,FALSE)</f>
        <v/>
      </c>
      <c r="F2186" s="17">
        <f>+VLOOKUP($A2186,MAGAZZINO!$B$2:$M$4838,6,FALSE)</f>
        <v/>
      </c>
      <c r="G2186" s="17">
        <f>+VLOOKUP($A2186,MAGAZZINO!$B$2:$M$4838,7,FALSE)</f>
        <v/>
      </c>
      <c r="H2186" s="17">
        <f>+VLOOKUP($A2186,MAGAZZINO!$B$2:$M$4838,8,FALSE)</f>
        <v/>
      </c>
      <c r="I2186" s="17">
        <f>+VLOOKUP($A2186,MAGAZZINO!$B$2:$M$4838,9,FALSE)</f>
        <v/>
      </c>
      <c r="J2186" s="17">
        <f>+VLOOKUP($A2186,MAGAZZINO!$B$2:$M$4838,10,FALSE)</f>
        <v/>
      </c>
      <c r="K2186" s="17">
        <f>+VLOOKUP($A2186,MAGAZZINO!$B$2:$M$4838,11,FALSE)</f>
        <v/>
      </c>
      <c r="L2186" s="44">
        <f>+VLOOKUP($A2186,MAGAZZINO!$B$2:$M$4838,12,FALSE)</f>
        <v/>
      </c>
    </row>
    <row r="2187" ht="36" customHeight="1">
      <c r="A2187" s="30">
        <f>+REGISTRO!A2170</f>
        <v/>
      </c>
      <c r="B2187" s="31">
        <f>+VLOOKUP($A2187,MAGAZZINO!$B$2:$M$4838,2,FALSE)</f>
        <v/>
      </c>
      <c r="C2187" s="32">
        <f>+VLOOKUP($A2187,MAGAZZINO!$B$2:$M$4838,3,FALSE)</f>
        <v/>
      </c>
      <c r="D2187" s="17">
        <f>+VLOOKUP($A2187,MAGAZZINO!$B$2:$M$4838,4,FALSE)</f>
        <v/>
      </c>
      <c r="E2187" s="17">
        <f>+VLOOKUP($A2187,MAGAZZINO!$B$2:$M$4838,5,FALSE)</f>
        <v/>
      </c>
      <c r="F2187" s="17">
        <f>+VLOOKUP($A2187,MAGAZZINO!$B$2:$M$4838,6,FALSE)</f>
        <v/>
      </c>
      <c r="G2187" s="17">
        <f>+VLOOKUP($A2187,MAGAZZINO!$B$2:$M$4838,7,FALSE)</f>
        <v/>
      </c>
      <c r="H2187" s="17">
        <f>+VLOOKUP($A2187,MAGAZZINO!$B$2:$M$4838,8,FALSE)</f>
        <v/>
      </c>
      <c r="I2187" s="17">
        <f>+VLOOKUP($A2187,MAGAZZINO!$B$2:$M$4838,9,FALSE)</f>
        <v/>
      </c>
      <c r="J2187" s="17">
        <f>+VLOOKUP($A2187,MAGAZZINO!$B$2:$M$4838,10,FALSE)</f>
        <v/>
      </c>
      <c r="K2187" s="17">
        <f>+VLOOKUP($A2187,MAGAZZINO!$B$2:$M$4838,11,FALSE)</f>
        <v/>
      </c>
      <c r="L2187" s="44">
        <f>+VLOOKUP($A2187,MAGAZZINO!$B$2:$M$4838,12,FALSE)</f>
        <v/>
      </c>
    </row>
    <row r="2188" ht="36" customHeight="1">
      <c r="A2188" s="30">
        <f>+REGISTRO!A2171</f>
        <v/>
      </c>
      <c r="B2188" s="31">
        <f>+VLOOKUP($A2188,MAGAZZINO!$B$2:$M$4838,2,FALSE)</f>
        <v/>
      </c>
      <c r="C2188" s="32">
        <f>+VLOOKUP($A2188,MAGAZZINO!$B$2:$M$4838,3,FALSE)</f>
        <v/>
      </c>
      <c r="D2188" s="17">
        <f>+VLOOKUP($A2188,MAGAZZINO!$B$2:$M$4838,4,FALSE)</f>
        <v/>
      </c>
      <c r="E2188" s="17">
        <f>+VLOOKUP($A2188,MAGAZZINO!$B$2:$M$4838,5,FALSE)</f>
        <v/>
      </c>
      <c r="F2188" s="17">
        <f>+VLOOKUP($A2188,MAGAZZINO!$B$2:$M$4838,6,FALSE)</f>
        <v/>
      </c>
      <c r="G2188" s="17">
        <f>+VLOOKUP($A2188,MAGAZZINO!$B$2:$M$4838,7,FALSE)</f>
        <v/>
      </c>
      <c r="H2188" s="17">
        <f>+VLOOKUP($A2188,MAGAZZINO!$B$2:$M$4838,8,FALSE)</f>
        <v/>
      </c>
      <c r="I2188" s="17">
        <f>+VLOOKUP($A2188,MAGAZZINO!$B$2:$M$4838,9,FALSE)</f>
        <v/>
      </c>
      <c r="J2188" s="17">
        <f>+VLOOKUP($A2188,MAGAZZINO!$B$2:$M$4838,10,FALSE)</f>
        <v/>
      </c>
      <c r="K2188" s="17">
        <f>+VLOOKUP($A2188,MAGAZZINO!$B$2:$M$4838,11,FALSE)</f>
        <v/>
      </c>
      <c r="L2188" s="44">
        <f>+VLOOKUP($A2188,MAGAZZINO!$B$2:$M$4838,12,FALSE)</f>
        <v/>
      </c>
    </row>
    <row r="2189" ht="36" customHeight="1">
      <c r="A2189" s="30">
        <f>+REGISTRO!A2172</f>
        <v/>
      </c>
      <c r="B2189" s="31">
        <f>+VLOOKUP($A2189,MAGAZZINO!$B$2:$M$4838,2,FALSE)</f>
        <v/>
      </c>
      <c r="C2189" s="32">
        <f>+VLOOKUP($A2189,MAGAZZINO!$B$2:$M$4838,3,FALSE)</f>
        <v/>
      </c>
      <c r="D2189" s="17">
        <f>+VLOOKUP($A2189,MAGAZZINO!$B$2:$M$4838,4,FALSE)</f>
        <v/>
      </c>
      <c r="E2189" s="17">
        <f>+VLOOKUP($A2189,MAGAZZINO!$B$2:$M$4838,5,FALSE)</f>
        <v/>
      </c>
      <c r="F2189" s="17">
        <f>+VLOOKUP($A2189,MAGAZZINO!$B$2:$M$4838,6,FALSE)</f>
        <v/>
      </c>
      <c r="G2189" s="17">
        <f>+VLOOKUP($A2189,MAGAZZINO!$B$2:$M$4838,7,FALSE)</f>
        <v/>
      </c>
      <c r="H2189" s="17">
        <f>+VLOOKUP($A2189,MAGAZZINO!$B$2:$M$4838,8,FALSE)</f>
        <v/>
      </c>
      <c r="I2189" s="17">
        <f>+VLOOKUP($A2189,MAGAZZINO!$B$2:$M$4838,9,FALSE)</f>
        <v/>
      </c>
      <c r="J2189" s="17">
        <f>+VLOOKUP($A2189,MAGAZZINO!$B$2:$M$4838,10,FALSE)</f>
        <v/>
      </c>
      <c r="K2189" s="17">
        <f>+VLOOKUP($A2189,MAGAZZINO!$B$2:$M$4838,11,FALSE)</f>
        <v/>
      </c>
      <c r="L2189" s="44">
        <f>+VLOOKUP($A2189,MAGAZZINO!$B$2:$M$4838,12,FALSE)</f>
        <v/>
      </c>
    </row>
    <row r="2190" ht="36" customHeight="1">
      <c r="A2190" s="30">
        <f>+REGISTRO!A2173</f>
        <v/>
      </c>
      <c r="B2190" s="31">
        <f>+VLOOKUP($A2190,MAGAZZINO!$B$2:$M$4838,2,FALSE)</f>
        <v/>
      </c>
      <c r="C2190" s="32">
        <f>+VLOOKUP($A2190,MAGAZZINO!$B$2:$M$4838,3,FALSE)</f>
        <v/>
      </c>
      <c r="D2190" s="17">
        <f>+VLOOKUP($A2190,MAGAZZINO!$B$2:$M$4838,4,FALSE)</f>
        <v/>
      </c>
      <c r="E2190" s="17">
        <f>+VLOOKUP($A2190,MAGAZZINO!$B$2:$M$4838,5,FALSE)</f>
        <v/>
      </c>
      <c r="F2190" s="17">
        <f>+VLOOKUP($A2190,MAGAZZINO!$B$2:$M$4838,6,FALSE)</f>
        <v/>
      </c>
      <c r="G2190" s="17">
        <f>+VLOOKUP($A2190,MAGAZZINO!$B$2:$M$4838,7,FALSE)</f>
        <v/>
      </c>
      <c r="H2190" s="17">
        <f>+VLOOKUP($A2190,MAGAZZINO!$B$2:$M$4838,8,FALSE)</f>
        <v/>
      </c>
      <c r="I2190" s="17">
        <f>+VLOOKUP($A2190,MAGAZZINO!$B$2:$M$4838,9,FALSE)</f>
        <v/>
      </c>
      <c r="J2190" s="17">
        <f>+VLOOKUP($A2190,MAGAZZINO!$B$2:$M$4838,10,FALSE)</f>
        <v/>
      </c>
      <c r="K2190" s="17">
        <f>+VLOOKUP($A2190,MAGAZZINO!$B$2:$M$4838,11,FALSE)</f>
        <v/>
      </c>
      <c r="L2190" s="44">
        <f>+VLOOKUP($A2190,MAGAZZINO!$B$2:$M$4838,12,FALSE)</f>
        <v/>
      </c>
    </row>
    <row r="2191" ht="36" customHeight="1">
      <c r="A2191" s="30">
        <f>+REGISTRO!A2174</f>
        <v/>
      </c>
      <c r="B2191" s="31">
        <f>+VLOOKUP($A2191,MAGAZZINO!$B$2:$M$4838,2,FALSE)</f>
        <v/>
      </c>
      <c r="C2191" s="32">
        <f>+VLOOKUP($A2191,MAGAZZINO!$B$2:$M$4838,3,FALSE)</f>
        <v/>
      </c>
      <c r="D2191" s="17">
        <f>+VLOOKUP($A2191,MAGAZZINO!$B$2:$M$4838,4,FALSE)</f>
        <v/>
      </c>
      <c r="E2191" s="17">
        <f>+VLOOKUP($A2191,MAGAZZINO!$B$2:$M$4838,5,FALSE)</f>
        <v/>
      </c>
      <c r="F2191" s="17">
        <f>+VLOOKUP($A2191,MAGAZZINO!$B$2:$M$4838,6,FALSE)</f>
        <v/>
      </c>
      <c r="G2191" s="17">
        <f>+VLOOKUP($A2191,MAGAZZINO!$B$2:$M$4838,7,FALSE)</f>
        <v/>
      </c>
      <c r="H2191" s="17">
        <f>+VLOOKUP($A2191,MAGAZZINO!$B$2:$M$4838,8,FALSE)</f>
        <v/>
      </c>
      <c r="I2191" s="17">
        <f>+VLOOKUP($A2191,MAGAZZINO!$B$2:$M$4838,9,FALSE)</f>
        <v/>
      </c>
      <c r="J2191" s="17">
        <f>+VLOOKUP($A2191,MAGAZZINO!$B$2:$M$4838,10,FALSE)</f>
        <v/>
      </c>
      <c r="K2191" s="17">
        <f>+VLOOKUP($A2191,MAGAZZINO!$B$2:$M$4838,11,FALSE)</f>
        <v/>
      </c>
      <c r="L2191" s="44">
        <f>+VLOOKUP($A2191,MAGAZZINO!$B$2:$M$4838,12,FALSE)</f>
        <v/>
      </c>
    </row>
    <row r="2192" ht="36" customHeight="1">
      <c r="A2192" s="30">
        <f>+REGISTRO!A2175</f>
        <v/>
      </c>
      <c r="B2192" s="31">
        <f>+VLOOKUP($A2192,MAGAZZINO!$B$2:$M$4838,2,FALSE)</f>
        <v/>
      </c>
      <c r="C2192" s="32">
        <f>+VLOOKUP($A2192,MAGAZZINO!$B$2:$M$4838,3,FALSE)</f>
        <v/>
      </c>
      <c r="D2192" s="17">
        <f>+VLOOKUP($A2192,MAGAZZINO!$B$2:$M$4838,4,FALSE)</f>
        <v/>
      </c>
      <c r="E2192" s="17">
        <f>+VLOOKUP($A2192,MAGAZZINO!$B$2:$M$4838,5,FALSE)</f>
        <v/>
      </c>
      <c r="F2192" s="17">
        <f>+VLOOKUP($A2192,MAGAZZINO!$B$2:$M$4838,6,FALSE)</f>
        <v/>
      </c>
      <c r="G2192" s="17">
        <f>+VLOOKUP($A2192,MAGAZZINO!$B$2:$M$4838,7,FALSE)</f>
        <v/>
      </c>
      <c r="H2192" s="17">
        <f>+VLOOKUP($A2192,MAGAZZINO!$B$2:$M$4838,8,FALSE)</f>
        <v/>
      </c>
      <c r="I2192" s="17">
        <f>+VLOOKUP($A2192,MAGAZZINO!$B$2:$M$4838,9,FALSE)</f>
        <v/>
      </c>
      <c r="J2192" s="17">
        <f>+VLOOKUP($A2192,MAGAZZINO!$B$2:$M$4838,10,FALSE)</f>
        <v/>
      </c>
      <c r="K2192" s="17">
        <f>+VLOOKUP($A2192,MAGAZZINO!$B$2:$M$4838,11,FALSE)</f>
        <v/>
      </c>
      <c r="L2192" s="44">
        <f>+VLOOKUP($A2192,MAGAZZINO!$B$2:$M$4838,12,FALSE)</f>
        <v/>
      </c>
    </row>
    <row r="2193" ht="36" customHeight="1">
      <c r="A2193" s="30">
        <f>+REGISTRO!A2176</f>
        <v/>
      </c>
      <c r="B2193" s="31">
        <f>+VLOOKUP($A2193,MAGAZZINO!$B$2:$M$4838,2,FALSE)</f>
        <v/>
      </c>
      <c r="C2193" s="32">
        <f>+VLOOKUP($A2193,MAGAZZINO!$B$2:$M$4838,3,FALSE)</f>
        <v/>
      </c>
      <c r="D2193" s="17">
        <f>+VLOOKUP($A2193,MAGAZZINO!$B$2:$M$4838,4,FALSE)</f>
        <v/>
      </c>
      <c r="E2193" s="17">
        <f>+VLOOKUP($A2193,MAGAZZINO!$B$2:$M$4838,5,FALSE)</f>
        <v/>
      </c>
      <c r="F2193" s="17">
        <f>+VLOOKUP($A2193,MAGAZZINO!$B$2:$M$4838,6,FALSE)</f>
        <v/>
      </c>
      <c r="G2193" s="17">
        <f>+VLOOKUP($A2193,MAGAZZINO!$B$2:$M$4838,7,FALSE)</f>
        <v/>
      </c>
      <c r="H2193" s="17">
        <f>+VLOOKUP($A2193,MAGAZZINO!$B$2:$M$4838,8,FALSE)</f>
        <v/>
      </c>
      <c r="I2193" s="17">
        <f>+VLOOKUP($A2193,MAGAZZINO!$B$2:$M$4838,9,FALSE)</f>
        <v/>
      </c>
      <c r="J2193" s="17">
        <f>+VLOOKUP($A2193,MAGAZZINO!$B$2:$M$4838,10,FALSE)</f>
        <v/>
      </c>
      <c r="K2193" s="17">
        <f>+VLOOKUP($A2193,MAGAZZINO!$B$2:$M$4838,11,FALSE)</f>
        <v/>
      </c>
      <c r="L2193" s="44">
        <f>+VLOOKUP($A2193,MAGAZZINO!$B$2:$M$4838,12,FALSE)</f>
        <v/>
      </c>
    </row>
    <row r="2194" ht="36" customHeight="1">
      <c r="A2194" s="30">
        <f>+REGISTRO!A2177</f>
        <v/>
      </c>
      <c r="B2194" s="31">
        <f>+VLOOKUP($A2194,MAGAZZINO!$B$2:$M$4838,2,FALSE)</f>
        <v/>
      </c>
      <c r="C2194" s="32">
        <f>+VLOOKUP($A2194,MAGAZZINO!$B$2:$M$4838,3,FALSE)</f>
        <v/>
      </c>
      <c r="D2194" s="17">
        <f>+VLOOKUP($A2194,MAGAZZINO!$B$2:$M$4838,4,FALSE)</f>
        <v/>
      </c>
      <c r="E2194" s="17">
        <f>+VLOOKUP($A2194,MAGAZZINO!$B$2:$M$4838,5,FALSE)</f>
        <v/>
      </c>
      <c r="F2194" s="17">
        <f>+VLOOKUP($A2194,MAGAZZINO!$B$2:$M$4838,6,FALSE)</f>
        <v/>
      </c>
      <c r="G2194" s="17">
        <f>+VLOOKUP($A2194,MAGAZZINO!$B$2:$M$4838,7,FALSE)</f>
        <v/>
      </c>
      <c r="H2194" s="17">
        <f>+VLOOKUP($A2194,MAGAZZINO!$B$2:$M$4838,8,FALSE)</f>
        <v/>
      </c>
      <c r="I2194" s="17">
        <f>+VLOOKUP($A2194,MAGAZZINO!$B$2:$M$4838,9,FALSE)</f>
        <v/>
      </c>
      <c r="J2194" s="17">
        <f>+VLOOKUP($A2194,MAGAZZINO!$B$2:$M$4838,10,FALSE)</f>
        <v/>
      </c>
      <c r="K2194" s="17">
        <f>+VLOOKUP($A2194,MAGAZZINO!$B$2:$M$4838,11,FALSE)</f>
        <v/>
      </c>
      <c r="L2194" s="44">
        <f>+VLOOKUP($A2194,MAGAZZINO!$B$2:$M$4838,12,FALSE)</f>
        <v/>
      </c>
    </row>
    <row r="2195" ht="36" customHeight="1">
      <c r="A2195" s="30">
        <f>+REGISTRO!A2178</f>
        <v/>
      </c>
      <c r="B2195" s="31">
        <f>+VLOOKUP($A2195,MAGAZZINO!$B$2:$M$4838,2,FALSE)</f>
        <v/>
      </c>
      <c r="C2195" s="32">
        <f>+VLOOKUP($A2195,MAGAZZINO!$B$2:$M$4838,3,FALSE)</f>
        <v/>
      </c>
      <c r="D2195" s="17">
        <f>+VLOOKUP($A2195,MAGAZZINO!$B$2:$M$4838,4,FALSE)</f>
        <v/>
      </c>
      <c r="E2195" s="17">
        <f>+VLOOKUP($A2195,MAGAZZINO!$B$2:$M$4838,5,FALSE)</f>
        <v/>
      </c>
      <c r="F2195" s="17">
        <f>+VLOOKUP($A2195,MAGAZZINO!$B$2:$M$4838,6,FALSE)</f>
        <v/>
      </c>
      <c r="G2195" s="17">
        <f>+VLOOKUP($A2195,MAGAZZINO!$B$2:$M$4838,7,FALSE)</f>
        <v/>
      </c>
      <c r="H2195" s="17">
        <f>+VLOOKUP($A2195,MAGAZZINO!$B$2:$M$4838,8,FALSE)</f>
        <v/>
      </c>
      <c r="I2195" s="17">
        <f>+VLOOKUP($A2195,MAGAZZINO!$B$2:$M$4838,9,FALSE)</f>
        <v/>
      </c>
      <c r="J2195" s="17">
        <f>+VLOOKUP($A2195,MAGAZZINO!$B$2:$M$4838,10,FALSE)</f>
        <v/>
      </c>
      <c r="K2195" s="17">
        <f>+VLOOKUP($A2195,MAGAZZINO!$B$2:$M$4838,11,FALSE)</f>
        <v/>
      </c>
      <c r="L2195" s="44">
        <f>+VLOOKUP($A2195,MAGAZZINO!$B$2:$M$4838,12,FALSE)</f>
        <v/>
      </c>
    </row>
    <row r="2196" ht="36" customHeight="1">
      <c r="A2196" s="30">
        <f>+REGISTRO!A2179</f>
        <v/>
      </c>
      <c r="B2196" s="31">
        <f>+VLOOKUP($A2196,MAGAZZINO!$B$2:$M$4838,2,FALSE)</f>
        <v/>
      </c>
      <c r="C2196" s="32">
        <f>+VLOOKUP($A2196,MAGAZZINO!$B$2:$M$4838,3,FALSE)</f>
        <v/>
      </c>
      <c r="D2196" s="17">
        <f>+VLOOKUP($A2196,MAGAZZINO!$B$2:$M$4838,4,FALSE)</f>
        <v/>
      </c>
      <c r="E2196" s="17">
        <f>+VLOOKUP($A2196,MAGAZZINO!$B$2:$M$4838,5,FALSE)</f>
        <v/>
      </c>
      <c r="F2196" s="17">
        <f>+VLOOKUP($A2196,MAGAZZINO!$B$2:$M$4838,6,FALSE)</f>
        <v/>
      </c>
      <c r="G2196" s="17">
        <f>+VLOOKUP($A2196,MAGAZZINO!$B$2:$M$4838,7,FALSE)</f>
        <v/>
      </c>
      <c r="H2196" s="17">
        <f>+VLOOKUP($A2196,MAGAZZINO!$B$2:$M$4838,8,FALSE)</f>
        <v/>
      </c>
      <c r="I2196" s="17">
        <f>+VLOOKUP($A2196,MAGAZZINO!$B$2:$M$4838,9,FALSE)</f>
        <v/>
      </c>
      <c r="J2196" s="17">
        <f>+VLOOKUP($A2196,MAGAZZINO!$B$2:$M$4838,10,FALSE)</f>
        <v/>
      </c>
      <c r="K2196" s="17">
        <f>+VLOOKUP($A2196,MAGAZZINO!$B$2:$M$4838,11,FALSE)</f>
        <v/>
      </c>
      <c r="L2196" s="44">
        <f>+VLOOKUP($A2196,MAGAZZINO!$B$2:$M$4838,12,FALSE)</f>
        <v/>
      </c>
    </row>
    <row r="2197" ht="36" customHeight="1">
      <c r="A2197" s="30">
        <f>+REGISTRO!A2180</f>
        <v/>
      </c>
      <c r="B2197" s="31">
        <f>+VLOOKUP($A2197,MAGAZZINO!$B$2:$M$4838,2,FALSE)</f>
        <v/>
      </c>
      <c r="C2197" s="32">
        <f>+VLOOKUP($A2197,MAGAZZINO!$B$2:$M$4838,3,FALSE)</f>
        <v/>
      </c>
      <c r="D2197" s="17">
        <f>+VLOOKUP($A2197,MAGAZZINO!$B$2:$M$4838,4,FALSE)</f>
        <v/>
      </c>
      <c r="E2197" s="17">
        <f>+VLOOKUP($A2197,MAGAZZINO!$B$2:$M$4838,5,FALSE)</f>
        <v/>
      </c>
      <c r="F2197" s="17">
        <f>+VLOOKUP($A2197,MAGAZZINO!$B$2:$M$4838,6,FALSE)</f>
        <v/>
      </c>
      <c r="G2197" s="17">
        <f>+VLOOKUP($A2197,MAGAZZINO!$B$2:$M$4838,7,FALSE)</f>
        <v/>
      </c>
      <c r="H2197" s="17">
        <f>+VLOOKUP($A2197,MAGAZZINO!$B$2:$M$4838,8,FALSE)</f>
        <v/>
      </c>
      <c r="I2197" s="17">
        <f>+VLOOKUP($A2197,MAGAZZINO!$B$2:$M$4838,9,FALSE)</f>
        <v/>
      </c>
      <c r="J2197" s="17">
        <f>+VLOOKUP($A2197,MAGAZZINO!$B$2:$M$4838,10,FALSE)</f>
        <v/>
      </c>
      <c r="K2197" s="17">
        <f>+VLOOKUP($A2197,MAGAZZINO!$B$2:$M$4838,11,FALSE)</f>
        <v/>
      </c>
      <c r="L2197" s="44">
        <f>+VLOOKUP($A2197,MAGAZZINO!$B$2:$M$4838,12,FALSE)</f>
        <v/>
      </c>
    </row>
    <row r="2198" ht="36" customHeight="1">
      <c r="A2198" s="30">
        <f>+REGISTRO!A2181</f>
        <v/>
      </c>
      <c r="B2198" s="31">
        <f>+VLOOKUP($A2198,MAGAZZINO!$B$2:$M$4838,2,FALSE)</f>
        <v/>
      </c>
      <c r="C2198" s="32">
        <f>+VLOOKUP($A2198,MAGAZZINO!$B$2:$M$4838,3,FALSE)</f>
        <v/>
      </c>
      <c r="D2198" s="17">
        <f>+VLOOKUP($A2198,MAGAZZINO!$B$2:$M$4838,4,FALSE)</f>
        <v/>
      </c>
      <c r="E2198" s="17">
        <f>+VLOOKUP($A2198,MAGAZZINO!$B$2:$M$4838,5,FALSE)</f>
        <v/>
      </c>
      <c r="F2198" s="17">
        <f>+VLOOKUP($A2198,MAGAZZINO!$B$2:$M$4838,6,FALSE)</f>
        <v/>
      </c>
      <c r="G2198" s="17">
        <f>+VLOOKUP($A2198,MAGAZZINO!$B$2:$M$4838,7,FALSE)</f>
        <v/>
      </c>
      <c r="H2198" s="17">
        <f>+VLOOKUP($A2198,MAGAZZINO!$B$2:$M$4838,8,FALSE)</f>
        <v/>
      </c>
      <c r="I2198" s="17">
        <f>+VLOOKUP($A2198,MAGAZZINO!$B$2:$M$4838,9,FALSE)</f>
        <v/>
      </c>
      <c r="J2198" s="17">
        <f>+VLOOKUP($A2198,MAGAZZINO!$B$2:$M$4838,10,FALSE)</f>
        <v/>
      </c>
      <c r="K2198" s="17">
        <f>+VLOOKUP($A2198,MAGAZZINO!$B$2:$M$4838,11,FALSE)</f>
        <v/>
      </c>
      <c r="L2198" s="44">
        <f>+VLOOKUP($A2198,MAGAZZINO!$B$2:$M$4838,12,FALSE)</f>
        <v/>
      </c>
    </row>
    <row r="2199" ht="36" customHeight="1">
      <c r="A2199" s="30">
        <f>+REGISTRO!A2182</f>
        <v/>
      </c>
      <c r="B2199" s="31">
        <f>+VLOOKUP($A2199,MAGAZZINO!$B$2:$M$4838,2,FALSE)</f>
        <v/>
      </c>
      <c r="C2199" s="32">
        <f>+VLOOKUP($A2199,MAGAZZINO!$B$2:$M$4838,3,FALSE)</f>
        <v/>
      </c>
      <c r="D2199" s="17">
        <f>+VLOOKUP($A2199,MAGAZZINO!$B$2:$M$4838,4,FALSE)</f>
        <v/>
      </c>
      <c r="E2199" s="17">
        <f>+VLOOKUP($A2199,MAGAZZINO!$B$2:$M$4838,5,FALSE)</f>
        <v/>
      </c>
      <c r="F2199" s="17">
        <f>+VLOOKUP($A2199,MAGAZZINO!$B$2:$M$4838,6,FALSE)</f>
        <v/>
      </c>
      <c r="G2199" s="17">
        <f>+VLOOKUP($A2199,MAGAZZINO!$B$2:$M$4838,7,FALSE)</f>
        <v/>
      </c>
      <c r="H2199" s="17">
        <f>+VLOOKUP($A2199,MAGAZZINO!$B$2:$M$4838,8,FALSE)</f>
        <v/>
      </c>
      <c r="I2199" s="17">
        <f>+VLOOKUP($A2199,MAGAZZINO!$B$2:$M$4838,9,FALSE)</f>
        <v/>
      </c>
      <c r="J2199" s="17">
        <f>+VLOOKUP($A2199,MAGAZZINO!$B$2:$M$4838,10,FALSE)</f>
        <v/>
      </c>
      <c r="K2199" s="17">
        <f>+VLOOKUP($A2199,MAGAZZINO!$B$2:$M$4838,11,FALSE)</f>
        <v/>
      </c>
      <c r="L2199" s="44">
        <f>+VLOOKUP($A2199,MAGAZZINO!$B$2:$M$4838,12,FALSE)</f>
        <v/>
      </c>
    </row>
    <row r="2200" ht="36" customHeight="1">
      <c r="A2200" s="30">
        <f>+REGISTRO!A2183</f>
        <v/>
      </c>
      <c r="B2200" s="31">
        <f>+VLOOKUP($A2200,MAGAZZINO!$B$2:$M$4838,2,FALSE)</f>
        <v/>
      </c>
      <c r="C2200" s="32">
        <f>+VLOOKUP($A2200,MAGAZZINO!$B$2:$M$4838,3,FALSE)</f>
        <v/>
      </c>
      <c r="D2200" s="17">
        <f>+VLOOKUP($A2200,MAGAZZINO!$B$2:$M$4838,4,FALSE)</f>
        <v/>
      </c>
      <c r="E2200" s="17">
        <f>+VLOOKUP($A2200,MAGAZZINO!$B$2:$M$4838,5,FALSE)</f>
        <v/>
      </c>
      <c r="F2200" s="17">
        <f>+VLOOKUP($A2200,MAGAZZINO!$B$2:$M$4838,6,FALSE)</f>
        <v/>
      </c>
      <c r="G2200" s="17">
        <f>+VLOOKUP($A2200,MAGAZZINO!$B$2:$M$4838,7,FALSE)</f>
        <v/>
      </c>
      <c r="H2200" s="17">
        <f>+VLOOKUP($A2200,MAGAZZINO!$B$2:$M$4838,8,FALSE)</f>
        <v/>
      </c>
      <c r="I2200" s="17">
        <f>+VLOOKUP($A2200,MAGAZZINO!$B$2:$M$4838,9,FALSE)</f>
        <v/>
      </c>
      <c r="J2200" s="17">
        <f>+VLOOKUP($A2200,MAGAZZINO!$B$2:$M$4838,10,FALSE)</f>
        <v/>
      </c>
      <c r="K2200" s="17">
        <f>+VLOOKUP($A2200,MAGAZZINO!$B$2:$M$4838,11,FALSE)</f>
        <v/>
      </c>
      <c r="L2200" s="44">
        <f>+VLOOKUP($A2200,MAGAZZINO!$B$2:$M$4838,12,FALSE)</f>
        <v/>
      </c>
    </row>
    <row r="2201" ht="36" customHeight="1">
      <c r="A2201" s="30">
        <f>+REGISTRO!A2184</f>
        <v/>
      </c>
      <c r="B2201" s="31">
        <f>+VLOOKUP($A2201,MAGAZZINO!$B$2:$M$4838,2,FALSE)</f>
        <v/>
      </c>
      <c r="C2201" s="32">
        <f>+VLOOKUP($A2201,MAGAZZINO!$B$2:$M$4838,3,FALSE)</f>
        <v/>
      </c>
      <c r="D2201" s="17">
        <f>+VLOOKUP($A2201,MAGAZZINO!$B$2:$M$4838,4,FALSE)</f>
        <v/>
      </c>
      <c r="E2201" s="17">
        <f>+VLOOKUP($A2201,MAGAZZINO!$B$2:$M$4838,5,FALSE)</f>
        <v/>
      </c>
      <c r="F2201" s="17">
        <f>+VLOOKUP($A2201,MAGAZZINO!$B$2:$M$4838,6,FALSE)</f>
        <v/>
      </c>
      <c r="G2201" s="17">
        <f>+VLOOKUP($A2201,MAGAZZINO!$B$2:$M$4838,7,FALSE)</f>
        <v/>
      </c>
      <c r="H2201" s="17">
        <f>+VLOOKUP($A2201,MAGAZZINO!$B$2:$M$4838,8,FALSE)</f>
        <v/>
      </c>
      <c r="I2201" s="17">
        <f>+VLOOKUP($A2201,MAGAZZINO!$B$2:$M$4838,9,FALSE)</f>
        <v/>
      </c>
      <c r="J2201" s="17">
        <f>+VLOOKUP($A2201,MAGAZZINO!$B$2:$M$4838,10,FALSE)</f>
        <v/>
      </c>
      <c r="K2201" s="17">
        <f>+VLOOKUP($A2201,MAGAZZINO!$B$2:$M$4838,11,FALSE)</f>
        <v/>
      </c>
      <c r="L2201" s="44">
        <f>+VLOOKUP($A2201,MAGAZZINO!$B$2:$M$4838,12,FALSE)</f>
        <v/>
      </c>
    </row>
    <row r="2202" ht="36" customHeight="1">
      <c r="A2202" s="30">
        <f>+REGISTRO!A2185</f>
        <v/>
      </c>
      <c r="B2202" s="31">
        <f>+VLOOKUP($A2202,MAGAZZINO!$B$2:$M$4838,2,FALSE)</f>
        <v/>
      </c>
      <c r="C2202" s="32">
        <f>+VLOOKUP($A2202,MAGAZZINO!$B$2:$M$4838,3,FALSE)</f>
        <v/>
      </c>
      <c r="D2202" s="17">
        <f>+VLOOKUP($A2202,MAGAZZINO!$B$2:$M$4838,4,FALSE)</f>
        <v/>
      </c>
      <c r="E2202" s="17">
        <f>+VLOOKUP($A2202,MAGAZZINO!$B$2:$M$4838,5,FALSE)</f>
        <v/>
      </c>
      <c r="F2202" s="17">
        <f>+VLOOKUP($A2202,MAGAZZINO!$B$2:$M$4838,6,FALSE)</f>
        <v/>
      </c>
      <c r="G2202" s="17">
        <f>+VLOOKUP($A2202,MAGAZZINO!$B$2:$M$4838,7,FALSE)</f>
        <v/>
      </c>
      <c r="H2202" s="17">
        <f>+VLOOKUP($A2202,MAGAZZINO!$B$2:$M$4838,8,FALSE)</f>
        <v/>
      </c>
      <c r="I2202" s="17">
        <f>+VLOOKUP($A2202,MAGAZZINO!$B$2:$M$4838,9,FALSE)</f>
        <v/>
      </c>
      <c r="J2202" s="17">
        <f>+VLOOKUP($A2202,MAGAZZINO!$B$2:$M$4838,10,FALSE)</f>
        <v/>
      </c>
      <c r="K2202" s="17">
        <f>+VLOOKUP($A2202,MAGAZZINO!$B$2:$M$4838,11,FALSE)</f>
        <v/>
      </c>
      <c r="L2202" s="44">
        <f>+VLOOKUP($A2202,MAGAZZINO!$B$2:$M$4838,12,FALSE)</f>
        <v/>
      </c>
    </row>
    <row r="2203" ht="36" customHeight="1">
      <c r="A2203" s="30">
        <f>+REGISTRO!A2186</f>
        <v/>
      </c>
      <c r="B2203" s="31">
        <f>+VLOOKUP($A2203,MAGAZZINO!$B$2:$M$4838,2,FALSE)</f>
        <v/>
      </c>
      <c r="C2203" s="32">
        <f>+VLOOKUP($A2203,MAGAZZINO!$B$2:$M$4838,3,FALSE)</f>
        <v/>
      </c>
      <c r="D2203" s="17">
        <f>+VLOOKUP($A2203,MAGAZZINO!$B$2:$M$4838,4,FALSE)</f>
        <v/>
      </c>
      <c r="E2203" s="17">
        <f>+VLOOKUP($A2203,MAGAZZINO!$B$2:$M$4838,5,FALSE)</f>
        <v/>
      </c>
      <c r="F2203" s="17">
        <f>+VLOOKUP($A2203,MAGAZZINO!$B$2:$M$4838,6,FALSE)</f>
        <v/>
      </c>
      <c r="G2203" s="17">
        <f>+VLOOKUP($A2203,MAGAZZINO!$B$2:$M$4838,7,FALSE)</f>
        <v/>
      </c>
      <c r="H2203" s="17">
        <f>+VLOOKUP($A2203,MAGAZZINO!$B$2:$M$4838,8,FALSE)</f>
        <v/>
      </c>
      <c r="I2203" s="17">
        <f>+VLOOKUP($A2203,MAGAZZINO!$B$2:$M$4838,9,FALSE)</f>
        <v/>
      </c>
      <c r="J2203" s="17">
        <f>+VLOOKUP($A2203,MAGAZZINO!$B$2:$M$4838,10,FALSE)</f>
        <v/>
      </c>
      <c r="K2203" s="17">
        <f>+VLOOKUP($A2203,MAGAZZINO!$B$2:$M$4838,11,FALSE)</f>
        <v/>
      </c>
      <c r="L2203" s="44">
        <f>+VLOOKUP($A2203,MAGAZZINO!$B$2:$M$4838,12,FALSE)</f>
        <v/>
      </c>
    </row>
    <row r="2204" ht="36" customHeight="1">
      <c r="A2204" s="30">
        <f>+REGISTRO!A2187</f>
        <v/>
      </c>
      <c r="B2204" s="31">
        <f>+VLOOKUP($A2204,MAGAZZINO!$B$2:$M$4838,2,FALSE)</f>
        <v/>
      </c>
      <c r="C2204" s="32">
        <f>+VLOOKUP($A2204,MAGAZZINO!$B$2:$M$4838,3,FALSE)</f>
        <v/>
      </c>
      <c r="D2204" s="17">
        <f>+VLOOKUP($A2204,MAGAZZINO!$B$2:$M$4838,4,FALSE)</f>
        <v/>
      </c>
      <c r="E2204" s="17">
        <f>+VLOOKUP($A2204,MAGAZZINO!$B$2:$M$4838,5,FALSE)</f>
        <v/>
      </c>
      <c r="F2204" s="17">
        <f>+VLOOKUP($A2204,MAGAZZINO!$B$2:$M$4838,6,FALSE)</f>
        <v/>
      </c>
      <c r="G2204" s="17">
        <f>+VLOOKUP($A2204,MAGAZZINO!$B$2:$M$4838,7,FALSE)</f>
        <v/>
      </c>
      <c r="H2204" s="17">
        <f>+VLOOKUP($A2204,MAGAZZINO!$B$2:$M$4838,8,FALSE)</f>
        <v/>
      </c>
      <c r="I2204" s="17">
        <f>+VLOOKUP($A2204,MAGAZZINO!$B$2:$M$4838,9,FALSE)</f>
        <v/>
      </c>
      <c r="J2204" s="17">
        <f>+VLOOKUP($A2204,MAGAZZINO!$B$2:$M$4838,10,FALSE)</f>
        <v/>
      </c>
      <c r="K2204" s="17">
        <f>+VLOOKUP($A2204,MAGAZZINO!$B$2:$M$4838,11,FALSE)</f>
        <v/>
      </c>
      <c r="L2204" s="44">
        <f>+VLOOKUP($A2204,MAGAZZINO!$B$2:$M$4838,12,FALSE)</f>
        <v/>
      </c>
    </row>
    <row r="2205" ht="36" customHeight="1">
      <c r="A2205" s="30">
        <f>+REGISTRO!A2188</f>
        <v/>
      </c>
      <c r="B2205" s="31">
        <f>+VLOOKUP($A2205,MAGAZZINO!$B$2:$M$4838,2,FALSE)</f>
        <v/>
      </c>
      <c r="C2205" s="32">
        <f>+VLOOKUP($A2205,MAGAZZINO!$B$2:$M$4838,3,FALSE)</f>
        <v/>
      </c>
      <c r="D2205" s="17">
        <f>+VLOOKUP($A2205,MAGAZZINO!$B$2:$M$4838,4,FALSE)</f>
        <v/>
      </c>
      <c r="E2205" s="17">
        <f>+VLOOKUP($A2205,MAGAZZINO!$B$2:$M$4838,5,FALSE)</f>
        <v/>
      </c>
      <c r="F2205" s="17">
        <f>+VLOOKUP($A2205,MAGAZZINO!$B$2:$M$4838,6,FALSE)</f>
        <v/>
      </c>
      <c r="G2205" s="17">
        <f>+VLOOKUP($A2205,MAGAZZINO!$B$2:$M$4838,7,FALSE)</f>
        <v/>
      </c>
      <c r="H2205" s="17">
        <f>+VLOOKUP($A2205,MAGAZZINO!$B$2:$M$4838,8,FALSE)</f>
        <v/>
      </c>
      <c r="I2205" s="17">
        <f>+VLOOKUP($A2205,MAGAZZINO!$B$2:$M$4838,9,FALSE)</f>
        <v/>
      </c>
      <c r="J2205" s="17">
        <f>+VLOOKUP($A2205,MAGAZZINO!$B$2:$M$4838,10,FALSE)</f>
        <v/>
      </c>
      <c r="K2205" s="17">
        <f>+VLOOKUP($A2205,MAGAZZINO!$B$2:$M$4838,11,FALSE)</f>
        <v/>
      </c>
      <c r="L2205" s="44">
        <f>+VLOOKUP($A2205,MAGAZZINO!$B$2:$M$4838,12,FALSE)</f>
        <v/>
      </c>
    </row>
    <row r="2206" ht="36" customHeight="1">
      <c r="A2206" s="30">
        <f>+REGISTRO!A2189</f>
        <v/>
      </c>
      <c r="B2206" s="31">
        <f>+VLOOKUP($A2206,MAGAZZINO!$B$2:$M$4838,2,FALSE)</f>
        <v/>
      </c>
      <c r="C2206" s="32">
        <f>+VLOOKUP($A2206,MAGAZZINO!$B$2:$M$4838,3,FALSE)</f>
        <v/>
      </c>
      <c r="D2206" s="17">
        <f>+VLOOKUP($A2206,MAGAZZINO!$B$2:$M$4838,4,FALSE)</f>
        <v/>
      </c>
      <c r="E2206" s="17">
        <f>+VLOOKUP($A2206,MAGAZZINO!$B$2:$M$4838,5,FALSE)</f>
        <v/>
      </c>
      <c r="F2206" s="17">
        <f>+VLOOKUP($A2206,MAGAZZINO!$B$2:$M$4838,6,FALSE)</f>
        <v/>
      </c>
      <c r="G2206" s="17">
        <f>+VLOOKUP($A2206,MAGAZZINO!$B$2:$M$4838,7,FALSE)</f>
        <v/>
      </c>
      <c r="H2206" s="17">
        <f>+VLOOKUP($A2206,MAGAZZINO!$B$2:$M$4838,8,FALSE)</f>
        <v/>
      </c>
      <c r="I2206" s="17">
        <f>+VLOOKUP($A2206,MAGAZZINO!$B$2:$M$4838,9,FALSE)</f>
        <v/>
      </c>
      <c r="J2206" s="17">
        <f>+VLOOKUP($A2206,MAGAZZINO!$B$2:$M$4838,10,FALSE)</f>
        <v/>
      </c>
      <c r="K2206" s="17">
        <f>+VLOOKUP($A2206,MAGAZZINO!$B$2:$M$4838,11,FALSE)</f>
        <v/>
      </c>
      <c r="L2206" s="44">
        <f>+VLOOKUP($A2206,MAGAZZINO!$B$2:$M$4838,12,FALSE)</f>
        <v/>
      </c>
    </row>
    <row r="2207" ht="36" customHeight="1">
      <c r="A2207" s="30">
        <f>+REGISTRO!A2190</f>
        <v/>
      </c>
      <c r="B2207" s="31">
        <f>+VLOOKUP($A2207,MAGAZZINO!$B$2:$M$4838,2,FALSE)</f>
        <v/>
      </c>
      <c r="C2207" s="32">
        <f>+VLOOKUP($A2207,MAGAZZINO!$B$2:$M$4838,3,FALSE)</f>
        <v/>
      </c>
      <c r="D2207" s="17">
        <f>+VLOOKUP($A2207,MAGAZZINO!$B$2:$M$4838,4,FALSE)</f>
        <v/>
      </c>
      <c r="E2207" s="17">
        <f>+VLOOKUP($A2207,MAGAZZINO!$B$2:$M$4838,5,FALSE)</f>
        <v/>
      </c>
      <c r="F2207" s="17">
        <f>+VLOOKUP($A2207,MAGAZZINO!$B$2:$M$4838,6,FALSE)</f>
        <v/>
      </c>
      <c r="G2207" s="17">
        <f>+VLOOKUP($A2207,MAGAZZINO!$B$2:$M$4838,7,FALSE)</f>
        <v/>
      </c>
      <c r="H2207" s="17">
        <f>+VLOOKUP($A2207,MAGAZZINO!$B$2:$M$4838,8,FALSE)</f>
        <v/>
      </c>
      <c r="I2207" s="17">
        <f>+VLOOKUP($A2207,MAGAZZINO!$B$2:$M$4838,9,FALSE)</f>
        <v/>
      </c>
      <c r="J2207" s="17">
        <f>+VLOOKUP($A2207,MAGAZZINO!$B$2:$M$4838,10,FALSE)</f>
        <v/>
      </c>
      <c r="K2207" s="17">
        <f>+VLOOKUP($A2207,MAGAZZINO!$B$2:$M$4838,11,FALSE)</f>
        <v/>
      </c>
      <c r="L2207" s="44">
        <f>+VLOOKUP($A2207,MAGAZZINO!$B$2:$M$4838,12,FALSE)</f>
        <v/>
      </c>
    </row>
    <row r="2208" ht="36" customHeight="1">
      <c r="A2208" s="30">
        <f>+REGISTRO!A2191</f>
        <v/>
      </c>
      <c r="B2208" s="31">
        <f>+VLOOKUP($A2208,MAGAZZINO!$B$2:$M$4838,2,FALSE)</f>
        <v/>
      </c>
      <c r="C2208" s="32">
        <f>+VLOOKUP($A2208,MAGAZZINO!$B$2:$M$4838,3,FALSE)</f>
        <v/>
      </c>
      <c r="D2208" s="17">
        <f>+VLOOKUP($A2208,MAGAZZINO!$B$2:$M$4838,4,FALSE)</f>
        <v/>
      </c>
      <c r="E2208" s="17">
        <f>+VLOOKUP($A2208,MAGAZZINO!$B$2:$M$4838,5,FALSE)</f>
        <v/>
      </c>
      <c r="F2208" s="17">
        <f>+VLOOKUP($A2208,MAGAZZINO!$B$2:$M$4838,6,FALSE)</f>
        <v/>
      </c>
      <c r="G2208" s="17">
        <f>+VLOOKUP($A2208,MAGAZZINO!$B$2:$M$4838,7,FALSE)</f>
        <v/>
      </c>
      <c r="H2208" s="17">
        <f>+VLOOKUP($A2208,MAGAZZINO!$B$2:$M$4838,8,FALSE)</f>
        <v/>
      </c>
      <c r="I2208" s="17">
        <f>+VLOOKUP($A2208,MAGAZZINO!$B$2:$M$4838,9,FALSE)</f>
        <v/>
      </c>
      <c r="J2208" s="17">
        <f>+VLOOKUP($A2208,MAGAZZINO!$B$2:$M$4838,10,FALSE)</f>
        <v/>
      </c>
      <c r="K2208" s="17">
        <f>+VLOOKUP($A2208,MAGAZZINO!$B$2:$M$4838,11,FALSE)</f>
        <v/>
      </c>
      <c r="L2208" s="44">
        <f>+VLOOKUP($A2208,MAGAZZINO!$B$2:$M$4838,12,FALSE)</f>
        <v/>
      </c>
    </row>
    <row r="2209" ht="36" customHeight="1">
      <c r="A2209" s="30">
        <f>+REGISTRO!A2192</f>
        <v/>
      </c>
      <c r="B2209" s="31">
        <f>+VLOOKUP($A2209,MAGAZZINO!$B$2:$M$4838,2,FALSE)</f>
        <v/>
      </c>
      <c r="C2209" s="32">
        <f>+VLOOKUP($A2209,MAGAZZINO!$B$2:$M$4838,3,FALSE)</f>
        <v/>
      </c>
      <c r="D2209" s="17">
        <f>+VLOOKUP($A2209,MAGAZZINO!$B$2:$M$4838,4,FALSE)</f>
        <v/>
      </c>
      <c r="E2209" s="17">
        <f>+VLOOKUP($A2209,MAGAZZINO!$B$2:$M$4838,5,FALSE)</f>
        <v/>
      </c>
      <c r="F2209" s="17">
        <f>+VLOOKUP($A2209,MAGAZZINO!$B$2:$M$4838,6,FALSE)</f>
        <v/>
      </c>
      <c r="G2209" s="17">
        <f>+VLOOKUP($A2209,MAGAZZINO!$B$2:$M$4838,7,FALSE)</f>
        <v/>
      </c>
      <c r="H2209" s="17">
        <f>+VLOOKUP($A2209,MAGAZZINO!$B$2:$M$4838,8,FALSE)</f>
        <v/>
      </c>
      <c r="I2209" s="17">
        <f>+VLOOKUP($A2209,MAGAZZINO!$B$2:$M$4838,9,FALSE)</f>
        <v/>
      </c>
      <c r="J2209" s="17">
        <f>+VLOOKUP($A2209,MAGAZZINO!$B$2:$M$4838,10,FALSE)</f>
        <v/>
      </c>
      <c r="K2209" s="17">
        <f>+VLOOKUP($A2209,MAGAZZINO!$B$2:$M$4838,11,FALSE)</f>
        <v/>
      </c>
      <c r="L2209" s="44">
        <f>+VLOOKUP($A2209,MAGAZZINO!$B$2:$M$4838,12,FALSE)</f>
        <v/>
      </c>
    </row>
    <row r="2210" ht="36" customHeight="1">
      <c r="A2210" s="30">
        <f>+REGISTRO!A2193</f>
        <v/>
      </c>
      <c r="B2210" s="31">
        <f>+VLOOKUP($A2210,MAGAZZINO!$B$2:$M$4838,2,FALSE)</f>
        <v/>
      </c>
      <c r="C2210" s="32">
        <f>+VLOOKUP($A2210,MAGAZZINO!$B$2:$M$4838,3,FALSE)</f>
        <v/>
      </c>
      <c r="D2210" s="17">
        <f>+VLOOKUP($A2210,MAGAZZINO!$B$2:$M$4838,4,FALSE)</f>
        <v/>
      </c>
      <c r="E2210" s="17">
        <f>+VLOOKUP($A2210,MAGAZZINO!$B$2:$M$4838,5,FALSE)</f>
        <v/>
      </c>
      <c r="F2210" s="17">
        <f>+VLOOKUP($A2210,MAGAZZINO!$B$2:$M$4838,6,FALSE)</f>
        <v/>
      </c>
      <c r="G2210" s="17">
        <f>+VLOOKUP($A2210,MAGAZZINO!$B$2:$M$4838,7,FALSE)</f>
        <v/>
      </c>
      <c r="H2210" s="17">
        <f>+VLOOKUP($A2210,MAGAZZINO!$B$2:$M$4838,8,FALSE)</f>
        <v/>
      </c>
      <c r="I2210" s="17">
        <f>+VLOOKUP($A2210,MAGAZZINO!$B$2:$M$4838,9,FALSE)</f>
        <v/>
      </c>
      <c r="J2210" s="17">
        <f>+VLOOKUP($A2210,MAGAZZINO!$B$2:$M$4838,10,FALSE)</f>
        <v/>
      </c>
      <c r="K2210" s="17">
        <f>+VLOOKUP($A2210,MAGAZZINO!$B$2:$M$4838,11,FALSE)</f>
        <v/>
      </c>
      <c r="L2210" s="44">
        <f>+VLOOKUP($A2210,MAGAZZINO!$B$2:$M$4838,12,FALSE)</f>
        <v/>
      </c>
    </row>
    <row r="2211" ht="36" customHeight="1">
      <c r="A2211" s="30">
        <f>+REGISTRO!A2194</f>
        <v/>
      </c>
      <c r="B2211" s="31">
        <f>+VLOOKUP($A2211,MAGAZZINO!$B$2:$M$4838,2,FALSE)</f>
        <v/>
      </c>
      <c r="C2211" s="32">
        <f>+VLOOKUP($A2211,MAGAZZINO!$B$2:$M$4838,3,FALSE)</f>
        <v/>
      </c>
      <c r="D2211" s="17">
        <f>+VLOOKUP($A2211,MAGAZZINO!$B$2:$M$4838,4,FALSE)</f>
        <v/>
      </c>
      <c r="E2211" s="17">
        <f>+VLOOKUP($A2211,MAGAZZINO!$B$2:$M$4838,5,FALSE)</f>
        <v/>
      </c>
      <c r="F2211" s="17">
        <f>+VLOOKUP($A2211,MAGAZZINO!$B$2:$M$4838,6,FALSE)</f>
        <v/>
      </c>
      <c r="G2211" s="17">
        <f>+VLOOKUP($A2211,MAGAZZINO!$B$2:$M$4838,7,FALSE)</f>
        <v/>
      </c>
      <c r="H2211" s="17">
        <f>+VLOOKUP($A2211,MAGAZZINO!$B$2:$M$4838,8,FALSE)</f>
        <v/>
      </c>
      <c r="I2211" s="17">
        <f>+VLOOKUP($A2211,MAGAZZINO!$B$2:$M$4838,9,FALSE)</f>
        <v/>
      </c>
      <c r="J2211" s="17">
        <f>+VLOOKUP($A2211,MAGAZZINO!$B$2:$M$4838,10,FALSE)</f>
        <v/>
      </c>
      <c r="K2211" s="17">
        <f>+VLOOKUP($A2211,MAGAZZINO!$B$2:$M$4838,11,FALSE)</f>
        <v/>
      </c>
      <c r="L2211" s="44">
        <f>+VLOOKUP($A2211,MAGAZZINO!$B$2:$M$4838,12,FALSE)</f>
        <v/>
      </c>
    </row>
    <row r="2212" ht="36" customHeight="1">
      <c r="A2212" s="30">
        <f>+REGISTRO!A2195</f>
        <v/>
      </c>
      <c r="B2212" s="31">
        <f>+VLOOKUP($A2212,MAGAZZINO!$B$2:$M$4838,2,FALSE)</f>
        <v/>
      </c>
      <c r="C2212" s="32">
        <f>+VLOOKUP($A2212,MAGAZZINO!$B$2:$M$4838,3,FALSE)</f>
        <v/>
      </c>
      <c r="D2212" s="17">
        <f>+VLOOKUP($A2212,MAGAZZINO!$B$2:$M$4838,4,FALSE)</f>
        <v/>
      </c>
      <c r="E2212" s="17">
        <f>+VLOOKUP($A2212,MAGAZZINO!$B$2:$M$4838,5,FALSE)</f>
        <v/>
      </c>
      <c r="F2212" s="17">
        <f>+VLOOKUP($A2212,MAGAZZINO!$B$2:$M$4838,6,FALSE)</f>
        <v/>
      </c>
      <c r="G2212" s="17">
        <f>+VLOOKUP($A2212,MAGAZZINO!$B$2:$M$4838,7,FALSE)</f>
        <v/>
      </c>
      <c r="H2212" s="17">
        <f>+VLOOKUP($A2212,MAGAZZINO!$B$2:$M$4838,8,FALSE)</f>
        <v/>
      </c>
      <c r="I2212" s="17">
        <f>+VLOOKUP($A2212,MAGAZZINO!$B$2:$M$4838,9,FALSE)</f>
        <v/>
      </c>
      <c r="J2212" s="17">
        <f>+VLOOKUP($A2212,MAGAZZINO!$B$2:$M$4838,10,FALSE)</f>
        <v/>
      </c>
      <c r="K2212" s="17">
        <f>+VLOOKUP($A2212,MAGAZZINO!$B$2:$M$4838,11,FALSE)</f>
        <v/>
      </c>
      <c r="L2212" s="44">
        <f>+VLOOKUP($A2212,MAGAZZINO!$B$2:$M$4838,12,FALSE)</f>
        <v/>
      </c>
    </row>
    <row r="2213" ht="36" customHeight="1">
      <c r="A2213" s="30">
        <f>+REGISTRO!A2196</f>
        <v/>
      </c>
      <c r="B2213" s="31">
        <f>+VLOOKUP($A2213,MAGAZZINO!$B$2:$M$4838,2,FALSE)</f>
        <v/>
      </c>
      <c r="C2213" s="32">
        <f>+VLOOKUP($A2213,MAGAZZINO!$B$2:$M$4838,3,FALSE)</f>
        <v/>
      </c>
      <c r="D2213" s="17">
        <f>+VLOOKUP($A2213,MAGAZZINO!$B$2:$M$4838,4,FALSE)</f>
        <v/>
      </c>
      <c r="E2213" s="17">
        <f>+VLOOKUP($A2213,MAGAZZINO!$B$2:$M$4838,5,FALSE)</f>
        <v/>
      </c>
      <c r="F2213" s="17">
        <f>+VLOOKUP($A2213,MAGAZZINO!$B$2:$M$4838,6,FALSE)</f>
        <v/>
      </c>
      <c r="G2213" s="17">
        <f>+VLOOKUP($A2213,MAGAZZINO!$B$2:$M$4838,7,FALSE)</f>
        <v/>
      </c>
      <c r="H2213" s="17">
        <f>+VLOOKUP($A2213,MAGAZZINO!$B$2:$M$4838,8,FALSE)</f>
        <v/>
      </c>
      <c r="I2213" s="17">
        <f>+VLOOKUP($A2213,MAGAZZINO!$B$2:$M$4838,9,FALSE)</f>
        <v/>
      </c>
      <c r="J2213" s="17">
        <f>+VLOOKUP($A2213,MAGAZZINO!$B$2:$M$4838,10,FALSE)</f>
        <v/>
      </c>
      <c r="K2213" s="17">
        <f>+VLOOKUP($A2213,MAGAZZINO!$B$2:$M$4838,11,FALSE)</f>
        <v/>
      </c>
      <c r="L2213" s="44">
        <f>+VLOOKUP($A2213,MAGAZZINO!$B$2:$M$4838,12,FALSE)</f>
        <v/>
      </c>
    </row>
    <row r="2214" ht="36" customHeight="1">
      <c r="A2214" s="30">
        <f>+REGISTRO!A2197</f>
        <v/>
      </c>
      <c r="B2214" s="31">
        <f>+VLOOKUP($A2214,MAGAZZINO!$B$2:$M$4838,2,FALSE)</f>
        <v/>
      </c>
      <c r="C2214" s="32">
        <f>+VLOOKUP($A2214,MAGAZZINO!$B$2:$M$4838,3,FALSE)</f>
        <v/>
      </c>
      <c r="D2214" s="17">
        <f>+VLOOKUP($A2214,MAGAZZINO!$B$2:$M$4838,4,FALSE)</f>
        <v/>
      </c>
      <c r="E2214" s="17">
        <f>+VLOOKUP($A2214,MAGAZZINO!$B$2:$M$4838,5,FALSE)</f>
        <v/>
      </c>
      <c r="F2214" s="17">
        <f>+VLOOKUP($A2214,MAGAZZINO!$B$2:$M$4838,6,FALSE)</f>
        <v/>
      </c>
      <c r="G2214" s="17">
        <f>+VLOOKUP($A2214,MAGAZZINO!$B$2:$M$4838,7,FALSE)</f>
        <v/>
      </c>
      <c r="H2214" s="17">
        <f>+VLOOKUP($A2214,MAGAZZINO!$B$2:$M$4838,8,FALSE)</f>
        <v/>
      </c>
      <c r="I2214" s="17">
        <f>+VLOOKUP($A2214,MAGAZZINO!$B$2:$M$4838,9,FALSE)</f>
        <v/>
      </c>
      <c r="J2214" s="17">
        <f>+VLOOKUP($A2214,MAGAZZINO!$B$2:$M$4838,10,FALSE)</f>
        <v/>
      </c>
      <c r="K2214" s="17">
        <f>+VLOOKUP($A2214,MAGAZZINO!$B$2:$M$4838,11,FALSE)</f>
        <v/>
      </c>
      <c r="L2214" s="44">
        <f>+VLOOKUP($A2214,MAGAZZINO!$B$2:$M$4838,12,FALSE)</f>
        <v/>
      </c>
    </row>
    <row r="2215" ht="36" customHeight="1">
      <c r="A2215" s="30">
        <f>+REGISTRO!A2198</f>
        <v/>
      </c>
      <c r="B2215" s="31">
        <f>+VLOOKUP($A2215,MAGAZZINO!$B$2:$M$4838,2,FALSE)</f>
        <v/>
      </c>
      <c r="C2215" s="32">
        <f>+VLOOKUP($A2215,MAGAZZINO!$B$2:$M$4838,3,FALSE)</f>
        <v/>
      </c>
      <c r="D2215" s="17">
        <f>+VLOOKUP($A2215,MAGAZZINO!$B$2:$M$4838,4,FALSE)</f>
        <v/>
      </c>
      <c r="E2215" s="17">
        <f>+VLOOKUP($A2215,MAGAZZINO!$B$2:$M$4838,5,FALSE)</f>
        <v/>
      </c>
      <c r="F2215" s="17">
        <f>+VLOOKUP($A2215,MAGAZZINO!$B$2:$M$4838,6,FALSE)</f>
        <v/>
      </c>
      <c r="G2215" s="17">
        <f>+VLOOKUP($A2215,MAGAZZINO!$B$2:$M$4838,7,FALSE)</f>
        <v/>
      </c>
      <c r="H2215" s="17">
        <f>+VLOOKUP($A2215,MAGAZZINO!$B$2:$M$4838,8,FALSE)</f>
        <v/>
      </c>
      <c r="I2215" s="17">
        <f>+VLOOKUP($A2215,MAGAZZINO!$B$2:$M$4838,9,FALSE)</f>
        <v/>
      </c>
      <c r="J2215" s="17">
        <f>+VLOOKUP($A2215,MAGAZZINO!$B$2:$M$4838,10,FALSE)</f>
        <v/>
      </c>
      <c r="K2215" s="17">
        <f>+VLOOKUP($A2215,MAGAZZINO!$B$2:$M$4838,11,FALSE)</f>
        <v/>
      </c>
      <c r="L2215" s="44">
        <f>+VLOOKUP($A2215,MAGAZZINO!$B$2:$M$4838,12,FALSE)</f>
        <v/>
      </c>
    </row>
    <row r="2216" ht="36" customHeight="1">
      <c r="A2216" s="30">
        <f>+REGISTRO!A2199</f>
        <v/>
      </c>
      <c r="B2216" s="31">
        <f>+VLOOKUP($A2216,MAGAZZINO!$B$2:$M$4838,2,FALSE)</f>
        <v/>
      </c>
      <c r="C2216" s="32">
        <f>+VLOOKUP($A2216,MAGAZZINO!$B$2:$M$4838,3,FALSE)</f>
        <v/>
      </c>
      <c r="D2216" s="17">
        <f>+VLOOKUP($A2216,MAGAZZINO!$B$2:$M$4838,4,FALSE)</f>
        <v/>
      </c>
      <c r="E2216" s="17">
        <f>+VLOOKUP($A2216,MAGAZZINO!$B$2:$M$4838,5,FALSE)</f>
        <v/>
      </c>
      <c r="F2216" s="17">
        <f>+VLOOKUP($A2216,MAGAZZINO!$B$2:$M$4838,6,FALSE)</f>
        <v/>
      </c>
      <c r="G2216" s="17">
        <f>+VLOOKUP($A2216,MAGAZZINO!$B$2:$M$4838,7,FALSE)</f>
        <v/>
      </c>
      <c r="H2216" s="17">
        <f>+VLOOKUP($A2216,MAGAZZINO!$B$2:$M$4838,8,FALSE)</f>
        <v/>
      </c>
      <c r="I2216" s="17">
        <f>+VLOOKUP($A2216,MAGAZZINO!$B$2:$M$4838,9,FALSE)</f>
        <v/>
      </c>
      <c r="J2216" s="17">
        <f>+VLOOKUP($A2216,MAGAZZINO!$B$2:$M$4838,10,FALSE)</f>
        <v/>
      </c>
      <c r="K2216" s="17">
        <f>+VLOOKUP($A2216,MAGAZZINO!$B$2:$M$4838,11,FALSE)</f>
        <v/>
      </c>
      <c r="L2216" s="44">
        <f>+VLOOKUP($A2216,MAGAZZINO!$B$2:$M$4838,12,FALSE)</f>
        <v/>
      </c>
    </row>
    <row r="2217" ht="36" customHeight="1">
      <c r="A2217" s="30">
        <f>+REGISTRO!A2200</f>
        <v/>
      </c>
      <c r="B2217" s="31">
        <f>+VLOOKUP($A2217,MAGAZZINO!$B$2:$M$4838,2,FALSE)</f>
        <v/>
      </c>
      <c r="C2217" s="32">
        <f>+VLOOKUP($A2217,MAGAZZINO!$B$2:$M$4838,3,FALSE)</f>
        <v/>
      </c>
      <c r="D2217" s="17">
        <f>+VLOOKUP($A2217,MAGAZZINO!$B$2:$M$4838,4,FALSE)</f>
        <v/>
      </c>
      <c r="E2217" s="17">
        <f>+VLOOKUP($A2217,MAGAZZINO!$B$2:$M$4838,5,FALSE)</f>
        <v/>
      </c>
      <c r="F2217" s="17">
        <f>+VLOOKUP($A2217,MAGAZZINO!$B$2:$M$4838,6,FALSE)</f>
        <v/>
      </c>
      <c r="G2217" s="17">
        <f>+VLOOKUP($A2217,MAGAZZINO!$B$2:$M$4838,7,FALSE)</f>
        <v/>
      </c>
      <c r="H2217" s="17">
        <f>+VLOOKUP($A2217,MAGAZZINO!$B$2:$M$4838,8,FALSE)</f>
        <v/>
      </c>
      <c r="I2217" s="17">
        <f>+VLOOKUP($A2217,MAGAZZINO!$B$2:$M$4838,9,FALSE)</f>
        <v/>
      </c>
      <c r="J2217" s="17">
        <f>+VLOOKUP($A2217,MAGAZZINO!$B$2:$M$4838,10,FALSE)</f>
        <v/>
      </c>
      <c r="K2217" s="17">
        <f>+VLOOKUP($A2217,MAGAZZINO!$B$2:$M$4838,11,FALSE)</f>
        <v/>
      </c>
      <c r="L2217" s="44">
        <f>+VLOOKUP($A2217,MAGAZZINO!$B$2:$M$4838,12,FALSE)</f>
        <v/>
      </c>
    </row>
    <row r="2218" ht="36" customHeight="1">
      <c r="A2218" s="30">
        <f>+REGISTRO!A2201</f>
        <v/>
      </c>
      <c r="B2218" s="31">
        <f>+VLOOKUP($A2218,MAGAZZINO!$B$2:$M$4838,2,FALSE)</f>
        <v/>
      </c>
      <c r="C2218" s="32">
        <f>+VLOOKUP($A2218,MAGAZZINO!$B$2:$M$4838,3,FALSE)</f>
        <v/>
      </c>
      <c r="D2218" s="17">
        <f>+VLOOKUP($A2218,MAGAZZINO!$B$2:$M$4838,4,FALSE)</f>
        <v/>
      </c>
      <c r="E2218" s="17">
        <f>+VLOOKUP($A2218,MAGAZZINO!$B$2:$M$4838,5,FALSE)</f>
        <v/>
      </c>
      <c r="F2218" s="17">
        <f>+VLOOKUP($A2218,MAGAZZINO!$B$2:$M$4838,6,FALSE)</f>
        <v/>
      </c>
      <c r="G2218" s="17">
        <f>+VLOOKUP($A2218,MAGAZZINO!$B$2:$M$4838,7,FALSE)</f>
        <v/>
      </c>
      <c r="H2218" s="17">
        <f>+VLOOKUP($A2218,MAGAZZINO!$B$2:$M$4838,8,FALSE)</f>
        <v/>
      </c>
      <c r="I2218" s="17">
        <f>+VLOOKUP($A2218,MAGAZZINO!$B$2:$M$4838,9,FALSE)</f>
        <v/>
      </c>
      <c r="J2218" s="17">
        <f>+VLOOKUP($A2218,MAGAZZINO!$B$2:$M$4838,10,FALSE)</f>
        <v/>
      </c>
      <c r="K2218" s="17">
        <f>+VLOOKUP($A2218,MAGAZZINO!$B$2:$M$4838,11,FALSE)</f>
        <v/>
      </c>
      <c r="L2218" s="44">
        <f>+VLOOKUP($A2218,MAGAZZINO!$B$2:$M$4838,12,FALSE)</f>
        <v/>
      </c>
    </row>
    <row r="2219" ht="36" customHeight="1">
      <c r="A2219" s="30">
        <f>+REGISTRO!A2202</f>
        <v/>
      </c>
      <c r="B2219" s="31">
        <f>+VLOOKUP($A2219,MAGAZZINO!$B$2:$M$4838,2,FALSE)</f>
        <v/>
      </c>
      <c r="C2219" s="32">
        <f>+VLOOKUP($A2219,MAGAZZINO!$B$2:$M$4838,3,FALSE)</f>
        <v/>
      </c>
      <c r="D2219" s="17">
        <f>+VLOOKUP($A2219,MAGAZZINO!$B$2:$M$4838,4,FALSE)</f>
        <v/>
      </c>
      <c r="E2219" s="17">
        <f>+VLOOKUP($A2219,MAGAZZINO!$B$2:$M$4838,5,FALSE)</f>
        <v/>
      </c>
      <c r="F2219" s="17">
        <f>+VLOOKUP($A2219,MAGAZZINO!$B$2:$M$4838,6,FALSE)</f>
        <v/>
      </c>
      <c r="G2219" s="17">
        <f>+VLOOKUP($A2219,MAGAZZINO!$B$2:$M$4838,7,FALSE)</f>
        <v/>
      </c>
      <c r="H2219" s="17">
        <f>+VLOOKUP($A2219,MAGAZZINO!$B$2:$M$4838,8,FALSE)</f>
        <v/>
      </c>
      <c r="I2219" s="17">
        <f>+VLOOKUP($A2219,MAGAZZINO!$B$2:$M$4838,9,FALSE)</f>
        <v/>
      </c>
      <c r="J2219" s="17">
        <f>+VLOOKUP($A2219,MAGAZZINO!$B$2:$M$4838,10,FALSE)</f>
        <v/>
      </c>
      <c r="K2219" s="17">
        <f>+VLOOKUP($A2219,MAGAZZINO!$B$2:$M$4838,11,FALSE)</f>
        <v/>
      </c>
      <c r="L2219" s="44">
        <f>+VLOOKUP($A2219,MAGAZZINO!$B$2:$M$4838,12,FALSE)</f>
        <v/>
      </c>
    </row>
    <row r="2220" ht="36" customHeight="1">
      <c r="A2220" s="30">
        <f>+REGISTRO!A2203</f>
        <v/>
      </c>
      <c r="B2220" s="31">
        <f>+VLOOKUP($A2220,MAGAZZINO!$B$2:$M$4838,2,FALSE)</f>
        <v/>
      </c>
      <c r="C2220" s="32">
        <f>+VLOOKUP($A2220,MAGAZZINO!$B$2:$M$4838,3,FALSE)</f>
        <v/>
      </c>
      <c r="D2220" s="17">
        <f>+VLOOKUP($A2220,MAGAZZINO!$B$2:$M$4838,4,FALSE)</f>
        <v/>
      </c>
      <c r="E2220" s="17">
        <f>+VLOOKUP($A2220,MAGAZZINO!$B$2:$M$4838,5,FALSE)</f>
        <v/>
      </c>
      <c r="F2220" s="17">
        <f>+VLOOKUP($A2220,MAGAZZINO!$B$2:$M$4838,6,FALSE)</f>
        <v/>
      </c>
      <c r="G2220" s="17">
        <f>+VLOOKUP($A2220,MAGAZZINO!$B$2:$M$4838,7,FALSE)</f>
        <v/>
      </c>
      <c r="H2220" s="17">
        <f>+VLOOKUP($A2220,MAGAZZINO!$B$2:$M$4838,8,FALSE)</f>
        <v/>
      </c>
      <c r="I2220" s="17">
        <f>+VLOOKUP($A2220,MAGAZZINO!$B$2:$M$4838,9,FALSE)</f>
        <v/>
      </c>
      <c r="J2220" s="17">
        <f>+VLOOKUP($A2220,MAGAZZINO!$B$2:$M$4838,10,FALSE)</f>
        <v/>
      </c>
      <c r="K2220" s="17">
        <f>+VLOOKUP($A2220,MAGAZZINO!$B$2:$M$4838,11,FALSE)</f>
        <v/>
      </c>
      <c r="L2220" s="44">
        <f>+VLOOKUP($A2220,MAGAZZINO!$B$2:$M$4838,12,FALSE)</f>
        <v/>
      </c>
    </row>
    <row r="2221" ht="36" customHeight="1">
      <c r="A2221" s="30">
        <f>+REGISTRO!A2204</f>
        <v/>
      </c>
      <c r="B2221" s="31">
        <f>+VLOOKUP($A2221,MAGAZZINO!$B$2:$M$4838,2,FALSE)</f>
        <v/>
      </c>
      <c r="C2221" s="32">
        <f>+VLOOKUP($A2221,MAGAZZINO!$B$2:$M$4838,3,FALSE)</f>
        <v/>
      </c>
      <c r="D2221" s="17">
        <f>+VLOOKUP($A2221,MAGAZZINO!$B$2:$M$4838,4,FALSE)</f>
        <v/>
      </c>
      <c r="E2221" s="17">
        <f>+VLOOKUP($A2221,MAGAZZINO!$B$2:$M$4838,5,FALSE)</f>
        <v/>
      </c>
      <c r="F2221" s="17">
        <f>+VLOOKUP($A2221,MAGAZZINO!$B$2:$M$4838,6,FALSE)</f>
        <v/>
      </c>
      <c r="G2221" s="17">
        <f>+VLOOKUP($A2221,MAGAZZINO!$B$2:$M$4838,7,FALSE)</f>
        <v/>
      </c>
      <c r="H2221" s="17">
        <f>+VLOOKUP($A2221,MAGAZZINO!$B$2:$M$4838,8,FALSE)</f>
        <v/>
      </c>
      <c r="I2221" s="17">
        <f>+VLOOKUP($A2221,MAGAZZINO!$B$2:$M$4838,9,FALSE)</f>
        <v/>
      </c>
      <c r="J2221" s="17">
        <f>+VLOOKUP($A2221,MAGAZZINO!$B$2:$M$4838,10,FALSE)</f>
        <v/>
      </c>
      <c r="K2221" s="17">
        <f>+VLOOKUP($A2221,MAGAZZINO!$B$2:$M$4838,11,FALSE)</f>
        <v/>
      </c>
      <c r="L2221" s="44">
        <f>+VLOOKUP($A2221,MAGAZZINO!$B$2:$M$4838,12,FALSE)</f>
        <v/>
      </c>
    </row>
    <row r="2222" ht="36" customHeight="1">
      <c r="A2222" s="30">
        <f>+REGISTRO!A2205</f>
        <v/>
      </c>
      <c r="B2222" s="31">
        <f>+VLOOKUP($A2222,MAGAZZINO!$B$2:$M$4838,2,FALSE)</f>
        <v/>
      </c>
      <c r="C2222" s="32">
        <f>+VLOOKUP($A2222,MAGAZZINO!$B$2:$M$4838,3,FALSE)</f>
        <v/>
      </c>
      <c r="D2222" s="17">
        <f>+VLOOKUP($A2222,MAGAZZINO!$B$2:$M$4838,4,FALSE)</f>
        <v/>
      </c>
      <c r="E2222" s="17">
        <f>+VLOOKUP($A2222,MAGAZZINO!$B$2:$M$4838,5,FALSE)</f>
        <v/>
      </c>
      <c r="F2222" s="17">
        <f>+VLOOKUP($A2222,MAGAZZINO!$B$2:$M$4838,6,FALSE)</f>
        <v/>
      </c>
      <c r="G2222" s="17">
        <f>+VLOOKUP($A2222,MAGAZZINO!$B$2:$M$4838,7,FALSE)</f>
        <v/>
      </c>
      <c r="H2222" s="17">
        <f>+VLOOKUP($A2222,MAGAZZINO!$B$2:$M$4838,8,FALSE)</f>
        <v/>
      </c>
      <c r="I2222" s="17">
        <f>+VLOOKUP($A2222,MAGAZZINO!$B$2:$M$4838,9,FALSE)</f>
        <v/>
      </c>
      <c r="J2222" s="17">
        <f>+VLOOKUP($A2222,MAGAZZINO!$B$2:$M$4838,10,FALSE)</f>
        <v/>
      </c>
      <c r="K2222" s="17">
        <f>+VLOOKUP($A2222,MAGAZZINO!$B$2:$M$4838,11,FALSE)</f>
        <v/>
      </c>
      <c r="L2222" s="44">
        <f>+VLOOKUP($A2222,MAGAZZINO!$B$2:$M$4838,12,FALSE)</f>
        <v/>
      </c>
    </row>
    <row r="2223" ht="36" customHeight="1">
      <c r="A2223" s="30">
        <f>+REGISTRO!A2206</f>
        <v/>
      </c>
      <c r="B2223" s="31">
        <f>+VLOOKUP($A2223,MAGAZZINO!$B$2:$M$4838,2,FALSE)</f>
        <v/>
      </c>
      <c r="C2223" s="32">
        <f>+VLOOKUP($A2223,MAGAZZINO!$B$2:$M$4838,3,FALSE)</f>
        <v/>
      </c>
      <c r="D2223" s="17">
        <f>+VLOOKUP($A2223,MAGAZZINO!$B$2:$M$4838,4,FALSE)</f>
        <v/>
      </c>
      <c r="E2223" s="17">
        <f>+VLOOKUP($A2223,MAGAZZINO!$B$2:$M$4838,5,FALSE)</f>
        <v/>
      </c>
      <c r="F2223" s="17">
        <f>+VLOOKUP($A2223,MAGAZZINO!$B$2:$M$4838,6,FALSE)</f>
        <v/>
      </c>
      <c r="G2223" s="17">
        <f>+VLOOKUP($A2223,MAGAZZINO!$B$2:$M$4838,7,FALSE)</f>
        <v/>
      </c>
      <c r="H2223" s="17">
        <f>+VLOOKUP($A2223,MAGAZZINO!$B$2:$M$4838,8,FALSE)</f>
        <v/>
      </c>
      <c r="I2223" s="17">
        <f>+VLOOKUP($A2223,MAGAZZINO!$B$2:$M$4838,9,FALSE)</f>
        <v/>
      </c>
      <c r="J2223" s="17">
        <f>+VLOOKUP($A2223,MAGAZZINO!$B$2:$M$4838,10,FALSE)</f>
        <v/>
      </c>
      <c r="K2223" s="17">
        <f>+VLOOKUP($A2223,MAGAZZINO!$B$2:$M$4838,11,FALSE)</f>
        <v/>
      </c>
      <c r="L2223" s="44">
        <f>+VLOOKUP($A2223,MAGAZZINO!$B$2:$M$4838,12,FALSE)</f>
        <v/>
      </c>
    </row>
    <row r="2224" ht="36" customHeight="1">
      <c r="A2224" s="30">
        <f>+REGISTRO!A2207</f>
        <v/>
      </c>
      <c r="B2224" s="31">
        <f>+VLOOKUP($A2224,MAGAZZINO!$B$2:$M$4838,2,FALSE)</f>
        <v/>
      </c>
      <c r="C2224" s="32">
        <f>+VLOOKUP($A2224,MAGAZZINO!$B$2:$M$4838,3,FALSE)</f>
        <v/>
      </c>
      <c r="D2224" s="17">
        <f>+VLOOKUP($A2224,MAGAZZINO!$B$2:$M$4838,4,FALSE)</f>
        <v/>
      </c>
      <c r="E2224" s="17">
        <f>+VLOOKUP($A2224,MAGAZZINO!$B$2:$M$4838,5,FALSE)</f>
        <v/>
      </c>
      <c r="F2224" s="17">
        <f>+VLOOKUP($A2224,MAGAZZINO!$B$2:$M$4838,6,FALSE)</f>
        <v/>
      </c>
      <c r="G2224" s="17">
        <f>+VLOOKUP($A2224,MAGAZZINO!$B$2:$M$4838,7,FALSE)</f>
        <v/>
      </c>
      <c r="H2224" s="17">
        <f>+VLOOKUP($A2224,MAGAZZINO!$B$2:$M$4838,8,FALSE)</f>
        <v/>
      </c>
      <c r="I2224" s="17">
        <f>+VLOOKUP($A2224,MAGAZZINO!$B$2:$M$4838,9,FALSE)</f>
        <v/>
      </c>
      <c r="J2224" s="17">
        <f>+VLOOKUP($A2224,MAGAZZINO!$B$2:$M$4838,10,FALSE)</f>
        <v/>
      </c>
      <c r="K2224" s="17">
        <f>+VLOOKUP($A2224,MAGAZZINO!$B$2:$M$4838,11,FALSE)</f>
        <v/>
      </c>
      <c r="L2224" s="44">
        <f>+VLOOKUP($A2224,MAGAZZINO!$B$2:$M$4838,12,FALSE)</f>
        <v/>
      </c>
    </row>
    <row r="2225" ht="36" customHeight="1">
      <c r="A2225" s="30">
        <f>+REGISTRO!A2208</f>
        <v/>
      </c>
      <c r="B2225" s="31">
        <f>+VLOOKUP($A2225,MAGAZZINO!$B$2:$M$4838,2,FALSE)</f>
        <v/>
      </c>
      <c r="C2225" s="32">
        <f>+VLOOKUP($A2225,MAGAZZINO!$B$2:$M$4838,3,FALSE)</f>
        <v/>
      </c>
      <c r="D2225" s="17">
        <f>+VLOOKUP($A2225,MAGAZZINO!$B$2:$M$4838,4,FALSE)</f>
        <v/>
      </c>
      <c r="E2225" s="17">
        <f>+VLOOKUP($A2225,MAGAZZINO!$B$2:$M$4838,5,FALSE)</f>
        <v/>
      </c>
      <c r="F2225" s="17">
        <f>+VLOOKUP($A2225,MAGAZZINO!$B$2:$M$4838,6,FALSE)</f>
        <v/>
      </c>
      <c r="G2225" s="17">
        <f>+VLOOKUP($A2225,MAGAZZINO!$B$2:$M$4838,7,FALSE)</f>
        <v/>
      </c>
      <c r="H2225" s="17">
        <f>+VLOOKUP($A2225,MAGAZZINO!$B$2:$M$4838,8,FALSE)</f>
        <v/>
      </c>
      <c r="I2225" s="17">
        <f>+VLOOKUP($A2225,MAGAZZINO!$B$2:$M$4838,9,FALSE)</f>
        <v/>
      </c>
      <c r="J2225" s="17">
        <f>+VLOOKUP($A2225,MAGAZZINO!$B$2:$M$4838,10,FALSE)</f>
        <v/>
      </c>
      <c r="K2225" s="17">
        <f>+VLOOKUP($A2225,MAGAZZINO!$B$2:$M$4838,11,FALSE)</f>
        <v/>
      </c>
      <c r="L2225" s="44">
        <f>+VLOOKUP($A2225,MAGAZZINO!$B$2:$M$4838,12,FALSE)</f>
        <v/>
      </c>
    </row>
    <row r="2226" ht="36" customHeight="1">
      <c r="A2226" s="30">
        <f>+REGISTRO!A2209</f>
        <v/>
      </c>
      <c r="B2226" s="31">
        <f>+VLOOKUP($A2226,MAGAZZINO!$B$2:$M$4838,2,FALSE)</f>
        <v/>
      </c>
      <c r="C2226" s="32">
        <f>+VLOOKUP($A2226,MAGAZZINO!$B$2:$M$4838,3,FALSE)</f>
        <v/>
      </c>
      <c r="D2226" s="17">
        <f>+VLOOKUP($A2226,MAGAZZINO!$B$2:$M$4838,4,FALSE)</f>
        <v/>
      </c>
      <c r="E2226" s="17">
        <f>+VLOOKUP($A2226,MAGAZZINO!$B$2:$M$4838,5,FALSE)</f>
        <v/>
      </c>
      <c r="F2226" s="17">
        <f>+VLOOKUP($A2226,MAGAZZINO!$B$2:$M$4838,6,FALSE)</f>
        <v/>
      </c>
      <c r="G2226" s="17">
        <f>+VLOOKUP($A2226,MAGAZZINO!$B$2:$M$4838,7,FALSE)</f>
        <v/>
      </c>
      <c r="H2226" s="17">
        <f>+VLOOKUP($A2226,MAGAZZINO!$B$2:$M$4838,8,FALSE)</f>
        <v/>
      </c>
      <c r="I2226" s="17">
        <f>+VLOOKUP($A2226,MAGAZZINO!$B$2:$M$4838,9,FALSE)</f>
        <v/>
      </c>
      <c r="J2226" s="17">
        <f>+VLOOKUP($A2226,MAGAZZINO!$B$2:$M$4838,10,FALSE)</f>
        <v/>
      </c>
      <c r="K2226" s="17">
        <f>+VLOOKUP($A2226,MAGAZZINO!$B$2:$M$4838,11,FALSE)</f>
        <v/>
      </c>
      <c r="L2226" s="44">
        <f>+VLOOKUP($A2226,MAGAZZINO!$B$2:$M$4838,12,FALSE)</f>
        <v/>
      </c>
    </row>
    <row r="2227" ht="36" customHeight="1">
      <c r="A2227" s="30">
        <f>+REGISTRO!A2210</f>
        <v/>
      </c>
      <c r="B2227" s="31">
        <f>+VLOOKUP($A2227,MAGAZZINO!$B$2:$M$4838,2,FALSE)</f>
        <v/>
      </c>
      <c r="C2227" s="32">
        <f>+VLOOKUP($A2227,MAGAZZINO!$B$2:$M$4838,3,FALSE)</f>
        <v/>
      </c>
      <c r="D2227" s="17">
        <f>+VLOOKUP($A2227,MAGAZZINO!$B$2:$M$4838,4,FALSE)</f>
        <v/>
      </c>
      <c r="E2227" s="17">
        <f>+VLOOKUP($A2227,MAGAZZINO!$B$2:$M$4838,5,FALSE)</f>
        <v/>
      </c>
      <c r="F2227" s="17">
        <f>+VLOOKUP($A2227,MAGAZZINO!$B$2:$M$4838,6,FALSE)</f>
        <v/>
      </c>
      <c r="G2227" s="17">
        <f>+VLOOKUP($A2227,MAGAZZINO!$B$2:$M$4838,7,FALSE)</f>
        <v/>
      </c>
      <c r="H2227" s="17">
        <f>+VLOOKUP($A2227,MAGAZZINO!$B$2:$M$4838,8,FALSE)</f>
        <v/>
      </c>
      <c r="I2227" s="17">
        <f>+VLOOKUP($A2227,MAGAZZINO!$B$2:$M$4838,9,FALSE)</f>
        <v/>
      </c>
      <c r="J2227" s="17">
        <f>+VLOOKUP($A2227,MAGAZZINO!$B$2:$M$4838,10,FALSE)</f>
        <v/>
      </c>
      <c r="K2227" s="17">
        <f>+VLOOKUP($A2227,MAGAZZINO!$B$2:$M$4838,11,FALSE)</f>
        <v/>
      </c>
      <c r="L2227" s="44">
        <f>+VLOOKUP($A2227,MAGAZZINO!$B$2:$M$4838,12,FALSE)</f>
        <v/>
      </c>
    </row>
    <row r="2228" ht="36" customHeight="1">
      <c r="A2228" s="30">
        <f>+REGISTRO!A2211</f>
        <v/>
      </c>
      <c r="B2228" s="31">
        <f>+VLOOKUP($A2228,MAGAZZINO!$B$2:$M$4838,2,FALSE)</f>
        <v/>
      </c>
      <c r="C2228" s="32">
        <f>+VLOOKUP($A2228,MAGAZZINO!$B$2:$M$4838,3,FALSE)</f>
        <v/>
      </c>
      <c r="D2228" s="17">
        <f>+VLOOKUP($A2228,MAGAZZINO!$B$2:$M$4838,4,FALSE)</f>
        <v/>
      </c>
      <c r="E2228" s="17">
        <f>+VLOOKUP($A2228,MAGAZZINO!$B$2:$M$4838,5,FALSE)</f>
        <v/>
      </c>
      <c r="F2228" s="17">
        <f>+VLOOKUP($A2228,MAGAZZINO!$B$2:$M$4838,6,FALSE)</f>
        <v/>
      </c>
      <c r="G2228" s="17">
        <f>+VLOOKUP($A2228,MAGAZZINO!$B$2:$M$4838,7,FALSE)</f>
        <v/>
      </c>
      <c r="H2228" s="17">
        <f>+VLOOKUP($A2228,MAGAZZINO!$B$2:$M$4838,8,FALSE)</f>
        <v/>
      </c>
      <c r="I2228" s="17">
        <f>+VLOOKUP($A2228,MAGAZZINO!$B$2:$M$4838,9,FALSE)</f>
        <v/>
      </c>
      <c r="J2228" s="17">
        <f>+VLOOKUP($A2228,MAGAZZINO!$B$2:$M$4838,10,FALSE)</f>
        <v/>
      </c>
      <c r="K2228" s="17">
        <f>+VLOOKUP($A2228,MAGAZZINO!$B$2:$M$4838,11,FALSE)</f>
        <v/>
      </c>
      <c r="L2228" s="44">
        <f>+VLOOKUP($A2228,MAGAZZINO!$B$2:$M$4838,12,FALSE)</f>
        <v/>
      </c>
    </row>
    <row r="2229" ht="36" customHeight="1">
      <c r="A2229" s="30">
        <f>+REGISTRO!A2212</f>
        <v/>
      </c>
      <c r="B2229" s="31">
        <f>+VLOOKUP($A2229,MAGAZZINO!$B$2:$M$4838,2,FALSE)</f>
        <v/>
      </c>
      <c r="C2229" s="32">
        <f>+VLOOKUP($A2229,MAGAZZINO!$B$2:$M$4838,3,FALSE)</f>
        <v/>
      </c>
      <c r="D2229" s="17">
        <f>+VLOOKUP($A2229,MAGAZZINO!$B$2:$M$4838,4,FALSE)</f>
        <v/>
      </c>
      <c r="E2229" s="17">
        <f>+VLOOKUP($A2229,MAGAZZINO!$B$2:$M$4838,5,FALSE)</f>
        <v/>
      </c>
      <c r="F2229" s="17">
        <f>+VLOOKUP($A2229,MAGAZZINO!$B$2:$M$4838,6,FALSE)</f>
        <v/>
      </c>
      <c r="G2229" s="17">
        <f>+VLOOKUP($A2229,MAGAZZINO!$B$2:$M$4838,7,FALSE)</f>
        <v/>
      </c>
      <c r="H2229" s="17">
        <f>+VLOOKUP($A2229,MAGAZZINO!$B$2:$M$4838,8,FALSE)</f>
        <v/>
      </c>
      <c r="I2229" s="17">
        <f>+VLOOKUP($A2229,MAGAZZINO!$B$2:$M$4838,9,FALSE)</f>
        <v/>
      </c>
      <c r="J2229" s="17">
        <f>+VLOOKUP($A2229,MAGAZZINO!$B$2:$M$4838,10,FALSE)</f>
        <v/>
      </c>
      <c r="K2229" s="17">
        <f>+VLOOKUP($A2229,MAGAZZINO!$B$2:$M$4838,11,FALSE)</f>
        <v/>
      </c>
      <c r="L2229" s="44">
        <f>+VLOOKUP($A2229,MAGAZZINO!$B$2:$M$4838,12,FALSE)</f>
        <v/>
      </c>
    </row>
    <row r="2230" ht="36" customHeight="1">
      <c r="A2230" s="30">
        <f>+REGISTRO!A2213</f>
        <v/>
      </c>
      <c r="B2230" s="31">
        <f>+VLOOKUP($A2230,MAGAZZINO!$B$2:$M$4838,2,FALSE)</f>
        <v/>
      </c>
      <c r="C2230" s="32">
        <f>+VLOOKUP($A2230,MAGAZZINO!$B$2:$M$4838,3,FALSE)</f>
        <v/>
      </c>
      <c r="D2230" s="17">
        <f>+VLOOKUP($A2230,MAGAZZINO!$B$2:$M$4838,4,FALSE)</f>
        <v/>
      </c>
      <c r="E2230" s="17">
        <f>+VLOOKUP($A2230,MAGAZZINO!$B$2:$M$4838,5,FALSE)</f>
        <v/>
      </c>
      <c r="F2230" s="17">
        <f>+VLOOKUP($A2230,MAGAZZINO!$B$2:$M$4838,6,FALSE)</f>
        <v/>
      </c>
      <c r="G2230" s="17">
        <f>+VLOOKUP($A2230,MAGAZZINO!$B$2:$M$4838,7,FALSE)</f>
        <v/>
      </c>
      <c r="H2230" s="17">
        <f>+VLOOKUP($A2230,MAGAZZINO!$B$2:$M$4838,8,FALSE)</f>
        <v/>
      </c>
      <c r="I2230" s="17">
        <f>+VLOOKUP($A2230,MAGAZZINO!$B$2:$M$4838,9,FALSE)</f>
        <v/>
      </c>
      <c r="J2230" s="17">
        <f>+VLOOKUP($A2230,MAGAZZINO!$B$2:$M$4838,10,FALSE)</f>
        <v/>
      </c>
      <c r="K2230" s="17">
        <f>+VLOOKUP($A2230,MAGAZZINO!$B$2:$M$4838,11,FALSE)</f>
        <v/>
      </c>
      <c r="L2230" s="44">
        <f>+VLOOKUP($A2230,MAGAZZINO!$B$2:$M$4838,12,FALSE)</f>
        <v/>
      </c>
    </row>
    <row r="2231" ht="36" customHeight="1">
      <c r="A2231" s="30">
        <f>+REGISTRO!A2214</f>
        <v/>
      </c>
      <c r="B2231" s="31">
        <f>+VLOOKUP($A2231,MAGAZZINO!$B$2:$M$4838,2,FALSE)</f>
        <v/>
      </c>
      <c r="C2231" s="32">
        <f>+VLOOKUP($A2231,MAGAZZINO!$B$2:$M$4838,3,FALSE)</f>
        <v/>
      </c>
      <c r="D2231" s="17">
        <f>+VLOOKUP($A2231,MAGAZZINO!$B$2:$M$4838,4,FALSE)</f>
        <v/>
      </c>
      <c r="E2231" s="17">
        <f>+VLOOKUP($A2231,MAGAZZINO!$B$2:$M$4838,5,FALSE)</f>
        <v/>
      </c>
      <c r="F2231" s="17">
        <f>+VLOOKUP($A2231,MAGAZZINO!$B$2:$M$4838,6,FALSE)</f>
        <v/>
      </c>
      <c r="G2231" s="17">
        <f>+VLOOKUP($A2231,MAGAZZINO!$B$2:$M$4838,7,FALSE)</f>
        <v/>
      </c>
      <c r="H2231" s="17">
        <f>+VLOOKUP($A2231,MAGAZZINO!$B$2:$M$4838,8,FALSE)</f>
        <v/>
      </c>
      <c r="I2231" s="17">
        <f>+VLOOKUP($A2231,MAGAZZINO!$B$2:$M$4838,9,FALSE)</f>
        <v/>
      </c>
      <c r="J2231" s="17">
        <f>+VLOOKUP($A2231,MAGAZZINO!$B$2:$M$4838,10,FALSE)</f>
        <v/>
      </c>
      <c r="K2231" s="17">
        <f>+VLOOKUP($A2231,MAGAZZINO!$B$2:$M$4838,11,FALSE)</f>
        <v/>
      </c>
      <c r="L2231" s="44">
        <f>+VLOOKUP($A2231,MAGAZZINO!$B$2:$M$4838,12,FALSE)</f>
        <v/>
      </c>
    </row>
    <row r="2232" ht="36" customHeight="1">
      <c r="A2232" s="30">
        <f>+REGISTRO!A2215</f>
        <v/>
      </c>
      <c r="B2232" s="31">
        <f>+VLOOKUP($A2232,MAGAZZINO!$B$2:$M$4838,2,FALSE)</f>
        <v/>
      </c>
      <c r="C2232" s="32">
        <f>+VLOOKUP($A2232,MAGAZZINO!$B$2:$M$4838,3,FALSE)</f>
        <v/>
      </c>
      <c r="D2232" s="17">
        <f>+VLOOKUP($A2232,MAGAZZINO!$B$2:$M$4838,4,FALSE)</f>
        <v/>
      </c>
      <c r="E2232" s="17">
        <f>+VLOOKUP($A2232,MAGAZZINO!$B$2:$M$4838,5,FALSE)</f>
        <v/>
      </c>
      <c r="F2232" s="17">
        <f>+VLOOKUP($A2232,MAGAZZINO!$B$2:$M$4838,6,FALSE)</f>
        <v/>
      </c>
      <c r="G2232" s="17">
        <f>+VLOOKUP($A2232,MAGAZZINO!$B$2:$M$4838,7,FALSE)</f>
        <v/>
      </c>
      <c r="H2232" s="17">
        <f>+VLOOKUP($A2232,MAGAZZINO!$B$2:$M$4838,8,FALSE)</f>
        <v/>
      </c>
      <c r="I2232" s="17">
        <f>+VLOOKUP($A2232,MAGAZZINO!$B$2:$M$4838,9,FALSE)</f>
        <v/>
      </c>
      <c r="J2232" s="17">
        <f>+VLOOKUP($A2232,MAGAZZINO!$B$2:$M$4838,10,FALSE)</f>
        <v/>
      </c>
      <c r="K2232" s="17">
        <f>+VLOOKUP($A2232,MAGAZZINO!$B$2:$M$4838,11,FALSE)</f>
        <v/>
      </c>
      <c r="L2232" s="44">
        <f>+VLOOKUP($A2232,MAGAZZINO!$B$2:$M$4838,12,FALSE)</f>
        <v/>
      </c>
    </row>
    <row r="2233" ht="36" customHeight="1">
      <c r="A2233" s="30">
        <f>+REGISTRO!A2216</f>
        <v/>
      </c>
      <c r="B2233" s="31">
        <f>+VLOOKUP($A2233,MAGAZZINO!$B$2:$M$4838,2,FALSE)</f>
        <v/>
      </c>
      <c r="C2233" s="32">
        <f>+VLOOKUP($A2233,MAGAZZINO!$B$2:$M$4838,3,FALSE)</f>
        <v/>
      </c>
      <c r="D2233" s="17">
        <f>+VLOOKUP($A2233,MAGAZZINO!$B$2:$M$4838,4,FALSE)</f>
        <v/>
      </c>
      <c r="E2233" s="17">
        <f>+VLOOKUP($A2233,MAGAZZINO!$B$2:$M$4838,5,FALSE)</f>
        <v/>
      </c>
      <c r="F2233" s="17">
        <f>+VLOOKUP($A2233,MAGAZZINO!$B$2:$M$4838,6,FALSE)</f>
        <v/>
      </c>
      <c r="G2233" s="17">
        <f>+VLOOKUP($A2233,MAGAZZINO!$B$2:$M$4838,7,FALSE)</f>
        <v/>
      </c>
      <c r="H2233" s="17">
        <f>+VLOOKUP($A2233,MAGAZZINO!$B$2:$M$4838,8,FALSE)</f>
        <v/>
      </c>
      <c r="I2233" s="17">
        <f>+VLOOKUP($A2233,MAGAZZINO!$B$2:$M$4838,9,FALSE)</f>
        <v/>
      </c>
      <c r="J2233" s="17">
        <f>+VLOOKUP($A2233,MAGAZZINO!$B$2:$M$4838,10,FALSE)</f>
        <v/>
      </c>
      <c r="K2233" s="17">
        <f>+VLOOKUP($A2233,MAGAZZINO!$B$2:$M$4838,11,FALSE)</f>
        <v/>
      </c>
      <c r="L2233" s="44">
        <f>+VLOOKUP($A2233,MAGAZZINO!$B$2:$M$4838,12,FALSE)</f>
        <v/>
      </c>
    </row>
    <row r="2234" ht="36" customHeight="1">
      <c r="A2234" s="30">
        <f>+REGISTRO!A2217</f>
        <v/>
      </c>
      <c r="B2234" s="31">
        <f>+VLOOKUP($A2234,MAGAZZINO!$B$2:$M$4838,2,FALSE)</f>
        <v/>
      </c>
      <c r="C2234" s="32">
        <f>+VLOOKUP($A2234,MAGAZZINO!$B$2:$M$4838,3,FALSE)</f>
        <v/>
      </c>
      <c r="D2234" s="17">
        <f>+VLOOKUP($A2234,MAGAZZINO!$B$2:$M$4838,4,FALSE)</f>
        <v/>
      </c>
      <c r="E2234" s="17">
        <f>+VLOOKUP($A2234,MAGAZZINO!$B$2:$M$4838,5,FALSE)</f>
        <v/>
      </c>
      <c r="F2234" s="17">
        <f>+VLOOKUP($A2234,MAGAZZINO!$B$2:$M$4838,6,FALSE)</f>
        <v/>
      </c>
      <c r="G2234" s="17">
        <f>+VLOOKUP($A2234,MAGAZZINO!$B$2:$M$4838,7,FALSE)</f>
        <v/>
      </c>
      <c r="H2234" s="17">
        <f>+VLOOKUP($A2234,MAGAZZINO!$B$2:$M$4838,8,FALSE)</f>
        <v/>
      </c>
      <c r="I2234" s="17">
        <f>+VLOOKUP($A2234,MAGAZZINO!$B$2:$M$4838,9,FALSE)</f>
        <v/>
      </c>
      <c r="J2234" s="17">
        <f>+VLOOKUP($A2234,MAGAZZINO!$B$2:$M$4838,10,FALSE)</f>
        <v/>
      </c>
      <c r="K2234" s="17">
        <f>+VLOOKUP($A2234,MAGAZZINO!$B$2:$M$4838,11,FALSE)</f>
        <v/>
      </c>
      <c r="L2234" s="44">
        <f>+VLOOKUP($A2234,MAGAZZINO!$B$2:$M$4838,12,FALSE)</f>
        <v/>
      </c>
    </row>
    <row r="2235" ht="36" customHeight="1">
      <c r="A2235" s="30">
        <f>+REGISTRO!A2218</f>
        <v/>
      </c>
      <c r="B2235" s="31">
        <f>+VLOOKUP($A2235,MAGAZZINO!$B$2:$M$4838,2,FALSE)</f>
        <v/>
      </c>
      <c r="C2235" s="32">
        <f>+VLOOKUP($A2235,MAGAZZINO!$B$2:$M$4838,3,FALSE)</f>
        <v/>
      </c>
      <c r="D2235" s="17">
        <f>+VLOOKUP($A2235,MAGAZZINO!$B$2:$M$4838,4,FALSE)</f>
        <v/>
      </c>
      <c r="E2235" s="17">
        <f>+VLOOKUP($A2235,MAGAZZINO!$B$2:$M$4838,5,FALSE)</f>
        <v/>
      </c>
      <c r="F2235" s="17">
        <f>+VLOOKUP($A2235,MAGAZZINO!$B$2:$M$4838,6,FALSE)</f>
        <v/>
      </c>
      <c r="G2235" s="17">
        <f>+VLOOKUP($A2235,MAGAZZINO!$B$2:$M$4838,7,FALSE)</f>
        <v/>
      </c>
      <c r="H2235" s="17">
        <f>+VLOOKUP($A2235,MAGAZZINO!$B$2:$M$4838,8,FALSE)</f>
        <v/>
      </c>
      <c r="I2235" s="17">
        <f>+VLOOKUP($A2235,MAGAZZINO!$B$2:$M$4838,9,FALSE)</f>
        <v/>
      </c>
      <c r="J2235" s="17">
        <f>+VLOOKUP($A2235,MAGAZZINO!$B$2:$M$4838,10,FALSE)</f>
        <v/>
      </c>
      <c r="K2235" s="17">
        <f>+VLOOKUP($A2235,MAGAZZINO!$B$2:$M$4838,11,FALSE)</f>
        <v/>
      </c>
      <c r="L2235" s="44">
        <f>+VLOOKUP($A2235,MAGAZZINO!$B$2:$M$4838,12,FALSE)</f>
        <v/>
      </c>
    </row>
    <row r="2236" ht="36" customHeight="1">
      <c r="A2236" s="30">
        <f>+REGISTRO!A2219</f>
        <v/>
      </c>
      <c r="B2236" s="31">
        <f>+VLOOKUP($A2236,MAGAZZINO!$B$2:$M$4838,2,FALSE)</f>
        <v/>
      </c>
      <c r="C2236" s="32">
        <f>+VLOOKUP($A2236,MAGAZZINO!$B$2:$M$4838,3,FALSE)</f>
        <v/>
      </c>
      <c r="D2236" s="17">
        <f>+VLOOKUP($A2236,MAGAZZINO!$B$2:$M$4838,4,FALSE)</f>
        <v/>
      </c>
      <c r="E2236" s="17">
        <f>+VLOOKUP($A2236,MAGAZZINO!$B$2:$M$4838,5,FALSE)</f>
        <v/>
      </c>
      <c r="F2236" s="17">
        <f>+VLOOKUP($A2236,MAGAZZINO!$B$2:$M$4838,6,FALSE)</f>
        <v/>
      </c>
      <c r="G2236" s="17">
        <f>+VLOOKUP($A2236,MAGAZZINO!$B$2:$M$4838,7,FALSE)</f>
        <v/>
      </c>
      <c r="H2236" s="17">
        <f>+VLOOKUP($A2236,MAGAZZINO!$B$2:$M$4838,8,FALSE)</f>
        <v/>
      </c>
      <c r="I2236" s="17">
        <f>+VLOOKUP($A2236,MAGAZZINO!$B$2:$M$4838,9,FALSE)</f>
        <v/>
      </c>
      <c r="J2236" s="17">
        <f>+VLOOKUP($A2236,MAGAZZINO!$B$2:$M$4838,10,FALSE)</f>
        <v/>
      </c>
      <c r="K2236" s="17">
        <f>+VLOOKUP($A2236,MAGAZZINO!$B$2:$M$4838,11,FALSE)</f>
        <v/>
      </c>
      <c r="L2236" s="44">
        <f>+VLOOKUP($A2236,MAGAZZINO!$B$2:$M$4838,12,FALSE)</f>
        <v/>
      </c>
    </row>
    <row r="2237" ht="36" customHeight="1">
      <c r="A2237" s="30">
        <f>+REGISTRO!A2220</f>
        <v/>
      </c>
      <c r="B2237" s="31">
        <f>+VLOOKUP($A2237,MAGAZZINO!$B$2:$M$4838,2,FALSE)</f>
        <v/>
      </c>
      <c r="C2237" s="32">
        <f>+VLOOKUP($A2237,MAGAZZINO!$B$2:$M$4838,3,FALSE)</f>
        <v/>
      </c>
      <c r="D2237" s="17">
        <f>+VLOOKUP($A2237,MAGAZZINO!$B$2:$M$4838,4,FALSE)</f>
        <v/>
      </c>
      <c r="E2237" s="17">
        <f>+VLOOKUP($A2237,MAGAZZINO!$B$2:$M$4838,5,FALSE)</f>
        <v/>
      </c>
      <c r="F2237" s="17">
        <f>+VLOOKUP($A2237,MAGAZZINO!$B$2:$M$4838,6,FALSE)</f>
        <v/>
      </c>
      <c r="G2237" s="17">
        <f>+VLOOKUP($A2237,MAGAZZINO!$B$2:$M$4838,7,FALSE)</f>
        <v/>
      </c>
      <c r="H2237" s="17">
        <f>+VLOOKUP($A2237,MAGAZZINO!$B$2:$M$4838,8,FALSE)</f>
        <v/>
      </c>
      <c r="I2237" s="17">
        <f>+VLOOKUP($A2237,MAGAZZINO!$B$2:$M$4838,9,FALSE)</f>
        <v/>
      </c>
      <c r="J2237" s="17">
        <f>+VLOOKUP($A2237,MAGAZZINO!$B$2:$M$4838,10,FALSE)</f>
        <v/>
      </c>
      <c r="K2237" s="17">
        <f>+VLOOKUP($A2237,MAGAZZINO!$B$2:$M$4838,11,FALSE)</f>
        <v/>
      </c>
      <c r="L2237" s="44">
        <f>+VLOOKUP($A2237,MAGAZZINO!$B$2:$M$4838,12,FALSE)</f>
        <v/>
      </c>
    </row>
    <row r="2238" ht="36" customHeight="1">
      <c r="A2238" s="30">
        <f>+REGISTRO!A2221</f>
        <v/>
      </c>
      <c r="B2238" s="31">
        <f>+VLOOKUP($A2238,MAGAZZINO!$B$2:$M$4838,2,FALSE)</f>
        <v/>
      </c>
      <c r="C2238" s="32">
        <f>+VLOOKUP($A2238,MAGAZZINO!$B$2:$M$4838,3,FALSE)</f>
        <v/>
      </c>
      <c r="D2238" s="17">
        <f>+VLOOKUP($A2238,MAGAZZINO!$B$2:$M$4838,4,FALSE)</f>
        <v/>
      </c>
      <c r="E2238" s="17">
        <f>+VLOOKUP($A2238,MAGAZZINO!$B$2:$M$4838,5,FALSE)</f>
        <v/>
      </c>
      <c r="F2238" s="17">
        <f>+VLOOKUP($A2238,MAGAZZINO!$B$2:$M$4838,6,FALSE)</f>
        <v/>
      </c>
      <c r="G2238" s="17">
        <f>+VLOOKUP($A2238,MAGAZZINO!$B$2:$M$4838,7,FALSE)</f>
        <v/>
      </c>
      <c r="H2238" s="17">
        <f>+VLOOKUP($A2238,MAGAZZINO!$B$2:$M$4838,8,FALSE)</f>
        <v/>
      </c>
      <c r="I2238" s="17">
        <f>+VLOOKUP($A2238,MAGAZZINO!$B$2:$M$4838,9,FALSE)</f>
        <v/>
      </c>
      <c r="J2238" s="17">
        <f>+VLOOKUP($A2238,MAGAZZINO!$B$2:$M$4838,10,FALSE)</f>
        <v/>
      </c>
      <c r="K2238" s="17">
        <f>+VLOOKUP($A2238,MAGAZZINO!$B$2:$M$4838,11,FALSE)</f>
        <v/>
      </c>
      <c r="L2238" s="44">
        <f>+VLOOKUP($A2238,MAGAZZINO!$B$2:$M$4838,12,FALSE)</f>
        <v/>
      </c>
    </row>
    <row r="2239" ht="36" customHeight="1">
      <c r="A2239" s="30">
        <f>+REGISTRO!A2222</f>
        <v/>
      </c>
      <c r="B2239" s="31">
        <f>+VLOOKUP($A2239,MAGAZZINO!$B$2:$M$4838,2,FALSE)</f>
        <v/>
      </c>
      <c r="C2239" s="32">
        <f>+VLOOKUP($A2239,MAGAZZINO!$B$2:$M$4838,3,FALSE)</f>
        <v/>
      </c>
      <c r="D2239" s="17">
        <f>+VLOOKUP($A2239,MAGAZZINO!$B$2:$M$4838,4,FALSE)</f>
        <v/>
      </c>
      <c r="E2239" s="17">
        <f>+VLOOKUP($A2239,MAGAZZINO!$B$2:$M$4838,5,FALSE)</f>
        <v/>
      </c>
      <c r="F2239" s="17">
        <f>+VLOOKUP($A2239,MAGAZZINO!$B$2:$M$4838,6,FALSE)</f>
        <v/>
      </c>
      <c r="G2239" s="17">
        <f>+VLOOKUP($A2239,MAGAZZINO!$B$2:$M$4838,7,FALSE)</f>
        <v/>
      </c>
      <c r="H2239" s="17">
        <f>+VLOOKUP($A2239,MAGAZZINO!$B$2:$M$4838,8,FALSE)</f>
        <v/>
      </c>
      <c r="I2239" s="17">
        <f>+VLOOKUP($A2239,MAGAZZINO!$B$2:$M$4838,9,FALSE)</f>
        <v/>
      </c>
      <c r="J2239" s="17">
        <f>+VLOOKUP($A2239,MAGAZZINO!$B$2:$M$4838,10,FALSE)</f>
        <v/>
      </c>
      <c r="K2239" s="17">
        <f>+VLOOKUP($A2239,MAGAZZINO!$B$2:$M$4838,11,FALSE)</f>
        <v/>
      </c>
      <c r="L2239" s="44">
        <f>+VLOOKUP($A2239,MAGAZZINO!$B$2:$M$4838,12,FALSE)</f>
        <v/>
      </c>
    </row>
    <row r="2240" ht="36" customHeight="1">
      <c r="A2240" s="30">
        <f>+REGISTRO!A2223</f>
        <v/>
      </c>
      <c r="B2240" s="31">
        <f>+VLOOKUP($A2240,MAGAZZINO!$B$2:$M$4838,2,FALSE)</f>
        <v/>
      </c>
      <c r="C2240" s="32">
        <f>+VLOOKUP($A2240,MAGAZZINO!$B$2:$M$4838,3,FALSE)</f>
        <v/>
      </c>
      <c r="D2240" s="17">
        <f>+VLOOKUP($A2240,MAGAZZINO!$B$2:$M$4838,4,FALSE)</f>
        <v/>
      </c>
      <c r="E2240" s="17">
        <f>+VLOOKUP($A2240,MAGAZZINO!$B$2:$M$4838,5,FALSE)</f>
        <v/>
      </c>
      <c r="F2240" s="17">
        <f>+VLOOKUP($A2240,MAGAZZINO!$B$2:$M$4838,6,FALSE)</f>
        <v/>
      </c>
      <c r="G2240" s="17">
        <f>+VLOOKUP($A2240,MAGAZZINO!$B$2:$M$4838,7,FALSE)</f>
        <v/>
      </c>
      <c r="H2240" s="17">
        <f>+VLOOKUP($A2240,MAGAZZINO!$B$2:$M$4838,8,FALSE)</f>
        <v/>
      </c>
      <c r="I2240" s="17">
        <f>+VLOOKUP($A2240,MAGAZZINO!$B$2:$M$4838,9,FALSE)</f>
        <v/>
      </c>
      <c r="J2240" s="17">
        <f>+VLOOKUP($A2240,MAGAZZINO!$B$2:$M$4838,10,FALSE)</f>
        <v/>
      </c>
      <c r="K2240" s="17">
        <f>+VLOOKUP($A2240,MAGAZZINO!$B$2:$M$4838,11,FALSE)</f>
        <v/>
      </c>
      <c r="L2240" s="44">
        <f>+VLOOKUP($A2240,MAGAZZINO!$B$2:$M$4838,12,FALSE)</f>
        <v/>
      </c>
    </row>
    <row r="2241" ht="36" customHeight="1">
      <c r="A2241" s="30">
        <f>+REGISTRO!A2224</f>
        <v/>
      </c>
      <c r="B2241" s="31">
        <f>+VLOOKUP($A2241,MAGAZZINO!$B$2:$M$4838,2,FALSE)</f>
        <v/>
      </c>
      <c r="C2241" s="32">
        <f>+VLOOKUP($A2241,MAGAZZINO!$B$2:$M$4838,3,FALSE)</f>
        <v/>
      </c>
      <c r="D2241" s="17">
        <f>+VLOOKUP($A2241,MAGAZZINO!$B$2:$M$4838,4,FALSE)</f>
        <v/>
      </c>
      <c r="E2241" s="17">
        <f>+VLOOKUP($A2241,MAGAZZINO!$B$2:$M$4838,5,FALSE)</f>
        <v/>
      </c>
      <c r="F2241" s="17">
        <f>+VLOOKUP($A2241,MAGAZZINO!$B$2:$M$4838,6,FALSE)</f>
        <v/>
      </c>
      <c r="G2241" s="17">
        <f>+VLOOKUP($A2241,MAGAZZINO!$B$2:$M$4838,7,FALSE)</f>
        <v/>
      </c>
      <c r="H2241" s="17">
        <f>+VLOOKUP($A2241,MAGAZZINO!$B$2:$M$4838,8,FALSE)</f>
        <v/>
      </c>
      <c r="I2241" s="17">
        <f>+VLOOKUP($A2241,MAGAZZINO!$B$2:$M$4838,9,FALSE)</f>
        <v/>
      </c>
      <c r="J2241" s="17">
        <f>+VLOOKUP($A2241,MAGAZZINO!$B$2:$M$4838,10,FALSE)</f>
        <v/>
      </c>
      <c r="K2241" s="17">
        <f>+VLOOKUP($A2241,MAGAZZINO!$B$2:$M$4838,11,FALSE)</f>
        <v/>
      </c>
      <c r="L2241" s="44">
        <f>+VLOOKUP($A2241,MAGAZZINO!$B$2:$M$4838,12,FALSE)</f>
        <v/>
      </c>
    </row>
    <row r="2242" ht="36" customHeight="1">
      <c r="A2242" s="30">
        <f>+REGISTRO!A2225</f>
        <v/>
      </c>
      <c r="B2242" s="31">
        <f>+VLOOKUP($A2242,MAGAZZINO!$B$2:$M$4838,2,FALSE)</f>
        <v/>
      </c>
      <c r="C2242" s="32">
        <f>+VLOOKUP($A2242,MAGAZZINO!$B$2:$M$4838,3,FALSE)</f>
        <v/>
      </c>
      <c r="D2242" s="17">
        <f>+VLOOKUP($A2242,MAGAZZINO!$B$2:$M$4838,4,FALSE)</f>
        <v/>
      </c>
      <c r="E2242" s="17">
        <f>+VLOOKUP($A2242,MAGAZZINO!$B$2:$M$4838,5,FALSE)</f>
        <v/>
      </c>
      <c r="F2242" s="17">
        <f>+VLOOKUP($A2242,MAGAZZINO!$B$2:$M$4838,6,FALSE)</f>
        <v/>
      </c>
      <c r="G2242" s="17">
        <f>+VLOOKUP($A2242,MAGAZZINO!$B$2:$M$4838,7,FALSE)</f>
        <v/>
      </c>
      <c r="H2242" s="17">
        <f>+VLOOKUP($A2242,MAGAZZINO!$B$2:$M$4838,8,FALSE)</f>
        <v/>
      </c>
      <c r="I2242" s="17">
        <f>+VLOOKUP($A2242,MAGAZZINO!$B$2:$M$4838,9,FALSE)</f>
        <v/>
      </c>
      <c r="J2242" s="17">
        <f>+VLOOKUP($A2242,MAGAZZINO!$B$2:$M$4838,10,FALSE)</f>
        <v/>
      </c>
      <c r="K2242" s="17">
        <f>+VLOOKUP($A2242,MAGAZZINO!$B$2:$M$4838,11,FALSE)</f>
        <v/>
      </c>
      <c r="L2242" s="44">
        <f>+VLOOKUP($A2242,MAGAZZINO!$B$2:$M$4838,12,FALSE)</f>
        <v/>
      </c>
    </row>
    <row r="2243" ht="36" customHeight="1">
      <c r="A2243" s="30">
        <f>+REGISTRO!A2226</f>
        <v/>
      </c>
      <c r="B2243" s="31">
        <f>+VLOOKUP($A2243,MAGAZZINO!$B$2:$M$4838,2,FALSE)</f>
        <v/>
      </c>
      <c r="C2243" s="32">
        <f>+VLOOKUP($A2243,MAGAZZINO!$B$2:$M$4838,3,FALSE)</f>
        <v/>
      </c>
      <c r="D2243" s="17">
        <f>+VLOOKUP($A2243,MAGAZZINO!$B$2:$M$4838,4,FALSE)</f>
        <v/>
      </c>
      <c r="E2243" s="17">
        <f>+VLOOKUP($A2243,MAGAZZINO!$B$2:$M$4838,5,FALSE)</f>
        <v/>
      </c>
      <c r="F2243" s="17">
        <f>+VLOOKUP($A2243,MAGAZZINO!$B$2:$M$4838,6,FALSE)</f>
        <v/>
      </c>
      <c r="G2243" s="17">
        <f>+VLOOKUP($A2243,MAGAZZINO!$B$2:$M$4838,7,FALSE)</f>
        <v/>
      </c>
      <c r="H2243" s="17">
        <f>+VLOOKUP($A2243,MAGAZZINO!$B$2:$M$4838,8,FALSE)</f>
        <v/>
      </c>
      <c r="I2243" s="17">
        <f>+VLOOKUP($A2243,MAGAZZINO!$B$2:$M$4838,9,FALSE)</f>
        <v/>
      </c>
      <c r="J2243" s="17">
        <f>+VLOOKUP($A2243,MAGAZZINO!$B$2:$M$4838,10,FALSE)</f>
        <v/>
      </c>
      <c r="K2243" s="17">
        <f>+VLOOKUP($A2243,MAGAZZINO!$B$2:$M$4838,11,FALSE)</f>
        <v/>
      </c>
      <c r="L2243" s="44">
        <f>+VLOOKUP($A2243,MAGAZZINO!$B$2:$M$4838,12,FALSE)</f>
        <v/>
      </c>
    </row>
    <row r="2244" ht="36" customHeight="1">
      <c r="A2244" s="30">
        <f>+REGISTRO!A2227</f>
        <v/>
      </c>
      <c r="B2244" s="31">
        <f>+VLOOKUP($A2244,MAGAZZINO!$B$2:$M$4838,2,FALSE)</f>
        <v/>
      </c>
      <c r="C2244" s="32">
        <f>+VLOOKUP($A2244,MAGAZZINO!$B$2:$M$4838,3,FALSE)</f>
        <v/>
      </c>
      <c r="D2244" s="17">
        <f>+VLOOKUP($A2244,MAGAZZINO!$B$2:$M$4838,4,FALSE)</f>
        <v/>
      </c>
      <c r="E2244" s="17">
        <f>+VLOOKUP($A2244,MAGAZZINO!$B$2:$M$4838,5,FALSE)</f>
        <v/>
      </c>
      <c r="F2244" s="17">
        <f>+VLOOKUP($A2244,MAGAZZINO!$B$2:$M$4838,6,FALSE)</f>
        <v/>
      </c>
      <c r="G2244" s="17">
        <f>+VLOOKUP($A2244,MAGAZZINO!$B$2:$M$4838,7,FALSE)</f>
        <v/>
      </c>
      <c r="H2244" s="17">
        <f>+VLOOKUP($A2244,MAGAZZINO!$B$2:$M$4838,8,FALSE)</f>
        <v/>
      </c>
      <c r="I2244" s="17">
        <f>+VLOOKUP($A2244,MAGAZZINO!$B$2:$M$4838,9,FALSE)</f>
        <v/>
      </c>
      <c r="J2244" s="17">
        <f>+VLOOKUP($A2244,MAGAZZINO!$B$2:$M$4838,10,FALSE)</f>
        <v/>
      </c>
      <c r="K2244" s="17">
        <f>+VLOOKUP($A2244,MAGAZZINO!$B$2:$M$4838,11,FALSE)</f>
        <v/>
      </c>
      <c r="L2244" s="44">
        <f>+VLOOKUP($A2244,MAGAZZINO!$B$2:$M$4838,12,FALSE)</f>
        <v/>
      </c>
    </row>
    <row r="2245" ht="36" customHeight="1">
      <c r="A2245" s="30">
        <f>+REGISTRO!A2228</f>
        <v/>
      </c>
      <c r="B2245" s="31">
        <f>+VLOOKUP($A2245,MAGAZZINO!$B$2:$M$4838,2,FALSE)</f>
        <v/>
      </c>
      <c r="C2245" s="32">
        <f>+VLOOKUP($A2245,MAGAZZINO!$B$2:$M$4838,3,FALSE)</f>
        <v/>
      </c>
      <c r="D2245" s="17">
        <f>+VLOOKUP($A2245,MAGAZZINO!$B$2:$M$4838,4,FALSE)</f>
        <v/>
      </c>
      <c r="E2245" s="17">
        <f>+VLOOKUP($A2245,MAGAZZINO!$B$2:$M$4838,5,FALSE)</f>
        <v/>
      </c>
      <c r="F2245" s="17">
        <f>+VLOOKUP($A2245,MAGAZZINO!$B$2:$M$4838,6,FALSE)</f>
        <v/>
      </c>
      <c r="G2245" s="17">
        <f>+VLOOKUP($A2245,MAGAZZINO!$B$2:$M$4838,7,FALSE)</f>
        <v/>
      </c>
      <c r="H2245" s="17">
        <f>+VLOOKUP($A2245,MAGAZZINO!$B$2:$M$4838,8,FALSE)</f>
        <v/>
      </c>
      <c r="I2245" s="17">
        <f>+VLOOKUP($A2245,MAGAZZINO!$B$2:$M$4838,9,FALSE)</f>
        <v/>
      </c>
      <c r="J2245" s="17">
        <f>+VLOOKUP($A2245,MAGAZZINO!$B$2:$M$4838,10,FALSE)</f>
        <v/>
      </c>
      <c r="K2245" s="17">
        <f>+VLOOKUP($A2245,MAGAZZINO!$B$2:$M$4838,11,FALSE)</f>
        <v/>
      </c>
      <c r="L2245" s="44">
        <f>+VLOOKUP($A2245,MAGAZZINO!$B$2:$M$4838,12,FALSE)</f>
        <v/>
      </c>
    </row>
    <row r="2246" ht="36" customHeight="1">
      <c r="A2246" s="30">
        <f>+REGISTRO!A2229</f>
        <v/>
      </c>
      <c r="B2246" s="31">
        <f>+VLOOKUP($A2246,MAGAZZINO!$B$2:$M$4838,2,FALSE)</f>
        <v/>
      </c>
      <c r="C2246" s="32">
        <f>+VLOOKUP($A2246,MAGAZZINO!$B$2:$M$4838,3,FALSE)</f>
        <v/>
      </c>
      <c r="D2246" s="17">
        <f>+VLOOKUP($A2246,MAGAZZINO!$B$2:$M$4838,4,FALSE)</f>
        <v/>
      </c>
      <c r="E2246" s="17">
        <f>+VLOOKUP($A2246,MAGAZZINO!$B$2:$M$4838,5,FALSE)</f>
        <v/>
      </c>
      <c r="F2246" s="17">
        <f>+VLOOKUP($A2246,MAGAZZINO!$B$2:$M$4838,6,FALSE)</f>
        <v/>
      </c>
      <c r="G2246" s="17">
        <f>+VLOOKUP($A2246,MAGAZZINO!$B$2:$M$4838,7,FALSE)</f>
        <v/>
      </c>
      <c r="H2246" s="17">
        <f>+VLOOKUP($A2246,MAGAZZINO!$B$2:$M$4838,8,FALSE)</f>
        <v/>
      </c>
      <c r="I2246" s="17">
        <f>+VLOOKUP($A2246,MAGAZZINO!$B$2:$M$4838,9,FALSE)</f>
        <v/>
      </c>
      <c r="J2246" s="17">
        <f>+VLOOKUP($A2246,MAGAZZINO!$B$2:$M$4838,10,FALSE)</f>
        <v/>
      </c>
      <c r="K2246" s="17">
        <f>+VLOOKUP($A2246,MAGAZZINO!$B$2:$M$4838,11,FALSE)</f>
        <v/>
      </c>
      <c r="L2246" s="44">
        <f>+VLOOKUP($A2246,MAGAZZINO!$B$2:$M$4838,12,FALSE)</f>
        <v/>
      </c>
    </row>
    <row r="2247" ht="36" customHeight="1">
      <c r="A2247" s="30">
        <f>+REGISTRO!A2230</f>
        <v/>
      </c>
      <c r="B2247" s="31">
        <f>+VLOOKUP($A2247,MAGAZZINO!$B$2:$M$4838,2,FALSE)</f>
        <v/>
      </c>
      <c r="C2247" s="32">
        <f>+VLOOKUP($A2247,MAGAZZINO!$B$2:$M$4838,3,FALSE)</f>
        <v/>
      </c>
      <c r="D2247" s="17">
        <f>+VLOOKUP($A2247,MAGAZZINO!$B$2:$M$4838,4,FALSE)</f>
        <v/>
      </c>
      <c r="E2247" s="17">
        <f>+VLOOKUP($A2247,MAGAZZINO!$B$2:$M$4838,5,FALSE)</f>
        <v/>
      </c>
      <c r="F2247" s="17">
        <f>+VLOOKUP($A2247,MAGAZZINO!$B$2:$M$4838,6,FALSE)</f>
        <v/>
      </c>
      <c r="G2247" s="17">
        <f>+VLOOKUP($A2247,MAGAZZINO!$B$2:$M$4838,7,FALSE)</f>
        <v/>
      </c>
      <c r="H2247" s="17">
        <f>+VLOOKUP($A2247,MAGAZZINO!$B$2:$M$4838,8,FALSE)</f>
        <v/>
      </c>
      <c r="I2247" s="17">
        <f>+VLOOKUP($A2247,MAGAZZINO!$B$2:$M$4838,9,FALSE)</f>
        <v/>
      </c>
      <c r="J2247" s="17">
        <f>+VLOOKUP($A2247,MAGAZZINO!$B$2:$M$4838,10,FALSE)</f>
        <v/>
      </c>
      <c r="K2247" s="17">
        <f>+VLOOKUP($A2247,MAGAZZINO!$B$2:$M$4838,11,FALSE)</f>
        <v/>
      </c>
      <c r="L2247" s="44">
        <f>+VLOOKUP($A2247,MAGAZZINO!$B$2:$M$4838,12,FALSE)</f>
        <v/>
      </c>
    </row>
    <row r="2248" ht="36" customHeight="1">
      <c r="A2248" s="30">
        <f>+REGISTRO!A2231</f>
        <v/>
      </c>
      <c r="B2248" s="31">
        <f>+VLOOKUP($A2248,MAGAZZINO!$B$2:$M$4838,2,FALSE)</f>
        <v/>
      </c>
      <c r="C2248" s="32">
        <f>+VLOOKUP($A2248,MAGAZZINO!$B$2:$M$4838,3,FALSE)</f>
        <v/>
      </c>
      <c r="D2248" s="17">
        <f>+VLOOKUP($A2248,MAGAZZINO!$B$2:$M$4838,4,FALSE)</f>
        <v/>
      </c>
      <c r="E2248" s="17">
        <f>+VLOOKUP($A2248,MAGAZZINO!$B$2:$M$4838,5,FALSE)</f>
        <v/>
      </c>
      <c r="F2248" s="17">
        <f>+VLOOKUP($A2248,MAGAZZINO!$B$2:$M$4838,6,FALSE)</f>
        <v/>
      </c>
      <c r="G2248" s="17">
        <f>+VLOOKUP($A2248,MAGAZZINO!$B$2:$M$4838,7,FALSE)</f>
        <v/>
      </c>
      <c r="H2248" s="17">
        <f>+VLOOKUP($A2248,MAGAZZINO!$B$2:$M$4838,8,FALSE)</f>
        <v/>
      </c>
      <c r="I2248" s="17">
        <f>+VLOOKUP($A2248,MAGAZZINO!$B$2:$M$4838,9,FALSE)</f>
        <v/>
      </c>
      <c r="J2248" s="17">
        <f>+VLOOKUP($A2248,MAGAZZINO!$B$2:$M$4838,10,FALSE)</f>
        <v/>
      </c>
      <c r="K2248" s="17">
        <f>+VLOOKUP($A2248,MAGAZZINO!$B$2:$M$4838,11,FALSE)</f>
        <v/>
      </c>
      <c r="L2248" s="44">
        <f>+VLOOKUP($A2248,MAGAZZINO!$B$2:$M$4838,12,FALSE)</f>
        <v/>
      </c>
    </row>
    <row r="2249" ht="36" customHeight="1">
      <c r="A2249" s="30">
        <f>+REGISTRO!A2232</f>
        <v/>
      </c>
      <c r="B2249" s="31">
        <f>+VLOOKUP($A2249,MAGAZZINO!$B$2:$M$4838,2,FALSE)</f>
        <v/>
      </c>
      <c r="C2249" s="32">
        <f>+VLOOKUP($A2249,MAGAZZINO!$B$2:$M$4838,3,FALSE)</f>
        <v/>
      </c>
      <c r="D2249" s="17">
        <f>+VLOOKUP($A2249,MAGAZZINO!$B$2:$M$4838,4,FALSE)</f>
        <v/>
      </c>
      <c r="E2249" s="17">
        <f>+VLOOKUP($A2249,MAGAZZINO!$B$2:$M$4838,5,FALSE)</f>
        <v/>
      </c>
      <c r="F2249" s="17">
        <f>+VLOOKUP($A2249,MAGAZZINO!$B$2:$M$4838,6,FALSE)</f>
        <v/>
      </c>
      <c r="G2249" s="17">
        <f>+VLOOKUP($A2249,MAGAZZINO!$B$2:$M$4838,7,FALSE)</f>
        <v/>
      </c>
      <c r="H2249" s="17">
        <f>+VLOOKUP($A2249,MAGAZZINO!$B$2:$M$4838,8,FALSE)</f>
        <v/>
      </c>
      <c r="I2249" s="17">
        <f>+VLOOKUP($A2249,MAGAZZINO!$B$2:$M$4838,9,FALSE)</f>
        <v/>
      </c>
      <c r="J2249" s="17">
        <f>+VLOOKUP($A2249,MAGAZZINO!$B$2:$M$4838,10,FALSE)</f>
        <v/>
      </c>
      <c r="K2249" s="17">
        <f>+VLOOKUP($A2249,MAGAZZINO!$B$2:$M$4838,11,FALSE)</f>
        <v/>
      </c>
      <c r="L2249" s="44">
        <f>+VLOOKUP($A2249,MAGAZZINO!$B$2:$M$4838,12,FALSE)</f>
        <v/>
      </c>
    </row>
    <row r="2250" ht="36" customHeight="1">
      <c r="A2250" s="30">
        <f>+REGISTRO!A2233</f>
        <v/>
      </c>
      <c r="B2250" s="31">
        <f>+VLOOKUP($A2250,MAGAZZINO!$B$2:$M$4838,2,FALSE)</f>
        <v/>
      </c>
      <c r="C2250" s="32">
        <f>+VLOOKUP($A2250,MAGAZZINO!$B$2:$M$4838,3,FALSE)</f>
        <v/>
      </c>
      <c r="D2250" s="17">
        <f>+VLOOKUP($A2250,MAGAZZINO!$B$2:$M$4838,4,FALSE)</f>
        <v/>
      </c>
      <c r="E2250" s="17">
        <f>+VLOOKUP($A2250,MAGAZZINO!$B$2:$M$4838,5,FALSE)</f>
        <v/>
      </c>
      <c r="F2250" s="17">
        <f>+VLOOKUP($A2250,MAGAZZINO!$B$2:$M$4838,6,FALSE)</f>
        <v/>
      </c>
      <c r="G2250" s="17">
        <f>+VLOOKUP($A2250,MAGAZZINO!$B$2:$M$4838,7,FALSE)</f>
        <v/>
      </c>
      <c r="H2250" s="17">
        <f>+VLOOKUP($A2250,MAGAZZINO!$B$2:$M$4838,8,FALSE)</f>
        <v/>
      </c>
      <c r="I2250" s="17">
        <f>+VLOOKUP($A2250,MAGAZZINO!$B$2:$M$4838,9,FALSE)</f>
        <v/>
      </c>
      <c r="J2250" s="17">
        <f>+VLOOKUP($A2250,MAGAZZINO!$B$2:$M$4838,10,FALSE)</f>
        <v/>
      </c>
      <c r="K2250" s="17">
        <f>+VLOOKUP($A2250,MAGAZZINO!$B$2:$M$4838,11,FALSE)</f>
        <v/>
      </c>
      <c r="L2250" s="44">
        <f>+VLOOKUP($A2250,MAGAZZINO!$B$2:$M$4838,12,FALSE)</f>
        <v/>
      </c>
    </row>
    <row r="2251" ht="36" customHeight="1">
      <c r="A2251" s="30">
        <f>+REGISTRO!A2234</f>
        <v/>
      </c>
      <c r="B2251" s="31">
        <f>+VLOOKUP($A2251,MAGAZZINO!$B$2:$M$4838,2,FALSE)</f>
        <v/>
      </c>
      <c r="C2251" s="32">
        <f>+VLOOKUP($A2251,MAGAZZINO!$B$2:$M$4838,3,FALSE)</f>
        <v/>
      </c>
      <c r="D2251" s="17">
        <f>+VLOOKUP($A2251,MAGAZZINO!$B$2:$M$4838,4,FALSE)</f>
        <v/>
      </c>
      <c r="E2251" s="17">
        <f>+VLOOKUP($A2251,MAGAZZINO!$B$2:$M$4838,5,FALSE)</f>
        <v/>
      </c>
      <c r="F2251" s="17">
        <f>+VLOOKUP($A2251,MAGAZZINO!$B$2:$M$4838,6,FALSE)</f>
        <v/>
      </c>
      <c r="G2251" s="17">
        <f>+VLOOKUP($A2251,MAGAZZINO!$B$2:$M$4838,7,FALSE)</f>
        <v/>
      </c>
      <c r="H2251" s="17">
        <f>+VLOOKUP($A2251,MAGAZZINO!$B$2:$M$4838,8,FALSE)</f>
        <v/>
      </c>
      <c r="I2251" s="17">
        <f>+VLOOKUP($A2251,MAGAZZINO!$B$2:$M$4838,9,FALSE)</f>
        <v/>
      </c>
      <c r="J2251" s="17">
        <f>+VLOOKUP($A2251,MAGAZZINO!$B$2:$M$4838,10,FALSE)</f>
        <v/>
      </c>
      <c r="K2251" s="17">
        <f>+VLOOKUP($A2251,MAGAZZINO!$B$2:$M$4838,11,FALSE)</f>
        <v/>
      </c>
      <c r="L2251" s="44">
        <f>+VLOOKUP($A2251,MAGAZZINO!$B$2:$M$4838,12,FALSE)</f>
        <v/>
      </c>
    </row>
    <row r="2252" ht="36" customHeight="1">
      <c r="A2252" s="30">
        <f>+REGISTRO!A2235</f>
        <v/>
      </c>
      <c r="B2252" s="31">
        <f>+VLOOKUP($A2252,MAGAZZINO!$B$2:$M$4838,2,FALSE)</f>
        <v/>
      </c>
      <c r="C2252" s="32">
        <f>+VLOOKUP($A2252,MAGAZZINO!$B$2:$M$4838,3,FALSE)</f>
        <v/>
      </c>
      <c r="D2252" s="17">
        <f>+VLOOKUP($A2252,MAGAZZINO!$B$2:$M$4838,4,FALSE)</f>
        <v/>
      </c>
      <c r="E2252" s="17">
        <f>+VLOOKUP($A2252,MAGAZZINO!$B$2:$M$4838,5,FALSE)</f>
        <v/>
      </c>
      <c r="F2252" s="17">
        <f>+VLOOKUP($A2252,MAGAZZINO!$B$2:$M$4838,6,FALSE)</f>
        <v/>
      </c>
      <c r="G2252" s="17">
        <f>+VLOOKUP($A2252,MAGAZZINO!$B$2:$M$4838,7,FALSE)</f>
        <v/>
      </c>
      <c r="H2252" s="17">
        <f>+VLOOKUP($A2252,MAGAZZINO!$B$2:$M$4838,8,FALSE)</f>
        <v/>
      </c>
      <c r="I2252" s="17">
        <f>+VLOOKUP($A2252,MAGAZZINO!$B$2:$M$4838,9,FALSE)</f>
        <v/>
      </c>
      <c r="J2252" s="17">
        <f>+VLOOKUP($A2252,MAGAZZINO!$B$2:$M$4838,10,FALSE)</f>
        <v/>
      </c>
      <c r="K2252" s="17">
        <f>+VLOOKUP($A2252,MAGAZZINO!$B$2:$M$4838,11,FALSE)</f>
        <v/>
      </c>
      <c r="L2252" s="44">
        <f>+VLOOKUP($A2252,MAGAZZINO!$B$2:$M$4838,12,FALSE)</f>
        <v/>
      </c>
    </row>
    <row r="2253" ht="36" customHeight="1">
      <c r="A2253" s="30">
        <f>+REGISTRO!A2236</f>
        <v/>
      </c>
      <c r="B2253" s="31">
        <f>+VLOOKUP($A2253,MAGAZZINO!$B$2:$M$4838,2,FALSE)</f>
        <v/>
      </c>
      <c r="C2253" s="32">
        <f>+VLOOKUP($A2253,MAGAZZINO!$B$2:$M$4838,3,FALSE)</f>
        <v/>
      </c>
      <c r="D2253" s="17">
        <f>+VLOOKUP($A2253,MAGAZZINO!$B$2:$M$4838,4,FALSE)</f>
        <v/>
      </c>
      <c r="E2253" s="17">
        <f>+VLOOKUP($A2253,MAGAZZINO!$B$2:$M$4838,5,FALSE)</f>
        <v/>
      </c>
      <c r="F2253" s="17">
        <f>+VLOOKUP($A2253,MAGAZZINO!$B$2:$M$4838,6,FALSE)</f>
        <v/>
      </c>
      <c r="G2253" s="17">
        <f>+VLOOKUP($A2253,MAGAZZINO!$B$2:$M$4838,7,FALSE)</f>
        <v/>
      </c>
      <c r="H2253" s="17">
        <f>+VLOOKUP($A2253,MAGAZZINO!$B$2:$M$4838,8,FALSE)</f>
        <v/>
      </c>
      <c r="I2253" s="17">
        <f>+VLOOKUP($A2253,MAGAZZINO!$B$2:$M$4838,9,FALSE)</f>
        <v/>
      </c>
      <c r="J2253" s="17">
        <f>+VLOOKUP($A2253,MAGAZZINO!$B$2:$M$4838,10,FALSE)</f>
        <v/>
      </c>
      <c r="K2253" s="17">
        <f>+VLOOKUP($A2253,MAGAZZINO!$B$2:$M$4838,11,FALSE)</f>
        <v/>
      </c>
      <c r="L2253" s="44">
        <f>+VLOOKUP($A2253,MAGAZZINO!$B$2:$M$4838,12,FALSE)</f>
        <v/>
      </c>
    </row>
    <row r="2254" ht="36" customHeight="1">
      <c r="A2254" s="30">
        <f>+REGISTRO!A2237</f>
        <v/>
      </c>
      <c r="B2254" s="31">
        <f>+VLOOKUP($A2254,MAGAZZINO!$B$2:$M$4838,2,FALSE)</f>
        <v/>
      </c>
      <c r="C2254" s="32">
        <f>+VLOOKUP($A2254,MAGAZZINO!$B$2:$M$4838,3,FALSE)</f>
        <v/>
      </c>
      <c r="D2254" s="17">
        <f>+VLOOKUP($A2254,MAGAZZINO!$B$2:$M$4838,4,FALSE)</f>
        <v/>
      </c>
      <c r="E2254" s="17">
        <f>+VLOOKUP($A2254,MAGAZZINO!$B$2:$M$4838,5,FALSE)</f>
        <v/>
      </c>
      <c r="F2254" s="17">
        <f>+VLOOKUP($A2254,MAGAZZINO!$B$2:$M$4838,6,FALSE)</f>
        <v/>
      </c>
      <c r="G2254" s="17">
        <f>+VLOOKUP($A2254,MAGAZZINO!$B$2:$M$4838,7,FALSE)</f>
        <v/>
      </c>
      <c r="H2254" s="17">
        <f>+VLOOKUP($A2254,MAGAZZINO!$B$2:$M$4838,8,FALSE)</f>
        <v/>
      </c>
      <c r="I2254" s="17">
        <f>+VLOOKUP($A2254,MAGAZZINO!$B$2:$M$4838,9,FALSE)</f>
        <v/>
      </c>
      <c r="J2254" s="17">
        <f>+VLOOKUP($A2254,MAGAZZINO!$B$2:$M$4838,10,FALSE)</f>
        <v/>
      </c>
      <c r="K2254" s="17">
        <f>+VLOOKUP($A2254,MAGAZZINO!$B$2:$M$4838,11,FALSE)</f>
        <v/>
      </c>
      <c r="L2254" s="44">
        <f>+VLOOKUP($A2254,MAGAZZINO!$B$2:$M$4838,12,FALSE)</f>
        <v/>
      </c>
    </row>
    <row r="2255" ht="36" customHeight="1">
      <c r="A2255" s="30">
        <f>+REGISTRO!A2238</f>
        <v/>
      </c>
      <c r="B2255" s="31">
        <f>+VLOOKUP($A2255,MAGAZZINO!$B$2:$M$4838,2,FALSE)</f>
        <v/>
      </c>
      <c r="C2255" s="32">
        <f>+VLOOKUP($A2255,MAGAZZINO!$B$2:$M$4838,3,FALSE)</f>
        <v/>
      </c>
      <c r="D2255" s="17">
        <f>+VLOOKUP($A2255,MAGAZZINO!$B$2:$M$4838,4,FALSE)</f>
        <v/>
      </c>
      <c r="E2255" s="17">
        <f>+VLOOKUP($A2255,MAGAZZINO!$B$2:$M$4838,5,FALSE)</f>
        <v/>
      </c>
      <c r="F2255" s="17">
        <f>+VLOOKUP($A2255,MAGAZZINO!$B$2:$M$4838,6,FALSE)</f>
        <v/>
      </c>
      <c r="G2255" s="17">
        <f>+VLOOKUP($A2255,MAGAZZINO!$B$2:$M$4838,7,FALSE)</f>
        <v/>
      </c>
      <c r="H2255" s="17">
        <f>+VLOOKUP($A2255,MAGAZZINO!$B$2:$M$4838,8,FALSE)</f>
        <v/>
      </c>
      <c r="I2255" s="17">
        <f>+VLOOKUP($A2255,MAGAZZINO!$B$2:$M$4838,9,FALSE)</f>
        <v/>
      </c>
      <c r="J2255" s="17">
        <f>+VLOOKUP($A2255,MAGAZZINO!$B$2:$M$4838,10,FALSE)</f>
        <v/>
      </c>
      <c r="K2255" s="17">
        <f>+VLOOKUP($A2255,MAGAZZINO!$B$2:$M$4838,11,FALSE)</f>
        <v/>
      </c>
      <c r="L2255" s="44">
        <f>+VLOOKUP($A2255,MAGAZZINO!$B$2:$M$4838,12,FALSE)</f>
        <v/>
      </c>
    </row>
    <row r="2256" ht="36" customHeight="1">
      <c r="A2256" s="30">
        <f>+REGISTRO!A2239</f>
        <v/>
      </c>
      <c r="B2256" s="31">
        <f>+VLOOKUP($A2256,MAGAZZINO!$B$2:$M$4838,2,FALSE)</f>
        <v/>
      </c>
      <c r="C2256" s="32">
        <f>+VLOOKUP($A2256,MAGAZZINO!$B$2:$M$4838,3,FALSE)</f>
        <v/>
      </c>
      <c r="D2256" s="17">
        <f>+VLOOKUP($A2256,MAGAZZINO!$B$2:$M$4838,4,FALSE)</f>
        <v/>
      </c>
      <c r="E2256" s="17">
        <f>+VLOOKUP($A2256,MAGAZZINO!$B$2:$M$4838,5,FALSE)</f>
        <v/>
      </c>
      <c r="F2256" s="17">
        <f>+VLOOKUP($A2256,MAGAZZINO!$B$2:$M$4838,6,FALSE)</f>
        <v/>
      </c>
      <c r="G2256" s="17">
        <f>+VLOOKUP($A2256,MAGAZZINO!$B$2:$M$4838,7,FALSE)</f>
        <v/>
      </c>
      <c r="H2256" s="17">
        <f>+VLOOKUP($A2256,MAGAZZINO!$B$2:$M$4838,8,FALSE)</f>
        <v/>
      </c>
      <c r="I2256" s="17">
        <f>+VLOOKUP($A2256,MAGAZZINO!$B$2:$M$4838,9,FALSE)</f>
        <v/>
      </c>
      <c r="J2256" s="17">
        <f>+VLOOKUP($A2256,MAGAZZINO!$B$2:$M$4838,10,FALSE)</f>
        <v/>
      </c>
      <c r="K2256" s="17">
        <f>+VLOOKUP($A2256,MAGAZZINO!$B$2:$M$4838,11,FALSE)</f>
        <v/>
      </c>
      <c r="L2256" s="44">
        <f>+VLOOKUP($A2256,MAGAZZINO!$B$2:$M$4838,12,FALSE)</f>
        <v/>
      </c>
    </row>
    <row r="2257" ht="36" customHeight="1">
      <c r="A2257" s="30">
        <f>+REGISTRO!A2240</f>
        <v/>
      </c>
      <c r="B2257" s="31">
        <f>+VLOOKUP($A2257,MAGAZZINO!$B$2:$M$4838,2,FALSE)</f>
        <v/>
      </c>
      <c r="C2257" s="32">
        <f>+VLOOKUP($A2257,MAGAZZINO!$B$2:$M$4838,3,FALSE)</f>
        <v/>
      </c>
      <c r="D2257" s="17">
        <f>+VLOOKUP($A2257,MAGAZZINO!$B$2:$M$4838,4,FALSE)</f>
        <v/>
      </c>
      <c r="E2257" s="17">
        <f>+VLOOKUP($A2257,MAGAZZINO!$B$2:$M$4838,5,FALSE)</f>
        <v/>
      </c>
      <c r="F2257" s="17">
        <f>+VLOOKUP($A2257,MAGAZZINO!$B$2:$M$4838,6,FALSE)</f>
        <v/>
      </c>
      <c r="G2257" s="17">
        <f>+VLOOKUP($A2257,MAGAZZINO!$B$2:$M$4838,7,FALSE)</f>
        <v/>
      </c>
      <c r="H2257" s="17">
        <f>+VLOOKUP($A2257,MAGAZZINO!$B$2:$M$4838,8,FALSE)</f>
        <v/>
      </c>
      <c r="I2257" s="17">
        <f>+VLOOKUP($A2257,MAGAZZINO!$B$2:$M$4838,9,FALSE)</f>
        <v/>
      </c>
      <c r="J2257" s="17">
        <f>+VLOOKUP($A2257,MAGAZZINO!$B$2:$M$4838,10,FALSE)</f>
        <v/>
      </c>
      <c r="K2257" s="17">
        <f>+VLOOKUP($A2257,MAGAZZINO!$B$2:$M$4838,11,FALSE)</f>
        <v/>
      </c>
      <c r="L2257" s="44">
        <f>+VLOOKUP($A2257,MAGAZZINO!$B$2:$M$4838,12,FALSE)</f>
        <v/>
      </c>
    </row>
    <row r="2258" ht="36" customHeight="1">
      <c r="A2258" s="30">
        <f>+REGISTRO!A2241</f>
        <v/>
      </c>
      <c r="B2258" s="31">
        <f>+VLOOKUP($A2258,MAGAZZINO!$B$2:$M$4838,2,FALSE)</f>
        <v/>
      </c>
      <c r="C2258" s="32">
        <f>+VLOOKUP($A2258,MAGAZZINO!$B$2:$M$4838,3,FALSE)</f>
        <v/>
      </c>
      <c r="D2258" s="17">
        <f>+VLOOKUP($A2258,MAGAZZINO!$B$2:$M$4838,4,FALSE)</f>
        <v/>
      </c>
      <c r="E2258" s="17">
        <f>+VLOOKUP($A2258,MAGAZZINO!$B$2:$M$4838,5,FALSE)</f>
        <v/>
      </c>
      <c r="F2258" s="17">
        <f>+VLOOKUP($A2258,MAGAZZINO!$B$2:$M$4838,6,FALSE)</f>
        <v/>
      </c>
      <c r="G2258" s="17">
        <f>+VLOOKUP($A2258,MAGAZZINO!$B$2:$M$4838,7,FALSE)</f>
        <v/>
      </c>
      <c r="H2258" s="17">
        <f>+VLOOKUP($A2258,MAGAZZINO!$B$2:$M$4838,8,FALSE)</f>
        <v/>
      </c>
      <c r="I2258" s="17">
        <f>+VLOOKUP($A2258,MAGAZZINO!$B$2:$M$4838,9,FALSE)</f>
        <v/>
      </c>
      <c r="J2258" s="17">
        <f>+VLOOKUP($A2258,MAGAZZINO!$B$2:$M$4838,10,FALSE)</f>
        <v/>
      </c>
      <c r="K2258" s="17">
        <f>+VLOOKUP($A2258,MAGAZZINO!$B$2:$M$4838,11,FALSE)</f>
        <v/>
      </c>
      <c r="L2258" s="44">
        <f>+VLOOKUP($A2258,MAGAZZINO!$B$2:$M$4838,12,FALSE)</f>
        <v/>
      </c>
    </row>
    <row r="2259" ht="36" customHeight="1">
      <c r="A2259" s="30">
        <f>+REGISTRO!A2242</f>
        <v/>
      </c>
      <c r="B2259" s="31">
        <f>+VLOOKUP($A2259,MAGAZZINO!$B$2:$M$4838,2,FALSE)</f>
        <v/>
      </c>
      <c r="C2259" s="32">
        <f>+VLOOKUP($A2259,MAGAZZINO!$B$2:$M$4838,3,FALSE)</f>
        <v/>
      </c>
      <c r="D2259" s="17">
        <f>+VLOOKUP($A2259,MAGAZZINO!$B$2:$M$4838,4,FALSE)</f>
        <v/>
      </c>
      <c r="E2259" s="17">
        <f>+VLOOKUP($A2259,MAGAZZINO!$B$2:$M$4838,5,FALSE)</f>
        <v/>
      </c>
      <c r="F2259" s="17">
        <f>+VLOOKUP($A2259,MAGAZZINO!$B$2:$M$4838,6,FALSE)</f>
        <v/>
      </c>
      <c r="G2259" s="17">
        <f>+VLOOKUP($A2259,MAGAZZINO!$B$2:$M$4838,7,FALSE)</f>
        <v/>
      </c>
      <c r="H2259" s="17">
        <f>+VLOOKUP($A2259,MAGAZZINO!$B$2:$M$4838,8,FALSE)</f>
        <v/>
      </c>
      <c r="I2259" s="17">
        <f>+VLOOKUP($A2259,MAGAZZINO!$B$2:$M$4838,9,FALSE)</f>
        <v/>
      </c>
      <c r="J2259" s="17">
        <f>+VLOOKUP($A2259,MAGAZZINO!$B$2:$M$4838,10,FALSE)</f>
        <v/>
      </c>
      <c r="K2259" s="17">
        <f>+VLOOKUP($A2259,MAGAZZINO!$B$2:$M$4838,11,FALSE)</f>
        <v/>
      </c>
      <c r="L2259" s="44">
        <f>+VLOOKUP($A2259,MAGAZZINO!$B$2:$M$4838,12,FALSE)</f>
        <v/>
      </c>
    </row>
    <row r="2260" ht="36" customHeight="1">
      <c r="A2260" s="30">
        <f>+REGISTRO!A2243</f>
        <v/>
      </c>
      <c r="B2260" s="31">
        <f>+VLOOKUP($A2260,MAGAZZINO!$B$2:$M$4838,2,FALSE)</f>
        <v/>
      </c>
      <c r="C2260" s="32">
        <f>+VLOOKUP($A2260,MAGAZZINO!$B$2:$M$4838,3,FALSE)</f>
        <v/>
      </c>
      <c r="D2260" s="17">
        <f>+VLOOKUP($A2260,MAGAZZINO!$B$2:$M$4838,4,FALSE)</f>
        <v/>
      </c>
      <c r="E2260" s="17">
        <f>+VLOOKUP($A2260,MAGAZZINO!$B$2:$M$4838,5,FALSE)</f>
        <v/>
      </c>
      <c r="F2260" s="17">
        <f>+VLOOKUP($A2260,MAGAZZINO!$B$2:$M$4838,6,FALSE)</f>
        <v/>
      </c>
      <c r="G2260" s="17">
        <f>+VLOOKUP($A2260,MAGAZZINO!$B$2:$M$4838,7,FALSE)</f>
        <v/>
      </c>
      <c r="H2260" s="17">
        <f>+VLOOKUP($A2260,MAGAZZINO!$B$2:$M$4838,8,FALSE)</f>
        <v/>
      </c>
      <c r="I2260" s="17">
        <f>+VLOOKUP($A2260,MAGAZZINO!$B$2:$M$4838,9,FALSE)</f>
        <v/>
      </c>
      <c r="J2260" s="17">
        <f>+VLOOKUP($A2260,MAGAZZINO!$B$2:$M$4838,10,FALSE)</f>
        <v/>
      </c>
      <c r="K2260" s="17">
        <f>+VLOOKUP($A2260,MAGAZZINO!$B$2:$M$4838,11,FALSE)</f>
        <v/>
      </c>
      <c r="L2260" s="44">
        <f>+VLOOKUP($A2260,MAGAZZINO!$B$2:$M$4838,12,FALSE)</f>
        <v/>
      </c>
    </row>
    <row r="2261" ht="36" customHeight="1">
      <c r="A2261" s="30">
        <f>+REGISTRO!A2244</f>
        <v/>
      </c>
      <c r="B2261" s="31">
        <f>+VLOOKUP($A2261,MAGAZZINO!$B$2:$M$4838,2,FALSE)</f>
        <v/>
      </c>
      <c r="C2261" s="32">
        <f>+VLOOKUP($A2261,MAGAZZINO!$B$2:$M$4838,3,FALSE)</f>
        <v/>
      </c>
      <c r="D2261" s="17">
        <f>+VLOOKUP($A2261,MAGAZZINO!$B$2:$M$4838,4,FALSE)</f>
        <v/>
      </c>
      <c r="E2261" s="17">
        <f>+VLOOKUP($A2261,MAGAZZINO!$B$2:$M$4838,5,FALSE)</f>
        <v/>
      </c>
      <c r="F2261" s="17">
        <f>+VLOOKUP($A2261,MAGAZZINO!$B$2:$M$4838,6,FALSE)</f>
        <v/>
      </c>
      <c r="G2261" s="17">
        <f>+VLOOKUP($A2261,MAGAZZINO!$B$2:$M$4838,7,FALSE)</f>
        <v/>
      </c>
      <c r="H2261" s="17">
        <f>+VLOOKUP($A2261,MAGAZZINO!$B$2:$M$4838,8,FALSE)</f>
        <v/>
      </c>
      <c r="I2261" s="17">
        <f>+VLOOKUP($A2261,MAGAZZINO!$B$2:$M$4838,9,FALSE)</f>
        <v/>
      </c>
      <c r="J2261" s="17">
        <f>+VLOOKUP($A2261,MAGAZZINO!$B$2:$M$4838,10,FALSE)</f>
        <v/>
      </c>
      <c r="K2261" s="17">
        <f>+VLOOKUP($A2261,MAGAZZINO!$B$2:$M$4838,11,FALSE)</f>
        <v/>
      </c>
      <c r="L2261" s="44">
        <f>+VLOOKUP($A2261,MAGAZZINO!$B$2:$M$4838,12,FALSE)</f>
        <v/>
      </c>
    </row>
    <row r="2262" ht="36" customHeight="1">
      <c r="A2262" s="30">
        <f>+REGISTRO!A2245</f>
        <v/>
      </c>
      <c r="B2262" s="31">
        <f>+VLOOKUP($A2262,MAGAZZINO!$B$2:$M$4838,2,FALSE)</f>
        <v/>
      </c>
      <c r="C2262" s="32">
        <f>+VLOOKUP($A2262,MAGAZZINO!$B$2:$M$4838,3,FALSE)</f>
        <v/>
      </c>
      <c r="D2262" s="17">
        <f>+VLOOKUP($A2262,MAGAZZINO!$B$2:$M$4838,4,FALSE)</f>
        <v/>
      </c>
      <c r="E2262" s="17">
        <f>+VLOOKUP($A2262,MAGAZZINO!$B$2:$M$4838,5,FALSE)</f>
        <v/>
      </c>
      <c r="F2262" s="17">
        <f>+VLOOKUP($A2262,MAGAZZINO!$B$2:$M$4838,6,FALSE)</f>
        <v/>
      </c>
      <c r="G2262" s="17">
        <f>+VLOOKUP($A2262,MAGAZZINO!$B$2:$M$4838,7,FALSE)</f>
        <v/>
      </c>
      <c r="H2262" s="17">
        <f>+VLOOKUP($A2262,MAGAZZINO!$B$2:$M$4838,8,FALSE)</f>
        <v/>
      </c>
      <c r="I2262" s="17">
        <f>+VLOOKUP($A2262,MAGAZZINO!$B$2:$M$4838,9,FALSE)</f>
        <v/>
      </c>
      <c r="J2262" s="17">
        <f>+VLOOKUP($A2262,MAGAZZINO!$B$2:$M$4838,10,FALSE)</f>
        <v/>
      </c>
      <c r="K2262" s="17">
        <f>+VLOOKUP($A2262,MAGAZZINO!$B$2:$M$4838,11,FALSE)</f>
        <v/>
      </c>
      <c r="L2262" s="44">
        <f>+VLOOKUP($A2262,MAGAZZINO!$B$2:$M$4838,12,FALSE)</f>
        <v/>
      </c>
    </row>
    <row r="2263" ht="36" customHeight="1">
      <c r="A2263" s="30">
        <f>+REGISTRO!A2246</f>
        <v/>
      </c>
      <c r="B2263" s="31">
        <f>+VLOOKUP($A2263,MAGAZZINO!$B$2:$M$4838,2,FALSE)</f>
        <v/>
      </c>
      <c r="C2263" s="32">
        <f>+VLOOKUP($A2263,MAGAZZINO!$B$2:$M$4838,3,FALSE)</f>
        <v/>
      </c>
      <c r="D2263" s="17">
        <f>+VLOOKUP($A2263,MAGAZZINO!$B$2:$M$4838,4,FALSE)</f>
        <v/>
      </c>
      <c r="E2263" s="17">
        <f>+VLOOKUP($A2263,MAGAZZINO!$B$2:$M$4838,5,FALSE)</f>
        <v/>
      </c>
      <c r="F2263" s="17">
        <f>+VLOOKUP($A2263,MAGAZZINO!$B$2:$M$4838,6,FALSE)</f>
        <v/>
      </c>
      <c r="G2263" s="17">
        <f>+VLOOKUP($A2263,MAGAZZINO!$B$2:$M$4838,7,FALSE)</f>
        <v/>
      </c>
      <c r="H2263" s="17">
        <f>+VLOOKUP($A2263,MAGAZZINO!$B$2:$M$4838,8,FALSE)</f>
        <v/>
      </c>
      <c r="I2263" s="17">
        <f>+VLOOKUP($A2263,MAGAZZINO!$B$2:$M$4838,9,FALSE)</f>
        <v/>
      </c>
      <c r="J2263" s="17">
        <f>+VLOOKUP($A2263,MAGAZZINO!$B$2:$M$4838,10,FALSE)</f>
        <v/>
      </c>
      <c r="K2263" s="17">
        <f>+VLOOKUP($A2263,MAGAZZINO!$B$2:$M$4838,11,FALSE)</f>
        <v/>
      </c>
      <c r="L2263" s="44">
        <f>+VLOOKUP($A2263,MAGAZZINO!$B$2:$M$4838,12,FALSE)</f>
        <v/>
      </c>
    </row>
    <row r="2264" ht="36" customHeight="1">
      <c r="A2264" s="30">
        <f>+REGISTRO!A2247</f>
        <v/>
      </c>
      <c r="B2264" s="31">
        <f>+VLOOKUP($A2264,MAGAZZINO!$B$2:$M$4838,2,FALSE)</f>
        <v/>
      </c>
      <c r="C2264" s="32">
        <f>+VLOOKUP($A2264,MAGAZZINO!$B$2:$M$4838,3,FALSE)</f>
        <v/>
      </c>
      <c r="D2264" s="17">
        <f>+VLOOKUP($A2264,MAGAZZINO!$B$2:$M$4838,4,FALSE)</f>
        <v/>
      </c>
      <c r="E2264" s="17">
        <f>+VLOOKUP($A2264,MAGAZZINO!$B$2:$M$4838,5,FALSE)</f>
        <v/>
      </c>
      <c r="F2264" s="17">
        <f>+VLOOKUP($A2264,MAGAZZINO!$B$2:$M$4838,6,FALSE)</f>
        <v/>
      </c>
      <c r="G2264" s="17">
        <f>+VLOOKUP($A2264,MAGAZZINO!$B$2:$M$4838,7,FALSE)</f>
        <v/>
      </c>
      <c r="H2264" s="17">
        <f>+VLOOKUP($A2264,MAGAZZINO!$B$2:$M$4838,8,FALSE)</f>
        <v/>
      </c>
      <c r="I2264" s="17">
        <f>+VLOOKUP($A2264,MAGAZZINO!$B$2:$M$4838,9,FALSE)</f>
        <v/>
      </c>
      <c r="J2264" s="17">
        <f>+VLOOKUP($A2264,MAGAZZINO!$B$2:$M$4838,10,FALSE)</f>
        <v/>
      </c>
      <c r="K2264" s="17">
        <f>+VLOOKUP($A2264,MAGAZZINO!$B$2:$M$4838,11,FALSE)</f>
        <v/>
      </c>
      <c r="L2264" s="44">
        <f>+VLOOKUP($A2264,MAGAZZINO!$B$2:$M$4838,12,FALSE)</f>
        <v/>
      </c>
    </row>
    <row r="2265" ht="36" customHeight="1">
      <c r="A2265" s="30">
        <f>+REGISTRO!A2248</f>
        <v/>
      </c>
      <c r="B2265" s="31">
        <f>+VLOOKUP($A2265,MAGAZZINO!$B$2:$M$4838,2,FALSE)</f>
        <v/>
      </c>
      <c r="C2265" s="32">
        <f>+VLOOKUP($A2265,MAGAZZINO!$B$2:$M$4838,3,FALSE)</f>
        <v/>
      </c>
      <c r="D2265" s="17">
        <f>+VLOOKUP($A2265,MAGAZZINO!$B$2:$M$4838,4,FALSE)</f>
        <v/>
      </c>
      <c r="E2265" s="17">
        <f>+VLOOKUP($A2265,MAGAZZINO!$B$2:$M$4838,5,FALSE)</f>
        <v/>
      </c>
      <c r="F2265" s="17">
        <f>+VLOOKUP($A2265,MAGAZZINO!$B$2:$M$4838,6,FALSE)</f>
        <v/>
      </c>
      <c r="G2265" s="17">
        <f>+VLOOKUP($A2265,MAGAZZINO!$B$2:$M$4838,7,FALSE)</f>
        <v/>
      </c>
      <c r="H2265" s="17">
        <f>+VLOOKUP($A2265,MAGAZZINO!$B$2:$M$4838,8,FALSE)</f>
        <v/>
      </c>
      <c r="I2265" s="17">
        <f>+VLOOKUP($A2265,MAGAZZINO!$B$2:$M$4838,9,FALSE)</f>
        <v/>
      </c>
      <c r="J2265" s="17">
        <f>+VLOOKUP($A2265,MAGAZZINO!$B$2:$M$4838,10,FALSE)</f>
        <v/>
      </c>
      <c r="K2265" s="17">
        <f>+VLOOKUP($A2265,MAGAZZINO!$B$2:$M$4838,11,FALSE)</f>
        <v/>
      </c>
      <c r="L2265" s="44">
        <f>+VLOOKUP($A2265,MAGAZZINO!$B$2:$M$4838,12,FALSE)</f>
        <v/>
      </c>
    </row>
    <row r="2266" ht="36" customHeight="1">
      <c r="A2266" s="30">
        <f>+REGISTRO!A2249</f>
        <v/>
      </c>
      <c r="B2266" s="31">
        <f>+VLOOKUP($A2266,MAGAZZINO!$B$2:$M$4838,2,FALSE)</f>
        <v/>
      </c>
      <c r="C2266" s="32">
        <f>+VLOOKUP($A2266,MAGAZZINO!$B$2:$M$4838,3,FALSE)</f>
        <v/>
      </c>
      <c r="D2266" s="17">
        <f>+VLOOKUP($A2266,MAGAZZINO!$B$2:$M$4838,4,FALSE)</f>
        <v/>
      </c>
      <c r="E2266" s="17">
        <f>+VLOOKUP($A2266,MAGAZZINO!$B$2:$M$4838,5,FALSE)</f>
        <v/>
      </c>
      <c r="F2266" s="17">
        <f>+VLOOKUP($A2266,MAGAZZINO!$B$2:$M$4838,6,FALSE)</f>
        <v/>
      </c>
      <c r="G2266" s="17">
        <f>+VLOOKUP($A2266,MAGAZZINO!$B$2:$M$4838,7,FALSE)</f>
        <v/>
      </c>
      <c r="H2266" s="17">
        <f>+VLOOKUP($A2266,MAGAZZINO!$B$2:$M$4838,8,FALSE)</f>
        <v/>
      </c>
      <c r="I2266" s="17">
        <f>+VLOOKUP($A2266,MAGAZZINO!$B$2:$M$4838,9,FALSE)</f>
        <v/>
      </c>
      <c r="J2266" s="17">
        <f>+VLOOKUP($A2266,MAGAZZINO!$B$2:$M$4838,10,FALSE)</f>
        <v/>
      </c>
      <c r="K2266" s="17">
        <f>+VLOOKUP($A2266,MAGAZZINO!$B$2:$M$4838,11,FALSE)</f>
        <v/>
      </c>
      <c r="L2266" s="44">
        <f>+VLOOKUP($A2266,MAGAZZINO!$B$2:$M$4838,12,FALSE)</f>
        <v/>
      </c>
    </row>
    <row r="2267" ht="36" customHeight="1">
      <c r="A2267" s="30">
        <f>+REGISTRO!A2250</f>
        <v/>
      </c>
      <c r="B2267" s="31">
        <f>+VLOOKUP($A2267,MAGAZZINO!$B$2:$M$4838,2,FALSE)</f>
        <v/>
      </c>
      <c r="C2267" s="32">
        <f>+VLOOKUP($A2267,MAGAZZINO!$B$2:$M$4838,3,FALSE)</f>
        <v/>
      </c>
      <c r="D2267" s="17">
        <f>+VLOOKUP($A2267,MAGAZZINO!$B$2:$M$4838,4,FALSE)</f>
        <v/>
      </c>
      <c r="E2267" s="17">
        <f>+VLOOKUP($A2267,MAGAZZINO!$B$2:$M$4838,5,FALSE)</f>
        <v/>
      </c>
      <c r="F2267" s="17">
        <f>+VLOOKUP($A2267,MAGAZZINO!$B$2:$M$4838,6,FALSE)</f>
        <v/>
      </c>
      <c r="G2267" s="17">
        <f>+VLOOKUP($A2267,MAGAZZINO!$B$2:$M$4838,7,FALSE)</f>
        <v/>
      </c>
      <c r="H2267" s="17">
        <f>+VLOOKUP($A2267,MAGAZZINO!$B$2:$M$4838,8,FALSE)</f>
        <v/>
      </c>
      <c r="I2267" s="17">
        <f>+VLOOKUP($A2267,MAGAZZINO!$B$2:$M$4838,9,FALSE)</f>
        <v/>
      </c>
      <c r="J2267" s="17">
        <f>+VLOOKUP($A2267,MAGAZZINO!$B$2:$M$4838,10,FALSE)</f>
        <v/>
      </c>
      <c r="K2267" s="17">
        <f>+VLOOKUP($A2267,MAGAZZINO!$B$2:$M$4838,11,FALSE)</f>
        <v/>
      </c>
      <c r="L2267" s="44">
        <f>+VLOOKUP($A2267,MAGAZZINO!$B$2:$M$4838,12,FALSE)</f>
        <v/>
      </c>
    </row>
    <row r="2268" ht="36" customHeight="1">
      <c r="A2268" s="30">
        <f>+REGISTRO!A2251</f>
        <v/>
      </c>
      <c r="B2268" s="31">
        <f>+VLOOKUP($A2268,MAGAZZINO!$B$2:$M$4838,2,FALSE)</f>
        <v/>
      </c>
      <c r="C2268" s="32">
        <f>+VLOOKUP($A2268,MAGAZZINO!$B$2:$M$4838,3,FALSE)</f>
        <v/>
      </c>
      <c r="D2268" s="17">
        <f>+VLOOKUP($A2268,MAGAZZINO!$B$2:$M$4838,4,FALSE)</f>
        <v/>
      </c>
      <c r="E2268" s="17">
        <f>+VLOOKUP($A2268,MAGAZZINO!$B$2:$M$4838,5,FALSE)</f>
        <v/>
      </c>
      <c r="F2268" s="17">
        <f>+VLOOKUP($A2268,MAGAZZINO!$B$2:$M$4838,6,FALSE)</f>
        <v/>
      </c>
      <c r="G2268" s="17">
        <f>+VLOOKUP($A2268,MAGAZZINO!$B$2:$M$4838,7,FALSE)</f>
        <v/>
      </c>
      <c r="H2268" s="17">
        <f>+VLOOKUP($A2268,MAGAZZINO!$B$2:$M$4838,8,FALSE)</f>
        <v/>
      </c>
      <c r="I2268" s="17">
        <f>+VLOOKUP($A2268,MAGAZZINO!$B$2:$M$4838,9,FALSE)</f>
        <v/>
      </c>
      <c r="J2268" s="17">
        <f>+VLOOKUP($A2268,MAGAZZINO!$B$2:$M$4838,10,FALSE)</f>
        <v/>
      </c>
      <c r="K2268" s="17">
        <f>+VLOOKUP($A2268,MAGAZZINO!$B$2:$M$4838,11,FALSE)</f>
        <v/>
      </c>
      <c r="L2268" s="44">
        <f>+VLOOKUP($A2268,MAGAZZINO!$B$2:$M$4838,12,FALSE)</f>
        <v/>
      </c>
    </row>
    <row r="2269" ht="36" customHeight="1">
      <c r="A2269" s="30">
        <f>+REGISTRO!A2252</f>
        <v/>
      </c>
      <c r="B2269" s="31">
        <f>+VLOOKUP($A2269,MAGAZZINO!$B$2:$M$4838,2,FALSE)</f>
        <v/>
      </c>
      <c r="C2269" s="32">
        <f>+VLOOKUP($A2269,MAGAZZINO!$B$2:$M$4838,3,FALSE)</f>
        <v/>
      </c>
      <c r="D2269" s="17">
        <f>+VLOOKUP($A2269,MAGAZZINO!$B$2:$M$4838,4,FALSE)</f>
        <v/>
      </c>
      <c r="E2269" s="17">
        <f>+VLOOKUP($A2269,MAGAZZINO!$B$2:$M$4838,5,FALSE)</f>
        <v/>
      </c>
      <c r="F2269" s="17">
        <f>+VLOOKUP($A2269,MAGAZZINO!$B$2:$M$4838,6,FALSE)</f>
        <v/>
      </c>
      <c r="G2269" s="17">
        <f>+VLOOKUP($A2269,MAGAZZINO!$B$2:$M$4838,7,FALSE)</f>
        <v/>
      </c>
      <c r="H2269" s="17">
        <f>+VLOOKUP($A2269,MAGAZZINO!$B$2:$M$4838,8,FALSE)</f>
        <v/>
      </c>
      <c r="I2269" s="17">
        <f>+VLOOKUP($A2269,MAGAZZINO!$B$2:$M$4838,9,FALSE)</f>
        <v/>
      </c>
      <c r="J2269" s="17">
        <f>+VLOOKUP($A2269,MAGAZZINO!$B$2:$M$4838,10,FALSE)</f>
        <v/>
      </c>
      <c r="K2269" s="17">
        <f>+VLOOKUP($A2269,MAGAZZINO!$B$2:$M$4838,11,FALSE)</f>
        <v/>
      </c>
      <c r="L2269" s="44">
        <f>+VLOOKUP($A2269,MAGAZZINO!$B$2:$M$4838,12,FALSE)</f>
        <v/>
      </c>
    </row>
    <row r="2270" ht="36" customHeight="1">
      <c r="A2270" s="30">
        <f>+REGISTRO!A2253</f>
        <v/>
      </c>
      <c r="B2270" s="31">
        <f>+VLOOKUP($A2270,MAGAZZINO!$B$2:$M$4838,2,FALSE)</f>
        <v/>
      </c>
      <c r="C2270" s="32">
        <f>+VLOOKUP($A2270,MAGAZZINO!$B$2:$M$4838,3,FALSE)</f>
        <v/>
      </c>
      <c r="D2270" s="17">
        <f>+VLOOKUP($A2270,MAGAZZINO!$B$2:$M$4838,4,FALSE)</f>
        <v/>
      </c>
      <c r="E2270" s="17">
        <f>+VLOOKUP($A2270,MAGAZZINO!$B$2:$M$4838,5,FALSE)</f>
        <v/>
      </c>
      <c r="F2270" s="17">
        <f>+VLOOKUP($A2270,MAGAZZINO!$B$2:$M$4838,6,FALSE)</f>
        <v/>
      </c>
      <c r="G2270" s="17">
        <f>+VLOOKUP($A2270,MAGAZZINO!$B$2:$M$4838,7,FALSE)</f>
        <v/>
      </c>
      <c r="H2270" s="17">
        <f>+VLOOKUP($A2270,MAGAZZINO!$B$2:$M$4838,8,FALSE)</f>
        <v/>
      </c>
      <c r="I2270" s="17">
        <f>+VLOOKUP($A2270,MAGAZZINO!$B$2:$M$4838,9,FALSE)</f>
        <v/>
      </c>
      <c r="J2270" s="17">
        <f>+VLOOKUP($A2270,MAGAZZINO!$B$2:$M$4838,10,FALSE)</f>
        <v/>
      </c>
      <c r="K2270" s="17">
        <f>+VLOOKUP($A2270,MAGAZZINO!$B$2:$M$4838,11,FALSE)</f>
        <v/>
      </c>
      <c r="L2270" s="44">
        <f>+VLOOKUP($A2270,MAGAZZINO!$B$2:$M$4838,12,FALSE)</f>
        <v/>
      </c>
    </row>
    <row r="2271" ht="36" customHeight="1">
      <c r="A2271" s="30">
        <f>+REGISTRO!A2254</f>
        <v/>
      </c>
      <c r="B2271" s="31">
        <f>+VLOOKUP($A2271,MAGAZZINO!$B$2:$M$4838,2,FALSE)</f>
        <v/>
      </c>
      <c r="C2271" s="32">
        <f>+VLOOKUP($A2271,MAGAZZINO!$B$2:$M$4838,3,FALSE)</f>
        <v/>
      </c>
      <c r="D2271" s="17">
        <f>+VLOOKUP($A2271,MAGAZZINO!$B$2:$M$4838,4,FALSE)</f>
        <v/>
      </c>
      <c r="E2271" s="17">
        <f>+VLOOKUP($A2271,MAGAZZINO!$B$2:$M$4838,5,FALSE)</f>
        <v/>
      </c>
      <c r="F2271" s="17">
        <f>+VLOOKUP($A2271,MAGAZZINO!$B$2:$M$4838,6,FALSE)</f>
        <v/>
      </c>
      <c r="G2271" s="17">
        <f>+VLOOKUP($A2271,MAGAZZINO!$B$2:$M$4838,7,FALSE)</f>
        <v/>
      </c>
      <c r="H2271" s="17">
        <f>+VLOOKUP($A2271,MAGAZZINO!$B$2:$M$4838,8,FALSE)</f>
        <v/>
      </c>
      <c r="I2271" s="17">
        <f>+VLOOKUP($A2271,MAGAZZINO!$B$2:$M$4838,9,FALSE)</f>
        <v/>
      </c>
      <c r="J2271" s="17">
        <f>+VLOOKUP($A2271,MAGAZZINO!$B$2:$M$4838,10,FALSE)</f>
        <v/>
      </c>
      <c r="K2271" s="17">
        <f>+VLOOKUP($A2271,MAGAZZINO!$B$2:$M$4838,11,FALSE)</f>
        <v/>
      </c>
      <c r="L2271" s="44">
        <f>+VLOOKUP($A2271,MAGAZZINO!$B$2:$M$4838,12,FALSE)</f>
        <v/>
      </c>
    </row>
    <row r="2272" ht="36" customHeight="1">
      <c r="A2272" s="30">
        <f>+REGISTRO!A2255</f>
        <v/>
      </c>
      <c r="B2272" s="31">
        <f>+VLOOKUP($A2272,MAGAZZINO!$B$2:$M$4838,2,FALSE)</f>
        <v/>
      </c>
      <c r="C2272" s="32">
        <f>+VLOOKUP($A2272,MAGAZZINO!$B$2:$M$4838,3,FALSE)</f>
        <v/>
      </c>
      <c r="D2272" s="17">
        <f>+VLOOKUP($A2272,MAGAZZINO!$B$2:$M$4838,4,FALSE)</f>
        <v/>
      </c>
      <c r="E2272" s="17">
        <f>+VLOOKUP($A2272,MAGAZZINO!$B$2:$M$4838,5,FALSE)</f>
        <v/>
      </c>
      <c r="F2272" s="17">
        <f>+VLOOKUP($A2272,MAGAZZINO!$B$2:$M$4838,6,FALSE)</f>
        <v/>
      </c>
      <c r="G2272" s="17">
        <f>+VLOOKUP($A2272,MAGAZZINO!$B$2:$M$4838,7,FALSE)</f>
        <v/>
      </c>
      <c r="H2272" s="17">
        <f>+VLOOKUP($A2272,MAGAZZINO!$B$2:$M$4838,8,FALSE)</f>
        <v/>
      </c>
      <c r="I2272" s="17">
        <f>+VLOOKUP($A2272,MAGAZZINO!$B$2:$M$4838,9,FALSE)</f>
        <v/>
      </c>
      <c r="J2272" s="17">
        <f>+VLOOKUP($A2272,MAGAZZINO!$B$2:$M$4838,10,FALSE)</f>
        <v/>
      </c>
      <c r="K2272" s="17">
        <f>+VLOOKUP($A2272,MAGAZZINO!$B$2:$M$4838,11,FALSE)</f>
        <v/>
      </c>
      <c r="L2272" s="44">
        <f>+VLOOKUP($A2272,MAGAZZINO!$B$2:$M$4838,12,FALSE)</f>
        <v/>
      </c>
    </row>
    <row r="2273" ht="36" customHeight="1">
      <c r="A2273" s="30">
        <f>+REGISTRO!A2256</f>
        <v/>
      </c>
      <c r="B2273" s="31">
        <f>+VLOOKUP($A2273,MAGAZZINO!$B$2:$M$4838,2,FALSE)</f>
        <v/>
      </c>
      <c r="C2273" s="32">
        <f>+VLOOKUP($A2273,MAGAZZINO!$B$2:$M$4838,3,FALSE)</f>
        <v/>
      </c>
      <c r="D2273" s="17">
        <f>+VLOOKUP($A2273,MAGAZZINO!$B$2:$M$4838,4,FALSE)</f>
        <v/>
      </c>
      <c r="E2273" s="17">
        <f>+VLOOKUP($A2273,MAGAZZINO!$B$2:$M$4838,5,FALSE)</f>
        <v/>
      </c>
      <c r="F2273" s="17">
        <f>+VLOOKUP($A2273,MAGAZZINO!$B$2:$M$4838,6,FALSE)</f>
        <v/>
      </c>
      <c r="G2273" s="17">
        <f>+VLOOKUP($A2273,MAGAZZINO!$B$2:$M$4838,7,FALSE)</f>
        <v/>
      </c>
      <c r="H2273" s="17">
        <f>+VLOOKUP($A2273,MAGAZZINO!$B$2:$M$4838,8,FALSE)</f>
        <v/>
      </c>
      <c r="I2273" s="17">
        <f>+VLOOKUP($A2273,MAGAZZINO!$B$2:$M$4838,9,FALSE)</f>
        <v/>
      </c>
      <c r="J2273" s="17">
        <f>+VLOOKUP($A2273,MAGAZZINO!$B$2:$M$4838,10,FALSE)</f>
        <v/>
      </c>
      <c r="K2273" s="17">
        <f>+VLOOKUP($A2273,MAGAZZINO!$B$2:$M$4838,11,FALSE)</f>
        <v/>
      </c>
      <c r="L2273" s="44">
        <f>+VLOOKUP($A2273,MAGAZZINO!$B$2:$M$4838,12,FALSE)</f>
        <v/>
      </c>
    </row>
    <row r="2274" ht="36" customHeight="1">
      <c r="A2274" s="30">
        <f>+REGISTRO!A2257</f>
        <v/>
      </c>
      <c r="B2274" s="31">
        <f>+VLOOKUP($A2274,MAGAZZINO!$B$2:$M$4838,2,FALSE)</f>
        <v/>
      </c>
      <c r="C2274" s="32">
        <f>+VLOOKUP($A2274,MAGAZZINO!$B$2:$M$4838,3,FALSE)</f>
        <v/>
      </c>
      <c r="D2274" s="17">
        <f>+VLOOKUP($A2274,MAGAZZINO!$B$2:$M$4838,4,FALSE)</f>
        <v/>
      </c>
      <c r="E2274" s="17">
        <f>+VLOOKUP($A2274,MAGAZZINO!$B$2:$M$4838,5,FALSE)</f>
        <v/>
      </c>
      <c r="F2274" s="17">
        <f>+VLOOKUP($A2274,MAGAZZINO!$B$2:$M$4838,6,FALSE)</f>
        <v/>
      </c>
      <c r="G2274" s="17">
        <f>+VLOOKUP($A2274,MAGAZZINO!$B$2:$M$4838,7,FALSE)</f>
        <v/>
      </c>
      <c r="H2274" s="17">
        <f>+VLOOKUP($A2274,MAGAZZINO!$B$2:$M$4838,8,FALSE)</f>
        <v/>
      </c>
      <c r="I2274" s="17">
        <f>+VLOOKUP($A2274,MAGAZZINO!$B$2:$M$4838,9,FALSE)</f>
        <v/>
      </c>
      <c r="J2274" s="17">
        <f>+VLOOKUP($A2274,MAGAZZINO!$B$2:$M$4838,10,FALSE)</f>
        <v/>
      </c>
      <c r="K2274" s="17">
        <f>+VLOOKUP($A2274,MAGAZZINO!$B$2:$M$4838,11,FALSE)</f>
        <v/>
      </c>
      <c r="L2274" s="44">
        <f>+VLOOKUP($A2274,MAGAZZINO!$B$2:$M$4838,12,FALSE)</f>
        <v/>
      </c>
    </row>
    <row r="2275" ht="36" customHeight="1">
      <c r="A2275" s="30">
        <f>+REGISTRO!A2258</f>
        <v/>
      </c>
      <c r="B2275" s="31">
        <f>+VLOOKUP($A2275,MAGAZZINO!$B$2:$M$4838,2,FALSE)</f>
        <v/>
      </c>
      <c r="C2275" s="32">
        <f>+VLOOKUP($A2275,MAGAZZINO!$B$2:$M$4838,3,FALSE)</f>
        <v/>
      </c>
      <c r="D2275" s="17">
        <f>+VLOOKUP($A2275,MAGAZZINO!$B$2:$M$4838,4,FALSE)</f>
        <v/>
      </c>
      <c r="E2275" s="17">
        <f>+VLOOKUP($A2275,MAGAZZINO!$B$2:$M$4838,5,FALSE)</f>
        <v/>
      </c>
      <c r="F2275" s="17">
        <f>+VLOOKUP($A2275,MAGAZZINO!$B$2:$M$4838,6,FALSE)</f>
        <v/>
      </c>
      <c r="G2275" s="17">
        <f>+VLOOKUP($A2275,MAGAZZINO!$B$2:$M$4838,7,FALSE)</f>
        <v/>
      </c>
      <c r="H2275" s="17">
        <f>+VLOOKUP($A2275,MAGAZZINO!$B$2:$M$4838,8,FALSE)</f>
        <v/>
      </c>
      <c r="I2275" s="17">
        <f>+VLOOKUP($A2275,MAGAZZINO!$B$2:$M$4838,9,FALSE)</f>
        <v/>
      </c>
      <c r="J2275" s="17">
        <f>+VLOOKUP($A2275,MAGAZZINO!$B$2:$M$4838,10,FALSE)</f>
        <v/>
      </c>
      <c r="K2275" s="17">
        <f>+VLOOKUP($A2275,MAGAZZINO!$B$2:$M$4838,11,FALSE)</f>
        <v/>
      </c>
      <c r="L2275" s="44">
        <f>+VLOOKUP($A2275,MAGAZZINO!$B$2:$M$4838,12,FALSE)</f>
        <v/>
      </c>
    </row>
    <row r="2276" ht="36" customHeight="1">
      <c r="A2276" s="30">
        <f>+REGISTRO!A2259</f>
        <v/>
      </c>
      <c r="B2276" s="31">
        <f>+VLOOKUP($A2276,MAGAZZINO!$B$2:$M$4838,2,FALSE)</f>
        <v/>
      </c>
      <c r="C2276" s="32">
        <f>+VLOOKUP($A2276,MAGAZZINO!$B$2:$M$4838,3,FALSE)</f>
        <v/>
      </c>
      <c r="D2276" s="17">
        <f>+VLOOKUP($A2276,MAGAZZINO!$B$2:$M$4838,4,FALSE)</f>
        <v/>
      </c>
      <c r="E2276" s="17">
        <f>+VLOOKUP($A2276,MAGAZZINO!$B$2:$M$4838,5,FALSE)</f>
        <v/>
      </c>
      <c r="F2276" s="17">
        <f>+VLOOKUP($A2276,MAGAZZINO!$B$2:$M$4838,6,FALSE)</f>
        <v/>
      </c>
      <c r="G2276" s="17">
        <f>+VLOOKUP($A2276,MAGAZZINO!$B$2:$M$4838,7,FALSE)</f>
        <v/>
      </c>
      <c r="H2276" s="17">
        <f>+VLOOKUP($A2276,MAGAZZINO!$B$2:$M$4838,8,FALSE)</f>
        <v/>
      </c>
      <c r="I2276" s="17">
        <f>+VLOOKUP($A2276,MAGAZZINO!$B$2:$M$4838,9,FALSE)</f>
        <v/>
      </c>
      <c r="J2276" s="17">
        <f>+VLOOKUP($A2276,MAGAZZINO!$B$2:$M$4838,10,FALSE)</f>
        <v/>
      </c>
      <c r="K2276" s="17">
        <f>+VLOOKUP($A2276,MAGAZZINO!$B$2:$M$4838,11,FALSE)</f>
        <v/>
      </c>
      <c r="L2276" s="44">
        <f>+VLOOKUP($A2276,MAGAZZINO!$B$2:$M$4838,12,FALSE)</f>
        <v/>
      </c>
    </row>
    <row r="2277" ht="36" customHeight="1">
      <c r="A2277" s="30">
        <f>+REGISTRO!A2260</f>
        <v/>
      </c>
      <c r="B2277" s="31">
        <f>+VLOOKUP($A2277,MAGAZZINO!$B$2:$M$4838,2,FALSE)</f>
        <v/>
      </c>
      <c r="C2277" s="32">
        <f>+VLOOKUP($A2277,MAGAZZINO!$B$2:$M$4838,3,FALSE)</f>
        <v/>
      </c>
      <c r="D2277" s="17">
        <f>+VLOOKUP($A2277,MAGAZZINO!$B$2:$M$4838,4,FALSE)</f>
        <v/>
      </c>
      <c r="E2277" s="17">
        <f>+VLOOKUP($A2277,MAGAZZINO!$B$2:$M$4838,5,FALSE)</f>
        <v/>
      </c>
      <c r="F2277" s="17">
        <f>+VLOOKUP($A2277,MAGAZZINO!$B$2:$M$4838,6,FALSE)</f>
        <v/>
      </c>
      <c r="G2277" s="17">
        <f>+VLOOKUP($A2277,MAGAZZINO!$B$2:$M$4838,7,FALSE)</f>
        <v/>
      </c>
      <c r="H2277" s="17">
        <f>+VLOOKUP($A2277,MAGAZZINO!$B$2:$M$4838,8,FALSE)</f>
        <v/>
      </c>
      <c r="I2277" s="17">
        <f>+VLOOKUP($A2277,MAGAZZINO!$B$2:$M$4838,9,FALSE)</f>
        <v/>
      </c>
      <c r="J2277" s="17">
        <f>+VLOOKUP($A2277,MAGAZZINO!$B$2:$M$4838,10,FALSE)</f>
        <v/>
      </c>
      <c r="K2277" s="17">
        <f>+VLOOKUP($A2277,MAGAZZINO!$B$2:$M$4838,11,FALSE)</f>
        <v/>
      </c>
      <c r="L2277" s="44">
        <f>+VLOOKUP($A2277,MAGAZZINO!$B$2:$M$4838,12,FALSE)</f>
        <v/>
      </c>
    </row>
    <row r="2278" ht="36" customHeight="1">
      <c r="A2278" s="30">
        <f>+REGISTRO!A2261</f>
        <v/>
      </c>
      <c r="B2278" s="31">
        <f>+VLOOKUP($A2278,MAGAZZINO!$B$2:$M$4838,2,FALSE)</f>
        <v/>
      </c>
      <c r="C2278" s="32">
        <f>+VLOOKUP($A2278,MAGAZZINO!$B$2:$M$4838,3,FALSE)</f>
        <v/>
      </c>
      <c r="D2278" s="17">
        <f>+VLOOKUP($A2278,MAGAZZINO!$B$2:$M$4838,4,FALSE)</f>
        <v/>
      </c>
      <c r="E2278" s="17">
        <f>+VLOOKUP($A2278,MAGAZZINO!$B$2:$M$4838,5,FALSE)</f>
        <v/>
      </c>
      <c r="F2278" s="17">
        <f>+VLOOKUP($A2278,MAGAZZINO!$B$2:$M$4838,6,FALSE)</f>
        <v/>
      </c>
      <c r="G2278" s="17">
        <f>+VLOOKUP($A2278,MAGAZZINO!$B$2:$M$4838,7,FALSE)</f>
        <v/>
      </c>
      <c r="H2278" s="17">
        <f>+VLOOKUP($A2278,MAGAZZINO!$B$2:$M$4838,8,FALSE)</f>
        <v/>
      </c>
      <c r="I2278" s="17">
        <f>+VLOOKUP($A2278,MAGAZZINO!$B$2:$M$4838,9,FALSE)</f>
        <v/>
      </c>
      <c r="J2278" s="17">
        <f>+VLOOKUP($A2278,MAGAZZINO!$B$2:$M$4838,10,FALSE)</f>
        <v/>
      </c>
      <c r="K2278" s="17">
        <f>+VLOOKUP($A2278,MAGAZZINO!$B$2:$M$4838,11,FALSE)</f>
        <v/>
      </c>
      <c r="L2278" s="44">
        <f>+VLOOKUP($A2278,MAGAZZINO!$B$2:$M$4838,12,FALSE)</f>
        <v/>
      </c>
    </row>
    <row r="2279" ht="36" customHeight="1">
      <c r="A2279" s="30">
        <f>+REGISTRO!A2262</f>
        <v/>
      </c>
      <c r="B2279" s="31">
        <f>+VLOOKUP($A2279,MAGAZZINO!$B$2:$M$4838,2,FALSE)</f>
        <v/>
      </c>
      <c r="C2279" s="32">
        <f>+VLOOKUP($A2279,MAGAZZINO!$B$2:$M$4838,3,FALSE)</f>
        <v/>
      </c>
      <c r="D2279" s="17">
        <f>+VLOOKUP($A2279,MAGAZZINO!$B$2:$M$4838,4,FALSE)</f>
        <v/>
      </c>
      <c r="E2279" s="17">
        <f>+VLOOKUP($A2279,MAGAZZINO!$B$2:$M$4838,5,FALSE)</f>
        <v/>
      </c>
      <c r="F2279" s="17">
        <f>+VLOOKUP($A2279,MAGAZZINO!$B$2:$M$4838,6,FALSE)</f>
        <v/>
      </c>
      <c r="G2279" s="17">
        <f>+VLOOKUP($A2279,MAGAZZINO!$B$2:$M$4838,7,FALSE)</f>
        <v/>
      </c>
      <c r="H2279" s="17">
        <f>+VLOOKUP($A2279,MAGAZZINO!$B$2:$M$4838,8,FALSE)</f>
        <v/>
      </c>
      <c r="I2279" s="17">
        <f>+VLOOKUP($A2279,MAGAZZINO!$B$2:$M$4838,9,FALSE)</f>
        <v/>
      </c>
      <c r="J2279" s="17">
        <f>+VLOOKUP($A2279,MAGAZZINO!$B$2:$M$4838,10,FALSE)</f>
        <v/>
      </c>
      <c r="K2279" s="17">
        <f>+VLOOKUP($A2279,MAGAZZINO!$B$2:$M$4838,11,FALSE)</f>
        <v/>
      </c>
      <c r="L2279" s="44">
        <f>+VLOOKUP($A2279,MAGAZZINO!$B$2:$M$4838,12,FALSE)</f>
        <v/>
      </c>
    </row>
    <row r="2280" ht="36" customHeight="1">
      <c r="A2280" s="30">
        <f>+REGISTRO!A2263</f>
        <v/>
      </c>
      <c r="B2280" s="31">
        <f>+VLOOKUP($A2280,MAGAZZINO!$B$2:$M$4838,2,FALSE)</f>
        <v/>
      </c>
      <c r="C2280" s="32">
        <f>+VLOOKUP($A2280,MAGAZZINO!$B$2:$M$4838,3,FALSE)</f>
        <v/>
      </c>
      <c r="D2280" s="17">
        <f>+VLOOKUP($A2280,MAGAZZINO!$B$2:$M$4838,4,FALSE)</f>
        <v/>
      </c>
      <c r="E2280" s="17">
        <f>+VLOOKUP($A2280,MAGAZZINO!$B$2:$M$4838,5,FALSE)</f>
        <v/>
      </c>
      <c r="F2280" s="17">
        <f>+VLOOKUP($A2280,MAGAZZINO!$B$2:$M$4838,6,FALSE)</f>
        <v/>
      </c>
      <c r="G2280" s="17">
        <f>+VLOOKUP($A2280,MAGAZZINO!$B$2:$M$4838,7,FALSE)</f>
        <v/>
      </c>
      <c r="H2280" s="17">
        <f>+VLOOKUP($A2280,MAGAZZINO!$B$2:$M$4838,8,FALSE)</f>
        <v/>
      </c>
      <c r="I2280" s="17">
        <f>+VLOOKUP($A2280,MAGAZZINO!$B$2:$M$4838,9,FALSE)</f>
        <v/>
      </c>
      <c r="J2280" s="17">
        <f>+VLOOKUP($A2280,MAGAZZINO!$B$2:$M$4838,10,FALSE)</f>
        <v/>
      </c>
      <c r="K2280" s="17">
        <f>+VLOOKUP($A2280,MAGAZZINO!$B$2:$M$4838,11,FALSE)</f>
        <v/>
      </c>
      <c r="L2280" s="44">
        <f>+VLOOKUP($A2280,MAGAZZINO!$B$2:$M$4838,12,FALSE)</f>
        <v/>
      </c>
    </row>
    <row r="2281" ht="36" customHeight="1">
      <c r="A2281" s="30">
        <f>+REGISTRO!A2264</f>
        <v/>
      </c>
      <c r="B2281" s="31">
        <f>+VLOOKUP($A2281,MAGAZZINO!$B$2:$M$4838,2,FALSE)</f>
        <v/>
      </c>
      <c r="C2281" s="32">
        <f>+VLOOKUP($A2281,MAGAZZINO!$B$2:$M$4838,3,FALSE)</f>
        <v/>
      </c>
      <c r="D2281" s="17">
        <f>+VLOOKUP($A2281,MAGAZZINO!$B$2:$M$4838,4,FALSE)</f>
        <v/>
      </c>
      <c r="E2281" s="17">
        <f>+VLOOKUP($A2281,MAGAZZINO!$B$2:$M$4838,5,FALSE)</f>
        <v/>
      </c>
      <c r="F2281" s="17">
        <f>+VLOOKUP($A2281,MAGAZZINO!$B$2:$M$4838,6,FALSE)</f>
        <v/>
      </c>
      <c r="G2281" s="17">
        <f>+VLOOKUP($A2281,MAGAZZINO!$B$2:$M$4838,7,FALSE)</f>
        <v/>
      </c>
      <c r="H2281" s="17">
        <f>+VLOOKUP($A2281,MAGAZZINO!$B$2:$M$4838,8,FALSE)</f>
        <v/>
      </c>
      <c r="I2281" s="17">
        <f>+VLOOKUP($A2281,MAGAZZINO!$B$2:$M$4838,9,FALSE)</f>
        <v/>
      </c>
      <c r="J2281" s="17">
        <f>+VLOOKUP($A2281,MAGAZZINO!$B$2:$M$4838,10,FALSE)</f>
        <v/>
      </c>
      <c r="K2281" s="17">
        <f>+VLOOKUP($A2281,MAGAZZINO!$B$2:$M$4838,11,FALSE)</f>
        <v/>
      </c>
      <c r="L2281" s="44">
        <f>+VLOOKUP($A2281,MAGAZZINO!$B$2:$M$4838,12,FALSE)</f>
        <v/>
      </c>
    </row>
    <row r="2282" ht="36" customHeight="1">
      <c r="A2282" s="30">
        <f>+REGISTRO!A2265</f>
        <v/>
      </c>
      <c r="B2282" s="31">
        <f>+VLOOKUP($A2282,MAGAZZINO!$B$2:$M$4838,2,FALSE)</f>
        <v/>
      </c>
      <c r="C2282" s="32">
        <f>+VLOOKUP($A2282,MAGAZZINO!$B$2:$M$4838,3,FALSE)</f>
        <v/>
      </c>
      <c r="D2282" s="17">
        <f>+VLOOKUP($A2282,MAGAZZINO!$B$2:$M$4838,4,FALSE)</f>
        <v/>
      </c>
      <c r="E2282" s="17">
        <f>+VLOOKUP($A2282,MAGAZZINO!$B$2:$M$4838,5,FALSE)</f>
        <v/>
      </c>
      <c r="F2282" s="17">
        <f>+VLOOKUP($A2282,MAGAZZINO!$B$2:$M$4838,6,FALSE)</f>
        <v/>
      </c>
      <c r="G2282" s="17">
        <f>+VLOOKUP($A2282,MAGAZZINO!$B$2:$M$4838,7,FALSE)</f>
        <v/>
      </c>
      <c r="H2282" s="17">
        <f>+VLOOKUP($A2282,MAGAZZINO!$B$2:$M$4838,8,FALSE)</f>
        <v/>
      </c>
      <c r="I2282" s="17">
        <f>+VLOOKUP($A2282,MAGAZZINO!$B$2:$M$4838,9,FALSE)</f>
        <v/>
      </c>
      <c r="J2282" s="17">
        <f>+VLOOKUP($A2282,MAGAZZINO!$B$2:$M$4838,10,FALSE)</f>
        <v/>
      </c>
      <c r="K2282" s="17">
        <f>+VLOOKUP($A2282,MAGAZZINO!$B$2:$M$4838,11,FALSE)</f>
        <v/>
      </c>
      <c r="L2282" s="44">
        <f>+VLOOKUP($A2282,MAGAZZINO!$B$2:$M$4838,12,FALSE)</f>
        <v/>
      </c>
    </row>
    <row r="2283" ht="36" customHeight="1">
      <c r="A2283" s="30">
        <f>+REGISTRO!A2266</f>
        <v/>
      </c>
      <c r="B2283" s="31">
        <f>+VLOOKUP($A2283,MAGAZZINO!$B$2:$M$4838,2,FALSE)</f>
        <v/>
      </c>
      <c r="C2283" s="32">
        <f>+VLOOKUP($A2283,MAGAZZINO!$B$2:$M$4838,3,FALSE)</f>
        <v/>
      </c>
      <c r="D2283" s="17">
        <f>+VLOOKUP($A2283,MAGAZZINO!$B$2:$M$4838,4,FALSE)</f>
        <v/>
      </c>
      <c r="E2283" s="17">
        <f>+VLOOKUP($A2283,MAGAZZINO!$B$2:$M$4838,5,FALSE)</f>
        <v/>
      </c>
      <c r="F2283" s="17">
        <f>+VLOOKUP($A2283,MAGAZZINO!$B$2:$M$4838,6,FALSE)</f>
        <v/>
      </c>
      <c r="G2283" s="17">
        <f>+VLOOKUP($A2283,MAGAZZINO!$B$2:$M$4838,7,FALSE)</f>
        <v/>
      </c>
      <c r="H2283" s="17">
        <f>+VLOOKUP($A2283,MAGAZZINO!$B$2:$M$4838,8,FALSE)</f>
        <v/>
      </c>
      <c r="I2283" s="17">
        <f>+VLOOKUP($A2283,MAGAZZINO!$B$2:$M$4838,9,FALSE)</f>
        <v/>
      </c>
      <c r="J2283" s="17">
        <f>+VLOOKUP($A2283,MAGAZZINO!$B$2:$M$4838,10,FALSE)</f>
        <v/>
      </c>
      <c r="K2283" s="17">
        <f>+VLOOKUP($A2283,MAGAZZINO!$B$2:$M$4838,11,FALSE)</f>
        <v/>
      </c>
      <c r="L2283" s="44">
        <f>+VLOOKUP($A2283,MAGAZZINO!$B$2:$M$4838,12,FALSE)</f>
        <v/>
      </c>
    </row>
    <row r="2284" ht="36" customHeight="1">
      <c r="A2284" s="30">
        <f>+REGISTRO!A2267</f>
        <v/>
      </c>
      <c r="B2284" s="31">
        <f>+VLOOKUP($A2284,MAGAZZINO!$B$2:$M$4838,2,FALSE)</f>
        <v/>
      </c>
      <c r="C2284" s="32">
        <f>+VLOOKUP($A2284,MAGAZZINO!$B$2:$M$4838,3,FALSE)</f>
        <v/>
      </c>
      <c r="D2284" s="17">
        <f>+VLOOKUP($A2284,MAGAZZINO!$B$2:$M$4838,4,FALSE)</f>
        <v/>
      </c>
      <c r="E2284" s="17">
        <f>+VLOOKUP($A2284,MAGAZZINO!$B$2:$M$4838,5,FALSE)</f>
        <v/>
      </c>
      <c r="F2284" s="17">
        <f>+VLOOKUP($A2284,MAGAZZINO!$B$2:$M$4838,6,FALSE)</f>
        <v/>
      </c>
      <c r="G2284" s="17">
        <f>+VLOOKUP($A2284,MAGAZZINO!$B$2:$M$4838,7,FALSE)</f>
        <v/>
      </c>
      <c r="H2284" s="17">
        <f>+VLOOKUP($A2284,MAGAZZINO!$B$2:$M$4838,8,FALSE)</f>
        <v/>
      </c>
      <c r="I2284" s="17">
        <f>+VLOOKUP($A2284,MAGAZZINO!$B$2:$M$4838,9,FALSE)</f>
        <v/>
      </c>
      <c r="J2284" s="17">
        <f>+VLOOKUP($A2284,MAGAZZINO!$B$2:$M$4838,10,FALSE)</f>
        <v/>
      </c>
      <c r="K2284" s="17">
        <f>+VLOOKUP($A2284,MAGAZZINO!$B$2:$M$4838,11,FALSE)</f>
        <v/>
      </c>
      <c r="L2284" s="44">
        <f>+VLOOKUP($A2284,MAGAZZINO!$B$2:$M$4838,12,FALSE)</f>
        <v/>
      </c>
    </row>
    <row r="2285" ht="36" customHeight="1">
      <c r="A2285" s="30">
        <f>+REGISTRO!A2268</f>
        <v/>
      </c>
      <c r="B2285" s="31">
        <f>+VLOOKUP($A2285,MAGAZZINO!$B$2:$M$4838,2,FALSE)</f>
        <v/>
      </c>
      <c r="C2285" s="32">
        <f>+VLOOKUP($A2285,MAGAZZINO!$B$2:$M$4838,3,FALSE)</f>
        <v/>
      </c>
      <c r="D2285" s="17">
        <f>+VLOOKUP($A2285,MAGAZZINO!$B$2:$M$4838,4,FALSE)</f>
        <v/>
      </c>
      <c r="E2285" s="17">
        <f>+VLOOKUP($A2285,MAGAZZINO!$B$2:$M$4838,5,FALSE)</f>
        <v/>
      </c>
      <c r="F2285" s="17">
        <f>+VLOOKUP($A2285,MAGAZZINO!$B$2:$M$4838,6,FALSE)</f>
        <v/>
      </c>
      <c r="G2285" s="17">
        <f>+VLOOKUP($A2285,MAGAZZINO!$B$2:$M$4838,7,FALSE)</f>
        <v/>
      </c>
      <c r="H2285" s="17">
        <f>+VLOOKUP($A2285,MAGAZZINO!$B$2:$M$4838,8,FALSE)</f>
        <v/>
      </c>
      <c r="I2285" s="17">
        <f>+VLOOKUP($A2285,MAGAZZINO!$B$2:$M$4838,9,FALSE)</f>
        <v/>
      </c>
      <c r="J2285" s="17">
        <f>+VLOOKUP($A2285,MAGAZZINO!$B$2:$M$4838,10,FALSE)</f>
        <v/>
      </c>
      <c r="K2285" s="17">
        <f>+VLOOKUP($A2285,MAGAZZINO!$B$2:$M$4838,11,FALSE)</f>
        <v/>
      </c>
      <c r="L2285" s="44">
        <f>+VLOOKUP($A2285,MAGAZZINO!$B$2:$M$4838,12,FALSE)</f>
        <v/>
      </c>
    </row>
    <row r="2286" ht="36" customHeight="1">
      <c r="A2286" s="30">
        <f>+REGISTRO!A2269</f>
        <v/>
      </c>
      <c r="B2286" s="31">
        <f>+VLOOKUP($A2286,MAGAZZINO!$B$2:$M$4838,2,FALSE)</f>
        <v/>
      </c>
      <c r="C2286" s="32">
        <f>+VLOOKUP($A2286,MAGAZZINO!$B$2:$M$4838,3,FALSE)</f>
        <v/>
      </c>
      <c r="D2286" s="17">
        <f>+VLOOKUP($A2286,MAGAZZINO!$B$2:$M$4838,4,FALSE)</f>
        <v/>
      </c>
      <c r="E2286" s="17">
        <f>+VLOOKUP($A2286,MAGAZZINO!$B$2:$M$4838,5,FALSE)</f>
        <v/>
      </c>
      <c r="F2286" s="17">
        <f>+VLOOKUP($A2286,MAGAZZINO!$B$2:$M$4838,6,FALSE)</f>
        <v/>
      </c>
      <c r="G2286" s="17">
        <f>+VLOOKUP($A2286,MAGAZZINO!$B$2:$M$4838,7,FALSE)</f>
        <v/>
      </c>
      <c r="H2286" s="17">
        <f>+VLOOKUP($A2286,MAGAZZINO!$B$2:$M$4838,8,FALSE)</f>
        <v/>
      </c>
      <c r="I2286" s="17">
        <f>+VLOOKUP($A2286,MAGAZZINO!$B$2:$M$4838,9,FALSE)</f>
        <v/>
      </c>
      <c r="J2286" s="17">
        <f>+VLOOKUP($A2286,MAGAZZINO!$B$2:$M$4838,10,FALSE)</f>
        <v/>
      </c>
      <c r="K2286" s="17">
        <f>+VLOOKUP($A2286,MAGAZZINO!$B$2:$M$4838,11,FALSE)</f>
        <v/>
      </c>
      <c r="L2286" s="44">
        <f>+VLOOKUP($A2286,MAGAZZINO!$B$2:$M$4838,12,FALSE)</f>
        <v/>
      </c>
    </row>
    <row r="2287" ht="36" customHeight="1">
      <c r="A2287" s="30">
        <f>+REGISTRO!A2270</f>
        <v/>
      </c>
      <c r="B2287" s="31">
        <f>+VLOOKUP($A2287,MAGAZZINO!$B$2:$M$4838,2,FALSE)</f>
        <v/>
      </c>
      <c r="C2287" s="32">
        <f>+VLOOKUP($A2287,MAGAZZINO!$B$2:$M$4838,3,FALSE)</f>
        <v/>
      </c>
      <c r="D2287" s="17">
        <f>+VLOOKUP($A2287,MAGAZZINO!$B$2:$M$4838,4,FALSE)</f>
        <v/>
      </c>
      <c r="E2287" s="17">
        <f>+VLOOKUP($A2287,MAGAZZINO!$B$2:$M$4838,5,FALSE)</f>
        <v/>
      </c>
      <c r="F2287" s="17">
        <f>+VLOOKUP($A2287,MAGAZZINO!$B$2:$M$4838,6,FALSE)</f>
        <v/>
      </c>
      <c r="G2287" s="17">
        <f>+VLOOKUP($A2287,MAGAZZINO!$B$2:$M$4838,7,FALSE)</f>
        <v/>
      </c>
      <c r="H2287" s="17">
        <f>+VLOOKUP($A2287,MAGAZZINO!$B$2:$M$4838,8,FALSE)</f>
        <v/>
      </c>
      <c r="I2287" s="17">
        <f>+VLOOKUP($A2287,MAGAZZINO!$B$2:$M$4838,9,FALSE)</f>
        <v/>
      </c>
      <c r="J2287" s="17">
        <f>+VLOOKUP($A2287,MAGAZZINO!$B$2:$M$4838,10,FALSE)</f>
        <v/>
      </c>
      <c r="K2287" s="17">
        <f>+VLOOKUP($A2287,MAGAZZINO!$B$2:$M$4838,11,FALSE)</f>
        <v/>
      </c>
      <c r="L2287" s="44">
        <f>+VLOOKUP($A2287,MAGAZZINO!$B$2:$M$4838,12,FALSE)</f>
        <v/>
      </c>
    </row>
    <row r="2288" ht="36" customHeight="1">
      <c r="A2288" s="30">
        <f>+REGISTRO!A2271</f>
        <v/>
      </c>
      <c r="B2288" s="31">
        <f>+VLOOKUP($A2288,MAGAZZINO!$B$2:$M$4838,2,FALSE)</f>
        <v/>
      </c>
      <c r="C2288" s="32">
        <f>+VLOOKUP($A2288,MAGAZZINO!$B$2:$M$4838,3,FALSE)</f>
        <v/>
      </c>
      <c r="D2288" s="17">
        <f>+VLOOKUP($A2288,MAGAZZINO!$B$2:$M$4838,4,FALSE)</f>
        <v/>
      </c>
      <c r="E2288" s="17">
        <f>+VLOOKUP($A2288,MAGAZZINO!$B$2:$M$4838,5,FALSE)</f>
        <v/>
      </c>
      <c r="F2288" s="17">
        <f>+VLOOKUP($A2288,MAGAZZINO!$B$2:$M$4838,6,FALSE)</f>
        <v/>
      </c>
      <c r="G2288" s="17">
        <f>+VLOOKUP($A2288,MAGAZZINO!$B$2:$M$4838,7,FALSE)</f>
        <v/>
      </c>
      <c r="H2288" s="17">
        <f>+VLOOKUP($A2288,MAGAZZINO!$B$2:$M$4838,8,FALSE)</f>
        <v/>
      </c>
      <c r="I2288" s="17">
        <f>+VLOOKUP($A2288,MAGAZZINO!$B$2:$M$4838,9,FALSE)</f>
        <v/>
      </c>
      <c r="J2288" s="17">
        <f>+VLOOKUP($A2288,MAGAZZINO!$B$2:$M$4838,10,FALSE)</f>
        <v/>
      </c>
      <c r="K2288" s="17">
        <f>+VLOOKUP($A2288,MAGAZZINO!$B$2:$M$4838,11,FALSE)</f>
        <v/>
      </c>
      <c r="L2288" s="44">
        <f>+VLOOKUP($A2288,MAGAZZINO!$B$2:$M$4838,12,FALSE)</f>
        <v/>
      </c>
    </row>
    <row r="2289" ht="36" customHeight="1">
      <c r="A2289" s="30">
        <f>+REGISTRO!A2272</f>
        <v/>
      </c>
      <c r="B2289" s="31">
        <f>+VLOOKUP($A2289,MAGAZZINO!$B$2:$M$4838,2,FALSE)</f>
        <v/>
      </c>
      <c r="C2289" s="32">
        <f>+VLOOKUP($A2289,MAGAZZINO!$B$2:$M$4838,3,FALSE)</f>
        <v/>
      </c>
      <c r="D2289" s="17">
        <f>+VLOOKUP($A2289,MAGAZZINO!$B$2:$M$4838,4,FALSE)</f>
        <v/>
      </c>
      <c r="E2289" s="17">
        <f>+VLOOKUP($A2289,MAGAZZINO!$B$2:$M$4838,5,FALSE)</f>
        <v/>
      </c>
      <c r="F2289" s="17">
        <f>+VLOOKUP($A2289,MAGAZZINO!$B$2:$M$4838,6,FALSE)</f>
        <v/>
      </c>
      <c r="G2289" s="17">
        <f>+VLOOKUP($A2289,MAGAZZINO!$B$2:$M$4838,7,FALSE)</f>
        <v/>
      </c>
      <c r="H2289" s="17">
        <f>+VLOOKUP($A2289,MAGAZZINO!$B$2:$M$4838,8,FALSE)</f>
        <v/>
      </c>
      <c r="I2289" s="17">
        <f>+VLOOKUP($A2289,MAGAZZINO!$B$2:$M$4838,9,FALSE)</f>
        <v/>
      </c>
      <c r="J2289" s="17">
        <f>+VLOOKUP($A2289,MAGAZZINO!$B$2:$M$4838,10,FALSE)</f>
        <v/>
      </c>
      <c r="K2289" s="17">
        <f>+VLOOKUP($A2289,MAGAZZINO!$B$2:$M$4838,11,FALSE)</f>
        <v/>
      </c>
      <c r="L2289" s="44">
        <f>+VLOOKUP($A2289,MAGAZZINO!$B$2:$M$4838,12,FALSE)</f>
        <v/>
      </c>
    </row>
    <row r="2290" ht="36" customHeight="1">
      <c r="A2290" s="30">
        <f>+REGISTRO!A2273</f>
        <v/>
      </c>
      <c r="B2290" s="31">
        <f>+VLOOKUP($A2290,MAGAZZINO!$B$2:$M$4838,2,FALSE)</f>
        <v/>
      </c>
      <c r="C2290" s="32">
        <f>+VLOOKUP($A2290,MAGAZZINO!$B$2:$M$4838,3,FALSE)</f>
        <v/>
      </c>
      <c r="D2290" s="17">
        <f>+VLOOKUP($A2290,MAGAZZINO!$B$2:$M$4838,4,FALSE)</f>
        <v/>
      </c>
      <c r="E2290" s="17">
        <f>+VLOOKUP($A2290,MAGAZZINO!$B$2:$M$4838,5,FALSE)</f>
        <v/>
      </c>
      <c r="F2290" s="17">
        <f>+VLOOKUP($A2290,MAGAZZINO!$B$2:$M$4838,6,FALSE)</f>
        <v/>
      </c>
      <c r="G2290" s="17">
        <f>+VLOOKUP($A2290,MAGAZZINO!$B$2:$M$4838,7,FALSE)</f>
        <v/>
      </c>
      <c r="H2290" s="17">
        <f>+VLOOKUP($A2290,MAGAZZINO!$B$2:$M$4838,8,FALSE)</f>
        <v/>
      </c>
      <c r="I2290" s="17">
        <f>+VLOOKUP($A2290,MAGAZZINO!$B$2:$M$4838,9,FALSE)</f>
        <v/>
      </c>
      <c r="J2290" s="17">
        <f>+VLOOKUP($A2290,MAGAZZINO!$B$2:$M$4838,10,FALSE)</f>
        <v/>
      </c>
      <c r="K2290" s="17">
        <f>+VLOOKUP($A2290,MAGAZZINO!$B$2:$M$4838,11,FALSE)</f>
        <v/>
      </c>
      <c r="L2290" s="44">
        <f>+VLOOKUP($A2290,MAGAZZINO!$B$2:$M$4838,12,FALSE)</f>
        <v/>
      </c>
    </row>
    <row r="2291" ht="36" customHeight="1">
      <c r="A2291" s="30">
        <f>+REGISTRO!A2274</f>
        <v/>
      </c>
      <c r="B2291" s="31">
        <f>+VLOOKUP($A2291,MAGAZZINO!$B$2:$M$4838,2,FALSE)</f>
        <v/>
      </c>
      <c r="C2291" s="32">
        <f>+VLOOKUP($A2291,MAGAZZINO!$B$2:$M$4838,3,FALSE)</f>
        <v/>
      </c>
      <c r="D2291" s="17">
        <f>+VLOOKUP($A2291,MAGAZZINO!$B$2:$M$4838,4,FALSE)</f>
        <v/>
      </c>
      <c r="E2291" s="17">
        <f>+VLOOKUP($A2291,MAGAZZINO!$B$2:$M$4838,5,FALSE)</f>
        <v/>
      </c>
      <c r="F2291" s="17">
        <f>+VLOOKUP($A2291,MAGAZZINO!$B$2:$M$4838,6,FALSE)</f>
        <v/>
      </c>
      <c r="G2291" s="17">
        <f>+VLOOKUP($A2291,MAGAZZINO!$B$2:$M$4838,7,FALSE)</f>
        <v/>
      </c>
      <c r="H2291" s="17">
        <f>+VLOOKUP($A2291,MAGAZZINO!$B$2:$M$4838,8,FALSE)</f>
        <v/>
      </c>
      <c r="I2291" s="17">
        <f>+VLOOKUP($A2291,MAGAZZINO!$B$2:$M$4838,9,FALSE)</f>
        <v/>
      </c>
      <c r="J2291" s="17">
        <f>+VLOOKUP($A2291,MAGAZZINO!$B$2:$M$4838,10,FALSE)</f>
        <v/>
      </c>
      <c r="K2291" s="17">
        <f>+VLOOKUP($A2291,MAGAZZINO!$B$2:$M$4838,11,FALSE)</f>
        <v/>
      </c>
      <c r="L2291" s="44">
        <f>+VLOOKUP($A2291,MAGAZZINO!$B$2:$M$4838,12,FALSE)</f>
        <v/>
      </c>
    </row>
    <row r="2292" ht="36" customHeight="1">
      <c r="A2292" s="30">
        <f>+REGISTRO!A2275</f>
        <v/>
      </c>
      <c r="B2292" s="31">
        <f>+VLOOKUP($A2292,MAGAZZINO!$B$2:$M$4838,2,FALSE)</f>
        <v/>
      </c>
      <c r="C2292" s="32">
        <f>+VLOOKUP($A2292,MAGAZZINO!$B$2:$M$4838,3,FALSE)</f>
        <v/>
      </c>
      <c r="D2292" s="17">
        <f>+VLOOKUP($A2292,MAGAZZINO!$B$2:$M$4838,4,FALSE)</f>
        <v/>
      </c>
      <c r="E2292" s="17">
        <f>+VLOOKUP($A2292,MAGAZZINO!$B$2:$M$4838,5,FALSE)</f>
        <v/>
      </c>
      <c r="F2292" s="17">
        <f>+VLOOKUP($A2292,MAGAZZINO!$B$2:$M$4838,6,FALSE)</f>
        <v/>
      </c>
      <c r="G2292" s="17">
        <f>+VLOOKUP($A2292,MAGAZZINO!$B$2:$M$4838,7,FALSE)</f>
        <v/>
      </c>
      <c r="H2292" s="17">
        <f>+VLOOKUP($A2292,MAGAZZINO!$B$2:$M$4838,8,FALSE)</f>
        <v/>
      </c>
      <c r="I2292" s="17">
        <f>+VLOOKUP($A2292,MAGAZZINO!$B$2:$M$4838,9,FALSE)</f>
        <v/>
      </c>
      <c r="J2292" s="17">
        <f>+VLOOKUP($A2292,MAGAZZINO!$B$2:$M$4838,10,FALSE)</f>
        <v/>
      </c>
      <c r="K2292" s="17">
        <f>+VLOOKUP($A2292,MAGAZZINO!$B$2:$M$4838,11,FALSE)</f>
        <v/>
      </c>
      <c r="L2292" s="44">
        <f>+VLOOKUP($A2292,MAGAZZINO!$B$2:$M$4838,12,FALSE)</f>
        <v/>
      </c>
    </row>
    <row r="2293" ht="36" customHeight="1">
      <c r="A2293" s="30">
        <f>+REGISTRO!A2276</f>
        <v/>
      </c>
      <c r="B2293" s="31">
        <f>+VLOOKUP($A2293,MAGAZZINO!$B$2:$M$4838,2,FALSE)</f>
        <v/>
      </c>
      <c r="C2293" s="32">
        <f>+VLOOKUP($A2293,MAGAZZINO!$B$2:$M$4838,3,FALSE)</f>
        <v/>
      </c>
      <c r="D2293" s="17">
        <f>+VLOOKUP($A2293,MAGAZZINO!$B$2:$M$4838,4,FALSE)</f>
        <v/>
      </c>
      <c r="E2293" s="17">
        <f>+VLOOKUP($A2293,MAGAZZINO!$B$2:$M$4838,5,FALSE)</f>
        <v/>
      </c>
      <c r="F2293" s="17">
        <f>+VLOOKUP($A2293,MAGAZZINO!$B$2:$M$4838,6,FALSE)</f>
        <v/>
      </c>
      <c r="G2293" s="17">
        <f>+VLOOKUP($A2293,MAGAZZINO!$B$2:$M$4838,7,FALSE)</f>
        <v/>
      </c>
      <c r="H2293" s="17">
        <f>+VLOOKUP($A2293,MAGAZZINO!$B$2:$M$4838,8,FALSE)</f>
        <v/>
      </c>
      <c r="I2293" s="17">
        <f>+VLOOKUP($A2293,MAGAZZINO!$B$2:$M$4838,9,FALSE)</f>
        <v/>
      </c>
      <c r="J2293" s="17">
        <f>+VLOOKUP($A2293,MAGAZZINO!$B$2:$M$4838,10,FALSE)</f>
        <v/>
      </c>
      <c r="K2293" s="17">
        <f>+VLOOKUP($A2293,MAGAZZINO!$B$2:$M$4838,11,FALSE)</f>
        <v/>
      </c>
      <c r="L2293" s="44">
        <f>+VLOOKUP($A2293,MAGAZZINO!$B$2:$M$4838,12,FALSE)</f>
        <v/>
      </c>
    </row>
    <row r="2294" ht="36" customHeight="1">
      <c r="A2294" s="30">
        <f>+REGISTRO!A2277</f>
        <v/>
      </c>
      <c r="B2294" s="31">
        <f>+VLOOKUP($A2294,MAGAZZINO!$B$2:$M$4838,2,FALSE)</f>
        <v/>
      </c>
      <c r="C2294" s="32">
        <f>+VLOOKUP($A2294,MAGAZZINO!$B$2:$M$4838,3,FALSE)</f>
        <v/>
      </c>
      <c r="D2294" s="17">
        <f>+VLOOKUP($A2294,MAGAZZINO!$B$2:$M$4838,4,FALSE)</f>
        <v/>
      </c>
      <c r="E2294" s="17">
        <f>+VLOOKUP($A2294,MAGAZZINO!$B$2:$M$4838,5,FALSE)</f>
        <v/>
      </c>
      <c r="F2294" s="17">
        <f>+VLOOKUP($A2294,MAGAZZINO!$B$2:$M$4838,6,FALSE)</f>
        <v/>
      </c>
      <c r="G2294" s="17">
        <f>+VLOOKUP($A2294,MAGAZZINO!$B$2:$M$4838,7,FALSE)</f>
        <v/>
      </c>
      <c r="H2294" s="17">
        <f>+VLOOKUP($A2294,MAGAZZINO!$B$2:$M$4838,8,FALSE)</f>
        <v/>
      </c>
      <c r="I2294" s="17">
        <f>+VLOOKUP($A2294,MAGAZZINO!$B$2:$M$4838,9,FALSE)</f>
        <v/>
      </c>
      <c r="J2294" s="17">
        <f>+VLOOKUP($A2294,MAGAZZINO!$B$2:$M$4838,10,FALSE)</f>
        <v/>
      </c>
      <c r="K2294" s="17">
        <f>+VLOOKUP($A2294,MAGAZZINO!$B$2:$M$4838,11,FALSE)</f>
        <v/>
      </c>
      <c r="L2294" s="44">
        <f>+VLOOKUP($A2294,MAGAZZINO!$B$2:$M$4838,12,FALSE)</f>
        <v/>
      </c>
    </row>
    <row r="2295" ht="36" customHeight="1">
      <c r="A2295" s="30">
        <f>+REGISTRO!A2278</f>
        <v/>
      </c>
      <c r="B2295" s="31">
        <f>+VLOOKUP($A2295,MAGAZZINO!$B$2:$M$4838,2,FALSE)</f>
        <v/>
      </c>
      <c r="C2295" s="32">
        <f>+VLOOKUP($A2295,MAGAZZINO!$B$2:$M$4838,3,FALSE)</f>
        <v/>
      </c>
      <c r="D2295" s="17">
        <f>+VLOOKUP($A2295,MAGAZZINO!$B$2:$M$4838,4,FALSE)</f>
        <v/>
      </c>
      <c r="E2295" s="17">
        <f>+VLOOKUP($A2295,MAGAZZINO!$B$2:$M$4838,5,FALSE)</f>
        <v/>
      </c>
      <c r="F2295" s="17">
        <f>+VLOOKUP($A2295,MAGAZZINO!$B$2:$M$4838,6,FALSE)</f>
        <v/>
      </c>
      <c r="G2295" s="17">
        <f>+VLOOKUP($A2295,MAGAZZINO!$B$2:$M$4838,7,FALSE)</f>
        <v/>
      </c>
      <c r="H2295" s="17">
        <f>+VLOOKUP($A2295,MAGAZZINO!$B$2:$M$4838,8,FALSE)</f>
        <v/>
      </c>
      <c r="I2295" s="17">
        <f>+VLOOKUP($A2295,MAGAZZINO!$B$2:$M$4838,9,FALSE)</f>
        <v/>
      </c>
      <c r="J2295" s="17">
        <f>+VLOOKUP($A2295,MAGAZZINO!$B$2:$M$4838,10,FALSE)</f>
        <v/>
      </c>
      <c r="K2295" s="17">
        <f>+VLOOKUP($A2295,MAGAZZINO!$B$2:$M$4838,11,FALSE)</f>
        <v/>
      </c>
      <c r="L2295" s="44">
        <f>+VLOOKUP($A2295,MAGAZZINO!$B$2:$M$4838,12,FALSE)</f>
        <v/>
      </c>
    </row>
    <row r="2296" ht="36" customHeight="1">
      <c r="A2296" s="30">
        <f>+REGISTRO!A2279</f>
        <v/>
      </c>
      <c r="B2296" s="31">
        <f>+VLOOKUP($A2296,MAGAZZINO!$B$2:$M$4838,2,FALSE)</f>
        <v/>
      </c>
      <c r="C2296" s="32">
        <f>+VLOOKUP($A2296,MAGAZZINO!$B$2:$M$4838,3,FALSE)</f>
        <v/>
      </c>
      <c r="D2296" s="17">
        <f>+VLOOKUP($A2296,MAGAZZINO!$B$2:$M$4838,4,FALSE)</f>
        <v/>
      </c>
      <c r="E2296" s="17">
        <f>+VLOOKUP($A2296,MAGAZZINO!$B$2:$M$4838,5,FALSE)</f>
        <v/>
      </c>
      <c r="F2296" s="17">
        <f>+VLOOKUP($A2296,MAGAZZINO!$B$2:$M$4838,6,FALSE)</f>
        <v/>
      </c>
      <c r="G2296" s="17">
        <f>+VLOOKUP($A2296,MAGAZZINO!$B$2:$M$4838,7,FALSE)</f>
        <v/>
      </c>
      <c r="H2296" s="17">
        <f>+VLOOKUP($A2296,MAGAZZINO!$B$2:$M$4838,8,FALSE)</f>
        <v/>
      </c>
      <c r="I2296" s="17">
        <f>+VLOOKUP($A2296,MAGAZZINO!$B$2:$M$4838,9,FALSE)</f>
        <v/>
      </c>
      <c r="J2296" s="17">
        <f>+VLOOKUP($A2296,MAGAZZINO!$B$2:$M$4838,10,FALSE)</f>
        <v/>
      </c>
      <c r="K2296" s="17">
        <f>+VLOOKUP($A2296,MAGAZZINO!$B$2:$M$4838,11,FALSE)</f>
        <v/>
      </c>
      <c r="L2296" s="44">
        <f>+VLOOKUP($A2296,MAGAZZINO!$B$2:$M$4838,12,FALSE)</f>
        <v/>
      </c>
    </row>
    <row r="2297" ht="36" customHeight="1">
      <c r="A2297" s="30">
        <f>+REGISTRO!A2280</f>
        <v/>
      </c>
      <c r="B2297" s="31">
        <f>+VLOOKUP($A2297,MAGAZZINO!$B$2:$M$4838,2,FALSE)</f>
        <v/>
      </c>
      <c r="C2297" s="32">
        <f>+VLOOKUP($A2297,MAGAZZINO!$B$2:$M$4838,3,FALSE)</f>
        <v/>
      </c>
      <c r="D2297" s="17">
        <f>+VLOOKUP($A2297,MAGAZZINO!$B$2:$M$4838,4,FALSE)</f>
        <v/>
      </c>
      <c r="E2297" s="17">
        <f>+VLOOKUP($A2297,MAGAZZINO!$B$2:$M$4838,5,FALSE)</f>
        <v/>
      </c>
      <c r="F2297" s="17">
        <f>+VLOOKUP($A2297,MAGAZZINO!$B$2:$M$4838,6,FALSE)</f>
        <v/>
      </c>
      <c r="G2297" s="17">
        <f>+VLOOKUP($A2297,MAGAZZINO!$B$2:$M$4838,7,FALSE)</f>
        <v/>
      </c>
      <c r="H2297" s="17">
        <f>+VLOOKUP($A2297,MAGAZZINO!$B$2:$M$4838,8,FALSE)</f>
        <v/>
      </c>
      <c r="I2297" s="17">
        <f>+VLOOKUP($A2297,MAGAZZINO!$B$2:$M$4838,9,FALSE)</f>
        <v/>
      </c>
      <c r="J2297" s="17">
        <f>+VLOOKUP($A2297,MAGAZZINO!$B$2:$M$4838,10,FALSE)</f>
        <v/>
      </c>
      <c r="K2297" s="17">
        <f>+VLOOKUP($A2297,MAGAZZINO!$B$2:$M$4838,11,FALSE)</f>
        <v/>
      </c>
      <c r="L2297" s="44">
        <f>+VLOOKUP($A2297,MAGAZZINO!$B$2:$M$4838,12,FALSE)</f>
        <v/>
      </c>
    </row>
    <row r="2298" ht="36" customHeight="1">
      <c r="A2298" s="30">
        <f>+REGISTRO!A2281</f>
        <v/>
      </c>
      <c r="B2298" s="31">
        <f>+VLOOKUP($A2298,MAGAZZINO!$B$2:$M$4838,2,FALSE)</f>
        <v/>
      </c>
      <c r="C2298" s="32">
        <f>+VLOOKUP($A2298,MAGAZZINO!$B$2:$M$4838,3,FALSE)</f>
        <v/>
      </c>
      <c r="D2298" s="17">
        <f>+VLOOKUP($A2298,MAGAZZINO!$B$2:$M$4838,4,FALSE)</f>
        <v/>
      </c>
      <c r="E2298" s="17">
        <f>+VLOOKUP($A2298,MAGAZZINO!$B$2:$M$4838,5,FALSE)</f>
        <v/>
      </c>
      <c r="F2298" s="17">
        <f>+VLOOKUP($A2298,MAGAZZINO!$B$2:$M$4838,6,FALSE)</f>
        <v/>
      </c>
      <c r="G2298" s="17">
        <f>+VLOOKUP($A2298,MAGAZZINO!$B$2:$M$4838,7,FALSE)</f>
        <v/>
      </c>
      <c r="H2298" s="17">
        <f>+VLOOKUP($A2298,MAGAZZINO!$B$2:$M$4838,8,FALSE)</f>
        <v/>
      </c>
      <c r="I2298" s="17">
        <f>+VLOOKUP($A2298,MAGAZZINO!$B$2:$M$4838,9,FALSE)</f>
        <v/>
      </c>
      <c r="J2298" s="17">
        <f>+VLOOKUP($A2298,MAGAZZINO!$B$2:$M$4838,10,FALSE)</f>
        <v/>
      </c>
      <c r="K2298" s="17">
        <f>+VLOOKUP($A2298,MAGAZZINO!$B$2:$M$4838,11,FALSE)</f>
        <v/>
      </c>
      <c r="L2298" s="44">
        <f>+VLOOKUP($A2298,MAGAZZINO!$B$2:$M$4838,12,FALSE)</f>
        <v/>
      </c>
    </row>
    <row r="2299" ht="36" customHeight="1">
      <c r="A2299" s="30">
        <f>+REGISTRO!A2282</f>
        <v/>
      </c>
      <c r="B2299" s="31">
        <f>+VLOOKUP($A2299,MAGAZZINO!$B$2:$M$4838,2,FALSE)</f>
        <v/>
      </c>
      <c r="C2299" s="32">
        <f>+VLOOKUP($A2299,MAGAZZINO!$B$2:$M$4838,3,FALSE)</f>
        <v/>
      </c>
      <c r="D2299" s="17">
        <f>+VLOOKUP($A2299,MAGAZZINO!$B$2:$M$4838,4,FALSE)</f>
        <v/>
      </c>
      <c r="E2299" s="17">
        <f>+VLOOKUP($A2299,MAGAZZINO!$B$2:$M$4838,5,FALSE)</f>
        <v/>
      </c>
      <c r="F2299" s="17">
        <f>+VLOOKUP($A2299,MAGAZZINO!$B$2:$M$4838,6,FALSE)</f>
        <v/>
      </c>
      <c r="G2299" s="17">
        <f>+VLOOKUP($A2299,MAGAZZINO!$B$2:$M$4838,7,FALSE)</f>
        <v/>
      </c>
      <c r="H2299" s="17">
        <f>+VLOOKUP($A2299,MAGAZZINO!$B$2:$M$4838,8,FALSE)</f>
        <v/>
      </c>
      <c r="I2299" s="17">
        <f>+VLOOKUP($A2299,MAGAZZINO!$B$2:$M$4838,9,FALSE)</f>
        <v/>
      </c>
      <c r="J2299" s="17">
        <f>+VLOOKUP($A2299,MAGAZZINO!$B$2:$M$4838,10,FALSE)</f>
        <v/>
      </c>
      <c r="K2299" s="17">
        <f>+VLOOKUP($A2299,MAGAZZINO!$B$2:$M$4838,11,FALSE)</f>
        <v/>
      </c>
      <c r="L2299" s="44">
        <f>+VLOOKUP($A2299,MAGAZZINO!$B$2:$M$4838,12,FALSE)</f>
        <v/>
      </c>
    </row>
    <row r="2300" ht="36" customHeight="1">
      <c r="A2300" s="30">
        <f>+REGISTRO!A2283</f>
        <v/>
      </c>
      <c r="B2300" s="31">
        <f>+VLOOKUP($A2300,MAGAZZINO!$B$2:$M$4838,2,FALSE)</f>
        <v/>
      </c>
      <c r="C2300" s="32">
        <f>+VLOOKUP($A2300,MAGAZZINO!$B$2:$M$4838,3,FALSE)</f>
        <v/>
      </c>
      <c r="D2300" s="17">
        <f>+VLOOKUP($A2300,MAGAZZINO!$B$2:$M$4838,4,FALSE)</f>
        <v/>
      </c>
      <c r="E2300" s="17">
        <f>+VLOOKUP($A2300,MAGAZZINO!$B$2:$M$4838,5,FALSE)</f>
        <v/>
      </c>
      <c r="F2300" s="17">
        <f>+VLOOKUP($A2300,MAGAZZINO!$B$2:$M$4838,6,FALSE)</f>
        <v/>
      </c>
      <c r="G2300" s="17">
        <f>+VLOOKUP($A2300,MAGAZZINO!$B$2:$M$4838,7,FALSE)</f>
        <v/>
      </c>
      <c r="H2300" s="17">
        <f>+VLOOKUP($A2300,MAGAZZINO!$B$2:$M$4838,8,FALSE)</f>
        <v/>
      </c>
      <c r="I2300" s="17">
        <f>+VLOOKUP($A2300,MAGAZZINO!$B$2:$M$4838,9,FALSE)</f>
        <v/>
      </c>
      <c r="J2300" s="17">
        <f>+VLOOKUP($A2300,MAGAZZINO!$B$2:$M$4838,10,FALSE)</f>
        <v/>
      </c>
      <c r="K2300" s="17">
        <f>+VLOOKUP($A2300,MAGAZZINO!$B$2:$M$4838,11,FALSE)</f>
        <v/>
      </c>
      <c r="L2300" s="44">
        <f>+VLOOKUP($A2300,MAGAZZINO!$B$2:$M$4838,12,FALSE)</f>
        <v/>
      </c>
    </row>
    <row r="2301" ht="36" customHeight="1">
      <c r="A2301" s="30">
        <f>+REGISTRO!A2284</f>
        <v/>
      </c>
      <c r="B2301" s="31">
        <f>+VLOOKUP($A2301,MAGAZZINO!$B$2:$M$4838,2,FALSE)</f>
        <v/>
      </c>
      <c r="C2301" s="32">
        <f>+VLOOKUP($A2301,MAGAZZINO!$B$2:$M$4838,3,FALSE)</f>
        <v/>
      </c>
      <c r="D2301" s="17">
        <f>+VLOOKUP($A2301,MAGAZZINO!$B$2:$M$4838,4,FALSE)</f>
        <v/>
      </c>
      <c r="E2301" s="17">
        <f>+VLOOKUP($A2301,MAGAZZINO!$B$2:$M$4838,5,FALSE)</f>
        <v/>
      </c>
      <c r="F2301" s="17">
        <f>+VLOOKUP($A2301,MAGAZZINO!$B$2:$M$4838,6,FALSE)</f>
        <v/>
      </c>
      <c r="G2301" s="17">
        <f>+VLOOKUP($A2301,MAGAZZINO!$B$2:$M$4838,7,FALSE)</f>
        <v/>
      </c>
      <c r="H2301" s="17">
        <f>+VLOOKUP($A2301,MAGAZZINO!$B$2:$M$4838,8,FALSE)</f>
        <v/>
      </c>
      <c r="I2301" s="17">
        <f>+VLOOKUP($A2301,MAGAZZINO!$B$2:$M$4838,9,FALSE)</f>
        <v/>
      </c>
      <c r="J2301" s="17">
        <f>+VLOOKUP($A2301,MAGAZZINO!$B$2:$M$4838,10,FALSE)</f>
        <v/>
      </c>
      <c r="K2301" s="17">
        <f>+VLOOKUP($A2301,MAGAZZINO!$B$2:$M$4838,11,FALSE)</f>
        <v/>
      </c>
      <c r="L2301" s="44">
        <f>+VLOOKUP($A2301,MAGAZZINO!$B$2:$M$4838,12,FALSE)</f>
        <v/>
      </c>
    </row>
    <row r="2302" ht="36" customHeight="1">
      <c r="A2302" s="30">
        <f>+REGISTRO!A2285</f>
        <v/>
      </c>
      <c r="B2302" s="31">
        <f>+VLOOKUP($A2302,MAGAZZINO!$B$2:$M$4838,2,FALSE)</f>
        <v/>
      </c>
      <c r="C2302" s="32">
        <f>+VLOOKUP($A2302,MAGAZZINO!$B$2:$M$4838,3,FALSE)</f>
        <v/>
      </c>
      <c r="D2302" s="17">
        <f>+VLOOKUP($A2302,MAGAZZINO!$B$2:$M$4838,4,FALSE)</f>
        <v/>
      </c>
      <c r="E2302" s="17">
        <f>+VLOOKUP($A2302,MAGAZZINO!$B$2:$M$4838,5,FALSE)</f>
        <v/>
      </c>
      <c r="F2302" s="17">
        <f>+VLOOKUP($A2302,MAGAZZINO!$B$2:$M$4838,6,FALSE)</f>
        <v/>
      </c>
      <c r="G2302" s="17">
        <f>+VLOOKUP($A2302,MAGAZZINO!$B$2:$M$4838,7,FALSE)</f>
        <v/>
      </c>
      <c r="H2302" s="17">
        <f>+VLOOKUP($A2302,MAGAZZINO!$B$2:$M$4838,8,FALSE)</f>
        <v/>
      </c>
      <c r="I2302" s="17">
        <f>+VLOOKUP($A2302,MAGAZZINO!$B$2:$M$4838,9,FALSE)</f>
        <v/>
      </c>
      <c r="J2302" s="17">
        <f>+VLOOKUP($A2302,MAGAZZINO!$B$2:$M$4838,10,FALSE)</f>
        <v/>
      </c>
      <c r="K2302" s="17">
        <f>+VLOOKUP($A2302,MAGAZZINO!$B$2:$M$4838,11,FALSE)</f>
        <v/>
      </c>
      <c r="L2302" s="44">
        <f>+VLOOKUP($A2302,MAGAZZINO!$B$2:$M$4838,12,FALSE)</f>
        <v/>
      </c>
    </row>
    <row r="2303" ht="36" customHeight="1">
      <c r="A2303" s="30">
        <f>+REGISTRO!A2286</f>
        <v/>
      </c>
      <c r="B2303" s="31">
        <f>+VLOOKUP($A2303,MAGAZZINO!$B$2:$M$4838,2,FALSE)</f>
        <v/>
      </c>
      <c r="C2303" s="32">
        <f>+VLOOKUP($A2303,MAGAZZINO!$B$2:$M$4838,3,FALSE)</f>
        <v/>
      </c>
      <c r="D2303" s="17">
        <f>+VLOOKUP($A2303,MAGAZZINO!$B$2:$M$4838,4,FALSE)</f>
        <v/>
      </c>
      <c r="E2303" s="17">
        <f>+VLOOKUP($A2303,MAGAZZINO!$B$2:$M$4838,5,FALSE)</f>
        <v/>
      </c>
      <c r="F2303" s="17">
        <f>+VLOOKUP($A2303,MAGAZZINO!$B$2:$M$4838,6,FALSE)</f>
        <v/>
      </c>
      <c r="G2303" s="17">
        <f>+VLOOKUP($A2303,MAGAZZINO!$B$2:$M$4838,7,FALSE)</f>
        <v/>
      </c>
      <c r="H2303" s="17">
        <f>+VLOOKUP($A2303,MAGAZZINO!$B$2:$M$4838,8,FALSE)</f>
        <v/>
      </c>
      <c r="I2303" s="17">
        <f>+VLOOKUP($A2303,MAGAZZINO!$B$2:$M$4838,9,FALSE)</f>
        <v/>
      </c>
      <c r="J2303" s="17">
        <f>+VLOOKUP($A2303,MAGAZZINO!$B$2:$M$4838,10,FALSE)</f>
        <v/>
      </c>
      <c r="K2303" s="17">
        <f>+VLOOKUP($A2303,MAGAZZINO!$B$2:$M$4838,11,FALSE)</f>
        <v/>
      </c>
      <c r="L2303" s="44">
        <f>+VLOOKUP($A2303,MAGAZZINO!$B$2:$M$4838,12,FALSE)</f>
        <v/>
      </c>
    </row>
    <row r="2304" ht="36" customHeight="1">
      <c r="A2304" s="30">
        <f>+REGISTRO!A2287</f>
        <v/>
      </c>
      <c r="B2304" s="31">
        <f>+VLOOKUP($A2304,MAGAZZINO!$B$2:$M$4838,2,FALSE)</f>
        <v/>
      </c>
      <c r="C2304" s="32">
        <f>+VLOOKUP($A2304,MAGAZZINO!$B$2:$M$4838,3,FALSE)</f>
        <v/>
      </c>
      <c r="D2304" s="17">
        <f>+VLOOKUP($A2304,MAGAZZINO!$B$2:$M$4838,4,FALSE)</f>
        <v/>
      </c>
      <c r="E2304" s="17">
        <f>+VLOOKUP($A2304,MAGAZZINO!$B$2:$M$4838,5,FALSE)</f>
        <v/>
      </c>
      <c r="F2304" s="17">
        <f>+VLOOKUP($A2304,MAGAZZINO!$B$2:$M$4838,6,FALSE)</f>
        <v/>
      </c>
      <c r="G2304" s="17">
        <f>+VLOOKUP($A2304,MAGAZZINO!$B$2:$M$4838,7,FALSE)</f>
        <v/>
      </c>
      <c r="H2304" s="17">
        <f>+VLOOKUP($A2304,MAGAZZINO!$B$2:$M$4838,8,FALSE)</f>
        <v/>
      </c>
      <c r="I2304" s="17">
        <f>+VLOOKUP($A2304,MAGAZZINO!$B$2:$M$4838,9,FALSE)</f>
        <v/>
      </c>
      <c r="J2304" s="17">
        <f>+VLOOKUP($A2304,MAGAZZINO!$B$2:$M$4838,10,FALSE)</f>
        <v/>
      </c>
      <c r="K2304" s="17">
        <f>+VLOOKUP($A2304,MAGAZZINO!$B$2:$M$4838,11,FALSE)</f>
        <v/>
      </c>
      <c r="L2304" s="44">
        <f>+VLOOKUP($A2304,MAGAZZINO!$B$2:$M$4838,12,FALSE)</f>
        <v/>
      </c>
    </row>
    <row r="2305" ht="36" customHeight="1">
      <c r="A2305" s="30">
        <f>+REGISTRO!A2288</f>
        <v/>
      </c>
      <c r="B2305" s="31">
        <f>+VLOOKUP($A2305,MAGAZZINO!$B$2:$M$4838,2,FALSE)</f>
        <v/>
      </c>
      <c r="C2305" s="32">
        <f>+VLOOKUP($A2305,MAGAZZINO!$B$2:$M$4838,3,FALSE)</f>
        <v/>
      </c>
      <c r="D2305" s="17">
        <f>+VLOOKUP($A2305,MAGAZZINO!$B$2:$M$4838,4,FALSE)</f>
        <v/>
      </c>
      <c r="E2305" s="17">
        <f>+VLOOKUP($A2305,MAGAZZINO!$B$2:$M$4838,5,FALSE)</f>
        <v/>
      </c>
      <c r="F2305" s="17">
        <f>+VLOOKUP($A2305,MAGAZZINO!$B$2:$M$4838,6,FALSE)</f>
        <v/>
      </c>
      <c r="G2305" s="17">
        <f>+VLOOKUP($A2305,MAGAZZINO!$B$2:$M$4838,7,FALSE)</f>
        <v/>
      </c>
      <c r="H2305" s="17">
        <f>+VLOOKUP($A2305,MAGAZZINO!$B$2:$M$4838,8,FALSE)</f>
        <v/>
      </c>
      <c r="I2305" s="17">
        <f>+VLOOKUP($A2305,MAGAZZINO!$B$2:$M$4838,9,FALSE)</f>
        <v/>
      </c>
      <c r="J2305" s="17">
        <f>+VLOOKUP($A2305,MAGAZZINO!$B$2:$M$4838,10,FALSE)</f>
        <v/>
      </c>
      <c r="K2305" s="17">
        <f>+VLOOKUP($A2305,MAGAZZINO!$B$2:$M$4838,11,FALSE)</f>
        <v/>
      </c>
      <c r="L2305" s="44">
        <f>+VLOOKUP($A2305,MAGAZZINO!$B$2:$M$4838,12,FALSE)</f>
        <v/>
      </c>
    </row>
    <row r="2306" ht="36" customHeight="1">
      <c r="A2306" s="30">
        <f>+REGISTRO!A2289</f>
        <v/>
      </c>
      <c r="B2306" s="31">
        <f>+VLOOKUP($A2306,MAGAZZINO!$B$2:$M$4838,2,FALSE)</f>
        <v/>
      </c>
      <c r="C2306" s="32">
        <f>+VLOOKUP($A2306,MAGAZZINO!$B$2:$M$4838,3,FALSE)</f>
        <v/>
      </c>
      <c r="D2306" s="17">
        <f>+VLOOKUP($A2306,MAGAZZINO!$B$2:$M$4838,4,FALSE)</f>
        <v/>
      </c>
      <c r="E2306" s="17">
        <f>+VLOOKUP($A2306,MAGAZZINO!$B$2:$M$4838,5,FALSE)</f>
        <v/>
      </c>
      <c r="F2306" s="17">
        <f>+VLOOKUP($A2306,MAGAZZINO!$B$2:$M$4838,6,FALSE)</f>
        <v/>
      </c>
      <c r="G2306" s="17">
        <f>+VLOOKUP($A2306,MAGAZZINO!$B$2:$M$4838,7,FALSE)</f>
        <v/>
      </c>
      <c r="H2306" s="17">
        <f>+VLOOKUP($A2306,MAGAZZINO!$B$2:$M$4838,8,FALSE)</f>
        <v/>
      </c>
      <c r="I2306" s="17">
        <f>+VLOOKUP($A2306,MAGAZZINO!$B$2:$M$4838,9,FALSE)</f>
        <v/>
      </c>
      <c r="J2306" s="17">
        <f>+VLOOKUP($A2306,MAGAZZINO!$B$2:$M$4838,10,FALSE)</f>
        <v/>
      </c>
      <c r="K2306" s="17">
        <f>+VLOOKUP($A2306,MAGAZZINO!$B$2:$M$4838,11,FALSE)</f>
        <v/>
      </c>
      <c r="L2306" s="44">
        <f>+VLOOKUP($A2306,MAGAZZINO!$B$2:$M$4838,12,FALSE)</f>
        <v/>
      </c>
    </row>
    <row r="2307" ht="36" customHeight="1">
      <c r="A2307" s="30">
        <f>+REGISTRO!A2290</f>
        <v/>
      </c>
      <c r="B2307" s="31">
        <f>+VLOOKUP($A2307,MAGAZZINO!$B$2:$M$4838,2,FALSE)</f>
        <v/>
      </c>
      <c r="C2307" s="32">
        <f>+VLOOKUP($A2307,MAGAZZINO!$B$2:$M$4838,3,FALSE)</f>
        <v/>
      </c>
      <c r="D2307" s="17">
        <f>+VLOOKUP($A2307,MAGAZZINO!$B$2:$M$4838,4,FALSE)</f>
        <v/>
      </c>
      <c r="E2307" s="17">
        <f>+VLOOKUP($A2307,MAGAZZINO!$B$2:$M$4838,5,FALSE)</f>
        <v/>
      </c>
      <c r="F2307" s="17">
        <f>+VLOOKUP($A2307,MAGAZZINO!$B$2:$M$4838,6,FALSE)</f>
        <v/>
      </c>
      <c r="G2307" s="17">
        <f>+VLOOKUP($A2307,MAGAZZINO!$B$2:$M$4838,7,FALSE)</f>
        <v/>
      </c>
      <c r="H2307" s="17">
        <f>+VLOOKUP($A2307,MAGAZZINO!$B$2:$M$4838,8,FALSE)</f>
        <v/>
      </c>
      <c r="I2307" s="17">
        <f>+VLOOKUP($A2307,MAGAZZINO!$B$2:$M$4838,9,FALSE)</f>
        <v/>
      </c>
      <c r="J2307" s="17">
        <f>+VLOOKUP($A2307,MAGAZZINO!$B$2:$M$4838,10,FALSE)</f>
        <v/>
      </c>
      <c r="K2307" s="17">
        <f>+VLOOKUP($A2307,MAGAZZINO!$B$2:$M$4838,11,FALSE)</f>
        <v/>
      </c>
      <c r="L2307" s="44">
        <f>+VLOOKUP($A2307,MAGAZZINO!$B$2:$M$4838,12,FALSE)</f>
        <v/>
      </c>
    </row>
    <row r="2308" ht="36" customHeight="1">
      <c r="A2308" s="30">
        <f>+REGISTRO!A2291</f>
        <v/>
      </c>
      <c r="B2308" s="31">
        <f>+VLOOKUP($A2308,MAGAZZINO!$B$2:$M$4838,2,FALSE)</f>
        <v/>
      </c>
      <c r="C2308" s="32">
        <f>+VLOOKUP($A2308,MAGAZZINO!$B$2:$M$4838,3,FALSE)</f>
        <v/>
      </c>
      <c r="D2308" s="17">
        <f>+VLOOKUP($A2308,MAGAZZINO!$B$2:$M$4838,4,FALSE)</f>
        <v/>
      </c>
      <c r="E2308" s="17">
        <f>+VLOOKUP($A2308,MAGAZZINO!$B$2:$M$4838,5,FALSE)</f>
        <v/>
      </c>
      <c r="F2308" s="17">
        <f>+VLOOKUP($A2308,MAGAZZINO!$B$2:$M$4838,6,FALSE)</f>
        <v/>
      </c>
      <c r="G2308" s="17">
        <f>+VLOOKUP($A2308,MAGAZZINO!$B$2:$M$4838,7,FALSE)</f>
        <v/>
      </c>
      <c r="H2308" s="17">
        <f>+VLOOKUP($A2308,MAGAZZINO!$B$2:$M$4838,8,FALSE)</f>
        <v/>
      </c>
      <c r="I2308" s="17">
        <f>+VLOOKUP($A2308,MAGAZZINO!$B$2:$M$4838,9,FALSE)</f>
        <v/>
      </c>
      <c r="J2308" s="17">
        <f>+VLOOKUP($A2308,MAGAZZINO!$B$2:$M$4838,10,FALSE)</f>
        <v/>
      </c>
      <c r="K2308" s="17">
        <f>+VLOOKUP($A2308,MAGAZZINO!$B$2:$M$4838,11,FALSE)</f>
        <v/>
      </c>
      <c r="L2308" s="44">
        <f>+VLOOKUP($A2308,MAGAZZINO!$B$2:$M$4838,12,FALSE)</f>
        <v/>
      </c>
    </row>
    <row r="2309" ht="36" customHeight="1">
      <c r="A2309" s="30">
        <f>+REGISTRO!A2292</f>
        <v/>
      </c>
      <c r="B2309" s="31">
        <f>+VLOOKUP($A2309,MAGAZZINO!$B$2:$M$4838,2,FALSE)</f>
        <v/>
      </c>
      <c r="C2309" s="32">
        <f>+VLOOKUP($A2309,MAGAZZINO!$B$2:$M$4838,3,FALSE)</f>
        <v/>
      </c>
      <c r="D2309" s="17">
        <f>+VLOOKUP($A2309,MAGAZZINO!$B$2:$M$4838,4,FALSE)</f>
        <v/>
      </c>
      <c r="E2309" s="17">
        <f>+VLOOKUP($A2309,MAGAZZINO!$B$2:$M$4838,5,FALSE)</f>
        <v/>
      </c>
      <c r="F2309" s="17">
        <f>+VLOOKUP($A2309,MAGAZZINO!$B$2:$M$4838,6,FALSE)</f>
        <v/>
      </c>
      <c r="G2309" s="17">
        <f>+VLOOKUP($A2309,MAGAZZINO!$B$2:$M$4838,7,FALSE)</f>
        <v/>
      </c>
      <c r="H2309" s="17">
        <f>+VLOOKUP($A2309,MAGAZZINO!$B$2:$M$4838,8,FALSE)</f>
        <v/>
      </c>
      <c r="I2309" s="17">
        <f>+VLOOKUP($A2309,MAGAZZINO!$B$2:$M$4838,9,FALSE)</f>
        <v/>
      </c>
      <c r="J2309" s="17">
        <f>+VLOOKUP($A2309,MAGAZZINO!$B$2:$M$4838,10,FALSE)</f>
        <v/>
      </c>
      <c r="K2309" s="17">
        <f>+VLOOKUP($A2309,MAGAZZINO!$B$2:$M$4838,11,FALSE)</f>
        <v/>
      </c>
      <c r="L2309" s="44">
        <f>+VLOOKUP($A2309,MAGAZZINO!$B$2:$M$4838,12,FALSE)</f>
        <v/>
      </c>
    </row>
    <row r="2310" ht="36" customHeight="1">
      <c r="A2310" s="30">
        <f>+REGISTRO!A2293</f>
        <v/>
      </c>
      <c r="B2310" s="31">
        <f>+VLOOKUP($A2310,MAGAZZINO!$B$2:$M$4838,2,FALSE)</f>
        <v/>
      </c>
      <c r="C2310" s="32">
        <f>+VLOOKUP($A2310,MAGAZZINO!$B$2:$M$4838,3,FALSE)</f>
        <v/>
      </c>
      <c r="D2310" s="17">
        <f>+VLOOKUP($A2310,MAGAZZINO!$B$2:$M$4838,4,FALSE)</f>
        <v/>
      </c>
      <c r="E2310" s="17">
        <f>+VLOOKUP($A2310,MAGAZZINO!$B$2:$M$4838,5,FALSE)</f>
        <v/>
      </c>
      <c r="F2310" s="17">
        <f>+VLOOKUP($A2310,MAGAZZINO!$B$2:$M$4838,6,FALSE)</f>
        <v/>
      </c>
      <c r="G2310" s="17">
        <f>+VLOOKUP($A2310,MAGAZZINO!$B$2:$M$4838,7,FALSE)</f>
        <v/>
      </c>
      <c r="H2310" s="17">
        <f>+VLOOKUP($A2310,MAGAZZINO!$B$2:$M$4838,8,FALSE)</f>
        <v/>
      </c>
      <c r="I2310" s="17">
        <f>+VLOOKUP($A2310,MAGAZZINO!$B$2:$M$4838,9,FALSE)</f>
        <v/>
      </c>
      <c r="J2310" s="17">
        <f>+VLOOKUP($A2310,MAGAZZINO!$B$2:$M$4838,10,FALSE)</f>
        <v/>
      </c>
      <c r="K2310" s="17">
        <f>+VLOOKUP($A2310,MAGAZZINO!$B$2:$M$4838,11,FALSE)</f>
        <v/>
      </c>
      <c r="L2310" s="44">
        <f>+VLOOKUP($A2310,MAGAZZINO!$B$2:$M$4838,12,FALSE)</f>
        <v/>
      </c>
    </row>
    <row r="2311" ht="36" customHeight="1">
      <c r="A2311" s="30">
        <f>+REGISTRO!A2294</f>
        <v/>
      </c>
      <c r="B2311" s="31">
        <f>+VLOOKUP($A2311,MAGAZZINO!$B$2:$M$4838,2,FALSE)</f>
        <v/>
      </c>
      <c r="C2311" s="32">
        <f>+VLOOKUP($A2311,MAGAZZINO!$B$2:$M$4838,3,FALSE)</f>
        <v/>
      </c>
      <c r="D2311" s="17">
        <f>+VLOOKUP($A2311,MAGAZZINO!$B$2:$M$4838,4,FALSE)</f>
        <v/>
      </c>
      <c r="E2311" s="17">
        <f>+VLOOKUP($A2311,MAGAZZINO!$B$2:$M$4838,5,FALSE)</f>
        <v/>
      </c>
      <c r="F2311" s="17">
        <f>+VLOOKUP($A2311,MAGAZZINO!$B$2:$M$4838,6,FALSE)</f>
        <v/>
      </c>
      <c r="G2311" s="17">
        <f>+VLOOKUP($A2311,MAGAZZINO!$B$2:$M$4838,7,FALSE)</f>
        <v/>
      </c>
      <c r="H2311" s="17">
        <f>+VLOOKUP($A2311,MAGAZZINO!$B$2:$M$4838,8,FALSE)</f>
        <v/>
      </c>
      <c r="I2311" s="17">
        <f>+VLOOKUP($A2311,MAGAZZINO!$B$2:$M$4838,9,FALSE)</f>
        <v/>
      </c>
      <c r="J2311" s="17">
        <f>+VLOOKUP($A2311,MAGAZZINO!$B$2:$M$4838,10,FALSE)</f>
        <v/>
      </c>
      <c r="K2311" s="17">
        <f>+VLOOKUP($A2311,MAGAZZINO!$B$2:$M$4838,11,FALSE)</f>
        <v/>
      </c>
      <c r="L2311" s="44">
        <f>+VLOOKUP($A2311,MAGAZZINO!$B$2:$M$4838,12,FALSE)</f>
        <v/>
      </c>
    </row>
    <row r="2312" ht="36" customHeight="1">
      <c r="A2312" s="30">
        <f>+REGISTRO!A2295</f>
        <v/>
      </c>
      <c r="B2312" s="31">
        <f>+VLOOKUP($A2312,MAGAZZINO!$B$2:$M$4838,2,FALSE)</f>
        <v/>
      </c>
      <c r="C2312" s="32">
        <f>+VLOOKUP($A2312,MAGAZZINO!$B$2:$M$4838,3,FALSE)</f>
        <v/>
      </c>
      <c r="D2312" s="17">
        <f>+VLOOKUP($A2312,MAGAZZINO!$B$2:$M$4838,4,FALSE)</f>
        <v/>
      </c>
      <c r="E2312" s="17">
        <f>+VLOOKUP($A2312,MAGAZZINO!$B$2:$M$4838,5,FALSE)</f>
        <v/>
      </c>
      <c r="F2312" s="17">
        <f>+VLOOKUP($A2312,MAGAZZINO!$B$2:$M$4838,6,FALSE)</f>
        <v/>
      </c>
      <c r="G2312" s="17">
        <f>+VLOOKUP($A2312,MAGAZZINO!$B$2:$M$4838,7,FALSE)</f>
        <v/>
      </c>
      <c r="H2312" s="17">
        <f>+VLOOKUP($A2312,MAGAZZINO!$B$2:$M$4838,8,FALSE)</f>
        <v/>
      </c>
      <c r="I2312" s="17">
        <f>+VLOOKUP($A2312,MAGAZZINO!$B$2:$M$4838,9,FALSE)</f>
        <v/>
      </c>
      <c r="J2312" s="17">
        <f>+VLOOKUP($A2312,MAGAZZINO!$B$2:$M$4838,10,FALSE)</f>
        <v/>
      </c>
      <c r="K2312" s="17">
        <f>+VLOOKUP($A2312,MAGAZZINO!$B$2:$M$4838,11,FALSE)</f>
        <v/>
      </c>
      <c r="L2312" s="44">
        <f>+VLOOKUP($A2312,MAGAZZINO!$B$2:$M$4838,12,FALSE)</f>
        <v/>
      </c>
    </row>
    <row r="2313" ht="36" customHeight="1">
      <c r="A2313" s="30">
        <f>+REGISTRO!A2296</f>
        <v/>
      </c>
      <c r="B2313" s="31">
        <f>+VLOOKUP($A2313,MAGAZZINO!$B$2:$M$4838,2,FALSE)</f>
        <v/>
      </c>
      <c r="C2313" s="32">
        <f>+VLOOKUP($A2313,MAGAZZINO!$B$2:$M$4838,3,FALSE)</f>
        <v/>
      </c>
      <c r="D2313" s="17">
        <f>+VLOOKUP($A2313,MAGAZZINO!$B$2:$M$4838,4,FALSE)</f>
        <v/>
      </c>
      <c r="E2313" s="17">
        <f>+VLOOKUP($A2313,MAGAZZINO!$B$2:$M$4838,5,FALSE)</f>
        <v/>
      </c>
      <c r="F2313" s="17">
        <f>+VLOOKUP($A2313,MAGAZZINO!$B$2:$M$4838,6,FALSE)</f>
        <v/>
      </c>
      <c r="G2313" s="17">
        <f>+VLOOKUP($A2313,MAGAZZINO!$B$2:$M$4838,7,FALSE)</f>
        <v/>
      </c>
      <c r="H2313" s="17">
        <f>+VLOOKUP($A2313,MAGAZZINO!$B$2:$M$4838,8,FALSE)</f>
        <v/>
      </c>
      <c r="I2313" s="17">
        <f>+VLOOKUP($A2313,MAGAZZINO!$B$2:$M$4838,9,FALSE)</f>
        <v/>
      </c>
      <c r="J2313" s="17">
        <f>+VLOOKUP($A2313,MAGAZZINO!$B$2:$M$4838,10,FALSE)</f>
        <v/>
      </c>
      <c r="K2313" s="17">
        <f>+VLOOKUP($A2313,MAGAZZINO!$B$2:$M$4838,11,FALSE)</f>
        <v/>
      </c>
      <c r="L2313" s="44">
        <f>+VLOOKUP($A2313,MAGAZZINO!$B$2:$M$4838,12,FALSE)</f>
        <v/>
      </c>
    </row>
    <row r="2314" ht="36" customHeight="1">
      <c r="A2314" s="30">
        <f>+REGISTRO!A2297</f>
        <v/>
      </c>
      <c r="B2314" s="31">
        <f>+VLOOKUP($A2314,MAGAZZINO!$B$2:$M$4838,2,FALSE)</f>
        <v/>
      </c>
      <c r="C2314" s="32">
        <f>+VLOOKUP($A2314,MAGAZZINO!$B$2:$M$4838,3,FALSE)</f>
        <v/>
      </c>
      <c r="D2314" s="17">
        <f>+VLOOKUP($A2314,MAGAZZINO!$B$2:$M$4838,4,FALSE)</f>
        <v/>
      </c>
      <c r="E2314" s="17">
        <f>+VLOOKUP($A2314,MAGAZZINO!$B$2:$M$4838,5,FALSE)</f>
        <v/>
      </c>
      <c r="F2314" s="17">
        <f>+VLOOKUP($A2314,MAGAZZINO!$B$2:$M$4838,6,FALSE)</f>
        <v/>
      </c>
      <c r="G2314" s="17">
        <f>+VLOOKUP($A2314,MAGAZZINO!$B$2:$M$4838,7,FALSE)</f>
        <v/>
      </c>
      <c r="H2314" s="17">
        <f>+VLOOKUP($A2314,MAGAZZINO!$B$2:$M$4838,8,FALSE)</f>
        <v/>
      </c>
      <c r="I2314" s="17">
        <f>+VLOOKUP($A2314,MAGAZZINO!$B$2:$M$4838,9,FALSE)</f>
        <v/>
      </c>
      <c r="J2314" s="17">
        <f>+VLOOKUP($A2314,MAGAZZINO!$B$2:$M$4838,10,FALSE)</f>
        <v/>
      </c>
      <c r="K2314" s="17">
        <f>+VLOOKUP($A2314,MAGAZZINO!$B$2:$M$4838,11,FALSE)</f>
        <v/>
      </c>
      <c r="L2314" s="44">
        <f>+VLOOKUP($A2314,MAGAZZINO!$B$2:$M$4838,12,FALSE)</f>
        <v/>
      </c>
    </row>
    <row r="2315" ht="36" customHeight="1">
      <c r="A2315" s="30">
        <f>+REGISTRO!A2298</f>
        <v/>
      </c>
      <c r="B2315" s="31">
        <f>+VLOOKUP($A2315,MAGAZZINO!$B$2:$M$4838,2,FALSE)</f>
        <v/>
      </c>
      <c r="C2315" s="32">
        <f>+VLOOKUP($A2315,MAGAZZINO!$B$2:$M$4838,3,FALSE)</f>
        <v/>
      </c>
      <c r="D2315" s="17">
        <f>+VLOOKUP($A2315,MAGAZZINO!$B$2:$M$4838,4,FALSE)</f>
        <v/>
      </c>
      <c r="E2315" s="17">
        <f>+VLOOKUP($A2315,MAGAZZINO!$B$2:$M$4838,5,FALSE)</f>
        <v/>
      </c>
      <c r="F2315" s="17">
        <f>+VLOOKUP($A2315,MAGAZZINO!$B$2:$M$4838,6,FALSE)</f>
        <v/>
      </c>
      <c r="G2315" s="17">
        <f>+VLOOKUP($A2315,MAGAZZINO!$B$2:$M$4838,7,FALSE)</f>
        <v/>
      </c>
      <c r="H2315" s="17">
        <f>+VLOOKUP($A2315,MAGAZZINO!$B$2:$M$4838,8,FALSE)</f>
        <v/>
      </c>
      <c r="I2315" s="17">
        <f>+VLOOKUP($A2315,MAGAZZINO!$B$2:$M$4838,9,FALSE)</f>
        <v/>
      </c>
      <c r="J2315" s="17">
        <f>+VLOOKUP($A2315,MAGAZZINO!$B$2:$M$4838,10,FALSE)</f>
        <v/>
      </c>
      <c r="K2315" s="17">
        <f>+VLOOKUP($A2315,MAGAZZINO!$B$2:$M$4838,11,FALSE)</f>
        <v/>
      </c>
      <c r="L2315" s="44">
        <f>+VLOOKUP($A2315,MAGAZZINO!$B$2:$M$4838,12,FALSE)</f>
        <v/>
      </c>
    </row>
    <row r="2316" ht="36" customHeight="1">
      <c r="A2316" s="30">
        <f>+REGISTRO!A2299</f>
        <v/>
      </c>
      <c r="B2316" s="31">
        <f>+VLOOKUP($A2316,MAGAZZINO!$B$2:$M$4838,2,FALSE)</f>
        <v/>
      </c>
      <c r="C2316" s="32">
        <f>+VLOOKUP($A2316,MAGAZZINO!$B$2:$M$4838,3,FALSE)</f>
        <v/>
      </c>
      <c r="D2316" s="17">
        <f>+VLOOKUP($A2316,MAGAZZINO!$B$2:$M$4838,4,FALSE)</f>
        <v/>
      </c>
      <c r="E2316" s="17">
        <f>+VLOOKUP($A2316,MAGAZZINO!$B$2:$M$4838,5,FALSE)</f>
        <v/>
      </c>
      <c r="F2316" s="17">
        <f>+VLOOKUP($A2316,MAGAZZINO!$B$2:$M$4838,6,FALSE)</f>
        <v/>
      </c>
      <c r="G2316" s="17">
        <f>+VLOOKUP($A2316,MAGAZZINO!$B$2:$M$4838,7,FALSE)</f>
        <v/>
      </c>
      <c r="H2316" s="17">
        <f>+VLOOKUP($A2316,MAGAZZINO!$B$2:$M$4838,8,FALSE)</f>
        <v/>
      </c>
      <c r="I2316" s="17">
        <f>+VLOOKUP($A2316,MAGAZZINO!$B$2:$M$4838,9,FALSE)</f>
        <v/>
      </c>
      <c r="J2316" s="17">
        <f>+VLOOKUP($A2316,MAGAZZINO!$B$2:$M$4838,10,FALSE)</f>
        <v/>
      </c>
      <c r="K2316" s="17">
        <f>+VLOOKUP($A2316,MAGAZZINO!$B$2:$M$4838,11,FALSE)</f>
        <v/>
      </c>
      <c r="L2316" s="44">
        <f>+VLOOKUP($A2316,MAGAZZINO!$B$2:$M$4838,12,FALSE)</f>
        <v/>
      </c>
    </row>
    <row r="2317" ht="36" customHeight="1">
      <c r="A2317" s="30">
        <f>+REGISTRO!A2300</f>
        <v/>
      </c>
      <c r="B2317" s="31">
        <f>+VLOOKUP($A2317,MAGAZZINO!$B$2:$M$4838,2,FALSE)</f>
        <v/>
      </c>
      <c r="C2317" s="32">
        <f>+VLOOKUP($A2317,MAGAZZINO!$B$2:$M$4838,3,FALSE)</f>
        <v/>
      </c>
      <c r="D2317" s="17">
        <f>+VLOOKUP($A2317,MAGAZZINO!$B$2:$M$4838,4,FALSE)</f>
        <v/>
      </c>
      <c r="E2317" s="17">
        <f>+VLOOKUP($A2317,MAGAZZINO!$B$2:$M$4838,5,FALSE)</f>
        <v/>
      </c>
      <c r="F2317" s="17">
        <f>+VLOOKUP($A2317,MAGAZZINO!$B$2:$M$4838,6,FALSE)</f>
        <v/>
      </c>
      <c r="G2317" s="17">
        <f>+VLOOKUP($A2317,MAGAZZINO!$B$2:$M$4838,7,FALSE)</f>
        <v/>
      </c>
      <c r="H2317" s="17">
        <f>+VLOOKUP($A2317,MAGAZZINO!$B$2:$M$4838,8,FALSE)</f>
        <v/>
      </c>
      <c r="I2317" s="17">
        <f>+VLOOKUP($A2317,MAGAZZINO!$B$2:$M$4838,9,FALSE)</f>
        <v/>
      </c>
      <c r="J2317" s="17">
        <f>+VLOOKUP($A2317,MAGAZZINO!$B$2:$M$4838,10,FALSE)</f>
        <v/>
      </c>
      <c r="K2317" s="17">
        <f>+VLOOKUP($A2317,MAGAZZINO!$B$2:$M$4838,11,FALSE)</f>
        <v/>
      </c>
      <c r="L2317" s="44">
        <f>+VLOOKUP($A2317,MAGAZZINO!$B$2:$M$4838,12,FALSE)</f>
        <v/>
      </c>
    </row>
    <row r="2318" ht="36" customHeight="1">
      <c r="A2318" s="30">
        <f>+REGISTRO!A2301</f>
        <v/>
      </c>
      <c r="B2318" s="31">
        <f>+VLOOKUP($A2318,MAGAZZINO!$B$2:$M$4838,2,FALSE)</f>
        <v/>
      </c>
      <c r="C2318" s="32">
        <f>+VLOOKUP($A2318,MAGAZZINO!$B$2:$M$4838,3,FALSE)</f>
        <v/>
      </c>
      <c r="D2318" s="17">
        <f>+VLOOKUP($A2318,MAGAZZINO!$B$2:$M$4838,4,FALSE)</f>
        <v/>
      </c>
      <c r="E2318" s="17">
        <f>+VLOOKUP($A2318,MAGAZZINO!$B$2:$M$4838,5,FALSE)</f>
        <v/>
      </c>
      <c r="F2318" s="17">
        <f>+VLOOKUP($A2318,MAGAZZINO!$B$2:$M$4838,6,FALSE)</f>
        <v/>
      </c>
      <c r="G2318" s="17">
        <f>+VLOOKUP($A2318,MAGAZZINO!$B$2:$M$4838,7,FALSE)</f>
        <v/>
      </c>
      <c r="H2318" s="17">
        <f>+VLOOKUP($A2318,MAGAZZINO!$B$2:$M$4838,8,FALSE)</f>
        <v/>
      </c>
      <c r="I2318" s="17">
        <f>+VLOOKUP($A2318,MAGAZZINO!$B$2:$M$4838,9,FALSE)</f>
        <v/>
      </c>
      <c r="J2318" s="17">
        <f>+VLOOKUP($A2318,MAGAZZINO!$B$2:$M$4838,10,FALSE)</f>
        <v/>
      </c>
      <c r="K2318" s="17">
        <f>+VLOOKUP($A2318,MAGAZZINO!$B$2:$M$4838,11,FALSE)</f>
        <v/>
      </c>
      <c r="L2318" s="44">
        <f>+VLOOKUP($A2318,MAGAZZINO!$B$2:$M$4838,12,FALSE)</f>
        <v/>
      </c>
    </row>
    <row r="2319" ht="36" customHeight="1">
      <c r="A2319" s="30">
        <f>+REGISTRO!A2302</f>
        <v/>
      </c>
      <c r="B2319" s="31">
        <f>+VLOOKUP($A2319,MAGAZZINO!$B$2:$M$4838,2,FALSE)</f>
        <v/>
      </c>
      <c r="C2319" s="32">
        <f>+VLOOKUP($A2319,MAGAZZINO!$B$2:$M$4838,3,FALSE)</f>
        <v/>
      </c>
      <c r="D2319" s="17">
        <f>+VLOOKUP($A2319,MAGAZZINO!$B$2:$M$4838,4,FALSE)</f>
        <v/>
      </c>
      <c r="E2319" s="17">
        <f>+VLOOKUP($A2319,MAGAZZINO!$B$2:$M$4838,5,FALSE)</f>
        <v/>
      </c>
      <c r="F2319" s="17">
        <f>+VLOOKUP($A2319,MAGAZZINO!$B$2:$M$4838,6,FALSE)</f>
        <v/>
      </c>
      <c r="G2319" s="17">
        <f>+VLOOKUP($A2319,MAGAZZINO!$B$2:$M$4838,7,FALSE)</f>
        <v/>
      </c>
      <c r="H2319" s="17">
        <f>+VLOOKUP($A2319,MAGAZZINO!$B$2:$M$4838,8,FALSE)</f>
        <v/>
      </c>
      <c r="I2319" s="17">
        <f>+VLOOKUP($A2319,MAGAZZINO!$B$2:$M$4838,9,FALSE)</f>
        <v/>
      </c>
      <c r="J2319" s="17">
        <f>+VLOOKUP($A2319,MAGAZZINO!$B$2:$M$4838,10,FALSE)</f>
        <v/>
      </c>
      <c r="K2319" s="17">
        <f>+VLOOKUP($A2319,MAGAZZINO!$B$2:$M$4838,11,FALSE)</f>
        <v/>
      </c>
      <c r="L2319" s="44">
        <f>+VLOOKUP($A2319,MAGAZZINO!$B$2:$M$4838,12,FALSE)</f>
        <v/>
      </c>
    </row>
    <row r="2320" ht="36" customHeight="1">
      <c r="A2320" s="30">
        <f>+REGISTRO!A2303</f>
        <v/>
      </c>
      <c r="B2320" s="31">
        <f>+VLOOKUP($A2320,MAGAZZINO!$B$2:$M$4838,2,FALSE)</f>
        <v/>
      </c>
      <c r="C2320" s="32">
        <f>+VLOOKUP($A2320,MAGAZZINO!$B$2:$M$4838,3,FALSE)</f>
        <v/>
      </c>
      <c r="D2320" s="17">
        <f>+VLOOKUP($A2320,MAGAZZINO!$B$2:$M$4838,4,FALSE)</f>
        <v/>
      </c>
      <c r="E2320" s="17">
        <f>+VLOOKUP($A2320,MAGAZZINO!$B$2:$M$4838,5,FALSE)</f>
        <v/>
      </c>
      <c r="F2320" s="17">
        <f>+VLOOKUP($A2320,MAGAZZINO!$B$2:$M$4838,6,FALSE)</f>
        <v/>
      </c>
      <c r="G2320" s="17">
        <f>+VLOOKUP($A2320,MAGAZZINO!$B$2:$M$4838,7,FALSE)</f>
        <v/>
      </c>
      <c r="H2320" s="17">
        <f>+VLOOKUP($A2320,MAGAZZINO!$B$2:$M$4838,8,FALSE)</f>
        <v/>
      </c>
      <c r="I2320" s="17">
        <f>+VLOOKUP($A2320,MAGAZZINO!$B$2:$M$4838,9,FALSE)</f>
        <v/>
      </c>
      <c r="J2320" s="17">
        <f>+VLOOKUP($A2320,MAGAZZINO!$B$2:$M$4838,10,FALSE)</f>
        <v/>
      </c>
      <c r="K2320" s="17">
        <f>+VLOOKUP($A2320,MAGAZZINO!$B$2:$M$4838,11,FALSE)</f>
        <v/>
      </c>
      <c r="L2320" s="44">
        <f>+VLOOKUP($A2320,MAGAZZINO!$B$2:$M$4838,12,FALSE)</f>
        <v/>
      </c>
    </row>
    <row r="2321" ht="36" customHeight="1">
      <c r="A2321" s="30">
        <f>+REGISTRO!A2304</f>
        <v/>
      </c>
      <c r="B2321" s="31">
        <f>+VLOOKUP($A2321,MAGAZZINO!$B$2:$M$4838,2,FALSE)</f>
        <v/>
      </c>
      <c r="C2321" s="32">
        <f>+VLOOKUP($A2321,MAGAZZINO!$B$2:$M$4838,3,FALSE)</f>
        <v/>
      </c>
      <c r="D2321" s="17">
        <f>+VLOOKUP($A2321,MAGAZZINO!$B$2:$M$4838,4,FALSE)</f>
        <v/>
      </c>
      <c r="E2321" s="17">
        <f>+VLOOKUP($A2321,MAGAZZINO!$B$2:$M$4838,5,FALSE)</f>
        <v/>
      </c>
      <c r="F2321" s="17">
        <f>+VLOOKUP($A2321,MAGAZZINO!$B$2:$M$4838,6,FALSE)</f>
        <v/>
      </c>
      <c r="G2321" s="17">
        <f>+VLOOKUP($A2321,MAGAZZINO!$B$2:$M$4838,7,FALSE)</f>
        <v/>
      </c>
      <c r="H2321" s="17">
        <f>+VLOOKUP($A2321,MAGAZZINO!$B$2:$M$4838,8,FALSE)</f>
        <v/>
      </c>
      <c r="I2321" s="17">
        <f>+VLOOKUP($A2321,MAGAZZINO!$B$2:$M$4838,9,FALSE)</f>
        <v/>
      </c>
      <c r="J2321" s="17">
        <f>+VLOOKUP($A2321,MAGAZZINO!$B$2:$M$4838,10,FALSE)</f>
        <v/>
      </c>
      <c r="K2321" s="17">
        <f>+VLOOKUP($A2321,MAGAZZINO!$B$2:$M$4838,11,FALSE)</f>
        <v/>
      </c>
      <c r="L2321" s="44">
        <f>+VLOOKUP($A2321,MAGAZZINO!$B$2:$M$4838,12,FALSE)</f>
        <v/>
      </c>
    </row>
    <row r="2322" ht="36" customHeight="1">
      <c r="A2322" s="30">
        <f>+REGISTRO!A2305</f>
        <v/>
      </c>
      <c r="B2322" s="31">
        <f>+VLOOKUP($A2322,MAGAZZINO!$B$2:$M$4838,2,FALSE)</f>
        <v/>
      </c>
      <c r="C2322" s="32">
        <f>+VLOOKUP($A2322,MAGAZZINO!$B$2:$M$4838,3,FALSE)</f>
        <v/>
      </c>
      <c r="D2322" s="17">
        <f>+VLOOKUP($A2322,MAGAZZINO!$B$2:$M$4838,4,FALSE)</f>
        <v/>
      </c>
      <c r="E2322" s="17">
        <f>+VLOOKUP($A2322,MAGAZZINO!$B$2:$M$4838,5,FALSE)</f>
        <v/>
      </c>
      <c r="F2322" s="17">
        <f>+VLOOKUP($A2322,MAGAZZINO!$B$2:$M$4838,6,FALSE)</f>
        <v/>
      </c>
      <c r="G2322" s="17">
        <f>+VLOOKUP($A2322,MAGAZZINO!$B$2:$M$4838,7,FALSE)</f>
        <v/>
      </c>
      <c r="H2322" s="17">
        <f>+VLOOKUP($A2322,MAGAZZINO!$B$2:$M$4838,8,FALSE)</f>
        <v/>
      </c>
      <c r="I2322" s="17">
        <f>+VLOOKUP($A2322,MAGAZZINO!$B$2:$M$4838,9,FALSE)</f>
        <v/>
      </c>
      <c r="J2322" s="17">
        <f>+VLOOKUP($A2322,MAGAZZINO!$B$2:$M$4838,10,FALSE)</f>
        <v/>
      </c>
      <c r="K2322" s="17">
        <f>+VLOOKUP($A2322,MAGAZZINO!$B$2:$M$4838,11,FALSE)</f>
        <v/>
      </c>
      <c r="L2322" s="44">
        <f>+VLOOKUP($A2322,MAGAZZINO!$B$2:$M$4838,12,FALSE)</f>
        <v/>
      </c>
    </row>
    <row r="2323" ht="36" customHeight="1">
      <c r="A2323" s="30">
        <f>+REGISTRO!A2306</f>
        <v/>
      </c>
      <c r="B2323" s="31">
        <f>+VLOOKUP($A2323,MAGAZZINO!$B$2:$M$4838,2,FALSE)</f>
        <v/>
      </c>
      <c r="C2323" s="32">
        <f>+VLOOKUP($A2323,MAGAZZINO!$B$2:$M$4838,3,FALSE)</f>
        <v/>
      </c>
      <c r="D2323" s="17">
        <f>+VLOOKUP($A2323,MAGAZZINO!$B$2:$M$4838,4,FALSE)</f>
        <v/>
      </c>
      <c r="E2323" s="17">
        <f>+VLOOKUP($A2323,MAGAZZINO!$B$2:$M$4838,5,FALSE)</f>
        <v/>
      </c>
      <c r="F2323" s="17">
        <f>+VLOOKUP($A2323,MAGAZZINO!$B$2:$M$4838,6,FALSE)</f>
        <v/>
      </c>
      <c r="G2323" s="17">
        <f>+VLOOKUP($A2323,MAGAZZINO!$B$2:$M$4838,7,FALSE)</f>
        <v/>
      </c>
      <c r="H2323" s="17">
        <f>+VLOOKUP($A2323,MAGAZZINO!$B$2:$M$4838,8,FALSE)</f>
        <v/>
      </c>
      <c r="I2323" s="17">
        <f>+VLOOKUP($A2323,MAGAZZINO!$B$2:$M$4838,9,FALSE)</f>
        <v/>
      </c>
      <c r="J2323" s="17">
        <f>+VLOOKUP($A2323,MAGAZZINO!$B$2:$M$4838,10,FALSE)</f>
        <v/>
      </c>
      <c r="K2323" s="17">
        <f>+VLOOKUP($A2323,MAGAZZINO!$B$2:$M$4838,11,FALSE)</f>
        <v/>
      </c>
      <c r="L2323" s="44">
        <f>+VLOOKUP($A2323,MAGAZZINO!$B$2:$M$4838,12,FALSE)</f>
        <v/>
      </c>
    </row>
    <row r="2324" ht="36" customHeight="1">
      <c r="A2324" s="30">
        <f>+REGISTRO!A2307</f>
        <v/>
      </c>
      <c r="B2324" s="31">
        <f>+VLOOKUP($A2324,MAGAZZINO!$B$2:$M$4838,2,FALSE)</f>
        <v/>
      </c>
      <c r="C2324" s="32">
        <f>+VLOOKUP($A2324,MAGAZZINO!$B$2:$M$4838,3,FALSE)</f>
        <v/>
      </c>
      <c r="D2324" s="17">
        <f>+VLOOKUP($A2324,MAGAZZINO!$B$2:$M$4838,4,FALSE)</f>
        <v/>
      </c>
      <c r="E2324" s="17">
        <f>+VLOOKUP($A2324,MAGAZZINO!$B$2:$M$4838,5,FALSE)</f>
        <v/>
      </c>
      <c r="F2324" s="17">
        <f>+VLOOKUP($A2324,MAGAZZINO!$B$2:$M$4838,6,FALSE)</f>
        <v/>
      </c>
      <c r="G2324" s="17">
        <f>+VLOOKUP($A2324,MAGAZZINO!$B$2:$M$4838,7,FALSE)</f>
        <v/>
      </c>
      <c r="H2324" s="17">
        <f>+VLOOKUP($A2324,MAGAZZINO!$B$2:$M$4838,8,FALSE)</f>
        <v/>
      </c>
      <c r="I2324" s="17">
        <f>+VLOOKUP($A2324,MAGAZZINO!$B$2:$M$4838,9,FALSE)</f>
        <v/>
      </c>
      <c r="J2324" s="17">
        <f>+VLOOKUP($A2324,MAGAZZINO!$B$2:$M$4838,10,FALSE)</f>
        <v/>
      </c>
      <c r="K2324" s="17">
        <f>+VLOOKUP($A2324,MAGAZZINO!$B$2:$M$4838,11,FALSE)</f>
        <v/>
      </c>
      <c r="L2324" s="44">
        <f>+VLOOKUP($A2324,MAGAZZINO!$B$2:$M$4838,12,FALSE)</f>
        <v/>
      </c>
    </row>
    <row r="2325" ht="36" customHeight="1">
      <c r="A2325" s="30">
        <f>+REGISTRO!A2308</f>
        <v/>
      </c>
      <c r="B2325" s="31">
        <f>+VLOOKUP($A2325,MAGAZZINO!$B$2:$M$4838,2,FALSE)</f>
        <v/>
      </c>
      <c r="C2325" s="32">
        <f>+VLOOKUP($A2325,MAGAZZINO!$B$2:$M$4838,3,FALSE)</f>
        <v/>
      </c>
      <c r="D2325" s="17">
        <f>+VLOOKUP($A2325,MAGAZZINO!$B$2:$M$4838,4,FALSE)</f>
        <v/>
      </c>
      <c r="E2325" s="17">
        <f>+VLOOKUP($A2325,MAGAZZINO!$B$2:$M$4838,5,FALSE)</f>
        <v/>
      </c>
      <c r="F2325" s="17">
        <f>+VLOOKUP($A2325,MAGAZZINO!$B$2:$M$4838,6,FALSE)</f>
        <v/>
      </c>
      <c r="G2325" s="17">
        <f>+VLOOKUP($A2325,MAGAZZINO!$B$2:$M$4838,7,FALSE)</f>
        <v/>
      </c>
      <c r="H2325" s="17">
        <f>+VLOOKUP($A2325,MAGAZZINO!$B$2:$M$4838,8,FALSE)</f>
        <v/>
      </c>
      <c r="I2325" s="17">
        <f>+VLOOKUP($A2325,MAGAZZINO!$B$2:$M$4838,9,FALSE)</f>
        <v/>
      </c>
      <c r="J2325" s="17">
        <f>+VLOOKUP($A2325,MAGAZZINO!$B$2:$M$4838,10,FALSE)</f>
        <v/>
      </c>
      <c r="K2325" s="17">
        <f>+VLOOKUP($A2325,MAGAZZINO!$B$2:$M$4838,11,FALSE)</f>
        <v/>
      </c>
      <c r="L2325" s="44">
        <f>+VLOOKUP($A2325,MAGAZZINO!$B$2:$M$4838,12,FALSE)</f>
        <v/>
      </c>
    </row>
    <row r="2326" ht="36" customHeight="1">
      <c r="A2326" s="30">
        <f>+REGISTRO!A2309</f>
        <v/>
      </c>
      <c r="B2326" s="31">
        <f>+VLOOKUP($A2326,MAGAZZINO!$B$2:$M$4838,2,FALSE)</f>
        <v/>
      </c>
      <c r="C2326" s="32">
        <f>+VLOOKUP($A2326,MAGAZZINO!$B$2:$M$4838,3,FALSE)</f>
        <v/>
      </c>
      <c r="D2326" s="17">
        <f>+VLOOKUP($A2326,MAGAZZINO!$B$2:$M$4838,4,FALSE)</f>
        <v/>
      </c>
      <c r="E2326" s="17">
        <f>+VLOOKUP($A2326,MAGAZZINO!$B$2:$M$4838,5,FALSE)</f>
        <v/>
      </c>
      <c r="F2326" s="17">
        <f>+VLOOKUP($A2326,MAGAZZINO!$B$2:$M$4838,6,FALSE)</f>
        <v/>
      </c>
      <c r="G2326" s="17">
        <f>+VLOOKUP($A2326,MAGAZZINO!$B$2:$M$4838,7,FALSE)</f>
        <v/>
      </c>
      <c r="H2326" s="17">
        <f>+VLOOKUP($A2326,MAGAZZINO!$B$2:$M$4838,8,FALSE)</f>
        <v/>
      </c>
      <c r="I2326" s="17">
        <f>+VLOOKUP($A2326,MAGAZZINO!$B$2:$M$4838,9,FALSE)</f>
        <v/>
      </c>
      <c r="J2326" s="17">
        <f>+VLOOKUP($A2326,MAGAZZINO!$B$2:$M$4838,10,FALSE)</f>
        <v/>
      </c>
      <c r="K2326" s="17">
        <f>+VLOOKUP($A2326,MAGAZZINO!$B$2:$M$4838,11,FALSE)</f>
        <v/>
      </c>
      <c r="L2326" s="44">
        <f>+VLOOKUP($A2326,MAGAZZINO!$B$2:$M$4838,12,FALSE)</f>
        <v/>
      </c>
    </row>
    <row r="2327" ht="36" customHeight="1">
      <c r="A2327" s="30">
        <f>+REGISTRO!A2310</f>
        <v/>
      </c>
      <c r="B2327" s="31">
        <f>+VLOOKUP($A2327,MAGAZZINO!$B$2:$M$4838,2,FALSE)</f>
        <v/>
      </c>
      <c r="C2327" s="32">
        <f>+VLOOKUP($A2327,MAGAZZINO!$B$2:$M$4838,3,FALSE)</f>
        <v/>
      </c>
      <c r="D2327" s="17">
        <f>+VLOOKUP($A2327,MAGAZZINO!$B$2:$M$4838,4,FALSE)</f>
        <v/>
      </c>
      <c r="E2327" s="17">
        <f>+VLOOKUP($A2327,MAGAZZINO!$B$2:$M$4838,5,FALSE)</f>
        <v/>
      </c>
      <c r="F2327" s="17">
        <f>+VLOOKUP($A2327,MAGAZZINO!$B$2:$M$4838,6,FALSE)</f>
        <v/>
      </c>
      <c r="G2327" s="17">
        <f>+VLOOKUP($A2327,MAGAZZINO!$B$2:$M$4838,7,FALSE)</f>
        <v/>
      </c>
      <c r="H2327" s="17">
        <f>+VLOOKUP($A2327,MAGAZZINO!$B$2:$M$4838,8,FALSE)</f>
        <v/>
      </c>
      <c r="I2327" s="17">
        <f>+VLOOKUP($A2327,MAGAZZINO!$B$2:$M$4838,9,FALSE)</f>
        <v/>
      </c>
      <c r="J2327" s="17">
        <f>+VLOOKUP($A2327,MAGAZZINO!$B$2:$M$4838,10,FALSE)</f>
        <v/>
      </c>
      <c r="K2327" s="17">
        <f>+VLOOKUP($A2327,MAGAZZINO!$B$2:$M$4838,11,FALSE)</f>
        <v/>
      </c>
      <c r="L2327" s="44">
        <f>+VLOOKUP($A2327,MAGAZZINO!$B$2:$M$4838,12,FALSE)</f>
        <v/>
      </c>
    </row>
    <row r="2328" ht="36" customHeight="1">
      <c r="A2328" s="30">
        <f>+REGISTRO!A2311</f>
        <v/>
      </c>
      <c r="B2328" s="31">
        <f>+VLOOKUP($A2328,MAGAZZINO!$B$2:$M$4838,2,FALSE)</f>
        <v/>
      </c>
      <c r="C2328" s="32">
        <f>+VLOOKUP($A2328,MAGAZZINO!$B$2:$M$4838,3,FALSE)</f>
        <v/>
      </c>
      <c r="D2328" s="17">
        <f>+VLOOKUP($A2328,MAGAZZINO!$B$2:$M$4838,4,FALSE)</f>
        <v/>
      </c>
      <c r="E2328" s="17">
        <f>+VLOOKUP($A2328,MAGAZZINO!$B$2:$M$4838,5,FALSE)</f>
        <v/>
      </c>
      <c r="F2328" s="17">
        <f>+VLOOKUP($A2328,MAGAZZINO!$B$2:$M$4838,6,FALSE)</f>
        <v/>
      </c>
      <c r="G2328" s="17">
        <f>+VLOOKUP($A2328,MAGAZZINO!$B$2:$M$4838,7,FALSE)</f>
        <v/>
      </c>
      <c r="H2328" s="17">
        <f>+VLOOKUP($A2328,MAGAZZINO!$B$2:$M$4838,8,FALSE)</f>
        <v/>
      </c>
      <c r="I2328" s="17">
        <f>+VLOOKUP($A2328,MAGAZZINO!$B$2:$M$4838,9,FALSE)</f>
        <v/>
      </c>
      <c r="J2328" s="17">
        <f>+VLOOKUP($A2328,MAGAZZINO!$B$2:$M$4838,10,FALSE)</f>
        <v/>
      </c>
      <c r="K2328" s="17">
        <f>+VLOOKUP($A2328,MAGAZZINO!$B$2:$M$4838,11,FALSE)</f>
        <v/>
      </c>
      <c r="L2328" s="44">
        <f>+VLOOKUP($A2328,MAGAZZINO!$B$2:$M$4838,12,FALSE)</f>
        <v/>
      </c>
    </row>
    <row r="2329" ht="36" customHeight="1">
      <c r="A2329" s="30">
        <f>+REGISTRO!A2312</f>
        <v/>
      </c>
      <c r="B2329" s="31">
        <f>+VLOOKUP($A2329,MAGAZZINO!$B$2:$M$4838,2,FALSE)</f>
        <v/>
      </c>
      <c r="C2329" s="32">
        <f>+VLOOKUP($A2329,MAGAZZINO!$B$2:$M$4838,3,FALSE)</f>
        <v/>
      </c>
      <c r="D2329" s="17">
        <f>+VLOOKUP($A2329,MAGAZZINO!$B$2:$M$4838,4,FALSE)</f>
        <v/>
      </c>
      <c r="E2329" s="17">
        <f>+VLOOKUP($A2329,MAGAZZINO!$B$2:$M$4838,5,FALSE)</f>
        <v/>
      </c>
      <c r="F2329" s="17">
        <f>+VLOOKUP($A2329,MAGAZZINO!$B$2:$M$4838,6,FALSE)</f>
        <v/>
      </c>
      <c r="G2329" s="17">
        <f>+VLOOKUP($A2329,MAGAZZINO!$B$2:$M$4838,7,FALSE)</f>
        <v/>
      </c>
      <c r="H2329" s="17">
        <f>+VLOOKUP($A2329,MAGAZZINO!$B$2:$M$4838,8,FALSE)</f>
        <v/>
      </c>
      <c r="I2329" s="17">
        <f>+VLOOKUP($A2329,MAGAZZINO!$B$2:$M$4838,9,FALSE)</f>
        <v/>
      </c>
      <c r="J2329" s="17">
        <f>+VLOOKUP($A2329,MAGAZZINO!$B$2:$M$4838,10,FALSE)</f>
        <v/>
      </c>
      <c r="K2329" s="17">
        <f>+VLOOKUP($A2329,MAGAZZINO!$B$2:$M$4838,11,FALSE)</f>
        <v/>
      </c>
      <c r="L2329" s="44">
        <f>+VLOOKUP($A2329,MAGAZZINO!$B$2:$M$4838,12,FALSE)</f>
        <v/>
      </c>
    </row>
    <row r="2330" ht="36" customHeight="1">
      <c r="A2330" s="30">
        <f>+REGISTRO!A2313</f>
        <v/>
      </c>
      <c r="B2330" s="31">
        <f>+VLOOKUP($A2330,MAGAZZINO!$B$2:$M$4838,2,FALSE)</f>
        <v/>
      </c>
      <c r="C2330" s="32">
        <f>+VLOOKUP($A2330,MAGAZZINO!$B$2:$M$4838,3,FALSE)</f>
        <v/>
      </c>
      <c r="D2330" s="17">
        <f>+VLOOKUP($A2330,MAGAZZINO!$B$2:$M$4838,4,FALSE)</f>
        <v/>
      </c>
      <c r="E2330" s="17">
        <f>+VLOOKUP($A2330,MAGAZZINO!$B$2:$M$4838,5,FALSE)</f>
        <v/>
      </c>
      <c r="F2330" s="17">
        <f>+VLOOKUP($A2330,MAGAZZINO!$B$2:$M$4838,6,FALSE)</f>
        <v/>
      </c>
      <c r="G2330" s="17">
        <f>+VLOOKUP($A2330,MAGAZZINO!$B$2:$M$4838,7,FALSE)</f>
        <v/>
      </c>
      <c r="H2330" s="17">
        <f>+VLOOKUP($A2330,MAGAZZINO!$B$2:$M$4838,8,FALSE)</f>
        <v/>
      </c>
      <c r="I2330" s="17">
        <f>+VLOOKUP($A2330,MAGAZZINO!$B$2:$M$4838,9,FALSE)</f>
        <v/>
      </c>
      <c r="J2330" s="17">
        <f>+VLOOKUP($A2330,MAGAZZINO!$B$2:$M$4838,10,FALSE)</f>
        <v/>
      </c>
      <c r="K2330" s="17">
        <f>+VLOOKUP($A2330,MAGAZZINO!$B$2:$M$4838,11,FALSE)</f>
        <v/>
      </c>
      <c r="L2330" s="44">
        <f>+VLOOKUP($A2330,MAGAZZINO!$B$2:$M$4838,12,FALSE)</f>
        <v/>
      </c>
    </row>
    <row r="2331" ht="36" customHeight="1">
      <c r="A2331" s="30">
        <f>+REGISTRO!A2314</f>
        <v/>
      </c>
      <c r="B2331" s="31">
        <f>+VLOOKUP($A2331,MAGAZZINO!$B$2:$M$4838,2,FALSE)</f>
        <v/>
      </c>
      <c r="C2331" s="32">
        <f>+VLOOKUP($A2331,MAGAZZINO!$B$2:$M$4838,3,FALSE)</f>
        <v/>
      </c>
      <c r="D2331" s="17">
        <f>+VLOOKUP($A2331,MAGAZZINO!$B$2:$M$4838,4,FALSE)</f>
        <v/>
      </c>
      <c r="E2331" s="17">
        <f>+VLOOKUP($A2331,MAGAZZINO!$B$2:$M$4838,5,FALSE)</f>
        <v/>
      </c>
      <c r="F2331" s="17">
        <f>+VLOOKUP($A2331,MAGAZZINO!$B$2:$M$4838,6,FALSE)</f>
        <v/>
      </c>
      <c r="G2331" s="17">
        <f>+VLOOKUP($A2331,MAGAZZINO!$B$2:$M$4838,7,FALSE)</f>
        <v/>
      </c>
      <c r="H2331" s="17">
        <f>+VLOOKUP($A2331,MAGAZZINO!$B$2:$M$4838,8,FALSE)</f>
        <v/>
      </c>
      <c r="I2331" s="17">
        <f>+VLOOKUP($A2331,MAGAZZINO!$B$2:$M$4838,9,FALSE)</f>
        <v/>
      </c>
      <c r="J2331" s="17">
        <f>+VLOOKUP($A2331,MAGAZZINO!$B$2:$M$4838,10,FALSE)</f>
        <v/>
      </c>
      <c r="K2331" s="17">
        <f>+VLOOKUP($A2331,MAGAZZINO!$B$2:$M$4838,11,FALSE)</f>
        <v/>
      </c>
      <c r="L2331" s="44">
        <f>+VLOOKUP($A2331,MAGAZZINO!$B$2:$M$4838,12,FALSE)</f>
        <v/>
      </c>
    </row>
    <row r="2332" ht="36" customHeight="1">
      <c r="A2332" s="30">
        <f>+REGISTRO!A2315</f>
        <v/>
      </c>
      <c r="B2332" s="31">
        <f>+VLOOKUP($A2332,MAGAZZINO!$B$2:$M$4838,2,FALSE)</f>
        <v/>
      </c>
      <c r="C2332" s="32">
        <f>+VLOOKUP($A2332,MAGAZZINO!$B$2:$M$4838,3,FALSE)</f>
        <v/>
      </c>
      <c r="D2332" s="17">
        <f>+VLOOKUP($A2332,MAGAZZINO!$B$2:$M$4838,4,FALSE)</f>
        <v/>
      </c>
      <c r="E2332" s="17">
        <f>+VLOOKUP($A2332,MAGAZZINO!$B$2:$M$4838,5,FALSE)</f>
        <v/>
      </c>
      <c r="F2332" s="17">
        <f>+VLOOKUP($A2332,MAGAZZINO!$B$2:$M$4838,6,FALSE)</f>
        <v/>
      </c>
      <c r="G2332" s="17">
        <f>+VLOOKUP($A2332,MAGAZZINO!$B$2:$M$4838,7,FALSE)</f>
        <v/>
      </c>
      <c r="H2332" s="17">
        <f>+VLOOKUP($A2332,MAGAZZINO!$B$2:$M$4838,8,FALSE)</f>
        <v/>
      </c>
      <c r="I2332" s="17">
        <f>+VLOOKUP($A2332,MAGAZZINO!$B$2:$M$4838,9,FALSE)</f>
        <v/>
      </c>
      <c r="J2332" s="17">
        <f>+VLOOKUP($A2332,MAGAZZINO!$B$2:$M$4838,10,FALSE)</f>
        <v/>
      </c>
      <c r="K2332" s="17">
        <f>+VLOOKUP($A2332,MAGAZZINO!$B$2:$M$4838,11,FALSE)</f>
        <v/>
      </c>
      <c r="L2332" s="44">
        <f>+VLOOKUP($A2332,MAGAZZINO!$B$2:$M$4838,12,FALSE)</f>
        <v/>
      </c>
    </row>
    <row r="2333" ht="36" customHeight="1">
      <c r="A2333" s="30">
        <f>+REGISTRO!A2316</f>
        <v/>
      </c>
      <c r="B2333" s="31">
        <f>+VLOOKUP($A2333,MAGAZZINO!$B$2:$M$4838,2,FALSE)</f>
        <v/>
      </c>
      <c r="C2333" s="32">
        <f>+VLOOKUP($A2333,MAGAZZINO!$B$2:$M$4838,3,FALSE)</f>
        <v/>
      </c>
      <c r="D2333" s="17">
        <f>+VLOOKUP($A2333,MAGAZZINO!$B$2:$M$4838,4,FALSE)</f>
        <v/>
      </c>
      <c r="E2333" s="17">
        <f>+VLOOKUP($A2333,MAGAZZINO!$B$2:$M$4838,5,FALSE)</f>
        <v/>
      </c>
      <c r="F2333" s="17">
        <f>+VLOOKUP($A2333,MAGAZZINO!$B$2:$M$4838,6,FALSE)</f>
        <v/>
      </c>
      <c r="G2333" s="17">
        <f>+VLOOKUP($A2333,MAGAZZINO!$B$2:$M$4838,7,FALSE)</f>
        <v/>
      </c>
      <c r="H2333" s="17">
        <f>+VLOOKUP($A2333,MAGAZZINO!$B$2:$M$4838,8,FALSE)</f>
        <v/>
      </c>
      <c r="I2333" s="17">
        <f>+VLOOKUP($A2333,MAGAZZINO!$B$2:$M$4838,9,FALSE)</f>
        <v/>
      </c>
      <c r="J2333" s="17">
        <f>+VLOOKUP($A2333,MAGAZZINO!$B$2:$M$4838,10,FALSE)</f>
        <v/>
      </c>
      <c r="K2333" s="17">
        <f>+VLOOKUP($A2333,MAGAZZINO!$B$2:$M$4838,11,FALSE)</f>
        <v/>
      </c>
      <c r="L2333" s="44">
        <f>+VLOOKUP($A2333,MAGAZZINO!$B$2:$M$4838,12,FALSE)</f>
        <v/>
      </c>
    </row>
    <row r="2334" ht="36" customHeight="1"/>
    <row r="2336">
      <c r="A2336" s="34" t="n"/>
      <c r="B2336" s="35" t="n"/>
      <c r="C2336" s="36" t="n"/>
      <c r="N2336" s="35" t="n"/>
    </row>
    <row r="2340">
      <c r="L2340" s="44">
        <f>+SUM(L2:L2339)</f>
        <v/>
      </c>
    </row>
  </sheetData>
  <mergeCells count="11">
    <mergeCell ref="A1:M1"/>
    <mergeCell ref="Q2:T2"/>
    <mergeCell ref="N1:T1"/>
    <mergeCell ref="M2:M3"/>
    <mergeCell ref="B2:B3"/>
    <mergeCell ref="A2:A3"/>
    <mergeCell ref="N2:N3"/>
    <mergeCell ref="C2:C3"/>
    <mergeCell ref="D2:J2"/>
    <mergeCell ref="P2:P3"/>
    <mergeCell ref="K2:K3"/>
  </mergeCells>
  <pageMargins left="0.2362204724409449" right="0.2362204724409449" top="0.7480314960629921" bottom="0.7480314960629921" header="0.3149606299212598" footer="0.3149606299212598"/>
  <pageSetup orientation="landscape" paperSize="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acer1</dc:creator>
  <dcterms:created xmlns:dcterms="http://purl.org/dc/terms/" xmlns:xsi="http://www.w3.org/2001/XMLSchema-instance" xsi:type="dcterms:W3CDTF">2015-06-05T18:19:34Z</dcterms:created>
  <dcterms:modified xmlns:dcterms="http://purl.org/dc/terms/" xmlns:xsi="http://www.w3.org/2001/XMLSchema-instance" xsi:type="dcterms:W3CDTF">2026-06-27T10:34:29Z</dcterms:modified>
  <cp:lastModifiedBy>Microsoft Office User</cp:lastModifiedBy>
</cp:coreProperties>
</file>